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2" activeTab="2" autoFilterDateGrouping="1"/>
  </bookViews>
  <sheets>
    <sheet name="Notes" sheetId="1" state="hidden" r:id="rId1"/>
    <sheet name="Rate Table" sheetId="2" state="hidden" r:id="rId2"/>
    <sheet name="MAINCPF CPH DEP SEP END RBC CSR" sheetId="3" state="visible" r:id="rId3"/>
    <sheet name="DEP_BONUS CALC" sheetId="4" state="visible" r:id="rId4"/>
    <sheet name="SEP_BONUS CALC" sheetId="5" state="visible" r:id="rId5"/>
    <sheet name="END_BONUS CALC" sheetId="6" state="visible" r:id="rId6"/>
    <sheet name="RBC_BONUS CALC" sheetId="7" state="visible" r:id="rId7"/>
    <sheet name="CSR_BONUS CALC" sheetId="8" state="visible" r:id="rId8"/>
  </sheets>
  <definedNames>
    <definedName name="_xlnm._FilterDatabase" localSheetId="2" hidden="1">'MAINCPF CPH DEP SEP END RBC CSR'!$A$2:$CX$4147</definedName>
    <definedName name="_xlnm._FilterDatabase" localSheetId="3" hidden="1">'DEP_BONUS CALC'!$A$2:$AK$305</definedName>
    <definedName name="_xlnm._FilterDatabase" localSheetId="7" hidden="1">'CSR_BONUS CALC'!$A$4:$AK$4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.0000_ ;_ * \-#,##0.0000_ ;_ * &quot;-&quot;??_ ;_ @_ "/>
    <numFmt numFmtId="166" formatCode="_ * #,##0_ ;_ * \-#,##0_ ;_ * &quot;-&quot;??_ ;_ @_ "/>
  </numFmts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9"/>
    </font>
    <font>
      <name val="Aptos Display"/>
      <family val="2"/>
      <color theme="1"/>
      <sz val="11"/>
      <scheme val="maj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sz val="11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theme="1"/>
      <sz val="9"/>
    </font>
    <font>
      <name val="Aptos Narrow"/>
      <family val="2"/>
      <b val="1"/>
      <color theme="0"/>
      <sz val="11"/>
      <scheme val="minor"/>
    </font>
    <font>
      <name val="Calibri"/>
      <family val="2"/>
      <b val="1"/>
      <sz val="11"/>
    </font>
    <font>
      <name val="Aptos Narrow"/>
      <family val="2"/>
      <color rgb="FFFF0000"/>
      <sz val="11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i val="1"/>
      <color theme="1"/>
      <sz val="11"/>
    </font>
    <font>
      <name val="Calibri"/>
      <family val="2"/>
      <color theme="1"/>
      <sz val="11"/>
    </font>
    <font>
      <name val="Aptos Narrow"/>
      <family val="2"/>
      <i val="1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i val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64598529007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7070223090305"/>
        <bgColor indexed="64"/>
      </patternFill>
    </fill>
    <fill>
      <patternFill patternType="solid">
        <fgColor theme="4" tint="0.79973754081850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2" fillId="0" borderId="0"/>
    <xf numFmtId="43" fontId="2" fillId="0" borderId="0"/>
    <xf numFmtId="9" fontId="2" fillId="0" borderId="0"/>
    <xf numFmtId="0" fontId="6" fillId="0" borderId="0"/>
  </cellStyleXfs>
  <cellXfs count="233">
    <xf numFmtId="0" fontId="0" fillId="0" borderId="0" pivotButton="0" quotePrefix="0" xfId="0"/>
    <xf numFmtId="0" fontId="1" fillId="0" borderId="0" pivotButton="0" quotePrefix="0" xfId="0"/>
    <xf numFmtId="15" fontId="0" fillId="0" borderId="0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10" fontId="1" fillId="6" borderId="1" applyAlignment="1" pivotButton="0" quotePrefix="0" xfId="2">
      <alignment horizontal="center"/>
    </xf>
    <xf numFmtId="10" fontId="1" fillId="3" borderId="1" applyAlignment="1" pivotButton="0" quotePrefix="0" xfId="2">
      <alignment horizontal="center"/>
    </xf>
    <xf numFmtId="164" fontId="0" fillId="0" borderId="1" applyAlignment="1" applyProtection="1" pivotButton="0" quotePrefix="0" xfId="1">
      <alignment horizontal="center" vertical="center"/>
      <protection locked="0" hidden="0"/>
    </xf>
    <xf numFmtId="164" fontId="0" fillId="0" borderId="0" pivotButton="0" quotePrefix="0" xfId="1"/>
    <xf numFmtId="164" fontId="0" fillId="0" borderId="1" pivotButton="0" quotePrefix="0" xfId="1"/>
    <xf numFmtId="164" fontId="1" fillId="6" borderId="1" applyAlignment="1" pivotButton="0" quotePrefix="0" xfId="1">
      <alignment horizontal="center" vertical="center"/>
    </xf>
    <xf numFmtId="10" fontId="1" fillId="3" borderId="1" applyAlignment="1" pivotButton="0" quotePrefix="0" xfId="1">
      <alignment horizontal="center" vertical="center"/>
    </xf>
    <xf numFmtId="0" fontId="5" fillId="0" borderId="0" pivotButton="0" quotePrefix="0" xfId="0"/>
    <xf numFmtId="164" fontId="1" fillId="0" borderId="1" pivotButton="0" quotePrefix="0" xfId="1"/>
    <xf numFmtId="0" fontId="1" fillId="0" borderId="1" pivotButton="0" quotePrefix="0" xfId="1"/>
    <xf numFmtId="9" fontId="0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0" fontId="1" fillId="0" borderId="1" applyAlignment="1" pivotButton="0" quotePrefix="0" xfId="1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1">
      <alignment horizontal="center"/>
    </xf>
    <xf numFmtId="10" fontId="1" fillId="7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10" fontId="0" fillId="0" borderId="1" pivotButton="0" quotePrefix="0" xfId="1"/>
    <xf numFmtId="10" fontId="0" fillId="0" borderId="1" pivotButton="0" quotePrefix="0" xfId="0"/>
    <xf numFmtId="0" fontId="0" fillId="0" borderId="1" pivotButton="0" quotePrefix="0" xfId="1"/>
    <xf numFmtId="0" fontId="1" fillId="0" borderId="1" pivotButton="0" quotePrefix="0" xfId="1"/>
    <xf numFmtId="9" fontId="0" fillId="0" borderId="1" pivotButton="0" quotePrefix="0" xfId="0"/>
    <xf numFmtId="0" fontId="1" fillId="0" borderId="1" applyAlignment="1" pivotButton="0" quotePrefix="0" xfId="0">
      <alignment vertical="center"/>
    </xf>
    <xf numFmtId="15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1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0" fontId="0" fillId="0" borderId="5" applyAlignment="1" pivotButton="0" quotePrefix="0" xfId="0">
      <alignment horizontal="center"/>
    </xf>
    <xf numFmtId="0" fontId="1" fillId="2" borderId="1" applyAlignment="1" pivotButton="0" quotePrefix="0" xfId="0">
      <alignment vertical="center" wrapText="1"/>
    </xf>
    <xf numFmtId="164" fontId="0" fillId="0" borderId="1" applyAlignment="1" applyProtection="1" pivotButton="0" quotePrefix="0" xfId="1">
      <alignment horizontal="center"/>
      <protection locked="0" hidden="0"/>
    </xf>
    <xf numFmtId="0" fontId="11" fillId="0" borderId="0" pivotButton="0" quotePrefix="0" xfId="0"/>
    <xf numFmtId="0" fontId="6" fillId="2" borderId="1" pivotButton="0" quotePrefix="0" xfId="3"/>
    <xf numFmtId="9" fontId="6" fillId="2" borderId="1" pivotButton="0" quotePrefix="0" xfId="3"/>
    <xf numFmtId="0" fontId="1" fillId="1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12" borderId="1" applyAlignment="1" pivotButton="0" quotePrefix="0" xfId="0">
      <alignment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 wrapText="1"/>
    </xf>
    <xf numFmtId="0" fontId="1" fillId="15" borderId="1" applyAlignment="1" pivotButton="0" quotePrefix="0" xfId="0">
      <alignment vertical="center" wrapText="1"/>
    </xf>
    <xf numFmtId="0" fontId="1" fillId="16" borderId="1" applyAlignment="1" pivotButton="0" quotePrefix="0" xfId="0">
      <alignment vertical="center" wrapText="1"/>
    </xf>
    <xf numFmtId="0" fontId="8" fillId="19" borderId="1" applyAlignment="1" pivotButton="0" quotePrefix="0" xfId="0">
      <alignment horizontal="center" vertical="center" wrapText="1"/>
    </xf>
    <xf numFmtId="164" fontId="11" fillId="0" borderId="0" pivotButton="0" quotePrefix="0" xfId="0"/>
    <xf numFmtId="165" fontId="1" fillId="2" borderId="0" pivotButton="0" quotePrefix="0" xfId="0"/>
    <xf numFmtId="15" fontId="1" fillId="2" borderId="0" pivotButton="0" quotePrefix="0" xfId="0"/>
    <xf numFmtId="165" fontId="1" fillId="0" borderId="0" pivotButton="0" quotePrefix="0" xfId="0"/>
    <xf numFmtId="164" fontId="0" fillId="0" borderId="0" pivotButton="0" quotePrefix="0" xfId="1"/>
    <xf numFmtId="0" fontId="13" fillId="0" borderId="0" pivotButton="0" quotePrefix="0" xfId="0"/>
    <xf numFmtId="0" fontId="13" fillId="0" borderId="1" pivotButton="0" quotePrefix="0" xfId="0"/>
    <xf numFmtId="9" fontId="13" fillId="0" borderId="1" pivotButton="0" quotePrefix="0" xfId="0"/>
    <xf numFmtId="164" fontId="13" fillId="0" borderId="1" pivotButton="0" quotePrefix="0" xfId="1"/>
    <xf numFmtId="1" fontId="13" fillId="0" borderId="1" pivotButton="0" quotePrefix="0" xfId="0"/>
    <xf numFmtId="164" fontId="13" fillId="0" borderId="1" applyAlignment="1" pivotButton="0" quotePrefix="0" xfId="1">
      <alignment horizontal="center"/>
    </xf>
    <xf numFmtId="164" fontId="13" fillId="0" borderId="1" applyAlignment="1" pivotButton="0" quotePrefix="0" xfId="1">
      <alignment horizontal="center"/>
    </xf>
    <xf numFmtId="164" fontId="13" fillId="0" borderId="1" pivotButton="0" quotePrefix="1" xfId="1"/>
    <xf numFmtId="0" fontId="13" fillId="0" borderId="1" pivotButton="0" quotePrefix="1" xfId="0"/>
    <xf numFmtId="164" fontId="13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vertical="center"/>
    </xf>
    <xf numFmtId="164" fontId="14" fillId="0" borderId="1" pivotButton="0" quotePrefix="1" xfId="1"/>
    <xf numFmtId="1" fontId="1" fillId="3" borderId="1" applyAlignment="1" pivotButton="0" quotePrefix="0" xfId="0">
      <alignment vertical="center" wrapText="1"/>
    </xf>
    <xf numFmtId="166" fontId="15" fillId="0" borderId="1" pivotButton="0" quotePrefix="1" xfId="1"/>
    <xf numFmtId="15" fontId="0" fillId="0" borderId="0" pivotButton="0" quotePrefix="1" xfId="0"/>
    <xf numFmtId="2" fontId="0" fillId="0" borderId="0" pivotButton="0" quotePrefix="1" xfId="0"/>
    <xf numFmtId="164" fontId="16" fillId="0" borderId="1" pivotButton="0" quotePrefix="0" xfId="1"/>
    <xf numFmtId="0" fontId="17" fillId="0" borderId="1" applyAlignment="1" pivotButton="0" quotePrefix="0" xfId="0">
      <alignment horizontal="center" vertical="center"/>
    </xf>
    <xf numFmtId="0" fontId="17" fillId="0" borderId="1" applyAlignment="1" applyProtection="1" pivotButton="0" quotePrefix="0" xfId="0">
      <alignment horizontal="center" vertical="center"/>
      <protection locked="0" hidden="0"/>
    </xf>
    <xf numFmtId="164" fontId="17" fillId="0" borderId="1" applyAlignment="1" applyProtection="1" pivotButton="0" quotePrefix="0" xfId="1">
      <alignment horizontal="center"/>
      <protection locked="0" hidden="0"/>
    </xf>
    <xf numFmtId="15" fontId="17" fillId="0" borderId="1" applyAlignment="1" applyProtection="1" pivotButton="0" quotePrefix="0" xfId="0">
      <alignment horizontal="center"/>
      <protection locked="0" hidden="0"/>
    </xf>
    <xf numFmtId="2" fontId="17" fillId="0" borderId="1" applyAlignment="1" applyProtection="1" pivotButton="0" quotePrefix="0" xfId="2">
      <alignment horizontal="center"/>
      <protection locked="0" hidden="0"/>
    </xf>
    <xf numFmtId="164" fontId="17" fillId="0" borderId="1" applyAlignment="1" applyProtection="1" pivotButton="0" quotePrefix="0" xfId="1">
      <alignment horizontal="center" vertical="center"/>
      <protection locked="0" hidden="0"/>
    </xf>
    <xf numFmtId="0" fontId="17" fillId="0" borderId="0" applyAlignment="1" applyProtection="1" pivotButton="0" quotePrefix="0" xfId="0">
      <alignment horizontal="center"/>
      <protection locked="0" hidden="0"/>
    </xf>
    <xf numFmtId="164" fontId="18" fillId="0" borderId="1" pivotButton="0" quotePrefix="0" xfId="1"/>
    <xf numFmtId="0" fontId="0" fillId="0" borderId="0" applyAlignment="1" applyProtection="1" pivotButton="0" quotePrefix="0" xfId="0">
      <alignment horizontal="center" vertical="center"/>
      <protection locked="0" hidden="0"/>
    </xf>
    <xf numFmtId="15" fontId="0" fillId="0" borderId="0" applyAlignment="1" applyProtection="1" pivotButton="0" quotePrefix="0" xfId="0">
      <alignment horizontal="center"/>
      <protection locked="0" hidden="0"/>
    </xf>
    <xf numFmtId="2" fontId="12" fillId="0" borderId="0" applyAlignment="1" applyProtection="1" pivotButton="0" quotePrefix="0" xfId="2">
      <alignment horizontal="center"/>
      <protection locked="0" hidden="0"/>
    </xf>
    <xf numFmtId="164" fontId="12" fillId="0" borderId="0" applyAlignment="1" applyProtection="1" pivotButton="0" quotePrefix="0" xfId="1">
      <alignment horizontal="center"/>
      <protection locked="0" hidden="0"/>
    </xf>
    <xf numFmtId="164" fontId="12" fillId="0" borderId="0" applyAlignment="1" applyProtection="1" pivotButton="0" quotePrefix="0" xfId="1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5" fontId="1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5" fontId="1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2">
      <alignment horizontal="center"/>
      <protection locked="0" hidden="0"/>
    </xf>
    <xf numFmtId="164" fontId="7" fillId="0" borderId="0" applyAlignment="1" applyProtection="1" pivotButton="0" quotePrefix="0" xfId="1">
      <alignment horizontal="center"/>
      <protection locked="0" hidden="0"/>
    </xf>
    <xf numFmtId="164" fontId="7" fillId="0" borderId="0" applyAlignment="1" applyProtection="1" pivotButton="0" quotePrefix="0" xfId="1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1">
      <alignment horizontal="center"/>
      <protection locked="0" hidden="0"/>
    </xf>
    <xf numFmtId="164" fontId="0" fillId="0" borderId="0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0" fontId="0" fillId="21" borderId="1" pivotButton="0" quotePrefix="0" xfId="0"/>
    <xf numFmtId="15" fontId="0" fillId="0" borderId="1" pivotButton="0" quotePrefix="0" xfId="0"/>
    <xf numFmtId="0" fontId="17" fillId="21" borderId="1" pivotButton="0" quotePrefix="0" xfId="0"/>
    <xf numFmtId="15" fontId="17" fillId="0" borderId="1" pivotButton="0" quotePrefix="1" xfId="0"/>
    <xf numFmtId="2" fontId="17" fillId="0" borderId="1" pivotButton="0" quotePrefix="1" xfId="0"/>
    <xf numFmtId="0" fontId="0" fillId="0" borderId="6" applyAlignment="1" pivotButton="0" quotePrefix="0" xfId="0">
      <alignment horizontal="center" vertical="center"/>
    </xf>
    <xf numFmtId="0" fontId="0" fillId="0" borderId="6" applyAlignment="1" applyProtection="1" pivotButton="0" quotePrefix="0" xfId="0">
      <alignment horizontal="center" vertical="center"/>
      <protection locked="0" hidden="0"/>
    </xf>
    <xf numFmtId="164" fontId="0" fillId="0" borderId="6" applyAlignment="1" applyProtection="1" pivotButton="0" quotePrefix="0" xfId="1">
      <alignment horizontal="center"/>
      <protection locked="0" hidden="0"/>
    </xf>
    <xf numFmtId="15" fontId="17" fillId="0" borderId="1" pivotButton="0" quotePrefix="0" xfId="0"/>
    <xf numFmtId="164" fontId="0" fillId="0" borderId="0" applyAlignment="1" applyProtection="1" pivotButton="0" quotePrefix="0" xfId="1">
      <alignment horizontal="center" vertical="center"/>
      <protection locked="0" hidden="0"/>
    </xf>
    <xf numFmtId="0" fontId="1" fillId="2" borderId="0" pivotButton="0" quotePrefix="0" xfId="0"/>
    <xf numFmtId="164" fontId="0" fillId="0" borderId="0" pivotButton="0" quotePrefix="0" xfId="0"/>
    <xf numFmtId="164" fontId="0" fillId="3" borderId="0" applyAlignment="1" applyProtection="1" pivotButton="0" quotePrefix="0" xfId="1">
      <alignment horizontal="center"/>
      <protection locked="0" hidden="0"/>
    </xf>
    <xf numFmtId="15" fontId="3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1">
      <alignment horizontal="center"/>
      <protection locked="0" hidden="0"/>
    </xf>
    <xf numFmtId="15" fontId="3" fillId="0" borderId="1" applyAlignment="1" applyProtection="1" pivotButton="0" quotePrefix="0" xfId="0">
      <alignment horizontal="center"/>
      <protection locked="0" hidden="0"/>
    </xf>
    <xf numFmtId="17" fontId="0" fillId="0" borderId="1" pivotButton="0" quotePrefix="0" xfId="0"/>
    <xf numFmtId="164" fontId="13" fillId="0" borderId="4" pivotButton="0" quotePrefix="1" xfId="1"/>
    <xf numFmtId="9" fontId="13" fillId="0" borderId="0" pivotButton="0" quotePrefix="0" xfId="0"/>
    <xf numFmtId="164" fontId="13" fillId="0" borderId="0" pivotButton="0" quotePrefix="0" xfId="1"/>
    <xf numFmtId="1" fontId="13" fillId="0" borderId="0" pivotButton="0" quotePrefix="0" xfId="0"/>
    <xf numFmtId="164" fontId="14" fillId="0" borderId="0" pivotButton="0" quotePrefix="1" xfId="1"/>
    <xf numFmtId="166" fontId="15" fillId="0" borderId="0" pivotButton="0" quotePrefix="1" xfId="1"/>
    <xf numFmtId="0" fontId="14" fillId="0" borderId="0" pivotButton="0" quotePrefix="1" xfId="0"/>
    <xf numFmtId="164" fontId="13" fillId="0" borderId="0" applyAlignment="1" pivotButton="0" quotePrefix="0" xfId="1">
      <alignment horizontal="center"/>
    </xf>
    <xf numFmtId="164" fontId="13" fillId="0" borderId="0" applyAlignment="1" pivotButton="0" quotePrefix="0" xfId="1">
      <alignment horizontal="center"/>
    </xf>
    <xf numFmtId="164" fontId="13" fillId="0" borderId="0" pivotButton="0" quotePrefix="1" xfId="1"/>
    <xf numFmtId="0" fontId="13" fillId="0" borderId="0" pivotButton="0" quotePrefix="1" xfId="0"/>
    <xf numFmtId="164" fontId="13" fillId="0" borderId="0" pivotButton="0" quotePrefix="0" xfId="0"/>
    <xf numFmtId="164" fontId="0" fillId="0" borderId="0" pivotButton="0" quotePrefix="0" xfId="1"/>
    <xf numFmtId="17" fontId="0" fillId="0" borderId="0" pivotButton="0" quotePrefix="0" xfId="0"/>
    <xf numFmtId="0" fontId="0" fillId="17" borderId="0" pivotButton="0" quotePrefix="0" xfId="0"/>
    <xf numFmtId="164" fontId="0" fillId="17" borderId="0" pivotButton="0" quotePrefix="0" xfId="1"/>
    <xf numFmtId="0" fontId="0" fillId="18" borderId="0" pivotButton="0" quotePrefix="0" xfId="0"/>
    <xf numFmtId="0" fontId="0" fillId="3" borderId="0" pivotButton="0" quotePrefix="0" xfId="0"/>
    <xf numFmtId="0" fontId="1" fillId="17" borderId="0" pivotButton="0" quotePrefix="0" xfId="0"/>
    <xf numFmtId="164" fontId="13" fillId="0" borderId="0" applyAlignment="1" pivotButton="0" quotePrefix="1" xfId="1">
      <alignment horizontal="center"/>
    </xf>
    <xf numFmtId="15" fontId="0" fillId="20" borderId="0" pivotButton="0" quotePrefix="0" xfId="0"/>
    <xf numFmtId="164" fontId="13" fillId="3" borderId="0" pivotButton="0" quotePrefix="0" xfId="1"/>
    <xf numFmtId="9" fontId="0" fillId="0" borderId="0" pivotButton="0" quotePrefix="0" xfId="0"/>
    <xf numFmtId="0" fontId="14" fillId="0" borderId="1" pivotButton="0" quotePrefix="1" xfId="0"/>
    <xf numFmtId="0" fontId="10" fillId="8" borderId="3" applyAlignment="1" pivotButton="0" quotePrefix="0" xfId="0">
      <alignment horizontal="center" wrapText="1"/>
    </xf>
    <xf numFmtId="0" fontId="10" fillId="8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top" wrapText="1"/>
    </xf>
    <xf numFmtId="0" fontId="10" fillId="8" borderId="4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4" fontId="1" fillId="4" borderId="1" applyAlignment="1" pivotButton="0" quotePrefix="0" xfId="0">
      <alignment horizontal="center" vertical="center"/>
    </xf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 wrapText="1"/>
    </xf>
    <xf numFmtId="14" fontId="1" fillId="3" borderId="1" applyAlignment="1" pivotButton="0" quotePrefix="0" xfId="0">
      <alignment horizontal="center" vertical="center"/>
    </xf>
    <xf numFmtId="14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4" fontId="1" fillId="6" borderId="1" applyAlignment="1" pivotButton="0" quotePrefix="0" xfId="1">
      <alignment horizontal="center" vertical="center"/>
    </xf>
    <xf numFmtId="164" fontId="1" fillId="6" borderId="1" applyAlignment="1" pivotButton="0" quotePrefix="0" xfId="1">
      <alignment horizontal="center" vertical="center" wrapText="1"/>
    </xf>
    <xf numFmtId="14" fontId="1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1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164" fontId="1" fillId="0" borderId="1" pivotButton="0" quotePrefix="0" xfId="1"/>
    <xf numFmtId="164" fontId="0" fillId="0" borderId="1" pivotButton="0" quotePrefix="0" xfId="1"/>
    <xf numFmtId="0" fontId="10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1"/>
    <xf numFmtId="164" fontId="11" fillId="0" borderId="0" pivotButton="0" quotePrefix="0" xfId="0"/>
    <xf numFmtId="165" fontId="1" fillId="2" borderId="0" pivotButton="0" quotePrefix="0" xfId="0"/>
    <xf numFmtId="165" fontId="1" fillId="0" borderId="0" pivotButton="0" quotePrefix="0" xfId="0"/>
    <xf numFmtId="164" fontId="1" fillId="0" borderId="1" applyAlignment="1" pivotButton="0" quotePrefix="0" xfId="1">
      <alignment vertical="center"/>
    </xf>
    <xf numFmtId="164" fontId="13" fillId="0" borderId="1" pivotButton="0" quotePrefix="1" xfId="1"/>
    <xf numFmtId="164" fontId="14" fillId="0" borderId="1" pivotButton="0" quotePrefix="1" xfId="1"/>
    <xf numFmtId="166" fontId="15" fillId="0" borderId="1" pivotButton="0" quotePrefix="1" xfId="1"/>
    <xf numFmtId="164" fontId="13" fillId="0" borderId="1" applyAlignment="1" pivotButton="0" quotePrefix="0" xfId="1">
      <alignment horizontal="center"/>
    </xf>
    <xf numFmtId="164" fontId="16" fillId="0" borderId="1" pivotButton="0" quotePrefix="0" xfId="1"/>
    <xf numFmtId="164" fontId="18" fillId="0" borderId="1" pivotButton="0" quotePrefix="0" xfId="1"/>
    <xf numFmtId="164" fontId="13" fillId="0" borderId="1" pivotButton="0" quotePrefix="0" xfId="1"/>
    <xf numFmtId="164" fontId="13" fillId="0" borderId="1" pivotButton="0" quotePrefix="0" xfId="0"/>
    <xf numFmtId="164" fontId="13" fillId="0" borderId="4" pivotButton="0" quotePrefix="1" xfId="1"/>
    <xf numFmtId="164" fontId="13" fillId="0" borderId="0" pivotButton="0" quotePrefix="0" xfId="1"/>
    <xf numFmtId="164" fontId="14" fillId="0" borderId="0" pivotButton="0" quotePrefix="1" xfId="1"/>
    <xf numFmtId="166" fontId="15" fillId="0" borderId="0" pivotButton="0" quotePrefix="1" xfId="1"/>
    <xf numFmtId="164" fontId="13" fillId="0" borderId="0" applyAlignment="1" pivotButton="0" quotePrefix="0" xfId="1">
      <alignment horizontal="center"/>
    </xf>
    <xf numFmtId="164" fontId="13" fillId="0" borderId="0" pivotButton="0" quotePrefix="1" xfId="1"/>
    <xf numFmtId="164" fontId="13" fillId="0" borderId="0" pivotButton="0" quotePrefix="0" xfId="0"/>
    <xf numFmtId="164" fontId="0" fillId="17" borderId="0" pivotButton="0" quotePrefix="0" xfId="1"/>
    <xf numFmtId="164" fontId="13" fillId="0" borderId="0" applyAlignment="1" pivotButton="0" quotePrefix="1" xfId="1">
      <alignment horizontal="center"/>
    </xf>
    <xf numFmtId="164" fontId="13" fillId="3" borderId="0" pivotButton="0" quotePrefix="0" xfId="1"/>
    <xf numFmtId="164" fontId="0" fillId="0" borderId="1" applyAlignment="1" applyProtection="1" pivotButton="0" quotePrefix="0" xfId="1">
      <alignment horizontal="center"/>
      <protection locked="0" hidden="0"/>
    </xf>
    <xf numFmtId="164" fontId="0" fillId="0" borderId="1" applyAlignment="1" applyProtection="1" pivotButton="0" quotePrefix="0" xfId="1">
      <alignment horizontal="center" vertical="center"/>
      <protection locked="0" hidden="0"/>
    </xf>
    <xf numFmtId="164" fontId="0" fillId="0" borderId="0" applyAlignment="1" applyProtection="1" pivotButton="0" quotePrefix="0" xfId="1">
      <alignment horizontal="center"/>
      <protection locked="0" hidden="0"/>
    </xf>
    <xf numFmtId="164" fontId="0" fillId="0" borderId="0" applyAlignment="1" applyProtection="1" pivotButton="0" quotePrefix="0" xfId="1">
      <alignment horizontal="center" vertical="center"/>
      <protection locked="0" hidden="0"/>
    </xf>
    <xf numFmtId="164" fontId="0" fillId="0" borderId="0" pivotButton="0" quotePrefix="0" xfId="0"/>
    <xf numFmtId="164" fontId="0" fillId="3" borderId="0" applyAlignment="1" applyProtection="1" pivotButton="0" quotePrefix="0" xfId="1">
      <alignment horizontal="center"/>
      <protection locked="0" hidden="0"/>
    </xf>
    <xf numFmtId="164" fontId="1" fillId="6" borderId="1" applyAlignment="1" pivotButton="0" quotePrefix="0" xfId="1">
      <alignment horizontal="center" vertical="center"/>
    </xf>
    <xf numFmtId="164" fontId="1" fillId="6" borderId="1" applyAlignment="1" pivotButton="0" quotePrefix="0" xfId="1">
      <alignment horizontal="center" vertical="center" wrapText="1"/>
    </xf>
    <xf numFmtId="164" fontId="17" fillId="0" borderId="1" applyAlignment="1" applyProtection="1" pivotButton="0" quotePrefix="0" xfId="1">
      <alignment horizontal="center"/>
      <protection locked="0" hidden="0"/>
    </xf>
    <xf numFmtId="164" fontId="0" fillId="0" borderId="6" applyAlignment="1" applyProtection="1" pivotButton="0" quotePrefix="0" xfId="1">
      <alignment horizontal="center"/>
      <protection locked="0" hidden="0"/>
    </xf>
    <xf numFmtId="164" fontId="1" fillId="0" borderId="1" applyAlignment="1" pivotButton="0" quotePrefix="0" xfId="1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17" fillId="0" borderId="1" applyAlignment="1" applyProtection="1" pivotButton="0" quotePrefix="0" xfId="1">
      <alignment horizontal="center" vertical="center"/>
      <protection locked="0" hidden="0"/>
    </xf>
    <xf numFmtId="164" fontId="12" fillId="0" borderId="0" applyAlignment="1" applyProtection="1" pivotButton="0" quotePrefix="0" xfId="1">
      <alignment horizontal="center"/>
      <protection locked="0" hidden="0"/>
    </xf>
    <xf numFmtId="164" fontId="12" fillId="0" borderId="0" applyAlignment="1" applyProtection="1" pivotButton="0" quotePrefix="0" xfId="1">
      <alignment horizontal="center" vertical="center"/>
      <protection locked="0" hidden="0"/>
    </xf>
    <xf numFmtId="164" fontId="7" fillId="0" borderId="0" applyAlignment="1" applyProtection="1" pivotButton="0" quotePrefix="0" xfId="1">
      <alignment horizontal="center"/>
      <protection locked="0" hidden="0"/>
    </xf>
    <xf numFmtId="164" fontId="7" fillId="0" borderId="0" applyAlignment="1" applyProtection="1" pivotButton="0" quotePrefix="0" xfId="1">
      <alignment horizontal="center" vertical="center"/>
      <protection locked="0" hidden="0"/>
    </xf>
    <xf numFmtId="164" fontId="1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</cellXfs>
  <cellStyles count="4">
    <cellStyle name="Normal" xfId="0" builtinId="0"/>
    <cellStyle name="Comma" xfId="1" builtinId="3"/>
    <cellStyle name="Percent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tc={CF358390-0FB4-4539-B261-AA636FA94CBB}</author>
    <author>tc={EA3FF905-49E8-41E0-9C0B-C1FFD2334DEE}</author>
  </authors>
  <commentList>
    <comment ref="CJ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Benefit taken from Bonus Calculator</t>
      </text>
    </comment>
    <comment ref="CK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(LE_SI) Benefit derived by calculating 100.1% of total premium paid and subtracting - Base benefit and Rev. Bonus as per Calc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0" sqref="A10"/>
    </sheetView>
  </sheetViews>
  <sheetFormatPr baseColWidth="8" defaultRowHeight="15"/>
  <sheetData>
    <row r="1">
      <c r="A1" t="inlineStr">
        <is>
          <t>DEP</t>
        </is>
      </c>
      <c r="B1" t="inlineStr">
        <is>
          <t>compound revisionary bonus</t>
        </is>
      </c>
    </row>
    <row r="3">
      <c r="A3" s="1" t="inlineStr">
        <is>
          <t>Products Covered in Calc 2</t>
        </is>
      </c>
    </row>
    <row r="4">
      <c r="A4" t="inlineStr">
        <is>
          <t>DEP</t>
        </is>
      </c>
    </row>
    <row r="5">
      <c r="A5" t="inlineStr">
        <is>
          <t>SEP</t>
        </is>
      </c>
    </row>
    <row r="6">
      <c r="A6" t="inlineStr">
        <is>
          <t>END</t>
        </is>
      </c>
    </row>
    <row r="7">
      <c r="A7" t="inlineStr">
        <is>
          <t>CSR</t>
        </is>
      </c>
    </row>
    <row r="8">
      <c r="A8" t="inlineStr">
        <is>
          <t>RBC</t>
        </is>
      </c>
    </row>
    <row r="9">
      <c r="A9" t="inlineStr">
        <is>
          <t>CPF</t>
        </is>
      </c>
    </row>
    <row r="10">
      <c r="A10" t="inlineStr">
        <is>
          <t>CPH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0" sqref="A10"/>
    </sheetView>
  </sheetViews>
  <sheetFormatPr baseColWidth="8" defaultRowHeight="15"/>
  <cols>
    <col width="32.28515625" bestFit="1" customWidth="1" min="1" max="1"/>
    <col width="32.28515625" customWidth="1" min="2" max="2"/>
    <col width="20.85546875" bestFit="1" customWidth="1" min="3" max="3"/>
    <col width="22.28515625" bestFit="1" customWidth="1" min="4" max="4"/>
    <col width="8.85546875" bestFit="1" customWidth="1" min="5" max="5"/>
    <col width="22.28515625" bestFit="1" customWidth="1" min="6" max="6"/>
    <col width="8.85546875" bestFit="1" customWidth="1" min="7" max="7"/>
    <col width="36.42578125" bestFit="1" customWidth="1" min="8" max="8"/>
    <col width="7.140625" bestFit="1" customWidth="1" min="9" max="12"/>
    <col width="32.28515625" bestFit="1" customWidth="1" min="13" max="13"/>
    <col width="20.85546875" bestFit="1" customWidth="1" min="14" max="14"/>
    <col width="22.28515625" bestFit="1" customWidth="1" min="15" max="15"/>
    <col width="8.85546875" bestFit="1" customWidth="1" min="16" max="16"/>
    <col width="22.28515625" bestFit="1" customWidth="1" min="17" max="17"/>
    <col width="8.85546875" bestFit="1" customWidth="1" min="18" max="18"/>
  </cols>
  <sheetData>
    <row r="1">
      <c r="A1" s="18" t="inlineStr">
        <is>
          <t>CSR High SA Additions %</t>
        </is>
      </c>
      <c r="B1" s="18" t="n"/>
    </row>
    <row r="2">
      <c r="A2" s="182" t="inlineStr">
        <is>
          <t>Sum Assured / Policy Term (Yrs.)</t>
        </is>
      </c>
      <c r="B2" s="43" t="n">
        <v>10</v>
      </c>
      <c r="C2" s="43" t="n">
        <v>13</v>
      </c>
      <c r="D2" s="43" t="n">
        <v>16</v>
      </c>
      <c r="E2" s="43" t="n">
        <v>19</v>
      </c>
      <c r="F2" s="43" t="n">
        <v>22</v>
      </c>
    </row>
    <row r="3">
      <c r="A3" s="182" t="n"/>
      <c r="B3" s="43" t="n">
        <v>2</v>
      </c>
      <c r="C3" s="43" t="n">
        <v>3</v>
      </c>
      <c r="D3" s="43" t="n">
        <v>4</v>
      </c>
      <c r="E3" s="43" t="n">
        <v>5</v>
      </c>
      <c r="F3" s="43" t="n">
        <v>6</v>
      </c>
    </row>
    <row r="4">
      <c r="A4" s="183" t="n">
        <v>0</v>
      </c>
      <c r="B4" s="183" t="n">
        <v>0</v>
      </c>
      <c r="C4" s="183" t="n">
        <v>0</v>
      </c>
      <c r="D4" s="183" t="n">
        <v>0</v>
      </c>
      <c r="E4" s="183" t="n">
        <v>0</v>
      </c>
      <c r="F4" s="183" t="n">
        <v>0</v>
      </c>
    </row>
    <row r="5">
      <c r="A5" s="183" t="n">
        <v>250000</v>
      </c>
      <c r="B5" s="21" t="n">
        <v>0.04</v>
      </c>
      <c r="C5" s="21" t="n">
        <v>0.06</v>
      </c>
      <c r="D5" s="21" t="n">
        <v>0.08</v>
      </c>
      <c r="E5" s="21" t="n">
        <v>0.1</v>
      </c>
      <c r="F5" s="21" t="n">
        <v>0.12</v>
      </c>
    </row>
    <row r="6">
      <c r="A6" s="183" t="n">
        <v>500000</v>
      </c>
      <c r="B6" s="21" t="n">
        <v>0.08</v>
      </c>
      <c r="C6" s="21" t="n">
        <v>0.12</v>
      </c>
      <c r="D6" s="21" t="n">
        <v>0.16</v>
      </c>
      <c r="E6" s="21" t="n">
        <v>0.2</v>
      </c>
      <c r="F6" s="21" t="n">
        <v>0.24</v>
      </c>
    </row>
    <row r="8">
      <c r="A8" s="18" t="inlineStr">
        <is>
          <t>RBC Terminal Bonus %</t>
        </is>
      </c>
      <c r="B8" s="18" t="n"/>
    </row>
    <row r="9">
      <c r="A9" s="182" t="inlineStr">
        <is>
          <t>Policy Years / Policy Term (Yrs.)</t>
        </is>
      </c>
      <c r="B9" s="43" t="n">
        <v>10</v>
      </c>
      <c r="C9" s="43" t="n">
        <v>11</v>
      </c>
      <c r="D9" s="43" t="n">
        <v>12</v>
      </c>
      <c r="E9" s="43" t="n">
        <v>13</v>
      </c>
      <c r="F9" s="43" t="n">
        <v>14</v>
      </c>
      <c r="G9" s="43" t="n">
        <v>15</v>
      </c>
    </row>
    <row r="10">
      <c r="A10" s="182" t="n"/>
      <c r="B10" s="43" t="n">
        <v>2</v>
      </c>
      <c r="C10" s="43" t="n">
        <v>3</v>
      </c>
      <c r="D10" s="43" t="n">
        <v>4</v>
      </c>
      <c r="E10" s="43" t="n">
        <v>5</v>
      </c>
      <c r="F10" s="43" t="n">
        <v>6</v>
      </c>
      <c r="G10" s="43" t="n">
        <v>7</v>
      </c>
    </row>
    <row r="11">
      <c r="A11" s="42" t="n">
        <v>10</v>
      </c>
      <c r="B11" s="40" t="n">
        <v>0.176</v>
      </c>
      <c r="C11" s="40" t="n">
        <v>0.2222</v>
      </c>
      <c r="D11" s="40" t="n">
        <v>0.2796</v>
      </c>
      <c r="E11" s="41" t="n">
        <v>0.3484</v>
      </c>
      <c r="F11" s="41" t="n">
        <v>0.4312</v>
      </c>
      <c r="G11" s="41" t="n">
        <v>0.5355</v>
      </c>
    </row>
    <row r="12">
      <c r="A12" s="42" t="n">
        <v>11</v>
      </c>
      <c r="B12" s="44" t="n">
        <v>0</v>
      </c>
      <c r="C12" s="40" t="n">
        <v>0.2222</v>
      </c>
      <c r="D12" s="40" t="n">
        <v>0.2796</v>
      </c>
      <c r="E12" s="41" t="n">
        <v>0.3484</v>
      </c>
      <c r="F12" s="41" t="n">
        <v>0.4312</v>
      </c>
      <c r="G12" s="41" t="n">
        <v>0.5355</v>
      </c>
    </row>
    <row r="13">
      <c r="A13" s="42" t="n">
        <v>12</v>
      </c>
      <c r="B13" s="44" t="n">
        <v>0</v>
      </c>
      <c r="C13" s="44" t="n">
        <v>0</v>
      </c>
      <c r="D13" s="40" t="n">
        <v>0.2796</v>
      </c>
      <c r="E13" s="41" t="n">
        <v>0.3484</v>
      </c>
      <c r="F13" s="41" t="n">
        <v>0.4312</v>
      </c>
      <c r="G13" s="41" t="n">
        <v>0.5355</v>
      </c>
    </row>
    <row r="15">
      <c r="A15" s="29" t="inlineStr">
        <is>
          <t>CPF and CPH (Payout Option)</t>
        </is>
      </c>
      <c r="B15" s="29" t="n"/>
    </row>
    <row r="16">
      <c r="A16" s="165" t="inlineStr">
        <is>
          <t>Sum Assured / Policy Term (Years)</t>
        </is>
      </c>
      <c r="B16" s="184" t="inlineStr">
        <is>
          <t>POLICY PAYOUT TYPE</t>
        </is>
      </c>
      <c r="C16" s="162" t="inlineStr">
        <is>
          <t>High Sum Assured %</t>
        </is>
      </c>
      <c r="D16" s="185" t="n"/>
      <c r="E16" s="185" t="n"/>
      <c r="F16" s="185" t="n"/>
      <c r="G16" s="185" t="n"/>
    </row>
    <row r="17">
      <c r="A17" s="186" t="n"/>
      <c r="B17" s="187" t="n"/>
      <c r="C17" s="50" t="inlineStr">
        <is>
          <t>At Maturity</t>
        </is>
      </c>
      <c r="D17" s="50" t="inlineStr">
        <is>
          <t>2nd year</t>
        </is>
      </c>
      <c r="E17" s="51" t="inlineStr">
        <is>
          <t>3rd Year</t>
        </is>
      </c>
      <c r="F17" s="51" t="inlineStr">
        <is>
          <t>4th Year</t>
        </is>
      </c>
      <c r="G17" s="51" t="inlineStr">
        <is>
          <t>5th Year</t>
        </is>
      </c>
    </row>
    <row r="18">
      <c r="A18" s="32" t="inlineStr">
        <is>
          <t>Self Starter</t>
        </is>
      </c>
      <c r="B18" s="32" t="inlineStr">
        <is>
          <t>SS</t>
        </is>
      </c>
      <c r="C18" s="52" t="inlineStr">
        <is>
          <t>(100%*BSA)+
GA+GMA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5" t="n"/>
    </row>
    <row r="19">
      <c r="A19" s="32" t="inlineStr">
        <is>
          <t>Post Graduation Degree</t>
        </is>
      </c>
      <c r="B19" s="32" t="inlineStr">
        <is>
          <t>PG</t>
        </is>
      </c>
      <c r="C19" s="53" t="inlineStr">
        <is>
          <t>(50%*BSA)
+GA</t>
        </is>
      </c>
      <c r="D19" s="53" t="inlineStr">
        <is>
          <t>(50%*BSA+
GMA) * MDF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5" t="n"/>
    </row>
    <row r="20">
      <c r="A20" s="32" t="inlineStr">
        <is>
          <t>Professional Degree</t>
        </is>
      </c>
      <c r="B20" s="32" t="inlineStr">
        <is>
          <t>PD</t>
        </is>
      </c>
      <c r="C20" s="53" t="inlineStr">
        <is>
          <t>(25%*BSA)
+GA</t>
        </is>
      </c>
      <c r="D20" s="53" t="inlineStr">
        <is>
          <t>25%*BSA</t>
        </is>
      </c>
      <c r="E20" s="53" t="inlineStr">
        <is>
          <t>25%*BSA</t>
        </is>
      </c>
      <c r="F20" s="53" t="inlineStr">
        <is>
          <t>(25%*BSA+
GMA) * MDF</t>
        </is>
      </c>
      <c r="G20" s="52" t="inlineStr">
        <is>
          <t>-</t>
        </is>
      </c>
      <c r="H20" s="55" t="n"/>
    </row>
    <row r="21">
      <c r="A21" s="32" t="inlineStr">
        <is>
          <t>Career 
Starter</t>
        </is>
      </c>
      <c r="B21" s="32" t="inlineStr">
        <is>
          <t>CS</t>
        </is>
      </c>
      <c r="C21" s="53" t="inlineStr">
        <is>
          <t>(20%*BSA)+
GA</t>
        </is>
      </c>
      <c r="D21" s="53" t="inlineStr">
        <is>
          <t>20%*BSA</t>
        </is>
      </c>
      <c r="E21" s="53" t="inlineStr">
        <is>
          <t>20%*BSA</t>
        </is>
      </c>
      <c r="F21" s="53" t="inlineStr">
        <is>
          <t>20%*BSA</t>
        </is>
      </c>
      <c r="G21" s="53" t="inlineStr">
        <is>
          <t>20%*BSA</t>
        </is>
      </c>
      <c r="H21" s="55" t="n"/>
    </row>
    <row r="23">
      <c r="A23" s="164" t="inlineStr">
        <is>
          <t>5.2 The Maturity Deferment Factor (MDF) depends on the policy term and payout option selected at
inception of the Policy. MDF are calculated at 6.25%p.a., are given below</t>
        </is>
      </c>
      <c r="B23" s="188" t="n"/>
      <c r="C23" s="188" t="n"/>
      <c r="D23" s="188" t="n"/>
      <c r="E23" s="189" t="n"/>
    </row>
    <row r="24" ht="30" customHeight="1">
      <c r="A24" s="54" t="inlineStr">
        <is>
          <t>Policy Term/
Payout Option</t>
        </is>
      </c>
      <c r="B24" s="54" t="n"/>
      <c r="C24" s="54" t="inlineStr">
        <is>
          <t>Post Graduation
Degree</t>
        </is>
      </c>
      <c r="D24" s="54" t="inlineStr">
        <is>
          <t>Professional
Degree</t>
        </is>
      </c>
      <c r="E24" s="54" t="inlineStr">
        <is>
          <t>Career
Starter</t>
        </is>
      </c>
    </row>
    <row r="25">
      <c r="A25" s="23" t="n">
        <v>9</v>
      </c>
      <c r="B25" s="23" t="n"/>
      <c r="C25" s="52" t="n">
        <v>1.0625</v>
      </c>
      <c r="D25" s="52" t="n">
        <v>1.3201</v>
      </c>
      <c r="E25" s="52" t="n">
        <v>1.502</v>
      </c>
    </row>
    <row r="26">
      <c r="A26" s="23" t="n">
        <v>10</v>
      </c>
      <c r="B26" s="23" t="n"/>
      <c r="C26" s="52" t="n">
        <v>1.0625</v>
      </c>
      <c r="D26" s="52" t="n">
        <v>1.3148</v>
      </c>
      <c r="E26" s="52" t="n">
        <v>1.4906</v>
      </c>
    </row>
    <row r="27">
      <c r="A27" s="23" t="n">
        <v>11</v>
      </c>
      <c r="B27" s="23" t="n"/>
      <c r="C27" s="52" t="n">
        <v>1.0625</v>
      </c>
      <c r="D27" s="52" t="n">
        <v>1.3098</v>
      </c>
      <c r="E27" s="52" t="n">
        <v>1.4803</v>
      </c>
    </row>
    <row r="28">
      <c r="A28" s="23" t="n">
        <v>12</v>
      </c>
      <c r="B28" s="23" t="n"/>
      <c r="C28" s="52" t="n">
        <v>1.0625</v>
      </c>
      <c r="D28" s="52" t="n">
        <v>1.3053</v>
      </c>
      <c r="E28" s="52" t="n">
        <v>1.471</v>
      </c>
    </row>
    <row r="29">
      <c r="A29" s="23" t="n">
        <v>13</v>
      </c>
      <c r="B29" s="23" t="n"/>
      <c r="C29" s="52" t="n">
        <v>1.0625</v>
      </c>
      <c r="D29" s="52" t="n">
        <v>1.3012</v>
      </c>
      <c r="E29" s="52" t="n">
        <v>1.4624</v>
      </c>
    </row>
    <row r="30">
      <c r="A30" s="23" t="n">
        <v>14</v>
      </c>
      <c r="B30" s="23" t="n"/>
      <c r="C30" s="52" t="n">
        <v>1.0625</v>
      </c>
      <c r="D30" s="52" t="n">
        <v>1.2973</v>
      </c>
      <c r="E30" s="52" t="n">
        <v>1.4546</v>
      </c>
    </row>
    <row r="31">
      <c r="A31" s="23" t="n">
        <v>15</v>
      </c>
      <c r="B31" s="23" t="n"/>
      <c r="C31" s="52" t="n">
        <v>1.0625</v>
      </c>
      <c r="D31" s="52" t="n">
        <v>1.2938</v>
      </c>
      <c r="E31" s="52" t="n">
        <v>1.4474</v>
      </c>
    </row>
    <row r="32">
      <c r="A32" s="23" t="n">
        <v>16</v>
      </c>
      <c r="B32" s="23" t="n"/>
      <c r="C32" s="52" t="n">
        <v>1.0625</v>
      </c>
      <c r="D32" s="52" t="n">
        <v>1.2905</v>
      </c>
      <c r="E32" s="52" t="n">
        <v>1.4407</v>
      </c>
    </row>
    <row r="33">
      <c r="A33" s="23" t="n">
        <v>17</v>
      </c>
      <c r="B33" s="23" t="n"/>
      <c r="C33" s="52" t="n">
        <v>1.0625</v>
      </c>
      <c r="D33" s="52" t="n">
        <v>1.2874</v>
      </c>
      <c r="E33" s="52" t="n">
        <v>1.4346</v>
      </c>
    </row>
    <row r="34">
      <c r="A34" s="23" t="n">
        <v>18</v>
      </c>
      <c r="B34" s="23" t="n"/>
      <c r="C34" s="52" t="n">
        <v>1.0625</v>
      </c>
      <c r="D34" s="52" t="n">
        <v>1.2845</v>
      </c>
      <c r="E34" s="52" t="n">
        <v>1.4289</v>
      </c>
    </row>
    <row r="35">
      <c r="A35" s="23" t="n">
        <v>19</v>
      </c>
      <c r="B35" s="23" t="n"/>
      <c r="C35" s="52" t="n">
        <v>1.0625</v>
      </c>
      <c r="D35" s="52" t="n">
        <v>1.2818</v>
      </c>
      <c r="E35" s="52" t="n">
        <v>1.4235</v>
      </c>
    </row>
    <row r="36">
      <c r="A36" s="23" t="n">
        <v>20</v>
      </c>
      <c r="B36" s="23" t="n"/>
      <c r="C36" s="52" t="n">
        <v>1.0625</v>
      </c>
      <c r="D36" s="52" t="n">
        <v>1.2793</v>
      </c>
      <c r="E36" s="52" t="n">
        <v>1.4186</v>
      </c>
    </row>
    <row r="39">
      <c r="A39" s="58" t="inlineStr">
        <is>
          <t>CSR (as per Policy)</t>
        </is>
      </c>
    </row>
    <row r="40">
      <c r="A40" s="8" t="inlineStr">
        <is>
          <t>Policy Term/ Policy Duration</t>
        </is>
      </c>
      <c r="B40" s="8" t="n">
        <v>4</v>
      </c>
      <c r="C40" s="8" t="n">
        <v>7</v>
      </c>
      <c r="D40" s="8" t="n">
        <v>10</v>
      </c>
      <c r="E40" s="8" t="n">
        <v>13</v>
      </c>
      <c r="F40" s="8" t="n">
        <v>16</v>
      </c>
      <c r="G40" s="8" t="n">
        <v>19</v>
      </c>
    </row>
    <row r="41">
      <c r="A41" s="8" t="n">
        <v>10</v>
      </c>
      <c r="B41" s="44" t="n">
        <v>0.1</v>
      </c>
      <c r="C41" s="44" t="n">
        <v>0.15</v>
      </c>
      <c r="D41" s="8" t="n"/>
      <c r="E41" s="8" t="n"/>
      <c r="F41" s="8" t="n"/>
      <c r="G41" s="8" t="n"/>
    </row>
    <row r="42">
      <c r="A42" s="8" t="n">
        <v>13</v>
      </c>
      <c r="B42" s="44" t="n">
        <v>0.1</v>
      </c>
      <c r="C42" s="44" t="n">
        <v>0.15</v>
      </c>
      <c r="D42" s="44" t="n">
        <v>0.2</v>
      </c>
      <c r="E42" s="8" t="n"/>
      <c r="F42" s="8" t="n"/>
      <c r="G42" s="8" t="n"/>
    </row>
    <row r="43">
      <c r="A43" s="8" t="n">
        <v>16</v>
      </c>
      <c r="B43" s="44" t="n">
        <v>0.1</v>
      </c>
      <c r="C43" s="44" t="n">
        <v>0.15</v>
      </c>
      <c r="D43" s="44" t="n">
        <v>0.2</v>
      </c>
      <c r="E43" s="44" t="n">
        <v>0.25</v>
      </c>
      <c r="F43" s="8" t="n"/>
      <c r="G43" s="8" t="n"/>
    </row>
    <row r="44">
      <c r="A44" s="8" t="n">
        <v>19</v>
      </c>
      <c r="B44" s="44" t="n">
        <v>0.1</v>
      </c>
      <c r="C44" s="44" t="n">
        <v>0.15</v>
      </c>
      <c r="D44" s="44" t="n">
        <v>0.2</v>
      </c>
      <c r="E44" s="44" t="n">
        <v>0.25</v>
      </c>
      <c r="F44" s="44" t="n">
        <v>0.3</v>
      </c>
      <c r="G44" s="8" t="n"/>
    </row>
    <row r="45">
      <c r="A45" s="8" t="n">
        <v>22</v>
      </c>
      <c r="B45" s="44" t="n">
        <v>0.1</v>
      </c>
      <c r="C45" s="44" t="n">
        <v>0.15</v>
      </c>
      <c r="D45" s="44" t="n">
        <v>0.2</v>
      </c>
      <c r="E45" s="44" t="n">
        <v>0.25</v>
      </c>
      <c r="F45" s="44" t="n">
        <v>0.3</v>
      </c>
      <c r="G45" s="44" t="n">
        <v>0.35</v>
      </c>
    </row>
    <row r="46">
      <c r="A46" s="58" t="inlineStr">
        <is>
          <t>CSR (For Calc)</t>
        </is>
      </c>
    </row>
    <row r="47">
      <c r="A47" s="59" t="inlineStr">
        <is>
          <t>Duration</t>
        </is>
      </c>
      <c r="B47" s="59" t="inlineStr">
        <is>
          <t>% of BSA</t>
        </is>
      </c>
    </row>
    <row r="48">
      <c r="A48" s="59" t="n">
        <v>4</v>
      </c>
      <c r="B48" s="60" t="n">
        <v>0.1</v>
      </c>
    </row>
    <row r="49">
      <c r="A49" s="59" t="n">
        <v>7</v>
      </c>
      <c r="B49" s="60" t="n">
        <v>0.15</v>
      </c>
    </row>
    <row r="50">
      <c r="A50" s="59" t="n">
        <v>10</v>
      </c>
      <c r="B50" s="60" t="n">
        <v>0.2</v>
      </c>
    </row>
    <row r="51">
      <c r="A51" s="59" t="n">
        <v>13</v>
      </c>
      <c r="B51" s="60" t="n">
        <v>0.25</v>
      </c>
    </row>
    <row r="52">
      <c r="A52" s="59" t="n">
        <v>16</v>
      </c>
      <c r="B52" s="60" t="n">
        <v>0.3</v>
      </c>
    </row>
    <row r="53">
      <c r="A53" s="59" t="n">
        <v>19</v>
      </c>
      <c r="B53" s="60" t="n">
        <v>0.35</v>
      </c>
    </row>
  </sheetData>
  <mergeCells count="4">
    <mergeCell ref="B16:B17"/>
    <mergeCell ref="C16:G16"/>
    <mergeCell ref="A23:E23"/>
    <mergeCell ref="A16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047809"/>
  <sheetViews>
    <sheetView tabSelected="1" zoomScale="87" workbookViewId="0">
      <pane xSplit="1" ySplit="2" topLeftCell="BB3" activePane="bottomRight" state="frozen"/>
      <selection pane="topRight" activeCell="B1" sqref="B1"/>
      <selection pane="bottomLeft" activeCell="A3" sqref="A3"/>
      <selection pane="bottomRight" activeCell="BC6" sqref="BC6"/>
    </sheetView>
  </sheetViews>
  <sheetFormatPr baseColWidth="8" defaultRowHeight="15"/>
  <cols>
    <col width="12.42578125" bestFit="1" customWidth="1" min="1" max="1"/>
    <col width="10" bestFit="1" customWidth="1" min="2" max="2"/>
    <col hidden="1" width="14.42578125" customWidth="1" min="3" max="3"/>
    <col hidden="1" width="12.7109375" customWidth="1" min="4" max="4"/>
    <col hidden="1" width="13.42578125" customWidth="1" min="5" max="5"/>
    <col hidden="1" width="12" customWidth="1" min="6" max="6"/>
    <col hidden="1" width="8.42578125" customWidth="1" min="7" max="8"/>
    <col hidden="1" width="12.42578125" customWidth="1" min="9" max="9"/>
    <col hidden="1" width="10.85546875" customWidth="1" min="10" max="10"/>
    <col hidden="1" width="8.42578125" customWidth="1" min="11" max="11"/>
    <col hidden="1" width="9.28515625" customWidth="1" min="12" max="12"/>
    <col hidden="1" width="13.7109375" customWidth="1" min="13" max="13"/>
    <col hidden="1" width="13.42578125" customWidth="1" min="14" max="14"/>
    <col hidden="1" width="13.7109375" customWidth="1" min="15" max="15"/>
    <col hidden="1" width="9.28515625" customWidth="1" min="16" max="16"/>
    <col hidden="1" width="12.42578125" customWidth="1" min="17" max="19"/>
    <col hidden="1" width="12.7109375" customWidth="1" min="20" max="20"/>
    <col hidden="1" width="10" customWidth="1" min="21" max="21"/>
    <col hidden="1" width="19.140625" customWidth="1" style="2" min="22" max="23"/>
    <col hidden="1" width="14" customWidth="1" min="24" max="24"/>
    <col hidden="1" width="10.140625" customWidth="1" min="25" max="25"/>
    <col width="11.42578125" bestFit="1" customWidth="1" min="26" max="26"/>
    <col width="13.28515625" bestFit="1" customWidth="1" min="27" max="27"/>
    <col width="28.85546875" bestFit="1" customWidth="1" min="28" max="28"/>
    <col width="13" bestFit="1" customWidth="1" min="29" max="29"/>
    <col width="14" bestFit="1" customWidth="1" min="30" max="30"/>
    <col width="14.7109375" bestFit="1" customWidth="1" min="31" max="31"/>
    <col width="12.28515625" bestFit="1" customWidth="1" style="2" min="32" max="32"/>
    <col width="14.85546875" bestFit="1" customWidth="1" style="2" min="33" max="34"/>
    <col width="16" bestFit="1" customWidth="1" style="2" min="35" max="35"/>
    <col width="11" bestFit="1" customWidth="1" style="2" min="36" max="37"/>
    <col width="11.28515625" bestFit="1" customWidth="1" min="38" max="38"/>
    <col width="16.7109375" bestFit="1" customWidth="1" min="39" max="39"/>
    <col width="15.42578125" bestFit="1" customWidth="1" min="40" max="40"/>
    <col width="17.28515625" bestFit="1" customWidth="1" min="41" max="41"/>
    <col width="23.140625" bestFit="1" customWidth="1" min="42" max="42"/>
    <col width="27" bestFit="1" customWidth="1" min="43" max="43"/>
    <col width="21.140625" bestFit="1" customWidth="1" min="44" max="44"/>
    <col width="28.42578125" bestFit="1" customWidth="1" min="45" max="45"/>
    <col width="15.42578125" bestFit="1" customWidth="1" style="190" min="46" max="46"/>
    <col width="17.42578125" bestFit="1" customWidth="1" min="47" max="47"/>
    <col width="18.42578125" bestFit="1" customWidth="1" min="48" max="48"/>
    <col width="15.42578125" bestFit="1" customWidth="1" min="49" max="49"/>
    <col width="35.85546875" bestFit="1" customWidth="1" min="50" max="50"/>
    <col width="22.7109375" bestFit="1" customWidth="1" min="51" max="51"/>
    <col width="38.42578125" bestFit="1" customWidth="1" min="52" max="52"/>
    <col width="17.28515625" bestFit="1" customWidth="1" min="53" max="53"/>
    <col width="17.140625" customWidth="1" min="54" max="56"/>
    <col width="1.140625" customWidth="1" min="57" max="57"/>
    <col width="14.85546875" bestFit="1" customWidth="1" min="58" max="58"/>
    <col width="13.28515625" bestFit="1" customWidth="1" min="59" max="59"/>
    <col width="12.42578125" bestFit="1" customWidth="1" min="60" max="60"/>
    <col width="18.42578125" bestFit="1" customWidth="1" min="61" max="61"/>
    <col width="15.7109375" bestFit="1" customWidth="1" min="62" max="62"/>
    <col width="15.42578125" customWidth="1" min="63" max="69"/>
    <col width="19" customWidth="1" min="70" max="70"/>
    <col width="17.28515625" bestFit="1" customWidth="1" min="71" max="71"/>
    <col width="24.85546875" bestFit="1" customWidth="1" min="72" max="72"/>
    <col width="24.7109375" customWidth="1" min="73" max="75"/>
    <col width="19" bestFit="1" customWidth="1" min="76" max="76"/>
    <col width="18.85546875" customWidth="1" min="77" max="91"/>
    <col width="1.42578125" customWidth="1" min="92" max="92"/>
    <col width="14.140625" customWidth="1" min="93" max="93"/>
    <col width="22.42578125" customWidth="1" min="94" max="101"/>
    <col hidden="1" width="23" customWidth="1" min="102" max="102"/>
    <col width="9.140625" bestFit="1" customWidth="1" min="105" max="105"/>
  </cols>
  <sheetData>
    <row r="1">
      <c r="Z1" t="inlineStr">
        <is>
          <t>x</t>
        </is>
      </c>
      <c r="AH1" s="2" t="inlineStr">
        <is>
          <t>x</t>
        </is>
      </c>
      <c r="AT1" s="190" t="n"/>
      <c r="BL1" s="191" t="inlineStr">
        <is>
          <t>to update &gt;&gt;&gt;&gt;</t>
        </is>
      </c>
      <c r="BM1" s="75" t="n">
        <v>46112</v>
      </c>
      <c r="BN1" s="192" t="n">
        <v>0.0825</v>
      </c>
      <c r="BO1" s="193" t="n"/>
      <c r="BP1" s="193" t="n"/>
      <c r="BQ1" s="193" t="n"/>
      <c r="CO1" s="1" t="n"/>
    </row>
    <row r="2" ht="75" customFormat="1" customHeight="1" s="39">
      <c r="A2" s="45" t="inlineStr">
        <is>
          <t>Dummypol</t>
        </is>
      </c>
      <c r="B2" s="45" t="inlineStr">
        <is>
          <t>STATUS</t>
        </is>
      </c>
      <c r="C2" s="45" t="inlineStr">
        <is>
          <t>LE_LP_AMT</t>
        </is>
      </c>
      <c r="D2" s="45" t="inlineStr">
        <is>
          <t>LE_ME</t>
        </is>
      </c>
      <c r="E2" s="45" t="inlineStr">
        <is>
          <t>LE_RY</t>
        </is>
      </c>
      <c r="F2" s="45" t="inlineStr">
        <is>
          <t>LE_SI</t>
        </is>
      </c>
      <c r="G2" s="45" t="inlineStr">
        <is>
          <t>LE_IM</t>
        </is>
      </c>
      <c r="H2" s="45" t="inlineStr">
        <is>
          <t>LE_PA</t>
        </is>
      </c>
      <c r="I2" s="45" t="inlineStr">
        <is>
          <t>LE_BT</t>
        </is>
      </c>
      <c r="J2" s="45" t="inlineStr">
        <is>
          <t>LE_LY</t>
        </is>
      </c>
      <c r="K2" s="45" t="inlineStr">
        <is>
          <t>LE_FE</t>
        </is>
      </c>
      <c r="L2" s="45" t="inlineStr">
        <is>
          <t>LE_GM</t>
        </is>
      </c>
      <c r="M2" s="47" t="inlineStr">
        <is>
          <t>LN_LO_AMT</t>
        </is>
      </c>
      <c r="N2" s="47" t="inlineStr">
        <is>
          <t>LN_LA_AMT</t>
        </is>
      </c>
      <c r="O2" s="47" t="inlineStr">
        <is>
          <t>LN_LI_AMT</t>
        </is>
      </c>
      <c r="P2" s="45" t="inlineStr">
        <is>
          <t>LE_MC</t>
        </is>
      </c>
      <c r="Q2" s="45" t="inlineStr">
        <is>
          <t>LP_S</t>
        </is>
      </c>
      <c r="R2" s="45" t="inlineStr">
        <is>
          <t>LP_MS</t>
        </is>
      </c>
      <c r="S2" s="45" t="inlineStr">
        <is>
          <t>LE_SB</t>
        </is>
      </c>
      <c r="T2" s="45" t="inlineStr">
        <is>
          <t>ASGNNUM</t>
        </is>
      </c>
      <c r="U2" s="45" t="inlineStr">
        <is>
          <t>NATLTY</t>
        </is>
      </c>
      <c r="V2" s="46" t="inlineStr">
        <is>
          <t>ISSDATE</t>
        </is>
      </c>
      <c r="W2" s="46" t="inlineStr">
        <is>
          <t>FIRSTISSDT</t>
        </is>
      </c>
      <c r="X2" s="45" t="inlineStr">
        <is>
          <t>PREMIUM01</t>
        </is>
      </c>
      <c r="Y2" s="45" t="inlineStr">
        <is>
          <t>SA</t>
        </is>
      </c>
      <c r="Z2" s="45" t="inlineStr">
        <is>
          <t>CNTTYPE</t>
        </is>
      </c>
      <c r="AA2" s="45" t="inlineStr">
        <is>
          <t>CATEGORY</t>
        </is>
      </c>
      <c r="AB2" s="45" t="inlineStr">
        <is>
          <t>PROD_NAME</t>
        </is>
      </c>
      <c r="AC2" s="45" t="inlineStr">
        <is>
          <t>RISK TERM</t>
        </is>
      </c>
      <c r="AD2" s="45" t="inlineStr">
        <is>
          <t>PREM TERM</t>
        </is>
      </c>
      <c r="AE2" s="45" t="inlineStr">
        <is>
          <t>FREQUENCY</t>
        </is>
      </c>
      <c r="AF2" s="46" t="inlineStr">
        <is>
          <t>RCDDATE</t>
        </is>
      </c>
      <c r="AG2" s="46" t="inlineStr">
        <is>
          <t>PAIDTODATE</t>
        </is>
      </c>
      <c r="AH2" s="46" t="inlineStr">
        <is>
          <t>RISKCESDTE</t>
        </is>
      </c>
      <c r="AI2" s="46" t="inlineStr">
        <is>
          <t>PREMCESDTE</t>
        </is>
      </c>
      <c r="AJ2" s="46" t="inlineStr">
        <is>
          <t>CLTDOB</t>
        </is>
      </c>
      <c r="AK2" s="46" t="inlineStr">
        <is>
          <t>CLTDOD</t>
        </is>
      </c>
      <c r="AL2" s="45" t="inlineStr">
        <is>
          <t>ZPANVAL</t>
        </is>
      </c>
      <c r="AM2" s="45" t="inlineStr">
        <is>
          <t>ANP_PREMIUM</t>
        </is>
      </c>
      <c r="AN2" s="45" t="inlineStr">
        <is>
          <t>STMPDTYAMT</t>
        </is>
      </c>
      <c r="AO2" s="45" t="inlineStr">
        <is>
          <t>INSTPREM_GST</t>
        </is>
      </c>
      <c r="AP2" s="45" t="inlineStr">
        <is>
          <t>INSTPREM_WITH_GST</t>
        </is>
      </c>
      <c r="AQ2" s="45" t="inlineStr">
        <is>
          <t>INSTPREM_WITHOUT_GST</t>
        </is>
      </c>
      <c r="AR2" s="45" t="inlineStr">
        <is>
          <t>PLAN_COMPONENT</t>
        </is>
      </c>
      <c r="AS2" s="45" t="inlineStr">
        <is>
          <t>COMPONENT_DESC</t>
        </is>
      </c>
      <c r="AT2" s="194" t="inlineStr">
        <is>
          <t>ORIGINAL_SA</t>
        </is>
      </c>
      <c r="AU2" s="45" t="inlineStr">
        <is>
          <t>ASSIGNEE FLAG</t>
        </is>
      </c>
      <c r="AV2" s="45" t="inlineStr">
        <is>
          <t>LITIGATION FLAG</t>
        </is>
      </c>
      <c r="AW2" s="45" t="inlineStr">
        <is>
          <t>CURRENT_SA</t>
        </is>
      </c>
      <c r="AX2" s="45" t="inlineStr">
        <is>
          <t>ACCUMLATION ACCOUNT BALANCE</t>
        </is>
      </c>
      <c r="AY2" s="45" t="inlineStr">
        <is>
          <t>POLICY PAYOUT TYPE</t>
        </is>
      </c>
      <c r="AZ2" s="45" t="inlineStr">
        <is>
          <t>ADDITIONAL_ACCUMLATION_ACC_BAL</t>
        </is>
      </c>
      <c r="BA2" s="45" t="inlineStr">
        <is>
          <t>AGE LAST BDAY</t>
        </is>
      </c>
      <c r="BB2" s="45" t="inlineStr">
        <is>
          <t>BASE_PREMIUM_AMT</t>
        </is>
      </c>
      <c r="BC2" s="45" t="inlineStr">
        <is>
          <t>X_LOADED_PREM_AMT</t>
        </is>
      </c>
      <c r="BD2" s="45" t="inlineStr">
        <is>
          <t>MODAL_FACTOR</t>
        </is>
      </c>
      <c r="BF2" s="47" t="inlineStr">
        <is>
          <t>Status</t>
        </is>
      </c>
      <c r="BG2" s="47" t="inlineStr">
        <is>
          <t>Policy Year</t>
        </is>
      </c>
      <c r="BH2" s="47" t="inlineStr">
        <is>
          <t>PPT * Freq</t>
        </is>
      </c>
      <c r="BI2" s="47" t="inlineStr">
        <is>
          <t>Prem Paid * Freq</t>
        </is>
      </c>
      <c r="BJ2" s="47" t="inlineStr">
        <is>
          <t>Paidup Factor</t>
        </is>
      </c>
      <c r="BK2" s="56" t="inlineStr">
        <is>
          <t>Annualised premium
CSR, END</t>
        </is>
      </c>
      <c r="BL2" s="48" t="inlineStr">
        <is>
          <t>Updated SA</t>
        </is>
      </c>
      <c r="BM2" s="72" t="inlineStr">
        <is>
          <t>For Current Month Accrued Loan Interest</t>
        </is>
      </c>
      <c r="BN2" s="48" t="inlineStr">
        <is>
          <t>Updated LN_LA</t>
        </is>
      </c>
      <c r="BO2" s="92" t="inlineStr">
        <is>
          <t>Premium Paid Years</t>
        </is>
      </c>
      <c r="BP2" s="92" t="inlineStr">
        <is>
          <t>Lapsed Death Case</t>
        </is>
      </c>
      <c r="BQ2" s="64" t="inlineStr">
        <is>
          <t>Policy Inforce Tenure for CPF and CPH</t>
        </is>
      </c>
      <c r="BR2" s="64" t="inlineStr">
        <is>
          <t>Benefit Calculator Option basis policy payout option (Applicable for CPF &amp; CPH)</t>
        </is>
      </c>
      <c r="BS2" s="64" t="inlineStr">
        <is>
          <t>GA (Applicable for CPF &amp; CPH)</t>
        </is>
      </c>
      <c r="BT2" s="64" t="inlineStr">
        <is>
          <t>GMA (Applicable for CPF &amp; CPH)</t>
        </is>
      </c>
      <c r="BU2" s="64" t="inlineStr">
        <is>
          <t>Base Benefit (Applicable for CPF &amp; CPH)</t>
        </is>
      </c>
      <c r="BV2" s="65" t="inlineStr">
        <is>
          <t>Maturity Benefit TOTAL 
(CPH &amp; CPF)</t>
        </is>
      </c>
      <c r="BW2" s="66" t="inlineStr">
        <is>
          <t>Guaranteed Additions (Applicable for RBC)</t>
        </is>
      </c>
      <c r="BX2" s="66" t="inlineStr">
        <is>
          <t>Terminal Bonus (Applicable for RBC)</t>
        </is>
      </c>
      <c r="BY2" s="67" t="inlineStr">
        <is>
          <t>Rev. Bonus for RBC</t>
        </is>
      </c>
      <c r="BZ2" s="66" t="inlineStr">
        <is>
          <t>Maturity Benefit 
RBC</t>
        </is>
      </c>
      <c r="CA2" s="68" t="inlineStr">
        <is>
          <t>Rev. Bonus for DEP</t>
        </is>
      </c>
      <c r="CB2" s="69" t="inlineStr">
        <is>
          <t>Maturity Benefit 
DEP</t>
        </is>
      </c>
      <c r="CC2" s="70" t="inlineStr">
        <is>
          <t>SA Due or Rev. Bonus Due 
 SEP</t>
        </is>
      </c>
      <c r="CD2" s="70" t="inlineStr">
        <is>
          <t>Maturity Benefit or Rev. Bonus  Amount for SEP</t>
        </is>
      </c>
      <c r="CE2" s="56" t="inlineStr">
        <is>
          <t>Rev. Bonus 
 CSR</t>
        </is>
      </c>
      <c r="CF2" s="49" t="inlineStr">
        <is>
          <t>High SA Additions Amt (Applicable for CSR)</t>
        </is>
      </c>
      <c r="CG2" s="49" t="inlineStr">
        <is>
          <t>Maturity Benefit 
CSR</t>
        </is>
      </c>
      <c r="CH2" s="49" t="inlineStr">
        <is>
          <t>CSR SB Paid</t>
        </is>
      </c>
      <c r="CI2" s="49" t="inlineStr">
        <is>
          <t>100.1% CSR</t>
        </is>
      </c>
      <c r="CJ2" s="71" t="inlineStr">
        <is>
          <t xml:space="preserve">Rev. Bonus for END (1) (LE_RY) </t>
        </is>
      </c>
      <c r="CK2" s="62" t="inlineStr">
        <is>
          <t>100.1 condition bonus (2)(LE_SI)</t>
        </is>
      </c>
      <c r="CL2" s="62" t="inlineStr">
        <is>
          <t>Maturity Benefit 
END</t>
        </is>
      </c>
      <c r="CM2" s="62" t="inlineStr">
        <is>
          <t>Benefit Payable - 100.1% of TPP 
(Applicable for End)</t>
        </is>
      </c>
      <c r="CO2" s="69" t="n"/>
      <c r="CP2" s="63" t="n"/>
      <c r="CQ2" s="61" t="n"/>
      <c r="CR2" s="61" t="n"/>
      <c r="CS2" s="61" t="n"/>
      <c r="CT2" s="61" t="n"/>
      <c r="CU2" s="61" t="n"/>
      <c r="CV2" s="61" t="n"/>
      <c r="CW2" s="61" t="n"/>
      <c r="CX2" s="56" t="inlineStr">
        <is>
          <t>Total Maturity Benefit (inclusive of Rev. Bonus wherever applicable)</t>
        </is>
      </c>
    </row>
    <row r="3">
      <c r="A3" s="121" t="inlineStr">
        <is>
          <t>test1010736</t>
        </is>
      </c>
      <c r="B3" s="8" t="inlineStr">
        <is>
          <t>IF</t>
        </is>
      </c>
      <c r="C3" s="8" t="n">
        <v>-154413</v>
      </c>
      <c r="D3" s="8" t="n"/>
      <c r="E3" s="8" t="n">
        <v>-68913.28999999999</v>
      </c>
      <c r="F3" s="8" t="n">
        <v>-2755</v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>
        <v>-0.86</v>
      </c>
      <c r="R3" s="8" t="n"/>
      <c r="S3" s="8" t="n">
        <v>2755</v>
      </c>
      <c r="T3" s="8" t="n"/>
      <c r="U3" s="8" t="inlineStr">
        <is>
          <t>IND</t>
        </is>
      </c>
      <c r="V3" s="8" t="inlineStr">
        <is>
          <t>01APR2005:00:00:00</t>
        </is>
      </c>
      <c r="W3" s="122" t="n">
        <v>38443</v>
      </c>
      <c r="X3" s="8" t="n">
        <v>7038</v>
      </c>
      <c r="Y3" s="8" t="n">
        <v>300000</v>
      </c>
      <c r="Z3" s="8" t="inlineStr">
        <is>
          <t>DEP</t>
        </is>
      </c>
      <c r="AA3" s="8" t="inlineStr">
        <is>
          <t>TRADITIONAL</t>
        </is>
      </c>
      <c r="AB3" s="8" t="inlineStr">
        <is>
          <t>Endowment Plan (Regular)</t>
        </is>
      </c>
      <c r="AC3" s="8" t="n">
        <v>21</v>
      </c>
      <c r="AD3" s="8" t="n">
        <v>21</v>
      </c>
      <c r="AE3" s="8" t="n">
        <v>1</v>
      </c>
      <c r="AF3" s="122" t="n">
        <v>38443</v>
      </c>
      <c r="AG3" s="122" t="n">
        <v>46113</v>
      </c>
      <c r="AH3" s="122" t="n">
        <v>46113</v>
      </c>
      <c r="AI3" s="122" t="n">
        <v>46113</v>
      </c>
      <c r="AJ3" s="122" t="n">
        <v>24601</v>
      </c>
      <c r="AK3" s="8" t="n"/>
      <c r="AL3" s="8" t="n"/>
      <c r="AM3" s="8" t="n">
        <v>0</v>
      </c>
      <c r="AN3" s="8" t="n"/>
      <c r="AO3" s="8" t="n">
        <v>0</v>
      </c>
      <c r="AP3" s="8" t="n">
        <v>0</v>
      </c>
      <c r="AQ3" s="8" t="n">
        <v>0</v>
      </c>
      <c r="AR3" s="8" t="inlineStr">
        <is>
          <t>DEP1</t>
        </is>
      </c>
      <c r="AS3" s="8" t="inlineStr">
        <is>
          <t>Endowment Plan (Regular)</t>
        </is>
      </c>
      <c r="AT3" s="8" t="n">
        <v>150000</v>
      </c>
      <c r="AU3" s="8" t="inlineStr">
        <is>
          <t>NO</t>
        </is>
      </c>
      <c r="AV3" s="8" t="n"/>
      <c r="AW3" s="8" t="n">
        <v>150000</v>
      </c>
      <c r="AX3" s="8" t="n"/>
      <c r="AY3" s="8" t="n"/>
      <c r="AZ3" s="8" t="n"/>
      <c r="BA3" s="8" t="n">
        <v>59</v>
      </c>
      <c r="BB3" s="8" t="n">
        <v>7038</v>
      </c>
      <c r="BC3" s="8" t="n">
        <v>231</v>
      </c>
      <c r="BD3" s="8" t="n"/>
      <c r="BF3" s="79">
        <f>B3</f>
        <v/>
      </c>
      <c r="BG3" s="79">
        <f>DATEDIF(AF3,AH3,"Y")</f>
        <v/>
      </c>
      <c r="BH3" s="79">
        <f>AD3*AE3</f>
        <v/>
      </c>
      <c r="BI3" s="79">
        <f>ROUND((AG3-AF3)/365*AE3,0)</f>
        <v/>
      </c>
      <c r="BJ3" s="80">
        <f>BI3/BH3</f>
        <v/>
      </c>
      <c r="BK3" s="195">
        <f t="array" ref="BK3">IF(Z3="CSR",_xlfn.IFS(AE3=1,BB3,AE3=2,BB3/0.52,AE3=4,BB3/0.265,AE3=12,BB3/0.0834),IF(Z3="END",_xlfn.IFS(AE3=1,BB3,AE3=2,BB3/0.51,AE3=4,BB3/0.26,AE3=12,BB3/0.0834),0))</f>
        <v/>
      </c>
      <c r="BL3" s="82">
        <f>IF(BF3="IF",AT3,IF(BF3="PU",AT3*BI3/BH3,IF(BF3="PM",AT3*BI3/BH3,"")))</f>
        <v/>
      </c>
      <c r="BM3" s="196">
        <f>IF(AH3 &lt;= $BM$1,0,(M3+ N3)*((1 + $BN$1)^((AH3-$BM$1)/365)-1))</f>
        <v/>
      </c>
      <c r="BN3" s="196">
        <f>N3+BM3</f>
        <v/>
      </c>
      <c r="BO3" s="197">
        <f>ROUNDDOWN(DATEDIF(AF3,AG3,"Y"),0)</f>
        <v/>
      </c>
      <c r="BP3" s="161">
        <f>IF(B3&lt;&gt;"DH","NA",IF(AND(BO3&lt;3,AG3+IF(AE3&lt;&gt;12,30,15)&lt;AK3),"Lapsed Death",IF(AG3+IF(AE3&lt;&gt;12,30,15)&gt;=AK3,"Inforce Death","Paidup Death")))</f>
        <v/>
      </c>
      <c r="BQ3" s="82">
        <f>ROUND((AG3-AF3)/365,0)</f>
        <v/>
      </c>
      <c r="BR3" s="198">
        <f>IF(OR(Z3="CPF",Z3="CPH"),VLOOKUP(AY3,'Rate Table'!$B$16:$G$21,2,FALSE),0)</f>
        <v/>
      </c>
      <c r="BS3" s="198">
        <f>IF(OR(Z3="CPF", Z3="CPH"),IF(BF3="IF",2%*AT3*AC3,IF(BF3="PU",2%*AT3*BQ3,0)),0)</f>
        <v/>
      </c>
      <c r="BT3" s="198">
        <f>IF(AND(OR(Z3="CPF",Z3="CPH"),AY3="SS",BF3="IF"),2%*AT3*AC3,0)</f>
        <v/>
      </c>
      <c r="BU3" s="198">
        <f t="array" ref="BU3">IF(AND(OR(Z3="CPF",Z3="CPH"),OR(BF3="IF",BF3="PU")),_xlfn.IFS(AY3="CS",0.2*BL3,AY3="SS",1*BL3,AY3="PD",0.25*BL3,AY3="PG",0.5*BL3),0)</f>
        <v/>
      </c>
      <c r="BV3" s="195">
        <f>_xlfn.IFNA(IF(AND(OR(Z3="CPH",Z3="CPF"),OR(BF3="IF",BF3="PU"),BL3&lt;&gt;""),(SUM(BS3:BU3)),0),0)</f>
        <v/>
      </c>
      <c r="BW3" s="198">
        <f>IF(AND(Z3="RBC",BF3="IF"),7%*AT3*AD3,IF(AND(Z3="RBC",BF3="PU"),7%*AT3*AD3*BJ3,0))</f>
        <v/>
      </c>
      <c r="BX3" s="198">
        <f>IF(AND(Z3="RBC",BF3="IF"),VLOOKUP(AC3,'Rate Table'!$A$9:$G$13,HLOOKUP(DATEDIF('MAINCPF CPH DEP SEP END RBC CSR'!AF3,'MAINCPF CPH DEP SEP END RBC CSR'!AH3, "Y"),'Rate Table'!$B$9:$G$10,2,FALSE),FALSE)*'MAINCPF CPH DEP SEP END RBC CSR'!BL3,0)</f>
        <v/>
      </c>
      <c r="BY3" s="199">
        <f>IF($Z3="RBC",VLOOKUP(A3,'RBC_BONUS CALC'!A:AL,38,FALSE),0)</f>
        <v/>
      </c>
      <c r="BZ3" s="86">
        <f>IF(AND(Z3="RBC",OR(BF3="IF",BF3="PU"),BL3&lt;&gt;""),BL3,0)</f>
        <v/>
      </c>
      <c r="CA3" s="200">
        <f>IF($Z3="DEP",VLOOKUP(A3,'DEP_BONUS CALC'!A:AK,37,0),0)</f>
        <v/>
      </c>
      <c r="CB3" s="195">
        <f>IF(AND(Z3="DEP",OR(BF3="IF",BF3="PU"),BL3&lt;&gt;""),BL3,0)</f>
        <v/>
      </c>
      <c r="CC3" s="80">
        <f>IF(Z3="SEP",IF(BG3=AC3,"Rev. Bonus Due",IF(AD3=BG3,"Sum Assured Due","NA")),"NA")</f>
        <v/>
      </c>
      <c r="CD3" s="201">
        <f t="array" ref="CD3">IF(Z3="SEP",_xlfn.IFS(CC3="Rev. Bonus Due",VLOOKUP(A3,'SEP_BONUS CALC'!A:AL,38,0),CC3="Sum Assured Due",BL3,CC3="NA",0),)</f>
        <v/>
      </c>
      <c r="CE3" s="200">
        <f>IF($Z3="CSR",VLOOKUP(A3,'CSR_BONUS CALC'!A:AK,37,FALSE),0)</f>
        <v/>
      </c>
      <c r="CF3" s="198">
        <f>IF(Z3&lt;&gt;"CSR","0%",VLOOKUP(AT3,'Rate Table'!$A$2:$F$6,HLOOKUP('MAINCPF CPH DEP SEP END RBC CSR'!AC3,'Rate Table'!$B$2:$F$3,2,FALSE),TRUE))*BL3</f>
        <v/>
      </c>
      <c r="CG3" s="195">
        <f>IF(AND(Z3="CSR",OR(BF3="IF",BF3="PU"),BL3&lt;&gt;""),CF3+BL3,0)</f>
        <v/>
      </c>
      <c r="CH3" s="198">
        <f t="array" ref="CH3">IF(AND(Z3="CSR",B3="IF"),_xlfn.IFS(AC3=10,AT3*25%,AC3=13,AT3*45%,AC3=16,AT3*70%,AC3=19,AT3*100%,AC3=22,AT3*135%),0)</f>
        <v/>
      </c>
      <c r="CI3" s="195">
        <f>IF(AND(Z3="CSR",BF3="IF"),IF(((BK3*AD3*100.1%)-CH3)&gt;(CE3+CF3+CG3),((BK3*AD3*100.1%)-CH3)-(CE3+CF3+CG3),0),0)</f>
        <v/>
      </c>
      <c r="CJ3" s="200">
        <f>IF($Z3="END",VLOOKUP(A3,'END_BONUS CALC'!A:AK,37,0),0)</f>
        <v/>
      </c>
      <c r="CK3" s="195">
        <f>IF(AND(Z3="END",BF3="IF"),IF(((BK3*AD3*100.1%)&gt;(CJ3+CL3)),((BK3*AD3*100.1%)-(CJ3+CL3)),0),0)</f>
        <v/>
      </c>
      <c r="CL3" s="195">
        <f>IF(AND(Z3="END",OR(BF3="IF",BF3="PU"),BL3&lt;&gt;""),BL3,0)</f>
        <v/>
      </c>
      <c r="CM3" s="195">
        <f>IF(AND(Z3="END",BF3="IF"),MAX(CJ3+CK3+CL3,-C3*100.1%),IF(AND(Z3="END",BF3="PU"),SUM(CJ3+CK3+CL3)-Q3-SUM(M3:O3),0))</f>
        <v/>
      </c>
      <c r="CN3" s="78" t="n"/>
      <c r="CO3" s="202">
        <f>BN3</f>
        <v/>
      </c>
      <c r="CP3" s="201">
        <f>BS3+BW3</f>
        <v/>
      </c>
      <c r="CQ3" s="201">
        <f>BT3</f>
        <v/>
      </c>
      <c r="CR3" s="201">
        <f>IF(AND(Z3="SEP",BL3="Sum Assured Due"),0,BY3+CA3+CD3+CE3+CJ3)</f>
        <v/>
      </c>
      <c r="CS3" s="201" t="n">
        <v>0</v>
      </c>
      <c r="CT3" s="201">
        <f>BX3</f>
        <v/>
      </c>
      <c r="CU3" s="201">
        <f>IF(AND(Z3="SEP",CC3="Rev. Bonus Due"),0,BU3+BZ3+CB3+CD3+CG3+CL3)</f>
        <v/>
      </c>
      <c r="CV3" s="201">
        <f>CI3+CK3</f>
        <v/>
      </c>
      <c r="CW3" s="201">
        <f>SUM(CP3:CV3)-Q3-SUM(M3+CO3)</f>
        <v/>
      </c>
      <c r="CX3" s="195">
        <f>SUM(BS3:CN3)-Q3-SUM(M3:O3)</f>
        <v/>
      </c>
    </row>
    <row r="4">
      <c r="A4" s="121" t="inlineStr">
        <is>
          <t>test1010739</t>
        </is>
      </c>
      <c r="B4" s="8" t="inlineStr">
        <is>
          <t>PU</t>
        </is>
      </c>
      <c r="C4" s="8" t="n">
        <v>-18364</v>
      </c>
      <c r="D4" s="8" t="n"/>
      <c r="E4" s="8" t="n">
        <v>-8811.209999999999</v>
      </c>
      <c r="F4" s="8" t="n">
        <v>-1836.67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>
        <v>-44.25</v>
      </c>
      <c r="R4" s="8" t="n"/>
      <c r="S4" s="8" t="n">
        <v>1836.67</v>
      </c>
      <c r="T4" s="8" t="n"/>
      <c r="U4" s="8" t="inlineStr">
        <is>
          <t>IND</t>
        </is>
      </c>
      <c r="V4" s="8" t="inlineStr">
        <is>
          <t>01APR2005:00:00:00</t>
        </is>
      </c>
      <c r="W4" s="122" t="n">
        <v>38443</v>
      </c>
      <c r="X4" s="8" t="n">
        <v>4491</v>
      </c>
      <c r="Y4" s="8" t="n">
        <v>119047.6</v>
      </c>
      <c r="Z4" s="8" t="inlineStr">
        <is>
          <t>DEP</t>
        </is>
      </c>
      <c r="AA4" s="8" t="inlineStr">
        <is>
          <t>TRADITIONAL</t>
        </is>
      </c>
      <c r="AB4" s="8" t="inlineStr">
        <is>
          <t>Endowment Plan (Regular)</t>
        </is>
      </c>
      <c r="AC4" s="8" t="n">
        <v>21</v>
      </c>
      <c r="AD4" s="8" t="n">
        <v>21</v>
      </c>
      <c r="AE4" s="8" t="n">
        <v>1</v>
      </c>
      <c r="AF4" s="122" t="n">
        <v>38443</v>
      </c>
      <c r="AG4" s="122" t="n">
        <v>39904</v>
      </c>
      <c r="AH4" s="122" t="n">
        <v>46113</v>
      </c>
      <c r="AI4" s="122" t="n">
        <v>46113</v>
      </c>
      <c r="AJ4" s="122" t="n">
        <v>30502</v>
      </c>
      <c r="AK4" s="8" t="n"/>
      <c r="AL4" s="8" t="n"/>
      <c r="AM4" s="8" t="n">
        <v>4591</v>
      </c>
      <c r="AN4" s="8" t="n"/>
      <c r="AO4" s="8" t="n">
        <v>4591</v>
      </c>
      <c r="AP4" s="8" t="n">
        <v>4591</v>
      </c>
      <c r="AQ4" s="8" t="n">
        <v>0</v>
      </c>
      <c r="AR4" s="8" t="inlineStr">
        <is>
          <t>DEP1</t>
        </is>
      </c>
      <c r="AS4" s="8" t="inlineStr">
        <is>
          <t>Endowment Plan (Regular)</t>
        </is>
      </c>
      <c r="AT4" s="8" t="n">
        <v>100000</v>
      </c>
      <c r="AU4" s="8" t="inlineStr">
        <is>
          <t>NO</t>
        </is>
      </c>
      <c r="AV4" s="8" t="n"/>
      <c r="AW4" s="8" t="n">
        <v>19047.6</v>
      </c>
      <c r="AX4" s="8" t="n"/>
      <c r="AY4" s="8" t="n"/>
      <c r="AZ4" s="8" t="n"/>
      <c r="BA4" s="8" t="n">
        <v>43</v>
      </c>
      <c r="BB4" s="8" t="n">
        <v>4491</v>
      </c>
      <c r="BC4" s="8" t="n">
        <v>0</v>
      </c>
      <c r="BD4" s="8" t="n"/>
      <c r="BF4" s="79">
        <f>B4</f>
        <v/>
      </c>
      <c r="BG4" s="79">
        <f>DATEDIF(AF4,AH4,"Y")</f>
        <v/>
      </c>
      <c r="BH4" s="79">
        <f>AD4*AE4</f>
        <v/>
      </c>
      <c r="BI4" s="79">
        <f>ROUND((AG4-AF4)/365*AE4,0)</f>
        <v/>
      </c>
      <c r="BJ4" s="80">
        <f>BI4/BH4</f>
        <v/>
      </c>
      <c r="BK4" s="195">
        <f t="array" ref="BK4">IF(Z4="CSR",_xlfn.IFS(AE4=1,BB4,AE4=2,BB4/0.52,AE4=4,BB4/0.265,AE4=12,BB4/0.0834),IF(Z4="END",_xlfn.IFS(AE4=1,BB4,AE4=2,BB4/0.51,AE4=4,BB4/0.26,AE4=12,BB4/0.0834),0))</f>
        <v/>
      </c>
      <c r="BL4" s="82">
        <f>IF(BF4="IF",AT4,IF(BF4="PU",AT4*BI4/BH4,IF(BF4="PM",AT4*BI4/BH4,"")))</f>
        <v/>
      </c>
      <c r="BM4" s="196">
        <f>IF(AH4 &lt;= $BM$1,0,(M4+ N4)*((1 + $BN$1)^((AH4-$BM$1)/365)-1))</f>
        <v/>
      </c>
      <c r="BN4" s="196">
        <f>N4+BM4</f>
        <v/>
      </c>
      <c r="BO4" s="197">
        <f>ROUNDDOWN(DATEDIF(AF4,AG4,"Y"),0)</f>
        <v/>
      </c>
      <c r="BP4" s="161">
        <f>IF(B4&lt;&gt;"DH","NA",IF(AND(BO4&lt;3,AG4+IF(AE4&lt;&gt;12,30,15)&lt;AK4),"Lapsed Death",IF(AG4+IF(AE4&lt;&gt;12,30,15)&gt;=AK4,"Inforce Death","Paidup Death")))</f>
        <v/>
      </c>
      <c r="BQ4" s="82">
        <f>ROUND((AG4-AF4)/365,0)</f>
        <v/>
      </c>
      <c r="BR4" s="198">
        <f>IF(OR(Z4="CPF",Z4="CPH"),VLOOKUP(AY4,'Rate Table'!$B$16:$G$21,2,FALSE),0)</f>
        <v/>
      </c>
      <c r="BS4" s="198">
        <f>IF(OR(Z4="CPF", Z4="CPH"),IF(BF4="IF",2%*AT4*AC4,IF(BF4="PU",2%*AT4*BQ4,0)),0)</f>
        <v/>
      </c>
      <c r="BT4" s="198">
        <f>IF(AND(OR(Z4="CPF",Z4="CPH"),AY4="SS",BF4="IF"),2%*AT4*AC4,0)</f>
        <v/>
      </c>
      <c r="BU4" s="198">
        <f t="array" ref="BU4">IF(AND(OR(Z4="CPF",Z4="CPH"),OR(BF4="IF",BF4="PU")),_xlfn.IFS(AY4="CS",0.2*BL4,AY4="SS",1*BL4,AY4="PD",0.25*BL4,AY4="PG",0.5*BL4),0)</f>
        <v/>
      </c>
      <c r="BV4" s="195">
        <f>_xlfn.IFNA(IF(AND(OR(Z4="CPH",Z4="CPF"),OR(BF4="IF",BF4="PU"),BL4&lt;&gt;""),(SUM(BS4:BU4)),0),0)</f>
        <v/>
      </c>
      <c r="BW4" s="198">
        <f>IF(AND(Z4="RBC",BF4="IF"),7%*AT4*AD4,IF(AND(Z4="RBC",BF4="PU"),7%*AT4*AD4*BJ4,0))</f>
        <v/>
      </c>
      <c r="BX4" s="198">
        <f>IF(AND(Z4="RBC",BF4="IF"),VLOOKUP(AC4,'Rate Table'!$A$9:$G$13,HLOOKUP(DATEDIF('MAINCPF CPH DEP SEP END RBC CSR'!AF4,'MAINCPF CPH DEP SEP END RBC CSR'!AH4, "Y"),'Rate Table'!$B$9:$G$10,2,FALSE),FALSE)*'MAINCPF CPH DEP SEP END RBC CSR'!BL4,0)</f>
        <v/>
      </c>
      <c r="BY4" s="199">
        <f>IF($Z4="RBC",VLOOKUP(A4,'RBC_BONUS CALC'!A:AL,38,FALSE),0)</f>
        <v/>
      </c>
      <c r="BZ4" s="86">
        <f>IF(AND(Z4="RBC",OR(BF4="IF",BF4="PU"),BL4&lt;&gt;""),BL4,0)</f>
        <v/>
      </c>
      <c r="CA4" s="200">
        <f>IF($Z4="DEP",VLOOKUP(A4,'DEP_BONUS CALC'!A:AK,37,0),0)</f>
        <v/>
      </c>
      <c r="CB4" s="195">
        <f>IF(AND(Z4="DEP",OR(BF4="IF",BF4="PU"),BL4&lt;&gt;""),BL4,0)</f>
        <v/>
      </c>
      <c r="CC4" s="80">
        <f>IF(Z4="SEP",IF(BG4=AC4,"Rev. Bonus Due",IF(AD4=BG4,"Sum Assured Due","NA")),"NA")</f>
        <v/>
      </c>
      <c r="CD4" s="201">
        <f t="array" ref="CD4">IF(Z4="SEP",_xlfn.IFS(CC4="Rev. Bonus Due",VLOOKUP(A4,'SEP_BONUS CALC'!A:AL,38,0),CC4="Sum Assured Due",BL4,CC4="NA",0),)</f>
        <v/>
      </c>
      <c r="CE4" s="200">
        <f>IF($Z4="CSR",VLOOKUP(A4,'CSR_BONUS CALC'!A:AK,37,FALSE),0)</f>
        <v/>
      </c>
      <c r="CF4" s="198">
        <f>IF(Z4&lt;&gt;"CSR","0%",VLOOKUP(AT4,'Rate Table'!$A$2:$F$6,HLOOKUP('MAINCPF CPH DEP SEP END RBC CSR'!AC4,'Rate Table'!$B$2:$F$3,2,FALSE),TRUE))*BL4</f>
        <v/>
      </c>
      <c r="CG4" s="195">
        <f>IF(AND(Z4="CSR",OR(BF4="IF",BF4="PU"),BL4&lt;&gt;""),CF4+BL4,0)</f>
        <v/>
      </c>
      <c r="CH4" s="198">
        <f t="array" ref="CH4">IF(AND(Z4="CSR",B4="IF"),_xlfn.IFS(AC4=10,AT4*25%,AC4=13,AT4*45%,AC4=16,AT4*70%,AC4=19,AT4*100%,AC4=22,AT4*135%),0)</f>
        <v/>
      </c>
      <c r="CI4" s="195">
        <f>IF(AND(Z4="CSR",BF4="IF"),IF(((BK4*AD4*100.1%)-CH4)&gt;(CE4+CF4+CG4),((BK4*AD4*100.1%)-CH4)-(CE4+CF4+CG4),0),0)</f>
        <v/>
      </c>
      <c r="CJ4" s="200">
        <f>IF($Z4="END",VLOOKUP(A4,'END_BONUS CALC'!A:AK,37,0),0)</f>
        <v/>
      </c>
      <c r="CK4" s="195">
        <f>IF(AND(Z4="END",BF4="IF"),IF(((BK4*AD4*100.1%)&gt;(CJ4+CL4)),((BK4*AD4*100.1%)-(CJ4+CL4)),0),0)</f>
        <v/>
      </c>
      <c r="CL4" s="195">
        <f>IF(AND(Z4="END",OR(BF4="IF",BF4="PU"),BL4&lt;&gt;""),BL4,0)</f>
        <v/>
      </c>
      <c r="CM4" s="195">
        <f>IF(AND(Z4="END",BF4="IF"),MAX(CJ4+CK4+CL4,-C4*100.1%),IF(AND(Z4="END",BF4="PU"),SUM(CJ4+CK4+CL4)-Q4-SUM(M4:O4),0))</f>
        <v/>
      </c>
      <c r="CN4" s="78" t="n"/>
      <c r="CO4" s="202">
        <f>BN4</f>
        <v/>
      </c>
      <c r="CP4" s="201">
        <f>BS4+BW4</f>
        <v/>
      </c>
      <c r="CQ4" s="201">
        <f>BT4</f>
        <v/>
      </c>
      <c r="CR4" s="201">
        <f>IF(AND(Z4="SEP",BL4="Sum Assured Due"),0,BY4+CA4+CD4+CE4+CJ4)</f>
        <v/>
      </c>
      <c r="CS4" s="201" t="n">
        <v>0</v>
      </c>
      <c r="CT4" s="201">
        <f>BX4</f>
        <v/>
      </c>
      <c r="CU4" s="201">
        <f>IF(AND(Z4="SEP",CC4="Rev. Bonus Due"),0,BU4+BZ4+CB4+CD4+CG4+CL4)</f>
        <v/>
      </c>
      <c r="CV4" s="201">
        <f>CI4+CK4</f>
        <v/>
      </c>
      <c r="CW4" s="201">
        <f>SUM(CP4:CV4)-Q4-SUM(M4+CO4)</f>
        <v/>
      </c>
      <c r="CX4" s="195">
        <f>SUM(BS4:CN4)-Q4-SUM(M4:O4)</f>
        <v/>
      </c>
    </row>
    <row r="5">
      <c r="A5" s="121" t="inlineStr">
        <is>
          <t>test1018255</t>
        </is>
      </c>
      <c r="B5" s="8" t="inlineStr">
        <is>
          <t>PM</t>
        </is>
      </c>
      <c r="C5" s="8" t="n">
        <v>-179370</v>
      </c>
      <c r="D5" s="8" t="n">
        <v>155000</v>
      </c>
      <c r="E5" s="8" t="n">
        <v>-128333.8</v>
      </c>
      <c r="F5" s="8" t="n">
        <v>-1274.72</v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>
        <v>0</v>
      </c>
      <c r="R5" s="8" t="n">
        <v>0</v>
      </c>
      <c r="S5" s="8" t="n">
        <v>1274.72</v>
      </c>
      <c r="T5" s="8" t="n"/>
      <c r="U5" s="8" t="inlineStr">
        <is>
          <t>IND</t>
        </is>
      </c>
      <c r="V5" s="8" t="inlineStr">
        <is>
          <t>05APR2006:00:00:00</t>
        </is>
      </c>
      <c r="W5" s="122" t="n">
        <v>38812</v>
      </c>
      <c r="X5" s="8" t="n">
        <v>5901</v>
      </c>
      <c r="Y5" s="8" t="n">
        <v>155000</v>
      </c>
      <c r="Z5" s="8" t="inlineStr">
        <is>
          <t>SEP</t>
        </is>
      </c>
      <c r="AA5" s="8" t="inlineStr">
        <is>
          <t>TRADITIONAL</t>
        </is>
      </c>
      <c r="AB5" s="8" t="inlineStr">
        <is>
          <t>Special Endowment Plan</t>
        </is>
      </c>
      <c r="AC5" s="8" t="n">
        <v>20</v>
      </c>
      <c r="AD5" s="8" t="n">
        <v>15</v>
      </c>
      <c r="AE5" s="8" t="n">
        <v>2</v>
      </c>
      <c r="AF5" s="122" t="n">
        <v>38812</v>
      </c>
      <c r="AG5" s="122" t="n">
        <v>44291</v>
      </c>
      <c r="AH5" s="122" t="n">
        <v>46117</v>
      </c>
      <c r="AI5" s="122" t="n">
        <v>44291</v>
      </c>
      <c r="AJ5" s="122" t="n">
        <v>26990</v>
      </c>
      <c r="AK5" s="8" t="n"/>
      <c r="AL5" s="8" t="n"/>
      <c r="AM5" s="8" t="n">
        <v>0</v>
      </c>
      <c r="AN5" s="8" t="n"/>
      <c r="AO5" s="8" t="n">
        <v>0</v>
      </c>
      <c r="AP5" s="8" t="n">
        <v>0</v>
      </c>
      <c r="AQ5" s="8" t="n">
        <v>0</v>
      </c>
      <c r="AR5" s="137" t="n">
        <v>37135</v>
      </c>
      <c r="AS5" s="8" t="inlineStr">
        <is>
          <t>Special Endowment Plan</t>
        </is>
      </c>
      <c r="AT5" s="8" t="n">
        <v>155000</v>
      </c>
      <c r="AU5" s="8" t="inlineStr">
        <is>
          <t>NO</t>
        </is>
      </c>
      <c r="AV5" s="8" t="n"/>
      <c r="AW5" s="8" t="n">
        <v>155000</v>
      </c>
      <c r="AX5" s="8" t="n"/>
      <c r="AY5" s="8" t="n"/>
      <c r="AZ5" s="8" t="n"/>
      <c r="BA5" s="8" t="n">
        <v>53</v>
      </c>
      <c r="BB5" s="8" t="n">
        <v>5901</v>
      </c>
      <c r="BC5" s="8" t="n">
        <v>0</v>
      </c>
      <c r="BD5" s="8" t="n"/>
      <c r="BF5" s="79">
        <f>B5</f>
        <v/>
      </c>
      <c r="BG5" s="79">
        <f>DATEDIF(AF5,AH5,"Y")</f>
        <v/>
      </c>
      <c r="BH5" s="79">
        <f>AD5*AE5</f>
        <v/>
      </c>
      <c r="BI5" s="79">
        <f>ROUND((AG5-AF5)/365*AE5,0)</f>
        <v/>
      </c>
      <c r="BJ5" s="80">
        <f>BI5/BH5</f>
        <v/>
      </c>
      <c r="BK5" s="195">
        <f t="array" ref="BK5">IF(Z5="CSR",_xlfn.IFS(AE5=1,BB5,AE5=2,BB5/0.52,AE5=4,BB5/0.265,AE5=12,BB5/0.0834),IF(Z5="END",_xlfn.IFS(AE5=1,BB5,AE5=2,BB5/0.51,AE5=4,BB5/0.26,AE5=12,BB5/0.0834),0))</f>
        <v/>
      </c>
      <c r="BL5" s="82">
        <f>IF(BF5="IF",AT5,IF(BF5="PU",AT5*BI5/BH5,IF(BF5="PM",AT5*BI5/BH5,"")))</f>
        <v/>
      </c>
      <c r="BM5" s="196">
        <f>IF(AH5 &lt;= $BM$1,0,(M5+ N5)*((1 + $BN$1)^((AH5-$BM$1)/365)-1))</f>
        <v/>
      </c>
      <c r="BN5" s="196">
        <f>N5+BM5</f>
        <v/>
      </c>
      <c r="BO5" s="197">
        <f>ROUNDDOWN(DATEDIF(AF5,AG5,"Y"),0)</f>
        <v/>
      </c>
      <c r="BP5" s="161">
        <f>IF(B5&lt;&gt;"DH","NA",IF(AND(BO5&lt;3,AG5+IF(AE5&lt;&gt;12,30,15)&lt;AK5),"Lapsed Death",IF(AG5+IF(AE5&lt;&gt;12,30,15)&gt;=AK5,"Inforce Death","Paidup Death")))</f>
        <v/>
      </c>
      <c r="BQ5" s="82">
        <f>ROUND((AG5-AF5)/365,0)</f>
        <v/>
      </c>
      <c r="BR5" s="198">
        <f>IF(OR(Z5="CPF",Z5="CPH"),VLOOKUP(AY5,'Rate Table'!$B$16:$G$21,2,FALSE),0)</f>
        <v/>
      </c>
      <c r="BS5" s="198">
        <f>IF(OR(Z5="CPF", Z5="CPH"),IF(BF5="IF",2%*AT5*AC5,IF(BF5="PU",2%*AT5*BQ5,0)),0)</f>
        <v/>
      </c>
      <c r="BT5" s="198">
        <f>IF(AND(OR(Z5="CPF",Z5="CPH"),AY5="SS",BF5="IF"),2%*AT5*AC5,0)</f>
        <v/>
      </c>
      <c r="BU5" s="198">
        <f t="array" ref="BU5">IF(AND(OR(Z5="CPF",Z5="CPH"),OR(BF5="IF",BF5="PU")),_xlfn.IFS(AY5="CS",0.2*BL5,AY5="SS",1*BL5,AY5="PD",0.25*BL5,AY5="PG",0.5*BL5),0)</f>
        <v/>
      </c>
      <c r="BV5" s="195">
        <f>_xlfn.IFNA(IF(AND(OR(Z5="CPH",Z5="CPF"),OR(BF5="IF",BF5="PU"),BL5&lt;&gt;""),(SUM(BS5:BU5)),0),0)</f>
        <v/>
      </c>
      <c r="BW5" s="198">
        <f>IF(AND(Z5="RBC",BF5="IF"),7%*AT5*AD5,IF(AND(Z5="RBC",BF5="PU"),7%*AT5*AD5*BJ5,0))</f>
        <v/>
      </c>
      <c r="BX5" s="198">
        <f>IF(AND(Z5="RBC",BF5="IF"),VLOOKUP(AC5,'Rate Table'!$A$9:$G$13,HLOOKUP(DATEDIF('MAINCPF CPH DEP SEP END RBC CSR'!AF5,'MAINCPF CPH DEP SEP END RBC CSR'!AH5, "Y"),'Rate Table'!$B$9:$G$10,2,FALSE),FALSE)*'MAINCPF CPH DEP SEP END RBC CSR'!BL5,0)</f>
        <v/>
      </c>
      <c r="BY5" s="199">
        <f>IF($Z5="RBC",VLOOKUP(A5,'RBC_BONUS CALC'!A:AL,38,FALSE),0)</f>
        <v/>
      </c>
      <c r="BZ5" s="86">
        <f>IF(AND(Z5="RBC",OR(BF5="IF",BF5="PU"),BL5&lt;&gt;""),BL5,0)</f>
        <v/>
      </c>
      <c r="CA5" s="200">
        <f>IF($Z5="DEP",VLOOKUP(A5,'DEP_BONUS CALC'!A:AK,37,0),0)</f>
        <v/>
      </c>
      <c r="CB5" s="195">
        <f>IF(AND(Z5="DEP",OR(BF5="IF",BF5="PU"),BL5&lt;&gt;""),BL5,0)</f>
        <v/>
      </c>
      <c r="CC5" s="80">
        <f>IF(Z5="SEP",IF(BG5=AC5,"Rev. Bonus Due",IF(AD5=BG5,"Sum Assured Due","NA")),"NA")</f>
        <v/>
      </c>
      <c r="CD5" s="201">
        <f t="array" ref="CD5">IF(Z5="SEP",_xlfn.IFS(CC5="Rev. Bonus Due",VLOOKUP(A5,'SEP_BONUS CALC'!A:AL,38,0),CC5="Sum Assured Due",BL5,CC5="NA",0),)</f>
        <v/>
      </c>
      <c r="CE5" s="200">
        <f>IF($Z5="CSR",VLOOKUP(A5,'CSR_BONUS CALC'!A:AK,37,FALSE),0)</f>
        <v/>
      </c>
      <c r="CF5" s="198">
        <f>IF(Z5&lt;&gt;"CSR","0%",VLOOKUP(AT5,'Rate Table'!$A$2:$F$6,HLOOKUP('MAINCPF CPH DEP SEP END RBC CSR'!AC5,'Rate Table'!$B$2:$F$3,2,FALSE),TRUE))*BL5</f>
        <v/>
      </c>
      <c r="CG5" s="195">
        <f>IF(AND(Z5="CSR",OR(BF5="IF",BF5="PU"),BL5&lt;&gt;""),CF5+BL5,0)</f>
        <v/>
      </c>
      <c r="CH5" s="198">
        <f t="array" ref="CH5">IF(AND(Z5="CSR",B5="IF"),_xlfn.IFS(AC5=10,AT5*25%,AC5=13,AT5*45%,AC5=16,AT5*70%,AC5=19,AT5*100%,AC5=22,AT5*135%),0)</f>
        <v/>
      </c>
      <c r="CI5" s="195">
        <f>IF(AND(Z5="CSR",BF5="IF"),IF(((BK5*AD5*100.1%)-CH5)&gt;(CE5+CF5+CG5),((BK5*AD5*100.1%)-CH5)-(CE5+CF5+CG5),0),0)</f>
        <v/>
      </c>
      <c r="CJ5" s="200">
        <f>IF($Z5="END",VLOOKUP(A5,'END_BONUS CALC'!A:AK,37,0),0)</f>
        <v/>
      </c>
      <c r="CK5" s="195">
        <f>IF(AND(Z5="END",BF5="IF"),IF(((BK5*AD5*100.1%)&gt;(CJ5+CL5)),((BK5*AD5*100.1%)-(CJ5+CL5)),0),0)</f>
        <v/>
      </c>
      <c r="CL5" s="195">
        <f>IF(AND(Z5="END",OR(BF5="IF",BF5="PU"),BL5&lt;&gt;""),BL5,0)</f>
        <v/>
      </c>
      <c r="CM5" s="195">
        <f>IF(AND(Z5="END",BF5="IF"),MAX(CJ5+CK5+CL5,-C5*100.1%),IF(AND(Z5="END",BF5="PU"),SUM(CJ5+CK5+CL5)-Q5-SUM(M5:O5),0))</f>
        <v/>
      </c>
      <c r="CN5" s="78" t="n"/>
      <c r="CO5" s="202">
        <f>BN5</f>
        <v/>
      </c>
      <c r="CP5" s="201">
        <f>BS5+BW5</f>
        <v/>
      </c>
      <c r="CQ5" s="201">
        <f>BT5</f>
        <v/>
      </c>
      <c r="CR5" s="201">
        <f>IF(AND(Z5="SEP",BL5="Sum Assured Due"),0,BY5+CA5+CD5+CE5+CJ5)</f>
        <v/>
      </c>
      <c r="CS5" s="201" t="n">
        <v>0</v>
      </c>
      <c r="CT5" s="201">
        <f>BX5</f>
        <v/>
      </c>
      <c r="CU5" s="201">
        <f>IF(AND(Z5="SEP",CC5="Rev. Bonus Due"),0,BU5+BZ5+CB5+CD5+CG5+CL5)</f>
        <v/>
      </c>
      <c r="CV5" s="201">
        <f>CI5+CK5</f>
        <v/>
      </c>
      <c r="CW5" s="201">
        <f>SUM(CP5:CV5)-Q5-SUM(M5+CO5)</f>
        <v/>
      </c>
      <c r="CX5" s="195">
        <f>SUM(BS5:CN5)-Q5-SUM(M5:O5)</f>
        <v/>
      </c>
    </row>
    <row r="6">
      <c r="A6" s="121" t="inlineStr">
        <is>
          <t>test5260454</t>
        </is>
      </c>
      <c r="B6" s="8" t="inlineStr">
        <is>
          <t>IF</t>
        </is>
      </c>
      <c r="C6" s="8" t="n">
        <v>-147560</v>
      </c>
      <c r="D6" s="8" t="n"/>
      <c r="E6" s="8" t="n">
        <v>-26780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>
        <v>-0.28</v>
      </c>
      <c r="R6" s="8" t="n"/>
      <c r="S6" s="8" t="n"/>
      <c r="T6" s="8" t="n"/>
      <c r="U6" s="8" t="inlineStr">
        <is>
          <t>IND</t>
        </is>
      </c>
      <c r="V6" s="8" t="inlineStr">
        <is>
          <t>11APR2016:00:00:00</t>
        </is>
      </c>
      <c r="W6" s="122" t="n">
        <v>42471</v>
      </c>
      <c r="X6" s="8" t="n">
        <v>14756</v>
      </c>
      <c r="Y6" s="8" t="n">
        <v>103000</v>
      </c>
      <c r="Z6" s="8" t="inlineStr">
        <is>
          <t>CSR</t>
        </is>
      </c>
      <c r="AA6" s="8" t="inlineStr">
        <is>
          <t>TRADITIONAL</t>
        </is>
      </c>
      <c r="AB6" s="8" t="inlineStr">
        <is>
          <t>Smart Cash Plus Plan (Regular)</t>
        </is>
      </c>
      <c r="AC6" s="8" t="n">
        <v>10</v>
      </c>
      <c r="AD6" s="8" t="n">
        <v>10</v>
      </c>
      <c r="AE6" s="8" t="n">
        <v>1</v>
      </c>
      <c r="AF6" s="122" t="n">
        <v>42471</v>
      </c>
      <c r="AG6" s="122" t="n">
        <v>46123</v>
      </c>
      <c r="AH6" s="122" t="n">
        <v>46123</v>
      </c>
      <c r="AI6" s="122" t="n">
        <v>46123</v>
      </c>
      <c r="AJ6" s="122" t="n">
        <v>25574</v>
      </c>
      <c r="AK6" s="8" t="n"/>
      <c r="AL6" s="8" t="n"/>
      <c r="AM6" s="8" t="n">
        <v>0</v>
      </c>
      <c r="AN6" s="8" t="n"/>
      <c r="AO6" s="8" t="n">
        <v>0</v>
      </c>
      <c r="AP6" s="8" t="n">
        <v>0</v>
      </c>
      <c r="AQ6" s="8" t="n">
        <v>0</v>
      </c>
      <c r="AR6" s="8" t="inlineStr">
        <is>
          <t>CSR1</t>
        </is>
      </c>
      <c r="AS6" s="8" t="inlineStr">
        <is>
          <t>SmartCash Plus-R(Opt I 10*AP)</t>
        </is>
      </c>
      <c r="AT6" s="8" t="n">
        <v>103000</v>
      </c>
      <c r="AU6" s="8" t="inlineStr">
        <is>
          <t>NO</t>
        </is>
      </c>
      <c r="AV6" s="8" t="n"/>
      <c r="AW6" s="8" t="n">
        <v>103000</v>
      </c>
      <c r="AX6" s="8" t="n"/>
      <c r="AY6" s="8" t="n"/>
      <c r="AZ6" s="8" t="n"/>
      <c r="BA6" s="8" t="n">
        <v>56</v>
      </c>
      <c r="BB6" s="8" t="n">
        <v>14756</v>
      </c>
      <c r="BC6" s="8" t="n">
        <v>0</v>
      </c>
      <c r="BD6" s="8" t="n"/>
      <c r="BF6" s="79">
        <f>B6</f>
        <v/>
      </c>
      <c r="BG6" s="79">
        <f>DATEDIF(AF6,AH6,"Y")</f>
        <v/>
      </c>
      <c r="BH6" s="79">
        <f>AD6*AE6</f>
        <v/>
      </c>
      <c r="BI6" s="79">
        <f>ROUND((AG6-AF6)/365*AE6,0)</f>
        <v/>
      </c>
      <c r="BJ6" s="80">
        <f>BI6/BH6</f>
        <v/>
      </c>
      <c r="BK6" s="195">
        <f t="array" ref="BK6">IF(Z6="CSR",_xlfn.IFS(AE6=1,BB6,AE6=2,BB6/0.52,AE6=4,BB6/0.265,AE6=12,BB6/0.0834),IF(Z6="END",_xlfn.IFS(AE6=1,BB6,AE6=2,BB6/0.51,AE6=4,BB6/0.26,AE6=12,BB6/0.0834),0))</f>
        <v/>
      </c>
      <c r="BL6" s="82">
        <f>IF(BF6="IF",AT6,IF(BF6="PU",AT6*BI6/BH6,IF(BF6="PM",AT6*BI6/BH6,"")))</f>
        <v/>
      </c>
      <c r="BM6" s="196">
        <f>IF(AH6 &lt;= $BM$1,0,(M6+ N6)*((1 + $BN$1)^((AH6-$BM$1)/365)-1))</f>
        <v/>
      </c>
      <c r="BN6" s="196">
        <f>N6+BM6</f>
        <v/>
      </c>
      <c r="BO6" s="197">
        <f>ROUNDDOWN(DATEDIF(AF6,AG6,"Y"),0)</f>
        <v/>
      </c>
      <c r="BP6" s="161">
        <f>IF(B6&lt;&gt;"DH","NA",IF(AND(BO6&lt;3,AG6+IF(AE6&lt;&gt;12,30,15)&lt;AK6),"Lapsed Death",IF(AG6+IF(AE6&lt;&gt;12,30,15)&gt;=AK6,"Inforce Death","Paidup Death")))</f>
        <v/>
      </c>
      <c r="BQ6" s="82">
        <f>ROUND((AG6-AF6)/365,0)</f>
        <v/>
      </c>
      <c r="BR6" s="198">
        <f>IF(OR(Z6="CPF",Z6="CPH"),VLOOKUP(AY6,'Rate Table'!$B$16:$G$21,2,FALSE),0)</f>
        <v/>
      </c>
      <c r="BS6" s="198">
        <f>IF(OR(Z6="CPF", Z6="CPH"),IF(BF6="IF",2%*AT6*AC6,IF(BF6="PU",2%*AT6*BQ6,0)),0)</f>
        <v/>
      </c>
      <c r="BT6" s="198">
        <f>IF(AND(OR(Z6="CPF",Z6="CPH"),AY6="SS",BF6="IF"),2%*AT6*AC6,0)</f>
        <v/>
      </c>
      <c r="BU6" s="198">
        <f t="array" ref="BU6">IF(AND(OR(Z6="CPF",Z6="CPH"),OR(BF6="IF",BF6="PU")),_xlfn.IFS(AY6="CS",0.2*BL6,AY6="SS",1*BL6,AY6="PD",0.25*BL6,AY6="PG",0.5*BL6),0)</f>
        <v/>
      </c>
      <c r="BV6" s="195">
        <f>_xlfn.IFNA(IF(AND(OR(Z6="CPH",Z6="CPF"),OR(BF6="IF",BF6="PU"),BL6&lt;&gt;""),(SUM(BS6:BU6)),0),0)</f>
        <v/>
      </c>
      <c r="BW6" s="198">
        <f>IF(AND(Z6="RBC",BF6="IF"),7%*AT6*AD6,IF(AND(Z6="RBC",BF6="PU"),7%*AT6*AD6*BJ6,0))</f>
        <v/>
      </c>
      <c r="BX6" s="198">
        <f>IF(AND(Z6="RBC",BF6="IF"),VLOOKUP(AC6,'Rate Table'!$A$9:$G$13,HLOOKUP(DATEDIF('MAINCPF CPH DEP SEP END RBC CSR'!AF6,'MAINCPF CPH DEP SEP END RBC CSR'!AH6, "Y"),'Rate Table'!$B$9:$G$10,2,FALSE),FALSE)*'MAINCPF CPH DEP SEP END RBC CSR'!BL6,0)</f>
        <v/>
      </c>
      <c r="BY6" s="199">
        <f>IF($Z6="RBC",VLOOKUP(A6,'RBC_BONUS CALC'!A:AL,38,FALSE),0)</f>
        <v/>
      </c>
      <c r="BZ6" s="86">
        <f>IF(AND(Z6="RBC",OR(BF6="IF",BF6="PU"),BL6&lt;&gt;""),BL6,0)</f>
        <v/>
      </c>
      <c r="CA6" s="200">
        <f>IF($Z6="DEP",VLOOKUP(A6,'DEP_BONUS CALC'!A:AK,37,0),0)</f>
        <v/>
      </c>
      <c r="CB6" s="195">
        <f>IF(AND(Z6="DEP",OR(BF6="IF",BF6="PU"),BL6&lt;&gt;""),BL6,0)</f>
        <v/>
      </c>
      <c r="CC6" s="80">
        <f>IF(Z6="SEP",IF(BG6=AC6,"Rev. Bonus Due",IF(AD6=BG6,"Sum Assured Due","NA")),"NA")</f>
        <v/>
      </c>
      <c r="CD6" s="201">
        <f t="array" ref="CD6">IF(Z6="SEP",_xlfn.IFS(CC6="Rev. Bonus Due",VLOOKUP(A6,'SEP_BONUS CALC'!A:AL,38,0),CC6="Sum Assured Due",BL6,CC6="NA",0),)</f>
        <v/>
      </c>
      <c r="CE6" s="200">
        <f>IF($Z6="CSR",VLOOKUP(A6,'CSR_BONUS CALC'!A:AK,37,FALSE),0)</f>
        <v/>
      </c>
      <c r="CF6" s="198">
        <f>IF(Z6&lt;&gt;"CSR","0%",VLOOKUP(AT6,'Rate Table'!$A$2:$F$6,HLOOKUP('MAINCPF CPH DEP SEP END RBC CSR'!AC6,'Rate Table'!$B$2:$F$3,2,FALSE),TRUE))*BL6</f>
        <v/>
      </c>
      <c r="CG6" s="195">
        <f>IF(AND(Z6="CSR",OR(BF6="IF",BF6="PU"),BL6&lt;&gt;""),CF6+BL6,0)</f>
        <v/>
      </c>
      <c r="CH6" s="198">
        <f t="array" ref="CH6">IF(AND(Z6="CSR",B6="IF"),_xlfn.IFS(AC6=10,AT6*25%,AC6=13,AT6*45%,AC6=16,AT6*70%,AC6=19,AT6*100%,AC6=22,AT6*135%),0)</f>
        <v/>
      </c>
      <c r="CI6" s="195">
        <f>IF(AND(Z6="CSR",BF6="IF"),IF(((BK6*AD6*100.1%)-CH6)&gt;(CE6+CF6+CG6),((BK6*AD6*100.1%)-CH6)-(CE6+CF6+CG6),0),0)</f>
        <v/>
      </c>
      <c r="CJ6" s="200">
        <f>IF($Z6="END",VLOOKUP(A6,'END_BONUS CALC'!A:AK,37,0),0)</f>
        <v/>
      </c>
      <c r="CK6" s="195">
        <f>IF(AND(Z6="END",BF6="IF"),IF(((BK6*AD6*100.1%)&gt;(CJ6+CL6)),((BK6*AD6*100.1%)-(CJ6+CL6)),0),0)</f>
        <v/>
      </c>
      <c r="CL6" s="195">
        <f>IF(AND(Z6="END",OR(BF6="IF",BF6="PU"),BL6&lt;&gt;""),BL6,0)</f>
        <v/>
      </c>
      <c r="CM6" s="195">
        <f>IF(AND(Z6="END",BF6="IF"),MAX(CJ6+CK6+CL6,-C6*100.1%),IF(AND(Z6="END",BF6="PU"),SUM(CJ6+CK6+CL6)-Q6-SUM(M6:O6),0))</f>
        <v/>
      </c>
      <c r="CN6" s="78" t="n"/>
      <c r="CO6" s="202">
        <f>BN6</f>
        <v/>
      </c>
      <c r="CP6" s="201">
        <f>BS6+BW6</f>
        <v/>
      </c>
      <c r="CQ6" s="201">
        <f>BT6</f>
        <v/>
      </c>
      <c r="CR6" s="201">
        <f>IF(AND(Z6="SEP",BL6="Sum Assured Due"),0,BY6+CA6+CD6+CE6+CJ6)</f>
        <v/>
      </c>
      <c r="CS6" s="201" t="n">
        <v>0</v>
      </c>
      <c r="CT6" s="201">
        <f>BX6</f>
        <v/>
      </c>
      <c r="CU6" s="201">
        <f>IF(AND(Z6="SEP",CC6="Rev. Bonus Due"),0,BU6+BZ6+CB6+CD6+CG6+CL6)</f>
        <v/>
      </c>
      <c r="CV6" s="201">
        <f>CI6+CK6</f>
        <v/>
      </c>
      <c r="CW6" s="201">
        <f>SUM(CP6:CV6)-Q6-SUM(M6+CO6)</f>
        <v/>
      </c>
      <c r="CX6" s="195">
        <f>SUM(BS6:CN6)-Q6-SUM(M6:O6)</f>
        <v/>
      </c>
    </row>
    <row r="7">
      <c r="A7" s="121" t="inlineStr">
        <is>
          <t>test5260579</t>
        </is>
      </c>
      <c r="B7" s="8" t="inlineStr">
        <is>
          <t>IF</t>
        </is>
      </c>
      <c r="C7" s="8" t="n">
        <v>-10176114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>
        <v>-31.76</v>
      </c>
      <c r="R7" s="8" t="n"/>
      <c r="S7" s="8" t="n"/>
      <c r="T7" s="8" t="n">
        <v>95712216</v>
      </c>
      <c r="U7" s="8" t="n"/>
      <c r="V7" s="8" t="inlineStr">
        <is>
          <t>11APR2016:00:00:00</t>
        </is>
      </c>
      <c r="W7" s="122" t="n">
        <v>42471</v>
      </c>
      <c r="X7" s="8" t="n">
        <v>731001</v>
      </c>
      <c r="Y7" s="8" t="n">
        <v>7458020</v>
      </c>
      <c r="Z7" s="8" t="inlineStr">
        <is>
          <t>CPF</t>
        </is>
      </c>
      <c r="AA7" s="8" t="inlineStr">
        <is>
          <t>TRADITIONAL</t>
        </is>
      </c>
      <c r="AB7" s="8" t="inlineStr">
        <is>
          <t>Rlnc edu Pln(100% at dth)</t>
        </is>
      </c>
      <c r="AC7" s="8" t="n">
        <v>10</v>
      </c>
      <c r="AD7" s="8" t="n">
        <v>7</v>
      </c>
      <c r="AE7" s="8" t="n">
        <v>2</v>
      </c>
      <c r="AF7" s="122" t="n">
        <v>42471</v>
      </c>
      <c r="AG7" s="122" t="n">
        <v>45027</v>
      </c>
      <c r="AH7" s="122" t="n">
        <v>46123</v>
      </c>
      <c r="AI7" s="122" t="n">
        <v>45027</v>
      </c>
      <c r="AJ7" s="8" t="n"/>
      <c r="AK7" s="8" t="n"/>
      <c r="AL7" s="8" t="inlineStr">
        <is>
          <t>VM</t>
        </is>
      </c>
      <c r="AM7" s="8" t="n">
        <v>0</v>
      </c>
      <c r="AN7" s="8" t="n"/>
      <c r="AO7" s="8" t="n">
        <v>0</v>
      </c>
      <c r="AP7" s="8" t="n">
        <v>0</v>
      </c>
      <c r="AQ7" s="8" t="n">
        <v>0</v>
      </c>
      <c r="AR7" s="8" t="inlineStr">
        <is>
          <t>CPF3</t>
        </is>
      </c>
      <c r="AS7" s="8" t="inlineStr">
        <is>
          <t>Rlnc edu Pln(100% at dth)10X</t>
        </is>
      </c>
      <c r="AT7" s="8" t="n">
        <v>7458020</v>
      </c>
      <c r="AU7" s="8" t="inlineStr">
        <is>
          <t>YES</t>
        </is>
      </c>
      <c r="AV7" s="8" t="n"/>
      <c r="AW7" s="8" t="n">
        <v>7458020</v>
      </c>
      <c r="AX7" s="8" t="n"/>
      <c r="AY7" s="8" t="inlineStr">
        <is>
          <t>SS</t>
        </is>
      </c>
      <c r="AZ7" s="8" t="n"/>
      <c r="BA7" s="8" t="n"/>
      <c r="BB7" s="8" t="n">
        <v>731001</v>
      </c>
      <c r="BC7" s="8" t="n">
        <v>0</v>
      </c>
      <c r="BD7" s="8" t="n"/>
      <c r="BF7" s="79">
        <f>B7</f>
        <v/>
      </c>
      <c r="BG7" s="79">
        <f>DATEDIF(AF7,AH7,"Y")</f>
        <v/>
      </c>
      <c r="BH7" s="79">
        <f>AD7*AE7</f>
        <v/>
      </c>
      <c r="BI7" s="79">
        <f>ROUND((AG7-AF7)/365*AE7,0)</f>
        <v/>
      </c>
      <c r="BJ7" s="80">
        <f>BI7/BH7</f>
        <v/>
      </c>
      <c r="BK7" s="195">
        <f t="array" ref="BK7">IF(Z7="CSR",_xlfn.IFS(AE7=1,BB7,AE7=2,BB7/0.52,AE7=4,BB7/0.265,AE7=12,BB7/0.0834),IF(Z7="END",_xlfn.IFS(AE7=1,BB7,AE7=2,BB7/0.51,AE7=4,BB7/0.26,AE7=12,BB7/0.0834),0))</f>
        <v/>
      </c>
      <c r="BL7" s="82">
        <f>IF(BF7="IF",AT7,IF(BF7="PU",AT7*BI7/BH7,IF(BF7="PM",AT7*BI7/BH7,"")))</f>
        <v/>
      </c>
      <c r="BM7" s="196">
        <f>IF(AH7 &lt;= $BM$1,0,(M7+ N7)*((1 + $BN$1)^((AH7-$BM$1)/365)-1))</f>
        <v/>
      </c>
      <c r="BN7" s="196">
        <f>N7+BM7</f>
        <v/>
      </c>
      <c r="BO7" s="197">
        <f>ROUNDDOWN(DATEDIF(AF7,AG7,"Y"),0)</f>
        <v/>
      </c>
      <c r="BP7" s="161">
        <f>IF(B7&lt;&gt;"DH","NA",IF(AND(BO7&lt;3,AG7+IF(AE7&lt;&gt;12,30,15)&lt;AK7),"Lapsed Death",IF(AG7+IF(AE7&lt;&gt;12,30,15)&gt;=AK7,"Inforce Death","Paidup Death")))</f>
        <v/>
      </c>
      <c r="BQ7" s="82">
        <f>ROUND((AG7-AF7)/365,0)</f>
        <v/>
      </c>
      <c r="BR7" s="198">
        <f>IF(OR(Z7="CPF",Z7="CPH"),VLOOKUP(AY7,'Rate Table'!$B$16:$G$21,2,FALSE),0)</f>
        <v/>
      </c>
      <c r="BS7" s="198">
        <f>IF(OR(Z7="CPF", Z7="CPH"),IF(BF7="IF",2%*AT7*AC7,IF(BF7="PU",2%*AT7*BQ7,0)),0)</f>
        <v/>
      </c>
      <c r="BT7" s="198">
        <f>IF(AND(OR(Z7="CPF",Z7="CPH"),AY7="SS",BF7="IF"),2%*AT7*AC7,0)</f>
        <v/>
      </c>
      <c r="BU7" s="198">
        <f t="array" ref="BU7">IF(AND(OR(Z7="CPF",Z7="CPH"),OR(BF7="IF",BF7="PU")),_xlfn.IFS(AY7="CS",0.2*BL7,AY7="SS",1*BL7,AY7="PD",0.25*BL7,AY7="PG",0.5*BL7),0)</f>
        <v/>
      </c>
      <c r="BV7" s="195">
        <f>_xlfn.IFNA(IF(AND(OR(Z7="CPH",Z7="CPF"),OR(BF7="IF",BF7="PU"),BL7&lt;&gt;""),(SUM(BS7:BU7)),0),0)</f>
        <v/>
      </c>
      <c r="BW7" s="198">
        <f>IF(AND(Z7="RBC",BF7="IF"),7%*AT7*AD7,IF(AND(Z7="RBC",BF7="PU"),7%*AT7*AD7*BJ7,0))</f>
        <v/>
      </c>
      <c r="BX7" s="198">
        <f>IF(AND(Z7="RBC",BF7="IF"),VLOOKUP(AC7,'Rate Table'!$A$9:$G$13,HLOOKUP(DATEDIF('MAINCPF CPH DEP SEP END RBC CSR'!AF7,'MAINCPF CPH DEP SEP END RBC CSR'!AH7, "Y"),'Rate Table'!$B$9:$G$10,2,FALSE),FALSE)*'MAINCPF CPH DEP SEP END RBC CSR'!BL7,0)</f>
        <v/>
      </c>
      <c r="BY7" s="199">
        <f>IF($Z7="RBC",VLOOKUP(A7,'RBC_BONUS CALC'!A:AL,38,FALSE),0)</f>
        <v/>
      </c>
      <c r="BZ7" s="86">
        <f>IF(AND(Z7="RBC",OR(BF7="IF",BF7="PU"),BL7&lt;&gt;""),BL7,0)</f>
        <v/>
      </c>
      <c r="CA7" s="200">
        <f>IF($Z7="DEP",VLOOKUP(A7,'DEP_BONUS CALC'!A:AK,37,0),0)</f>
        <v/>
      </c>
      <c r="CB7" s="195">
        <f>IF(AND(Z7="DEP",OR(BF7="IF",BF7="PU"),BL7&lt;&gt;""),BL7,0)</f>
        <v/>
      </c>
      <c r="CC7" s="80">
        <f>IF(Z7="SEP",IF(BG7=AC7,"Rev. Bonus Due",IF(AD7=BG7,"Sum Assured Due","NA")),"NA")</f>
        <v/>
      </c>
      <c r="CD7" s="201">
        <f t="array" ref="CD7">IF(Z7="SEP",_xlfn.IFS(CC7="Rev. Bonus Due",VLOOKUP(A7,'SEP_BONUS CALC'!A:AL,38,0),CC7="Sum Assured Due",BL7,CC7="NA",0),)</f>
        <v/>
      </c>
      <c r="CE7" s="200">
        <f>IF($Z7="CSR",VLOOKUP(A7,'CSR_BONUS CALC'!A:AK,37,FALSE),0)</f>
        <v/>
      </c>
      <c r="CF7" s="198">
        <f>IF(Z7&lt;&gt;"CSR","0%",VLOOKUP(AT7,'Rate Table'!$A$2:$F$6,HLOOKUP('MAINCPF CPH DEP SEP END RBC CSR'!AC7,'Rate Table'!$B$2:$F$3,2,FALSE),TRUE))*BL7</f>
        <v/>
      </c>
      <c r="CG7" s="195">
        <f>IF(AND(Z7="CSR",OR(BF7="IF",BF7="PU"),BL7&lt;&gt;""),CF7+BL7,0)</f>
        <v/>
      </c>
      <c r="CH7" s="198">
        <f t="array" ref="CH7">IF(AND(Z7="CSR",B7="IF"),_xlfn.IFS(AC7=10,AT7*25%,AC7=13,AT7*45%,AC7=16,AT7*70%,AC7=19,AT7*100%,AC7=22,AT7*135%),0)</f>
        <v/>
      </c>
      <c r="CI7" s="195">
        <f>IF(AND(Z7="CSR",BF7="IF"),IF(((BK7*AD7*100.1%)-CH7)&gt;(CE7+CF7+CG7),((BK7*AD7*100.1%)-CH7)-(CE7+CF7+CG7),0),0)</f>
        <v/>
      </c>
      <c r="CJ7" s="200">
        <f>IF($Z7="END",VLOOKUP(A7,'END_BONUS CALC'!A:AK,37,0),0)</f>
        <v/>
      </c>
      <c r="CK7" s="195">
        <f>IF(AND(Z7="END",BF7="IF"),IF(((BK7*AD7*100.1%)&gt;(CJ7+CL7)),((BK7*AD7*100.1%)-(CJ7+CL7)),0),0)</f>
        <v/>
      </c>
      <c r="CL7" s="195">
        <f>IF(AND(Z7="END",OR(BF7="IF",BF7="PU"),BL7&lt;&gt;""),BL7,0)</f>
        <v/>
      </c>
      <c r="CM7" s="195">
        <f>IF(AND(Z7="END",BF7="IF"),MAX(CJ7+CK7+CL7,-C7*100.1%),IF(AND(Z7="END",BF7="PU"),SUM(CJ7+CK7+CL7)-Q7-SUM(M7:O7),0))</f>
        <v/>
      </c>
      <c r="CN7" s="78" t="n"/>
      <c r="CO7" s="202">
        <f>BN7</f>
        <v/>
      </c>
      <c r="CP7" s="201">
        <f>BS7+BW7</f>
        <v/>
      </c>
      <c r="CQ7" s="201">
        <f>BT7</f>
        <v/>
      </c>
      <c r="CR7" s="201">
        <f>IF(AND(Z7="SEP",BL7="Sum Assured Due"),0,BY7+CA7+CD7+CE7+CJ7)</f>
        <v/>
      </c>
      <c r="CS7" s="201" t="n">
        <v>0</v>
      </c>
      <c r="CT7" s="201">
        <f>BX7</f>
        <v/>
      </c>
      <c r="CU7" s="201">
        <f>IF(AND(Z7="SEP",CC7="Rev. Bonus Due"),0,BU7+BZ7+CB7+CD7+CG7+CL7)</f>
        <v/>
      </c>
      <c r="CV7" s="201">
        <f>CI7+CK7</f>
        <v/>
      </c>
      <c r="CW7" s="201">
        <f>SUM(CP7:CV7)-Q7-SUM(M7+CO7)</f>
        <v/>
      </c>
      <c r="CX7" s="195">
        <f>SUM(BS7:CN7)-Q7-SUM(M7:O7)</f>
        <v/>
      </c>
    </row>
    <row r="8">
      <c r="A8" s="121" t="inlineStr">
        <is>
          <t>test5261192</t>
        </is>
      </c>
      <c r="B8" s="8" t="inlineStr">
        <is>
          <t>PU</t>
        </is>
      </c>
      <c r="C8" s="8" t="n">
        <v>-44748</v>
      </c>
      <c r="D8" s="8" t="n"/>
      <c r="E8" s="8" t="n">
        <v>-8000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>
        <v>-1.45</v>
      </c>
      <c r="R8" s="8" t="n"/>
      <c r="S8" s="8" t="n"/>
      <c r="T8" s="8" t="n"/>
      <c r="U8" s="8" t="inlineStr">
        <is>
          <t>IND</t>
        </is>
      </c>
      <c r="V8" s="8" t="inlineStr">
        <is>
          <t>11APR2016:00:00:00</t>
        </is>
      </c>
      <c r="W8" s="122" t="n">
        <v>42471</v>
      </c>
      <c r="X8" s="8" t="n">
        <v>14916</v>
      </c>
      <c r="Y8" s="8" t="n">
        <v>30000</v>
      </c>
      <c r="Z8" s="8" t="inlineStr">
        <is>
          <t>CSR</t>
        </is>
      </c>
      <c r="AA8" s="8" t="inlineStr">
        <is>
          <t>TRADITIONAL</t>
        </is>
      </c>
      <c r="AB8" s="8" t="inlineStr">
        <is>
          <t>Smart Cash Plus Plan (Regular)</t>
        </is>
      </c>
      <c r="AC8" s="8" t="n">
        <v>10</v>
      </c>
      <c r="AD8" s="8" t="n">
        <v>10</v>
      </c>
      <c r="AE8" s="8" t="n">
        <v>1</v>
      </c>
      <c r="AF8" s="122" t="n">
        <v>42471</v>
      </c>
      <c r="AG8" s="122" t="n">
        <v>43566</v>
      </c>
      <c r="AH8" s="122" t="n">
        <v>46123</v>
      </c>
      <c r="AI8" s="122" t="n">
        <v>46123</v>
      </c>
      <c r="AJ8" s="122" t="n">
        <v>23197</v>
      </c>
      <c r="AK8" s="8" t="n"/>
      <c r="AL8" s="8" t="n"/>
      <c r="AM8" s="8" t="n">
        <v>15251.62</v>
      </c>
      <c r="AN8" s="8" t="n"/>
      <c r="AO8" s="8" t="n">
        <v>15251.62</v>
      </c>
      <c r="AP8" s="8" t="n">
        <v>14916</v>
      </c>
      <c r="AQ8" s="8" t="n">
        <v>335.62</v>
      </c>
      <c r="AR8" s="8" t="inlineStr">
        <is>
          <t>CSR1</t>
        </is>
      </c>
      <c r="AS8" s="8" t="inlineStr">
        <is>
          <t>SmartCash Plus-R(Opt I 10*AP)</t>
        </is>
      </c>
      <c r="AT8" s="8" t="n">
        <v>100000</v>
      </c>
      <c r="AU8" s="8" t="inlineStr">
        <is>
          <t>NO</t>
        </is>
      </c>
      <c r="AV8" s="8" t="n"/>
      <c r="AW8" s="8" t="n">
        <v>30000</v>
      </c>
      <c r="AX8" s="8" t="n"/>
      <c r="AY8" s="8" t="n"/>
      <c r="AZ8" s="8" t="n"/>
      <c r="BA8" s="8" t="n">
        <v>63</v>
      </c>
      <c r="BB8" s="8" t="n">
        <v>14916</v>
      </c>
      <c r="BC8" s="8" t="n">
        <v>0</v>
      </c>
      <c r="BD8" s="8" t="n"/>
      <c r="BF8" s="79">
        <f>B8</f>
        <v/>
      </c>
      <c r="BG8" s="79">
        <f>DATEDIF(AF8,AH8,"Y")</f>
        <v/>
      </c>
      <c r="BH8" s="79">
        <f>AD8*AE8</f>
        <v/>
      </c>
      <c r="BI8" s="79">
        <f>ROUND((AG8-AF8)/365*AE8,0)</f>
        <v/>
      </c>
      <c r="BJ8" s="80">
        <f>BI8/BH8</f>
        <v/>
      </c>
      <c r="BK8" s="195">
        <f t="array" ref="BK8">IF(Z8="CSR",_xlfn.IFS(AE8=1,BB8,AE8=2,BB8/0.52,AE8=4,BB8/0.265,AE8=12,BB8/0.0834),IF(Z8="END",_xlfn.IFS(AE8=1,BB8,AE8=2,BB8/0.51,AE8=4,BB8/0.26,AE8=12,BB8/0.0834),0))</f>
        <v/>
      </c>
      <c r="BL8" s="82">
        <f>IF(BF8="IF",AT8,IF(BF8="PU",AT8*BI8/BH8,IF(BF8="PM",AT8*BI8/BH8,"")))</f>
        <v/>
      </c>
      <c r="BM8" s="196">
        <f>IF(AH8 &lt;= $BM$1,0,(M8+ N8)*((1 + $BN$1)^((AH8-$BM$1)/365)-1))</f>
        <v/>
      </c>
      <c r="BN8" s="196">
        <f>N8+BM8</f>
        <v/>
      </c>
      <c r="BO8" s="197">
        <f>ROUNDDOWN(DATEDIF(AF8,AG8,"Y"),0)</f>
        <v/>
      </c>
      <c r="BP8" s="161">
        <f>IF(B8&lt;&gt;"DH","NA",IF(AND(BO8&lt;3,AG8+IF(AE8&lt;&gt;12,30,15)&lt;AK8),"Lapsed Death",IF(AG8+IF(AE8&lt;&gt;12,30,15)&gt;=AK8,"Inforce Death","Paidup Death")))</f>
        <v/>
      </c>
      <c r="BQ8" s="82">
        <f>ROUND((AG8-AF8)/365,0)</f>
        <v/>
      </c>
      <c r="BR8" s="198">
        <f>IF(OR(Z8="CPF",Z8="CPH"),VLOOKUP(AY8,'Rate Table'!$B$16:$G$21,2,FALSE),0)</f>
        <v/>
      </c>
      <c r="BS8" s="198">
        <f>IF(OR(Z8="CPF", Z8="CPH"),IF(BF8="IF",2%*AT8*AC8,IF(BF8="PU",2%*AT8*BQ8,0)),0)</f>
        <v/>
      </c>
      <c r="BT8" s="198">
        <f>IF(AND(OR(Z8="CPF",Z8="CPH"),AY8="SS",BF8="IF"),2%*AT8*AC8,0)</f>
        <v/>
      </c>
      <c r="BU8" s="198">
        <f t="array" ref="BU8">IF(AND(OR(Z8="CPF",Z8="CPH"),OR(BF8="IF",BF8="PU")),_xlfn.IFS(AY8="CS",0.2*BL8,AY8="SS",1*BL8,AY8="PD",0.25*BL8,AY8="PG",0.5*BL8),0)</f>
        <v/>
      </c>
      <c r="BV8" s="195">
        <f>_xlfn.IFNA(IF(AND(OR(Z8="CPH",Z8="CPF"),OR(BF8="IF",BF8="PU"),BL8&lt;&gt;""),(SUM(BS8:BU8)),0),0)</f>
        <v/>
      </c>
      <c r="BW8" s="198">
        <f>IF(AND(Z8="RBC",BF8="IF"),7%*AT8*AD8,IF(AND(Z8="RBC",BF8="PU"),7%*AT8*AD8*BJ8,0))</f>
        <v/>
      </c>
      <c r="BX8" s="198">
        <f>IF(AND(Z8="RBC",BF8="IF"),VLOOKUP(AC8,'Rate Table'!$A$9:$G$13,HLOOKUP(DATEDIF('MAINCPF CPH DEP SEP END RBC CSR'!AF8,'MAINCPF CPH DEP SEP END RBC CSR'!AH8, "Y"),'Rate Table'!$B$9:$G$10,2,FALSE),FALSE)*'MAINCPF CPH DEP SEP END RBC CSR'!BL8,0)</f>
        <v/>
      </c>
      <c r="BY8" s="199">
        <f>IF($Z8="RBC",VLOOKUP(A8,'RBC_BONUS CALC'!A:AL,38,FALSE),0)</f>
        <v/>
      </c>
      <c r="BZ8" s="86">
        <f>IF(AND(Z8="RBC",OR(BF8="IF",BF8="PU"),BL8&lt;&gt;""),BL8,0)</f>
        <v/>
      </c>
      <c r="CA8" s="200">
        <f>IF($Z8="DEP",VLOOKUP(A8,'DEP_BONUS CALC'!A:AK,37,0),0)</f>
        <v/>
      </c>
      <c r="CB8" s="195">
        <f>IF(AND(Z8="DEP",OR(BF8="IF",BF8="PU"),BL8&lt;&gt;""),BL8,0)</f>
        <v/>
      </c>
      <c r="CC8" s="80">
        <f>IF(Z8="SEP",IF(BG8=AC8,"Rev. Bonus Due",IF(AD8=BG8,"Sum Assured Due","NA")),"NA")</f>
        <v/>
      </c>
      <c r="CD8" s="201">
        <f t="array" ref="CD8">IF(Z8="SEP",_xlfn.IFS(CC8="Rev. Bonus Due",VLOOKUP(A8,'SEP_BONUS CALC'!A:AL,38,0),CC8="Sum Assured Due",BL8,CC8="NA",0),)</f>
        <v/>
      </c>
      <c r="CE8" s="200">
        <f>IF($Z8="CSR",VLOOKUP(A8,'CSR_BONUS CALC'!A:AK,37,FALSE),0)</f>
        <v/>
      </c>
      <c r="CF8" s="198">
        <f>IF(Z8&lt;&gt;"CSR","0%",VLOOKUP(AT8,'Rate Table'!$A$2:$F$6,HLOOKUP('MAINCPF CPH DEP SEP END RBC CSR'!AC8,'Rate Table'!$B$2:$F$3,2,FALSE),TRUE))*BL8</f>
        <v/>
      </c>
      <c r="CG8" s="195">
        <f>IF(AND(Z8="CSR",OR(BF8="IF",BF8="PU"),BL8&lt;&gt;""),CF8+BL8,0)</f>
        <v/>
      </c>
      <c r="CH8" s="198">
        <f t="array" ref="CH8">IF(AND(Z8="CSR",B8="IF"),_xlfn.IFS(AC8=10,AT8*25%,AC8=13,AT8*45%,AC8=16,AT8*70%,AC8=19,AT8*100%,AC8=22,AT8*135%),0)</f>
        <v/>
      </c>
      <c r="CI8" s="195">
        <f>IF(AND(Z8="CSR",BF8="IF"),IF(((BK8*AD8*100.1%)-CH8)&gt;(CE8+CF8+CG8),((BK8*AD8*100.1%)-CH8)-(CE8+CF8+CG8),0),0)</f>
        <v/>
      </c>
      <c r="CJ8" s="200">
        <f>IF($Z8="END",VLOOKUP(A8,'END_BONUS CALC'!A:AK,37,0),0)</f>
        <v/>
      </c>
      <c r="CK8" s="195">
        <f>IF(AND(Z8="END",BF8="IF"),IF(((BK8*AD8*100.1%)&gt;(CJ8+CL8)),((BK8*AD8*100.1%)-(CJ8+CL8)),0),0)</f>
        <v/>
      </c>
      <c r="CL8" s="195">
        <f>IF(AND(Z8="END",OR(BF8="IF",BF8="PU"),BL8&lt;&gt;""),BL8,0)</f>
        <v/>
      </c>
      <c r="CM8" s="195">
        <f>IF(AND(Z8="END",BF8="IF"),MAX(CJ8+CK8+CL8,-C8*100.1%),IF(AND(Z8="END",BF8="PU"),SUM(CJ8+CK8+CL8)-Q8-SUM(M8:O8),0))</f>
        <v/>
      </c>
      <c r="CN8" s="78" t="n"/>
      <c r="CO8" s="202">
        <f>BN8</f>
        <v/>
      </c>
      <c r="CP8" s="201">
        <f>BS8+BW8</f>
        <v/>
      </c>
      <c r="CQ8" s="201">
        <f>BT8</f>
        <v/>
      </c>
      <c r="CR8" s="201">
        <f>IF(AND(Z8="SEP",BL8="Sum Assured Due"),0,BY8+CA8+CD8+CE8+CJ8)</f>
        <v/>
      </c>
      <c r="CS8" s="201" t="n">
        <v>0</v>
      </c>
      <c r="CT8" s="201">
        <f>BX8</f>
        <v/>
      </c>
      <c r="CU8" s="201">
        <f>IF(AND(Z8="SEP",CC8="Rev. Bonus Due"),0,BU8+BZ8+CB8+CD8+CG8+CL8)</f>
        <v/>
      </c>
      <c r="CV8" s="201">
        <f>CI8+CK8</f>
        <v/>
      </c>
      <c r="CW8" s="201">
        <f>SUM(CP8:CV8)-Q8-SUM(M8+CO8)</f>
        <v/>
      </c>
      <c r="CX8" s="195">
        <f>SUM(BS8:CN8)-Q8-SUM(M8:O8)</f>
        <v/>
      </c>
    </row>
    <row r="9">
      <c r="A9" s="121" t="inlineStr">
        <is>
          <t>test5261716</t>
        </is>
      </c>
      <c r="B9" s="8" t="inlineStr">
        <is>
          <t>IF</t>
        </is>
      </c>
      <c r="C9" s="8" t="n">
        <v>-105190</v>
      </c>
      <c r="D9" s="8" t="n"/>
      <c r="E9" s="8" t="n">
        <v>-13656.48</v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>
        <v>-0.34</v>
      </c>
      <c r="R9" s="8" t="n"/>
      <c r="S9" s="8" t="n"/>
      <c r="T9" s="8" t="n"/>
      <c r="U9" s="8" t="inlineStr">
        <is>
          <t>IND</t>
        </is>
      </c>
      <c r="V9" s="8" t="inlineStr">
        <is>
          <t>11APR2016:00:00:00</t>
        </is>
      </c>
      <c r="W9" s="122" t="n">
        <v>42471</v>
      </c>
      <c r="X9" s="8" t="n">
        <v>10519</v>
      </c>
      <c r="Y9" s="8" t="n">
        <v>70000</v>
      </c>
      <c r="Z9" s="8" t="inlineStr">
        <is>
          <t>END</t>
        </is>
      </c>
      <c r="AA9" s="8" t="inlineStr">
        <is>
          <t>TRADITIONAL</t>
        </is>
      </c>
      <c r="AB9" s="8" t="inlineStr">
        <is>
          <t>Endowment Plan (Rev)</t>
        </is>
      </c>
      <c r="AC9" s="8" t="n">
        <v>10</v>
      </c>
      <c r="AD9" s="8" t="n">
        <v>10</v>
      </c>
      <c r="AE9" s="8" t="n">
        <v>1</v>
      </c>
      <c r="AF9" s="122" t="n">
        <v>42471</v>
      </c>
      <c r="AG9" s="122" t="n">
        <v>46123</v>
      </c>
      <c r="AH9" s="122" t="n">
        <v>46123</v>
      </c>
      <c r="AI9" s="122" t="n">
        <v>46123</v>
      </c>
      <c r="AJ9" s="122" t="n">
        <v>24476</v>
      </c>
      <c r="AK9" s="8" t="n"/>
      <c r="AL9" s="8" t="n"/>
      <c r="AM9" s="8" t="n">
        <v>0</v>
      </c>
      <c r="AN9" s="8" t="n"/>
      <c r="AO9" s="8" t="n">
        <v>0</v>
      </c>
      <c r="AP9" s="8" t="n">
        <v>0</v>
      </c>
      <c r="AQ9" s="8" t="n">
        <v>0</v>
      </c>
      <c r="AR9" s="8" t="inlineStr">
        <is>
          <t>END1</t>
        </is>
      </c>
      <c r="AS9" s="8" t="inlineStr">
        <is>
          <t>Endowment Plan (Rev)</t>
        </is>
      </c>
      <c r="AT9" s="8" t="n">
        <v>70000</v>
      </c>
      <c r="AU9" s="8" t="inlineStr">
        <is>
          <t>NO</t>
        </is>
      </c>
      <c r="AV9" s="8" t="n"/>
      <c r="AW9" s="8" t="n">
        <v>70000</v>
      </c>
      <c r="AX9" s="8" t="n"/>
      <c r="AY9" s="8" t="n"/>
      <c r="AZ9" s="8" t="n"/>
      <c r="BA9" s="8" t="n">
        <v>59</v>
      </c>
      <c r="BB9" s="8" t="n">
        <v>10519</v>
      </c>
      <c r="BC9" s="8" t="n">
        <v>0</v>
      </c>
      <c r="BD9" s="8" t="n">
        <v>1</v>
      </c>
      <c r="BF9" s="79">
        <f>B9</f>
        <v/>
      </c>
      <c r="BG9" s="79">
        <f>DATEDIF(AF9,AH9,"Y")</f>
        <v/>
      </c>
      <c r="BH9" s="79">
        <f>AD9*AE9</f>
        <v/>
      </c>
      <c r="BI9" s="79">
        <f>ROUND((AG9-AF9)/365*AE9,0)</f>
        <v/>
      </c>
      <c r="BJ9" s="80">
        <f>BI9/BH9</f>
        <v/>
      </c>
      <c r="BK9" s="195">
        <f t="array" ref="BK9">IF(Z9="CSR",_xlfn.IFS(AE9=1,BB9,AE9=2,BB9/0.52,AE9=4,BB9/0.265,AE9=12,BB9/0.0834),IF(Z9="END",_xlfn.IFS(AE9=1,BB9,AE9=2,BB9/0.51,AE9=4,BB9/0.26,AE9=12,BB9/0.0834),0))</f>
        <v/>
      </c>
      <c r="BL9" s="82">
        <f>IF(BF9="IF",AT9,IF(BF9="PU",AT9*BI9/BH9,IF(BF9="PM",AT9*BI9/BH9,"")))</f>
        <v/>
      </c>
      <c r="BM9" s="196">
        <f>IF(AH9 &lt;= $BM$1,0,(M9+ N9)*((1 + $BN$1)^((AH9-$BM$1)/365)-1))</f>
        <v/>
      </c>
      <c r="BN9" s="196">
        <f>N9+BM9</f>
        <v/>
      </c>
      <c r="BO9" s="197">
        <f>ROUNDDOWN(DATEDIF(AF9,AG9,"Y"),0)</f>
        <v/>
      </c>
      <c r="BP9" s="161">
        <f>IF(B9&lt;&gt;"DH","NA",IF(AND(BO9&lt;3,AG9+IF(AE9&lt;&gt;12,30,15)&lt;AK9),"Lapsed Death",IF(AG9+IF(AE9&lt;&gt;12,30,15)&gt;=AK9,"Inforce Death","Paidup Death")))</f>
        <v/>
      </c>
      <c r="BQ9" s="82">
        <f>ROUND((AG9-AF9)/365,0)</f>
        <v/>
      </c>
      <c r="BR9" s="198">
        <f>IF(OR(Z9="CPF",Z9="CPH"),VLOOKUP(AY9,'Rate Table'!$B$16:$G$21,2,FALSE),0)</f>
        <v/>
      </c>
      <c r="BS9" s="198">
        <f>IF(OR(Z9="CPF", Z9="CPH"),IF(BF9="IF",2%*AT9*AC9,IF(BF9="PU",2%*AT9*BQ9,0)),0)</f>
        <v/>
      </c>
      <c r="BT9" s="198">
        <f>IF(AND(OR(Z9="CPF",Z9="CPH"),AY9="SS",BF9="IF"),2%*AT9*AC9,0)</f>
        <v/>
      </c>
      <c r="BU9" s="198">
        <f t="array" ref="BU9">IF(AND(OR(Z9="CPF",Z9="CPH"),OR(BF9="IF",BF9="PU")),_xlfn.IFS(AY9="CS",0.2*BL9,AY9="SS",1*BL9,AY9="PD",0.25*BL9,AY9="PG",0.5*BL9),0)</f>
        <v/>
      </c>
      <c r="BV9" s="195">
        <f>_xlfn.IFNA(IF(AND(OR(Z9="CPH",Z9="CPF"),OR(BF9="IF",BF9="PU"),BL9&lt;&gt;""),(SUM(BS9:BU9)),0),0)</f>
        <v/>
      </c>
      <c r="BW9" s="198">
        <f>IF(AND(Z9="RBC",BF9="IF"),7%*AT9*AD9,IF(AND(Z9="RBC",BF9="PU"),7%*AT9*AD9*BJ9,0))</f>
        <v/>
      </c>
      <c r="BX9" s="198">
        <f>IF(AND(Z9="RBC",BF9="IF"),VLOOKUP(AC9,'Rate Table'!$A$9:$G$13,HLOOKUP(DATEDIF('MAINCPF CPH DEP SEP END RBC CSR'!AF9,'MAINCPF CPH DEP SEP END RBC CSR'!AH9, "Y"),'Rate Table'!$B$9:$G$10,2,FALSE),FALSE)*'MAINCPF CPH DEP SEP END RBC CSR'!BL9,0)</f>
        <v/>
      </c>
      <c r="BY9" s="199">
        <f>IF($Z9="RBC",VLOOKUP(A9,'RBC_BONUS CALC'!A:AL,38,FALSE),0)</f>
        <v/>
      </c>
      <c r="BZ9" s="86">
        <f>IF(AND(Z9="RBC",OR(BF9="IF",BF9="PU"),BL9&lt;&gt;""),BL9,0)</f>
        <v/>
      </c>
      <c r="CA9" s="200">
        <f>IF($Z9="DEP",VLOOKUP(A9,'DEP_BONUS CALC'!A:AK,37,0),0)</f>
        <v/>
      </c>
      <c r="CB9" s="195">
        <f>IF(AND(Z9="DEP",OR(BF9="IF",BF9="PU"),BL9&lt;&gt;""),BL9,0)</f>
        <v/>
      </c>
      <c r="CC9" s="80">
        <f>IF(Z9="SEP",IF(BG9=AC9,"Rev. Bonus Due",IF(AD9=BG9,"Sum Assured Due","NA")),"NA")</f>
        <v/>
      </c>
      <c r="CD9" s="201">
        <f t="array" ref="CD9">IF(Z9="SEP",_xlfn.IFS(CC9="Rev. Bonus Due",VLOOKUP(A9,'SEP_BONUS CALC'!A:AL,38,0),CC9="Sum Assured Due",BL9,CC9="NA",0),)</f>
        <v/>
      </c>
      <c r="CE9" s="200">
        <f>IF($Z9="CSR",VLOOKUP(A9,'CSR_BONUS CALC'!A:AK,37,FALSE),0)</f>
        <v/>
      </c>
      <c r="CF9" s="198">
        <f>IF(Z9&lt;&gt;"CSR","0%",VLOOKUP(AT9,'Rate Table'!$A$2:$F$6,HLOOKUP('MAINCPF CPH DEP SEP END RBC CSR'!AC9,'Rate Table'!$B$2:$F$3,2,FALSE),TRUE))*BL9</f>
        <v/>
      </c>
      <c r="CG9" s="195">
        <f>IF(AND(Z9="CSR",OR(BF9="IF",BF9="PU"),BL9&lt;&gt;""),CF9+BL9,0)</f>
        <v/>
      </c>
      <c r="CH9" s="198">
        <f t="array" ref="CH9">IF(AND(Z9="CSR",B9="IF"),_xlfn.IFS(AC9=10,AT9*25%,AC9=13,AT9*45%,AC9=16,AT9*70%,AC9=19,AT9*100%,AC9=22,AT9*135%),0)</f>
        <v/>
      </c>
      <c r="CI9" s="195">
        <f>IF(AND(Z9="CSR",BF9="IF"),IF(((BK9*AD9*100.1%)-CH9)&gt;(CE9+CF9+CG9),((BK9*AD9*100.1%)-CH9)-(CE9+CF9+CG9),0),0)</f>
        <v/>
      </c>
      <c r="CJ9" s="200">
        <f>IF($Z9="END",VLOOKUP(A9,'END_BONUS CALC'!A:AK,37,0),0)</f>
        <v/>
      </c>
      <c r="CK9" s="195">
        <f>IF(AND(Z9="END",BF9="IF"),IF(((BK9*AD9*100.1%)&gt;(CJ9+CL9)),((BK9*AD9*100.1%)-(CJ9+CL9)),0),0)</f>
        <v/>
      </c>
      <c r="CL9" s="195">
        <f>IF(AND(Z9="END",OR(BF9="IF",BF9="PU"),BL9&lt;&gt;""),BL9,0)</f>
        <v/>
      </c>
      <c r="CM9" s="195">
        <f>IF(AND(Z9="END",BF9="IF"),MAX(CJ9+CK9+CL9,-C9*100.1%),IF(AND(Z9="END",BF9="PU"),SUM(CJ9+CK9+CL9)-Q9-SUM(M9:O9),0))</f>
        <v/>
      </c>
      <c r="CN9" s="78" t="n"/>
      <c r="CO9" s="202">
        <f>BN9</f>
        <v/>
      </c>
      <c r="CP9" s="201">
        <f>BS9+BW9</f>
        <v/>
      </c>
      <c r="CQ9" s="201">
        <f>BT9</f>
        <v/>
      </c>
      <c r="CR9" s="201">
        <f>IF(AND(Z9="SEP",BL9="Sum Assured Due"),0,BY9+CA9+CD9+CE9+CJ9)</f>
        <v/>
      </c>
      <c r="CS9" s="201" t="n">
        <v>0</v>
      </c>
      <c r="CT9" s="201">
        <f>BX9</f>
        <v/>
      </c>
      <c r="CU9" s="201">
        <f>IF(AND(Z9="SEP",CC9="Rev. Bonus Due"),0,BU9+BZ9+CB9+CD9+CG9+CL9)</f>
        <v/>
      </c>
      <c r="CV9" s="201">
        <f>CI9+CK9</f>
        <v/>
      </c>
      <c r="CW9" s="201">
        <f>SUM(CP9:CV9)-Q9-SUM(M9+CO9)</f>
        <v/>
      </c>
      <c r="CX9" s="195">
        <f>SUM(BS9:CN9)-Q9-SUM(M9:O9)</f>
        <v/>
      </c>
    </row>
    <row r="10">
      <c r="A10" s="121" t="inlineStr">
        <is>
          <t>test5262934</t>
        </is>
      </c>
      <c r="B10" s="8" t="inlineStr">
        <is>
          <t>PU</t>
        </is>
      </c>
      <c r="C10" s="8" t="n">
        <v>-93048</v>
      </c>
      <c r="D10" s="8" t="n"/>
      <c r="E10" s="8" t="n">
        <v>-14508.68</v>
      </c>
      <c r="F10" s="8" t="n"/>
      <c r="G10" s="8" t="n"/>
      <c r="H10" s="8" t="n"/>
      <c r="I10" s="8" t="n"/>
      <c r="J10" s="8" t="n"/>
      <c r="K10" s="8" t="n"/>
      <c r="L10" s="8" t="n"/>
      <c r="M10" s="8" t="n">
        <v>43285</v>
      </c>
      <c r="N10" s="8" t="n">
        <v>10355.62</v>
      </c>
      <c r="O10" s="8" t="n">
        <v>-10355.62</v>
      </c>
      <c r="P10" s="8" t="n"/>
      <c r="Q10" s="8" t="n">
        <v>-0.49</v>
      </c>
      <c r="R10" s="8" t="n"/>
      <c r="S10" s="8" t="n"/>
      <c r="T10" s="8" t="n">
        <v>215617</v>
      </c>
      <c r="U10" s="8" t="inlineStr">
        <is>
          <t>IND</t>
        </is>
      </c>
      <c r="V10" s="8" t="inlineStr">
        <is>
          <t>11APR2016:00:00:00</t>
        </is>
      </c>
      <c r="W10" s="122" t="n">
        <v>42471</v>
      </c>
      <c r="X10" s="8" t="n">
        <v>7754</v>
      </c>
      <c r="Y10" s="8" t="n">
        <v>69000</v>
      </c>
      <c r="Z10" s="8" t="inlineStr">
        <is>
          <t>END</t>
        </is>
      </c>
      <c r="AA10" s="8" t="inlineStr">
        <is>
          <t>TRADITIONAL</t>
        </is>
      </c>
      <c r="AB10" s="8" t="inlineStr">
        <is>
          <t>Endowment Plan (Rev)</t>
        </is>
      </c>
      <c r="AC10" s="8" t="n">
        <v>10</v>
      </c>
      <c r="AD10" s="8" t="n">
        <v>10</v>
      </c>
      <c r="AE10" s="8" t="n">
        <v>2</v>
      </c>
      <c r="AF10" s="122" t="n">
        <v>42471</v>
      </c>
      <c r="AG10" s="122" t="n">
        <v>44662</v>
      </c>
      <c r="AH10" s="122" t="n">
        <v>46123</v>
      </c>
      <c r="AI10" s="122" t="n">
        <v>46123</v>
      </c>
      <c r="AJ10" s="122" t="n">
        <v>32320</v>
      </c>
      <c r="AK10" s="8" t="n"/>
      <c r="AL10" s="8" t="n"/>
      <c r="AM10" s="8" t="n">
        <v>15856.92</v>
      </c>
      <c r="AN10" s="8" t="n"/>
      <c r="AO10" s="8" t="n">
        <v>7928.46</v>
      </c>
      <c r="AP10" s="8" t="n">
        <v>7754</v>
      </c>
      <c r="AQ10" s="8" t="n">
        <v>174.46</v>
      </c>
      <c r="AR10" s="8" t="inlineStr">
        <is>
          <t>END1</t>
        </is>
      </c>
      <c r="AS10" s="8" t="inlineStr">
        <is>
          <t>Endowment Plan (Rev)</t>
        </is>
      </c>
      <c r="AT10" s="8" t="n">
        <v>115000</v>
      </c>
      <c r="AU10" s="8" t="inlineStr">
        <is>
          <t>YES</t>
        </is>
      </c>
      <c r="AV10" s="8" t="n"/>
      <c r="AW10" s="8" t="n">
        <v>69000</v>
      </c>
      <c r="AX10" s="8" t="n"/>
      <c r="AY10" s="8" t="n"/>
      <c r="AZ10" s="8" t="n"/>
      <c r="BA10" s="8" t="n">
        <v>38</v>
      </c>
      <c r="BB10" s="8" t="n">
        <v>7754</v>
      </c>
      <c r="BC10" s="8" t="n">
        <v>0</v>
      </c>
      <c r="BD10" s="8" t="n">
        <v>0.51</v>
      </c>
      <c r="BF10" s="79">
        <f>B10</f>
        <v/>
      </c>
      <c r="BG10" s="79">
        <f>DATEDIF(AF10,AH10,"Y")</f>
        <v/>
      </c>
      <c r="BH10" s="79">
        <f>AD10*AE10</f>
        <v/>
      </c>
      <c r="BI10" s="79">
        <f>ROUND((AG10-AF10)/365*AE10,0)</f>
        <v/>
      </c>
      <c r="BJ10" s="80">
        <f>BI10/BH10</f>
        <v/>
      </c>
      <c r="BK10" s="195">
        <f t="array" ref="BK10">IF(Z10="CSR",_xlfn.IFS(AE10=1,BB10,AE10=2,BB10/0.52,AE10=4,BB10/0.265,AE10=12,BB10/0.0834),IF(Z10="END",_xlfn.IFS(AE10=1,BB10,AE10=2,BB10/0.51,AE10=4,BB10/0.26,AE10=12,BB10/0.0834),0))</f>
        <v/>
      </c>
      <c r="BL10" s="82">
        <f>IF(BF10="IF",AT10,IF(BF10="PU",AT10*BI10/BH10,IF(BF10="PM",AT10*BI10/BH10,"")))</f>
        <v/>
      </c>
      <c r="BM10" s="196">
        <f>IF(AH10 &lt;= $BM$1,0,(M10+ N10)*((1 + $BN$1)^((AH10-$BM$1)/365)-1))</f>
        <v/>
      </c>
      <c r="BN10" s="196">
        <f>N10+BM10</f>
        <v/>
      </c>
      <c r="BO10" s="197">
        <f>ROUNDDOWN(DATEDIF(AF10,AG10,"Y"),0)</f>
        <v/>
      </c>
      <c r="BP10" s="161">
        <f>IF(B10&lt;&gt;"DH","NA",IF(AND(BO10&lt;3,AG10+IF(AE10&lt;&gt;12,30,15)&lt;AK10),"Lapsed Death",IF(AG10+IF(AE10&lt;&gt;12,30,15)&gt;=AK10,"Inforce Death","Paidup Death")))</f>
        <v/>
      </c>
      <c r="BQ10" s="82">
        <f>ROUND((AG10-AF10)/365,0)</f>
        <v/>
      </c>
      <c r="BR10" s="198">
        <f>IF(OR(Z10="CPF",Z10="CPH"),VLOOKUP(AY10,'Rate Table'!$B$16:$G$21,2,FALSE),0)</f>
        <v/>
      </c>
      <c r="BS10" s="198">
        <f>IF(OR(Z10="CPF", Z10="CPH"),IF(BF10="IF",2%*AT10*AC10,IF(BF10="PU",2%*AT10*BQ10,0)),0)</f>
        <v/>
      </c>
      <c r="BT10" s="198">
        <f>IF(AND(OR(Z10="CPF",Z10="CPH"),AY10="SS",BF10="IF"),2%*AT10*AC10,0)</f>
        <v/>
      </c>
      <c r="BU10" s="198">
        <f t="array" ref="BU10">IF(AND(OR(Z10="CPF",Z10="CPH"),OR(BF10="IF",BF10="PU")),_xlfn.IFS(AY10="CS",0.2*BL10,AY10="SS",1*BL10,AY10="PD",0.25*BL10,AY10="PG",0.5*BL10),0)</f>
        <v/>
      </c>
      <c r="BV10" s="195">
        <f>_xlfn.IFNA(IF(AND(OR(Z10="CPH",Z10="CPF"),OR(BF10="IF",BF10="PU"),BL10&lt;&gt;""),(SUM(BS10:BU10)),0),0)</f>
        <v/>
      </c>
      <c r="BW10" s="198">
        <f>IF(AND(Z10="RBC",BF10="IF"),7%*AT10*AD10,IF(AND(Z10="RBC",BF10="PU"),7%*AT10*AD10*BJ10,0))</f>
        <v/>
      </c>
      <c r="BX10" s="198">
        <f>IF(AND(Z10="RBC",BF10="IF"),VLOOKUP(AC10,'Rate Table'!$A$9:$G$13,HLOOKUP(DATEDIF('MAINCPF CPH DEP SEP END RBC CSR'!AF10,'MAINCPF CPH DEP SEP END RBC CSR'!AH10, "Y"),'Rate Table'!$B$9:$G$10,2,FALSE),FALSE)*'MAINCPF CPH DEP SEP END RBC CSR'!BL10,0)</f>
        <v/>
      </c>
      <c r="BY10" s="199">
        <f>IF($Z10="RBC",VLOOKUP(A10,'RBC_BONUS CALC'!A:AL,38,FALSE),0)</f>
        <v/>
      </c>
      <c r="BZ10" s="86">
        <f>IF(AND(Z10="RBC",OR(BF10="IF",BF10="PU"),BL10&lt;&gt;""),BL10,0)</f>
        <v/>
      </c>
      <c r="CA10" s="200">
        <f>IF($Z10="DEP",VLOOKUP(A10,'DEP_BONUS CALC'!A:AK,37,0),0)</f>
        <v/>
      </c>
      <c r="CB10" s="195">
        <f>IF(AND(Z10="DEP",OR(BF10="IF",BF10="PU"),BL10&lt;&gt;""),BL10,0)</f>
        <v/>
      </c>
      <c r="CC10" s="80">
        <f>IF(Z10="SEP",IF(BG10=AC10,"Rev. Bonus Due",IF(AD10=BG10,"Sum Assured Due","NA")),"NA")</f>
        <v/>
      </c>
      <c r="CD10" s="201">
        <f t="array" ref="CD10">IF(Z10="SEP",_xlfn.IFS(CC10="Rev. Bonus Due",VLOOKUP(A10,'SEP_BONUS CALC'!A:AL,38,0),CC10="Sum Assured Due",BL10,CC10="NA",0),)</f>
        <v/>
      </c>
      <c r="CE10" s="200">
        <f>IF($Z10="CSR",VLOOKUP(A10,'CSR_BONUS CALC'!A:AK,37,FALSE),0)</f>
        <v/>
      </c>
      <c r="CF10" s="198">
        <f>IF(Z10&lt;&gt;"CSR","0%",VLOOKUP(AT10,'Rate Table'!$A$2:$F$6,HLOOKUP('MAINCPF CPH DEP SEP END RBC CSR'!AC10,'Rate Table'!$B$2:$F$3,2,FALSE),TRUE))*BL10</f>
        <v/>
      </c>
      <c r="CG10" s="195">
        <f>IF(AND(Z10="CSR",OR(BF10="IF",BF10="PU"),BL10&lt;&gt;""),CF10+BL10,0)</f>
        <v/>
      </c>
      <c r="CH10" s="198">
        <f t="array" ref="CH10">IF(AND(Z10="CSR",B10="IF"),_xlfn.IFS(AC10=10,AT10*25%,AC10=13,AT10*45%,AC10=16,AT10*70%,AC10=19,AT10*100%,AC10=22,AT10*135%),0)</f>
        <v/>
      </c>
      <c r="CI10" s="195">
        <f>IF(AND(Z10="CSR",BF10="IF"),IF(((BK10*AD10*100.1%)-CH10)&gt;(CE10+CF10+CG10),((BK10*AD10*100.1%)-CH10)-(CE10+CF10+CG10),0),0)</f>
        <v/>
      </c>
      <c r="CJ10" s="200">
        <f>IF($Z10="END",VLOOKUP(A10,'END_BONUS CALC'!A:AK,37,0),0)</f>
        <v/>
      </c>
      <c r="CK10" s="195">
        <f>IF(AND(Z10="END",BF10="IF"),IF(((BK10*AD10*100.1%)&gt;(CJ10+CL10)),((BK10*AD10*100.1%)-(CJ10+CL10)),0),0)</f>
        <v/>
      </c>
      <c r="CL10" s="195">
        <f>IF(AND(Z10="END",OR(BF10="IF",BF10="PU"),BL10&lt;&gt;""),BL10,0)</f>
        <v/>
      </c>
      <c r="CM10" s="195">
        <f>IF(AND(Z10="END",BF10="IF"),MAX(CJ10+CK10+CL10,-C10*100.1%),IF(AND(Z10="END",BF10="PU"),SUM(CJ10+CK10+CL10)-Q10-SUM(M10:O10),0))</f>
        <v/>
      </c>
      <c r="CN10" s="78" t="n"/>
      <c r="CO10" s="202">
        <f>BN10</f>
        <v/>
      </c>
      <c r="CP10" s="201">
        <f>BS10+BW10</f>
        <v/>
      </c>
      <c r="CQ10" s="201">
        <f>BT10</f>
        <v/>
      </c>
      <c r="CR10" s="201">
        <f>IF(AND(Z10="SEP",BL10="Sum Assured Due"),0,BY10+CA10+CD10+CE10+CJ10)</f>
        <v/>
      </c>
      <c r="CS10" s="201" t="n">
        <v>0</v>
      </c>
      <c r="CT10" s="201">
        <f>BX10</f>
        <v/>
      </c>
      <c r="CU10" s="201">
        <f>IF(AND(Z10="SEP",CC10="Rev. Bonus Due"),0,BU10+BZ10+CB10+CD10+CG10+CL10)</f>
        <v/>
      </c>
      <c r="CV10" s="201">
        <f>CI10+CK10</f>
        <v/>
      </c>
      <c r="CW10" s="201">
        <f>SUM(CP10:CV10)-Q10-SUM(M10+CO10)</f>
        <v/>
      </c>
      <c r="CX10" s="195">
        <f>SUM(BS10:CN10)-Q10-SUM(M10:O10)</f>
        <v/>
      </c>
    </row>
    <row r="11">
      <c r="A11" s="121" t="inlineStr">
        <is>
          <t>test5263254</t>
        </is>
      </c>
      <c r="B11" s="8" t="inlineStr">
        <is>
          <t>IF</t>
        </is>
      </c>
      <c r="C11" s="8" t="n">
        <v>-240240</v>
      </c>
      <c r="D11" s="8" t="n"/>
      <c r="E11" s="8" t="n">
        <v>-77169.33</v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>
        <v>0</v>
      </c>
      <c r="R11" s="8" t="n"/>
      <c r="S11" s="8" t="n"/>
      <c r="T11" s="8" t="n"/>
      <c r="U11" s="8" t="inlineStr">
        <is>
          <t>IND</t>
        </is>
      </c>
      <c r="V11" s="8" t="inlineStr">
        <is>
          <t>14APR2016:00:00:00</t>
        </is>
      </c>
      <c r="W11" s="122" t="n">
        <v>42474</v>
      </c>
      <c r="X11" s="8" t="n">
        <v>4004</v>
      </c>
      <c r="Y11" s="8" t="n">
        <v>139734</v>
      </c>
      <c r="Z11" s="8" t="inlineStr">
        <is>
          <t>RBC</t>
        </is>
      </c>
      <c r="AA11" s="8" t="inlineStr">
        <is>
          <t>TRADITIONAL</t>
        </is>
      </c>
      <c r="AB11" s="8" t="inlineStr">
        <is>
          <t>Reliance Blue Chip Plan</t>
        </is>
      </c>
      <c r="AC11" s="8" t="n">
        <v>10</v>
      </c>
      <c r="AD11" s="8" t="n">
        <v>5</v>
      </c>
      <c r="AE11" s="8" t="n">
        <v>12</v>
      </c>
      <c r="AF11" s="122" t="n">
        <v>42474</v>
      </c>
      <c r="AG11" s="122" t="n">
        <v>44300</v>
      </c>
      <c r="AH11" s="122" t="n">
        <v>46126</v>
      </c>
      <c r="AI11" s="122" t="n">
        <v>44300</v>
      </c>
      <c r="AJ11" s="122" t="n">
        <v>25848</v>
      </c>
      <c r="AK11" s="8" t="n"/>
      <c r="AL11" s="8" t="inlineStr">
        <is>
          <t>VM</t>
        </is>
      </c>
      <c r="AM11" s="8" t="n">
        <v>0</v>
      </c>
      <c r="AN11" s="8" t="n"/>
      <c r="AO11" s="8" t="n">
        <v>0</v>
      </c>
      <c r="AP11" s="8" t="n">
        <v>0</v>
      </c>
      <c r="AQ11" s="8" t="n">
        <v>0</v>
      </c>
      <c r="AR11" s="8" t="inlineStr">
        <is>
          <t>RBC1</t>
        </is>
      </c>
      <c r="AS11" s="8" t="inlineStr">
        <is>
          <t>Reliance Blue chip 10X SA.</t>
        </is>
      </c>
      <c r="AT11" s="8" t="n">
        <v>139734</v>
      </c>
      <c r="AU11" s="8" t="inlineStr">
        <is>
          <t>NO</t>
        </is>
      </c>
      <c r="AV11" s="8" t="n"/>
      <c r="AW11" s="8" t="n">
        <v>139734</v>
      </c>
      <c r="AX11" s="8" t="n"/>
      <c r="AY11" s="8" t="n"/>
      <c r="AZ11" s="8" t="n"/>
      <c r="BA11" s="8" t="n">
        <v>56</v>
      </c>
      <c r="BB11" s="8" t="n">
        <v>4004</v>
      </c>
      <c r="BC11" s="8" t="n">
        <v>0</v>
      </c>
      <c r="BD11" s="8" t="n"/>
      <c r="BF11" s="79">
        <f>B11</f>
        <v/>
      </c>
      <c r="BG11" s="79">
        <f>DATEDIF(AF11,AH11,"Y")</f>
        <v/>
      </c>
      <c r="BH11" s="79">
        <f>AD11*AE11</f>
        <v/>
      </c>
      <c r="BI11" s="79">
        <f>ROUND((AG11-AF11)/365*AE11,0)</f>
        <v/>
      </c>
      <c r="BJ11" s="80">
        <f>BI11/BH11</f>
        <v/>
      </c>
      <c r="BK11" s="195">
        <f t="array" ref="BK11">IF(Z11="CSR",_xlfn.IFS(AE11=1,BB11,AE11=2,BB11/0.52,AE11=4,BB11/0.265,AE11=12,BB11/0.0834),IF(Z11="END",_xlfn.IFS(AE11=1,BB11,AE11=2,BB11/0.51,AE11=4,BB11/0.26,AE11=12,BB11/0.0834),0))</f>
        <v/>
      </c>
      <c r="BL11" s="82">
        <f>IF(BF11="IF",AT11,IF(BF11="PU",AT11*BI11/BH11,IF(BF11="PM",AT11*BI11/BH11,"")))</f>
        <v/>
      </c>
      <c r="BM11" s="196">
        <f>IF(AH11 &lt;= $BM$1,0,(M11+ N11)*((1 + $BN$1)^((AH11-$BM$1)/365)-1))</f>
        <v/>
      </c>
      <c r="BN11" s="196">
        <f>N11+BM11</f>
        <v/>
      </c>
      <c r="BO11" s="197">
        <f>ROUNDDOWN(DATEDIF(AF11,AG11,"Y"),0)</f>
        <v/>
      </c>
      <c r="BP11" s="161">
        <f>IF(B11&lt;&gt;"DH","NA",IF(AND(BO11&lt;3,AG11+IF(AE11&lt;&gt;12,30,15)&lt;AK11),"Lapsed Death",IF(AG11+IF(AE11&lt;&gt;12,30,15)&gt;=AK11,"Inforce Death","Paidup Death")))</f>
        <v/>
      </c>
      <c r="BQ11" s="82">
        <f>ROUND((AG11-AF11)/365,0)</f>
        <v/>
      </c>
      <c r="BR11" s="198">
        <f>IF(OR(Z11="CPF",Z11="CPH"),VLOOKUP(AY11,'Rate Table'!$B$16:$G$21,2,FALSE),0)</f>
        <v/>
      </c>
      <c r="BS11" s="198">
        <f>IF(OR(Z11="CPF", Z11="CPH"),IF(BF11="IF",2%*AT11*AC11,IF(BF11="PU",2%*AT11*BQ11,0)),0)</f>
        <v/>
      </c>
      <c r="BT11" s="198">
        <f>IF(AND(OR(Z11="CPF",Z11="CPH"),AY11="SS",BF11="IF"),2%*AT11*AC11,0)</f>
        <v/>
      </c>
      <c r="BU11" s="198">
        <f t="array" ref="BU11">IF(AND(OR(Z11="CPF",Z11="CPH"),OR(BF11="IF",BF11="PU")),_xlfn.IFS(AY11="CS",0.2*BL11,AY11="SS",1*BL11,AY11="PD",0.25*BL11,AY11="PG",0.5*BL11),0)</f>
        <v/>
      </c>
      <c r="BV11" s="195">
        <f>_xlfn.IFNA(IF(AND(OR(Z11="CPH",Z11="CPF"),OR(BF11="IF",BF11="PU"),BL11&lt;&gt;""),(SUM(BS11:BU11)),0),0)</f>
        <v/>
      </c>
      <c r="BW11" s="198">
        <f>IF(AND(Z11="RBC",BF11="IF"),7%*AT11*AD11,IF(AND(Z11="RBC",BF11="PU"),7%*AT11*AD11*BJ11,0))</f>
        <v/>
      </c>
      <c r="BX11" s="198">
        <f>IF(AND(Z11="RBC",BF11="IF"),VLOOKUP(AC11,'Rate Table'!$A$9:$G$13,HLOOKUP(DATEDIF('MAINCPF CPH DEP SEP END RBC CSR'!AF11,'MAINCPF CPH DEP SEP END RBC CSR'!AH11, "Y"),'Rate Table'!$B$9:$G$10,2,FALSE),FALSE)*'MAINCPF CPH DEP SEP END RBC CSR'!BL11,0)</f>
        <v/>
      </c>
      <c r="BY11" s="199">
        <f>IF($Z11="RBC",VLOOKUP(A11,'RBC_BONUS CALC'!A:AL,38,FALSE),0)</f>
        <v/>
      </c>
      <c r="BZ11" s="86">
        <f>IF(AND(Z11="RBC",OR(BF11="IF",BF11="PU"),BL11&lt;&gt;""),BL11,0)</f>
        <v/>
      </c>
      <c r="CA11" s="200">
        <f>IF($Z11="DEP",VLOOKUP(A11,'DEP_BONUS CALC'!A:AK,37,0),0)</f>
        <v/>
      </c>
      <c r="CB11" s="195">
        <f>IF(AND(Z11="DEP",OR(BF11="IF",BF11="PU"),BL11&lt;&gt;""),BL11,0)</f>
        <v/>
      </c>
      <c r="CC11" s="80">
        <f>IF(Z11="SEP",IF(BG11=AC11,"Rev. Bonus Due",IF(AD11=BG11,"Sum Assured Due","NA")),"NA")</f>
        <v/>
      </c>
      <c r="CD11" s="201">
        <f t="array" ref="CD11">IF(Z11="SEP",_xlfn.IFS(CC11="Rev. Bonus Due",VLOOKUP(A11,'SEP_BONUS CALC'!A:AL,38,0),CC11="Sum Assured Due",BL11,CC11="NA",0),)</f>
        <v/>
      </c>
      <c r="CE11" s="200">
        <f>IF($Z11="CSR",VLOOKUP(A11,'CSR_BONUS CALC'!A:AK,37,FALSE),0)</f>
        <v/>
      </c>
      <c r="CF11" s="198">
        <f>IF(Z11&lt;&gt;"CSR","0%",VLOOKUP(AT11,'Rate Table'!$A$2:$F$6,HLOOKUP('MAINCPF CPH DEP SEP END RBC CSR'!AC11,'Rate Table'!$B$2:$F$3,2,FALSE),TRUE))*BL11</f>
        <v/>
      </c>
      <c r="CG11" s="195">
        <f>IF(AND(Z11="CSR",OR(BF11="IF",BF11="PU"),BL11&lt;&gt;""),CF11+BL11,0)</f>
        <v/>
      </c>
      <c r="CH11" s="198">
        <f t="array" ref="CH11">IF(AND(Z11="CSR",B11="IF"),_xlfn.IFS(AC11=10,AT11*25%,AC11=13,AT11*45%,AC11=16,AT11*70%,AC11=19,AT11*100%,AC11=22,AT11*135%),0)</f>
        <v/>
      </c>
      <c r="CI11" s="195">
        <f>IF(AND(Z11="CSR",BF11="IF"),IF(((BK11*AD11*100.1%)-CH11)&gt;(CE11+CF11+CG11),((BK11*AD11*100.1%)-CH11)-(CE11+CF11+CG11),0),0)</f>
        <v/>
      </c>
      <c r="CJ11" s="200">
        <f>IF($Z11="END",VLOOKUP(A11,'END_BONUS CALC'!A:AK,37,0),0)</f>
        <v/>
      </c>
      <c r="CK11" s="195">
        <f>IF(AND(Z11="END",BF11="IF"),IF(((BK11*AD11*100.1%)&gt;(CJ11+CL11)),((BK11*AD11*100.1%)-(CJ11+CL11)),0),0)</f>
        <v/>
      </c>
      <c r="CL11" s="195">
        <f>IF(AND(Z11="END",OR(BF11="IF",BF11="PU"),BL11&lt;&gt;""),BL11,0)</f>
        <v/>
      </c>
      <c r="CM11" s="195">
        <f>IF(AND(Z11="END",BF11="IF"),MAX(CJ11+CK11+CL11,-C11*100.1%),IF(AND(Z11="END",BF11="PU"),SUM(CJ11+CK11+CL11)-Q11-SUM(M11:O11),0))</f>
        <v/>
      </c>
      <c r="CN11" s="78" t="n"/>
      <c r="CO11" s="202">
        <f>BN11</f>
        <v/>
      </c>
      <c r="CP11" s="201">
        <f>BS11+BW11</f>
        <v/>
      </c>
      <c r="CQ11" s="201">
        <f>BT11</f>
        <v/>
      </c>
      <c r="CR11" s="201">
        <f>IF(AND(Z11="SEP",BL11="Sum Assured Due"),0,BY11+CA11+CD11+CE11+CJ11)</f>
        <v/>
      </c>
      <c r="CS11" s="201" t="n">
        <v>0</v>
      </c>
      <c r="CT11" s="201">
        <f>BX11</f>
        <v/>
      </c>
      <c r="CU11" s="201">
        <f>IF(AND(Z11="SEP",CC11="Rev. Bonus Due"),0,BU11+BZ11+CB11+CD11+CG11+CL11)</f>
        <v/>
      </c>
      <c r="CV11" s="201">
        <f>CI11+CK11</f>
        <v/>
      </c>
      <c r="CW11" s="201">
        <f>SUM(CP11:CV11)-Q11-SUM(M11+CO11)</f>
        <v/>
      </c>
      <c r="CX11" s="195">
        <f>SUM(BS11:CN11)-Q11-SUM(M11:O11)</f>
        <v/>
      </c>
    </row>
    <row r="12">
      <c r="A12" s="121" t="inlineStr">
        <is>
          <t>test5263328</t>
        </is>
      </c>
      <c r="B12" s="8" t="inlineStr">
        <is>
          <t>PU</t>
        </is>
      </c>
      <c r="C12" s="8" t="n">
        <v>-1930040</v>
      </c>
      <c r="D12" s="8" t="n"/>
      <c r="E12" s="8" t="n">
        <v>-338124.4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>
        <v>-0.04</v>
      </c>
      <c r="R12" s="8" t="n"/>
      <c r="S12" s="8" t="n"/>
      <c r="T12" s="8" t="n"/>
      <c r="U12" s="8" t="inlineStr">
        <is>
          <t>IND</t>
        </is>
      </c>
      <c r="V12" s="8" t="inlineStr">
        <is>
          <t>15APR2016:00:00:00</t>
        </is>
      </c>
      <c r="W12" s="122" t="n">
        <v>42475</v>
      </c>
      <c r="X12" s="8" t="n">
        <v>482510</v>
      </c>
      <c r="Y12" s="8" t="n">
        <v>1229543.2</v>
      </c>
      <c r="Z12" s="8" t="inlineStr">
        <is>
          <t>RBC</t>
        </is>
      </c>
      <c r="AA12" s="8" t="inlineStr">
        <is>
          <t>TRADITIONAL</t>
        </is>
      </c>
      <c r="AB12" s="8" t="inlineStr">
        <is>
          <t>Reliance Blue Chip Plan</t>
        </is>
      </c>
      <c r="AC12" s="8" t="n">
        <v>10</v>
      </c>
      <c r="AD12" s="8" t="n">
        <v>5</v>
      </c>
      <c r="AE12" s="8" t="n">
        <v>1</v>
      </c>
      <c r="AF12" s="122" t="n">
        <v>42475</v>
      </c>
      <c r="AG12" s="122" t="n">
        <v>43936</v>
      </c>
      <c r="AH12" s="122" t="n">
        <v>46127</v>
      </c>
      <c r="AI12" s="122" t="n">
        <v>44301</v>
      </c>
      <c r="AJ12" s="122" t="n">
        <v>30926</v>
      </c>
      <c r="AK12" s="8" t="n"/>
      <c r="AL12" s="8" t="inlineStr">
        <is>
          <t>VM</t>
        </is>
      </c>
      <c r="AM12" s="8" t="n">
        <v>493969.62</v>
      </c>
      <c r="AN12" s="8" t="n"/>
      <c r="AO12" s="8" t="n">
        <v>493969.62</v>
      </c>
      <c r="AP12" s="8" t="n">
        <v>482510</v>
      </c>
      <c r="AQ12" s="8" t="n">
        <v>11459.62</v>
      </c>
      <c r="AR12" s="8" t="inlineStr">
        <is>
          <t>RBC1</t>
        </is>
      </c>
      <c r="AS12" s="8" t="inlineStr">
        <is>
          <t>Reliance Blue chip 10X SA.</t>
        </is>
      </c>
      <c r="AT12" s="8" t="n">
        <v>1536929</v>
      </c>
      <c r="AU12" s="8" t="inlineStr">
        <is>
          <t>NO</t>
        </is>
      </c>
      <c r="AV12" s="8" t="n"/>
      <c r="AW12" s="8" t="n">
        <v>1229543.2</v>
      </c>
      <c r="AX12" s="8" t="n"/>
      <c r="AY12" s="8" t="n"/>
      <c r="AZ12" s="8" t="n"/>
      <c r="BA12" s="8" t="n">
        <v>42</v>
      </c>
      <c r="BB12" s="8" t="n">
        <v>482510</v>
      </c>
      <c r="BC12" s="8" t="n">
        <v>0</v>
      </c>
      <c r="BD12" s="8" t="n"/>
      <c r="BF12" s="79">
        <f>B12</f>
        <v/>
      </c>
      <c r="BG12" s="79">
        <f>DATEDIF(AF12,AH12,"Y")</f>
        <v/>
      </c>
      <c r="BH12" s="79">
        <f>AD12*AE12</f>
        <v/>
      </c>
      <c r="BI12" s="79">
        <f>ROUND((AG12-AF12)/365*AE12,0)</f>
        <v/>
      </c>
      <c r="BJ12" s="80">
        <f>BI12/BH12</f>
        <v/>
      </c>
      <c r="BK12" s="195">
        <f t="array" ref="BK12">IF(Z12="CSR",_xlfn.IFS(AE12=1,BB12,AE12=2,BB12/0.52,AE12=4,BB12/0.265,AE12=12,BB12/0.0834),IF(Z12="END",_xlfn.IFS(AE12=1,BB12,AE12=2,BB12/0.51,AE12=4,BB12/0.26,AE12=12,BB12/0.0834),0))</f>
        <v/>
      </c>
      <c r="BL12" s="82">
        <f>IF(BF12="IF",AT12,IF(BF12="PU",AT12*BI12/BH12,IF(BF12="PM",AT12*BI12/BH12,"")))</f>
        <v/>
      </c>
      <c r="BM12" s="196">
        <f>IF(AH12 &lt;= $BM$1,0,(M12+ N12)*((1 + $BN$1)^((AH12-$BM$1)/365)-1))</f>
        <v/>
      </c>
      <c r="BN12" s="196">
        <f>N12+BM12</f>
        <v/>
      </c>
      <c r="BO12" s="197">
        <f>ROUNDDOWN(DATEDIF(AF12,AG12,"Y"),0)</f>
        <v/>
      </c>
      <c r="BP12" s="161">
        <f>IF(B12&lt;&gt;"DH","NA",IF(AND(BO12&lt;3,AG12+IF(AE12&lt;&gt;12,30,15)&lt;AK12),"Lapsed Death",IF(AG12+IF(AE12&lt;&gt;12,30,15)&gt;=AK12,"Inforce Death","Paidup Death")))</f>
        <v/>
      </c>
      <c r="BQ12" s="82">
        <f>ROUND((AG12-AF12)/365,0)</f>
        <v/>
      </c>
      <c r="BR12" s="198">
        <f>IF(OR(Z12="CPF",Z12="CPH"),VLOOKUP(AY12,'Rate Table'!$B$16:$G$21,2,FALSE),0)</f>
        <v/>
      </c>
      <c r="BS12" s="198">
        <f>IF(OR(Z12="CPF", Z12="CPH"),IF(BF12="IF",2%*AT12*AC12,IF(BF12="PU",2%*AT12*BQ12,0)),0)</f>
        <v/>
      </c>
      <c r="BT12" s="198">
        <f>IF(AND(OR(Z12="CPF",Z12="CPH"),AY12="SS",BF12="IF"),2%*AT12*AC12,0)</f>
        <v/>
      </c>
      <c r="BU12" s="198">
        <f t="array" ref="BU12">IF(AND(OR(Z12="CPF",Z12="CPH"),OR(BF12="IF",BF12="PU")),_xlfn.IFS(AY12="CS",0.2*BL12,AY12="SS",1*BL12,AY12="PD",0.25*BL12,AY12="PG",0.5*BL12),0)</f>
        <v/>
      </c>
      <c r="BV12" s="195">
        <f>_xlfn.IFNA(IF(AND(OR(Z12="CPH",Z12="CPF"),OR(BF12="IF",BF12="PU"),BL12&lt;&gt;""),(SUM(BS12:BU12)),0),0)</f>
        <v/>
      </c>
      <c r="BW12" s="198">
        <f>IF(AND(Z12="RBC",BF12="IF"),7%*AT12*AD12,IF(AND(Z12="RBC",BF12="PU"),7%*AT12*AD12*BJ12,0))</f>
        <v/>
      </c>
      <c r="BX12" s="198">
        <f>IF(AND(Z12="RBC",BF12="IF"),VLOOKUP(AC12,'Rate Table'!$A$9:$G$13,HLOOKUP(DATEDIF('MAINCPF CPH DEP SEP END RBC CSR'!AF12,'MAINCPF CPH DEP SEP END RBC CSR'!AH12, "Y"),'Rate Table'!$B$9:$G$10,2,FALSE),FALSE)*'MAINCPF CPH DEP SEP END RBC CSR'!BL12,0)</f>
        <v/>
      </c>
      <c r="BY12" s="199">
        <f>IF($Z12="RBC",VLOOKUP(A12,'RBC_BONUS CALC'!A:AL,38,FALSE),0)</f>
        <v/>
      </c>
      <c r="BZ12" s="86">
        <f>IF(AND(Z12="RBC",OR(BF12="IF",BF12="PU"),BL12&lt;&gt;""),BL12,0)</f>
        <v/>
      </c>
      <c r="CA12" s="200">
        <f>IF($Z12="DEP",VLOOKUP(A12,'DEP_BONUS CALC'!A:AK,37,0),0)</f>
        <v/>
      </c>
      <c r="CB12" s="195">
        <f>IF(AND(Z12="DEP",OR(BF12="IF",BF12="PU"),BL12&lt;&gt;""),BL12,0)</f>
        <v/>
      </c>
      <c r="CC12" s="80">
        <f>IF(Z12="SEP",IF(BG12=AC12,"Rev. Bonus Due",IF(AD12=BG12,"Sum Assured Due","NA")),"NA")</f>
        <v/>
      </c>
      <c r="CD12" s="201">
        <f t="array" ref="CD12">IF(Z12="SEP",_xlfn.IFS(CC12="Rev. Bonus Due",VLOOKUP(A12,'SEP_BONUS CALC'!A:AL,38,0),CC12="Sum Assured Due",BL12,CC12="NA",0),)</f>
        <v/>
      </c>
      <c r="CE12" s="200">
        <f>IF($Z12="CSR",VLOOKUP(A12,'CSR_BONUS CALC'!A:AK,37,FALSE),0)</f>
        <v/>
      </c>
      <c r="CF12" s="198">
        <f>IF(Z12&lt;&gt;"CSR","0%",VLOOKUP(AT12,'Rate Table'!$A$2:$F$6,HLOOKUP('MAINCPF CPH DEP SEP END RBC CSR'!AC12,'Rate Table'!$B$2:$F$3,2,FALSE),TRUE))*BL12</f>
        <v/>
      </c>
      <c r="CG12" s="195">
        <f>IF(AND(Z12="CSR",OR(BF12="IF",BF12="PU"),BL12&lt;&gt;""),CF12+BL12,0)</f>
        <v/>
      </c>
      <c r="CH12" s="198">
        <f t="array" ref="CH12">IF(AND(Z12="CSR",B12="IF"),_xlfn.IFS(AC12=10,AT12*25%,AC12=13,AT12*45%,AC12=16,AT12*70%,AC12=19,AT12*100%,AC12=22,AT12*135%),0)</f>
        <v/>
      </c>
      <c r="CI12" s="195">
        <f>IF(AND(Z12="CSR",BF12="IF"),IF(((BK12*AD12*100.1%)-CH12)&gt;(CE12+CF12+CG12),((BK12*AD12*100.1%)-CH12)-(CE12+CF12+CG12),0),0)</f>
        <v/>
      </c>
      <c r="CJ12" s="200">
        <f>IF($Z12="END",VLOOKUP(A12,'END_BONUS CALC'!A:AK,37,0),0)</f>
        <v/>
      </c>
      <c r="CK12" s="195">
        <f>IF(AND(Z12="END",BF12="IF"),IF(((BK12*AD12*100.1%)&gt;(CJ12+CL12)),((BK12*AD12*100.1%)-(CJ12+CL12)),0),0)</f>
        <v/>
      </c>
      <c r="CL12" s="195">
        <f>IF(AND(Z12="END",OR(BF12="IF",BF12="PU"),BL12&lt;&gt;""),BL12,0)</f>
        <v/>
      </c>
      <c r="CM12" s="195">
        <f>IF(AND(Z12="END",BF12="IF"),MAX(CJ12+CK12+CL12,-C12*100.1%),IF(AND(Z12="END",BF12="PU"),SUM(CJ12+CK12+CL12)-Q12-SUM(M12:O12),0))</f>
        <v/>
      </c>
      <c r="CN12" s="78" t="n"/>
      <c r="CO12" s="202">
        <f>BN12</f>
        <v/>
      </c>
      <c r="CP12" s="201">
        <f>BS12+BW12</f>
        <v/>
      </c>
      <c r="CQ12" s="201">
        <f>BT12</f>
        <v/>
      </c>
      <c r="CR12" s="201">
        <f>IF(AND(Z12="SEP",BL12="Sum Assured Due"),0,BY12+CA12+CD12+CE12+CJ12)</f>
        <v/>
      </c>
      <c r="CS12" s="201" t="n">
        <v>0</v>
      </c>
      <c r="CT12" s="201">
        <f>BX12</f>
        <v/>
      </c>
      <c r="CU12" s="201">
        <f>IF(AND(Z12="SEP",CC12="Rev. Bonus Due"),0,BU12+BZ12+CB12+CD12+CG12+CL12)</f>
        <v/>
      </c>
      <c r="CV12" s="201">
        <f>CI12+CK12</f>
        <v/>
      </c>
      <c r="CW12" s="201">
        <f>SUM(CP12:CV12)-Q12-SUM(M12+CO12)</f>
        <v/>
      </c>
      <c r="CX12" s="203">
        <f>SUM(BS12:CN12)-Q12-SUM(M12:O12)</f>
        <v/>
      </c>
    </row>
    <row r="13">
      <c r="BF13" s="78" t="n"/>
      <c r="BG13" s="78" t="n"/>
      <c r="BH13" s="78" t="n"/>
      <c r="BI13" s="78" t="n"/>
      <c r="BJ13" s="139" t="n"/>
      <c r="BK13" s="204" t="n"/>
      <c r="BL13" s="141" t="n"/>
      <c r="BM13" s="205" t="n"/>
      <c r="BN13" s="205" t="n"/>
      <c r="BO13" s="206" t="n"/>
      <c r="BP13" s="144" t="n"/>
      <c r="BQ13" s="141" t="n"/>
      <c r="BR13" s="207" t="n"/>
      <c r="BS13" s="207" t="n"/>
      <c r="BT13" s="207" t="n"/>
      <c r="BU13" s="207" t="n"/>
      <c r="BV13" s="208" t="n"/>
      <c r="BW13" s="207" t="n"/>
      <c r="BX13" s="207" t="n"/>
      <c r="BY13" s="204" t="n"/>
      <c r="BZ13" s="148" t="n"/>
      <c r="CA13" s="204" t="n"/>
      <c r="CB13" s="208" t="n"/>
      <c r="CC13" s="139" t="n"/>
      <c r="CD13" s="204" t="n"/>
      <c r="CE13" s="204" t="n"/>
      <c r="CF13" s="207" t="n"/>
      <c r="CG13" s="208" t="n"/>
      <c r="CH13" s="207" t="n"/>
      <c r="CI13" s="208" t="n"/>
      <c r="CJ13" s="204" t="n"/>
      <c r="CK13" s="208" t="n"/>
      <c r="CL13" s="208" t="n"/>
      <c r="CM13" s="208" t="n"/>
      <c r="CN13" s="78" t="n"/>
      <c r="CO13" s="209" t="n"/>
      <c r="CP13" s="204" t="n"/>
      <c r="CQ13" s="204" t="n"/>
      <c r="CR13" s="204" t="n"/>
      <c r="CS13" s="204" t="n"/>
      <c r="CT13" s="204" t="n"/>
      <c r="CU13" s="204" t="n"/>
      <c r="CV13" s="204" t="n"/>
      <c r="CW13" s="204" t="n"/>
      <c r="CX13" s="190" t="n"/>
    </row>
    <row r="14">
      <c r="BF14" s="78" t="n"/>
      <c r="BG14" s="78" t="n"/>
      <c r="BH14" s="78" t="n"/>
      <c r="BI14" s="78" t="n"/>
      <c r="BJ14" s="139" t="n"/>
      <c r="BK14" s="204" t="n"/>
      <c r="BL14" s="141" t="n"/>
      <c r="BM14" s="205" t="n"/>
      <c r="BN14" s="205" t="n"/>
      <c r="BO14" s="206" t="n"/>
      <c r="BP14" s="144" t="n"/>
      <c r="BQ14" s="141" t="n"/>
      <c r="BR14" s="207" t="n"/>
      <c r="BS14" s="207" t="n"/>
      <c r="BT14" s="207" t="n"/>
      <c r="BU14" s="207" t="n"/>
      <c r="BV14" s="208" t="n"/>
      <c r="BW14" s="207" t="n"/>
      <c r="BX14" s="207" t="n"/>
      <c r="BY14" s="204" t="n"/>
      <c r="BZ14" s="148" t="n"/>
      <c r="CA14" s="204" t="n"/>
      <c r="CB14" s="208" t="n"/>
      <c r="CC14" s="139" t="n"/>
      <c r="CD14" s="204" t="n"/>
      <c r="CE14" s="204" t="n"/>
      <c r="CF14" s="207" t="n"/>
      <c r="CG14" s="208" t="n"/>
      <c r="CH14" s="207" t="n"/>
      <c r="CI14" s="208" t="n"/>
      <c r="CJ14" s="204" t="n"/>
      <c r="CK14" s="208" t="n"/>
      <c r="CL14" s="208" t="n"/>
      <c r="CM14" s="208" t="n"/>
      <c r="CN14" s="78" t="n"/>
      <c r="CO14" s="209" t="n"/>
      <c r="CP14" s="204" t="n"/>
      <c r="CQ14" s="204" t="n"/>
      <c r="CR14" s="204" t="n"/>
      <c r="CS14" s="204" t="n"/>
      <c r="CT14" s="204" t="n"/>
      <c r="CU14" s="204" t="n"/>
      <c r="CV14" s="204" t="n"/>
      <c r="CW14" s="204" t="n"/>
      <c r="CX14" s="190" t="n"/>
    </row>
    <row r="15">
      <c r="BF15" s="78" t="n"/>
      <c r="BG15" s="78" t="n"/>
      <c r="BH15" s="78" t="n"/>
      <c r="BI15" s="78" t="n"/>
      <c r="BJ15" s="139" t="n"/>
      <c r="BK15" s="204" t="n"/>
      <c r="BL15" s="141" t="n"/>
      <c r="BM15" s="205" t="n"/>
      <c r="BN15" s="205" t="n"/>
      <c r="BO15" s="206" t="n"/>
      <c r="BP15" s="144" t="n"/>
      <c r="BQ15" s="141" t="n"/>
      <c r="BR15" s="207" t="n"/>
      <c r="BS15" s="207" t="n"/>
      <c r="BT15" s="207" t="n"/>
      <c r="BU15" s="207" t="n"/>
      <c r="BV15" s="208" t="n"/>
      <c r="BW15" s="207" t="n"/>
      <c r="BX15" s="207" t="n"/>
      <c r="BY15" s="204" t="n"/>
      <c r="BZ15" s="148" t="n"/>
      <c r="CA15" s="204" t="n"/>
      <c r="CB15" s="208" t="n"/>
      <c r="CC15" s="139" t="n"/>
      <c r="CD15" s="204" t="n"/>
      <c r="CE15" s="204" t="n"/>
      <c r="CF15" s="207" t="n"/>
      <c r="CG15" s="208" t="n"/>
      <c r="CH15" s="207" t="n"/>
      <c r="CI15" s="208" t="n"/>
      <c r="CJ15" s="204" t="n"/>
      <c r="CK15" s="208" t="n"/>
      <c r="CL15" s="208" t="n"/>
      <c r="CM15" s="208" t="n"/>
      <c r="CN15" s="78" t="n"/>
      <c r="CO15" s="209" t="n"/>
      <c r="CP15" s="204" t="n"/>
      <c r="CQ15" s="204" t="n"/>
      <c r="CR15" s="204" t="n"/>
      <c r="CS15" s="204" t="n"/>
      <c r="CT15" s="204" t="n"/>
      <c r="CU15" s="204" t="n"/>
      <c r="CV15" s="204" t="n"/>
      <c r="CW15" s="204" t="n"/>
      <c r="CX15" s="190" t="n"/>
    </row>
    <row r="16">
      <c r="BF16" s="78" t="n"/>
      <c r="BG16" s="78" t="n"/>
      <c r="BH16" s="78" t="n"/>
      <c r="BI16" s="78" t="n"/>
      <c r="BJ16" s="139" t="n"/>
      <c r="BK16" s="204" t="n"/>
      <c r="BL16" s="141" t="n"/>
      <c r="BM16" s="205" t="n"/>
      <c r="BN16" s="205" t="n"/>
      <c r="BO16" s="206" t="n"/>
      <c r="BP16" s="144" t="n"/>
      <c r="BQ16" s="141" t="n"/>
      <c r="BR16" s="207" t="n"/>
      <c r="BS16" s="207" t="n"/>
      <c r="BT16" s="207" t="n"/>
      <c r="BU16" s="207" t="n"/>
      <c r="BV16" s="208" t="n"/>
      <c r="BW16" s="207" t="n"/>
      <c r="BX16" s="207" t="n"/>
      <c r="BY16" s="204" t="n"/>
      <c r="BZ16" s="148" t="n"/>
      <c r="CA16" s="204" t="n"/>
      <c r="CB16" s="208" t="n"/>
      <c r="CC16" s="139" t="n"/>
      <c r="CD16" s="204" t="n"/>
      <c r="CE16" s="204" t="n"/>
      <c r="CF16" s="207" t="n"/>
      <c r="CG16" s="208" t="n"/>
      <c r="CH16" s="207" t="n"/>
      <c r="CI16" s="208" t="n"/>
      <c r="CJ16" s="204" t="n"/>
      <c r="CK16" s="208" t="n"/>
      <c r="CL16" s="208" t="n"/>
      <c r="CM16" s="208" t="n"/>
      <c r="CN16" s="78" t="n"/>
      <c r="CO16" s="209" t="n"/>
      <c r="CP16" s="204" t="n"/>
      <c r="CQ16" s="204" t="n"/>
      <c r="CR16" s="204" t="n"/>
      <c r="CS16" s="204" t="n"/>
      <c r="CT16" s="204" t="n"/>
      <c r="CU16" s="204" t="n"/>
      <c r="CV16" s="204" t="n"/>
      <c r="CW16" s="204" t="n"/>
      <c r="CX16" s="190" t="n"/>
    </row>
    <row r="17">
      <c r="BF17" s="78" t="n"/>
      <c r="BG17" s="78" t="n"/>
      <c r="BH17" s="78" t="n"/>
      <c r="BI17" s="78" t="n"/>
      <c r="BJ17" s="139" t="n"/>
      <c r="BK17" s="204" t="n"/>
      <c r="BL17" s="141" t="n"/>
      <c r="BM17" s="205" t="n"/>
      <c r="BN17" s="205" t="n"/>
      <c r="BO17" s="206" t="n"/>
      <c r="BP17" s="144" t="n"/>
      <c r="BQ17" s="141" t="n"/>
      <c r="BR17" s="207" t="n"/>
      <c r="BS17" s="207" t="n"/>
      <c r="BT17" s="207" t="n"/>
      <c r="BU17" s="207" t="n"/>
      <c r="BV17" s="208" t="n"/>
      <c r="BW17" s="207" t="n"/>
      <c r="BX17" s="207" t="n"/>
      <c r="BY17" s="204" t="n"/>
      <c r="BZ17" s="148" t="n"/>
      <c r="CA17" s="204" t="n"/>
      <c r="CB17" s="208" t="n"/>
      <c r="CC17" s="139" t="n"/>
      <c r="CD17" s="204" t="n"/>
      <c r="CE17" s="204" t="n"/>
      <c r="CF17" s="207" t="n"/>
      <c r="CG17" s="208" t="n"/>
      <c r="CH17" s="207" t="n"/>
      <c r="CI17" s="208" t="n"/>
      <c r="CJ17" s="204" t="n"/>
      <c r="CK17" s="208" t="n"/>
      <c r="CL17" s="208" t="n"/>
      <c r="CM17" s="208" t="n"/>
      <c r="CN17" s="78" t="n"/>
      <c r="CO17" s="209" t="n"/>
      <c r="CP17" s="204" t="n"/>
      <c r="CQ17" s="204" t="n"/>
      <c r="CR17" s="204" t="n"/>
      <c r="CS17" s="204" t="n"/>
      <c r="CT17" s="204" t="n"/>
      <c r="CU17" s="204" t="n"/>
      <c r="CV17" s="204" t="n"/>
      <c r="CW17" s="204" t="n"/>
      <c r="CX17" s="190" t="n"/>
    </row>
    <row r="18">
      <c r="BF18" s="78" t="n"/>
      <c r="BG18" s="78" t="n"/>
      <c r="BH18" s="78" t="n"/>
      <c r="BI18" s="78" t="n"/>
      <c r="BJ18" s="139" t="n"/>
      <c r="BK18" s="204" t="n"/>
      <c r="BL18" s="141" t="n"/>
      <c r="BM18" s="205" t="n"/>
      <c r="BN18" s="205" t="n"/>
      <c r="BO18" s="206" t="n"/>
      <c r="BP18" s="144" t="n"/>
      <c r="BQ18" s="141" t="n"/>
      <c r="BR18" s="207" t="n"/>
      <c r="BS18" s="207" t="n"/>
      <c r="BT18" s="207" t="n"/>
      <c r="BU18" s="207" t="n"/>
      <c r="BV18" s="208" t="n"/>
      <c r="BW18" s="207" t="n"/>
      <c r="BX18" s="207" t="n"/>
      <c r="BY18" s="204" t="n"/>
      <c r="BZ18" s="148" t="n"/>
      <c r="CA18" s="204" t="n"/>
      <c r="CB18" s="208" t="n"/>
      <c r="CC18" s="139" t="n"/>
      <c r="CD18" s="204" t="n"/>
      <c r="CE18" s="204" t="n"/>
      <c r="CF18" s="207" t="n"/>
      <c r="CG18" s="208" t="n"/>
      <c r="CH18" s="207" t="n"/>
      <c r="CI18" s="208" t="n"/>
      <c r="CJ18" s="204" t="n"/>
      <c r="CK18" s="208" t="n"/>
      <c r="CL18" s="208" t="n"/>
      <c r="CM18" s="208" t="n"/>
      <c r="CN18" s="78" t="n"/>
      <c r="CO18" s="209" t="n"/>
      <c r="CP18" s="204" t="n"/>
      <c r="CQ18" s="204" t="n"/>
      <c r="CR18" s="204" t="n"/>
      <c r="CS18" s="204" t="n"/>
      <c r="CT18" s="204" t="n"/>
      <c r="CU18" s="204" t="n"/>
      <c r="CV18" s="204" t="n"/>
      <c r="CW18" s="204" t="n"/>
      <c r="CX18" s="190" t="n"/>
    </row>
    <row r="19">
      <c r="BF19" s="78" t="n"/>
      <c r="BG19" s="78" t="n"/>
      <c r="BH19" s="78" t="n"/>
      <c r="BI19" s="78" t="n"/>
      <c r="BJ19" s="139" t="n"/>
      <c r="BK19" s="204" t="n"/>
      <c r="BL19" s="141" t="n"/>
      <c r="BM19" s="205" t="n"/>
      <c r="BN19" s="205" t="n"/>
      <c r="BO19" s="206" t="n"/>
      <c r="BP19" s="144" t="n"/>
      <c r="BQ19" s="141" t="n"/>
      <c r="BR19" s="207" t="n"/>
      <c r="BS19" s="207" t="n"/>
      <c r="BT19" s="207" t="n"/>
      <c r="BU19" s="207" t="n"/>
      <c r="BV19" s="208" t="n"/>
      <c r="BW19" s="207" t="n"/>
      <c r="BX19" s="207" t="n"/>
      <c r="BY19" s="204" t="n"/>
      <c r="BZ19" s="148" t="n"/>
      <c r="CA19" s="204" t="n"/>
      <c r="CB19" s="208" t="n"/>
      <c r="CC19" s="139" t="n"/>
      <c r="CD19" s="204" t="n"/>
      <c r="CE19" s="204" t="n"/>
      <c r="CF19" s="207" t="n"/>
      <c r="CG19" s="208" t="n"/>
      <c r="CH19" s="207" t="n"/>
      <c r="CI19" s="208" t="n"/>
      <c r="CJ19" s="204" t="n"/>
      <c r="CK19" s="208" t="n"/>
      <c r="CL19" s="208" t="n"/>
      <c r="CM19" s="208" t="n"/>
      <c r="CN19" s="78" t="n"/>
      <c r="CO19" s="209" t="n"/>
      <c r="CP19" s="204" t="n"/>
      <c r="CQ19" s="204" t="n"/>
      <c r="CR19" s="204" t="n"/>
      <c r="CS19" s="204" t="n"/>
      <c r="CT19" s="204" t="n"/>
      <c r="CU19" s="204" t="n"/>
      <c r="CV19" s="204" t="n"/>
      <c r="CW19" s="204" t="n"/>
      <c r="CX19" s="190" t="n"/>
    </row>
    <row r="20">
      <c r="BF20" s="78" t="n"/>
      <c r="BG20" s="78" t="n"/>
      <c r="BH20" s="78" t="n"/>
      <c r="BI20" s="78" t="n"/>
      <c r="BJ20" s="139" t="n"/>
      <c r="BK20" s="204" t="n"/>
      <c r="BL20" s="141" t="n"/>
      <c r="BM20" s="205" t="n"/>
      <c r="BN20" s="205" t="n"/>
      <c r="BO20" s="206" t="n"/>
      <c r="BP20" s="144" t="n"/>
      <c r="BQ20" s="141" t="n"/>
      <c r="BR20" s="207" t="n"/>
      <c r="BS20" s="207" t="n"/>
      <c r="BT20" s="207" t="n"/>
      <c r="BU20" s="207" t="n"/>
      <c r="BV20" s="208" t="n"/>
      <c r="BW20" s="207" t="n"/>
      <c r="BX20" s="207" t="n"/>
      <c r="BY20" s="204" t="n"/>
      <c r="BZ20" s="148" t="n"/>
      <c r="CA20" s="204" t="n"/>
      <c r="CB20" s="208" t="n"/>
      <c r="CC20" s="139" t="n"/>
      <c r="CD20" s="204" t="n"/>
      <c r="CE20" s="204" t="n"/>
      <c r="CF20" s="207" t="n"/>
      <c r="CG20" s="208" t="n"/>
      <c r="CH20" s="207" t="n"/>
      <c r="CI20" s="208" t="n"/>
      <c r="CJ20" s="204" t="n"/>
      <c r="CK20" s="208" t="n"/>
      <c r="CL20" s="208" t="n"/>
      <c r="CM20" s="208" t="n"/>
      <c r="CN20" s="78" t="n"/>
      <c r="CO20" s="209" t="n"/>
      <c r="CP20" s="204" t="n"/>
      <c r="CQ20" s="204" t="n"/>
      <c r="CR20" s="204" t="n"/>
      <c r="CS20" s="204" t="n"/>
      <c r="CT20" s="204" t="n"/>
      <c r="CU20" s="204" t="n"/>
      <c r="CV20" s="204" t="n"/>
      <c r="CW20" s="204" t="n"/>
      <c r="CX20" s="190" t="n"/>
    </row>
    <row r="21">
      <c r="BF21" s="78" t="n"/>
      <c r="BG21" s="78" t="n"/>
      <c r="BH21" s="78" t="n"/>
      <c r="BI21" s="78" t="n"/>
      <c r="BJ21" s="139" t="n"/>
      <c r="BK21" s="204" t="n"/>
      <c r="BL21" s="141" t="n"/>
      <c r="BM21" s="205" t="n"/>
      <c r="BN21" s="205" t="n"/>
      <c r="BO21" s="206" t="n"/>
      <c r="BP21" s="144" t="n"/>
      <c r="BQ21" s="141" t="n"/>
      <c r="BR21" s="207" t="n"/>
      <c r="BS21" s="207" t="n"/>
      <c r="BT21" s="207" t="n"/>
      <c r="BU21" s="207" t="n"/>
      <c r="BV21" s="208" t="n"/>
      <c r="BW21" s="207" t="n"/>
      <c r="BX21" s="207" t="n"/>
      <c r="BY21" s="204" t="n"/>
      <c r="BZ21" s="148" t="n"/>
      <c r="CA21" s="204" t="n"/>
      <c r="CB21" s="208" t="n"/>
      <c r="CC21" s="139" t="n"/>
      <c r="CD21" s="204" t="n"/>
      <c r="CE21" s="204" t="n"/>
      <c r="CF21" s="207" t="n"/>
      <c r="CG21" s="208" t="n"/>
      <c r="CH21" s="207" t="n"/>
      <c r="CI21" s="208" t="n"/>
      <c r="CJ21" s="204" t="n"/>
      <c r="CK21" s="208" t="n"/>
      <c r="CL21" s="208" t="n"/>
      <c r="CM21" s="208" t="n"/>
      <c r="CN21" s="78" t="n"/>
      <c r="CO21" s="209" t="n"/>
      <c r="CP21" s="204" t="n"/>
      <c r="CQ21" s="204" t="n"/>
      <c r="CR21" s="204" t="n"/>
      <c r="CS21" s="204" t="n"/>
      <c r="CT21" s="204" t="n"/>
      <c r="CU21" s="204" t="n"/>
      <c r="CV21" s="204" t="n"/>
      <c r="CW21" s="204" t="n"/>
      <c r="CX21" s="190" t="n"/>
    </row>
    <row r="22">
      <c r="BF22" s="78" t="n"/>
      <c r="BG22" s="78" t="n"/>
      <c r="BH22" s="78" t="n"/>
      <c r="BI22" s="78" t="n"/>
      <c r="BJ22" s="139" t="n"/>
      <c r="BK22" s="204" t="n"/>
      <c r="BL22" s="141" t="n"/>
      <c r="BM22" s="205" t="n"/>
      <c r="BN22" s="205" t="n"/>
      <c r="BO22" s="206" t="n"/>
      <c r="BP22" s="144" t="n"/>
      <c r="BQ22" s="141" t="n"/>
      <c r="BR22" s="207" t="n"/>
      <c r="BS22" s="207" t="n"/>
      <c r="BT22" s="207" t="n"/>
      <c r="BU22" s="207" t="n"/>
      <c r="BV22" s="208" t="n"/>
      <c r="BW22" s="207" t="n"/>
      <c r="BX22" s="207" t="n"/>
      <c r="BY22" s="204" t="n"/>
      <c r="BZ22" s="148" t="n"/>
      <c r="CA22" s="204" t="n"/>
      <c r="CB22" s="208" t="n"/>
      <c r="CC22" s="139" t="n"/>
      <c r="CD22" s="204" t="n"/>
      <c r="CE22" s="204" t="n"/>
      <c r="CF22" s="207" t="n"/>
      <c r="CG22" s="208" t="n"/>
      <c r="CH22" s="207" t="n"/>
      <c r="CI22" s="208" t="n"/>
      <c r="CJ22" s="204" t="n"/>
      <c r="CK22" s="208" t="n"/>
      <c r="CL22" s="208" t="n"/>
      <c r="CM22" s="208" t="n"/>
      <c r="CN22" s="78" t="n"/>
      <c r="CO22" s="209" t="n"/>
      <c r="CP22" s="204" t="n"/>
      <c r="CQ22" s="204" t="n"/>
      <c r="CR22" s="204" t="n"/>
      <c r="CS22" s="204" t="n"/>
      <c r="CT22" s="204" t="n"/>
      <c r="CU22" s="204" t="n"/>
      <c r="CV22" s="204" t="n"/>
      <c r="CW22" s="204" t="n"/>
      <c r="CX22" s="190" t="n"/>
    </row>
    <row r="23">
      <c r="BF23" s="78" t="n"/>
      <c r="BG23" s="78" t="n"/>
      <c r="BH23" s="78" t="n"/>
      <c r="BI23" s="78" t="n"/>
      <c r="BJ23" s="139" t="n"/>
      <c r="BK23" s="204" t="n"/>
      <c r="BL23" s="141" t="n"/>
      <c r="BM23" s="205" t="n"/>
      <c r="BN23" s="205" t="n"/>
      <c r="BO23" s="206" t="n"/>
      <c r="BP23" s="144" t="n"/>
      <c r="BQ23" s="141" t="n"/>
      <c r="BR23" s="207" t="n"/>
      <c r="BS23" s="207" t="n"/>
      <c r="BT23" s="207" t="n"/>
      <c r="BU23" s="207" t="n"/>
      <c r="BV23" s="208" t="n"/>
      <c r="BW23" s="207" t="n"/>
      <c r="BX23" s="207" t="n"/>
      <c r="BY23" s="204" t="n"/>
      <c r="BZ23" s="148" t="n"/>
      <c r="CA23" s="204" t="n"/>
      <c r="CB23" s="208" t="n"/>
      <c r="CC23" s="139" t="n"/>
      <c r="CD23" s="204" t="n"/>
      <c r="CE23" s="204" t="n"/>
      <c r="CF23" s="207" t="n"/>
      <c r="CG23" s="208" t="n"/>
      <c r="CH23" s="207" t="n"/>
      <c r="CI23" s="208" t="n"/>
      <c r="CJ23" s="204" t="n"/>
      <c r="CK23" s="208" t="n"/>
      <c r="CL23" s="208" t="n"/>
      <c r="CM23" s="208" t="n"/>
      <c r="CN23" s="78" t="n"/>
      <c r="CO23" s="209" t="n"/>
      <c r="CP23" s="204" t="n"/>
      <c r="CQ23" s="204" t="n"/>
      <c r="CR23" s="204" t="n"/>
      <c r="CS23" s="204" t="n"/>
      <c r="CT23" s="204" t="n"/>
      <c r="CU23" s="204" t="n"/>
      <c r="CV23" s="204" t="n"/>
      <c r="CW23" s="204" t="n"/>
      <c r="CX23" s="190" t="n"/>
    </row>
    <row r="24">
      <c r="BF24" s="78" t="n"/>
      <c r="BG24" s="78" t="n"/>
      <c r="BH24" s="78" t="n"/>
      <c r="BI24" s="78" t="n"/>
      <c r="BJ24" s="139" t="n"/>
      <c r="BK24" s="204" t="n"/>
      <c r="BL24" s="141" t="n"/>
      <c r="BM24" s="205" t="n"/>
      <c r="BN24" s="205" t="n"/>
      <c r="BO24" s="206" t="n"/>
      <c r="BP24" s="144" t="n"/>
      <c r="BQ24" s="141" t="n"/>
      <c r="BR24" s="207" t="n"/>
      <c r="BS24" s="207" t="n"/>
      <c r="BT24" s="207" t="n"/>
      <c r="BU24" s="207" t="n"/>
      <c r="BV24" s="208" t="n"/>
      <c r="BW24" s="207" t="n"/>
      <c r="BX24" s="207" t="n"/>
      <c r="BY24" s="204" t="n"/>
      <c r="BZ24" s="148" t="n"/>
      <c r="CA24" s="204" t="n"/>
      <c r="CB24" s="208" t="n"/>
      <c r="CC24" s="139" t="n"/>
      <c r="CD24" s="204" t="n"/>
      <c r="CE24" s="204" t="n"/>
      <c r="CF24" s="207" t="n"/>
      <c r="CG24" s="208" t="n"/>
      <c r="CH24" s="207" t="n"/>
      <c r="CI24" s="208" t="n"/>
      <c r="CJ24" s="204" t="n"/>
      <c r="CK24" s="208" t="n"/>
      <c r="CL24" s="208" t="n"/>
      <c r="CM24" s="208" t="n"/>
      <c r="CN24" s="78" t="n"/>
      <c r="CO24" s="209" t="n"/>
      <c r="CP24" s="204" t="n"/>
      <c r="CQ24" s="204" t="n"/>
      <c r="CR24" s="204" t="n"/>
      <c r="CS24" s="204" t="n"/>
      <c r="CT24" s="204" t="n"/>
      <c r="CU24" s="204" t="n"/>
      <c r="CV24" s="204" t="n"/>
      <c r="CW24" s="204" t="n"/>
      <c r="CX24" s="190" t="n"/>
    </row>
    <row r="25">
      <c r="BF25" s="78" t="n"/>
      <c r="BG25" s="78" t="n"/>
      <c r="BH25" s="78" t="n"/>
      <c r="BI25" s="78" t="n"/>
      <c r="BJ25" s="139" t="n"/>
      <c r="BK25" s="204" t="n"/>
      <c r="BL25" s="141" t="n"/>
      <c r="BM25" s="205" t="n"/>
      <c r="BN25" s="205" t="n"/>
      <c r="BO25" s="206" t="n"/>
      <c r="BP25" s="144" t="n"/>
      <c r="BQ25" s="141" t="n"/>
      <c r="BR25" s="207" t="n"/>
      <c r="BS25" s="207" t="n"/>
      <c r="BT25" s="207" t="n"/>
      <c r="BU25" s="207" t="n"/>
      <c r="BV25" s="208" t="n"/>
      <c r="BW25" s="207" t="n"/>
      <c r="BX25" s="207" t="n"/>
      <c r="BY25" s="204" t="n"/>
      <c r="BZ25" s="148" t="n"/>
      <c r="CA25" s="204" t="n"/>
      <c r="CB25" s="208" t="n"/>
      <c r="CC25" s="139" t="n"/>
      <c r="CD25" s="204" t="n"/>
      <c r="CE25" s="204" t="n"/>
      <c r="CF25" s="207" t="n"/>
      <c r="CG25" s="208" t="n"/>
      <c r="CH25" s="207" t="n"/>
      <c r="CI25" s="208" t="n"/>
      <c r="CJ25" s="204" t="n"/>
      <c r="CK25" s="208" t="n"/>
      <c r="CL25" s="208" t="n"/>
      <c r="CM25" s="208" t="n"/>
      <c r="CN25" s="78" t="n"/>
      <c r="CO25" s="209" t="n"/>
      <c r="CP25" s="204" t="n"/>
      <c r="CQ25" s="204" t="n"/>
      <c r="CR25" s="204" t="n"/>
      <c r="CS25" s="204" t="n"/>
      <c r="CT25" s="204" t="n"/>
      <c r="CU25" s="204" t="n"/>
      <c r="CV25" s="204" t="n"/>
      <c r="CW25" s="204" t="n"/>
      <c r="CX25" s="190" t="n"/>
    </row>
    <row r="26">
      <c r="BF26" s="78" t="n"/>
      <c r="BG26" s="78" t="n"/>
      <c r="BH26" s="78" t="n"/>
      <c r="BI26" s="78" t="n"/>
      <c r="BJ26" s="139" t="n"/>
      <c r="BK26" s="204" t="n"/>
      <c r="BL26" s="141" t="n"/>
      <c r="BM26" s="205" t="n"/>
      <c r="BN26" s="205" t="n"/>
      <c r="BO26" s="206" t="n"/>
      <c r="BP26" s="144" t="n"/>
      <c r="BQ26" s="141" t="n"/>
      <c r="BR26" s="207" t="n"/>
      <c r="BS26" s="207" t="n"/>
      <c r="BT26" s="207" t="n"/>
      <c r="BU26" s="207" t="n"/>
      <c r="BV26" s="208" t="n"/>
      <c r="BW26" s="207" t="n"/>
      <c r="BX26" s="207" t="n"/>
      <c r="BY26" s="204" t="n"/>
      <c r="BZ26" s="148" t="n"/>
      <c r="CA26" s="204" t="n"/>
      <c r="CB26" s="208" t="n"/>
      <c r="CC26" s="139" t="n"/>
      <c r="CD26" s="204" t="n"/>
      <c r="CE26" s="204" t="n"/>
      <c r="CF26" s="207" t="n"/>
      <c r="CG26" s="208" t="n"/>
      <c r="CH26" s="207" t="n"/>
      <c r="CI26" s="208" t="n"/>
      <c r="CJ26" s="204" t="n"/>
      <c r="CK26" s="208" t="n"/>
      <c r="CL26" s="208" t="n"/>
      <c r="CM26" s="208" t="n"/>
      <c r="CN26" s="78" t="n"/>
      <c r="CO26" s="209" t="n"/>
      <c r="CP26" s="204" t="n"/>
      <c r="CQ26" s="204" t="n"/>
      <c r="CR26" s="204" t="n"/>
      <c r="CS26" s="204" t="n"/>
      <c r="CT26" s="204" t="n"/>
      <c r="CU26" s="204" t="n"/>
      <c r="CV26" s="204" t="n"/>
      <c r="CW26" s="204" t="n"/>
      <c r="CX26" s="190" t="n"/>
    </row>
    <row r="27">
      <c r="BF27" s="78" t="n"/>
      <c r="BG27" s="78" t="n"/>
      <c r="BH27" s="78" t="n"/>
      <c r="BI27" s="78" t="n"/>
      <c r="BJ27" s="139" t="n"/>
      <c r="BK27" s="204" t="n"/>
      <c r="BL27" s="141" t="n"/>
      <c r="BM27" s="205" t="n"/>
      <c r="BN27" s="205" t="n"/>
      <c r="BO27" s="206" t="n"/>
      <c r="BP27" s="144" t="n"/>
      <c r="BQ27" s="141" t="n"/>
      <c r="BR27" s="207" t="n"/>
      <c r="BS27" s="207" t="n"/>
      <c r="BT27" s="207" t="n"/>
      <c r="BU27" s="207" t="n"/>
      <c r="BV27" s="208" t="n"/>
      <c r="BW27" s="207" t="n"/>
      <c r="BX27" s="207" t="n"/>
      <c r="BY27" s="204" t="n"/>
      <c r="BZ27" s="148" t="n"/>
      <c r="CA27" s="204" t="n"/>
      <c r="CB27" s="208" t="n"/>
      <c r="CC27" s="139" t="n"/>
      <c r="CD27" s="204" t="n"/>
      <c r="CE27" s="204" t="n"/>
      <c r="CF27" s="207" t="n"/>
      <c r="CG27" s="208" t="n"/>
      <c r="CH27" s="207" t="n"/>
      <c r="CI27" s="208" t="n"/>
      <c r="CJ27" s="204" t="n"/>
      <c r="CK27" s="208" t="n"/>
      <c r="CL27" s="208" t="n"/>
      <c r="CM27" s="208" t="n"/>
      <c r="CN27" s="78" t="n"/>
      <c r="CO27" s="209" t="n"/>
      <c r="CP27" s="204" t="n"/>
      <c r="CQ27" s="204" t="n"/>
      <c r="CR27" s="204" t="n"/>
      <c r="CS27" s="204" t="n"/>
      <c r="CT27" s="204" t="n"/>
      <c r="CU27" s="204" t="n"/>
      <c r="CV27" s="204" t="n"/>
      <c r="CW27" s="204" t="n"/>
      <c r="CX27" s="190" t="n"/>
    </row>
    <row r="28">
      <c r="BF28" s="78" t="n"/>
      <c r="BG28" s="78" t="n"/>
      <c r="BH28" s="78" t="n"/>
      <c r="BI28" s="78" t="n"/>
      <c r="BJ28" s="139" t="n"/>
      <c r="BK28" s="204" t="n"/>
      <c r="BL28" s="141" t="n"/>
      <c r="BM28" s="205" t="n"/>
      <c r="BN28" s="205" t="n"/>
      <c r="BO28" s="206" t="n"/>
      <c r="BP28" s="144" t="n"/>
      <c r="BQ28" s="141" t="n"/>
      <c r="BR28" s="207" t="n"/>
      <c r="BS28" s="207" t="n"/>
      <c r="BT28" s="207" t="n"/>
      <c r="BU28" s="207" t="n"/>
      <c r="BV28" s="208" t="n"/>
      <c r="BW28" s="207" t="n"/>
      <c r="BX28" s="207" t="n"/>
      <c r="BY28" s="204" t="n"/>
      <c r="BZ28" s="148" t="n"/>
      <c r="CA28" s="204" t="n"/>
      <c r="CB28" s="208" t="n"/>
      <c r="CC28" s="139" t="n"/>
      <c r="CD28" s="204" t="n"/>
      <c r="CE28" s="204" t="n"/>
      <c r="CF28" s="207" t="n"/>
      <c r="CG28" s="208" t="n"/>
      <c r="CH28" s="207" t="n"/>
      <c r="CI28" s="208" t="n"/>
      <c r="CJ28" s="204" t="n"/>
      <c r="CK28" s="208" t="n"/>
      <c r="CL28" s="208" t="n"/>
      <c r="CM28" s="208" t="n"/>
      <c r="CN28" s="78" t="n"/>
      <c r="CO28" s="209" t="n"/>
      <c r="CP28" s="204" t="n"/>
      <c r="CQ28" s="204" t="n"/>
      <c r="CR28" s="204" t="n"/>
      <c r="CS28" s="204" t="n"/>
      <c r="CT28" s="204" t="n"/>
      <c r="CU28" s="204" t="n"/>
      <c r="CV28" s="204" t="n"/>
      <c r="CW28" s="204" t="n"/>
      <c r="CX28" s="190" t="n"/>
    </row>
    <row r="29">
      <c r="BF29" s="78" t="n"/>
      <c r="BG29" s="78" t="n"/>
      <c r="BH29" s="78" t="n"/>
      <c r="BI29" s="78" t="n"/>
      <c r="BJ29" s="139" t="n"/>
      <c r="BK29" s="204" t="n"/>
      <c r="BL29" s="141" t="n"/>
      <c r="BM29" s="205" t="n"/>
      <c r="BN29" s="205" t="n"/>
      <c r="BO29" s="206" t="n"/>
      <c r="BP29" s="144" t="n"/>
      <c r="BQ29" s="141" t="n"/>
      <c r="BR29" s="207" t="n"/>
      <c r="BS29" s="207" t="n"/>
      <c r="BT29" s="207" t="n"/>
      <c r="BU29" s="207" t="n"/>
      <c r="BV29" s="208" t="n"/>
      <c r="BW29" s="207" t="n"/>
      <c r="BX29" s="207" t="n"/>
      <c r="BY29" s="204" t="n"/>
      <c r="BZ29" s="148" t="n"/>
      <c r="CA29" s="204" t="n"/>
      <c r="CB29" s="208" t="n"/>
      <c r="CC29" s="139" t="n"/>
      <c r="CD29" s="204" t="n"/>
      <c r="CE29" s="204" t="n"/>
      <c r="CF29" s="207" t="n"/>
      <c r="CG29" s="208" t="n"/>
      <c r="CH29" s="207" t="n"/>
      <c r="CI29" s="208" t="n"/>
      <c r="CJ29" s="204" t="n"/>
      <c r="CK29" s="208" t="n"/>
      <c r="CL29" s="208" t="n"/>
      <c r="CM29" s="208" t="n"/>
      <c r="CN29" s="78" t="n"/>
      <c r="CO29" s="209" t="n"/>
      <c r="CP29" s="204" t="n"/>
      <c r="CQ29" s="204" t="n"/>
      <c r="CR29" s="204" t="n"/>
      <c r="CS29" s="204" t="n"/>
      <c r="CT29" s="204" t="n"/>
      <c r="CU29" s="204" t="n"/>
      <c r="CV29" s="204" t="n"/>
      <c r="CW29" s="204" t="n"/>
      <c r="CX29" s="190" t="n"/>
    </row>
    <row r="30">
      <c r="BF30" s="78" t="n"/>
      <c r="BG30" s="78" t="n"/>
      <c r="BH30" s="78" t="n"/>
      <c r="BI30" s="78" t="n"/>
      <c r="BJ30" s="139" t="n"/>
      <c r="BK30" s="204" t="n"/>
      <c r="BL30" s="141" t="n"/>
      <c r="BM30" s="205" t="n"/>
      <c r="BN30" s="205" t="n"/>
      <c r="BO30" s="206" t="n"/>
      <c r="BP30" s="144" t="n"/>
      <c r="BQ30" s="141" t="n"/>
      <c r="BR30" s="207" t="n"/>
      <c r="BS30" s="207" t="n"/>
      <c r="BT30" s="207" t="n"/>
      <c r="BU30" s="207" t="n"/>
      <c r="BV30" s="208" t="n"/>
      <c r="BW30" s="207" t="n"/>
      <c r="BX30" s="207" t="n"/>
      <c r="BY30" s="204" t="n"/>
      <c r="BZ30" s="148" t="n"/>
      <c r="CA30" s="204" t="n"/>
      <c r="CB30" s="208" t="n"/>
      <c r="CC30" s="139" t="n"/>
      <c r="CD30" s="204" t="n"/>
      <c r="CE30" s="204" t="n"/>
      <c r="CF30" s="207" t="n"/>
      <c r="CG30" s="208" t="n"/>
      <c r="CH30" s="207" t="n"/>
      <c r="CI30" s="208" t="n"/>
      <c r="CJ30" s="204" t="n"/>
      <c r="CK30" s="208" t="n"/>
      <c r="CL30" s="208" t="n"/>
      <c r="CM30" s="208" t="n"/>
      <c r="CN30" s="78" t="n"/>
      <c r="CO30" s="209" t="n"/>
      <c r="CP30" s="204" t="n"/>
      <c r="CQ30" s="204" t="n"/>
      <c r="CR30" s="204" t="n"/>
      <c r="CS30" s="204" t="n"/>
      <c r="CT30" s="204" t="n"/>
      <c r="CU30" s="204" t="n"/>
      <c r="CV30" s="204" t="n"/>
      <c r="CW30" s="204" t="n"/>
      <c r="CX30" s="190" t="n"/>
    </row>
    <row r="31">
      <c r="BF31" s="78" t="n"/>
      <c r="BG31" s="78" t="n"/>
      <c r="BH31" s="78" t="n"/>
      <c r="BI31" s="78" t="n"/>
      <c r="BJ31" s="139" t="n"/>
      <c r="BK31" s="204" t="n"/>
      <c r="BL31" s="141" t="n"/>
      <c r="BM31" s="205" t="n"/>
      <c r="BN31" s="205" t="n"/>
      <c r="BO31" s="206" t="n"/>
      <c r="BP31" s="144" t="n"/>
      <c r="BQ31" s="141" t="n"/>
      <c r="BR31" s="207" t="n"/>
      <c r="BS31" s="207" t="n"/>
      <c r="BT31" s="207" t="n"/>
      <c r="BU31" s="207" t="n"/>
      <c r="BV31" s="208" t="n"/>
      <c r="BW31" s="207" t="n"/>
      <c r="BX31" s="207" t="n"/>
      <c r="BY31" s="204" t="n"/>
      <c r="BZ31" s="148" t="n"/>
      <c r="CA31" s="204" t="n"/>
      <c r="CB31" s="208" t="n"/>
      <c r="CC31" s="139" t="n"/>
      <c r="CD31" s="204" t="n"/>
      <c r="CE31" s="204" t="n"/>
      <c r="CF31" s="207" t="n"/>
      <c r="CG31" s="208" t="n"/>
      <c r="CH31" s="207" t="n"/>
      <c r="CI31" s="208" t="n"/>
      <c r="CJ31" s="204" t="n"/>
      <c r="CK31" s="208" t="n"/>
      <c r="CL31" s="208" t="n"/>
      <c r="CM31" s="208" t="n"/>
      <c r="CN31" s="78" t="n"/>
      <c r="CO31" s="209" t="n"/>
      <c r="CP31" s="204" t="n"/>
      <c r="CQ31" s="204" t="n"/>
      <c r="CR31" s="204" t="n"/>
      <c r="CS31" s="204" t="n"/>
      <c r="CT31" s="204" t="n"/>
      <c r="CU31" s="204" t="n"/>
      <c r="CV31" s="204" t="n"/>
      <c r="CW31" s="204" t="n"/>
      <c r="CX31" s="190" t="n"/>
    </row>
    <row r="32">
      <c r="BF32" s="78" t="n"/>
      <c r="BG32" s="78" t="n"/>
      <c r="BH32" s="78" t="n"/>
      <c r="BI32" s="78" t="n"/>
      <c r="BJ32" s="139" t="n"/>
      <c r="BK32" s="204" t="n"/>
      <c r="BL32" s="141" t="n"/>
      <c r="BM32" s="205" t="n"/>
      <c r="BN32" s="205" t="n"/>
      <c r="BO32" s="206" t="n"/>
      <c r="BP32" s="144" t="n"/>
      <c r="BQ32" s="141" t="n"/>
      <c r="BR32" s="207" t="n"/>
      <c r="BS32" s="207" t="n"/>
      <c r="BT32" s="207" t="n"/>
      <c r="BU32" s="207" t="n"/>
      <c r="BV32" s="208" t="n"/>
      <c r="BW32" s="207" t="n"/>
      <c r="BX32" s="207" t="n"/>
      <c r="BY32" s="204" t="n"/>
      <c r="BZ32" s="148" t="n"/>
      <c r="CA32" s="204" t="n"/>
      <c r="CB32" s="208" t="n"/>
      <c r="CC32" s="139" t="n"/>
      <c r="CD32" s="204" t="n"/>
      <c r="CE32" s="204" t="n"/>
      <c r="CF32" s="207" t="n"/>
      <c r="CG32" s="208" t="n"/>
      <c r="CH32" s="207" t="n"/>
      <c r="CI32" s="208" t="n"/>
      <c r="CJ32" s="204" t="n"/>
      <c r="CK32" s="208" t="n"/>
      <c r="CL32" s="208" t="n"/>
      <c r="CM32" s="208" t="n"/>
      <c r="CN32" s="78" t="n"/>
      <c r="CO32" s="209" t="n"/>
      <c r="CP32" s="204" t="n"/>
      <c r="CQ32" s="204" t="n"/>
      <c r="CR32" s="204" t="n"/>
      <c r="CS32" s="204" t="n"/>
      <c r="CT32" s="204" t="n"/>
      <c r="CU32" s="204" t="n"/>
      <c r="CV32" s="204" t="n"/>
      <c r="CW32" s="204" t="n"/>
      <c r="CX32" s="190" t="n"/>
    </row>
    <row r="33">
      <c r="BF33" s="78" t="n"/>
      <c r="BG33" s="78" t="n"/>
      <c r="BH33" s="78" t="n"/>
      <c r="BI33" s="78" t="n"/>
      <c r="BJ33" s="139" t="n"/>
      <c r="BK33" s="204" t="n"/>
      <c r="BL33" s="141" t="n"/>
      <c r="BM33" s="205" t="n"/>
      <c r="BN33" s="205" t="n"/>
      <c r="BO33" s="206" t="n"/>
      <c r="BP33" s="144" t="n"/>
      <c r="BQ33" s="141" t="n"/>
      <c r="BR33" s="207" t="n"/>
      <c r="BS33" s="207" t="n"/>
      <c r="BT33" s="207" t="n"/>
      <c r="BU33" s="207" t="n"/>
      <c r="BV33" s="208" t="n"/>
      <c r="BW33" s="207" t="n"/>
      <c r="BX33" s="207" t="n"/>
      <c r="BY33" s="204" t="n"/>
      <c r="BZ33" s="148" t="n"/>
      <c r="CA33" s="204" t="n"/>
      <c r="CB33" s="208" t="n"/>
      <c r="CC33" s="139" t="n"/>
      <c r="CD33" s="204" t="n"/>
      <c r="CE33" s="204" t="n"/>
      <c r="CF33" s="207" t="n"/>
      <c r="CG33" s="208" t="n"/>
      <c r="CH33" s="207" t="n"/>
      <c r="CI33" s="208" t="n"/>
      <c r="CJ33" s="204" t="n"/>
      <c r="CK33" s="208" t="n"/>
      <c r="CL33" s="208" t="n"/>
      <c r="CM33" s="208" t="n"/>
      <c r="CN33" s="78" t="n"/>
      <c r="CO33" s="209" t="n"/>
      <c r="CP33" s="204" t="n"/>
      <c r="CQ33" s="204" t="n"/>
      <c r="CR33" s="204" t="n"/>
      <c r="CS33" s="204" t="n"/>
      <c r="CT33" s="204" t="n"/>
      <c r="CU33" s="204" t="n"/>
      <c r="CV33" s="204" t="n"/>
      <c r="CW33" s="204" t="n"/>
      <c r="CX33" s="190" t="n"/>
    </row>
    <row r="34">
      <c r="BF34" s="78" t="n"/>
      <c r="BG34" s="78" t="n"/>
      <c r="BH34" s="78" t="n"/>
      <c r="BI34" s="78" t="n"/>
      <c r="BJ34" s="139" t="n"/>
      <c r="BK34" s="204" t="n"/>
      <c r="BL34" s="141" t="n"/>
      <c r="BM34" s="205" t="n"/>
      <c r="BN34" s="205" t="n"/>
      <c r="BO34" s="206" t="n"/>
      <c r="BP34" s="144" t="n"/>
      <c r="BQ34" s="141" t="n"/>
      <c r="BR34" s="207" t="n"/>
      <c r="BS34" s="207" t="n"/>
      <c r="BT34" s="207" t="n"/>
      <c r="BU34" s="207" t="n"/>
      <c r="BV34" s="208" t="n"/>
      <c r="BW34" s="207" t="n"/>
      <c r="BX34" s="207" t="n"/>
      <c r="BY34" s="204" t="n"/>
      <c r="BZ34" s="148" t="n"/>
      <c r="CA34" s="204" t="n"/>
      <c r="CB34" s="208" t="n"/>
      <c r="CC34" s="139" t="n"/>
      <c r="CD34" s="204" t="n"/>
      <c r="CE34" s="204" t="n"/>
      <c r="CF34" s="207" t="n"/>
      <c r="CG34" s="208" t="n"/>
      <c r="CH34" s="207" t="n"/>
      <c r="CI34" s="208" t="n"/>
      <c r="CJ34" s="204" t="n"/>
      <c r="CK34" s="208" t="n"/>
      <c r="CL34" s="208" t="n"/>
      <c r="CM34" s="208" t="n"/>
      <c r="CN34" s="78" t="n"/>
      <c r="CO34" s="209" t="n"/>
      <c r="CP34" s="204" t="n"/>
      <c r="CQ34" s="204" t="n"/>
      <c r="CR34" s="204" t="n"/>
      <c r="CS34" s="204" t="n"/>
      <c r="CT34" s="204" t="n"/>
      <c r="CU34" s="204" t="n"/>
      <c r="CV34" s="204" t="n"/>
      <c r="CW34" s="204" t="n"/>
      <c r="CX34" s="190" t="n"/>
    </row>
    <row r="35">
      <c r="BF35" s="78" t="n"/>
      <c r="BG35" s="78" t="n"/>
      <c r="BH35" s="78" t="n"/>
      <c r="BI35" s="78" t="n"/>
      <c r="BJ35" s="139" t="n"/>
      <c r="BK35" s="204" t="n"/>
      <c r="BL35" s="141" t="n"/>
      <c r="BM35" s="205" t="n"/>
      <c r="BN35" s="205" t="n"/>
      <c r="BO35" s="206" t="n"/>
      <c r="BP35" s="144" t="n"/>
      <c r="BQ35" s="141" t="n"/>
      <c r="BR35" s="207" t="n"/>
      <c r="BS35" s="207" t="n"/>
      <c r="BT35" s="207" t="n"/>
      <c r="BU35" s="207" t="n"/>
      <c r="BV35" s="208" t="n"/>
      <c r="BW35" s="207" t="n"/>
      <c r="BX35" s="207" t="n"/>
      <c r="BY35" s="204" t="n"/>
      <c r="BZ35" s="148" t="n"/>
      <c r="CA35" s="204" t="n"/>
      <c r="CB35" s="208" t="n"/>
      <c r="CC35" s="139" t="n"/>
      <c r="CD35" s="204" t="n"/>
      <c r="CE35" s="204" t="n"/>
      <c r="CF35" s="207" t="n"/>
      <c r="CG35" s="208" t="n"/>
      <c r="CH35" s="207" t="n"/>
      <c r="CI35" s="208" t="n"/>
      <c r="CJ35" s="204" t="n"/>
      <c r="CK35" s="208" t="n"/>
      <c r="CL35" s="208" t="n"/>
      <c r="CM35" s="208" t="n"/>
      <c r="CN35" s="78" t="n"/>
      <c r="CO35" s="209" t="n"/>
      <c r="CP35" s="204" t="n"/>
      <c r="CQ35" s="204" t="n"/>
      <c r="CR35" s="204" t="n"/>
      <c r="CS35" s="204" t="n"/>
      <c r="CT35" s="204" t="n"/>
      <c r="CU35" s="204" t="n"/>
      <c r="CV35" s="204" t="n"/>
      <c r="CW35" s="204" t="n"/>
      <c r="CX35" s="190" t="n"/>
    </row>
    <row r="36">
      <c r="BF36" s="78" t="n"/>
      <c r="BG36" s="78" t="n"/>
      <c r="BH36" s="78" t="n"/>
      <c r="BI36" s="78" t="n"/>
      <c r="BJ36" s="139" t="n"/>
      <c r="BK36" s="204" t="n"/>
      <c r="BL36" s="141" t="n"/>
      <c r="BM36" s="205" t="n"/>
      <c r="BN36" s="205" t="n"/>
      <c r="BO36" s="206" t="n"/>
      <c r="BP36" s="144" t="n"/>
      <c r="BQ36" s="141" t="n"/>
      <c r="BR36" s="207" t="n"/>
      <c r="BS36" s="207" t="n"/>
      <c r="BT36" s="207" t="n"/>
      <c r="BU36" s="207" t="n"/>
      <c r="BV36" s="208" t="n"/>
      <c r="BW36" s="207" t="n"/>
      <c r="BX36" s="207" t="n"/>
      <c r="BY36" s="204" t="n"/>
      <c r="BZ36" s="148" t="n"/>
      <c r="CA36" s="204" t="n"/>
      <c r="CB36" s="208" t="n"/>
      <c r="CC36" s="139" t="n"/>
      <c r="CD36" s="204" t="n"/>
      <c r="CE36" s="204" t="n"/>
      <c r="CF36" s="207" t="n"/>
      <c r="CG36" s="208" t="n"/>
      <c r="CH36" s="207" t="n"/>
      <c r="CI36" s="208" t="n"/>
      <c r="CJ36" s="204" t="n"/>
      <c r="CK36" s="208" t="n"/>
      <c r="CL36" s="208" t="n"/>
      <c r="CM36" s="208" t="n"/>
      <c r="CN36" s="78" t="n"/>
      <c r="CO36" s="209" t="n"/>
      <c r="CP36" s="204" t="n"/>
      <c r="CQ36" s="204" t="n"/>
      <c r="CR36" s="204" t="n"/>
      <c r="CS36" s="204" t="n"/>
      <c r="CT36" s="204" t="n"/>
      <c r="CU36" s="204" t="n"/>
      <c r="CV36" s="204" t="n"/>
      <c r="CW36" s="204" t="n"/>
      <c r="CX36" s="190" t="n"/>
    </row>
    <row r="37">
      <c r="BF37" s="78" t="n"/>
      <c r="BG37" s="78" t="n"/>
      <c r="BH37" s="78" t="n"/>
      <c r="BI37" s="78" t="n"/>
      <c r="BJ37" s="139" t="n"/>
      <c r="BK37" s="204" t="n"/>
      <c r="BL37" s="141" t="n"/>
      <c r="BM37" s="205" t="n"/>
      <c r="BN37" s="205" t="n"/>
      <c r="BO37" s="206" t="n"/>
      <c r="BP37" s="144" t="n"/>
      <c r="BQ37" s="141" t="n"/>
      <c r="BR37" s="207" t="n"/>
      <c r="BS37" s="207" t="n"/>
      <c r="BT37" s="207" t="n"/>
      <c r="BU37" s="207" t="n"/>
      <c r="BV37" s="208" t="n"/>
      <c r="BW37" s="207" t="n"/>
      <c r="BX37" s="207" t="n"/>
      <c r="BY37" s="204" t="n"/>
      <c r="BZ37" s="148" t="n"/>
      <c r="CA37" s="204" t="n"/>
      <c r="CB37" s="208" t="n"/>
      <c r="CC37" s="139" t="n"/>
      <c r="CD37" s="204" t="n"/>
      <c r="CE37" s="204" t="n"/>
      <c r="CF37" s="207" t="n"/>
      <c r="CG37" s="208" t="n"/>
      <c r="CH37" s="207" t="n"/>
      <c r="CI37" s="208" t="n"/>
      <c r="CJ37" s="204" t="n"/>
      <c r="CK37" s="208" t="n"/>
      <c r="CL37" s="208" t="n"/>
      <c r="CM37" s="208" t="n"/>
      <c r="CN37" s="78" t="n"/>
      <c r="CO37" s="209" t="n"/>
      <c r="CP37" s="204" t="n"/>
      <c r="CQ37" s="204" t="n"/>
      <c r="CR37" s="204" t="n"/>
      <c r="CS37" s="204" t="n"/>
      <c r="CT37" s="204" t="n"/>
      <c r="CU37" s="204" t="n"/>
      <c r="CV37" s="204" t="n"/>
      <c r="CW37" s="204" t="n"/>
      <c r="CX37" s="190" t="n"/>
    </row>
    <row r="38">
      <c r="BF38" s="78" t="n"/>
      <c r="BG38" s="78" t="n"/>
      <c r="BH38" s="78" t="n"/>
      <c r="BI38" s="78" t="n"/>
      <c r="BJ38" s="139" t="n"/>
      <c r="BK38" s="204" t="n"/>
      <c r="BL38" s="141" t="n"/>
      <c r="BM38" s="205" t="n"/>
      <c r="BN38" s="205" t="n"/>
      <c r="BO38" s="206" t="n"/>
      <c r="BP38" s="144" t="n"/>
      <c r="BQ38" s="141" t="n"/>
      <c r="BR38" s="207" t="n"/>
      <c r="BS38" s="207" t="n"/>
      <c r="BT38" s="207" t="n"/>
      <c r="BU38" s="207" t="n"/>
      <c r="BV38" s="208" t="n"/>
      <c r="BW38" s="207" t="n"/>
      <c r="BX38" s="207" t="n"/>
      <c r="BY38" s="204" t="n"/>
      <c r="BZ38" s="148" t="n"/>
      <c r="CA38" s="204" t="n"/>
      <c r="CB38" s="208" t="n"/>
      <c r="CC38" s="139" t="n"/>
      <c r="CD38" s="204" t="n"/>
      <c r="CE38" s="204" t="n"/>
      <c r="CF38" s="207" t="n"/>
      <c r="CG38" s="208" t="n"/>
      <c r="CH38" s="207" t="n"/>
      <c r="CI38" s="208" t="n"/>
      <c r="CJ38" s="204" t="n"/>
      <c r="CK38" s="208" t="n"/>
      <c r="CL38" s="208" t="n"/>
      <c r="CM38" s="208" t="n"/>
      <c r="CN38" s="78" t="n"/>
      <c r="CO38" s="209" t="n"/>
      <c r="CP38" s="204" t="n"/>
      <c r="CQ38" s="204" t="n"/>
      <c r="CR38" s="204" t="n"/>
      <c r="CS38" s="204" t="n"/>
      <c r="CT38" s="204" t="n"/>
      <c r="CU38" s="204" t="n"/>
      <c r="CV38" s="204" t="n"/>
      <c r="CW38" s="204" t="n"/>
      <c r="CX38" s="190" t="n"/>
    </row>
    <row r="39">
      <c r="BF39" s="78" t="n"/>
      <c r="BG39" s="78" t="n"/>
      <c r="BH39" s="78" t="n"/>
      <c r="BI39" s="78" t="n"/>
      <c r="BJ39" s="139" t="n"/>
      <c r="BK39" s="204" t="n"/>
      <c r="BL39" s="141" t="n"/>
      <c r="BM39" s="205" t="n"/>
      <c r="BN39" s="205" t="n"/>
      <c r="BO39" s="206" t="n"/>
      <c r="BP39" s="144" t="n"/>
      <c r="BQ39" s="141" t="n"/>
      <c r="BR39" s="207" t="n"/>
      <c r="BS39" s="207" t="n"/>
      <c r="BT39" s="207" t="n"/>
      <c r="BU39" s="207" t="n"/>
      <c r="BV39" s="208" t="n"/>
      <c r="BW39" s="207" t="n"/>
      <c r="BX39" s="207" t="n"/>
      <c r="BY39" s="204" t="n"/>
      <c r="BZ39" s="148" t="n"/>
      <c r="CA39" s="204" t="n"/>
      <c r="CB39" s="208" t="n"/>
      <c r="CC39" s="139" t="n"/>
      <c r="CD39" s="204" t="n"/>
      <c r="CE39" s="204" t="n"/>
      <c r="CF39" s="207" t="n"/>
      <c r="CG39" s="208" t="n"/>
      <c r="CH39" s="207" t="n"/>
      <c r="CI39" s="208" t="n"/>
      <c r="CJ39" s="204" t="n"/>
      <c r="CK39" s="208" t="n"/>
      <c r="CL39" s="208" t="n"/>
      <c r="CM39" s="208" t="n"/>
      <c r="CN39" s="78" t="n"/>
      <c r="CO39" s="209" t="n"/>
      <c r="CP39" s="204" t="n"/>
      <c r="CQ39" s="204" t="n"/>
      <c r="CR39" s="204" t="n"/>
      <c r="CS39" s="204" t="n"/>
      <c r="CT39" s="204" t="n"/>
      <c r="CU39" s="204" t="n"/>
      <c r="CV39" s="204" t="n"/>
      <c r="CW39" s="204" t="n"/>
      <c r="CX39" s="190" t="n"/>
    </row>
    <row r="40">
      <c r="BF40" s="78" t="n"/>
      <c r="BG40" s="78" t="n"/>
      <c r="BH40" s="78" t="n"/>
      <c r="BI40" s="78" t="n"/>
      <c r="BJ40" s="139" t="n"/>
      <c r="BK40" s="204" t="n"/>
      <c r="BL40" s="141" t="n"/>
      <c r="BM40" s="205" t="n"/>
      <c r="BN40" s="205" t="n"/>
      <c r="BO40" s="206" t="n"/>
      <c r="BP40" s="144" t="n"/>
      <c r="BQ40" s="141" t="n"/>
      <c r="BR40" s="207" t="n"/>
      <c r="BS40" s="207" t="n"/>
      <c r="BT40" s="207" t="n"/>
      <c r="BU40" s="207" t="n"/>
      <c r="BV40" s="208" t="n"/>
      <c r="BW40" s="207" t="n"/>
      <c r="BX40" s="207" t="n"/>
      <c r="BY40" s="204" t="n"/>
      <c r="BZ40" s="148" t="n"/>
      <c r="CA40" s="204" t="n"/>
      <c r="CB40" s="208" t="n"/>
      <c r="CC40" s="139" t="n"/>
      <c r="CD40" s="204" t="n"/>
      <c r="CE40" s="204" t="n"/>
      <c r="CF40" s="207" t="n"/>
      <c r="CG40" s="208" t="n"/>
      <c r="CH40" s="207" t="n"/>
      <c r="CI40" s="208" t="n"/>
      <c r="CJ40" s="204" t="n"/>
      <c r="CK40" s="208" t="n"/>
      <c r="CL40" s="208" t="n"/>
      <c r="CM40" s="208" t="n"/>
      <c r="CN40" s="78" t="n"/>
      <c r="CO40" s="209" t="n"/>
      <c r="CP40" s="204" t="n"/>
      <c r="CQ40" s="204" t="n"/>
      <c r="CR40" s="204" t="n"/>
      <c r="CS40" s="204" t="n"/>
      <c r="CT40" s="204" t="n"/>
      <c r="CU40" s="204" t="n"/>
      <c r="CV40" s="204" t="n"/>
      <c r="CW40" s="204" t="n"/>
      <c r="CX40" s="190" t="n"/>
    </row>
    <row r="41">
      <c r="BF41" s="78" t="n"/>
      <c r="BG41" s="78" t="n"/>
      <c r="BH41" s="78" t="n"/>
      <c r="BI41" s="78" t="n"/>
      <c r="BJ41" s="139" t="n"/>
      <c r="BK41" s="204" t="n"/>
      <c r="BL41" s="141" t="n"/>
      <c r="BM41" s="205" t="n"/>
      <c r="BN41" s="205" t="n"/>
      <c r="BO41" s="206" t="n"/>
      <c r="BP41" s="144" t="n"/>
      <c r="BQ41" s="141" t="n"/>
      <c r="BR41" s="207" t="n"/>
      <c r="BS41" s="207" t="n"/>
      <c r="BT41" s="207" t="n"/>
      <c r="BU41" s="207" t="n"/>
      <c r="BV41" s="208" t="n"/>
      <c r="BW41" s="207" t="n"/>
      <c r="BX41" s="207" t="n"/>
      <c r="BY41" s="204" t="n"/>
      <c r="BZ41" s="148" t="n"/>
      <c r="CA41" s="204" t="n"/>
      <c r="CB41" s="208" t="n"/>
      <c r="CC41" s="139" t="n"/>
      <c r="CD41" s="204" t="n"/>
      <c r="CE41" s="204" t="n"/>
      <c r="CF41" s="207" t="n"/>
      <c r="CG41" s="208" t="n"/>
      <c r="CH41" s="207" t="n"/>
      <c r="CI41" s="208" t="n"/>
      <c r="CJ41" s="204" t="n"/>
      <c r="CK41" s="208" t="n"/>
      <c r="CL41" s="208" t="n"/>
      <c r="CM41" s="208" t="n"/>
      <c r="CN41" s="78" t="n"/>
      <c r="CO41" s="209" t="n"/>
      <c r="CP41" s="204" t="n"/>
      <c r="CQ41" s="204" t="n"/>
      <c r="CR41" s="204" t="n"/>
      <c r="CS41" s="204" t="n"/>
      <c r="CT41" s="204" t="n"/>
      <c r="CU41" s="204" t="n"/>
      <c r="CV41" s="204" t="n"/>
      <c r="CW41" s="204" t="n"/>
      <c r="CX41" s="190" t="n"/>
    </row>
    <row r="42">
      <c r="BF42" s="78" t="n"/>
      <c r="BG42" s="78" t="n"/>
      <c r="BH42" s="78" t="n"/>
      <c r="BI42" s="78" t="n"/>
      <c r="BJ42" s="139" t="n"/>
      <c r="BK42" s="204" t="n"/>
      <c r="BL42" s="141" t="n"/>
      <c r="BM42" s="205" t="n"/>
      <c r="BN42" s="205" t="n"/>
      <c r="BO42" s="206" t="n"/>
      <c r="BP42" s="144" t="n"/>
      <c r="BQ42" s="141" t="n"/>
      <c r="BR42" s="207" t="n"/>
      <c r="BS42" s="207" t="n"/>
      <c r="BT42" s="207" t="n"/>
      <c r="BU42" s="207" t="n"/>
      <c r="BV42" s="208" t="n"/>
      <c r="BW42" s="207" t="n"/>
      <c r="BX42" s="207" t="n"/>
      <c r="BY42" s="204" t="n"/>
      <c r="BZ42" s="148" t="n"/>
      <c r="CA42" s="204" t="n"/>
      <c r="CB42" s="208" t="n"/>
      <c r="CC42" s="139" t="n"/>
      <c r="CD42" s="204" t="n"/>
      <c r="CE42" s="204" t="n"/>
      <c r="CF42" s="207" t="n"/>
      <c r="CG42" s="208" t="n"/>
      <c r="CH42" s="207" t="n"/>
      <c r="CI42" s="208" t="n"/>
      <c r="CJ42" s="204" t="n"/>
      <c r="CK42" s="208" t="n"/>
      <c r="CL42" s="208" t="n"/>
      <c r="CM42" s="208" t="n"/>
      <c r="CN42" s="78" t="n"/>
      <c r="CO42" s="209" t="n"/>
      <c r="CP42" s="204" t="n"/>
      <c r="CQ42" s="204" t="n"/>
      <c r="CR42" s="204" t="n"/>
      <c r="CS42" s="204" t="n"/>
      <c r="CT42" s="204" t="n"/>
      <c r="CU42" s="204" t="n"/>
      <c r="CV42" s="204" t="n"/>
      <c r="CW42" s="204" t="n"/>
      <c r="CX42" s="190" t="n"/>
    </row>
    <row r="43">
      <c r="BF43" s="78" t="n"/>
      <c r="BG43" s="78" t="n"/>
      <c r="BH43" s="78" t="n"/>
      <c r="BI43" s="78" t="n"/>
      <c r="BJ43" s="139" t="n"/>
      <c r="BK43" s="204" t="n"/>
      <c r="BL43" s="141" t="n"/>
      <c r="BM43" s="205" t="n"/>
      <c r="BN43" s="205" t="n"/>
      <c r="BO43" s="206" t="n"/>
      <c r="BP43" s="144" t="n"/>
      <c r="BQ43" s="141" t="n"/>
      <c r="BR43" s="207" t="n"/>
      <c r="BS43" s="207" t="n"/>
      <c r="BT43" s="207" t="n"/>
      <c r="BU43" s="207" t="n"/>
      <c r="BV43" s="208" t="n"/>
      <c r="BW43" s="207" t="n"/>
      <c r="BX43" s="207" t="n"/>
      <c r="BY43" s="204" t="n"/>
      <c r="BZ43" s="148" t="n"/>
      <c r="CA43" s="204" t="n"/>
      <c r="CB43" s="208" t="n"/>
      <c r="CC43" s="139" t="n"/>
      <c r="CD43" s="204" t="n"/>
      <c r="CE43" s="204" t="n"/>
      <c r="CF43" s="207" t="n"/>
      <c r="CG43" s="208" t="n"/>
      <c r="CH43" s="207" t="n"/>
      <c r="CI43" s="208" t="n"/>
      <c r="CJ43" s="204" t="n"/>
      <c r="CK43" s="208" t="n"/>
      <c r="CL43" s="208" t="n"/>
      <c r="CM43" s="208" t="n"/>
      <c r="CN43" s="78" t="n"/>
      <c r="CO43" s="209" t="n"/>
      <c r="CP43" s="204" t="n"/>
      <c r="CQ43" s="204" t="n"/>
      <c r="CR43" s="204" t="n"/>
      <c r="CS43" s="204" t="n"/>
      <c r="CT43" s="204" t="n"/>
      <c r="CU43" s="204" t="n"/>
      <c r="CV43" s="204" t="n"/>
      <c r="CW43" s="204" t="n"/>
      <c r="CX43" s="190" t="n"/>
    </row>
    <row r="44">
      <c r="BF44" s="78" t="n"/>
      <c r="BG44" s="78" t="n"/>
      <c r="BH44" s="78" t="n"/>
      <c r="BI44" s="78" t="n"/>
      <c r="BJ44" s="139" t="n"/>
      <c r="BK44" s="204" t="n"/>
      <c r="BL44" s="141" t="n"/>
      <c r="BM44" s="205" t="n"/>
      <c r="BN44" s="205" t="n"/>
      <c r="BO44" s="206" t="n"/>
      <c r="BP44" s="144" t="n"/>
      <c r="BQ44" s="141" t="n"/>
      <c r="BR44" s="207" t="n"/>
      <c r="BS44" s="207" t="n"/>
      <c r="BT44" s="207" t="n"/>
      <c r="BU44" s="207" t="n"/>
      <c r="BV44" s="208" t="n"/>
      <c r="BW44" s="207" t="n"/>
      <c r="BX44" s="207" t="n"/>
      <c r="BY44" s="204" t="n"/>
      <c r="BZ44" s="148" t="n"/>
      <c r="CA44" s="204" t="n"/>
      <c r="CB44" s="208" t="n"/>
      <c r="CC44" s="139" t="n"/>
      <c r="CD44" s="204" t="n"/>
      <c r="CE44" s="204" t="n"/>
      <c r="CF44" s="207" t="n"/>
      <c r="CG44" s="208" t="n"/>
      <c r="CH44" s="207" t="n"/>
      <c r="CI44" s="208" t="n"/>
      <c r="CJ44" s="204" t="n"/>
      <c r="CK44" s="208" t="n"/>
      <c r="CL44" s="208" t="n"/>
      <c r="CM44" s="208" t="n"/>
      <c r="CN44" s="78" t="n"/>
      <c r="CO44" s="209" t="n"/>
      <c r="CP44" s="204" t="n"/>
      <c r="CQ44" s="204" t="n"/>
      <c r="CR44" s="204" t="n"/>
      <c r="CS44" s="204" t="n"/>
      <c r="CT44" s="204" t="n"/>
      <c r="CU44" s="204" t="n"/>
      <c r="CV44" s="204" t="n"/>
      <c r="CW44" s="204" t="n"/>
      <c r="CX44" s="190" t="n"/>
    </row>
    <row r="45">
      <c r="BF45" s="78" t="n"/>
      <c r="BG45" s="78" t="n"/>
      <c r="BH45" s="78" t="n"/>
      <c r="BI45" s="78" t="n"/>
      <c r="BJ45" s="139" t="n"/>
      <c r="BK45" s="204" t="n"/>
      <c r="BL45" s="141" t="n"/>
      <c r="BM45" s="205" t="n"/>
      <c r="BN45" s="205" t="n"/>
      <c r="BO45" s="206" t="n"/>
      <c r="BP45" s="144" t="n"/>
      <c r="BQ45" s="141" t="n"/>
      <c r="BR45" s="207" t="n"/>
      <c r="BS45" s="207" t="n"/>
      <c r="BT45" s="207" t="n"/>
      <c r="BU45" s="207" t="n"/>
      <c r="BV45" s="208" t="n"/>
      <c r="BW45" s="207" t="n"/>
      <c r="BX45" s="207" t="n"/>
      <c r="BY45" s="204" t="n"/>
      <c r="BZ45" s="148" t="n"/>
      <c r="CA45" s="204" t="n"/>
      <c r="CB45" s="208" t="n"/>
      <c r="CC45" s="139" t="n"/>
      <c r="CD45" s="204" t="n"/>
      <c r="CE45" s="204" t="n"/>
      <c r="CF45" s="207" t="n"/>
      <c r="CG45" s="208" t="n"/>
      <c r="CH45" s="207" t="n"/>
      <c r="CI45" s="208" t="n"/>
      <c r="CJ45" s="204" t="n"/>
      <c r="CK45" s="208" t="n"/>
      <c r="CL45" s="208" t="n"/>
      <c r="CM45" s="208" t="n"/>
      <c r="CN45" s="78" t="n"/>
      <c r="CO45" s="209" t="n"/>
      <c r="CP45" s="204" t="n"/>
      <c r="CQ45" s="204" t="n"/>
      <c r="CR45" s="204" t="n"/>
      <c r="CS45" s="204" t="n"/>
      <c r="CT45" s="204" t="n"/>
      <c r="CU45" s="204" t="n"/>
      <c r="CV45" s="204" t="n"/>
      <c r="CW45" s="204" t="n"/>
      <c r="CX45" s="190" t="n"/>
    </row>
    <row r="46">
      <c r="BF46" s="78" t="n"/>
      <c r="BG46" s="78" t="n"/>
      <c r="BH46" s="78" t="n"/>
      <c r="BI46" s="78" t="n"/>
      <c r="BJ46" s="139" t="n"/>
      <c r="BK46" s="204" t="n"/>
      <c r="BL46" s="141" t="n"/>
      <c r="BM46" s="205" t="n"/>
      <c r="BN46" s="205" t="n"/>
      <c r="BO46" s="206" t="n"/>
      <c r="BP46" s="144" t="n"/>
      <c r="BQ46" s="141" t="n"/>
      <c r="BR46" s="207" t="n"/>
      <c r="BS46" s="207" t="n"/>
      <c r="BT46" s="207" t="n"/>
      <c r="BU46" s="207" t="n"/>
      <c r="BV46" s="208" t="n"/>
      <c r="BW46" s="207" t="n"/>
      <c r="BX46" s="207" t="n"/>
      <c r="BY46" s="204" t="n"/>
      <c r="BZ46" s="148" t="n"/>
      <c r="CA46" s="204" t="n"/>
      <c r="CB46" s="208" t="n"/>
      <c r="CC46" s="139" t="n"/>
      <c r="CD46" s="204" t="n"/>
      <c r="CE46" s="204" t="n"/>
      <c r="CF46" s="207" t="n"/>
      <c r="CG46" s="208" t="n"/>
      <c r="CH46" s="207" t="n"/>
      <c r="CI46" s="208" t="n"/>
      <c r="CJ46" s="204" t="n"/>
      <c r="CK46" s="208" t="n"/>
      <c r="CL46" s="208" t="n"/>
      <c r="CM46" s="208" t="n"/>
      <c r="CN46" s="78" t="n"/>
      <c r="CO46" s="209" t="n"/>
      <c r="CP46" s="204" t="n"/>
      <c r="CQ46" s="204" t="n"/>
      <c r="CR46" s="204" t="n"/>
      <c r="CS46" s="204" t="n"/>
      <c r="CT46" s="204" t="n"/>
      <c r="CU46" s="204" t="n"/>
      <c r="CV46" s="204" t="n"/>
      <c r="CW46" s="204" t="n"/>
      <c r="CX46" s="190" t="n"/>
    </row>
    <row r="47">
      <c r="BF47" s="78" t="n"/>
      <c r="BG47" s="78" t="n"/>
      <c r="BH47" s="78" t="n"/>
      <c r="BI47" s="78" t="n"/>
      <c r="BJ47" s="139" t="n"/>
      <c r="BK47" s="204" t="n"/>
      <c r="BL47" s="141" t="n"/>
      <c r="BM47" s="205" t="n"/>
      <c r="BN47" s="205" t="n"/>
      <c r="BO47" s="206" t="n"/>
      <c r="BP47" s="144" t="n"/>
      <c r="BQ47" s="141" t="n"/>
      <c r="BR47" s="207" t="n"/>
      <c r="BS47" s="207" t="n"/>
      <c r="BT47" s="207" t="n"/>
      <c r="BU47" s="207" t="n"/>
      <c r="BV47" s="208" t="n"/>
      <c r="BW47" s="207" t="n"/>
      <c r="BX47" s="207" t="n"/>
      <c r="BY47" s="204" t="n"/>
      <c r="BZ47" s="148" t="n"/>
      <c r="CA47" s="204" t="n"/>
      <c r="CB47" s="208" t="n"/>
      <c r="CC47" s="139" t="n"/>
      <c r="CD47" s="204" t="n"/>
      <c r="CE47" s="204" t="n"/>
      <c r="CF47" s="207" t="n"/>
      <c r="CG47" s="208" t="n"/>
      <c r="CH47" s="207" t="n"/>
      <c r="CI47" s="208" t="n"/>
      <c r="CJ47" s="204" t="n"/>
      <c r="CK47" s="208" t="n"/>
      <c r="CL47" s="208" t="n"/>
      <c r="CM47" s="208" t="n"/>
      <c r="CN47" s="78" t="n"/>
      <c r="CO47" s="209" t="n"/>
      <c r="CP47" s="204" t="n"/>
      <c r="CQ47" s="204" t="n"/>
      <c r="CR47" s="204" t="n"/>
      <c r="CS47" s="204" t="n"/>
      <c r="CT47" s="204" t="n"/>
      <c r="CU47" s="204" t="n"/>
      <c r="CV47" s="204" t="n"/>
      <c r="CW47" s="204" t="n"/>
      <c r="CX47" s="190" t="n"/>
    </row>
    <row r="48">
      <c r="BF48" s="78" t="n"/>
      <c r="BG48" s="78" t="n"/>
      <c r="BH48" s="78" t="n"/>
      <c r="BI48" s="78" t="n"/>
      <c r="BJ48" s="139" t="n"/>
      <c r="BK48" s="204" t="n"/>
      <c r="BL48" s="141" t="n"/>
      <c r="BM48" s="205" t="n"/>
      <c r="BN48" s="205" t="n"/>
      <c r="BO48" s="206" t="n"/>
      <c r="BP48" s="144" t="n"/>
      <c r="BQ48" s="141" t="n"/>
      <c r="BR48" s="207" t="n"/>
      <c r="BS48" s="207" t="n"/>
      <c r="BT48" s="207" t="n"/>
      <c r="BU48" s="207" t="n"/>
      <c r="BV48" s="208" t="n"/>
      <c r="BW48" s="207" t="n"/>
      <c r="BX48" s="207" t="n"/>
      <c r="BY48" s="204" t="n"/>
      <c r="BZ48" s="148" t="n"/>
      <c r="CA48" s="204" t="n"/>
      <c r="CB48" s="208" t="n"/>
      <c r="CC48" s="139" t="n"/>
      <c r="CD48" s="204" t="n"/>
      <c r="CE48" s="204" t="n"/>
      <c r="CF48" s="207" t="n"/>
      <c r="CG48" s="208" t="n"/>
      <c r="CH48" s="207" t="n"/>
      <c r="CI48" s="208" t="n"/>
      <c r="CJ48" s="204" t="n"/>
      <c r="CK48" s="208" t="n"/>
      <c r="CL48" s="208" t="n"/>
      <c r="CM48" s="208" t="n"/>
      <c r="CN48" s="78" t="n"/>
      <c r="CO48" s="209" t="n"/>
      <c r="CP48" s="204" t="n"/>
      <c r="CQ48" s="204" t="n"/>
      <c r="CR48" s="204" t="n"/>
      <c r="CS48" s="204" t="n"/>
      <c r="CT48" s="204" t="n"/>
      <c r="CU48" s="204" t="n"/>
      <c r="CV48" s="204" t="n"/>
      <c r="CW48" s="204" t="n"/>
      <c r="CX48" s="190" t="n"/>
    </row>
    <row r="49">
      <c r="BF49" s="78" t="n"/>
      <c r="BG49" s="78" t="n"/>
      <c r="BH49" s="78" t="n"/>
      <c r="BI49" s="78" t="n"/>
      <c r="BJ49" s="139" t="n"/>
      <c r="BK49" s="204" t="n"/>
      <c r="BL49" s="141" t="n"/>
      <c r="BM49" s="205" t="n"/>
      <c r="BN49" s="205" t="n"/>
      <c r="BO49" s="206" t="n"/>
      <c r="BP49" s="144" t="n"/>
      <c r="BQ49" s="141" t="n"/>
      <c r="BR49" s="207" t="n"/>
      <c r="BS49" s="207" t="n"/>
      <c r="BT49" s="207" t="n"/>
      <c r="BU49" s="207" t="n"/>
      <c r="BV49" s="208" t="n"/>
      <c r="BW49" s="207" t="n"/>
      <c r="BX49" s="207" t="n"/>
      <c r="BY49" s="204" t="n"/>
      <c r="BZ49" s="148" t="n"/>
      <c r="CA49" s="204" t="n"/>
      <c r="CB49" s="208" t="n"/>
      <c r="CC49" s="139" t="n"/>
      <c r="CD49" s="204" t="n"/>
      <c r="CE49" s="204" t="n"/>
      <c r="CF49" s="207" t="n"/>
      <c r="CG49" s="208" t="n"/>
      <c r="CH49" s="207" t="n"/>
      <c r="CI49" s="208" t="n"/>
      <c r="CJ49" s="204" t="n"/>
      <c r="CK49" s="208" t="n"/>
      <c r="CL49" s="208" t="n"/>
      <c r="CM49" s="208" t="n"/>
      <c r="CN49" s="78" t="n"/>
      <c r="CO49" s="209" t="n"/>
      <c r="CP49" s="204" t="n"/>
      <c r="CQ49" s="204" t="n"/>
      <c r="CR49" s="204" t="n"/>
      <c r="CS49" s="204" t="n"/>
      <c r="CT49" s="204" t="n"/>
      <c r="CU49" s="204" t="n"/>
      <c r="CV49" s="204" t="n"/>
      <c r="CW49" s="204" t="n"/>
      <c r="CX49" s="190" t="n"/>
    </row>
    <row r="50">
      <c r="BF50" s="78" t="n"/>
      <c r="BG50" s="78" t="n"/>
      <c r="BH50" s="78" t="n"/>
      <c r="BI50" s="78" t="n"/>
      <c r="BJ50" s="139" t="n"/>
      <c r="BK50" s="204" t="n"/>
      <c r="BL50" s="141" t="n"/>
      <c r="BM50" s="205" t="n"/>
      <c r="BN50" s="205" t="n"/>
      <c r="BO50" s="206" t="n"/>
      <c r="BP50" s="144" t="n"/>
      <c r="BQ50" s="141" t="n"/>
      <c r="BR50" s="207" t="n"/>
      <c r="BS50" s="207" t="n"/>
      <c r="BT50" s="207" t="n"/>
      <c r="BU50" s="207" t="n"/>
      <c r="BV50" s="208" t="n"/>
      <c r="BW50" s="207" t="n"/>
      <c r="BX50" s="207" t="n"/>
      <c r="BY50" s="204" t="n"/>
      <c r="BZ50" s="148" t="n"/>
      <c r="CA50" s="204" t="n"/>
      <c r="CB50" s="208" t="n"/>
      <c r="CC50" s="139" t="n"/>
      <c r="CD50" s="204" t="n"/>
      <c r="CE50" s="204" t="n"/>
      <c r="CF50" s="207" t="n"/>
      <c r="CG50" s="208" t="n"/>
      <c r="CH50" s="207" t="n"/>
      <c r="CI50" s="208" t="n"/>
      <c r="CJ50" s="204" t="n"/>
      <c r="CK50" s="208" t="n"/>
      <c r="CL50" s="208" t="n"/>
      <c r="CM50" s="208" t="n"/>
      <c r="CN50" s="78" t="n"/>
      <c r="CO50" s="209" t="n"/>
      <c r="CP50" s="204" t="n"/>
      <c r="CQ50" s="204" t="n"/>
      <c r="CR50" s="204" t="n"/>
      <c r="CS50" s="204" t="n"/>
      <c r="CT50" s="204" t="n"/>
      <c r="CU50" s="204" t="n"/>
      <c r="CV50" s="204" t="n"/>
      <c r="CW50" s="204" t="n"/>
      <c r="CX50" s="190" t="n"/>
    </row>
    <row r="51">
      <c r="BF51" s="78" t="n"/>
      <c r="BG51" s="78" t="n"/>
      <c r="BH51" s="78" t="n"/>
      <c r="BI51" s="78" t="n"/>
      <c r="BJ51" s="139" t="n"/>
      <c r="BK51" s="204" t="n"/>
      <c r="BL51" s="141" t="n"/>
      <c r="BM51" s="205" t="n"/>
      <c r="BN51" s="205" t="n"/>
      <c r="BO51" s="206" t="n"/>
      <c r="BP51" s="144" t="n"/>
      <c r="BQ51" s="141" t="n"/>
      <c r="BR51" s="207" t="n"/>
      <c r="BS51" s="207" t="n"/>
      <c r="BT51" s="207" t="n"/>
      <c r="BU51" s="207" t="n"/>
      <c r="BV51" s="208" t="n"/>
      <c r="BW51" s="207" t="n"/>
      <c r="BX51" s="207" t="n"/>
      <c r="BY51" s="204" t="n"/>
      <c r="BZ51" s="148" t="n"/>
      <c r="CA51" s="204" t="n"/>
      <c r="CB51" s="208" t="n"/>
      <c r="CC51" s="139" t="n"/>
      <c r="CD51" s="204" t="n"/>
      <c r="CE51" s="204" t="n"/>
      <c r="CF51" s="207" t="n"/>
      <c r="CG51" s="208" t="n"/>
      <c r="CH51" s="207" t="n"/>
      <c r="CI51" s="208" t="n"/>
      <c r="CJ51" s="204" t="n"/>
      <c r="CK51" s="208" t="n"/>
      <c r="CL51" s="208" t="n"/>
      <c r="CM51" s="208" t="n"/>
      <c r="CN51" s="78" t="n"/>
      <c r="CO51" s="209" t="n"/>
      <c r="CP51" s="204" t="n"/>
      <c r="CQ51" s="204" t="n"/>
      <c r="CR51" s="204" t="n"/>
      <c r="CS51" s="204" t="n"/>
      <c r="CT51" s="204" t="n"/>
      <c r="CU51" s="204" t="n"/>
      <c r="CV51" s="204" t="n"/>
      <c r="CW51" s="204" t="n"/>
      <c r="CX51" s="190" t="n"/>
    </row>
    <row r="52">
      <c r="BF52" s="78" t="n"/>
      <c r="BG52" s="78" t="n"/>
      <c r="BH52" s="78" t="n"/>
      <c r="BI52" s="78" t="n"/>
      <c r="BJ52" s="139" t="n"/>
      <c r="BK52" s="204" t="n"/>
      <c r="BL52" s="141" t="n"/>
      <c r="BM52" s="205" t="n"/>
      <c r="BN52" s="205" t="n"/>
      <c r="BO52" s="206" t="n"/>
      <c r="BP52" s="144" t="n"/>
      <c r="BQ52" s="141" t="n"/>
      <c r="BR52" s="207" t="n"/>
      <c r="BS52" s="207" t="n"/>
      <c r="BT52" s="207" t="n"/>
      <c r="BU52" s="207" t="n"/>
      <c r="BV52" s="208" t="n"/>
      <c r="BW52" s="207" t="n"/>
      <c r="BX52" s="207" t="n"/>
      <c r="BY52" s="204" t="n"/>
      <c r="BZ52" s="148" t="n"/>
      <c r="CA52" s="204" t="n"/>
      <c r="CB52" s="208" t="n"/>
      <c r="CC52" s="139" t="n"/>
      <c r="CD52" s="204" t="n"/>
      <c r="CE52" s="204" t="n"/>
      <c r="CF52" s="207" t="n"/>
      <c r="CG52" s="208" t="n"/>
      <c r="CH52" s="207" t="n"/>
      <c r="CI52" s="208" t="n"/>
      <c r="CJ52" s="204" t="n"/>
      <c r="CK52" s="208" t="n"/>
      <c r="CL52" s="208" t="n"/>
      <c r="CM52" s="208" t="n"/>
      <c r="CN52" s="78" t="n"/>
      <c r="CO52" s="209" t="n"/>
      <c r="CP52" s="204" t="n"/>
      <c r="CQ52" s="204" t="n"/>
      <c r="CR52" s="204" t="n"/>
      <c r="CS52" s="204" t="n"/>
      <c r="CT52" s="204" t="n"/>
      <c r="CU52" s="204" t="n"/>
      <c r="CV52" s="204" t="n"/>
      <c r="CW52" s="204" t="n"/>
      <c r="CX52" s="190" t="n"/>
    </row>
    <row r="53">
      <c r="BF53" s="78" t="n"/>
      <c r="BG53" s="78" t="n"/>
      <c r="BH53" s="78" t="n"/>
      <c r="BI53" s="78" t="n"/>
      <c r="BJ53" s="139" t="n"/>
      <c r="BK53" s="204" t="n"/>
      <c r="BL53" s="141" t="n"/>
      <c r="BM53" s="205" t="n"/>
      <c r="BN53" s="205" t="n"/>
      <c r="BO53" s="206" t="n"/>
      <c r="BP53" s="144" t="n"/>
      <c r="BQ53" s="141" t="n"/>
      <c r="BR53" s="207" t="n"/>
      <c r="BS53" s="207" t="n"/>
      <c r="BT53" s="207" t="n"/>
      <c r="BU53" s="207" t="n"/>
      <c r="BV53" s="208" t="n"/>
      <c r="BW53" s="207" t="n"/>
      <c r="BX53" s="207" t="n"/>
      <c r="BY53" s="204" t="n"/>
      <c r="BZ53" s="148" t="n"/>
      <c r="CA53" s="204" t="n"/>
      <c r="CB53" s="208" t="n"/>
      <c r="CC53" s="139" t="n"/>
      <c r="CD53" s="204" t="n"/>
      <c r="CE53" s="204" t="n"/>
      <c r="CF53" s="207" t="n"/>
      <c r="CG53" s="208" t="n"/>
      <c r="CH53" s="207" t="n"/>
      <c r="CI53" s="208" t="n"/>
      <c r="CJ53" s="204" t="n"/>
      <c r="CK53" s="208" t="n"/>
      <c r="CL53" s="208" t="n"/>
      <c r="CM53" s="208" t="n"/>
      <c r="CN53" s="78" t="n"/>
      <c r="CO53" s="209" t="n"/>
      <c r="CP53" s="204" t="n"/>
      <c r="CQ53" s="204" t="n"/>
      <c r="CR53" s="204" t="n"/>
      <c r="CS53" s="204" t="n"/>
      <c r="CT53" s="204" t="n"/>
      <c r="CU53" s="204" t="n"/>
      <c r="CV53" s="204" t="n"/>
      <c r="CW53" s="204" t="n"/>
      <c r="CX53" s="190" t="n"/>
    </row>
    <row r="54">
      <c r="BF54" s="78" t="n"/>
      <c r="BG54" s="78" t="n"/>
      <c r="BH54" s="78" t="n"/>
      <c r="BI54" s="78" t="n"/>
      <c r="BJ54" s="139" t="n"/>
      <c r="BK54" s="204" t="n"/>
      <c r="BL54" s="141" t="n"/>
      <c r="BM54" s="205" t="n"/>
      <c r="BN54" s="205" t="n"/>
      <c r="BO54" s="206" t="n"/>
      <c r="BP54" s="144" t="n"/>
      <c r="BQ54" s="141" t="n"/>
      <c r="BR54" s="207" t="n"/>
      <c r="BS54" s="207" t="n"/>
      <c r="BT54" s="207" t="n"/>
      <c r="BU54" s="207" t="n"/>
      <c r="BV54" s="208" t="n"/>
      <c r="BW54" s="207" t="n"/>
      <c r="BX54" s="207" t="n"/>
      <c r="BY54" s="204" t="n"/>
      <c r="BZ54" s="148" t="n"/>
      <c r="CA54" s="204" t="n"/>
      <c r="CB54" s="208" t="n"/>
      <c r="CC54" s="139" t="n"/>
      <c r="CD54" s="204" t="n"/>
      <c r="CE54" s="204" t="n"/>
      <c r="CF54" s="207" t="n"/>
      <c r="CG54" s="208" t="n"/>
      <c r="CH54" s="207" t="n"/>
      <c r="CI54" s="208" t="n"/>
      <c r="CJ54" s="204" t="n"/>
      <c r="CK54" s="208" t="n"/>
      <c r="CL54" s="208" t="n"/>
      <c r="CM54" s="208" t="n"/>
      <c r="CN54" s="78" t="n"/>
      <c r="CO54" s="209" t="n"/>
      <c r="CP54" s="204" t="n"/>
      <c r="CQ54" s="204" t="n"/>
      <c r="CR54" s="204" t="n"/>
      <c r="CS54" s="204" t="n"/>
      <c r="CT54" s="204" t="n"/>
      <c r="CU54" s="204" t="n"/>
      <c r="CV54" s="204" t="n"/>
      <c r="CW54" s="204" t="n"/>
      <c r="CX54" s="190" t="n"/>
    </row>
    <row r="55">
      <c r="BF55" s="78" t="n"/>
      <c r="BG55" s="78" t="n"/>
      <c r="BH55" s="78" t="n"/>
      <c r="BI55" s="78" t="n"/>
      <c r="BJ55" s="139" t="n"/>
      <c r="BK55" s="204" t="n"/>
      <c r="BL55" s="141" t="n"/>
      <c r="BM55" s="205" t="n"/>
      <c r="BN55" s="205" t="n"/>
      <c r="BO55" s="206" t="n"/>
      <c r="BP55" s="144" t="n"/>
      <c r="BQ55" s="141" t="n"/>
      <c r="BR55" s="207" t="n"/>
      <c r="BS55" s="207" t="n"/>
      <c r="BT55" s="207" t="n"/>
      <c r="BU55" s="207" t="n"/>
      <c r="BV55" s="208" t="n"/>
      <c r="BW55" s="207" t="n"/>
      <c r="BX55" s="207" t="n"/>
      <c r="BY55" s="204" t="n"/>
      <c r="BZ55" s="148" t="n"/>
      <c r="CA55" s="204" t="n"/>
      <c r="CB55" s="208" t="n"/>
      <c r="CC55" s="139" t="n"/>
      <c r="CD55" s="204" t="n"/>
      <c r="CE55" s="204" t="n"/>
      <c r="CF55" s="207" t="n"/>
      <c r="CG55" s="208" t="n"/>
      <c r="CH55" s="207" t="n"/>
      <c r="CI55" s="208" t="n"/>
      <c r="CJ55" s="204" t="n"/>
      <c r="CK55" s="208" t="n"/>
      <c r="CL55" s="208" t="n"/>
      <c r="CM55" s="208" t="n"/>
      <c r="CN55" s="78" t="n"/>
      <c r="CO55" s="209" t="n"/>
      <c r="CP55" s="204" t="n"/>
      <c r="CQ55" s="204" t="n"/>
      <c r="CR55" s="204" t="n"/>
      <c r="CS55" s="204" t="n"/>
      <c r="CT55" s="204" t="n"/>
      <c r="CU55" s="204" t="n"/>
      <c r="CV55" s="204" t="n"/>
      <c r="CW55" s="204" t="n"/>
      <c r="CX55" s="190" t="n"/>
    </row>
    <row r="56">
      <c r="BF56" s="78" t="n"/>
      <c r="BG56" s="78" t="n"/>
      <c r="BH56" s="78" t="n"/>
      <c r="BI56" s="78" t="n"/>
      <c r="BJ56" s="139" t="n"/>
      <c r="BK56" s="204" t="n"/>
      <c r="BL56" s="141" t="n"/>
      <c r="BM56" s="205" t="n"/>
      <c r="BN56" s="205" t="n"/>
      <c r="BO56" s="206" t="n"/>
      <c r="BP56" s="144" t="n"/>
      <c r="BQ56" s="141" t="n"/>
      <c r="BR56" s="207" t="n"/>
      <c r="BS56" s="207" t="n"/>
      <c r="BT56" s="207" t="n"/>
      <c r="BU56" s="207" t="n"/>
      <c r="BV56" s="208" t="n"/>
      <c r="BW56" s="207" t="n"/>
      <c r="BX56" s="207" t="n"/>
      <c r="BY56" s="204" t="n"/>
      <c r="BZ56" s="148" t="n"/>
      <c r="CA56" s="204" t="n"/>
      <c r="CB56" s="208" t="n"/>
      <c r="CC56" s="139" t="n"/>
      <c r="CD56" s="204" t="n"/>
      <c r="CE56" s="204" t="n"/>
      <c r="CF56" s="207" t="n"/>
      <c r="CG56" s="208" t="n"/>
      <c r="CH56" s="207" t="n"/>
      <c r="CI56" s="208" t="n"/>
      <c r="CJ56" s="204" t="n"/>
      <c r="CK56" s="208" t="n"/>
      <c r="CL56" s="208" t="n"/>
      <c r="CM56" s="208" t="n"/>
      <c r="CN56" s="78" t="n"/>
      <c r="CO56" s="209" t="n"/>
      <c r="CP56" s="204" t="n"/>
      <c r="CQ56" s="204" t="n"/>
      <c r="CR56" s="204" t="n"/>
      <c r="CS56" s="204" t="n"/>
      <c r="CT56" s="204" t="n"/>
      <c r="CU56" s="204" t="n"/>
      <c r="CV56" s="204" t="n"/>
      <c r="CW56" s="204" t="n"/>
      <c r="CX56" s="190" t="n"/>
    </row>
    <row r="57">
      <c r="BF57" s="78" t="n"/>
      <c r="BG57" s="78" t="n"/>
      <c r="BH57" s="78" t="n"/>
      <c r="BI57" s="78" t="n"/>
      <c r="BJ57" s="139" t="n"/>
      <c r="BK57" s="204" t="n"/>
      <c r="BL57" s="141" t="n"/>
      <c r="BM57" s="205" t="n"/>
      <c r="BN57" s="205" t="n"/>
      <c r="BO57" s="206" t="n"/>
      <c r="BP57" s="144" t="n"/>
      <c r="BQ57" s="141" t="n"/>
      <c r="BR57" s="207" t="n"/>
      <c r="BS57" s="207" t="n"/>
      <c r="BT57" s="207" t="n"/>
      <c r="BU57" s="207" t="n"/>
      <c r="BV57" s="208" t="n"/>
      <c r="BW57" s="207" t="n"/>
      <c r="BX57" s="207" t="n"/>
      <c r="BY57" s="204" t="n"/>
      <c r="BZ57" s="148" t="n"/>
      <c r="CA57" s="204" t="n"/>
      <c r="CB57" s="208" t="n"/>
      <c r="CC57" s="139" t="n"/>
      <c r="CD57" s="204" t="n"/>
      <c r="CE57" s="204" t="n"/>
      <c r="CF57" s="207" t="n"/>
      <c r="CG57" s="208" t="n"/>
      <c r="CH57" s="207" t="n"/>
      <c r="CI57" s="208" t="n"/>
      <c r="CJ57" s="204" t="n"/>
      <c r="CK57" s="208" t="n"/>
      <c r="CL57" s="208" t="n"/>
      <c r="CM57" s="208" t="n"/>
      <c r="CN57" s="78" t="n"/>
      <c r="CO57" s="209" t="n"/>
      <c r="CP57" s="204" t="n"/>
      <c r="CQ57" s="204" t="n"/>
      <c r="CR57" s="204" t="n"/>
      <c r="CS57" s="204" t="n"/>
      <c r="CT57" s="204" t="n"/>
      <c r="CU57" s="204" t="n"/>
      <c r="CV57" s="204" t="n"/>
      <c r="CW57" s="204" t="n"/>
      <c r="CX57" s="190" t="n"/>
    </row>
    <row r="58">
      <c r="BF58" s="78" t="n"/>
      <c r="BG58" s="78" t="n"/>
      <c r="BH58" s="78" t="n"/>
      <c r="BI58" s="78" t="n"/>
      <c r="BJ58" s="139" t="n"/>
      <c r="BK58" s="204" t="n"/>
      <c r="BL58" s="141" t="n"/>
      <c r="BM58" s="205" t="n"/>
      <c r="BN58" s="205" t="n"/>
      <c r="BO58" s="206" t="n"/>
      <c r="BP58" s="144" t="n"/>
      <c r="BQ58" s="141" t="n"/>
      <c r="BR58" s="207" t="n"/>
      <c r="BS58" s="207" t="n"/>
      <c r="BT58" s="207" t="n"/>
      <c r="BU58" s="207" t="n"/>
      <c r="BV58" s="208" t="n"/>
      <c r="BW58" s="207" t="n"/>
      <c r="BX58" s="207" t="n"/>
      <c r="BY58" s="204" t="n"/>
      <c r="BZ58" s="148" t="n"/>
      <c r="CA58" s="204" t="n"/>
      <c r="CB58" s="208" t="n"/>
      <c r="CC58" s="139" t="n"/>
      <c r="CD58" s="204" t="n"/>
      <c r="CE58" s="204" t="n"/>
      <c r="CF58" s="207" t="n"/>
      <c r="CG58" s="208" t="n"/>
      <c r="CH58" s="207" t="n"/>
      <c r="CI58" s="208" t="n"/>
      <c r="CJ58" s="204" t="n"/>
      <c r="CK58" s="208" t="n"/>
      <c r="CL58" s="208" t="n"/>
      <c r="CM58" s="208" t="n"/>
      <c r="CN58" s="78" t="n"/>
      <c r="CO58" s="209" t="n"/>
      <c r="CP58" s="204" t="n"/>
      <c r="CQ58" s="204" t="n"/>
      <c r="CR58" s="204" t="n"/>
      <c r="CS58" s="204" t="n"/>
      <c r="CT58" s="204" t="n"/>
      <c r="CU58" s="204" t="n"/>
      <c r="CV58" s="204" t="n"/>
      <c r="CW58" s="204" t="n"/>
      <c r="CX58" s="190" t="n"/>
    </row>
    <row r="59">
      <c r="BF59" s="78" t="n"/>
      <c r="BG59" s="78" t="n"/>
      <c r="BH59" s="78" t="n"/>
      <c r="BI59" s="78" t="n"/>
      <c r="BJ59" s="139" t="n"/>
      <c r="BK59" s="204" t="n"/>
      <c r="BL59" s="141" t="n"/>
      <c r="BM59" s="205" t="n"/>
      <c r="BN59" s="205" t="n"/>
      <c r="BO59" s="206" t="n"/>
      <c r="BP59" s="144" t="n"/>
      <c r="BQ59" s="141" t="n"/>
      <c r="BR59" s="207" t="n"/>
      <c r="BS59" s="207" t="n"/>
      <c r="BT59" s="207" t="n"/>
      <c r="BU59" s="207" t="n"/>
      <c r="BV59" s="208" t="n"/>
      <c r="BW59" s="207" t="n"/>
      <c r="BX59" s="207" t="n"/>
      <c r="BY59" s="204" t="n"/>
      <c r="BZ59" s="148" t="n"/>
      <c r="CA59" s="204" t="n"/>
      <c r="CB59" s="208" t="n"/>
      <c r="CC59" s="139" t="n"/>
      <c r="CD59" s="204" t="n"/>
      <c r="CE59" s="204" t="n"/>
      <c r="CF59" s="207" t="n"/>
      <c r="CG59" s="208" t="n"/>
      <c r="CH59" s="207" t="n"/>
      <c r="CI59" s="208" t="n"/>
      <c r="CJ59" s="204" t="n"/>
      <c r="CK59" s="208" t="n"/>
      <c r="CL59" s="208" t="n"/>
      <c r="CM59" s="208" t="n"/>
      <c r="CN59" s="78" t="n"/>
      <c r="CO59" s="209" t="n"/>
      <c r="CP59" s="204" t="n"/>
      <c r="CQ59" s="204" t="n"/>
      <c r="CR59" s="204" t="n"/>
      <c r="CS59" s="204" t="n"/>
      <c r="CT59" s="204" t="n"/>
      <c r="CU59" s="204" t="n"/>
      <c r="CV59" s="204" t="n"/>
      <c r="CW59" s="204" t="n"/>
      <c r="CX59" s="190" t="n"/>
    </row>
    <row r="60">
      <c r="BF60" s="78" t="n"/>
      <c r="BG60" s="78" t="n"/>
      <c r="BH60" s="78" t="n"/>
      <c r="BI60" s="78" t="n"/>
      <c r="BJ60" s="139" t="n"/>
      <c r="BK60" s="204" t="n"/>
      <c r="BL60" s="141" t="n"/>
      <c r="BM60" s="205" t="n"/>
      <c r="BN60" s="205" t="n"/>
      <c r="BO60" s="206" t="n"/>
      <c r="BP60" s="144" t="n"/>
      <c r="BQ60" s="141" t="n"/>
      <c r="BR60" s="207" t="n"/>
      <c r="BS60" s="207" t="n"/>
      <c r="BT60" s="207" t="n"/>
      <c r="BU60" s="207" t="n"/>
      <c r="BV60" s="208" t="n"/>
      <c r="BW60" s="207" t="n"/>
      <c r="BX60" s="207" t="n"/>
      <c r="BY60" s="204" t="n"/>
      <c r="BZ60" s="148" t="n"/>
      <c r="CA60" s="204" t="n"/>
      <c r="CB60" s="208" t="n"/>
      <c r="CC60" s="139" t="n"/>
      <c r="CD60" s="204" t="n"/>
      <c r="CE60" s="204" t="n"/>
      <c r="CF60" s="207" t="n"/>
      <c r="CG60" s="208" t="n"/>
      <c r="CH60" s="207" t="n"/>
      <c r="CI60" s="208" t="n"/>
      <c r="CJ60" s="204" t="n"/>
      <c r="CK60" s="208" t="n"/>
      <c r="CL60" s="208" t="n"/>
      <c r="CM60" s="208" t="n"/>
      <c r="CN60" s="78" t="n"/>
      <c r="CO60" s="209" t="n"/>
      <c r="CP60" s="204" t="n"/>
      <c r="CQ60" s="204" t="n"/>
      <c r="CR60" s="204" t="n"/>
      <c r="CS60" s="204" t="n"/>
      <c r="CT60" s="204" t="n"/>
      <c r="CU60" s="204" t="n"/>
      <c r="CV60" s="204" t="n"/>
      <c r="CW60" s="204" t="n"/>
      <c r="CX60" s="190" t="n"/>
    </row>
    <row r="61">
      <c r="BF61" s="78" t="n"/>
      <c r="BG61" s="78" t="n"/>
      <c r="BH61" s="78" t="n"/>
      <c r="BI61" s="78" t="n"/>
      <c r="BJ61" s="139" t="n"/>
      <c r="BK61" s="204" t="n"/>
      <c r="BL61" s="141" t="n"/>
      <c r="BM61" s="205" t="n"/>
      <c r="BN61" s="205" t="n"/>
      <c r="BO61" s="206" t="n"/>
      <c r="BP61" s="144" t="n"/>
      <c r="BQ61" s="141" t="n"/>
      <c r="BR61" s="207" t="n"/>
      <c r="BS61" s="207" t="n"/>
      <c r="BT61" s="207" t="n"/>
      <c r="BU61" s="207" t="n"/>
      <c r="BV61" s="208" t="n"/>
      <c r="BW61" s="207" t="n"/>
      <c r="BX61" s="207" t="n"/>
      <c r="BY61" s="204" t="n"/>
      <c r="BZ61" s="148" t="n"/>
      <c r="CA61" s="204" t="n"/>
      <c r="CB61" s="208" t="n"/>
      <c r="CC61" s="139" t="n"/>
      <c r="CD61" s="204" t="n"/>
      <c r="CE61" s="204" t="n"/>
      <c r="CF61" s="207" t="n"/>
      <c r="CG61" s="208" t="n"/>
      <c r="CH61" s="207" t="n"/>
      <c r="CI61" s="208" t="n"/>
      <c r="CJ61" s="204" t="n"/>
      <c r="CK61" s="208" t="n"/>
      <c r="CL61" s="208" t="n"/>
      <c r="CM61" s="208" t="n"/>
      <c r="CN61" s="78" t="n"/>
      <c r="CO61" s="209" t="n"/>
      <c r="CP61" s="204" t="n"/>
      <c r="CQ61" s="204" t="n"/>
      <c r="CR61" s="204" t="n"/>
      <c r="CS61" s="204" t="n"/>
      <c r="CT61" s="204" t="n"/>
      <c r="CU61" s="204" t="n"/>
      <c r="CV61" s="204" t="n"/>
      <c r="CW61" s="204" t="n"/>
      <c r="CX61" s="190" t="n"/>
    </row>
    <row r="62">
      <c r="BF62" s="78" t="n"/>
      <c r="BG62" s="78" t="n"/>
      <c r="BH62" s="78" t="n"/>
      <c r="BI62" s="78" t="n"/>
      <c r="BJ62" s="139" t="n"/>
      <c r="BK62" s="204" t="n"/>
      <c r="BL62" s="141" t="n"/>
      <c r="BM62" s="205" t="n"/>
      <c r="BN62" s="205" t="n"/>
      <c r="BO62" s="206" t="n"/>
      <c r="BP62" s="144" t="n"/>
      <c r="BQ62" s="141" t="n"/>
      <c r="BR62" s="207" t="n"/>
      <c r="BS62" s="207" t="n"/>
      <c r="BT62" s="207" t="n"/>
      <c r="BU62" s="207" t="n"/>
      <c r="BV62" s="208" t="n"/>
      <c r="BW62" s="207" t="n"/>
      <c r="BX62" s="207" t="n"/>
      <c r="BY62" s="204" t="n"/>
      <c r="BZ62" s="148" t="n"/>
      <c r="CA62" s="204" t="n"/>
      <c r="CB62" s="208" t="n"/>
      <c r="CC62" s="139" t="n"/>
      <c r="CD62" s="204" t="n"/>
      <c r="CE62" s="204" t="n"/>
      <c r="CF62" s="207" t="n"/>
      <c r="CG62" s="208" t="n"/>
      <c r="CH62" s="207" t="n"/>
      <c r="CI62" s="208" t="n"/>
      <c r="CJ62" s="204" t="n"/>
      <c r="CK62" s="208" t="n"/>
      <c r="CL62" s="208" t="n"/>
      <c r="CM62" s="208" t="n"/>
      <c r="CN62" s="78" t="n"/>
      <c r="CO62" s="209" t="n"/>
      <c r="CP62" s="204" t="n"/>
      <c r="CQ62" s="204" t="n"/>
      <c r="CR62" s="204" t="n"/>
      <c r="CS62" s="204" t="n"/>
      <c r="CT62" s="204" t="n"/>
      <c r="CU62" s="204" t="n"/>
      <c r="CV62" s="204" t="n"/>
      <c r="CW62" s="204" t="n"/>
      <c r="CX62" s="190" t="n"/>
    </row>
    <row r="63">
      <c r="BF63" s="78" t="n"/>
      <c r="BG63" s="78" t="n"/>
      <c r="BH63" s="78" t="n"/>
      <c r="BI63" s="78" t="n"/>
      <c r="BJ63" s="139" t="n"/>
      <c r="BK63" s="204" t="n"/>
      <c r="BL63" s="141" t="n"/>
      <c r="BM63" s="205" t="n"/>
      <c r="BN63" s="205" t="n"/>
      <c r="BO63" s="206" t="n"/>
      <c r="BP63" s="144" t="n"/>
      <c r="BQ63" s="141" t="n"/>
      <c r="BR63" s="207" t="n"/>
      <c r="BS63" s="207" t="n"/>
      <c r="BT63" s="207" t="n"/>
      <c r="BU63" s="207" t="n"/>
      <c r="BV63" s="208" t="n"/>
      <c r="BW63" s="207" t="n"/>
      <c r="BX63" s="207" t="n"/>
      <c r="BY63" s="204" t="n"/>
      <c r="BZ63" s="148" t="n"/>
      <c r="CA63" s="204" t="n"/>
      <c r="CB63" s="208" t="n"/>
      <c r="CC63" s="139" t="n"/>
      <c r="CD63" s="204" t="n"/>
      <c r="CE63" s="204" t="n"/>
      <c r="CF63" s="207" t="n"/>
      <c r="CG63" s="208" t="n"/>
      <c r="CH63" s="207" t="n"/>
      <c r="CI63" s="208" t="n"/>
      <c r="CJ63" s="204" t="n"/>
      <c r="CK63" s="208" t="n"/>
      <c r="CL63" s="208" t="n"/>
      <c r="CM63" s="208" t="n"/>
      <c r="CN63" s="78" t="n"/>
      <c r="CO63" s="209" t="n"/>
      <c r="CP63" s="204" t="n"/>
      <c r="CQ63" s="204" t="n"/>
      <c r="CR63" s="204" t="n"/>
      <c r="CS63" s="204" t="n"/>
      <c r="CT63" s="204" t="n"/>
      <c r="CU63" s="204" t="n"/>
      <c r="CV63" s="204" t="n"/>
      <c r="CW63" s="204" t="n"/>
      <c r="CX63" s="190" t="n"/>
    </row>
    <row r="64">
      <c r="BF64" s="78" t="n"/>
      <c r="BG64" s="78" t="n"/>
      <c r="BH64" s="78" t="n"/>
      <c r="BI64" s="78" t="n"/>
      <c r="BJ64" s="139" t="n"/>
      <c r="BK64" s="204" t="n"/>
      <c r="BL64" s="141" t="n"/>
      <c r="BM64" s="205" t="n"/>
      <c r="BN64" s="205" t="n"/>
      <c r="BO64" s="206" t="n"/>
      <c r="BP64" s="144" t="n"/>
      <c r="BQ64" s="141" t="n"/>
      <c r="BR64" s="207" t="n"/>
      <c r="BS64" s="207" t="n"/>
      <c r="BT64" s="207" t="n"/>
      <c r="BU64" s="207" t="n"/>
      <c r="BV64" s="208" t="n"/>
      <c r="BW64" s="207" t="n"/>
      <c r="BX64" s="207" t="n"/>
      <c r="BY64" s="204" t="n"/>
      <c r="BZ64" s="148" t="n"/>
      <c r="CA64" s="204" t="n"/>
      <c r="CB64" s="208" t="n"/>
      <c r="CC64" s="139" t="n"/>
      <c r="CD64" s="204" t="n"/>
      <c r="CE64" s="204" t="n"/>
      <c r="CF64" s="207" t="n"/>
      <c r="CG64" s="208" t="n"/>
      <c r="CH64" s="207" t="n"/>
      <c r="CI64" s="208" t="n"/>
      <c r="CJ64" s="204" t="n"/>
      <c r="CK64" s="208" t="n"/>
      <c r="CL64" s="208" t="n"/>
      <c r="CM64" s="208" t="n"/>
      <c r="CN64" s="78" t="n"/>
      <c r="CO64" s="209" t="n"/>
      <c r="CP64" s="204" t="n"/>
      <c r="CQ64" s="204" t="n"/>
      <c r="CR64" s="204" t="n"/>
      <c r="CS64" s="204" t="n"/>
      <c r="CT64" s="204" t="n"/>
      <c r="CU64" s="204" t="n"/>
      <c r="CV64" s="204" t="n"/>
      <c r="CW64" s="204" t="n"/>
      <c r="CX64" s="190" t="n"/>
    </row>
    <row r="65">
      <c r="AR65" s="151" t="n"/>
      <c r="BF65" s="78" t="n"/>
      <c r="BG65" s="78" t="n"/>
      <c r="BH65" s="78" t="n"/>
      <c r="BI65" s="78" t="n"/>
      <c r="BJ65" s="139" t="n"/>
      <c r="BK65" s="204" t="n"/>
      <c r="BL65" s="141" t="n"/>
      <c r="BM65" s="205" t="n"/>
      <c r="BN65" s="205" t="n"/>
      <c r="BO65" s="206" t="n"/>
      <c r="BP65" s="144" t="n"/>
      <c r="BQ65" s="141" t="n"/>
      <c r="BR65" s="207" t="n"/>
      <c r="BS65" s="207" t="n"/>
      <c r="BT65" s="207" t="n"/>
      <c r="BU65" s="207" t="n"/>
      <c r="BV65" s="208" t="n"/>
      <c r="BW65" s="207" t="n"/>
      <c r="BX65" s="207" t="n"/>
      <c r="BY65" s="204" t="n"/>
      <c r="BZ65" s="148" t="n"/>
      <c r="CA65" s="204" t="n"/>
      <c r="CB65" s="208" t="n"/>
      <c r="CC65" s="139" t="n"/>
      <c r="CD65" s="204" t="n"/>
      <c r="CE65" s="204" t="n"/>
      <c r="CF65" s="207" t="n"/>
      <c r="CG65" s="208" t="n"/>
      <c r="CH65" s="207" t="n"/>
      <c r="CI65" s="208" t="n"/>
      <c r="CJ65" s="204" t="n"/>
      <c r="CK65" s="208" t="n"/>
      <c r="CL65" s="208" t="n"/>
      <c r="CM65" s="208" t="n"/>
      <c r="CN65" s="78" t="n"/>
      <c r="CO65" s="209" t="n"/>
      <c r="CP65" s="204" t="n"/>
      <c r="CQ65" s="204" t="n"/>
      <c r="CR65" s="204" t="n"/>
      <c r="CS65" s="204" t="n"/>
      <c r="CT65" s="204" t="n"/>
      <c r="CU65" s="204" t="n"/>
      <c r="CV65" s="204" t="n"/>
      <c r="CW65" s="204" t="n"/>
      <c r="CX65" s="190" t="n"/>
    </row>
    <row r="66">
      <c r="BF66" s="78" t="n"/>
      <c r="BG66" s="78" t="n"/>
      <c r="BH66" s="78" t="n"/>
      <c r="BI66" s="78" t="n"/>
      <c r="BJ66" s="139" t="n"/>
      <c r="BK66" s="204" t="n"/>
      <c r="BL66" s="141" t="n"/>
      <c r="BM66" s="205" t="n"/>
      <c r="BN66" s="205" t="n"/>
      <c r="BO66" s="206" t="n"/>
      <c r="BP66" s="144" t="n"/>
      <c r="BQ66" s="141" t="n"/>
      <c r="BR66" s="207" t="n"/>
      <c r="BS66" s="207" t="n"/>
      <c r="BT66" s="207" t="n"/>
      <c r="BU66" s="207" t="n"/>
      <c r="BV66" s="208" t="n"/>
      <c r="BW66" s="207" t="n"/>
      <c r="BX66" s="207" t="n"/>
      <c r="BY66" s="204" t="n"/>
      <c r="BZ66" s="148" t="n"/>
      <c r="CA66" s="204" t="n"/>
      <c r="CB66" s="208" t="n"/>
      <c r="CC66" s="139" t="n"/>
      <c r="CD66" s="204" t="n"/>
      <c r="CE66" s="204" t="n"/>
      <c r="CF66" s="207" t="n"/>
      <c r="CG66" s="208" t="n"/>
      <c r="CH66" s="207" t="n"/>
      <c r="CI66" s="208" t="n"/>
      <c r="CJ66" s="204" t="n"/>
      <c r="CK66" s="208" t="n"/>
      <c r="CL66" s="208" t="n"/>
      <c r="CM66" s="208" t="n"/>
      <c r="CN66" s="78" t="n"/>
      <c r="CO66" s="209" t="n"/>
      <c r="CP66" s="204" t="n"/>
      <c r="CQ66" s="204" t="n"/>
      <c r="CR66" s="204" t="n"/>
      <c r="CS66" s="204" t="n"/>
      <c r="CT66" s="204" t="n"/>
      <c r="CU66" s="204" t="n"/>
      <c r="CV66" s="204" t="n"/>
      <c r="CW66" s="204" t="n"/>
      <c r="CX66" s="190" t="n"/>
    </row>
    <row r="67">
      <c r="BF67" s="78" t="n"/>
      <c r="BG67" s="78" t="n"/>
      <c r="BH67" s="78" t="n"/>
      <c r="BI67" s="78" t="n"/>
      <c r="BJ67" s="139" t="n"/>
      <c r="BK67" s="204" t="n"/>
      <c r="BL67" s="141" t="n"/>
      <c r="BM67" s="205" t="n"/>
      <c r="BN67" s="205" t="n"/>
      <c r="BO67" s="206" t="n"/>
      <c r="BP67" s="144" t="n"/>
      <c r="BQ67" s="141" t="n"/>
      <c r="BR67" s="207" t="n"/>
      <c r="BS67" s="207" t="n"/>
      <c r="BT67" s="207" t="n"/>
      <c r="BU67" s="207" t="n"/>
      <c r="BV67" s="208" t="n"/>
      <c r="BW67" s="207" t="n"/>
      <c r="BX67" s="207" t="n"/>
      <c r="BY67" s="204" t="n"/>
      <c r="BZ67" s="148" t="n"/>
      <c r="CA67" s="204" t="n"/>
      <c r="CB67" s="208" t="n"/>
      <c r="CC67" s="139" t="n"/>
      <c r="CD67" s="204" t="n"/>
      <c r="CE67" s="204" t="n"/>
      <c r="CF67" s="207" t="n"/>
      <c r="CG67" s="208" t="n"/>
      <c r="CH67" s="207" t="n"/>
      <c r="CI67" s="208" t="n"/>
      <c r="CJ67" s="204" t="n"/>
      <c r="CK67" s="208" t="n"/>
      <c r="CL67" s="208" t="n"/>
      <c r="CM67" s="208" t="n"/>
      <c r="CN67" s="78" t="n"/>
      <c r="CO67" s="209" t="n"/>
      <c r="CP67" s="204" t="n"/>
      <c r="CQ67" s="204" t="n"/>
      <c r="CR67" s="204" t="n"/>
      <c r="CS67" s="204" t="n"/>
      <c r="CT67" s="204" t="n"/>
      <c r="CU67" s="204" t="n"/>
      <c r="CV67" s="204" t="n"/>
      <c r="CW67" s="204" t="n"/>
      <c r="CX67" s="190" t="n"/>
    </row>
    <row r="68">
      <c r="BF68" s="78" t="n"/>
      <c r="BG68" s="78" t="n"/>
      <c r="BH68" s="78" t="n"/>
      <c r="BI68" s="78" t="n"/>
      <c r="BJ68" s="139" t="n"/>
      <c r="BK68" s="204" t="n"/>
      <c r="BL68" s="141" t="n"/>
      <c r="BM68" s="205" t="n"/>
      <c r="BN68" s="205" t="n"/>
      <c r="BO68" s="206" t="n"/>
      <c r="BP68" s="144" t="n"/>
      <c r="BQ68" s="141" t="n"/>
      <c r="BR68" s="207" t="n"/>
      <c r="BS68" s="207" t="n"/>
      <c r="BT68" s="207" t="n"/>
      <c r="BU68" s="207" t="n"/>
      <c r="BV68" s="208" t="n"/>
      <c r="BW68" s="207" t="n"/>
      <c r="BX68" s="207" t="n"/>
      <c r="BY68" s="204" t="n"/>
      <c r="BZ68" s="148" t="n"/>
      <c r="CA68" s="204" t="n"/>
      <c r="CB68" s="208" t="n"/>
      <c r="CC68" s="139" t="n"/>
      <c r="CD68" s="204" t="n"/>
      <c r="CE68" s="204" t="n"/>
      <c r="CF68" s="207" t="n"/>
      <c r="CG68" s="208" t="n"/>
      <c r="CH68" s="207" t="n"/>
      <c r="CI68" s="208" t="n"/>
      <c r="CJ68" s="204" t="n"/>
      <c r="CK68" s="208" t="n"/>
      <c r="CL68" s="208" t="n"/>
      <c r="CM68" s="208" t="n"/>
      <c r="CN68" s="78" t="n"/>
      <c r="CO68" s="209" t="n"/>
      <c r="CP68" s="204" t="n"/>
      <c r="CQ68" s="204" t="n"/>
      <c r="CR68" s="204" t="n"/>
      <c r="CS68" s="204" t="n"/>
      <c r="CT68" s="204" t="n"/>
      <c r="CU68" s="204" t="n"/>
      <c r="CV68" s="204" t="n"/>
      <c r="CW68" s="204" t="n"/>
      <c r="CX68" s="190" t="n"/>
    </row>
    <row r="69">
      <c r="BF69" s="78" t="n"/>
      <c r="BG69" s="78" t="n"/>
      <c r="BH69" s="78" t="n"/>
      <c r="BI69" s="78" t="n"/>
      <c r="BJ69" s="139" t="n"/>
      <c r="BK69" s="204" t="n"/>
      <c r="BL69" s="141" t="n"/>
      <c r="BM69" s="205" t="n"/>
      <c r="BN69" s="205" t="n"/>
      <c r="BO69" s="206" t="n"/>
      <c r="BP69" s="144" t="n"/>
      <c r="BQ69" s="141" t="n"/>
      <c r="BR69" s="207" t="n"/>
      <c r="BS69" s="207" t="n"/>
      <c r="BT69" s="207" t="n"/>
      <c r="BU69" s="207" t="n"/>
      <c r="BV69" s="208" t="n"/>
      <c r="BW69" s="207" t="n"/>
      <c r="BX69" s="207" t="n"/>
      <c r="BY69" s="204" t="n"/>
      <c r="BZ69" s="148" t="n"/>
      <c r="CA69" s="204" t="n"/>
      <c r="CB69" s="208" t="n"/>
      <c r="CC69" s="139" t="n"/>
      <c r="CD69" s="204" t="n"/>
      <c r="CE69" s="204" t="n"/>
      <c r="CF69" s="207" t="n"/>
      <c r="CG69" s="208" t="n"/>
      <c r="CH69" s="207" t="n"/>
      <c r="CI69" s="208" t="n"/>
      <c r="CJ69" s="204" t="n"/>
      <c r="CK69" s="208" t="n"/>
      <c r="CL69" s="208" t="n"/>
      <c r="CM69" s="208" t="n"/>
      <c r="CN69" s="78" t="n"/>
      <c r="CO69" s="209" t="n"/>
      <c r="CP69" s="204" t="n"/>
      <c r="CQ69" s="204" t="n"/>
      <c r="CR69" s="204" t="n"/>
      <c r="CS69" s="204" t="n"/>
      <c r="CT69" s="204" t="n"/>
      <c r="CU69" s="204" t="n"/>
      <c r="CV69" s="204" t="n"/>
      <c r="CW69" s="204" t="n"/>
      <c r="CX69" s="190" t="n"/>
    </row>
    <row r="70">
      <c r="AR70" s="151" t="n"/>
      <c r="BF70" s="78" t="n"/>
      <c r="BG70" s="78" t="n"/>
      <c r="BH70" s="78" t="n"/>
      <c r="BI70" s="78" t="n"/>
      <c r="BJ70" s="139" t="n"/>
      <c r="BK70" s="204" t="n"/>
      <c r="BL70" s="141" t="n"/>
      <c r="BM70" s="205" t="n"/>
      <c r="BN70" s="205" t="n"/>
      <c r="BO70" s="206" t="n"/>
      <c r="BP70" s="144" t="n"/>
      <c r="BQ70" s="141" t="n"/>
      <c r="BR70" s="207" t="n"/>
      <c r="BS70" s="207" t="n"/>
      <c r="BT70" s="207" t="n"/>
      <c r="BU70" s="207" t="n"/>
      <c r="BV70" s="208" t="n"/>
      <c r="BW70" s="207" t="n"/>
      <c r="BX70" s="207" t="n"/>
      <c r="BY70" s="204" t="n"/>
      <c r="BZ70" s="148" t="n"/>
      <c r="CA70" s="204" t="n"/>
      <c r="CB70" s="208" t="n"/>
      <c r="CC70" s="139" t="n"/>
      <c r="CD70" s="204" t="n"/>
      <c r="CE70" s="204" t="n"/>
      <c r="CF70" s="207" t="n"/>
      <c r="CG70" s="208" t="n"/>
      <c r="CH70" s="207" t="n"/>
      <c r="CI70" s="208" t="n"/>
      <c r="CJ70" s="204" t="n"/>
      <c r="CK70" s="208" t="n"/>
      <c r="CL70" s="208" t="n"/>
      <c r="CM70" s="208" t="n"/>
      <c r="CN70" s="78" t="n"/>
      <c r="CO70" s="209" t="n"/>
      <c r="CP70" s="204" t="n"/>
      <c r="CQ70" s="204" t="n"/>
      <c r="CR70" s="204" t="n"/>
      <c r="CS70" s="204" t="n"/>
      <c r="CT70" s="204" t="n"/>
      <c r="CU70" s="204" t="n"/>
      <c r="CV70" s="204" t="n"/>
      <c r="CW70" s="204" t="n"/>
      <c r="CX70" s="190" t="n"/>
    </row>
    <row r="71">
      <c r="BF71" s="78" t="n"/>
      <c r="BG71" s="78" t="n"/>
      <c r="BH71" s="78" t="n"/>
      <c r="BI71" s="78" t="n"/>
      <c r="BJ71" s="139" t="n"/>
      <c r="BK71" s="204" t="n"/>
      <c r="BL71" s="141" t="n"/>
      <c r="BM71" s="205" t="n"/>
      <c r="BN71" s="205" t="n"/>
      <c r="BO71" s="206" t="n"/>
      <c r="BP71" s="144" t="n"/>
      <c r="BQ71" s="141" t="n"/>
      <c r="BR71" s="207" t="n"/>
      <c r="BS71" s="207" t="n"/>
      <c r="BT71" s="207" t="n"/>
      <c r="BU71" s="207" t="n"/>
      <c r="BV71" s="208" t="n"/>
      <c r="BW71" s="207" t="n"/>
      <c r="BX71" s="207" t="n"/>
      <c r="BY71" s="204" t="n"/>
      <c r="BZ71" s="148" t="n"/>
      <c r="CA71" s="204" t="n"/>
      <c r="CB71" s="208" t="n"/>
      <c r="CC71" s="139" t="n"/>
      <c r="CD71" s="204" t="n"/>
      <c r="CE71" s="204" t="n"/>
      <c r="CF71" s="207" t="n"/>
      <c r="CG71" s="208" t="n"/>
      <c r="CH71" s="207" t="n"/>
      <c r="CI71" s="208" t="n"/>
      <c r="CJ71" s="204" t="n"/>
      <c r="CK71" s="208" t="n"/>
      <c r="CL71" s="208" t="n"/>
      <c r="CM71" s="208" t="n"/>
      <c r="CN71" s="78" t="n"/>
      <c r="CO71" s="209" t="n"/>
      <c r="CP71" s="204" t="n"/>
      <c r="CQ71" s="204" t="n"/>
      <c r="CR71" s="204" t="n"/>
      <c r="CS71" s="204" t="n"/>
      <c r="CT71" s="204" t="n"/>
      <c r="CU71" s="204" t="n"/>
      <c r="CV71" s="204" t="n"/>
      <c r="CW71" s="204" t="n"/>
      <c r="CX71" s="190" t="n"/>
    </row>
    <row r="72">
      <c r="BF72" s="78" t="n"/>
      <c r="BG72" s="78" t="n"/>
      <c r="BH72" s="78" t="n"/>
      <c r="BI72" s="78" t="n"/>
      <c r="BJ72" s="139" t="n"/>
      <c r="BK72" s="204" t="n"/>
      <c r="BL72" s="141" t="n"/>
      <c r="BM72" s="205" t="n"/>
      <c r="BN72" s="205" t="n"/>
      <c r="BO72" s="206" t="n"/>
      <c r="BP72" s="144" t="n"/>
      <c r="BQ72" s="141" t="n"/>
      <c r="BR72" s="207" t="n"/>
      <c r="BS72" s="207" t="n"/>
      <c r="BT72" s="207" t="n"/>
      <c r="BU72" s="207" t="n"/>
      <c r="BV72" s="208" t="n"/>
      <c r="BW72" s="207" t="n"/>
      <c r="BX72" s="207" t="n"/>
      <c r="BY72" s="204" t="n"/>
      <c r="BZ72" s="148" t="n"/>
      <c r="CA72" s="204" t="n"/>
      <c r="CB72" s="208" t="n"/>
      <c r="CC72" s="139" t="n"/>
      <c r="CD72" s="204" t="n"/>
      <c r="CE72" s="204" t="n"/>
      <c r="CF72" s="207" t="n"/>
      <c r="CG72" s="208" t="n"/>
      <c r="CH72" s="207" t="n"/>
      <c r="CI72" s="208" t="n"/>
      <c r="CJ72" s="204" t="n"/>
      <c r="CK72" s="208" t="n"/>
      <c r="CL72" s="208" t="n"/>
      <c r="CM72" s="208" t="n"/>
      <c r="CN72" s="78" t="n"/>
      <c r="CO72" s="209" t="n"/>
      <c r="CP72" s="204" t="n"/>
      <c r="CQ72" s="204" t="n"/>
      <c r="CR72" s="204" t="n"/>
      <c r="CS72" s="204" t="n"/>
      <c r="CT72" s="204" t="n"/>
      <c r="CU72" s="204" t="n"/>
      <c r="CV72" s="204" t="n"/>
      <c r="CW72" s="204" t="n"/>
      <c r="CX72" s="190" t="n"/>
    </row>
    <row r="73">
      <c r="BF73" s="78" t="n"/>
      <c r="BG73" s="78" t="n"/>
      <c r="BH73" s="78" t="n"/>
      <c r="BI73" s="78" t="n"/>
      <c r="BJ73" s="139" t="n"/>
      <c r="BK73" s="204" t="n"/>
      <c r="BL73" s="141" t="n"/>
      <c r="BM73" s="205" t="n"/>
      <c r="BN73" s="205" t="n"/>
      <c r="BO73" s="206" t="n"/>
      <c r="BP73" s="144" t="n"/>
      <c r="BQ73" s="141" t="n"/>
      <c r="BR73" s="207" t="n"/>
      <c r="BS73" s="207" t="n"/>
      <c r="BT73" s="207" t="n"/>
      <c r="BU73" s="207" t="n"/>
      <c r="BV73" s="208" t="n"/>
      <c r="BW73" s="207" t="n"/>
      <c r="BX73" s="207" t="n"/>
      <c r="BY73" s="204" t="n"/>
      <c r="BZ73" s="148" t="n"/>
      <c r="CA73" s="204" t="n"/>
      <c r="CB73" s="208" t="n"/>
      <c r="CC73" s="139" t="n"/>
      <c r="CD73" s="204" t="n"/>
      <c r="CE73" s="204" t="n"/>
      <c r="CF73" s="207" t="n"/>
      <c r="CG73" s="208" t="n"/>
      <c r="CH73" s="207" t="n"/>
      <c r="CI73" s="208" t="n"/>
      <c r="CJ73" s="204" t="n"/>
      <c r="CK73" s="208" t="n"/>
      <c r="CL73" s="208" t="n"/>
      <c r="CM73" s="208" t="n"/>
      <c r="CN73" s="78" t="n"/>
      <c r="CO73" s="209" t="n"/>
      <c r="CP73" s="204" t="n"/>
      <c r="CQ73" s="204" t="n"/>
      <c r="CR73" s="204" t="n"/>
      <c r="CS73" s="204" t="n"/>
      <c r="CT73" s="204" t="n"/>
      <c r="CU73" s="204" t="n"/>
      <c r="CV73" s="204" t="n"/>
      <c r="CW73" s="204" t="n"/>
      <c r="CX73" s="190" t="n"/>
    </row>
    <row r="74">
      <c r="BF74" s="78" t="n"/>
      <c r="BG74" s="78" t="n"/>
      <c r="BH74" s="78" t="n"/>
      <c r="BI74" s="78" t="n"/>
      <c r="BJ74" s="139" t="n"/>
      <c r="BK74" s="204" t="n"/>
      <c r="BL74" s="141" t="n"/>
      <c r="BM74" s="205" t="n"/>
      <c r="BN74" s="205" t="n"/>
      <c r="BO74" s="206" t="n"/>
      <c r="BP74" s="144" t="n"/>
      <c r="BQ74" s="141" t="n"/>
      <c r="BR74" s="207" t="n"/>
      <c r="BS74" s="207" t="n"/>
      <c r="BT74" s="207" t="n"/>
      <c r="BU74" s="207" t="n"/>
      <c r="BV74" s="208" t="n"/>
      <c r="BW74" s="207" t="n"/>
      <c r="BX74" s="207" t="n"/>
      <c r="BY74" s="204" t="n"/>
      <c r="BZ74" s="148" t="n"/>
      <c r="CA74" s="204" t="n"/>
      <c r="CB74" s="208" t="n"/>
      <c r="CC74" s="139" t="n"/>
      <c r="CD74" s="204" t="n"/>
      <c r="CE74" s="204" t="n"/>
      <c r="CF74" s="207" t="n"/>
      <c r="CG74" s="208" t="n"/>
      <c r="CH74" s="207" t="n"/>
      <c r="CI74" s="208" t="n"/>
      <c r="CJ74" s="204" t="n"/>
      <c r="CK74" s="208" t="n"/>
      <c r="CL74" s="208" t="n"/>
      <c r="CM74" s="208" t="n"/>
      <c r="CN74" s="78" t="n"/>
      <c r="CO74" s="209" t="n"/>
      <c r="CP74" s="204" t="n"/>
      <c r="CQ74" s="204" t="n"/>
      <c r="CR74" s="204" t="n"/>
      <c r="CS74" s="204" t="n"/>
      <c r="CT74" s="204" t="n"/>
      <c r="CU74" s="204" t="n"/>
      <c r="CV74" s="204" t="n"/>
      <c r="CW74" s="204" t="n"/>
      <c r="CX74" s="190" t="n"/>
    </row>
    <row r="75">
      <c r="BF75" s="78" t="n"/>
      <c r="BG75" s="78" t="n"/>
      <c r="BH75" s="78" t="n"/>
      <c r="BI75" s="78" t="n"/>
      <c r="BJ75" s="139" t="n"/>
      <c r="BK75" s="204" t="n"/>
      <c r="BL75" s="141" t="n"/>
      <c r="BM75" s="205" t="n"/>
      <c r="BN75" s="205" t="n"/>
      <c r="BO75" s="206" t="n"/>
      <c r="BP75" s="144" t="n"/>
      <c r="BQ75" s="141" t="n"/>
      <c r="BR75" s="207" t="n"/>
      <c r="BS75" s="207" t="n"/>
      <c r="BT75" s="207" t="n"/>
      <c r="BU75" s="207" t="n"/>
      <c r="BV75" s="208" t="n"/>
      <c r="BW75" s="207" t="n"/>
      <c r="BX75" s="207" t="n"/>
      <c r="BY75" s="204" t="n"/>
      <c r="BZ75" s="148" t="n"/>
      <c r="CA75" s="204" t="n"/>
      <c r="CB75" s="208" t="n"/>
      <c r="CC75" s="139" t="n"/>
      <c r="CD75" s="204" t="n"/>
      <c r="CE75" s="204" t="n"/>
      <c r="CF75" s="207" t="n"/>
      <c r="CG75" s="208" t="n"/>
      <c r="CH75" s="207" t="n"/>
      <c r="CI75" s="208" t="n"/>
      <c r="CJ75" s="204" t="n"/>
      <c r="CK75" s="208" t="n"/>
      <c r="CL75" s="208" t="n"/>
      <c r="CM75" s="208" t="n"/>
      <c r="CN75" s="78" t="n"/>
      <c r="CO75" s="209" t="n"/>
      <c r="CP75" s="204" t="n"/>
      <c r="CQ75" s="204" t="n"/>
      <c r="CR75" s="204" t="n"/>
      <c r="CS75" s="204" t="n"/>
      <c r="CT75" s="204" t="n"/>
      <c r="CU75" s="204" t="n"/>
      <c r="CV75" s="204" t="n"/>
      <c r="CW75" s="204" t="n"/>
      <c r="CX75" s="190" t="n"/>
    </row>
    <row r="76">
      <c r="BF76" s="78" t="n"/>
      <c r="BG76" s="78" t="n"/>
      <c r="BH76" s="78" t="n"/>
      <c r="BI76" s="78" t="n"/>
      <c r="BJ76" s="139" t="n"/>
      <c r="BK76" s="204" t="n"/>
      <c r="BL76" s="141" t="n"/>
      <c r="BM76" s="205" t="n"/>
      <c r="BN76" s="205" t="n"/>
      <c r="BO76" s="206" t="n"/>
      <c r="BP76" s="144" t="n"/>
      <c r="BQ76" s="141" t="n"/>
      <c r="BR76" s="207" t="n"/>
      <c r="BS76" s="207" t="n"/>
      <c r="BT76" s="207" t="n"/>
      <c r="BU76" s="207" t="n"/>
      <c r="BV76" s="208" t="n"/>
      <c r="BW76" s="207" t="n"/>
      <c r="BX76" s="207" t="n"/>
      <c r="BY76" s="204" t="n"/>
      <c r="BZ76" s="148" t="n"/>
      <c r="CA76" s="204" t="n"/>
      <c r="CB76" s="208" t="n"/>
      <c r="CC76" s="139" t="n"/>
      <c r="CD76" s="204" t="n"/>
      <c r="CE76" s="204" t="n"/>
      <c r="CF76" s="207" t="n"/>
      <c r="CG76" s="208" t="n"/>
      <c r="CH76" s="207" t="n"/>
      <c r="CI76" s="208" t="n"/>
      <c r="CJ76" s="204" t="n"/>
      <c r="CK76" s="208" t="n"/>
      <c r="CL76" s="208" t="n"/>
      <c r="CM76" s="208" t="n"/>
      <c r="CN76" s="78" t="n"/>
      <c r="CO76" s="209" t="n"/>
      <c r="CP76" s="204" t="n"/>
      <c r="CQ76" s="204" t="n"/>
      <c r="CR76" s="204" t="n"/>
      <c r="CS76" s="204" t="n"/>
      <c r="CT76" s="204" t="n"/>
      <c r="CU76" s="204" t="n"/>
      <c r="CV76" s="204" t="n"/>
      <c r="CW76" s="204" t="n"/>
      <c r="CX76" s="190" t="n"/>
    </row>
    <row r="77">
      <c r="BF77" s="78" t="n"/>
      <c r="BG77" s="78" t="n"/>
      <c r="BH77" s="78" t="n"/>
      <c r="BI77" s="78" t="n"/>
      <c r="BJ77" s="139" t="n"/>
      <c r="BK77" s="204" t="n"/>
      <c r="BL77" s="141" t="n"/>
      <c r="BM77" s="205" t="n"/>
      <c r="BN77" s="205" t="n"/>
      <c r="BO77" s="206" t="n"/>
      <c r="BP77" s="144" t="n"/>
      <c r="BQ77" s="141" t="n"/>
      <c r="BR77" s="207" t="n"/>
      <c r="BS77" s="207" t="n"/>
      <c r="BT77" s="207" t="n"/>
      <c r="BU77" s="207" t="n"/>
      <c r="BV77" s="208" t="n"/>
      <c r="BW77" s="207" t="n"/>
      <c r="BX77" s="207" t="n"/>
      <c r="BY77" s="204" t="n"/>
      <c r="BZ77" s="148" t="n"/>
      <c r="CA77" s="204" t="n"/>
      <c r="CB77" s="208" t="n"/>
      <c r="CC77" s="139" t="n"/>
      <c r="CD77" s="204" t="n"/>
      <c r="CE77" s="204" t="n"/>
      <c r="CF77" s="207" t="n"/>
      <c r="CG77" s="208" t="n"/>
      <c r="CH77" s="207" t="n"/>
      <c r="CI77" s="208" t="n"/>
      <c r="CJ77" s="204" t="n"/>
      <c r="CK77" s="208" t="n"/>
      <c r="CL77" s="208" t="n"/>
      <c r="CM77" s="208" t="n"/>
      <c r="CN77" s="78" t="n"/>
      <c r="CO77" s="209" t="n"/>
      <c r="CP77" s="204" t="n"/>
      <c r="CQ77" s="204" t="n"/>
      <c r="CR77" s="204" t="n"/>
      <c r="CS77" s="204" t="n"/>
      <c r="CT77" s="204" t="n"/>
      <c r="CU77" s="204" t="n"/>
      <c r="CV77" s="204" t="n"/>
      <c r="CW77" s="204" t="n"/>
      <c r="CX77" s="190" t="n"/>
    </row>
    <row r="78">
      <c r="BF78" s="78" t="n"/>
      <c r="BG78" s="78" t="n"/>
      <c r="BH78" s="78" t="n"/>
      <c r="BI78" s="78" t="n"/>
      <c r="BJ78" s="139" t="n"/>
      <c r="BK78" s="204" t="n"/>
      <c r="BL78" s="141" t="n"/>
      <c r="BM78" s="205" t="n"/>
      <c r="BN78" s="205" t="n"/>
      <c r="BO78" s="206" t="n"/>
      <c r="BP78" s="144" t="n"/>
      <c r="BQ78" s="141" t="n"/>
      <c r="BR78" s="207" t="n"/>
      <c r="BS78" s="207" t="n"/>
      <c r="BT78" s="207" t="n"/>
      <c r="BU78" s="207" t="n"/>
      <c r="BV78" s="208" t="n"/>
      <c r="BW78" s="207" t="n"/>
      <c r="BX78" s="207" t="n"/>
      <c r="BY78" s="204" t="n"/>
      <c r="BZ78" s="148" t="n"/>
      <c r="CA78" s="204" t="n"/>
      <c r="CB78" s="208" t="n"/>
      <c r="CC78" s="139" t="n"/>
      <c r="CD78" s="204" t="n"/>
      <c r="CE78" s="204" t="n"/>
      <c r="CF78" s="207" t="n"/>
      <c r="CG78" s="208" t="n"/>
      <c r="CH78" s="207" t="n"/>
      <c r="CI78" s="208" t="n"/>
      <c r="CJ78" s="204" t="n"/>
      <c r="CK78" s="208" t="n"/>
      <c r="CL78" s="208" t="n"/>
      <c r="CM78" s="208" t="n"/>
      <c r="CN78" s="78" t="n"/>
      <c r="CO78" s="209" t="n"/>
      <c r="CP78" s="204" t="n"/>
      <c r="CQ78" s="204" t="n"/>
      <c r="CR78" s="204" t="n"/>
      <c r="CS78" s="204" t="n"/>
      <c r="CT78" s="204" t="n"/>
      <c r="CU78" s="204" t="n"/>
      <c r="CV78" s="204" t="n"/>
      <c r="CW78" s="204" t="n"/>
      <c r="CX78" s="190" t="n"/>
    </row>
    <row r="79">
      <c r="BF79" s="78" t="n"/>
      <c r="BG79" s="78" t="n"/>
      <c r="BH79" s="78" t="n"/>
      <c r="BI79" s="78" t="n"/>
      <c r="BJ79" s="139" t="n"/>
      <c r="BK79" s="204" t="n"/>
      <c r="BL79" s="141" t="n"/>
      <c r="BM79" s="205" t="n"/>
      <c r="BN79" s="205" t="n"/>
      <c r="BO79" s="206" t="n"/>
      <c r="BP79" s="144" t="n"/>
      <c r="BQ79" s="141" t="n"/>
      <c r="BR79" s="207" t="n"/>
      <c r="BS79" s="207" t="n"/>
      <c r="BT79" s="207" t="n"/>
      <c r="BU79" s="207" t="n"/>
      <c r="BV79" s="208" t="n"/>
      <c r="BW79" s="207" t="n"/>
      <c r="BX79" s="207" t="n"/>
      <c r="BY79" s="204" t="n"/>
      <c r="BZ79" s="148" t="n"/>
      <c r="CA79" s="204" t="n"/>
      <c r="CB79" s="208" t="n"/>
      <c r="CC79" s="139" t="n"/>
      <c r="CD79" s="204" t="n"/>
      <c r="CE79" s="204" t="n"/>
      <c r="CF79" s="207" t="n"/>
      <c r="CG79" s="208" t="n"/>
      <c r="CH79" s="207" t="n"/>
      <c r="CI79" s="208" t="n"/>
      <c r="CJ79" s="204" t="n"/>
      <c r="CK79" s="208" t="n"/>
      <c r="CL79" s="208" t="n"/>
      <c r="CM79" s="208" t="n"/>
      <c r="CN79" s="78" t="n"/>
      <c r="CO79" s="209" t="n"/>
      <c r="CP79" s="204" t="n"/>
      <c r="CQ79" s="204" t="n"/>
      <c r="CR79" s="204" t="n"/>
      <c r="CS79" s="204" t="n"/>
      <c r="CT79" s="204" t="n"/>
      <c r="CU79" s="204" t="n"/>
      <c r="CV79" s="204" t="n"/>
      <c r="CW79" s="204" t="n"/>
      <c r="CX79" s="190" t="n"/>
    </row>
    <row r="80">
      <c r="BF80" s="78" t="n"/>
      <c r="BG80" s="78" t="n"/>
      <c r="BH80" s="78" t="n"/>
      <c r="BI80" s="78" t="n"/>
      <c r="BJ80" s="139" t="n"/>
      <c r="BK80" s="204" t="n"/>
      <c r="BL80" s="141" t="n"/>
      <c r="BM80" s="205" t="n"/>
      <c r="BN80" s="205" t="n"/>
      <c r="BO80" s="206" t="n"/>
      <c r="BP80" s="144" t="n"/>
      <c r="BQ80" s="141" t="n"/>
      <c r="BR80" s="207" t="n"/>
      <c r="BS80" s="207" t="n"/>
      <c r="BT80" s="207" t="n"/>
      <c r="BU80" s="207" t="n"/>
      <c r="BV80" s="208" t="n"/>
      <c r="BW80" s="207" t="n"/>
      <c r="BX80" s="207" t="n"/>
      <c r="BY80" s="204" t="n"/>
      <c r="BZ80" s="148" t="n"/>
      <c r="CA80" s="204" t="n"/>
      <c r="CB80" s="208" t="n"/>
      <c r="CC80" s="139" t="n"/>
      <c r="CD80" s="204" t="n"/>
      <c r="CE80" s="204" t="n"/>
      <c r="CF80" s="207" t="n"/>
      <c r="CG80" s="208" t="n"/>
      <c r="CH80" s="207" t="n"/>
      <c r="CI80" s="208" t="n"/>
      <c r="CJ80" s="204" t="n"/>
      <c r="CK80" s="208" t="n"/>
      <c r="CL80" s="208" t="n"/>
      <c r="CM80" s="208" t="n"/>
      <c r="CN80" s="78" t="n"/>
      <c r="CO80" s="209" t="n"/>
      <c r="CP80" s="204" t="n"/>
      <c r="CQ80" s="204" t="n"/>
      <c r="CR80" s="204" t="n"/>
      <c r="CS80" s="204" t="n"/>
      <c r="CT80" s="204" t="n"/>
      <c r="CU80" s="204" t="n"/>
      <c r="CV80" s="204" t="n"/>
      <c r="CW80" s="204" t="n"/>
      <c r="CX80" s="190" t="n"/>
    </row>
    <row r="81">
      <c r="BF81" s="78" t="n"/>
      <c r="BG81" s="78" t="n"/>
      <c r="BH81" s="78" t="n"/>
      <c r="BI81" s="78" t="n"/>
      <c r="BJ81" s="139" t="n"/>
      <c r="BK81" s="204" t="n"/>
      <c r="BL81" s="141" t="n"/>
      <c r="BM81" s="205" t="n"/>
      <c r="BN81" s="205" t="n"/>
      <c r="BO81" s="206" t="n"/>
      <c r="BP81" s="144" t="n"/>
      <c r="BQ81" s="141" t="n"/>
      <c r="BR81" s="207" t="n"/>
      <c r="BS81" s="207" t="n"/>
      <c r="BT81" s="207" t="n"/>
      <c r="BU81" s="207" t="n"/>
      <c r="BV81" s="208" t="n"/>
      <c r="BW81" s="207" t="n"/>
      <c r="BX81" s="207" t="n"/>
      <c r="BY81" s="204" t="n"/>
      <c r="BZ81" s="148" t="n"/>
      <c r="CA81" s="204" t="n"/>
      <c r="CB81" s="208" t="n"/>
      <c r="CC81" s="139" t="n"/>
      <c r="CD81" s="204" t="n"/>
      <c r="CE81" s="204" t="n"/>
      <c r="CF81" s="207" t="n"/>
      <c r="CG81" s="208" t="n"/>
      <c r="CH81" s="207" t="n"/>
      <c r="CI81" s="208" t="n"/>
      <c r="CJ81" s="204" t="n"/>
      <c r="CK81" s="208" t="n"/>
      <c r="CL81" s="208" t="n"/>
      <c r="CM81" s="208" t="n"/>
      <c r="CN81" s="78" t="n"/>
      <c r="CO81" s="209" t="n"/>
      <c r="CP81" s="204" t="n"/>
      <c r="CQ81" s="204" t="n"/>
      <c r="CR81" s="204" t="n"/>
      <c r="CS81" s="204" t="n"/>
      <c r="CT81" s="204" t="n"/>
      <c r="CU81" s="204" t="n"/>
      <c r="CV81" s="204" t="n"/>
      <c r="CW81" s="204" t="n"/>
      <c r="CX81" s="190" t="n"/>
    </row>
    <row r="82">
      <c r="BF82" s="78" t="n"/>
      <c r="BG82" s="78" t="n"/>
      <c r="BH82" s="78" t="n"/>
      <c r="BI82" s="78" t="n"/>
      <c r="BJ82" s="139" t="n"/>
      <c r="BK82" s="204" t="n"/>
      <c r="BL82" s="141" t="n"/>
      <c r="BM82" s="205" t="n"/>
      <c r="BN82" s="205" t="n"/>
      <c r="BO82" s="206" t="n"/>
      <c r="BP82" s="144" t="n"/>
      <c r="BQ82" s="141" t="n"/>
      <c r="BR82" s="207" t="n"/>
      <c r="BS82" s="207" t="n"/>
      <c r="BT82" s="207" t="n"/>
      <c r="BU82" s="207" t="n"/>
      <c r="BV82" s="208" t="n"/>
      <c r="BW82" s="207" t="n"/>
      <c r="BX82" s="207" t="n"/>
      <c r="BY82" s="204" t="n"/>
      <c r="BZ82" s="148" t="n"/>
      <c r="CA82" s="204" t="n"/>
      <c r="CB82" s="208" t="n"/>
      <c r="CC82" s="139" t="n"/>
      <c r="CD82" s="204" t="n"/>
      <c r="CE82" s="204" t="n"/>
      <c r="CF82" s="207" t="n"/>
      <c r="CG82" s="208" t="n"/>
      <c r="CH82" s="207" t="n"/>
      <c r="CI82" s="208" t="n"/>
      <c r="CJ82" s="204" t="n"/>
      <c r="CK82" s="208" t="n"/>
      <c r="CL82" s="208" t="n"/>
      <c r="CM82" s="208" t="n"/>
      <c r="CN82" s="78" t="n"/>
      <c r="CO82" s="209" t="n"/>
      <c r="CP82" s="204" t="n"/>
      <c r="CQ82" s="204" t="n"/>
      <c r="CR82" s="204" t="n"/>
      <c r="CS82" s="204" t="n"/>
      <c r="CT82" s="204" t="n"/>
      <c r="CU82" s="204" t="n"/>
      <c r="CV82" s="204" t="n"/>
      <c r="CW82" s="204" t="n"/>
      <c r="CX82" s="190" t="n"/>
    </row>
    <row r="83">
      <c r="BF83" s="78" t="n"/>
      <c r="BG83" s="78" t="n"/>
      <c r="BH83" s="78" t="n"/>
      <c r="BI83" s="78" t="n"/>
      <c r="BJ83" s="139" t="n"/>
      <c r="BK83" s="204" t="n"/>
      <c r="BL83" s="141" t="n"/>
      <c r="BM83" s="205" t="n"/>
      <c r="BN83" s="205" t="n"/>
      <c r="BO83" s="206" t="n"/>
      <c r="BP83" s="144" t="n"/>
      <c r="BQ83" s="141" t="n"/>
      <c r="BR83" s="207" t="n"/>
      <c r="BS83" s="207" t="n"/>
      <c r="BT83" s="207" t="n"/>
      <c r="BU83" s="207" t="n"/>
      <c r="BV83" s="208" t="n"/>
      <c r="BW83" s="207" t="n"/>
      <c r="BX83" s="207" t="n"/>
      <c r="BY83" s="204" t="n"/>
      <c r="BZ83" s="148" t="n"/>
      <c r="CA83" s="204" t="n"/>
      <c r="CB83" s="208" t="n"/>
      <c r="CC83" s="139" t="n"/>
      <c r="CD83" s="204" t="n"/>
      <c r="CE83" s="204" t="n"/>
      <c r="CF83" s="207" t="n"/>
      <c r="CG83" s="208" t="n"/>
      <c r="CH83" s="207" t="n"/>
      <c r="CI83" s="208" t="n"/>
      <c r="CJ83" s="204" t="n"/>
      <c r="CK83" s="208" t="n"/>
      <c r="CL83" s="208" t="n"/>
      <c r="CM83" s="208" t="n"/>
      <c r="CN83" s="78" t="n"/>
      <c r="CO83" s="209" t="n"/>
      <c r="CP83" s="204" t="n"/>
      <c r="CQ83" s="204" t="n"/>
      <c r="CR83" s="204" t="n"/>
      <c r="CS83" s="204" t="n"/>
      <c r="CT83" s="204" t="n"/>
      <c r="CU83" s="204" t="n"/>
      <c r="CV83" s="204" t="n"/>
      <c r="CW83" s="204" t="n"/>
      <c r="CX83" s="190" t="n"/>
    </row>
    <row r="84">
      <c r="BF84" s="78" t="n"/>
      <c r="BG84" s="78" t="n"/>
      <c r="BH84" s="78" t="n"/>
      <c r="BI84" s="78" t="n"/>
      <c r="BJ84" s="139" t="n"/>
      <c r="BK84" s="204" t="n"/>
      <c r="BL84" s="141" t="n"/>
      <c r="BM84" s="205" t="n"/>
      <c r="BN84" s="205" t="n"/>
      <c r="BO84" s="206" t="n"/>
      <c r="BP84" s="144" t="n"/>
      <c r="BQ84" s="141" t="n"/>
      <c r="BR84" s="207" t="n"/>
      <c r="BS84" s="207" t="n"/>
      <c r="BT84" s="207" t="n"/>
      <c r="BU84" s="207" t="n"/>
      <c r="BV84" s="208" t="n"/>
      <c r="BW84" s="207" t="n"/>
      <c r="BX84" s="207" t="n"/>
      <c r="BY84" s="204" t="n"/>
      <c r="BZ84" s="148" t="n"/>
      <c r="CA84" s="204" t="n"/>
      <c r="CB84" s="208" t="n"/>
      <c r="CC84" s="139" t="n"/>
      <c r="CD84" s="204" t="n"/>
      <c r="CE84" s="204" t="n"/>
      <c r="CF84" s="207" t="n"/>
      <c r="CG84" s="208" t="n"/>
      <c r="CH84" s="207" t="n"/>
      <c r="CI84" s="208" t="n"/>
      <c r="CJ84" s="204" t="n"/>
      <c r="CK84" s="208" t="n"/>
      <c r="CL84" s="208" t="n"/>
      <c r="CM84" s="208" t="n"/>
      <c r="CN84" s="78" t="n"/>
      <c r="CO84" s="209" t="n"/>
      <c r="CP84" s="204" t="n"/>
      <c r="CQ84" s="204" t="n"/>
      <c r="CR84" s="204" t="n"/>
      <c r="CS84" s="204" t="n"/>
      <c r="CT84" s="204" t="n"/>
      <c r="CU84" s="204" t="n"/>
      <c r="CV84" s="204" t="n"/>
      <c r="CW84" s="204" t="n"/>
      <c r="CX84" s="190" t="n"/>
    </row>
    <row r="85">
      <c r="BF85" s="78" t="n"/>
      <c r="BG85" s="78" t="n"/>
      <c r="BH85" s="78" t="n"/>
      <c r="BI85" s="78" t="n"/>
      <c r="BJ85" s="139" t="n"/>
      <c r="BK85" s="204" t="n"/>
      <c r="BL85" s="141" t="n"/>
      <c r="BM85" s="205" t="n"/>
      <c r="BN85" s="205" t="n"/>
      <c r="BO85" s="206" t="n"/>
      <c r="BP85" s="144" t="n"/>
      <c r="BQ85" s="141" t="n"/>
      <c r="BR85" s="207" t="n"/>
      <c r="BS85" s="207" t="n"/>
      <c r="BT85" s="207" t="n"/>
      <c r="BU85" s="207" t="n"/>
      <c r="BV85" s="208" t="n"/>
      <c r="BW85" s="207" t="n"/>
      <c r="BX85" s="207" t="n"/>
      <c r="BY85" s="204" t="n"/>
      <c r="BZ85" s="148" t="n"/>
      <c r="CA85" s="204" t="n"/>
      <c r="CB85" s="208" t="n"/>
      <c r="CC85" s="139" t="n"/>
      <c r="CD85" s="204" t="n"/>
      <c r="CE85" s="204" t="n"/>
      <c r="CF85" s="207" t="n"/>
      <c r="CG85" s="208" t="n"/>
      <c r="CH85" s="207" t="n"/>
      <c r="CI85" s="208" t="n"/>
      <c r="CJ85" s="204" t="n"/>
      <c r="CK85" s="208" t="n"/>
      <c r="CL85" s="208" t="n"/>
      <c r="CM85" s="208" t="n"/>
      <c r="CN85" s="78" t="n"/>
      <c r="CO85" s="209" t="n"/>
      <c r="CP85" s="204" t="n"/>
      <c r="CQ85" s="204" t="n"/>
      <c r="CR85" s="204" t="n"/>
      <c r="CS85" s="204" t="n"/>
      <c r="CT85" s="204" t="n"/>
      <c r="CU85" s="204" t="n"/>
      <c r="CV85" s="204" t="n"/>
      <c r="CW85" s="204" t="n"/>
      <c r="CX85" s="190" t="n"/>
    </row>
    <row r="86">
      <c r="BF86" s="78" t="n"/>
      <c r="BG86" s="78" t="n"/>
      <c r="BH86" s="78" t="n"/>
      <c r="BI86" s="78" t="n"/>
      <c r="BJ86" s="139" t="n"/>
      <c r="BK86" s="204" t="n"/>
      <c r="BL86" s="141" t="n"/>
      <c r="BM86" s="205" t="n"/>
      <c r="BN86" s="205" t="n"/>
      <c r="BO86" s="206" t="n"/>
      <c r="BP86" s="144" t="n"/>
      <c r="BQ86" s="141" t="n"/>
      <c r="BR86" s="207" t="n"/>
      <c r="BS86" s="207" t="n"/>
      <c r="BT86" s="207" t="n"/>
      <c r="BU86" s="207" t="n"/>
      <c r="BV86" s="208" t="n"/>
      <c r="BW86" s="207" t="n"/>
      <c r="BX86" s="207" t="n"/>
      <c r="BY86" s="204" t="n"/>
      <c r="BZ86" s="148" t="n"/>
      <c r="CA86" s="204" t="n"/>
      <c r="CB86" s="208" t="n"/>
      <c r="CC86" s="139" t="n"/>
      <c r="CD86" s="204" t="n"/>
      <c r="CE86" s="204" t="n"/>
      <c r="CF86" s="207" t="n"/>
      <c r="CG86" s="208" t="n"/>
      <c r="CH86" s="207" t="n"/>
      <c r="CI86" s="208" t="n"/>
      <c r="CJ86" s="204" t="n"/>
      <c r="CK86" s="208" t="n"/>
      <c r="CL86" s="208" t="n"/>
      <c r="CM86" s="208" t="n"/>
      <c r="CN86" s="78" t="n"/>
      <c r="CO86" s="209" t="n"/>
      <c r="CP86" s="204" t="n"/>
      <c r="CQ86" s="204" t="n"/>
      <c r="CR86" s="204" t="n"/>
      <c r="CS86" s="204" t="n"/>
      <c r="CT86" s="204" t="n"/>
      <c r="CU86" s="204" t="n"/>
      <c r="CV86" s="204" t="n"/>
      <c r="CW86" s="204" t="n"/>
      <c r="CX86" s="190" t="n"/>
    </row>
    <row r="87">
      <c r="BF87" s="78" t="n"/>
      <c r="BG87" s="78" t="n"/>
      <c r="BH87" s="78" t="n"/>
      <c r="BI87" s="78" t="n"/>
      <c r="BJ87" s="139" t="n"/>
      <c r="BK87" s="204" t="n"/>
      <c r="BL87" s="141" t="n"/>
      <c r="BM87" s="205" t="n"/>
      <c r="BN87" s="205" t="n"/>
      <c r="BO87" s="206" t="n"/>
      <c r="BP87" s="144" t="n"/>
      <c r="BQ87" s="141" t="n"/>
      <c r="BR87" s="207" t="n"/>
      <c r="BS87" s="207" t="n"/>
      <c r="BT87" s="207" t="n"/>
      <c r="BU87" s="207" t="n"/>
      <c r="BV87" s="208" t="n"/>
      <c r="BW87" s="207" t="n"/>
      <c r="BX87" s="207" t="n"/>
      <c r="BY87" s="204" t="n"/>
      <c r="BZ87" s="148" t="n"/>
      <c r="CA87" s="204" t="n"/>
      <c r="CB87" s="208" t="n"/>
      <c r="CC87" s="139" t="n"/>
      <c r="CD87" s="204" t="n"/>
      <c r="CE87" s="204" t="n"/>
      <c r="CF87" s="207" t="n"/>
      <c r="CG87" s="208" t="n"/>
      <c r="CH87" s="207" t="n"/>
      <c r="CI87" s="208" t="n"/>
      <c r="CJ87" s="204" t="n"/>
      <c r="CK87" s="208" t="n"/>
      <c r="CL87" s="208" t="n"/>
      <c r="CM87" s="208" t="n"/>
      <c r="CN87" s="78" t="n"/>
      <c r="CO87" s="209" t="n"/>
      <c r="CP87" s="204" t="n"/>
      <c r="CQ87" s="204" t="n"/>
      <c r="CR87" s="204" t="n"/>
      <c r="CS87" s="204" t="n"/>
      <c r="CT87" s="204" t="n"/>
      <c r="CU87" s="204" t="n"/>
      <c r="CV87" s="204" t="n"/>
      <c r="CW87" s="204" t="n"/>
      <c r="CX87" s="190" t="n"/>
    </row>
    <row r="88">
      <c r="BF88" s="78" t="n"/>
      <c r="BG88" s="78" t="n"/>
      <c r="BH88" s="78" t="n"/>
      <c r="BI88" s="78" t="n"/>
      <c r="BJ88" s="139" t="n"/>
      <c r="BK88" s="204" t="n"/>
      <c r="BL88" s="141" t="n"/>
      <c r="BM88" s="205" t="n"/>
      <c r="BN88" s="205" t="n"/>
      <c r="BO88" s="206" t="n"/>
      <c r="BP88" s="144" t="n"/>
      <c r="BQ88" s="141" t="n"/>
      <c r="BR88" s="207" t="n"/>
      <c r="BS88" s="207" t="n"/>
      <c r="BT88" s="207" t="n"/>
      <c r="BU88" s="207" t="n"/>
      <c r="BV88" s="208" t="n"/>
      <c r="BW88" s="207" t="n"/>
      <c r="BX88" s="207" t="n"/>
      <c r="BY88" s="204" t="n"/>
      <c r="BZ88" s="148" t="n"/>
      <c r="CA88" s="204" t="n"/>
      <c r="CB88" s="208" t="n"/>
      <c r="CC88" s="139" t="n"/>
      <c r="CD88" s="204" t="n"/>
      <c r="CE88" s="204" t="n"/>
      <c r="CF88" s="207" t="n"/>
      <c r="CG88" s="208" t="n"/>
      <c r="CH88" s="207" t="n"/>
      <c r="CI88" s="208" t="n"/>
      <c r="CJ88" s="204" t="n"/>
      <c r="CK88" s="208" t="n"/>
      <c r="CL88" s="208" t="n"/>
      <c r="CM88" s="208" t="n"/>
      <c r="CN88" s="78" t="n"/>
      <c r="CO88" s="209" t="n"/>
      <c r="CP88" s="204" t="n"/>
      <c r="CQ88" s="204" t="n"/>
      <c r="CR88" s="204" t="n"/>
      <c r="CS88" s="204" t="n"/>
      <c r="CT88" s="204" t="n"/>
      <c r="CU88" s="204" t="n"/>
      <c r="CV88" s="204" t="n"/>
      <c r="CW88" s="204" t="n"/>
      <c r="CX88" s="190" t="n"/>
    </row>
    <row r="89">
      <c r="BF89" s="78" t="n"/>
      <c r="BG89" s="78" t="n"/>
      <c r="BH89" s="78" t="n"/>
      <c r="BI89" s="78" t="n"/>
      <c r="BJ89" s="139" t="n"/>
      <c r="BK89" s="204" t="n"/>
      <c r="BL89" s="141" t="n"/>
      <c r="BM89" s="205" t="n"/>
      <c r="BN89" s="205" t="n"/>
      <c r="BO89" s="206" t="n"/>
      <c r="BP89" s="144" t="n"/>
      <c r="BQ89" s="141" t="n"/>
      <c r="BR89" s="207" t="n"/>
      <c r="BS89" s="207" t="n"/>
      <c r="BT89" s="207" t="n"/>
      <c r="BU89" s="207" t="n"/>
      <c r="BV89" s="208" t="n"/>
      <c r="BW89" s="207" t="n"/>
      <c r="BX89" s="207" t="n"/>
      <c r="BY89" s="204" t="n"/>
      <c r="BZ89" s="148" t="n"/>
      <c r="CA89" s="204" t="n"/>
      <c r="CB89" s="208" t="n"/>
      <c r="CC89" s="139" t="n"/>
      <c r="CD89" s="204" t="n"/>
      <c r="CE89" s="204" t="n"/>
      <c r="CF89" s="207" t="n"/>
      <c r="CG89" s="208" t="n"/>
      <c r="CH89" s="207" t="n"/>
      <c r="CI89" s="208" t="n"/>
      <c r="CJ89" s="204" t="n"/>
      <c r="CK89" s="208" t="n"/>
      <c r="CL89" s="208" t="n"/>
      <c r="CM89" s="208" t="n"/>
      <c r="CN89" s="78" t="n"/>
      <c r="CO89" s="209" t="n"/>
      <c r="CP89" s="204" t="n"/>
      <c r="CQ89" s="204" t="n"/>
      <c r="CR89" s="204" t="n"/>
      <c r="CS89" s="204" t="n"/>
      <c r="CT89" s="204" t="n"/>
      <c r="CU89" s="204" t="n"/>
      <c r="CV89" s="204" t="n"/>
      <c r="CW89" s="204" t="n"/>
      <c r="CX89" s="190" t="n"/>
    </row>
    <row r="90">
      <c r="BF90" s="78" t="n"/>
      <c r="BG90" s="78" t="n"/>
      <c r="BH90" s="78" t="n"/>
      <c r="BI90" s="78" t="n"/>
      <c r="BJ90" s="139" t="n"/>
      <c r="BK90" s="204" t="n"/>
      <c r="BL90" s="141" t="n"/>
      <c r="BM90" s="205" t="n"/>
      <c r="BN90" s="205" t="n"/>
      <c r="BO90" s="206" t="n"/>
      <c r="BP90" s="144" t="n"/>
      <c r="BQ90" s="141" t="n"/>
      <c r="BR90" s="207" t="n"/>
      <c r="BS90" s="207" t="n"/>
      <c r="BT90" s="207" t="n"/>
      <c r="BU90" s="207" t="n"/>
      <c r="BV90" s="208" t="n"/>
      <c r="BW90" s="207" t="n"/>
      <c r="BX90" s="207" t="n"/>
      <c r="BY90" s="204" t="n"/>
      <c r="BZ90" s="148" t="n"/>
      <c r="CA90" s="204" t="n"/>
      <c r="CB90" s="208" t="n"/>
      <c r="CC90" s="139" t="n"/>
      <c r="CD90" s="204" t="n"/>
      <c r="CE90" s="204" t="n"/>
      <c r="CF90" s="207" t="n"/>
      <c r="CG90" s="208" t="n"/>
      <c r="CH90" s="207" t="n"/>
      <c r="CI90" s="208" t="n"/>
      <c r="CJ90" s="204" t="n"/>
      <c r="CK90" s="208" t="n"/>
      <c r="CL90" s="208" t="n"/>
      <c r="CM90" s="208" t="n"/>
      <c r="CN90" s="78" t="n"/>
      <c r="CO90" s="209" t="n"/>
      <c r="CP90" s="204" t="n"/>
      <c r="CQ90" s="204" t="n"/>
      <c r="CR90" s="204" t="n"/>
      <c r="CS90" s="204" t="n"/>
      <c r="CT90" s="204" t="n"/>
      <c r="CU90" s="204" t="n"/>
      <c r="CV90" s="204" t="n"/>
      <c r="CW90" s="204" t="n"/>
      <c r="CX90" s="190" t="n"/>
    </row>
    <row r="91">
      <c r="BF91" s="78" t="n"/>
      <c r="BG91" s="78" t="n"/>
      <c r="BH91" s="78" t="n"/>
      <c r="BI91" s="78" t="n"/>
      <c r="BJ91" s="139" t="n"/>
      <c r="BK91" s="204" t="n"/>
      <c r="BL91" s="141" t="n"/>
      <c r="BM91" s="205" t="n"/>
      <c r="BN91" s="205" t="n"/>
      <c r="BO91" s="206" t="n"/>
      <c r="BP91" s="144" t="n"/>
      <c r="BQ91" s="141" t="n"/>
      <c r="BR91" s="207" t="n"/>
      <c r="BS91" s="207" t="n"/>
      <c r="BT91" s="207" t="n"/>
      <c r="BU91" s="207" t="n"/>
      <c r="BV91" s="208" t="n"/>
      <c r="BW91" s="207" t="n"/>
      <c r="BX91" s="207" t="n"/>
      <c r="BY91" s="204" t="n"/>
      <c r="BZ91" s="148" t="n"/>
      <c r="CA91" s="204" t="n"/>
      <c r="CB91" s="208" t="n"/>
      <c r="CC91" s="139" t="n"/>
      <c r="CD91" s="204" t="n"/>
      <c r="CE91" s="204" t="n"/>
      <c r="CF91" s="207" t="n"/>
      <c r="CG91" s="208" t="n"/>
      <c r="CH91" s="207" t="n"/>
      <c r="CI91" s="208" t="n"/>
      <c r="CJ91" s="204" t="n"/>
      <c r="CK91" s="208" t="n"/>
      <c r="CL91" s="208" t="n"/>
      <c r="CM91" s="208" t="n"/>
      <c r="CN91" s="78" t="n"/>
      <c r="CO91" s="209" t="n"/>
      <c r="CP91" s="204" t="n"/>
      <c r="CQ91" s="204" t="n"/>
      <c r="CR91" s="204" t="n"/>
      <c r="CS91" s="204" t="n"/>
      <c r="CT91" s="204" t="n"/>
      <c r="CU91" s="204" t="n"/>
      <c r="CV91" s="204" t="n"/>
      <c r="CW91" s="204" t="n"/>
      <c r="CX91" s="190" t="n"/>
    </row>
    <row r="92">
      <c r="BF92" s="78" t="n"/>
      <c r="BG92" s="78" t="n"/>
      <c r="BH92" s="78" t="n"/>
      <c r="BI92" s="78" t="n"/>
      <c r="BJ92" s="139" t="n"/>
      <c r="BK92" s="204" t="n"/>
      <c r="BL92" s="141" t="n"/>
      <c r="BM92" s="205" t="n"/>
      <c r="BN92" s="205" t="n"/>
      <c r="BO92" s="206" t="n"/>
      <c r="BP92" s="144" t="n"/>
      <c r="BQ92" s="141" t="n"/>
      <c r="BR92" s="207" t="n"/>
      <c r="BS92" s="207" t="n"/>
      <c r="BT92" s="207" t="n"/>
      <c r="BU92" s="207" t="n"/>
      <c r="BV92" s="208" t="n"/>
      <c r="BW92" s="207" t="n"/>
      <c r="BX92" s="207" t="n"/>
      <c r="BY92" s="204" t="n"/>
      <c r="BZ92" s="148" t="n"/>
      <c r="CA92" s="204" t="n"/>
      <c r="CB92" s="208" t="n"/>
      <c r="CC92" s="139" t="n"/>
      <c r="CD92" s="204" t="n"/>
      <c r="CE92" s="204" t="n"/>
      <c r="CF92" s="207" t="n"/>
      <c r="CG92" s="208" t="n"/>
      <c r="CH92" s="207" t="n"/>
      <c r="CI92" s="208" t="n"/>
      <c r="CJ92" s="204" t="n"/>
      <c r="CK92" s="208" t="n"/>
      <c r="CL92" s="208" t="n"/>
      <c r="CM92" s="208" t="n"/>
      <c r="CN92" s="78" t="n"/>
      <c r="CO92" s="209" t="n"/>
      <c r="CP92" s="204" t="n"/>
      <c r="CQ92" s="204" t="n"/>
      <c r="CR92" s="204" t="n"/>
      <c r="CS92" s="204" t="n"/>
      <c r="CT92" s="204" t="n"/>
      <c r="CU92" s="204" t="n"/>
      <c r="CV92" s="204" t="n"/>
      <c r="CW92" s="204" t="n"/>
      <c r="CX92" s="190" t="n"/>
    </row>
    <row r="93">
      <c r="BF93" s="78" t="n"/>
      <c r="BG93" s="78" t="n"/>
      <c r="BH93" s="78" t="n"/>
      <c r="BI93" s="78" t="n"/>
      <c r="BJ93" s="139" t="n"/>
      <c r="BK93" s="204" t="n"/>
      <c r="BL93" s="141" t="n"/>
      <c r="BM93" s="205" t="n"/>
      <c r="BN93" s="205" t="n"/>
      <c r="BO93" s="206" t="n"/>
      <c r="BP93" s="144" t="n"/>
      <c r="BQ93" s="141" t="n"/>
      <c r="BR93" s="207" t="n"/>
      <c r="BS93" s="207" t="n"/>
      <c r="BT93" s="207" t="n"/>
      <c r="BU93" s="207" t="n"/>
      <c r="BV93" s="208" t="n"/>
      <c r="BW93" s="207" t="n"/>
      <c r="BX93" s="207" t="n"/>
      <c r="BY93" s="204" t="n"/>
      <c r="BZ93" s="148" t="n"/>
      <c r="CA93" s="204" t="n"/>
      <c r="CB93" s="208" t="n"/>
      <c r="CC93" s="139" t="n"/>
      <c r="CD93" s="204" t="n"/>
      <c r="CE93" s="204" t="n"/>
      <c r="CF93" s="207" t="n"/>
      <c r="CG93" s="208" t="n"/>
      <c r="CH93" s="207" t="n"/>
      <c r="CI93" s="208" t="n"/>
      <c r="CJ93" s="204" t="n"/>
      <c r="CK93" s="208" t="n"/>
      <c r="CL93" s="208" t="n"/>
      <c r="CM93" s="208" t="n"/>
      <c r="CN93" s="78" t="n"/>
      <c r="CO93" s="209" t="n"/>
      <c r="CP93" s="204" t="n"/>
      <c r="CQ93" s="204" t="n"/>
      <c r="CR93" s="204" t="n"/>
      <c r="CS93" s="204" t="n"/>
      <c r="CT93" s="204" t="n"/>
      <c r="CU93" s="204" t="n"/>
      <c r="CV93" s="204" t="n"/>
      <c r="CW93" s="204" t="n"/>
      <c r="CX93" s="190" t="n"/>
    </row>
    <row r="94">
      <c r="BF94" s="78" t="n"/>
      <c r="BG94" s="78" t="n"/>
      <c r="BH94" s="78" t="n"/>
      <c r="BI94" s="78" t="n"/>
      <c r="BJ94" s="139" t="n"/>
      <c r="BK94" s="204" t="n"/>
      <c r="BL94" s="141" t="n"/>
      <c r="BM94" s="205" t="n"/>
      <c r="BN94" s="205" t="n"/>
      <c r="BO94" s="206" t="n"/>
      <c r="BP94" s="144" t="n"/>
      <c r="BQ94" s="141" t="n"/>
      <c r="BR94" s="207" t="n"/>
      <c r="BS94" s="207" t="n"/>
      <c r="BT94" s="207" t="n"/>
      <c r="BU94" s="207" t="n"/>
      <c r="BV94" s="208" t="n"/>
      <c r="BW94" s="207" t="n"/>
      <c r="BX94" s="207" t="n"/>
      <c r="BY94" s="204" t="n"/>
      <c r="BZ94" s="148" t="n"/>
      <c r="CA94" s="204" t="n"/>
      <c r="CB94" s="208" t="n"/>
      <c r="CC94" s="139" t="n"/>
      <c r="CD94" s="204" t="n"/>
      <c r="CE94" s="204" t="n"/>
      <c r="CF94" s="207" t="n"/>
      <c r="CG94" s="208" t="n"/>
      <c r="CH94" s="207" t="n"/>
      <c r="CI94" s="208" t="n"/>
      <c r="CJ94" s="204" t="n"/>
      <c r="CK94" s="208" t="n"/>
      <c r="CL94" s="208" t="n"/>
      <c r="CM94" s="208" t="n"/>
      <c r="CN94" s="78" t="n"/>
      <c r="CO94" s="209" t="n"/>
      <c r="CP94" s="204" t="n"/>
      <c r="CQ94" s="204" t="n"/>
      <c r="CR94" s="204" t="n"/>
      <c r="CS94" s="204" t="n"/>
      <c r="CT94" s="204" t="n"/>
      <c r="CU94" s="204" t="n"/>
      <c r="CV94" s="204" t="n"/>
      <c r="CW94" s="204" t="n"/>
      <c r="CX94" s="190" t="n"/>
    </row>
    <row r="95">
      <c r="BF95" s="78" t="n"/>
      <c r="BG95" s="78" t="n"/>
      <c r="BH95" s="78" t="n"/>
      <c r="BI95" s="78" t="n"/>
      <c r="BJ95" s="139" t="n"/>
      <c r="BK95" s="204" t="n"/>
      <c r="BL95" s="141" t="n"/>
      <c r="BM95" s="205" t="n"/>
      <c r="BN95" s="205" t="n"/>
      <c r="BO95" s="206" t="n"/>
      <c r="BP95" s="144" t="n"/>
      <c r="BQ95" s="141" t="n"/>
      <c r="BR95" s="207" t="n"/>
      <c r="BS95" s="207" t="n"/>
      <c r="BT95" s="207" t="n"/>
      <c r="BU95" s="207" t="n"/>
      <c r="BV95" s="208" t="n"/>
      <c r="BW95" s="207" t="n"/>
      <c r="BX95" s="207" t="n"/>
      <c r="BY95" s="204" t="n"/>
      <c r="BZ95" s="148" t="n"/>
      <c r="CA95" s="204" t="n"/>
      <c r="CB95" s="208" t="n"/>
      <c r="CC95" s="139" t="n"/>
      <c r="CD95" s="204" t="n"/>
      <c r="CE95" s="204" t="n"/>
      <c r="CF95" s="207" t="n"/>
      <c r="CG95" s="208" t="n"/>
      <c r="CH95" s="207" t="n"/>
      <c r="CI95" s="208" t="n"/>
      <c r="CJ95" s="204" t="n"/>
      <c r="CK95" s="208" t="n"/>
      <c r="CL95" s="208" t="n"/>
      <c r="CM95" s="208" t="n"/>
      <c r="CN95" s="78" t="n"/>
      <c r="CO95" s="209" t="n"/>
      <c r="CP95" s="204" t="n"/>
      <c r="CQ95" s="204" t="n"/>
      <c r="CR95" s="204" t="n"/>
      <c r="CS95" s="204" t="n"/>
      <c r="CT95" s="204" t="n"/>
      <c r="CU95" s="204" t="n"/>
      <c r="CV95" s="204" t="n"/>
      <c r="CW95" s="204" t="n"/>
      <c r="CX95" s="190" t="n"/>
    </row>
    <row r="96">
      <c r="BF96" s="78" t="n"/>
      <c r="BG96" s="78" t="n"/>
      <c r="BH96" s="78" t="n"/>
      <c r="BI96" s="78" t="n"/>
      <c r="BJ96" s="139" t="n"/>
      <c r="BK96" s="204" t="n"/>
      <c r="BL96" s="141" t="n"/>
      <c r="BM96" s="205" t="n"/>
      <c r="BN96" s="205" t="n"/>
      <c r="BO96" s="206" t="n"/>
      <c r="BP96" s="144" t="n"/>
      <c r="BQ96" s="141" t="n"/>
      <c r="BR96" s="207" t="n"/>
      <c r="BS96" s="207" t="n"/>
      <c r="BT96" s="207" t="n"/>
      <c r="BU96" s="207" t="n"/>
      <c r="BV96" s="208" t="n"/>
      <c r="BW96" s="207" t="n"/>
      <c r="BX96" s="207" t="n"/>
      <c r="BY96" s="204" t="n"/>
      <c r="BZ96" s="148" t="n"/>
      <c r="CA96" s="204" t="n"/>
      <c r="CB96" s="208" t="n"/>
      <c r="CC96" s="139" t="n"/>
      <c r="CD96" s="204" t="n"/>
      <c r="CE96" s="204" t="n"/>
      <c r="CF96" s="207" t="n"/>
      <c r="CG96" s="208" t="n"/>
      <c r="CH96" s="207" t="n"/>
      <c r="CI96" s="208" t="n"/>
      <c r="CJ96" s="204" t="n"/>
      <c r="CK96" s="208" t="n"/>
      <c r="CL96" s="208" t="n"/>
      <c r="CM96" s="208" t="n"/>
      <c r="CN96" s="78" t="n"/>
      <c r="CO96" s="209" t="n"/>
      <c r="CP96" s="204" t="n"/>
      <c r="CQ96" s="204" t="n"/>
      <c r="CR96" s="204" t="n"/>
      <c r="CS96" s="204" t="n"/>
      <c r="CT96" s="204" t="n"/>
      <c r="CU96" s="204" t="n"/>
      <c r="CV96" s="204" t="n"/>
      <c r="CW96" s="204" t="n"/>
      <c r="CX96" s="190" t="n"/>
    </row>
    <row r="97">
      <c r="BF97" s="78" t="n"/>
      <c r="BG97" s="78" t="n"/>
      <c r="BH97" s="78" t="n"/>
      <c r="BI97" s="78" t="n"/>
      <c r="BJ97" s="139" t="n"/>
      <c r="BK97" s="204" t="n"/>
      <c r="BL97" s="141" t="n"/>
      <c r="BM97" s="205" t="n"/>
      <c r="BN97" s="205" t="n"/>
      <c r="BO97" s="206" t="n"/>
      <c r="BP97" s="144" t="n"/>
      <c r="BQ97" s="141" t="n"/>
      <c r="BR97" s="207" t="n"/>
      <c r="BS97" s="207" t="n"/>
      <c r="BT97" s="207" t="n"/>
      <c r="BU97" s="207" t="n"/>
      <c r="BV97" s="208" t="n"/>
      <c r="BW97" s="207" t="n"/>
      <c r="BX97" s="207" t="n"/>
      <c r="BY97" s="204" t="n"/>
      <c r="BZ97" s="148" t="n"/>
      <c r="CA97" s="204" t="n"/>
      <c r="CB97" s="208" t="n"/>
      <c r="CC97" s="139" t="n"/>
      <c r="CD97" s="204" t="n"/>
      <c r="CE97" s="204" t="n"/>
      <c r="CF97" s="207" t="n"/>
      <c r="CG97" s="208" t="n"/>
      <c r="CH97" s="207" t="n"/>
      <c r="CI97" s="208" t="n"/>
      <c r="CJ97" s="204" t="n"/>
      <c r="CK97" s="208" t="n"/>
      <c r="CL97" s="208" t="n"/>
      <c r="CM97" s="208" t="n"/>
      <c r="CN97" s="78" t="n"/>
      <c r="CO97" s="209" t="n"/>
      <c r="CP97" s="204" t="n"/>
      <c r="CQ97" s="204" t="n"/>
      <c r="CR97" s="204" t="n"/>
      <c r="CS97" s="204" t="n"/>
      <c r="CT97" s="204" t="n"/>
      <c r="CU97" s="204" t="n"/>
      <c r="CV97" s="204" t="n"/>
      <c r="CW97" s="204" t="n"/>
      <c r="CX97" s="190" t="n"/>
    </row>
    <row r="98">
      <c r="BF98" s="78" t="n"/>
      <c r="BG98" s="78" t="n"/>
      <c r="BH98" s="78" t="n"/>
      <c r="BI98" s="78" t="n"/>
      <c r="BJ98" s="139" t="n"/>
      <c r="BK98" s="204" t="n"/>
      <c r="BL98" s="141" t="n"/>
      <c r="BM98" s="205" t="n"/>
      <c r="BN98" s="205" t="n"/>
      <c r="BO98" s="206" t="n"/>
      <c r="BP98" s="144" t="n"/>
      <c r="BQ98" s="141" t="n"/>
      <c r="BR98" s="207" t="n"/>
      <c r="BS98" s="207" t="n"/>
      <c r="BT98" s="207" t="n"/>
      <c r="BU98" s="207" t="n"/>
      <c r="BV98" s="208" t="n"/>
      <c r="BW98" s="207" t="n"/>
      <c r="BX98" s="207" t="n"/>
      <c r="BY98" s="204" t="n"/>
      <c r="BZ98" s="148" t="n"/>
      <c r="CA98" s="204" t="n"/>
      <c r="CB98" s="208" t="n"/>
      <c r="CC98" s="139" t="n"/>
      <c r="CD98" s="204" t="n"/>
      <c r="CE98" s="204" t="n"/>
      <c r="CF98" s="207" t="n"/>
      <c r="CG98" s="208" t="n"/>
      <c r="CH98" s="207" t="n"/>
      <c r="CI98" s="208" t="n"/>
      <c r="CJ98" s="204" t="n"/>
      <c r="CK98" s="208" t="n"/>
      <c r="CL98" s="208" t="n"/>
      <c r="CM98" s="208" t="n"/>
      <c r="CN98" s="78" t="n"/>
      <c r="CO98" s="209" t="n"/>
      <c r="CP98" s="204" t="n"/>
      <c r="CQ98" s="204" t="n"/>
      <c r="CR98" s="204" t="n"/>
      <c r="CS98" s="204" t="n"/>
      <c r="CT98" s="204" t="n"/>
      <c r="CU98" s="204" t="n"/>
      <c r="CV98" s="204" t="n"/>
      <c r="CW98" s="204" t="n"/>
      <c r="CX98" s="190" t="n"/>
    </row>
    <row r="99">
      <c r="BF99" s="78" t="n"/>
      <c r="BG99" s="78" t="n"/>
      <c r="BH99" s="78" t="n"/>
      <c r="BI99" s="78" t="n"/>
      <c r="BJ99" s="139" t="n"/>
      <c r="BK99" s="204" t="n"/>
      <c r="BL99" s="141" t="n"/>
      <c r="BM99" s="205" t="n"/>
      <c r="BN99" s="205" t="n"/>
      <c r="BO99" s="206" t="n"/>
      <c r="BP99" s="144" t="n"/>
      <c r="BQ99" s="141" t="n"/>
      <c r="BR99" s="207" t="n"/>
      <c r="BS99" s="207" t="n"/>
      <c r="BT99" s="207" t="n"/>
      <c r="BU99" s="207" t="n"/>
      <c r="BV99" s="208" t="n"/>
      <c r="BW99" s="207" t="n"/>
      <c r="BX99" s="207" t="n"/>
      <c r="BY99" s="204" t="n"/>
      <c r="BZ99" s="148" t="n"/>
      <c r="CA99" s="204" t="n"/>
      <c r="CB99" s="208" t="n"/>
      <c r="CC99" s="139" t="n"/>
      <c r="CD99" s="204" t="n"/>
      <c r="CE99" s="204" t="n"/>
      <c r="CF99" s="207" t="n"/>
      <c r="CG99" s="208" t="n"/>
      <c r="CH99" s="207" t="n"/>
      <c r="CI99" s="208" t="n"/>
      <c r="CJ99" s="204" t="n"/>
      <c r="CK99" s="208" t="n"/>
      <c r="CL99" s="208" t="n"/>
      <c r="CM99" s="208" t="n"/>
      <c r="CN99" s="78" t="n"/>
      <c r="CO99" s="209" t="n"/>
      <c r="CP99" s="204" t="n"/>
      <c r="CQ99" s="204" t="n"/>
      <c r="CR99" s="204" t="n"/>
      <c r="CS99" s="204" t="n"/>
      <c r="CT99" s="204" t="n"/>
      <c r="CU99" s="204" t="n"/>
      <c r="CV99" s="204" t="n"/>
      <c r="CW99" s="204" t="n"/>
      <c r="CX99" s="190" t="n"/>
    </row>
    <row r="100">
      <c r="BF100" s="78" t="n"/>
      <c r="BG100" s="78" t="n"/>
      <c r="BH100" s="78" t="n"/>
      <c r="BI100" s="78" t="n"/>
      <c r="BJ100" s="139" t="n"/>
      <c r="BK100" s="204" t="n"/>
      <c r="BL100" s="141" t="n"/>
      <c r="BM100" s="205" t="n"/>
      <c r="BN100" s="205" t="n"/>
      <c r="BO100" s="206" t="n"/>
      <c r="BP100" s="144" t="n"/>
      <c r="BQ100" s="141" t="n"/>
      <c r="BR100" s="207" t="n"/>
      <c r="BS100" s="207" t="n"/>
      <c r="BT100" s="207" t="n"/>
      <c r="BU100" s="207" t="n"/>
      <c r="BV100" s="208" t="n"/>
      <c r="BW100" s="207" t="n"/>
      <c r="BX100" s="207" t="n"/>
      <c r="BY100" s="204" t="n"/>
      <c r="BZ100" s="148" t="n"/>
      <c r="CA100" s="204" t="n"/>
      <c r="CB100" s="208" t="n"/>
      <c r="CC100" s="139" t="n"/>
      <c r="CD100" s="204" t="n"/>
      <c r="CE100" s="204" t="n"/>
      <c r="CF100" s="207" t="n"/>
      <c r="CG100" s="208" t="n"/>
      <c r="CH100" s="207" t="n"/>
      <c r="CI100" s="208" t="n"/>
      <c r="CJ100" s="204" t="n"/>
      <c r="CK100" s="208" t="n"/>
      <c r="CL100" s="208" t="n"/>
      <c r="CM100" s="208" t="n"/>
      <c r="CN100" s="78" t="n"/>
      <c r="CO100" s="209" t="n"/>
      <c r="CP100" s="204" t="n"/>
      <c r="CQ100" s="204" t="n"/>
      <c r="CR100" s="204" t="n"/>
      <c r="CS100" s="204" t="n"/>
      <c r="CT100" s="204" t="n"/>
      <c r="CU100" s="204" t="n"/>
      <c r="CV100" s="204" t="n"/>
      <c r="CW100" s="204" t="n"/>
      <c r="CX100" s="190" t="n"/>
    </row>
    <row r="101">
      <c r="BF101" s="78" t="n"/>
      <c r="BG101" s="78" t="n"/>
      <c r="BH101" s="78" t="n"/>
      <c r="BI101" s="78" t="n"/>
      <c r="BJ101" s="139" t="n"/>
      <c r="BK101" s="204" t="n"/>
      <c r="BL101" s="141" t="n"/>
      <c r="BM101" s="205" t="n"/>
      <c r="BN101" s="205" t="n"/>
      <c r="BO101" s="206" t="n"/>
      <c r="BP101" s="144" t="n"/>
      <c r="BQ101" s="141" t="n"/>
      <c r="BR101" s="207" t="n"/>
      <c r="BS101" s="207" t="n"/>
      <c r="BT101" s="207" t="n"/>
      <c r="BU101" s="207" t="n"/>
      <c r="BV101" s="208" t="n"/>
      <c r="BW101" s="207" t="n"/>
      <c r="BX101" s="207" t="n"/>
      <c r="BY101" s="204" t="n"/>
      <c r="BZ101" s="148" t="n"/>
      <c r="CA101" s="204" t="n"/>
      <c r="CB101" s="208" t="n"/>
      <c r="CC101" s="139" t="n"/>
      <c r="CD101" s="204" t="n"/>
      <c r="CE101" s="204" t="n"/>
      <c r="CF101" s="207" t="n"/>
      <c r="CG101" s="208" t="n"/>
      <c r="CH101" s="207" t="n"/>
      <c r="CI101" s="208" t="n"/>
      <c r="CJ101" s="204" t="n"/>
      <c r="CK101" s="208" t="n"/>
      <c r="CL101" s="208" t="n"/>
      <c r="CM101" s="208" t="n"/>
      <c r="CN101" s="78" t="n"/>
      <c r="CO101" s="209" t="n"/>
      <c r="CP101" s="204" t="n"/>
      <c r="CQ101" s="204" t="n"/>
      <c r="CR101" s="204" t="n"/>
      <c r="CS101" s="204" t="n"/>
      <c r="CT101" s="204" t="n"/>
      <c r="CU101" s="204" t="n"/>
      <c r="CV101" s="204" t="n"/>
      <c r="CW101" s="204" t="n"/>
      <c r="CX101" s="190" t="n"/>
    </row>
    <row r="102">
      <c r="BF102" s="78" t="n"/>
      <c r="BG102" s="78" t="n"/>
      <c r="BH102" s="78" t="n"/>
      <c r="BI102" s="78" t="n"/>
      <c r="BJ102" s="139" t="n"/>
      <c r="BK102" s="204" t="n"/>
      <c r="BL102" s="141" t="n"/>
      <c r="BM102" s="205" t="n"/>
      <c r="BN102" s="205" t="n"/>
      <c r="BO102" s="206" t="n"/>
      <c r="BP102" s="144" t="n"/>
      <c r="BQ102" s="141" t="n"/>
      <c r="BR102" s="207" t="n"/>
      <c r="BS102" s="207" t="n"/>
      <c r="BT102" s="207" t="n"/>
      <c r="BU102" s="207" t="n"/>
      <c r="BV102" s="208" t="n"/>
      <c r="BW102" s="207" t="n"/>
      <c r="BX102" s="207" t="n"/>
      <c r="BY102" s="204" t="n"/>
      <c r="BZ102" s="148" t="n"/>
      <c r="CA102" s="204" t="n"/>
      <c r="CB102" s="208" t="n"/>
      <c r="CC102" s="139" t="n"/>
      <c r="CD102" s="204" t="n"/>
      <c r="CE102" s="204" t="n"/>
      <c r="CF102" s="207" t="n"/>
      <c r="CG102" s="208" t="n"/>
      <c r="CH102" s="207" t="n"/>
      <c r="CI102" s="208" t="n"/>
      <c r="CJ102" s="204" t="n"/>
      <c r="CK102" s="208" t="n"/>
      <c r="CL102" s="208" t="n"/>
      <c r="CM102" s="208" t="n"/>
      <c r="CN102" s="78" t="n"/>
      <c r="CO102" s="209" t="n"/>
      <c r="CP102" s="204" t="n"/>
      <c r="CQ102" s="204" t="n"/>
      <c r="CR102" s="204" t="n"/>
      <c r="CS102" s="204" t="n"/>
      <c r="CT102" s="204" t="n"/>
      <c r="CU102" s="204" t="n"/>
      <c r="CV102" s="204" t="n"/>
      <c r="CW102" s="204" t="n"/>
      <c r="CX102" s="190" t="n"/>
    </row>
    <row r="103">
      <c r="BF103" s="78" t="n"/>
      <c r="BG103" s="78" t="n"/>
      <c r="BH103" s="78" t="n"/>
      <c r="BI103" s="78" t="n"/>
      <c r="BJ103" s="139" t="n"/>
      <c r="BK103" s="204" t="n"/>
      <c r="BL103" s="141" t="n"/>
      <c r="BM103" s="205" t="n"/>
      <c r="BN103" s="205" t="n"/>
      <c r="BO103" s="206" t="n"/>
      <c r="BP103" s="144" t="n"/>
      <c r="BQ103" s="141" t="n"/>
      <c r="BR103" s="207" t="n"/>
      <c r="BS103" s="207" t="n"/>
      <c r="BT103" s="207" t="n"/>
      <c r="BU103" s="207" t="n"/>
      <c r="BV103" s="208" t="n"/>
      <c r="BW103" s="207" t="n"/>
      <c r="BX103" s="207" t="n"/>
      <c r="BY103" s="204" t="n"/>
      <c r="BZ103" s="148" t="n"/>
      <c r="CA103" s="204" t="n"/>
      <c r="CB103" s="208" t="n"/>
      <c r="CC103" s="139" t="n"/>
      <c r="CD103" s="204" t="n"/>
      <c r="CE103" s="204" t="n"/>
      <c r="CF103" s="207" t="n"/>
      <c r="CG103" s="208" t="n"/>
      <c r="CH103" s="207" t="n"/>
      <c r="CI103" s="208" t="n"/>
      <c r="CJ103" s="204" t="n"/>
      <c r="CK103" s="208" t="n"/>
      <c r="CL103" s="208" t="n"/>
      <c r="CM103" s="208" t="n"/>
      <c r="CN103" s="78" t="n"/>
      <c r="CO103" s="209" t="n"/>
      <c r="CP103" s="204" t="n"/>
      <c r="CQ103" s="204" t="n"/>
      <c r="CR103" s="204" t="n"/>
      <c r="CS103" s="204" t="n"/>
      <c r="CT103" s="204" t="n"/>
      <c r="CU103" s="204" t="n"/>
      <c r="CV103" s="204" t="n"/>
      <c r="CW103" s="204" t="n"/>
      <c r="CX103" s="190" t="n"/>
    </row>
    <row r="104">
      <c r="BF104" s="78" t="n"/>
      <c r="BG104" s="78" t="n"/>
      <c r="BH104" s="78" t="n"/>
      <c r="BI104" s="78" t="n"/>
      <c r="BJ104" s="139" t="n"/>
      <c r="BK104" s="204" t="n"/>
      <c r="BL104" s="141" t="n"/>
      <c r="BM104" s="205" t="n"/>
      <c r="BN104" s="205" t="n"/>
      <c r="BO104" s="206" t="n"/>
      <c r="BP104" s="144" t="n"/>
      <c r="BQ104" s="141" t="n"/>
      <c r="BR104" s="207" t="n"/>
      <c r="BS104" s="207" t="n"/>
      <c r="BT104" s="207" t="n"/>
      <c r="BU104" s="207" t="n"/>
      <c r="BV104" s="208" t="n"/>
      <c r="BW104" s="207" t="n"/>
      <c r="BX104" s="207" t="n"/>
      <c r="BY104" s="204" t="n"/>
      <c r="BZ104" s="148" t="n"/>
      <c r="CA104" s="204" t="n"/>
      <c r="CB104" s="208" t="n"/>
      <c r="CC104" s="139" t="n"/>
      <c r="CD104" s="204" t="n"/>
      <c r="CE104" s="204" t="n"/>
      <c r="CF104" s="207" t="n"/>
      <c r="CG104" s="208" t="n"/>
      <c r="CH104" s="207" t="n"/>
      <c r="CI104" s="208" t="n"/>
      <c r="CJ104" s="204" t="n"/>
      <c r="CK104" s="208" t="n"/>
      <c r="CL104" s="208" t="n"/>
      <c r="CM104" s="208" t="n"/>
      <c r="CN104" s="78" t="n"/>
      <c r="CO104" s="209" t="n"/>
      <c r="CP104" s="204" t="n"/>
      <c r="CQ104" s="204" t="n"/>
      <c r="CR104" s="204" t="n"/>
      <c r="CS104" s="204" t="n"/>
      <c r="CT104" s="204" t="n"/>
      <c r="CU104" s="204" t="n"/>
      <c r="CV104" s="204" t="n"/>
      <c r="CW104" s="204" t="n"/>
      <c r="CX104" s="190" t="n"/>
    </row>
    <row r="105">
      <c r="BF105" s="78" t="n"/>
      <c r="BG105" s="78" t="n"/>
      <c r="BH105" s="78" t="n"/>
      <c r="BI105" s="78" t="n"/>
      <c r="BJ105" s="139" t="n"/>
      <c r="BK105" s="204" t="n"/>
      <c r="BL105" s="141" t="n"/>
      <c r="BM105" s="205" t="n"/>
      <c r="BN105" s="205" t="n"/>
      <c r="BO105" s="206" t="n"/>
      <c r="BP105" s="144" t="n"/>
      <c r="BQ105" s="141" t="n"/>
      <c r="BR105" s="207" t="n"/>
      <c r="BS105" s="207" t="n"/>
      <c r="BT105" s="207" t="n"/>
      <c r="BU105" s="207" t="n"/>
      <c r="BV105" s="208" t="n"/>
      <c r="BW105" s="207" t="n"/>
      <c r="BX105" s="207" t="n"/>
      <c r="BY105" s="204" t="n"/>
      <c r="BZ105" s="148" t="n"/>
      <c r="CA105" s="204" t="n"/>
      <c r="CB105" s="208" t="n"/>
      <c r="CC105" s="139" t="n"/>
      <c r="CD105" s="204" t="n"/>
      <c r="CE105" s="204" t="n"/>
      <c r="CF105" s="207" t="n"/>
      <c r="CG105" s="208" t="n"/>
      <c r="CH105" s="207" t="n"/>
      <c r="CI105" s="208" t="n"/>
      <c r="CJ105" s="204" t="n"/>
      <c r="CK105" s="208" t="n"/>
      <c r="CL105" s="208" t="n"/>
      <c r="CM105" s="208" t="n"/>
      <c r="CN105" s="78" t="n"/>
      <c r="CO105" s="209" t="n"/>
      <c r="CP105" s="204" t="n"/>
      <c r="CQ105" s="204" t="n"/>
      <c r="CR105" s="204" t="n"/>
      <c r="CS105" s="204" t="n"/>
      <c r="CT105" s="204" t="n"/>
      <c r="CU105" s="204" t="n"/>
      <c r="CV105" s="204" t="n"/>
      <c r="CW105" s="204" t="n"/>
      <c r="CX105" s="190" t="n"/>
    </row>
    <row r="106">
      <c r="BF106" s="78" t="n"/>
      <c r="BG106" s="78" t="n"/>
      <c r="BH106" s="78" t="n"/>
      <c r="BI106" s="78" t="n"/>
      <c r="BJ106" s="139" t="n"/>
      <c r="BK106" s="204" t="n"/>
      <c r="BL106" s="141" t="n"/>
      <c r="BM106" s="205" t="n"/>
      <c r="BN106" s="205" t="n"/>
      <c r="BO106" s="206" t="n"/>
      <c r="BP106" s="144" t="n"/>
      <c r="BQ106" s="141" t="n"/>
      <c r="BR106" s="207" t="n"/>
      <c r="BS106" s="207" t="n"/>
      <c r="BT106" s="207" t="n"/>
      <c r="BU106" s="207" t="n"/>
      <c r="BV106" s="208" t="n"/>
      <c r="BW106" s="207" t="n"/>
      <c r="BX106" s="207" t="n"/>
      <c r="BY106" s="204" t="n"/>
      <c r="BZ106" s="148" t="n"/>
      <c r="CA106" s="204" t="n"/>
      <c r="CB106" s="208" t="n"/>
      <c r="CC106" s="139" t="n"/>
      <c r="CD106" s="204" t="n"/>
      <c r="CE106" s="204" t="n"/>
      <c r="CF106" s="207" t="n"/>
      <c r="CG106" s="208" t="n"/>
      <c r="CH106" s="207" t="n"/>
      <c r="CI106" s="208" t="n"/>
      <c r="CJ106" s="204" t="n"/>
      <c r="CK106" s="208" t="n"/>
      <c r="CL106" s="208" t="n"/>
      <c r="CM106" s="208" t="n"/>
      <c r="CN106" s="78" t="n"/>
      <c r="CO106" s="209" t="n"/>
      <c r="CP106" s="204" t="n"/>
      <c r="CQ106" s="204" t="n"/>
      <c r="CR106" s="204" t="n"/>
      <c r="CS106" s="204" t="n"/>
      <c r="CT106" s="204" t="n"/>
      <c r="CU106" s="204" t="n"/>
      <c r="CV106" s="204" t="n"/>
      <c r="CW106" s="204" t="n"/>
      <c r="CX106" s="190" t="n"/>
    </row>
    <row r="107">
      <c r="BF107" s="78" t="n"/>
      <c r="BG107" s="78" t="n"/>
      <c r="BH107" s="78" t="n"/>
      <c r="BI107" s="78" t="n"/>
      <c r="BJ107" s="139" t="n"/>
      <c r="BK107" s="204" t="n"/>
      <c r="BL107" s="141" t="n"/>
      <c r="BM107" s="205" t="n"/>
      <c r="BN107" s="205" t="n"/>
      <c r="BO107" s="206" t="n"/>
      <c r="BP107" s="144" t="n"/>
      <c r="BQ107" s="141" t="n"/>
      <c r="BR107" s="207" t="n"/>
      <c r="BS107" s="207" t="n"/>
      <c r="BT107" s="207" t="n"/>
      <c r="BU107" s="207" t="n"/>
      <c r="BV107" s="208" t="n"/>
      <c r="BW107" s="207" t="n"/>
      <c r="BX107" s="207" t="n"/>
      <c r="BY107" s="204" t="n"/>
      <c r="BZ107" s="148" t="n"/>
      <c r="CA107" s="204" t="n"/>
      <c r="CB107" s="208" t="n"/>
      <c r="CC107" s="139" t="n"/>
      <c r="CD107" s="204" t="n"/>
      <c r="CE107" s="204" t="n"/>
      <c r="CF107" s="207" t="n"/>
      <c r="CG107" s="208" t="n"/>
      <c r="CH107" s="207" t="n"/>
      <c r="CI107" s="208" t="n"/>
      <c r="CJ107" s="204" t="n"/>
      <c r="CK107" s="208" t="n"/>
      <c r="CL107" s="208" t="n"/>
      <c r="CM107" s="208" t="n"/>
      <c r="CN107" s="78" t="n"/>
      <c r="CO107" s="209" t="n"/>
      <c r="CP107" s="204" t="n"/>
      <c r="CQ107" s="204" t="n"/>
      <c r="CR107" s="204" t="n"/>
      <c r="CS107" s="204" t="n"/>
      <c r="CT107" s="204" t="n"/>
      <c r="CU107" s="204" t="n"/>
      <c r="CV107" s="204" t="n"/>
      <c r="CW107" s="204" t="n"/>
      <c r="CX107" s="190" t="n"/>
    </row>
    <row r="108">
      <c r="BF108" s="78" t="n"/>
      <c r="BG108" s="78" t="n"/>
      <c r="BH108" s="78" t="n"/>
      <c r="BI108" s="78" t="n"/>
      <c r="BJ108" s="139" t="n"/>
      <c r="BK108" s="204" t="n"/>
      <c r="BL108" s="141" t="n"/>
      <c r="BM108" s="205" t="n"/>
      <c r="BN108" s="205" t="n"/>
      <c r="BO108" s="206" t="n"/>
      <c r="BP108" s="144" t="n"/>
      <c r="BQ108" s="141" t="n"/>
      <c r="BR108" s="207" t="n"/>
      <c r="BS108" s="207" t="n"/>
      <c r="BT108" s="207" t="n"/>
      <c r="BU108" s="207" t="n"/>
      <c r="BV108" s="208" t="n"/>
      <c r="BW108" s="207" t="n"/>
      <c r="BX108" s="207" t="n"/>
      <c r="BY108" s="204" t="n"/>
      <c r="BZ108" s="148" t="n"/>
      <c r="CA108" s="204" t="n"/>
      <c r="CB108" s="208" t="n"/>
      <c r="CC108" s="139" t="n"/>
      <c r="CD108" s="204" t="n"/>
      <c r="CE108" s="204" t="n"/>
      <c r="CF108" s="207" t="n"/>
      <c r="CG108" s="208" t="n"/>
      <c r="CH108" s="207" t="n"/>
      <c r="CI108" s="208" t="n"/>
      <c r="CJ108" s="204" t="n"/>
      <c r="CK108" s="208" t="n"/>
      <c r="CL108" s="208" t="n"/>
      <c r="CM108" s="208" t="n"/>
      <c r="CN108" s="78" t="n"/>
      <c r="CO108" s="209" t="n"/>
      <c r="CP108" s="204" t="n"/>
      <c r="CQ108" s="204" t="n"/>
      <c r="CR108" s="204" t="n"/>
      <c r="CS108" s="204" t="n"/>
      <c r="CT108" s="204" t="n"/>
      <c r="CU108" s="204" t="n"/>
      <c r="CV108" s="204" t="n"/>
      <c r="CW108" s="204" t="n"/>
      <c r="CX108" s="190" t="n"/>
    </row>
    <row r="109">
      <c r="BF109" s="78" t="n"/>
      <c r="BG109" s="78" t="n"/>
      <c r="BH109" s="78" t="n"/>
      <c r="BI109" s="78" t="n"/>
      <c r="BJ109" s="139" t="n"/>
      <c r="BK109" s="204" t="n"/>
      <c r="BL109" s="141" t="n"/>
      <c r="BM109" s="205" t="n"/>
      <c r="BN109" s="205" t="n"/>
      <c r="BO109" s="206" t="n"/>
      <c r="BP109" s="144" t="n"/>
      <c r="BQ109" s="141" t="n"/>
      <c r="BR109" s="207" t="n"/>
      <c r="BS109" s="207" t="n"/>
      <c r="BT109" s="207" t="n"/>
      <c r="BU109" s="207" t="n"/>
      <c r="BV109" s="208" t="n"/>
      <c r="BW109" s="207" t="n"/>
      <c r="BX109" s="207" t="n"/>
      <c r="BY109" s="204" t="n"/>
      <c r="BZ109" s="148" t="n"/>
      <c r="CA109" s="204" t="n"/>
      <c r="CB109" s="208" t="n"/>
      <c r="CC109" s="139" t="n"/>
      <c r="CD109" s="204" t="n"/>
      <c r="CE109" s="204" t="n"/>
      <c r="CF109" s="207" t="n"/>
      <c r="CG109" s="208" t="n"/>
      <c r="CH109" s="207" t="n"/>
      <c r="CI109" s="208" t="n"/>
      <c r="CJ109" s="204" t="n"/>
      <c r="CK109" s="208" t="n"/>
      <c r="CL109" s="208" t="n"/>
      <c r="CM109" s="208" t="n"/>
      <c r="CN109" s="78" t="n"/>
      <c r="CO109" s="209" t="n"/>
      <c r="CP109" s="204" t="n"/>
      <c r="CQ109" s="204" t="n"/>
      <c r="CR109" s="204" t="n"/>
      <c r="CS109" s="204" t="n"/>
      <c r="CT109" s="204" t="n"/>
      <c r="CU109" s="204" t="n"/>
      <c r="CV109" s="204" t="n"/>
      <c r="CW109" s="204" t="n"/>
      <c r="CX109" s="190" t="n"/>
    </row>
    <row r="110">
      <c r="BF110" s="78" t="n"/>
      <c r="BG110" s="78" t="n"/>
      <c r="BH110" s="78" t="n"/>
      <c r="BI110" s="78" t="n"/>
      <c r="BJ110" s="139" t="n"/>
      <c r="BK110" s="204" t="n"/>
      <c r="BL110" s="141" t="n"/>
      <c r="BM110" s="205" t="n"/>
      <c r="BN110" s="205" t="n"/>
      <c r="BO110" s="206" t="n"/>
      <c r="BP110" s="144" t="n"/>
      <c r="BQ110" s="141" t="n"/>
      <c r="BR110" s="207" t="n"/>
      <c r="BS110" s="207" t="n"/>
      <c r="BT110" s="207" t="n"/>
      <c r="BU110" s="207" t="n"/>
      <c r="BV110" s="208" t="n"/>
      <c r="BW110" s="207" t="n"/>
      <c r="BX110" s="207" t="n"/>
      <c r="BY110" s="204" t="n"/>
      <c r="BZ110" s="148" t="n"/>
      <c r="CA110" s="204" t="n"/>
      <c r="CB110" s="208" t="n"/>
      <c r="CC110" s="139" t="n"/>
      <c r="CD110" s="204" t="n"/>
      <c r="CE110" s="204" t="n"/>
      <c r="CF110" s="207" t="n"/>
      <c r="CG110" s="208" t="n"/>
      <c r="CH110" s="207" t="n"/>
      <c r="CI110" s="208" t="n"/>
      <c r="CJ110" s="204" t="n"/>
      <c r="CK110" s="208" t="n"/>
      <c r="CL110" s="208" t="n"/>
      <c r="CM110" s="208" t="n"/>
      <c r="CN110" s="78" t="n"/>
      <c r="CO110" s="209" t="n"/>
      <c r="CP110" s="204" t="n"/>
      <c r="CQ110" s="204" t="n"/>
      <c r="CR110" s="204" t="n"/>
      <c r="CS110" s="204" t="n"/>
      <c r="CT110" s="204" t="n"/>
      <c r="CU110" s="204" t="n"/>
      <c r="CV110" s="204" t="n"/>
      <c r="CW110" s="204" t="n"/>
      <c r="CX110" s="190" t="n"/>
    </row>
    <row r="111">
      <c r="BF111" s="78" t="n"/>
      <c r="BG111" s="78" t="n"/>
      <c r="BH111" s="78" t="n"/>
      <c r="BI111" s="78" t="n"/>
      <c r="BJ111" s="139" t="n"/>
      <c r="BK111" s="204" t="n"/>
      <c r="BL111" s="141" t="n"/>
      <c r="BM111" s="205" t="n"/>
      <c r="BN111" s="205" t="n"/>
      <c r="BO111" s="206" t="n"/>
      <c r="BP111" s="144" t="n"/>
      <c r="BQ111" s="141" t="n"/>
      <c r="BR111" s="207" t="n"/>
      <c r="BS111" s="207" t="n"/>
      <c r="BT111" s="207" t="n"/>
      <c r="BU111" s="207" t="n"/>
      <c r="BV111" s="208" t="n"/>
      <c r="BW111" s="207" t="n"/>
      <c r="BX111" s="207" t="n"/>
      <c r="BY111" s="204" t="n"/>
      <c r="BZ111" s="148" t="n"/>
      <c r="CA111" s="204" t="n"/>
      <c r="CB111" s="208" t="n"/>
      <c r="CC111" s="139" t="n"/>
      <c r="CD111" s="204" t="n"/>
      <c r="CE111" s="204" t="n"/>
      <c r="CF111" s="207" t="n"/>
      <c r="CG111" s="208" t="n"/>
      <c r="CH111" s="207" t="n"/>
      <c r="CI111" s="208" t="n"/>
      <c r="CJ111" s="204" t="n"/>
      <c r="CK111" s="208" t="n"/>
      <c r="CL111" s="208" t="n"/>
      <c r="CM111" s="208" t="n"/>
      <c r="CN111" s="78" t="n"/>
      <c r="CO111" s="209" t="n"/>
      <c r="CP111" s="204" t="n"/>
      <c r="CQ111" s="204" t="n"/>
      <c r="CR111" s="204" t="n"/>
      <c r="CS111" s="204" t="n"/>
      <c r="CT111" s="204" t="n"/>
      <c r="CU111" s="204" t="n"/>
      <c r="CV111" s="204" t="n"/>
      <c r="CW111" s="204" t="n"/>
      <c r="CX111" s="190" t="n"/>
    </row>
    <row r="112">
      <c r="AR112" s="151" t="n"/>
      <c r="BF112" s="78" t="n"/>
      <c r="BG112" s="78" t="n"/>
      <c r="BH112" s="78" t="n"/>
      <c r="BI112" s="78" t="n"/>
      <c r="BJ112" s="139" t="n"/>
      <c r="BK112" s="204" t="n"/>
      <c r="BL112" s="141" t="n"/>
      <c r="BM112" s="205" t="n"/>
      <c r="BN112" s="205" t="n"/>
      <c r="BO112" s="206" t="n"/>
      <c r="BP112" s="144" t="n"/>
      <c r="BQ112" s="141" t="n"/>
      <c r="BR112" s="207" t="n"/>
      <c r="BS112" s="207" t="n"/>
      <c r="BT112" s="207" t="n"/>
      <c r="BU112" s="207" t="n"/>
      <c r="BV112" s="208" t="n"/>
      <c r="BW112" s="207" t="n"/>
      <c r="BX112" s="207" t="n"/>
      <c r="BY112" s="204" t="n"/>
      <c r="BZ112" s="148" t="n"/>
      <c r="CA112" s="204" t="n"/>
      <c r="CB112" s="208" t="n"/>
      <c r="CC112" s="139" t="n"/>
      <c r="CD112" s="204" t="n"/>
      <c r="CE112" s="204" t="n"/>
      <c r="CF112" s="207" t="n"/>
      <c r="CG112" s="208" t="n"/>
      <c r="CH112" s="207" t="n"/>
      <c r="CI112" s="208" t="n"/>
      <c r="CJ112" s="204" t="n"/>
      <c r="CK112" s="208" t="n"/>
      <c r="CL112" s="208" t="n"/>
      <c r="CM112" s="208" t="n"/>
      <c r="CN112" s="78" t="n"/>
      <c r="CO112" s="209" t="n"/>
      <c r="CP112" s="204" t="n"/>
      <c r="CQ112" s="204" t="n"/>
      <c r="CR112" s="204" t="n"/>
      <c r="CS112" s="204" t="n"/>
      <c r="CT112" s="204" t="n"/>
      <c r="CU112" s="204" t="n"/>
      <c r="CV112" s="204" t="n"/>
      <c r="CW112" s="204" t="n"/>
      <c r="CX112" s="190" t="n"/>
    </row>
    <row r="113">
      <c r="AR113" s="151" t="n"/>
      <c r="BF113" s="78" t="n"/>
      <c r="BG113" s="78" t="n"/>
      <c r="BH113" s="78" t="n"/>
      <c r="BI113" s="78" t="n"/>
      <c r="BJ113" s="139" t="n"/>
      <c r="BK113" s="204" t="n"/>
      <c r="BL113" s="141" t="n"/>
      <c r="BM113" s="205" t="n"/>
      <c r="BN113" s="205" t="n"/>
      <c r="BO113" s="206" t="n"/>
      <c r="BP113" s="144" t="n"/>
      <c r="BQ113" s="141" t="n"/>
      <c r="BR113" s="207" t="n"/>
      <c r="BS113" s="207" t="n"/>
      <c r="BT113" s="207" t="n"/>
      <c r="BU113" s="207" t="n"/>
      <c r="BV113" s="208" t="n"/>
      <c r="BW113" s="207" t="n"/>
      <c r="BX113" s="207" t="n"/>
      <c r="BY113" s="204" t="n"/>
      <c r="BZ113" s="148" t="n"/>
      <c r="CA113" s="204" t="n"/>
      <c r="CB113" s="208" t="n"/>
      <c r="CC113" s="139" t="n"/>
      <c r="CD113" s="204" t="n"/>
      <c r="CE113" s="204" t="n"/>
      <c r="CF113" s="207" t="n"/>
      <c r="CG113" s="208" t="n"/>
      <c r="CH113" s="207" t="n"/>
      <c r="CI113" s="208" t="n"/>
      <c r="CJ113" s="204" t="n"/>
      <c r="CK113" s="208" t="n"/>
      <c r="CL113" s="208" t="n"/>
      <c r="CM113" s="208" t="n"/>
      <c r="CN113" s="78" t="n"/>
      <c r="CO113" s="209" t="n"/>
      <c r="CP113" s="204" t="n"/>
      <c r="CQ113" s="204" t="n"/>
      <c r="CR113" s="204" t="n"/>
      <c r="CS113" s="204" t="n"/>
      <c r="CT113" s="204" t="n"/>
      <c r="CU113" s="204" t="n"/>
      <c r="CV113" s="204" t="n"/>
      <c r="CW113" s="204" t="n"/>
      <c r="CX113" s="190" t="n"/>
    </row>
    <row r="114">
      <c r="AR114" s="151" t="n"/>
      <c r="BF114" s="78" t="n"/>
      <c r="BG114" s="78" t="n"/>
      <c r="BH114" s="78" t="n"/>
      <c r="BI114" s="78" t="n"/>
      <c r="BJ114" s="139" t="n"/>
      <c r="BK114" s="204" t="n"/>
      <c r="BL114" s="141" t="n"/>
      <c r="BM114" s="205" t="n"/>
      <c r="BN114" s="205" t="n"/>
      <c r="BO114" s="206" t="n"/>
      <c r="BP114" s="144" t="n"/>
      <c r="BQ114" s="141" t="n"/>
      <c r="BR114" s="207" t="n"/>
      <c r="BS114" s="207" t="n"/>
      <c r="BT114" s="207" t="n"/>
      <c r="BU114" s="207" t="n"/>
      <c r="BV114" s="208" t="n"/>
      <c r="BW114" s="207" t="n"/>
      <c r="BX114" s="207" t="n"/>
      <c r="BY114" s="204" t="n"/>
      <c r="BZ114" s="148" t="n"/>
      <c r="CA114" s="204" t="n"/>
      <c r="CB114" s="208" t="n"/>
      <c r="CC114" s="139" t="n"/>
      <c r="CD114" s="204" t="n"/>
      <c r="CE114" s="204" t="n"/>
      <c r="CF114" s="207" t="n"/>
      <c r="CG114" s="208" t="n"/>
      <c r="CH114" s="207" t="n"/>
      <c r="CI114" s="208" t="n"/>
      <c r="CJ114" s="204" t="n"/>
      <c r="CK114" s="208" t="n"/>
      <c r="CL114" s="208" t="n"/>
      <c r="CM114" s="208" t="n"/>
      <c r="CN114" s="78" t="n"/>
      <c r="CO114" s="209" t="n"/>
      <c r="CP114" s="204" t="n"/>
      <c r="CQ114" s="204" t="n"/>
      <c r="CR114" s="204" t="n"/>
      <c r="CS114" s="204" t="n"/>
      <c r="CT114" s="204" t="n"/>
      <c r="CU114" s="204" t="n"/>
      <c r="CV114" s="204" t="n"/>
      <c r="CW114" s="204" t="n"/>
      <c r="CX114" s="190" t="n"/>
    </row>
    <row r="115">
      <c r="BF115" s="78" t="n"/>
      <c r="BG115" s="78" t="n"/>
      <c r="BH115" s="78" t="n"/>
      <c r="BI115" s="78" t="n"/>
      <c r="BJ115" s="139" t="n"/>
      <c r="BK115" s="204" t="n"/>
      <c r="BL115" s="141" t="n"/>
      <c r="BM115" s="205" t="n"/>
      <c r="BN115" s="205" t="n"/>
      <c r="BO115" s="206" t="n"/>
      <c r="BP115" s="144" t="n"/>
      <c r="BQ115" s="141" t="n"/>
      <c r="BR115" s="207" t="n"/>
      <c r="BS115" s="207" t="n"/>
      <c r="BT115" s="207" t="n"/>
      <c r="BU115" s="207" t="n"/>
      <c r="BV115" s="208" t="n"/>
      <c r="BW115" s="207" t="n"/>
      <c r="BX115" s="207" t="n"/>
      <c r="BY115" s="204" t="n"/>
      <c r="BZ115" s="148" t="n"/>
      <c r="CA115" s="204" t="n"/>
      <c r="CB115" s="208" t="n"/>
      <c r="CC115" s="139" t="n"/>
      <c r="CD115" s="204" t="n"/>
      <c r="CE115" s="204" t="n"/>
      <c r="CF115" s="207" t="n"/>
      <c r="CG115" s="208" t="n"/>
      <c r="CH115" s="207" t="n"/>
      <c r="CI115" s="208" t="n"/>
      <c r="CJ115" s="204" t="n"/>
      <c r="CK115" s="208" t="n"/>
      <c r="CL115" s="208" t="n"/>
      <c r="CM115" s="208" t="n"/>
      <c r="CN115" s="78" t="n"/>
      <c r="CO115" s="209" t="n"/>
      <c r="CP115" s="204" t="n"/>
      <c r="CQ115" s="204" t="n"/>
      <c r="CR115" s="204" t="n"/>
      <c r="CS115" s="204" t="n"/>
      <c r="CT115" s="204" t="n"/>
      <c r="CU115" s="204" t="n"/>
      <c r="CV115" s="204" t="n"/>
      <c r="CW115" s="204" t="n"/>
      <c r="CX115" s="190" t="n"/>
    </row>
    <row r="116">
      <c r="BF116" s="78" t="n"/>
      <c r="BG116" s="78" t="n"/>
      <c r="BH116" s="78" t="n"/>
      <c r="BI116" s="78" t="n"/>
      <c r="BJ116" s="139" t="n"/>
      <c r="BK116" s="204" t="n"/>
      <c r="BL116" s="141" t="n"/>
      <c r="BM116" s="205" t="n"/>
      <c r="BN116" s="205" t="n"/>
      <c r="BO116" s="206" t="n"/>
      <c r="BP116" s="144" t="n"/>
      <c r="BQ116" s="141" t="n"/>
      <c r="BR116" s="207" t="n"/>
      <c r="BS116" s="207" t="n"/>
      <c r="BT116" s="207" t="n"/>
      <c r="BU116" s="207" t="n"/>
      <c r="BV116" s="208" t="n"/>
      <c r="BW116" s="207" t="n"/>
      <c r="BX116" s="207" t="n"/>
      <c r="BY116" s="204" t="n"/>
      <c r="BZ116" s="148" t="n"/>
      <c r="CA116" s="204" t="n"/>
      <c r="CB116" s="208" t="n"/>
      <c r="CC116" s="139" t="n"/>
      <c r="CD116" s="204" t="n"/>
      <c r="CE116" s="204" t="n"/>
      <c r="CF116" s="207" t="n"/>
      <c r="CG116" s="208" t="n"/>
      <c r="CH116" s="207" t="n"/>
      <c r="CI116" s="208" t="n"/>
      <c r="CJ116" s="204" t="n"/>
      <c r="CK116" s="208" t="n"/>
      <c r="CL116" s="208" t="n"/>
      <c r="CM116" s="208" t="n"/>
      <c r="CN116" s="78" t="n"/>
      <c r="CO116" s="209" t="n"/>
      <c r="CP116" s="204" t="n"/>
      <c r="CQ116" s="204" t="n"/>
      <c r="CR116" s="204" t="n"/>
      <c r="CS116" s="204" t="n"/>
      <c r="CT116" s="204" t="n"/>
      <c r="CU116" s="204" t="n"/>
      <c r="CV116" s="204" t="n"/>
      <c r="CW116" s="204" t="n"/>
      <c r="CX116" s="190" t="n"/>
    </row>
    <row r="117">
      <c r="BF117" s="78" t="n"/>
      <c r="BG117" s="78" t="n"/>
      <c r="BH117" s="78" t="n"/>
      <c r="BI117" s="78" t="n"/>
      <c r="BJ117" s="139" t="n"/>
      <c r="BK117" s="204" t="n"/>
      <c r="BL117" s="141" t="n"/>
      <c r="BM117" s="205" t="n"/>
      <c r="BN117" s="205" t="n"/>
      <c r="BO117" s="206" t="n"/>
      <c r="BP117" s="144" t="n"/>
      <c r="BQ117" s="141" t="n"/>
      <c r="BR117" s="207" t="n"/>
      <c r="BS117" s="207" t="n"/>
      <c r="BT117" s="207" t="n"/>
      <c r="BU117" s="207" t="n"/>
      <c r="BV117" s="208" t="n"/>
      <c r="BW117" s="207" t="n"/>
      <c r="BX117" s="207" t="n"/>
      <c r="BY117" s="204" t="n"/>
      <c r="BZ117" s="148" t="n"/>
      <c r="CA117" s="204" t="n"/>
      <c r="CB117" s="208" t="n"/>
      <c r="CC117" s="139" t="n"/>
      <c r="CD117" s="204" t="n"/>
      <c r="CE117" s="204" t="n"/>
      <c r="CF117" s="207" t="n"/>
      <c r="CG117" s="208" t="n"/>
      <c r="CH117" s="207" t="n"/>
      <c r="CI117" s="208" t="n"/>
      <c r="CJ117" s="204" t="n"/>
      <c r="CK117" s="208" t="n"/>
      <c r="CL117" s="208" t="n"/>
      <c r="CM117" s="208" t="n"/>
      <c r="CN117" s="78" t="n"/>
      <c r="CO117" s="209" t="n"/>
      <c r="CP117" s="204" t="n"/>
      <c r="CQ117" s="204" t="n"/>
      <c r="CR117" s="204" t="n"/>
      <c r="CS117" s="204" t="n"/>
      <c r="CT117" s="204" t="n"/>
      <c r="CU117" s="204" t="n"/>
      <c r="CV117" s="204" t="n"/>
      <c r="CW117" s="204" t="n"/>
      <c r="CX117" s="190" t="n"/>
    </row>
    <row r="118">
      <c r="BF118" s="78" t="n"/>
      <c r="BG118" s="78" t="n"/>
      <c r="BH118" s="78" t="n"/>
      <c r="BI118" s="78" t="n"/>
      <c r="BJ118" s="139" t="n"/>
      <c r="BK118" s="204" t="n"/>
      <c r="BL118" s="141" t="n"/>
      <c r="BM118" s="205" t="n"/>
      <c r="BN118" s="205" t="n"/>
      <c r="BO118" s="206" t="n"/>
      <c r="BP118" s="144" t="n"/>
      <c r="BQ118" s="141" t="n"/>
      <c r="BR118" s="207" t="n"/>
      <c r="BS118" s="207" t="n"/>
      <c r="BT118" s="207" t="n"/>
      <c r="BU118" s="207" t="n"/>
      <c r="BV118" s="208" t="n"/>
      <c r="BW118" s="207" t="n"/>
      <c r="BX118" s="207" t="n"/>
      <c r="BY118" s="204" t="n"/>
      <c r="BZ118" s="148" t="n"/>
      <c r="CA118" s="204" t="n"/>
      <c r="CB118" s="208" t="n"/>
      <c r="CC118" s="139" t="n"/>
      <c r="CD118" s="204" t="n"/>
      <c r="CE118" s="204" t="n"/>
      <c r="CF118" s="207" t="n"/>
      <c r="CG118" s="208" t="n"/>
      <c r="CH118" s="207" t="n"/>
      <c r="CI118" s="208" t="n"/>
      <c r="CJ118" s="204" t="n"/>
      <c r="CK118" s="208" t="n"/>
      <c r="CL118" s="208" t="n"/>
      <c r="CM118" s="208" t="n"/>
      <c r="CN118" s="78" t="n"/>
      <c r="CO118" s="209" t="n"/>
      <c r="CP118" s="204" t="n"/>
      <c r="CQ118" s="204" t="n"/>
      <c r="CR118" s="204" t="n"/>
      <c r="CS118" s="204" t="n"/>
      <c r="CT118" s="204" t="n"/>
      <c r="CU118" s="204" t="n"/>
      <c r="CV118" s="204" t="n"/>
      <c r="CW118" s="204" t="n"/>
      <c r="CX118" s="190" t="n"/>
    </row>
    <row r="119">
      <c r="BF119" s="78" t="n"/>
      <c r="BG119" s="78" t="n"/>
      <c r="BH119" s="78" t="n"/>
      <c r="BI119" s="78" t="n"/>
      <c r="BJ119" s="139" t="n"/>
      <c r="BK119" s="204" t="n"/>
      <c r="BL119" s="141" t="n"/>
      <c r="BM119" s="205" t="n"/>
      <c r="BN119" s="205" t="n"/>
      <c r="BO119" s="206" t="n"/>
      <c r="BP119" s="144" t="n"/>
      <c r="BQ119" s="141" t="n"/>
      <c r="BR119" s="207" t="n"/>
      <c r="BS119" s="207" t="n"/>
      <c r="BT119" s="207" t="n"/>
      <c r="BU119" s="207" t="n"/>
      <c r="BV119" s="208" t="n"/>
      <c r="BW119" s="207" t="n"/>
      <c r="BX119" s="207" t="n"/>
      <c r="BY119" s="204" t="n"/>
      <c r="BZ119" s="148" t="n"/>
      <c r="CA119" s="204" t="n"/>
      <c r="CB119" s="208" t="n"/>
      <c r="CC119" s="139" t="n"/>
      <c r="CD119" s="204" t="n"/>
      <c r="CE119" s="204" t="n"/>
      <c r="CF119" s="207" t="n"/>
      <c r="CG119" s="208" t="n"/>
      <c r="CH119" s="207" t="n"/>
      <c r="CI119" s="208" t="n"/>
      <c r="CJ119" s="204" t="n"/>
      <c r="CK119" s="208" t="n"/>
      <c r="CL119" s="208" t="n"/>
      <c r="CM119" s="208" t="n"/>
      <c r="CN119" s="78" t="n"/>
      <c r="CO119" s="209" t="n"/>
      <c r="CP119" s="204" t="n"/>
      <c r="CQ119" s="204" t="n"/>
      <c r="CR119" s="204" t="n"/>
      <c r="CS119" s="204" t="n"/>
      <c r="CT119" s="204" t="n"/>
      <c r="CU119" s="204" t="n"/>
      <c r="CV119" s="204" t="n"/>
      <c r="CW119" s="204" t="n"/>
      <c r="CX119" s="190" t="n"/>
    </row>
    <row r="120">
      <c r="BF120" s="78" t="n"/>
      <c r="BG120" s="78" t="n"/>
      <c r="BH120" s="78" t="n"/>
      <c r="BI120" s="78" t="n"/>
      <c r="BJ120" s="139" t="n"/>
      <c r="BK120" s="204" t="n"/>
      <c r="BL120" s="141" t="n"/>
      <c r="BM120" s="205" t="n"/>
      <c r="BN120" s="205" t="n"/>
      <c r="BO120" s="206" t="n"/>
      <c r="BP120" s="144" t="n"/>
      <c r="BQ120" s="141" t="n"/>
      <c r="BR120" s="207" t="n"/>
      <c r="BS120" s="207" t="n"/>
      <c r="BT120" s="207" t="n"/>
      <c r="BU120" s="207" t="n"/>
      <c r="BV120" s="208" t="n"/>
      <c r="BW120" s="207" t="n"/>
      <c r="BX120" s="207" t="n"/>
      <c r="BY120" s="204" t="n"/>
      <c r="BZ120" s="148" t="n"/>
      <c r="CA120" s="204" t="n"/>
      <c r="CB120" s="208" t="n"/>
      <c r="CC120" s="139" t="n"/>
      <c r="CD120" s="204" t="n"/>
      <c r="CE120" s="204" t="n"/>
      <c r="CF120" s="207" t="n"/>
      <c r="CG120" s="208" t="n"/>
      <c r="CH120" s="207" t="n"/>
      <c r="CI120" s="208" t="n"/>
      <c r="CJ120" s="204" t="n"/>
      <c r="CK120" s="208" t="n"/>
      <c r="CL120" s="208" t="n"/>
      <c r="CM120" s="208" t="n"/>
      <c r="CN120" s="78" t="n"/>
      <c r="CO120" s="209" t="n"/>
      <c r="CP120" s="204" t="n"/>
      <c r="CQ120" s="204" t="n"/>
      <c r="CR120" s="204" t="n"/>
      <c r="CS120" s="204" t="n"/>
      <c r="CT120" s="204" t="n"/>
      <c r="CU120" s="204" t="n"/>
      <c r="CV120" s="204" t="n"/>
      <c r="CW120" s="204" t="n"/>
      <c r="CX120" s="190" t="n"/>
    </row>
    <row r="121">
      <c r="BF121" s="78" t="n"/>
      <c r="BG121" s="78" t="n"/>
      <c r="BH121" s="78" t="n"/>
      <c r="BI121" s="78" t="n"/>
      <c r="BJ121" s="139" t="n"/>
      <c r="BK121" s="204" t="n"/>
      <c r="BL121" s="141" t="n"/>
      <c r="BM121" s="205" t="n"/>
      <c r="BN121" s="205" t="n"/>
      <c r="BO121" s="206" t="n"/>
      <c r="BP121" s="144" t="n"/>
      <c r="BQ121" s="141" t="n"/>
      <c r="BR121" s="207" t="n"/>
      <c r="BS121" s="207" t="n"/>
      <c r="BT121" s="207" t="n"/>
      <c r="BU121" s="207" t="n"/>
      <c r="BV121" s="208" t="n"/>
      <c r="BW121" s="207" t="n"/>
      <c r="BX121" s="207" t="n"/>
      <c r="BY121" s="204" t="n"/>
      <c r="BZ121" s="148" t="n"/>
      <c r="CA121" s="204" t="n"/>
      <c r="CB121" s="208" t="n"/>
      <c r="CC121" s="139" t="n"/>
      <c r="CD121" s="204" t="n"/>
      <c r="CE121" s="204" t="n"/>
      <c r="CF121" s="207" t="n"/>
      <c r="CG121" s="208" t="n"/>
      <c r="CH121" s="207" t="n"/>
      <c r="CI121" s="208" t="n"/>
      <c r="CJ121" s="204" t="n"/>
      <c r="CK121" s="208" t="n"/>
      <c r="CL121" s="208" t="n"/>
      <c r="CM121" s="208" t="n"/>
      <c r="CN121" s="78" t="n"/>
      <c r="CO121" s="209" t="n"/>
      <c r="CP121" s="204" t="n"/>
      <c r="CQ121" s="204" t="n"/>
      <c r="CR121" s="204" t="n"/>
      <c r="CS121" s="204" t="n"/>
      <c r="CT121" s="204" t="n"/>
      <c r="CU121" s="204" t="n"/>
      <c r="CV121" s="204" t="n"/>
      <c r="CW121" s="204" t="n"/>
      <c r="CX121" s="190" t="n"/>
    </row>
    <row r="122">
      <c r="BF122" s="78" t="n"/>
      <c r="BG122" s="78" t="n"/>
      <c r="BH122" s="78" t="n"/>
      <c r="BI122" s="78" t="n"/>
      <c r="BJ122" s="139" t="n"/>
      <c r="BK122" s="204" t="n"/>
      <c r="BL122" s="141" t="n"/>
      <c r="BM122" s="205" t="n"/>
      <c r="BN122" s="205" t="n"/>
      <c r="BO122" s="206" t="n"/>
      <c r="BP122" s="144" t="n"/>
      <c r="BQ122" s="141" t="n"/>
      <c r="BR122" s="207" t="n"/>
      <c r="BS122" s="207" t="n"/>
      <c r="BT122" s="207" t="n"/>
      <c r="BU122" s="207" t="n"/>
      <c r="BV122" s="208" t="n"/>
      <c r="BW122" s="207" t="n"/>
      <c r="BX122" s="207" t="n"/>
      <c r="BY122" s="204" t="n"/>
      <c r="BZ122" s="148" t="n"/>
      <c r="CA122" s="204" t="n"/>
      <c r="CB122" s="208" t="n"/>
      <c r="CC122" s="139" t="n"/>
      <c r="CD122" s="204" t="n"/>
      <c r="CE122" s="204" t="n"/>
      <c r="CF122" s="207" t="n"/>
      <c r="CG122" s="208" t="n"/>
      <c r="CH122" s="207" t="n"/>
      <c r="CI122" s="208" t="n"/>
      <c r="CJ122" s="204" t="n"/>
      <c r="CK122" s="208" t="n"/>
      <c r="CL122" s="208" t="n"/>
      <c r="CM122" s="208" t="n"/>
      <c r="CN122" s="78" t="n"/>
      <c r="CO122" s="209" t="n"/>
      <c r="CP122" s="204" t="n"/>
      <c r="CQ122" s="204" t="n"/>
      <c r="CR122" s="204" t="n"/>
      <c r="CS122" s="204" t="n"/>
      <c r="CT122" s="204" t="n"/>
      <c r="CU122" s="204" t="n"/>
      <c r="CV122" s="204" t="n"/>
      <c r="CW122" s="204" t="n"/>
      <c r="CX122" s="190" t="n"/>
    </row>
    <row r="123">
      <c r="BF123" s="78" t="n"/>
      <c r="BG123" s="78" t="n"/>
      <c r="BH123" s="78" t="n"/>
      <c r="BI123" s="78" t="n"/>
      <c r="BJ123" s="139" t="n"/>
      <c r="BK123" s="204" t="n"/>
      <c r="BL123" s="141" t="n"/>
      <c r="BM123" s="205" t="n"/>
      <c r="BN123" s="205" t="n"/>
      <c r="BO123" s="206" t="n"/>
      <c r="BP123" s="144" t="n"/>
      <c r="BQ123" s="141" t="n"/>
      <c r="BR123" s="207" t="n"/>
      <c r="BS123" s="207" t="n"/>
      <c r="BT123" s="207" t="n"/>
      <c r="BU123" s="207" t="n"/>
      <c r="BV123" s="208" t="n"/>
      <c r="BW123" s="207" t="n"/>
      <c r="BX123" s="207" t="n"/>
      <c r="BY123" s="204" t="n"/>
      <c r="BZ123" s="148" t="n"/>
      <c r="CA123" s="204" t="n"/>
      <c r="CB123" s="208" t="n"/>
      <c r="CC123" s="139" t="n"/>
      <c r="CD123" s="204" t="n"/>
      <c r="CE123" s="204" t="n"/>
      <c r="CF123" s="207" t="n"/>
      <c r="CG123" s="208" t="n"/>
      <c r="CH123" s="207" t="n"/>
      <c r="CI123" s="208" t="n"/>
      <c r="CJ123" s="204" t="n"/>
      <c r="CK123" s="208" t="n"/>
      <c r="CL123" s="208" t="n"/>
      <c r="CM123" s="208" t="n"/>
      <c r="CN123" s="78" t="n"/>
      <c r="CO123" s="209" t="n"/>
      <c r="CP123" s="204" t="n"/>
      <c r="CQ123" s="204" t="n"/>
      <c r="CR123" s="204" t="n"/>
      <c r="CS123" s="204" t="n"/>
      <c r="CT123" s="204" t="n"/>
      <c r="CU123" s="204" t="n"/>
      <c r="CV123" s="204" t="n"/>
      <c r="CW123" s="204" t="n"/>
      <c r="CX123" s="190" t="n"/>
    </row>
    <row r="124">
      <c r="BF124" s="78" t="n"/>
      <c r="BG124" s="78" t="n"/>
      <c r="BH124" s="78" t="n"/>
      <c r="BI124" s="78" t="n"/>
      <c r="BJ124" s="139" t="n"/>
      <c r="BK124" s="204" t="n"/>
      <c r="BL124" s="141" t="n"/>
      <c r="BM124" s="205" t="n"/>
      <c r="BN124" s="205" t="n"/>
      <c r="BO124" s="206" t="n"/>
      <c r="BP124" s="144" t="n"/>
      <c r="BQ124" s="141" t="n"/>
      <c r="BR124" s="207" t="n"/>
      <c r="BS124" s="207" t="n"/>
      <c r="BT124" s="207" t="n"/>
      <c r="BU124" s="207" t="n"/>
      <c r="BV124" s="208" t="n"/>
      <c r="BW124" s="207" t="n"/>
      <c r="BX124" s="207" t="n"/>
      <c r="BY124" s="204" t="n"/>
      <c r="BZ124" s="148" t="n"/>
      <c r="CA124" s="204" t="n"/>
      <c r="CB124" s="208" t="n"/>
      <c r="CC124" s="139" t="n"/>
      <c r="CD124" s="204" t="n"/>
      <c r="CE124" s="204" t="n"/>
      <c r="CF124" s="207" t="n"/>
      <c r="CG124" s="208" t="n"/>
      <c r="CH124" s="207" t="n"/>
      <c r="CI124" s="208" t="n"/>
      <c r="CJ124" s="204" t="n"/>
      <c r="CK124" s="208" t="n"/>
      <c r="CL124" s="208" t="n"/>
      <c r="CM124" s="208" t="n"/>
      <c r="CN124" s="78" t="n"/>
      <c r="CO124" s="209" t="n"/>
      <c r="CP124" s="204" t="n"/>
      <c r="CQ124" s="204" t="n"/>
      <c r="CR124" s="204" t="n"/>
      <c r="CS124" s="204" t="n"/>
      <c r="CT124" s="204" t="n"/>
      <c r="CU124" s="204" t="n"/>
      <c r="CV124" s="204" t="n"/>
      <c r="CW124" s="204" t="n"/>
      <c r="CX124" s="190" t="n"/>
    </row>
    <row r="125">
      <c r="BF125" s="78" t="n"/>
      <c r="BG125" s="78" t="n"/>
      <c r="BH125" s="78" t="n"/>
      <c r="BI125" s="78" t="n"/>
      <c r="BJ125" s="139" t="n"/>
      <c r="BK125" s="204" t="n"/>
      <c r="BL125" s="141" t="n"/>
      <c r="BM125" s="205" t="n"/>
      <c r="BN125" s="205" t="n"/>
      <c r="BO125" s="206" t="n"/>
      <c r="BP125" s="144" t="n"/>
      <c r="BQ125" s="141" t="n"/>
      <c r="BR125" s="207" t="n"/>
      <c r="BS125" s="207" t="n"/>
      <c r="BT125" s="207" t="n"/>
      <c r="BU125" s="207" t="n"/>
      <c r="BV125" s="208" t="n"/>
      <c r="BW125" s="207" t="n"/>
      <c r="BX125" s="207" t="n"/>
      <c r="BY125" s="204" t="n"/>
      <c r="BZ125" s="148" t="n"/>
      <c r="CA125" s="204" t="n"/>
      <c r="CB125" s="208" t="n"/>
      <c r="CC125" s="139" t="n"/>
      <c r="CD125" s="204" t="n"/>
      <c r="CE125" s="204" t="n"/>
      <c r="CF125" s="207" t="n"/>
      <c r="CG125" s="208" t="n"/>
      <c r="CH125" s="207" t="n"/>
      <c r="CI125" s="208" t="n"/>
      <c r="CJ125" s="204" t="n"/>
      <c r="CK125" s="208" t="n"/>
      <c r="CL125" s="208" t="n"/>
      <c r="CM125" s="208" t="n"/>
      <c r="CN125" s="78" t="n"/>
      <c r="CO125" s="209" t="n"/>
      <c r="CP125" s="204" t="n"/>
      <c r="CQ125" s="204" t="n"/>
      <c r="CR125" s="204" t="n"/>
      <c r="CS125" s="204" t="n"/>
      <c r="CT125" s="204" t="n"/>
      <c r="CU125" s="204" t="n"/>
      <c r="CV125" s="204" t="n"/>
      <c r="CW125" s="204" t="n"/>
      <c r="CX125" s="190" t="n"/>
    </row>
    <row r="126">
      <c r="BF126" s="78" t="n"/>
      <c r="BG126" s="78" t="n"/>
      <c r="BH126" s="78" t="n"/>
      <c r="BI126" s="78" t="n"/>
      <c r="BJ126" s="139" t="n"/>
      <c r="BK126" s="204" t="n"/>
      <c r="BL126" s="141" t="n"/>
      <c r="BM126" s="205" t="n"/>
      <c r="BN126" s="205" t="n"/>
      <c r="BO126" s="206" t="n"/>
      <c r="BP126" s="144" t="n"/>
      <c r="BQ126" s="141" t="n"/>
      <c r="BR126" s="207" t="n"/>
      <c r="BS126" s="207" t="n"/>
      <c r="BT126" s="207" t="n"/>
      <c r="BU126" s="207" t="n"/>
      <c r="BV126" s="208" t="n"/>
      <c r="BW126" s="207" t="n"/>
      <c r="BX126" s="207" t="n"/>
      <c r="BY126" s="204" t="n"/>
      <c r="BZ126" s="148" t="n"/>
      <c r="CA126" s="204" t="n"/>
      <c r="CB126" s="208" t="n"/>
      <c r="CC126" s="139" t="n"/>
      <c r="CD126" s="204" t="n"/>
      <c r="CE126" s="204" t="n"/>
      <c r="CF126" s="207" t="n"/>
      <c r="CG126" s="208" t="n"/>
      <c r="CH126" s="207" t="n"/>
      <c r="CI126" s="208" t="n"/>
      <c r="CJ126" s="204" t="n"/>
      <c r="CK126" s="208" t="n"/>
      <c r="CL126" s="208" t="n"/>
      <c r="CM126" s="208" t="n"/>
      <c r="CN126" s="78" t="n"/>
      <c r="CO126" s="209" t="n"/>
      <c r="CP126" s="204" t="n"/>
      <c r="CQ126" s="204" t="n"/>
      <c r="CR126" s="204" t="n"/>
      <c r="CS126" s="204" t="n"/>
      <c r="CT126" s="204" t="n"/>
      <c r="CU126" s="204" t="n"/>
      <c r="CV126" s="204" t="n"/>
      <c r="CW126" s="204" t="n"/>
      <c r="CX126" s="190" t="n"/>
    </row>
    <row r="127">
      <c r="BF127" s="78" t="n"/>
      <c r="BG127" s="78" t="n"/>
      <c r="BH127" s="78" t="n"/>
      <c r="BI127" s="78" t="n"/>
      <c r="BJ127" s="139" t="n"/>
      <c r="BK127" s="204" t="n"/>
      <c r="BL127" s="141" t="n"/>
      <c r="BM127" s="205" t="n"/>
      <c r="BN127" s="205" t="n"/>
      <c r="BO127" s="206" t="n"/>
      <c r="BP127" s="144" t="n"/>
      <c r="BQ127" s="141" t="n"/>
      <c r="BR127" s="207" t="n"/>
      <c r="BS127" s="207" t="n"/>
      <c r="BT127" s="207" t="n"/>
      <c r="BU127" s="207" t="n"/>
      <c r="BV127" s="208" t="n"/>
      <c r="BW127" s="207" t="n"/>
      <c r="BX127" s="207" t="n"/>
      <c r="BY127" s="204" t="n"/>
      <c r="BZ127" s="148" t="n"/>
      <c r="CA127" s="204" t="n"/>
      <c r="CB127" s="208" t="n"/>
      <c r="CC127" s="139" t="n"/>
      <c r="CD127" s="204" t="n"/>
      <c r="CE127" s="204" t="n"/>
      <c r="CF127" s="207" t="n"/>
      <c r="CG127" s="208" t="n"/>
      <c r="CH127" s="207" t="n"/>
      <c r="CI127" s="208" t="n"/>
      <c r="CJ127" s="204" t="n"/>
      <c r="CK127" s="208" t="n"/>
      <c r="CL127" s="208" t="n"/>
      <c r="CM127" s="208" t="n"/>
      <c r="CN127" s="78" t="n"/>
      <c r="CO127" s="209" t="n"/>
      <c r="CP127" s="204" t="n"/>
      <c r="CQ127" s="204" t="n"/>
      <c r="CR127" s="204" t="n"/>
      <c r="CS127" s="204" t="n"/>
      <c r="CT127" s="204" t="n"/>
      <c r="CU127" s="204" t="n"/>
      <c r="CV127" s="204" t="n"/>
      <c r="CW127" s="204" t="n"/>
      <c r="CX127" s="190" t="n"/>
    </row>
    <row r="128">
      <c r="BF128" s="78" t="n"/>
      <c r="BG128" s="78" t="n"/>
      <c r="BH128" s="78" t="n"/>
      <c r="BI128" s="78" t="n"/>
      <c r="BJ128" s="139" t="n"/>
      <c r="BK128" s="204" t="n"/>
      <c r="BL128" s="141" t="n"/>
      <c r="BM128" s="205" t="n"/>
      <c r="BN128" s="205" t="n"/>
      <c r="BO128" s="206" t="n"/>
      <c r="BP128" s="144" t="n"/>
      <c r="BQ128" s="141" t="n"/>
      <c r="BR128" s="207" t="n"/>
      <c r="BS128" s="207" t="n"/>
      <c r="BT128" s="207" t="n"/>
      <c r="BU128" s="207" t="n"/>
      <c r="BV128" s="208" t="n"/>
      <c r="BW128" s="207" t="n"/>
      <c r="BX128" s="207" t="n"/>
      <c r="BY128" s="204" t="n"/>
      <c r="BZ128" s="148" t="n"/>
      <c r="CA128" s="204" t="n"/>
      <c r="CB128" s="208" t="n"/>
      <c r="CC128" s="139" t="n"/>
      <c r="CD128" s="204" t="n"/>
      <c r="CE128" s="204" t="n"/>
      <c r="CF128" s="207" t="n"/>
      <c r="CG128" s="208" t="n"/>
      <c r="CH128" s="207" t="n"/>
      <c r="CI128" s="208" t="n"/>
      <c r="CJ128" s="204" t="n"/>
      <c r="CK128" s="208" t="n"/>
      <c r="CL128" s="208" t="n"/>
      <c r="CM128" s="208" t="n"/>
      <c r="CN128" s="78" t="n"/>
      <c r="CO128" s="209" t="n"/>
      <c r="CP128" s="204" t="n"/>
      <c r="CQ128" s="204" t="n"/>
      <c r="CR128" s="204" t="n"/>
      <c r="CS128" s="204" t="n"/>
      <c r="CT128" s="204" t="n"/>
      <c r="CU128" s="204" t="n"/>
      <c r="CV128" s="204" t="n"/>
      <c r="CW128" s="204" t="n"/>
      <c r="CX128" s="190" t="n"/>
    </row>
    <row r="129">
      <c r="BF129" s="78" t="n"/>
      <c r="BG129" s="78" t="n"/>
      <c r="BH129" s="78" t="n"/>
      <c r="BI129" s="78" t="n"/>
      <c r="BJ129" s="139" t="n"/>
      <c r="BK129" s="204" t="n"/>
      <c r="BL129" s="141" t="n"/>
      <c r="BM129" s="205" t="n"/>
      <c r="BN129" s="205" t="n"/>
      <c r="BO129" s="206" t="n"/>
      <c r="BP129" s="144" t="n"/>
      <c r="BQ129" s="141" t="n"/>
      <c r="BR129" s="207" t="n"/>
      <c r="BS129" s="207" t="n"/>
      <c r="BT129" s="207" t="n"/>
      <c r="BU129" s="207" t="n"/>
      <c r="BV129" s="208" t="n"/>
      <c r="BW129" s="207" t="n"/>
      <c r="BX129" s="207" t="n"/>
      <c r="BY129" s="204" t="n"/>
      <c r="BZ129" s="148" t="n"/>
      <c r="CA129" s="204" t="n"/>
      <c r="CB129" s="208" t="n"/>
      <c r="CC129" s="139" t="n"/>
      <c r="CD129" s="204" t="n"/>
      <c r="CE129" s="204" t="n"/>
      <c r="CF129" s="207" t="n"/>
      <c r="CG129" s="208" t="n"/>
      <c r="CH129" s="207" t="n"/>
      <c r="CI129" s="208" t="n"/>
      <c r="CJ129" s="204" t="n"/>
      <c r="CK129" s="208" t="n"/>
      <c r="CL129" s="208" t="n"/>
      <c r="CM129" s="208" t="n"/>
      <c r="CN129" s="78" t="n"/>
      <c r="CO129" s="209" t="n"/>
      <c r="CP129" s="204" t="n"/>
      <c r="CQ129" s="204" t="n"/>
      <c r="CR129" s="204" t="n"/>
      <c r="CS129" s="204" t="n"/>
      <c r="CT129" s="204" t="n"/>
      <c r="CU129" s="204" t="n"/>
      <c r="CV129" s="204" t="n"/>
      <c r="CW129" s="204" t="n"/>
      <c r="CX129" s="190" t="n"/>
    </row>
    <row r="130">
      <c r="BF130" s="78" t="n"/>
      <c r="BG130" s="78" t="n"/>
      <c r="BH130" s="78" t="n"/>
      <c r="BI130" s="78" t="n"/>
      <c r="BJ130" s="139" t="n"/>
      <c r="BK130" s="204" t="n"/>
      <c r="BL130" s="141" t="n"/>
      <c r="BM130" s="205" t="n"/>
      <c r="BN130" s="205" t="n"/>
      <c r="BO130" s="206" t="n"/>
      <c r="BP130" s="144" t="n"/>
      <c r="BQ130" s="141" t="n"/>
      <c r="BR130" s="207" t="n"/>
      <c r="BS130" s="207" t="n"/>
      <c r="BT130" s="207" t="n"/>
      <c r="BU130" s="207" t="n"/>
      <c r="BV130" s="208" t="n"/>
      <c r="BW130" s="207" t="n"/>
      <c r="BX130" s="207" t="n"/>
      <c r="BY130" s="204" t="n"/>
      <c r="BZ130" s="148" t="n"/>
      <c r="CA130" s="204" t="n"/>
      <c r="CB130" s="208" t="n"/>
      <c r="CC130" s="139" t="n"/>
      <c r="CD130" s="204" t="n"/>
      <c r="CE130" s="204" t="n"/>
      <c r="CF130" s="207" t="n"/>
      <c r="CG130" s="208" t="n"/>
      <c r="CH130" s="207" t="n"/>
      <c r="CI130" s="208" t="n"/>
      <c r="CJ130" s="204" t="n"/>
      <c r="CK130" s="208" t="n"/>
      <c r="CL130" s="208" t="n"/>
      <c r="CM130" s="208" t="n"/>
      <c r="CN130" s="78" t="n"/>
      <c r="CO130" s="209" t="n"/>
      <c r="CP130" s="204" t="n"/>
      <c r="CQ130" s="204" t="n"/>
      <c r="CR130" s="204" t="n"/>
      <c r="CS130" s="204" t="n"/>
      <c r="CT130" s="204" t="n"/>
      <c r="CU130" s="204" t="n"/>
      <c r="CV130" s="204" t="n"/>
      <c r="CW130" s="204" t="n"/>
      <c r="CX130" s="190" t="n"/>
    </row>
    <row r="131">
      <c r="BF131" s="78" t="n"/>
      <c r="BG131" s="78" t="n"/>
      <c r="BH131" s="78" t="n"/>
      <c r="BI131" s="78" t="n"/>
      <c r="BJ131" s="139" t="n"/>
      <c r="BK131" s="204" t="n"/>
      <c r="BL131" s="141" t="n"/>
      <c r="BM131" s="205" t="n"/>
      <c r="BN131" s="205" t="n"/>
      <c r="BO131" s="206" t="n"/>
      <c r="BP131" s="144" t="n"/>
      <c r="BQ131" s="141" t="n"/>
      <c r="BR131" s="207" t="n"/>
      <c r="BS131" s="207" t="n"/>
      <c r="BT131" s="207" t="n"/>
      <c r="BU131" s="207" t="n"/>
      <c r="BV131" s="208" t="n"/>
      <c r="BW131" s="207" t="n"/>
      <c r="BX131" s="207" t="n"/>
      <c r="BY131" s="204" t="n"/>
      <c r="BZ131" s="148" t="n"/>
      <c r="CA131" s="204" t="n"/>
      <c r="CB131" s="208" t="n"/>
      <c r="CC131" s="139" t="n"/>
      <c r="CD131" s="204" t="n"/>
      <c r="CE131" s="204" t="n"/>
      <c r="CF131" s="207" t="n"/>
      <c r="CG131" s="208" t="n"/>
      <c r="CH131" s="207" t="n"/>
      <c r="CI131" s="208" t="n"/>
      <c r="CJ131" s="204" t="n"/>
      <c r="CK131" s="208" t="n"/>
      <c r="CL131" s="208" t="n"/>
      <c r="CM131" s="208" t="n"/>
      <c r="CN131" s="78" t="n"/>
      <c r="CO131" s="209" t="n"/>
      <c r="CP131" s="204" t="n"/>
      <c r="CQ131" s="204" t="n"/>
      <c r="CR131" s="204" t="n"/>
      <c r="CS131" s="204" t="n"/>
      <c r="CT131" s="204" t="n"/>
      <c r="CU131" s="204" t="n"/>
      <c r="CV131" s="204" t="n"/>
      <c r="CW131" s="204" t="n"/>
      <c r="CX131" s="190" t="n"/>
    </row>
    <row r="132">
      <c r="BF132" s="78" t="n"/>
      <c r="BG132" s="78" t="n"/>
      <c r="BH132" s="78" t="n"/>
      <c r="BI132" s="78" t="n"/>
      <c r="BJ132" s="139" t="n"/>
      <c r="BK132" s="204" t="n"/>
      <c r="BL132" s="141" t="n"/>
      <c r="BM132" s="205" t="n"/>
      <c r="BN132" s="205" t="n"/>
      <c r="BO132" s="206" t="n"/>
      <c r="BP132" s="144" t="n"/>
      <c r="BQ132" s="141" t="n"/>
      <c r="BR132" s="207" t="n"/>
      <c r="BS132" s="207" t="n"/>
      <c r="BT132" s="207" t="n"/>
      <c r="BU132" s="207" t="n"/>
      <c r="BV132" s="208" t="n"/>
      <c r="BW132" s="207" t="n"/>
      <c r="BX132" s="207" t="n"/>
      <c r="BY132" s="204" t="n"/>
      <c r="BZ132" s="148" t="n"/>
      <c r="CA132" s="204" t="n"/>
      <c r="CB132" s="208" t="n"/>
      <c r="CC132" s="139" t="n"/>
      <c r="CD132" s="204" t="n"/>
      <c r="CE132" s="204" t="n"/>
      <c r="CF132" s="207" t="n"/>
      <c r="CG132" s="208" t="n"/>
      <c r="CH132" s="207" t="n"/>
      <c r="CI132" s="208" t="n"/>
      <c r="CJ132" s="204" t="n"/>
      <c r="CK132" s="208" t="n"/>
      <c r="CL132" s="208" t="n"/>
      <c r="CM132" s="208" t="n"/>
      <c r="CN132" s="78" t="n"/>
      <c r="CO132" s="209" t="n"/>
      <c r="CP132" s="204" t="n"/>
      <c r="CQ132" s="204" t="n"/>
      <c r="CR132" s="204" t="n"/>
      <c r="CS132" s="204" t="n"/>
      <c r="CT132" s="204" t="n"/>
      <c r="CU132" s="204" t="n"/>
      <c r="CV132" s="204" t="n"/>
      <c r="CW132" s="204" t="n"/>
      <c r="CX132" s="190" t="n"/>
    </row>
    <row r="133">
      <c r="BF133" s="78" t="n"/>
      <c r="BG133" s="78" t="n"/>
      <c r="BH133" s="78" t="n"/>
      <c r="BI133" s="78" t="n"/>
      <c r="BJ133" s="139" t="n"/>
      <c r="BK133" s="204" t="n"/>
      <c r="BL133" s="141" t="n"/>
      <c r="BM133" s="205" t="n"/>
      <c r="BN133" s="205" t="n"/>
      <c r="BO133" s="206" t="n"/>
      <c r="BP133" s="144" t="n"/>
      <c r="BQ133" s="141" t="n"/>
      <c r="BR133" s="207" t="n"/>
      <c r="BS133" s="207" t="n"/>
      <c r="BT133" s="207" t="n"/>
      <c r="BU133" s="207" t="n"/>
      <c r="BV133" s="208" t="n"/>
      <c r="BW133" s="207" t="n"/>
      <c r="BX133" s="207" t="n"/>
      <c r="BY133" s="204" t="n"/>
      <c r="BZ133" s="148" t="n"/>
      <c r="CA133" s="204" t="n"/>
      <c r="CB133" s="208" t="n"/>
      <c r="CC133" s="139" t="n"/>
      <c r="CD133" s="204" t="n"/>
      <c r="CE133" s="204" t="n"/>
      <c r="CF133" s="207" t="n"/>
      <c r="CG133" s="208" t="n"/>
      <c r="CH133" s="207" t="n"/>
      <c r="CI133" s="208" t="n"/>
      <c r="CJ133" s="204" t="n"/>
      <c r="CK133" s="208" t="n"/>
      <c r="CL133" s="208" t="n"/>
      <c r="CM133" s="208" t="n"/>
      <c r="CN133" s="78" t="n"/>
      <c r="CO133" s="209" t="n"/>
      <c r="CP133" s="204" t="n"/>
      <c r="CQ133" s="204" t="n"/>
      <c r="CR133" s="204" t="n"/>
      <c r="CS133" s="204" t="n"/>
      <c r="CT133" s="204" t="n"/>
      <c r="CU133" s="204" t="n"/>
      <c r="CV133" s="204" t="n"/>
      <c r="CW133" s="204" t="n"/>
      <c r="CX133" s="190" t="n"/>
    </row>
    <row r="134">
      <c r="BF134" s="78" t="n"/>
      <c r="BG134" s="78" t="n"/>
      <c r="BH134" s="78" t="n"/>
      <c r="BI134" s="78" t="n"/>
      <c r="BJ134" s="139" t="n"/>
      <c r="BK134" s="204" t="n"/>
      <c r="BL134" s="141" t="n"/>
      <c r="BM134" s="205" t="n"/>
      <c r="BN134" s="205" t="n"/>
      <c r="BO134" s="206" t="n"/>
      <c r="BP134" s="144" t="n"/>
      <c r="BQ134" s="141" t="n"/>
      <c r="BR134" s="207" t="n"/>
      <c r="BS134" s="207" t="n"/>
      <c r="BT134" s="207" t="n"/>
      <c r="BU134" s="207" t="n"/>
      <c r="BV134" s="208" t="n"/>
      <c r="BW134" s="207" t="n"/>
      <c r="BX134" s="207" t="n"/>
      <c r="BY134" s="204" t="n"/>
      <c r="BZ134" s="148" t="n"/>
      <c r="CA134" s="204" t="n"/>
      <c r="CB134" s="208" t="n"/>
      <c r="CC134" s="139" t="n"/>
      <c r="CD134" s="204" t="n"/>
      <c r="CE134" s="204" t="n"/>
      <c r="CF134" s="207" t="n"/>
      <c r="CG134" s="208" t="n"/>
      <c r="CH134" s="207" t="n"/>
      <c r="CI134" s="208" t="n"/>
      <c r="CJ134" s="204" t="n"/>
      <c r="CK134" s="208" t="n"/>
      <c r="CL134" s="208" t="n"/>
      <c r="CM134" s="208" t="n"/>
      <c r="CN134" s="78" t="n"/>
      <c r="CO134" s="209" t="n"/>
      <c r="CP134" s="204" t="n"/>
      <c r="CQ134" s="204" t="n"/>
      <c r="CR134" s="204" t="n"/>
      <c r="CS134" s="204" t="n"/>
      <c r="CT134" s="204" t="n"/>
      <c r="CU134" s="204" t="n"/>
      <c r="CV134" s="204" t="n"/>
      <c r="CW134" s="204" t="n"/>
      <c r="CX134" s="190" t="n"/>
    </row>
    <row r="135">
      <c r="BF135" s="78" t="n"/>
      <c r="BG135" s="78" t="n"/>
      <c r="BH135" s="78" t="n"/>
      <c r="BI135" s="78" t="n"/>
      <c r="BJ135" s="139" t="n"/>
      <c r="BK135" s="204" t="n"/>
      <c r="BL135" s="141" t="n"/>
      <c r="BM135" s="205" t="n"/>
      <c r="BN135" s="205" t="n"/>
      <c r="BO135" s="206" t="n"/>
      <c r="BP135" s="144" t="n"/>
      <c r="BQ135" s="141" t="n"/>
      <c r="BR135" s="207" t="n"/>
      <c r="BS135" s="207" t="n"/>
      <c r="BT135" s="207" t="n"/>
      <c r="BU135" s="207" t="n"/>
      <c r="BV135" s="208" t="n"/>
      <c r="BW135" s="207" t="n"/>
      <c r="BX135" s="207" t="n"/>
      <c r="BY135" s="204" t="n"/>
      <c r="BZ135" s="148" t="n"/>
      <c r="CA135" s="204" t="n"/>
      <c r="CB135" s="208" t="n"/>
      <c r="CC135" s="139" t="n"/>
      <c r="CD135" s="204" t="n"/>
      <c r="CE135" s="204" t="n"/>
      <c r="CF135" s="207" t="n"/>
      <c r="CG135" s="208" t="n"/>
      <c r="CH135" s="207" t="n"/>
      <c r="CI135" s="208" t="n"/>
      <c r="CJ135" s="204" t="n"/>
      <c r="CK135" s="208" t="n"/>
      <c r="CL135" s="208" t="n"/>
      <c r="CM135" s="208" t="n"/>
      <c r="CN135" s="78" t="n"/>
      <c r="CO135" s="209" t="n"/>
      <c r="CP135" s="204" t="n"/>
      <c r="CQ135" s="204" t="n"/>
      <c r="CR135" s="204" t="n"/>
      <c r="CS135" s="204" t="n"/>
      <c r="CT135" s="204" t="n"/>
      <c r="CU135" s="204" t="n"/>
      <c r="CV135" s="204" t="n"/>
      <c r="CW135" s="204" t="n"/>
      <c r="CX135" s="190" t="n"/>
    </row>
    <row r="136">
      <c r="BF136" s="78" t="n"/>
      <c r="BG136" s="78" t="n"/>
      <c r="BH136" s="78" t="n"/>
      <c r="BI136" s="78" t="n"/>
      <c r="BJ136" s="139" t="n"/>
      <c r="BK136" s="204" t="n"/>
      <c r="BL136" s="141" t="n"/>
      <c r="BM136" s="205" t="n"/>
      <c r="BN136" s="205" t="n"/>
      <c r="BO136" s="206" t="n"/>
      <c r="BP136" s="144" t="n"/>
      <c r="BQ136" s="141" t="n"/>
      <c r="BR136" s="207" t="n"/>
      <c r="BS136" s="207" t="n"/>
      <c r="BT136" s="207" t="n"/>
      <c r="BU136" s="207" t="n"/>
      <c r="BV136" s="208" t="n"/>
      <c r="BW136" s="207" t="n"/>
      <c r="BX136" s="207" t="n"/>
      <c r="BY136" s="204" t="n"/>
      <c r="BZ136" s="148" t="n"/>
      <c r="CA136" s="204" t="n"/>
      <c r="CB136" s="208" t="n"/>
      <c r="CC136" s="139" t="n"/>
      <c r="CD136" s="204" t="n"/>
      <c r="CE136" s="204" t="n"/>
      <c r="CF136" s="207" t="n"/>
      <c r="CG136" s="208" t="n"/>
      <c r="CH136" s="207" t="n"/>
      <c r="CI136" s="208" t="n"/>
      <c r="CJ136" s="204" t="n"/>
      <c r="CK136" s="208" t="n"/>
      <c r="CL136" s="208" t="n"/>
      <c r="CM136" s="208" t="n"/>
      <c r="CN136" s="78" t="n"/>
      <c r="CO136" s="209" t="n"/>
      <c r="CP136" s="204" t="n"/>
      <c r="CQ136" s="204" t="n"/>
      <c r="CR136" s="204" t="n"/>
      <c r="CS136" s="204" t="n"/>
      <c r="CT136" s="204" t="n"/>
      <c r="CU136" s="204" t="n"/>
      <c r="CV136" s="204" t="n"/>
      <c r="CW136" s="204" t="n"/>
      <c r="CX136" s="190" t="n"/>
    </row>
    <row r="137">
      <c r="BF137" s="78" t="n"/>
      <c r="BG137" s="78" t="n"/>
      <c r="BH137" s="78" t="n"/>
      <c r="BI137" s="78" t="n"/>
      <c r="BJ137" s="139" t="n"/>
      <c r="BK137" s="204" t="n"/>
      <c r="BL137" s="141" t="n"/>
      <c r="BM137" s="205" t="n"/>
      <c r="BN137" s="205" t="n"/>
      <c r="BO137" s="206" t="n"/>
      <c r="BP137" s="144" t="n"/>
      <c r="BQ137" s="141" t="n"/>
      <c r="BR137" s="207" t="n"/>
      <c r="BS137" s="207" t="n"/>
      <c r="BT137" s="207" t="n"/>
      <c r="BU137" s="207" t="n"/>
      <c r="BV137" s="208" t="n"/>
      <c r="BW137" s="207" t="n"/>
      <c r="BX137" s="207" t="n"/>
      <c r="BY137" s="204" t="n"/>
      <c r="BZ137" s="148" t="n"/>
      <c r="CA137" s="204" t="n"/>
      <c r="CB137" s="208" t="n"/>
      <c r="CC137" s="139" t="n"/>
      <c r="CD137" s="204" t="n"/>
      <c r="CE137" s="204" t="n"/>
      <c r="CF137" s="207" t="n"/>
      <c r="CG137" s="208" t="n"/>
      <c r="CH137" s="207" t="n"/>
      <c r="CI137" s="208" t="n"/>
      <c r="CJ137" s="204" t="n"/>
      <c r="CK137" s="208" t="n"/>
      <c r="CL137" s="208" t="n"/>
      <c r="CM137" s="208" t="n"/>
      <c r="CN137" s="78" t="n"/>
      <c r="CO137" s="209" t="n"/>
      <c r="CP137" s="204" t="n"/>
      <c r="CQ137" s="204" t="n"/>
      <c r="CR137" s="204" t="n"/>
      <c r="CS137" s="204" t="n"/>
      <c r="CT137" s="204" t="n"/>
      <c r="CU137" s="204" t="n"/>
      <c r="CV137" s="204" t="n"/>
      <c r="CW137" s="204" t="n"/>
      <c r="CX137" s="190" t="n"/>
    </row>
    <row r="138">
      <c r="BF138" s="78" t="n"/>
      <c r="BG138" s="78" t="n"/>
      <c r="BH138" s="78" t="n"/>
      <c r="BI138" s="78" t="n"/>
      <c r="BJ138" s="139" t="n"/>
      <c r="BK138" s="204" t="n"/>
      <c r="BL138" s="141" t="n"/>
      <c r="BM138" s="205" t="n"/>
      <c r="BN138" s="205" t="n"/>
      <c r="BO138" s="206" t="n"/>
      <c r="BP138" s="144" t="n"/>
      <c r="BQ138" s="141" t="n"/>
      <c r="BR138" s="207" t="n"/>
      <c r="BS138" s="207" t="n"/>
      <c r="BT138" s="207" t="n"/>
      <c r="BU138" s="207" t="n"/>
      <c r="BV138" s="208" t="n"/>
      <c r="BW138" s="207" t="n"/>
      <c r="BX138" s="207" t="n"/>
      <c r="BY138" s="204" t="n"/>
      <c r="BZ138" s="148" t="n"/>
      <c r="CA138" s="204" t="n"/>
      <c r="CB138" s="208" t="n"/>
      <c r="CC138" s="139" t="n"/>
      <c r="CD138" s="204" t="n"/>
      <c r="CE138" s="204" t="n"/>
      <c r="CF138" s="207" t="n"/>
      <c r="CG138" s="208" t="n"/>
      <c r="CH138" s="207" t="n"/>
      <c r="CI138" s="208" t="n"/>
      <c r="CJ138" s="204" t="n"/>
      <c r="CK138" s="208" t="n"/>
      <c r="CL138" s="208" t="n"/>
      <c r="CM138" s="208" t="n"/>
      <c r="CN138" s="78" t="n"/>
      <c r="CO138" s="209" t="n"/>
      <c r="CP138" s="204" t="n"/>
      <c r="CQ138" s="204" t="n"/>
      <c r="CR138" s="204" t="n"/>
      <c r="CS138" s="204" t="n"/>
      <c r="CT138" s="204" t="n"/>
      <c r="CU138" s="204" t="n"/>
      <c r="CV138" s="204" t="n"/>
      <c r="CW138" s="204" t="n"/>
      <c r="CX138" s="190" t="n"/>
    </row>
    <row r="139">
      <c r="BF139" s="78" t="n"/>
      <c r="BG139" s="78" t="n"/>
      <c r="BH139" s="78" t="n"/>
      <c r="BI139" s="78" t="n"/>
      <c r="BJ139" s="139" t="n"/>
      <c r="BK139" s="204" t="n"/>
      <c r="BL139" s="141" t="n"/>
      <c r="BM139" s="205" t="n"/>
      <c r="BN139" s="205" t="n"/>
      <c r="BO139" s="206" t="n"/>
      <c r="BP139" s="144" t="n"/>
      <c r="BQ139" s="141" t="n"/>
      <c r="BR139" s="207" t="n"/>
      <c r="BS139" s="207" t="n"/>
      <c r="BT139" s="207" t="n"/>
      <c r="BU139" s="207" t="n"/>
      <c r="BV139" s="208" t="n"/>
      <c r="BW139" s="207" t="n"/>
      <c r="BX139" s="207" t="n"/>
      <c r="BY139" s="204" t="n"/>
      <c r="BZ139" s="148" t="n"/>
      <c r="CA139" s="204" t="n"/>
      <c r="CB139" s="208" t="n"/>
      <c r="CC139" s="139" t="n"/>
      <c r="CD139" s="204" t="n"/>
      <c r="CE139" s="204" t="n"/>
      <c r="CF139" s="207" t="n"/>
      <c r="CG139" s="208" t="n"/>
      <c r="CH139" s="207" t="n"/>
      <c r="CI139" s="208" t="n"/>
      <c r="CJ139" s="204" t="n"/>
      <c r="CK139" s="208" t="n"/>
      <c r="CL139" s="208" t="n"/>
      <c r="CM139" s="208" t="n"/>
      <c r="CN139" s="78" t="n"/>
      <c r="CO139" s="209" t="n"/>
      <c r="CP139" s="204" t="n"/>
      <c r="CQ139" s="204" t="n"/>
      <c r="CR139" s="204" t="n"/>
      <c r="CS139" s="204" t="n"/>
      <c r="CT139" s="204" t="n"/>
      <c r="CU139" s="204" t="n"/>
      <c r="CV139" s="204" t="n"/>
      <c r="CW139" s="204" t="n"/>
      <c r="CX139" s="190" t="n"/>
    </row>
    <row r="140">
      <c r="BF140" s="78" t="n"/>
      <c r="BG140" s="78" t="n"/>
      <c r="BH140" s="78" t="n"/>
      <c r="BI140" s="78" t="n"/>
      <c r="BJ140" s="139" t="n"/>
      <c r="BK140" s="204" t="n"/>
      <c r="BL140" s="141" t="n"/>
      <c r="BM140" s="205" t="n"/>
      <c r="BN140" s="205" t="n"/>
      <c r="BO140" s="206" t="n"/>
      <c r="BP140" s="144" t="n"/>
      <c r="BQ140" s="141" t="n"/>
      <c r="BR140" s="207" t="n"/>
      <c r="BS140" s="207" t="n"/>
      <c r="BT140" s="207" t="n"/>
      <c r="BU140" s="207" t="n"/>
      <c r="BV140" s="208" t="n"/>
      <c r="BW140" s="207" t="n"/>
      <c r="BX140" s="207" t="n"/>
      <c r="BY140" s="204" t="n"/>
      <c r="BZ140" s="148" t="n"/>
      <c r="CA140" s="204" t="n"/>
      <c r="CB140" s="208" t="n"/>
      <c r="CC140" s="139" t="n"/>
      <c r="CD140" s="204" t="n"/>
      <c r="CE140" s="204" t="n"/>
      <c r="CF140" s="207" t="n"/>
      <c r="CG140" s="208" t="n"/>
      <c r="CH140" s="207" t="n"/>
      <c r="CI140" s="208" t="n"/>
      <c r="CJ140" s="204" t="n"/>
      <c r="CK140" s="208" t="n"/>
      <c r="CL140" s="208" t="n"/>
      <c r="CM140" s="208" t="n"/>
      <c r="CN140" s="78" t="n"/>
      <c r="CO140" s="209" t="n"/>
      <c r="CP140" s="204" t="n"/>
      <c r="CQ140" s="204" t="n"/>
      <c r="CR140" s="204" t="n"/>
      <c r="CS140" s="204" t="n"/>
      <c r="CT140" s="204" t="n"/>
      <c r="CU140" s="204" t="n"/>
      <c r="CV140" s="204" t="n"/>
      <c r="CW140" s="204" t="n"/>
      <c r="CX140" s="190" t="n"/>
    </row>
    <row r="141">
      <c r="BF141" s="78" t="n"/>
      <c r="BG141" s="78" t="n"/>
      <c r="BH141" s="78" t="n"/>
      <c r="BI141" s="78" t="n"/>
      <c r="BJ141" s="139" t="n"/>
      <c r="BK141" s="204" t="n"/>
      <c r="BL141" s="141" t="n"/>
      <c r="BM141" s="205" t="n"/>
      <c r="BN141" s="205" t="n"/>
      <c r="BO141" s="206" t="n"/>
      <c r="BP141" s="144" t="n"/>
      <c r="BQ141" s="141" t="n"/>
      <c r="BR141" s="207" t="n"/>
      <c r="BS141" s="207" t="n"/>
      <c r="BT141" s="207" t="n"/>
      <c r="BU141" s="207" t="n"/>
      <c r="BV141" s="208" t="n"/>
      <c r="BW141" s="207" t="n"/>
      <c r="BX141" s="207" t="n"/>
      <c r="BY141" s="204" t="n"/>
      <c r="BZ141" s="148" t="n"/>
      <c r="CA141" s="204" t="n"/>
      <c r="CB141" s="208" t="n"/>
      <c r="CC141" s="139" t="n"/>
      <c r="CD141" s="204" t="n"/>
      <c r="CE141" s="204" t="n"/>
      <c r="CF141" s="207" t="n"/>
      <c r="CG141" s="208" t="n"/>
      <c r="CH141" s="207" t="n"/>
      <c r="CI141" s="208" t="n"/>
      <c r="CJ141" s="204" t="n"/>
      <c r="CK141" s="208" t="n"/>
      <c r="CL141" s="208" t="n"/>
      <c r="CM141" s="208" t="n"/>
      <c r="CN141" s="78" t="n"/>
      <c r="CO141" s="209" t="n"/>
      <c r="CP141" s="204" t="n"/>
      <c r="CQ141" s="204" t="n"/>
      <c r="CR141" s="204" t="n"/>
      <c r="CS141" s="204" t="n"/>
      <c r="CT141" s="204" t="n"/>
      <c r="CU141" s="204" t="n"/>
      <c r="CV141" s="204" t="n"/>
      <c r="CW141" s="204" t="n"/>
      <c r="CX141" s="190" t="n"/>
    </row>
    <row r="142">
      <c r="BF142" s="78" t="n"/>
      <c r="BG142" s="78" t="n"/>
      <c r="BH142" s="78" t="n"/>
      <c r="BI142" s="78" t="n"/>
      <c r="BJ142" s="139" t="n"/>
      <c r="BK142" s="204" t="n"/>
      <c r="BL142" s="141" t="n"/>
      <c r="BM142" s="205" t="n"/>
      <c r="BN142" s="205" t="n"/>
      <c r="BO142" s="206" t="n"/>
      <c r="BP142" s="144" t="n"/>
      <c r="BQ142" s="141" t="n"/>
      <c r="BR142" s="207" t="n"/>
      <c r="BS142" s="207" t="n"/>
      <c r="BT142" s="207" t="n"/>
      <c r="BU142" s="207" t="n"/>
      <c r="BV142" s="208" t="n"/>
      <c r="BW142" s="207" t="n"/>
      <c r="BX142" s="207" t="n"/>
      <c r="BY142" s="204" t="n"/>
      <c r="BZ142" s="148" t="n"/>
      <c r="CA142" s="204" t="n"/>
      <c r="CB142" s="208" t="n"/>
      <c r="CC142" s="139" t="n"/>
      <c r="CD142" s="204" t="n"/>
      <c r="CE142" s="204" t="n"/>
      <c r="CF142" s="207" t="n"/>
      <c r="CG142" s="208" t="n"/>
      <c r="CH142" s="207" t="n"/>
      <c r="CI142" s="208" t="n"/>
      <c r="CJ142" s="204" t="n"/>
      <c r="CK142" s="208" t="n"/>
      <c r="CL142" s="208" t="n"/>
      <c r="CM142" s="208" t="n"/>
      <c r="CN142" s="78" t="n"/>
      <c r="CO142" s="209" t="n"/>
      <c r="CP142" s="204" t="n"/>
      <c r="CQ142" s="204" t="n"/>
      <c r="CR142" s="204" t="n"/>
      <c r="CS142" s="204" t="n"/>
      <c r="CT142" s="204" t="n"/>
      <c r="CU142" s="204" t="n"/>
      <c r="CV142" s="204" t="n"/>
      <c r="CW142" s="204" t="n"/>
      <c r="CX142" s="190" t="n"/>
    </row>
    <row r="143">
      <c r="BF143" s="78" t="n"/>
      <c r="BG143" s="78" t="n"/>
      <c r="BH143" s="78" t="n"/>
      <c r="BI143" s="78" t="n"/>
      <c r="BJ143" s="139" t="n"/>
      <c r="BK143" s="204" t="n"/>
      <c r="BL143" s="141" t="n"/>
      <c r="BM143" s="205" t="n"/>
      <c r="BN143" s="205" t="n"/>
      <c r="BO143" s="206" t="n"/>
      <c r="BP143" s="144" t="n"/>
      <c r="BQ143" s="141" t="n"/>
      <c r="BR143" s="207" t="n"/>
      <c r="BS143" s="207" t="n"/>
      <c r="BT143" s="207" t="n"/>
      <c r="BU143" s="207" t="n"/>
      <c r="BV143" s="208" t="n"/>
      <c r="BW143" s="207" t="n"/>
      <c r="BX143" s="207" t="n"/>
      <c r="BY143" s="204" t="n"/>
      <c r="BZ143" s="148" t="n"/>
      <c r="CA143" s="204" t="n"/>
      <c r="CB143" s="208" t="n"/>
      <c r="CC143" s="139" t="n"/>
      <c r="CD143" s="204" t="n"/>
      <c r="CE143" s="204" t="n"/>
      <c r="CF143" s="207" t="n"/>
      <c r="CG143" s="208" t="n"/>
      <c r="CH143" s="207" t="n"/>
      <c r="CI143" s="208" t="n"/>
      <c r="CJ143" s="204" t="n"/>
      <c r="CK143" s="208" t="n"/>
      <c r="CL143" s="208" t="n"/>
      <c r="CM143" s="208" t="n"/>
      <c r="CN143" s="78" t="n"/>
      <c r="CO143" s="209" t="n"/>
      <c r="CP143" s="204" t="n"/>
      <c r="CQ143" s="204" t="n"/>
      <c r="CR143" s="204" t="n"/>
      <c r="CS143" s="204" t="n"/>
      <c r="CT143" s="204" t="n"/>
      <c r="CU143" s="204" t="n"/>
      <c r="CV143" s="204" t="n"/>
      <c r="CW143" s="204" t="n"/>
      <c r="CX143" s="190" t="n"/>
    </row>
    <row r="144">
      <c r="BF144" s="78" t="n"/>
      <c r="BG144" s="78" t="n"/>
      <c r="BH144" s="78" t="n"/>
      <c r="BI144" s="78" t="n"/>
      <c r="BJ144" s="139" t="n"/>
      <c r="BK144" s="204" t="n"/>
      <c r="BL144" s="141" t="n"/>
      <c r="BM144" s="205" t="n"/>
      <c r="BN144" s="205" t="n"/>
      <c r="BO144" s="206" t="n"/>
      <c r="BP144" s="144" t="n"/>
      <c r="BQ144" s="141" t="n"/>
      <c r="BR144" s="207" t="n"/>
      <c r="BS144" s="207" t="n"/>
      <c r="BT144" s="207" t="n"/>
      <c r="BU144" s="207" t="n"/>
      <c r="BV144" s="208" t="n"/>
      <c r="BW144" s="207" t="n"/>
      <c r="BX144" s="207" t="n"/>
      <c r="BY144" s="204" t="n"/>
      <c r="BZ144" s="148" t="n"/>
      <c r="CA144" s="204" t="n"/>
      <c r="CB144" s="208" t="n"/>
      <c r="CC144" s="139" t="n"/>
      <c r="CD144" s="204" t="n"/>
      <c r="CE144" s="204" t="n"/>
      <c r="CF144" s="207" t="n"/>
      <c r="CG144" s="208" t="n"/>
      <c r="CH144" s="207" t="n"/>
      <c r="CI144" s="208" t="n"/>
      <c r="CJ144" s="204" t="n"/>
      <c r="CK144" s="208" t="n"/>
      <c r="CL144" s="208" t="n"/>
      <c r="CM144" s="208" t="n"/>
      <c r="CN144" s="78" t="n"/>
      <c r="CO144" s="209" t="n"/>
      <c r="CP144" s="204" t="n"/>
      <c r="CQ144" s="204" t="n"/>
      <c r="CR144" s="204" t="n"/>
      <c r="CS144" s="204" t="n"/>
      <c r="CT144" s="204" t="n"/>
      <c r="CU144" s="204" t="n"/>
      <c r="CV144" s="204" t="n"/>
      <c r="CW144" s="204" t="n"/>
      <c r="CX144" s="190" t="n"/>
    </row>
    <row r="145">
      <c r="BF145" s="78" t="n"/>
      <c r="BG145" s="78" t="n"/>
      <c r="BH145" s="78" t="n"/>
      <c r="BI145" s="78" t="n"/>
      <c r="BJ145" s="139" t="n"/>
      <c r="BK145" s="204" t="n"/>
      <c r="BL145" s="141" t="n"/>
      <c r="BM145" s="205" t="n"/>
      <c r="BN145" s="205" t="n"/>
      <c r="BO145" s="206" t="n"/>
      <c r="BP145" s="144" t="n"/>
      <c r="BQ145" s="141" t="n"/>
      <c r="BR145" s="207" t="n"/>
      <c r="BS145" s="207" t="n"/>
      <c r="BT145" s="207" t="n"/>
      <c r="BU145" s="207" t="n"/>
      <c r="BV145" s="208" t="n"/>
      <c r="BW145" s="207" t="n"/>
      <c r="BX145" s="207" t="n"/>
      <c r="BY145" s="204" t="n"/>
      <c r="BZ145" s="148" t="n"/>
      <c r="CA145" s="204" t="n"/>
      <c r="CB145" s="208" t="n"/>
      <c r="CC145" s="139" t="n"/>
      <c r="CD145" s="204" t="n"/>
      <c r="CE145" s="204" t="n"/>
      <c r="CF145" s="207" t="n"/>
      <c r="CG145" s="208" t="n"/>
      <c r="CH145" s="207" t="n"/>
      <c r="CI145" s="208" t="n"/>
      <c r="CJ145" s="204" t="n"/>
      <c r="CK145" s="208" t="n"/>
      <c r="CL145" s="208" t="n"/>
      <c r="CM145" s="208" t="n"/>
      <c r="CN145" s="78" t="n"/>
      <c r="CO145" s="209" t="n"/>
      <c r="CP145" s="204" t="n"/>
      <c r="CQ145" s="204" t="n"/>
      <c r="CR145" s="204" t="n"/>
      <c r="CS145" s="204" t="n"/>
      <c r="CT145" s="204" t="n"/>
      <c r="CU145" s="204" t="n"/>
      <c r="CV145" s="204" t="n"/>
      <c r="CW145" s="204" t="n"/>
      <c r="CX145" s="190" t="n"/>
    </row>
    <row r="146">
      <c r="BF146" s="78" t="n"/>
      <c r="BG146" s="78" t="n"/>
      <c r="BH146" s="78" t="n"/>
      <c r="BI146" s="78" t="n"/>
      <c r="BJ146" s="139" t="n"/>
      <c r="BK146" s="204" t="n"/>
      <c r="BL146" s="141" t="n"/>
      <c r="BM146" s="205" t="n"/>
      <c r="BN146" s="205" t="n"/>
      <c r="BO146" s="206" t="n"/>
      <c r="BP146" s="144" t="n"/>
      <c r="BQ146" s="141" t="n"/>
      <c r="BR146" s="207" t="n"/>
      <c r="BS146" s="207" t="n"/>
      <c r="BT146" s="207" t="n"/>
      <c r="BU146" s="207" t="n"/>
      <c r="BV146" s="208" t="n"/>
      <c r="BW146" s="207" t="n"/>
      <c r="BX146" s="207" t="n"/>
      <c r="BY146" s="204" t="n"/>
      <c r="BZ146" s="148" t="n"/>
      <c r="CA146" s="204" t="n"/>
      <c r="CB146" s="208" t="n"/>
      <c r="CC146" s="139" t="n"/>
      <c r="CD146" s="204" t="n"/>
      <c r="CE146" s="204" t="n"/>
      <c r="CF146" s="207" t="n"/>
      <c r="CG146" s="208" t="n"/>
      <c r="CH146" s="207" t="n"/>
      <c r="CI146" s="208" t="n"/>
      <c r="CJ146" s="204" t="n"/>
      <c r="CK146" s="208" t="n"/>
      <c r="CL146" s="208" t="n"/>
      <c r="CM146" s="208" t="n"/>
      <c r="CN146" s="78" t="n"/>
      <c r="CO146" s="209" t="n"/>
      <c r="CP146" s="204" t="n"/>
      <c r="CQ146" s="204" t="n"/>
      <c r="CR146" s="204" t="n"/>
      <c r="CS146" s="204" t="n"/>
      <c r="CT146" s="204" t="n"/>
      <c r="CU146" s="204" t="n"/>
      <c r="CV146" s="204" t="n"/>
      <c r="CW146" s="204" t="n"/>
      <c r="CX146" s="190" t="n"/>
    </row>
    <row r="147">
      <c r="BF147" s="78" t="n"/>
      <c r="BG147" s="78" t="n"/>
      <c r="BH147" s="78" t="n"/>
      <c r="BI147" s="78" t="n"/>
      <c r="BJ147" s="139" t="n"/>
      <c r="BK147" s="204" t="n"/>
      <c r="BL147" s="141" t="n"/>
      <c r="BM147" s="205" t="n"/>
      <c r="BN147" s="205" t="n"/>
      <c r="BO147" s="206" t="n"/>
      <c r="BP147" s="144" t="n"/>
      <c r="BQ147" s="141" t="n"/>
      <c r="BR147" s="207" t="n"/>
      <c r="BS147" s="207" t="n"/>
      <c r="BT147" s="207" t="n"/>
      <c r="BU147" s="207" t="n"/>
      <c r="BV147" s="208" t="n"/>
      <c r="BW147" s="207" t="n"/>
      <c r="BX147" s="207" t="n"/>
      <c r="BY147" s="204" t="n"/>
      <c r="BZ147" s="148" t="n"/>
      <c r="CA147" s="204" t="n"/>
      <c r="CB147" s="208" t="n"/>
      <c r="CC147" s="139" t="n"/>
      <c r="CD147" s="204" t="n"/>
      <c r="CE147" s="204" t="n"/>
      <c r="CF147" s="207" t="n"/>
      <c r="CG147" s="208" t="n"/>
      <c r="CH147" s="207" t="n"/>
      <c r="CI147" s="208" t="n"/>
      <c r="CJ147" s="204" t="n"/>
      <c r="CK147" s="208" t="n"/>
      <c r="CL147" s="208" t="n"/>
      <c r="CM147" s="208" t="n"/>
      <c r="CN147" s="78" t="n"/>
      <c r="CO147" s="209" t="n"/>
      <c r="CP147" s="204" t="n"/>
      <c r="CQ147" s="204" t="n"/>
      <c r="CR147" s="204" t="n"/>
      <c r="CS147" s="204" t="n"/>
      <c r="CT147" s="204" t="n"/>
      <c r="CU147" s="204" t="n"/>
      <c r="CV147" s="204" t="n"/>
      <c r="CW147" s="204" t="n"/>
      <c r="CX147" s="190" t="n"/>
    </row>
    <row r="148">
      <c r="BF148" s="78" t="n"/>
      <c r="BG148" s="78" t="n"/>
      <c r="BH148" s="78" t="n"/>
      <c r="BI148" s="78" t="n"/>
      <c r="BJ148" s="139" t="n"/>
      <c r="BK148" s="204" t="n"/>
      <c r="BL148" s="141" t="n"/>
      <c r="BM148" s="205" t="n"/>
      <c r="BN148" s="205" t="n"/>
      <c r="BO148" s="206" t="n"/>
      <c r="BP148" s="144" t="n"/>
      <c r="BQ148" s="141" t="n"/>
      <c r="BR148" s="207" t="n"/>
      <c r="BS148" s="207" t="n"/>
      <c r="BT148" s="207" t="n"/>
      <c r="BU148" s="207" t="n"/>
      <c r="BV148" s="208" t="n"/>
      <c r="BW148" s="207" t="n"/>
      <c r="BX148" s="207" t="n"/>
      <c r="BY148" s="204" t="n"/>
      <c r="BZ148" s="148" t="n"/>
      <c r="CA148" s="204" t="n"/>
      <c r="CB148" s="208" t="n"/>
      <c r="CC148" s="139" t="n"/>
      <c r="CD148" s="204" t="n"/>
      <c r="CE148" s="204" t="n"/>
      <c r="CF148" s="207" t="n"/>
      <c r="CG148" s="208" t="n"/>
      <c r="CH148" s="207" t="n"/>
      <c r="CI148" s="208" t="n"/>
      <c r="CJ148" s="204" t="n"/>
      <c r="CK148" s="208" t="n"/>
      <c r="CL148" s="208" t="n"/>
      <c r="CM148" s="208" t="n"/>
      <c r="CN148" s="78" t="n"/>
      <c r="CO148" s="209" t="n"/>
      <c r="CP148" s="204" t="n"/>
      <c r="CQ148" s="204" t="n"/>
      <c r="CR148" s="204" t="n"/>
      <c r="CS148" s="204" t="n"/>
      <c r="CT148" s="204" t="n"/>
      <c r="CU148" s="204" t="n"/>
      <c r="CV148" s="204" t="n"/>
      <c r="CW148" s="204" t="n"/>
      <c r="CX148" s="190" t="n"/>
    </row>
    <row r="149">
      <c r="BF149" s="78" t="n"/>
      <c r="BG149" s="78" t="n"/>
      <c r="BH149" s="78" t="n"/>
      <c r="BI149" s="78" t="n"/>
      <c r="BJ149" s="139" t="n"/>
      <c r="BK149" s="204" t="n"/>
      <c r="BL149" s="141" t="n"/>
      <c r="BM149" s="205" t="n"/>
      <c r="BN149" s="205" t="n"/>
      <c r="BO149" s="206" t="n"/>
      <c r="BP149" s="144" t="n"/>
      <c r="BQ149" s="141" t="n"/>
      <c r="BR149" s="207" t="n"/>
      <c r="BS149" s="207" t="n"/>
      <c r="BT149" s="207" t="n"/>
      <c r="BU149" s="207" t="n"/>
      <c r="BV149" s="208" t="n"/>
      <c r="BW149" s="207" t="n"/>
      <c r="BX149" s="207" t="n"/>
      <c r="BY149" s="204" t="n"/>
      <c r="BZ149" s="148" t="n"/>
      <c r="CA149" s="204" t="n"/>
      <c r="CB149" s="208" t="n"/>
      <c r="CC149" s="139" t="n"/>
      <c r="CD149" s="204" t="n"/>
      <c r="CE149" s="204" t="n"/>
      <c r="CF149" s="207" t="n"/>
      <c r="CG149" s="208" t="n"/>
      <c r="CH149" s="207" t="n"/>
      <c r="CI149" s="208" t="n"/>
      <c r="CJ149" s="204" t="n"/>
      <c r="CK149" s="208" t="n"/>
      <c r="CL149" s="208" t="n"/>
      <c r="CM149" s="208" t="n"/>
      <c r="CN149" s="78" t="n"/>
      <c r="CO149" s="209" t="n"/>
      <c r="CP149" s="204" t="n"/>
      <c r="CQ149" s="204" t="n"/>
      <c r="CR149" s="204" t="n"/>
      <c r="CS149" s="204" t="n"/>
      <c r="CT149" s="204" t="n"/>
      <c r="CU149" s="204" t="n"/>
      <c r="CV149" s="204" t="n"/>
      <c r="CW149" s="204" t="n"/>
      <c r="CX149" s="190" t="n"/>
    </row>
    <row r="150">
      <c r="BF150" s="78" t="n"/>
      <c r="BG150" s="78" t="n"/>
      <c r="BH150" s="78" t="n"/>
      <c r="BI150" s="78" t="n"/>
      <c r="BJ150" s="139" t="n"/>
      <c r="BK150" s="204" t="n"/>
      <c r="BL150" s="141" t="n"/>
      <c r="BM150" s="205" t="n"/>
      <c r="BN150" s="205" t="n"/>
      <c r="BO150" s="206" t="n"/>
      <c r="BP150" s="144" t="n"/>
      <c r="BQ150" s="141" t="n"/>
      <c r="BR150" s="207" t="n"/>
      <c r="BS150" s="207" t="n"/>
      <c r="BT150" s="207" t="n"/>
      <c r="BU150" s="207" t="n"/>
      <c r="BV150" s="208" t="n"/>
      <c r="BW150" s="207" t="n"/>
      <c r="BX150" s="207" t="n"/>
      <c r="BY150" s="204" t="n"/>
      <c r="BZ150" s="148" t="n"/>
      <c r="CA150" s="204" t="n"/>
      <c r="CB150" s="208" t="n"/>
      <c r="CC150" s="139" t="n"/>
      <c r="CD150" s="204" t="n"/>
      <c r="CE150" s="204" t="n"/>
      <c r="CF150" s="207" t="n"/>
      <c r="CG150" s="208" t="n"/>
      <c r="CH150" s="207" t="n"/>
      <c r="CI150" s="208" t="n"/>
      <c r="CJ150" s="204" t="n"/>
      <c r="CK150" s="208" t="n"/>
      <c r="CL150" s="208" t="n"/>
      <c r="CM150" s="208" t="n"/>
      <c r="CN150" s="78" t="n"/>
      <c r="CO150" s="209" t="n"/>
      <c r="CP150" s="204" t="n"/>
      <c r="CQ150" s="204" t="n"/>
      <c r="CR150" s="204" t="n"/>
      <c r="CS150" s="204" t="n"/>
      <c r="CT150" s="204" t="n"/>
      <c r="CU150" s="204" t="n"/>
      <c r="CV150" s="204" t="n"/>
      <c r="CW150" s="204" t="n"/>
      <c r="CX150" s="190" t="n"/>
    </row>
    <row r="151">
      <c r="BF151" s="78" t="n"/>
      <c r="BG151" s="78" t="n"/>
      <c r="BH151" s="78" t="n"/>
      <c r="BI151" s="78" t="n"/>
      <c r="BJ151" s="139" t="n"/>
      <c r="BK151" s="204" t="n"/>
      <c r="BL151" s="141" t="n"/>
      <c r="BM151" s="205" t="n"/>
      <c r="BN151" s="205" t="n"/>
      <c r="BO151" s="206" t="n"/>
      <c r="BP151" s="144" t="n"/>
      <c r="BQ151" s="141" t="n"/>
      <c r="BR151" s="207" t="n"/>
      <c r="BS151" s="207" t="n"/>
      <c r="BT151" s="207" t="n"/>
      <c r="BU151" s="207" t="n"/>
      <c r="BV151" s="208" t="n"/>
      <c r="BW151" s="207" t="n"/>
      <c r="BX151" s="207" t="n"/>
      <c r="BY151" s="204" t="n"/>
      <c r="BZ151" s="148" t="n"/>
      <c r="CA151" s="204" t="n"/>
      <c r="CB151" s="208" t="n"/>
      <c r="CC151" s="139" t="n"/>
      <c r="CD151" s="204" t="n"/>
      <c r="CE151" s="204" t="n"/>
      <c r="CF151" s="207" t="n"/>
      <c r="CG151" s="208" t="n"/>
      <c r="CH151" s="207" t="n"/>
      <c r="CI151" s="208" t="n"/>
      <c r="CJ151" s="204" t="n"/>
      <c r="CK151" s="208" t="n"/>
      <c r="CL151" s="208" t="n"/>
      <c r="CM151" s="208" t="n"/>
      <c r="CN151" s="78" t="n"/>
      <c r="CO151" s="209" t="n"/>
      <c r="CP151" s="204" t="n"/>
      <c r="CQ151" s="204" t="n"/>
      <c r="CR151" s="204" t="n"/>
      <c r="CS151" s="204" t="n"/>
      <c r="CT151" s="204" t="n"/>
      <c r="CU151" s="204" t="n"/>
      <c r="CV151" s="204" t="n"/>
      <c r="CW151" s="204" t="n"/>
      <c r="CX151" s="190" t="n"/>
    </row>
    <row r="152">
      <c r="BF152" s="78" t="n"/>
      <c r="BG152" s="78" t="n"/>
      <c r="BH152" s="78" t="n"/>
      <c r="BI152" s="78" t="n"/>
      <c r="BJ152" s="139" t="n"/>
      <c r="BK152" s="204" t="n"/>
      <c r="BL152" s="141" t="n"/>
      <c r="BM152" s="205" t="n"/>
      <c r="BN152" s="205" t="n"/>
      <c r="BO152" s="206" t="n"/>
      <c r="BP152" s="144" t="n"/>
      <c r="BQ152" s="141" t="n"/>
      <c r="BR152" s="207" t="n"/>
      <c r="BS152" s="207" t="n"/>
      <c r="BT152" s="207" t="n"/>
      <c r="BU152" s="207" t="n"/>
      <c r="BV152" s="208" t="n"/>
      <c r="BW152" s="207" t="n"/>
      <c r="BX152" s="207" t="n"/>
      <c r="BY152" s="204" t="n"/>
      <c r="BZ152" s="148" t="n"/>
      <c r="CA152" s="204" t="n"/>
      <c r="CB152" s="208" t="n"/>
      <c r="CC152" s="139" t="n"/>
      <c r="CD152" s="204" t="n"/>
      <c r="CE152" s="204" t="n"/>
      <c r="CF152" s="207" t="n"/>
      <c r="CG152" s="208" t="n"/>
      <c r="CH152" s="207" t="n"/>
      <c r="CI152" s="208" t="n"/>
      <c r="CJ152" s="204" t="n"/>
      <c r="CK152" s="208" t="n"/>
      <c r="CL152" s="208" t="n"/>
      <c r="CM152" s="208" t="n"/>
      <c r="CN152" s="78" t="n"/>
      <c r="CO152" s="209" t="n"/>
      <c r="CP152" s="204" t="n"/>
      <c r="CQ152" s="204" t="n"/>
      <c r="CR152" s="204" t="n"/>
      <c r="CS152" s="204" t="n"/>
      <c r="CT152" s="204" t="n"/>
      <c r="CU152" s="204" t="n"/>
      <c r="CV152" s="204" t="n"/>
      <c r="CW152" s="204" t="n"/>
      <c r="CX152" s="190" t="n"/>
    </row>
    <row r="153">
      <c r="BF153" s="78" t="n"/>
      <c r="BG153" s="78" t="n"/>
      <c r="BH153" s="78" t="n"/>
      <c r="BI153" s="78" t="n"/>
      <c r="BJ153" s="139" t="n"/>
      <c r="BK153" s="204" t="n"/>
      <c r="BL153" s="141" t="n"/>
      <c r="BM153" s="205" t="n"/>
      <c r="BN153" s="205" t="n"/>
      <c r="BO153" s="206" t="n"/>
      <c r="BP153" s="144" t="n"/>
      <c r="BQ153" s="141" t="n"/>
      <c r="BR153" s="207" t="n"/>
      <c r="BS153" s="207" t="n"/>
      <c r="BT153" s="207" t="n"/>
      <c r="BU153" s="207" t="n"/>
      <c r="BV153" s="208" t="n"/>
      <c r="BW153" s="207" t="n"/>
      <c r="BX153" s="207" t="n"/>
      <c r="BY153" s="204" t="n"/>
      <c r="BZ153" s="148" t="n"/>
      <c r="CA153" s="204" t="n"/>
      <c r="CB153" s="208" t="n"/>
      <c r="CC153" s="139" t="n"/>
      <c r="CD153" s="204" t="n"/>
      <c r="CE153" s="204" t="n"/>
      <c r="CF153" s="207" t="n"/>
      <c r="CG153" s="208" t="n"/>
      <c r="CH153" s="207" t="n"/>
      <c r="CI153" s="208" t="n"/>
      <c r="CJ153" s="204" t="n"/>
      <c r="CK153" s="208" t="n"/>
      <c r="CL153" s="208" t="n"/>
      <c r="CM153" s="208" t="n"/>
      <c r="CN153" s="78" t="n"/>
      <c r="CO153" s="209" t="n"/>
      <c r="CP153" s="204" t="n"/>
      <c r="CQ153" s="204" t="n"/>
      <c r="CR153" s="204" t="n"/>
      <c r="CS153" s="204" t="n"/>
      <c r="CT153" s="204" t="n"/>
      <c r="CU153" s="204" t="n"/>
      <c r="CV153" s="204" t="n"/>
      <c r="CW153" s="204" t="n"/>
      <c r="CX153" s="190" t="n"/>
    </row>
    <row r="154">
      <c r="BF154" s="78" t="n"/>
      <c r="BG154" s="78" t="n"/>
      <c r="BH154" s="78" t="n"/>
      <c r="BI154" s="78" t="n"/>
      <c r="BJ154" s="139" t="n"/>
      <c r="BK154" s="204" t="n"/>
      <c r="BL154" s="141" t="n"/>
      <c r="BM154" s="205" t="n"/>
      <c r="BN154" s="205" t="n"/>
      <c r="BO154" s="206" t="n"/>
      <c r="BP154" s="144" t="n"/>
      <c r="BQ154" s="141" t="n"/>
      <c r="BR154" s="207" t="n"/>
      <c r="BS154" s="207" t="n"/>
      <c r="BT154" s="207" t="n"/>
      <c r="BU154" s="207" t="n"/>
      <c r="BV154" s="208" t="n"/>
      <c r="BW154" s="207" t="n"/>
      <c r="BX154" s="207" t="n"/>
      <c r="BY154" s="204" t="n"/>
      <c r="BZ154" s="148" t="n"/>
      <c r="CA154" s="204" t="n"/>
      <c r="CB154" s="208" t="n"/>
      <c r="CC154" s="139" t="n"/>
      <c r="CD154" s="204" t="n"/>
      <c r="CE154" s="204" t="n"/>
      <c r="CF154" s="207" t="n"/>
      <c r="CG154" s="208" t="n"/>
      <c r="CH154" s="207" t="n"/>
      <c r="CI154" s="208" t="n"/>
      <c r="CJ154" s="204" t="n"/>
      <c r="CK154" s="208" t="n"/>
      <c r="CL154" s="208" t="n"/>
      <c r="CM154" s="208" t="n"/>
      <c r="CN154" s="78" t="n"/>
      <c r="CO154" s="209" t="n"/>
      <c r="CP154" s="204" t="n"/>
      <c r="CQ154" s="204" t="n"/>
      <c r="CR154" s="204" t="n"/>
      <c r="CS154" s="204" t="n"/>
      <c r="CT154" s="204" t="n"/>
      <c r="CU154" s="204" t="n"/>
      <c r="CV154" s="204" t="n"/>
      <c r="CW154" s="204" t="n"/>
      <c r="CX154" s="190" t="n"/>
    </row>
    <row r="155">
      <c r="BF155" s="78" t="n"/>
      <c r="BG155" s="78" t="n"/>
      <c r="BH155" s="78" t="n"/>
      <c r="BI155" s="78" t="n"/>
      <c r="BJ155" s="139" t="n"/>
      <c r="BK155" s="204" t="n"/>
      <c r="BL155" s="141" t="n"/>
      <c r="BM155" s="205" t="n"/>
      <c r="BN155" s="205" t="n"/>
      <c r="BO155" s="206" t="n"/>
      <c r="BP155" s="144" t="n"/>
      <c r="BQ155" s="141" t="n"/>
      <c r="BR155" s="207" t="n"/>
      <c r="BS155" s="207" t="n"/>
      <c r="BT155" s="207" t="n"/>
      <c r="BU155" s="207" t="n"/>
      <c r="BV155" s="208" t="n"/>
      <c r="BW155" s="207" t="n"/>
      <c r="BX155" s="207" t="n"/>
      <c r="BY155" s="204" t="n"/>
      <c r="BZ155" s="148" t="n"/>
      <c r="CA155" s="204" t="n"/>
      <c r="CB155" s="208" t="n"/>
      <c r="CC155" s="139" t="n"/>
      <c r="CD155" s="204" t="n"/>
      <c r="CE155" s="204" t="n"/>
      <c r="CF155" s="207" t="n"/>
      <c r="CG155" s="208" t="n"/>
      <c r="CH155" s="207" t="n"/>
      <c r="CI155" s="208" t="n"/>
      <c r="CJ155" s="204" t="n"/>
      <c r="CK155" s="208" t="n"/>
      <c r="CL155" s="208" t="n"/>
      <c r="CM155" s="208" t="n"/>
      <c r="CN155" s="78" t="n"/>
      <c r="CO155" s="209" t="n"/>
      <c r="CP155" s="204" t="n"/>
      <c r="CQ155" s="204" t="n"/>
      <c r="CR155" s="204" t="n"/>
      <c r="CS155" s="204" t="n"/>
      <c r="CT155" s="204" t="n"/>
      <c r="CU155" s="204" t="n"/>
      <c r="CV155" s="204" t="n"/>
      <c r="CW155" s="204" t="n"/>
      <c r="CX155" s="190" t="n"/>
    </row>
    <row r="156">
      <c r="BF156" s="78" t="n"/>
      <c r="BG156" s="78" t="n"/>
      <c r="BH156" s="78" t="n"/>
      <c r="BI156" s="78" t="n"/>
      <c r="BJ156" s="139" t="n"/>
      <c r="BK156" s="204" t="n"/>
      <c r="BL156" s="141" t="n"/>
      <c r="BM156" s="205" t="n"/>
      <c r="BN156" s="205" t="n"/>
      <c r="BO156" s="206" t="n"/>
      <c r="BP156" s="144" t="n"/>
      <c r="BQ156" s="141" t="n"/>
      <c r="BR156" s="207" t="n"/>
      <c r="BS156" s="207" t="n"/>
      <c r="BT156" s="207" t="n"/>
      <c r="BU156" s="207" t="n"/>
      <c r="BV156" s="208" t="n"/>
      <c r="BW156" s="207" t="n"/>
      <c r="BX156" s="207" t="n"/>
      <c r="BY156" s="204" t="n"/>
      <c r="BZ156" s="148" t="n"/>
      <c r="CA156" s="204" t="n"/>
      <c r="CB156" s="208" t="n"/>
      <c r="CC156" s="139" t="n"/>
      <c r="CD156" s="204" t="n"/>
      <c r="CE156" s="204" t="n"/>
      <c r="CF156" s="207" t="n"/>
      <c r="CG156" s="208" t="n"/>
      <c r="CH156" s="207" t="n"/>
      <c r="CI156" s="208" t="n"/>
      <c r="CJ156" s="204" t="n"/>
      <c r="CK156" s="208" t="n"/>
      <c r="CL156" s="208" t="n"/>
      <c r="CM156" s="208" t="n"/>
      <c r="CN156" s="78" t="n"/>
      <c r="CO156" s="209" t="n"/>
      <c r="CP156" s="204" t="n"/>
      <c r="CQ156" s="204" t="n"/>
      <c r="CR156" s="204" t="n"/>
      <c r="CS156" s="204" t="n"/>
      <c r="CT156" s="204" t="n"/>
      <c r="CU156" s="204" t="n"/>
      <c r="CV156" s="204" t="n"/>
      <c r="CW156" s="204" t="n"/>
      <c r="CX156" s="190" t="n"/>
    </row>
    <row r="157">
      <c r="BF157" s="78" t="n"/>
      <c r="BG157" s="78" t="n"/>
      <c r="BH157" s="78" t="n"/>
      <c r="BI157" s="78" t="n"/>
      <c r="BJ157" s="139" t="n"/>
      <c r="BK157" s="204" t="n"/>
      <c r="BL157" s="141" t="n"/>
      <c r="BM157" s="205" t="n"/>
      <c r="BN157" s="205" t="n"/>
      <c r="BO157" s="206" t="n"/>
      <c r="BP157" s="144" t="n"/>
      <c r="BQ157" s="141" t="n"/>
      <c r="BR157" s="207" t="n"/>
      <c r="BS157" s="207" t="n"/>
      <c r="BT157" s="207" t="n"/>
      <c r="BU157" s="207" t="n"/>
      <c r="BV157" s="208" t="n"/>
      <c r="BW157" s="207" t="n"/>
      <c r="BX157" s="207" t="n"/>
      <c r="BY157" s="204" t="n"/>
      <c r="BZ157" s="148" t="n"/>
      <c r="CA157" s="204" t="n"/>
      <c r="CB157" s="208" t="n"/>
      <c r="CC157" s="139" t="n"/>
      <c r="CD157" s="204" t="n"/>
      <c r="CE157" s="204" t="n"/>
      <c r="CF157" s="207" t="n"/>
      <c r="CG157" s="208" t="n"/>
      <c r="CH157" s="207" t="n"/>
      <c r="CI157" s="208" t="n"/>
      <c r="CJ157" s="204" t="n"/>
      <c r="CK157" s="208" t="n"/>
      <c r="CL157" s="208" t="n"/>
      <c r="CM157" s="208" t="n"/>
      <c r="CN157" s="78" t="n"/>
      <c r="CO157" s="209" t="n"/>
      <c r="CP157" s="204" t="n"/>
      <c r="CQ157" s="204" t="n"/>
      <c r="CR157" s="204" t="n"/>
      <c r="CS157" s="204" t="n"/>
      <c r="CT157" s="204" t="n"/>
      <c r="CU157" s="204" t="n"/>
      <c r="CV157" s="204" t="n"/>
      <c r="CW157" s="204" t="n"/>
      <c r="CX157" s="190" t="n"/>
    </row>
    <row r="158">
      <c r="BF158" s="78" t="n"/>
      <c r="BG158" s="78" t="n"/>
      <c r="BH158" s="78" t="n"/>
      <c r="BI158" s="78" t="n"/>
      <c r="BJ158" s="139" t="n"/>
      <c r="BK158" s="204" t="n"/>
      <c r="BL158" s="141" t="n"/>
      <c r="BM158" s="205" t="n"/>
      <c r="BN158" s="205" t="n"/>
      <c r="BO158" s="206" t="n"/>
      <c r="BP158" s="144" t="n"/>
      <c r="BQ158" s="141" t="n"/>
      <c r="BR158" s="207" t="n"/>
      <c r="BS158" s="207" t="n"/>
      <c r="BT158" s="207" t="n"/>
      <c r="BU158" s="207" t="n"/>
      <c r="BV158" s="208" t="n"/>
      <c r="BW158" s="207" t="n"/>
      <c r="BX158" s="207" t="n"/>
      <c r="BY158" s="204" t="n"/>
      <c r="BZ158" s="148" t="n"/>
      <c r="CA158" s="204" t="n"/>
      <c r="CB158" s="208" t="n"/>
      <c r="CC158" s="139" t="n"/>
      <c r="CD158" s="204" t="n"/>
      <c r="CE158" s="204" t="n"/>
      <c r="CF158" s="207" t="n"/>
      <c r="CG158" s="208" t="n"/>
      <c r="CH158" s="207" t="n"/>
      <c r="CI158" s="208" t="n"/>
      <c r="CJ158" s="204" t="n"/>
      <c r="CK158" s="208" t="n"/>
      <c r="CL158" s="208" t="n"/>
      <c r="CM158" s="208" t="n"/>
      <c r="CN158" s="78" t="n"/>
      <c r="CO158" s="209" t="n"/>
      <c r="CP158" s="204" t="n"/>
      <c r="CQ158" s="204" t="n"/>
      <c r="CR158" s="204" t="n"/>
      <c r="CS158" s="204" t="n"/>
      <c r="CT158" s="204" t="n"/>
      <c r="CU158" s="204" t="n"/>
      <c r="CV158" s="204" t="n"/>
      <c r="CW158" s="204" t="n"/>
      <c r="CX158" s="190" t="n"/>
    </row>
    <row r="159">
      <c r="BF159" s="78" t="n"/>
      <c r="BG159" s="78" t="n"/>
      <c r="BH159" s="78" t="n"/>
      <c r="BI159" s="78" t="n"/>
      <c r="BJ159" s="139" t="n"/>
      <c r="BK159" s="204" t="n"/>
      <c r="BL159" s="141" t="n"/>
      <c r="BM159" s="205" t="n"/>
      <c r="BN159" s="205" t="n"/>
      <c r="BO159" s="206" t="n"/>
      <c r="BP159" s="144" t="n"/>
      <c r="BQ159" s="141" t="n"/>
      <c r="BR159" s="207" t="n"/>
      <c r="BS159" s="207" t="n"/>
      <c r="BT159" s="207" t="n"/>
      <c r="BU159" s="207" t="n"/>
      <c r="BV159" s="208" t="n"/>
      <c r="BW159" s="207" t="n"/>
      <c r="BX159" s="207" t="n"/>
      <c r="BY159" s="204" t="n"/>
      <c r="BZ159" s="148" t="n"/>
      <c r="CA159" s="204" t="n"/>
      <c r="CB159" s="208" t="n"/>
      <c r="CC159" s="139" t="n"/>
      <c r="CD159" s="204" t="n"/>
      <c r="CE159" s="204" t="n"/>
      <c r="CF159" s="207" t="n"/>
      <c r="CG159" s="208" t="n"/>
      <c r="CH159" s="207" t="n"/>
      <c r="CI159" s="208" t="n"/>
      <c r="CJ159" s="204" t="n"/>
      <c r="CK159" s="208" t="n"/>
      <c r="CL159" s="208" t="n"/>
      <c r="CM159" s="208" t="n"/>
      <c r="CN159" s="78" t="n"/>
      <c r="CO159" s="209" t="n"/>
      <c r="CP159" s="204" t="n"/>
      <c r="CQ159" s="204" t="n"/>
      <c r="CR159" s="204" t="n"/>
      <c r="CS159" s="204" t="n"/>
      <c r="CT159" s="204" t="n"/>
      <c r="CU159" s="204" t="n"/>
      <c r="CV159" s="204" t="n"/>
      <c r="CW159" s="204" t="n"/>
      <c r="CX159" s="190" t="n"/>
    </row>
    <row r="160">
      <c r="BF160" s="78" t="n"/>
      <c r="BG160" s="78" t="n"/>
      <c r="BH160" s="78" t="n"/>
      <c r="BI160" s="78" t="n"/>
      <c r="BJ160" s="139" t="n"/>
      <c r="BK160" s="204" t="n"/>
      <c r="BL160" s="141" t="n"/>
      <c r="BM160" s="205" t="n"/>
      <c r="BN160" s="205" t="n"/>
      <c r="BO160" s="206" t="n"/>
      <c r="BP160" s="144" t="n"/>
      <c r="BQ160" s="141" t="n"/>
      <c r="BR160" s="207" t="n"/>
      <c r="BS160" s="207" t="n"/>
      <c r="BT160" s="207" t="n"/>
      <c r="BU160" s="207" t="n"/>
      <c r="BV160" s="208" t="n"/>
      <c r="BW160" s="207" t="n"/>
      <c r="BX160" s="207" t="n"/>
      <c r="BY160" s="204" t="n"/>
      <c r="BZ160" s="148" t="n"/>
      <c r="CA160" s="204" t="n"/>
      <c r="CB160" s="208" t="n"/>
      <c r="CC160" s="139" t="n"/>
      <c r="CD160" s="204" t="n"/>
      <c r="CE160" s="204" t="n"/>
      <c r="CF160" s="207" t="n"/>
      <c r="CG160" s="208" t="n"/>
      <c r="CH160" s="207" t="n"/>
      <c r="CI160" s="208" t="n"/>
      <c r="CJ160" s="204" t="n"/>
      <c r="CK160" s="208" t="n"/>
      <c r="CL160" s="208" t="n"/>
      <c r="CM160" s="208" t="n"/>
      <c r="CN160" s="78" t="n"/>
      <c r="CO160" s="209" t="n"/>
      <c r="CP160" s="204" t="n"/>
      <c r="CQ160" s="204" t="n"/>
      <c r="CR160" s="204" t="n"/>
      <c r="CS160" s="204" t="n"/>
      <c r="CT160" s="204" t="n"/>
      <c r="CU160" s="204" t="n"/>
      <c r="CV160" s="204" t="n"/>
      <c r="CW160" s="204" t="n"/>
      <c r="CX160" s="190" t="n"/>
    </row>
    <row r="161">
      <c r="BF161" s="78" t="n"/>
      <c r="BG161" s="78" t="n"/>
      <c r="BH161" s="78" t="n"/>
      <c r="BI161" s="78" t="n"/>
      <c r="BJ161" s="139" t="n"/>
      <c r="BK161" s="204" t="n"/>
      <c r="BL161" s="141" t="n"/>
      <c r="BM161" s="205" t="n"/>
      <c r="BN161" s="205" t="n"/>
      <c r="BO161" s="206" t="n"/>
      <c r="BP161" s="144" t="n"/>
      <c r="BQ161" s="141" t="n"/>
      <c r="BR161" s="207" t="n"/>
      <c r="BS161" s="207" t="n"/>
      <c r="BT161" s="207" t="n"/>
      <c r="BU161" s="207" t="n"/>
      <c r="BV161" s="208" t="n"/>
      <c r="BW161" s="207" t="n"/>
      <c r="BX161" s="207" t="n"/>
      <c r="BY161" s="204" t="n"/>
      <c r="BZ161" s="148" t="n"/>
      <c r="CA161" s="204" t="n"/>
      <c r="CB161" s="208" t="n"/>
      <c r="CC161" s="139" t="n"/>
      <c r="CD161" s="204" t="n"/>
      <c r="CE161" s="204" t="n"/>
      <c r="CF161" s="207" t="n"/>
      <c r="CG161" s="208" t="n"/>
      <c r="CH161" s="207" t="n"/>
      <c r="CI161" s="208" t="n"/>
      <c r="CJ161" s="204" t="n"/>
      <c r="CK161" s="208" t="n"/>
      <c r="CL161" s="208" t="n"/>
      <c r="CM161" s="208" t="n"/>
      <c r="CN161" s="78" t="n"/>
      <c r="CO161" s="209" t="n"/>
      <c r="CP161" s="204" t="n"/>
      <c r="CQ161" s="204" t="n"/>
      <c r="CR161" s="204" t="n"/>
      <c r="CS161" s="204" t="n"/>
      <c r="CT161" s="204" t="n"/>
      <c r="CU161" s="204" t="n"/>
      <c r="CV161" s="204" t="n"/>
      <c r="CW161" s="204" t="n"/>
      <c r="CX161" s="190" t="n"/>
    </row>
    <row r="162">
      <c r="BF162" s="78" t="n"/>
      <c r="BG162" s="78" t="n"/>
      <c r="BH162" s="78" t="n"/>
      <c r="BI162" s="78" t="n"/>
      <c r="BJ162" s="139" t="n"/>
      <c r="BK162" s="204" t="n"/>
      <c r="BL162" s="141" t="n"/>
      <c r="BM162" s="205" t="n"/>
      <c r="BN162" s="205" t="n"/>
      <c r="BO162" s="206" t="n"/>
      <c r="BP162" s="144" t="n"/>
      <c r="BQ162" s="141" t="n"/>
      <c r="BR162" s="207" t="n"/>
      <c r="BS162" s="207" t="n"/>
      <c r="BT162" s="207" t="n"/>
      <c r="BU162" s="207" t="n"/>
      <c r="BV162" s="208" t="n"/>
      <c r="BW162" s="207" t="n"/>
      <c r="BX162" s="207" t="n"/>
      <c r="BY162" s="204" t="n"/>
      <c r="BZ162" s="148" t="n"/>
      <c r="CA162" s="204" t="n"/>
      <c r="CB162" s="208" t="n"/>
      <c r="CC162" s="139" t="n"/>
      <c r="CD162" s="204" t="n"/>
      <c r="CE162" s="204" t="n"/>
      <c r="CF162" s="207" t="n"/>
      <c r="CG162" s="208" t="n"/>
      <c r="CH162" s="207" t="n"/>
      <c r="CI162" s="208" t="n"/>
      <c r="CJ162" s="204" t="n"/>
      <c r="CK162" s="208" t="n"/>
      <c r="CL162" s="208" t="n"/>
      <c r="CM162" s="208" t="n"/>
      <c r="CN162" s="78" t="n"/>
      <c r="CO162" s="209" t="n"/>
      <c r="CP162" s="204" t="n"/>
      <c r="CQ162" s="204" t="n"/>
      <c r="CR162" s="204" t="n"/>
      <c r="CS162" s="204" t="n"/>
      <c r="CT162" s="204" t="n"/>
      <c r="CU162" s="204" t="n"/>
      <c r="CV162" s="204" t="n"/>
      <c r="CW162" s="204" t="n"/>
      <c r="CX162" s="190" t="n"/>
    </row>
    <row r="163">
      <c r="AR163" s="151" t="n"/>
      <c r="BF163" s="78" t="n"/>
      <c r="BG163" s="78" t="n"/>
      <c r="BH163" s="78" t="n"/>
      <c r="BI163" s="78" t="n"/>
      <c r="BJ163" s="139" t="n"/>
      <c r="BK163" s="204" t="n"/>
      <c r="BL163" s="141" t="n"/>
      <c r="BM163" s="205" t="n"/>
      <c r="BN163" s="205" t="n"/>
      <c r="BO163" s="206" t="n"/>
      <c r="BP163" s="144" t="n"/>
      <c r="BQ163" s="141" t="n"/>
      <c r="BR163" s="207" t="n"/>
      <c r="BS163" s="207" t="n"/>
      <c r="BT163" s="207" t="n"/>
      <c r="BU163" s="207" t="n"/>
      <c r="BV163" s="208" t="n"/>
      <c r="BW163" s="207" t="n"/>
      <c r="BX163" s="207" t="n"/>
      <c r="BY163" s="204" t="n"/>
      <c r="BZ163" s="148" t="n"/>
      <c r="CA163" s="204" t="n"/>
      <c r="CB163" s="208" t="n"/>
      <c r="CC163" s="139" t="n"/>
      <c r="CD163" s="204" t="n"/>
      <c r="CE163" s="204" t="n"/>
      <c r="CF163" s="207" t="n"/>
      <c r="CG163" s="208" t="n"/>
      <c r="CH163" s="207" t="n"/>
      <c r="CI163" s="208" t="n"/>
      <c r="CJ163" s="204" t="n"/>
      <c r="CK163" s="208" t="n"/>
      <c r="CL163" s="208" t="n"/>
      <c r="CM163" s="208" t="n"/>
      <c r="CN163" s="78" t="n"/>
      <c r="CO163" s="209" t="n"/>
      <c r="CP163" s="204" t="n"/>
      <c r="CQ163" s="204" t="n"/>
      <c r="CR163" s="204" t="n"/>
      <c r="CS163" s="204" t="n"/>
      <c r="CT163" s="204" t="n"/>
      <c r="CU163" s="204" t="n"/>
      <c r="CV163" s="204" t="n"/>
      <c r="CW163" s="204" t="n"/>
      <c r="CX163" s="190" t="n"/>
    </row>
    <row r="164">
      <c r="BF164" s="78" t="n"/>
      <c r="BG164" s="78" t="n"/>
      <c r="BH164" s="78" t="n"/>
      <c r="BI164" s="78" t="n"/>
      <c r="BJ164" s="139" t="n"/>
      <c r="BK164" s="204" t="n"/>
      <c r="BL164" s="141" t="n"/>
      <c r="BM164" s="205" t="n"/>
      <c r="BN164" s="205" t="n"/>
      <c r="BO164" s="206" t="n"/>
      <c r="BP164" s="144" t="n"/>
      <c r="BQ164" s="141" t="n"/>
      <c r="BR164" s="207" t="n"/>
      <c r="BS164" s="207" t="n"/>
      <c r="BT164" s="207" t="n"/>
      <c r="BU164" s="207" t="n"/>
      <c r="BV164" s="208" t="n"/>
      <c r="BW164" s="207" t="n"/>
      <c r="BX164" s="207" t="n"/>
      <c r="BY164" s="204" t="n"/>
      <c r="BZ164" s="148" t="n"/>
      <c r="CA164" s="204" t="n"/>
      <c r="CB164" s="208" t="n"/>
      <c r="CC164" s="139" t="n"/>
      <c r="CD164" s="204" t="n"/>
      <c r="CE164" s="204" t="n"/>
      <c r="CF164" s="207" t="n"/>
      <c r="CG164" s="208" t="n"/>
      <c r="CH164" s="207" t="n"/>
      <c r="CI164" s="208" t="n"/>
      <c r="CJ164" s="204" t="n"/>
      <c r="CK164" s="208" t="n"/>
      <c r="CL164" s="208" t="n"/>
      <c r="CM164" s="208" t="n"/>
      <c r="CN164" s="78" t="n"/>
      <c r="CO164" s="209" t="n"/>
      <c r="CP164" s="204" t="n"/>
      <c r="CQ164" s="204" t="n"/>
      <c r="CR164" s="204" t="n"/>
      <c r="CS164" s="204" t="n"/>
      <c r="CT164" s="204" t="n"/>
      <c r="CU164" s="204" t="n"/>
      <c r="CV164" s="204" t="n"/>
      <c r="CW164" s="204" t="n"/>
      <c r="CX164" s="190" t="n"/>
    </row>
    <row r="165">
      <c r="BF165" s="78" t="n"/>
      <c r="BG165" s="78" t="n"/>
      <c r="BH165" s="78" t="n"/>
      <c r="BI165" s="78" t="n"/>
      <c r="BJ165" s="139" t="n"/>
      <c r="BK165" s="204" t="n"/>
      <c r="BL165" s="141" t="n"/>
      <c r="BM165" s="205" t="n"/>
      <c r="BN165" s="205" t="n"/>
      <c r="BO165" s="206" t="n"/>
      <c r="BP165" s="144" t="n"/>
      <c r="BQ165" s="141" t="n"/>
      <c r="BR165" s="207" t="n"/>
      <c r="BS165" s="207" t="n"/>
      <c r="BT165" s="207" t="n"/>
      <c r="BU165" s="207" t="n"/>
      <c r="BV165" s="208" t="n"/>
      <c r="BW165" s="207" t="n"/>
      <c r="BX165" s="207" t="n"/>
      <c r="BY165" s="204" t="n"/>
      <c r="BZ165" s="148" t="n"/>
      <c r="CA165" s="204" t="n"/>
      <c r="CB165" s="208" t="n"/>
      <c r="CC165" s="139" t="n"/>
      <c r="CD165" s="204" t="n"/>
      <c r="CE165" s="204" t="n"/>
      <c r="CF165" s="207" t="n"/>
      <c r="CG165" s="208" t="n"/>
      <c r="CH165" s="207" t="n"/>
      <c r="CI165" s="208" t="n"/>
      <c r="CJ165" s="204" t="n"/>
      <c r="CK165" s="208" t="n"/>
      <c r="CL165" s="208" t="n"/>
      <c r="CM165" s="208" t="n"/>
      <c r="CN165" s="78" t="n"/>
      <c r="CO165" s="209" t="n"/>
      <c r="CP165" s="204" t="n"/>
      <c r="CQ165" s="204" t="n"/>
      <c r="CR165" s="204" t="n"/>
      <c r="CS165" s="204" t="n"/>
      <c r="CT165" s="204" t="n"/>
      <c r="CU165" s="204" t="n"/>
      <c r="CV165" s="204" t="n"/>
      <c r="CW165" s="204" t="n"/>
      <c r="CX165" s="190" t="n"/>
    </row>
    <row r="166">
      <c r="BF166" s="78" t="n"/>
      <c r="BG166" s="78" t="n"/>
      <c r="BH166" s="78" t="n"/>
      <c r="BI166" s="78" t="n"/>
      <c r="BJ166" s="139" t="n"/>
      <c r="BK166" s="204" t="n"/>
      <c r="BL166" s="141" t="n"/>
      <c r="BM166" s="205" t="n"/>
      <c r="BN166" s="205" t="n"/>
      <c r="BO166" s="206" t="n"/>
      <c r="BP166" s="144" t="n"/>
      <c r="BQ166" s="141" t="n"/>
      <c r="BR166" s="207" t="n"/>
      <c r="BS166" s="207" t="n"/>
      <c r="BT166" s="207" t="n"/>
      <c r="BU166" s="207" t="n"/>
      <c r="BV166" s="208" t="n"/>
      <c r="BW166" s="207" t="n"/>
      <c r="BX166" s="207" t="n"/>
      <c r="BY166" s="204" t="n"/>
      <c r="BZ166" s="148" t="n"/>
      <c r="CA166" s="204" t="n"/>
      <c r="CB166" s="208" t="n"/>
      <c r="CC166" s="139" t="n"/>
      <c r="CD166" s="204" t="n"/>
      <c r="CE166" s="204" t="n"/>
      <c r="CF166" s="207" t="n"/>
      <c r="CG166" s="208" t="n"/>
      <c r="CH166" s="207" t="n"/>
      <c r="CI166" s="208" t="n"/>
      <c r="CJ166" s="204" t="n"/>
      <c r="CK166" s="208" t="n"/>
      <c r="CL166" s="208" t="n"/>
      <c r="CM166" s="208" t="n"/>
      <c r="CN166" s="78" t="n"/>
      <c r="CO166" s="209" t="n"/>
      <c r="CP166" s="204" t="n"/>
      <c r="CQ166" s="204" t="n"/>
      <c r="CR166" s="204" t="n"/>
      <c r="CS166" s="204" t="n"/>
      <c r="CT166" s="204" t="n"/>
      <c r="CU166" s="204" t="n"/>
      <c r="CV166" s="204" t="n"/>
      <c r="CW166" s="204" t="n"/>
      <c r="CX166" s="190" t="n"/>
    </row>
    <row r="167">
      <c r="BF167" s="78" t="n"/>
      <c r="BG167" s="78" t="n"/>
      <c r="BH167" s="78" t="n"/>
      <c r="BI167" s="78" t="n"/>
      <c r="BJ167" s="139" t="n"/>
      <c r="BK167" s="204" t="n"/>
      <c r="BL167" s="141" t="n"/>
      <c r="BM167" s="205" t="n"/>
      <c r="BN167" s="205" t="n"/>
      <c r="BO167" s="206" t="n"/>
      <c r="BP167" s="144" t="n"/>
      <c r="BQ167" s="141" t="n"/>
      <c r="BR167" s="207" t="n"/>
      <c r="BS167" s="207" t="n"/>
      <c r="BT167" s="207" t="n"/>
      <c r="BU167" s="207" t="n"/>
      <c r="BV167" s="208" t="n"/>
      <c r="BW167" s="207" t="n"/>
      <c r="BX167" s="207" t="n"/>
      <c r="BY167" s="204" t="n"/>
      <c r="BZ167" s="148" t="n"/>
      <c r="CA167" s="204" t="n"/>
      <c r="CB167" s="208" t="n"/>
      <c r="CC167" s="139" t="n"/>
      <c r="CD167" s="204" t="n"/>
      <c r="CE167" s="204" t="n"/>
      <c r="CF167" s="207" t="n"/>
      <c r="CG167" s="208" t="n"/>
      <c r="CH167" s="207" t="n"/>
      <c r="CI167" s="208" t="n"/>
      <c r="CJ167" s="204" t="n"/>
      <c r="CK167" s="208" t="n"/>
      <c r="CL167" s="208" t="n"/>
      <c r="CM167" s="208" t="n"/>
      <c r="CN167" s="78" t="n"/>
      <c r="CO167" s="209" t="n"/>
      <c r="CP167" s="204" t="n"/>
      <c r="CQ167" s="204" t="n"/>
      <c r="CR167" s="204" t="n"/>
      <c r="CS167" s="204" t="n"/>
      <c r="CT167" s="204" t="n"/>
      <c r="CU167" s="204" t="n"/>
      <c r="CV167" s="204" t="n"/>
      <c r="CW167" s="204" t="n"/>
      <c r="CX167" s="190" t="n"/>
    </row>
    <row r="168">
      <c r="BF168" s="78" t="n"/>
      <c r="BG168" s="78" t="n"/>
      <c r="BH168" s="78" t="n"/>
      <c r="BI168" s="78" t="n"/>
      <c r="BJ168" s="139" t="n"/>
      <c r="BK168" s="204" t="n"/>
      <c r="BL168" s="141" t="n"/>
      <c r="BM168" s="205" t="n"/>
      <c r="BN168" s="205" t="n"/>
      <c r="BO168" s="206" t="n"/>
      <c r="BP168" s="144" t="n"/>
      <c r="BQ168" s="141" t="n"/>
      <c r="BR168" s="207" t="n"/>
      <c r="BS168" s="207" t="n"/>
      <c r="BT168" s="207" t="n"/>
      <c r="BU168" s="207" t="n"/>
      <c r="BV168" s="208" t="n"/>
      <c r="BW168" s="207" t="n"/>
      <c r="BX168" s="207" t="n"/>
      <c r="BY168" s="204" t="n"/>
      <c r="BZ168" s="148" t="n"/>
      <c r="CA168" s="204" t="n"/>
      <c r="CB168" s="208" t="n"/>
      <c r="CC168" s="139" t="n"/>
      <c r="CD168" s="204" t="n"/>
      <c r="CE168" s="204" t="n"/>
      <c r="CF168" s="207" t="n"/>
      <c r="CG168" s="208" t="n"/>
      <c r="CH168" s="207" t="n"/>
      <c r="CI168" s="208" t="n"/>
      <c r="CJ168" s="204" t="n"/>
      <c r="CK168" s="208" t="n"/>
      <c r="CL168" s="208" t="n"/>
      <c r="CM168" s="208" t="n"/>
      <c r="CN168" s="78" t="n"/>
      <c r="CO168" s="209" t="n"/>
      <c r="CP168" s="204" t="n"/>
      <c r="CQ168" s="204" t="n"/>
      <c r="CR168" s="204" t="n"/>
      <c r="CS168" s="204" t="n"/>
      <c r="CT168" s="204" t="n"/>
      <c r="CU168" s="204" t="n"/>
      <c r="CV168" s="204" t="n"/>
      <c r="CW168" s="204" t="n"/>
      <c r="CX168" s="190" t="n"/>
    </row>
    <row r="169">
      <c r="BF169" s="78" t="n"/>
      <c r="BG169" s="78" t="n"/>
      <c r="BH169" s="78" t="n"/>
      <c r="BI169" s="78" t="n"/>
      <c r="BJ169" s="139" t="n"/>
      <c r="BK169" s="204" t="n"/>
      <c r="BL169" s="141" t="n"/>
      <c r="BM169" s="205" t="n"/>
      <c r="BN169" s="205" t="n"/>
      <c r="BO169" s="206" t="n"/>
      <c r="BP169" s="144" t="n"/>
      <c r="BQ169" s="141" t="n"/>
      <c r="BR169" s="207" t="n"/>
      <c r="BS169" s="207" t="n"/>
      <c r="BT169" s="207" t="n"/>
      <c r="BU169" s="207" t="n"/>
      <c r="BV169" s="208" t="n"/>
      <c r="BW169" s="207" t="n"/>
      <c r="BX169" s="207" t="n"/>
      <c r="BY169" s="204" t="n"/>
      <c r="BZ169" s="148" t="n"/>
      <c r="CA169" s="204" t="n"/>
      <c r="CB169" s="208" t="n"/>
      <c r="CC169" s="139" t="n"/>
      <c r="CD169" s="204" t="n"/>
      <c r="CE169" s="204" t="n"/>
      <c r="CF169" s="207" t="n"/>
      <c r="CG169" s="208" t="n"/>
      <c r="CH169" s="207" t="n"/>
      <c r="CI169" s="208" t="n"/>
      <c r="CJ169" s="204" t="n"/>
      <c r="CK169" s="208" t="n"/>
      <c r="CL169" s="208" t="n"/>
      <c r="CM169" s="208" t="n"/>
      <c r="CN169" s="78" t="n"/>
      <c r="CO169" s="209" t="n"/>
      <c r="CP169" s="204" t="n"/>
      <c r="CQ169" s="204" t="n"/>
      <c r="CR169" s="204" t="n"/>
      <c r="CS169" s="204" t="n"/>
      <c r="CT169" s="204" t="n"/>
      <c r="CU169" s="204" t="n"/>
      <c r="CV169" s="204" t="n"/>
      <c r="CW169" s="204" t="n"/>
      <c r="CX169" s="190" t="n"/>
    </row>
    <row r="170">
      <c r="BF170" s="78" t="n"/>
      <c r="BG170" s="78" t="n"/>
      <c r="BH170" s="78" t="n"/>
      <c r="BI170" s="78" t="n"/>
      <c r="BJ170" s="139" t="n"/>
      <c r="BK170" s="204" t="n"/>
      <c r="BL170" s="141" t="n"/>
      <c r="BM170" s="205" t="n"/>
      <c r="BN170" s="205" t="n"/>
      <c r="BO170" s="206" t="n"/>
      <c r="BP170" s="144" t="n"/>
      <c r="BQ170" s="141" t="n"/>
      <c r="BR170" s="207" t="n"/>
      <c r="BS170" s="207" t="n"/>
      <c r="BT170" s="207" t="n"/>
      <c r="BU170" s="207" t="n"/>
      <c r="BV170" s="208" t="n"/>
      <c r="BW170" s="207" t="n"/>
      <c r="BX170" s="207" t="n"/>
      <c r="BY170" s="204" t="n"/>
      <c r="BZ170" s="148" t="n"/>
      <c r="CA170" s="204" t="n"/>
      <c r="CB170" s="208" t="n"/>
      <c r="CC170" s="139" t="n"/>
      <c r="CD170" s="204" t="n"/>
      <c r="CE170" s="204" t="n"/>
      <c r="CF170" s="207" t="n"/>
      <c r="CG170" s="208" t="n"/>
      <c r="CH170" s="207" t="n"/>
      <c r="CI170" s="208" t="n"/>
      <c r="CJ170" s="204" t="n"/>
      <c r="CK170" s="208" t="n"/>
      <c r="CL170" s="208" t="n"/>
      <c r="CM170" s="208" t="n"/>
      <c r="CN170" s="78" t="n"/>
      <c r="CO170" s="209" t="n"/>
      <c r="CP170" s="204" t="n"/>
      <c r="CQ170" s="204" t="n"/>
      <c r="CR170" s="204" t="n"/>
      <c r="CS170" s="204" t="n"/>
      <c r="CT170" s="204" t="n"/>
      <c r="CU170" s="204" t="n"/>
      <c r="CV170" s="204" t="n"/>
      <c r="CW170" s="204" t="n"/>
      <c r="CX170" s="190" t="n"/>
    </row>
    <row r="171">
      <c r="BF171" s="78" t="n"/>
      <c r="BG171" s="78" t="n"/>
      <c r="BH171" s="78" t="n"/>
      <c r="BI171" s="78" t="n"/>
      <c r="BJ171" s="139" t="n"/>
      <c r="BK171" s="204" t="n"/>
      <c r="BL171" s="141" t="n"/>
      <c r="BM171" s="205" t="n"/>
      <c r="BN171" s="205" t="n"/>
      <c r="BO171" s="206" t="n"/>
      <c r="BP171" s="144" t="n"/>
      <c r="BQ171" s="141" t="n"/>
      <c r="BR171" s="207" t="n"/>
      <c r="BS171" s="207" t="n"/>
      <c r="BT171" s="207" t="n"/>
      <c r="BU171" s="207" t="n"/>
      <c r="BV171" s="208" t="n"/>
      <c r="BW171" s="207" t="n"/>
      <c r="BX171" s="207" t="n"/>
      <c r="BY171" s="204" t="n"/>
      <c r="BZ171" s="148" t="n"/>
      <c r="CA171" s="204" t="n"/>
      <c r="CB171" s="208" t="n"/>
      <c r="CC171" s="139" t="n"/>
      <c r="CD171" s="204" t="n"/>
      <c r="CE171" s="204" t="n"/>
      <c r="CF171" s="207" t="n"/>
      <c r="CG171" s="208" t="n"/>
      <c r="CH171" s="207" t="n"/>
      <c r="CI171" s="208" t="n"/>
      <c r="CJ171" s="204" t="n"/>
      <c r="CK171" s="208" t="n"/>
      <c r="CL171" s="208" t="n"/>
      <c r="CM171" s="208" t="n"/>
      <c r="CN171" s="78" t="n"/>
      <c r="CO171" s="209" t="n"/>
      <c r="CP171" s="204" t="n"/>
      <c r="CQ171" s="204" t="n"/>
      <c r="CR171" s="204" t="n"/>
      <c r="CS171" s="204" t="n"/>
      <c r="CT171" s="204" t="n"/>
      <c r="CU171" s="204" t="n"/>
      <c r="CV171" s="204" t="n"/>
      <c r="CW171" s="204" t="n"/>
      <c r="CX171" s="190" t="n"/>
    </row>
    <row r="172">
      <c r="BF172" s="78" t="n"/>
      <c r="BG172" s="78" t="n"/>
      <c r="BH172" s="78" t="n"/>
      <c r="BI172" s="78" t="n"/>
      <c r="BJ172" s="139" t="n"/>
      <c r="BK172" s="204" t="n"/>
      <c r="BL172" s="141" t="n"/>
      <c r="BM172" s="205" t="n"/>
      <c r="BN172" s="205" t="n"/>
      <c r="BO172" s="206" t="n"/>
      <c r="BP172" s="144" t="n"/>
      <c r="BQ172" s="141" t="n"/>
      <c r="BR172" s="207" t="n"/>
      <c r="BS172" s="207" t="n"/>
      <c r="BT172" s="207" t="n"/>
      <c r="BU172" s="207" t="n"/>
      <c r="BV172" s="208" t="n"/>
      <c r="BW172" s="207" t="n"/>
      <c r="BX172" s="207" t="n"/>
      <c r="BY172" s="204" t="n"/>
      <c r="BZ172" s="148" t="n"/>
      <c r="CA172" s="204" t="n"/>
      <c r="CB172" s="208" t="n"/>
      <c r="CC172" s="139" t="n"/>
      <c r="CD172" s="204" t="n"/>
      <c r="CE172" s="204" t="n"/>
      <c r="CF172" s="207" t="n"/>
      <c r="CG172" s="208" t="n"/>
      <c r="CH172" s="207" t="n"/>
      <c r="CI172" s="208" t="n"/>
      <c r="CJ172" s="204" t="n"/>
      <c r="CK172" s="208" t="n"/>
      <c r="CL172" s="208" t="n"/>
      <c r="CM172" s="208" t="n"/>
      <c r="CN172" s="78" t="n"/>
      <c r="CO172" s="209" t="n"/>
      <c r="CP172" s="204" t="n"/>
      <c r="CQ172" s="204" t="n"/>
      <c r="CR172" s="204" t="n"/>
      <c r="CS172" s="204" t="n"/>
      <c r="CT172" s="204" t="n"/>
      <c r="CU172" s="204" t="n"/>
      <c r="CV172" s="204" t="n"/>
      <c r="CW172" s="204" t="n"/>
      <c r="CX172" s="190" t="n"/>
    </row>
    <row r="173">
      <c r="BF173" s="78" t="n"/>
      <c r="BG173" s="78" t="n"/>
      <c r="BH173" s="78" t="n"/>
      <c r="BI173" s="78" t="n"/>
      <c r="BJ173" s="139" t="n"/>
      <c r="BK173" s="204" t="n"/>
      <c r="BL173" s="141" t="n"/>
      <c r="BM173" s="205" t="n"/>
      <c r="BN173" s="205" t="n"/>
      <c r="BO173" s="206" t="n"/>
      <c r="BP173" s="144" t="n"/>
      <c r="BQ173" s="141" t="n"/>
      <c r="BR173" s="207" t="n"/>
      <c r="BS173" s="207" t="n"/>
      <c r="BT173" s="207" t="n"/>
      <c r="BU173" s="207" t="n"/>
      <c r="BV173" s="208" t="n"/>
      <c r="BW173" s="207" t="n"/>
      <c r="BX173" s="207" t="n"/>
      <c r="BY173" s="204" t="n"/>
      <c r="BZ173" s="148" t="n"/>
      <c r="CA173" s="204" t="n"/>
      <c r="CB173" s="208" t="n"/>
      <c r="CC173" s="139" t="n"/>
      <c r="CD173" s="204" t="n"/>
      <c r="CE173" s="204" t="n"/>
      <c r="CF173" s="207" t="n"/>
      <c r="CG173" s="208" t="n"/>
      <c r="CH173" s="207" t="n"/>
      <c r="CI173" s="208" t="n"/>
      <c r="CJ173" s="204" t="n"/>
      <c r="CK173" s="208" t="n"/>
      <c r="CL173" s="208" t="n"/>
      <c r="CM173" s="208" t="n"/>
      <c r="CN173" s="78" t="n"/>
      <c r="CO173" s="209" t="n"/>
      <c r="CP173" s="204" t="n"/>
      <c r="CQ173" s="204" t="n"/>
      <c r="CR173" s="204" t="n"/>
      <c r="CS173" s="204" t="n"/>
      <c r="CT173" s="204" t="n"/>
      <c r="CU173" s="204" t="n"/>
      <c r="CV173" s="204" t="n"/>
      <c r="CW173" s="204" t="n"/>
      <c r="CX173" s="190" t="n"/>
    </row>
    <row r="174">
      <c r="BF174" s="78" t="n"/>
      <c r="BG174" s="78" t="n"/>
      <c r="BH174" s="78" t="n"/>
      <c r="BI174" s="78" t="n"/>
      <c r="BJ174" s="139" t="n"/>
      <c r="BK174" s="204" t="n"/>
      <c r="BL174" s="141" t="n"/>
      <c r="BM174" s="205" t="n"/>
      <c r="BN174" s="205" t="n"/>
      <c r="BO174" s="206" t="n"/>
      <c r="BP174" s="144" t="n"/>
      <c r="BQ174" s="141" t="n"/>
      <c r="BR174" s="207" t="n"/>
      <c r="BS174" s="207" t="n"/>
      <c r="BT174" s="207" t="n"/>
      <c r="BU174" s="207" t="n"/>
      <c r="BV174" s="208" t="n"/>
      <c r="BW174" s="207" t="n"/>
      <c r="BX174" s="207" t="n"/>
      <c r="BY174" s="204" t="n"/>
      <c r="BZ174" s="148" t="n"/>
      <c r="CA174" s="204" t="n"/>
      <c r="CB174" s="208" t="n"/>
      <c r="CC174" s="139" t="n"/>
      <c r="CD174" s="204" t="n"/>
      <c r="CE174" s="204" t="n"/>
      <c r="CF174" s="207" t="n"/>
      <c r="CG174" s="208" t="n"/>
      <c r="CH174" s="207" t="n"/>
      <c r="CI174" s="208" t="n"/>
      <c r="CJ174" s="204" t="n"/>
      <c r="CK174" s="208" t="n"/>
      <c r="CL174" s="208" t="n"/>
      <c r="CM174" s="208" t="n"/>
      <c r="CN174" s="78" t="n"/>
      <c r="CO174" s="209" t="n"/>
      <c r="CP174" s="204" t="n"/>
      <c r="CQ174" s="204" t="n"/>
      <c r="CR174" s="204" t="n"/>
      <c r="CS174" s="204" t="n"/>
      <c r="CT174" s="204" t="n"/>
      <c r="CU174" s="204" t="n"/>
      <c r="CV174" s="204" t="n"/>
      <c r="CW174" s="204" t="n"/>
      <c r="CX174" s="190" t="n"/>
    </row>
    <row r="175">
      <c r="BF175" s="78" t="n"/>
      <c r="BG175" s="78" t="n"/>
      <c r="BH175" s="78" t="n"/>
      <c r="BI175" s="78" t="n"/>
      <c r="BJ175" s="139" t="n"/>
      <c r="BK175" s="204" t="n"/>
      <c r="BL175" s="141" t="n"/>
      <c r="BM175" s="205" t="n"/>
      <c r="BN175" s="205" t="n"/>
      <c r="BO175" s="206" t="n"/>
      <c r="BP175" s="144" t="n"/>
      <c r="BQ175" s="141" t="n"/>
      <c r="BR175" s="207" t="n"/>
      <c r="BS175" s="207" t="n"/>
      <c r="BT175" s="207" t="n"/>
      <c r="BU175" s="207" t="n"/>
      <c r="BV175" s="208" t="n"/>
      <c r="BW175" s="207" t="n"/>
      <c r="BX175" s="207" t="n"/>
      <c r="BY175" s="204" t="n"/>
      <c r="BZ175" s="148" t="n"/>
      <c r="CA175" s="204" t="n"/>
      <c r="CB175" s="208" t="n"/>
      <c r="CC175" s="139" t="n"/>
      <c r="CD175" s="204" t="n"/>
      <c r="CE175" s="204" t="n"/>
      <c r="CF175" s="207" t="n"/>
      <c r="CG175" s="208" t="n"/>
      <c r="CH175" s="207" t="n"/>
      <c r="CI175" s="208" t="n"/>
      <c r="CJ175" s="204" t="n"/>
      <c r="CK175" s="208" t="n"/>
      <c r="CL175" s="208" t="n"/>
      <c r="CM175" s="208" t="n"/>
      <c r="CN175" s="78" t="n"/>
      <c r="CO175" s="209" t="n"/>
      <c r="CP175" s="204" t="n"/>
      <c r="CQ175" s="204" t="n"/>
      <c r="CR175" s="204" t="n"/>
      <c r="CS175" s="204" t="n"/>
      <c r="CT175" s="204" t="n"/>
      <c r="CU175" s="204" t="n"/>
      <c r="CV175" s="204" t="n"/>
      <c r="CW175" s="204" t="n"/>
      <c r="CX175" s="190" t="n"/>
    </row>
    <row r="176">
      <c r="BF176" s="78" t="n"/>
      <c r="BG176" s="78" t="n"/>
      <c r="BH176" s="78" t="n"/>
      <c r="BI176" s="78" t="n"/>
      <c r="BJ176" s="139" t="n"/>
      <c r="BK176" s="204" t="n"/>
      <c r="BL176" s="141" t="n"/>
      <c r="BM176" s="205" t="n"/>
      <c r="BN176" s="205" t="n"/>
      <c r="BO176" s="206" t="n"/>
      <c r="BP176" s="144" t="n"/>
      <c r="BQ176" s="141" t="n"/>
      <c r="BR176" s="207" t="n"/>
      <c r="BS176" s="207" t="n"/>
      <c r="BT176" s="207" t="n"/>
      <c r="BU176" s="207" t="n"/>
      <c r="BV176" s="208" t="n"/>
      <c r="BW176" s="207" t="n"/>
      <c r="BX176" s="207" t="n"/>
      <c r="BY176" s="204" t="n"/>
      <c r="BZ176" s="148" t="n"/>
      <c r="CA176" s="204" t="n"/>
      <c r="CB176" s="208" t="n"/>
      <c r="CC176" s="139" t="n"/>
      <c r="CD176" s="204" t="n"/>
      <c r="CE176" s="204" t="n"/>
      <c r="CF176" s="207" t="n"/>
      <c r="CG176" s="208" t="n"/>
      <c r="CH176" s="207" t="n"/>
      <c r="CI176" s="208" t="n"/>
      <c r="CJ176" s="204" t="n"/>
      <c r="CK176" s="208" t="n"/>
      <c r="CL176" s="208" t="n"/>
      <c r="CM176" s="208" t="n"/>
      <c r="CN176" s="78" t="n"/>
      <c r="CO176" s="209" t="n"/>
      <c r="CP176" s="204" t="n"/>
      <c r="CQ176" s="204" t="n"/>
      <c r="CR176" s="204" t="n"/>
      <c r="CS176" s="204" t="n"/>
      <c r="CT176" s="204" t="n"/>
      <c r="CU176" s="204" t="n"/>
      <c r="CV176" s="204" t="n"/>
      <c r="CW176" s="204" t="n"/>
      <c r="CX176" s="190" t="n"/>
    </row>
    <row r="177">
      <c r="BF177" s="78" t="n"/>
      <c r="BG177" s="78" t="n"/>
      <c r="BH177" s="78" t="n"/>
      <c r="BI177" s="78" t="n"/>
      <c r="BJ177" s="139" t="n"/>
      <c r="BK177" s="204" t="n"/>
      <c r="BL177" s="141" t="n"/>
      <c r="BM177" s="205" t="n"/>
      <c r="BN177" s="205" t="n"/>
      <c r="BO177" s="206" t="n"/>
      <c r="BP177" s="144" t="n"/>
      <c r="BQ177" s="141" t="n"/>
      <c r="BR177" s="207" t="n"/>
      <c r="BS177" s="207" t="n"/>
      <c r="BT177" s="207" t="n"/>
      <c r="BU177" s="207" t="n"/>
      <c r="BV177" s="208" t="n"/>
      <c r="BW177" s="207" t="n"/>
      <c r="BX177" s="207" t="n"/>
      <c r="BY177" s="204" t="n"/>
      <c r="BZ177" s="148" t="n"/>
      <c r="CA177" s="204" t="n"/>
      <c r="CB177" s="208" t="n"/>
      <c r="CC177" s="139" t="n"/>
      <c r="CD177" s="204" t="n"/>
      <c r="CE177" s="204" t="n"/>
      <c r="CF177" s="207" t="n"/>
      <c r="CG177" s="208" t="n"/>
      <c r="CH177" s="207" t="n"/>
      <c r="CI177" s="208" t="n"/>
      <c r="CJ177" s="204" t="n"/>
      <c r="CK177" s="208" t="n"/>
      <c r="CL177" s="208" t="n"/>
      <c r="CM177" s="208" t="n"/>
      <c r="CN177" s="78" t="n"/>
      <c r="CO177" s="209" t="n"/>
      <c r="CP177" s="204" t="n"/>
      <c r="CQ177" s="204" t="n"/>
      <c r="CR177" s="204" t="n"/>
      <c r="CS177" s="204" t="n"/>
      <c r="CT177" s="204" t="n"/>
      <c r="CU177" s="204" t="n"/>
      <c r="CV177" s="204" t="n"/>
      <c r="CW177" s="204" t="n"/>
      <c r="CX177" s="190" t="n"/>
    </row>
    <row r="178">
      <c r="BF178" s="78" t="n"/>
      <c r="BG178" s="78" t="n"/>
      <c r="BH178" s="78" t="n"/>
      <c r="BI178" s="78" t="n"/>
      <c r="BJ178" s="139" t="n"/>
      <c r="BK178" s="204" t="n"/>
      <c r="BL178" s="141" t="n"/>
      <c r="BM178" s="205" t="n"/>
      <c r="BN178" s="205" t="n"/>
      <c r="BO178" s="206" t="n"/>
      <c r="BP178" s="144" t="n"/>
      <c r="BQ178" s="141" t="n"/>
      <c r="BR178" s="207" t="n"/>
      <c r="BS178" s="207" t="n"/>
      <c r="BT178" s="207" t="n"/>
      <c r="BU178" s="207" t="n"/>
      <c r="BV178" s="208" t="n"/>
      <c r="BW178" s="207" t="n"/>
      <c r="BX178" s="207" t="n"/>
      <c r="BY178" s="204" t="n"/>
      <c r="BZ178" s="148" t="n"/>
      <c r="CA178" s="204" t="n"/>
      <c r="CB178" s="208" t="n"/>
      <c r="CC178" s="139" t="n"/>
      <c r="CD178" s="204" t="n"/>
      <c r="CE178" s="204" t="n"/>
      <c r="CF178" s="207" t="n"/>
      <c r="CG178" s="208" t="n"/>
      <c r="CH178" s="207" t="n"/>
      <c r="CI178" s="208" t="n"/>
      <c r="CJ178" s="204" t="n"/>
      <c r="CK178" s="208" t="n"/>
      <c r="CL178" s="208" t="n"/>
      <c r="CM178" s="208" t="n"/>
      <c r="CN178" s="78" t="n"/>
      <c r="CO178" s="209" t="n"/>
      <c r="CP178" s="204" t="n"/>
      <c r="CQ178" s="204" t="n"/>
      <c r="CR178" s="204" t="n"/>
      <c r="CS178" s="204" t="n"/>
      <c r="CT178" s="204" t="n"/>
      <c r="CU178" s="204" t="n"/>
      <c r="CV178" s="204" t="n"/>
      <c r="CW178" s="204" t="n"/>
      <c r="CX178" s="190" t="n"/>
    </row>
    <row r="179">
      <c r="BF179" s="78" t="n"/>
      <c r="BG179" s="78" t="n"/>
      <c r="BH179" s="78" t="n"/>
      <c r="BI179" s="78" t="n"/>
      <c r="BJ179" s="139" t="n"/>
      <c r="BK179" s="204" t="n"/>
      <c r="BL179" s="141" t="n"/>
      <c r="BM179" s="205" t="n"/>
      <c r="BN179" s="205" t="n"/>
      <c r="BO179" s="206" t="n"/>
      <c r="BP179" s="144" t="n"/>
      <c r="BQ179" s="141" t="n"/>
      <c r="BR179" s="207" t="n"/>
      <c r="BS179" s="207" t="n"/>
      <c r="BT179" s="207" t="n"/>
      <c r="BU179" s="207" t="n"/>
      <c r="BV179" s="208" t="n"/>
      <c r="BW179" s="207" t="n"/>
      <c r="BX179" s="207" t="n"/>
      <c r="BY179" s="204" t="n"/>
      <c r="BZ179" s="148" t="n"/>
      <c r="CA179" s="204" t="n"/>
      <c r="CB179" s="208" t="n"/>
      <c r="CC179" s="139" t="n"/>
      <c r="CD179" s="204" t="n"/>
      <c r="CE179" s="204" t="n"/>
      <c r="CF179" s="207" t="n"/>
      <c r="CG179" s="208" t="n"/>
      <c r="CH179" s="207" t="n"/>
      <c r="CI179" s="208" t="n"/>
      <c r="CJ179" s="204" t="n"/>
      <c r="CK179" s="208" t="n"/>
      <c r="CL179" s="208" t="n"/>
      <c r="CM179" s="208" t="n"/>
      <c r="CN179" s="78" t="n"/>
      <c r="CO179" s="209" t="n"/>
      <c r="CP179" s="204" t="n"/>
      <c r="CQ179" s="204" t="n"/>
      <c r="CR179" s="204" t="n"/>
      <c r="CS179" s="204" t="n"/>
      <c r="CT179" s="204" t="n"/>
      <c r="CU179" s="204" t="n"/>
      <c r="CV179" s="204" t="n"/>
      <c r="CW179" s="204" t="n"/>
      <c r="CX179" s="190" t="n"/>
    </row>
    <row r="180">
      <c r="BF180" s="78" t="n"/>
      <c r="BG180" s="78" t="n"/>
      <c r="BH180" s="78" t="n"/>
      <c r="BI180" s="78" t="n"/>
      <c r="BJ180" s="139" t="n"/>
      <c r="BK180" s="204" t="n"/>
      <c r="BL180" s="141" t="n"/>
      <c r="BM180" s="205" t="n"/>
      <c r="BN180" s="205" t="n"/>
      <c r="BO180" s="206" t="n"/>
      <c r="BP180" s="144" t="n"/>
      <c r="BQ180" s="141" t="n"/>
      <c r="BR180" s="207" t="n"/>
      <c r="BS180" s="207" t="n"/>
      <c r="BT180" s="207" t="n"/>
      <c r="BU180" s="207" t="n"/>
      <c r="BV180" s="208" t="n"/>
      <c r="BW180" s="207" t="n"/>
      <c r="BX180" s="207" t="n"/>
      <c r="BY180" s="204" t="n"/>
      <c r="BZ180" s="148" t="n"/>
      <c r="CA180" s="204" t="n"/>
      <c r="CB180" s="208" t="n"/>
      <c r="CC180" s="139" t="n"/>
      <c r="CD180" s="204" t="n"/>
      <c r="CE180" s="204" t="n"/>
      <c r="CF180" s="207" t="n"/>
      <c r="CG180" s="208" t="n"/>
      <c r="CH180" s="207" t="n"/>
      <c r="CI180" s="208" t="n"/>
      <c r="CJ180" s="204" t="n"/>
      <c r="CK180" s="208" t="n"/>
      <c r="CL180" s="208" t="n"/>
      <c r="CM180" s="208" t="n"/>
      <c r="CN180" s="78" t="n"/>
      <c r="CO180" s="209" t="n"/>
      <c r="CP180" s="204" t="n"/>
      <c r="CQ180" s="204" t="n"/>
      <c r="CR180" s="204" t="n"/>
      <c r="CS180" s="204" t="n"/>
      <c r="CT180" s="204" t="n"/>
      <c r="CU180" s="204" t="n"/>
      <c r="CV180" s="204" t="n"/>
      <c r="CW180" s="204" t="n"/>
      <c r="CX180" s="190" t="n"/>
    </row>
    <row r="181">
      <c r="BF181" s="78" t="n"/>
      <c r="BG181" s="78" t="n"/>
      <c r="BH181" s="78" t="n"/>
      <c r="BI181" s="78" t="n"/>
      <c r="BJ181" s="139" t="n"/>
      <c r="BK181" s="204" t="n"/>
      <c r="BL181" s="141" t="n"/>
      <c r="BM181" s="205" t="n"/>
      <c r="BN181" s="205" t="n"/>
      <c r="BO181" s="206" t="n"/>
      <c r="BP181" s="144" t="n"/>
      <c r="BQ181" s="141" t="n"/>
      <c r="BR181" s="207" t="n"/>
      <c r="BS181" s="207" t="n"/>
      <c r="BT181" s="207" t="n"/>
      <c r="BU181" s="207" t="n"/>
      <c r="BV181" s="208" t="n"/>
      <c r="BW181" s="207" t="n"/>
      <c r="BX181" s="207" t="n"/>
      <c r="BY181" s="204" t="n"/>
      <c r="BZ181" s="148" t="n"/>
      <c r="CA181" s="204" t="n"/>
      <c r="CB181" s="208" t="n"/>
      <c r="CC181" s="139" t="n"/>
      <c r="CD181" s="204" t="n"/>
      <c r="CE181" s="204" t="n"/>
      <c r="CF181" s="207" t="n"/>
      <c r="CG181" s="208" t="n"/>
      <c r="CH181" s="207" t="n"/>
      <c r="CI181" s="208" t="n"/>
      <c r="CJ181" s="204" t="n"/>
      <c r="CK181" s="208" t="n"/>
      <c r="CL181" s="208" t="n"/>
      <c r="CM181" s="208" t="n"/>
      <c r="CN181" s="78" t="n"/>
      <c r="CO181" s="209" t="n"/>
      <c r="CP181" s="204" t="n"/>
      <c r="CQ181" s="204" t="n"/>
      <c r="CR181" s="204" t="n"/>
      <c r="CS181" s="204" t="n"/>
      <c r="CT181" s="204" t="n"/>
      <c r="CU181" s="204" t="n"/>
      <c r="CV181" s="204" t="n"/>
      <c r="CW181" s="204" t="n"/>
      <c r="CX181" s="190" t="n"/>
    </row>
    <row r="182">
      <c r="BF182" s="78" t="n"/>
      <c r="BG182" s="78" t="n"/>
      <c r="BH182" s="78" t="n"/>
      <c r="BI182" s="78" t="n"/>
      <c r="BJ182" s="139" t="n"/>
      <c r="BK182" s="204" t="n"/>
      <c r="BL182" s="141" t="n"/>
      <c r="BM182" s="205" t="n"/>
      <c r="BN182" s="205" t="n"/>
      <c r="BO182" s="206" t="n"/>
      <c r="BP182" s="144" t="n"/>
      <c r="BQ182" s="141" t="n"/>
      <c r="BR182" s="207" t="n"/>
      <c r="BS182" s="207" t="n"/>
      <c r="BT182" s="207" t="n"/>
      <c r="BU182" s="207" t="n"/>
      <c r="BV182" s="208" t="n"/>
      <c r="BW182" s="207" t="n"/>
      <c r="BX182" s="207" t="n"/>
      <c r="BY182" s="204" t="n"/>
      <c r="BZ182" s="148" t="n"/>
      <c r="CA182" s="204" t="n"/>
      <c r="CB182" s="208" t="n"/>
      <c r="CC182" s="139" t="n"/>
      <c r="CD182" s="204" t="n"/>
      <c r="CE182" s="204" t="n"/>
      <c r="CF182" s="207" t="n"/>
      <c r="CG182" s="208" t="n"/>
      <c r="CH182" s="207" t="n"/>
      <c r="CI182" s="208" t="n"/>
      <c r="CJ182" s="204" t="n"/>
      <c r="CK182" s="208" t="n"/>
      <c r="CL182" s="208" t="n"/>
      <c r="CM182" s="208" t="n"/>
      <c r="CN182" s="78" t="n"/>
      <c r="CO182" s="209" t="n"/>
      <c r="CP182" s="204" t="n"/>
      <c r="CQ182" s="204" t="n"/>
      <c r="CR182" s="204" t="n"/>
      <c r="CS182" s="204" t="n"/>
      <c r="CT182" s="204" t="n"/>
      <c r="CU182" s="204" t="n"/>
      <c r="CV182" s="204" t="n"/>
      <c r="CW182" s="204" t="n"/>
      <c r="CX182" s="190" t="n"/>
    </row>
    <row r="183">
      <c r="BF183" s="78" t="n"/>
      <c r="BG183" s="78" t="n"/>
      <c r="BH183" s="78" t="n"/>
      <c r="BI183" s="78" t="n"/>
      <c r="BJ183" s="139" t="n"/>
      <c r="BK183" s="204" t="n"/>
      <c r="BL183" s="141" t="n"/>
      <c r="BM183" s="205" t="n"/>
      <c r="BN183" s="205" t="n"/>
      <c r="BO183" s="206" t="n"/>
      <c r="BP183" s="144" t="n"/>
      <c r="BQ183" s="141" t="n"/>
      <c r="BR183" s="207" t="n"/>
      <c r="BS183" s="207" t="n"/>
      <c r="BT183" s="207" t="n"/>
      <c r="BU183" s="207" t="n"/>
      <c r="BV183" s="208" t="n"/>
      <c r="BW183" s="207" t="n"/>
      <c r="BX183" s="207" t="n"/>
      <c r="BY183" s="204" t="n"/>
      <c r="BZ183" s="148" t="n"/>
      <c r="CA183" s="204" t="n"/>
      <c r="CB183" s="208" t="n"/>
      <c r="CC183" s="139" t="n"/>
      <c r="CD183" s="204" t="n"/>
      <c r="CE183" s="204" t="n"/>
      <c r="CF183" s="207" t="n"/>
      <c r="CG183" s="208" t="n"/>
      <c r="CH183" s="207" t="n"/>
      <c r="CI183" s="208" t="n"/>
      <c r="CJ183" s="204" t="n"/>
      <c r="CK183" s="208" t="n"/>
      <c r="CL183" s="208" t="n"/>
      <c r="CM183" s="208" t="n"/>
      <c r="CN183" s="78" t="n"/>
      <c r="CO183" s="209" t="n"/>
      <c r="CP183" s="204" t="n"/>
      <c r="CQ183" s="204" t="n"/>
      <c r="CR183" s="204" t="n"/>
      <c r="CS183" s="204" t="n"/>
      <c r="CT183" s="204" t="n"/>
      <c r="CU183" s="204" t="n"/>
      <c r="CV183" s="204" t="n"/>
      <c r="CW183" s="204" t="n"/>
      <c r="CX183" s="190" t="n"/>
    </row>
    <row r="184">
      <c r="BF184" s="78" t="n"/>
      <c r="BG184" s="78" t="n"/>
      <c r="BH184" s="78" t="n"/>
      <c r="BI184" s="78" t="n"/>
      <c r="BJ184" s="139" t="n"/>
      <c r="BK184" s="204" t="n"/>
      <c r="BL184" s="141" t="n"/>
      <c r="BM184" s="205" t="n"/>
      <c r="BN184" s="205" t="n"/>
      <c r="BO184" s="206" t="n"/>
      <c r="BP184" s="144" t="n"/>
      <c r="BQ184" s="141" t="n"/>
      <c r="BR184" s="207" t="n"/>
      <c r="BS184" s="207" t="n"/>
      <c r="BT184" s="207" t="n"/>
      <c r="BU184" s="207" t="n"/>
      <c r="BV184" s="208" t="n"/>
      <c r="BW184" s="207" t="n"/>
      <c r="BX184" s="207" t="n"/>
      <c r="BY184" s="204" t="n"/>
      <c r="BZ184" s="148" t="n"/>
      <c r="CA184" s="204" t="n"/>
      <c r="CB184" s="208" t="n"/>
      <c r="CC184" s="139" t="n"/>
      <c r="CD184" s="204" t="n"/>
      <c r="CE184" s="204" t="n"/>
      <c r="CF184" s="207" t="n"/>
      <c r="CG184" s="208" t="n"/>
      <c r="CH184" s="207" t="n"/>
      <c r="CI184" s="208" t="n"/>
      <c r="CJ184" s="204" t="n"/>
      <c r="CK184" s="208" t="n"/>
      <c r="CL184" s="208" t="n"/>
      <c r="CM184" s="208" t="n"/>
      <c r="CN184" s="78" t="n"/>
      <c r="CO184" s="209" t="n"/>
      <c r="CP184" s="204" t="n"/>
      <c r="CQ184" s="204" t="n"/>
      <c r="CR184" s="204" t="n"/>
      <c r="CS184" s="204" t="n"/>
      <c r="CT184" s="204" t="n"/>
      <c r="CU184" s="204" t="n"/>
      <c r="CV184" s="204" t="n"/>
      <c r="CW184" s="204" t="n"/>
      <c r="CX184" s="190" t="n"/>
    </row>
    <row r="185">
      <c r="BF185" s="78" t="n"/>
      <c r="BG185" s="78" t="n"/>
      <c r="BH185" s="78" t="n"/>
      <c r="BI185" s="78" t="n"/>
      <c r="BJ185" s="139" t="n"/>
      <c r="BK185" s="204" t="n"/>
      <c r="BL185" s="141" t="n"/>
      <c r="BM185" s="205" t="n"/>
      <c r="BN185" s="205" t="n"/>
      <c r="BO185" s="206" t="n"/>
      <c r="BP185" s="144" t="n"/>
      <c r="BQ185" s="141" t="n"/>
      <c r="BR185" s="207" t="n"/>
      <c r="BS185" s="207" t="n"/>
      <c r="BT185" s="207" t="n"/>
      <c r="BU185" s="207" t="n"/>
      <c r="BV185" s="208" t="n"/>
      <c r="BW185" s="207" t="n"/>
      <c r="BX185" s="207" t="n"/>
      <c r="BY185" s="204" t="n"/>
      <c r="BZ185" s="148" t="n"/>
      <c r="CA185" s="204" t="n"/>
      <c r="CB185" s="208" t="n"/>
      <c r="CC185" s="139" t="n"/>
      <c r="CD185" s="204" t="n"/>
      <c r="CE185" s="204" t="n"/>
      <c r="CF185" s="207" t="n"/>
      <c r="CG185" s="208" t="n"/>
      <c r="CH185" s="207" t="n"/>
      <c r="CI185" s="208" t="n"/>
      <c r="CJ185" s="204" t="n"/>
      <c r="CK185" s="208" t="n"/>
      <c r="CL185" s="208" t="n"/>
      <c r="CM185" s="208" t="n"/>
      <c r="CN185" s="78" t="n"/>
      <c r="CO185" s="209" t="n"/>
      <c r="CP185" s="204" t="n"/>
      <c r="CQ185" s="204" t="n"/>
      <c r="CR185" s="204" t="n"/>
      <c r="CS185" s="204" t="n"/>
      <c r="CT185" s="204" t="n"/>
      <c r="CU185" s="204" t="n"/>
      <c r="CV185" s="204" t="n"/>
      <c r="CW185" s="204" t="n"/>
      <c r="CX185" s="190" t="n"/>
    </row>
    <row r="186">
      <c r="BF186" s="78" t="n"/>
      <c r="BG186" s="78" t="n"/>
      <c r="BH186" s="78" t="n"/>
      <c r="BI186" s="78" t="n"/>
      <c r="BJ186" s="139" t="n"/>
      <c r="BK186" s="204" t="n"/>
      <c r="BL186" s="141" t="n"/>
      <c r="BM186" s="205" t="n"/>
      <c r="BN186" s="205" t="n"/>
      <c r="BO186" s="206" t="n"/>
      <c r="BP186" s="144" t="n"/>
      <c r="BQ186" s="141" t="n"/>
      <c r="BR186" s="207" t="n"/>
      <c r="BS186" s="207" t="n"/>
      <c r="BT186" s="207" t="n"/>
      <c r="BU186" s="207" t="n"/>
      <c r="BV186" s="208" t="n"/>
      <c r="BW186" s="207" t="n"/>
      <c r="BX186" s="207" t="n"/>
      <c r="BY186" s="204" t="n"/>
      <c r="BZ186" s="148" t="n"/>
      <c r="CA186" s="204" t="n"/>
      <c r="CB186" s="208" t="n"/>
      <c r="CC186" s="139" t="n"/>
      <c r="CD186" s="204" t="n"/>
      <c r="CE186" s="204" t="n"/>
      <c r="CF186" s="207" t="n"/>
      <c r="CG186" s="208" t="n"/>
      <c r="CH186" s="207" t="n"/>
      <c r="CI186" s="208" t="n"/>
      <c r="CJ186" s="204" t="n"/>
      <c r="CK186" s="208" t="n"/>
      <c r="CL186" s="208" t="n"/>
      <c r="CM186" s="208" t="n"/>
      <c r="CN186" s="78" t="n"/>
      <c r="CO186" s="209" t="n"/>
      <c r="CP186" s="204" t="n"/>
      <c r="CQ186" s="204" t="n"/>
      <c r="CR186" s="204" t="n"/>
      <c r="CS186" s="204" t="n"/>
      <c r="CT186" s="204" t="n"/>
      <c r="CU186" s="204" t="n"/>
      <c r="CV186" s="204" t="n"/>
      <c r="CW186" s="204" t="n"/>
      <c r="CX186" s="190" t="n"/>
    </row>
    <row r="187">
      <c r="BF187" s="78" t="n"/>
      <c r="BG187" s="78" t="n"/>
      <c r="BH187" s="78" t="n"/>
      <c r="BI187" s="78" t="n"/>
      <c r="BJ187" s="139" t="n"/>
      <c r="BK187" s="204" t="n"/>
      <c r="BL187" s="141" t="n"/>
      <c r="BM187" s="205" t="n"/>
      <c r="BN187" s="205" t="n"/>
      <c r="BO187" s="206" t="n"/>
      <c r="BP187" s="144" t="n"/>
      <c r="BQ187" s="141" t="n"/>
      <c r="BR187" s="207" t="n"/>
      <c r="BS187" s="207" t="n"/>
      <c r="BT187" s="207" t="n"/>
      <c r="BU187" s="207" t="n"/>
      <c r="BV187" s="208" t="n"/>
      <c r="BW187" s="207" t="n"/>
      <c r="BX187" s="207" t="n"/>
      <c r="BY187" s="204" t="n"/>
      <c r="BZ187" s="148" t="n"/>
      <c r="CA187" s="204" t="n"/>
      <c r="CB187" s="208" t="n"/>
      <c r="CC187" s="139" t="n"/>
      <c r="CD187" s="204" t="n"/>
      <c r="CE187" s="204" t="n"/>
      <c r="CF187" s="207" t="n"/>
      <c r="CG187" s="208" t="n"/>
      <c r="CH187" s="207" t="n"/>
      <c r="CI187" s="208" t="n"/>
      <c r="CJ187" s="204" t="n"/>
      <c r="CK187" s="208" t="n"/>
      <c r="CL187" s="208" t="n"/>
      <c r="CM187" s="208" t="n"/>
      <c r="CN187" s="78" t="n"/>
      <c r="CO187" s="209" t="n"/>
      <c r="CP187" s="204" t="n"/>
      <c r="CQ187" s="204" t="n"/>
      <c r="CR187" s="204" t="n"/>
      <c r="CS187" s="204" t="n"/>
      <c r="CT187" s="204" t="n"/>
      <c r="CU187" s="204" t="n"/>
      <c r="CV187" s="204" t="n"/>
      <c r="CW187" s="204" t="n"/>
      <c r="CX187" s="190" t="n"/>
    </row>
    <row r="188">
      <c r="BF188" s="78" t="n"/>
      <c r="BG188" s="78" t="n"/>
      <c r="BH188" s="78" t="n"/>
      <c r="BI188" s="78" t="n"/>
      <c r="BJ188" s="139" t="n"/>
      <c r="BK188" s="204" t="n"/>
      <c r="BL188" s="141" t="n"/>
      <c r="BM188" s="205" t="n"/>
      <c r="BN188" s="205" t="n"/>
      <c r="BO188" s="206" t="n"/>
      <c r="BP188" s="144" t="n"/>
      <c r="BQ188" s="141" t="n"/>
      <c r="BR188" s="207" t="n"/>
      <c r="BS188" s="207" t="n"/>
      <c r="BT188" s="207" t="n"/>
      <c r="BU188" s="207" t="n"/>
      <c r="BV188" s="208" t="n"/>
      <c r="BW188" s="207" t="n"/>
      <c r="BX188" s="207" t="n"/>
      <c r="BY188" s="204" t="n"/>
      <c r="BZ188" s="148" t="n"/>
      <c r="CA188" s="204" t="n"/>
      <c r="CB188" s="208" t="n"/>
      <c r="CC188" s="139" t="n"/>
      <c r="CD188" s="204" t="n"/>
      <c r="CE188" s="204" t="n"/>
      <c r="CF188" s="207" t="n"/>
      <c r="CG188" s="208" t="n"/>
      <c r="CH188" s="207" t="n"/>
      <c r="CI188" s="208" t="n"/>
      <c r="CJ188" s="204" t="n"/>
      <c r="CK188" s="208" t="n"/>
      <c r="CL188" s="208" t="n"/>
      <c r="CM188" s="208" t="n"/>
      <c r="CN188" s="78" t="n"/>
      <c r="CO188" s="209" t="n"/>
      <c r="CP188" s="204" t="n"/>
      <c r="CQ188" s="204" t="n"/>
      <c r="CR188" s="204" t="n"/>
      <c r="CS188" s="204" t="n"/>
      <c r="CT188" s="204" t="n"/>
      <c r="CU188" s="204" t="n"/>
      <c r="CV188" s="204" t="n"/>
      <c r="CW188" s="204" t="n"/>
      <c r="CX188" s="190" t="n"/>
    </row>
    <row r="189">
      <c r="BF189" s="78" t="n"/>
      <c r="BG189" s="78" t="n"/>
      <c r="BH189" s="78" t="n"/>
      <c r="BI189" s="78" t="n"/>
      <c r="BJ189" s="139" t="n"/>
      <c r="BK189" s="204" t="n"/>
      <c r="BL189" s="141" t="n"/>
      <c r="BM189" s="205" t="n"/>
      <c r="BN189" s="205" t="n"/>
      <c r="BO189" s="206" t="n"/>
      <c r="BP189" s="144" t="n"/>
      <c r="BQ189" s="141" t="n"/>
      <c r="BR189" s="207" t="n"/>
      <c r="BS189" s="207" t="n"/>
      <c r="BT189" s="207" t="n"/>
      <c r="BU189" s="207" t="n"/>
      <c r="BV189" s="208" t="n"/>
      <c r="BW189" s="207" t="n"/>
      <c r="BX189" s="207" t="n"/>
      <c r="BY189" s="204" t="n"/>
      <c r="BZ189" s="148" t="n"/>
      <c r="CA189" s="204" t="n"/>
      <c r="CB189" s="208" t="n"/>
      <c r="CC189" s="139" t="n"/>
      <c r="CD189" s="204" t="n"/>
      <c r="CE189" s="204" t="n"/>
      <c r="CF189" s="207" t="n"/>
      <c r="CG189" s="208" t="n"/>
      <c r="CH189" s="207" t="n"/>
      <c r="CI189" s="208" t="n"/>
      <c r="CJ189" s="204" t="n"/>
      <c r="CK189" s="208" t="n"/>
      <c r="CL189" s="208" t="n"/>
      <c r="CM189" s="208" t="n"/>
      <c r="CN189" s="78" t="n"/>
      <c r="CO189" s="209" t="n"/>
      <c r="CP189" s="204" t="n"/>
      <c r="CQ189" s="204" t="n"/>
      <c r="CR189" s="204" t="n"/>
      <c r="CS189" s="204" t="n"/>
      <c r="CT189" s="204" t="n"/>
      <c r="CU189" s="204" t="n"/>
      <c r="CV189" s="204" t="n"/>
      <c r="CW189" s="204" t="n"/>
      <c r="CX189" s="190" t="n"/>
    </row>
    <row r="190">
      <c r="BF190" s="78" t="n"/>
      <c r="BG190" s="78" t="n"/>
      <c r="BH190" s="78" t="n"/>
      <c r="BI190" s="78" t="n"/>
      <c r="BJ190" s="139" t="n"/>
      <c r="BK190" s="204" t="n"/>
      <c r="BL190" s="141" t="n"/>
      <c r="BM190" s="205" t="n"/>
      <c r="BN190" s="205" t="n"/>
      <c r="BO190" s="206" t="n"/>
      <c r="BP190" s="144" t="n"/>
      <c r="BQ190" s="141" t="n"/>
      <c r="BR190" s="207" t="n"/>
      <c r="BS190" s="207" t="n"/>
      <c r="BT190" s="207" t="n"/>
      <c r="BU190" s="207" t="n"/>
      <c r="BV190" s="208" t="n"/>
      <c r="BW190" s="207" t="n"/>
      <c r="BX190" s="207" t="n"/>
      <c r="BY190" s="204" t="n"/>
      <c r="BZ190" s="148" t="n"/>
      <c r="CA190" s="204" t="n"/>
      <c r="CB190" s="208" t="n"/>
      <c r="CC190" s="139" t="n"/>
      <c r="CD190" s="204" t="n"/>
      <c r="CE190" s="204" t="n"/>
      <c r="CF190" s="207" t="n"/>
      <c r="CG190" s="208" t="n"/>
      <c r="CH190" s="207" t="n"/>
      <c r="CI190" s="208" t="n"/>
      <c r="CJ190" s="204" t="n"/>
      <c r="CK190" s="208" t="n"/>
      <c r="CL190" s="208" t="n"/>
      <c r="CM190" s="208" t="n"/>
      <c r="CN190" s="78" t="n"/>
      <c r="CO190" s="209" t="n"/>
      <c r="CP190" s="204" t="n"/>
      <c r="CQ190" s="204" t="n"/>
      <c r="CR190" s="204" t="n"/>
      <c r="CS190" s="204" t="n"/>
      <c r="CT190" s="204" t="n"/>
      <c r="CU190" s="204" t="n"/>
      <c r="CV190" s="204" t="n"/>
      <c r="CW190" s="204" t="n"/>
      <c r="CX190" s="190" t="n"/>
    </row>
    <row r="191">
      <c r="BF191" s="78" t="n"/>
      <c r="BG191" s="78" t="n"/>
      <c r="BH191" s="78" t="n"/>
      <c r="BI191" s="78" t="n"/>
      <c r="BJ191" s="139" t="n"/>
      <c r="BK191" s="204" t="n"/>
      <c r="BL191" s="141" t="n"/>
      <c r="BM191" s="205" t="n"/>
      <c r="BN191" s="205" t="n"/>
      <c r="BO191" s="206" t="n"/>
      <c r="BP191" s="144" t="n"/>
      <c r="BQ191" s="141" t="n"/>
      <c r="BR191" s="207" t="n"/>
      <c r="BS191" s="207" t="n"/>
      <c r="BT191" s="207" t="n"/>
      <c r="BU191" s="207" t="n"/>
      <c r="BV191" s="208" t="n"/>
      <c r="BW191" s="207" t="n"/>
      <c r="BX191" s="207" t="n"/>
      <c r="BY191" s="204" t="n"/>
      <c r="BZ191" s="148" t="n"/>
      <c r="CA191" s="204" t="n"/>
      <c r="CB191" s="208" t="n"/>
      <c r="CC191" s="139" t="n"/>
      <c r="CD191" s="204" t="n"/>
      <c r="CE191" s="204" t="n"/>
      <c r="CF191" s="207" t="n"/>
      <c r="CG191" s="208" t="n"/>
      <c r="CH191" s="207" t="n"/>
      <c r="CI191" s="208" t="n"/>
      <c r="CJ191" s="204" t="n"/>
      <c r="CK191" s="208" t="n"/>
      <c r="CL191" s="208" t="n"/>
      <c r="CM191" s="208" t="n"/>
      <c r="CN191" s="78" t="n"/>
      <c r="CO191" s="209" t="n"/>
      <c r="CP191" s="204" t="n"/>
      <c r="CQ191" s="204" t="n"/>
      <c r="CR191" s="204" t="n"/>
      <c r="CS191" s="204" t="n"/>
      <c r="CT191" s="204" t="n"/>
      <c r="CU191" s="204" t="n"/>
      <c r="CV191" s="204" t="n"/>
      <c r="CW191" s="204" t="n"/>
      <c r="CX191" s="190" t="n"/>
    </row>
    <row r="192">
      <c r="BF192" s="78" t="n"/>
      <c r="BG192" s="78" t="n"/>
      <c r="BH192" s="78" t="n"/>
      <c r="BI192" s="78" t="n"/>
      <c r="BJ192" s="139" t="n"/>
      <c r="BK192" s="204" t="n"/>
      <c r="BL192" s="141" t="n"/>
      <c r="BM192" s="205" t="n"/>
      <c r="BN192" s="205" t="n"/>
      <c r="BO192" s="206" t="n"/>
      <c r="BP192" s="144" t="n"/>
      <c r="BQ192" s="141" t="n"/>
      <c r="BR192" s="207" t="n"/>
      <c r="BS192" s="207" t="n"/>
      <c r="BT192" s="207" t="n"/>
      <c r="BU192" s="207" t="n"/>
      <c r="BV192" s="208" t="n"/>
      <c r="BW192" s="207" t="n"/>
      <c r="BX192" s="207" t="n"/>
      <c r="BY192" s="204" t="n"/>
      <c r="BZ192" s="148" t="n"/>
      <c r="CA192" s="204" t="n"/>
      <c r="CB192" s="208" t="n"/>
      <c r="CC192" s="139" t="n"/>
      <c r="CD192" s="204" t="n"/>
      <c r="CE192" s="204" t="n"/>
      <c r="CF192" s="207" t="n"/>
      <c r="CG192" s="208" t="n"/>
      <c r="CH192" s="207" t="n"/>
      <c r="CI192" s="208" t="n"/>
      <c r="CJ192" s="204" t="n"/>
      <c r="CK192" s="208" t="n"/>
      <c r="CL192" s="208" t="n"/>
      <c r="CM192" s="208" t="n"/>
      <c r="CN192" s="78" t="n"/>
      <c r="CO192" s="209" t="n"/>
      <c r="CP192" s="204" t="n"/>
      <c r="CQ192" s="204" t="n"/>
      <c r="CR192" s="204" t="n"/>
      <c r="CS192" s="204" t="n"/>
      <c r="CT192" s="204" t="n"/>
      <c r="CU192" s="204" t="n"/>
      <c r="CV192" s="204" t="n"/>
      <c r="CW192" s="204" t="n"/>
      <c r="CX192" s="190" t="n"/>
    </row>
    <row r="193">
      <c r="BF193" s="78" t="n"/>
      <c r="BG193" s="78" t="n"/>
      <c r="BH193" s="78" t="n"/>
      <c r="BI193" s="78" t="n"/>
      <c r="BJ193" s="139" t="n"/>
      <c r="BK193" s="204" t="n"/>
      <c r="BL193" s="141" t="n"/>
      <c r="BM193" s="205" t="n"/>
      <c r="BN193" s="205" t="n"/>
      <c r="BO193" s="206" t="n"/>
      <c r="BP193" s="144" t="n"/>
      <c r="BQ193" s="141" t="n"/>
      <c r="BR193" s="207" t="n"/>
      <c r="BS193" s="207" t="n"/>
      <c r="BT193" s="207" t="n"/>
      <c r="BU193" s="207" t="n"/>
      <c r="BV193" s="208" t="n"/>
      <c r="BW193" s="207" t="n"/>
      <c r="BX193" s="207" t="n"/>
      <c r="BY193" s="204" t="n"/>
      <c r="BZ193" s="148" t="n"/>
      <c r="CA193" s="204" t="n"/>
      <c r="CB193" s="208" t="n"/>
      <c r="CC193" s="139" t="n"/>
      <c r="CD193" s="204" t="n"/>
      <c r="CE193" s="204" t="n"/>
      <c r="CF193" s="207" t="n"/>
      <c r="CG193" s="208" t="n"/>
      <c r="CH193" s="207" t="n"/>
      <c r="CI193" s="208" t="n"/>
      <c r="CJ193" s="204" t="n"/>
      <c r="CK193" s="208" t="n"/>
      <c r="CL193" s="208" t="n"/>
      <c r="CM193" s="208" t="n"/>
      <c r="CN193" s="78" t="n"/>
      <c r="CO193" s="209" t="n"/>
      <c r="CP193" s="204" t="n"/>
      <c r="CQ193" s="204" t="n"/>
      <c r="CR193" s="204" t="n"/>
      <c r="CS193" s="204" t="n"/>
      <c r="CT193" s="204" t="n"/>
      <c r="CU193" s="204" t="n"/>
      <c r="CV193" s="204" t="n"/>
      <c r="CW193" s="204" t="n"/>
      <c r="CX193" s="190" t="n"/>
    </row>
    <row r="194">
      <c r="BF194" s="78" t="n"/>
      <c r="BG194" s="78" t="n"/>
      <c r="BH194" s="78" t="n"/>
      <c r="BI194" s="78" t="n"/>
      <c r="BJ194" s="139" t="n"/>
      <c r="BK194" s="204" t="n"/>
      <c r="BL194" s="141" t="n"/>
      <c r="BM194" s="205" t="n"/>
      <c r="BN194" s="205" t="n"/>
      <c r="BO194" s="206" t="n"/>
      <c r="BP194" s="144" t="n"/>
      <c r="BQ194" s="141" t="n"/>
      <c r="BR194" s="207" t="n"/>
      <c r="BS194" s="207" t="n"/>
      <c r="BT194" s="207" t="n"/>
      <c r="BU194" s="207" t="n"/>
      <c r="BV194" s="208" t="n"/>
      <c r="BW194" s="207" t="n"/>
      <c r="BX194" s="207" t="n"/>
      <c r="BY194" s="204" t="n"/>
      <c r="BZ194" s="148" t="n"/>
      <c r="CA194" s="204" t="n"/>
      <c r="CB194" s="208" t="n"/>
      <c r="CC194" s="139" t="n"/>
      <c r="CD194" s="204" t="n"/>
      <c r="CE194" s="204" t="n"/>
      <c r="CF194" s="207" t="n"/>
      <c r="CG194" s="208" t="n"/>
      <c r="CH194" s="207" t="n"/>
      <c r="CI194" s="208" t="n"/>
      <c r="CJ194" s="204" t="n"/>
      <c r="CK194" s="208" t="n"/>
      <c r="CL194" s="208" t="n"/>
      <c r="CM194" s="208" t="n"/>
      <c r="CN194" s="78" t="n"/>
      <c r="CO194" s="209" t="n"/>
      <c r="CP194" s="204" t="n"/>
      <c r="CQ194" s="204" t="n"/>
      <c r="CR194" s="204" t="n"/>
      <c r="CS194" s="204" t="n"/>
      <c r="CT194" s="204" t="n"/>
      <c r="CU194" s="204" t="n"/>
      <c r="CV194" s="204" t="n"/>
      <c r="CW194" s="204" t="n"/>
      <c r="CX194" s="190" t="n"/>
    </row>
    <row r="195">
      <c r="BF195" s="78" t="n"/>
      <c r="BG195" s="78" t="n"/>
      <c r="BH195" s="78" t="n"/>
      <c r="BI195" s="78" t="n"/>
      <c r="BJ195" s="139" t="n"/>
      <c r="BK195" s="204" t="n"/>
      <c r="BL195" s="141" t="n"/>
      <c r="BM195" s="205" t="n"/>
      <c r="BN195" s="205" t="n"/>
      <c r="BO195" s="206" t="n"/>
      <c r="BP195" s="144" t="n"/>
      <c r="BQ195" s="141" t="n"/>
      <c r="BR195" s="207" t="n"/>
      <c r="BS195" s="207" t="n"/>
      <c r="BT195" s="207" t="n"/>
      <c r="BU195" s="207" t="n"/>
      <c r="BV195" s="208" t="n"/>
      <c r="BW195" s="207" t="n"/>
      <c r="BX195" s="207" t="n"/>
      <c r="BY195" s="204" t="n"/>
      <c r="BZ195" s="148" t="n"/>
      <c r="CA195" s="204" t="n"/>
      <c r="CB195" s="208" t="n"/>
      <c r="CC195" s="139" t="n"/>
      <c r="CD195" s="204" t="n"/>
      <c r="CE195" s="204" t="n"/>
      <c r="CF195" s="207" t="n"/>
      <c r="CG195" s="208" t="n"/>
      <c r="CH195" s="207" t="n"/>
      <c r="CI195" s="208" t="n"/>
      <c r="CJ195" s="204" t="n"/>
      <c r="CK195" s="208" t="n"/>
      <c r="CL195" s="208" t="n"/>
      <c r="CM195" s="208" t="n"/>
      <c r="CN195" s="78" t="n"/>
      <c r="CO195" s="209" t="n"/>
      <c r="CP195" s="204" t="n"/>
      <c r="CQ195" s="204" t="n"/>
      <c r="CR195" s="204" t="n"/>
      <c r="CS195" s="204" t="n"/>
      <c r="CT195" s="204" t="n"/>
      <c r="CU195" s="204" t="n"/>
      <c r="CV195" s="204" t="n"/>
      <c r="CW195" s="204" t="n"/>
      <c r="CX195" s="190" t="n"/>
    </row>
    <row r="196">
      <c r="BF196" s="78" t="n"/>
      <c r="BG196" s="78" t="n"/>
      <c r="BH196" s="78" t="n"/>
      <c r="BI196" s="78" t="n"/>
      <c r="BJ196" s="139" t="n"/>
      <c r="BK196" s="204" t="n"/>
      <c r="BL196" s="141" t="n"/>
      <c r="BM196" s="205" t="n"/>
      <c r="BN196" s="205" t="n"/>
      <c r="BO196" s="206" t="n"/>
      <c r="BP196" s="144" t="n"/>
      <c r="BQ196" s="141" t="n"/>
      <c r="BR196" s="207" t="n"/>
      <c r="BS196" s="207" t="n"/>
      <c r="BT196" s="207" t="n"/>
      <c r="BU196" s="207" t="n"/>
      <c r="BV196" s="208" t="n"/>
      <c r="BW196" s="207" t="n"/>
      <c r="BX196" s="207" t="n"/>
      <c r="BY196" s="204" t="n"/>
      <c r="BZ196" s="148" t="n"/>
      <c r="CA196" s="204" t="n"/>
      <c r="CB196" s="208" t="n"/>
      <c r="CC196" s="139" t="n"/>
      <c r="CD196" s="204" t="n"/>
      <c r="CE196" s="204" t="n"/>
      <c r="CF196" s="207" t="n"/>
      <c r="CG196" s="208" t="n"/>
      <c r="CH196" s="207" t="n"/>
      <c r="CI196" s="208" t="n"/>
      <c r="CJ196" s="204" t="n"/>
      <c r="CK196" s="208" t="n"/>
      <c r="CL196" s="208" t="n"/>
      <c r="CM196" s="208" t="n"/>
      <c r="CN196" s="78" t="n"/>
      <c r="CO196" s="209" t="n"/>
      <c r="CP196" s="204" t="n"/>
      <c r="CQ196" s="204" t="n"/>
      <c r="CR196" s="204" t="n"/>
      <c r="CS196" s="204" t="n"/>
      <c r="CT196" s="204" t="n"/>
      <c r="CU196" s="204" t="n"/>
      <c r="CV196" s="204" t="n"/>
      <c r="CW196" s="204" t="n"/>
      <c r="CX196" s="190" t="n"/>
    </row>
    <row r="197">
      <c r="BF197" s="78" t="n"/>
      <c r="BG197" s="78" t="n"/>
      <c r="BH197" s="78" t="n"/>
      <c r="BI197" s="78" t="n"/>
      <c r="BJ197" s="139" t="n"/>
      <c r="BK197" s="204" t="n"/>
      <c r="BL197" s="141" t="n"/>
      <c r="BM197" s="205" t="n"/>
      <c r="BN197" s="205" t="n"/>
      <c r="BO197" s="206" t="n"/>
      <c r="BP197" s="144" t="n"/>
      <c r="BQ197" s="141" t="n"/>
      <c r="BR197" s="207" t="n"/>
      <c r="BS197" s="207" t="n"/>
      <c r="BT197" s="207" t="n"/>
      <c r="BU197" s="207" t="n"/>
      <c r="BV197" s="208" t="n"/>
      <c r="BW197" s="207" t="n"/>
      <c r="BX197" s="207" t="n"/>
      <c r="BY197" s="204" t="n"/>
      <c r="BZ197" s="148" t="n"/>
      <c r="CA197" s="204" t="n"/>
      <c r="CB197" s="208" t="n"/>
      <c r="CC197" s="139" t="n"/>
      <c r="CD197" s="204" t="n"/>
      <c r="CE197" s="204" t="n"/>
      <c r="CF197" s="207" t="n"/>
      <c r="CG197" s="208" t="n"/>
      <c r="CH197" s="207" t="n"/>
      <c r="CI197" s="208" t="n"/>
      <c r="CJ197" s="204" t="n"/>
      <c r="CK197" s="208" t="n"/>
      <c r="CL197" s="208" t="n"/>
      <c r="CM197" s="208" t="n"/>
      <c r="CN197" s="78" t="n"/>
      <c r="CO197" s="209" t="n"/>
      <c r="CP197" s="204" t="n"/>
      <c r="CQ197" s="204" t="n"/>
      <c r="CR197" s="204" t="n"/>
      <c r="CS197" s="204" t="n"/>
      <c r="CT197" s="204" t="n"/>
      <c r="CU197" s="204" t="n"/>
      <c r="CV197" s="204" t="n"/>
      <c r="CW197" s="204" t="n"/>
      <c r="CX197" s="190" t="n"/>
    </row>
    <row r="198">
      <c r="BF198" s="78" t="n"/>
      <c r="BG198" s="78" t="n"/>
      <c r="BH198" s="78" t="n"/>
      <c r="BI198" s="78" t="n"/>
      <c r="BJ198" s="139" t="n"/>
      <c r="BK198" s="204" t="n"/>
      <c r="BL198" s="141" t="n"/>
      <c r="BM198" s="205" t="n"/>
      <c r="BN198" s="205" t="n"/>
      <c r="BO198" s="206" t="n"/>
      <c r="BP198" s="144" t="n"/>
      <c r="BQ198" s="141" t="n"/>
      <c r="BR198" s="207" t="n"/>
      <c r="BS198" s="207" t="n"/>
      <c r="BT198" s="207" t="n"/>
      <c r="BU198" s="207" t="n"/>
      <c r="BV198" s="208" t="n"/>
      <c r="BW198" s="207" t="n"/>
      <c r="BX198" s="207" t="n"/>
      <c r="BY198" s="204" t="n"/>
      <c r="BZ198" s="148" t="n"/>
      <c r="CA198" s="204" t="n"/>
      <c r="CB198" s="208" t="n"/>
      <c r="CC198" s="139" t="n"/>
      <c r="CD198" s="204" t="n"/>
      <c r="CE198" s="204" t="n"/>
      <c r="CF198" s="207" t="n"/>
      <c r="CG198" s="208" t="n"/>
      <c r="CH198" s="207" t="n"/>
      <c r="CI198" s="208" t="n"/>
      <c r="CJ198" s="204" t="n"/>
      <c r="CK198" s="208" t="n"/>
      <c r="CL198" s="208" t="n"/>
      <c r="CM198" s="208" t="n"/>
      <c r="CN198" s="78" t="n"/>
      <c r="CO198" s="209" t="n"/>
      <c r="CP198" s="204" t="n"/>
      <c r="CQ198" s="204" t="n"/>
      <c r="CR198" s="204" t="n"/>
      <c r="CS198" s="204" t="n"/>
      <c r="CT198" s="204" t="n"/>
      <c r="CU198" s="204" t="n"/>
      <c r="CV198" s="204" t="n"/>
      <c r="CW198" s="204" t="n"/>
      <c r="CX198" s="190" t="n"/>
    </row>
    <row r="199">
      <c r="BF199" s="78" t="n"/>
      <c r="BG199" s="78" t="n"/>
      <c r="BH199" s="78" t="n"/>
      <c r="BI199" s="78" t="n"/>
      <c r="BJ199" s="139" t="n"/>
      <c r="BK199" s="204" t="n"/>
      <c r="BL199" s="141" t="n"/>
      <c r="BM199" s="205" t="n"/>
      <c r="BN199" s="205" t="n"/>
      <c r="BO199" s="206" t="n"/>
      <c r="BP199" s="144" t="n"/>
      <c r="BQ199" s="141" t="n"/>
      <c r="BR199" s="207" t="n"/>
      <c r="BS199" s="207" t="n"/>
      <c r="BT199" s="207" t="n"/>
      <c r="BU199" s="207" t="n"/>
      <c r="BV199" s="208" t="n"/>
      <c r="BW199" s="207" t="n"/>
      <c r="BX199" s="207" t="n"/>
      <c r="BY199" s="204" t="n"/>
      <c r="BZ199" s="148" t="n"/>
      <c r="CA199" s="204" t="n"/>
      <c r="CB199" s="208" t="n"/>
      <c r="CC199" s="139" t="n"/>
      <c r="CD199" s="204" t="n"/>
      <c r="CE199" s="204" t="n"/>
      <c r="CF199" s="207" t="n"/>
      <c r="CG199" s="208" t="n"/>
      <c r="CH199" s="207" t="n"/>
      <c r="CI199" s="208" t="n"/>
      <c r="CJ199" s="204" t="n"/>
      <c r="CK199" s="208" t="n"/>
      <c r="CL199" s="208" t="n"/>
      <c r="CM199" s="208" t="n"/>
      <c r="CN199" s="78" t="n"/>
      <c r="CO199" s="209" t="n"/>
      <c r="CP199" s="204" t="n"/>
      <c r="CQ199" s="204" t="n"/>
      <c r="CR199" s="204" t="n"/>
      <c r="CS199" s="204" t="n"/>
      <c r="CT199" s="204" t="n"/>
      <c r="CU199" s="204" t="n"/>
      <c r="CV199" s="204" t="n"/>
      <c r="CW199" s="204" t="n"/>
      <c r="CX199" s="190" t="n"/>
    </row>
    <row r="200">
      <c r="BF200" s="78" t="n"/>
      <c r="BG200" s="78" t="n"/>
      <c r="BH200" s="78" t="n"/>
      <c r="BI200" s="78" t="n"/>
      <c r="BJ200" s="139" t="n"/>
      <c r="BK200" s="204" t="n"/>
      <c r="BL200" s="141" t="n"/>
      <c r="BM200" s="205" t="n"/>
      <c r="BN200" s="205" t="n"/>
      <c r="BO200" s="206" t="n"/>
      <c r="BP200" s="144" t="n"/>
      <c r="BQ200" s="141" t="n"/>
      <c r="BR200" s="207" t="n"/>
      <c r="BS200" s="207" t="n"/>
      <c r="BT200" s="207" t="n"/>
      <c r="BU200" s="207" t="n"/>
      <c r="BV200" s="208" t="n"/>
      <c r="BW200" s="207" t="n"/>
      <c r="BX200" s="207" t="n"/>
      <c r="BY200" s="204" t="n"/>
      <c r="BZ200" s="148" t="n"/>
      <c r="CA200" s="204" t="n"/>
      <c r="CB200" s="208" t="n"/>
      <c r="CC200" s="139" t="n"/>
      <c r="CD200" s="204" t="n"/>
      <c r="CE200" s="204" t="n"/>
      <c r="CF200" s="207" t="n"/>
      <c r="CG200" s="208" t="n"/>
      <c r="CH200" s="207" t="n"/>
      <c r="CI200" s="208" t="n"/>
      <c r="CJ200" s="204" t="n"/>
      <c r="CK200" s="208" t="n"/>
      <c r="CL200" s="208" t="n"/>
      <c r="CM200" s="208" t="n"/>
      <c r="CN200" s="78" t="n"/>
      <c r="CO200" s="209" t="n"/>
      <c r="CP200" s="204" t="n"/>
      <c r="CQ200" s="204" t="n"/>
      <c r="CR200" s="204" t="n"/>
      <c r="CS200" s="204" t="n"/>
      <c r="CT200" s="204" t="n"/>
      <c r="CU200" s="204" t="n"/>
      <c r="CV200" s="204" t="n"/>
      <c r="CW200" s="204" t="n"/>
      <c r="CX200" s="190" t="n"/>
    </row>
    <row r="201">
      <c r="BF201" s="78" t="n"/>
      <c r="BG201" s="78" t="n"/>
      <c r="BH201" s="78" t="n"/>
      <c r="BI201" s="78" t="n"/>
      <c r="BJ201" s="139" t="n"/>
      <c r="BK201" s="204" t="n"/>
      <c r="BL201" s="141" t="n"/>
      <c r="BM201" s="205" t="n"/>
      <c r="BN201" s="205" t="n"/>
      <c r="BO201" s="206" t="n"/>
      <c r="BP201" s="144" t="n"/>
      <c r="BQ201" s="141" t="n"/>
      <c r="BR201" s="207" t="n"/>
      <c r="BS201" s="207" t="n"/>
      <c r="BT201" s="207" t="n"/>
      <c r="BU201" s="207" t="n"/>
      <c r="BV201" s="208" t="n"/>
      <c r="BW201" s="207" t="n"/>
      <c r="BX201" s="207" t="n"/>
      <c r="BY201" s="204" t="n"/>
      <c r="BZ201" s="148" t="n"/>
      <c r="CA201" s="204" t="n"/>
      <c r="CB201" s="208" t="n"/>
      <c r="CC201" s="139" t="n"/>
      <c r="CD201" s="204" t="n"/>
      <c r="CE201" s="204" t="n"/>
      <c r="CF201" s="207" t="n"/>
      <c r="CG201" s="208" t="n"/>
      <c r="CH201" s="207" t="n"/>
      <c r="CI201" s="208" t="n"/>
      <c r="CJ201" s="204" t="n"/>
      <c r="CK201" s="208" t="n"/>
      <c r="CL201" s="208" t="n"/>
      <c r="CM201" s="208" t="n"/>
      <c r="CN201" s="78" t="n"/>
      <c r="CO201" s="209" t="n"/>
      <c r="CP201" s="204" t="n"/>
      <c r="CQ201" s="204" t="n"/>
      <c r="CR201" s="204" t="n"/>
      <c r="CS201" s="204" t="n"/>
      <c r="CT201" s="204" t="n"/>
      <c r="CU201" s="204" t="n"/>
      <c r="CV201" s="204" t="n"/>
      <c r="CW201" s="204" t="n"/>
      <c r="CX201" s="190" t="n"/>
    </row>
    <row r="202">
      <c r="BF202" s="78" t="n"/>
      <c r="BG202" s="78" t="n"/>
      <c r="BH202" s="78" t="n"/>
      <c r="BI202" s="78" t="n"/>
      <c r="BJ202" s="139" t="n"/>
      <c r="BK202" s="204" t="n"/>
      <c r="BL202" s="141" t="n"/>
      <c r="BM202" s="205" t="n"/>
      <c r="BN202" s="205" t="n"/>
      <c r="BO202" s="206" t="n"/>
      <c r="BP202" s="144" t="n"/>
      <c r="BQ202" s="141" t="n"/>
      <c r="BR202" s="207" t="n"/>
      <c r="BS202" s="207" t="n"/>
      <c r="BT202" s="207" t="n"/>
      <c r="BU202" s="207" t="n"/>
      <c r="BV202" s="208" t="n"/>
      <c r="BW202" s="207" t="n"/>
      <c r="BX202" s="207" t="n"/>
      <c r="BY202" s="204" t="n"/>
      <c r="BZ202" s="148" t="n"/>
      <c r="CA202" s="204" t="n"/>
      <c r="CB202" s="208" t="n"/>
      <c r="CC202" s="139" t="n"/>
      <c r="CD202" s="204" t="n"/>
      <c r="CE202" s="204" t="n"/>
      <c r="CF202" s="207" t="n"/>
      <c r="CG202" s="208" t="n"/>
      <c r="CH202" s="207" t="n"/>
      <c r="CI202" s="208" t="n"/>
      <c r="CJ202" s="204" t="n"/>
      <c r="CK202" s="208" t="n"/>
      <c r="CL202" s="208" t="n"/>
      <c r="CM202" s="208" t="n"/>
      <c r="CN202" s="78" t="n"/>
      <c r="CO202" s="209" t="n"/>
      <c r="CP202" s="204" t="n"/>
      <c r="CQ202" s="204" t="n"/>
      <c r="CR202" s="204" t="n"/>
      <c r="CS202" s="204" t="n"/>
      <c r="CT202" s="204" t="n"/>
      <c r="CU202" s="204" t="n"/>
      <c r="CV202" s="204" t="n"/>
      <c r="CW202" s="204" t="n"/>
      <c r="CX202" s="190" t="n"/>
    </row>
    <row r="203">
      <c r="BF203" s="78" t="n"/>
      <c r="BG203" s="78" t="n"/>
      <c r="BH203" s="78" t="n"/>
      <c r="BI203" s="78" t="n"/>
      <c r="BJ203" s="139" t="n"/>
      <c r="BK203" s="204" t="n"/>
      <c r="BL203" s="141" t="n"/>
      <c r="BM203" s="205" t="n"/>
      <c r="BN203" s="205" t="n"/>
      <c r="BO203" s="206" t="n"/>
      <c r="BP203" s="144" t="n"/>
      <c r="BQ203" s="141" t="n"/>
      <c r="BR203" s="207" t="n"/>
      <c r="BS203" s="207" t="n"/>
      <c r="BT203" s="207" t="n"/>
      <c r="BU203" s="207" t="n"/>
      <c r="BV203" s="208" t="n"/>
      <c r="BW203" s="207" t="n"/>
      <c r="BX203" s="207" t="n"/>
      <c r="BY203" s="204" t="n"/>
      <c r="BZ203" s="148" t="n"/>
      <c r="CA203" s="204" t="n"/>
      <c r="CB203" s="208" t="n"/>
      <c r="CC203" s="139" t="n"/>
      <c r="CD203" s="204" t="n"/>
      <c r="CE203" s="204" t="n"/>
      <c r="CF203" s="207" t="n"/>
      <c r="CG203" s="208" t="n"/>
      <c r="CH203" s="207" t="n"/>
      <c r="CI203" s="208" t="n"/>
      <c r="CJ203" s="204" t="n"/>
      <c r="CK203" s="208" t="n"/>
      <c r="CL203" s="208" t="n"/>
      <c r="CM203" s="208" t="n"/>
      <c r="CN203" s="78" t="n"/>
      <c r="CO203" s="209" t="n"/>
      <c r="CP203" s="204" t="n"/>
      <c r="CQ203" s="204" t="n"/>
      <c r="CR203" s="204" t="n"/>
      <c r="CS203" s="204" t="n"/>
      <c r="CT203" s="204" t="n"/>
      <c r="CU203" s="204" t="n"/>
      <c r="CV203" s="204" t="n"/>
      <c r="CW203" s="204" t="n"/>
      <c r="CX203" s="190" t="n"/>
    </row>
    <row r="204">
      <c r="BF204" s="78" t="n"/>
      <c r="BG204" s="78" t="n"/>
      <c r="BH204" s="78" t="n"/>
      <c r="BI204" s="78" t="n"/>
      <c r="BJ204" s="139" t="n"/>
      <c r="BK204" s="204" t="n"/>
      <c r="BL204" s="141" t="n"/>
      <c r="BM204" s="205" t="n"/>
      <c r="BN204" s="205" t="n"/>
      <c r="BO204" s="206" t="n"/>
      <c r="BP204" s="144" t="n"/>
      <c r="BQ204" s="141" t="n"/>
      <c r="BR204" s="207" t="n"/>
      <c r="BS204" s="207" t="n"/>
      <c r="BT204" s="207" t="n"/>
      <c r="BU204" s="207" t="n"/>
      <c r="BV204" s="208" t="n"/>
      <c r="BW204" s="207" t="n"/>
      <c r="BX204" s="207" t="n"/>
      <c r="BY204" s="204" t="n"/>
      <c r="BZ204" s="148" t="n"/>
      <c r="CA204" s="204" t="n"/>
      <c r="CB204" s="208" t="n"/>
      <c r="CC204" s="139" t="n"/>
      <c r="CD204" s="204" t="n"/>
      <c r="CE204" s="204" t="n"/>
      <c r="CF204" s="207" t="n"/>
      <c r="CG204" s="208" t="n"/>
      <c r="CH204" s="207" t="n"/>
      <c r="CI204" s="208" t="n"/>
      <c r="CJ204" s="204" t="n"/>
      <c r="CK204" s="208" t="n"/>
      <c r="CL204" s="208" t="n"/>
      <c r="CM204" s="208" t="n"/>
      <c r="CN204" s="78" t="n"/>
      <c r="CO204" s="209" t="n"/>
      <c r="CP204" s="204" t="n"/>
      <c r="CQ204" s="204" t="n"/>
      <c r="CR204" s="204" t="n"/>
      <c r="CS204" s="204" t="n"/>
      <c r="CT204" s="204" t="n"/>
      <c r="CU204" s="204" t="n"/>
      <c r="CV204" s="204" t="n"/>
      <c r="CW204" s="204" t="n"/>
      <c r="CX204" s="190" t="n"/>
    </row>
    <row r="205">
      <c r="BF205" s="78" t="n"/>
      <c r="BG205" s="78" t="n"/>
      <c r="BH205" s="78" t="n"/>
      <c r="BI205" s="78" t="n"/>
      <c r="BJ205" s="139" t="n"/>
      <c r="BK205" s="204" t="n"/>
      <c r="BL205" s="141" t="n"/>
      <c r="BM205" s="205" t="n"/>
      <c r="BN205" s="205" t="n"/>
      <c r="BO205" s="206" t="n"/>
      <c r="BP205" s="144" t="n"/>
      <c r="BQ205" s="141" t="n"/>
      <c r="BR205" s="207" t="n"/>
      <c r="BS205" s="207" t="n"/>
      <c r="BT205" s="207" t="n"/>
      <c r="BU205" s="207" t="n"/>
      <c r="BV205" s="208" t="n"/>
      <c r="BW205" s="207" t="n"/>
      <c r="BX205" s="207" t="n"/>
      <c r="BY205" s="204" t="n"/>
      <c r="BZ205" s="148" t="n"/>
      <c r="CA205" s="204" t="n"/>
      <c r="CB205" s="208" t="n"/>
      <c r="CC205" s="139" t="n"/>
      <c r="CD205" s="204" t="n"/>
      <c r="CE205" s="204" t="n"/>
      <c r="CF205" s="207" t="n"/>
      <c r="CG205" s="208" t="n"/>
      <c r="CH205" s="207" t="n"/>
      <c r="CI205" s="208" t="n"/>
      <c r="CJ205" s="204" t="n"/>
      <c r="CK205" s="208" t="n"/>
      <c r="CL205" s="208" t="n"/>
      <c r="CM205" s="208" t="n"/>
      <c r="CN205" s="78" t="n"/>
      <c r="CO205" s="209" t="n"/>
      <c r="CP205" s="204" t="n"/>
      <c r="CQ205" s="204" t="n"/>
      <c r="CR205" s="204" t="n"/>
      <c r="CS205" s="204" t="n"/>
      <c r="CT205" s="204" t="n"/>
      <c r="CU205" s="204" t="n"/>
      <c r="CV205" s="204" t="n"/>
      <c r="CW205" s="204" t="n"/>
      <c r="CX205" s="190" t="n"/>
    </row>
    <row r="206">
      <c r="BF206" s="78" t="n"/>
      <c r="BG206" s="78" t="n"/>
      <c r="BH206" s="78" t="n"/>
      <c r="BI206" s="78" t="n"/>
      <c r="BJ206" s="139" t="n"/>
      <c r="BK206" s="204" t="n"/>
      <c r="BL206" s="141" t="n"/>
      <c r="BM206" s="205" t="n"/>
      <c r="BN206" s="205" t="n"/>
      <c r="BO206" s="206" t="n"/>
      <c r="BP206" s="144" t="n"/>
      <c r="BQ206" s="141" t="n"/>
      <c r="BR206" s="207" t="n"/>
      <c r="BS206" s="207" t="n"/>
      <c r="BT206" s="207" t="n"/>
      <c r="BU206" s="207" t="n"/>
      <c r="BV206" s="208" t="n"/>
      <c r="BW206" s="207" t="n"/>
      <c r="BX206" s="207" t="n"/>
      <c r="BY206" s="204" t="n"/>
      <c r="BZ206" s="148" t="n"/>
      <c r="CA206" s="204" t="n"/>
      <c r="CB206" s="208" t="n"/>
      <c r="CC206" s="139" t="n"/>
      <c r="CD206" s="204" t="n"/>
      <c r="CE206" s="204" t="n"/>
      <c r="CF206" s="207" t="n"/>
      <c r="CG206" s="208" t="n"/>
      <c r="CH206" s="207" t="n"/>
      <c r="CI206" s="208" t="n"/>
      <c r="CJ206" s="204" t="n"/>
      <c r="CK206" s="208" t="n"/>
      <c r="CL206" s="208" t="n"/>
      <c r="CM206" s="208" t="n"/>
      <c r="CN206" s="78" t="n"/>
      <c r="CO206" s="209" t="n"/>
      <c r="CP206" s="204" t="n"/>
      <c r="CQ206" s="204" t="n"/>
      <c r="CR206" s="204" t="n"/>
      <c r="CS206" s="204" t="n"/>
      <c r="CT206" s="204" t="n"/>
      <c r="CU206" s="204" t="n"/>
      <c r="CV206" s="204" t="n"/>
      <c r="CW206" s="204" t="n"/>
      <c r="CX206" s="190" t="n"/>
    </row>
    <row r="207">
      <c r="BF207" s="78" t="n"/>
      <c r="BG207" s="78" t="n"/>
      <c r="BH207" s="78" t="n"/>
      <c r="BI207" s="78" t="n"/>
      <c r="BJ207" s="139" t="n"/>
      <c r="BK207" s="204" t="n"/>
      <c r="BL207" s="141" t="n"/>
      <c r="BM207" s="205" t="n"/>
      <c r="BN207" s="205" t="n"/>
      <c r="BO207" s="206" t="n"/>
      <c r="BP207" s="144" t="n"/>
      <c r="BQ207" s="141" t="n"/>
      <c r="BR207" s="207" t="n"/>
      <c r="BS207" s="207" t="n"/>
      <c r="BT207" s="207" t="n"/>
      <c r="BU207" s="207" t="n"/>
      <c r="BV207" s="208" t="n"/>
      <c r="BW207" s="207" t="n"/>
      <c r="BX207" s="207" t="n"/>
      <c r="BY207" s="204" t="n"/>
      <c r="BZ207" s="148" t="n"/>
      <c r="CA207" s="204" t="n"/>
      <c r="CB207" s="208" t="n"/>
      <c r="CC207" s="139" t="n"/>
      <c r="CD207" s="204" t="n"/>
      <c r="CE207" s="204" t="n"/>
      <c r="CF207" s="207" t="n"/>
      <c r="CG207" s="208" t="n"/>
      <c r="CH207" s="207" t="n"/>
      <c r="CI207" s="208" t="n"/>
      <c r="CJ207" s="204" t="n"/>
      <c r="CK207" s="208" t="n"/>
      <c r="CL207" s="208" t="n"/>
      <c r="CM207" s="208" t="n"/>
      <c r="CN207" s="78" t="n"/>
      <c r="CO207" s="209" t="n"/>
      <c r="CP207" s="204" t="n"/>
      <c r="CQ207" s="204" t="n"/>
      <c r="CR207" s="204" t="n"/>
      <c r="CS207" s="204" t="n"/>
      <c r="CT207" s="204" t="n"/>
      <c r="CU207" s="204" t="n"/>
      <c r="CV207" s="204" t="n"/>
      <c r="CW207" s="204" t="n"/>
      <c r="CX207" s="190" t="n"/>
    </row>
    <row r="208">
      <c r="BF208" s="78" t="n"/>
      <c r="BG208" s="78" t="n"/>
      <c r="BH208" s="78" t="n"/>
      <c r="BI208" s="78" t="n"/>
      <c r="BJ208" s="139" t="n"/>
      <c r="BK208" s="204" t="n"/>
      <c r="BL208" s="141" t="n"/>
      <c r="BM208" s="205" t="n"/>
      <c r="BN208" s="205" t="n"/>
      <c r="BO208" s="206" t="n"/>
      <c r="BP208" s="144" t="n"/>
      <c r="BQ208" s="141" t="n"/>
      <c r="BR208" s="207" t="n"/>
      <c r="BS208" s="207" t="n"/>
      <c r="BT208" s="207" t="n"/>
      <c r="BU208" s="207" t="n"/>
      <c r="BV208" s="208" t="n"/>
      <c r="BW208" s="207" t="n"/>
      <c r="BX208" s="207" t="n"/>
      <c r="BY208" s="204" t="n"/>
      <c r="BZ208" s="148" t="n"/>
      <c r="CA208" s="204" t="n"/>
      <c r="CB208" s="208" t="n"/>
      <c r="CC208" s="139" t="n"/>
      <c r="CD208" s="204" t="n"/>
      <c r="CE208" s="204" t="n"/>
      <c r="CF208" s="207" t="n"/>
      <c r="CG208" s="208" t="n"/>
      <c r="CH208" s="207" t="n"/>
      <c r="CI208" s="208" t="n"/>
      <c r="CJ208" s="204" t="n"/>
      <c r="CK208" s="208" t="n"/>
      <c r="CL208" s="208" t="n"/>
      <c r="CM208" s="208" t="n"/>
      <c r="CN208" s="78" t="n"/>
      <c r="CO208" s="209" t="n"/>
      <c r="CP208" s="204" t="n"/>
      <c r="CQ208" s="204" t="n"/>
      <c r="CR208" s="204" t="n"/>
      <c r="CS208" s="204" t="n"/>
      <c r="CT208" s="204" t="n"/>
      <c r="CU208" s="204" t="n"/>
      <c r="CV208" s="204" t="n"/>
      <c r="CW208" s="204" t="n"/>
      <c r="CX208" s="190" t="n"/>
    </row>
    <row r="209">
      <c r="BF209" s="78" t="n"/>
      <c r="BG209" s="78" t="n"/>
      <c r="BH209" s="78" t="n"/>
      <c r="BI209" s="78" t="n"/>
      <c r="BJ209" s="139" t="n"/>
      <c r="BK209" s="204" t="n"/>
      <c r="BL209" s="141" t="n"/>
      <c r="BM209" s="205" t="n"/>
      <c r="BN209" s="205" t="n"/>
      <c r="BO209" s="206" t="n"/>
      <c r="BP209" s="144" t="n"/>
      <c r="BQ209" s="141" t="n"/>
      <c r="BR209" s="207" t="n"/>
      <c r="BS209" s="207" t="n"/>
      <c r="BT209" s="207" t="n"/>
      <c r="BU209" s="207" t="n"/>
      <c r="BV209" s="208" t="n"/>
      <c r="BW209" s="207" t="n"/>
      <c r="BX209" s="207" t="n"/>
      <c r="BY209" s="204" t="n"/>
      <c r="BZ209" s="148" t="n"/>
      <c r="CA209" s="204" t="n"/>
      <c r="CB209" s="208" t="n"/>
      <c r="CC209" s="139" t="n"/>
      <c r="CD209" s="204" t="n"/>
      <c r="CE209" s="204" t="n"/>
      <c r="CF209" s="207" t="n"/>
      <c r="CG209" s="208" t="n"/>
      <c r="CH209" s="207" t="n"/>
      <c r="CI209" s="208" t="n"/>
      <c r="CJ209" s="204" t="n"/>
      <c r="CK209" s="208" t="n"/>
      <c r="CL209" s="208" t="n"/>
      <c r="CM209" s="208" t="n"/>
      <c r="CN209" s="78" t="n"/>
      <c r="CO209" s="209" t="n"/>
      <c r="CP209" s="204" t="n"/>
      <c r="CQ209" s="204" t="n"/>
      <c r="CR209" s="204" t="n"/>
      <c r="CS209" s="204" t="n"/>
      <c r="CT209" s="204" t="n"/>
      <c r="CU209" s="204" t="n"/>
      <c r="CV209" s="204" t="n"/>
      <c r="CW209" s="204" t="n"/>
      <c r="CX209" s="190" t="n"/>
    </row>
    <row r="210">
      <c r="BF210" s="78" t="n"/>
      <c r="BG210" s="78" t="n"/>
      <c r="BH210" s="78" t="n"/>
      <c r="BI210" s="78" t="n"/>
      <c r="BJ210" s="139" t="n"/>
      <c r="BK210" s="204" t="n"/>
      <c r="BL210" s="141" t="n"/>
      <c r="BM210" s="205" t="n"/>
      <c r="BN210" s="205" t="n"/>
      <c r="BO210" s="206" t="n"/>
      <c r="BP210" s="144" t="n"/>
      <c r="BQ210" s="141" t="n"/>
      <c r="BR210" s="207" t="n"/>
      <c r="BS210" s="207" t="n"/>
      <c r="BT210" s="207" t="n"/>
      <c r="BU210" s="207" t="n"/>
      <c r="BV210" s="208" t="n"/>
      <c r="BW210" s="207" t="n"/>
      <c r="BX210" s="207" t="n"/>
      <c r="BY210" s="204" t="n"/>
      <c r="BZ210" s="148" t="n"/>
      <c r="CA210" s="204" t="n"/>
      <c r="CB210" s="208" t="n"/>
      <c r="CC210" s="139" t="n"/>
      <c r="CD210" s="204" t="n"/>
      <c r="CE210" s="204" t="n"/>
      <c r="CF210" s="207" t="n"/>
      <c r="CG210" s="208" t="n"/>
      <c r="CH210" s="207" t="n"/>
      <c r="CI210" s="208" t="n"/>
      <c r="CJ210" s="204" t="n"/>
      <c r="CK210" s="208" t="n"/>
      <c r="CL210" s="208" t="n"/>
      <c r="CM210" s="208" t="n"/>
      <c r="CN210" s="78" t="n"/>
      <c r="CO210" s="209" t="n"/>
      <c r="CP210" s="204" t="n"/>
      <c r="CQ210" s="204" t="n"/>
      <c r="CR210" s="204" t="n"/>
      <c r="CS210" s="204" t="n"/>
      <c r="CT210" s="204" t="n"/>
      <c r="CU210" s="204" t="n"/>
      <c r="CV210" s="204" t="n"/>
      <c r="CW210" s="204" t="n"/>
      <c r="CX210" s="190" t="n"/>
    </row>
    <row r="211">
      <c r="BF211" s="78" t="n"/>
      <c r="BG211" s="78" t="n"/>
      <c r="BH211" s="78" t="n"/>
      <c r="BI211" s="78" t="n"/>
      <c r="BJ211" s="139" t="n"/>
      <c r="BK211" s="204" t="n"/>
      <c r="BL211" s="141" t="n"/>
      <c r="BM211" s="205" t="n"/>
      <c r="BN211" s="205" t="n"/>
      <c r="BO211" s="206" t="n"/>
      <c r="BP211" s="144" t="n"/>
      <c r="BQ211" s="141" t="n"/>
      <c r="BR211" s="207" t="n"/>
      <c r="BS211" s="207" t="n"/>
      <c r="BT211" s="207" t="n"/>
      <c r="BU211" s="207" t="n"/>
      <c r="BV211" s="208" t="n"/>
      <c r="BW211" s="207" t="n"/>
      <c r="BX211" s="207" t="n"/>
      <c r="BY211" s="204" t="n"/>
      <c r="BZ211" s="148" t="n"/>
      <c r="CA211" s="204" t="n"/>
      <c r="CB211" s="208" t="n"/>
      <c r="CC211" s="139" t="n"/>
      <c r="CD211" s="204" t="n"/>
      <c r="CE211" s="204" t="n"/>
      <c r="CF211" s="207" t="n"/>
      <c r="CG211" s="208" t="n"/>
      <c r="CH211" s="207" t="n"/>
      <c r="CI211" s="208" t="n"/>
      <c r="CJ211" s="204" t="n"/>
      <c r="CK211" s="208" t="n"/>
      <c r="CL211" s="208" t="n"/>
      <c r="CM211" s="208" t="n"/>
      <c r="CN211" s="78" t="n"/>
      <c r="CO211" s="209" t="n"/>
      <c r="CP211" s="204" t="n"/>
      <c r="CQ211" s="204" t="n"/>
      <c r="CR211" s="204" t="n"/>
      <c r="CS211" s="204" t="n"/>
      <c r="CT211" s="204" t="n"/>
      <c r="CU211" s="204" t="n"/>
      <c r="CV211" s="204" t="n"/>
      <c r="CW211" s="204" t="n"/>
      <c r="CX211" s="190" t="n"/>
    </row>
    <row r="212">
      <c r="BF212" s="78" t="n"/>
      <c r="BG212" s="78" t="n"/>
      <c r="BH212" s="78" t="n"/>
      <c r="BI212" s="78" t="n"/>
      <c r="BJ212" s="139" t="n"/>
      <c r="BK212" s="204" t="n"/>
      <c r="BL212" s="141" t="n"/>
      <c r="BM212" s="205" t="n"/>
      <c r="BN212" s="205" t="n"/>
      <c r="BO212" s="206" t="n"/>
      <c r="BP212" s="144" t="n"/>
      <c r="BQ212" s="141" t="n"/>
      <c r="BR212" s="207" t="n"/>
      <c r="BS212" s="207" t="n"/>
      <c r="BT212" s="207" t="n"/>
      <c r="BU212" s="207" t="n"/>
      <c r="BV212" s="208" t="n"/>
      <c r="BW212" s="207" t="n"/>
      <c r="BX212" s="207" t="n"/>
      <c r="BY212" s="204" t="n"/>
      <c r="BZ212" s="148" t="n"/>
      <c r="CA212" s="204" t="n"/>
      <c r="CB212" s="208" t="n"/>
      <c r="CC212" s="139" t="n"/>
      <c r="CD212" s="204" t="n"/>
      <c r="CE212" s="204" t="n"/>
      <c r="CF212" s="207" t="n"/>
      <c r="CG212" s="208" t="n"/>
      <c r="CH212" s="207" t="n"/>
      <c r="CI212" s="208" t="n"/>
      <c r="CJ212" s="204" t="n"/>
      <c r="CK212" s="208" t="n"/>
      <c r="CL212" s="208" t="n"/>
      <c r="CM212" s="208" t="n"/>
      <c r="CN212" s="78" t="n"/>
      <c r="CO212" s="209" t="n"/>
      <c r="CP212" s="204" t="n"/>
      <c r="CQ212" s="204" t="n"/>
      <c r="CR212" s="204" t="n"/>
      <c r="CS212" s="204" t="n"/>
      <c r="CT212" s="204" t="n"/>
      <c r="CU212" s="204" t="n"/>
      <c r="CV212" s="204" t="n"/>
      <c r="CW212" s="204" t="n"/>
      <c r="CX212" s="190" t="n"/>
    </row>
    <row r="213">
      <c r="BF213" s="78" t="n"/>
      <c r="BG213" s="78" t="n"/>
      <c r="BH213" s="78" t="n"/>
      <c r="BI213" s="78" t="n"/>
      <c r="BJ213" s="139" t="n"/>
      <c r="BK213" s="204" t="n"/>
      <c r="BL213" s="141" t="n"/>
      <c r="BM213" s="205" t="n"/>
      <c r="BN213" s="205" t="n"/>
      <c r="BO213" s="206" t="n"/>
      <c r="BP213" s="144" t="n"/>
      <c r="BQ213" s="141" t="n"/>
      <c r="BR213" s="207" t="n"/>
      <c r="BS213" s="207" t="n"/>
      <c r="BT213" s="207" t="n"/>
      <c r="BU213" s="207" t="n"/>
      <c r="BV213" s="208" t="n"/>
      <c r="BW213" s="207" t="n"/>
      <c r="BX213" s="207" t="n"/>
      <c r="BY213" s="204" t="n"/>
      <c r="BZ213" s="148" t="n"/>
      <c r="CA213" s="204" t="n"/>
      <c r="CB213" s="208" t="n"/>
      <c r="CC213" s="139" t="n"/>
      <c r="CD213" s="204" t="n"/>
      <c r="CE213" s="204" t="n"/>
      <c r="CF213" s="207" t="n"/>
      <c r="CG213" s="208" t="n"/>
      <c r="CH213" s="207" t="n"/>
      <c r="CI213" s="208" t="n"/>
      <c r="CJ213" s="204" t="n"/>
      <c r="CK213" s="208" t="n"/>
      <c r="CL213" s="208" t="n"/>
      <c r="CM213" s="208" t="n"/>
      <c r="CN213" s="78" t="n"/>
      <c r="CO213" s="209" t="n"/>
      <c r="CP213" s="204" t="n"/>
      <c r="CQ213" s="204" t="n"/>
      <c r="CR213" s="204" t="n"/>
      <c r="CS213" s="204" t="n"/>
      <c r="CT213" s="204" t="n"/>
      <c r="CU213" s="204" t="n"/>
      <c r="CV213" s="204" t="n"/>
      <c r="CW213" s="204" t="n"/>
      <c r="CX213" s="190" t="n"/>
    </row>
    <row r="214">
      <c r="AR214" s="151" t="n"/>
      <c r="BF214" s="78" t="n"/>
      <c r="BG214" s="78" t="n"/>
      <c r="BH214" s="78" t="n"/>
      <c r="BI214" s="78" t="n"/>
      <c r="BJ214" s="139" t="n"/>
      <c r="BK214" s="204" t="n"/>
      <c r="BL214" s="141" t="n"/>
      <c r="BM214" s="205" t="n"/>
      <c r="BN214" s="205" t="n"/>
      <c r="BO214" s="206" t="n"/>
      <c r="BP214" s="144" t="n"/>
      <c r="BQ214" s="141" t="n"/>
      <c r="BR214" s="207" t="n"/>
      <c r="BS214" s="207" t="n"/>
      <c r="BT214" s="207" t="n"/>
      <c r="BU214" s="207" t="n"/>
      <c r="BV214" s="208" t="n"/>
      <c r="BW214" s="207" t="n"/>
      <c r="BX214" s="207" t="n"/>
      <c r="BY214" s="204" t="n"/>
      <c r="BZ214" s="148" t="n"/>
      <c r="CA214" s="204" t="n"/>
      <c r="CB214" s="208" t="n"/>
      <c r="CC214" s="139" t="n"/>
      <c r="CD214" s="204" t="n"/>
      <c r="CE214" s="204" t="n"/>
      <c r="CF214" s="207" t="n"/>
      <c r="CG214" s="208" t="n"/>
      <c r="CH214" s="207" t="n"/>
      <c r="CI214" s="208" t="n"/>
      <c r="CJ214" s="204" t="n"/>
      <c r="CK214" s="208" t="n"/>
      <c r="CL214" s="208" t="n"/>
      <c r="CM214" s="208" t="n"/>
      <c r="CN214" s="78" t="n"/>
      <c r="CO214" s="209" t="n"/>
      <c r="CP214" s="204" t="n"/>
      <c r="CQ214" s="204" t="n"/>
      <c r="CR214" s="204" t="n"/>
      <c r="CS214" s="204" t="n"/>
      <c r="CT214" s="204" t="n"/>
      <c r="CU214" s="204" t="n"/>
      <c r="CV214" s="204" t="n"/>
      <c r="CW214" s="204" t="n"/>
      <c r="CX214" s="190" t="n"/>
    </row>
    <row r="215">
      <c r="AR215" s="151" t="n"/>
      <c r="BF215" s="78" t="n"/>
      <c r="BG215" s="78" t="n"/>
      <c r="BH215" s="78" t="n"/>
      <c r="BI215" s="78" t="n"/>
      <c r="BJ215" s="139" t="n"/>
      <c r="BK215" s="204" t="n"/>
      <c r="BL215" s="141" t="n"/>
      <c r="BM215" s="205" t="n"/>
      <c r="BN215" s="205" t="n"/>
      <c r="BO215" s="206" t="n"/>
      <c r="BP215" s="144" t="n"/>
      <c r="BQ215" s="141" t="n"/>
      <c r="BR215" s="207" t="n"/>
      <c r="BS215" s="207" t="n"/>
      <c r="BT215" s="207" t="n"/>
      <c r="BU215" s="207" t="n"/>
      <c r="BV215" s="208" t="n"/>
      <c r="BW215" s="207" t="n"/>
      <c r="BX215" s="207" t="n"/>
      <c r="BY215" s="204" t="n"/>
      <c r="BZ215" s="148" t="n"/>
      <c r="CA215" s="204" t="n"/>
      <c r="CB215" s="208" t="n"/>
      <c r="CC215" s="139" t="n"/>
      <c r="CD215" s="204" t="n"/>
      <c r="CE215" s="204" t="n"/>
      <c r="CF215" s="207" t="n"/>
      <c r="CG215" s="208" t="n"/>
      <c r="CH215" s="207" t="n"/>
      <c r="CI215" s="208" t="n"/>
      <c r="CJ215" s="204" t="n"/>
      <c r="CK215" s="208" t="n"/>
      <c r="CL215" s="208" t="n"/>
      <c r="CM215" s="208" t="n"/>
      <c r="CN215" s="78" t="n"/>
      <c r="CO215" s="209" t="n"/>
      <c r="CP215" s="204" t="n"/>
      <c r="CQ215" s="204" t="n"/>
      <c r="CR215" s="204" t="n"/>
      <c r="CS215" s="204" t="n"/>
      <c r="CT215" s="204" t="n"/>
      <c r="CU215" s="204" t="n"/>
      <c r="CV215" s="204" t="n"/>
      <c r="CW215" s="204" t="n"/>
      <c r="CX215" s="190" t="n"/>
    </row>
    <row r="216">
      <c r="BF216" s="78" t="n"/>
      <c r="BG216" s="78" t="n"/>
      <c r="BH216" s="78" t="n"/>
      <c r="BI216" s="78" t="n"/>
      <c r="BJ216" s="139" t="n"/>
      <c r="BK216" s="204" t="n"/>
      <c r="BL216" s="141" t="n"/>
      <c r="BM216" s="205" t="n"/>
      <c r="BN216" s="205" t="n"/>
      <c r="BO216" s="206" t="n"/>
      <c r="BP216" s="144" t="n"/>
      <c r="BQ216" s="141" t="n"/>
      <c r="BR216" s="207" t="n"/>
      <c r="BS216" s="207" t="n"/>
      <c r="BT216" s="207" t="n"/>
      <c r="BU216" s="207" t="n"/>
      <c r="BV216" s="208" t="n"/>
      <c r="BW216" s="207" t="n"/>
      <c r="BX216" s="207" t="n"/>
      <c r="BY216" s="204" t="n"/>
      <c r="BZ216" s="148" t="n"/>
      <c r="CA216" s="204" t="n"/>
      <c r="CB216" s="208" t="n"/>
      <c r="CC216" s="139" t="n"/>
      <c r="CD216" s="204" t="n"/>
      <c r="CE216" s="204" t="n"/>
      <c r="CF216" s="207" t="n"/>
      <c r="CG216" s="208" t="n"/>
      <c r="CH216" s="207" t="n"/>
      <c r="CI216" s="208" t="n"/>
      <c r="CJ216" s="204" t="n"/>
      <c r="CK216" s="208" t="n"/>
      <c r="CL216" s="208" t="n"/>
      <c r="CM216" s="208" t="n"/>
      <c r="CN216" s="78" t="n"/>
      <c r="CO216" s="209" t="n"/>
      <c r="CP216" s="204" t="n"/>
      <c r="CQ216" s="204" t="n"/>
      <c r="CR216" s="204" t="n"/>
      <c r="CS216" s="204" t="n"/>
      <c r="CT216" s="204" t="n"/>
      <c r="CU216" s="204" t="n"/>
      <c r="CV216" s="204" t="n"/>
      <c r="CW216" s="204" t="n"/>
      <c r="CX216" s="190" t="n"/>
    </row>
    <row r="217">
      <c r="BF217" s="78" t="n"/>
      <c r="BG217" s="78" t="n"/>
      <c r="BH217" s="78" t="n"/>
      <c r="BI217" s="78" t="n"/>
      <c r="BJ217" s="139" t="n"/>
      <c r="BK217" s="204" t="n"/>
      <c r="BL217" s="141" t="n"/>
      <c r="BM217" s="205" t="n"/>
      <c r="BN217" s="205" t="n"/>
      <c r="BO217" s="206" t="n"/>
      <c r="BP217" s="144" t="n"/>
      <c r="BQ217" s="141" t="n"/>
      <c r="BR217" s="207" t="n"/>
      <c r="BS217" s="207" t="n"/>
      <c r="BT217" s="207" t="n"/>
      <c r="BU217" s="207" t="n"/>
      <c r="BV217" s="208" t="n"/>
      <c r="BW217" s="207" t="n"/>
      <c r="BX217" s="207" t="n"/>
      <c r="BY217" s="204" t="n"/>
      <c r="BZ217" s="148" t="n"/>
      <c r="CA217" s="204" t="n"/>
      <c r="CB217" s="208" t="n"/>
      <c r="CC217" s="139" t="n"/>
      <c r="CD217" s="204" t="n"/>
      <c r="CE217" s="204" t="n"/>
      <c r="CF217" s="207" t="n"/>
      <c r="CG217" s="208" t="n"/>
      <c r="CH217" s="207" t="n"/>
      <c r="CI217" s="208" t="n"/>
      <c r="CJ217" s="204" t="n"/>
      <c r="CK217" s="208" t="n"/>
      <c r="CL217" s="208" t="n"/>
      <c r="CM217" s="208" t="n"/>
      <c r="CN217" s="78" t="n"/>
      <c r="CO217" s="209" t="n"/>
      <c r="CP217" s="204" t="n"/>
      <c r="CQ217" s="204" t="n"/>
      <c r="CR217" s="204" t="n"/>
      <c r="CS217" s="204" t="n"/>
      <c r="CT217" s="204" t="n"/>
      <c r="CU217" s="204" t="n"/>
      <c r="CV217" s="204" t="n"/>
      <c r="CW217" s="204" t="n"/>
      <c r="CX217" s="190" t="n"/>
    </row>
    <row r="218">
      <c r="AR218" s="151" t="n"/>
      <c r="BF218" s="78" t="n"/>
      <c r="BG218" s="78" t="n"/>
      <c r="BH218" s="78" t="n"/>
      <c r="BI218" s="78" t="n"/>
      <c r="BJ218" s="139" t="n"/>
      <c r="BK218" s="204" t="n"/>
      <c r="BL218" s="141" t="n"/>
      <c r="BM218" s="205" t="n"/>
      <c r="BN218" s="205" t="n"/>
      <c r="BO218" s="206" t="n"/>
      <c r="BP218" s="144" t="n"/>
      <c r="BQ218" s="141" t="n"/>
      <c r="BR218" s="207" t="n"/>
      <c r="BS218" s="207" t="n"/>
      <c r="BT218" s="207" t="n"/>
      <c r="BU218" s="207" t="n"/>
      <c r="BV218" s="208" t="n"/>
      <c r="BW218" s="207" t="n"/>
      <c r="BX218" s="207" t="n"/>
      <c r="BY218" s="204" t="n"/>
      <c r="BZ218" s="148" t="n"/>
      <c r="CA218" s="204" t="n"/>
      <c r="CB218" s="208" t="n"/>
      <c r="CC218" s="139" t="n"/>
      <c r="CD218" s="204" t="n"/>
      <c r="CE218" s="204" t="n"/>
      <c r="CF218" s="207" t="n"/>
      <c r="CG218" s="208" t="n"/>
      <c r="CH218" s="207" t="n"/>
      <c r="CI218" s="208" t="n"/>
      <c r="CJ218" s="204" t="n"/>
      <c r="CK218" s="208" t="n"/>
      <c r="CL218" s="208" t="n"/>
      <c r="CM218" s="208" t="n"/>
      <c r="CN218" s="78" t="n"/>
      <c r="CO218" s="209" t="n"/>
      <c r="CP218" s="204" t="n"/>
      <c r="CQ218" s="204" t="n"/>
      <c r="CR218" s="204" t="n"/>
      <c r="CS218" s="204" t="n"/>
      <c r="CT218" s="204" t="n"/>
      <c r="CU218" s="204" t="n"/>
      <c r="CV218" s="204" t="n"/>
      <c r="CW218" s="204" t="n"/>
      <c r="CX218" s="190" t="n"/>
    </row>
    <row r="219">
      <c r="BF219" s="78" t="n"/>
      <c r="BG219" s="78" t="n"/>
      <c r="BH219" s="78" t="n"/>
      <c r="BI219" s="78" t="n"/>
      <c r="BJ219" s="139" t="n"/>
      <c r="BK219" s="204" t="n"/>
      <c r="BL219" s="141" t="n"/>
      <c r="BM219" s="205" t="n"/>
      <c r="BN219" s="205" t="n"/>
      <c r="BO219" s="206" t="n"/>
      <c r="BP219" s="144" t="n"/>
      <c r="BQ219" s="141" t="n"/>
      <c r="BR219" s="207" t="n"/>
      <c r="BS219" s="207" t="n"/>
      <c r="BT219" s="207" t="n"/>
      <c r="BU219" s="207" t="n"/>
      <c r="BV219" s="208" t="n"/>
      <c r="BW219" s="207" t="n"/>
      <c r="BX219" s="207" t="n"/>
      <c r="BY219" s="204" t="n"/>
      <c r="BZ219" s="148" t="n"/>
      <c r="CA219" s="204" t="n"/>
      <c r="CB219" s="208" t="n"/>
      <c r="CC219" s="139" t="n"/>
      <c r="CD219" s="204" t="n"/>
      <c r="CE219" s="204" t="n"/>
      <c r="CF219" s="207" t="n"/>
      <c r="CG219" s="208" t="n"/>
      <c r="CH219" s="207" t="n"/>
      <c r="CI219" s="208" t="n"/>
      <c r="CJ219" s="204" t="n"/>
      <c r="CK219" s="208" t="n"/>
      <c r="CL219" s="208" t="n"/>
      <c r="CM219" s="208" t="n"/>
      <c r="CN219" s="78" t="n"/>
      <c r="CO219" s="209" t="n"/>
      <c r="CP219" s="204" t="n"/>
      <c r="CQ219" s="204" t="n"/>
      <c r="CR219" s="204" t="n"/>
      <c r="CS219" s="204" t="n"/>
      <c r="CT219" s="204" t="n"/>
      <c r="CU219" s="204" t="n"/>
      <c r="CV219" s="204" t="n"/>
      <c r="CW219" s="204" t="n"/>
      <c r="CX219" s="190" t="n"/>
    </row>
    <row r="220">
      <c r="BF220" s="78" t="n"/>
      <c r="BG220" s="78" t="n"/>
      <c r="BH220" s="78" t="n"/>
      <c r="BI220" s="78" t="n"/>
      <c r="BJ220" s="139" t="n"/>
      <c r="BK220" s="204" t="n"/>
      <c r="BL220" s="141" t="n"/>
      <c r="BM220" s="205" t="n"/>
      <c r="BN220" s="205" t="n"/>
      <c r="BO220" s="206" t="n"/>
      <c r="BP220" s="144" t="n"/>
      <c r="BQ220" s="141" t="n"/>
      <c r="BR220" s="207" t="n"/>
      <c r="BS220" s="207" t="n"/>
      <c r="BT220" s="207" t="n"/>
      <c r="BU220" s="207" t="n"/>
      <c r="BV220" s="208" t="n"/>
      <c r="BW220" s="207" t="n"/>
      <c r="BX220" s="207" t="n"/>
      <c r="BY220" s="204" t="n"/>
      <c r="BZ220" s="148" t="n"/>
      <c r="CA220" s="204" t="n"/>
      <c r="CB220" s="208" t="n"/>
      <c r="CC220" s="139" t="n"/>
      <c r="CD220" s="204" t="n"/>
      <c r="CE220" s="204" t="n"/>
      <c r="CF220" s="207" t="n"/>
      <c r="CG220" s="208" t="n"/>
      <c r="CH220" s="207" t="n"/>
      <c r="CI220" s="208" t="n"/>
      <c r="CJ220" s="204" t="n"/>
      <c r="CK220" s="208" t="n"/>
      <c r="CL220" s="208" t="n"/>
      <c r="CM220" s="208" t="n"/>
      <c r="CN220" s="78" t="n"/>
      <c r="CO220" s="209" t="n"/>
      <c r="CP220" s="204" t="n"/>
      <c r="CQ220" s="204" t="n"/>
      <c r="CR220" s="204" t="n"/>
      <c r="CS220" s="204" t="n"/>
      <c r="CT220" s="204" t="n"/>
      <c r="CU220" s="204" t="n"/>
      <c r="CV220" s="204" t="n"/>
      <c r="CW220" s="204" t="n"/>
      <c r="CX220" s="190" t="n"/>
    </row>
    <row r="221">
      <c r="BF221" s="78" t="n"/>
      <c r="BG221" s="78" t="n"/>
      <c r="BH221" s="78" t="n"/>
      <c r="BI221" s="78" t="n"/>
      <c r="BJ221" s="139" t="n"/>
      <c r="BK221" s="204" t="n"/>
      <c r="BL221" s="141" t="n"/>
      <c r="BM221" s="205" t="n"/>
      <c r="BN221" s="205" t="n"/>
      <c r="BO221" s="206" t="n"/>
      <c r="BP221" s="144" t="n"/>
      <c r="BQ221" s="141" t="n"/>
      <c r="BR221" s="207" t="n"/>
      <c r="BS221" s="207" t="n"/>
      <c r="BT221" s="207" t="n"/>
      <c r="BU221" s="207" t="n"/>
      <c r="BV221" s="208" t="n"/>
      <c r="BW221" s="207" t="n"/>
      <c r="BX221" s="207" t="n"/>
      <c r="BY221" s="204" t="n"/>
      <c r="BZ221" s="148" t="n"/>
      <c r="CA221" s="204" t="n"/>
      <c r="CB221" s="208" t="n"/>
      <c r="CC221" s="139" t="n"/>
      <c r="CD221" s="204" t="n"/>
      <c r="CE221" s="204" t="n"/>
      <c r="CF221" s="207" t="n"/>
      <c r="CG221" s="208" t="n"/>
      <c r="CH221" s="207" t="n"/>
      <c r="CI221" s="208" t="n"/>
      <c r="CJ221" s="204" t="n"/>
      <c r="CK221" s="208" t="n"/>
      <c r="CL221" s="208" t="n"/>
      <c r="CM221" s="208" t="n"/>
      <c r="CN221" s="78" t="n"/>
      <c r="CO221" s="209" t="n"/>
      <c r="CP221" s="204" t="n"/>
      <c r="CQ221" s="204" t="n"/>
      <c r="CR221" s="204" t="n"/>
      <c r="CS221" s="204" t="n"/>
      <c r="CT221" s="204" t="n"/>
      <c r="CU221" s="204" t="n"/>
      <c r="CV221" s="204" t="n"/>
      <c r="CW221" s="204" t="n"/>
      <c r="CX221" s="190" t="n"/>
    </row>
    <row r="222">
      <c r="BF222" s="78" t="n"/>
      <c r="BG222" s="78" t="n"/>
      <c r="BH222" s="78" t="n"/>
      <c r="BI222" s="78" t="n"/>
      <c r="BJ222" s="139" t="n"/>
      <c r="BK222" s="204" t="n"/>
      <c r="BL222" s="141" t="n"/>
      <c r="BM222" s="205" t="n"/>
      <c r="BN222" s="205" t="n"/>
      <c r="BO222" s="206" t="n"/>
      <c r="BP222" s="144" t="n"/>
      <c r="BQ222" s="141" t="n"/>
      <c r="BR222" s="207" t="n"/>
      <c r="BS222" s="207" t="n"/>
      <c r="BT222" s="207" t="n"/>
      <c r="BU222" s="207" t="n"/>
      <c r="BV222" s="208" t="n"/>
      <c r="BW222" s="207" t="n"/>
      <c r="BX222" s="207" t="n"/>
      <c r="BY222" s="204" t="n"/>
      <c r="BZ222" s="148" t="n"/>
      <c r="CA222" s="204" t="n"/>
      <c r="CB222" s="208" t="n"/>
      <c r="CC222" s="139" t="n"/>
      <c r="CD222" s="204" t="n"/>
      <c r="CE222" s="204" t="n"/>
      <c r="CF222" s="207" t="n"/>
      <c r="CG222" s="208" t="n"/>
      <c r="CH222" s="207" t="n"/>
      <c r="CI222" s="208" t="n"/>
      <c r="CJ222" s="204" t="n"/>
      <c r="CK222" s="208" t="n"/>
      <c r="CL222" s="208" t="n"/>
      <c r="CM222" s="208" t="n"/>
      <c r="CN222" s="78" t="n"/>
      <c r="CO222" s="209" t="n"/>
      <c r="CP222" s="204" t="n"/>
      <c r="CQ222" s="204" t="n"/>
      <c r="CR222" s="204" t="n"/>
      <c r="CS222" s="204" t="n"/>
      <c r="CT222" s="204" t="n"/>
      <c r="CU222" s="204" t="n"/>
      <c r="CV222" s="204" t="n"/>
      <c r="CW222" s="204" t="n"/>
      <c r="CX222" s="190" t="n"/>
    </row>
    <row r="223">
      <c r="BF223" s="78" t="n"/>
      <c r="BG223" s="78" t="n"/>
      <c r="BH223" s="78" t="n"/>
      <c r="BI223" s="78" t="n"/>
      <c r="BJ223" s="139" t="n"/>
      <c r="BK223" s="204" t="n"/>
      <c r="BL223" s="141" t="n"/>
      <c r="BM223" s="205" t="n"/>
      <c r="BN223" s="205" t="n"/>
      <c r="BO223" s="206" t="n"/>
      <c r="BP223" s="144" t="n"/>
      <c r="BQ223" s="141" t="n"/>
      <c r="BR223" s="207" t="n"/>
      <c r="BS223" s="207" t="n"/>
      <c r="BT223" s="207" t="n"/>
      <c r="BU223" s="207" t="n"/>
      <c r="BV223" s="208" t="n"/>
      <c r="BW223" s="207" t="n"/>
      <c r="BX223" s="207" t="n"/>
      <c r="BY223" s="204" t="n"/>
      <c r="BZ223" s="148" t="n"/>
      <c r="CA223" s="204" t="n"/>
      <c r="CB223" s="208" t="n"/>
      <c r="CC223" s="139" t="n"/>
      <c r="CD223" s="204" t="n"/>
      <c r="CE223" s="204" t="n"/>
      <c r="CF223" s="207" t="n"/>
      <c r="CG223" s="208" t="n"/>
      <c r="CH223" s="207" t="n"/>
      <c r="CI223" s="208" t="n"/>
      <c r="CJ223" s="204" t="n"/>
      <c r="CK223" s="208" t="n"/>
      <c r="CL223" s="208" t="n"/>
      <c r="CM223" s="208" t="n"/>
      <c r="CN223" s="78" t="n"/>
      <c r="CO223" s="209" t="n"/>
      <c r="CP223" s="204" t="n"/>
      <c r="CQ223" s="204" t="n"/>
      <c r="CR223" s="204" t="n"/>
      <c r="CS223" s="204" t="n"/>
      <c r="CT223" s="204" t="n"/>
      <c r="CU223" s="204" t="n"/>
      <c r="CV223" s="204" t="n"/>
      <c r="CW223" s="204" t="n"/>
      <c r="CX223" s="190" t="n"/>
    </row>
    <row r="224">
      <c r="BF224" s="78" t="n"/>
      <c r="BG224" s="78" t="n"/>
      <c r="BH224" s="78" t="n"/>
      <c r="BI224" s="78" t="n"/>
      <c r="BJ224" s="139" t="n"/>
      <c r="BK224" s="204" t="n"/>
      <c r="BL224" s="141" t="n"/>
      <c r="BM224" s="205" t="n"/>
      <c r="BN224" s="205" t="n"/>
      <c r="BO224" s="206" t="n"/>
      <c r="BP224" s="144" t="n"/>
      <c r="BQ224" s="141" t="n"/>
      <c r="BR224" s="207" t="n"/>
      <c r="BS224" s="207" t="n"/>
      <c r="BT224" s="207" t="n"/>
      <c r="BU224" s="207" t="n"/>
      <c r="BV224" s="208" t="n"/>
      <c r="BW224" s="207" t="n"/>
      <c r="BX224" s="207" t="n"/>
      <c r="BY224" s="204" t="n"/>
      <c r="BZ224" s="148" t="n"/>
      <c r="CA224" s="204" t="n"/>
      <c r="CB224" s="208" t="n"/>
      <c r="CC224" s="139" t="n"/>
      <c r="CD224" s="204" t="n"/>
      <c r="CE224" s="204" t="n"/>
      <c r="CF224" s="207" t="n"/>
      <c r="CG224" s="208" t="n"/>
      <c r="CH224" s="207" t="n"/>
      <c r="CI224" s="208" t="n"/>
      <c r="CJ224" s="204" t="n"/>
      <c r="CK224" s="208" t="n"/>
      <c r="CL224" s="208" t="n"/>
      <c r="CM224" s="208" t="n"/>
      <c r="CN224" s="78" t="n"/>
      <c r="CO224" s="209" t="n"/>
      <c r="CP224" s="204" t="n"/>
      <c r="CQ224" s="204" t="n"/>
      <c r="CR224" s="204" t="n"/>
      <c r="CS224" s="204" t="n"/>
      <c r="CT224" s="204" t="n"/>
      <c r="CU224" s="204" t="n"/>
      <c r="CV224" s="204" t="n"/>
      <c r="CW224" s="204" t="n"/>
      <c r="CX224" s="190" t="n"/>
    </row>
    <row r="225">
      <c r="BF225" s="78" t="n"/>
      <c r="BG225" s="78" t="n"/>
      <c r="BH225" s="78" t="n"/>
      <c r="BI225" s="78" t="n"/>
      <c r="BJ225" s="139" t="n"/>
      <c r="BK225" s="204" t="n"/>
      <c r="BL225" s="141" t="n"/>
      <c r="BM225" s="205" t="n"/>
      <c r="BN225" s="205" t="n"/>
      <c r="BO225" s="206" t="n"/>
      <c r="BP225" s="144" t="n"/>
      <c r="BQ225" s="141" t="n"/>
      <c r="BR225" s="207" t="n"/>
      <c r="BS225" s="207" t="n"/>
      <c r="BT225" s="207" t="n"/>
      <c r="BU225" s="207" t="n"/>
      <c r="BV225" s="208" t="n"/>
      <c r="BW225" s="207" t="n"/>
      <c r="BX225" s="207" t="n"/>
      <c r="BY225" s="204" t="n"/>
      <c r="BZ225" s="148" t="n"/>
      <c r="CA225" s="204" t="n"/>
      <c r="CB225" s="208" t="n"/>
      <c r="CC225" s="139" t="n"/>
      <c r="CD225" s="204" t="n"/>
      <c r="CE225" s="204" t="n"/>
      <c r="CF225" s="207" t="n"/>
      <c r="CG225" s="208" t="n"/>
      <c r="CH225" s="207" t="n"/>
      <c r="CI225" s="208" t="n"/>
      <c r="CJ225" s="204" t="n"/>
      <c r="CK225" s="208" t="n"/>
      <c r="CL225" s="208" t="n"/>
      <c r="CM225" s="208" t="n"/>
      <c r="CN225" s="78" t="n"/>
      <c r="CO225" s="209" t="n"/>
      <c r="CP225" s="204" t="n"/>
      <c r="CQ225" s="204" t="n"/>
      <c r="CR225" s="204" t="n"/>
      <c r="CS225" s="204" t="n"/>
      <c r="CT225" s="204" t="n"/>
      <c r="CU225" s="204" t="n"/>
      <c r="CV225" s="204" t="n"/>
      <c r="CW225" s="204" t="n"/>
      <c r="CX225" s="190" t="n"/>
    </row>
    <row r="226">
      <c r="BF226" s="78" t="n"/>
      <c r="BG226" s="78" t="n"/>
      <c r="BH226" s="78" t="n"/>
      <c r="BI226" s="78" t="n"/>
      <c r="BJ226" s="139" t="n"/>
      <c r="BK226" s="204" t="n"/>
      <c r="BL226" s="141" t="n"/>
      <c r="BM226" s="205" t="n"/>
      <c r="BN226" s="205" t="n"/>
      <c r="BO226" s="206" t="n"/>
      <c r="BP226" s="144" t="n"/>
      <c r="BQ226" s="141" t="n"/>
      <c r="BR226" s="207" t="n"/>
      <c r="BS226" s="207" t="n"/>
      <c r="BT226" s="207" t="n"/>
      <c r="BU226" s="207" t="n"/>
      <c r="BV226" s="208" t="n"/>
      <c r="BW226" s="207" t="n"/>
      <c r="BX226" s="207" t="n"/>
      <c r="BY226" s="204" t="n"/>
      <c r="BZ226" s="148" t="n"/>
      <c r="CA226" s="204" t="n"/>
      <c r="CB226" s="208" t="n"/>
      <c r="CC226" s="139" t="n"/>
      <c r="CD226" s="204" t="n"/>
      <c r="CE226" s="204" t="n"/>
      <c r="CF226" s="207" t="n"/>
      <c r="CG226" s="208" t="n"/>
      <c r="CH226" s="207" t="n"/>
      <c r="CI226" s="208" t="n"/>
      <c r="CJ226" s="204" t="n"/>
      <c r="CK226" s="208" t="n"/>
      <c r="CL226" s="208" t="n"/>
      <c r="CM226" s="208" t="n"/>
      <c r="CN226" s="78" t="n"/>
      <c r="CO226" s="209" t="n"/>
      <c r="CP226" s="204" t="n"/>
      <c r="CQ226" s="204" t="n"/>
      <c r="CR226" s="204" t="n"/>
      <c r="CS226" s="204" t="n"/>
      <c r="CT226" s="204" t="n"/>
      <c r="CU226" s="204" t="n"/>
      <c r="CV226" s="204" t="n"/>
      <c r="CW226" s="204" t="n"/>
      <c r="CX226" s="190" t="n"/>
    </row>
    <row r="227">
      <c r="BF227" s="78" t="n"/>
      <c r="BG227" s="78" t="n"/>
      <c r="BH227" s="78" t="n"/>
      <c r="BI227" s="78" t="n"/>
      <c r="BJ227" s="139" t="n"/>
      <c r="BK227" s="204" t="n"/>
      <c r="BL227" s="141" t="n"/>
      <c r="BM227" s="205" t="n"/>
      <c r="BN227" s="205" t="n"/>
      <c r="BO227" s="206" t="n"/>
      <c r="BP227" s="144" t="n"/>
      <c r="BQ227" s="141" t="n"/>
      <c r="BR227" s="207" t="n"/>
      <c r="BS227" s="207" t="n"/>
      <c r="BT227" s="207" t="n"/>
      <c r="BU227" s="207" t="n"/>
      <c r="BV227" s="208" t="n"/>
      <c r="BW227" s="207" t="n"/>
      <c r="BX227" s="207" t="n"/>
      <c r="BY227" s="204" t="n"/>
      <c r="BZ227" s="148" t="n"/>
      <c r="CA227" s="204" t="n"/>
      <c r="CB227" s="208" t="n"/>
      <c r="CC227" s="139" t="n"/>
      <c r="CD227" s="204" t="n"/>
      <c r="CE227" s="204" t="n"/>
      <c r="CF227" s="207" t="n"/>
      <c r="CG227" s="208" t="n"/>
      <c r="CH227" s="207" t="n"/>
      <c r="CI227" s="208" t="n"/>
      <c r="CJ227" s="204" t="n"/>
      <c r="CK227" s="208" t="n"/>
      <c r="CL227" s="208" t="n"/>
      <c r="CM227" s="208" t="n"/>
      <c r="CN227" s="78" t="n"/>
      <c r="CO227" s="209" t="n"/>
      <c r="CP227" s="204" t="n"/>
      <c r="CQ227" s="204" t="n"/>
      <c r="CR227" s="204" t="n"/>
      <c r="CS227" s="204" t="n"/>
      <c r="CT227" s="204" t="n"/>
      <c r="CU227" s="204" t="n"/>
      <c r="CV227" s="204" t="n"/>
      <c r="CW227" s="204" t="n"/>
      <c r="CX227" s="190" t="n"/>
    </row>
    <row r="228">
      <c r="BF228" s="78" t="n"/>
      <c r="BG228" s="78" t="n"/>
      <c r="BH228" s="78" t="n"/>
      <c r="BI228" s="78" t="n"/>
      <c r="BJ228" s="139" t="n"/>
      <c r="BK228" s="204" t="n"/>
      <c r="BL228" s="141" t="n"/>
      <c r="BM228" s="205" t="n"/>
      <c r="BN228" s="205" t="n"/>
      <c r="BO228" s="206" t="n"/>
      <c r="BP228" s="144" t="n"/>
      <c r="BQ228" s="141" t="n"/>
      <c r="BR228" s="207" t="n"/>
      <c r="BS228" s="207" t="n"/>
      <c r="BT228" s="207" t="n"/>
      <c r="BU228" s="207" t="n"/>
      <c r="BV228" s="208" t="n"/>
      <c r="BW228" s="207" t="n"/>
      <c r="BX228" s="207" t="n"/>
      <c r="BY228" s="204" t="n"/>
      <c r="BZ228" s="148" t="n"/>
      <c r="CA228" s="204" t="n"/>
      <c r="CB228" s="208" t="n"/>
      <c r="CC228" s="139" t="n"/>
      <c r="CD228" s="204" t="n"/>
      <c r="CE228" s="204" t="n"/>
      <c r="CF228" s="207" t="n"/>
      <c r="CG228" s="208" t="n"/>
      <c r="CH228" s="207" t="n"/>
      <c r="CI228" s="208" t="n"/>
      <c r="CJ228" s="204" t="n"/>
      <c r="CK228" s="208" t="n"/>
      <c r="CL228" s="208" t="n"/>
      <c r="CM228" s="208" t="n"/>
      <c r="CN228" s="78" t="n"/>
      <c r="CO228" s="209" t="n"/>
      <c r="CP228" s="204" t="n"/>
      <c r="CQ228" s="204" t="n"/>
      <c r="CR228" s="204" t="n"/>
      <c r="CS228" s="204" t="n"/>
      <c r="CT228" s="204" t="n"/>
      <c r="CU228" s="204" t="n"/>
      <c r="CV228" s="204" t="n"/>
      <c r="CW228" s="204" t="n"/>
      <c r="CX228" s="190" t="n"/>
    </row>
    <row r="229">
      <c r="BF229" s="78" t="n"/>
      <c r="BG229" s="78" t="n"/>
      <c r="BH229" s="78" t="n"/>
      <c r="BI229" s="78" t="n"/>
      <c r="BJ229" s="139" t="n"/>
      <c r="BK229" s="204" t="n"/>
      <c r="BL229" s="141" t="n"/>
      <c r="BM229" s="205" t="n"/>
      <c r="BN229" s="205" t="n"/>
      <c r="BO229" s="206" t="n"/>
      <c r="BP229" s="144" t="n"/>
      <c r="BQ229" s="141" t="n"/>
      <c r="BR229" s="207" t="n"/>
      <c r="BS229" s="207" t="n"/>
      <c r="BT229" s="207" t="n"/>
      <c r="BU229" s="207" t="n"/>
      <c r="BV229" s="208" t="n"/>
      <c r="BW229" s="207" t="n"/>
      <c r="BX229" s="207" t="n"/>
      <c r="BY229" s="204" t="n"/>
      <c r="BZ229" s="148" t="n"/>
      <c r="CA229" s="204" t="n"/>
      <c r="CB229" s="208" t="n"/>
      <c r="CC229" s="139" t="n"/>
      <c r="CD229" s="204" t="n"/>
      <c r="CE229" s="204" t="n"/>
      <c r="CF229" s="207" t="n"/>
      <c r="CG229" s="208" t="n"/>
      <c r="CH229" s="207" t="n"/>
      <c r="CI229" s="208" t="n"/>
      <c r="CJ229" s="204" t="n"/>
      <c r="CK229" s="208" t="n"/>
      <c r="CL229" s="208" t="n"/>
      <c r="CM229" s="208" t="n"/>
      <c r="CN229" s="78" t="n"/>
      <c r="CO229" s="209" t="n"/>
      <c r="CP229" s="204" t="n"/>
      <c r="CQ229" s="204" t="n"/>
      <c r="CR229" s="204" t="n"/>
      <c r="CS229" s="204" t="n"/>
      <c r="CT229" s="204" t="n"/>
      <c r="CU229" s="204" t="n"/>
      <c r="CV229" s="204" t="n"/>
      <c r="CW229" s="204" t="n"/>
      <c r="CX229" s="190" t="n"/>
    </row>
    <row r="230">
      <c r="BF230" s="78" t="n"/>
      <c r="BG230" s="78" t="n"/>
      <c r="BH230" s="78" t="n"/>
      <c r="BI230" s="78" t="n"/>
      <c r="BJ230" s="139" t="n"/>
      <c r="BK230" s="204" t="n"/>
      <c r="BL230" s="141" t="n"/>
      <c r="BM230" s="205" t="n"/>
      <c r="BN230" s="205" t="n"/>
      <c r="BO230" s="206" t="n"/>
      <c r="BP230" s="144" t="n"/>
      <c r="BQ230" s="141" t="n"/>
      <c r="BR230" s="207" t="n"/>
      <c r="BS230" s="207" t="n"/>
      <c r="BT230" s="207" t="n"/>
      <c r="BU230" s="207" t="n"/>
      <c r="BV230" s="208" t="n"/>
      <c r="BW230" s="207" t="n"/>
      <c r="BX230" s="207" t="n"/>
      <c r="BY230" s="204" t="n"/>
      <c r="BZ230" s="148" t="n"/>
      <c r="CA230" s="204" t="n"/>
      <c r="CB230" s="208" t="n"/>
      <c r="CC230" s="139" t="n"/>
      <c r="CD230" s="204" t="n"/>
      <c r="CE230" s="204" t="n"/>
      <c r="CF230" s="207" t="n"/>
      <c r="CG230" s="208" t="n"/>
      <c r="CH230" s="207" t="n"/>
      <c r="CI230" s="208" t="n"/>
      <c r="CJ230" s="204" t="n"/>
      <c r="CK230" s="208" t="n"/>
      <c r="CL230" s="208" t="n"/>
      <c r="CM230" s="208" t="n"/>
      <c r="CN230" s="78" t="n"/>
      <c r="CO230" s="209" t="n"/>
      <c r="CP230" s="204" t="n"/>
      <c r="CQ230" s="204" t="n"/>
      <c r="CR230" s="204" t="n"/>
      <c r="CS230" s="204" t="n"/>
      <c r="CT230" s="204" t="n"/>
      <c r="CU230" s="204" t="n"/>
      <c r="CV230" s="204" t="n"/>
      <c r="CW230" s="204" t="n"/>
      <c r="CX230" s="190" t="n"/>
    </row>
    <row r="231">
      <c r="BF231" s="78" t="n"/>
      <c r="BG231" s="78" t="n"/>
      <c r="BH231" s="78" t="n"/>
      <c r="BI231" s="78" t="n"/>
      <c r="BJ231" s="139" t="n"/>
      <c r="BK231" s="204" t="n"/>
      <c r="BL231" s="141" t="n"/>
      <c r="BM231" s="205" t="n"/>
      <c r="BN231" s="205" t="n"/>
      <c r="BO231" s="206" t="n"/>
      <c r="BP231" s="144" t="n"/>
      <c r="BQ231" s="141" t="n"/>
      <c r="BR231" s="207" t="n"/>
      <c r="BS231" s="207" t="n"/>
      <c r="BT231" s="207" t="n"/>
      <c r="BU231" s="207" t="n"/>
      <c r="BV231" s="208" t="n"/>
      <c r="BW231" s="207" t="n"/>
      <c r="BX231" s="207" t="n"/>
      <c r="BY231" s="204" t="n"/>
      <c r="BZ231" s="148" t="n"/>
      <c r="CA231" s="204" t="n"/>
      <c r="CB231" s="208" t="n"/>
      <c r="CC231" s="139" t="n"/>
      <c r="CD231" s="204" t="n"/>
      <c r="CE231" s="204" t="n"/>
      <c r="CF231" s="207" t="n"/>
      <c r="CG231" s="208" t="n"/>
      <c r="CH231" s="207" t="n"/>
      <c r="CI231" s="208" t="n"/>
      <c r="CJ231" s="204" t="n"/>
      <c r="CK231" s="208" t="n"/>
      <c r="CL231" s="208" t="n"/>
      <c r="CM231" s="208" t="n"/>
      <c r="CN231" s="78" t="n"/>
      <c r="CO231" s="209" t="n"/>
      <c r="CP231" s="204" t="n"/>
      <c r="CQ231" s="204" t="n"/>
      <c r="CR231" s="204" t="n"/>
      <c r="CS231" s="204" t="n"/>
      <c r="CT231" s="204" t="n"/>
      <c r="CU231" s="204" t="n"/>
      <c r="CV231" s="204" t="n"/>
      <c r="CW231" s="204" t="n"/>
      <c r="CX231" s="190" t="n"/>
    </row>
    <row r="232">
      <c r="BF232" s="78" t="n"/>
      <c r="BG232" s="78" t="n"/>
      <c r="BH232" s="78" t="n"/>
      <c r="BI232" s="78" t="n"/>
      <c r="BJ232" s="139" t="n"/>
      <c r="BK232" s="204" t="n"/>
      <c r="BL232" s="141" t="n"/>
      <c r="BM232" s="205" t="n"/>
      <c r="BN232" s="205" t="n"/>
      <c r="BO232" s="206" t="n"/>
      <c r="BP232" s="144" t="n"/>
      <c r="BQ232" s="141" t="n"/>
      <c r="BR232" s="207" t="n"/>
      <c r="BS232" s="207" t="n"/>
      <c r="BT232" s="207" t="n"/>
      <c r="BU232" s="207" t="n"/>
      <c r="BV232" s="208" t="n"/>
      <c r="BW232" s="207" t="n"/>
      <c r="BX232" s="207" t="n"/>
      <c r="BY232" s="204" t="n"/>
      <c r="BZ232" s="148" t="n"/>
      <c r="CA232" s="204" t="n"/>
      <c r="CB232" s="208" t="n"/>
      <c r="CC232" s="139" t="n"/>
      <c r="CD232" s="204" t="n"/>
      <c r="CE232" s="204" t="n"/>
      <c r="CF232" s="207" t="n"/>
      <c r="CG232" s="208" t="n"/>
      <c r="CH232" s="207" t="n"/>
      <c r="CI232" s="208" t="n"/>
      <c r="CJ232" s="204" t="n"/>
      <c r="CK232" s="208" t="n"/>
      <c r="CL232" s="208" t="n"/>
      <c r="CM232" s="208" t="n"/>
      <c r="CN232" s="78" t="n"/>
      <c r="CO232" s="209" t="n"/>
      <c r="CP232" s="204" t="n"/>
      <c r="CQ232" s="204" t="n"/>
      <c r="CR232" s="204" t="n"/>
      <c r="CS232" s="204" t="n"/>
      <c r="CT232" s="204" t="n"/>
      <c r="CU232" s="204" t="n"/>
      <c r="CV232" s="204" t="n"/>
      <c r="CW232" s="204" t="n"/>
      <c r="CX232" s="190" t="n"/>
    </row>
    <row r="233">
      <c r="BF233" s="78" t="n"/>
      <c r="BG233" s="78" t="n"/>
      <c r="BH233" s="78" t="n"/>
      <c r="BI233" s="78" t="n"/>
      <c r="BJ233" s="139" t="n"/>
      <c r="BK233" s="204" t="n"/>
      <c r="BL233" s="141" t="n"/>
      <c r="BM233" s="205" t="n"/>
      <c r="BN233" s="205" t="n"/>
      <c r="BO233" s="206" t="n"/>
      <c r="BP233" s="144" t="n"/>
      <c r="BQ233" s="141" t="n"/>
      <c r="BR233" s="207" t="n"/>
      <c r="BS233" s="207" t="n"/>
      <c r="BT233" s="207" t="n"/>
      <c r="BU233" s="207" t="n"/>
      <c r="BV233" s="208" t="n"/>
      <c r="BW233" s="207" t="n"/>
      <c r="BX233" s="207" t="n"/>
      <c r="BY233" s="204" t="n"/>
      <c r="BZ233" s="148" t="n"/>
      <c r="CA233" s="204" t="n"/>
      <c r="CB233" s="208" t="n"/>
      <c r="CC233" s="139" t="n"/>
      <c r="CD233" s="204" t="n"/>
      <c r="CE233" s="204" t="n"/>
      <c r="CF233" s="207" t="n"/>
      <c r="CG233" s="208" t="n"/>
      <c r="CH233" s="207" t="n"/>
      <c r="CI233" s="208" t="n"/>
      <c r="CJ233" s="204" t="n"/>
      <c r="CK233" s="208" t="n"/>
      <c r="CL233" s="208" t="n"/>
      <c r="CM233" s="208" t="n"/>
      <c r="CN233" s="78" t="n"/>
      <c r="CO233" s="209" t="n"/>
      <c r="CP233" s="204" t="n"/>
      <c r="CQ233" s="204" t="n"/>
      <c r="CR233" s="204" t="n"/>
      <c r="CS233" s="204" t="n"/>
      <c r="CT233" s="204" t="n"/>
      <c r="CU233" s="204" t="n"/>
      <c r="CV233" s="204" t="n"/>
      <c r="CW233" s="204" t="n"/>
      <c r="CX233" s="190" t="n"/>
    </row>
    <row r="234">
      <c r="BF234" s="78" t="n"/>
      <c r="BG234" s="78" t="n"/>
      <c r="BH234" s="78" t="n"/>
      <c r="BI234" s="78" t="n"/>
      <c r="BJ234" s="139" t="n"/>
      <c r="BK234" s="204" t="n"/>
      <c r="BL234" s="141" t="n"/>
      <c r="BM234" s="205" t="n"/>
      <c r="BN234" s="205" t="n"/>
      <c r="BO234" s="206" t="n"/>
      <c r="BP234" s="144" t="n"/>
      <c r="BQ234" s="141" t="n"/>
      <c r="BR234" s="207" t="n"/>
      <c r="BS234" s="207" t="n"/>
      <c r="BT234" s="207" t="n"/>
      <c r="BU234" s="207" t="n"/>
      <c r="BV234" s="208" t="n"/>
      <c r="BW234" s="207" t="n"/>
      <c r="BX234" s="207" t="n"/>
      <c r="BY234" s="204" t="n"/>
      <c r="BZ234" s="148" t="n"/>
      <c r="CA234" s="204" t="n"/>
      <c r="CB234" s="208" t="n"/>
      <c r="CC234" s="139" t="n"/>
      <c r="CD234" s="204" t="n"/>
      <c r="CE234" s="204" t="n"/>
      <c r="CF234" s="207" t="n"/>
      <c r="CG234" s="208" t="n"/>
      <c r="CH234" s="207" t="n"/>
      <c r="CI234" s="208" t="n"/>
      <c r="CJ234" s="204" t="n"/>
      <c r="CK234" s="208" t="n"/>
      <c r="CL234" s="208" t="n"/>
      <c r="CM234" s="208" t="n"/>
      <c r="CN234" s="78" t="n"/>
      <c r="CO234" s="209" t="n"/>
      <c r="CP234" s="204" t="n"/>
      <c r="CQ234" s="204" t="n"/>
      <c r="CR234" s="204" t="n"/>
      <c r="CS234" s="204" t="n"/>
      <c r="CT234" s="204" t="n"/>
      <c r="CU234" s="204" t="n"/>
      <c r="CV234" s="204" t="n"/>
      <c r="CW234" s="204" t="n"/>
      <c r="CX234" s="190" t="n"/>
    </row>
    <row r="235">
      <c r="BF235" s="78" t="n"/>
      <c r="BG235" s="78" t="n"/>
      <c r="BH235" s="78" t="n"/>
      <c r="BI235" s="78" t="n"/>
      <c r="BJ235" s="139" t="n"/>
      <c r="BK235" s="204" t="n"/>
      <c r="BL235" s="141" t="n"/>
      <c r="BM235" s="205" t="n"/>
      <c r="BN235" s="205" t="n"/>
      <c r="BO235" s="206" t="n"/>
      <c r="BP235" s="144" t="n"/>
      <c r="BQ235" s="141" t="n"/>
      <c r="BR235" s="207" t="n"/>
      <c r="BS235" s="207" t="n"/>
      <c r="BT235" s="207" t="n"/>
      <c r="BU235" s="207" t="n"/>
      <c r="BV235" s="208" t="n"/>
      <c r="BW235" s="207" t="n"/>
      <c r="BX235" s="207" t="n"/>
      <c r="BY235" s="204" t="n"/>
      <c r="BZ235" s="148" t="n"/>
      <c r="CA235" s="204" t="n"/>
      <c r="CB235" s="208" t="n"/>
      <c r="CC235" s="139" t="n"/>
      <c r="CD235" s="204" t="n"/>
      <c r="CE235" s="204" t="n"/>
      <c r="CF235" s="207" t="n"/>
      <c r="CG235" s="208" t="n"/>
      <c r="CH235" s="207" t="n"/>
      <c r="CI235" s="208" t="n"/>
      <c r="CJ235" s="204" t="n"/>
      <c r="CK235" s="208" t="n"/>
      <c r="CL235" s="208" t="n"/>
      <c r="CM235" s="208" t="n"/>
      <c r="CN235" s="78" t="n"/>
      <c r="CO235" s="209" t="n"/>
      <c r="CP235" s="204" t="n"/>
      <c r="CQ235" s="204" t="n"/>
      <c r="CR235" s="204" t="n"/>
      <c r="CS235" s="204" t="n"/>
      <c r="CT235" s="204" t="n"/>
      <c r="CU235" s="204" t="n"/>
      <c r="CV235" s="204" t="n"/>
      <c r="CW235" s="204" t="n"/>
      <c r="CX235" s="190" t="n"/>
    </row>
    <row r="236">
      <c r="BF236" s="78" t="n"/>
      <c r="BG236" s="78" t="n"/>
      <c r="BH236" s="78" t="n"/>
      <c r="BI236" s="78" t="n"/>
      <c r="BJ236" s="139" t="n"/>
      <c r="BK236" s="204" t="n"/>
      <c r="BL236" s="141" t="n"/>
      <c r="BM236" s="205" t="n"/>
      <c r="BN236" s="205" t="n"/>
      <c r="BO236" s="206" t="n"/>
      <c r="BP236" s="144" t="n"/>
      <c r="BQ236" s="141" t="n"/>
      <c r="BR236" s="207" t="n"/>
      <c r="BS236" s="207" t="n"/>
      <c r="BT236" s="207" t="n"/>
      <c r="BU236" s="207" t="n"/>
      <c r="BV236" s="208" t="n"/>
      <c r="BW236" s="207" t="n"/>
      <c r="BX236" s="207" t="n"/>
      <c r="BY236" s="204" t="n"/>
      <c r="BZ236" s="148" t="n"/>
      <c r="CA236" s="204" t="n"/>
      <c r="CB236" s="208" t="n"/>
      <c r="CC236" s="139" t="n"/>
      <c r="CD236" s="204" t="n"/>
      <c r="CE236" s="204" t="n"/>
      <c r="CF236" s="207" t="n"/>
      <c r="CG236" s="208" t="n"/>
      <c r="CH236" s="207" t="n"/>
      <c r="CI236" s="208" t="n"/>
      <c r="CJ236" s="204" t="n"/>
      <c r="CK236" s="208" t="n"/>
      <c r="CL236" s="208" t="n"/>
      <c r="CM236" s="208" t="n"/>
      <c r="CN236" s="78" t="n"/>
      <c r="CO236" s="209" t="n"/>
      <c r="CP236" s="204" t="n"/>
      <c r="CQ236" s="204" t="n"/>
      <c r="CR236" s="204" t="n"/>
      <c r="CS236" s="204" t="n"/>
      <c r="CT236" s="204" t="n"/>
      <c r="CU236" s="204" t="n"/>
      <c r="CV236" s="204" t="n"/>
      <c r="CW236" s="204" t="n"/>
      <c r="CX236" s="190" t="n"/>
    </row>
    <row r="237">
      <c r="BF237" s="78" t="n"/>
      <c r="BG237" s="78" t="n"/>
      <c r="BH237" s="78" t="n"/>
      <c r="BI237" s="78" t="n"/>
      <c r="BJ237" s="139" t="n"/>
      <c r="BK237" s="204" t="n"/>
      <c r="BL237" s="141" t="n"/>
      <c r="BM237" s="205" t="n"/>
      <c r="BN237" s="205" t="n"/>
      <c r="BO237" s="206" t="n"/>
      <c r="BP237" s="144" t="n"/>
      <c r="BQ237" s="141" t="n"/>
      <c r="BR237" s="207" t="n"/>
      <c r="BS237" s="207" t="n"/>
      <c r="BT237" s="207" t="n"/>
      <c r="BU237" s="207" t="n"/>
      <c r="BV237" s="208" t="n"/>
      <c r="BW237" s="207" t="n"/>
      <c r="BX237" s="207" t="n"/>
      <c r="BY237" s="204" t="n"/>
      <c r="BZ237" s="148" t="n"/>
      <c r="CA237" s="204" t="n"/>
      <c r="CB237" s="208" t="n"/>
      <c r="CC237" s="139" t="n"/>
      <c r="CD237" s="204" t="n"/>
      <c r="CE237" s="204" t="n"/>
      <c r="CF237" s="207" t="n"/>
      <c r="CG237" s="208" t="n"/>
      <c r="CH237" s="207" t="n"/>
      <c r="CI237" s="208" t="n"/>
      <c r="CJ237" s="204" t="n"/>
      <c r="CK237" s="208" t="n"/>
      <c r="CL237" s="208" t="n"/>
      <c r="CM237" s="208" t="n"/>
      <c r="CN237" s="78" t="n"/>
      <c r="CO237" s="209" t="n"/>
      <c r="CP237" s="204" t="n"/>
      <c r="CQ237" s="204" t="n"/>
      <c r="CR237" s="204" t="n"/>
      <c r="CS237" s="204" t="n"/>
      <c r="CT237" s="204" t="n"/>
      <c r="CU237" s="204" t="n"/>
      <c r="CV237" s="204" t="n"/>
      <c r="CW237" s="204" t="n"/>
      <c r="CX237" s="190" t="n"/>
    </row>
    <row r="238">
      <c r="BF238" s="78" t="n"/>
      <c r="BG238" s="78" t="n"/>
      <c r="BH238" s="78" t="n"/>
      <c r="BI238" s="78" t="n"/>
      <c r="BJ238" s="139" t="n"/>
      <c r="BK238" s="204" t="n"/>
      <c r="BL238" s="141" t="n"/>
      <c r="BM238" s="205" t="n"/>
      <c r="BN238" s="205" t="n"/>
      <c r="BO238" s="206" t="n"/>
      <c r="BP238" s="144" t="n"/>
      <c r="BQ238" s="141" t="n"/>
      <c r="BR238" s="207" t="n"/>
      <c r="BS238" s="207" t="n"/>
      <c r="BT238" s="207" t="n"/>
      <c r="BU238" s="207" t="n"/>
      <c r="BV238" s="208" t="n"/>
      <c r="BW238" s="207" t="n"/>
      <c r="BX238" s="207" t="n"/>
      <c r="BY238" s="204" t="n"/>
      <c r="BZ238" s="148" t="n"/>
      <c r="CA238" s="204" t="n"/>
      <c r="CB238" s="208" t="n"/>
      <c r="CC238" s="139" t="n"/>
      <c r="CD238" s="204" t="n"/>
      <c r="CE238" s="204" t="n"/>
      <c r="CF238" s="207" t="n"/>
      <c r="CG238" s="208" t="n"/>
      <c r="CH238" s="207" t="n"/>
      <c r="CI238" s="208" t="n"/>
      <c r="CJ238" s="204" t="n"/>
      <c r="CK238" s="208" t="n"/>
      <c r="CL238" s="208" t="n"/>
      <c r="CM238" s="208" t="n"/>
      <c r="CN238" s="78" t="n"/>
      <c r="CO238" s="209" t="n"/>
      <c r="CP238" s="204" t="n"/>
      <c r="CQ238" s="204" t="n"/>
      <c r="CR238" s="204" t="n"/>
      <c r="CS238" s="204" t="n"/>
      <c r="CT238" s="204" t="n"/>
      <c r="CU238" s="204" t="n"/>
      <c r="CV238" s="204" t="n"/>
      <c r="CW238" s="204" t="n"/>
      <c r="CX238" s="190" t="n"/>
    </row>
    <row r="239">
      <c r="BF239" s="78" t="n"/>
      <c r="BG239" s="78" t="n"/>
      <c r="BH239" s="78" t="n"/>
      <c r="BI239" s="78" t="n"/>
      <c r="BJ239" s="139" t="n"/>
      <c r="BK239" s="204" t="n"/>
      <c r="BL239" s="141" t="n"/>
      <c r="BM239" s="205" t="n"/>
      <c r="BN239" s="205" t="n"/>
      <c r="BO239" s="206" t="n"/>
      <c r="BP239" s="144" t="n"/>
      <c r="BQ239" s="141" t="n"/>
      <c r="BR239" s="207" t="n"/>
      <c r="BS239" s="207" t="n"/>
      <c r="BT239" s="207" t="n"/>
      <c r="BU239" s="207" t="n"/>
      <c r="BV239" s="208" t="n"/>
      <c r="BW239" s="207" t="n"/>
      <c r="BX239" s="207" t="n"/>
      <c r="BY239" s="204" t="n"/>
      <c r="BZ239" s="148" t="n"/>
      <c r="CA239" s="204" t="n"/>
      <c r="CB239" s="208" t="n"/>
      <c r="CC239" s="139" t="n"/>
      <c r="CD239" s="204" t="n"/>
      <c r="CE239" s="204" t="n"/>
      <c r="CF239" s="207" t="n"/>
      <c r="CG239" s="208" t="n"/>
      <c r="CH239" s="207" t="n"/>
      <c r="CI239" s="208" t="n"/>
      <c r="CJ239" s="204" t="n"/>
      <c r="CK239" s="208" t="n"/>
      <c r="CL239" s="208" t="n"/>
      <c r="CM239" s="208" t="n"/>
      <c r="CN239" s="78" t="n"/>
      <c r="CO239" s="209" t="n"/>
      <c r="CP239" s="204" t="n"/>
      <c r="CQ239" s="204" t="n"/>
      <c r="CR239" s="204" t="n"/>
      <c r="CS239" s="204" t="n"/>
      <c r="CT239" s="204" t="n"/>
      <c r="CU239" s="204" t="n"/>
      <c r="CV239" s="204" t="n"/>
      <c r="CW239" s="204" t="n"/>
      <c r="CX239" s="190" t="n"/>
    </row>
    <row r="240">
      <c r="BF240" s="78" t="n"/>
      <c r="BG240" s="78" t="n"/>
      <c r="BH240" s="78" t="n"/>
      <c r="BI240" s="78" t="n"/>
      <c r="BJ240" s="139" t="n"/>
      <c r="BK240" s="204" t="n"/>
      <c r="BL240" s="141" t="n"/>
      <c r="BM240" s="205" t="n"/>
      <c r="BN240" s="205" t="n"/>
      <c r="BO240" s="206" t="n"/>
      <c r="BP240" s="144" t="n"/>
      <c r="BQ240" s="141" t="n"/>
      <c r="BR240" s="207" t="n"/>
      <c r="BS240" s="207" t="n"/>
      <c r="BT240" s="207" t="n"/>
      <c r="BU240" s="207" t="n"/>
      <c r="BV240" s="208" t="n"/>
      <c r="BW240" s="207" t="n"/>
      <c r="BX240" s="207" t="n"/>
      <c r="BY240" s="204" t="n"/>
      <c r="BZ240" s="148" t="n"/>
      <c r="CA240" s="204" t="n"/>
      <c r="CB240" s="208" t="n"/>
      <c r="CC240" s="139" t="n"/>
      <c r="CD240" s="204" t="n"/>
      <c r="CE240" s="204" t="n"/>
      <c r="CF240" s="207" t="n"/>
      <c r="CG240" s="208" t="n"/>
      <c r="CH240" s="207" t="n"/>
      <c r="CI240" s="208" t="n"/>
      <c r="CJ240" s="204" t="n"/>
      <c r="CK240" s="208" t="n"/>
      <c r="CL240" s="208" t="n"/>
      <c r="CM240" s="208" t="n"/>
      <c r="CN240" s="78" t="n"/>
      <c r="CO240" s="209" t="n"/>
      <c r="CP240" s="204" t="n"/>
      <c r="CQ240" s="204" t="n"/>
      <c r="CR240" s="204" t="n"/>
      <c r="CS240" s="204" t="n"/>
      <c r="CT240" s="204" t="n"/>
      <c r="CU240" s="204" t="n"/>
      <c r="CV240" s="204" t="n"/>
      <c r="CW240" s="204" t="n"/>
      <c r="CX240" s="190" t="n"/>
    </row>
    <row r="241">
      <c r="BF241" s="78" t="n"/>
      <c r="BG241" s="78" t="n"/>
      <c r="BH241" s="78" t="n"/>
      <c r="BI241" s="78" t="n"/>
      <c r="BJ241" s="139" t="n"/>
      <c r="BK241" s="204" t="n"/>
      <c r="BL241" s="141" t="n"/>
      <c r="BM241" s="205" t="n"/>
      <c r="BN241" s="205" t="n"/>
      <c r="BO241" s="206" t="n"/>
      <c r="BP241" s="144" t="n"/>
      <c r="BQ241" s="141" t="n"/>
      <c r="BR241" s="207" t="n"/>
      <c r="BS241" s="207" t="n"/>
      <c r="BT241" s="207" t="n"/>
      <c r="BU241" s="207" t="n"/>
      <c r="BV241" s="208" t="n"/>
      <c r="BW241" s="207" t="n"/>
      <c r="BX241" s="207" t="n"/>
      <c r="BY241" s="204" t="n"/>
      <c r="BZ241" s="148" t="n"/>
      <c r="CA241" s="204" t="n"/>
      <c r="CB241" s="208" t="n"/>
      <c r="CC241" s="139" t="n"/>
      <c r="CD241" s="204" t="n"/>
      <c r="CE241" s="204" t="n"/>
      <c r="CF241" s="207" t="n"/>
      <c r="CG241" s="208" t="n"/>
      <c r="CH241" s="207" t="n"/>
      <c r="CI241" s="208" t="n"/>
      <c r="CJ241" s="204" t="n"/>
      <c r="CK241" s="208" t="n"/>
      <c r="CL241" s="208" t="n"/>
      <c r="CM241" s="208" t="n"/>
      <c r="CN241" s="78" t="n"/>
      <c r="CO241" s="209" t="n"/>
      <c r="CP241" s="204" t="n"/>
      <c r="CQ241" s="204" t="n"/>
      <c r="CR241" s="204" t="n"/>
      <c r="CS241" s="204" t="n"/>
      <c r="CT241" s="204" t="n"/>
      <c r="CU241" s="204" t="n"/>
      <c r="CV241" s="204" t="n"/>
      <c r="CW241" s="204" t="n"/>
      <c r="CX241" s="190" t="n"/>
    </row>
    <row r="242">
      <c r="BF242" s="78" t="n"/>
      <c r="BG242" s="78" t="n"/>
      <c r="BH242" s="78" t="n"/>
      <c r="BI242" s="78" t="n"/>
      <c r="BJ242" s="139" t="n"/>
      <c r="BK242" s="204" t="n"/>
      <c r="BL242" s="141" t="n"/>
      <c r="BM242" s="205" t="n"/>
      <c r="BN242" s="205" t="n"/>
      <c r="BO242" s="206" t="n"/>
      <c r="BP242" s="144" t="n"/>
      <c r="BQ242" s="141" t="n"/>
      <c r="BR242" s="207" t="n"/>
      <c r="BS242" s="207" t="n"/>
      <c r="BT242" s="207" t="n"/>
      <c r="BU242" s="207" t="n"/>
      <c r="BV242" s="208" t="n"/>
      <c r="BW242" s="207" t="n"/>
      <c r="BX242" s="207" t="n"/>
      <c r="BY242" s="204" t="n"/>
      <c r="BZ242" s="148" t="n"/>
      <c r="CA242" s="204" t="n"/>
      <c r="CB242" s="208" t="n"/>
      <c r="CC242" s="139" t="n"/>
      <c r="CD242" s="204" t="n"/>
      <c r="CE242" s="204" t="n"/>
      <c r="CF242" s="207" t="n"/>
      <c r="CG242" s="208" t="n"/>
      <c r="CH242" s="207" t="n"/>
      <c r="CI242" s="208" t="n"/>
      <c r="CJ242" s="204" t="n"/>
      <c r="CK242" s="208" t="n"/>
      <c r="CL242" s="208" t="n"/>
      <c r="CM242" s="208" t="n"/>
      <c r="CN242" s="78" t="n"/>
      <c r="CO242" s="209" t="n"/>
      <c r="CP242" s="204" t="n"/>
      <c r="CQ242" s="204" t="n"/>
      <c r="CR242" s="204" t="n"/>
      <c r="CS242" s="204" t="n"/>
      <c r="CT242" s="204" t="n"/>
      <c r="CU242" s="204" t="n"/>
      <c r="CV242" s="204" t="n"/>
      <c r="CW242" s="204" t="n"/>
      <c r="CX242" s="190" t="n"/>
    </row>
    <row r="243">
      <c r="BF243" s="78" t="n"/>
      <c r="BG243" s="78" t="n"/>
      <c r="BH243" s="78" t="n"/>
      <c r="BI243" s="78" t="n"/>
      <c r="BJ243" s="139" t="n"/>
      <c r="BK243" s="204" t="n"/>
      <c r="BL243" s="141" t="n"/>
      <c r="BM243" s="205" t="n"/>
      <c r="BN243" s="205" t="n"/>
      <c r="BO243" s="206" t="n"/>
      <c r="BP243" s="144" t="n"/>
      <c r="BQ243" s="141" t="n"/>
      <c r="BR243" s="207" t="n"/>
      <c r="BS243" s="207" t="n"/>
      <c r="BT243" s="207" t="n"/>
      <c r="BU243" s="207" t="n"/>
      <c r="BV243" s="208" t="n"/>
      <c r="BW243" s="207" t="n"/>
      <c r="BX243" s="207" t="n"/>
      <c r="BY243" s="204" t="n"/>
      <c r="BZ243" s="148" t="n"/>
      <c r="CA243" s="204" t="n"/>
      <c r="CB243" s="208" t="n"/>
      <c r="CC243" s="139" t="n"/>
      <c r="CD243" s="204" t="n"/>
      <c r="CE243" s="204" t="n"/>
      <c r="CF243" s="207" t="n"/>
      <c r="CG243" s="208" t="n"/>
      <c r="CH243" s="207" t="n"/>
      <c r="CI243" s="208" t="n"/>
      <c r="CJ243" s="204" t="n"/>
      <c r="CK243" s="208" t="n"/>
      <c r="CL243" s="208" t="n"/>
      <c r="CM243" s="208" t="n"/>
      <c r="CN243" s="78" t="n"/>
      <c r="CO243" s="209" t="n"/>
      <c r="CP243" s="204" t="n"/>
      <c r="CQ243" s="204" t="n"/>
      <c r="CR243" s="204" t="n"/>
      <c r="CS243" s="204" t="n"/>
      <c r="CT243" s="204" t="n"/>
      <c r="CU243" s="204" t="n"/>
      <c r="CV243" s="204" t="n"/>
      <c r="CW243" s="204" t="n"/>
      <c r="CX243" s="190" t="n"/>
    </row>
    <row r="244">
      <c r="BF244" s="78" t="n"/>
      <c r="BG244" s="78" t="n"/>
      <c r="BH244" s="78" t="n"/>
      <c r="BI244" s="78" t="n"/>
      <c r="BJ244" s="139" t="n"/>
      <c r="BK244" s="204" t="n"/>
      <c r="BL244" s="141" t="n"/>
      <c r="BM244" s="205" t="n"/>
      <c r="BN244" s="205" t="n"/>
      <c r="BO244" s="206" t="n"/>
      <c r="BP244" s="144" t="n"/>
      <c r="BQ244" s="141" t="n"/>
      <c r="BR244" s="207" t="n"/>
      <c r="BS244" s="207" t="n"/>
      <c r="BT244" s="207" t="n"/>
      <c r="BU244" s="207" t="n"/>
      <c r="BV244" s="208" t="n"/>
      <c r="BW244" s="207" t="n"/>
      <c r="BX244" s="207" t="n"/>
      <c r="BY244" s="204" t="n"/>
      <c r="BZ244" s="148" t="n"/>
      <c r="CA244" s="204" t="n"/>
      <c r="CB244" s="208" t="n"/>
      <c r="CC244" s="139" t="n"/>
      <c r="CD244" s="204" t="n"/>
      <c r="CE244" s="204" t="n"/>
      <c r="CF244" s="207" t="n"/>
      <c r="CG244" s="208" t="n"/>
      <c r="CH244" s="207" t="n"/>
      <c r="CI244" s="208" t="n"/>
      <c r="CJ244" s="204" t="n"/>
      <c r="CK244" s="208" t="n"/>
      <c r="CL244" s="208" t="n"/>
      <c r="CM244" s="208" t="n"/>
      <c r="CN244" s="78" t="n"/>
      <c r="CO244" s="209" t="n"/>
      <c r="CP244" s="204" t="n"/>
      <c r="CQ244" s="204" t="n"/>
      <c r="CR244" s="204" t="n"/>
      <c r="CS244" s="204" t="n"/>
      <c r="CT244" s="204" t="n"/>
      <c r="CU244" s="204" t="n"/>
      <c r="CV244" s="204" t="n"/>
      <c r="CW244" s="204" t="n"/>
      <c r="CX244" s="190" t="n"/>
    </row>
    <row r="245">
      <c r="BF245" s="78" t="n"/>
      <c r="BG245" s="78" t="n"/>
      <c r="BH245" s="78" t="n"/>
      <c r="BI245" s="78" t="n"/>
      <c r="BJ245" s="139" t="n"/>
      <c r="BK245" s="204" t="n"/>
      <c r="BL245" s="141" t="n"/>
      <c r="BM245" s="205" t="n"/>
      <c r="BN245" s="205" t="n"/>
      <c r="BO245" s="206" t="n"/>
      <c r="BP245" s="144" t="n"/>
      <c r="BQ245" s="141" t="n"/>
      <c r="BR245" s="207" t="n"/>
      <c r="BS245" s="207" t="n"/>
      <c r="BT245" s="207" t="n"/>
      <c r="BU245" s="207" t="n"/>
      <c r="BV245" s="208" t="n"/>
      <c r="BW245" s="207" t="n"/>
      <c r="BX245" s="207" t="n"/>
      <c r="BY245" s="204" t="n"/>
      <c r="BZ245" s="148" t="n"/>
      <c r="CA245" s="204" t="n"/>
      <c r="CB245" s="208" t="n"/>
      <c r="CC245" s="139" t="n"/>
      <c r="CD245" s="204" t="n"/>
      <c r="CE245" s="204" t="n"/>
      <c r="CF245" s="207" t="n"/>
      <c r="CG245" s="208" t="n"/>
      <c r="CH245" s="207" t="n"/>
      <c r="CI245" s="208" t="n"/>
      <c r="CJ245" s="204" t="n"/>
      <c r="CK245" s="208" t="n"/>
      <c r="CL245" s="208" t="n"/>
      <c r="CM245" s="208" t="n"/>
      <c r="CN245" s="78" t="n"/>
      <c r="CO245" s="209" t="n"/>
      <c r="CP245" s="204" t="n"/>
      <c r="CQ245" s="204" t="n"/>
      <c r="CR245" s="204" t="n"/>
      <c r="CS245" s="204" t="n"/>
      <c r="CT245" s="204" t="n"/>
      <c r="CU245" s="204" t="n"/>
      <c r="CV245" s="204" t="n"/>
      <c r="CW245" s="204" t="n"/>
      <c r="CX245" s="190" t="n"/>
    </row>
    <row r="246">
      <c r="BF246" s="78" t="n"/>
      <c r="BG246" s="78" t="n"/>
      <c r="BH246" s="78" t="n"/>
      <c r="BI246" s="78" t="n"/>
      <c r="BJ246" s="139" t="n"/>
      <c r="BK246" s="204" t="n"/>
      <c r="BL246" s="141" t="n"/>
      <c r="BM246" s="205" t="n"/>
      <c r="BN246" s="205" t="n"/>
      <c r="BO246" s="206" t="n"/>
      <c r="BP246" s="144" t="n"/>
      <c r="BQ246" s="141" t="n"/>
      <c r="BR246" s="207" t="n"/>
      <c r="BS246" s="207" t="n"/>
      <c r="BT246" s="207" t="n"/>
      <c r="BU246" s="207" t="n"/>
      <c r="BV246" s="208" t="n"/>
      <c r="BW246" s="207" t="n"/>
      <c r="BX246" s="207" t="n"/>
      <c r="BY246" s="204" t="n"/>
      <c r="BZ246" s="148" t="n"/>
      <c r="CA246" s="204" t="n"/>
      <c r="CB246" s="208" t="n"/>
      <c r="CC246" s="139" t="n"/>
      <c r="CD246" s="204" t="n"/>
      <c r="CE246" s="204" t="n"/>
      <c r="CF246" s="207" t="n"/>
      <c r="CG246" s="208" t="n"/>
      <c r="CH246" s="207" t="n"/>
      <c r="CI246" s="208" t="n"/>
      <c r="CJ246" s="204" t="n"/>
      <c r="CK246" s="208" t="n"/>
      <c r="CL246" s="208" t="n"/>
      <c r="CM246" s="208" t="n"/>
      <c r="CN246" s="78" t="n"/>
      <c r="CO246" s="209" t="n"/>
      <c r="CP246" s="204" t="n"/>
      <c r="CQ246" s="204" t="n"/>
      <c r="CR246" s="204" t="n"/>
      <c r="CS246" s="204" t="n"/>
      <c r="CT246" s="204" t="n"/>
      <c r="CU246" s="204" t="n"/>
      <c r="CV246" s="204" t="n"/>
      <c r="CW246" s="204" t="n"/>
      <c r="CX246" s="190" t="n"/>
    </row>
    <row r="247">
      <c r="BF247" s="78" t="n"/>
      <c r="BG247" s="78" t="n"/>
      <c r="BH247" s="78" t="n"/>
      <c r="BI247" s="78" t="n"/>
      <c r="BJ247" s="139" t="n"/>
      <c r="BK247" s="204" t="n"/>
      <c r="BL247" s="141" t="n"/>
      <c r="BM247" s="205" t="n"/>
      <c r="BN247" s="205" t="n"/>
      <c r="BO247" s="206" t="n"/>
      <c r="BP247" s="144" t="n"/>
      <c r="BQ247" s="141" t="n"/>
      <c r="BR247" s="207" t="n"/>
      <c r="BS247" s="207" t="n"/>
      <c r="BT247" s="207" t="n"/>
      <c r="BU247" s="207" t="n"/>
      <c r="BV247" s="208" t="n"/>
      <c r="BW247" s="207" t="n"/>
      <c r="BX247" s="207" t="n"/>
      <c r="BY247" s="204" t="n"/>
      <c r="BZ247" s="148" t="n"/>
      <c r="CA247" s="204" t="n"/>
      <c r="CB247" s="208" t="n"/>
      <c r="CC247" s="139" t="n"/>
      <c r="CD247" s="204" t="n"/>
      <c r="CE247" s="204" t="n"/>
      <c r="CF247" s="207" t="n"/>
      <c r="CG247" s="208" t="n"/>
      <c r="CH247" s="207" t="n"/>
      <c r="CI247" s="208" t="n"/>
      <c r="CJ247" s="204" t="n"/>
      <c r="CK247" s="208" t="n"/>
      <c r="CL247" s="208" t="n"/>
      <c r="CM247" s="208" t="n"/>
      <c r="CN247" s="78" t="n"/>
      <c r="CO247" s="209" t="n"/>
      <c r="CP247" s="204" t="n"/>
      <c r="CQ247" s="204" t="n"/>
      <c r="CR247" s="204" t="n"/>
      <c r="CS247" s="204" t="n"/>
      <c r="CT247" s="204" t="n"/>
      <c r="CU247" s="204" t="n"/>
      <c r="CV247" s="204" t="n"/>
      <c r="CW247" s="204" t="n"/>
      <c r="CX247" s="190" t="n"/>
    </row>
    <row r="248">
      <c r="BF248" s="78" t="n"/>
      <c r="BG248" s="78" t="n"/>
      <c r="BH248" s="78" t="n"/>
      <c r="BI248" s="78" t="n"/>
      <c r="BJ248" s="139" t="n"/>
      <c r="BK248" s="204" t="n"/>
      <c r="BL248" s="141" t="n"/>
      <c r="BM248" s="205" t="n"/>
      <c r="BN248" s="205" t="n"/>
      <c r="BO248" s="206" t="n"/>
      <c r="BP248" s="144" t="n"/>
      <c r="BQ248" s="141" t="n"/>
      <c r="BR248" s="207" t="n"/>
      <c r="BS248" s="207" t="n"/>
      <c r="BT248" s="207" t="n"/>
      <c r="BU248" s="207" t="n"/>
      <c r="BV248" s="208" t="n"/>
      <c r="BW248" s="207" t="n"/>
      <c r="BX248" s="207" t="n"/>
      <c r="BY248" s="204" t="n"/>
      <c r="BZ248" s="148" t="n"/>
      <c r="CA248" s="204" t="n"/>
      <c r="CB248" s="208" t="n"/>
      <c r="CC248" s="139" t="n"/>
      <c r="CD248" s="204" t="n"/>
      <c r="CE248" s="204" t="n"/>
      <c r="CF248" s="207" t="n"/>
      <c r="CG248" s="208" t="n"/>
      <c r="CH248" s="207" t="n"/>
      <c r="CI248" s="208" t="n"/>
      <c r="CJ248" s="204" t="n"/>
      <c r="CK248" s="208" t="n"/>
      <c r="CL248" s="208" t="n"/>
      <c r="CM248" s="208" t="n"/>
      <c r="CN248" s="78" t="n"/>
      <c r="CO248" s="209" t="n"/>
      <c r="CP248" s="204" t="n"/>
      <c r="CQ248" s="204" t="n"/>
      <c r="CR248" s="204" t="n"/>
      <c r="CS248" s="204" t="n"/>
      <c r="CT248" s="204" t="n"/>
      <c r="CU248" s="204" t="n"/>
      <c r="CV248" s="204" t="n"/>
      <c r="CW248" s="204" t="n"/>
      <c r="CX248" s="190" t="n"/>
    </row>
    <row r="249">
      <c r="BF249" s="78" t="n"/>
      <c r="BG249" s="78" t="n"/>
      <c r="BH249" s="78" t="n"/>
      <c r="BI249" s="78" t="n"/>
      <c r="BJ249" s="139" t="n"/>
      <c r="BK249" s="204" t="n"/>
      <c r="BL249" s="141" t="n"/>
      <c r="BM249" s="205" t="n"/>
      <c r="BN249" s="205" t="n"/>
      <c r="BO249" s="206" t="n"/>
      <c r="BP249" s="144" t="n"/>
      <c r="BQ249" s="141" t="n"/>
      <c r="BR249" s="207" t="n"/>
      <c r="BS249" s="207" t="n"/>
      <c r="BT249" s="207" t="n"/>
      <c r="BU249" s="207" t="n"/>
      <c r="BV249" s="208" t="n"/>
      <c r="BW249" s="207" t="n"/>
      <c r="BX249" s="207" t="n"/>
      <c r="BY249" s="204" t="n"/>
      <c r="BZ249" s="148" t="n"/>
      <c r="CA249" s="204" t="n"/>
      <c r="CB249" s="208" t="n"/>
      <c r="CC249" s="139" t="n"/>
      <c r="CD249" s="204" t="n"/>
      <c r="CE249" s="204" t="n"/>
      <c r="CF249" s="207" t="n"/>
      <c r="CG249" s="208" t="n"/>
      <c r="CH249" s="207" t="n"/>
      <c r="CI249" s="208" t="n"/>
      <c r="CJ249" s="204" t="n"/>
      <c r="CK249" s="208" t="n"/>
      <c r="CL249" s="208" t="n"/>
      <c r="CM249" s="208" t="n"/>
      <c r="CN249" s="78" t="n"/>
      <c r="CO249" s="209" t="n"/>
      <c r="CP249" s="204" t="n"/>
      <c r="CQ249" s="204" t="n"/>
      <c r="CR249" s="204" t="n"/>
      <c r="CS249" s="204" t="n"/>
      <c r="CT249" s="204" t="n"/>
      <c r="CU249" s="204" t="n"/>
      <c r="CV249" s="204" t="n"/>
      <c r="CW249" s="204" t="n"/>
      <c r="CX249" s="190" t="n"/>
    </row>
    <row r="250">
      <c r="BF250" s="78" t="n"/>
      <c r="BG250" s="78" t="n"/>
      <c r="BH250" s="78" t="n"/>
      <c r="BI250" s="78" t="n"/>
      <c r="BJ250" s="139" t="n"/>
      <c r="BK250" s="204" t="n"/>
      <c r="BL250" s="141" t="n"/>
      <c r="BM250" s="205" t="n"/>
      <c r="BN250" s="205" t="n"/>
      <c r="BO250" s="206" t="n"/>
      <c r="BP250" s="144" t="n"/>
      <c r="BQ250" s="141" t="n"/>
      <c r="BR250" s="207" t="n"/>
      <c r="BS250" s="207" t="n"/>
      <c r="BT250" s="207" t="n"/>
      <c r="BU250" s="207" t="n"/>
      <c r="BV250" s="208" t="n"/>
      <c r="BW250" s="207" t="n"/>
      <c r="BX250" s="207" t="n"/>
      <c r="BY250" s="204" t="n"/>
      <c r="BZ250" s="148" t="n"/>
      <c r="CA250" s="204" t="n"/>
      <c r="CB250" s="208" t="n"/>
      <c r="CC250" s="139" t="n"/>
      <c r="CD250" s="204" t="n"/>
      <c r="CE250" s="204" t="n"/>
      <c r="CF250" s="207" t="n"/>
      <c r="CG250" s="208" t="n"/>
      <c r="CH250" s="207" t="n"/>
      <c r="CI250" s="208" t="n"/>
      <c r="CJ250" s="204" t="n"/>
      <c r="CK250" s="208" t="n"/>
      <c r="CL250" s="208" t="n"/>
      <c r="CM250" s="208" t="n"/>
      <c r="CN250" s="78" t="n"/>
      <c r="CO250" s="209" t="n"/>
      <c r="CP250" s="204" t="n"/>
      <c r="CQ250" s="204" t="n"/>
      <c r="CR250" s="204" t="n"/>
      <c r="CS250" s="204" t="n"/>
      <c r="CT250" s="204" t="n"/>
      <c r="CU250" s="204" t="n"/>
      <c r="CV250" s="204" t="n"/>
      <c r="CW250" s="204" t="n"/>
      <c r="CX250" s="190" t="n"/>
    </row>
    <row r="251">
      <c r="BF251" s="78" t="n"/>
      <c r="BG251" s="78" t="n"/>
      <c r="BH251" s="78" t="n"/>
      <c r="BI251" s="78" t="n"/>
      <c r="BJ251" s="139" t="n"/>
      <c r="BK251" s="204" t="n"/>
      <c r="BL251" s="141" t="n"/>
      <c r="BM251" s="205" t="n"/>
      <c r="BN251" s="205" t="n"/>
      <c r="BO251" s="206" t="n"/>
      <c r="BP251" s="144" t="n"/>
      <c r="BQ251" s="141" t="n"/>
      <c r="BR251" s="207" t="n"/>
      <c r="BS251" s="207" t="n"/>
      <c r="BT251" s="207" t="n"/>
      <c r="BU251" s="207" t="n"/>
      <c r="BV251" s="208" t="n"/>
      <c r="BW251" s="207" t="n"/>
      <c r="BX251" s="207" t="n"/>
      <c r="BY251" s="204" t="n"/>
      <c r="BZ251" s="148" t="n"/>
      <c r="CA251" s="204" t="n"/>
      <c r="CB251" s="208" t="n"/>
      <c r="CC251" s="139" t="n"/>
      <c r="CD251" s="204" t="n"/>
      <c r="CE251" s="204" t="n"/>
      <c r="CF251" s="207" t="n"/>
      <c r="CG251" s="208" t="n"/>
      <c r="CH251" s="207" t="n"/>
      <c r="CI251" s="208" t="n"/>
      <c r="CJ251" s="204" t="n"/>
      <c r="CK251" s="208" t="n"/>
      <c r="CL251" s="208" t="n"/>
      <c r="CM251" s="208" t="n"/>
      <c r="CN251" s="78" t="n"/>
      <c r="CO251" s="209" t="n"/>
      <c r="CP251" s="204" t="n"/>
      <c r="CQ251" s="204" t="n"/>
      <c r="CR251" s="204" t="n"/>
      <c r="CS251" s="204" t="n"/>
      <c r="CT251" s="204" t="n"/>
      <c r="CU251" s="204" t="n"/>
      <c r="CV251" s="204" t="n"/>
      <c r="CW251" s="204" t="n"/>
      <c r="CX251" s="190" t="n"/>
    </row>
    <row r="252">
      <c r="BF252" s="78" t="n"/>
      <c r="BG252" s="78" t="n"/>
      <c r="BH252" s="78" t="n"/>
      <c r="BI252" s="78" t="n"/>
      <c r="BJ252" s="139" t="n"/>
      <c r="BK252" s="204" t="n"/>
      <c r="BL252" s="141" t="n"/>
      <c r="BM252" s="205" t="n"/>
      <c r="BN252" s="205" t="n"/>
      <c r="BO252" s="206" t="n"/>
      <c r="BP252" s="144" t="n"/>
      <c r="BQ252" s="141" t="n"/>
      <c r="BR252" s="207" t="n"/>
      <c r="BS252" s="207" t="n"/>
      <c r="BT252" s="207" t="n"/>
      <c r="BU252" s="207" t="n"/>
      <c r="BV252" s="208" t="n"/>
      <c r="BW252" s="207" t="n"/>
      <c r="BX252" s="207" t="n"/>
      <c r="BY252" s="204" t="n"/>
      <c r="BZ252" s="148" t="n"/>
      <c r="CA252" s="204" t="n"/>
      <c r="CB252" s="208" t="n"/>
      <c r="CC252" s="139" t="n"/>
      <c r="CD252" s="204" t="n"/>
      <c r="CE252" s="204" t="n"/>
      <c r="CF252" s="207" t="n"/>
      <c r="CG252" s="208" t="n"/>
      <c r="CH252" s="207" t="n"/>
      <c r="CI252" s="208" t="n"/>
      <c r="CJ252" s="204" t="n"/>
      <c r="CK252" s="208" t="n"/>
      <c r="CL252" s="208" t="n"/>
      <c r="CM252" s="208" t="n"/>
      <c r="CN252" s="78" t="n"/>
      <c r="CO252" s="209" t="n"/>
      <c r="CP252" s="204" t="n"/>
      <c r="CQ252" s="204" t="n"/>
      <c r="CR252" s="204" t="n"/>
      <c r="CS252" s="204" t="n"/>
      <c r="CT252" s="204" t="n"/>
      <c r="CU252" s="204" t="n"/>
      <c r="CV252" s="204" t="n"/>
      <c r="CW252" s="204" t="n"/>
      <c r="CX252" s="190" t="n"/>
    </row>
    <row r="253">
      <c r="BF253" s="78" t="n"/>
      <c r="BG253" s="78" t="n"/>
      <c r="BH253" s="78" t="n"/>
      <c r="BI253" s="78" t="n"/>
      <c r="BJ253" s="139" t="n"/>
      <c r="BK253" s="204" t="n"/>
      <c r="BL253" s="141" t="n"/>
      <c r="BM253" s="205" t="n"/>
      <c r="BN253" s="205" t="n"/>
      <c r="BO253" s="206" t="n"/>
      <c r="BP253" s="144" t="n"/>
      <c r="BQ253" s="141" t="n"/>
      <c r="BR253" s="207" t="n"/>
      <c r="BS253" s="207" t="n"/>
      <c r="BT253" s="207" t="n"/>
      <c r="BU253" s="207" t="n"/>
      <c r="BV253" s="208" t="n"/>
      <c r="BW253" s="207" t="n"/>
      <c r="BX253" s="207" t="n"/>
      <c r="BY253" s="204" t="n"/>
      <c r="BZ253" s="148" t="n"/>
      <c r="CA253" s="204" t="n"/>
      <c r="CB253" s="208" t="n"/>
      <c r="CC253" s="139" t="n"/>
      <c r="CD253" s="204" t="n"/>
      <c r="CE253" s="204" t="n"/>
      <c r="CF253" s="207" t="n"/>
      <c r="CG253" s="208" t="n"/>
      <c r="CH253" s="207" t="n"/>
      <c r="CI253" s="208" t="n"/>
      <c r="CJ253" s="204" t="n"/>
      <c r="CK253" s="208" t="n"/>
      <c r="CL253" s="208" t="n"/>
      <c r="CM253" s="208" t="n"/>
      <c r="CN253" s="78" t="n"/>
      <c r="CO253" s="209" t="n"/>
      <c r="CP253" s="204" t="n"/>
      <c r="CQ253" s="204" t="n"/>
      <c r="CR253" s="204" t="n"/>
      <c r="CS253" s="204" t="n"/>
      <c r="CT253" s="204" t="n"/>
      <c r="CU253" s="204" t="n"/>
      <c r="CV253" s="204" t="n"/>
      <c r="CW253" s="204" t="n"/>
      <c r="CX253" s="190" t="n"/>
    </row>
    <row r="254">
      <c r="BF254" s="78" t="n"/>
      <c r="BG254" s="78" t="n"/>
      <c r="BH254" s="78" t="n"/>
      <c r="BI254" s="78" t="n"/>
      <c r="BJ254" s="139" t="n"/>
      <c r="BK254" s="204" t="n"/>
      <c r="BL254" s="141" t="n"/>
      <c r="BM254" s="205" t="n"/>
      <c r="BN254" s="205" t="n"/>
      <c r="BO254" s="206" t="n"/>
      <c r="BP254" s="144" t="n"/>
      <c r="BQ254" s="141" t="n"/>
      <c r="BR254" s="207" t="n"/>
      <c r="BS254" s="207" t="n"/>
      <c r="BT254" s="207" t="n"/>
      <c r="BU254" s="207" t="n"/>
      <c r="BV254" s="208" t="n"/>
      <c r="BW254" s="207" t="n"/>
      <c r="BX254" s="207" t="n"/>
      <c r="BY254" s="204" t="n"/>
      <c r="BZ254" s="148" t="n"/>
      <c r="CA254" s="204" t="n"/>
      <c r="CB254" s="208" t="n"/>
      <c r="CC254" s="139" t="n"/>
      <c r="CD254" s="204" t="n"/>
      <c r="CE254" s="204" t="n"/>
      <c r="CF254" s="207" t="n"/>
      <c r="CG254" s="208" t="n"/>
      <c r="CH254" s="207" t="n"/>
      <c r="CI254" s="208" t="n"/>
      <c r="CJ254" s="204" t="n"/>
      <c r="CK254" s="208" t="n"/>
      <c r="CL254" s="208" t="n"/>
      <c r="CM254" s="208" t="n"/>
      <c r="CN254" s="78" t="n"/>
      <c r="CO254" s="209" t="n"/>
      <c r="CP254" s="204" t="n"/>
      <c r="CQ254" s="204" t="n"/>
      <c r="CR254" s="204" t="n"/>
      <c r="CS254" s="204" t="n"/>
      <c r="CT254" s="204" t="n"/>
      <c r="CU254" s="204" t="n"/>
      <c r="CV254" s="204" t="n"/>
      <c r="CW254" s="204" t="n"/>
      <c r="CX254" s="190" t="n"/>
    </row>
    <row r="255">
      <c r="BF255" s="78" t="n"/>
      <c r="BG255" s="78" t="n"/>
      <c r="BH255" s="78" t="n"/>
      <c r="BI255" s="78" t="n"/>
      <c r="BJ255" s="139" t="n"/>
      <c r="BK255" s="204" t="n"/>
      <c r="BL255" s="141" t="n"/>
      <c r="BM255" s="205" t="n"/>
      <c r="BN255" s="205" t="n"/>
      <c r="BO255" s="206" t="n"/>
      <c r="BP255" s="144" t="n"/>
      <c r="BQ255" s="141" t="n"/>
      <c r="BR255" s="207" t="n"/>
      <c r="BS255" s="207" t="n"/>
      <c r="BT255" s="207" t="n"/>
      <c r="BU255" s="207" t="n"/>
      <c r="BV255" s="208" t="n"/>
      <c r="BW255" s="207" t="n"/>
      <c r="BX255" s="207" t="n"/>
      <c r="BY255" s="204" t="n"/>
      <c r="BZ255" s="148" t="n"/>
      <c r="CA255" s="204" t="n"/>
      <c r="CB255" s="208" t="n"/>
      <c r="CC255" s="139" t="n"/>
      <c r="CD255" s="204" t="n"/>
      <c r="CE255" s="204" t="n"/>
      <c r="CF255" s="207" t="n"/>
      <c r="CG255" s="208" t="n"/>
      <c r="CH255" s="207" t="n"/>
      <c r="CI255" s="208" t="n"/>
      <c r="CJ255" s="204" t="n"/>
      <c r="CK255" s="208" t="n"/>
      <c r="CL255" s="208" t="n"/>
      <c r="CM255" s="208" t="n"/>
      <c r="CN255" s="78" t="n"/>
      <c r="CO255" s="209" t="n"/>
      <c r="CP255" s="204" t="n"/>
      <c r="CQ255" s="204" t="n"/>
      <c r="CR255" s="204" t="n"/>
      <c r="CS255" s="204" t="n"/>
      <c r="CT255" s="204" t="n"/>
      <c r="CU255" s="204" t="n"/>
      <c r="CV255" s="204" t="n"/>
      <c r="CW255" s="204" t="n"/>
      <c r="CX255" s="190" t="n"/>
    </row>
    <row r="256">
      <c r="BF256" s="78" t="n"/>
      <c r="BG256" s="78" t="n"/>
      <c r="BH256" s="78" t="n"/>
      <c r="BI256" s="78" t="n"/>
      <c r="BJ256" s="139" t="n"/>
      <c r="BK256" s="204" t="n"/>
      <c r="BL256" s="141" t="n"/>
      <c r="BM256" s="205" t="n"/>
      <c r="BN256" s="205" t="n"/>
      <c r="BO256" s="206" t="n"/>
      <c r="BP256" s="144" t="n"/>
      <c r="BQ256" s="141" t="n"/>
      <c r="BR256" s="207" t="n"/>
      <c r="BS256" s="207" t="n"/>
      <c r="BT256" s="207" t="n"/>
      <c r="BU256" s="207" t="n"/>
      <c r="BV256" s="208" t="n"/>
      <c r="BW256" s="207" t="n"/>
      <c r="BX256" s="207" t="n"/>
      <c r="BY256" s="204" t="n"/>
      <c r="BZ256" s="148" t="n"/>
      <c r="CA256" s="204" t="n"/>
      <c r="CB256" s="208" t="n"/>
      <c r="CC256" s="139" t="n"/>
      <c r="CD256" s="204" t="n"/>
      <c r="CE256" s="204" t="n"/>
      <c r="CF256" s="207" t="n"/>
      <c r="CG256" s="208" t="n"/>
      <c r="CH256" s="207" t="n"/>
      <c r="CI256" s="208" t="n"/>
      <c r="CJ256" s="204" t="n"/>
      <c r="CK256" s="208" t="n"/>
      <c r="CL256" s="208" t="n"/>
      <c r="CM256" s="208" t="n"/>
      <c r="CN256" s="78" t="n"/>
      <c r="CO256" s="209" t="n"/>
      <c r="CP256" s="204" t="n"/>
      <c r="CQ256" s="204" t="n"/>
      <c r="CR256" s="204" t="n"/>
      <c r="CS256" s="204" t="n"/>
      <c r="CT256" s="204" t="n"/>
      <c r="CU256" s="204" t="n"/>
      <c r="CV256" s="204" t="n"/>
      <c r="CW256" s="204" t="n"/>
      <c r="CX256" s="190" t="n"/>
    </row>
    <row r="257">
      <c r="BF257" s="78" t="n"/>
      <c r="BG257" s="78" t="n"/>
      <c r="BH257" s="78" t="n"/>
      <c r="BI257" s="78" t="n"/>
      <c r="BJ257" s="139" t="n"/>
      <c r="BK257" s="204" t="n"/>
      <c r="BL257" s="141" t="n"/>
      <c r="BM257" s="205" t="n"/>
      <c r="BN257" s="205" t="n"/>
      <c r="BO257" s="206" t="n"/>
      <c r="BP257" s="144" t="n"/>
      <c r="BQ257" s="141" t="n"/>
      <c r="BR257" s="207" t="n"/>
      <c r="BS257" s="207" t="n"/>
      <c r="BT257" s="207" t="n"/>
      <c r="BU257" s="207" t="n"/>
      <c r="BV257" s="208" t="n"/>
      <c r="BW257" s="207" t="n"/>
      <c r="BX257" s="207" t="n"/>
      <c r="BY257" s="204" t="n"/>
      <c r="BZ257" s="148" t="n"/>
      <c r="CA257" s="204" t="n"/>
      <c r="CB257" s="208" t="n"/>
      <c r="CC257" s="139" t="n"/>
      <c r="CD257" s="204" t="n"/>
      <c r="CE257" s="204" t="n"/>
      <c r="CF257" s="207" t="n"/>
      <c r="CG257" s="208" t="n"/>
      <c r="CH257" s="207" t="n"/>
      <c r="CI257" s="208" t="n"/>
      <c r="CJ257" s="204" t="n"/>
      <c r="CK257" s="208" t="n"/>
      <c r="CL257" s="208" t="n"/>
      <c r="CM257" s="208" t="n"/>
      <c r="CN257" s="78" t="n"/>
      <c r="CO257" s="209" t="n"/>
      <c r="CP257" s="204" t="n"/>
      <c r="CQ257" s="204" t="n"/>
      <c r="CR257" s="204" t="n"/>
      <c r="CS257" s="204" t="n"/>
      <c r="CT257" s="204" t="n"/>
      <c r="CU257" s="204" t="n"/>
      <c r="CV257" s="204" t="n"/>
      <c r="CW257" s="204" t="n"/>
      <c r="CX257" s="190" t="n"/>
    </row>
    <row r="258">
      <c r="BF258" s="78" t="n"/>
      <c r="BG258" s="78" t="n"/>
      <c r="BH258" s="78" t="n"/>
      <c r="BI258" s="78" t="n"/>
      <c r="BJ258" s="139" t="n"/>
      <c r="BK258" s="204" t="n"/>
      <c r="BL258" s="141" t="n"/>
      <c r="BM258" s="205" t="n"/>
      <c r="BN258" s="205" t="n"/>
      <c r="BO258" s="206" t="n"/>
      <c r="BP258" s="144" t="n"/>
      <c r="BQ258" s="141" t="n"/>
      <c r="BR258" s="207" t="n"/>
      <c r="BS258" s="207" t="n"/>
      <c r="BT258" s="207" t="n"/>
      <c r="BU258" s="207" t="n"/>
      <c r="BV258" s="208" t="n"/>
      <c r="BW258" s="207" t="n"/>
      <c r="BX258" s="207" t="n"/>
      <c r="BY258" s="204" t="n"/>
      <c r="BZ258" s="148" t="n"/>
      <c r="CA258" s="204" t="n"/>
      <c r="CB258" s="208" t="n"/>
      <c r="CC258" s="139" t="n"/>
      <c r="CD258" s="204" t="n"/>
      <c r="CE258" s="204" t="n"/>
      <c r="CF258" s="207" t="n"/>
      <c r="CG258" s="208" t="n"/>
      <c r="CH258" s="207" t="n"/>
      <c r="CI258" s="208" t="n"/>
      <c r="CJ258" s="204" t="n"/>
      <c r="CK258" s="208" t="n"/>
      <c r="CL258" s="208" t="n"/>
      <c r="CM258" s="208" t="n"/>
      <c r="CN258" s="78" t="n"/>
      <c r="CO258" s="209" t="n"/>
      <c r="CP258" s="204" t="n"/>
      <c r="CQ258" s="204" t="n"/>
      <c r="CR258" s="204" t="n"/>
      <c r="CS258" s="204" t="n"/>
      <c r="CT258" s="204" t="n"/>
      <c r="CU258" s="204" t="n"/>
      <c r="CV258" s="204" t="n"/>
      <c r="CW258" s="204" t="n"/>
      <c r="CX258" s="190" t="n"/>
    </row>
    <row r="259">
      <c r="BF259" s="78" t="n"/>
      <c r="BG259" s="78" t="n"/>
      <c r="BH259" s="78" t="n"/>
      <c r="BI259" s="78" t="n"/>
      <c r="BJ259" s="139" t="n"/>
      <c r="BK259" s="204" t="n"/>
      <c r="BL259" s="141" t="n"/>
      <c r="BM259" s="205" t="n"/>
      <c r="BN259" s="205" t="n"/>
      <c r="BO259" s="206" t="n"/>
      <c r="BP259" s="144" t="n"/>
      <c r="BQ259" s="141" t="n"/>
      <c r="BR259" s="207" t="n"/>
      <c r="BS259" s="207" t="n"/>
      <c r="BT259" s="207" t="n"/>
      <c r="BU259" s="207" t="n"/>
      <c r="BV259" s="208" t="n"/>
      <c r="BW259" s="207" t="n"/>
      <c r="BX259" s="207" t="n"/>
      <c r="BY259" s="204" t="n"/>
      <c r="BZ259" s="148" t="n"/>
      <c r="CA259" s="204" t="n"/>
      <c r="CB259" s="208" t="n"/>
      <c r="CC259" s="139" t="n"/>
      <c r="CD259" s="204" t="n"/>
      <c r="CE259" s="204" t="n"/>
      <c r="CF259" s="207" t="n"/>
      <c r="CG259" s="208" t="n"/>
      <c r="CH259" s="207" t="n"/>
      <c r="CI259" s="208" t="n"/>
      <c r="CJ259" s="204" t="n"/>
      <c r="CK259" s="208" t="n"/>
      <c r="CL259" s="208" t="n"/>
      <c r="CM259" s="208" t="n"/>
      <c r="CN259" s="78" t="n"/>
      <c r="CO259" s="209" t="n"/>
      <c r="CP259" s="204" t="n"/>
      <c r="CQ259" s="204" t="n"/>
      <c r="CR259" s="204" t="n"/>
      <c r="CS259" s="204" t="n"/>
      <c r="CT259" s="204" t="n"/>
      <c r="CU259" s="204" t="n"/>
      <c r="CV259" s="204" t="n"/>
      <c r="CW259" s="204" t="n"/>
      <c r="CX259" s="190" t="n"/>
    </row>
    <row r="260">
      <c r="BF260" s="78" t="n"/>
      <c r="BG260" s="78" t="n"/>
      <c r="BH260" s="78" t="n"/>
      <c r="BI260" s="78" t="n"/>
      <c r="BJ260" s="139" t="n"/>
      <c r="BK260" s="204" t="n"/>
      <c r="BL260" s="141" t="n"/>
      <c r="BM260" s="205" t="n"/>
      <c r="BN260" s="205" t="n"/>
      <c r="BO260" s="206" t="n"/>
      <c r="BP260" s="144" t="n"/>
      <c r="BQ260" s="141" t="n"/>
      <c r="BR260" s="207" t="n"/>
      <c r="BS260" s="207" t="n"/>
      <c r="BT260" s="207" t="n"/>
      <c r="BU260" s="207" t="n"/>
      <c r="BV260" s="208" t="n"/>
      <c r="BW260" s="207" t="n"/>
      <c r="BX260" s="207" t="n"/>
      <c r="BY260" s="204" t="n"/>
      <c r="BZ260" s="148" t="n"/>
      <c r="CA260" s="204" t="n"/>
      <c r="CB260" s="208" t="n"/>
      <c r="CC260" s="139" t="n"/>
      <c r="CD260" s="204" t="n"/>
      <c r="CE260" s="204" t="n"/>
      <c r="CF260" s="207" t="n"/>
      <c r="CG260" s="208" t="n"/>
      <c r="CH260" s="207" t="n"/>
      <c r="CI260" s="208" t="n"/>
      <c r="CJ260" s="204" t="n"/>
      <c r="CK260" s="208" t="n"/>
      <c r="CL260" s="208" t="n"/>
      <c r="CM260" s="208" t="n"/>
      <c r="CN260" s="78" t="n"/>
      <c r="CO260" s="209" t="n"/>
      <c r="CP260" s="204" t="n"/>
      <c r="CQ260" s="204" t="n"/>
      <c r="CR260" s="204" t="n"/>
      <c r="CS260" s="204" t="n"/>
      <c r="CT260" s="204" t="n"/>
      <c r="CU260" s="204" t="n"/>
      <c r="CV260" s="204" t="n"/>
      <c r="CW260" s="204" t="n"/>
      <c r="CX260" s="190" t="n"/>
    </row>
    <row r="261">
      <c r="BF261" s="78" t="n"/>
      <c r="BG261" s="78" t="n"/>
      <c r="BH261" s="78" t="n"/>
      <c r="BI261" s="78" t="n"/>
      <c r="BJ261" s="139" t="n"/>
      <c r="BK261" s="204" t="n"/>
      <c r="BL261" s="141" t="n"/>
      <c r="BM261" s="205" t="n"/>
      <c r="BN261" s="205" t="n"/>
      <c r="BO261" s="206" t="n"/>
      <c r="BP261" s="144" t="n"/>
      <c r="BQ261" s="141" t="n"/>
      <c r="BR261" s="207" t="n"/>
      <c r="BS261" s="207" t="n"/>
      <c r="BT261" s="207" t="n"/>
      <c r="BU261" s="207" t="n"/>
      <c r="BV261" s="208" t="n"/>
      <c r="BW261" s="207" t="n"/>
      <c r="BX261" s="207" t="n"/>
      <c r="BY261" s="204" t="n"/>
      <c r="BZ261" s="148" t="n"/>
      <c r="CA261" s="204" t="n"/>
      <c r="CB261" s="208" t="n"/>
      <c r="CC261" s="139" t="n"/>
      <c r="CD261" s="204" t="n"/>
      <c r="CE261" s="204" t="n"/>
      <c r="CF261" s="207" t="n"/>
      <c r="CG261" s="208" t="n"/>
      <c r="CH261" s="207" t="n"/>
      <c r="CI261" s="208" t="n"/>
      <c r="CJ261" s="204" t="n"/>
      <c r="CK261" s="208" t="n"/>
      <c r="CL261" s="208" t="n"/>
      <c r="CM261" s="208" t="n"/>
      <c r="CN261" s="78" t="n"/>
      <c r="CO261" s="209" t="n"/>
      <c r="CP261" s="204" t="n"/>
      <c r="CQ261" s="204" t="n"/>
      <c r="CR261" s="204" t="n"/>
      <c r="CS261" s="204" t="n"/>
      <c r="CT261" s="204" t="n"/>
      <c r="CU261" s="204" t="n"/>
      <c r="CV261" s="204" t="n"/>
      <c r="CW261" s="204" t="n"/>
      <c r="CX261" s="190" t="n"/>
    </row>
    <row r="262">
      <c r="BF262" s="78" t="n"/>
      <c r="BG262" s="78" t="n"/>
      <c r="BH262" s="78" t="n"/>
      <c r="BI262" s="78" t="n"/>
      <c r="BJ262" s="139" t="n"/>
      <c r="BK262" s="204" t="n"/>
      <c r="BL262" s="141" t="n"/>
      <c r="BM262" s="205" t="n"/>
      <c r="BN262" s="205" t="n"/>
      <c r="BO262" s="206" t="n"/>
      <c r="BP262" s="144" t="n"/>
      <c r="BQ262" s="141" t="n"/>
      <c r="BR262" s="207" t="n"/>
      <c r="BS262" s="207" t="n"/>
      <c r="BT262" s="207" t="n"/>
      <c r="BU262" s="207" t="n"/>
      <c r="BV262" s="208" t="n"/>
      <c r="BW262" s="207" t="n"/>
      <c r="BX262" s="207" t="n"/>
      <c r="BY262" s="204" t="n"/>
      <c r="BZ262" s="148" t="n"/>
      <c r="CA262" s="204" t="n"/>
      <c r="CB262" s="208" t="n"/>
      <c r="CC262" s="139" t="n"/>
      <c r="CD262" s="204" t="n"/>
      <c r="CE262" s="204" t="n"/>
      <c r="CF262" s="207" t="n"/>
      <c r="CG262" s="208" t="n"/>
      <c r="CH262" s="207" t="n"/>
      <c r="CI262" s="208" t="n"/>
      <c r="CJ262" s="204" t="n"/>
      <c r="CK262" s="208" t="n"/>
      <c r="CL262" s="208" t="n"/>
      <c r="CM262" s="208" t="n"/>
      <c r="CN262" s="78" t="n"/>
      <c r="CO262" s="209" t="n"/>
      <c r="CP262" s="204" t="n"/>
      <c r="CQ262" s="204" t="n"/>
      <c r="CR262" s="204" t="n"/>
      <c r="CS262" s="204" t="n"/>
      <c r="CT262" s="204" t="n"/>
      <c r="CU262" s="204" t="n"/>
      <c r="CV262" s="204" t="n"/>
      <c r="CW262" s="204" t="n"/>
      <c r="CX262" s="190" t="n"/>
    </row>
    <row r="263">
      <c r="BF263" s="78" t="n"/>
      <c r="BG263" s="78" t="n"/>
      <c r="BH263" s="78" t="n"/>
      <c r="BI263" s="78" t="n"/>
      <c r="BJ263" s="139" t="n"/>
      <c r="BK263" s="204" t="n"/>
      <c r="BL263" s="141" t="n"/>
      <c r="BM263" s="205" t="n"/>
      <c r="BN263" s="205" t="n"/>
      <c r="BO263" s="206" t="n"/>
      <c r="BP263" s="144" t="n"/>
      <c r="BQ263" s="141" t="n"/>
      <c r="BR263" s="207" t="n"/>
      <c r="BS263" s="207" t="n"/>
      <c r="BT263" s="207" t="n"/>
      <c r="BU263" s="207" t="n"/>
      <c r="BV263" s="208" t="n"/>
      <c r="BW263" s="207" t="n"/>
      <c r="BX263" s="207" t="n"/>
      <c r="BY263" s="204" t="n"/>
      <c r="BZ263" s="148" t="n"/>
      <c r="CA263" s="204" t="n"/>
      <c r="CB263" s="208" t="n"/>
      <c r="CC263" s="139" t="n"/>
      <c r="CD263" s="204" t="n"/>
      <c r="CE263" s="204" t="n"/>
      <c r="CF263" s="207" t="n"/>
      <c r="CG263" s="208" t="n"/>
      <c r="CH263" s="207" t="n"/>
      <c r="CI263" s="208" t="n"/>
      <c r="CJ263" s="204" t="n"/>
      <c r="CK263" s="208" t="n"/>
      <c r="CL263" s="208" t="n"/>
      <c r="CM263" s="208" t="n"/>
      <c r="CN263" s="78" t="n"/>
      <c r="CO263" s="209" t="n"/>
      <c r="CP263" s="204" t="n"/>
      <c r="CQ263" s="204" t="n"/>
      <c r="CR263" s="204" t="n"/>
      <c r="CS263" s="204" t="n"/>
      <c r="CT263" s="204" t="n"/>
      <c r="CU263" s="204" t="n"/>
      <c r="CV263" s="204" t="n"/>
      <c r="CW263" s="204" t="n"/>
      <c r="CX263" s="190" t="n"/>
    </row>
    <row r="264">
      <c r="BF264" s="78" t="n"/>
      <c r="BG264" s="78" t="n"/>
      <c r="BH264" s="78" t="n"/>
      <c r="BI264" s="78" t="n"/>
      <c r="BJ264" s="139" t="n"/>
      <c r="BK264" s="204" t="n"/>
      <c r="BL264" s="141" t="n"/>
      <c r="BM264" s="205" t="n"/>
      <c r="BN264" s="205" t="n"/>
      <c r="BO264" s="206" t="n"/>
      <c r="BP264" s="144" t="n"/>
      <c r="BQ264" s="141" t="n"/>
      <c r="BR264" s="207" t="n"/>
      <c r="BS264" s="207" t="n"/>
      <c r="BT264" s="207" t="n"/>
      <c r="BU264" s="207" t="n"/>
      <c r="BV264" s="208" t="n"/>
      <c r="BW264" s="207" t="n"/>
      <c r="BX264" s="207" t="n"/>
      <c r="BY264" s="204" t="n"/>
      <c r="BZ264" s="148" t="n"/>
      <c r="CA264" s="204" t="n"/>
      <c r="CB264" s="208" t="n"/>
      <c r="CC264" s="139" t="n"/>
      <c r="CD264" s="204" t="n"/>
      <c r="CE264" s="204" t="n"/>
      <c r="CF264" s="207" t="n"/>
      <c r="CG264" s="208" t="n"/>
      <c r="CH264" s="207" t="n"/>
      <c r="CI264" s="208" t="n"/>
      <c r="CJ264" s="204" t="n"/>
      <c r="CK264" s="208" t="n"/>
      <c r="CL264" s="208" t="n"/>
      <c r="CM264" s="208" t="n"/>
      <c r="CN264" s="78" t="n"/>
      <c r="CO264" s="209" t="n"/>
      <c r="CP264" s="204" t="n"/>
      <c r="CQ264" s="204" t="n"/>
      <c r="CR264" s="204" t="n"/>
      <c r="CS264" s="204" t="n"/>
      <c r="CT264" s="204" t="n"/>
      <c r="CU264" s="204" t="n"/>
      <c r="CV264" s="204" t="n"/>
      <c r="CW264" s="204" t="n"/>
      <c r="CX264" s="190" t="n"/>
    </row>
    <row r="265">
      <c r="BF265" s="78" t="n"/>
      <c r="BG265" s="78" t="n"/>
      <c r="BH265" s="78" t="n"/>
      <c r="BI265" s="78" t="n"/>
      <c r="BJ265" s="139" t="n"/>
      <c r="BK265" s="204" t="n"/>
      <c r="BL265" s="141" t="n"/>
      <c r="BM265" s="205" t="n"/>
      <c r="BN265" s="205" t="n"/>
      <c r="BO265" s="206" t="n"/>
      <c r="BP265" s="144" t="n"/>
      <c r="BQ265" s="141" t="n"/>
      <c r="BR265" s="207" t="n"/>
      <c r="BS265" s="207" t="n"/>
      <c r="BT265" s="207" t="n"/>
      <c r="BU265" s="207" t="n"/>
      <c r="BV265" s="208" t="n"/>
      <c r="BW265" s="207" t="n"/>
      <c r="BX265" s="207" t="n"/>
      <c r="BY265" s="204" t="n"/>
      <c r="BZ265" s="148" t="n"/>
      <c r="CA265" s="204" t="n"/>
      <c r="CB265" s="208" t="n"/>
      <c r="CC265" s="139" t="n"/>
      <c r="CD265" s="204" t="n"/>
      <c r="CE265" s="204" t="n"/>
      <c r="CF265" s="207" t="n"/>
      <c r="CG265" s="208" t="n"/>
      <c r="CH265" s="207" t="n"/>
      <c r="CI265" s="208" t="n"/>
      <c r="CJ265" s="204" t="n"/>
      <c r="CK265" s="208" t="n"/>
      <c r="CL265" s="208" t="n"/>
      <c r="CM265" s="208" t="n"/>
      <c r="CN265" s="78" t="n"/>
      <c r="CO265" s="209" t="n"/>
      <c r="CP265" s="204" t="n"/>
      <c r="CQ265" s="204" t="n"/>
      <c r="CR265" s="204" t="n"/>
      <c r="CS265" s="204" t="n"/>
      <c r="CT265" s="204" t="n"/>
      <c r="CU265" s="204" t="n"/>
      <c r="CV265" s="204" t="n"/>
      <c r="CW265" s="204" t="n"/>
      <c r="CX265" s="190" t="n"/>
    </row>
    <row r="266">
      <c r="BF266" s="78" t="n"/>
      <c r="BG266" s="78" t="n"/>
      <c r="BH266" s="78" t="n"/>
      <c r="BI266" s="78" t="n"/>
      <c r="BJ266" s="139" t="n"/>
      <c r="BK266" s="204" t="n"/>
      <c r="BL266" s="141" t="n"/>
      <c r="BM266" s="205" t="n"/>
      <c r="BN266" s="205" t="n"/>
      <c r="BO266" s="206" t="n"/>
      <c r="BP266" s="144" t="n"/>
      <c r="BQ266" s="141" t="n"/>
      <c r="BR266" s="207" t="n"/>
      <c r="BS266" s="207" t="n"/>
      <c r="BT266" s="207" t="n"/>
      <c r="BU266" s="207" t="n"/>
      <c r="BV266" s="208" t="n"/>
      <c r="BW266" s="207" t="n"/>
      <c r="BX266" s="207" t="n"/>
      <c r="BY266" s="204" t="n"/>
      <c r="BZ266" s="148" t="n"/>
      <c r="CA266" s="204" t="n"/>
      <c r="CB266" s="208" t="n"/>
      <c r="CC266" s="139" t="n"/>
      <c r="CD266" s="204" t="n"/>
      <c r="CE266" s="204" t="n"/>
      <c r="CF266" s="207" t="n"/>
      <c r="CG266" s="208" t="n"/>
      <c r="CH266" s="207" t="n"/>
      <c r="CI266" s="208" t="n"/>
      <c r="CJ266" s="204" t="n"/>
      <c r="CK266" s="208" t="n"/>
      <c r="CL266" s="208" t="n"/>
      <c r="CM266" s="208" t="n"/>
      <c r="CN266" s="78" t="n"/>
      <c r="CO266" s="209" t="n"/>
      <c r="CP266" s="204" t="n"/>
      <c r="CQ266" s="204" t="n"/>
      <c r="CR266" s="204" t="n"/>
      <c r="CS266" s="204" t="n"/>
      <c r="CT266" s="204" t="n"/>
      <c r="CU266" s="204" t="n"/>
      <c r="CV266" s="204" t="n"/>
      <c r="CW266" s="204" t="n"/>
      <c r="CX266" s="190" t="n"/>
    </row>
    <row r="267">
      <c r="BF267" s="78" t="n"/>
      <c r="BG267" s="78" t="n"/>
      <c r="BH267" s="78" t="n"/>
      <c r="BI267" s="78" t="n"/>
      <c r="BJ267" s="139" t="n"/>
      <c r="BK267" s="204" t="n"/>
      <c r="BL267" s="141" t="n"/>
      <c r="BM267" s="205" t="n"/>
      <c r="BN267" s="205" t="n"/>
      <c r="BO267" s="206" t="n"/>
      <c r="BP267" s="144" t="n"/>
      <c r="BQ267" s="141" t="n"/>
      <c r="BR267" s="207" t="n"/>
      <c r="BS267" s="207" t="n"/>
      <c r="BT267" s="207" t="n"/>
      <c r="BU267" s="207" t="n"/>
      <c r="BV267" s="208" t="n"/>
      <c r="BW267" s="207" t="n"/>
      <c r="BX267" s="207" t="n"/>
      <c r="BY267" s="204" t="n"/>
      <c r="BZ267" s="148" t="n"/>
      <c r="CA267" s="204" t="n"/>
      <c r="CB267" s="208" t="n"/>
      <c r="CC267" s="139" t="n"/>
      <c r="CD267" s="204" t="n"/>
      <c r="CE267" s="204" t="n"/>
      <c r="CF267" s="207" t="n"/>
      <c r="CG267" s="208" t="n"/>
      <c r="CH267" s="207" t="n"/>
      <c r="CI267" s="208" t="n"/>
      <c r="CJ267" s="204" t="n"/>
      <c r="CK267" s="208" t="n"/>
      <c r="CL267" s="208" t="n"/>
      <c r="CM267" s="208" t="n"/>
      <c r="CN267" s="78" t="n"/>
      <c r="CO267" s="209" t="n"/>
      <c r="CP267" s="204" t="n"/>
      <c r="CQ267" s="204" t="n"/>
      <c r="CR267" s="204" t="n"/>
      <c r="CS267" s="204" t="n"/>
      <c r="CT267" s="204" t="n"/>
      <c r="CU267" s="204" t="n"/>
      <c r="CV267" s="204" t="n"/>
      <c r="CW267" s="204" t="n"/>
      <c r="CX267" s="190" t="n"/>
    </row>
    <row r="268">
      <c r="BF268" s="78" t="n"/>
      <c r="BG268" s="78" t="n"/>
      <c r="BH268" s="78" t="n"/>
      <c r="BI268" s="78" t="n"/>
      <c r="BJ268" s="139" t="n"/>
      <c r="BK268" s="204" t="n"/>
      <c r="BL268" s="141" t="n"/>
      <c r="BM268" s="205" t="n"/>
      <c r="BN268" s="205" t="n"/>
      <c r="BO268" s="206" t="n"/>
      <c r="BP268" s="144" t="n"/>
      <c r="BQ268" s="141" t="n"/>
      <c r="BR268" s="207" t="n"/>
      <c r="BS268" s="207" t="n"/>
      <c r="BT268" s="207" t="n"/>
      <c r="BU268" s="207" t="n"/>
      <c r="BV268" s="208" t="n"/>
      <c r="BW268" s="207" t="n"/>
      <c r="BX268" s="207" t="n"/>
      <c r="BY268" s="204" t="n"/>
      <c r="BZ268" s="148" t="n"/>
      <c r="CA268" s="204" t="n"/>
      <c r="CB268" s="208" t="n"/>
      <c r="CC268" s="139" t="n"/>
      <c r="CD268" s="204" t="n"/>
      <c r="CE268" s="204" t="n"/>
      <c r="CF268" s="207" t="n"/>
      <c r="CG268" s="208" t="n"/>
      <c r="CH268" s="207" t="n"/>
      <c r="CI268" s="208" t="n"/>
      <c r="CJ268" s="204" t="n"/>
      <c r="CK268" s="208" t="n"/>
      <c r="CL268" s="208" t="n"/>
      <c r="CM268" s="208" t="n"/>
      <c r="CN268" s="78" t="n"/>
      <c r="CO268" s="209" t="n"/>
      <c r="CP268" s="204" t="n"/>
      <c r="CQ268" s="204" t="n"/>
      <c r="CR268" s="204" t="n"/>
      <c r="CS268" s="204" t="n"/>
      <c r="CT268" s="204" t="n"/>
      <c r="CU268" s="204" t="n"/>
      <c r="CV268" s="204" t="n"/>
      <c r="CW268" s="204" t="n"/>
      <c r="CX268" s="190" t="n"/>
    </row>
    <row r="269">
      <c r="BF269" s="78" t="n"/>
      <c r="BG269" s="78" t="n"/>
      <c r="BH269" s="78" t="n"/>
      <c r="BI269" s="78" t="n"/>
      <c r="BJ269" s="139" t="n"/>
      <c r="BK269" s="204" t="n"/>
      <c r="BL269" s="141" t="n"/>
      <c r="BM269" s="205" t="n"/>
      <c r="BN269" s="205" t="n"/>
      <c r="BO269" s="206" t="n"/>
      <c r="BP269" s="144" t="n"/>
      <c r="BQ269" s="141" t="n"/>
      <c r="BR269" s="207" t="n"/>
      <c r="BS269" s="207" t="n"/>
      <c r="BT269" s="207" t="n"/>
      <c r="BU269" s="207" t="n"/>
      <c r="BV269" s="208" t="n"/>
      <c r="BW269" s="207" t="n"/>
      <c r="BX269" s="207" t="n"/>
      <c r="BY269" s="204" t="n"/>
      <c r="BZ269" s="148" t="n"/>
      <c r="CA269" s="204" t="n"/>
      <c r="CB269" s="208" t="n"/>
      <c r="CC269" s="139" t="n"/>
      <c r="CD269" s="204" t="n"/>
      <c r="CE269" s="204" t="n"/>
      <c r="CF269" s="207" t="n"/>
      <c r="CG269" s="208" t="n"/>
      <c r="CH269" s="207" t="n"/>
      <c r="CI269" s="208" t="n"/>
      <c r="CJ269" s="204" t="n"/>
      <c r="CK269" s="208" t="n"/>
      <c r="CL269" s="208" t="n"/>
      <c r="CM269" s="208" t="n"/>
      <c r="CN269" s="78" t="n"/>
      <c r="CO269" s="209" t="n"/>
      <c r="CP269" s="204" t="n"/>
      <c r="CQ269" s="204" t="n"/>
      <c r="CR269" s="204" t="n"/>
      <c r="CS269" s="204" t="n"/>
      <c r="CT269" s="204" t="n"/>
      <c r="CU269" s="204" t="n"/>
      <c r="CV269" s="204" t="n"/>
      <c r="CW269" s="204" t="n"/>
      <c r="CX269" s="190" t="n"/>
    </row>
    <row r="270">
      <c r="AR270" s="151" t="n"/>
      <c r="BF270" s="78" t="n"/>
      <c r="BG270" s="78" t="n"/>
      <c r="BH270" s="78" t="n"/>
      <c r="BI270" s="78" t="n"/>
      <c r="BJ270" s="139" t="n"/>
      <c r="BK270" s="204" t="n"/>
      <c r="BL270" s="141" t="n"/>
      <c r="BM270" s="205" t="n"/>
      <c r="BN270" s="205" t="n"/>
      <c r="BO270" s="206" t="n"/>
      <c r="BP270" s="144" t="n"/>
      <c r="BQ270" s="141" t="n"/>
      <c r="BR270" s="207" t="n"/>
      <c r="BS270" s="207" t="n"/>
      <c r="BT270" s="207" t="n"/>
      <c r="BU270" s="207" t="n"/>
      <c r="BV270" s="208" t="n"/>
      <c r="BW270" s="207" t="n"/>
      <c r="BX270" s="207" t="n"/>
      <c r="BY270" s="204" t="n"/>
      <c r="BZ270" s="148" t="n"/>
      <c r="CA270" s="204" t="n"/>
      <c r="CB270" s="208" t="n"/>
      <c r="CC270" s="139" t="n"/>
      <c r="CD270" s="204" t="n"/>
      <c r="CE270" s="204" t="n"/>
      <c r="CF270" s="207" t="n"/>
      <c r="CG270" s="208" t="n"/>
      <c r="CH270" s="207" t="n"/>
      <c r="CI270" s="208" t="n"/>
      <c r="CJ270" s="204" t="n"/>
      <c r="CK270" s="208" t="n"/>
      <c r="CL270" s="208" t="n"/>
      <c r="CM270" s="208" t="n"/>
      <c r="CN270" s="78" t="n"/>
      <c r="CO270" s="209" t="n"/>
      <c r="CP270" s="204" t="n"/>
      <c r="CQ270" s="204" t="n"/>
      <c r="CR270" s="204" t="n"/>
      <c r="CS270" s="204" t="n"/>
      <c r="CT270" s="204" t="n"/>
      <c r="CU270" s="204" t="n"/>
      <c r="CV270" s="204" t="n"/>
      <c r="CW270" s="204" t="n"/>
      <c r="CX270" s="190" t="n"/>
    </row>
    <row r="271">
      <c r="BF271" s="78" t="n"/>
      <c r="BG271" s="78" t="n"/>
      <c r="BH271" s="78" t="n"/>
      <c r="BI271" s="78" t="n"/>
      <c r="BJ271" s="139" t="n"/>
      <c r="BK271" s="204" t="n"/>
      <c r="BL271" s="141" t="n"/>
      <c r="BM271" s="205" t="n"/>
      <c r="BN271" s="205" t="n"/>
      <c r="BO271" s="206" t="n"/>
      <c r="BP271" s="144" t="n"/>
      <c r="BQ271" s="141" t="n"/>
      <c r="BR271" s="207" t="n"/>
      <c r="BS271" s="207" t="n"/>
      <c r="BT271" s="207" t="n"/>
      <c r="BU271" s="207" t="n"/>
      <c r="BV271" s="208" t="n"/>
      <c r="BW271" s="207" t="n"/>
      <c r="BX271" s="207" t="n"/>
      <c r="BY271" s="204" t="n"/>
      <c r="BZ271" s="148" t="n"/>
      <c r="CA271" s="204" t="n"/>
      <c r="CB271" s="208" t="n"/>
      <c r="CC271" s="139" t="n"/>
      <c r="CD271" s="204" t="n"/>
      <c r="CE271" s="204" t="n"/>
      <c r="CF271" s="207" t="n"/>
      <c r="CG271" s="208" t="n"/>
      <c r="CH271" s="207" t="n"/>
      <c r="CI271" s="208" t="n"/>
      <c r="CJ271" s="204" t="n"/>
      <c r="CK271" s="208" t="n"/>
      <c r="CL271" s="208" t="n"/>
      <c r="CM271" s="208" t="n"/>
      <c r="CN271" s="78" t="n"/>
      <c r="CO271" s="209" t="n"/>
      <c r="CP271" s="204" t="n"/>
      <c r="CQ271" s="204" t="n"/>
      <c r="CR271" s="204" t="n"/>
      <c r="CS271" s="204" t="n"/>
      <c r="CT271" s="204" t="n"/>
      <c r="CU271" s="204" t="n"/>
      <c r="CV271" s="204" t="n"/>
      <c r="CW271" s="204" t="n"/>
      <c r="CX271" s="190" t="n"/>
    </row>
    <row r="272">
      <c r="BF272" s="78" t="n"/>
      <c r="BG272" s="78" t="n"/>
      <c r="BH272" s="78" t="n"/>
      <c r="BI272" s="78" t="n"/>
      <c r="BJ272" s="139" t="n"/>
      <c r="BK272" s="204" t="n"/>
      <c r="BL272" s="141" t="n"/>
      <c r="BM272" s="205" t="n"/>
      <c r="BN272" s="205" t="n"/>
      <c r="BO272" s="206" t="n"/>
      <c r="BP272" s="144" t="n"/>
      <c r="BQ272" s="141" t="n"/>
      <c r="BR272" s="207" t="n"/>
      <c r="BS272" s="207" t="n"/>
      <c r="BT272" s="207" t="n"/>
      <c r="BU272" s="207" t="n"/>
      <c r="BV272" s="208" t="n"/>
      <c r="BW272" s="207" t="n"/>
      <c r="BX272" s="207" t="n"/>
      <c r="BY272" s="204" t="n"/>
      <c r="BZ272" s="148" t="n"/>
      <c r="CA272" s="204" t="n"/>
      <c r="CB272" s="208" t="n"/>
      <c r="CC272" s="139" t="n"/>
      <c r="CD272" s="204" t="n"/>
      <c r="CE272" s="204" t="n"/>
      <c r="CF272" s="207" t="n"/>
      <c r="CG272" s="208" t="n"/>
      <c r="CH272" s="207" t="n"/>
      <c r="CI272" s="208" t="n"/>
      <c r="CJ272" s="204" t="n"/>
      <c r="CK272" s="208" t="n"/>
      <c r="CL272" s="208" t="n"/>
      <c r="CM272" s="208" t="n"/>
      <c r="CN272" s="78" t="n"/>
      <c r="CO272" s="209" t="n"/>
      <c r="CP272" s="204" t="n"/>
      <c r="CQ272" s="204" t="n"/>
      <c r="CR272" s="204" t="n"/>
      <c r="CS272" s="204" t="n"/>
      <c r="CT272" s="204" t="n"/>
      <c r="CU272" s="204" t="n"/>
      <c r="CV272" s="204" t="n"/>
      <c r="CW272" s="204" t="n"/>
      <c r="CX272" s="190" t="n"/>
    </row>
    <row r="273">
      <c r="AR273" s="151" t="n"/>
      <c r="BF273" s="78" t="n"/>
      <c r="BG273" s="78" t="n"/>
      <c r="BH273" s="78" t="n"/>
      <c r="BI273" s="78" t="n"/>
      <c r="BJ273" s="139" t="n"/>
      <c r="BK273" s="204" t="n"/>
      <c r="BL273" s="141" t="n"/>
      <c r="BM273" s="205" t="n"/>
      <c r="BN273" s="205" t="n"/>
      <c r="BO273" s="206" t="n"/>
      <c r="BP273" s="144" t="n"/>
      <c r="BQ273" s="141" t="n"/>
      <c r="BR273" s="207" t="n"/>
      <c r="BS273" s="207" t="n"/>
      <c r="BT273" s="207" t="n"/>
      <c r="BU273" s="207" t="n"/>
      <c r="BV273" s="208" t="n"/>
      <c r="BW273" s="207" t="n"/>
      <c r="BX273" s="207" t="n"/>
      <c r="BY273" s="204" t="n"/>
      <c r="BZ273" s="148" t="n"/>
      <c r="CA273" s="204" t="n"/>
      <c r="CB273" s="208" t="n"/>
      <c r="CC273" s="139" t="n"/>
      <c r="CD273" s="204" t="n"/>
      <c r="CE273" s="204" t="n"/>
      <c r="CF273" s="207" t="n"/>
      <c r="CG273" s="208" t="n"/>
      <c r="CH273" s="207" t="n"/>
      <c r="CI273" s="208" t="n"/>
      <c r="CJ273" s="204" t="n"/>
      <c r="CK273" s="208" t="n"/>
      <c r="CL273" s="208" t="n"/>
      <c r="CM273" s="208" t="n"/>
      <c r="CN273" s="78" t="n"/>
      <c r="CO273" s="209" t="n"/>
      <c r="CP273" s="204" t="n"/>
      <c r="CQ273" s="204" t="n"/>
      <c r="CR273" s="204" t="n"/>
      <c r="CS273" s="204" t="n"/>
      <c r="CT273" s="204" t="n"/>
      <c r="CU273" s="204" t="n"/>
      <c r="CV273" s="204" t="n"/>
      <c r="CW273" s="204" t="n"/>
      <c r="CX273" s="190" t="n"/>
    </row>
    <row r="274">
      <c r="BF274" s="78" t="n"/>
      <c r="BG274" s="78" t="n"/>
      <c r="BH274" s="78" t="n"/>
      <c r="BI274" s="78" t="n"/>
      <c r="BJ274" s="139" t="n"/>
      <c r="BK274" s="204" t="n"/>
      <c r="BL274" s="141" t="n"/>
      <c r="BM274" s="205" t="n"/>
      <c r="BN274" s="205" t="n"/>
      <c r="BO274" s="206" t="n"/>
      <c r="BP274" s="144" t="n"/>
      <c r="BQ274" s="141" t="n"/>
      <c r="BR274" s="207" t="n"/>
      <c r="BS274" s="207" t="n"/>
      <c r="BT274" s="207" t="n"/>
      <c r="BU274" s="207" t="n"/>
      <c r="BV274" s="208" t="n"/>
      <c r="BW274" s="207" t="n"/>
      <c r="BX274" s="207" t="n"/>
      <c r="BY274" s="204" t="n"/>
      <c r="BZ274" s="148" t="n"/>
      <c r="CA274" s="204" t="n"/>
      <c r="CB274" s="208" t="n"/>
      <c r="CC274" s="139" t="n"/>
      <c r="CD274" s="204" t="n"/>
      <c r="CE274" s="204" t="n"/>
      <c r="CF274" s="207" t="n"/>
      <c r="CG274" s="208" t="n"/>
      <c r="CH274" s="207" t="n"/>
      <c r="CI274" s="208" t="n"/>
      <c r="CJ274" s="204" t="n"/>
      <c r="CK274" s="208" t="n"/>
      <c r="CL274" s="208" t="n"/>
      <c r="CM274" s="208" t="n"/>
      <c r="CN274" s="78" t="n"/>
      <c r="CO274" s="209" t="n"/>
      <c r="CP274" s="204" t="n"/>
      <c r="CQ274" s="204" t="n"/>
      <c r="CR274" s="204" t="n"/>
      <c r="CS274" s="204" t="n"/>
      <c r="CT274" s="204" t="n"/>
      <c r="CU274" s="204" t="n"/>
      <c r="CV274" s="204" t="n"/>
      <c r="CW274" s="204" t="n"/>
      <c r="CX274" s="190" t="n"/>
    </row>
    <row r="275">
      <c r="BF275" s="78" t="n"/>
      <c r="BG275" s="78" t="n"/>
      <c r="BH275" s="78" t="n"/>
      <c r="BI275" s="78" t="n"/>
      <c r="BJ275" s="139" t="n"/>
      <c r="BK275" s="204" t="n"/>
      <c r="BL275" s="141" t="n"/>
      <c r="BM275" s="205" t="n"/>
      <c r="BN275" s="205" t="n"/>
      <c r="BO275" s="206" t="n"/>
      <c r="BP275" s="144" t="n"/>
      <c r="BQ275" s="141" t="n"/>
      <c r="BR275" s="207" t="n"/>
      <c r="BS275" s="207" t="n"/>
      <c r="BT275" s="207" t="n"/>
      <c r="BU275" s="207" t="n"/>
      <c r="BV275" s="208" t="n"/>
      <c r="BW275" s="207" t="n"/>
      <c r="BX275" s="207" t="n"/>
      <c r="BY275" s="204" t="n"/>
      <c r="BZ275" s="148" t="n"/>
      <c r="CA275" s="204" t="n"/>
      <c r="CB275" s="208" t="n"/>
      <c r="CC275" s="139" t="n"/>
      <c r="CD275" s="204" t="n"/>
      <c r="CE275" s="204" t="n"/>
      <c r="CF275" s="207" t="n"/>
      <c r="CG275" s="208" t="n"/>
      <c r="CH275" s="207" t="n"/>
      <c r="CI275" s="208" t="n"/>
      <c r="CJ275" s="204" t="n"/>
      <c r="CK275" s="208" t="n"/>
      <c r="CL275" s="208" t="n"/>
      <c r="CM275" s="208" t="n"/>
      <c r="CN275" s="78" t="n"/>
      <c r="CO275" s="209" t="n"/>
      <c r="CP275" s="204" t="n"/>
      <c r="CQ275" s="204" t="n"/>
      <c r="CR275" s="204" t="n"/>
      <c r="CS275" s="204" t="n"/>
      <c r="CT275" s="204" t="n"/>
      <c r="CU275" s="204" t="n"/>
      <c r="CV275" s="204" t="n"/>
      <c r="CW275" s="204" t="n"/>
      <c r="CX275" s="190" t="n"/>
    </row>
    <row r="276">
      <c r="BF276" s="78" t="n"/>
      <c r="BG276" s="78" t="n"/>
      <c r="BH276" s="78" t="n"/>
      <c r="BI276" s="78" t="n"/>
      <c r="BJ276" s="139" t="n"/>
      <c r="BK276" s="204" t="n"/>
      <c r="BL276" s="141" t="n"/>
      <c r="BM276" s="205" t="n"/>
      <c r="BN276" s="205" t="n"/>
      <c r="BO276" s="206" t="n"/>
      <c r="BP276" s="144" t="n"/>
      <c r="BQ276" s="141" t="n"/>
      <c r="BR276" s="207" t="n"/>
      <c r="BS276" s="207" t="n"/>
      <c r="BT276" s="207" t="n"/>
      <c r="BU276" s="207" t="n"/>
      <c r="BV276" s="208" t="n"/>
      <c r="BW276" s="207" t="n"/>
      <c r="BX276" s="207" t="n"/>
      <c r="BY276" s="204" t="n"/>
      <c r="BZ276" s="148" t="n"/>
      <c r="CA276" s="204" t="n"/>
      <c r="CB276" s="208" t="n"/>
      <c r="CC276" s="139" t="n"/>
      <c r="CD276" s="204" t="n"/>
      <c r="CE276" s="204" t="n"/>
      <c r="CF276" s="207" t="n"/>
      <c r="CG276" s="208" t="n"/>
      <c r="CH276" s="207" t="n"/>
      <c r="CI276" s="208" t="n"/>
      <c r="CJ276" s="204" t="n"/>
      <c r="CK276" s="208" t="n"/>
      <c r="CL276" s="208" t="n"/>
      <c r="CM276" s="208" t="n"/>
      <c r="CN276" s="78" t="n"/>
      <c r="CO276" s="209" t="n"/>
      <c r="CP276" s="204" t="n"/>
      <c r="CQ276" s="204" t="n"/>
      <c r="CR276" s="204" t="n"/>
      <c r="CS276" s="204" t="n"/>
      <c r="CT276" s="204" t="n"/>
      <c r="CU276" s="204" t="n"/>
      <c r="CV276" s="204" t="n"/>
      <c r="CW276" s="204" t="n"/>
      <c r="CX276" s="190" t="n"/>
    </row>
    <row r="277">
      <c r="BF277" s="78" t="n"/>
      <c r="BG277" s="78" t="n"/>
      <c r="BH277" s="78" t="n"/>
      <c r="BI277" s="78" t="n"/>
      <c r="BJ277" s="139" t="n"/>
      <c r="BK277" s="204" t="n"/>
      <c r="BL277" s="141" t="n"/>
      <c r="BM277" s="205" t="n"/>
      <c r="BN277" s="205" t="n"/>
      <c r="BO277" s="206" t="n"/>
      <c r="BP277" s="144" t="n"/>
      <c r="BQ277" s="141" t="n"/>
      <c r="BR277" s="207" t="n"/>
      <c r="BS277" s="207" t="n"/>
      <c r="BT277" s="207" t="n"/>
      <c r="BU277" s="207" t="n"/>
      <c r="BV277" s="208" t="n"/>
      <c r="BW277" s="207" t="n"/>
      <c r="BX277" s="207" t="n"/>
      <c r="BY277" s="204" t="n"/>
      <c r="BZ277" s="148" t="n"/>
      <c r="CA277" s="204" t="n"/>
      <c r="CB277" s="208" t="n"/>
      <c r="CC277" s="139" t="n"/>
      <c r="CD277" s="204" t="n"/>
      <c r="CE277" s="204" t="n"/>
      <c r="CF277" s="207" t="n"/>
      <c r="CG277" s="208" t="n"/>
      <c r="CH277" s="207" t="n"/>
      <c r="CI277" s="208" t="n"/>
      <c r="CJ277" s="204" t="n"/>
      <c r="CK277" s="208" t="n"/>
      <c r="CL277" s="208" t="n"/>
      <c r="CM277" s="208" t="n"/>
      <c r="CN277" s="78" t="n"/>
      <c r="CO277" s="209" t="n"/>
      <c r="CP277" s="204" t="n"/>
      <c r="CQ277" s="204" t="n"/>
      <c r="CR277" s="204" t="n"/>
      <c r="CS277" s="204" t="n"/>
      <c r="CT277" s="204" t="n"/>
      <c r="CU277" s="204" t="n"/>
      <c r="CV277" s="204" t="n"/>
      <c r="CW277" s="204" t="n"/>
      <c r="CX277" s="190" t="n"/>
    </row>
    <row r="278">
      <c r="BF278" s="78" t="n"/>
      <c r="BG278" s="78" t="n"/>
      <c r="BH278" s="78" t="n"/>
      <c r="BI278" s="78" t="n"/>
      <c r="BJ278" s="139" t="n"/>
      <c r="BK278" s="204" t="n"/>
      <c r="BL278" s="141" t="n"/>
      <c r="BM278" s="205" t="n"/>
      <c r="BN278" s="205" t="n"/>
      <c r="BO278" s="206" t="n"/>
      <c r="BP278" s="144" t="n"/>
      <c r="BQ278" s="141" t="n"/>
      <c r="BR278" s="207" t="n"/>
      <c r="BS278" s="207" t="n"/>
      <c r="BT278" s="207" t="n"/>
      <c r="BU278" s="207" t="n"/>
      <c r="BV278" s="208" t="n"/>
      <c r="BW278" s="207" t="n"/>
      <c r="BX278" s="207" t="n"/>
      <c r="BY278" s="204" t="n"/>
      <c r="BZ278" s="148" t="n"/>
      <c r="CA278" s="204" t="n"/>
      <c r="CB278" s="208" t="n"/>
      <c r="CC278" s="139" t="n"/>
      <c r="CD278" s="204" t="n"/>
      <c r="CE278" s="204" t="n"/>
      <c r="CF278" s="207" t="n"/>
      <c r="CG278" s="208" t="n"/>
      <c r="CH278" s="207" t="n"/>
      <c r="CI278" s="208" t="n"/>
      <c r="CJ278" s="204" t="n"/>
      <c r="CK278" s="208" t="n"/>
      <c r="CL278" s="208" t="n"/>
      <c r="CM278" s="208" t="n"/>
      <c r="CN278" s="78" t="n"/>
      <c r="CO278" s="209" t="n"/>
      <c r="CP278" s="204" t="n"/>
      <c r="CQ278" s="204" t="n"/>
      <c r="CR278" s="204" t="n"/>
      <c r="CS278" s="204" t="n"/>
      <c r="CT278" s="204" t="n"/>
      <c r="CU278" s="204" t="n"/>
      <c r="CV278" s="204" t="n"/>
      <c r="CW278" s="204" t="n"/>
      <c r="CX278" s="190" t="n"/>
    </row>
    <row r="279">
      <c r="BF279" s="78" t="n"/>
      <c r="BG279" s="78" t="n"/>
      <c r="BH279" s="78" t="n"/>
      <c r="BI279" s="78" t="n"/>
      <c r="BJ279" s="139" t="n"/>
      <c r="BK279" s="204" t="n"/>
      <c r="BL279" s="141" t="n"/>
      <c r="BM279" s="205" t="n"/>
      <c r="BN279" s="205" t="n"/>
      <c r="BO279" s="206" t="n"/>
      <c r="BP279" s="144" t="n"/>
      <c r="BQ279" s="141" t="n"/>
      <c r="BR279" s="207" t="n"/>
      <c r="BS279" s="207" t="n"/>
      <c r="BT279" s="207" t="n"/>
      <c r="BU279" s="207" t="n"/>
      <c r="BV279" s="208" t="n"/>
      <c r="BW279" s="207" t="n"/>
      <c r="BX279" s="207" t="n"/>
      <c r="BY279" s="204" t="n"/>
      <c r="BZ279" s="148" t="n"/>
      <c r="CA279" s="204" t="n"/>
      <c r="CB279" s="208" t="n"/>
      <c r="CC279" s="139" t="n"/>
      <c r="CD279" s="204" t="n"/>
      <c r="CE279" s="204" t="n"/>
      <c r="CF279" s="207" t="n"/>
      <c r="CG279" s="208" t="n"/>
      <c r="CH279" s="207" t="n"/>
      <c r="CI279" s="208" t="n"/>
      <c r="CJ279" s="204" t="n"/>
      <c r="CK279" s="208" t="n"/>
      <c r="CL279" s="208" t="n"/>
      <c r="CM279" s="208" t="n"/>
      <c r="CN279" s="78" t="n"/>
      <c r="CO279" s="209" t="n"/>
      <c r="CP279" s="204" t="n"/>
      <c r="CQ279" s="204" t="n"/>
      <c r="CR279" s="204" t="n"/>
      <c r="CS279" s="204" t="n"/>
      <c r="CT279" s="204" t="n"/>
      <c r="CU279" s="204" t="n"/>
      <c r="CV279" s="204" t="n"/>
      <c r="CW279" s="204" t="n"/>
      <c r="CX279" s="190" t="n"/>
    </row>
    <row r="280" customFormat="1" s="152">
      <c r="W280" s="2" t="n"/>
      <c r="AF280" s="2" t="n"/>
      <c r="AG280" s="2" t="n"/>
      <c r="AH280" s="2" t="n"/>
      <c r="AI280" s="2" t="n"/>
      <c r="AJ280" s="2" t="n"/>
      <c r="BF280" s="78" t="n"/>
      <c r="BG280" s="78" t="n"/>
      <c r="BH280" s="78" t="n"/>
      <c r="BI280" s="78" t="n"/>
      <c r="BJ280" s="139" t="n"/>
      <c r="BK280" s="204" t="n"/>
      <c r="BL280" s="141" t="n"/>
      <c r="BM280" s="205" t="n"/>
      <c r="BN280" s="205" t="n"/>
      <c r="BO280" s="206" t="n"/>
      <c r="BP280" s="144" t="n"/>
      <c r="BQ280" s="141" t="n"/>
      <c r="BR280" s="207" t="n"/>
      <c r="BS280" s="207" t="n"/>
      <c r="BT280" s="207" t="n"/>
      <c r="BU280" s="207" t="n"/>
      <c r="BV280" s="208" t="n"/>
      <c r="BW280" s="207" t="n"/>
      <c r="BX280" s="207" t="n"/>
      <c r="BY280" s="204" t="n"/>
      <c r="BZ280" s="148" t="n"/>
      <c r="CA280" s="204" t="n"/>
      <c r="CB280" s="208" t="n"/>
      <c r="CC280" s="139" t="n"/>
      <c r="CD280" s="204" t="n"/>
      <c r="CE280" s="204" t="n"/>
      <c r="CF280" s="207" t="n"/>
      <c r="CG280" s="208" t="n"/>
      <c r="CH280" s="207" t="n"/>
      <c r="CI280" s="208" t="n"/>
      <c r="CJ280" s="204" t="n"/>
      <c r="CK280" s="208" t="n"/>
      <c r="CL280" s="208" t="n"/>
      <c r="CM280" s="208" t="n"/>
      <c r="CN280" s="78" t="n"/>
      <c r="CO280" s="209" t="n"/>
      <c r="CP280" s="204" t="n"/>
      <c r="CQ280" s="204" t="n"/>
      <c r="CR280" s="204" t="n"/>
      <c r="CS280" s="204" t="n"/>
      <c r="CT280" s="204" t="n"/>
      <c r="CU280" s="204" t="n"/>
      <c r="CV280" s="204" t="n"/>
      <c r="CW280" s="204" t="n"/>
      <c r="CX280" s="210" t="n"/>
    </row>
    <row r="281">
      <c r="BF281" s="78" t="n"/>
      <c r="BG281" s="78" t="n"/>
      <c r="BH281" s="78" t="n"/>
      <c r="BI281" s="78" t="n"/>
      <c r="BJ281" s="139" t="n"/>
      <c r="BK281" s="204" t="n"/>
      <c r="BL281" s="141" t="n"/>
      <c r="BM281" s="205" t="n"/>
      <c r="BN281" s="205" t="n"/>
      <c r="BO281" s="206" t="n"/>
      <c r="BP281" s="144" t="n"/>
      <c r="BQ281" s="141" t="n"/>
      <c r="BR281" s="207" t="n"/>
      <c r="BS281" s="207" t="n"/>
      <c r="BT281" s="207" t="n"/>
      <c r="BU281" s="207" t="n"/>
      <c r="BV281" s="208" t="n"/>
      <c r="BW281" s="207" t="n"/>
      <c r="BX281" s="207" t="n"/>
      <c r="BY281" s="204" t="n"/>
      <c r="BZ281" s="148" t="n"/>
      <c r="CA281" s="204" t="n"/>
      <c r="CB281" s="208" t="n"/>
      <c r="CC281" s="139" t="n"/>
      <c r="CD281" s="204" t="n"/>
      <c r="CE281" s="204" t="n"/>
      <c r="CF281" s="207" t="n"/>
      <c r="CG281" s="208" t="n"/>
      <c r="CH281" s="207" t="n"/>
      <c r="CI281" s="208" t="n"/>
      <c r="CJ281" s="204" t="n"/>
      <c r="CK281" s="208" t="n"/>
      <c r="CL281" s="208" t="n"/>
      <c r="CM281" s="208" t="n"/>
      <c r="CN281" s="78" t="n"/>
      <c r="CO281" s="209" t="n"/>
      <c r="CP281" s="204" t="n"/>
      <c r="CQ281" s="204" t="n"/>
      <c r="CR281" s="204" t="n"/>
      <c r="CS281" s="204" t="n"/>
      <c r="CT281" s="204" t="n"/>
      <c r="CU281" s="204" t="n"/>
      <c r="CV281" s="204" t="n"/>
      <c r="CW281" s="204" t="n"/>
      <c r="CX281" s="190" t="n"/>
    </row>
    <row r="282">
      <c r="BF282" s="78" t="n"/>
      <c r="BG282" s="78" t="n"/>
      <c r="BH282" s="78" t="n"/>
      <c r="BI282" s="78" t="n"/>
      <c r="BJ282" s="139" t="n"/>
      <c r="BK282" s="204" t="n"/>
      <c r="BL282" s="141" t="n"/>
      <c r="BM282" s="205" t="n"/>
      <c r="BN282" s="205" t="n"/>
      <c r="BO282" s="206" t="n"/>
      <c r="BP282" s="144" t="n"/>
      <c r="BQ282" s="141" t="n"/>
      <c r="BR282" s="207" t="n"/>
      <c r="BS282" s="207" t="n"/>
      <c r="BT282" s="207" t="n"/>
      <c r="BU282" s="207" t="n"/>
      <c r="BV282" s="208" t="n"/>
      <c r="BW282" s="207" t="n"/>
      <c r="BX282" s="207" t="n"/>
      <c r="BY282" s="204" t="n"/>
      <c r="BZ282" s="148" t="n"/>
      <c r="CA282" s="204" t="n"/>
      <c r="CB282" s="208" t="n"/>
      <c r="CC282" s="139" t="n"/>
      <c r="CD282" s="204" t="n"/>
      <c r="CE282" s="204" t="n"/>
      <c r="CF282" s="207" t="n"/>
      <c r="CG282" s="208" t="n"/>
      <c r="CH282" s="207" t="n"/>
      <c r="CI282" s="208" t="n"/>
      <c r="CJ282" s="204" t="n"/>
      <c r="CK282" s="208" t="n"/>
      <c r="CL282" s="208" t="n"/>
      <c r="CM282" s="208" t="n"/>
      <c r="CN282" s="78" t="n"/>
      <c r="CO282" s="209" t="n"/>
      <c r="CP282" s="204" t="n"/>
      <c r="CQ282" s="204" t="n"/>
      <c r="CR282" s="204" t="n"/>
      <c r="CS282" s="204" t="n"/>
      <c r="CT282" s="204" t="n"/>
      <c r="CU282" s="204" t="n"/>
      <c r="CV282" s="204" t="n"/>
      <c r="CW282" s="204" t="n"/>
      <c r="CX282" s="190" t="n"/>
    </row>
    <row r="283">
      <c r="BF283" s="78" t="n"/>
      <c r="BG283" s="78" t="n"/>
      <c r="BH283" s="78" t="n"/>
      <c r="BI283" s="78" t="n"/>
      <c r="BJ283" s="139" t="n"/>
      <c r="BK283" s="204" t="n"/>
      <c r="BL283" s="141" t="n"/>
      <c r="BM283" s="205" t="n"/>
      <c r="BN283" s="205" t="n"/>
      <c r="BO283" s="206" t="n"/>
      <c r="BP283" s="144" t="n"/>
      <c r="BQ283" s="141" t="n"/>
      <c r="BR283" s="207" t="n"/>
      <c r="BS283" s="207" t="n"/>
      <c r="BT283" s="207" t="n"/>
      <c r="BU283" s="207" t="n"/>
      <c r="BV283" s="208" t="n"/>
      <c r="BW283" s="207" t="n"/>
      <c r="BX283" s="207" t="n"/>
      <c r="BY283" s="204" t="n"/>
      <c r="BZ283" s="148" t="n"/>
      <c r="CA283" s="204" t="n"/>
      <c r="CB283" s="208" t="n"/>
      <c r="CC283" s="139" t="n"/>
      <c r="CD283" s="204" t="n"/>
      <c r="CE283" s="204" t="n"/>
      <c r="CF283" s="207" t="n"/>
      <c r="CG283" s="208" t="n"/>
      <c r="CH283" s="207" t="n"/>
      <c r="CI283" s="208" t="n"/>
      <c r="CJ283" s="204" t="n"/>
      <c r="CK283" s="208" t="n"/>
      <c r="CL283" s="208" t="n"/>
      <c r="CM283" s="208" t="n"/>
      <c r="CN283" s="78" t="n"/>
      <c r="CO283" s="209" t="n"/>
      <c r="CP283" s="204" t="n"/>
      <c r="CQ283" s="204" t="n"/>
      <c r="CR283" s="204" t="n"/>
      <c r="CS283" s="204" t="n"/>
      <c r="CT283" s="204" t="n"/>
      <c r="CU283" s="204" t="n"/>
      <c r="CV283" s="204" t="n"/>
      <c r="CW283" s="204" t="n"/>
      <c r="CX283" s="190" t="n"/>
    </row>
    <row r="284">
      <c r="BF284" s="78" t="n"/>
      <c r="BG284" s="78" t="n"/>
      <c r="BH284" s="78" t="n"/>
      <c r="BI284" s="78" t="n"/>
      <c r="BJ284" s="139" t="n"/>
      <c r="BK284" s="204" t="n"/>
      <c r="BL284" s="141" t="n"/>
      <c r="BM284" s="205" t="n"/>
      <c r="BN284" s="205" t="n"/>
      <c r="BO284" s="206" t="n"/>
      <c r="BP284" s="144" t="n"/>
      <c r="BQ284" s="141" t="n"/>
      <c r="BR284" s="207" t="n"/>
      <c r="BS284" s="207" t="n"/>
      <c r="BT284" s="207" t="n"/>
      <c r="BU284" s="207" t="n"/>
      <c r="BV284" s="208" t="n"/>
      <c r="BW284" s="207" t="n"/>
      <c r="BX284" s="207" t="n"/>
      <c r="BY284" s="204" t="n"/>
      <c r="BZ284" s="148" t="n"/>
      <c r="CA284" s="204" t="n"/>
      <c r="CB284" s="208" t="n"/>
      <c r="CC284" s="139" t="n"/>
      <c r="CD284" s="204" t="n"/>
      <c r="CE284" s="204" t="n"/>
      <c r="CF284" s="207" t="n"/>
      <c r="CG284" s="208" t="n"/>
      <c r="CH284" s="207" t="n"/>
      <c r="CI284" s="208" t="n"/>
      <c r="CJ284" s="204" t="n"/>
      <c r="CK284" s="208" t="n"/>
      <c r="CL284" s="208" t="n"/>
      <c r="CM284" s="208" t="n"/>
      <c r="CN284" s="78" t="n"/>
      <c r="CO284" s="209" t="n"/>
      <c r="CP284" s="204" t="n"/>
      <c r="CQ284" s="204" t="n"/>
      <c r="CR284" s="204" t="n"/>
      <c r="CS284" s="204" t="n"/>
      <c r="CT284" s="204" t="n"/>
      <c r="CU284" s="204" t="n"/>
      <c r="CV284" s="204" t="n"/>
      <c r="CW284" s="204" t="n"/>
      <c r="CX284" s="190" t="n"/>
    </row>
    <row r="285">
      <c r="BF285" s="78" t="n"/>
      <c r="BG285" s="78" t="n"/>
      <c r="BH285" s="78" t="n"/>
      <c r="BI285" s="78" t="n"/>
      <c r="BJ285" s="139" t="n"/>
      <c r="BK285" s="204" t="n"/>
      <c r="BL285" s="141" t="n"/>
      <c r="BM285" s="205" t="n"/>
      <c r="BN285" s="205" t="n"/>
      <c r="BO285" s="206" t="n"/>
      <c r="BP285" s="144" t="n"/>
      <c r="BQ285" s="141" t="n"/>
      <c r="BR285" s="207" t="n"/>
      <c r="BS285" s="207" t="n"/>
      <c r="BT285" s="207" t="n"/>
      <c r="BU285" s="207" t="n"/>
      <c r="BV285" s="208" t="n"/>
      <c r="BW285" s="207" t="n"/>
      <c r="BX285" s="207" t="n"/>
      <c r="BY285" s="204" t="n"/>
      <c r="BZ285" s="148" t="n"/>
      <c r="CA285" s="204" t="n"/>
      <c r="CB285" s="208" t="n"/>
      <c r="CC285" s="139" t="n"/>
      <c r="CD285" s="204" t="n"/>
      <c r="CE285" s="204" t="n"/>
      <c r="CF285" s="207" t="n"/>
      <c r="CG285" s="208" t="n"/>
      <c r="CH285" s="207" t="n"/>
      <c r="CI285" s="208" t="n"/>
      <c r="CJ285" s="204" t="n"/>
      <c r="CK285" s="208" t="n"/>
      <c r="CL285" s="208" t="n"/>
      <c r="CM285" s="208" t="n"/>
      <c r="CN285" s="78" t="n"/>
      <c r="CO285" s="209" t="n"/>
      <c r="CP285" s="204" t="n"/>
      <c r="CQ285" s="204" t="n"/>
      <c r="CR285" s="204" t="n"/>
      <c r="CS285" s="204" t="n"/>
      <c r="CT285" s="204" t="n"/>
      <c r="CU285" s="204" t="n"/>
      <c r="CV285" s="204" t="n"/>
      <c r="CW285" s="204" t="n"/>
      <c r="CX285" s="190" t="n"/>
    </row>
    <row r="286">
      <c r="BF286" s="78" t="n"/>
      <c r="BG286" s="78" t="n"/>
      <c r="BH286" s="78" t="n"/>
      <c r="BI286" s="78" t="n"/>
      <c r="BJ286" s="139" t="n"/>
      <c r="BK286" s="204" t="n"/>
      <c r="BL286" s="141" t="n"/>
      <c r="BM286" s="205" t="n"/>
      <c r="BN286" s="205" t="n"/>
      <c r="BO286" s="206" t="n"/>
      <c r="BP286" s="144" t="n"/>
      <c r="BQ286" s="141" t="n"/>
      <c r="BR286" s="207" t="n"/>
      <c r="BS286" s="207" t="n"/>
      <c r="BT286" s="207" t="n"/>
      <c r="BU286" s="207" t="n"/>
      <c r="BV286" s="208" t="n"/>
      <c r="BW286" s="207" t="n"/>
      <c r="BX286" s="207" t="n"/>
      <c r="BY286" s="204" t="n"/>
      <c r="BZ286" s="148" t="n"/>
      <c r="CA286" s="204" t="n"/>
      <c r="CB286" s="208" t="n"/>
      <c r="CC286" s="139" t="n"/>
      <c r="CD286" s="204" t="n"/>
      <c r="CE286" s="204" t="n"/>
      <c r="CF286" s="207" t="n"/>
      <c r="CG286" s="208" t="n"/>
      <c r="CH286" s="207" t="n"/>
      <c r="CI286" s="208" t="n"/>
      <c r="CJ286" s="204" t="n"/>
      <c r="CK286" s="208" t="n"/>
      <c r="CL286" s="208" t="n"/>
      <c r="CM286" s="208" t="n"/>
      <c r="CN286" s="78" t="n"/>
      <c r="CO286" s="209" t="n"/>
      <c r="CP286" s="204" t="n"/>
      <c r="CQ286" s="204" t="n"/>
      <c r="CR286" s="204" t="n"/>
      <c r="CS286" s="204" t="n"/>
      <c r="CT286" s="204" t="n"/>
      <c r="CU286" s="204" t="n"/>
      <c r="CV286" s="204" t="n"/>
      <c r="CW286" s="204" t="n"/>
      <c r="CX286" s="190" t="n"/>
    </row>
    <row r="287">
      <c r="BF287" s="78" t="n"/>
      <c r="BG287" s="78" t="n"/>
      <c r="BH287" s="78" t="n"/>
      <c r="BI287" s="78" t="n"/>
      <c r="BJ287" s="139" t="n"/>
      <c r="BK287" s="204" t="n"/>
      <c r="BL287" s="141" t="n"/>
      <c r="BM287" s="205" t="n"/>
      <c r="BN287" s="205" t="n"/>
      <c r="BO287" s="206" t="n"/>
      <c r="BP287" s="144" t="n"/>
      <c r="BQ287" s="141" t="n"/>
      <c r="BR287" s="207" t="n"/>
      <c r="BS287" s="207" t="n"/>
      <c r="BT287" s="207" t="n"/>
      <c r="BU287" s="207" t="n"/>
      <c r="BV287" s="208" t="n"/>
      <c r="BW287" s="207" t="n"/>
      <c r="BX287" s="207" t="n"/>
      <c r="BY287" s="204" t="n"/>
      <c r="BZ287" s="148" t="n"/>
      <c r="CA287" s="204" t="n"/>
      <c r="CB287" s="208" t="n"/>
      <c r="CC287" s="139" t="n"/>
      <c r="CD287" s="204" t="n"/>
      <c r="CE287" s="204" t="n"/>
      <c r="CF287" s="207" t="n"/>
      <c r="CG287" s="208" t="n"/>
      <c r="CH287" s="207" t="n"/>
      <c r="CI287" s="208" t="n"/>
      <c r="CJ287" s="204" t="n"/>
      <c r="CK287" s="208" t="n"/>
      <c r="CL287" s="208" t="n"/>
      <c r="CM287" s="208" t="n"/>
      <c r="CN287" s="78" t="n"/>
      <c r="CO287" s="209" t="n"/>
      <c r="CP287" s="204" t="n"/>
      <c r="CQ287" s="204" t="n"/>
      <c r="CR287" s="204" t="n"/>
      <c r="CS287" s="204" t="n"/>
      <c r="CT287" s="204" t="n"/>
      <c r="CU287" s="204" t="n"/>
      <c r="CV287" s="204" t="n"/>
      <c r="CW287" s="204" t="n"/>
      <c r="CX287" s="190" t="n"/>
    </row>
    <row r="288">
      <c r="BF288" s="78" t="n"/>
      <c r="BG288" s="78" t="n"/>
      <c r="BH288" s="78" t="n"/>
      <c r="BI288" s="78" t="n"/>
      <c r="BJ288" s="139" t="n"/>
      <c r="BK288" s="204" t="n"/>
      <c r="BL288" s="141" t="n"/>
      <c r="BM288" s="205" t="n"/>
      <c r="BN288" s="205" t="n"/>
      <c r="BO288" s="206" t="n"/>
      <c r="BP288" s="144" t="n"/>
      <c r="BQ288" s="141" t="n"/>
      <c r="BR288" s="207" t="n"/>
      <c r="BS288" s="207" t="n"/>
      <c r="BT288" s="207" t="n"/>
      <c r="BU288" s="207" t="n"/>
      <c r="BV288" s="208" t="n"/>
      <c r="BW288" s="207" t="n"/>
      <c r="BX288" s="207" t="n"/>
      <c r="BY288" s="204" t="n"/>
      <c r="BZ288" s="148" t="n"/>
      <c r="CA288" s="204" t="n"/>
      <c r="CB288" s="208" t="n"/>
      <c r="CC288" s="139" t="n"/>
      <c r="CD288" s="204" t="n"/>
      <c r="CE288" s="204" t="n"/>
      <c r="CF288" s="207" t="n"/>
      <c r="CG288" s="208" t="n"/>
      <c r="CH288" s="207" t="n"/>
      <c r="CI288" s="208" t="n"/>
      <c r="CJ288" s="204" t="n"/>
      <c r="CK288" s="208" t="n"/>
      <c r="CL288" s="208" t="n"/>
      <c r="CM288" s="208" t="n"/>
      <c r="CN288" s="78" t="n"/>
      <c r="CO288" s="209" t="n"/>
      <c r="CP288" s="204" t="n"/>
      <c r="CQ288" s="204" t="n"/>
      <c r="CR288" s="204" t="n"/>
      <c r="CS288" s="204" t="n"/>
      <c r="CT288" s="204" t="n"/>
      <c r="CU288" s="204" t="n"/>
      <c r="CV288" s="204" t="n"/>
      <c r="CW288" s="204" t="n"/>
      <c r="CX288" s="190" t="n"/>
    </row>
    <row r="289">
      <c r="BF289" s="78" t="n"/>
      <c r="BG289" s="78" t="n"/>
      <c r="BH289" s="78" t="n"/>
      <c r="BI289" s="78" t="n"/>
      <c r="BJ289" s="139" t="n"/>
      <c r="BK289" s="204" t="n"/>
      <c r="BL289" s="141" t="n"/>
      <c r="BM289" s="205" t="n"/>
      <c r="BN289" s="205" t="n"/>
      <c r="BO289" s="206" t="n"/>
      <c r="BP289" s="144" t="n"/>
      <c r="BQ289" s="141" t="n"/>
      <c r="BR289" s="207" t="n"/>
      <c r="BS289" s="207" t="n"/>
      <c r="BT289" s="207" t="n"/>
      <c r="BU289" s="207" t="n"/>
      <c r="BV289" s="208" t="n"/>
      <c r="BW289" s="207" t="n"/>
      <c r="BX289" s="207" t="n"/>
      <c r="BY289" s="204" t="n"/>
      <c r="BZ289" s="148" t="n"/>
      <c r="CA289" s="204" t="n"/>
      <c r="CB289" s="208" t="n"/>
      <c r="CC289" s="139" t="n"/>
      <c r="CD289" s="204" t="n"/>
      <c r="CE289" s="204" t="n"/>
      <c r="CF289" s="207" t="n"/>
      <c r="CG289" s="208" t="n"/>
      <c r="CH289" s="207" t="n"/>
      <c r="CI289" s="208" t="n"/>
      <c r="CJ289" s="204" t="n"/>
      <c r="CK289" s="208" t="n"/>
      <c r="CL289" s="208" t="n"/>
      <c r="CM289" s="208" t="n"/>
      <c r="CN289" s="78" t="n"/>
      <c r="CO289" s="209" t="n"/>
      <c r="CP289" s="204" t="n"/>
      <c r="CQ289" s="204" t="n"/>
      <c r="CR289" s="204" t="n"/>
      <c r="CS289" s="204" t="n"/>
      <c r="CT289" s="204" t="n"/>
      <c r="CU289" s="204" t="n"/>
      <c r="CV289" s="204" t="n"/>
      <c r="CW289" s="204" t="n"/>
      <c r="CX289" s="190" t="n"/>
    </row>
    <row r="290">
      <c r="BF290" s="78" t="n"/>
      <c r="BG290" s="78" t="n"/>
      <c r="BH290" s="78" t="n"/>
      <c r="BI290" s="78" t="n"/>
      <c r="BJ290" s="139" t="n"/>
      <c r="BK290" s="204" t="n"/>
      <c r="BL290" s="141" t="n"/>
      <c r="BM290" s="205" t="n"/>
      <c r="BN290" s="205" t="n"/>
      <c r="BO290" s="206" t="n"/>
      <c r="BP290" s="144" t="n"/>
      <c r="BQ290" s="141" t="n"/>
      <c r="BR290" s="207" t="n"/>
      <c r="BS290" s="207" t="n"/>
      <c r="BT290" s="207" t="n"/>
      <c r="BU290" s="207" t="n"/>
      <c r="BV290" s="208" t="n"/>
      <c r="BW290" s="207" t="n"/>
      <c r="BX290" s="207" t="n"/>
      <c r="BY290" s="204" t="n"/>
      <c r="BZ290" s="148" t="n"/>
      <c r="CA290" s="204" t="n"/>
      <c r="CB290" s="208" t="n"/>
      <c r="CC290" s="139" t="n"/>
      <c r="CD290" s="204" t="n"/>
      <c r="CE290" s="204" t="n"/>
      <c r="CF290" s="207" t="n"/>
      <c r="CG290" s="208" t="n"/>
      <c r="CH290" s="207" t="n"/>
      <c r="CI290" s="208" t="n"/>
      <c r="CJ290" s="204" t="n"/>
      <c r="CK290" s="208" t="n"/>
      <c r="CL290" s="208" t="n"/>
      <c r="CM290" s="208" t="n"/>
      <c r="CN290" s="78" t="n"/>
      <c r="CO290" s="209" t="n"/>
      <c r="CP290" s="204" t="n"/>
      <c r="CQ290" s="204" t="n"/>
      <c r="CR290" s="204" t="n"/>
      <c r="CS290" s="204" t="n"/>
      <c r="CT290" s="204" t="n"/>
      <c r="CU290" s="204" t="n"/>
      <c r="CV290" s="204" t="n"/>
      <c r="CW290" s="204" t="n"/>
      <c r="CX290" s="190" t="n"/>
    </row>
    <row r="291">
      <c r="BF291" s="78" t="n"/>
      <c r="BG291" s="78" t="n"/>
      <c r="BH291" s="78" t="n"/>
      <c r="BI291" s="78" t="n"/>
      <c r="BJ291" s="139" t="n"/>
      <c r="BK291" s="204" t="n"/>
      <c r="BL291" s="141" t="n"/>
      <c r="BM291" s="205" t="n"/>
      <c r="BN291" s="205" t="n"/>
      <c r="BO291" s="206" t="n"/>
      <c r="BP291" s="144" t="n"/>
      <c r="BQ291" s="141" t="n"/>
      <c r="BR291" s="207" t="n"/>
      <c r="BS291" s="207" t="n"/>
      <c r="BT291" s="207" t="n"/>
      <c r="BU291" s="207" t="n"/>
      <c r="BV291" s="208" t="n"/>
      <c r="BW291" s="207" t="n"/>
      <c r="BX291" s="207" t="n"/>
      <c r="BY291" s="204" t="n"/>
      <c r="BZ291" s="148" t="n"/>
      <c r="CA291" s="204" t="n"/>
      <c r="CB291" s="208" t="n"/>
      <c r="CC291" s="139" t="n"/>
      <c r="CD291" s="204" t="n"/>
      <c r="CE291" s="204" t="n"/>
      <c r="CF291" s="207" t="n"/>
      <c r="CG291" s="208" t="n"/>
      <c r="CH291" s="207" t="n"/>
      <c r="CI291" s="208" t="n"/>
      <c r="CJ291" s="204" t="n"/>
      <c r="CK291" s="208" t="n"/>
      <c r="CL291" s="208" t="n"/>
      <c r="CM291" s="208" t="n"/>
      <c r="CN291" s="78" t="n"/>
      <c r="CO291" s="209" t="n"/>
      <c r="CP291" s="204" t="n"/>
      <c r="CQ291" s="204" t="n"/>
      <c r="CR291" s="204" t="n"/>
      <c r="CS291" s="204" t="n"/>
      <c r="CT291" s="204" t="n"/>
      <c r="CU291" s="204" t="n"/>
      <c r="CV291" s="204" t="n"/>
      <c r="CW291" s="204" t="n"/>
      <c r="CX291" s="190" t="n"/>
    </row>
    <row r="292">
      <c r="BF292" s="78" t="n"/>
      <c r="BG292" s="78" t="n"/>
      <c r="BH292" s="78" t="n"/>
      <c r="BI292" s="78" t="n"/>
      <c r="BJ292" s="139" t="n"/>
      <c r="BK292" s="204" t="n"/>
      <c r="BL292" s="141" t="n"/>
      <c r="BM292" s="205" t="n"/>
      <c r="BN292" s="205" t="n"/>
      <c r="BO292" s="206" t="n"/>
      <c r="BP292" s="144" t="n"/>
      <c r="BQ292" s="141" t="n"/>
      <c r="BR292" s="207" t="n"/>
      <c r="BS292" s="207" t="n"/>
      <c r="BT292" s="207" t="n"/>
      <c r="BU292" s="207" t="n"/>
      <c r="BV292" s="208" t="n"/>
      <c r="BW292" s="207" t="n"/>
      <c r="BX292" s="207" t="n"/>
      <c r="BY292" s="204" t="n"/>
      <c r="BZ292" s="148" t="n"/>
      <c r="CA292" s="204" t="n"/>
      <c r="CB292" s="208" t="n"/>
      <c r="CC292" s="139" t="n"/>
      <c r="CD292" s="204" t="n"/>
      <c r="CE292" s="204" t="n"/>
      <c r="CF292" s="207" t="n"/>
      <c r="CG292" s="208" t="n"/>
      <c r="CH292" s="207" t="n"/>
      <c r="CI292" s="208" t="n"/>
      <c r="CJ292" s="204" t="n"/>
      <c r="CK292" s="208" t="n"/>
      <c r="CL292" s="208" t="n"/>
      <c r="CM292" s="208" t="n"/>
      <c r="CN292" s="78" t="n"/>
      <c r="CO292" s="209" t="n"/>
      <c r="CP292" s="204" t="n"/>
      <c r="CQ292" s="204" t="n"/>
      <c r="CR292" s="204" t="n"/>
      <c r="CS292" s="204" t="n"/>
      <c r="CT292" s="204" t="n"/>
      <c r="CU292" s="204" t="n"/>
      <c r="CV292" s="204" t="n"/>
      <c r="CW292" s="204" t="n"/>
      <c r="CX292" s="190" t="n"/>
    </row>
    <row r="293">
      <c r="BF293" s="78" t="n"/>
      <c r="BG293" s="78" t="n"/>
      <c r="BH293" s="78" t="n"/>
      <c r="BI293" s="78" t="n"/>
      <c r="BJ293" s="139" t="n"/>
      <c r="BK293" s="204" t="n"/>
      <c r="BL293" s="141" t="n"/>
      <c r="BM293" s="205" t="n"/>
      <c r="BN293" s="205" t="n"/>
      <c r="BO293" s="206" t="n"/>
      <c r="BP293" s="144" t="n"/>
      <c r="BQ293" s="141" t="n"/>
      <c r="BR293" s="207" t="n"/>
      <c r="BS293" s="207" t="n"/>
      <c r="BT293" s="207" t="n"/>
      <c r="BU293" s="207" t="n"/>
      <c r="BV293" s="208" t="n"/>
      <c r="BW293" s="207" t="n"/>
      <c r="BX293" s="207" t="n"/>
      <c r="BY293" s="204" t="n"/>
      <c r="BZ293" s="148" t="n"/>
      <c r="CA293" s="204" t="n"/>
      <c r="CB293" s="208" t="n"/>
      <c r="CC293" s="139" t="n"/>
      <c r="CD293" s="204" t="n"/>
      <c r="CE293" s="204" t="n"/>
      <c r="CF293" s="207" t="n"/>
      <c r="CG293" s="208" t="n"/>
      <c r="CH293" s="207" t="n"/>
      <c r="CI293" s="208" t="n"/>
      <c r="CJ293" s="204" t="n"/>
      <c r="CK293" s="208" t="n"/>
      <c r="CL293" s="208" t="n"/>
      <c r="CM293" s="208" t="n"/>
      <c r="CN293" s="78" t="n"/>
      <c r="CO293" s="209" t="n"/>
      <c r="CP293" s="204" t="n"/>
      <c r="CQ293" s="204" t="n"/>
      <c r="CR293" s="204" t="n"/>
      <c r="CS293" s="204" t="n"/>
      <c r="CT293" s="204" t="n"/>
      <c r="CU293" s="204" t="n"/>
      <c r="CV293" s="204" t="n"/>
      <c r="CW293" s="204" t="n"/>
      <c r="CX293" s="190" t="n"/>
    </row>
    <row r="294">
      <c r="BF294" s="78" t="n"/>
      <c r="BG294" s="78" t="n"/>
      <c r="BH294" s="78" t="n"/>
      <c r="BI294" s="78" t="n"/>
      <c r="BJ294" s="139" t="n"/>
      <c r="BK294" s="204" t="n"/>
      <c r="BL294" s="141" t="n"/>
      <c r="BM294" s="205" t="n"/>
      <c r="BN294" s="205" t="n"/>
      <c r="BO294" s="206" t="n"/>
      <c r="BP294" s="144" t="n"/>
      <c r="BQ294" s="141" t="n"/>
      <c r="BR294" s="207" t="n"/>
      <c r="BS294" s="207" t="n"/>
      <c r="BT294" s="207" t="n"/>
      <c r="BU294" s="207" t="n"/>
      <c r="BV294" s="208" t="n"/>
      <c r="BW294" s="207" t="n"/>
      <c r="BX294" s="207" t="n"/>
      <c r="BY294" s="204" t="n"/>
      <c r="BZ294" s="148" t="n"/>
      <c r="CA294" s="204" t="n"/>
      <c r="CB294" s="208" t="n"/>
      <c r="CC294" s="139" t="n"/>
      <c r="CD294" s="204" t="n"/>
      <c r="CE294" s="204" t="n"/>
      <c r="CF294" s="207" t="n"/>
      <c r="CG294" s="208" t="n"/>
      <c r="CH294" s="207" t="n"/>
      <c r="CI294" s="208" t="n"/>
      <c r="CJ294" s="204" t="n"/>
      <c r="CK294" s="208" t="n"/>
      <c r="CL294" s="208" t="n"/>
      <c r="CM294" s="208" t="n"/>
      <c r="CN294" s="78" t="n"/>
      <c r="CO294" s="209" t="n"/>
      <c r="CP294" s="204" t="n"/>
      <c r="CQ294" s="204" t="n"/>
      <c r="CR294" s="204" t="n"/>
      <c r="CS294" s="204" t="n"/>
      <c r="CT294" s="204" t="n"/>
      <c r="CU294" s="204" t="n"/>
      <c r="CV294" s="204" t="n"/>
      <c r="CW294" s="204" t="n"/>
      <c r="CX294" s="190" t="n"/>
    </row>
    <row r="295">
      <c r="BF295" s="78" t="n"/>
      <c r="BG295" s="78" t="n"/>
      <c r="BH295" s="78" t="n"/>
      <c r="BI295" s="78" t="n"/>
      <c r="BJ295" s="139" t="n"/>
      <c r="BK295" s="204" t="n"/>
      <c r="BL295" s="141" t="n"/>
      <c r="BM295" s="205" t="n"/>
      <c r="BN295" s="205" t="n"/>
      <c r="BO295" s="206" t="n"/>
      <c r="BP295" s="144" t="n"/>
      <c r="BQ295" s="141" t="n"/>
      <c r="BR295" s="207" t="n"/>
      <c r="BS295" s="207" t="n"/>
      <c r="BT295" s="207" t="n"/>
      <c r="BU295" s="207" t="n"/>
      <c r="BV295" s="208" t="n"/>
      <c r="BW295" s="207" t="n"/>
      <c r="BX295" s="207" t="n"/>
      <c r="BY295" s="204" t="n"/>
      <c r="BZ295" s="148" t="n"/>
      <c r="CA295" s="204" t="n"/>
      <c r="CB295" s="208" t="n"/>
      <c r="CC295" s="139" t="n"/>
      <c r="CD295" s="204" t="n"/>
      <c r="CE295" s="204" t="n"/>
      <c r="CF295" s="207" t="n"/>
      <c r="CG295" s="208" t="n"/>
      <c r="CH295" s="207" t="n"/>
      <c r="CI295" s="208" t="n"/>
      <c r="CJ295" s="204" t="n"/>
      <c r="CK295" s="208" t="n"/>
      <c r="CL295" s="208" t="n"/>
      <c r="CM295" s="208" t="n"/>
      <c r="CN295" s="78" t="n"/>
      <c r="CO295" s="209" t="n"/>
      <c r="CP295" s="204" t="n"/>
      <c r="CQ295" s="204" t="n"/>
      <c r="CR295" s="204" t="n"/>
      <c r="CS295" s="204" t="n"/>
      <c r="CT295" s="204" t="n"/>
      <c r="CU295" s="204" t="n"/>
      <c r="CV295" s="204" t="n"/>
      <c r="CW295" s="204" t="n"/>
      <c r="CX295" s="190" t="n"/>
    </row>
    <row r="296">
      <c r="BF296" s="78" t="n"/>
      <c r="BG296" s="78" t="n"/>
      <c r="BH296" s="78" t="n"/>
      <c r="BI296" s="78" t="n"/>
      <c r="BJ296" s="139" t="n"/>
      <c r="BK296" s="204" t="n"/>
      <c r="BL296" s="141" t="n"/>
      <c r="BM296" s="205" t="n"/>
      <c r="BN296" s="205" t="n"/>
      <c r="BO296" s="206" t="n"/>
      <c r="BP296" s="144" t="n"/>
      <c r="BQ296" s="141" t="n"/>
      <c r="BR296" s="207" t="n"/>
      <c r="BS296" s="207" t="n"/>
      <c r="BT296" s="207" t="n"/>
      <c r="BU296" s="207" t="n"/>
      <c r="BV296" s="208" t="n"/>
      <c r="BW296" s="207" t="n"/>
      <c r="BX296" s="207" t="n"/>
      <c r="BY296" s="204" t="n"/>
      <c r="BZ296" s="148" t="n"/>
      <c r="CA296" s="204" t="n"/>
      <c r="CB296" s="208" t="n"/>
      <c r="CC296" s="139" t="n"/>
      <c r="CD296" s="204" t="n"/>
      <c r="CE296" s="204" t="n"/>
      <c r="CF296" s="207" t="n"/>
      <c r="CG296" s="208" t="n"/>
      <c r="CH296" s="207" t="n"/>
      <c r="CI296" s="208" t="n"/>
      <c r="CJ296" s="204" t="n"/>
      <c r="CK296" s="208" t="n"/>
      <c r="CL296" s="208" t="n"/>
      <c r="CM296" s="208" t="n"/>
      <c r="CN296" s="78" t="n"/>
      <c r="CO296" s="209" t="n"/>
      <c r="CP296" s="204" t="n"/>
      <c r="CQ296" s="204" t="n"/>
      <c r="CR296" s="204" t="n"/>
      <c r="CS296" s="204" t="n"/>
      <c r="CT296" s="204" t="n"/>
      <c r="CU296" s="204" t="n"/>
      <c r="CV296" s="204" t="n"/>
      <c r="CW296" s="204" t="n"/>
      <c r="CX296" s="190" t="n"/>
    </row>
    <row r="297">
      <c r="BF297" s="78" t="n"/>
      <c r="BG297" s="78" t="n"/>
      <c r="BH297" s="78" t="n"/>
      <c r="BI297" s="78" t="n"/>
      <c r="BJ297" s="139" t="n"/>
      <c r="BK297" s="204" t="n"/>
      <c r="BL297" s="141" t="n"/>
      <c r="BM297" s="205" t="n"/>
      <c r="BN297" s="205" t="n"/>
      <c r="BO297" s="206" t="n"/>
      <c r="BP297" s="144" t="n"/>
      <c r="BQ297" s="141" t="n"/>
      <c r="BR297" s="207" t="n"/>
      <c r="BS297" s="207" t="n"/>
      <c r="BT297" s="207" t="n"/>
      <c r="BU297" s="207" t="n"/>
      <c r="BV297" s="208" t="n"/>
      <c r="BW297" s="207" t="n"/>
      <c r="BX297" s="207" t="n"/>
      <c r="BY297" s="204" t="n"/>
      <c r="BZ297" s="148" t="n"/>
      <c r="CA297" s="204" t="n"/>
      <c r="CB297" s="208" t="n"/>
      <c r="CC297" s="139" t="n"/>
      <c r="CD297" s="204" t="n"/>
      <c r="CE297" s="204" t="n"/>
      <c r="CF297" s="207" t="n"/>
      <c r="CG297" s="208" t="n"/>
      <c r="CH297" s="207" t="n"/>
      <c r="CI297" s="208" t="n"/>
      <c r="CJ297" s="204" t="n"/>
      <c r="CK297" s="208" t="n"/>
      <c r="CL297" s="208" t="n"/>
      <c r="CM297" s="208" t="n"/>
      <c r="CN297" s="78" t="n"/>
      <c r="CO297" s="209" t="n"/>
      <c r="CP297" s="204" t="n"/>
      <c r="CQ297" s="204" t="n"/>
      <c r="CR297" s="204" t="n"/>
      <c r="CS297" s="204" t="n"/>
      <c r="CT297" s="204" t="n"/>
      <c r="CU297" s="204" t="n"/>
      <c r="CV297" s="204" t="n"/>
      <c r="CW297" s="204" t="n"/>
      <c r="CX297" s="190" t="n"/>
    </row>
    <row r="298">
      <c r="BF298" s="78" t="n"/>
      <c r="BG298" s="78" t="n"/>
      <c r="BH298" s="78" t="n"/>
      <c r="BI298" s="78" t="n"/>
      <c r="BJ298" s="139" t="n"/>
      <c r="BK298" s="204" t="n"/>
      <c r="BL298" s="141" t="n"/>
      <c r="BM298" s="205" t="n"/>
      <c r="BN298" s="205" t="n"/>
      <c r="BO298" s="206" t="n"/>
      <c r="BP298" s="144" t="n"/>
      <c r="BQ298" s="141" t="n"/>
      <c r="BR298" s="207" t="n"/>
      <c r="BS298" s="207" t="n"/>
      <c r="BT298" s="207" t="n"/>
      <c r="BU298" s="207" t="n"/>
      <c r="BV298" s="208" t="n"/>
      <c r="BW298" s="207" t="n"/>
      <c r="BX298" s="207" t="n"/>
      <c r="BY298" s="204" t="n"/>
      <c r="BZ298" s="148" t="n"/>
      <c r="CA298" s="204" t="n"/>
      <c r="CB298" s="208" t="n"/>
      <c r="CC298" s="139" t="n"/>
      <c r="CD298" s="204" t="n"/>
      <c r="CE298" s="204" t="n"/>
      <c r="CF298" s="207" t="n"/>
      <c r="CG298" s="208" t="n"/>
      <c r="CH298" s="207" t="n"/>
      <c r="CI298" s="208" t="n"/>
      <c r="CJ298" s="204" t="n"/>
      <c r="CK298" s="208" t="n"/>
      <c r="CL298" s="208" t="n"/>
      <c r="CM298" s="208" t="n"/>
      <c r="CN298" s="78" t="n"/>
      <c r="CO298" s="209" t="n"/>
      <c r="CP298" s="204" t="n"/>
      <c r="CQ298" s="204" t="n"/>
      <c r="CR298" s="204" t="n"/>
      <c r="CS298" s="204" t="n"/>
      <c r="CT298" s="204" t="n"/>
      <c r="CU298" s="204" t="n"/>
      <c r="CV298" s="204" t="n"/>
      <c r="CW298" s="204" t="n"/>
      <c r="CX298" s="190" t="n"/>
    </row>
    <row r="299">
      <c r="BF299" s="78" t="n"/>
      <c r="BG299" s="78" t="n"/>
      <c r="BH299" s="78" t="n"/>
      <c r="BI299" s="78" t="n"/>
      <c r="BJ299" s="139" t="n"/>
      <c r="BK299" s="204" t="n"/>
      <c r="BL299" s="141" t="n"/>
      <c r="BM299" s="205" t="n"/>
      <c r="BN299" s="205" t="n"/>
      <c r="BO299" s="206" t="n"/>
      <c r="BP299" s="144" t="n"/>
      <c r="BQ299" s="141" t="n"/>
      <c r="BR299" s="207" t="n"/>
      <c r="BS299" s="207" t="n"/>
      <c r="BT299" s="207" t="n"/>
      <c r="BU299" s="207" t="n"/>
      <c r="BV299" s="208" t="n"/>
      <c r="BW299" s="207" t="n"/>
      <c r="BX299" s="207" t="n"/>
      <c r="BY299" s="204" t="n"/>
      <c r="BZ299" s="148" t="n"/>
      <c r="CA299" s="204" t="n"/>
      <c r="CB299" s="208" t="n"/>
      <c r="CC299" s="139" t="n"/>
      <c r="CD299" s="204" t="n"/>
      <c r="CE299" s="204" t="n"/>
      <c r="CF299" s="207" t="n"/>
      <c r="CG299" s="208" t="n"/>
      <c r="CH299" s="207" t="n"/>
      <c r="CI299" s="208" t="n"/>
      <c r="CJ299" s="204" t="n"/>
      <c r="CK299" s="208" t="n"/>
      <c r="CL299" s="208" t="n"/>
      <c r="CM299" s="208" t="n"/>
      <c r="CN299" s="78" t="n"/>
      <c r="CO299" s="209" t="n"/>
      <c r="CP299" s="204" t="n"/>
      <c r="CQ299" s="204" t="n"/>
      <c r="CR299" s="204" t="n"/>
      <c r="CS299" s="204" t="n"/>
      <c r="CT299" s="204" t="n"/>
      <c r="CU299" s="204" t="n"/>
      <c r="CV299" s="204" t="n"/>
      <c r="CW299" s="204" t="n"/>
      <c r="CX299" s="190" t="n"/>
    </row>
    <row r="300">
      <c r="BF300" s="78" t="n"/>
      <c r="BG300" s="78" t="n"/>
      <c r="BH300" s="78" t="n"/>
      <c r="BI300" s="78" t="n"/>
      <c r="BJ300" s="139" t="n"/>
      <c r="BK300" s="204" t="n"/>
      <c r="BL300" s="141" t="n"/>
      <c r="BM300" s="205" t="n"/>
      <c r="BN300" s="205" t="n"/>
      <c r="BO300" s="206" t="n"/>
      <c r="BP300" s="144" t="n"/>
      <c r="BQ300" s="141" t="n"/>
      <c r="BR300" s="207" t="n"/>
      <c r="BS300" s="207" t="n"/>
      <c r="BT300" s="207" t="n"/>
      <c r="BU300" s="207" t="n"/>
      <c r="BV300" s="208" t="n"/>
      <c r="BW300" s="207" t="n"/>
      <c r="BX300" s="207" t="n"/>
      <c r="BY300" s="204" t="n"/>
      <c r="BZ300" s="148" t="n"/>
      <c r="CA300" s="204" t="n"/>
      <c r="CB300" s="208" t="n"/>
      <c r="CC300" s="139" t="n"/>
      <c r="CD300" s="204" t="n"/>
      <c r="CE300" s="204" t="n"/>
      <c r="CF300" s="207" t="n"/>
      <c r="CG300" s="208" t="n"/>
      <c r="CH300" s="207" t="n"/>
      <c r="CI300" s="208" t="n"/>
      <c r="CJ300" s="204" t="n"/>
      <c r="CK300" s="208" t="n"/>
      <c r="CL300" s="208" t="n"/>
      <c r="CM300" s="208" t="n"/>
      <c r="CN300" s="78" t="n"/>
      <c r="CO300" s="209" t="n"/>
      <c r="CP300" s="204" t="n"/>
      <c r="CQ300" s="204" t="n"/>
      <c r="CR300" s="204" t="n"/>
      <c r="CS300" s="204" t="n"/>
      <c r="CT300" s="204" t="n"/>
      <c r="CU300" s="204" t="n"/>
      <c r="CV300" s="204" t="n"/>
      <c r="CW300" s="204" t="n"/>
      <c r="CX300" s="190" t="n"/>
    </row>
    <row r="301">
      <c r="BF301" s="78" t="n"/>
      <c r="BG301" s="78" t="n"/>
      <c r="BH301" s="78" t="n"/>
      <c r="BI301" s="78" t="n"/>
      <c r="BJ301" s="139" t="n"/>
      <c r="BK301" s="204" t="n"/>
      <c r="BL301" s="141" t="n"/>
      <c r="BM301" s="205" t="n"/>
      <c r="BN301" s="205" t="n"/>
      <c r="BO301" s="206" t="n"/>
      <c r="BP301" s="144" t="n"/>
      <c r="BQ301" s="141" t="n"/>
      <c r="BR301" s="207" t="n"/>
      <c r="BS301" s="207" t="n"/>
      <c r="BT301" s="207" t="n"/>
      <c r="BU301" s="207" t="n"/>
      <c r="BV301" s="208" t="n"/>
      <c r="BW301" s="207" t="n"/>
      <c r="BX301" s="207" t="n"/>
      <c r="BY301" s="204" t="n"/>
      <c r="BZ301" s="148" t="n"/>
      <c r="CA301" s="204" t="n"/>
      <c r="CB301" s="208" t="n"/>
      <c r="CC301" s="139" t="n"/>
      <c r="CD301" s="204" t="n"/>
      <c r="CE301" s="204" t="n"/>
      <c r="CF301" s="207" t="n"/>
      <c r="CG301" s="208" t="n"/>
      <c r="CH301" s="207" t="n"/>
      <c r="CI301" s="208" t="n"/>
      <c r="CJ301" s="204" t="n"/>
      <c r="CK301" s="208" t="n"/>
      <c r="CL301" s="208" t="n"/>
      <c r="CM301" s="208" t="n"/>
      <c r="CN301" s="78" t="n"/>
      <c r="CO301" s="209" t="n"/>
      <c r="CP301" s="204" t="n"/>
      <c r="CQ301" s="204" t="n"/>
      <c r="CR301" s="204" t="n"/>
      <c r="CS301" s="204" t="n"/>
      <c r="CT301" s="204" t="n"/>
      <c r="CU301" s="204" t="n"/>
      <c r="CV301" s="204" t="n"/>
      <c r="CW301" s="204" t="n"/>
      <c r="CX301" s="190" t="n"/>
    </row>
    <row r="302">
      <c r="BF302" s="78" t="n"/>
      <c r="BG302" s="78" t="n"/>
      <c r="BH302" s="78" t="n"/>
      <c r="BI302" s="78" t="n"/>
      <c r="BJ302" s="139" t="n"/>
      <c r="BK302" s="204" t="n"/>
      <c r="BL302" s="141" t="n"/>
      <c r="BM302" s="205" t="n"/>
      <c r="BN302" s="205" t="n"/>
      <c r="BO302" s="206" t="n"/>
      <c r="BP302" s="144" t="n"/>
      <c r="BQ302" s="141" t="n"/>
      <c r="BR302" s="207" t="n"/>
      <c r="BS302" s="207" t="n"/>
      <c r="BT302" s="207" t="n"/>
      <c r="BU302" s="207" t="n"/>
      <c r="BV302" s="208" t="n"/>
      <c r="BW302" s="207" t="n"/>
      <c r="BX302" s="207" t="n"/>
      <c r="BY302" s="204" t="n"/>
      <c r="BZ302" s="148" t="n"/>
      <c r="CA302" s="204" t="n"/>
      <c r="CB302" s="208" t="n"/>
      <c r="CC302" s="139" t="n"/>
      <c r="CD302" s="204" t="n"/>
      <c r="CE302" s="204" t="n"/>
      <c r="CF302" s="207" t="n"/>
      <c r="CG302" s="208" t="n"/>
      <c r="CH302" s="207" t="n"/>
      <c r="CI302" s="208" t="n"/>
      <c r="CJ302" s="204" t="n"/>
      <c r="CK302" s="208" t="n"/>
      <c r="CL302" s="208" t="n"/>
      <c r="CM302" s="208" t="n"/>
      <c r="CN302" s="78" t="n"/>
      <c r="CO302" s="209" t="n"/>
      <c r="CP302" s="204" t="n"/>
      <c r="CQ302" s="204" t="n"/>
      <c r="CR302" s="204" t="n"/>
      <c r="CS302" s="204" t="n"/>
      <c r="CT302" s="204" t="n"/>
      <c r="CU302" s="204" t="n"/>
      <c r="CV302" s="204" t="n"/>
      <c r="CW302" s="204" t="n"/>
      <c r="CX302" s="190" t="n"/>
    </row>
    <row r="303">
      <c r="BF303" s="78" t="n"/>
      <c r="BG303" s="78" t="n"/>
      <c r="BH303" s="78" t="n"/>
      <c r="BI303" s="78" t="n"/>
      <c r="BJ303" s="139" t="n"/>
      <c r="BK303" s="204" t="n"/>
      <c r="BL303" s="141" t="n"/>
      <c r="BM303" s="205" t="n"/>
      <c r="BN303" s="205" t="n"/>
      <c r="BO303" s="206" t="n"/>
      <c r="BP303" s="144" t="n"/>
      <c r="BQ303" s="141" t="n"/>
      <c r="BR303" s="207" t="n"/>
      <c r="BS303" s="207" t="n"/>
      <c r="BT303" s="207" t="n"/>
      <c r="BU303" s="207" t="n"/>
      <c r="BV303" s="208" t="n"/>
      <c r="BW303" s="207" t="n"/>
      <c r="BX303" s="207" t="n"/>
      <c r="BY303" s="204" t="n"/>
      <c r="BZ303" s="148" t="n"/>
      <c r="CA303" s="204" t="n"/>
      <c r="CB303" s="208" t="n"/>
      <c r="CC303" s="139" t="n"/>
      <c r="CD303" s="204" t="n"/>
      <c r="CE303" s="204" t="n"/>
      <c r="CF303" s="207" t="n"/>
      <c r="CG303" s="208" t="n"/>
      <c r="CH303" s="207" t="n"/>
      <c r="CI303" s="208" t="n"/>
      <c r="CJ303" s="204" t="n"/>
      <c r="CK303" s="208" t="n"/>
      <c r="CL303" s="208" t="n"/>
      <c r="CM303" s="208" t="n"/>
      <c r="CN303" s="78" t="n"/>
      <c r="CO303" s="209" t="n"/>
      <c r="CP303" s="204" t="n"/>
      <c r="CQ303" s="204" t="n"/>
      <c r="CR303" s="204" t="n"/>
      <c r="CS303" s="204" t="n"/>
      <c r="CT303" s="204" t="n"/>
      <c r="CU303" s="204" t="n"/>
      <c r="CV303" s="204" t="n"/>
      <c r="CW303" s="204" t="n"/>
      <c r="CX303" s="190" t="n"/>
    </row>
    <row r="304">
      <c r="BF304" s="78" t="n"/>
      <c r="BG304" s="78" t="n"/>
      <c r="BH304" s="78" t="n"/>
      <c r="BI304" s="78" t="n"/>
      <c r="BJ304" s="139" t="n"/>
      <c r="BK304" s="204" t="n"/>
      <c r="BL304" s="141" t="n"/>
      <c r="BM304" s="205" t="n"/>
      <c r="BN304" s="205" t="n"/>
      <c r="BO304" s="206" t="n"/>
      <c r="BP304" s="144" t="n"/>
      <c r="BQ304" s="141" t="n"/>
      <c r="BR304" s="207" t="n"/>
      <c r="BS304" s="207" t="n"/>
      <c r="BT304" s="207" t="n"/>
      <c r="BU304" s="207" t="n"/>
      <c r="BV304" s="208" t="n"/>
      <c r="BW304" s="207" t="n"/>
      <c r="BX304" s="207" t="n"/>
      <c r="BY304" s="204" t="n"/>
      <c r="BZ304" s="148" t="n"/>
      <c r="CA304" s="204" t="n"/>
      <c r="CB304" s="208" t="n"/>
      <c r="CC304" s="139" t="n"/>
      <c r="CD304" s="204" t="n"/>
      <c r="CE304" s="204" t="n"/>
      <c r="CF304" s="207" t="n"/>
      <c r="CG304" s="208" t="n"/>
      <c r="CH304" s="207" t="n"/>
      <c r="CI304" s="208" t="n"/>
      <c r="CJ304" s="204" t="n"/>
      <c r="CK304" s="208" t="n"/>
      <c r="CL304" s="208" t="n"/>
      <c r="CM304" s="208" t="n"/>
      <c r="CN304" s="78" t="n"/>
      <c r="CO304" s="209" t="n"/>
      <c r="CP304" s="204" t="n"/>
      <c r="CQ304" s="204" t="n"/>
      <c r="CR304" s="204" t="n"/>
      <c r="CS304" s="204" t="n"/>
      <c r="CT304" s="204" t="n"/>
      <c r="CU304" s="204" t="n"/>
      <c r="CV304" s="204" t="n"/>
      <c r="CW304" s="204" t="n"/>
      <c r="CX304" s="190" t="n"/>
    </row>
    <row r="305">
      <c r="BF305" s="78" t="n"/>
      <c r="BG305" s="78" t="n"/>
      <c r="BH305" s="78" t="n"/>
      <c r="BI305" s="78" t="n"/>
      <c r="BJ305" s="139" t="n"/>
      <c r="BK305" s="204" t="n"/>
      <c r="BL305" s="141" t="n"/>
      <c r="BM305" s="205" t="n"/>
      <c r="BN305" s="205" t="n"/>
      <c r="BO305" s="206" t="n"/>
      <c r="BP305" s="144" t="n"/>
      <c r="BQ305" s="141" t="n"/>
      <c r="BR305" s="207" t="n"/>
      <c r="BS305" s="207" t="n"/>
      <c r="BT305" s="207" t="n"/>
      <c r="BU305" s="207" t="n"/>
      <c r="BV305" s="208" t="n"/>
      <c r="BW305" s="207" t="n"/>
      <c r="BX305" s="207" t="n"/>
      <c r="BY305" s="204" t="n"/>
      <c r="BZ305" s="148" t="n"/>
      <c r="CA305" s="204" t="n"/>
      <c r="CB305" s="208" t="n"/>
      <c r="CC305" s="139" t="n"/>
      <c r="CD305" s="204" t="n"/>
      <c r="CE305" s="204" t="n"/>
      <c r="CF305" s="207" t="n"/>
      <c r="CG305" s="208" t="n"/>
      <c r="CH305" s="207" t="n"/>
      <c r="CI305" s="208" t="n"/>
      <c r="CJ305" s="204" t="n"/>
      <c r="CK305" s="208" t="n"/>
      <c r="CL305" s="208" t="n"/>
      <c r="CM305" s="208" t="n"/>
      <c r="CN305" s="78" t="n"/>
      <c r="CO305" s="209" t="n"/>
      <c r="CP305" s="204" t="n"/>
      <c r="CQ305" s="204" t="n"/>
      <c r="CR305" s="204" t="n"/>
      <c r="CS305" s="204" t="n"/>
      <c r="CT305" s="204" t="n"/>
      <c r="CU305" s="204" t="n"/>
      <c r="CV305" s="204" t="n"/>
      <c r="CW305" s="204" t="n"/>
      <c r="CX305" s="190" t="n"/>
    </row>
    <row r="306">
      <c r="BF306" s="78" t="n"/>
      <c r="BG306" s="78" t="n"/>
      <c r="BH306" s="78" t="n"/>
      <c r="BI306" s="78" t="n"/>
      <c r="BJ306" s="139" t="n"/>
      <c r="BK306" s="204" t="n"/>
      <c r="BL306" s="141" t="n"/>
      <c r="BM306" s="205" t="n"/>
      <c r="BN306" s="205" t="n"/>
      <c r="BO306" s="206" t="n"/>
      <c r="BP306" s="144" t="n"/>
      <c r="BQ306" s="141" t="n"/>
      <c r="BR306" s="207" t="n"/>
      <c r="BS306" s="207" t="n"/>
      <c r="BT306" s="207" t="n"/>
      <c r="BU306" s="207" t="n"/>
      <c r="BV306" s="208" t="n"/>
      <c r="BW306" s="207" t="n"/>
      <c r="BX306" s="207" t="n"/>
      <c r="BY306" s="204" t="n"/>
      <c r="BZ306" s="148" t="n"/>
      <c r="CA306" s="204" t="n"/>
      <c r="CB306" s="208" t="n"/>
      <c r="CC306" s="139" t="n"/>
      <c r="CD306" s="204" t="n"/>
      <c r="CE306" s="204" t="n"/>
      <c r="CF306" s="207" t="n"/>
      <c r="CG306" s="208" t="n"/>
      <c r="CH306" s="207" t="n"/>
      <c r="CI306" s="208" t="n"/>
      <c r="CJ306" s="204" t="n"/>
      <c r="CK306" s="208" t="n"/>
      <c r="CL306" s="208" t="n"/>
      <c r="CM306" s="208" t="n"/>
      <c r="CN306" s="78" t="n"/>
      <c r="CO306" s="209" t="n"/>
      <c r="CP306" s="204" t="n"/>
      <c r="CQ306" s="204" t="n"/>
      <c r="CR306" s="204" t="n"/>
      <c r="CS306" s="204" t="n"/>
      <c r="CT306" s="204" t="n"/>
      <c r="CU306" s="204" t="n"/>
      <c r="CV306" s="204" t="n"/>
      <c r="CW306" s="204" t="n"/>
      <c r="CX306" s="190" t="n"/>
    </row>
    <row r="307">
      <c r="BF307" s="78" t="n"/>
      <c r="BG307" s="78" t="n"/>
      <c r="BH307" s="78" t="n"/>
      <c r="BI307" s="78" t="n"/>
      <c r="BJ307" s="139" t="n"/>
      <c r="BK307" s="204" t="n"/>
      <c r="BL307" s="141" t="n"/>
      <c r="BM307" s="205" t="n"/>
      <c r="BN307" s="205" t="n"/>
      <c r="BO307" s="206" t="n"/>
      <c r="BP307" s="144" t="n"/>
      <c r="BQ307" s="141" t="n"/>
      <c r="BR307" s="207" t="n"/>
      <c r="BS307" s="207" t="n"/>
      <c r="BT307" s="207" t="n"/>
      <c r="BU307" s="207" t="n"/>
      <c r="BV307" s="208" t="n"/>
      <c r="BW307" s="207" t="n"/>
      <c r="BX307" s="207" t="n"/>
      <c r="BY307" s="204" t="n"/>
      <c r="BZ307" s="148" t="n"/>
      <c r="CA307" s="204" t="n"/>
      <c r="CB307" s="208" t="n"/>
      <c r="CC307" s="139" t="n"/>
      <c r="CD307" s="204" t="n"/>
      <c r="CE307" s="204" t="n"/>
      <c r="CF307" s="207" t="n"/>
      <c r="CG307" s="208" t="n"/>
      <c r="CH307" s="207" t="n"/>
      <c r="CI307" s="208" t="n"/>
      <c r="CJ307" s="204" t="n"/>
      <c r="CK307" s="208" t="n"/>
      <c r="CL307" s="208" t="n"/>
      <c r="CM307" s="208" t="n"/>
      <c r="CN307" s="78" t="n"/>
      <c r="CO307" s="209" t="n"/>
      <c r="CP307" s="204" t="n"/>
      <c r="CQ307" s="204" t="n"/>
      <c r="CR307" s="204" t="n"/>
      <c r="CS307" s="204" t="n"/>
      <c r="CT307" s="204" t="n"/>
      <c r="CU307" s="204" t="n"/>
      <c r="CV307" s="204" t="n"/>
      <c r="CW307" s="204" t="n"/>
      <c r="CX307" s="190" t="n"/>
    </row>
    <row r="308">
      <c r="BF308" s="78" t="n"/>
      <c r="BG308" s="78" t="n"/>
      <c r="BH308" s="78" t="n"/>
      <c r="BI308" s="78" t="n"/>
      <c r="BJ308" s="139" t="n"/>
      <c r="BK308" s="204" t="n"/>
      <c r="BL308" s="141" t="n"/>
      <c r="BM308" s="205" t="n"/>
      <c r="BN308" s="205" t="n"/>
      <c r="BO308" s="206" t="n"/>
      <c r="BP308" s="144" t="n"/>
      <c r="BQ308" s="141" t="n"/>
      <c r="BR308" s="207" t="n"/>
      <c r="BS308" s="207" t="n"/>
      <c r="BT308" s="207" t="n"/>
      <c r="BU308" s="207" t="n"/>
      <c r="BV308" s="208" t="n"/>
      <c r="BW308" s="207" t="n"/>
      <c r="BX308" s="207" t="n"/>
      <c r="BY308" s="204" t="n"/>
      <c r="BZ308" s="148" t="n"/>
      <c r="CA308" s="204" t="n"/>
      <c r="CB308" s="208" t="n"/>
      <c r="CC308" s="139" t="n"/>
      <c r="CD308" s="204" t="n"/>
      <c r="CE308" s="204" t="n"/>
      <c r="CF308" s="207" t="n"/>
      <c r="CG308" s="208" t="n"/>
      <c r="CH308" s="207" t="n"/>
      <c r="CI308" s="208" t="n"/>
      <c r="CJ308" s="204" t="n"/>
      <c r="CK308" s="208" t="n"/>
      <c r="CL308" s="208" t="n"/>
      <c r="CM308" s="208" t="n"/>
      <c r="CN308" s="78" t="n"/>
      <c r="CO308" s="209" t="n"/>
      <c r="CP308" s="204" t="n"/>
      <c r="CQ308" s="204" t="n"/>
      <c r="CR308" s="204" t="n"/>
      <c r="CS308" s="204" t="n"/>
      <c r="CT308" s="204" t="n"/>
      <c r="CU308" s="204" t="n"/>
      <c r="CV308" s="204" t="n"/>
      <c r="CW308" s="204" t="n"/>
      <c r="CX308" s="190" t="n"/>
    </row>
    <row r="309">
      <c r="BF309" s="78" t="n"/>
      <c r="BG309" s="78" t="n"/>
      <c r="BH309" s="78" t="n"/>
      <c r="BI309" s="78" t="n"/>
      <c r="BJ309" s="139" t="n"/>
      <c r="BK309" s="204" t="n"/>
      <c r="BL309" s="141" t="n"/>
      <c r="BM309" s="205" t="n"/>
      <c r="BN309" s="205" t="n"/>
      <c r="BO309" s="206" t="n"/>
      <c r="BP309" s="144" t="n"/>
      <c r="BQ309" s="141" t="n"/>
      <c r="BR309" s="207" t="n"/>
      <c r="BS309" s="207" t="n"/>
      <c r="BT309" s="207" t="n"/>
      <c r="BU309" s="207" t="n"/>
      <c r="BV309" s="208" t="n"/>
      <c r="BW309" s="207" t="n"/>
      <c r="BX309" s="207" t="n"/>
      <c r="BY309" s="204" t="n"/>
      <c r="BZ309" s="148" t="n"/>
      <c r="CA309" s="204" t="n"/>
      <c r="CB309" s="208" t="n"/>
      <c r="CC309" s="139" t="n"/>
      <c r="CD309" s="204" t="n"/>
      <c r="CE309" s="204" t="n"/>
      <c r="CF309" s="207" t="n"/>
      <c r="CG309" s="208" t="n"/>
      <c r="CH309" s="207" t="n"/>
      <c r="CI309" s="208" t="n"/>
      <c r="CJ309" s="204" t="n"/>
      <c r="CK309" s="208" t="n"/>
      <c r="CL309" s="208" t="n"/>
      <c r="CM309" s="208" t="n"/>
      <c r="CN309" s="78" t="n"/>
      <c r="CO309" s="209" t="n"/>
      <c r="CP309" s="204" t="n"/>
      <c r="CQ309" s="204" t="n"/>
      <c r="CR309" s="204" t="n"/>
      <c r="CS309" s="204" t="n"/>
      <c r="CT309" s="204" t="n"/>
      <c r="CU309" s="204" t="n"/>
      <c r="CV309" s="204" t="n"/>
      <c r="CW309" s="204" t="n"/>
      <c r="CX309" s="190" t="n"/>
    </row>
    <row r="310">
      <c r="BF310" s="78" t="n"/>
      <c r="BG310" s="78" t="n"/>
      <c r="BH310" s="78" t="n"/>
      <c r="BI310" s="78" t="n"/>
      <c r="BJ310" s="139" t="n"/>
      <c r="BK310" s="204" t="n"/>
      <c r="BL310" s="141" t="n"/>
      <c r="BM310" s="205" t="n"/>
      <c r="BN310" s="205" t="n"/>
      <c r="BO310" s="206" t="n"/>
      <c r="BP310" s="144" t="n"/>
      <c r="BQ310" s="141" t="n"/>
      <c r="BR310" s="207" t="n"/>
      <c r="BS310" s="207" t="n"/>
      <c r="BT310" s="207" t="n"/>
      <c r="BU310" s="207" t="n"/>
      <c r="BV310" s="208" t="n"/>
      <c r="BW310" s="207" t="n"/>
      <c r="BX310" s="207" t="n"/>
      <c r="BY310" s="204" t="n"/>
      <c r="BZ310" s="148" t="n"/>
      <c r="CA310" s="204" t="n"/>
      <c r="CB310" s="208" t="n"/>
      <c r="CC310" s="139" t="n"/>
      <c r="CD310" s="204" t="n"/>
      <c r="CE310" s="204" t="n"/>
      <c r="CF310" s="207" t="n"/>
      <c r="CG310" s="208" t="n"/>
      <c r="CH310" s="207" t="n"/>
      <c r="CI310" s="208" t="n"/>
      <c r="CJ310" s="204" t="n"/>
      <c r="CK310" s="208" t="n"/>
      <c r="CL310" s="208" t="n"/>
      <c r="CM310" s="208" t="n"/>
      <c r="CN310" s="78" t="n"/>
      <c r="CO310" s="209" t="n"/>
      <c r="CP310" s="204" t="n"/>
      <c r="CQ310" s="204" t="n"/>
      <c r="CR310" s="204" t="n"/>
      <c r="CS310" s="204" t="n"/>
      <c r="CT310" s="204" t="n"/>
      <c r="CU310" s="204" t="n"/>
      <c r="CV310" s="204" t="n"/>
      <c r="CW310" s="204" t="n"/>
      <c r="CX310" s="190" t="n"/>
    </row>
    <row r="311">
      <c r="BF311" s="78" t="n"/>
      <c r="BG311" s="78" t="n"/>
      <c r="BH311" s="78" t="n"/>
      <c r="BI311" s="78" t="n"/>
      <c r="BJ311" s="139" t="n"/>
      <c r="BK311" s="204" t="n"/>
      <c r="BL311" s="141" t="n"/>
      <c r="BM311" s="205" t="n"/>
      <c r="BN311" s="205" t="n"/>
      <c r="BO311" s="206" t="n"/>
      <c r="BP311" s="144" t="n"/>
      <c r="BQ311" s="141" t="n"/>
      <c r="BR311" s="207" t="n"/>
      <c r="BS311" s="207" t="n"/>
      <c r="BT311" s="207" t="n"/>
      <c r="BU311" s="207" t="n"/>
      <c r="BV311" s="208" t="n"/>
      <c r="BW311" s="207" t="n"/>
      <c r="BX311" s="207" t="n"/>
      <c r="BY311" s="204" t="n"/>
      <c r="BZ311" s="148" t="n"/>
      <c r="CA311" s="204" t="n"/>
      <c r="CB311" s="208" t="n"/>
      <c r="CC311" s="139" t="n"/>
      <c r="CD311" s="204" t="n"/>
      <c r="CE311" s="204" t="n"/>
      <c r="CF311" s="207" t="n"/>
      <c r="CG311" s="208" t="n"/>
      <c r="CH311" s="207" t="n"/>
      <c r="CI311" s="208" t="n"/>
      <c r="CJ311" s="204" t="n"/>
      <c r="CK311" s="208" t="n"/>
      <c r="CL311" s="208" t="n"/>
      <c r="CM311" s="208" t="n"/>
      <c r="CN311" s="78" t="n"/>
      <c r="CO311" s="209" t="n"/>
      <c r="CP311" s="204" t="n"/>
      <c r="CQ311" s="204" t="n"/>
      <c r="CR311" s="204" t="n"/>
      <c r="CS311" s="204" t="n"/>
      <c r="CT311" s="204" t="n"/>
      <c r="CU311" s="204" t="n"/>
      <c r="CV311" s="204" t="n"/>
      <c r="CW311" s="204" t="n"/>
      <c r="CX311" s="190" t="n"/>
    </row>
    <row r="312">
      <c r="BF312" s="78" t="n"/>
      <c r="BG312" s="78" t="n"/>
      <c r="BH312" s="78" t="n"/>
      <c r="BI312" s="78" t="n"/>
      <c r="BJ312" s="139" t="n"/>
      <c r="BK312" s="204" t="n"/>
      <c r="BL312" s="141" t="n"/>
      <c r="BM312" s="205" t="n"/>
      <c r="BN312" s="205" t="n"/>
      <c r="BO312" s="206" t="n"/>
      <c r="BP312" s="144" t="n"/>
      <c r="BQ312" s="141" t="n"/>
      <c r="BR312" s="207" t="n"/>
      <c r="BS312" s="207" t="n"/>
      <c r="BT312" s="207" t="n"/>
      <c r="BU312" s="207" t="n"/>
      <c r="BV312" s="208" t="n"/>
      <c r="BW312" s="207" t="n"/>
      <c r="BX312" s="207" t="n"/>
      <c r="BY312" s="204" t="n"/>
      <c r="BZ312" s="148" t="n"/>
      <c r="CA312" s="204" t="n"/>
      <c r="CB312" s="208" t="n"/>
      <c r="CC312" s="139" t="n"/>
      <c r="CD312" s="204" t="n"/>
      <c r="CE312" s="204" t="n"/>
      <c r="CF312" s="207" t="n"/>
      <c r="CG312" s="208" t="n"/>
      <c r="CH312" s="207" t="n"/>
      <c r="CI312" s="208" t="n"/>
      <c r="CJ312" s="204" t="n"/>
      <c r="CK312" s="208" t="n"/>
      <c r="CL312" s="208" t="n"/>
      <c r="CM312" s="208" t="n"/>
      <c r="CN312" s="78" t="n"/>
      <c r="CO312" s="209" t="n"/>
      <c r="CP312" s="204" t="n"/>
      <c r="CQ312" s="204" t="n"/>
      <c r="CR312" s="204" t="n"/>
      <c r="CS312" s="204" t="n"/>
      <c r="CT312" s="204" t="n"/>
      <c r="CU312" s="204" t="n"/>
      <c r="CV312" s="204" t="n"/>
      <c r="CW312" s="204" t="n"/>
      <c r="CX312" s="190" t="n"/>
    </row>
    <row r="313">
      <c r="BF313" s="78" t="n"/>
      <c r="BG313" s="78" t="n"/>
      <c r="BH313" s="78" t="n"/>
      <c r="BI313" s="78" t="n"/>
      <c r="BJ313" s="139" t="n"/>
      <c r="BK313" s="204" t="n"/>
      <c r="BL313" s="141" t="n"/>
      <c r="BM313" s="205" t="n"/>
      <c r="BN313" s="205" t="n"/>
      <c r="BO313" s="206" t="n"/>
      <c r="BP313" s="144" t="n"/>
      <c r="BQ313" s="141" t="n"/>
      <c r="BR313" s="207" t="n"/>
      <c r="BS313" s="207" t="n"/>
      <c r="BT313" s="207" t="n"/>
      <c r="BU313" s="207" t="n"/>
      <c r="BV313" s="208" t="n"/>
      <c r="BW313" s="207" t="n"/>
      <c r="BX313" s="207" t="n"/>
      <c r="BY313" s="204" t="n"/>
      <c r="BZ313" s="148" t="n"/>
      <c r="CA313" s="204" t="n"/>
      <c r="CB313" s="208" t="n"/>
      <c r="CC313" s="139" t="n"/>
      <c r="CD313" s="204" t="n"/>
      <c r="CE313" s="204" t="n"/>
      <c r="CF313" s="207" t="n"/>
      <c r="CG313" s="208" t="n"/>
      <c r="CH313" s="207" t="n"/>
      <c r="CI313" s="208" t="n"/>
      <c r="CJ313" s="204" t="n"/>
      <c r="CK313" s="208" t="n"/>
      <c r="CL313" s="208" t="n"/>
      <c r="CM313" s="208" t="n"/>
      <c r="CN313" s="78" t="n"/>
      <c r="CO313" s="209" t="n"/>
      <c r="CP313" s="204" t="n"/>
      <c r="CQ313" s="204" t="n"/>
      <c r="CR313" s="204" t="n"/>
      <c r="CS313" s="204" t="n"/>
      <c r="CT313" s="204" t="n"/>
      <c r="CU313" s="204" t="n"/>
      <c r="CV313" s="204" t="n"/>
      <c r="CW313" s="204" t="n"/>
      <c r="CX313" s="190" t="n"/>
    </row>
    <row r="314">
      <c r="BF314" s="78" t="n"/>
      <c r="BG314" s="78" t="n"/>
      <c r="BH314" s="78" t="n"/>
      <c r="BI314" s="78" t="n"/>
      <c r="BJ314" s="139" t="n"/>
      <c r="BK314" s="204" t="n"/>
      <c r="BL314" s="141" t="n"/>
      <c r="BM314" s="205" t="n"/>
      <c r="BN314" s="205" t="n"/>
      <c r="BO314" s="206" t="n"/>
      <c r="BP314" s="144" t="n"/>
      <c r="BQ314" s="141" t="n"/>
      <c r="BR314" s="207" t="n"/>
      <c r="BS314" s="207" t="n"/>
      <c r="BT314" s="207" t="n"/>
      <c r="BU314" s="207" t="n"/>
      <c r="BV314" s="208" t="n"/>
      <c r="BW314" s="207" t="n"/>
      <c r="BX314" s="207" t="n"/>
      <c r="BY314" s="204" t="n"/>
      <c r="BZ314" s="148" t="n"/>
      <c r="CA314" s="204" t="n"/>
      <c r="CB314" s="208" t="n"/>
      <c r="CC314" s="139" t="n"/>
      <c r="CD314" s="204" t="n"/>
      <c r="CE314" s="204" t="n"/>
      <c r="CF314" s="207" t="n"/>
      <c r="CG314" s="208" t="n"/>
      <c r="CH314" s="207" t="n"/>
      <c r="CI314" s="208" t="n"/>
      <c r="CJ314" s="204" t="n"/>
      <c r="CK314" s="208" t="n"/>
      <c r="CL314" s="208" t="n"/>
      <c r="CM314" s="208" t="n"/>
      <c r="CN314" s="78" t="n"/>
      <c r="CO314" s="209" t="n"/>
      <c r="CP314" s="204" t="n"/>
      <c r="CQ314" s="204" t="n"/>
      <c r="CR314" s="204" t="n"/>
      <c r="CS314" s="204" t="n"/>
      <c r="CT314" s="204" t="n"/>
      <c r="CU314" s="204" t="n"/>
      <c r="CV314" s="204" t="n"/>
      <c r="CW314" s="204" t="n"/>
      <c r="CX314" s="190" t="n"/>
    </row>
    <row r="315">
      <c r="BF315" s="78" t="n"/>
      <c r="BG315" s="78" t="n"/>
      <c r="BH315" s="78" t="n"/>
      <c r="BI315" s="78" t="n"/>
      <c r="BJ315" s="139" t="n"/>
      <c r="BK315" s="204" t="n"/>
      <c r="BL315" s="141" t="n"/>
      <c r="BM315" s="205" t="n"/>
      <c r="BN315" s="205" t="n"/>
      <c r="BO315" s="206" t="n"/>
      <c r="BP315" s="144" t="n"/>
      <c r="BQ315" s="141" t="n"/>
      <c r="BR315" s="207" t="n"/>
      <c r="BS315" s="207" t="n"/>
      <c r="BT315" s="207" t="n"/>
      <c r="BU315" s="207" t="n"/>
      <c r="BV315" s="208" t="n"/>
      <c r="BW315" s="207" t="n"/>
      <c r="BX315" s="207" t="n"/>
      <c r="BY315" s="204" t="n"/>
      <c r="BZ315" s="148" t="n"/>
      <c r="CA315" s="204" t="n"/>
      <c r="CB315" s="208" t="n"/>
      <c r="CC315" s="139" t="n"/>
      <c r="CD315" s="204" t="n"/>
      <c r="CE315" s="204" t="n"/>
      <c r="CF315" s="207" t="n"/>
      <c r="CG315" s="208" t="n"/>
      <c r="CH315" s="207" t="n"/>
      <c r="CI315" s="208" t="n"/>
      <c r="CJ315" s="204" t="n"/>
      <c r="CK315" s="208" t="n"/>
      <c r="CL315" s="208" t="n"/>
      <c r="CM315" s="208" t="n"/>
      <c r="CN315" s="78" t="n"/>
      <c r="CO315" s="209" t="n"/>
      <c r="CP315" s="204" t="n"/>
      <c r="CQ315" s="204" t="n"/>
      <c r="CR315" s="204" t="n"/>
      <c r="CS315" s="204" t="n"/>
      <c r="CT315" s="204" t="n"/>
      <c r="CU315" s="204" t="n"/>
      <c r="CV315" s="204" t="n"/>
      <c r="CW315" s="204" t="n"/>
      <c r="CX315" s="190" t="n"/>
    </row>
    <row r="316">
      <c r="BF316" s="78" t="n"/>
      <c r="BG316" s="78" t="n"/>
      <c r="BH316" s="78" t="n"/>
      <c r="BI316" s="78" t="n"/>
      <c r="BJ316" s="139" t="n"/>
      <c r="BK316" s="204" t="n"/>
      <c r="BL316" s="141" t="n"/>
      <c r="BM316" s="205" t="n"/>
      <c r="BN316" s="205" t="n"/>
      <c r="BO316" s="206" t="n"/>
      <c r="BP316" s="144" t="n"/>
      <c r="BQ316" s="141" t="n"/>
      <c r="BR316" s="207" t="n"/>
      <c r="BS316" s="207" t="n"/>
      <c r="BT316" s="207" t="n"/>
      <c r="BU316" s="207" t="n"/>
      <c r="BV316" s="208" t="n"/>
      <c r="BW316" s="207" t="n"/>
      <c r="BX316" s="207" t="n"/>
      <c r="BY316" s="204" t="n"/>
      <c r="BZ316" s="148" t="n"/>
      <c r="CA316" s="204" t="n"/>
      <c r="CB316" s="208" t="n"/>
      <c r="CC316" s="139" t="n"/>
      <c r="CD316" s="204" t="n"/>
      <c r="CE316" s="204" t="n"/>
      <c r="CF316" s="207" t="n"/>
      <c r="CG316" s="208" t="n"/>
      <c r="CH316" s="207" t="n"/>
      <c r="CI316" s="208" t="n"/>
      <c r="CJ316" s="204" t="n"/>
      <c r="CK316" s="208" t="n"/>
      <c r="CL316" s="208" t="n"/>
      <c r="CM316" s="208" t="n"/>
      <c r="CN316" s="78" t="n"/>
      <c r="CO316" s="209" t="n"/>
      <c r="CP316" s="204" t="n"/>
      <c r="CQ316" s="204" t="n"/>
      <c r="CR316" s="204" t="n"/>
      <c r="CS316" s="204" t="n"/>
      <c r="CT316" s="204" t="n"/>
      <c r="CU316" s="204" t="n"/>
      <c r="CV316" s="204" t="n"/>
      <c r="CW316" s="204" t="n"/>
      <c r="CX316" s="190" t="n"/>
    </row>
    <row r="317">
      <c r="BF317" s="78" t="n"/>
      <c r="BG317" s="78" t="n"/>
      <c r="BH317" s="78" t="n"/>
      <c r="BI317" s="78" t="n"/>
      <c r="BJ317" s="139" t="n"/>
      <c r="BK317" s="204" t="n"/>
      <c r="BL317" s="141" t="n"/>
      <c r="BM317" s="205" t="n"/>
      <c r="BN317" s="205" t="n"/>
      <c r="BO317" s="206" t="n"/>
      <c r="BP317" s="144" t="n"/>
      <c r="BQ317" s="141" t="n"/>
      <c r="BR317" s="207" t="n"/>
      <c r="BS317" s="207" t="n"/>
      <c r="BT317" s="207" t="n"/>
      <c r="BU317" s="207" t="n"/>
      <c r="BV317" s="208" t="n"/>
      <c r="BW317" s="207" t="n"/>
      <c r="BX317" s="207" t="n"/>
      <c r="BY317" s="204" t="n"/>
      <c r="BZ317" s="148" t="n"/>
      <c r="CA317" s="204" t="n"/>
      <c r="CB317" s="208" t="n"/>
      <c r="CC317" s="139" t="n"/>
      <c r="CD317" s="204" t="n"/>
      <c r="CE317" s="204" t="n"/>
      <c r="CF317" s="207" t="n"/>
      <c r="CG317" s="208" t="n"/>
      <c r="CH317" s="207" t="n"/>
      <c r="CI317" s="208" t="n"/>
      <c r="CJ317" s="204" t="n"/>
      <c r="CK317" s="208" t="n"/>
      <c r="CL317" s="208" t="n"/>
      <c r="CM317" s="208" t="n"/>
      <c r="CN317" s="78" t="n"/>
      <c r="CO317" s="209" t="n"/>
      <c r="CP317" s="204" t="n"/>
      <c r="CQ317" s="204" t="n"/>
      <c r="CR317" s="204" t="n"/>
      <c r="CS317" s="204" t="n"/>
      <c r="CT317" s="204" t="n"/>
      <c r="CU317" s="204" t="n"/>
      <c r="CV317" s="204" t="n"/>
      <c r="CW317" s="204" t="n"/>
      <c r="CX317" s="190" t="n"/>
    </row>
    <row r="318">
      <c r="BF318" s="78" t="n"/>
      <c r="BG318" s="78" t="n"/>
      <c r="BH318" s="78" t="n"/>
      <c r="BI318" s="78" t="n"/>
      <c r="BJ318" s="139" t="n"/>
      <c r="BK318" s="204" t="n"/>
      <c r="BL318" s="141" t="n"/>
      <c r="BM318" s="205" t="n"/>
      <c r="BN318" s="205" t="n"/>
      <c r="BO318" s="206" t="n"/>
      <c r="BP318" s="144" t="n"/>
      <c r="BQ318" s="141" t="n"/>
      <c r="BR318" s="207" t="n"/>
      <c r="BS318" s="207" t="n"/>
      <c r="BT318" s="207" t="n"/>
      <c r="BU318" s="207" t="n"/>
      <c r="BV318" s="208" t="n"/>
      <c r="BW318" s="207" t="n"/>
      <c r="BX318" s="207" t="n"/>
      <c r="BY318" s="204" t="n"/>
      <c r="BZ318" s="148" t="n"/>
      <c r="CA318" s="204" t="n"/>
      <c r="CB318" s="208" t="n"/>
      <c r="CC318" s="139" t="n"/>
      <c r="CD318" s="204" t="n"/>
      <c r="CE318" s="204" t="n"/>
      <c r="CF318" s="207" t="n"/>
      <c r="CG318" s="208" t="n"/>
      <c r="CH318" s="207" t="n"/>
      <c r="CI318" s="208" t="n"/>
      <c r="CJ318" s="204" t="n"/>
      <c r="CK318" s="208" t="n"/>
      <c r="CL318" s="208" t="n"/>
      <c r="CM318" s="208" t="n"/>
      <c r="CN318" s="78" t="n"/>
      <c r="CO318" s="209" t="n"/>
      <c r="CP318" s="204" t="n"/>
      <c r="CQ318" s="204" t="n"/>
      <c r="CR318" s="204" t="n"/>
      <c r="CS318" s="204" t="n"/>
      <c r="CT318" s="204" t="n"/>
      <c r="CU318" s="204" t="n"/>
      <c r="CV318" s="204" t="n"/>
      <c r="CW318" s="204" t="n"/>
      <c r="CX318" s="190" t="n"/>
    </row>
    <row r="319">
      <c r="BF319" s="78" t="n"/>
      <c r="BG319" s="78" t="n"/>
      <c r="BH319" s="78" t="n"/>
      <c r="BI319" s="78" t="n"/>
      <c r="BJ319" s="139" t="n"/>
      <c r="BK319" s="204" t="n"/>
      <c r="BL319" s="141" t="n"/>
      <c r="BM319" s="205" t="n"/>
      <c r="BN319" s="205" t="n"/>
      <c r="BO319" s="206" t="n"/>
      <c r="BP319" s="144" t="n"/>
      <c r="BQ319" s="141" t="n"/>
      <c r="BR319" s="207" t="n"/>
      <c r="BS319" s="207" t="n"/>
      <c r="BT319" s="207" t="n"/>
      <c r="BU319" s="207" t="n"/>
      <c r="BV319" s="208" t="n"/>
      <c r="BW319" s="207" t="n"/>
      <c r="BX319" s="207" t="n"/>
      <c r="BY319" s="204" t="n"/>
      <c r="BZ319" s="148" t="n"/>
      <c r="CA319" s="204" t="n"/>
      <c r="CB319" s="208" t="n"/>
      <c r="CC319" s="139" t="n"/>
      <c r="CD319" s="204" t="n"/>
      <c r="CE319" s="204" t="n"/>
      <c r="CF319" s="207" t="n"/>
      <c r="CG319" s="208" t="n"/>
      <c r="CH319" s="207" t="n"/>
      <c r="CI319" s="208" t="n"/>
      <c r="CJ319" s="204" t="n"/>
      <c r="CK319" s="208" t="n"/>
      <c r="CL319" s="208" t="n"/>
      <c r="CM319" s="208" t="n"/>
      <c r="CN319" s="78" t="n"/>
      <c r="CO319" s="209" t="n"/>
      <c r="CP319" s="204" t="n"/>
      <c r="CQ319" s="204" t="n"/>
      <c r="CR319" s="204" t="n"/>
      <c r="CS319" s="204" t="n"/>
      <c r="CT319" s="204" t="n"/>
      <c r="CU319" s="204" t="n"/>
      <c r="CV319" s="204" t="n"/>
      <c r="CW319" s="204" t="n"/>
      <c r="CX319" s="190" t="n"/>
    </row>
    <row r="320">
      <c r="BF320" s="78" t="n"/>
      <c r="BG320" s="78" t="n"/>
      <c r="BH320" s="78" t="n"/>
      <c r="BI320" s="78" t="n"/>
      <c r="BJ320" s="139" t="n"/>
      <c r="BK320" s="204" t="n"/>
      <c r="BL320" s="141" t="n"/>
      <c r="BM320" s="205" t="n"/>
      <c r="BN320" s="205" t="n"/>
      <c r="BO320" s="206" t="n"/>
      <c r="BP320" s="144" t="n"/>
      <c r="BQ320" s="141" t="n"/>
      <c r="BR320" s="207" t="n"/>
      <c r="BS320" s="207" t="n"/>
      <c r="BT320" s="207" t="n"/>
      <c r="BU320" s="207" t="n"/>
      <c r="BV320" s="208" t="n"/>
      <c r="BW320" s="207" t="n"/>
      <c r="BX320" s="207" t="n"/>
      <c r="BY320" s="204" t="n"/>
      <c r="BZ320" s="148" t="n"/>
      <c r="CA320" s="204" t="n"/>
      <c r="CB320" s="208" t="n"/>
      <c r="CC320" s="139" t="n"/>
      <c r="CD320" s="204" t="n"/>
      <c r="CE320" s="204" t="n"/>
      <c r="CF320" s="207" t="n"/>
      <c r="CG320" s="208" t="n"/>
      <c r="CH320" s="207" t="n"/>
      <c r="CI320" s="208" t="n"/>
      <c r="CJ320" s="204" t="n"/>
      <c r="CK320" s="208" t="n"/>
      <c r="CL320" s="208" t="n"/>
      <c r="CM320" s="208" t="n"/>
      <c r="CN320" s="78" t="n"/>
      <c r="CO320" s="209" t="n"/>
      <c r="CP320" s="204" t="n"/>
      <c r="CQ320" s="204" t="n"/>
      <c r="CR320" s="204" t="n"/>
      <c r="CS320" s="204" t="n"/>
      <c r="CT320" s="204" t="n"/>
      <c r="CU320" s="204" t="n"/>
      <c r="CV320" s="204" t="n"/>
      <c r="CW320" s="204" t="n"/>
      <c r="CX320" s="190" t="n"/>
    </row>
    <row r="321">
      <c r="BF321" s="78" t="n"/>
      <c r="BG321" s="78" t="n"/>
      <c r="BH321" s="78" t="n"/>
      <c r="BI321" s="78" t="n"/>
      <c r="BJ321" s="139" t="n"/>
      <c r="BK321" s="204" t="n"/>
      <c r="BL321" s="141" t="n"/>
      <c r="BM321" s="205" t="n"/>
      <c r="BN321" s="205" t="n"/>
      <c r="BO321" s="206" t="n"/>
      <c r="BP321" s="144" t="n"/>
      <c r="BQ321" s="141" t="n"/>
      <c r="BR321" s="207" t="n"/>
      <c r="BS321" s="207" t="n"/>
      <c r="BT321" s="207" t="n"/>
      <c r="BU321" s="207" t="n"/>
      <c r="BV321" s="208" t="n"/>
      <c r="BW321" s="207" t="n"/>
      <c r="BX321" s="207" t="n"/>
      <c r="BY321" s="204" t="n"/>
      <c r="BZ321" s="148" t="n"/>
      <c r="CA321" s="204" t="n"/>
      <c r="CB321" s="208" t="n"/>
      <c r="CC321" s="139" t="n"/>
      <c r="CD321" s="204" t="n"/>
      <c r="CE321" s="204" t="n"/>
      <c r="CF321" s="207" t="n"/>
      <c r="CG321" s="208" t="n"/>
      <c r="CH321" s="207" t="n"/>
      <c r="CI321" s="208" t="n"/>
      <c r="CJ321" s="204" t="n"/>
      <c r="CK321" s="208" t="n"/>
      <c r="CL321" s="208" t="n"/>
      <c r="CM321" s="208" t="n"/>
      <c r="CN321" s="78" t="n"/>
      <c r="CO321" s="209" t="n"/>
      <c r="CP321" s="204" t="n"/>
      <c r="CQ321" s="204" t="n"/>
      <c r="CR321" s="204" t="n"/>
      <c r="CS321" s="204" t="n"/>
      <c r="CT321" s="204" t="n"/>
      <c r="CU321" s="204" t="n"/>
      <c r="CV321" s="204" t="n"/>
      <c r="CW321" s="204" t="n"/>
      <c r="CX321" s="190" t="n"/>
    </row>
    <row r="322">
      <c r="BF322" s="78" t="n"/>
      <c r="BG322" s="78" t="n"/>
      <c r="BH322" s="78" t="n"/>
      <c r="BI322" s="78" t="n"/>
      <c r="BJ322" s="139" t="n"/>
      <c r="BK322" s="204" t="n"/>
      <c r="BL322" s="141" t="n"/>
      <c r="BM322" s="205" t="n"/>
      <c r="BN322" s="205" t="n"/>
      <c r="BO322" s="206" t="n"/>
      <c r="BP322" s="144" t="n"/>
      <c r="BQ322" s="141" t="n"/>
      <c r="BR322" s="207" t="n"/>
      <c r="BS322" s="207" t="n"/>
      <c r="BT322" s="207" t="n"/>
      <c r="BU322" s="207" t="n"/>
      <c r="BV322" s="208" t="n"/>
      <c r="BW322" s="207" t="n"/>
      <c r="BX322" s="207" t="n"/>
      <c r="BY322" s="204" t="n"/>
      <c r="BZ322" s="148" t="n"/>
      <c r="CA322" s="204" t="n"/>
      <c r="CB322" s="208" t="n"/>
      <c r="CC322" s="139" t="n"/>
      <c r="CD322" s="204" t="n"/>
      <c r="CE322" s="204" t="n"/>
      <c r="CF322" s="207" t="n"/>
      <c r="CG322" s="208" t="n"/>
      <c r="CH322" s="207" t="n"/>
      <c r="CI322" s="208" t="n"/>
      <c r="CJ322" s="204" t="n"/>
      <c r="CK322" s="208" t="n"/>
      <c r="CL322" s="208" t="n"/>
      <c r="CM322" s="208" t="n"/>
      <c r="CN322" s="78" t="n"/>
      <c r="CO322" s="209" t="n"/>
      <c r="CP322" s="204" t="n"/>
      <c r="CQ322" s="204" t="n"/>
      <c r="CR322" s="204" t="n"/>
      <c r="CS322" s="204" t="n"/>
      <c r="CT322" s="204" t="n"/>
      <c r="CU322" s="204" t="n"/>
      <c r="CV322" s="204" t="n"/>
      <c r="CW322" s="204" t="n"/>
      <c r="CX322" s="190" t="n"/>
    </row>
    <row r="323">
      <c r="BF323" s="78" t="n"/>
      <c r="BG323" s="78" t="n"/>
      <c r="BH323" s="78" t="n"/>
      <c r="BI323" s="78" t="n"/>
      <c r="BJ323" s="139" t="n"/>
      <c r="BK323" s="204" t="n"/>
      <c r="BL323" s="141" t="n"/>
      <c r="BM323" s="205" t="n"/>
      <c r="BN323" s="205" t="n"/>
      <c r="BO323" s="206" t="n"/>
      <c r="BP323" s="144" t="n"/>
      <c r="BQ323" s="141" t="n"/>
      <c r="BR323" s="207" t="n"/>
      <c r="BS323" s="207" t="n"/>
      <c r="BT323" s="207" t="n"/>
      <c r="BU323" s="207" t="n"/>
      <c r="BV323" s="208" t="n"/>
      <c r="BW323" s="207" t="n"/>
      <c r="BX323" s="207" t="n"/>
      <c r="BY323" s="204" t="n"/>
      <c r="BZ323" s="148" t="n"/>
      <c r="CA323" s="204" t="n"/>
      <c r="CB323" s="208" t="n"/>
      <c r="CC323" s="139" t="n"/>
      <c r="CD323" s="204" t="n"/>
      <c r="CE323" s="204" t="n"/>
      <c r="CF323" s="207" t="n"/>
      <c r="CG323" s="208" t="n"/>
      <c r="CH323" s="207" t="n"/>
      <c r="CI323" s="208" t="n"/>
      <c r="CJ323" s="204" t="n"/>
      <c r="CK323" s="208" t="n"/>
      <c r="CL323" s="208" t="n"/>
      <c r="CM323" s="208" t="n"/>
      <c r="CN323" s="78" t="n"/>
      <c r="CO323" s="209" t="n"/>
      <c r="CP323" s="204" t="n"/>
      <c r="CQ323" s="204" t="n"/>
      <c r="CR323" s="204" t="n"/>
      <c r="CS323" s="204" t="n"/>
      <c r="CT323" s="204" t="n"/>
      <c r="CU323" s="204" t="n"/>
      <c r="CV323" s="204" t="n"/>
      <c r="CW323" s="204" t="n"/>
      <c r="CX323" s="190" t="n"/>
    </row>
    <row r="324">
      <c r="BF324" s="78" t="n"/>
      <c r="BG324" s="78" t="n"/>
      <c r="BH324" s="78" t="n"/>
      <c r="BI324" s="78" t="n"/>
      <c r="BJ324" s="139" t="n"/>
      <c r="BK324" s="204" t="n"/>
      <c r="BL324" s="141" t="n"/>
      <c r="BM324" s="205" t="n"/>
      <c r="BN324" s="205" t="n"/>
      <c r="BO324" s="206" t="n"/>
      <c r="BP324" s="144" t="n"/>
      <c r="BQ324" s="141" t="n"/>
      <c r="BR324" s="207" t="n"/>
      <c r="BS324" s="207" t="n"/>
      <c r="BT324" s="207" t="n"/>
      <c r="BU324" s="207" t="n"/>
      <c r="BV324" s="208" t="n"/>
      <c r="BW324" s="207" t="n"/>
      <c r="BX324" s="207" t="n"/>
      <c r="BY324" s="204" t="n"/>
      <c r="BZ324" s="148" t="n"/>
      <c r="CA324" s="204" t="n"/>
      <c r="CB324" s="208" t="n"/>
      <c r="CC324" s="139" t="n"/>
      <c r="CD324" s="204" t="n"/>
      <c r="CE324" s="204" t="n"/>
      <c r="CF324" s="207" t="n"/>
      <c r="CG324" s="208" t="n"/>
      <c r="CH324" s="207" t="n"/>
      <c r="CI324" s="208" t="n"/>
      <c r="CJ324" s="204" t="n"/>
      <c r="CK324" s="208" t="n"/>
      <c r="CL324" s="208" t="n"/>
      <c r="CM324" s="208" t="n"/>
      <c r="CN324" s="78" t="n"/>
      <c r="CO324" s="209" t="n"/>
      <c r="CP324" s="204" t="n"/>
      <c r="CQ324" s="204" t="n"/>
      <c r="CR324" s="204" t="n"/>
      <c r="CS324" s="204" t="n"/>
      <c r="CT324" s="204" t="n"/>
      <c r="CU324" s="204" t="n"/>
      <c r="CV324" s="204" t="n"/>
      <c r="CW324" s="204" t="n"/>
      <c r="CX324" s="190" t="n"/>
    </row>
    <row r="325">
      <c r="BF325" s="78" t="n"/>
      <c r="BG325" s="78" t="n"/>
      <c r="BH325" s="78" t="n"/>
      <c r="BI325" s="78" t="n"/>
      <c r="BJ325" s="139" t="n"/>
      <c r="BK325" s="204" t="n"/>
      <c r="BL325" s="141" t="n"/>
      <c r="BM325" s="205" t="n"/>
      <c r="BN325" s="205" t="n"/>
      <c r="BO325" s="206" t="n"/>
      <c r="BP325" s="144" t="n"/>
      <c r="BQ325" s="141" t="n"/>
      <c r="BR325" s="207" t="n"/>
      <c r="BS325" s="207" t="n"/>
      <c r="BT325" s="207" t="n"/>
      <c r="BU325" s="207" t="n"/>
      <c r="BV325" s="208" t="n"/>
      <c r="BW325" s="207" t="n"/>
      <c r="BX325" s="207" t="n"/>
      <c r="BY325" s="204" t="n"/>
      <c r="BZ325" s="148" t="n"/>
      <c r="CA325" s="204" t="n"/>
      <c r="CB325" s="208" t="n"/>
      <c r="CC325" s="139" t="n"/>
      <c r="CD325" s="204" t="n"/>
      <c r="CE325" s="204" t="n"/>
      <c r="CF325" s="207" t="n"/>
      <c r="CG325" s="208" t="n"/>
      <c r="CH325" s="207" t="n"/>
      <c r="CI325" s="208" t="n"/>
      <c r="CJ325" s="204" t="n"/>
      <c r="CK325" s="208" t="n"/>
      <c r="CL325" s="208" t="n"/>
      <c r="CM325" s="208" t="n"/>
      <c r="CN325" s="78" t="n"/>
      <c r="CO325" s="209" t="n"/>
      <c r="CP325" s="204" t="n"/>
      <c r="CQ325" s="204" t="n"/>
      <c r="CR325" s="204" t="n"/>
      <c r="CS325" s="204" t="n"/>
      <c r="CT325" s="204" t="n"/>
      <c r="CU325" s="204" t="n"/>
      <c r="CV325" s="204" t="n"/>
      <c r="CW325" s="204" t="n"/>
      <c r="CX325" s="190" t="n"/>
    </row>
    <row r="326">
      <c r="BF326" s="78" t="n"/>
      <c r="BG326" s="78" t="n"/>
      <c r="BH326" s="78" t="n"/>
      <c r="BI326" s="78" t="n"/>
      <c r="BJ326" s="139" t="n"/>
      <c r="BK326" s="204" t="n"/>
      <c r="BL326" s="141" t="n"/>
      <c r="BM326" s="205" t="n"/>
      <c r="BN326" s="205" t="n"/>
      <c r="BO326" s="206" t="n"/>
      <c r="BP326" s="144" t="n"/>
      <c r="BQ326" s="141" t="n"/>
      <c r="BR326" s="207" t="n"/>
      <c r="BS326" s="207" t="n"/>
      <c r="BT326" s="207" t="n"/>
      <c r="BU326" s="207" t="n"/>
      <c r="BV326" s="208" t="n"/>
      <c r="BW326" s="207" t="n"/>
      <c r="BX326" s="207" t="n"/>
      <c r="BY326" s="204" t="n"/>
      <c r="BZ326" s="148" t="n"/>
      <c r="CA326" s="204" t="n"/>
      <c r="CB326" s="208" t="n"/>
      <c r="CC326" s="139" t="n"/>
      <c r="CD326" s="204" t="n"/>
      <c r="CE326" s="204" t="n"/>
      <c r="CF326" s="207" t="n"/>
      <c r="CG326" s="208" t="n"/>
      <c r="CH326" s="207" t="n"/>
      <c r="CI326" s="208" t="n"/>
      <c r="CJ326" s="204" t="n"/>
      <c r="CK326" s="208" t="n"/>
      <c r="CL326" s="208" t="n"/>
      <c r="CM326" s="208" t="n"/>
      <c r="CN326" s="78" t="n"/>
      <c r="CO326" s="209" t="n"/>
      <c r="CP326" s="204" t="n"/>
      <c r="CQ326" s="204" t="n"/>
      <c r="CR326" s="204" t="n"/>
      <c r="CS326" s="204" t="n"/>
      <c r="CT326" s="204" t="n"/>
      <c r="CU326" s="204" t="n"/>
      <c r="CV326" s="204" t="n"/>
      <c r="CW326" s="204" t="n"/>
      <c r="CX326" s="190" t="n"/>
    </row>
    <row r="327">
      <c r="BF327" s="78" t="n"/>
      <c r="BG327" s="78" t="n"/>
      <c r="BH327" s="78" t="n"/>
      <c r="BI327" s="78" t="n"/>
      <c r="BJ327" s="139" t="n"/>
      <c r="BK327" s="204" t="n"/>
      <c r="BL327" s="141" t="n"/>
      <c r="BM327" s="205" t="n"/>
      <c r="BN327" s="205" t="n"/>
      <c r="BO327" s="206" t="n"/>
      <c r="BP327" s="144" t="n"/>
      <c r="BQ327" s="141" t="n"/>
      <c r="BR327" s="207" t="n"/>
      <c r="BS327" s="207" t="n"/>
      <c r="BT327" s="207" t="n"/>
      <c r="BU327" s="207" t="n"/>
      <c r="BV327" s="208" t="n"/>
      <c r="BW327" s="207" t="n"/>
      <c r="BX327" s="207" t="n"/>
      <c r="BY327" s="204" t="n"/>
      <c r="BZ327" s="148" t="n"/>
      <c r="CA327" s="204" t="n"/>
      <c r="CB327" s="208" t="n"/>
      <c r="CC327" s="139" t="n"/>
      <c r="CD327" s="204" t="n"/>
      <c r="CE327" s="204" t="n"/>
      <c r="CF327" s="207" t="n"/>
      <c r="CG327" s="208" t="n"/>
      <c r="CH327" s="207" t="n"/>
      <c r="CI327" s="208" t="n"/>
      <c r="CJ327" s="204" t="n"/>
      <c r="CK327" s="208" t="n"/>
      <c r="CL327" s="208" t="n"/>
      <c r="CM327" s="208" t="n"/>
      <c r="CN327" s="78" t="n"/>
      <c r="CO327" s="209" t="n"/>
      <c r="CP327" s="204" t="n"/>
      <c r="CQ327" s="204" t="n"/>
      <c r="CR327" s="204" t="n"/>
      <c r="CS327" s="204" t="n"/>
      <c r="CT327" s="204" t="n"/>
      <c r="CU327" s="204" t="n"/>
      <c r="CV327" s="204" t="n"/>
      <c r="CW327" s="204" t="n"/>
      <c r="CX327" s="190" t="n"/>
    </row>
    <row r="328">
      <c r="BF328" s="78" t="n"/>
      <c r="BG328" s="78" t="n"/>
      <c r="BH328" s="78" t="n"/>
      <c r="BI328" s="78" t="n"/>
      <c r="BJ328" s="139" t="n"/>
      <c r="BK328" s="204" t="n"/>
      <c r="BL328" s="141" t="n"/>
      <c r="BM328" s="205" t="n"/>
      <c r="BN328" s="205" t="n"/>
      <c r="BO328" s="206" t="n"/>
      <c r="BP328" s="144" t="n"/>
      <c r="BQ328" s="141" t="n"/>
      <c r="BR328" s="207" t="n"/>
      <c r="BS328" s="207" t="n"/>
      <c r="BT328" s="207" t="n"/>
      <c r="BU328" s="207" t="n"/>
      <c r="BV328" s="208" t="n"/>
      <c r="BW328" s="207" t="n"/>
      <c r="BX328" s="207" t="n"/>
      <c r="BY328" s="204" t="n"/>
      <c r="BZ328" s="148" t="n"/>
      <c r="CA328" s="204" t="n"/>
      <c r="CB328" s="208" t="n"/>
      <c r="CC328" s="139" t="n"/>
      <c r="CD328" s="204" t="n"/>
      <c r="CE328" s="204" t="n"/>
      <c r="CF328" s="207" t="n"/>
      <c r="CG328" s="208" t="n"/>
      <c r="CH328" s="207" t="n"/>
      <c r="CI328" s="208" t="n"/>
      <c r="CJ328" s="204" t="n"/>
      <c r="CK328" s="208" t="n"/>
      <c r="CL328" s="208" t="n"/>
      <c r="CM328" s="208" t="n"/>
      <c r="CN328" s="78" t="n"/>
      <c r="CO328" s="209" t="n"/>
      <c r="CP328" s="204" t="n"/>
      <c r="CQ328" s="204" t="n"/>
      <c r="CR328" s="204" t="n"/>
      <c r="CS328" s="204" t="n"/>
      <c r="CT328" s="204" t="n"/>
      <c r="CU328" s="204" t="n"/>
      <c r="CV328" s="204" t="n"/>
      <c r="CW328" s="204" t="n"/>
      <c r="CX328" s="190" t="n"/>
    </row>
    <row r="329">
      <c r="BF329" s="78" t="n"/>
      <c r="BG329" s="78" t="n"/>
      <c r="BH329" s="78" t="n"/>
      <c r="BI329" s="78" t="n"/>
      <c r="BJ329" s="139" t="n"/>
      <c r="BK329" s="204" t="n"/>
      <c r="BL329" s="141" t="n"/>
      <c r="BM329" s="205" t="n"/>
      <c r="BN329" s="205" t="n"/>
      <c r="BO329" s="206" t="n"/>
      <c r="BP329" s="144" t="n"/>
      <c r="BQ329" s="141" t="n"/>
      <c r="BR329" s="207" t="n"/>
      <c r="BS329" s="207" t="n"/>
      <c r="BT329" s="207" t="n"/>
      <c r="BU329" s="207" t="n"/>
      <c r="BV329" s="208" t="n"/>
      <c r="BW329" s="207" t="n"/>
      <c r="BX329" s="207" t="n"/>
      <c r="BY329" s="204" t="n"/>
      <c r="BZ329" s="148" t="n"/>
      <c r="CA329" s="204" t="n"/>
      <c r="CB329" s="208" t="n"/>
      <c r="CC329" s="139" t="n"/>
      <c r="CD329" s="204" t="n"/>
      <c r="CE329" s="204" t="n"/>
      <c r="CF329" s="207" t="n"/>
      <c r="CG329" s="208" t="n"/>
      <c r="CH329" s="207" t="n"/>
      <c r="CI329" s="208" t="n"/>
      <c r="CJ329" s="204" t="n"/>
      <c r="CK329" s="208" t="n"/>
      <c r="CL329" s="208" t="n"/>
      <c r="CM329" s="208" t="n"/>
      <c r="CN329" s="78" t="n"/>
      <c r="CO329" s="209" t="n"/>
      <c r="CP329" s="204" t="n"/>
      <c r="CQ329" s="204" t="n"/>
      <c r="CR329" s="204" t="n"/>
      <c r="CS329" s="204" t="n"/>
      <c r="CT329" s="204" t="n"/>
      <c r="CU329" s="204" t="n"/>
      <c r="CV329" s="204" t="n"/>
      <c r="CW329" s="204" t="n"/>
      <c r="CX329" s="190" t="n"/>
    </row>
    <row r="330">
      <c r="BF330" s="78" t="n"/>
      <c r="BG330" s="78" t="n"/>
      <c r="BH330" s="78" t="n"/>
      <c r="BI330" s="78" t="n"/>
      <c r="BJ330" s="139" t="n"/>
      <c r="BK330" s="204" t="n"/>
      <c r="BL330" s="141" t="n"/>
      <c r="BM330" s="205" t="n"/>
      <c r="BN330" s="205" t="n"/>
      <c r="BO330" s="206" t="n"/>
      <c r="BP330" s="144" t="n"/>
      <c r="BQ330" s="141" t="n"/>
      <c r="BR330" s="207" t="n"/>
      <c r="BS330" s="207" t="n"/>
      <c r="BT330" s="207" t="n"/>
      <c r="BU330" s="207" t="n"/>
      <c r="BV330" s="208" t="n"/>
      <c r="BW330" s="207" t="n"/>
      <c r="BX330" s="207" t="n"/>
      <c r="BY330" s="204" t="n"/>
      <c r="BZ330" s="148" t="n"/>
      <c r="CA330" s="204" t="n"/>
      <c r="CB330" s="208" t="n"/>
      <c r="CC330" s="139" t="n"/>
      <c r="CD330" s="204" t="n"/>
      <c r="CE330" s="204" t="n"/>
      <c r="CF330" s="207" t="n"/>
      <c r="CG330" s="208" t="n"/>
      <c r="CH330" s="207" t="n"/>
      <c r="CI330" s="208" t="n"/>
      <c r="CJ330" s="204" t="n"/>
      <c r="CK330" s="208" t="n"/>
      <c r="CL330" s="208" t="n"/>
      <c r="CM330" s="208" t="n"/>
      <c r="CN330" s="78" t="n"/>
      <c r="CO330" s="209" t="n"/>
      <c r="CP330" s="204" t="n"/>
      <c r="CQ330" s="204" t="n"/>
      <c r="CR330" s="204" t="n"/>
      <c r="CS330" s="204" t="n"/>
      <c r="CT330" s="204" t="n"/>
      <c r="CU330" s="204" t="n"/>
      <c r="CV330" s="204" t="n"/>
      <c r="CW330" s="204" t="n"/>
      <c r="CX330" s="190" t="n"/>
    </row>
    <row r="331">
      <c r="BF331" s="78" t="n"/>
      <c r="BG331" s="78" t="n"/>
      <c r="BH331" s="78" t="n"/>
      <c r="BI331" s="78" t="n"/>
      <c r="BJ331" s="139" t="n"/>
      <c r="BK331" s="204" t="n"/>
      <c r="BL331" s="141" t="n"/>
      <c r="BM331" s="205" t="n"/>
      <c r="BN331" s="205" t="n"/>
      <c r="BO331" s="206" t="n"/>
      <c r="BP331" s="144" t="n"/>
      <c r="BQ331" s="141" t="n"/>
      <c r="BR331" s="207" t="n"/>
      <c r="BS331" s="207" t="n"/>
      <c r="BT331" s="207" t="n"/>
      <c r="BU331" s="207" t="n"/>
      <c r="BV331" s="208" t="n"/>
      <c r="BW331" s="207" t="n"/>
      <c r="BX331" s="207" t="n"/>
      <c r="BY331" s="204" t="n"/>
      <c r="BZ331" s="148" t="n"/>
      <c r="CA331" s="204" t="n"/>
      <c r="CB331" s="208" t="n"/>
      <c r="CC331" s="139" t="n"/>
      <c r="CD331" s="204" t="n"/>
      <c r="CE331" s="204" t="n"/>
      <c r="CF331" s="207" t="n"/>
      <c r="CG331" s="208" t="n"/>
      <c r="CH331" s="207" t="n"/>
      <c r="CI331" s="208" t="n"/>
      <c r="CJ331" s="204" t="n"/>
      <c r="CK331" s="208" t="n"/>
      <c r="CL331" s="208" t="n"/>
      <c r="CM331" s="208" t="n"/>
      <c r="CN331" s="78" t="n"/>
      <c r="CO331" s="209" t="n"/>
      <c r="CP331" s="204" t="n"/>
      <c r="CQ331" s="204" t="n"/>
      <c r="CR331" s="204" t="n"/>
      <c r="CS331" s="204" t="n"/>
      <c r="CT331" s="204" t="n"/>
      <c r="CU331" s="204" t="n"/>
      <c r="CV331" s="204" t="n"/>
      <c r="CW331" s="204" t="n"/>
      <c r="CX331" s="190" t="n"/>
    </row>
    <row r="332">
      <c r="BF332" s="78" t="n"/>
      <c r="BG332" s="78" t="n"/>
      <c r="BH332" s="78" t="n"/>
      <c r="BI332" s="78" t="n"/>
      <c r="BJ332" s="139" t="n"/>
      <c r="BK332" s="204" t="n"/>
      <c r="BL332" s="141" t="n"/>
      <c r="BM332" s="205" t="n"/>
      <c r="BN332" s="205" t="n"/>
      <c r="BO332" s="206" t="n"/>
      <c r="BP332" s="144" t="n"/>
      <c r="BQ332" s="141" t="n"/>
      <c r="BR332" s="207" t="n"/>
      <c r="BS332" s="207" t="n"/>
      <c r="BT332" s="207" t="n"/>
      <c r="BU332" s="207" t="n"/>
      <c r="BV332" s="208" t="n"/>
      <c r="BW332" s="207" t="n"/>
      <c r="BX332" s="207" t="n"/>
      <c r="BY332" s="204" t="n"/>
      <c r="BZ332" s="148" t="n"/>
      <c r="CA332" s="204" t="n"/>
      <c r="CB332" s="208" t="n"/>
      <c r="CC332" s="139" t="n"/>
      <c r="CD332" s="204" t="n"/>
      <c r="CE332" s="204" t="n"/>
      <c r="CF332" s="207" t="n"/>
      <c r="CG332" s="208" t="n"/>
      <c r="CH332" s="207" t="n"/>
      <c r="CI332" s="208" t="n"/>
      <c r="CJ332" s="204" t="n"/>
      <c r="CK332" s="208" t="n"/>
      <c r="CL332" s="208" t="n"/>
      <c r="CM332" s="208" t="n"/>
      <c r="CN332" s="78" t="n"/>
      <c r="CO332" s="209" t="n"/>
      <c r="CP332" s="204" t="n"/>
      <c r="CQ332" s="204" t="n"/>
      <c r="CR332" s="204" t="n"/>
      <c r="CS332" s="204" t="n"/>
      <c r="CT332" s="204" t="n"/>
      <c r="CU332" s="204" t="n"/>
      <c r="CV332" s="204" t="n"/>
      <c r="CW332" s="204" t="n"/>
      <c r="CX332" s="190" t="n"/>
    </row>
    <row r="333">
      <c r="BF333" s="78" t="n"/>
      <c r="BG333" s="78" t="n"/>
      <c r="BH333" s="78" t="n"/>
      <c r="BI333" s="78" t="n"/>
      <c r="BJ333" s="139" t="n"/>
      <c r="BK333" s="204" t="n"/>
      <c r="BL333" s="141" t="n"/>
      <c r="BM333" s="205" t="n"/>
      <c r="BN333" s="205" t="n"/>
      <c r="BO333" s="206" t="n"/>
      <c r="BP333" s="144" t="n"/>
      <c r="BQ333" s="141" t="n"/>
      <c r="BR333" s="207" t="n"/>
      <c r="BS333" s="207" t="n"/>
      <c r="BT333" s="207" t="n"/>
      <c r="BU333" s="207" t="n"/>
      <c r="BV333" s="208" t="n"/>
      <c r="BW333" s="207" t="n"/>
      <c r="BX333" s="207" t="n"/>
      <c r="BY333" s="204" t="n"/>
      <c r="BZ333" s="148" t="n"/>
      <c r="CA333" s="204" t="n"/>
      <c r="CB333" s="208" t="n"/>
      <c r="CC333" s="139" t="n"/>
      <c r="CD333" s="204" t="n"/>
      <c r="CE333" s="204" t="n"/>
      <c r="CF333" s="207" t="n"/>
      <c r="CG333" s="208" t="n"/>
      <c r="CH333" s="207" t="n"/>
      <c r="CI333" s="208" t="n"/>
      <c r="CJ333" s="204" t="n"/>
      <c r="CK333" s="208" t="n"/>
      <c r="CL333" s="208" t="n"/>
      <c r="CM333" s="208" t="n"/>
      <c r="CN333" s="78" t="n"/>
      <c r="CO333" s="209" t="n"/>
      <c r="CP333" s="204" t="n"/>
      <c r="CQ333" s="204" t="n"/>
      <c r="CR333" s="204" t="n"/>
      <c r="CS333" s="204" t="n"/>
      <c r="CT333" s="204" t="n"/>
      <c r="CU333" s="204" t="n"/>
      <c r="CV333" s="204" t="n"/>
      <c r="CW333" s="204" t="n"/>
      <c r="CX333" s="190" t="n"/>
    </row>
    <row r="334">
      <c r="BF334" s="78" t="n"/>
      <c r="BG334" s="78" t="n"/>
      <c r="BH334" s="78" t="n"/>
      <c r="BI334" s="78" t="n"/>
      <c r="BJ334" s="139" t="n"/>
      <c r="BK334" s="204" t="n"/>
      <c r="BL334" s="141" t="n"/>
      <c r="BM334" s="205" t="n"/>
      <c r="BN334" s="205" t="n"/>
      <c r="BO334" s="206" t="n"/>
      <c r="BP334" s="144" t="n"/>
      <c r="BQ334" s="141" t="n"/>
      <c r="BR334" s="207" t="n"/>
      <c r="BS334" s="207" t="n"/>
      <c r="BT334" s="207" t="n"/>
      <c r="BU334" s="207" t="n"/>
      <c r="BV334" s="208" t="n"/>
      <c r="BW334" s="207" t="n"/>
      <c r="BX334" s="207" t="n"/>
      <c r="BY334" s="204" t="n"/>
      <c r="BZ334" s="148" t="n"/>
      <c r="CA334" s="204" t="n"/>
      <c r="CB334" s="208" t="n"/>
      <c r="CC334" s="139" t="n"/>
      <c r="CD334" s="204" t="n"/>
      <c r="CE334" s="204" t="n"/>
      <c r="CF334" s="207" t="n"/>
      <c r="CG334" s="208" t="n"/>
      <c r="CH334" s="207" t="n"/>
      <c r="CI334" s="208" t="n"/>
      <c r="CJ334" s="204" t="n"/>
      <c r="CK334" s="208" t="n"/>
      <c r="CL334" s="208" t="n"/>
      <c r="CM334" s="208" t="n"/>
      <c r="CN334" s="78" t="n"/>
      <c r="CO334" s="209" t="n"/>
      <c r="CP334" s="204" t="n"/>
      <c r="CQ334" s="204" t="n"/>
      <c r="CR334" s="204" t="n"/>
      <c r="CS334" s="204" t="n"/>
      <c r="CT334" s="204" t="n"/>
      <c r="CU334" s="204" t="n"/>
      <c r="CV334" s="204" t="n"/>
      <c r="CW334" s="204" t="n"/>
      <c r="CX334" s="190" t="n"/>
    </row>
    <row r="335">
      <c r="BF335" s="78" t="n"/>
      <c r="BG335" s="78" t="n"/>
      <c r="BH335" s="78" t="n"/>
      <c r="BI335" s="78" t="n"/>
      <c r="BJ335" s="139" t="n"/>
      <c r="BK335" s="204" t="n"/>
      <c r="BL335" s="141" t="n"/>
      <c r="BM335" s="205" t="n"/>
      <c r="BN335" s="205" t="n"/>
      <c r="BO335" s="206" t="n"/>
      <c r="BP335" s="144" t="n"/>
      <c r="BQ335" s="141" t="n"/>
      <c r="BR335" s="207" t="n"/>
      <c r="BS335" s="207" t="n"/>
      <c r="BT335" s="207" t="n"/>
      <c r="BU335" s="207" t="n"/>
      <c r="BV335" s="208" t="n"/>
      <c r="BW335" s="207" t="n"/>
      <c r="BX335" s="207" t="n"/>
      <c r="BY335" s="204" t="n"/>
      <c r="BZ335" s="148" t="n"/>
      <c r="CA335" s="204" t="n"/>
      <c r="CB335" s="208" t="n"/>
      <c r="CC335" s="139" t="n"/>
      <c r="CD335" s="204" t="n"/>
      <c r="CE335" s="204" t="n"/>
      <c r="CF335" s="207" t="n"/>
      <c r="CG335" s="208" t="n"/>
      <c r="CH335" s="207" t="n"/>
      <c r="CI335" s="208" t="n"/>
      <c r="CJ335" s="204" t="n"/>
      <c r="CK335" s="208" t="n"/>
      <c r="CL335" s="208" t="n"/>
      <c r="CM335" s="208" t="n"/>
      <c r="CN335" s="78" t="n"/>
      <c r="CO335" s="209" t="n"/>
      <c r="CP335" s="204" t="n"/>
      <c r="CQ335" s="204" t="n"/>
      <c r="CR335" s="204" t="n"/>
      <c r="CS335" s="204" t="n"/>
      <c r="CT335" s="204" t="n"/>
      <c r="CU335" s="204" t="n"/>
      <c r="CV335" s="204" t="n"/>
      <c r="CW335" s="204" t="n"/>
      <c r="CX335" s="190" t="n"/>
    </row>
    <row r="336">
      <c r="BF336" s="78" t="n"/>
      <c r="BG336" s="78" t="n"/>
      <c r="BH336" s="78" t="n"/>
      <c r="BI336" s="78" t="n"/>
      <c r="BJ336" s="139" t="n"/>
      <c r="BK336" s="204" t="n"/>
      <c r="BL336" s="141" t="n"/>
      <c r="BM336" s="205" t="n"/>
      <c r="BN336" s="205" t="n"/>
      <c r="BO336" s="206" t="n"/>
      <c r="BP336" s="144" t="n"/>
      <c r="BQ336" s="141" t="n"/>
      <c r="BR336" s="207" t="n"/>
      <c r="BS336" s="207" t="n"/>
      <c r="BT336" s="207" t="n"/>
      <c r="BU336" s="207" t="n"/>
      <c r="BV336" s="208" t="n"/>
      <c r="BW336" s="207" t="n"/>
      <c r="BX336" s="207" t="n"/>
      <c r="BY336" s="204" t="n"/>
      <c r="BZ336" s="148" t="n"/>
      <c r="CA336" s="204" t="n"/>
      <c r="CB336" s="208" t="n"/>
      <c r="CC336" s="139" t="n"/>
      <c r="CD336" s="204" t="n"/>
      <c r="CE336" s="204" t="n"/>
      <c r="CF336" s="207" t="n"/>
      <c r="CG336" s="208" t="n"/>
      <c r="CH336" s="207" t="n"/>
      <c r="CI336" s="208" t="n"/>
      <c r="CJ336" s="204" t="n"/>
      <c r="CK336" s="208" t="n"/>
      <c r="CL336" s="208" t="n"/>
      <c r="CM336" s="208" t="n"/>
      <c r="CN336" s="78" t="n"/>
      <c r="CO336" s="209" t="n"/>
      <c r="CP336" s="204" t="n"/>
      <c r="CQ336" s="204" t="n"/>
      <c r="CR336" s="204" t="n"/>
      <c r="CS336" s="204" t="n"/>
      <c r="CT336" s="204" t="n"/>
      <c r="CU336" s="204" t="n"/>
      <c r="CV336" s="204" t="n"/>
      <c r="CW336" s="204" t="n"/>
      <c r="CX336" s="190" t="n"/>
    </row>
    <row r="337">
      <c r="BF337" s="78" t="n"/>
      <c r="BG337" s="78" t="n"/>
      <c r="BH337" s="78" t="n"/>
      <c r="BI337" s="78" t="n"/>
      <c r="BJ337" s="139" t="n"/>
      <c r="BK337" s="204" t="n"/>
      <c r="BL337" s="141" t="n"/>
      <c r="BM337" s="205" t="n"/>
      <c r="BN337" s="205" t="n"/>
      <c r="BO337" s="206" t="n"/>
      <c r="BP337" s="144" t="n"/>
      <c r="BQ337" s="141" t="n"/>
      <c r="BR337" s="207" t="n"/>
      <c r="BS337" s="207" t="n"/>
      <c r="BT337" s="207" t="n"/>
      <c r="BU337" s="207" t="n"/>
      <c r="BV337" s="208" t="n"/>
      <c r="BW337" s="207" t="n"/>
      <c r="BX337" s="207" t="n"/>
      <c r="BY337" s="204" t="n"/>
      <c r="BZ337" s="148" t="n"/>
      <c r="CA337" s="204" t="n"/>
      <c r="CB337" s="208" t="n"/>
      <c r="CC337" s="139" t="n"/>
      <c r="CD337" s="204" t="n"/>
      <c r="CE337" s="204" t="n"/>
      <c r="CF337" s="207" t="n"/>
      <c r="CG337" s="208" t="n"/>
      <c r="CH337" s="207" t="n"/>
      <c r="CI337" s="208" t="n"/>
      <c r="CJ337" s="204" t="n"/>
      <c r="CK337" s="208" t="n"/>
      <c r="CL337" s="208" t="n"/>
      <c r="CM337" s="208" t="n"/>
      <c r="CN337" s="78" t="n"/>
      <c r="CO337" s="209" t="n"/>
      <c r="CP337" s="204" t="n"/>
      <c r="CQ337" s="204" t="n"/>
      <c r="CR337" s="204" t="n"/>
      <c r="CS337" s="204" t="n"/>
      <c r="CT337" s="204" t="n"/>
      <c r="CU337" s="204" t="n"/>
      <c r="CV337" s="204" t="n"/>
      <c r="CW337" s="204" t="n"/>
      <c r="CX337" s="190" t="n"/>
    </row>
    <row r="338">
      <c r="BF338" s="78" t="n"/>
      <c r="BG338" s="78" t="n"/>
      <c r="BH338" s="78" t="n"/>
      <c r="BI338" s="78" t="n"/>
      <c r="BJ338" s="139" t="n"/>
      <c r="BK338" s="204" t="n"/>
      <c r="BL338" s="141" t="n"/>
      <c r="BM338" s="205" t="n"/>
      <c r="BN338" s="205" t="n"/>
      <c r="BO338" s="206" t="n"/>
      <c r="BP338" s="144" t="n"/>
      <c r="BQ338" s="141" t="n"/>
      <c r="BR338" s="207" t="n"/>
      <c r="BS338" s="207" t="n"/>
      <c r="BT338" s="207" t="n"/>
      <c r="BU338" s="207" t="n"/>
      <c r="BV338" s="208" t="n"/>
      <c r="BW338" s="207" t="n"/>
      <c r="BX338" s="207" t="n"/>
      <c r="BY338" s="204" t="n"/>
      <c r="BZ338" s="148" t="n"/>
      <c r="CA338" s="204" t="n"/>
      <c r="CB338" s="208" t="n"/>
      <c r="CC338" s="139" t="n"/>
      <c r="CD338" s="204" t="n"/>
      <c r="CE338" s="204" t="n"/>
      <c r="CF338" s="207" t="n"/>
      <c r="CG338" s="208" t="n"/>
      <c r="CH338" s="207" t="n"/>
      <c r="CI338" s="208" t="n"/>
      <c r="CJ338" s="204" t="n"/>
      <c r="CK338" s="208" t="n"/>
      <c r="CL338" s="208" t="n"/>
      <c r="CM338" s="208" t="n"/>
      <c r="CN338" s="78" t="n"/>
      <c r="CO338" s="209" t="n"/>
      <c r="CP338" s="204" t="n"/>
      <c r="CQ338" s="204" t="n"/>
      <c r="CR338" s="204" t="n"/>
      <c r="CS338" s="204" t="n"/>
      <c r="CT338" s="204" t="n"/>
      <c r="CU338" s="204" t="n"/>
      <c r="CV338" s="204" t="n"/>
      <c r="CW338" s="204" t="n"/>
      <c r="CX338" s="190" t="n"/>
    </row>
    <row r="339">
      <c r="BF339" s="78" t="n"/>
      <c r="BG339" s="78" t="n"/>
      <c r="BH339" s="78" t="n"/>
      <c r="BI339" s="78" t="n"/>
      <c r="BJ339" s="139" t="n"/>
      <c r="BK339" s="204" t="n"/>
      <c r="BL339" s="141" t="n"/>
      <c r="BM339" s="205" t="n"/>
      <c r="BN339" s="205" t="n"/>
      <c r="BO339" s="206" t="n"/>
      <c r="BP339" s="144" t="n"/>
      <c r="BQ339" s="141" t="n"/>
      <c r="BR339" s="207" t="n"/>
      <c r="BS339" s="207" t="n"/>
      <c r="BT339" s="207" t="n"/>
      <c r="BU339" s="207" t="n"/>
      <c r="BV339" s="208" t="n"/>
      <c r="BW339" s="207" t="n"/>
      <c r="BX339" s="207" t="n"/>
      <c r="BY339" s="204" t="n"/>
      <c r="BZ339" s="148" t="n"/>
      <c r="CA339" s="204" t="n"/>
      <c r="CB339" s="208" t="n"/>
      <c r="CC339" s="139" t="n"/>
      <c r="CD339" s="204" t="n"/>
      <c r="CE339" s="204" t="n"/>
      <c r="CF339" s="207" t="n"/>
      <c r="CG339" s="208" t="n"/>
      <c r="CH339" s="207" t="n"/>
      <c r="CI339" s="208" t="n"/>
      <c r="CJ339" s="204" t="n"/>
      <c r="CK339" s="208" t="n"/>
      <c r="CL339" s="208" t="n"/>
      <c r="CM339" s="208" t="n"/>
      <c r="CN339" s="78" t="n"/>
      <c r="CO339" s="209" t="n"/>
      <c r="CP339" s="204" t="n"/>
      <c r="CQ339" s="204" t="n"/>
      <c r="CR339" s="204" t="n"/>
      <c r="CS339" s="204" t="n"/>
      <c r="CT339" s="204" t="n"/>
      <c r="CU339" s="204" t="n"/>
      <c r="CV339" s="204" t="n"/>
      <c r="CW339" s="204" t="n"/>
      <c r="CX339" s="190" t="n"/>
    </row>
    <row r="340">
      <c r="BF340" s="78" t="n"/>
      <c r="BG340" s="78" t="n"/>
      <c r="BH340" s="78" t="n"/>
      <c r="BI340" s="78" t="n"/>
      <c r="BJ340" s="139" t="n"/>
      <c r="BK340" s="204" t="n"/>
      <c r="BL340" s="141" t="n"/>
      <c r="BM340" s="205" t="n"/>
      <c r="BN340" s="205" t="n"/>
      <c r="BO340" s="206" t="n"/>
      <c r="BP340" s="144" t="n"/>
      <c r="BQ340" s="141" t="n"/>
      <c r="BR340" s="207" t="n"/>
      <c r="BS340" s="207" t="n"/>
      <c r="BT340" s="207" t="n"/>
      <c r="BU340" s="207" t="n"/>
      <c r="BV340" s="208" t="n"/>
      <c r="BW340" s="207" t="n"/>
      <c r="BX340" s="207" t="n"/>
      <c r="BY340" s="204" t="n"/>
      <c r="BZ340" s="148" t="n"/>
      <c r="CA340" s="204" t="n"/>
      <c r="CB340" s="208" t="n"/>
      <c r="CC340" s="139" t="n"/>
      <c r="CD340" s="204" t="n"/>
      <c r="CE340" s="204" t="n"/>
      <c r="CF340" s="207" t="n"/>
      <c r="CG340" s="208" t="n"/>
      <c r="CH340" s="207" t="n"/>
      <c r="CI340" s="208" t="n"/>
      <c r="CJ340" s="204" t="n"/>
      <c r="CK340" s="208" t="n"/>
      <c r="CL340" s="208" t="n"/>
      <c r="CM340" s="208" t="n"/>
      <c r="CN340" s="78" t="n"/>
      <c r="CO340" s="209" t="n"/>
      <c r="CP340" s="204" t="n"/>
      <c r="CQ340" s="204" t="n"/>
      <c r="CR340" s="204" t="n"/>
      <c r="CS340" s="204" t="n"/>
      <c r="CT340" s="204" t="n"/>
      <c r="CU340" s="204" t="n"/>
      <c r="CV340" s="204" t="n"/>
      <c r="CW340" s="204" t="n"/>
      <c r="CX340" s="190" t="n"/>
    </row>
    <row r="341">
      <c r="BF341" s="78" t="n"/>
      <c r="BG341" s="78" t="n"/>
      <c r="BH341" s="78" t="n"/>
      <c r="BI341" s="78" t="n"/>
      <c r="BJ341" s="139" t="n"/>
      <c r="BK341" s="204" t="n"/>
      <c r="BL341" s="141" t="n"/>
      <c r="BM341" s="205" t="n"/>
      <c r="BN341" s="205" t="n"/>
      <c r="BO341" s="206" t="n"/>
      <c r="BP341" s="144" t="n"/>
      <c r="BQ341" s="141" t="n"/>
      <c r="BR341" s="207" t="n"/>
      <c r="BS341" s="207" t="n"/>
      <c r="BT341" s="207" t="n"/>
      <c r="BU341" s="207" t="n"/>
      <c r="BV341" s="208" t="n"/>
      <c r="BW341" s="207" t="n"/>
      <c r="BX341" s="207" t="n"/>
      <c r="BY341" s="204" t="n"/>
      <c r="BZ341" s="148" t="n"/>
      <c r="CA341" s="204" t="n"/>
      <c r="CB341" s="208" t="n"/>
      <c r="CC341" s="139" t="n"/>
      <c r="CD341" s="204" t="n"/>
      <c r="CE341" s="204" t="n"/>
      <c r="CF341" s="207" t="n"/>
      <c r="CG341" s="208" t="n"/>
      <c r="CH341" s="207" t="n"/>
      <c r="CI341" s="208" t="n"/>
      <c r="CJ341" s="204" t="n"/>
      <c r="CK341" s="208" t="n"/>
      <c r="CL341" s="208" t="n"/>
      <c r="CM341" s="208" t="n"/>
      <c r="CN341" s="78" t="n"/>
      <c r="CO341" s="209" t="n"/>
      <c r="CP341" s="204" t="n"/>
      <c r="CQ341" s="204" t="n"/>
      <c r="CR341" s="204" t="n"/>
      <c r="CS341" s="204" t="n"/>
      <c r="CT341" s="204" t="n"/>
      <c r="CU341" s="204" t="n"/>
      <c r="CV341" s="204" t="n"/>
      <c r="CW341" s="204" t="n"/>
      <c r="CX341" s="190" t="n"/>
    </row>
    <row r="342">
      <c r="BF342" s="78" t="n"/>
      <c r="BG342" s="78" t="n"/>
      <c r="BH342" s="78" t="n"/>
      <c r="BI342" s="78" t="n"/>
      <c r="BJ342" s="139" t="n"/>
      <c r="BK342" s="204" t="n"/>
      <c r="BL342" s="141" t="n"/>
      <c r="BM342" s="205" t="n"/>
      <c r="BN342" s="205" t="n"/>
      <c r="BO342" s="206" t="n"/>
      <c r="BP342" s="144" t="n"/>
      <c r="BQ342" s="141" t="n"/>
      <c r="BR342" s="207" t="n"/>
      <c r="BS342" s="207" t="n"/>
      <c r="BT342" s="207" t="n"/>
      <c r="BU342" s="207" t="n"/>
      <c r="BV342" s="208" t="n"/>
      <c r="BW342" s="207" t="n"/>
      <c r="BX342" s="207" t="n"/>
      <c r="BY342" s="204" t="n"/>
      <c r="BZ342" s="148" t="n"/>
      <c r="CA342" s="204" t="n"/>
      <c r="CB342" s="208" t="n"/>
      <c r="CC342" s="139" t="n"/>
      <c r="CD342" s="204" t="n"/>
      <c r="CE342" s="204" t="n"/>
      <c r="CF342" s="207" t="n"/>
      <c r="CG342" s="208" t="n"/>
      <c r="CH342" s="207" t="n"/>
      <c r="CI342" s="208" t="n"/>
      <c r="CJ342" s="204" t="n"/>
      <c r="CK342" s="208" t="n"/>
      <c r="CL342" s="208" t="n"/>
      <c r="CM342" s="208" t="n"/>
      <c r="CN342" s="78" t="n"/>
      <c r="CO342" s="209" t="n"/>
      <c r="CP342" s="204" t="n"/>
      <c r="CQ342" s="204" t="n"/>
      <c r="CR342" s="204" t="n"/>
      <c r="CS342" s="204" t="n"/>
      <c r="CT342" s="204" t="n"/>
      <c r="CU342" s="204" t="n"/>
      <c r="CV342" s="204" t="n"/>
      <c r="CW342" s="204" t="n"/>
      <c r="CX342" s="190" t="n"/>
    </row>
    <row r="343">
      <c r="BF343" s="78" t="n"/>
      <c r="BG343" s="78" t="n"/>
      <c r="BH343" s="78" t="n"/>
      <c r="BI343" s="78" t="n"/>
      <c r="BJ343" s="139" t="n"/>
      <c r="BK343" s="204" t="n"/>
      <c r="BL343" s="141" t="n"/>
      <c r="BM343" s="205" t="n"/>
      <c r="BN343" s="205" t="n"/>
      <c r="BO343" s="206" t="n"/>
      <c r="BP343" s="144" t="n"/>
      <c r="BQ343" s="141" t="n"/>
      <c r="BR343" s="207" t="n"/>
      <c r="BS343" s="207" t="n"/>
      <c r="BT343" s="207" t="n"/>
      <c r="BU343" s="207" t="n"/>
      <c r="BV343" s="208" t="n"/>
      <c r="BW343" s="207" t="n"/>
      <c r="BX343" s="207" t="n"/>
      <c r="BY343" s="204" t="n"/>
      <c r="BZ343" s="148" t="n"/>
      <c r="CA343" s="204" t="n"/>
      <c r="CB343" s="208" t="n"/>
      <c r="CC343" s="139" t="n"/>
      <c r="CD343" s="204" t="n"/>
      <c r="CE343" s="204" t="n"/>
      <c r="CF343" s="207" t="n"/>
      <c r="CG343" s="208" t="n"/>
      <c r="CH343" s="207" t="n"/>
      <c r="CI343" s="208" t="n"/>
      <c r="CJ343" s="204" t="n"/>
      <c r="CK343" s="208" t="n"/>
      <c r="CL343" s="208" t="n"/>
      <c r="CM343" s="208" t="n"/>
      <c r="CN343" s="78" t="n"/>
      <c r="CO343" s="209" t="n"/>
      <c r="CP343" s="204" t="n"/>
      <c r="CQ343" s="204" t="n"/>
      <c r="CR343" s="204" t="n"/>
      <c r="CS343" s="204" t="n"/>
      <c r="CT343" s="204" t="n"/>
      <c r="CU343" s="204" t="n"/>
      <c r="CV343" s="204" t="n"/>
      <c r="CW343" s="204" t="n"/>
      <c r="CX343" s="190" t="n"/>
    </row>
    <row r="344">
      <c r="BF344" s="78" t="n"/>
      <c r="BG344" s="78" t="n"/>
      <c r="BH344" s="78" t="n"/>
      <c r="BI344" s="78" t="n"/>
      <c r="BJ344" s="139" t="n"/>
      <c r="BK344" s="204" t="n"/>
      <c r="BL344" s="141" t="n"/>
      <c r="BM344" s="205" t="n"/>
      <c r="BN344" s="205" t="n"/>
      <c r="BO344" s="206" t="n"/>
      <c r="BP344" s="144" t="n"/>
      <c r="BQ344" s="141" t="n"/>
      <c r="BR344" s="207" t="n"/>
      <c r="BS344" s="207" t="n"/>
      <c r="BT344" s="207" t="n"/>
      <c r="BU344" s="207" t="n"/>
      <c r="BV344" s="208" t="n"/>
      <c r="BW344" s="207" t="n"/>
      <c r="BX344" s="207" t="n"/>
      <c r="BY344" s="204" t="n"/>
      <c r="BZ344" s="148" t="n"/>
      <c r="CA344" s="204" t="n"/>
      <c r="CB344" s="208" t="n"/>
      <c r="CC344" s="139" t="n"/>
      <c r="CD344" s="204" t="n"/>
      <c r="CE344" s="204" t="n"/>
      <c r="CF344" s="207" t="n"/>
      <c r="CG344" s="208" t="n"/>
      <c r="CH344" s="207" t="n"/>
      <c r="CI344" s="208" t="n"/>
      <c r="CJ344" s="204" t="n"/>
      <c r="CK344" s="208" t="n"/>
      <c r="CL344" s="208" t="n"/>
      <c r="CM344" s="208" t="n"/>
      <c r="CN344" s="78" t="n"/>
      <c r="CO344" s="209" t="n"/>
      <c r="CP344" s="204" t="n"/>
      <c r="CQ344" s="204" t="n"/>
      <c r="CR344" s="204" t="n"/>
      <c r="CS344" s="204" t="n"/>
      <c r="CT344" s="204" t="n"/>
      <c r="CU344" s="204" t="n"/>
      <c r="CV344" s="204" t="n"/>
      <c r="CW344" s="204" t="n"/>
      <c r="CX344" s="190" t="n"/>
    </row>
    <row r="345">
      <c r="BF345" s="78" t="n"/>
      <c r="BG345" s="78" t="n"/>
      <c r="BH345" s="78" t="n"/>
      <c r="BI345" s="78" t="n"/>
      <c r="BJ345" s="139" t="n"/>
      <c r="BK345" s="204" t="n"/>
      <c r="BL345" s="141" t="n"/>
      <c r="BM345" s="205" t="n"/>
      <c r="BN345" s="205" t="n"/>
      <c r="BO345" s="206" t="n"/>
      <c r="BP345" s="144" t="n"/>
      <c r="BQ345" s="141" t="n"/>
      <c r="BR345" s="207" t="n"/>
      <c r="BS345" s="207" t="n"/>
      <c r="BT345" s="207" t="n"/>
      <c r="BU345" s="207" t="n"/>
      <c r="BV345" s="208" t="n"/>
      <c r="BW345" s="207" t="n"/>
      <c r="BX345" s="207" t="n"/>
      <c r="BY345" s="204" t="n"/>
      <c r="BZ345" s="148" t="n"/>
      <c r="CA345" s="204" t="n"/>
      <c r="CB345" s="208" t="n"/>
      <c r="CC345" s="139" t="n"/>
      <c r="CD345" s="204" t="n"/>
      <c r="CE345" s="204" t="n"/>
      <c r="CF345" s="207" t="n"/>
      <c r="CG345" s="208" t="n"/>
      <c r="CH345" s="207" t="n"/>
      <c r="CI345" s="208" t="n"/>
      <c r="CJ345" s="204" t="n"/>
      <c r="CK345" s="208" t="n"/>
      <c r="CL345" s="208" t="n"/>
      <c r="CM345" s="208" t="n"/>
      <c r="CN345" s="78" t="n"/>
      <c r="CO345" s="209" t="n"/>
      <c r="CP345" s="204" t="n"/>
      <c r="CQ345" s="204" t="n"/>
      <c r="CR345" s="204" t="n"/>
      <c r="CS345" s="204" t="n"/>
      <c r="CT345" s="204" t="n"/>
      <c r="CU345" s="204" t="n"/>
      <c r="CV345" s="204" t="n"/>
      <c r="CW345" s="204" t="n"/>
      <c r="CX345" s="190" t="n"/>
    </row>
    <row r="346">
      <c r="BF346" s="78" t="n"/>
      <c r="BG346" s="78" t="n"/>
      <c r="BH346" s="78" t="n"/>
      <c r="BI346" s="78" t="n"/>
      <c r="BJ346" s="139" t="n"/>
      <c r="BK346" s="204" t="n"/>
      <c r="BL346" s="141" t="n"/>
      <c r="BM346" s="205" t="n"/>
      <c r="BN346" s="205" t="n"/>
      <c r="BO346" s="206" t="n"/>
      <c r="BP346" s="144" t="n"/>
      <c r="BQ346" s="141" t="n"/>
      <c r="BR346" s="207" t="n"/>
      <c r="BS346" s="207" t="n"/>
      <c r="BT346" s="207" t="n"/>
      <c r="BU346" s="207" t="n"/>
      <c r="BV346" s="208" t="n"/>
      <c r="BW346" s="207" t="n"/>
      <c r="BX346" s="207" t="n"/>
      <c r="BY346" s="204" t="n"/>
      <c r="BZ346" s="148" t="n"/>
      <c r="CA346" s="204" t="n"/>
      <c r="CB346" s="208" t="n"/>
      <c r="CC346" s="139" t="n"/>
      <c r="CD346" s="204" t="n"/>
      <c r="CE346" s="204" t="n"/>
      <c r="CF346" s="207" t="n"/>
      <c r="CG346" s="208" t="n"/>
      <c r="CH346" s="207" t="n"/>
      <c r="CI346" s="208" t="n"/>
      <c r="CJ346" s="204" t="n"/>
      <c r="CK346" s="208" t="n"/>
      <c r="CL346" s="208" t="n"/>
      <c r="CM346" s="208" t="n"/>
      <c r="CN346" s="78" t="n"/>
      <c r="CO346" s="209" t="n"/>
      <c r="CP346" s="204" t="n"/>
      <c r="CQ346" s="204" t="n"/>
      <c r="CR346" s="204" t="n"/>
      <c r="CS346" s="204" t="n"/>
      <c r="CT346" s="204" t="n"/>
      <c r="CU346" s="204" t="n"/>
      <c r="CV346" s="204" t="n"/>
      <c r="CW346" s="204" t="n"/>
      <c r="CX346" s="190" t="n"/>
    </row>
    <row r="347">
      <c r="BF347" s="78" t="n"/>
      <c r="BG347" s="78" t="n"/>
      <c r="BH347" s="78" t="n"/>
      <c r="BI347" s="78" t="n"/>
      <c r="BJ347" s="139" t="n"/>
      <c r="BK347" s="204" t="n"/>
      <c r="BL347" s="141" t="n"/>
      <c r="BM347" s="205" t="n"/>
      <c r="BN347" s="205" t="n"/>
      <c r="BO347" s="206" t="n"/>
      <c r="BP347" s="144" t="n"/>
      <c r="BQ347" s="141" t="n"/>
      <c r="BR347" s="207" t="n"/>
      <c r="BS347" s="207" t="n"/>
      <c r="BT347" s="207" t="n"/>
      <c r="BU347" s="207" t="n"/>
      <c r="BV347" s="208" t="n"/>
      <c r="BW347" s="207" t="n"/>
      <c r="BX347" s="207" t="n"/>
      <c r="BY347" s="204" t="n"/>
      <c r="BZ347" s="148" t="n"/>
      <c r="CA347" s="204" t="n"/>
      <c r="CB347" s="208" t="n"/>
      <c r="CC347" s="139" t="n"/>
      <c r="CD347" s="204" t="n"/>
      <c r="CE347" s="204" t="n"/>
      <c r="CF347" s="207" t="n"/>
      <c r="CG347" s="208" t="n"/>
      <c r="CH347" s="207" t="n"/>
      <c r="CI347" s="208" t="n"/>
      <c r="CJ347" s="204" t="n"/>
      <c r="CK347" s="208" t="n"/>
      <c r="CL347" s="208" t="n"/>
      <c r="CM347" s="208" t="n"/>
      <c r="CN347" s="78" t="n"/>
      <c r="CO347" s="209" t="n"/>
      <c r="CP347" s="204" t="n"/>
      <c r="CQ347" s="204" t="n"/>
      <c r="CR347" s="204" t="n"/>
      <c r="CS347" s="204" t="n"/>
      <c r="CT347" s="204" t="n"/>
      <c r="CU347" s="204" t="n"/>
      <c r="CV347" s="204" t="n"/>
      <c r="CW347" s="204" t="n"/>
      <c r="CX347" s="190" t="n"/>
    </row>
    <row r="348">
      <c r="BF348" s="78" t="n"/>
      <c r="BG348" s="78" t="n"/>
      <c r="BH348" s="78" t="n"/>
      <c r="BI348" s="78" t="n"/>
      <c r="BJ348" s="139" t="n"/>
      <c r="BK348" s="204" t="n"/>
      <c r="BL348" s="141" t="n"/>
      <c r="BM348" s="205" t="n"/>
      <c r="BN348" s="205" t="n"/>
      <c r="BO348" s="206" t="n"/>
      <c r="BP348" s="144" t="n"/>
      <c r="BQ348" s="141" t="n"/>
      <c r="BR348" s="207" t="n"/>
      <c r="BS348" s="207" t="n"/>
      <c r="BT348" s="207" t="n"/>
      <c r="BU348" s="207" t="n"/>
      <c r="BV348" s="208" t="n"/>
      <c r="BW348" s="207" t="n"/>
      <c r="BX348" s="207" t="n"/>
      <c r="BY348" s="204" t="n"/>
      <c r="BZ348" s="148" t="n"/>
      <c r="CA348" s="204" t="n"/>
      <c r="CB348" s="208" t="n"/>
      <c r="CC348" s="139" t="n"/>
      <c r="CD348" s="204" t="n"/>
      <c r="CE348" s="204" t="n"/>
      <c r="CF348" s="207" t="n"/>
      <c r="CG348" s="208" t="n"/>
      <c r="CH348" s="207" t="n"/>
      <c r="CI348" s="208" t="n"/>
      <c r="CJ348" s="204" t="n"/>
      <c r="CK348" s="208" t="n"/>
      <c r="CL348" s="208" t="n"/>
      <c r="CM348" s="208" t="n"/>
      <c r="CN348" s="78" t="n"/>
      <c r="CO348" s="209" t="n"/>
      <c r="CP348" s="204" t="n"/>
      <c r="CQ348" s="204" t="n"/>
      <c r="CR348" s="204" t="n"/>
      <c r="CS348" s="204" t="n"/>
      <c r="CT348" s="204" t="n"/>
      <c r="CU348" s="204" t="n"/>
      <c r="CV348" s="204" t="n"/>
      <c r="CW348" s="204" t="n"/>
      <c r="CX348" s="190" t="n"/>
    </row>
    <row r="349">
      <c r="BF349" s="78" t="n"/>
      <c r="BG349" s="78" t="n"/>
      <c r="BH349" s="78" t="n"/>
      <c r="BI349" s="78" t="n"/>
      <c r="BJ349" s="139" t="n"/>
      <c r="BK349" s="204" t="n"/>
      <c r="BL349" s="141" t="n"/>
      <c r="BM349" s="205" t="n"/>
      <c r="BN349" s="205" t="n"/>
      <c r="BO349" s="206" t="n"/>
      <c r="BP349" s="144" t="n"/>
      <c r="BQ349" s="141" t="n"/>
      <c r="BR349" s="207" t="n"/>
      <c r="BS349" s="207" t="n"/>
      <c r="BT349" s="207" t="n"/>
      <c r="BU349" s="207" t="n"/>
      <c r="BV349" s="208" t="n"/>
      <c r="BW349" s="207" t="n"/>
      <c r="BX349" s="207" t="n"/>
      <c r="BY349" s="204" t="n"/>
      <c r="BZ349" s="148" t="n"/>
      <c r="CA349" s="204" t="n"/>
      <c r="CB349" s="208" t="n"/>
      <c r="CC349" s="139" t="n"/>
      <c r="CD349" s="204" t="n"/>
      <c r="CE349" s="204" t="n"/>
      <c r="CF349" s="207" t="n"/>
      <c r="CG349" s="208" t="n"/>
      <c r="CH349" s="207" t="n"/>
      <c r="CI349" s="208" t="n"/>
      <c r="CJ349" s="204" t="n"/>
      <c r="CK349" s="208" t="n"/>
      <c r="CL349" s="208" t="n"/>
      <c r="CM349" s="208" t="n"/>
      <c r="CN349" s="78" t="n"/>
      <c r="CO349" s="209" t="n"/>
      <c r="CP349" s="204" t="n"/>
      <c r="CQ349" s="204" t="n"/>
      <c r="CR349" s="204" t="n"/>
      <c r="CS349" s="204" t="n"/>
      <c r="CT349" s="204" t="n"/>
      <c r="CU349" s="204" t="n"/>
      <c r="CV349" s="204" t="n"/>
      <c r="CW349" s="204" t="n"/>
      <c r="CX349" s="190" t="n"/>
    </row>
    <row r="350">
      <c r="BF350" s="78" t="n"/>
      <c r="BG350" s="78" t="n"/>
      <c r="BH350" s="78" t="n"/>
      <c r="BI350" s="78" t="n"/>
      <c r="BJ350" s="139" t="n"/>
      <c r="BK350" s="204" t="n"/>
      <c r="BL350" s="141" t="n"/>
      <c r="BM350" s="205" t="n"/>
      <c r="BN350" s="205" t="n"/>
      <c r="BO350" s="206" t="n"/>
      <c r="BP350" s="144" t="n"/>
      <c r="BQ350" s="141" t="n"/>
      <c r="BR350" s="207" t="n"/>
      <c r="BS350" s="207" t="n"/>
      <c r="BT350" s="207" t="n"/>
      <c r="BU350" s="207" t="n"/>
      <c r="BV350" s="208" t="n"/>
      <c r="BW350" s="207" t="n"/>
      <c r="BX350" s="207" t="n"/>
      <c r="BY350" s="204" t="n"/>
      <c r="BZ350" s="148" t="n"/>
      <c r="CA350" s="204" t="n"/>
      <c r="CB350" s="208" t="n"/>
      <c r="CC350" s="139" t="n"/>
      <c r="CD350" s="204" t="n"/>
      <c r="CE350" s="204" t="n"/>
      <c r="CF350" s="207" t="n"/>
      <c r="CG350" s="208" t="n"/>
      <c r="CH350" s="207" t="n"/>
      <c r="CI350" s="208" t="n"/>
      <c r="CJ350" s="204" t="n"/>
      <c r="CK350" s="208" t="n"/>
      <c r="CL350" s="208" t="n"/>
      <c r="CM350" s="208" t="n"/>
      <c r="CN350" s="78" t="n"/>
      <c r="CO350" s="209" t="n"/>
      <c r="CP350" s="204" t="n"/>
      <c r="CQ350" s="204" t="n"/>
      <c r="CR350" s="204" t="n"/>
      <c r="CS350" s="204" t="n"/>
      <c r="CT350" s="204" t="n"/>
      <c r="CU350" s="204" t="n"/>
      <c r="CV350" s="204" t="n"/>
      <c r="CW350" s="204" t="n"/>
      <c r="CX350" s="190" t="n"/>
    </row>
    <row r="351">
      <c r="BF351" s="78" t="n"/>
      <c r="BG351" s="78" t="n"/>
      <c r="BH351" s="78" t="n"/>
      <c r="BI351" s="78" t="n"/>
      <c r="BJ351" s="139" t="n"/>
      <c r="BK351" s="204" t="n"/>
      <c r="BL351" s="141" t="n"/>
      <c r="BM351" s="205" t="n"/>
      <c r="BN351" s="205" t="n"/>
      <c r="BO351" s="206" t="n"/>
      <c r="BP351" s="144" t="n"/>
      <c r="BQ351" s="141" t="n"/>
      <c r="BR351" s="207" t="n"/>
      <c r="BS351" s="207" t="n"/>
      <c r="BT351" s="207" t="n"/>
      <c r="BU351" s="207" t="n"/>
      <c r="BV351" s="208" t="n"/>
      <c r="BW351" s="207" t="n"/>
      <c r="BX351" s="207" t="n"/>
      <c r="BY351" s="204" t="n"/>
      <c r="BZ351" s="148" t="n"/>
      <c r="CA351" s="204" t="n"/>
      <c r="CB351" s="208" t="n"/>
      <c r="CC351" s="139" t="n"/>
      <c r="CD351" s="204" t="n"/>
      <c r="CE351" s="204" t="n"/>
      <c r="CF351" s="207" t="n"/>
      <c r="CG351" s="208" t="n"/>
      <c r="CH351" s="207" t="n"/>
      <c r="CI351" s="208" t="n"/>
      <c r="CJ351" s="204" t="n"/>
      <c r="CK351" s="208" t="n"/>
      <c r="CL351" s="208" t="n"/>
      <c r="CM351" s="208" t="n"/>
      <c r="CN351" s="78" t="n"/>
      <c r="CO351" s="209" t="n"/>
      <c r="CP351" s="204" t="n"/>
      <c r="CQ351" s="204" t="n"/>
      <c r="CR351" s="204" t="n"/>
      <c r="CS351" s="204" t="n"/>
      <c r="CT351" s="204" t="n"/>
      <c r="CU351" s="204" t="n"/>
      <c r="CV351" s="204" t="n"/>
      <c r="CW351" s="204" t="n"/>
      <c r="CX351" s="190" t="n"/>
    </row>
    <row r="352">
      <c r="BF352" s="78" t="n"/>
      <c r="BG352" s="78" t="n"/>
      <c r="BH352" s="78" t="n"/>
      <c r="BI352" s="78" t="n"/>
      <c r="BJ352" s="139" t="n"/>
      <c r="BK352" s="204" t="n"/>
      <c r="BL352" s="141" t="n"/>
      <c r="BM352" s="205" t="n"/>
      <c r="BN352" s="205" t="n"/>
      <c r="BO352" s="206" t="n"/>
      <c r="BP352" s="144" t="n"/>
      <c r="BQ352" s="141" t="n"/>
      <c r="BR352" s="207" t="n"/>
      <c r="BS352" s="207" t="n"/>
      <c r="BT352" s="207" t="n"/>
      <c r="BU352" s="207" t="n"/>
      <c r="BV352" s="208" t="n"/>
      <c r="BW352" s="207" t="n"/>
      <c r="BX352" s="207" t="n"/>
      <c r="BY352" s="204" t="n"/>
      <c r="BZ352" s="148" t="n"/>
      <c r="CA352" s="204" t="n"/>
      <c r="CB352" s="208" t="n"/>
      <c r="CC352" s="139" t="n"/>
      <c r="CD352" s="204" t="n"/>
      <c r="CE352" s="204" t="n"/>
      <c r="CF352" s="207" t="n"/>
      <c r="CG352" s="208" t="n"/>
      <c r="CH352" s="207" t="n"/>
      <c r="CI352" s="208" t="n"/>
      <c r="CJ352" s="204" t="n"/>
      <c r="CK352" s="208" t="n"/>
      <c r="CL352" s="208" t="n"/>
      <c r="CM352" s="208" t="n"/>
      <c r="CN352" s="78" t="n"/>
      <c r="CO352" s="209" t="n"/>
      <c r="CP352" s="204" t="n"/>
      <c r="CQ352" s="204" t="n"/>
      <c r="CR352" s="204" t="n"/>
      <c r="CS352" s="204" t="n"/>
      <c r="CT352" s="204" t="n"/>
      <c r="CU352" s="204" t="n"/>
      <c r="CV352" s="204" t="n"/>
      <c r="CW352" s="204" t="n"/>
      <c r="CX352" s="190" t="n"/>
    </row>
    <row r="353">
      <c r="BF353" s="78" t="n"/>
      <c r="BG353" s="78" t="n"/>
      <c r="BH353" s="78" t="n"/>
      <c r="BI353" s="78" t="n"/>
      <c r="BJ353" s="139" t="n"/>
      <c r="BK353" s="204" t="n"/>
      <c r="BL353" s="141" t="n"/>
      <c r="BM353" s="205" t="n"/>
      <c r="BN353" s="205" t="n"/>
      <c r="BO353" s="206" t="n"/>
      <c r="BP353" s="144" t="n"/>
      <c r="BQ353" s="141" t="n"/>
      <c r="BR353" s="207" t="n"/>
      <c r="BS353" s="207" t="n"/>
      <c r="BT353" s="207" t="n"/>
      <c r="BU353" s="207" t="n"/>
      <c r="BV353" s="208" t="n"/>
      <c r="BW353" s="207" t="n"/>
      <c r="BX353" s="207" t="n"/>
      <c r="BY353" s="204" t="n"/>
      <c r="BZ353" s="148" t="n"/>
      <c r="CA353" s="204" t="n"/>
      <c r="CB353" s="208" t="n"/>
      <c r="CC353" s="139" t="n"/>
      <c r="CD353" s="204" t="n"/>
      <c r="CE353" s="204" t="n"/>
      <c r="CF353" s="207" t="n"/>
      <c r="CG353" s="208" t="n"/>
      <c r="CH353" s="207" t="n"/>
      <c r="CI353" s="208" t="n"/>
      <c r="CJ353" s="204" t="n"/>
      <c r="CK353" s="208" t="n"/>
      <c r="CL353" s="208" t="n"/>
      <c r="CM353" s="208" t="n"/>
      <c r="CN353" s="78" t="n"/>
      <c r="CO353" s="209" t="n"/>
      <c r="CP353" s="204" t="n"/>
      <c r="CQ353" s="204" t="n"/>
      <c r="CR353" s="204" t="n"/>
      <c r="CS353" s="204" t="n"/>
      <c r="CT353" s="204" t="n"/>
      <c r="CU353" s="204" t="n"/>
      <c r="CV353" s="204" t="n"/>
      <c r="CW353" s="204" t="n"/>
      <c r="CX353" s="190" t="n"/>
    </row>
    <row r="354">
      <c r="BF354" s="78" t="n"/>
      <c r="BG354" s="78" t="n"/>
      <c r="BH354" s="78" t="n"/>
      <c r="BI354" s="78" t="n"/>
      <c r="BJ354" s="139" t="n"/>
      <c r="BK354" s="204" t="n"/>
      <c r="BL354" s="141" t="n"/>
      <c r="BM354" s="205" t="n"/>
      <c r="BN354" s="205" t="n"/>
      <c r="BO354" s="206" t="n"/>
      <c r="BP354" s="144" t="n"/>
      <c r="BQ354" s="141" t="n"/>
      <c r="BR354" s="207" t="n"/>
      <c r="BS354" s="207" t="n"/>
      <c r="BT354" s="207" t="n"/>
      <c r="BU354" s="207" t="n"/>
      <c r="BV354" s="208" t="n"/>
      <c r="BW354" s="207" t="n"/>
      <c r="BX354" s="207" t="n"/>
      <c r="BY354" s="204" t="n"/>
      <c r="BZ354" s="148" t="n"/>
      <c r="CA354" s="204" t="n"/>
      <c r="CB354" s="208" t="n"/>
      <c r="CC354" s="139" t="n"/>
      <c r="CD354" s="204" t="n"/>
      <c r="CE354" s="204" t="n"/>
      <c r="CF354" s="207" t="n"/>
      <c r="CG354" s="208" t="n"/>
      <c r="CH354" s="207" t="n"/>
      <c r="CI354" s="208" t="n"/>
      <c r="CJ354" s="204" t="n"/>
      <c r="CK354" s="208" t="n"/>
      <c r="CL354" s="208" t="n"/>
      <c r="CM354" s="208" t="n"/>
      <c r="CN354" s="78" t="n"/>
      <c r="CO354" s="209" t="n"/>
      <c r="CP354" s="204" t="n"/>
      <c r="CQ354" s="204" t="n"/>
      <c r="CR354" s="204" t="n"/>
      <c r="CS354" s="204" t="n"/>
      <c r="CT354" s="204" t="n"/>
      <c r="CU354" s="204" t="n"/>
      <c r="CV354" s="204" t="n"/>
      <c r="CW354" s="204" t="n"/>
      <c r="CX354" s="190" t="n"/>
    </row>
    <row r="355">
      <c r="BF355" s="78" t="n"/>
      <c r="BG355" s="78" t="n"/>
      <c r="BH355" s="78" t="n"/>
      <c r="BI355" s="78" t="n"/>
      <c r="BJ355" s="139" t="n"/>
      <c r="BK355" s="204" t="n"/>
      <c r="BL355" s="141" t="n"/>
      <c r="BM355" s="205" t="n"/>
      <c r="BN355" s="205" t="n"/>
      <c r="BO355" s="206" t="n"/>
      <c r="BP355" s="144" t="n"/>
      <c r="BQ355" s="141" t="n"/>
      <c r="BR355" s="207" t="n"/>
      <c r="BS355" s="207" t="n"/>
      <c r="BT355" s="207" t="n"/>
      <c r="BU355" s="207" t="n"/>
      <c r="BV355" s="208" t="n"/>
      <c r="BW355" s="207" t="n"/>
      <c r="BX355" s="207" t="n"/>
      <c r="BY355" s="204" t="n"/>
      <c r="BZ355" s="148" t="n"/>
      <c r="CA355" s="204" t="n"/>
      <c r="CB355" s="208" t="n"/>
      <c r="CC355" s="139" t="n"/>
      <c r="CD355" s="204" t="n"/>
      <c r="CE355" s="204" t="n"/>
      <c r="CF355" s="207" t="n"/>
      <c r="CG355" s="208" t="n"/>
      <c r="CH355" s="207" t="n"/>
      <c r="CI355" s="208" t="n"/>
      <c r="CJ355" s="204" t="n"/>
      <c r="CK355" s="208" t="n"/>
      <c r="CL355" s="208" t="n"/>
      <c r="CM355" s="208" t="n"/>
      <c r="CN355" s="78" t="n"/>
      <c r="CO355" s="209" t="n"/>
      <c r="CP355" s="204" t="n"/>
      <c r="CQ355" s="204" t="n"/>
      <c r="CR355" s="204" t="n"/>
      <c r="CS355" s="204" t="n"/>
      <c r="CT355" s="204" t="n"/>
      <c r="CU355" s="204" t="n"/>
      <c r="CV355" s="204" t="n"/>
      <c r="CW355" s="204" t="n"/>
      <c r="CX355" s="190" t="n"/>
    </row>
    <row r="356">
      <c r="BF356" s="78" t="n"/>
      <c r="BG356" s="78" t="n"/>
      <c r="BH356" s="78" t="n"/>
      <c r="BI356" s="78" t="n"/>
      <c r="BJ356" s="139" t="n"/>
      <c r="BK356" s="204" t="n"/>
      <c r="BL356" s="141" t="n"/>
      <c r="BM356" s="205" t="n"/>
      <c r="BN356" s="205" t="n"/>
      <c r="BO356" s="206" t="n"/>
      <c r="BP356" s="144" t="n"/>
      <c r="BQ356" s="141" t="n"/>
      <c r="BR356" s="207" t="n"/>
      <c r="BS356" s="207" t="n"/>
      <c r="BT356" s="207" t="n"/>
      <c r="BU356" s="207" t="n"/>
      <c r="BV356" s="208" t="n"/>
      <c r="BW356" s="207" t="n"/>
      <c r="BX356" s="207" t="n"/>
      <c r="BY356" s="204" t="n"/>
      <c r="BZ356" s="148" t="n"/>
      <c r="CA356" s="204" t="n"/>
      <c r="CB356" s="208" t="n"/>
      <c r="CC356" s="139" t="n"/>
      <c r="CD356" s="204" t="n"/>
      <c r="CE356" s="204" t="n"/>
      <c r="CF356" s="207" t="n"/>
      <c r="CG356" s="208" t="n"/>
      <c r="CH356" s="207" t="n"/>
      <c r="CI356" s="208" t="n"/>
      <c r="CJ356" s="204" t="n"/>
      <c r="CK356" s="208" t="n"/>
      <c r="CL356" s="208" t="n"/>
      <c r="CM356" s="208" t="n"/>
      <c r="CN356" s="78" t="n"/>
      <c r="CO356" s="209" t="n"/>
      <c r="CP356" s="204" t="n"/>
      <c r="CQ356" s="204" t="n"/>
      <c r="CR356" s="204" t="n"/>
      <c r="CS356" s="204" t="n"/>
      <c r="CT356" s="204" t="n"/>
      <c r="CU356" s="204" t="n"/>
      <c r="CV356" s="204" t="n"/>
      <c r="CW356" s="204" t="n"/>
      <c r="CX356" s="190" t="n"/>
    </row>
    <row r="357">
      <c r="BF357" s="78" t="n"/>
      <c r="BG357" s="78" t="n"/>
      <c r="BH357" s="78" t="n"/>
      <c r="BI357" s="78" t="n"/>
      <c r="BJ357" s="139" t="n"/>
      <c r="BK357" s="204" t="n"/>
      <c r="BL357" s="141" t="n"/>
      <c r="BM357" s="205" t="n"/>
      <c r="BN357" s="205" t="n"/>
      <c r="BO357" s="206" t="n"/>
      <c r="BP357" s="144" t="n"/>
      <c r="BQ357" s="141" t="n"/>
      <c r="BR357" s="207" t="n"/>
      <c r="BS357" s="207" t="n"/>
      <c r="BT357" s="207" t="n"/>
      <c r="BU357" s="207" t="n"/>
      <c r="BV357" s="208" t="n"/>
      <c r="BW357" s="207" t="n"/>
      <c r="BX357" s="207" t="n"/>
      <c r="BY357" s="204" t="n"/>
      <c r="BZ357" s="148" t="n"/>
      <c r="CA357" s="204" t="n"/>
      <c r="CB357" s="208" t="n"/>
      <c r="CC357" s="139" t="n"/>
      <c r="CD357" s="204" t="n"/>
      <c r="CE357" s="204" t="n"/>
      <c r="CF357" s="207" t="n"/>
      <c r="CG357" s="208" t="n"/>
      <c r="CH357" s="207" t="n"/>
      <c r="CI357" s="208" t="n"/>
      <c r="CJ357" s="204" t="n"/>
      <c r="CK357" s="208" t="n"/>
      <c r="CL357" s="208" t="n"/>
      <c r="CM357" s="208" t="n"/>
      <c r="CN357" s="78" t="n"/>
      <c r="CO357" s="209" t="n"/>
      <c r="CP357" s="204" t="n"/>
      <c r="CQ357" s="204" t="n"/>
      <c r="CR357" s="204" t="n"/>
      <c r="CS357" s="204" t="n"/>
      <c r="CT357" s="204" t="n"/>
      <c r="CU357" s="204" t="n"/>
      <c r="CV357" s="204" t="n"/>
      <c r="CW357" s="204" t="n"/>
      <c r="CX357" s="190" t="n"/>
    </row>
    <row r="358">
      <c r="BF358" s="78" t="n"/>
      <c r="BG358" s="78" t="n"/>
      <c r="BH358" s="78" t="n"/>
      <c r="BI358" s="78" t="n"/>
      <c r="BJ358" s="139" t="n"/>
      <c r="BK358" s="204" t="n"/>
      <c r="BL358" s="141" t="n"/>
      <c r="BM358" s="205" t="n"/>
      <c r="BN358" s="205" t="n"/>
      <c r="BO358" s="206" t="n"/>
      <c r="BP358" s="144" t="n"/>
      <c r="BQ358" s="141" t="n"/>
      <c r="BR358" s="207" t="n"/>
      <c r="BS358" s="207" t="n"/>
      <c r="BT358" s="207" t="n"/>
      <c r="BU358" s="207" t="n"/>
      <c r="BV358" s="208" t="n"/>
      <c r="BW358" s="207" t="n"/>
      <c r="BX358" s="207" t="n"/>
      <c r="BY358" s="204" t="n"/>
      <c r="BZ358" s="148" t="n"/>
      <c r="CA358" s="204" t="n"/>
      <c r="CB358" s="208" t="n"/>
      <c r="CC358" s="139" t="n"/>
      <c r="CD358" s="204" t="n"/>
      <c r="CE358" s="204" t="n"/>
      <c r="CF358" s="207" t="n"/>
      <c r="CG358" s="208" t="n"/>
      <c r="CH358" s="207" t="n"/>
      <c r="CI358" s="208" t="n"/>
      <c r="CJ358" s="204" t="n"/>
      <c r="CK358" s="208" t="n"/>
      <c r="CL358" s="208" t="n"/>
      <c r="CM358" s="208" t="n"/>
      <c r="CN358" s="78" t="n"/>
      <c r="CO358" s="209" t="n"/>
      <c r="CP358" s="204" t="n"/>
      <c r="CQ358" s="204" t="n"/>
      <c r="CR358" s="204" t="n"/>
      <c r="CS358" s="204" t="n"/>
      <c r="CT358" s="204" t="n"/>
      <c r="CU358" s="204" t="n"/>
      <c r="CV358" s="204" t="n"/>
      <c r="CW358" s="204" t="n"/>
      <c r="CX358" s="190" t="n"/>
    </row>
    <row r="359">
      <c r="BF359" s="78" t="n"/>
      <c r="BG359" s="78" t="n"/>
      <c r="BH359" s="78" t="n"/>
      <c r="BI359" s="78" t="n"/>
      <c r="BJ359" s="139" t="n"/>
      <c r="BK359" s="204" t="n"/>
      <c r="BL359" s="141" t="n"/>
      <c r="BM359" s="205" t="n"/>
      <c r="BN359" s="205" t="n"/>
      <c r="BO359" s="206" t="n"/>
      <c r="BP359" s="144" t="n"/>
      <c r="BQ359" s="141" t="n"/>
      <c r="BR359" s="207" t="n"/>
      <c r="BS359" s="207" t="n"/>
      <c r="BT359" s="207" t="n"/>
      <c r="BU359" s="207" t="n"/>
      <c r="BV359" s="208" t="n"/>
      <c r="BW359" s="207" t="n"/>
      <c r="BX359" s="207" t="n"/>
      <c r="BY359" s="204" t="n"/>
      <c r="BZ359" s="148" t="n"/>
      <c r="CA359" s="204" t="n"/>
      <c r="CB359" s="208" t="n"/>
      <c r="CC359" s="139" t="n"/>
      <c r="CD359" s="204" t="n"/>
      <c r="CE359" s="204" t="n"/>
      <c r="CF359" s="207" t="n"/>
      <c r="CG359" s="208" t="n"/>
      <c r="CH359" s="207" t="n"/>
      <c r="CI359" s="208" t="n"/>
      <c r="CJ359" s="204" t="n"/>
      <c r="CK359" s="208" t="n"/>
      <c r="CL359" s="208" t="n"/>
      <c r="CM359" s="208" t="n"/>
      <c r="CN359" s="78" t="n"/>
      <c r="CO359" s="209" t="n"/>
      <c r="CP359" s="204" t="n"/>
      <c r="CQ359" s="204" t="n"/>
      <c r="CR359" s="204" t="n"/>
      <c r="CS359" s="204" t="n"/>
      <c r="CT359" s="204" t="n"/>
      <c r="CU359" s="204" t="n"/>
      <c r="CV359" s="204" t="n"/>
      <c r="CW359" s="204" t="n"/>
      <c r="CX359" s="190" t="n"/>
    </row>
    <row r="360">
      <c r="BF360" s="78" t="n"/>
      <c r="BG360" s="78" t="n"/>
      <c r="BH360" s="78" t="n"/>
      <c r="BI360" s="78" t="n"/>
      <c r="BJ360" s="139" t="n"/>
      <c r="BK360" s="204" t="n"/>
      <c r="BL360" s="141" t="n"/>
      <c r="BM360" s="205" t="n"/>
      <c r="BN360" s="205" t="n"/>
      <c r="BO360" s="206" t="n"/>
      <c r="BP360" s="144" t="n"/>
      <c r="BQ360" s="141" t="n"/>
      <c r="BR360" s="207" t="n"/>
      <c r="BS360" s="207" t="n"/>
      <c r="BT360" s="207" t="n"/>
      <c r="BU360" s="207" t="n"/>
      <c r="BV360" s="208" t="n"/>
      <c r="BW360" s="207" t="n"/>
      <c r="BX360" s="207" t="n"/>
      <c r="BY360" s="204" t="n"/>
      <c r="BZ360" s="148" t="n"/>
      <c r="CA360" s="204" t="n"/>
      <c r="CB360" s="208" t="n"/>
      <c r="CC360" s="139" t="n"/>
      <c r="CD360" s="204" t="n"/>
      <c r="CE360" s="204" t="n"/>
      <c r="CF360" s="207" t="n"/>
      <c r="CG360" s="208" t="n"/>
      <c r="CH360" s="207" t="n"/>
      <c r="CI360" s="208" t="n"/>
      <c r="CJ360" s="204" t="n"/>
      <c r="CK360" s="208" t="n"/>
      <c r="CL360" s="208" t="n"/>
      <c r="CM360" s="208" t="n"/>
      <c r="CN360" s="78" t="n"/>
      <c r="CO360" s="209" t="n"/>
      <c r="CP360" s="204" t="n"/>
      <c r="CQ360" s="204" t="n"/>
      <c r="CR360" s="204" t="n"/>
      <c r="CS360" s="204" t="n"/>
      <c r="CT360" s="204" t="n"/>
      <c r="CU360" s="204" t="n"/>
      <c r="CV360" s="204" t="n"/>
      <c r="CW360" s="204" t="n"/>
      <c r="CX360" s="190" t="n"/>
    </row>
    <row r="361">
      <c r="BF361" s="78" t="n"/>
      <c r="BG361" s="78" t="n"/>
      <c r="BH361" s="78" t="n"/>
      <c r="BI361" s="78" t="n"/>
      <c r="BJ361" s="139" t="n"/>
      <c r="BK361" s="204" t="n"/>
      <c r="BL361" s="141" t="n"/>
      <c r="BM361" s="205" t="n"/>
      <c r="BN361" s="205" t="n"/>
      <c r="BO361" s="206" t="n"/>
      <c r="BP361" s="144" t="n"/>
      <c r="BQ361" s="141" t="n"/>
      <c r="BR361" s="207" t="n"/>
      <c r="BS361" s="207" t="n"/>
      <c r="BT361" s="207" t="n"/>
      <c r="BU361" s="207" t="n"/>
      <c r="BV361" s="208" t="n"/>
      <c r="BW361" s="207" t="n"/>
      <c r="BX361" s="207" t="n"/>
      <c r="BY361" s="204" t="n"/>
      <c r="BZ361" s="148" t="n"/>
      <c r="CA361" s="204" t="n"/>
      <c r="CB361" s="208" t="n"/>
      <c r="CC361" s="139" t="n"/>
      <c r="CD361" s="204" t="n"/>
      <c r="CE361" s="204" t="n"/>
      <c r="CF361" s="207" t="n"/>
      <c r="CG361" s="208" t="n"/>
      <c r="CH361" s="207" t="n"/>
      <c r="CI361" s="208" t="n"/>
      <c r="CJ361" s="204" t="n"/>
      <c r="CK361" s="208" t="n"/>
      <c r="CL361" s="208" t="n"/>
      <c r="CM361" s="208" t="n"/>
      <c r="CN361" s="78" t="n"/>
      <c r="CO361" s="209" t="n"/>
      <c r="CP361" s="204" t="n"/>
      <c r="CQ361" s="204" t="n"/>
      <c r="CR361" s="204" t="n"/>
      <c r="CS361" s="204" t="n"/>
      <c r="CT361" s="204" t="n"/>
      <c r="CU361" s="204" t="n"/>
      <c r="CV361" s="204" t="n"/>
      <c r="CW361" s="204" t="n"/>
      <c r="CX361" s="190" t="n"/>
    </row>
    <row r="362">
      <c r="BF362" s="78" t="n"/>
      <c r="BG362" s="78" t="n"/>
      <c r="BH362" s="78" t="n"/>
      <c r="BI362" s="78" t="n"/>
      <c r="BJ362" s="139" t="n"/>
      <c r="BK362" s="204" t="n"/>
      <c r="BL362" s="141" t="n"/>
      <c r="BM362" s="205" t="n"/>
      <c r="BN362" s="205" t="n"/>
      <c r="BO362" s="206" t="n"/>
      <c r="BP362" s="144" t="n"/>
      <c r="BQ362" s="141" t="n"/>
      <c r="BR362" s="207" t="n"/>
      <c r="BS362" s="207" t="n"/>
      <c r="BT362" s="207" t="n"/>
      <c r="BU362" s="207" t="n"/>
      <c r="BV362" s="208" t="n"/>
      <c r="BW362" s="207" t="n"/>
      <c r="BX362" s="207" t="n"/>
      <c r="BY362" s="204" t="n"/>
      <c r="BZ362" s="148" t="n"/>
      <c r="CA362" s="204" t="n"/>
      <c r="CB362" s="208" t="n"/>
      <c r="CC362" s="139" t="n"/>
      <c r="CD362" s="204" t="n"/>
      <c r="CE362" s="204" t="n"/>
      <c r="CF362" s="207" t="n"/>
      <c r="CG362" s="208" t="n"/>
      <c r="CH362" s="207" t="n"/>
      <c r="CI362" s="208" t="n"/>
      <c r="CJ362" s="204" t="n"/>
      <c r="CK362" s="208" t="n"/>
      <c r="CL362" s="208" t="n"/>
      <c r="CM362" s="208" t="n"/>
      <c r="CN362" s="78" t="n"/>
      <c r="CO362" s="209" t="n"/>
      <c r="CP362" s="204" t="n"/>
      <c r="CQ362" s="204" t="n"/>
      <c r="CR362" s="204" t="n"/>
      <c r="CS362" s="204" t="n"/>
      <c r="CT362" s="204" t="n"/>
      <c r="CU362" s="204" t="n"/>
      <c r="CV362" s="204" t="n"/>
      <c r="CW362" s="204" t="n"/>
      <c r="CX362" s="190" t="n"/>
    </row>
    <row r="363">
      <c r="BF363" s="78" t="n"/>
      <c r="BG363" s="78" t="n"/>
      <c r="BH363" s="78" t="n"/>
      <c r="BI363" s="78" t="n"/>
      <c r="BJ363" s="139" t="n"/>
      <c r="BK363" s="204" t="n"/>
      <c r="BL363" s="141" t="n"/>
      <c r="BM363" s="205" t="n"/>
      <c r="BN363" s="205" t="n"/>
      <c r="BO363" s="206" t="n"/>
      <c r="BP363" s="144" t="n"/>
      <c r="BQ363" s="141" t="n"/>
      <c r="BR363" s="207" t="n"/>
      <c r="BS363" s="207" t="n"/>
      <c r="BT363" s="207" t="n"/>
      <c r="BU363" s="207" t="n"/>
      <c r="BV363" s="208" t="n"/>
      <c r="BW363" s="207" t="n"/>
      <c r="BX363" s="207" t="n"/>
      <c r="BY363" s="204" t="n"/>
      <c r="BZ363" s="148" t="n"/>
      <c r="CA363" s="204" t="n"/>
      <c r="CB363" s="208" t="n"/>
      <c r="CC363" s="139" t="n"/>
      <c r="CD363" s="204" t="n"/>
      <c r="CE363" s="204" t="n"/>
      <c r="CF363" s="207" t="n"/>
      <c r="CG363" s="208" t="n"/>
      <c r="CH363" s="207" t="n"/>
      <c r="CI363" s="208" t="n"/>
      <c r="CJ363" s="204" t="n"/>
      <c r="CK363" s="208" t="n"/>
      <c r="CL363" s="208" t="n"/>
      <c r="CM363" s="208" t="n"/>
      <c r="CN363" s="78" t="n"/>
      <c r="CO363" s="209" t="n"/>
      <c r="CP363" s="204" t="n"/>
      <c r="CQ363" s="204" t="n"/>
      <c r="CR363" s="204" t="n"/>
      <c r="CS363" s="204" t="n"/>
      <c r="CT363" s="204" t="n"/>
      <c r="CU363" s="204" t="n"/>
      <c r="CV363" s="204" t="n"/>
      <c r="CW363" s="204" t="n"/>
      <c r="CX363" s="190" t="n"/>
    </row>
    <row r="364">
      <c r="BF364" s="78" t="n"/>
      <c r="BG364" s="78" t="n"/>
      <c r="BH364" s="78" t="n"/>
      <c r="BI364" s="78" t="n"/>
      <c r="BJ364" s="139" t="n"/>
      <c r="BK364" s="204" t="n"/>
      <c r="BL364" s="141" t="n"/>
      <c r="BM364" s="205" t="n"/>
      <c r="BN364" s="205" t="n"/>
      <c r="BO364" s="206" t="n"/>
      <c r="BP364" s="144" t="n"/>
      <c r="BQ364" s="141" t="n"/>
      <c r="BR364" s="207" t="n"/>
      <c r="BS364" s="207" t="n"/>
      <c r="BT364" s="207" t="n"/>
      <c r="BU364" s="207" t="n"/>
      <c r="BV364" s="208" t="n"/>
      <c r="BW364" s="207" t="n"/>
      <c r="BX364" s="207" t="n"/>
      <c r="BY364" s="204" t="n"/>
      <c r="BZ364" s="148" t="n"/>
      <c r="CA364" s="204" t="n"/>
      <c r="CB364" s="208" t="n"/>
      <c r="CC364" s="139" t="n"/>
      <c r="CD364" s="204" t="n"/>
      <c r="CE364" s="204" t="n"/>
      <c r="CF364" s="207" t="n"/>
      <c r="CG364" s="208" t="n"/>
      <c r="CH364" s="207" t="n"/>
      <c r="CI364" s="208" t="n"/>
      <c r="CJ364" s="204" t="n"/>
      <c r="CK364" s="208" t="n"/>
      <c r="CL364" s="208" t="n"/>
      <c r="CM364" s="208" t="n"/>
      <c r="CN364" s="78" t="n"/>
      <c r="CO364" s="209" t="n"/>
      <c r="CP364" s="204" t="n"/>
      <c r="CQ364" s="204" t="n"/>
      <c r="CR364" s="204" t="n"/>
      <c r="CS364" s="204" t="n"/>
      <c r="CT364" s="204" t="n"/>
      <c r="CU364" s="204" t="n"/>
      <c r="CV364" s="204" t="n"/>
      <c r="CW364" s="204" t="n"/>
      <c r="CX364" s="190" t="n"/>
    </row>
    <row r="365">
      <c r="BF365" s="78" t="n"/>
      <c r="BG365" s="78" t="n"/>
      <c r="BH365" s="78" t="n"/>
      <c r="BI365" s="78" t="n"/>
      <c r="BJ365" s="139" t="n"/>
      <c r="BK365" s="204" t="n"/>
      <c r="BL365" s="141" t="n"/>
      <c r="BM365" s="205" t="n"/>
      <c r="BN365" s="205" t="n"/>
      <c r="BO365" s="206" t="n"/>
      <c r="BP365" s="144" t="n"/>
      <c r="BQ365" s="141" t="n"/>
      <c r="BR365" s="207" t="n"/>
      <c r="BS365" s="207" t="n"/>
      <c r="BT365" s="207" t="n"/>
      <c r="BU365" s="207" t="n"/>
      <c r="BV365" s="208" t="n"/>
      <c r="BW365" s="207" t="n"/>
      <c r="BX365" s="207" t="n"/>
      <c r="BY365" s="204" t="n"/>
      <c r="BZ365" s="148" t="n"/>
      <c r="CA365" s="204" t="n"/>
      <c r="CB365" s="208" t="n"/>
      <c r="CC365" s="139" t="n"/>
      <c r="CD365" s="204" t="n"/>
      <c r="CE365" s="204" t="n"/>
      <c r="CF365" s="207" t="n"/>
      <c r="CG365" s="208" t="n"/>
      <c r="CH365" s="207" t="n"/>
      <c r="CI365" s="208" t="n"/>
      <c r="CJ365" s="204" t="n"/>
      <c r="CK365" s="208" t="n"/>
      <c r="CL365" s="208" t="n"/>
      <c r="CM365" s="208" t="n"/>
      <c r="CN365" s="78" t="n"/>
      <c r="CO365" s="209" t="n"/>
      <c r="CP365" s="204" t="n"/>
      <c r="CQ365" s="204" t="n"/>
      <c r="CR365" s="204" t="n"/>
      <c r="CS365" s="204" t="n"/>
      <c r="CT365" s="204" t="n"/>
      <c r="CU365" s="204" t="n"/>
      <c r="CV365" s="204" t="n"/>
      <c r="CW365" s="204" t="n"/>
      <c r="CX365" s="190" t="n"/>
    </row>
    <row r="366">
      <c r="BF366" s="78" t="n"/>
      <c r="BG366" s="78" t="n"/>
      <c r="BH366" s="78" t="n"/>
      <c r="BI366" s="78" t="n"/>
      <c r="BJ366" s="139" t="n"/>
      <c r="BK366" s="204" t="n"/>
      <c r="BL366" s="141" t="n"/>
      <c r="BM366" s="205" t="n"/>
      <c r="BN366" s="205" t="n"/>
      <c r="BO366" s="206" t="n"/>
      <c r="BP366" s="144" t="n"/>
      <c r="BQ366" s="141" t="n"/>
      <c r="BR366" s="207" t="n"/>
      <c r="BS366" s="207" t="n"/>
      <c r="BT366" s="207" t="n"/>
      <c r="BU366" s="207" t="n"/>
      <c r="BV366" s="208" t="n"/>
      <c r="BW366" s="207" t="n"/>
      <c r="BX366" s="207" t="n"/>
      <c r="BY366" s="204" t="n"/>
      <c r="BZ366" s="148" t="n"/>
      <c r="CA366" s="204" t="n"/>
      <c r="CB366" s="208" t="n"/>
      <c r="CC366" s="139" t="n"/>
      <c r="CD366" s="204" t="n"/>
      <c r="CE366" s="204" t="n"/>
      <c r="CF366" s="207" t="n"/>
      <c r="CG366" s="208" t="n"/>
      <c r="CH366" s="207" t="n"/>
      <c r="CI366" s="208" t="n"/>
      <c r="CJ366" s="204" t="n"/>
      <c r="CK366" s="208" t="n"/>
      <c r="CL366" s="208" t="n"/>
      <c r="CM366" s="208" t="n"/>
      <c r="CN366" s="78" t="n"/>
      <c r="CO366" s="209" t="n"/>
      <c r="CP366" s="204" t="n"/>
      <c r="CQ366" s="204" t="n"/>
      <c r="CR366" s="204" t="n"/>
      <c r="CS366" s="204" t="n"/>
      <c r="CT366" s="204" t="n"/>
      <c r="CU366" s="204" t="n"/>
      <c r="CV366" s="204" t="n"/>
      <c r="CW366" s="204" t="n"/>
      <c r="CX366" s="190" t="n"/>
    </row>
    <row r="367">
      <c r="BF367" s="78" t="n"/>
      <c r="BG367" s="78" t="n"/>
      <c r="BH367" s="78" t="n"/>
      <c r="BI367" s="78" t="n"/>
      <c r="BJ367" s="139" t="n"/>
      <c r="BK367" s="204" t="n"/>
      <c r="BL367" s="141" t="n"/>
      <c r="BM367" s="205" t="n"/>
      <c r="BN367" s="205" t="n"/>
      <c r="BO367" s="206" t="n"/>
      <c r="BP367" s="144" t="n"/>
      <c r="BQ367" s="141" t="n"/>
      <c r="BR367" s="207" t="n"/>
      <c r="BS367" s="207" t="n"/>
      <c r="BT367" s="207" t="n"/>
      <c r="BU367" s="207" t="n"/>
      <c r="BV367" s="208" t="n"/>
      <c r="BW367" s="207" t="n"/>
      <c r="BX367" s="207" t="n"/>
      <c r="BY367" s="204" t="n"/>
      <c r="BZ367" s="148" t="n"/>
      <c r="CA367" s="204" t="n"/>
      <c r="CB367" s="208" t="n"/>
      <c r="CC367" s="139" t="n"/>
      <c r="CD367" s="204" t="n"/>
      <c r="CE367" s="204" t="n"/>
      <c r="CF367" s="207" t="n"/>
      <c r="CG367" s="208" t="n"/>
      <c r="CH367" s="207" t="n"/>
      <c r="CI367" s="208" t="n"/>
      <c r="CJ367" s="204" t="n"/>
      <c r="CK367" s="208" t="n"/>
      <c r="CL367" s="208" t="n"/>
      <c r="CM367" s="208" t="n"/>
      <c r="CN367" s="78" t="n"/>
      <c r="CO367" s="209" t="n"/>
      <c r="CP367" s="204" t="n"/>
      <c r="CQ367" s="204" t="n"/>
      <c r="CR367" s="204" t="n"/>
      <c r="CS367" s="204" t="n"/>
      <c r="CT367" s="204" t="n"/>
      <c r="CU367" s="204" t="n"/>
      <c r="CV367" s="204" t="n"/>
      <c r="CW367" s="204" t="n"/>
      <c r="CX367" s="190" t="n"/>
    </row>
    <row r="368">
      <c r="BF368" s="78" t="n"/>
      <c r="BG368" s="78" t="n"/>
      <c r="BH368" s="78" t="n"/>
      <c r="BI368" s="78" t="n"/>
      <c r="BJ368" s="139" t="n"/>
      <c r="BK368" s="204" t="n"/>
      <c r="BL368" s="141" t="n"/>
      <c r="BM368" s="205" t="n"/>
      <c r="BN368" s="205" t="n"/>
      <c r="BO368" s="206" t="n"/>
      <c r="BP368" s="144" t="n"/>
      <c r="BQ368" s="141" t="n"/>
      <c r="BR368" s="207" t="n"/>
      <c r="BS368" s="207" t="n"/>
      <c r="BT368" s="207" t="n"/>
      <c r="BU368" s="207" t="n"/>
      <c r="BV368" s="208" t="n"/>
      <c r="BW368" s="207" t="n"/>
      <c r="BX368" s="207" t="n"/>
      <c r="BY368" s="204" t="n"/>
      <c r="BZ368" s="148" t="n"/>
      <c r="CA368" s="204" t="n"/>
      <c r="CB368" s="208" t="n"/>
      <c r="CC368" s="139" t="n"/>
      <c r="CD368" s="204" t="n"/>
      <c r="CE368" s="204" t="n"/>
      <c r="CF368" s="207" t="n"/>
      <c r="CG368" s="208" t="n"/>
      <c r="CH368" s="207" t="n"/>
      <c r="CI368" s="208" t="n"/>
      <c r="CJ368" s="204" t="n"/>
      <c r="CK368" s="208" t="n"/>
      <c r="CL368" s="208" t="n"/>
      <c r="CM368" s="208" t="n"/>
      <c r="CN368" s="78" t="n"/>
      <c r="CO368" s="209" t="n"/>
      <c r="CP368" s="204" t="n"/>
      <c r="CQ368" s="204" t="n"/>
      <c r="CR368" s="204" t="n"/>
      <c r="CS368" s="204" t="n"/>
      <c r="CT368" s="204" t="n"/>
      <c r="CU368" s="204" t="n"/>
      <c r="CV368" s="204" t="n"/>
      <c r="CW368" s="204" t="n"/>
      <c r="CX368" s="190" t="n"/>
    </row>
    <row r="369">
      <c r="BF369" s="78" t="n"/>
      <c r="BG369" s="78" t="n"/>
      <c r="BH369" s="78" t="n"/>
      <c r="BI369" s="78" t="n"/>
      <c r="BJ369" s="139" t="n"/>
      <c r="BK369" s="204" t="n"/>
      <c r="BL369" s="141" t="n"/>
      <c r="BM369" s="205" t="n"/>
      <c r="BN369" s="205" t="n"/>
      <c r="BO369" s="206" t="n"/>
      <c r="BP369" s="144" t="n"/>
      <c r="BQ369" s="141" t="n"/>
      <c r="BR369" s="207" t="n"/>
      <c r="BS369" s="207" t="n"/>
      <c r="BT369" s="207" t="n"/>
      <c r="BU369" s="207" t="n"/>
      <c r="BV369" s="208" t="n"/>
      <c r="BW369" s="207" t="n"/>
      <c r="BX369" s="207" t="n"/>
      <c r="BY369" s="204" t="n"/>
      <c r="BZ369" s="148" t="n"/>
      <c r="CA369" s="204" t="n"/>
      <c r="CB369" s="208" t="n"/>
      <c r="CC369" s="139" t="n"/>
      <c r="CD369" s="204" t="n"/>
      <c r="CE369" s="204" t="n"/>
      <c r="CF369" s="207" t="n"/>
      <c r="CG369" s="208" t="n"/>
      <c r="CH369" s="207" t="n"/>
      <c r="CI369" s="208" t="n"/>
      <c r="CJ369" s="204" t="n"/>
      <c r="CK369" s="208" t="n"/>
      <c r="CL369" s="208" t="n"/>
      <c r="CM369" s="208" t="n"/>
      <c r="CN369" s="78" t="n"/>
      <c r="CO369" s="209" t="n"/>
      <c r="CP369" s="204" t="n"/>
      <c r="CQ369" s="204" t="n"/>
      <c r="CR369" s="204" t="n"/>
      <c r="CS369" s="204" t="n"/>
      <c r="CT369" s="204" t="n"/>
      <c r="CU369" s="204" t="n"/>
      <c r="CV369" s="204" t="n"/>
      <c r="CW369" s="204" t="n"/>
      <c r="CX369" s="190" t="n"/>
    </row>
    <row r="370">
      <c r="BF370" s="78" t="n"/>
      <c r="BG370" s="78" t="n"/>
      <c r="BH370" s="78" t="n"/>
      <c r="BI370" s="78" t="n"/>
      <c r="BJ370" s="139" t="n"/>
      <c r="BK370" s="204" t="n"/>
      <c r="BL370" s="141" t="n"/>
      <c r="BM370" s="205" t="n"/>
      <c r="BN370" s="205" t="n"/>
      <c r="BO370" s="206" t="n"/>
      <c r="BP370" s="144" t="n"/>
      <c r="BQ370" s="141" t="n"/>
      <c r="BR370" s="207" t="n"/>
      <c r="BS370" s="207" t="n"/>
      <c r="BT370" s="207" t="n"/>
      <c r="BU370" s="207" t="n"/>
      <c r="BV370" s="208" t="n"/>
      <c r="BW370" s="207" t="n"/>
      <c r="BX370" s="207" t="n"/>
      <c r="BY370" s="204" t="n"/>
      <c r="BZ370" s="148" t="n"/>
      <c r="CA370" s="204" t="n"/>
      <c r="CB370" s="208" t="n"/>
      <c r="CC370" s="139" t="n"/>
      <c r="CD370" s="204" t="n"/>
      <c r="CE370" s="204" t="n"/>
      <c r="CF370" s="207" t="n"/>
      <c r="CG370" s="208" t="n"/>
      <c r="CH370" s="207" t="n"/>
      <c r="CI370" s="208" t="n"/>
      <c r="CJ370" s="204" t="n"/>
      <c r="CK370" s="208" t="n"/>
      <c r="CL370" s="208" t="n"/>
      <c r="CM370" s="208" t="n"/>
      <c r="CN370" s="78" t="n"/>
      <c r="CO370" s="209" t="n"/>
      <c r="CP370" s="204" t="n"/>
      <c r="CQ370" s="204" t="n"/>
      <c r="CR370" s="204" t="n"/>
      <c r="CS370" s="204" t="n"/>
      <c r="CT370" s="204" t="n"/>
      <c r="CU370" s="204" t="n"/>
      <c r="CV370" s="204" t="n"/>
      <c r="CW370" s="204" t="n"/>
      <c r="CX370" s="190" t="n"/>
    </row>
    <row r="371">
      <c r="BF371" s="78" t="n"/>
      <c r="BG371" s="78" t="n"/>
      <c r="BH371" s="78" t="n"/>
      <c r="BI371" s="78" t="n"/>
      <c r="BJ371" s="139" t="n"/>
      <c r="BK371" s="204" t="n"/>
      <c r="BL371" s="141" t="n"/>
      <c r="BM371" s="205" t="n"/>
      <c r="BN371" s="205" t="n"/>
      <c r="BO371" s="206" t="n"/>
      <c r="BP371" s="144" t="n"/>
      <c r="BQ371" s="141" t="n"/>
      <c r="BR371" s="207" t="n"/>
      <c r="BS371" s="207" t="n"/>
      <c r="BT371" s="207" t="n"/>
      <c r="BU371" s="207" t="n"/>
      <c r="BV371" s="208" t="n"/>
      <c r="BW371" s="207" t="n"/>
      <c r="BX371" s="207" t="n"/>
      <c r="BY371" s="204" t="n"/>
      <c r="BZ371" s="148" t="n"/>
      <c r="CA371" s="204" t="n"/>
      <c r="CB371" s="208" t="n"/>
      <c r="CC371" s="139" t="n"/>
      <c r="CD371" s="204" t="n"/>
      <c r="CE371" s="204" t="n"/>
      <c r="CF371" s="207" t="n"/>
      <c r="CG371" s="208" t="n"/>
      <c r="CH371" s="207" t="n"/>
      <c r="CI371" s="208" t="n"/>
      <c r="CJ371" s="204" t="n"/>
      <c r="CK371" s="208" t="n"/>
      <c r="CL371" s="208" t="n"/>
      <c r="CM371" s="208" t="n"/>
      <c r="CN371" s="78" t="n"/>
      <c r="CO371" s="209" t="n"/>
      <c r="CP371" s="204" t="n"/>
      <c r="CQ371" s="204" t="n"/>
      <c r="CR371" s="204" t="n"/>
      <c r="CS371" s="204" t="n"/>
      <c r="CT371" s="204" t="n"/>
      <c r="CU371" s="204" t="n"/>
      <c r="CV371" s="204" t="n"/>
      <c r="CW371" s="204" t="n"/>
      <c r="CX371" s="190" t="n"/>
    </row>
    <row r="372">
      <c r="BF372" s="78" t="n"/>
      <c r="BG372" s="78" t="n"/>
      <c r="BH372" s="78" t="n"/>
      <c r="BI372" s="78" t="n"/>
      <c r="BJ372" s="139" t="n"/>
      <c r="BK372" s="204" t="n"/>
      <c r="BL372" s="141" t="n"/>
      <c r="BM372" s="205" t="n"/>
      <c r="BN372" s="205" t="n"/>
      <c r="BO372" s="206" t="n"/>
      <c r="BP372" s="144" t="n"/>
      <c r="BQ372" s="141" t="n"/>
      <c r="BR372" s="207" t="n"/>
      <c r="BS372" s="207" t="n"/>
      <c r="BT372" s="207" t="n"/>
      <c r="BU372" s="207" t="n"/>
      <c r="BV372" s="208" t="n"/>
      <c r="BW372" s="207" t="n"/>
      <c r="BX372" s="207" t="n"/>
      <c r="BY372" s="204" t="n"/>
      <c r="BZ372" s="148" t="n"/>
      <c r="CA372" s="204" t="n"/>
      <c r="CB372" s="208" t="n"/>
      <c r="CC372" s="139" t="n"/>
      <c r="CD372" s="204" t="n"/>
      <c r="CE372" s="204" t="n"/>
      <c r="CF372" s="207" t="n"/>
      <c r="CG372" s="208" t="n"/>
      <c r="CH372" s="207" t="n"/>
      <c r="CI372" s="208" t="n"/>
      <c r="CJ372" s="204" t="n"/>
      <c r="CK372" s="208" t="n"/>
      <c r="CL372" s="208" t="n"/>
      <c r="CM372" s="208" t="n"/>
      <c r="CN372" s="78" t="n"/>
      <c r="CO372" s="209" t="n"/>
      <c r="CP372" s="204" t="n"/>
      <c r="CQ372" s="204" t="n"/>
      <c r="CR372" s="204" t="n"/>
      <c r="CS372" s="204" t="n"/>
      <c r="CT372" s="204" t="n"/>
      <c r="CU372" s="204" t="n"/>
      <c r="CV372" s="204" t="n"/>
      <c r="CW372" s="204" t="n"/>
      <c r="CX372" s="190" t="n"/>
    </row>
    <row r="373">
      <c r="BF373" s="78" t="n"/>
      <c r="BG373" s="78" t="n"/>
      <c r="BH373" s="78" t="n"/>
      <c r="BI373" s="78" t="n"/>
      <c r="BJ373" s="139" t="n"/>
      <c r="BK373" s="204" t="n"/>
      <c r="BL373" s="141" t="n"/>
      <c r="BM373" s="205" t="n"/>
      <c r="BN373" s="205" t="n"/>
      <c r="BO373" s="206" t="n"/>
      <c r="BP373" s="144" t="n"/>
      <c r="BQ373" s="141" t="n"/>
      <c r="BR373" s="207" t="n"/>
      <c r="BS373" s="207" t="n"/>
      <c r="BT373" s="207" t="n"/>
      <c r="BU373" s="207" t="n"/>
      <c r="BV373" s="208" t="n"/>
      <c r="BW373" s="207" t="n"/>
      <c r="BX373" s="207" t="n"/>
      <c r="BY373" s="204" t="n"/>
      <c r="BZ373" s="148" t="n"/>
      <c r="CA373" s="204" t="n"/>
      <c r="CB373" s="208" t="n"/>
      <c r="CC373" s="139" t="n"/>
      <c r="CD373" s="204" t="n"/>
      <c r="CE373" s="204" t="n"/>
      <c r="CF373" s="207" t="n"/>
      <c r="CG373" s="208" t="n"/>
      <c r="CH373" s="207" t="n"/>
      <c r="CI373" s="208" t="n"/>
      <c r="CJ373" s="204" t="n"/>
      <c r="CK373" s="208" t="n"/>
      <c r="CL373" s="208" t="n"/>
      <c r="CM373" s="208" t="n"/>
      <c r="CN373" s="78" t="n"/>
      <c r="CO373" s="209" t="n"/>
      <c r="CP373" s="204" t="n"/>
      <c r="CQ373" s="204" t="n"/>
      <c r="CR373" s="204" t="n"/>
      <c r="CS373" s="204" t="n"/>
      <c r="CT373" s="204" t="n"/>
      <c r="CU373" s="204" t="n"/>
      <c r="CV373" s="204" t="n"/>
      <c r="CW373" s="204" t="n"/>
      <c r="CX373" s="190" t="n"/>
    </row>
    <row r="374">
      <c r="BF374" s="78" t="n"/>
      <c r="BG374" s="78" t="n"/>
      <c r="BH374" s="78" t="n"/>
      <c r="BI374" s="78" t="n"/>
      <c r="BJ374" s="139" t="n"/>
      <c r="BK374" s="204" t="n"/>
      <c r="BL374" s="141" t="n"/>
      <c r="BM374" s="205" t="n"/>
      <c r="BN374" s="205" t="n"/>
      <c r="BO374" s="206" t="n"/>
      <c r="BP374" s="144" t="n"/>
      <c r="BQ374" s="141" t="n"/>
      <c r="BR374" s="207" t="n"/>
      <c r="BS374" s="207" t="n"/>
      <c r="BT374" s="207" t="n"/>
      <c r="BU374" s="207" t="n"/>
      <c r="BV374" s="208" t="n"/>
      <c r="BW374" s="207" t="n"/>
      <c r="BX374" s="207" t="n"/>
      <c r="BY374" s="204" t="n"/>
      <c r="BZ374" s="148" t="n"/>
      <c r="CA374" s="204" t="n"/>
      <c r="CB374" s="208" t="n"/>
      <c r="CC374" s="139" t="n"/>
      <c r="CD374" s="204" t="n"/>
      <c r="CE374" s="204" t="n"/>
      <c r="CF374" s="207" t="n"/>
      <c r="CG374" s="208" t="n"/>
      <c r="CH374" s="207" t="n"/>
      <c r="CI374" s="208" t="n"/>
      <c r="CJ374" s="204" t="n"/>
      <c r="CK374" s="208" t="n"/>
      <c r="CL374" s="208" t="n"/>
      <c r="CM374" s="208" t="n"/>
      <c r="CN374" s="78" t="n"/>
      <c r="CO374" s="209" t="n"/>
      <c r="CP374" s="204" t="n"/>
      <c r="CQ374" s="204" t="n"/>
      <c r="CR374" s="204" t="n"/>
      <c r="CS374" s="204" t="n"/>
      <c r="CT374" s="204" t="n"/>
      <c r="CU374" s="204" t="n"/>
      <c r="CV374" s="204" t="n"/>
      <c r="CW374" s="204" t="n"/>
      <c r="CX374" s="190" t="n"/>
    </row>
    <row r="375">
      <c r="BF375" s="78" t="n"/>
      <c r="BG375" s="78" t="n"/>
      <c r="BH375" s="78" t="n"/>
      <c r="BI375" s="78" t="n"/>
      <c r="BJ375" s="139" t="n"/>
      <c r="BK375" s="204" t="n"/>
      <c r="BL375" s="141" t="n"/>
      <c r="BM375" s="205" t="n"/>
      <c r="BN375" s="205" t="n"/>
      <c r="BO375" s="206" t="n"/>
      <c r="BP375" s="144" t="n"/>
      <c r="BQ375" s="141" t="n"/>
      <c r="BR375" s="207" t="n"/>
      <c r="BS375" s="207" t="n"/>
      <c r="BT375" s="207" t="n"/>
      <c r="BU375" s="207" t="n"/>
      <c r="BV375" s="208" t="n"/>
      <c r="BW375" s="207" t="n"/>
      <c r="BX375" s="207" t="n"/>
      <c r="BY375" s="204" t="n"/>
      <c r="BZ375" s="148" t="n"/>
      <c r="CA375" s="204" t="n"/>
      <c r="CB375" s="208" t="n"/>
      <c r="CC375" s="139" t="n"/>
      <c r="CD375" s="204" t="n"/>
      <c r="CE375" s="204" t="n"/>
      <c r="CF375" s="207" t="n"/>
      <c r="CG375" s="208" t="n"/>
      <c r="CH375" s="207" t="n"/>
      <c r="CI375" s="208" t="n"/>
      <c r="CJ375" s="204" t="n"/>
      <c r="CK375" s="208" t="n"/>
      <c r="CL375" s="208" t="n"/>
      <c r="CM375" s="208" t="n"/>
      <c r="CN375" s="78" t="n"/>
      <c r="CO375" s="209" t="n"/>
      <c r="CP375" s="204" t="n"/>
      <c r="CQ375" s="204" t="n"/>
      <c r="CR375" s="204" t="n"/>
      <c r="CS375" s="204" t="n"/>
      <c r="CT375" s="204" t="n"/>
      <c r="CU375" s="204" t="n"/>
      <c r="CV375" s="204" t="n"/>
      <c r="CW375" s="204" t="n"/>
      <c r="CX375" s="190" t="n"/>
    </row>
    <row r="376">
      <c r="BF376" s="78" t="n"/>
      <c r="BG376" s="78" t="n"/>
      <c r="BH376" s="78" t="n"/>
      <c r="BI376" s="78" t="n"/>
      <c r="BJ376" s="139" t="n"/>
      <c r="BK376" s="204" t="n"/>
      <c r="BL376" s="141" t="n"/>
      <c r="BM376" s="205" t="n"/>
      <c r="BN376" s="205" t="n"/>
      <c r="BO376" s="206" t="n"/>
      <c r="BP376" s="144" t="n"/>
      <c r="BQ376" s="141" t="n"/>
      <c r="BR376" s="207" t="n"/>
      <c r="BS376" s="207" t="n"/>
      <c r="BT376" s="207" t="n"/>
      <c r="BU376" s="207" t="n"/>
      <c r="BV376" s="208" t="n"/>
      <c r="BW376" s="207" t="n"/>
      <c r="BX376" s="207" t="n"/>
      <c r="BY376" s="204" t="n"/>
      <c r="BZ376" s="148" t="n"/>
      <c r="CA376" s="204" t="n"/>
      <c r="CB376" s="208" t="n"/>
      <c r="CC376" s="139" t="n"/>
      <c r="CD376" s="204" t="n"/>
      <c r="CE376" s="204" t="n"/>
      <c r="CF376" s="207" t="n"/>
      <c r="CG376" s="208" t="n"/>
      <c r="CH376" s="207" t="n"/>
      <c r="CI376" s="208" t="n"/>
      <c r="CJ376" s="204" t="n"/>
      <c r="CK376" s="208" t="n"/>
      <c r="CL376" s="208" t="n"/>
      <c r="CM376" s="208" t="n"/>
      <c r="CN376" s="78" t="n"/>
      <c r="CO376" s="209" t="n"/>
      <c r="CP376" s="204" t="n"/>
      <c r="CQ376" s="204" t="n"/>
      <c r="CR376" s="204" t="n"/>
      <c r="CS376" s="204" t="n"/>
      <c r="CT376" s="204" t="n"/>
      <c r="CU376" s="204" t="n"/>
      <c r="CV376" s="204" t="n"/>
      <c r="CW376" s="204" t="n"/>
      <c r="CX376" s="190" t="n"/>
    </row>
    <row r="377">
      <c r="BF377" s="78" t="n"/>
      <c r="BG377" s="78" t="n"/>
      <c r="BH377" s="78" t="n"/>
      <c r="BI377" s="78" t="n"/>
      <c r="BJ377" s="139" t="n"/>
      <c r="BK377" s="204" t="n"/>
      <c r="BL377" s="141" t="n"/>
      <c r="BM377" s="205" t="n"/>
      <c r="BN377" s="205" t="n"/>
      <c r="BO377" s="206" t="n"/>
      <c r="BP377" s="144" t="n"/>
      <c r="BQ377" s="141" t="n"/>
      <c r="BR377" s="207" t="n"/>
      <c r="BS377" s="207" t="n"/>
      <c r="BT377" s="207" t="n"/>
      <c r="BU377" s="207" t="n"/>
      <c r="BV377" s="208" t="n"/>
      <c r="BW377" s="207" t="n"/>
      <c r="BX377" s="207" t="n"/>
      <c r="BY377" s="204" t="n"/>
      <c r="BZ377" s="148" t="n"/>
      <c r="CA377" s="204" t="n"/>
      <c r="CB377" s="208" t="n"/>
      <c r="CC377" s="139" t="n"/>
      <c r="CD377" s="204" t="n"/>
      <c r="CE377" s="204" t="n"/>
      <c r="CF377" s="207" t="n"/>
      <c r="CG377" s="208" t="n"/>
      <c r="CH377" s="207" t="n"/>
      <c r="CI377" s="208" t="n"/>
      <c r="CJ377" s="204" t="n"/>
      <c r="CK377" s="208" t="n"/>
      <c r="CL377" s="208" t="n"/>
      <c r="CM377" s="208" t="n"/>
      <c r="CN377" s="78" t="n"/>
      <c r="CO377" s="209" t="n"/>
      <c r="CP377" s="204" t="n"/>
      <c r="CQ377" s="204" t="n"/>
      <c r="CR377" s="204" t="n"/>
      <c r="CS377" s="204" t="n"/>
      <c r="CT377" s="204" t="n"/>
      <c r="CU377" s="204" t="n"/>
      <c r="CV377" s="204" t="n"/>
      <c r="CW377" s="204" t="n"/>
      <c r="CX377" s="190" t="n"/>
    </row>
    <row r="378">
      <c r="BF378" s="78" t="n"/>
      <c r="BG378" s="78" t="n"/>
      <c r="BH378" s="78" t="n"/>
      <c r="BI378" s="78" t="n"/>
      <c r="BJ378" s="139" t="n"/>
      <c r="BK378" s="204" t="n"/>
      <c r="BL378" s="141" t="n"/>
      <c r="BM378" s="205" t="n"/>
      <c r="BN378" s="205" t="n"/>
      <c r="BO378" s="206" t="n"/>
      <c r="BP378" s="144" t="n"/>
      <c r="BQ378" s="141" t="n"/>
      <c r="BR378" s="207" t="n"/>
      <c r="BS378" s="207" t="n"/>
      <c r="BT378" s="207" t="n"/>
      <c r="BU378" s="207" t="n"/>
      <c r="BV378" s="208" t="n"/>
      <c r="BW378" s="207" t="n"/>
      <c r="BX378" s="207" t="n"/>
      <c r="BY378" s="204" t="n"/>
      <c r="BZ378" s="148" t="n"/>
      <c r="CA378" s="204" t="n"/>
      <c r="CB378" s="208" t="n"/>
      <c r="CC378" s="139" t="n"/>
      <c r="CD378" s="204" t="n"/>
      <c r="CE378" s="204" t="n"/>
      <c r="CF378" s="207" t="n"/>
      <c r="CG378" s="208" t="n"/>
      <c r="CH378" s="207" t="n"/>
      <c r="CI378" s="208" t="n"/>
      <c r="CJ378" s="204" t="n"/>
      <c r="CK378" s="208" t="n"/>
      <c r="CL378" s="208" t="n"/>
      <c r="CM378" s="208" t="n"/>
      <c r="CN378" s="78" t="n"/>
      <c r="CO378" s="209" t="n"/>
      <c r="CP378" s="204" t="n"/>
      <c r="CQ378" s="204" t="n"/>
      <c r="CR378" s="204" t="n"/>
      <c r="CS378" s="204" t="n"/>
      <c r="CT378" s="204" t="n"/>
      <c r="CU378" s="204" t="n"/>
      <c r="CV378" s="204" t="n"/>
      <c r="CW378" s="204" t="n"/>
      <c r="CX378" s="190" t="n"/>
    </row>
    <row r="379">
      <c r="BF379" s="78" t="n"/>
      <c r="BG379" s="78" t="n"/>
      <c r="BH379" s="78" t="n"/>
      <c r="BI379" s="78" t="n"/>
      <c r="BJ379" s="139" t="n"/>
      <c r="BK379" s="204" t="n"/>
      <c r="BL379" s="141" t="n"/>
      <c r="BM379" s="205" t="n"/>
      <c r="BN379" s="205" t="n"/>
      <c r="BO379" s="206" t="n"/>
      <c r="BP379" s="144" t="n"/>
      <c r="BQ379" s="141" t="n"/>
      <c r="BR379" s="207" t="n"/>
      <c r="BS379" s="207" t="n"/>
      <c r="BT379" s="207" t="n"/>
      <c r="BU379" s="207" t="n"/>
      <c r="BV379" s="208" t="n"/>
      <c r="BW379" s="207" t="n"/>
      <c r="BX379" s="207" t="n"/>
      <c r="BY379" s="204" t="n"/>
      <c r="BZ379" s="148" t="n"/>
      <c r="CA379" s="204" t="n"/>
      <c r="CB379" s="208" t="n"/>
      <c r="CC379" s="139" t="n"/>
      <c r="CD379" s="204" t="n"/>
      <c r="CE379" s="204" t="n"/>
      <c r="CF379" s="207" t="n"/>
      <c r="CG379" s="208" t="n"/>
      <c r="CH379" s="207" t="n"/>
      <c r="CI379" s="208" t="n"/>
      <c r="CJ379" s="204" t="n"/>
      <c r="CK379" s="208" t="n"/>
      <c r="CL379" s="208" t="n"/>
      <c r="CM379" s="208" t="n"/>
      <c r="CN379" s="78" t="n"/>
      <c r="CO379" s="209" t="n"/>
      <c r="CP379" s="204" t="n"/>
      <c r="CQ379" s="204" t="n"/>
      <c r="CR379" s="204" t="n"/>
      <c r="CS379" s="204" t="n"/>
      <c r="CT379" s="204" t="n"/>
      <c r="CU379" s="204" t="n"/>
      <c r="CV379" s="204" t="n"/>
      <c r="CW379" s="204" t="n"/>
      <c r="CX379" s="190" t="n"/>
    </row>
    <row r="380">
      <c r="BF380" s="78" t="n"/>
      <c r="BG380" s="78" t="n"/>
      <c r="BH380" s="78" t="n"/>
      <c r="BI380" s="78" t="n"/>
      <c r="BJ380" s="139" t="n"/>
      <c r="BK380" s="204" t="n"/>
      <c r="BL380" s="141" t="n"/>
      <c r="BM380" s="205" t="n"/>
      <c r="BN380" s="205" t="n"/>
      <c r="BO380" s="206" t="n"/>
      <c r="BP380" s="144" t="n"/>
      <c r="BQ380" s="141" t="n"/>
      <c r="BR380" s="207" t="n"/>
      <c r="BS380" s="207" t="n"/>
      <c r="BT380" s="207" t="n"/>
      <c r="BU380" s="207" t="n"/>
      <c r="BV380" s="208" t="n"/>
      <c r="BW380" s="207" t="n"/>
      <c r="BX380" s="207" t="n"/>
      <c r="BY380" s="204" t="n"/>
      <c r="BZ380" s="148" t="n"/>
      <c r="CA380" s="204" t="n"/>
      <c r="CB380" s="208" t="n"/>
      <c r="CC380" s="139" t="n"/>
      <c r="CD380" s="204" t="n"/>
      <c r="CE380" s="204" t="n"/>
      <c r="CF380" s="207" t="n"/>
      <c r="CG380" s="208" t="n"/>
      <c r="CH380" s="207" t="n"/>
      <c r="CI380" s="208" t="n"/>
      <c r="CJ380" s="204" t="n"/>
      <c r="CK380" s="208" t="n"/>
      <c r="CL380" s="208" t="n"/>
      <c r="CM380" s="208" t="n"/>
      <c r="CN380" s="78" t="n"/>
      <c r="CO380" s="209" t="n"/>
      <c r="CP380" s="204" t="n"/>
      <c r="CQ380" s="204" t="n"/>
      <c r="CR380" s="204" t="n"/>
      <c r="CS380" s="204" t="n"/>
      <c r="CT380" s="204" t="n"/>
      <c r="CU380" s="204" t="n"/>
      <c r="CV380" s="204" t="n"/>
      <c r="CW380" s="204" t="n"/>
      <c r="CX380" s="190" t="n"/>
    </row>
    <row r="381">
      <c r="BF381" s="78" t="n"/>
      <c r="BG381" s="78" t="n"/>
      <c r="BH381" s="78" t="n"/>
      <c r="BI381" s="78" t="n"/>
      <c r="BJ381" s="139" t="n"/>
      <c r="BK381" s="204" t="n"/>
      <c r="BL381" s="141" t="n"/>
      <c r="BM381" s="205" t="n"/>
      <c r="BN381" s="205" t="n"/>
      <c r="BO381" s="206" t="n"/>
      <c r="BP381" s="144" t="n"/>
      <c r="BQ381" s="141" t="n"/>
      <c r="BR381" s="207" t="n"/>
      <c r="BS381" s="207" t="n"/>
      <c r="BT381" s="207" t="n"/>
      <c r="BU381" s="207" t="n"/>
      <c r="BV381" s="208" t="n"/>
      <c r="BW381" s="207" t="n"/>
      <c r="BX381" s="207" t="n"/>
      <c r="BY381" s="204" t="n"/>
      <c r="BZ381" s="148" t="n"/>
      <c r="CA381" s="204" t="n"/>
      <c r="CB381" s="208" t="n"/>
      <c r="CC381" s="139" t="n"/>
      <c r="CD381" s="204" t="n"/>
      <c r="CE381" s="204" t="n"/>
      <c r="CF381" s="207" t="n"/>
      <c r="CG381" s="208" t="n"/>
      <c r="CH381" s="207" t="n"/>
      <c r="CI381" s="208" t="n"/>
      <c r="CJ381" s="204" t="n"/>
      <c r="CK381" s="208" t="n"/>
      <c r="CL381" s="208" t="n"/>
      <c r="CM381" s="208" t="n"/>
      <c r="CN381" s="78" t="n"/>
      <c r="CO381" s="209" t="n"/>
      <c r="CP381" s="204" t="n"/>
      <c r="CQ381" s="204" t="n"/>
      <c r="CR381" s="204" t="n"/>
      <c r="CS381" s="204" t="n"/>
      <c r="CT381" s="204" t="n"/>
      <c r="CU381" s="204" t="n"/>
      <c r="CV381" s="204" t="n"/>
      <c r="CW381" s="204" t="n"/>
      <c r="CX381" s="190" t="n"/>
    </row>
    <row r="382">
      <c r="BF382" s="78" t="n"/>
      <c r="BG382" s="78" t="n"/>
      <c r="BH382" s="78" t="n"/>
      <c r="BI382" s="78" t="n"/>
      <c r="BJ382" s="139" t="n"/>
      <c r="BK382" s="204" t="n"/>
      <c r="BL382" s="141" t="n"/>
      <c r="BM382" s="205" t="n"/>
      <c r="BN382" s="205" t="n"/>
      <c r="BO382" s="206" t="n"/>
      <c r="BP382" s="144" t="n"/>
      <c r="BQ382" s="141" t="n"/>
      <c r="BR382" s="207" t="n"/>
      <c r="BS382" s="207" t="n"/>
      <c r="BT382" s="207" t="n"/>
      <c r="BU382" s="207" t="n"/>
      <c r="BV382" s="208" t="n"/>
      <c r="BW382" s="207" t="n"/>
      <c r="BX382" s="207" t="n"/>
      <c r="BY382" s="204" t="n"/>
      <c r="BZ382" s="148" t="n"/>
      <c r="CA382" s="204" t="n"/>
      <c r="CB382" s="208" t="n"/>
      <c r="CC382" s="139" t="n"/>
      <c r="CD382" s="204" t="n"/>
      <c r="CE382" s="204" t="n"/>
      <c r="CF382" s="207" t="n"/>
      <c r="CG382" s="208" t="n"/>
      <c r="CH382" s="207" t="n"/>
      <c r="CI382" s="208" t="n"/>
      <c r="CJ382" s="204" t="n"/>
      <c r="CK382" s="208" t="n"/>
      <c r="CL382" s="208" t="n"/>
      <c r="CM382" s="208" t="n"/>
      <c r="CN382" s="78" t="n"/>
      <c r="CO382" s="209" t="n"/>
      <c r="CP382" s="204" t="n"/>
      <c r="CQ382" s="204" t="n"/>
      <c r="CR382" s="204" t="n"/>
      <c r="CS382" s="204" t="n"/>
      <c r="CT382" s="204" t="n"/>
      <c r="CU382" s="204" t="n"/>
      <c r="CV382" s="204" t="n"/>
      <c r="CW382" s="204" t="n"/>
      <c r="CX382" s="190" t="n"/>
    </row>
    <row r="383">
      <c r="BF383" s="78" t="n"/>
      <c r="BG383" s="78" t="n"/>
      <c r="BH383" s="78" t="n"/>
      <c r="BI383" s="78" t="n"/>
      <c r="BJ383" s="139" t="n"/>
      <c r="BK383" s="204" t="n"/>
      <c r="BL383" s="141" t="n"/>
      <c r="BM383" s="205" t="n"/>
      <c r="BN383" s="205" t="n"/>
      <c r="BO383" s="206" t="n"/>
      <c r="BP383" s="144" t="n"/>
      <c r="BQ383" s="141" t="n"/>
      <c r="BR383" s="207" t="n"/>
      <c r="BS383" s="207" t="n"/>
      <c r="BT383" s="207" t="n"/>
      <c r="BU383" s="207" t="n"/>
      <c r="BV383" s="208" t="n"/>
      <c r="BW383" s="207" t="n"/>
      <c r="BX383" s="207" t="n"/>
      <c r="BY383" s="204" t="n"/>
      <c r="BZ383" s="148" t="n"/>
      <c r="CA383" s="204" t="n"/>
      <c r="CB383" s="208" t="n"/>
      <c r="CC383" s="139" t="n"/>
      <c r="CD383" s="204" t="n"/>
      <c r="CE383" s="204" t="n"/>
      <c r="CF383" s="207" t="n"/>
      <c r="CG383" s="208" t="n"/>
      <c r="CH383" s="207" t="n"/>
      <c r="CI383" s="208" t="n"/>
      <c r="CJ383" s="204" t="n"/>
      <c r="CK383" s="208" t="n"/>
      <c r="CL383" s="208" t="n"/>
      <c r="CM383" s="208" t="n"/>
      <c r="CN383" s="78" t="n"/>
      <c r="CO383" s="209" t="n"/>
      <c r="CP383" s="204" t="n"/>
      <c r="CQ383" s="204" t="n"/>
      <c r="CR383" s="204" t="n"/>
      <c r="CS383" s="204" t="n"/>
      <c r="CT383" s="204" t="n"/>
      <c r="CU383" s="204" t="n"/>
      <c r="CV383" s="204" t="n"/>
      <c r="CW383" s="204" t="n"/>
      <c r="CX383" s="190" t="n"/>
    </row>
    <row r="384">
      <c r="BF384" s="78" t="n"/>
      <c r="BG384" s="78" t="n"/>
      <c r="BH384" s="78" t="n"/>
      <c r="BI384" s="78" t="n"/>
      <c r="BJ384" s="139" t="n"/>
      <c r="BK384" s="204" t="n"/>
      <c r="BL384" s="141" t="n"/>
      <c r="BM384" s="205" t="n"/>
      <c r="BN384" s="205" t="n"/>
      <c r="BO384" s="206" t="n"/>
      <c r="BP384" s="144" t="n"/>
      <c r="BQ384" s="141" t="n"/>
      <c r="BR384" s="207" t="n"/>
      <c r="BS384" s="207" t="n"/>
      <c r="BT384" s="207" t="n"/>
      <c r="BU384" s="207" t="n"/>
      <c r="BV384" s="208" t="n"/>
      <c r="BW384" s="207" t="n"/>
      <c r="BX384" s="207" t="n"/>
      <c r="BY384" s="204" t="n"/>
      <c r="BZ384" s="148" t="n"/>
      <c r="CA384" s="204" t="n"/>
      <c r="CB384" s="208" t="n"/>
      <c r="CC384" s="139" t="n"/>
      <c r="CD384" s="204" t="n"/>
      <c r="CE384" s="204" t="n"/>
      <c r="CF384" s="207" t="n"/>
      <c r="CG384" s="208" t="n"/>
      <c r="CH384" s="207" t="n"/>
      <c r="CI384" s="208" t="n"/>
      <c r="CJ384" s="204" t="n"/>
      <c r="CK384" s="208" t="n"/>
      <c r="CL384" s="208" t="n"/>
      <c r="CM384" s="208" t="n"/>
      <c r="CN384" s="78" t="n"/>
      <c r="CO384" s="209" t="n"/>
      <c r="CP384" s="204" t="n"/>
      <c r="CQ384" s="204" t="n"/>
      <c r="CR384" s="204" t="n"/>
      <c r="CS384" s="204" t="n"/>
      <c r="CT384" s="204" t="n"/>
      <c r="CU384" s="204" t="n"/>
      <c r="CV384" s="204" t="n"/>
      <c r="CW384" s="204" t="n"/>
      <c r="CX384" s="190" t="n"/>
    </row>
    <row r="385">
      <c r="BF385" s="78" t="n"/>
      <c r="BG385" s="78" t="n"/>
      <c r="BH385" s="78" t="n"/>
      <c r="BI385" s="78" t="n"/>
      <c r="BJ385" s="139" t="n"/>
      <c r="BK385" s="204" t="n"/>
      <c r="BL385" s="141" t="n"/>
      <c r="BM385" s="205" t="n"/>
      <c r="BN385" s="205" t="n"/>
      <c r="BO385" s="206" t="n"/>
      <c r="BP385" s="144" t="n"/>
      <c r="BQ385" s="141" t="n"/>
      <c r="BR385" s="207" t="n"/>
      <c r="BS385" s="207" t="n"/>
      <c r="BT385" s="207" t="n"/>
      <c r="BU385" s="207" t="n"/>
      <c r="BV385" s="208" t="n"/>
      <c r="BW385" s="207" t="n"/>
      <c r="BX385" s="207" t="n"/>
      <c r="BY385" s="204" t="n"/>
      <c r="BZ385" s="148" t="n"/>
      <c r="CA385" s="204" t="n"/>
      <c r="CB385" s="208" t="n"/>
      <c r="CC385" s="139" t="n"/>
      <c r="CD385" s="204" t="n"/>
      <c r="CE385" s="204" t="n"/>
      <c r="CF385" s="207" t="n"/>
      <c r="CG385" s="208" t="n"/>
      <c r="CH385" s="207" t="n"/>
      <c r="CI385" s="208" t="n"/>
      <c r="CJ385" s="204" t="n"/>
      <c r="CK385" s="208" t="n"/>
      <c r="CL385" s="208" t="n"/>
      <c r="CM385" s="208" t="n"/>
      <c r="CN385" s="78" t="n"/>
      <c r="CO385" s="209" t="n"/>
      <c r="CP385" s="204" t="n"/>
      <c r="CQ385" s="204" t="n"/>
      <c r="CR385" s="204" t="n"/>
      <c r="CS385" s="204" t="n"/>
      <c r="CT385" s="204" t="n"/>
      <c r="CU385" s="204" t="n"/>
      <c r="CV385" s="204" t="n"/>
      <c r="CW385" s="204" t="n"/>
      <c r="CX385" s="190" t="n"/>
    </row>
    <row r="386">
      <c r="BF386" s="78" t="n"/>
      <c r="BG386" s="78" t="n"/>
      <c r="BH386" s="78" t="n"/>
      <c r="BI386" s="78" t="n"/>
      <c r="BJ386" s="139" t="n"/>
      <c r="BK386" s="204" t="n"/>
      <c r="BL386" s="141" t="n"/>
      <c r="BM386" s="205" t="n"/>
      <c r="BN386" s="205" t="n"/>
      <c r="BO386" s="206" t="n"/>
      <c r="BP386" s="144" t="n"/>
      <c r="BQ386" s="141" t="n"/>
      <c r="BR386" s="207" t="n"/>
      <c r="BS386" s="207" t="n"/>
      <c r="BT386" s="207" t="n"/>
      <c r="BU386" s="207" t="n"/>
      <c r="BV386" s="208" t="n"/>
      <c r="BW386" s="207" t="n"/>
      <c r="BX386" s="207" t="n"/>
      <c r="BY386" s="204" t="n"/>
      <c r="BZ386" s="148" t="n"/>
      <c r="CA386" s="204" t="n"/>
      <c r="CB386" s="208" t="n"/>
      <c r="CC386" s="139" t="n"/>
      <c r="CD386" s="204" t="n"/>
      <c r="CE386" s="204" t="n"/>
      <c r="CF386" s="207" t="n"/>
      <c r="CG386" s="208" t="n"/>
      <c r="CH386" s="207" t="n"/>
      <c r="CI386" s="208" t="n"/>
      <c r="CJ386" s="204" t="n"/>
      <c r="CK386" s="208" t="n"/>
      <c r="CL386" s="208" t="n"/>
      <c r="CM386" s="208" t="n"/>
      <c r="CN386" s="78" t="n"/>
      <c r="CO386" s="209" t="n"/>
      <c r="CP386" s="204" t="n"/>
      <c r="CQ386" s="204" t="n"/>
      <c r="CR386" s="204" t="n"/>
      <c r="CS386" s="204" t="n"/>
      <c r="CT386" s="204" t="n"/>
      <c r="CU386" s="204" t="n"/>
      <c r="CV386" s="204" t="n"/>
      <c r="CW386" s="204" t="n"/>
      <c r="CX386" s="190" t="n"/>
    </row>
    <row r="387">
      <c r="BF387" s="78" t="n"/>
      <c r="BG387" s="78" t="n"/>
      <c r="BH387" s="78" t="n"/>
      <c r="BI387" s="78" t="n"/>
      <c r="BJ387" s="139" t="n"/>
      <c r="BK387" s="204" t="n"/>
      <c r="BL387" s="141" t="n"/>
      <c r="BM387" s="205" t="n"/>
      <c r="BN387" s="205" t="n"/>
      <c r="BO387" s="206" t="n"/>
      <c r="BP387" s="144" t="n"/>
      <c r="BQ387" s="141" t="n"/>
      <c r="BR387" s="207" t="n"/>
      <c r="BS387" s="207" t="n"/>
      <c r="BT387" s="207" t="n"/>
      <c r="BU387" s="207" t="n"/>
      <c r="BV387" s="208" t="n"/>
      <c r="BW387" s="207" t="n"/>
      <c r="BX387" s="207" t="n"/>
      <c r="BY387" s="204" t="n"/>
      <c r="BZ387" s="148" t="n"/>
      <c r="CA387" s="204" t="n"/>
      <c r="CB387" s="208" t="n"/>
      <c r="CC387" s="139" t="n"/>
      <c r="CD387" s="204" t="n"/>
      <c r="CE387" s="204" t="n"/>
      <c r="CF387" s="207" t="n"/>
      <c r="CG387" s="208" t="n"/>
      <c r="CH387" s="207" t="n"/>
      <c r="CI387" s="208" t="n"/>
      <c r="CJ387" s="204" t="n"/>
      <c r="CK387" s="208" t="n"/>
      <c r="CL387" s="208" t="n"/>
      <c r="CM387" s="208" t="n"/>
      <c r="CN387" s="78" t="n"/>
      <c r="CO387" s="209" t="n"/>
      <c r="CP387" s="204" t="n"/>
      <c r="CQ387" s="204" t="n"/>
      <c r="CR387" s="204" t="n"/>
      <c r="CS387" s="204" t="n"/>
      <c r="CT387" s="204" t="n"/>
      <c r="CU387" s="204" t="n"/>
      <c r="CV387" s="204" t="n"/>
      <c r="CW387" s="204" t="n"/>
      <c r="CX387" s="190" t="n"/>
    </row>
    <row r="388">
      <c r="BF388" s="78" t="n"/>
      <c r="BG388" s="78" t="n"/>
      <c r="BH388" s="78" t="n"/>
      <c r="BI388" s="78" t="n"/>
      <c r="BJ388" s="139" t="n"/>
      <c r="BK388" s="204" t="n"/>
      <c r="BL388" s="141" t="n"/>
      <c r="BM388" s="205" t="n"/>
      <c r="BN388" s="205" t="n"/>
      <c r="BO388" s="206" t="n"/>
      <c r="BP388" s="144" t="n"/>
      <c r="BQ388" s="141" t="n"/>
      <c r="BR388" s="207" t="n"/>
      <c r="BS388" s="207" t="n"/>
      <c r="BT388" s="207" t="n"/>
      <c r="BU388" s="207" t="n"/>
      <c r="BV388" s="208" t="n"/>
      <c r="BW388" s="207" t="n"/>
      <c r="BX388" s="207" t="n"/>
      <c r="BY388" s="204" t="n"/>
      <c r="BZ388" s="148" t="n"/>
      <c r="CA388" s="204" t="n"/>
      <c r="CB388" s="208" t="n"/>
      <c r="CC388" s="139" t="n"/>
      <c r="CD388" s="204" t="n"/>
      <c r="CE388" s="204" t="n"/>
      <c r="CF388" s="207" t="n"/>
      <c r="CG388" s="208" t="n"/>
      <c r="CH388" s="207" t="n"/>
      <c r="CI388" s="208" t="n"/>
      <c r="CJ388" s="204" t="n"/>
      <c r="CK388" s="208" t="n"/>
      <c r="CL388" s="208" t="n"/>
      <c r="CM388" s="208" t="n"/>
      <c r="CN388" s="78" t="n"/>
      <c r="CO388" s="209" t="n"/>
      <c r="CP388" s="204" t="n"/>
      <c r="CQ388" s="204" t="n"/>
      <c r="CR388" s="204" t="n"/>
      <c r="CS388" s="204" t="n"/>
      <c r="CT388" s="204" t="n"/>
      <c r="CU388" s="204" t="n"/>
      <c r="CV388" s="204" t="n"/>
      <c r="CW388" s="204" t="n"/>
      <c r="CX388" s="190" t="n"/>
    </row>
    <row r="389">
      <c r="BF389" s="78" t="n"/>
      <c r="BG389" s="78" t="n"/>
      <c r="BH389" s="78" t="n"/>
      <c r="BI389" s="78" t="n"/>
      <c r="BJ389" s="139" t="n"/>
      <c r="BK389" s="204" t="n"/>
      <c r="BL389" s="141" t="n"/>
      <c r="BM389" s="205" t="n"/>
      <c r="BN389" s="205" t="n"/>
      <c r="BO389" s="206" t="n"/>
      <c r="BP389" s="144" t="n"/>
      <c r="BQ389" s="141" t="n"/>
      <c r="BR389" s="207" t="n"/>
      <c r="BS389" s="207" t="n"/>
      <c r="BT389" s="207" t="n"/>
      <c r="BU389" s="207" t="n"/>
      <c r="BV389" s="208" t="n"/>
      <c r="BW389" s="207" t="n"/>
      <c r="BX389" s="207" t="n"/>
      <c r="BY389" s="204" t="n"/>
      <c r="BZ389" s="148" t="n"/>
      <c r="CA389" s="204" t="n"/>
      <c r="CB389" s="208" t="n"/>
      <c r="CC389" s="139" t="n"/>
      <c r="CD389" s="204" t="n"/>
      <c r="CE389" s="204" t="n"/>
      <c r="CF389" s="207" t="n"/>
      <c r="CG389" s="208" t="n"/>
      <c r="CH389" s="207" t="n"/>
      <c r="CI389" s="208" t="n"/>
      <c r="CJ389" s="204" t="n"/>
      <c r="CK389" s="208" t="n"/>
      <c r="CL389" s="208" t="n"/>
      <c r="CM389" s="208" t="n"/>
      <c r="CN389" s="78" t="n"/>
      <c r="CO389" s="209" t="n"/>
      <c r="CP389" s="204" t="n"/>
      <c r="CQ389" s="204" t="n"/>
      <c r="CR389" s="204" t="n"/>
      <c r="CS389" s="204" t="n"/>
      <c r="CT389" s="204" t="n"/>
      <c r="CU389" s="204" t="n"/>
      <c r="CV389" s="204" t="n"/>
      <c r="CW389" s="204" t="n"/>
      <c r="CX389" s="190" t="n"/>
    </row>
    <row r="390">
      <c r="BF390" s="78" t="n"/>
      <c r="BG390" s="78" t="n"/>
      <c r="BH390" s="78" t="n"/>
      <c r="BI390" s="78" t="n"/>
      <c r="BJ390" s="139" t="n"/>
      <c r="BK390" s="204" t="n"/>
      <c r="BL390" s="141" t="n"/>
      <c r="BM390" s="205" t="n"/>
      <c r="BN390" s="205" t="n"/>
      <c r="BO390" s="206" t="n"/>
      <c r="BP390" s="144" t="n"/>
      <c r="BQ390" s="141" t="n"/>
      <c r="BR390" s="207" t="n"/>
      <c r="BS390" s="207" t="n"/>
      <c r="BT390" s="207" t="n"/>
      <c r="BU390" s="207" t="n"/>
      <c r="BV390" s="208" t="n"/>
      <c r="BW390" s="207" t="n"/>
      <c r="BX390" s="207" t="n"/>
      <c r="BY390" s="204" t="n"/>
      <c r="BZ390" s="148" t="n"/>
      <c r="CA390" s="204" t="n"/>
      <c r="CB390" s="208" t="n"/>
      <c r="CC390" s="139" t="n"/>
      <c r="CD390" s="204" t="n"/>
      <c r="CE390" s="204" t="n"/>
      <c r="CF390" s="207" t="n"/>
      <c r="CG390" s="208" t="n"/>
      <c r="CH390" s="207" t="n"/>
      <c r="CI390" s="208" t="n"/>
      <c r="CJ390" s="204" t="n"/>
      <c r="CK390" s="208" t="n"/>
      <c r="CL390" s="208" t="n"/>
      <c r="CM390" s="208" t="n"/>
      <c r="CN390" s="78" t="n"/>
      <c r="CO390" s="209" t="n"/>
      <c r="CP390" s="204" t="n"/>
      <c r="CQ390" s="204" t="n"/>
      <c r="CR390" s="204" t="n"/>
      <c r="CS390" s="204" t="n"/>
      <c r="CT390" s="204" t="n"/>
      <c r="CU390" s="204" t="n"/>
      <c r="CV390" s="204" t="n"/>
      <c r="CW390" s="204" t="n"/>
      <c r="CX390" s="190" t="n"/>
    </row>
    <row r="391">
      <c r="BF391" s="78" t="n"/>
      <c r="BG391" s="78" t="n"/>
      <c r="BH391" s="78" t="n"/>
      <c r="BI391" s="78" t="n"/>
      <c r="BJ391" s="139" t="n"/>
      <c r="BK391" s="204" t="n"/>
      <c r="BL391" s="141" t="n"/>
      <c r="BM391" s="205" t="n"/>
      <c r="BN391" s="205" t="n"/>
      <c r="BO391" s="206" t="n"/>
      <c r="BP391" s="144" t="n"/>
      <c r="BQ391" s="141" t="n"/>
      <c r="BR391" s="207" t="n"/>
      <c r="BS391" s="207" t="n"/>
      <c r="BT391" s="207" t="n"/>
      <c r="BU391" s="207" t="n"/>
      <c r="BV391" s="208" t="n"/>
      <c r="BW391" s="207" t="n"/>
      <c r="BX391" s="207" t="n"/>
      <c r="BY391" s="204" t="n"/>
      <c r="BZ391" s="148" t="n"/>
      <c r="CA391" s="204" t="n"/>
      <c r="CB391" s="208" t="n"/>
      <c r="CC391" s="139" t="n"/>
      <c r="CD391" s="204" t="n"/>
      <c r="CE391" s="204" t="n"/>
      <c r="CF391" s="207" t="n"/>
      <c r="CG391" s="208" t="n"/>
      <c r="CH391" s="207" t="n"/>
      <c r="CI391" s="208" t="n"/>
      <c r="CJ391" s="204" t="n"/>
      <c r="CK391" s="208" t="n"/>
      <c r="CL391" s="208" t="n"/>
      <c r="CM391" s="208" t="n"/>
      <c r="CN391" s="78" t="n"/>
      <c r="CO391" s="209" t="n"/>
      <c r="CP391" s="204" t="n"/>
      <c r="CQ391" s="204" t="n"/>
      <c r="CR391" s="204" t="n"/>
      <c r="CS391" s="204" t="n"/>
      <c r="CT391" s="204" t="n"/>
      <c r="CU391" s="204" t="n"/>
      <c r="CV391" s="204" t="n"/>
      <c r="CW391" s="204" t="n"/>
      <c r="CX391" s="190" t="n"/>
    </row>
    <row r="392">
      <c r="BF392" s="78" t="n"/>
      <c r="BG392" s="78" t="n"/>
      <c r="BH392" s="78" t="n"/>
      <c r="BI392" s="78" t="n"/>
      <c r="BJ392" s="139" t="n"/>
      <c r="BK392" s="204" t="n"/>
      <c r="BL392" s="141" t="n"/>
      <c r="BM392" s="205" t="n"/>
      <c r="BN392" s="205" t="n"/>
      <c r="BO392" s="206" t="n"/>
      <c r="BP392" s="144" t="n"/>
      <c r="BQ392" s="141" t="n"/>
      <c r="BR392" s="207" t="n"/>
      <c r="BS392" s="207" t="n"/>
      <c r="BT392" s="207" t="n"/>
      <c r="BU392" s="207" t="n"/>
      <c r="BV392" s="208" t="n"/>
      <c r="BW392" s="207" t="n"/>
      <c r="BX392" s="207" t="n"/>
      <c r="BY392" s="204" t="n"/>
      <c r="BZ392" s="148" t="n"/>
      <c r="CA392" s="204" t="n"/>
      <c r="CB392" s="208" t="n"/>
      <c r="CC392" s="139" t="n"/>
      <c r="CD392" s="204" t="n"/>
      <c r="CE392" s="204" t="n"/>
      <c r="CF392" s="207" t="n"/>
      <c r="CG392" s="208" t="n"/>
      <c r="CH392" s="207" t="n"/>
      <c r="CI392" s="208" t="n"/>
      <c r="CJ392" s="204" t="n"/>
      <c r="CK392" s="208" t="n"/>
      <c r="CL392" s="208" t="n"/>
      <c r="CM392" s="208" t="n"/>
      <c r="CN392" s="78" t="n"/>
      <c r="CO392" s="209" t="n"/>
      <c r="CP392" s="204" t="n"/>
      <c r="CQ392" s="204" t="n"/>
      <c r="CR392" s="204" t="n"/>
      <c r="CS392" s="204" t="n"/>
      <c r="CT392" s="204" t="n"/>
      <c r="CU392" s="204" t="n"/>
      <c r="CV392" s="204" t="n"/>
      <c r="CW392" s="204" t="n"/>
      <c r="CX392" s="190" t="n"/>
    </row>
    <row r="393">
      <c r="BF393" s="78" t="n"/>
      <c r="BG393" s="78" t="n"/>
      <c r="BH393" s="78" t="n"/>
      <c r="BI393" s="78" t="n"/>
      <c r="BJ393" s="139" t="n"/>
      <c r="BK393" s="204" t="n"/>
      <c r="BL393" s="141" t="n"/>
      <c r="BM393" s="205" t="n"/>
      <c r="BN393" s="205" t="n"/>
      <c r="BO393" s="206" t="n"/>
      <c r="BP393" s="144" t="n"/>
      <c r="BQ393" s="141" t="n"/>
      <c r="BR393" s="207" t="n"/>
      <c r="BS393" s="207" t="n"/>
      <c r="BT393" s="207" t="n"/>
      <c r="BU393" s="207" t="n"/>
      <c r="BV393" s="208" t="n"/>
      <c r="BW393" s="207" t="n"/>
      <c r="BX393" s="207" t="n"/>
      <c r="BY393" s="204" t="n"/>
      <c r="BZ393" s="148" t="n"/>
      <c r="CA393" s="204" t="n"/>
      <c r="CB393" s="208" t="n"/>
      <c r="CC393" s="139" t="n"/>
      <c r="CD393" s="204" t="n"/>
      <c r="CE393" s="204" t="n"/>
      <c r="CF393" s="207" t="n"/>
      <c r="CG393" s="208" t="n"/>
      <c r="CH393" s="207" t="n"/>
      <c r="CI393" s="208" t="n"/>
      <c r="CJ393" s="204" t="n"/>
      <c r="CK393" s="208" t="n"/>
      <c r="CL393" s="208" t="n"/>
      <c r="CM393" s="208" t="n"/>
      <c r="CN393" s="78" t="n"/>
      <c r="CO393" s="209" t="n"/>
      <c r="CP393" s="204" t="n"/>
      <c r="CQ393" s="204" t="n"/>
      <c r="CR393" s="204" t="n"/>
      <c r="CS393" s="204" t="n"/>
      <c r="CT393" s="204" t="n"/>
      <c r="CU393" s="204" t="n"/>
      <c r="CV393" s="204" t="n"/>
      <c r="CW393" s="204" t="n"/>
      <c r="CX393" s="190" t="n"/>
    </row>
    <row r="394">
      <c r="BF394" s="78" t="n"/>
      <c r="BG394" s="78" t="n"/>
      <c r="BH394" s="78" t="n"/>
      <c r="BI394" s="78" t="n"/>
      <c r="BJ394" s="139" t="n"/>
      <c r="BK394" s="204" t="n"/>
      <c r="BL394" s="141" t="n"/>
      <c r="BM394" s="205" t="n"/>
      <c r="BN394" s="205" t="n"/>
      <c r="BO394" s="206" t="n"/>
      <c r="BP394" s="144" t="n"/>
      <c r="BQ394" s="141" t="n"/>
      <c r="BR394" s="207" t="n"/>
      <c r="BS394" s="207" t="n"/>
      <c r="BT394" s="207" t="n"/>
      <c r="BU394" s="207" t="n"/>
      <c r="BV394" s="208" t="n"/>
      <c r="BW394" s="207" t="n"/>
      <c r="BX394" s="207" t="n"/>
      <c r="BY394" s="204" t="n"/>
      <c r="BZ394" s="148" t="n"/>
      <c r="CA394" s="204" t="n"/>
      <c r="CB394" s="208" t="n"/>
      <c r="CC394" s="139" t="n"/>
      <c r="CD394" s="204" t="n"/>
      <c r="CE394" s="204" t="n"/>
      <c r="CF394" s="207" t="n"/>
      <c r="CG394" s="208" t="n"/>
      <c r="CH394" s="207" t="n"/>
      <c r="CI394" s="208" t="n"/>
      <c r="CJ394" s="204" t="n"/>
      <c r="CK394" s="208" t="n"/>
      <c r="CL394" s="208" t="n"/>
      <c r="CM394" s="208" t="n"/>
      <c r="CN394" s="78" t="n"/>
      <c r="CO394" s="209" t="n"/>
      <c r="CP394" s="204" t="n"/>
      <c r="CQ394" s="204" t="n"/>
      <c r="CR394" s="204" t="n"/>
      <c r="CS394" s="204" t="n"/>
      <c r="CT394" s="204" t="n"/>
      <c r="CU394" s="204" t="n"/>
      <c r="CV394" s="204" t="n"/>
      <c r="CW394" s="204" t="n"/>
      <c r="CX394" s="190" t="n"/>
    </row>
    <row r="395">
      <c r="BF395" s="78" t="n"/>
      <c r="BG395" s="78" t="n"/>
      <c r="BH395" s="78" t="n"/>
      <c r="BI395" s="78" t="n"/>
      <c r="BJ395" s="139" t="n"/>
      <c r="BK395" s="204" t="n"/>
      <c r="BL395" s="141" t="n"/>
      <c r="BM395" s="205" t="n"/>
      <c r="BN395" s="205" t="n"/>
      <c r="BO395" s="206" t="n"/>
      <c r="BP395" s="144" t="n"/>
      <c r="BQ395" s="141" t="n"/>
      <c r="BR395" s="207" t="n"/>
      <c r="BS395" s="207" t="n"/>
      <c r="BT395" s="207" t="n"/>
      <c r="BU395" s="207" t="n"/>
      <c r="BV395" s="208" t="n"/>
      <c r="BW395" s="207" t="n"/>
      <c r="BX395" s="207" t="n"/>
      <c r="BY395" s="204" t="n"/>
      <c r="BZ395" s="148" t="n"/>
      <c r="CA395" s="204" t="n"/>
      <c r="CB395" s="208" t="n"/>
      <c r="CC395" s="139" t="n"/>
      <c r="CD395" s="204" t="n"/>
      <c r="CE395" s="204" t="n"/>
      <c r="CF395" s="207" t="n"/>
      <c r="CG395" s="208" t="n"/>
      <c r="CH395" s="207" t="n"/>
      <c r="CI395" s="208" t="n"/>
      <c r="CJ395" s="204" t="n"/>
      <c r="CK395" s="208" t="n"/>
      <c r="CL395" s="208" t="n"/>
      <c r="CM395" s="208" t="n"/>
      <c r="CN395" s="78" t="n"/>
      <c r="CO395" s="209" t="n"/>
      <c r="CP395" s="204" t="n"/>
      <c r="CQ395" s="204" t="n"/>
      <c r="CR395" s="204" t="n"/>
      <c r="CS395" s="204" t="n"/>
      <c r="CT395" s="204" t="n"/>
      <c r="CU395" s="204" t="n"/>
      <c r="CV395" s="204" t="n"/>
      <c r="CW395" s="204" t="n"/>
      <c r="CX395" s="190" t="n"/>
    </row>
    <row r="396">
      <c r="BF396" s="78" t="n"/>
      <c r="BG396" s="78" t="n"/>
      <c r="BH396" s="78" t="n"/>
      <c r="BI396" s="78" t="n"/>
      <c r="BJ396" s="139" t="n"/>
      <c r="BK396" s="204" t="n"/>
      <c r="BL396" s="141" t="n"/>
      <c r="BM396" s="205" t="n"/>
      <c r="BN396" s="205" t="n"/>
      <c r="BO396" s="206" t="n"/>
      <c r="BP396" s="144" t="n"/>
      <c r="BQ396" s="141" t="n"/>
      <c r="BR396" s="207" t="n"/>
      <c r="BS396" s="207" t="n"/>
      <c r="BT396" s="207" t="n"/>
      <c r="BU396" s="207" t="n"/>
      <c r="BV396" s="208" t="n"/>
      <c r="BW396" s="207" t="n"/>
      <c r="BX396" s="207" t="n"/>
      <c r="BY396" s="204" t="n"/>
      <c r="BZ396" s="148" t="n"/>
      <c r="CA396" s="204" t="n"/>
      <c r="CB396" s="208" t="n"/>
      <c r="CC396" s="139" t="n"/>
      <c r="CD396" s="204" t="n"/>
      <c r="CE396" s="204" t="n"/>
      <c r="CF396" s="207" t="n"/>
      <c r="CG396" s="208" t="n"/>
      <c r="CH396" s="207" t="n"/>
      <c r="CI396" s="208" t="n"/>
      <c r="CJ396" s="204" t="n"/>
      <c r="CK396" s="208" t="n"/>
      <c r="CL396" s="208" t="n"/>
      <c r="CM396" s="208" t="n"/>
      <c r="CN396" s="78" t="n"/>
      <c r="CO396" s="209" t="n"/>
      <c r="CP396" s="204" t="n"/>
      <c r="CQ396" s="204" t="n"/>
      <c r="CR396" s="204" t="n"/>
      <c r="CS396" s="204" t="n"/>
      <c r="CT396" s="204" t="n"/>
      <c r="CU396" s="204" t="n"/>
      <c r="CV396" s="204" t="n"/>
      <c r="CW396" s="204" t="n"/>
      <c r="CX396" s="190" t="n"/>
    </row>
    <row r="397">
      <c r="BF397" s="78" t="n"/>
      <c r="BG397" s="78" t="n"/>
      <c r="BH397" s="78" t="n"/>
      <c r="BI397" s="78" t="n"/>
      <c r="BJ397" s="139" t="n"/>
      <c r="BK397" s="204" t="n"/>
      <c r="BL397" s="141" t="n"/>
      <c r="BM397" s="205" t="n"/>
      <c r="BN397" s="205" t="n"/>
      <c r="BO397" s="206" t="n"/>
      <c r="BP397" s="144" t="n"/>
      <c r="BQ397" s="141" t="n"/>
      <c r="BR397" s="207" t="n"/>
      <c r="BS397" s="207" t="n"/>
      <c r="BT397" s="207" t="n"/>
      <c r="BU397" s="207" t="n"/>
      <c r="BV397" s="208" t="n"/>
      <c r="BW397" s="207" t="n"/>
      <c r="BX397" s="207" t="n"/>
      <c r="BY397" s="204" t="n"/>
      <c r="BZ397" s="148" t="n"/>
      <c r="CA397" s="204" t="n"/>
      <c r="CB397" s="208" t="n"/>
      <c r="CC397" s="139" t="n"/>
      <c r="CD397" s="204" t="n"/>
      <c r="CE397" s="204" t="n"/>
      <c r="CF397" s="207" t="n"/>
      <c r="CG397" s="208" t="n"/>
      <c r="CH397" s="207" t="n"/>
      <c r="CI397" s="208" t="n"/>
      <c r="CJ397" s="204" t="n"/>
      <c r="CK397" s="208" t="n"/>
      <c r="CL397" s="208" t="n"/>
      <c r="CM397" s="208" t="n"/>
      <c r="CN397" s="78" t="n"/>
      <c r="CO397" s="209" t="n"/>
      <c r="CP397" s="204" t="n"/>
      <c r="CQ397" s="204" t="n"/>
      <c r="CR397" s="204" t="n"/>
      <c r="CS397" s="204" t="n"/>
      <c r="CT397" s="204" t="n"/>
      <c r="CU397" s="204" t="n"/>
      <c r="CV397" s="204" t="n"/>
      <c r="CW397" s="204" t="n"/>
      <c r="CX397" s="190" t="n"/>
    </row>
    <row r="398">
      <c r="BF398" s="78" t="n"/>
      <c r="BG398" s="78" t="n"/>
      <c r="BH398" s="78" t="n"/>
      <c r="BI398" s="78" t="n"/>
      <c r="BJ398" s="139" t="n"/>
      <c r="BK398" s="204" t="n"/>
      <c r="BL398" s="141" t="n"/>
      <c r="BM398" s="205" t="n"/>
      <c r="BN398" s="205" t="n"/>
      <c r="BO398" s="206" t="n"/>
      <c r="BP398" s="144" t="n"/>
      <c r="BQ398" s="141" t="n"/>
      <c r="BR398" s="207" t="n"/>
      <c r="BS398" s="207" t="n"/>
      <c r="BT398" s="207" t="n"/>
      <c r="BU398" s="207" t="n"/>
      <c r="BV398" s="208" t="n"/>
      <c r="BW398" s="207" t="n"/>
      <c r="BX398" s="207" t="n"/>
      <c r="BY398" s="204" t="n"/>
      <c r="BZ398" s="148" t="n"/>
      <c r="CA398" s="204" t="n"/>
      <c r="CB398" s="208" t="n"/>
      <c r="CC398" s="139" t="n"/>
      <c r="CD398" s="204" t="n"/>
      <c r="CE398" s="204" t="n"/>
      <c r="CF398" s="207" t="n"/>
      <c r="CG398" s="208" t="n"/>
      <c r="CH398" s="207" t="n"/>
      <c r="CI398" s="208" t="n"/>
      <c r="CJ398" s="204" t="n"/>
      <c r="CK398" s="208" t="n"/>
      <c r="CL398" s="208" t="n"/>
      <c r="CM398" s="208" t="n"/>
      <c r="CN398" s="78" t="n"/>
      <c r="CO398" s="209" t="n"/>
      <c r="CP398" s="204" t="n"/>
      <c r="CQ398" s="204" t="n"/>
      <c r="CR398" s="204" t="n"/>
      <c r="CS398" s="204" t="n"/>
      <c r="CT398" s="204" t="n"/>
      <c r="CU398" s="204" t="n"/>
      <c r="CV398" s="204" t="n"/>
      <c r="CW398" s="204" t="n"/>
      <c r="CX398" s="190" t="n"/>
    </row>
    <row r="399">
      <c r="BF399" s="78" t="n"/>
      <c r="BG399" s="78" t="n"/>
      <c r="BH399" s="78" t="n"/>
      <c r="BI399" s="78" t="n"/>
      <c r="BJ399" s="139" t="n"/>
      <c r="BK399" s="204" t="n"/>
      <c r="BL399" s="141" t="n"/>
      <c r="BM399" s="205" t="n"/>
      <c r="BN399" s="205" t="n"/>
      <c r="BO399" s="206" t="n"/>
      <c r="BP399" s="144" t="n"/>
      <c r="BQ399" s="141" t="n"/>
      <c r="BR399" s="207" t="n"/>
      <c r="BS399" s="207" t="n"/>
      <c r="BT399" s="207" t="n"/>
      <c r="BU399" s="207" t="n"/>
      <c r="BV399" s="208" t="n"/>
      <c r="BW399" s="207" t="n"/>
      <c r="BX399" s="207" t="n"/>
      <c r="BY399" s="204" t="n"/>
      <c r="BZ399" s="148" t="n"/>
      <c r="CA399" s="204" t="n"/>
      <c r="CB399" s="208" t="n"/>
      <c r="CC399" s="139" t="n"/>
      <c r="CD399" s="204" t="n"/>
      <c r="CE399" s="204" t="n"/>
      <c r="CF399" s="207" t="n"/>
      <c r="CG399" s="208" t="n"/>
      <c r="CH399" s="207" t="n"/>
      <c r="CI399" s="208" t="n"/>
      <c r="CJ399" s="204" t="n"/>
      <c r="CK399" s="208" t="n"/>
      <c r="CL399" s="208" t="n"/>
      <c r="CM399" s="208" t="n"/>
      <c r="CN399" s="78" t="n"/>
      <c r="CO399" s="209" t="n"/>
      <c r="CP399" s="204" t="n"/>
      <c r="CQ399" s="204" t="n"/>
      <c r="CR399" s="204" t="n"/>
      <c r="CS399" s="204" t="n"/>
      <c r="CT399" s="204" t="n"/>
      <c r="CU399" s="204" t="n"/>
      <c r="CV399" s="204" t="n"/>
      <c r="CW399" s="204" t="n"/>
      <c r="CX399" s="190" t="n"/>
    </row>
    <row r="400">
      <c r="BF400" s="78" t="n"/>
      <c r="BG400" s="78" t="n"/>
      <c r="BH400" s="78" t="n"/>
      <c r="BI400" s="78" t="n"/>
      <c r="BJ400" s="139" t="n"/>
      <c r="BK400" s="204" t="n"/>
      <c r="BL400" s="141" t="n"/>
      <c r="BM400" s="205" t="n"/>
      <c r="BN400" s="205" t="n"/>
      <c r="BO400" s="206" t="n"/>
      <c r="BP400" s="144" t="n"/>
      <c r="BQ400" s="141" t="n"/>
      <c r="BR400" s="207" t="n"/>
      <c r="BS400" s="207" t="n"/>
      <c r="BT400" s="207" t="n"/>
      <c r="BU400" s="207" t="n"/>
      <c r="BV400" s="208" t="n"/>
      <c r="BW400" s="207" t="n"/>
      <c r="BX400" s="207" t="n"/>
      <c r="BY400" s="204" t="n"/>
      <c r="BZ400" s="148" t="n"/>
      <c r="CA400" s="204" t="n"/>
      <c r="CB400" s="208" t="n"/>
      <c r="CC400" s="139" t="n"/>
      <c r="CD400" s="204" t="n"/>
      <c r="CE400" s="204" t="n"/>
      <c r="CF400" s="207" t="n"/>
      <c r="CG400" s="208" t="n"/>
      <c r="CH400" s="207" t="n"/>
      <c r="CI400" s="208" t="n"/>
      <c r="CJ400" s="204" t="n"/>
      <c r="CK400" s="208" t="n"/>
      <c r="CL400" s="208" t="n"/>
      <c r="CM400" s="208" t="n"/>
      <c r="CN400" s="78" t="n"/>
      <c r="CO400" s="209" t="n"/>
      <c r="CP400" s="204" t="n"/>
      <c r="CQ400" s="204" t="n"/>
      <c r="CR400" s="204" t="n"/>
      <c r="CS400" s="204" t="n"/>
      <c r="CT400" s="204" t="n"/>
      <c r="CU400" s="204" t="n"/>
      <c r="CV400" s="204" t="n"/>
      <c r="CW400" s="204" t="n"/>
      <c r="CX400" s="190" t="n"/>
    </row>
    <row r="401">
      <c r="BF401" s="78" t="n"/>
      <c r="BG401" s="78" t="n"/>
      <c r="BH401" s="78" t="n"/>
      <c r="BI401" s="78" t="n"/>
      <c r="BJ401" s="139" t="n"/>
      <c r="BK401" s="204" t="n"/>
      <c r="BL401" s="141" t="n"/>
      <c r="BM401" s="205" t="n"/>
      <c r="BN401" s="205" t="n"/>
      <c r="BO401" s="206" t="n"/>
      <c r="BP401" s="144" t="n"/>
      <c r="BQ401" s="141" t="n"/>
      <c r="BR401" s="207" t="n"/>
      <c r="BS401" s="207" t="n"/>
      <c r="BT401" s="207" t="n"/>
      <c r="BU401" s="207" t="n"/>
      <c r="BV401" s="208" t="n"/>
      <c r="BW401" s="207" t="n"/>
      <c r="BX401" s="207" t="n"/>
      <c r="BY401" s="204" t="n"/>
      <c r="BZ401" s="148" t="n"/>
      <c r="CA401" s="204" t="n"/>
      <c r="CB401" s="208" t="n"/>
      <c r="CC401" s="139" t="n"/>
      <c r="CD401" s="204" t="n"/>
      <c r="CE401" s="204" t="n"/>
      <c r="CF401" s="207" t="n"/>
      <c r="CG401" s="208" t="n"/>
      <c r="CH401" s="207" t="n"/>
      <c r="CI401" s="208" t="n"/>
      <c r="CJ401" s="204" t="n"/>
      <c r="CK401" s="208" t="n"/>
      <c r="CL401" s="208" t="n"/>
      <c r="CM401" s="208" t="n"/>
      <c r="CN401" s="78" t="n"/>
      <c r="CO401" s="209" t="n"/>
      <c r="CP401" s="204" t="n"/>
      <c r="CQ401" s="204" t="n"/>
      <c r="CR401" s="204" t="n"/>
      <c r="CS401" s="204" t="n"/>
      <c r="CT401" s="204" t="n"/>
      <c r="CU401" s="204" t="n"/>
      <c r="CV401" s="204" t="n"/>
      <c r="CW401" s="204" t="n"/>
      <c r="CX401" s="190" t="n"/>
    </row>
    <row r="402">
      <c r="BF402" s="78" t="n"/>
      <c r="BG402" s="78" t="n"/>
      <c r="BH402" s="78" t="n"/>
      <c r="BI402" s="78" t="n"/>
      <c r="BJ402" s="139" t="n"/>
      <c r="BK402" s="204" t="n"/>
      <c r="BL402" s="141" t="n"/>
      <c r="BM402" s="205" t="n"/>
      <c r="BN402" s="205" t="n"/>
      <c r="BO402" s="206" t="n"/>
      <c r="BP402" s="144" t="n"/>
      <c r="BQ402" s="141" t="n"/>
      <c r="BR402" s="207" t="n"/>
      <c r="BS402" s="207" t="n"/>
      <c r="BT402" s="207" t="n"/>
      <c r="BU402" s="207" t="n"/>
      <c r="BV402" s="208" t="n"/>
      <c r="BW402" s="207" t="n"/>
      <c r="BX402" s="207" t="n"/>
      <c r="BY402" s="204" t="n"/>
      <c r="BZ402" s="148" t="n"/>
      <c r="CA402" s="204" t="n"/>
      <c r="CB402" s="208" t="n"/>
      <c r="CC402" s="139" t="n"/>
      <c r="CD402" s="204" t="n"/>
      <c r="CE402" s="204" t="n"/>
      <c r="CF402" s="207" t="n"/>
      <c r="CG402" s="208" t="n"/>
      <c r="CH402" s="207" t="n"/>
      <c r="CI402" s="208" t="n"/>
      <c r="CJ402" s="204" t="n"/>
      <c r="CK402" s="208" t="n"/>
      <c r="CL402" s="208" t="n"/>
      <c r="CM402" s="208" t="n"/>
      <c r="CN402" s="78" t="n"/>
      <c r="CO402" s="209" t="n"/>
      <c r="CP402" s="204" t="n"/>
      <c r="CQ402" s="204" t="n"/>
      <c r="CR402" s="204" t="n"/>
      <c r="CS402" s="204" t="n"/>
      <c r="CT402" s="204" t="n"/>
      <c r="CU402" s="204" t="n"/>
      <c r="CV402" s="204" t="n"/>
      <c r="CW402" s="204" t="n"/>
      <c r="CX402" s="190" t="n"/>
    </row>
    <row r="403">
      <c r="BF403" s="78" t="n"/>
      <c r="BG403" s="78" t="n"/>
      <c r="BH403" s="78" t="n"/>
      <c r="BI403" s="78" t="n"/>
      <c r="BJ403" s="139" t="n"/>
      <c r="BK403" s="204" t="n"/>
      <c r="BL403" s="141" t="n"/>
      <c r="BM403" s="205" t="n"/>
      <c r="BN403" s="205" t="n"/>
      <c r="BO403" s="206" t="n"/>
      <c r="BP403" s="144" t="n"/>
      <c r="BQ403" s="141" t="n"/>
      <c r="BR403" s="207" t="n"/>
      <c r="BS403" s="207" t="n"/>
      <c r="BT403" s="207" t="n"/>
      <c r="BU403" s="207" t="n"/>
      <c r="BV403" s="208" t="n"/>
      <c r="BW403" s="207" t="n"/>
      <c r="BX403" s="207" t="n"/>
      <c r="BY403" s="204" t="n"/>
      <c r="BZ403" s="148" t="n"/>
      <c r="CA403" s="204" t="n"/>
      <c r="CB403" s="208" t="n"/>
      <c r="CC403" s="139" t="n"/>
      <c r="CD403" s="204" t="n"/>
      <c r="CE403" s="204" t="n"/>
      <c r="CF403" s="207" t="n"/>
      <c r="CG403" s="208" t="n"/>
      <c r="CH403" s="207" t="n"/>
      <c r="CI403" s="208" t="n"/>
      <c r="CJ403" s="204" t="n"/>
      <c r="CK403" s="208" t="n"/>
      <c r="CL403" s="208" t="n"/>
      <c r="CM403" s="208" t="n"/>
      <c r="CN403" s="78" t="n"/>
      <c r="CO403" s="209" t="n"/>
      <c r="CP403" s="204" t="n"/>
      <c r="CQ403" s="204" t="n"/>
      <c r="CR403" s="204" t="n"/>
      <c r="CS403" s="204" t="n"/>
      <c r="CT403" s="204" t="n"/>
      <c r="CU403" s="204" t="n"/>
      <c r="CV403" s="204" t="n"/>
      <c r="CW403" s="204" t="n"/>
      <c r="CX403" s="190" t="n"/>
    </row>
    <row r="404">
      <c r="BF404" s="78" t="n"/>
      <c r="BG404" s="78" t="n"/>
      <c r="BH404" s="78" t="n"/>
      <c r="BI404" s="78" t="n"/>
      <c r="BJ404" s="139" t="n"/>
      <c r="BK404" s="204" t="n"/>
      <c r="BL404" s="141" t="n"/>
      <c r="BM404" s="205" t="n"/>
      <c r="BN404" s="205" t="n"/>
      <c r="BO404" s="206" t="n"/>
      <c r="BP404" s="144" t="n"/>
      <c r="BQ404" s="141" t="n"/>
      <c r="BR404" s="207" t="n"/>
      <c r="BS404" s="207" t="n"/>
      <c r="BT404" s="207" t="n"/>
      <c r="BU404" s="207" t="n"/>
      <c r="BV404" s="208" t="n"/>
      <c r="BW404" s="207" t="n"/>
      <c r="BX404" s="207" t="n"/>
      <c r="BY404" s="204" t="n"/>
      <c r="BZ404" s="148" t="n"/>
      <c r="CA404" s="204" t="n"/>
      <c r="CB404" s="208" t="n"/>
      <c r="CC404" s="139" t="n"/>
      <c r="CD404" s="204" t="n"/>
      <c r="CE404" s="204" t="n"/>
      <c r="CF404" s="207" t="n"/>
      <c r="CG404" s="208" t="n"/>
      <c r="CH404" s="207" t="n"/>
      <c r="CI404" s="208" t="n"/>
      <c r="CJ404" s="204" t="n"/>
      <c r="CK404" s="208" t="n"/>
      <c r="CL404" s="208" t="n"/>
      <c r="CM404" s="208" t="n"/>
      <c r="CN404" s="78" t="n"/>
      <c r="CO404" s="209" t="n"/>
      <c r="CP404" s="204" t="n"/>
      <c r="CQ404" s="204" t="n"/>
      <c r="CR404" s="204" t="n"/>
      <c r="CS404" s="204" t="n"/>
      <c r="CT404" s="204" t="n"/>
      <c r="CU404" s="204" t="n"/>
      <c r="CV404" s="204" t="n"/>
      <c r="CW404" s="204" t="n"/>
      <c r="CX404" s="190" t="n"/>
    </row>
    <row r="405">
      <c r="BF405" s="78" t="n"/>
      <c r="BG405" s="78" t="n"/>
      <c r="BH405" s="78" t="n"/>
      <c r="BI405" s="78" t="n"/>
      <c r="BJ405" s="139" t="n"/>
      <c r="BK405" s="204" t="n"/>
      <c r="BL405" s="141" t="n"/>
      <c r="BM405" s="205" t="n"/>
      <c r="BN405" s="205" t="n"/>
      <c r="BO405" s="206" t="n"/>
      <c r="BP405" s="144" t="n"/>
      <c r="BQ405" s="141" t="n"/>
      <c r="BR405" s="207" t="n"/>
      <c r="BS405" s="207" t="n"/>
      <c r="BT405" s="207" t="n"/>
      <c r="BU405" s="207" t="n"/>
      <c r="BV405" s="208" t="n"/>
      <c r="BW405" s="207" t="n"/>
      <c r="BX405" s="207" t="n"/>
      <c r="BY405" s="204" t="n"/>
      <c r="BZ405" s="148" t="n"/>
      <c r="CA405" s="204" t="n"/>
      <c r="CB405" s="208" t="n"/>
      <c r="CC405" s="139" t="n"/>
      <c r="CD405" s="204" t="n"/>
      <c r="CE405" s="204" t="n"/>
      <c r="CF405" s="207" t="n"/>
      <c r="CG405" s="208" t="n"/>
      <c r="CH405" s="207" t="n"/>
      <c r="CI405" s="208" t="n"/>
      <c r="CJ405" s="204" t="n"/>
      <c r="CK405" s="208" t="n"/>
      <c r="CL405" s="208" t="n"/>
      <c r="CM405" s="208" t="n"/>
      <c r="CN405" s="78" t="n"/>
      <c r="CO405" s="209" t="n"/>
      <c r="CP405" s="204" t="n"/>
      <c r="CQ405" s="204" t="n"/>
      <c r="CR405" s="204" t="n"/>
      <c r="CS405" s="204" t="n"/>
      <c r="CT405" s="204" t="n"/>
      <c r="CU405" s="204" t="n"/>
      <c r="CV405" s="204" t="n"/>
      <c r="CW405" s="204" t="n"/>
      <c r="CX405" s="190" t="n"/>
    </row>
    <row r="406">
      <c r="BF406" s="78" t="n"/>
      <c r="BG406" s="78" t="n"/>
      <c r="BH406" s="78" t="n"/>
      <c r="BI406" s="78" t="n"/>
      <c r="BJ406" s="139" t="n"/>
      <c r="BK406" s="204" t="n"/>
      <c r="BL406" s="141" t="n"/>
      <c r="BM406" s="205" t="n"/>
      <c r="BN406" s="205" t="n"/>
      <c r="BO406" s="206" t="n"/>
      <c r="BP406" s="144" t="n"/>
      <c r="BQ406" s="141" t="n"/>
      <c r="BR406" s="207" t="n"/>
      <c r="BS406" s="207" t="n"/>
      <c r="BT406" s="207" t="n"/>
      <c r="BU406" s="207" t="n"/>
      <c r="BV406" s="208" t="n"/>
      <c r="BW406" s="207" t="n"/>
      <c r="BX406" s="207" t="n"/>
      <c r="BY406" s="204" t="n"/>
      <c r="BZ406" s="148" t="n"/>
      <c r="CA406" s="204" t="n"/>
      <c r="CB406" s="208" t="n"/>
      <c r="CC406" s="139" t="n"/>
      <c r="CD406" s="204" t="n"/>
      <c r="CE406" s="204" t="n"/>
      <c r="CF406" s="207" t="n"/>
      <c r="CG406" s="208" t="n"/>
      <c r="CH406" s="207" t="n"/>
      <c r="CI406" s="208" t="n"/>
      <c r="CJ406" s="204" t="n"/>
      <c r="CK406" s="208" t="n"/>
      <c r="CL406" s="208" t="n"/>
      <c r="CM406" s="208" t="n"/>
      <c r="CN406" s="78" t="n"/>
      <c r="CO406" s="209" t="n"/>
      <c r="CP406" s="204" t="n"/>
      <c r="CQ406" s="204" t="n"/>
      <c r="CR406" s="204" t="n"/>
      <c r="CS406" s="204" t="n"/>
      <c r="CT406" s="204" t="n"/>
      <c r="CU406" s="204" t="n"/>
      <c r="CV406" s="204" t="n"/>
      <c r="CW406" s="204" t="n"/>
      <c r="CX406" s="190" t="n"/>
    </row>
    <row r="407">
      <c r="BF407" s="78" t="n"/>
      <c r="BG407" s="78" t="n"/>
      <c r="BH407" s="78" t="n"/>
      <c r="BI407" s="78" t="n"/>
      <c r="BJ407" s="139" t="n"/>
      <c r="BK407" s="204" t="n"/>
      <c r="BL407" s="141" t="n"/>
      <c r="BM407" s="205" t="n"/>
      <c r="BN407" s="205" t="n"/>
      <c r="BO407" s="206" t="n"/>
      <c r="BP407" s="144" t="n"/>
      <c r="BQ407" s="141" t="n"/>
      <c r="BR407" s="207" t="n"/>
      <c r="BS407" s="207" t="n"/>
      <c r="BT407" s="207" t="n"/>
      <c r="BU407" s="207" t="n"/>
      <c r="BV407" s="208" t="n"/>
      <c r="BW407" s="207" t="n"/>
      <c r="BX407" s="207" t="n"/>
      <c r="BY407" s="204" t="n"/>
      <c r="BZ407" s="148" t="n"/>
      <c r="CA407" s="204" t="n"/>
      <c r="CB407" s="208" t="n"/>
      <c r="CC407" s="139" t="n"/>
      <c r="CD407" s="204" t="n"/>
      <c r="CE407" s="204" t="n"/>
      <c r="CF407" s="207" t="n"/>
      <c r="CG407" s="208" t="n"/>
      <c r="CH407" s="207" t="n"/>
      <c r="CI407" s="208" t="n"/>
      <c r="CJ407" s="204" t="n"/>
      <c r="CK407" s="208" t="n"/>
      <c r="CL407" s="208" t="n"/>
      <c r="CM407" s="208" t="n"/>
      <c r="CN407" s="78" t="n"/>
      <c r="CO407" s="209" t="n"/>
      <c r="CP407" s="204" t="n"/>
      <c r="CQ407" s="204" t="n"/>
      <c r="CR407" s="204" t="n"/>
      <c r="CS407" s="204" t="n"/>
      <c r="CT407" s="204" t="n"/>
      <c r="CU407" s="204" t="n"/>
      <c r="CV407" s="204" t="n"/>
      <c r="CW407" s="204" t="n"/>
      <c r="CX407" s="190" t="n"/>
    </row>
    <row r="408">
      <c r="BF408" s="78" t="n"/>
      <c r="BG408" s="78" t="n"/>
      <c r="BH408" s="78" t="n"/>
      <c r="BI408" s="78" t="n"/>
      <c r="BJ408" s="139" t="n"/>
      <c r="BK408" s="204" t="n"/>
      <c r="BL408" s="141" t="n"/>
      <c r="BM408" s="205" t="n"/>
      <c r="BN408" s="205" t="n"/>
      <c r="BO408" s="206" t="n"/>
      <c r="BP408" s="144" t="n"/>
      <c r="BQ408" s="141" t="n"/>
      <c r="BR408" s="207" t="n"/>
      <c r="BS408" s="207" t="n"/>
      <c r="BT408" s="207" t="n"/>
      <c r="BU408" s="207" t="n"/>
      <c r="BV408" s="208" t="n"/>
      <c r="BW408" s="207" t="n"/>
      <c r="BX408" s="207" t="n"/>
      <c r="BY408" s="204" t="n"/>
      <c r="BZ408" s="148" t="n"/>
      <c r="CA408" s="204" t="n"/>
      <c r="CB408" s="208" t="n"/>
      <c r="CC408" s="139" t="n"/>
      <c r="CD408" s="204" t="n"/>
      <c r="CE408" s="204" t="n"/>
      <c r="CF408" s="207" t="n"/>
      <c r="CG408" s="208" t="n"/>
      <c r="CH408" s="207" t="n"/>
      <c r="CI408" s="208" t="n"/>
      <c r="CJ408" s="204" t="n"/>
      <c r="CK408" s="208" t="n"/>
      <c r="CL408" s="208" t="n"/>
      <c r="CM408" s="208" t="n"/>
      <c r="CN408" s="78" t="n"/>
      <c r="CO408" s="209" t="n"/>
      <c r="CP408" s="204" t="n"/>
      <c r="CQ408" s="204" t="n"/>
      <c r="CR408" s="204" t="n"/>
      <c r="CS408" s="204" t="n"/>
      <c r="CT408" s="204" t="n"/>
      <c r="CU408" s="204" t="n"/>
      <c r="CV408" s="204" t="n"/>
      <c r="CW408" s="204" t="n"/>
      <c r="CX408" s="190" t="n"/>
    </row>
    <row r="409">
      <c r="BF409" s="78" t="n"/>
      <c r="BG409" s="78" t="n"/>
      <c r="BH409" s="78" t="n"/>
      <c r="BI409" s="78" t="n"/>
      <c r="BJ409" s="139" t="n"/>
      <c r="BK409" s="204" t="n"/>
      <c r="BL409" s="141" t="n"/>
      <c r="BM409" s="205" t="n"/>
      <c r="BN409" s="205" t="n"/>
      <c r="BO409" s="206" t="n"/>
      <c r="BP409" s="144" t="n"/>
      <c r="BQ409" s="141" t="n"/>
      <c r="BR409" s="207" t="n"/>
      <c r="BS409" s="207" t="n"/>
      <c r="BT409" s="207" t="n"/>
      <c r="BU409" s="207" t="n"/>
      <c r="BV409" s="208" t="n"/>
      <c r="BW409" s="207" t="n"/>
      <c r="BX409" s="207" t="n"/>
      <c r="BY409" s="204" t="n"/>
      <c r="BZ409" s="148" t="n"/>
      <c r="CA409" s="204" t="n"/>
      <c r="CB409" s="208" t="n"/>
      <c r="CC409" s="139" t="n"/>
      <c r="CD409" s="204" t="n"/>
      <c r="CE409" s="204" t="n"/>
      <c r="CF409" s="207" t="n"/>
      <c r="CG409" s="208" t="n"/>
      <c r="CH409" s="207" t="n"/>
      <c r="CI409" s="208" t="n"/>
      <c r="CJ409" s="204" t="n"/>
      <c r="CK409" s="208" t="n"/>
      <c r="CL409" s="208" t="n"/>
      <c r="CM409" s="208" t="n"/>
      <c r="CN409" s="78" t="n"/>
      <c r="CO409" s="209" t="n"/>
      <c r="CP409" s="204" t="n"/>
      <c r="CQ409" s="204" t="n"/>
      <c r="CR409" s="204" t="n"/>
      <c r="CS409" s="204" t="n"/>
      <c r="CT409" s="204" t="n"/>
      <c r="CU409" s="204" t="n"/>
      <c r="CV409" s="204" t="n"/>
      <c r="CW409" s="204" t="n"/>
      <c r="CX409" s="190" t="n"/>
    </row>
    <row r="410">
      <c r="BF410" s="78" t="n"/>
      <c r="BG410" s="78" t="n"/>
      <c r="BH410" s="78" t="n"/>
      <c r="BI410" s="78" t="n"/>
      <c r="BJ410" s="139" t="n"/>
      <c r="BK410" s="204" t="n"/>
      <c r="BL410" s="141" t="n"/>
      <c r="BM410" s="205" t="n"/>
      <c r="BN410" s="205" t="n"/>
      <c r="BO410" s="206" t="n"/>
      <c r="BP410" s="144" t="n"/>
      <c r="BQ410" s="141" t="n"/>
      <c r="BR410" s="207" t="n"/>
      <c r="BS410" s="207" t="n"/>
      <c r="BT410" s="207" t="n"/>
      <c r="BU410" s="207" t="n"/>
      <c r="BV410" s="208" t="n"/>
      <c r="BW410" s="207" t="n"/>
      <c r="BX410" s="207" t="n"/>
      <c r="BY410" s="204" t="n"/>
      <c r="BZ410" s="148" t="n"/>
      <c r="CA410" s="204" t="n"/>
      <c r="CB410" s="208" t="n"/>
      <c r="CC410" s="139" t="n"/>
      <c r="CD410" s="204" t="n"/>
      <c r="CE410" s="204" t="n"/>
      <c r="CF410" s="207" t="n"/>
      <c r="CG410" s="208" t="n"/>
      <c r="CH410" s="207" t="n"/>
      <c r="CI410" s="208" t="n"/>
      <c r="CJ410" s="204" t="n"/>
      <c r="CK410" s="208" t="n"/>
      <c r="CL410" s="208" t="n"/>
      <c r="CM410" s="208" t="n"/>
      <c r="CN410" s="78" t="n"/>
      <c r="CO410" s="209" t="n"/>
      <c r="CP410" s="204" t="n"/>
      <c r="CQ410" s="204" t="n"/>
      <c r="CR410" s="204" t="n"/>
      <c r="CS410" s="204" t="n"/>
      <c r="CT410" s="204" t="n"/>
      <c r="CU410" s="204" t="n"/>
      <c r="CV410" s="204" t="n"/>
      <c r="CW410" s="204" t="n"/>
      <c r="CX410" s="190" t="n"/>
    </row>
    <row r="411">
      <c r="BF411" s="78" t="n"/>
      <c r="BG411" s="78" t="n"/>
      <c r="BH411" s="78" t="n"/>
      <c r="BI411" s="78" t="n"/>
      <c r="BJ411" s="139" t="n"/>
      <c r="BK411" s="204" t="n"/>
      <c r="BL411" s="141" t="n"/>
      <c r="BM411" s="205" t="n"/>
      <c r="BN411" s="205" t="n"/>
      <c r="BO411" s="206" t="n"/>
      <c r="BP411" s="144" t="n"/>
      <c r="BQ411" s="141" t="n"/>
      <c r="BR411" s="207" t="n"/>
      <c r="BS411" s="207" t="n"/>
      <c r="BT411" s="207" t="n"/>
      <c r="BU411" s="207" t="n"/>
      <c r="BV411" s="208" t="n"/>
      <c r="BW411" s="207" t="n"/>
      <c r="BX411" s="207" t="n"/>
      <c r="BY411" s="204" t="n"/>
      <c r="BZ411" s="148" t="n"/>
      <c r="CA411" s="204" t="n"/>
      <c r="CB411" s="208" t="n"/>
      <c r="CC411" s="139" t="n"/>
      <c r="CD411" s="204" t="n"/>
      <c r="CE411" s="204" t="n"/>
      <c r="CF411" s="207" t="n"/>
      <c r="CG411" s="208" t="n"/>
      <c r="CH411" s="207" t="n"/>
      <c r="CI411" s="208" t="n"/>
      <c r="CJ411" s="204" t="n"/>
      <c r="CK411" s="208" t="n"/>
      <c r="CL411" s="208" t="n"/>
      <c r="CM411" s="208" t="n"/>
      <c r="CN411" s="78" t="n"/>
      <c r="CO411" s="209" t="n"/>
      <c r="CP411" s="204" t="n"/>
      <c r="CQ411" s="204" t="n"/>
      <c r="CR411" s="204" t="n"/>
      <c r="CS411" s="204" t="n"/>
      <c r="CT411" s="204" t="n"/>
      <c r="CU411" s="204" t="n"/>
      <c r="CV411" s="204" t="n"/>
      <c r="CW411" s="204" t="n"/>
      <c r="CX411" s="190" t="n"/>
    </row>
    <row r="412">
      <c r="BF412" s="78" t="n"/>
      <c r="BG412" s="78" t="n"/>
      <c r="BH412" s="78" t="n"/>
      <c r="BI412" s="78" t="n"/>
      <c r="BJ412" s="139" t="n"/>
      <c r="BK412" s="204" t="n"/>
      <c r="BL412" s="141" t="n"/>
      <c r="BM412" s="205" t="n"/>
      <c r="BN412" s="205" t="n"/>
      <c r="BO412" s="206" t="n"/>
      <c r="BP412" s="144" t="n"/>
      <c r="BQ412" s="141" t="n"/>
      <c r="BR412" s="207" t="n"/>
      <c r="BS412" s="207" t="n"/>
      <c r="BT412" s="207" t="n"/>
      <c r="BU412" s="207" t="n"/>
      <c r="BV412" s="208" t="n"/>
      <c r="BW412" s="207" t="n"/>
      <c r="BX412" s="207" t="n"/>
      <c r="BY412" s="204" t="n"/>
      <c r="BZ412" s="148" t="n"/>
      <c r="CA412" s="204" t="n"/>
      <c r="CB412" s="208" t="n"/>
      <c r="CC412" s="139" t="n"/>
      <c r="CD412" s="204" t="n"/>
      <c r="CE412" s="204" t="n"/>
      <c r="CF412" s="207" t="n"/>
      <c r="CG412" s="208" t="n"/>
      <c r="CH412" s="207" t="n"/>
      <c r="CI412" s="208" t="n"/>
      <c r="CJ412" s="204" t="n"/>
      <c r="CK412" s="208" t="n"/>
      <c r="CL412" s="208" t="n"/>
      <c r="CM412" s="208" t="n"/>
      <c r="CN412" s="78" t="n"/>
      <c r="CO412" s="209" t="n"/>
      <c r="CP412" s="204" t="n"/>
      <c r="CQ412" s="204" t="n"/>
      <c r="CR412" s="204" t="n"/>
      <c r="CS412" s="204" t="n"/>
      <c r="CT412" s="204" t="n"/>
      <c r="CU412" s="204" t="n"/>
      <c r="CV412" s="204" t="n"/>
      <c r="CW412" s="204" t="n"/>
      <c r="CX412" s="190" t="n"/>
    </row>
    <row r="413">
      <c r="BF413" s="78" t="n"/>
      <c r="BG413" s="78" t="n"/>
      <c r="BH413" s="78" t="n"/>
      <c r="BI413" s="78" t="n"/>
      <c r="BJ413" s="139" t="n"/>
      <c r="BK413" s="204" t="n"/>
      <c r="BL413" s="141" t="n"/>
      <c r="BM413" s="205" t="n"/>
      <c r="BN413" s="205" t="n"/>
      <c r="BO413" s="206" t="n"/>
      <c r="BP413" s="144" t="n"/>
      <c r="BQ413" s="141" t="n"/>
      <c r="BR413" s="207" t="n"/>
      <c r="BS413" s="207" t="n"/>
      <c r="BT413" s="207" t="n"/>
      <c r="BU413" s="207" t="n"/>
      <c r="BV413" s="208" t="n"/>
      <c r="BW413" s="207" t="n"/>
      <c r="BX413" s="207" t="n"/>
      <c r="BY413" s="204" t="n"/>
      <c r="BZ413" s="148" t="n"/>
      <c r="CA413" s="204" t="n"/>
      <c r="CB413" s="208" t="n"/>
      <c r="CC413" s="139" t="n"/>
      <c r="CD413" s="204" t="n"/>
      <c r="CE413" s="204" t="n"/>
      <c r="CF413" s="207" t="n"/>
      <c r="CG413" s="208" t="n"/>
      <c r="CH413" s="207" t="n"/>
      <c r="CI413" s="208" t="n"/>
      <c r="CJ413" s="204" t="n"/>
      <c r="CK413" s="208" t="n"/>
      <c r="CL413" s="208" t="n"/>
      <c r="CM413" s="208" t="n"/>
      <c r="CN413" s="78" t="n"/>
      <c r="CO413" s="209" t="n"/>
      <c r="CP413" s="204" t="n"/>
      <c r="CQ413" s="204" t="n"/>
      <c r="CR413" s="204" t="n"/>
      <c r="CS413" s="204" t="n"/>
      <c r="CT413" s="204" t="n"/>
      <c r="CU413" s="204" t="n"/>
      <c r="CV413" s="204" t="n"/>
      <c r="CW413" s="204" t="n"/>
      <c r="CX413" s="190" t="n"/>
    </row>
    <row r="414">
      <c r="BF414" s="78" t="n"/>
      <c r="BG414" s="78" t="n"/>
      <c r="BH414" s="78" t="n"/>
      <c r="BI414" s="78" t="n"/>
      <c r="BJ414" s="139" t="n"/>
      <c r="BK414" s="204" t="n"/>
      <c r="BL414" s="141" t="n"/>
      <c r="BM414" s="205" t="n"/>
      <c r="BN414" s="205" t="n"/>
      <c r="BO414" s="206" t="n"/>
      <c r="BP414" s="144" t="n"/>
      <c r="BQ414" s="141" t="n"/>
      <c r="BR414" s="207" t="n"/>
      <c r="BS414" s="207" t="n"/>
      <c r="BT414" s="207" t="n"/>
      <c r="BU414" s="207" t="n"/>
      <c r="BV414" s="208" t="n"/>
      <c r="BW414" s="207" t="n"/>
      <c r="BX414" s="207" t="n"/>
      <c r="BY414" s="204" t="n"/>
      <c r="BZ414" s="148" t="n"/>
      <c r="CA414" s="204" t="n"/>
      <c r="CB414" s="208" t="n"/>
      <c r="CC414" s="139" t="n"/>
      <c r="CD414" s="204" t="n"/>
      <c r="CE414" s="204" t="n"/>
      <c r="CF414" s="207" t="n"/>
      <c r="CG414" s="208" t="n"/>
      <c r="CH414" s="207" t="n"/>
      <c r="CI414" s="208" t="n"/>
      <c r="CJ414" s="204" t="n"/>
      <c r="CK414" s="208" t="n"/>
      <c r="CL414" s="208" t="n"/>
      <c r="CM414" s="208" t="n"/>
      <c r="CN414" s="78" t="n"/>
      <c r="CO414" s="209" t="n"/>
      <c r="CP414" s="204" t="n"/>
      <c r="CQ414" s="204" t="n"/>
      <c r="CR414" s="204" t="n"/>
      <c r="CS414" s="204" t="n"/>
      <c r="CT414" s="204" t="n"/>
      <c r="CU414" s="204" t="n"/>
      <c r="CV414" s="204" t="n"/>
      <c r="CW414" s="204" t="n"/>
      <c r="CX414" s="190" t="n"/>
    </row>
    <row r="415">
      <c r="BF415" s="78" t="n"/>
      <c r="BG415" s="78" t="n"/>
      <c r="BH415" s="78" t="n"/>
      <c r="BI415" s="78" t="n"/>
      <c r="BJ415" s="139" t="n"/>
      <c r="BK415" s="204" t="n"/>
      <c r="BL415" s="141" t="n"/>
      <c r="BM415" s="205" t="n"/>
      <c r="BN415" s="205" t="n"/>
      <c r="BO415" s="206" t="n"/>
      <c r="BP415" s="144" t="n"/>
      <c r="BQ415" s="141" t="n"/>
      <c r="BR415" s="207" t="n"/>
      <c r="BS415" s="207" t="n"/>
      <c r="BT415" s="207" t="n"/>
      <c r="BU415" s="207" t="n"/>
      <c r="BV415" s="208" t="n"/>
      <c r="BW415" s="207" t="n"/>
      <c r="BX415" s="207" t="n"/>
      <c r="BY415" s="204" t="n"/>
      <c r="BZ415" s="148" t="n"/>
      <c r="CA415" s="204" t="n"/>
      <c r="CB415" s="208" t="n"/>
      <c r="CC415" s="139" t="n"/>
      <c r="CD415" s="204" t="n"/>
      <c r="CE415" s="204" t="n"/>
      <c r="CF415" s="207" t="n"/>
      <c r="CG415" s="208" t="n"/>
      <c r="CH415" s="207" t="n"/>
      <c r="CI415" s="208" t="n"/>
      <c r="CJ415" s="204" t="n"/>
      <c r="CK415" s="208" t="n"/>
      <c r="CL415" s="208" t="n"/>
      <c r="CM415" s="208" t="n"/>
      <c r="CN415" s="78" t="n"/>
      <c r="CO415" s="209" t="n"/>
      <c r="CP415" s="204" t="n"/>
      <c r="CQ415" s="204" t="n"/>
      <c r="CR415" s="204" t="n"/>
      <c r="CS415" s="204" t="n"/>
      <c r="CT415" s="204" t="n"/>
      <c r="CU415" s="204" t="n"/>
      <c r="CV415" s="204" t="n"/>
      <c r="CW415" s="204" t="n"/>
      <c r="CX415" s="190" t="n"/>
    </row>
    <row r="416">
      <c r="BF416" s="78" t="n"/>
      <c r="BG416" s="78" t="n"/>
      <c r="BH416" s="78" t="n"/>
      <c r="BI416" s="78" t="n"/>
      <c r="BJ416" s="139" t="n"/>
      <c r="BK416" s="204" t="n"/>
      <c r="BL416" s="141" t="n"/>
      <c r="BM416" s="205" t="n"/>
      <c r="BN416" s="205" t="n"/>
      <c r="BO416" s="206" t="n"/>
      <c r="BP416" s="144" t="n"/>
      <c r="BQ416" s="141" t="n"/>
      <c r="BR416" s="207" t="n"/>
      <c r="BS416" s="207" t="n"/>
      <c r="BT416" s="207" t="n"/>
      <c r="BU416" s="207" t="n"/>
      <c r="BV416" s="208" t="n"/>
      <c r="BW416" s="207" t="n"/>
      <c r="BX416" s="207" t="n"/>
      <c r="BY416" s="204" t="n"/>
      <c r="BZ416" s="148" t="n"/>
      <c r="CA416" s="204" t="n"/>
      <c r="CB416" s="208" t="n"/>
      <c r="CC416" s="139" t="n"/>
      <c r="CD416" s="204" t="n"/>
      <c r="CE416" s="204" t="n"/>
      <c r="CF416" s="207" t="n"/>
      <c r="CG416" s="208" t="n"/>
      <c r="CH416" s="207" t="n"/>
      <c r="CI416" s="208" t="n"/>
      <c r="CJ416" s="204" t="n"/>
      <c r="CK416" s="208" t="n"/>
      <c r="CL416" s="208" t="n"/>
      <c r="CM416" s="208" t="n"/>
      <c r="CN416" s="78" t="n"/>
      <c r="CO416" s="209" t="n"/>
      <c r="CP416" s="204" t="n"/>
      <c r="CQ416" s="204" t="n"/>
      <c r="CR416" s="204" t="n"/>
      <c r="CS416" s="204" t="n"/>
      <c r="CT416" s="204" t="n"/>
      <c r="CU416" s="204" t="n"/>
      <c r="CV416" s="204" t="n"/>
      <c r="CW416" s="204" t="n"/>
      <c r="CX416" s="190" t="n"/>
    </row>
    <row r="417">
      <c r="BF417" s="78" t="n"/>
      <c r="BG417" s="78" t="n"/>
      <c r="BH417" s="78" t="n"/>
      <c r="BI417" s="78" t="n"/>
      <c r="BJ417" s="139" t="n"/>
      <c r="BK417" s="204" t="n"/>
      <c r="BL417" s="141" t="n"/>
      <c r="BM417" s="205" t="n"/>
      <c r="BN417" s="205" t="n"/>
      <c r="BO417" s="206" t="n"/>
      <c r="BP417" s="144" t="n"/>
      <c r="BQ417" s="141" t="n"/>
      <c r="BR417" s="207" t="n"/>
      <c r="BS417" s="207" t="n"/>
      <c r="BT417" s="207" t="n"/>
      <c r="BU417" s="207" t="n"/>
      <c r="BV417" s="208" t="n"/>
      <c r="BW417" s="207" t="n"/>
      <c r="BX417" s="207" t="n"/>
      <c r="BY417" s="204" t="n"/>
      <c r="BZ417" s="148" t="n"/>
      <c r="CA417" s="204" t="n"/>
      <c r="CB417" s="208" t="n"/>
      <c r="CC417" s="139" t="n"/>
      <c r="CD417" s="204" t="n"/>
      <c r="CE417" s="204" t="n"/>
      <c r="CF417" s="207" t="n"/>
      <c r="CG417" s="208" t="n"/>
      <c r="CH417" s="207" t="n"/>
      <c r="CI417" s="208" t="n"/>
      <c r="CJ417" s="204" t="n"/>
      <c r="CK417" s="208" t="n"/>
      <c r="CL417" s="208" t="n"/>
      <c r="CM417" s="208" t="n"/>
      <c r="CN417" s="78" t="n"/>
      <c r="CO417" s="209" t="n"/>
      <c r="CP417" s="204" t="n"/>
      <c r="CQ417" s="204" t="n"/>
      <c r="CR417" s="204" t="n"/>
      <c r="CS417" s="204" t="n"/>
      <c r="CT417" s="204" t="n"/>
      <c r="CU417" s="204" t="n"/>
      <c r="CV417" s="204" t="n"/>
      <c r="CW417" s="204" t="n"/>
      <c r="CX417" s="190" t="n"/>
    </row>
    <row r="418">
      <c r="BF418" s="78" t="n"/>
      <c r="BG418" s="78" t="n"/>
      <c r="BH418" s="78" t="n"/>
      <c r="BI418" s="78" t="n"/>
      <c r="BJ418" s="139" t="n"/>
      <c r="BK418" s="204" t="n"/>
      <c r="BL418" s="141" t="n"/>
      <c r="BM418" s="205" t="n"/>
      <c r="BN418" s="205" t="n"/>
      <c r="BO418" s="206" t="n"/>
      <c r="BP418" s="144" t="n"/>
      <c r="BQ418" s="141" t="n"/>
      <c r="BR418" s="207" t="n"/>
      <c r="BS418" s="207" t="n"/>
      <c r="BT418" s="207" t="n"/>
      <c r="BU418" s="207" t="n"/>
      <c r="BV418" s="208" t="n"/>
      <c r="BW418" s="207" t="n"/>
      <c r="BX418" s="207" t="n"/>
      <c r="BY418" s="204" t="n"/>
      <c r="BZ418" s="148" t="n"/>
      <c r="CA418" s="204" t="n"/>
      <c r="CB418" s="208" t="n"/>
      <c r="CC418" s="139" t="n"/>
      <c r="CD418" s="204" t="n"/>
      <c r="CE418" s="204" t="n"/>
      <c r="CF418" s="207" t="n"/>
      <c r="CG418" s="208" t="n"/>
      <c r="CH418" s="207" t="n"/>
      <c r="CI418" s="208" t="n"/>
      <c r="CJ418" s="204" t="n"/>
      <c r="CK418" s="208" t="n"/>
      <c r="CL418" s="208" t="n"/>
      <c r="CM418" s="208" t="n"/>
      <c r="CN418" s="78" t="n"/>
      <c r="CO418" s="209" t="n"/>
      <c r="CP418" s="204" t="n"/>
      <c r="CQ418" s="204" t="n"/>
      <c r="CR418" s="204" t="n"/>
      <c r="CS418" s="204" t="n"/>
      <c r="CT418" s="204" t="n"/>
      <c r="CU418" s="204" t="n"/>
      <c r="CV418" s="204" t="n"/>
      <c r="CW418" s="204" t="n"/>
      <c r="CX418" s="190" t="n"/>
    </row>
    <row r="419">
      <c r="BF419" s="78" t="n"/>
      <c r="BG419" s="78" t="n"/>
      <c r="BH419" s="78" t="n"/>
      <c r="BI419" s="78" t="n"/>
      <c r="BJ419" s="139" t="n"/>
      <c r="BK419" s="204" t="n"/>
      <c r="BL419" s="141" t="n"/>
      <c r="BM419" s="205" t="n"/>
      <c r="BN419" s="205" t="n"/>
      <c r="BO419" s="206" t="n"/>
      <c r="BP419" s="144" t="n"/>
      <c r="BQ419" s="141" t="n"/>
      <c r="BR419" s="207" t="n"/>
      <c r="BS419" s="207" t="n"/>
      <c r="BT419" s="207" t="n"/>
      <c r="BU419" s="207" t="n"/>
      <c r="BV419" s="208" t="n"/>
      <c r="BW419" s="207" t="n"/>
      <c r="BX419" s="207" t="n"/>
      <c r="BY419" s="204" t="n"/>
      <c r="BZ419" s="148" t="n"/>
      <c r="CA419" s="204" t="n"/>
      <c r="CB419" s="208" t="n"/>
      <c r="CC419" s="139" t="n"/>
      <c r="CD419" s="204" t="n"/>
      <c r="CE419" s="204" t="n"/>
      <c r="CF419" s="207" t="n"/>
      <c r="CG419" s="208" t="n"/>
      <c r="CH419" s="207" t="n"/>
      <c r="CI419" s="208" t="n"/>
      <c r="CJ419" s="204" t="n"/>
      <c r="CK419" s="208" t="n"/>
      <c r="CL419" s="208" t="n"/>
      <c r="CM419" s="208" t="n"/>
      <c r="CN419" s="78" t="n"/>
      <c r="CO419" s="209" t="n"/>
      <c r="CP419" s="204" t="n"/>
      <c r="CQ419" s="204" t="n"/>
      <c r="CR419" s="204" t="n"/>
      <c r="CS419" s="204" t="n"/>
      <c r="CT419" s="204" t="n"/>
      <c r="CU419" s="204" t="n"/>
      <c r="CV419" s="204" t="n"/>
      <c r="CW419" s="204" t="n"/>
      <c r="CX419" s="190" t="n"/>
    </row>
    <row r="420">
      <c r="BF420" s="78" t="n"/>
      <c r="BG420" s="78" t="n"/>
      <c r="BH420" s="78" t="n"/>
      <c r="BI420" s="78" t="n"/>
      <c r="BJ420" s="139" t="n"/>
      <c r="BK420" s="204" t="n"/>
      <c r="BL420" s="141" t="n"/>
      <c r="BM420" s="205" t="n"/>
      <c r="BN420" s="205" t="n"/>
      <c r="BO420" s="206" t="n"/>
      <c r="BP420" s="144" t="n"/>
      <c r="BQ420" s="141" t="n"/>
      <c r="BR420" s="207" t="n"/>
      <c r="BS420" s="207" t="n"/>
      <c r="BT420" s="207" t="n"/>
      <c r="BU420" s="207" t="n"/>
      <c r="BV420" s="208" t="n"/>
      <c r="BW420" s="207" t="n"/>
      <c r="BX420" s="207" t="n"/>
      <c r="BY420" s="204" t="n"/>
      <c r="BZ420" s="148" t="n"/>
      <c r="CA420" s="204" t="n"/>
      <c r="CB420" s="208" t="n"/>
      <c r="CC420" s="139" t="n"/>
      <c r="CD420" s="204" t="n"/>
      <c r="CE420" s="204" t="n"/>
      <c r="CF420" s="207" t="n"/>
      <c r="CG420" s="208" t="n"/>
      <c r="CH420" s="207" t="n"/>
      <c r="CI420" s="208" t="n"/>
      <c r="CJ420" s="204" t="n"/>
      <c r="CK420" s="208" t="n"/>
      <c r="CL420" s="208" t="n"/>
      <c r="CM420" s="208" t="n"/>
      <c r="CN420" s="78" t="n"/>
      <c r="CO420" s="209" t="n"/>
      <c r="CP420" s="204" t="n"/>
      <c r="CQ420" s="204" t="n"/>
      <c r="CR420" s="204" t="n"/>
      <c r="CS420" s="204" t="n"/>
      <c r="CT420" s="204" t="n"/>
      <c r="CU420" s="204" t="n"/>
      <c r="CV420" s="204" t="n"/>
      <c r="CW420" s="204" t="n"/>
      <c r="CX420" s="190" t="n"/>
    </row>
    <row r="421">
      <c r="BF421" s="78" t="n"/>
      <c r="BG421" s="78" t="n"/>
      <c r="BH421" s="78" t="n"/>
      <c r="BI421" s="78" t="n"/>
      <c r="BJ421" s="139" t="n"/>
      <c r="BK421" s="204" t="n"/>
      <c r="BL421" s="141" t="n"/>
      <c r="BM421" s="205" t="n"/>
      <c r="BN421" s="205" t="n"/>
      <c r="BO421" s="206" t="n"/>
      <c r="BP421" s="144" t="n"/>
      <c r="BQ421" s="141" t="n"/>
      <c r="BR421" s="207" t="n"/>
      <c r="BS421" s="207" t="n"/>
      <c r="BT421" s="207" t="n"/>
      <c r="BU421" s="207" t="n"/>
      <c r="BV421" s="208" t="n"/>
      <c r="BW421" s="207" t="n"/>
      <c r="BX421" s="207" t="n"/>
      <c r="BY421" s="204" t="n"/>
      <c r="BZ421" s="148" t="n"/>
      <c r="CA421" s="204" t="n"/>
      <c r="CB421" s="208" t="n"/>
      <c r="CC421" s="139" t="n"/>
      <c r="CD421" s="204" t="n"/>
      <c r="CE421" s="204" t="n"/>
      <c r="CF421" s="207" t="n"/>
      <c r="CG421" s="208" t="n"/>
      <c r="CH421" s="207" t="n"/>
      <c r="CI421" s="208" t="n"/>
      <c r="CJ421" s="204" t="n"/>
      <c r="CK421" s="208" t="n"/>
      <c r="CL421" s="208" t="n"/>
      <c r="CM421" s="208" t="n"/>
      <c r="CN421" s="78" t="n"/>
      <c r="CO421" s="209" t="n"/>
      <c r="CP421" s="204" t="n"/>
      <c r="CQ421" s="204" t="n"/>
      <c r="CR421" s="204" t="n"/>
      <c r="CS421" s="204" t="n"/>
      <c r="CT421" s="204" t="n"/>
      <c r="CU421" s="204" t="n"/>
      <c r="CV421" s="204" t="n"/>
      <c r="CW421" s="204" t="n"/>
      <c r="CX421" s="190" t="n"/>
    </row>
    <row r="422">
      <c r="BF422" s="78" t="n"/>
      <c r="BG422" s="78" t="n"/>
      <c r="BH422" s="78" t="n"/>
      <c r="BI422" s="78" t="n"/>
      <c r="BJ422" s="139" t="n"/>
      <c r="BK422" s="204" t="n"/>
      <c r="BL422" s="141" t="n"/>
      <c r="BM422" s="205" t="n"/>
      <c r="BN422" s="205" t="n"/>
      <c r="BO422" s="206" t="n"/>
      <c r="BP422" s="144" t="n"/>
      <c r="BQ422" s="141" t="n"/>
      <c r="BR422" s="207" t="n"/>
      <c r="BS422" s="207" t="n"/>
      <c r="BT422" s="207" t="n"/>
      <c r="BU422" s="207" t="n"/>
      <c r="BV422" s="208" t="n"/>
      <c r="BW422" s="207" t="n"/>
      <c r="BX422" s="207" t="n"/>
      <c r="BY422" s="204" t="n"/>
      <c r="BZ422" s="148" t="n"/>
      <c r="CA422" s="204" t="n"/>
      <c r="CB422" s="208" t="n"/>
      <c r="CC422" s="139" t="n"/>
      <c r="CD422" s="204" t="n"/>
      <c r="CE422" s="204" t="n"/>
      <c r="CF422" s="207" t="n"/>
      <c r="CG422" s="208" t="n"/>
      <c r="CH422" s="207" t="n"/>
      <c r="CI422" s="208" t="n"/>
      <c r="CJ422" s="204" t="n"/>
      <c r="CK422" s="208" t="n"/>
      <c r="CL422" s="208" t="n"/>
      <c r="CM422" s="208" t="n"/>
      <c r="CN422" s="78" t="n"/>
      <c r="CO422" s="209" t="n"/>
      <c r="CP422" s="204" t="n"/>
      <c r="CQ422" s="204" t="n"/>
      <c r="CR422" s="204" t="n"/>
      <c r="CS422" s="204" t="n"/>
      <c r="CT422" s="204" t="n"/>
      <c r="CU422" s="204" t="n"/>
      <c r="CV422" s="204" t="n"/>
      <c r="CW422" s="204" t="n"/>
      <c r="CX422" s="190" t="n"/>
    </row>
    <row r="423">
      <c r="BF423" s="78" t="n"/>
      <c r="BG423" s="78" t="n"/>
      <c r="BH423" s="78" t="n"/>
      <c r="BI423" s="78" t="n"/>
      <c r="BJ423" s="139" t="n"/>
      <c r="BK423" s="204" t="n"/>
      <c r="BL423" s="141" t="n"/>
      <c r="BM423" s="205" t="n"/>
      <c r="BN423" s="205" t="n"/>
      <c r="BO423" s="206" t="n"/>
      <c r="BP423" s="144" t="n"/>
      <c r="BQ423" s="141" t="n"/>
      <c r="BR423" s="207" t="n"/>
      <c r="BS423" s="207" t="n"/>
      <c r="BT423" s="207" t="n"/>
      <c r="BU423" s="207" t="n"/>
      <c r="BV423" s="208" t="n"/>
      <c r="BW423" s="207" t="n"/>
      <c r="BX423" s="207" t="n"/>
      <c r="BY423" s="204" t="n"/>
      <c r="BZ423" s="148" t="n"/>
      <c r="CA423" s="204" t="n"/>
      <c r="CB423" s="208" t="n"/>
      <c r="CC423" s="139" t="n"/>
      <c r="CD423" s="204" t="n"/>
      <c r="CE423" s="204" t="n"/>
      <c r="CF423" s="207" t="n"/>
      <c r="CG423" s="208" t="n"/>
      <c r="CH423" s="207" t="n"/>
      <c r="CI423" s="208" t="n"/>
      <c r="CJ423" s="204" t="n"/>
      <c r="CK423" s="208" t="n"/>
      <c r="CL423" s="208" t="n"/>
      <c r="CM423" s="208" t="n"/>
      <c r="CN423" s="78" t="n"/>
      <c r="CO423" s="209" t="n"/>
      <c r="CP423" s="204" t="n"/>
      <c r="CQ423" s="204" t="n"/>
      <c r="CR423" s="204" t="n"/>
      <c r="CS423" s="204" t="n"/>
      <c r="CT423" s="204" t="n"/>
      <c r="CU423" s="204" t="n"/>
      <c r="CV423" s="204" t="n"/>
      <c r="CW423" s="204" t="n"/>
      <c r="CX423" s="190" t="n"/>
    </row>
    <row r="424">
      <c r="BF424" s="78" t="n"/>
      <c r="BG424" s="78" t="n"/>
      <c r="BH424" s="78" t="n"/>
      <c r="BI424" s="78" t="n"/>
      <c r="BJ424" s="139" t="n"/>
      <c r="BK424" s="204" t="n"/>
      <c r="BL424" s="141" t="n"/>
      <c r="BM424" s="205" t="n"/>
      <c r="BN424" s="205" t="n"/>
      <c r="BO424" s="206" t="n"/>
      <c r="BP424" s="144" t="n"/>
      <c r="BQ424" s="141" t="n"/>
      <c r="BR424" s="207" t="n"/>
      <c r="BS424" s="207" t="n"/>
      <c r="BT424" s="207" t="n"/>
      <c r="BU424" s="207" t="n"/>
      <c r="BV424" s="208" t="n"/>
      <c r="BW424" s="207" t="n"/>
      <c r="BX424" s="207" t="n"/>
      <c r="BY424" s="204" t="n"/>
      <c r="BZ424" s="148" t="n"/>
      <c r="CA424" s="204" t="n"/>
      <c r="CB424" s="208" t="n"/>
      <c r="CC424" s="139" t="n"/>
      <c r="CD424" s="204" t="n"/>
      <c r="CE424" s="204" t="n"/>
      <c r="CF424" s="207" t="n"/>
      <c r="CG424" s="208" t="n"/>
      <c r="CH424" s="207" t="n"/>
      <c r="CI424" s="208" t="n"/>
      <c r="CJ424" s="204" t="n"/>
      <c r="CK424" s="208" t="n"/>
      <c r="CL424" s="208" t="n"/>
      <c r="CM424" s="208" t="n"/>
      <c r="CN424" s="78" t="n"/>
      <c r="CO424" s="209" t="n"/>
      <c r="CP424" s="204" t="n"/>
      <c r="CQ424" s="204" t="n"/>
      <c r="CR424" s="204" t="n"/>
      <c r="CS424" s="204" t="n"/>
      <c r="CT424" s="204" t="n"/>
      <c r="CU424" s="204" t="n"/>
      <c r="CV424" s="204" t="n"/>
      <c r="CW424" s="204" t="n"/>
      <c r="CX424" s="190" t="n"/>
    </row>
    <row r="425">
      <c r="BF425" s="78" t="n"/>
      <c r="BG425" s="78" t="n"/>
      <c r="BH425" s="78" t="n"/>
      <c r="BI425" s="78" t="n"/>
      <c r="BJ425" s="139" t="n"/>
      <c r="BK425" s="204" t="n"/>
      <c r="BL425" s="141" t="n"/>
      <c r="BM425" s="205" t="n"/>
      <c r="BN425" s="205" t="n"/>
      <c r="BO425" s="206" t="n"/>
      <c r="BP425" s="144" t="n"/>
      <c r="BQ425" s="141" t="n"/>
      <c r="BR425" s="207" t="n"/>
      <c r="BS425" s="207" t="n"/>
      <c r="BT425" s="207" t="n"/>
      <c r="BU425" s="207" t="n"/>
      <c r="BV425" s="208" t="n"/>
      <c r="BW425" s="207" t="n"/>
      <c r="BX425" s="207" t="n"/>
      <c r="BY425" s="204" t="n"/>
      <c r="BZ425" s="148" t="n"/>
      <c r="CA425" s="204" t="n"/>
      <c r="CB425" s="208" t="n"/>
      <c r="CC425" s="139" t="n"/>
      <c r="CD425" s="204" t="n"/>
      <c r="CE425" s="204" t="n"/>
      <c r="CF425" s="207" t="n"/>
      <c r="CG425" s="208" t="n"/>
      <c r="CH425" s="207" t="n"/>
      <c r="CI425" s="208" t="n"/>
      <c r="CJ425" s="204" t="n"/>
      <c r="CK425" s="208" t="n"/>
      <c r="CL425" s="208" t="n"/>
      <c r="CM425" s="208" t="n"/>
      <c r="CN425" s="78" t="n"/>
      <c r="CO425" s="209" t="n"/>
      <c r="CP425" s="204" t="n"/>
      <c r="CQ425" s="204" t="n"/>
      <c r="CR425" s="204" t="n"/>
      <c r="CS425" s="204" t="n"/>
      <c r="CT425" s="204" t="n"/>
      <c r="CU425" s="204" t="n"/>
      <c r="CV425" s="204" t="n"/>
      <c r="CW425" s="204" t="n"/>
      <c r="CX425" s="190" t="n"/>
    </row>
    <row r="426">
      <c r="BF426" s="78" t="n"/>
      <c r="BG426" s="78" t="n"/>
      <c r="BH426" s="78" t="n"/>
      <c r="BI426" s="78" t="n"/>
      <c r="BJ426" s="139" t="n"/>
      <c r="BK426" s="204" t="n"/>
      <c r="BL426" s="141" t="n"/>
      <c r="BM426" s="205" t="n"/>
      <c r="BN426" s="205" t="n"/>
      <c r="BO426" s="206" t="n"/>
      <c r="BP426" s="144" t="n"/>
      <c r="BQ426" s="141" t="n"/>
      <c r="BR426" s="207" t="n"/>
      <c r="BS426" s="207" t="n"/>
      <c r="BT426" s="207" t="n"/>
      <c r="BU426" s="207" t="n"/>
      <c r="BV426" s="208" t="n"/>
      <c r="BW426" s="207" t="n"/>
      <c r="BX426" s="207" t="n"/>
      <c r="BY426" s="204" t="n"/>
      <c r="BZ426" s="148" t="n"/>
      <c r="CA426" s="204" t="n"/>
      <c r="CB426" s="208" t="n"/>
      <c r="CC426" s="139" t="n"/>
      <c r="CD426" s="204" t="n"/>
      <c r="CE426" s="204" t="n"/>
      <c r="CF426" s="207" t="n"/>
      <c r="CG426" s="208" t="n"/>
      <c r="CH426" s="207" t="n"/>
      <c r="CI426" s="208" t="n"/>
      <c r="CJ426" s="204" t="n"/>
      <c r="CK426" s="208" t="n"/>
      <c r="CL426" s="208" t="n"/>
      <c r="CM426" s="208" t="n"/>
      <c r="CN426" s="78" t="n"/>
      <c r="CO426" s="209" t="n"/>
      <c r="CP426" s="204" t="n"/>
      <c r="CQ426" s="204" t="n"/>
      <c r="CR426" s="204" t="n"/>
      <c r="CS426" s="204" t="n"/>
      <c r="CT426" s="204" t="n"/>
      <c r="CU426" s="204" t="n"/>
      <c r="CV426" s="204" t="n"/>
      <c r="CW426" s="204" t="n"/>
      <c r="CX426" s="190" t="n"/>
    </row>
    <row r="427">
      <c r="BF427" s="78" t="n"/>
      <c r="BG427" s="78" t="n"/>
      <c r="BH427" s="78" t="n"/>
      <c r="BI427" s="78" t="n"/>
      <c r="BJ427" s="139" t="n"/>
      <c r="BK427" s="204" t="n"/>
      <c r="BL427" s="141" t="n"/>
      <c r="BM427" s="205" t="n"/>
      <c r="BN427" s="205" t="n"/>
      <c r="BO427" s="206" t="n"/>
      <c r="BP427" s="144" t="n"/>
      <c r="BQ427" s="141" t="n"/>
      <c r="BR427" s="207" t="n"/>
      <c r="BS427" s="207" t="n"/>
      <c r="BT427" s="207" t="n"/>
      <c r="BU427" s="207" t="n"/>
      <c r="BV427" s="208" t="n"/>
      <c r="BW427" s="207" t="n"/>
      <c r="BX427" s="207" t="n"/>
      <c r="BY427" s="204" t="n"/>
      <c r="BZ427" s="148" t="n"/>
      <c r="CA427" s="204" t="n"/>
      <c r="CB427" s="208" t="n"/>
      <c r="CC427" s="139" t="n"/>
      <c r="CD427" s="204" t="n"/>
      <c r="CE427" s="204" t="n"/>
      <c r="CF427" s="207" t="n"/>
      <c r="CG427" s="208" t="n"/>
      <c r="CH427" s="207" t="n"/>
      <c r="CI427" s="208" t="n"/>
      <c r="CJ427" s="204" t="n"/>
      <c r="CK427" s="208" t="n"/>
      <c r="CL427" s="208" t="n"/>
      <c r="CM427" s="208" t="n"/>
      <c r="CN427" s="78" t="n"/>
      <c r="CO427" s="209" t="n"/>
      <c r="CP427" s="204" t="n"/>
      <c r="CQ427" s="204" t="n"/>
      <c r="CR427" s="204" t="n"/>
      <c r="CS427" s="204" t="n"/>
      <c r="CT427" s="204" t="n"/>
      <c r="CU427" s="204" t="n"/>
      <c r="CV427" s="204" t="n"/>
      <c r="CW427" s="204" t="n"/>
      <c r="CX427" s="190" t="n"/>
    </row>
    <row r="428">
      <c r="BF428" s="78" t="n"/>
      <c r="BG428" s="78" t="n"/>
      <c r="BH428" s="78" t="n"/>
      <c r="BI428" s="78" t="n"/>
      <c r="BJ428" s="139" t="n"/>
      <c r="BK428" s="204" t="n"/>
      <c r="BL428" s="141" t="n"/>
      <c r="BM428" s="205" t="n"/>
      <c r="BN428" s="205" t="n"/>
      <c r="BO428" s="206" t="n"/>
      <c r="BP428" s="144" t="n"/>
      <c r="BQ428" s="141" t="n"/>
      <c r="BR428" s="207" t="n"/>
      <c r="BS428" s="207" t="n"/>
      <c r="BT428" s="207" t="n"/>
      <c r="BU428" s="207" t="n"/>
      <c r="BV428" s="208" t="n"/>
      <c r="BW428" s="207" t="n"/>
      <c r="BX428" s="207" t="n"/>
      <c r="BY428" s="204" t="n"/>
      <c r="BZ428" s="148" t="n"/>
      <c r="CA428" s="204" t="n"/>
      <c r="CB428" s="208" t="n"/>
      <c r="CC428" s="139" t="n"/>
      <c r="CD428" s="204" t="n"/>
      <c r="CE428" s="204" t="n"/>
      <c r="CF428" s="207" t="n"/>
      <c r="CG428" s="208" t="n"/>
      <c r="CH428" s="207" t="n"/>
      <c r="CI428" s="208" t="n"/>
      <c r="CJ428" s="204" t="n"/>
      <c r="CK428" s="208" t="n"/>
      <c r="CL428" s="208" t="n"/>
      <c r="CM428" s="208" t="n"/>
      <c r="CN428" s="78" t="n"/>
      <c r="CO428" s="209" t="n"/>
      <c r="CP428" s="204" t="n"/>
      <c r="CQ428" s="204" t="n"/>
      <c r="CR428" s="204" t="n"/>
      <c r="CS428" s="204" t="n"/>
      <c r="CT428" s="204" t="n"/>
      <c r="CU428" s="204" t="n"/>
      <c r="CV428" s="204" t="n"/>
      <c r="CW428" s="204" t="n"/>
      <c r="CX428" s="190" t="n"/>
    </row>
    <row r="429">
      <c r="BF429" s="78" t="n"/>
      <c r="BG429" s="78" t="n"/>
      <c r="BH429" s="78" t="n"/>
      <c r="BI429" s="78" t="n"/>
      <c r="BJ429" s="139" t="n"/>
      <c r="BK429" s="204" t="n"/>
      <c r="BL429" s="141" t="n"/>
      <c r="BM429" s="205" t="n"/>
      <c r="BN429" s="205" t="n"/>
      <c r="BO429" s="206" t="n"/>
      <c r="BP429" s="144" t="n"/>
      <c r="BQ429" s="141" t="n"/>
      <c r="BR429" s="207" t="n"/>
      <c r="BS429" s="207" t="n"/>
      <c r="BT429" s="207" t="n"/>
      <c r="BU429" s="207" t="n"/>
      <c r="BV429" s="208" t="n"/>
      <c r="BW429" s="207" t="n"/>
      <c r="BX429" s="207" t="n"/>
      <c r="BY429" s="204" t="n"/>
      <c r="BZ429" s="148" t="n"/>
      <c r="CA429" s="204" t="n"/>
      <c r="CB429" s="208" t="n"/>
      <c r="CC429" s="139" t="n"/>
      <c r="CD429" s="204" t="n"/>
      <c r="CE429" s="204" t="n"/>
      <c r="CF429" s="207" t="n"/>
      <c r="CG429" s="208" t="n"/>
      <c r="CH429" s="207" t="n"/>
      <c r="CI429" s="208" t="n"/>
      <c r="CJ429" s="204" t="n"/>
      <c r="CK429" s="208" t="n"/>
      <c r="CL429" s="208" t="n"/>
      <c r="CM429" s="208" t="n"/>
      <c r="CN429" s="78" t="n"/>
      <c r="CO429" s="209" t="n"/>
      <c r="CP429" s="204" t="n"/>
      <c r="CQ429" s="204" t="n"/>
      <c r="CR429" s="204" t="n"/>
      <c r="CS429" s="204" t="n"/>
      <c r="CT429" s="204" t="n"/>
      <c r="CU429" s="204" t="n"/>
      <c r="CV429" s="204" t="n"/>
      <c r="CW429" s="204" t="n"/>
      <c r="CX429" s="190" t="n"/>
    </row>
    <row r="430">
      <c r="BF430" s="78" t="n"/>
      <c r="BG430" s="78" t="n"/>
      <c r="BH430" s="78" t="n"/>
      <c r="BI430" s="78" t="n"/>
      <c r="BJ430" s="139" t="n"/>
      <c r="BK430" s="204" t="n"/>
      <c r="BL430" s="141" t="n"/>
      <c r="BM430" s="205" t="n"/>
      <c r="BN430" s="205" t="n"/>
      <c r="BO430" s="206" t="n"/>
      <c r="BP430" s="144" t="n"/>
      <c r="BQ430" s="141" t="n"/>
      <c r="BR430" s="207" t="n"/>
      <c r="BS430" s="207" t="n"/>
      <c r="BT430" s="207" t="n"/>
      <c r="BU430" s="207" t="n"/>
      <c r="BV430" s="208" t="n"/>
      <c r="BW430" s="207" t="n"/>
      <c r="BX430" s="207" t="n"/>
      <c r="BY430" s="204" t="n"/>
      <c r="BZ430" s="148" t="n"/>
      <c r="CA430" s="204" t="n"/>
      <c r="CB430" s="208" t="n"/>
      <c r="CC430" s="139" t="n"/>
      <c r="CD430" s="204" t="n"/>
      <c r="CE430" s="204" t="n"/>
      <c r="CF430" s="207" t="n"/>
      <c r="CG430" s="208" t="n"/>
      <c r="CH430" s="207" t="n"/>
      <c r="CI430" s="208" t="n"/>
      <c r="CJ430" s="204" t="n"/>
      <c r="CK430" s="208" t="n"/>
      <c r="CL430" s="208" t="n"/>
      <c r="CM430" s="208" t="n"/>
      <c r="CN430" s="78" t="n"/>
      <c r="CO430" s="209" t="n"/>
      <c r="CP430" s="204" t="n"/>
      <c r="CQ430" s="204" t="n"/>
      <c r="CR430" s="204" t="n"/>
      <c r="CS430" s="204" t="n"/>
      <c r="CT430" s="204" t="n"/>
      <c r="CU430" s="204" t="n"/>
      <c r="CV430" s="204" t="n"/>
      <c r="CW430" s="204" t="n"/>
      <c r="CX430" s="190" t="n"/>
    </row>
    <row r="431">
      <c r="BF431" s="78" t="n"/>
      <c r="BG431" s="78" t="n"/>
      <c r="BH431" s="78" t="n"/>
      <c r="BI431" s="78" t="n"/>
      <c r="BJ431" s="139" t="n"/>
      <c r="BK431" s="204" t="n"/>
      <c r="BL431" s="141" t="n"/>
      <c r="BM431" s="205" t="n"/>
      <c r="BN431" s="205" t="n"/>
      <c r="BO431" s="206" t="n"/>
      <c r="BP431" s="144" t="n"/>
      <c r="BQ431" s="141" t="n"/>
      <c r="BR431" s="207" t="n"/>
      <c r="BS431" s="207" t="n"/>
      <c r="BT431" s="207" t="n"/>
      <c r="BU431" s="207" t="n"/>
      <c r="BV431" s="208" t="n"/>
      <c r="BW431" s="207" t="n"/>
      <c r="BX431" s="207" t="n"/>
      <c r="BY431" s="204" t="n"/>
      <c r="BZ431" s="148" t="n"/>
      <c r="CA431" s="204" t="n"/>
      <c r="CB431" s="208" t="n"/>
      <c r="CC431" s="139" t="n"/>
      <c r="CD431" s="204" t="n"/>
      <c r="CE431" s="204" t="n"/>
      <c r="CF431" s="207" t="n"/>
      <c r="CG431" s="208" t="n"/>
      <c r="CH431" s="207" t="n"/>
      <c r="CI431" s="208" t="n"/>
      <c r="CJ431" s="204" t="n"/>
      <c r="CK431" s="208" t="n"/>
      <c r="CL431" s="208" t="n"/>
      <c r="CM431" s="208" t="n"/>
      <c r="CN431" s="78" t="n"/>
      <c r="CO431" s="209" t="n"/>
      <c r="CP431" s="204" t="n"/>
      <c r="CQ431" s="204" t="n"/>
      <c r="CR431" s="204" t="n"/>
      <c r="CS431" s="204" t="n"/>
      <c r="CT431" s="204" t="n"/>
      <c r="CU431" s="204" t="n"/>
      <c r="CV431" s="204" t="n"/>
      <c r="CW431" s="204" t="n"/>
      <c r="CX431" s="190" t="n"/>
    </row>
    <row r="432">
      <c r="BF432" s="78" t="n"/>
      <c r="BG432" s="78" t="n"/>
      <c r="BH432" s="78" t="n"/>
      <c r="BI432" s="78" t="n"/>
      <c r="BJ432" s="139" t="n"/>
      <c r="BK432" s="204" t="n"/>
      <c r="BL432" s="141" t="n"/>
      <c r="BM432" s="205" t="n"/>
      <c r="BN432" s="205" t="n"/>
      <c r="BO432" s="206" t="n"/>
      <c r="BP432" s="144" t="n"/>
      <c r="BQ432" s="141" t="n"/>
      <c r="BR432" s="207" t="n"/>
      <c r="BS432" s="207" t="n"/>
      <c r="BT432" s="207" t="n"/>
      <c r="BU432" s="207" t="n"/>
      <c r="BV432" s="208" t="n"/>
      <c r="BW432" s="207" t="n"/>
      <c r="BX432" s="207" t="n"/>
      <c r="BY432" s="204" t="n"/>
      <c r="BZ432" s="148" t="n"/>
      <c r="CA432" s="204" t="n"/>
      <c r="CB432" s="208" t="n"/>
      <c r="CC432" s="139" t="n"/>
      <c r="CD432" s="204" t="n"/>
      <c r="CE432" s="204" t="n"/>
      <c r="CF432" s="207" t="n"/>
      <c r="CG432" s="208" t="n"/>
      <c r="CH432" s="207" t="n"/>
      <c r="CI432" s="208" t="n"/>
      <c r="CJ432" s="204" t="n"/>
      <c r="CK432" s="208" t="n"/>
      <c r="CL432" s="208" t="n"/>
      <c r="CM432" s="208" t="n"/>
      <c r="CN432" s="78" t="n"/>
      <c r="CO432" s="209" t="n"/>
      <c r="CP432" s="204" t="n"/>
      <c r="CQ432" s="204" t="n"/>
      <c r="CR432" s="204" t="n"/>
      <c r="CS432" s="204" t="n"/>
      <c r="CT432" s="204" t="n"/>
      <c r="CU432" s="204" t="n"/>
      <c r="CV432" s="204" t="n"/>
      <c r="CW432" s="204" t="n"/>
      <c r="CX432" s="190" t="n"/>
    </row>
    <row r="433">
      <c r="BF433" s="78" t="n"/>
      <c r="BG433" s="78" t="n"/>
      <c r="BH433" s="78" t="n"/>
      <c r="BI433" s="78" t="n"/>
      <c r="BJ433" s="139" t="n"/>
      <c r="BK433" s="204" t="n"/>
      <c r="BL433" s="141" t="n"/>
      <c r="BM433" s="205" t="n"/>
      <c r="BN433" s="205" t="n"/>
      <c r="BO433" s="206" t="n"/>
      <c r="BP433" s="144" t="n"/>
      <c r="BQ433" s="141" t="n"/>
      <c r="BR433" s="207" t="n"/>
      <c r="BS433" s="207" t="n"/>
      <c r="BT433" s="207" t="n"/>
      <c r="BU433" s="207" t="n"/>
      <c r="BV433" s="208" t="n"/>
      <c r="BW433" s="207" t="n"/>
      <c r="BX433" s="207" t="n"/>
      <c r="BY433" s="204" t="n"/>
      <c r="BZ433" s="148" t="n"/>
      <c r="CA433" s="204" t="n"/>
      <c r="CB433" s="208" t="n"/>
      <c r="CC433" s="139" t="n"/>
      <c r="CD433" s="204" t="n"/>
      <c r="CE433" s="204" t="n"/>
      <c r="CF433" s="207" t="n"/>
      <c r="CG433" s="208" t="n"/>
      <c r="CH433" s="207" t="n"/>
      <c r="CI433" s="208" t="n"/>
      <c r="CJ433" s="204" t="n"/>
      <c r="CK433" s="208" t="n"/>
      <c r="CL433" s="208" t="n"/>
      <c r="CM433" s="208" t="n"/>
      <c r="CN433" s="78" t="n"/>
      <c r="CO433" s="209" t="n"/>
      <c r="CP433" s="204" t="n"/>
      <c r="CQ433" s="204" t="n"/>
      <c r="CR433" s="204" t="n"/>
      <c r="CS433" s="204" t="n"/>
      <c r="CT433" s="204" t="n"/>
      <c r="CU433" s="204" t="n"/>
      <c r="CV433" s="204" t="n"/>
      <c r="CW433" s="204" t="n"/>
      <c r="CX433" s="190" t="n"/>
    </row>
    <row r="434">
      <c r="BF434" s="78" t="n"/>
      <c r="BG434" s="78" t="n"/>
      <c r="BH434" s="78" t="n"/>
      <c r="BI434" s="78" t="n"/>
      <c r="BJ434" s="139" t="n"/>
      <c r="BK434" s="204" t="n"/>
      <c r="BL434" s="141" t="n"/>
      <c r="BM434" s="205" t="n"/>
      <c r="BN434" s="205" t="n"/>
      <c r="BO434" s="206" t="n"/>
      <c r="BP434" s="144" t="n"/>
      <c r="BQ434" s="141" t="n"/>
      <c r="BR434" s="207" t="n"/>
      <c r="BS434" s="207" t="n"/>
      <c r="BT434" s="207" t="n"/>
      <c r="BU434" s="207" t="n"/>
      <c r="BV434" s="208" t="n"/>
      <c r="BW434" s="207" t="n"/>
      <c r="BX434" s="207" t="n"/>
      <c r="BY434" s="204" t="n"/>
      <c r="BZ434" s="148" t="n"/>
      <c r="CA434" s="204" t="n"/>
      <c r="CB434" s="208" t="n"/>
      <c r="CC434" s="139" t="n"/>
      <c r="CD434" s="204" t="n"/>
      <c r="CE434" s="204" t="n"/>
      <c r="CF434" s="207" t="n"/>
      <c r="CG434" s="208" t="n"/>
      <c r="CH434" s="207" t="n"/>
      <c r="CI434" s="208" t="n"/>
      <c r="CJ434" s="204" t="n"/>
      <c r="CK434" s="208" t="n"/>
      <c r="CL434" s="208" t="n"/>
      <c r="CM434" s="208" t="n"/>
      <c r="CN434" s="78" t="n"/>
      <c r="CO434" s="209" t="n"/>
      <c r="CP434" s="204" t="n"/>
      <c r="CQ434" s="204" t="n"/>
      <c r="CR434" s="204" t="n"/>
      <c r="CS434" s="204" t="n"/>
      <c r="CT434" s="204" t="n"/>
      <c r="CU434" s="204" t="n"/>
      <c r="CV434" s="204" t="n"/>
      <c r="CW434" s="204" t="n"/>
      <c r="CX434" s="190" t="n"/>
    </row>
    <row r="435">
      <c r="BF435" s="78" t="n"/>
      <c r="BG435" s="78" t="n"/>
      <c r="BH435" s="78" t="n"/>
      <c r="BI435" s="78" t="n"/>
      <c r="BJ435" s="139" t="n"/>
      <c r="BK435" s="204" t="n"/>
      <c r="BL435" s="141" t="n"/>
      <c r="BM435" s="205" t="n"/>
      <c r="BN435" s="205" t="n"/>
      <c r="BO435" s="206" t="n"/>
      <c r="BP435" s="144" t="n"/>
      <c r="BQ435" s="141" t="n"/>
      <c r="BR435" s="207" t="n"/>
      <c r="BS435" s="207" t="n"/>
      <c r="BT435" s="207" t="n"/>
      <c r="BU435" s="207" t="n"/>
      <c r="BV435" s="208" t="n"/>
      <c r="BW435" s="207" t="n"/>
      <c r="BX435" s="207" t="n"/>
      <c r="BY435" s="204" t="n"/>
      <c r="BZ435" s="148" t="n"/>
      <c r="CA435" s="204" t="n"/>
      <c r="CB435" s="208" t="n"/>
      <c r="CC435" s="139" t="n"/>
      <c r="CD435" s="204" t="n"/>
      <c r="CE435" s="204" t="n"/>
      <c r="CF435" s="207" t="n"/>
      <c r="CG435" s="208" t="n"/>
      <c r="CH435" s="207" t="n"/>
      <c r="CI435" s="208" t="n"/>
      <c r="CJ435" s="204" t="n"/>
      <c r="CK435" s="208" t="n"/>
      <c r="CL435" s="208" t="n"/>
      <c r="CM435" s="208" t="n"/>
      <c r="CN435" s="78" t="n"/>
      <c r="CO435" s="209" t="n"/>
      <c r="CP435" s="204" t="n"/>
      <c r="CQ435" s="204" t="n"/>
      <c r="CR435" s="204" t="n"/>
      <c r="CS435" s="204" t="n"/>
      <c r="CT435" s="204" t="n"/>
      <c r="CU435" s="204" t="n"/>
      <c r="CV435" s="204" t="n"/>
      <c r="CW435" s="204" t="n"/>
      <c r="CX435" s="190" t="n"/>
    </row>
    <row r="436">
      <c r="AR436" s="151" t="n"/>
      <c r="BF436" s="78" t="n"/>
      <c r="BG436" s="78" t="n"/>
      <c r="BH436" s="78" t="n"/>
      <c r="BI436" s="78" t="n"/>
      <c r="BJ436" s="139" t="n"/>
      <c r="BK436" s="204" t="n"/>
      <c r="BL436" s="141" t="n"/>
      <c r="BM436" s="205" t="n"/>
      <c r="BN436" s="205" t="n"/>
      <c r="BO436" s="206" t="n"/>
      <c r="BP436" s="144" t="n"/>
      <c r="BQ436" s="141" t="n"/>
      <c r="BR436" s="207" t="n"/>
      <c r="BS436" s="207" t="n"/>
      <c r="BT436" s="207" t="n"/>
      <c r="BU436" s="207" t="n"/>
      <c r="BV436" s="208" t="n"/>
      <c r="BW436" s="207" t="n"/>
      <c r="BX436" s="207" t="n"/>
      <c r="BY436" s="204" t="n"/>
      <c r="BZ436" s="148" t="n"/>
      <c r="CA436" s="204" t="n"/>
      <c r="CB436" s="208" t="n"/>
      <c r="CC436" s="139" t="n"/>
      <c r="CD436" s="204" t="n"/>
      <c r="CE436" s="204" t="n"/>
      <c r="CF436" s="207" t="n"/>
      <c r="CG436" s="208" t="n"/>
      <c r="CH436" s="207" t="n"/>
      <c r="CI436" s="208" t="n"/>
      <c r="CJ436" s="204" t="n"/>
      <c r="CK436" s="208" t="n"/>
      <c r="CL436" s="208" t="n"/>
      <c r="CM436" s="208" t="n"/>
      <c r="CN436" s="78" t="n"/>
      <c r="CO436" s="209" t="n"/>
      <c r="CP436" s="204" t="n"/>
      <c r="CQ436" s="204" t="n"/>
      <c r="CR436" s="204" t="n"/>
      <c r="CS436" s="204" t="n"/>
      <c r="CT436" s="204" t="n"/>
      <c r="CU436" s="204" t="n"/>
      <c r="CV436" s="204" t="n"/>
      <c r="CW436" s="204" t="n"/>
      <c r="CX436" s="190" t="n"/>
    </row>
    <row r="437">
      <c r="BF437" s="78" t="n"/>
      <c r="BG437" s="78" t="n"/>
      <c r="BH437" s="78" t="n"/>
      <c r="BI437" s="78" t="n"/>
      <c r="BJ437" s="139" t="n"/>
      <c r="BK437" s="204" t="n"/>
      <c r="BL437" s="141" t="n"/>
      <c r="BM437" s="205" t="n"/>
      <c r="BN437" s="205" t="n"/>
      <c r="BO437" s="206" t="n"/>
      <c r="BP437" s="144" t="n"/>
      <c r="BQ437" s="141" t="n"/>
      <c r="BR437" s="207" t="n"/>
      <c r="BS437" s="207" t="n"/>
      <c r="BT437" s="207" t="n"/>
      <c r="BU437" s="207" t="n"/>
      <c r="BV437" s="208" t="n"/>
      <c r="BW437" s="207" t="n"/>
      <c r="BX437" s="207" t="n"/>
      <c r="BY437" s="204" t="n"/>
      <c r="BZ437" s="148" t="n"/>
      <c r="CA437" s="204" t="n"/>
      <c r="CB437" s="208" t="n"/>
      <c r="CC437" s="139" t="n"/>
      <c r="CD437" s="204" t="n"/>
      <c r="CE437" s="204" t="n"/>
      <c r="CF437" s="207" t="n"/>
      <c r="CG437" s="208" t="n"/>
      <c r="CH437" s="207" t="n"/>
      <c r="CI437" s="208" t="n"/>
      <c r="CJ437" s="204" t="n"/>
      <c r="CK437" s="208" t="n"/>
      <c r="CL437" s="208" t="n"/>
      <c r="CM437" s="208" t="n"/>
      <c r="CN437" s="78" t="n"/>
      <c r="CO437" s="209" t="n"/>
      <c r="CP437" s="204" t="n"/>
      <c r="CQ437" s="204" t="n"/>
      <c r="CR437" s="204" t="n"/>
      <c r="CS437" s="204" t="n"/>
      <c r="CT437" s="204" t="n"/>
      <c r="CU437" s="204" t="n"/>
      <c r="CV437" s="204" t="n"/>
      <c r="CW437" s="204" t="n"/>
      <c r="CX437" s="190" t="n"/>
    </row>
    <row r="438">
      <c r="BF438" s="78" t="n"/>
      <c r="BG438" s="78" t="n"/>
      <c r="BH438" s="78" t="n"/>
      <c r="BI438" s="78" t="n"/>
      <c r="BJ438" s="139" t="n"/>
      <c r="BK438" s="204" t="n"/>
      <c r="BL438" s="141" t="n"/>
      <c r="BM438" s="205" t="n"/>
      <c r="BN438" s="205" t="n"/>
      <c r="BO438" s="206" t="n"/>
      <c r="BP438" s="144" t="n"/>
      <c r="BQ438" s="141" t="n"/>
      <c r="BR438" s="207" t="n"/>
      <c r="BS438" s="207" t="n"/>
      <c r="BT438" s="207" t="n"/>
      <c r="BU438" s="207" t="n"/>
      <c r="BV438" s="208" t="n"/>
      <c r="BW438" s="207" t="n"/>
      <c r="BX438" s="207" t="n"/>
      <c r="BY438" s="204" t="n"/>
      <c r="BZ438" s="148" t="n"/>
      <c r="CA438" s="204" t="n"/>
      <c r="CB438" s="208" t="n"/>
      <c r="CC438" s="139" t="n"/>
      <c r="CD438" s="204" t="n"/>
      <c r="CE438" s="204" t="n"/>
      <c r="CF438" s="207" t="n"/>
      <c r="CG438" s="208" t="n"/>
      <c r="CH438" s="207" t="n"/>
      <c r="CI438" s="208" t="n"/>
      <c r="CJ438" s="204" t="n"/>
      <c r="CK438" s="208" t="n"/>
      <c r="CL438" s="208" t="n"/>
      <c r="CM438" s="208" t="n"/>
      <c r="CN438" s="78" t="n"/>
      <c r="CO438" s="209" t="n"/>
      <c r="CP438" s="204" t="n"/>
      <c r="CQ438" s="204" t="n"/>
      <c r="CR438" s="204" t="n"/>
      <c r="CS438" s="204" t="n"/>
      <c r="CT438" s="204" t="n"/>
      <c r="CU438" s="204" t="n"/>
      <c r="CV438" s="204" t="n"/>
      <c r="CW438" s="204" t="n"/>
      <c r="CX438" s="190" t="n"/>
    </row>
    <row r="439">
      <c r="BF439" s="78" t="n"/>
      <c r="BG439" s="78" t="n"/>
      <c r="BH439" s="78" t="n"/>
      <c r="BI439" s="78" t="n"/>
      <c r="BJ439" s="139" t="n"/>
      <c r="BK439" s="204" t="n"/>
      <c r="BL439" s="141" t="n"/>
      <c r="BM439" s="205" t="n"/>
      <c r="BN439" s="205" t="n"/>
      <c r="BO439" s="206" t="n"/>
      <c r="BP439" s="144" t="n"/>
      <c r="BQ439" s="141" t="n"/>
      <c r="BR439" s="207" t="n"/>
      <c r="BS439" s="207" t="n"/>
      <c r="BT439" s="207" t="n"/>
      <c r="BU439" s="207" t="n"/>
      <c r="BV439" s="208" t="n"/>
      <c r="BW439" s="207" t="n"/>
      <c r="BX439" s="207" t="n"/>
      <c r="BY439" s="204" t="n"/>
      <c r="BZ439" s="148" t="n"/>
      <c r="CA439" s="204" t="n"/>
      <c r="CB439" s="208" t="n"/>
      <c r="CC439" s="139" t="n"/>
      <c r="CD439" s="204" t="n"/>
      <c r="CE439" s="204" t="n"/>
      <c r="CF439" s="207" t="n"/>
      <c r="CG439" s="208" t="n"/>
      <c r="CH439" s="207" t="n"/>
      <c r="CI439" s="208" t="n"/>
      <c r="CJ439" s="204" t="n"/>
      <c r="CK439" s="208" t="n"/>
      <c r="CL439" s="208" t="n"/>
      <c r="CM439" s="208" t="n"/>
      <c r="CN439" s="78" t="n"/>
      <c r="CO439" s="209" t="n"/>
      <c r="CP439" s="204" t="n"/>
      <c r="CQ439" s="204" t="n"/>
      <c r="CR439" s="204" t="n"/>
      <c r="CS439" s="204" t="n"/>
      <c r="CT439" s="204" t="n"/>
      <c r="CU439" s="204" t="n"/>
      <c r="CV439" s="204" t="n"/>
      <c r="CW439" s="204" t="n"/>
      <c r="CX439" s="190" t="n"/>
    </row>
    <row r="440">
      <c r="BF440" s="78" t="n"/>
      <c r="BG440" s="78" t="n"/>
      <c r="BH440" s="78" t="n"/>
      <c r="BI440" s="78" t="n"/>
      <c r="BJ440" s="139" t="n"/>
      <c r="BK440" s="204" t="n"/>
      <c r="BL440" s="141" t="n"/>
      <c r="BM440" s="205" t="n"/>
      <c r="BN440" s="205" t="n"/>
      <c r="BO440" s="206" t="n"/>
      <c r="BP440" s="144" t="n"/>
      <c r="BQ440" s="141" t="n"/>
      <c r="BR440" s="207" t="n"/>
      <c r="BS440" s="207" t="n"/>
      <c r="BT440" s="207" t="n"/>
      <c r="BU440" s="207" t="n"/>
      <c r="BV440" s="208" t="n"/>
      <c r="BW440" s="207" t="n"/>
      <c r="BX440" s="207" t="n"/>
      <c r="BY440" s="204" t="n"/>
      <c r="BZ440" s="148" t="n"/>
      <c r="CA440" s="204" t="n"/>
      <c r="CB440" s="208" t="n"/>
      <c r="CC440" s="139" t="n"/>
      <c r="CD440" s="204" t="n"/>
      <c r="CE440" s="204" t="n"/>
      <c r="CF440" s="207" t="n"/>
      <c r="CG440" s="208" t="n"/>
      <c r="CH440" s="207" t="n"/>
      <c r="CI440" s="208" t="n"/>
      <c r="CJ440" s="204" t="n"/>
      <c r="CK440" s="208" t="n"/>
      <c r="CL440" s="208" t="n"/>
      <c r="CM440" s="208" t="n"/>
      <c r="CN440" s="78" t="n"/>
      <c r="CO440" s="209" t="n"/>
      <c r="CP440" s="204" t="n"/>
      <c r="CQ440" s="204" t="n"/>
      <c r="CR440" s="204" t="n"/>
      <c r="CS440" s="204" t="n"/>
      <c r="CT440" s="204" t="n"/>
      <c r="CU440" s="204" t="n"/>
      <c r="CV440" s="204" t="n"/>
      <c r="CW440" s="204" t="n"/>
      <c r="CX440" s="190" t="n"/>
    </row>
    <row r="441">
      <c r="BF441" s="78" t="n"/>
      <c r="BG441" s="78" t="n"/>
      <c r="BH441" s="78" t="n"/>
      <c r="BI441" s="78" t="n"/>
      <c r="BJ441" s="139" t="n"/>
      <c r="BK441" s="204" t="n"/>
      <c r="BL441" s="141" t="n"/>
      <c r="BM441" s="205" t="n"/>
      <c r="BN441" s="205" t="n"/>
      <c r="BO441" s="206" t="n"/>
      <c r="BP441" s="144" t="n"/>
      <c r="BQ441" s="141" t="n"/>
      <c r="BR441" s="207" t="n"/>
      <c r="BS441" s="207" t="n"/>
      <c r="BT441" s="207" t="n"/>
      <c r="BU441" s="207" t="n"/>
      <c r="BV441" s="208" t="n"/>
      <c r="BW441" s="207" t="n"/>
      <c r="BX441" s="207" t="n"/>
      <c r="BY441" s="204" t="n"/>
      <c r="BZ441" s="148" t="n"/>
      <c r="CA441" s="204" t="n"/>
      <c r="CB441" s="208" t="n"/>
      <c r="CC441" s="139" t="n"/>
      <c r="CD441" s="204" t="n"/>
      <c r="CE441" s="204" t="n"/>
      <c r="CF441" s="207" t="n"/>
      <c r="CG441" s="208" t="n"/>
      <c r="CH441" s="207" t="n"/>
      <c r="CI441" s="208" t="n"/>
      <c r="CJ441" s="204" t="n"/>
      <c r="CK441" s="208" t="n"/>
      <c r="CL441" s="208" t="n"/>
      <c r="CM441" s="208" t="n"/>
      <c r="CN441" s="78" t="n"/>
      <c r="CO441" s="209" t="n"/>
      <c r="CP441" s="204" t="n"/>
      <c r="CQ441" s="204" t="n"/>
      <c r="CR441" s="204" t="n"/>
      <c r="CS441" s="204" t="n"/>
      <c r="CT441" s="204" t="n"/>
      <c r="CU441" s="204" t="n"/>
      <c r="CV441" s="204" t="n"/>
      <c r="CW441" s="204" t="n"/>
      <c r="CX441" s="190" t="n"/>
    </row>
    <row r="442">
      <c r="AR442" s="151" t="n"/>
      <c r="BF442" s="78" t="n"/>
      <c r="BG442" s="78" t="n"/>
      <c r="BH442" s="78" t="n"/>
      <c r="BI442" s="78" t="n"/>
      <c r="BJ442" s="139" t="n"/>
      <c r="BK442" s="204" t="n"/>
      <c r="BL442" s="141" t="n"/>
      <c r="BM442" s="205" t="n"/>
      <c r="BN442" s="205" t="n"/>
      <c r="BO442" s="206" t="n"/>
      <c r="BP442" s="144" t="n"/>
      <c r="BQ442" s="141" t="n"/>
      <c r="BR442" s="207" t="n"/>
      <c r="BS442" s="207" t="n"/>
      <c r="BT442" s="207" t="n"/>
      <c r="BU442" s="207" t="n"/>
      <c r="BV442" s="208" t="n"/>
      <c r="BW442" s="207" t="n"/>
      <c r="BX442" s="207" t="n"/>
      <c r="BY442" s="204" t="n"/>
      <c r="BZ442" s="148" t="n"/>
      <c r="CA442" s="204" t="n"/>
      <c r="CB442" s="208" t="n"/>
      <c r="CC442" s="139" t="n"/>
      <c r="CD442" s="204" t="n"/>
      <c r="CE442" s="204" t="n"/>
      <c r="CF442" s="207" t="n"/>
      <c r="CG442" s="208" t="n"/>
      <c r="CH442" s="207" t="n"/>
      <c r="CI442" s="208" t="n"/>
      <c r="CJ442" s="204" t="n"/>
      <c r="CK442" s="208" t="n"/>
      <c r="CL442" s="208" t="n"/>
      <c r="CM442" s="208" t="n"/>
      <c r="CN442" s="78" t="n"/>
      <c r="CO442" s="209" t="n"/>
      <c r="CP442" s="204" t="n"/>
      <c r="CQ442" s="204" t="n"/>
      <c r="CR442" s="204" t="n"/>
      <c r="CS442" s="204" t="n"/>
      <c r="CT442" s="204" t="n"/>
      <c r="CU442" s="204" t="n"/>
      <c r="CV442" s="204" t="n"/>
      <c r="CW442" s="204" t="n"/>
      <c r="CX442" s="190" t="n"/>
    </row>
    <row r="443">
      <c r="BF443" s="78" t="n"/>
      <c r="BG443" s="78" t="n"/>
      <c r="BH443" s="78" t="n"/>
      <c r="BI443" s="78" t="n"/>
      <c r="BJ443" s="139" t="n"/>
      <c r="BK443" s="204" t="n"/>
      <c r="BL443" s="141" t="n"/>
      <c r="BM443" s="205" t="n"/>
      <c r="BN443" s="205" t="n"/>
      <c r="BO443" s="206" t="n"/>
      <c r="BP443" s="144" t="n"/>
      <c r="BQ443" s="141" t="n"/>
      <c r="BR443" s="207" t="n"/>
      <c r="BS443" s="207" t="n"/>
      <c r="BT443" s="207" t="n"/>
      <c r="BU443" s="207" t="n"/>
      <c r="BV443" s="208" t="n"/>
      <c r="BW443" s="207" t="n"/>
      <c r="BX443" s="207" t="n"/>
      <c r="BY443" s="204" t="n"/>
      <c r="BZ443" s="148" t="n"/>
      <c r="CA443" s="204" t="n"/>
      <c r="CB443" s="208" t="n"/>
      <c r="CC443" s="139" t="n"/>
      <c r="CD443" s="204" t="n"/>
      <c r="CE443" s="204" t="n"/>
      <c r="CF443" s="207" t="n"/>
      <c r="CG443" s="208" t="n"/>
      <c r="CH443" s="207" t="n"/>
      <c r="CI443" s="208" t="n"/>
      <c r="CJ443" s="204" t="n"/>
      <c r="CK443" s="208" t="n"/>
      <c r="CL443" s="208" t="n"/>
      <c r="CM443" s="208" t="n"/>
      <c r="CN443" s="78" t="n"/>
      <c r="CO443" s="209" t="n"/>
      <c r="CP443" s="204" t="n"/>
      <c r="CQ443" s="204" t="n"/>
      <c r="CR443" s="204" t="n"/>
      <c r="CS443" s="204" t="n"/>
      <c r="CT443" s="204" t="n"/>
      <c r="CU443" s="204" t="n"/>
      <c r="CV443" s="204" t="n"/>
      <c r="CW443" s="204" t="n"/>
      <c r="CX443" s="190" t="n"/>
    </row>
    <row r="444">
      <c r="BF444" s="78" t="n"/>
      <c r="BG444" s="78" t="n"/>
      <c r="BH444" s="78" t="n"/>
      <c r="BI444" s="78" t="n"/>
      <c r="BJ444" s="139" t="n"/>
      <c r="BK444" s="204" t="n"/>
      <c r="BL444" s="141" t="n"/>
      <c r="BM444" s="205" t="n"/>
      <c r="BN444" s="205" t="n"/>
      <c r="BO444" s="206" t="n"/>
      <c r="BP444" s="144" t="n"/>
      <c r="BQ444" s="141" t="n"/>
      <c r="BR444" s="207" t="n"/>
      <c r="BS444" s="207" t="n"/>
      <c r="BT444" s="207" t="n"/>
      <c r="BU444" s="207" t="n"/>
      <c r="BV444" s="208" t="n"/>
      <c r="BW444" s="207" t="n"/>
      <c r="BX444" s="207" t="n"/>
      <c r="BY444" s="204" t="n"/>
      <c r="BZ444" s="148" t="n"/>
      <c r="CA444" s="204" t="n"/>
      <c r="CB444" s="208" t="n"/>
      <c r="CC444" s="139" t="n"/>
      <c r="CD444" s="204" t="n"/>
      <c r="CE444" s="204" t="n"/>
      <c r="CF444" s="207" t="n"/>
      <c r="CG444" s="208" t="n"/>
      <c r="CH444" s="207" t="n"/>
      <c r="CI444" s="208" t="n"/>
      <c r="CJ444" s="204" t="n"/>
      <c r="CK444" s="208" t="n"/>
      <c r="CL444" s="208" t="n"/>
      <c r="CM444" s="208" t="n"/>
      <c r="CN444" s="78" t="n"/>
      <c r="CO444" s="209" t="n"/>
      <c r="CP444" s="204" t="n"/>
      <c r="CQ444" s="204" t="n"/>
      <c r="CR444" s="204" t="n"/>
      <c r="CS444" s="204" t="n"/>
      <c r="CT444" s="204" t="n"/>
      <c r="CU444" s="204" t="n"/>
      <c r="CV444" s="204" t="n"/>
      <c r="CW444" s="204" t="n"/>
      <c r="CX444" s="190" t="n"/>
    </row>
    <row r="445">
      <c r="BF445" s="78" t="n"/>
      <c r="BG445" s="78" t="n"/>
      <c r="BH445" s="78" t="n"/>
      <c r="BI445" s="78" t="n"/>
      <c r="BJ445" s="139" t="n"/>
      <c r="BK445" s="204" t="n"/>
      <c r="BL445" s="141" t="n"/>
      <c r="BM445" s="205" t="n"/>
      <c r="BN445" s="205" t="n"/>
      <c r="BO445" s="206" t="n"/>
      <c r="BP445" s="144" t="n"/>
      <c r="BQ445" s="141" t="n"/>
      <c r="BR445" s="207" t="n"/>
      <c r="BS445" s="207" t="n"/>
      <c r="BT445" s="207" t="n"/>
      <c r="BU445" s="207" t="n"/>
      <c r="BV445" s="208" t="n"/>
      <c r="BW445" s="207" t="n"/>
      <c r="BX445" s="207" t="n"/>
      <c r="BY445" s="204" t="n"/>
      <c r="BZ445" s="148" t="n"/>
      <c r="CA445" s="204" t="n"/>
      <c r="CB445" s="208" t="n"/>
      <c r="CC445" s="139" t="n"/>
      <c r="CD445" s="204" t="n"/>
      <c r="CE445" s="204" t="n"/>
      <c r="CF445" s="207" t="n"/>
      <c r="CG445" s="208" t="n"/>
      <c r="CH445" s="207" t="n"/>
      <c r="CI445" s="208" t="n"/>
      <c r="CJ445" s="204" t="n"/>
      <c r="CK445" s="208" t="n"/>
      <c r="CL445" s="208" t="n"/>
      <c r="CM445" s="208" t="n"/>
      <c r="CN445" s="78" t="n"/>
      <c r="CO445" s="209" t="n"/>
      <c r="CP445" s="204" t="n"/>
      <c r="CQ445" s="204" t="n"/>
      <c r="CR445" s="204" t="n"/>
      <c r="CS445" s="204" t="n"/>
      <c r="CT445" s="204" t="n"/>
      <c r="CU445" s="204" t="n"/>
      <c r="CV445" s="204" t="n"/>
      <c r="CW445" s="204" t="n"/>
      <c r="CX445" s="190" t="n"/>
    </row>
    <row r="446">
      <c r="BF446" s="78" t="n"/>
      <c r="BG446" s="78" t="n"/>
      <c r="BH446" s="78" t="n"/>
      <c r="BI446" s="78" t="n"/>
      <c r="BJ446" s="139" t="n"/>
      <c r="BK446" s="204" t="n"/>
      <c r="BL446" s="141" t="n"/>
      <c r="BM446" s="205" t="n"/>
      <c r="BN446" s="205" t="n"/>
      <c r="BO446" s="206" t="n"/>
      <c r="BP446" s="144" t="n"/>
      <c r="BQ446" s="141" t="n"/>
      <c r="BR446" s="207" t="n"/>
      <c r="BS446" s="207" t="n"/>
      <c r="BT446" s="207" t="n"/>
      <c r="BU446" s="207" t="n"/>
      <c r="BV446" s="208" t="n"/>
      <c r="BW446" s="207" t="n"/>
      <c r="BX446" s="207" t="n"/>
      <c r="BY446" s="204" t="n"/>
      <c r="BZ446" s="148" t="n"/>
      <c r="CA446" s="204" t="n"/>
      <c r="CB446" s="208" t="n"/>
      <c r="CC446" s="139" t="n"/>
      <c r="CD446" s="204" t="n"/>
      <c r="CE446" s="204" t="n"/>
      <c r="CF446" s="207" t="n"/>
      <c r="CG446" s="208" t="n"/>
      <c r="CH446" s="207" t="n"/>
      <c r="CI446" s="208" t="n"/>
      <c r="CJ446" s="204" t="n"/>
      <c r="CK446" s="208" t="n"/>
      <c r="CL446" s="208" t="n"/>
      <c r="CM446" s="208" t="n"/>
      <c r="CN446" s="78" t="n"/>
      <c r="CO446" s="209" t="n"/>
      <c r="CP446" s="204" t="n"/>
      <c r="CQ446" s="204" t="n"/>
      <c r="CR446" s="204" t="n"/>
      <c r="CS446" s="204" t="n"/>
      <c r="CT446" s="204" t="n"/>
      <c r="CU446" s="204" t="n"/>
      <c r="CV446" s="204" t="n"/>
      <c r="CW446" s="204" t="n"/>
      <c r="CX446" s="190" t="n"/>
    </row>
    <row r="447">
      <c r="BF447" s="78" t="n"/>
      <c r="BG447" s="78" t="n"/>
      <c r="BH447" s="78" t="n"/>
      <c r="BI447" s="78" t="n"/>
      <c r="BJ447" s="139" t="n"/>
      <c r="BK447" s="204" t="n"/>
      <c r="BL447" s="141" t="n"/>
      <c r="BM447" s="205" t="n"/>
      <c r="BN447" s="205" t="n"/>
      <c r="BO447" s="206" t="n"/>
      <c r="BP447" s="144" t="n"/>
      <c r="BQ447" s="141" t="n"/>
      <c r="BR447" s="207" t="n"/>
      <c r="BS447" s="207" t="n"/>
      <c r="BT447" s="207" t="n"/>
      <c r="BU447" s="207" t="n"/>
      <c r="BV447" s="208" t="n"/>
      <c r="BW447" s="207" t="n"/>
      <c r="BX447" s="207" t="n"/>
      <c r="BY447" s="204" t="n"/>
      <c r="BZ447" s="148" t="n"/>
      <c r="CA447" s="204" t="n"/>
      <c r="CB447" s="208" t="n"/>
      <c r="CC447" s="139" t="n"/>
      <c r="CD447" s="204" t="n"/>
      <c r="CE447" s="204" t="n"/>
      <c r="CF447" s="207" t="n"/>
      <c r="CG447" s="208" t="n"/>
      <c r="CH447" s="207" t="n"/>
      <c r="CI447" s="208" t="n"/>
      <c r="CJ447" s="204" t="n"/>
      <c r="CK447" s="208" t="n"/>
      <c r="CL447" s="208" t="n"/>
      <c r="CM447" s="208" t="n"/>
      <c r="CN447" s="78" t="n"/>
      <c r="CO447" s="209" t="n"/>
      <c r="CP447" s="204" t="n"/>
      <c r="CQ447" s="204" t="n"/>
      <c r="CR447" s="204" t="n"/>
      <c r="CS447" s="204" t="n"/>
      <c r="CT447" s="204" t="n"/>
      <c r="CU447" s="204" t="n"/>
      <c r="CV447" s="204" t="n"/>
      <c r="CW447" s="204" t="n"/>
      <c r="CX447" s="190" t="n"/>
    </row>
    <row r="448">
      <c r="BF448" s="78" t="n"/>
      <c r="BG448" s="78" t="n"/>
      <c r="BH448" s="78" t="n"/>
      <c r="BI448" s="78" t="n"/>
      <c r="BJ448" s="139" t="n"/>
      <c r="BK448" s="204" t="n"/>
      <c r="BL448" s="141" t="n"/>
      <c r="BM448" s="205" t="n"/>
      <c r="BN448" s="205" t="n"/>
      <c r="BO448" s="206" t="n"/>
      <c r="BP448" s="144" t="n"/>
      <c r="BQ448" s="141" t="n"/>
      <c r="BR448" s="207" t="n"/>
      <c r="BS448" s="207" t="n"/>
      <c r="BT448" s="207" t="n"/>
      <c r="BU448" s="207" t="n"/>
      <c r="BV448" s="208" t="n"/>
      <c r="BW448" s="207" t="n"/>
      <c r="BX448" s="207" t="n"/>
      <c r="BY448" s="204" t="n"/>
      <c r="BZ448" s="148" t="n"/>
      <c r="CA448" s="204" t="n"/>
      <c r="CB448" s="208" t="n"/>
      <c r="CC448" s="139" t="n"/>
      <c r="CD448" s="204" t="n"/>
      <c r="CE448" s="204" t="n"/>
      <c r="CF448" s="207" t="n"/>
      <c r="CG448" s="208" t="n"/>
      <c r="CH448" s="207" t="n"/>
      <c r="CI448" s="208" t="n"/>
      <c r="CJ448" s="204" t="n"/>
      <c r="CK448" s="208" t="n"/>
      <c r="CL448" s="208" t="n"/>
      <c r="CM448" s="208" t="n"/>
      <c r="CN448" s="78" t="n"/>
      <c r="CO448" s="209" t="n"/>
      <c r="CP448" s="204" t="n"/>
      <c r="CQ448" s="204" t="n"/>
      <c r="CR448" s="204" t="n"/>
      <c r="CS448" s="204" t="n"/>
      <c r="CT448" s="204" t="n"/>
      <c r="CU448" s="204" t="n"/>
      <c r="CV448" s="204" t="n"/>
      <c r="CW448" s="204" t="n"/>
      <c r="CX448" s="190" t="n"/>
    </row>
    <row r="449">
      <c r="BF449" s="78" t="n"/>
      <c r="BG449" s="78" t="n"/>
      <c r="BH449" s="78" t="n"/>
      <c r="BI449" s="78" t="n"/>
      <c r="BJ449" s="139" t="n"/>
      <c r="BK449" s="204" t="n"/>
      <c r="BL449" s="141" t="n"/>
      <c r="BM449" s="205" t="n"/>
      <c r="BN449" s="205" t="n"/>
      <c r="BO449" s="206" t="n"/>
      <c r="BP449" s="144" t="n"/>
      <c r="BQ449" s="141" t="n"/>
      <c r="BR449" s="207" t="n"/>
      <c r="BS449" s="207" t="n"/>
      <c r="BT449" s="207" t="n"/>
      <c r="BU449" s="207" t="n"/>
      <c r="BV449" s="208" t="n"/>
      <c r="BW449" s="207" t="n"/>
      <c r="BX449" s="207" t="n"/>
      <c r="BY449" s="204" t="n"/>
      <c r="BZ449" s="148" t="n"/>
      <c r="CA449" s="204" t="n"/>
      <c r="CB449" s="208" t="n"/>
      <c r="CC449" s="139" t="n"/>
      <c r="CD449" s="204" t="n"/>
      <c r="CE449" s="204" t="n"/>
      <c r="CF449" s="207" t="n"/>
      <c r="CG449" s="208" t="n"/>
      <c r="CH449" s="207" t="n"/>
      <c r="CI449" s="208" t="n"/>
      <c r="CJ449" s="204" t="n"/>
      <c r="CK449" s="208" t="n"/>
      <c r="CL449" s="208" t="n"/>
      <c r="CM449" s="208" t="n"/>
      <c r="CN449" s="78" t="n"/>
      <c r="CO449" s="209" t="n"/>
      <c r="CP449" s="204" t="n"/>
      <c r="CQ449" s="204" t="n"/>
      <c r="CR449" s="204" t="n"/>
      <c r="CS449" s="204" t="n"/>
      <c r="CT449" s="204" t="n"/>
      <c r="CU449" s="204" t="n"/>
      <c r="CV449" s="204" t="n"/>
      <c r="CW449" s="204" t="n"/>
      <c r="CX449" s="190" t="n"/>
    </row>
    <row r="450">
      <c r="BF450" s="78" t="n"/>
      <c r="BG450" s="78" t="n"/>
      <c r="BH450" s="78" t="n"/>
      <c r="BI450" s="78" t="n"/>
      <c r="BJ450" s="139" t="n"/>
      <c r="BK450" s="204" t="n"/>
      <c r="BL450" s="141" t="n"/>
      <c r="BM450" s="205" t="n"/>
      <c r="BN450" s="205" t="n"/>
      <c r="BO450" s="206" t="n"/>
      <c r="BP450" s="144" t="n"/>
      <c r="BQ450" s="141" t="n"/>
      <c r="BR450" s="207" t="n"/>
      <c r="BS450" s="207" t="n"/>
      <c r="BT450" s="207" t="n"/>
      <c r="BU450" s="207" t="n"/>
      <c r="BV450" s="208" t="n"/>
      <c r="BW450" s="207" t="n"/>
      <c r="BX450" s="207" t="n"/>
      <c r="BY450" s="204" t="n"/>
      <c r="BZ450" s="148" t="n"/>
      <c r="CA450" s="204" t="n"/>
      <c r="CB450" s="208" t="n"/>
      <c r="CC450" s="139" t="n"/>
      <c r="CD450" s="204" t="n"/>
      <c r="CE450" s="204" t="n"/>
      <c r="CF450" s="207" t="n"/>
      <c r="CG450" s="208" t="n"/>
      <c r="CH450" s="207" t="n"/>
      <c r="CI450" s="208" t="n"/>
      <c r="CJ450" s="204" t="n"/>
      <c r="CK450" s="208" t="n"/>
      <c r="CL450" s="208" t="n"/>
      <c r="CM450" s="208" t="n"/>
      <c r="CN450" s="78" t="n"/>
      <c r="CO450" s="209" t="n"/>
      <c r="CP450" s="204" t="n"/>
      <c r="CQ450" s="204" t="n"/>
      <c r="CR450" s="204" t="n"/>
      <c r="CS450" s="204" t="n"/>
      <c r="CT450" s="204" t="n"/>
      <c r="CU450" s="204" t="n"/>
      <c r="CV450" s="204" t="n"/>
      <c r="CW450" s="204" t="n"/>
      <c r="CX450" s="190" t="n"/>
    </row>
    <row r="451">
      <c r="BF451" s="78" t="n"/>
      <c r="BG451" s="78" t="n"/>
      <c r="BH451" s="78" t="n"/>
      <c r="BI451" s="78" t="n"/>
      <c r="BJ451" s="139" t="n"/>
      <c r="BK451" s="204" t="n"/>
      <c r="BL451" s="141" t="n"/>
      <c r="BM451" s="205" t="n"/>
      <c r="BN451" s="205" t="n"/>
      <c r="BO451" s="206" t="n"/>
      <c r="BP451" s="144" t="n"/>
      <c r="BQ451" s="141" t="n"/>
      <c r="BR451" s="207" t="n"/>
      <c r="BS451" s="207" t="n"/>
      <c r="BT451" s="207" t="n"/>
      <c r="BU451" s="207" t="n"/>
      <c r="BV451" s="208" t="n"/>
      <c r="BW451" s="207" t="n"/>
      <c r="BX451" s="207" t="n"/>
      <c r="BY451" s="204" t="n"/>
      <c r="BZ451" s="148" t="n"/>
      <c r="CA451" s="204" t="n"/>
      <c r="CB451" s="208" t="n"/>
      <c r="CC451" s="139" t="n"/>
      <c r="CD451" s="204" t="n"/>
      <c r="CE451" s="204" t="n"/>
      <c r="CF451" s="207" t="n"/>
      <c r="CG451" s="208" t="n"/>
      <c r="CH451" s="207" t="n"/>
      <c r="CI451" s="208" t="n"/>
      <c r="CJ451" s="204" t="n"/>
      <c r="CK451" s="208" t="n"/>
      <c r="CL451" s="208" t="n"/>
      <c r="CM451" s="208" t="n"/>
      <c r="CN451" s="78" t="n"/>
      <c r="CO451" s="209" t="n"/>
      <c r="CP451" s="204" t="n"/>
      <c r="CQ451" s="204" t="n"/>
      <c r="CR451" s="204" t="n"/>
      <c r="CS451" s="204" t="n"/>
      <c r="CT451" s="204" t="n"/>
      <c r="CU451" s="204" t="n"/>
      <c r="CV451" s="204" t="n"/>
      <c r="CW451" s="204" t="n"/>
      <c r="CX451" s="190" t="n"/>
    </row>
    <row r="452">
      <c r="BF452" s="78" t="n"/>
      <c r="BG452" s="78" t="n"/>
      <c r="BH452" s="78" t="n"/>
      <c r="BI452" s="78" t="n"/>
      <c r="BJ452" s="139" t="n"/>
      <c r="BK452" s="204" t="n"/>
      <c r="BL452" s="141" t="n"/>
      <c r="BM452" s="205" t="n"/>
      <c r="BN452" s="205" t="n"/>
      <c r="BO452" s="206" t="n"/>
      <c r="BP452" s="144" t="n"/>
      <c r="BQ452" s="141" t="n"/>
      <c r="BR452" s="207" t="n"/>
      <c r="BS452" s="207" t="n"/>
      <c r="BT452" s="207" t="n"/>
      <c r="BU452" s="207" t="n"/>
      <c r="BV452" s="208" t="n"/>
      <c r="BW452" s="207" t="n"/>
      <c r="BX452" s="207" t="n"/>
      <c r="BY452" s="204" t="n"/>
      <c r="BZ452" s="148" t="n"/>
      <c r="CA452" s="204" t="n"/>
      <c r="CB452" s="208" t="n"/>
      <c r="CC452" s="139" t="n"/>
      <c r="CD452" s="204" t="n"/>
      <c r="CE452" s="204" t="n"/>
      <c r="CF452" s="207" t="n"/>
      <c r="CG452" s="208" t="n"/>
      <c r="CH452" s="207" t="n"/>
      <c r="CI452" s="208" t="n"/>
      <c r="CJ452" s="204" t="n"/>
      <c r="CK452" s="208" t="n"/>
      <c r="CL452" s="208" t="n"/>
      <c r="CM452" s="208" t="n"/>
      <c r="CN452" s="78" t="n"/>
      <c r="CO452" s="209" t="n"/>
      <c r="CP452" s="204" t="n"/>
      <c r="CQ452" s="204" t="n"/>
      <c r="CR452" s="204" t="n"/>
      <c r="CS452" s="204" t="n"/>
      <c r="CT452" s="204" t="n"/>
      <c r="CU452" s="204" t="n"/>
      <c r="CV452" s="204" t="n"/>
      <c r="CW452" s="204" t="n"/>
      <c r="CX452" s="190" t="n"/>
    </row>
    <row r="453">
      <c r="BF453" s="78" t="n"/>
      <c r="BG453" s="78" t="n"/>
      <c r="BH453" s="78" t="n"/>
      <c r="BI453" s="78" t="n"/>
      <c r="BJ453" s="139" t="n"/>
      <c r="BK453" s="204" t="n"/>
      <c r="BL453" s="141" t="n"/>
      <c r="BM453" s="205" t="n"/>
      <c r="BN453" s="205" t="n"/>
      <c r="BO453" s="206" t="n"/>
      <c r="BP453" s="144" t="n"/>
      <c r="BQ453" s="141" t="n"/>
      <c r="BR453" s="207" t="n"/>
      <c r="BS453" s="207" t="n"/>
      <c r="BT453" s="207" t="n"/>
      <c r="BU453" s="207" t="n"/>
      <c r="BV453" s="208" t="n"/>
      <c r="BW453" s="207" t="n"/>
      <c r="BX453" s="207" t="n"/>
      <c r="BY453" s="204" t="n"/>
      <c r="BZ453" s="148" t="n"/>
      <c r="CA453" s="204" t="n"/>
      <c r="CB453" s="208" t="n"/>
      <c r="CC453" s="139" t="n"/>
      <c r="CD453" s="204" t="n"/>
      <c r="CE453" s="204" t="n"/>
      <c r="CF453" s="207" t="n"/>
      <c r="CG453" s="208" t="n"/>
      <c r="CH453" s="207" t="n"/>
      <c r="CI453" s="208" t="n"/>
      <c r="CJ453" s="204" t="n"/>
      <c r="CK453" s="208" t="n"/>
      <c r="CL453" s="208" t="n"/>
      <c r="CM453" s="208" t="n"/>
      <c r="CN453" s="78" t="n"/>
      <c r="CO453" s="209" t="n"/>
      <c r="CP453" s="204" t="n"/>
      <c r="CQ453" s="204" t="n"/>
      <c r="CR453" s="204" t="n"/>
      <c r="CS453" s="204" t="n"/>
      <c r="CT453" s="204" t="n"/>
      <c r="CU453" s="204" t="n"/>
      <c r="CV453" s="204" t="n"/>
      <c r="CW453" s="204" t="n"/>
      <c r="CX453" s="190" t="n"/>
    </row>
    <row r="454">
      <c r="BF454" s="78" t="n"/>
      <c r="BG454" s="78" t="n"/>
      <c r="BH454" s="78" t="n"/>
      <c r="BI454" s="78" t="n"/>
      <c r="BJ454" s="139" t="n"/>
      <c r="BK454" s="204" t="n"/>
      <c r="BL454" s="141" t="n"/>
      <c r="BM454" s="205" t="n"/>
      <c r="BN454" s="205" t="n"/>
      <c r="BO454" s="206" t="n"/>
      <c r="BP454" s="144" t="n"/>
      <c r="BQ454" s="141" t="n"/>
      <c r="BR454" s="207" t="n"/>
      <c r="BS454" s="207" t="n"/>
      <c r="BT454" s="207" t="n"/>
      <c r="BU454" s="207" t="n"/>
      <c r="BV454" s="208" t="n"/>
      <c r="BW454" s="207" t="n"/>
      <c r="BX454" s="207" t="n"/>
      <c r="BY454" s="204" t="n"/>
      <c r="BZ454" s="148" t="n"/>
      <c r="CA454" s="204" t="n"/>
      <c r="CB454" s="208" t="n"/>
      <c r="CC454" s="139" t="n"/>
      <c r="CD454" s="204" t="n"/>
      <c r="CE454" s="204" t="n"/>
      <c r="CF454" s="207" t="n"/>
      <c r="CG454" s="208" t="n"/>
      <c r="CH454" s="207" t="n"/>
      <c r="CI454" s="208" t="n"/>
      <c r="CJ454" s="204" t="n"/>
      <c r="CK454" s="208" t="n"/>
      <c r="CL454" s="208" t="n"/>
      <c r="CM454" s="208" t="n"/>
      <c r="CN454" s="78" t="n"/>
      <c r="CO454" s="209" t="n"/>
      <c r="CP454" s="204" t="n"/>
      <c r="CQ454" s="204" t="n"/>
      <c r="CR454" s="204" t="n"/>
      <c r="CS454" s="204" t="n"/>
      <c r="CT454" s="204" t="n"/>
      <c r="CU454" s="204" t="n"/>
      <c r="CV454" s="204" t="n"/>
      <c r="CW454" s="204" t="n"/>
      <c r="CX454" s="190" t="n"/>
    </row>
    <row r="455">
      <c r="BF455" s="78" t="n"/>
      <c r="BG455" s="78" t="n"/>
      <c r="BH455" s="78" t="n"/>
      <c r="BI455" s="78" t="n"/>
      <c r="BJ455" s="139" t="n"/>
      <c r="BK455" s="204" t="n"/>
      <c r="BL455" s="141" t="n"/>
      <c r="BM455" s="205" t="n"/>
      <c r="BN455" s="205" t="n"/>
      <c r="BO455" s="206" t="n"/>
      <c r="BP455" s="144" t="n"/>
      <c r="BQ455" s="141" t="n"/>
      <c r="BR455" s="207" t="n"/>
      <c r="BS455" s="207" t="n"/>
      <c r="BT455" s="207" t="n"/>
      <c r="BU455" s="207" t="n"/>
      <c r="BV455" s="208" t="n"/>
      <c r="BW455" s="207" t="n"/>
      <c r="BX455" s="207" t="n"/>
      <c r="BY455" s="204" t="n"/>
      <c r="BZ455" s="148" t="n"/>
      <c r="CA455" s="204" t="n"/>
      <c r="CB455" s="208" t="n"/>
      <c r="CC455" s="139" t="n"/>
      <c r="CD455" s="204" t="n"/>
      <c r="CE455" s="204" t="n"/>
      <c r="CF455" s="207" t="n"/>
      <c r="CG455" s="208" t="n"/>
      <c r="CH455" s="207" t="n"/>
      <c r="CI455" s="208" t="n"/>
      <c r="CJ455" s="204" t="n"/>
      <c r="CK455" s="208" t="n"/>
      <c r="CL455" s="208" t="n"/>
      <c r="CM455" s="208" t="n"/>
      <c r="CN455" s="78" t="n"/>
      <c r="CO455" s="209" t="n"/>
      <c r="CP455" s="204" t="n"/>
      <c r="CQ455" s="204" t="n"/>
      <c r="CR455" s="204" t="n"/>
      <c r="CS455" s="204" t="n"/>
      <c r="CT455" s="204" t="n"/>
      <c r="CU455" s="204" t="n"/>
      <c r="CV455" s="204" t="n"/>
      <c r="CW455" s="204" t="n"/>
      <c r="CX455" s="190" t="n"/>
    </row>
    <row r="456">
      <c r="BF456" s="78" t="n"/>
      <c r="BG456" s="78" t="n"/>
      <c r="BH456" s="78" t="n"/>
      <c r="BI456" s="78" t="n"/>
      <c r="BJ456" s="139" t="n"/>
      <c r="BK456" s="204" t="n"/>
      <c r="BL456" s="141" t="n"/>
      <c r="BM456" s="205" t="n"/>
      <c r="BN456" s="205" t="n"/>
      <c r="BO456" s="206" t="n"/>
      <c r="BP456" s="144" t="n"/>
      <c r="BQ456" s="141" t="n"/>
      <c r="BR456" s="207" t="n"/>
      <c r="BS456" s="207" t="n"/>
      <c r="BT456" s="207" t="n"/>
      <c r="BU456" s="207" t="n"/>
      <c r="BV456" s="208" t="n"/>
      <c r="BW456" s="207" t="n"/>
      <c r="BX456" s="207" t="n"/>
      <c r="BY456" s="204" t="n"/>
      <c r="BZ456" s="148" t="n"/>
      <c r="CA456" s="204" t="n"/>
      <c r="CB456" s="208" t="n"/>
      <c r="CC456" s="139" t="n"/>
      <c r="CD456" s="204" t="n"/>
      <c r="CE456" s="204" t="n"/>
      <c r="CF456" s="207" t="n"/>
      <c r="CG456" s="208" t="n"/>
      <c r="CH456" s="207" t="n"/>
      <c r="CI456" s="208" t="n"/>
      <c r="CJ456" s="204" t="n"/>
      <c r="CK456" s="208" t="n"/>
      <c r="CL456" s="208" t="n"/>
      <c r="CM456" s="208" t="n"/>
      <c r="CN456" s="78" t="n"/>
      <c r="CO456" s="209" t="n"/>
      <c r="CP456" s="204" t="n"/>
      <c r="CQ456" s="204" t="n"/>
      <c r="CR456" s="204" t="n"/>
      <c r="CS456" s="204" t="n"/>
      <c r="CT456" s="204" t="n"/>
      <c r="CU456" s="204" t="n"/>
      <c r="CV456" s="204" t="n"/>
      <c r="CW456" s="204" t="n"/>
      <c r="CX456" s="190" t="n"/>
    </row>
    <row r="457">
      <c r="BF457" s="78" t="n"/>
      <c r="BG457" s="78" t="n"/>
      <c r="BH457" s="78" t="n"/>
      <c r="BI457" s="78" t="n"/>
      <c r="BJ457" s="139" t="n"/>
      <c r="BK457" s="204" t="n"/>
      <c r="BL457" s="141" t="n"/>
      <c r="BM457" s="205" t="n"/>
      <c r="BN457" s="205" t="n"/>
      <c r="BO457" s="206" t="n"/>
      <c r="BP457" s="144" t="n"/>
      <c r="BQ457" s="141" t="n"/>
      <c r="BR457" s="207" t="n"/>
      <c r="BS457" s="207" t="n"/>
      <c r="BT457" s="207" t="n"/>
      <c r="BU457" s="207" t="n"/>
      <c r="BV457" s="208" t="n"/>
      <c r="BW457" s="207" t="n"/>
      <c r="BX457" s="207" t="n"/>
      <c r="BY457" s="204" t="n"/>
      <c r="BZ457" s="148" t="n"/>
      <c r="CA457" s="204" t="n"/>
      <c r="CB457" s="208" t="n"/>
      <c r="CC457" s="139" t="n"/>
      <c r="CD457" s="204" t="n"/>
      <c r="CE457" s="204" t="n"/>
      <c r="CF457" s="207" t="n"/>
      <c r="CG457" s="208" t="n"/>
      <c r="CH457" s="207" t="n"/>
      <c r="CI457" s="208" t="n"/>
      <c r="CJ457" s="204" t="n"/>
      <c r="CK457" s="208" t="n"/>
      <c r="CL457" s="208" t="n"/>
      <c r="CM457" s="208" t="n"/>
      <c r="CN457" s="78" t="n"/>
      <c r="CO457" s="209" t="n"/>
      <c r="CP457" s="204" t="n"/>
      <c r="CQ457" s="204" t="n"/>
      <c r="CR457" s="204" t="n"/>
      <c r="CS457" s="204" t="n"/>
      <c r="CT457" s="204" t="n"/>
      <c r="CU457" s="204" t="n"/>
      <c r="CV457" s="204" t="n"/>
      <c r="CW457" s="204" t="n"/>
      <c r="CX457" s="190" t="n"/>
    </row>
    <row r="458">
      <c r="BF458" s="78" t="n"/>
      <c r="BG458" s="78" t="n"/>
      <c r="BH458" s="78" t="n"/>
      <c r="BI458" s="78" t="n"/>
      <c r="BJ458" s="139" t="n"/>
      <c r="BK458" s="204" t="n"/>
      <c r="BL458" s="141" t="n"/>
      <c r="BM458" s="205" t="n"/>
      <c r="BN458" s="205" t="n"/>
      <c r="BO458" s="206" t="n"/>
      <c r="BP458" s="144" t="n"/>
      <c r="BQ458" s="141" t="n"/>
      <c r="BR458" s="207" t="n"/>
      <c r="BS458" s="207" t="n"/>
      <c r="BT458" s="207" t="n"/>
      <c r="BU458" s="207" t="n"/>
      <c r="BV458" s="208" t="n"/>
      <c r="BW458" s="207" t="n"/>
      <c r="BX458" s="207" t="n"/>
      <c r="BY458" s="204" t="n"/>
      <c r="BZ458" s="148" t="n"/>
      <c r="CA458" s="204" t="n"/>
      <c r="CB458" s="208" t="n"/>
      <c r="CC458" s="139" t="n"/>
      <c r="CD458" s="204" t="n"/>
      <c r="CE458" s="204" t="n"/>
      <c r="CF458" s="207" t="n"/>
      <c r="CG458" s="208" t="n"/>
      <c r="CH458" s="207" t="n"/>
      <c r="CI458" s="208" t="n"/>
      <c r="CJ458" s="204" t="n"/>
      <c r="CK458" s="208" t="n"/>
      <c r="CL458" s="208" t="n"/>
      <c r="CM458" s="208" t="n"/>
      <c r="CN458" s="78" t="n"/>
      <c r="CO458" s="209" t="n"/>
      <c r="CP458" s="204" t="n"/>
      <c r="CQ458" s="204" t="n"/>
      <c r="CR458" s="204" t="n"/>
      <c r="CS458" s="204" t="n"/>
      <c r="CT458" s="204" t="n"/>
      <c r="CU458" s="204" t="n"/>
      <c r="CV458" s="204" t="n"/>
      <c r="CW458" s="204" t="n"/>
      <c r="CX458" s="190" t="n"/>
    </row>
    <row r="459">
      <c r="BF459" s="78" t="n"/>
      <c r="BG459" s="78" t="n"/>
      <c r="BH459" s="78" t="n"/>
      <c r="BI459" s="78" t="n"/>
      <c r="BJ459" s="139" t="n"/>
      <c r="BK459" s="204" t="n"/>
      <c r="BL459" s="141" t="n"/>
      <c r="BM459" s="205" t="n"/>
      <c r="BN459" s="205" t="n"/>
      <c r="BO459" s="206" t="n"/>
      <c r="BP459" s="144" t="n"/>
      <c r="BQ459" s="141" t="n"/>
      <c r="BR459" s="207" t="n"/>
      <c r="BS459" s="207" t="n"/>
      <c r="BT459" s="207" t="n"/>
      <c r="BU459" s="207" t="n"/>
      <c r="BV459" s="208" t="n"/>
      <c r="BW459" s="207" t="n"/>
      <c r="BX459" s="207" t="n"/>
      <c r="BY459" s="204" t="n"/>
      <c r="BZ459" s="148" t="n"/>
      <c r="CA459" s="204" t="n"/>
      <c r="CB459" s="208" t="n"/>
      <c r="CC459" s="139" t="n"/>
      <c r="CD459" s="204" t="n"/>
      <c r="CE459" s="204" t="n"/>
      <c r="CF459" s="207" t="n"/>
      <c r="CG459" s="208" t="n"/>
      <c r="CH459" s="207" t="n"/>
      <c r="CI459" s="208" t="n"/>
      <c r="CJ459" s="204" t="n"/>
      <c r="CK459" s="208" t="n"/>
      <c r="CL459" s="208" t="n"/>
      <c r="CM459" s="208" t="n"/>
      <c r="CN459" s="78" t="n"/>
      <c r="CO459" s="209" t="n"/>
      <c r="CP459" s="204" t="n"/>
      <c r="CQ459" s="204" t="n"/>
      <c r="CR459" s="204" t="n"/>
      <c r="CS459" s="204" t="n"/>
      <c r="CT459" s="204" t="n"/>
      <c r="CU459" s="204" t="n"/>
      <c r="CV459" s="204" t="n"/>
      <c r="CW459" s="204" t="n"/>
      <c r="CX459" s="190" t="n"/>
    </row>
    <row r="460">
      <c r="BF460" s="78" t="n"/>
      <c r="BG460" s="78" t="n"/>
      <c r="BH460" s="78" t="n"/>
      <c r="BI460" s="78" t="n"/>
      <c r="BJ460" s="139" t="n"/>
      <c r="BK460" s="204" t="n"/>
      <c r="BL460" s="141" t="n"/>
      <c r="BM460" s="205" t="n"/>
      <c r="BN460" s="205" t="n"/>
      <c r="BO460" s="206" t="n"/>
      <c r="BP460" s="144" t="n"/>
      <c r="BQ460" s="141" t="n"/>
      <c r="BR460" s="207" t="n"/>
      <c r="BS460" s="207" t="n"/>
      <c r="BT460" s="207" t="n"/>
      <c r="BU460" s="207" t="n"/>
      <c r="BV460" s="208" t="n"/>
      <c r="BW460" s="207" t="n"/>
      <c r="BX460" s="207" t="n"/>
      <c r="BY460" s="204" t="n"/>
      <c r="BZ460" s="148" t="n"/>
      <c r="CA460" s="204" t="n"/>
      <c r="CB460" s="208" t="n"/>
      <c r="CC460" s="139" t="n"/>
      <c r="CD460" s="204" t="n"/>
      <c r="CE460" s="204" t="n"/>
      <c r="CF460" s="207" t="n"/>
      <c r="CG460" s="208" t="n"/>
      <c r="CH460" s="207" t="n"/>
      <c r="CI460" s="208" t="n"/>
      <c r="CJ460" s="204" t="n"/>
      <c r="CK460" s="208" t="n"/>
      <c r="CL460" s="208" t="n"/>
      <c r="CM460" s="208" t="n"/>
      <c r="CN460" s="78" t="n"/>
      <c r="CO460" s="209" t="n"/>
      <c r="CP460" s="204" t="n"/>
      <c r="CQ460" s="204" t="n"/>
      <c r="CR460" s="204" t="n"/>
      <c r="CS460" s="204" t="n"/>
      <c r="CT460" s="204" t="n"/>
      <c r="CU460" s="204" t="n"/>
      <c r="CV460" s="204" t="n"/>
      <c r="CW460" s="204" t="n"/>
      <c r="CX460" s="190" t="n"/>
    </row>
    <row r="461">
      <c r="BF461" s="78" t="n"/>
      <c r="BG461" s="78" t="n"/>
      <c r="BH461" s="78" t="n"/>
      <c r="BI461" s="78" t="n"/>
      <c r="BJ461" s="139" t="n"/>
      <c r="BK461" s="204" t="n"/>
      <c r="BL461" s="141" t="n"/>
      <c r="BM461" s="205" t="n"/>
      <c r="BN461" s="205" t="n"/>
      <c r="BO461" s="206" t="n"/>
      <c r="BP461" s="144" t="n"/>
      <c r="BQ461" s="141" t="n"/>
      <c r="BR461" s="207" t="n"/>
      <c r="BS461" s="207" t="n"/>
      <c r="BT461" s="207" t="n"/>
      <c r="BU461" s="207" t="n"/>
      <c r="BV461" s="208" t="n"/>
      <c r="BW461" s="207" t="n"/>
      <c r="BX461" s="207" t="n"/>
      <c r="BY461" s="204" t="n"/>
      <c r="BZ461" s="148" t="n"/>
      <c r="CA461" s="204" t="n"/>
      <c r="CB461" s="208" t="n"/>
      <c r="CC461" s="139" t="n"/>
      <c r="CD461" s="204" t="n"/>
      <c r="CE461" s="204" t="n"/>
      <c r="CF461" s="207" t="n"/>
      <c r="CG461" s="208" t="n"/>
      <c r="CH461" s="207" t="n"/>
      <c r="CI461" s="208" t="n"/>
      <c r="CJ461" s="204" t="n"/>
      <c r="CK461" s="208" t="n"/>
      <c r="CL461" s="208" t="n"/>
      <c r="CM461" s="208" t="n"/>
      <c r="CN461" s="78" t="n"/>
      <c r="CO461" s="209" t="n"/>
      <c r="CP461" s="204" t="n"/>
      <c r="CQ461" s="204" t="n"/>
      <c r="CR461" s="204" t="n"/>
      <c r="CS461" s="204" t="n"/>
      <c r="CT461" s="204" t="n"/>
      <c r="CU461" s="204" t="n"/>
      <c r="CV461" s="204" t="n"/>
      <c r="CW461" s="204" t="n"/>
      <c r="CX461" s="190" t="n"/>
    </row>
    <row r="462">
      <c r="BF462" s="78" t="n"/>
      <c r="BG462" s="78" t="n"/>
      <c r="BH462" s="78" t="n"/>
      <c r="BI462" s="78" t="n"/>
      <c r="BJ462" s="139" t="n"/>
      <c r="BK462" s="204" t="n"/>
      <c r="BL462" s="141" t="n"/>
      <c r="BM462" s="205" t="n"/>
      <c r="BN462" s="205" t="n"/>
      <c r="BO462" s="206" t="n"/>
      <c r="BP462" s="144" t="n"/>
      <c r="BQ462" s="141" t="n"/>
      <c r="BR462" s="207" t="n"/>
      <c r="BS462" s="207" t="n"/>
      <c r="BT462" s="207" t="n"/>
      <c r="BU462" s="207" t="n"/>
      <c r="BV462" s="208" t="n"/>
      <c r="BW462" s="207" t="n"/>
      <c r="BX462" s="207" t="n"/>
      <c r="BY462" s="204" t="n"/>
      <c r="BZ462" s="148" t="n"/>
      <c r="CA462" s="204" t="n"/>
      <c r="CB462" s="208" t="n"/>
      <c r="CC462" s="139" t="n"/>
      <c r="CD462" s="204" t="n"/>
      <c r="CE462" s="204" t="n"/>
      <c r="CF462" s="207" t="n"/>
      <c r="CG462" s="208" t="n"/>
      <c r="CH462" s="207" t="n"/>
      <c r="CI462" s="208" t="n"/>
      <c r="CJ462" s="204" t="n"/>
      <c r="CK462" s="208" t="n"/>
      <c r="CL462" s="208" t="n"/>
      <c r="CM462" s="208" t="n"/>
      <c r="CN462" s="78" t="n"/>
      <c r="CO462" s="209" t="n"/>
      <c r="CP462" s="204" t="n"/>
      <c r="CQ462" s="204" t="n"/>
      <c r="CR462" s="204" t="n"/>
      <c r="CS462" s="204" t="n"/>
      <c r="CT462" s="204" t="n"/>
      <c r="CU462" s="204" t="n"/>
      <c r="CV462" s="204" t="n"/>
      <c r="CW462" s="204" t="n"/>
      <c r="CX462" s="190" t="n"/>
    </row>
    <row r="463">
      <c r="BF463" s="78" t="n"/>
      <c r="BG463" s="78" t="n"/>
      <c r="BH463" s="78" t="n"/>
      <c r="BI463" s="78" t="n"/>
      <c r="BJ463" s="139" t="n"/>
      <c r="BK463" s="204" t="n"/>
      <c r="BL463" s="141" t="n"/>
      <c r="BM463" s="205" t="n"/>
      <c r="BN463" s="205" t="n"/>
      <c r="BO463" s="206" t="n"/>
      <c r="BP463" s="144" t="n"/>
      <c r="BQ463" s="141" t="n"/>
      <c r="BR463" s="207" t="n"/>
      <c r="BS463" s="207" t="n"/>
      <c r="BT463" s="207" t="n"/>
      <c r="BU463" s="207" t="n"/>
      <c r="BV463" s="208" t="n"/>
      <c r="BW463" s="207" t="n"/>
      <c r="BX463" s="207" t="n"/>
      <c r="BY463" s="204" t="n"/>
      <c r="BZ463" s="148" t="n"/>
      <c r="CA463" s="204" t="n"/>
      <c r="CB463" s="208" t="n"/>
      <c r="CC463" s="139" t="n"/>
      <c r="CD463" s="204" t="n"/>
      <c r="CE463" s="204" t="n"/>
      <c r="CF463" s="207" t="n"/>
      <c r="CG463" s="208" t="n"/>
      <c r="CH463" s="207" t="n"/>
      <c r="CI463" s="208" t="n"/>
      <c r="CJ463" s="204" t="n"/>
      <c r="CK463" s="208" t="n"/>
      <c r="CL463" s="208" t="n"/>
      <c r="CM463" s="208" t="n"/>
      <c r="CN463" s="78" t="n"/>
      <c r="CO463" s="209" t="n"/>
      <c r="CP463" s="204" t="n"/>
      <c r="CQ463" s="204" t="n"/>
      <c r="CR463" s="204" t="n"/>
      <c r="CS463" s="204" t="n"/>
      <c r="CT463" s="204" t="n"/>
      <c r="CU463" s="204" t="n"/>
      <c r="CV463" s="204" t="n"/>
      <c r="CW463" s="204" t="n"/>
      <c r="CX463" s="190" t="n"/>
    </row>
    <row r="464">
      <c r="BF464" s="78" t="n"/>
      <c r="BG464" s="78" t="n"/>
      <c r="BH464" s="78" t="n"/>
      <c r="BI464" s="78" t="n"/>
      <c r="BJ464" s="139" t="n"/>
      <c r="BK464" s="204" t="n"/>
      <c r="BL464" s="141" t="n"/>
      <c r="BM464" s="205" t="n"/>
      <c r="BN464" s="205" t="n"/>
      <c r="BO464" s="206" t="n"/>
      <c r="BP464" s="144" t="n"/>
      <c r="BQ464" s="141" t="n"/>
      <c r="BR464" s="207" t="n"/>
      <c r="BS464" s="207" t="n"/>
      <c r="BT464" s="207" t="n"/>
      <c r="BU464" s="207" t="n"/>
      <c r="BV464" s="208" t="n"/>
      <c r="BW464" s="207" t="n"/>
      <c r="BX464" s="207" t="n"/>
      <c r="BY464" s="204" t="n"/>
      <c r="BZ464" s="148" t="n"/>
      <c r="CA464" s="204" t="n"/>
      <c r="CB464" s="208" t="n"/>
      <c r="CC464" s="139" t="n"/>
      <c r="CD464" s="204" t="n"/>
      <c r="CE464" s="204" t="n"/>
      <c r="CF464" s="207" t="n"/>
      <c r="CG464" s="208" t="n"/>
      <c r="CH464" s="207" t="n"/>
      <c r="CI464" s="208" t="n"/>
      <c r="CJ464" s="204" t="n"/>
      <c r="CK464" s="208" t="n"/>
      <c r="CL464" s="208" t="n"/>
      <c r="CM464" s="208" t="n"/>
      <c r="CN464" s="78" t="n"/>
      <c r="CO464" s="209" t="n"/>
      <c r="CP464" s="204" t="n"/>
      <c r="CQ464" s="204" t="n"/>
      <c r="CR464" s="204" t="n"/>
      <c r="CS464" s="204" t="n"/>
      <c r="CT464" s="204" t="n"/>
      <c r="CU464" s="204" t="n"/>
      <c r="CV464" s="204" t="n"/>
      <c r="CW464" s="204" t="n"/>
      <c r="CX464" s="190" t="n"/>
    </row>
    <row r="465">
      <c r="BF465" s="78" t="n"/>
      <c r="BG465" s="78" t="n"/>
      <c r="BH465" s="78" t="n"/>
      <c r="BI465" s="78" t="n"/>
      <c r="BJ465" s="139" t="n"/>
      <c r="BK465" s="204" t="n"/>
      <c r="BL465" s="141" t="n"/>
      <c r="BM465" s="205" t="n"/>
      <c r="BN465" s="205" t="n"/>
      <c r="BO465" s="206" t="n"/>
      <c r="BP465" s="144" t="n"/>
      <c r="BQ465" s="141" t="n"/>
      <c r="BR465" s="207" t="n"/>
      <c r="BS465" s="207" t="n"/>
      <c r="BT465" s="207" t="n"/>
      <c r="BU465" s="207" t="n"/>
      <c r="BV465" s="208" t="n"/>
      <c r="BW465" s="207" t="n"/>
      <c r="BX465" s="207" t="n"/>
      <c r="BY465" s="204" t="n"/>
      <c r="BZ465" s="148" t="n"/>
      <c r="CA465" s="204" t="n"/>
      <c r="CB465" s="208" t="n"/>
      <c r="CC465" s="139" t="n"/>
      <c r="CD465" s="204" t="n"/>
      <c r="CE465" s="204" t="n"/>
      <c r="CF465" s="207" t="n"/>
      <c r="CG465" s="208" t="n"/>
      <c r="CH465" s="207" t="n"/>
      <c r="CI465" s="208" t="n"/>
      <c r="CJ465" s="204" t="n"/>
      <c r="CK465" s="208" t="n"/>
      <c r="CL465" s="208" t="n"/>
      <c r="CM465" s="208" t="n"/>
      <c r="CN465" s="78" t="n"/>
      <c r="CO465" s="209" t="n"/>
      <c r="CP465" s="204" t="n"/>
      <c r="CQ465" s="204" t="n"/>
      <c r="CR465" s="204" t="n"/>
      <c r="CS465" s="204" t="n"/>
      <c r="CT465" s="204" t="n"/>
      <c r="CU465" s="204" t="n"/>
      <c r="CV465" s="204" t="n"/>
      <c r="CW465" s="204" t="n"/>
      <c r="CX465" s="190" t="n"/>
    </row>
    <row r="466">
      <c r="BF466" s="78" t="n"/>
      <c r="BG466" s="78" t="n"/>
      <c r="BH466" s="78" t="n"/>
      <c r="BI466" s="78" t="n"/>
      <c r="BJ466" s="139" t="n"/>
      <c r="BK466" s="204" t="n"/>
      <c r="BL466" s="141" t="n"/>
      <c r="BM466" s="205" t="n"/>
      <c r="BN466" s="205" t="n"/>
      <c r="BO466" s="206" t="n"/>
      <c r="BP466" s="144" t="n"/>
      <c r="BQ466" s="141" t="n"/>
      <c r="BR466" s="207" t="n"/>
      <c r="BS466" s="207" t="n"/>
      <c r="BT466" s="207" t="n"/>
      <c r="BU466" s="207" t="n"/>
      <c r="BV466" s="208" t="n"/>
      <c r="BW466" s="207" t="n"/>
      <c r="BX466" s="207" t="n"/>
      <c r="BY466" s="204" t="n"/>
      <c r="BZ466" s="148" t="n"/>
      <c r="CA466" s="204" t="n"/>
      <c r="CB466" s="208" t="n"/>
      <c r="CC466" s="139" t="n"/>
      <c r="CD466" s="204" t="n"/>
      <c r="CE466" s="204" t="n"/>
      <c r="CF466" s="207" t="n"/>
      <c r="CG466" s="208" t="n"/>
      <c r="CH466" s="207" t="n"/>
      <c r="CI466" s="208" t="n"/>
      <c r="CJ466" s="204" t="n"/>
      <c r="CK466" s="208" t="n"/>
      <c r="CL466" s="208" t="n"/>
      <c r="CM466" s="208" t="n"/>
      <c r="CN466" s="78" t="n"/>
      <c r="CO466" s="209" t="n"/>
      <c r="CP466" s="204" t="n"/>
      <c r="CQ466" s="204" t="n"/>
      <c r="CR466" s="204" t="n"/>
      <c r="CS466" s="204" t="n"/>
      <c r="CT466" s="204" t="n"/>
      <c r="CU466" s="204" t="n"/>
      <c r="CV466" s="204" t="n"/>
      <c r="CW466" s="204" t="n"/>
      <c r="CX466" s="190" t="n"/>
    </row>
    <row r="467">
      <c r="BF467" s="78" t="n"/>
      <c r="BG467" s="78" t="n"/>
      <c r="BH467" s="78" t="n"/>
      <c r="BI467" s="78" t="n"/>
      <c r="BJ467" s="139" t="n"/>
      <c r="BK467" s="204" t="n"/>
      <c r="BL467" s="141" t="n"/>
      <c r="BM467" s="205" t="n"/>
      <c r="BN467" s="205" t="n"/>
      <c r="BO467" s="206" t="n"/>
      <c r="BP467" s="144" t="n"/>
      <c r="BQ467" s="141" t="n"/>
      <c r="BR467" s="207" t="n"/>
      <c r="BS467" s="207" t="n"/>
      <c r="BT467" s="207" t="n"/>
      <c r="BU467" s="207" t="n"/>
      <c r="BV467" s="208" t="n"/>
      <c r="BW467" s="207" t="n"/>
      <c r="BX467" s="207" t="n"/>
      <c r="BY467" s="204" t="n"/>
      <c r="BZ467" s="148" t="n"/>
      <c r="CA467" s="204" t="n"/>
      <c r="CB467" s="208" t="n"/>
      <c r="CC467" s="139" t="n"/>
      <c r="CD467" s="204" t="n"/>
      <c r="CE467" s="204" t="n"/>
      <c r="CF467" s="207" t="n"/>
      <c r="CG467" s="208" t="n"/>
      <c r="CH467" s="207" t="n"/>
      <c r="CI467" s="208" t="n"/>
      <c r="CJ467" s="204" t="n"/>
      <c r="CK467" s="208" t="n"/>
      <c r="CL467" s="208" t="n"/>
      <c r="CM467" s="208" t="n"/>
      <c r="CN467" s="78" t="n"/>
      <c r="CO467" s="209" t="n"/>
      <c r="CP467" s="204" t="n"/>
      <c r="CQ467" s="204" t="n"/>
      <c r="CR467" s="204" t="n"/>
      <c r="CS467" s="204" t="n"/>
      <c r="CT467" s="204" t="n"/>
      <c r="CU467" s="204" t="n"/>
      <c r="CV467" s="204" t="n"/>
      <c r="CW467" s="204" t="n"/>
      <c r="CX467" s="190" t="n"/>
    </row>
    <row r="468">
      <c r="BF468" s="78" t="n"/>
      <c r="BG468" s="78" t="n"/>
      <c r="BH468" s="78" t="n"/>
      <c r="BI468" s="78" t="n"/>
      <c r="BJ468" s="139" t="n"/>
      <c r="BK468" s="204" t="n"/>
      <c r="BL468" s="141" t="n"/>
      <c r="BM468" s="205" t="n"/>
      <c r="BN468" s="205" t="n"/>
      <c r="BO468" s="206" t="n"/>
      <c r="BP468" s="144" t="n"/>
      <c r="BQ468" s="141" t="n"/>
      <c r="BR468" s="207" t="n"/>
      <c r="BS468" s="207" t="n"/>
      <c r="BT468" s="207" t="n"/>
      <c r="BU468" s="207" t="n"/>
      <c r="BV468" s="208" t="n"/>
      <c r="BW468" s="207" t="n"/>
      <c r="BX468" s="207" t="n"/>
      <c r="BY468" s="204" t="n"/>
      <c r="BZ468" s="148" t="n"/>
      <c r="CA468" s="204" t="n"/>
      <c r="CB468" s="208" t="n"/>
      <c r="CC468" s="139" t="n"/>
      <c r="CD468" s="204" t="n"/>
      <c r="CE468" s="204" t="n"/>
      <c r="CF468" s="207" t="n"/>
      <c r="CG468" s="208" t="n"/>
      <c r="CH468" s="207" t="n"/>
      <c r="CI468" s="208" t="n"/>
      <c r="CJ468" s="204" t="n"/>
      <c r="CK468" s="208" t="n"/>
      <c r="CL468" s="208" t="n"/>
      <c r="CM468" s="208" t="n"/>
      <c r="CN468" s="78" t="n"/>
      <c r="CO468" s="209" t="n"/>
      <c r="CP468" s="204" t="n"/>
      <c r="CQ468" s="204" t="n"/>
      <c r="CR468" s="204" t="n"/>
      <c r="CS468" s="204" t="n"/>
      <c r="CT468" s="204" t="n"/>
      <c r="CU468" s="204" t="n"/>
      <c r="CV468" s="204" t="n"/>
      <c r="CW468" s="204" t="n"/>
      <c r="CX468" s="190" t="n"/>
    </row>
    <row r="469">
      <c r="BF469" s="78" t="n"/>
      <c r="BG469" s="78" t="n"/>
      <c r="BH469" s="78" t="n"/>
      <c r="BI469" s="78" t="n"/>
      <c r="BJ469" s="139" t="n"/>
      <c r="BK469" s="204" t="n"/>
      <c r="BL469" s="141" t="n"/>
      <c r="BM469" s="205" t="n"/>
      <c r="BN469" s="205" t="n"/>
      <c r="BO469" s="206" t="n"/>
      <c r="BP469" s="144" t="n"/>
      <c r="BQ469" s="141" t="n"/>
      <c r="BR469" s="207" t="n"/>
      <c r="BS469" s="207" t="n"/>
      <c r="BT469" s="207" t="n"/>
      <c r="BU469" s="207" t="n"/>
      <c r="BV469" s="208" t="n"/>
      <c r="BW469" s="207" t="n"/>
      <c r="BX469" s="207" t="n"/>
      <c r="BY469" s="204" t="n"/>
      <c r="BZ469" s="148" t="n"/>
      <c r="CA469" s="204" t="n"/>
      <c r="CB469" s="208" t="n"/>
      <c r="CC469" s="139" t="n"/>
      <c r="CD469" s="204" t="n"/>
      <c r="CE469" s="204" t="n"/>
      <c r="CF469" s="207" t="n"/>
      <c r="CG469" s="208" t="n"/>
      <c r="CH469" s="207" t="n"/>
      <c r="CI469" s="208" t="n"/>
      <c r="CJ469" s="204" t="n"/>
      <c r="CK469" s="208" t="n"/>
      <c r="CL469" s="208" t="n"/>
      <c r="CM469" s="208" t="n"/>
      <c r="CN469" s="78" t="n"/>
      <c r="CO469" s="209" t="n"/>
      <c r="CP469" s="204" t="n"/>
      <c r="CQ469" s="204" t="n"/>
      <c r="CR469" s="204" t="n"/>
      <c r="CS469" s="204" t="n"/>
      <c r="CT469" s="204" t="n"/>
      <c r="CU469" s="204" t="n"/>
      <c r="CV469" s="204" t="n"/>
      <c r="CW469" s="204" t="n"/>
      <c r="CX469" s="190" t="n"/>
    </row>
    <row r="470">
      <c r="BF470" s="78" t="n"/>
      <c r="BG470" s="78" t="n"/>
      <c r="BH470" s="78" t="n"/>
      <c r="BI470" s="78" t="n"/>
      <c r="BJ470" s="139" t="n"/>
      <c r="BK470" s="204" t="n"/>
      <c r="BL470" s="141" t="n"/>
      <c r="BM470" s="205" t="n"/>
      <c r="BN470" s="205" t="n"/>
      <c r="BO470" s="206" t="n"/>
      <c r="BP470" s="144" t="n"/>
      <c r="BQ470" s="141" t="n"/>
      <c r="BR470" s="207" t="n"/>
      <c r="BS470" s="207" t="n"/>
      <c r="BT470" s="207" t="n"/>
      <c r="BU470" s="207" t="n"/>
      <c r="BV470" s="208" t="n"/>
      <c r="BW470" s="207" t="n"/>
      <c r="BX470" s="207" t="n"/>
      <c r="BY470" s="204" t="n"/>
      <c r="BZ470" s="148" t="n"/>
      <c r="CA470" s="204" t="n"/>
      <c r="CB470" s="208" t="n"/>
      <c r="CC470" s="139" t="n"/>
      <c r="CD470" s="204" t="n"/>
      <c r="CE470" s="204" t="n"/>
      <c r="CF470" s="207" t="n"/>
      <c r="CG470" s="208" t="n"/>
      <c r="CH470" s="207" t="n"/>
      <c r="CI470" s="208" t="n"/>
      <c r="CJ470" s="204" t="n"/>
      <c r="CK470" s="208" t="n"/>
      <c r="CL470" s="208" t="n"/>
      <c r="CM470" s="208" t="n"/>
      <c r="CN470" s="78" t="n"/>
      <c r="CO470" s="209" t="n"/>
      <c r="CP470" s="204" t="n"/>
      <c r="CQ470" s="204" t="n"/>
      <c r="CR470" s="204" t="n"/>
      <c r="CS470" s="204" t="n"/>
      <c r="CT470" s="204" t="n"/>
      <c r="CU470" s="204" t="n"/>
      <c r="CV470" s="204" t="n"/>
      <c r="CW470" s="204" t="n"/>
      <c r="CX470" s="190" t="n"/>
    </row>
    <row r="471">
      <c r="BF471" s="78" t="n"/>
      <c r="BG471" s="78" t="n"/>
      <c r="BH471" s="78" t="n"/>
      <c r="BI471" s="78" t="n"/>
      <c r="BJ471" s="139" t="n"/>
      <c r="BK471" s="204" t="n"/>
      <c r="BL471" s="141" t="n"/>
      <c r="BM471" s="205" t="n"/>
      <c r="BN471" s="205" t="n"/>
      <c r="BO471" s="206" t="n"/>
      <c r="BP471" s="144" t="n"/>
      <c r="BQ471" s="141" t="n"/>
      <c r="BR471" s="207" t="n"/>
      <c r="BS471" s="207" t="n"/>
      <c r="BT471" s="207" t="n"/>
      <c r="BU471" s="207" t="n"/>
      <c r="BV471" s="208" t="n"/>
      <c r="BW471" s="207" t="n"/>
      <c r="BX471" s="207" t="n"/>
      <c r="BY471" s="204" t="n"/>
      <c r="BZ471" s="148" t="n"/>
      <c r="CA471" s="204" t="n"/>
      <c r="CB471" s="208" t="n"/>
      <c r="CC471" s="139" t="n"/>
      <c r="CD471" s="204" t="n"/>
      <c r="CE471" s="204" t="n"/>
      <c r="CF471" s="207" t="n"/>
      <c r="CG471" s="208" t="n"/>
      <c r="CH471" s="207" t="n"/>
      <c r="CI471" s="208" t="n"/>
      <c r="CJ471" s="204" t="n"/>
      <c r="CK471" s="208" t="n"/>
      <c r="CL471" s="208" t="n"/>
      <c r="CM471" s="208" t="n"/>
      <c r="CN471" s="78" t="n"/>
      <c r="CO471" s="209" t="n"/>
      <c r="CP471" s="204" t="n"/>
      <c r="CQ471" s="204" t="n"/>
      <c r="CR471" s="204" t="n"/>
      <c r="CS471" s="204" t="n"/>
      <c r="CT471" s="204" t="n"/>
      <c r="CU471" s="204" t="n"/>
      <c r="CV471" s="204" t="n"/>
      <c r="CW471" s="204" t="n"/>
      <c r="CX471" s="190" t="n"/>
    </row>
    <row r="472">
      <c r="BF472" s="78" t="n"/>
      <c r="BG472" s="78" t="n"/>
      <c r="BH472" s="78" t="n"/>
      <c r="BI472" s="78" t="n"/>
      <c r="BJ472" s="139" t="n"/>
      <c r="BK472" s="204" t="n"/>
      <c r="BL472" s="141" t="n"/>
      <c r="BM472" s="205" t="n"/>
      <c r="BN472" s="205" t="n"/>
      <c r="BO472" s="206" t="n"/>
      <c r="BP472" s="144" t="n"/>
      <c r="BQ472" s="141" t="n"/>
      <c r="BR472" s="207" t="n"/>
      <c r="BS472" s="207" t="n"/>
      <c r="BT472" s="207" t="n"/>
      <c r="BU472" s="207" t="n"/>
      <c r="BV472" s="208" t="n"/>
      <c r="BW472" s="207" t="n"/>
      <c r="BX472" s="207" t="n"/>
      <c r="BY472" s="204" t="n"/>
      <c r="BZ472" s="148" t="n"/>
      <c r="CA472" s="204" t="n"/>
      <c r="CB472" s="208" t="n"/>
      <c r="CC472" s="139" t="n"/>
      <c r="CD472" s="204" t="n"/>
      <c r="CE472" s="204" t="n"/>
      <c r="CF472" s="207" t="n"/>
      <c r="CG472" s="208" t="n"/>
      <c r="CH472" s="207" t="n"/>
      <c r="CI472" s="208" t="n"/>
      <c r="CJ472" s="204" t="n"/>
      <c r="CK472" s="208" t="n"/>
      <c r="CL472" s="208" t="n"/>
      <c r="CM472" s="208" t="n"/>
      <c r="CN472" s="78" t="n"/>
      <c r="CO472" s="209" t="n"/>
      <c r="CP472" s="204" t="n"/>
      <c r="CQ472" s="204" t="n"/>
      <c r="CR472" s="204" t="n"/>
      <c r="CS472" s="204" t="n"/>
      <c r="CT472" s="204" t="n"/>
      <c r="CU472" s="204" t="n"/>
      <c r="CV472" s="204" t="n"/>
      <c r="CW472" s="204" t="n"/>
      <c r="CX472" s="190" t="n"/>
    </row>
    <row r="473">
      <c r="AR473" s="151" t="n"/>
      <c r="BF473" s="78" t="n"/>
      <c r="BG473" s="78" t="n"/>
      <c r="BH473" s="78" t="n"/>
      <c r="BI473" s="78" t="n"/>
      <c r="BJ473" s="139" t="n"/>
      <c r="BK473" s="204" t="n"/>
      <c r="BL473" s="141" t="n"/>
      <c r="BM473" s="205" t="n"/>
      <c r="BN473" s="205" t="n"/>
      <c r="BO473" s="206" t="n"/>
      <c r="BP473" s="144" t="n"/>
      <c r="BQ473" s="141" t="n"/>
      <c r="BR473" s="207" t="n"/>
      <c r="BS473" s="207" t="n"/>
      <c r="BT473" s="207" t="n"/>
      <c r="BU473" s="207" t="n"/>
      <c r="BV473" s="208" t="n"/>
      <c r="BW473" s="207" t="n"/>
      <c r="BX473" s="207" t="n"/>
      <c r="BY473" s="204" t="n"/>
      <c r="BZ473" s="148" t="n"/>
      <c r="CA473" s="204" t="n"/>
      <c r="CB473" s="208" t="n"/>
      <c r="CC473" s="139" t="n"/>
      <c r="CD473" s="204" t="n"/>
      <c r="CE473" s="204" t="n"/>
      <c r="CF473" s="207" t="n"/>
      <c r="CG473" s="208" t="n"/>
      <c r="CH473" s="207" t="n"/>
      <c r="CI473" s="208" t="n"/>
      <c r="CJ473" s="204" t="n"/>
      <c r="CK473" s="208" t="n"/>
      <c r="CL473" s="208" t="n"/>
      <c r="CM473" s="208" t="n"/>
      <c r="CN473" s="78" t="n"/>
      <c r="CO473" s="209" t="n"/>
      <c r="CP473" s="204" t="n"/>
      <c r="CQ473" s="204" t="n"/>
      <c r="CR473" s="204" t="n"/>
      <c r="CS473" s="204" t="n"/>
      <c r="CT473" s="204" t="n"/>
      <c r="CU473" s="204" t="n"/>
      <c r="CV473" s="204" t="n"/>
      <c r="CW473" s="204" t="n"/>
      <c r="CX473" s="190" t="n"/>
    </row>
    <row r="474">
      <c r="BF474" s="78" t="n"/>
      <c r="BG474" s="78" t="n"/>
      <c r="BH474" s="78" t="n"/>
      <c r="BI474" s="78" t="n"/>
      <c r="BJ474" s="139" t="n"/>
      <c r="BK474" s="204" t="n"/>
      <c r="BL474" s="141" t="n"/>
      <c r="BM474" s="205" t="n"/>
      <c r="BN474" s="205" t="n"/>
      <c r="BO474" s="206" t="n"/>
      <c r="BP474" s="144" t="n"/>
      <c r="BQ474" s="141" t="n"/>
      <c r="BR474" s="207" t="n"/>
      <c r="BS474" s="207" t="n"/>
      <c r="BT474" s="207" t="n"/>
      <c r="BU474" s="207" t="n"/>
      <c r="BV474" s="208" t="n"/>
      <c r="BW474" s="207" t="n"/>
      <c r="BX474" s="207" t="n"/>
      <c r="BY474" s="204" t="n"/>
      <c r="BZ474" s="148" t="n"/>
      <c r="CA474" s="204" t="n"/>
      <c r="CB474" s="208" t="n"/>
      <c r="CC474" s="139" t="n"/>
      <c r="CD474" s="204" t="n"/>
      <c r="CE474" s="204" t="n"/>
      <c r="CF474" s="207" t="n"/>
      <c r="CG474" s="208" t="n"/>
      <c r="CH474" s="207" t="n"/>
      <c r="CI474" s="208" t="n"/>
      <c r="CJ474" s="204" t="n"/>
      <c r="CK474" s="208" t="n"/>
      <c r="CL474" s="208" t="n"/>
      <c r="CM474" s="208" t="n"/>
      <c r="CN474" s="78" t="n"/>
      <c r="CO474" s="209" t="n"/>
      <c r="CP474" s="204" t="n"/>
      <c r="CQ474" s="204" t="n"/>
      <c r="CR474" s="204" t="n"/>
      <c r="CS474" s="204" t="n"/>
      <c r="CT474" s="204" t="n"/>
      <c r="CU474" s="204" t="n"/>
      <c r="CV474" s="204" t="n"/>
      <c r="CW474" s="204" t="n"/>
      <c r="CX474" s="190" t="n"/>
    </row>
    <row r="475">
      <c r="BF475" s="78" t="n"/>
      <c r="BG475" s="78" t="n"/>
      <c r="BH475" s="78" t="n"/>
      <c r="BI475" s="78" t="n"/>
      <c r="BJ475" s="139" t="n"/>
      <c r="BK475" s="204" t="n"/>
      <c r="BL475" s="141" t="n"/>
      <c r="BM475" s="205" t="n"/>
      <c r="BN475" s="205" t="n"/>
      <c r="BO475" s="206" t="n"/>
      <c r="BP475" s="144" t="n"/>
      <c r="BQ475" s="141" t="n"/>
      <c r="BR475" s="207" t="n"/>
      <c r="BS475" s="207" t="n"/>
      <c r="BT475" s="207" t="n"/>
      <c r="BU475" s="207" t="n"/>
      <c r="BV475" s="208" t="n"/>
      <c r="BW475" s="207" t="n"/>
      <c r="BX475" s="207" t="n"/>
      <c r="BY475" s="204" t="n"/>
      <c r="BZ475" s="148" t="n"/>
      <c r="CA475" s="204" t="n"/>
      <c r="CB475" s="208" t="n"/>
      <c r="CC475" s="139" t="n"/>
      <c r="CD475" s="204" t="n"/>
      <c r="CE475" s="204" t="n"/>
      <c r="CF475" s="207" t="n"/>
      <c r="CG475" s="208" t="n"/>
      <c r="CH475" s="207" t="n"/>
      <c r="CI475" s="208" t="n"/>
      <c r="CJ475" s="204" t="n"/>
      <c r="CK475" s="208" t="n"/>
      <c r="CL475" s="208" t="n"/>
      <c r="CM475" s="208" t="n"/>
      <c r="CN475" s="78" t="n"/>
      <c r="CO475" s="209" t="n"/>
      <c r="CP475" s="204" t="n"/>
      <c r="CQ475" s="204" t="n"/>
      <c r="CR475" s="204" t="n"/>
      <c r="CS475" s="204" t="n"/>
      <c r="CT475" s="204" t="n"/>
      <c r="CU475" s="204" t="n"/>
      <c r="CV475" s="204" t="n"/>
      <c r="CW475" s="204" t="n"/>
      <c r="CX475" s="190" t="n"/>
    </row>
    <row r="476">
      <c r="BF476" s="78" t="n"/>
      <c r="BG476" s="78" t="n"/>
      <c r="BH476" s="78" t="n"/>
      <c r="BI476" s="78" t="n"/>
      <c r="BJ476" s="139" t="n"/>
      <c r="BK476" s="204" t="n"/>
      <c r="BL476" s="141" t="n"/>
      <c r="BM476" s="205" t="n"/>
      <c r="BN476" s="205" t="n"/>
      <c r="BO476" s="206" t="n"/>
      <c r="BP476" s="144" t="n"/>
      <c r="BQ476" s="141" t="n"/>
      <c r="BR476" s="207" t="n"/>
      <c r="BS476" s="207" t="n"/>
      <c r="BT476" s="207" t="n"/>
      <c r="BU476" s="207" t="n"/>
      <c r="BV476" s="208" t="n"/>
      <c r="BW476" s="207" t="n"/>
      <c r="BX476" s="207" t="n"/>
      <c r="BY476" s="204" t="n"/>
      <c r="BZ476" s="148" t="n"/>
      <c r="CA476" s="204" t="n"/>
      <c r="CB476" s="208" t="n"/>
      <c r="CC476" s="139" t="n"/>
      <c r="CD476" s="204" t="n"/>
      <c r="CE476" s="204" t="n"/>
      <c r="CF476" s="207" t="n"/>
      <c r="CG476" s="208" t="n"/>
      <c r="CH476" s="207" t="n"/>
      <c r="CI476" s="208" t="n"/>
      <c r="CJ476" s="204" t="n"/>
      <c r="CK476" s="208" t="n"/>
      <c r="CL476" s="208" t="n"/>
      <c r="CM476" s="208" t="n"/>
      <c r="CN476" s="78" t="n"/>
      <c r="CO476" s="209" t="n"/>
      <c r="CP476" s="204" t="n"/>
      <c r="CQ476" s="204" t="n"/>
      <c r="CR476" s="204" t="n"/>
      <c r="CS476" s="204" t="n"/>
      <c r="CT476" s="204" t="n"/>
      <c r="CU476" s="204" t="n"/>
      <c r="CV476" s="204" t="n"/>
      <c r="CW476" s="204" t="n"/>
      <c r="CX476" s="190" t="n"/>
    </row>
    <row r="477">
      <c r="BF477" s="78" t="n"/>
      <c r="BG477" s="78" t="n"/>
      <c r="BH477" s="78" t="n"/>
      <c r="BI477" s="78" t="n"/>
      <c r="BJ477" s="139" t="n"/>
      <c r="BK477" s="204" t="n"/>
      <c r="BL477" s="141" t="n"/>
      <c r="BM477" s="205" t="n"/>
      <c r="BN477" s="205" t="n"/>
      <c r="BO477" s="206" t="n"/>
      <c r="BP477" s="144" t="n"/>
      <c r="BQ477" s="141" t="n"/>
      <c r="BR477" s="207" t="n"/>
      <c r="BS477" s="207" t="n"/>
      <c r="BT477" s="207" t="n"/>
      <c r="BU477" s="207" t="n"/>
      <c r="BV477" s="208" t="n"/>
      <c r="BW477" s="207" t="n"/>
      <c r="BX477" s="207" t="n"/>
      <c r="BY477" s="204" t="n"/>
      <c r="BZ477" s="148" t="n"/>
      <c r="CA477" s="204" t="n"/>
      <c r="CB477" s="208" t="n"/>
      <c r="CC477" s="139" t="n"/>
      <c r="CD477" s="204" t="n"/>
      <c r="CE477" s="204" t="n"/>
      <c r="CF477" s="207" t="n"/>
      <c r="CG477" s="208" t="n"/>
      <c r="CH477" s="207" t="n"/>
      <c r="CI477" s="208" t="n"/>
      <c r="CJ477" s="204" t="n"/>
      <c r="CK477" s="208" t="n"/>
      <c r="CL477" s="208" t="n"/>
      <c r="CM477" s="208" t="n"/>
      <c r="CN477" s="78" t="n"/>
      <c r="CO477" s="209" t="n"/>
      <c r="CP477" s="204" t="n"/>
      <c r="CQ477" s="204" t="n"/>
      <c r="CR477" s="204" t="n"/>
      <c r="CS477" s="204" t="n"/>
      <c r="CT477" s="204" t="n"/>
      <c r="CU477" s="204" t="n"/>
      <c r="CV477" s="204" t="n"/>
      <c r="CW477" s="204" t="n"/>
      <c r="CX477" s="190" t="n"/>
    </row>
    <row r="478">
      <c r="BF478" s="78" t="n"/>
      <c r="BG478" s="78" t="n"/>
      <c r="BH478" s="78" t="n"/>
      <c r="BI478" s="78" t="n"/>
      <c r="BJ478" s="139" t="n"/>
      <c r="BK478" s="204" t="n"/>
      <c r="BL478" s="141" t="n"/>
      <c r="BM478" s="205" t="n"/>
      <c r="BN478" s="205" t="n"/>
      <c r="BO478" s="206" t="n"/>
      <c r="BP478" s="144" t="n"/>
      <c r="BQ478" s="141" t="n"/>
      <c r="BR478" s="207" t="n"/>
      <c r="BS478" s="207" t="n"/>
      <c r="BT478" s="207" t="n"/>
      <c r="BU478" s="207" t="n"/>
      <c r="BV478" s="208" t="n"/>
      <c r="BW478" s="207" t="n"/>
      <c r="BX478" s="207" t="n"/>
      <c r="BY478" s="204" t="n"/>
      <c r="BZ478" s="148" t="n"/>
      <c r="CA478" s="204" t="n"/>
      <c r="CB478" s="208" t="n"/>
      <c r="CC478" s="139" t="n"/>
      <c r="CD478" s="204" t="n"/>
      <c r="CE478" s="204" t="n"/>
      <c r="CF478" s="207" t="n"/>
      <c r="CG478" s="208" t="n"/>
      <c r="CH478" s="207" t="n"/>
      <c r="CI478" s="208" t="n"/>
      <c r="CJ478" s="204" t="n"/>
      <c r="CK478" s="208" t="n"/>
      <c r="CL478" s="208" t="n"/>
      <c r="CM478" s="208" t="n"/>
      <c r="CN478" s="78" t="n"/>
      <c r="CO478" s="209" t="n"/>
      <c r="CP478" s="204" t="n"/>
      <c r="CQ478" s="204" t="n"/>
      <c r="CR478" s="204" t="n"/>
      <c r="CS478" s="204" t="n"/>
      <c r="CT478" s="204" t="n"/>
      <c r="CU478" s="204" t="n"/>
      <c r="CV478" s="204" t="n"/>
      <c r="CW478" s="204" t="n"/>
      <c r="CX478" s="190" t="n"/>
    </row>
    <row r="479">
      <c r="BF479" s="78" t="n"/>
      <c r="BG479" s="78" t="n"/>
      <c r="BH479" s="78" t="n"/>
      <c r="BI479" s="78" t="n"/>
      <c r="BJ479" s="139" t="n"/>
      <c r="BK479" s="204" t="n"/>
      <c r="BL479" s="141" t="n"/>
      <c r="BM479" s="205" t="n"/>
      <c r="BN479" s="205" t="n"/>
      <c r="BO479" s="206" t="n"/>
      <c r="BP479" s="144" t="n"/>
      <c r="BQ479" s="141" t="n"/>
      <c r="BR479" s="207" t="n"/>
      <c r="BS479" s="207" t="n"/>
      <c r="BT479" s="207" t="n"/>
      <c r="BU479" s="207" t="n"/>
      <c r="BV479" s="208" t="n"/>
      <c r="BW479" s="207" t="n"/>
      <c r="BX479" s="207" t="n"/>
      <c r="BY479" s="204" t="n"/>
      <c r="BZ479" s="148" t="n"/>
      <c r="CA479" s="204" t="n"/>
      <c r="CB479" s="208" t="n"/>
      <c r="CC479" s="139" t="n"/>
      <c r="CD479" s="204" t="n"/>
      <c r="CE479" s="204" t="n"/>
      <c r="CF479" s="207" t="n"/>
      <c r="CG479" s="208" t="n"/>
      <c r="CH479" s="207" t="n"/>
      <c r="CI479" s="208" t="n"/>
      <c r="CJ479" s="204" t="n"/>
      <c r="CK479" s="208" t="n"/>
      <c r="CL479" s="208" t="n"/>
      <c r="CM479" s="208" t="n"/>
      <c r="CN479" s="78" t="n"/>
      <c r="CO479" s="209" t="n"/>
      <c r="CP479" s="204" t="n"/>
      <c r="CQ479" s="204" t="n"/>
      <c r="CR479" s="204" t="n"/>
      <c r="CS479" s="204" t="n"/>
      <c r="CT479" s="204" t="n"/>
      <c r="CU479" s="204" t="n"/>
      <c r="CV479" s="204" t="n"/>
      <c r="CW479" s="204" t="n"/>
      <c r="CX479" s="190" t="n"/>
    </row>
    <row r="480">
      <c r="BF480" s="78" t="n"/>
      <c r="BG480" s="78" t="n"/>
      <c r="BH480" s="78" t="n"/>
      <c r="BI480" s="78" t="n"/>
      <c r="BJ480" s="139" t="n"/>
      <c r="BK480" s="204" t="n"/>
      <c r="BL480" s="141" t="n"/>
      <c r="BM480" s="205" t="n"/>
      <c r="BN480" s="205" t="n"/>
      <c r="BO480" s="206" t="n"/>
      <c r="BP480" s="144" t="n"/>
      <c r="BQ480" s="141" t="n"/>
      <c r="BR480" s="207" t="n"/>
      <c r="BS480" s="207" t="n"/>
      <c r="BT480" s="207" t="n"/>
      <c r="BU480" s="207" t="n"/>
      <c r="BV480" s="208" t="n"/>
      <c r="BW480" s="207" t="n"/>
      <c r="BX480" s="207" t="n"/>
      <c r="BY480" s="204" t="n"/>
      <c r="BZ480" s="148" t="n"/>
      <c r="CA480" s="204" t="n"/>
      <c r="CB480" s="208" t="n"/>
      <c r="CC480" s="139" t="n"/>
      <c r="CD480" s="204" t="n"/>
      <c r="CE480" s="204" t="n"/>
      <c r="CF480" s="207" t="n"/>
      <c r="CG480" s="208" t="n"/>
      <c r="CH480" s="207" t="n"/>
      <c r="CI480" s="208" t="n"/>
      <c r="CJ480" s="204" t="n"/>
      <c r="CK480" s="208" t="n"/>
      <c r="CL480" s="208" t="n"/>
      <c r="CM480" s="208" t="n"/>
      <c r="CN480" s="78" t="n"/>
      <c r="CO480" s="209" t="n"/>
      <c r="CP480" s="204" t="n"/>
      <c r="CQ480" s="204" t="n"/>
      <c r="CR480" s="204" t="n"/>
      <c r="CS480" s="204" t="n"/>
      <c r="CT480" s="204" t="n"/>
      <c r="CU480" s="204" t="n"/>
      <c r="CV480" s="204" t="n"/>
      <c r="CW480" s="204" t="n"/>
      <c r="CX480" s="190" t="n"/>
    </row>
    <row r="481">
      <c r="BF481" s="78" t="n"/>
      <c r="BG481" s="78" t="n"/>
      <c r="BH481" s="78" t="n"/>
      <c r="BI481" s="78" t="n"/>
      <c r="BJ481" s="139" t="n"/>
      <c r="BK481" s="204" t="n"/>
      <c r="BL481" s="141" t="n"/>
      <c r="BM481" s="205" t="n"/>
      <c r="BN481" s="205" t="n"/>
      <c r="BO481" s="206" t="n"/>
      <c r="BP481" s="144" t="n"/>
      <c r="BQ481" s="141" t="n"/>
      <c r="BR481" s="207" t="n"/>
      <c r="BS481" s="207" t="n"/>
      <c r="BT481" s="207" t="n"/>
      <c r="BU481" s="207" t="n"/>
      <c r="BV481" s="208" t="n"/>
      <c r="BW481" s="207" t="n"/>
      <c r="BX481" s="207" t="n"/>
      <c r="BY481" s="204" t="n"/>
      <c r="BZ481" s="148" t="n"/>
      <c r="CA481" s="204" t="n"/>
      <c r="CB481" s="208" t="n"/>
      <c r="CC481" s="139" t="n"/>
      <c r="CD481" s="204" t="n"/>
      <c r="CE481" s="204" t="n"/>
      <c r="CF481" s="207" t="n"/>
      <c r="CG481" s="208" t="n"/>
      <c r="CH481" s="207" t="n"/>
      <c r="CI481" s="208" t="n"/>
      <c r="CJ481" s="204" t="n"/>
      <c r="CK481" s="208" t="n"/>
      <c r="CL481" s="208" t="n"/>
      <c r="CM481" s="208" t="n"/>
      <c r="CN481" s="78" t="n"/>
      <c r="CO481" s="209" t="n"/>
      <c r="CP481" s="204" t="n"/>
      <c r="CQ481" s="204" t="n"/>
      <c r="CR481" s="204" t="n"/>
      <c r="CS481" s="204" t="n"/>
      <c r="CT481" s="204" t="n"/>
      <c r="CU481" s="204" t="n"/>
      <c r="CV481" s="204" t="n"/>
      <c r="CW481" s="204" t="n"/>
      <c r="CX481" s="190" t="n"/>
    </row>
    <row r="482">
      <c r="BF482" s="78" t="n"/>
      <c r="BG482" s="78" t="n"/>
      <c r="BH482" s="78" t="n"/>
      <c r="BI482" s="78" t="n"/>
      <c r="BJ482" s="139" t="n"/>
      <c r="BK482" s="204" t="n"/>
      <c r="BL482" s="141" t="n"/>
      <c r="BM482" s="205" t="n"/>
      <c r="BN482" s="205" t="n"/>
      <c r="BO482" s="206" t="n"/>
      <c r="BP482" s="144" t="n"/>
      <c r="BQ482" s="141" t="n"/>
      <c r="BR482" s="207" t="n"/>
      <c r="BS482" s="207" t="n"/>
      <c r="BT482" s="207" t="n"/>
      <c r="BU482" s="207" t="n"/>
      <c r="BV482" s="208" t="n"/>
      <c r="BW482" s="207" t="n"/>
      <c r="BX482" s="207" t="n"/>
      <c r="BY482" s="204" t="n"/>
      <c r="BZ482" s="148" t="n"/>
      <c r="CA482" s="204" t="n"/>
      <c r="CB482" s="208" t="n"/>
      <c r="CC482" s="139" t="n"/>
      <c r="CD482" s="204" t="n"/>
      <c r="CE482" s="204" t="n"/>
      <c r="CF482" s="207" t="n"/>
      <c r="CG482" s="208" t="n"/>
      <c r="CH482" s="207" t="n"/>
      <c r="CI482" s="208" t="n"/>
      <c r="CJ482" s="204" t="n"/>
      <c r="CK482" s="208" t="n"/>
      <c r="CL482" s="208" t="n"/>
      <c r="CM482" s="208" t="n"/>
      <c r="CN482" s="78" t="n"/>
      <c r="CO482" s="209" t="n"/>
      <c r="CP482" s="204" t="n"/>
      <c r="CQ482" s="204" t="n"/>
      <c r="CR482" s="204" t="n"/>
      <c r="CS482" s="204" t="n"/>
      <c r="CT482" s="204" t="n"/>
      <c r="CU482" s="204" t="n"/>
      <c r="CV482" s="204" t="n"/>
      <c r="CW482" s="204" t="n"/>
      <c r="CX482" s="190" t="n"/>
    </row>
    <row r="483">
      <c r="BF483" s="78" t="n"/>
      <c r="BG483" s="78" t="n"/>
      <c r="BH483" s="78" t="n"/>
      <c r="BI483" s="78" t="n"/>
      <c r="BJ483" s="139" t="n"/>
      <c r="BK483" s="204" t="n"/>
      <c r="BL483" s="141" t="n"/>
      <c r="BM483" s="205" t="n"/>
      <c r="BN483" s="205" t="n"/>
      <c r="BO483" s="206" t="n"/>
      <c r="BP483" s="144" t="n"/>
      <c r="BQ483" s="141" t="n"/>
      <c r="BR483" s="207" t="n"/>
      <c r="BS483" s="207" t="n"/>
      <c r="BT483" s="207" t="n"/>
      <c r="BU483" s="207" t="n"/>
      <c r="BV483" s="208" t="n"/>
      <c r="BW483" s="207" t="n"/>
      <c r="BX483" s="207" t="n"/>
      <c r="BY483" s="204" t="n"/>
      <c r="BZ483" s="148" t="n"/>
      <c r="CA483" s="204" t="n"/>
      <c r="CB483" s="208" t="n"/>
      <c r="CC483" s="139" t="n"/>
      <c r="CD483" s="204" t="n"/>
      <c r="CE483" s="204" t="n"/>
      <c r="CF483" s="207" t="n"/>
      <c r="CG483" s="208" t="n"/>
      <c r="CH483" s="207" t="n"/>
      <c r="CI483" s="208" t="n"/>
      <c r="CJ483" s="204" t="n"/>
      <c r="CK483" s="208" t="n"/>
      <c r="CL483" s="208" t="n"/>
      <c r="CM483" s="208" t="n"/>
      <c r="CN483" s="78" t="n"/>
      <c r="CO483" s="209" t="n"/>
      <c r="CP483" s="204" t="n"/>
      <c r="CQ483" s="204" t="n"/>
      <c r="CR483" s="204" t="n"/>
      <c r="CS483" s="204" t="n"/>
      <c r="CT483" s="204" t="n"/>
      <c r="CU483" s="204" t="n"/>
      <c r="CV483" s="204" t="n"/>
      <c r="CW483" s="204" t="n"/>
      <c r="CX483" s="190" t="n"/>
    </row>
    <row r="484">
      <c r="BF484" s="78" t="n"/>
      <c r="BG484" s="78" t="n"/>
      <c r="BH484" s="78" t="n"/>
      <c r="BI484" s="78" t="n"/>
      <c r="BJ484" s="139" t="n"/>
      <c r="BK484" s="204" t="n"/>
      <c r="BL484" s="141" t="n"/>
      <c r="BM484" s="205" t="n"/>
      <c r="BN484" s="205" t="n"/>
      <c r="BO484" s="206" t="n"/>
      <c r="BP484" s="144" t="n"/>
      <c r="BQ484" s="141" t="n"/>
      <c r="BR484" s="207" t="n"/>
      <c r="BS484" s="207" t="n"/>
      <c r="BT484" s="207" t="n"/>
      <c r="BU484" s="207" t="n"/>
      <c r="BV484" s="208" t="n"/>
      <c r="BW484" s="207" t="n"/>
      <c r="BX484" s="207" t="n"/>
      <c r="BY484" s="204" t="n"/>
      <c r="BZ484" s="148" t="n"/>
      <c r="CA484" s="204" t="n"/>
      <c r="CB484" s="208" t="n"/>
      <c r="CC484" s="139" t="n"/>
      <c r="CD484" s="204" t="n"/>
      <c r="CE484" s="204" t="n"/>
      <c r="CF484" s="207" t="n"/>
      <c r="CG484" s="208" t="n"/>
      <c r="CH484" s="207" t="n"/>
      <c r="CI484" s="208" t="n"/>
      <c r="CJ484" s="204" t="n"/>
      <c r="CK484" s="208" t="n"/>
      <c r="CL484" s="208" t="n"/>
      <c r="CM484" s="208" t="n"/>
      <c r="CN484" s="78" t="n"/>
      <c r="CO484" s="209" t="n"/>
      <c r="CP484" s="204" t="n"/>
      <c r="CQ484" s="204" t="n"/>
      <c r="CR484" s="204" t="n"/>
      <c r="CS484" s="204" t="n"/>
      <c r="CT484" s="204" t="n"/>
      <c r="CU484" s="204" t="n"/>
      <c r="CV484" s="204" t="n"/>
      <c r="CW484" s="204" t="n"/>
      <c r="CX484" s="190" t="n"/>
    </row>
    <row r="485">
      <c r="BF485" s="78" t="n"/>
      <c r="BG485" s="78" t="n"/>
      <c r="BH485" s="78" t="n"/>
      <c r="BI485" s="78" t="n"/>
      <c r="BJ485" s="139" t="n"/>
      <c r="BK485" s="204" t="n"/>
      <c r="BL485" s="141" t="n"/>
      <c r="BM485" s="205" t="n"/>
      <c r="BN485" s="205" t="n"/>
      <c r="BO485" s="206" t="n"/>
      <c r="BP485" s="144" t="n"/>
      <c r="BQ485" s="141" t="n"/>
      <c r="BR485" s="207" t="n"/>
      <c r="BS485" s="207" t="n"/>
      <c r="BT485" s="207" t="n"/>
      <c r="BU485" s="207" t="n"/>
      <c r="BV485" s="208" t="n"/>
      <c r="BW485" s="207" t="n"/>
      <c r="BX485" s="207" t="n"/>
      <c r="BY485" s="204" t="n"/>
      <c r="BZ485" s="148" t="n"/>
      <c r="CA485" s="204" t="n"/>
      <c r="CB485" s="208" t="n"/>
      <c r="CC485" s="139" t="n"/>
      <c r="CD485" s="204" t="n"/>
      <c r="CE485" s="204" t="n"/>
      <c r="CF485" s="207" t="n"/>
      <c r="CG485" s="208" t="n"/>
      <c r="CH485" s="207" t="n"/>
      <c r="CI485" s="208" t="n"/>
      <c r="CJ485" s="204" t="n"/>
      <c r="CK485" s="208" t="n"/>
      <c r="CL485" s="208" t="n"/>
      <c r="CM485" s="208" t="n"/>
      <c r="CN485" s="78" t="n"/>
      <c r="CO485" s="209" t="n"/>
      <c r="CP485" s="204" t="n"/>
      <c r="CQ485" s="204" t="n"/>
      <c r="CR485" s="204" t="n"/>
      <c r="CS485" s="204" t="n"/>
      <c r="CT485" s="204" t="n"/>
      <c r="CU485" s="204" t="n"/>
      <c r="CV485" s="204" t="n"/>
      <c r="CW485" s="204" t="n"/>
      <c r="CX485" s="190" t="n"/>
    </row>
    <row r="486">
      <c r="BF486" s="78" t="n"/>
      <c r="BG486" s="78" t="n"/>
      <c r="BH486" s="78" t="n"/>
      <c r="BI486" s="78" t="n"/>
      <c r="BJ486" s="139" t="n"/>
      <c r="BK486" s="204" t="n"/>
      <c r="BL486" s="141" t="n"/>
      <c r="BM486" s="205" t="n"/>
      <c r="BN486" s="205" t="n"/>
      <c r="BO486" s="206" t="n"/>
      <c r="BP486" s="144" t="n"/>
      <c r="BQ486" s="141" t="n"/>
      <c r="BR486" s="207" t="n"/>
      <c r="BS486" s="207" t="n"/>
      <c r="BT486" s="207" t="n"/>
      <c r="BU486" s="207" t="n"/>
      <c r="BV486" s="208" t="n"/>
      <c r="BW486" s="207" t="n"/>
      <c r="BX486" s="207" t="n"/>
      <c r="BY486" s="204" t="n"/>
      <c r="BZ486" s="148" t="n"/>
      <c r="CA486" s="204" t="n"/>
      <c r="CB486" s="208" t="n"/>
      <c r="CC486" s="139" t="n"/>
      <c r="CD486" s="204" t="n"/>
      <c r="CE486" s="204" t="n"/>
      <c r="CF486" s="207" t="n"/>
      <c r="CG486" s="208" t="n"/>
      <c r="CH486" s="207" t="n"/>
      <c r="CI486" s="208" t="n"/>
      <c r="CJ486" s="204" t="n"/>
      <c r="CK486" s="208" t="n"/>
      <c r="CL486" s="208" t="n"/>
      <c r="CM486" s="208" t="n"/>
      <c r="CN486" s="78" t="n"/>
      <c r="CO486" s="209" t="n"/>
      <c r="CP486" s="204" t="n"/>
      <c r="CQ486" s="204" t="n"/>
      <c r="CR486" s="204" t="n"/>
      <c r="CS486" s="204" t="n"/>
      <c r="CT486" s="204" t="n"/>
      <c r="CU486" s="204" t="n"/>
      <c r="CV486" s="204" t="n"/>
      <c r="CW486" s="204" t="n"/>
      <c r="CX486" s="190" t="n"/>
    </row>
    <row r="487">
      <c r="BF487" s="78" t="n"/>
      <c r="BG487" s="78" t="n"/>
      <c r="BH487" s="78" t="n"/>
      <c r="BI487" s="78" t="n"/>
      <c r="BJ487" s="139" t="n"/>
      <c r="BK487" s="204" t="n"/>
      <c r="BL487" s="141" t="n"/>
      <c r="BM487" s="205" t="n"/>
      <c r="BN487" s="205" t="n"/>
      <c r="BO487" s="206" t="n"/>
      <c r="BP487" s="144" t="n"/>
      <c r="BQ487" s="141" t="n"/>
      <c r="BR487" s="207" t="n"/>
      <c r="BS487" s="207" t="n"/>
      <c r="BT487" s="207" t="n"/>
      <c r="BU487" s="207" t="n"/>
      <c r="BV487" s="208" t="n"/>
      <c r="BW487" s="207" t="n"/>
      <c r="BX487" s="207" t="n"/>
      <c r="BY487" s="204" t="n"/>
      <c r="BZ487" s="148" t="n"/>
      <c r="CA487" s="204" t="n"/>
      <c r="CB487" s="208" t="n"/>
      <c r="CC487" s="139" t="n"/>
      <c r="CD487" s="204" t="n"/>
      <c r="CE487" s="204" t="n"/>
      <c r="CF487" s="207" t="n"/>
      <c r="CG487" s="208" t="n"/>
      <c r="CH487" s="207" t="n"/>
      <c r="CI487" s="208" t="n"/>
      <c r="CJ487" s="204" t="n"/>
      <c r="CK487" s="208" t="n"/>
      <c r="CL487" s="208" t="n"/>
      <c r="CM487" s="208" t="n"/>
      <c r="CN487" s="78" t="n"/>
      <c r="CO487" s="209" t="n"/>
      <c r="CP487" s="204" t="n"/>
      <c r="CQ487" s="204" t="n"/>
      <c r="CR487" s="204" t="n"/>
      <c r="CS487" s="204" t="n"/>
      <c r="CT487" s="204" t="n"/>
      <c r="CU487" s="204" t="n"/>
      <c r="CV487" s="204" t="n"/>
      <c r="CW487" s="204" t="n"/>
      <c r="CX487" s="190" t="n"/>
    </row>
    <row r="488">
      <c r="BF488" s="78" t="n"/>
      <c r="BG488" s="78" t="n"/>
      <c r="BH488" s="78" t="n"/>
      <c r="BI488" s="78" t="n"/>
      <c r="BJ488" s="139" t="n"/>
      <c r="BK488" s="204" t="n"/>
      <c r="BL488" s="141" t="n"/>
      <c r="BM488" s="205" t="n"/>
      <c r="BN488" s="205" t="n"/>
      <c r="BO488" s="206" t="n"/>
      <c r="BP488" s="144" t="n"/>
      <c r="BQ488" s="141" t="n"/>
      <c r="BR488" s="207" t="n"/>
      <c r="BS488" s="207" t="n"/>
      <c r="BT488" s="207" t="n"/>
      <c r="BU488" s="207" t="n"/>
      <c r="BV488" s="208" t="n"/>
      <c r="BW488" s="207" t="n"/>
      <c r="BX488" s="207" t="n"/>
      <c r="BY488" s="204" t="n"/>
      <c r="BZ488" s="148" t="n"/>
      <c r="CA488" s="204" t="n"/>
      <c r="CB488" s="208" t="n"/>
      <c r="CC488" s="139" t="n"/>
      <c r="CD488" s="204" t="n"/>
      <c r="CE488" s="204" t="n"/>
      <c r="CF488" s="207" t="n"/>
      <c r="CG488" s="208" t="n"/>
      <c r="CH488" s="207" t="n"/>
      <c r="CI488" s="208" t="n"/>
      <c r="CJ488" s="204" t="n"/>
      <c r="CK488" s="208" t="n"/>
      <c r="CL488" s="208" t="n"/>
      <c r="CM488" s="208" t="n"/>
      <c r="CN488" s="78" t="n"/>
      <c r="CO488" s="209" t="n"/>
      <c r="CP488" s="204" t="n"/>
      <c r="CQ488" s="204" t="n"/>
      <c r="CR488" s="204" t="n"/>
      <c r="CS488" s="204" t="n"/>
      <c r="CT488" s="204" t="n"/>
      <c r="CU488" s="204" t="n"/>
      <c r="CV488" s="204" t="n"/>
      <c r="CW488" s="204" t="n"/>
      <c r="CX488" s="190" t="n"/>
    </row>
    <row r="489">
      <c r="BF489" s="78" t="n"/>
      <c r="BG489" s="78" t="n"/>
      <c r="BH489" s="78" t="n"/>
      <c r="BI489" s="78" t="n"/>
      <c r="BJ489" s="139" t="n"/>
      <c r="BK489" s="204" t="n"/>
      <c r="BL489" s="141" t="n"/>
      <c r="BM489" s="205" t="n"/>
      <c r="BN489" s="205" t="n"/>
      <c r="BO489" s="206" t="n"/>
      <c r="BP489" s="144" t="n"/>
      <c r="BQ489" s="141" t="n"/>
      <c r="BR489" s="207" t="n"/>
      <c r="BS489" s="207" t="n"/>
      <c r="BT489" s="207" t="n"/>
      <c r="BU489" s="207" t="n"/>
      <c r="BV489" s="208" t="n"/>
      <c r="BW489" s="207" t="n"/>
      <c r="BX489" s="207" t="n"/>
      <c r="BY489" s="204" t="n"/>
      <c r="BZ489" s="148" t="n"/>
      <c r="CA489" s="204" t="n"/>
      <c r="CB489" s="208" t="n"/>
      <c r="CC489" s="139" t="n"/>
      <c r="CD489" s="204" t="n"/>
      <c r="CE489" s="204" t="n"/>
      <c r="CF489" s="207" t="n"/>
      <c r="CG489" s="208" t="n"/>
      <c r="CH489" s="207" t="n"/>
      <c r="CI489" s="208" t="n"/>
      <c r="CJ489" s="204" t="n"/>
      <c r="CK489" s="208" t="n"/>
      <c r="CL489" s="208" t="n"/>
      <c r="CM489" s="208" t="n"/>
      <c r="CN489" s="78" t="n"/>
      <c r="CO489" s="209" t="n"/>
      <c r="CP489" s="204" t="n"/>
      <c r="CQ489" s="204" t="n"/>
      <c r="CR489" s="204" t="n"/>
      <c r="CS489" s="204" t="n"/>
      <c r="CT489" s="204" t="n"/>
      <c r="CU489" s="204" t="n"/>
      <c r="CV489" s="204" t="n"/>
      <c r="CW489" s="204" t="n"/>
      <c r="CX489" s="190" t="n"/>
    </row>
    <row r="490">
      <c r="BF490" s="78" t="n"/>
      <c r="BG490" s="78" t="n"/>
      <c r="BH490" s="78" t="n"/>
      <c r="BI490" s="78" t="n"/>
      <c r="BJ490" s="139" t="n"/>
      <c r="BK490" s="204" t="n"/>
      <c r="BL490" s="141" t="n"/>
      <c r="BM490" s="205" t="n"/>
      <c r="BN490" s="205" t="n"/>
      <c r="BO490" s="206" t="n"/>
      <c r="BP490" s="144" t="n"/>
      <c r="BQ490" s="141" t="n"/>
      <c r="BR490" s="207" t="n"/>
      <c r="BS490" s="207" t="n"/>
      <c r="BT490" s="207" t="n"/>
      <c r="BU490" s="207" t="n"/>
      <c r="BV490" s="208" t="n"/>
      <c r="BW490" s="207" t="n"/>
      <c r="BX490" s="207" t="n"/>
      <c r="BY490" s="204" t="n"/>
      <c r="BZ490" s="148" t="n"/>
      <c r="CA490" s="204" t="n"/>
      <c r="CB490" s="208" t="n"/>
      <c r="CC490" s="139" t="n"/>
      <c r="CD490" s="204" t="n"/>
      <c r="CE490" s="204" t="n"/>
      <c r="CF490" s="207" t="n"/>
      <c r="CG490" s="208" t="n"/>
      <c r="CH490" s="207" t="n"/>
      <c r="CI490" s="208" t="n"/>
      <c r="CJ490" s="204" t="n"/>
      <c r="CK490" s="208" t="n"/>
      <c r="CL490" s="208" t="n"/>
      <c r="CM490" s="208" t="n"/>
      <c r="CN490" s="78" t="n"/>
      <c r="CO490" s="209" t="n"/>
      <c r="CP490" s="204" t="n"/>
      <c r="CQ490" s="204" t="n"/>
      <c r="CR490" s="204" t="n"/>
      <c r="CS490" s="204" t="n"/>
      <c r="CT490" s="204" t="n"/>
      <c r="CU490" s="204" t="n"/>
      <c r="CV490" s="204" t="n"/>
      <c r="CW490" s="204" t="n"/>
      <c r="CX490" s="190" t="n"/>
    </row>
    <row r="491">
      <c r="BF491" s="78" t="n"/>
      <c r="BG491" s="78" t="n"/>
      <c r="BH491" s="78" t="n"/>
      <c r="BI491" s="78" t="n"/>
      <c r="BJ491" s="139" t="n"/>
      <c r="BK491" s="204" t="n"/>
      <c r="BL491" s="141" t="n"/>
      <c r="BM491" s="205" t="n"/>
      <c r="BN491" s="205" t="n"/>
      <c r="BO491" s="206" t="n"/>
      <c r="BP491" s="144" t="n"/>
      <c r="BQ491" s="141" t="n"/>
      <c r="BR491" s="207" t="n"/>
      <c r="BS491" s="207" t="n"/>
      <c r="BT491" s="207" t="n"/>
      <c r="BU491" s="207" t="n"/>
      <c r="BV491" s="208" t="n"/>
      <c r="BW491" s="207" t="n"/>
      <c r="BX491" s="207" t="n"/>
      <c r="BY491" s="204" t="n"/>
      <c r="BZ491" s="148" t="n"/>
      <c r="CA491" s="204" t="n"/>
      <c r="CB491" s="208" t="n"/>
      <c r="CC491" s="139" t="n"/>
      <c r="CD491" s="204" t="n"/>
      <c r="CE491" s="204" t="n"/>
      <c r="CF491" s="207" t="n"/>
      <c r="CG491" s="208" t="n"/>
      <c r="CH491" s="207" t="n"/>
      <c r="CI491" s="208" t="n"/>
      <c r="CJ491" s="204" t="n"/>
      <c r="CK491" s="208" t="n"/>
      <c r="CL491" s="208" t="n"/>
      <c r="CM491" s="208" t="n"/>
      <c r="CN491" s="78" t="n"/>
      <c r="CO491" s="209" t="n"/>
      <c r="CP491" s="204" t="n"/>
      <c r="CQ491" s="204" t="n"/>
      <c r="CR491" s="204" t="n"/>
      <c r="CS491" s="204" t="n"/>
      <c r="CT491" s="204" t="n"/>
      <c r="CU491" s="204" t="n"/>
      <c r="CV491" s="204" t="n"/>
      <c r="CW491" s="204" t="n"/>
      <c r="CX491" s="190" t="n"/>
    </row>
    <row r="492">
      <c r="BF492" s="78" t="n"/>
      <c r="BG492" s="78" t="n"/>
      <c r="BH492" s="78" t="n"/>
      <c r="BI492" s="78" t="n"/>
      <c r="BJ492" s="139" t="n"/>
      <c r="BK492" s="204" t="n"/>
      <c r="BL492" s="141" t="n"/>
      <c r="BM492" s="205" t="n"/>
      <c r="BN492" s="205" t="n"/>
      <c r="BO492" s="206" t="n"/>
      <c r="BP492" s="144" t="n"/>
      <c r="BQ492" s="141" t="n"/>
      <c r="BR492" s="207" t="n"/>
      <c r="BS492" s="207" t="n"/>
      <c r="BT492" s="207" t="n"/>
      <c r="BU492" s="207" t="n"/>
      <c r="BV492" s="208" t="n"/>
      <c r="BW492" s="207" t="n"/>
      <c r="BX492" s="207" t="n"/>
      <c r="BY492" s="204" t="n"/>
      <c r="BZ492" s="148" t="n"/>
      <c r="CA492" s="204" t="n"/>
      <c r="CB492" s="208" t="n"/>
      <c r="CC492" s="139" t="n"/>
      <c r="CD492" s="204" t="n"/>
      <c r="CE492" s="204" t="n"/>
      <c r="CF492" s="207" t="n"/>
      <c r="CG492" s="208" t="n"/>
      <c r="CH492" s="207" t="n"/>
      <c r="CI492" s="208" t="n"/>
      <c r="CJ492" s="204" t="n"/>
      <c r="CK492" s="208" t="n"/>
      <c r="CL492" s="208" t="n"/>
      <c r="CM492" s="208" t="n"/>
      <c r="CN492" s="78" t="n"/>
      <c r="CO492" s="209" t="n"/>
      <c r="CP492" s="204" t="n"/>
      <c r="CQ492" s="204" t="n"/>
      <c r="CR492" s="204" t="n"/>
      <c r="CS492" s="204" t="n"/>
      <c r="CT492" s="204" t="n"/>
      <c r="CU492" s="204" t="n"/>
      <c r="CV492" s="204" t="n"/>
      <c r="CW492" s="204" t="n"/>
      <c r="CX492" s="190" t="n"/>
    </row>
    <row r="493">
      <c r="BF493" s="78" t="n"/>
      <c r="BG493" s="78" t="n"/>
      <c r="BH493" s="78" t="n"/>
      <c r="BI493" s="78" t="n"/>
      <c r="BJ493" s="139" t="n"/>
      <c r="BK493" s="204" t="n"/>
      <c r="BL493" s="141" t="n"/>
      <c r="BM493" s="205" t="n"/>
      <c r="BN493" s="205" t="n"/>
      <c r="BO493" s="206" t="n"/>
      <c r="BP493" s="144" t="n"/>
      <c r="BQ493" s="141" t="n"/>
      <c r="BR493" s="207" t="n"/>
      <c r="BS493" s="207" t="n"/>
      <c r="BT493" s="207" t="n"/>
      <c r="BU493" s="207" t="n"/>
      <c r="BV493" s="208" t="n"/>
      <c r="BW493" s="207" t="n"/>
      <c r="BX493" s="207" t="n"/>
      <c r="BY493" s="204" t="n"/>
      <c r="BZ493" s="148" t="n"/>
      <c r="CA493" s="204" t="n"/>
      <c r="CB493" s="208" t="n"/>
      <c r="CC493" s="139" t="n"/>
      <c r="CD493" s="204" t="n"/>
      <c r="CE493" s="204" t="n"/>
      <c r="CF493" s="207" t="n"/>
      <c r="CG493" s="208" t="n"/>
      <c r="CH493" s="207" t="n"/>
      <c r="CI493" s="208" t="n"/>
      <c r="CJ493" s="204" t="n"/>
      <c r="CK493" s="208" t="n"/>
      <c r="CL493" s="208" t="n"/>
      <c r="CM493" s="208" t="n"/>
      <c r="CN493" s="78" t="n"/>
      <c r="CO493" s="209" t="n"/>
      <c r="CP493" s="204" t="n"/>
      <c r="CQ493" s="204" t="n"/>
      <c r="CR493" s="204" t="n"/>
      <c r="CS493" s="204" t="n"/>
      <c r="CT493" s="204" t="n"/>
      <c r="CU493" s="204" t="n"/>
      <c r="CV493" s="204" t="n"/>
      <c r="CW493" s="204" t="n"/>
      <c r="CX493" s="190" t="n"/>
    </row>
    <row r="494">
      <c r="BF494" s="78" t="n"/>
      <c r="BG494" s="78" t="n"/>
      <c r="BH494" s="78" t="n"/>
      <c r="BI494" s="78" t="n"/>
      <c r="BJ494" s="139" t="n"/>
      <c r="BK494" s="204" t="n"/>
      <c r="BL494" s="141" t="n"/>
      <c r="BM494" s="205" t="n"/>
      <c r="BN494" s="205" t="n"/>
      <c r="BO494" s="206" t="n"/>
      <c r="BP494" s="144" t="n"/>
      <c r="BQ494" s="141" t="n"/>
      <c r="BR494" s="207" t="n"/>
      <c r="BS494" s="207" t="n"/>
      <c r="BT494" s="207" t="n"/>
      <c r="BU494" s="207" t="n"/>
      <c r="BV494" s="208" t="n"/>
      <c r="BW494" s="207" t="n"/>
      <c r="BX494" s="207" t="n"/>
      <c r="BY494" s="204" t="n"/>
      <c r="BZ494" s="148" t="n"/>
      <c r="CA494" s="204" t="n"/>
      <c r="CB494" s="208" t="n"/>
      <c r="CC494" s="139" t="n"/>
      <c r="CD494" s="204" t="n"/>
      <c r="CE494" s="204" t="n"/>
      <c r="CF494" s="207" t="n"/>
      <c r="CG494" s="208" t="n"/>
      <c r="CH494" s="207" t="n"/>
      <c r="CI494" s="208" t="n"/>
      <c r="CJ494" s="204" t="n"/>
      <c r="CK494" s="208" t="n"/>
      <c r="CL494" s="208" t="n"/>
      <c r="CM494" s="208" t="n"/>
      <c r="CN494" s="78" t="n"/>
      <c r="CO494" s="209" t="n"/>
      <c r="CP494" s="204" t="n"/>
      <c r="CQ494" s="204" t="n"/>
      <c r="CR494" s="204" t="n"/>
      <c r="CS494" s="204" t="n"/>
      <c r="CT494" s="204" t="n"/>
      <c r="CU494" s="204" t="n"/>
      <c r="CV494" s="204" t="n"/>
      <c r="CW494" s="204" t="n"/>
      <c r="CX494" s="190" t="n"/>
    </row>
    <row r="495">
      <c r="BF495" s="78" t="n"/>
      <c r="BG495" s="78" t="n"/>
      <c r="BH495" s="78" t="n"/>
      <c r="BI495" s="78" t="n"/>
      <c r="BJ495" s="139" t="n"/>
      <c r="BK495" s="204" t="n"/>
      <c r="BL495" s="141" t="n"/>
      <c r="BM495" s="205" t="n"/>
      <c r="BN495" s="205" t="n"/>
      <c r="BO495" s="206" t="n"/>
      <c r="BP495" s="144" t="n"/>
      <c r="BQ495" s="141" t="n"/>
      <c r="BR495" s="207" t="n"/>
      <c r="BS495" s="207" t="n"/>
      <c r="BT495" s="207" t="n"/>
      <c r="BU495" s="207" t="n"/>
      <c r="BV495" s="208" t="n"/>
      <c r="BW495" s="207" t="n"/>
      <c r="BX495" s="207" t="n"/>
      <c r="BY495" s="204" t="n"/>
      <c r="BZ495" s="148" t="n"/>
      <c r="CA495" s="204" t="n"/>
      <c r="CB495" s="208" t="n"/>
      <c r="CC495" s="139" t="n"/>
      <c r="CD495" s="204" t="n"/>
      <c r="CE495" s="204" t="n"/>
      <c r="CF495" s="207" t="n"/>
      <c r="CG495" s="208" t="n"/>
      <c r="CH495" s="207" t="n"/>
      <c r="CI495" s="208" t="n"/>
      <c r="CJ495" s="204" t="n"/>
      <c r="CK495" s="208" t="n"/>
      <c r="CL495" s="208" t="n"/>
      <c r="CM495" s="208" t="n"/>
      <c r="CN495" s="78" t="n"/>
      <c r="CO495" s="209" t="n"/>
      <c r="CP495" s="204" t="n"/>
      <c r="CQ495" s="204" t="n"/>
      <c r="CR495" s="204" t="n"/>
      <c r="CS495" s="204" t="n"/>
      <c r="CT495" s="204" t="n"/>
      <c r="CU495" s="204" t="n"/>
      <c r="CV495" s="204" t="n"/>
      <c r="CW495" s="204" t="n"/>
      <c r="CX495" s="190" t="n"/>
    </row>
    <row r="496">
      <c r="BF496" s="78" t="n"/>
      <c r="BG496" s="78" t="n"/>
      <c r="BH496" s="78" t="n"/>
      <c r="BI496" s="78" t="n"/>
      <c r="BJ496" s="139" t="n"/>
      <c r="BK496" s="204" t="n"/>
      <c r="BL496" s="141" t="n"/>
      <c r="BM496" s="205" t="n"/>
      <c r="BN496" s="205" t="n"/>
      <c r="BO496" s="206" t="n"/>
      <c r="BP496" s="144" t="n"/>
      <c r="BQ496" s="141" t="n"/>
      <c r="BR496" s="207" t="n"/>
      <c r="BS496" s="207" t="n"/>
      <c r="BT496" s="207" t="n"/>
      <c r="BU496" s="207" t="n"/>
      <c r="BV496" s="208" t="n"/>
      <c r="BW496" s="207" t="n"/>
      <c r="BX496" s="207" t="n"/>
      <c r="BY496" s="204" t="n"/>
      <c r="BZ496" s="148" t="n"/>
      <c r="CA496" s="204" t="n"/>
      <c r="CB496" s="208" t="n"/>
      <c r="CC496" s="139" t="n"/>
      <c r="CD496" s="204" t="n"/>
      <c r="CE496" s="204" t="n"/>
      <c r="CF496" s="207" t="n"/>
      <c r="CG496" s="208" t="n"/>
      <c r="CH496" s="207" t="n"/>
      <c r="CI496" s="208" t="n"/>
      <c r="CJ496" s="204" t="n"/>
      <c r="CK496" s="208" t="n"/>
      <c r="CL496" s="208" t="n"/>
      <c r="CM496" s="208" t="n"/>
      <c r="CN496" s="78" t="n"/>
      <c r="CO496" s="209" t="n"/>
      <c r="CP496" s="204" t="n"/>
      <c r="CQ496" s="204" t="n"/>
      <c r="CR496" s="204" t="n"/>
      <c r="CS496" s="204" t="n"/>
      <c r="CT496" s="204" t="n"/>
      <c r="CU496" s="204" t="n"/>
      <c r="CV496" s="204" t="n"/>
      <c r="CW496" s="204" t="n"/>
      <c r="CX496" s="190" t="n"/>
    </row>
    <row r="497">
      <c r="BF497" s="78" t="n"/>
      <c r="BG497" s="78" t="n"/>
      <c r="BH497" s="78" t="n"/>
      <c r="BI497" s="78" t="n"/>
      <c r="BJ497" s="139" t="n"/>
      <c r="BK497" s="204" t="n"/>
      <c r="BL497" s="141" t="n"/>
      <c r="BM497" s="205" t="n"/>
      <c r="BN497" s="205" t="n"/>
      <c r="BO497" s="206" t="n"/>
      <c r="BP497" s="144" t="n"/>
      <c r="BQ497" s="141" t="n"/>
      <c r="BR497" s="207" t="n"/>
      <c r="BS497" s="207" t="n"/>
      <c r="BT497" s="207" t="n"/>
      <c r="BU497" s="207" t="n"/>
      <c r="BV497" s="208" t="n"/>
      <c r="BW497" s="207" t="n"/>
      <c r="BX497" s="207" t="n"/>
      <c r="BY497" s="204" t="n"/>
      <c r="BZ497" s="148" t="n"/>
      <c r="CA497" s="204" t="n"/>
      <c r="CB497" s="208" t="n"/>
      <c r="CC497" s="139" t="n"/>
      <c r="CD497" s="204" t="n"/>
      <c r="CE497" s="204" t="n"/>
      <c r="CF497" s="207" t="n"/>
      <c r="CG497" s="208" t="n"/>
      <c r="CH497" s="207" t="n"/>
      <c r="CI497" s="208" t="n"/>
      <c r="CJ497" s="204" t="n"/>
      <c r="CK497" s="208" t="n"/>
      <c r="CL497" s="208" t="n"/>
      <c r="CM497" s="208" t="n"/>
      <c r="CN497" s="78" t="n"/>
      <c r="CO497" s="209" t="n"/>
      <c r="CP497" s="204" t="n"/>
      <c r="CQ497" s="204" t="n"/>
      <c r="CR497" s="204" t="n"/>
      <c r="CS497" s="204" t="n"/>
      <c r="CT497" s="204" t="n"/>
      <c r="CU497" s="204" t="n"/>
      <c r="CV497" s="204" t="n"/>
      <c r="CW497" s="204" t="n"/>
      <c r="CX497" s="190" t="n"/>
    </row>
    <row r="498">
      <c r="BF498" s="78" t="n"/>
      <c r="BG498" s="78" t="n"/>
      <c r="BH498" s="78" t="n"/>
      <c r="BI498" s="78" t="n"/>
      <c r="BJ498" s="139" t="n"/>
      <c r="BK498" s="204" t="n"/>
      <c r="BL498" s="141" t="n"/>
      <c r="BM498" s="205" t="n"/>
      <c r="BN498" s="205" t="n"/>
      <c r="BO498" s="206" t="n"/>
      <c r="BP498" s="144" t="n"/>
      <c r="BQ498" s="141" t="n"/>
      <c r="BR498" s="207" t="n"/>
      <c r="BS498" s="207" t="n"/>
      <c r="BT498" s="207" t="n"/>
      <c r="BU498" s="207" t="n"/>
      <c r="BV498" s="208" t="n"/>
      <c r="BW498" s="207" t="n"/>
      <c r="BX498" s="207" t="n"/>
      <c r="BY498" s="204" t="n"/>
      <c r="BZ498" s="148" t="n"/>
      <c r="CA498" s="204" t="n"/>
      <c r="CB498" s="208" t="n"/>
      <c r="CC498" s="139" t="n"/>
      <c r="CD498" s="204" t="n"/>
      <c r="CE498" s="204" t="n"/>
      <c r="CF498" s="207" t="n"/>
      <c r="CG498" s="208" t="n"/>
      <c r="CH498" s="207" t="n"/>
      <c r="CI498" s="208" t="n"/>
      <c r="CJ498" s="204" t="n"/>
      <c r="CK498" s="208" t="n"/>
      <c r="CL498" s="208" t="n"/>
      <c r="CM498" s="208" t="n"/>
      <c r="CN498" s="78" t="n"/>
      <c r="CO498" s="209" t="n"/>
      <c r="CP498" s="204" t="n"/>
      <c r="CQ498" s="204" t="n"/>
      <c r="CR498" s="204" t="n"/>
      <c r="CS498" s="204" t="n"/>
      <c r="CT498" s="204" t="n"/>
      <c r="CU498" s="204" t="n"/>
      <c r="CV498" s="204" t="n"/>
      <c r="CW498" s="204" t="n"/>
      <c r="CX498" s="190" t="n"/>
    </row>
    <row r="499">
      <c r="BF499" s="78" t="n"/>
      <c r="BG499" s="78" t="n"/>
      <c r="BH499" s="78" t="n"/>
      <c r="BI499" s="78" t="n"/>
      <c r="BJ499" s="139" t="n"/>
      <c r="BK499" s="204" t="n"/>
      <c r="BL499" s="141" t="n"/>
      <c r="BM499" s="205" t="n"/>
      <c r="BN499" s="205" t="n"/>
      <c r="BO499" s="206" t="n"/>
      <c r="BP499" s="144" t="n"/>
      <c r="BQ499" s="141" t="n"/>
      <c r="BR499" s="207" t="n"/>
      <c r="BS499" s="207" t="n"/>
      <c r="BT499" s="207" t="n"/>
      <c r="BU499" s="207" t="n"/>
      <c r="BV499" s="208" t="n"/>
      <c r="BW499" s="207" t="n"/>
      <c r="BX499" s="207" t="n"/>
      <c r="BY499" s="204" t="n"/>
      <c r="BZ499" s="148" t="n"/>
      <c r="CA499" s="204" t="n"/>
      <c r="CB499" s="208" t="n"/>
      <c r="CC499" s="139" t="n"/>
      <c r="CD499" s="204" t="n"/>
      <c r="CE499" s="204" t="n"/>
      <c r="CF499" s="207" t="n"/>
      <c r="CG499" s="208" t="n"/>
      <c r="CH499" s="207" t="n"/>
      <c r="CI499" s="208" t="n"/>
      <c r="CJ499" s="204" t="n"/>
      <c r="CK499" s="208" t="n"/>
      <c r="CL499" s="208" t="n"/>
      <c r="CM499" s="208" t="n"/>
      <c r="CN499" s="78" t="n"/>
      <c r="CO499" s="209" t="n"/>
      <c r="CP499" s="204" t="n"/>
      <c r="CQ499" s="204" t="n"/>
      <c r="CR499" s="204" t="n"/>
      <c r="CS499" s="204" t="n"/>
      <c r="CT499" s="204" t="n"/>
      <c r="CU499" s="204" t="n"/>
      <c r="CV499" s="204" t="n"/>
      <c r="CW499" s="204" t="n"/>
      <c r="CX499" s="190" t="n"/>
    </row>
    <row r="500">
      <c r="BF500" s="78" t="n"/>
      <c r="BG500" s="78" t="n"/>
      <c r="BH500" s="78" t="n"/>
      <c r="BI500" s="78" t="n"/>
      <c r="BJ500" s="139" t="n"/>
      <c r="BK500" s="204" t="n"/>
      <c r="BL500" s="141" t="n"/>
      <c r="BM500" s="205" t="n"/>
      <c r="BN500" s="205" t="n"/>
      <c r="BO500" s="206" t="n"/>
      <c r="BP500" s="144" t="n"/>
      <c r="BQ500" s="141" t="n"/>
      <c r="BR500" s="207" t="n"/>
      <c r="BS500" s="207" t="n"/>
      <c r="BT500" s="207" t="n"/>
      <c r="BU500" s="207" t="n"/>
      <c r="BV500" s="208" t="n"/>
      <c r="BW500" s="207" t="n"/>
      <c r="BX500" s="207" t="n"/>
      <c r="BY500" s="204" t="n"/>
      <c r="BZ500" s="148" t="n"/>
      <c r="CA500" s="204" t="n"/>
      <c r="CB500" s="208" t="n"/>
      <c r="CC500" s="139" t="n"/>
      <c r="CD500" s="204" t="n"/>
      <c r="CE500" s="204" t="n"/>
      <c r="CF500" s="207" t="n"/>
      <c r="CG500" s="208" t="n"/>
      <c r="CH500" s="207" t="n"/>
      <c r="CI500" s="208" t="n"/>
      <c r="CJ500" s="204" t="n"/>
      <c r="CK500" s="208" t="n"/>
      <c r="CL500" s="208" t="n"/>
      <c r="CM500" s="208" t="n"/>
      <c r="CN500" s="78" t="n"/>
      <c r="CO500" s="209" t="n"/>
      <c r="CP500" s="204" t="n"/>
      <c r="CQ500" s="204" t="n"/>
      <c r="CR500" s="204" t="n"/>
      <c r="CS500" s="204" t="n"/>
      <c r="CT500" s="204" t="n"/>
      <c r="CU500" s="204" t="n"/>
      <c r="CV500" s="204" t="n"/>
      <c r="CW500" s="204" t="n"/>
      <c r="CX500" s="190" t="n"/>
    </row>
    <row r="501">
      <c r="AR501" s="151" t="n"/>
      <c r="BF501" s="78" t="n"/>
      <c r="BG501" s="78" t="n"/>
      <c r="BH501" s="78" t="n"/>
      <c r="BI501" s="78" t="n"/>
      <c r="BJ501" s="139" t="n"/>
      <c r="BK501" s="204" t="n"/>
      <c r="BL501" s="141" t="n"/>
      <c r="BM501" s="205" t="n"/>
      <c r="BN501" s="205" t="n"/>
      <c r="BO501" s="206" t="n"/>
      <c r="BP501" s="144" t="n"/>
      <c r="BQ501" s="141" t="n"/>
      <c r="BR501" s="207" t="n"/>
      <c r="BS501" s="207" t="n"/>
      <c r="BT501" s="207" t="n"/>
      <c r="BU501" s="207" t="n"/>
      <c r="BV501" s="208" t="n"/>
      <c r="BW501" s="207" t="n"/>
      <c r="BX501" s="207" t="n"/>
      <c r="BY501" s="204" t="n"/>
      <c r="BZ501" s="148" t="n"/>
      <c r="CA501" s="204" t="n"/>
      <c r="CB501" s="208" t="n"/>
      <c r="CC501" s="139" t="n"/>
      <c r="CD501" s="204" t="n"/>
      <c r="CE501" s="204" t="n"/>
      <c r="CF501" s="207" t="n"/>
      <c r="CG501" s="208" t="n"/>
      <c r="CH501" s="207" t="n"/>
      <c r="CI501" s="208" t="n"/>
      <c r="CJ501" s="204" t="n"/>
      <c r="CK501" s="208" t="n"/>
      <c r="CL501" s="208" t="n"/>
      <c r="CM501" s="208" t="n"/>
      <c r="CN501" s="78" t="n"/>
      <c r="CO501" s="209" t="n"/>
      <c r="CP501" s="204" t="n"/>
      <c r="CQ501" s="204" t="n"/>
      <c r="CR501" s="204" t="n"/>
      <c r="CS501" s="204" t="n"/>
      <c r="CT501" s="204" t="n"/>
      <c r="CU501" s="204" t="n"/>
      <c r="CV501" s="204" t="n"/>
      <c r="CW501" s="204" t="n"/>
      <c r="CX501" s="190" t="n"/>
    </row>
    <row r="502">
      <c r="AR502" s="151" t="n"/>
      <c r="BF502" s="78" t="n"/>
      <c r="BG502" s="78" t="n"/>
      <c r="BH502" s="78" t="n"/>
      <c r="BI502" s="78" t="n"/>
      <c r="BJ502" s="139" t="n"/>
      <c r="BK502" s="204" t="n"/>
      <c r="BL502" s="141" t="n"/>
      <c r="BM502" s="205" t="n"/>
      <c r="BN502" s="205" t="n"/>
      <c r="BO502" s="206" t="n"/>
      <c r="BP502" s="144" t="n"/>
      <c r="BQ502" s="141" t="n"/>
      <c r="BR502" s="207" t="n"/>
      <c r="BS502" s="207" t="n"/>
      <c r="BT502" s="207" t="n"/>
      <c r="BU502" s="207" t="n"/>
      <c r="BV502" s="208" t="n"/>
      <c r="BW502" s="207" t="n"/>
      <c r="BX502" s="207" t="n"/>
      <c r="BY502" s="204" t="n"/>
      <c r="BZ502" s="148" t="n"/>
      <c r="CA502" s="204" t="n"/>
      <c r="CB502" s="208" t="n"/>
      <c r="CC502" s="139" t="n"/>
      <c r="CD502" s="204" t="n"/>
      <c r="CE502" s="204" t="n"/>
      <c r="CF502" s="207" t="n"/>
      <c r="CG502" s="208" t="n"/>
      <c r="CH502" s="207" t="n"/>
      <c r="CI502" s="208" t="n"/>
      <c r="CJ502" s="204" t="n"/>
      <c r="CK502" s="208" t="n"/>
      <c r="CL502" s="208" t="n"/>
      <c r="CM502" s="208" t="n"/>
      <c r="CN502" s="78" t="n"/>
      <c r="CO502" s="209" t="n"/>
      <c r="CP502" s="204" t="n"/>
      <c r="CQ502" s="204" t="n"/>
      <c r="CR502" s="204" t="n"/>
      <c r="CS502" s="204" t="n"/>
      <c r="CT502" s="204" t="n"/>
      <c r="CU502" s="204" t="n"/>
      <c r="CV502" s="204" t="n"/>
      <c r="CW502" s="204" t="n"/>
      <c r="CX502" s="190" t="n"/>
    </row>
    <row r="503">
      <c r="BF503" s="78" t="n"/>
      <c r="BG503" s="78" t="n"/>
      <c r="BH503" s="78" t="n"/>
      <c r="BI503" s="78" t="n"/>
      <c r="BJ503" s="139" t="n"/>
      <c r="BK503" s="204" t="n"/>
      <c r="BL503" s="141" t="n"/>
      <c r="BM503" s="205" t="n"/>
      <c r="BN503" s="205" t="n"/>
      <c r="BO503" s="206" t="n"/>
      <c r="BP503" s="144" t="n"/>
      <c r="BQ503" s="141" t="n"/>
      <c r="BR503" s="207" t="n"/>
      <c r="BS503" s="207" t="n"/>
      <c r="BT503" s="207" t="n"/>
      <c r="BU503" s="207" t="n"/>
      <c r="BV503" s="208" t="n"/>
      <c r="BW503" s="207" t="n"/>
      <c r="BX503" s="207" t="n"/>
      <c r="BY503" s="204" t="n"/>
      <c r="BZ503" s="148" t="n"/>
      <c r="CA503" s="204" t="n"/>
      <c r="CB503" s="208" t="n"/>
      <c r="CC503" s="139" t="n"/>
      <c r="CD503" s="204" t="n"/>
      <c r="CE503" s="204" t="n"/>
      <c r="CF503" s="207" t="n"/>
      <c r="CG503" s="208" t="n"/>
      <c r="CH503" s="207" t="n"/>
      <c r="CI503" s="208" t="n"/>
      <c r="CJ503" s="204" t="n"/>
      <c r="CK503" s="208" t="n"/>
      <c r="CL503" s="208" t="n"/>
      <c r="CM503" s="208" t="n"/>
      <c r="CN503" s="78" t="n"/>
      <c r="CO503" s="209" t="n"/>
      <c r="CP503" s="204" t="n"/>
      <c r="CQ503" s="204" t="n"/>
      <c r="CR503" s="204" t="n"/>
      <c r="CS503" s="204" t="n"/>
      <c r="CT503" s="204" t="n"/>
      <c r="CU503" s="204" t="n"/>
      <c r="CV503" s="204" t="n"/>
      <c r="CW503" s="204" t="n"/>
      <c r="CX503" s="190" t="n"/>
    </row>
    <row r="504">
      <c r="BF504" s="78" t="n"/>
      <c r="BG504" s="78" t="n"/>
      <c r="BH504" s="78" t="n"/>
      <c r="BI504" s="78" t="n"/>
      <c r="BJ504" s="139" t="n"/>
      <c r="BK504" s="204" t="n"/>
      <c r="BL504" s="141" t="n"/>
      <c r="BM504" s="205" t="n"/>
      <c r="BN504" s="205" t="n"/>
      <c r="BO504" s="206" t="n"/>
      <c r="BP504" s="144" t="n"/>
      <c r="BQ504" s="141" t="n"/>
      <c r="BR504" s="207" t="n"/>
      <c r="BS504" s="207" t="n"/>
      <c r="BT504" s="207" t="n"/>
      <c r="BU504" s="207" t="n"/>
      <c r="BV504" s="208" t="n"/>
      <c r="BW504" s="207" t="n"/>
      <c r="BX504" s="207" t="n"/>
      <c r="BY504" s="204" t="n"/>
      <c r="BZ504" s="148" t="n"/>
      <c r="CA504" s="204" t="n"/>
      <c r="CB504" s="208" t="n"/>
      <c r="CC504" s="139" t="n"/>
      <c r="CD504" s="204" t="n"/>
      <c r="CE504" s="204" t="n"/>
      <c r="CF504" s="207" t="n"/>
      <c r="CG504" s="208" t="n"/>
      <c r="CH504" s="207" t="n"/>
      <c r="CI504" s="208" t="n"/>
      <c r="CJ504" s="204" t="n"/>
      <c r="CK504" s="208" t="n"/>
      <c r="CL504" s="208" t="n"/>
      <c r="CM504" s="208" t="n"/>
      <c r="CN504" s="78" t="n"/>
      <c r="CO504" s="209" t="n"/>
      <c r="CP504" s="204" t="n"/>
      <c r="CQ504" s="204" t="n"/>
      <c r="CR504" s="204" t="n"/>
      <c r="CS504" s="204" t="n"/>
      <c r="CT504" s="204" t="n"/>
      <c r="CU504" s="204" t="n"/>
      <c r="CV504" s="204" t="n"/>
      <c r="CW504" s="204" t="n"/>
      <c r="CX504" s="190" t="n"/>
    </row>
    <row r="505">
      <c r="BF505" s="78" t="n"/>
      <c r="BG505" s="78" t="n"/>
      <c r="BH505" s="78" t="n"/>
      <c r="BI505" s="78" t="n"/>
      <c r="BJ505" s="139" t="n"/>
      <c r="BK505" s="204" t="n"/>
      <c r="BL505" s="141" t="n"/>
      <c r="BM505" s="205" t="n"/>
      <c r="BN505" s="205" t="n"/>
      <c r="BO505" s="206" t="n"/>
      <c r="BP505" s="144" t="n"/>
      <c r="BQ505" s="141" t="n"/>
      <c r="BR505" s="207" t="n"/>
      <c r="BS505" s="207" t="n"/>
      <c r="BT505" s="207" t="n"/>
      <c r="BU505" s="207" t="n"/>
      <c r="BV505" s="208" t="n"/>
      <c r="BW505" s="207" t="n"/>
      <c r="BX505" s="207" t="n"/>
      <c r="BY505" s="204" t="n"/>
      <c r="BZ505" s="148" t="n"/>
      <c r="CA505" s="204" t="n"/>
      <c r="CB505" s="208" t="n"/>
      <c r="CC505" s="139" t="n"/>
      <c r="CD505" s="204" t="n"/>
      <c r="CE505" s="204" t="n"/>
      <c r="CF505" s="207" t="n"/>
      <c r="CG505" s="208" t="n"/>
      <c r="CH505" s="207" t="n"/>
      <c r="CI505" s="208" t="n"/>
      <c r="CJ505" s="204" t="n"/>
      <c r="CK505" s="208" t="n"/>
      <c r="CL505" s="208" t="n"/>
      <c r="CM505" s="208" t="n"/>
      <c r="CN505" s="78" t="n"/>
      <c r="CO505" s="209" t="n"/>
      <c r="CP505" s="204" t="n"/>
      <c r="CQ505" s="204" t="n"/>
      <c r="CR505" s="204" t="n"/>
      <c r="CS505" s="204" t="n"/>
      <c r="CT505" s="204" t="n"/>
      <c r="CU505" s="204" t="n"/>
      <c r="CV505" s="204" t="n"/>
      <c r="CW505" s="204" t="n"/>
      <c r="CX505" s="190" t="n"/>
    </row>
    <row r="506">
      <c r="BF506" s="78" t="n"/>
      <c r="BG506" s="78" t="n"/>
      <c r="BH506" s="78" t="n"/>
      <c r="BI506" s="78" t="n"/>
      <c r="BJ506" s="139" t="n"/>
      <c r="BK506" s="204" t="n"/>
      <c r="BL506" s="141" t="n"/>
      <c r="BM506" s="205" t="n"/>
      <c r="BN506" s="205" t="n"/>
      <c r="BO506" s="206" t="n"/>
      <c r="BP506" s="144" t="n"/>
      <c r="BQ506" s="141" t="n"/>
      <c r="BR506" s="207" t="n"/>
      <c r="BS506" s="207" t="n"/>
      <c r="BT506" s="207" t="n"/>
      <c r="BU506" s="207" t="n"/>
      <c r="BV506" s="208" t="n"/>
      <c r="BW506" s="207" t="n"/>
      <c r="BX506" s="207" t="n"/>
      <c r="BY506" s="204" t="n"/>
      <c r="BZ506" s="148" t="n"/>
      <c r="CA506" s="204" t="n"/>
      <c r="CB506" s="208" t="n"/>
      <c r="CC506" s="139" t="n"/>
      <c r="CD506" s="204" t="n"/>
      <c r="CE506" s="204" t="n"/>
      <c r="CF506" s="207" t="n"/>
      <c r="CG506" s="208" t="n"/>
      <c r="CH506" s="207" t="n"/>
      <c r="CI506" s="208" t="n"/>
      <c r="CJ506" s="204" t="n"/>
      <c r="CK506" s="208" t="n"/>
      <c r="CL506" s="208" t="n"/>
      <c r="CM506" s="208" t="n"/>
      <c r="CN506" s="78" t="n"/>
      <c r="CO506" s="209" t="n"/>
      <c r="CP506" s="204" t="n"/>
      <c r="CQ506" s="204" t="n"/>
      <c r="CR506" s="204" t="n"/>
      <c r="CS506" s="204" t="n"/>
      <c r="CT506" s="204" t="n"/>
      <c r="CU506" s="204" t="n"/>
      <c r="CV506" s="204" t="n"/>
      <c r="CW506" s="204" t="n"/>
      <c r="CX506" s="190" t="n"/>
    </row>
    <row r="507">
      <c r="BF507" s="78" t="n"/>
      <c r="BG507" s="78" t="n"/>
      <c r="BH507" s="78" t="n"/>
      <c r="BI507" s="78" t="n"/>
      <c r="BJ507" s="139" t="n"/>
      <c r="BK507" s="204" t="n"/>
      <c r="BL507" s="141" t="n"/>
      <c r="BM507" s="205" t="n"/>
      <c r="BN507" s="205" t="n"/>
      <c r="BO507" s="206" t="n"/>
      <c r="BP507" s="144" t="n"/>
      <c r="BQ507" s="141" t="n"/>
      <c r="BR507" s="207" t="n"/>
      <c r="BS507" s="207" t="n"/>
      <c r="BT507" s="207" t="n"/>
      <c r="BU507" s="207" t="n"/>
      <c r="BV507" s="208" t="n"/>
      <c r="BW507" s="207" t="n"/>
      <c r="BX507" s="207" t="n"/>
      <c r="BY507" s="204" t="n"/>
      <c r="BZ507" s="148" t="n"/>
      <c r="CA507" s="204" t="n"/>
      <c r="CB507" s="208" t="n"/>
      <c r="CC507" s="139" t="n"/>
      <c r="CD507" s="204" t="n"/>
      <c r="CE507" s="204" t="n"/>
      <c r="CF507" s="207" t="n"/>
      <c r="CG507" s="208" t="n"/>
      <c r="CH507" s="207" t="n"/>
      <c r="CI507" s="208" t="n"/>
      <c r="CJ507" s="204" t="n"/>
      <c r="CK507" s="208" t="n"/>
      <c r="CL507" s="208" t="n"/>
      <c r="CM507" s="208" t="n"/>
      <c r="CN507" s="78" t="n"/>
      <c r="CO507" s="209" t="n"/>
      <c r="CP507" s="204" t="n"/>
      <c r="CQ507" s="204" t="n"/>
      <c r="CR507" s="204" t="n"/>
      <c r="CS507" s="204" t="n"/>
      <c r="CT507" s="204" t="n"/>
      <c r="CU507" s="204" t="n"/>
      <c r="CV507" s="204" t="n"/>
      <c r="CW507" s="204" t="n"/>
      <c r="CX507" s="190" t="n"/>
    </row>
    <row r="508">
      <c r="BF508" s="78" t="n"/>
      <c r="BG508" s="78" t="n"/>
      <c r="BH508" s="78" t="n"/>
      <c r="BI508" s="78" t="n"/>
      <c r="BJ508" s="139" t="n"/>
      <c r="BK508" s="204" t="n"/>
      <c r="BL508" s="141" t="n"/>
      <c r="BM508" s="205" t="n"/>
      <c r="BN508" s="205" t="n"/>
      <c r="BO508" s="206" t="n"/>
      <c r="BP508" s="144" t="n"/>
      <c r="BQ508" s="141" t="n"/>
      <c r="BR508" s="207" t="n"/>
      <c r="BS508" s="207" t="n"/>
      <c r="BT508" s="207" t="n"/>
      <c r="BU508" s="207" t="n"/>
      <c r="BV508" s="208" t="n"/>
      <c r="BW508" s="207" t="n"/>
      <c r="BX508" s="207" t="n"/>
      <c r="BY508" s="204" t="n"/>
      <c r="BZ508" s="148" t="n"/>
      <c r="CA508" s="204" t="n"/>
      <c r="CB508" s="208" t="n"/>
      <c r="CC508" s="139" t="n"/>
      <c r="CD508" s="204" t="n"/>
      <c r="CE508" s="204" t="n"/>
      <c r="CF508" s="207" t="n"/>
      <c r="CG508" s="208" t="n"/>
      <c r="CH508" s="207" t="n"/>
      <c r="CI508" s="208" t="n"/>
      <c r="CJ508" s="204" t="n"/>
      <c r="CK508" s="208" t="n"/>
      <c r="CL508" s="208" t="n"/>
      <c r="CM508" s="208" t="n"/>
      <c r="CN508" s="78" t="n"/>
      <c r="CO508" s="209" t="n"/>
      <c r="CP508" s="204" t="n"/>
      <c r="CQ508" s="204" t="n"/>
      <c r="CR508" s="204" t="n"/>
      <c r="CS508" s="204" t="n"/>
      <c r="CT508" s="204" t="n"/>
      <c r="CU508" s="204" t="n"/>
      <c r="CV508" s="204" t="n"/>
      <c r="CW508" s="204" t="n"/>
      <c r="CX508" s="190" t="n"/>
    </row>
    <row r="509">
      <c r="BF509" s="78" t="n"/>
      <c r="BG509" s="78" t="n"/>
      <c r="BH509" s="78" t="n"/>
      <c r="BI509" s="78" t="n"/>
      <c r="BJ509" s="139" t="n"/>
      <c r="BK509" s="204" t="n"/>
      <c r="BL509" s="141" t="n"/>
      <c r="BM509" s="205" t="n"/>
      <c r="BN509" s="205" t="n"/>
      <c r="BO509" s="206" t="n"/>
      <c r="BP509" s="144" t="n"/>
      <c r="BQ509" s="141" t="n"/>
      <c r="BR509" s="207" t="n"/>
      <c r="BS509" s="207" t="n"/>
      <c r="BT509" s="207" t="n"/>
      <c r="BU509" s="207" t="n"/>
      <c r="BV509" s="208" t="n"/>
      <c r="BW509" s="207" t="n"/>
      <c r="BX509" s="207" t="n"/>
      <c r="BY509" s="204" t="n"/>
      <c r="BZ509" s="148" t="n"/>
      <c r="CA509" s="204" t="n"/>
      <c r="CB509" s="208" t="n"/>
      <c r="CC509" s="139" t="n"/>
      <c r="CD509" s="204" t="n"/>
      <c r="CE509" s="204" t="n"/>
      <c r="CF509" s="207" t="n"/>
      <c r="CG509" s="208" t="n"/>
      <c r="CH509" s="207" t="n"/>
      <c r="CI509" s="208" t="n"/>
      <c r="CJ509" s="204" t="n"/>
      <c r="CK509" s="208" t="n"/>
      <c r="CL509" s="208" t="n"/>
      <c r="CM509" s="208" t="n"/>
      <c r="CN509" s="78" t="n"/>
      <c r="CO509" s="209" t="n"/>
      <c r="CP509" s="204" t="n"/>
      <c r="CQ509" s="204" t="n"/>
      <c r="CR509" s="204" t="n"/>
      <c r="CS509" s="204" t="n"/>
      <c r="CT509" s="204" t="n"/>
      <c r="CU509" s="204" t="n"/>
      <c r="CV509" s="204" t="n"/>
      <c r="CW509" s="204" t="n"/>
      <c r="CX509" s="190" t="n"/>
    </row>
    <row r="510">
      <c r="BF510" s="78" t="n"/>
      <c r="BG510" s="78" t="n"/>
      <c r="BH510" s="78" t="n"/>
      <c r="BI510" s="78" t="n"/>
      <c r="BJ510" s="139" t="n"/>
      <c r="BK510" s="204" t="n"/>
      <c r="BL510" s="141" t="n"/>
      <c r="BM510" s="205" t="n"/>
      <c r="BN510" s="205" t="n"/>
      <c r="BO510" s="206" t="n"/>
      <c r="BP510" s="144" t="n"/>
      <c r="BQ510" s="141" t="n"/>
      <c r="BR510" s="207" t="n"/>
      <c r="BS510" s="207" t="n"/>
      <c r="BT510" s="207" t="n"/>
      <c r="BU510" s="207" t="n"/>
      <c r="BV510" s="208" t="n"/>
      <c r="BW510" s="207" t="n"/>
      <c r="BX510" s="207" t="n"/>
      <c r="BY510" s="204" t="n"/>
      <c r="BZ510" s="148" t="n"/>
      <c r="CA510" s="204" t="n"/>
      <c r="CB510" s="208" t="n"/>
      <c r="CC510" s="139" t="n"/>
      <c r="CD510" s="204" t="n"/>
      <c r="CE510" s="204" t="n"/>
      <c r="CF510" s="207" t="n"/>
      <c r="CG510" s="208" t="n"/>
      <c r="CH510" s="207" t="n"/>
      <c r="CI510" s="208" t="n"/>
      <c r="CJ510" s="204" t="n"/>
      <c r="CK510" s="208" t="n"/>
      <c r="CL510" s="208" t="n"/>
      <c r="CM510" s="208" t="n"/>
      <c r="CN510" s="78" t="n"/>
      <c r="CO510" s="209" t="n"/>
      <c r="CP510" s="204" t="n"/>
      <c r="CQ510" s="204" t="n"/>
      <c r="CR510" s="204" t="n"/>
      <c r="CS510" s="204" t="n"/>
      <c r="CT510" s="204" t="n"/>
      <c r="CU510" s="204" t="n"/>
      <c r="CV510" s="204" t="n"/>
      <c r="CW510" s="204" t="n"/>
      <c r="CX510" s="190" t="n"/>
    </row>
    <row r="511">
      <c r="BF511" s="78" t="n"/>
      <c r="BG511" s="78" t="n"/>
      <c r="BH511" s="78" t="n"/>
      <c r="BI511" s="78" t="n"/>
      <c r="BJ511" s="139" t="n"/>
      <c r="BK511" s="204" t="n"/>
      <c r="BL511" s="141" t="n"/>
      <c r="BM511" s="205" t="n"/>
      <c r="BN511" s="205" t="n"/>
      <c r="BO511" s="206" t="n"/>
      <c r="BP511" s="144" t="n"/>
      <c r="BQ511" s="141" t="n"/>
      <c r="BR511" s="207" t="n"/>
      <c r="BS511" s="207" t="n"/>
      <c r="BT511" s="207" t="n"/>
      <c r="BU511" s="207" t="n"/>
      <c r="BV511" s="208" t="n"/>
      <c r="BW511" s="207" t="n"/>
      <c r="BX511" s="207" t="n"/>
      <c r="BY511" s="204" t="n"/>
      <c r="BZ511" s="148" t="n"/>
      <c r="CA511" s="204" t="n"/>
      <c r="CB511" s="208" t="n"/>
      <c r="CC511" s="139" t="n"/>
      <c r="CD511" s="204" t="n"/>
      <c r="CE511" s="204" t="n"/>
      <c r="CF511" s="207" t="n"/>
      <c r="CG511" s="208" t="n"/>
      <c r="CH511" s="207" t="n"/>
      <c r="CI511" s="208" t="n"/>
      <c r="CJ511" s="204" t="n"/>
      <c r="CK511" s="208" t="n"/>
      <c r="CL511" s="208" t="n"/>
      <c r="CM511" s="208" t="n"/>
      <c r="CN511" s="78" t="n"/>
      <c r="CO511" s="209" t="n"/>
      <c r="CP511" s="204" t="n"/>
      <c r="CQ511" s="204" t="n"/>
      <c r="CR511" s="204" t="n"/>
      <c r="CS511" s="204" t="n"/>
      <c r="CT511" s="204" t="n"/>
      <c r="CU511" s="204" t="n"/>
      <c r="CV511" s="204" t="n"/>
      <c r="CW511" s="204" t="n"/>
      <c r="CX511" s="190" t="n"/>
    </row>
    <row r="512">
      <c r="BF512" s="78" t="n"/>
      <c r="BG512" s="78" t="n"/>
      <c r="BH512" s="78" t="n"/>
      <c r="BI512" s="78" t="n"/>
      <c r="BJ512" s="139" t="n"/>
      <c r="BK512" s="204" t="n"/>
      <c r="BL512" s="141" t="n"/>
      <c r="BM512" s="205" t="n"/>
      <c r="BN512" s="205" t="n"/>
      <c r="BO512" s="206" t="n"/>
      <c r="BP512" s="144" t="n"/>
      <c r="BQ512" s="141" t="n"/>
      <c r="BR512" s="207" t="n"/>
      <c r="BS512" s="207" t="n"/>
      <c r="BT512" s="207" t="n"/>
      <c r="BU512" s="207" t="n"/>
      <c r="BV512" s="208" t="n"/>
      <c r="BW512" s="207" t="n"/>
      <c r="BX512" s="207" t="n"/>
      <c r="BY512" s="204" t="n"/>
      <c r="BZ512" s="148" t="n"/>
      <c r="CA512" s="204" t="n"/>
      <c r="CB512" s="208" t="n"/>
      <c r="CC512" s="139" t="n"/>
      <c r="CD512" s="204" t="n"/>
      <c r="CE512" s="204" t="n"/>
      <c r="CF512" s="207" t="n"/>
      <c r="CG512" s="208" t="n"/>
      <c r="CH512" s="207" t="n"/>
      <c r="CI512" s="208" t="n"/>
      <c r="CJ512" s="204" t="n"/>
      <c r="CK512" s="208" t="n"/>
      <c r="CL512" s="208" t="n"/>
      <c r="CM512" s="208" t="n"/>
      <c r="CN512" s="78" t="n"/>
      <c r="CO512" s="209" t="n"/>
      <c r="CP512" s="204" t="n"/>
      <c r="CQ512" s="204" t="n"/>
      <c r="CR512" s="204" t="n"/>
      <c r="CS512" s="204" t="n"/>
      <c r="CT512" s="204" t="n"/>
      <c r="CU512" s="204" t="n"/>
      <c r="CV512" s="204" t="n"/>
      <c r="CW512" s="204" t="n"/>
      <c r="CX512" s="190" t="n"/>
    </row>
    <row r="513">
      <c r="BF513" s="78" t="n"/>
      <c r="BG513" s="78" t="n"/>
      <c r="BH513" s="78" t="n"/>
      <c r="BI513" s="78" t="n"/>
      <c r="BJ513" s="139" t="n"/>
      <c r="BK513" s="204" t="n"/>
      <c r="BL513" s="141" t="n"/>
      <c r="BM513" s="205" t="n"/>
      <c r="BN513" s="205" t="n"/>
      <c r="BO513" s="206" t="n"/>
      <c r="BP513" s="144" t="n"/>
      <c r="BQ513" s="141" t="n"/>
      <c r="BR513" s="207" t="n"/>
      <c r="BS513" s="207" t="n"/>
      <c r="BT513" s="207" t="n"/>
      <c r="BU513" s="207" t="n"/>
      <c r="BV513" s="208" t="n"/>
      <c r="BW513" s="207" t="n"/>
      <c r="BX513" s="207" t="n"/>
      <c r="BY513" s="204" t="n"/>
      <c r="BZ513" s="148" t="n"/>
      <c r="CA513" s="204" t="n"/>
      <c r="CB513" s="208" t="n"/>
      <c r="CC513" s="139" t="n"/>
      <c r="CD513" s="204" t="n"/>
      <c r="CE513" s="204" t="n"/>
      <c r="CF513" s="207" t="n"/>
      <c r="CG513" s="208" t="n"/>
      <c r="CH513" s="207" t="n"/>
      <c r="CI513" s="208" t="n"/>
      <c r="CJ513" s="204" t="n"/>
      <c r="CK513" s="208" t="n"/>
      <c r="CL513" s="208" t="n"/>
      <c r="CM513" s="208" t="n"/>
      <c r="CN513" s="78" t="n"/>
      <c r="CO513" s="209" t="n"/>
      <c r="CP513" s="204" t="n"/>
      <c r="CQ513" s="204" t="n"/>
      <c r="CR513" s="204" t="n"/>
      <c r="CS513" s="204" t="n"/>
      <c r="CT513" s="204" t="n"/>
      <c r="CU513" s="204" t="n"/>
      <c r="CV513" s="204" t="n"/>
      <c r="CW513" s="204" t="n"/>
      <c r="CX513" s="190" t="n"/>
    </row>
    <row r="514">
      <c r="BF514" s="78" t="n"/>
      <c r="BG514" s="78" t="n"/>
      <c r="BH514" s="78" t="n"/>
      <c r="BI514" s="78" t="n"/>
      <c r="BJ514" s="139" t="n"/>
      <c r="BK514" s="204" t="n"/>
      <c r="BL514" s="141" t="n"/>
      <c r="BM514" s="205" t="n"/>
      <c r="BN514" s="205" t="n"/>
      <c r="BO514" s="206" t="n"/>
      <c r="BP514" s="144" t="n"/>
      <c r="BQ514" s="141" t="n"/>
      <c r="BR514" s="207" t="n"/>
      <c r="BS514" s="207" t="n"/>
      <c r="BT514" s="207" t="n"/>
      <c r="BU514" s="207" t="n"/>
      <c r="BV514" s="208" t="n"/>
      <c r="BW514" s="207" t="n"/>
      <c r="BX514" s="207" t="n"/>
      <c r="BY514" s="204" t="n"/>
      <c r="BZ514" s="148" t="n"/>
      <c r="CA514" s="204" t="n"/>
      <c r="CB514" s="208" t="n"/>
      <c r="CC514" s="139" t="n"/>
      <c r="CD514" s="204" t="n"/>
      <c r="CE514" s="204" t="n"/>
      <c r="CF514" s="207" t="n"/>
      <c r="CG514" s="208" t="n"/>
      <c r="CH514" s="207" t="n"/>
      <c r="CI514" s="208" t="n"/>
      <c r="CJ514" s="204" t="n"/>
      <c r="CK514" s="208" t="n"/>
      <c r="CL514" s="208" t="n"/>
      <c r="CM514" s="208" t="n"/>
      <c r="CN514" s="78" t="n"/>
      <c r="CO514" s="209" t="n"/>
      <c r="CP514" s="204" t="n"/>
      <c r="CQ514" s="204" t="n"/>
      <c r="CR514" s="204" t="n"/>
      <c r="CS514" s="204" t="n"/>
      <c r="CT514" s="204" t="n"/>
      <c r="CU514" s="204" t="n"/>
      <c r="CV514" s="204" t="n"/>
      <c r="CW514" s="204" t="n"/>
      <c r="CX514" s="190" t="n"/>
    </row>
    <row r="515">
      <c r="BF515" s="78" t="n"/>
      <c r="BG515" s="78" t="n"/>
      <c r="BH515" s="78" t="n"/>
      <c r="BI515" s="78" t="n"/>
      <c r="BJ515" s="139" t="n"/>
      <c r="BK515" s="204" t="n"/>
      <c r="BL515" s="141" t="n"/>
      <c r="BM515" s="205" t="n"/>
      <c r="BN515" s="205" t="n"/>
      <c r="BO515" s="206" t="n"/>
      <c r="BP515" s="144" t="n"/>
      <c r="BQ515" s="141" t="n"/>
      <c r="BR515" s="207" t="n"/>
      <c r="BS515" s="207" t="n"/>
      <c r="BT515" s="207" t="n"/>
      <c r="BU515" s="207" t="n"/>
      <c r="BV515" s="208" t="n"/>
      <c r="BW515" s="207" t="n"/>
      <c r="BX515" s="207" t="n"/>
      <c r="BY515" s="204" t="n"/>
      <c r="BZ515" s="148" t="n"/>
      <c r="CA515" s="204" t="n"/>
      <c r="CB515" s="208" t="n"/>
      <c r="CC515" s="139" t="n"/>
      <c r="CD515" s="204" t="n"/>
      <c r="CE515" s="204" t="n"/>
      <c r="CF515" s="207" t="n"/>
      <c r="CG515" s="208" t="n"/>
      <c r="CH515" s="207" t="n"/>
      <c r="CI515" s="208" t="n"/>
      <c r="CJ515" s="204" t="n"/>
      <c r="CK515" s="208" t="n"/>
      <c r="CL515" s="208" t="n"/>
      <c r="CM515" s="208" t="n"/>
      <c r="CN515" s="78" t="n"/>
      <c r="CO515" s="209" t="n"/>
      <c r="CP515" s="204" t="n"/>
      <c r="CQ515" s="204" t="n"/>
      <c r="CR515" s="204" t="n"/>
      <c r="CS515" s="204" t="n"/>
      <c r="CT515" s="204" t="n"/>
      <c r="CU515" s="204" t="n"/>
      <c r="CV515" s="204" t="n"/>
      <c r="CW515" s="204" t="n"/>
      <c r="CX515" s="190" t="n"/>
    </row>
    <row r="516">
      <c r="BF516" s="78" t="n"/>
      <c r="BG516" s="78" t="n"/>
      <c r="BH516" s="78" t="n"/>
      <c r="BI516" s="78" t="n"/>
      <c r="BJ516" s="139" t="n"/>
      <c r="BK516" s="204" t="n"/>
      <c r="BL516" s="141" t="n"/>
      <c r="BM516" s="205" t="n"/>
      <c r="BN516" s="205" t="n"/>
      <c r="BO516" s="206" t="n"/>
      <c r="BP516" s="144" t="n"/>
      <c r="BQ516" s="141" t="n"/>
      <c r="BR516" s="207" t="n"/>
      <c r="BS516" s="207" t="n"/>
      <c r="BT516" s="207" t="n"/>
      <c r="BU516" s="207" t="n"/>
      <c r="BV516" s="208" t="n"/>
      <c r="BW516" s="207" t="n"/>
      <c r="BX516" s="207" t="n"/>
      <c r="BY516" s="204" t="n"/>
      <c r="BZ516" s="148" t="n"/>
      <c r="CA516" s="204" t="n"/>
      <c r="CB516" s="208" t="n"/>
      <c r="CC516" s="139" t="n"/>
      <c r="CD516" s="204" t="n"/>
      <c r="CE516" s="204" t="n"/>
      <c r="CF516" s="207" t="n"/>
      <c r="CG516" s="208" t="n"/>
      <c r="CH516" s="207" t="n"/>
      <c r="CI516" s="208" t="n"/>
      <c r="CJ516" s="204" t="n"/>
      <c r="CK516" s="208" t="n"/>
      <c r="CL516" s="208" t="n"/>
      <c r="CM516" s="208" t="n"/>
      <c r="CN516" s="78" t="n"/>
      <c r="CO516" s="209" t="n"/>
      <c r="CP516" s="204" t="n"/>
      <c r="CQ516" s="204" t="n"/>
      <c r="CR516" s="204" t="n"/>
      <c r="CS516" s="204" t="n"/>
      <c r="CT516" s="204" t="n"/>
      <c r="CU516" s="204" t="n"/>
      <c r="CV516" s="204" t="n"/>
      <c r="CW516" s="204" t="n"/>
      <c r="CX516" s="190" t="n"/>
    </row>
    <row r="517">
      <c r="BF517" s="78" t="n"/>
      <c r="BG517" s="78" t="n"/>
      <c r="BH517" s="78" t="n"/>
      <c r="BI517" s="78" t="n"/>
      <c r="BJ517" s="139" t="n"/>
      <c r="BK517" s="204" t="n"/>
      <c r="BL517" s="141" t="n"/>
      <c r="BM517" s="205" t="n"/>
      <c r="BN517" s="205" t="n"/>
      <c r="BO517" s="206" t="n"/>
      <c r="BP517" s="144" t="n"/>
      <c r="BQ517" s="141" t="n"/>
      <c r="BR517" s="207" t="n"/>
      <c r="BS517" s="207" t="n"/>
      <c r="BT517" s="207" t="n"/>
      <c r="BU517" s="207" t="n"/>
      <c r="BV517" s="208" t="n"/>
      <c r="BW517" s="207" t="n"/>
      <c r="BX517" s="207" t="n"/>
      <c r="BY517" s="204" t="n"/>
      <c r="BZ517" s="148" t="n"/>
      <c r="CA517" s="204" t="n"/>
      <c r="CB517" s="208" t="n"/>
      <c r="CC517" s="139" t="n"/>
      <c r="CD517" s="204" t="n"/>
      <c r="CE517" s="204" t="n"/>
      <c r="CF517" s="207" t="n"/>
      <c r="CG517" s="208" t="n"/>
      <c r="CH517" s="207" t="n"/>
      <c r="CI517" s="208" t="n"/>
      <c r="CJ517" s="204" t="n"/>
      <c r="CK517" s="208" t="n"/>
      <c r="CL517" s="208" t="n"/>
      <c r="CM517" s="208" t="n"/>
      <c r="CN517" s="78" t="n"/>
      <c r="CO517" s="209" t="n"/>
      <c r="CP517" s="204" t="n"/>
      <c r="CQ517" s="204" t="n"/>
      <c r="CR517" s="204" t="n"/>
      <c r="CS517" s="204" t="n"/>
      <c r="CT517" s="204" t="n"/>
      <c r="CU517" s="204" t="n"/>
      <c r="CV517" s="204" t="n"/>
      <c r="CW517" s="204" t="n"/>
      <c r="CX517" s="190" t="n"/>
    </row>
    <row r="518">
      <c r="BF518" s="78" t="n"/>
      <c r="BG518" s="78" t="n"/>
      <c r="BH518" s="78" t="n"/>
      <c r="BI518" s="78" t="n"/>
      <c r="BJ518" s="139" t="n"/>
      <c r="BK518" s="204" t="n"/>
      <c r="BL518" s="141" t="n"/>
      <c r="BM518" s="205" t="n"/>
      <c r="BN518" s="205" t="n"/>
      <c r="BO518" s="206" t="n"/>
      <c r="BP518" s="144" t="n"/>
      <c r="BQ518" s="141" t="n"/>
      <c r="BR518" s="207" t="n"/>
      <c r="BS518" s="207" t="n"/>
      <c r="BT518" s="207" t="n"/>
      <c r="BU518" s="207" t="n"/>
      <c r="BV518" s="208" t="n"/>
      <c r="BW518" s="207" t="n"/>
      <c r="BX518" s="207" t="n"/>
      <c r="BY518" s="204" t="n"/>
      <c r="BZ518" s="148" t="n"/>
      <c r="CA518" s="204" t="n"/>
      <c r="CB518" s="208" t="n"/>
      <c r="CC518" s="139" t="n"/>
      <c r="CD518" s="204" t="n"/>
      <c r="CE518" s="204" t="n"/>
      <c r="CF518" s="207" t="n"/>
      <c r="CG518" s="208" t="n"/>
      <c r="CH518" s="207" t="n"/>
      <c r="CI518" s="208" t="n"/>
      <c r="CJ518" s="204" t="n"/>
      <c r="CK518" s="208" t="n"/>
      <c r="CL518" s="208" t="n"/>
      <c r="CM518" s="208" t="n"/>
      <c r="CN518" s="78" t="n"/>
      <c r="CO518" s="209" t="n"/>
      <c r="CP518" s="204" t="n"/>
      <c r="CQ518" s="204" t="n"/>
      <c r="CR518" s="204" t="n"/>
      <c r="CS518" s="204" t="n"/>
      <c r="CT518" s="204" t="n"/>
      <c r="CU518" s="204" t="n"/>
      <c r="CV518" s="204" t="n"/>
      <c r="CW518" s="204" t="n"/>
      <c r="CX518" s="190" t="n"/>
    </row>
    <row r="519">
      <c r="BF519" s="78" t="n"/>
      <c r="BG519" s="78" t="n"/>
      <c r="BH519" s="78" t="n"/>
      <c r="BI519" s="78" t="n"/>
      <c r="BJ519" s="139" t="n"/>
      <c r="BK519" s="204" t="n"/>
      <c r="BL519" s="141" t="n"/>
      <c r="BM519" s="205" t="n"/>
      <c r="BN519" s="205" t="n"/>
      <c r="BO519" s="206" t="n"/>
      <c r="BP519" s="144" t="n"/>
      <c r="BQ519" s="141" t="n"/>
      <c r="BR519" s="207" t="n"/>
      <c r="BS519" s="207" t="n"/>
      <c r="BT519" s="207" t="n"/>
      <c r="BU519" s="207" t="n"/>
      <c r="BV519" s="208" t="n"/>
      <c r="BW519" s="207" t="n"/>
      <c r="BX519" s="207" t="n"/>
      <c r="BY519" s="204" t="n"/>
      <c r="BZ519" s="148" t="n"/>
      <c r="CA519" s="204" t="n"/>
      <c r="CB519" s="208" t="n"/>
      <c r="CC519" s="139" t="n"/>
      <c r="CD519" s="204" t="n"/>
      <c r="CE519" s="204" t="n"/>
      <c r="CF519" s="207" t="n"/>
      <c r="CG519" s="208" t="n"/>
      <c r="CH519" s="207" t="n"/>
      <c r="CI519" s="208" t="n"/>
      <c r="CJ519" s="204" t="n"/>
      <c r="CK519" s="208" t="n"/>
      <c r="CL519" s="208" t="n"/>
      <c r="CM519" s="208" t="n"/>
      <c r="CN519" s="78" t="n"/>
      <c r="CO519" s="209" t="n"/>
      <c r="CP519" s="204" t="n"/>
      <c r="CQ519" s="204" t="n"/>
      <c r="CR519" s="204" t="n"/>
      <c r="CS519" s="204" t="n"/>
      <c r="CT519" s="204" t="n"/>
      <c r="CU519" s="204" t="n"/>
      <c r="CV519" s="204" t="n"/>
      <c r="CW519" s="204" t="n"/>
      <c r="CX519" s="190" t="n"/>
    </row>
    <row r="520">
      <c r="BF520" s="78" t="n"/>
      <c r="BG520" s="78" t="n"/>
      <c r="BH520" s="78" t="n"/>
      <c r="BI520" s="78" t="n"/>
      <c r="BJ520" s="139" t="n"/>
      <c r="BK520" s="204" t="n"/>
      <c r="BL520" s="141" t="n"/>
      <c r="BM520" s="205" t="n"/>
      <c r="BN520" s="205" t="n"/>
      <c r="BO520" s="206" t="n"/>
      <c r="BP520" s="144" t="n"/>
      <c r="BQ520" s="141" t="n"/>
      <c r="BR520" s="207" t="n"/>
      <c r="BS520" s="207" t="n"/>
      <c r="BT520" s="207" t="n"/>
      <c r="BU520" s="207" t="n"/>
      <c r="BV520" s="208" t="n"/>
      <c r="BW520" s="207" t="n"/>
      <c r="BX520" s="207" t="n"/>
      <c r="BY520" s="204" t="n"/>
      <c r="BZ520" s="148" t="n"/>
      <c r="CA520" s="204" t="n"/>
      <c r="CB520" s="208" t="n"/>
      <c r="CC520" s="139" t="n"/>
      <c r="CD520" s="204" t="n"/>
      <c r="CE520" s="204" t="n"/>
      <c r="CF520" s="207" t="n"/>
      <c r="CG520" s="208" t="n"/>
      <c r="CH520" s="207" t="n"/>
      <c r="CI520" s="208" t="n"/>
      <c r="CJ520" s="204" t="n"/>
      <c r="CK520" s="208" t="n"/>
      <c r="CL520" s="208" t="n"/>
      <c r="CM520" s="208" t="n"/>
      <c r="CN520" s="78" t="n"/>
      <c r="CO520" s="209" t="n"/>
      <c r="CP520" s="204" t="n"/>
      <c r="CQ520" s="204" t="n"/>
      <c r="CR520" s="204" t="n"/>
      <c r="CS520" s="204" t="n"/>
      <c r="CT520" s="204" t="n"/>
      <c r="CU520" s="204" t="n"/>
      <c r="CV520" s="204" t="n"/>
      <c r="CW520" s="204" t="n"/>
      <c r="CX520" s="190" t="n"/>
    </row>
    <row r="521">
      <c r="BF521" s="78" t="n"/>
      <c r="BG521" s="78" t="n"/>
      <c r="BH521" s="78" t="n"/>
      <c r="BI521" s="78" t="n"/>
      <c r="BJ521" s="139" t="n"/>
      <c r="BK521" s="204" t="n"/>
      <c r="BL521" s="141" t="n"/>
      <c r="BM521" s="205" t="n"/>
      <c r="BN521" s="205" t="n"/>
      <c r="BO521" s="206" t="n"/>
      <c r="BP521" s="144" t="n"/>
      <c r="BQ521" s="141" t="n"/>
      <c r="BR521" s="207" t="n"/>
      <c r="BS521" s="207" t="n"/>
      <c r="BT521" s="207" t="n"/>
      <c r="BU521" s="207" t="n"/>
      <c r="BV521" s="208" t="n"/>
      <c r="BW521" s="207" t="n"/>
      <c r="BX521" s="207" t="n"/>
      <c r="BY521" s="204" t="n"/>
      <c r="BZ521" s="148" t="n"/>
      <c r="CA521" s="204" t="n"/>
      <c r="CB521" s="208" t="n"/>
      <c r="CC521" s="139" t="n"/>
      <c r="CD521" s="204" t="n"/>
      <c r="CE521" s="204" t="n"/>
      <c r="CF521" s="207" t="n"/>
      <c r="CG521" s="208" t="n"/>
      <c r="CH521" s="207" t="n"/>
      <c r="CI521" s="208" t="n"/>
      <c r="CJ521" s="204" t="n"/>
      <c r="CK521" s="208" t="n"/>
      <c r="CL521" s="208" t="n"/>
      <c r="CM521" s="208" t="n"/>
      <c r="CN521" s="78" t="n"/>
      <c r="CO521" s="209" t="n"/>
      <c r="CP521" s="204" t="n"/>
      <c r="CQ521" s="204" t="n"/>
      <c r="CR521" s="204" t="n"/>
      <c r="CS521" s="204" t="n"/>
      <c r="CT521" s="204" t="n"/>
      <c r="CU521" s="204" t="n"/>
      <c r="CV521" s="204" t="n"/>
      <c r="CW521" s="204" t="n"/>
      <c r="CX521" s="190" t="n"/>
    </row>
    <row r="522">
      <c r="BF522" s="78" t="n"/>
      <c r="BG522" s="78" t="n"/>
      <c r="BH522" s="78" t="n"/>
      <c r="BI522" s="78" t="n"/>
      <c r="BJ522" s="139" t="n"/>
      <c r="BK522" s="204" t="n"/>
      <c r="BL522" s="141" t="n"/>
      <c r="BM522" s="205" t="n"/>
      <c r="BN522" s="205" t="n"/>
      <c r="BO522" s="206" t="n"/>
      <c r="BP522" s="144" t="n"/>
      <c r="BQ522" s="141" t="n"/>
      <c r="BR522" s="207" t="n"/>
      <c r="BS522" s="207" t="n"/>
      <c r="BT522" s="207" t="n"/>
      <c r="BU522" s="207" t="n"/>
      <c r="BV522" s="208" t="n"/>
      <c r="BW522" s="207" t="n"/>
      <c r="BX522" s="207" t="n"/>
      <c r="BY522" s="204" t="n"/>
      <c r="BZ522" s="148" t="n"/>
      <c r="CA522" s="204" t="n"/>
      <c r="CB522" s="208" t="n"/>
      <c r="CC522" s="139" t="n"/>
      <c r="CD522" s="204" t="n"/>
      <c r="CE522" s="204" t="n"/>
      <c r="CF522" s="207" t="n"/>
      <c r="CG522" s="208" t="n"/>
      <c r="CH522" s="207" t="n"/>
      <c r="CI522" s="208" t="n"/>
      <c r="CJ522" s="204" t="n"/>
      <c r="CK522" s="208" t="n"/>
      <c r="CL522" s="208" t="n"/>
      <c r="CM522" s="208" t="n"/>
      <c r="CN522" s="78" t="n"/>
      <c r="CO522" s="209" t="n"/>
      <c r="CP522" s="204" t="n"/>
      <c r="CQ522" s="204" t="n"/>
      <c r="CR522" s="204" t="n"/>
      <c r="CS522" s="204" t="n"/>
      <c r="CT522" s="204" t="n"/>
      <c r="CU522" s="204" t="n"/>
      <c r="CV522" s="204" t="n"/>
      <c r="CW522" s="204" t="n"/>
      <c r="CX522" s="190" t="n"/>
    </row>
    <row r="523">
      <c r="BF523" s="78" t="n"/>
      <c r="BG523" s="78" t="n"/>
      <c r="BH523" s="78" t="n"/>
      <c r="BI523" s="78" t="n"/>
      <c r="BJ523" s="139" t="n"/>
      <c r="BK523" s="204" t="n"/>
      <c r="BL523" s="141" t="n"/>
      <c r="BM523" s="205" t="n"/>
      <c r="BN523" s="205" t="n"/>
      <c r="BO523" s="206" t="n"/>
      <c r="BP523" s="144" t="n"/>
      <c r="BQ523" s="141" t="n"/>
      <c r="BR523" s="207" t="n"/>
      <c r="BS523" s="207" t="n"/>
      <c r="BT523" s="207" t="n"/>
      <c r="BU523" s="207" t="n"/>
      <c r="BV523" s="208" t="n"/>
      <c r="BW523" s="207" t="n"/>
      <c r="BX523" s="207" t="n"/>
      <c r="BY523" s="204" t="n"/>
      <c r="BZ523" s="148" t="n"/>
      <c r="CA523" s="204" t="n"/>
      <c r="CB523" s="208" t="n"/>
      <c r="CC523" s="139" t="n"/>
      <c r="CD523" s="204" t="n"/>
      <c r="CE523" s="204" t="n"/>
      <c r="CF523" s="207" t="n"/>
      <c r="CG523" s="208" t="n"/>
      <c r="CH523" s="207" t="n"/>
      <c r="CI523" s="208" t="n"/>
      <c r="CJ523" s="204" t="n"/>
      <c r="CK523" s="208" t="n"/>
      <c r="CL523" s="208" t="n"/>
      <c r="CM523" s="208" t="n"/>
      <c r="CN523" s="78" t="n"/>
      <c r="CO523" s="209" t="n"/>
      <c r="CP523" s="204" t="n"/>
      <c r="CQ523" s="204" t="n"/>
      <c r="CR523" s="204" t="n"/>
      <c r="CS523" s="204" t="n"/>
      <c r="CT523" s="204" t="n"/>
      <c r="CU523" s="204" t="n"/>
      <c r="CV523" s="204" t="n"/>
      <c r="CW523" s="204" t="n"/>
      <c r="CX523" s="190" t="n"/>
    </row>
    <row r="524">
      <c r="BF524" s="78" t="n"/>
      <c r="BG524" s="78" t="n"/>
      <c r="BH524" s="78" t="n"/>
      <c r="BI524" s="78" t="n"/>
      <c r="BJ524" s="139" t="n"/>
      <c r="BK524" s="204" t="n"/>
      <c r="BL524" s="141" t="n"/>
      <c r="BM524" s="205" t="n"/>
      <c r="BN524" s="205" t="n"/>
      <c r="BO524" s="206" t="n"/>
      <c r="BP524" s="144" t="n"/>
      <c r="BQ524" s="141" t="n"/>
      <c r="BR524" s="207" t="n"/>
      <c r="BS524" s="207" t="n"/>
      <c r="BT524" s="207" t="n"/>
      <c r="BU524" s="207" t="n"/>
      <c r="BV524" s="208" t="n"/>
      <c r="BW524" s="207" t="n"/>
      <c r="BX524" s="207" t="n"/>
      <c r="BY524" s="204" t="n"/>
      <c r="BZ524" s="148" t="n"/>
      <c r="CA524" s="204" t="n"/>
      <c r="CB524" s="208" t="n"/>
      <c r="CC524" s="139" t="n"/>
      <c r="CD524" s="204" t="n"/>
      <c r="CE524" s="204" t="n"/>
      <c r="CF524" s="207" t="n"/>
      <c r="CG524" s="208" t="n"/>
      <c r="CH524" s="207" t="n"/>
      <c r="CI524" s="208" t="n"/>
      <c r="CJ524" s="204" t="n"/>
      <c r="CK524" s="208" t="n"/>
      <c r="CL524" s="208" t="n"/>
      <c r="CM524" s="208" t="n"/>
      <c r="CN524" s="78" t="n"/>
      <c r="CO524" s="209" t="n"/>
      <c r="CP524" s="204" t="n"/>
      <c r="CQ524" s="204" t="n"/>
      <c r="CR524" s="204" t="n"/>
      <c r="CS524" s="204" t="n"/>
      <c r="CT524" s="204" t="n"/>
      <c r="CU524" s="204" t="n"/>
      <c r="CV524" s="204" t="n"/>
      <c r="CW524" s="204" t="n"/>
      <c r="CX524" s="190" t="n"/>
    </row>
    <row r="525">
      <c r="BF525" s="78" t="n"/>
      <c r="BG525" s="78" t="n"/>
      <c r="BH525" s="78" t="n"/>
      <c r="BI525" s="78" t="n"/>
      <c r="BJ525" s="139" t="n"/>
      <c r="BK525" s="204" t="n"/>
      <c r="BL525" s="141" t="n"/>
      <c r="BM525" s="205" t="n"/>
      <c r="BN525" s="205" t="n"/>
      <c r="BO525" s="206" t="n"/>
      <c r="BP525" s="144" t="n"/>
      <c r="BQ525" s="141" t="n"/>
      <c r="BR525" s="207" t="n"/>
      <c r="BS525" s="207" t="n"/>
      <c r="BT525" s="207" t="n"/>
      <c r="BU525" s="207" t="n"/>
      <c r="BV525" s="208" t="n"/>
      <c r="BW525" s="207" t="n"/>
      <c r="BX525" s="207" t="n"/>
      <c r="BY525" s="204" t="n"/>
      <c r="BZ525" s="148" t="n"/>
      <c r="CA525" s="204" t="n"/>
      <c r="CB525" s="208" t="n"/>
      <c r="CC525" s="139" t="n"/>
      <c r="CD525" s="204" t="n"/>
      <c r="CE525" s="204" t="n"/>
      <c r="CF525" s="207" t="n"/>
      <c r="CG525" s="208" t="n"/>
      <c r="CH525" s="207" t="n"/>
      <c r="CI525" s="208" t="n"/>
      <c r="CJ525" s="204" t="n"/>
      <c r="CK525" s="208" t="n"/>
      <c r="CL525" s="208" t="n"/>
      <c r="CM525" s="208" t="n"/>
      <c r="CN525" s="78" t="n"/>
      <c r="CO525" s="209" t="n"/>
      <c r="CP525" s="204" t="n"/>
      <c r="CQ525" s="204" t="n"/>
      <c r="CR525" s="204" t="n"/>
      <c r="CS525" s="204" t="n"/>
      <c r="CT525" s="204" t="n"/>
      <c r="CU525" s="204" t="n"/>
      <c r="CV525" s="204" t="n"/>
      <c r="CW525" s="204" t="n"/>
      <c r="CX525" s="190" t="n"/>
    </row>
    <row r="526">
      <c r="BF526" s="78" t="n"/>
      <c r="BG526" s="78" t="n"/>
      <c r="BH526" s="78" t="n"/>
      <c r="BI526" s="78" t="n"/>
      <c r="BJ526" s="139" t="n"/>
      <c r="BK526" s="204" t="n"/>
      <c r="BL526" s="141" t="n"/>
      <c r="BM526" s="205" t="n"/>
      <c r="BN526" s="205" t="n"/>
      <c r="BO526" s="206" t="n"/>
      <c r="BP526" s="144" t="n"/>
      <c r="BQ526" s="141" t="n"/>
      <c r="BR526" s="207" t="n"/>
      <c r="BS526" s="207" t="n"/>
      <c r="BT526" s="207" t="n"/>
      <c r="BU526" s="207" t="n"/>
      <c r="BV526" s="208" t="n"/>
      <c r="BW526" s="207" t="n"/>
      <c r="BX526" s="207" t="n"/>
      <c r="BY526" s="204" t="n"/>
      <c r="BZ526" s="148" t="n"/>
      <c r="CA526" s="204" t="n"/>
      <c r="CB526" s="208" t="n"/>
      <c r="CC526" s="139" t="n"/>
      <c r="CD526" s="204" t="n"/>
      <c r="CE526" s="204" t="n"/>
      <c r="CF526" s="207" t="n"/>
      <c r="CG526" s="208" t="n"/>
      <c r="CH526" s="207" t="n"/>
      <c r="CI526" s="208" t="n"/>
      <c r="CJ526" s="204" t="n"/>
      <c r="CK526" s="208" t="n"/>
      <c r="CL526" s="208" t="n"/>
      <c r="CM526" s="208" t="n"/>
      <c r="CN526" s="78" t="n"/>
      <c r="CO526" s="209" t="n"/>
      <c r="CP526" s="204" t="n"/>
      <c r="CQ526" s="204" t="n"/>
      <c r="CR526" s="204" t="n"/>
      <c r="CS526" s="204" t="n"/>
      <c r="CT526" s="204" t="n"/>
      <c r="CU526" s="204" t="n"/>
      <c r="CV526" s="204" t="n"/>
      <c r="CW526" s="204" t="n"/>
      <c r="CX526" s="190" t="n"/>
    </row>
    <row r="527">
      <c r="BF527" s="78" t="n"/>
      <c r="BG527" s="78" t="n"/>
      <c r="BH527" s="78" t="n"/>
      <c r="BI527" s="78" t="n"/>
      <c r="BJ527" s="139" t="n"/>
      <c r="BK527" s="204" t="n"/>
      <c r="BL527" s="141" t="n"/>
      <c r="BM527" s="205" t="n"/>
      <c r="BN527" s="205" t="n"/>
      <c r="BO527" s="206" t="n"/>
      <c r="BP527" s="144" t="n"/>
      <c r="BQ527" s="141" t="n"/>
      <c r="BR527" s="207" t="n"/>
      <c r="BS527" s="207" t="n"/>
      <c r="BT527" s="207" t="n"/>
      <c r="BU527" s="207" t="n"/>
      <c r="BV527" s="208" t="n"/>
      <c r="BW527" s="207" t="n"/>
      <c r="BX527" s="207" t="n"/>
      <c r="BY527" s="204" t="n"/>
      <c r="BZ527" s="148" t="n"/>
      <c r="CA527" s="204" t="n"/>
      <c r="CB527" s="208" t="n"/>
      <c r="CC527" s="139" t="n"/>
      <c r="CD527" s="204" t="n"/>
      <c r="CE527" s="204" t="n"/>
      <c r="CF527" s="207" t="n"/>
      <c r="CG527" s="208" t="n"/>
      <c r="CH527" s="207" t="n"/>
      <c r="CI527" s="208" t="n"/>
      <c r="CJ527" s="204" t="n"/>
      <c r="CK527" s="208" t="n"/>
      <c r="CL527" s="208" t="n"/>
      <c r="CM527" s="208" t="n"/>
      <c r="CN527" s="78" t="n"/>
      <c r="CO527" s="209" t="n"/>
      <c r="CP527" s="204" t="n"/>
      <c r="CQ527" s="204" t="n"/>
      <c r="CR527" s="204" t="n"/>
      <c r="CS527" s="204" t="n"/>
      <c r="CT527" s="204" t="n"/>
      <c r="CU527" s="204" t="n"/>
      <c r="CV527" s="204" t="n"/>
      <c r="CW527" s="204" t="n"/>
      <c r="CX527" s="190" t="n"/>
    </row>
    <row r="528">
      <c r="BF528" s="78" t="n"/>
      <c r="BG528" s="78" t="n"/>
      <c r="BH528" s="78" t="n"/>
      <c r="BI528" s="78" t="n"/>
      <c r="BJ528" s="139" t="n"/>
      <c r="BK528" s="204" t="n"/>
      <c r="BL528" s="141" t="n"/>
      <c r="BM528" s="205" t="n"/>
      <c r="BN528" s="205" t="n"/>
      <c r="BO528" s="206" t="n"/>
      <c r="BP528" s="144" t="n"/>
      <c r="BQ528" s="141" t="n"/>
      <c r="BR528" s="207" t="n"/>
      <c r="BS528" s="207" t="n"/>
      <c r="BT528" s="207" t="n"/>
      <c r="BU528" s="207" t="n"/>
      <c r="BV528" s="208" t="n"/>
      <c r="BW528" s="207" t="n"/>
      <c r="BX528" s="207" t="n"/>
      <c r="BY528" s="204" t="n"/>
      <c r="BZ528" s="148" t="n"/>
      <c r="CA528" s="204" t="n"/>
      <c r="CB528" s="208" t="n"/>
      <c r="CC528" s="139" t="n"/>
      <c r="CD528" s="204" t="n"/>
      <c r="CE528" s="204" t="n"/>
      <c r="CF528" s="207" t="n"/>
      <c r="CG528" s="208" t="n"/>
      <c r="CH528" s="207" t="n"/>
      <c r="CI528" s="208" t="n"/>
      <c r="CJ528" s="204" t="n"/>
      <c r="CK528" s="208" t="n"/>
      <c r="CL528" s="208" t="n"/>
      <c r="CM528" s="208" t="n"/>
      <c r="CN528" s="78" t="n"/>
      <c r="CO528" s="209" t="n"/>
      <c r="CP528" s="204" t="n"/>
      <c r="CQ528" s="204" t="n"/>
      <c r="CR528" s="204" t="n"/>
      <c r="CS528" s="204" t="n"/>
      <c r="CT528" s="204" t="n"/>
      <c r="CU528" s="204" t="n"/>
      <c r="CV528" s="204" t="n"/>
      <c r="CW528" s="204" t="n"/>
      <c r="CX528" s="190" t="n"/>
    </row>
    <row r="529">
      <c r="BF529" s="78" t="n"/>
      <c r="BG529" s="78" t="n"/>
      <c r="BH529" s="78" t="n"/>
      <c r="BI529" s="78" t="n"/>
      <c r="BJ529" s="139" t="n"/>
      <c r="BK529" s="204" t="n"/>
      <c r="BL529" s="141" t="n"/>
      <c r="BM529" s="205" t="n"/>
      <c r="BN529" s="205" t="n"/>
      <c r="BO529" s="206" t="n"/>
      <c r="BP529" s="144" t="n"/>
      <c r="BQ529" s="141" t="n"/>
      <c r="BR529" s="207" t="n"/>
      <c r="BS529" s="207" t="n"/>
      <c r="BT529" s="207" t="n"/>
      <c r="BU529" s="207" t="n"/>
      <c r="BV529" s="208" t="n"/>
      <c r="BW529" s="207" t="n"/>
      <c r="BX529" s="207" t="n"/>
      <c r="BY529" s="204" t="n"/>
      <c r="BZ529" s="148" t="n"/>
      <c r="CA529" s="204" t="n"/>
      <c r="CB529" s="208" t="n"/>
      <c r="CC529" s="139" t="n"/>
      <c r="CD529" s="204" t="n"/>
      <c r="CE529" s="204" t="n"/>
      <c r="CF529" s="207" t="n"/>
      <c r="CG529" s="208" t="n"/>
      <c r="CH529" s="207" t="n"/>
      <c r="CI529" s="208" t="n"/>
      <c r="CJ529" s="204" t="n"/>
      <c r="CK529" s="208" t="n"/>
      <c r="CL529" s="208" t="n"/>
      <c r="CM529" s="208" t="n"/>
      <c r="CN529" s="78" t="n"/>
      <c r="CO529" s="209" t="n"/>
      <c r="CP529" s="204" t="n"/>
      <c r="CQ529" s="204" t="n"/>
      <c r="CR529" s="204" t="n"/>
      <c r="CS529" s="204" t="n"/>
      <c r="CT529" s="204" t="n"/>
      <c r="CU529" s="204" t="n"/>
      <c r="CV529" s="204" t="n"/>
      <c r="CW529" s="204" t="n"/>
      <c r="CX529" s="190" t="n"/>
    </row>
    <row r="530">
      <c r="BF530" s="78" t="n"/>
      <c r="BG530" s="78" t="n"/>
      <c r="BH530" s="78" t="n"/>
      <c r="BI530" s="78" t="n"/>
      <c r="BJ530" s="139" t="n"/>
      <c r="BK530" s="204" t="n"/>
      <c r="BL530" s="141" t="n"/>
      <c r="BM530" s="205" t="n"/>
      <c r="BN530" s="205" t="n"/>
      <c r="BO530" s="206" t="n"/>
      <c r="BP530" s="144" t="n"/>
      <c r="BQ530" s="141" t="n"/>
      <c r="BR530" s="207" t="n"/>
      <c r="BS530" s="207" t="n"/>
      <c r="BT530" s="207" t="n"/>
      <c r="BU530" s="207" t="n"/>
      <c r="BV530" s="208" t="n"/>
      <c r="BW530" s="207" t="n"/>
      <c r="BX530" s="207" t="n"/>
      <c r="BY530" s="204" t="n"/>
      <c r="BZ530" s="148" t="n"/>
      <c r="CA530" s="204" t="n"/>
      <c r="CB530" s="208" t="n"/>
      <c r="CC530" s="139" t="n"/>
      <c r="CD530" s="204" t="n"/>
      <c r="CE530" s="204" t="n"/>
      <c r="CF530" s="207" t="n"/>
      <c r="CG530" s="208" t="n"/>
      <c r="CH530" s="207" t="n"/>
      <c r="CI530" s="208" t="n"/>
      <c r="CJ530" s="204" t="n"/>
      <c r="CK530" s="208" t="n"/>
      <c r="CL530" s="208" t="n"/>
      <c r="CM530" s="208" t="n"/>
      <c r="CN530" s="78" t="n"/>
      <c r="CO530" s="209" t="n"/>
      <c r="CP530" s="204" t="n"/>
      <c r="CQ530" s="204" t="n"/>
      <c r="CR530" s="204" t="n"/>
      <c r="CS530" s="204" t="n"/>
      <c r="CT530" s="204" t="n"/>
      <c r="CU530" s="204" t="n"/>
      <c r="CV530" s="204" t="n"/>
      <c r="CW530" s="204" t="n"/>
      <c r="CX530" s="190" t="n"/>
    </row>
    <row r="531">
      <c r="BF531" s="78" t="n"/>
      <c r="BG531" s="78" t="n"/>
      <c r="BH531" s="78" t="n"/>
      <c r="BI531" s="78" t="n"/>
      <c r="BJ531" s="139" t="n"/>
      <c r="BK531" s="204" t="n"/>
      <c r="BL531" s="141" t="n"/>
      <c r="BM531" s="205" t="n"/>
      <c r="BN531" s="205" t="n"/>
      <c r="BO531" s="206" t="n"/>
      <c r="BP531" s="144" t="n"/>
      <c r="BQ531" s="141" t="n"/>
      <c r="BR531" s="207" t="n"/>
      <c r="BS531" s="207" t="n"/>
      <c r="BT531" s="207" t="n"/>
      <c r="BU531" s="207" t="n"/>
      <c r="BV531" s="208" t="n"/>
      <c r="BW531" s="207" t="n"/>
      <c r="BX531" s="207" t="n"/>
      <c r="BY531" s="204" t="n"/>
      <c r="BZ531" s="148" t="n"/>
      <c r="CA531" s="204" t="n"/>
      <c r="CB531" s="208" t="n"/>
      <c r="CC531" s="139" t="n"/>
      <c r="CD531" s="204" t="n"/>
      <c r="CE531" s="204" t="n"/>
      <c r="CF531" s="207" t="n"/>
      <c r="CG531" s="208" t="n"/>
      <c r="CH531" s="207" t="n"/>
      <c r="CI531" s="208" t="n"/>
      <c r="CJ531" s="204" t="n"/>
      <c r="CK531" s="208" t="n"/>
      <c r="CL531" s="208" t="n"/>
      <c r="CM531" s="208" t="n"/>
      <c r="CN531" s="78" t="n"/>
      <c r="CO531" s="209" t="n"/>
      <c r="CP531" s="204" t="n"/>
      <c r="CQ531" s="204" t="n"/>
      <c r="CR531" s="204" t="n"/>
      <c r="CS531" s="204" t="n"/>
      <c r="CT531" s="204" t="n"/>
      <c r="CU531" s="204" t="n"/>
      <c r="CV531" s="204" t="n"/>
      <c r="CW531" s="204" t="n"/>
      <c r="CX531" s="190" t="n"/>
    </row>
    <row r="532">
      <c r="BF532" s="78" t="n"/>
      <c r="BG532" s="78" t="n"/>
      <c r="BH532" s="78" t="n"/>
      <c r="BI532" s="78" t="n"/>
      <c r="BJ532" s="139" t="n"/>
      <c r="BK532" s="204" t="n"/>
      <c r="BL532" s="141" t="n"/>
      <c r="BM532" s="205" t="n"/>
      <c r="BN532" s="205" t="n"/>
      <c r="BO532" s="206" t="n"/>
      <c r="BP532" s="144" t="n"/>
      <c r="BQ532" s="141" t="n"/>
      <c r="BR532" s="207" t="n"/>
      <c r="BS532" s="207" t="n"/>
      <c r="BT532" s="207" t="n"/>
      <c r="BU532" s="207" t="n"/>
      <c r="BV532" s="208" t="n"/>
      <c r="BW532" s="207" t="n"/>
      <c r="BX532" s="207" t="n"/>
      <c r="BY532" s="204" t="n"/>
      <c r="BZ532" s="148" t="n"/>
      <c r="CA532" s="204" t="n"/>
      <c r="CB532" s="208" t="n"/>
      <c r="CC532" s="139" t="n"/>
      <c r="CD532" s="204" t="n"/>
      <c r="CE532" s="204" t="n"/>
      <c r="CF532" s="207" t="n"/>
      <c r="CG532" s="208" t="n"/>
      <c r="CH532" s="207" t="n"/>
      <c r="CI532" s="208" t="n"/>
      <c r="CJ532" s="204" t="n"/>
      <c r="CK532" s="208" t="n"/>
      <c r="CL532" s="208" t="n"/>
      <c r="CM532" s="208" t="n"/>
      <c r="CN532" s="78" t="n"/>
      <c r="CO532" s="209" t="n"/>
      <c r="CP532" s="204" t="n"/>
      <c r="CQ532" s="204" t="n"/>
      <c r="CR532" s="204" t="n"/>
      <c r="CS532" s="204" t="n"/>
      <c r="CT532" s="204" t="n"/>
      <c r="CU532" s="204" t="n"/>
      <c r="CV532" s="204" t="n"/>
      <c r="CW532" s="204" t="n"/>
      <c r="CX532" s="190" t="n"/>
    </row>
    <row r="533">
      <c r="BF533" s="78" t="n"/>
      <c r="BG533" s="78" t="n"/>
      <c r="BH533" s="78" t="n"/>
      <c r="BI533" s="78" t="n"/>
      <c r="BJ533" s="139" t="n"/>
      <c r="BK533" s="204" t="n"/>
      <c r="BL533" s="141" t="n"/>
      <c r="BM533" s="205" t="n"/>
      <c r="BN533" s="205" t="n"/>
      <c r="BO533" s="206" t="n"/>
      <c r="BP533" s="144" t="n"/>
      <c r="BQ533" s="141" t="n"/>
      <c r="BR533" s="207" t="n"/>
      <c r="BS533" s="207" t="n"/>
      <c r="BT533" s="207" t="n"/>
      <c r="BU533" s="207" t="n"/>
      <c r="BV533" s="208" t="n"/>
      <c r="BW533" s="207" t="n"/>
      <c r="BX533" s="207" t="n"/>
      <c r="BY533" s="204" t="n"/>
      <c r="BZ533" s="148" t="n"/>
      <c r="CA533" s="204" t="n"/>
      <c r="CB533" s="208" t="n"/>
      <c r="CC533" s="139" t="n"/>
      <c r="CD533" s="204" t="n"/>
      <c r="CE533" s="204" t="n"/>
      <c r="CF533" s="207" t="n"/>
      <c r="CG533" s="208" t="n"/>
      <c r="CH533" s="207" t="n"/>
      <c r="CI533" s="208" t="n"/>
      <c r="CJ533" s="204" t="n"/>
      <c r="CK533" s="208" t="n"/>
      <c r="CL533" s="208" t="n"/>
      <c r="CM533" s="208" t="n"/>
      <c r="CN533" s="78" t="n"/>
      <c r="CO533" s="209" t="n"/>
      <c r="CP533" s="204" t="n"/>
      <c r="CQ533" s="204" t="n"/>
      <c r="CR533" s="204" t="n"/>
      <c r="CS533" s="204" t="n"/>
      <c r="CT533" s="204" t="n"/>
      <c r="CU533" s="204" t="n"/>
      <c r="CV533" s="204" t="n"/>
      <c r="CW533" s="204" t="n"/>
      <c r="CX533" s="190" t="n"/>
    </row>
    <row r="534">
      <c r="BF534" s="78" t="n"/>
      <c r="BG534" s="78" t="n"/>
      <c r="BH534" s="78" t="n"/>
      <c r="BI534" s="78" t="n"/>
      <c r="BJ534" s="139" t="n"/>
      <c r="BK534" s="204" t="n"/>
      <c r="BL534" s="141" t="n"/>
      <c r="BM534" s="205" t="n"/>
      <c r="BN534" s="205" t="n"/>
      <c r="BO534" s="206" t="n"/>
      <c r="BP534" s="144" t="n"/>
      <c r="BQ534" s="141" t="n"/>
      <c r="BR534" s="207" t="n"/>
      <c r="BS534" s="207" t="n"/>
      <c r="BT534" s="207" t="n"/>
      <c r="BU534" s="207" t="n"/>
      <c r="BV534" s="208" t="n"/>
      <c r="BW534" s="207" t="n"/>
      <c r="BX534" s="207" t="n"/>
      <c r="BY534" s="204" t="n"/>
      <c r="BZ534" s="148" t="n"/>
      <c r="CA534" s="204" t="n"/>
      <c r="CB534" s="208" t="n"/>
      <c r="CC534" s="139" t="n"/>
      <c r="CD534" s="204" t="n"/>
      <c r="CE534" s="204" t="n"/>
      <c r="CF534" s="207" t="n"/>
      <c r="CG534" s="208" t="n"/>
      <c r="CH534" s="207" t="n"/>
      <c r="CI534" s="208" t="n"/>
      <c r="CJ534" s="204" t="n"/>
      <c r="CK534" s="208" t="n"/>
      <c r="CL534" s="208" t="n"/>
      <c r="CM534" s="208" t="n"/>
      <c r="CN534" s="78" t="n"/>
      <c r="CO534" s="209" t="n"/>
      <c r="CP534" s="204" t="n"/>
      <c r="CQ534" s="204" t="n"/>
      <c r="CR534" s="204" t="n"/>
      <c r="CS534" s="204" t="n"/>
      <c r="CT534" s="204" t="n"/>
      <c r="CU534" s="204" t="n"/>
      <c r="CV534" s="204" t="n"/>
      <c r="CW534" s="204" t="n"/>
      <c r="CX534" s="190" t="n"/>
    </row>
    <row r="535">
      <c r="BF535" s="78" t="n"/>
      <c r="BG535" s="78" t="n"/>
      <c r="BH535" s="78" t="n"/>
      <c r="BI535" s="78" t="n"/>
      <c r="BJ535" s="139" t="n"/>
      <c r="BK535" s="204" t="n"/>
      <c r="BL535" s="141" t="n"/>
      <c r="BM535" s="205" t="n"/>
      <c r="BN535" s="205" t="n"/>
      <c r="BO535" s="206" t="n"/>
      <c r="BP535" s="144" t="n"/>
      <c r="BQ535" s="141" t="n"/>
      <c r="BR535" s="207" t="n"/>
      <c r="BS535" s="207" t="n"/>
      <c r="BT535" s="207" t="n"/>
      <c r="BU535" s="207" t="n"/>
      <c r="BV535" s="208" t="n"/>
      <c r="BW535" s="207" t="n"/>
      <c r="BX535" s="207" t="n"/>
      <c r="BY535" s="204" t="n"/>
      <c r="BZ535" s="148" t="n"/>
      <c r="CA535" s="204" t="n"/>
      <c r="CB535" s="208" t="n"/>
      <c r="CC535" s="139" t="n"/>
      <c r="CD535" s="204" t="n"/>
      <c r="CE535" s="204" t="n"/>
      <c r="CF535" s="207" t="n"/>
      <c r="CG535" s="208" t="n"/>
      <c r="CH535" s="207" t="n"/>
      <c r="CI535" s="208" t="n"/>
      <c r="CJ535" s="204" t="n"/>
      <c r="CK535" s="208" t="n"/>
      <c r="CL535" s="208" t="n"/>
      <c r="CM535" s="208" t="n"/>
      <c r="CN535" s="78" t="n"/>
      <c r="CO535" s="209" t="n"/>
      <c r="CP535" s="204" t="n"/>
      <c r="CQ535" s="204" t="n"/>
      <c r="CR535" s="204" t="n"/>
      <c r="CS535" s="204" t="n"/>
      <c r="CT535" s="204" t="n"/>
      <c r="CU535" s="204" t="n"/>
      <c r="CV535" s="204" t="n"/>
      <c r="CW535" s="204" t="n"/>
      <c r="CX535" s="190" t="n"/>
    </row>
    <row r="536">
      <c r="BF536" s="78" t="n"/>
      <c r="BG536" s="78" t="n"/>
      <c r="BH536" s="78" t="n"/>
      <c r="BI536" s="78" t="n"/>
      <c r="BJ536" s="139" t="n"/>
      <c r="BK536" s="204" t="n"/>
      <c r="BL536" s="141" t="n"/>
      <c r="BM536" s="205" t="n"/>
      <c r="BN536" s="205" t="n"/>
      <c r="BO536" s="206" t="n"/>
      <c r="BP536" s="144" t="n"/>
      <c r="BQ536" s="141" t="n"/>
      <c r="BR536" s="207" t="n"/>
      <c r="BS536" s="207" t="n"/>
      <c r="BT536" s="207" t="n"/>
      <c r="BU536" s="207" t="n"/>
      <c r="BV536" s="208" t="n"/>
      <c r="BW536" s="207" t="n"/>
      <c r="BX536" s="207" t="n"/>
      <c r="BY536" s="204" t="n"/>
      <c r="BZ536" s="148" t="n"/>
      <c r="CA536" s="204" t="n"/>
      <c r="CB536" s="208" t="n"/>
      <c r="CC536" s="139" t="n"/>
      <c r="CD536" s="204" t="n"/>
      <c r="CE536" s="204" t="n"/>
      <c r="CF536" s="207" t="n"/>
      <c r="CG536" s="208" t="n"/>
      <c r="CH536" s="207" t="n"/>
      <c r="CI536" s="208" t="n"/>
      <c r="CJ536" s="204" t="n"/>
      <c r="CK536" s="208" t="n"/>
      <c r="CL536" s="208" t="n"/>
      <c r="CM536" s="208" t="n"/>
      <c r="CN536" s="78" t="n"/>
      <c r="CO536" s="209" t="n"/>
      <c r="CP536" s="204" t="n"/>
      <c r="CQ536" s="204" t="n"/>
      <c r="CR536" s="204" t="n"/>
      <c r="CS536" s="204" t="n"/>
      <c r="CT536" s="204" t="n"/>
      <c r="CU536" s="204" t="n"/>
      <c r="CV536" s="204" t="n"/>
      <c r="CW536" s="204" t="n"/>
      <c r="CX536" s="190" t="n"/>
    </row>
    <row r="537">
      <c r="BF537" s="78" t="n"/>
      <c r="BG537" s="78" t="n"/>
      <c r="BH537" s="78" t="n"/>
      <c r="BI537" s="78" t="n"/>
      <c r="BJ537" s="139" t="n"/>
      <c r="BK537" s="204" t="n"/>
      <c r="BL537" s="141" t="n"/>
      <c r="BM537" s="205" t="n"/>
      <c r="BN537" s="205" t="n"/>
      <c r="BO537" s="206" t="n"/>
      <c r="BP537" s="144" t="n"/>
      <c r="BQ537" s="141" t="n"/>
      <c r="BR537" s="207" t="n"/>
      <c r="BS537" s="207" t="n"/>
      <c r="BT537" s="207" t="n"/>
      <c r="BU537" s="207" t="n"/>
      <c r="BV537" s="208" t="n"/>
      <c r="BW537" s="207" t="n"/>
      <c r="BX537" s="207" t="n"/>
      <c r="BY537" s="204" t="n"/>
      <c r="BZ537" s="148" t="n"/>
      <c r="CA537" s="204" t="n"/>
      <c r="CB537" s="208" t="n"/>
      <c r="CC537" s="139" t="n"/>
      <c r="CD537" s="204" t="n"/>
      <c r="CE537" s="204" t="n"/>
      <c r="CF537" s="207" t="n"/>
      <c r="CG537" s="208" t="n"/>
      <c r="CH537" s="207" t="n"/>
      <c r="CI537" s="208" t="n"/>
      <c r="CJ537" s="204" t="n"/>
      <c r="CK537" s="208" t="n"/>
      <c r="CL537" s="208" t="n"/>
      <c r="CM537" s="208" t="n"/>
      <c r="CN537" s="78" t="n"/>
      <c r="CO537" s="209" t="n"/>
      <c r="CP537" s="204" t="n"/>
      <c r="CQ537" s="204" t="n"/>
      <c r="CR537" s="204" t="n"/>
      <c r="CS537" s="204" t="n"/>
      <c r="CT537" s="204" t="n"/>
      <c r="CU537" s="204" t="n"/>
      <c r="CV537" s="204" t="n"/>
      <c r="CW537" s="204" t="n"/>
      <c r="CX537" s="190" t="n"/>
    </row>
    <row r="538">
      <c r="BF538" s="78" t="n"/>
      <c r="BG538" s="78" t="n"/>
      <c r="BH538" s="78" t="n"/>
      <c r="BI538" s="78" t="n"/>
      <c r="BJ538" s="139" t="n"/>
      <c r="BK538" s="204" t="n"/>
      <c r="BL538" s="141" t="n"/>
      <c r="BM538" s="205" t="n"/>
      <c r="BN538" s="205" t="n"/>
      <c r="BO538" s="206" t="n"/>
      <c r="BP538" s="144" t="n"/>
      <c r="BQ538" s="141" t="n"/>
      <c r="BR538" s="207" t="n"/>
      <c r="BS538" s="207" t="n"/>
      <c r="BT538" s="207" t="n"/>
      <c r="BU538" s="207" t="n"/>
      <c r="BV538" s="208" t="n"/>
      <c r="BW538" s="207" t="n"/>
      <c r="BX538" s="207" t="n"/>
      <c r="BY538" s="204" t="n"/>
      <c r="BZ538" s="148" t="n"/>
      <c r="CA538" s="204" t="n"/>
      <c r="CB538" s="208" t="n"/>
      <c r="CC538" s="139" t="n"/>
      <c r="CD538" s="204" t="n"/>
      <c r="CE538" s="204" t="n"/>
      <c r="CF538" s="207" t="n"/>
      <c r="CG538" s="208" t="n"/>
      <c r="CH538" s="207" t="n"/>
      <c r="CI538" s="208" t="n"/>
      <c r="CJ538" s="204" t="n"/>
      <c r="CK538" s="208" t="n"/>
      <c r="CL538" s="208" t="n"/>
      <c r="CM538" s="208" t="n"/>
      <c r="CN538" s="78" t="n"/>
      <c r="CO538" s="209" t="n"/>
      <c r="CP538" s="204" t="n"/>
      <c r="CQ538" s="204" t="n"/>
      <c r="CR538" s="204" t="n"/>
      <c r="CS538" s="204" t="n"/>
      <c r="CT538" s="204" t="n"/>
      <c r="CU538" s="204" t="n"/>
      <c r="CV538" s="204" t="n"/>
      <c r="CW538" s="204" t="n"/>
      <c r="CX538" s="190" t="n"/>
    </row>
    <row r="539">
      <c r="BF539" s="78" t="n"/>
      <c r="BG539" s="78" t="n"/>
      <c r="BH539" s="78" t="n"/>
      <c r="BI539" s="78" t="n"/>
      <c r="BJ539" s="139" t="n"/>
      <c r="BK539" s="204" t="n"/>
      <c r="BL539" s="141" t="n"/>
      <c r="BM539" s="205" t="n"/>
      <c r="BN539" s="205" t="n"/>
      <c r="BO539" s="206" t="n"/>
      <c r="BP539" s="144" t="n"/>
      <c r="BQ539" s="141" t="n"/>
      <c r="BR539" s="207" t="n"/>
      <c r="BS539" s="207" t="n"/>
      <c r="BT539" s="207" t="n"/>
      <c r="BU539" s="207" t="n"/>
      <c r="BV539" s="208" t="n"/>
      <c r="BW539" s="207" t="n"/>
      <c r="BX539" s="207" t="n"/>
      <c r="BY539" s="204" t="n"/>
      <c r="BZ539" s="148" t="n"/>
      <c r="CA539" s="204" t="n"/>
      <c r="CB539" s="208" t="n"/>
      <c r="CC539" s="139" t="n"/>
      <c r="CD539" s="204" t="n"/>
      <c r="CE539" s="204" t="n"/>
      <c r="CF539" s="207" t="n"/>
      <c r="CG539" s="208" t="n"/>
      <c r="CH539" s="207" t="n"/>
      <c r="CI539" s="208" t="n"/>
      <c r="CJ539" s="204" t="n"/>
      <c r="CK539" s="208" t="n"/>
      <c r="CL539" s="208" t="n"/>
      <c r="CM539" s="208" t="n"/>
      <c r="CN539" s="78" t="n"/>
      <c r="CO539" s="209" t="n"/>
      <c r="CP539" s="204" t="n"/>
      <c r="CQ539" s="204" t="n"/>
      <c r="CR539" s="204" t="n"/>
      <c r="CS539" s="204" t="n"/>
      <c r="CT539" s="204" t="n"/>
      <c r="CU539" s="204" t="n"/>
      <c r="CV539" s="204" t="n"/>
      <c r="CW539" s="204" t="n"/>
      <c r="CX539" s="190" t="n"/>
    </row>
    <row r="540">
      <c r="BF540" s="78" t="n"/>
      <c r="BG540" s="78" t="n"/>
      <c r="BH540" s="78" t="n"/>
      <c r="BI540" s="78" t="n"/>
      <c r="BJ540" s="139" t="n"/>
      <c r="BK540" s="204" t="n"/>
      <c r="BL540" s="141" t="n"/>
      <c r="BM540" s="205" t="n"/>
      <c r="BN540" s="205" t="n"/>
      <c r="BO540" s="206" t="n"/>
      <c r="BP540" s="144" t="n"/>
      <c r="BQ540" s="141" t="n"/>
      <c r="BR540" s="207" t="n"/>
      <c r="BS540" s="207" t="n"/>
      <c r="BT540" s="207" t="n"/>
      <c r="BU540" s="207" t="n"/>
      <c r="BV540" s="208" t="n"/>
      <c r="BW540" s="207" t="n"/>
      <c r="BX540" s="207" t="n"/>
      <c r="BY540" s="204" t="n"/>
      <c r="BZ540" s="148" t="n"/>
      <c r="CA540" s="204" t="n"/>
      <c r="CB540" s="208" t="n"/>
      <c r="CC540" s="139" t="n"/>
      <c r="CD540" s="204" t="n"/>
      <c r="CE540" s="204" t="n"/>
      <c r="CF540" s="207" t="n"/>
      <c r="CG540" s="208" t="n"/>
      <c r="CH540" s="207" t="n"/>
      <c r="CI540" s="208" t="n"/>
      <c r="CJ540" s="204" t="n"/>
      <c r="CK540" s="208" t="n"/>
      <c r="CL540" s="208" t="n"/>
      <c r="CM540" s="208" t="n"/>
      <c r="CN540" s="78" t="n"/>
      <c r="CO540" s="209" t="n"/>
      <c r="CP540" s="204" t="n"/>
      <c r="CQ540" s="204" t="n"/>
      <c r="CR540" s="204" t="n"/>
      <c r="CS540" s="204" t="n"/>
      <c r="CT540" s="204" t="n"/>
      <c r="CU540" s="204" t="n"/>
      <c r="CV540" s="204" t="n"/>
      <c r="CW540" s="204" t="n"/>
      <c r="CX540" s="190" t="n"/>
    </row>
    <row r="541">
      <c r="BF541" s="78" t="n"/>
      <c r="BG541" s="78" t="n"/>
      <c r="BH541" s="78" t="n"/>
      <c r="BI541" s="78" t="n"/>
      <c r="BJ541" s="139" t="n"/>
      <c r="BK541" s="204" t="n"/>
      <c r="BL541" s="141" t="n"/>
      <c r="BM541" s="205" t="n"/>
      <c r="BN541" s="205" t="n"/>
      <c r="BO541" s="206" t="n"/>
      <c r="BP541" s="144" t="n"/>
      <c r="BQ541" s="141" t="n"/>
      <c r="BR541" s="207" t="n"/>
      <c r="BS541" s="207" t="n"/>
      <c r="BT541" s="207" t="n"/>
      <c r="BU541" s="207" t="n"/>
      <c r="BV541" s="208" t="n"/>
      <c r="BW541" s="207" t="n"/>
      <c r="BX541" s="207" t="n"/>
      <c r="BY541" s="204" t="n"/>
      <c r="BZ541" s="148" t="n"/>
      <c r="CA541" s="204" t="n"/>
      <c r="CB541" s="208" t="n"/>
      <c r="CC541" s="139" t="n"/>
      <c r="CD541" s="204" t="n"/>
      <c r="CE541" s="204" t="n"/>
      <c r="CF541" s="207" t="n"/>
      <c r="CG541" s="208" t="n"/>
      <c r="CH541" s="207" t="n"/>
      <c r="CI541" s="208" t="n"/>
      <c r="CJ541" s="204" t="n"/>
      <c r="CK541" s="208" t="n"/>
      <c r="CL541" s="208" t="n"/>
      <c r="CM541" s="208" t="n"/>
      <c r="CN541" s="78" t="n"/>
      <c r="CO541" s="209" t="n"/>
      <c r="CP541" s="204" t="n"/>
      <c r="CQ541" s="204" t="n"/>
      <c r="CR541" s="204" t="n"/>
      <c r="CS541" s="204" t="n"/>
      <c r="CT541" s="204" t="n"/>
      <c r="CU541" s="204" t="n"/>
      <c r="CV541" s="204" t="n"/>
      <c r="CW541" s="204" t="n"/>
      <c r="CX541" s="190" t="n"/>
    </row>
    <row r="542">
      <c r="BF542" s="78" t="n"/>
      <c r="BG542" s="78" t="n"/>
      <c r="BH542" s="78" t="n"/>
      <c r="BI542" s="78" t="n"/>
      <c r="BJ542" s="139" t="n"/>
      <c r="BK542" s="204" t="n"/>
      <c r="BL542" s="141" t="n"/>
      <c r="BM542" s="205" t="n"/>
      <c r="BN542" s="205" t="n"/>
      <c r="BO542" s="206" t="n"/>
      <c r="BP542" s="144" t="n"/>
      <c r="BQ542" s="141" t="n"/>
      <c r="BR542" s="207" t="n"/>
      <c r="BS542" s="207" t="n"/>
      <c r="BT542" s="207" t="n"/>
      <c r="BU542" s="207" t="n"/>
      <c r="BV542" s="208" t="n"/>
      <c r="BW542" s="207" t="n"/>
      <c r="BX542" s="207" t="n"/>
      <c r="BY542" s="204" t="n"/>
      <c r="BZ542" s="148" t="n"/>
      <c r="CA542" s="204" t="n"/>
      <c r="CB542" s="208" t="n"/>
      <c r="CC542" s="139" t="n"/>
      <c r="CD542" s="204" t="n"/>
      <c r="CE542" s="204" t="n"/>
      <c r="CF542" s="207" t="n"/>
      <c r="CG542" s="208" t="n"/>
      <c r="CH542" s="207" t="n"/>
      <c r="CI542" s="208" t="n"/>
      <c r="CJ542" s="204" t="n"/>
      <c r="CK542" s="208" t="n"/>
      <c r="CL542" s="208" t="n"/>
      <c r="CM542" s="208" t="n"/>
      <c r="CN542" s="78" t="n"/>
      <c r="CO542" s="209" t="n"/>
      <c r="CP542" s="204" t="n"/>
      <c r="CQ542" s="204" t="n"/>
      <c r="CR542" s="204" t="n"/>
      <c r="CS542" s="204" t="n"/>
      <c r="CT542" s="204" t="n"/>
      <c r="CU542" s="204" t="n"/>
      <c r="CV542" s="204" t="n"/>
      <c r="CW542" s="204" t="n"/>
      <c r="CX542" s="190" t="n"/>
    </row>
    <row r="543">
      <c r="BF543" s="78" t="n"/>
      <c r="BG543" s="78" t="n"/>
      <c r="BH543" s="78" t="n"/>
      <c r="BI543" s="78" t="n"/>
      <c r="BJ543" s="139" t="n"/>
      <c r="BK543" s="204" t="n"/>
      <c r="BL543" s="141" t="n"/>
      <c r="BM543" s="205" t="n"/>
      <c r="BN543" s="205" t="n"/>
      <c r="BO543" s="206" t="n"/>
      <c r="BP543" s="144" t="n"/>
      <c r="BQ543" s="141" t="n"/>
      <c r="BR543" s="207" t="n"/>
      <c r="BS543" s="207" t="n"/>
      <c r="BT543" s="207" t="n"/>
      <c r="BU543" s="207" t="n"/>
      <c r="BV543" s="208" t="n"/>
      <c r="BW543" s="207" t="n"/>
      <c r="BX543" s="207" t="n"/>
      <c r="BY543" s="204" t="n"/>
      <c r="BZ543" s="148" t="n"/>
      <c r="CA543" s="204" t="n"/>
      <c r="CB543" s="208" t="n"/>
      <c r="CC543" s="139" t="n"/>
      <c r="CD543" s="204" t="n"/>
      <c r="CE543" s="204" t="n"/>
      <c r="CF543" s="207" t="n"/>
      <c r="CG543" s="208" t="n"/>
      <c r="CH543" s="207" t="n"/>
      <c r="CI543" s="208" t="n"/>
      <c r="CJ543" s="204" t="n"/>
      <c r="CK543" s="208" t="n"/>
      <c r="CL543" s="208" t="n"/>
      <c r="CM543" s="208" t="n"/>
      <c r="CN543" s="78" t="n"/>
      <c r="CO543" s="209" t="n"/>
      <c r="CP543" s="204" t="n"/>
      <c r="CQ543" s="204" t="n"/>
      <c r="CR543" s="204" t="n"/>
      <c r="CS543" s="204" t="n"/>
      <c r="CT543" s="204" t="n"/>
      <c r="CU543" s="204" t="n"/>
      <c r="CV543" s="204" t="n"/>
      <c r="CW543" s="204" t="n"/>
      <c r="CX543" s="190" t="n"/>
    </row>
    <row r="544">
      <c r="AR544" s="151" t="n"/>
      <c r="BF544" s="78" t="n"/>
      <c r="BG544" s="78" t="n"/>
      <c r="BH544" s="78" t="n"/>
      <c r="BI544" s="78" t="n"/>
      <c r="BJ544" s="139" t="n"/>
      <c r="BK544" s="204" t="n"/>
      <c r="BL544" s="141" t="n"/>
      <c r="BM544" s="205" t="n"/>
      <c r="BN544" s="205" t="n"/>
      <c r="BO544" s="206" t="n"/>
      <c r="BP544" s="144" t="n"/>
      <c r="BQ544" s="141" t="n"/>
      <c r="BR544" s="207" t="n"/>
      <c r="BS544" s="207" t="n"/>
      <c r="BT544" s="207" t="n"/>
      <c r="BU544" s="207" t="n"/>
      <c r="BV544" s="208" t="n"/>
      <c r="BW544" s="207" t="n"/>
      <c r="BX544" s="207" t="n"/>
      <c r="BY544" s="204" t="n"/>
      <c r="BZ544" s="148" t="n"/>
      <c r="CA544" s="204" t="n"/>
      <c r="CB544" s="208" t="n"/>
      <c r="CC544" s="139" t="n"/>
      <c r="CD544" s="204" t="n"/>
      <c r="CE544" s="204" t="n"/>
      <c r="CF544" s="207" t="n"/>
      <c r="CG544" s="208" t="n"/>
      <c r="CH544" s="207" t="n"/>
      <c r="CI544" s="208" t="n"/>
      <c r="CJ544" s="204" t="n"/>
      <c r="CK544" s="208" t="n"/>
      <c r="CL544" s="208" t="n"/>
      <c r="CM544" s="208" t="n"/>
      <c r="CN544" s="78" t="n"/>
      <c r="CO544" s="209" t="n"/>
      <c r="CP544" s="204" t="n"/>
      <c r="CQ544" s="204" t="n"/>
      <c r="CR544" s="204" t="n"/>
      <c r="CS544" s="204" t="n"/>
      <c r="CT544" s="204" t="n"/>
      <c r="CU544" s="204" t="n"/>
      <c r="CV544" s="204" t="n"/>
      <c r="CW544" s="204" t="n"/>
      <c r="CX544" s="190" t="n"/>
    </row>
    <row r="545">
      <c r="AR545" s="151" t="n"/>
      <c r="BF545" s="78" t="n"/>
      <c r="BG545" s="78" t="n"/>
      <c r="BH545" s="78" t="n"/>
      <c r="BI545" s="78" t="n"/>
      <c r="BJ545" s="139" t="n"/>
      <c r="BK545" s="204" t="n"/>
      <c r="BL545" s="141" t="n"/>
      <c r="BM545" s="205" t="n"/>
      <c r="BN545" s="205" t="n"/>
      <c r="BO545" s="206" t="n"/>
      <c r="BP545" s="144" t="n"/>
      <c r="BQ545" s="141" t="n"/>
      <c r="BR545" s="207" t="n"/>
      <c r="BS545" s="207" t="n"/>
      <c r="BT545" s="207" t="n"/>
      <c r="BU545" s="207" t="n"/>
      <c r="BV545" s="208" t="n"/>
      <c r="BW545" s="207" t="n"/>
      <c r="BX545" s="207" t="n"/>
      <c r="BY545" s="204" t="n"/>
      <c r="BZ545" s="148" t="n"/>
      <c r="CA545" s="204" t="n"/>
      <c r="CB545" s="208" t="n"/>
      <c r="CC545" s="139" t="n"/>
      <c r="CD545" s="204" t="n"/>
      <c r="CE545" s="204" t="n"/>
      <c r="CF545" s="207" t="n"/>
      <c r="CG545" s="208" t="n"/>
      <c r="CH545" s="207" t="n"/>
      <c r="CI545" s="208" t="n"/>
      <c r="CJ545" s="204" t="n"/>
      <c r="CK545" s="208" t="n"/>
      <c r="CL545" s="208" t="n"/>
      <c r="CM545" s="208" t="n"/>
      <c r="CN545" s="78" t="n"/>
      <c r="CO545" s="209" t="n"/>
      <c r="CP545" s="204" t="n"/>
      <c r="CQ545" s="204" t="n"/>
      <c r="CR545" s="204" t="n"/>
      <c r="CS545" s="204" t="n"/>
      <c r="CT545" s="204" t="n"/>
      <c r="CU545" s="204" t="n"/>
      <c r="CV545" s="204" t="n"/>
      <c r="CW545" s="204" t="n"/>
      <c r="CX545" s="190" t="n"/>
    </row>
    <row r="546">
      <c r="BF546" s="78" t="n"/>
      <c r="BG546" s="78" t="n"/>
      <c r="BH546" s="78" t="n"/>
      <c r="BI546" s="78" t="n"/>
      <c r="BJ546" s="139" t="n"/>
      <c r="BK546" s="204" t="n"/>
      <c r="BL546" s="141" t="n"/>
      <c r="BM546" s="205" t="n"/>
      <c r="BN546" s="205" t="n"/>
      <c r="BO546" s="206" t="n"/>
      <c r="BP546" s="144" t="n"/>
      <c r="BQ546" s="141" t="n"/>
      <c r="BR546" s="207" t="n"/>
      <c r="BS546" s="207" t="n"/>
      <c r="BT546" s="207" t="n"/>
      <c r="BU546" s="207" t="n"/>
      <c r="BV546" s="208" t="n"/>
      <c r="BW546" s="207" t="n"/>
      <c r="BX546" s="207" t="n"/>
      <c r="BY546" s="204" t="n"/>
      <c r="BZ546" s="148" t="n"/>
      <c r="CA546" s="204" t="n"/>
      <c r="CB546" s="208" t="n"/>
      <c r="CC546" s="139" t="n"/>
      <c r="CD546" s="204" t="n"/>
      <c r="CE546" s="204" t="n"/>
      <c r="CF546" s="207" t="n"/>
      <c r="CG546" s="208" t="n"/>
      <c r="CH546" s="207" t="n"/>
      <c r="CI546" s="208" t="n"/>
      <c r="CJ546" s="204" t="n"/>
      <c r="CK546" s="208" t="n"/>
      <c r="CL546" s="208" t="n"/>
      <c r="CM546" s="208" t="n"/>
      <c r="CN546" s="78" t="n"/>
      <c r="CO546" s="209" t="n"/>
      <c r="CP546" s="204" t="n"/>
      <c r="CQ546" s="204" t="n"/>
      <c r="CR546" s="204" t="n"/>
      <c r="CS546" s="204" t="n"/>
      <c r="CT546" s="204" t="n"/>
      <c r="CU546" s="204" t="n"/>
      <c r="CV546" s="204" t="n"/>
      <c r="CW546" s="204" t="n"/>
      <c r="CX546" s="190" t="n"/>
    </row>
    <row r="547">
      <c r="BF547" s="78" t="n"/>
      <c r="BG547" s="78" t="n"/>
      <c r="BH547" s="78" t="n"/>
      <c r="BI547" s="78" t="n"/>
      <c r="BJ547" s="139" t="n"/>
      <c r="BK547" s="204" t="n"/>
      <c r="BL547" s="141" t="n"/>
      <c r="BM547" s="205" t="n"/>
      <c r="BN547" s="205" t="n"/>
      <c r="BO547" s="206" t="n"/>
      <c r="BP547" s="144" t="n"/>
      <c r="BQ547" s="141" t="n"/>
      <c r="BR547" s="207" t="n"/>
      <c r="BS547" s="207" t="n"/>
      <c r="BT547" s="207" t="n"/>
      <c r="BU547" s="207" t="n"/>
      <c r="BV547" s="208" t="n"/>
      <c r="BW547" s="207" t="n"/>
      <c r="BX547" s="207" t="n"/>
      <c r="BY547" s="204" t="n"/>
      <c r="BZ547" s="148" t="n"/>
      <c r="CA547" s="204" t="n"/>
      <c r="CB547" s="208" t="n"/>
      <c r="CC547" s="139" t="n"/>
      <c r="CD547" s="204" t="n"/>
      <c r="CE547" s="204" t="n"/>
      <c r="CF547" s="207" t="n"/>
      <c r="CG547" s="208" t="n"/>
      <c r="CH547" s="207" t="n"/>
      <c r="CI547" s="208" t="n"/>
      <c r="CJ547" s="204" t="n"/>
      <c r="CK547" s="208" t="n"/>
      <c r="CL547" s="208" t="n"/>
      <c r="CM547" s="208" t="n"/>
      <c r="CN547" s="78" t="n"/>
      <c r="CO547" s="209" t="n"/>
      <c r="CP547" s="204" t="n"/>
      <c r="CQ547" s="204" t="n"/>
      <c r="CR547" s="204" t="n"/>
      <c r="CS547" s="204" t="n"/>
      <c r="CT547" s="204" t="n"/>
      <c r="CU547" s="204" t="n"/>
      <c r="CV547" s="204" t="n"/>
      <c r="CW547" s="204" t="n"/>
      <c r="CX547" s="190" t="n"/>
    </row>
    <row r="548">
      <c r="BF548" s="78" t="n"/>
      <c r="BG548" s="78" t="n"/>
      <c r="BH548" s="78" t="n"/>
      <c r="BI548" s="78" t="n"/>
      <c r="BJ548" s="139" t="n"/>
      <c r="BK548" s="204" t="n"/>
      <c r="BL548" s="141" t="n"/>
      <c r="BM548" s="205" t="n"/>
      <c r="BN548" s="205" t="n"/>
      <c r="BO548" s="206" t="n"/>
      <c r="BP548" s="144" t="n"/>
      <c r="BQ548" s="141" t="n"/>
      <c r="BR548" s="207" t="n"/>
      <c r="BS548" s="207" t="n"/>
      <c r="BT548" s="207" t="n"/>
      <c r="BU548" s="207" t="n"/>
      <c r="BV548" s="208" t="n"/>
      <c r="BW548" s="207" t="n"/>
      <c r="BX548" s="207" t="n"/>
      <c r="BY548" s="204" t="n"/>
      <c r="BZ548" s="148" t="n"/>
      <c r="CA548" s="204" t="n"/>
      <c r="CB548" s="208" t="n"/>
      <c r="CC548" s="139" t="n"/>
      <c r="CD548" s="204" t="n"/>
      <c r="CE548" s="204" t="n"/>
      <c r="CF548" s="207" t="n"/>
      <c r="CG548" s="208" t="n"/>
      <c r="CH548" s="207" t="n"/>
      <c r="CI548" s="208" t="n"/>
      <c r="CJ548" s="204" t="n"/>
      <c r="CK548" s="208" t="n"/>
      <c r="CL548" s="208" t="n"/>
      <c r="CM548" s="208" t="n"/>
      <c r="CN548" s="78" t="n"/>
      <c r="CO548" s="209" t="n"/>
      <c r="CP548" s="204" t="n"/>
      <c r="CQ548" s="204" t="n"/>
      <c r="CR548" s="204" t="n"/>
      <c r="CS548" s="204" t="n"/>
      <c r="CT548" s="204" t="n"/>
      <c r="CU548" s="204" t="n"/>
      <c r="CV548" s="204" t="n"/>
      <c r="CW548" s="204" t="n"/>
      <c r="CX548" s="190" t="n"/>
    </row>
    <row r="549">
      <c r="BF549" s="78" t="n"/>
      <c r="BG549" s="78" t="n"/>
      <c r="BH549" s="78" t="n"/>
      <c r="BI549" s="78" t="n"/>
      <c r="BJ549" s="139" t="n"/>
      <c r="BK549" s="204" t="n"/>
      <c r="BL549" s="141" t="n"/>
      <c r="BM549" s="205" t="n"/>
      <c r="BN549" s="205" t="n"/>
      <c r="BO549" s="206" t="n"/>
      <c r="BP549" s="144" t="n"/>
      <c r="BQ549" s="141" t="n"/>
      <c r="BR549" s="207" t="n"/>
      <c r="BS549" s="207" t="n"/>
      <c r="BT549" s="207" t="n"/>
      <c r="BU549" s="207" t="n"/>
      <c r="BV549" s="208" t="n"/>
      <c r="BW549" s="207" t="n"/>
      <c r="BX549" s="207" t="n"/>
      <c r="BY549" s="204" t="n"/>
      <c r="BZ549" s="148" t="n"/>
      <c r="CA549" s="204" t="n"/>
      <c r="CB549" s="208" t="n"/>
      <c r="CC549" s="139" t="n"/>
      <c r="CD549" s="204" t="n"/>
      <c r="CE549" s="204" t="n"/>
      <c r="CF549" s="207" t="n"/>
      <c r="CG549" s="208" t="n"/>
      <c r="CH549" s="207" t="n"/>
      <c r="CI549" s="208" t="n"/>
      <c r="CJ549" s="204" t="n"/>
      <c r="CK549" s="208" t="n"/>
      <c r="CL549" s="208" t="n"/>
      <c r="CM549" s="208" t="n"/>
      <c r="CN549" s="78" t="n"/>
      <c r="CO549" s="209" t="n"/>
      <c r="CP549" s="204" t="n"/>
      <c r="CQ549" s="204" t="n"/>
      <c r="CR549" s="204" t="n"/>
      <c r="CS549" s="204" t="n"/>
      <c r="CT549" s="204" t="n"/>
      <c r="CU549" s="204" t="n"/>
      <c r="CV549" s="204" t="n"/>
      <c r="CW549" s="204" t="n"/>
      <c r="CX549" s="190" t="n"/>
    </row>
    <row r="550">
      <c r="BF550" s="78" t="n"/>
      <c r="BG550" s="78" t="n"/>
      <c r="BH550" s="78" t="n"/>
      <c r="BI550" s="78" t="n"/>
      <c r="BJ550" s="139" t="n"/>
      <c r="BK550" s="204" t="n"/>
      <c r="BL550" s="141" t="n"/>
      <c r="BM550" s="205" t="n"/>
      <c r="BN550" s="205" t="n"/>
      <c r="BO550" s="206" t="n"/>
      <c r="BP550" s="144" t="n"/>
      <c r="BQ550" s="141" t="n"/>
      <c r="BR550" s="207" t="n"/>
      <c r="BS550" s="207" t="n"/>
      <c r="BT550" s="207" t="n"/>
      <c r="BU550" s="207" t="n"/>
      <c r="BV550" s="208" t="n"/>
      <c r="BW550" s="207" t="n"/>
      <c r="BX550" s="207" t="n"/>
      <c r="BY550" s="204" t="n"/>
      <c r="BZ550" s="148" t="n"/>
      <c r="CA550" s="204" t="n"/>
      <c r="CB550" s="208" t="n"/>
      <c r="CC550" s="139" t="n"/>
      <c r="CD550" s="204" t="n"/>
      <c r="CE550" s="204" t="n"/>
      <c r="CF550" s="207" t="n"/>
      <c r="CG550" s="208" t="n"/>
      <c r="CH550" s="207" t="n"/>
      <c r="CI550" s="208" t="n"/>
      <c r="CJ550" s="204" t="n"/>
      <c r="CK550" s="208" t="n"/>
      <c r="CL550" s="208" t="n"/>
      <c r="CM550" s="208" t="n"/>
      <c r="CN550" s="78" t="n"/>
      <c r="CO550" s="209" t="n"/>
      <c r="CP550" s="204" t="n"/>
      <c r="CQ550" s="204" t="n"/>
      <c r="CR550" s="204" t="n"/>
      <c r="CS550" s="204" t="n"/>
      <c r="CT550" s="204" t="n"/>
      <c r="CU550" s="204" t="n"/>
      <c r="CV550" s="204" t="n"/>
      <c r="CW550" s="204" t="n"/>
      <c r="CX550" s="190" t="n"/>
    </row>
    <row r="551">
      <c r="BF551" s="78" t="n"/>
      <c r="BG551" s="78" t="n"/>
      <c r="BH551" s="78" t="n"/>
      <c r="BI551" s="78" t="n"/>
      <c r="BJ551" s="139" t="n"/>
      <c r="BK551" s="204" t="n"/>
      <c r="BL551" s="141" t="n"/>
      <c r="BM551" s="205" t="n"/>
      <c r="BN551" s="205" t="n"/>
      <c r="BO551" s="206" t="n"/>
      <c r="BP551" s="144" t="n"/>
      <c r="BQ551" s="141" t="n"/>
      <c r="BR551" s="207" t="n"/>
      <c r="BS551" s="207" t="n"/>
      <c r="BT551" s="207" t="n"/>
      <c r="BU551" s="207" t="n"/>
      <c r="BV551" s="208" t="n"/>
      <c r="BW551" s="207" t="n"/>
      <c r="BX551" s="207" t="n"/>
      <c r="BY551" s="204" t="n"/>
      <c r="BZ551" s="148" t="n"/>
      <c r="CA551" s="204" t="n"/>
      <c r="CB551" s="208" t="n"/>
      <c r="CC551" s="139" t="n"/>
      <c r="CD551" s="204" t="n"/>
      <c r="CE551" s="204" t="n"/>
      <c r="CF551" s="207" t="n"/>
      <c r="CG551" s="208" t="n"/>
      <c r="CH551" s="207" t="n"/>
      <c r="CI551" s="208" t="n"/>
      <c r="CJ551" s="204" t="n"/>
      <c r="CK551" s="208" t="n"/>
      <c r="CL551" s="208" t="n"/>
      <c r="CM551" s="208" t="n"/>
      <c r="CN551" s="78" t="n"/>
      <c r="CO551" s="209" t="n"/>
      <c r="CP551" s="204" t="n"/>
      <c r="CQ551" s="204" t="n"/>
      <c r="CR551" s="204" t="n"/>
      <c r="CS551" s="204" t="n"/>
      <c r="CT551" s="204" t="n"/>
      <c r="CU551" s="204" t="n"/>
      <c r="CV551" s="204" t="n"/>
      <c r="CW551" s="204" t="n"/>
      <c r="CX551" s="190" t="n"/>
    </row>
    <row r="552">
      <c r="BF552" s="78" t="n"/>
      <c r="BG552" s="78" t="n"/>
      <c r="BH552" s="78" t="n"/>
      <c r="BI552" s="78" t="n"/>
      <c r="BJ552" s="139" t="n"/>
      <c r="BK552" s="204" t="n"/>
      <c r="BL552" s="141" t="n"/>
      <c r="BM552" s="205" t="n"/>
      <c r="BN552" s="205" t="n"/>
      <c r="BO552" s="206" t="n"/>
      <c r="BP552" s="144" t="n"/>
      <c r="BQ552" s="141" t="n"/>
      <c r="BR552" s="207" t="n"/>
      <c r="BS552" s="207" t="n"/>
      <c r="BT552" s="207" t="n"/>
      <c r="BU552" s="207" t="n"/>
      <c r="BV552" s="208" t="n"/>
      <c r="BW552" s="207" t="n"/>
      <c r="BX552" s="207" t="n"/>
      <c r="BY552" s="204" t="n"/>
      <c r="BZ552" s="148" t="n"/>
      <c r="CA552" s="204" t="n"/>
      <c r="CB552" s="208" t="n"/>
      <c r="CC552" s="139" t="n"/>
      <c r="CD552" s="204" t="n"/>
      <c r="CE552" s="204" t="n"/>
      <c r="CF552" s="207" t="n"/>
      <c r="CG552" s="208" t="n"/>
      <c r="CH552" s="207" t="n"/>
      <c r="CI552" s="208" t="n"/>
      <c r="CJ552" s="204" t="n"/>
      <c r="CK552" s="208" t="n"/>
      <c r="CL552" s="208" t="n"/>
      <c r="CM552" s="208" t="n"/>
      <c r="CN552" s="78" t="n"/>
      <c r="CO552" s="209" t="n"/>
      <c r="CP552" s="204" t="n"/>
      <c r="CQ552" s="204" t="n"/>
      <c r="CR552" s="204" t="n"/>
      <c r="CS552" s="204" t="n"/>
      <c r="CT552" s="204" t="n"/>
      <c r="CU552" s="204" t="n"/>
      <c r="CV552" s="204" t="n"/>
      <c r="CW552" s="204" t="n"/>
      <c r="CX552" s="190" t="n"/>
    </row>
    <row r="553">
      <c r="BF553" s="78" t="n"/>
      <c r="BG553" s="78" t="n"/>
      <c r="BH553" s="78" t="n"/>
      <c r="BI553" s="78" t="n"/>
      <c r="BJ553" s="139" t="n"/>
      <c r="BK553" s="204" t="n"/>
      <c r="BL553" s="141" t="n"/>
      <c r="BM553" s="205" t="n"/>
      <c r="BN553" s="205" t="n"/>
      <c r="BO553" s="206" t="n"/>
      <c r="BP553" s="144" t="n"/>
      <c r="BQ553" s="141" t="n"/>
      <c r="BR553" s="207" t="n"/>
      <c r="BS553" s="207" t="n"/>
      <c r="BT553" s="207" t="n"/>
      <c r="BU553" s="207" t="n"/>
      <c r="BV553" s="208" t="n"/>
      <c r="BW553" s="207" t="n"/>
      <c r="BX553" s="207" t="n"/>
      <c r="BY553" s="204" t="n"/>
      <c r="BZ553" s="148" t="n"/>
      <c r="CA553" s="204" t="n"/>
      <c r="CB553" s="208" t="n"/>
      <c r="CC553" s="139" t="n"/>
      <c r="CD553" s="204" t="n"/>
      <c r="CE553" s="204" t="n"/>
      <c r="CF553" s="207" t="n"/>
      <c r="CG553" s="208" t="n"/>
      <c r="CH553" s="207" t="n"/>
      <c r="CI553" s="208" t="n"/>
      <c r="CJ553" s="204" t="n"/>
      <c r="CK553" s="208" t="n"/>
      <c r="CL553" s="208" t="n"/>
      <c r="CM553" s="208" t="n"/>
      <c r="CN553" s="78" t="n"/>
      <c r="CO553" s="209" t="n"/>
      <c r="CP553" s="204" t="n"/>
      <c r="CQ553" s="204" t="n"/>
      <c r="CR553" s="204" t="n"/>
      <c r="CS553" s="204" t="n"/>
      <c r="CT553" s="204" t="n"/>
      <c r="CU553" s="204" t="n"/>
      <c r="CV553" s="204" t="n"/>
      <c r="CW553" s="204" t="n"/>
      <c r="CX553" s="190" t="n"/>
    </row>
    <row r="554">
      <c r="BF554" s="78" t="n"/>
      <c r="BG554" s="78" t="n"/>
      <c r="BH554" s="78" t="n"/>
      <c r="BI554" s="78" t="n"/>
      <c r="BJ554" s="139" t="n"/>
      <c r="BK554" s="204" t="n"/>
      <c r="BL554" s="141" t="n"/>
      <c r="BM554" s="205" t="n"/>
      <c r="BN554" s="205" t="n"/>
      <c r="BO554" s="206" t="n"/>
      <c r="BP554" s="144" t="n"/>
      <c r="BQ554" s="141" t="n"/>
      <c r="BR554" s="207" t="n"/>
      <c r="BS554" s="207" t="n"/>
      <c r="BT554" s="207" t="n"/>
      <c r="BU554" s="207" t="n"/>
      <c r="BV554" s="208" t="n"/>
      <c r="BW554" s="207" t="n"/>
      <c r="BX554" s="207" t="n"/>
      <c r="BY554" s="204" t="n"/>
      <c r="BZ554" s="148" t="n"/>
      <c r="CA554" s="204" t="n"/>
      <c r="CB554" s="208" t="n"/>
      <c r="CC554" s="139" t="n"/>
      <c r="CD554" s="204" t="n"/>
      <c r="CE554" s="204" t="n"/>
      <c r="CF554" s="207" t="n"/>
      <c r="CG554" s="208" t="n"/>
      <c r="CH554" s="207" t="n"/>
      <c r="CI554" s="208" t="n"/>
      <c r="CJ554" s="204" t="n"/>
      <c r="CK554" s="208" t="n"/>
      <c r="CL554" s="208" t="n"/>
      <c r="CM554" s="208" t="n"/>
      <c r="CN554" s="78" t="n"/>
      <c r="CO554" s="209" t="n"/>
      <c r="CP554" s="204" t="n"/>
      <c r="CQ554" s="204" t="n"/>
      <c r="CR554" s="204" t="n"/>
      <c r="CS554" s="204" t="n"/>
      <c r="CT554" s="204" t="n"/>
      <c r="CU554" s="204" t="n"/>
      <c r="CV554" s="204" t="n"/>
      <c r="CW554" s="204" t="n"/>
      <c r="CX554" s="190" t="n"/>
    </row>
    <row r="555">
      <c r="BF555" s="78" t="n"/>
      <c r="BG555" s="78" t="n"/>
      <c r="BH555" s="78" t="n"/>
      <c r="BI555" s="78" t="n"/>
      <c r="BJ555" s="139" t="n"/>
      <c r="BK555" s="204" t="n"/>
      <c r="BL555" s="141" t="n"/>
      <c r="BM555" s="205" t="n"/>
      <c r="BN555" s="205" t="n"/>
      <c r="BO555" s="206" t="n"/>
      <c r="BP555" s="144" t="n"/>
      <c r="BQ555" s="141" t="n"/>
      <c r="BR555" s="207" t="n"/>
      <c r="BS555" s="207" t="n"/>
      <c r="BT555" s="207" t="n"/>
      <c r="BU555" s="207" t="n"/>
      <c r="BV555" s="208" t="n"/>
      <c r="BW555" s="207" t="n"/>
      <c r="BX555" s="207" t="n"/>
      <c r="BY555" s="204" t="n"/>
      <c r="BZ555" s="148" t="n"/>
      <c r="CA555" s="204" t="n"/>
      <c r="CB555" s="208" t="n"/>
      <c r="CC555" s="139" t="n"/>
      <c r="CD555" s="204" t="n"/>
      <c r="CE555" s="204" t="n"/>
      <c r="CF555" s="207" t="n"/>
      <c r="CG555" s="208" t="n"/>
      <c r="CH555" s="207" t="n"/>
      <c r="CI555" s="208" t="n"/>
      <c r="CJ555" s="204" t="n"/>
      <c r="CK555" s="208" t="n"/>
      <c r="CL555" s="208" t="n"/>
      <c r="CM555" s="208" t="n"/>
      <c r="CN555" s="78" t="n"/>
      <c r="CO555" s="209" t="n"/>
      <c r="CP555" s="204" t="n"/>
      <c r="CQ555" s="204" t="n"/>
      <c r="CR555" s="204" t="n"/>
      <c r="CS555" s="204" t="n"/>
      <c r="CT555" s="204" t="n"/>
      <c r="CU555" s="204" t="n"/>
      <c r="CV555" s="204" t="n"/>
      <c r="CW555" s="204" t="n"/>
      <c r="CX555" s="190" t="n"/>
    </row>
    <row r="556">
      <c r="BF556" s="78" t="n"/>
      <c r="BG556" s="78" t="n"/>
      <c r="BH556" s="78" t="n"/>
      <c r="BI556" s="78" t="n"/>
      <c r="BJ556" s="139" t="n"/>
      <c r="BK556" s="204" t="n"/>
      <c r="BL556" s="141" t="n"/>
      <c r="BM556" s="205" t="n"/>
      <c r="BN556" s="205" t="n"/>
      <c r="BO556" s="206" t="n"/>
      <c r="BP556" s="144" t="n"/>
      <c r="BQ556" s="141" t="n"/>
      <c r="BR556" s="207" t="n"/>
      <c r="BS556" s="207" t="n"/>
      <c r="BT556" s="207" t="n"/>
      <c r="BU556" s="207" t="n"/>
      <c r="BV556" s="208" t="n"/>
      <c r="BW556" s="207" t="n"/>
      <c r="BX556" s="207" t="n"/>
      <c r="BY556" s="204" t="n"/>
      <c r="BZ556" s="148" t="n"/>
      <c r="CA556" s="204" t="n"/>
      <c r="CB556" s="208" t="n"/>
      <c r="CC556" s="139" t="n"/>
      <c r="CD556" s="204" t="n"/>
      <c r="CE556" s="204" t="n"/>
      <c r="CF556" s="207" t="n"/>
      <c r="CG556" s="208" t="n"/>
      <c r="CH556" s="207" t="n"/>
      <c r="CI556" s="208" t="n"/>
      <c r="CJ556" s="204" t="n"/>
      <c r="CK556" s="208" t="n"/>
      <c r="CL556" s="208" t="n"/>
      <c r="CM556" s="208" t="n"/>
      <c r="CN556" s="78" t="n"/>
      <c r="CO556" s="209" t="n"/>
      <c r="CP556" s="204" t="n"/>
      <c r="CQ556" s="204" t="n"/>
      <c r="CR556" s="204" t="n"/>
      <c r="CS556" s="204" t="n"/>
      <c r="CT556" s="204" t="n"/>
      <c r="CU556" s="204" t="n"/>
      <c r="CV556" s="204" t="n"/>
      <c r="CW556" s="204" t="n"/>
      <c r="CX556" s="190" t="n"/>
    </row>
    <row r="557">
      <c r="BF557" s="78" t="n"/>
      <c r="BG557" s="78" t="n"/>
      <c r="BH557" s="78" t="n"/>
      <c r="BI557" s="78" t="n"/>
      <c r="BJ557" s="139" t="n"/>
      <c r="BK557" s="204" t="n"/>
      <c r="BL557" s="141" t="n"/>
      <c r="BM557" s="205" t="n"/>
      <c r="BN557" s="205" t="n"/>
      <c r="BO557" s="206" t="n"/>
      <c r="BP557" s="144" t="n"/>
      <c r="BQ557" s="141" t="n"/>
      <c r="BR557" s="207" t="n"/>
      <c r="BS557" s="207" t="n"/>
      <c r="BT557" s="207" t="n"/>
      <c r="BU557" s="207" t="n"/>
      <c r="BV557" s="208" t="n"/>
      <c r="BW557" s="207" t="n"/>
      <c r="BX557" s="207" t="n"/>
      <c r="BY557" s="204" t="n"/>
      <c r="BZ557" s="148" t="n"/>
      <c r="CA557" s="204" t="n"/>
      <c r="CB557" s="208" t="n"/>
      <c r="CC557" s="139" t="n"/>
      <c r="CD557" s="204" t="n"/>
      <c r="CE557" s="204" t="n"/>
      <c r="CF557" s="207" t="n"/>
      <c r="CG557" s="208" t="n"/>
      <c r="CH557" s="207" t="n"/>
      <c r="CI557" s="208" t="n"/>
      <c r="CJ557" s="204" t="n"/>
      <c r="CK557" s="208" t="n"/>
      <c r="CL557" s="208" t="n"/>
      <c r="CM557" s="208" t="n"/>
      <c r="CN557" s="78" t="n"/>
      <c r="CO557" s="209" t="n"/>
      <c r="CP557" s="204" t="n"/>
      <c r="CQ557" s="204" t="n"/>
      <c r="CR557" s="204" t="n"/>
      <c r="CS557" s="204" t="n"/>
      <c r="CT557" s="204" t="n"/>
      <c r="CU557" s="204" t="n"/>
      <c r="CV557" s="204" t="n"/>
      <c r="CW557" s="204" t="n"/>
      <c r="CX557" s="190" t="n"/>
    </row>
    <row r="558">
      <c r="BF558" s="78" t="n"/>
      <c r="BG558" s="78" t="n"/>
      <c r="BH558" s="78" t="n"/>
      <c r="BI558" s="78" t="n"/>
      <c r="BJ558" s="139" t="n"/>
      <c r="BK558" s="204" t="n"/>
      <c r="BL558" s="141" t="n"/>
      <c r="BM558" s="205" t="n"/>
      <c r="BN558" s="205" t="n"/>
      <c r="BO558" s="206" t="n"/>
      <c r="BP558" s="144" t="n"/>
      <c r="BQ558" s="141" t="n"/>
      <c r="BR558" s="207" t="n"/>
      <c r="BS558" s="207" t="n"/>
      <c r="BT558" s="207" t="n"/>
      <c r="BU558" s="207" t="n"/>
      <c r="BV558" s="208" t="n"/>
      <c r="BW558" s="207" t="n"/>
      <c r="BX558" s="207" t="n"/>
      <c r="BY558" s="204" t="n"/>
      <c r="BZ558" s="148" t="n"/>
      <c r="CA558" s="204" t="n"/>
      <c r="CB558" s="208" t="n"/>
      <c r="CC558" s="139" t="n"/>
      <c r="CD558" s="204" t="n"/>
      <c r="CE558" s="204" t="n"/>
      <c r="CF558" s="207" t="n"/>
      <c r="CG558" s="208" t="n"/>
      <c r="CH558" s="207" t="n"/>
      <c r="CI558" s="208" t="n"/>
      <c r="CJ558" s="204" t="n"/>
      <c r="CK558" s="208" t="n"/>
      <c r="CL558" s="208" t="n"/>
      <c r="CM558" s="208" t="n"/>
      <c r="CN558" s="78" t="n"/>
      <c r="CO558" s="209" t="n"/>
      <c r="CP558" s="204" t="n"/>
      <c r="CQ558" s="204" t="n"/>
      <c r="CR558" s="204" t="n"/>
      <c r="CS558" s="204" t="n"/>
      <c r="CT558" s="204" t="n"/>
      <c r="CU558" s="204" t="n"/>
      <c r="CV558" s="204" t="n"/>
      <c r="CW558" s="204" t="n"/>
      <c r="CX558" s="190" t="n"/>
    </row>
    <row r="559">
      <c r="BF559" s="78" t="n"/>
      <c r="BG559" s="78" t="n"/>
      <c r="BH559" s="78" t="n"/>
      <c r="BI559" s="78" t="n"/>
      <c r="BJ559" s="139" t="n"/>
      <c r="BK559" s="204" t="n"/>
      <c r="BL559" s="141" t="n"/>
      <c r="BM559" s="205" t="n"/>
      <c r="BN559" s="205" t="n"/>
      <c r="BO559" s="206" t="n"/>
      <c r="BP559" s="144" t="n"/>
      <c r="BQ559" s="141" t="n"/>
      <c r="BR559" s="207" t="n"/>
      <c r="BS559" s="207" t="n"/>
      <c r="BT559" s="207" t="n"/>
      <c r="BU559" s="207" t="n"/>
      <c r="BV559" s="208" t="n"/>
      <c r="BW559" s="207" t="n"/>
      <c r="BX559" s="207" t="n"/>
      <c r="BY559" s="204" t="n"/>
      <c r="BZ559" s="148" t="n"/>
      <c r="CA559" s="204" t="n"/>
      <c r="CB559" s="208" t="n"/>
      <c r="CC559" s="139" t="n"/>
      <c r="CD559" s="204" t="n"/>
      <c r="CE559" s="204" t="n"/>
      <c r="CF559" s="207" t="n"/>
      <c r="CG559" s="208" t="n"/>
      <c r="CH559" s="207" t="n"/>
      <c r="CI559" s="208" t="n"/>
      <c r="CJ559" s="204" t="n"/>
      <c r="CK559" s="208" t="n"/>
      <c r="CL559" s="208" t="n"/>
      <c r="CM559" s="208" t="n"/>
      <c r="CN559" s="78" t="n"/>
      <c r="CO559" s="209" t="n"/>
      <c r="CP559" s="204" t="n"/>
      <c r="CQ559" s="204" t="n"/>
      <c r="CR559" s="204" t="n"/>
      <c r="CS559" s="204" t="n"/>
      <c r="CT559" s="204" t="n"/>
      <c r="CU559" s="204" t="n"/>
      <c r="CV559" s="204" t="n"/>
      <c r="CW559" s="204" t="n"/>
      <c r="CX559" s="190" t="n"/>
    </row>
    <row r="560">
      <c r="BF560" s="78" t="n"/>
      <c r="BG560" s="78" t="n"/>
      <c r="BH560" s="78" t="n"/>
      <c r="BI560" s="78" t="n"/>
      <c r="BJ560" s="139" t="n"/>
      <c r="BK560" s="204" t="n"/>
      <c r="BL560" s="141" t="n"/>
      <c r="BM560" s="205" t="n"/>
      <c r="BN560" s="205" t="n"/>
      <c r="BO560" s="206" t="n"/>
      <c r="BP560" s="144" t="n"/>
      <c r="BQ560" s="141" t="n"/>
      <c r="BR560" s="207" t="n"/>
      <c r="BS560" s="207" t="n"/>
      <c r="BT560" s="207" t="n"/>
      <c r="BU560" s="207" t="n"/>
      <c r="BV560" s="208" t="n"/>
      <c r="BW560" s="207" t="n"/>
      <c r="BX560" s="207" t="n"/>
      <c r="BY560" s="204" t="n"/>
      <c r="BZ560" s="148" t="n"/>
      <c r="CA560" s="204" t="n"/>
      <c r="CB560" s="208" t="n"/>
      <c r="CC560" s="139" t="n"/>
      <c r="CD560" s="204" t="n"/>
      <c r="CE560" s="204" t="n"/>
      <c r="CF560" s="207" t="n"/>
      <c r="CG560" s="208" t="n"/>
      <c r="CH560" s="207" t="n"/>
      <c r="CI560" s="208" t="n"/>
      <c r="CJ560" s="204" t="n"/>
      <c r="CK560" s="208" t="n"/>
      <c r="CL560" s="208" t="n"/>
      <c r="CM560" s="208" t="n"/>
      <c r="CN560" s="78" t="n"/>
      <c r="CO560" s="209" t="n"/>
      <c r="CP560" s="204" t="n"/>
      <c r="CQ560" s="204" t="n"/>
      <c r="CR560" s="204" t="n"/>
      <c r="CS560" s="204" t="n"/>
      <c r="CT560" s="204" t="n"/>
      <c r="CU560" s="204" t="n"/>
      <c r="CV560" s="204" t="n"/>
      <c r="CW560" s="204" t="n"/>
      <c r="CX560" s="190" t="n"/>
    </row>
    <row r="561">
      <c r="BF561" s="78" t="n"/>
      <c r="BG561" s="78" t="n"/>
      <c r="BH561" s="78" t="n"/>
      <c r="BI561" s="78" t="n"/>
      <c r="BJ561" s="139" t="n"/>
      <c r="BK561" s="204" t="n"/>
      <c r="BL561" s="141" t="n"/>
      <c r="BM561" s="205" t="n"/>
      <c r="BN561" s="205" t="n"/>
      <c r="BO561" s="206" t="n"/>
      <c r="BP561" s="144" t="n"/>
      <c r="BQ561" s="141" t="n"/>
      <c r="BR561" s="207" t="n"/>
      <c r="BS561" s="207" t="n"/>
      <c r="BT561" s="207" t="n"/>
      <c r="BU561" s="207" t="n"/>
      <c r="BV561" s="208" t="n"/>
      <c r="BW561" s="207" t="n"/>
      <c r="BX561" s="207" t="n"/>
      <c r="BY561" s="204" t="n"/>
      <c r="BZ561" s="148" t="n"/>
      <c r="CA561" s="204" t="n"/>
      <c r="CB561" s="208" t="n"/>
      <c r="CC561" s="139" t="n"/>
      <c r="CD561" s="204" t="n"/>
      <c r="CE561" s="204" t="n"/>
      <c r="CF561" s="207" t="n"/>
      <c r="CG561" s="208" t="n"/>
      <c r="CH561" s="207" t="n"/>
      <c r="CI561" s="208" t="n"/>
      <c r="CJ561" s="204" t="n"/>
      <c r="CK561" s="208" t="n"/>
      <c r="CL561" s="208" t="n"/>
      <c r="CM561" s="208" t="n"/>
      <c r="CN561" s="78" t="n"/>
      <c r="CO561" s="209" t="n"/>
      <c r="CP561" s="204" t="n"/>
      <c r="CQ561" s="204" t="n"/>
      <c r="CR561" s="204" t="n"/>
      <c r="CS561" s="204" t="n"/>
      <c r="CT561" s="204" t="n"/>
      <c r="CU561" s="204" t="n"/>
      <c r="CV561" s="204" t="n"/>
      <c r="CW561" s="204" t="n"/>
      <c r="CX561" s="190" t="n"/>
    </row>
    <row r="562">
      <c r="BF562" s="78" t="n"/>
      <c r="BG562" s="78" t="n"/>
      <c r="BH562" s="78" t="n"/>
      <c r="BI562" s="78" t="n"/>
      <c r="BJ562" s="139" t="n"/>
      <c r="BK562" s="204" t="n"/>
      <c r="BL562" s="141" t="n"/>
      <c r="BM562" s="205" t="n"/>
      <c r="BN562" s="205" t="n"/>
      <c r="BO562" s="206" t="n"/>
      <c r="BP562" s="144" t="n"/>
      <c r="BQ562" s="141" t="n"/>
      <c r="BR562" s="207" t="n"/>
      <c r="BS562" s="207" t="n"/>
      <c r="BT562" s="207" t="n"/>
      <c r="BU562" s="207" t="n"/>
      <c r="BV562" s="208" t="n"/>
      <c r="BW562" s="207" t="n"/>
      <c r="BX562" s="207" t="n"/>
      <c r="BY562" s="204" t="n"/>
      <c r="BZ562" s="148" t="n"/>
      <c r="CA562" s="204" t="n"/>
      <c r="CB562" s="208" t="n"/>
      <c r="CC562" s="139" t="n"/>
      <c r="CD562" s="204" t="n"/>
      <c r="CE562" s="204" t="n"/>
      <c r="CF562" s="207" t="n"/>
      <c r="CG562" s="208" t="n"/>
      <c r="CH562" s="207" t="n"/>
      <c r="CI562" s="208" t="n"/>
      <c r="CJ562" s="204" t="n"/>
      <c r="CK562" s="208" t="n"/>
      <c r="CL562" s="208" t="n"/>
      <c r="CM562" s="208" t="n"/>
      <c r="CN562" s="78" t="n"/>
      <c r="CO562" s="209" t="n"/>
      <c r="CP562" s="204" t="n"/>
      <c r="CQ562" s="204" t="n"/>
      <c r="CR562" s="204" t="n"/>
      <c r="CS562" s="204" t="n"/>
      <c r="CT562" s="204" t="n"/>
      <c r="CU562" s="204" t="n"/>
      <c r="CV562" s="204" t="n"/>
      <c r="CW562" s="204" t="n"/>
      <c r="CX562" s="190" t="n"/>
    </row>
    <row r="563">
      <c r="BF563" s="78" t="n"/>
      <c r="BG563" s="78" t="n"/>
      <c r="BH563" s="78" t="n"/>
      <c r="BI563" s="78" t="n"/>
      <c r="BJ563" s="139" t="n"/>
      <c r="BK563" s="204" t="n"/>
      <c r="BL563" s="141" t="n"/>
      <c r="BM563" s="205" t="n"/>
      <c r="BN563" s="205" t="n"/>
      <c r="BO563" s="206" t="n"/>
      <c r="BP563" s="144" t="n"/>
      <c r="BQ563" s="141" t="n"/>
      <c r="BR563" s="207" t="n"/>
      <c r="BS563" s="207" t="n"/>
      <c r="BT563" s="207" t="n"/>
      <c r="BU563" s="207" t="n"/>
      <c r="BV563" s="208" t="n"/>
      <c r="BW563" s="207" t="n"/>
      <c r="BX563" s="207" t="n"/>
      <c r="BY563" s="204" t="n"/>
      <c r="BZ563" s="148" t="n"/>
      <c r="CA563" s="204" t="n"/>
      <c r="CB563" s="208" t="n"/>
      <c r="CC563" s="139" t="n"/>
      <c r="CD563" s="204" t="n"/>
      <c r="CE563" s="204" t="n"/>
      <c r="CF563" s="207" t="n"/>
      <c r="CG563" s="208" t="n"/>
      <c r="CH563" s="207" t="n"/>
      <c r="CI563" s="208" t="n"/>
      <c r="CJ563" s="204" t="n"/>
      <c r="CK563" s="208" t="n"/>
      <c r="CL563" s="208" t="n"/>
      <c r="CM563" s="208" t="n"/>
      <c r="CN563" s="78" t="n"/>
      <c r="CO563" s="209" t="n"/>
      <c r="CP563" s="204" t="n"/>
      <c r="CQ563" s="204" t="n"/>
      <c r="CR563" s="204" t="n"/>
      <c r="CS563" s="204" t="n"/>
      <c r="CT563" s="204" t="n"/>
      <c r="CU563" s="204" t="n"/>
      <c r="CV563" s="204" t="n"/>
      <c r="CW563" s="204" t="n"/>
      <c r="CX563" s="190" t="n"/>
    </row>
    <row r="564">
      <c r="BF564" s="78" t="n"/>
      <c r="BG564" s="78" t="n"/>
      <c r="BH564" s="78" t="n"/>
      <c r="BI564" s="78" t="n"/>
      <c r="BJ564" s="139" t="n"/>
      <c r="BK564" s="204" t="n"/>
      <c r="BL564" s="141" t="n"/>
      <c r="BM564" s="205" t="n"/>
      <c r="BN564" s="205" t="n"/>
      <c r="BO564" s="206" t="n"/>
      <c r="BP564" s="144" t="n"/>
      <c r="BQ564" s="141" t="n"/>
      <c r="BR564" s="207" t="n"/>
      <c r="BS564" s="207" t="n"/>
      <c r="BT564" s="207" t="n"/>
      <c r="BU564" s="207" t="n"/>
      <c r="BV564" s="208" t="n"/>
      <c r="BW564" s="207" t="n"/>
      <c r="BX564" s="207" t="n"/>
      <c r="BY564" s="204" t="n"/>
      <c r="BZ564" s="148" t="n"/>
      <c r="CA564" s="204" t="n"/>
      <c r="CB564" s="208" t="n"/>
      <c r="CC564" s="139" t="n"/>
      <c r="CD564" s="204" t="n"/>
      <c r="CE564" s="204" t="n"/>
      <c r="CF564" s="207" t="n"/>
      <c r="CG564" s="208" t="n"/>
      <c r="CH564" s="207" t="n"/>
      <c r="CI564" s="208" t="n"/>
      <c r="CJ564" s="204" t="n"/>
      <c r="CK564" s="208" t="n"/>
      <c r="CL564" s="208" t="n"/>
      <c r="CM564" s="208" t="n"/>
      <c r="CN564" s="78" t="n"/>
      <c r="CO564" s="209" t="n"/>
      <c r="CP564" s="204" t="n"/>
      <c r="CQ564" s="204" t="n"/>
      <c r="CR564" s="204" t="n"/>
      <c r="CS564" s="204" t="n"/>
      <c r="CT564" s="204" t="n"/>
      <c r="CU564" s="204" t="n"/>
      <c r="CV564" s="204" t="n"/>
      <c r="CW564" s="204" t="n"/>
      <c r="CX564" s="190" t="n"/>
    </row>
    <row r="565">
      <c r="BF565" s="78" t="n"/>
      <c r="BG565" s="78" t="n"/>
      <c r="BH565" s="78" t="n"/>
      <c r="BI565" s="78" t="n"/>
      <c r="BJ565" s="139" t="n"/>
      <c r="BK565" s="204" t="n"/>
      <c r="BL565" s="141" t="n"/>
      <c r="BM565" s="205" t="n"/>
      <c r="BN565" s="205" t="n"/>
      <c r="BO565" s="206" t="n"/>
      <c r="BP565" s="144" t="n"/>
      <c r="BQ565" s="141" t="n"/>
      <c r="BR565" s="207" t="n"/>
      <c r="BS565" s="207" t="n"/>
      <c r="BT565" s="207" t="n"/>
      <c r="BU565" s="207" t="n"/>
      <c r="BV565" s="208" t="n"/>
      <c r="BW565" s="207" t="n"/>
      <c r="BX565" s="207" t="n"/>
      <c r="BY565" s="204" t="n"/>
      <c r="BZ565" s="148" t="n"/>
      <c r="CA565" s="204" t="n"/>
      <c r="CB565" s="208" t="n"/>
      <c r="CC565" s="139" t="n"/>
      <c r="CD565" s="204" t="n"/>
      <c r="CE565" s="204" t="n"/>
      <c r="CF565" s="207" t="n"/>
      <c r="CG565" s="208" t="n"/>
      <c r="CH565" s="207" t="n"/>
      <c r="CI565" s="208" t="n"/>
      <c r="CJ565" s="204" t="n"/>
      <c r="CK565" s="208" t="n"/>
      <c r="CL565" s="208" t="n"/>
      <c r="CM565" s="208" t="n"/>
      <c r="CN565" s="78" t="n"/>
      <c r="CO565" s="209" t="n"/>
      <c r="CP565" s="204" t="n"/>
      <c r="CQ565" s="204" t="n"/>
      <c r="CR565" s="204" t="n"/>
      <c r="CS565" s="204" t="n"/>
      <c r="CT565" s="204" t="n"/>
      <c r="CU565" s="204" t="n"/>
      <c r="CV565" s="204" t="n"/>
      <c r="CW565" s="204" t="n"/>
      <c r="CX565" s="190" t="n"/>
    </row>
    <row r="566">
      <c r="BF566" s="78" t="n"/>
      <c r="BG566" s="78" t="n"/>
      <c r="BH566" s="78" t="n"/>
      <c r="BI566" s="78" t="n"/>
      <c r="BJ566" s="139" t="n"/>
      <c r="BK566" s="204" t="n"/>
      <c r="BL566" s="141" t="n"/>
      <c r="BM566" s="205" t="n"/>
      <c r="BN566" s="205" t="n"/>
      <c r="BO566" s="206" t="n"/>
      <c r="BP566" s="144" t="n"/>
      <c r="BQ566" s="141" t="n"/>
      <c r="BR566" s="207" t="n"/>
      <c r="BS566" s="207" t="n"/>
      <c r="BT566" s="207" t="n"/>
      <c r="BU566" s="207" t="n"/>
      <c r="BV566" s="208" t="n"/>
      <c r="BW566" s="207" t="n"/>
      <c r="BX566" s="207" t="n"/>
      <c r="BY566" s="204" t="n"/>
      <c r="BZ566" s="148" t="n"/>
      <c r="CA566" s="204" t="n"/>
      <c r="CB566" s="208" t="n"/>
      <c r="CC566" s="139" t="n"/>
      <c r="CD566" s="204" t="n"/>
      <c r="CE566" s="204" t="n"/>
      <c r="CF566" s="207" t="n"/>
      <c r="CG566" s="208" t="n"/>
      <c r="CH566" s="207" t="n"/>
      <c r="CI566" s="208" t="n"/>
      <c r="CJ566" s="204" t="n"/>
      <c r="CK566" s="208" t="n"/>
      <c r="CL566" s="208" t="n"/>
      <c r="CM566" s="208" t="n"/>
      <c r="CN566" s="78" t="n"/>
      <c r="CO566" s="209" t="n"/>
      <c r="CP566" s="204" t="n"/>
      <c r="CQ566" s="204" t="n"/>
      <c r="CR566" s="204" t="n"/>
      <c r="CS566" s="204" t="n"/>
      <c r="CT566" s="204" t="n"/>
      <c r="CU566" s="204" t="n"/>
      <c r="CV566" s="204" t="n"/>
      <c r="CW566" s="204" t="n"/>
      <c r="CX566" s="190" t="n"/>
    </row>
    <row r="567">
      <c r="BF567" s="78" t="n"/>
      <c r="BG567" s="78" t="n"/>
      <c r="BH567" s="78" t="n"/>
      <c r="BI567" s="78" t="n"/>
      <c r="BJ567" s="139" t="n"/>
      <c r="BK567" s="204" t="n"/>
      <c r="BL567" s="141" t="n"/>
      <c r="BM567" s="205" t="n"/>
      <c r="BN567" s="205" t="n"/>
      <c r="BO567" s="206" t="n"/>
      <c r="BP567" s="144" t="n"/>
      <c r="BQ567" s="141" t="n"/>
      <c r="BR567" s="207" t="n"/>
      <c r="BS567" s="207" t="n"/>
      <c r="BT567" s="207" t="n"/>
      <c r="BU567" s="207" t="n"/>
      <c r="BV567" s="208" t="n"/>
      <c r="BW567" s="207" t="n"/>
      <c r="BX567" s="207" t="n"/>
      <c r="BY567" s="204" t="n"/>
      <c r="BZ567" s="148" t="n"/>
      <c r="CA567" s="204" t="n"/>
      <c r="CB567" s="208" t="n"/>
      <c r="CC567" s="139" t="n"/>
      <c r="CD567" s="204" t="n"/>
      <c r="CE567" s="204" t="n"/>
      <c r="CF567" s="207" t="n"/>
      <c r="CG567" s="208" t="n"/>
      <c r="CH567" s="207" t="n"/>
      <c r="CI567" s="208" t="n"/>
      <c r="CJ567" s="204" t="n"/>
      <c r="CK567" s="208" t="n"/>
      <c r="CL567" s="208" t="n"/>
      <c r="CM567" s="208" t="n"/>
      <c r="CN567" s="78" t="n"/>
      <c r="CO567" s="209" t="n"/>
      <c r="CP567" s="204" t="n"/>
      <c r="CQ567" s="204" t="n"/>
      <c r="CR567" s="204" t="n"/>
      <c r="CS567" s="204" t="n"/>
      <c r="CT567" s="204" t="n"/>
      <c r="CU567" s="204" t="n"/>
      <c r="CV567" s="204" t="n"/>
      <c r="CW567" s="204" t="n"/>
      <c r="CX567" s="190" t="n"/>
    </row>
    <row r="568">
      <c r="BF568" s="78" t="n"/>
      <c r="BG568" s="78" t="n"/>
      <c r="BH568" s="78" t="n"/>
      <c r="BI568" s="78" t="n"/>
      <c r="BJ568" s="139" t="n"/>
      <c r="BK568" s="204" t="n"/>
      <c r="BL568" s="141" t="n"/>
      <c r="BM568" s="205" t="n"/>
      <c r="BN568" s="205" t="n"/>
      <c r="BO568" s="206" t="n"/>
      <c r="BP568" s="144" t="n"/>
      <c r="BQ568" s="141" t="n"/>
      <c r="BR568" s="207" t="n"/>
      <c r="BS568" s="207" t="n"/>
      <c r="BT568" s="207" t="n"/>
      <c r="BU568" s="207" t="n"/>
      <c r="BV568" s="208" t="n"/>
      <c r="BW568" s="207" t="n"/>
      <c r="BX568" s="207" t="n"/>
      <c r="BY568" s="204" t="n"/>
      <c r="BZ568" s="148" t="n"/>
      <c r="CA568" s="204" t="n"/>
      <c r="CB568" s="208" t="n"/>
      <c r="CC568" s="139" t="n"/>
      <c r="CD568" s="204" t="n"/>
      <c r="CE568" s="204" t="n"/>
      <c r="CF568" s="207" t="n"/>
      <c r="CG568" s="208" t="n"/>
      <c r="CH568" s="207" t="n"/>
      <c r="CI568" s="208" t="n"/>
      <c r="CJ568" s="204" t="n"/>
      <c r="CK568" s="208" t="n"/>
      <c r="CL568" s="208" t="n"/>
      <c r="CM568" s="208" t="n"/>
      <c r="CN568" s="78" t="n"/>
      <c r="CO568" s="209" t="n"/>
      <c r="CP568" s="204" t="n"/>
      <c r="CQ568" s="204" t="n"/>
      <c r="CR568" s="204" t="n"/>
      <c r="CS568" s="204" t="n"/>
      <c r="CT568" s="204" t="n"/>
      <c r="CU568" s="204" t="n"/>
      <c r="CV568" s="204" t="n"/>
      <c r="CW568" s="204" t="n"/>
      <c r="CX568" s="190" t="n"/>
    </row>
    <row r="569" customFormat="1" s="154">
      <c r="W569" s="2" t="n"/>
      <c r="AF569" s="2" t="n"/>
      <c r="AG569" s="2" t="n"/>
      <c r="AH569" s="2" t="n"/>
      <c r="AI569" s="2" t="n"/>
      <c r="AJ569" s="2" t="n"/>
      <c r="BF569" s="78" t="n"/>
      <c r="BG569" s="78" t="n"/>
      <c r="BH569" s="78" t="n"/>
      <c r="BI569" s="78" t="n"/>
      <c r="BJ569" s="139" t="n"/>
      <c r="BK569" s="204" t="n"/>
      <c r="BL569" s="141" t="n"/>
      <c r="BM569" s="205" t="n"/>
      <c r="BN569" s="205" t="n"/>
      <c r="BO569" s="206" t="n"/>
      <c r="BP569" s="144" t="n"/>
      <c r="BQ569" s="141" t="n"/>
      <c r="BR569" s="207" t="n"/>
      <c r="BS569" s="207" t="n"/>
      <c r="BT569" s="207" t="n"/>
      <c r="BU569" s="207" t="n"/>
      <c r="BV569" s="208" t="n"/>
      <c r="BW569" s="207" t="n"/>
      <c r="BX569" s="207" t="n"/>
      <c r="BY569" s="204" t="n"/>
      <c r="BZ569" s="148" t="n"/>
      <c r="CA569" s="204" t="n"/>
      <c r="CB569" s="208" t="n"/>
      <c r="CC569" s="139" t="n"/>
      <c r="CD569" s="204" t="n"/>
      <c r="CE569" s="204" t="n"/>
      <c r="CF569" s="207" t="n"/>
      <c r="CG569" s="208" t="n"/>
      <c r="CH569" s="207" t="n"/>
      <c r="CI569" s="208" t="n"/>
      <c r="CJ569" s="204" t="n"/>
      <c r="CK569" s="208" t="n"/>
      <c r="CL569" s="208" t="n"/>
      <c r="CM569" s="208" t="n"/>
      <c r="CN569" s="78" t="n"/>
      <c r="CO569" s="209" t="n"/>
      <c r="CP569" s="204" t="n"/>
      <c r="CQ569" s="204" t="n"/>
      <c r="CR569" s="204" t="n"/>
      <c r="CS569" s="204" t="n"/>
      <c r="CT569" s="204" t="n"/>
      <c r="CU569" s="204" t="n"/>
      <c r="CV569" s="204" t="n"/>
      <c r="CW569" s="204" t="n"/>
    </row>
    <row r="570">
      <c r="BF570" s="78" t="n"/>
      <c r="BG570" s="78" t="n"/>
      <c r="BH570" s="78" t="n"/>
      <c r="BI570" s="78" t="n"/>
      <c r="BJ570" s="139" t="n"/>
      <c r="BK570" s="204" t="n"/>
      <c r="BL570" s="141" t="n"/>
      <c r="BM570" s="205" t="n"/>
      <c r="BN570" s="205" t="n"/>
      <c r="BO570" s="206" t="n"/>
      <c r="BP570" s="144" t="n"/>
      <c r="BQ570" s="141" t="n"/>
      <c r="BR570" s="207" t="n"/>
      <c r="BS570" s="207" t="n"/>
      <c r="BT570" s="207" t="n"/>
      <c r="BU570" s="207" t="n"/>
      <c r="BV570" s="208" t="n"/>
      <c r="BW570" s="207" t="n"/>
      <c r="BX570" s="207" t="n"/>
      <c r="BY570" s="204" t="n"/>
      <c r="BZ570" s="148" t="n"/>
      <c r="CA570" s="204" t="n"/>
      <c r="CB570" s="208" t="n"/>
      <c r="CC570" s="139" t="n"/>
      <c r="CD570" s="204" t="n"/>
      <c r="CE570" s="204" t="n"/>
      <c r="CF570" s="207" t="n"/>
      <c r="CG570" s="208" t="n"/>
      <c r="CH570" s="207" t="n"/>
      <c r="CI570" s="208" t="n"/>
      <c r="CJ570" s="204" t="n"/>
      <c r="CK570" s="208" t="n"/>
      <c r="CL570" s="208" t="n"/>
      <c r="CM570" s="208" t="n"/>
      <c r="CN570" s="78" t="n"/>
      <c r="CO570" s="209" t="n"/>
      <c r="CP570" s="204" t="n"/>
      <c r="CQ570" s="204" t="n"/>
      <c r="CR570" s="204" t="n"/>
      <c r="CS570" s="204" t="n"/>
      <c r="CT570" s="204" t="n"/>
      <c r="CU570" s="204" t="n"/>
      <c r="CV570" s="204" t="n"/>
      <c r="CW570" s="204" t="n"/>
    </row>
    <row r="571">
      <c r="BF571" s="78" t="n"/>
      <c r="BG571" s="78" t="n"/>
      <c r="BH571" s="78" t="n"/>
      <c r="BI571" s="78" t="n"/>
      <c r="BJ571" s="139" t="n"/>
      <c r="BK571" s="204" t="n"/>
      <c r="BL571" s="141" t="n"/>
      <c r="BM571" s="205" t="n"/>
      <c r="BN571" s="205" t="n"/>
      <c r="BO571" s="206" t="n"/>
      <c r="BP571" s="144" t="n"/>
      <c r="BQ571" s="141" t="n"/>
      <c r="BR571" s="207" t="n"/>
      <c r="BS571" s="207" t="n"/>
      <c r="BT571" s="207" t="n"/>
      <c r="BU571" s="207" t="n"/>
      <c r="BV571" s="208" t="n"/>
      <c r="BW571" s="207" t="n"/>
      <c r="BX571" s="207" t="n"/>
      <c r="BY571" s="204" t="n"/>
      <c r="BZ571" s="148" t="n"/>
      <c r="CA571" s="204" t="n"/>
      <c r="CB571" s="208" t="n"/>
      <c r="CC571" s="139" t="n"/>
      <c r="CD571" s="204" t="n"/>
      <c r="CE571" s="204" t="n"/>
      <c r="CF571" s="207" t="n"/>
      <c r="CG571" s="208" t="n"/>
      <c r="CH571" s="207" t="n"/>
      <c r="CI571" s="208" t="n"/>
      <c r="CJ571" s="204" t="n"/>
      <c r="CK571" s="208" t="n"/>
      <c r="CL571" s="208" t="n"/>
      <c r="CM571" s="208" t="n"/>
      <c r="CN571" s="78" t="n"/>
      <c r="CO571" s="209" t="n"/>
      <c r="CP571" s="204" t="n"/>
      <c r="CQ571" s="204" t="n"/>
      <c r="CR571" s="204" t="n"/>
      <c r="CS571" s="204" t="n"/>
      <c r="CT571" s="204" t="n"/>
      <c r="CU571" s="204" t="n"/>
      <c r="CV571" s="204" t="n"/>
      <c r="CW571" s="204" t="n"/>
    </row>
    <row r="572">
      <c r="BF572" s="78" t="n"/>
      <c r="BG572" s="78" t="n"/>
      <c r="BH572" s="78" t="n"/>
      <c r="BI572" s="78" t="n"/>
      <c r="BJ572" s="139" t="n"/>
      <c r="BK572" s="204" t="n"/>
      <c r="BL572" s="141" t="n"/>
      <c r="BM572" s="205" t="n"/>
      <c r="BN572" s="205" t="n"/>
      <c r="BO572" s="206" t="n"/>
      <c r="BP572" s="144" t="n"/>
      <c r="BQ572" s="141" t="n"/>
      <c r="BR572" s="207" t="n"/>
      <c r="BS572" s="207" t="n"/>
      <c r="BT572" s="207" t="n"/>
      <c r="BU572" s="207" t="n"/>
      <c r="BV572" s="208" t="n"/>
      <c r="BW572" s="207" t="n"/>
      <c r="BX572" s="207" t="n"/>
      <c r="BY572" s="204" t="n"/>
      <c r="BZ572" s="148" t="n"/>
      <c r="CA572" s="204" t="n"/>
      <c r="CB572" s="208" t="n"/>
      <c r="CC572" s="139" t="n"/>
      <c r="CD572" s="204" t="n"/>
      <c r="CE572" s="204" t="n"/>
      <c r="CF572" s="207" t="n"/>
      <c r="CG572" s="208" t="n"/>
      <c r="CH572" s="207" t="n"/>
      <c r="CI572" s="208" t="n"/>
      <c r="CJ572" s="204" t="n"/>
      <c r="CK572" s="208" t="n"/>
      <c r="CL572" s="208" t="n"/>
      <c r="CM572" s="208" t="n"/>
      <c r="CN572" s="78" t="n"/>
      <c r="CO572" s="209" t="n"/>
      <c r="CP572" s="204" t="n"/>
      <c r="CQ572" s="204" t="n"/>
      <c r="CR572" s="204" t="n"/>
      <c r="CS572" s="204" t="n"/>
      <c r="CT572" s="204" t="n"/>
      <c r="CU572" s="204" t="n"/>
      <c r="CV572" s="204" t="n"/>
      <c r="CW572" s="204" t="n"/>
    </row>
    <row r="573">
      <c r="BF573" s="78" t="n"/>
      <c r="BG573" s="78" t="n"/>
      <c r="BH573" s="78" t="n"/>
      <c r="BI573" s="78" t="n"/>
      <c r="BJ573" s="139" t="n"/>
      <c r="BK573" s="204" t="n"/>
      <c r="BL573" s="141" t="n"/>
      <c r="BM573" s="205" t="n"/>
      <c r="BN573" s="205" t="n"/>
      <c r="BO573" s="206" t="n"/>
      <c r="BP573" s="144" t="n"/>
      <c r="BQ573" s="141" t="n"/>
      <c r="BR573" s="207" t="n"/>
      <c r="BS573" s="207" t="n"/>
      <c r="BT573" s="207" t="n"/>
      <c r="BU573" s="207" t="n"/>
      <c r="BV573" s="208" t="n"/>
      <c r="BW573" s="207" t="n"/>
      <c r="BX573" s="207" t="n"/>
      <c r="BY573" s="204" t="n"/>
      <c r="BZ573" s="148" t="n"/>
      <c r="CA573" s="204" t="n"/>
      <c r="CB573" s="208" t="n"/>
      <c r="CC573" s="139" t="n"/>
      <c r="CD573" s="204" t="n"/>
      <c r="CE573" s="204" t="n"/>
      <c r="CF573" s="207" t="n"/>
      <c r="CG573" s="208" t="n"/>
      <c r="CH573" s="207" t="n"/>
      <c r="CI573" s="208" t="n"/>
      <c r="CJ573" s="204" t="n"/>
      <c r="CK573" s="208" t="n"/>
      <c r="CL573" s="208" t="n"/>
      <c r="CM573" s="208" t="n"/>
      <c r="CN573" s="78" t="n"/>
      <c r="CO573" s="209" t="n"/>
      <c r="CP573" s="204" t="n"/>
      <c r="CQ573" s="204" t="n"/>
      <c r="CR573" s="204" t="n"/>
      <c r="CS573" s="204" t="n"/>
      <c r="CT573" s="204" t="n"/>
      <c r="CU573" s="204" t="n"/>
      <c r="CV573" s="204" t="n"/>
      <c r="CW573" s="204" t="n"/>
    </row>
    <row r="574">
      <c r="BF574" s="78" t="n"/>
      <c r="BG574" s="78" t="n"/>
      <c r="BH574" s="78" t="n"/>
      <c r="BI574" s="78" t="n"/>
      <c r="BJ574" s="139" t="n"/>
      <c r="BK574" s="204" t="n"/>
      <c r="BL574" s="141" t="n"/>
      <c r="BM574" s="205" t="n"/>
      <c r="BN574" s="205" t="n"/>
      <c r="BO574" s="206" t="n"/>
      <c r="BP574" s="144" t="n"/>
      <c r="BQ574" s="141" t="n"/>
      <c r="BR574" s="207" t="n"/>
      <c r="BS574" s="207" t="n"/>
      <c r="BT574" s="207" t="n"/>
      <c r="BU574" s="207" t="n"/>
      <c r="BV574" s="208" t="n"/>
      <c r="BW574" s="207" t="n"/>
      <c r="BX574" s="207" t="n"/>
      <c r="BY574" s="204" t="n"/>
      <c r="BZ574" s="148" t="n"/>
      <c r="CA574" s="204" t="n"/>
      <c r="CB574" s="208" t="n"/>
      <c r="CC574" s="139" t="n"/>
      <c r="CD574" s="204" t="n"/>
      <c r="CE574" s="204" t="n"/>
      <c r="CF574" s="207" t="n"/>
      <c r="CG574" s="208" t="n"/>
      <c r="CH574" s="207" t="n"/>
      <c r="CI574" s="208" t="n"/>
      <c r="CJ574" s="204" t="n"/>
      <c r="CK574" s="208" t="n"/>
      <c r="CL574" s="208" t="n"/>
      <c r="CM574" s="208" t="n"/>
      <c r="CN574" s="78" t="n"/>
      <c r="CO574" s="209" t="n"/>
      <c r="CP574" s="204" t="n"/>
      <c r="CQ574" s="204" t="n"/>
      <c r="CR574" s="204" t="n"/>
      <c r="CS574" s="204" t="n"/>
      <c r="CT574" s="204" t="n"/>
      <c r="CU574" s="204" t="n"/>
      <c r="CV574" s="204" t="n"/>
      <c r="CW574" s="204" t="n"/>
    </row>
    <row r="575">
      <c r="BF575" s="78" t="n"/>
      <c r="BG575" s="78" t="n"/>
      <c r="BH575" s="78" t="n"/>
      <c r="BI575" s="78" t="n"/>
      <c r="BJ575" s="139" t="n"/>
      <c r="BK575" s="204" t="n"/>
      <c r="BL575" s="141" t="n"/>
      <c r="BM575" s="205" t="n"/>
      <c r="BN575" s="205" t="n"/>
      <c r="BO575" s="206" t="n"/>
      <c r="BP575" s="144" t="n"/>
      <c r="BQ575" s="141" t="n"/>
      <c r="BR575" s="207" t="n"/>
      <c r="BS575" s="207" t="n"/>
      <c r="BT575" s="207" t="n"/>
      <c r="BU575" s="207" t="n"/>
      <c r="BV575" s="208" t="n"/>
      <c r="BW575" s="207" t="n"/>
      <c r="BX575" s="207" t="n"/>
      <c r="BY575" s="204" t="n"/>
      <c r="BZ575" s="148" t="n"/>
      <c r="CA575" s="204" t="n"/>
      <c r="CB575" s="208" t="n"/>
      <c r="CC575" s="139" t="n"/>
      <c r="CD575" s="204" t="n"/>
      <c r="CE575" s="204" t="n"/>
      <c r="CF575" s="207" t="n"/>
      <c r="CG575" s="208" t="n"/>
      <c r="CH575" s="207" t="n"/>
      <c r="CI575" s="208" t="n"/>
      <c r="CJ575" s="204" t="n"/>
      <c r="CK575" s="208" t="n"/>
      <c r="CL575" s="208" t="n"/>
      <c r="CM575" s="208" t="n"/>
      <c r="CN575" s="78" t="n"/>
      <c r="CO575" s="209" t="n"/>
      <c r="CP575" s="204" t="n"/>
      <c r="CQ575" s="204" t="n"/>
      <c r="CR575" s="204" t="n"/>
      <c r="CS575" s="204" t="n"/>
      <c r="CT575" s="204" t="n"/>
      <c r="CU575" s="204" t="n"/>
      <c r="CV575" s="204" t="n"/>
      <c r="CW575" s="204" t="n"/>
    </row>
    <row r="576">
      <c r="BF576" s="78" t="n"/>
      <c r="BG576" s="78" t="n"/>
      <c r="BH576" s="78" t="n"/>
      <c r="BI576" s="78" t="n"/>
      <c r="BJ576" s="139" t="n"/>
      <c r="BK576" s="204" t="n"/>
      <c r="BL576" s="141" t="n"/>
      <c r="BM576" s="205" t="n"/>
      <c r="BN576" s="205" t="n"/>
      <c r="BO576" s="206" t="n"/>
      <c r="BP576" s="144" t="n"/>
      <c r="BQ576" s="141" t="n"/>
      <c r="BR576" s="207" t="n"/>
      <c r="BS576" s="207" t="n"/>
      <c r="BT576" s="207" t="n"/>
      <c r="BU576" s="207" t="n"/>
      <c r="BV576" s="208" t="n"/>
      <c r="BW576" s="207" t="n"/>
      <c r="BX576" s="207" t="n"/>
      <c r="BY576" s="204" t="n"/>
      <c r="BZ576" s="148" t="n"/>
      <c r="CA576" s="204" t="n"/>
      <c r="CB576" s="208" t="n"/>
      <c r="CC576" s="139" t="n"/>
      <c r="CD576" s="204" t="n"/>
      <c r="CE576" s="204" t="n"/>
      <c r="CF576" s="207" t="n"/>
      <c r="CG576" s="208" t="n"/>
      <c r="CH576" s="207" t="n"/>
      <c r="CI576" s="208" t="n"/>
      <c r="CJ576" s="204" t="n"/>
      <c r="CK576" s="208" t="n"/>
      <c r="CL576" s="208" t="n"/>
      <c r="CM576" s="208" t="n"/>
      <c r="CN576" s="78" t="n"/>
      <c r="CO576" s="209" t="n"/>
      <c r="CP576" s="204" t="n"/>
      <c r="CQ576" s="204" t="n"/>
      <c r="CR576" s="204" t="n"/>
      <c r="CS576" s="204" t="n"/>
      <c r="CT576" s="204" t="n"/>
      <c r="CU576" s="204" t="n"/>
      <c r="CV576" s="204" t="n"/>
      <c r="CW576" s="204" t="n"/>
    </row>
    <row r="577">
      <c r="AR577" s="151" t="n"/>
      <c r="BF577" s="78" t="n"/>
      <c r="BG577" s="78" t="n"/>
      <c r="BH577" s="78" t="n"/>
      <c r="BI577" s="78" t="n"/>
      <c r="BJ577" s="139" t="n"/>
      <c r="BK577" s="204" t="n"/>
      <c r="BL577" s="141" t="n"/>
      <c r="BM577" s="205" t="n"/>
      <c r="BN577" s="205" t="n"/>
      <c r="BO577" s="206" t="n"/>
      <c r="BP577" s="144" t="n"/>
      <c r="BQ577" s="141" t="n"/>
      <c r="BR577" s="207" t="n"/>
      <c r="BS577" s="207" t="n"/>
      <c r="BT577" s="207" t="n"/>
      <c r="BU577" s="207" t="n"/>
      <c r="BV577" s="208" t="n"/>
      <c r="BW577" s="207" t="n"/>
      <c r="BX577" s="207" t="n"/>
      <c r="BY577" s="204" t="n"/>
      <c r="BZ577" s="148" t="n"/>
      <c r="CA577" s="204" t="n"/>
      <c r="CB577" s="208" t="n"/>
      <c r="CC577" s="139" t="n"/>
      <c r="CD577" s="204" t="n"/>
      <c r="CE577" s="204" t="n"/>
      <c r="CF577" s="207" t="n"/>
      <c r="CG577" s="208" t="n"/>
      <c r="CH577" s="207" t="n"/>
      <c r="CI577" s="208" t="n"/>
      <c r="CJ577" s="204" t="n"/>
      <c r="CK577" s="208" t="n"/>
      <c r="CL577" s="208" t="n"/>
      <c r="CM577" s="208" t="n"/>
      <c r="CN577" s="78" t="n"/>
      <c r="CO577" s="209" t="n"/>
      <c r="CP577" s="204" t="n"/>
      <c r="CQ577" s="204" t="n"/>
      <c r="CR577" s="204" t="n"/>
      <c r="CS577" s="204" t="n"/>
      <c r="CT577" s="204" t="n"/>
      <c r="CU577" s="204" t="n"/>
      <c r="CV577" s="204" t="n"/>
      <c r="CW577" s="204" t="n"/>
    </row>
    <row r="578">
      <c r="BF578" s="78" t="n"/>
      <c r="BG578" s="78" t="n"/>
      <c r="BH578" s="78" t="n"/>
      <c r="BI578" s="78" t="n"/>
      <c r="BJ578" s="139" t="n"/>
      <c r="BK578" s="204" t="n"/>
      <c r="BL578" s="141" t="n"/>
      <c r="BM578" s="205" t="n"/>
      <c r="BN578" s="205" t="n"/>
      <c r="BO578" s="206" t="n"/>
      <c r="BP578" s="144" t="n"/>
      <c r="BQ578" s="141" t="n"/>
      <c r="BR578" s="207" t="n"/>
      <c r="BS578" s="207" t="n"/>
      <c r="BT578" s="207" t="n"/>
      <c r="BU578" s="207" t="n"/>
      <c r="BV578" s="208" t="n"/>
      <c r="BW578" s="207" t="n"/>
      <c r="BX578" s="207" t="n"/>
      <c r="BY578" s="204" t="n"/>
      <c r="BZ578" s="148" t="n"/>
      <c r="CA578" s="204" t="n"/>
      <c r="CB578" s="208" t="n"/>
      <c r="CC578" s="139" t="n"/>
      <c r="CD578" s="204" t="n"/>
      <c r="CE578" s="204" t="n"/>
      <c r="CF578" s="207" t="n"/>
      <c r="CG578" s="208" t="n"/>
      <c r="CH578" s="207" t="n"/>
      <c r="CI578" s="208" t="n"/>
      <c r="CJ578" s="204" t="n"/>
      <c r="CK578" s="208" t="n"/>
      <c r="CL578" s="208" t="n"/>
      <c r="CM578" s="208" t="n"/>
      <c r="CN578" s="78" t="n"/>
      <c r="CO578" s="209" t="n"/>
      <c r="CP578" s="204" t="n"/>
      <c r="CQ578" s="204" t="n"/>
      <c r="CR578" s="204" t="n"/>
      <c r="CS578" s="204" t="n"/>
      <c r="CT578" s="204" t="n"/>
      <c r="CU578" s="204" t="n"/>
      <c r="CV578" s="204" t="n"/>
      <c r="CW578" s="204" t="n"/>
    </row>
    <row r="579">
      <c r="BF579" s="78" t="n"/>
      <c r="BG579" s="78" t="n"/>
      <c r="BH579" s="78" t="n"/>
      <c r="BI579" s="78" t="n"/>
      <c r="BJ579" s="139" t="n"/>
      <c r="BK579" s="204" t="n"/>
      <c r="BL579" s="141" t="n"/>
      <c r="BM579" s="205" t="n"/>
      <c r="BN579" s="205" t="n"/>
      <c r="BO579" s="206" t="n"/>
      <c r="BP579" s="144" t="n"/>
      <c r="BQ579" s="141" t="n"/>
      <c r="BR579" s="207" t="n"/>
      <c r="BS579" s="207" t="n"/>
      <c r="BT579" s="207" t="n"/>
      <c r="BU579" s="207" t="n"/>
      <c r="BV579" s="208" t="n"/>
      <c r="BW579" s="207" t="n"/>
      <c r="BX579" s="207" t="n"/>
      <c r="BY579" s="204" t="n"/>
      <c r="BZ579" s="148" t="n"/>
      <c r="CA579" s="204" t="n"/>
      <c r="CB579" s="208" t="n"/>
      <c r="CC579" s="139" t="n"/>
      <c r="CD579" s="204" t="n"/>
      <c r="CE579" s="204" t="n"/>
      <c r="CF579" s="207" t="n"/>
      <c r="CG579" s="208" t="n"/>
      <c r="CH579" s="207" t="n"/>
      <c r="CI579" s="208" t="n"/>
      <c r="CJ579" s="204" t="n"/>
      <c r="CK579" s="208" t="n"/>
      <c r="CL579" s="208" t="n"/>
      <c r="CM579" s="208" t="n"/>
      <c r="CN579" s="78" t="n"/>
      <c r="CO579" s="209" t="n"/>
      <c r="CP579" s="204" t="n"/>
      <c r="CQ579" s="204" t="n"/>
      <c r="CR579" s="204" t="n"/>
      <c r="CS579" s="204" t="n"/>
      <c r="CT579" s="204" t="n"/>
      <c r="CU579" s="204" t="n"/>
      <c r="CV579" s="204" t="n"/>
      <c r="CW579" s="204" t="n"/>
    </row>
    <row r="580">
      <c r="BF580" s="78" t="n"/>
      <c r="BG580" s="78" t="n"/>
      <c r="BH580" s="78" t="n"/>
      <c r="BI580" s="78" t="n"/>
      <c r="BJ580" s="139" t="n"/>
      <c r="BK580" s="204" t="n"/>
      <c r="BL580" s="141" t="n"/>
      <c r="BM580" s="205" t="n"/>
      <c r="BN580" s="205" t="n"/>
      <c r="BO580" s="206" t="n"/>
      <c r="BP580" s="144" t="n"/>
      <c r="BQ580" s="141" t="n"/>
      <c r="BR580" s="207" t="n"/>
      <c r="BS580" s="207" t="n"/>
      <c r="BT580" s="207" t="n"/>
      <c r="BU580" s="207" t="n"/>
      <c r="BV580" s="208" t="n"/>
      <c r="BW580" s="207" t="n"/>
      <c r="BX580" s="207" t="n"/>
      <c r="BY580" s="204" t="n"/>
      <c r="BZ580" s="148" t="n"/>
      <c r="CA580" s="204" t="n"/>
      <c r="CB580" s="208" t="n"/>
      <c r="CC580" s="139" t="n"/>
      <c r="CD580" s="204" t="n"/>
      <c r="CE580" s="204" t="n"/>
      <c r="CF580" s="207" t="n"/>
      <c r="CG580" s="208" t="n"/>
      <c r="CH580" s="207" t="n"/>
      <c r="CI580" s="208" t="n"/>
      <c r="CJ580" s="204" t="n"/>
      <c r="CK580" s="208" t="n"/>
      <c r="CL580" s="208" t="n"/>
      <c r="CM580" s="208" t="n"/>
      <c r="CN580" s="78" t="n"/>
      <c r="CO580" s="209" t="n"/>
      <c r="CP580" s="204" t="n"/>
      <c r="CQ580" s="204" t="n"/>
      <c r="CR580" s="204" t="n"/>
      <c r="CS580" s="204" t="n"/>
      <c r="CT580" s="204" t="n"/>
      <c r="CU580" s="204" t="n"/>
      <c r="CV580" s="204" t="n"/>
      <c r="CW580" s="204" t="n"/>
    </row>
    <row r="581">
      <c r="BF581" s="78" t="n"/>
      <c r="BG581" s="78" t="n"/>
      <c r="BH581" s="78" t="n"/>
      <c r="BI581" s="78" t="n"/>
      <c r="BJ581" s="139" t="n"/>
      <c r="BK581" s="204" t="n"/>
      <c r="BL581" s="141" t="n"/>
      <c r="BM581" s="205" t="n"/>
      <c r="BN581" s="205" t="n"/>
      <c r="BO581" s="206" t="n"/>
      <c r="BP581" s="144" t="n"/>
      <c r="BQ581" s="141" t="n"/>
      <c r="BR581" s="207" t="n"/>
      <c r="BS581" s="207" t="n"/>
      <c r="BT581" s="207" t="n"/>
      <c r="BU581" s="207" t="n"/>
      <c r="BV581" s="208" t="n"/>
      <c r="BW581" s="207" t="n"/>
      <c r="BX581" s="207" t="n"/>
      <c r="BY581" s="204" t="n"/>
      <c r="BZ581" s="148" t="n"/>
      <c r="CA581" s="204" t="n"/>
      <c r="CB581" s="208" t="n"/>
      <c r="CC581" s="139" t="n"/>
      <c r="CD581" s="204" t="n"/>
      <c r="CE581" s="204" t="n"/>
      <c r="CF581" s="207" t="n"/>
      <c r="CG581" s="208" t="n"/>
      <c r="CH581" s="207" t="n"/>
      <c r="CI581" s="208" t="n"/>
      <c r="CJ581" s="204" t="n"/>
      <c r="CK581" s="208" t="n"/>
      <c r="CL581" s="208" t="n"/>
      <c r="CM581" s="208" t="n"/>
      <c r="CN581" s="78" t="n"/>
      <c r="CO581" s="209" t="n"/>
      <c r="CP581" s="204" t="n"/>
      <c r="CQ581" s="204" t="n"/>
      <c r="CR581" s="204" t="n"/>
      <c r="CS581" s="204" t="n"/>
      <c r="CT581" s="204" t="n"/>
      <c r="CU581" s="204" t="n"/>
      <c r="CV581" s="204" t="n"/>
      <c r="CW581" s="204" t="n"/>
    </row>
    <row r="582">
      <c r="BF582" s="78" t="n"/>
      <c r="BG582" s="78" t="n"/>
      <c r="BH582" s="78" t="n"/>
      <c r="BI582" s="78" t="n"/>
      <c r="BJ582" s="139" t="n"/>
      <c r="BK582" s="204" t="n"/>
      <c r="BL582" s="141" t="n"/>
      <c r="BM582" s="205" t="n"/>
      <c r="BN582" s="205" t="n"/>
      <c r="BO582" s="206" t="n"/>
      <c r="BP582" s="144" t="n"/>
      <c r="BQ582" s="141" t="n"/>
      <c r="BR582" s="207" t="n"/>
      <c r="BS582" s="207" t="n"/>
      <c r="BT582" s="207" t="n"/>
      <c r="BU582" s="207" t="n"/>
      <c r="BV582" s="208" t="n"/>
      <c r="BW582" s="207" t="n"/>
      <c r="BX582" s="207" t="n"/>
      <c r="BY582" s="204" t="n"/>
      <c r="BZ582" s="148" t="n"/>
      <c r="CA582" s="204" t="n"/>
      <c r="CB582" s="208" t="n"/>
      <c r="CC582" s="139" t="n"/>
      <c r="CD582" s="204" t="n"/>
      <c r="CE582" s="204" t="n"/>
      <c r="CF582" s="207" t="n"/>
      <c r="CG582" s="208" t="n"/>
      <c r="CH582" s="207" t="n"/>
      <c r="CI582" s="208" t="n"/>
      <c r="CJ582" s="204" t="n"/>
      <c r="CK582" s="208" t="n"/>
      <c r="CL582" s="208" t="n"/>
      <c r="CM582" s="208" t="n"/>
      <c r="CN582" s="78" t="n"/>
      <c r="CO582" s="209" t="n"/>
      <c r="CP582" s="204" t="n"/>
      <c r="CQ582" s="204" t="n"/>
      <c r="CR582" s="204" t="n"/>
      <c r="CS582" s="204" t="n"/>
      <c r="CT582" s="204" t="n"/>
      <c r="CU582" s="204" t="n"/>
      <c r="CV582" s="204" t="n"/>
      <c r="CW582" s="204" t="n"/>
    </row>
    <row r="583">
      <c r="BF583" s="78" t="n"/>
      <c r="BG583" s="78" t="n"/>
      <c r="BH583" s="78" t="n"/>
      <c r="BI583" s="78" t="n"/>
      <c r="BJ583" s="139" t="n"/>
      <c r="BK583" s="204" t="n"/>
      <c r="BL583" s="141" t="n"/>
      <c r="BM583" s="205" t="n"/>
      <c r="BN583" s="205" t="n"/>
      <c r="BO583" s="206" t="n"/>
      <c r="BP583" s="144" t="n"/>
      <c r="BQ583" s="141" t="n"/>
      <c r="BR583" s="207" t="n"/>
      <c r="BS583" s="207" t="n"/>
      <c r="BT583" s="207" t="n"/>
      <c r="BU583" s="207" t="n"/>
      <c r="BV583" s="208" t="n"/>
      <c r="BW583" s="207" t="n"/>
      <c r="BX583" s="207" t="n"/>
      <c r="BY583" s="204" t="n"/>
      <c r="BZ583" s="148" t="n"/>
      <c r="CA583" s="204" t="n"/>
      <c r="CB583" s="208" t="n"/>
      <c r="CC583" s="139" t="n"/>
      <c r="CD583" s="204" t="n"/>
      <c r="CE583" s="204" t="n"/>
      <c r="CF583" s="207" t="n"/>
      <c r="CG583" s="208" t="n"/>
      <c r="CH583" s="207" t="n"/>
      <c r="CI583" s="208" t="n"/>
      <c r="CJ583" s="204" t="n"/>
      <c r="CK583" s="208" t="n"/>
      <c r="CL583" s="208" t="n"/>
      <c r="CM583" s="208" t="n"/>
      <c r="CN583" s="78" t="n"/>
      <c r="CO583" s="209" t="n"/>
      <c r="CP583" s="204" t="n"/>
      <c r="CQ583" s="204" t="n"/>
      <c r="CR583" s="204" t="n"/>
      <c r="CS583" s="204" t="n"/>
      <c r="CT583" s="204" t="n"/>
      <c r="CU583" s="204" t="n"/>
      <c r="CV583" s="204" t="n"/>
      <c r="CW583" s="204" t="n"/>
    </row>
    <row r="584">
      <c r="BF584" s="78" t="n"/>
      <c r="BG584" s="78" t="n"/>
      <c r="BH584" s="78" t="n"/>
      <c r="BI584" s="78" t="n"/>
      <c r="BJ584" s="139" t="n"/>
      <c r="BK584" s="204" t="n"/>
      <c r="BL584" s="141" t="n"/>
      <c r="BM584" s="205" t="n"/>
      <c r="BN584" s="205" t="n"/>
      <c r="BO584" s="206" t="n"/>
      <c r="BP584" s="144" t="n"/>
      <c r="BQ584" s="141" t="n"/>
      <c r="BR584" s="207" t="n"/>
      <c r="BS584" s="207" t="n"/>
      <c r="BT584" s="207" t="n"/>
      <c r="BU584" s="207" t="n"/>
      <c r="BV584" s="208" t="n"/>
      <c r="BW584" s="207" t="n"/>
      <c r="BX584" s="207" t="n"/>
      <c r="BY584" s="204" t="n"/>
      <c r="BZ584" s="148" t="n"/>
      <c r="CA584" s="204" t="n"/>
      <c r="CB584" s="208" t="n"/>
      <c r="CC584" s="139" t="n"/>
      <c r="CD584" s="204" t="n"/>
      <c r="CE584" s="204" t="n"/>
      <c r="CF584" s="207" t="n"/>
      <c r="CG584" s="208" t="n"/>
      <c r="CH584" s="207" t="n"/>
      <c r="CI584" s="208" t="n"/>
      <c r="CJ584" s="204" t="n"/>
      <c r="CK584" s="208" t="n"/>
      <c r="CL584" s="208" t="n"/>
      <c r="CM584" s="208" t="n"/>
      <c r="CN584" s="78" t="n"/>
      <c r="CO584" s="209" t="n"/>
      <c r="CP584" s="204" t="n"/>
      <c r="CQ584" s="204" t="n"/>
      <c r="CR584" s="204" t="n"/>
      <c r="CS584" s="204" t="n"/>
      <c r="CT584" s="204" t="n"/>
      <c r="CU584" s="204" t="n"/>
      <c r="CV584" s="204" t="n"/>
      <c r="CW584" s="204" t="n"/>
    </row>
    <row r="585">
      <c r="BF585" s="78" t="n"/>
      <c r="BG585" s="78" t="n"/>
      <c r="BH585" s="78" t="n"/>
      <c r="BI585" s="78" t="n"/>
      <c r="BJ585" s="139" t="n"/>
      <c r="BK585" s="204" t="n"/>
      <c r="BL585" s="141" t="n"/>
      <c r="BM585" s="205" t="n"/>
      <c r="BN585" s="205" t="n"/>
      <c r="BO585" s="206" t="n"/>
      <c r="BP585" s="144" t="n"/>
      <c r="BQ585" s="141" t="n"/>
      <c r="BR585" s="207" t="n"/>
      <c r="BS585" s="207" t="n"/>
      <c r="BT585" s="207" t="n"/>
      <c r="BU585" s="207" t="n"/>
      <c r="BV585" s="208" t="n"/>
      <c r="BW585" s="207" t="n"/>
      <c r="BX585" s="207" t="n"/>
      <c r="BY585" s="204" t="n"/>
      <c r="BZ585" s="148" t="n"/>
      <c r="CA585" s="204" t="n"/>
      <c r="CB585" s="208" t="n"/>
      <c r="CC585" s="139" t="n"/>
      <c r="CD585" s="204" t="n"/>
      <c r="CE585" s="204" t="n"/>
      <c r="CF585" s="207" t="n"/>
      <c r="CG585" s="208" t="n"/>
      <c r="CH585" s="207" t="n"/>
      <c r="CI585" s="208" t="n"/>
      <c r="CJ585" s="204" t="n"/>
      <c r="CK585" s="208" t="n"/>
      <c r="CL585" s="208" t="n"/>
      <c r="CM585" s="208" t="n"/>
      <c r="CN585" s="78" t="n"/>
      <c r="CO585" s="209" t="n"/>
      <c r="CP585" s="204" t="n"/>
      <c r="CQ585" s="204" t="n"/>
      <c r="CR585" s="204" t="n"/>
      <c r="CS585" s="204" t="n"/>
      <c r="CT585" s="204" t="n"/>
      <c r="CU585" s="204" t="n"/>
      <c r="CV585" s="204" t="n"/>
      <c r="CW585" s="204" t="n"/>
    </row>
    <row r="586">
      <c r="BF586" s="78" t="n"/>
      <c r="BG586" s="78" t="n"/>
      <c r="BH586" s="78" t="n"/>
      <c r="BI586" s="78" t="n"/>
      <c r="BJ586" s="139" t="n"/>
      <c r="BK586" s="204" t="n"/>
      <c r="BL586" s="141" t="n"/>
      <c r="BM586" s="205" t="n"/>
      <c r="BN586" s="205" t="n"/>
      <c r="BO586" s="206" t="n"/>
      <c r="BP586" s="144" t="n"/>
      <c r="BQ586" s="141" t="n"/>
      <c r="BR586" s="207" t="n"/>
      <c r="BS586" s="207" t="n"/>
      <c r="BT586" s="207" t="n"/>
      <c r="BU586" s="207" t="n"/>
      <c r="BV586" s="208" t="n"/>
      <c r="BW586" s="207" t="n"/>
      <c r="BX586" s="207" t="n"/>
      <c r="BY586" s="204" t="n"/>
      <c r="BZ586" s="148" t="n"/>
      <c r="CA586" s="204" t="n"/>
      <c r="CB586" s="208" t="n"/>
      <c r="CC586" s="139" t="n"/>
      <c r="CD586" s="204" t="n"/>
      <c r="CE586" s="204" t="n"/>
      <c r="CF586" s="207" t="n"/>
      <c r="CG586" s="208" t="n"/>
      <c r="CH586" s="207" t="n"/>
      <c r="CI586" s="208" t="n"/>
      <c r="CJ586" s="204" t="n"/>
      <c r="CK586" s="208" t="n"/>
      <c r="CL586" s="208" t="n"/>
      <c r="CM586" s="208" t="n"/>
      <c r="CN586" s="78" t="n"/>
      <c r="CO586" s="209" t="n"/>
      <c r="CP586" s="204" t="n"/>
      <c r="CQ586" s="204" t="n"/>
      <c r="CR586" s="204" t="n"/>
      <c r="CS586" s="204" t="n"/>
      <c r="CT586" s="204" t="n"/>
      <c r="CU586" s="204" t="n"/>
      <c r="CV586" s="204" t="n"/>
      <c r="CW586" s="204" t="n"/>
    </row>
    <row r="587">
      <c r="BF587" s="78" t="n"/>
      <c r="BG587" s="78" t="n"/>
      <c r="BH587" s="78" t="n"/>
      <c r="BI587" s="78" t="n"/>
      <c r="BJ587" s="139" t="n"/>
      <c r="BK587" s="204" t="n"/>
      <c r="BL587" s="141" t="n"/>
      <c r="BM587" s="205" t="n"/>
      <c r="BN587" s="205" t="n"/>
      <c r="BO587" s="206" t="n"/>
      <c r="BP587" s="144" t="n"/>
      <c r="BQ587" s="141" t="n"/>
      <c r="BR587" s="207" t="n"/>
      <c r="BS587" s="207" t="n"/>
      <c r="BT587" s="207" t="n"/>
      <c r="BU587" s="207" t="n"/>
      <c r="BV587" s="208" t="n"/>
      <c r="BW587" s="207" t="n"/>
      <c r="BX587" s="207" t="n"/>
      <c r="BY587" s="204" t="n"/>
      <c r="BZ587" s="148" t="n"/>
      <c r="CA587" s="204" t="n"/>
      <c r="CB587" s="208" t="n"/>
      <c r="CC587" s="139" t="n"/>
      <c r="CD587" s="204" t="n"/>
      <c r="CE587" s="204" t="n"/>
      <c r="CF587" s="207" t="n"/>
      <c r="CG587" s="208" t="n"/>
      <c r="CH587" s="207" t="n"/>
      <c r="CI587" s="208" t="n"/>
      <c r="CJ587" s="204" t="n"/>
      <c r="CK587" s="208" t="n"/>
      <c r="CL587" s="208" t="n"/>
      <c r="CM587" s="208" t="n"/>
      <c r="CN587" s="78" t="n"/>
      <c r="CO587" s="209" t="n"/>
      <c r="CP587" s="204" t="n"/>
      <c r="CQ587" s="204" t="n"/>
      <c r="CR587" s="204" t="n"/>
      <c r="CS587" s="204" t="n"/>
      <c r="CT587" s="204" t="n"/>
      <c r="CU587" s="204" t="n"/>
      <c r="CV587" s="204" t="n"/>
      <c r="CW587" s="204" t="n"/>
    </row>
    <row r="588">
      <c r="BF588" s="78" t="n"/>
      <c r="BG588" s="78" t="n"/>
      <c r="BH588" s="78" t="n"/>
      <c r="BI588" s="78" t="n"/>
      <c r="BJ588" s="139" t="n"/>
      <c r="BK588" s="204" t="n"/>
      <c r="BL588" s="141" t="n"/>
      <c r="BM588" s="205" t="n"/>
      <c r="BN588" s="205" t="n"/>
      <c r="BO588" s="206" t="n"/>
      <c r="BP588" s="144" t="n"/>
      <c r="BQ588" s="141" t="n"/>
      <c r="BR588" s="207" t="n"/>
      <c r="BS588" s="207" t="n"/>
      <c r="BT588" s="207" t="n"/>
      <c r="BU588" s="207" t="n"/>
      <c r="BV588" s="208" t="n"/>
      <c r="BW588" s="207" t="n"/>
      <c r="BX588" s="207" t="n"/>
      <c r="BY588" s="204" t="n"/>
      <c r="BZ588" s="148" t="n"/>
      <c r="CA588" s="204" t="n"/>
      <c r="CB588" s="208" t="n"/>
      <c r="CC588" s="139" t="n"/>
      <c r="CD588" s="204" t="n"/>
      <c r="CE588" s="204" t="n"/>
      <c r="CF588" s="207" t="n"/>
      <c r="CG588" s="208" t="n"/>
      <c r="CH588" s="207" t="n"/>
      <c r="CI588" s="208" t="n"/>
      <c r="CJ588" s="204" t="n"/>
      <c r="CK588" s="208" t="n"/>
      <c r="CL588" s="208" t="n"/>
      <c r="CM588" s="208" t="n"/>
      <c r="CN588" s="78" t="n"/>
      <c r="CO588" s="209" t="n"/>
      <c r="CP588" s="204" t="n"/>
      <c r="CQ588" s="204" t="n"/>
      <c r="CR588" s="204" t="n"/>
      <c r="CS588" s="204" t="n"/>
      <c r="CT588" s="204" t="n"/>
      <c r="CU588" s="204" t="n"/>
      <c r="CV588" s="204" t="n"/>
      <c r="CW588" s="204" t="n"/>
    </row>
    <row r="589">
      <c r="BF589" s="78" t="n"/>
      <c r="BG589" s="78" t="n"/>
      <c r="BH589" s="78" t="n"/>
      <c r="BI589" s="78" t="n"/>
      <c r="BJ589" s="139" t="n"/>
      <c r="BK589" s="204" t="n"/>
      <c r="BL589" s="141" t="n"/>
      <c r="BM589" s="205" t="n"/>
      <c r="BN589" s="205" t="n"/>
      <c r="BO589" s="206" t="n"/>
      <c r="BP589" s="144" t="n"/>
      <c r="BQ589" s="141" t="n"/>
      <c r="BR589" s="207" t="n"/>
      <c r="BS589" s="207" t="n"/>
      <c r="BT589" s="207" t="n"/>
      <c r="BU589" s="207" t="n"/>
      <c r="BV589" s="208" t="n"/>
      <c r="BW589" s="207" t="n"/>
      <c r="BX589" s="207" t="n"/>
      <c r="BY589" s="204" t="n"/>
      <c r="BZ589" s="148" t="n"/>
      <c r="CA589" s="204" t="n"/>
      <c r="CB589" s="208" t="n"/>
      <c r="CC589" s="139" t="n"/>
      <c r="CD589" s="204" t="n"/>
      <c r="CE589" s="204" t="n"/>
      <c r="CF589" s="207" t="n"/>
      <c r="CG589" s="208" t="n"/>
      <c r="CH589" s="207" t="n"/>
      <c r="CI589" s="208" t="n"/>
      <c r="CJ589" s="204" t="n"/>
      <c r="CK589" s="208" t="n"/>
      <c r="CL589" s="208" t="n"/>
      <c r="CM589" s="208" t="n"/>
      <c r="CN589" s="78" t="n"/>
      <c r="CO589" s="209" t="n"/>
      <c r="CP589" s="204" t="n"/>
      <c r="CQ589" s="204" t="n"/>
      <c r="CR589" s="204" t="n"/>
      <c r="CS589" s="204" t="n"/>
      <c r="CT589" s="204" t="n"/>
      <c r="CU589" s="204" t="n"/>
      <c r="CV589" s="204" t="n"/>
      <c r="CW589" s="204" t="n"/>
    </row>
    <row r="590">
      <c r="BF590" s="78" t="n"/>
      <c r="BG590" s="78" t="n"/>
      <c r="BH590" s="78" t="n"/>
      <c r="BI590" s="78" t="n"/>
      <c r="BJ590" s="139" t="n"/>
      <c r="BK590" s="204" t="n"/>
      <c r="BL590" s="141" t="n"/>
      <c r="BM590" s="205" t="n"/>
      <c r="BN590" s="205" t="n"/>
      <c r="BO590" s="206" t="n"/>
      <c r="BP590" s="144" t="n"/>
      <c r="BQ590" s="141" t="n"/>
      <c r="BR590" s="207" t="n"/>
      <c r="BS590" s="207" t="n"/>
      <c r="BT590" s="207" t="n"/>
      <c r="BU590" s="207" t="n"/>
      <c r="BV590" s="208" t="n"/>
      <c r="BW590" s="207" t="n"/>
      <c r="BX590" s="207" t="n"/>
      <c r="BY590" s="204" t="n"/>
      <c r="BZ590" s="148" t="n"/>
      <c r="CA590" s="204" t="n"/>
      <c r="CB590" s="208" t="n"/>
      <c r="CC590" s="139" t="n"/>
      <c r="CD590" s="204" t="n"/>
      <c r="CE590" s="204" t="n"/>
      <c r="CF590" s="207" t="n"/>
      <c r="CG590" s="208" t="n"/>
      <c r="CH590" s="207" t="n"/>
      <c r="CI590" s="208" t="n"/>
      <c r="CJ590" s="204" t="n"/>
      <c r="CK590" s="208" t="n"/>
      <c r="CL590" s="208" t="n"/>
      <c r="CM590" s="208" t="n"/>
      <c r="CN590" s="78" t="n"/>
      <c r="CO590" s="209" t="n"/>
      <c r="CP590" s="204" t="n"/>
      <c r="CQ590" s="204" t="n"/>
      <c r="CR590" s="204" t="n"/>
      <c r="CS590" s="204" t="n"/>
      <c r="CT590" s="204" t="n"/>
      <c r="CU590" s="204" t="n"/>
      <c r="CV590" s="204" t="n"/>
      <c r="CW590" s="204" t="n"/>
    </row>
    <row r="591">
      <c r="BF591" s="78" t="n"/>
      <c r="BG591" s="78" t="n"/>
      <c r="BH591" s="78" t="n"/>
      <c r="BI591" s="78" t="n"/>
      <c r="BJ591" s="139" t="n"/>
      <c r="BK591" s="204" t="n"/>
      <c r="BL591" s="141" t="n"/>
      <c r="BM591" s="205" t="n"/>
      <c r="BN591" s="205" t="n"/>
      <c r="BO591" s="206" t="n"/>
      <c r="BP591" s="144" t="n"/>
      <c r="BQ591" s="141" t="n"/>
      <c r="BR591" s="207" t="n"/>
      <c r="BS591" s="207" t="n"/>
      <c r="BT591" s="207" t="n"/>
      <c r="BU591" s="207" t="n"/>
      <c r="BV591" s="208" t="n"/>
      <c r="BW591" s="207" t="n"/>
      <c r="BX591" s="207" t="n"/>
      <c r="BY591" s="204" t="n"/>
      <c r="BZ591" s="148" t="n"/>
      <c r="CA591" s="204" t="n"/>
      <c r="CB591" s="208" t="n"/>
      <c r="CC591" s="139" t="n"/>
      <c r="CD591" s="204" t="n"/>
      <c r="CE591" s="204" t="n"/>
      <c r="CF591" s="207" t="n"/>
      <c r="CG591" s="208" t="n"/>
      <c r="CH591" s="207" t="n"/>
      <c r="CI591" s="208" t="n"/>
      <c r="CJ591" s="204" t="n"/>
      <c r="CK591" s="208" t="n"/>
      <c r="CL591" s="208" t="n"/>
      <c r="CM591" s="208" t="n"/>
      <c r="CN591" s="78" t="n"/>
      <c r="CO591" s="209" t="n"/>
      <c r="CP591" s="204" t="n"/>
      <c r="CQ591" s="204" t="n"/>
      <c r="CR591" s="204" t="n"/>
      <c r="CS591" s="204" t="n"/>
      <c r="CT591" s="204" t="n"/>
      <c r="CU591" s="204" t="n"/>
      <c r="CV591" s="204" t="n"/>
      <c r="CW591" s="204" t="n"/>
    </row>
    <row r="592">
      <c r="BF592" s="78" t="n"/>
      <c r="BG592" s="78" t="n"/>
      <c r="BH592" s="78" t="n"/>
      <c r="BI592" s="78" t="n"/>
      <c r="BJ592" s="139" t="n"/>
      <c r="BK592" s="204" t="n"/>
      <c r="BL592" s="141" t="n"/>
      <c r="BM592" s="205" t="n"/>
      <c r="BN592" s="205" t="n"/>
      <c r="BO592" s="206" t="n"/>
      <c r="BP592" s="144" t="n"/>
      <c r="BQ592" s="141" t="n"/>
      <c r="BR592" s="207" t="n"/>
      <c r="BS592" s="207" t="n"/>
      <c r="BT592" s="207" t="n"/>
      <c r="BU592" s="207" t="n"/>
      <c r="BV592" s="208" t="n"/>
      <c r="BW592" s="207" t="n"/>
      <c r="BX592" s="207" t="n"/>
      <c r="BY592" s="204" t="n"/>
      <c r="BZ592" s="148" t="n"/>
      <c r="CA592" s="204" t="n"/>
      <c r="CB592" s="208" t="n"/>
      <c r="CC592" s="139" t="n"/>
      <c r="CD592" s="204" t="n"/>
      <c r="CE592" s="204" t="n"/>
      <c r="CF592" s="207" t="n"/>
      <c r="CG592" s="208" t="n"/>
      <c r="CH592" s="207" t="n"/>
      <c r="CI592" s="208" t="n"/>
      <c r="CJ592" s="204" t="n"/>
      <c r="CK592" s="208" t="n"/>
      <c r="CL592" s="208" t="n"/>
      <c r="CM592" s="208" t="n"/>
      <c r="CN592" s="78" t="n"/>
      <c r="CO592" s="209" t="n"/>
      <c r="CP592" s="204" t="n"/>
      <c r="CQ592" s="204" t="n"/>
      <c r="CR592" s="204" t="n"/>
      <c r="CS592" s="204" t="n"/>
      <c r="CT592" s="204" t="n"/>
      <c r="CU592" s="204" t="n"/>
      <c r="CV592" s="204" t="n"/>
      <c r="CW592" s="204" t="n"/>
    </row>
    <row r="593">
      <c r="BF593" s="78" t="n"/>
      <c r="BG593" s="78" t="n"/>
      <c r="BH593" s="78" t="n"/>
      <c r="BI593" s="78" t="n"/>
      <c r="BJ593" s="139" t="n"/>
      <c r="BK593" s="204" t="n"/>
      <c r="BL593" s="141" t="n"/>
      <c r="BM593" s="205" t="n"/>
      <c r="BN593" s="205" t="n"/>
      <c r="BO593" s="206" t="n"/>
      <c r="BP593" s="144" t="n"/>
      <c r="BQ593" s="141" t="n"/>
      <c r="BR593" s="207" t="n"/>
      <c r="BS593" s="207" t="n"/>
      <c r="BT593" s="207" t="n"/>
      <c r="BU593" s="207" t="n"/>
      <c r="BV593" s="208" t="n"/>
      <c r="BW593" s="207" t="n"/>
      <c r="BX593" s="207" t="n"/>
      <c r="BY593" s="204" t="n"/>
      <c r="BZ593" s="148" t="n"/>
      <c r="CA593" s="204" t="n"/>
      <c r="CB593" s="208" t="n"/>
      <c r="CC593" s="139" t="n"/>
      <c r="CD593" s="204" t="n"/>
      <c r="CE593" s="204" t="n"/>
      <c r="CF593" s="207" t="n"/>
      <c r="CG593" s="208" t="n"/>
      <c r="CH593" s="207" t="n"/>
      <c r="CI593" s="208" t="n"/>
      <c r="CJ593" s="204" t="n"/>
      <c r="CK593" s="208" t="n"/>
      <c r="CL593" s="208" t="n"/>
      <c r="CM593" s="208" t="n"/>
      <c r="CN593" s="78" t="n"/>
      <c r="CO593" s="209" t="n"/>
      <c r="CP593" s="204" t="n"/>
      <c r="CQ593" s="204" t="n"/>
      <c r="CR593" s="204" t="n"/>
      <c r="CS593" s="204" t="n"/>
      <c r="CT593" s="204" t="n"/>
      <c r="CU593" s="204" t="n"/>
      <c r="CV593" s="204" t="n"/>
      <c r="CW593" s="204" t="n"/>
    </row>
    <row r="594">
      <c r="BF594" s="78" t="n"/>
      <c r="BG594" s="78" t="n"/>
      <c r="BH594" s="78" t="n"/>
      <c r="BI594" s="78" t="n"/>
      <c r="BJ594" s="139" t="n"/>
      <c r="BK594" s="204" t="n"/>
      <c r="BL594" s="141" t="n"/>
      <c r="BM594" s="205" t="n"/>
      <c r="BN594" s="205" t="n"/>
      <c r="BO594" s="206" t="n"/>
      <c r="BP594" s="144" t="n"/>
      <c r="BQ594" s="141" t="n"/>
      <c r="BR594" s="207" t="n"/>
      <c r="BS594" s="207" t="n"/>
      <c r="BT594" s="207" t="n"/>
      <c r="BU594" s="207" t="n"/>
      <c r="BV594" s="208" t="n"/>
      <c r="BW594" s="207" t="n"/>
      <c r="BX594" s="207" t="n"/>
      <c r="BY594" s="204" t="n"/>
      <c r="BZ594" s="148" t="n"/>
      <c r="CA594" s="204" t="n"/>
      <c r="CB594" s="208" t="n"/>
      <c r="CC594" s="139" t="n"/>
      <c r="CD594" s="204" t="n"/>
      <c r="CE594" s="204" t="n"/>
      <c r="CF594" s="207" t="n"/>
      <c r="CG594" s="208" t="n"/>
      <c r="CH594" s="207" t="n"/>
      <c r="CI594" s="208" t="n"/>
      <c r="CJ594" s="204" t="n"/>
      <c r="CK594" s="208" t="n"/>
      <c r="CL594" s="208" t="n"/>
      <c r="CM594" s="208" t="n"/>
      <c r="CN594" s="78" t="n"/>
      <c r="CO594" s="209" t="n"/>
      <c r="CP594" s="204" t="n"/>
      <c r="CQ594" s="204" t="n"/>
      <c r="CR594" s="204" t="n"/>
      <c r="CS594" s="204" t="n"/>
      <c r="CT594" s="204" t="n"/>
      <c r="CU594" s="204" t="n"/>
      <c r="CV594" s="204" t="n"/>
      <c r="CW594" s="204" t="n"/>
    </row>
    <row r="595">
      <c r="BF595" s="78" t="n"/>
      <c r="BG595" s="78" t="n"/>
      <c r="BH595" s="78" t="n"/>
      <c r="BI595" s="78" t="n"/>
      <c r="BJ595" s="139" t="n"/>
      <c r="BK595" s="204" t="n"/>
      <c r="BL595" s="141" t="n"/>
      <c r="BM595" s="205" t="n"/>
      <c r="BN595" s="205" t="n"/>
      <c r="BO595" s="206" t="n"/>
      <c r="BP595" s="144" t="n"/>
      <c r="BQ595" s="141" t="n"/>
      <c r="BR595" s="207" t="n"/>
      <c r="BS595" s="207" t="n"/>
      <c r="BT595" s="207" t="n"/>
      <c r="BU595" s="207" t="n"/>
      <c r="BV595" s="208" t="n"/>
      <c r="BW595" s="207" t="n"/>
      <c r="BX595" s="207" t="n"/>
      <c r="BY595" s="204" t="n"/>
      <c r="BZ595" s="148" t="n"/>
      <c r="CA595" s="204" t="n"/>
      <c r="CB595" s="208" t="n"/>
      <c r="CC595" s="139" t="n"/>
      <c r="CD595" s="204" t="n"/>
      <c r="CE595" s="204" t="n"/>
      <c r="CF595" s="207" t="n"/>
      <c r="CG595" s="208" t="n"/>
      <c r="CH595" s="207" t="n"/>
      <c r="CI595" s="208" t="n"/>
      <c r="CJ595" s="204" t="n"/>
      <c r="CK595" s="208" t="n"/>
      <c r="CL595" s="208" t="n"/>
      <c r="CM595" s="208" t="n"/>
      <c r="CN595" s="78" t="n"/>
      <c r="CO595" s="209" t="n"/>
      <c r="CP595" s="204" t="n"/>
      <c r="CQ595" s="204" t="n"/>
      <c r="CR595" s="204" t="n"/>
      <c r="CS595" s="204" t="n"/>
      <c r="CT595" s="204" t="n"/>
      <c r="CU595" s="204" t="n"/>
      <c r="CV595" s="204" t="n"/>
      <c r="CW595" s="204" t="n"/>
    </row>
    <row r="596">
      <c r="BF596" s="78" t="n"/>
      <c r="BG596" s="78" t="n"/>
      <c r="BH596" s="78" t="n"/>
      <c r="BI596" s="78" t="n"/>
      <c r="BJ596" s="139" t="n"/>
      <c r="BK596" s="204" t="n"/>
      <c r="BL596" s="141" t="n"/>
      <c r="BM596" s="205" t="n"/>
      <c r="BN596" s="205" t="n"/>
      <c r="BO596" s="206" t="n"/>
      <c r="BP596" s="144" t="n"/>
      <c r="BQ596" s="141" t="n"/>
      <c r="BR596" s="207" t="n"/>
      <c r="BS596" s="207" t="n"/>
      <c r="BT596" s="207" t="n"/>
      <c r="BU596" s="207" t="n"/>
      <c r="BV596" s="208" t="n"/>
      <c r="BW596" s="207" t="n"/>
      <c r="BX596" s="207" t="n"/>
      <c r="BY596" s="204" t="n"/>
      <c r="BZ596" s="148" t="n"/>
      <c r="CA596" s="204" t="n"/>
      <c r="CB596" s="208" t="n"/>
      <c r="CC596" s="139" t="n"/>
      <c r="CD596" s="204" t="n"/>
      <c r="CE596" s="204" t="n"/>
      <c r="CF596" s="207" t="n"/>
      <c r="CG596" s="208" t="n"/>
      <c r="CH596" s="207" t="n"/>
      <c r="CI596" s="208" t="n"/>
      <c r="CJ596" s="204" t="n"/>
      <c r="CK596" s="208" t="n"/>
      <c r="CL596" s="208" t="n"/>
      <c r="CM596" s="208" t="n"/>
      <c r="CN596" s="78" t="n"/>
      <c r="CO596" s="209" t="n"/>
      <c r="CP596" s="204" t="n"/>
      <c r="CQ596" s="204" t="n"/>
      <c r="CR596" s="204" t="n"/>
      <c r="CS596" s="204" t="n"/>
      <c r="CT596" s="204" t="n"/>
      <c r="CU596" s="204" t="n"/>
      <c r="CV596" s="204" t="n"/>
      <c r="CW596" s="204" t="n"/>
    </row>
    <row r="597">
      <c r="BF597" s="78" t="n"/>
      <c r="BG597" s="78" t="n"/>
      <c r="BH597" s="78" t="n"/>
      <c r="BI597" s="78" t="n"/>
      <c r="BJ597" s="139" t="n"/>
      <c r="BK597" s="204" t="n"/>
      <c r="BL597" s="141" t="n"/>
      <c r="BM597" s="205" t="n"/>
      <c r="BN597" s="205" t="n"/>
      <c r="BO597" s="206" t="n"/>
      <c r="BP597" s="144" t="n"/>
      <c r="BQ597" s="141" t="n"/>
      <c r="BR597" s="207" t="n"/>
      <c r="BS597" s="207" t="n"/>
      <c r="BT597" s="207" t="n"/>
      <c r="BU597" s="207" t="n"/>
      <c r="BV597" s="208" t="n"/>
      <c r="BW597" s="207" t="n"/>
      <c r="BX597" s="207" t="n"/>
      <c r="BY597" s="204" t="n"/>
      <c r="BZ597" s="148" t="n"/>
      <c r="CA597" s="204" t="n"/>
      <c r="CB597" s="208" t="n"/>
      <c r="CC597" s="139" t="n"/>
      <c r="CD597" s="204" t="n"/>
      <c r="CE597" s="204" t="n"/>
      <c r="CF597" s="207" t="n"/>
      <c r="CG597" s="208" t="n"/>
      <c r="CH597" s="207" t="n"/>
      <c r="CI597" s="208" t="n"/>
      <c r="CJ597" s="204" t="n"/>
      <c r="CK597" s="208" t="n"/>
      <c r="CL597" s="208" t="n"/>
      <c r="CM597" s="208" t="n"/>
      <c r="CN597" s="78" t="n"/>
      <c r="CO597" s="209" t="n"/>
      <c r="CP597" s="204" t="n"/>
      <c r="CQ597" s="204" t="n"/>
      <c r="CR597" s="204" t="n"/>
      <c r="CS597" s="204" t="n"/>
      <c r="CT597" s="204" t="n"/>
      <c r="CU597" s="204" t="n"/>
      <c r="CV597" s="204" t="n"/>
      <c r="CW597" s="204" t="n"/>
    </row>
    <row r="598">
      <c r="BF598" s="78" t="n"/>
      <c r="BG598" s="78" t="n"/>
      <c r="BH598" s="78" t="n"/>
      <c r="BI598" s="78" t="n"/>
      <c r="BJ598" s="139" t="n"/>
      <c r="BK598" s="204" t="n"/>
      <c r="BL598" s="141" t="n"/>
      <c r="BM598" s="205" t="n"/>
      <c r="BN598" s="205" t="n"/>
      <c r="BO598" s="206" t="n"/>
      <c r="BP598" s="144" t="n"/>
      <c r="BQ598" s="141" t="n"/>
      <c r="BR598" s="207" t="n"/>
      <c r="BS598" s="207" t="n"/>
      <c r="BT598" s="207" t="n"/>
      <c r="BU598" s="207" t="n"/>
      <c r="BV598" s="208" t="n"/>
      <c r="BW598" s="207" t="n"/>
      <c r="BX598" s="207" t="n"/>
      <c r="BY598" s="204" t="n"/>
      <c r="BZ598" s="148" t="n"/>
      <c r="CA598" s="204" t="n"/>
      <c r="CB598" s="208" t="n"/>
      <c r="CC598" s="139" t="n"/>
      <c r="CD598" s="204" t="n"/>
      <c r="CE598" s="204" t="n"/>
      <c r="CF598" s="207" t="n"/>
      <c r="CG598" s="208" t="n"/>
      <c r="CH598" s="207" t="n"/>
      <c r="CI598" s="208" t="n"/>
      <c r="CJ598" s="204" t="n"/>
      <c r="CK598" s="208" t="n"/>
      <c r="CL598" s="208" t="n"/>
      <c r="CM598" s="208" t="n"/>
      <c r="CN598" s="78" t="n"/>
      <c r="CO598" s="209" t="n"/>
      <c r="CP598" s="204" t="n"/>
      <c r="CQ598" s="204" t="n"/>
      <c r="CR598" s="204" t="n"/>
      <c r="CS598" s="204" t="n"/>
      <c r="CT598" s="204" t="n"/>
      <c r="CU598" s="204" t="n"/>
      <c r="CV598" s="204" t="n"/>
      <c r="CW598" s="204" t="n"/>
    </row>
    <row r="599">
      <c r="BF599" s="78" t="n"/>
      <c r="BG599" s="78" t="n"/>
      <c r="BH599" s="78" t="n"/>
      <c r="BI599" s="78" t="n"/>
      <c r="BJ599" s="139" t="n"/>
      <c r="BK599" s="204" t="n"/>
      <c r="BL599" s="141" t="n"/>
      <c r="BM599" s="205" t="n"/>
      <c r="BN599" s="205" t="n"/>
      <c r="BO599" s="206" t="n"/>
      <c r="BP599" s="144" t="n"/>
      <c r="BQ599" s="141" t="n"/>
      <c r="BR599" s="207" t="n"/>
      <c r="BS599" s="207" t="n"/>
      <c r="BT599" s="207" t="n"/>
      <c r="BU599" s="207" t="n"/>
      <c r="BV599" s="208" t="n"/>
      <c r="BW599" s="207" t="n"/>
      <c r="BX599" s="207" t="n"/>
      <c r="BY599" s="204" t="n"/>
      <c r="BZ599" s="148" t="n"/>
      <c r="CA599" s="204" t="n"/>
      <c r="CB599" s="208" t="n"/>
      <c r="CC599" s="139" t="n"/>
      <c r="CD599" s="204" t="n"/>
      <c r="CE599" s="204" t="n"/>
      <c r="CF599" s="207" t="n"/>
      <c r="CG599" s="208" t="n"/>
      <c r="CH599" s="207" t="n"/>
      <c r="CI599" s="208" t="n"/>
      <c r="CJ599" s="204" t="n"/>
      <c r="CK599" s="208" t="n"/>
      <c r="CL599" s="208" t="n"/>
      <c r="CM599" s="208" t="n"/>
      <c r="CN599" s="78" t="n"/>
      <c r="CO599" s="209" t="n"/>
      <c r="CP599" s="204" t="n"/>
      <c r="CQ599" s="204" t="n"/>
      <c r="CR599" s="204" t="n"/>
      <c r="CS599" s="204" t="n"/>
      <c r="CT599" s="204" t="n"/>
      <c r="CU599" s="204" t="n"/>
      <c r="CV599" s="204" t="n"/>
      <c r="CW599" s="204" t="n"/>
    </row>
    <row r="600">
      <c r="BF600" s="78" t="n"/>
      <c r="BG600" s="78" t="n"/>
      <c r="BH600" s="78" t="n"/>
      <c r="BI600" s="78" t="n"/>
      <c r="BJ600" s="139" t="n"/>
      <c r="BK600" s="204" t="n"/>
      <c r="BL600" s="141" t="n"/>
      <c r="BM600" s="205" t="n"/>
      <c r="BN600" s="205" t="n"/>
      <c r="BO600" s="206" t="n"/>
      <c r="BP600" s="144" t="n"/>
      <c r="BQ600" s="141" t="n"/>
      <c r="BR600" s="207" t="n"/>
      <c r="BS600" s="207" t="n"/>
      <c r="BT600" s="207" t="n"/>
      <c r="BU600" s="207" t="n"/>
      <c r="BV600" s="208" t="n"/>
      <c r="BW600" s="207" t="n"/>
      <c r="BX600" s="207" t="n"/>
      <c r="BY600" s="204" t="n"/>
      <c r="BZ600" s="148" t="n"/>
      <c r="CA600" s="204" t="n"/>
      <c r="CB600" s="208" t="n"/>
      <c r="CC600" s="139" t="n"/>
      <c r="CD600" s="204" t="n"/>
      <c r="CE600" s="204" t="n"/>
      <c r="CF600" s="207" t="n"/>
      <c r="CG600" s="208" t="n"/>
      <c r="CH600" s="207" t="n"/>
      <c r="CI600" s="208" t="n"/>
      <c r="CJ600" s="204" t="n"/>
      <c r="CK600" s="208" t="n"/>
      <c r="CL600" s="208" t="n"/>
      <c r="CM600" s="208" t="n"/>
      <c r="CN600" s="78" t="n"/>
      <c r="CO600" s="209" t="n"/>
      <c r="CP600" s="204" t="n"/>
      <c r="CQ600" s="204" t="n"/>
      <c r="CR600" s="204" t="n"/>
      <c r="CS600" s="204" t="n"/>
      <c r="CT600" s="204" t="n"/>
      <c r="CU600" s="204" t="n"/>
      <c r="CV600" s="204" t="n"/>
      <c r="CW600" s="204" t="n"/>
    </row>
    <row r="601">
      <c r="BF601" s="78" t="n"/>
      <c r="BG601" s="78" t="n"/>
      <c r="BH601" s="78" t="n"/>
      <c r="BI601" s="78" t="n"/>
      <c r="BJ601" s="139" t="n"/>
      <c r="BK601" s="204" t="n"/>
      <c r="BL601" s="141" t="n"/>
      <c r="BM601" s="205" t="n"/>
      <c r="BN601" s="205" t="n"/>
      <c r="BO601" s="206" t="n"/>
      <c r="BP601" s="144" t="n"/>
      <c r="BQ601" s="141" t="n"/>
      <c r="BR601" s="207" t="n"/>
      <c r="BS601" s="207" t="n"/>
      <c r="BT601" s="207" t="n"/>
      <c r="BU601" s="207" t="n"/>
      <c r="BV601" s="208" t="n"/>
      <c r="BW601" s="207" t="n"/>
      <c r="BX601" s="207" t="n"/>
      <c r="BY601" s="204" t="n"/>
      <c r="BZ601" s="148" t="n"/>
      <c r="CA601" s="204" t="n"/>
      <c r="CB601" s="208" t="n"/>
      <c r="CC601" s="139" t="n"/>
      <c r="CD601" s="204" t="n"/>
      <c r="CE601" s="204" t="n"/>
      <c r="CF601" s="207" t="n"/>
      <c r="CG601" s="208" t="n"/>
      <c r="CH601" s="207" t="n"/>
      <c r="CI601" s="208" t="n"/>
      <c r="CJ601" s="204" t="n"/>
      <c r="CK601" s="208" t="n"/>
      <c r="CL601" s="208" t="n"/>
      <c r="CM601" s="208" t="n"/>
      <c r="CN601" s="78" t="n"/>
      <c r="CO601" s="209" t="n"/>
      <c r="CP601" s="204" t="n"/>
      <c r="CQ601" s="204" t="n"/>
      <c r="CR601" s="204" t="n"/>
      <c r="CS601" s="204" t="n"/>
      <c r="CT601" s="204" t="n"/>
      <c r="CU601" s="204" t="n"/>
      <c r="CV601" s="204" t="n"/>
      <c r="CW601" s="204" t="n"/>
    </row>
    <row r="602">
      <c r="BF602" s="78" t="n"/>
      <c r="BG602" s="78" t="n"/>
      <c r="BH602" s="78" t="n"/>
      <c r="BI602" s="78" t="n"/>
      <c r="BJ602" s="139" t="n"/>
      <c r="BK602" s="204" t="n"/>
      <c r="BL602" s="141" t="n"/>
      <c r="BM602" s="205" t="n"/>
      <c r="BN602" s="205" t="n"/>
      <c r="BO602" s="206" t="n"/>
      <c r="BP602" s="144" t="n"/>
      <c r="BQ602" s="141" t="n"/>
      <c r="BR602" s="207" t="n"/>
      <c r="BS602" s="207" t="n"/>
      <c r="BT602" s="207" t="n"/>
      <c r="BU602" s="207" t="n"/>
      <c r="BV602" s="208" t="n"/>
      <c r="BW602" s="207" t="n"/>
      <c r="BX602" s="207" t="n"/>
      <c r="BY602" s="204" t="n"/>
      <c r="BZ602" s="148" t="n"/>
      <c r="CA602" s="204" t="n"/>
      <c r="CB602" s="208" t="n"/>
      <c r="CC602" s="139" t="n"/>
      <c r="CD602" s="204" t="n"/>
      <c r="CE602" s="204" t="n"/>
      <c r="CF602" s="207" t="n"/>
      <c r="CG602" s="208" t="n"/>
      <c r="CH602" s="207" t="n"/>
      <c r="CI602" s="208" t="n"/>
      <c r="CJ602" s="204" t="n"/>
      <c r="CK602" s="208" t="n"/>
      <c r="CL602" s="208" t="n"/>
      <c r="CM602" s="208" t="n"/>
      <c r="CN602" s="78" t="n"/>
      <c r="CO602" s="209" t="n"/>
      <c r="CP602" s="204" t="n"/>
      <c r="CQ602" s="204" t="n"/>
      <c r="CR602" s="204" t="n"/>
      <c r="CS602" s="204" t="n"/>
      <c r="CT602" s="204" t="n"/>
      <c r="CU602" s="204" t="n"/>
      <c r="CV602" s="204" t="n"/>
      <c r="CW602" s="204" t="n"/>
    </row>
    <row r="603">
      <c r="BF603" s="78" t="n"/>
      <c r="BG603" s="78" t="n"/>
      <c r="BH603" s="78" t="n"/>
      <c r="BI603" s="78" t="n"/>
      <c r="BJ603" s="139" t="n"/>
      <c r="BK603" s="204" t="n"/>
      <c r="BL603" s="141" t="n"/>
      <c r="BM603" s="205" t="n"/>
      <c r="BN603" s="205" t="n"/>
      <c r="BO603" s="206" t="n"/>
      <c r="BP603" s="144" t="n"/>
      <c r="BQ603" s="141" t="n"/>
      <c r="BR603" s="207" t="n"/>
      <c r="BS603" s="207" t="n"/>
      <c r="BT603" s="207" t="n"/>
      <c r="BU603" s="207" t="n"/>
      <c r="BV603" s="208" t="n"/>
      <c r="BW603" s="207" t="n"/>
      <c r="BX603" s="207" t="n"/>
      <c r="BY603" s="204" t="n"/>
      <c r="BZ603" s="148" t="n"/>
      <c r="CA603" s="204" t="n"/>
      <c r="CB603" s="208" t="n"/>
      <c r="CC603" s="139" t="n"/>
      <c r="CD603" s="204" t="n"/>
      <c r="CE603" s="204" t="n"/>
      <c r="CF603" s="207" t="n"/>
      <c r="CG603" s="208" t="n"/>
      <c r="CH603" s="207" t="n"/>
      <c r="CI603" s="208" t="n"/>
      <c r="CJ603" s="204" t="n"/>
      <c r="CK603" s="208" t="n"/>
      <c r="CL603" s="208" t="n"/>
      <c r="CM603" s="208" t="n"/>
      <c r="CN603" s="78" t="n"/>
      <c r="CO603" s="209" t="n"/>
      <c r="CP603" s="204" t="n"/>
      <c r="CQ603" s="204" t="n"/>
      <c r="CR603" s="204" t="n"/>
      <c r="CS603" s="204" t="n"/>
      <c r="CT603" s="204" t="n"/>
      <c r="CU603" s="204" t="n"/>
      <c r="CV603" s="204" t="n"/>
      <c r="CW603" s="204" t="n"/>
    </row>
    <row r="604">
      <c r="BF604" s="78" t="n"/>
      <c r="BG604" s="78" t="n"/>
      <c r="BH604" s="78" t="n"/>
      <c r="BI604" s="78" t="n"/>
      <c r="BJ604" s="139" t="n"/>
      <c r="BK604" s="204" t="n"/>
      <c r="BL604" s="141" t="n"/>
      <c r="BM604" s="205" t="n"/>
      <c r="BN604" s="205" t="n"/>
      <c r="BO604" s="206" t="n"/>
      <c r="BP604" s="144" t="n"/>
      <c r="BQ604" s="141" t="n"/>
      <c r="BR604" s="207" t="n"/>
      <c r="BS604" s="207" t="n"/>
      <c r="BT604" s="207" t="n"/>
      <c r="BU604" s="207" t="n"/>
      <c r="BV604" s="208" t="n"/>
      <c r="BW604" s="207" t="n"/>
      <c r="BX604" s="207" t="n"/>
      <c r="BY604" s="204" t="n"/>
      <c r="BZ604" s="148" t="n"/>
      <c r="CA604" s="204" t="n"/>
      <c r="CB604" s="208" t="n"/>
      <c r="CC604" s="139" t="n"/>
      <c r="CD604" s="204" t="n"/>
      <c r="CE604" s="204" t="n"/>
      <c r="CF604" s="207" t="n"/>
      <c r="CG604" s="208" t="n"/>
      <c r="CH604" s="207" t="n"/>
      <c r="CI604" s="208" t="n"/>
      <c r="CJ604" s="204" t="n"/>
      <c r="CK604" s="208" t="n"/>
      <c r="CL604" s="208" t="n"/>
      <c r="CM604" s="208" t="n"/>
      <c r="CN604" s="78" t="n"/>
      <c r="CO604" s="209" t="n"/>
      <c r="CP604" s="204" t="n"/>
      <c r="CQ604" s="204" t="n"/>
      <c r="CR604" s="204" t="n"/>
      <c r="CS604" s="204" t="n"/>
      <c r="CT604" s="204" t="n"/>
      <c r="CU604" s="204" t="n"/>
      <c r="CV604" s="204" t="n"/>
      <c r="CW604" s="204" t="n"/>
    </row>
    <row r="605">
      <c r="BF605" s="78" t="n"/>
      <c r="BG605" s="78" t="n"/>
      <c r="BH605" s="78" t="n"/>
      <c r="BI605" s="78" t="n"/>
      <c r="BJ605" s="139" t="n"/>
      <c r="BK605" s="204" t="n"/>
      <c r="BL605" s="141" t="n"/>
      <c r="BM605" s="205" t="n"/>
      <c r="BN605" s="205" t="n"/>
      <c r="BO605" s="206" t="n"/>
      <c r="BP605" s="144" t="n"/>
      <c r="BQ605" s="141" t="n"/>
      <c r="BR605" s="207" t="n"/>
      <c r="BS605" s="207" t="n"/>
      <c r="BT605" s="207" t="n"/>
      <c r="BU605" s="207" t="n"/>
      <c r="BV605" s="208" t="n"/>
      <c r="BW605" s="207" t="n"/>
      <c r="BX605" s="207" t="n"/>
      <c r="BY605" s="204" t="n"/>
      <c r="BZ605" s="148" t="n"/>
      <c r="CA605" s="204" t="n"/>
      <c r="CB605" s="208" t="n"/>
      <c r="CC605" s="139" t="n"/>
      <c r="CD605" s="204" t="n"/>
      <c r="CE605" s="204" t="n"/>
      <c r="CF605" s="207" t="n"/>
      <c r="CG605" s="208" t="n"/>
      <c r="CH605" s="207" t="n"/>
      <c r="CI605" s="208" t="n"/>
      <c r="CJ605" s="204" t="n"/>
      <c r="CK605" s="208" t="n"/>
      <c r="CL605" s="208" t="n"/>
      <c r="CM605" s="208" t="n"/>
      <c r="CN605" s="78" t="n"/>
      <c r="CO605" s="209" t="n"/>
      <c r="CP605" s="204" t="n"/>
      <c r="CQ605" s="204" t="n"/>
      <c r="CR605" s="204" t="n"/>
      <c r="CS605" s="204" t="n"/>
      <c r="CT605" s="204" t="n"/>
      <c r="CU605" s="204" t="n"/>
      <c r="CV605" s="204" t="n"/>
      <c r="CW605" s="204" t="n"/>
    </row>
    <row r="606">
      <c r="BF606" s="78" t="n"/>
      <c r="BG606" s="78" t="n"/>
      <c r="BH606" s="78" t="n"/>
      <c r="BI606" s="78" t="n"/>
      <c r="BJ606" s="139" t="n"/>
      <c r="BK606" s="204" t="n"/>
      <c r="BL606" s="141" t="n"/>
      <c r="BM606" s="205" t="n"/>
      <c r="BN606" s="205" t="n"/>
      <c r="BO606" s="206" t="n"/>
      <c r="BP606" s="144" t="n"/>
      <c r="BQ606" s="141" t="n"/>
      <c r="BR606" s="207" t="n"/>
      <c r="BS606" s="207" t="n"/>
      <c r="BT606" s="207" t="n"/>
      <c r="BU606" s="207" t="n"/>
      <c r="BV606" s="208" t="n"/>
      <c r="BW606" s="207" t="n"/>
      <c r="BX606" s="207" t="n"/>
      <c r="BY606" s="204" t="n"/>
      <c r="BZ606" s="148" t="n"/>
      <c r="CA606" s="204" t="n"/>
      <c r="CB606" s="208" t="n"/>
      <c r="CC606" s="139" t="n"/>
      <c r="CD606" s="204" t="n"/>
      <c r="CE606" s="204" t="n"/>
      <c r="CF606" s="207" t="n"/>
      <c r="CG606" s="208" t="n"/>
      <c r="CH606" s="207" t="n"/>
      <c r="CI606" s="208" t="n"/>
      <c r="CJ606" s="204" t="n"/>
      <c r="CK606" s="208" t="n"/>
      <c r="CL606" s="208" t="n"/>
      <c r="CM606" s="208" t="n"/>
      <c r="CN606" s="78" t="n"/>
      <c r="CO606" s="209" t="n"/>
      <c r="CP606" s="204" t="n"/>
      <c r="CQ606" s="204" t="n"/>
      <c r="CR606" s="204" t="n"/>
      <c r="CS606" s="204" t="n"/>
      <c r="CT606" s="204" t="n"/>
      <c r="CU606" s="204" t="n"/>
      <c r="CV606" s="204" t="n"/>
      <c r="CW606" s="204" t="n"/>
    </row>
    <row r="607">
      <c r="BF607" s="78" t="n"/>
      <c r="BG607" s="78" t="n"/>
      <c r="BH607" s="78" t="n"/>
      <c r="BI607" s="78" t="n"/>
      <c r="BJ607" s="139" t="n"/>
      <c r="BK607" s="204" t="n"/>
      <c r="BL607" s="141" t="n"/>
      <c r="BM607" s="205" t="n"/>
      <c r="BN607" s="205" t="n"/>
      <c r="BO607" s="206" t="n"/>
      <c r="BP607" s="144" t="n"/>
      <c r="BQ607" s="141" t="n"/>
      <c r="BR607" s="207" t="n"/>
      <c r="BS607" s="207" t="n"/>
      <c r="BT607" s="207" t="n"/>
      <c r="BU607" s="207" t="n"/>
      <c r="BV607" s="208" t="n"/>
      <c r="BW607" s="207" t="n"/>
      <c r="BX607" s="207" t="n"/>
      <c r="BY607" s="204" t="n"/>
      <c r="BZ607" s="148" t="n"/>
      <c r="CA607" s="204" t="n"/>
      <c r="CB607" s="208" t="n"/>
      <c r="CC607" s="139" t="n"/>
      <c r="CD607" s="204" t="n"/>
      <c r="CE607" s="204" t="n"/>
      <c r="CF607" s="207" t="n"/>
      <c r="CG607" s="208" t="n"/>
      <c r="CH607" s="207" t="n"/>
      <c r="CI607" s="208" t="n"/>
      <c r="CJ607" s="204" t="n"/>
      <c r="CK607" s="208" t="n"/>
      <c r="CL607" s="208" t="n"/>
      <c r="CM607" s="208" t="n"/>
      <c r="CN607" s="78" t="n"/>
      <c r="CO607" s="209" t="n"/>
      <c r="CP607" s="204" t="n"/>
      <c r="CQ607" s="204" t="n"/>
      <c r="CR607" s="204" t="n"/>
      <c r="CS607" s="204" t="n"/>
      <c r="CT607" s="204" t="n"/>
      <c r="CU607" s="204" t="n"/>
      <c r="CV607" s="204" t="n"/>
      <c r="CW607" s="204" t="n"/>
    </row>
    <row r="608">
      <c r="BF608" s="78" t="n"/>
      <c r="BG608" s="78" t="n"/>
      <c r="BH608" s="78" t="n"/>
      <c r="BI608" s="78" t="n"/>
      <c r="BJ608" s="139" t="n"/>
      <c r="BK608" s="204" t="n"/>
      <c r="BL608" s="141" t="n"/>
      <c r="BM608" s="205" t="n"/>
      <c r="BN608" s="205" t="n"/>
      <c r="BO608" s="206" t="n"/>
      <c r="BP608" s="144" t="n"/>
      <c r="BQ608" s="141" t="n"/>
      <c r="BR608" s="207" t="n"/>
      <c r="BS608" s="207" t="n"/>
      <c r="BT608" s="207" t="n"/>
      <c r="BU608" s="207" t="n"/>
      <c r="BV608" s="208" t="n"/>
      <c r="BW608" s="207" t="n"/>
      <c r="BX608" s="207" t="n"/>
      <c r="BY608" s="204" t="n"/>
      <c r="BZ608" s="148" t="n"/>
      <c r="CA608" s="204" t="n"/>
      <c r="CB608" s="208" t="n"/>
      <c r="CC608" s="139" t="n"/>
      <c r="CD608" s="204" t="n"/>
      <c r="CE608" s="204" t="n"/>
      <c r="CF608" s="207" t="n"/>
      <c r="CG608" s="208" t="n"/>
      <c r="CH608" s="207" t="n"/>
      <c r="CI608" s="208" t="n"/>
      <c r="CJ608" s="204" t="n"/>
      <c r="CK608" s="208" t="n"/>
      <c r="CL608" s="208" t="n"/>
      <c r="CM608" s="208" t="n"/>
      <c r="CN608" s="78" t="n"/>
      <c r="CO608" s="209" t="n"/>
      <c r="CP608" s="204" t="n"/>
      <c r="CQ608" s="204" t="n"/>
      <c r="CR608" s="204" t="n"/>
      <c r="CS608" s="204" t="n"/>
      <c r="CT608" s="204" t="n"/>
      <c r="CU608" s="204" t="n"/>
      <c r="CV608" s="204" t="n"/>
      <c r="CW608" s="204" t="n"/>
    </row>
    <row r="609">
      <c r="BF609" s="78" t="n"/>
      <c r="BG609" s="78" t="n"/>
      <c r="BH609" s="78" t="n"/>
      <c r="BI609" s="78" t="n"/>
      <c r="BJ609" s="139" t="n"/>
      <c r="BK609" s="204" t="n"/>
      <c r="BL609" s="141" t="n"/>
      <c r="BM609" s="205" t="n"/>
      <c r="BN609" s="205" t="n"/>
      <c r="BO609" s="206" t="n"/>
      <c r="BP609" s="144" t="n"/>
      <c r="BQ609" s="141" t="n"/>
      <c r="BR609" s="207" t="n"/>
      <c r="BS609" s="207" t="n"/>
      <c r="BT609" s="207" t="n"/>
      <c r="BU609" s="207" t="n"/>
      <c r="BV609" s="208" t="n"/>
      <c r="BW609" s="207" t="n"/>
      <c r="BX609" s="207" t="n"/>
      <c r="BY609" s="204" t="n"/>
      <c r="BZ609" s="148" t="n"/>
      <c r="CA609" s="204" t="n"/>
      <c r="CB609" s="208" t="n"/>
      <c r="CC609" s="139" t="n"/>
      <c r="CD609" s="204" t="n"/>
      <c r="CE609" s="204" t="n"/>
      <c r="CF609" s="207" t="n"/>
      <c r="CG609" s="208" t="n"/>
      <c r="CH609" s="207" t="n"/>
      <c r="CI609" s="208" t="n"/>
      <c r="CJ609" s="204" t="n"/>
      <c r="CK609" s="208" t="n"/>
      <c r="CL609" s="208" t="n"/>
      <c r="CM609" s="208" t="n"/>
      <c r="CN609" s="78" t="n"/>
      <c r="CO609" s="209" t="n"/>
      <c r="CP609" s="204" t="n"/>
      <c r="CQ609" s="204" t="n"/>
      <c r="CR609" s="204" t="n"/>
      <c r="CS609" s="204" t="n"/>
      <c r="CT609" s="204" t="n"/>
      <c r="CU609" s="204" t="n"/>
      <c r="CV609" s="204" t="n"/>
      <c r="CW609" s="204" t="n"/>
    </row>
    <row r="610">
      <c r="BF610" s="78" t="n"/>
      <c r="BG610" s="78" t="n"/>
      <c r="BH610" s="78" t="n"/>
      <c r="BI610" s="78" t="n"/>
      <c r="BJ610" s="139" t="n"/>
      <c r="BK610" s="204" t="n"/>
      <c r="BL610" s="141" t="n"/>
      <c r="BM610" s="205" t="n"/>
      <c r="BN610" s="205" t="n"/>
      <c r="BO610" s="206" t="n"/>
      <c r="BP610" s="144" t="n"/>
      <c r="BQ610" s="141" t="n"/>
      <c r="BR610" s="207" t="n"/>
      <c r="BS610" s="207" t="n"/>
      <c r="BT610" s="207" t="n"/>
      <c r="BU610" s="207" t="n"/>
      <c r="BV610" s="208" t="n"/>
      <c r="BW610" s="207" t="n"/>
      <c r="BX610" s="207" t="n"/>
      <c r="BY610" s="204" t="n"/>
      <c r="BZ610" s="148" t="n"/>
      <c r="CA610" s="204" t="n"/>
      <c r="CB610" s="208" t="n"/>
      <c r="CC610" s="139" t="n"/>
      <c r="CD610" s="204" t="n"/>
      <c r="CE610" s="204" t="n"/>
      <c r="CF610" s="207" t="n"/>
      <c r="CG610" s="208" t="n"/>
      <c r="CH610" s="207" t="n"/>
      <c r="CI610" s="208" t="n"/>
      <c r="CJ610" s="204" t="n"/>
      <c r="CK610" s="208" t="n"/>
      <c r="CL610" s="208" t="n"/>
      <c r="CM610" s="208" t="n"/>
      <c r="CN610" s="78" t="n"/>
      <c r="CO610" s="209" t="n"/>
      <c r="CP610" s="204" t="n"/>
      <c r="CQ610" s="204" t="n"/>
      <c r="CR610" s="204" t="n"/>
      <c r="CS610" s="204" t="n"/>
      <c r="CT610" s="204" t="n"/>
      <c r="CU610" s="204" t="n"/>
      <c r="CV610" s="204" t="n"/>
      <c r="CW610" s="204" t="n"/>
    </row>
    <row r="611">
      <c r="BF611" s="78" t="n"/>
      <c r="BG611" s="78" t="n"/>
      <c r="BH611" s="78" t="n"/>
      <c r="BI611" s="78" t="n"/>
      <c r="BJ611" s="139" t="n"/>
      <c r="BK611" s="204" t="n"/>
      <c r="BL611" s="141" t="n"/>
      <c r="BM611" s="205" t="n"/>
      <c r="BN611" s="205" t="n"/>
      <c r="BO611" s="206" t="n"/>
      <c r="BP611" s="144" t="n"/>
      <c r="BQ611" s="141" t="n"/>
      <c r="BR611" s="207" t="n"/>
      <c r="BS611" s="207" t="n"/>
      <c r="BT611" s="207" t="n"/>
      <c r="BU611" s="207" t="n"/>
      <c r="BV611" s="208" t="n"/>
      <c r="BW611" s="207" t="n"/>
      <c r="BX611" s="207" t="n"/>
      <c r="BY611" s="204" t="n"/>
      <c r="BZ611" s="148" t="n"/>
      <c r="CA611" s="204" t="n"/>
      <c r="CB611" s="208" t="n"/>
      <c r="CC611" s="139" t="n"/>
      <c r="CD611" s="204" t="n"/>
      <c r="CE611" s="204" t="n"/>
      <c r="CF611" s="207" t="n"/>
      <c r="CG611" s="208" t="n"/>
      <c r="CH611" s="207" t="n"/>
      <c r="CI611" s="208" t="n"/>
      <c r="CJ611" s="204" t="n"/>
      <c r="CK611" s="208" t="n"/>
      <c r="CL611" s="208" t="n"/>
      <c r="CM611" s="208" t="n"/>
      <c r="CN611" s="78" t="n"/>
      <c r="CO611" s="209" t="n"/>
      <c r="CP611" s="204" t="n"/>
      <c r="CQ611" s="204" t="n"/>
      <c r="CR611" s="204" t="n"/>
      <c r="CS611" s="204" t="n"/>
      <c r="CT611" s="204" t="n"/>
      <c r="CU611" s="204" t="n"/>
      <c r="CV611" s="204" t="n"/>
      <c r="CW611" s="204" t="n"/>
    </row>
    <row r="612">
      <c r="BF612" s="78" t="n"/>
      <c r="BG612" s="78" t="n"/>
      <c r="BH612" s="78" t="n"/>
      <c r="BI612" s="78" t="n"/>
      <c r="BJ612" s="139" t="n"/>
      <c r="BK612" s="204" t="n"/>
      <c r="BL612" s="141" t="n"/>
      <c r="BM612" s="205" t="n"/>
      <c r="BN612" s="205" t="n"/>
      <c r="BO612" s="206" t="n"/>
      <c r="BP612" s="144" t="n"/>
      <c r="BQ612" s="141" t="n"/>
      <c r="BR612" s="207" t="n"/>
      <c r="BS612" s="207" t="n"/>
      <c r="BT612" s="207" t="n"/>
      <c r="BU612" s="207" t="n"/>
      <c r="BV612" s="208" t="n"/>
      <c r="BW612" s="207" t="n"/>
      <c r="BX612" s="207" t="n"/>
      <c r="BY612" s="204" t="n"/>
      <c r="BZ612" s="148" t="n"/>
      <c r="CA612" s="204" t="n"/>
      <c r="CB612" s="208" t="n"/>
      <c r="CC612" s="139" t="n"/>
      <c r="CD612" s="204" t="n"/>
      <c r="CE612" s="204" t="n"/>
      <c r="CF612" s="207" t="n"/>
      <c r="CG612" s="208" t="n"/>
      <c r="CH612" s="207" t="n"/>
      <c r="CI612" s="208" t="n"/>
      <c r="CJ612" s="204" t="n"/>
      <c r="CK612" s="208" t="n"/>
      <c r="CL612" s="208" t="n"/>
      <c r="CM612" s="208" t="n"/>
      <c r="CN612" s="78" t="n"/>
      <c r="CO612" s="209" t="n"/>
      <c r="CP612" s="204" t="n"/>
      <c r="CQ612" s="204" t="n"/>
      <c r="CR612" s="204" t="n"/>
      <c r="CS612" s="204" t="n"/>
      <c r="CT612" s="204" t="n"/>
      <c r="CU612" s="204" t="n"/>
      <c r="CV612" s="204" t="n"/>
      <c r="CW612" s="204" t="n"/>
    </row>
    <row r="613">
      <c r="BF613" s="78" t="n"/>
      <c r="BG613" s="78" t="n"/>
      <c r="BH613" s="78" t="n"/>
      <c r="BI613" s="78" t="n"/>
      <c r="BJ613" s="139" t="n"/>
      <c r="BK613" s="204" t="n"/>
      <c r="BL613" s="141" t="n"/>
      <c r="BM613" s="205" t="n"/>
      <c r="BN613" s="205" t="n"/>
      <c r="BO613" s="206" t="n"/>
      <c r="BP613" s="144" t="n"/>
      <c r="BQ613" s="141" t="n"/>
      <c r="BR613" s="207" t="n"/>
      <c r="BS613" s="207" t="n"/>
      <c r="BT613" s="207" t="n"/>
      <c r="BU613" s="207" t="n"/>
      <c r="BV613" s="208" t="n"/>
      <c r="BW613" s="207" t="n"/>
      <c r="BX613" s="207" t="n"/>
      <c r="BY613" s="204" t="n"/>
      <c r="BZ613" s="148" t="n"/>
      <c r="CA613" s="204" t="n"/>
      <c r="CB613" s="208" t="n"/>
      <c r="CC613" s="139" t="n"/>
      <c r="CD613" s="204" t="n"/>
      <c r="CE613" s="204" t="n"/>
      <c r="CF613" s="207" t="n"/>
      <c r="CG613" s="208" t="n"/>
      <c r="CH613" s="207" t="n"/>
      <c r="CI613" s="208" t="n"/>
      <c r="CJ613" s="204" t="n"/>
      <c r="CK613" s="208" t="n"/>
      <c r="CL613" s="208" t="n"/>
      <c r="CM613" s="208" t="n"/>
      <c r="CN613" s="78" t="n"/>
      <c r="CO613" s="209" t="n"/>
      <c r="CP613" s="204" t="n"/>
      <c r="CQ613" s="204" t="n"/>
      <c r="CR613" s="204" t="n"/>
      <c r="CS613" s="204" t="n"/>
      <c r="CT613" s="204" t="n"/>
      <c r="CU613" s="204" t="n"/>
      <c r="CV613" s="204" t="n"/>
      <c r="CW613" s="204" t="n"/>
    </row>
    <row r="614">
      <c r="BF614" s="78" t="n"/>
      <c r="BG614" s="78" t="n"/>
      <c r="BH614" s="78" t="n"/>
      <c r="BI614" s="78" t="n"/>
      <c r="BJ614" s="139" t="n"/>
      <c r="BK614" s="204" t="n"/>
      <c r="BL614" s="141" t="n"/>
      <c r="BM614" s="205" t="n"/>
      <c r="BN614" s="205" t="n"/>
      <c r="BO614" s="206" t="n"/>
      <c r="BP614" s="144" t="n"/>
      <c r="BQ614" s="141" t="n"/>
      <c r="BR614" s="207" t="n"/>
      <c r="BS614" s="207" t="n"/>
      <c r="BT614" s="207" t="n"/>
      <c r="BU614" s="207" t="n"/>
      <c r="BV614" s="208" t="n"/>
      <c r="BW614" s="207" t="n"/>
      <c r="BX614" s="207" t="n"/>
      <c r="BY614" s="204" t="n"/>
      <c r="BZ614" s="148" t="n"/>
      <c r="CA614" s="204" t="n"/>
      <c r="CB614" s="208" t="n"/>
      <c r="CC614" s="139" t="n"/>
      <c r="CD614" s="204" t="n"/>
      <c r="CE614" s="204" t="n"/>
      <c r="CF614" s="207" t="n"/>
      <c r="CG614" s="208" t="n"/>
      <c r="CH614" s="207" t="n"/>
      <c r="CI614" s="208" t="n"/>
      <c r="CJ614" s="204" t="n"/>
      <c r="CK614" s="208" t="n"/>
      <c r="CL614" s="208" t="n"/>
      <c r="CM614" s="208" t="n"/>
      <c r="CN614" s="78" t="n"/>
      <c r="CO614" s="209" t="n"/>
      <c r="CP614" s="204" t="n"/>
      <c r="CQ614" s="204" t="n"/>
      <c r="CR614" s="204" t="n"/>
      <c r="CS614" s="204" t="n"/>
      <c r="CT614" s="204" t="n"/>
      <c r="CU614" s="204" t="n"/>
      <c r="CV614" s="204" t="n"/>
      <c r="CW614" s="204" t="n"/>
    </row>
    <row r="615">
      <c r="BF615" s="78" t="n"/>
      <c r="BG615" s="78" t="n"/>
      <c r="BH615" s="78" t="n"/>
      <c r="BI615" s="78" t="n"/>
      <c r="BJ615" s="139" t="n"/>
      <c r="BK615" s="204" t="n"/>
      <c r="BL615" s="141" t="n"/>
      <c r="BM615" s="205" t="n"/>
      <c r="BN615" s="205" t="n"/>
      <c r="BO615" s="206" t="n"/>
      <c r="BP615" s="144" t="n"/>
      <c r="BQ615" s="141" t="n"/>
      <c r="BR615" s="207" t="n"/>
      <c r="BS615" s="207" t="n"/>
      <c r="BT615" s="207" t="n"/>
      <c r="BU615" s="207" t="n"/>
      <c r="BV615" s="208" t="n"/>
      <c r="BW615" s="207" t="n"/>
      <c r="BX615" s="207" t="n"/>
      <c r="BY615" s="204" t="n"/>
      <c r="BZ615" s="148" t="n"/>
      <c r="CA615" s="204" t="n"/>
      <c r="CB615" s="208" t="n"/>
      <c r="CC615" s="139" t="n"/>
      <c r="CD615" s="204" t="n"/>
      <c r="CE615" s="204" t="n"/>
      <c r="CF615" s="207" t="n"/>
      <c r="CG615" s="208" t="n"/>
      <c r="CH615" s="207" t="n"/>
      <c r="CI615" s="208" t="n"/>
      <c r="CJ615" s="204" t="n"/>
      <c r="CK615" s="208" t="n"/>
      <c r="CL615" s="208" t="n"/>
      <c r="CM615" s="208" t="n"/>
      <c r="CN615" s="78" t="n"/>
      <c r="CO615" s="209" t="n"/>
      <c r="CP615" s="204" t="n"/>
      <c r="CQ615" s="204" t="n"/>
      <c r="CR615" s="204" t="n"/>
      <c r="CS615" s="204" t="n"/>
      <c r="CT615" s="204" t="n"/>
      <c r="CU615" s="204" t="n"/>
      <c r="CV615" s="204" t="n"/>
      <c r="CW615" s="204" t="n"/>
    </row>
    <row r="616">
      <c r="BF616" s="78" t="n"/>
      <c r="BG616" s="78" t="n"/>
      <c r="BH616" s="78" t="n"/>
      <c r="BI616" s="78" t="n"/>
      <c r="BJ616" s="139" t="n"/>
      <c r="BK616" s="204" t="n"/>
      <c r="BL616" s="141" t="n"/>
      <c r="BM616" s="205" t="n"/>
      <c r="BN616" s="205" t="n"/>
      <c r="BO616" s="206" t="n"/>
      <c r="BP616" s="144" t="n"/>
      <c r="BQ616" s="141" t="n"/>
      <c r="BR616" s="207" t="n"/>
      <c r="BS616" s="207" t="n"/>
      <c r="BT616" s="207" t="n"/>
      <c r="BU616" s="207" t="n"/>
      <c r="BV616" s="208" t="n"/>
      <c r="BW616" s="207" t="n"/>
      <c r="BX616" s="207" t="n"/>
      <c r="BY616" s="204" t="n"/>
      <c r="BZ616" s="148" t="n"/>
      <c r="CA616" s="204" t="n"/>
      <c r="CB616" s="208" t="n"/>
      <c r="CC616" s="139" t="n"/>
      <c r="CD616" s="204" t="n"/>
      <c r="CE616" s="204" t="n"/>
      <c r="CF616" s="207" t="n"/>
      <c r="CG616" s="208" t="n"/>
      <c r="CH616" s="207" t="n"/>
      <c r="CI616" s="208" t="n"/>
      <c r="CJ616" s="204" t="n"/>
      <c r="CK616" s="208" t="n"/>
      <c r="CL616" s="208" t="n"/>
      <c r="CM616" s="208" t="n"/>
      <c r="CN616" s="78" t="n"/>
      <c r="CO616" s="209" t="n"/>
      <c r="CP616" s="204" t="n"/>
      <c r="CQ616" s="204" t="n"/>
      <c r="CR616" s="204" t="n"/>
      <c r="CS616" s="204" t="n"/>
      <c r="CT616" s="204" t="n"/>
      <c r="CU616" s="204" t="n"/>
      <c r="CV616" s="204" t="n"/>
      <c r="CW616" s="204" t="n"/>
    </row>
    <row r="617">
      <c r="AR617" s="151" t="n"/>
      <c r="BF617" s="78" t="n"/>
      <c r="BG617" s="78" t="n"/>
      <c r="BH617" s="78" t="n"/>
      <c r="BI617" s="78" t="n"/>
      <c r="BJ617" s="139" t="n"/>
      <c r="BK617" s="204" t="n"/>
      <c r="BL617" s="141" t="n"/>
      <c r="BM617" s="205" t="n"/>
      <c r="BN617" s="205" t="n"/>
      <c r="BO617" s="206" t="n"/>
      <c r="BP617" s="144" t="n"/>
      <c r="BQ617" s="141" t="n"/>
      <c r="BR617" s="207" t="n"/>
      <c r="BS617" s="207" t="n"/>
      <c r="BT617" s="207" t="n"/>
      <c r="BU617" s="207" t="n"/>
      <c r="BV617" s="208" t="n"/>
      <c r="BW617" s="207" t="n"/>
      <c r="BX617" s="207" t="n"/>
      <c r="BY617" s="204" t="n"/>
      <c r="BZ617" s="148" t="n"/>
      <c r="CA617" s="204" t="n"/>
      <c r="CB617" s="208" t="n"/>
      <c r="CC617" s="139" t="n"/>
      <c r="CD617" s="204" t="n"/>
      <c r="CE617" s="204" t="n"/>
      <c r="CF617" s="207" t="n"/>
      <c r="CG617" s="208" t="n"/>
      <c r="CH617" s="207" t="n"/>
      <c r="CI617" s="208" t="n"/>
      <c r="CJ617" s="204" t="n"/>
      <c r="CK617" s="208" t="n"/>
      <c r="CL617" s="208" t="n"/>
      <c r="CM617" s="208" t="n"/>
      <c r="CN617" s="78" t="n"/>
      <c r="CO617" s="209" t="n"/>
      <c r="CP617" s="204" t="n"/>
      <c r="CQ617" s="204" t="n"/>
      <c r="CR617" s="204" t="n"/>
      <c r="CS617" s="204" t="n"/>
      <c r="CT617" s="204" t="n"/>
      <c r="CU617" s="204" t="n"/>
      <c r="CV617" s="204" t="n"/>
      <c r="CW617" s="204" t="n"/>
    </row>
    <row r="618">
      <c r="BF618" s="78" t="n"/>
      <c r="BG618" s="78" t="n"/>
      <c r="BH618" s="78" t="n"/>
      <c r="BI618" s="78" t="n"/>
      <c r="BJ618" s="139" t="n"/>
      <c r="BK618" s="204" t="n"/>
      <c r="BL618" s="141" t="n"/>
      <c r="BM618" s="205" t="n"/>
      <c r="BN618" s="205" t="n"/>
      <c r="BO618" s="206" t="n"/>
      <c r="BP618" s="144" t="n"/>
      <c r="BQ618" s="141" t="n"/>
      <c r="BR618" s="207" t="n"/>
      <c r="BS618" s="207" t="n"/>
      <c r="BT618" s="207" t="n"/>
      <c r="BU618" s="207" t="n"/>
      <c r="BV618" s="208" t="n"/>
      <c r="BW618" s="207" t="n"/>
      <c r="BX618" s="207" t="n"/>
      <c r="BY618" s="204" t="n"/>
      <c r="BZ618" s="148" t="n"/>
      <c r="CA618" s="204" t="n"/>
      <c r="CB618" s="208" t="n"/>
      <c r="CC618" s="139" t="n"/>
      <c r="CD618" s="204" t="n"/>
      <c r="CE618" s="204" t="n"/>
      <c r="CF618" s="207" t="n"/>
      <c r="CG618" s="208" t="n"/>
      <c r="CH618" s="207" t="n"/>
      <c r="CI618" s="208" t="n"/>
      <c r="CJ618" s="204" t="n"/>
      <c r="CK618" s="208" t="n"/>
      <c r="CL618" s="208" t="n"/>
      <c r="CM618" s="208" t="n"/>
      <c r="CN618" s="78" t="n"/>
      <c r="CO618" s="209" t="n"/>
      <c r="CP618" s="204" t="n"/>
      <c r="CQ618" s="204" t="n"/>
      <c r="CR618" s="204" t="n"/>
      <c r="CS618" s="204" t="n"/>
      <c r="CT618" s="204" t="n"/>
      <c r="CU618" s="204" t="n"/>
      <c r="CV618" s="204" t="n"/>
      <c r="CW618" s="204" t="n"/>
    </row>
    <row r="619">
      <c r="BF619" s="78" t="n"/>
      <c r="BG619" s="78" t="n"/>
      <c r="BH619" s="78" t="n"/>
      <c r="BI619" s="78" t="n"/>
      <c r="BJ619" s="139" t="n"/>
      <c r="BK619" s="204" t="n"/>
      <c r="BL619" s="141" t="n"/>
      <c r="BM619" s="205" t="n"/>
      <c r="BN619" s="205" t="n"/>
      <c r="BO619" s="206" t="n"/>
      <c r="BP619" s="144" t="n"/>
      <c r="BQ619" s="141" t="n"/>
      <c r="BR619" s="207" t="n"/>
      <c r="BS619" s="207" t="n"/>
      <c r="BT619" s="207" t="n"/>
      <c r="BU619" s="207" t="n"/>
      <c r="BV619" s="208" t="n"/>
      <c r="BW619" s="207" t="n"/>
      <c r="BX619" s="207" t="n"/>
      <c r="BY619" s="204" t="n"/>
      <c r="BZ619" s="148" t="n"/>
      <c r="CA619" s="204" t="n"/>
      <c r="CB619" s="208" t="n"/>
      <c r="CC619" s="139" t="n"/>
      <c r="CD619" s="204" t="n"/>
      <c r="CE619" s="204" t="n"/>
      <c r="CF619" s="207" t="n"/>
      <c r="CG619" s="208" t="n"/>
      <c r="CH619" s="207" t="n"/>
      <c r="CI619" s="208" t="n"/>
      <c r="CJ619" s="204" t="n"/>
      <c r="CK619" s="208" t="n"/>
      <c r="CL619" s="208" t="n"/>
      <c r="CM619" s="208" t="n"/>
      <c r="CN619" s="78" t="n"/>
      <c r="CO619" s="209" t="n"/>
      <c r="CP619" s="204" t="n"/>
      <c r="CQ619" s="204" t="n"/>
      <c r="CR619" s="204" t="n"/>
      <c r="CS619" s="204" t="n"/>
      <c r="CT619" s="204" t="n"/>
      <c r="CU619" s="204" t="n"/>
      <c r="CV619" s="204" t="n"/>
      <c r="CW619" s="204" t="n"/>
    </row>
    <row r="620">
      <c r="BF620" s="78" t="n"/>
      <c r="BG620" s="78" t="n"/>
      <c r="BH620" s="78" t="n"/>
      <c r="BI620" s="78" t="n"/>
      <c r="BJ620" s="139" t="n"/>
      <c r="BK620" s="204" t="n"/>
      <c r="BL620" s="141" t="n"/>
      <c r="BM620" s="205" t="n"/>
      <c r="BN620" s="205" t="n"/>
      <c r="BO620" s="206" t="n"/>
      <c r="BP620" s="144" t="n"/>
      <c r="BQ620" s="141" t="n"/>
      <c r="BR620" s="207" t="n"/>
      <c r="BS620" s="207" t="n"/>
      <c r="BT620" s="207" t="n"/>
      <c r="BU620" s="207" t="n"/>
      <c r="BV620" s="208" t="n"/>
      <c r="BW620" s="207" t="n"/>
      <c r="BX620" s="207" t="n"/>
      <c r="BY620" s="204" t="n"/>
      <c r="BZ620" s="148" t="n"/>
      <c r="CA620" s="204" t="n"/>
      <c r="CB620" s="208" t="n"/>
      <c r="CC620" s="139" t="n"/>
      <c r="CD620" s="204" t="n"/>
      <c r="CE620" s="204" t="n"/>
      <c r="CF620" s="207" t="n"/>
      <c r="CG620" s="208" t="n"/>
      <c r="CH620" s="207" t="n"/>
      <c r="CI620" s="208" t="n"/>
      <c r="CJ620" s="204" t="n"/>
      <c r="CK620" s="208" t="n"/>
      <c r="CL620" s="208" t="n"/>
      <c r="CM620" s="208" t="n"/>
      <c r="CN620" s="78" t="n"/>
      <c r="CO620" s="209" t="n"/>
      <c r="CP620" s="204" t="n"/>
      <c r="CQ620" s="204" t="n"/>
      <c r="CR620" s="204" t="n"/>
      <c r="CS620" s="204" t="n"/>
      <c r="CT620" s="204" t="n"/>
      <c r="CU620" s="204" t="n"/>
      <c r="CV620" s="204" t="n"/>
      <c r="CW620" s="204" t="n"/>
    </row>
    <row r="621">
      <c r="BF621" s="78" t="n"/>
      <c r="BG621" s="78" t="n"/>
      <c r="BH621" s="78" t="n"/>
      <c r="BI621" s="78" t="n"/>
      <c r="BJ621" s="139" t="n"/>
      <c r="BK621" s="204" t="n"/>
      <c r="BL621" s="141" t="n"/>
      <c r="BM621" s="205" t="n"/>
      <c r="BN621" s="205" t="n"/>
      <c r="BO621" s="206" t="n"/>
      <c r="BP621" s="144" t="n"/>
      <c r="BQ621" s="141" t="n"/>
      <c r="BR621" s="207" t="n"/>
      <c r="BS621" s="207" t="n"/>
      <c r="BT621" s="207" t="n"/>
      <c r="BU621" s="207" t="n"/>
      <c r="BV621" s="208" t="n"/>
      <c r="BW621" s="207" t="n"/>
      <c r="BX621" s="207" t="n"/>
      <c r="BY621" s="204" t="n"/>
      <c r="BZ621" s="148" t="n"/>
      <c r="CA621" s="204" t="n"/>
      <c r="CB621" s="208" t="n"/>
      <c r="CC621" s="139" t="n"/>
      <c r="CD621" s="204" t="n"/>
      <c r="CE621" s="204" t="n"/>
      <c r="CF621" s="207" t="n"/>
      <c r="CG621" s="208" t="n"/>
      <c r="CH621" s="207" t="n"/>
      <c r="CI621" s="208" t="n"/>
      <c r="CJ621" s="204" t="n"/>
      <c r="CK621" s="208" t="n"/>
      <c r="CL621" s="208" t="n"/>
      <c r="CM621" s="208" t="n"/>
      <c r="CN621" s="78" t="n"/>
      <c r="CO621" s="209" t="n"/>
      <c r="CP621" s="204" t="n"/>
      <c r="CQ621" s="204" t="n"/>
      <c r="CR621" s="204" t="n"/>
      <c r="CS621" s="204" t="n"/>
      <c r="CT621" s="204" t="n"/>
      <c r="CU621" s="204" t="n"/>
      <c r="CV621" s="204" t="n"/>
      <c r="CW621" s="204" t="n"/>
    </row>
    <row r="622">
      <c r="BF622" s="78" t="n"/>
      <c r="BG622" s="78" t="n"/>
      <c r="BH622" s="78" t="n"/>
      <c r="BI622" s="78" t="n"/>
      <c r="BJ622" s="139" t="n"/>
      <c r="BK622" s="204" t="n"/>
      <c r="BL622" s="141" t="n"/>
      <c r="BM622" s="205" t="n"/>
      <c r="BN622" s="205" t="n"/>
      <c r="BO622" s="206" t="n"/>
      <c r="BP622" s="144" t="n"/>
      <c r="BQ622" s="141" t="n"/>
      <c r="BR622" s="207" t="n"/>
      <c r="BS622" s="207" t="n"/>
      <c r="BT622" s="207" t="n"/>
      <c r="BU622" s="207" t="n"/>
      <c r="BV622" s="208" t="n"/>
      <c r="BW622" s="207" t="n"/>
      <c r="BX622" s="207" t="n"/>
      <c r="BY622" s="204" t="n"/>
      <c r="BZ622" s="148" t="n"/>
      <c r="CA622" s="204" t="n"/>
      <c r="CB622" s="208" t="n"/>
      <c r="CC622" s="139" t="n"/>
      <c r="CD622" s="204" t="n"/>
      <c r="CE622" s="204" t="n"/>
      <c r="CF622" s="207" t="n"/>
      <c r="CG622" s="208" t="n"/>
      <c r="CH622" s="207" t="n"/>
      <c r="CI622" s="208" t="n"/>
      <c r="CJ622" s="204" t="n"/>
      <c r="CK622" s="208" t="n"/>
      <c r="CL622" s="208" t="n"/>
      <c r="CM622" s="208" t="n"/>
      <c r="CN622" s="78" t="n"/>
      <c r="CO622" s="209" t="n"/>
      <c r="CP622" s="204" t="n"/>
      <c r="CQ622" s="204" t="n"/>
      <c r="CR622" s="204" t="n"/>
      <c r="CS622" s="204" t="n"/>
      <c r="CT622" s="204" t="n"/>
      <c r="CU622" s="204" t="n"/>
      <c r="CV622" s="204" t="n"/>
      <c r="CW622" s="204" t="n"/>
    </row>
    <row r="623">
      <c r="BF623" s="78" t="n"/>
      <c r="BG623" s="78" t="n"/>
      <c r="BH623" s="78" t="n"/>
      <c r="BI623" s="78" t="n"/>
      <c r="BJ623" s="139" t="n"/>
      <c r="BK623" s="204" t="n"/>
      <c r="BL623" s="141" t="n"/>
      <c r="BM623" s="205" t="n"/>
      <c r="BN623" s="205" t="n"/>
      <c r="BO623" s="206" t="n"/>
      <c r="BP623" s="144" t="n"/>
      <c r="BQ623" s="141" t="n"/>
      <c r="BR623" s="207" t="n"/>
      <c r="BS623" s="207" t="n"/>
      <c r="BT623" s="207" t="n"/>
      <c r="BU623" s="207" t="n"/>
      <c r="BV623" s="208" t="n"/>
      <c r="BW623" s="207" t="n"/>
      <c r="BX623" s="207" t="n"/>
      <c r="BY623" s="204" t="n"/>
      <c r="BZ623" s="148" t="n"/>
      <c r="CA623" s="204" t="n"/>
      <c r="CB623" s="208" t="n"/>
      <c r="CC623" s="139" t="n"/>
      <c r="CD623" s="204" t="n"/>
      <c r="CE623" s="204" t="n"/>
      <c r="CF623" s="207" t="n"/>
      <c r="CG623" s="208" t="n"/>
      <c r="CH623" s="207" t="n"/>
      <c r="CI623" s="208" t="n"/>
      <c r="CJ623" s="204" t="n"/>
      <c r="CK623" s="208" t="n"/>
      <c r="CL623" s="208" t="n"/>
      <c r="CM623" s="208" t="n"/>
      <c r="CN623" s="78" t="n"/>
      <c r="CO623" s="209" t="n"/>
      <c r="CP623" s="204" t="n"/>
      <c r="CQ623" s="204" t="n"/>
      <c r="CR623" s="204" t="n"/>
      <c r="CS623" s="204" t="n"/>
      <c r="CT623" s="204" t="n"/>
      <c r="CU623" s="204" t="n"/>
      <c r="CV623" s="204" t="n"/>
      <c r="CW623" s="204" t="n"/>
    </row>
    <row r="624">
      <c r="BF624" s="78" t="n"/>
      <c r="BG624" s="78" t="n"/>
      <c r="BH624" s="78" t="n"/>
      <c r="BI624" s="78" t="n"/>
      <c r="BJ624" s="139" t="n"/>
      <c r="BK624" s="204" t="n"/>
      <c r="BL624" s="141" t="n"/>
      <c r="BM624" s="205" t="n"/>
      <c r="BN624" s="205" t="n"/>
      <c r="BO624" s="206" t="n"/>
      <c r="BP624" s="144" t="n"/>
      <c r="BQ624" s="141" t="n"/>
      <c r="BR624" s="207" t="n"/>
      <c r="BS624" s="207" t="n"/>
      <c r="BT624" s="207" t="n"/>
      <c r="BU624" s="207" t="n"/>
      <c r="BV624" s="208" t="n"/>
      <c r="BW624" s="207" t="n"/>
      <c r="BX624" s="207" t="n"/>
      <c r="BY624" s="204" t="n"/>
      <c r="BZ624" s="148" t="n"/>
      <c r="CA624" s="204" t="n"/>
      <c r="CB624" s="208" t="n"/>
      <c r="CC624" s="139" t="n"/>
      <c r="CD624" s="204" t="n"/>
      <c r="CE624" s="204" t="n"/>
      <c r="CF624" s="207" t="n"/>
      <c r="CG624" s="208" t="n"/>
      <c r="CH624" s="207" t="n"/>
      <c r="CI624" s="208" t="n"/>
      <c r="CJ624" s="204" t="n"/>
      <c r="CK624" s="208" t="n"/>
      <c r="CL624" s="208" t="n"/>
      <c r="CM624" s="208" t="n"/>
      <c r="CN624" s="78" t="n"/>
      <c r="CO624" s="209" t="n"/>
      <c r="CP624" s="204" t="n"/>
      <c r="CQ624" s="204" t="n"/>
      <c r="CR624" s="204" t="n"/>
      <c r="CS624" s="204" t="n"/>
      <c r="CT624" s="204" t="n"/>
      <c r="CU624" s="204" t="n"/>
      <c r="CV624" s="204" t="n"/>
      <c r="CW624" s="204" t="n"/>
    </row>
    <row r="625">
      <c r="BF625" s="78" t="n"/>
      <c r="BG625" s="78" t="n"/>
      <c r="BH625" s="78" t="n"/>
      <c r="BI625" s="78" t="n"/>
      <c r="BJ625" s="139" t="n"/>
      <c r="BK625" s="204" t="n"/>
      <c r="BL625" s="141" t="n"/>
      <c r="BM625" s="205" t="n"/>
      <c r="BN625" s="205" t="n"/>
      <c r="BO625" s="206" t="n"/>
      <c r="BP625" s="144" t="n"/>
      <c r="BQ625" s="141" t="n"/>
      <c r="BR625" s="207" t="n"/>
      <c r="BS625" s="207" t="n"/>
      <c r="BT625" s="207" t="n"/>
      <c r="BU625" s="207" t="n"/>
      <c r="BV625" s="208" t="n"/>
      <c r="BW625" s="207" t="n"/>
      <c r="BX625" s="207" t="n"/>
      <c r="BY625" s="204" t="n"/>
      <c r="BZ625" s="148" t="n"/>
      <c r="CA625" s="204" t="n"/>
      <c r="CB625" s="208" t="n"/>
      <c r="CC625" s="139" t="n"/>
      <c r="CD625" s="204" t="n"/>
      <c r="CE625" s="204" t="n"/>
      <c r="CF625" s="207" t="n"/>
      <c r="CG625" s="208" t="n"/>
      <c r="CH625" s="207" t="n"/>
      <c r="CI625" s="208" t="n"/>
      <c r="CJ625" s="204" t="n"/>
      <c r="CK625" s="208" t="n"/>
      <c r="CL625" s="208" t="n"/>
      <c r="CM625" s="208" t="n"/>
      <c r="CN625" s="78" t="n"/>
      <c r="CO625" s="209" t="n"/>
      <c r="CP625" s="204" t="n"/>
      <c r="CQ625" s="204" t="n"/>
      <c r="CR625" s="204" t="n"/>
      <c r="CS625" s="204" t="n"/>
      <c r="CT625" s="204" t="n"/>
      <c r="CU625" s="204" t="n"/>
      <c r="CV625" s="204" t="n"/>
      <c r="CW625" s="204" t="n"/>
    </row>
    <row r="626">
      <c r="BF626" s="78" t="n"/>
      <c r="BG626" s="78" t="n"/>
      <c r="BH626" s="78" t="n"/>
      <c r="BI626" s="78" t="n"/>
      <c r="BJ626" s="139" t="n"/>
      <c r="BK626" s="204" t="n"/>
      <c r="BL626" s="141" t="n"/>
      <c r="BM626" s="205" t="n"/>
      <c r="BN626" s="205" t="n"/>
      <c r="BO626" s="206" t="n"/>
      <c r="BP626" s="144" t="n"/>
      <c r="BQ626" s="141" t="n"/>
      <c r="BR626" s="207" t="n"/>
      <c r="BS626" s="207" t="n"/>
      <c r="BT626" s="207" t="n"/>
      <c r="BU626" s="207" t="n"/>
      <c r="BV626" s="208" t="n"/>
      <c r="BW626" s="207" t="n"/>
      <c r="BX626" s="207" t="n"/>
      <c r="BY626" s="204" t="n"/>
      <c r="BZ626" s="148" t="n"/>
      <c r="CA626" s="204" t="n"/>
      <c r="CB626" s="208" t="n"/>
      <c r="CC626" s="139" t="n"/>
      <c r="CD626" s="204" t="n"/>
      <c r="CE626" s="204" t="n"/>
      <c r="CF626" s="207" t="n"/>
      <c r="CG626" s="208" t="n"/>
      <c r="CH626" s="207" t="n"/>
      <c r="CI626" s="208" t="n"/>
      <c r="CJ626" s="204" t="n"/>
      <c r="CK626" s="208" t="n"/>
      <c r="CL626" s="208" t="n"/>
      <c r="CM626" s="208" t="n"/>
      <c r="CN626" s="78" t="n"/>
      <c r="CO626" s="209" t="n"/>
      <c r="CP626" s="204" t="n"/>
      <c r="CQ626" s="204" t="n"/>
      <c r="CR626" s="204" t="n"/>
      <c r="CS626" s="204" t="n"/>
      <c r="CT626" s="204" t="n"/>
      <c r="CU626" s="204" t="n"/>
      <c r="CV626" s="204" t="n"/>
      <c r="CW626" s="204" t="n"/>
    </row>
    <row r="627">
      <c r="BF627" s="78" t="n"/>
      <c r="BG627" s="78" t="n"/>
      <c r="BH627" s="78" t="n"/>
      <c r="BI627" s="78" t="n"/>
      <c r="BJ627" s="139" t="n"/>
      <c r="BK627" s="204" t="n"/>
      <c r="BL627" s="141" t="n"/>
      <c r="BM627" s="205" t="n"/>
      <c r="BN627" s="205" t="n"/>
      <c r="BO627" s="206" t="n"/>
      <c r="BP627" s="144" t="n"/>
      <c r="BQ627" s="141" t="n"/>
      <c r="BR627" s="207" t="n"/>
      <c r="BS627" s="207" t="n"/>
      <c r="BT627" s="207" t="n"/>
      <c r="BU627" s="207" t="n"/>
      <c r="BV627" s="208" t="n"/>
      <c r="BW627" s="207" t="n"/>
      <c r="BX627" s="207" t="n"/>
      <c r="BY627" s="204" t="n"/>
      <c r="BZ627" s="148" t="n"/>
      <c r="CA627" s="204" t="n"/>
      <c r="CB627" s="208" t="n"/>
      <c r="CC627" s="139" t="n"/>
      <c r="CD627" s="204" t="n"/>
      <c r="CE627" s="204" t="n"/>
      <c r="CF627" s="207" t="n"/>
      <c r="CG627" s="208" t="n"/>
      <c r="CH627" s="207" t="n"/>
      <c r="CI627" s="208" t="n"/>
      <c r="CJ627" s="204" t="n"/>
      <c r="CK627" s="208" t="n"/>
      <c r="CL627" s="208" t="n"/>
      <c r="CM627" s="208" t="n"/>
      <c r="CN627" s="78" t="n"/>
      <c r="CO627" s="209" t="n"/>
      <c r="CP627" s="204" t="n"/>
      <c r="CQ627" s="204" t="n"/>
      <c r="CR627" s="204" t="n"/>
      <c r="CS627" s="204" t="n"/>
      <c r="CT627" s="204" t="n"/>
      <c r="CU627" s="204" t="n"/>
      <c r="CV627" s="204" t="n"/>
      <c r="CW627" s="204" t="n"/>
    </row>
    <row r="628">
      <c r="BF628" s="78" t="n"/>
      <c r="BG628" s="78" t="n"/>
      <c r="BH628" s="78" t="n"/>
      <c r="BI628" s="78" t="n"/>
      <c r="BJ628" s="139" t="n"/>
      <c r="BK628" s="204" t="n"/>
      <c r="BL628" s="141" t="n"/>
      <c r="BM628" s="205" t="n"/>
      <c r="BN628" s="205" t="n"/>
      <c r="BO628" s="206" t="n"/>
      <c r="BP628" s="144" t="n"/>
      <c r="BQ628" s="141" t="n"/>
      <c r="BR628" s="207" t="n"/>
      <c r="BS628" s="207" t="n"/>
      <c r="BT628" s="207" t="n"/>
      <c r="BU628" s="207" t="n"/>
      <c r="BV628" s="208" t="n"/>
      <c r="BW628" s="207" t="n"/>
      <c r="BX628" s="207" t="n"/>
      <c r="BY628" s="204" t="n"/>
      <c r="BZ628" s="148" t="n"/>
      <c r="CA628" s="204" t="n"/>
      <c r="CB628" s="208" t="n"/>
      <c r="CC628" s="139" t="n"/>
      <c r="CD628" s="204" t="n"/>
      <c r="CE628" s="204" t="n"/>
      <c r="CF628" s="207" t="n"/>
      <c r="CG628" s="208" t="n"/>
      <c r="CH628" s="207" t="n"/>
      <c r="CI628" s="208" t="n"/>
      <c r="CJ628" s="204" t="n"/>
      <c r="CK628" s="208" t="n"/>
      <c r="CL628" s="208" t="n"/>
      <c r="CM628" s="208" t="n"/>
      <c r="CN628" s="78" t="n"/>
      <c r="CO628" s="209" t="n"/>
      <c r="CP628" s="204" t="n"/>
      <c r="CQ628" s="204" t="n"/>
      <c r="CR628" s="204" t="n"/>
      <c r="CS628" s="204" t="n"/>
      <c r="CT628" s="204" t="n"/>
      <c r="CU628" s="204" t="n"/>
      <c r="CV628" s="204" t="n"/>
      <c r="CW628" s="204" t="n"/>
    </row>
    <row r="629">
      <c r="BF629" s="78" t="n"/>
      <c r="BG629" s="78" t="n"/>
      <c r="BH629" s="78" t="n"/>
      <c r="BI629" s="78" t="n"/>
      <c r="BJ629" s="139" t="n"/>
      <c r="BK629" s="204" t="n"/>
      <c r="BL629" s="141" t="n"/>
      <c r="BM629" s="205" t="n"/>
      <c r="BN629" s="205" t="n"/>
      <c r="BO629" s="206" t="n"/>
      <c r="BP629" s="144" t="n"/>
      <c r="BQ629" s="141" t="n"/>
      <c r="BR629" s="207" t="n"/>
      <c r="BS629" s="207" t="n"/>
      <c r="BT629" s="207" t="n"/>
      <c r="BU629" s="207" t="n"/>
      <c r="BV629" s="208" t="n"/>
      <c r="BW629" s="207" t="n"/>
      <c r="BX629" s="207" t="n"/>
      <c r="BY629" s="204" t="n"/>
      <c r="BZ629" s="148" t="n"/>
      <c r="CA629" s="204" t="n"/>
      <c r="CB629" s="208" t="n"/>
      <c r="CC629" s="139" t="n"/>
      <c r="CD629" s="204" t="n"/>
      <c r="CE629" s="204" t="n"/>
      <c r="CF629" s="207" t="n"/>
      <c r="CG629" s="208" t="n"/>
      <c r="CH629" s="207" t="n"/>
      <c r="CI629" s="208" t="n"/>
      <c r="CJ629" s="204" t="n"/>
      <c r="CK629" s="208" t="n"/>
      <c r="CL629" s="208" t="n"/>
      <c r="CM629" s="208" t="n"/>
      <c r="CN629" s="78" t="n"/>
      <c r="CO629" s="209" t="n"/>
      <c r="CP629" s="204" t="n"/>
      <c r="CQ629" s="204" t="n"/>
      <c r="CR629" s="204" t="n"/>
      <c r="CS629" s="204" t="n"/>
      <c r="CT629" s="204" t="n"/>
      <c r="CU629" s="204" t="n"/>
      <c r="CV629" s="204" t="n"/>
      <c r="CW629" s="204" t="n"/>
    </row>
    <row r="630">
      <c r="BF630" s="78" t="n"/>
      <c r="BG630" s="78" t="n"/>
      <c r="BH630" s="78" t="n"/>
      <c r="BI630" s="78" t="n"/>
      <c r="BJ630" s="139" t="n"/>
      <c r="BK630" s="204" t="n"/>
      <c r="BL630" s="141" t="n"/>
      <c r="BM630" s="205" t="n"/>
      <c r="BN630" s="205" t="n"/>
      <c r="BO630" s="206" t="n"/>
      <c r="BP630" s="144" t="n"/>
      <c r="BQ630" s="141" t="n"/>
      <c r="BR630" s="207" t="n"/>
      <c r="BS630" s="207" t="n"/>
      <c r="BT630" s="207" t="n"/>
      <c r="BU630" s="207" t="n"/>
      <c r="BV630" s="208" t="n"/>
      <c r="BW630" s="207" t="n"/>
      <c r="BX630" s="207" t="n"/>
      <c r="BY630" s="204" t="n"/>
      <c r="BZ630" s="148" t="n"/>
      <c r="CA630" s="204" t="n"/>
      <c r="CB630" s="208" t="n"/>
      <c r="CC630" s="139" t="n"/>
      <c r="CD630" s="204" t="n"/>
      <c r="CE630" s="204" t="n"/>
      <c r="CF630" s="207" t="n"/>
      <c r="CG630" s="208" t="n"/>
      <c r="CH630" s="207" t="n"/>
      <c r="CI630" s="208" t="n"/>
      <c r="CJ630" s="204" t="n"/>
      <c r="CK630" s="208" t="n"/>
      <c r="CL630" s="208" t="n"/>
      <c r="CM630" s="208" t="n"/>
      <c r="CN630" s="78" t="n"/>
      <c r="CO630" s="209" t="n"/>
      <c r="CP630" s="204" t="n"/>
      <c r="CQ630" s="204" t="n"/>
      <c r="CR630" s="204" t="n"/>
      <c r="CS630" s="204" t="n"/>
      <c r="CT630" s="204" t="n"/>
      <c r="CU630" s="204" t="n"/>
      <c r="CV630" s="204" t="n"/>
      <c r="CW630" s="204" t="n"/>
    </row>
    <row r="631">
      <c r="BF631" s="78" t="n"/>
      <c r="BG631" s="78" t="n"/>
      <c r="BH631" s="78" t="n"/>
      <c r="BI631" s="78" t="n"/>
      <c r="BJ631" s="139" t="n"/>
      <c r="BK631" s="204" t="n"/>
      <c r="BL631" s="141" t="n"/>
      <c r="BM631" s="205" t="n"/>
      <c r="BN631" s="205" t="n"/>
      <c r="BO631" s="206" t="n"/>
      <c r="BP631" s="144" t="n"/>
      <c r="BQ631" s="141" t="n"/>
      <c r="BR631" s="207" t="n"/>
      <c r="BS631" s="207" t="n"/>
      <c r="BT631" s="207" t="n"/>
      <c r="BU631" s="207" t="n"/>
      <c r="BV631" s="208" t="n"/>
      <c r="BW631" s="207" t="n"/>
      <c r="BX631" s="207" t="n"/>
      <c r="BY631" s="204" t="n"/>
      <c r="BZ631" s="148" t="n"/>
      <c r="CA631" s="204" t="n"/>
      <c r="CB631" s="208" t="n"/>
      <c r="CC631" s="139" t="n"/>
      <c r="CD631" s="204" t="n"/>
      <c r="CE631" s="204" t="n"/>
      <c r="CF631" s="207" t="n"/>
      <c r="CG631" s="208" t="n"/>
      <c r="CH631" s="207" t="n"/>
      <c r="CI631" s="208" t="n"/>
      <c r="CJ631" s="204" t="n"/>
      <c r="CK631" s="208" t="n"/>
      <c r="CL631" s="208" t="n"/>
      <c r="CM631" s="208" t="n"/>
      <c r="CN631" s="78" t="n"/>
      <c r="CO631" s="209" t="n"/>
      <c r="CP631" s="204" t="n"/>
      <c r="CQ631" s="204" t="n"/>
      <c r="CR631" s="204" t="n"/>
      <c r="CS631" s="204" t="n"/>
      <c r="CT631" s="204" t="n"/>
      <c r="CU631" s="204" t="n"/>
      <c r="CV631" s="204" t="n"/>
      <c r="CW631" s="204" t="n"/>
    </row>
    <row r="632">
      <c r="BF632" s="78" t="n"/>
      <c r="BG632" s="78" t="n"/>
      <c r="BH632" s="78" t="n"/>
      <c r="BI632" s="78" t="n"/>
      <c r="BJ632" s="139" t="n"/>
      <c r="BK632" s="204" t="n"/>
      <c r="BL632" s="141" t="n"/>
      <c r="BM632" s="205" t="n"/>
      <c r="BN632" s="205" t="n"/>
      <c r="BO632" s="206" t="n"/>
      <c r="BP632" s="144" t="n"/>
      <c r="BQ632" s="141" t="n"/>
      <c r="BR632" s="207" t="n"/>
      <c r="BS632" s="207" t="n"/>
      <c r="BT632" s="207" t="n"/>
      <c r="BU632" s="207" t="n"/>
      <c r="BV632" s="208" t="n"/>
      <c r="BW632" s="207" t="n"/>
      <c r="BX632" s="207" t="n"/>
      <c r="BY632" s="204" t="n"/>
      <c r="BZ632" s="148" t="n"/>
      <c r="CA632" s="204" t="n"/>
      <c r="CB632" s="208" t="n"/>
      <c r="CC632" s="139" t="n"/>
      <c r="CD632" s="204" t="n"/>
      <c r="CE632" s="204" t="n"/>
      <c r="CF632" s="207" t="n"/>
      <c r="CG632" s="208" t="n"/>
      <c r="CH632" s="207" t="n"/>
      <c r="CI632" s="208" t="n"/>
      <c r="CJ632" s="204" t="n"/>
      <c r="CK632" s="208" t="n"/>
      <c r="CL632" s="208" t="n"/>
      <c r="CM632" s="208" t="n"/>
      <c r="CN632" s="78" t="n"/>
      <c r="CO632" s="209" t="n"/>
      <c r="CP632" s="204" t="n"/>
      <c r="CQ632" s="204" t="n"/>
      <c r="CR632" s="204" t="n"/>
      <c r="CS632" s="204" t="n"/>
      <c r="CT632" s="204" t="n"/>
      <c r="CU632" s="204" t="n"/>
      <c r="CV632" s="204" t="n"/>
      <c r="CW632" s="204" t="n"/>
    </row>
    <row r="633">
      <c r="BF633" s="78" t="n"/>
      <c r="BG633" s="78" t="n"/>
      <c r="BH633" s="78" t="n"/>
      <c r="BI633" s="78" t="n"/>
      <c r="BJ633" s="139" t="n"/>
      <c r="BK633" s="204" t="n"/>
      <c r="BL633" s="141" t="n"/>
      <c r="BM633" s="205" t="n"/>
      <c r="BN633" s="205" t="n"/>
      <c r="BO633" s="206" t="n"/>
      <c r="BP633" s="144" t="n"/>
      <c r="BQ633" s="141" t="n"/>
      <c r="BR633" s="207" t="n"/>
      <c r="BS633" s="207" t="n"/>
      <c r="BT633" s="207" t="n"/>
      <c r="BU633" s="207" t="n"/>
      <c r="BV633" s="208" t="n"/>
      <c r="BW633" s="207" t="n"/>
      <c r="BX633" s="207" t="n"/>
      <c r="BY633" s="204" t="n"/>
      <c r="BZ633" s="148" t="n"/>
      <c r="CA633" s="204" t="n"/>
      <c r="CB633" s="208" t="n"/>
      <c r="CC633" s="139" t="n"/>
      <c r="CD633" s="204" t="n"/>
      <c r="CE633" s="204" t="n"/>
      <c r="CF633" s="207" t="n"/>
      <c r="CG633" s="208" t="n"/>
      <c r="CH633" s="207" t="n"/>
      <c r="CI633" s="208" t="n"/>
      <c r="CJ633" s="204" t="n"/>
      <c r="CK633" s="208" t="n"/>
      <c r="CL633" s="208" t="n"/>
      <c r="CM633" s="208" t="n"/>
      <c r="CN633" s="78" t="n"/>
      <c r="CO633" s="209" t="n"/>
      <c r="CP633" s="204" t="n"/>
      <c r="CQ633" s="204" t="n"/>
      <c r="CR633" s="204" t="n"/>
      <c r="CS633" s="204" t="n"/>
      <c r="CT633" s="204" t="n"/>
      <c r="CU633" s="204" t="n"/>
      <c r="CV633" s="204" t="n"/>
      <c r="CW633" s="204" t="n"/>
    </row>
    <row r="634">
      <c r="BF634" s="78" t="n"/>
      <c r="BG634" s="78" t="n"/>
      <c r="BH634" s="78" t="n"/>
      <c r="BI634" s="78" t="n"/>
      <c r="BJ634" s="139" t="n"/>
      <c r="BK634" s="204" t="n"/>
      <c r="BL634" s="141" t="n"/>
      <c r="BM634" s="205" t="n"/>
      <c r="BN634" s="205" t="n"/>
      <c r="BO634" s="206" t="n"/>
      <c r="BP634" s="144" t="n"/>
      <c r="BQ634" s="141" t="n"/>
      <c r="BR634" s="207" t="n"/>
      <c r="BS634" s="207" t="n"/>
      <c r="BT634" s="207" t="n"/>
      <c r="BU634" s="207" t="n"/>
      <c r="BV634" s="208" t="n"/>
      <c r="BW634" s="207" t="n"/>
      <c r="BX634" s="207" t="n"/>
      <c r="BY634" s="204" t="n"/>
      <c r="BZ634" s="148" t="n"/>
      <c r="CA634" s="204" t="n"/>
      <c r="CB634" s="208" t="n"/>
      <c r="CC634" s="139" t="n"/>
      <c r="CD634" s="204" t="n"/>
      <c r="CE634" s="204" t="n"/>
      <c r="CF634" s="207" t="n"/>
      <c r="CG634" s="208" t="n"/>
      <c r="CH634" s="207" t="n"/>
      <c r="CI634" s="208" t="n"/>
      <c r="CJ634" s="204" t="n"/>
      <c r="CK634" s="208" t="n"/>
      <c r="CL634" s="208" t="n"/>
      <c r="CM634" s="208" t="n"/>
      <c r="CN634" s="78" t="n"/>
      <c r="CO634" s="209" t="n"/>
      <c r="CP634" s="204" t="n"/>
      <c r="CQ634" s="204" t="n"/>
      <c r="CR634" s="204" t="n"/>
      <c r="CS634" s="204" t="n"/>
      <c r="CT634" s="204" t="n"/>
      <c r="CU634" s="204" t="n"/>
      <c r="CV634" s="204" t="n"/>
      <c r="CW634" s="204" t="n"/>
    </row>
    <row r="635">
      <c r="BF635" s="78" t="n"/>
      <c r="BG635" s="78" t="n"/>
      <c r="BH635" s="78" t="n"/>
      <c r="BI635" s="78" t="n"/>
      <c r="BJ635" s="139" t="n"/>
      <c r="BK635" s="204" t="n"/>
      <c r="BL635" s="141" t="n"/>
      <c r="BM635" s="205" t="n"/>
      <c r="BN635" s="205" t="n"/>
      <c r="BO635" s="206" t="n"/>
      <c r="BP635" s="144" t="n"/>
      <c r="BQ635" s="141" t="n"/>
      <c r="BR635" s="207" t="n"/>
      <c r="BS635" s="207" t="n"/>
      <c r="BT635" s="207" t="n"/>
      <c r="BU635" s="207" t="n"/>
      <c r="BV635" s="208" t="n"/>
      <c r="BW635" s="207" t="n"/>
      <c r="BX635" s="207" t="n"/>
      <c r="BY635" s="204" t="n"/>
      <c r="BZ635" s="148" t="n"/>
      <c r="CA635" s="204" t="n"/>
      <c r="CB635" s="208" t="n"/>
      <c r="CC635" s="139" t="n"/>
      <c r="CD635" s="204" t="n"/>
      <c r="CE635" s="204" t="n"/>
      <c r="CF635" s="207" t="n"/>
      <c r="CG635" s="208" t="n"/>
      <c r="CH635" s="207" t="n"/>
      <c r="CI635" s="208" t="n"/>
      <c r="CJ635" s="204" t="n"/>
      <c r="CK635" s="208" t="n"/>
      <c r="CL635" s="208" t="n"/>
      <c r="CM635" s="208" t="n"/>
      <c r="CN635" s="78" t="n"/>
      <c r="CO635" s="209" t="n"/>
      <c r="CP635" s="204" t="n"/>
      <c r="CQ635" s="204" t="n"/>
      <c r="CR635" s="204" t="n"/>
      <c r="CS635" s="204" t="n"/>
      <c r="CT635" s="204" t="n"/>
      <c r="CU635" s="204" t="n"/>
      <c r="CV635" s="204" t="n"/>
      <c r="CW635" s="204" t="n"/>
    </row>
    <row r="636">
      <c r="BF636" s="78" t="n"/>
      <c r="BG636" s="78" t="n"/>
      <c r="BH636" s="78" t="n"/>
      <c r="BI636" s="78" t="n"/>
      <c r="BJ636" s="139" t="n"/>
      <c r="BK636" s="204" t="n"/>
      <c r="BL636" s="141" t="n"/>
      <c r="BM636" s="205" t="n"/>
      <c r="BN636" s="205" t="n"/>
      <c r="BO636" s="206" t="n"/>
      <c r="BP636" s="144" t="n"/>
      <c r="BQ636" s="141" t="n"/>
      <c r="BR636" s="207" t="n"/>
      <c r="BS636" s="207" t="n"/>
      <c r="BT636" s="207" t="n"/>
      <c r="BU636" s="207" t="n"/>
      <c r="BV636" s="208" t="n"/>
      <c r="BW636" s="207" t="n"/>
      <c r="BX636" s="207" t="n"/>
      <c r="BY636" s="204" t="n"/>
      <c r="BZ636" s="148" t="n"/>
      <c r="CA636" s="204" t="n"/>
      <c r="CB636" s="208" t="n"/>
      <c r="CC636" s="139" t="n"/>
      <c r="CD636" s="204" t="n"/>
      <c r="CE636" s="204" t="n"/>
      <c r="CF636" s="207" t="n"/>
      <c r="CG636" s="208" t="n"/>
      <c r="CH636" s="207" t="n"/>
      <c r="CI636" s="208" t="n"/>
      <c r="CJ636" s="204" t="n"/>
      <c r="CK636" s="208" t="n"/>
      <c r="CL636" s="208" t="n"/>
      <c r="CM636" s="208" t="n"/>
      <c r="CN636" s="78" t="n"/>
      <c r="CO636" s="209" t="n"/>
      <c r="CP636" s="204" t="n"/>
      <c r="CQ636" s="204" t="n"/>
      <c r="CR636" s="204" t="n"/>
      <c r="CS636" s="204" t="n"/>
      <c r="CT636" s="204" t="n"/>
      <c r="CU636" s="204" t="n"/>
      <c r="CV636" s="204" t="n"/>
      <c r="CW636" s="204" t="n"/>
    </row>
    <row r="637">
      <c r="BF637" s="78" t="n"/>
      <c r="BG637" s="78" t="n"/>
      <c r="BH637" s="78" t="n"/>
      <c r="BI637" s="78" t="n"/>
      <c r="BJ637" s="139" t="n"/>
      <c r="BK637" s="204" t="n"/>
      <c r="BL637" s="141" t="n"/>
      <c r="BM637" s="205" t="n"/>
      <c r="BN637" s="205" t="n"/>
      <c r="BO637" s="206" t="n"/>
      <c r="BP637" s="144" t="n"/>
      <c r="BQ637" s="141" t="n"/>
      <c r="BR637" s="207" t="n"/>
      <c r="BS637" s="207" t="n"/>
      <c r="BT637" s="207" t="n"/>
      <c r="BU637" s="207" t="n"/>
      <c r="BV637" s="208" t="n"/>
      <c r="BW637" s="207" t="n"/>
      <c r="BX637" s="207" t="n"/>
      <c r="BY637" s="204" t="n"/>
      <c r="BZ637" s="148" t="n"/>
      <c r="CA637" s="204" t="n"/>
      <c r="CB637" s="208" t="n"/>
      <c r="CC637" s="139" t="n"/>
      <c r="CD637" s="204" t="n"/>
      <c r="CE637" s="204" t="n"/>
      <c r="CF637" s="207" t="n"/>
      <c r="CG637" s="208" t="n"/>
      <c r="CH637" s="207" t="n"/>
      <c r="CI637" s="208" t="n"/>
      <c r="CJ637" s="204" t="n"/>
      <c r="CK637" s="208" t="n"/>
      <c r="CL637" s="208" t="n"/>
      <c r="CM637" s="208" t="n"/>
      <c r="CN637" s="78" t="n"/>
      <c r="CO637" s="209" t="n"/>
      <c r="CP637" s="204" t="n"/>
      <c r="CQ637" s="204" t="n"/>
      <c r="CR637" s="204" t="n"/>
      <c r="CS637" s="204" t="n"/>
      <c r="CT637" s="204" t="n"/>
      <c r="CU637" s="204" t="n"/>
      <c r="CV637" s="204" t="n"/>
      <c r="CW637" s="204" t="n"/>
    </row>
    <row r="638">
      <c r="BF638" s="78" t="n"/>
      <c r="BG638" s="78" t="n"/>
      <c r="BH638" s="78" t="n"/>
      <c r="BI638" s="78" t="n"/>
      <c r="BJ638" s="139" t="n"/>
      <c r="BK638" s="204" t="n"/>
      <c r="BL638" s="141" t="n"/>
      <c r="BM638" s="205" t="n"/>
      <c r="BN638" s="205" t="n"/>
      <c r="BO638" s="206" t="n"/>
      <c r="BP638" s="144" t="n"/>
      <c r="BQ638" s="141" t="n"/>
      <c r="BR638" s="207" t="n"/>
      <c r="BS638" s="207" t="n"/>
      <c r="BT638" s="207" t="n"/>
      <c r="BU638" s="207" t="n"/>
      <c r="BV638" s="208" t="n"/>
      <c r="BW638" s="207" t="n"/>
      <c r="BX638" s="207" t="n"/>
      <c r="BY638" s="204" t="n"/>
      <c r="BZ638" s="148" t="n"/>
      <c r="CA638" s="204" t="n"/>
      <c r="CB638" s="208" t="n"/>
      <c r="CC638" s="139" t="n"/>
      <c r="CD638" s="204" t="n"/>
      <c r="CE638" s="204" t="n"/>
      <c r="CF638" s="207" t="n"/>
      <c r="CG638" s="208" t="n"/>
      <c r="CH638" s="207" t="n"/>
      <c r="CI638" s="208" t="n"/>
      <c r="CJ638" s="204" t="n"/>
      <c r="CK638" s="208" t="n"/>
      <c r="CL638" s="208" t="n"/>
      <c r="CM638" s="208" t="n"/>
      <c r="CN638" s="78" t="n"/>
      <c r="CO638" s="209" t="n"/>
      <c r="CP638" s="204" t="n"/>
      <c r="CQ638" s="204" t="n"/>
      <c r="CR638" s="204" t="n"/>
      <c r="CS638" s="204" t="n"/>
      <c r="CT638" s="204" t="n"/>
      <c r="CU638" s="204" t="n"/>
      <c r="CV638" s="204" t="n"/>
      <c r="CW638" s="204" t="n"/>
    </row>
    <row r="639">
      <c r="BF639" s="78" t="n"/>
      <c r="BG639" s="78" t="n"/>
      <c r="BH639" s="78" t="n"/>
      <c r="BI639" s="78" t="n"/>
      <c r="BJ639" s="139" t="n"/>
      <c r="BK639" s="204" t="n"/>
      <c r="BL639" s="141" t="n"/>
      <c r="BM639" s="205" t="n"/>
      <c r="BN639" s="205" t="n"/>
      <c r="BO639" s="206" t="n"/>
      <c r="BP639" s="144" t="n"/>
      <c r="BQ639" s="141" t="n"/>
      <c r="BR639" s="207" t="n"/>
      <c r="BS639" s="207" t="n"/>
      <c r="BT639" s="207" t="n"/>
      <c r="BU639" s="207" t="n"/>
      <c r="BV639" s="208" t="n"/>
      <c r="BW639" s="207" t="n"/>
      <c r="BX639" s="207" t="n"/>
      <c r="BY639" s="204" t="n"/>
      <c r="BZ639" s="148" t="n"/>
      <c r="CA639" s="204" t="n"/>
      <c r="CB639" s="208" t="n"/>
      <c r="CC639" s="139" t="n"/>
      <c r="CD639" s="204" t="n"/>
      <c r="CE639" s="204" t="n"/>
      <c r="CF639" s="207" t="n"/>
      <c r="CG639" s="208" t="n"/>
      <c r="CH639" s="207" t="n"/>
      <c r="CI639" s="208" t="n"/>
      <c r="CJ639" s="204" t="n"/>
      <c r="CK639" s="208" t="n"/>
      <c r="CL639" s="208" t="n"/>
      <c r="CM639" s="208" t="n"/>
      <c r="CN639" s="78" t="n"/>
      <c r="CO639" s="209" t="n"/>
      <c r="CP639" s="204" t="n"/>
      <c r="CQ639" s="204" t="n"/>
      <c r="CR639" s="204" t="n"/>
      <c r="CS639" s="204" t="n"/>
      <c r="CT639" s="204" t="n"/>
      <c r="CU639" s="204" t="n"/>
      <c r="CV639" s="204" t="n"/>
      <c r="CW639" s="204" t="n"/>
    </row>
    <row r="640">
      <c r="AR640" s="151" t="n"/>
      <c r="BF640" s="78" t="n"/>
      <c r="BG640" s="78" t="n"/>
      <c r="BH640" s="78" t="n"/>
      <c r="BI640" s="78" t="n"/>
      <c r="BJ640" s="139" t="n"/>
      <c r="BK640" s="204" t="n"/>
      <c r="BL640" s="141" t="n"/>
      <c r="BM640" s="205" t="n"/>
      <c r="BN640" s="205" t="n"/>
      <c r="BO640" s="206" t="n"/>
      <c r="BP640" s="144" t="n"/>
      <c r="BQ640" s="141" t="n"/>
      <c r="BR640" s="207" t="n"/>
      <c r="BS640" s="207" t="n"/>
      <c r="BT640" s="207" t="n"/>
      <c r="BU640" s="207" t="n"/>
      <c r="BV640" s="208" t="n"/>
      <c r="BW640" s="207" t="n"/>
      <c r="BX640" s="207" t="n"/>
      <c r="BY640" s="204" t="n"/>
      <c r="BZ640" s="148" t="n"/>
      <c r="CA640" s="204" t="n"/>
      <c r="CB640" s="208" t="n"/>
      <c r="CC640" s="139" t="n"/>
      <c r="CD640" s="204" t="n"/>
      <c r="CE640" s="204" t="n"/>
      <c r="CF640" s="207" t="n"/>
      <c r="CG640" s="208" t="n"/>
      <c r="CH640" s="207" t="n"/>
      <c r="CI640" s="208" t="n"/>
      <c r="CJ640" s="204" t="n"/>
      <c r="CK640" s="208" t="n"/>
      <c r="CL640" s="208" t="n"/>
      <c r="CM640" s="208" t="n"/>
      <c r="CN640" s="78" t="n"/>
      <c r="CO640" s="209" t="n"/>
      <c r="CP640" s="204" t="n"/>
      <c r="CQ640" s="204" t="n"/>
      <c r="CR640" s="204" t="n"/>
      <c r="CS640" s="204" t="n"/>
      <c r="CT640" s="204" t="n"/>
      <c r="CU640" s="204" t="n"/>
      <c r="CV640" s="204" t="n"/>
      <c r="CW640" s="204" t="n"/>
    </row>
    <row r="641">
      <c r="AR641" s="151" t="n"/>
      <c r="BF641" s="78" t="n"/>
      <c r="BG641" s="78" t="n"/>
      <c r="BH641" s="78" t="n"/>
      <c r="BI641" s="78" t="n"/>
      <c r="BJ641" s="139" t="n"/>
      <c r="BK641" s="204" t="n"/>
      <c r="BL641" s="141" t="n"/>
      <c r="BM641" s="205" t="n"/>
      <c r="BN641" s="205" t="n"/>
      <c r="BO641" s="206" t="n"/>
      <c r="BP641" s="144" t="n"/>
      <c r="BQ641" s="141" t="n"/>
      <c r="BR641" s="207" t="n"/>
      <c r="BS641" s="207" t="n"/>
      <c r="BT641" s="207" t="n"/>
      <c r="BU641" s="207" t="n"/>
      <c r="BV641" s="208" t="n"/>
      <c r="BW641" s="207" t="n"/>
      <c r="BX641" s="207" t="n"/>
      <c r="BY641" s="204" t="n"/>
      <c r="BZ641" s="148" t="n"/>
      <c r="CA641" s="204" t="n"/>
      <c r="CB641" s="208" t="n"/>
      <c r="CC641" s="139" t="n"/>
      <c r="CD641" s="204" t="n"/>
      <c r="CE641" s="204" t="n"/>
      <c r="CF641" s="207" t="n"/>
      <c r="CG641" s="208" t="n"/>
      <c r="CH641" s="207" t="n"/>
      <c r="CI641" s="208" t="n"/>
      <c r="CJ641" s="204" t="n"/>
      <c r="CK641" s="208" t="n"/>
      <c r="CL641" s="208" t="n"/>
      <c r="CM641" s="208" t="n"/>
      <c r="CN641" s="78" t="n"/>
      <c r="CO641" s="209" t="n"/>
      <c r="CP641" s="204" t="n"/>
      <c r="CQ641" s="204" t="n"/>
      <c r="CR641" s="204" t="n"/>
      <c r="CS641" s="204" t="n"/>
      <c r="CT641" s="204" t="n"/>
      <c r="CU641" s="204" t="n"/>
      <c r="CV641" s="204" t="n"/>
      <c r="CW641" s="204" t="n"/>
    </row>
    <row r="642">
      <c r="AR642" s="151" t="n"/>
      <c r="BF642" s="78" t="n"/>
      <c r="BG642" s="78" t="n"/>
      <c r="BH642" s="78" t="n"/>
      <c r="BI642" s="78" t="n"/>
      <c r="BJ642" s="139" t="n"/>
      <c r="BK642" s="204" t="n"/>
      <c r="BL642" s="141" t="n"/>
      <c r="BM642" s="205" t="n"/>
      <c r="BN642" s="205" t="n"/>
      <c r="BO642" s="206" t="n"/>
      <c r="BP642" s="144" t="n"/>
      <c r="BQ642" s="141" t="n"/>
      <c r="BR642" s="207" t="n"/>
      <c r="BS642" s="207" t="n"/>
      <c r="BT642" s="207" t="n"/>
      <c r="BU642" s="207" t="n"/>
      <c r="BV642" s="208" t="n"/>
      <c r="BW642" s="207" t="n"/>
      <c r="BX642" s="207" t="n"/>
      <c r="BY642" s="204" t="n"/>
      <c r="BZ642" s="148" t="n"/>
      <c r="CA642" s="204" t="n"/>
      <c r="CB642" s="208" t="n"/>
      <c r="CC642" s="139" t="n"/>
      <c r="CD642" s="204" t="n"/>
      <c r="CE642" s="204" t="n"/>
      <c r="CF642" s="207" t="n"/>
      <c r="CG642" s="208" t="n"/>
      <c r="CH642" s="207" t="n"/>
      <c r="CI642" s="208" t="n"/>
      <c r="CJ642" s="204" t="n"/>
      <c r="CK642" s="208" t="n"/>
      <c r="CL642" s="208" t="n"/>
      <c r="CM642" s="208" t="n"/>
      <c r="CN642" s="78" t="n"/>
      <c r="CO642" s="209" t="n"/>
      <c r="CP642" s="204" t="n"/>
      <c r="CQ642" s="204" t="n"/>
      <c r="CR642" s="204" t="n"/>
      <c r="CS642" s="204" t="n"/>
      <c r="CT642" s="204" t="n"/>
      <c r="CU642" s="204" t="n"/>
      <c r="CV642" s="204" t="n"/>
      <c r="CW642" s="204" t="n"/>
    </row>
    <row r="643">
      <c r="AR643" s="151" t="n"/>
      <c r="BF643" s="78" t="n"/>
      <c r="BG643" s="78" t="n"/>
      <c r="BH643" s="78" t="n"/>
      <c r="BI643" s="78" t="n"/>
      <c r="BJ643" s="139" t="n"/>
      <c r="BK643" s="204" t="n"/>
      <c r="BL643" s="141" t="n"/>
      <c r="BM643" s="205" t="n"/>
      <c r="BN643" s="205" t="n"/>
      <c r="BO643" s="206" t="n"/>
      <c r="BP643" s="144" t="n"/>
      <c r="BQ643" s="141" t="n"/>
      <c r="BR643" s="207" t="n"/>
      <c r="BS643" s="207" t="n"/>
      <c r="BT643" s="207" t="n"/>
      <c r="BU643" s="207" t="n"/>
      <c r="BV643" s="208" t="n"/>
      <c r="BW643" s="207" t="n"/>
      <c r="BX643" s="207" t="n"/>
      <c r="BY643" s="204" t="n"/>
      <c r="BZ643" s="148" t="n"/>
      <c r="CA643" s="204" t="n"/>
      <c r="CB643" s="208" t="n"/>
      <c r="CC643" s="139" t="n"/>
      <c r="CD643" s="204" t="n"/>
      <c r="CE643" s="204" t="n"/>
      <c r="CF643" s="207" t="n"/>
      <c r="CG643" s="208" t="n"/>
      <c r="CH643" s="207" t="n"/>
      <c r="CI643" s="208" t="n"/>
      <c r="CJ643" s="204" t="n"/>
      <c r="CK643" s="208" t="n"/>
      <c r="CL643" s="208" t="n"/>
      <c r="CM643" s="208" t="n"/>
      <c r="CN643" s="78" t="n"/>
      <c r="CO643" s="209" t="n"/>
      <c r="CP643" s="204" t="n"/>
      <c r="CQ643" s="204" t="n"/>
      <c r="CR643" s="204" t="n"/>
      <c r="CS643" s="204" t="n"/>
      <c r="CT643" s="204" t="n"/>
      <c r="CU643" s="204" t="n"/>
      <c r="CV643" s="204" t="n"/>
      <c r="CW643" s="204" t="n"/>
    </row>
    <row r="644">
      <c r="BF644" s="78" t="n"/>
      <c r="BG644" s="78" t="n"/>
      <c r="BH644" s="78" t="n"/>
      <c r="BI644" s="78" t="n"/>
      <c r="BJ644" s="139" t="n"/>
      <c r="BK644" s="204" t="n"/>
      <c r="BL644" s="141" t="n"/>
      <c r="BM644" s="205" t="n"/>
      <c r="BN644" s="205" t="n"/>
      <c r="BO644" s="206" t="n"/>
      <c r="BP644" s="144" t="n"/>
      <c r="BQ644" s="141" t="n"/>
      <c r="BR644" s="207" t="n"/>
      <c r="BS644" s="207" t="n"/>
      <c r="BT644" s="207" t="n"/>
      <c r="BU644" s="207" t="n"/>
      <c r="BV644" s="208" t="n"/>
      <c r="BW644" s="207" t="n"/>
      <c r="BX644" s="207" t="n"/>
      <c r="BY644" s="204" t="n"/>
      <c r="BZ644" s="148" t="n"/>
      <c r="CA644" s="204" t="n"/>
      <c r="CB644" s="208" t="n"/>
      <c r="CC644" s="139" t="n"/>
      <c r="CD644" s="204" t="n"/>
      <c r="CE644" s="204" t="n"/>
      <c r="CF644" s="207" t="n"/>
      <c r="CG644" s="208" t="n"/>
      <c r="CH644" s="207" t="n"/>
      <c r="CI644" s="208" t="n"/>
      <c r="CJ644" s="204" t="n"/>
      <c r="CK644" s="208" t="n"/>
      <c r="CL644" s="208" t="n"/>
      <c r="CM644" s="208" t="n"/>
      <c r="CN644" s="78" t="n"/>
      <c r="CO644" s="209" t="n"/>
      <c r="CP644" s="204" t="n"/>
      <c r="CQ644" s="204" t="n"/>
      <c r="CR644" s="204" t="n"/>
      <c r="CS644" s="204" t="n"/>
      <c r="CT644" s="204" t="n"/>
      <c r="CU644" s="204" t="n"/>
      <c r="CV644" s="204" t="n"/>
      <c r="CW644" s="204" t="n"/>
    </row>
    <row r="645">
      <c r="BF645" s="78" t="n"/>
      <c r="BG645" s="78" t="n"/>
      <c r="BH645" s="78" t="n"/>
      <c r="BI645" s="78" t="n"/>
      <c r="BJ645" s="139" t="n"/>
      <c r="BK645" s="204" t="n"/>
      <c r="BL645" s="141" t="n"/>
      <c r="BM645" s="205" t="n"/>
      <c r="BN645" s="205" t="n"/>
      <c r="BO645" s="206" t="n"/>
      <c r="BP645" s="144" t="n"/>
      <c r="BQ645" s="141" t="n"/>
      <c r="BR645" s="207" t="n"/>
      <c r="BS645" s="207" t="n"/>
      <c r="BT645" s="207" t="n"/>
      <c r="BU645" s="207" t="n"/>
      <c r="BV645" s="208" t="n"/>
      <c r="BW645" s="207" t="n"/>
      <c r="BX645" s="207" t="n"/>
      <c r="BY645" s="204" t="n"/>
      <c r="BZ645" s="148" t="n"/>
      <c r="CA645" s="204" t="n"/>
      <c r="CB645" s="208" t="n"/>
      <c r="CC645" s="139" t="n"/>
      <c r="CD645" s="204" t="n"/>
      <c r="CE645" s="204" t="n"/>
      <c r="CF645" s="207" t="n"/>
      <c r="CG645" s="208" t="n"/>
      <c r="CH645" s="207" t="n"/>
      <c r="CI645" s="208" t="n"/>
      <c r="CJ645" s="204" t="n"/>
      <c r="CK645" s="208" t="n"/>
      <c r="CL645" s="208" t="n"/>
      <c r="CM645" s="208" t="n"/>
      <c r="CN645" s="78" t="n"/>
      <c r="CO645" s="209" t="n"/>
      <c r="CP645" s="204" t="n"/>
      <c r="CQ645" s="204" t="n"/>
      <c r="CR645" s="204" t="n"/>
      <c r="CS645" s="204" t="n"/>
      <c r="CT645" s="204" t="n"/>
      <c r="CU645" s="204" t="n"/>
      <c r="CV645" s="204" t="n"/>
      <c r="CW645" s="204" t="n"/>
    </row>
    <row r="646">
      <c r="BF646" s="78" t="n"/>
      <c r="BG646" s="78" t="n"/>
      <c r="BH646" s="78" t="n"/>
      <c r="BI646" s="78" t="n"/>
      <c r="BJ646" s="139" t="n"/>
      <c r="BK646" s="204" t="n"/>
      <c r="BL646" s="141" t="n"/>
      <c r="BM646" s="205" t="n"/>
      <c r="BN646" s="205" t="n"/>
      <c r="BO646" s="206" t="n"/>
      <c r="BP646" s="144" t="n"/>
      <c r="BQ646" s="141" t="n"/>
      <c r="BR646" s="207" t="n"/>
      <c r="BS646" s="207" t="n"/>
      <c r="BT646" s="207" t="n"/>
      <c r="BU646" s="207" t="n"/>
      <c r="BV646" s="208" t="n"/>
      <c r="BW646" s="207" t="n"/>
      <c r="BX646" s="207" t="n"/>
      <c r="BY646" s="204" t="n"/>
      <c r="BZ646" s="148" t="n"/>
      <c r="CA646" s="204" t="n"/>
      <c r="CB646" s="208" t="n"/>
      <c r="CC646" s="139" t="n"/>
      <c r="CD646" s="204" t="n"/>
      <c r="CE646" s="204" t="n"/>
      <c r="CF646" s="207" t="n"/>
      <c r="CG646" s="208" t="n"/>
      <c r="CH646" s="207" t="n"/>
      <c r="CI646" s="208" t="n"/>
      <c r="CJ646" s="204" t="n"/>
      <c r="CK646" s="208" t="n"/>
      <c r="CL646" s="208" t="n"/>
      <c r="CM646" s="208" t="n"/>
      <c r="CN646" s="78" t="n"/>
      <c r="CO646" s="209" t="n"/>
      <c r="CP646" s="204" t="n"/>
      <c r="CQ646" s="204" t="n"/>
      <c r="CR646" s="204" t="n"/>
      <c r="CS646" s="204" t="n"/>
      <c r="CT646" s="204" t="n"/>
      <c r="CU646" s="204" t="n"/>
      <c r="CV646" s="204" t="n"/>
      <c r="CW646" s="204" t="n"/>
    </row>
    <row r="647">
      <c r="BF647" s="78" t="n"/>
      <c r="BG647" s="78" t="n"/>
      <c r="BH647" s="78" t="n"/>
      <c r="BI647" s="78" t="n"/>
      <c r="BJ647" s="139" t="n"/>
      <c r="BK647" s="204" t="n"/>
      <c r="BL647" s="141" t="n"/>
      <c r="BM647" s="205" t="n"/>
      <c r="BN647" s="205" t="n"/>
      <c r="BO647" s="206" t="n"/>
      <c r="BP647" s="144" t="n"/>
      <c r="BQ647" s="141" t="n"/>
      <c r="BR647" s="207" t="n"/>
      <c r="BS647" s="207" t="n"/>
      <c r="BT647" s="207" t="n"/>
      <c r="BU647" s="207" t="n"/>
      <c r="BV647" s="208" t="n"/>
      <c r="BW647" s="207" t="n"/>
      <c r="BX647" s="207" t="n"/>
      <c r="BY647" s="204" t="n"/>
      <c r="BZ647" s="148" t="n"/>
      <c r="CA647" s="204" t="n"/>
      <c r="CB647" s="208" t="n"/>
      <c r="CC647" s="139" t="n"/>
      <c r="CD647" s="204" t="n"/>
      <c r="CE647" s="204" t="n"/>
      <c r="CF647" s="207" t="n"/>
      <c r="CG647" s="208" t="n"/>
      <c r="CH647" s="207" t="n"/>
      <c r="CI647" s="208" t="n"/>
      <c r="CJ647" s="204" t="n"/>
      <c r="CK647" s="208" t="n"/>
      <c r="CL647" s="208" t="n"/>
      <c r="CM647" s="208" t="n"/>
      <c r="CN647" s="78" t="n"/>
      <c r="CO647" s="209" t="n"/>
      <c r="CP647" s="204" t="n"/>
      <c r="CQ647" s="204" t="n"/>
      <c r="CR647" s="204" t="n"/>
      <c r="CS647" s="204" t="n"/>
      <c r="CT647" s="204" t="n"/>
      <c r="CU647" s="204" t="n"/>
      <c r="CV647" s="204" t="n"/>
      <c r="CW647" s="204" t="n"/>
    </row>
    <row r="648">
      <c r="BF648" s="78" t="n"/>
      <c r="BG648" s="78" t="n"/>
      <c r="BH648" s="78" t="n"/>
      <c r="BI648" s="78" t="n"/>
      <c r="BJ648" s="139" t="n"/>
      <c r="BK648" s="204" t="n"/>
      <c r="BL648" s="141" t="n"/>
      <c r="BM648" s="205" t="n"/>
      <c r="BN648" s="205" t="n"/>
      <c r="BO648" s="206" t="n"/>
      <c r="BP648" s="144" t="n"/>
      <c r="BQ648" s="141" t="n"/>
      <c r="BR648" s="207" t="n"/>
      <c r="BS648" s="207" t="n"/>
      <c r="BT648" s="207" t="n"/>
      <c r="BU648" s="207" t="n"/>
      <c r="BV648" s="208" t="n"/>
      <c r="BW648" s="207" t="n"/>
      <c r="BX648" s="207" t="n"/>
      <c r="BY648" s="204" t="n"/>
      <c r="BZ648" s="148" t="n"/>
      <c r="CA648" s="204" t="n"/>
      <c r="CB648" s="208" t="n"/>
      <c r="CC648" s="139" t="n"/>
      <c r="CD648" s="204" t="n"/>
      <c r="CE648" s="204" t="n"/>
      <c r="CF648" s="207" t="n"/>
      <c r="CG648" s="208" t="n"/>
      <c r="CH648" s="207" t="n"/>
      <c r="CI648" s="208" t="n"/>
      <c r="CJ648" s="204" t="n"/>
      <c r="CK648" s="208" t="n"/>
      <c r="CL648" s="208" t="n"/>
      <c r="CM648" s="208" t="n"/>
      <c r="CN648" s="78" t="n"/>
      <c r="CO648" s="209" t="n"/>
      <c r="CP648" s="204" t="n"/>
      <c r="CQ648" s="204" t="n"/>
      <c r="CR648" s="204" t="n"/>
      <c r="CS648" s="204" t="n"/>
      <c r="CT648" s="204" t="n"/>
      <c r="CU648" s="204" t="n"/>
      <c r="CV648" s="204" t="n"/>
      <c r="CW648" s="204" t="n"/>
    </row>
    <row r="649">
      <c r="BF649" s="78" t="n"/>
      <c r="BG649" s="78" t="n"/>
      <c r="BH649" s="78" t="n"/>
      <c r="BI649" s="78" t="n"/>
      <c r="BJ649" s="139" t="n"/>
      <c r="BK649" s="204" t="n"/>
      <c r="BL649" s="141" t="n"/>
      <c r="BM649" s="205" t="n"/>
      <c r="BN649" s="205" t="n"/>
      <c r="BO649" s="206" t="n"/>
      <c r="BP649" s="144" t="n"/>
      <c r="BQ649" s="141" t="n"/>
      <c r="BR649" s="207" t="n"/>
      <c r="BS649" s="207" t="n"/>
      <c r="BT649" s="207" t="n"/>
      <c r="BU649" s="207" t="n"/>
      <c r="BV649" s="208" t="n"/>
      <c r="BW649" s="207" t="n"/>
      <c r="BX649" s="207" t="n"/>
      <c r="BY649" s="204" t="n"/>
      <c r="BZ649" s="148" t="n"/>
      <c r="CA649" s="204" t="n"/>
      <c r="CB649" s="208" t="n"/>
      <c r="CC649" s="139" t="n"/>
      <c r="CD649" s="204" t="n"/>
      <c r="CE649" s="204" t="n"/>
      <c r="CF649" s="207" t="n"/>
      <c r="CG649" s="208" t="n"/>
      <c r="CH649" s="207" t="n"/>
      <c r="CI649" s="208" t="n"/>
      <c r="CJ649" s="204" t="n"/>
      <c r="CK649" s="208" t="n"/>
      <c r="CL649" s="208" t="n"/>
      <c r="CM649" s="208" t="n"/>
      <c r="CN649" s="78" t="n"/>
      <c r="CO649" s="209" t="n"/>
      <c r="CP649" s="204" t="n"/>
      <c r="CQ649" s="204" t="n"/>
      <c r="CR649" s="204" t="n"/>
      <c r="CS649" s="204" t="n"/>
      <c r="CT649" s="204" t="n"/>
      <c r="CU649" s="204" t="n"/>
      <c r="CV649" s="204" t="n"/>
      <c r="CW649" s="204" t="n"/>
    </row>
    <row r="650">
      <c r="BF650" s="78" t="n"/>
      <c r="BG650" s="78" t="n"/>
      <c r="BH650" s="78" t="n"/>
      <c r="BI650" s="78" t="n"/>
      <c r="BJ650" s="139" t="n"/>
      <c r="BK650" s="204" t="n"/>
      <c r="BL650" s="141" t="n"/>
      <c r="BM650" s="205" t="n"/>
      <c r="BN650" s="205" t="n"/>
      <c r="BO650" s="206" t="n"/>
      <c r="BP650" s="144" t="n"/>
      <c r="BQ650" s="141" t="n"/>
      <c r="BR650" s="207" t="n"/>
      <c r="BS650" s="207" t="n"/>
      <c r="BT650" s="207" t="n"/>
      <c r="BU650" s="207" t="n"/>
      <c r="BV650" s="208" t="n"/>
      <c r="BW650" s="207" t="n"/>
      <c r="BX650" s="207" t="n"/>
      <c r="BY650" s="204" t="n"/>
      <c r="BZ650" s="148" t="n"/>
      <c r="CA650" s="204" t="n"/>
      <c r="CB650" s="208" t="n"/>
      <c r="CC650" s="139" t="n"/>
      <c r="CD650" s="204" t="n"/>
      <c r="CE650" s="204" t="n"/>
      <c r="CF650" s="207" t="n"/>
      <c r="CG650" s="208" t="n"/>
      <c r="CH650" s="207" t="n"/>
      <c r="CI650" s="208" t="n"/>
      <c r="CJ650" s="204" t="n"/>
      <c r="CK650" s="208" t="n"/>
      <c r="CL650" s="208" t="n"/>
      <c r="CM650" s="208" t="n"/>
      <c r="CN650" s="78" t="n"/>
      <c r="CO650" s="209" t="n"/>
      <c r="CP650" s="204" t="n"/>
      <c r="CQ650" s="204" t="n"/>
      <c r="CR650" s="204" t="n"/>
      <c r="CS650" s="204" t="n"/>
      <c r="CT650" s="204" t="n"/>
      <c r="CU650" s="204" t="n"/>
      <c r="CV650" s="204" t="n"/>
      <c r="CW650" s="204" t="n"/>
    </row>
    <row r="651">
      <c r="BF651" s="78" t="n"/>
      <c r="BG651" s="78" t="n"/>
      <c r="BH651" s="78" t="n"/>
      <c r="BI651" s="78" t="n"/>
      <c r="BJ651" s="139" t="n"/>
      <c r="BK651" s="204" t="n"/>
      <c r="BL651" s="141" t="n"/>
      <c r="BM651" s="205" t="n"/>
      <c r="BN651" s="205" t="n"/>
      <c r="BO651" s="206" t="n"/>
      <c r="BP651" s="144" t="n"/>
      <c r="BQ651" s="141" t="n"/>
      <c r="BR651" s="207" t="n"/>
      <c r="BS651" s="207" t="n"/>
      <c r="BT651" s="207" t="n"/>
      <c r="BU651" s="207" t="n"/>
      <c r="BV651" s="208" t="n"/>
      <c r="BW651" s="207" t="n"/>
      <c r="BX651" s="207" t="n"/>
      <c r="BY651" s="204" t="n"/>
      <c r="BZ651" s="148" t="n"/>
      <c r="CA651" s="204" t="n"/>
      <c r="CB651" s="208" t="n"/>
      <c r="CC651" s="139" t="n"/>
      <c r="CD651" s="204" t="n"/>
      <c r="CE651" s="204" t="n"/>
      <c r="CF651" s="207" t="n"/>
      <c r="CG651" s="208" t="n"/>
      <c r="CH651" s="207" t="n"/>
      <c r="CI651" s="208" t="n"/>
      <c r="CJ651" s="204" t="n"/>
      <c r="CK651" s="208" t="n"/>
      <c r="CL651" s="208" t="n"/>
      <c r="CM651" s="208" t="n"/>
      <c r="CN651" s="78" t="n"/>
      <c r="CO651" s="209" t="n"/>
      <c r="CP651" s="204" t="n"/>
      <c r="CQ651" s="204" t="n"/>
      <c r="CR651" s="204" t="n"/>
      <c r="CS651" s="204" t="n"/>
      <c r="CT651" s="204" t="n"/>
      <c r="CU651" s="204" t="n"/>
      <c r="CV651" s="204" t="n"/>
      <c r="CW651" s="204" t="n"/>
    </row>
    <row r="652">
      <c r="BF652" s="78" t="n"/>
      <c r="BG652" s="78" t="n"/>
      <c r="BH652" s="78" t="n"/>
      <c r="BI652" s="78" t="n"/>
      <c r="BJ652" s="139" t="n"/>
      <c r="BK652" s="204" t="n"/>
      <c r="BL652" s="141" t="n"/>
      <c r="BM652" s="205" t="n"/>
      <c r="BN652" s="205" t="n"/>
      <c r="BO652" s="206" t="n"/>
      <c r="BP652" s="144" t="n"/>
      <c r="BQ652" s="141" t="n"/>
      <c r="BR652" s="207" t="n"/>
      <c r="BS652" s="207" t="n"/>
      <c r="BT652" s="207" t="n"/>
      <c r="BU652" s="207" t="n"/>
      <c r="BV652" s="208" t="n"/>
      <c r="BW652" s="207" t="n"/>
      <c r="BX652" s="207" t="n"/>
      <c r="BY652" s="204" t="n"/>
      <c r="BZ652" s="148" t="n"/>
      <c r="CA652" s="204" t="n"/>
      <c r="CB652" s="208" t="n"/>
      <c r="CC652" s="139" t="n"/>
      <c r="CD652" s="204" t="n"/>
      <c r="CE652" s="204" t="n"/>
      <c r="CF652" s="207" t="n"/>
      <c r="CG652" s="208" t="n"/>
      <c r="CH652" s="207" t="n"/>
      <c r="CI652" s="208" t="n"/>
      <c r="CJ652" s="204" t="n"/>
      <c r="CK652" s="208" t="n"/>
      <c r="CL652" s="208" t="n"/>
      <c r="CM652" s="208" t="n"/>
      <c r="CN652" s="78" t="n"/>
      <c r="CO652" s="209" t="n"/>
      <c r="CP652" s="204" t="n"/>
      <c r="CQ652" s="204" t="n"/>
      <c r="CR652" s="204" t="n"/>
      <c r="CS652" s="204" t="n"/>
      <c r="CT652" s="204" t="n"/>
      <c r="CU652" s="204" t="n"/>
      <c r="CV652" s="204" t="n"/>
      <c r="CW652" s="204" t="n"/>
    </row>
    <row r="653">
      <c r="BF653" s="78" t="n"/>
      <c r="BG653" s="78" t="n"/>
      <c r="BH653" s="78" t="n"/>
      <c r="BI653" s="78" t="n"/>
      <c r="BJ653" s="139" t="n"/>
      <c r="BK653" s="204" t="n"/>
      <c r="BL653" s="141" t="n"/>
      <c r="BM653" s="205" t="n"/>
      <c r="BN653" s="205" t="n"/>
      <c r="BO653" s="206" t="n"/>
      <c r="BP653" s="144" t="n"/>
      <c r="BQ653" s="141" t="n"/>
      <c r="BR653" s="207" t="n"/>
      <c r="BS653" s="207" t="n"/>
      <c r="BT653" s="207" t="n"/>
      <c r="BU653" s="207" t="n"/>
      <c r="BV653" s="208" t="n"/>
      <c r="BW653" s="207" t="n"/>
      <c r="BX653" s="207" t="n"/>
      <c r="BY653" s="204" t="n"/>
      <c r="BZ653" s="148" t="n"/>
      <c r="CA653" s="204" t="n"/>
      <c r="CB653" s="208" t="n"/>
      <c r="CC653" s="139" t="n"/>
      <c r="CD653" s="204" t="n"/>
      <c r="CE653" s="204" t="n"/>
      <c r="CF653" s="207" t="n"/>
      <c r="CG653" s="208" t="n"/>
      <c r="CH653" s="207" t="n"/>
      <c r="CI653" s="208" t="n"/>
      <c r="CJ653" s="204" t="n"/>
      <c r="CK653" s="208" t="n"/>
      <c r="CL653" s="208" t="n"/>
      <c r="CM653" s="208" t="n"/>
      <c r="CN653" s="78" t="n"/>
      <c r="CO653" s="209" t="n"/>
      <c r="CP653" s="204" t="n"/>
      <c r="CQ653" s="204" t="n"/>
      <c r="CR653" s="204" t="n"/>
      <c r="CS653" s="204" t="n"/>
      <c r="CT653" s="204" t="n"/>
      <c r="CU653" s="204" t="n"/>
      <c r="CV653" s="204" t="n"/>
      <c r="CW653" s="204" t="n"/>
    </row>
    <row r="654">
      <c r="BF654" s="78" t="n"/>
      <c r="BG654" s="78" t="n"/>
      <c r="BH654" s="78" t="n"/>
      <c r="BI654" s="78" t="n"/>
      <c r="BJ654" s="139" t="n"/>
      <c r="BK654" s="204" t="n"/>
      <c r="BL654" s="141" t="n"/>
      <c r="BM654" s="205" t="n"/>
      <c r="BN654" s="205" t="n"/>
      <c r="BO654" s="206" t="n"/>
      <c r="BP654" s="144" t="n"/>
      <c r="BQ654" s="141" t="n"/>
      <c r="BR654" s="207" t="n"/>
      <c r="BS654" s="207" t="n"/>
      <c r="BT654" s="207" t="n"/>
      <c r="BU654" s="207" t="n"/>
      <c r="BV654" s="208" t="n"/>
      <c r="BW654" s="207" t="n"/>
      <c r="BX654" s="207" t="n"/>
      <c r="BY654" s="204" t="n"/>
      <c r="BZ654" s="148" t="n"/>
      <c r="CA654" s="204" t="n"/>
      <c r="CB654" s="208" t="n"/>
      <c r="CC654" s="139" t="n"/>
      <c r="CD654" s="204" t="n"/>
      <c r="CE654" s="204" t="n"/>
      <c r="CF654" s="207" t="n"/>
      <c r="CG654" s="208" t="n"/>
      <c r="CH654" s="207" t="n"/>
      <c r="CI654" s="208" t="n"/>
      <c r="CJ654" s="204" t="n"/>
      <c r="CK654" s="208" t="n"/>
      <c r="CL654" s="208" t="n"/>
      <c r="CM654" s="208" t="n"/>
      <c r="CN654" s="78" t="n"/>
      <c r="CO654" s="209" t="n"/>
      <c r="CP654" s="204" t="n"/>
      <c r="CQ654" s="204" t="n"/>
      <c r="CR654" s="204" t="n"/>
      <c r="CS654" s="204" t="n"/>
      <c r="CT654" s="204" t="n"/>
      <c r="CU654" s="204" t="n"/>
      <c r="CV654" s="204" t="n"/>
      <c r="CW654" s="204" t="n"/>
    </row>
    <row r="655">
      <c r="BF655" s="78" t="n"/>
      <c r="BG655" s="78" t="n"/>
      <c r="BH655" s="78" t="n"/>
      <c r="BI655" s="78" t="n"/>
      <c r="BJ655" s="139" t="n"/>
      <c r="BK655" s="204" t="n"/>
      <c r="BL655" s="141" t="n"/>
      <c r="BM655" s="205" t="n"/>
      <c r="BN655" s="205" t="n"/>
      <c r="BO655" s="206" t="n"/>
      <c r="BP655" s="144" t="n"/>
      <c r="BQ655" s="141" t="n"/>
      <c r="BR655" s="207" t="n"/>
      <c r="BS655" s="207" t="n"/>
      <c r="BT655" s="207" t="n"/>
      <c r="BU655" s="207" t="n"/>
      <c r="BV655" s="208" t="n"/>
      <c r="BW655" s="207" t="n"/>
      <c r="BX655" s="207" t="n"/>
      <c r="BY655" s="204" t="n"/>
      <c r="BZ655" s="148" t="n"/>
      <c r="CA655" s="204" t="n"/>
      <c r="CB655" s="208" t="n"/>
      <c r="CC655" s="139" t="n"/>
      <c r="CD655" s="204" t="n"/>
      <c r="CE655" s="204" t="n"/>
      <c r="CF655" s="207" t="n"/>
      <c r="CG655" s="208" t="n"/>
      <c r="CH655" s="207" t="n"/>
      <c r="CI655" s="208" t="n"/>
      <c r="CJ655" s="204" t="n"/>
      <c r="CK655" s="208" t="n"/>
      <c r="CL655" s="208" t="n"/>
      <c r="CM655" s="208" t="n"/>
      <c r="CN655" s="78" t="n"/>
      <c r="CO655" s="209" t="n"/>
      <c r="CP655" s="204" t="n"/>
      <c r="CQ655" s="204" t="n"/>
      <c r="CR655" s="204" t="n"/>
      <c r="CS655" s="204" t="n"/>
      <c r="CT655" s="204" t="n"/>
      <c r="CU655" s="204" t="n"/>
      <c r="CV655" s="204" t="n"/>
      <c r="CW655" s="204" t="n"/>
    </row>
    <row r="656">
      <c r="BF656" s="78" t="n"/>
      <c r="BG656" s="78" t="n"/>
      <c r="BH656" s="78" t="n"/>
      <c r="BI656" s="78" t="n"/>
      <c r="BJ656" s="139" t="n"/>
      <c r="BK656" s="204" t="n"/>
      <c r="BL656" s="141" t="n"/>
      <c r="BM656" s="205" t="n"/>
      <c r="BN656" s="205" t="n"/>
      <c r="BO656" s="206" t="n"/>
      <c r="BP656" s="144" t="n"/>
      <c r="BQ656" s="141" t="n"/>
      <c r="BR656" s="207" t="n"/>
      <c r="BS656" s="207" t="n"/>
      <c r="BT656" s="207" t="n"/>
      <c r="BU656" s="207" t="n"/>
      <c r="BV656" s="208" t="n"/>
      <c r="BW656" s="207" t="n"/>
      <c r="BX656" s="207" t="n"/>
      <c r="BY656" s="204" t="n"/>
      <c r="BZ656" s="148" t="n"/>
      <c r="CA656" s="204" t="n"/>
      <c r="CB656" s="208" t="n"/>
      <c r="CC656" s="139" t="n"/>
      <c r="CD656" s="204" t="n"/>
      <c r="CE656" s="204" t="n"/>
      <c r="CF656" s="207" t="n"/>
      <c r="CG656" s="208" t="n"/>
      <c r="CH656" s="207" t="n"/>
      <c r="CI656" s="208" t="n"/>
      <c r="CJ656" s="204" t="n"/>
      <c r="CK656" s="208" t="n"/>
      <c r="CL656" s="208" t="n"/>
      <c r="CM656" s="208" t="n"/>
      <c r="CN656" s="78" t="n"/>
      <c r="CO656" s="209" t="n"/>
      <c r="CP656" s="204" t="n"/>
      <c r="CQ656" s="204" t="n"/>
      <c r="CR656" s="204" t="n"/>
      <c r="CS656" s="204" t="n"/>
      <c r="CT656" s="204" t="n"/>
      <c r="CU656" s="204" t="n"/>
      <c r="CV656" s="204" t="n"/>
      <c r="CW656" s="204" t="n"/>
    </row>
    <row r="657">
      <c r="BF657" s="78" t="n"/>
      <c r="BG657" s="78" t="n"/>
      <c r="BH657" s="78" t="n"/>
      <c r="BI657" s="78" t="n"/>
      <c r="BJ657" s="139" t="n"/>
      <c r="BK657" s="204" t="n"/>
      <c r="BL657" s="141" t="n"/>
      <c r="BM657" s="205" t="n"/>
      <c r="BN657" s="205" t="n"/>
      <c r="BO657" s="206" t="n"/>
      <c r="BP657" s="144" t="n"/>
      <c r="BQ657" s="141" t="n"/>
      <c r="BR657" s="207" t="n"/>
      <c r="BS657" s="207" t="n"/>
      <c r="BT657" s="207" t="n"/>
      <c r="BU657" s="207" t="n"/>
      <c r="BV657" s="208" t="n"/>
      <c r="BW657" s="207" t="n"/>
      <c r="BX657" s="207" t="n"/>
      <c r="BY657" s="204" t="n"/>
      <c r="BZ657" s="148" t="n"/>
      <c r="CA657" s="204" t="n"/>
      <c r="CB657" s="208" t="n"/>
      <c r="CC657" s="139" t="n"/>
      <c r="CD657" s="204" t="n"/>
      <c r="CE657" s="204" t="n"/>
      <c r="CF657" s="207" t="n"/>
      <c r="CG657" s="208" t="n"/>
      <c r="CH657" s="207" t="n"/>
      <c r="CI657" s="208" t="n"/>
      <c r="CJ657" s="204" t="n"/>
      <c r="CK657" s="208" t="n"/>
      <c r="CL657" s="208" t="n"/>
      <c r="CM657" s="208" t="n"/>
      <c r="CN657" s="78" t="n"/>
      <c r="CO657" s="209" t="n"/>
      <c r="CP657" s="204" t="n"/>
      <c r="CQ657" s="204" t="n"/>
      <c r="CR657" s="204" t="n"/>
      <c r="CS657" s="204" t="n"/>
      <c r="CT657" s="204" t="n"/>
      <c r="CU657" s="204" t="n"/>
      <c r="CV657" s="204" t="n"/>
      <c r="CW657" s="204" t="n"/>
    </row>
    <row r="658">
      <c r="BF658" s="78" t="n"/>
      <c r="BG658" s="78" t="n"/>
      <c r="BH658" s="78" t="n"/>
      <c r="BI658" s="78" t="n"/>
      <c r="BJ658" s="139" t="n"/>
      <c r="BK658" s="204" t="n"/>
      <c r="BL658" s="141" t="n"/>
      <c r="BM658" s="205" t="n"/>
      <c r="BN658" s="205" t="n"/>
      <c r="BO658" s="206" t="n"/>
      <c r="BP658" s="144" t="n"/>
      <c r="BQ658" s="141" t="n"/>
      <c r="BR658" s="207" t="n"/>
      <c r="BS658" s="207" t="n"/>
      <c r="BT658" s="207" t="n"/>
      <c r="BU658" s="207" t="n"/>
      <c r="BV658" s="208" t="n"/>
      <c r="BW658" s="207" t="n"/>
      <c r="BX658" s="207" t="n"/>
      <c r="BY658" s="204" t="n"/>
      <c r="BZ658" s="148" t="n"/>
      <c r="CA658" s="204" t="n"/>
      <c r="CB658" s="208" t="n"/>
      <c r="CC658" s="139" t="n"/>
      <c r="CD658" s="204" t="n"/>
      <c r="CE658" s="204" t="n"/>
      <c r="CF658" s="207" t="n"/>
      <c r="CG658" s="208" t="n"/>
      <c r="CH658" s="207" t="n"/>
      <c r="CI658" s="208" t="n"/>
      <c r="CJ658" s="204" t="n"/>
      <c r="CK658" s="208" t="n"/>
      <c r="CL658" s="208" t="n"/>
      <c r="CM658" s="208" t="n"/>
      <c r="CN658" s="78" t="n"/>
      <c r="CO658" s="209" t="n"/>
      <c r="CP658" s="204" t="n"/>
      <c r="CQ658" s="204" t="n"/>
      <c r="CR658" s="204" t="n"/>
      <c r="CS658" s="204" t="n"/>
      <c r="CT658" s="204" t="n"/>
      <c r="CU658" s="204" t="n"/>
      <c r="CV658" s="204" t="n"/>
      <c r="CW658" s="204" t="n"/>
    </row>
    <row r="659">
      <c r="BF659" s="78" t="n"/>
      <c r="BG659" s="78" t="n"/>
      <c r="BH659" s="78" t="n"/>
      <c r="BI659" s="78" t="n"/>
      <c r="BJ659" s="139" t="n"/>
      <c r="BK659" s="204" t="n"/>
      <c r="BL659" s="141" t="n"/>
      <c r="BM659" s="205" t="n"/>
      <c r="BN659" s="205" t="n"/>
      <c r="BO659" s="206" t="n"/>
      <c r="BP659" s="144" t="n"/>
      <c r="BQ659" s="141" t="n"/>
      <c r="BR659" s="207" t="n"/>
      <c r="BS659" s="207" t="n"/>
      <c r="BT659" s="207" t="n"/>
      <c r="BU659" s="207" t="n"/>
      <c r="BV659" s="208" t="n"/>
      <c r="BW659" s="207" t="n"/>
      <c r="BX659" s="207" t="n"/>
      <c r="BY659" s="204" t="n"/>
      <c r="BZ659" s="148" t="n"/>
      <c r="CA659" s="204" t="n"/>
      <c r="CB659" s="208" t="n"/>
      <c r="CC659" s="139" t="n"/>
      <c r="CD659" s="204" t="n"/>
      <c r="CE659" s="204" t="n"/>
      <c r="CF659" s="207" t="n"/>
      <c r="CG659" s="208" t="n"/>
      <c r="CH659" s="207" t="n"/>
      <c r="CI659" s="208" t="n"/>
      <c r="CJ659" s="204" t="n"/>
      <c r="CK659" s="208" t="n"/>
      <c r="CL659" s="208" t="n"/>
      <c r="CM659" s="208" t="n"/>
      <c r="CN659" s="78" t="n"/>
      <c r="CO659" s="209" t="n"/>
      <c r="CP659" s="204" t="n"/>
      <c r="CQ659" s="204" t="n"/>
      <c r="CR659" s="204" t="n"/>
      <c r="CS659" s="204" t="n"/>
      <c r="CT659" s="204" t="n"/>
      <c r="CU659" s="204" t="n"/>
      <c r="CV659" s="204" t="n"/>
      <c r="CW659" s="204" t="n"/>
    </row>
    <row r="660">
      <c r="BF660" s="78" t="n"/>
      <c r="BG660" s="78" t="n"/>
      <c r="BH660" s="78" t="n"/>
      <c r="BI660" s="78" t="n"/>
      <c r="BJ660" s="139" t="n"/>
      <c r="BK660" s="204" t="n"/>
      <c r="BL660" s="141" t="n"/>
      <c r="BM660" s="205" t="n"/>
      <c r="BN660" s="205" t="n"/>
      <c r="BO660" s="206" t="n"/>
      <c r="BP660" s="144" t="n"/>
      <c r="BQ660" s="141" t="n"/>
      <c r="BR660" s="207" t="n"/>
      <c r="BS660" s="207" t="n"/>
      <c r="BT660" s="207" t="n"/>
      <c r="BU660" s="207" t="n"/>
      <c r="BV660" s="208" t="n"/>
      <c r="BW660" s="207" t="n"/>
      <c r="BX660" s="207" t="n"/>
      <c r="BY660" s="204" t="n"/>
      <c r="BZ660" s="148" t="n"/>
      <c r="CA660" s="204" t="n"/>
      <c r="CB660" s="208" t="n"/>
      <c r="CC660" s="139" t="n"/>
      <c r="CD660" s="204" t="n"/>
      <c r="CE660" s="204" t="n"/>
      <c r="CF660" s="207" t="n"/>
      <c r="CG660" s="208" t="n"/>
      <c r="CH660" s="207" t="n"/>
      <c r="CI660" s="208" t="n"/>
      <c r="CJ660" s="204" t="n"/>
      <c r="CK660" s="208" t="n"/>
      <c r="CL660" s="208" t="n"/>
      <c r="CM660" s="208" t="n"/>
      <c r="CN660" s="78" t="n"/>
      <c r="CO660" s="209" t="n"/>
      <c r="CP660" s="204" t="n"/>
      <c r="CQ660" s="204" t="n"/>
      <c r="CR660" s="204" t="n"/>
      <c r="CS660" s="204" t="n"/>
      <c r="CT660" s="204" t="n"/>
      <c r="CU660" s="204" t="n"/>
      <c r="CV660" s="204" t="n"/>
      <c r="CW660" s="204" t="n"/>
    </row>
    <row r="661">
      <c r="BF661" s="78" t="n"/>
      <c r="BG661" s="78" t="n"/>
      <c r="BH661" s="78" t="n"/>
      <c r="BI661" s="78" t="n"/>
      <c r="BJ661" s="139" t="n"/>
      <c r="BK661" s="204" t="n"/>
      <c r="BL661" s="141" t="n"/>
      <c r="BM661" s="205" t="n"/>
      <c r="BN661" s="205" t="n"/>
      <c r="BO661" s="206" t="n"/>
      <c r="BP661" s="144" t="n"/>
      <c r="BQ661" s="141" t="n"/>
      <c r="BR661" s="207" t="n"/>
      <c r="BS661" s="207" t="n"/>
      <c r="BT661" s="207" t="n"/>
      <c r="BU661" s="207" t="n"/>
      <c r="BV661" s="208" t="n"/>
      <c r="BW661" s="207" t="n"/>
      <c r="BX661" s="207" t="n"/>
      <c r="BY661" s="204" t="n"/>
      <c r="BZ661" s="148" t="n"/>
      <c r="CA661" s="204" t="n"/>
      <c r="CB661" s="208" t="n"/>
      <c r="CC661" s="139" t="n"/>
      <c r="CD661" s="204" t="n"/>
      <c r="CE661" s="204" t="n"/>
      <c r="CF661" s="207" t="n"/>
      <c r="CG661" s="208" t="n"/>
      <c r="CH661" s="207" t="n"/>
      <c r="CI661" s="208" t="n"/>
      <c r="CJ661" s="204" t="n"/>
      <c r="CK661" s="208" t="n"/>
      <c r="CL661" s="208" t="n"/>
      <c r="CM661" s="208" t="n"/>
      <c r="CN661" s="78" t="n"/>
      <c r="CO661" s="209" t="n"/>
      <c r="CP661" s="204" t="n"/>
      <c r="CQ661" s="204" t="n"/>
      <c r="CR661" s="204" t="n"/>
      <c r="CS661" s="204" t="n"/>
      <c r="CT661" s="204" t="n"/>
      <c r="CU661" s="204" t="n"/>
      <c r="CV661" s="204" t="n"/>
      <c r="CW661" s="204" t="n"/>
    </row>
    <row r="662">
      <c r="BF662" s="78" t="n"/>
      <c r="BG662" s="78" t="n"/>
      <c r="BH662" s="78" t="n"/>
      <c r="BI662" s="78" t="n"/>
      <c r="BJ662" s="139" t="n"/>
      <c r="BK662" s="204" t="n"/>
      <c r="BL662" s="141" t="n"/>
      <c r="BM662" s="205" t="n"/>
      <c r="BN662" s="205" t="n"/>
      <c r="BO662" s="206" t="n"/>
      <c r="BP662" s="144" t="n"/>
      <c r="BQ662" s="141" t="n"/>
      <c r="BR662" s="207" t="n"/>
      <c r="BS662" s="207" t="n"/>
      <c r="BT662" s="207" t="n"/>
      <c r="BU662" s="207" t="n"/>
      <c r="BV662" s="208" t="n"/>
      <c r="BW662" s="207" t="n"/>
      <c r="BX662" s="207" t="n"/>
      <c r="BY662" s="204" t="n"/>
      <c r="BZ662" s="148" t="n"/>
      <c r="CA662" s="204" t="n"/>
      <c r="CB662" s="208" t="n"/>
      <c r="CC662" s="139" t="n"/>
      <c r="CD662" s="204" t="n"/>
      <c r="CE662" s="204" t="n"/>
      <c r="CF662" s="207" t="n"/>
      <c r="CG662" s="208" t="n"/>
      <c r="CH662" s="207" t="n"/>
      <c r="CI662" s="208" t="n"/>
      <c r="CJ662" s="204" t="n"/>
      <c r="CK662" s="208" t="n"/>
      <c r="CL662" s="208" t="n"/>
      <c r="CM662" s="208" t="n"/>
      <c r="CN662" s="78" t="n"/>
      <c r="CO662" s="209" t="n"/>
      <c r="CP662" s="204" t="n"/>
      <c r="CQ662" s="204" t="n"/>
      <c r="CR662" s="204" t="n"/>
      <c r="CS662" s="204" t="n"/>
      <c r="CT662" s="204" t="n"/>
      <c r="CU662" s="204" t="n"/>
      <c r="CV662" s="204" t="n"/>
      <c r="CW662" s="204" t="n"/>
    </row>
    <row r="663">
      <c r="BF663" s="78" t="n"/>
      <c r="BG663" s="78" t="n"/>
      <c r="BH663" s="78" t="n"/>
      <c r="BI663" s="78" t="n"/>
      <c r="BJ663" s="139" t="n"/>
      <c r="BK663" s="204" t="n"/>
      <c r="BL663" s="141" t="n"/>
      <c r="BM663" s="205" t="n"/>
      <c r="BN663" s="205" t="n"/>
      <c r="BO663" s="206" t="n"/>
      <c r="BP663" s="144" t="n"/>
      <c r="BQ663" s="141" t="n"/>
      <c r="BR663" s="207" t="n"/>
      <c r="BS663" s="207" t="n"/>
      <c r="BT663" s="207" t="n"/>
      <c r="BU663" s="207" t="n"/>
      <c r="BV663" s="208" t="n"/>
      <c r="BW663" s="207" t="n"/>
      <c r="BX663" s="207" t="n"/>
      <c r="BY663" s="204" t="n"/>
      <c r="BZ663" s="148" t="n"/>
      <c r="CA663" s="204" t="n"/>
      <c r="CB663" s="208" t="n"/>
      <c r="CC663" s="139" t="n"/>
      <c r="CD663" s="204" t="n"/>
      <c r="CE663" s="204" t="n"/>
      <c r="CF663" s="207" t="n"/>
      <c r="CG663" s="208" t="n"/>
      <c r="CH663" s="207" t="n"/>
      <c r="CI663" s="208" t="n"/>
      <c r="CJ663" s="204" t="n"/>
      <c r="CK663" s="208" t="n"/>
      <c r="CL663" s="208" t="n"/>
      <c r="CM663" s="208" t="n"/>
      <c r="CN663" s="78" t="n"/>
      <c r="CO663" s="209" t="n"/>
      <c r="CP663" s="204" t="n"/>
      <c r="CQ663" s="204" t="n"/>
      <c r="CR663" s="204" t="n"/>
      <c r="CS663" s="204" t="n"/>
      <c r="CT663" s="204" t="n"/>
      <c r="CU663" s="204" t="n"/>
      <c r="CV663" s="204" t="n"/>
      <c r="CW663" s="204" t="n"/>
    </row>
    <row r="664">
      <c r="BF664" s="78" t="n"/>
      <c r="BG664" s="78" t="n"/>
      <c r="BH664" s="78" t="n"/>
      <c r="BI664" s="78" t="n"/>
      <c r="BJ664" s="139" t="n"/>
      <c r="BK664" s="204" t="n"/>
      <c r="BL664" s="141" t="n"/>
      <c r="BM664" s="205" t="n"/>
      <c r="BN664" s="205" t="n"/>
      <c r="BO664" s="206" t="n"/>
      <c r="BP664" s="144" t="n"/>
      <c r="BQ664" s="141" t="n"/>
      <c r="BR664" s="207" t="n"/>
      <c r="BS664" s="207" t="n"/>
      <c r="BT664" s="207" t="n"/>
      <c r="BU664" s="207" t="n"/>
      <c r="BV664" s="208" t="n"/>
      <c r="BW664" s="207" t="n"/>
      <c r="BX664" s="207" t="n"/>
      <c r="BY664" s="204" t="n"/>
      <c r="BZ664" s="148" t="n"/>
      <c r="CA664" s="204" t="n"/>
      <c r="CB664" s="208" t="n"/>
      <c r="CC664" s="139" t="n"/>
      <c r="CD664" s="204" t="n"/>
      <c r="CE664" s="204" t="n"/>
      <c r="CF664" s="207" t="n"/>
      <c r="CG664" s="208" t="n"/>
      <c r="CH664" s="207" t="n"/>
      <c r="CI664" s="208" t="n"/>
      <c r="CJ664" s="204" t="n"/>
      <c r="CK664" s="208" t="n"/>
      <c r="CL664" s="208" t="n"/>
      <c r="CM664" s="208" t="n"/>
      <c r="CN664" s="78" t="n"/>
      <c r="CO664" s="209" t="n"/>
      <c r="CP664" s="204" t="n"/>
      <c r="CQ664" s="204" t="n"/>
      <c r="CR664" s="204" t="n"/>
      <c r="CS664" s="204" t="n"/>
      <c r="CT664" s="204" t="n"/>
      <c r="CU664" s="204" t="n"/>
      <c r="CV664" s="204" t="n"/>
      <c r="CW664" s="204" t="n"/>
    </row>
    <row r="665">
      <c r="BF665" s="78" t="n"/>
      <c r="BG665" s="78" t="n"/>
      <c r="BH665" s="78" t="n"/>
      <c r="BI665" s="78" t="n"/>
      <c r="BJ665" s="139" t="n"/>
      <c r="BK665" s="204" t="n"/>
      <c r="BL665" s="141" t="n"/>
      <c r="BM665" s="205" t="n"/>
      <c r="BN665" s="205" t="n"/>
      <c r="BO665" s="206" t="n"/>
      <c r="BP665" s="144" t="n"/>
      <c r="BQ665" s="141" t="n"/>
      <c r="BR665" s="207" t="n"/>
      <c r="BS665" s="207" t="n"/>
      <c r="BT665" s="207" t="n"/>
      <c r="BU665" s="207" t="n"/>
      <c r="BV665" s="208" t="n"/>
      <c r="BW665" s="207" t="n"/>
      <c r="BX665" s="207" t="n"/>
      <c r="BY665" s="204" t="n"/>
      <c r="BZ665" s="148" t="n"/>
      <c r="CA665" s="204" t="n"/>
      <c r="CB665" s="208" t="n"/>
      <c r="CC665" s="139" t="n"/>
      <c r="CD665" s="204" t="n"/>
      <c r="CE665" s="204" t="n"/>
      <c r="CF665" s="207" t="n"/>
      <c r="CG665" s="208" t="n"/>
      <c r="CH665" s="207" t="n"/>
      <c r="CI665" s="208" t="n"/>
      <c r="CJ665" s="204" t="n"/>
      <c r="CK665" s="208" t="n"/>
      <c r="CL665" s="208" t="n"/>
      <c r="CM665" s="208" t="n"/>
      <c r="CN665" s="78" t="n"/>
      <c r="CO665" s="209" t="n"/>
      <c r="CP665" s="204" t="n"/>
      <c r="CQ665" s="204" t="n"/>
      <c r="CR665" s="204" t="n"/>
      <c r="CS665" s="204" t="n"/>
      <c r="CT665" s="204" t="n"/>
      <c r="CU665" s="204" t="n"/>
      <c r="CV665" s="204" t="n"/>
      <c r="CW665" s="204" t="n"/>
    </row>
    <row r="666">
      <c r="BF666" s="78" t="n"/>
      <c r="BG666" s="78" t="n"/>
      <c r="BH666" s="78" t="n"/>
      <c r="BI666" s="78" t="n"/>
      <c r="BJ666" s="139" t="n"/>
      <c r="BK666" s="204" t="n"/>
      <c r="BL666" s="141" t="n"/>
      <c r="BM666" s="205" t="n"/>
      <c r="BN666" s="205" t="n"/>
      <c r="BO666" s="206" t="n"/>
      <c r="BP666" s="144" t="n"/>
      <c r="BQ666" s="141" t="n"/>
      <c r="BR666" s="207" t="n"/>
      <c r="BS666" s="207" t="n"/>
      <c r="BT666" s="207" t="n"/>
      <c r="BU666" s="207" t="n"/>
      <c r="BV666" s="208" t="n"/>
      <c r="BW666" s="207" t="n"/>
      <c r="BX666" s="207" t="n"/>
      <c r="BY666" s="204" t="n"/>
      <c r="BZ666" s="148" t="n"/>
      <c r="CA666" s="204" t="n"/>
      <c r="CB666" s="208" t="n"/>
      <c r="CC666" s="139" t="n"/>
      <c r="CD666" s="204" t="n"/>
      <c r="CE666" s="204" t="n"/>
      <c r="CF666" s="207" t="n"/>
      <c r="CG666" s="208" t="n"/>
      <c r="CH666" s="207" t="n"/>
      <c r="CI666" s="208" t="n"/>
      <c r="CJ666" s="204" t="n"/>
      <c r="CK666" s="208" t="n"/>
      <c r="CL666" s="208" t="n"/>
      <c r="CM666" s="208" t="n"/>
      <c r="CN666" s="78" t="n"/>
      <c r="CO666" s="209" t="n"/>
      <c r="CP666" s="204" t="n"/>
      <c r="CQ666" s="204" t="n"/>
      <c r="CR666" s="204" t="n"/>
      <c r="CS666" s="204" t="n"/>
      <c r="CT666" s="204" t="n"/>
      <c r="CU666" s="204" t="n"/>
      <c r="CV666" s="204" t="n"/>
      <c r="CW666" s="204" t="n"/>
    </row>
    <row r="667">
      <c r="BF667" s="78" t="n"/>
      <c r="BG667" s="78" t="n"/>
      <c r="BH667" s="78" t="n"/>
      <c r="BI667" s="78" t="n"/>
      <c r="BJ667" s="139" t="n"/>
      <c r="BK667" s="204" t="n"/>
      <c r="BL667" s="141" t="n"/>
      <c r="BM667" s="205" t="n"/>
      <c r="BN667" s="205" t="n"/>
      <c r="BO667" s="206" t="n"/>
      <c r="BP667" s="144" t="n"/>
      <c r="BQ667" s="141" t="n"/>
      <c r="BR667" s="207" t="n"/>
      <c r="BS667" s="207" t="n"/>
      <c r="BT667" s="207" t="n"/>
      <c r="BU667" s="207" t="n"/>
      <c r="BV667" s="208" t="n"/>
      <c r="BW667" s="207" t="n"/>
      <c r="BX667" s="207" t="n"/>
      <c r="BY667" s="204" t="n"/>
      <c r="BZ667" s="148" t="n"/>
      <c r="CA667" s="204" t="n"/>
      <c r="CB667" s="208" t="n"/>
      <c r="CC667" s="139" t="n"/>
      <c r="CD667" s="204" t="n"/>
      <c r="CE667" s="204" t="n"/>
      <c r="CF667" s="207" t="n"/>
      <c r="CG667" s="208" t="n"/>
      <c r="CH667" s="207" t="n"/>
      <c r="CI667" s="208" t="n"/>
      <c r="CJ667" s="204" t="n"/>
      <c r="CK667" s="208" t="n"/>
      <c r="CL667" s="208" t="n"/>
      <c r="CM667" s="208" t="n"/>
      <c r="CN667" s="78" t="n"/>
      <c r="CO667" s="209" t="n"/>
      <c r="CP667" s="204" t="n"/>
      <c r="CQ667" s="204" t="n"/>
      <c r="CR667" s="204" t="n"/>
      <c r="CS667" s="204" t="n"/>
      <c r="CT667" s="204" t="n"/>
      <c r="CU667" s="204" t="n"/>
      <c r="CV667" s="204" t="n"/>
      <c r="CW667" s="204" t="n"/>
    </row>
    <row r="668">
      <c r="BF668" s="78" t="n"/>
      <c r="BG668" s="78" t="n"/>
      <c r="BH668" s="78" t="n"/>
      <c r="BI668" s="78" t="n"/>
      <c r="BJ668" s="139" t="n"/>
      <c r="BK668" s="204" t="n"/>
      <c r="BL668" s="141" t="n"/>
      <c r="BM668" s="205" t="n"/>
      <c r="BN668" s="205" t="n"/>
      <c r="BO668" s="206" t="n"/>
      <c r="BP668" s="144" t="n"/>
      <c r="BQ668" s="141" t="n"/>
      <c r="BR668" s="207" t="n"/>
      <c r="BS668" s="207" t="n"/>
      <c r="BT668" s="207" t="n"/>
      <c r="BU668" s="207" t="n"/>
      <c r="BV668" s="208" t="n"/>
      <c r="BW668" s="207" t="n"/>
      <c r="BX668" s="207" t="n"/>
      <c r="BY668" s="204" t="n"/>
      <c r="BZ668" s="148" t="n"/>
      <c r="CA668" s="204" t="n"/>
      <c r="CB668" s="208" t="n"/>
      <c r="CC668" s="139" t="n"/>
      <c r="CD668" s="204" t="n"/>
      <c r="CE668" s="204" t="n"/>
      <c r="CF668" s="207" t="n"/>
      <c r="CG668" s="208" t="n"/>
      <c r="CH668" s="207" t="n"/>
      <c r="CI668" s="208" t="n"/>
      <c r="CJ668" s="204" t="n"/>
      <c r="CK668" s="208" t="n"/>
      <c r="CL668" s="208" t="n"/>
      <c r="CM668" s="208" t="n"/>
      <c r="CN668" s="78" t="n"/>
      <c r="CO668" s="209" t="n"/>
      <c r="CP668" s="204" t="n"/>
      <c r="CQ668" s="204" t="n"/>
      <c r="CR668" s="204" t="n"/>
      <c r="CS668" s="204" t="n"/>
      <c r="CT668" s="204" t="n"/>
      <c r="CU668" s="204" t="n"/>
      <c r="CV668" s="204" t="n"/>
      <c r="CW668" s="204" t="n"/>
    </row>
    <row r="669">
      <c r="BF669" s="78" t="n"/>
      <c r="BG669" s="78" t="n"/>
      <c r="BH669" s="78" t="n"/>
      <c r="BI669" s="78" t="n"/>
      <c r="BJ669" s="139" t="n"/>
      <c r="BK669" s="204" t="n"/>
      <c r="BL669" s="141" t="n"/>
      <c r="BM669" s="205" t="n"/>
      <c r="BN669" s="205" t="n"/>
      <c r="BO669" s="206" t="n"/>
      <c r="BP669" s="144" t="n"/>
      <c r="BQ669" s="141" t="n"/>
      <c r="BR669" s="207" t="n"/>
      <c r="BS669" s="207" t="n"/>
      <c r="BT669" s="207" t="n"/>
      <c r="BU669" s="207" t="n"/>
      <c r="BV669" s="208" t="n"/>
      <c r="BW669" s="207" t="n"/>
      <c r="BX669" s="207" t="n"/>
      <c r="BY669" s="204" t="n"/>
      <c r="BZ669" s="148" t="n"/>
      <c r="CA669" s="204" t="n"/>
      <c r="CB669" s="208" t="n"/>
      <c r="CC669" s="139" t="n"/>
      <c r="CD669" s="204" t="n"/>
      <c r="CE669" s="204" t="n"/>
      <c r="CF669" s="207" t="n"/>
      <c r="CG669" s="208" t="n"/>
      <c r="CH669" s="207" t="n"/>
      <c r="CI669" s="208" t="n"/>
      <c r="CJ669" s="204" t="n"/>
      <c r="CK669" s="208" t="n"/>
      <c r="CL669" s="208" t="n"/>
      <c r="CM669" s="208" t="n"/>
      <c r="CN669" s="78" t="n"/>
      <c r="CO669" s="209" t="n"/>
      <c r="CP669" s="204" t="n"/>
      <c r="CQ669" s="204" t="n"/>
      <c r="CR669" s="204" t="n"/>
      <c r="CS669" s="204" t="n"/>
      <c r="CT669" s="204" t="n"/>
      <c r="CU669" s="204" t="n"/>
      <c r="CV669" s="204" t="n"/>
      <c r="CW669" s="204" t="n"/>
    </row>
    <row r="670">
      <c r="BF670" s="78" t="n"/>
      <c r="BG670" s="78" t="n"/>
      <c r="BH670" s="78" t="n"/>
      <c r="BI670" s="78" t="n"/>
      <c r="BJ670" s="139" t="n"/>
      <c r="BK670" s="204" t="n"/>
      <c r="BL670" s="141" t="n"/>
      <c r="BM670" s="205" t="n"/>
      <c r="BN670" s="205" t="n"/>
      <c r="BO670" s="206" t="n"/>
      <c r="BP670" s="144" t="n"/>
      <c r="BQ670" s="141" t="n"/>
      <c r="BR670" s="207" t="n"/>
      <c r="BS670" s="207" t="n"/>
      <c r="BT670" s="207" t="n"/>
      <c r="BU670" s="207" t="n"/>
      <c r="BV670" s="208" t="n"/>
      <c r="BW670" s="207" t="n"/>
      <c r="BX670" s="207" t="n"/>
      <c r="BY670" s="204" t="n"/>
      <c r="BZ670" s="148" t="n"/>
      <c r="CA670" s="204" t="n"/>
      <c r="CB670" s="208" t="n"/>
      <c r="CC670" s="139" t="n"/>
      <c r="CD670" s="204" t="n"/>
      <c r="CE670" s="204" t="n"/>
      <c r="CF670" s="207" t="n"/>
      <c r="CG670" s="208" t="n"/>
      <c r="CH670" s="207" t="n"/>
      <c r="CI670" s="208" t="n"/>
      <c r="CJ670" s="204" t="n"/>
      <c r="CK670" s="208" t="n"/>
      <c r="CL670" s="208" t="n"/>
      <c r="CM670" s="208" t="n"/>
      <c r="CN670" s="78" t="n"/>
      <c r="CO670" s="209" t="n"/>
      <c r="CP670" s="204" t="n"/>
      <c r="CQ670" s="204" t="n"/>
      <c r="CR670" s="204" t="n"/>
      <c r="CS670" s="204" t="n"/>
      <c r="CT670" s="204" t="n"/>
      <c r="CU670" s="204" t="n"/>
      <c r="CV670" s="204" t="n"/>
      <c r="CW670" s="204" t="n"/>
    </row>
    <row r="671">
      <c r="BF671" s="78" t="n"/>
      <c r="BG671" s="78" t="n"/>
      <c r="BH671" s="78" t="n"/>
      <c r="BI671" s="78" t="n"/>
      <c r="BJ671" s="139" t="n"/>
      <c r="BK671" s="204" t="n"/>
      <c r="BL671" s="141" t="n"/>
      <c r="BM671" s="205" t="n"/>
      <c r="BN671" s="205" t="n"/>
      <c r="BO671" s="206" t="n"/>
      <c r="BP671" s="144" t="n"/>
      <c r="BQ671" s="141" t="n"/>
      <c r="BR671" s="207" t="n"/>
      <c r="BS671" s="207" t="n"/>
      <c r="BT671" s="207" t="n"/>
      <c r="BU671" s="207" t="n"/>
      <c r="BV671" s="208" t="n"/>
      <c r="BW671" s="207" t="n"/>
      <c r="BX671" s="207" t="n"/>
      <c r="BY671" s="204" t="n"/>
      <c r="BZ671" s="148" t="n"/>
      <c r="CA671" s="204" t="n"/>
      <c r="CB671" s="208" t="n"/>
      <c r="CC671" s="139" t="n"/>
      <c r="CD671" s="204" t="n"/>
      <c r="CE671" s="204" t="n"/>
      <c r="CF671" s="207" t="n"/>
      <c r="CG671" s="208" t="n"/>
      <c r="CH671" s="207" t="n"/>
      <c r="CI671" s="208" t="n"/>
      <c r="CJ671" s="204" t="n"/>
      <c r="CK671" s="208" t="n"/>
      <c r="CL671" s="208" t="n"/>
      <c r="CM671" s="208" t="n"/>
      <c r="CN671" s="78" t="n"/>
      <c r="CO671" s="209" t="n"/>
      <c r="CP671" s="204" t="n"/>
      <c r="CQ671" s="204" t="n"/>
      <c r="CR671" s="204" t="n"/>
      <c r="CS671" s="204" t="n"/>
      <c r="CT671" s="204" t="n"/>
      <c r="CU671" s="204" t="n"/>
      <c r="CV671" s="204" t="n"/>
      <c r="CW671" s="204" t="n"/>
    </row>
    <row r="672">
      <c r="BF672" s="78" t="n"/>
      <c r="BG672" s="78" t="n"/>
      <c r="BH672" s="78" t="n"/>
      <c r="BI672" s="78" t="n"/>
      <c r="BJ672" s="139" t="n"/>
      <c r="BK672" s="204" t="n"/>
      <c r="BL672" s="141" t="n"/>
      <c r="BM672" s="205" t="n"/>
      <c r="BN672" s="205" t="n"/>
      <c r="BO672" s="206" t="n"/>
      <c r="BP672" s="144" t="n"/>
      <c r="BQ672" s="141" t="n"/>
      <c r="BR672" s="207" t="n"/>
      <c r="BS672" s="207" t="n"/>
      <c r="BT672" s="207" t="n"/>
      <c r="BU672" s="207" t="n"/>
      <c r="BV672" s="208" t="n"/>
      <c r="BW672" s="207" t="n"/>
      <c r="BX672" s="207" t="n"/>
      <c r="BY672" s="204" t="n"/>
      <c r="BZ672" s="148" t="n"/>
      <c r="CA672" s="204" t="n"/>
      <c r="CB672" s="208" t="n"/>
      <c r="CC672" s="139" t="n"/>
      <c r="CD672" s="204" t="n"/>
      <c r="CE672" s="204" t="n"/>
      <c r="CF672" s="207" t="n"/>
      <c r="CG672" s="208" t="n"/>
      <c r="CH672" s="207" t="n"/>
      <c r="CI672" s="208" t="n"/>
      <c r="CJ672" s="204" t="n"/>
      <c r="CK672" s="208" t="n"/>
      <c r="CL672" s="208" t="n"/>
      <c r="CM672" s="208" t="n"/>
      <c r="CN672" s="78" t="n"/>
      <c r="CO672" s="209" t="n"/>
      <c r="CP672" s="204" t="n"/>
      <c r="CQ672" s="204" t="n"/>
      <c r="CR672" s="204" t="n"/>
      <c r="CS672" s="204" t="n"/>
      <c r="CT672" s="204" t="n"/>
      <c r="CU672" s="204" t="n"/>
      <c r="CV672" s="204" t="n"/>
      <c r="CW672" s="204" t="n"/>
    </row>
    <row r="673">
      <c r="BF673" s="78" t="n"/>
      <c r="BG673" s="78" t="n"/>
      <c r="BH673" s="78" t="n"/>
      <c r="BI673" s="78" t="n"/>
      <c r="BJ673" s="139" t="n"/>
      <c r="BK673" s="204" t="n"/>
      <c r="BL673" s="141" t="n"/>
      <c r="BM673" s="205" t="n"/>
      <c r="BN673" s="205" t="n"/>
      <c r="BO673" s="206" t="n"/>
      <c r="BP673" s="144" t="n"/>
      <c r="BQ673" s="141" t="n"/>
      <c r="BR673" s="207" t="n"/>
      <c r="BS673" s="207" t="n"/>
      <c r="BT673" s="207" t="n"/>
      <c r="BU673" s="207" t="n"/>
      <c r="BV673" s="208" t="n"/>
      <c r="BW673" s="207" t="n"/>
      <c r="BX673" s="207" t="n"/>
      <c r="BY673" s="204" t="n"/>
      <c r="BZ673" s="148" t="n"/>
      <c r="CA673" s="204" t="n"/>
      <c r="CB673" s="208" t="n"/>
      <c r="CC673" s="139" t="n"/>
      <c r="CD673" s="204" t="n"/>
      <c r="CE673" s="204" t="n"/>
      <c r="CF673" s="207" t="n"/>
      <c r="CG673" s="208" t="n"/>
      <c r="CH673" s="207" t="n"/>
      <c r="CI673" s="208" t="n"/>
      <c r="CJ673" s="204" t="n"/>
      <c r="CK673" s="208" t="n"/>
      <c r="CL673" s="208" t="n"/>
      <c r="CM673" s="208" t="n"/>
      <c r="CN673" s="78" t="n"/>
      <c r="CO673" s="209" t="n"/>
      <c r="CP673" s="204" t="n"/>
      <c r="CQ673" s="204" t="n"/>
      <c r="CR673" s="204" t="n"/>
      <c r="CS673" s="204" t="n"/>
      <c r="CT673" s="204" t="n"/>
      <c r="CU673" s="204" t="n"/>
      <c r="CV673" s="204" t="n"/>
      <c r="CW673" s="204" t="n"/>
    </row>
    <row r="674">
      <c r="BF674" s="78" t="n"/>
      <c r="BG674" s="78" t="n"/>
      <c r="BH674" s="78" t="n"/>
      <c r="BI674" s="78" t="n"/>
      <c r="BJ674" s="139" t="n"/>
      <c r="BK674" s="204" t="n"/>
      <c r="BL674" s="141" t="n"/>
      <c r="BM674" s="205" t="n"/>
      <c r="BN674" s="205" t="n"/>
      <c r="BO674" s="206" t="n"/>
      <c r="BP674" s="144" t="n"/>
      <c r="BQ674" s="141" t="n"/>
      <c r="BR674" s="207" t="n"/>
      <c r="BS674" s="207" t="n"/>
      <c r="BT674" s="207" t="n"/>
      <c r="BU674" s="207" t="n"/>
      <c r="BV674" s="208" t="n"/>
      <c r="BW674" s="207" t="n"/>
      <c r="BX674" s="207" t="n"/>
      <c r="BY674" s="204" t="n"/>
      <c r="BZ674" s="148" t="n"/>
      <c r="CA674" s="204" t="n"/>
      <c r="CB674" s="208" t="n"/>
      <c r="CC674" s="139" t="n"/>
      <c r="CD674" s="204" t="n"/>
      <c r="CE674" s="204" t="n"/>
      <c r="CF674" s="207" t="n"/>
      <c r="CG674" s="208" t="n"/>
      <c r="CH674" s="207" t="n"/>
      <c r="CI674" s="208" t="n"/>
      <c r="CJ674" s="204" t="n"/>
      <c r="CK674" s="208" t="n"/>
      <c r="CL674" s="208" t="n"/>
      <c r="CM674" s="208" t="n"/>
      <c r="CN674" s="78" t="n"/>
      <c r="CO674" s="209" t="n"/>
      <c r="CP674" s="204" t="n"/>
      <c r="CQ674" s="204" t="n"/>
      <c r="CR674" s="204" t="n"/>
      <c r="CS674" s="204" t="n"/>
      <c r="CT674" s="204" t="n"/>
      <c r="CU674" s="204" t="n"/>
      <c r="CV674" s="204" t="n"/>
      <c r="CW674" s="204" t="n"/>
    </row>
    <row r="675">
      <c r="BF675" s="78" t="n"/>
      <c r="BG675" s="78" t="n"/>
      <c r="BH675" s="78" t="n"/>
      <c r="BI675" s="78" t="n"/>
      <c r="BJ675" s="139" t="n"/>
      <c r="BK675" s="204" t="n"/>
      <c r="BL675" s="141" t="n"/>
      <c r="BM675" s="205" t="n"/>
      <c r="BN675" s="205" t="n"/>
      <c r="BO675" s="206" t="n"/>
      <c r="BP675" s="144" t="n"/>
      <c r="BQ675" s="141" t="n"/>
      <c r="BR675" s="207" t="n"/>
      <c r="BS675" s="207" t="n"/>
      <c r="BT675" s="207" t="n"/>
      <c r="BU675" s="207" t="n"/>
      <c r="BV675" s="208" t="n"/>
      <c r="BW675" s="207" t="n"/>
      <c r="BX675" s="207" t="n"/>
      <c r="BY675" s="204" t="n"/>
      <c r="BZ675" s="148" t="n"/>
      <c r="CA675" s="204" t="n"/>
      <c r="CB675" s="208" t="n"/>
      <c r="CC675" s="139" t="n"/>
      <c r="CD675" s="204" t="n"/>
      <c r="CE675" s="204" t="n"/>
      <c r="CF675" s="207" t="n"/>
      <c r="CG675" s="208" t="n"/>
      <c r="CH675" s="207" t="n"/>
      <c r="CI675" s="208" t="n"/>
      <c r="CJ675" s="204" t="n"/>
      <c r="CK675" s="208" t="n"/>
      <c r="CL675" s="208" t="n"/>
      <c r="CM675" s="208" t="n"/>
      <c r="CN675" s="78" t="n"/>
      <c r="CO675" s="209" t="n"/>
      <c r="CP675" s="204" t="n"/>
      <c r="CQ675" s="204" t="n"/>
      <c r="CR675" s="204" t="n"/>
      <c r="CS675" s="204" t="n"/>
      <c r="CT675" s="204" t="n"/>
      <c r="CU675" s="204" t="n"/>
      <c r="CV675" s="204" t="n"/>
      <c r="CW675" s="204" t="n"/>
    </row>
    <row r="676">
      <c r="BF676" s="78" t="n"/>
      <c r="BG676" s="78" t="n"/>
      <c r="BH676" s="78" t="n"/>
      <c r="BI676" s="78" t="n"/>
      <c r="BJ676" s="139" t="n"/>
      <c r="BK676" s="204" t="n"/>
      <c r="BL676" s="141" t="n"/>
      <c r="BM676" s="205" t="n"/>
      <c r="BN676" s="205" t="n"/>
      <c r="BO676" s="206" t="n"/>
      <c r="BP676" s="144" t="n"/>
      <c r="BQ676" s="141" t="n"/>
      <c r="BR676" s="207" t="n"/>
      <c r="BS676" s="207" t="n"/>
      <c r="BT676" s="207" t="n"/>
      <c r="BU676" s="207" t="n"/>
      <c r="BV676" s="208" t="n"/>
      <c r="BW676" s="207" t="n"/>
      <c r="BX676" s="207" t="n"/>
      <c r="BY676" s="204" t="n"/>
      <c r="BZ676" s="148" t="n"/>
      <c r="CA676" s="204" t="n"/>
      <c r="CB676" s="208" t="n"/>
      <c r="CC676" s="139" t="n"/>
      <c r="CD676" s="204" t="n"/>
      <c r="CE676" s="204" t="n"/>
      <c r="CF676" s="207" t="n"/>
      <c r="CG676" s="208" t="n"/>
      <c r="CH676" s="207" t="n"/>
      <c r="CI676" s="208" t="n"/>
      <c r="CJ676" s="204" t="n"/>
      <c r="CK676" s="208" t="n"/>
      <c r="CL676" s="208" t="n"/>
      <c r="CM676" s="208" t="n"/>
      <c r="CN676" s="78" t="n"/>
      <c r="CO676" s="209" t="n"/>
      <c r="CP676" s="204" t="n"/>
      <c r="CQ676" s="204" t="n"/>
      <c r="CR676" s="204" t="n"/>
      <c r="CS676" s="204" t="n"/>
      <c r="CT676" s="204" t="n"/>
      <c r="CU676" s="204" t="n"/>
      <c r="CV676" s="204" t="n"/>
      <c r="CW676" s="204" t="n"/>
    </row>
    <row r="677">
      <c r="BF677" s="78" t="n"/>
      <c r="BG677" s="78" t="n"/>
      <c r="BH677" s="78" t="n"/>
      <c r="BI677" s="78" t="n"/>
      <c r="BJ677" s="139" t="n"/>
      <c r="BK677" s="204" t="n"/>
      <c r="BL677" s="141" t="n"/>
      <c r="BM677" s="205" t="n"/>
      <c r="BN677" s="205" t="n"/>
      <c r="BO677" s="206" t="n"/>
      <c r="BP677" s="144" t="n"/>
      <c r="BQ677" s="141" t="n"/>
      <c r="BR677" s="207" t="n"/>
      <c r="BS677" s="207" t="n"/>
      <c r="BT677" s="207" t="n"/>
      <c r="BU677" s="207" t="n"/>
      <c r="BV677" s="208" t="n"/>
      <c r="BW677" s="207" t="n"/>
      <c r="BX677" s="207" t="n"/>
      <c r="BY677" s="204" t="n"/>
      <c r="BZ677" s="148" t="n"/>
      <c r="CA677" s="204" t="n"/>
      <c r="CB677" s="208" t="n"/>
      <c r="CC677" s="139" t="n"/>
      <c r="CD677" s="204" t="n"/>
      <c r="CE677" s="204" t="n"/>
      <c r="CF677" s="207" t="n"/>
      <c r="CG677" s="208" t="n"/>
      <c r="CH677" s="207" t="n"/>
      <c r="CI677" s="208" t="n"/>
      <c r="CJ677" s="204" t="n"/>
      <c r="CK677" s="208" t="n"/>
      <c r="CL677" s="208" t="n"/>
      <c r="CM677" s="208" t="n"/>
      <c r="CN677" s="78" t="n"/>
      <c r="CO677" s="209" t="n"/>
      <c r="CP677" s="204" t="n"/>
      <c r="CQ677" s="204" t="n"/>
      <c r="CR677" s="204" t="n"/>
      <c r="CS677" s="204" t="n"/>
      <c r="CT677" s="204" t="n"/>
      <c r="CU677" s="204" t="n"/>
      <c r="CV677" s="204" t="n"/>
      <c r="CW677" s="204" t="n"/>
    </row>
    <row r="678">
      <c r="BF678" s="78" t="n"/>
      <c r="BG678" s="78" t="n"/>
      <c r="BH678" s="78" t="n"/>
      <c r="BI678" s="78" t="n"/>
      <c r="BJ678" s="139" t="n"/>
      <c r="BK678" s="204" t="n"/>
      <c r="BL678" s="141" t="n"/>
      <c r="BM678" s="205" t="n"/>
      <c r="BN678" s="205" t="n"/>
      <c r="BO678" s="206" t="n"/>
      <c r="BP678" s="144" t="n"/>
      <c r="BQ678" s="141" t="n"/>
      <c r="BR678" s="207" t="n"/>
      <c r="BS678" s="207" t="n"/>
      <c r="BT678" s="207" t="n"/>
      <c r="BU678" s="207" t="n"/>
      <c r="BV678" s="208" t="n"/>
      <c r="BW678" s="207" t="n"/>
      <c r="BX678" s="207" t="n"/>
      <c r="BY678" s="204" t="n"/>
      <c r="BZ678" s="148" t="n"/>
      <c r="CA678" s="204" t="n"/>
      <c r="CB678" s="208" t="n"/>
      <c r="CC678" s="139" t="n"/>
      <c r="CD678" s="204" t="n"/>
      <c r="CE678" s="204" t="n"/>
      <c r="CF678" s="207" t="n"/>
      <c r="CG678" s="208" t="n"/>
      <c r="CH678" s="207" t="n"/>
      <c r="CI678" s="208" t="n"/>
      <c r="CJ678" s="204" t="n"/>
      <c r="CK678" s="208" t="n"/>
      <c r="CL678" s="208" t="n"/>
      <c r="CM678" s="208" t="n"/>
      <c r="CN678" s="78" t="n"/>
      <c r="CO678" s="209" t="n"/>
      <c r="CP678" s="204" t="n"/>
      <c r="CQ678" s="204" t="n"/>
      <c r="CR678" s="204" t="n"/>
      <c r="CS678" s="204" t="n"/>
      <c r="CT678" s="204" t="n"/>
      <c r="CU678" s="204" t="n"/>
      <c r="CV678" s="204" t="n"/>
      <c r="CW678" s="204" t="n"/>
    </row>
    <row r="679">
      <c r="BF679" s="78" t="n"/>
      <c r="BG679" s="78" t="n"/>
      <c r="BH679" s="78" t="n"/>
      <c r="BI679" s="78" t="n"/>
      <c r="BJ679" s="139" t="n"/>
      <c r="BK679" s="204" t="n"/>
      <c r="BL679" s="141" t="n"/>
      <c r="BM679" s="205" t="n"/>
      <c r="BN679" s="205" t="n"/>
      <c r="BO679" s="206" t="n"/>
      <c r="BP679" s="144" t="n"/>
      <c r="BQ679" s="141" t="n"/>
      <c r="BR679" s="207" t="n"/>
      <c r="BS679" s="207" t="n"/>
      <c r="BT679" s="207" t="n"/>
      <c r="BU679" s="207" t="n"/>
      <c r="BV679" s="208" t="n"/>
      <c r="BW679" s="207" t="n"/>
      <c r="BX679" s="207" t="n"/>
      <c r="BY679" s="204" t="n"/>
      <c r="BZ679" s="148" t="n"/>
      <c r="CA679" s="204" t="n"/>
      <c r="CB679" s="208" t="n"/>
      <c r="CC679" s="139" t="n"/>
      <c r="CD679" s="204" t="n"/>
      <c r="CE679" s="204" t="n"/>
      <c r="CF679" s="207" t="n"/>
      <c r="CG679" s="208" t="n"/>
      <c r="CH679" s="207" t="n"/>
      <c r="CI679" s="208" t="n"/>
      <c r="CJ679" s="204" t="n"/>
      <c r="CK679" s="208" t="n"/>
      <c r="CL679" s="208" t="n"/>
      <c r="CM679" s="208" t="n"/>
      <c r="CN679" s="78" t="n"/>
      <c r="CO679" s="209" t="n"/>
      <c r="CP679" s="204" t="n"/>
      <c r="CQ679" s="204" t="n"/>
      <c r="CR679" s="204" t="n"/>
      <c r="CS679" s="204" t="n"/>
      <c r="CT679" s="204" t="n"/>
      <c r="CU679" s="204" t="n"/>
      <c r="CV679" s="204" t="n"/>
      <c r="CW679" s="204" t="n"/>
    </row>
    <row r="680">
      <c r="BF680" s="78" t="n"/>
      <c r="BG680" s="78" t="n"/>
      <c r="BH680" s="78" t="n"/>
      <c r="BI680" s="78" t="n"/>
      <c r="BJ680" s="139" t="n"/>
      <c r="BK680" s="204" t="n"/>
      <c r="BL680" s="141" t="n"/>
      <c r="BM680" s="205" t="n"/>
      <c r="BN680" s="205" t="n"/>
      <c r="BO680" s="206" t="n"/>
      <c r="BP680" s="144" t="n"/>
      <c r="BQ680" s="141" t="n"/>
      <c r="BR680" s="207" t="n"/>
      <c r="BS680" s="207" t="n"/>
      <c r="BT680" s="207" t="n"/>
      <c r="BU680" s="207" t="n"/>
      <c r="BV680" s="208" t="n"/>
      <c r="BW680" s="207" t="n"/>
      <c r="BX680" s="207" t="n"/>
      <c r="BY680" s="204" t="n"/>
      <c r="BZ680" s="148" t="n"/>
      <c r="CA680" s="204" t="n"/>
      <c r="CB680" s="208" t="n"/>
      <c r="CC680" s="139" t="n"/>
      <c r="CD680" s="204" t="n"/>
      <c r="CE680" s="204" t="n"/>
      <c r="CF680" s="207" t="n"/>
      <c r="CG680" s="208" t="n"/>
      <c r="CH680" s="207" t="n"/>
      <c r="CI680" s="208" t="n"/>
      <c r="CJ680" s="204" t="n"/>
      <c r="CK680" s="208" t="n"/>
      <c r="CL680" s="208" t="n"/>
      <c r="CM680" s="208" t="n"/>
      <c r="CN680" s="78" t="n"/>
      <c r="CO680" s="209" t="n"/>
      <c r="CP680" s="204" t="n"/>
      <c r="CQ680" s="204" t="n"/>
      <c r="CR680" s="204" t="n"/>
      <c r="CS680" s="204" t="n"/>
      <c r="CT680" s="204" t="n"/>
      <c r="CU680" s="204" t="n"/>
      <c r="CV680" s="204" t="n"/>
      <c r="CW680" s="204" t="n"/>
    </row>
    <row r="681">
      <c r="BF681" s="78" t="n"/>
      <c r="BG681" s="78" t="n"/>
      <c r="BH681" s="78" t="n"/>
      <c r="BI681" s="78" t="n"/>
      <c r="BJ681" s="139" t="n"/>
      <c r="BK681" s="204" t="n"/>
      <c r="BL681" s="141" t="n"/>
      <c r="BM681" s="205" t="n"/>
      <c r="BN681" s="205" t="n"/>
      <c r="BO681" s="206" t="n"/>
      <c r="BP681" s="144" t="n"/>
      <c r="BQ681" s="141" t="n"/>
      <c r="BR681" s="207" t="n"/>
      <c r="BS681" s="207" t="n"/>
      <c r="BT681" s="207" t="n"/>
      <c r="BU681" s="207" t="n"/>
      <c r="BV681" s="208" t="n"/>
      <c r="BW681" s="207" t="n"/>
      <c r="BX681" s="207" t="n"/>
      <c r="BY681" s="204" t="n"/>
      <c r="BZ681" s="148" t="n"/>
      <c r="CA681" s="204" t="n"/>
      <c r="CB681" s="208" t="n"/>
      <c r="CC681" s="139" t="n"/>
      <c r="CD681" s="204" t="n"/>
      <c r="CE681" s="204" t="n"/>
      <c r="CF681" s="207" t="n"/>
      <c r="CG681" s="208" t="n"/>
      <c r="CH681" s="207" t="n"/>
      <c r="CI681" s="208" t="n"/>
      <c r="CJ681" s="204" t="n"/>
      <c r="CK681" s="208" t="n"/>
      <c r="CL681" s="208" t="n"/>
      <c r="CM681" s="208" t="n"/>
      <c r="CN681" s="78" t="n"/>
      <c r="CO681" s="209" t="n"/>
      <c r="CP681" s="204" t="n"/>
      <c r="CQ681" s="204" t="n"/>
      <c r="CR681" s="204" t="n"/>
      <c r="CS681" s="204" t="n"/>
      <c r="CT681" s="204" t="n"/>
      <c r="CU681" s="204" t="n"/>
      <c r="CV681" s="204" t="n"/>
      <c r="CW681" s="204" t="n"/>
    </row>
    <row r="682">
      <c r="BF682" s="78" t="n"/>
      <c r="BG682" s="78" t="n"/>
      <c r="BH682" s="78" t="n"/>
      <c r="BI682" s="78" t="n"/>
      <c r="BJ682" s="139" t="n"/>
      <c r="BK682" s="204" t="n"/>
      <c r="BL682" s="141" t="n"/>
      <c r="BM682" s="205" t="n"/>
      <c r="BN682" s="205" t="n"/>
      <c r="BO682" s="206" t="n"/>
      <c r="BP682" s="144" t="n"/>
      <c r="BQ682" s="141" t="n"/>
      <c r="BR682" s="207" t="n"/>
      <c r="BS682" s="207" t="n"/>
      <c r="BT682" s="207" t="n"/>
      <c r="BU682" s="207" t="n"/>
      <c r="BV682" s="208" t="n"/>
      <c r="BW682" s="207" t="n"/>
      <c r="BX682" s="207" t="n"/>
      <c r="BY682" s="204" t="n"/>
      <c r="BZ682" s="148" t="n"/>
      <c r="CA682" s="204" t="n"/>
      <c r="CB682" s="208" t="n"/>
      <c r="CC682" s="139" t="n"/>
      <c r="CD682" s="204" t="n"/>
      <c r="CE682" s="204" t="n"/>
      <c r="CF682" s="207" t="n"/>
      <c r="CG682" s="208" t="n"/>
      <c r="CH682" s="207" t="n"/>
      <c r="CI682" s="208" t="n"/>
      <c r="CJ682" s="204" t="n"/>
      <c r="CK682" s="208" t="n"/>
      <c r="CL682" s="208" t="n"/>
      <c r="CM682" s="208" t="n"/>
      <c r="CN682" s="78" t="n"/>
      <c r="CO682" s="209" t="n"/>
      <c r="CP682" s="204" t="n"/>
      <c r="CQ682" s="204" t="n"/>
      <c r="CR682" s="204" t="n"/>
      <c r="CS682" s="204" t="n"/>
      <c r="CT682" s="204" t="n"/>
      <c r="CU682" s="204" t="n"/>
      <c r="CV682" s="204" t="n"/>
      <c r="CW682" s="204" t="n"/>
    </row>
    <row r="683">
      <c r="BF683" s="78" t="n"/>
      <c r="BG683" s="78" t="n"/>
      <c r="BH683" s="78" t="n"/>
      <c r="BI683" s="78" t="n"/>
      <c r="BJ683" s="139" t="n"/>
      <c r="BK683" s="204" t="n"/>
      <c r="BL683" s="141" t="n"/>
      <c r="BM683" s="205" t="n"/>
      <c r="BN683" s="205" t="n"/>
      <c r="BO683" s="206" t="n"/>
      <c r="BP683" s="144" t="n"/>
      <c r="BQ683" s="141" t="n"/>
      <c r="BR683" s="207" t="n"/>
      <c r="BS683" s="207" t="n"/>
      <c r="BT683" s="207" t="n"/>
      <c r="BU683" s="207" t="n"/>
      <c r="BV683" s="208" t="n"/>
      <c r="BW683" s="207" t="n"/>
      <c r="BX683" s="207" t="n"/>
      <c r="BY683" s="204" t="n"/>
      <c r="BZ683" s="148" t="n"/>
      <c r="CA683" s="204" t="n"/>
      <c r="CB683" s="208" t="n"/>
      <c r="CC683" s="139" t="n"/>
      <c r="CD683" s="204" t="n"/>
      <c r="CE683" s="204" t="n"/>
      <c r="CF683" s="207" t="n"/>
      <c r="CG683" s="208" t="n"/>
      <c r="CH683" s="207" t="n"/>
      <c r="CI683" s="208" t="n"/>
      <c r="CJ683" s="204" t="n"/>
      <c r="CK683" s="208" t="n"/>
      <c r="CL683" s="208" t="n"/>
      <c r="CM683" s="208" t="n"/>
      <c r="CN683" s="78" t="n"/>
      <c r="CO683" s="209" t="n"/>
      <c r="CP683" s="204" t="n"/>
      <c r="CQ683" s="204" t="n"/>
      <c r="CR683" s="204" t="n"/>
      <c r="CS683" s="204" t="n"/>
      <c r="CT683" s="204" t="n"/>
      <c r="CU683" s="204" t="n"/>
      <c r="CV683" s="204" t="n"/>
      <c r="CW683" s="204" t="n"/>
    </row>
    <row r="684">
      <c r="BF684" s="78" t="n"/>
      <c r="BG684" s="78" t="n"/>
      <c r="BH684" s="78" t="n"/>
      <c r="BI684" s="78" t="n"/>
      <c r="BJ684" s="139" t="n"/>
      <c r="BK684" s="204" t="n"/>
      <c r="BL684" s="141" t="n"/>
      <c r="BM684" s="205" t="n"/>
      <c r="BN684" s="205" t="n"/>
      <c r="BO684" s="206" t="n"/>
      <c r="BP684" s="144" t="n"/>
      <c r="BQ684" s="141" t="n"/>
      <c r="BR684" s="207" t="n"/>
      <c r="BS684" s="207" t="n"/>
      <c r="BT684" s="207" t="n"/>
      <c r="BU684" s="207" t="n"/>
      <c r="BV684" s="208" t="n"/>
      <c r="BW684" s="207" t="n"/>
      <c r="BX684" s="207" t="n"/>
      <c r="BY684" s="204" t="n"/>
      <c r="BZ684" s="148" t="n"/>
      <c r="CA684" s="204" t="n"/>
      <c r="CB684" s="208" t="n"/>
      <c r="CC684" s="139" t="n"/>
      <c r="CD684" s="204" t="n"/>
      <c r="CE684" s="204" t="n"/>
      <c r="CF684" s="207" t="n"/>
      <c r="CG684" s="208" t="n"/>
      <c r="CH684" s="207" t="n"/>
      <c r="CI684" s="208" t="n"/>
      <c r="CJ684" s="204" t="n"/>
      <c r="CK684" s="208" t="n"/>
      <c r="CL684" s="208" t="n"/>
      <c r="CM684" s="208" t="n"/>
      <c r="CN684" s="78" t="n"/>
      <c r="CO684" s="209" t="n"/>
      <c r="CP684" s="204" t="n"/>
      <c r="CQ684" s="204" t="n"/>
      <c r="CR684" s="204" t="n"/>
      <c r="CS684" s="204" t="n"/>
      <c r="CT684" s="204" t="n"/>
      <c r="CU684" s="204" t="n"/>
      <c r="CV684" s="204" t="n"/>
      <c r="CW684" s="204" t="n"/>
    </row>
    <row r="685">
      <c r="BF685" s="78" t="n"/>
      <c r="BG685" s="78" t="n"/>
      <c r="BH685" s="78" t="n"/>
      <c r="BI685" s="78" t="n"/>
      <c r="BJ685" s="139" t="n"/>
      <c r="BK685" s="204" t="n"/>
      <c r="BL685" s="141" t="n"/>
      <c r="BM685" s="205" t="n"/>
      <c r="BN685" s="205" t="n"/>
      <c r="BO685" s="206" t="n"/>
      <c r="BP685" s="144" t="n"/>
      <c r="BQ685" s="141" t="n"/>
      <c r="BR685" s="207" t="n"/>
      <c r="BS685" s="207" t="n"/>
      <c r="BT685" s="207" t="n"/>
      <c r="BU685" s="207" t="n"/>
      <c r="BV685" s="208" t="n"/>
      <c r="BW685" s="207" t="n"/>
      <c r="BX685" s="207" t="n"/>
      <c r="BY685" s="204" t="n"/>
      <c r="BZ685" s="148" t="n"/>
      <c r="CA685" s="204" t="n"/>
      <c r="CB685" s="208" t="n"/>
      <c r="CC685" s="139" t="n"/>
      <c r="CD685" s="204" t="n"/>
      <c r="CE685" s="204" t="n"/>
      <c r="CF685" s="207" t="n"/>
      <c r="CG685" s="208" t="n"/>
      <c r="CH685" s="207" t="n"/>
      <c r="CI685" s="208" t="n"/>
      <c r="CJ685" s="204" t="n"/>
      <c r="CK685" s="208" t="n"/>
      <c r="CL685" s="208" t="n"/>
      <c r="CM685" s="208" t="n"/>
      <c r="CN685" s="78" t="n"/>
      <c r="CO685" s="209" t="n"/>
      <c r="CP685" s="204" t="n"/>
      <c r="CQ685" s="204" t="n"/>
      <c r="CR685" s="204" t="n"/>
      <c r="CS685" s="204" t="n"/>
      <c r="CT685" s="204" t="n"/>
      <c r="CU685" s="204" t="n"/>
      <c r="CV685" s="204" t="n"/>
      <c r="CW685" s="204" t="n"/>
    </row>
    <row r="686">
      <c r="BF686" s="78" t="n"/>
      <c r="BG686" s="78" t="n"/>
      <c r="BH686" s="78" t="n"/>
      <c r="BI686" s="78" t="n"/>
      <c r="BJ686" s="139" t="n"/>
      <c r="BK686" s="204" t="n"/>
      <c r="BL686" s="141" t="n"/>
      <c r="BM686" s="205" t="n"/>
      <c r="BN686" s="205" t="n"/>
      <c r="BO686" s="206" t="n"/>
      <c r="BP686" s="144" t="n"/>
      <c r="BQ686" s="141" t="n"/>
      <c r="BR686" s="207" t="n"/>
      <c r="BS686" s="207" t="n"/>
      <c r="BT686" s="207" t="n"/>
      <c r="BU686" s="207" t="n"/>
      <c r="BV686" s="208" t="n"/>
      <c r="BW686" s="207" t="n"/>
      <c r="BX686" s="207" t="n"/>
      <c r="BY686" s="204" t="n"/>
      <c r="BZ686" s="148" t="n"/>
      <c r="CA686" s="204" t="n"/>
      <c r="CB686" s="208" t="n"/>
      <c r="CC686" s="139" t="n"/>
      <c r="CD686" s="204" t="n"/>
      <c r="CE686" s="204" t="n"/>
      <c r="CF686" s="207" t="n"/>
      <c r="CG686" s="208" t="n"/>
      <c r="CH686" s="207" t="n"/>
      <c r="CI686" s="208" t="n"/>
      <c r="CJ686" s="204" t="n"/>
      <c r="CK686" s="208" t="n"/>
      <c r="CL686" s="208" t="n"/>
      <c r="CM686" s="208" t="n"/>
      <c r="CN686" s="78" t="n"/>
      <c r="CO686" s="209" t="n"/>
      <c r="CP686" s="204" t="n"/>
      <c r="CQ686" s="204" t="n"/>
      <c r="CR686" s="204" t="n"/>
      <c r="CS686" s="204" t="n"/>
      <c r="CT686" s="204" t="n"/>
      <c r="CU686" s="204" t="n"/>
      <c r="CV686" s="204" t="n"/>
      <c r="CW686" s="204" t="n"/>
    </row>
    <row r="687">
      <c r="AR687" s="151" t="n"/>
      <c r="BF687" s="78" t="n"/>
      <c r="BG687" s="78" t="n"/>
      <c r="BH687" s="78" t="n"/>
      <c r="BI687" s="78" t="n"/>
      <c r="BJ687" s="139" t="n"/>
      <c r="BK687" s="204" t="n"/>
      <c r="BL687" s="141" t="n"/>
      <c r="BM687" s="205" t="n"/>
      <c r="BN687" s="205" t="n"/>
      <c r="BO687" s="206" t="n"/>
      <c r="BP687" s="144" t="n"/>
      <c r="BQ687" s="141" t="n"/>
      <c r="BR687" s="207" t="n"/>
      <c r="BS687" s="207" t="n"/>
      <c r="BT687" s="207" t="n"/>
      <c r="BU687" s="207" t="n"/>
      <c r="BV687" s="208" t="n"/>
      <c r="BW687" s="207" t="n"/>
      <c r="BX687" s="207" t="n"/>
      <c r="BY687" s="204" t="n"/>
      <c r="BZ687" s="148" t="n"/>
      <c r="CA687" s="204" t="n"/>
      <c r="CB687" s="208" t="n"/>
      <c r="CC687" s="139" t="n"/>
      <c r="CD687" s="204" t="n"/>
      <c r="CE687" s="204" t="n"/>
      <c r="CF687" s="207" t="n"/>
      <c r="CG687" s="208" t="n"/>
      <c r="CH687" s="207" t="n"/>
      <c r="CI687" s="208" t="n"/>
      <c r="CJ687" s="204" t="n"/>
      <c r="CK687" s="208" t="n"/>
      <c r="CL687" s="208" t="n"/>
      <c r="CM687" s="208" t="n"/>
      <c r="CN687" s="78" t="n"/>
      <c r="CO687" s="209" t="n"/>
      <c r="CP687" s="204" t="n"/>
      <c r="CQ687" s="204" t="n"/>
      <c r="CR687" s="204" t="n"/>
      <c r="CS687" s="204" t="n"/>
      <c r="CT687" s="204" t="n"/>
      <c r="CU687" s="204" t="n"/>
      <c r="CV687" s="204" t="n"/>
      <c r="CW687" s="204" t="n"/>
    </row>
    <row r="688">
      <c r="AR688" s="151" t="n"/>
      <c r="BF688" s="78" t="n"/>
      <c r="BG688" s="78" t="n"/>
      <c r="BH688" s="78" t="n"/>
      <c r="BI688" s="78" t="n"/>
      <c r="BJ688" s="139" t="n"/>
      <c r="BK688" s="204" t="n"/>
      <c r="BL688" s="141" t="n"/>
      <c r="BM688" s="205" t="n"/>
      <c r="BN688" s="205" t="n"/>
      <c r="BO688" s="206" t="n"/>
      <c r="BP688" s="144" t="n"/>
      <c r="BQ688" s="141" t="n"/>
      <c r="BR688" s="207" t="n"/>
      <c r="BS688" s="207" t="n"/>
      <c r="BT688" s="207" t="n"/>
      <c r="BU688" s="207" t="n"/>
      <c r="BV688" s="208" t="n"/>
      <c r="BW688" s="207" t="n"/>
      <c r="BX688" s="207" t="n"/>
      <c r="BY688" s="204" t="n"/>
      <c r="BZ688" s="148" t="n"/>
      <c r="CA688" s="204" t="n"/>
      <c r="CB688" s="208" t="n"/>
      <c r="CC688" s="139" t="n"/>
      <c r="CD688" s="204" t="n"/>
      <c r="CE688" s="204" t="n"/>
      <c r="CF688" s="207" t="n"/>
      <c r="CG688" s="208" t="n"/>
      <c r="CH688" s="207" t="n"/>
      <c r="CI688" s="208" t="n"/>
      <c r="CJ688" s="204" t="n"/>
      <c r="CK688" s="208" t="n"/>
      <c r="CL688" s="208" t="n"/>
      <c r="CM688" s="208" t="n"/>
      <c r="CN688" s="78" t="n"/>
      <c r="CO688" s="209" t="n"/>
      <c r="CP688" s="204" t="n"/>
      <c r="CQ688" s="204" t="n"/>
      <c r="CR688" s="204" t="n"/>
      <c r="CS688" s="204" t="n"/>
      <c r="CT688" s="204" t="n"/>
      <c r="CU688" s="204" t="n"/>
      <c r="CV688" s="204" t="n"/>
      <c r="CW688" s="204" t="n"/>
    </row>
    <row r="689">
      <c r="AR689" s="151" t="n"/>
      <c r="BF689" s="78" t="n"/>
      <c r="BG689" s="78" t="n"/>
      <c r="BH689" s="78" t="n"/>
      <c r="BI689" s="78" t="n"/>
      <c r="BJ689" s="139" t="n"/>
      <c r="BK689" s="204" t="n"/>
      <c r="BL689" s="141" t="n"/>
      <c r="BM689" s="205" t="n"/>
      <c r="BN689" s="205" t="n"/>
      <c r="BO689" s="206" t="n"/>
      <c r="BP689" s="144" t="n"/>
      <c r="BQ689" s="141" t="n"/>
      <c r="BR689" s="207" t="n"/>
      <c r="BS689" s="207" t="n"/>
      <c r="BT689" s="207" t="n"/>
      <c r="BU689" s="207" t="n"/>
      <c r="BV689" s="208" t="n"/>
      <c r="BW689" s="207" t="n"/>
      <c r="BX689" s="207" t="n"/>
      <c r="BY689" s="204" t="n"/>
      <c r="BZ689" s="148" t="n"/>
      <c r="CA689" s="204" t="n"/>
      <c r="CB689" s="208" t="n"/>
      <c r="CC689" s="139" t="n"/>
      <c r="CD689" s="204" t="n"/>
      <c r="CE689" s="204" t="n"/>
      <c r="CF689" s="207" t="n"/>
      <c r="CG689" s="208" t="n"/>
      <c r="CH689" s="207" t="n"/>
      <c r="CI689" s="208" t="n"/>
      <c r="CJ689" s="204" t="n"/>
      <c r="CK689" s="208" t="n"/>
      <c r="CL689" s="208" t="n"/>
      <c r="CM689" s="208" t="n"/>
      <c r="CN689" s="78" t="n"/>
      <c r="CO689" s="209" t="n"/>
      <c r="CP689" s="204" t="n"/>
      <c r="CQ689" s="204" t="n"/>
      <c r="CR689" s="204" t="n"/>
      <c r="CS689" s="204" t="n"/>
      <c r="CT689" s="204" t="n"/>
      <c r="CU689" s="204" t="n"/>
      <c r="CV689" s="204" t="n"/>
      <c r="CW689" s="204" t="n"/>
    </row>
    <row r="690">
      <c r="AR690" s="151" t="n"/>
      <c r="BF690" s="78" t="n"/>
      <c r="BG690" s="78" t="n"/>
      <c r="BH690" s="78" t="n"/>
      <c r="BI690" s="78" t="n"/>
      <c r="BJ690" s="139" t="n"/>
      <c r="BK690" s="204" t="n"/>
      <c r="BL690" s="141" t="n"/>
      <c r="BM690" s="205" t="n"/>
      <c r="BN690" s="205" t="n"/>
      <c r="BO690" s="206" t="n"/>
      <c r="BP690" s="144" t="n"/>
      <c r="BQ690" s="141" t="n"/>
      <c r="BR690" s="207" t="n"/>
      <c r="BS690" s="207" t="n"/>
      <c r="BT690" s="207" t="n"/>
      <c r="BU690" s="207" t="n"/>
      <c r="BV690" s="208" t="n"/>
      <c r="BW690" s="207" t="n"/>
      <c r="BX690" s="207" t="n"/>
      <c r="BY690" s="204" t="n"/>
      <c r="BZ690" s="148" t="n"/>
      <c r="CA690" s="204" t="n"/>
      <c r="CB690" s="208" t="n"/>
      <c r="CC690" s="139" t="n"/>
      <c r="CD690" s="204" t="n"/>
      <c r="CE690" s="204" t="n"/>
      <c r="CF690" s="207" t="n"/>
      <c r="CG690" s="208" t="n"/>
      <c r="CH690" s="207" t="n"/>
      <c r="CI690" s="208" t="n"/>
      <c r="CJ690" s="204" t="n"/>
      <c r="CK690" s="208" t="n"/>
      <c r="CL690" s="208" t="n"/>
      <c r="CM690" s="208" t="n"/>
      <c r="CN690" s="78" t="n"/>
      <c r="CO690" s="209" t="n"/>
      <c r="CP690" s="204" t="n"/>
      <c r="CQ690" s="204" t="n"/>
      <c r="CR690" s="204" t="n"/>
      <c r="CS690" s="204" t="n"/>
      <c r="CT690" s="204" t="n"/>
      <c r="CU690" s="204" t="n"/>
      <c r="CV690" s="204" t="n"/>
      <c r="CW690" s="204" t="n"/>
    </row>
    <row r="691">
      <c r="BF691" s="78" t="n"/>
      <c r="BG691" s="78" t="n"/>
      <c r="BH691" s="78" t="n"/>
      <c r="BI691" s="78" t="n"/>
      <c r="BJ691" s="139" t="n"/>
      <c r="BK691" s="204" t="n"/>
      <c r="BL691" s="141" t="n"/>
      <c r="BM691" s="205" t="n"/>
      <c r="BN691" s="205" t="n"/>
      <c r="BO691" s="206" t="n"/>
      <c r="BP691" s="144" t="n"/>
      <c r="BQ691" s="141" t="n"/>
      <c r="BR691" s="207" t="n"/>
      <c r="BS691" s="207" t="n"/>
      <c r="BT691" s="207" t="n"/>
      <c r="BU691" s="207" t="n"/>
      <c r="BV691" s="208" t="n"/>
      <c r="BW691" s="207" t="n"/>
      <c r="BX691" s="207" t="n"/>
      <c r="BY691" s="204" t="n"/>
      <c r="BZ691" s="148" t="n"/>
      <c r="CA691" s="204" t="n"/>
      <c r="CB691" s="208" t="n"/>
      <c r="CC691" s="139" t="n"/>
      <c r="CD691" s="204" t="n"/>
      <c r="CE691" s="204" t="n"/>
      <c r="CF691" s="207" t="n"/>
      <c r="CG691" s="208" t="n"/>
      <c r="CH691" s="207" t="n"/>
      <c r="CI691" s="208" t="n"/>
      <c r="CJ691" s="204" t="n"/>
      <c r="CK691" s="208" t="n"/>
      <c r="CL691" s="208" t="n"/>
      <c r="CM691" s="208" t="n"/>
      <c r="CN691" s="78" t="n"/>
      <c r="CO691" s="209" t="n"/>
      <c r="CP691" s="204" t="n"/>
      <c r="CQ691" s="204" t="n"/>
      <c r="CR691" s="204" t="n"/>
      <c r="CS691" s="204" t="n"/>
      <c r="CT691" s="204" t="n"/>
      <c r="CU691" s="204" t="n"/>
      <c r="CV691" s="204" t="n"/>
      <c r="CW691" s="204" t="n"/>
    </row>
    <row r="692">
      <c r="BF692" s="78" t="n"/>
      <c r="BG692" s="78" t="n"/>
      <c r="BH692" s="78" t="n"/>
      <c r="BI692" s="78" t="n"/>
      <c r="BJ692" s="139" t="n"/>
      <c r="BK692" s="204" t="n"/>
      <c r="BL692" s="141" t="n"/>
      <c r="BM692" s="205" t="n"/>
      <c r="BN692" s="205" t="n"/>
      <c r="BO692" s="206" t="n"/>
      <c r="BP692" s="144" t="n"/>
      <c r="BQ692" s="141" t="n"/>
      <c r="BR692" s="207" t="n"/>
      <c r="BS692" s="207" t="n"/>
      <c r="BT692" s="207" t="n"/>
      <c r="BU692" s="207" t="n"/>
      <c r="BV692" s="208" t="n"/>
      <c r="BW692" s="207" t="n"/>
      <c r="BX692" s="207" t="n"/>
      <c r="BY692" s="204" t="n"/>
      <c r="BZ692" s="148" t="n"/>
      <c r="CA692" s="204" t="n"/>
      <c r="CB692" s="208" t="n"/>
      <c r="CC692" s="139" t="n"/>
      <c r="CD692" s="204" t="n"/>
      <c r="CE692" s="204" t="n"/>
      <c r="CF692" s="207" t="n"/>
      <c r="CG692" s="208" t="n"/>
      <c r="CH692" s="207" t="n"/>
      <c r="CI692" s="208" t="n"/>
      <c r="CJ692" s="204" t="n"/>
      <c r="CK692" s="208" t="n"/>
      <c r="CL692" s="208" t="n"/>
      <c r="CM692" s="208" t="n"/>
      <c r="CN692" s="78" t="n"/>
      <c r="CO692" s="209" t="n"/>
      <c r="CP692" s="204" t="n"/>
      <c r="CQ692" s="204" t="n"/>
      <c r="CR692" s="204" t="n"/>
      <c r="CS692" s="204" t="n"/>
      <c r="CT692" s="204" t="n"/>
      <c r="CU692" s="204" t="n"/>
      <c r="CV692" s="204" t="n"/>
      <c r="CW692" s="204" t="n"/>
    </row>
    <row r="693">
      <c r="BF693" s="78" t="n"/>
      <c r="BG693" s="78" t="n"/>
      <c r="BH693" s="78" t="n"/>
      <c r="BI693" s="78" t="n"/>
      <c r="BJ693" s="139" t="n"/>
      <c r="BK693" s="204" t="n"/>
      <c r="BL693" s="141" t="n"/>
      <c r="BM693" s="205" t="n"/>
      <c r="BN693" s="205" t="n"/>
      <c r="BO693" s="206" t="n"/>
      <c r="BP693" s="144" t="n"/>
      <c r="BQ693" s="141" t="n"/>
      <c r="BR693" s="207" t="n"/>
      <c r="BS693" s="207" t="n"/>
      <c r="BT693" s="207" t="n"/>
      <c r="BU693" s="207" t="n"/>
      <c r="BV693" s="208" t="n"/>
      <c r="BW693" s="207" t="n"/>
      <c r="BX693" s="207" t="n"/>
      <c r="BY693" s="204" t="n"/>
      <c r="BZ693" s="148" t="n"/>
      <c r="CA693" s="204" t="n"/>
      <c r="CB693" s="208" t="n"/>
      <c r="CC693" s="139" t="n"/>
      <c r="CD693" s="204" t="n"/>
      <c r="CE693" s="204" t="n"/>
      <c r="CF693" s="207" t="n"/>
      <c r="CG693" s="208" t="n"/>
      <c r="CH693" s="207" t="n"/>
      <c r="CI693" s="208" t="n"/>
      <c r="CJ693" s="204" t="n"/>
      <c r="CK693" s="208" t="n"/>
      <c r="CL693" s="208" t="n"/>
      <c r="CM693" s="208" t="n"/>
      <c r="CN693" s="78" t="n"/>
      <c r="CO693" s="209" t="n"/>
      <c r="CP693" s="204" t="n"/>
      <c r="CQ693" s="204" t="n"/>
      <c r="CR693" s="204" t="n"/>
      <c r="CS693" s="204" t="n"/>
      <c r="CT693" s="204" t="n"/>
      <c r="CU693" s="204" t="n"/>
      <c r="CV693" s="204" t="n"/>
      <c r="CW693" s="204" t="n"/>
    </row>
    <row r="694">
      <c r="BF694" s="78" t="n"/>
      <c r="BG694" s="78" t="n"/>
      <c r="BH694" s="78" t="n"/>
      <c r="BI694" s="78" t="n"/>
      <c r="BJ694" s="139" t="n"/>
      <c r="BK694" s="204" t="n"/>
      <c r="BL694" s="141" t="n"/>
      <c r="BM694" s="205" t="n"/>
      <c r="BN694" s="205" t="n"/>
      <c r="BO694" s="206" t="n"/>
      <c r="BP694" s="144" t="n"/>
      <c r="BQ694" s="141" t="n"/>
      <c r="BR694" s="207" t="n"/>
      <c r="BS694" s="207" t="n"/>
      <c r="BT694" s="207" t="n"/>
      <c r="BU694" s="207" t="n"/>
      <c r="BV694" s="208" t="n"/>
      <c r="BW694" s="207" t="n"/>
      <c r="BX694" s="207" t="n"/>
      <c r="BY694" s="204" t="n"/>
      <c r="BZ694" s="148" t="n"/>
      <c r="CA694" s="204" t="n"/>
      <c r="CB694" s="208" t="n"/>
      <c r="CC694" s="139" t="n"/>
      <c r="CD694" s="204" t="n"/>
      <c r="CE694" s="204" t="n"/>
      <c r="CF694" s="207" t="n"/>
      <c r="CG694" s="208" t="n"/>
      <c r="CH694" s="207" t="n"/>
      <c r="CI694" s="208" t="n"/>
      <c r="CJ694" s="204" t="n"/>
      <c r="CK694" s="208" t="n"/>
      <c r="CL694" s="208" t="n"/>
      <c r="CM694" s="208" t="n"/>
      <c r="CN694" s="78" t="n"/>
      <c r="CO694" s="209" t="n"/>
      <c r="CP694" s="204" t="n"/>
      <c r="CQ694" s="204" t="n"/>
      <c r="CR694" s="204" t="n"/>
      <c r="CS694" s="204" t="n"/>
      <c r="CT694" s="204" t="n"/>
      <c r="CU694" s="204" t="n"/>
      <c r="CV694" s="204" t="n"/>
      <c r="CW694" s="204" t="n"/>
    </row>
    <row r="695">
      <c r="BF695" s="78" t="n"/>
      <c r="BG695" s="78" t="n"/>
      <c r="BH695" s="78" t="n"/>
      <c r="BI695" s="78" t="n"/>
      <c r="BJ695" s="139" t="n"/>
      <c r="BK695" s="204" t="n"/>
      <c r="BL695" s="141" t="n"/>
      <c r="BM695" s="205" t="n"/>
      <c r="BN695" s="205" t="n"/>
      <c r="BO695" s="206" t="n"/>
      <c r="BP695" s="144" t="n"/>
      <c r="BQ695" s="141" t="n"/>
      <c r="BR695" s="207" t="n"/>
      <c r="BS695" s="207" t="n"/>
      <c r="BT695" s="207" t="n"/>
      <c r="BU695" s="207" t="n"/>
      <c r="BV695" s="208" t="n"/>
      <c r="BW695" s="207" t="n"/>
      <c r="BX695" s="207" t="n"/>
      <c r="BY695" s="204" t="n"/>
      <c r="BZ695" s="148" t="n"/>
      <c r="CA695" s="204" t="n"/>
      <c r="CB695" s="208" t="n"/>
      <c r="CC695" s="139" t="n"/>
      <c r="CD695" s="204" t="n"/>
      <c r="CE695" s="204" t="n"/>
      <c r="CF695" s="207" t="n"/>
      <c r="CG695" s="208" t="n"/>
      <c r="CH695" s="207" t="n"/>
      <c r="CI695" s="208" t="n"/>
      <c r="CJ695" s="204" t="n"/>
      <c r="CK695" s="208" t="n"/>
      <c r="CL695" s="208" t="n"/>
      <c r="CM695" s="208" t="n"/>
      <c r="CN695" s="78" t="n"/>
      <c r="CO695" s="209" t="n"/>
      <c r="CP695" s="204" t="n"/>
      <c r="CQ695" s="204" t="n"/>
      <c r="CR695" s="204" t="n"/>
      <c r="CS695" s="204" t="n"/>
      <c r="CT695" s="204" t="n"/>
      <c r="CU695" s="204" t="n"/>
      <c r="CV695" s="204" t="n"/>
      <c r="CW695" s="204" t="n"/>
    </row>
    <row r="696">
      <c r="BF696" s="78" t="n"/>
      <c r="BG696" s="78" t="n"/>
      <c r="BH696" s="78" t="n"/>
      <c r="BI696" s="78" t="n"/>
      <c r="BJ696" s="139" t="n"/>
      <c r="BK696" s="204" t="n"/>
      <c r="BL696" s="141" t="n"/>
      <c r="BM696" s="205" t="n"/>
      <c r="BN696" s="205" t="n"/>
      <c r="BO696" s="206" t="n"/>
      <c r="BP696" s="144" t="n"/>
      <c r="BQ696" s="141" t="n"/>
      <c r="BR696" s="207" t="n"/>
      <c r="BS696" s="207" t="n"/>
      <c r="BT696" s="207" t="n"/>
      <c r="BU696" s="207" t="n"/>
      <c r="BV696" s="208" t="n"/>
      <c r="BW696" s="207" t="n"/>
      <c r="BX696" s="207" t="n"/>
      <c r="BY696" s="204" t="n"/>
      <c r="BZ696" s="148" t="n"/>
      <c r="CA696" s="204" t="n"/>
      <c r="CB696" s="208" t="n"/>
      <c r="CC696" s="139" t="n"/>
      <c r="CD696" s="204" t="n"/>
      <c r="CE696" s="204" t="n"/>
      <c r="CF696" s="207" t="n"/>
      <c r="CG696" s="208" t="n"/>
      <c r="CH696" s="207" t="n"/>
      <c r="CI696" s="208" t="n"/>
      <c r="CJ696" s="204" t="n"/>
      <c r="CK696" s="208" t="n"/>
      <c r="CL696" s="208" t="n"/>
      <c r="CM696" s="208" t="n"/>
      <c r="CN696" s="78" t="n"/>
      <c r="CO696" s="209" t="n"/>
      <c r="CP696" s="204" t="n"/>
      <c r="CQ696" s="204" t="n"/>
      <c r="CR696" s="204" t="n"/>
      <c r="CS696" s="204" t="n"/>
      <c r="CT696" s="204" t="n"/>
      <c r="CU696" s="204" t="n"/>
      <c r="CV696" s="204" t="n"/>
      <c r="CW696" s="204" t="n"/>
    </row>
    <row r="697">
      <c r="AR697" s="151" t="n"/>
      <c r="BF697" s="78" t="n"/>
      <c r="BG697" s="78" t="n"/>
      <c r="BH697" s="78" t="n"/>
      <c r="BI697" s="78" t="n"/>
      <c r="BJ697" s="139" t="n"/>
      <c r="BK697" s="204" t="n"/>
      <c r="BL697" s="141" t="n"/>
      <c r="BM697" s="205" t="n"/>
      <c r="BN697" s="205" t="n"/>
      <c r="BO697" s="206" t="n"/>
      <c r="BP697" s="144" t="n"/>
      <c r="BQ697" s="141" t="n"/>
      <c r="BR697" s="207" t="n"/>
      <c r="BS697" s="207" t="n"/>
      <c r="BT697" s="207" t="n"/>
      <c r="BU697" s="207" t="n"/>
      <c r="BV697" s="208" t="n"/>
      <c r="BW697" s="207" t="n"/>
      <c r="BX697" s="207" t="n"/>
      <c r="BY697" s="204" t="n"/>
      <c r="BZ697" s="148" t="n"/>
      <c r="CA697" s="204" t="n"/>
      <c r="CB697" s="208" t="n"/>
      <c r="CC697" s="139" t="n"/>
      <c r="CD697" s="204" t="n"/>
      <c r="CE697" s="204" t="n"/>
      <c r="CF697" s="207" t="n"/>
      <c r="CG697" s="208" t="n"/>
      <c r="CH697" s="207" t="n"/>
      <c r="CI697" s="208" t="n"/>
      <c r="CJ697" s="204" t="n"/>
      <c r="CK697" s="208" t="n"/>
      <c r="CL697" s="208" t="n"/>
      <c r="CM697" s="208" t="n"/>
      <c r="CN697" s="78" t="n"/>
      <c r="CO697" s="209" t="n"/>
      <c r="CP697" s="204" t="n"/>
      <c r="CQ697" s="204" t="n"/>
      <c r="CR697" s="204" t="n"/>
      <c r="CS697" s="204" t="n"/>
      <c r="CT697" s="204" t="n"/>
      <c r="CU697" s="204" t="n"/>
      <c r="CV697" s="204" t="n"/>
      <c r="CW697" s="204" t="n"/>
    </row>
    <row r="698">
      <c r="AR698" s="151" t="n"/>
      <c r="BF698" s="78" t="n"/>
      <c r="BG698" s="78" t="n"/>
      <c r="BH698" s="78" t="n"/>
      <c r="BI698" s="78" t="n"/>
      <c r="BJ698" s="139" t="n"/>
      <c r="BK698" s="204" t="n"/>
      <c r="BL698" s="141" t="n"/>
      <c r="BM698" s="205" t="n"/>
      <c r="BN698" s="205" t="n"/>
      <c r="BO698" s="206" t="n"/>
      <c r="BP698" s="144" t="n"/>
      <c r="BQ698" s="141" t="n"/>
      <c r="BR698" s="207" t="n"/>
      <c r="BS698" s="207" t="n"/>
      <c r="BT698" s="207" t="n"/>
      <c r="BU698" s="207" t="n"/>
      <c r="BV698" s="208" t="n"/>
      <c r="BW698" s="207" t="n"/>
      <c r="BX698" s="207" t="n"/>
      <c r="BY698" s="204" t="n"/>
      <c r="BZ698" s="148" t="n"/>
      <c r="CA698" s="204" t="n"/>
      <c r="CB698" s="208" t="n"/>
      <c r="CC698" s="139" t="n"/>
      <c r="CD698" s="204" t="n"/>
      <c r="CE698" s="204" t="n"/>
      <c r="CF698" s="207" t="n"/>
      <c r="CG698" s="208" t="n"/>
      <c r="CH698" s="207" t="n"/>
      <c r="CI698" s="208" t="n"/>
      <c r="CJ698" s="204" t="n"/>
      <c r="CK698" s="208" t="n"/>
      <c r="CL698" s="208" t="n"/>
      <c r="CM698" s="208" t="n"/>
      <c r="CN698" s="78" t="n"/>
      <c r="CO698" s="209" t="n"/>
      <c r="CP698" s="204" t="n"/>
      <c r="CQ698" s="204" t="n"/>
      <c r="CR698" s="204" t="n"/>
      <c r="CS698" s="204" t="n"/>
      <c r="CT698" s="204" t="n"/>
      <c r="CU698" s="204" t="n"/>
      <c r="CV698" s="204" t="n"/>
      <c r="CW698" s="204" t="n"/>
    </row>
    <row r="699">
      <c r="BF699" s="78" t="n"/>
      <c r="BG699" s="78" t="n"/>
      <c r="BH699" s="78" t="n"/>
      <c r="BI699" s="78" t="n"/>
      <c r="BJ699" s="139" t="n"/>
      <c r="BK699" s="204" t="n"/>
      <c r="BL699" s="141" t="n"/>
      <c r="BM699" s="205" t="n"/>
      <c r="BN699" s="205" t="n"/>
      <c r="BO699" s="206" t="n"/>
      <c r="BP699" s="144" t="n"/>
      <c r="BQ699" s="141" t="n"/>
      <c r="BR699" s="207" t="n"/>
      <c r="BS699" s="207" t="n"/>
      <c r="BT699" s="207" t="n"/>
      <c r="BU699" s="207" t="n"/>
      <c r="BV699" s="208" t="n"/>
      <c r="BW699" s="207" t="n"/>
      <c r="BX699" s="207" t="n"/>
      <c r="BY699" s="204" t="n"/>
      <c r="BZ699" s="148" t="n"/>
      <c r="CA699" s="204" t="n"/>
      <c r="CB699" s="208" t="n"/>
      <c r="CC699" s="139" t="n"/>
      <c r="CD699" s="204" t="n"/>
      <c r="CE699" s="204" t="n"/>
      <c r="CF699" s="207" t="n"/>
      <c r="CG699" s="208" t="n"/>
      <c r="CH699" s="207" t="n"/>
      <c r="CI699" s="208" t="n"/>
      <c r="CJ699" s="204" t="n"/>
      <c r="CK699" s="208" t="n"/>
      <c r="CL699" s="208" t="n"/>
      <c r="CM699" s="208" t="n"/>
      <c r="CN699" s="78" t="n"/>
      <c r="CO699" s="209" t="n"/>
      <c r="CP699" s="204" t="n"/>
      <c r="CQ699" s="204" t="n"/>
      <c r="CR699" s="204" t="n"/>
      <c r="CS699" s="204" t="n"/>
      <c r="CT699" s="204" t="n"/>
      <c r="CU699" s="204" t="n"/>
      <c r="CV699" s="204" t="n"/>
      <c r="CW699" s="204" t="n"/>
    </row>
    <row r="700">
      <c r="BF700" s="78" t="n"/>
      <c r="BG700" s="78" t="n"/>
      <c r="BH700" s="78" t="n"/>
      <c r="BI700" s="78" t="n"/>
      <c r="BJ700" s="139" t="n"/>
      <c r="BK700" s="204" t="n"/>
      <c r="BL700" s="141" t="n"/>
      <c r="BM700" s="205" t="n"/>
      <c r="BN700" s="205" t="n"/>
      <c r="BO700" s="206" t="n"/>
      <c r="BP700" s="144" t="n"/>
      <c r="BQ700" s="141" t="n"/>
      <c r="BR700" s="207" t="n"/>
      <c r="BS700" s="207" t="n"/>
      <c r="BT700" s="207" t="n"/>
      <c r="BU700" s="207" t="n"/>
      <c r="BV700" s="208" t="n"/>
      <c r="BW700" s="207" t="n"/>
      <c r="BX700" s="207" t="n"/>
      <c r="BY700" s="204" t="n"/>
      <c r="BZ700" s="148" t="n"/>
      <c r="CA700" s="204" t="n"/>
      <c r="CB700" s="208" t="n"/>
      <c r="CC700" s="139" t="n"/>
      <c r="CD700" s="204" t="n"/>
      <c r="CE700" s="204" t="n"/>
      <c r="CF700" s="207" t="n"/>
      <c r="CG700" s="208" t="n"/>
      <c r="CH700" s="207" t="n"/>
      <c r="CI700" s="208" t="n"/>
      <c r="CJ700" s="204" t="n"/>
      <c r="CK700" s="208" t="n"/>
      <c r="CL700" s="208" t="n"/>
      <c r="CM700" s="208" t="n"/>
      <c r="CN700" s="78" t="n"/>
      <c r="CO700" s="209" t="n"/>
      <c r="CP700" s="204" t="n"/>
      <c r="CQ700" s="204" t="n"/>
      <c r="CR700" s="204" t="n"/>
      <c r="CS700" s="204" t="n"/>
      <c r="CT700" s="204" t="n"/>
      <c r="CU700" s="204" t="n"/>
      <c r="CV700" s="204" t="n"/>
      <c r="CW700" s="204" t="n"/>
    </row>
    <row r="701">
      <c r="BF701" s="78" t="n"/>
      <c r="BG701" s="78" t="n"/>
      <c r="BH701" s="78" t="n"/>
      <c r="BI701" s="78" t="n"/>
      <c r="BJ701" s="139" t="n"/>
      <c r="BK701" s="204" t="n"/>
      <c r="BL701" s="141" t="n"/>
      <c r="BM701" s="205" t="n"/>
      <c r="BN701" s="205" t="n"/>
      <c r="BO701" s="206" t="n"/>
      <c r="BP701" s="144" t="n"/>
      <c r="BQ701" s="141" t="n"/>
      <c r="BR701" s="207" t="n"/>
      <c r="BS701" s="207" t="n"/>
      <c r="BT701" s="207" t="n"/>
      <c r="BU701" s="207" t="n"/>
      <c r="BV701" s="208" t="n"/>
      <c r="BW701" s="207" t="n"/>
      <c r="BX701" s="207" t="n"/>
      <c r="BY701" s="204" t="n"/>
      <c r="BZ701" s="148" t="n"/>
      <c r="CA701" s="204" t="n"/>
      <c r="CB701" s="208" t="n"/>
      <c r="CC701" s="139" t="n"/>
      <c r="CD701" s="204" t="n"/>
      <c r="CE701" s="204" t="n"/>
      <c r="CF701" s="207" t="n"/>
      <c r="CG701" s="208" t="n"/>
      <c r="CH701" s="207" t="n"/>
      <c r="CI701" s="208" t="n"/>
      <c r="CJ701" s="204" t="n"/>
      <c r="CK701" s="208" t="n"/>
      <c r="CL701" s="208" t="n"/>
      <c r="CM701" s="208" t="n"/>
      <c r="CN701" s="78" t="n"/>
      <c r="CO701" s="209" t="n"/>
      <c r="CP701" s="204" t="n"/>
      <c r="CQ701" s="204" t="n"/>
      <c r="CR701" s="204" t="n"/>
      <c r="CS701" s="204" t="n"/>
      <c r="CT701" s="204" t="n"/>
      <c r="CU701" s="204" t="n"/>
      <c r="CV701" s="204" t="n"/>
      <c r="CW701" s="204" t="n"/>
    </row>
    <row r="702">
      <c r="BF702" s="78" t="n"/>
      <c r="BG702" s="78" t="n"/>
      <c r="BH702" s="78" t="n"/>
      <c r="BI702" s="78" t="n"/>
      <c r="BJ702" s="139" t="n"/>
      <c r="BK702" s="204" t="n"/>
      <c r="BL702" s="141" t="n"/>
      <c r="BM702" s="205" t="n"/>
      <c r="BN702" s="205" t="n"/>
      <c r="BO702" s="206" t="n"/>
      <c r="BP702" s="144" t="n"/>
      <c r="BQ702" s="141" t="n"/>
      <c r="BR702" s="207" t="n"/>
      <c r="BS702" s="207" t="n"/>
      <c r="BT702" s="207" t="n"/>
      <c r="BU702" s="207" t="n"/>
      <c r="BV702" s="208" t="n"/>
      <c r="BW702" s="207" t="n"/>
      <c r="BX702" s="207" t="n"/>
      <c r="BY702" s="204" t="n"/>
      <c r="BZ702" s="148" t="n"/>
      <c r="CA702" s="204" t="n"/>
      <c r="CB702" s="208" t="n"/>
      <c r="CC702" s="139" t="n"/>
      <c r="CD702" s="204" t="n"/>
      <c r="CE702" s="204" t="n"/>
      <c r="CF702" s="207" t="n"/>
      <c r="CG702" s="208" t="n"/>
      <c r="CH702" s="207" t="n"/>
      <c r="CI702" s="208" t="n"/>
      <c r="CJ702" s="204" t="n"/>
      <c r="CK702" s="208" t="n"/>
      <c r="CL702" s="208" t="n"/>
      <c r="CM702" s="208" t="n"/>
      <c r="CN702" s="78" t="n"/>
      <c r="CO702" s="209" t="n"/>
      <c r="CP702" s="204" t="n"/>
      <c r="CQ702" s="204" t="n"/>
      <c r="CR702" s="204" t="n"/>
      <c r="CS702" s="204" t="n"/>
      <c r="CT702" s="204" t="n"/>
      <c r="CU702" s="204" t="n"/>
      <c r="CV702" s="204" t="n"/>
      <c r="CW702" s="204" t="n"/>
    </row>
    <row r="703">
      <c r="BF703" s="78" t="n"/>
      <c r="BG703" s="78" t="n"/>
      <c r="BH703" s="78" t="n"/>
      <c r="BI703" s="78" t="n"/>
      <c r="BJ703" s="139" t="n"/>
      <c r="BK703" s="204" t="n"/>
      <c r="BL703" s="141" t="n"/>
      <c r="BM703" s="205" t="n"/>
      <c r="BN703" s="205" t="n"/>
      <c r="BO703" s="206" t="n"/>
      <c r="BP703" s="144" t="n"/>
      <c r="BQ703" s="141" t="n"/>
      <c r="BR703" s="207" t="n"/>
      <c r="BS703" s="207" t="n"/>
      <c r="BT703" s="207" t="n"/>
      <c r="BU703" s="207" t="n"/>
      <c r="BV703" s="208" t="n"/>
      <c r="BW703" s="207" t="n"/>
      <c r="BX703" s="207" t="n"/>
      <c r="BY703" s="204" t="n"/>
      <c r="BZ703" s="148" t="n"/>
      <c r="CA703" s="204" t="n"/>
      <c r="CB703" s="208" t="n"/>
      <c r="CC703" s="139" t="n"/>
      <c r="CD703" s="204" t="n"/>
      <c r="CE703" s="204" t="n"/>
      <c r="CF703" s="207" t="n"/>
      <c r="CG703" s="208" t="n"/>
      <c r="CH703" s="207" t="n"/>
      <c r="CI703" s="208" t="n"/>
      <c r="CJ703" s="204" t="n"/>
      <c r="CK703" s="208" t="n"/>
      <c r="CL703" s="208" t="n"/>
      <c r="CM703" s="208" t="n"/>
      <c r="CN703" s="78" t="n"/>
      <c r="CO703" s="209" t="n"/>
      <c r="CP703" s="204" t="n"/>
      <c r="CQ703" s="204" t="n"/>
      <c r="CR703" s="204" t="n"/>
      <c r="CS703" s="204" t="n"/>
      <c r="CT703" s="204" t="n"/>
      <c r="CU703" s="204" t="n"/>
      <c r="CV703" s="204" t="n"/>
      <c r="CW703" s="204" t="n"/>
    </row>
    <row r="704">
      <c r="BF704" s="78" t="n"/>
      <c r="BG704" s="78" t="n"/>
      <c r="BH704" s="78" t="n"/>
      <c r="BI704" s="78" t="n"/>
      <c r="BJ704" s="139" t="n"/>
      <c r="BK704" s="204" t="n"/>
      <c r="BL704" s="141" t="n"/>
      <c r="BM704" s="205" t="n"/>
      <c r="BN704" s="205" t="n"/>
      <c r="BO704" s="206" t="n"/>
      <c r="BP704" s="144" t="n"/>
      <c r="BQ704" s="141" t="n"/>
      <c r="BR704" s="207" t="n"/>
      <c r="BS704" s="207" t="n"/>
      <c r="BT704" s="207" t="n"/>
      <c r="BU704" s="207" t="n"/>
      <c r="BV704" s="208" t="n"/>
      <c r="BW704" s="207" t="n"/>
      <c r="BX704" s="207" t="n"/>
      <c r="BY704" s="204" t="n"/>
      <c r="BZ704" s="148" t="n"/>
      <c r="CA704" s="204" t="n"/>
      <c r="CB704" s="208" t="n"/>
      <c r="CC704" s="139" t="n"/>
      <c r="CD704" s="204" t="n"/>
      <c r="CE704" s="204" t="n"/>
      <c r="CF704" s="207" t="n"/>
      <c r="CG704" s="208" t="n"/>
      <c r="CH704" s="207" t="n"/>
      <c r="CI704" s="208" t="n"/>
      <c r="CJ704" s="204" t="n"/>
      <c r="CK704" s="208" t="n"/>
      <c r="CL704" s="208" t="n"/>
      <c r="CM704" s="208" t="n"/>
      <c r="CN704" s="78" t="n"/>
      <c r="CO704" s="209" t="n"/>
      <c r="CP704" s="204" t="n"/>
      <c r="CQ704" s="204" t="n"/>
      <c r="CR704" s="204" t="n"/>
      <c r="CS704" s="204" t="n"/>
      <c r="CT704" s="204" t="n"/>
      <c r="CU704" s="204" t="n"/>
      <c r="CV704" s="204" t="n"/>
      <c r="CW704" s="204" t="n"/>
    </row>
    <row r="705">
      <c r="BF705" s="78" t="n"/>
      <c r="BG705" s="78" t="n"/>
      <c r="BH705" s="78" t="n"/>
      <c r="BI705" s="78" t="n"/>
      <c r="BJ705" s="139" t="n"/>
      <c r="BK705" s="204" t="n"/>
      <c r="BL705" s="141" t="n"/>
      <c r="BM705" s="205" t="n"/>
      <c r="BN705" s="205" t="n"/>
      <c r="BO705" s="206" t="n"/>
      <c r="BP705" s="144" t="n"/>
      <c r="BQ705" s="141" t="n"/>
      <c r="BR705" s="207" t="n"/>
      <c r="BS705" s="207" t="n"/>
      <c r="BT705" s="207" t="n"/>
      <c r="BU705" s="207" t="n"/>
      <c r="BV705" s="208" t="n"/>
      <c r="BW705" s="207" t="n"/>
      <c r="BX705" s="207" t="n"/>
      <c r="BY705" s="204" t="n"/>
      <c r="BZ705" s="148" t="n"/>
      <c r="CA705" s="204" t="n"/>
      <c r="CB705" s="208" t="n"/>
      <c r="CC705" s="139" t="n"/>
      <c r="CD705" s="204" t="n"/>
      <c r="CE705" s="204" t="n"/>
      <c r="CF705" s="207" t="n"/>
      <c r="CG705" s="208" t="n"/>
      <c r="CH705" s="207" t="n"/>
      <c r="CI705" s="208" t="n"/>
      <c r="CJ705" s="204" t="n"/>
      <c r="CK705" s="208" t="n"/>
      <c r="CL705" s="208" t="n"/>
      <c r="CM705" s="208" t="n"/>
      <c r="CN705" s="78" t="n"/>
      <c r="CO705" s="209" t="n"/>
      <c r="CP705" s="204" t="n"/>
      <c r="CQ705" s="204" t="n"/>
      <c r="CR705" s="204" t="n"/>
      <c r="CS705" s="204" t="n"/>
      <c r="CT705" s="204" t="n"/>
      <c r="CU705" s="204" t="n"/>
      <c r="CV705" s="204" t="n"/>
      <c r="CW705" s="204" t="n"/>
    </row>
    <row r="706">
      <c r="BF706" s="78" t="n"/>
      <c r="BG706" s="78" t="n"/>
      <c r="BH706" s="78" t="n"/>
      <c r="BI706" s="78" t="n"/>
      <c r="BJ706" s="139" t="n"/>
      <c r="BK706" s="204" t="n"/>
      <c r="BL706" s="141" t="n"/>
      <c r="BM706" s="205" t="n"/>
      <c r="BN706" s="205" t="n"/>
      <c r="BO706" s="206" t="n"/>
      <c r="BP706" s="144" t="n"/>
      <c r="BQ706" s="141" t="n"/>
      <c r="BR706" s="207" t="n"/>
      <c r="BS706" s="207" t="n"/>
      <c r="BT706" s="207" t="n"/>
      <c r="BU706" s="207" t="n"/>
      <c r="BV706" s="208" t="n"/>
      <c r="BW706" s="207" t="n"/>
      <c r="BX706" s="207" t="n"/>
      <c r="BY706" s="204" t="n"/>
      <c r="BZ706" s="148" t="n"/>
      <c r="CA706" s="204" t="n"/>
      <c r="CB706" s="208" t="n"/>
      <c r="CC706" s="139" t="n"/>
      <c r="CD706" s="204" t="n"/>
      <c r="CE706" s="204" t="n"/>
      <c r="CF706" s="207" t="n"/>
      <c r="CG706" s="208" t="n"/>
      <c r="CH706" s="207" t="n"/>
      <c r="CI706" s="208" t="n"/>
      <c r="CJ706" s="204" t="n"/>
      <c r="CK706" s="208" t="n"/>
      <c r="CL706" s="208" t="n"/>
      <c r="CM706" s="208" t="n"/>
      <c r="CN706" s="78" t="n"/>
      <c r="CO706" s="209" t="n"/>
      <c r="CP706" s="204" t="n"/>
      <c r="CQ706" s="204" t="n"/>
      <c r="CR706" s="204" t="n"/>
      <c r="CS706" s="204" t="n"/>
      <c r="CT706" s="204" t="n"/>
      <c r="CU706" s="204" t="n"/>
      <c r="CV706" s="204" t="n"/>
      <c r="CW706" s="204" t="n"/>
    </row>
    <row r="707">
      <c r="BF707" s="78" t="n"/>
      <c r="BG707" s="78" t="n"/>
      <c r="BH707" s="78" t="n"/>
      <c r="BI707" s="78" t="n"/>
      <c r="BJ707" s="139" t="n"/>
      <c r="BK707" s="204" t="n"/>
      <c r="BL707" s="141" t="n"/>
      <c r="BM707" s="205" t="n"/>
      <c r="BN707" s="205" t="n"/>
      <c r="BO707" s="206" t="n"/>
      <c r="BP707" s="144" t="n"/>
      <c r="BQ707" s="141" t="n"/>
      <c r="BR707" s="207" t="n"/>
      <c r="BS707" s="207" t="n"/>
      <c r="BT707" s="207" t="n"/>
      <c r="BU707" s="207" t="n"/>
      <c r="BV707" s="208" t="n"/>
      <c r="BW707" s="207" t="n"/>
      <c r="BX707" s="207" t="n"/>
      <c r="BY707" s="204" t="n"/>
      <c r="BZ707" s="148" t="n"/>
      <c r="CA707" s="204" t="n"/>
      <c r="CB707" s="208" t="n"/>
      <c r="CC707" s="139" t="n"/>
      <c r="CD707" s="204" t="n"/>
      <c r="CE707" s="204" t="n"/>
      <c r="CF707" s="207" t="n"/>
      <c r="CG707" s="208" t="n"/>
      <c r="CH707" s="207" t="n"/>
      <c r="CI707" s="208" t="n"/>
      <c r="CJ707" s="204" t="n"/>
      <c r="CK707" s="208" t="n"/>
      <c r="CL707" s="208" t="n"/>
      <c r="CM707" s="208" t="n"/>
      <c r="CN707" s="78" t="n"/>
      <c r="CO707" s="209" t="n"/>
      <c r="CP707" s="204" t="n"/>
      <c r="CQ707" s="204" t="n"/>
      <c r="CR707" s="204" t="n"/>
      <c r="CS707" s="204" t="n"/>
      <c r="CT707" s="204" t="n"/>
      <c r="CU707" s="204" t="n"/>
      <c r="CV707" s="204" t="n"/>
      <c r="CW707" s="204" t="n"/>
    </row>
    <row r="708">
      <c r="BF708" s="78" t="n"/>
      <c r="BG708" s="78" t="n"/>
      <c r="BH708" s="78" t="n"/>
      <c r="BI708" s="78" t="n"/>
      <c r="BJ708" s="139" t="n"/>
      <c r="BK708" s="204" t="n"/>
      <c r="BL708" s="141" t="n"/>
      <c r="BM708" s="205" t="n"/>
      <c r="BN708" s="205" t="n"/>
      <c r="BO708" s="206" t="n"/>
      <c r="BP708" s="144" t="n"/>
      <c r="BQ708" s="141" t="n"/>
      <c r="BR708" s="207" t="n"/>
      <c r="BS708" s="207" t="n"/>
      <c r="BT708" s="207" t="n"/>
      <c r="BU708" s="207" t="n"/>
      <c r="BV708" s="208" t="n"/>
      <c r="BW708" s="207" t="n"/>
      <c r="BX708" s="207" t="n"/>
      <c r="BY708" s="204" t="n"/>
      <c r="BZ708" s="148" t="n"/>
      <c r="CA708" s="204" t="n"/>
      <c r="CB708" s="208" t="n"/>
      <c r="CC708" s="139" t="n"/>
      <c r="CD708" s="204" t="n"/>
      <c r="CE708" s="204" t="n"/>
      <c r="CF708" s="207" t="n"/>
      <c r="CG708" s="208" t="n"/>
      <c r="CH708" s="207" t="n"/>
      <c r="CI708" s="208" t="n"/>
      <c r="CJ708" s="204" t="n"/>
      <c r="CK708" s="208" t="n"/>
      <c r="CL708" s="208" t="n"/>
      <c r="CM708" s="208" t="n"/>
      <c r="CN708" s="78" t="n"/>
      <c r="CO708" s="209" t="n"/>
      <c r="CP708" s="204" t="n"/>
      <c r="CQ708" s="204" t="n"/>
      <c r="CR708" s="204" t="n"/>
      <c r="CS708" s="204" t="n"/>
      <c r="CT708" s="204" t="n"/>
      <c r="CU708" s="204" t="n"/>
      <c r="CV708" s="204" t="n"/>
      <c r="CW708" s="204" t="n"/>
    </row>
    <row r="709">
      <c r="BF709" s="78" t="n"/>
      <c r="BG709" s="78" t="n"/>
      <c r="BH709" s="78" t="n"/>
      <c r="BI709" s="78" t="n"/>
      <c r="BJ709" s="139" t="n"/>
      <c r="BK709" s="204" t="n"/>
      <c r="BL709" s="141" t="n"/>
      <c r="BM709" s="205" t="n"/>
      <c r="BN709" s="205" t="n"/>
      <c r="BO709" s="206" t="n"/>
      <c r="BP709" s="144" t="n"/>
      <c r="BQ709" s="141" t="n"/>
      <c r="BR709" s="207" t="n"/>
      <c r="BS709" s="207" t="n"/>
      <c r="BT709" s="207" t="n"/>
      <c r="BU709" s="207" t="n"/>
      <c r="BV709" s="208" t="n"/>
      <c r="BW709" s="207" t="n"/>
      <c r="BX709" s="207" t="n"/>
      <c r="BY709" s="204" t="n"/>
      <c r="BZ709" s="148" t="n"/>
      <c r="CA709" s="204" t="n"/>
      <c r="CB709" s="208" t="n"/>
      <c r="CC709" s="139" t="n"/>
      <c r="CD709" s="204" t="n"/>
      <c r="CE709" s="204" t="n"/>
      <c r="CF709" s="207" t="n"/>
      <c r="CG709" s="208" t="n"/>
      <c r="CH709" s="207" t="n"/>
      <c r="CI709" s="208" t="n"/>
      <c r="CJ709" s="204" t="n"/>
      <c r="CK709" s="208" t="n"/>
      <c r="CL709" s="208" t="n"/>
      <c r="CM709" s="208" t="n"/>
      <c r="CN709" s="78" t="n"/>
      <c r="CO709" s="209" t="n"/>
      <c r="CP709" s="204" t="n"/>
      <c r="CQ709" s="204" t="n"/>
      <c r="CR709" s="204" t="n"/>
      <c r="CS709" s="204" t="n"/>
      <c r="CT709" s="204" t="n"/>
      <c r="CU709" s="204" t="n"/>
      <c r="CV709" s="204" t="n"/>
      <c r="CW709" s="204" t="n"/>
    </row>
    <row r="710">
      <c r="BF710" s="78" t="n"/>
      <c r="BG710" s="78" t="n"/>
      <c r="BH710" s="78" t="n"/>
      <c r="BI710" s="78" t="n"/>
      <c r="BJ710" s="139" t="n"/>
      <c r="BK710" s="204" t="n"/>
      <c r="BL710" s="141" t="n"/>
      <c r="BM710" s="205" t="n"/>
      <c r="BN710" s="205" t="n"/>
      <c r="BO710" s="206" t="n"/>
      <c r="BP710" s="144" t="n"/>
      <c r="BQ710" s="141" t="n"/>
      <c r="BR710" s="207" t="n"/>
      <c r="BS710" s="207" t="n"/>
      <c r="BT710" s="207" t="n"/>
      <c r="BU710" s="207" t="n"/>
      <c r="BV710" s="208" t="n"/>
      <c r="BW710" s="207" t="n"/>
      <c r="BX710" s="207" t="n"/>
      <c r="BY710" s="204" t="n"/>
      <c r="BZ710" s="148" t="n"/>
      <c r="CA710" s="204" t="n"/>
      <c r="CB710" s="208" t="n"/>
      <c r="CC710" s="139" t="n"/>
      <c r="CD710" s="204" t="n"/>
      <c r="CE710" s="204" t="n"/>
      <c r="CF710" s="207" t="n"/>
      <c r="CG710" s="208" t="n"/>
      <c r="CH710" s="207" t="n"/>
      <c r="CI710" s="208" t="n"/>
      <c r="CJ710" s="204" t="n"/>
      <c r="CK710" s="208" t="n"/>
      <c r="CL710" s="208" t="n"/>
      <c r="CM710" s="208" t="n"/>
      <c r="CN710" s="78" t="n"/>
      <c r="CO710" s="209" t="n"/>
      <c r="CP710" s="204" t="n"/>
      <c r="CQ710" s="204" t="n"/>
      <c r="CR710" s="204" t="n"/>
      <c r="CS710" s="204" t="n"/>
      <c r="CT710" s="204" t="n"/>
      <c r="CU710" s="204" t="n"/>
      <c r="CV710" s="204" t="n"/>
      <c r="CW710" s="204" t="n"/>
    </row>
    <row r="711">
      <c r="BF711" s="78" t="n"/>
      <c r="BG711" s="78" t="n"/>
      <c r="BH711" s="78" t="n"/>
      <c r="BI711" s="78" t="n"/>
      <c r="BJ711" s="139" t="n"/>
      <c r="BK711" s="204" t="n"/>
      <c r="BL711" s="141" t="n"/>
      <c r="BM711" s="205" t="n"/>
      <c r="BN711" s="205" t="n"/>
      <c r="BO711" s="206" t="n"/>
      <c r="BP711" s="144" t="n"/>
      <c r="BQ711" s="141" t="n"/>
      <c r="BR711" s="207" t="n"/>
      <c r="BS711" s="207" t="n"/>
      <c r="BT711" s="207" t="n"/>
      <c r="BU711" s="207" t="n"/>
      <c r="BV711" s="208" t="n"/>
      <c r="BW711" s="207" t="n"/>
      <c r="BX711" s="207" t="n"/>
      <c r="BY711" s="204" t="n"/>
      <c r="BZ711" s="148" t="n"/>
      <c r="CA711" s="204" t="n"/>
      <c r="CB711" s="208" t="n"/>
      <c r="CC711" s="139" t="n"/>
      <c r="CD711" s="204" t="n"/>
      <c r="CE711" s="204" t="n"/>
      <c r="CF711" s="207" t="n"/>
      <c r="CG711" s="208" t="n"/>
      <c r="CH711" s="207" t="n"/>
      <c r="CI711" s="208" t="n"/>
      <c r="CJ711" s="204" t="n"/>
      <c r="CK711" s="208" t="n"/>
      <c r="CL711" s="208" t="n"/>
      <c r="CM711" s="208" t="n"/>
      <c r="CN711" s="78" t="n"/>
      <c r="CO711" s="209" t="n"/>
      <c r="CP711" s="204" t="n"/>
      <c r="CQ711" s="204" t="n"/>
      <c r="CR711" s="204" t="n"/>
      <c r="CS711" s="204" t="n"/>
      <c r="CT711" s="204" t="n"/>
      <c r="CU711" s="204" t="n"/>
      <c r="CV711" s="204" t="n"/>
      <c r="CW711" s="204" t="n"/>
    </row>
    <row r="712">
      <c r="BF712" s="78" t="n"/>
      <c r="BG712" s="78" t="n"/>
      <c r="BH712" s="78" t="n"/>
      <c r="BI712" s="78" t="n"/>
      <c r="BJ712" s="139" t="n"/>
      <c r="BK712" s="204" t="n"/>
      <c r="BL712" s="141" t="n"/>
      <c r="BM712" s="205" t="n"/>
      <c r="BN712" s="205" t="n"/>
      <c r="BO712" s="206" t="n"/>
      <c r="BP712" s="144" t="n"/>
      <c r="BQ712" s="141" t="n"/>
      <c r="BR712" s="207" t="n"/>
      <c r="BS712" s="207" t="n"/>
      <c r="BT712" s="207" t="n"/>
      <c r="BU712" s="207" t="n"/>
      <c r="BV712" s="208" t="n"/>
      <c r="BW712" s="207" t="n"/>
      <c r="BX712" s="207" t="n"/>
      <c r="BY712" s="204" t="n"/>
      <c r="BZ712" s="148" t="n"/>
      <c r="CA712" s="204" t="n"/>
      <c r="CB712" s="208" t="n"/>
      <c r="CC712" s="139" t="n"/>
      <c r="CD712" s="204" t="n"/>
      <c r="CE712" s="204" t="n"/>
      <c r="CF712" s="207" t="n"/>
      <c r="CG712" s="208" t="n"/>
      <c r="CH712" s="207" t="n"/>
      <c r="CI712" s="208" t="n"/>
      <c r="CJ712" s="204" t="n"/>
      <c r="CK712" s="208" t="n"/>
      <c r="CL712" s="208" t="n"/>
      <c r="CM712" s="208" t="n"/>
      <c r="CN712" s="78" t="n"/>
      <c r="CO712" s="209" t="n"/>
      <c r="CP712" s="204" t="n"/>
      <c r="CQ712" s="204" t="n"/>
      <c r="CR712" s="204" t="n"/>
      <c r="CS712" s="204" t="n"/>
      <c r="CT712" s="204" t="n"/>
      <c r="CU712" s="204" t="n"/>
      <c r="CV712" s="204" t="n"/>
      <c r="CW712" s="204" t="n"/>
    </row>
    <row r="713">
      <c r="BF713" s="78" t="n"/>
      <c r="BG713" s="78" t="n"/>
      <c r="BH713" s="78" t="n"/>
      <c r="BI713" s="78" t="n"/>
      <c r="BJ713" s="139" t="n"/>
      <c r="BK713" s="204" t="n"/>
      <c r="BL713" s="141" t="n"/>
      <c r="BM713" s="205" t="n"/>
      <c r="BN713" s="205" t="n"/>
      <c r="BO713" s="206" t="n"/>
      <c r="BP713" s="144" t="n"/>
      <c r="BQ713" s="141" t="n"/>
      <c r="BR713" s="207" t="n"/>
      <c r="BS713" s="207" t="n"/>
      <c r="BT713" s="207" t="n"/>
      <c r="BU713" s="207" t="n"/>
      <c r="BV713" s="208" t="n"/>
      <c r="BW713" s="207" t="n"/>
      <c r="BX713" s="207" t="n"/>
      <c r="BY713" s="204" t="n"/>
      <c r="BZ713" s="148" t="n"/>
      <c r="CA713" s="204" t="n"/>
      <c r="CB713" s="208" t="n"/>
      <c r="CC713" s="139" t="n"/>
      <c r="CD713" s="204" t="n"/>
      <c r="CE713" s="204" t="n"/>
      <c r="CF713" s="207" t="n"/>
      <c r="CG713" s="208" t="n"/>
      <c r="CH713" s="207" t="n"/>
      <c r="CI713" s="208" t="n"/>
      <c r="CJ713" s="204" t="n"/>
      <c r="CK713" s="208" t="n"/>
      <c r="CL713" s="208" t="n"/>
      <c r="CM713" s="208" t="n"/>
      <c r="CN713" s="78" t="n"/>
      <c r="CO713" s="209" t="n"/>
      <c r="CP713" s="204" t="n"/>
      <c r="CQ713" s="204" t="n"/>
      <c r="CR713" s="204" t="n"/>
      <c r="CS713" s="204" t="n"/>
      <c r="CT713" s="204" t="n"/>
      <c r="CU713" s="204" t="n"/>
      <c r="CV713" s="204" t="n"/>
      <c r="CW713" s="204" t="n"/>
    </row>
    <row r="714">
      <c r="BF714" s="78" t="n"/>
      <c r="BG714" s="78" t="n"/>
      <c r="BH714" s="78" t="n"/>
      <c r="BI714" s="78" t="n"/>
      <c r="BJ714" s="139" t="n"/>
      <c r="BK714" s="204" t="n"/>
      <c r="BL714" s="141" t="n"/>
      <c r="BM714" s="205" t="n"/>
      <c r="BN714" s="205" t="n"/>
      <c r="BO714" s="206" t="n"/>
      <c r="BP714" s="144" t="n"/>
      <c r="BQ714" s="141" t="n"/>
      <c r="BR714" s="207" t="n"/>
      <c r="BS714" s="207" t="n"/>
      <c r="BT714" s="207" t="n"/>
      <c r="BU714" s="207" t="n"/>
      <c r="BV714" s="208" t="n"/>
      <c r="BW714" s="207" t="n"/>
      <c r="BX714" s="207" t="n"/>
      <c r="BY714" s="204" t="n"/>
      <c r="BZ714" s="148" t="n"/>
      <c r="CA714" s="204" t="n"/>
      <c r="CB714" s="208" t="n"/>
      <c r="CC714" s="139" t="n"/>
      <c r="CD714" s="204" t="n"/>
      <c r="CE714" s="204" t="n"/>
      <c r="CF714" s="207" t="n"/>
      <c r="CG714" s="208" t="n"/>
      <c r="CH714" s="207" t="n"/>
      <c r="CI714" s="208" t="n"/>
      <c r="CJ714" s="204" t="n"/>
      <c r="CK714" s="208" t="n"/>
      <c r="CL714" s="208" t="n"/>
      <c r="CM714" s="208" t="n"/>
      <c r="CN714" s="78" t="n"/>
      <c r="CO714" s="209" t="n"/>
      <c r="CP714" s="204" t="n"/>
      <c r="CQ714" s="204" t="n"/>
      <c r="CR714" s="204" t="n"/>
      <c r="CS714" s="204" t="n"/>
      <c r="CT714" s="204" t="n"/>
      <c r="CU714" s="204" t="n"/>
      <c r="CV714" s="204" t="n"/>
      <c r="CW714" s="204" t="n"/>
    </row>
    <row r="715">
      <c r="BF715" s="78" t="n"/>
      <c r="BG715" s="78" t="n"/>
      <c r="BH715" s="78" t="n"/>
      <c r="BI715" s="78" t="n"/>
      <c r="BJ715" s="139" t="n"/>
      <c r="BK715" s="204" t="n"/>
      <c r="BL715" s="141" t="n"/>
      <c r="BM715" s="205" t="n"/>
      <c r="BN715" s="205" t="n"/>
      <c r="BO715" s="206" t="n"/>
      <c r="BP715" s="144" t="n"/>
      <c r="BQ715" s="141" t="n"/>
      <c r="BR715" s="207" t="n"/>
      <c r="BS715" s="207" t="n"/>
      <c r="BT715" s="207" t="n"/>
      <c r="BU715" s="207" t="n"/>
      <c r="BV715" s="208" t="n"/>
      <c r="BW715" s="207" t="n"/>
      <c r="BX715" s="207" t="n"/>
      <c r="BY715" s="204" t="n"/>
      <c r="BZ715" s="148" t="n"/>
      <c r="CA715" s="204" t="n"/>
      <c r="CB715" s="208" t="n"/>
      <c r="CC715" s="139" t="n"/>
      <c r="CD715" s="204" t="n"/>
      <c r="CE715" s="204" t="n"/>
      <c r="CF715" s="207" t="n"/>
      <c r="CG715" s="208" t="n"/>
      <c r="CH715" s="207" t="n"/>
      <c r="CI715" s="208" t="n"/>
      <c r="CJ715" s="204" t="n"/>
      <c r="CK715" s="208" t="n"/>
      <c r="CL715" s="208" t="n"/>
      <c r="CM715" s="208" t="n"/>
      <c r="CN715" s="78" t="n"/>
      <c r="CO715" s="209" t="n"/>
      <c r="CP715" s="204" t="n"/>
      <c r="CQ715" s="204" t="n"/>
      <c r="CR715" s="204" t="n"/>
      <c r="CS715" s="204" t="n"/>
      <c r="CT715" s="204" t="n"/>
      <c r="CU715" s="204" t="n"/>
      <c r="CV715" s="204" t="n"/>
      <c r="CW715" s="204" t="n"/>
    </row>
    <row r="716">
      <c r="BF716" s="78" t="n"/>
      <c r="BG716" s="78" t="n"/>
      <c r="BH716" s="78" t="n"/>
      <c r="BI716" s="78" t="n"/>
      <c r="BJ716" s="139" t="n"/>
      <c r="BK716" s="204" t="n"/>
      <c r="BL716" s="141" t="n"/>
      <c r="BM716" s="205" t="n"/>
      <c r="BN716" s="205" t="n"/>
      <c r="BO716" s="206" t="n"/>
      <c r="BP716" s="144" t="n"/>
      <c r="BQ716" s="141" t="n"/>
      <c r="BR716" s="207" t="n"/>
      <c r="BS716" s="207" t="n"/>
      <c r="BT716" s="207" t="n"/>
      <c r="BU716" s="207" t="n"/>
      <c r="BV716" s="208" t="n"/>
      <c r="BW716" s="207" t="n"/>
      <c r="BX716" s="207" t="n"/>
      <c r="BY716" s="204" t="n"/>
      <c r="BZ716" s="148" t="n"/>
      <c r="CA716" s="204" t="n"/>
      <c r="CB716" s="208" t="n"/>
      <c r="CC716" s="139" t="n"/>
      <c r="CD716" s="204" t="n"/>
      <c r="CE716" s="204" t="n"/>
      <c r="CF716" s="207" t="n"/>
      <c r="CG716" s="208" t="n"/>
      <c r="CH716" s="207" t="n"/>
      <c r="CI716" s="208" t="n"/>
      <c r="CJ716" s="204" t="n"/>
      <c r="CK716" s="208" t="n"/>
      <c r="CL716" s="208" t="n"/>
      <c r="CM716" s="208" t="n"/>
      <c r="CN716" s="78" t="n"/>
      <c r="CO716" s="209" t="n"/>
      <c r="CP716" s="204" t="n"/>
      <c r="CQ716" s="204" t="n"/>
      <c r="CR716" s="204" t="n"/>
      <c r="CS716" s="204" t="n"/>
      <c r="CT716" s="204" t="n"/>
      <c r="CU716" s="204" t="n"/>
      <c r="CV716" s="204" t="n"/>
      <c r="CW716" s="204" t="n"/>
    </row>
    <row r="717">
      <c r="BF717" s="78" t="n"/>
      <c r="BG717" s="78" t="n"/>
      <c r="BH717" s="78" t="n"/>
      <c r="BI717" s="78" t="n"/>
      <c r="BJ717" s="139" t="n"/>
      <c r="BK717" s="204" t="n"/>
      <c r="BL717" s="141" t="n"/>
      <c r="BM717" s="205" t="n"/>
      <c r="BN717" s="205" t="n"/>
      <c r="BO717" s="206" t="n"/>
      <c r="BP717" s="144" t="n"/>
      <c r="BQ717" s="141" t="n"/>
      <c r="BR717" s="207" t="n"/>
      <c r="BS717" s="207" t="n"/>
      <c r="BT717" s="207" t="n"/>
      <c r="BU717" s="207" t="n"/>
      <c r="BV717" s="208" t="n"/>
      <c r="BW717" s="207" t="n"/>
      <c r="BX717" s="207" t="n"/>
      <c r="BY717" s="204" t="n"/>
      <c r="BZ717" s="148" t="n"/>
      <c r="CA717" s="204" t="n"/>
      <c r="CB717" s="208" t="n"/>
      <c r="CC717" s="139" t="n"/>
      <c r="CD717" s="204" t="n"/>
      <c r="CE717" s="204" t="n"/>
      <c r="CF717" s="207" t="n"/>
      <c r="CG717" s="208" t="n"/>
      <c r="CH717" s="207" t="n"/>
      <c r="CI717" s="208" t="n"/>
      <c r="CJ717" s="204" t="n"/>
      <c r="CK717" s="208" t="n"/>
      <c r="CL717" s="208" t="n"/>
      <c r="CM717" s="208" t="n"/>
      <c r="CN717" s="78" t="n"/>
      <c r="CO717" s="209" t="n"/>
      <c r="CP717" s="204" t="n"/>
      <c r="CQ717" s="204" t="n"/>
      <c r="CR717" s="204" t="n"/>
      <c r="CS717" s="204" t="n"/>
      <c r="CT717" s="204" t="n"/>
      <c r="CU717" s="204" t="n"/>
      <c r="CV717" s="204" t="n"/>
      <c r="CW717" s="204" t="n"/>
    </row>
    <row r="718">
      <c r="BF718" s="78" t="n"/>
      <c r="BG718" s="78" t="n"/>
      <c r="BH718" s="78" t="n"/>
      <c r="BI718" s="78" t="n"/>
      <c r="BJ718" s="139" t="n"/>
      <c r="BK718" s="204" t="n"/>
      <c r="BL718" s="141" t="n"/>
      <c r="BM718" s="205" t="n"/>
      <c r="BN718" s="205" t="n"/>
      <c r="BO718" s="206" t="n"/>
      <c r="BP718" s="144" t="n"/>
      <c r="BQ718" s="141" t="n"/>
      <c r="BR718" s="207" t="n"/>
      <c r="BS718" s="207" t="n"/>
      <c r="BT718" s="207" t="n"/>
      <c r="BU718" s="207" t="n"/>
      <c r="BV718" s="208" t="n"/>
      <c r="BW718" s="207" t="n"/>
      <c r="BX718" s="207" t="n"/>
      <c r="BY718" s="204" t="n"/>
      <c r="BZ718" s="148" t="n"/>
      <c r="CA718" s="204" t="n"/>
      <c r="CB718" s="208" t="n"/>
      <c r="CC718" s="139" t="n"/>
      <c r="CD718" s="204" t="n"/>
      <c r="CE718" s="204" t="n"/>
      <c r="CF718" s="207" t="n"/>
      <c r="CG718" s="208" t="n"/>
      <c r="CH718" s="207" t="n"/>
      <c r="CI718" s="208" t="n"/>
      <c r="CJ718" s="204" t="n"/>
      <c r="CK718" s="208" t="n"/>
      <c r="CL718" s="208" t="n"/>
      <c r="CM718" s="208" t="n"/>
      <c r="CN718" s="78" t="n"/>
      <c r="CO718" s="209" t="n"/>
      <c r="CP718" s="204" t="n"/>
      <c r="CQ718" s="204" t="n"/>
      <c r="CR718" s="204" t="n"/>
      <c r="CS718" s="204" t="n"/>
      <c r="CT718" s="204" t="n"/>
      <c r="CU718" s="204" t="n"/>
      <c r="CV718" s="204" t="n"/>
      <c r="CW718" s="204" t="n"/>
    </row>
    <row r="719">
      <c r="BF719" s="78" t="n"/>
      <c r="BG719" s="78" t="n"/>
      <c r="BH719" s="78" t="n"/>
      <c r="BI719" s="78" t="n"/>
      <c r="BJ719" s="139" t="n"/>
      <c r="BK719" s="204" t="n"/>
      <c r="BL719" s="141" t="n"/>
      <c r="BM719" s="205" t="n"/>
      <c r="BN719" s="205" t="n"/>
      <c r="BO719" s="206" t="n"/>
      <c r="BP719" s="144" t="n"/>
      <c r="BQ719" s="141" t="n"/>
      <c r="BR719" s="207" t="n"/>
      <c r="BS719" s="207" t="n"/>
      <c r="BT719" s="207" t="n"/>
      <c r="BU719" s="207" t="n"/>
      <c r="BV719" s="208" t="n"/>
      <c r="BW719" s="207" t="n"/>
      <c r="BX719" s="207" t="n"/>
      <c r="BY719" s="204" t="n"/>
      <c r="BZ719" s="148" t="n"/>
      <c r="CA719" s="204" t="n"/>
      <c r="CB719" s="208" t="n"/>
      <c r="CC719" s="139" t="n"/>
      <c r="CD719" s="204" t="n"/>
      <c r="CE719" s="204" t="n"/>
      <c r="CF719" s="207" t="n"/>
      <c r="CG719" s="208" t="n"/>
      <c r="CH719" s="207" t="n"/>
      <c r="CI719" s="208" t="n"/>
      <c r="CJ719" s="204" t="n"/>
      <c r="CK719" s="208" t="n"/>
      <c r="CL719" s="208" t="n"/>
      <c r="CM719" s="208" t="n"/>
      <c r="CN719" s="78" t="n"/>
      <c r="CO719" s="209" t="n"/>
      <c r="CP719" s="204" t="n"/>
      <c r="CQ719" s="204" t="n"/>
      <c r="CR719" s="204" t="n"/>
      <c r="CS719" s="204" t="n"/>
      <c r="CT719" s="204" t="n"/>
      <c r="CU719" s="204" t="n"/>
      <c r="CV719" s="204" t="n"/>
      <c r="CW719" s="204" t="n"/>
    </row>
    <row r="720">
      <c r="BF720" s="78" t="n"/>
      <c r="BG720" s="78" t="n"/>
      <c r="BH720" s="78" t="n"/>
      <c r="BI720" s="78" t="n"/>
      <c r="BJ720" s="139" t="n"/>
      <c r="BK720" s="204" t="n"/>
      <c r="BL720" s="141" t="n"/>
      <c r="BM720" s="205" t="n"/>
      <c r="BN720" s="205" t="n"/>
      <c r="BO720" s="206" t="n"/>
      <c r="BP720" s="144" t="n"/>
      <c r="BQ720" s="141" t="n"/>
      <c r="BR720" s="207" t="n"/>
      <c r="BS720" s="207" t="n"/>
      <c r="BT720" s="207" t="n"/>
      <c r="BU720" s="207" t="n"/>
      <c r="BV720" s="208" t="n"/>
      <c r="BW720" s="207" t="n"/>
      <c r="BX720" s="207" t="n"/>
      <c r="BY720" s="204" t="n"/>
      <c r="BZ720" s="148" t="n"/>
      <c r="CA720" s="204" t="n"/>
      <c r="CB720" s="208" t="n"/>
      <c r="CC720" s="139" t="n"/>
      <c r="CD720" s="204" t="n"/>
      <c r="CE720" s="204" t="n"/>
      <c r="CF720" s="207" t="n"/>
      <c r="CG720" s="208" t="n"/>
      <c r="CH720" s="207" t="n"/>
      <c r="CI720" s="208" t="n"/>
      <c r="CJ720" s="204" t="n"/>
      <c r="CK720" s="208" t="n"/>
      <c r="CL720" s="208" t="n"/>
      <c r="CM720" s="208" t="n"/>
      <c r="CN720" s="78" t="n"/>
      <c r="CO720" s="209" t="n"/>
      <c r="CP720" s="204" t="n"/>
      <c r="CQ720" s="204" t="n"/>
      <c r="CR720" s="204" t="n"/>
      <c r="CS720" s="204" t="n"/>
      <c r="CT720" s="204" t="n"/>
      <c r="CU720" s="204" t="n"/>
      <c r="CV720" s="204" t="n"/>
      <c r="CW720" s="204" t="n"/>
    </row>
    <row r="721">
      <c r="BF721" s="78" t="n"/>
      <c r="BG721" s="78" t="n"/>
      <c r="BH721" s="78" t="n"/>
      <c r="BI721" s="78" t="n"/>
      <c r="BJ721" s="139" t="n"/>
      <c r="BK721" s="204" t="n"/>
      <c r="BL721" s="141" t="n"/>
      <c r="BM721" s="205" t="n"/>
      <c r="BN721" s="205" t="n"/>
      <c r="BO721" s="206" t="n"/>
      <c r="BP721" s="144" t="n"/>
      <c r="BQ721" s="141" t="n"/>
      <c r="BR721" s="207" t="n"/>
      <c r="BS721" s="207" t="n"/>
      <c r="BT721" s="207" t="n"/>
      <c r="BU721" s="207" t="n"/>
      <c r="BV721" s="208" t="n"/>
      <c r="BW721" s="207" t="n"/>
      <c r="BX721" s="207" t="n"/>
      <c r="BY721" s="204" t="n"/>
      <c r="BZ721" s="148" t="n"/>
      <c r="CA721" s="204" t="n"/>
      <c r="CB721" s="208" t="n"/>
      <c r="CC721" s="139" t="n"/>
      <c r="CD721" s="204" t="n"/>
      <c r="CE721" s="204" t="n"/>
      <c r="CF721" s="207" t="n"/>
      <c r="CG721" s="208" t="n"/>
      <c r="CH721" s="207" t="n"/>
      <c r="CI721" s="208" t="n"/>
      <c r="CJ721" s="204" t="n"/>
      <c r="CK721" s="208" t="n"/>
      <c r="CL721" s="208" t="n"/>
      <c r="CM721" s="208" t="n"/>
      <c r="CN721" s="78" t="n"/>
      <c r="CO721" s="209" t="n"/>
      <c r="CP721" s="204" t="n"/>
      <c r="CQ721" s="204" t="n"/>
      <c r="CR721" s="204" t="n"/>
      <c r="CS721" s="204" t="n"/>
      <c r="CT721" s="204" t="n"/>
      <c r="CU721" s="204" t="n"/>
      <c r="CV721" s="204" t="n"/>
      <c r="CW721" s="204" t="n"/>
    </row>
    <row r="722">
      <c r="BF722" s="78" t="n"/>
      <c r="BG722" s="78" t="n"/>
      <c r="BH722" s="78" t="n"/>
      <c r="BI722" s="78" t="n"/>
      <c r="BJ722" s="139" t="n"/>
      <c r="BK722" s="204" t="n"/>
      <c r="BL722" s="141" t="n"/>
      <c r="BM722" s="205" t="n"/>
      <c r="BN722" s="205" t="n"/>
      <c r="BO722" s="206" t="n"/>
      <c r="BP722" s="144" t="n"/>
      <c r="BQ722" s="141" t="n"/>
      <c r="BR722" s="207" t="n"/>
      <c r="BS722" s="207" t="n"/>
      <c r="BT722" s="207" t="n"/>
      <c r="BU722" s="207" t="n"/>
      <c r="BV722" s="208" t="n"/>
      <c r="BW722" s="207" t="n"/>
      <c r="BX722" s="207" t="n"/>
      <c r="BY722" s="204" t="n"/>
      <c r="BZ722" s="148" t="n"/>
      <c r="CA722" s="204" t="n"/>
      <c r="CB722" s="208" t="n"/>
      <c r="CC722" s="139" t="n"/>
      <c r="CD722" s="204" t="n"/>
      <c r="CE722" s="204" t="n"/>
      <c r="CF722" s="207" t="n"/>
      <c r="CG722" s="208" t="n"/>
      <c r="CH722" s="207" t="n"/>
      <c r="CI722" s="208" t="n"/>
      <c r="CJ722" s="204" t="n"/>
      <c r="CK722" s="208" t="n"/>
      <c r="CL722" s="208" t="n"/>
      <c r="CM722" s="208" t="n"/>
      <c r="CN722" s="78" t="n"/>
      <c r="CO722" s="209" t="n"/>
      <c r="CP722" s="204" t="n"/>
      <c r="CQ722" s="204" t="n"/>
      <c r="CR722" s="204" t="n"/>
      <c r="CS722" s="204" t="n"/>
      <c r="CT722" s="204" t="n"/>
      <c r="CU722" s="204" t="n"/>
      <c r="CV722" s="204" t="n"/>
      <c r="CW722" s="204" t="n"/>
    </row>
    <row r="723">
      <c r="BF723" s="78" t="n"/>
      <c r="BG723" s="78" t="n"/>
      <c r="BH723" s="78" t="n"/>
      <c r="BI723" s="78" t="n"/>
      <c r="BJ723" s="139" t="n"/>
      <c r="BK723" s="204" t="n"/>
      <c r="BL723" s="141" t="n"/>
      <c r="BM723" s="205" t="n"/>
      <c r="BN723" s="205" t="n"/>
      <c r="BO723" s="206" t="n"/>
      <c r="BP723" s="144" t="n"/>
      <c r="BQ723" s="141" t="n"/>
      <c r="BR723" s="207" t="n"/>
      <c r="BS723" s="207" t="n"/>
      <c r="BT723" s="207" t="n"/>
      <c r="BU723" s="207" t="n"/>
      <c r="BV723" s="208" t="n"/>
      <c r="BW723" s="207" t="n"/>
      <c r="BX723" s="207" t="n"/>
      <c r="BY723" s="204" t="n"/>
      <c r="BZ723" s="148" t="n"/>
      <c r="CA723" s="204" t="n"/>
      <c r="CB723" s="208" t="n"/>
      <c r="CC723" s="139" t="n"/>
      <c r="CD723" s="204" t="n"/>
      <c r="CE723" s="204" t="n"/>
      <c r="CF723" s="207" t="n"/>
      <c r="CG723" s="208" t="n"/>
      <c r="CH723" s="207" t="n"/>
      <c r="CI723" s="208" t="n"/>
      <c r="CJ723" s="204" t="n"/>
      <c r="CK723" s="208" t="n"/>
      <c r="CL723" s="208" t="n"/>
      <c r="CM723" s="208" t="n"/>
      <c r="CN723" s="78" t="n"/>
      <c r="CO723" s="209" t="n"/>
      <c r="CP723" s="204" t="n"/>
      <c r="CQ723" s="204" t="n"/>
      <c r="CR723" s="204" t="n"/>
      <c r="CS723" s="204" t="n"/>
      <c r="CT723" s="204" t="n"/>
      <c r="CU723" s="204" t="n"/>
      <c r="CV723" s="204" t="n"/>
      <c r="CW723" s="204" t="n"/>
    </row>
    <row r="724">
      <c r="BF724" s="78" t="n"/>
      <c r="BG724" s="78" t="n"/>
      <c r="BH724" s="78" t="n"/>
      <c r="BI724" s="78" t="n"/>
      <c r="BJ724" s="139" t="n"/>
      <c r="BK724" s="204" t="n"/>
      <c r="BL724" s="141" t="n"/>
      <c r="BM724" s="205" t="n"/>
      <c r="BN724" s="205" t="n"/>
      <c r="BO724" s="206" t="n"/>
      <c r="BP724" s="144" t="n"/>
      <c r="BQ724" s="141" t="n"/>
      <c r="BR724" s="207" t="n"/>
      <c r="BS724" s="207" t="n"/>
      <c r="BT724" s="207" t="n"/>
      <c r="BU724" s="207" t="n"/>
      <c r="BV724" s="208" t="n"/>
      <c r="BW724" s="207" t="n"/>
      <c r="BX724" s="207" t="n"/>
      <c r="BY724" s="204" t="n"/>
      <c r="BZ724" s="148" t="n"/>
      <c r="CA724" s="204" t="n"/>
      <c r="CB724" s="208" t="n"/>
      <c r="CC724" s="139" t="n"/>
      <c r="CD724" s="204" t="n"/>
      <c r="CE724" s="204" t="n"/>
      <c r="CF724" s="207" t="n"/>
      <c r="CG724" s="208" t="n"/>
      <c r="CH724" s="207" t="n"/>
      <c r="CI724" s="208" t="n"/>
      <c r="CJ724" s="204" t="n"/>
      <c r="CK724" s="208" t="n"/>
      <c r="CL724" s="208" t="n"/>
      <c r="CM724" s="208" t="n"/>
      <c r="CN724" s="78" t="n"/>
      <c r="CO724" s="209" t="n"/>
      <c r="CP724" s="204" t="n"/>
      <c r="CQ724" s="204" t="n"/>
      <c r="CR724" s="204" t="n"/>
      <c r="CS724" s="204" t="n"/>
      <c r="CT724" s="204" t="n"/>
      <c r="CU724" s="204" t="n"/>
      <c r="CV724" s="204" t="n"/>
      <c r="CW724" s="204" t="n"/>
    </row>
    <row r="725">
      <c r="BF725" s="78" t="n"/>
      <c r="BG725" s="78" t="n"/>
      <c r="BH725" s="78" t="n"/>
      <c r="BI725" s="78" t="n"/>
      <c r="BJ725" s="139" t="n"/>
      <c r="BK725" s="204" t="n"/>
      <c r="BL725" s="141" t="n"/>
      <c r="BM725" s="205" t="n"/>
      <c r="BN725" s="205" t="n"/>
      <c r="BO725" s="206" t="n"/>
      <c r="BP725" s="144" t="n"/>
      <c r="BQ725" s="141" t="n"/>
      <c r="BR725" s="207" t="n"/>
      <c r="BS725" s="207" t="n"/>
      <c r="BT725" s="207" t="n"/>
      <c r="BU725" s="207" t="n"/>
      <c r="BV725" s="208" t="n"/>
      <c r="BW725" s="207" t="n"/>
      <c r="BX725" s="207" t="n"/>
      <c r="BY725" s="204" t="n"/>
      <c r="BZ725" s="148" t="n"/>
      <c r="CA725" s="204" t="n"/>
      <c r="CB725" s="208" t="n"/>
      <c r="CC725" s="139" t="n"/>
      <c r="CD725" s="204" t="n"/>
      <c r="CE725" s="204" t="n"/>
      <c r="CF725" s="207" t="n"/>
      <c r="CG725" s="208" t="n"/>
      <c r="CH725" s="207" t="n"/>
      <c r="CI725" s="208" t="n"/>
      <c r="CJ725" s="204" t="n"/>
      <c r="CK725" s="208" t="n"/>
      <c r="CL725" s="208" t="n"/>
      <c r="CM725" s="208" t="n"/>
      <c r="CN725" s="78" t="n"/>
      <c r="CO725" s="209" t="n"/>
      <c r="CP725" s="204" t="n"/>
      <c r="CQ725" s="204" t="n"/>
      <c r="CR725" s="204" t="n"/>
      <c r="CS725" s="204" t="n"/>
      <c r="CT725" s="204" t="n"/>
      <c r="CU725" s="204" t="n"/>
      <c r="CV725" s="204" t="n"/>
      <c r="CW725" s="204" t="n"/>
    </row>
    <row r="726">
      <c r="BF726" s="78" t="n"/>
      <c r="BG726" s="78" t="n"/>
      <c r="BH726" s="78" t="n"/>
      <c r="BI726" s="78" t="n"/>
      <c r="BJ726" s="139" t="n"/>
      <c r="BK726" s="204" t="n"/>
      <c r="BL726" s="141" t="n"/>
      <c r="BM726" s="205" t="n"/>
      <c r="BN726" s="205" t="n"/>
      <c r="BO726" s="206" t="n"/>
      <c r="BP726" s="144" t="n"/>
      <c r="BQ726" s="141" t="n"/>
      <c r="BR726" s="207" t="n"/>
      <c r="BS726" s="207" t="n"/>
      <c r="BT726" s="207" t="n"/>
      <c r="BU726" s="207" t="n"/>
      <c r="BV726" s="208" t="n"/>
      <c r="BW726" s="207" t="n"/>
      <c r="BX726" s="207" t="n"/>
      <c r="BY726" s="204" t="n"/>
      <c r="BZ726" s="148" t="n"/>
      <c r="CA726" s="204" t="n"/>
      <c r="CB726" s="208" t="n"/>
      <c r="CC726" s="139" t="n"/>
      <c r="CD726" s="204" t="n"/>
      <c r="CE726" s="204" t="n"/>
      <c r="CF726" s="207" t="n"/>
      <c r="CG726" s="208" t="n"/>
      <c r="CH726" s="207" t="n"/>
      <c r="CI726" s="208" t="n"/>
      <c r="CJ726" s="204" t="n"/>
      <c r="CK726" s="208" t="n"/>
      <c r="CL726" s="208" t="n"/>
      <c r="CM726" s="208" t="n"/>
      <c r="CN726" s="78" t="n"/>
      <c r="CO726" s="209" t="n"/>
      <c r="CP726" s="204" t="n"/>
      <c r="CQ726" s="204" t="n"/>
      <c r="CR726" s="204" t="n"/>
      <c r="CS726" s="204" t="n"/>
      <c r="CT726" s="204" t="n"/>
      <c r="CU726" s="204" t="n"/>
      <c r="CV726" s="204" t="n"/>
      <c r="CW726" s="204" t="n"/>
    </row>
    <row r="727">
      <c r="BF727" s="78" t="n"/>
      <c r="BG727" s="78" t="n"/>
      <c r="BH727" s="78" t="n"/>
      <c r="BI727" s="78" t="n"/>
      <c r="BJ727" s="139" t="n"/>
      <c r="BK727" s="204" t="n"/>
      <c r="BL727" s="141" t="n"/>
      <c r="BM727" s="205" t="n"/>
      <c r="BN727" s="205" t="n"/>
      <c r="BO727" s="206" t="n"/>
      <c r="BP727" s="144" t="n"/>
      <c r="BQ727" s="141" t="n"/>
      <c r="BR727" s="207" t="n"/>
      <c r="BS727" s="207" t="n"/>
      <c r="BT727" s="207" t="n"/>
      <c r="BU727" s="207" t="n"/>
      <c r="BV727" s="208" t="n"/>
      <c r="BW727" s="207" t="n"/>
      <c r="BX727" s="207" t="n"/>
      <c r="BY727" s="204" t="n"/>
      <c r="BZ727" s="148" t="n"/>
      <c r="CA727" s="204" t="n"/>
      <c r="CB727" s="208" t="n"/>
      <c r="CC727" s="139" t="n"/>
      <c r="CD727" s="204" t="n"/>
      <c r="CE727" s="204" t="n"/>
      <c r="CF727" s="207" t="n"/>
      <c r="CG727" s="208" t="n"/>
      <c r="CH727" s="207" t="n"/>
      <c r="CI727" s="208" t="n"/>
      <c r="CJ727" s="204" t="n"/>
      <c r="CK727" s="208" t="n"/>
      <c r="CL727" s="208" t="n"/>
      <c r="CM727" s="208" t="n"/>
      <c r="CN727" s="78" t="n"/>
      <c r="CO727" s="209" t="n"/>
      <c r="CP727" s="204" t="n"/>
      <c r="CQ727" s="204" t="n"/>
      <c r="CR727" s="204" t="n"/>
      <c r="CS727" s="204" t="n"/>
      <c r="CT727" s="204" t="n"/>
      <c r="CU727" s="204" t="n"/>
      <c r="CV727" s="204" t="n"/>
      <c r="CW727" s="204" t="n"/>
    </row>
    <row r="728">
      <c r="BF728" s="78" t="n"/>
      <c r="BG728" s="78" t="n"/>
      <c r="BH728" s="78" t="n"/>
      <c r="BI728" s="78" t="n"/>
      <c r="BJ728" s="139" t="n"/>
      <c r="BK728" s="204" t="n"/>
      <c r="BL728" s="141" t="n"/>
      <c r="BM728" s="205" t="n"/>
      <c r="BN728" s="205" t="n"/>
      <c r="BO728" s="206" t="n"/>
      <c r="BP728" s="144" t="n"/>
      <c r="BQ728" s="141" t="n"/>
      <c r="BR728" s="207" t="n"/>
      <c r="BS728" s="207" t="n"/>
      <c r="BT728" s="207" t="n"/>
      <c r="BU728" s="207" t="n"/>
      <c r="BV728" s="208" t="n"/>
      <c r="BW728" s="207" t="n"/>
      <c r="BX728" s="207" t="n"/>
      <c r="BY728" s="204" t="n"/>
      <c r="BZ728" s="148" t="n"/>
      <c r="CA728" s="204" t="n"/>
      <c r="CB728" s="208" t="n"/>
      <c r="CC728" s="139" t="n"/>
      <c r="CD728" s="204" t="n"/>
      <c r="CE728" s="204" t="n"/>
      <c r="CF728" s="207" t="n"/>
      <c r="CG728" s="208" t="n"/>
      <c r="CH728" s="207" t="n"/>
      <c r="CI728" s="208" t="n"/>
      <c r="CJ728" s="204" t="n"/>
      <c r="CK728" s="208" t="n"/>
      <c r="CL728" s="208" t="n"/>
      <c r="CM728" s="208" t="n"/>
      <c r="CN728" s="78" t="n"/>
      <c r="CO728" s="209" t="n"/>
      <c r="CP728" s="204" t="n"/>
      <c r="CQ728" s="204" t="n"/>
      <c r="CR728" s="204" t="n"/>
      <c r="CS728" s="204" t="n"/>
      <c r="CT728" s="204" t="n"/>
      <c r="CU728" s="204" t="n"/>
      <c r="CV728" s="204" t="n"/>
      <c r="CW728" s="204" t="n"/>
    </row>
    <row r="729">
      <c r="BF729" s="78" t="n"/>
      <c r="BG729" s="78" t="n"/>
      <c r="BH729" s="78" t="n"/>
      <c r="BI729" s="78" t="n"/>
      <c r="BJ729" s="139" t="n"/>
      <c r="BK729" s="204" t="n"/>
      <c r="BL729" s="141" t="n"/>
      <c r="BM729" s="205" t="n"/>
      <c r="BN729" s="205" t="n"/>
      <c r="BO729" s="206" t="n"/>
      <c r="BP729" s="144" t="n"/>
      <c r="BQ729" s="141" t="n"/>
      <c r="BR729" s="207" t="n"/>
      <c r="BS729" s="207" t="n"/>
      <c r="BT729" s="207" t="n"/>
      <c r="BU729" s="207" t="n"/>
      <c r="BV729" s="208" t="n"/>
      <c r="BW729" s="207" t="n"/>
      <c r="BX729" s="207" t="n"/>
      <c r="BY729" s="204" t="n"/>
      <c r="BZ729" s="148" t="n"/>
      <c r="CA729" s="204" t="n"/>
      <c r="CB729" s="208" t="n"/>
      <c r="CC729" s="139" t="n"/>
      <c r="CD729" s="204" t="n"/>
      <c r="CE729" s="204" t="n"/>
      <c r="CF729" s="207" t="n"/>
      <c r="CG729" s="208" t="n"/>
      <c r="CH729" s="207" t="n"/>
      <c r="CI729" s="208" t="n"/>
      <c r="CJ729" s="204" t="n"/>
      <c r="CK729" s="208" t="n"/>
      <c r="CL729" s="208" t="n"/>
      <c r="CM729" s="208" t="n"/>
      <c r="CN729" s="78" t="n"/>
      <c r="CO729" s="209" t="n"/>
      <c r="CP729" s="204" t="n"/>
      <c r="CQ729" s="204" t="n"/>
      <c r="CR729" s="204" t="n"/>
      <c r="CS729" s="204" t="n"/>
      <c r="CT729" s="204" t="n"/>
      <c r="CU729" s="204" t="n"/>
      <c r="CV729" s="204" t="n"/>
      <c r="CW729" s="204" t="n"/>
    </row>
    <row r="730">
      <c r="BF730" s="78" t="n"/>
      <c r="BG730" s="78" t="n"/>
      <c r="BH730" s="78" t="n"/>
      <c r="BI730" s="78" t="n"/>
      <c r="BJ730" s="139" t="n"/>
      <c r="BK730" s="204" t="n"/>
      <c r="BL730" s="141" t="n"/>
      <c r="BM730" s="205" t="n"/>
      <c r="BN730" s="205" t="n"/>
      <c r="BO730" s="206" t="n"/>
      <c r="BP730" s="144" t="n"/>
      <c r="BQ730" s="141" t="n"/>
      <c r="BR730" s="207" t="n"/>
      <c r="BS730" s="207" t="n"/>
      <c r="BT730" s="207" t="n"/>
      <c r="BU730" s="207" t="n"/>
      <c r="BV730" s="208" t="n"/>
      <c r="BW730" s="207" t="n"/>
      <c r="BX730" s="207" t="n"/>
      <c r="BY730" s="204" t="n"/>
      <c r="BZ730" s="148" t="n"/>
      <c r="CA730" s="204" t="n"/>
      <c r="CB730" s="208" t="n"/>
      <c r="CC730" s="139" t="n"/>
      <c r="CD730" s="204" t="n"/>
      <c r="CE730" s="204" t="n"/>
      <c r="CF730" s="207" t="n"/>
      <c r="CG730" s="208" t="n"/>
      <c r="CH730" s="207" t="n"/>
      <c r="CI730" s="208" t="n"/>
      <c r="CJ730" s="204" t="n"/>
      <c r="CK730" s="208" t="n"/>
      <c r="CL730" s="208" t="n"/>
      <c r="CM730" s="208" t="n"/>
      <c r="CN730" s="78" t="n"/>
      <c r="CO730" s="209" t="n"/>
      <c r="CP730" s="204" t="n"/>
      <c r="CQ730" s="204" t="n"/>
      <c r="CR730" s="204" t="n"/>
      <c r="CS730" s="204" t="n"/>
      <c r="CT730" s="204" t="n"/>
      <c r="CU730" s="204" t="n"/>
      <c r="CV730" s="204" t="n"/>
      <c r="CW730" s="204" t="n"/>
    </row>
    <row r="731">
      <c r="BF731" s="78" t="n"/>
      <c r="BG731" s="78" t="n"/>
      <c r="BH731" s="78" t="n"/>
      <c r="BI731" s="78" t="n"/>
      <c r="BJ731" s="139" t="n"/>
      <c r="BK731" s="204" t="n"/>
      <c r="BL731" s="141" t="n"/>
      <c r="BM731" s="205" t="n"/>
      <c r="BN731" s="205" t="n"/>
      <c r="BO731" s="206" t="n"/>
      <c r="BP731" s="144" t="n"/>
      <c r="BQ731" s="141" t="n"/>
      <c r="BR731" s="207" t="n"/>
      <c r="BS731" s="207" t="n"/>
      <c r="BT731" s="207" t="n"/>
      <c r="BU731" s="207" t="n"/>
      <c r="BV731" s="208" t="n"/>
      <c r="BW731" s="207" t="n"/>
      <c r="BX731" s="207" t="n"/>
      <c r="BY731" s="204" t="n"/>
      <c r="BZ731" s="148" t="n"/>
      <c r="CA731" s="204" t="n"/>
      <c r="CB731" s="208" t="n"/>
      <c r="CC731" s="139" t="n"/>
      <c r="CD731" s="204" t="n"/>
      <c r="CE731" s="204" t="n"/>
      <c r="CF731" s="207" t="n"/>
      <c r="CG731" s="208" t="n"/>
      <c r="CH731" s="207" t="n"/>
      <c r="CI731" s="208" t="n"/>
      <c r="CJ731" s="204" t="n"/>
      <c r="CK731" s="208" t="n"/>
      <c r="CL731" s="208" t="n"/>
      <c r="CM731" s="208" t="n"/>
      <c r="CN731" s="78" t="n"/>
      <c r="CO731" s="209" t="n"/>
      <c r="CP731" s="204" t="n"/>
      <c r="CQ731" s="204" t="n"/>
      <c r="CR731" s="204" t="n"/>
      <c r="CS731" s="204" t="n"/>
      <c r="CT731" s="204" t="n"/>
      <c r="CU731" s="204" t="n"/>
      <c r="CV731" s="204" t="n"/>
      <c r="CW731" s="204" t="n"/>
    </row>
    <row r="732">
      <c r="BF732" s="78" t="n"/>
      <c r="BG732" s="78" t="n"/>
      <c r="BH732" s="78" t="n"/>
      <c r="BI732" s="78" t="n"/>
      <c r="BJ732" s="139" t="n"/>
      <c r="BK732" s="204" t="n"/>
      <c r="BL732" s="141" t="n"/>
      <c r="BM732" s="205" t="n"/>
      <c r="BN732" s="205" t="n"/>
      <c r="BO732" s="206" t="n"/>
      <c r="BP732" s="144" t="n"/>
      <c r="BQ732" s="141" t="n"/>
      <c r="BR732" s="207" t="n"/>
      <c r="BS732" s="207" t="n"/>
      <c r="BT732" s="207" t="n"/>
      <c r="BU732" s="207" t="n"/>
      <c r="BV732" s="208" t="n"/>
      <c r="BW732" s="207" t="n"/>
      <c r="BX732" s="207" t="n"/>
      <c r="BY732" s="204" t="n"/>
      <c r="BZ732" s="148" t="n"/>
      <c r="CA732" s="204" t="n"/>
      <c r="CB732" s="208" t="n"/>
      <c r="CC732" s="139" t="n"/>
      <c r="CD732" s="204" t="n"/>
      <c r="CE732" s="204" t="n"/>
      <c r="CF732" s="207" t="n"/>
      <c r="CG732" s="208" t="n"/>
      <c r="CH732" s="207" t="n"/>
      <c r="CI732" s="208" t="n"/>
      <c r="CJ732" s="204" t="n"/>
      <c r="CK732" s="208" t="n"/>
      <c r="CL732" s="208" t="n"/>
      <c r="CM732" s="208" t="n"/>
      <c r="CN732" s="78" t="n"/>
      <c r="CO732" s="209" t="n"/>
      <c r="CP732" s="204" t="n"/>
      <c r="CQ732" s="204" t="n"/>
      <c r="CR732" s="204" t="n"/>
      <c r="CS732" s="204" t="n"/>
      <c r="CT732" s="204" t="n"/>
      <c r="CU732" s="204" t="n"/>
      <c r="CV732" s="204" t="n"/>
      <c r="CW732" s="204" t="n"/>
    </row>
    <row r="733">
      <c r="BF733" s="78" t="n"/>
      <c r="BG733" s="78" t="n"/>
      <c r="BH733" s="78" t="n"/>
      <c r="BI733" s="78" t="n"/>
      <c r="BJ733" s="139" t="n"/>
      <c r="BK733" s="204" t="n"/>
      <c r="BL733" s="141" t="n"/>
      <c r="BM733" s="205" t="n"/>
      <c r="BN733" s="205" t="n"/>
      <c r="BO733" s="206" t="n"/>
      <c r="BP733" s="144" t="n"/>
      <c r="BQ733" s="141" t="n"/>
      <c r="BR733" s="207" t="n"/>
      <c r="BS733" s="207" t="n"/>
      <c r="BT733" s="207" t="n"/>
      <c r="BU733" s="207" t="n"/>
      <c r="BV733" s="208" t="n"/>
      <c r="BW733" s="207" t="n"/>
      <c r="BX733" s="207" t="n"/>
      <c r="BY733" s="204" t="n"/>
      <c r="BZ733" s="148" t="n"/>
      <c r="CA733" s="204" t="n"/>
      <c r="CB733" s="208" t="n"/>
      <c r="CC733" s="139" t="n"/>
      <c r="CD733" s="204" t="n"/>
      <c r="CE733" s="204" t="n"/>
      <c r="CF733" s="207" t="n"/>
      <c r="CG733" s="208" t="n"/>
      <c r="CH733" s="207" t="n"/>
      <c r="CI733" s="208" t="n"/>
      <c r="CJ733" s="204" t="n"/>
      <c r="CK733" s="208" t="n"/>
      <c r="CL733" s="208" t="n"/>
      <c r="CM733" s="208" t="n"/>
      <c r="CN733" s="78" t="n"/>
      <c r="CO733" s="209" t="n"/>
      <c r="CP733" s="204" t="n"/>
      <c r="CQ733" s="204" t="n"/>
      <c r="CR733" s="204" t="n"/>
      <c r="CS733" s="204" t="n"/>
      <c r="CT733" s="204" t="n"/>
      <c r="CU733" s="204" t="n"/>
      <c r="CV733" s="204" t="n"/>
      <c r="CW733" s="204" t="n"/>
    </row>
    <row r="734">
      <c r="BF734" s="78" t="n"/>
      <c r="BG734" s="78" t="n"/>
      <c r="BH734" s="78" t="n"/>
      <c r="BI734" s="78" t="n"/>
      <c r="BJ734" s="139" t="n"/>
      <c r="BK734" s="204" t="n"/>
      <c r="BL734" s="141" t="n"/>
      <c r="BM734" s="205" t="n"/>
      <c r="BN734" s="205" t="n"/>
      <c r="BO734" s="206" t="n"/>
      <c r="BP734" s="144" t="n"/>
      <c r="BQ734" s="141" t="n"/>
      <c r="BR734" s="207" t="n"/>
      <c r="BS734" s="207" t="n"/>
      <c r="BT734" s="207" t="n"/>
      <c r="BU734" s="207" t="n"/>
      <c r="BV734" s="208" t="n"/>
      <c r="BW734" s="207" t="n"/>
      <c r="BX734" s="207" t="n"/>
      <c r="BY734" s="204" t="n"/>
      <c r="BZ734" s="148" t="n"/>
      <c r="CA734" s="204" t="n"/>
      <c r="CB734" s="208" t="n"/>
      <c r="CC734" s="139" t="n"/>
      <c r="CD734" s="204" t="n"/>
      <c r="CE734" s="204" t="n"/>
      <c r="CF734" s="207" t="n"/>
      <c r="CG734" s="208" t="n"/>
      <c r="CH734" s="207" t="n"/>
      <c r="CI734" s="208" t="n"/>
      <c r="CJ734" s="204" t="n"/>
      <c r="CK734" s="208" t="n"/>
      <c r="CL734" s="208" t="n"/>
      <c r="CM734" s="208" t="n"/>
      <c r="CN734" s="78" t="n"/>
      <c r="CO734" s="209" t="n"/>
      <c r="CP734" s="204" t="n"/>
      <c r="CQ734" s="204" t="n"/>
      <c r="CR734" s="204" t="n"/>
      <c r="CS734" s="204" t="n"/>
      <c r="CT734" s="204" t="n"/>
      <c r="CU734" s="204" t="n"/>
      <c r="CV734" s="204" t="n"/>
      <c r="CW734" s="204" t="n"/>
    </row>
    <row r="735">
      <c r="BF735" s="78" t="n"/>
      <c r="BG735" s="78" t="n"/>
      <c r="BH735" s="78" t="n"/>
      <c r="BI735" s="78" t="n"/>
      <c r="BJ735" s="139" t="n"/>
      <c r="BK735" s="204" t="n"/>
      <c r="BL735" s="141" t="n"/>
      <c r="BM735" s="205" t="n"/>
      <c r="BN735" s="205" t="n"/>
      <c r="BO735" s="206" t="n"/>
      <c r="BP735" s="144" t="n"/>
      <c r="BQ735" s="141" t="n"/>
      <c r="BR735" s="207" t="n"/>
      <c r="BS735" s="207" t="n"/>
      <c r="BT735" s="207" t="n"/>
      <c r="BU735" s="207" t="n"/>
      <c r="BV735" s="208" t="n"/>
      <c r="BW735" s="207" t="n"/>
      <c r="BX735" s="207" t="n"/>
      <c r="BY735" s="204" t="n"/>
      <c r="BZ735" s="148" t="n"/>
      <c r="CA735" s="204" t="n"/>
      <c r="CB735" s="208" t="n"/>
      <c r="CC735" s="139" t="n"/>
      <c r="CD735" s="204" t="n"/>
      <c r="CE735" s="204" t="n"/>
      <c r="CF735" s="207" t="n"/>
      <c r="CG735" s="208" t="n"/>
      <c r="CH735" s="207" t="n"/>
      <c r="CI735" s="208" t="n"/>
      <c r="CJ735" s="204" t="n"/>
      <c r="CK735" s="208" t="n"/>
      <c r="CL735" s="208" t="n"/>
      <c r="CM735" s="208" t="n"/>
      <c r="CN735" s="78" t="n"/>
      <c r="CO735" s="209" t="n"/>
      <c r="CP735" s="204" t="n"/>
      <c r="CQ735" s="204" t="n"/>
      <c r="CR735" s="204" t="n"/>
      <c r="CS735" s="204" t="n"/>
      <c r="CT735" s="204" t="n"/>
      <c r="CU735" s="204" t="n"/>
      <c r="CV735" s="204" t="n"/>
      <c r="CW735" s="204" t="n"/>
    </row>
    <row r="736">
      <c r="BF736" s="78" t="n"/>
      <c r="BG736" s="78" t="n"/>
      <c r="BH736" s="78" t="n"/>
      <c r="BI736" s="78" t="n"/>
      <c r="BJ736" s="139" t="n"/>
      <c r="BK736" s="204" t="n"/>
      <c r="BL736" s="141" t="n"/>
      <c r="BM736" s="205" t="n"/>
      <c r="BN736" s="205" t="n"/>
      <c r="BO736" s="206" t="n"/>
      <c r="BP736" s="144" t="n"/>
      <c r="BQ736" s="141" t="n"/>
      <c r="BR736" s="207" t="n"/>
      <c r="BS736" s="207" t="n"/>
      <c r="BT736" s="207" t="n"/>
      <c r="BU736" s="207" t="n"/>
      <c r="BV736" s="208" t="n"/>
      <c r="BW736" s="207" t="n"/>
      <c r="BX736" s="207" t="n"/>
      <c r="BY736" s="204" t="n"/>
      <c r="BZ736" s="148" t="n"/>
      <c r="CA736" s="204" t="n"/>
      <c r="CB736" s="208" t="n"/>
      <c r="CC736" s="139" t="n"/>
      <c r="CD736" s="204" t="n"/>
      <c r="CE736" s="204" t="n"/>
      <c r="CF736" s="207" t="n"/>
      <c r="CG736" s="208" t="n"/>
      <c r="CH736" s="207" t="n"/>
      <c r="CI736" s="208" t="n"/>
      <c r="CJ736" s="204" t="n"/>
      <c r="CK736" s="208" t="n"/>
      <c r="CL736" s="208" t="n"/>
      <c r="CM736" s="208" t="n"/>
      <c r="CN736" s="78" t="n"/>
      <c r="CO736" s="209" t="n"/>
      <c r="CP736" s="204" t="n"/>
      <c r="CQ736" s="204" t="n"/>
      <c r="CR736" s="204" t="n"/>
      <c r="CS736" s="204" t="n"/>
      <c r="CT736" s="204" t="n"/>
      <c r="CU736" s="204" t="n"/>
      <c r="CV736" s="204" t="n"/>
      <c r="CW736" s="204" t="n"/>
    </row>
    <row r="737">
      <c r="BF737" s="78" t="n"/>
      <c r="BG737" s="78" t="n"/>
      <c r="BH737" s="78" t="n"/>
      <c r="BI737" s="78" t="n"/>
      <c r="BJ737" s="139" t="n"/>
      <c r="BK737" s="204" t="n"/>
      <c r="BL737" s="141" t="n"/>
      <c r="BM737" s="205" t="n"/>
      <c r="BN737" s="205" t="n"/>
      <c r="BO737" s="206" t="n"/>
      <c r="BP737" s="144" t="n"/>
      <c r="BQ737" s="141" t="n"/>
      <c r="BR737" s="207" t="n"/>
      <c r="BS737" s="207" t="n"/>
      <c r="BT737" s="207" t="n"/>
      <c r="BU737" s="207" t="n"/>
      <c r="BV737" s="208" t="n"/>
      <c r="BW737" s="207" t="n"/>
      <c r="BX737" s="207" t="n"/>
      <c r="BY737" s="204" t="n"/>
      <c r="BZ737" s="148" t="n"/>
      <c r="CA737" s="204" t="n"/>
      <c r="CB737" s="208" t="n"/>
      <c r="CC737" s="139" t="n"/>
      <c r="CD737" s="204" t="n"/>
      <c r="CE737" s="204" t="n"/>
      <c r="CF737" s="207" t="n"/>
      <c r="CG737" s="208" t="n"/>
      <c r="CH737" s="207" t="n"/>
      <c r="CI737" s="208" t="n"/>
      <c r="CJ737" s="204" t="n"/>
      <c r="CK737" s="208" t="n"/>
      <c r="CL737" s="208" t="n"/>
      <c r="CM737" s="208" t="n"/>
      <c r="CN737" s="78" t="n"/>
      <c r="CO737" s="209" t="n"/>
      <c r="CP737" s="204" t="n"/>
      <c r="CQ737" s="204" t="n"/>
      <c r="CR737" s="204" t="n"/>
      <c r="CS737" s="204" t="n"/>
      <c r="CT737" s="204" t="n"/>
      <c r="CU737" s="204" t="n"/>
      <c r="CV737" s="204" t="n"/>
      <c r="CW737" s="204" t="n"/>
    </row>
    <row r="738">
      <c r="BF738" s="78" t="n"/>
      <c r="BG738" s="78" t="n"/>
      <c r="BH738" s="78" t="n"/>
      <c r="BI738" s="78" t="n"/>
      <c r="BJ738" s="139" t="n"/>
      <c r="BK738" s="204" t="n"/>
      <c r="BL738" s="141" t="n"/>
      <c r="BM738" s="205" t="n"/>
      <c r="BN738" s="205" t="n"/>
      <c r="BO738" s="206" t="n"/>
      <c r="BP738" s="144" t="n"/>
      <c r="BQ738" s="141" t="n"/>
      <c r="BR738" s="207" t="n"/>
      <c r="BS738" s="207" t="n"/>
      <c r="BT738" s="207" t="n"/>
      <c r="BU738" s="207" t="n"/>
      <c r="BV738" s="208" t="n"/>
      <c r="BW738" s="207" t="n"/>
      <c r="BX738" s="207" t="n"/>
      <c r="BY738" s="204" t="n"/>
      <c r="BZ738" s="148" t="n"/>
      <c r="CA738" s="204" t="n"/>
      <c r="CB738" s="208" t="n"/>
      <c r="CC738" s="139" t="n"/>
      <c r="CD738" s="204" t="n"/>
      <c r="CE738" s="204" t="n"/>
      <c r="CF738" s="207" t="n"/>
      <c r="CG738" s="208" t="n"/>
      <c r="CH738" s="207" t="n"/>
      <c r="CI738" s="208" t="n"/>
      <c r="CJ738" s="204" t="n"/>
      <c r="CK738" s="208" t="n"/>
      <c r="CL738" s="208" t="n"/>
      <c r="CM738" s="208" t="n"/>
      <c r="CN738" s="78" t="n"/>
      <c r="CO738" s="209" t="n"/>
      <c r="CP738" s="204" t="n"/>
      <c r="CQ738" s="204" t="n"/>
      <c r="CR738" s="204" t="n"/>
      <c r="CS738" s="204" t="n"/>
      <c r="CT738" s="204" t="n"/>
      <c r="CU738" s="204" t="n"/>
      <c r="CV738" s="204" t="n"/>
      <c r="CW738" s="204" t="n"/>
    </row>
    <row r="739">
      <c r="BF739" s="78" t="n"/>
      <c r="BG739" s="78" t="n"/>
      <c r="BH739" s="78" t="n"/>
      <c r="BI739" s="78" t="n"/>
      <c r="BJ739" s="139" t="n"/>
      <c r="BK739" s="204" t="n"/>
      <c r="BL739" s="141" t="n"/>
      <c r="BM739" s="205" t="n"/>
      <c r="BN739" s="205" t="n"/>
      <c r="BO739" s="206" t="n"/>
      <c r="BP739" s="144" t="n"/>
      <c r="BQ739" s="141" t="n"/>
      <c r="BR739" s="207" t="n"/>
      <c r="BS739" s="207" t="n"/>
      <c r="BT739" s="207" t="n"/>
      <c r="BU739" s="207" t="n"/>
      <c r="BV739" s="208" t="n"/>
      <c r="BW739" s="207" t="n"/>
      <c r="BX739" s="207" t="n"/>
      <c r="BY739" s="204" t="n"/>
      <c r="BZ739" s="148" t="n"/>
      <c r="CA739" s="204" t="n"/>
      <c r="CB739" s="208" t="n"/>
      <c r="CC739" s="139" t="n"/>
      <c r="CD739" s="204" t="n"/>
      <c r="CE739" s="204" t="n"/>
      <c r="CF739" s="207" t="n"/>
      <c r="CG739" s="208" t="n"/>
      <c r="CH739" s="207" t="n"/>
      <c r="CI739" s="208" t="n"/>
      <c r="CJ739" s="204" t="n"/>
      <c r="CK739" s="208" t="n"/>
      <c r="CL739" s="208" t="n"/>
      <c r="CM739" s="208" t="n"/>
      <c r="CN739" s="78" t="n"/>
      <c r="CO739" s="209" t="n"/>
      <c r="CP739" s="204" t="n"/>
      <c r="CQ739" s="204" t="n"/>
      <c r="CR739" s="204" t="n"/>
      <c r="CS739" s="204" t="n"/>
      <c r="CT739" s="204" t="n"/>
      <c r="CU739" s="204" t="n"/>
      <c r="CV739" s="204" t="n"/>
      <c r="CW739" s="204" t="n"/>
    </row>
    <row r="740">
      <c r="BF740" s="78" t="n"/>
      <c r="BG740" s="78" t="n"/>
      <c r="BH740" s="78" t="n"/>
      <c r="BI740" s="78" t="n"/>
      <c r="BJ740" s="139" t="n"/>
      <c r="BK740" s="204" t="n"/>
      <c r="BL740" s="141" t="n"/>
      <c r="BM740" s="205" t="n"/>
      <c r="BN740" s="205" t="n"/>
      <c r="BO740" s="206" t="n"/>
      <c r="BP740" s="144" t="n"/>
      <c r="BQ740" s="141" t="n"/>
      <c r="BR740" s="207" t="n"/>
      <c r="BS740" s="207" t="n"/>
      <c r="BT740" s="207" t="n"/>
      <c r="BU740" s="207" t="n"/>
      <c r="BV740" s="208" t="n"/>
      <c r="BW740" s="207" t="n"/>
      <c r="BX740" s="207" t="n"/>
      <c r="BY740" s="204" t="n"/>
      <c r="BZ740" s="148" t="n"/>
      <c r="CA740" s="204" t="n"/>
      <c r="CB740" s="208" t="n"/>
      <c r="CC740" s="139" t="n"/>
      <c r="CD740" s="204" t="n"/>
      <c r="CE740" s="204" t="n"/>
      <c r="CF740" s="207" t="n"/>
      <c r="CG740" s="208" t="n"/>
      <c r="CH740" s="207" t="n"/>
      <c r="CI740" s="208" t="n"/>
      <c r="CJ740" s="204" t="n"/>
      <c r="CK740" s="208" t="n"/>
      <c r="CL740" s="208" t="n"/>
      <c r="CM740" s="208" t="n"/>
      <c r="CN740" s="78" t="n"/>
      <c r="CO740" s="209" t="n"/>
      <c r="CP740" s="204" t="n"/>
      <c r="CQ740" s="204" t="n"/>
      <c r="CR740" s="204" t="n"/>
      <c r="CS740" s="204" t="n"/>
      <c r="CT740" s="204" t="n"/>
      <c r="CU740" s="204" t="n"/>
      <c r="CV740" s="204" t="n"/>
      <c r="CW740" s="204" t="n"/>
    </row>
    <row r="741">
      <c r="BF741" s="78" t="n"/>
      <c r="BG741" s="78" t="n"/>
      <c r="BH741" s="78" t="n"/>
      <c r="BI741" s="78" t="n"/>
      <c r="BJ741" s="139" t="n"/>
      <c r="BK741" s="204" t="n"/>
      <c r="BL741" s="141" t="n"/>
      <c r="BM741" s="205" t="n"/>
      <c r="BN741" s="205" t="n"/>
      <c r="BO741" s="206" t="n"/>
      <c r="BP741" s="144" t="n"/>
      <c r="BQ741" s="141" t="n"/>
      <c r="BR741" s="207" t="n"/>
      <c r="BS741" s="207" t="n"/>
      <c r="BT741" s="207" t="n"/>
      <c r="BU741" s="207" t="n"/>
      <c r="BV741" s="208" t="n"/>
      <c r="BW741" s="207" t="n"/>
      <c r="BX741" s="207" t="n"/>
      <c r="BY741" s="204" t="n"/>
      <c r="BZ741" s="148" t="n"/>
      <c r="CA741" s="204" t="n"/>
      <c r="CB741" s="208" t="n"/>
      <c r="CC741" s="139" t="n"/>
      <c r="CD741" s="204" t="n"/>
      <c r="CE741" s="204" t="n"/>
      <c r="CF741" s="207" t="n"/>
      <c r="CG741" s="208" t="n"/>
      <c r="CH741" s="207" t="n"/>
      <c r="CI741" s="208" t="n"/>
      <c r="CJ741" s="204" t="n"/>
      <c r="CK741" s="208" t="n"/>
      <c r="CL741" s="208" t="n"/>
      <c r="CM741" s="208" t="n"/>
      <c r="CN741" s="78" t="n"/>
      <c r="CO741" s="209" t="n"/>
      <c r="CP741" s="204" t="n"/>
      <c r="CQ741" s="204" t="n"/>
      <c r="CR741" s="204" t="n"/>
      <c r="CS741" s="204" t="n"/>
      <c r="CT741" s="204" t="n"/>
      <c r="CU741" s="204" t="n"/>
      <c r="CV741" s="204" t="n"/>
      <c r="CW741" s="204" t="n"/>
    </row>
    <row r="742">
      <c r="BF742" s="78" t="n"/>
      <c r="BG742" s="78" t="n"/>
      <c r="BH742" s="78" t="n"/>
      <c r="BI742" s="78" t="n"/>
      <c r="BJ742" s="139" t="n"/>
      <c r="BK742" s="204" t="n"/>
      <c r="BL742" s="141" t="n"/>
      <c r="BM742" s="205" t="n"/>
      <c r="BN742" s="205" t="n"/>
      <c r="BO742" s="206" t="n"/>
      <c r="BP742" s="144" t="n"/>
      <c r="BQ742" s="141" t="n"/>
      <c r="BR742" s="207" t="n"/>
      <c r="BS742" s="207" t="n"/>
      <c r="BT742" s="207" t="n"/>
      <c r="BU742" s="207" t="n"/>
      <c r="BV742" s="208" t="n"/>
      <c r="BW742" s="207" t="n"/>
      <c r="BX742" s="207" t="n"/>
      <c r="BY742" s="204" t="n"/>
      <c r="BZ742" s="148" t="n"/>
      <c r="CA742" s="204" t="n"/>
      <c r="CB742" s="208" t="n"/>
      <c r="CC742" s="139" t="n"/>
      <c r="CD742" s="204" t="n"/>
      <c r="CE742" s="204" t="n"/>
      <c r="CF742" s="207" t="n"/>
      <c r="CG742" s="208" t="n"/>
      <c r="CH742" s="207" t="n"/>
      <c r="CI742" s="208" t="n"/>
      <c r="CJ742" s="204" t="n"/>
      <c r="CK742" s="208" t="n"/>
      <c r="CL742" s="208" t="n"/>
      <c r="CM742" s="208" t="n"/>
      <c r="CN742" s="78" t="n"/>
      <c r="CO742" s="209" t="n"/>
      <c r="CP742" s="204" t="n"/>
      <c r="CQ742" s="204" t="n"/>
      <c r="CR742" s="204" t="n"/>
      <c r="CS742" s="204" t="n"/>
      <c r="CT742" s="204" t="n"/>
      <c r="CU742" s="204" t="n"/>
      <c r="CV742" s="204" t="n"/>
      <c r="CW742" s="204" t="n"/>
    </row>
    <row r="743">
      <c r="BF743" s="78" t="n"/>
      <c r="BG743" s="78" t="n"/>
      <c r="BH743" s="78" t="n"/>
      <c r="BI743" s="78" t="n"/>
      <c r="BJ743" s="139" t="n"/>
      <c r="BK743" s="204" t="n"/>
      <c r="BL743" s="141" t="n"/>
      <c r="BM743" s="205" t="n"/>
      <c r="BN743" s="205" t="n"/>
      <c r="BO743" s="206" t="n"/>
      <c r="BP743" s="144" t="n"/>
      <c r="BQ743" s="141" t="n"/>
      <c r="BR743" s="207" t="n"/>
      <c r="BS743" s="207" t="n"/>
      <c r="BT743" s="207" t="n"/>
      <c r="BU743" s="207" t="n"/>
      <c r="BV743" s="208" t="n"/>
      <c r="BW743" s="207" t="n"/>
      <c r="BX743" s="207" t="n"/>
      <c r="BY743" s="204" t="n"/>
      <c r="BZ743" s="148" t="n"/>
      <c r="CA743" s="204" t="n"/>
      <c r="CB743" s="208" t="n"/>
      <c r="CC743" s="139" t="n"/>
      <c r="CD743" s="204" t="n"/>
      <c r="CE743" s="204" t="n"/>
      <c r="CF743" s="207" t="n"/>
      <c r="CG743" s="208" t="n"/>
      <c r="CH743" s="207" t="n"/>
      <c r="CI743" s="208" t="n"/>
      <c r="CJ743" s="204" t="n"/>
      <c r="CK743" s="208" t="n"/>
      <c r="CL743" s="208" t="n"/>
      <c r="CM743" s="208" t="n"/>
      <c r="CN743" s="78" t="n"/>
      <c r="CO743" s="209" t="n"/>
      <c r="CP743" s="204" t="n"/>
      <c r="CQ743" s="204" t="n"/>
      <c r="CR743" s="204" t="n"/>
      <c r="CS743" s="204" t="n"/>
      <c r="CT743" s="204" t="n"/>
      <c r="CU743" s="204" t="n"/>
      <c r="CV743" s="204" t="n"/>
      <c r="CW743" s="204" t="n"/>
    </row>
    <row r="744">
      <c r="BF744" s="78" t="n"/>
      <c r="BG744" s="78" t="n"/>
      <c r="BH744" s="78" t="n"/>
      <c r="BI744" s="78" t="n"/>
      <c r="BJ744" s="139" t="n"/>
      <c r="BK744" s="204" t="n"/>
      <c r="BL744" s="141" t="n"/>
      <c r="BM744" s="205" t="n"/>
      <c r="BN744" s="205" t="n"/>
      <c r="BO744" s="206" t="n"/>
      <c r="BP744" s="144" t="n"/>
      <c r="BQ744" s="141" t="n"/>
      <c r="BR744" s="207" t="n"/>
      <c r="BS744" s="207" t="n"/>
      <c r="BT744" s="207" t="n"/>
      <c r="BU744" s="207" t="n"/>
      <c r="BV744" s="208" t="n"/>
      <c r="BW744" s="207" t="n"/>
      <c r="BX744" s="207" t="n"/>
      <c r="BY744" s="204" t="n"/>
      <c r="BZ744" s="148" t="n"/>
      <c r="CA744" s="204" t="n"/>
      <c r="CB744" s="208" t="n"/>
      <c r="CC744" s="139" t="n"/>
      <c r="CD744" s="204" t="n"/>
      <c r="CE744" s="204" t="n"/>
      <c r="CF744" s="207" t="n"/>
      <c r="CG744" s="208" t="n"/>
      <c r="CH744" s="207" t="n"/>
      <c r="CI744" s="208" t="n"/>
      <c r="CJ744" s="204" t="n"/>
      <c r="CK744" s="208" t="n"/>
      <c r="CL744" s="208" t="n"/>
      <c r="CM744" s="208" t="n"/>
      <c r="CN744" s="78" t="n"/>
      <c r="CO744" s="209" t="n"/>
      <c r="CP744" s="204" t="n"/>
      <c r="CQ744" s="204" t="n"/>
      <c r="CR744" s="204" t="n"/>
      <c r="CS744" s="204" t="n"/>
      <c r="CT744" s="204" t="n"/>
      <c r="CU744" s="204" t="n"/>
      <c r="CV744" s="204" t="n"/>
      <c r="CW744" s="204" t="n"/>
    </row>
    <row r="745">
      <c r="BF745" s="78" t="n"/>
      <c r="BG745" s="78" t="n"/>
      <c r="BH745" s="78" t="n"/>
      <c r="BI745" s="78" t="n"/>
      <c r="BJ745" s="139" t="n"/>
      <c r="BK745" s="204" t="n"/>
      <c r="BL745" s="141" t="n"/>
      <c r="BM745" s="205" t="n"/>
      <c r="BN745" s="205" t="n"/>
      <c r="BO745" s="206" t="n"/>
      <c r="BP745" s="144" t="n"/>
      <c r="BQ745" s="141" t="n"/>
      <c r="BR745" s="207" t="n"/>
      <c r="BS745" s="207" t="n"/>
      <c r="BT745" s="207" t="n"/>
      <c r="BU745" s="207" t="n"/>
      <c r="BV745" s="208" t="n"/>
      <c r="BW745" s="207" t="n"/>
      <c r="BX745" s="207" t="n"/>
      <c r="BY745" s="204" t="n"/>
      <c r="BZ745" s="148" t="n"/>
      <c r="CA745" s="204" t="n"/>
      <c r="CB745" s="208" t="n"/>
      <c r="CC745" s="139" t="n"/>
      <c r="CD745" s="204" t="n"/>
      <c r="CE745" s="204" t="n"/>
      <c r="CF745" s="207" t="n"/>
      <c r="CG745" s="208" t="n"/>
      <c r="CH745" s="207" t="n"/>
      <c r="CI745" s="208" t="n"/>
      <c r="CJ745" s="204" t="n"/>
      <c r="CK745" s="208" t="n"/>
      <c r="CL745" s="208" t="n"/>
      <c r="CM745" s="208" t="n"/>
      <c r="CN745" s="78" t="n"/>
      <c r="CO745" s="209" t="n"/>
      <c r="CP745" s="204" t="n"/>
      <c r="CQ745" s="204" t="n"/>
      <c r="CR745" s="204" t="n"/>
      <c r="CS745" s="204" t="n"/>
      <c r="CT745" s="204" t="n"/>
      <c r="CU745" s="204" t="n"/>
      <c r="CV745" s="204" t="n"/>
      <c r="CW745" s="204" t="n"/>
    </row>
    <row r="746">
      <c r="BF746" s="78" t="n"/>
      <c r="BG746" s="78" t="n"/>
      <c r="BH746" s="78" t="n"/>
      <c r="BI746" s="78" t="n"/>
      <c r="BJ746" s="139" t="n"/>
      <c r="BK746" s="204" t="n"/>
      <c r="BL746" s="141" t="n"/>
      <c r="BM746" s="205" t="n"/>
      <c r="BN746" s="205" t="n"/>
      <c r="BO746" s="206" t="n"/>
      <c r="BP746" s="144" t="n"/>
      <c r="BQ746" s="141" t="n"/>
      <c r="BR746" s="207" t="n"/>
      <c r="BS746" s="207" t="n"/>
      <c r="BT746" s="207" t="n"/>
      <c r="BU746" s="207" t="n"/>
      <c r="BV746" s="208" t="n"/>
      <c r="BW746" s="207" t="n"/>
      <c r="BX746" s="207" t="n"/>
      <c r="BY746" s="204" t="n"/>
      <c r="BZ746" s="148" t="n"/>
      <c r="CA746" s="204" t="n"/>
      <c r="CB746" s="208" t="n"/>
      <c r="CC746" s="139" t="n"/>
      <c r="CD746" s="204" t="n"/>
      <c r="CE746" s="204" t="n"/>
      <c r="CF746" s="207" t="n"/>
      <c r="CG746" s="208" t="n"/>
      <c r="CH746" s="207" t="n"/>
      <c r="CI746" s="208" t="n"/>
      <c r="CJ746" s="204" t="n"/>
      <c r="CK746" s="208" t="n"/>
      <c r="CL746" s="208" t="n"/>
      <c r="CM746" s="208" t="n"/>
      <c r="CN746" s="78" t="n"/>
      <c r="CO746" s="209" t="n"/>
      <c r="CP746" s="204" t="n"/>
      <c r="CQ746" s="204" t="n"/>
      <c r="CR746" s="204" t="n"/>
      <c r="CS746" s="204" t="n"/>
      <c r="CT746" s="204" t="n"/>
      <c r="CU746" s="204" t="n"/>
      <c r="CV746" s="204" t="n"/>
      <c r="CW746" s="204" t="n"/>
    </row>
    <row r="747">
      <c r="BF747" s="78" t="n"/>
      <c r="BG747" s="78" t="n"/>
      <c r="BH747" s="78" t="n"/>
      <c r="BI747" s="78" t="n"/>
      <c r="BJ747" s="139" t="n"/>
      <c r="BK747" s="204" t="n"/>
      <c r="BL747" s="141" t="n"/>
      <c r="BM747" s="205" t="n"/>
      <c r="BN747" s="205" t="n"/>
      <c r="BO747" s="206" t="n"/>
      <c r="BP747" s="144" t="n"/>
      <c r="BQ747" s="141" t="n"/>
      <c r="BR747" s="207" t="n"/>
      <c r="BS747" s="207" t="n"/>
      <c r="BT747" s="207" t="n"/>
      <c r="BU747" s="207" t="n"/>
      <c r="BV747" s="208" t="n"/>
      <c r="BW747" s="207" t="n"/>
      <c r="BX747" s="207" t="n"/>
      <c r="BY747" s="204" t="n"/>
      <c r="BZ747" s="148" t="n"/>
      <c r="CA747" s="204" t="n"/>
      <c r="CB747" s="208" t="n"/>
      <c r="CC747" s="139" t="n"/>
      <c r="CD747" s="204" t="n"/>
      <c r="CE747" s="204" t="n"/>
      <c r="CF747" s="207" t="n"/>
      <c r="CG747" s="208" t="n"/>
      <c r="CH747" s="207" t="n"/>
      <c r="CI747" s="208" t="n"/>
      <c r="CJ747" s="204" t="n"/>
      <c r="CK747" s="208" t="n"/>
      <c r="CL747" s="208" t="n"/>
      <c r="CM747" s="208" t="n"/>
      <c r="CN747" s="78" t="n"/>
      <c r="CO747" s="209" t="n"/>
      <c r="CP747" s="204" t="n"/>
      <c r="CQ747" s="204" t="n"/>
      <c r="CR747" s="204" t="n"/>
      <c r="CS747" s="204" t="n"/>
      <c r="CT747" s="204" t="n"/>
      <c r="CU747" s="204" t="n"/>
      <c r="CV747" s="204" t="n"/>
      <c r="CW747" s="204" t="n"/>
    </row>
    <row r="748">
      <c r="BF748" s="78" t="n"/>
      <c r="BG748" s="78" t="n"/>
      <c r="BH748" s="78" t="n"/>
      <c r="BI748" s="78" t="n"/>
      <c r="BJ748" s="139" t="n"/>
      <c r="BK748" s="204" t="n"/>
      <c r="BL748" s="141" t="n"/>
      <c r="BM748" s="205" t="n"/>
      <c r="BN748" s="205" t="n"/>
      <c r="BO748" s="206" t="n"/>
      <c r="BP748" s="144" t="n"/>
      <c r="BQ748" s="141" t="n"/>
      <c r="BR748" s="207" t="n"/>
      <c r="BS748" s="207" t="n"/>
      <c r="BT748" s="207" t="n"/>
      <c r="BU748" s="207" t="n"/>
      <c r="BV748" s="208" t="n"/>
      <c r="BW748" s="207" t="n"/>
      <c r="BX748" s="207" t="n"/>
      <c r="BY748" s="204" t="n"/>
      <c r="BZ748" s="148" t="n"/>
      <c r="CA748" s="204" t="n"/>
      <c r="CB748" s="208" t="n"/>
      <c r="CC748" s="139" t="n"/>
      <c r="CD748" s="204" t="n"/>
      <c r="CE748" s="204" t="n"/>
      <c r="CF748" s="207" t="n"/>
      <c r="CG748" s="208" t="n"/>
      <c r="CH748" s="207" t="n"/>
      <c r="CI748" s="208" t="n"/>
      <c r="CJ748" s="204" t="n"/>
      <c r="CK748" s="208" t="n"/>
      <c r="CL748" s="208" t="n"/>
      <c r="CM748" s="208" t="n"/>
      <c r="CN748" s="78" t="n"/>
      <c r="CO748" s="209" t="n"/>
      <c r="CP748" s="204" t="n"/>
      <c r="CQ748" s="204" t="n"/>
      <c r="CR748" s="204" t="n"/>
      <c r="CS748" s="204" t="n"/>
      <c r="CT748" s="204" t="n"/>
      <c r="CU748" s="204" t="n"/>
      <c r="CV748" s="204" t="n"/>
      <c r="CW748" s="204" t="n"/>
    </row>
    <row r="749">
      <c r="BF749" s="78" t="n"/>
      <c r="BG749" s="78" t="n"/>
      <c r="BH749" s="78" t="n"/>
      <c r="BI749" s="78" t="n"/>
      <c r="BJ749" s="139" t="n"/>
      <c r="BK749" s="204" t="n"/>
      <c r="BL749" s="141" t="n"/>
      <c r="BM749" s="205" t="n"/>
      <c r="BN749" s="205" t="n"/>
      <c r="BO749" s="206" t="n"/>
      <c r="BP749" s="144" t="n"/>
      <c r="BQ749" s="141" t="n"/>
      <c r="BR749" s="207" t="n"/>
      <c r="BS749" s="207" t="n"/>
      <c r="BT749" s="207" t="n"/>
      <c r="BU749" s="207" t="n"/>
      <c r="BV749" s="208" t="n"/>
      <c r="BW749" s="207" t="n"/>
      <c r="BX749" s="207" t="n"/>
      <c r="BY749" s="204" t="n"/>
      <c r="BZ749" s="148" t="n"/>
      <c r="CA749" s="204" t="n"/>
      <c r="CB749" s="208" t="n"/>
      <c r="CC749" s="139" t="n"/>
      <c r="CD749" s="204" t="n"/>
      <c r="CE749" s="204" t="n"/>
      <c r="CF749" s="207" t="n"/>
      <c r="CG749" s="208" t="n"/>
      <c r="CH749" s="207" t="n"/>
      <c r="CI749" s="208" t="n"/>
      <c r="CJ749" s="204" t="n"/>
      <c r="CK749" s="208" t="n"/>
      <c r="CL749" s="208" t="n"/>
      <c r="CM749" s="208" t="n"/>
      <c r="CN749" s="78" t="n"/>
      <c r="CO749" s="209" t="n"/>
      <c r="CP749" s="204" t="n"/>
      <c r="CQ749" s="204" t="n"/>
      <c r="CR749" s="204" t="n"/>
      <c r="CS749" s="204" t="n"/>
      <c r="CT749" s="204" t="n"/>
      <c r="CU749" s="204" t="n"/>
      <c r="CV749" s="204" t="n"/>
      <c r="CW749" s="204" t="n"/>
    </row>
    <row r="750">
      <c r="BF750" s="78" t="n"/>
      <c r="BG750" s="78" t="n"/>
      <c r="BH750" s="78" t="n"/>
      <c r="BI750" s="78" t="n"/>
      <c r="BJ750" s="139" t="n"/>
      <c r="BK750" s="204" t="n"/>
      <c r="BL750" s="141" t="n"/>
      <c r="BM750" s="205" t="n"/>
      <c r="BN750" s="205" t="n"/>
      <c r="BO750" s="206" t="n"/>
      <c r="BP750" s="144" t="n"/>
      <c r="BQ750" s="141" t="n"/>
      <c r="BR750" s="207" t="n"/>
      <c r="BS750" s="207" t="n"/>
      <c r="BT750" s="207" t="n"/>
      <c r="BU750" s="207" t="n"/>
      <c r="BV750" s="208" t="n"/>
      <c r="BW750" s="207" t="n"/>
      <c r="BX750" s="207" t="n"/>
      <c r="BY750" s="204" t="n"/>
      <c r="BZ750" s="148" t="n"/>
      <c r="CA750" s="204" t="n"/>
      <c r="CB750" s="208" t="n"/>
      <c r="CC750" s="139" t="n"/>
      <c r="CD750" s="204" t="n"/>
      <c r="CE750" s="204" t="n"/>
      <c r="CF750" s="207" t="n"/>
      <c r="CG750" s="208" t="n"/>
      <c r="CH750" s="207" t="n"/>
      <c r="CI750" s="208" t="n"/>
      <c r="CJ750" s="204" t="n"/>
      <c r="CK750" s="208" t="n"/>
      <c r="CL750" s="208" t="n"/>
      <c r="CM750" s="208" t="n"/>
      <c r="CN750" s="78" t="n"/>
      <c r="CO750" s="209" t="n"/>
      <c r="CP750" s="204" t="n"/>
      <c r="CQ750" s="204" t="n"/>
      <c r="CR750" s="204" t="n"/>
      <c r="CS750" s="204" t="n"/>
      <c r="CT750" s="204" t="n"/>
      <c r="CU750" s="204" t="n"/>
      <c r="CV750" s="204" t="n"/>
      <c r="CW750" s="204" t="n"/>
    </row>
    <row r="751">
      <c r="BF751" s="78" t="n"/>
      <c r="BG751" s="78" t="n"/>
      <c r="BH751" s="78" t="n"/>
      <c r="BI751" s="78" t="n"/>
      <c r="BJ751" s="139" t="n"/>
      <c r="BK751" s="204" t="n"/>
      <c r="BL751" s="141" t="n"/>
      <c r="BM751" s="205" t="n"/>
      <c r="BN751" s="205" t="n"/>
      <c r="BO751" s="206" t="n"/>
      <c r="BP751" s="144" t="n"/>
      <c r="BQ751" s="141" t="n"/>
      <c r="BR751" s="207" t="n"/>
      <c r="BS751" s="207" t="n"/>
      <c r="BT751" s="207" t="n"/>
      <c r="BU751" s="207" t="n"/>
      <c r="BV751" s="208" t="n"/>
      <c r="BW751" s="207" t="n"/>
      <c r="BX751" s="207" t="n"/>
      <c r="BY751" s="204" t="n"/>
      <c r="BZ751" s="148" t="n"/>
      <c r="CA751" s="204" t="n"/>
      <c r="CB751" s="208" t="n"/>
      <c r="CC751" s="139" t="n"/>
      <c r="CD751" s="204" t="n"/>
      <c r="CE751" s="204" t="n"/>
      <c r="CF751" s="207" t="n"/>
      <c r="CG751" s="208" t="n"/>
      <c r="CH751" s="207" t="n"/>
      <c r="CI751" s="208" t="n"/>
      <c r="CJ751" s="204" t="n"/>
      <c r="CK751" s="208" t="n"/>
      <c r="CL751" s="208" t="n"/>
      <c r="CM751" s="208" t="n"/>
      <c r="CN751" s="78" t="n"/>
      <c r="CO751" s="209" t="n"/>
      <c r="CP751" s="204" t="n"/>
      <c r="CQ751" s="204" t="n"/>
      <c r="CR751" s="204" t="n"/>
      <c r="CS751" s="204" t="n"/>
      <c r="CT751" s="204" t="n"/>
      <c r="CU751" s="204" t="n"/>
      <c r="CV751" s="204" t="n"/>
      <c r="CW751" s="204" t="n"/>
    </row>
    <row r="752">
      <c r="BF752" s="78" t="n"/>
      <c r="BG752" s="78" t="n"/>
      <c r="BH752" s="78" t="n"/>
      <c r="BI752" s="78" t="n"/>
      <c r="BJ752" s="139" t="n"/>
      <c r="BK752" s="204" t="n"/>
      <c r="BL752" s="141" t="n"/>
      <c r="BM752" s="205" t="n"/>
      <c r="BN752" s="205" t="n"/>
      <c r="BO752" s="206" t="n"/>
      <c r="BP752" s="144" t="n"/>
      <c r="BQ752" s="141" t="n"/>
      <c r="BR752" s="207" t="n"/>
      <c r="BS752" s="207" t="n"/>
      <c r="BT752" s="207" t="n"/>
      <c r="BU752" s="207" t="n"/>
      <c r="BV752" s="208" t="n"/>
      <c r="BW752" s="207" t="n"/>
      <c r="BX752" s="207" t="n"/>
      <c r="BY752" s="204" t="n"/>
      <c r="BZ752" s="148" t="n"/>
      <c r="CA752" s="204" t="n"/>
      <c r="CB752" s="208" t="n"/>
      <c r="CC752" s="139" t="n"/>
      <c r="CD752" s="204" t="n"/>
      <c r="CE752" s="204" t="n"/>
      <c r="CF752" s="207" t="n"/>
      <c r="CG752" s="208" t="n"/>
      <c r="CH752" s="207" t="n"/>
      <c r="CI752" s="208" t="n"/>
      <c r="CJ752" s="204" t="n"/>
      <c r="CK752" s="208" t="n"/>
      <c r="CL752" s="208" t="n"/>
      <c r="CM752" s="208" t="n"/>
      <c r="CN752" s="78" t="n"/>
      <c r="CO752" s="209" t="n"/>
      <c r="CP752" s="204" t="n"/>
      <c r="CQ752" s="204" t="n"/>
      <c r="CR752" s="204" t="n"/>
      <c r="CS752" s="204" t="n"/>
      <c r="CT752" s="204" t="n"/>
      <c r="CU752" s="204" t="n"/>
      <c r="CV752" s="204" t="n"/>
      <c r="CW752" s="204" t="n"/>
    </row>
    <row r="753">
      <c r="BF753" s="78" t="n"/>
      <c r="BG753" s="78" t="n"/>
      <c r="BH753" s="78" t="n"/>
      <c r="BI753" s="78" t="n"/>
      <c r="BJ753" s="139" t="n"/>
      <c r="BK753" s="204" t="n"/>
      <c r="BL753" s="141" t="n"/>
      <c r="BM753" s="205" t="n"/>
      <c r="BN753" s="205" t="n"/>
      <c r="BO753" s="206" t="n"/>
      <c r="BP753" s="144" t="n"/>
      <c r="BQ753" s="141" t="n"/>
      <c r="BR753" s="207" t="n"/>
      <c r="BS753" s="207" t="n"/>
      <c r="BT753" s="207" t="n"/>
      <c r="BU753" s="207" t="n"/>
      <c r="BV753" s="208" t="n"/>
      <c r="BW753" s="207" t="n"/>
      <c r="BX753" s="207" t="n"/>
      <c r="BY753" s="204" t="n"/>
      <c r="BZ753" s="148" t="n"/>
      <c r="CA753" s="204" t="n"/>
      <c r="CB753" s="208" t="n"/>
      <c r="CC753" s="139" t="n"/>
      <c r="CD753" s="204" t="n"/>
      <c r="CE753" s="204" t="n"/>
      <c r="CF753" s="207" t="n"/>
      <c r="CG753" s="208" t="n"/>
      <c r="CH753" s="207" t="n"/>
      <c r="CI753" s="208" t="n"/>
      <c r="CJ753" s="204" t="n"/>
      <c r="CK753" s="208" t="n"/>
      <c r="CL753" s="208" t="n"/>
      <c r="CM753" s="208" t="n"/>
      <c r="CN753" s="78" t="n"/>
      <c r="CO753" s="209" t="n"/>
      <c r="CP753" s="204" t="n"/>
      <c r="CQ753" s="204" t="n"/>
      <c r="CR753" s="204" t="n"/>
      <c r="CS753" s="204" t="n"/>
      <c r="CT753" s="204" t="n"/>
      <c r="CU753" s="204" t="n"/>
      <c r="CV753" s="204" t="n"/>
      <c r="CW753" s="204" t="n"/>
    </row>
    <row r="754">
      <c r="BF754" s="78" t="n"/>
      <c r="BG754" s="78" t="n"/>
      <c r="BH754" s="78" t="n"/>
      <c r="BI754" s="78" t="n"/>
      <c r="BJ754" s="139" t="n"/>
      <c r="BK754" s="204" t="n"/>
      <c r="BL754" s="141" t="n"/>
      <c r="BM754" s="205" t="n"/>
      <c r="BN754" s="205" t="n"/>
      <c r="BO754" s="206" t="n"/>
      <c r="BP754" s="144" t="n"/>
      <c r="BQ754" s="141" t="n"/>
      <c r="BR754" s="207" t="n"/>
      <c r="BS754" s="207" t="n"/>
      <c r="BT754" s="207" t="n"/>
      <c r="BU754" s="207" t="n"/>
      <c r="BV754" s="208" t="n"/>
      <c r="BW754" s="207" t="n"/>
      <c r="BX754" s="207" t="n"/>
      <c r="BY754" s="204" t="n"/>
      <c r="BZ754" s="148" t="n"/>
      <c r="CA754" s="204" t="n"/>
      <c r="CB754" s="208" t="n"/>
      <c r="CC754" s="139" t="n"/>
      <c r="CD754" s="204" t="n"/>
      <c r="CE754" s="204" t="n"/>
      <c r="CF754" s="207" t="n"/>
      <c r="CG754" s="208" t="n"/>
      <c r="CH754" s="207" t="n"/>
      <c r="CI754" s="208" t="n"/>
      <c r="CJ754" s="204" t="n"/>
      <c r="CK754" s="208" t="n"/>
      <c r="CL754" s="208" t="n"/>
      <c r="CM754" s="208" t="n"/>
      <c r="CN754" s="78" t="n"/>
      <c r="CO754" s="209" t="n"/>
      <c r="CP754" s="204" t="n"/>
      <c r="CQ754" s="204" t="n"/>
      <c r="CR754" s="204" t="n"/>
      <c r="CS754" s="204" t="n"/>
      <c r="CT754" s="204" t="n"/>
      <c r="CU754" s="204" t="n"/>
      <c r="CV754" s="204" t="n"/>
      <c r="CW754" s="204" t="n"/>
    </row>
    <row r="755">
      <c r="BF755" s="78" t="n"/>
      <c r="BG755" s="78" t="n"/>
      <c r="BH755" s="78" t="n"/>
      <c r="BI755" s="78" t="n"/>
      <c r="BJ755" s="139" t="n"/>
      <c r="BK755" s="204" t="n"/>
      <c r="BL755" s="141" t="n"/>
      <c r="BM755" s="205" t="n"/>
      <c r="BN755" s="205" t="n"/>
      <c r="BO755" s="206" t="n"/>
      <c r="BP755" s="144" t="n"/>
      <c r="BQ755" s="141" t="n"/>
      <c r="BR755" s="207" t="n"/>
      <c r="BS755" s="207" t="n"/>
      <c r="BT755" s="207" t="n"/>
      <c r="BU755" s="207" t="n"/>
      <c r="BV755" s="208" t="n"/>
      <c r="BW755" s="207" t="n"/>
      <c r="BX755" s="207" t="n"/>
      <c r="BY755" s="204" t="n"/>
      <c r="BZ755" s="148" t="n"/>
      <c r="CA755" s="204" t="n"/>
      <c r="CB755" s="208" t="n"/>
      <c r="CC755" s="139" t="n"/>
      <c r="CD755" s="204" t="n"/>
      <c r="CE755" s="204" t="n"/>
      <c r="CF755" s="207" t="n"/>
      <c r="CG755" s="208" t="n"/>
      <c r="CH755" s="207" t="n"/>
      <c r="CI755" s="208" t="n"/>
      <c r="CJ755" s="204" t="n"/>
      <c r="CK755" s="208" t="n"/>
      <c r="CL755" s="208" t="n"/>
      <c r="CM755" s="208" t="n"/>
      <c r="CN755" s="78" t="n"/>
      <c r="CO755" s="209" t="n"/>
      <c r="CP755" s="204" t="n"/>
      <c r="CQ755" s="204" t="n"/>
      <c r="CR755" s="204" t="n"/>
      <c r="CS755" s="204" t="n"/>
      <c r="CT755" s="204" t="n"/>
      <c r="CU755" s="204" t="n"/>
      <c r="CV755" s="204" t="n"/>
      <c r="CW755" s="204" t="n"/>
    </row>
    <row r="756">
      <c r="BF756" s="78" t="n"/>
      <c r="BG756" s="78" t="n"/>
      <c r="BH756" s="78" t="n"/>
      <c r="BI756" s="78" t="n"/>
      <c r="BJ756" s="139" t="n"/>
      <c r="BK756" s="204" t="n"/>
      <c r="BL756" s="141" t="n"/>
      <c r="BM756" s="205" t="n"/>
      <c r="BN756" s="205" t="n"/>
      <c r="BO756" s="206" t="n"/>
      <c r="BP756" s="144" t="n"/>
      <c r="BQ756" s="141" t="n"/>
      <c r="BR756" s="207" t="n"/>
      <c r="BS756" s="207" t="n"/>
      <c r="BT756" s="207" t="n"/>
      <c r="BU756" s="207" t="n"/>
      <c r="BV756" s="208" t="n"/>
      <c r="BW756" s="207" t="n"/>
      <c r="BX756" s="207" t="n"/>
      <c r="BY756" s="204" t="n"/>
      <c r="BZ756" s="148" t="n"/>
      <c r="CA756" s="204" t="n"/>
      <c r="CB756" s="208" t="n"/>
      <c r="CC756" s="139" t="n"/>
      <c r="CD756" s="204" t="n"/>
      <c r="CE756" s="204" t="n"/>
      <c r="CF756" s="207" t="n"/>
      <c r="CG756" s="208" t="n"/>
      <c r="CH756" s="207" t="n"/>
      <c r="CI756" s="208" t="n"/>
      <c r="CJ756" s="204" t="n"/>
      <c r="CK756" s="208" t="n"/>
      <c r="CL756" s="208" t="n"/>
      <c r="CM756" s="208" t="n"/>
      <c r="CN756" s="78" t="n"/>
      <c r="CO756" s="209" t="n"/>
      <c r="CP756" s="204" t="n"/>
      <c r="CQ756" s="204" t="n"/>
      <c r="CR756" s="204" t="n"/>
      <c r="CS756" s="204" t="n"/>
      <c r="CT756" s="204" t="n"/>
      <c r="CU756" s="204" t="n"/>
      <c r="CV756" s="204" t="n"/>
      <c r="CW756" s="204" t="n"/>
    </row>
    <row r="757">
      <c r="BF757" s="78" t="n"/>
      <c r="BG757" s="78" t="n"/>
      <c r="BH757" s="78" t="n"/>
      <c r="BI757" s="78" t="n"/>
      <c r="BJ757" s="139" t="n"/>
      <c r="BK757" s="204" t="n"/>
      <c r="BL757" s="141" t="n"/>
      <c r="BM757" s="205" t="n"/>
      <c r="BN757" s="205" t="n"/>
      <c r="BO757" s="206" t="n"/>
      <c r="BP757" s="144" t="n"/>
      <c r="BQ757" s="141" t="n"/>
      <c r="BR757" s="207" t="n"/>
      <c r="BS757" s="207" t="n"/>
      <c r="BT757" s="207" t="n"/>
      <c r="BU757" s="207" t="n"/>
      <c r="BV757" s="208" t="n"/>
      <c r="BW757" s="207" t="n"/>
      <c r="BX757" s="207" t="n"/>
      <c r="BY757" s="204" t="n"/>
      <c r="BZ757" s="148" t="n"/>
      <c r="CA757" s="204" t="n"/>
      <c r="CB757" s="208" t="n"/>
      <c r="CC757" s="139" t="n"/>
      <c r="CD757" s="204" t="n"/>
      <c r="CE757" s="204" t="n"/>
      <c r="CF757" s="207" t="n"/>
      <c r="CG757" s="208" t="n"/>
      <c r="CH757" s="207" t="n"/>
      <c r="CI757" s="208" t="n"/>
      <c r="CJ757" s="204" t="n"/>
      <c r="CK757" s="208" t="n"/>
      <c r="CL757" s="208" t="n"/>
      <c r="CM757" s="208" t="n"/>
      <c r="CN757" s="78" t="n"/>
      <c r="CO757" s="209" t="n"/>
      <c r="CP757" s="204" t="n"/>
      <c r="CQ757" s="204" t="n"/>
      <c r="CR757" s="204" t="n"/>
      <c r="CS757" s="204" t="n"/>
      <c r="CT757" s="204" t="n"/>
      <c r="CU757" s="204" t="n"/>
      <c r="CV757" s="204" t="n"/>
      <c r="CW757" s="204" t="n"/>
    </row>
    <row r="758">
      <c r="BF758" s="78" t="n"/>
      <c r="BG758" s="78" t="n"/>
      <c r="BH758" s="78" t="n"/>
      <c r="BI758" s="78" t="n"/>
      <c r="BJ758" s="139" t="n"/>
      <c r="BK758" s="204" t="n"/>
      <c r="BL758" s="141" t="n"/>
      <c r="BM758" s="205" t="n"/>
      <c r="BN758" s="205" t="n"/>
      <c r="BO758" s="206" t="n"/>
      <c r="BP758" s="144" t="n"/>
      <c r="BQ758" s="141" t="n"/>
      <c r="BR758" s="207" t="n"/>
      <c r="BS758" s="207" t="n"/>
      <c r="BT758" s="207" t="n"/>
      <c r="BU758" s="207" t="n"/>
      <c r="BV758" s="208" t="n"/>
      <c r="BW758" s="207" t="n"/>
      <c r="BX758" s="207" t="n"/>
      <c r="BY758" s="204" t="n"/>
      <c r="BZ758" s="148" t="n"/>
      <c r="CA758" s="204" t="n"/>
      <c r="CB758" s="208" t="n"/>
      <c r="CC758" s="139" t="n"/>
      <c r="CD758" s="204" t="n"/>
      <c r="CE758" s="204" t="n"/>
      <c r="CF758" s="207" t="n"/>
      <c r="CG758" s="208" t="n"/>
      <c r="CH758" s="207" t="n"/>
      <c r="CI758" s="208" t="n"/>
      <c r="CJ758" s="204" t="n"/>
      <c r="CK758" s="208" t="n"/>
      <c r="CL758" s="208" t="n"/>
      <c r="CM758" s="208" t="n"/>
      <c r="CN758" s="78" t="n"/>
      <c r="CO758" s="209" t="n"/>
      <c r="CP758" s="204" t="n"/>
      <c r="CQ758" s="204" t="n"/>
      <c r="CR758" s="204" t="n"/>
      <c r="CS758" s="204" t="n"/>
      <c r="CT758" s="204" t="n"/>
      <c r="CU758" s="204" t="n"/>
      <c r="CV758" s="204" t="n"/>
      <c r="CW758" s="204" t="n"/>
    </row>
    <row r="759">
      <c r="BF759" s="78" t="n"/>
      <c r="BG759" s="78" t="n"/>
      <c r="BH759" s="78" t="n"/>
      <c r="BI759" s="78" t="n"/>
      <c r="BJ759" s="139" t="n"/>
      <c r="BK759" s="204" t="n"/>
      <c r="BL759" s="141" t="n"/>
      <c r="BM759" s="205" t="n"/>
      <c r="BN759" s="205" t="n"/>
      <c r="BO759" s="206" t="n"/>
      <c r="BP759" s="144" t="n"/>
      <c r="BQ759" s="141" t="n"/>
      <c r="BR759" s="207" t="n"/>
      <c r="BS759" s="207" t="n"/>
      <c r="BT759" s="207" t="n"/>
      <c r="BU759" s="207" t="n"/>
      <c r="BV759" s="208" t="n"/>
      <c r="BW759" s="207" t="n"/>
      <c r="BX759" s="207" t="n"/>
      <c r="BY759" s="204" t="n"/>
      <c r="BZ759" s="148" t="n"/>
      <c r="CA759" s="204" t="n"/>
      <c r="CB759" s="208" t="n"/>
      <c r="CC759" s="139" t="n"/>
      <c r="CD759" s="204" t="n"/>
      <c r="CE759" s="204" t="n"/>
      <c r="CF759" s="207" t="n"/>
      <c r="CG759" s="208" t="n"/>
      <c r="CH759" s="207" t="n"/>
      <c r="CI759" s="208" t="n"/>
      <c r="CJ759" s="204" t="n"/>
      <c r="CK759" s="208" t="n"/>
      <c r="CL759" s="208" t="n"/>
      <c r="CM759" s="208" t="n"/>
      <c r="CN759" s="78" t="n"/>
      <c r="CO759" s="209" t="n"/>
      <c r="CP759" s="204" t="n"/>
      <c r="CQ759" s="204" t="n"/>
      <c r="CR759" s="204" t="n"/>
      <c r="CS759" s="204" t="n"/>
      <c r="CT759" s="204" t="n"/>
      <c r="CU759" s="204" t="n"/>
      <c r="CV759" s="204" t="n"/>
      <c r="CW759" s="204" t="n"/>
    </row>
    <row r="760">
      <c r="BF760" s="78" t="n"/>
      <c r="BG760" s="78" t="n"/>
      <c r="BH760" s="78" t="n"/>
      <c r="BI760" s="78" t="n"/>
      <c r="BJ760" s="139" t="n"/>
      <c r="BK760" s="204" t="n"/>
      <c r="BL760" s="141" t="n"/>
      <c r="BM760" s="205" t="n"/>
      <c r="BN760" s="205" t="n"/>
      <c r="BO760" s="206" t="n"/>
      <c r="BP760" s="144" t="n"/>
      <c r="BQ760" s="141" t="n"/>
      <c r="BR760" s="207" t="n"/>
      <c r="BS760" s="207" t="n"/>
      <c r="BT760" s="207" t="n"/>
      <c r="BU760" s="207" t="n"/>
      <c r="BV760" s="208" t="n"/>
      <c r="BW760" s="207" t="n"/>
      <c r="BX760" s="207" t="n"/>
      <c r="BY760" s="204" t="n"/>
      <c r="BZ760" s="148" t="n"/>
      <c r="CA760" s="204" t="n"/>
      <c r="CB760" s="208" t="n"/>
      <c r="CC760" s="139" t="n"/>
      <c r="CD760" s="204" t="n"/>
      <c r="CE760" s="204" t="n"/>
      <c r="CF760" s="207" t="n"/>
      <c r="CG760" s="208" t="n"/>
      <c r="CH760" s="207" t="n"/>
      <c r="CI760" s="208" t="n"/>
      <c r="CJ760" s="204" t="n"/>
      <c r="CK760" s="208" t="n"/>
      <c r="CL760" s="208" t="n"/>
      <c r="CM760" s="208" t="n"/>
      <c r="CN760" s="78" t="n"/>
      <c r="CO760" s="209" t="n"/>
      <c r="CP760" s="204" t="n"/>
      <c r="CQ760" s="204" t="n"/>
      <c r="CR760" s="204" t="n"/>
      <c r="CS760" s="204" t="n"/>
      <c r="CT760" s="204" t="n"/>
      <c r="CU760" s="204" t="n"/>
      <c r="CV760" s="204" t="n"/>
      <c r="CW760" s="204" t="n"/>
    </row>
    <row r="761">
      <c r="BF761" s="78" t="n"/>
      <c r="BG761" s="78" t="n"/>
      <c r="BH761" s="78" t="n"/>
      <c r="BI761" s="78" t="n"/>
      <c r="BJ761" s="139" t="n"/>
      <c r="BK761" s="204" t="n"/>
      <c r="BL761" s="141" t="n"/>
      <c r="BM761" s="205" t="n"/>
      <c r="BN761" s="205" t="n"/>
      <c r="BO761" s="206" t="n"/>
      <c r="BP761" s="144" t="n"/>
      <c r="BQ761" s="141" t="n"/>
      <c r="BR761" s="207" t="n"/>
      <c r="BS761" s="207" t="n"/>
      <c r="BT761" s="207" t="n"/>
      <c r="BU761" s="207" t="n"/>
      <c r="BV761" s="208" t="n"/>
      <c r="BW761" s="207" t="n"/>
      <c r="BX761" s="207" t="n"/>
      <c r="BY761" s="204" t="n"/>
      <c r="BZ761" s="148" t="n"/>
      <c r="CA761" s="204" t="n"/>
      <c r="CB761" s="208" t="n"/>
      <c r="CC761" s="139" t="n"/>
      <c r="CD761" s="204" t="n"/>
      <c r="CE761" s="204" t="n"/>
      <c r="CF761" s="207" t="n"/>
      <c r="CG761" s="208" t="n"/>
      <c r="CH761" s="207" t="n"/>
      <c r="CI761" s="208" t="n"/>
      <c r="CJ761" s="204" t="n"/>
      <c r="CK761" s="208" t="n"/>
      <c r="CL761" s="208" t="n"/>
      <c r="CM761" s="208" t="n"/>
      <c r="CN761" s="78" t="n"/>
      <c r="CO761" s="209" t="n"/>
      <c r="CP761" s="204" t="n"/>
      <c r="CQ761" s="204" t="n"/>
      <c r="CR761" s="204" t="n"/>
      <c r="CS761" s="204" t="n"/>
      <c r="CT761" s="204" t="n"/>
      <c r="CU761" s="204" t="n"/>
      <c r="CV761" s="204" t="n"/>
      <c r="CW761" s="204" t="n"/>
    </row>
    <row r="762">
      <c r="BF762" s="78" t="n"/>
      <c r="BG762" s="78" t="n"/>
      <c r="BH762" s="78" t="n"/>
      <c r="BI762" s="78" t="n"/>
      <c r="BJ762" s="139" t="n"/>
      <c r="BK762" s="204" t="n"/>
      <c r="BL762" s="141" t="n"/>
      <c r="BM762" s="205" t="n"/>
      <c r="BN762" s="205" t="n"/>
      <c r="BO762" s="206" t="n"/>
      <c r="BP762" s="144" t="n"/>
      <c r="BQ762" s="141" t="n"/>
      <c r="BR762" s="207" t="n"/>
      <c r="BS762" s="207" t="n"/>
      <c r="BT762" s="207" t="n"/>
      <c r="BU762" s="207" t="n"/>
      <c r="BV762" s="208" t="n"/>
      <c r="BW762" s="207" t="n"/>
      <c r="BX762" s="207" t="n"/>
      <c r="BY762" s="204" t="n"/>
      <c r="BZ762" s="148" t="n"/>
      <c r="CA762" s="204" t="n"/>
      <c r="CB762" s="208" t="n"/>
      <c r="CC762" s="139" t="n"/>
      <c r="CD762" s="204" t="n"/>
      <c r="CE762" s="204" t="n"/>
      <c r="CF762" s="207" t="n"/>
      <c r="CG762" s="208" t="n"/>
      <c r="CH762" s="207" t="n"/>
      <c r="CI762" s="208" t="n"/>
      <c r="CJ762" s="204" t="n"/>
      <c r="CK762" s="208" t="n"/>
      <c r="CL762" s="208" t="n"/>
      <c r="CM762" s="208" t="n"/>
      <c r="CN762" s="78" t="n"/>
      <c r="CO762" s="209" t="n"/>
      <c r="CP762" s="204" t="n"/>
      <c r="CQ762" s="204" t="n"/>
      <c r="CR762" s="204" t="n"/>
      <c r="CS762" s="204" t="n"/>
      <c r="CT762" s="204" t="n"/>
      <c r="CU762" s="204" t="n"/>
      <c r="CV762" s="204" t="n"/>
      <c r="CW762" s="204" t="n"/>
    </row>
    <row r="763">
      <c r="BF763" s="78" t="n"/>
      <c r="BG763" s="78" t="n"/>
      <c r="BH763" s="78" t="n"/>
      <c r="BI763" s="78" t="n"/>
      <c r="BJ763" s="139" t="n"/>
      <c r="BK763" s="204" t="n"/>
      <c r="BL763" s="141" t="n"/>
      <c r="BM763" s="205" t="n"/>
      <c r="BN763" s="205" t="n"/>
      <c r="BO763" s="206" t="n"/>
      <c r="BP763" s="144" t="n"/>
      <c r="BQ763" s="141" t="n"/>
      <c r="BR763" s="207" t="n"/>
      <c r="BS763" s="207" t="n"/>
      <c r="BT763" s="207" t="n"/>
      <c r="BU763" s="207" t="n"/>
      <c r="BV763" s="208" t="n"/>
      <c r="BW763" s="207" t="n"/>
      <c r="BX763" s="207" t="n"/>
      <c r="BY763" s="204" t="n"/>
      <c r="BZ763" s="148" t="n"/>
      <c r="CA763" s="204" t="n"/>
      <c r="CB763" s="208" t="n"/>
      <c r="CC763" s="139" t="n"/>
      <c r="CD763" s="204" t="n"/>
      <c r="CE763" s="204" t="n"/>
      <c r="CF763" s="207" t="n"/>
      <c r="CG763" s="208" t="n"/>
      <c r="CH763" s="207" t="n"/>
      <c r="CI763" s="208" t="n"/>
      <c r="CJ763" s="204" t="n"/>
      <c r="CK763" s="208" t="n"/>
      <c r="CL763" s="208" t="n"/>
      <c r="CM763" s="208" t="n"/>
      <c r="CN763" s="78" t="n"/>
      <c r="CO763" s="209" t="n"/>
      <c r="CP763" s="204" t="n"/>
      <c r="CQ763" s="204" t="n"/>
      <c r="CR763" s="204" t="n"/>
      <c r="CS763" s="204" t="n"/>
      <c r="CT763" s="204" t="n"/>
      <c r="CU763" s="204" t="n"/>
      <c r="CV763" s="204" t="n"/>
      <c r="CW763" s="204" t="n"/>
    </row>
    <row r="764">
      <c r="BF764" s="78" t="n"/>
      <c r="BG764" s="78" t="n"/>
      <c r="BH764" s="78" t="n"/>
      <c r="BI764" s="78" t="n"/>
      <c r="BJ764" s="139" t="n"/>
      <c r="BK764" s="204" t="n"/>
      <c r="BL764" s="141" t="n"/>
      <c r="BM764" s="205" t="n"/>
      <c r="BN764" s="205" t="n"/>
      <c r="BO764" s="206" t="n"/>
      <c r="BP764" s="144" t="n"/>
      <c r="BQ764" s="141" t="n"/>
      <c r="BR764" s="207" t="n"/>
      <c r="BS764" s="207" t="n"/>
      <c r="BT764" s="207" t="n"/>
      <c r="BU764" s="207" t="n"/>
      <c r="BV764" s="208" t="n"/>
      <c r="BW764" s="207" t="n"/>
      <c r="BX764" s="207" t="n"/>
      <c r="BY764" s="204" t="n"/>
      <c r="BZ764" s="148" t="n"/>
      <c r="CA764" s="204" t="n"/>
      <c r="CB764" s="208" t="n"/>
      <c r="CC764" s="139" t="n"/>
      <c r="CD764" s="204" t="n"/>
      <c r="CE764" s="204" t="n"/>
      <c r="CF764" s="207" t="n"/>
      <c r="CG764" s="208" t="n"/>
      <c r="CH764" s="207" t="n"/>
      <c r="CI764" s="208" t="n"/>
      <c r="CJ764" s="204" t="n"/>
      <c r="CK764" s="208" t="n"/>
      <c r="CL764" s="208" t="n"/>
      <c r="CM764" s="208" t="n"/>
      <c r="CN764" s="78" t="n"/>
      <c r="CO764" s="209" t="n"/>
      <c r="CP764" s="204" t="n"/>
      <c r="CQ764" s="204" t="n"/>
      <c r="CR764" s="204" t="n"/>
      <c r="CS764" s="204" t="n"/>
      <c r="CT764" s="204" t="n"/>
      <c r="CU764" s="204" t="n"/>
      <c r="CV764" s="204" t="n"/>
      <c r="CW764" s="204" t="n"/>
    </row>
    <row r="765">
      <c r="BF765" s="78" t="n"/>
      <c r="BG765" s="78" t="n"/>
      <c r="BH765" s="78" t="n"/>
      <c r="BI765" s="78" t="n"/>
      <c r="BJ765" s="139" t="n"/>
      <c r="BK765" s="204" t="n"/>
      <c r="BL765" s="141" t="n"/>
      <c r="BM765" s="205" t="n"/>
      <c r="BN765" s="205" t="n"/>
      <c r="BO765" s="206" t="n"/>
      <c r="BP765" s="144" t="n"/>
      <c r="BQ765" s="141" t="n"/>
      <c r="BR765" s="207" t="n"/>
      <c r="BS765" s="207" t="n"/>
      <c r="BT765" s="207" t="n"/>
      <c r="BU765" s="207" t="n"/>
      <c r="BV765" s="208" t="n"/>
      <c r="BW765" s="207" t="n"/>
      <c r="BX765" s="207" t="n"/>
      <c r="BY765" s="204" t="n"/>
      <c r="BZ765" s="148" t="n"/>
      <c r="CA765" s="204" t="n"/>
      <c r="CB765" s="208" t="n"/>
      <c r="CC765" s="139" t="n"/>
      <c r="CD765" s="204" t="n"/>
      <c r="CE765" s="204" t="n"/>
      <c r="CF765" s="207" t="n"/>
      <c r="CG765" s="208" t="n"/>
      <c r="CH765" s="207" t="n"/>
      <c r="CI765" s="208" t="n"/>
      <c r="CJ765" s="204" t="n"/>
      <c r="CK765" s="208" t="n"/>
      <c r="CL765" s="208" t="n"/>
      <c r="CM765" s="208" t="n"/>
      <c r="CN765" s="78" t="n"/>
      <c r="CO765" s="209" t="n"/>
      <c r="CP765" s="204" t="n"/>
      <c r="CQ765" s="204" t="n"/>
      <c r="CR765" s="204" t="n"/>
      <c r="CS765" s="204" t="n"/>
      <c r="CT765" s="204" t="n"/>
      <c r="CU765" s="204" t="n"/>
      <c r="CV765" s="204" t="n"/>
      <c r="CW765" s="204" t="n"/>
    </row>
    <row r="766">
      <c r="BF766" s="78" t="n"/>
      <c r="BG766" s="78" t="n"/>
      <c r="BH766" s="78" t="n"/>
      <c r="BI766" s="78" t="n"/>
      <c r="BJ766" s="139" t="n"/>
      <c r="BK766" s="204" t="n"/>
      <c r="BL766" s="141" t="n"/>
      <c r="BM766" s="205" t="n"/>
      <c r="BN766" s="205" t="n"/>
      <c r="BO766" s="206" t="n"/>
      <c r="BP766" s="144" t="n"/>
      <c r="BQ766" s="141" t="n"/>
      <c r="BR766" s="207" t="n"/>
      <c r="BS766" s="207" t="n"/>
      <c r="BT766" s="207" t="n"/>
      <c r="BU766" s="207" t="n"/>
      <c r="BV766" s="208" t="n"/>
      <c r="BW766" s="207" t="n"/>
      <c r="BX766" s="207" t="n"/>
      <c r="BY766" s="204" t="n"/>
      <c r="BZ766" s="148" t="n"/>
      <c r="CA766" s="204" t="n"/>
      <c r="CB766" s="208" t="n"/>
      <c r="CC766" s="139" t="n"/>
      <c r="CD766" s="204" t="n"/>
      <c r="CE766" s="204" t="n"/>
      <c r="CF766" s="207" t="n"/>
      <c r="CG766" s="208" t="n"/>
      <c r="CH766" s="207" t="n"/>
      <c r="CI766" s="208" t="n"/>
      <c r="CJ766" s="204" t="n"/>
      <c r="CK766" s="208" t="n"/>
      <c r="CL766" s="208" t="n"/>
      <c r="CM766" s="208" t="n"/>
      <c r="CN766" s="78" t="n"/>
      <c r="CO766" s="209" t="n"/>
      <c r="CP766" s="204" t="n"/>
      <c r="CQ766" s="204" t="n"/>
      <c r="CR766" s="204" t="n"/>
      <c r="CS766" s="204" t="n"/>
      <c r="CT766" s="204" t="n"/>
      <c r="CU766" s="204" t="n"/>
      <c r="CV766" s="204" t="n"/>
      <c r="CW766" s="204" t="n"/>
    </row>
    <row r="767">
      <c r="BF767" s="78" t="n"/>
      <c r="BG767" s="78" t="n"/>
      <c r="BH767" s="78" t="n"/>
      <c r="BI767" s="78" t="n"/>
      <c r="BJ767" s="139" t="n"/>
      <c r="BK767" s="204" t="n"/>
      <c r="BL767" s="141" t="n"/>
      <c r="BM767" s="205" t="n"/>
      <c r="BN767" s="205" t="n"/>
      <c r="BO767" s="206" t="n"/>
      <c r="BP767" s="144" t="n"/>
      <c r="BQ767" s="141" t="n"/>
      <c r="BR767" s="207" t="n"/>
      <c r="BS767" s="207" t="n"/>
      <c r="BT767" s="207" t="n"/>
      <c r="BU767" s="207" t="n"/>
      <c r="BV767" s="208" t="n"/>
      <c r="BW767" s="207" t="n"/>
      <c r="BX767" s="207" t="n"/>
      <c r="BY767" s="204" t="n"/>
      <c r="BZ767" s="148" t="n"/>
      <c r="CA767" s="204" t="n"/>
      <c r="CB767" s="208" t="n"/>
      <c r="CC767" s="139" t="n"/>
      <c r="CD767" s="204" t="n"/>
      <c r="CE767" s="204" t="n"/>
      <c r="CF767" s="207" t="n"/>
      <c r="CG767" s="208" t="n"/>
      <c r="CH767" s="207" t="n"/>
      <c r="CI767" s="208" t="n"/>
      <c r="CJ767" s="204" t="n"/>
      <c r="CK767" s="208" t="n"/>
      <c r="CL767" s="208" t="n"/>
      <c r="CM767" s="208" t="n"/>
      <c r="CN767" s="78" t="n"/>
      <c r="CO767" s="209" t="n"/>
      <c r="CP767" s="204" t="n"/>
      <c r="CQ767" s="204" t="n"/>
      <c r="CR767" s="204" t="n"/>
      <c r="CS767" s="204" t="n"/>
      <c r="CT767" s="204" t="n"/>
      <c r="CU767" s="204" t="n"/>
      <c r="CV767" s="204" t="n"/>
      <c r="CW767" s="204" t="n"/>
    </row>
    <row r="768">
      <c r="BF768" s="78" t="n"/>
      <c r="BG768" s="78" t="n"/>
      <c r="BH768" s="78" t="n"/>
      <c r="BI768" s="78" t="n"/>
      <c r="BJ768" s="139" t="n"/>
      <c r="BK768" s="204" t="n"/>
      <c r="BL768" s="141" t="n"/>
      <c r="BM768" s="205" t="n"/>
      <c r="BN768" s="205" t="n"/>
      <c r="BO768" s="206" t="n"/>
      <c r="BP768" s="144" t="n"/>
      <c r="BQ768" s="141" t="n"/>
      <c r="BR768" s="207" t="n"/>
      <c r="BS768" s="207" t="n"/>
      <c r="BT768" s="207" t="n"/>
      <c r="BU768" s="207" t="n"/>
      <c r="BV768" s="208" t="n"/>
      <c r="BW768" s="207" t="n"/>
      <c r="BX768" s="207" t="n"/>
      <c r="BY768" s="204" t="n"/>
      <c r="BZ768" s="148" t="n"/>
      <c r="CA768" s="204" t="n"/>
      <c r="CB768" s="208" t="n"/>
      <c r="CC768" s="139" t="n"/>
      <c r="CD768" s="204" t="n"/>
      <c r="CE768" s="204" t="n"/>
      <c r="CF768" s="207" t="n"/>
      <c r="CG768" s="208" t="n"/>
      <c r="CH768" s="207" t="n"/>
      <c r="CI768" s="208" t="n"/>
      <c r="CJ768" s="204" t="n"/>
      <c r="CK768" s="208" t="n"/>
      <c r="CL768" s="208" t="n"/>
      <c r="CM768" s="208" t="n"/>
      <c r="CN768" s="78" t="n"/>
      <c r="CO768" s="209" t="n"/>
      <c r="CP768" s="204" t="n"/>
      <c r="CQ768" s="204" t="n"/>
      <c r="CR768" s="204" t="n"/>
      <c r="CS768" s="204" t="n"/>
      <c r="CT768" s="204" t="n"/>
      <c r="CU768" s="204" t="n"/>
      <c r="CV768" s="204" t="n"/>
      <c r="CW768" s="204" t="n"/>
    </row>
    <row r="769">
      <c r="BF769" s="78" t="n"/>
      <c r="BG769" s="78" t="n"/>
      <c r="BH769" s="78" t="n"/>
      <c r="BI769" s="78" t="n"/>
      <c r="BJ769" s="139" t="n"/>
      <c r="BK769" s="204" t="n"/>
      <c r="BL769" s="141" t="n"/>
      <c r="BM769" s="205" t="n"/>
      <c r="BN769" s="205" t="n"/>
      <c r="BO769" s="206" t="n"/>
      <c r="BP769" s="144" t="n"/>
      <c r="BQ769" s="141" t="n"/>
      <c r="BR769" s="207" t="n"/>
      <c r="BS769" s="207" t="n"/>
      <c r="BT769" s="207" t="n"/>
      <c r="BU769" s="207" t="n"/>
      <c r="BV769" s="208" t="n"/>
      <c r="BW769" s="207" t="n"/>
      <c r="BX769" s="207" t="n"/>
      <c r="BY769" s="204" t="n"/>
      <c r="BZ769" s="148" t="n"/>
      <c r="CA769" s="204" t="n"/>
      <c r="CB769" s="208" t="n"/>
      <c r="CC769" s="139" t="n"/>
      <c r="CD769" s="204" t="n"/>
      <c r="CE769" s="204" t="n"/>
      <c r="CF769" s="207" t="n"/>
      <c r="CG769" s="208" t="n"/>
      <c r="CH769" s="207" t="n"/>
      <c r="CI769" s="208" t="n"/>
      <c r="CJ769" s="204" t="n"/>
      <c r="CK769" s="208" t="n"/>
      <c r="CL769" s="208" t="n"/>
      <c r="CM769" s="208" t="n"/>
      <c r="CN769" s="78" t="n"/>
      <c r="CO769" s="209" t="n"/>
      <c r="CP769" s="204" t="n"/>
      <c r="CQ769" s="204" t="n"/>
      <c r="CR769" s="204" t="n"/>
      <c r="CS769" s="204" t="n"/>
      <c r="CT769" s="204" t="n"/>
      <c r="CU769" s="204" t="n"/>
      <c r="CV769" s="204" t="n"/>
      <c r="CW769" s="204" t="n"/>
    </row>
    <row r="770">
      <c r="BF770" s="78" t="n"/>
      <c r="BG770" s="78" t="n"/>
      <c r="BH770" s="78" t="n"/>
      <c r="BI770" s="78" t="n"/>
      <c r="BJ770" s="139" t="n"/>
      <c r="BK770" s="204" t="n"/>
      <c r="BL770" s="141" t="n"/>
      <c r="BM770" s="205" t="n"/>
      <c r="BN770" s="205" t="n"/>
      <c r="BO770" s="206" t="n"/>
      <c r="BP770" s="144" t="n"/>
      <c r="BQ770" s="141" t="n"/>
      <c r="BR770" s="207" t="n"/>
      <c r="BS770" s="207" t="n"/>
      <c r="BT770" s="207" t="n"/>
      <c r="BU770" s="207" t="n"/>
      <c r="BV770" s="208" t="n"/>
      <c r="BW770" s="207" t="n"/>
      <c r="BX770" s="207" t="n"/>
      <c r="BY770" s="204" t="n"/>
      <c r="BZ770" s="148" t="n"/>
      <c r="CA770" s="204" t="n"/>
      <c r="CB770" s="208" t="n"/>
      <c r="CC770" s="139" t="n"/>
      <c r="CD770" s="204" t="n"/>
      <c r="CE770" s="204" t="n"/>
      <c r="CF770" s="207" t="n"/>
      <c r="CG770" s="208" t="n"/>
      <c r="CH770" s="207" t="n"/>
      <c r="CI770" s="208" t="n"/>
      <c r="CJ770" s="204" t="n"/>
      <c r="CK770" s="208" t="n"/>
      <c r="CL770" s="208" t="n"/>
      <c r="CM770" s="208" t="n"/>
      <c r="CN770" s="78" t="n"/>
      <c r="CO770" s="209" t="n"/>
      <c r="CP770" s="204" t="n"/>
      <c r="CQ770" s="204" t="n"/>
      <c r="CR770" s="204" t="n"/>
      <c r="CS770" s="204" t="n"/>
      <c r="CT770" s="204" t="n"/>
      <c r="CU770" s="204" t="n"/>
      <c r="CV770" s="204" t="n"/>
      <c r="CW770" s="204" t="n"/>
    </row>
    <row r="771">
      <c r="BF771" s="78" t="n"/>
      <c r="BG771" s="78" t="n"/>
      <c r="BH771" s="78" t="n"/>
      <c r="BI771" s="78" t="n"/>
      <c r="BJ771" s="139" t="n"/>
      <c r="BK771" s="204" t="n"/>
      <c r="BL771" s="141" t="n"/>
      <c r="BM771" s="205" t="n"/>
      <c r="BN771" s="205" t="n"/>
      <c r="BO771" s="206" t="n"/>
      <c r="BP771" s="144" t="n"/>
      <c r="BQ771" s="141" t="n"/>
      <c r="BR771" s="207" t="n"/>
      <c r="BS771" s="207" t="n"/>
      <c r="BT771" s="207" t="n"/>
      <c r="BU771" s="207" t="n"/>
      <c r="BV771" s="208" t="n"/>
      <c r="BW771" s="207" t="n"/>
      <c r="BX771" s="207" t="n"/>
      <c r="BY771" s="204" t="n"/>
      <c r="BZ771" s="148" t="n"/>
      <c r="CA771" s="204" t="n"/>
      <c r="CB771" s="208" t="n"/>
      <c r="CC771" s="139" t="n"/>
      <c r="CD771" s="204" t="n"/>
      <c r="CE771" s="204" t="n"/>
      <c r="CF771" s="207" t="n"/>
      <c r="CG771" s="208" t="n"/>
      <c r="CH771" s="207" t="n"/>
      <c r="CI771" s="208" t="n"/>
      <c r="CJ771" s="204" t="n"/>
      <c r="CK771" s="208" t="n"/>
      <c r="CL771" s="208" t="n"/>
      <c r="CM771" s="208" t="n"/>
      <c r="CN771" s="78" t="n"/>
      <c r="CO771" s="209" t="n"/>
      <c r="CP771" s="204" t="n"/>
      <c r="CQ771" s="204" t="n"/>
      <c r="CR771" s="204" t="n"/>
      <c r="CS771" s="204" t="n"/>
      <c r="CT771" s="204" t="n"/>
      <c r="CU771" s="204" t="n"/>
      <c r="CV771" s="204" t="n"/>
      <c r="CW771" s="204" t="n"/>
    </row>
    <row r="772">
      <c r="BF772" s="78" t="n"/>
      <c r="BG772" s="78" t="n"/>
      <c r="BH772" s="78" t="n"/>
      <c r="BI772" s="78" t="n"/>
      <c r="BJ772" s="139" t="n"/>
      <c r="BK772" s="204" t="n"/>
      <c r="BL772" s="141" t="n"/>
      <c r="BM772" s="205" t="n"/>
      <c r="BN772" s="205" t="n"/>
      <c r="BO772" s="206" t="n"/>
      <c r="BP772" s="144" t="n"/>
      <c r="BQ772" s="141" t="n"/>
      <c r="BR772" s="207" t="n"/>
      <c r="BS772" s="207" t="n"/>
      <c r="BT772" s="207" t="n"/>
      <c r="BU772" s="207" t="n"/>
      <c r="BV772" s="208" t="n"/>
      <c r="BW772" s="207" t="n"/>
      <c r="BX772" s="207" t="n"/>
      <c r="BY772" s="204" t="n"/>
      <c r="BZ772" s="148" t="n"/>
      <c r="CA772" s="204" t="n"/>
      <c r="CB772" s="208" t="n"/>
      <c r="CC772" s="139" t="n"/>
      <c r="CD772" s="204" t="n"/>
      <c r="CE772" s="204" t="n"/>
      <c r="CF772" s="207" t="n"/>
      <c r="CG772" s="208" t="n"/>
      <c r="CH772" s="207" t="n"/>
      <c r="CI772" s="208" t="n"/>
      <c r="CJ772" s="204" t="n"/>
      <c r="CK772" s="208" t="n"/>
      <c r="CL772" s="208" t="n"/>
      <c r="CM772" s="208" t="n"/>
      <c r="CN772" s="78" t="n"/>
      <c r="CO772" s="209" t="n"/>
      <c r="CP772" s="204" t="n"/>
      <c r="CQ772" s="204" t="n"/>
      <c r="CR772" s="204" t="n"/>
      <c r="CS772" s="204" t="n"/>
      <c r="CT772" s="204" t="n"/>
      <c r="CU772" s="204" t="n"/>
      <c r="CV772" s="204" t="n"/>
      <c r="CW772" s="204" t="n"/>
    </row>
    <row r="773">
      <c r="BF773" s="78" t="n"/>
      <c r="BG773" s="78" t="n"/>
      <c r="BH773" s="78" t="n"/>
      <c r="BI773" s="78" t="n"/>
      <c r="BJ773" s="139" t="n"/>
      <c r="BK773" s="204" t="n"/>
      <c r="BL773" s="141" t="n"/>
      <c r="BM773" s="205" t="n"/>
      <c r="BN773" s="205" t="n"/>
      <c r="BO773" s="206" t="n"/>
      <c r="BP773" s="144" t="n"/>
      <c r="BQ773" s="141" t="n"/>
      <c r="BR773" s="207" t="n"/>
      <c r="BS773" s="207" t="n"/>
      <c r="BT773" s="207" t="n"/>
      <c r="BU773" s="207" t="n"/>
      <c r="BV773" s="208" t="n"/>
      <c r="BW773" s="207" t="n"/>
      <c r="BX773" s="207" t="n"/>
      <c r="BY773" s="204" t="n"/>
      <c r="BZ773" s="148" t="n"/>
      <c r="CA773" s="204" t="n"/>
      <c r="CB773" s="208" t="n"/>
      <c r="CC773" s="139" t="n"/>
      <c r="CD773" s="204" t="n"/>
      <c r="CE773" s="204" t="n"/>
      <c r="CF773" s="207" t="n"/>
      <c r="CG773" s="208" t="n"/>
      <c r="CH773" s="207" t="n"/>
      <c r="CI773" s="208" t="n"/>
      <c r="CJ773" s="204" t="n"/>
      <c r="CK773" s="208" t="n"/>
      <c r="CL773" s="208" t="n"/>
      <c r="CM773" s="208" t="n"/>
      <c r="CN773" s="78" t="n"/>
      <c r="CO773" s="209" t="n"/>
      <c r="CP773" s="204" t="n"/>
      <c r="CQ773" s="204" t="n"/>
      <c r="CR773" s="204" t="n"/>
      <c r="CS773" s="204" t="n"/>
      <c r="CT773" s="204" t="n"/>
      <c r="CU773" s="204" t="n"/>
      <c r="CV773" s="204" t="n"/>
      <c r="CW773" s="204" t="n"/>
    </row>
    <row r="774">
      <c r="BF774" s="78" t="n"/>
      <c r="BG774" s="78" t="n"/>
      <c r="BH774" s="78" t="n"/>
      <c r="BI774" s="78" t="n"/>
      <c r="BJ774" s="139" t="n"/>
      <c r="BK774" s="204" t="n"/>
      <c r="BL774" s="141" t="n"/>
      <c r="BM774" s="205" t="n"/>
      <c r="BN774" s="205" t="n"/>
      <c r="BO774" s="206" t="n"/>
      <c r="BP774" s="144" t="n"/>
      <c r="BQ774" s="141" t="n"/>
      <c r="BR774" s="207" t="n"/>
      <c r="BS774" s="207" t="n"/>
      <c r="BT774" s="207" t="n"/>
      <c r="BU774" s="207" t="n"/>
      <c r="BV774" s="208" t="n"/>
      <c r="BW774" s="207" t="n"/>
      <c r="BX774" s="207" t="n"/>
      <c r="BY774" s="204" t="n"/>
      <c r="BZ774" s="148" t="n"/>
      <c r="CA774" s="204" t="n"/>
      <c r="CB774" s="208" t="n"/>
      <c r="CC774" s="139" t="n"/>
      <c r="CD774" s="204" t="n"/>
      <c r="CE774" s="204" t="n"/>
      <c r="CF774" s="207" t="n"/>
      <c r="CG774" s="208" t="n"/>
      <c r="CH774" s="207" t="n"/>
      <c r="CI774" s="208" t="n"/>
      <c r="CJ774" s="204" t="n"/>
      <c r="CK774" s="208" t="n"/>
      <c r="CL774" s="208" t="n"/>
      <c r="CM774" s="208" t="n"/>
      <c r="CN774" s="78" t="n"/>
      <c r="CO774" s="209" t="n"/>
      <c r="CP774" s="204" t="n"/>
      <c r="CQ774" s="204" t="n"/>
      <c r="CR774" s="204" t="n"/>
      <c r="CS774" s="204" t="n"/>
      <c r="CT774" s="204" t="n"/>
      <c r="CU774" s="204" t="n"/>
      <c r="CV774" s="204" t="n"/>
      <c r="CW774" s="204" t="n"/>
    </row>
    <row r="775">
      <c r="AR775" s="151" t="n"/>
      <c r="BF775" s="78" t="n"/>
      <c r="BG775" s="78" t="n"/>
      <c r="BH775" s="78" t="n"/>
      <c r="BI775" s="78" t="n"/>
      <c r="BJ775" s="139" t="n"/>
      <c r="BK775" s="204" t="n"/>
      <c r="BL775" s="141" t="n"/>
      <c r="BM775" s="205" t="n"/>
      <c r="BN775" s="205" t="n"/>
      <c r="BO775" s="206" t="n"/>
      <c r="BP775" s="144" t="n"/>
      <c r="BQ775" s="141" t="n"/>
      <c r="BR775" s="207" t="n"/>
      <c r="BS775" s="207" t="n"/>
      <c r="BT775" s="207" t="n"/>
      <c r="BU775" s="207" t="n"/>
      <c r="BV775" s="208" t="n"/>
      <c r="BW775" s="207" t="n"/>
      <c r="BX775" s="207" t="n"/>
      <c r="BY775" s="204" t="n"/>
      <c r="BZ775" s="148" t="n"/>
      <c r="CA775" s="204" t="n"/>
      <c r="CB775" s="208" t="n"/>
      <c r="CC775" s="139" t="n"/>
      <c r="CD775" s="204" t="n"/>
      <c r="CE775" s="204" t="n"/>
      <c r="CF775" s="207" t="n"/>
      <c r="CG775" s="208" t="n"/>
      <c r="CH775" s="207" t="n"/>
      <c r="CI775" s="208" t="n"/>
      <c r="CJ775" s="204" t="n"/>
      <c r="CK775" s="208" t="n"/>
      <c r="CL775" s="208" t="n"/>
      <c r="CM775" s="208" t="n"/>
      <c r="CN775" s="78" t="n"/>
      <c r="CO775" s="209" t="n"/>
      <c r="CP775" s="204" t="n"/>
      <c r="CQ775" s="204" t="n"/>
      <c r="CR775" s="204" t="n"/>
      <c r="CS775" s="204" t="n"/>
      <c r="CT775" s="204" t="n"/>
      <c r="CU775" s="204" t="n"/>
      <c r="CV775" s="204" t="n"/>
      <c r="CW775" s="204" t="n"/>
    </row>
    <row r="776">
      <c r="AR776" s="151" t="n"/>
      <c r="BF776" s="78" t="n"/>
      <c r="BG776" s="78" t="n"/>
      <c r="BH776" s="78" t="n"/>
      <c r="BI776" s="78" t="n"/>
      <c r="BJ776" s="139" t="n"/>
      <c r="BK776" s="204" t="n"/>
      <c r="BL776" s="141" t="n"/>
      <c r="BM776" s="205" t="n"/>
      <c r="BN776" s="205" t="n"/>
      <c r="BO776" s="206" t="n"/>
      <c r="BP776" s="144" t="n"/>
      <c r="BQ776" s="141" t="n"/>
      <c r="BR776" s="207" t="n"/>
      <c r="BS776" s="207" t="n"/>
      <c r="BT776" s="207" t="n"/>
      <c r="BU776" s="207" t="n"/>
      <c r="BV776" s="208" t="n"/>
      <c r="BW776" s="207" t="n"/>
      <c r="BX776" s="207" t="n"/>
      <c r="BY776" s="204" t="n"/>
      <c r="BZ776" s="148" t="n"/>
      <c r="CA776" s="204" t="n"/>
      <c r="CB776" s="208" t="n"/>
      <c r="CC776" s="139" t="n"/>
      <c r="CD776" s="204" t="n"/>
      <c r="CE776" s="204" t="n"/>
      <c r="CF776" s="207" t="n"/>
      <c r="CG776" s="208" t="n"/>
      <c r="CH776" s="207" t="n"/>
      <c r="CI776" s="208" t="n"/>
      <c r="CJ776" s="204" t="n"/>
      <c r="CK776" s="208" t="n"/>
      <c r="CL776" s="208" t="n"/>
      <c r="CM776" s="208" t="n"/>
      <c r="CN776" s="78" t="n"/>
      <c r="CO776" s="209" t="n"/>
      <c r="CP776" s="204" t="n"/>
      <c r="CQ776" s="204" t="n"/>
      <c r="CR776" s="204" t="n"/>
      <c r="CS776" s="204" t="n"/>
      <c r="CT776" s="204" t="n"/>
      <c r="CU776" s="204" t="n"/>
      <c r="CV776" s="204" t="n"/>
      <c r="CW776" s="204" t="n"/>
    </row>
    <row r="777">
      <c r="BF777" s="78" t="n"/>
      <c r="BG777" s="78" t="n"/>
      <c r="BH777" s="78" t="n"/>
      <c r="BI777" s="78" t="n"/>
      <c r="BJ777" s="139" t="n"/>
      <c r="BK777" s="204" t="n"/>
      <c r="BL777" s="141" t="n"/>
      <c r="BM777" s="205" t="n"/>
      <c r="BN777" s="205" t="n"/>
      <c r="BO777" s="206" t="n"/>
      <c r="BP777" s="144" t="n"/>
      <c r="BQ777" s="141" t="n"/>
      <c r="BR777" s="207" t="n"/>
      <c r="BS777" s="207" t="n"/>
      <c r="BT777" s="207" t="n"/>
      <c r="BU777" s="207" t="n"/>
      <c r="BV777" s="208" t="n"/>
      <c r="BW777" s="207" t="n"/>
      <c r="BX777" s="207" t="n"/>
      <c r="BY777" s="204" t="n"/>
      <c r="BZ777" s="148" t="n"/>
      <c r="CA777" s="204" t="n"/>
      <c r="CB777" s="208" t="n"/>
      <c r="CC777" s="139" t="n"/>
      <c r="CD777" s="204" t="n"/>
      <c r="CE777" s="204" t="n"/>
      <c r="CF777" s="207" t="n"/>
      <c r="CG777" s="208" t="n"/>
      <c r="CH777" s="207" t="n"/>
      <c r="CI777" s="208" t="n"/>
      <c r="CJ777" s="204" t="n"/>
      <c r="CK777" s="208" t="n"/>
      <c r="CL777" s="208" t="n"/>
      <c r="CM777" s="208" t="n"/>
      <c r="CN777" s="78" t="n"/>
      <c r="CO777" s="209" t="n"/>
      <c r="CP777" s="204" t="n"/>
      <c r="CQ777" s="204" t="n"/>
      <c r="CR777" s="204" t="n"/>
      <c r="CS777" s="204" t="n"/>
      <c r="CT777" s="204" t="n"/>
      <c r="CU777" s="204" t="n"/>
      <c r="CV777" s="204" t="n"/>
      <c r="CW777" s="204" t="n"/>
    </row>
    <row r="778">
      <c r="BF778" s="78" t="n"/>
      <c r="BG778" s="78" t="n"/>
      <c r="BH778" s="78" t="n"/>
      <c r="BI778" s="78" t="n"/>
      <c r="BJ778" s="139" t="n"/>
      <c r="BK778" s="204" t="n"/>
      <c r="BL778" s="141" t="n"/>
      <c r="BM778" s="205" t="n"/>
      <c r="BN778" s="205" t="n"/>
      <c r="BO778" s="206" t="n"/>
      <c r="BP778" s="144" t="n"/>
      <c r="BQ778" s="141" t="n"/>
      <c r="BR778" s="207" t="n"/>
      <c r="BS778" s="207" t="n"/>
      <c r="BT778" s="207" t="n"/>
      <c r="BU778" s="207" t="n"/>
      <c r="BV778" s="208" t="n"/>
      <c r="BW778" s="207" t="n"/>
      <c r="BX778" s="207" t="n"/>
      <c r="BY778" s="204" t="n"/>
      <c r="BZ778" s="148" t="n"/>
      <c r="CA778" s="204" t="n"/>
      <c r="CB778" s="208" t="n"/>
      <c r="CC778" s="139" t="n"/>
      <c r="CD778" s="204" t="n"/>
      <c r="CE778" s="204" t="n"/>
      <c r="CF778" s="207" t="n"/>
      <c r="CG778" s="208" t="n"/>
      <c r="CH778" s="207" t="n"/>
      <c r="CI778" s="208" t="n"/>
      <c r="CJ778" s="204" t="n"/>
      <c r="CK778" s="208" t="n"/>
      <c r="CL778" s="208" t="n"/>
      <c r="CM778" s="208" t="n"/>
      <c r="CN778" s="78" t="n"/>
      <c r="CO778" s="209" t="n"/>
      <c r="CP778" s="204" t="n"/>
      <c r="CQ778" s="204" t="n"/>
      <c r="CR778" s="204" t="n"/>
      <c r="CS778" s="204" t="n"/>
      <c r="CT778" s="204" t="n"/>
      <c r="CU778" s="204" t="n"/>
      <c r="CV778" s="204" t="n"/>
      <c r="CW778" s="204" t="n"/>
    </row>
    <row r="779">
      <c r="BF779" s="78" t="n"/>
      <c r="BG779" s="78" t="n"/>
      <c r="BH779" s="78" t="n"/>
      <c r="BI779" s="78" t="n"/>
      <c r="BJ779" s="139" t="n"/>
      <c r="BK779" s="204" t="n"/>
      <c r="BL779" s="141" t="n"/>
      <c r="BM779" s="205" t="n"/>
      <c r="BN779" s="205" t="n"/>
      <c r="BO779" s="206" t="n"/>
      <c r="BP779" s="144" t="n"/>
      <c r="BQ779" s="141" t="n"/>
      <c r="BR779" s="207" t="n"/>
      <c r="BS779" s="207" t="n"/>
      <c r="BT779" s="207" t="n"/>
      <c r="BU779" s="207" t="n"/>
      <c r="BV779" s="208" t="n"/>
      <c r="BW779" s="207" t="n"/>
      <c r="BX779" s="207" t="n"/>
      <c r="BY779" s="204" t="n"/>
      <c r="BZ779" s="148" t="n"/>
      <c r="CA779" s="204" t="n"/>
      <c r="CB779" s="208" t="n"/>
      <c r="CC779" s="139" t="n"/>
      <c r="CD779" s="204" t="n"/>
      <c r="CE779" s="204" t="n"/>
      <c r="CF779" s="207" t="n"/>
      <c r="CG779" s="208" t="n"/>
      <c r="CH779" s="207" t="n"/>
      <c r="CI779" s="208" t="n"/>
      <c r="CJ779" s="204" t="n"/>
      <c r="CK779" s="208" t="n"/>
      <c r="CL779" s="208" t="n"/>
      <c r="CM779" s="208" t="n"/>
      <c r="CN779" s="78" t="n"/>
      <c r="CO779" s="209" t="n"/>
      <c r="CP779" s="204" t="n"/>
      <c r="CQ779" s="204" t="n"/>
      <c r="CR779" s="204" t="n"/>
      <c r="CS779" s="204" t="n"/>
      <c r="CT779" s="204" t="n"/>
      <c r="CU779" s="204" t="n"/>
      <c r="CV779" s="204" t="n"/>
      <c r="CW779" s="204" t="n"/>
    </row>
    <row r="780">
      <c r="AR780" s="151" t="n"/>
      <c r="BF780" s="78" t="n"/>
      <c r="BG780" s="78" t="n"/>
      <c r="BH780" s="78" t="n"/>
      <c r="BI780" s="78" t="n"/>
      <c r="BJ780" s="139" t="n"/>
      <c r="BK780" s="204" t="n"/>
      <c r="BL780" s="141" t="n"/>
      <c r="BM780" s="205" t="n"/>
      <c r="BN780" s="205" t="n"/>
      <c r="BO780" s="206" t="n"/>
      <c r="BP780" s="144" t="n"/>
      <c r="BQ780" s="141" t="n"/>
      <c r="BR780" s="207" t="n"/>
      <c r="BS780" s="207" t="n"/>
      <c r="BT780" s="207" t="n"/>
      <c r="BU780" s="207" t="n"/>
      <c r="BV780" s="208" t="n"/>
      <c r="BW780" s="207" t="n"/>
      <c r="BX780" s="207" t="n"/>
      <c r="BY780" s="204" t="n"/>
      <c r="BZ780" s="148" t="n"/>
      <c r="CA780" s="204" t="n"/>
      <c r="CB780" s="208" t="n"/>
      <c r="CC780" s="139" t="n"/>
      <c r="CD780" s="204" t="n"/>
      <c r="CE780" s="204" t="n"/>
      <c r="CF780" s="207" t="n"/>
      <c r="CG780" s="208" t="n"/>
      <c r="CH780" s="207" t="n"/>
      <c r="CI780" s="208" t="n"/>
      <c r="CJ780" s="204" t="n"/>
      <c r="CK780" s="208" t="n"/>
      <c r="CL780" s="208" t="n"/>
      <c r="CM780" s="208" t="n"/>
      <c r="CN780" s="78" t="n"/>
      <c r="CO780" s="209" t="n"/>
      <c r="CP780" s="204" t="n"/>
      <c r="CQ780" s="204" t="n"/>
      <c r="CR780" s="204" t="n"/>
      <c r="CS780" s="204" t="n"/>
      <c r="CT780" s="204" t="n"/>
      <c r="CU780" s="204" t="n"/>
      <c r="CV780" s="204" t="n"/>
      <c r="CW780" s="204" t="n"/>
    </row>
    <row r="781">
      <c r="BF781" s="78" t="n"/>
      <c r="BG781" s="78" t="n"/>
      <c r="BH781" s="78" t="n"/>
      <c r="BI781" s="78" t="n"/>
      <c r="BJ781" s="139" t="n"/>
      <c r="BK781" s="204" t="n"/>
      <c r="BL781" s="141" t="n"/>
      <c r="BM781" s="205" t="n"/>
      <c r="BN781" s="205" t="n"/>
      <c r="BO781" s="206" t="n"/>
      <c r="BP781" s="144" t="n"/>
      <c r="BQ781" s="141" t="n"/>
      <c r="BR781" s="207" t="n"/>
      <c r="BS781" s="207" t="n"/>
      <c r="BT781" s="207" t="n"/>
      <c r="BU781" s="207" t="n"/>
      <c r="BV781" s="208" t="n"/>
      <c r="BW781" s="207" t="n"/>
      <c r="BX781" s="207" t="n"/>
      <c r="BY781" s="204" t="n"/>
      <c r="BZ781" s="148" t="n"/>
      <c r="CA781" s="204" t="n"/>
      <c r="CB781" s="208" t="n"/>
      <c r="CC781" s="139" t="n"/>
      <c r="CD781" s="204" t="n"/>
      <c r="CE781" s="204" t="n"/>
      <c r="CF781" s="207" t="n"/>
      <c r="CG781" s="208" t="n"/>
      <c r="CH781" s="207" t="n"/>
      <c r="CI781" s="208" t="n"/>
      <c r="CJ781" s="204" t="n"/>
      <c r="CK781" s="208" t="n"/>
      <c r="CL781" s="208" t="n"/>
      <c r="CM781" s="208" t="n"/>
      <c r="CN781" s="78" t="n"/>
      <c r="CO781" s="209" t="n"/>
      <c r="CP781" s="204" t="n"/>
      <c r="CQ781" s="204" t="n"/>
      <c r="CR781" s="204" t="n"/>
      <c r="CS781" s="204" t="n"/>
      <c r="CT781" s="204" t="n"/>
      <c r="CU781" s="204" t="n"/>
      <c r="CV781" s="204" t="n"/>
      <c r="CW781" s="204" t="n"/>
    </row>
    <row r="782">
      <c r="BF782" s="78" t="n"/>
      <c r="BG782" s="78" t="n"/>
      <c r="BH782" s="78" t="n"/>
      <c r="BI782" s="78" t="n"/>
      <c r="BJ782" s="139" t="n"/>
      <c r="BK782" s="204" t="n"/>
      <c r="BL782" s="141" t="n"/>
      <c r="BM782" s="205" t="n"/>
      <c r="BN782" s="205" t="n"/>
      <c r="BO782" s="206" t="n"/>
      <c r="BP782" s="144" t="n"/>
      <c r="BQ782" s="141" t="n"/>
      <c r="BR782" s="207" t="n"/>
      <c r="BS782" s="207" t="n"/>
      <c r="BT782" s="207" t="n"/>
      <c r="BU782" s="207" t="n"/>
      <c r="BV782" s="208" t="n"/>
      <c r="BW782" s="207" t="n"/>
      <c r="BX782" s="207" t="n"/>
      <c r="BY782" s="204" t="n"/>
      <c r="BZ782" s="148" t="n"/>
      <c r="CA782" s="204" t="n"/>
      <c r="CB782" s="208" t="n"/>
      <c r="CC782" s="139" t="n"/>
      <c r="CD782" s="204" t="n"/>
      <c r="CE782" s="204" t="n"/>
      <c r="CF782" s="207" t="n"/>
      <c r="CG782" s="208" t="n"/>
      <c r="CH782" s="207" t="n"/>
      <c r="CI782" s="208" t="n"/>
      <c r="CJ782" s="204" t="n"/>
      <c r="CK782" s="208" t="n"/>
      <c r="CL782" s="208" t="n"/>
      <c r="CM782" s="208" t="n"/>
      <c r="CN782" s="78" t="n"/>
      <c r="CO782" s="209" t="n"/>
      <c r="CP782" s="204" t="n"/>
      <c r="CQ782" s="204" t="n"/>
      <c r="CR782" s="204" t="n"/>
      <c r="CS782" s="204" t="n"/>
      <c r="CT782" s="204" t="n"/>
      <c r="CU782" s="204" t="n"/>
      <c r="CV782" s="204" t="n"/>
      <c r="CW782" s="204" t="n"/>
    </row>
    <row r="783">
      <c r="BF783" s="78" t="n"/>
      <c r="BG783" s="78" t="n"/>
      <c r="BH783" s="78" t="n"/>
      <c r="BI783" s="78" t="n"/>
      <c r="BJ783" s="139" t="n"/>
      <c r="BK783" s="204" t="n"/>
      <c r="BL783" s="141" t="n"/>
      <c r="BM783" s="205" t="n"/>
      <c r="BN783" s="205" t="n"/>
      <c r="BO783" s="206" t="n"/>
      <c r="BP783" s="144" t="n"/>
      <c r="BQ783" s="141" t="n"/>
      <c r="BR783" s="207" t="n"/>
      <c r="BS783" s="207" t="n"/>
      <c r="BT783" s="207" t="n"/>
      <c r="BU783" s="207" t="n"/>
      <c r="BV783" s="208" t="n"/>
      <c r="BW783" s="207" t="n"/>
      <c r="BX783" s="207" t="n"/>
      <c r="BY783" s="204" t="n"/>
      <c r="BZ783" s="148" t="n"/>
      <c r="CA783" s="204" t="n"/>
      <c r="CB783" s="208" t="n"/>
      <c r="CC783" s="139" t="n"/>
      <c r="CD783" s="204" t="n"/>
      <c r="CE783" s="204" t="n"/>
      <c r="CF783" s="207" t="n"/>
      <c r="CG783" s="208" t="n"/>
      <c r="CH783" s="207" t="n"/>
      <c r="CI783" s="208" t="n"/>
      <c r="CJ783" s="204" t="n"/>
      <c r="CK783" s="208" t="n"/>
      <c r="CL783" s="208" t="n"/>
      <c r="CM783" s="208" t="n"/>
      <c r="CN783" s="78" t="n"/>
      <c r="CO783" s="209" t="n"/>
      <c r="CP783" s="204" t="n"/>
      <c r="CQ783" s="204" t="n"/>
      <c r="CR783" s="204" t="n"/>
      <c r="CS783" s="204" t="n"/>
      <c r="CT783" s="204" t="n"/>
      <c r="CU783" s="204" t="n"/>
      <c r="CV783" s="204" t="n"/>
      <c r="CW783" s="204" t="n"/>
    </row>
    <row r="784">
      <c r="BF784" s="78" t="n"/>
      <c r="BG784" s="78" t="n"/>
      <c r="BH784" s="78" t="n"/>
      <c r="BI784" s="78" t="n"/>
      <c r="BJ784" s="139" t="n"/>
      <c r="BK784" s="204" t="n"/>
      <c r="BL784" s="141" t="n"/>
      <c r="BM784" s="205" t="n"/>
      <c r="BN784" s="205" t="n"/>
      <c r="BO784" s="206" t="n"/>
      <c r="BP784" s="144" t="n"/>
      <c r="BQ784" s="141" t="n"/>
      <c r="BR784" s="207" t="n"/>
      <c r="BS784" s="207" t="n"/>
      <c r="BT784" s="207" t="n"/>
      <c r="BU784" s="207" t="n"/>
      <c r="BV784" s="208" t="n"/>
      <c r="BW784" s="207" t="n"/>
      <c r="BX784" s="207" t="n"/>
      <c r="BY784" s="204" t="n"/>
      <c r="BZ784" s="148" t="n"/>
      <c r="CA784" s="204" t="n"/>
      <c r="CB784" s="208" t="n"/>
      <c r="CC784" s="139" t="n"/>
      <c r="CD784" s="204" t="n"/>
      <c r="CE784" s="204" t="n"/>
      <c r="CF784" s="207" t="n"/>
      <c r="CG784" s="208" t="n"/>
      <c r="CH784" s="207" t="n"/>
      <c r="CI784" s="208" t="n"/>
      <c r="CJ784" s="204" t="n"/>
      <c r="CK784" s="208" t="n"/>
      <c r="CL784" s="208" t="n"/>
      <c r="CM784" s="208" t="n"/>
      <c r="CN784" s="78" t="n"/>
      <c r="CO784" s="209" t="n"/>
      <c r="CP784" s="204" t="n"/>
      <c r="CQ784" s="204" t="n"/>
      <c r="CR784" s="204" t="n"/>
      <c r="CS784" s="204" t="n"/>
      <c r="CT784" s="204" t="n"/>
      <c r="CU784" s="204" t="n"/>
      <c r="CV784" s="204" t="n"/>
      <c r="CW784" s="204" t="n"/>
    </row>
    <row r="785">
      <c r="BF785" s="78" t="n"/>
      <c r="BG785" s="78" t="n"/>
      <c r="BH785" s="78" t="n"/>
      <c r="BI785" s="78" t="n"/>
      <c r="BJ785" s="139" t="n"/>
      <c r="BK785" s="204" t="n"/>
      <c r="BL785" s="141" t="n"/>
      <c r="BM785" s="205" t="n"/>
      <c r="BN785" s="205" t="n"/>
      <c r="BO785" s="206" t="n"/>
      <c r="BP785" s="144" t="n"/>
      <c r="BQ785" s="141" t="n"/>
      <c r="BR785" s="207" t="n"/>
      <c r="BS785" s="207" t="n"/>
      <c r="BT785" s="207" t="n"/>
      <c r="BU785" s="207" t="n"/>
      <c r="BV785" s="208" t="n"/>
      <c r="BW785" s="207" t="n"/>
      <c r="BX785" s="207" t="n"/>
      <c r="BY785" s="204" t="n"/>
      <c r="BZ785" s="148" t="n"/>
      <c r="CA785" s="204" t="n"/>
      <c r="CB785" s="208" t="n"/>
      <c r="CC785" s="139" t="n"/>
      <c r="CD785" s="204" t="n"/>
      <c r="CE785" s="204" t="n"/>
      <c r="CF785" s="207" t="n"/>
      <c r="CG785" s="208" t="n"/>
      <c r="CH785" s="207" t="n"/>
      <c r="CI785" s="208" t="n"/>
      <c r="CJ785" s="204" t="n"/>
      <c r="CK785" s="208" t="n"/>
      <c r="CL785" s="208" t="n"/>
      <c r="CM785" s="208" t="n"/>
      <c r="CN785" s="78" t="n"/>
      <c r="CO785" s="209" t="n"/>
      <c r="CP785" s="204" t="n"/>
      <c r="CQ785" s="204" t="n"/>
      <c r="CR785" s="204" t="n"/>
      <c r="CS785" s="204" t="n"/>
      <c r="CT785" s="204" t="n"/>
      <c r="CU785" s="204" t="n"/>
      <c r="CV785" s="204" t="n"/>
      <c r="CW785" s="204" t="n"/>
    </row>
    <row r="786">
      <c r="BF786" s="78" t="n"/>
      <c r="BG786" s="78" t="n"/>
      <c r="BH786" s="78" t="n"/>
      <c r="BI786" s="78" t="n"/>
      <c r="BJ786" s="139" t="n"/>
      <c r="BK786" s="204" t="n"/>
      <c r="BL786" s="141" t="n"/>
      <c r="BM786" s="205" t="n"/>
      <c r="BN786" s="205" t="n"/>
      <c r="BO786" s="206" t="n"/>
      <c r="BP786" s="144" t="n"/>
      <c r="BQ786" s="141" t="n"/>
      <c r="BR786" s="207" t="n"/>
      <c r="BS786" s="207" t="n"/>
      <c r="BT786" s="207" t="n"/>
      <c r="BU786" s="207" t="n"/>
      <c r="BV786" s="208" t="n"/>
      <c r="BW786" s="207" t="n"/>
      <c r="BX786" s="207" t="n"/>
      <c r="BY786" s="204" t="n"/>
      <c r="BZ786" s="148" t="n"/>
      <c r="CA786" s="204" t="n"/>
      <c r="CB786" s="208" t="n"/>
      <c r="CC786" s="139" t="n"/>
      <c r="CD786" s="204" t="n"/>
      <c r="CE786" s="204" t="n"/>
      <c r="CF786" s="207" t="n"/>
      <c r="CG786" s="208" t="n"/>
      <c r="CH786" s="207" t="n"/>
      <c r="CI786" s="208" t="n"/>
      <c r="CJ786" s="204" t="n"/>
      <c r="CK786" s="208" t="n"/>
      <c r="CL786" s="208" t="n"/>
      <c r="CM786" s="208" t="n"/>
      <c r="CN786" s="78" t="n"/>
      <c r="CO786" s="209" t="n"/>
      <c r="CP786" s="204" t="n"/>
      <c r="CQ786" s="204" t="n"/>
      <c r="CR786" s="204" t="n"/>
      <c r="CS786" s="204" t="n"/>
      <c r="CT786" s="204" t="n"/>
      <c r="CU786" s="204" t="n"/>
      <c r="CV786" s="204" t="n"/>
      <c r="CW786" s="204" t="n"/>
    </row>
    <row r="787">
      <c r="BF787" s="78" t="n"/>
      <c r="BG787" s="78" t="n"/>
      <c r="BH787" s="78" t="n"/>
      <c r="BI787" s="78" t="n"/>
      <c r="BJ787" s="139" t="n"/>
      <c r="BK787" s="204" t="n"/>
      <c r="BL787" s="141" t="n"/>
      <c r="BM787" s="205" t="n"/>
      <c r="BN787" s="205" t="n"/>
      <c r="BO787" s="206" t="n"/>
      <c r="BP787" s="144" t="n"/>
      <c r="BQ787" s="141" t="n"/>
      <c r="BR787" s="207" t="n"/>
      <c r="BS787" s="207" t="n"/>
      <c r="BT787" s="207" t="n"/>
      <c r="BU787" s="207" t="n"/>
      <c r="BV787" s="208" t="n"/>
      <c r="BW787" s="207" t="n"/>
      <c r="BX787" s="207" t="n"/>
      <c r="BY787" s="204" t="n"/>
      <c r="BZ787" s="148" t="n"/>
      <c r="CA787" s="204" t="n"/>
      <c r="CB787" s="208" t="n"/>
      <c r="CC787" s="139" t="n"/>
      <c r="CD787" s="204" t="n"/>
      <c r="CE787" s="204" t="n"/>
      <c r="CF787" s="207" t="n"/>
      <c r="CG787" s="208" t="n"/>
      <c r="CH787" s="207" t="n"/>
      <c r="CI787" s="208" t="n"/>
      <c r="CJ787" s="204" t="n"/>
      <c r="CK787" s="208" t="n"/>
      <c r="CL787" s="208" t="n"/>
      <c r="CM787" s="208" t="n"/>
      <c r="CN787" s="78" t="n"/>
      <c r="CO787" s="209" t="n"/>
      <c r="CP787" s="204" t="n"/>
      <c r="CQ787" s="204" t="n"/>
      <c r="CR787" s="204" t="n"/>
      <c r="CS787" s="204" t="n"/>
      <c r="CT787" s="204" t="n"/>
      <c r="CU787" s="204" t="n"/>
      <c r="CV787" s="204" t="n"/>
      <c r="CW787" s="204" t="n"/>
    </row>
    <row r="788">
      <c r="BF788" s="78" t="n"/>
      <c r="BG788" s="78" t="n"/>
      <c r="BH788" s="78" t="n"/>
      <c r="BI788" s="78" t="n"/>
      <c r="BJ788" s="139" t="n"/>
      <c r="BK788" s="204" t="n"/>
      <c r="BL788" s="141" t="n"/>
      <c r="BM788" s="205" t="n"/>
      <c r="BN788" s="205" t="n"/>
      <c r="BO788" s="206" t="n"/>
      <c r="BP788" s="144" t="n"/>
      <c r="BQ788" s="141" t="n"/>
      <c r="BR788" s="207" t="n"/>
      <c r="BS788" s="207" t="n"/>
      <c r="BT788" s="207" t="n"/>
      <c r="BU788" s="207" t="n"/>
      <c r="BV788" s="208" t="n"/>
      <c r="BW788" s="207" t="n"/>
      <c r="BX788" s="207" t="n"/>
      <c r="BY788" s="204" t="n"/>
      <c r="BZ788" s="148" t="n"/>
      <c r="CA788" s="204" t="n"/>
      <c r="CB788" s="208" t="n"/>
      <c r="CC788" s="139" t="n"/>
      <c r="CD788" s="204" t="n"/>
      <c r="CE788" s="204" t="n"/>
      <c r="CF788" s="207" t="n"/>
      <c r="CG788" s="208" t="n"/>
      <c r="CH788" s="207" t="n"/>
      <c r="CI788" s="208" t="n"/>
      <c r="CJ788" s="204" t="n"/>
      <c r="CK788" s="208" t="n"/>
      <c r="CL788" s="208" t="n"/>
      <c r="CM788" s="208" t="n"/>
      <c r="CN788" s="78" t="n"/>
      <c r="CO788" s="209" t="n"/>
      <c r="CP788" s="204" t="n"/>
      <c r="CQ788" s="204" t="n"/>
      <c r="CR788" s="204" t="n"/>
      <c r="CS788" s="204" t="n"/>
      <c r="CT788" s="204" t="n"/>
      <c r="CU788" s="204" t="n"/>
      <c r="CV788" s="204" t="n"/>
      <c r="CW788" s="204" t="n"/>
    </row>
    <row r="789">
      <c r="BF789" s="78" t="n"/>
      <c r="BG789" s="78" t="n"/>
      <c r="BH789" s="78" t="n"/>
      <c r="BI789" s="78" t="n"/>
      <c r="BJ789" s="139" t="n"/>
      <c r="BK789" s="204" t="n"/>
      <c r="BL789" s="141" t="n"/>
      <c r="BM789" s="205" t="n"/>
      <c r="BN789" s="205" t="n"/>
      <c r="BO789" s="206" t="n"/>
      <c r="BP789" s="144" t="n"/>
      <c r="BQ789" s="141" t="n"/>
      <c r="BR789" s="207" t="n"/>
      <c r="BS789" s="207" t="n"/>
      <c r="BT789" s="207" t="n"/>
      <c r="BU789" s="207" t="n"/>
      <c r="BV789" s="208" t="n"/>
      <c r="BW789" s="207" t="n"/>
      <c r="BX789" s="207" t="n"/>
      <c r="BY789" s="204" t="n"/>
      <c r="BZ789" s="148" t="n"/>
      <c r="CA789" s="204" t="n"/>
      <c r="CB789" s="208" t="n"/>
      <c r="CC789" s="139" t="n"/>
      <c r="CD789" s="204" t="n"/>
      <c r="CE789" s="204" t="n"/>
      <c r="CF789" s="207" t="n"/>
      <c r="CG789" s="208" t="n"/>
      <c r="CH789" s="207" t="n"/>
      <c r="CI789" s="208" t="n"/>
      <c r="CJ789" s="204" t="n"/>
      <c r="CK789" s="208" t="n"/>
      <c r="CL789" s="208" t="n"/>
      <c r="CM789" s="208" t="n"/>
      <c r="CN789" s="78" t="n"/>
      <c r="CO789" s="209" t="n"/>
      <c r="CP789" s="204" t="n"/>
      <c r="CQ789" s="204" t="n"/>
      <c r="CR789" s="204" t="n"/>
      <c r="CS789" s="204" t="n"/>
      <c r="CT789" s="204" t="n"/>
      <c r="CU789" s="204" t="n"/>
      <c r="CV789" s="204" t="n"/>
      <c r="CW789" s="204" t="n"/>
    </row>
    <row r="790">
      <c r="BF790" s="78" t="n"/>
      <c r="BG790" s="78" t="n"/>
      <c r="BH790" s="78" t="n"/>
      <c r="BI790" s="78" t="n"/>
      <c r="BJ790" s="139" t="n"/>
      <c r="BK790" s="204" t="n"/>
      <c r="BL790" s="141" t="n"/>
      <c r="BM790" s="205" t="n"/>
      <c r="BN790" s="205" t="n"/>
      <c r="BO790" s="206" t="n"/>
      <c r="BP790" s="144" t="n"/>
      <c r="BQ790" s="141" t="n"/>
      <c r="BR790" s="207" t="n"/>
      <c r="BS790" s="207" t="n"/>
      <c r="BT790" s="207" t="n"/>
      <c r="BU790" s="207" t="n"/>
      <c r="BV790" s="208" t="n"/>
      <c r="BW790" s="207" t="n"/>
      <c r="BX790" s="207" t="n"/>
      <c r="BY790" s="204" t="n"/>
      <c r="BZ790" s="148" t="n"/>
      <c r="CA790" s="204" t="n"/>
      <c r="CB790" s="208" t="n"/>
      <c r="CC790" s="139" t="n"/>
      <c r="CD790" s="204" t="n"/>
      <c r="CE790" s="204" t="n"/>
      <c r="CF790" s="207" t="n"/>
      <c r="CG790" s="208" t="n"/>
      <c r="CH790" s="207" t="n"/>
      <c r="CI790" s="208" t="n"/>
      <c r="CJ790" s="204" t="n"/>
      <c r="CK790" s="208" t="n"/>
      <c r="CL790" s="208" t="n"/>
      <c r="CM790" s="208" t="n"/>
      <c r="CN790" s="78" t="n"/>
      <c r="CO790" s="209" t="n"/>
      <c r="CP790" s="204" t="n"/>
      <c r="CQ790" s="204" t="n"/>
      <c r="CR790" s="204" t="n"/>
      <c r="CS790" s="204" t="n"/>
      <c r="CT790" s="204" t="n"/>
      <c r="CU790" s="204" t="n"/>
      <c r="CV790" s="204" t="n"/>
      <c r="CW790" s="204" t="n"/>
    </row>
    <row r="791">
      <c r="BF791" s="78" t="n"/>
      <c r="BG791" s="78" t="n"/>
      <c r="BH791" s="78" t="n"/>
      <c r="BI791" s="78" t="n"/>
      <c r="BJ791" s="139" t="n"/>
      <c r="BK791" s="204" t="n"/>
      <c r="BL791" s="141" t="n"/>
      <c r="BM791" s="205" t="n"/>
      <c r="BN791" s="205" t="n"/>
      <c r="BO791" s="206" t="n"/>
      <c r="BP791" s="144" t="n"/>
      <c r="BQ791" s="141" t="n"/>
      <c r="BR791" s="207" t="n"/>
      <c r="BS791" s="207" t="n"/>
      <c r="BT791" s="207" t="n"/>
      <c r="BU791" s="207" t="n"/>
      <c r="BV791" s="208" t="n"/>
      <c r="BW791" s="207" t="n"/>
      <c r="BX791" s="207" t="n"/>
      <c r="BY791" s="204" t="n"/>
      <c r="BZ791" s="148" t="n"/>
      <c r="CA791" s="204" t="n"/>
      <c r="CB791" s="208" t="n"/>
      <c r="CC791" s="139" t="n"/>
      <c r="CD791" s="204" t="n"/>
      <c r="CE791" s="204" t="n"/>
      <c r="CF791" s="207" t="n"/>
      <c r="CG791" s="208" t="n"/>
      <c r="CH791" s="207" t="n"/>
      <c r="CI791" s="208" t="n"/>
      <c r="CJ791" s="204" t="n"/>
      <c r="CK791" s="208" t="n"/>
      <c r="CL791" s="208" t="n"/>
      <c r="CM791" s="208" t="n"/>
      <c r="CN791" s="78" t="n"/>
      <c r="CO791" s="209" t="n"/>
      <c r="CP791" s="204" t="n"/>
      <c r="CQ791" s="204" t="n"/>
      <c r="CR791" s="204" t="n"/>
      <c r="CS791" s="204" t="n"/>
      <c r="CT791" s="204" t="n"/>
      <c r="CU791" s="204" t="n"/>
      <c r="CV791" s="204" t="n"/>
      <c r="CW791" s="204" t="n"/>
    </row>
    <row r="792">
      <c r="BF792" s="78" t="n"/>
      <c r="BG792" s="78" t="n"/>
      <c r="BH792" s="78" t="n"/>
      <c r="BI792" s="78" t="n"/>
      <c r="BJ792" s="139" t="n"/>
      <c r="BK792" s="204" t="n"/>
      <c r="BL792" s="141" t="n"/>
      <c r="BM792" s="205" t="n"/>
      <c r="BN792" s="205" t="n"/>
      <c r="BO792" s="206" t="n"/>
      <c r="BP792" s="144" t="n"/>
      <c r="BQ792" s="141" t="n"/>
      <c r="BR792" s="207" t="n"/>
      <c r="BS792" s="207" t="n"/>
      <c r="BT792" s="207" t="n"/>
      <c r="BU792" s="207" t="n"/>
      <c r="BV792" s="208" t="n"/>
      <c r="BW792" s="207" t="n"/>
      <c r="BX792" s="207" t="n"/>
      <c r="BY792" s="204" t="n"/>
      <c r="BZ792" s="148" t="n"/>
      <c r="CA792" s="204" t="n"/>
      <c r="CB792" s="208" t="n"/>
      <c r="CC792" s="139" t="n"/>
      <c r="CD792" s="204" t="n"/>
      <c r="CE792" s="204" t="n"/>
      <c r="CF792" s="207" t="n"/>
      <c r="CG792" s="208" t="n"/>
      <c r="CH792" s="207" t="n"/>
      <c r="CI792" s="208" t="n"/>
      <c r="CJ792" s="204" t="n"/>
      <c r="CK792" s="208" t="n"/>
      <c r="CL792" s="208" t="n"/>
      <c r="CM792" s="208" t="n"/>
      <c r="CN792" s="78" t="n"/>
      <c r="CO792" s="209" t="n"/>
      <c r="CP792" s="204" t="n"/>
      <c r="CQ792" s="204" t="n"/>
      <c r="CR792" s="204" t="n"/>
      <c r="CS792" s="204" t="n"/>
      <c r="CT792" s="204" t="n"/>
      <c r="CU792" s="204" t="n"/>
      <c r="CV792" s="204" t="n"/>
      <c r="CW792" s="204" t="n"/>
    </row>
    <row r="793">
      <c r="BF793" s="78" t="n"/>
      <c r="BG793" s="78" t="n"/>
      <c r="BH793" s="78" t="n"/>
      <c r="BI793" s="78" t="n"/>
      <c r="BJ793" s="139" t="n"/>
      <c r="BK793" s="204" t="n"/>
      <c r="BL793" s="141" t="n"/>
      <c r="BM793" s="205" t="n"/>
      <c r="BN793" s="205" t="n"/>
      <c r="BO793" s="206" t="n"/>
      <c r="BP793" s="144" t="n"/>
      <c r="BQ793" s="141" t="n"/>
      <c r="BR793" s="207" t="n"/>
      <c r="BS793" s="207" t="n"/>
      <c r="BT793" s="207" t="n"/>
      <c r="BU793" s="207" t="n"/>
      <c r="BV793" s="208" t="n"/>
      <c r="BW793" s="207" t="n"/>
      <c r="BX793" s="207" t="n"/>
      <c r="BY793" s="204" t="n"/>
      <c r="BZ793" s="148" t="n"/>
      <c r="CA793" s="204" t="n"/>
      <c r="CB793" s="208" t="n"/>
      <c r="CC793" s="139" t="n"/>
      <c r="CD793" s="204" t="n"/>
      <c r="CE793" s="204" t="n"/>
      <c r="CF793" s="207" t="n"/>
      <c r="CG793" s="208" t="n"/>
      <c r="CH793" s="207" t="n"/>
      <c r="CI793" s="208" t="n"/>
      <c r="CJ793" s="204" t="n"/>
      <c r="CK793" s="208" t="n"/>
      <c r="CL793" s="208" t="n"/>
      <c r="CM793" s="208" t="n"/>
      <c r="CN793" s="78" t="n"/>
      <c r="CO793" s="209" t="n"/>
      <c r="CP793" s="204" t="n"/>
      <c r="CQ793" s="204" t="n"/>
      <c r="CR793" s="204" t="n"/>
      <c r="CS793" s="204" t="n"/>
      <c r="CT793" s="204" t="n"/>
      <c r="CU793" s="204" t="n"/>
      <c r="CV793" s="204" t="n"/>
      <c r="CW793" s="204" t="n"/>
    </row>
    <row r="794">
      <c r="BF794" s="78" t="n"/>
      <c r="BG794" s="78" t="n"/>
      <c r="BH794" s="78" t="n"/>
      <c r="BI794" s="78" t="n"/>
      <c r="BJ794" s="139" t="n"/>
      <c r="BK794" s="204" t="n"/>
      <c r="BL794" s="141" t="n"/>
      <c r="BM794" s="205" t="n"/>
      <c r="BN794" s="205" t="n"/>
      <c r="BO794" s="206" t="n"/>
      <c r="BP794" s="144" t="n"/>
      <c r="BQ794" s="141" t="n"/>
      <c r="BR794" s="207" t="n"/>
      <c r="BS794" s="207" t="n"/>
      <c r="BT794" s="207" t="n"/>
      <c r="BU794" s="207" t="n"/>
      <c r="BV794" s="208" t="n"/>
      <c r="BW794" s="207" t="n"/>
      <c r="BX794" s="207" t="n"/>
      <c r="BY794" s="204" t="n"/>
      <c r="BZ794" s="148" t="n"/>
      <c r="CA794" s="204" t="n"/>
      <c r="CB794" s="208" t="n"/>
      <c r="CC794" s="139" t="n"/>
      <c r="CD794" s="204" t="n"/>
      <c r="CE794" s="204" t="n"/>
      <c r="CF794" s="207" t="n"/>
      <c r="CG794" s="208" t="n"/>
      <c r="CH794" s="207" t="n"/>
      <c r="CI794" s="208" t="n"/>
      <c r="CJ794" s="204" t="n"/>
      <c r="CK794" s="208" t="n"/>
      <c r="CL794" s="208" t="n"/>
      <c r="CM794" s="208" t="n"/>
      <c r="CN794" s="78" t="n"/>
      <c r="CO794" s="209" t="n"/>
      <c r="CP794" s="204" t="n"/>
      <c r="CQ794" s="204" t="n"/>
      <c r="CR794" s="204" t="n"/>
      <c r="CS794" s="204" t="n"/>
      <c r="CT794" s="204" t="n"/>
      <c r="CU794" s="204" t="n"/>
      <c r="CV794" s="204" t="n"/>
      <c r="CW794" s="204" t="n"/>
    </row>
    <row r="795">
      <c r="BF795" s="78" t="n"/>
      <c r="BG795" s="78" t="n"/>
      <c r="BH795" s="78" t="n"/>
      <c r="BI795" s="78" t="n"/>
      <c r="BJ795" s="139" t="n"/>
      <c r="BK795" s="204" t="n"/>
      <c r="BL795" s="141" t="n"/>
      <c r="BM795" s="205" t="n"/>
      <c r="BN795" s="205" t="n"/>
      <c r="BO795" s="206" t="n"/>
      <c r="BP795" s="144" t="n"/>
      <c r="BQ795" s="141" t="n"/>
      <c r="BR795" s="207" t="n"/>
      <c r="BS795" s="207" t="n"/>
      <c r="BT795" s="207" t="n"/>
      <c r="BU795" s="207" t="n"/>
      <c r="BV795" s="208" t="n"/>
      <c r="BW795" s="207" t="n"/>
      <c r="BX795" s="207" t="n"/>
      <c r="BY795" s="204" t="n"/>
      <c r="BZ795" s="148" t="n"/>
      <c r="CA795" s="204" t="n"/>
      <c r="CB795" s="208" t="n"/>
      <c r="CC795" s="139" t="n"/>
      <c r="CD795" s="204" t="n"/>
      <c r="CE795" s="204" t="n"/>
      <c r="CF795" s="207" t="n"/>
      <c r="CG795" s="208" t="n"/>
      <c r="CH795" s="207" t="n"/>
      <c r="CI795" s="208" t="n"/>
      <c r="CJ795" s="204" t="n"/>
      <c r="CK795" s="208" t="n"/>
      <c r="CL795" s="208" t="n"/>
      <c r="CM795" s="208" t="n"/>
      <c r="CN795" s="78" t="n"/>
      <c r="CO795" s="209" t="n"/>
      <c r="CP795" s="204" t="n"/>
      <c r="CQ795" s="204" t="n"/>
      <c r="CR795" s="204" t="n"/>
      <c r="CS795" s="204" t="n"/>
      <c r="CT795" s="204" t="n"/>
      <c r="CU795" s="204" t="n"/>
      <c r="CV795" s="204" t="n"/>
      <c r="CW795" s="204" t="n"/>
    </row>
    <row r="796">
      <c r="BF796" s="78" t="n"/>
      <c r="BG796" s="78" t="n"/>
      <c r="BH796" s="78" t="n"/>
      <c r="BI796" s="78" t="n"/>
      <c r="BJ796" s="139" t="n"/>
      <c r="BK796" s="204" t="n"/>
      <c r="BL796" s="141" t="n"/>
      <c r="BM796" s="205" t="n"/>
      <c r="BN796" s="205" t="n"/>
      <c r="BO796" s="206" t="n"/>
      <c r="BP796" s="144" t="n"/>
      <c r="BQ796" s="141" t="n"/>
      <c r="BR796" s="207" t="n"/>
      <c r="BS796" s="207" t="n"/>
      <c r="BT796" s="207" t="n"/>
      <c r="BU796" s="207" t="n"/>
      <c r="BV796" s="208" t="n"/>
      <c r="BW796" s="207" t="n"/>
      <c r="BX796" s="207" t="n"/>
      <c r="BY796" s="204" t="n"/>
      <c r="BZ796" s="148" t="n"/>
      <c r="CA796" s="204" t="n"/>
      <c r="CB796" s="208" t="n"/>
      <c r="CC796" s="139" t="n"/>
      <c r="CD796" s="204" t="n"/>
      <c r="CE796" s="204" t="n"/>
      <c r="CF796" s="207" t="n"/>
      <c r="CG796" s="208" t="n"/>
      <c r="CH796" s="207" t="n"/>
      <c r="CI796" s="208" t="n"/>
      <c r="CJ796" s="204" t="n"/>
      <c r="CK796" s="208" t="n"/>
      <c r="CL796" s="208" t="n"/>
      <c r="CM796" s="208" t="n"/>
      <c r="CN796" s="78" t="n"/>
      <c r="CO796" s="209" t="n"/>
      <c r="CP796" s="204" t="n"/>
      <c r="CQ796" s="204" t="n"/>
      <c r="CR796" s="204" t="n"/>
      <c r="CS796" s="204" t="n"/>
      <c r="CT796" s="204" t="n"/>
      <c r="CU796" s="204" t="n"/>
      <c r="CV796" s="204" t="n"/>
      <c r="CW796" s="204" t="n"/>
    </row>
    <row r="797">
      <c r="BF797" s="78" t="n"/>
      <c r="BG797" s="78" t="n"/>
      <c r="BH797" s="78" t="n"/>
      <c r="BI797" s="78" t="n"/>
      <c r="BJ797" s="139" t="n"/>
      <c r="BK797" s="204" t="n"/>
      <c r="BL797" s="141" t="n"/>
      <c r="BM797" s="205" t="n"/>
      <c r="BN797" s="205" t="n"/>
      <c r="BO797" s="206" t="n"/>
      <c r="BP797" s="144" t="n"/>
      <c r="BQ797" s="141" t="n"/>
      <c r="BR797" s="207" t="n"/>
      <c r="BS797" s="207" t="n"/>
      <c r="BT797" s="207" t="n"/>
      <c r="BU797" s="207" t="n"/>
      <c r="BV797" s="208" t="n"/>
      <c r="BW797" s="207" t="n"/>
      <c r="BX797" s="207" t="n"/>
      <c r="BY797" s="204" t="n"/>
      <c r="BZ797" s="148" t="n"/>
      <c r="CA797" s="204" t="n"/>
      <c r="CB797" s="208" t="n"/>
      <c r="CC797" s="139" t="n"/>
      <c r="CD797" s="204" t="n"/>
      <c r="CE797" s="204" t="n"/>
      <c r="CF797" s="207" t="n"/>
      <c r="CG797" s="208" t="n"/>
      <c r="CH797" s="207" t="n"/>
      <c r="CI797" s="208" t="n"/>
      <c r="CJ797" s="204" t="n"/>
      <c r="CK797" s="208" t="n"/>
      <c r="CL797" s="208" t="n"/>
      <c r="CM797" s="208" t="n"/>
      <c r="CN797" s="78" t="n"/>
      <c r="CO797" s="209" t="n"/>
      <c r="CP797" s="204" t="n"/>
      <c r="CQ797" s="204" t="n"/>
      <c r="CR797" s="204" t="n"/>
      <c r="CS797" s="204" t="n"/>
      <c r="CT797" s="204" t="n"/>
      <c r="CU797" s="204" t="n"/>
      <c r="CV797" s="204" t="n"/>
      <c r="CW797" s="204" t="n"/>
    </row>
    <row r="798">
      <c r="BF798" s="78" t="n"/>
      <c r="BG798" s="78" t="n"/>
      <c r="BH798" s="78" t="n"/>
      <c r="BI798" s="78" t="n"/>
      <c r="BJ798" s="139" t="n"/>
      <c r="BK798" s="204" t="n"/>
      <c r="BL798" s="141" t="n"/>
      <c r="BM798" s="205" t="n"/>
      <c r="BN798" s="205" t="n"/>
      <c r="BO798" s="206" t="n"/>
      <c r="BP798" s="144" t="n"/>
      <c r="BQ798" s="141" t="n"/>
      <c r="BR798" s="207" t="n"/>
      <c r="BS798" s="207" t="n"/>
      <c r="BT798" s="207" t="n"/>
      <c r="BU798" s="207" t="n"/>
      <c r="BV798" s="208" t="n"/>
      <c r="BW798" s="207" t="n"/>
      <c r="BX798" s="207" t="n"/>
      <c r="BY798" s="204" t="n"/>
      <c r="BZ798" s="148" t="n"/>
      <c r="CA798" s="204" t="n"/>
      <c r="CB798" s="208" t="n"/>
      <c r="CC798" s="139" t="n"/>
      <c r="CD798" s="204" t="n"/>
      <c r="CE798" s="204" t="n"/>
      <c r="CF798" s="207" t="n"/>
      <c r="CG798" s="208" t="n"/>
      <c r="CH798" s="207" t="n"/>
      <c r="CI798" s="208" t="n"/>
      <c r="CJ798" s="204" t="n"/>
      <c r="CK798" s="208" t="n"/>
      <c r="CL798" s="208" t="n"/>
      <c r="CM798" s="208" t="n"/>
      <c r="CN798" s="78" t="n"/>
      <c r="CO798" s="209" t="n"/>
      <c r="CP798" s="204" t="n"/>
      <c r="CQ798" s="204" t="n"/>
      <c r="CR798" s="204" t="n"/>
      <c r="CS798" s="204" t="n"/>
      <c r="CT798" s="204" t="n"/>
      <c r="CU798" s="204" t="n"/>
      <c r="CV798" s="204" t="n"/>
      <c r="CW798" s="204" t="n"/>
    </row>
    <row r="799">
      <c r="BF799" s="78" t="n"/>
      <c r="BG799" s="78" t="n"/>
      <c r="BH799" s="78" t="n"/>
      <c r="BI799" s="78" t="n"/>
      <c r="BJ799" s="139" t="n"/>
      <c r="BK799" s="204" t="n"/>
      <c r="BL799" s="141" t="n"/>
      <c r="BM799" s="205" t="n"/>
      <c r="BN799" s="205" t="n"/>
      <c r="BO799" s="206" t="n"/>
      <c r="BP799" s="144" t="n"/>
      <c r="BQ799" s="141" t="n"/>
      <c r="BR799" s="207" t="n"/>
      <c r="BS799" s="207" t="n"/>
      <c r="BT799" s="207" t="n"/>
      <c r="BU799" s="207" t="n"/>
      <c r="BV799" s="208" t="n"/>
      <c r="BW799" s="207" t="n"/>
      <c r="BX799" s="207" t="n"/>
      <c r="BY799" s="204" t="n"/>
      <c r="BZ799" s="148" t="n"/>
      <c r="CA799" s="204" t="n"/>
      <c r="CB799" s="208" t="n"/>
      <c r="CC799" s="139" t="n"/>
      <c r="CD799" s="204" t="n"/>
      <c r="CE799" s="204" t="n"/>
      <c r="CF799" s="207" t="n"/>
      <c r="CG799" s="208" t="n"/>
      <c r="CH799" s="207" t="n"/>
      <c r="CI799" s="208" t="n"/>
      <c r="CJ799" s="204" t="n"/>
      <c r="CK799" s="208" t="n"/>
      <c r="CL799" s="208" t="n"/>
      <c r="CM799" s="208" t="n"/>
      <c r="CN799" s="78" t="n"/>
      <c r="CO799" s="209" t="n"/>
      <c r="CP799" s="204" t="n"/>
      <c r="CQ799" s="204" t="n"/>
      <c r="CR799" s="204" t="n"/>
      <c r="CS799" s="204" t="n"/>
      <c r="CT799" s="204" t="n"/>
      <c r="CU799" s="204" t="n"/>
      <c r="CV799" s="204" t="n"/>
      <c r="CW799" s="204" t="n"/>
    </row>
    <row r="800">
      <c r="BF800" s="78" t="n"/>
      <c r="BG800" s="78" t="n"/>
      <c r="BH800" s="78" t="n"/>
      <c r="BI800" s="78" t="n"/>
      <c r="BJ800" s="139" t="n"/>
      <c r="BK800" s="204" t="n"/>
      <c r="BL800" s="141" t="n"/>
      <c r="BM800" s="205" t="n"/>
      <c r="BN800" s="205" t="n"/>
      <c r="BO800" s="206" t="n"/>
      <c r="BP800" s="144" t="n"/>
      <c r="BQ800" s="141" t="n"/>
      <c r="BR800" s="207" t="n"/>
      <c r="BS800" s="207" t="n"/>
      <c r="BT800" s="207" t="n"/>
      <c r="BU800" s="207" t="n"/>
      <c r="BV800" s="208" t="n"/>
      <c r="BW800" s="207" t="n"/>
      <c r="BX800" s="207" t="n"/>
      <c r="BY800" s="204" t="n"/>
      <c r="BZ800" s="148" t="n"/>
      <c r="CA800" s="204" t="n"/>
      <c r="CB800" s="208" t="n"/>
      <c r="CC800" s="139" t="n"/>
      <c r="CD800" s="204" t="n"/>
      <c r="CE800" s="204" t="n"/>
      <c r="CF800" s="207" t="n"/>
      <c r="CG800" s="208" t="n"/>
      <c r="CH800" s="207" t="n"/>
      <c r="CI800" s="208" t="n"/>
      <c r="CJ800" s="204" t="n"/>
      <c r="CK800" s="208" t="n"/>
      <c r="CL800" s="208" t="n"/>
      <c r="CM800" s="208" t="n"/>
      <c r="CN800" s="78" t="n"/>
      <c r="CO800" s="209" t="n"/>
      <c r="CP800" s="204" t="n"/>
      <c r="CQ800" s="204" t="n"/>
      <c r="CR800" s="204" t="n"/>
      <c r="CS800" s="204" t="n"/>
      <c r="CT800" s="204" t="n"/>
      <c r="CU800" s="204" t="n"/>
      <c r="CV800" s="204" t="n"/>
      <c r="CW800" s="204" t="n"/>
    </row>
    <row r="801">
      <c r="BF801" s="78" t="n"/>
      <c r="BG801" s="78" t="n"/>
      <c r="BH801" s="78" t="n"/>
      <c r="BI801" s="78" t="n"/>
      <c r="BJ801" s="139" t="n"/>
      <c r="BK801" s="204" t="n"/>
      <c r="BL801" s="141" t="n"/>
      <c r="BM801" s="205" t="n"/>
      <c r="BN801" s="205" t="n"/>
      <c r="BO801" s="206" t="n"/>
      <c r="BP801" s="144" t="n"/>
      <c r="BQ801" s="141" t="n"/>
      <c r="BR801" s="207" t="n"/>
      <c r="BS801" s="207" t="n"/>
      <c r="BT801" s="207" t="n"/>
      <c r="BU801" s="207" t="n"/>
      <c r="BV801" s="208" t="n"/>
      <c r="BW801" s="207" t="n"/>
      <c r="BX801" s="207" t="n"/>
      <c r="BY801" s="204" t="n"/>
      <c r="BZ801" s="148" t="n"/>
      <c r="CA801" s="204" t="n"/>
      <c r="CB801" s="208" t="n"/>
      <c r="CC801" s="139" t="n"/>
      <c r="CD801" s="204" t="n"/>
      <c r="CE801" s="204" t="n"/>
      <c r="CF801" s="207" t="n"/>
      <c r="CG801" s="208" t="n"/>
      <c r="CH801" s="207" t="n"/>
      <c r="CI801" s="208" t="n"/>
      <c r="CJ801" s="204" t="n"/>
      <c r="CK801" s="208" t="n"/>
      <c r="CL801" s="208" t="n"/>
      <c r="CM801" s="208" t="n"/>
      <c r="CN801" s="78" t="n"/>
      <c r="CO801" s="209" t="n"/>
      <c r="CP801" s="204" t="n"/>
      <c r="CQ801" s="204" t="n"/>
      <c r="CR801" s="204" t="n"/>
      <c r="CS801" s="204" t="n"/>
      <c r="CT801" s="204" t="n"/>
      <c r="CU801" s="204" t="n"/>
      <c r="CV801" s="204" t="n"/>
      <c r="CW801" s="204" t="n"/>
    </row>
    <row r="802">
      <c r="BF802" s="78" t="n"/>
      <c r="BG802" s="78" t="n"/>
      <c r="BH802" s="78" t="n"/>
      <c r="BI802" s="78" t="n"/>
      <c r="BJ802" s="139" t="n"/>
      <c r="BK802" s="204" t="n"/>
      <c r="BL802" s="141" t="n"/>
      <c r="BM802" s="205" t="n"/>
      <c r="BN802" s="205" t="n"/>
      <c r="BO802" s="206" t="n"/>
      <c r="BP802" s="144" t="n"/>
      <c r="BQ802" s="141" t="n"/>
      <c r="BR802" s="207" t="n"/>
      <c r="BS802" s="207" t="n"/>
      <c r="BT802" s="207" t="n"/>
      <c r="BU802" s="207" t="n"/>
      <c r="BV802" s="208" t="n"/>
      <c r="BW802" s="207" t="n"/>
      <c r="BX802" s="207" t="n"/>
      <c r="BY802" s="204" t="n"/>
      <c r="BZ802" s="148" t="n"/>
      <c r="CA802" s="204" t="n"/>
      <c r="CB802" s="208" t="n"/>
      <c r="CC802" s="139" t="n"/>
      <c r="CD802" s="204" t="n"/>
      <c r="CE802" s="204" t="n"/>
      <c r="CF802" s="207" t="n"/>
      <c r="CG802" s="208" t="n"/>
      <c r="CH802" s="207" t="n"/>
      <c r="CI802" s="208" t="n"/>
      <c r="CJ802" s="204" t="n"/>
      <c r="CK802" s="208" t="n"/>
      <c r="CL802" s="208" t="n"/>
      <c r="CM802" s="208" t="n"/>
      <c r="CN802" s="78" t="n"/>
      <c r="CO802" s="209" t="n"/>
      <c r="CP802" s="204" t="n"/>
      <c r="CQ802" s="204" t="n"/>
      <c r="CR802" s="204" t="n"/>
      <c r="CS802" s="204" t="n"/>
      <c r="CT802" s="204" t="n"/>
      <c r="CU802" s="204" t="n"/>
      <c r="CV802" s="204" t="n"/>
      <c r="CW802" s="204" t="n"/>
    </row>
    <row r="803">
      <c r="BF803" s="78" t="n"/>
      <c r="BG803" s="78" t="n"/>
      <c r="BH803" s="78" t="n"/>
      <c r="BI803" s="78" t="n"/>
      <c r="BJ803" s="139" t="n"/>
      <c r="BK803" s="204" t="n"/>
      <c r="BL803" s="141" t="n"/>
      <c r="BM803" s="205" t="n"/>
      <c r="BN803" s="205" t="n"/>
      <c r="BO803" s="206" t="n"/>
      <c r="BP803" s="144" t="n"/>
      <c r="BQ803" s="141" t="n"/>
      <c r="BR803" s="207" t="n"/>
      <c r="BS803" s="207" t="n"/>
      <c r="BT803" s="207" t="n"/>
      <c r="BU803" s="207" t="n"/>
      <c r="BV803" s="208" t="n"/>
      <c r="BW803" s="207" t="n"/>
      <c r="BX803" s="207" t="n"/>
      <c r="BY803" s="204" t="n"/>
      <c r="BZ803" s="148" t="n"/>
      <c r="CA803" s="204" t="n"/>
      <c r="CB803" s="208" t="n"/>
      <c r="CC803" s="139" t="n"/>
      <c r="CD803" s="204" t="n"/>
      <c r="CE803" s="204" t="n"/>
      <c r="CF803" s="207" t="n"/>
      <c r="CG803" s="208" t="n"/>
      <c r="CH803" s="207" t="n"/>
      <c r="CI803" s="208" t="n"/>
      <c r="CJ803" s="204" t="n"/>
      <c r="CK803" s="208" t="n"/>
      <c r="CL803" s="208" t="n"/>
      <c r="CM803" s="208" t="n"/>
      <c r="CN803" s="78" t="n"/>
      <c r="CO803" s="209" t="n"/>
      <c r="CP803" s="204" t="n"/>
      <c r="CQ803" s="204" t="n"/>
      <c r="CR803" s="204" t="n"/>
      <c r="CS803" s="204" t="n"/>
      <c r="CT803" s="204" t="n"/>
      <c r="CU803" s="204" t="n"/>
      <c r="CV803" s="204" t="n"/>
      <c r="CW803" s="204" t="n"/>
    </row>
    <row r="804">
      <c r="BF804" s="78" t="n"/>
      <c r="BG804" s="78" t="n"/>
      <c r="BH804" s="78" t="n"/>
      <c r="BI804" s="78" t="n"/>
      <c r="BJ804" s="139" t="n"/>
      <c r="BK804" s="204" t="n"/>
      <c r="BL804" s="141" t="n"/>
      <c r="BM804" s="205" t="n"/>
      <c r="BN804" s="205" t="n"/>
      <c r="BO804" s="206" t="n"/>
      <c r="BP804" s="144" t="n"/>
      <c r="BQ804" s="141" t="n"/>
      <c r="BR804" s="207" t="n"/>
      <c r="BS804" s="207" t="n"/>
      <c r="BT804" s="207" t="n"/>
      <c r="BU804" s="207" t="n"/>
      <c r="BV804" s="208" t="n"/>
      <c r="BW804" s="207" t="n"/>
      <c r="BX804" s="207" t="n"/>
      <c r="BY804" s="204" t="n"/>
      <c r="BZ804" s="148" t="n"/>
      <c r="CA804" s="204" t="n"/>
      <c r="CB804" s="208" t="n"/>
      <c r="CC804" s="139" t="n"/>
      <c r="CD804" s="204" t="n"/>
      <c r="CE804" s="204" t="n"/>
      <c r="CF804" s="207" t="n"/>
      <c r="CG804" s="208" t="n"/>
      <c r="CH804" s="207" t="n"/>
      <c r="CI804" s="208" t="n"/>
      <c r="CJ804" s="204" t="n"/>
      <c r="CK804" s="208" t="n"/>
      <c r="CL804" s="208" t="n"/>
      <c r="CM804" s="208" t="n"/>
      <c r="CN804" s="78" t="n"/>
      <c r="CO804" s="209" t="n"/>
      <c r="CP804" s="204" t="n"/>
      <c r="CQ804" s="204" t="n"/>
      <c r="CR804" s="204" t="n"/>
      <c r="CS804" s="204" t="n"/>
      <c r="CT804" s="204" t="n"/>
      <c r="CU804" s="204" t="n"/>
      <c r="CV804" s="204" t="n"/>
      <c r="CW804" s="204" t="n"/>
    </row>
    <row r="805">
      <c r="BF805" s="78" t="n"/>
      <c r="BG805" s="78" t="n"/>
      <c r="BH805" s="78" t="n"/>
      <c r="BI805" s="78" t="n"/>
      <c r="BJ805" s="139" t="n"/>
      <c r="BK805" s="204" t="n"/>
      <c r="BL805" s="141" t="n"/>
      <c r="BM805" s="205" t="n"/>
      <c r="BN805" s="205" t="n"/>
      <c r="BO805" s="206" t="n"/>
      <c r="BP805" s="144" t="n"/>
      <c r="BQ805" s="141" t="n"/>
      <c r="BR805" s="207" t="n"/>
      <c r="BS805" s="207" t="n"/>
      <c r="BT805" s="207" t="n"/>
      <c r="BU805" s="207" t="n"/>
      <c r="BV805" s="208" t="n"/>
      <c r="BW805" s="207" t="n"/>
      <c r="BX805" s="207" t="n"/>
      <c r="BY805" s="204" t="n"/>
      <c r="BZ805" s="148" t="n"/>
      <c r="CA805" s="204" t="n"/>
      <c r="CB805" s="208" t="n"/>
      <c r="CC805" s="139" t="n"/>
      <c r="CD805" s="204" t="n"/>
      <c r="CE805" s="204" t="n"/>
      <c r="CF805" s="207" t="n"/>
      <c r="CG805" s="208" t="n"/>
      <c r="CH805" s="207" t="n"/>
      <c r="CI805" s="208" t="n"/>
      <c r="CJ805" s="204" t="n"/>
      <c r="CK805" s="208" t="n"/>
      <c r="CL805" s="208" t="n"/>
      <c r="CM805" s="208" t="n"/>
      <c r="CN805" s="78" t="n"/>
      <c r="CO805" s="209" t="n"/>
      <c r="CP805" s="204" t="n"/>
      <c r="CQ805" s="204" t="n"/>
      <c r="CR805" s="204" t="n"/>
      <c r="CS805" s="204" t="n"/>
      <c r="CT805" s="204" t="n"/>
      <c r="CU805" s="204" t="n"/>
      <c r="CV805" s="204" t="n"/>
      <c r="CW805" s="204" t="n"/>
    </row>
    <row r="806">
      <c r="BF806" s="78" t="n"/>
      <c r="BG806" s="78" t="n"/>
      <c r="BH806" s="78" t="n"/>
      <c r="BI806" s="78" t="n"/>
      <c r="BJ806" s="139" t="n"/>
      <c r="BK806" s="204" t="n"/>
      <c r="BL806" s="141" t="n"/>
      <c r="BM806" s="205" t="n"/>
      <c r="BN806" s="205" t="n"/>
      <c r="BO806" s="206" t="n"/>
      <c r="BP806" s="144" t="n"/>
      <c r="BQ806" s="141" t="n"/>
      <c r="BR806" s="207" t="n"/>
      <c r="BS806" s="207" t="n"/>
      <c r="BT806" s="207" t="n"/>
      <c r="BU806" s="207" t="n"/>
      <c r="BV806" s="208" t="n"/>
      <c r="BW806" s="207" t="n"/>
      <c r="BX806" s="207" t="n"/>
      <c r="BY806" s="204" t="n"/>
      <c r="BZ806" s="148" t="n"/>
      <c r="CA806" s="204" t="n"/>
      <c r="CB806" s="208" t="n"/>
      <c r="CC806" s="139" t="n"/>
      <c r="CD806" s="204" t="n"/>
      <c r="CE806" s="204" t="n"/>
      <c r="CF806" s="207" t="n"/>
      <c r="CG806" s="208" t="n"/>
      <c r="CH806" s="207" t="n"/>
      <c r="CI806" s="208" t="n"/>
      <c r="CJ806" s="204" t="n"/>
      <c r="CK806" s="208" t="n"/>
      <c r="CL806" s="208" t="n"/>
      <c r="CM806" s="208" t="n"/>
      <c r="CN806" s="78" t="n"/>
      <c r="CO806" s="209" t="n"/>
      <c r="CP806" s="204" t="n"/>
      <c r="CQ806" s="204" t="n"/>
      <c r="CR806" s="204" t="n"/>
      <c r="CS806" s="204" t="n"/>
      <c r="CT806" s="204" t="n"/>
      <c r="CU806" s="204" t="n"/>
      <c r="CV806" s="204" t="n"/>
      <c r="CW806" s="204" t="n"/>
    </row>
    <row r="807">
      <c r="BF807" s="78" t="n"/>
      <c r="BG807" s="78" t="n"/>
      <c r="BH807" s="78" t="n"/>
      <c r="BI807" s="78" t="n"/>
      <c r="BJ807" s="139" t="n"/>
      <c r="BK807" s="204" t="n"/>
      <c r="BL807" s="141" t="n"/>
      <c r="BM807" s="205" t="n"/>
      <c r="BN807" s="205" t="n"/>
      <c r="BO807" s="206" t="n"/>
      <c r="BP807" s="144" t="n"/>
      <c r="BQ807" s="141" t="n"/>
      <c r="BR807" s="207" t="n"/>
      <c r="BS807" s="207" t="n"/>
      <c r="BT807" s="207" t="n"/>
      <c r="BU807" s="207" t="n"/>
      <c r="BV807" s="208" t="n"/>
      <c r="BW807" s="207" t="n"/>
      <c r="BX807" s="207" t="n"/>
      <c r="BY807" s="204" t="n"/>
      <c r="BZ807" s="148" t="n"/>
      <c r="CA807" s="204" t="n"/>
      <c r="CB807" s="208" t="n"/>
      <c r="CC807" s="139" t="n"/>
      <c r="CD807" s="204" t="n"/>
      <c r="CE807" s="204" t="n"/>
      <c r="CF807" s="207" t="n"/>
      <c r="CG807" s="208" t="n"/>
      <c r="CH807" s="207" t="n"/>
      <c r="CI807" s="208" t="n"/>
      <c r="CJ807" s="204" t="n"/>
      <c r="CK807" s="208" t="n"/>
      <c r="CL807" s="208" t="n"/>
      <c r="CM807" s="208" t="n"/>
      <c r="CN807" s="78" t="n"/>
      <c r="CO807" s="209" t="n"/>
      <c r="CP807" s="204" t="n"/>
      <c r="CQ807" s="204" t="n"/>
      <c r="CR807" s="204" t="n"/>
      <c r="CS807" s="204" t="n"/>
      <c r="CT807" s="204" t="n"/>
      <c r="CU807" s="204" t="n"/>
      <c r="CV807" s="204" t="n"/>
      <c r="CW807" s="204" t="n"/>
    </row>
    <row r="808">
      <c r="BF808" s="78" t="n"/>
      <c r="BG808" s="78" t="n"/>
      <c r="BH808" s="78" t="n"/>
      <c r="BI808" s="78" t="n"/>
      <c r="BJ808" s="139" t="n"/>
      <c r="BK808" s="204" t="n"/>
      <c r="BL808" s="141" t="n"/>
      <c r="BM808" s="205" t="n"/>
      <c r="BN808" s="205" t="n"/>
      <c r="BO808" s="206" t="n"/>
      <c r="BP808" s="144" t="n"/>
      <c r="BQ808" s="141" t="n"/>
      <c r="BR808" s="207" t="n"/>
      <c r="BS808" s="207" t="n"/>
      <c r="BT808" s="207" t="n"/>
      <c r="BU808" s="207" t="n"/>
      <c r="BV808" s="208" t="n"/>
      <c r="BW808" s="207" t="n"/>
      <c r="BX808" s="207" t="n"/>
      <c r="BY808" s="204" t="n"/>
      <c r="BZ808" s="148" t="n"/>
      <c r="CA808" s="204" t="n"/>
      <c r="CB808" s="208" t="n"/>
      <c r="CC808" s="139" t="n"/>
      <c r="CD808" s="204" t="n"/>
      <c r="CE808" s="204" t="n"/>
      <c r="CF808" s="207" t="n"/>
      <c r="CG808" s="208" t="n"/>
      <c r="CH808" s="207" t="n"/>
      <c r="CI808" s="208" t="n"/>
      <c r="CJ808" s="204" t="n"/>
      <c r="CK808" s="208" t="n"/>
      <c r="CL808" s="208" t="n"/>
      <c r="CM808" s="208" t="n"/>
      <c r="CN808" s="78" t="n"/>
      <c r="CO808" s="209" t="n"/>
      <c r="CP808" s="204" t="n"/>
      <c r="CQ808" s="204" t="n"/>
      <c r="CR808" s="204" t="n"/>
      <c r="CS808" s="204" t="n"/>
      <c r="CT808" s="204" t="n"/>
      <c r="CU808" s="204" t="n"/>
      <c r="CV808" s="204" t="n"/>
      <c r="CW808" s="204" t="n"/>
    </row>
    <row r="809">
      <c r="BF809" s="78" t="n"/>
      <c r="BG809" s="78" t="n"/>
      <c r="BH809" s="78" t="n"/>
      <c r="BI809" s="78" t="n"/>
      <c r="BJ809" s="139" t="n"/>
      <c r="BK809" s="204" t="n"/>
      <c r="BL809" s="141" t="n"/>
      <c r="BM809" s="205" t="n"/>
      <c r="BN809" s="205" t="n"/>
      <c r="BO809" s="206" t="n"/>
      <c r="BP809" s="144" t="n"/>
      <c r="BQ809" s="141" t="n"/>
      <c r="BR809" s="207" t="n"/>
      <c r="BS809" s="207" t="n"/>
      <c r="BT809" s="207" t="n"/>
      <c r="BU809" s="207" t="n"/>
      <c r="BV809" s="208" t="n"/>
      <c r="BW809" s="207" t="n"/>
      <c r="BX809" s="207" t="n"/>
      <c r="BY809" s="204" t="n"/>
      <c r="BZ809" s="148" t="n"/>
      <c r="CA809" s="204" t="n"/>
      <c r="CB809" s="208" t="n"/>
      <c r="CC809" s="139" t="n"/>
      <c r="CD809" s="204" t="n"/>
      <c r="CE809" s="204" t="n"/>
      <c r="CF809" s="207" t="n"/>
      <c r="CG809" s="208" t="n"/>
      <c r="CH809" s="207" t="n"/>
      <c r="CI809" s="208" t="n"/>
      <c r="CJ809" s="204" t="n"/>
      <c r="CK809" s="208" t="n"/>
      <c r="CL809" s="208" t="n"/>
      <c r="CM809" s="208" t="n"/>
      <c r="CN809" s="78" t="n"/>
      <c r="CO809" s="209" t="n"/>
      <c r="CP809" s="204" t="n"/>
      <c r="CQ809" s="204" t="n"/>
      <c r="CR809" s="204" t="n"/>
      <c r="CS809" s="204" t="n"/>
      <c r="CT809" s="204" t="n"/>
      <c r="CU809" s="204" t="n"/>
      <c r="CV809" s="204" t="n"/>
      <c r="CW809" s="204" t="n"/>
    </row>
    <row r="810">
      <c r="BF810" s="78" t="n"/>
      <c r="BG810" s="78" t="n"/>
      <c r="BH810" s="78" t="n"/>
      <c r="BI810" s="78" t="n"/>
      <c r="BJ810" s="139" t="n"/>
      <c r="BK810" s="204" t="n"/>
      <c r="BL810" s="141" t="n"/>
      <c r="BM810" s="205" t="n"/>
      <c r="BN810" s="205" t="n"/>
      <c r="BO810" s="206" t="n"/>
      <c r="BP810" s="144" t="n"/>
      <c r="BQ810" s="141" t="n"/>
      <c r="BR810" s="207" t="n"/>
      <c r="BS810" s="207" t="n"/>
      <c r="BT810" s="207" t="n"/>
      <c r="BU810" s="207" t="n"/>
      <c r="BV810" s="208" t="n"/>
      <c r="BW810" s="207" t="n"/>
      <c r="BX810" s="207" t="n"/>
      <c r="BY810" s="204" t="n"/>
      <c r="BZ810" s="148" t="n"/>
      <c r="CA810" s="204" t="n"/>
      <c r="CB810" s="208" t="n"/>
      <c r="CC810" s="139" t="n"/>
      <c r="CD810" s="204" t="n"/>
      <c r="CE810" s="204" t="n"/>
      <c r="CF810" s="207" t="n"/>
      <c r="CG810" s="208" t="n"/>
      <c r="CH810" s="207" t="n"/>
      <c r="CI810" s="208" t="n"/>
      <c r="CJ810" s="204" t="n"/>
      <c r="CK810" s="208" t="n"/>
      <c r="CL810" s="208" t="n"/>
      <c r="CM810" s="208" t="n"/>
      <c r="CN810" s="78" t="n"/>
      <c r="CO810" s="209" t="n"/>
      <c r="CP810" s="204" t="n"/>
      <c r="CQ810" s="204" t="n"/>
      <c r="CR810" s="204" t="n"/>
      <c r="CS810" s="204" t="n"/>
      <c r="CT810" s="204" t="n"/>
      <c r="CU810" s="204" t="n"/>
      <c r="CV810" s="204" t="n"/>
      <c r="CW810" s="204" t="n"/>
    </row>
    <row r="811">
      <c r="BF811" s="78" t="n"/>
      <c r="BG811" s="78" t="n"/>
      <c r="BH811" s="78" t="n"/>
      <c r="BI811" s="78" t="n"/>
      <c r="BJ811" s="139" t="n"/>
      <c r="BK811" s="204" t="n"/>
      <c r="BL811" s="141" t="n"/>
      <c r="BM811" s="205" t="n"/>
      <c r="BN811" s="205" t="n"/>
      <c r="BO811" s="206" t="n"/>
      <c r="BP811" s="144" t="n"/>
      <c r="BQ811" s="141" t="n"/>
      <c r="BR811" s="207" t="n"/>
      <c r="BS811" s="207" t="n"/>
      <c r="BT811" s="207" t="n"/>
      <c r="BU811" s="207" t="n"/>
      <c r="BV811" s="208" t="n"/>
      <c r="BW811" s="207" t="n"/>
      <c r="BX811" s="207" t="n"/>
      <c r="BY811" s="204" t="n"/>
      <c r="BZ811" s="148" t="n"/>
      <c r="CA811" s="204" t="n"/>
      <c r="CB811" s="208" t="n"/>
      <c r="CC811" s="139" t="n"/>
      <c r="CD811" s="204" t="n"/>
      <c r="CE811" s="204" t="n"/>
      <c r="CF811" s="207" t="n"/>
      <c r="CG811" s="208" t="n"/>
      <c r="CH811" s="207" t="n"/>
      <c r="CI811" s="208" t="n"/>
      <c r="CJ811" s="204" t="n"/>
      <c r="CK811" s="208" t="n"/>
      <c r="CL811" s="208" t="n"/>
      <c r="CM811" s="208" t="n"/>
      <c r="CN811" s="78" t="n"/>
      <c r="CO811" s="209" t="n"/>
      <c r="CP811" s="204" t="n"/>
      <c r="CQ811" s="204" t="n"/>
      <c r="CR811" s="204" t="n"/>
      <c r="CS811" s="204" t="n"/>
      <c r="CT811" s="204" t="n"/>
      <c r="CU811" s="204" t="n"/>
      <c r="CV811" s="204" t="n"/>
      <c r="CW811" s="204" t="n"/>
    </row>
    <row r="812">
      <c r="BF812" s="78" t="n"/>
      <c r="BG812" s="78" t="n"/>
      <c r="BH812" s="78" t="n"/>
      <c r="BI812" s="78" t="n"/>
      <c r="BJ812" s="139" t="n"/>
      <c r="BK812" s="204" t="n"/>
      <c r="BL812" s="141" t="n"/>
      <c r="BM812" s="205" t="n"/>
      <c r="BN812" s="205" t="n"/>
      <c r="BO812" s="206" t="n"/>
      <c r="BP812" s="144" t="n"/>
      <c r="BQ812" s="141" t="n"/>
      <c r="BR812" s="207" t="n"/>
      <c r="BS812" s="207" t="n"/>
      <c r="BT812" s="207" t="n"/>
      <c r="BU812" s="207" t="n"/>
      <c r="BV812" s="208" t="n"/>
      <c r="BW812" s="207" t="n"/>
      <c r="BX812" s="207" t="n"/>
      <c r="BY812" s="204" t="n"/>
      <c r="BZ812" s="148" t="n"/>
      <c r="CA812" s="204" t="n"/>
      <c r="CB812" s="208" t="n"/>
      <c r="CC812" s="139" t="n"/>
      <c r="CD812" s="204" t="n"/>
      <c r="CE812" s="204" t="n"/>
      <c r="CF812" s="207" t="n"/>
      <c r="CG812" s="208" t="n"/>
      <c r="CH812" s="207" t="n"/>
      <c r="CI812" s="208" t="n"/>
      <c r="CJ812" s="204" t="n"/>
      <c r="CK812" s="208" t="n"/>
      <c r="CL812" s="208" t="n"/>
      <c r="CM812" s="208" t="n"/>
      <c r="CN812" s="78" t="n"/>
      <c r="CO812" s="209" t="n"/>
      <c r="CP812" s="204" t="n"/>
      <c r="CQ812" s="204" t="n"/>
      <c r="CR812" s="204" t="n"/>
      <c r="CS812" s="204" t="n"/>
      <c r="CT812" s="204" t="n"/>
      <c r="CU812" s="204" t="n"/>
      <c r="CV812" s="204" t="n"/>
      <c r="CW812" s="204" t="n"/>
    </row>
    <row r="813">
      <c r="BF813" s="78" t="n"/>
      <c r="BG813" s="78" t="n"/>
      <c r="BH813" s="78" t="n"/>
      <c r="BI813" s="78" t="n"/>
      <c r="BJ813" s="139" t="n"/>
      <c r="BK813" s="204" t="n"/>
      <c r="BL813" s="141" t="n"/>
      <c r="BM813" s="205" t="n"/>
      <c r="BN813" s="205" t="n"/>
      <c r="BO813" s="206" t="n"/>
      <c r="BP813" s="144" t="n"/>
      <c r="BQ813" s="141" t="n"/>
      <c r="BR813" s="207" t="n"/>
      <c r="BS813" s="207" t="n"/>
      <c r="BT813" s="207" t="n"/>
      <c r="BU813" s="207" t="n"/>
      <c r="BV813" s="208" t="n"/>
      <c r="BW813" s="207" t="n"/>
      <c r="BX813" s="207" t="n"/>
      <c r="BY813" s="204" t="n"/>
      <c r="BZ813" s="148" t="n"/>
      <c r="CA813" s="204" t="n"/>
      <c r="CB813" s="208" t="n"/>
      <c r="CC813" s="139" t="n"/>
      <c r="CD813" s="204" t="n"/>
      <c r="CE813" s="204" t="n"/>
      <c r="CF813" s="207" t="n"/>
      <c r="CG813" s="208" t="n"/>
      <c r="CH813" s="207" t="n"/>
      <c r="CI813" s="208" t="n"/>
      <c r="CJ813" s="204" t="n"/>
      <c r="CK813" s="208" t="n"/>
      <c r="CL813" s="208" t="n"/>
      <c r="CM813" s="208" t="n"/>
      <c r="CN813" s="78" t="n"/>
      <c r="CO813" s="209" t="n"/>
      <c r="CP813" s="204" t="n"/>
      <c r="CQ813" s="204" t="n"/>
      <c r="CR813" s="204" t="n"/>
      <c r="CS813" s="204" t="n"/>
      <c r="CT813" s="204" t="n"/>
      <c r="CU813" s="204" t="n"/>
      <c r="CV813" s="204" t="n"/>
      <c r="CW813" s="204" t="n"/>
    </row>
    <row r="814">
      <c r="BF814" s="78" t="n"/>
      <c r="BG814" s="78" t="n"/>
      <c r="BH814" s="78" t="n"/>
      <c r="BI814" s="78" t="n"/>
      <c r="BJ814" s="139" t="n"/>
      <c r="BK814" s="204" t="n"/>
      <c r="BL814" s="141" t="n"/>
      <c r="BM814" s="205" t="n"/>
      <c r="BN814" s="205" t="n"/>
      <c r="BO814" s="206" t="n"/>
      <c r="BP814" s="144" t="n"/>
      <c r="BQ814" s="141" t="n"/>
      <c r="BR814" s="207" t="n"/>
      <c r="BS814" s="207" t="n"/>
      <c r="BT814" s="207" t="n"/>
      <c r="BU814" s="207" t="n"/>
      <c r="BV814" s="208" t="n"/>
      <c r="BW814" s="207" t="n"/>
      <c r="BX814" s="207" t="n"/>
      <c r="BY814" s="204" t="n"/>
      <c r="BZ814" s="148" t="n"/>
      <c r="CA814" s="204" t="n"/>
      <c r="CB814" s="208" t="n"/>
      <c r="CC814" s="139" t="n"/>
      <c r="CD814" s="204" t="n"/>
      <c r="CE814" s="204" t="n"/>
      <c r="CF814" s="207" t="n"/>
      <c r="CG814" s="208" t="n"/>
      <c r="CH814" s="207" t="n"/>
      <c r="CI814" s="208" t="n"/>
      <c r="CJ814" s="204" t="n"/>
      <c r="CK814" s="208" t="n"/>
      <c r="CL814" s="208" t="n"/>
      <c r="CM814" s="208" t="n"/>
      <c r="CN814" s="78" t="n"/>
      <c r="CO814" s="209" t="n"/>
      <c r="CP814" s="204" t="n"/>
      <c r="CQ814" s="204" t="n"/>
      <c r="CR814" s="204" t="n"/>
      <c r="CS814" s="204" t="n"/>
      <c r="CT814" s="204" t="n"/>
      <c r="CU814" s="204" t="n"/>
      <c r="CV814" s="204" t="n"/>
      <c r="CW814" s="204" t="n"/>
    </row>
    <row r="815">
      <c r="BF815" s="78" t="n"/>
      <c r="BG815" s="78" t="n"/>
      <c r="BH815" s="78" t="n"/>
      <c r="BI815" s="78" t="n"/>
      <c r="BJ815" s="139" t="n"/>
      <c r="BK815" s="204" t="n"/>
      <c r="BL815" s="141" t="n"/>
      <c r="BM815" s="205" t="n"/>
      <c r="BN815" s="205" t="n"/>
      <c r="BO815" s="206" t="n"/>
      <c r="BP815" s="144" t="n"/>
      <c r="BQ815" s="141" t="n"/>
      <c r="BR815" s="207" t="n"/>
      <c r="BS815" s="207" t="n"/>
      <c r="BT815" s="207" t="n"/>
      <c r="BU815" s="207" t="n"/>
      <c r="BV815" s="208" t="n"/>
      <c r="BW815" s="207" t="n"/>
      <c r="BX815" s="207" t="n"/>
      <c r="BY815" s="204" t="n"/>
      <c r="BZ815" s="148" t="n"/>
      <c r="CA815" s="204" t="n"/>
      <c r="CB815" s="208" t="n"/>
      <c r="CC815" s="139" t="n"/>
      <c r="CD815" s="204" t="n"/>
      <c r="CE815" s="204" t="n"/>
      <c r="CF815" s="207" t="n"/>
      <c r="CG815" s="208" t="n"/>
      <c r="CH815" s="207" t="n"/>
      <c r="CI815" s="208" t="n"/>
      <c r="CJ815" s="204" t="n"/>
      <c r="CK815" s="208" t="n"/>
      <c r="CL815" s="208" t="n"/>
      <c r="CM815" s="208" t="n"/>
      <c r="CN815" s="78" t="n"/>
      <c r="CO815" s="209" t="n"/>
      <c r="CP815" s="204" t="n"/>
      <c r="CQ815" s="204" t="n"/>
      <c r="CR815" s="204" t="n"/>
      <c r="CS815" s="204" t="n"/>
      <c r="CT815" s="204" t="n"/>
      <c r="CU815" s="204" t="n"/>
      <c r="CV815" s="204" t="n"/>
      <c r="CW815" s="204" t="n"/>
    </row>
    <row r="816">
      <c r="BF816" s="78" t="n"/>
      <c r="BG816" s="78" t="n"/>
      <c r="BH816" s="78" t="n"/>
      <c r="BI816" s="78" t="n"/>
      <c r="BJ816" s="139" t="n"/>
      <c r="BK816" s="204" t="n"/>
      <c r="BL816" s="141" t="n"/>
      <c r="BM816" s="205" t="n"/>
      <c r="BN816" s="205" t="n"/>
      <c r="BO816" s="206" t="n"/>
      <c r="BP816" s="144" t="n"/>
      <c r="BQ816" s="141" t="n"/>
      <c r="BR816" s="207" t="n"/>
      <c r="BS816" s="207" t="n"/>
      <c r="BT816" s="207" t="n"/>
      <c r="BU816" s="207" t="n"/>
      <c r="BV816" s="208" t="n"/>
      <c r="BW816" s="207" t="n"/>
      <c r="BX816" s="207" t="n"/>
      <c r="BY816" s="204" t="n"/>
      <c r="BZ816" s="148" t="n"/>
      <c r="CA816" s="204" t="n"/>
      <c r="CB816" s="208" t="n"/>
      <c r="CC816" s="139" t="n"/>
      <c r="CD816" s="204" t="n"/>
      <c r="CE816" s="204" t="n"/>
      <c r="CF816" s="207" t="n"/>
      <c r="CG816" s="208" t="n"/>
      <c r="CH816" s="207" t="n"/>
      <c r="CI816" s="208" t="n"/>
      <c r="CJ816" s="204" t="n"/>
      <c r="CK816" s="208" t="n"/>
      <c r="CL816" s="208" t="n"/>
      <c r="CM816" s="208" t="n"/>
      <c r="CN816" s="78" t="n"/>
      <c r="CO816" s="209" t="n"/>
      <c r="CP816" s="204" t="n"/>
      <c r="CQ816" s="204" t="n"/>
      <c r="CR816" s="204" t="n"/>
      <c r="CS816" s="204" t="n"/>
      <c r="CT816" s="204" t="n"/>
      <c r="CU816" s="204" t="n"/>
      <c r="CV816" s="204" t="n"/>
      <c r="CW816" s="204" t="n"/>
    </row>
    <row r="817">
      <c r="BF817" s="78" t="n"/>
      <c r="BG817" s="78" t="n"/>
      <c r="BH817" s="78" t="n"/>
      <c r="BI817" s="78" t="n"/>
      <c r="BJ817" s="139" t="n"/>
      <c r="BK817" s="204" t="n"/>
      <c r="BL817" s="141" t="n"/>
      <c r="BM817" s="205" t="n"/>
      <c r="BN817" s="205" t="n"/>
      <c r="BO817" s="206" t="n"/>
      <c r="BP817" s="144" t="n"/>
      <c r="BQ817" s="141" t="n"/>
      <c r="BR817" s="207" t="n"/>
      <c r="BS817" s="207" t="n"/>
      <c r="BT817" s="207" t="n"/>
      <c r="BU817" s="207" t="n"/>
      <c r="BV817" s="208" t="n"/>
      <c r="BW817" s="207" t="n"/>
      <c r="BX817" s="207" t="n"/>
      <c r="BY817" s="204" t="n"/>
      <c r="BZ817" s="148" t="n"/>
      <c r="CA817" s="204" t="n"/>
      <c r="CB817" s="208" t="n"/>
      <c r="CC817" s="139" t="n"/>
      <c r="CD817" s="204" t="n"/>
      <c r="CE817" s="204" t="n"/>
      <c r="CF817" s="207" t="n"/>
      <c r="CG817" s="208" t="n"/>
      <c r="CH817" s="207" t="n"/>
      <c r="CI817" s="208" t="n"/>
      <c r="CJ817" s="204" t="n"/>
      <c r="CK817" s="208" t="n"/>
      <c r="CL817" s="208" t="n"/>
      <c r="CM817" s="208" t="n"/>
      <c r="CN817" s="78" t="n"/>
      <c r="CO817" s="209" t="n"/>
      <c r="CP817" s="204" t="n"/>
      <c r="CQ817" s="204" t="n"/>
      <c r="CR817" s="204" t="n"/>
      <c r="CS817" s="204" t="n"/>
      <c r="CT817" s="204" t="n"/>
      <c r="CU817" s="204" t="n"/>
      <c r="CV817" s="204" t="n"/>
      <c r="CW817" s="204" t="n"/>
    </row>
    <row r="818">
      <c r="BF818" s="78" t="n"/>
      <c r="BG818" s="78" t="n"/>
      <c r="BH818" s="78" t="n"/>
      <c r="BI818" s="78" t="n"/>
      <c r="BJ818" s="139" t="n"/>
      <c r="BK818" s="204" t="n"/>
      <c r="BL818" s="141" t="n"/>
      <c r="BM818" s="205" t="n"/>
      <c r="BN818" s="205" t="n"/>
      <c r="BO818" s="206" t="n"/>
      <c r="BP818" s="144" t="n"/>
      <c r="BQ818" s="141" t="n"/>
      <c r="BR818" s="207" t="n"/>
      <c r="BS818" s="207" t="n"/>
      <c r="BT818" s="207" t="n"/>
      <c r="BU818" s="207" t="n"/>
      <c r="BV818" s="208" t="n"/>
      <c r="BW818" s="207" t="n"/>
      <c r="BX818" s="207" t="n"/>
      <c r="BY818" s="204" t="n"/>
      <c r="BZ818" s="148" t="n"/>
      <c r="CA818" s="204" t="n"/>
      <c r="CB818" s="208" t="n"/>
      <c r="CC818" s="139" t="n"/>
      <c r="CD818" s="204" t="n"/>
      <c r="CE818" s="204" t="n"/>
      <c r="CF818" s="207" t="n"/>
      <c r="CG818" s="208" t="n"/>
      <c r="CH818" s="207" t="n"/>
      <c r="CI818" s="208" t="n"/>
      <c r="CJ818" s="204" t="n"/>
      <c r="CK818" s="208" t="n"/>
      <c r="CL818" s="208" t="n"/>
      <c r="CM818" s="208" t="n"/>
      <c r="CN818" s="78" t="n"/>
      <c r="CO818" s="209" t="n"/>
      <c r="CP818" s="204" t="n"/>
      <c r="CQ818" s="204" t="n"/>
      <c r="CR818" s="204" t="n"/>
      <c r="CS818" s="204" t="n"/>
      <c r="CT818" s="204" t="n"/>
      <c r="CU818" s="204" t="n"/>
      <c r="CV818" s="204" t="n"/>
      <c r="CW818" s="204" t="n"/>
    </row>
    <row r="819">
      <c r="BF819" s="78" t="n"/>
      <c r="BG819" s="78" t="n"/>
      <c r="BH819" s="78" t="n"/>
      <c r="BI819" s="78" t="n"/>
      <c r="BJ819" s="139" t="n"/>
      <c r="BK819" s="204" t="n"/>
      <c r="BL819" s="141" t="n"/>
      <c r="BM819" s="205" t="n"/>
      <c r="BN819" s="205" t="n"/>
      <c r="BO819" s="206" t="n"/>
      <c r="BP819" s="144" t="n"/>
      <c r="BQ819" s="141" t="n"/>
      <c r="BR819" s="207" t="n"/>
      <c r="BS819" s="207" t="n"/>
      <c r="BT819" s="207" t="n"/>
      <c r="BU819" s="207" t="n"/>
      <c r="BV819" s="208" t="n"/>
      <c r="BW819" s="207" t="n"/>
      <c r="BX819" s="207" t="n"/>
      <c r="BY819" s="204" t="n"/>
      <c r="BZ819" s="148" t="n"/>
      <c r="CA819" s="204" t="n"/>
      <c r="CB819" s="208" t="n"/>
      <c r="CC819" s="139" t="n"/>
      <c r="CD819" s="204" t="n"/>
      <c r="CE819" s="204" t="n"/>
      <c r="CF819" s="207" t="n"/>
      <c r="CG819" s="208" t="n"/>
      <c r="CH819" s="207" t="n"/>
      <c r="CI819" s="208" t="n"/>
      <c r="CJ819" s="204" t="n"/>
      <c r="CK819" s="208" t="n"/>
      <c r="CL819" s="208" t="n"/>
      <c r="CM819" s="208" t="n"/>
      <c r="CN819" s="78" t="n"/>
      <c r="CO819" s="209" t="n"/>
      <c r="CP819" s="204" t="n"/>
      <c r="CQ819" s="204" t="n"/>
      <c r="CR819" s="204" t="n"/>
      <c r="CS819" s="204" t="n"/>
      <c r="CT819" s="204" t="n"/>
      <c r="CU819" s="204" t="n"/>
      <c r="CV819" s="204" t="n"/>
      <c r="CW819" s="204" t="n"/>
    </row>
    <row r="820">
      <c r="BF820" s="78" t="n"/>
      <c r="BG820" s="78" t="n"/>
      <c r="BH820" s="78" t="n"/>
      <c r="BI820" s="78" t="n"/>
      <c r="BJ820" s="139" t="n"/>
      <c r="BK820" s="204" t="n"/>
      <c r="BL820" s="141" t="n"/>
      <c r="BM820" s="205" t="n"/>
      <c r="BN820" s="205" t="n"/>
      <c r="BO820" s="206" t="n"/>
      <c r="BP820" s="144" t="n"/>
      <c r="BQ820" s="141" t="n"/>
      <c r="BR820" s="207" t="n"/>
      <c r="BS820" s="207" t="n"/>
      <c r="BT820" s="207" t="n"/>
      <c r="BU820" s="207" t="n"/>
      <c r="BV820" s="208" t="n"/>
      <c r="BW820" s="207" t="n"/>
      <c r="BX820" s="207" t="n"/>
      <c r="BY820" s="204" t="n"/>
      <c r="BZ820" s="148" t="n"/>
      <c r="CA820" s="204" t="n"/>
      <c r="CB820" s="208" t="n"/>
      <c r="CC820" s="139" t="n"/>
      <c r="CD820" s="204" t="n"/>
      <c r="CE820" s="204" t="n"/>
      <c r="CF820" s="207" t="n"/>
      <c r="CG820" s="208" t="n"/>
      <c r="CH820" s="207" t="n"/>
      <c r="CI820" s="208" t="n"/>
      <c r="CJ820" s="204" t="n"/>
      <c r="CK820" s="208" t="n"/>
      <c r="CL820" s="208" t="n"/>
      <c r="CM820" s="208" t="n"/>
      <c r="CN820" s="78" t="n"/>
      <c r="CO820" s="209" t="n"/>
      <c r="CP820" s="204" t="n"/>
      <c r="CQ820" s="204" t="n"/>
      <c r="CR820" s="204" t="n"/>
      <c r="CS820" s="204" t="n"/>
      <c r="CT820" s="204" t="n"/>
      <c r="CU820" s="204" t="n"/>
      <c r="CV820" s="204" t="n"/>
      <c r="CW820" s="204" t="n"/>
    </row>
    <row r="821">
      <c r="BF821" s="78" t="n"/>
      <c r="BG821" s="78" t="n"/>
      <c r="BH821" s="78" t="n"/>
      <c r="BI821" s="78" t="n"/>
      <c r="BJ821" s="139" t="n"/>
      <c r="BK821" s="204" t="n"/>
      <c r="BL821" s="141" t="n"/>
      <c r="BM821" s="205" t="n"/>
      <c r="BN821" s="205" t="n"/>
      <c r="BO821" s="206" t="n"/>
      <c r="BP821" s="144" t="n"/>
      <c r="BQ821" s="141" t="n"/>
      <c r="BR821" s="207" t="n"/>
      <c r="BS821" s="207" t="n"/>
      <c r="BT821" s="207" t="n"/>
      <c r="BU821" s="207" t="n"/>
      <c r="BV821" s="208" t="n"/>
      <c r="BW821" s="207" t="n"/>
      <c r="BX821" s="207" t="n"/>
      <c r="BY821" s="204" t="n"/>
      <c r="BZ821" s="148" t="n"/>
      <c r="CA821" s="204" t="n"/>
      <c r="CB821" s="208" t="n"/>
      <c r="CC821" s="139" t="n"/>
      <c r="CD821" s="204" t="n"/>
      <c r="CE821" s="204" t="n"/>
      <c r="CF821" s="207" t="n"/>
      <c r="CG821" s="208" t="n"/>
      <c r="CH821" s="207" t="n"/>
      <c r="CI821" s="208" t="n"/>
      <c r="CJ821" s="204" t="n"/>
      <c r="CK821" s="208" t="n"/>
      <c r="CL821" s="208" t="n"/>
      <c r="CM821" s="208" t="n"/>
      <c r="CN821" s="78" t="n"/>
      <c r="CO821" s="209" t="n"/>
      <c r="CP821" s="204" t="n"/>
      <c r="CQ821" s="204" t="n"/>
      <c r="CR821" s="204" t="n"/>
      <c r="CS821" s="204" t="n"/>
      <c r="CT821" s="204" t="n"/>
      <c r="CU821" s="204" t="n"/>
      <c r="CV821" s="204" t="n"/>
      <c r="CW821" s="204" t="n"/>
    </row>
    <row r="822">
      <c r="BF822" s="78" t="n"/>
      <c r="BG822" s="78" t="n"/>
      <c r="BH822" s="78" t="n"/>
      <c r="BI822" s="78" t="n"/>
      <c r="BJ822" s="139" t="n"/>
      <c r="BK822" s="204" t="n"/>
      <c r="BL822" s="141" t="n"/>
      <c r="BM822" s="205" t="n"/>
      <c r="BN822" s="205" t="n"/>
      <c r="BO822" s="206" t="n"/>
      <c r="BP822" s="144" t="n"/>
      <c r="BQ822" s="141" t="n"/>
      <c r="BR822" s="207" t="n"/>
      <c r="BS822" s="207" t="n"/>
      <c r="BT822" s="207" t="n"/>
      <c r="BU822" s="207" t="n"/>
      <c r="BV822" s="208" t="n"/>
      <c r="BW822" s="207" t="n"/>
      <c r="BX822" s="207" t="n"/>
      <c r="BY822" s="204" t="n"/>
      <c r="BZ822" s="148" t="n"/>
      <c r="CA822" s="204" t="n"/>
      <c r="CB822" s="208" t="n"/>
      <c r="CC822" s="139" t="n"/>
      <c r="CD822" s="204" t="n"/>
      <c r="CE822" s="204" t="n"/>
      <c r="CF822" s="207" t="n"/>
      <c r="CG822" s="208" t="n"/>
      <c r="CH822" s="207" t="n"/>
      <c r="CI822" s="208" t="n"/>
      <c r="CJ822" s="204" t="n"/>
      <c r="CK822" s="208" t="n"/>
      <c r="CL822" s="208" t="n"/>
      <c r="CM822" s="208" t="n"/>
      <c r="CN822" s="78" t="n"/>
      <c r="CO822" s="209" t="n"/>
      <c r="CP822" s="204" t="n"/>
      <c r="CQ822" s="204" t="n"/>
      <c r="CR822" s="204" t="n"/>
      <c r="CS822" s="204" t="n"/>
      <c r="CT822" s="204" t="n"/>
      <c r="CU822" s="204" t="n"/>
      <c r="CV822" s="204" t="n"/>
      <c r="CW822" s="204" t="n"/>
    </row>
    <row r="823">
      <c r="BF823" s="78" t="n"/>
      <c r="BG823" s="78" t="n"/>
      <c r="BH823" s="78" t="n"/>
      <c r="BI823" s="78" t="n"/>
      <c r="BJ823" s="139" t="n"/>
      <c r="BK823" s="204" t="n"/>
      <c r="BL823" s="141" t="n"/>
      <c r="BM823" s="205" t="n"/>
      <c r="BN823" s="205" t="n"/>
      <c r="BO823" s="206" t="n"/>
      <c r="BP823" s="144" t="n"/>
      <c r="BQ823" s="141" t="n"/>
      <c r="BR823" s="207" t="n"/>
      <c r="BS823" s="207" t="n"/>
      <c r="BT823" s="207" t="n"/>
      <c r="BU823" s="207" t="n"/>
      <c r="BV823" s="208" t="n"/>
      <c r="BW823" s="207" t="n"/>
      <c r="BX823" s="207" t="n"/>
      <c r="BY823" s="204" t="n"/>
      <c r="BZ823" s="148" t="n"/>
      <c r="CA823" s="204" t="n"/>
      <c r="CB823" s="208" t="n"/>
      <c r="CC823" s="139" t="n"/>
      <c r="CD823" s="204" t="n"/>
      <c r="CE823" s="204" t="n"/>
      <c r="CF823" s="207" t="n"/>
      <c r="CG823" s="208" t="n"/>
      <c r="CH823" s="207" t="n"/>
      <c r="CI823" s="208" t="n"/>
      <c r="CJ823" s="204" t="n"/>
      <c r="CK823" s="208" t="n"/>
      <c r="CL823" s="208" t="n"/>
      <c r="CM823" s="208" t="n"/>
      <c r="CN823" s="78" t="n"/>
      <c r="CO823" s="209" t="n"/>
      <c r="CP823" s="204" t="n"/>
      <c r="CQ823" s="204" t="n"/>
      <c r="CR823" s="204" t="n"/>
      <c r="CS823" s="204" t="n"/>
      <c r="CT823" s="204" t="n"/>
      <c r="CU823" s="204" t="n"/>
      <c r="CV823" s="204" t="n"/>
      <c r="CW823" s="204" t="n"/>
    </row>
    <row r="824">
      <c r="BF824" s="78" t="n"/>
      <c r="BG824" s="78" t="n"/>
      <c r="BH824" s="78" t="n"/>
      <c r="BI824" s="78" t="n"/>
      <c r="BJ824" s="139" t="n"/>
      <c r="BK824" s="204" t="n"/>
      <c r="BL824" s="141" t="n"/>
      <c r="BM824" s="205" t="n"/>
      <c r="BN824" s="205" t="n"/>
      <c r="BO824" s="206" t="n"/>
      <c r="BP824" s="144" t="n"/>
      <c r="BQ824" s="141" t="n"/>
      <c r="BR824" s="207" t="n"/>
      <c r="BS824" s="207" t="n"/>
      <c r="BT824" s="207" t="n"/>
      <c r="BU824" s="207" t="n"/>
      <c r="BV824" s="208" t="n"/>
      <c r="BW824" s="207" t="n"/>
      <c r="BX824" s="207" t="n"/>
      <c r="BY824" s="204" t="n"/>
      <c r="BZ824" s="148" t="n"/>
      <c r="CA824" s="204" t="n"/>
      <c r="CB824" s="208" t="n"/>
      <c r="CC824" s="139" t="n"/>
      <c r="CD824" s="204" t="n"/>
      <c r="CE824" s="204" t="n"/>
      <c r="CF824" s="207" t="n"/>
      <c r="CG824" s="208" t="n"/>
      <c r="CH824" s="207" t="n"/>
      <c r="CI824" s="208" t="n"/>
      <c r="CJ824" s="204" t="n"/>
      <c r="CK824" s="208" t="n"/>
      <c r="CL824" s="208" t="n"/>
      <c r="CM824" s="208" t="n"/>
      <c r="CN824" s="78" t="n"/>
      <c r="CO824" s="209" t="n"/>
      <c r="CP824" s="204" t="n"/>
      <c r="CQ824" s="204" t="n"/>
      <c r="CR824" s="204" t="n"/>
      <c r="CS824" s="204" t="n"/>
      <c r="CT824" s="204" t="n"/>
      <c r="CU824" s="204" t="n"/>
      <c r="CV824" s="204" t="n"/>
      <c r="CW824" s="204" t="n"/>
    </row>
    <row r="825">
      <c r="BF825" s="78" t="n"/>
      <c r="BG825" s="78" t="n"/>
      <c r="BH825" s="78" t="n"/>
      <c r="BI825" s="78" t="n"/>
      <c r="BJ825" s="139" t="n"/>
      <c r="BK825" s="204" t="n"/>
      <c r="BL825" s="141" t="n"/>
      <c r="BM825" s="205" t="n"/>
      <c r="BN825" s="205" t="n"/>
      <c r="BO825" s="206" t="n"/>
      <c r="BP825" s="144" t="n"/>
      <c r="BQ825" s="141" t="n"/>
      <c r="BR825" s="207" t="n"/>
      <c r="BS825" s="207" t="n"/>
      <c r="BT825" s="207" t="n"/>
      <c r="BU825" s="207" t="n"/>
      <c r="BV825" s="208" t="n"/>
      <c r="BW825" s="207" t="n"/>
      <c r="BX825" s="207" t="n"/>
      <c r="BY825" s="204" t="n"/>
      <c r="BZ825" s="148" t="n"/>
      <c r="CA825" s="204" t="n"/>
      <c r="CB825" s="208" t="n"/>
      <c r="CC825" s="139" t="n"/>
      <c r="CD825" s="204" t="n"/>
      <c r="CE825" s="204" t="n"/>
      <c r="CF825" s="207" t="n"/>
      <c r="CG825" s="208" t="n"/>
      <c r="CH825" s="207" t="n"/>
      <c r="CI825" s="208" t="n"/>
      <c r="CJ825" s="204" t="n"/>
      <c r="CK825" s="208" t="n"/>
      <c r="CL825" s="208" t="n"/>
      <c r="CM825" s="208" t="n"/>
      <c r="CN825" s="78" t="n"/>
      <c r="CO825" s="209" t="n"/>
      <c r="CP825" s="204" t="n"/>
      <c r="CQ825" s="204" t="n"/>
      <c r="CR825" s="204" t="n"/>
      <c r="CS825" s="204" t="n"/>
      <c r="CT825" s="204" t="n"/>
      <c r="CU825" s="204" t="n"/>
      <c r="CV825" s="204" t="n"/>
      <c r="CW825" s="204" t="n"/>
    </row>
    <row r="826">
      <c r="BF826" s="78" t="n"/>
      <c r="BG826" s="78" t="n"/>
      <c r="BH826" s="78" t="n"/>
      <c r="BI826" s="78" t="n"/>
      <c r="BJ826" s="139" t="n"/>
      <c r="BK826" s="204" t="n"/>
      <c r="BL826" s="141" t="n"/>
      <c r="BM826" s="205" t="n"/>
      <c r="BN826" s="205" t="n"/>
      <c r="BO826" s="206" t="n"/>
      <c r="BP826" s="144" t="n"/>
      <c r="BQ826" s="141" t="n"/>
      <c r="BR826" s="207" t="n"/>
      <c r="BS826" s="207" t="n"/>
      <c r="BT826" s="207" t="n"/>
      <c r="BU826" s="207" t="n"/>
      <c r="BV826" s="208" t="n"/>
      <c r="BW826" s="207" t="n"/>
      <c r="BX826" s="207" t="n"/>
      <c r="BY826" s="204" t="n"/>
      <c r="BZ826" s="148" t="n"/>
      <c r="CA826" s="204" t="n"/>
      <c r="CB826" s="208" t="n"/>
      <c r="CC826" s="139" t="n"/>
      <c r="CD826" s="204" t="n"/>
      <c r="CE826" s="204" t="n"/>
      <c r="CF826" s="207" t="n"/>
      <c r="CG826" s="208" t="n"/>
      <c r="CH826" s="207" t="n"/>
      <c r="CI826" s="208" t="n"/>
      <c r="CJ826" s="204" t="n"/>
      <c r="CK826" s="208" t="n"/>
      <c r="CL826" s="208" t="n"/>
      <c r="CM826" s="208" t="n"/>
      <c r="CN826" s="78" t="n"/>
      <c r="CO826" s="209" t="n"/>
      <c r="CP826" s="204" t="n"/>
      <c r="CQ826" s="204" t="n"/>
      <c r="CR826" s="204" t="n"/>
      <c r="CS826" s="204" t="n"/>
      <c r="CT826" s="204" t="n"/>
      <c r="CU826" s="204" t="n"/>
      <c r="CV826" s="204" t="n"/>
      <c r="CW826" s="204" t="n"/>
    </row>
    <row r="827">
      <c r="BF827" s="78" t="n"/>
      <c r="BG827" s="78" t="n"/>
      <c r="BH827" s="78" t="n"/>
      <c r="BI827" s="78" t="n"/>
      <c r="BJ827" s="139" t="n"/>
      <c r="BK827" s="204" t="n"/>
      <c r="BL827" s="141" t="n"/>
      <c r="BM827" s="205" t="n"/>
      <c r="BN827" s="205" t="n"/>
      <c r="BO827" s="206" t="n"/>
      <c r="BP827" s="144" t="n"/>
      <c r="BQ827" s="141" t="n"/>
      <c r="BR827" s="207" t="n"/>
      <c r="BS827" s="207" t="n"/>
      <c r="BT827" s="207" t="n"/>
      <c r="BU827" s="207" t="n"/>
      <c r="BV827" s="208" t="n"/>
      <c r="BW827" s="207" t="n"/>
      <c r="BX827" s="207" t="n"/>
      <c r="BY827" s="204" t="n"/>
      <c r="BZ827" s="148" t="n"/>
      <c r="CA827" s="204" t="n"/>
      <c r="CB827" s="208" t="n"/>
      <c r="CC827" s="139" t="n"/>
      <c r="CD827" s="204" t="n"/>
      <c r="CE827" s="204" t="n"/>
      <c r="CF827" s="207" t="n"/>
      <c r="CG827" s="208" t="n"/>
      <c r="CH827" s="207" t="n"/>
      <c r="CI827" s="208" t="n"/>
      <c r="CJ827" s="204" t="n"/>
      <c r="CK827" s="208" t="n"/>
      <c r="CL827" s="208" t="n"/>
      <c r="CM827" s="208" t="n"/>
      <c r="CN827" s="78" t="n"/>
      <c r="CO827" s="209" t="n"/>
      <c r="CP827" s="204" t="n"/>
      <c r="CQ827" s="204" t="n"/>
      <c r="CR827" s="204" t="n"/>
      <c r="CS827" s="204" t="n"/>
      <c r="CT827" s="204" t="n"/>
      <c r="CU827" s="204" t="n"/>
      <c r="CV827" s="204" t="n"/>
      <c r="CW827" s="204" t="n"/>
    </row>
    <row r="828">
      <c r="BF828" s="78" t="n"/>
      <c r="BG828" s="78" t="n"/>
      <c r="BH828" s="78" t="n"/>
      <c r="BI828" s="78" t="n"/>
      <c r="BJ828" s="139" t="n"/>
      <c r="BK828" s="204" t="n"/>
      <c r="BL828" s="141" t="n"/>
      <c r="BM828" s="205" t="n"/>
      <c r="BN828" s="205" t="n"/>
      <c r="BO828" s="206" t="n"/>
      <c r="BP828" s="144" t="n"/>
      <c r="BQ828" s="141" t="n"/>
      <c r="BR828" s="207" t="n"/>
      <c r="BS828" s="207" t="n"/>
      <c r="BT828" s="207" t="n"/>
      <c r="BU828" s="207" t="n"/>
      <c r="BV828" s="208" t="n"/>
      <c r="BW828" s="207" t="n"/>
      <c r="BX828" s="207" t="n"/>
      <c r="BY828" s="204" t="n"/>
      <c r="BZ828" s="148" t="n"/>
      <c r="CA828" s="204" t="n"/>
      <c r="CB828" s="208" t="n"/>
      <c r="CC828" s="139" t="n"/>
      <c r="CD828" s="204" t="n"/>
      <c r="CE828" s="204" t="n"/>
      <c r="CF828" s="207" t="n"/>
      <c r="CG828" s="208" t="n"/>
      <c r="CH828" s="207" t="n"/>
      <c r="CI828" s="208" t="n"/>
      <c r="CJ828" s="204" t="n"/>
      <c r="CK828" s="208" t="n"/>
      <c r="CL828" s="208" t="n"/>
      <c r="CM828" s="208" t="n"/>
      <c r="CN828" s="78" t="n"/>
      <c r="CO828" s="209" t="n"/>
      <c r="CP828" s="204" t="n"/>
      <c r="CQ828" s="204" t="n"/>
      <c r="CR828" s="204" t="n"/>
      <c r="CS828" s="204" t="n"/>
      <c r="CT828" s="204" t="n"/>
      <c r="CU828" s="204" t="n"/>
      <c r="CV828" s="204" t="n"/>
      <c r="CW828" s="204" t="n"/>
    </row>
    <row r="829">
      <c r="BF829" s="78" t="n"/>
      <c r="BG829" s="78" t="n"/>
      <c r="BH829" s="78" t="n"/>
      <c r="BI829" s="78" t="n"/>
      <c r="BJ829" s="139" t="n"/>
      <c r="BK829" s="204" t="n"/>
      <c r="BL829" s="141" t="n"/>
      <c r="BM829" s="205" t="n"/>
      <c r="BN829" s="205" t="n"/>
      <c r="BO829" s="206" t="n"/>
      <c r="BP829" s="144" t="n"/>
      <c r="BQ829" s="141" t="n"/>
      <c r="BR829" s="207" t="n"/>
      <c r="BS829" s="207" t="n"/>
      <c r="BT829" s="207" t="n"/>
      <c r="BU829" s="207" t="n"/>
      <c r="BV829" s="208" t="n"/>
      <c r="BW829" s="207" t="n"/>
      <c r="BX829" s="207" t="n"/>
      <c r="BY829" s="204" t="n"/>
      <c r="BZ829" s="148" t="n"/>
      <c r="CA829" s="204" t="n"/>
      <c r="CB829" s="208" t="n"/>
      <c r="CC829" s="139" t="n"/>
      <c r="CD829" s="204" t="n"/>
      <c r="CE829" s="204" t="n"/>
      <c r="CF829" s="207" t="n"/>
      <c r="CG829" s="208" t="n"/>
      <c r="CH829" s="207" t="n"/>
      <c r="CI829" s="208" t="n"/>
      <c r="CJ829" s="204" t="n"/>
      <c r="CK829" s="208" t="n"/>
      <c r="CL829" s="208" t="n"/>
      <c r="CM829" s="208" t="n"/>
      <c r="CN829" s="78" t="n"/>
      <c r="CO829" s="209" t="n"/>
      <c r="CP829" s="204" t="n"/>
      <c r="CQ829" s="204" t="n"/>
      <c r="CR829" s="204" t="n"/>
      <c r="CS829" s="204" t="n"/>
      <c r="CT829" s="204" t="n"/>
      <c r="CU829" s="204" t="n"/>
      <c r="CV829" s="204" t="n"/>
      <c r="CW829" s="204" t="n"/>
    </row>
    <row r="830">
      <c r="BF830" s="78" t="n"/>
      <c r="BG830" s="78" t="n"/>
      <c r="BH830" s="78" t="n"/>
      <c r="BI830" s="78" t="n"/>
      <c r="BJ830" s="139" t="n"/>
      <c r="BK830" s="204" t="n"/>
      <c r="BL830" s="141" t="n"/>
      <c r="BM830" s="205" t="n"/>
      <c r="BN830" s="205" t="n"/>
      <c r="BO830" s="206" t="n"/>
      <c r="BP830" s="144" t="n"/>
      <c r="BQ830" s="141" t="n"/>
      <c r="BR830" s="207" t="n"/>
      <c r="BS830" s="207" t="n"/>
      <c r="BT830" s="207" t="n"/>
      <c r="BU830" s="207" t="n"/>
      <c r="BV830" s="208" t="n"/>
      <c r="BW830" s="207" t="n"/>
      <c r="BX830" s="207" t="n"/>
      <c r="BY830" s="204" t="n"/>
      <c r="BZ830" s="148" t="n"/>
      <c r="CA830" s="204" t="n"/>
      <c r="CB830" s="208" t="n"/>
      <c r="CC830" s="139" t="n"/>
      <c r="CD830" s="204" t="n"/>
      <c r="CE830" s="204" t="n"/>
      <c r="CF830" s="207" t="n"/>
      <c r="CG830" s="208" t="n"/>
      <c r="CH830" s="207" t="n"/>
      <c r="CI830" s="208" t="n"/>
      <c r="CJ830" s="204" t="n"/>
      <c r="CK830" s="208" t="n"/>
      <c r="CL830" s="208" t="n"/>
      <c r="CM830" s="208" t="n"/>
      <c r="CN830" s="78" t="n"/>
      <c r="CO830" s="209" t="n"/>
      <c r="CP830" s="204" t="n"/>
      <c r="CQ830" s="204" t="n"/>
      <c r="CR830" s="204" t="n"/>
      <c r="CS830" s="204" t="n"/>
      <c r="CT830" s="204" t="n"/>
      <c r="CU830" s="204" t="n"/>
      <c r="CV830" s="204" t="n"/>
      <c r="CW830" s="204" t="n"/>
    </row>
    <row r="831">
      <c r="BF831" s="78" t="n"/>
      <c r="BG831" s="78" t="n"/>
      <c r="BH831" s="78" t="n"/>
      <c r="BI831" s="78" t="n"/>
      <c r="BJ831" s="139" t="n"/>
      <c r="BK831" s="204" t="n"/>
      <c r="BL831" s="141" t="n"/>
      <c r="BM831" s="205" t="n"/>
      <c r="BN831" s="205" t="n"/>
      <c r="BO831" s="206" t="n"/>
      <c r="BP831" s="144" t="n"/>
      <c r="BQ831" s="141" t="n"/>
      <c r="BR831" s="207" t="n"/>
      <c r="BS831" s="207" t="n"/>
      <c r="BT831" s="207" t="n"/>
      <c r="BU831" s="207" t="n"/>
      <c r="BV831" s="208" t="n"/>
      <c r="BW831" s="207" t="n"/>
      <c r="BX831" s="207" t="n"/>
      <c r="BY831" s="204" t="n"/>
      <c r="BZ831" s="148" t="n"/>
      <c r="CA831" s="204" t="n"/>
      <c r="CB831" s="208" t="n"/>
      <c r="CC831" s="139" t="n"/>
      <c r="CD831" s="204" t="n"/>
      <c r="CE831" s="204" t="n"/>
      <c r="CF831" s="207" t="n"/>
      <c r="CG831" s="208" t="n"/>
      <c r="CH831" s="207" t="n"/>
      <c r="CI831" s="208" t="n"/>
      <c r="CJ831" s="204" t="n"/>
      <c r="CK831" s="208" t="n"/>
      <c r="CL831" s="208" t="n"/>
      <c r="CM831" s="208" t="n"/>
      <c r="CN831" s="78" t="n"/>
      <c r="CO831" s="209" t="n"/>
      <c r="CP831" s="204" t="n"/>
      <c r="CQ831" s="204" t="n"/>
      <c r="CR831" s="204" t="n"/>
      <c r="CS831" s="204" t="n"/>
      <c r="CT831" s="204" t="n"/>
      <c r="CU831" s="204" t="n"/>
      <c r="CV831" s="204" t="n"/>
      <c r="CW831" s="204" t="n"/>
    </row>
    <row r="832">
      <c r="BF832" s="78" t="n"/>
      <c r="BG832" s="78" t="n"/>
      <c r="BH832" s="78" t="n"/>
      <c r="BI832" s="78" t="n"/>
      <c r="BJ832" s="139" t="n"/>
      <c r="BK832" s="204" t="n"/>
      <c r="BL832" s="141" t="n"/>
      <c r="BM832" s="205" t="n"/>
      <c r="BN832" s="205" t="n"/>
      <c r="BO832" s="206" t="n"/>
      <c r="BP832" s="144" t="n"/>
      <c r="BQ832" s="141" t="n"/>
      <c r="BR832" s="207" t="n"/>
      <c r="BS832" s="207" t="n"/>
      <c r="BT832" s="207" t="n"/>
      <c r="BU832" s="207" t="n"/>
      <c r="BV832" s="208" t="n"/>
      <c r="BW832" s="207" t="n"/>
      <c r="BX832" s="207" t="n"/>
      <c r="BY832" s="204" t="n"/>
      <c r="BZ832" s="148" t="n"/>
      <c r="CA832" s="204" t="n"/>
      <c r="CB832" s="208" t="n"/>
      <c r="CC832" s="139" t="n"/>
      <c r="CD832" s="204" t="n"/>
      <c r="CE832" s="204" t="n"/>
      <c r="CF832" s="207" t="n"/>
      <c r="CG832" s="208" t="n"/>
      <c r="CH832" s="207" t="n"/>
      <c r="CI832" s="208" t="n"/>
      <c r="CJ832" s="204" t="n"/>
      <c r="CK832" s="208" t="n"/>
      <c r="CL832" s="208" t="n"/>
      <c r="CM832" s="208" t="n"/>
      <c r="CN832" s="78" t="n"/>
      <c r="CO832" s="209" t="n"/>
      <c r="CP832" s="204" t="n"/>
      <c r="CQ832" s="204" t="n"/>
      <c r="CR832" s="204" t="n"/>
      <c r="CS832" s="204" t="n"/>
      <c r="CT832" s="204" t="n"/>
      <c r="CU832" s="204" t="n"/>
      <c r="CV832" s="204" t="n"/>
      <c r="CW832" s="204" t="n"/>
    </row>
    <row r="833">
      <c r="BF833" s="78" t="n"/>
      <c r="BG833" s="78" t="n"/>
      <c r="BH833" s="78" t="n"/>
      <c r="BI833" s="78" t="n"/>
      <c r="BJ833" s="139" t="n"/>
      <c r="BK833" s="204" t="n"/>
      <c r="BL833" s="141" t="n"/>
      <c r="BM833" s="205" t="n"/>
      <c r="BN833" s="205" t="n"/>
      <c r="BO833" s="206" t="n"/>
      <c r="BP833" s="144" t="n"/>
      <c r="BQ833" s="141" t="n"/>
      <c r="BR833" s="207" t="n"/>
      <c r="BS833" s="207" t="n"/>
      <c r="BT833" s="207" t="n"/>
      <c r="BU833" s="207" t="n"/>
      <c r="BV833" s="208" t="n"/>
      <c r="BW833" s="207" t="n"/>
      <c r="BX833" s="207" t="n"/>
      <c r="BY833" s="204" t="n"/>
      <c r="BZ833" s="148" t="n"/>
      <c r="CA833" s="204" t="n"/>
      <c r="CB833" s="208" t="n"/>
      <c r="CC833" s="139" t="n"/>
      <c r="CD833" s="204" t="n"/>
      <c r="CE833" s="204" t="n"/>
      <c r="CF833" s="207" t="n"/>
      <c r="CG833" s="208" t="n"/>
      <c r="CH833" s="207" t="n"/>
      <c r="CI833" s="208" t="n"/>
      <c r="CJ833" s="204" t="n"/>
      <c r="CK833" s="208" t="n"/>
      <c r="CL833" s="208" t="n"/>
      <c r="CM833" s="208" t="n"/>
      <c r="CN833" s="78" t="n"/>
      <c r="CO833" s="209" t="n"/>
      <c r="CP833" s="204" t="n"/>
      <c r="CQ833" s="204" t="n"/>
      <c r="CR833" s="204" t="n"/>
      <c r="CS833" s="204" t="n"/>
      <c r="CT833" s="204" t="n"/>
      <c r="CU833" s="204" t="n"/>
      <c r="CV833" s="204" t="n"/>
      <c r="CW833" s="204" t="n"/>
    </row>
    <row r="834">
      <c r="BF834" s="78" t="n"/>
      <c r="BG834" s="78" t="n"/>
      <c r="BH834" s="78" t="n"/>
      <c r="BI834" s="78" t="n"/>
      <c r="BJ834" s="139" t="n"/>
      <c r="BK834" s="204" t="n"/>
      <c r="BL834" s="141" t="n"/>
      <c r="BM834" s="205" t="n"/>
      <c r="BN834" s="205" t="n"/>
      <c r="BO834" s="206" t="n"/>
      <c r="BP834" s="144" t="n"/>
      <c r="BQ834" s="141" t="n"/>
      <c r="BR834" s="207" t="n"/>
      <c r="BS834" s="207" t="n"/>
      <c r="BT834" s="207" t="n"/>
      <c r="BU834" s="207" t="n"/>
      <c r="BV834" s="208" t="n"/>
      <c r="BW834" s="207" t="n"/>
      <c r="BX834" s="207" t="n"/>
      <c r="BY834" s="204" t="n"/>
      <c r="BZ834" s="148" t="n"/>
      <c r="CA834" s="204" t="n"/>
      <c r="CB834" s="208" t="n"/>
      <c r="CC834" s="139" t="n"/>
      <c r="CD834" s="204" t="n"/>
      <c r="CE834" s="204" t="n"/>
      <c r="CF834" s="207" t="n"/>
      <c r="CG834" s="208" t="n"/>
      <c r="CH834" s="207" t="n"/>
      <c r="CI834" s="208" t="n"/>
      <c r="CJ834" s="204" t="n"/>
      <c r="CK834" s="208" t="n"/>
      <c r="CL834" s="208" t="n"/>
      <c r="CM834" s="208" t="n"/>
      <c r="CN834" s="78" t="n"/>
      <c r="CO834" s="209" t="n"/>
      <c r="CP834" s="204" t="n"/>
      <c r="CQ834" s="204" t="n"/>
      <c r="CR834" s="204" t="n"/>
      <c r="CS834" s="204" t="n"/>
      <c r="CT834" s="204" t="n"/>
      <c r="CU834" s="204" t="n"/>
      <c r="CV834" s="204" t="n"/>
      <c r="CW834" s="204" t="n"/>
    </row>
    <row r="835">
      <c r="BF835" s="78" t="n"/>
      <c r="BG835" s="78" t="n"/>
      <c r="BH835" s="78" t="n"/>
      <c r="BI835" s="78" t="n"/>
      <c r="BJ835" s="139" t="n"/>
      <c r="BK835" s="204" t="n"/>
      <c r="BL835" s="141" t="n"/>
      <c r="BM835" s="205" t="n"/>
      <c r="BN835" s="205" t="n"/>
      <c r="BO835" s="206" t="n"/>
      <c r="BP835" s="144" t="n"/>
      <c r="BQ835" s="141" t="n"/>
      <c r="BR835" s="207" t="n"/>
      <c r="BS835" s="207" t="n"/>
      <c r="BT835" s="207" t="n"/>
      <c r="BU835" s="207" t="n"/>
      <c r="BV835" s="208" t="n"/>
      <c r="BW835" s="207" t="n"/>
      <c r="BX835" s="207" t="n"/>
      <c r="BY835" s="204" t="n"/>
      <c r="BZ835" s="148" t="n"/>
      <c r="CA835" s="204" t="n"/>
      <c r="CB835" s="208" t="n"/>
      <c r="CC835" s="139" t="n"/>
      <c r="CD835" s="204" t="n"/>
      <c r="CE835" s="204" t="n"/>
      <c r="CF835" s="207" t="n"/>
      <c r="CG835" s="208" t="n"/>
      <c r="CH835" s="207" t="n"/>
      <c r="CI835" s="208" t="n"/>
      <c r="CJ835" s="204" t="n"/>
      <c r="CK835" s="208" t="n"/>
      <c r="CL835" s="208" t="n"/>
      <c r="CM835" s="208" t="n"/>
      <c r="CN835" s="78" t="n"/>
      <c r="CO835" s="209" t="n"/>
      <c r="CP835" s="204" t="n"/>
      <c r="CQ835" s="204" t="n"/>
      <c r="CR835" s="204" t="n"/>
      <c r="CS835" s="204" t="n"/>
      <c r="CT835" s="204" t="n"/>
      <c r="CU835" s="204" t="n"/>
      <c r="CV835" s="204" t="n"/>
      <c r="CW835" s="204" t="n"/>
    </row>
    <row r="836">
      <c r="BF836" s="78" t="n"/>
      <c r="BG836" s="78" t="n"/>
      <c r="BH836" s="78" t="n"/>
      <c r="BI836" s="78" t="n"/>
      <c r="BJ836" s="139" t="n"/>
      <c r="BK836" s="204" t="n"/>
      <c r="BL836" s="141" t="n"/>
      <c r="BM836" s="205" t="n"/>
      <c r="BN836" s="205" t="n"/>
      <c r="BO836" s="206" t="n"/>
      <c r="BP836" s="144" t="n"/>
      <c r="BQ836" s="141" t="n"/>
      <c r="BR836" s="207" t="n"/>
      <c r="BS836" s="207" t="n"/>
      <c r="BT836" s="207" t="n"/>
      <c r="BU836" s="207" t="n"/>
      <c r="BV836" s="208" t="n"/>
      <c r="BW836" s="207" t="n"/>
      <c r="BX836" s="207" t="n"/>
      <c r="BY836" s="204" t="n"/>
      <c r="BZ836" s="148" t="n"/>
      <c r="CA836" s="204" t="n"/>
      <c r="CB836" s="208" t="n"/>
      <c r="CC836" s="139" t="n"/>
      <c r="CD836" s="204" t="n"/>
      <c r="CE836" s="204" t="n"/>
      <c r="CF836" s="207" t="n"/>
      <c r="CG836" s="208" t="n"/>
      <c r="CH836" s="207" t="n"/>
      <c r="CI836" s="208" t="n"/>
      <c r="CJ836" s="204" t="n"/>
      <c r="CK836" s="208" t="n"/>
      <c r="CL836" s="208" t="n"/>
      <c r="CM836" s="208" t="n"/>
      <c r="CN836" s="78" t="n"/>
      <c r="CO836" s="209" t="n"/>
      <c r="CP836" s="204" t="n"/>
      <c r="CQ836" s="204" t="n"/>
      <c r="CR836" s="204" t="n"/>
      <c r="CS836" s="204" t="n"/>
      <c r="CT836" s="204" t="n"/>
      <c r="CU836" s="204" t="n"/>
      <c r="CV836" s="204" t="n"/>
      <c r="CW836" s="204" t="n"/>
    </row>
    <row r="837">
      <c r="BF837" s="78" t="n"/>
      <c r="BG837" s="78" t="n"/>
      <c r="BH837" s="78" t="n"/>
      <c r="BI837" s="78" t="n"/>
      <c r="BJ837" s="139" t="n"/>
      <c r="BK837" s="204" t="n"/>
      <c r="BL837" s="141" t="n"/>
      <c r="BM837" s="205" t="n"/>
      <c r="BN837" s="205" t="n"/>
      <c r="BO837" s="206" t="n"/>
      <c r="BP837" s="144" t="n"/>
      <c r="BQ837" s="141" t="n"/>
      <c r="BR837" s="207" t="n"/>
      <c r="BS837" s="207" t="n"/>
      <c r="BT837" s="207" t="n"/>
      <c r="BU837" s="207" t="n"/>
      <c r="BV837" s="208" t="n"/>
      <c r="BW837" s="207" t="n"/>
      <c r="BX837" s="207" t="n"/>
      <c r="BY837" s="204" t="n"/>
      <c r="BZ837" s="148" t="n"/>
      <c r="CA837" s="204" t="n"/>
      <c r="CB837" s="208" t="n"/>
      <c r="CC837" s="139" t="n"/>
      <c r="CD837" s="204" t="n"/>
      <c r="CE837" s="204" t="n"/>
      <c r="CF837" s="207" t="n"/>
      <c r="CG837" s="208" t="n"/>
      <c r="CH837" s="207" t="n"/>
      <c r="CI837" s="208" t="n"/>
      <c r="CJ837" s="204" t="n"/>
      <c r="CK837" s="208" t="n"/>
      <c r="CL837" s="208" t="n"/>
      <c r="CM837" s="208" t="n"/>
      <c r="CN837" s="78" t="n"/>
      <c r="CO837" s="209" t="n"/>
      <c r="CP837" s="204" t="n"/>
      <c r="CQ837" s="204" t="n"/>
      <c r="CR837" s="204" t="n"/>
      <c r="CS837" s="204" t="n"/>
      <c r="CT837" s="204" t="n"/>
      <c r="CU837" s="204" t="n"/>
      <c r="CV837" s="204" t="n"/>
      <c r="CW837" s="204" t="n"/>
    </row>
    <row r="838">
      <c r="BF838" s="78" t="n"/>
      <c r="BG838" s="78" t="n"/>
      <c r="BH838" s="78" t="n"/>
      <c r="BI838" s="78" t="n"/>
      <c r="BJ838" s="139" t="n"/>
      <c r="BK838" s="204" t="n"/>
      <c r="BL838" s="141" t="n"/>
      <c r="BM838" s="205" t="n"/>
      <c r="BN838" s="205" t="n"/>
      <c r="BO838" s="206" t="n"/>
      <c r="BP838" s="144" t="n"/>
      <c r="BQ838" s="141" t="n"/>
      <c r="BR838" s="207" t="n"/>
      <c r="BS838" s="207" t="n"/>
      <c r="BT838" s="207" t="n"/>
      <c r="BU838" s="207" t="n"/>
      <c r="BV838" s="208" t="n"/>
      <c r="BW838" s="207" t="n"/>
      <c r="BX838" s="207" t="n"/>
      <c r="BY838" s="204" t="n"/>
      <c r="BZ838" s="148" t="n"/>
      <c r="CA838" s="204" t="n"/>
      <c r="CB838" s="208" t="n"/>
      <c r="CC838" s="139" t="n"/>
      <c r="CD838" s="204" t="n"/>
      <c r="CE838" s="204" t="n"/>
      <c r="CF838" s="207" t="n"/>
      <c r="CG838" s="208" t="n"/>
      <c r="CH838" s="207" t="n"/>
      <c r="CI838" s="208" t="n"/>
      <c r="CJ838" s="204" t="n"/>
      <c r="CK838" s="208" t="n"/>
      <c r="CL838" s="208" t="n"/>
      <c r="CM838" s="208" t="n"/>
      <c r="CN838" s="78" t="n"/>
      <c r="CO838" s="209" t="n"/>
      <c r="CP838" s="204" t="n"/>
      <c r="CQ838" s="204" t="n"/>
      <c r="CR838" s="204" t="n"/>
      <c r="CS838" s="204" t="n"/>
      <c r="CT838" s="204" t="n"/>
      <c r="CU838" s="204" t="n"/>
      <c r="CV838" s="204" t="n"/>
      <c r="CW838" s="204" t="n"/>
    </row>
    <row r="839">
      <c r="BF839" s="78" t="n"/>
      <c r="BG839" s="78" t="n"/>
      <c r="BH839" s="78" t="n"/>
      <c r="BI839" s="78" t="n"/>
      <c r="BJ839" s="139" t="n"/>
      <c r="BK839" s="204" t="n"/>
      <c r="BL839" s="141" t="n"/>
      <c r="BM839" s="205" t="n"/>
      <c r="BN839" s="205" t="n"/>
      <c r="BO839" s="206" t="n"/>
      <c r="BP839" s="144" t="n"/>
      <c r="BQ839" s="141" t="n"/>
      <c r="BR839" s="207" t="n"/>
      <c r="BS839" s="207" t="n"/>
      <c r="BT839" s="207" t="n"/>
      <c r="BU839" s="207" t="n"/>
      <c r="BV839" s="208" t="n"/>
      <c r="BW839" s="207" t="n"/>
      <c r="BX839" s="207" t="n"/>
      <c r="BY839" s="204" t="n"/>
      <c r="BZ839" s="148" t="n"/>
      <c r="CA839" s="204" t="n"/>
      <c r="CB839" s="208" t="n"/>
      <c r="CC839" s="139" t="n"/>
      <c r="CD839" s="204" t="n"/>
      <c r="CE839" s="204" t="n"/>
      <c r="CF839" s="207" t="n"/>
      <c r="CG839" s="208" t="n"/>
      <c r="CH839" s="207" t="n"/>
      <c r="CI839" s="208" t="n"/>
      <c r="CJ839" s="204" t="n"/>
      <c r="CK839" s="208" t="n"/>
      <c r="CL839" s="208" t="n"/>
      <c r="CM839" s="208" t="n"/>
      <c r="CN839" s="78" t="n"/>
      <c r="CO839" s="209" t="n"/>
      <c r="CP839" s="204" t="n"/>
      <c r="CQ839" s="204" t="n"/>
      <c r="CR839" s="204" t="n"/>
      <c r="CS839" s="204" t="n"/>
      <c r="CT839" s="204" t="n"/>
      <c r="CU839" s="204" t="n"/>
      <c r="CV839" s="204" t="n"/>
      <c r="CW839" s="204" t="n"/>
    </row>
    <row r="840">
      <c r="BF840" s="78" t="n"/>
      <c r="BG840" s="78" t="n"/>
      <c r="BH840" s="78" t="n"/>
      <c r="BI840" s="78" t="n"/>
      <c r="BJ840" s="139" t="n"/>
      <c r="BK840" s="204" t="n"/>
      <c r="BL840" s="141" t="n"/>
      <c r="BM840" s="205" t="n"/>
      <c r="BN840" s="205" t="n"/>
      <c r="BO840" s="206" t="n"/>
      <c r="BP840" s="144" t="n"/>
      <c r="BQ840" s="141" t="n"/>
      <c r="BR840" s="207" t="n"/>
      <c r="BS840" s="207" t="n"/>
      <c r="BT840" s="207" t="n"/>
      <c r="BU840" s="207" t="n"/>
      <c r="BV840" s="208" t="n"/>
      <c r="BW840" s="207" t="n"/>
      <c r="BX840" s="207" t="n"/>
      <c r="BY840" s="204" t="n"/>
      <c r="BZ840" s="148" t="n"/>
      <c r="CA840" s="204" t="n"/>
      <c r="CB840" s="208" t="n"/>
      <c r="CC840" s="139" t="n"/>
      <c r="CD840" s="204" t="n"/>
      <c r="CE840" s="204" t="n"/>
      <c r="CF840" s="207" t="n"/>
      <c r="CG840" s="208" t="n"/>
      <c r="CH840" s="207" t="n"/>
      <c r="CI840" s="208" t="n"/>
      <c r="CJ840" s="204" t="n"/>
      <c r="CK840" s="208" t="n"/>
      <c r="CL840" s="208" t="n"/>
      <c r="CM840" s="208" t="n"/>
      <c r="CN840" s="78" t="n"/>
      <c r="CO840" s="209" t="n"/>
      <c r="CP840" s="204" t="n"/>
      <c r="CQ840" s="204" t="n"/>
      <c r="CR840" s="204" t="n"/>
      <c r="CS840" s="204" t="n"/>
      <c r="CT840" s="204" t="n"/>
      <c r="CU840" s="204" t="n"/>
      <c r="CV840" s="204" t="n"/>
      <c r="CW840" s="204" t="n"/>
    </row>
    <row r="841">
      <c r="BF841" s="78" t="n"/>
      <c r="BG841" s="78" t="n"/>
      <c r="BH841" s="78" t="n"/>
      <c r="BI841" s="78" t="n"/>
      <c r="BJ841" s="139" t="n"/>
      <c r="BK841" s="204" t="n"/>
      <c r="BL841" s="141" t="n"/>
      <c r="BM841" s="205" t="n"/>
      <c r="BN841" s="205" t="n"/>
      <c r="BO841" s="206" t="n"/>
      <c r="BP841" s="144" t="n"/>
      <c r="BQ841" s="141" t="n"/>
      <c r="BR841" s="207" t="n"/>
      <c r="BS841" s="207" t="n"/>
      <c r="BT841" s="207" t="n"/>
      <c r="BU841" s="207" t="n"/>
      <c r="BV841" s="208" t="n"/>
      <c r="BW841" s="207" t="n"/>
      <c r="BX841" s="207" t="n"/>
      <c r="BY841" s="204" t="n"/>
      <c r="BZ841" s="148" t="n"/>
      <c r="CA841" s="204" t="n"/>
      <c r="CB841" s="208" t="n"/>
      <c r="CC841" s="139" t="n"/>
      <c r="CD841" s="204" t="n"/>
      <c r="CE841" s="204" t="n"/>
      <c r="CF841" s="207" t="n"/>
      <c r="CG841" s="208" t="n"/>
      <c r="CH841" s="207" t="n"/>
      <c r="CI841" s="208" t="n"/>
      <c r="CJ841" s="204" t="n"/>
      <c r="CK841" s="208" t="n"/>
      <c r="CL841" s="208" t="n"/>
      <c r="CM841" s="208" t="n"/>
      <c r="CN841" s="78" t="n"/>
      <c r="CO841" s="209" t="n"/>
      <c r="CP841" s="204" t="n"/>
      <c r="CQ841" s="204" t="n"/>
      <c r="CR841" s="204" t="n"/>
      <c r="CS841" s="204" t="n"/>
      <c r="CT841" s="204" t="n"/>
      <c r="CU841" s="204" t="n"/>
      <c r="CV841" s="204" t="n"/>
      <c r="CW841" s="204" t="n"/>
    </row>
    <row r="842">
      <c r="BF842" s="78" t="n"/>
      <c r="BG842" s="78" t="n"/>
      <c r="BH842" s="78" t="n"/>
      <c r="BI842" s="78" t="n"/>
      <c r="BJ842" s="139" t="n"/>
      <c r="BK842" s="204" t="n"/>
      <c r="BL842" s="141" t="n"/>
      <c r="BM842" s="205" t="n"/>
      <c r="BN842" s="205" t="n"/>
      <c r="BO842" s="206" t="n"/>
      <c r="BP842" s="144" t="n"/>
      <c r="BQ842" s="141" t="n"/>
      <c r="BR842" s="207" t="n"/>
      <c r="BS842" s="207" t="n"/>
      <c r="BT842" s="207" t="n"/>
      <c r="BU842" s="207" t="n"/>
      <c r="BV842" s="208" t="n"/>
      <c r="BW842" s="207" t="n"/>
      <c r="BX842" s="207" t="n"/>
      <c r="BY842" s="204" t="n"/>
      <c r="BZ842" s="148" t="n"/>
      <c r="CA842" s="204" t="n"/>
      <c r="CB842" s="208" t="n"/>
      <c r="CC842" s="139" t="n"/>
      <c r="CD842" s="204" t="n"/>
      <c r="CE842" s="204" t="n"/>
      <c r="CF842" s="207" t="n"/>
      <c r="CG842" s="208" t="n"/>
      <c r="CH842" s="207" t="n"/>
      <c r="CI842" s="208" t="n"/>
      <c r="CJ842" s="204" t="n"/>
      <c r="CK842" s="208" t="n"/>
      <c r="CL842" s="208" t="n"/>
      <c r="CM842" s="208" t="n"/>
      <c r="CN842" s="78" t="n"/>
      <c r="CO842" s="209" t="n"/>
      <c r="CP842" s="204" t="n"/>
      <c r="CQ842" s="204" t="n"/>
      <c r="CR842" s="204" t="n"/>
      <c r="CS842" s="204" t="n"/>
      <c r="CT842" s="204" t="n"/>
      <c r="CU842" s="204" t="n"/>
      <c r="CV842" s="204" t="n"/>
      <c r="CW842" s="204" t="n"/>
    </row>
    <row r="843">
      <c r="BF843" s="78" t="n"/>
      <c r="BG843" s="78" t="n"/>
      <c r="BH843" s="78" t="n"/>
      <c r="BI843" s="78" t="n"/>
      <c r="BJ843" s="139" t="n"/>
      <c r="BK843" s="204" t="n"/>
      <c r="BL843" s="141" t="n"/>
      <c r="BM843" s="205" t="n"/>
      <c r="BN843" s="205" t="n"/>
      <c r="BO843" s="206" t="n"/>
      <c r="BP843" s="144" t="n"/>
      <c r="BQ843" s="141" t="n"/>
      <c r="BR843" s="207" t="n"/>
      <c r="BS843" s="207" t="n"/>
      <c r="BT843" s="207" t="n"/>
      <c r="BU843" s="207" t="n"/>
      <c r="BV843" s="208" t="n"/>
      <c r="BW843" s="207" t="n"/>
      <c r="BX843" s="207" t="n"/>
      <c r="BY843" s="204" t="n"/>
      <c r="BZ843" s="148" t="n"/>
      <c r="CA843" s="204" t="n"/>
      <c r="CB843" s="208" t="n"/>
      <c r="CC843" s="139" t="n"/>
      <c r="CD843" s="204" t="n"/>
      <c r="CE843" s="204" t="n"/>
      <c r="CF843" s="207" t="n"/>
      <c r="CG843" s="208" t="n"/>
      <c r="CH843" s="207" t="n"/>
      <c r="CI843" s="208" t="n"/>
      <c r="CJ843" s="204" t="n"/>
      <c r="CK843" s="208" t="n"/>
      <c r="CL843" s="208" t="n"/>
      <c r="CM843" s="208" t="n"/>
      <c r="CN843" s="78" t="n"/>
      <c r="CO843" s="209" t="n"/>
      <c r="CP843" s="204" t="n"/>
      <c r="CQ843" s="204" t="n"/>
      <c r="CR843" s="204" t="n"/>
      <c r="CS843" s="204" t="n"/>
      <c r="CT843" s="204" t="n"/>
      <c r="CU843" s="204" t="n"/>
      <c r="CV843" s="204" t="n"/>
      <c r="CW843" s="204" t="n"/>
    </row>
    <row r="844">
      <c r="BF844" s="78" t="n"/>
      <c r="BG844" s="78" t="n"/>
      <c r="BH844" s="78" t="n"/>
      <c r="BI844" s="78" t="n"/>
      <c r="BJ844" s="139" t="n"/>
      <c r="BK844" s="204" t="n"/>
      <c r="BL844" s="141" t="n"/>
      <c r="BM844" s="205" t="n"/>
      <c r="BN844" s="205" t="n"/>
      <c r="BO844" s="206" t="n"/>
      <c r="BP844" s="144" t="n"/>
      <c r="BQ844" s="141" t="n"/>
      <c r="BR844" s="207" t="n"/>
      <c r="BS844" s="207" t="n"/>
      <c r="BT844" s="207" t="n"/>
      <c r="BU844" s="207" t="n"/>
      <c r="BV844" s="208" t="n"/>
      <c r="BW844" s="207" t="n"/>
      <c r="BX844" s="207" t="n"/>
      <c r="BY844" s="204" t="n"/>
      <c r="BZ844" s="148" t="n"/>
      <c r="CA844" s="204" t="n"/>
      <c r="CB844" s="208" t="n"/>
      <c r="CC844" s="139" t="n"/>
      <c r="CD844" s="204" t="n"/>
      <c r="CE844" s="204" t="n"/>
      <c r="CF844" s="207" t="n"/>
      <c r="CG844" s="208" t="n"/>
      <c r="CH844" s="207" t="n"/>
      <c r="CI844" s="208" t="n"/>
      <c r="CJ844" s="204" t="n"/>
      <c r="CK844" s="208" t="n"/>
      <c r="CL844" s="208" t="n"/>
      <c r="CM844" s="208" t="n"/>
      <c r="CN844" s="78" t="n"/>
      <c r="CO844" s="209" t="n"/>
      <c r="CP844" s="204" t="n"/>
      <c r="CQ844" s="204" t="n"/>
      <c r="CR844" s="204" t="n"/>
      <c r="CS844" s="204" t="n"/>
      <c r="CT844" s="204" t="n"/>
      <c r="CU844" s="204" t="n"/>
      <c r="CV844" s="204" t="n"/>
      <c r="CW844" s="204" t="n"/>
    </row>
    <row r="845">
      <c r="BF845" s="78" t="n"/>
      <c r="BG845" s="78" t="n"/>
      <c r="BH845" s="78" t="n"/>
      <c r="BI845" s="78" t="n"/>
      <c r="BJ845" s="139" t="n"/>
      <c r="BK845" s="204" t="n"/>
      <c r="BL845" s="141" t="n"/>
      <c r="BM845" s="205" t="n"/>
      <c r="BN845" s="205" t="n"/>
      <c r="BO845" s="206" t="n"/>
      <c r="BP845" s="144" t="n"/>
      <c r="BQ845" s="141" t="n"/>
      <c r="BR845" s="207" t="n"/>
      <c r="BS845" s="207" t="n"/>
      <c r="BT845" s="207" t="n"/>
      <c r="BU845" s="207" t="n"/>
      <c r="BV845" s="208" t="n"/>
      <c r="BW845" s="207" t="n"/>
      <c r="BX845" s="207" t="n"/>
      <c r="BY845" s="204" t="n"/>
      <c r="BZ845" s="148" t="n"/>
      <c r="CA845" s="204" t="n"/>
      <c r="CB845" s="208" t="n"/>
      <c r="CC845" s="139" t="n"/>
      <c r="CD845" s="204" t="n"/>
      <c r="CE845" s="204" t="n"/>
      <c r="CF845" s="207" t="n"/>
      <c r="CG845" s="208" t="n"/>
      <c r="CH845" s="207" t="n"/>
      <c r="CI845" s="208" t="n"/>
      <c r="CJ845" s="204" t="n"/>
      <c r="CK845" s="208" t="n"/>
      <c r="CL845" s="208" t="n"/>
      <c r="CM845" s="208" t="n"/>
      <c r="CN845" s="78" t="n"/>
      <c r="CO845" s="209" t="n"/>
      <c r="CP845" s="204" t="n"/>
      <c r="CQ845" s="204" t="n"/>
      <c r="CR845" s="204" t="n"/>
      <c r="CS845" s="204" t="n"/>
      <c r="CT845" s="204" t="n"/>
      <c r="CU845" s="204" t="n"/>
      <c r="CV845" s="204" t="n"/>
      <c r="CW845" s="204" t="n"/>
    </row>
    <row r="846">
      <c r="BF846" s="78" t="n"/>
      <c r="BG846" s="78" t="n"/>
      <c r="BH846" s="78" t="n"/>
      <c r="BI846" s="78" t="n"/>
      <c r="BJ846" s="139" t="n"/>
      <c r="BK846" s="204" t="n"/>
      <c r="BL846" s="141" t="n"/>
      <c r="BM846" s="205" t="n"/>
      <c r="BN846" s="205" t="n"/>
      <c r="BO846" s="206" t="n"/>
      <c r="BP846" s="144" t="n"/>
      <c r="BQ846" s="141" t="n"/>
      <c r="BR846" s="207" t="n"/>
      <c r="BS846" s="207" t="n"/>
      <c r="BT846" s="207" t="n"/>
      <c r="BU846" s="207" t="n"/>
      <c r="BV846" s="208" t="n"/>
      <c r="BW846" s="207" t="n"/>
      <c r="BX846" s="207" t="n"/>
      <c r="BY846" s="204" t="n"/>
      <c r="BZ846" s="148" t="n"/>
      <c r="CA846" s="204" t="n"/>
      <c r="CB846" s="208" t="n"/>
      <c r="CC846" s="139" t="n"/>
      <c r="CD846" s="204" t="n"/>
      <c r="CE846" s="204" t="n"/>
      <c r="CF846" s="207" t="n"/>
      <c r="CG846" s="208" t="n"/>
      <c r="CH846" s="207" t="n"/>
      <c r="CI846" s="208" t="n"/>
      <c r="CJ846" s="204" t="n"/>
      <c r="CK846" s="208" t="n"/>
      <c r="CL846" s="208" t="n"/>
      <c r="CM846" s="208" t="n"/>
      <c r="CN846" s="78" t="n"/>
      <c r="CO846" s="209" t="n"/>
      <c r="CP846" s="204" t="n"/>
      <c r="CQ846" s="204" t="n"/>
      <c r="CR846" s="204" t="n"/>
      <c r="CS846" s="204" t="n"/>
      <c r="CT846" s="204" t="n"/>
      <c r="CU846" s="204" t="n"/>
      <c r="CV846" s="204" t="n"/>
      <c r="CW846" s="204" t="n"/>
    </row>
    <row r="847">
      <c r="BF847" s="78" t="n"/>
      <c r="BG847" s="78" t="n"/>
      <c r="BH847" s="78" t="n"/>
      <c r="BI847" s="78" t="n"/>
      <c r="BJ847" s="139" t="n"/>
      <c r="BK847" s="204" t="n"/>
      <c r="BL847" s="141" t="n"/>
      <c r="BM847" s="205" t="n"/>
      <c r="BN847" s="205" t="n"/>
      <c r="BO847" s="206" t="n"/>
      <c r="BP847" s="144" t="n"/>
      <c r="BQ847" s="141" t="n"/>
      <c r="BR847" s="207" t="n"/>
      <c r="BS847" s="207" t="n"/>
      <c r="BT847" s="207" t="n"/>
      <c r="BU847" s="207" t="n"/>
      <c r="BV847" s="208" t="n"/>
      <c r="BW847" s="207" t="n"/>
      <c r="BX847" s="207" t="n"/>
      <c r="BY847" s="204" t="n"/>
      <c r="BZ847" s="148" t="n"/>
      <c r="CA847" s="204" t="n"/>
      <c r="CB847" s="208" t="n"/>
      <c r="CC847" s="139" t="n"/>
      <c r="CD847" s="204" t="n"/>
      <c r="CE847" s="204" t="n"/>
      <c r="CF847" s="207" t="n"/>
      <c r="CG847" s="208" t="n"/>
      <c r="CH847" s="207" t="n"/>
      <c r="CI847" s="208" t="n"/>
      <c r="CJ847" s="204" t="n"/>
      <c r="CK847" s="208" t="n"/>
      <c r="CL847" s="208" t="n"/>
      <c r="CM847" s="208" t="n"/>
      <c r="CN847" s="78" t="n"/>
      <c r="CO847" s="209" t="n"/>
      <c r="CP847" s="204" t="n"/>
      <c r="CQ847" s="204" t="n"/>
      <c r="CR847" s="204" t="n"/>
      <c r="CS847" s="204" t="n"/>
      <c r="CT847" s="204" t="n"/>
      <c r="CU847" s="204" t="n"/>
      <c r="CV847" s="204" t="n"/>
      <c r="CW847" s="204" t="n"/>
    </row>
    <row r="848">
      <c r="BF848" s="78" t="n"/>
      <c r="BG848" s="78" t="n"/>
      <c r="BH848" s="78" t="n"/>
      <c r="BI848" s="78" t="n"/>
      <c r="BJ848" s="139" t="n"/>
      <c r="BK848" s="204" t="n"/>
      <c r="BL848" s="141" t="n"/>
      <c r="BM848" s="205" t="n"/>
      <c r="BN848" s="205" t="n"/>
      <c r="BO848" s="206" t="n"/>
      <c r="BP848" s="144" t="n"/>
      <c r="BQ848" s="141" t="n"/>
      <c r="BR848" s="207" t="n"/>
      <c r="BS848" s="207" t="n"/>
      <c r="BT848" s="207" t="n"/>
      <c r="BU848" s="207" t="n"/>
      <c r="BV848" s="208" t="n"/>
      <c r="BW848" s="207" t="n"/>
      <c r="BX848" s="207" t="n"/>
      <c r="BY848" s="204" t="n"/>
      <c r="BZ848" s="148" t="n"/>
      <c r="CA848" s="204" t="n"/>
      <c r="CB848" s="208" t="n"/>
      <c r="CC848" s="139" t="n"/>
      <c r="CD848" s="204" t="n"/>
      <c r="CE848" s="204" t="n"/>
      <c r="CF848" s="207" t="n"/>
      <c r="CG848" s="208" t="n"/>
      <c r="CH848" s="207" t="n"/>
      <c r="CI848" s="208" t="n"/>
      <c r="CJ848" s="204" t="n"/>
      <c r="CK848" s="208" t="n"/>
      <c r="CL848" s="208" t="n"/>
      <c r="CM848" s="208" t="n"/>
      <c r="CN848" s="78" t="n"/>
      <c r="CO848" s="209" t="n"/>
      <c r="CP848" s="204" t="n"/>
      <c r="CQ848" s="204" t="n"/>
      <c r="CR848" s="204" t="n"/>
      <c r="CS848" s="204" t="n"/>
      <c r="CT848" s="204" t="n"/>
      <c r="CU848" s="204" t="n"/>
      <c r="CV848" s="204" t="n"/>
      <c r="CW848" s="204" t="n"/>
    </row>
    <row r="849">
      <c r="BF849" s="78" t="n"/>
      <c r="BG849" s="78" t="n"/>
      <c r="BH849" s="78" t="n"/>
      <c r="BI849" s="78" t="n"/>
      <c r="BJ849" s="139" t="n"/>
      <c r="BK849" s="204" t="n"/>
      <c r="BL849" s="141" t="n"/>
      <c r="BM849" s="205" t="n"/>
      <c r="BN849" s="205" t="n"/>
      <c r="BO849" s="206" t="n"/>
      <c r="BP849" s="144" t="n"/>
      <c r="BQ849" s="141" t="n"/>
      <c r="BR849" s="207" t="n"/>
      <c r="BS849" s="207" t="n"/>
      <c r="BT849" s="207" t="n"/>
      <c r="BU849" s="207" t="n"/>
      <c r="BV849" s="208" t="n"/>
      <c r="BW849" s="207" t="n"/>
      <c r="BX849" s="207" t="n"/>
      <c r="BY849" s="204" t="n"/>
      <c r="BZ849" s="148" t="n"/>
      <c r="CA849" s="204" t="n"/>
      <c r="CB849" s="208" t="n"/>
      <c r="CC849" s="139" t="n"/>
      <c r="CD849" s="204" t="n"/>
      <c r="CE849" s="204" t="n"/>
      <c r="CF849" s="207" t="n"/>
      <c r="CG849" s="208" t="n"/>
      <c r="CH849" s="207" t="n"/>
      <c r="CI849" s="208" t="n"/>
      <c r="CJ849" s="204" t="n"/>
      <c r="CK849" s="208" t="n"/>
      <c r="CL849" s="208" t="n"/>
      <c r="CM849" s="208" t="n"/>
      <c r="CN849" s="78" t="n"/>
      <c r="CO849" s="209" t="n"/>
      <c r="CP849" s="204" t="n"/>
      <c r="CQ849" s="204" t="n"/>
      <c r="CR849" s="204" t="n"/>
      <c r="CS849" s="204" t="n"/>
      <c r="CT849" s="204" t="n"/>
      <c r="CU849" s="204" t="n"/>
      <c r="CV849" s="204" t="n"/>
      <c r="CW849" s="204" t="n"/>
    </row>
    <row r="850">
      <c r="BF850" s="78" t="n"/>
      <c r="BG850" s="78" t="n"/>
      <c r="BH850" s="78" t="n"/>
      <c r="BI850" s="78" t="n"/>
      <c r="BJ850" s="139" t="n"/>
      <c r="BK850" s="204" t="n"/>
      <c r="BL850" s="141" t="n"/>
      <c r="BM850" s="205" t="n"/>
      <c r="BN850" s="205" t="n"/>
      <c r="BO850" s="206" t="n"/>
      <c r="BP850" s="144" t="n"/>
      <c r="BQ850" s="141" t="n"/>
      <c r="BR850" s="207" t="n"/>
      <c r="BS850" s="207" t="n"/>
      <c r="BT850" s="207" t="n"/>
      <c r="BU850" s="207" t="n"/>
      <c r="BV850" s="208" t="n"/>
      <c r="BW850" s="207" t="n"/>
      <c r="BX850" s="207" t="n"/>
      <c r="BY850" s="204" t="n"/>
      <c r="BZ850" s="148" t="n"/>
      <c r="CA850" s="204" t="n"/>
      <c r="CB850" s="208" t="n"/>
      <c r="CC850" s="139" t="n"/>
      <c r="CD850" s="204" t="n"/>
      <c r="CE850" s="204" t="n"/>
      <c r="CF850" s="207" t="n"/>
      <c r="CG850" s="208" t="n"/>
      <c r="CH850" s="207" t="n"/>
      <c r="CI850" s="208" t="n"/>
      <c r="CJ850" s="204" t="n"/>
      <c r="CK850" s="208" t="n"/>
      <c r="CL850" s="208" t="n"/>
      <c r="CM850" s="208" t="n"/>
      <c r="CN850" s="78" t="n"/>
      <c r="CO850" s="209" t="n"/>
      <c r="CP850" s="204" t="n"/>
      <c r="CQ850" s="204" t="n"/>
      <c r="CR850" s="204" t="n"/>
      <c r="CS850" s="204" t="n"/>
      <c r="CT850" s="204" t="n"/>
      <c r="CU850" s="204" t="n"/>
      <c r="CV850" s="204" t="n"/>
      <c r="CW850" s="204" t="n"/>
    </row>
    <row r="851">
      <c r="BF851" s="78" t="n"/>
      <c r="BG851" s="78" t="n"/>
      <c r="BH851" s="78" t="n"/>
      <c r="BI851" s="78" t="n"/>
      <c r="BJ851" s="139" t="n"/>
      <c r="BK851" s="204" t="n"/>
      <c r="BL851" s="141" t="n"/>
      <c r="BM851" s="205" t="n"/>
      <c r="BN851" s="205" t="n"/>
      <c r="BO851" s="206" t="n"/>
      <c r="BP851" s="144" t="n"/>
      <c r="BQ851" s="141" t="n"/>
      <c r="BR851" s="207" t="n"/>
      <c r="BS851" s="207" t="n"/>
      <c r="BT851" s="207" t="n"/>
      <c r="BU851" s="207" t="n"/>
      <c r="BV851" s="208" t="n"/>
      <c r="BW851" s="207" t="n"/>
      <c r="BX851" s="207" t="n"/>
      <c r="BY851" s="204" t="n"/>
      <c r="BZ851" s="148" t="n"/>
      <c r="CA851" s="204" t="n"/>
      <c r="CB851" s="208" t="n"/>
      <c r="CC851" s="139" t="n"/>
      <c r="CD851" s="204" t="n"/>
      <c r="CE851" s="204" t="n"/>
      <c r="CF851" s="207" t="n"/>
      <c r="CG851" s="208" t="n"/>
      <c r="CH851" s="207" t="n"/>
      <c r="CI851" s="208" t="n"/>
      <c r="CJ851" s="204" t="n"/>
      <c r="CK851" s="208" t="n"/>
      <c r="CL851" s="208" t="n"/>
      <c r="CM851" s="208" t="n"/>
      <c r="CN851" s="78" t="n"/>
      <c r="CO851" s="209" t="n"/>
      <c r="CP851" s="204" t="n"/>
      <c r="CQ851" s="204" t="n"/>
      <c r="CR851" s="204" t="n"/>
      <c r="CS851" s="204" t="n"/>
      <c r="CT851" s="204" t="n"/>
      <c r="CU851" s="204" t="n"/>
      <c r="CV851" s="204" t="n"/>
      <c r="CW851" s="204" t="n"/>
    </row>
    <row r="852">
      <c r="BF852" s="78" t="n"/>
      <c r="BG852" s="78" t="n"/>
      <c r="BH852" s="78" t="n"/>
      <c r="BI852" s="78" t="n"/>
      <c r="BJ852" s="139" t="n"/>
      <c r="BK852" s="204" t="n"/>
      <c r="BL852" s="141" t="n"/>
      <c r="BM852" s="205" t="n"/>
      <c r="BN852" s="205" t="n"/>
      <c r="BO852" s="206" t="n"/>
      <c r="BP852" s="144" t="n"/>
      <c r="BQ852" s="141" t="n"/>
      <c r="BR852" s="207" t="n"/>
      <c r="BS852" s="207" t="n"/>
      <c r="BT852" s="207" t="n"/>
      <c r="BU852" s="207" t="n"/>
      <c r="BV852" s="208" t="n"/>
      <c r="BW852" s="207" t="n"/>
      <c r="BX852" s="207" t="n"/>
      <c r="BY852" s="204" t="n"/>
      <c r="BZ852" s="148" t="n"/>
      <c r="CA852" s="204" t="n"/>
      <c r="CB852" s="208" t="n"/>
      <c r="CC852" s="139" t="n"/>
      <c r="CD852" s="204" t="n"/>
      <c r="CE852" s="204" t="n"/>
      <c r="CF852" s="207" t="n"/>
      <c r="CG852" s="208" t="n"/>
      <c r="CH852" s="207" t="n"/>
      <c r="CI852" s="208" t="n"/>
      <c r="CJ852" s="204" t="n"/>
      <c r="CK852" s="208" t="n"/>
      <c r="CL852" s="208" t="n"/>
      <c r="CM852" s="208" t="n"/>
      <c r="CN852" s="78" t="n"/>
      <c r="CO852" s="209" t="n"/>
      <c r="CP852" s="204" t="n"/>
      <c r="CQ852" s="204" t="n"/>
      <c r="CR852" s="204" t="n"/>
      <c r="CS852" s="204" t="n"/>
      <c r="CT852" s="204" t="n"/>
      <c r="CU852" s="204" t="n"/>
      <c r="CV852" s="204" t="n"/>
      <c r="CW852" s="204" t="n"/>
    </row>
    <row r="853">
      <c r="BF853" s="78" t="n"/>
      <c r="BG853" s="78" t="n"/>
      <c r="BH853" s="78" t="n"/>
      <c r="BI853" s="78" t="n"/>
      <c r="BJ853" s="139" t="n"/>
      <c r="BK853" s="204" t="n"/>
      <c r="BL853" s="141" t="n"/>
      <c r="BM853" s="205" t="n"/>
      <c r="BN853" s="205" t="n"/>
      <c r="BO853" s="206" t="n"/>
      <c r="BP853" s="144" t="n"/>
      <c r="BQ853" s="141" t="n"/>
      <c r="BR853" s="207" t="n"/>
      <c r="BS853" s="207" t="n"/>
      <c r="BT853" s="207" t="n"/>
      <c r="BU853" s="207" t="n"/>
      <c r="BV853" s="208" t="n"/>
      <c r="BW853" s="207" t="n"/>
      <c r="BX853" s="207" t="n"/>
      <c r="BY853" s="204" t="n"/>
      <c r="BZ853" s="148" t="n"/>
      <c r="CA853" s="204" t="n"/>
      <c r="CB853" s="208" t="n"/>
      <c r="CC853" s="139" t="n"/>
      <c r="CD853" s="204" t="n"/>
      <c r="CE853" s="204" t="n"/>
      <c r="CF853" s="207" t="n"/>
      <c r="CG853" s="208" t="n"/>
      <c r="CH853" s="207" t="n"/>
      <c r="CI853" s="208" t="n"/>
      <c r="CJ853" s="204" t="n"/>
      <c r="CK853" s="208" t="n"/>
      <c r="CL853" s="208" t="n"/>
      <c r="CM853" s="208" t="n"/>
      <c r="CN853" s="78" t="n"/>
      <c r="CO853" s="209" t="n"/>
      <c r="CP853" s="204" t="n"/>
      <c r="CQ853" s="204" t="n"/>
      <c r="CR853" s="204" t="n"/>
      <c r="CS853" s="204" t="n"/>
      <c r="CT853" s="204" t="n"/>
      <c r="CU853" s="204" t="n"/>
      <c r="CV853" s="204" t="n"/>
      <c r="CW853" s="204" t="n"/>
    </row>
    <row r="854">
      <c r="BF854" s="78" t="n"/>
      <c r="BG854" s="78" t="n"/>
      <c r="BH854" s="78" t="n"/>
      <c r="BI854" s="78" t="n"/>
      <c r="BJ854" s="139" t="n"/>
      <c r="BK854" s="204" t="n"/>
      <c r="BL854" s="141" t="n"/>
      <c r="BM854" s="205" t="n"/>
      <c r="BN854" s="205" t="n"/>
      <c r="BO854" s="206" t="n"/>
      <c r="BP854" s="144" t="n"/>
      <c r="BQ854" s="141" t="n"/>
      <c r="BR854" s="207" t="n"/>
      <c r="BS854" s="207" t="n"/>
      <c r="BT854" s="207" t="n"/>
      <c r="BU854" s="207" t="n"/>
      <c r="BV854" s="208" t="n"/>
      <c r="BW854" s="207" t="n"/>
      <c r="BX854" s="207" t="n"/>
      <c r="BY854" s="204" t="n"/>
      <c r="BZ854" s="148" t="n"/>
      <c r="CA854" s="204" t="n"/>
      <c r="CB854" s="208" t="n"/>
      <c r="CC854" s="139" t="n"/>
      <c r="CD854" s="204" t="n"/>
      <c r="CE854" s="204" t="n"/>
      <c r="CF854" s="207" t="n"/>
      <c r="CG854" s="208" t="n"/>
      <c r="CH854" s="207" t="n"/>
      <c r="CI854" s="208" t="n"/>
      <c r="CJ854" s="204" t="n"/>
      <c r="CK854" s="208" t="n"/>
      <c r="CL854" s="208" t="n"/>
      <c r="CM854" s="208" t="n"/>
      <c r="CN854" s="78" t="n"/>
      <c r="CO854" s="209" t="n"/>
      <c r="CP854" s="204" t="n"/>
      <c r="CQ854" s="204" t="n"/>
      <c r="CR854" s="204" t="n"/>
      <c r="CS854" s="204" t="n"/>
      <c r="CT854" s="204" t="n"/>
      <c r="CU854" s="204" t="n"/>
      <c r="CV854" s="204" t="n"/>
      <c r="CW854" s="204" t="n"/>
    </row>
    <row r="855">
      <c r="BF855" s="78" t="n"/>
      <c r="BG855" s="78" t="n"/>
      <c r="BH855" s="78" t="n"/>
      <c r="BI855" s="78" t="n"/>
      <c r="BJ855" s="139" t="n"/>
      <c r="BK855" s="204" t="n"/>
      <c r="BL855" s="141" t="n"/>
      <c r="BM855" s="205" t="n"/>
      <c r="BN855" s="205" t="n"/>
      <c r="BO855" s="206" t="n"/>
      <c r="BP855" s="144" t="n"/>
      <c r="BQ855" s="141" t="n"/>
      <c r="BR855" s="207" t="n"/>
      <c r="BS855" s="207" t="n"/>
      <c r="BT855" s="207" t="n"/>
      <c r="BU855" s="207" t="n"/>
      <c r="BV855" s="208" t="n"/>
      <c r="BW855" s="207" t="n"/>
      <c r="BX855" s="207" t="n"/>
      <c r="BY855" s="204" t="n"/>
      <c r="BZ855" s="148" t="n"/>
      <c r="CA855" s="204" t="n"/>
      <c r="CB855" s="208" t="n"/>
      <c r="CC855" s="139" t="n"/>
      <c r="CD855" s="204" t="n"/>
      <c r="CE855" s="204" t="n"/>
      <c r="CF855" s="207" t="n"/>
      <c r="CG855" s="208" t="n"/>
      <c r="CH855" s="207" t="n"/>
      <c r="CI855" s="208" t="n"/>
      <c r="CJ855" s="204" t="n"/>
      <c r="CK855" s="208" t="n"/>
      <c r="CL855" s="208" t="n"/>
      <c r="CM855" s="208" t="n"/>
      <c r="CN855" s="78" t="n"/>
      <c r="CO855" s="209" t="n"/>
      <c r="CP855" s="204" t="n"/>
      <c r="CQ855" s="204" t="n"/>
      <c r="CR855" s="204" t="n"/>
      <c r="CS855" s="204" t="n"/>
      <c r="CT855" s="204" t="n"/>
      <c r="CU855" s="204" t="n"/>
      <c r="CV855" s="204" t="n"/>
      <c r="CW855" s="204" t="n"/>
    </row>
    <row r="856">
      <c r="BF856" s="78" t="n"/>
      <c r="BG856" s="78" t="n"/>
      <c r="BH856" s="78" t="n"/>
      <c r="BI856" s="78" t="n"/>
      <c r="BJ856" s="139" t="n"/>
      <c r="BK856" s="204" t="n"/>
      <c r="BL856" s="141" t="n"/>
      <c r="BM856" s="205" t="n"/>
      <c r="BN856" s="205" t="n"/>
      <c r="BO856" s="206" t="n"/>
      <c r="BP856" s="144" t="n"/>
      <c r="BQ856" s="141" t="n"/>
      <c r="BR856" s="207" t="n"/>
      <c r="BS856" s="207" t="n"/>
      <c r="BT856" s="207" t="n"/>
      <c r="BU856" s="207" t="n"/>
      <c r="BV856" s="208" t="n"/>
      <c r="BW856" s="207" t="n"/>
      <c r="BX856" s="207" t="n"/>
      <c r="BY856" s="204" t="n"/>
      <c r="BZ856" s="148" t="n"/>
      <c r="CA856" s="204" t="n"/>
      <c r="CB856" s="208" t="n"/>
      <c r="CC856" s="139" t="n"/>
      <c r="CD856" s="204" t="n"/>
      <c r="CE856" s="204" t="n"/>
      <c r="CF856" s="207" t="n"/>
      <c r="CG856" s="208" t="n"/>
      <c r="CH856" s="207" t="n"/>
      <c r="CI856" s="208" t="n"/>
      <c r="CJ856" s="204" t="n"/>
      <c r="CK856" s="208" t="n"/>
      <c r="CL856" s="208" t="n"/>
      <c r="CM856" s="208" t="n"/>
      <c r="CN856" s="78" t="n"/>
      <c r="CO856" s="209" t="n"/>
      <c r="CP856" s="204" t="n"/>
      <c r="CQ856" s="204" t="n"/>
      <c r="CR856" s="204" t="n"/>
      <c r="CS856" s="204" t="n"/>
      <c r="CT856" s="204" t="n"/>
      <c r="CU856" s="204" t="n"/>
      <c r="CV856" s="204" t="n"/>
      <c r="CW856" s="204" t="n"/>
    </row>
    <row r="857">
      <c r="BF857" s="78" t="n"/>
      <c r="BG857" s="78" t="n"/>
      <c r="BH857" s="78" t="n"/>
      <c r="BI857" s="78" t="n"/>
      <c r="BJ857" s="139" t="n"/>
      <c r="BK857" s="204" t="n"/>
      <c r="BL857" s="141" t="n"/>
      <c r="BM857" s="205" t="n"/>
      <c r="BN857" s="205" t="n"/>
      <c r="BO857" s="206" t="n"/>
      <c r="BP857" s="144" t="n"/>
      <c r="BQ857" s="141" t="n"/>
      <c r="BR857" s="207" t="n"/>
      <c r="BS857" s="207" t="n"/>
      <c r="BT857" s="207" t="n"/>
      <c r="BU857" s="207" t="n"/>
      <c r="BV857" s="208" t="n"/>
      <c r="BW857" s="207" t="n"/>
      <c r="BX857" s="207" t="n"/>
      <c r="BY857" s="204" t="n"/>
      <c r="BZ857" s="148" t="n"/>
      <c r="CA857" s="204" t="n"/>
      <c r="CB857" s="208" t="n"/>
      <c r="CC857" s="139" t="n"/>
      <c r="CD857" s="204" t="n"/>
      <c r="CE857" s="204" t="n"/>
      <c r="CF857" s="207" t="n"/>
      <c r="CG857" s="208" t="n"/>
      <c r="CH857" s="207" t="n"/>
      <c r="CI857" s="208" t="n"/>
      <c r="CJ857" s="204" t="n"/>
      <c r="CK857" s="208" t="n"/>
      <c r="CL857" s="208" t="n"/>
      <c r="CM857" s="208" t="n"/>
      <c r="CN857" s="78" t="n"/>
      <c r="CO857" s="209" t="n"/>
      <c r="CP857" s="204" t="n"/>
      <c r="CQ857" s="204" t="n"/>
      <c r="CR857" s="204" t="n"/>
      <c r="CS857" s="204" t="n"/>
      <c r="CT857" s="204" t="n"/>
      <c r="CU857" s="204" t="n"/>
      <c r="CV857" s="204" t="n"/>
      <c r="CW857" s="204" t="n"/>
    </row>
    <row r="858">
      <c r="BF858" s="78" t="n"/>
      <c r="BG858" s="78" t="n"/>
      <c r="BH858" s="78" t="n"/>
      <c r="BI858" s="78" t="n"/>
      <c r="BJ858" s="139" t="n"/>
      <c r="BK858" s="204" t="n"/>
      <c r="BL858" s="141" t="n"/>
      <c r="BM858" s="205" t="n"/>
      <c r="BN858" s="205" t="n"/>
      <c r="BO858" s="206" t="n"/>
      <c r="BP858" s="144" t="n"/>
      <c r="BQ858" s="141" t="n"/>
      <c r="BR858" s="207" t="n"/>
      <c r="BS858" s="207" t="n"/>
      <c r="BT858" s="207" t="n"/>
      <c r="BU858" s="207" t="n"/>
      <c r="BV858" s="208" t="n"/>
      <c r="BW858" s="207" t="n"/>
      <c r="BX858" s="207" t="n"/>
      <c r="BY858" s="204" t="n"/>
      <c r="BZ858" s="148" t="n"/>
      <c r="CA858" s="204" t="n"/>
      <c r="CB858" s="208" t="n"/>
      <c r="CC858" s="139" t="n"/>
      <c r="CD858" s="204" t="n"/>
      <c r="CE858" s="204" t="n"/>
      <c r="CF858" s="207" t="n"/>
      <c r="CG858" s="208" t="n"/>
      <c r="CH858" s="207" t="n"/>
      <c r="CI858" s="208" t="n"/>
      <c r="CJ858" s="204" t="n"/>
      <c r="CK858" s="208" t="n"/>
      <c r="CL858" s="208" t="n"/>
      <c r="CM858" s="208" t="n"/>
      <c r="CN858" s="78" t="n"/>
      <c r="CO858" s="209" t="n"/>
      <c r="CP858" s="204" t="n"/>
      <c r="CQ858" s="204" t="n"/>
      <c r="CR858" s="204" t="n"/>
      <c r="CS858" s="204" t="n"/>
      <c r="CT858" s="204" t="n"/>
      <c r="CU858" s="204" t="n"/>
      <c r="CV858" s="204" t="n"/>
      <c r="CW858" s="204" t="n"/>
    </row>
    <row r="859">
      <c r="BF859" s="78" t="n"/>
      <c r="BG859" s="78" t="n"/>
      <c r="BH859" s="78" t="n"/>
      <c r="BI859" s="78" t="n"/>
      <c r="BJ859" s="139" t="n"/>
      <c r="BK859" s="204" t="n"/>
      <c r="BL859" s="141" t="n"/>
      <c r="BM859" s="205" t="n"/>
      <c r="BN859" s="205" t="n"/>
      <c r="BO859" s="206" t="n"/>
      <c r="BP859" s="144" t="n"/>
      <c r="BQ859" s="141" t="n"/>
      <c r="BR859" s="207" t="n"/>
      <c r="BS859" s="207" t="n"/>
      <c r="BT859" s="207" t="n"/>
      <c r="BU859" s="207" t="n"/>
      <c r="BV859" s="208" t="n"/>
      <c r="BW859" s="207" t="n"/>
      <c r="BX859" s="207" t="n"/>
      <c r="BY859" s="204" t="n"/>
      <c r="BZ859" s="148" t="n"/>
      <c r="CA859" s="204" t="n"/>
      <c r="CB859" s="208" t="n"/>
      <c r="CC859" s="139" t="n"/>
      <c r="CD859" s="204" t="n"/>
      <c r="CE859" s="204" t="n"/>
      <c r="CF859" s="207" t="n"/>
      <c r="CG859" s="208" t="n"/>
      <c r="CH859" s="207" t="n"/>
      <c r="CI859" s="208" t="n"/>
      <c r="CJ859" s="204" t="n"/>
      <c r="CK859" s="208" t="n"/>
      <c r="CL859" s="208" t="n"/>
      <c r="CM859" s="208" t="n"/>
      <c r="CN859" s="78" t="n"/>
      <c r="CO859" s="209" t="n"/>
      <c r="CP859" s="204" t="n"/>
      <c r="CQ859" s="204" t="n"/>
      <c r="CR859" s="204" t="n"/>
      <c r="CS859" s="204" t="n"/>
      <c r="CT859" s="204" t="n"/>
      <c r="CU859" s="204" t="n"/>
      <c r="CV859" s="204" t="n"/>
      <c r="CW859" s="204" t="n"/>
    </row>
    <row r="860">
      <c r="BF860" s="78" t="n"/>
      <c r="BG860" s="78" t="n"/>
      <c r="BH860" s="78" t="n"/>
      <c r="BI860" s="78" t="n"/>
      <c r="BJ860" s="139" t="n"/>
      <c r="BK860" s="204" t="n"/>
      <c r="BL860" s="141" t="n"/>
      <c r="BM860" s="205" t="n"/>
      <c r="BN860" s="205" t="n"/>
      <c r="BO860" s="206" t="n"/>
      <c r="BP860" s="144" t="n"/>
      <c r="BQ860" s="141" t="n"/>
      <c r="BR860" s="207" t="n"/>
      <c r="BS860" s="207" t="n"/>
      <c r="BT860" s="207" t="n"/>
      <c r="BU860" s="207" t="n"/>
      <c r="BV860" s="208" t="n"/>
      <c r="BW860" s="207" t="n"/>
      <c r="BX860" s="207" t="n"/>
      <c r="BY860" s="204" t="n"/>
      <c r="BZ860" s="148" t="n"/>
      <c r="CA860" s="204" t="n"/>
      <c r="CB860" s="208" t="n"/>
      <c r="CC860" s="139" t="n"/>
      <c r="CD860" s="204" t="n"/>
      <c r="CE860" s="204" t="n"/>
      <c r="CF860" s="207" t="n"/>
      <c r="CG860" s="208" t="n"/>
      <c r="CH860" s="207" t="n"/>
      <c r="CI860" s="208" t="n"/>
      <c r="CJ860" s="204" t="n"/>
      <c r="CK860" s="208" t="n"/>
      <c r="CL860" s="208" t="n"/>
      <c r="CM860" s="208" t="n"/>
      <c r="CN860" s="78" t="n"/>
      <c r="CO860" s="209" t="n"/>
      <c r="CP860" s="204" t="n"/>
      <c r="CQ860" s="204" t="n"/>
      <c r="CR860" s="204" t="n"/>
      <c r="CS860" s="204" t="n"/>
      <c r="CT860" s="204" t="n"/>
      <c r="CU860" s="204" t="n"/>
      <c r="CV860" s="204" t="n"/>
      <c r="CW860" s="204" t="n"/>
    </row>
    <row r="861">
      <c r="BF861" s="78" t="n"/>
      <c r="BG861" s="78" t="n"/>
      <c r="BH861" s="78" t="n"/>
      <c r="BI861" s="78" t="n"/>
      <c r="BJ861" s="139" t="n"/>
      <c r="BK861" s="204" t="n"/>
      <c r="BL861" s="141" t="n"/>
      <c r="BM861" s="205" t="n"/>
      <c r="BN861" s="205" t="n"/>
      <c r="BO861" s="206" t="n"/>
      <c r="BP861" s="144" t="n"/>
      <c r="BQ861" s="141" t="n"/>
      <c r="BR861" s="207" t="n"/>
      <c r="BS861" s="207" t="n"/>
      <c r="BT861" s="207" t="n"/>
      <c r="BU861" s="207" t="n"/>
      <c r="BV861" s="208" t="n"/>
      <c r="BW861" s="207" t="n"/>
      <c r="BX861" s="207" t="n"/>
      <c r="BY861" s="204" t="n"/>
      <c r="BZ861" s="148" t="n"/>
      <c r="CA861" s="204" t="n"/>
      <c r="CB861" s="208" t="n"/>
      <c r="CC861" s="139" t="n"/>
      <c r="CD861" s="204" t="n"/>
      <c r="CE861" s="204" t="n"/>
      <c r="CF861" s="207" t="n"/>
      <c r="CG861" s="208" t="n"/>
      <c r="CH861" s="207" t="n"/>
      <c r="CI861" s="208" t="n"/>
      <c r="CJ861" s="204" t="n"/>
      <c r="CK861" s="208" t="n"/>
      <c r="CL861" s="208" t="n"/>
      <c r="CM861" s="208" t="n"/>
      <c r="CN861" s="78" t="n"/>
      <c r="CO861" s="209" t="n"/>
      <c r="CP861" s="204" t="n"/>
      <c r="CQ861" s="204" t="n"/>
      <c r="CR861" s="204" t="n"/>
      <c r="CS861" s="204" t="n"/>
      <c r="CT861" s="204" t="n"/>
      <c r="CU861" s="204" t="n"/>
      <c r="CV861" s="204" t="n"/>
      <c r="CW861" s="204" t="n"/>
    </row>
    <row r="862">
      <c r="BF862" s="78" t="n"/>
      <c r="BG862" s="78" t="n"/>
      <c r="BH862" s="78" t="n"/>
      <c r="BI862" s="78" t="n"/>
      <c r="BJ862" s="139" t="n"/>
      <c r="BK862" s="204" t="n"/>
      <c r="BL862" s="141" t="n"/>
      <c r="BM862" s="205" t="n"/>
      <c r="BN862" s="205" t="n"/>
      <c r="BO862" s="206" t="n"/>
      <c r="BP862" s="144" t="n"/>
      <c r="BQ862" s="141" t="n"/>
      <c r="BR862" s="207" t="n"/>
      <c r="BS862" s="207" t="n"/>
      <c r="BT862" s="207" t="n"/>
      <c r="BU862" s="207" t="n"/>
      <c r="BV862" s="208" t="n"/>
      <c r="BW862" s="207" t="n"/>
      <c r="BX862" s="207" t="n"/>
      <c r="BY862" s="204" t="n"/>
      <c r="BZ862" s="148" t="n"/>
      <c r="CA862" s="204" t="n"/>
      <c r="CB862" s="208" t="n"/>
      <c r="CC862" s="139" t="n"/>
      <c r="CD862" s="204" t="n"/>
      <c r="CE862" s="204" t="n"/>
      <c r="CF862" s="207" t="n"/>
      <c r="CG862" s="208" t="n"/>
      <c r="CH862" s="207" t="n"/>
      <c r="CI862" s="208" t="n"/>
      <c r="CJ862" s="204" t="n"/>
      <c r="CK862" s="208" t="n"/>
      <c r="CL862" s="208" t="n"/>
      <c r="CM862" s="208" t="n"/>
      <c r="CN862" s="78" t="n"/>
      <c r="CO862" s="209" t="n"/>
      <c r="CP862" s="204" t="n"/>
      <c r="CQ862" s="204" t="n"/>
      <c r="CR862" s="204" t="n"/>
      <c r="CS862" s="204" t="n"/>
      <c r="CT862" s="204" t="n"/>
      <c r="CU862" s="204" t="n"/>
      <c r="CV862" s="204" t="n"/>
      <c r="CW862" s="204" t="n"/>
    </row>
    <row r="863">
      <c r="BF863" s="78" t="n"/>
      <c r="BG863" s="78" t="n"/>
      <c r="BH863" s="78" t="n"/>
      <c r="BI863" s="78" t="n"/>
      <c r="BJ863" s="139" t="n"/>
      <c r="BK863" s="204" t="n"/>
      <c r="BL863" s="141" t="n"/>
      <c r="BM863" s="205" t="n"/>
      <c r="BN863" s="205" t="n"/>
      <c r="BO863" s="206" t="n"/>
      <c r="BP863" s="144" t="n"/>
      <c r="BQ863" s="141" t="n"/>
      <c r="BR863" s="207" t="n"/>
      <c r="BS863" s="207" t="n"/>
      <c r="BT863" s="207" t="n"/>
      <c r="BU863" s="207" t="n"/>
      <c r="BV863" s="208" t="n"/>
      <c r="BW863" s="207" t="n"/>
      <c r="BX863" s="207" t="n"/>
      <c r="BY863" s="204" t="n"/>
      <c r="BZ863" s="148" t="n"/>
      <c r="CA863" s="204" t="n"/>
      <c r="CB863" s="208" t="n"/>
      <c r="CC863" s="139" t="n"/>
      <c r="CD863" s="204" t="n"/>
      <c r="CE863" s="204" t="n"/>
      <c r="CF863" s="207" t="n"/>
      <c r="CG863" s="208" t="n"/>
      <c r="CH863" s="207" t="n"/>
      <c r="CI863" s="208" t="n"/>
      <c r="CJ863" s="204" t="n"/>
      <c r="CK863" s="208" t="n"/>
      <c r="CL863" s="208" t="n"/>
      <c r="CM863" s="208" t="n"/>
      <c r="CN863" s="78" t="n"/>
      <c r="CO863" s="209" t="n"/>
      <c r="CP863" s="204" t="n"/>
      <c r="CQ863" s="204" t="n"/>
      <c r="CR863" s="204" t="n"/>
      <c r="CS863" s="204" t="n"/>
      <c r="CT863" s="204" t="n"/>
      <c r="CU863" s="204" t="n"/>
      <c r="CV863" s="204" t="n"/>
      <c r="CW863" s="204" t="n"/>
    </row>
    <row r="864">
      <c r="BF864" s="78" t="n"/>
      <c r="BG864" s="78" t="n"/>
      <c r="BH864" s="78" t="n"/>
      <c r="BI864" s="78" t="n"/>
      <c r="BJ864" s="139" t="n"/>
      <c r="BK864" s="204" t="n"/>
      <c r="BL864" s="141" t="n"/>
      <c r="BM864" s="205" t="n"/>
      <c r="BN864" s="205" t="n"/>
      <c r="BO864" s="206" t="n"/>
      <c r="BP864" s="144" t="n"/>
      <c r="BQ864" s="141" t="n"/>
      <c r="BR864" s="207" t="n"/>
      <c r="BS864" s="207" t="n"/>
      <c r="BT864" s="207" t="n"/>
      <c r="BU864" s="207" t="n"/>
      <c r="BV864" s="208" t="n"/>
      <c r="BW864" s="207" t="n"/>
      <c r="BX864" s="207" t="n"/>
      <c r="BY864" s="204" t="n"/>
      <c r="BZ864" s="148" t="n"/>
      <c r="CA864" s="204" t="n"/>
      <c r="CB864" s="208" t="n"/>
      <c r="CC864" s="139" t="n"/>
      <c r="CD864" s="204" t="n"/>
      <c r="CE864" s="204" t="n"/>
      <c r="CF864" s="207" t="n"/>
      <c r="CG864" s="208" t="n"/>
      <c r="CH864" s="207" t="n"/>
      <c r="CI864" s="208" t="n"/>
      <c r="CJ864" s="204" t="n"/>
      <c r="CK864" s="208" t="n"/>
      <c r="CL864" s="208" t="n"/>
      <c r="CM864" s="208" t="n"/>
      <c r="CN864" s="78" t="n"/>
      <c r="CO864" s="209" t="n"/>
      <c r="CP864" s="204" t="n"/>
      <c r="CQ864" s="204" t="n"/>
      <c r="CR864" s="204" t="n"/>
      <c r="CS864" s="204" t="n"/>
      <c r="CT864" s="204" t="n"/>
      <c r="CU864" s="204" t="n"/>
      <c r="CV864" s="204" t="n"/>
      <c r="CW864" s="204" t="n"/>
    </row>
    <row r="865">
      <c r="BF865" s="78" t="n"/>
      <c r="BG865" s="78" t="n"/>
      <c r="BH865" s="78" t="n"/>
      <c r="BI865" s="78" t="n"/>
      <c r="BJ865" s="139" t="n"/>
      <c r="BK865" s="204" t="n"/>
      <c r="BL865" s="141" t="n"/>
      <c r="BM865" s="205" t="n"/>
      <c r="BN865" s="205" t="n"/>
      <c r="BO865" s="206" t="n"/>
      <c r="BP865" s="144" t="n"/>
      <c r="BQ865" s="141" t="n"/>
      <c r="BR865" s="207" t="n"/>
      <c r="BS865" s="207" t="n"/>
      <c r="BT865" s="207" t="n"/>
      <c r="BU865" s="207" t="n"/>
      <c r="BV865" s="208" t="n"/>
      <c r="BW865" s="207" t="n"/>
      <c r="BX865" s="207" t="n"/>
      <c r="BY865" s="204" t="n"/>
      <c r="BZ865" s="148" t="n"/>
      <c r="CA865" s="204" t="n"/>
      <c r="CB865" s="208" t="n"/>
      <c r="CC865" s="139" t="n"/>
      <c r="CD865" s="204" t="n"/>
      <c r="CE865" s="204" t="n"/>
      <c r="CF865" s="207" t="n"/>
      <c r="CG865" s="208" t="n"/>
      <c r="CH865" s="207" t="n"/>
      <c r="CI865" s="208" t="n"/>
      <c r="CJ865" s="204" t="n"/>
      <c r="CK865" s="208" t="n"/>
      <c r="CL865" s="208" t="n"/>
      <c r="CM865" s="208" t="n"/>
      <c r="CN865" s="78" t="n"/>
      <c r="CO865" s="209" t="n"/>
      <c r="CP865" s="204" t="n"/>
      <c r="CQ865" s="204" t="n"/>
      <c r="CR865" s="204" t="n"/>
      <c r="CS865" s="204" t="n"/>
      <c r="CT865" s="204" t="n"/>
      <c r="CU865" s="204" t="n"/>
      <c r="CV865" s="204" t="n"/>
      <c r="CW865" s="204" t="n"/>
    </row>
    <row r="866">
      <c r="BF866" s="78" t="n"/>
      <c r="BG866" s="78" t="n"/>
      <c r="BH866" s="78" t="n"/>
      <c r="BI866" s="78" t="n"/>
      <c r="BJ866" s="139" t="n"/>
      <c r="BK866" s="204" t="n"/>
      <c r="BL866" s="141" t="n"/>
      <c r="BM866" s="205" t="n"/>
      <c r="BN866" s="205" t="n"/>
      <c r="BO866" s="206" t="n"/>
      <c r="BP866" s="144" t="n"/>
      <c r="BQ866" s="141" t="n"/>
      <c r="BR866" s="207" t="n"/>
      <c r="BS866" s="207" t="n"/>
      <c r="BT866" s="207" t="n"/>
      <c r="BU866" s="207" t="n"/>
      <c r="BV866" s="208" t="n"/>
      <c r="BW866" s="207" t="n"/>
      <c r="BX866" s="207" t="n"/>
      <c r="BY866" s="204" t="n"/>
      <c r="BZ866" s="148" t="n"/>
      <c r="CA866" s="204" t="n"/>
      <c r="CB866" s="208" t="n"/>
      <c r="CC866" s="139" t="n"/>
      <c r="CD866" s="204" t="n"/>
      <c r="CE866" s="204" t="n"/>
      <c r="CF866" s="207" t="n"/>
      <c r="CG866" s="208" t="n"/>
      <c r="CH866" s="207" t="n"/>
      <c r="CI866" s="208" t="n"/>
      <c r="CJ866" s="204" t="n"/>
      <c r="CK866" s="208" t="n"/>
      <c r="CL866" s="208" t="n"/>
      <c r="CM866" s="208" t="n"/>
      <c r="CN866" s="78" t="n"/>
      <c r="CO866" s="209" t="n"/>
      <c r="CP866" s="204" t="n"/>
      <c r="CQ866" s="204" t="n"/>
      <c r="CR866" s="204" t="n"/>
      <c r="CS866" s="204" t="n"/>
      <c r="CT866" s="204" t="n"/>
      <c r="CU866" s="204" t="n"/>
      <c r="CV866" s="204" t="n"/>
      <c r="CW866" s="204" t="n"/>
    </row>
    <row r="867">
      <c r="BF867" s="78" t="n"/>
      <c r="BG867" s="78" t="n"/>
      <c r="BH867" s="78" t="n"/>
      <c r="BI867" s="78" t="n"/>
      <c r="BJ867" s="139" t="n"/>
      <c r="BK867" s="204" t="n"/>
      <c r="BL867" s="141" t="n"/>
      <c r="BM867" s="205" t="n"/>
      <c r="BN867" s="205" t="n"/>
      <c r="BO867" s="206" t="n"/>
      <c r="BP867" s="144" t="n"/>
      <c r="BQ867" s="141" t="n"/>
      <c r="BR867" s="207" t="n"/>
      <c r="BS867" s="207" t="n"/>
      <c r="BT867" s="207" t="n"/>
      <c r="BU867" s="207" t="n"/>
      <c r="BV867" s="208" t="n"/>
      <c r="BW867" s="207" t="n"/>
      <c r="BX867" s="207" t="n"/>
      <c r="BY867" s="204" t="n"/>
      <c r="BZ867" s="148" t="n"/>
      <c r="CA867" s="204" t="n"/>
      <c r="CB867" s="208" t="n"/>
      <c r="CC867" s="139" t="n"/>
      <c r="CD867" s="204" t="n"/>
      <c r="CE867" s="204" t="n"/>
      <c r="CF867" s="207" t="n"/>
      <c r="CG867" s="208" t="n"/>
      <c r="CH867" s="207" t="n"/>
      <c r="CI867" s="208" t="n"/>
      <c r="CJ867" s="204" t="n"/>
      <c r="CK867" s="208" t="n"/>
      <c r="CL867" s="208" t="n"/>
      <c r="CM867" s="208" t="n"/>
      <c r="CN867" s="78" t="n"/>
      <c r="CO867" s="209" t="n"/>
      <c r="CP867" s="204" t="n"/>
      <c r="CQ867" s="204" t="n"/>
      <c r="CR867" s="204" t="n"/>
      <c r="CS867" s="204" t="n"/>
      <c r="CT867" s="204" t="n"/>
      <c r="CU867" s="204" t="n"/>
      <c r="CV867" s="204" t="n"/>
      <c r="CW867" s="204" t="n"/>
    </row>
    <row r="868">
      <c r="BF868" s="78" t="n"/>
      <c r="BG868" s="78" t="n"/>
      <c r="BH868" s="78" t="n"/>
      <c r="BI868" s="78" t="n"/>
      <c r="BJ868" s="139" t="n"/>
      <c r="BK868" s="204" t="n"/>
      <c r="BL868" s="141" t="n"/>
      <c r="BM868" s="205" t="n"/>
      <c r="BN868" s="205" t="n"/>
      <c r="BO868" s="206" t="n"/>
      <c r="BP868" s="144" t="n"/>
      <c r="BQ868" s="141" t="n"/>
      <c r="BR868" s="207" t="n"/>
      <c r="BS868" s="207" t="n"/>
      <c r="BT868" s="207" t="n"/>
      <c r="BU868" s="207" t="n"/>
      <c r="BV868" s="208" t="n"/>
      <c r="BW868" s="207" t="n"/>
      <c r="BX868" s="207" t="n"/>
      <c r="BY868" s="204" t="n"/>
      <c r="BZ868" s="148" t="n"/>
      <c r="CA868" s="204" t="n"/>
      <c r="CB868" s="208" t="n"/>
      <c r="CC868" s="139" t="n"/>
      <c r="CD868" s="204" t="n"/>
      <c r="CE868" s="204" t="n"/>
      <c r="CF868" s="207" t="n"/>
      <c r="CG868" s="208" t="n"/>
      <c r="CH868" s="207" t="n"/>
      <c r="CI868" s="208" t="n"/>
      <c r="CJ868" s="204" t="n"/>
      <c r="CK868" s="208" t="n"/>
      <c r="CL868" s="208" t="n"/>
      <c r="CM868" s="208" t="n"/>
      <c r="CN868" s="78" t="n"/>
      <c r="CO868" s="209" t="n"/>
      <c r="CP868" s="204" t="n"/>
      <c r="CQ868" s="204" t="n"/>
      <c r="CR868" s="204" t="n"/>
      <c r="CS868" s="204" t="n"/>
      <c r="CT868" s="204" t="n"/>
      <c r="CU868" s="204" t="n"/>
      <c r="CV868" s="204" t="n"/>
      <c r="CW868" s="204" t="n"/>
    </row>
    <row r="869">
      <c r="BF869" s="78" t="n"/>
      <c r="BG869" s="78" t="n"/>
      <c r="BH869" s="78" t="n"/>
      <c r="BI869" s="78" t="n"/>
      <c r="BJ869" s="139" t="n"/>
      <c r="BK869" s="204" t="n"/>
      <c r="BL869" s="141" t="n"/>
      <c r="BM869" s="205" t="n"/>
      <c r="BN869" s="205" t="n"/>
      <c r="BO869" s="206" t="n"/>
      <c r="BP869" s="144" t="n"/>
      <c r="BQ869" s="141" t="n"/>
      <c r="BR869" s="207" t="n"/>
      <c r="BS869" s="207" t="n"/>
      <c r="BT869" s="207" t="n"/>
      <c r="BU869" s="207" t="n"/>
      <c r="BV869" s="208" t="n"/>
      <c r="BW869" s="207" t="n"/>
      <c r="BX869" s="207" t="n"/>
      <c r="BY869" s="204" t="n"/>
      <c r="BZ869" s="148" t="n"/>
      <c r="CA869" s="204" t="n"/>
      <c r="CB869" s="208" t="n"/>
      <c r="CC869" s="139" t="n"/>
      <c r="CD869" s="204" t="n"/>
      <c r="CE869" s="204" t="n"/>
      <c r="CF869" s="207" t="n"/>
      <c r="CG869" s="208" t="n"/>
      <c r="CH869" s="207" t="n"/>
      <c r="CI869" s="208" t="n"/>
      <c r="CJ869" s="204" t="n"/>
      <c r="CK869" s="208" t="n"/>
      <c r="CL869" s="208" t="n"/>
      <c r="CM869" s="208" t="n"/>
      <c r="CN869" s="78" t="n"/>
      <c r="CO869" s="209" t="n"/>
      <c r="CP869" s="204" t="n"/>
      <c r="CQ869" s="204" t="n"/>
      <c r="CR869" s="204" t="n"/>
      <c r="CS869" s="204" t="n"/>
      <c r="CT869" s="204" t="n"/>
      <c r="CU869" s="204" t="n"/>
      <c r="CV869" s="204" t="n"/>
      <c r="CW869" s="204" t="n"/>
    </row>
    <row r="870">
      <c r="AR870" s="151" t="n"/>
      <c r="BF870" s="78" t="n"/>
      <c r="BG870" s="78" t="n"/>
      <c r="BH870" s="78" t="n"/>
      <c r="BI870" s="78" t="n"/>
      <c r="BJ870" s="139" t="n"/>
      <c r="BK870" s="204" t="n"/>
      <c r="BL870" s="141" t="n"/>
      <c r="BM870" s="205" t="n"/>
      <c r="BN870" s="205" t="n"/>
      <c r="BO870" s="206" t="n"/>
      <c r="BP870" s="144" t="n"/>
      <c r="BQ870" s="141" t="n"/>
      <c r="BR870" s="207" t="n"/>
      <c r="BS870" s="207" t="n"/>
      <c r="BT870" s="207" t="n"/>
      <c r="BU870" s="207" t="n"/>
      <c r="BV870" s="208" t="n"/>
      <c r="BW870" s="207" t="n"/>
      <c r="BX870" s="207" t="n"/>
      <c r="BY870" s="204" t="n"/>
      <c r="BZ870" s="148" t="n"/>
      <c r="CA870" s="204" t="n"/>
      <c r="CB870" s="208" t="n"/>
      <c r="CC870" s="139" t="n"/>
      <c r="CD870" s="204" t="n"/>
      <c r="CE870" s="204" t="n"/>
      <c r="CF870" s="207" t="n"/>
      <c r="CG870" s="208" t="n"/>
      <c r="CH870" s="207" t="n"/>
      <c r="CI870" s="208" t="n"/>
      <c r="CJ870" s="204" t="n"/>
      <c r="CK870" s="208" t="n"/>
      <c r="CL870" s="208" t="n"/>
      <c r="CM870" s="208" t="n"/>
      <c r="CN870" s="78" t="n"/>
      <c r="CO870" s="209" t="n"/>
      <c r="CP870" s="204" t="n"/>
      <c r="CQ870" s="204" t="n"/>
      <c r="CR870" s="204" t="n"/>
      <c r="CS870" s="204" t="n"/>
      <c r="CT870" s="204" t="n"/>
      <c r="CU870" s="204" t="n"/>
      <c r="CV870" s="204" t="n"/>
      <c r="CW870" s="204" t="n"/>
    </row>
    <row r="871">
      <c r="BF871" s="78" t="n"/>
      <c r="BG871" s="78" t="n"/>
      <c r="BH871" s="78" t="n"/>
      <c r="BI871" s="78" t="n"/>
      <c r="BJ871" s="139" t="n"/>
      <c r="BK871" s="204" t="n"/>
      <c r="BL871" s="141" t="n"/>
      <c r="BM871" s="205" t="n"/>
      <c r="BN871" s="205" t="n"/>
      <c r="BO871" s="206" t="n"/>
      <c r="BP871" s="144" t="n"/>
      <c r="BQ871" s="141" t="n"/>
      <c r="BR871" s="207" t="n"/>
      <c r="BS871" s="207" t="n"/>
      <c r="BT871" s="207" t="n"/>
      <c r="BU871" s="207" t="n"/>
      <c r="BV871" s="208" t="n"/>
      <c r="BW871" s="207" t="n"/>
      <c r="BX871" s="207" t="n"/>
      <c r="BY871" s="204" t="n"/>
      <c r="BZ871" s="148" t="n"/>
      <c r="CA871" s="204" t="n"/>
      <c r="CB871" s="208" t="n"/>
      <c r="CC871" s="139" t="n"/>
      <c r="CD871" s="204" t="n"/>
      <c r="CE871" s="204" t="n"/>
      <c r="CF871" s="207" t="n"/>
      <c r="CG871" s="208" t="n"/>
      <c r="CH871" s="207" t="n"/>
      <c r="CI871" s="208" t="n"/>
      <c r="CJ871" s="204" t="n"/>
      <c r="CK871" s="208" t="n"/>
      <c r="CL871" s="208" t="n"/>
      <c r="CM871" s="208" t="n"/>
      <c r="CN871" s="78" t="n"/>
      <c r="CO871" s="209" t="n"/>
      <c r="CP871" s="204" t="n"/>
      <c r="CQ871" s="204" t="n"/>
      <c r="CR871" s="204" t="n"/>
      <c r="CS871" s="204" t="n"/>
      <c r="CT871" s="204" t="n"/>
      <c r="CU871" s="204" t="n"/>
      <c r="CV871" s="204" t="n"/>
      <c r="CW871" s="204" t="n"/>
    </row>
    <row r="872">
      <c r="BF872" s="78" t="n"/>
      <c r="BG872" s="78" t="n"/>
      <c r="BH872" s="78" t="n"/>
      <c r="BI872" s="78" t="n"/>
      <c r="BJ872" s="139" t="n"/>
      <c r="BK872" s="204" t="n"/>
      <c r="BL872" s="141" t="n"/>
      <c r="BM872" s="205" t="n"/>
      <c r="BN872" s="205" t="n"/>
      <c r="BO872" s="206" t="n"/>
      <c r="BP872" s="144" t="n"/>
      <c r="BQ872" s="141" t="n"/>
      <c r="BR872" s="207" t="n"/>
      <c r="BS872" s="207" t="n"/>
      <c r="BT872" s="207" t="n"/>
      <c r="BU872" s="207" t="n"/>
      <c r="BV872" s="208" t="n"/>
      <c r="BW872" s="207" t="n"/>
      <c r="BX872" s="207" t="n"/>
      <c r="BY872" s="204" t="n"/>
      <c r="BZ872" s="148" t="n"/>
      <c r="CA872" s="204" t="n"/>
      <c r="CB872" s="208" t="n"/>
      <c r="CC872" s="139" t="n"/>
      <c r="CD872" s="204" t="n"/>
      <c r="CE872" s="204" t="n"/>
      <c r="CF872" s="207" t="n"/>
      <c r="CG872" s="208" t="n"/>
      <c r="CH872" s="207" t="n"/>
      <c r="CI872" s="208" t="n"/>
      <c r="CJ872" s="204" t="n"/>
      <c r="CK872" s="208" t="n"/>
      <c r="CL872" s="208" t="n"/>
      <c r="CM872" s="208" t="n"/>
      <c r="CN872" s="78" t="n"/>
      <c r="CO872" s="209" t="n"/>
      <c r="CP872" s="204" t="n"/>
      <c r="CQ872" s="204" t="n"/>
      <c r="CR872" s="204" t="n"/>
      <c r="CS872" s="204" t="n"/>
      <c r="CT872" s="204" t="n"/>
      <c r="CU872" s="204" t="n"/>
      <c r="CV872" s="204" t="n"/>
      <c r="CW872" s="204" t="n"/>
    </row>
    <row r="873">
      <c r="BF873" s="78" t="n"/>
      <c r="BG873" s="78" t="n"/>
      <c r="BH873" s="78" t="n"/>
      <c r="BI873" s="78" t="n"/>
      <c r="BJ873" s="139" t="n"/>
      <c r="BK873" s="204" t="n"/>
      <c r="BL873" s="141" t="n"/>
      <c r="BM873" s="205" t="n"/>
      <c r="BN873" s="205" t="n"/>
      <c r="BO873" s="206" t="n"/>
      <c r="BP873" s="144" t="n"/>
      <c r="BQ873" s="141" t="n"/>
      <c r="BR873" s="207" t="n"/>
      <c r="BS873" s="207" t="n"/>
      <c r="BT873" s="207" t="n"/>
      <c r="BU873" s="207" t="n"/>
      <c r="BV873" s="208" t="n"/>
      <c r="BW873" s="207" t="n"/>
      <c r="BX873" s="207" t="n"/>
      <c r="BY873" s="204" t="n"/>
      <c r="BZ873" s="148" t="n"/>
      <c r="CA873" s="204" t="n"/>
      <c r="CB873" s="208" t="n"/>
      <c r="CC873" s="139" t="n"/>
      <c r="CD873" s="204" t="n"/>
      <c r="CE873" s="204" t="n"/>
      <c r="CF873" s="207" t="n"/>
      <c r="CG873" s="208" t="n"/>
      <c r="CH873" s="207" t="n"/>
      <c r="CI873" s="208" t="n"/>
      <c r="CJ873" s="204" t="n"/>
      <c r="CK873" s="208" t="n"/>
      <c r="CL873" s="208" t="n"/>
      <c r="CM873" s="208" t="n"/>
      <c r="CN873" s="78" t="n"/>
      <c r="CO873" s="209" t="n"/>
      <c r="CP873" s="204" t="n"/>
      <c r="CQ873" s="204" t="n"/>
      <c r="CR873" s="204" t="n"/>
      <c r="CS873" s="204" t="n"/>
      <c r="CT873" s="204" t="n"/>
      <c r="CU873" s="204" t="n"/>
      <c r="CV873" s="204" t="n"/>
      <c r="CW873" s="204" t="n"/>
    </row>
    <row r="874">
      <c r="BF874" s="78" t="n"/>
      <c r="BG874" s="78" t="n"/>
      <c r="BH874" s="78" t="n"/>
      <c r="BI874" s="78" t="n"/>
      <c r="BJ874" s="139" t="n"/>
      <c r="BK874" s="204" t="n"/>
      <c r="BL874" s="141" t="n"/>
      <c r="BM874" s="205" t="n"/>
      <c r="BN874" s="205" t="n"/>
      <c r="BO874" s="206" t="n"/>
      <c r="BP874" s="144" t="n"/>
      <c r="BQ874" s="141" t="n"/>
      <c r="BR874" s="207" t="n"/>
      <c r="BS874" s="207" t="n"/>
      <c r="BT874" s="207" t="n"/>
      <c r="BU874" s="207" t="n"/>
      <c r="BV874" s="208" t="n"/>
      <c r="BW874" s="207" t="n"/>
      <c r="BX874" s="207" t="n"/>
      <c r="BY874" s="204" t="n"/>
      <c r="BZ874" s="148" t="n"/>
      <c r="CA874" s="204" t="n"/>
      <c r="CB874" s="208" t="n"/>
      <c r="CC874" s="139" t="n"/>
      <c r="CD874" s="204" t="n"/>
      <c r="CE874" s="204" t="n"/>
      <c r="CF874" s="207" t="n"/>
      <c r="CG874" s="208" t="n"/>
      <c r="CH874" s="207" t="n"/>
      <c r="CI874" s="208" t="n"/>
      <c r="CJ874" s="204" t="n"/>
      <c r="CK874" s="208" t="n"/>
      <c r="CL874" s="208" t="n"/>
      <c r="CM874" s="208" t="n"/>
      <c r="CN874" s="78" t="n"/>
      <c r="CO874" s="209" t="n"/>
      <c r="CP874" s="204" t="n"/>
      <c r="CQ874" s="204" t="n"/>
      <c r="CR874" s="204" t="n"/>
      <c r="CS874" s="204" t="n"/>
      <c r="CT874" s="204" t="n"/>
      <c r="CU874" s="204" t="n"/>
      <c r="CV874" s="204" t="n"/>
      <c r="CW874" s="204" t="n"/>
    </row>
    <row r="875">
      <c r="BF875" s="78" t="n"/>
      <c r="BG875" s="78" t="n"/>
      <c r="BH875" s="78" t="n"/>
      <c r="BI875" s="78" t="n"/>
      <c r="BJ875" s="139" t="n"/>
      <c r="BK875" s="204" t="n"/>
      <c r="BL875" s="141" t="n"/>
      <c r="BM875" s="205" t="n"/>
      <c r="BN875" s="205" t="n"/>
      <c r="BO875" s="206" t="n"/>
      <c r="BP875" s="144" t="n"/>
      <c r="BQ875" s="141" t="n"/>
      <c r="BR875" s="207" t="n"/>
      <c r="BS875" s="207" t="n"/>
      <c r="BT875" s="207" t="n"/>
      <c r="BU875" s="207" t="n"/>
      <c r="BV875" s="208" t="n"/>
      <c r="BW875" s="207" t="n"/>
      <c r="BX875" s="207" t="n"/>
      <c r="BY875" s="204" t="n"/>
      <c r="BZ875" s="148" t="n"/>
      <c r="CA875" s="204" t="n"/>
      <c r="CB875" s="208" t="n"/>
      <c r="CC875" s="139" t="n"/>
      <c r="CD875" s="204" t="n"/>
      <c r="CE875" s="204" t="n"/>
      <c r="CF875" s="207" t="n"/>
      <c r="CG875" s="208" t="n"/>
      <c r="CH875" s="207" t="n"/>
      <c r="CI875" s="208" t="n"/>
      <c r="CJ875" s="204" t="n"/>
      <c r="CK875" s="208" t="n"/>
      <c r="CL875" s="208" t="n"/>
      <c r="CM875" s="208" t="n"/>
      <c r="CN875" s="78" t="n"/>
      <c r="CO875" s="209" t="n"/>
      <c r="CP875" s="204" t="n"/>
      <c r="CQ875" s="204" t="n"/>
      <c r="CR875" s="204" t="n"/>
      <c r="CS875" s="204" t="n"/>
      <c r="CT875" s="204" t="n"/>
      <c r="CU875" s="204" t="n"/>
      <c r="CV875" s="204" t="n"/>
      <c r="CW875" s="204" t="n"/>
    </row>
    <row r="876">
      <c r="BF876" s="78" t="n"/>
      <c r="BG876" s="78" t="n"/>
      <c r="BH876" s="78" t="n"/>
      <c r="BI876" s="78" t="n"/>
      <c r="BJ876" s="139" t="n"/>
      <c r="BK876" s="204" t="n"/>
      <c r="BL876" s="141" t="n"/>
      <c r="BM876" s="205" t="n"/>
      <c r="BN876" s="205" t="n"/>
      <c r="BO876" s="206" t="n"/>
      <c r="BP876" s="144" t="n"/>
      <c r="BQ876" s="141" t="n"/>
      <c r="BR876" s="207" t="n"/>
      <c r="BS876" s="207" t="n"/>
      <c r="BT876" s="207" t="n"/>
      <c r="BU876" s="207" t="n"/>
      <c r="BV876" s="208" t="n"/>
      <c r="BW876" s="207" t="n"/>
      <c r="BX876" s="207" t="n"/>
      <c r="BY876" s="204" t="n"/>
      <c r="BZ876" s="148" t="n"/>
      <c r="CA876" s="204" t="n"/>
      <c r="CB876" s="208" t="n"/>
      <c r="CC876" s="139" t="n"/>
      <c r="CD876" s="204" t="n"/>
      <c r="CE876" s="204" t="n"/>
      <c r="CF876" s="207" t="n"/>
      <c r="CG876" s="208" t="n"/>
      <c r="CH876" s="207" t="n"/>
      <c r="CI876" s="208" t="n"/>
      <c r="CJ876" s="204" t="n"/>
      <c r="CK876" s="208" t="n"/>
      <c r="CL876" s="208" t="n"/>
      <c r="CM876" s="208" t="n"/>
      <c r="CN876" s="78" t="n"/>
      <c r="CO876" s="209" t="n"/>
      <c r="CP876" s="204" t="n"/>
      <c r="CQ876" s="204" t="n"/>
      <c r="CR876" s="204" t="n"/>
      <c r="CS876" s="204" t="n"/>
      <c r="CT876" s="204" t="n"/>
      <c r="CU876" s="204" t="n"/>
      <c r="CV876" s="204" t="n"/>
      <c r="CW876" s="204" t="n"/>
    </row>
    <row r="877">
      <c r="BF877" s="78" t="n"/>
      <c r="BG877" s="78" t="n"/>
      <c r="BH877" s="78" t="n"/>
      <c r="BI877" s="78" t="n"/>
      <c r="BJ877" s="139" t="n"/>
      <c r="BK877" s="204" t="n"/>
      <c r="BL877" s="141" t="n"/>
      <c r="BM877" s="205" t="n"/>
      <c r="BN877" s="205" t="n"/>
      <c r="BO877" s="206" t="n"/>
      <c r="BP877" s="144" t="n"/>
      <c r="BQ877" s="141" t="n"/>
      <c r="BR877" s="207" t="n"/>
      <c r="BS877" s="207" t="n"/>
      <c r="BT877" s="207" t="n"/>
      <c r="BU877" s="207" t="n"/>
      <c r="BV877" s="208" t="n"/>
      <c r="BW877" s="207" t="n"/>
      <c r="BX877" s="207" t="n"/>
      <c r="BY877" s="204" t="n"/>
      <c r="BZ877" s="148" t="n"/>
      <c r="CA877" s="204" t="n"/>
      <c r="CB877" s="208" t="n"/>
      <c r="CC877" s="139" t="n"/>
      <c r="CD877" s="204" t="n"/>
      <c r="CE877" s="204" t="n"/>
      <c r="CF877" s="207" t="n"/>
      <c r="CG877" s="208" t="n"/>
      <c r="CH877" s="207" t="n"/>
      <c r="CI877" s="208" t="n"/>
      <c r="CJ877" s="204" t="n"/>
      <c r="CK877" s="208" t="n"/>
      <c r="CL877" s="208" t="n"/>
      <c r="CM877" s="208" t="n"/>
      <c r="CN877" s="78" t="n"/>
      <c r="CO877" s="209" t="n"/>
      <c r="CP877" s="204" t="n"/>
      <c r="CQ877" s="204" t="n"/>
      <c r="CR877" s="204" t="n"/>
      <c r="CS877" s="204" t="n"/>
      <c r="CT877" s="204" t="n"/>
      <c r="CU877" s="204" t="n"/>
      <c r="CV877" s="204" t="n"/>
      <c r="CW877" s="204" t="n"/>
    </row>
    <row r="878">
      <c r="BF878" s="78" t="n"/>
      <c r="BG878" s="78" t="n"/>
      <c r="BH878" s="78" t="n"/>
      <c r="BI878" s="78" t="n"/>
      <c r="BJ878" s="139" t="n"/>
      <c r="BK878" s="204" t="n"/>
      <c r="BL878" s="141" t="n"/>
      <c r="BM878" s="205" t="n"/>
      <c r="BN878" s="205" t="n"/>
      <c r="BO878" s="206" t="n"/>
      <c r="BP878" s="144" t="n"/>
      <c r="BQ878" s="141" t="n"/>
      <c r="BR878" s="207" t="n"/>
      <c r="BS878" s="207" t="n"/>
      <c r="BT878" s="207" t="n"/>
      <c r="BU878" s="207" t="n"/>
      <c r="BV878" s="208" t="n"/>
      <c r="BW878" s="207" t="n"/>
      <c r="BX878" s="207" t="n"/>
      <c r="BY878" s="204" t="n"/>
      <c r="BZ878" s="148" t="n"/>
      <c r="CA878" s="204" t="n"/>
      <c r="CB878" s="208" t="n"/>
      <c r="CC878" s="139" t="n"/>
      <c r="CD878" s="204" t="n"/>
      <c r="CE878" s="204" t="n"/>
      <c r="CF878" s="207" t="n"/>
      <c r="CG878" s="208" t="n"/>
      <c r="CH878" s="207" t="n"/>
      <c r="CI878" s="208" t="n"/>
      <c r="CJ878" s="204" t="n"/>
      <c r="CK878" s="208" t="n"/>
      <c r="CL878" s="208" t="n"/>
      <c r="CM878" s="208" t="n"/>
      <c r="CN878" s="78" t="n"/>
      <c r="CO878" s="209" t="n"/>
      <c r="CP878" s="204" t="n"/>
      <c r="CQ878" s="204" t="n"/>
      <c r="CR878" s="204" t="n"/>
      <c r="CS878" s="204" t="n"/>
      <c r="CT878" s="204" t="n"/>
      <c r="CU878" s="204" t="n"/>
      <c r="CV878" s="204" t="n"/>
      <c r="CW878" s="204" t="n"/>
    </row>
    <row r="879">
      <c r="BF879" s="78" t="n"/>
      <c r="BG879" s="78" t="n"/>
      <c r="BH879" s="78" t="n"/>
      <c r="BI879" s="78" t="n"/>
      <c r="BJ879" s="139" t="n"/>
      <c r="BK879" s="204" t="n"/>
      <c r="BL879" s="141" t="n"/>
      <c r="BM879" s="205" t="n"/>
      <c r="BN879" s="205" t="n"/>
      <c r="BO879" s="206" t="n"/>
      <c r="BP879" s="144" t="n"/>
      <c r="BQ879" s="141" t="n"/>
      <c r="BR879" s="207" t="n"/>
      <c r="BS879" s="207" t="n"/>
      <c r="BT879" s="207" t="n"/>
      <c r="BU879" s="207" t="n"/>
      <c r="BV879" s="208" t="n"/>
      <c r="BW879" s="207" t="n"/>
      <c r="BX879" s="207" t="n"/>
      <c r="BY879" s="204" t="n"/>
      <c r="BZ879" s="148" t="n"/>
      <c r="CA879" s="204" t="n"/>
      <c r="CB879" s="208" t="n"/>
      <c r="CC879" s="139" t="n"/>
      <c r="CD879" s="204" t="n"/>
      <c r="CE879" s="204" t="n"/>
      <c r="CF879" s="207" t="n"/>
      <c r="CG879" s="208" t="n"/>
      <c r="CH879" s="207" t="n"/>
      <c r="CI879" s="208" t="n"/>
      <c r="CJ879" s="204" t="n"/>
      <c r="CK879" s="208" t="n"/>
      <c r="CL879" s="208" t="n"/>
      <c r="CM879" s="208" t="n"/>
      <c r="CN879" s="78" t="n"/>
      <c r="CO879" s="209" t="n"/>
      <c r="CP879" s="204" t="n"/>
      <c r="CQ879" s="204" t="n"/>
      <c r="CR879" s="204" t="n"/>
      <c r="CS879" s="204" t="n"/>
      <c r="CT879" s="204" t="n"/>
      <c r="CU879" s="204" t="n"/>
      <c r="CV879" s="204" t="n"/>
      <c r="CW879" s="204" t="n"/>
    </row>
    <row r="880">
      <c r="BF880" s="78" t="n"/>
      <c r="BG880" s="78" t="n"/>
      <c r="BH880" s="78" t="n"/>
      <c r="BI880" s="78" t="n"/>
      <c r="BJ880" s="139" t="n"/>
      <c r="BK880" s="204" t="n"/>
      <c r="BL880" s="141" t="n"/>
      <c r="BM880" s="205" t="n"/>
      <c r="BN880" s="205" t="n"/>
      <c r="BO880" s="206" t="n"/>
      <c r="BP880" s="144" t="n"/>
      <c r="BQ880" s="141" t="n"/>
      <c r="BR880" s="207" t="n"/>
      <c r="BS880" s="207" t="n"/>
      <c r="BT880" s="207" t="n"/>
      <c r="BU880" s="207" t="n"/>
      <c r="BV880" s="208" t="n"/>
      <c r="BW880" s="207" t="n"/>
      <c r="BX880" s="207" t="n"/>
      <c r="BY880" s="204" t="n"/>
      <c r="BZ880" s="148" t="n"/>
      <c r="CA880" s="204" t="n"/>
      <c r="CB880" s="208" t="n"/>
      <c r="CC880" s="139" t="n"/>
      <c r="CD880" s="204" t="n"/>
      <c r="CE880" s="204" t="n"/>
      <c r="CF880" s="207" t="n"/>
      <c r="CG880" s="208" t="n"/>
      <c r="CH880" s="207" t="n"/>
      <c r="CI880" s="208" t="n"/>
      <c r="CJ880" s="204" t="n"/>
      <c r="CK880" s="208" t="n"/>
      <c r="CL880" s="208" t="n"/>
      <c r="CM880" s="208" t="n"/>
      <c r="CN880" s="78" t="n"/>
      <c r="CO880" s="209" t="n"/>
      <c r="CP880" s="204" t="n"/>
      <c r="CQ880" s="204" t="n"/>
      <c r="CR880" s="204" t="n"/>
      <c r="CS880" s="204" t="n"/>
      <c r="CT880" s="204" t="n"/>
      <c r="CU880" s="204" t="n"/>
      <c r="CV880" s="204" t="n"/>
      <c r="CW880" s="204" t="n"/>
    </row>
    <row r="881">
      <c r="BF881" s="78" t="n"/>
      <c r="BG881" s="78" t="n"/>
      <c r="BH881" s="78" t="n"/>
      <c r="BI881" s="78" t="n"/>
      <c r="BJ881" s="139" t="n"/>
      <c r="BK881" s="204" t="n"/>
      <c r="BL881" s="141" t="n"/>
      <c r="BM881" s="205" t="n"/>
      <c r="BN881" s="205" t="n"/>
      <c r="BO881" s="206" t="n"/>
      <c r="BP881" s="144" t="n"/>
      <c r="BQ881" s="141" t="n"/>
      <c r="BR881" s="207" t="n"/>
      <c r="BS881" s="207" t="n"/>
      <c r="BT881" s="207" t="n"/>
      <c r="BU881" s="207" t="n"/>
      <c r="BV881" s="208" t="n"/>
      <c r="BW881" s="207" t="n"/>
      <c r="BX881" s="207" t="n"/>
      <c r="BY881" s="204" t="n"/>
      <c r="BZ881" s="148" t="n"/>
      <c r="CA881" s="204" t="n"/>
      <c r="CB881" s="208" t="n"/>
      <c r="CC881" s="139" t="n"/>
      <c r="CD881" s="204" t="n"/>
      <c r="CE881" s="204" t="n"/>
      <c r="CF881" s="207" t="n"/>
      <c r="CG881" s="208" t="n"/>
      <c r="CH881" s="207" t="n"/>
      <c r="CI881" s="208" t="n"/>
      <c r="CJ881" s="204" t="n"/>
      <c r="CK881" s="208" t="n"/>
      <c r="CL881" s="208" t="n"/>
      <c r="CM881" s="208" t="n"/>
      <c r="CN881" s="78" t="n"/>
      <c r="CO881" s="209" t="n"/>
      <c r="CP881" s="204" t="n"/>
      <c r="CQ881" s="204" t="n"/>
      <c r="CR881" s="204" t="n"/>
      <c r="CS881" s="204" t="n"/>
      <c r="CT881" s="204" t="n"/>
      <c r="CU881" s="204" t="n"/>
      <c r="CV881" s="204" t="n"/>
      <c r="CW881" s="204" t="n"/>
    </row>
    <row r="882">
      <c r="BF882" s="78" t="n"/>
      <c r="BG882" s="78" t="n"/>
      <c r="BH882" s="78" t="n"/>
      <c r="BI882" s="78" t="n"/>
      <c r="BJ882" s="139" t="n"/>
      <c r="BK882" s="204" t="n"/>
      <c r="BL882" s="141" t="n"/>
      <c r="BM882" s="205" t="n"/>
      <c r="BN882" s="205" t="n"/>
      <c r="BO882" s="206" t="n"/>
      <c r="BP882" s="144" t="n"/>
      <c r="BQ882" s="141" t="n"/>
      <c r="BR882" s="207" t="n"/>
      <c r="BS882" s="207" t="n"/>
      <c r="BT882" s="207" t="n"/>
      <c r="BU882" s="207" t="n"/>
      <c r="BV882" s="208" t="n"/>
      <c r="BW882" s="207" t="n"/>
      <c r="BX882" s="207" t="n"/>
      <c r="BY882" s="204" t="n"/>
      <c r="BZ882" s="148" t="n"/>
      <c r="CA882" s="204" t="n"/>
      <c r="CB882" s="208" t="n"/>
      <c r="CC882" s="139" t="n"/>
      <c r="CD882" s="204" t="n"/>
      <c r="CE882" s="204" t="n"/>
      <c r="CF882" s="207" t="n"/>
      <c r="CG882" s="208" t="n"/>
      <c r="CH882" s="207" t="n"/>
      <c r="CI882" s="208" t="n"/>
      <c r="CJ882" s="204" t="n"/>
      <c r="CK882" s="208" t="n"/>
      <c r="CL882" s="208" t="n"/>
      <c r="CM882" s="208" t="n"/>
      <c r="CN882" s="78" t="n"/>
      <c r="CO882" s="209" t="n"/>
      <c r="CP882" s="204" t="n"/>
      <c r="CQ882" s="204" t="n"/>
      <c r="CR882" s="204" t="n"/>
      <c r="CS882" s="204" t="n"/>
      <c r="CT882" s="204" t="n"/>
      <c r="CU882" s="204" t="n"/>
      <c r="CV882" s="204" t="n"/>
      <c r="CW882" s="204" t="n"/>
    </row>
    <row r="883">
      <c r="BF883" s="78" t="n"/>
      <c r="BG883" s="78" t="n"/>
      <c r="BH883" s="78" t="n"/>
      <c r="BI883" s="78" t="n"/>
      <c r="BJ883" s="139" t="n"/>
      <c r="BK883" s="204" t="n"/>
      <c r="BL883" s="141" t="n"/>
      <c r="BM883" s="205" t="n"/>
      <c r="BN883" s="205" t="n"/>
      <c r="BO883" s="206" t="n"/>
      <c r="BP883" s="144" t="n"/>
      <c r="BQ883" s="141" t="n"/>
      <c r="BR883" s="207" t="n"/>
      <c r="BS883" s="207" t="n"/>
      <c r="BT883" s="207" t="n"/>
      <c r="BU883" s="207" t="n"/>
      <c r="BV883" s="208" t="n"/>
      <c r="BW883" s="207" t="n"/>
      <c r="BX883" s="207" t="n"/>
      <c r="BY883" s="204" t="n"/>
      <c r="BZ883" s="148" t="n"/>
      <c r="CA883" s="204" t="n"/>
      <c r="CB883" s="208" t="n"/>
      <c r="CC883" s="139" t="n"/>
      <c r="CD883" s="204" t="n"/>
      <c r="CE883" s="204" t="n"/>
      <c r="CF883" s="207" t="n"/>
      <c r="CG883" s="208" t="n"/>
      <c r="CH883" s="207" t="n"/>
      <c r="CI883" s="208" t="n"/>
      <c r="CJ883" s="204" t="n"/>
      <c r="CK883" s="208" t="n"/>
      <c r="CL883" s="208" t="n"/>
      <c r="CM883" s="208" t="n"/>
      <c r="CN883" s="78" t="n"/>
      <c r="CO883" s="209" t="n"/>
      <c r="CP883" s="204" t="n"/>
      <c r="CQ883" s="204" t="n"/>
      <c r="CR883" s="204" t="n"/>
      <c r="CS883" s="204" t="n"/>
      <c r="CT883" s="204" t="n"/>
      <c r="CU883" s="204" t="n"/>
      <c r="CV883" s="204" t="n"/>
      <c r="CW883" s="204" t="n"/>
    </row>
    <row r="884">
      <c r="BF884" s="78" t="n"/>
      <c r="BG884" s="78" t="n"/>
      <c r="BH884" s="78" t="n"/>
      <c r="BI884" s="78" t="n"/>
      <c r="BJ884" s="139" t="n"/>
      <c r="BK884" s="204" t="n"/>
      <c r="BL884" s="141" t="n"/>
      <c r="BM884" s="205" t="n"/>
      <c r="BN884" s="205" t="n"/>
      <c r="BO884" s="206" t="n"/>
      <c r="BP884" s="144" t="n"/>
      <c r="BQ884" s="141" t="n"/>
      <c r="BR884" s="207" t="n"/>
      <c r="BS884" s="207" t="n"/>
      <c r="BT884" s="207" t="n"/>
      <c r="BU884" s="207" t="n"/>
      <c r="BV884" s="208" t="n"/>
      <c r="BW884" s="207" t="n"/>
      <c r="BX884" s="207" t="n"/>
      <c r="BY884" s="204" t="n"/>
      <c r="BZ884" s="148" t="n"/>
      <c r="CA884" s="204" t="n"/>
      <c r="CB884" s="208" t="n"/>
      <c r="CC884" s="139" t="n"/>
      <c r="CD884" s="204" t="n"/>
      <c r="CE884" s="204" t="n"/>
      <c r="CF884" s="207" t="n"/>
      <c r="CG884" s="208" t="n"/>
      <c r="CH884" s="207" t="n"/>
      <c r="CI884" s="208" t="n"/>
      <c r="CJ884" s="204" t="n"/>
      <c r="CK884" s="208" t="n"/>
      <c r="CL884" s="208" t="n"/>
      <c r="CM884" s="208" t="n"/>
      <c r="CN884" s="78" t="n"/>
      <c r="CO884" s="209" t="n"/>
      <c r="CP884" s="204" t="n"/>
      <c r="CQ884" s="204" t="n"/>
      <c r="CR884" s="204" t="n"/>
      <c r="CS884" s="204" t="n"/>
      <c r="CT884" s="204" t="n"/>
      <c r="CU884" s="204" t="n"/>
      <c r="CV884" s="204" t="n"/>
      <c r="CW884" s="204" t="n"/>
    </row>
    <row r="885">
      <c r="BF885" s="78" t="n"/>
      <c r="BG885" s="78" t="n"/>
      <c r="BH885" s="78" t="n"/>
      <c r="BI885" s="78" t="n"/>
      <c r="BJ885" s="139" t="n"/>
      <c r="BK885" s="204" t="n"/>
      <c r="BL885" s="141" t="n"/>
      <c r="BM885" s="205" t="n"/>
      <c r="BN885" s="205" t="n"/>
      <c r="BO885" s="206" t="n"/>
      <c r="BP885" s="144" t="n"/>
      <c r="BQ885" s="141" t="n"/>
      <c r="BR885" s="207" t="n"/>
      <c r="BS885" s="207" t="n"/>
      <c r="BT885" s="207" t="n"/>
      <c r="BU885" s="207" t="n"/>
      <c r="BV885" s="208" t="n"/>
      <c r="BW885" s="207" t="n"/>
      <c r="BX885" s="207" t="n"/>
      <c r="BY885" s="204" t="n"/>
      <c r="BZ885" s="148" t="n"/>
      <c r="CA885" s="204" t="n"/>
      <c r="CB885" s="208" t="n"/>
      <c r="CC885" s="139" t="n"/>
      <c r="CD885" s="204" t="n"/>
      <c r="CE885" s="204" t="n"/>
      <c r="CF885" s="207" t="n"/>
      <c r="CG885" s="208" t="n"/>
      <c r="CH885" s="207" t="n"/>
      <c r="CI885" s="208" t="n"/>
      <c r="CJ885" s="204" t="n"/>
      <c r="CK885" s="208" t="n"/>
      <c r="CL885" s="208" t="n"/>
      <c r="CM885" s="208" t="n"/>
      <c r="CN885" s="78" t="n"/>
      <c r="CO885" s="209" t="n"/>
      <c r="CP885" s="204" t="n"/>
      <c r="CQ885" s="204" t="n"/>
      <c r="CR885" s="204" t="n"/>
      <c r="CS885" s="204" t="n"/>
      <c r="CT885" s="204" t="n"/>
      <c r="CU885" s="204" t="n"/>
      <c r="CV885" s="204" t="n"/>
      <c r="CW885" s="204" t="n"/>
    </row>
    <row r="886">
      <c r="BF886" s="78" t="n"/>
      <c r="BG886" s="78" t="n"/>
      <c r="BH886" s="78" t="n"/>
      <c r="BI886" s="78" t="n"/>
      <c r="BJ886" s="139" t="n"/>
      <c r="BK886" s="204" t="n"/>
      <c r="BL886" s="141" t="n"/>
      <c r="BM886" s="205" t="n"/>
      <c r="BN886" s="205" t="n"/>
      <c r="BO886" s="206" t="n"/>
      <c r="BP886" s="144" t="n"/>
      <c r="BQ886" s="141" t="n"/>
      <c r="BR886" s="207" t="n"/>
      <c r="BS886" s="207" t="n"/>
      <c r="BT886" s="207" t="n"/>
      <c r="BU886" s="207" t="n"/>
      <c r="BV886" s="208" t="n"/>
      <c r="BW886" s="207" t="n"/>
      <c r="BX886" s="207" t="n"/>
      <c r="BY886" s="204" t="n"/>
      <c r="BZ886" s="148" t="n"/>
      <c r="CA886" s="204" t="n"/>
      <c r="CB886" s="208" t="n"/>
      <c r="CC886" s="139" t="n"/>
      <c r="CD886" s="204" t="n"/>
      <c r="CE886" s="204" t="n"/>
      <c r="CF886" s="207" t="n"/>
      <c r="CG886" s="208" t="n"/>
      <c r="CH886" s="207" t="n"/>
      <c r="CI886" s="208" t="n"/>
      <c r="CJ886" s="204" t="n"/>
      <c r="CK886" s="208" t="n"/>
      <c r="CL886" s="208" t="n"/>
      <c r="CM886" s="208" t="n"/>
      <c r="CN886" s="78" t="n"/>
      <c r="CO886" s="209" t="n"/>
      <c r="CP886" s="204" t="n"/>
      <c r="CQ886" s="204" t="n"/>
      <c r="CR886" s="204" t="n"/>
      <c r="CS886" s="204" t="n"/>
      <c r="CT886" s="204" t="n"/>
      <c r="CU886" s="204" t="n"/>
      <c r="CV886" s="204" t="n"/>
      <c r="CW886" s="204" t="n"/>
    </row>
    <row r="887">
      <c r="AR887" s="151" t="n"/>
      <c r="BF887" s="78" t="n"/>
      <c r="BG887" s="78" t="n"/>
      <c r="BH887" s="78" t="n"/>
      <c r="BI887" s="78" t="n"/>
      <c r="BJ887" s="139" t="n"/>
      <c r="BK887" s="204" t="n"/>
      <c r="BL887" s="141" t="n"/>
      <c r="BM887" s="205" t="n"/>
      <c r="BN887" s="205" t="n"/>
      <c r="BO887" s="206" t="n"/>
      <c r="BP887" s="144" t="n"/>
      <c r="BQ887" s="141" t="n"/>
      <c r="BR887" s="207" t="n"/>
      <c r="BS887" s="207" t="n"/>
      <c r="BT887" s="207" t="n"/>
      <c r="BU887" s="207" t="n"/>
      <c r="BV887" s="208" t="n"/>
      <c r="BW887" s="207" t="n"/>
      <c r="BX887" s="207" t="n"/>
      <c r="BY887" s="204" t="n"/>
      <c r="BZ887" s="148" t="n"/>
      <c r="CA887" s="204" t="n"/>
      <c r="CB887" s="208" t="n"/>
      <c r="CC887" s="139" t="n"/>
      <c r="CD887" s="204" t="n"/>
      <c r="CE887" s="204" t="n"/>
      <c r="CF887" s="207" t="n"/>
      <c r="CG887" s="208" t="n"/>
      <c r="CH887" s="207" t="n"/>
      <c r="CI887" s="208" t="n"/>
      <c r="CJ887" s="204" t="n"/>
      <c r="CK887" s="208" t="n"/>
      <c r="CL887" s="208" t="n"/>
      <c r="CM887" s="208" t="n"/>
      <c r="CN887" s="78" t="n"/>
      <c r="CO887" s="209" t="n"/>
      <c r="CP887" s="204" t="n"/>
      <c r="CQ887" s="204" t="n"/>
      <c r="CR887" s="204" t="n"/>
      <c r="CS887" s="204" t="n"/>
      <c r="CT887" s="204" t="n"/>
      <c r="CU887" s="204" t="n"/>
      <c r="CV887" s="204" t="n"/>
      <c r="CW887" s="204" t="n"/>
    </row>
    <row r="888">
      <c r="BF888" s="78" t="n"/>
      <c r="BG888" s="78" t="n"/>
      <c r="BH888" s="78" t="n"/>
      <c r="BI888" s="78" t="n"/>
      <c r="BJ888" s="139" t="n"/>
      <c r="BK888" s="204" t="n"/>
      <c r="BL888" s="141" t="n"/>
      <c r="BM888" s="205" t="n"/>
      <c r="BN888" s="205" t="n"/>
      <c r="BO888" s="206" t="n"/>
      <c r="BP888" s="144" t="n"/>
      <c r="BQ888" s="141" t="n"/>
      <c r="BR888" s="207" t="n"/>
      <c r="BS888" s="207" t="n"/>
      <c r="BT888" s="207" t="n"/>
      <c r="BU888" s="207" t="n"/>
      <c r="BV888" s="208" t="n"/>
      <c r="BW888" s="207" t="n"/>
      <c r="BX888" s="207" t="n"/>
      <c r="BY888" s="204" t="n"/>
      <c r="BZ888" s="148" t="n"/>
      <c r="CA888" s="204" t="n"/>
      <c r="CB888" s="208" t="n"/>
      <c r="CC888" s="139" t="n"/>
      <c r="CD888" s="204" t="n"/>
      <c r="CE888" s="204" t="n"/>
      <c r="CF888" s="207" t="n"/>
      <c r="CG888" s="208" t="n"/>
      <c r="CH888" s="207" t="n"/>
      <c r="CI888" s="208" t="n"/>
      <c r="CJ888" s="204" t="n"/>
      <c r="CK888" s="208" t="n"/>
      <c r="CL888" s="208" t="n"/>
      <c r="CM888" s="208" t="n"/>
      <c r="CN888" s="78" t="n"/>
      <c r="CO888" s="209" t="n"/>
      <c r="CP888" s="204" t="n"/>
      <c r="CQ888" s="204" t="n"/>
      <c r="CR888" s="204" t="n"/>
      <c r="CS888" s="204" t="n"/>
      <c r="CT888" s="204" t="n"/>
      <c r="CU888" s="204" t="n"/>
      <c r="CV888" s="204" t="n"/>
      <c r="CW888" s="204" t="n"/>
    </row>
    <row r="889">
      <c r="BF889" s="78" t="n"/>
      <c r="BG889" s="78" t="n"/>
      <c r="BH889" s="78" t="n"/>
      <c r="BI889" s="78" t="n"/>
      <c r="BJ889" s="139" t="n"/>
      <c r="BK889" s="204" t="n"/>
      <c r="BL889" s="141" t="n"/>
      <c r="BM889" s="205" t="n"/>
      <c r="BN889" s="205" t="n"/>
      <c r="BO889" s="206" t="n"/>
      <c r="BP889" s="144" t="n"/>
      <c r="BQ889" s="141" t="n"/>
      <c r="BR889" s="207" t="n"/>
      <c r="BS889" s="207" t="n"/>
      <c r="BT889" s="207" t="n"/>
      <c r="BU889" s="207" t="n"/>
      <c r="BV889" s="208" t="n"/>
      <c r="BW889" s="207" t="n"/>
      <c r="BX889" s="207" t="n"/>
      <c r="BY889" s="204" t="n"/>
      <c r="BZ889" s="148" t="n"/>
      <c r="CA889" s="204" t="n"/>
      <c r="CB889" s="208" t="n"/>
      <c r="CC889" s="139" t="n"/>
      <c r="CD889" s="204" t="n"/>
      <c r="CE889" s="204" t="n"/>
      <c r="CF889" s="207" t="n"/>
      <c r="CG889" s="208" t="n"/>
      <c r="CH889" s="207" t="n"/>
      <c r="CI889" s="208" t="n"/>
      <c r="CJ889" s="204" t="n"/>
      <c r="CK889" s="208" t="n"/>
      <c r="CL889" s="208" t="n"/>
      <c r="CM889" s="208" t="n"/>
      <c r="CN889" s="78" t="n"/>
      <c r="CO889" s="209" t="n"/>
      <c r="CP889" s="204" t="n"/>
      <c r="CQ889" s="204" t="n"/>
      <c r="CR889" s="204" t="n"/>
      <c r="CS889" s="204" t="n"/>
      <c r="CT889" s="204" t="n"/>
      <c r="CU889" s="204" t="n"/>
      <c r="CV889" s="204" t="n"/>
      <c r="CW889" s="204" t="n"/>
    </row>
    <row r="890">
      <c r="BF890" s="78" t="n"/>
      <c r="BG890" s="78" t="n"/>
      <c r="BH890" s="78" t="n"/>
      <c r="BI890" s="78" t="n"/>
      <c r="BJ890" s="139" t="n"/>
      <c r="BK890" s="204" t="n"/>
      <c r="BL890" s="141" t="n"/>
      <c r="BM890" s="205" t="n"/>
      <c r="BN890" s="205" t="n"/>
      <c r="BO890" s="206" t="n"/>
      <c r="BP890" s="144" t="n"/>
      <c r="BQ890" s="141" t="n"/>
      <c r="BR890" s="207" t="n"/>
      <c r="BS890" s="207" t="n"/>
      <c r="BT890" s="207" t="n"/>
      <c r="BU890" s="207" t="n"/>
      <c r="BV890" s="208" t="n"/>
      <c r="BW890" s="207" t="n"/>
      <c r="BX890" s="207" t="n"/>
      <c r="BY890" s="204" t="n"/>
      <c r="BZ890" s="148" t="n"/>
      <c r="CA890" s="204" t="n"/>
      <c r="CB890" s="208" t="n"/>
      <c r="CC890" s="139" t="n"/>
      <c r="CD890" s="204" t="n"/>
      <c r="CE890" s="204" t="n"/>
      <c r="CF890" s="207" t="n"/>
      <c r="CG890" s="208" t="n"/>
      <c r="CH890" s="207" t="n"/>
      <c r="CI890" s="208" t="n"/>
      <c r="CJ890" s="204" t="n"/>
      <c r="CK890" s="208" t="n"/>
      <c r="CL890" s="208" t="n"/>
      <c r="CM890" s="208" t="n"/>
      <c r="CN890" s="78" t="n"/>
      <c r="CO890" s="209" t="n"/>
      <c r="CP890" s="204" t="n"/>
      <c r="CQ890" s="204" t="n"/>
      <c r="CR890" s="204" t="n"/>
      <c r="CS890" s="204" t="n"/>
      <c r="CT890" s="204" t="n"/>
      <c r="CU890" s="204" t="n"/>
      <c r="CV890" s="204" t="n"/>
      <c r="CW890" s="204" t="n"/>
    </row>
    <row r="891">
      <c r="BF891" s="78" t="n"/>
      <c r="BG891" s="78" t="n"/>
      <c r="BH891" s="78" t="n"/>
      <c r="BI891" s="78" t="n"/>
      <c r="BJ891" s="139" t="n"/>
      <c r="BK891" s="204" t="n"/>
      <c r="BL891" s="141" t="n"/>
      <c r="BM891" s="205" t="n"/>
      <c r="BN891" s="205" t="n"/>
      <c r="BO891" s="206" t="n"/>
      <c r="BP891" s="144" t="n"/>
      <c r="BQ891" s="141" t="n"/>
      <c r="BR891" s="207" t="n"/>
      <c r="BS891" s="207" t="n"/>
      <c r="BT891" s="207" t="n"/>
      <c r="BU891" s="207" t="n"/>
      <c r="BV891" s="208" t="n"/>
      <c r="BW891" s="207" t="n"/>
      <c r="BX891" s="207" t="n"/>
      <c r="BY891" s="204" t="n"/>
      <c r="BZ891" s="148" t="n"/>
      <c r="CA891" s="204" t="n"/>
      <c r="CB891" s="208" t="n"/>
      <c r="CC891" s="139" t="n"/>
      <c r="CD891" s="204" t="n"/>
      <c r="CE891" s="204" t="n"/>
      <c r="CF891" s="207" t="n"/>
      <c r="CG891" s="208" t="n"/>
      <c r="CH891" s="207" t="n"/>
      <c r="CI891" s="208" t="n"/>
      <c r="CJ891" s="204" t="n"/>
      <c r="CK891" s="208" t="n"/>
      <c r="CL891" s="208" t="n"/>
      <c r="CM891" s="208" t="n"/>
      <c r="CN891" s="78" t="n"/>
      <c r="CO891" s="209" t="n"/>
      <c r="CP891" s="204" t="n"/>
      <c r="CQ891" s="204" t="n"/>
      <c r="CR891" s="204" t="n"/>
      <c r="CS891" s="204" t="n"/>
      <c r="CT891" s="204" t="n"/>
      <c r="CU891" s="204" t="n"/>
      <c r="CV891" s="204" t="n"/>
      <c r="CW891" s="204" t="n"/>
    </row>
    <row r="892">
      <c r="BF892" s="78" t="n"/>
      <c r="BG892" s="78" t="n"/>
      <c r="BH892" s="78" t="n"/>
      <c r="BI892" s="78" t="n"/>
      <c r="BJ892" s="139" t="n"/>
      <c r="BK892" s="204" t="n"/>
      <c r="BL892" s="141" t="n"/>
      <c r="BM892" s="205" t="n"/>
      <c r="BN892" s="205" t="n"/>
      <c r="BO892" s="206" t="n"/>
      <c r="BP892" s="144" t="n"/>
      <c r="BQ892" s="141" t="n"/>
      <c r="BR892" s="207" t="n"/>
      <c r="BS892" s="207" t="n"/>
      <c r="BT892" s="207" t="n"/>
      <c r="BU892" s="207" t="n"/>
      <c r="BV892" s="208" t="n"/>
      <c r="BW892" s="207" t="n"/>
      <c r="BX892" s="207" t="n"/>
      <c r="BY892" s="204" t="n"/>
      <c r="BZ892" s="148" t="n"/>
      <c r="CA892" s="204" t="n"/>
      <c r="CB892" s="208" t="n"/>
      <c r="CC892" s="139" t="n"/>
      <c r="CD892" s="204" t="n"/>
      <c r="CE892" s="204" t="n"/>
      <c r="CF892" s="207" t="n"/>
      <c r="CG892" s="208" t="n"/>
      <c r="CH892" s="207" t="n"/>
      <c r="CI892" s="208" t="n"/>
      <c r="CJ892" s="204" t="n"/>
      <c r="CK892" s="208" t="n"/>
      <c r="CL892" s="208" t="n"/>
      <c r="CM892" s="208" t="n"/>
      <c r="CN892" s="78" t="n"/>
      <c r="CO892" s="209" t="n"/>
      <c r="CP892" s="204" t="n"/>
      <c r="CQ892" s="204" t="n"/>
      <c r="CR892" s="204" t="n"/>
      <c r="CS892" s="204" t="n"/>
      <c r="CT892" s="204" t="n"/>
      <c r="CU892" s="204" t="n"/>
      <c r="CV892" s="204" t="n"/>
      <c r="CW892" s="204" t="n"/>
    </row>
    <row r="893">
      <c r="AR893" s="151" t="n"/>
      <c r="BF893" s="78" t="n"/>
      <c r="BG893" s="78" t="n"/>
      <c r="BH893" s="78" t="n"/>
      <c r="BI893" s="78" t="n"/>
      <c r="BJ893" s="139" t="n"/>
      <c r="BK893" s="204" t="n"/>
      <c r="BL893" s="141" t="n"/>
      <c r="BM893" s="205" t="n"/>
      <c r="BN893" s="205" t="n"/>
      <c r="BO893" s="206" t="n"/>
      <c r="BP893" s="144" t="n"/>
      <c r="BQ893" s="141" t="n"/>
      <c r="BR893" s="207" t="n"/>
      <c r="BS893" s="207" t="n"/>
      <c r="BT893" s="207" t="n"/>
      <c r="BU893" s="207" t="n"/>
      <c r="BV893" s="208" t="n"/>
      <c r="BW893" s="207" t="n"/>
      <c r="BX893" s="207" t="n"/>
      <c r="BY893" s="204" t="n"/>
      <c r="BZ893" s="148" t="n"/>
      <c r="CA893" s="204" t="n"/>
      <c r="CB893" s="208" t="n"/>
      <c r="CC893" s="139" t="n"/>
      <c r="CD893" s="204" t="n"/>
      <c r="CE893" s="204" t="n"/>
      <c r="CF893" s="207" t="n"/>
      <c r="CG893" s="208" t="n"/>
      <c r="CH893" s="207" t="n"/>
      <c r="CI893" s="208" t="n"/>
      <c r="CJ893" s="204" t="n"/>
      <c r="CK893" s="208" t="n"/>
      <c r="CL893" s="208" t="n"/>
      <c r="CM893" s="208" t="n"/>
      <c r="CN893" s="78" t="n"/>
      <c r="CO893" s="209" t="n"/>
      <c r="CP893" s="204" t="n"/>
      <c r="CQ893" s="204" t="n"/>
      <c r="CR893" s="204" t="n"/>
      <c r="CS893" s="204" t="n"/>
      <c r="CT893" s="204" t="n"/>
      <c r="CU893" s="204" t="n"/>
      <c r="CV893" s="204" t="n"/>
      <c r="CW893" s="204" t="n"/>
    </row>
    <row r="894">
      <c r="AR894" s="151" t="n"/>
      <c r="BF894" s="78" t="n"/>
      <c r="BG894" s="78" t="n"/>
      <c r="BH894" s="78" t="n"/>
      <c r="BI894" s="78" t="n"/>
      <c r="BJ894" s="139" t="n"/>
      <c r="BK894" s="204" t="n"/>
      <c r="BL894" s="141" t="n"/>
      <c r="BM894" s="205" t="n"/>
      <c r="BN894" s="205" t="n"/>
      <c r="BO894" s="206" t="n"/>
      <c r="BP894" s="144" t="n"/>
      <c r="BQ894" s="141" t="n"/>
      <c r="BR894" s="207" t="n"/>
      <c r="BS894" s="207" t="n"/>
      <c r="BT894" s="207" t="n"/>
      <c r="BU894" s="207" t="n"/>
      <c r="BV894" s="208" t="n"/>
      <c r="BW894" s="207" t="n"/>
      <c r="BX894" s="207" t="n"/>
      <c r="BY894" s="204" t="n"/>
      <c r="BZ894" s="148" t="n"/>
      <c r="CA894" s="204" t="n"/>
      <c r="CB894" s="208" t="n"/>
      <c r="CC894" s="139" t="n"/>
      <c r="CD894" s="204" t="n"/>
      <c r="CE894" s="204" t="n"/>
      <c r="CF894" s="207" t="n"/>
      <c r="CG894" s="208" t="n"/>
      <c r="CH894" s="207" t="n"/>
      <c r="CI894" s="208" t="n"/>
      <c r="CJ894" s="204" t="n"/>
      <c r="CK894" s="208" t="n"/>
      <c r="CL894" s="208" t="n"/>
      <c r="CM894" s="208" t="n"/>
      <c r="CN894" s="78" t="n"/>
      <c r="CO894" s="209" t="n"/>
      <c r="CP894" s="204" t="n"/>
      <c r="CQ894" s="204" t="n"/>
      <c r="CR894" s="204" t="n"/>
      <c r="CS894" s="204" t="n"/>
      <c r="CT894" s="204" t="n"/>
      <c r="CU894" s="204" t="n"/>
      <c r="CV894" s="204" t="n"/>
      <c r="CW894" s="204" t="n"/>
    </row>
    <row r="895">
      <c r="BF895" s="78" t="n"/>
      <c r="BG895" s="78" t="n"/>
      <c r="BH895" s="78" t="n"/>
      <c r="BI895" s="78" t="n"/>
      <c r="BJ895" s="139" t="n"/>
      <c r="BK895" s="204" t="n"/>
      <c r="BL895" s="141" t="n"/>
      <c r="BM895" s="205" t="n"/>
      <c r="BN895" s="205" t="n"/>
      <c r="BO895" s="206" t="n"/>
      <c r="BP895" s="144" t="n"/>
      <c r="BQ895" s="141" t="n"/>
      <c r="BR895" s="207" t="n"/>
      <c r="BS895" s="207" t="n"/>
      <c r="BT895" s="207" t="n"/>
      <c r="BU895" s="207" t="n"/>
      <c r="BV895" s="208" t="n"/>
      <c r="BW895" s="207" t="n"/>
      <c r="BX895" s="207" t="n"/>
      <c r="BY895" s="204" t="n"/>
      <c r="BZ895" s="148" t="n"/>
      <c r="CA895" s="204" t="n"/>
      <c r="CB895" s="208" t="n"/>
      <c r="CC895" s="139" t="n"/>
      <c r="CD895" s="204" t="n"/>
      <c r="CE895" s="204" t="n"/>
      <c r="CF895" s="207" t="n"/>
      <c r="CG895" s="208" t="n"/>
      <c r="CH895" s="207" t="n"/>
      <c r="CI895" s="208" t="n"/>
      <c r="CJ895" s="204" t="n"/>
      <c r="CK895" s="208" t="n"/>
      <c r="CL895" s="208" t="n"/>
      <c r="CM895" s="208" t="n"/>
      <c r="CN895" s="78" t="n"/>
      <c r="CO895" s="209" t="n"/>
      <c r="CP895" s="204" t="n"/>
      <c r="CQ895" s="204" t="n"/>
      <c r="CR895" s="204" t="n"/>
      <c r="CS895" s="204" t="n"/>
      <c r="CT895" s="204" t="n"/>
      <c r="CU895" s="204" t="n"/>
      <c r="CV895" s="204" t="n"/>
      <c r="CW895" s="204" t="n"/>
    </row>
    <row r="896">
      <c r="BF896" s="78" t="n"/>
      <c r="BG896" s="78" t="n"/>
      <c r="BH896" s="78" t="n"/>
      <c r="BI896" s="78" t="n"/>
      <c r="BJ896" s="139" t="n"/>
      <c r="BK896" s="204" t="n"/>
      <c r="BL896" s="141" t="n"/>
      <c r="BM896" s="205" t="n"/>
      <c r="BN896" s="205" t="n"/>
      <c r="BO896" s="206" t="n"/>
      <c r="BP896" s="144" t="n"/>
      <c r="BQ896" s="141" t="n"/>
      <c r="BR896" s="207" t="n"/>
      <c r="BS896" s="207" t="n"/>
      <c r="BT896" s="207" t="n"/>
      <c r="BU896" s="207" t="n"/>
      <c r="BV896" s="208" t="n"/>
      <c r="BW896" s="207" t="n"/>
      <c r="BX896" s="207" t="n"/>
      <c r="BY896" s="204" t="n"/>
      <c r="BZ896" s="148" t="n"/>
      <c r="CA896" s="204" t="n"/>
      <c r="CB896" s="208" t="n"/>
      <c r="CC896" s="139" t="n"/>
      <c r="CD896" s="204" t="n"/>
      <c r="CE896" s="204" t="n"/>
      <c r="CF896" s="207" t="n"/>
      <c r="CG896" s="208" t="n"/>
      <c r="CH896" s="207" t="n"/>
      <c r="CI896" s="208" t="n"/>
      <c r="CJ896" s="204" t="n"/>
      <c r="CK896" s="208" t="n"/>
      <c r="CL896" s="208" t="n"/>
      <c r="CM896" s="208" t="n"/>
      <c r="CN896" s="78" t="n"/>
      <c r="CO896" s="209" t="n"/>
      <c r="CP896" s="204" t="n"/>
      <c r="CQ896" s="204" t="n"/>
      <c r="CR896" s="204" t="n"/>
      <c r="CS896" s="204" t="n"/>
      <c r="CT896" s="204" t="n"/>
      <c r="CU896" s="204" t="n"/>
      <c r="CV896" s="204" t="n"/>
      <c r="CW896" s="204" t="n"/>
    </row>
    <row r="897">
      <c r="BF897" s="78" t="n"/>
      <c r="BG897" s="78" t="n"/>
      <c r="BH897" s="78" t="n"/>
      <c r="BI897" s="78" t="n"/>
      <c r="BJ897" s="139" t="n"/>
      <c r="BK897" s="204" t="n"/>
      <c r="BL897" s="141" t="n"/>
      <c r="BM897" s="205" t="n"/>
      <c r="BN897" s="205" t="n"/>
      <c r="BO897" s="206" t="n"/>
      <c r="BP897" s="144" t="n"/>
      <c r="BQ897" s="141" t="n"/>
      <c r="BR897" s="207" t="n"/>
      <c r="BS897" s="207" t="n"/>
      <c r="BT897" s="207" t="n"/>
      <c r="BU897" s="207" t="n"/>
      <c r="BV897" s="208" t="n"/>
      <c r="BW897" s="207" t="n"/>
      <c r="BX897" s="207" t="n"/>
      <c r="BY897" s="204" t="n"/>
      <c r="BZ897" s="148" t="n"/>
      <c r="CA897" s="204" t="n"/>
      <c r="CB897" s="208" t="n"/>
      <c r="CC897" s="139" t="n"/>
      <c r="CD897" s="204" t="n"/>
      <c r="CE897" s="204" t="n"/>
      <c r="CF897" s="207" t="n"/>
      <c r="CG897" s="208" t="n"/>
      <c r="CH897" s="207" t="n"/>
      <c r="CI897" s="208" t="n"/>
      <c r="CJ897" s="204" t="n"/>
      <c r="CK897" s="208" t="n"/>
      <c r="CL897" s="208" t="n"/>
      <c r="CM897" s="208" t="n"/>
      <c r="CN897" s="78" t="n"/>
      <c r="CO897" s="209" t="n"/>
      <c r="CP897" s="204" t="n"/>
      <c r="CQ897" s="204" t="n"/>
      <c r="CR897" s="204" t="n"/>
      <c r="CS897" s="204" t="n"/>
      <c r="CT897" s="204" t="n"/>
      <c r="CU897" s="204" t="n"/>
      <c r="CV897" s="204" t="n"/>
      <c r="CW897" s="204" t="n"/>
    </row>
    <row r="898">
      <c r="BF898" s="78" t="n"/>
      <c r="BG898" s="78" t="n"/>
      <c r="BH898" s="78" t="n"/>
      <c r="BI898" s="78" t="n"/>
      <c r="BJ898" s="139" t="n"/>
      <c r="BK898" s="204" t="n"/>
      <c r="BL898" s="141" t="n"/>
      <c r="BM898" s="205" t="n"/>
      <c r="BN898" s="205" t="n"/>
      <c r="BO898" s="206" t="n"/>
      <c r="BP898" s="144" t="n"/>
      <c r="BQ898" s="141" t="n"/>
      <c r="BR898" s="207" t="n"/>
      <c r="BS898" s="207" t="n"/>
      <c r="BT898" s="207" t="n"/>
      <c r="BU898" s="207" t="n"/>
      <c r="BV898" s="208" t="n"/>
      <c r="BW898" s="207" t="n"/>
      <c r="BX898" s="207" t="n"/>
      <c r="BY898" s="204" t="n"/>
      <c r="BZ898" s="148" t="n"/>
      <c r="CA898" s="204" t="n"/>
      <c r="CB898" s="208" t="n"/>
      <c r="CC898" s="139" t="n"/>
      <c r="CD898" s="204" t="n"/>
      <c r="CE898" s="204" t="n"/>
      <c r="CF898" s="207" t="n"/>
      <c r="CG898" s="208" t="n"/>
      <c r="CH898" s="207" t="n"/>
      <c r="CI898" s="208" t="n"/>
      <c r="CJ898" s="204" t="n"/>
      <c r="CK898" s="208" t="n"/>
      <c r="CL898" s="208" t="n"/>
      <c r="CM898" s="208" t="n"/>
      <c r="CN898" s="78" t="n"/>
      <c r="CO898" s="209" t="n"/>
      <c r="CP898" s="204" t="n"/>
      <c r="CQ898" s="204" t="n"/>
      <c r="CR898" s="204" t="n"/>
      <c r="CS898" s="204" t="n"/>
      <c r="CT898" s="204" t="n"/>
      <c r="CU898" s="204" t="n"/>
      <c r="CV898" s="204" t="n"/>
      <c r="CW898" s="204" t="n"/>
    </row>
    <row r="899">
      <c r="BF899" s="78" t="n"/>
      <c r="BG899" s="78" t="n"/>
      <c r="BH899" s="78" t="n"/>
      <c r="BI899" s="78" t="n"/>
      <c r="BJ899" s="139" t="n"/>
      <c r="BK899" s="204" t="n"/>
      <c r="BL899" s="141" t="n"/>
      <c r="BM899" s="205" t="n"/>
      <c r="BN899" s="205" t="n"/>
      <c r="BO899" s="206" t="n"/>
      <c r="BP899" s="144" t="n"/>
      <c r="BQ899" s="141" t="n"/>
      <c r="BR899" s="207" t="n"/>
      <c r="BS899" s="207" t="n"/>
      <c r="BT899" s="207" t="n"/>
      <c r="BU899" s="207" t="n"/>
      <c r="BV899" s="208" t="n"/>
      <c r="BW899" s="207" t="n"/>
      <c r="BX899" s="207" t="n"/>
      <c r="BY899" s="204" t="n"/>
      <c r="BZ899" s="148" t="n"/>
      <c r="CA899" s="204" t="n"/>
      <c r="CB899" s="208" t="n"/>
      <c r="CC899" s="139" t="n"/>
      <c r="CD899" s="204" t="n"/>
      <c r="CE899" s="204" t="n"/>
      <c r="CF899" s="207" t="n"/>
      <c r="CG899" s="208" t="n"/>
      <c r="CH899" s="207" t="n"/>
      <c r="CI899" s="208" t="n"/>
      <c r="CJ899" s="204" t="n"/>
      <c r="CK899" s="208" t="n"/>
      <c r="CL899" s="208" t="n"/>
      <c r="CM899" s="208" t="n"/>
      <c r="CN899" s="78" t="n"/>
      <c r="CO899" s="209" t="n"/>
      <c r="CP899" s="204" t="n"/>
      <c r="CQ899" s="204" t="n"/>
      <c r="CR899" s="204" t="n"/>
      <c r="CS899" s="204" t="n"/>
      <c r="CT899" s="204" t="n"/>
      <c r="CU899" s="204" t="n"/>
      <c r="CV899" s="204" t="n"/>
      <c r="CW899" s="204" t="n"/>
    </row>
    <row r="900">
      <c r="BF900" s="78" t="n"/>
      <c r="BG900" s="78" t="n"/>
      <c r="BH900" s="78" t="n"/>
      <c r="BI900" s="78" t="n"/>
      <c r="BJ900" s="139" t="n"/>
      <c r="BK900" s="204" t="n"/>
      <c r="BL900" s="141" t="n"/>
      <c r="BM900" s="205" t="n"/>
      <c r="BN900" s="205" t="n"/>
      <c r="BO900" s="206" t="n"/>
      <c r="BP900" s="144" t="n"/>
      <c r="BQ900" s="141" t="n"/>
      <c r="BR900" s="207" t="n"/>
      <c r="BS900" s="207" t="n"/>
      <c r="BT900" s="207" t="n"/>
      <c r="BU900" s="207" t="n"/>
      <c r="BV900" s="208" t="n"/>
      <c r="BW900" s="207" t="n"/>
      <c r="BX900" s="207" t="n"/>
      <c r="BY900" s="204" t="n"/>
      <c r="BZ900" s="148" t="n"/>
      <c r="CA900" s="204" t="n"/>
      <c r="CB900" s="208" t="n"/>
      <c r="CC900" s="139" t="n"/>
      <c r="CD900" s="204" t="n"/>
      <c r="CE900" s="204" t="n"/>
      <c r="CF900" s="207" t="n"/>
      <c r="CG900" s="208" t="n"/>
      <c r="CH900" s="207" t="n"/>
      <c r="CI900" s="208" t="n"/>
      <c r="CJ900" s="204" t="n"/>
      <c r="CK900" s="208" t="n"/>
      <c r="CL900" s="208" t="n"/>
      <c r="CM900" s="208" t="n"/>
      <c r="CN900" s="78" t="n"/>
      <c r="CO900" s="209" t="n"/>
      <c r="CP900" s="204" t="n"/>
      <c r="CQ900" s="204" t="n"/>
      <c r="CR900" s="204" t="n"/>
      <c r="CS900" s="204" t="n"/>
      <c r="CT900" s="204" t="n"/>
      <c r="CU900" s="204" t="n"/>
      <c r="CV900" s="204" t="n"/>
      <c r="CW900" s="204" t="n"/>
    </row>
    <row r="901">
      <c r="BF901" s="78" t="n"/>
      <c r="BG901" s="78" t="n"/>
      <c r="BH901" s="78" t="n"/>
      <c r="BI901" s="78" t="n"/>
      <c r="BJ901" s="139" t="n"/>
      <c r="BK901" s="204" t="n"/>
      <c r="BL901" s="141" t="n"/>
      <c r="BM901" s="205" t="n"/>
      <c r="BN901" s="205" t="n"/>
      <c r="BO901" s="206" t="n"/>
      <c r="BP901" s="144" t="n"/>
      <c r="BQ901" s="141" t="n"/>
      <c r="BR901" s="207" t="n"/>
      <c r="BS901" s="207" t="n"/>
      <c r="BT901" s="207" t="n"/>
      <c r="BU901" s="207" t="n"/>
      <c r="BV901" s="208" t="n"/>
      <c r="BW901" s="207" t="n"/>
      <c r="BX901" s="207" t="n"/>
      <c r="BY901" s="204" t="n"/>
      <c r="BZ901" s="148" t="n"/>
      <c r="CA901" s="204" t="n"/>
      <c r="CB901" s="208" t="n"/>
      <c r="CC901" s="139" t="n"/>
      <c r="CD901" s="204" t="n"/>
      <c r="CE901" s="204" t="n"/>
      <c r="CF901" s="207" t="n"/>
      <c r="CG901" s="208" t="n"/>
      <c r="CH901" s="207" t="n"/>
      <c r="CI901" s="208" t="n"/>
      <c r="CJ901" s="204" t="n"/>
      <c r="CK901" s="208" t="n"/>
      <c r="CL901" s="208" t="n"/>
      <c r="CM901" s="208" t="n"/>
      <c r="CN901" s="78" t="n"/>
      <c r="CO901" s="209" t="n"/>
      <c r="CP901" s="204" t="n"/>
      <c r="CQ901" s="204" t="n"/>
      <c r="CR901" s="204" t="n"/>
      <c r="CS901" s="204" t="n"/>
      <c r="CT901" s="204" t="n"/>
      <c r="CU901" s="204" t="n"/>
      <c r="CV901" s="204" t="n"/>
      <c r="CW901" s="204" t="n"/>
    </row>
    <row r="902">
      <c r="BF902" s="78" t="n"/>
      <c r="BG902" s="78" t="n"/>
      <c r="BH902" s="78" t="n"/>
      <c r="BI902" s="78" t="n"/>
      <c r="BJ902" s="139" t="n"/>
      <c r="BK902" s="204" t="n"/>
      <c r="BL902" s="141" t="n"/>
      <c r="BM902" s="205" t="n"/>
      <c r="BN902" s="205" t="n"/>
      <c r="BO902" s="206" t="n"/>
      <c r="BP902" s="144" t="n"/>
      <c r="BQ902" s="141" t="n"/>
      <c r="BR902" s="207" t="n"/>
      <c r="BS902" s="207" t="n"/>
      <c r="BT902" s="207" t="n"/>
      <c r="BU902" s="207" t="n"/>
      <c r="BV902" s="208" t="n"/>
      <c r="BW902" s="207" t="n"/>
      <c r="BX902" s="207" t="n"/>
      <c r="BY902" s="204" t="n"/>
      <c r="BZ902" s="148" t="n"/>
      <c r="CA902" s="204" t="n"/>
      <c r="CB902" s="208" t="n"/>
      <c r="CC902" s="139" t="n"/>
      <c r="CD902" s="204" t="n"/>
      <c r="CE902" s="204" t="n"/>
      <c r="CF902" s="207" t="n"/>
      <c r="CG902" s="208" t="n"/>
      <c r="CH902" s="207" t="n"/>
      <c r="CI902" s="208" t="n"/>
      <c r="CJ902" s="204" t="n"/>
      <c r="CK902" s="208" t="n"/>
      <c r="CL902" s="208" t="n"/>
      <c r="CM902" s="208" t="n"/>
      <c r="CN902" s="78" t="n"/>
      <c r="CO902" s="209" t="n"/>
      <c r="CP902" s="204" t="n"/>
      <c r="CQ902" s="204" t="n"/>
      <c r="CR902" s="204" t="n"/>
      <c r="CS902" s="204" t="n"/>
      <c r="CT902" s="204" t="n"/>
      <c r="CU902" s="204" t="n"/>
      <c r="CV902" s="204" t="n"/>
      <c r="CW902" s="204" t="n"/>
    </row>
    <row r="903">
      <c r="BF903" s="78" t="n"/>
      <c r="BG903" s="78" t="n"/>
      <c r="BH903" s="78" t="n"/>
      <c r="BI903" s="78" t="n"/>
      <c r="BJ903" s="139" t="n"/>
      <c r="BK903" s="204" t="n"/>
      <c r="BL903" s="141" t="n"/>
      <c r="BM903" s="205" t="n"/>
      <c r="BN903" s="205" t="n"/>
      <c r="BO903" s="206" t="n"/>
      <c r="BP903" s="144" t="n"/>
      <c r="BQ903" s="141" t="n"/>
      <c r="BR903" s="207" t="n"/>
      <c r="BS903" s="207" t="n"/>
      <c r="BT903" s="207" t="n"/>
      <c r="BU903" s="207" t="n"/>
      <c r="BV903" s="208" t="n"/>
      <c r="BW903" s="207" t="n"/>
      <c r="BX903" s="207" t="n"/>
      <c r="BY903" s="204" t="n"/>
      <c r="BZ903" s="148" t="n"/>
      <c r="CA903" s="204" t="n"/>
      <c r="CB903" s="208" t="n"/>
      <c r="CC903" s="139" t="n"/>
      <c r="CD903" s="204" t="n"/>
      <c r="CE903" s="204" t="n"/>
      <c r="CF903" s="207" t="n"/>
      <c r="CG903" s="208" t="n"/>
      <c r="CH903" s="207" t="n"/>
      <c r="CI903" s="208" t="n"/>
      <c r="CJ903" s="204" t="n"/>
      <c r="CK903" s="208" t="n"/>
      <c r="CL903" s="208" t="n"/>
      <c r="CM903" s="208" t="n"/>
      <c r="CN903" s="78" t="n"/>
      <c r="CO903" s="209" t="n"/>
      <c r="CP903" s="204" t="n"/>
      <c r="CQ903" s="204" t="n"/>
      <c r="CR903" s="204" t="n"/>
      <c r="CS903" s="204" t="n"/>
      <c r="CT903" s="204" t="n"/>
      <c r="CU903" s="204" t="n"/>
      <c r="CV903" s="204" t="n"/>
      <c r="CW903" s="204" t="n"/>
    </row>
    <row r="904">
      <c r="BF904" s="78" t="n"/>
      <c r="BG904" s="78" t="n"/>
      <c r="BH904" s="78" t="n"/>
      <c r="BI904" s="78" t="n"/>
      <c r="BJ904" s="139" t="n"/>
      <c r="BK904" s="204" t="n"/>
      <c r="BL904" s="141" t="n"/>
      <c r="BM904" s="205" t="n"/>
      <c r="BN904" s="205" t="n"/>
      <c r="BO904" s="206" t="n"/>
      <c r="BP904" s="144" t="n"/>
      <c r="BQ904" s="141" t="n"/>
      <c r="BR904" s="207" t="n"/>
      <c r="BS904" s="207" t="n"/>
      <c r="BT904" s="207" t="n"/>
      <c r="BU904" s="207" t="n"/>
      <c r="BV904" s="208" t="n"/>
      <c r="BW904" s="207" t="n"/>
      <c r="BX904" s="207" t="n"/>
      <c r="BY904" s="204" t="n"/>
      <c r="BZ904" s="148" t="n"/>
      <c r="CA904" s="204" t="n"/>
      <c r="CB904" s="208" t="n"/>
      <c r="CC904" s="139" t="n"/>
      <c r="CD904" s="204" t="n"/>
      <c r="CE904" s="204" t="n"/>
      <c r="CF904" s="207" t="n"/>
      <c r="CG904" s="208" t="n"/>
      <c r="CH904" s="207" t="n"/>
      <c r="CI904" s="208" t="n"/>
      <c r="CJ904" s="204" t="n"/>
      <c r="CK904" s="208" t="n"/>
      <c r="CL904" s="208" t="n"/>
      <c r="CM904" s="208" t="n"/>
      <c r="CN904" s="78" t="n"/>
      <c r="CO904" s="209" t="n"/>
      <c r="CP904" s="204" t="n"/>
      <c r="CQ904" s="204" t="n"/>
      <c r="CR904" s="204" t="n"/>
      <c r="CS904" s="204" t="n"/>
      <c r="CT904" s="204" t="n"/>
      <c r="CU904" s="204" t="n"/>
      <c r="CV904" s="204" t="n"/>
      <c r="CW904" s="204" t="n"/>
    </row>
    <row r="905">
      <c r="BF905" s="78" t="n"/>
      <c r="BG905" s="78" t="n"/>
      <c r="BH905" s="78" t="n"/>
      <c r="BI905" s="78" t="n"/>
      <c r="BJ905" s="139" t="n"/>
      <c r="BK905" s="204" t="n"/>
      <c r="BL905" s="141" t="n"/>
      <c r="BM905" s="205" t="n"/>
      <c r="BN905" s="205" t="n"/>
      <c r="BO905" s="206" t="n"/>
      <c r="BP905" s="144" t="n"/>
      <c r="BQ905" s="141" t="n"/>
      <c r="BR905" s="207" t="n"/>
      <c r="BS905" s="207" t="n"/>
      <c r="BT905" s="207" t="n"/>
      <c r="BU905" s="207" t="n"/>
      <c r="BV905" s="208" t="n"/>
      <c r="BW905" s="207" t="n"/>
      <c r="BX905" s="207" t="n"/>
      <c r="BY905" s="204" t="n"/>
      <c r="BZ905" s="148" t="n"/>
      <c r="CA905" s="204" t="n"/>
      <c r="CB905" s="208" t="n"/>
      <c r="CC905" s="139" t="n"/>
      <c r="CD905" s="204" t="n"/>
      <c r="CE905" s="204" t="n"/>
      <c r="CF905" s="207" t="n"/>
      <c r="CG905" s="208" t="n"/>
      <c r="CH905" s="207" t="n"/>
      <c r="CI905" s="208" t="n"/>
      <c r="CJ905" s="204" t="n"/>
      <c r="CK905" s="208" t="n"/>
      <c r="CL905" s="208" t="n"/>
      <c r="CM905" s="208" t="n"/>
      <c r="CN905" s="78" t="n"/>
      <c r="CO905" s="209" t="n"/>
      <c r="CP905" s="204" t="n"/>
      <c r="CQ905" s="204" t="n"/>
      <c r="CR905" s="204" t="n"/>
      <c r="CS905" s="204" t="n"/>
      <c r="CT905" s="204" t="n"/>
      <c r="CU905" s="204" t="n"/>
      <c r="CV905" s="204" t="n"/>
      <c r="CW905" s="204" t="n"/>
    </row>
    <row r="906">
      <c r="BF906" s="78" t="n"/>
      <c r="BG906" s="78" t="n"/>
      <c r="BH906" s="78" t="n"/>
      <c r="BI906" s="78" t="n"/>
      <c r="BJ906" s="139" t="n"/>
      <c r="BK906" s="204" t="n"/>
      <c r="BL906" s="141" t="n"/>
      <c r="BM906" s="205" t="n"/>
      <c r="BN906" s="205" t="n"/>
      <c r="BO906" s="206" t="n"/>
      <c r="BP906" s="144" t="n"/>
      <c r="BQ906" s="141" t="n"/>
      <c r="BR906" s="207" t="n"/>
      <c r="BS906" s="207" t="n"/>
      <c r="BT906" s="207" t="n"/>
      <c r="BU906" s="207" t="n"/>
      <c r="BV906" s="208" t="n"/>
      <c r="BW906" s="207" t="n"/>
      <c r="BX906" s="207" t="n"/>
      <c r="BY906" s="204" t="n"/>
      <c r="BZ906" s="148" t="n"/>
      <c r="CA906" s="204" t="n"/>
      <c r="CB906" s="208" t="n"/>
      <c r="CC906" s="139" t="n"/>
      <c r="CD906" s="204" t="n"/>
      <c r="CE906" s="204" t="n"/>
      <c r="CF906" s="207" t="n"/>
      <c r="CG906" s="208" t="n"/>
      <c r="CH906" s="207" t="n"/>
      <c r="CI906" s="208" t="n"/>
      <c r="CJ906" s="204" t="n"/>
      <c r="CK906" s="208" t="n"/>
      <c r="CL906" s="208" t="n"/>
      <c r="CM906" s="208" t="n"/>
      <c r="CN906" s="78" t="n"/>
      <c r="CO906" s="209" t="n"/>
      <c r="CP906" s="204" t="n"/>
      <c r="CQ906" s="204" t="n"/>
      <c r="CR906" s="204" t="n"/>
      <c r="CS906" s="204" t="n"/>
      <c r="CT906" s="204" t="n"/>
      <c r="CU906" s="204" t="n"/>
      <c r="CV906" s="204" t="n"/>
      <c r="CW906" s="204" t="n"/>
    </row>
    <row r="907">
      <c r="BF907" s="78" t="n"/>
      <c r="BG907" s="78" t="n"/>
      <c r="BH907" s="78" t="n"/>
      <c r="BI907" s="78" t="n"/>
      <c r="BJ907" s="139" t="n"/>
      <c r="BK907" s="204" t="n"/>
      <c r="BL907" s="141" t="n"/>
      <c r="BM907" s="205" t="n"/>
      <c r="BN907" s="205" t="n"/>
      <c r="BO907" s="206" t="n"/>
      <c r="BP907" s="144" t="n"/>
      <c r="BQ907" s="141" t="n"/>
      <c r="BR907" s="207" t="n"/>
      <c r="BS907" s="207" t="n"/>
      <c r="BT907" s="207" t="n"/>
      <c r="BU907" s="207" t="n"/>
      <c r="BV907" s="208" t="n"/>
      <c r="BW907" s="207" t="n"/>
      <c r="BX907" s="207" t="n"/>
      <c r="BY907" s="204" t="n"/>
      <c r="BZ907" s="148" t="n"/>
      <c r="CA907" s="204" t="n"/>
      <c r="CB907" s="208" t="n"/>
      <c r="CC907" s="139" t="n"/>
      <c r="CD907" s="204" t="n"/>
      <c r="CE907" s="204" t="n"/>
      <c r="CF907" s="207" t="n"/>
      <c r="CG907" s="208" t="n"/>
      <c r="CH907" s="207" t="n"/>
      <c r="CI907" s="208" t="n"/>
      <c r="CJ907" s="204" t="n"/>
      <c r="CK907" s="208" t="n"/>
      <c r="CL907" s="208" t="n"/>
      <c r="CM907" s="208" t="n"/>
      <c r="CN907" s="78" t="n"/>
      <c r="CO907" s="209" t="n"/>
      <c r="CP907" s="204" t="n"/>
      <c r="CQ907" s="204" t="n"/>
      <c r="CR907" s="204" t="n"/>
      <c r="CS907" s="204" t="n"/>
      <c r="CT907" s="204" t="n"/>
      <c r="CU907" s="204" t="n"/>
      <c r="CV907" s="204" t="n"/>
      <c r="CW907" s="204" t="n"/>
    </row>
    <row r="908">
      <c r="BF908" s="78" t="n"/>
      <c r="BG908" s="78" t="n"/>
      <c r="BH908" s="78" t="n"/>
      <c r="BI908" s="78" t="n"/>
      <c r="BJ908" s="139" t="n"/>
      <c r="BK908" s="204" t="n"/>
      <c r="BL908" s="141" t="n"/>
      <c r="BM908" s="205" t="n"/>
      <c r="BN908" s="205" t="n"/>
      <c r="BO908" s="206" t="n"/>
      <c r="BP908" s="144" t="n"/>
      <c r="BQ908" s="141" t="n"/>
      <c r="BR908" s="207" t="n"/>
      <c r="BS908" s="207" t="n"/>
      <c r="BT908" s="207" t="n"/>
      <c r="BU908" s="207" t="n"/>
      <c r="BV908" s="208" t="n"/>
      <c r="BW908" s="207" t="n"/>
      <c r="BX908" s="207" t="n"/>
      <c r="BY908" s="204" t="n"/>
      <c r="BZ908" s="148" t="n"/>
      <c r="CA908" s="204" t="n"/>
      <c r="CB908" s="208" t="n"/>
      <c r="CC908" s="139" t="n"/>
      <c r="CD908" s="204" t="n"/>
      <c r="CE908" s="204" t="n"/>
      <c r="CF908" s="207" t="n"/>
      <c r="CG908" s="208" t="n"/>
      <c r="CH908" s="207" t="n"/>
      <c r="CI908" s="208" t="n"/>
      <c r="CJ908" s="204" t="n"/>
      <c r="CK908" s="208" t="n"/>
      <c r="CL908" s="208" t="n"/>
      <c r="CM908" s="208" t="n"/>
      <c r="CN908" s="78" t="n"/>
      <c r="CO908" s="209" t="n"/>
      <c r="CP908" s="204" t="n"/>
      <c r="CQ908" s="204" t="n"/>
      <c r="CR908" s="204" t="n"/>
      <c r="CS908" s="204" t="n"/>
      <c r="CT908" s="204" t="n"/>
      <c r="CU908" s="204" t="n"/>
      <c r="CV908" s="204" t="n"/>
      <c r="CW908" s="204" t="n"/>
    </row>
    <row r="909">
      <c r="BF909" s="78" t="n"/>
      <c r="BG909" s="78" t="n"/>
      <c r="BH909" s="78" t="n"/>
      <c r="BI909" s="78" t="n"/>
      <c r="BJ909" s="139" t="n"/>
      <c r="BK909" s="204" t="n"/>
      <c r="BL909" s="141" t="n"/>
      <c r="BM909" s="205" t="n"/>
      <c r="BN909" s="205" t="n"/>
      <c r="BO909" s="206" t="n"/>
      <c r="BP909" s="144" t="n"/>
      <c r="BQ909" s="141" t="n"/>
      <c r="BR909" s="207" t="n"/>
      <c r="BS909" s="207" t="n"/>
      <c r="BT909" s="207" t="n"/>
      <c r="BU909" s="207" t="n"/>
      <c r="BV909" s="208" t="n"/>
      <c r="BW909" s="207" t="n"/>
      <c r="BX909" s="207" t="n"/>
      <c r="BY909" s="204" t="n"/>
      <c r="BZ909" s="148" t="n"/>
      <c r="CA909" s="204" t="n"/>
      <c r="CB909" s="208" t="n"/>
      <c r="CC909" s="139" t="n"/>
      <c r="CD909" s="204" t="n"/>
      <c r="CE909" s="204" t="n"/>
      <c r="CF909" s="207" t="n"/>
      <c r="CG909" s="208" t="n"/>
      <c r="CH909" s="207" t="n"/>
      <c r="CI909" s="208" t="n"/>
      <c r="CJ909" s="204" t="n"/>
      <c r="CK909" s="208" t="n"/>
      <c r="CL909" s="208" t="n"/>
      <c r="CM909" s="208" t="n"/>
      <c r="CN909" s="78" t="n"/>
      <c r="CO909" s="209" t="n"/>
      <c r="CP909" s="204" t="n"/>
      <c r="CQ909" s="204" t="n"/>
      <c r="CR909" s="204" t="n"/>
      <c r="CS909" s="204" t="n"/>
      <c r="CT909" s="204" t="n"/>
      <c r="CU909" s="204" t="n"/>
      <c r="CV909" s="204" t="n"/>
      <c r="CW909" s="204" t="n"/>
    </row>
    <row r="910">
      <c r="BF910" s="78" t="n"/>
      <c r="BG910" s="78" t="n"/>
      <c r="BH910" s="78" t="n"/>
      <c r="BI910" s="78" t="n"/>
      <c r="BJ910" s="139" t="n"/>
      <c r="BK910" s="204" t="n"/>
      <c r="BL910" s="141" t="n"/>
      <c r="BM910" s="205" t="n"/>
      <c r="BN910" s="205" t="n"/>
      <c r="BO910" s="206" t="n"/>
      <c r="BP910" s="144" t="n"/>
      <c r="BQ910" s="141" t="n"/>
      <c r="BR910" s="207" t="n"/>
      <c r="BS910" s="207" t="n"/>
      <c r="BT910" s="207" t="n"/>
      <c r="BU910" s="207" t="n"/>
      <c r="BV910" s="208" t="n"/>
      <c r="BW910" s="207" t="n"/>
      <c r="BX910" s="207" t="n"/>
      <c r="BY910" s="204" t="n"/>
      <c r="BZ910" s="148" t="n"/>
      <c r="CA910" s="204" t="n"/>
      <c r="CB910" s="208" t="n"/>
      <c r="CC910" s="139" t="n"/>
      <c r="CD910" s="204" t="n"/>
      <c r="CE910" s="204" t="n"/>
      <c r="CF910" s="207" t="n"/>
      <c r="CG910" s="208" t="n"/>
      <c r="CH910" s="207" t="n"/>
      <c r="CI910" s="208" t="n"/>
      <c r="CJ910" s="204" t="n"/>
      <c r="CK910" s="208" t="n"/>
      <c r="CL910" s="208" t="n"/>
      <c r="CM910" s="208" t="n"/>
      <c r="CN910" s="78" t="n"/>
      <c r="CO910" s="209" t="n"/>
      <c r="CP910" s="204" t="n"/>
      <c r="CQ910" s="204" t="n"/>
      <c r="CR910" s="204" t="n"/>
      <c r="CS910" s="204" t="n"/>
      <c r="CT910" s="204" t="n"/>
      <c r="CU910" s="204" t="n"/>
      <c r="CV910" s="204" t="n"/>
      <c r="CW910" s="204" t="n"/>
    </row>
    <row r="911">
      <c r="BF911" s="78" t="n"/>
      <c r="BG911" s="78" t="n"/>
      <c r="BH911" s="78" t="n"/>
      <c r="BI911" s="78" t="n"/>
      <c r="BJ911" s="139" t="n"/>
      <c r="BK911" s="204" t="n"/>
      <c r="BL911" s="141" t="n"/>
      <c r="BM911" s="205" t="n"/>
      <c r="BN911" s="205" t="n"/>
      <c r="BO911" s="206" t="n"/>
      <c r="BP911" s="144" t="n"/>
      <c r="BQ911" s="141" t="n"/>
      <c r="BR911" s="207" t="n"/>
      <c r="BS911" s="207" t="n"/>
      <c r="BT911" s="207" t="n"/>
      <c r="BU911" s="207" t="n"/>
      <c r="BV911" s="208" t="n"/>
      <c r="BW911" s="207" t="n"/>
      <c r="BX911" s="207" t="n"/>
      <c r="BY911" s="204" t="n"/>
      <c r="BZ911" s="148" t="n"/>
      <c r="CA911" s="204" t="n"/>
      <c r="CB911" s="208" t="n"/>
      <c r="CC911" s="139" t="n"/>
      <c r="CD911" s="204" t="n"/>
      <c r="CE911" s="204" t="n"/>
      <c r="CF911" s="207" t="n"/>
      <c r="CG911" s="208" t="n"/>
      <c r="CH911" s="207" t="n"/>
      <c r="CI911" s="208" t="n"/>
      <c r="CJ911" s="204" t="n"/>
      <c r="CK911" s="208" t="n"/>
      <c r="CL911" s="208" t="n"/>
      <c r="CM911" s="208" t="n"/>
      <c r="CN911" s="78" t="n"/>
      <c r="CO911" s="209" t="n"/>
      <c r="CP911" s="204" t="n"/>
      <c r="CQ911" s="204" t="n"/>
      <c r="CR911" s="204" t="n"/>
      <c r="CS911" s="204" t="n"/>
      <c r="CT911" s="204" t="n"/>
      <c r="CU911" s="204" t="n"/>
      <c r="CV911" s="204" t="n"/>
      <c r="CW911" s="204" t="n"/>
    </row>
    <row r="912">
      <c r="BF912" s="78" t="n"/>
      <c r="BG912" s="78" t="n"/>
      <c r="BH912" s="78" t="n"/>
      <c r="BI912" s="78" t="n"/>
      <c r="BJ912" s="139" t="n"/>
      <c r="BK912" s="204" t="n"/>
      <c r="BL912" s="141" t="n"/>
      <c r="BM912" s="205" t="n"/>
      <c r="BN912" s="205" t="n"/>
      <c r="BO912" s="206" t="n"/>
      <c r="BP912" s="144" t="n"/>
      <c r="BQ912" s="141" t="n"/>
      <c r="BR912" s="207" t="n"/>
      <c r="BS912" s="207" t="n"/>
      <c r="BT912" s="207" t="n"/>
      <c r="BU912" s="207" t="n"/>
      <c r="BV912" s="208" t="n"/>
      <c r="BW912" s="207" t="n"/>
      <c r="BX912" s="207" t="n"/>
      <c r="BY912" s="204" t="n"/>
      <c r="BZ912" s="148" t="n"/>
      <c r="CA912" s="204" t="n"/>
      <c r="CB912" s="208" t="n"/>
      <c r="CC912" s="139" t="n"/>
      <c r="CD912" s="204" t="n"/>
      <c r="CE912" s="204" t="n"/>
      <c r="CF912" s="207" t="n"/>
      <c r="CG912" s="208" t="n"/>
      <c r="CH912" s="207" t="n"/>
      <c r="CI912" s="208" t="n"/>
      <c r="CJ912" s="204" t="n"/>
      <c r="CK912" s="208" t="n"/>
      <c r="CL912" s="208" t="n"/>
      <c r="CM912" s="208" t="n"/>
      <c r="CN912" s="78" t="n"/>
      <c r="CO912" s="209" t="n"/>
      <c r="CP912" s="204" t="n"/>
      <c r="CQ912" s="204" t="n"/>
      <c r="CR912" s="204" t="n"/>
      <c r="CS912" s="204" t="n"/>
      <c r="CT912" s="204" t="n"/>
      <c r="CU912" s="204" t="n"/>
      <c r="CV912" s="204" t="n"/>
      <c r="CW912" s="204" t="n"/>
    </row>
    <row r="913">
      <c r="BF913" s="78" t="n"/>
      <c r="BG913" s="78" t="n"/>
      <c r="BH913" s="78" t="n"/>
      <c r="BI913" s="78" t="n"/>
      <c r="BJ913" s="139" t="n"/>
      <c r="BK913" s="204" t="n"/>
      <c r="BL913" s="141" t="n"/>
      <c r="BM913" s="205" t="n"/>
      <c r="BN913" s="205" t="n"/>
      <c r="BO913" s="206" t="n"/>
      <c r="BP913" s="144" t="n"/>
      <c r="BQ913" s="141" t="n"/>
      <c r="BR913" s="207" t="n"/>
      <c r="BS913" s="207" t="n"/>
      <c r="BT913" s="207" t="n"/>
      <c r="BU913" s="207" t="n"/>
      <c r="BV913" s="208" t="n"/>
      <c r="BW913" s="207" t="n"/>
      <c r="BX913" s="207" t="n"/>
      <c r="BY913" s="204" t="n"/>
      <c r="BZ913" s="148" t="n"/>
      <c r="CA913" s="204" t="n"/>
      <c r="CB913" s="208" t="n"/>
      <c r="CC913" s="139" t="n"/>
      <c r="CD913" s="204" t="n"/>
      <c r="CE913" s="204" t="n"/>
      <c r="CF913" s="207" t="n"/>
      <c r="CG913" s="208" t="n"/>
      <c r="CH913" s="207" t="n"/>
      <c r="CI913" s="208" t="n"/>
      <c r="CJ913" s="204" t="n"/>
      <c r="CK913" s="208" t="n"/>
      <c r="CL913" s="208" t="n"/>
      <c r="CM913" s="208" t="n"/>
      <c r="CN913" s="78" t="n"/>
      <c r="CO913" s="209" t="n"/>
      <c r="CP913" s="204" t="n"/>
      <c r="CQ913" s="204" t="n"/>
      <c r="CR913" s="204" t="n"/>
      <c r="CS913" s="204" t="n"/>
      <c r="CT913" s="204" t="n"/>
      <c r="CU913" s="204" t="n"/>
      <c r="CV913" s="204" t="n"/>
      <c r="CW913" s="204" t="n"/>
    </row>
    <row r="914">
      <c r="BF914" s="78" t="n"/>
      <c r="BG914" s="78" t="n"/>
      <c r="BH914" s="78" t="n"/>
      <c r="BI914" s="78" t="n"/>
      <c r="BJ914" s="139" t="n"/>
      <c r="BK914" s="204" t="n"/>
      <c r="BL914" s="141" t="n"/>
      <c r="BM914" s="205" t="n"/>
      <c r="BN914" s="205" t="n"/>
      <c r="BO914" s="206" t="n"/>
      <c r="BP914" s="144" t="n"/>
      <c r="BQ914" s="141" t="n"/>
      <c r="BR914" s="207" t="n"/>
      <c r="BS914" s="207" t="n"/>
      <c r="BT914" s="207" t="n"/>
      <c r="BU914" s="207" t="n"/>
      <c r="BV914" s="208" t="n"/>
      <c r="BW914" s="207" t="n"/>
      <c r="BX914" s="207" t="n"/>
      <c r="BY914" s="204" t="n"/>
      <c r="BZ914" s="148" t="n"/>
      <c r="CA914" s="204" t="n"/>
      <c r="CB914" s="208" t="n"/>
      <c r="CC914" s="139" t="n"/>
      <c r="CD914" s="204" t="n"/>
      <c r="CE914" s="204" t="n"/>
      <c r="CF914" s="207" t="n"/>
      <c r="CG914" s="208" t="n"/>
      <c r="CH914" s="207" t="n"/>
      <c r="CI914" s="208" t="n"/>
      <c r="CJ914" s="204" t="n"/>
      <c r="CK914" s="208" t="n"/>
      <c r="CL914" s="208" t="n"/>
      <c r="CM914" s="208" t="n"/>
      <c r="CN914" s="78" t="n"/>
      <c r="CO914" s="209" t="n"/>
      <c r="CP914" s="204" t="n"/>
      <c r="CQ914" s="204" t="n"/>
      <c r="CR914" s="204" t="n"/>
      <c r="CS914" s="204" t="n"/>
      <c r="CT914" s="204" t="n"/>
      <c r="CU914" s="204" t="n"/>
      <c r="CV914" s="204" t="n"/>
      <c r="CW914" s="204" t="n"/>
    </row>
    <row r="915">
      <c r="BF915" s="78" t="n"/>
      <c r="BG915" s="78" t="n"/>
      <c r="BH915" s="78" t="n"/>
      <c r="BI915" s="78" t="n"/>
      <c r="BJ915" s="139" t="n"/>
      <c r="BK915" s="204" t="n"/>
      <c r="BL915" s="141" t="n"/>
      <c r="BM915" s="205" t="n"/>
      <c r="BN915" s="205" t="n"/>
      <c r="BO915" s="206" t="n"/>
      <c r="BP915" s="144" t="n"/>
      <c r="BQ915" s="141" t="n"/>
      <c r="BR915" s="207" t="n"/>
      <c r="BS915" s="207" t="n"/>
      <c r="BT915" s="207" t="n"/>
      <c r="BU915" s="207" t="n"/>
      <c r="BV915" s="208" t="n"/>
      <c r="BW915" s="207" t="n"/>
      <c r="BX915" s="207" t="n"/>
      <c r="BY915" s="204" t="n"/>
      <c r="BZ915" s="148" t="n"/>
      <c r="CA915" s="204" t="n"/>
      <c r="CB915" s="208" t="n"/>
      <c r="CC915" s="139" t="n"/>
      <c r="CD915" s="204" t="n"/>
      <c r="CE915" s="204" t="n"/>
      <c r="CF915" s="207" t="n"/>
      <c r="CG915" s="208" t="n"/>
      <c r="CH915" s="207" t="n"/>
      <c r="CI915" s="208" t="n"/>
      <c r="CJ915" s="204" t="n"/>
      <c r="CK915" s="208" t="n"/>
      <c r="CL915" s="208" t="n"/>
      <c r="CM915" s="208" t="n"/>
      <c r="CN915" s="78" t="n"/>
      <c r="CO915" s="209" t="n"/>
      <c r="CP915" s="204" t="n"/>
      <c r="CQ915" s="204" t="n"/>
      <c r="CR915" s="204" t="n"/>
      <c r="CS915" s="204" t="n"/>
      <c r="CT915" s="204" t="n"/>
      <c r="CU915" s="204" t="n"/>
      <c r="CV915" s="204" t="n"/>
      <c r="CW915" s="204" t="n"/>
    </row>
    <row r="916">
      <c r="BF916" s="78" t="n"/>
      <c r="BG916" s="78" t="n"/>
      <c r="BH916" s="78" t="n"/>
      <c r="BI916" s="78" t="n"/>
      <c r="BJ916" s="139" t="n"/>
      <c r="BK916" s="204" t="n"/>
      <c r="BL916" s="141" t="n"/>
      <c r="BM916" s="205" t="n"/>
      <c r="BN916" s="205" t="n"/>
      <c r="BO916" s="206" t="n"/>
      <c r="BP916" s="144" t="n"/>
      <c r="BQ916" s="141" t="n"/>
      <c r="BR916" s="207" t="n"/>
      <c r="BS916" s="207" t="n"/>
      <c r="BT916" s="207" t="n"/>
      <c r="BU916" s="207" t="n"/>
      <c r="BV916" s="208" t="n"/>
      <c r="BW916" s="207" t="n"/>
      <c r="BX916" s="207" t="n"/>
      <c r="BY916" s="204" t="n"/>
      <c r="BZ916" s="148" t="n"/>
      <c r="CA916" s="204" t="n"/>
      <c r="CB916" s="208" t="n"/>
      <c r="CC916" s="139" t="n"/>
      <c r="CD916" s="204" t="n"/>
      <c r="CE916" s="204" t="n"/>
      <c r="CF916" s="207" t="n"/>
      <c r="CG916" s="208" t="n"/>
      <c r="CH916" s="207" t="n"/>
      <c r="CI916" s="208" t="n"/>
      <c r="CJ916" s="204" t="n"/>
      <c r="CK916" s="208" t="n"/>
      <c r="CL916" s="208" t="n"/>
      <c r="CM916" s="208" t="n"/>
      <c r="CN916" s="78" t="n"/>
      <c r="CO916" s="209" t="n"/>
      <c r="CP916" s="204" t="n"/>
      <c r="CQ916" s="204" t="n"/>
      <c r="CR916" s="204" t="n"/>
      <c r="CS916" s="204" t="n"/>
      <c r="CT916" s="204" t="n"/>
      <c r="CU916" s="204" t="n"/>
      <c r="CV916" s="204" t="n"/>
      <c r="CW916" s="204" t="n"/>
    </row>
    <row r="917">
      <c r="BF917" s="78" t="n"/>
      <c r="BG917" s="78" t="n"/>
      <c r="BH917" s="78" t="n"/>
      <c r="BI917" s="78" t="n"/>
      <c r="BJ917" s="139" t="n"/>
      <c r="BK917" s="204" t="n"/>
      <c r="BL917" s="141" t="n"/>
      <c r="BM917" s="205" t="n"/>
      <c r="BN917" s="205" t="n"/>
      <c r="BO917" s="206" t="n"/>
      <c r="BP917" s="144" t="n"/>
      <c r="BQ917" s="141" t="n"/>
      <c r="BR917" s="207" t="n"/>
      <c r="BS917" s="207" t="n"/>
      <c r="BT917" s="207" t="n"/>
      <c r="BU917" s="207" t="n"/>
      <c r="BV917" s="208" t="n"/>
      <c r="BW917" s="207" t="n"/>
      <c r="BX917" s="207" t="n"/>
      <c r="BY917" s="204" t="n"/>
      <c r="BZ917" s="148" t="n"/>
      <c r="CA917" s="204" t="n"/>
      <c r="CB917" s="208" t="n"/>
      <c r="CC917" s="139" t="n"/>
      <c r="CD917" s="204" t="n"/>
      <c r="CE917" s="204" t="n"/>
      <c r="CF917" s="207" t="n"/>
      <c r="CG917" s="208" t="n"/>
      <c r="CH917" s="207" t="n"/>
      <c r="CI917" s="208" t="n"/>
      <c r="CJ917" s="204" t="n"/>
      <c r="CK917" s="208" t="n"/>
      <c r="CL917" s="208" t="n"/>
      <c r="CM917" s="208" t="n"/>
      <c r="CN917" s="78" t="n"/>
      <c r="CO917" s="209" t="n"/>
      <c r="CP917" s="204" t="n"/>
      <c r="CQ917" s="204" t="n"/>
      <c r="CR917" s="204" t="n"/>
      <c r="CS917" s="204" t="n"/>
      <c r="CT917" s="204" t="n"/>
      <c r="CU917" s="204" t="n"/>
      <c r="CV917" s="204" t="n"/>
      <c r="CW917" s="204" t="n"/>
    </row>
    <row r="918">
      <c r="BF918" s="78" t="n"/>
      <c r="BG918" s="78" t="n"/>
      <c r="BH918" s="78" t="n"/>
      <c r="BI918" s="78" t="n"/>
      <c r="BJ918" s="139" t="n"/>
      <c r="BK918" s="204" t="n"/>
      <c r="BL918" s="141" t="n"/>
      <c r="BM918" s="205" t="n"/>
      <c r="BN918" s="205" t="n"/>
      <c r="BO918" s="206" t="n"/>
      <c r="BP918" s="144" t="n"/>
      <c r="BQ918" s="141" t="n"/>
      <c r="BR918" s="207" t="n"/>
      <c r="BS918" s="207" t="n"/>
      <c r="BT918" s="207" t="n"/>
      <c r="BU918" s="207" t="n"/>
      <c r="BV918" s="208" t="n"/>
      <c r="BW918" s="207" t="n"/>
      <c r="BX918" s="207" t="n"/>
      <c r="BY918" s="204" t="n"/>
      <c r="BZ918" s="148" t="n"/>
      <c r="CA918" s="204" t="n"/>
      <c r="CB918" s="208" t="n"/>
      <c r="CC918" s="139" t="n"/>
      <c r="CD918" s="204" t="n"/>
      <c r="CE918" s="204" t="n"/>
      <c r="CF918" s="207" t="n"/>
      <c r="CG918" s="208" t="n"/>
      <c r="CH918" s="207" t="n"/>
      <c r="CI918" s="208" t="n"/>
      <c r="CJ918" s="204" t="n"/>
      <c r="CK918" s="208" t="n"/>
      <c r="CL918" s="208" t="n"/>
      <c r="CM918" s="208" t="n"/>
      <c r="CN918" s="78" t="n"/>
      <c r="CO918" s="209" t="n"/>
      <c r="CP918" s="204" t="n"/>
      <c r="CQ918" s="204" t="n"/>
      <c r="CR918" s="204" t="n"/>
      <c r="CS918" s="204" t="n"/>
      <c r="CT918" s="204" t="n"/>
      <c r="CU918" s="204" t="n"/>
      <c r="CV918" s="204" t="n"/>
      <c r="CW918" s="204" t="n"/>
    </row>
    <row r="919">
      <c r="BF919" s="78" t="n"/>
      <c r="BG919" s="78" t="n"/>
      <c r="BH919" s="78" t="n"/>
      <c r="BI919" s="78" t="n"/>
      <c r="BJ919" s="139" t="n"/>
      <c r="BK919" s="204" t="n"/>
      <c r="BL919" s="141" t="n"/>
      <c r="BM919" s="205" t="n"/>
      <c r="BN919" s="205" t="n"/>
      <c r="BO919" s="206" t="n"/>
      <c r="BP919" s="144" t="n"/>
      <c r="BQ919" s="141" t="n"/>
      <c r="BR919" s="207" t="n"/>
      <c r="BS919" s="207" t="n"/>
      <c r="BT919" s="207" t="n"/>
      <c r="BU919" s="207" t="n"/>
      <c r="BV919" s="208" t="n"/>
      <c r="BW919" s="207" t="n"/>
      <c r="BX919" s="207" t="n"/>
      <c r="BY919" s="204" t="n"/>
      <c r="BZ919" s="148" t="n"/>
      <c r="CA919" s="204" t="n"/>
      <c r="CB919" s="208" t="n"/>
      <c r="CC919" s="139" t="n"/>
      <c r="CD919" s="204" t="n"/>
      <c r="CE919" s="204" t="n"/>
      <c r="CF919" s="207" t="n"/>
      <c r="CG919" s="208" t="n"/>
      <c r="CH919" s="207" t="n"/>
      <c r="CI919" s="208" t="n"/>
      <c r="CJ919" s="204" t="n"/>
      <c r="CK919" s="208" t="n"/>
      <c r="CL919" s="208" t="n"/>
      <c r="CM919" s="208" t="n"/>
      <c r="CN919" s="78" t="n"/>
      <c r="CO919" s="209" t="n"/>
      <c r="CP919" s="204" t="n"/>
      <c r="CQ919" s="204" t="n"/>
      <c r="CR919" s="204" t="n"/>
      <c r="CS919" s="204" t="n"/>
      <c r="CT919" s="204" t="n"/>
      <c r="CU919" s="204" t="n"/>
      <c r="CV919" s="204" t="n"/>
      <c r="CW919" s="204" t="n"/>
    </row>
    <row r="920">
      <c r="BF920" s="78" t="n"/>
      <c r="BG920" s="78" t="n"/>
      <c r="BH920" s="78" t="n"/>
      <c r="BI920" s="78" t="n"/>
      <c r="BJ920" s="139" t="n"/>
      <c r="BK920" s="204" t="n"/>
      <c r="BL920" s="141" t="n"/>
      <c r="BM920" s="205" t="n"/>
      <c r="BN920" s="205" t="n"/>
      <c r="BO920" s="206" t="n"/>
      <c r="BP920" s="144" t="n"/>
      <c r="BQ920" s="141" t="n"/>
      <c r="BR920" s="207" t="n"/>
      <c r="BS920" s="207" t="n"/>
      <c r="BT920" s="207" t="n"/>
      <c r="BU920" s="207" t="n"/>
      <c r="BV920" s="208" t="n"/>
      <c r="BW920" s="207" t="n"/>
      <c r="BX920" s="207" t="n"/>
      <c r="BY920" s="204" t="n"/>
      <c r="BZ920" s="148" t="n"/>
      <c r="CA920" s="204" t="n"/>
      <c r="CB920" s="208" t="n"/>
      <c r="CC920" s="139" t="n"/>
      <c r="CD920" s="204" t="n"/>
      <c r="CE920" s="204" t="n"/>
      <c r="CF920" s="207" t="n"/>
      <c r="CG920" s="208" t="n"/>
      <c r="CH920" s="207" t="n"/>
      <c r="CI920" s="208" t="n"/>
      <c r="CJ920" s="204" t="n"/>
      <c r="CK920" s="208" t="n"/>
      <c r="CL920" s="208" t="n"/>
      <c r="CM920" s="208" t="n"/>
      <c r="CN920" s="78" t="n"/>
      <c r="CO920" s="209" t="n"/>
      <c r="CP920" s="204" t="n"/>
      <c r="CQ920" s="204" t="n"/>
      <c r="CR920" s="204" t="n"/>
      <c r="CS920" s="204" t="n"/>
      <c r="CT920" s="204" t="n"/>
      <c r="CU920" s="204" t="n"/>
      <c r="CV920" s="204" t="n"/>
      <c r="CW920" s="204" t="n"/>
    </row>
    <row r="921">
      <c r="BF921" s="78" t="n"/>
      <c r="BG921" s="78" t="n"/>
      <c r="BH921" s="78" t="n"/>
      <c r="BI921" s="78" t="n"/>
      <c r="BJ921" s="139" t="n"/>
      <c r="BK921" s="204" t="n"/>
      <c r="BL921" s="141" t="n"/>
      <c r="BM921" s="205" t="n"/>
      <c r="BN921" s="205" t="n"/>
      <c r="BO921" s="206" t="n"/>
      <c r="BP921" s="144" t="n"/>
      <c r="BQ921" s="141" t="n"/>
      <c r="BR921" s="207" t="n"/>
      <c r="BS921" s="207" t="n"/>
      <c r="BT921" s="207" t="n"/>
      <c r="BU921" s="207" t="n"/>
      <c r="BV921" s="208" t="n"/>
      <c r="BW921" s="207" t="n"/>
      <c r="BX921" s="207" t="n"/>
      <c r="BY921" s="204" t="n"/>
      <c r="BZ921" s="148" t="n"/>
      <c r="CA921" s="204" t="n"/>
      <c r="CB921" s="208" t="n"/>
      <c r="CC921" s="139" t="n"/>
      <c r="CD921" s="204" t="n"/>
      <c r="CE921" s="204" t="n"/>
      <c r="CF921" s="207" t="n"/>
      <c r="CG921" s="208" t="n"/>
      <c r="CH921" s="207" t="n"/>
      <c r="CI921" s="208" t="n"/>
      <c r="CJ921" s="204" t="n"/>
      <c r="CK921" s="208" t="n"/>
      <c r="CL921" s="208" t="n"/>
      <c r="CM921" s="208" t="n"/>
      <c r="CN921" s="78" t="n"/>
      <c r="CO921" s="209" t="n"/>
      <c r="CP921" s="204" t="n"/>
      <c r="CQ921" s="204" t="n"/>
      <c r="CR921" s="204" t="n"/>
      <c r="CS921" s="204" t="n"/>
      <c r="CT921" s="204" t="n"/>
      <c r="CU921" s="204" t="n"/>
      <c r="CV921" s="204" t="n"/>
      <c r="CW921" s="204" t="n"/>
    </row>
    <row r="922">
      <c r="BF922" s="78" t="n"/>
      <c r="BG922" s="78" t="n"/>
      <c r="BH922" s="78" t="n"/>
      <c r="BI922" s="78" t="n"/>
      <c r="BJ922" s="139" t="n"/>
      <c r="BK922" s="204" t="n"/>
      <c r="BL922" s="141" t="n"/>
      <c r="BM922" s="205" t="n"/>
      <c r="BN922" s="205" t="n"/>
      <c r="BO922" s="206" t="n"/>
      <c r="BP922" s="144" t="n"/>
      <c r="BQ922" s="141" t="n"/>
      <c r="BR922" s="207" t="n"/>
      <c r="BS922" s="207" t="n"/>
      <c r="BT922" s="207" t="n"/>
      <c r="BU922" s="207" t="n"/>
      <c r="BV922" s="208" t="n"/>
      <c r="BW922" s="207" t="n"/>
      <c r="BX922" s="207" t="n"/>
      <c r="BY922" s="204" t="n"/>
      <c r="BZ922" s="148" t="n"/>
      <c r="CA922" s="204" t="n"/>
      <c r="CB922" s="208" t="n"/>
      <c r="CC922" s="139" t="n"/>
      <c r="CD922" s="204" t="n"/>
      <c r="CE922" s="204" t="n"/>
      <c r="CF922" s="207" t="n"/>
      <c r="CG922" s="208" t="n"/>
      <c r="CH922" s="207" t="n"/>
      <c r="CI922" s="208" t="n"/>
      <c r="CJ922" s="204" t="n"/>
      <c r="CK922" s="208" t="n"/>
      <c r="CL922" s="208" t="n"/>
      <c r="CM922" s="208" t="n"/>
      <c r="CN922" s="78" t="n"/>
      <c r="CO922" s="209" t="n"/>
      <c r="CP922" s="204" t="n"/>
      <c r="CQ922" s="204" t="n"/>
      <c r="CR922" s="204" t="n"/>
      <c r="CS922" s="204" t="n"/>
      <c r="CT922" s="204" t="n"/>
      <c r="CU922" s="204" t="n"/>
      <c r="CV922" s="204" t="n"/>
      <c r="CW922" s="204" t="n"/>
    </row>
    <row r="923">
      <c r="BF923" s="78" t="n"/>
      <c r="BG923" s="78" t="n"/>
      <c r="BH923" s="78" t="n"/>
      <c r="BI923" s="78" t="n"/>
      <c r="BJ923" s="139" t="n"/>
      <c r="BK923" s="204" t="n"/>
      <c r="BL923" s="141" t="n"/>
      <c r="BM923" s="205" t="n"/>
      <c r="BN923" s="205" t="n"/>
      <c r="BO923" s="206" t="n"/>
      <c r="BP923" s="144" t="n"/>
      <c r="BQ923" s="141" t="n"/>
      <c r="BR923" s="207" t="n"/>
      <c r="BS923" s="207" t="n"/>
      <c r="BT923" s="207" t="n"/>
      <c r="BU923" s="207" t="n"/>
      <c r="BV923" s="208" t="n"/>
      <c r="BW923" s="207" t="n"/>
      <c r="BX923" s="207" t="n"/>
      <c r="BY923" s="204" t="n"/>
      <c r="BZ923" s="148" t="n"/>
      <c r="CA923" s="204" t="n"/>
      <c r="CB923" s="208" t="n"/>
      <c r="CC923" s="139" t="n"/>
      <c r="CD923" s="204" t="n"/>
      <c r="CE923" s="204" t="n"/>
      <c r="CF923" s="207" t="n"/>
      <c r="CG923" s="208" t="n"/>
      <c r="CH923" s="207" t="n"/>
      <c r="CI923" s="208" t="n"/>
      <c r="CJ923" s="204" t="n"/>
      <c r="CK923" s="208" t="n"/>
      <c r="CL923" s="208" t="n"/>
      <c r="CM923" s="208" t="n"/>
      <c r="CN923" s="78" t="n"/>
      <c r="CO923" s="209" t="n"/>
      <c r="CP923" s="204" t="n"/>
      <c r="CQ923" s="204" t="n"/>
      <c r="CR923" s="204" t="n"/>
      <c r="CS923" s="204" t="n"/>
      <c r="CT923" s="204" t="n"/>
      <c r="CU923" s="204" t="n"/>
      <c r="CV923" s="204" t="n"/>
      <c r="CW923" s="204" t="n"/>
    </row>
    <row r="924">
      <c r="BF924" s="78" t="n"/>
      <c r="BG924" s="78" t="n"/>
      <c r="BH924" s="78" t="n"/>
      <c r="BI924" s="78" t="n"/>
      <c r="BJ924" s="139" t="n"/>
      <c r="BK924" s="204" t="n"/>
      <c r="BL924" s="141" t="n"/>
      <c r="BM924" s="205" t="n"/>
      <c r="BN924" s="205" t="n"/>
      <c r="BO924" s="206" t="n"/>
      <c r="BP924" s="144" t="n"/>
      <c r="BQ924" s="141" t="n"/>
      <c r="BR924" s="207" t="n"/>
      <c r="BS924" s="207" t="n"/>
      <c r="BT924" s="207" t="n"/>
      <c r="BU924" s="207" t="n"/>
      <c r="BV924" s="208" t="n"/>
      <c r="BW924" s="207" t="n"/>
      <c r="BX924" s="207" t="n"/>
      <c r="BY924" s="204" t="n"/>
      <c r="BZ924" s="148" t="n"/>
      <c r="CA924" s="204" t="n"/>
      <c r="CB924" s="208" t="n"/>
      <c r="CC924" s="139" t="n"/>
      <c r="CD924" s="204" t="n"/>
      <c r="CE924" s="204" t="n"/>
      <c r="CF924" s="207" t="n"/>
      <c r="CG924" s="208" t="n"/>
      <c r="CH924" s="207" t="n"/>
      <c r="CI924" s="208" t="n"/>
      <c r="CJ924" s="204" t="n"/>
      <c r="CK924" s="208" t="n"/>
      <c r="CL924" s="208" t="n"/>
      <c r="CM924" s="208" t="n"/>
      <c r="CN924" s="78" t="n"/>
      <c r="CO924" s="209" t="n"/>
      <c r="CP924" s="204" t="n"/>
      <c r="CQ924" s="204" t="n"/>
      <c r="CR924" s="204" t="n"/>
      <c r="CS924" s="204" t="n"/>
      <c r="CT924" s="204" t="n"/>
      <c r="CU924" s="204" t="n"/>
      <c r="CV924" s="204" t="n"/>
      <c r="CW924" s="204" t="n"/>
    </row>
    <row r="925">
      <c r="BF925" s="78" t="n"/>
      <c r="BG925" s="78" t="n"/>
      <c r="BH925" s="78" t="n"/>
      <c r="BI925" s="78" t="n"/>
      <c r="BJ925" s="139" t="n"/>
      <c r="BK925" s="204" t="n"/>
      <c r="BL925" s="141" t="n"/>
      <c r="BM925" s="205" t="n"/>
      <c r="BN925" s="205" t="n"/>
      <c r="BO925" s="206" t="n"/>
      <c r="BP925" s="144" t="n"/>
      <c r="BQ925" s="141" t="n"/>
      <c r="BR925" s="207" t="n"/>
      <c r="BS925" s="207" t="n"/>
      <c r="BT925" s="207" t="n"/>
      <c r="BU925" s="207" t="n"/>
      <c r="BV925" s="208" t="n"/>
      <c r="BW925" s="207" t="n"/>
      <c r="BX925" s="207" t="n"/>
      <c r="BY925" s="204" t="n"/>
      <c r="BZ925" s="148" t="n"/>
      <c r="CA925" s="204" t="n"/>
      <c r="CB925" s="208" t="n"/>
      <c r="CC925" s="139" t="n"/>
      <c r="CD925" s="204" t="n"/>
      <c r="CE925" s="204" t="n"/>
      <c r="CF925" s="207" t="n"/>
      <c r="CG925" s="208" t="n"/>
      <c r="CH925" s="207" t="n"/>
      <c r="CI925" s="208" t="n"/>
      <c r="CJ925" s="204" t="n"/>
      <c r="CK925" s="208" t="n"/>
      <c r="CL925" s="208" t="n"/>
      <c r="CM925" s="208" t="n"/>
      <c r="CN925" s="78" t="n"/>
      <c r="CO925" s="209" t="n"/>
      <c r="CP925" s="204" t="n"/>
      <c r="CQ925" s="204" t="n"/>
      <c r="CR925" s="204" t="n"/>
      <c r="CS925" s="204" t="n"/>
      <c r="CT925" s="204" t="n"/>
      <c r="CU925" s="204" t="n"/>
      <c r="CV925" s="204" t="n"/>
      <c r="CW925" s="204" t="n"/>
    </row>
    <row r="926">
      <c r="BF926" s="78" t="n"/>
      <c r="BG926" s="78" t="n"/>
      <c r="BH926" s="78" t="n"/>
      <c r="BI926" s="78" t="n"/>
      <c r="BJ926" s="139" t="n"/>
      <c r="BK926" s="204" t="n"/>
      <c r="BL926" s="141" t="n"/>
      <c r="BM926" s="205" t="n"/>
      <c r="BN926" s="205" t="n"/>
      <c r="BO926" s="206" t="n"/>
      <c r="BP926" s="144" t="n"/>
      <c r="BQ926" s="141" t="n"/>
      <c r="BR926" s="207" t="n"/>
      <c r="BS926" s="207" t="n"/>
      <c r="BT926" s="207" t="n"/>
      <c r="BU926" s="207" t="n"/>
      <c r="BV926" s="208" t="n"/>
      <c r="BW926" s="207" t="n"/>
      <c r="BX926" s="207" t="n"/>
      <c r="BY926" s="204" t="n"/>
      <c r="BZ926" s="148" t="n"/>
      <c r="CA926" s="204" t="n"/>
      <c r="CB926" s="208" t="n"/>
      <c r="CC926" s="139" t="n"/>
      <c r="CD926" s="204" t="n"/>
      <c r="CE926" s="204" t="n"/>
      <c r="CF926" s="207" t="n"/>
      <c r="CG926" s="208" t="n"/>
      <c r="CH926" s="207" t="n"/>
      <c r="CI926" s="208" t="n"/>
      <c r="CJ926" s="204" t="n"/>
      <c r="CK926" s="208" t="n"/>
      <c r="CL926" s="208" t="n"/>
      <c r="CM926" s="208" t="n"/>
      <c r="CN926" s="78" t="n"/>
      <c r="CO926" s="209" t="n"/>
      <c r="CP926" s="204" t="n"/>
      <c r="CQ926" s="204" t="n"/>
      <c r="CR926" s="204" t="n"/>
      <c r="CS926" s="204" t="n"/>
      <c r="CT926" s="204" t="n"/>
      <c r="CU926" s="204" t="n"/>
      <c r="CV926" s="204" t="n"/>
      <c r="CW926" s="204" t="n"/>
    </row>
    <row r="927">
      <c r="BF927" s="78" t="n"/>
      <c r="BG927" s="78" t="n"/>
      <c r="BH927" s="78" t="n"/>
      <c r="BI927" s="78" t="n"/>
      <c r="BJ927" s="139" t="n"/>
      <c r="BK927" s="204" t="n"/>
      <c r="BL927" s="141" t="n"/>
      <c r="BM927" s="205" t="n"/>
      <c r="BN927" s="205" t="n"/>
      <c r="BO927" s="206" t="n"/>
      <c r="BP927" s="144" t="n"/>
      <c r="BQ927" s="141" t="n"/>
      <c r="BR927" s="207" t="n"/>
      <c r="BS927" s="207" t="n"/>
      <c r="BT927" s="207" t="n"/>
      <c r="BU927" s="207" t="n"/>
      <c r="BV927" s="208" t="n"/>
      <c r="BW927" s="207" t="n"/>
      <c r="BX927" s="207" t="n"/>
      <c r="BY927" s="204" t="n"/>
      <c r="BZ927" s="148" t="n"/>
      <c r="CA927" s="204" t="n"/>
      <c r="CB927" s="208" t="n"/>
      <c r="CC927" s="139" t="n"/>
      <c r="CD927" s="204" t="n"/>
      <c r="CE927" s="204" t="n"/>
      <c r="CF927" s="207" t="n"/>
      <c r="CG927" s="208" t="n"/>
      <c r="CH927" s="207" t="n"/>
      <c r="CI927" s="208" t="n"/>
      <c r="CJ927" s="204" t="n"/>
      <c r="CK927" s="208" t="n"/>
      <c r="CL927" s="208" t="n"/>
      <c r="CM927" s="208" t="n"/>
      <c r="CN927" s="78" t="n"/>
      <c r="CO927" s="209" t="n"/>
      <c r="CP927" s="204" t="n"/>
      <c r="CQ927" s="204" t="n"/>
      <c r="CR927" s="204" t="n"/>
      <c r="CS927" s="204" t="n"/>
      <c r="CT927" s="204" t="n"/>
      <c r="CU927" s="204" t="n"/>
      <c r="CV927" s="204" t="n"/>
      <c r="CW927" s="204" t="n"/>
    </row>
    <row r="928">
      <c r="BF928" s="78" t="n"/>
      <c r="BG928" s="78" t="n"/>
      <c r="BH928" s="78" t="n"/>
      <c r="BI928" s="78" t="n"/>
      <c r="BJ928" s="139" t="n"/>
      <c r="BK928" s="204" t="n"/>
      <c r="BL928" s="141" t="n"/>
      <c r="BM928" s="205" t="n"/>
      <c r="BN928" s="205" t="n"/>
      <c r="BO928" s="206" t="n"/>
      <c r="BP928" s="144" t="n"/>
      <c r="BQ928" s="141" t="n"/>
      <c r="BR928" s="207" t="n"/>
      <c r="BS928" s="207" t="n"/>
      <c r="BT928" s="207" t="n"/>
      <c r="BU928" s="207" t="n"/>
      <c r="BV928" s="208" t="n"/>
      <c r="BW928" s="207" t="n"/>
      <c r="BX928" s="207" t="n"/>
      <c r="BY928" s="204" t="n"/>
      <c r="BZ928" s="148" t="n"/>
      <c r="CA928" s="204" t="n"/>
      <c r="CB928" s="208" t="n"/>
      <c r="CC928" s="139" t="n"/>
      <c r="CD928" s="204" t="n"/>
      <c r="CE928" s="204" t="n"/>
      <c r="CF928" s="207" t="n"/>
      <c r="CG928" s="208" t="n"/>
      <c r="CH928" s="207" t="n"/>
      <c r="CI928" s="208" t="n"/>
      <c r="CJ928" s="204" t="n"/>
      <c r="CK928" s="208" t="n"/>
      <c r="CL928" s="208" t="n"/>
      <c r="CM928" s="208" t="n"/>
      <c r="CN928" s="78" t="n"/>
      <c r="CO928" s="209" t="n"/>
      <c r="CP928" s="204" t="n"/>
      <c r="CQ928" s="204" t="n"/>
      <c r="CR928" s="204" t="n"/>
      <c r="CS928" s="204" t="n"/>
      <c r="CT928" s="204" t="n"/>
      <c r="CU928" s="204" t="n"/>
      <c r="CV928" s="204" t="n"/>
      <c r="CW928" s="204" t="n"/>
    </row>
    <row r="929">
      <c r="BF929" s="78" t="n"/>
      <c r="BG929" s="78" t="n"/>
      <c r="BH929" s="78" t="n"/>
      <c r="BI929" s="78" t="n"/>
      <c r="BJ929" s="139" t="n"/>
      <c r="BK929" s="204" t="n"/>
      <c r="BL929" s="141" t="n"/>
      <c r="BM929" s="205" t="n"/>
      <c r="BN929" s="205" t="n"/>
      <c r="BO929" s="206" t="n"/>
      <c r="BP929" s="144" t="n"/>
      <c r="BQ929" s="141" t="n"/>
      <c r="BR929" s="207" t="n"/>
      <c r="BS929" s="207" t="n"/>
      <c r="BT929" s="207" t="n"/>
      <c r="BU929" s="207" t="n"/>
      <c r="BV929" s="208" t="n"/>
      <c r="BW929" s="207" t="n"/>
      <c r="BX929" s="207" t="n"/>
      <c r="BY929" s="204" t="n"/>
      <c r="BZ929" s="148" t="n"/>
      <c r="CA929" s="204" t="n"/>
      <c r="CB929" s="208" t="n"/>
      <c r="CC929" s="139" t="n"/>
      <c r="CD929" s="204" t="n"/>
      <c r="CE929" s="204" t="n"/>
      <c r="CF929" s="207" t="n"/>
      <c r="CG929" s="208" t="n"/>
      <c r="CH929" s="207" t="n"/>
      <c r="CI929" s="208" t="n"/>
      <c r="CJ929" s="204" t="n"/>
      <c r="CK929" s="208" t="n"/>
      <c r="CL929" s="208" t="n"/>
      <c r="CM929" s="208" t="n"/>
      <c r="CN929" s="78" t="n"/>
      <c r="CO929" s="209" t="n"/>
      <c r="CP929" s="204" t="n"/>
      <c r="CQ929" s="204" t="n"/>
      <c r="CR929" s="204" t="n"/>
      <c r="CS929" s="204" t="n"/>
      <c r="CT929" s="204" t="n"/>
      <c r="CU929" s="204" t="n"/>
      <c r="CV929" s="204" t="n"/>
      <c r="CW929" s="204" t="n"/>
    </row>
    <row r="930">
      <c r="BF930" s="78" t="n"/>
      <c r="BG930" s="78" t="n"/>
      <c r="BH930" s="78" t="n"/>
      <c r="BI930" s="78" t="n"/>
      <c r="BJ930" s="139" t="n"/>
      <c r="BK930" s="204" t="n"/>
      <c r="BL930" s="141" t="n"/>
      <c r="BM930" s="205" t="n"/>
      <c r="BN930" s="205" t="n"/>
      <c r="BO930" s="206" t="n"/>
      <c r="BP930" s="144" t="n"/>
      <c r="BQ930" s="141" t="n"/>
      <c r="BR930" s="207" t="n"/>
      <c r="BS930" s="207" t="n"/>
      <c r="BT930" s="207" t="n"/>
      <c r="BU930" s="207" t="n"/>
      <c r="BV930" s="208" t="n"/>
      <c r="BW930" s="207" t="n"/>
      <c r="BX930" s="207" t="n"/>
      <c r="BY930" s="204" t="n"/>
      <c r="BZ930" s="148" t="n"/>
      <c r="CA930" s="204" t="n"/>
      <c r="CB930" s="208" t="n"/>
      <c r="CC930" s="139" t="n"/>
      <c r="CD930" s="204" t="n"/>
      <c r="CE930" s="204" t="n"/>
      <c r="CF930" s="207" t="n"/>
      <c r="CG930" s="208" t="n"/>
      <c r="CH930" s="207" t="n"/>
      <c r="CI930" s="208" t="n"/>
      <c r="CJ930" s="204" t="n"/>
      <c r="CK930" s="208" t="n"/>
      <c r="CL930" s="208" t="n"/>
      <c r="CM930" s="208" t="n"/>
      <c r="CN930" s="78" t="n"/>
      <c r="CO930" s="209" t="n"/>
      <c r="CP930" s="204" t="n"/>
      <c r="CQ930" s="204" t="n"/>
      <c r="CR930" s="204" t="n"/>
      <c r="CS930" s="204" t="n"/>
      <c r="CT930" s="204" t="n"/>
      <c r="CU930" s="204" t="n"/>
      <c r="CV930" s="204" t="n"/>
      <c r="CW930" s="204" t="n"/>
    </row>
    <row r="931">
      <c r="BF931" s="78" t="n"/>
      <c r="BG931" s="78" t="n"/>
      <c r="BH931" s="78" t="n"/>
      <c r="BI931" s="78" t="n"/>
      <c r="BJ931" s="139" t="n"/>
      <c r="BK931" s="204" t="n"/>
      <c r="BL931" s="141" t="n"/>
      <c r="BM931" s="205" t="n"/>
      <c r="BN931" s="205" t="n"/>
      <c r="BO931" s="206" t="n"/>
      <c r="BP931" s="144" t="n"/>
      <c r="BQ931" s="141" t="n"/>
      <c r="BR931" s="207" t="n"/>
      <c r="BS931" s="207" t="n"/>
      <c r="BT931" s="207" t="n"/>
      <c r="BU931" s="207" t="n"/>
      <c r="BV931" s="208" t="n"/>
      <c r="BW931" s="207" t="n"/>
      <c r="BX931" s="207" t="n"/>
      <c r="BY931" s="204" t="n"/>
      <c r="BZ931" s="148" t="n"/>
      <c r="CA931" s="204" t="n"/>
      <c r="CB931" s="208" t="n"/>
      <c r="CC931" s="139" t="n"/>
      <c r="CD931" s="204" t="n"/>
      <c r="CE931" s="204" t="n"/>
      <c r="CF931" s="207" t="n"/>
      <c r="CG931" s="208" t="n"/>
      <c r="CH931" s="207" t="n"/>
      <c r="CI931" s="208" t="n"/>
      <c r="CJ931" s="204" t="n"/>
      <c r="CK931" s="208" t="n"/>
      <c r="CL931" s="208" t="n"/>
      <c r="CM931" s="208" t="n"/>
      <c r="CN931" s="78" t="n"/>
      <c r="CO931" s="209" t="n"/>
      <c r="CP931" s="204" t="n"/>
      <c r="CQ931" s="204" t="n"/>
      <c r="CR931" s="204" t="n"/>
      <c r="CS931" s="204" t="n"/>
      <c r="CT931" s="204" t="n"/>
      <c r="CU931" s="204" t="n"/>
      <c r="CV931" s="204" t="n"/>
      <c r="CW931" s="204" t="n"/>
    </row>
    <row r="932">
      <c r="BF932" s="78" t="n"/>
      <c r="BG932" s="78" t="n"/>
      <c r="BH932" s="78" t="n"/>
      <c r="BI932" s="78" t="n"/>
      <c r="BJ932" s="139" t="n"/>
      <c r="BK932" s="204" t="n"/>
      <c r="BL932" s="141" t="n"/>
      <c r="BM932" s="205" t="n"/>
      <c r="BN932" s="205" t="n"/>
      <c r="BO932" s="206" t="n"/>
      <c r="BP932" s="144" t="n"/>
      <c r="BQ932" s="141" t="n"/>
      <c r="BR932" s="207" t="n"/>
      <c r="BS932" s="207" t="n"/>
      <c r="BT932" s="207" t="n"/>
      <c r="BU932" s="207" t="n"/>
      <c r="BV932" s="208" t="n"/>
      <c r="BW932" s="207" t="n"/>
      <c r="BX932" s="207" t="n"/>
      <c r="BY932" s="204" t="n"/>
      <c r="BZ932" s="148" t="n"/>
      <c r="CA932" s="204" t="n"/>
      <c r="CB932" s="208" t="n"/>
      <c r="CC932" s="139" t="n"/>
      <c r="CD932" s="204" t="n"/>
      <c r="CE932" s="204" t="n"/>
      <c r="CF932" s="207" t="n"/>
      <c r="CG932" s="208" t="n"/>
      <c r="CH932" s="207" t="n"/>
      <c r="CI932" s="208" t="n"/>
      <c r="CJ932" s="204" t="n"/>
      <c r="CK932" s="208" t="n"/>
      <c r="CL932" s="208" t="n"/>
      <c r="CM932" s="208" t="n"/>
      <c r="CN932" s="78" t="n"/>
      <c r="CO932" s="209" t="n"/>
      <c r="CP932" s="204" t="n"/>
      <c r="CQ932" s="204" t="n"/>
      <c r="CR932" s="204" t="n"/>
      <c r="CS932" s="204" t="n"/>
      <c r="CT932" s="204" t="n"/>
      <c r="CU932" s="204" t="n"/>
      <c r="CV932" s="204" t="n"/>
      <c r="CW932" s="204" t="n"/>
    </row>
    <row r="933">
      <c r="AR933" s="151" t="n"/>
      <c r="BF933" s="78" t="n"/>
      <c r="BG933" s="78" t="n"/>
      <c r="BH933" s="78" t="n"/>
      <c r="BI933" s="78" t="n"/>
      <c r="BJ933" s="139" t="n"/>
      <c r="BK933" s="204" t="n"/>
      <c r="BL933" s="141" t="n"/>
      <c r="BM933" s="205" t="n"/>
      <c r="BN933" s="205" t="n"/>
      <c r="BO933" s="206" t="n"/>
      <c r="BP933" s="144" t="n"/>
      <c r="BQ933" s="141" t="n"/>
      <c r="BR933" s="207" t="n"/>
      <c r="BS933" s="207" t="n"/>
      <c r="BT933" s="207" t="n"/>
      <c r="BU933" s="207" t="n"/>
      <c r="BV933" s="208" t="n"/>
      <c r="BW933" s="207" t="n"/>
      <c r="BX933" s="207" t="n"/>
      <c r="BY933" s="204" t="n"/>
      <c r="BZ933" s="148" t="n"/>
      <c r="CA933" s="204" t="n"/>
      <c r="CB933" s="208" t="n"/>
      <c r="CC933" s="139" t="n"/>
      <c r="CD933" s="204" t="n"/>
      <c r="CE933" s="204" t="n"/>
      <c r="CF933" s="207" t="n"/>
      <c r="CG933" s="208" t="n"/>
      <c r="CH933" s="207" t="n"/>
      <c r="CI933" s="208" t="n"/>
      <c r="CJ933" s="204" t="n"/>
      <c r="CK933" s="208" t="n"/>
      <c r="CL933" s="208" t="n"/>
      <c r="CM933" s="208" t="n"/>
      <c r="CN933" s="78" t="n"/>
      <c r="CO933" s="209" t="n"/>
      <c r="CP933" s="204" t="n"/>
      <c r="CQ933" s="204" t="n"/>
      <c r="CR933" s="204" t="n"/>
      <c r="CS933" s="204" t="n"/>
      <c r="CT933" s="204" t="n"/>
      <c r="CU933" s="204" t="n"/>
      <c r="CV933" s="204" t="n"/>
      <c r="CW933" s="204" t="n"/>
    </row>
    <row r="934">
      <c r="AR934" s="151" t="n"/>
      <c r="BF934" s="78" t="n"/>
      <c r="BG934" s="78" t="n"/>
      <c r="BH934" s="78" t="n"/>
      <c r="BI934" s="78" t="n"/>
      <c r="BJ934" s="139" t="n"/>
      <c r="BK934" s="204" t="n"/>
      <c r="BL934" s="141" t="n"/>
      <c r="BM934" s="205" t="n"/>
      <c r="BN934" s="205" t="n"/>
      <c r="BO934" s="206" t="n"/>
      <c r="BP934" s="144" t="n"/>
      <c r="BQ934" s="141" t="n"/>
      <c r="BR934" s="207" t="n"/>
      <c r="BS934" s="207" t="n"/>
      <c r="BT934" s="207" t="n"/>
      <c r="BU934" s="207" t="n"/>
      <c r="BV934" s="208" t="n"/>
      <c r="BW934" s="207" t="n"/>
      <c r="BX934" s="207" t="n"/>
      <c r="BY934" s="204" t="n"/>
      <c r="BZ934" s="148" t="n"/>
      <c r="CA934" s="204" t="n"/>
      <c r="CB934" s="208" t="n"/>
      <c r="CC934" s="139" t="n"/>
      <c r="CD934" s="204" t="n"/>
      <c r="CE934" s="204" t="n"/>
      <c r="CF934" s="207" t="n"/>
      <c r="CG934" s="208" t="n"/>
      <c r="CH934" s="207" t="n"/>
      <c r="CI934" s="208" t="n"/>
      <c r="CJ934" s="204" t="n"/>
      <c r="CK934" s="208" t="n"/>
      <c r="CL934" s="208" t="n"/>
      <c r="CM934" s="208" t="n"/>
      <c r="CN934" s="78" t="n"/>
      <c r="CO934" s="209" t="n"/>
      <c r="CP934" s="204" t="n"/>
      <c r="CQ934" s="204" t="n"/>
      <c r="CR934" s="204" t="n"/>
      <c r="CS934" s="204" t="n"/>
      <c r="CT934" s="204" t="n"/>
      <c r="CU934" s="204" t="n"/>
      <c r="CV934" s="204" t="n"/>
      <c r="CW934" s="204" t="n"/>
    </row>
    <row r="935">
      <c r="AR935" s="151" t="n"/>
      <c r="BF935" s="78" t="n"/>
      <c r="BG935" s="78" t="n"/>
      <c r="BH935" s="78" t="n"/>
      <c r="BI935" s="78" t="n"/>
      <c r="BJ935" s="139" t="n"/>
      <c r="BK935" s="204" t="n"/>
      <c r="BL935" s="141" t="n"/>
      <c r="BM935" s="205" t="n"/>
      <c r="BN935" s="205" t="n"/>
      <c r="BO935" s="206" t="n"/>
      <c r="BP935" s="144" t="n"/>
      <c r="BQ935" s="141" t="n"/>
      <c r="BR935" s="207" t="n"/>
      <c r="BS935" s="207" t="n"/>
      <c r="BT935" s="207" t="n"/>
      <c r="BU935" s="207" t="n"/>
      <c r="BV935" s="208" t="n"/>
      <c r="BW935" s="207" t="n"/>
      <c r="BX935" s="207" t="n"/>
      <c r="BY935" s="204" t="n"/>
      <c r="BZ935" s="148" t="n"/>
      <c r="CA935" s="204" t="n"/>
      <c r="CB935" s="208" t="n"/>
      <c r="CC935" s="139" t="n"/>
      <c r="CD935" s="204" t="n"/>
      <c r="CE935" s="204" t="n"/>
      <c r="CF935" s="207" t="n"/>
      <c r="CG935" s="208" t="n"/>
      <c r="CH935" s="207" t="n"/>
      <c r="CI935" s="208" t="n"/>
      <c r="CJ935" s="204" t="n"/>
      <c r="CK935" s="208" t="n"/>
      <c r="CL935" s="208" t="n"/>
      <c r="CM935" s="208" t="n"/>
      <c r="CN935" s="78" t="n"/>
      <c r="CO935" s="209" t="n"/>
      <c r="CP935" s="204" t="n"/>
      <c r="CQ935" s="204" t="n"/>
      <c r="CR935" s="204" t="n"/>
      <c r="CS935" s="204" t="n"/>
      <c r="CT935" s="204" t="n"/>
      <c r="CU935" s="204" t="n"/>
      <c r="CV935" s="204" t="n"/>
      <c r="CW935" s="204" t="n"/>
    </row>
    <row r="936">
      <c r="AR936" s="151" t="n"/>
      <c r="BF936" s="78" t="n"/>
      <c r="BG936" s="78" t="n"/>
      <c r="BH936" s="78" t="n"/>
      <c r="BI936" s="78" t="n"/>
      <c r="BJ936" s="139" t="n"/>
      <c r="BK936" s="204" t="n"/>
      <c r="BL936" s="141" t="n"/>
      <c r="BM936" s="205" t="n"/>
      <c r="BN936" s="205" t="n"/>
      <c r="BO936" s="206" t="n"/>
      <c r="BP936" s="144" t="n"/>
      <c r="BQ936" s="141" t="n"/>
      <c r="BR936" s="207" t="n"/>
      <c r="BS936" s="207" t="n"/>
      <c r="BT936" s="207" t="n"/>
      <c r="BU936" s="207" t="n"/>
      <c r="BV936" s="208" t="n"/>
      <c r="BW936" s="207" t="n"/>
      <c r="BX936" s="207" t="n"/>
      <c r="BY936" s="204" t="n"/>
      <c r="BZ936" s="148" t="n"/>
      <c r="CA936" s="204" t="n"/>
      <c r="CB936" s="208" t="n"/>
      <c r="CC936" s="139" t="n"/>
      <c r="CD936" s="204" t="n"/>
      <c r="CE936" s="204" t="n"/>
      <c r="CF936" s="207" t="n"/>
      <c r="CG936" s="208" t="n"/>
      <c r="CH936" s="207" t="n"/>
      <c r="CI936" s="208" t="n"/>
      <c r="CJ936" s="204" t="n"/>
      <c r="CK936" s="208" t="n"/>
      <c r="CL936" s="208" t="n"/>
      <c r="CM936" s="208" t="n"/>
      <c r="CN936" s="78" t="n"/>
      <c r="CO936" s="209" t="n"/>
      <c r="CP936" s="204" t="n"/>
      <c r="CQ936" s="204" t="n"/>
      <c r="CR936" s="204" t="n"/>
      <c r="CS936" s="204" t="n"/>
      <c r="CT936" s="204" t="n"/>
      <c r="CU936" s="204" t="n"/>
      <c r="CV936" s="204" t="n"/>
      <c r="CW936" s="204" t="n"/>
    </row>
    <row r="937">
      <c r="AR937" s="151" t="n"/>
      <c r="BF937" s="78" t="n"/>
      <c r="BG937" s="78" t="n"/>
      <c r="BH937" s="78" t="n"/>
      <c r="BI937" s="78" t="n"/>
      <c r="BJ937" s="139" t="n"/>
      <c r="BK937" s="204" t="n"/>
      <c r="BL937" s="141" t="n"/>
      <c r="BM937" s="205" t="n"/>
      <c r="BN937" s="205" t="n"/>
      <c r="BO937" s="206" t="n"/>
      <c r="BP937" s="144" t="n"/>
      <c r="BQ937" s="141" t="n"/>
      <c r="BR937" s="207" t="n"/>
      <c r="BS937" s="207" t="n"/>
      <c r="BT937" s="207" t="n"/>
      <c r="BU937" s="207" t="n"/>
      <c r="BV937" s="208" t="n"/>
      <c r="BW937" s="207" t="n"/>
      <c r="BX937" s="207" t="n"/>
      <c r="BY937" s="204" t="n"/>
      <c r="BZ937" s="148" t="n"/>
      <c r="CA937" s="204" t="n"/>
      <c r="CB937" s="208" t="n"/>
      <c r="CC937" s="139" t="n"/>
      <c r="CD937" s="204" t="n"/>
      <c r="CE937" s="204" t="n"/>
      <c r="CF937" s="207" t="n"/>
      <c r="CG937" s="208" t="n"/>
      <c r="CH937" s="207" t="n"/>
      <c r="CI937" s="208" t="n"/>
      <c r="CJ937" s="204" t="n"/>
      <c r="CK937" s="208" t="n"/>
      <c r="CL937" s="208" t="n"/>
      <c r="CM937" s="208" t="n"/>
      <c r="CN937" s="78" t="n"/>
      <c r="CO937" s="209" t="n"/>
      <c r="CP937" s="204" t="n"/>
      <c r="CQ937" s="204" t="n"/>
      <c r="CR937" s="204" t="n"/>
      <c r="CS937" s="204" t="n"/>
      <c r="CT937" s="204" t="n"/>
      <c r="CU937" s="204" t="n"/>
      <c r="CV937" s="204" t="n"/>
      <c r="CW937" s="204" t="n"/>
    </row>
    <row r="938">
      <c r="AR938" s="151" t="n"/>
      <c r="BF938" s="78" t="n"/>
      <c r="BG938" s="78" t="n"/>
      <c r="BH938" s="78" t="n"/>
      <c r="BI938" s="78" t="n"/>
      <c r="BJ938" s="139" t="n"/>
      <c r="BK938" s="204" t="n"/>
      <c r="BL938" s="141" t="n"/>
      <c r="BM938" s="205" t="n"/>
      <c r="BN938" s="205" t="n"/>
      <c r="BO938" s="206" t="n"/>
      <c r="BP938" s="144" t="n"/>
      <c r="BQ938" s="141" t="n"/>
      <c r="BR938" s="207" t="n"/>
      <c r="BS938" s="207" t="n"/>
      <c r="BT938" s="207" t="n"/>
      <c r="BU938" s="207" t="n"/>
      <c r="BV938" s="208" t="n"/>
      <c r="BW938" s="207" t="n"/>
      <c r="BX938" s="207" t="n"/>
      <c r="BY938" s="204" t="n"/>
      <c r="BZ938" s="148" t="n"/>
      <c r="CA938" s="204" t="n"/>
      <c r="CB938" s="208" t="n"/>
      <c r="CC938" s="139" t="n"/>
      <c r="CD938" s="204" t="n"/>
      <c r="CE938" s="204" t="n"/>
      <c r="CF938" s="207" t="n"/>
      <c r="CG938" s="208" t="n"/>
      <c r="CH938" s="207" t="n"/>
      <c r="CI938" s="208" t="n"/>
      <c r="CJ938" s="204" t="n"/>
      <c r="CK938" s="208" t="n"/>
      <c r="CL938" s="208" t="n"/>
      <c r="CM938" s="208" t="n"/>
      <c r="CN938" s="78" t="n"/>
      <c r="CO938" s="209" t="n"/>
      <c r="CP938" s="204" t="n"/>
      <c r="CQ938" s="204" t="n"/>
      <c r="CR938" s="204" t="n"/>
      <c r="CS938" s="204" t="n"/>
      <c r="CT938" s="204" t="n"/>
      <c r="CU938" s="204" t="n"/>
      <c r="CV938" s="204" t="n"/>
      <c r="CW938" s="204" t="n"/>
    </row>
    <row r="939">
      <c r="BF939" s="78" t="n"/>
      <c r="BG939" s="78" t="n"/>
      <c r="BH939" s="78" t="n"/>
      <c r="BI939" s="78" t="n"/>
      <c r="BJ939" s="139" t="n"/>
      <c r="BK939" s="204" t="n"/>
      <c r="BL939" s="141" t="n"/>
      <c r="BM939" s="205" t="n"/>
      <c r="BN939" s="205" t="n"/>
      <c r="BO939" s="206" t="n"/>
      <c r="BP939" s="144" t="n"/>
      <c r="BQ939" s="141" t="n"/>
      <c r="BR939" s="207" t="n"/>
      <c r="BS939" s="207" t="n"/>
      <c r="BT939" s="207" t="n"/>
      <c r="BU939" s="207" t="n"/>
      <c r="BV939" s="208" t="n"/>
      <c r="BW939" s="207" t="n"/>
      <c r="BX939" s="207" t="n"/>
      <c r="BY939" s="204" t="n"/>
      <c r="BZ939" s="148" t="n"/>
      <c r="CA939" s="204" t="n"/>
      <c r="CB939" s="208" t="n"/>
      <c r="CC939" s="139" t="n"/>
      <c r="CD939" s="204" t="n"/>
      <c r="CE939" s="204" t="n"/>
      <c r="CF939" s="207" t="n"/>
      <c r="CG939" s="208" t="n"/>
      <c r="CH939" s="207" t="n"/>
      <c r="CI939" s="208" t="n"/>
      <c r="CJ939" s="204" t="n"/>
      <c r="CK939" s="208" t="n"/>
      <c r="CL939" s="208" t="n"/>
      <c r="CM939" s="208" t="n"/>
      <c r="CN939" s="78" t="n"/>
      <c r="CO939" s="209" t="n"/>
      <c r="CP939" s="204" t="n"/>
      <c r="CQ939" s="204" t="n"/>
      <c r="CR939" s="204" t="n"/>
      <c r="CS939" s="204" t="n"/>
      <c r="CT939" s="204" t="n"/>
      <c r="CU939" s="204" t="n"/>
      <c r="CV939" s="204" t="n"/>
      <c r="CW939" s="204" t="n"/>
    </row>
    <row r="940">
      <c r="BF940" s="78" t="n"/>
      <c r="BG940" s="78" t="n"/>
      <c r="BH940" s="78" t="n"/>
      <c r="BI940" s="78" t="n"/>
      <c r="BJ940" s="139" t="n"/>
      <c r="BK940" s="204" t="n"/>
      <c r="BL940" s="141" t="n"/>
      <c r="BM940" s="205" t="n"/>
      <c r="BN940" s="205" t="n"/>
      <c r="BO940" s="206" t="n"/>
      <c r="BP940" s="144" t="n"/>
      <c r="BQ940" s="141" t="n"/>
      <c r="BR940" s="207" t="n"/>
      <c r="BS940" s="207" t="n"/>
      <c r="BT940" s="207" t="n"/>
      <c r="BU940" s="207" t="n"/>
      <c r="BV940" s="208" t="n"/>
      <c r="BW940" s="207" t="n"/>
      <c r="BX940" s="207" t="n"/>
      <c r="BY940" s="204" t="n"/>
      <c r="BZ940" s="148" t="n"/>
      <c r="CA940" s="204" t="n"/>
      <c r="CB940" s="208" t="n"/>
      <c r="CC940" s="139" t="n"/>
      <c r="CD940" s="204" t="n"/>
      <c r="CE940" s="204" t="n"/>
      <c r="CF940" s="207" t="n"/>
      <c r="CG940" s="208" t="n"/>
      <c r="CH940" s="207" t="n"/>
      <c r="CI940" s="208" t="n"/>
      <c r="CJ940" s="204" t="n"/>
      <c r="CK940" s="208" t="n"/>
      <c r="CL940" s="208" t="n"/>
      <c r="CM940" s="208" t="n"/>
      <c r="CN940" s="78" t="n"/>
      <c r="CO940" s="209" t="n"/>
      <c r="CP940" s="204" t="n"/>
      <c r="CQ940" s="204" t="n"/>
      <c r="CR940" s="204" t="n"/>
      <c r="CS940" s="204" t="n"/>
      <c r="CT940" s="204" t="n"/>
      <c r="CU940" s="204" t="n"/>
      <c r="CV940" s="204" t="n"/>
      <c r="CW940" s="204" t="n"/>
    </row>
    <row r="941">
      <c r="BF941" s="78" t="n"/>
      <c r="BG941" s="78" t="n"/>
      <c r="BH941" s="78" t="n"/>
      <c r="BI941" s="78" t="n"/>
      <c r="BJ941" s="139" t="n"/>
      <c r="BK941" s="204" t="n"/>
      <c r="BL941" s="141" t="n"/>
      <c r="BM941" s="205" t="n"/>
      <c r="BN941" s="205" t="n"/>
      <c r="BO941" s="206" t="n"/>
      <c r="BP941" s="144" t="n"/>
      <c r="BQ941" s="141" t="n"/>
      <c r="BR941" s="207" t="n"/>
      <c r="BS941" s="207" t="n"/>
      <c r="BT941" s="207" t="n"/>
      <c r="BU941" s="207" t="n"/>
      <c r="BV941" s="208" t="n"/>
      <c r="BW941" s="207" t="n"/>
      <c r="BX941" s="207" t="n"/>
      <c r="BY941" s="204" t="n"/>
      <c r="BZ941" s="148" t="n"/>
      <c r="CA941" s="204" t="n"/>
      <c r="CB941" s="208" t="n"/>
      <c r="CC941" s="139" t="n"/>
      <c r="CD941" s="204" t="n"/>
      <c r="CE941" s="204" t="n"/>
      <c r="CF941" s="207" t="n"/>
      <c r="CG941" s="208" t="n"/>
      <c r="CH941" s="207" t="n"/>
      <c r="CI941" s="208" t="n"/>
      <c r="CJ941" s="204" t="n"/>
      <c r="CK941" s="208" t="n"/>
      <c r="CL941" s="208" t="n"/>
      <c r="CM941" s="208" t="n"/>
      <c r="CN941" s="78" t="n"/>
      <c r="CO941" s="209" t="n"/>
      <c r="CP941" s="204" t="n"/>
      <c r="CQ941" s="204" t="n"/>
      <c r="CR941" s="204" t="n"/>
      <c r="CS941" s="204" t="n"/>
      <c r="CT941" s="204" t="n"/>
      <c r="CU941" s="204" t="n"/>
      <c r="CV941" s="204" t="n"/>
      <c r="CW941" s="204" t="n"/>
    </row>
    <row r="942">
      <c r="BF942" s="78" t="n"/>
      <c r="BG942" s="78" t="n"/>
      <c r="BH942" s="78" t="n"/>
      <c r="BI942" s="78" t="n"/>
      <c r="BJ942" s="139" t="n"/>
      <c r="BK942" s="204" t="n"/>
      <c r="BL942" s="141" t="n"/>
      <c r="BM942" s="205" t="n"/>
      <c r="BN942" s="205" t="n"/>
      <c r="BO942" s="206" t="n"/>
      <c r="BP942" s="144" t="n"/>
      <c r="BQ942" s="141" t="n"/>
      <c r="BR942" s="207" t="n"/>
      <c r="BS942" s="207" t="n"/>
      <c r="BT942" s="207" t="n"/>
      <c r="BU942" s="207" t="n"/>
      <c r="BV942" s="208" t="n"/>
      <c r="BW942" s="207" t="n"/>
      <c r="BX942" s="207" t="n"/>
      <c r="BY942" s="204" t="n"/>
      <c r="BZ942" s="148" t="n"/>
      <c r="CA942" s="204" t="n"/>
      <c r="CB942" s="208" t="n"/>
      <c r="CC942" s="139" t="n"/>
      <c r="CD942" s="204" t="n"/>
      <c r="CE942" s="204" t="n"/>
      <c r="CF942" s="207" t="n"/>
      <c r="CG942" s="208" t="n"/>
      <c r="CH942" s="207" t="n"/>
      <c r="CI942" s="208" t="n"/>
      <c r="CJ942" s="204" t="n"/>
      <c r="CK942" s="208" t="n"/>
      <c r="CL942" s="208" t="n"/>
      <c r="CM942" s="208" t="n"/>
      <c r="CN942" s="78" t="n"/>
      <c r="CO942" s="209" t="n"/>
      <c r="CP942" s="204" t="n"/>
      <c r="CQ942" s="204" t="n"/>
      <c r="CR942" s="204" t="n"/>
      <c r="CS942" s="204" t="n"/>
      <c r="CT942" s="204" t="n"/>
      <c r="CU942" s="204" t="n"/>
      <c r="CV942" s="204" t="n"/>
      <c r="CW942" s="204" t="n"/>
    </row>
    <row r="943">
      <c r="BF943" s="78" t="n"/>
      <c r="BG943" s="78" t="n"/>
      <c r="BH943" s="78" t="n"/>
      <c r="BI943" s="78" t="n"/>
      <c r="BJ943" s="139" t="n"/>
      <c r="BK943" s="204" t="n"/>
      <c r="BL943" s="141" t="n"/>
      <c r="BM943" s="205" t="n"/>
      <c r="BN943" s="205" t="n"/>
      <c r="BO943" s="206" t="n"/>
      <c r="BP943" s="144" t="n"/>
      <c r="BQ943" s="141" t="n"/>
      <c r="BR943" s="207" t="n"/>
      <c r="BS943" s="207" t="n"/>
      <c r="BT943" s="207" t="n"/>
      <c r="BU943" s="207" t="n"/>
      <c r="BV943" s="208" t="n"/>
      <c r="BW943" s="207" t="n"/>
      <c r="BX943" s="207" t="n"/>
      <c r="BY943" s="204" t="n"/>
      <c r="BZ943" s="148" t="n"/>
      <c r="CA943" s="204" t="n"/>
      <c r="CB943" s="208" t="n"/>
      <c r="CC943" s="139" t="n"/>
      <c r="CD943" s="204" t="n"/>
      <c r="CE943" s="204" t="n"/>
      <c r="CF943" s="207" t="n"/>
      <c r="CG943" s="208" t="n"/>
      <c r="CH943" s="207" t="n"/>
      <c r="CI943" s="208" t="n"/>
      <c r="CJ943" s="204" t="n"/>
      <c r="CK943" s="208" t="n"/>
      <c r="CL943" s="208" t="n"/>
      <c r="CM943" s="208" t="n"/>
      <c r="CN943" s="78" t="n"/>
      <c r="CO943" s="209" t="n"/>
      <c r="CP943" s="204" t="n"/>
      <c r="CQ943" s="204" t="n"/>
      <c r="CR943" s="204" t="n"/>
      <c r="CS943" s="204" t="n"/>
      <c r="CT943" s="204" t="n"/>
      <c r="CU943" s="204" t="n"/>
      <c r="CV943" s="204" t="n"/>
      <c r="CW943" s="204" t="n"/>
    </row>
    <row r="944">
      <c r="BF944" s="78" t="n"/>
      <c r="BG944" s="78" t="n"/>
      <c r="BH944" s="78" t="n"/>
      <c r="BI944" s="78" t="n"/>
      <c r="BJ944" s="139" t="n"/>
      <c r="BK944" s="204" t="n"/>
      <c r="BL944" s="141" t="n"/>
      <c r="BM944" s="205" t="n"/>
      <c r="BN944" s="205" t="n"/>
      <c r="BO944" s="206" t="n"/>
      <c r="BP944" s="144" t="n"/>
      <c r="BQ944" s="141" t="n"/>
      <c r="BR944" s="207" t="n"/>
      <c r="BS944" s="207" t="n"/>
      <c r="BT944" s="207" t="n"/>
      <c r="BU944" s="207" t="n"/>
      <c r="BV944" s="208" t="n"/>
      <c r="BW944" s="207" t="n"/>
      <c r="BX944" s="207" t="n"/>
      <c r="BY944" s="204" t="n"/>
      <c r="BZ944" s="148" t="n"/>
      <c r="CA944" s="204" t="n"/>
      <c r="CB944" s="208" t="n"/>
      <c r="CC944" s="139" t="n"/>
      <c r="CD944" s="204" t="n"/>
      <c r="CE944" s="204" t="n"/>
      <c r="CF944" s="207" t="n"/>
      <c r="CG944" s="208" t="n"/>
      <c r="CH944" s="207" t="n"/>
      <c r="CI944" s="208" t="n"/>
      <c r="CJ944" s="204" t="n"/>
      <c r="CK944" s="208" t="n"/>
      <c r="CL944" s="208" t="n"/>
      <c r="CM944" s="208" t="n"/>
      <c r="CN944" s="78" t="n"/>
      <c r="CO944" s="209" t="n"/>
      <c r="CP944" s="204" t="n"/>
      <c r="CQ944" s="204" t="n"/>
      <c r="CR944" s="204" t="n"/>
      <c r="CS944" s="204" t="n"/>
      <c r="CT944" s="204" t="n"/>
      <c r="CU944" s="204" t="n"/>
      <c r="CV944" s="204" t="n"/>
      <c r="CW944" s="204" t="n"/>
    </row>
    <row r="945">
      <c r="BF945" s="78" t="n"/>
      <c r="BG945" s="78" t="n"/>
      <c r="BH945" s="78" t="n"/>
      <c r="BI945" s="78" t="n"/>
      <c r="BJ945" s="139" t="n"/>
      <c r="BK945" s="204" t="n"/>
      <c r="BL945" s="141" t="n"/>
      <c r="BM945" s="205" t="n"/>
      <c r="BN945" s="205" t="n"/>
      <c r="BO945" s="206" t="n"/>
      <c r="BP945" s="144" t="n"/>
      <c r="BQ945" s="141" t="n"/>
      <c r="BR945" s="207" t="n"/>
      <c r="BS945" s="207" t="n"/>
      <c r="BT945" s="207" t="n"/>
      <c r="BU945" s="207" t="n"/>
      <c r="BV945" s="208" t="n"/>
      <c r="BW945" s="207" t="n"/>
      <c r="BX945" s="207" t="n"/>
      <c r="BY945" s="204" t="n"/>
      <c r="BZ945" s="148" t="n"/>
      <c r="CA945" s="204" t="n"/>
      <c r="CB945" s="208" t="n"/>
      <c r="CC945" s="139" t="n"/>
      <c r="CD945" s="204" t="n"/>
      <c r="CE945" s="204" t="n"/>
      <c r="CF945" s="207" t="n"/>
      <c r="CG945" s="208" t="n"/>
      <c r="CH945" s="207" t="n"/>
      <c r="CI945" s="208" t="n"/>
      <c r="CJ945" s="204" t="n"/>
      <c r="CK945" s="208" t="n"/>
      <c r="CL945" s="208" t="n"/>
      <c r="CM945" s="208" t="n"/>
      <c r="CN945" s="78" t="n"/>
      <c r="CO945" s="209" t="n"/>
      <c r="CP945" s="204" t="n"/>
      <c r="CQ945" s="204" t="n"/>
      <c r="CR945" s="204" t="n"/>
      <c r="CS945" s="204" t="n"/>
      <c r="CT945" s="204" t="n"/>
      <c r="CU945" s="204" t="n"/>
      <c r="CV945" s="204" t="n"/>
      <c r="CW945" s="204" t="n"/>
    </row>
    <row r="946">
      <c r="BF946" s="78" t="n"/>
      <c r="BG946" s="78" t="n"/>
      <c r="BH946" s="78" t="n"/>
      <c r="BI946" s="78" t="n"/>
      <c r="BJ946" s="139" t="n"/>
      <c r="BK946" s="204" t="n"/>
      <c r="BL946" s="141" t="n"/>
      <c r="BM946" s="205" t="n"/>
      <c r="BN946" s="205" t="n"/>
      <c r="BO946" s="206" t="n"/>
      <c r="BP946" s="144" t="n"/>
      <c r="BQ946" s="141" t="n"/>
      <c r="BR946" s="207" t="n"/>
      <c r="BS946" s="207" t="n"/>
      <c r="BT946" s="207" t="n"/>
      <c r="BU946" s="207" t="n"/>
      <c r="BV946" s="208" t="n"/>
      <c r="BW946" s="207" t="n"/>
      <c r="BX946" s="207" t="n"/>
      <c r="BY946" s="204" t="n"/>
      <c r="BZ946" s="148" t="n"/>
      <c r="CA946" s="204" t="n"/>
      <c r="CB946" s="208" t="n"/>
      <c r="CC946" s="139" t="n"/>
      <c r="CD946" s="204" t="n"/>
      <c r="CE946" s="204" t="n"/>
      <c r="CF946" s="207" t="n"/>
      <c r="CG946" s="208" t="n"/>
      <c r="CH946" s="207" t="n"/>
      <c r="CI946" s="208" t="n"/>
      <c r="CJ946" s="204" t="n"/>
      <c r="CK946" s="208" t="n"/>
      <c r="CL946" s="208" t="n"/>
      <c r="CM946" s="208" t="n"/>
      <c r="CN946" s="78" t="n"/>
      <c r="CO946" s="209" t="n"/>
      <c r="CP946" s="204" t="n"/>
      <c r="CQ946" s="204" t="n"/>
      <c r="CR946" s="204" t="n"/>
      <c r="CS946" s="204" t="n"/>
      <c r="CT946" s="204" t="n"/>
      <c r="CU946" s="204" t="n"/>
      <c r="CV946" s="204" t="n"/>
      <c r="CW946" s="204" t="n"/>
    </row>
    <row r="947">
      <c r="BF947" s="78" t="n"/>
      <c r="BG947" s="78" t="n"/>
      <c r="BH947" s="78" t="n"/>
      <c r="BI947" s="78" t="n"/>
      <c r="BJ947" s="139" t="n"/>
      <c r="BK947" s="204" t="n"/>
      <c r="BL947" s="141" t="n"/>
      <c r="BM947" s="205" t="n"/>
      <c r="BN947" s="205" t="n"/>
      <c r="BO947" s="206" t="n"/>
      <c r="BP947" s="144" t="n"/>
      <c r="BQ947" s="141" t="n"/>
      <c r="BR947" s="207" t="n"/>
      <c r="BS947" s="207" t="n"/>
      <c r="BT947" s="207" t="n"/>
      <c r="BU947" s="207" t="n"/>
      <c r="BV947" s="208" t="n"/>
      <c r="BW947" s="207" t="n"/>
      <c r="BX947" s="207" t="n"/>
      <c r="BY947" s="204" t="n"/>
      <c r="BZ947" s="148" t="n"/>
      <c r="CA947" s="204" t="n"/>
      <c r="CB947" s="208" t="n"/>
      <c r="CC947" s="139" t="n"/>
      <c r="CD947" s="204" t="n"/>
      <c r="CE947" s="204" t="n"/>
      <c r="CF947" s="207" t="n"/>
      <c r="CG947" s="208" t="n"/>
      <c r="CH947" s="207" t="n"/>
      <c r="CI947" s="208" t="n"/>
      <c r="CJ947" s="204" t="n"/>
      <c r="CK947" s="208" t="n"/>
      <c r="CL947" s="208" t="n"/>
      <c r="CM947" s="208" t="n"/>
      <c r="CN947" s="78" t="n"/>
      <c r="CO947" s="209" t="n"/>
      <c r="CP947" s="204" t="n"/>
      <c r="CQ947" s="204" t="n"/>
      <c r="CR947" s="204" t="n"/>
      <c r="CS947" s="204" t="n"/>
      <c r="CT947" s="204" t="n"/>
      <c r="CU947" s="204" t="n"/>
      <c r="CV947" s="204" t="n"/>
      <c r="CW947" s="204" t="n"/>
    </row>
    <row r="948">
      <c r="BF948" s="78" t="n"/>
      <c r="BG948" s="78" t="n"/>
      <c r="BH948" s="78" t="n"/>
      <c r="BI948" s="78" t="n"/>
      <c r="BJ948" s="139" t="n"/>
      <c r="BK948" s="204" t="n"/>
      <c r="BL948" s="141" t="n"/>
      <c r="BM948" s="205" t="n"/>
      <c r="BN948" s="205" t="n"/>
      <c r="BO948" s="206" t="n"/>
      <c r="BP948" s="144" t="n"/>
      <c r="BQ948" s="141" t="n"/>
      <c r="BR948" s="207" t="n"/>
      <c r="BS948" s="207" t="n"/>
      <c r="BT948" s="207" t="n"/>
      <c r="BU948" s="207" t="n"/>
      <c r="BV948" s="208" t="n"/>
      <c r="BW948" s="207" t="n"/>
      <c r="BX948" s="207" t="n"/>
      <c r="BY948" s="204" t="n"/>
      <c r="BZ948" s="148" t="n"/>
      <c r="CA948" s="204" t="n"/>
      <c r="CB948" s="208" t="n"/>
      <c r="CC948" s="139" t="n"/>
      <c r="CD948" s="204" t="n"/>
      <c r="CE948" s="204" t="n"/>
      <c r="CF948" s="207" t="n"/>
      <c r="CG948" s="208" t="n"/>
      <c r="CH948" s="207" t="n"/>
      <c r="CI948" s="208" t="n"/>
      <c r="CJ948" s="204" t="n"/>
      <c r="CK948" s="208" t="n"/>
      <c r="CL948" s="208" t="n"/>
      <c r="CM948" s="208" t="n"/>
      <c r="CN948" s="78" t="n"/>
      <c r="CO948" s="209" t="n"/>
      <c r="CP948" s="204" t="n"/>
      <c r="CQ948" s="204" t="n"/>
      <c r="CR948" s="204" t="n"/>
      <c r="CS948" s="204" t="n"/>
      <c r="CT948" s="204" t="n"/>
      <c r="CU948" s="204" t="n"/>
      <c r="CV948" s="204" t="n"/>
      <c r="CW948" s="204" t="n"/>
    </row>
    <row r="949">
      <c r="BF949" s="78" t="n"/>
      <c r="BG949" s="78" t="n"/>
      <c r="BH949" s="78" t="n"/>
      <c r="BI949" s="78" t="n"/>
      <c r="BJ949" s="139" t="n"/>
      <c r="BK949" s="204" t="n"/>
      <c r="BL949" s="141" t="n"/>
      <c r="BM949" s="205" t="n"/>
      <c r="BN949" s="205" t="n"/>
      <c r="BO949" s="206" t="n"/>
      <c r="BP949" s="144" t="n"/>
      <c r="BQ949" s="141" t="n"/>
      <c r="BR949" s="207" t="n"/>
      <c r="BS949" s="207" t="n"/>
      <c r="BT949" s="207" t="n"/>
      <c r="BU949" s="207" t="n"/>
      <c r="BV949" s="208" t="n"/>
      <c r="BW949" s="207" t="n"/>
      <c r="BX949" s="207" t="n"/>
      <c r="BY949" s="204" t="n"/>
      <c r="BZ949" s="148" t="n"/>
      <c r="CA949" s="204" t="n"/>
      <c r="CB949" s="208" t="n"/>
      <c r="CC949" s="139" t="n"/>
      <c r="CD949" s="204" t="n"/>
      <c r="CE949" s="204" t="n"/>
      <c r="CF949" s="207" t="n"/>
      <c r="CG949" s="208" t="n"/>
      <c r="CH949" s="207" t="n"/>
      <c r="CI949" s="208" t="n"/>
      <c r="CJ949" s="204" t="n"/>
      <c r="CK949" s="208" t="n"/>
      <c r="CL949" s="208" t="n"/>
      <c r="CM949" s="208" t="n"/>
      <c r="CN949" s="78" t="n"/>
      <c r="CO949" s="209" t="n"/>
      <c r="CP949" s="204" t="n"/>
      <c r="CQ949" s="204" t="n"/>
      <c r="CR949" s="204" t="n"/>
      <c r="CS949" s="204" t="n"/>
      <c r="CT949" s="204" t="n"/>
      <c r="CU949" s="204" t="n"/>
      <c r="CV949" s="204" t="n"/>
      <c r="CW949" s="204" t="n"/>
    </row>
    <row r="950">
      <c r="BF950" s="78" t="n"/>
      <c r="BG950" s="78" t="n"/>
      <c r="BH950" s="78" t="n"/>
      <c r="BI950" s="78" t="n"/>
      <c r="BJ950" s="139" t="n"/>
      <c r="BK950" s="204" t="n"/>
      <c r="BL950" s="141" t="n"/>
      <c r="BM950" s="205" t="n"/>
      <c r="BN950" s="205" t="n"/>
      <c r="BO950" s="206" t="n"/>
      <c r="BP950" s="144" t="n"/>
      <c r="BQ950" s="141" t="n"/>
      <c r="BR950" s="207" t="n"/>
      <c r="BS950" s="207" t="n"/>
      <c r="BT950" s="207" t="n"/>
      <c r="BU950" s="207" t="n"/>
      <c r="BV950" s="208" t="n"/>
      <c r="BW950" s="207" t="n"/>
      <c r="BX950" s="207" t="n"/>
      <c r="BY950" s="204" t="n"/>
      <c r="BZ950" s="148" t="n"/>
      <c r="CA950" s="204" t="n"/>
      <c r="CB950" s="208" t="n"/>
      <c r="CC950" s="139" t="n"/>
      <c r="CD950" s="204" t="n"/>
      <c r="CE950" s="204" t="n"/>
      <c r="CF950" s="207" t="n"/>
      <c r="CG950" s="208" t="n"/>
      <c r="CH950" s="207" t="n"/>
      <c r="CI950" s="208" t="n"/>
      <c r="CJ950" s="204" t="n"/>
      <c r="CK950" s="208" t="n"/>
      <c r="CL950" s="208" t="n"/>
      <c r="CM950" s="208" t="n"/>
      <c r="CN950" s="78" t="n"/>
      <c r="CO950" s="209" t="n"/>
      <c r="CP950" s="204" t="n"/>
      <c r="CQ950" s="204" t="n"/>
      <c r="CR950" s="204" t="n"/>
      <c r="CS950" s="204" t="n"/>
      <c r="CT950" s="204" t="n"/>
      <c r="CU950" s="204" t="n"/>
      <c r="CV950" s="204" t="n"/>
      <c r="CW950" s="204" t="n"/>
    </row>
    <row r="951">
      <c r="BF951" s="78" t="n"/>
      <c r="BG951" s="78" t="n"/>
      <c r="BH951" s="78" t="n"/>
      <c r="BI951" s="78" t="n"/>
      <c r="BJ951" s="139" t="n"/>
      <c r="BK951" s="204" t="n"/>
      <c r="BL951" s="141" t="n"/>
      <c r="BM951" s="205" t="n"/>
      <c r="BN951" s="205" t="n"/>
      <c r="BO951" s="206" t="n"/>
      <c r="BP951" s="144" t="n"/>
      <c r="BQ951" s="141" t="n"/>
      <c r="BR951" s="207" t="n"/>
      <c r="BS951" s="207" t="n"/>
      <c r="BT951" s="207" t="n"/>
      <c r="BU951" s="207" t="n"/>
      <c r="BV951" s="208" t="n"/>
      <c r="BW951" s="207" t="n"/>
      <c r="BX951" s="207" t="n"/>
      <c r="BY951" s="204" t="n"/>
      <c r="BZ951" s="148" t="n"/>
      <c r="CA951" s="204" t="n"/>
      <c r="CB951" s="208" t="n"/>
      <c r="CC951" s="139" t="n"/>
      <c r="CD951" s="204" t="n"/>
      <c r="CE951" s="204" t="n"/>
      <c r="CF951" s="207" t="n"/>
      <c r="CG951" s="208" t="n"/>
      <c r="CH951" s="207" t="n"/>
      <c r="CI951" s="208" t="n"/>
      <c r="CJ951" s="204" t="n"/>
      <c r="CK951" s="208" t="n"/>
      <c r="CL951" s="208" t="n"/>
      <c r="CM951" s="208" t="n"/>
      <c r="CN951" s="78" t="n"/>
      <c r="CO951" s="209" t="n"/>
      <c r="CP951" s="204" t="n"/>
      <c r="CQ951" s="204" t="n"/>
      <c r="CR951" s="204" t="n"/>
      <c r="CS951" s="204" t="n"/>
      <c r="CT951" s="204" t="n"/>
      <c r="CU951" s="204" t="n"/>
      <c r="CV951" s="204" t="n"/>
      <c r="CW951" s="204" t="n"/>
    </row>
    <row r="952">
      <c r="BF952" s="78" t="n"/>
      <c r="BG952" s="78" t="n"/>
      <c r="BH952" s="78" t="n"/>
      <c r="BI952" s="78" t="n"/>
      <c r="BJ952" s="139" t="n"/>
      <c r="BK952" s="204" t="n"/>
      <c r="BL952" s="141" t="n"/>
      <c r="BM952" s="205" t="n"/>
      <c r="BN952" s="205" t="n"/>
      <c r="BO952" s="206" t="n"/>
      <c r="BP952" s="144" t="n"/>
      <c r="BQ952" s="141" t="n"/>
      <c r="BR952" s="207" t="n"/>
      <c r="BS952" s="207" t="n"/>
      <c r="BT952" s="207" t="n"/>
      <c r="BU952" s="207" t="n"/>
      <c r="BV952" s="208" t="n"/>
      <c r="BW952" s="207" t="n"/>
      <c r="BX952" s="207" t="n"/>
      <c r="BY952" s="204" t="n"/>
      <c r="BZ952" s="148" t="n"/>
      <c r="CA952" s="204" t="n"/>
      <c r="CB952" s="208" t="n"/>
      <c r="CC952" s="139" t="n"/>
      <c r="CD952" s="204" t="n"/>
      <c r="CE952" s="204" t="n"/>
      <c r="CF952" s="207" t="n"/>
      <c r="CG952" s="208" t="n"/>
      <c r="CH952" s="207" t="n"/>
      <c r="CI952" s="208" t="n"/>
      <c r="CJ952" s="204" t="n"/>
      <c r="CK952" s="208" t="n"/>
      <c r="CL952" s="208" t="n"/>
      <c r="CM952" s="208" t="n"/>
      <c r="CN952" s="78" t="n"/>
      <c r="CO952" s="209" t="n"/>
      <c r="CP952" s="204" t="n"/>
      <c r="CQ952" s="204" t="n"/>
      <c r="CR952" s="204" t="n"/>
      <c r="CS952" s="204" t="n"/>
      <c r="CT952" s="204" t="n"/>
      <c r="CU952" s="204" t="n"/>
      <c r="CV952" s="204" t="n"/>
      <c r="CW952" s="204" t="n"/>
    </row>
    <row r="953">
      <c r="BF953" s="78" t="n"/>
      <c r="BG953" s="78" t="n"/>
      <c r="BH953" s="78" t="n"/>
      <c r="BI953" s="78" t="n"/>
      <c r="BJ953" s="139" t="n"/>
      <c r="BK953" s="204" t="n"/>
      <c r="BL953" s="141" t="n"/>
      <c r="BM953" s="205" t="n"/>
      <c r="BN953" s="205" t="n"/>
      <c r="BO953" s="206" t="n"/>
      <c r="BP953" s="144" t="n"/>
      <c r="BQ953" s="141" t="n"/>
      <c r="BR953" s="207" t="n"/>
      <c r="BS953" s="207" t="n"/>
      <c r="BT953" s="207" t="n"/>
      <c r="BU953" s="207" t="n"/>
      <c r="BV953" s="208" t="n"/>
      <c r="BW953" s="207" t="n"/>
      <c r="BX953" s="207" t="n"/>
      <c r="BY953" s="204" t="n"/>
      <c r="BZ953" s="148" t="n"/>
      <c r="CA953" s="204" t="n"/>
      <c r="CB953" s="208" t="n"/>
      <c r="CC953" s="139" t="n"/>
      <c r="CD953" s="204" t="n"/>
      <c r="CE953" s="204" t="n"/>
      <c r="CF953" s="207" t="n"/>
      <c r="CG953" s="208" t="n"/>
      <c r="CH953" s="207" t="n"/>
      <c r="CI953" s="208" t="n"/>
      <c r="CJ953" s="204" t="n"/>
      <c r="CK953" s="208" t="n"/>
      <c r="CL953" s="208" t="n"/>
      <c r="CM953" s="208" t="n"/>
      <c r="CN953" s="78" t="n"/>
      <c r="CO953" s="209" t="n"/>
      <c r="CP953" s="204" t="n"/>
      <c r="CQ953" s="204" t="n"/>
      <c r="CR953" s="204" t="n"/>
      <c r="CS953" s="204" t="n"/>
      <c r="CT953" s="204" t="n"/>
      <c r="CU953" s="204" t="n"/>
      <c r="CV953" s="204" t="n"/>
      <c r="CW953" s="204" t="n"/>
    </row>
    <row r="954">
      <c r="BF954" s="78" t="n"/>
      <c r="BG954" s="78" t="n"/>
      <c r="BH954" s="78" t="n"/>
      <c r="BI954" s="78" t="n"/>
      <c r="BJ954" s="139" t="n"/>
      <c r="BK954" s="204" t="n"/>
      <c r="BL954" s="141" t="n"/>
      <c r="BM954" s="205" t="n"/>
      <c r="BN954" s="205" t="n"/>
      <c r="BO954" s="206" t="n"/>
      <c r="BP954" s="144" t="n"/>
      <c r="BQ954" s="141" t="n"/>
      <c r="BR954" s="207" t="n"/>
      <c r="BS954" s="207" t="n"/>
      <c r="BT954" s="207" t="n"/>
      <c r="BU954" s="207" t="n"/>
      <c r="BV954" s="208" t="n"/>
      <c r="BW954" s="207" t="n"/>
      <c r="BX954" s="207" t="n"/>
      <c r="BY954" s="204" t="n"/>
      <c r="BZ954" s="148" t="n"/>
      <c r="CA954" s="204" t="n"/>
      <c r="CB954" s="208" t="n"/>
      <c r="CC954" s="139" t="n"/>
      <c r="CD954" s="204" t="n"/>
      <c r="CE954" s="204" t="n"/>
      <c r="CF954" s="207" t="n"/>
      <c r="CG954" s="208" t="n"/>
      <c r="CH954" s="207" t="n"/>
      <c r="CI954" s="208" t="n"/>
      <c r="CJ954" s="204" t="n"/>
      <c r="CK954" s="208" t="n"/>
      <c r="CL954" s="208" t="n"/>
      <c r="CM954" s="208" t="n"/>
      <c r="CN954" s="78" t="n"/>
      <c r="CO954" s="209" t="n"/>
      <c r="CP954" s="204" t="n"/>
      <c r="CQ954" s="204" t="n"/>
      <c r="CR954" s="204" t="n"/>
      <c r="CS954" s="204" t="n"/>
      <c r="CT954" s="204" t="n"/>
      <c r="CU954" s="204" t="n"/>
      <c r="CV954" s="204" t="n"/>
      <c r="CW954" s="204" t="n"/>
    </row>
    <row r="955">
      <c r="BF955" s="78" t="n"/>
      <c r="BG955" s="78" t="n"/>
      <c r="BH955" s="78" t="n"/>
      <c r="BI955" s="78" t="n"/>
      <c r="BJ955" s="139" t="n"/>
      <c r="BK955" s="204" t="n"/>
      <c r="BL955" s="141" t="n"/>
      <c r="BM955" s="205" t="n"/>
      <c r="BN955" s="205" t="n"/>
      <c r="BO955" s="206" t="n"/>
      <c r="BP955" s="144" t="n"/>
      <c r="BQ955" s="141" t="n"/>
      <c r="BR955" s="207" t="n"/>
      <c r="BS955" s="207" t="n"/>
      <c r="BT955" s="207" t="n"/>
      <c r="BU955" s="207" t="n"/>
      <c r="BV955" s="208" t="n"/>
      <c r="BW955" s="207" t="n"/>
      <c r="BX955" s="207" t="n"/>
      <c r="BY955" s="204" t="n"/>
      <c r="BZ955" s="148" t="n"/>
      <c r="CA955" s="204" t="n"/>
      <c r="CB955" s="208" t="n"/>
      <c r="CC955" s="139" t="n"/>
      <c r="CD955" s="204" t="n"/>
      <c r="CE955" s="204" t="n"/>
      <c r="CF955" s="207" t="n"/>
      <c r="CG955" s="208" t="n"/>
      <c r="CH955" s="207" t="n"/>
      <c r="CI955" s="208" t="n"/>
      <c r="CJ955" s="204" t="n"/>
      <c r="CK955" s="208" t="n"/>
      <c r="CL955" s="208" t="n"/>
      <c r="CM955" s="208" t="n"/>
      <c r="CN955" s="78" t="n"/>
      <c r="CO955" s="209" t="n"/>
      <c r="CP955" s="204" t="n"/>
      <c r="CQ955" s="204" t="n"/>
      <c r="CR955" s="204" t="n"/>
      <c r="CS955" s="204" t="n"/>
      <c r="CT955" s="204" t="n"/>
      <c r="CU955" s="204" t="n"/>
      <c r="CV955" s="204" t="n"/>
      <c r="CW955" s="204" t="n"/>
    </row>
    <row r="956">
      <c r="BF956" s="78" t="n"/>
      <c r="BG956" s="78" t="n"/>
      <c r="BH956" s="78" t="n"/>
      <c r="BI956" s="78" t="n"/>
      <c r="BJ956" s="139" t="n"/>
      <c r="BK956" s="204" t="n"/>
      <c r="BL956" s="141" t="n"/>
      <c r="BM956" s="205" t="n"/>
      <c r="BN956" s="205" t="n"/>
      <c r="BO956" s="206" t="n"/>
      <c r="BP956" s="144" t="n"/>
      <c r="BQ956" s="141" t="n"/>
      <c r="BR956" s="207" t="n"/>
      <c r="BS956" s="207" t="n"/>
      <c r="BT956" s="207" t="n"/>
      <c r="BU956" s="207" t="n"/>
      <c r="BV956" s="208" t="n"/>
      <c r="BW956" s="207" t="n"/>
      <c r="BX956" s="207" t="n"/>
      <c r="BY956" s="204" t="n"/>
      <c r="BZ956" s="148" t="n"/>
      <c r="CA956" s="204" t="n"/>
      <c r="CB956" s="208" t="n"/>
      <c r="CC956" s="139" t="n"/>
      <c r="CD956" s="204" t="n"/>
      <c r="CE956" s="204" t="n"/>
      <c r="CF956" s="207" t="n"/>
      <c r="CG956" s="208" t="n"/>
      <c r="CH956" s="207" t="n"/>
      <c r="CI956" s="208" t="n"/>
      <c r="CJ956" s="204" t="n"/>
      <c r="CK956" s="208" t="n"/>
      <c r="CL956" s="208" t="n"/>
      <c r="CM956" s="208" t="n"/>
      <c r="CN956" s="78" t="n"/>
      <c r="CO956" s="209" t="n"/>
      <c r="CP956" s="204" t="n"/>
      <c r="CQ956" s="204" t="n"/>
      <c r="CR956" s="204" t="n"/>
      <c r="CS956" s="204" t="n"/>
      <c r="CT956" s="204" t="n"/>
      <c r="CU956" s="204" t="n"/>
      <c r="CV956" s="204" t="n"/>
      <c r="CW956" s="204" t="n"/>
    </row>
    <row r="957">
      <c r="BF957" s="78" t="n"/>
      <c r="BG957" s="78" t="n"/>
      <c r="BH957" s="78" t="n"/>
      <c r="BI957" s="78" t="n"/>
      <c r="BJ957" s="139" t="n"/>
      <c r="BK957" s="204" t="n"/>
      <c r="BL957" s="141" t="n"/>
      <c r="BM957" s="205" t="n"/>
      <c r="BN957" s="205" t="n"/>
      <c r="BO957" s="206" t="n"/>
      <c r="BP957" s="144" t="n"/>
      <c r="BQ957" s="141" t="n"/>
      <c r="BR957" s="207" t="n"/>
      <c r="BS957" s="207" t="n"/>
      <c r="BT957" s="207" t="n"/>
      <c r="BU957" s="207" t="n"/>
      <c r="BV957" s="208" t="n"/>
      <c r="BW957" s="207" t="n"/>
      <c r="BX957" s="207" t="n"/>
      <c r="BY957" s="204" t="n"/>
      <c r="BZ957" s="148" t="n"/>
      <c r="CA957" s="204" t="n"/>
      <c r="CB957" s="208" t="n"/>
      <c r="CC957" s="139" t="n"/>
      <c r="CD957" s="204" t="n"/>
      <c r="CE957" s="204" t="n"/>
      <c r="CF957" s="207" t="n"/>
      <c r="CG957" s="208" t="n"/>
      <c r="CH957" s="207" t="n"/>
      <c r="CI957" s="208" t="n"/>
      <c r="CJ957" s="204" t="n"/>
      <c r="CK957" s="208" t="n"/>
      <c r="CL957" s="208" t="n"/>
      <c r="CM957" s="208" t="n"/>
      <c r="CN957" s="78" t="n"/>
      <c r="CO957" s="209" t="n"/>
      <c r="CP957" s="204" t="n"/>
      <c r="CQ957" s="204" t="n"/>
      <c r="CR957" s="204" t="n"/>
      <c r="CS957" s="204" t="n"/>
      <c r="CT957" s="204" t="n"/>
      <c r="CU957" s="204" t="n"/>
      <c r="CV957" s="204" t="n"/>
      <c r="CW957" s="204" t="n"/>
    </row>
    <row r="958">
      <c r="BF958" s="78" t="n"/>
      <c r="BG958" s="78" t="n"/>
      <c r="BH958" s="78" t="n"/>
      <c r="BI958" s="78" t="n"/>
      <c r="BJ958" s="139" t="n"/>
      <c r="BK958" s="204" t="n"/>
      <c r="BL958" s="141" t="n"/>
      <c r="BM958" s="205" t="n"/>
      <c r="BN958" s="205" t="n"/>
      <c r="BO958" s="206" t="n"/>
      <c r="BP958" s="144" t="n"/>
      <c r="BQ958" s="141" t="n"/>
      <c r="BR958" s="207" t="n"/>
      <c r="BS958" s="207" t="n"/>
      <c r="BT958" s="207" t="n"/>
      <c r="BU958" s="207" t="n"/>
      <c r="BV958" s="208" t="n"/>
      <c r="BW958" s="207" t="n"/>
      <c r="BX958" s="207" t="n"/>
      <c r="BY958" s="204" t="n"/>
      <c r="BZ958" s="148" t="n"/>
      <c r="CA958" s="204" t="n"/>
      <c r="CB958" s="208" t="n"/>
      <c r="CC958" s="139" t="n"/>
      <c r="CD958" s="204" t="n"/>
      <c r="CE958" s="204" t="n"/>
      <c r="CF958" s="207" t="n"/>
      <c r="CG958" s="208" t="n"/>
      <c r="CH958" s="207" t="n"/>
      <c r="CI958" s="208" t="n"/>
      <c r="CJ958" s="204" t="n"/>
      <c r="CK958" s="208" t="n"/>
      <c r="CL958" s="208" t="n"/>
      <c r="CM958" s="208" t="n"/>
      <c r="CN958" s="78" t="n"/>
      <c r="CO958" s="209" t="n"/>
      <c r="CP958" s="204" t="n"/>
      <c r="CQ958" s="204" t="n"/>
      <c r="CR958" s="204" t="n"/>
      <c r="CS958" s="204" t="n"/>
      <c r="CT958" s="204" t="n"/>
      <c r="CU958" s="204" t="n"/>
      <c r="CV958" s="204" t="n"/>
      <c r="CW958" s="204" t="n"/>
    </row>
    <row r="959">
      <c r="BF959" s="78" t="n"/>
      <c r="BG959" s="78" t="n"/>
      <c r="BH959" s="78" t="n"/>
      <c r="BI959" s="78" t="n"/>
      <c r="BJ959" s="139" t="n"/>
      <c r="BK959" s="204" t="n"/>
      <c r="BL959" s="141" t="n"/>
      <c r="BM959" s="205" t="n"/>
      <c r="BN959" s="205" t="n"/>
      <c r="BO959" s="206" t="n"/>
      <c r="BP959" s="144" t="n"/>
      <c r="BQ959" s="141" t="n"/>
      <c r="BR959" s="207" t="n"/>
      <c r="BS959" s="207" t="n"/>
      <c r="BT959" s="207" t="n"/>
      <c r="BU959" s="207" t="n"/>
      <c r="BV959" s="208" t="n"/>
      <c r="BW959" s="207" t="n"/>
      <c r="BX959" s="207" t="n"/>
      <c r="BY959" s="204" t="n"/>
      <c r="BZ959" s="148" t="n"/>
      <c r="CA959" s="204" t="n"/>
      <c r="CB959" s="208" t="n"/>
      <c r="CC959" s="139" t="n"/>
      <c r="CD959" s="204" t="n"/>
      <c r="CE959" s="204" t="n"/>
      <c r="CF959" s="207" t="n"/>
      <c r="CG959" s="208" t="n"/>
      <c r="CH959" s="207" t="n"/>
      <c r="CI959" s="208" t="n"/>
      <c r="CJ959" s="204" t="n"/>
      <c r="CK959" s="208" t="n"/>
      <c r="CL959" s="208" t="n"/>
      <c r="CM959" s="208" t="n"/>
      <c r="CN959" s="78" t="n"/>
      <c r="CO959" s="209" t="n"/>
      <c r="CP959" s="204" t="n"/>
      <c r="CQ959" s="204" t="n"/>
      <c r="CR959" s="204" t="n"/>
      <c r="CS959" s="204" t="n"/>
      <c r="CT959" s="204" t="n"/>
      <c r="CU959" s="204" t="n"/>
      <c r="CV959" s="204" t="n"/>
      <c r="CW959" s="204" t="n"/>
    </row>
    <row r="960">
      <c r="BF960" s="78" t="n"/>
      <c r="BG960" s="78" t="n"/>
      <c r="BH960" s="78" t="n"/>
      <c r="BI960" s="78" t="n"/>
      <c r="BJ960" s="139" t="n"/>
      <c r="BK960" s="204" t="n"/>
      <c r="BL960" s="141" t="n"/>
      <c r="BM960" s="205" t="n"/>
      <c r="BN960" s="205" t="n"/>
      <c r="BO960" s="206" t="n"/>
      <c r="BP960" s="144" t="n"/>
      <c r="BQ960" s="141" t="n"/>
      <c r="BR960" s="207" t="n"/>
      <c r="BS960" s="207" t="n"/>
      <c r="BT960" s="207" t="n"/>
      <c r="BU960" s="207" t="n"/>
      <c r="BV960" s="208" t="n"/>
      <c r="BW960" s="207" t="n"/>
      <c r="BX960" s="207" t="n"/>
      <c r="BY960" s="204" t="n"/>
      <c r="BZ960" s="148" t="n"/>
      <c r="CA960" s="204" t="n"/>
      <c r="CB960" s="208" t="n"/>
      <c r="CC960" s="139" t="n"/>
      <c r="CD960" s="204" t="n"/>
      <c r="CE960" s="204" t="n"/>
      <c r="CF960" s="207" t="n"/>
      <c r="CG960" s="208" t="n"/>
      <c r="CH960" s="207" t="n"/>
      <c r="CI960" s="208" t="n"/>
      <c r="CJ960" s="204" t="n"/>
      <c r="CK960" s="208" t="n"/>
      <c r="CL960" s="208" t="n"/>
      <c r="CM960" s="208" t="n"/>
      <c r="CN960" s="78" t="n"/>
      <c r="CO960" s="209" t="n"/>
      <c r="CP960" s="204" t="n"/>
      <c r="CQ960" s="204" t="n"/>
      <c r="CR960" s="204" t="n"/>
      <c r="CS960" s="204" t="n"/>
      <c r="CT960" s="204" t="n"/>
      <c r="CU960" s="204" t="n"/>
      <c r="CV960" s="204" t="n"/>
      <c r="CW960" s="204" t="n"/>
    </row>
    <row r="961">
      <c r="BF961" s="78" t="n"/>
      <c r="BG961" s="78" t="n"/>
      <c r="BH961" s="78" t="n"/>
      <c r="BI961" s="78" t="n"/>
      <c r="BJ961" s="139" t="n"/>
      <c r="BK961" s="204" t="n"/>
      <c r="BL961" s="141" t="n"/>
      <c r="BM961" s="205" t="n"/>
      <c r="BN961" s="205" t="n"/>
      <c r="BO961" s="206" t="n"/>
      <c r="BP961" s="144" t="n"/>
      <c r="BQ961" s="141" t="n"/>
      <c r="BR961" s="207" t="n"/>
      <c r="BS961" s="207" t="n"/>
      <c r="BT961" s="207" t="n"/>
      <c r="BU961" s="207" t="n"/>
      <c r="BV961" s="208" t="n"/>
      <c r="BW961" s="207" t="n"/>
      <c r="BX961" s="207" t="n"/>
      <c r="BY961" s="204" t="n"/>
      <c r="BZ961" s="148" t="n"/>
      <c r="CA961" s="204" t="n"/>
      <c r="CB961" s="208" t="n"/>
      <c r="CC961" s="139" t="n"/>
      <c r="CD961" s="204" t="n"/>
      <c r="CE961" s="204" t="n"/>
      <c r="CF961" s="207" t="n"/>
      <c r="CG961" s="208" t="n"/>
      <c r="CH961" s="207" t="n"/>
      <c r="CI961" s="208" t="n"/>
      <c r="CJ961" s="204" t="n"/>
      <c r="CK961" s="208" t="n"/>
      <c r="CL961" s="208" t="n"/>
      <c r="CM961" s="208" t="n"/>
      <c r="CN961" s="78" t="n"/>
      <c r="CO961" s="209" t="n"/>
      <c r="CP961" s="204" t="n"/>
      <c r="CQ961" s="204" t="n"/>
      <c r="CR961" s="204" t="n"/>
      <c r="CS961" s="204" t="n"/>
      <c r="CT961" s="204" t="n"/>
      <c r="CU961" s="204" t="n"/>
      <c r="CV961" s="204" t="n"/>
      <c r="CW961" s="204" t="n"/>
    </row>
    <row r="962">
      <c r="BF962" s="78" t="n"/>
      <c r="BG962" s="78" t="n"/>
      <c r="BH962" s="78" t="n"/>
      <c r="BI962" s="78" t="n"/>
      <c r="BJ962" s="139" t="n"/>
      <c r="BK962" s="204" t="n"/>
      <c r="BL962" s="141" t="n"/>
      <c r="BM962" s="205" t="n"/>
      <c r="BN962" s="205" t="n"/>
      <c r="BO962" s="206" t="n"/>
      <c r="BP962" s="144" t="n"/>
      <c r="BQ962" s="141" t="n"/>
      <c r="BR962" s="207" t="n"/>
      <c r="BS962" s="207" t="n"/>
      <c r="BT962" s="207" t="n"/>
      <c r="BU962" s="207" t="n"/>
      <c r="BV962" s="208" t="n"/>
      <c r="BW962" s="207" t="n"/>
      <c r="BX962" s="207" t="n"/>
      <c r="BY962" s="204" t="n"/>
      <c r="BZ962" s="148" t="n"/>
      <c r="CA962" s="204" t="n"/>
      <c r="CB962" s="208" t="n"/>
      <c r="CC962" s="139" t="n"/>
      <c r="CD962" s="204" t="n"/>
      <c r="CE962" s="204" t="n"/>
      <c r="CF962" s="207" t="n"/>
      <c r="CG962" s="208" t="n"/>
      <c r="CH962" s="207" t="n"/>
      <c r="CI962" s="208" t="n"/>
      <c r="CJ962" s="204" t="n"/>
      <c r="CK962" s="208" t="n"/>
      <c r="CL962" s="208" t="n"/>
      <c r="CM962" s="208" t="n"/>
      <c r="CN962" s="78" t="n"/>
      <c r="CO962" s="209" t="n"/>
      <c r="CP962" s="204" t="n"/>
      <c r="CQ962" s="204" t="n"/>
      <c r="CR962" s="204" t="n"/>
      <c r="CS962" s="204" t="n"/>
      <c r="CT962" s="204" t="n"/>
      <c r="CU962" s="204" t="n"/>
      <c r="CV962" s="204" t="n"/>
      <c r="CW962" s="204" t="n"/>
    </row>
    <row r="963">
      <c r="BF963" s="78" t="n"/>
      <c r="BG963" s="78" t="n"/>
      <c r="BH963" s="78" t="n"/>
      <c r="BI963" s="78" t="n"/>
      <c r="BJ963" s="139" t="n"/>
      <c r="BK963" s="204" t="n"/>
      <c r="BL963" s="141" t="n"/>
      <c r="BM963" s="205" t="n"/>
      <c r="BN963" s="205" t="n"/>
      <c r="BO963" s="206" t="n"/>
      <c r="BP963" s="144" t="n"/>
      <c r="BQ963" s="141" t="n"/>
      <c r="BR963" s="207" t="n"/>
      <c r="BS963" s="207" t="n"/>
      <c r="BT963" s="207" t="n"/>
      <c r="BU963" s="207" t="n"/>
      <c r="BV963" s="208" t="n"/>
      <c r="BW963" s="207" t="n"/>
      <c r="BX963" s="207" t="n"/>
      <c r="BY963" s="204" t="n"/>
      <c r="BZ963" s="148" t="n"/>
      <c r="CA963" s="204" t="n"/>
      <c r="CB963" s="208" t="n"/>
      <c r="CC963" s="139" t="n"/>
      <c r="CD963" s="204" t="n"/>
      <c r="CE963" s="204" t="n"/>
      <c r="CF963" s="207" t="n"/>
      <c r="CG963" s="208" t="n"/>
      <c r="CH963" s="207" t="n"/>
      <c r="CI963" s="208" t="n"/>
      <c r="CJ963" s="204" t="n"/>
      <c r="CK963" s="208" t="n"/>
      <c r="CL963" s="208" t="n"/>
      <c r="CM963" s="208" t="n"/>
      <c r="CN963" s="78" t="n"/>
      <c r="CO963" s="209" t="n"/>
      <c r="CP963" s="204" t="n"/>
      <c r="CQ963" s="204" t="n"/>
      <c r="CR963" s="204" t="n"/>
      <c r="CS963" s="204" t="n"/>
      <c r="CT963" s="204" t="n"/>
      <c r="CU963" s="204" t="n"/>
      <c r="CV963" s="204" t="n"/>
      <c r="CW963" s="204" t="n"/>
    </row>
    <row r="964">
      <c r="BF964" s="78" t="n"/>
      <c r="BG964" s="78" t="n"/>
      <c r="BH964" s="78" t="n"/>
      <c r="BI964" s="78" t="n"/>
      <c r="BJ964" s="139" t="n"/>
      <c r="BK964" s="204" t="n"/>
      <c r="BL964" s="141" t="n"/>
      <c r="BM964" s="205" t="n"/>
      <c r="BN964" s="205" t="n"/>
      <c r="BO964" s="206" t="n"/>
      <c r="BP964" s="144" t="n"/>
      <c r="BQ964" s="141" t="n"/>
      <c r="BR964" s="207" t="n"/>
      <c r="BS964" s="207" t="n"/>
      <c r="BT964" s="207" t="n"/>
      <c r="BU964" s="207" t="n"/>
      <c r="BV964" s="208" t="n"/>
      <c r="BW964" s="207" t="n"/>
      <c r="BX964" s="207" t="n"/>
      <c r="BY964" s="204" t="n"/>
      <c r="BZ964" s="148" t="n"/>
      <c r="CA964" s="204" t="n"/>
      <c r="CB964" s="208" t="n"/>
      <c r="CC964" s="139" t="n"/>
      <c r="CD964" s="204" t="n"/>
      <c r="CE964" s="204" t="n"/>
      <c r="CF964" s="207" t="n"/>
      <c r="CG964" s="208" t="n"/>
      <c r="CH964" s="207" t="n"/>
      <c r="CI964" s="208" t="n"/>
      <c r="CJ964" s="204" t="n"/>
      <c r="CK964" s="208" t="n"/>
      <c r="CL964" s="208" t="n"/>
      <c r="CM964" s="208" t="n"/>
      <c r="CN964" s="78" t="n"/>
      <c r="CO964" s="209" t="n"/>
      <c r="CP964" s="204" t="n"/>
      <c r="CQ964" s="204" t="n"/>
      <c r="CR964" s="204" t="n"/>
      <c r="CS964" s="204" t="n"/>
      <c r="CT964" s="204" t="n"/>
      <c r="CU964" s="204" t="n"/>
      <c r="CV964" s="204" t="n"/>
      <c r="CW964" s="204" t="n"/>
    </row>
    <row r="965">
      <c r="BF965" s="78" t="n"/>
      <c r="BG965" s="78" t="n"/>
      <c r="BH965" s="78" t="n"/>
      <c r="BI965" s="78" t="n"/>
      <c r="BJ965" s="139" t="n"/>
      <c r="BK965" s="204" t="n"/>
      <c r="BL965" s="141" t="n"/>
      <c r="BM965" s="205" t="n"/>
      <c r="BN965" s="205" t="n"/>
      <c r="BO965" s="206" t="n"/>
      <c r="BP965" s="144" t="n"/>
      <c r="BQ965" s="141" t="n"/>
      <c r="BR965" s="207" t="n"/>
      <c r="BS965" s="207" t="n"/>
      <c r="BT965" s="207" t="n"/>
      <c r="BU965" s="207" t="n"/>
      <c r="BV965" s="208" t="n"/>
      <c r="BW965" s="207" t="n"/>
      <c r="BX965" s="207" t="n"/>
      <c r="BY965" s="204" t="n"/>
      <c r="BZ965" s="148" t="n"/>
      <c r="CA965" s="204" t="n"/>
      <c r="CB965" s="208" t="n"/>
      <c r="CC965" s="139" t="n"/>
      <c r="CD965" s="204" t="n"/>
      <c r="CE965" s="204" t="n"/>
      <c r="CF965" s="207" t="n"/>
      <c r="CG965" s="208" t="n"/>
      <c r="CH965" s="207" t="n"/>
      <c r="CI965" s="208" t="n"/>
      <c r="CJ965" s="204" t="n"/>
      <c r="CK965" s="208" t="n"/>
      <c r="CL965" s="208" t="n"/>
      <c r="CM965" s="208" t="n"/>
      <c r="CN965" s="78" t="n"/>
      <c r="CO965" s="209" t="n"/>
      <c r="CP965" s="204" t="n"/>
      <c r="CQ965" s="204" t="n"/>
      <c r="CR965" s="204" t="n"/>
      <c r="CS965" s="204" t="n"/>
      <c r="CT965" s="204" t="n"/>
      <c r="CU965" s="204" t="n"/>
      <c r="CV965" s="204" t="n"/>
      <c r="CW965" s="204" t="n"/>
    </row>
    <row r="966">
      <c r="BF966" s="78" t="n"/>
      <c r="BG966" s="78" t="n"/>
      <c r="BH966" s="78" t="n"/>
      <c r="BI966" s="78" t="n"/>
      <c r="BJ966" s="139" t="n"/>
      <c r="BK966" s="204" t="n"/>
      <c r="BL966" s="141" t="n"/>
      <c r="BM966" s="205" t="n"/>
      <c r="BN966" s="205" t="n"/>
      <c r="BO966" s="206" t="n"/>
      <c r="BP966" s="144" t="n"/>
      <c r="BQ966" s="141" t="n"/>
      <c r="BR966" s="207" t="n"/>
      <c r="BS966" s="207" t="n"/>
      <c r="BT966" s="207" t="n"/>
      <c r="BU966" s="207" t="n"/>
      <c r="BV966" s="208" t="n"/>
      <c r="BW966" s="207" t="n"/>
      <c r="BX966" s="207" t="n"/>
      <c r="BY966" s="204" t="n"/>
      <c r="BZ966" s="148" t="n"/>
      <c r="CA966" s="204" t="n"/>
      <c r="CB966" s="208" t="n"/>
      <c r="CC966" s="139" t="n"/>
      <c r="CD966" s="204" t="n"/>
      <c r="CE966" s="204" t="n"/>
      <c r="CF966" s="207" t="n"/>
      <c r="CG966" s="208" t="n"/>
      <c r="CH966" s="207" t="n"/>
      <c r="CI966" s="208" t="n"/>
      <c r="CJ966" s="204" t="n"/>
      <c r="CK966" s="208" t="n"/>
      <c r="CL966" s="208" t="n"/>
      <c r="CM966" s="208" t="n"/>
      <c r="CN966" s="78" t="n"/>
      <c r="CO966" s="209" t="n"/>
      <c r="CP966" s="204" t="n"/>
      <c r="CQ966" s="204" t="n"/>
      <c r="CR966" s="204" t="n"/>
      <c r="CS966" s="204" t="n"/>
      <c r="CT966" s="204" t="n"/>
      <c r="CU966" s="204" t="n"/>
      <c r="CV966" s="204" t="n"/>
      <c r="CW966" s="204" t="n"/>
    </row>
    <row r="967">
      <c r="BF967" s="78" t="n"/>
      <c r="BG967" s="78" t="n"/>
      <c r="BH967" s="78" t="n"/>
      <c r="BI967" s="78" t="n"/>
      <c r="BJ967" s="139" t="n"/>
      <c r="BK967" s="204" t="n"/>
      <c r="BL967" s="141" t="n"/>
      <c r="BM967" s="205" t="n"/>
      <c r="BN967" s="205" t="n"/>
      <c r="BO967" s="206" t="n"/>
      <c r="BP967" s="144" t="n"/>
      <c r="BQ967" s="141" t="n"/>
      <c r="BR967" s="207" t="n"/>
      <c r="BS967" s="207" t="n"/>
      <c r="BT967" s="207" t="n"/>
      <c r="BU967" s="207" t="n"/>
      <c r="BV967" s="208" t="n"/>
      <c r="BW967" s="207" t="n"/>
      <c r="BX967" s="207" t="n"/>
      <c r="BY967" s="204" t="n"/>
      <c r="BZ967" s="148" t="n"/>
      <c r="CA967" s="204" t="n"/>
      <c r="CB967" s="208" t="n"/>
      <c r="CC967" s="139" t="n"/>
      <c r="CD967" s="204" t="n"/>
      <c r="CE967" s="204" t="n"/>
      <c r="CF967" s="207" t="n"/>
      <c r="CG967" s="208" t="n"/>
      <c r="CH967" s="207" t="n"/>
      <c r="CI967" s="208" t="n"/>
      <c r="CJ967" s="204" t="n"/>
      <c r="CK967" s="208" t="n"/>
      <c r="CL967" s="208" t="n"/>
      <c r="CM967" s="208" t="n"/>
      <c r="CN967" s="78" t="n"/>
      <c r="CO967" s="209" t="n"/>
      <c r="CP967" s="204" t="n"/>
      <c r="CQ967" s="204" t="n"/>
      <c r="CR967" s="204" t="n"/>
      <c r="CS967" s="204" t="n"/>
      <c r="CT967" s="204" t="n"/>
      <c r="CU967" s="204" t="n"/>
      <c r="CV967" s="204" t="n"/>
      <c r="CW967" s="204" t="n"/>
    </row>
    <row r="968">
      <c r="BF968" s="78" t="n"/>
      <c r="BG968" s="78" t="n"/>
      <c r="BH968" s="78" t="n"/>
      <c r="BI968" s="78" t="n"/>
      <c r="BJ968" s="139" t="n"/>
      <c r="BK968" s="204" t="n"/>
      <c r="BL968" s="141" t="n"/>
      <c r="BM968" s="205" t="n"/>
      <c r="BN968" s="205" t="n"/>
      <c r="BO968" s="206" t="n"/>
      <c r="BP968" s="144" t="n"/>
      <c r="BQ968" s="141" t="n"/>
      <c r="BR968" s="207" t="n"/>
      <c r="BS968" s="207" t="n"/>
      <c r="BT968" s="207" t="n"/>
      <c r="BU968" s="207" t="n"/>
      <c r="BV968" s="208" t="n"/>
      <c r="BW968" s="207" t="n"/>
      <c r="BX968" s="207" t="n"/>
      <c r="BY968" s="204" t="n"/>
      <c r="BZ968" s="148" t="n"/>
      <c r="CA968" s="204" t="n"/>
      <c r="CB968" s="208" t="n"/>
      <c r="CC968" s="139" t="n"/>
      <c r="CD968" s="204" t="n"/>
      <c r="CE968" s="204" t="n"/>
      <c r="CF968" s="207" t="n"/>
      <c r="CG968" s="208" t="n"/>
      <c r="CH968" s="207" t="n"/>
      <c r="CI968" s="208" t="n"/>
      <c r="CJ968" s="204" t="n"/>
      <c r="CK968" s="208" t="n"/>
      <c r="CL968" s="208" t="n"/>
      <c r="CM968" s="208" t="n"/>
      <c r="CN968" s="78" t="n"/>
      <c r="CO968" s="209" t="n"/>
      <c r="CP968" s="204" t="n"/>
      <c r="CQ968" s="204" t="n"/>
      <c r="CR968" s="204" t="n"/>
      <c r="CS968" s="204" t="n"/>
      <c r="CT968" s="204" t="n"/>
      <c r="CU968" s="204" t="n"/>
      <c r="CV968" s="204" t="n"/>
      <c r="CW968" s="204" t="n"/>
    </row>
    <row r="969">
      <c r="BF969" s="78" t="n"/>
      <c r="BG969" s="78" t="n"/>
      <c r="BH969" s="78" t="n"/>
      <c r="BI969" s="78" t="n"/>
      <c r="BJ969" s="139" t="n"/>
      <c r="BK969" s="204" t="n"/>
      <c r="BL969" s="141" t="n"/>
      <c r="BM969" s="205" t="n"/>
      <c r="BN969" s="205" t="n"/>
      <c r="BO969" s="206" t="n"/>
      <c r="BP969" s="144" t="n"/>
      <c r="BQ969" s="141" t="n"/>
      <c r="BR969" s="207" t="n"/>
      <c r="BS969" s="207" t="n"/>
      <c r="BT969" s="207" t="n"/>
      <c r="BU969" s="207" t="n"/>
      <c r="BV969" s="208" t="n"/>
      <c r="BW969" s="207" t="n"/>
      <c r="BX969" s="207" t="n"/>
      <c r="BY969" s="204" t="n"/>
      <c r="BZ969" s="148" t="n"/>
      <c r="CA969" s="204" t="n"/>
      <c r="CB969" s="208" t="n"/>
      <c r="CC969" s="139" t="n"/>
      <c r="CD969" s="204" t="n"/>
      <c r="CE969" s="204" t="n"/>
      <c r="CF969" s="207" t="n"/>
      <c r="CG969" s="208" t="n"/>
      <c r="CH969" s="207" t="n"/>
      <c r="CI969" s="208" t="n"/>
      <c r="CJ969" s="204" t="n"/>
      <c r="CK969" s="208" t="n"/>
      <c r="CL969" s="208" t="n"/>
      <c r="CM969" s="208" t="n"/>
      <c r="CN969" s="78" t="n"/>
      <c r="CO969" s="209" t="n"/>
      <c r="CP969" s="204" t="n"/>
      <c r="CQ969" s="204" t="n"/>
      <c r="CR969" s="204" t="n"/>
      <c r="CS969" s="204" t="n"/>
      <c r="CT969" s="204" t="n"/>
      <c r="CU969" s="204" t="n"/>
      <c r="CV969" s="204" t="n"/>
      <c r="CW969" s="204" t="n"/>
    </row>
    <row r="970">
      <c r="BF970" s="78" t="n"/>
      <c r="BG970" s="78" t="n"/>
      <c r="BH970" s="78" t="n"/>
      <c r="BI970" s="78" t="n"/>
      <c r="BJ970" s="139" t="n"/>
      <c r="BK970" s="204" t="n"/>
      <c r="BL970" s="141" t="n"/>
      <c r="BM970" s="205" t="n"/>
      <c r="BN970" s="205" t="n"/>
      <c r="BO970" s="206" t="n"/>
      <c r="BP970" s="144" t="n"/>
      <c r="BQ970" s="141" t="n"/>
      <c r="BR970" s="207" t="n"/>
      <c r="BS970" s="207" t="n"/>
      <c r="BT970" s="207" t="n"/>
      <c r="BU970" s="207" t="n"/>
      <c r="BV970" s="208" t="n"/>
      <c r="BW970" s="207" t="n"/>
      <c r="BX970" s="207" t="n"/>
      <c r="BY970" s="204" t="n"/>
      <c r="BZ970" s="148" t="n"/>
      <c r="CA970" s="204" t="n"/>
      <c r="CB970" s="208" t="n"/>
      <c r="CC970" s="139" t="n"/>
      <c r="CD970" s="204" t="n"/>
      <c r="CE970" s="204" t="n"/>
      <c r="CF970" s="207" t="n"/>
      <c r="CG970" s="208" t="n"/>
      <c r="CH970" s="207" t="n"/>
      <c r="CI970" s="208" t="n"/>
      <c r="CJ970" s="204" t="n"/>
      <c r="CK970" s="208" t="n"/>
      <c r="CL970" s="208" t="n"/>
      <c r="CM970" s="208" t="n"/>
      <c r="CN970" s="78" t="n"/>
      <c r="CO970" s="209" t="n"/>
      <c r="CP970" s="204" t="n"/>
      <c r="CQ970" s="204" t="n"/>
      <c r="CR970" s="204" t="n"/>
      <c r="CS970" s="204" t="n"/>
      <c r="CT970" s="204" t="n"/>
      <c r="CU970" s="204" t="n"/>
      <c r="CV970" s="204" t="n"/>
      <c r="CW970" s="204" t="n"/>
    </row>
    <row r="971">
      <c r="BF971" s="78" t="n"/>
      <c r="BG971" s="78" t="n"/>
      <c r="BH971" s="78" t="n"/>
      <c r="BI971" s="78" t="n"/>
      <c r="BJ971" s="139" t="n"/>
      <c r="BK971" s="204" t="n"/>
      <c r="BL971" s="141" t="n"/>
      <c r="BM971" s="205" t="n"/>
      <c r="BN971" s="205" t="n"/>
      <c r="BO971" s="206" t="n"/>
      <c r="BP971" s="144" t="n"/>
      <c r="BQ971" s="141" t="n"/>
      <c r="BR971" s="207" t="n"/>
      <c r="BS971" s="207" t="n"/>
      <c r="BT971" s="207" t="n"/>
      <c r="BU971" s="207" t="n"/>
      <c r="BV971" s="208" t="n"/>
      <c r="BW971" s="207" t="n"/>
      <c r="BX971" s="207" t="n"/>
      <c r="BY971" s="204" t="n"/>
      <c r="BZ971" s="148" t="n"/>
      <c r="CA971" s="204" t="n"/>
      <c r="CB971" s="208" t="n"/>
      <c r="CC971" s="139" t="n"/>
      <c r="CD971" s="204" t="n"/>
      <c r="CE971" s="204" t="n"/>
      <c r="CF971" s="207" t="n"/>
      <c r="CG971" s="208" t="n"/>
      <c r="CH971" s="207" t="n"/>
      <c r="CI971" s="208" t="n"/>
      <c r="CJ971" s="204" t="n"/>
      <c r="CK971" s="208" t="n"/>
      <c r="CL971" s="208" t="n"/>
      <c r="CM971" s="208" t="n"/>
      <c r="CN971" s="78" t="n"/>
      <c r="CO971" s="209" t="n"/>
      <c r="CP971" s="204" t="n"/>
      <c r="CQ971" s="204" t="n"/>
      <c r="CR971" s="204" t="n"/>
      <c r="CS971" s="204" t="n"/>
      <c r="CT971" s="204" t="n"/>
      <c r="CU971" s="204" t="n"/>
      <c r="CV971" s="204" t="n"/>
      <c r="CW971" s="204" t="n"/>
    </row>
    <row r="972">
      <c r="BF972" s="78" t="n"/>
      <c r="BG972" s="78" t="n"/>
      <c r="BH972" s="78" t="n"/>
      <c r="BI972" s="78" t="n"/>
      <c r="BJ972" s="139" t="n"/>
      <c r="BK972" s="204" t="n"/>
      <c r="BL972" s="141" t="n"/>
      <c r="BM972" s="205" t="n"/>
      <c r="BN972" s="205" t="n"/>
      <c r="BO972" s="206" t="n"/>
      <c r="BP972" s="144" t="n"/>
      <c r="BQ972" s="141" t="n"/>
      <c r="BR972" s="207" t="n"/>
      <c r="BS972" s="207" t="n"/>
      <c r="BT972" s="207" t="n"/>
      <c r="BU972" s="207" t="n"/>
      <c r="BV972" s="208" t="n"/>
      <c r="BW972" s="207" t="n"/>
      <c r="BX972" s="207" t="n"/>
      <c r="BY972" s="204" t="n"/>
      <c r="BZ972" s="148" t="n"/>
      <c r="CA972" s="204" t="n"/>
      <c r="CB972" s="208" t="n"/>
      <c r="CC972" s="139" t="n"/>
      <c r="CD972" s="204" t="n"/>
      <c r="CE972" s="204" t="n"/>
      <c r="CF972" s="207" t="n"/>
      <c r="CG972" s="208" t="n"/>
      <c r="CH972" s="207" t="n"/>
      <c r="CI972" s="208" t="n"/>
      <c r="CJ972" s="204" t="n"/>
      <c r="CK972" s="208" t="n"/>
      <c r="CL972" s="208" t="n"/>
      <c r="CM972" s="208" t="n"/>
      <c r="CN972" s="78" t="n"/>
      <c r="CO972" s="209" t="n"/>
      <c r="CP972" s="204" t="n"/>
      <c r="CQ972" s="204" t="n"/>
      <c r="CR972" s="204" t="n"/>
      <c r="CS972" s="204" t="n"/>
      <c r="CT972" s="204" t="n"/>
      <c r="CU972" s="204" t="n"/>
      <c r="CV972" s="204" t="n"/>
      <c r="CW972" s="204" t="n"/>
    </row>
    <row r="973">
      <c r="BF973" s="78" t="n"/>
      <c r="BG973" s="78" t="n"/>
      <c r="BH973" s="78" t="n"/>
      <c r="BI973" s="78" t="n"/>
      <c r="BJ973" s="139" t="n"/>
      <c r="BK973" s="204" t="n"/>
      <c r="BL973" s="141" t="n"/>
      <c r="BM973" s="205" t="n"/>
      <c r="BN973" s="205" t="n"/>
      <c r="BO973" s="206" t="n"/>
      <c r="BP973" s="144" t="n"/>
      <c r="BQ973" s="141" t="n"/>
      <c r="BR973" s="207" t="n"/>
      <c r="BS973" s="207" t="n"/>
      <c r="BT973" s="207" t="n"/>
      <c r="BU973" s="207" t="n"/>
      <c r="BV973" s="208" t="n"/>
      <c r="BW973" s="207" t="n"/>
      <c r="BX973" s="207" t="n"/>
      <c r="BY973" s="204" t="n"/>
      <c r="BZ973" s="148" t="n"/>
      <c r="CA973" s="204" t="n"/>
      <c r="CB973" s="208" t="n"/>
      <c r="CC973" s="139" t="n"/>
      <c r="CD973" s="204" t="n"/>
      <c r="CE973" s="204" t="n"/>
      <c r="CF973" s="207" t="n"/>
      <c r="CG973" s="208" t="n"/>
      <c r="CH973" s="207" t="n"/>
      <c r="CI973" s="208" t="n"/>
      <c r="CJ973" s="204" t="n"/>
      <c r="CK973" s="208" t="n"/>
      <c r="CL973" s="208" t="n"/>
      <c r="CM973" s="208" t="n"/>
      <c r="CN973" s="78" t="n"/>
      <c r="CO973" s="209" t="n"/>
      <c r="CP973" s="204" t="n"/>
      <c r="CQ973" s="204" t="n"/>
      <c r="CR973" s="204" t="n"/>
      <c r="CS973" s="204" t="n"/>
      <c r="CT973" s="204" t="n"/>
      <c r="CU973" s="204" t="n"/>
      <c r="CV973" s="204" t="n"/>
      <c r="CW973" s="204" t="n"/>
    </row>
    <row r="974">
      <c r="BF974" s="78" t="n"/>
      <c r="BG974" s="78" t="n"/>
      <c r="BH974" s="78" t="n"/>
      <c r="BI974" s="78" t="n"/>
      <c r="BJ974" s="139" t="n"/>
      <c r="BK974" s="204" t="n"/>
      <c r="BL974" s="141" t="n"/>
      <c r="BM974" s="205" t="n"/>
      <c r="BN974" s="205" t="n"/>
      <c r="BO974" s="206" t="n"/>
      <c r="BP974" s="144" t="n"/>
      <c r="BQ974" s="141" t="n"/>
      <c r="BR974" s="207" t="n"/>
      <c r="BS974" s="207" t="n"/>
      <c r="BT974" s="207" t="n"/>
      <c r="BU974" s="207" t="n"/>
      <c r="BV974" s="208" t="n"/>
      <c r="BW974" s="207" t="n"/>
      <c r="BX974" s="207" t="n"/>
      <c r="BY974" s="204" t="n"/>
      <c r="BZ974" s="148" t="n"/>
      <c r="CA974" s="204" t="n"/>
      <c r="CB974" s="208" t="n"/>
      <c r="CC974" s="139" t="n"/>
      <c r="CD974" s="204" t="n"/>
      <c r="CE974" s="204" t="n"/>
      <c r="CF974" s="207" t="n"/>
      <c r="CG974" s="208" t="n"/>
      <c r="CH974" s="207" t="n"/>
      <c r="CI974" s="208" t="n"/>
      <c r="CJ974" s="204" t="n"/>
      <c r="CK974" s="208" t="n"/>
      <c r="CL974" s="208" t="n"/>
      <c r="CM974" s="208" t="n"/>
      <c r="CN974" s="78" t="n"/>
      <c r="CO974" s="209" t="n"/>
      <c r="CP974" s="204" t="n"/>
      <c r="CQ974" s="204" t="n"/>
      <c r="CR974" s="204" t="n"/>
      <c r="CS974" s="204" t="n"/>
      <c r="CT974" s="204" t="n"/>
      <c r="CU974" s="204" t="n"/>
      <c r="CV974" s="204" t="n"/>
      <c r="CW974" s="204" t="n"/>
    </row>
    <row r="975">
      <c r="BF975" s="78" t="n"/>
      <c r="BG975" s="78" t="n"/>
      <c r="BH975" s="78" t="n"/>
      <c r="BI975" s="78" t="n"/>
      <c r="BJ975" s="139" t="n"/>
      <c r="BK975" s="204" t="n"/>
      <c r="BL975" s="141" t="n"/>
      <c r="BM975" s="205" t="n"/>
      <c r="BN975" s="205" t="n"/>
      <c r="BO975" s="206" t="n"/>
      <c r="BP975" s="144" t="n"/>
      <c r="BQ975" s="141" t="n"/>
      <c r="BR975" s="207" t="n"/>
      <c r="BS975" s="207" t="n"/>
      <c r="BT975" s="207" t="n"/>
      <c r="BU975" s="207" t="n"/>
      <c r="BV975" s="208" t="n"/>
      <c r="BW975" s="207" t="n"/>
      <c r="BX975" s="207" t="n"/>
      <c r="BY975" s="204" t="n"/>
      <c r="BZ975" s="148" t="n"/>
      <c r="CA975" s="204" t="n"/>
      <c r="CB975" s="208" t="n"/>
      <c r="CC975" s="139" t="n"/>
      <c r="CD975" s="204" t="n"/>
      <c r="CE975" s="204" t="n"/>
      <c r="CF975" s="207" t="n"/>
      <c r="CG975" s="208" t="n"/>
      <c r="CH975" s="207" t="n"/>
      <c r="CI975" s="208" t="n"/>
      <c r="CJ975" s="204" t="n"/>
      <c r="CK975" s="208" t="n"/>
      <c r="CL975" s="208" t="n"/>
      <c r="CM975" s="208" t="n"/>
      <c r="CN975" s="78" t="n"/>
      <c r="CO975" s="209" t="n"/>
      <c r="CP975" s="204" t="n"/>
      <c r="CQ975" s="204" t="n"/>
      <c r="CR975" s="204" t="n"/>
      <c r="CS975" s="204" t="n"/>
      <c r="CT975" s="204" t="n"/>
      <c r="CU975" s="204" t="n"/>
      <c r="CV975" s="204" t="n"/>
      <c r="CW975" s="204" t="n"/>
    </row>
    <row r="976">
      <c r="BF976" s="78" t="n"/>
      <c r="BG976" s="78" t="n"/>
      <c r="BH976" s="78" t="n"/>
      <c r="BI976" s="78" t="n"/>
      <c r="BJ976" s="139" t="n"/>
      <c r="BK976" s="204" t="n"/>
      <c r="BL976" s="141" t="n"/>
      <c r="BM976" s="205" t="n"/>
      <c r="BN976" s="205" t="n"/>
      <c r="BO976" s="206" t="n"/>
      <c r="BP976" s="144" t="n"/>
      <c r="BQ976" s="141" t="n"/>
      <c r="BR976" s="207" t="n"/>
      <c r="BS976" s="207" t="n"/>
      <c r="BT976" s="207" t="n"/>
      <c r="BU976" s="207" t="n"/>
      <c r="BV976" s="208" t="n"/>
      <c r="BW976" s="207" t="n"/>
      <c r="BX976" s="207" t="n"/>
      <c r="BY976" s="204" t="n"/>
      <c r="BZ976" s="148" t="n"/>
      <c r="CA976" s="204" t="n"/>
      <c r="CB976" s="208" t="n"/>
      <c r="CC976" s="139" t="n"/>
      <c r="CD976" s="204" t="n"/>
      <c r="CE976" s="204" t="n"/>
      <c r="CF976" s="207" t="n"/>
      <c r="CG976" s="208" t="n"/>
      <c r="CH976" s="207" t="n"/>
      <c r="CI976" s="208" t="n"/>
      <c r="CJ976" s="204" t="n"/>
      <c r="CK976" s="208" t="n"/>
      <c r="CL976" s="208" t="n"/>
      <c r="CM976" s="208" t="n"/>
      <c r="CN976" s="78" t="n"/>
      <c r="CO976" s="209" t="n"/>
      <c r="CP976" s="204" t="n"/>
      <c r="CQ976" s="204" t="n"/>
      <c r="CR976" s="204" t="n"/>
      <c r="CS976" s="204" t="n"/>
      <c r="CT976" s="204" t="n"/>
      <c r="CU976" s="204" t="n"/>
      <c r="CV976" s="204" t="n"/>
      <c r="CW976" s="204" t="n"/>
    </row>
    <row r="977">
      <c r="BF977" s="78" t="n"/>
      <c r="BG977" s="78" t="n"/>
      <c r="BH977" s="78" t="n"/>
      <c r="BI977" s="78" t="n"/>
      <c r="BJ977" s="139" t="n"/>
      <c r="BK977" s="204" t="n"/>
      <c r="BL977" s="141" t="n"/>
      <c r="BM977" s="205" t="n"/>
      <c r="BN977" s="205" t="n"/>
      <c r="BO977" s="206" t="n"/>
      <c r="BP977" s="144" t="n"/>
      <c r="BQ977" s="141" t="n"/>
      <c r="BR977" s="207" t="n"/>
      <c r="BS977" s="207" t="n"/>
      <c r="BT977" s="207" t="n"/>
      <c r="BU977" s="207" t="n"/>
      <c r="BV977" s="208" t="n"/>
      <c r="BW977" s="207" t="n"/>
      <c r="BX977" s="207" t="n"/>
      <c r="BY977" s="204" t="n"/>
      <c r="BZ977" s="148" t="n"/>
      <c r="CA977" s="204" t="n"/>
      <c r="CB977" s="208" t="n"/>
      <c r="CC977" s="139" t="n"/>
      <c r="CD977" s="204" t="n"/>
      <c r="CE977" s="204" t="n"/>
      <c r="CF977" s="207" t="n"/>
      <c r="CG977" s="208" t="n"/>
      <c r="CH977" s="207" t="n"/>
      <c r="CI977" s="208" t="n"/>
      <c r="CJ977" s="204" t="n"/>
      <c r="CK977" s="208" t="n"/>
      <c r="CL977" s="208" t="n"/>
      <c r="CM977" s="208" t="n"/>
      <c r="CN977" s="78" t="n"/>
      <c r="CO977" s="209" t="n"/>
      <c r="CP977" s="204" t="n"/>
      <c r="CQ977" s="204" t="n"/>
      <c r="CR977" s="204" t="n"/>
      <c r="CS977" s="204" t="n"/>
      <c r="CT977" s="204" t="n"/>
      <c r="CU977" s="204" t="n"/>
      <c r="CV977" s="204" t="n"/>
      <c r="CW977" s="204" t="n"/>
    </row>
    <row r="978">
      <c r="BF978" s="78" t="n"/>
      <c r="BG978" s="78" t="n"/>
      <c r="BH978" s="78" t="n"/>
      <c r="BI978" s="78" t="n"/>
      <c r="BJ978" s="139" t="n"/>
      <c r="BK978" s="204" t="n"/>
      <c r="BL978" s="141" t="n"/>
      <c r="BM978" s="205" t="n"/>
      <c r="BN978" s="205" t="n"/>
      <c r="BO978" s="206" t="n"/>
      <c r="BP978" s="144" t="n"/>
      <c r="BQ978" s="141" t="n"/>
      <c r="BR978" s="207" t="n"/>
      <c r="BS978" s="207" t="n"/>
      <c r="BT978" s="207" t="n"/>
      <c r="BU978" s="207" t="n"/>
      <c r="BV978" s="208" t="n"/>
      <c r="BW978" s="207" t="n"/>
      <c r="BX978" s="207" t="n"/>
      <c r="BY978" s="204" t="n"/>
      <c r="BZ978" s="148" t="n"/>
      <c r="CA978" s="204" t="n"/>
      <c r="CB978" s="208" t="n"/>
      <c r="CC978" s="139" t="n"/>
      <c r="CD978" s="204" t="n"/>
      <c r="CE978" s="204" t="n"/>
      <c r="CF978" s="207" t="n"/>
      <c r="CG978" s="208" t="n"/>
      <c r="CH978" s="207" t="n"/>
      <c r="CI978" s="208" t="n"/>
      <c r="CJ978" s="204" t="n"/>
      <c r="CK978" s="208" t="n"/>
      <c r="CL978" s="208" t="n"/>
      <c r="CM978" s="208" t="n"/>
      <c r="CN978" s="78" t="n"/>
      <c r="CO978" s="209" t="n"/>
      <c r="CP978" s="204" t="n"/>
      <c r="CQ978" s="204" t="n"/>
      <c r="CR978" s="204" t="n"/>
      <c r="CS978" s="204" t="n"/>
      <c r="CT978" s="204" t="n"/>
      <c r="CU978" s="204" t="n"/>
      <c r="CV978" s="204" t="n"/>
      <c r="CW978" s="204" t="n"/>
    </row>
    <row r="979">
      <c r="BF979" s="78" t="n"/>
      <c r="BG979" s="78" t="n"/>
      <c r="BH979" s="78" t="n"/>
      <c r="BI979" s="78" t="n"/>
      <c r="BJ979" s="139" t="n"/>
      <c r="BK979" s="204" t="n"/>
      <c r="BL979" s="141" t="n"/>
      <c r="BM979" s="205" t="n"/>
      <c r="BN979" s="205" t="n"/>
      <c r="BO979" s="206" t="n"/>
      <c r="BP979" s="144" t="n"/>
      <c r="BQ979" s="141" t="n"/>
      <c r="BR979" s="207" t="n"/>
      <c r="BS979" s="207" t="n"/>
      <c r="BT979" s="207" t="n"/>
      <c r="BU979" s="207" t="n"/>
      <c r="BV979" s="208" t="n"/>
      <c r="BW979" s="207" t="n"/>
      <c r="BX979" s="207" t="n"/>
      <c r="BY979" s="204" t="n"/>
      <c r="BZ979" s="148" t="n"/>
      <c r="CA979" s="204" t="n"/>
      <c r="CB979" s="208" t="n"/>
      <c r="CC979" s="139" t="n"/>
      <c r="CD979" s="204" t="n"/>
      <c r="CE979" s="204" t="n"/>
      <c r="CF979" s="207" t="n"/>
      <c r="CG979" s="208" t="n"/>
      <c r="CH979" s="207" t="n"/>
      <c r="CI979" s="208" t="n"/>
      <c r="CJ979" s="204" t="n"/>
      <c r="CK979" s="208" t="n"/>
      <c r="CL979" s="208" t="n"/>
      <c r="CM979" s="208" t="n"/>
      <c r="CN979" s="78" t="n"/>
      <c r="CO979" s="209" t="n"/>
      <c r="CP979" s="204" t="n"/>
      <c r="CQ979" s="204" t="n"/>
      <c r="CR979" s="204" t="n"/>
      <c r="CS979" s="204" t="n"/>
      <c r="CT979" s="204" t="n"/>
      <c r="CU979" s="204" t="n"/>
      <c r="CV979" s="204" t="n"/>
      <c r="CW979" s="204" t="n"/>
    </row>
    <row r="980">
      <c r="BF980" s="78" t="n"/>
      <c r="BG980" s="78" t="n"/>
      <c r="BH980" s="78" t="n"/>
      <c r="BI980" s="78" t="n"/>
      <c r="BJ980" s="139" t="n"/>
      <c r="BK980" s="204" t="n"/>
      <c r="BL980" s="141" t="n"/>
      <c r="BM980" s="205" t="n"/>
      <c r="BN980" s="205" t="n"/>
      <c r="BO980" s="206" t="n"/>
      <c r="BP980" s="144" t="n"/>
      <c r="BQ980" s="141" t="n"/>
      <c r="BR980" s="207" t="n"/>
      <c r="BS980" s="207" t="n"/>
      <c r="BT980" s="207" t="n"/>
      <c r="BU980" s="207" t="n"/>
      <c r="BV980" s="208" t="n"/>
      <c r="BW980" s="207" t="n"/>
      <c r="BX980" s="207" t="n"/>
      <c r="BY980" s="204" t="n"/>
      <c r="BZ980" s="148" t="n"/>
      <c r="CA980" s="204" t="n"/>
      <c r="CB980" s="208" t="n"/>
      <c r="CC980" s="139" t="n"/>
      <c r="CD980" s="204" t="n"/>
      <c r="CE980" s="204" t="n"/>
      <c r="CF980" s="207" t="n"/>
      <c r="CG980" s="208" t="n"/>
      <c r="CH980" s="207" t="n"/>
      <c r="CI980" s="208" t="n"/>
      <c r="CJ980" s="204" t="n"/>
      <c r="CK980" s="208" t="n"/>
      <c r="CL980" s="208" t="n"/>
      <c r="CM980" s="208" t="n"/>
      <c r="CN980" s="78" t="n"/>
      <c r="CO980" s="209" t="n"/>
      <c r="CP980" s="204" t="n"/>
      <c r="CQ980" s="204" t="n"/>
      <c r="CR980" s="204" t="n"/>
      <c r="CS980" s="204" t="n"/>
      <c r="CT980" s="204" t="n"/>
      <c r="CU980" s="204" t="n"/>
      <c r="CV980" s="204" t="n"/>
      <c r="CW980" s="204" t="n"/>
    </row>
    <row r="981">
      <c r="BF981" s="78" t="n"/>
      <c r="BG981" s="78" t="n"/>
      <c r="BH981" s="78" t="n"/>
      <c r="BI981" s="78" t="n"/>
      <c r="BJ981" s="139" t="n"/>
      <c r="BK981" s="204" t="n"/>
      <c r="BL981" s="141" t="n"/>
      <c r="BM981" s="205" t="n"/>
      <c r="BN981" s="205" t="n"/>
      <c r="BO981" s="206" t="n"/>
      <c r="BP981" s="144" t="n"/>
      <c r="BQ981" s="141" t="n"/>
      <c r="BR981" s="207" t="n"/>
      <c r="BS981" s="207" t="n"/>
      <c r="BT981" s="207" t="n"/>
      <c r="BU981" s="207" t="n"/>
      <c r="BV981" s="208" t="n"/>
      <c r="BW981" s="207" t="n"/>
      <c r="BX981" s="207" t="n"/>
      <c r="BY981" s="204" t="n"/>
      <c r="BZ981" s="148" t="n"/>
      <c r="CA981" s="204" t="n"/>
      <c r="CB981" s="208" t="n"/>
      <c r="CC981" s="139" t="n"/>
      <c r="CD981" s="204" t="n"/>
      <c r="CE981" s="204" t="n"/>
      <c r="CF981" s="207" t="n"/>
      <c r="CG981" s="208" t="n"/>
      <c r="CH981" s="207" t="n"/>
      <c r="CI981" s="208" t="n"/>
      <c r="CJ981" s="204" t="n"/>
      <c r="CK981" s="208" t="n"/>
      <c r="CL981" s="208" t="n"/>
      <c r="CM981" s="208" t="n"/>
      <c r="CN981" s="78" t="n"/>
      <c r="CO981" s="209" t="n"/>
      <c r="CP981" s="204" t="n"/>
      <c r="CQ981" s="204" t="n"/>
      <c r="CR981" s="204" t="n"/>
      <c r="CS981" s="204" t="n"/>
      <c r="CT981" s="204" t="n"/>
      <c r="CU981" s="204" t="n"/>
      <c r="CV981" s="204" t="n"/>
      <c r="CW981" s="204" t="n"/>
    </row>
    <row r="982">
      <c r="BF982" s="78" t="n"/>
      <c r="BG982" s="78" t="n"/>
      <c r="BH982" s="78" t="n"/>
      <c r="BI982" s="78" t="n"/>
      <c r="BJ982" s="139" t="n"/>
      <c r="BK982" s="204" t="n"/>
      <c r="BL982" s="141" t="n"/>
      <c r="BM982" s="205" t="n"/>
      <c r="BN982" s="205" t="n"/>
      <c r="BO982" s="206" t="n"/>
      <c r="BP982" s="144" t="n"/>
      <c r="BQ982" s="141" t="n"/>
      <c r="BR982" s="207" t="n"/>
      <c r="BS982" s="207" t="n"/>
      <c r="BT982" s="207" t="n"/>
      <c r="BU982" s="207" t="n"/>
      <c r="BV982" s="208" t="n"/>
      <c r="BW982" s="207" t="n"/>
      <c r="BX982" s="207" t="n"/>
      <c r="BY982" s="204" t="n"/>
      <c r="BZ982" s="148" t="n"/>
      <c r="CA982" s="204" t="n"/>
      <c r="CB982" s="208" t="n"/>
      <c r="CC982" s="139" t="n"/>
      <c r="CD982" s="204" t="n"/>
      <c r="CE982" s="204" t="n"/>
      <c r="CF982" s="207" t="n"/>
      <c r="CG982" s="208" t="n"/>
      <c r="CH982" s="207" t="n"/>
      <c r="CI982" s="208" t="n"/>
      <c r="CJ982" s="204" t="n"/>
      <c r="CK982" s="208" t="n"/>
      <c r="CL982" s="208" t="n"/>
      <c r="CM982" s="208" t="n"/>
      <c r="CN982" s="78" t="n"/>
      <c r="CO982" s="209" t="n"/>
      <c r="CP982" s="204" t="n"/>
      <c r="CQ982" s="204" t="n"/>
      <c r="CR982" s="204" t="n"/>
      <c r="CS982" s="204" t="n"/>
      <c r="CT982" s="204" t="n"/>
      <c r="CU982" s="204" t="n"/>
      <c r="CV982" s="204" t="n"/>
      <c r="CW982" s="204" t="n"/>
    </row>
    <row r="983">
      <c r="BF983" s="78" t="n"/>
      <c r="BG983" s="78" t="n"/>
      <c r="BH983" s="78" t="n"/>
      <c r="BI983" s="78" t="n"/>
      <c r="BJ983" s="139" t="n"/>
      <c r="BK983" s="204" t="n"/>
      <c r="BL983" s="141" t="n"/>
      <c r="BM983" s="205" t="n"/>
      <c r="BN983" s="205" t="n"/>
      <c r="BO983" s="206" t="n"/>
      <c r="BP983" s="144" t="n"/>
      <c r="BQ983" s="141" t="n"/>
      <c r="BR983" s="207" t="n"/>
      <c r="BS983" s="207" t="n"/>
      <c r="BT983" s="207" t="n"/>
      <c r="BU983" s="207" t="n"/>
      <c r="BV983" s="208" t="n"/>
      <c r="BW983" s="207" t="n"/>
      <c r="BX983" s="207" t="n"/>
      <c r="BY983" s="204" t="n"/>
      <c r="BZ983" s="148" t="n"/>
      <c r="CA983" s="204" t="n"/>
      <c r="CB983" s="208" t="n"/>
      <c r="CC983" s="139" t="n"/>
      <c r="CD983" s="204" t="n"/>
      <c r="CE983" s="204" t="n"/>
      <c r="CF983" s="207" t="n"/>
      <c r="CG983" s="208" t="n"/>
      <c r="CH983" s="207" t="n"/>
      <c r="CI983" s="208" t="n"/>
      <c r="CJ983" s="204" t="n"/>
      <c r="CK983" s="208" t="n"/>
      <c r="CL983" s="208" t="n"/>
      <c r="CM983" s="208" t="n"/>
      <c r="CN983" s="78" t="n"/>
      <c r="CO983" s="209" t="n"/>
      <c r="CP983" s="204" t="n"/>
      <c r="CQ983" s="204" t="n"/>
      <c r="CR983" s="204" t="n"/>
      <c r="CS983" s="204" t="n"/>
      <c r="CT983" s="204" t="n"/>
      <c r="CU983" s="204" t="n"/>
      <c r="CV983" s="204" t="n"/>
      <c r="CW983" s="204" t="n"/>
    </row>
    <row r="984">
      <c r="AR984" s="151" t="n"/>
      <c r="BF984" s="78" t="n"/>
      <c r="BG984" s="78" t="n"/>
      <c r="BH984" s="78" t="n"/>
      <c r="BI984" s="78" t="n"/>
      <c r="BJ984" s="139" t="n"/>
      <c r="BK984" s="204" t="n"/>
      <c r="BL984" s="141" t="n"/>
      <c r="BM984" s="205" t="n"/>
      <c r="BN984" s="205" t="n"/>
      <c r="BO984" s="206" t="n"/>
      <c r="BP984" s="144" t="n"/>
      <c r="BQ984" s="141" t="n"/>
      <c r="BR984" s="207" t="n"/>
      <c r="BS984" s="207" t="n"/>
      <c r="BT984" s="207" t="n"/>
      <c r="BU984" s="207" t="n"/>
      <c r="BV984" s="208" t="n"/>
      <c r="BW984" s="207" t="n"/>
      <c r="BX984" s="207" t="n"/>
      <c r="BY984" s="204" t="n"/>
      <c r="BZ984" s="148" t="n"/>
      <c r="CA984" s="204" t="n"/>
      <c r="CB984" s="208" t="n"/>
      <c r="CC984" s="139" t="n"/>
      <c r="CD984" s="204" t="n"/>
      <c r="CE984" s="204" t="n"/>
      <c r="CF984" s="207" t="n"/>
      <c r="CG984" s="208" t="n"/>
      <c r="CH984" s="207" t="n"/>
      <c r="CI984" s="208" t="n"/>
      <c r="CJ984" s="204" t="n"/>
      <c r="CK984" s="208" t="n"/>
      <c r="CL984" s="208" t="n"/>
      <c r="CM984" s="208" t="n"/>
      <c r="CN984" s="78" t="n"/>
      <c r="CO984" s="209" t="n"/>
      <c r="CP984" s="204" t="n"/>
      <c r="CQ984" s="204" t="n"/>
      <c r="CR984" s="204" t="n"/>
      <c r="CS984" s="204" t="n"/>
      <c r="CT984" s="204" t="n"/>
      <c r="CU984" s="204" t="n"/>
      <c r="CV984" s="204" t="n"/>
      <c r="CW984" s="204" t="n"/>
    </row>
    <row r="985">
      <c r="AR985" s="151" t="n"/>
      <c r="BF985" s="78" t="n"/>
      <c r="BG985" s="78" t="n"/>
      <c r="BH985" s="78" t="n"/>
      <c r="BI985" s="78" t="n"/>
      <c r="BJ985" s="139" t="n"/>
      <c r="BK985" s="204" t="n"/>
      <c r="BL985" s="141" t="n"/>
      <c r="BM985" s="205" t="n"/>
      <c r="BN985" s="205" t="n"/>
      <c r="BO985" s="206" t="n"/>
      <c r="BP985" s="144" t="n"/>
      <c r="BQ985" s="141" t="n"/>
      <c r="BR985" s="207" t="n"/>
      <c r="BS985" s="207" t="n"/>
      <c r="BT985" s="207" t="n"/>
      <c r="BU985" s="207" t="n"/>
      <c r="BV985" s="208" t="n"/>
      <c r="BW985" s="207" t="n"/>
      <c r="BX985" s="207" t="n"/>
      <c r="BY985" s="204" t="n"/>
      <c r="BZ985" s="148" t="n"/>
      <c r="CA985" s="204" t="n"/>
      <c r="CB985" s="208" t="n"/>
      <c r="CC985" s="139" t="n"/>
      <c r="CD985" s="204" t="n"/>
      <c r="CE985" s="204" t="n"/>
      <c r="CF985" s="207" t="n"/>
      <c r="CG985" s="208" t="n"/>
      <c r="CH985" s="207" t="n"/>
      <c r="CI985" s="208" t="n"/>
      <c r="CJ985" s="204" t="n"/>
      <c r="CK985" s="208" t="n"/>
      <c r="CL985" s="208" t="n"/>
      <c r="CM985" s="208" t="n"/>
      <c r="CN985" s="78" t="n"/>
      <c r="CO985" s="209" t="n"/>
      <c r="CP985" s="204" t="n"/>
      <c r="CQ985" s="204" t="n"/>
      <c r="CR985" s="204" t="n"/>
      <c r="CS985" s="204" t="n"/>
      <c r="CT985" s="204" t="n"/>
      <c r="CU985" s="204" t="n"/>
      <c r="CV985" s="204" t="n"/>
      <c r="CW985" s="204" t="n"/>
    </row>
    <row r="986">
      <c r="AR986" s="151" t="n"/>
      <c r="BF986" s="78" t="n"/>
      <c r="BG986" s="78" t="n"/>
      <c r="BH986" s="78" t="n"/>
      <c r="BI986" s="78" t="n"/>
      <c r="BJ986" s="139" t="n"/>
      <c r="BK986" s="204" t="n"/>
      <c r="BL986" s="141" t="n"/>
      <c r="BM986" s="205" t="n"/>
      <c r="BN986" s="205" t="n"/>
      <c r="BO986" s="206" t="n"/>
      <c r="BP986" s="144" t="n"/>
      <c r="BQ986" s="141" t="n"/>
      <c r="BR986" s="207" t="n"/>
      <c r="BS986" s="207" t="n"/>
      <c r="BT986" s="207" t="n"/>
      <c r="BU986" s="207" t="n"/>
      <c r="BV986" s="208" t="n"/>
      <c r="BW986" s="207" t="n"/>
      <c r="BX986" s="207" t="n"/>
      <c r="BY986" s="204" t="n"/>
      <c r="BZ986" s="148" t="n"/>
      <c r="CA986" s="204" t="n"/>
      <c r="CB986" s="208" t="n"/>
      <c r="CC986" s="139" t="n"/>
      <c r="CD986" s="204" t="n"/>
      <c r="CE986" s="204" t="n"/>
      <c r="CF986" s="207" t="n"/>
      <c r="CG986" s="208" t="n"/>
      <c r="CH986" s="207" t="n"/>
      <c r="CI986" s="208" t="n"/>
      <c r="CJ986" s="204" t="n"/>
      <c r="CK986" s="208" t="n"/>
      <c r="CL986" s="208" t="n"/>
      <c r="CM986" s="208" t="n"/>
      <c r="CN986" s="78" t="n"/>
      <c r="CO986" s="209" t="n"/>
      <c r="CP986" s="204" t="n"/>
      <c r="CQ986" s="204" t="n"/>
      <c r="CR986" s="204" t="n"/>
      <c r="CS986" s="204" t="n"/>
      <c r="CT986" s="204" t="n"/>
      <c r="CU986" s="204" t="n"/>
      <c r="CV986" s="204" t="n"/>
      <c r="CW986" s="204" t="n"/>
    </row>
    <row r="987">
      <c r="BF987" s="78" t="n"/>
      <c r="BG987" s="78" t="n"/>
      <c r="BH987" s="78" t="n"/>
      <c r="BI987" s="78" t="n"/>
      <c r="BJ987" s="139" t="n"/>
      <c r="BK987" s="204" t="n"/>
      <c r="BL987" s="141" t="n"/>
      <c r="BM987" s="205" t="n"/>
      <c r="BN987" s="205" t="n"/>
      <c r="BO987" s="206" t="n"/>
      <c r="BP987" s="144" t="n"/>
      <c r="BQ987" s="141" t="n"/>
      <c r="BR987" s="207" t="n"/>
      <c r="BS987" s="207" t="n"/>
      <c r="BT987" s="207" t="n"/>
      <c r="BU987" s="207" t="n"/>
      <c r="BV987" s="208" t="n"/>
      <c r="BW987" s="207" t="n"/>
      <c r="BX987" s="207" t="n"/>
      <c r="BY987" s="204" t="n"/>
      <c r="BZ987" s="148" t="n"/>
      <c r="CA987" s="204" t="n"/>
      <c r="CB987" s="208" t="n"/>
      <c r="CC987" s="139" t="n"/>
      <c r="CD987" s="204" t="n"/>
      <c r="CE987" s="204" t="n"/>
      <c r="CF987" s="207" t="n"/>
      <c r="CG987" s="208" t="n"/>
      <c r="CH987" s="207" t="n"/>
      <c r="CI987" s="208" t="n"/>
      <c r="CJ987" s="204" t="n"/>
      <c r="CK987" s="208" t="n"/>
      <c r="CL987" s="208" t="n"/>
      <c r="CM987" s="208" t="n"/>
      <c r="CN987" s="78" t="n"/>
      <c r="CO987" s="209" t="n"/>
      <c r="CP987" s="204" t="n"/>
      <c r="CQ987" s="204" t="n"/>
      <c r="CR987" s="204" t="n"/>
      <c r="CS987" s="204" t="n"/>
      <c r="CT987" s="204" t="n"/>
      <c r="CU987" s="204" t="n"/>
      <c r="CV987" s="204" t="n"/>
      <c r="CW987" s="204" t="n"/>
    </row>
    <row r="988">
      <c r="BF988" s="78" t="n"/>
      <c r="BG988" s="78" t="n"/>
      <c r="BH988" s="78" t="n"/>
      <c r="BI988" s="78" t="n"/>
      <c r="BJ988" s="139" t="n"/>
      <c r="BK988" s="204" t="n"/>
      <c r="BL988" s="141" t="n"/>
      <c r="BM988" s="205" t="n"/>
      <c r="BN988" s="205" t="n"/>
      <c r="BO988" s="206" t="n"/>
      <c r="BP988" s="144" t="n"/>
      <c r="BQ988" s="141" t="n"/>
      <c r="BR988" s="207" t="n"/>
      <c r="BS988" s="207" t="n"/>
      <c r="BT988" s="207" t="n"/>
      <c r="BU988" s="207" t="n"/>
      <c r="BV988" s="208" t="n"/>
      <c r="BW988" s="207" t="n"/>
      <c r="BX988" s="207" t="n"/>
      <c r="BY988" s="204" t="n"/>
      <c r="BZ988" s="148" t="n"/>
      <c r="CA988" s="204" t="n"/>
      <c r="CB988" s="208" t="n"/>
      <c r="CC988" s="139" t="n"/>
      <c r="CD988" s="204" t="n"/>
      <c r="CE988" s="204" t="n"/>
      <c r="CF988" s="207" t="n"/>
      <c r="CG988" s="208" t="n"/>
      <c r="CH988" s="207" t="n"/>
      <c r="CI988" s="208" t="n"/>
      <c r="CJ988" s="204" t="n"/>
      <c r="CK988" s="208" t="n"/>
      <c r="CL988" s="208" t="n"/>
      <c r="CM988" s="208" t="n"/>
      <c r="CN988" s="78" t="n"/>
      <c r="CO988" s="209" t="n"/>
      <c r="CP988" s="204" t="n"/>
      <c r="CQ988" s="204" t="n"/>
      <c r="CR988" s="204" t="n"/>
      <c r="CS988" s="204" t="n"/>
      <c r="CT988" s="204" t="n"/>
      <c r="CU988" s="204" t="n"/>
      <c r="CV988" s="204" t="n"/>
      <c r="CW988" s="204" t="n"/>
    </row>
    <row r="989">
      <c r="AR989" s="151" t="n"/>
      <c r="BF989" s="78" t="n"/>
      <c r="BG989" s="78" t="n"/>
      <c r="BH989" s="78" t="n"/>
      <c r="BI989" s="78" t="n"/>
      <c r="BJ989" s="139" t="n"/>
      <c r="BK989" s="204" t="n"/>
      <c r="BL989" s="141" t="n"/>
      <c r="BM989" s="205" t="n"/>
      <c r="BN989" s="205" t="n"/>
      <c r="BO989" s="206" t="n"/>
      <c r="BP989" s="144" t="n"/>
      <c r="BQ989" s="141" t="n"/>
      <c r="BR989" s="207" t="n"/>
      <c r="BS989" s="207" t="n"/>
      <c r="BT989" s="207" t="n"/>
      <c r="BU989" s="207" t="n"/>
      <c r="BV989" s="208" t="n"/>
      <c r="BW989" s="207" t="n"/>
      <c r="BX989" s="207" t="n"/>
      <c r="BY989" s="204" t="n"/>
      <c r="BZ989" s="148" t="n"/>
      <c r="CA989" s="204" t="n"/>
      <c r="CB989" s="208" t="n"/>
      <c r="CC989" s="139" t="n"/>
      <c r="CD989" s="204" t="n"/>
      <c r="CE989" s="204" t="n"/>
      <c r="CF989" s="207" t="n"/>
      <c r="CG989" s="208" t="n"/>
      <c r="CH989" s="207" t="n"/>
      <c r="CI989" s="208" t="n"/>
      <c r="CJ989" s="204" t="n"/>
      <c r="CK989" s="208" t="n"/>
      <c r="CL989" s="208" t="n"/>
      <c r="CM989" s="208" t="n"/>
      <c r="CN989" s="78" t="n"/>
      <c r="CO989" s="209" t="n"/>
      <c r="CP989" s="204" t="n"/>
      <c r="CQ989" s="204" t="n"/>
      <c r="CR989" s="204" t="n"/>
      <c r="CS989" s="204" t="n"/>
      <c r="CT989" s="204" t="n"/>
      <c r="CU989" s="204" t="n"/>
      <c r="CV989" s="204" t="n"/>
      <c r="CW989" s="204" t="n"/>
    </row>
    <row r="990">
      <c r="AR990" s="151" t="n"/>
      <c r="BF990" s="78" t="n"/>
      <c r="BG990" s="78" t="n"/>
      <c r="BH990" s="78" t="n"/>
      <c r="BI990" s="78" t="n"/>
      <c r="BJ990" s="139" t="n"/>
      <c r="BK990" s="204" t="n"/>
      <c r="BL990" s="141" t="n"/>
      <c r="BM990" s="205" t="n"/>
      <c r="BN990" s="205" t="n"/>
      <c r="BO990" s="206" t="n"/>
      <c r="BP990" s="144" t="n"/>
      <c r="BQ990" s="141" t="n"/>
      <c r="BR990" s="207" t="n"/>
      <c r="BS990" s="207" t="n"/>
      <c r="BT990" s="207" t="n"/>
      <c r="BU990" s="207" t="n"/>
      <c r="BV990" s="208" t="n"/>
      <c r="BW990" s="207" t="n"/>
      <c r="BX990" s="207" t="n"/>
      <c r="BY990" s="204" t="n"/>
      <c r="BZ990" s="148" t="n"/>
      <c r="CA990" s="204" t="n"/>
      <c r="CB990" s="208" t="n"/>
      <c r="CC990" s="139" t="n"/>
      <c r="CD990" s="204" t="n"/>
      <c r="CE990" s="204" t="n"/>
      <c r="CF990" s="207" t="n"/>
      <c r="CG990" s="208" t="n"/>
      <c r="CH990" s="207" t="n"/>
      <c r="CI990" s="208" t="n"/>
      <c r="CJ990" s="204" t="n"/>
      <c r="CK990" s="208" t="n"/>
      <c r="CL990" s="208" t="n"/>
      <c r="CM990" s="208" t="n"/>
      <c r="CN990" s="78" t="n"/>
      <c r="CO990" s="209" t="n"/>
      <c r="CP990" s="204" t="n"/>
      <c r="CQ990" s="204" t="n"/>
      <c r="CR990" s="204" t="n"/>
      <c r="CS990" s="204" t="n"/>
      <c r="CT990" s="204" t="n"/>
      <c r="CU990" s="204" t="n"/>
      <c r="CV990" s="204" t="n"/>
      <c r="CW990" s="204" t="n"/>
    </row>
    <row r="991">
      <c r="BF991" s="78" t="n"/>
      <c r="BG991" s="78" t="n"/>
      <c r="BH991" s="78" t="n"/>
      <c r="BI991" s="78" t="n"/>
      <c r="BJ991" s="139" t="n"/>
      <c r="BK991" s="204" t="n"/>
      <c r="BL991" s="141" t="n"/>
      <c r="BM991" s="205" t="n"/>
      <c r="BN991" s="205" t="n"/>
      <c r="BO991" s="206" t="n"/>
      <c r="BP991" s="144" t="n"/>
      <c r="BQ991" s="141" t="n"/>
      <c r="BR991" s="207" t="n"/>
      <c r="BS991" s="207" t="n"/>
      <c r="BT991" s="207" t="n"/>
      <c r="BU991" s="207" t="n"/>
      <c r="BV991" s="208" t="n"/>
      <c r="BW991" s="207" t="n"/>
      <c r="BX991" s="207" t="n"/>
      <c r="BY991" s="204" t="n"/>
      <c r="BZ991" s="148" t="n"/>
      <c r="CA991" s="204" t="n"/>
      <c r="CB991" s="208" t="n"/>
      <c r="CC991" s="139" t="n"/>
      <c r="CD991" s="204" t="n"/>
      <c r="CE991" s="204" t="n"/>
      <c r="CF991" s="207" t="n"/>
      <c r="CG991" s="208" t="n"/>
      <c r="CH991" s="207" t="n"/>
      <c r="CI991" s="208" t="n"/>
      <c r="CJ991" s="204" t="n"/>
      <c r="CK991" s="208" t="n"/>
      <c r="CL991" s="208" t="n"/>
      <c r="CM991" s="208" t="n"/>
      <c r="CN991" s="78" t="n"/>
      <c r="CO991" s="209" t="n"/>
      <c r="CP991" s="204" t="n"/>
      <c r="CQ991" s="204" t="n"/>
      <c r="CR991" s="204" t="n"/>
      <c r="CS991" s="204" t="n"/>
      <c r="CT991" s="204" t="n"/>
      <c r="CU991" s="204" t="n"/>
      <c r="CV991" s="204" t="n"/>
      <c r="CW991" s="204" t="n"/>
    </row>
    <row r="992">
      <c r="BF992" s="78" t="n"/>
      <c r="BG992" s="78" t="n"/>
      <c r="BH992" s="78" t="n"/>
      <c r="BI992" s="78" t="n"/>
      <c r="BJ992" s="139" t="n"/>
      <c r="BK992" s="204" t="n"/>
      <c r="BL992" s="141" t="n"/>
      <c r="BM992" s="205" t="n"/>
      <c r="BN992" s="205" t="n"/>
      <c r="BO992" s="206" t="n"/>
      <c r="BP992" s="144" t="n"/>
      <c r="BQ992" s="141" t="n"/>
      <c r="BR992" s="207" t="n"/>
      <c r="BS992" s="207" t="n"/>
      <c r="BT992" s="207" t="n"/>
      <c r="BU992" s="207" t="n"/>
      <c r="BV992" s="208" t="n"/>
      <c r="BW992" s="207" t="n"/>
      <c r="BX992" s="207" t="n"/>
      <c r="BY992" s="204" t="n"/>
      <c r="BZ992" s="148" t="n"/>
      <c r="CA992" s="204" t="n"/>
      <c r="CB992" s="208" t="n"/>
      <c r="CC992" s="139" t="n"/>
      <c r="CD992" s="204" t="n"/>
      <c r="CE992" s="204" t="n"/>
      <c r="CF992" s="207" t="n"/>
      <c r="CG992" s="208" t="n"/>
      <c r="CH992" s="207" t="n"/>
      <c r="CI992" s="208" t="n"/>
      <c r="CJ992" s="204" t="n"/>
      <c r="CK992" s="208" t="n"/>
      <c r="CL992" s="208" t="n"/>
      <c r="CM992" s="208" t="n"/>
      <c r="CN992" s="78" t="n"/>
      <c r="CO992" s="209" t="n"/>
      <c r="CP992" s="204" t="n"/>
      <c r="CQ992" s="204" t="n"/>
      <c r="CR992" s="204" t="n"/>
      <c r="CS992" s="204" t="n"/>
      <c r="CT992" s="204" t="n"/>
      <c r="CU992" s="204" t="n"/>
      <c r="CV992" s="204" t="n"/>
      <c r="CW992" s="204" t="n"/>
    </row>
    <row r="993">
      <c r="BF993" s="78" t="n"/>
      <c r="BG993" s="78" t="n"/>
      <c r="BH993" s="78" t="n"/>
      <c r="BI993" s="78" t="n"/>
      <c r="BJ993" s="139" t="n"/>
      <c r="BK993" s="204" t="n"/>
      <c r="BL993" s="141" t="n"/>
      <c r="BM993" s="205" t="n"/>
      <c r="BN993" s="205" t="n"/>
      <c r="BO993" s="206" t="n"/>
      <c r="BP993" s="144" t="n"/>
      <c r="BQ993" s="141" t="n"/>
      <c r="BR993" s="207" t="n"/>
      <c r="BS993" s="207" t="n"/>
      <c r="BT993" s="207" t="n"/>
      <c r="BU993" s="207" t="n"/>
      <c r="BV993" s="208" t="n"/>
      <c r="BW993" s="207" t="n"/>
      <c r="BX993" s="207" t="n"/>
      <c r="BY993" s="204" t="n"/>
      <c r="BZ993" s="148" t="n"/>
      <c r="CA993" s="204" t="n"/>
      <c r="CB993" s="208" t="n"/>
      <c r="CC993" s="139" t="n"/>
      <c r="CD993" s="204" t="n"/>
      <c r="CE993" s="204" t="n"/>
      <c r="CF993" s="207" t="n"/>
      <c r="CG993" s="208" t="n"/>
      <c r="CH993" s="207" t="n"/>
      <c r="CI993" s="208" t="n"/>
      <c r="CJ993" s="204" t="n"/>
      <c r="CK993" s="208" t="n"/>
      <c r="CL993" s="208" t="n"/>
      <c r="CM993" s="208" t="n"/>
      <c r="CN993" s="78" t="n"/>
      <c r="CO993" s="209" t="n"/>
      <c r="CP993" s="204" t="n"/>
      <c r="CQ993" s="204" t="n"/>
      <c r="CR993" s="204" t="n"/>
      <c r="CS993" s="204" t="n"/>
      <c r="CT993" s="204" t="n"/>
      <c r="CU993" s="204" t="n"/>
      <c r="CV993" s="204" t="n"/>
      <c r="CW993" s="204" t="n"/>
    </row>
    <row r="994">
      <c r="BF994" s="78" t="n"/>
      <c r="BG994" s="78" t="n"/>
      <c r="BH994" s="78" t="n"/>
      <c r="BI994" s="78" t="n"/>
      <c r="BJ994" s="139" t="n"/>
      <c r="BK994" s="204" t="n"/>
      <c r="BL994" s="141" t="n"/>
      <c r="BM994" s="205" t="n"/>
      <c r="BN994" s="205" t="n"/>
      <c r="BO994" s="206" t="n"/>
      <c r="BP994" s="144" t="n"/>
      <c r="BQ994" s="141" t="n"/>
      <c r="BR994" s="207" t="n"/>
      <c r="BS994" s="207" t="n"/>
      <c r="BT994" s="207" t="n"/>
      <c r="BU994" s="207" t="n"/>
      <c r="BV994" s="208" t="n"/>
      <c r="BW994" s="207" t="n"/>
      <c r="BX994" s="207" t="n"/>
      <c r="BY994" s="204" t="n"/>
      <c r="BZ994" s="148" t="n"/>
      <c r="CA994" s="204" t="n"/>
      <c r="CB994" s="208" t="n"/>
      <c r="CC994" s="139" t="n"/>
      <c r="CD994" s="204" t="n"/>
      <c r="CE994" s="204" t="n"/>
      <c r="CF994" s="207" t="n"/>
      <c r="CG994" s="208" t="n"/>
      <c r="CH994" s="207" t="n"/>
      <c r="CI994" s="208" t="n"/>
      <c r="CJ994" s="204" t="n"/>
      <c r="CK994" s="208" t="n"/>
      <c r="CL994" s="208" t="n"/>
      <c r="CM994" s="208" t="n"/>
      <c r="CN994" s="78" t="n"/>
      <c r="CO994" s="209" t="n"/>
      <c r="CP994" s="204" t="n"/>
      <c r="CQ994" s="204" t="n"/>
      <c r="CR994" s="204" t="n"/>
      <c r="CS994" s="204" t="n"/>
      <c r="CT994" s="204" t="n"/>
      <c r="CU994" s="204" t="n"/>
      <c r="CV994" s="204" t="n"/>
      <c r="CW994" s="204" t="n"/>
    </row>
    <row r="995">
      <c r="BF995" s="78" t="n"/>
      <c r="BG995" s="78" t="n"/>
      <c r="BH995" s="78" t="n"/>
      <c r="BI995" s="78" t="n"/>
      <c r="BJ995" s="139" t="n"/>
      <c r="BK995" s="204" t="n"/>
      <c r="BL995" s="141" t="n"/>
      <c r="BM995" s="205" t="n"/>
      <c r="BN995" s="205" t="n"/>
      <c r="BO995" s="206" t="n"/>
      <c r="BP995" s="144" t="n"/>
      <c r="BQ995" s="141" t="n"/>
      <c r="BR995" s="207" t="n"/>
      <c r="BS995" s="207" t="n"/>
      <c r="BT995" s="207" t="n"/>
      <c r="BU995" s="207" t="n"/>
      <c r="BV995" s="208" t="n"/>
      <c r="BW995" s="207" t="n"/>
      <c r="BX995" s="207" t="n"/>
      <c r="BY995" s="204" t="n"/>
      <c r="BZ995" s="148" t="n"/>
      <c r="CA995" s="204" t="n"/>
      <c r="CB995" s="208" t="n"/>
      <c r="CC995" s="139" t="n"/>
      <c r="CD995" s="204" t="n"/>
      <c r="CE995" s="204" t="n"/>
      <c r="CF995" s="207" t="n"/>
      <c r="CG995" s="208" t="n"/>
      <c r="CH995" s="207" t="n"/>
      <c r="CI995" s="208" t="n"/>
      <c r="CJ995" s="204" t="n"/>
      <c r="CK995" s="208" t="n"/>
      <c r="CL995" s="208" t="n"/>
      <c r="CM995" s="208" t="n"/>
      <c r="CN995" s="78" t="n"/>
      <c r="CO995" s="209" t="n"/>
      <c r="CP995" s="204" t="n"/>
      <c r="CQ995" s="204" t="n"/>
      <c r="CR995" s="204" t="n"/>
      <c r="CS995" s="204" t="n"/>
      <c r="CT995" s="204" t="n"/>
      <c r="CU995" s="204" t="n"/>
      <c r="CV995" s="204" t="n"/>
      <c r="CW995" s="204" t="n"/>
    </row>
    <row r="996">
      <c r="BF996" s="78" t="n"/>
      <c r="BG996" s="78" t="n"/>
      <c r="BH996" s="78" t="n"/>
      <c r="BI996" s="78" t="n"/>
      <c r="BJ996" s="139" t="n"/>
      <c r="BK996" s="204" t="n"/>
      <c r="BL996" s="141" t="n"/>
      <c r="BM996" s="205" t="n"/>
      <c r="BN996" s="205" t="n"/>
      <c r="BO996" s="206" t="n"/>
      <c r="BP996" s="144" t="n"/>
      <c r="BQ996" s="141" t="n"/>
      <c r="BR996" s="207" t="n"/>
      <c r="BS996" s="207" t="n"/>
      <c r="BT996" s="207" t="n"/>
      <c r="BU996" s="207" t="n"/>
      <c r="BV996" s="208" t="n"/>
      <c r="BW996" s="207" t="n"/>
      <c r="BX996" s="207" t="n"/>
      <c r="BY996" s="204" t="n"/>
      <c r="BZ996" s="148" t="n"/>
      <c r="CA996" s="204" t="n"/>
      <c r="CB996" s="208" t="n"/>
      <c r="CC996" s="139" t="n"/>
      <c r="CD996" s="204" t="n"/>
      <c r="CE996" s="204" t="n"/>
      <c r="CF996" s="207" t="n"/>
      <c r="CG996" s="208" t="n"/>
      <c r="CH996" s="207" t="n"/>
      <c r="CI996" s="208" t="n"/>
      <c r="CJ996" s="204" t="n"/>
      <c r="CK996" s="208" t="n"/>
      <c r="CL996" s="208" t="n"/>
      <c r="CM996" s="208" t="n"/>
      <c r="CN996" s="78" t="n"/>
      <c r="CO996" s="209" t="n"/>
      <c r="CP996" s="204" t="n"/>
      <c r="CQ996" s="204" t="n"/>
      <c r="CR996" s="204" t="n"/>
      <c r="CS996" s="204" t="n"/>
      <c r="CT996" s="204" t="n"/>
      <c r="CU996" s="204" t="n"/>
      <c r="CV996" s="204" t="n"/>
      <c r="CW996" s="204" t="n"/>
    </row>
    <row r="997">
      <c r="BF997" s="78" t="n"/>
      <c r="BG997" s="78" t="n"/>
      <c r="BH997" s="78" t="n"/>
      <c r="BI997" s="78" t="n"/>
      <c r="BJ997" s="139" t="n"/>
      <c r="BK997" s="204" t="n"/>
      <c r="BL997" s="141" t="n"/>
      <c r="BM997" s="205" t="n"/>
      <c r="BN997" s="205" t="n"/>
      <c r="BO997" s="206" t="n"/>
      <c r="BP997" s="144" t="n"/>
      <c r="BQ997" s="141" t="n"/>
      <c r="BR997" s="207" t="n"/>
      <c r="BS997" s="207" t="n"/>
      <c r="BT997" s="207" t="n"/>
      <c r="BU997" s="207" t="n"/>
      <c r="BV997" s="208" t="n"/>
      <c r="BW997" s="207" t="n"/>
      <c r="BX997" s="207" t="n"/>
      <c r="BY997" s="204" t="n"/>
      <c r="BZ997" s="148" t="n"/>
      <c r="CA997" s="204" t="n"/>
      <c r="CB997" s="208" t="n"/>
      <c r="CC997" s="139" t="n"/>
      <c r="CD997" s="204" t="n"/>
      <c r="CE997" s="204" t="n"/>
      <c r="CF997" s="207" t="n"/>
      <c r="CG997" s="208" t="n"/>
      <c r="CH997" s="207" t="n"/>
      <c r="CI997" s="208" t="n"/>
      <c r="CJ997" s="204" t="n"/>
      <c r="CK997" s="208" t="n"/>
      <c r="CL997" s="208" t="n"/>
      <c r="CM997" s="208" t="n"/>
      <c r="CN997" s="78" t="n"/>
      <c r="CO997" s="209" t="n"/>
      <c r="CP997" s="204" t="n"/>
      <c r="CQ997" s="204" t="n"/>
      <c r="CR997" s="204" t="n"/>
      <c r="CS997" s="204" t="n"/>
      <c r="CT997" s="204" t="n"/>
      <c r="CU997" s="204" t="n"/>
      <c r="CV997" s="204" t="n"/>
      <c r="CW997" s="204" t="n"/>
    </row>
    <row r="998">
      <c r="BF998" s="78" t="n"/>
      <c r="BG998" s="78" t="n"/>
      <c r="BH998" s="78" t="n"/>
      <c r="BI998" s="78" t="n"/>
      <c r="BJ998" s="139" t="n"/>
      <c r="BK998" s="204" t="n"/>
      <c r="BL998" s="141" t="n"/>
      <c r="BM998" s="205" t="n"/>
      <c r="BN998" s="205" t="n"/>
      <c r="BO998" s="206" t="n"/>
      <c r="BP998" s="144" t="n"/>
      <c r="BQ998" s="141" t="n"/>
      <c r="BR998" s="207" t="n"/>
      <c r="BS998" s="207" t="n"/>
      <c r="BT998" s="207" t="n"/>
      <c r="BU998" s="207" t="n"/>
      <c r="BV998" s="208" t="n"/>
      <c r="BW998" s="207" t="n"/>
      <c r="BX998" s="207" t="n"/>
      <c r="BY998" s="204" t="n"/>
      <c r="BZ998" s="148" t="n"/>
      <c r="CA998" s="204" t="n"/>
      <c r="CB998" s="208" t="n"/>
      <c r="CC998" s="139" t="n"/>
      <c r="CD998" s="204" t="n"/>
      <c r="CE998" s="204" t="n"/>
      <c r="CF998" s="207" t="n"/>
      <c r="CG998" s="208" t="n"/>
      <c r="CH998" s="207" t="n"/>
      <c r="CI998" s="208" t="n"/>
      <c r="CJ998" s="204" t="n"/>
      <c r="CK998" s="208" t="n"/>
      <c r="CL998" s="208" t="n"/>
      <c r="CM998" s="208" t="n"/>
      <c r="CN998" s="78" t="n"/>
      <c r="CO998" s="209" t="n"/>
      <c r="CP998" s="204" t="n"/>
      <c r="CQ998" s="204" t="n"/>
      <c r="CR998" s="204" t="n"/>
      <c r="CS998" s="204" t="n"/>
      <c r="CT998" s="204" t="n"/>
      <c r="CU998" s="204" t="n"/>
      <c r="CV998" s="204" t="n"/>
      <c r="CW998" s="204" t="n"/>
    </row>
    <row r="999">
      <c r="BF999" s="78" t="n"/>
      <c r="BG999" s="78" t="n"/>
      <c r="BH999" s="78" t="n"/>
      <c r="BI999" s="78" t="n"/>
      <c r="BJ999" s="139" t="n"/>
      <c r="BK999" s="204" t="n"/>
      <c r="BL999" s="141" t="n"/>
      <c r="BM999" s="205" t="n"/>
      <c r="BN999" s="205" t="n"/>
      <c r="BO999" s="206" t="n"/>
      <c r="BP999" s="144" t="n"/>
      <c r="BQ999" s="141" t="n"/>
      <c r="BR999" s="207" t="n"/>
      <c r="BS999" s="207" t="n"/>
      <c r="BT999" s="207" t="n"/>
      <c r="BU999" s="207" t="n"/>
      <c r="BV999" s="208" t="n"/>
      <c r="BW999" s="207" t="n"/>
      <c r="BX999" s="207" t="n"/>
      <c r="BY999" s="204" t="n"/>
      <c r="BZ999" s="148" t="n"/>
      <c r="CA999" s="204" t="n"/>
      <c r="CB999" s="208" t="n"/>
      <c r="CC999" s="139" t="n"/>
      <c r="CD999" s="204" t="n"/>
      <c r="CE999" s="204" t="n"/>
      <c r="CF999" s="207" t="n"/>
      <c r="CG999" s="208" t="n"/>
      <c r="CH999" s="207" t="n"/>
      <c r="CI999" s="208" t="n"/>
      <c r="CJ999" s="204" t="n"/>
      <c r="CK999" s="208" t="n"/>
      <c r="CL999" s="208" t="n"/>
      <c r="CM999" s="208" t="n"/>
      <c r="CN999" s="78" t="n"/>
      <c r="CO999" s="209" t="n"/>
      <c r="CP999" s="204" t="n"/>
      <c r="CQ999" s="204" t="n"/>
      <c r="CR999" s="204" t="n"/>
      <c r="CS999" s="204" t="n"/>
      <c r="CT999" s="204" t="n"/>
      <c r="CU999" s="204" t="n"/>
      <c r="CV999" s="204" t="n"/>
      <c r="CW999" s="204" t="n"/>
    </row>
    <row r="1000">
      <c r="BF1000" s="78" t="n"/>
      <c r="BG1000" s="78" t="n"/>
      <c r="BH1000" s="78" t="n"/>
      <c r="BI1000" s="78" t="n"/>
      <c r="BJ1000" s="139" t="n"/>
      <c r="BK1000" s="204" t="n"/>
      <c r="BL1000" s="141" t="n"/>
      <c r="BM1000" s="205" t="n"/>
      <c r="BN1000" s="205" t="n"/>
      <c r="BO1000" s="206" t="n"/>
      <c r="BP1000" s="144" t="n"/>
      <c r="BQ1000" s="141" t="n"/>
      <c r="BR1000" s="207" t="n"/>
      <c r="BS1000" s="207" t="n"/>
      <c r="BT1000" s="207" t="n"/>
      <c r="BU1000" s="207" t="n"/>
      <c r="BV1000" s="208" t="n"/>
      <c r="BW1000" s="207" t="n"/>
      <c r="BX1000" s="207" t="n"/>
      <c r="BY1000" s="204" t="n"/>
      <c r="BZ1000" s="148" t="n"/>
      <c r="CA1000" s="204" t="n"/>
      <c r="CB1000" s="208" t="n"/>
      <c r="CC1000" s="139" t="n"/>
      <c r="CD1000" s="204" t="n"/>
      <c r="CE1000" s="204" t="n"/>
      <c r="CF1000" s="207" t="n"/>
      <c r="CG1000" s="208" t="n"/>
      <c r="CH1000" s="207" t="n"/>
      <c r="CI1000" s="208" t="n"/>
      <c r="CJ1000" s="204" t="n"/>
      <c r="CK1000" s="208" t="n"/>
      <c r="CL1000" s="208" t="n"/>
      <c r="CM1000" s="208" t="n"/>
      <c r="CN1000" s="78" t="n"/>
      <c r="CO1000" s="209" t="n"/>
      <c r="CP1000" s="204" t="n"/>
      <c r="CQ1000" s="204" t="n"/>
      <c r="CR1000" s="204" t="n"/>
      <c r="CS1000" s="204" t="n"/>
      <c r="CT1000" s="204" t="n"/>
      <c r="CU1000" s="204" t="n"/>
      <c r="CV1000" s="204" t="n"/>
      <c r="CW1000" s="204" t="n"/>
    </row>
    <row r="1001">
      <c r="BF1001" s="78" t="n"/>
      <c r="BG1001" s="78" t="n"/>
      <c r="BH1001" s="78" t="n"/>
      <c r="BI1001" s="78" t="n"/>
      <c r="BJ1001" s="139" t="n"/>
      <c r="BK1001" s="204" t="n"/>
      <c r="BL1001" s="141" t="n"/>
      <c r="BM1001" s="205" t="n"/>
      <c r="BN1001" s="205" t="n"/>
      <c r="BO1001" s="206" t="n"/>
      <c r="BP1001" s="144" t="n"/>
      <c r="BQ1001" s="141" t="n"/>
      <c r="BR1001" s="207" t="n"/>
      <c r="BS1001" s="207" t="n"/>
      <c r="BT1001" s="207" t="n"/>
      <c r="BU1001" s="207" t="n"/>
      <c r="BV1001" s="208" t="n"/>
      <c r="BW1001" s="207" t="n"/>
      <c r="BX1001" s="207" t="n"/>
      <c r="BY1001" s="204" t="n"/>
      <c r="BZ1001" s="148" t="n"/>
      <c r="CA1001" s="204" t="n"/>
      <c r="CB1001" s="208" t="n"/>
      <c r="CC1001" s="139" t="n"/>
      <c r="CD1001" s="204" t="n"/>
      <c r="CE1001" s="204" t="n"/>
      <c r="CF1001" s="207" t="n"/>
      <c r="CG1001" s="208" t="n"/>
      <c r="CH1001" s="207" t="n"/>
      <c r="CI1001" s="208" t="n"/>
      <c r="CJ1001" s="204" t="n"/>
      <c r="CK1001" s="208" t="n"/>
      <c r="CL1001" s="208" t="n"/>
      <c r="CM1001" s="208" t="n"/>
      <c r="CN1001" s="78" t="n"/>
      <c r="CO1001" s="209" t="n"/>
      <c r="CP1001" s="204" t="n"/>
      <c r="CQ1001" s="204" t="n"/>
      <c r="CR1001" s="204" t="n"/>
      <c r="CS1001" s="204" t="n"/>
      <c r="CT1001" s="204" t="n"/>
      <c r="CU1001" s="204" t="n"/>
      <c r="CV1001" s="204" t="n"/>
      <c r="CW1001" s="204" t="n"/>
    </row>
    <row r="1002">
      <c r="BF1002" s="78" t="n"/>
      <c r="BG1002" s="78" t="n"/>
      <c r="BH1002" s="78" t="n"/>
      <c r="BI1002" s="78" t="n"/>
      <c r="BJ1002" s="139" t="n"/>
      <c r="BK1002" s="204" t="n"/>
      <c r="BL1002" s="141" t="n"/>
      <c r="BM1002" s="205" t="n"/>
      <c r="BN1002" s="205" t="n"/>
      <c r="BO1002" s="206" t="n"/>
      <c r="BP1002" s="144" t="n"/>
      <c r="BQ1002" s="141" t="n"/>
      <c r="BR1002" s="207" t="n"/>
      <c r="BS1002" s="207" t="n"/>
      <c r="BT1002" s="207" t="n"/>
      <c r="BU1002" s="207" t="n"/>
      <c r="BV1002" s="208" t="n"/>
      <c r="BW1002" s="207" t="n"/>
      <c r="BX1002" s="207" t="n"/>
      <c r="BY1002" s="204" t="n"/>
      <c r="BZ1002" s="148" t="n"/>
      <c r="CA1002" s="204" t="n"/>
      <c r="CB1002" s="208" t="n"/>
      <c r="CC1002" s="139" t="n"/>
      <c r="CD1002" s="204" t="n"/>
      <c r="CE1002" s="204" t="n"/>
      <c r="CF1002" s="207" t="n"/>
      <c r="CG1002" s="208" t="n"/>
      <c r="CH1002" s="207" t="n"/>
      <c r="CI1002" s="208" t="n"/>
      <c r="CJ1002" s="204" t="n"/>
      <c r="CK1002" s="208" t="n"/>
      <c r="CL1002" s="208" t="n"/>
      <c r="CM1002" s="208" t="n"/>
      <c r="CN1002" s="78" t="n"/>
      <c r="CO1002" s="209" t="n"/>
      <c r="CP1002" s="204" t="n"/>
      <c r="CQ1002" s="204" t="n"/>
      <c r="CR1002" s="204" t="n"/>
      <c r="CS1002" s="204" t="n"/>
      <c r="CT1002" s="204" t="n"/>
      <c r="CU1002" s="204" t="n"/>
      <c r="CV1002" s="204" t="n"/>
      <c r="CW1002" s="204" t="n"/>
    </row>
    <row r="1003">
      <c r="BF1003" s="78" t="n"/>
      <c r="BG1003" s="78" t="n"/>
      <c r="BH1003" s="78" t="n"/>
      <c r="BI1003" s="78" t="n"/>
      <c r="BJ1003" s="139" t="n"/>
      <c r="BK1003" s="204" t="n"/>
      <c r="BL1003" s="141" t="n"/>
      <c r="BM1003" s="205" t="n"/>
      <c r="BN1003" s="205" t="n"/>
      <c r="BO1003" s="206" t="n"/>
      <c r="BP1003" s="144" t="n"/>
      <c r="BQ1003" s="141" t="n"/>
      <c r="BR1003" s="207" t="n"/>
      <c r="BS1003" s="207" t="n"/>
      <c r="BT1003" s="207" t="n"/>
      <c r="BU1003" s="207" t="n"/>
      <c r="BV1003" s="208" t="n"/>
      <c r="BW1003" s="207" t="n"/>
      <c r="BX1003" s="207" t="n"/>
      <c r="BY1003" s="204" t="n"/>
      <c r="BZ1003" s="148" t="n"/>
      <c r="CA1003" s="204" t="n"/>
      <c r="CB1003" s="208" t="n"/>
      <c r="CC1003" s="139" t="n"/>
      <c r="CD1003" s="204" t="n"/>
      <c r="CE1003" s="204" t="n"/>
      <c r="CF1003" s="207" t="n"/>
      <c r="CG1003" s="208" t="n"/>
      <c r="CH1003" s="207" t="n"/>
      <c r="CI1003" s="208" t="n"/>
      <c r="CJ1003" s="204" t="n"/>
      <c r="CK1003" s="208" t="n"/>
      <c r="CL1003" s="208" t="n"/>
      <c r="CM1003" s="208" t="n"/>
      <c r="CN1003" s="78" t="n"/>
      <c r="CO1003" s="209" t="n"/>
      <c r="CP1003" s="204" t="n"/>
      <c r="CQ1003" s="204" t="n"/>
      <c r="CR1003" s="204" t="n"/>
      <c r="CS1003" s="204" t="n"/>
      <c r="CT1003" s="204" t="n"/>
      <c r="CU1003" s="204" t="n"/>
      <c r="CV1003" s="204" t="n"/>
      <c r="CW1003" s="204" t="n"/>
    </row>
    <row r="1004">
      <c r="BF1004" s="78" t="n"/>
      <c r="BG1004" s="78" t="n"/>
      <c r="BH1004" s="78" t="n"/>
      <c r="BI1004" s="78" t="n"/>
      <c r="BJ1004" s="139" t="n"/>
      <c r="BK1004" s="204" t="n"/>
      <c r="BL1004" s="141" t="n"/>
      <c r="BM1004" s="205" t="n"/>
      <c r="BN1004" s="205" t="n"/>
      <c r="BO1004" s="206" t="n"/>
      <c r="BP1004" s="144" t="n"/>
      <c r="BQ1004" s="141" t="n"/>
      <c r="BR1004" s="207" t="n"/>
      <c r="BS1004" s="207" t="n"/>
      <c r="BT1004" s="207" t="n"/>
      <c r="BU1004" s="207" t="n"/>
      <c r="BV1004" s="208" t="n"/>
      <c r="BW1004" s="207" t="n"/>
      <c r="BX1004" s="207" t="n"/>
      <c r="BY1004" s="204" t="n"/>
      <c r="BZ1004" s="148" t="n"/>
      <c r="CA1004" s="204" t="n"/>
      <c r="CB1004" s="208" t="n"/>
      <c r="CC1004" s="139" t="n"/>
      <c r="CD1004" s="204" t="n"/>
      <c r="CE1004" s="204" t="n"/>
      <c r="CF1004" s="207" t="n"/>
      <c r="CG1004" s="208" t="n"/>
      <c r="CH1004" s="207" t="n"/>
      <c r="CI1004" s="208" t="n"/>
      <c r="CJ1004" s="204" t="n"/>
      <c r="CK1004" s="208" t="n"/>
      <c r="CL1004" s="208" t="n"/>
      <c r="CM1004" s="208" t="n"/>
      <c r="CN1004" s="78" t="n"/>
      <c r="CO1004" s="209" t="n"/>
      <c r="CP1004" s="204" t="n"/>
      <c r="CQ1004" s="204" t="n"/>
      <c r="CR1004" s="204" t="n"/>
      <c r="CS1004" s="204" t="n"/>
      <c r="CT1004" s="204" t="n"/>
      <c r="CU1004" s="204" t="n"/>
      <c r="CV1004" s="204" t="n"/>
      <c r="CW1004" s="204" t="n"/>
    </row>
    <row r="1005">
      <c r="BF1005" s="78" t="n"/>
      <c r="BG1005" s="78" t="n"/>
      <c r="BH1005" s="78" t="n"/>
      <c r="BI1005" s="78" t="n"/>
      <c r="BJ1005" s="139" t="n"/>
      <c r="BK1005" s="204" t="n"/>
      <c r="BL1005" s="141" t="n"/>
      <c r="BM1005" s="205" t="n"/>
      <c r="BN1005" s="205" t="n"/>
      <c r="BO1005" s="206" t="n"/>
      <c r="BP1005" s="144" t="n"/>
      <c r="BQ1005" s="141" t="n"/>
      <c r="BR1005" s="207" t="n"/>
      <c r="BS1005" s="207" t="n"/>
      <c r="BT1005" s="207" t="n"/>
      <c r="BU1005" s="207" t="n"/>
      <c r="BV1005" s="208" t="n"/>
      <c r="BW1005" s="207" t="n"/>
      <c r="BX1005" s="207" t="n"/>
      <c r="BY1005" s="204" t="n"/>
      <c r="BZ1005" s="148" t="n"/>
      <c r="CA1005" s="204" t="n"/>
      <c r="CB1005" s="208" t="n"/>
      <c r="CC1005" s="139" t="n"/>
      <c r="CD1005" s="204" t="n"/>
      <c r="CE1005" s="204" t="n"/>
      <c r="CF1005" s="207" t="n"/>
      <c r="CG1005" s="208" t="n"/>
      <c r="CH1005" s="207" t="n"/>
      <c r="CI1005" s="208" t="n"/>
      <c r="CJ1005" s="204" t="n"/>
      <c r="CK1005" s="208" t="n"/>
      <c r="CL1005" s="208" t="n"/>
      <c r="CM1005" s="208" t="n"/>
      <c r="CN1005" s="78" t="n"/>
      <c r="CO1005" s="209" t="n"/>
      <c r="CP1005" s="204" t="n"/>
      <c r="CQ1005" s="204" t="n"/>
      <c r="CR1005" s="204" t="n"/>
      <c r="CS1005" s="204" t="n"/>
      <c r="CT1005" s="204" t="n"/>
      <c r="CU1005" s="204" t="n"/>
      <c r="CV1005" s="204" t="n"/>
      <c r="CW1005" s="204" t="n"/>
    </row>
    <row r="1006">
      <c r="BF1006" s="78" t="n"/>
      <c r="BG1006" s="78" t="n"/>
      <c r="BH1006" s="78" t="n"/>
      <c r="BI1006" s="78" t="n"/>
      <c r="BJ1006" s="139" t="n"/>
      <c r="BK1006" s="204" t="n"/>
      <c r="BL1006" s="141" t="n"/>
      <c r="BM1006" s="205" t="n"/>
      <c r="BN1006" s="205" t="n"/>
      <c r="BO1006" s="206" t="n"/>
      <c r="BP1006" s="144" t="n"/>
      <c r="BQ1006" s="141" t="n"/>
      <c r="BR1006" s="207" t="n"/>
      <c r="BS1006" s="207" t="n"/>
      <c r="BT1006" s="207" t="n"/>
      <c r="BU1006" s="207" t="n"/>
      <c r="BV1006" s="208" t="n"/>
      <c r="BW1006" s="207" t="n"/>
      <c r="BX1006" s="207" t="n"/>
      <c r="BY1006" s="204" t="n"/>
      <c r="BZ1006" s="148" t="n"/>
      <c r="CA1006" s="204" t="n"/>
      <c r="CB1006" s="208" t="n"/>
      <c r="CC1006" s="139" t="n"/>
      <c r="CD1006" s="204" t="n"/>
      <c r="CE1006" s="204" t="n"/>
      <c r="CF1006" s="207" t="n"/>
      <c r="CG1006" s="208" t="n"/>
      <c r="CH1006" s="207" t="n"/>
      <c r="CI1006" s="208" t="n"/>
      <c r="CJ1006" s="204" t="n"/>
      <c r="CK1006" s="208" t="n"/>
      <c r="CL1006" s="208" t="n"/>
      <c r="CM1006" s="208" t="n"/>
      <c r="CN1006" s="78" t="n"/>
      <c r="CO1006" s="209" t="n"/>
      <c r="CP1006" s="204" t="n"/>
      <c r="CQ1006" s="204" t="n"/>
      <c r="CR1006" s="204" t="n"/>
      <c r="CS1006" s="204" t="n"/>
      <c r="CT1006" s="204" t="n"/>
      <c r="CU1006" s="204" t="n"/>
      <c r="CV1006" s="204" t="n"/>
      <c r="CW1006" s="204" t="n"/>
    </row>
    <row r="1007">
      <c r="BF1007" s="78" t="n"/>
      <c r="BG1007" s="78" t="n"/>
      <c r="BH1007" s="78" t="n"/>
      <c r="BI1007" s="78" t="n"/>
      <c r="BJ1007" s="139" t="n"/>
      <c r="BK1007" s="204" t="n"/>
      <c r="BL1007" s="141" t="n"/>
      <c r="BM1007" s="205" t="n"/>
      <c r="BN1007" s="205" t="n"/>
      <c r="BO1007" s="206" t="n"/>
      <c r="BP1007" s="144" t="n"/>
      <c r="BQ1007" s="141" t="n"/>
      <c r="BR1007" s="207" t="n"/>
      <c r="BS1007" s="207" t="n"/>
      <c r="BT1007" s="207" t="n"/>
      <c r="BU1007" s="207" t="n"/>
      <c r="BV1007" s="208" t="n"/>
      <c r="BW1007" s="207" t="n"/>
      <c r="BX1007" s="207" t="n"/>
      <c r="BY1007" s="204" t="n"/>
      <c r="BZ1007" s="148" t="n"/>
      <c r="CA1007" s="204" t="n"/>
      <c r="CB1007" s="208" t="n"/>
      <c r="CC1007" s="139" t="n"/>
      <c r="CD1007" s="204" t="n"/>
      <c r="CE1007" s="204" t="n"/>
      <c r="CF1007" s="207" t="n"/>
      <c r="CG1007" s="208" t="n"/>
      <c r="CH1007" s="207" t="n"/>
      <c r="CI1007" s="208" t="n"/>
      <c r="CJ1007" s="204" t="n"/>
      <c r="CK1007" s="208" t="n"/>
      <c r="CL1007" s="208" t="n"/>
      <c r="CM1007" s="208" t="n"/>
      <c r="CN1007" s="78" t="n"/>
      <c r="CO1007" s="209" t="n"/>
      <c r="CP1007" s="204" t="n"/>
      <c r="CQ1007" s="204" t="n"/>
      <c r="CR1007" s="204" t="n"/>
      <c r="CS1007" s="204" t="n"/>
      <c r="CT1007" s="204" t="n"/>
      <c r="CU1007" s="204" t="n"/>
      <c r="CV1007" s="204" t="n"/>
      <c r="CW1007" s="204" t="n"/>
    </row>
    <row r="1008">
      <c r="BF1008" s="78" t="n"/>
      <c r="BG1008" s="78" t="n"/>
      <c r="BH1008" s="78" t="n"/>
      <c r="BI1008" s="78" t="n"/>
      <c r="BJ1008" s="139" t="n"/>
      <c r="BK1008" s="204" t="n"/>
      <c r="BL1008" s="141" t="n"/>
      <c r="BM1008" s="205" t="n"/>
      <c r="BN1008" s="205" t="n"/>
      <c r="BO1008" s="206" t="n"/>
      <c r="BP1008" s="144" t="n"/>
      <c r="BQ1008" s="141" t="n"/>
      <c r="BR1008" s="207" t="n"/>
      <c r="BS1008" s="207" t="n"/>
      <c r="BT1008" s="207" t="n"/>
      <c r="BU1008" s="207" t="n"/>
      <c r="BV1008" s="208" t="n"/>
      <c r="BW1008" s="207" t="n"/>
      <c r="BX1008" s="207" t="n"/>
      <c r="BY1008" s="204" t="n"/>
      <c r="BZ1008" s="148" t="n"/>
      <c r="CA1008" s="204" t="n"/>
      <c r="CB1008" s="208" t="n"/>
      <c r="CC1008" s="139" t="n"/>
      <c r="CD1008" s="204" t="n"/>
      <c r="CE1008" s="204" t="n"/>
      <c r="CF1008" s="207" t="n"/>
      <c r="CG1008" s="208" t="n"/>
      <c r="CH1008" s="207" t="n"/>
      <c r="CI1008" s="208" t="n"/>
      <c r="CJ1008" s="204" t="n"/>
      <c r="CK1008" s="208" t="n"/>
      <c r="CL1008" s="208" t="n"/>
      <c r="CM1008" s="208" t="n"/>
      <c r="CN1008" s="78" t="n"/>
      <c r="CO1008" s="209" t="n"/>
      <c r="CP1008" s="204" t="n"/>
      <c r="CQ1008" s="204" t="n"/>
      <c r="CR1008" s="204" t="n"/>
      <c r="CS1008" s="204" t="n"/>
      <c r="CT1008" s="204" t="n"/>
      <c r="CU1008" s="204" t="n"/>
      <c r="CV1008" s="204" t="n"/>
      <c r="CW1008" s="204" t="n"/>
    </row>
    <row r="1009">
      <c r="BF1009" s="78" t="n"/>
      <c r="BG1009" s="78" t="n"/>
      <c r="BH1009" s="78" t="n"/>
      <c r="BI1009" s="78" t="n"/>
      <c r="BJ1009" s="139" t="n"/>
      <c r="BK1009" s="204" t="n"/>
      <c r="BL1009" s="141" t="n"/>
      <c r="BM1009" s="205" t="n"/>
      <c r="BN1009" s="205" t="n"/>
      <c r="BO1009" s="206" t="n"/>
      <c r="BP1009" s="144" t="n"/>
      <c r="BQ1009" s="141" t="n"/>
      <c r="BR1009" s="207" t="n"/>
      <c r="BS1009" s="207" t="n"/>
      <c r="BT1009" s="207" t="n"/>
      <c r="BU1009" s="207" t="n"/>
      <c r="BV1009" s="208" t="n"/>
      <c r="BW1009" s="207" t="n"/>
      <c r="BX1009" s="207" t="n"/>
      <c r="BY1009" s="204" t="n"/>
      <c r="BZ1009" s="148" t="n"/>
      <c r="CA1009" s="204" t="n"/>
      <c r="CB1009" s="208" t="n"/>
      <c r="CC1009" s="139" t="n"/>
      <c r="CD1009" s="204" t="n"/>
      <c r="CE1009" s="204" t="n"/>
      <c r="CF1009" s="207" t="n"/>
      <c r="CG1009" s="208" t="n"/>
      <c r="CH1009" s="207" t="n"/>
      <c r="CI1009" s="208" t="n"/>
      <c r="CJ1009" s="204" t="n"/>
      <c r="CK1009" s="208" t="n"/>
      <c r="CL1009" s="208" t="n"/>
      <c r="CM1009" s="208" t="n"/>
      <c r="CN1009" s="78" t="n"/>
      <c r="CO1009" s="209" t="n"/>
      <c r="CP1009" s="204" t="n"/>
      <c r="CQ1009" s="204" t="n"/>
      <c r="CR1009" s="204" t="n"/>
      <c r="CS1009" s="204" t="n"/>
      <c r="CT1009" s="204" t="n"/>
      <c r="CU1009" s="204" t="n"/>
      <c r="CV1009" s="204" t="n"/>
      <c r="CW1009" s="204" t="n"/>
    </row>
    <row r="1010">
      <c r="BF1010" s="78" t="n"/>
      <c r="BG1010" s="78" t="n"/>
      <c r="BH1010" s="78" t="n"/>
      <c r="BI1010" s="78" t="n"/>
      <c r="BJ1010" s="139" t="n"/>
      <c r="BK1010" s="204" t="n"/>
      <c r="BL1010" s="141" t="n"/>
      <c r="BM1010" s="205" t="n"/>
      <c r="BN1010" s="205" t="n"/>
      <c r="BO1010" s="206" t="n"/>
      <c r="BP1010" s="144" t="n"/>
      <c r="BQ1010" s="141" t="n"/>
      <c r="BR1010" s="207" t="n"/>
      <c r="BS1010" s="207" t="n"/>
      <c r="BT1010" s="207" t="n"/>
      <c r="BU1010" s="207" t="n"/>
      <c r="BV1010" s="208" t="n"/>
      <c r="BW1010" s="207" t="n"/>
      <c r="BX1010" s="207" t="n"/>
      <c r="BY1010" s="204" t="n"/>
      <c r="BZ1010" s="148" t="n"/>
      <c r="CA1010" s="204" t="n"/>
      <c r="CB1010" s="208" t="n"/>
      <c r="CC1010" s="139" t="n"/>
      <c r="CD1010" s="204" t="n"/>
      <c r="CE1010" s="204" t="n"/>
      <c r="CF1010" s="207" t="n"/>
      <c r="CG1010" s="208" t="n"/>
      <c r="CH1010" s="207" t="n"/>
      <c r="CI1010" s="208" t="n"/>
      <c r="CJ1010" s="204" t="n"/>
      <c r="CK1010" s="208" t="n"/>
      <c r="CL1010" s="208" t="n"/>
      <c r="CM1010" s="208" t="n"/>
      <c r="CN1010" s="78" t="n"/>
      <c r="CO1010" s="209" t="n"/>
      <c r="CP1010" s="204" t="n"/>
      <c r="CQ1010" s="204" t="n"/>
      <c r="CR1010" s="204" t="n"/>
      <c r="CS1010" s="204" t="n"/>
      <c r="CT1010" s="204" t="n"/>
      <c r="CU1010" s="204" t="n"/>
      <c r="CV1010" s="204" t="n"/>
      <c r="CW1010" s="204" t="n"/>
    </row>
    <row r="1011">
      <c r="BF1011" s="78" t="n"/>
      <c r="BG1011" s="78" t="n"/>
      <c r="BH1011" s="78" t="n"/>
      <c r="BI1011" s="78" t="n"/>
      <c r="BJ1011" s="139" t="n"/>
      <c r="BK1011" s="204" t="n"/>
      <c r="BL1011" s="141" t="n"/>
      <c r="BM1011" s="205" t="n"/>
      <c r="BN1011" s="205" t="n"/>
      <c r="BO1011" s="206" t="n"/>
      <c r="BP1011" s="144" t="n"/>
      <c r="BQ1011" s="141" t="n"/>
      <c r="BR1011" s="207" t="n"/>
      <c r="BS1011" s="207" t="n"/>
      <c r="BT1011" s="207" t="n"/>
      <c r="BU1011" s="207" t="n"/>
      <c r="BV1011" s="208" t="n"/>
      <c r="BW1011" s="207" t="n"/>
      <c r="BX1011" s="207" t="n"/>
      <c r="BY1011" s="204" t="n"/>
      <c r="BZ1011" s="148" t="n"/>
      <c r="CA1011" s="204" t="n"/>
      <c r="CB1011" s="208" t="n"/>
      <c r="CC1011" s="139" t="n"/>
      <c r="CD1011" s="204" t="n"/>
      <c r="CE1011" s="204" t="n"/>
      <c r="CF1011" s="207" t="n"/>
      <c r="CG1011" s="208" t="n"/>
      <c r="CH1011" s="207" t="n"/>
      <c r="CI1011" s="208" t="n"/>
      <c r="CJ1011" s="204" t="n"/>
      <c r="CK1011" s="208" t="n"/>
      <c r="CL1011" s="208" t="n"/>
      <c r="CM1011" s="208" t="n"/>
      <c r="CN1011" s="78" t="n"/>
      <c r="CO1011" s="209" t="n"/>
      <c r="CP1011" s="204" t="n"/>
      <c r="CQ1011" s="204" t="n"/>
      <c r="CR1011" s="204" t="n"/>
      <c r="CS1011" s="204" t="n"/>
      <c r="CT1011" s="204" t="n"/>
      <c r="CU1011" s="204" t="n"/>
      <c r="CV1011" s="204" t="n"/>
      <c r="CW1011" s="204" t="n"/>
    </row>
    <row r="1012">
      <c r="BF1012" s="78" t="n"/>
      <c r="BG1012" s="78" t="n"/>
      <c r="BH1012" s="78" t="n"/>
      <c r="BI1012" s="78" t="n"/>
      <c r="BJ1012" s="139" t="n"/>
      <c r="BK1012" s="204" t="n"/>
      <c r="BL1012" s="141" t="n"/>
      <c r="BM1012" s="205" t="n"/>
      <c r="BN1012" s="205" t="n"/>
      <c r="BO1012" s="206" t="n"/>
      <c r="BP1012" s="144" t="n"/>
      <c r="BQ1012" s="141" t="n"/>
      <c r="BR1012" s="207" t="n"/>
      <c r="BS1012" s="207" t="n"/>
      <c r="BT1012" s="207" t="n"/>
      <c r="BU1012" s="207" t="n"/>
      <c r="BV1012" s="208" t="n"/>
      <c r="BW1012" s="207" t="n"/>
      <c r="BX1012" s="207" t="n"/>
      <c r="BY1012" s="204" t="n"/>
      <c r="BZ1012" s="148" t="n"/>
      <c r="CA1012" s="204" t="n"/>
      <c r="CB1012" s="208" t="n"/>
      <c r="CC1012" s="139" t="n"/>
      <c r="CD1012" s="204" t="n"/>
      <c r="CE1012" s="204" t="n"/>
      <c r="CF1012" s="207" t="n"/>
      <c r="CG1012" s="208" t="n"/>
      <c r="CH1012" s="207" t="n"/>
      <c r="CI1012" s="208" t="n"/>
      <c r="CJ1012" s="204" t="n"/>
      <c r="CK1012" s="208" t="n"/>
      <c r="CL1012" s="208" t="n"/>
      <c r="CM1012" s="208" t="n"/>
      <c r="CN1012" s="78" t="n"/>
      <c r="CO1012" s="209" t="n"/>
      <c r="CP1012" s="204" t="n"/>
      <c r="CQ1012" s="204" t="n"/>
      <c r="CR1012" s="204" t="n"/>
      <c r="CS1012" s="204" t="n"/>
      <c r="CT1012" s="204" t="n"/>
      <c r="CU1012" s="204" t="n"/>
      <c r="CV1012" s="204" t="n"/>
      <c r="CW1012" s="204" t="n"/>
    </row>
    <row r="1013">
      <c r="BF1013" s="78" t="n"/>
      <c r="BG1013" s="78" t="n"/>
      <c r="BH1013" s="78" t="n"/>
      <c r="BI1013" s="78" t="n"/>
      <c r="BJ1013" s="139" t="n"/>
      <c r="BK1013" s="204" t="n"/>
      <c r="BL1013" s="141" t="n"/>
      <c r="BM1013" s="205" t="n"/>
      <c r="BN1013" s="205" t="n"/>
      <c r="BO1013" s="206" t="n"/>
      <c r="BP1013" s="144" t="n"/>
      <c r="BQ1013" s="141" t="n"/>
      <c r="BR1013" s="207" t="n"/>
      <c r="BS1013" s="207" t="n"/>
      <c r="BT1013" s="207" t="n"/>
      <c r="BU1013" s="207" t="n"/>
      <c r="BV1013" s="208" t="n"/>
      <c r="BW1013" s="207" t="n"/>
      <c r="BX1013" s="207" t="n"/>
      <c r="BY1013" s="204" t="n"/>
      <c r="BZ1013" s="148" t="n"/>
      <c r="CA1013" s="204" t="n"/>
      <c r="CB1013" s="208" t="n"/>
      <c r="CC1013" s="139" t="n"/>
      <c r="CD1013" s="204" t="n"/>
      <c r="CE1013" s="204" t="n"/>
      <c r="CF1013" s="207" t="n"/>
      <c r="CG1013" s="208" t="n"/>
      <c r="CH1013" s="207" t="n"/>
      <c r="CI1013" s="208" t="n"/>
      <c r="CJ1013" s="204" t="n"/>
      <c r="CK1013" s="208" t="n"/>
      <c r="CL1013" s="208" t="n"/>
      <c r="CM1013" s="208" t="n"/>
      <c r="CN1013" s="78" t="n"/>
      <c r="CO1013" s="209" t="n"/>
      <c r="CP1013" s="204" t="n"/>
      <c r="CQ1013" s="204" t="n"/>
      <c r="CR1013" s="204" t="n"/>
      <c r="CS1013" s="204" t="n"/>
      <c r="CT1013" s="204" t="n"/>
      <c r="CU1013" s="204" t="n"/>
      <c r="CV1013" s="204" t="n"/>
      <c r="CW1013" s="204" t="n"/>
    </row>
    <row r="1014">
      <c r="BF1014" s="78" t="n"/>
      <c r="BG1014" s="78" t="n"/>
      <c r="BH1014" s="78" t="n"/>
      <c r="BI1014" s="78" t="n"/>
      <c r="BJ1014" s="139" t="n"/>
      <c r="BK1014" s="204" t="n"/>
      <c r="BL1014" s="141" t="n"/>
      <c r="BM1014" s="205" t="n"/>
      <c r="BN1014" s="205" t="n"/>
      <c r="BO1014" s="206" t="n"/>
      <c r="BP1014" s="144" t="n"/>
      <c r="BQ1014" s="141" t="n"/>
      <c r="BR1014" s="207" t="n"/>
      <c r="BS1014" s="207" t="n"/>
      <c r="BT1014" s="207" t="n"/>
      <c r="BU1014" s="207" t="n"/>
      <c r="BV1014" s="208" t="n"/>
      <c r="BW1014" s="207" t="n"/>
      <c r="BX1014" s="207" t="n"/>
      <c r="BY1014" s="204" t="n"/>
      <c r="BZ1014" s="148" t="n"/>
      <c r="CA1014" s="204" t="n"/>
      <c r="CB1014" s="208" t="n"/>
      <c r="CC1014" s="139" t="n"/>
      <c r="CD1014" s="204" t="n"/>
      <c r="CE1014" s="204" t="n"/>
      <c r="CF1014" s="207" t="n"/>
      <c r="CG1014" s="208" t="n"/>
      <c r="CH1014" s="207" t="n"/>
      <c r="CI1014" s="208" t="n"/>
      <c r="CJ1014" s="204" t="n"/>
      <c r="CK1014" s="208" t="n"/>
      <c r="CL1014" s="208" t="n"/>
      <c r="CM1014" s="208" t="n"/>
      <c r="CN1014" s="78" t="n"/>
      <c r="CO1014" s="209" t="n"/>
      <c r="CP1014" s="204" t="n"/>
      <c r="CQ1014" s="204" t="n"/>
      <c r="CR1014" s="204" t="n"/>
      <c r="CS1014" s="204" t="n"/>
      <c r="CT1014" s="204" t="n"/>
      <c r="CU1014" s="204" t="n"/>
      <c r="CV1014" s="204" t="n"/>
      <c r="CW1014" s="204" t="n"/>
    </row>
    <row r="1015">
      <c r="BF1015" s="78" t="n"/>
      <c r="BG1015" s="78" t="n"/>
      <c r="BH1015" s="78" t="n"/>
      <c r="BI1015" s="78" t="n"/>
      <c r="BJ1015" s="139" t="n"/>
      <c r="BK1015" s="204" t="n"/>
      <c r="BL1015" s="141" t="n"/>
      <c r="BM1015" s="205" t="n"/>
      <c r="BN1015" s="205" t="n"/>
      <c r="BO1015" s="206" t="n"/>
      <c r="BP1015" s="144" t="n"/>
      <c r="BQ1015" s="141" t="n"/>
      <c r="BR1015" s="207" t="n"/>
      <c r="BS1015" s="207" t="n"/>
      <c r="BT1015" s="207" t="n"/>
      <c r="BU1015" s="207" t="n"/>
      <c r="BV1015" s="208" t="n"/>
      <c r="BW1015" s="207" t="n"/>
      <c r="BX1015" s="207" t="n"/>
      <c r="BY1015" s="204" t="n"/>
      <c r="BZ1015" s="148" t="n"/>
      <c r="CA1015" s="204" t="n"/>
      <c r="CB1015" s="208" t="n"/>
      <c r="CC1015" s="139" t="n"/>
      <c r="CD1015" s="204" t="n"/>
      <c r="CE1015" s="204" t="n"/>
      <c r="CF1015" s="207" t="n"/>
      <c r="CG1015" s="208" t="n"/>
      <c r="CH1015" s="207" t="n"/>
      <c r="CI1015" s="208" t="n"/>
      <c r="CJ1015" s="204" t="n"/>
      <c r="CK1015" s="208" t="n"/>
      <c r="CL1015" s="208" t="n"/>
      <c r="CM1015" s="208" t="n"/>
      <c r="CN1015" s="78" t="n"/>
      <c r="CO1015" s="209" t="n"/>
      <c r="CP1015" s="204" t="n"/>
      <c r="CQ1015" s="204" t="n"/>
      <c r="CR1015" s="204" t="n"/>
      <c r="CS1015" s="204" t="n"/>
      <c r="CT1015" s="204" t="n"/>
      <c r="CU1015" s="204" t="n"/>
      <c r="CV1015" s="204" t="n"/>
      <c r="CW1015" s="204" t="n"/>
    </row>
    <row r="1016">
      <c r="BF1016" s="78" t="n"/>
      <c r="BG1016" s="78" t="n"/>
      <c r="BH1016" s="78" t="n"/>
      <c r="BI1016" s="78" t="n"/>
      <c r="BJ1016" s="139" t="n"/>
      <c r="BK1016" s="204" t="n"/>
      <c r="BL1016" s="141" t="n"/>
      <c r="BM1016" s="205" t="n"/>
      <c r="BN1016" s="205" t="n"/>
      <c r="BO1016" s="206" t="n"/>
      <c r="BP1016" s="144" t="n"/>
      <c r="BQ1016" s="141" t="n"/>
      <c r="BR1016" s="207" t="n"/>
      <c r="BS1016" s="207" t="n"/>
      <c r="BT1016" s="207" t="n"/>
      <c r="BU1016" s="207" t="n"/>
      <c r="BV1016" s="208" t="n"/>
      <c r="BW1016" s="207" t="n"/>
      <c r="BX1016" s="207" t="n"/>
      <c r="BY1016" s="204" t="n"/>
      <c r="BZ1016" s="148" t="n"/>
      <c r="CA1016" s="204" t="n"/>
      <c r="CB1016" s="208" t="n"/>
      <c r="CC1016" s="139" t="n"/>
      <c r="CD1016" s="204" t="n"/>
      <c r="CE1016" s="204" t="n"/>
      <c r="CF1016" s="207" t="n"/>
      <c r="CG1016" s="208" t="n"/>
      <c r="CH1016" s="207" t="n"/>
      <c r="CI1016" s="208" t="n"/>
      <c r="CJ1016" s="204" t="n"/>
      <c r="CK1016" s="208" t="n"/>
      <c r="CL1016" s="208" t="n"/>
      <c r="CM1016" s="208" t="n"/>
      <c r="CN1016" s="78" t="n"/>
      <c r="CO1016" s="209" t="n"/>
      <c r="CP1016" s="204" t="n"/>
      <c r="CQ1016" s="204" t="n"/>
      <c r="CR1016" s="204" t="n"/>
      <c r="CS1016" s="204" t="n"/>
      <c r="CT1016" s="204" t="n"/>
      <c r="CU1016" s="204" t="n"/>
      <c r="CV1016" s="204" t="n"/>
      <c r="CW1016" s="204" t="n"/>
    </row>
    <row r="1017">
      <c r="BF1017" s="78" t="n"/>
      <c r="BG1017" s="78" t="n"/>
      <c r="BH1017" s="78" t="n"/>
      <c r="BI1017" s="78" t="n"/>
      <c r="BJ1017" s="139" t="n"/>
      <c r="BK1017" s="204" t="n"/>
      <c r="BL1017" s="141" t="n"/>
      <c r="BM1017" s="205" t="n"/>
      <c r="BN1017" s="205" t="n"/>
      <c r="BO1017" s="206" t="n"/>
      <c r="BP1017" s="144" t="n"/>
      <c r="BQ1017" s="141" t="n"/>
      <c r="BR1017" s="207" t="n"/>
      <c r="BS1017" s="207" t="n"/>
      <c r="BT1017" s="207" t="n"/>
      <c r="BU1017" s="207" t="n"/>
      <c r="BV1017" s="208" t="n"/>
      <c r="BW1017" s="207" t="n"/>
      <c r="BX1017" s="207" t="n"/>
      <c r="BY1017" s="204" t="n"/>
      <c r="BZ1017" s="148" t="n"/>
      <c r="CA1017" s="204" t="n"/>
      <c r="CB1017" s="208" t="n"/>
      <c r="CC1017" s="139" t="n"/>
      <c r="CD1017" s="204" t="n"/>
      <c r="CE1017" s="204" t="n"/>
      <c r="CF1017" s="207" t="n"/>
      <c r="CG1017" s="208" t="n"/>
      <c r="CH1017" s="207" t="n"/>
      <c r="CI1017" s="208" t="n"/>
      <c r="CJ1017" s="204" t="n"/>
      <c r="CK1017" s="208" t="n"/>
      <c r="CL1017" s="208" t="n"/>
      <c r="CM1017" s="208" t="n"/>
      <c r="CN1017" s="78" t="n"/>
      <c r="CO1017" s="209" t="n"/>
      <c r="CP1017" s="204" t="n"/>
      <c r="CQ1017" s="204" t="n"/>
      <c r="CR1017" s="204" t="n"/>
      <c r="CS1017" s="204" t="n"/>
      <c r="CT1017" s="204" t="n"/>
      <c r="CU1017" s="204" t="n"/>
      <c r="CV1017" s="204" t="n"/>
      <c r="CW1017" s="204" t="n"/>
    </row>
    <row r="1018">
      <c r="AR1018" s="151" t="n"/>
      <c r="BF1018" s="78" t="n"/>
      <c r="BG1018" s="78" t="n"/>
      <c r="BH1018" s="78" t="n"/>
      <c r="BI1018" s="78" t="n"/>
      <c r="BJ1018" s="139" t="n"/>
      <c r="BK1018" s="204" t="n"/>
      <c r="BL1018" s="141" t="n"/>
      <c r="BM1018" s="205" t="n"/>
      <c r="BN1018" s="205" t="n"/>
      <c r="BO1018" s="206" t="n"/>
      <c r="BP1018" s="144" t="n"/>
      <c r="BQ1018" s="141" t="n"/>
      <c r="BR1018" s="207" t="n"/>
      <c r="BS1018" s="207" t="n"/>
      <c r="BT1018" s="207" t="n"/>
      <c r="BU1018" s="207" t="n"/>
      <c r="BV1018" s="208" t="n"/>
      <c r="BW1018" s="207" t="n"/>
      <c r="BX1018" s="207" t="n"/>
      <c r="BY1018" s="204" t="n"/>
      <c r="BZ1018" s="148" t="n"/>
      <c r="CA1018" s="204" t="n"/>
      <c r="CB1018" s="208" t="n"/>
      <c r="CC1018" s="139" t="n"/>
      <c r="CD1018" s="204" t="n"/>
      <c r="CE1018" s="204" t="n"/>
      <c r="CF1018" s="207" t="n"/>
      <c r="CG1018" s="208" t="n"/>
      <c r="CH1018" s="207" t="n"/>
      <c r="CI1018" s="208" t="n"/>
      <c r="CJ1018" s="204" t="n"/>
      <c r="CK1018" s="208" t="n"/>
      <c r="CL1018" s="208" t="n"/>
      <c r="CM1018" s="208" t="n"/>
      <c r="CN1018" s="78" t="n"/>
      <c r="CO1018" s="209" t="n"/>
      <c r="CP1018" s="204" t="n"/>
      <c r="CQ1018" s="204" t="n"/>
      <c r="CR1018" s="204" t="n"/>
      <c r="CS1018" s="204" t="n"/>
      <c r="CT1018" s="204" t="n"/>
      <c r="CU1018" s="204" t="n"/>
      <c r="CV1018" s="204" t="n"/>
      <c r="CW1018" s="204" t="n"/>
    </row>
    <row r="1019">
      <c r="BF1019" s="78" t="n"/>
      <c r="BG1019" s="78" t="n"/>
      <c r="BH1019" s="78" t="n"/>
      <c r="BI1019" s="78" t="n"/>
      <c r="BJ1019" s="139" t="n"/>
      <c r="BK1019" s="204" t="n"/>
      <c r="BL1019" s="141" t="n"/>
      <c r="BM1019" s="205" t="n"/>
      <c r="BN1019" s="205" t="n"/>
      <c r="BO1019" s="206" t="n"/>
      <c r="BP1019" s="144" t="n"/>
      <c r="BQ1019" s="141" t="n"/>
      <c r="BR1019" s="207" t="n"/>
      <c r="BS1019" s="207" t="n"/>
      <c r="BT1019" s="207" t="n"/>
      <c r="BU1019" s="207" t="n"/>
      <c r="BV1019" s="208" t="n"/>
      <c r="BW1019" s="207" t="n"/>
      <c r="BX1019" s="207" t="n"/>
      <c r="BY1019" s="204" t="n"/>
      <c r="BZ1019" s="148" t="n"/>
      <c r="CA1019" s="204" t="n"/>
      <c r="CB1019" s="208" t="n"/>
      <c r="CC1019" s="139" t="n"/>
      <c r="CD1019" s="204" t="n"/>
      <c r="CE1019" s="204" t="n"/>
      <c r="CF1019" s="207" t="n"/>
      <c r="CG1019" s="208" t="n"/>
      <c r="CH1019" s="207" t="n"/>
      <c r="CI1019" s="208" t="n"/>
      <c r="CJ1019" s="204" t="n"/>
      <c r="CK1019" s="208" t="n"/>
      <c r="CL1019" s="208" t="n"/>
      <c r="CM1019" s="208" t="n"/>
      <c r="CN1019" s="78" t="n"/>
      <c r="CO1019" s="209" t="n"/>
      <c r="CP1019" s="204" t="n"/>
      <c r="CQ1019" s="204" t="n"/>
      <c r="CR1019" s="204" t="n"/>
      <c r="CS1019" s="204" t="n"/>
      <c r="CT1019" s="204" t="n"/>
      <c r="CU1019" s="204" t="n"/>
      <c r="CV1019" s="204" t="n"/>
      <c r="CW1019" s="204" t="n"/>
    </row>
    <row r="1020">
      <c r="BF1020" s="78" t="n"/>
      <c r="BG1020" s="78" t="n"/>
      <c r="BH1020" s="78" t="n"/>
      <c r="BI1020" s="78" t="n"/>
      <c r="BJ1020" s="139" t="n"/>
      <c r="BK1020" s="204" t="n"/>
      <c r="BL1020" s="141" t="n"/>
      <c r="BM1020" s="205" t="n"/>
      <c r="BN1020" s="205" t="n"/>
      <c r="BO1020" s="206" t="n"/>
      <c r="BP1020" s="144" t="n"/>
      <c r="BQ1020" s="141" t="n"/>
      <c r="BR1020" s="207" t="n"/>
      <c r="BS1020" s="207" t="n"/>
      <c r="BT1020" s="207" t="n"/>
      <c r="BU1020" s="207" t="n"/>
      <c r="BV1020" s="208" t="n"/>
      <c r="BW1020" s="207" t="n"/>
      <c r="BX1020" s="207" t="n"/>
      <c r="BY1020" s="204" t="n"/>
      <c r="BZ1020" s="148" t="n"/>
      <c r="CA1020" s="204" t="n"/>
      <c r="CB1020" s="208" t="n"/>
      <c r="CC1020" s="139" t="n"/>
      <c r="CD1020" s="204" t="n"/>
      <c r="CE1020" s="204" t="n"/>
      <c r="CF1020" s="207" t="n"/>
      <c r="CG1020" s="208" t="n"/>
      <c r="CH1020" s="207" t="n"/>
      <c r="CI1020" s="208" t="n"/>
      <c r="CJ1020" s="204" t="n"/>
      <c r="CK1020" s="208" t="n"/>
      <c r="CL1020" s="208" t="n"/>
      <c r="CM1020" s="208" t="n"/>
      <c r="CN1020" s="78" t="n"/>
      <c r="CO1020" s="209" t="n"/>
      <c r="CP1020" s="204" t="n"/>
      <c r="CQ1020" s="204" t="n"/>
      <c r="CR1020" s="204" t="n"/>
      <c r="CS1020" s="204" t="n"/>
      <c r="CT1020" s="204" t="n"/>
      <c r="CU1020" s="204" t="n"/>
      <c r="CV1020" s="204" t="n"/>
      <c r="CW1020" s="204" t="n"/>
    </row>
    <row r="1021">
      <c r="BF1021" s="78" t="n"/>
      <c r="BG1021" s="78" t="n"/>
      <c r="BH1021" s="78" t="n"/>
      <c r="BI1021" s="78" t="n"/>
      <c r="BJ1021" s="139" t="n"/>
      <c r="BK1021" s="204" t="n"/>
      <c r="BL1021" s="141" t="n"/>
      <c r="BM1021" s="205" t="n"/>
      <c r="BN1021" s="205" t="n"/>
      <c r="BO1021" s="206" t="n"/>
      <c r="BP1021" s="144" t="n"/>
      <c r="BQ1021" s="141" t="n"/>
      <c r="BR1021" s="207" t="n"/>
      <c r="BS1021" s="207" t="n"/>
      <c r="BT1021" s="207" t="n"/>
      <c r="BU1021" s="207" t="n"/>
      <c r="BV1021" s="208" t="n"/>
      <c r="BW1021" s="207" t="n"/>
      <c r="BX1021" s="207" t="n"/>
      <c r="BY1021" s="204" t="n"/>
      <c r="BZ1021" s="148" t="n"/>
      <c r="CA1021" s="204" t="n"/>
      <c r="CB1021" s="208" t="n"/>
      <c r="CC1021" s="139" t="n"/>
      <c r="CD1021" s="204" t="n"/>
      <c r="CE1021" s="204" t="n"/>
      <c r="CF1021" s="207" t="n"/>
      <c r="CG1021" s="208" t="n"/>
      <c r="CH1021" s="207" t="n"/>
      <c r="CI1021" s="208" t="n"/>
      <c r="CJ1021" s="204" t="n"/>
      <c r="CK1021" s="208" t="n"/>
      <c r="CL1021" s="208" t="n"/>
      <c r="CM1021" s="208" t="n"/>
      <c r="CN1021" s="78" t="n"/>
      <c r="CO1021" s="209" t="n"/>
      <c r="CP1021" s="204" t="n"/>
      <c r="CQ1021" s="204" t="n"/>
      <c r="CR1021" s="204" t="n"/>
      <c r="CS1021" s="204" t="n"/>
      <c r="CT1021" s="204" t="n"/>
      <c r="CU1021" s="204" t="n"/>
      <c r="CV1021" s="204" t="n"/>
      <c r="CW1021" s="204" t="n"/>
    </row>
    <row r="1022">
      <c r="BF1022" s="78" t="n"/>
      <c r="BG1022" s="78" t="n"/>
      <c r="BH1022" s="78" t="n"/>
      <c r="BI1022" s="78" t="n"/>
      <c r="BJ1022" s="139" t="n"/>
      <c r="BK1022" s="204" t="n"/>
      <c r="BL1022" s="141" t="n"/>
      <c r="BM1022" s="205" t="n"/>
      <c r="BN1022" s="205" t="n"/>
      <c r="BO1022" s="206" t="n"/>
      <c r="BP1022" s="144" t="n"/>
      <c r="BQ1022" s="141" t="n"/>
      <c r="BR1022" s="207" t="n"/>
      <c r="BS1022" s="207" t="n"/>
      <c r="BT1022" s="207" t="n"/>
      <c r="BU1022" s="207" t="n"/>
      <c r="BV1022" s="208" t="n"/>
      <c r="BW1022" s="207" t="n"/>
      <c r="BX1022" s="207" t="n"/>
      <c r="BY1022" s="204" t="n"/>
      <c r="BZ1022" s="148" t="n"/>
      <c r="CA1022" s="204" t="n"/>
      <c r="CB1022" s="208" t="n"/>
      <c r="CC1022" s="139" t="n"/>
      <c r="CD1022" s="204" t="n"/>
      <c r="CE1022" s="204" t="n"/>
      <c r="CF1022" s="207" t="n"/>
      <c r="CG1022" s="208" t="n"/>
      <c r="CH1022" s="207" t="n"/>
      <c r="CI1022" s="208" t="n"/>
      <c r="CJ1022" s="204" t="n"/>
      <c r="CK1022" s="208" t="n"/>
      <c r="CL1022" s="208" t="n"/>
      <c r="CM1022" s="208" t="n"/>
      <c r="CN1022" s="78" t="n"/>
      <c r="CO1022" s="209" t="n"/>
      <c r="CP1022" s="204" t="n"/>
      <c r="CQ1022" s="204" t="n"/>
      <c r="CR1022" s="204" t="n"/>
      <c r="CS1022" s="204" t="n"/>
      <c r="CT1022" s="204" t="n"/>
      <c r="CU1022" s="204" t="n"/>
      <c r="CV1022" s="204" t="n"/>
      <c r="CW1022" s="204" t="n"/>
    </row>
    <row r="1023">
      <c r="BF1023" s="78" t="n"/>
      <c r="BG1023" s="78" t="n"/>
      <c r="BH1023" s="78" t="n"/>
      <c r="BI1023" s="78" t="n"/>
      <c r="BJ1023" s="139" t="n"/>
      <c r="BK1023" s="204" t="n"/>
      <c r="BL1023" s="141" t="n"/>
      <c r="BM1023" s="205" t="n"/>
      <c r="BN1023" s="205" t="n"/>
      <c r="BO1023" s="206" t="n"/>
      <c r="BP1023" s="144" t="n"/>
      <c r="BQ1023" s="141" t="n"/>
      <c r="BR1023" s="207" t="n"/>
      <c r="BS1023" s="207" t="n"/>
      <c r="BT1023" s="207" t="n"/>
      <c r="BU1023" s="207" t="n"/>
      <c r="BV1023" s="208" t="n"/>
      <c r="BW1023" s="207" t="n"/>
      <c r="BX1023" s="207" t="n"/>
      <c r="BY1023" s="204" t="n"/>
      <c r="BZ1023" s="148" t="n"/>
      <c r="CA1023" s="204" t="n"/>
      <c r="CB1023" s="208" t="n"/>
      <c r="CC1023" s="139" t="n"/>
      <c r="CD1023" s="204" t="n"/>
      <c r="CE1023" s="204" t="n"/>
      <c r="CF1023" s="207" t="n"/>
      <c r="CG1023" s="208" t="n"/>
      <c r="CH1023" s="207" t="n"/>
      <c r="CI1023" s="208" t="n"/>
      <c r="CJ1023" s="204" t="n"/>
      <c r="CK1023" s="208" t="n"/>
      <c r="CL1023" s="208" t="n"/>
      <c r="CM1023" s="208" t="n"/>
      <c r="CN1023" s="78" t="n"/>
      <c r="CO1023" s="209" t="n"/>
      <c r="CP1023" s="204" t="n"/>
      <c r="CQ1023" s="204" t="n"/>
      <c r="CR1023" s="204" t="n"/>
      <c r="CS1023" s="204" t="n"/>
      <c r="CT1023" s="204" t="n"/>
      <c r="CU1023" s="204" t="n"/>
      <c r="CV1023" s="204" t="n"/>
      <c r="CW1023" s="204" t="n"/>
    </row>
    <row r="1024">
      <c r="AR1024" s="151" t="n"/>
      <c r="BF1024" s="78" t="n"/>
      <c r="BG1024" s="78" t="n"/>
      <c r="BH1024" s="78" t="n"/>
      <c r="BI1024" s="78" t="n"/>
      <c r="BJ1024" s="139" t="n"/>
      <c r="BK1024" s="204" t="n"/>
      <c r="BL1024" s="141" t="n"/>
      <c r="BM1024" s="205" t="n"/>
      <c r="BN1024" s="205" t="n"/>
      <c r="BO1024" s="206" t="n"/>
      <c r="BP1024" s="144" t="n"/>
      <c r="BQ1024" s="141" t="n"/>
      <c r="BR1024" s="207" t="n"/>
      <c r="BS1024" s="207" t="n"/>
      <c r="BT1024" s="207" t="n"/>
      <c r="BU1024" s="207" t="n"/>
      <c r="BV1024" s="208" t="n"/>
      <c r="BW1024" s="207" t="n"/>
      <c r="BX1024" s="207" t="n"/>
      <c r="BY1024" s="204" t="n"/>
      <c r="BZ1024" s="148" t="n"/>
      <c r="CA1024" s="204" t="n"/>
      <c r="CB1024" s="208" t="n"/>
      <c r="CC1024" s="139" t="n"/>
      <c r="CD1024" s="204" t="n"/>
      <c r="CE1024" s="204" t="n"/>
      <c r="CF1024" s="207" t="n"/>
      <c r="CG1024" s="208" t="n"/>
      <c r="CH1024" s="207" t="n"/>
      <c r="CI1024" s="208" t="n"/>
      <c r="CJ1024" s="204" t="n"/>
      <c r="CK1024" s="208" t="n"/>
      <c r="CL1024" s="208" t="n"/>
      <c r="CM1024" s="208" t="n"/>
      <c r="CN1024" s="78" t="n"/>
      <c r="CO1024" s="209" t="n"/>
      <c r="CP1024" s="204" t="n"/>
      <c r="CQ1024" s="204" t="n"/>
      <c r="CR1024" s="204" t="n"/>
      <c r="CS1024" s="204" t="n"/>
      <c r="CT1024" s="204" t="n"/>
      <c r="CU1024" s="204" t="n"/>
      <c r="CV1024" s="204" t="n"/>
      <c r="CW1024" s="204" t="n"/>
    </row>
    <row r="1025">
      <c r="BF1025" s="78" t="n"/>
      <c r="BG1025" s="78" t="n"/>
      <c r="BH1025" s="78" t="n"/>
      <c r="BI1025" s="78" t="n"/>
      <c r="BJ1025" s="139" t="n"/>
      <c r="BK1025" s="204" t="n"/>
      <c r="BL1025" s="141" t="n"/>
      <c r="BM1025" s="205" t="n"/>
      <c r="BN1025" s="205" t="n"/>
      <c r="BO1025" s="206" t="n"/>
      <c r="BP1025" s="144" t="n"/>
      <c r="BQ1025" s="141" t="n"/>
      <c r="BR1025" s="207" t="n"/>
      <c r="BS1025" s="207" t="n"/>
      <c r="BT1025" s="207" t="n"/>
      <c r="BU1025" s="207" t="n"/>
      <c r="BV1025" s="208" t="n"/>
      <c r="BW1025" s="207" t="n"/>
      <c r="BX1025" s="207" t="n"/>
      <c r="BY1025" s="204" t="n"/>
      <c r="BZ1025" s="148" t="n"/>
      <c r="CA1025" s="204" t="n"/>
      <c r="CB1025" s="208" t="n"/>
      <c r="CC1025" s="139" t="n"/>
      <c r="CD1025" s="204" t="n"/>
      <c r="CE1025" s="204" t="n"/>
      <c r="CF1025" s="207" t="n"/>
      <c r="CG1025" s="208" t="n"/>
      <c r="CH1025" s="207" t="n"/>
      <c r="CI1025" s="208" t="n"/>
      <c r="CJ1025" s="204" t="n"/>
      <c r="CK1025" s="208" t="n"/>
      <c r="CL1025" s="208" t="n"/>
      <c r="CM1025" s="208" t="n"/>
      <c r="CN1025" s="78" t="n"/>
      <c r="CO1025" s="209" t="n"/>
      <c r="CP1025" s="204" t="n"/>
      <c r="CQ1025" s="204" t="n"/>
      <c r="CR1025" s="204" t="n"/>
      <c r="CS1025" s="204" t="n"/>
      <c r="CT1025" s="204" t="n"/>
      <c r="CU1025" s="204" t="n"/>
      <c r="CV1025" s="204" t="n"/>
      <c r="CW1025" s="204" t="n"/>
    </row>
    <row r="1026">
      <c r="BF1026" s="78" t="n"/>
      <c r="BG1026" s="78" t="n"/>
      <c r="BH1026" s="78" t="n"/>
      <c r="BI1026" s="78" t="n"/>
      <c r="BJ1026" s="139" t="n"/>
      <c r="BK1026" s="204" t="n"/>
      <c r="BL1026" s="141" t="n"/>
      <c r="BM1026" s="205" t="n"/>
      <c r="BN1026" s="205" t="n"/>
      <c r="BO1026" s="206" t="n"/>
      <c r="BP1026" s="144" t="n"/>
      <c r="BQ1026" s="141" t="n"/>
      <c r="BR1026" s="207" t="n"/>
      <c r="BS1026" s="207" t="n"/>
      <c r="BT1026" s="207" t="n"/>
      <c r="BU1026" s="207" t="n"/>
      <c r="BV1026" s="208" t="n"/>
      <c r="BW1026" s="207" t="n"/>
      <c r="BX1026" s="207" t="n"/>
      <c r="BY1026" s="204" t="n"/>
      <c r="BZ1026" s="148" t="n"/>
      <c r="CA1026" s="204" t="n"/>
      <c r="CB1026" s="208" t="n"/>
      <c r="CC1026" s="139" t="n"/>
      <c r="CD1026" s="204" t="n"/>
      <c r="CE1026" s="204" t="n"/>
      <c r="CF1026" s="207" t="n"/>
      <c r="CG1026" s="208" t="n"/>
      <c r="CH1026" s="207" t="n"/>
      <c r="CI1026" s="208" t="n"/>
      <c r="CJ1026" s="204" t="n"/>
      <c r="CK1026" s="208" t="n"/>
      <c r="CL1026" s="208" t="n"/>
      <c r="CM1026" s="208" t="n"/>
      <c r="CN1026" s="78" t="n"/>
      <c r="CO1026" s="209" t="n"/>
      <c r="CP1026" s="204" t="n"/>
      <c r="CQ1026" s="204" t="n"/>
      <c r="CR1026" s="204" t="n"/>
      <c r="CS1026" s="204" t="n"/>
      <c r="CT1026" s="204" t="n"/>
      <c r="CU1026" s="204" t="n"/>
      <c r="CV1026" s="204" t="n"/>
      <c r="CW1026" s="204" t="n"/>
    </row>
    <row r="1027">
      <c r="AR1027" s="151" t="n"/>
      <c r="BF1027" s="78" t="n"/>
      <c r="BG1027" s="78" t="n"/>
      <c r="BH1027" s="78" t="n"/>
      <c r="BI1027" s="78" t="n"/>
      <c r="BJ1027" s="139" t="n"/>
      <c r="BK1027" s="204" t="n"/>
      <c r="BL1027" s="141" t="n"/>
      <c r="BM1027" s="205" t="n"/>
      <c r="BN1027" s="205" t="n"/>
      <c r="BO1027" s="206" t="n"/>
      <c r="BP1027" s="144" t="n"/>
      <c r="BQ1027" s="141" t="n"/>
      <c r="BR1027" s="207" t="n"/>
      <c r="BS1027" s="207" t="n"/>
      <c r="BT1027" s="207" t="n"/>
      <c r="BU1027" s="207" t="n"/>
      <c r="BV1027" s="208" t="n"/>
      <c r="BW1027" s="207" t="n"/>
      <c r="BX1027" s="207" t="n"/>
      <c r="BY1027" s="204" t="n"/>
      <c r="BZ1027" s="148" t="n"/>
      <c r="CA1027" s="204" t="n"/>
      <c r="CB1027" s="208" t="n"/>
      <c r="CC1027" s="139" t="n"/>
      <c r="CD1027" s="204" t="n"/>
      <c r="CE1027" s="204" t="n"/>
      <c r="CF1027" s="207" t="n"/>
      <c r="CG1027" s="208" t="n"/>
      <c r="CH1027" s="207" t="n"/>
      <c r="CI1027" s="208" t="n"/>
      <c r="CJ1027" s="204" t="n"/>
      <c r="CK1027" s="208" t="n"/>
      <c r="CL1027" s="208" t="n"/>
      <c r="CM1027" s="208" t="n"/>
      <c r="CN1027" s="78" t="n"/>
      <c r="CO1027" s="209" t="n"/>
      <c r="CP1027" s="204" t="n"/>
      <c r="CQ1027" s="204" t="n"/>
      <c r="CR1027" s="204" t="n"/>
      <c r="CS1027" s="204" t="n"/>
      <c r="CT1027" s="204" t="n"/>
      <c r="CU1027" s="204" t="n"/>
      <c r="CV1027" s="204" t="n"/>
      <c r="CW1027" s="204" t="n"/>
    </row>
    <row r="1028">
      <c r="BF1028" s="78" t="n"/>
      <c r="BG1028" s="78" t="n"/>
      <c r="BH1028" s="78" t="n"/>
      <c r="BI1028" s="78" t="n"/>
      <c r="BJ1028" s="139" t="n"/>
      <c r="BK1028" s="204" t="n"/>
      <c r="BL1028" s="141" t="n"/>
      <c r="BM1028" s="205" t="n"/>
      <c r="BN1028" s="205" t="n"/>
      <c r="BO1028" s="206" t="n"/>
      <c r="BP1028" s="144" t="n"/>
      <c r="BQ1028" s="141" t="n"/>
      <c r="BR1028" s="207" t="n"/>
      <c r="BS1028" s="207" t="n"/>
      <c r="BT1028" s="207" t="n"/>
      <c r="BU1028" s="207" t="n"/>
      <c r="BV1028" s="208" t="n"/>
      <c r="BW1028" s="207" t="n"/>
      <c r="BX1028" s="207" t="n"/>
      <c r="BY1028" s="204" t="n"/>
      <c r="BZ1028" s="148" t="n"/>
      <c r="CA1028" s="204" t="n"/>
      <c r="CB1028" s="208" t="n"/>
      <c r="CC1028" s="139" t="n"/>
      <c r="CD1028" s="204" t="n"/>
      <c r="CE1028" s="204" t="n"/>
      <c r="CF1028" s="207" t="n"/>
      <c r="CG1028" s="208" t="n"/>
      <c r="CH1028" s="207" t="n"/>
      <c r="CI1028" s="208" t="n"/>
      <c r="CJ1028" s="204" t="n"/>
      <c r="CK1028" s="208" t="n"/>
      <c r="CL1028" s="208" t="n"/>
      <c r="CM1028" s="208" t="n"/>
      <c r="CN1028" s="78" t="n"/>
      <c r="CO1028" s="209" t="n"/>
      <c r="CP1028" s="204" t="n"/>
      <c r="CQ1028" s="204" t="n"/>
      <c r="CR1028" s="204" t="n"/>
      <c r="CS1028" s="204" t="n"/>
      <c r="CT1028" s="204" t="n"/>
      <c r="CU1028" s="204" t="n"/>
      <c r="CV1028" s="204" t="n"/>
      <c r="CW1028" s="204" t="n"/>
    </row>
    <row r="1029">
      <c r="BF1029" s="78" t="n"/>
      <c r="BG1029" s="78" t="n"/>
      <c r="BH1029" s="78" t="n"/>
      <c r="BI1029" s="78" t="n"/>
      <c r="BJ1029" s="139" t="n"/>
      <c r="BK1029" s="204" t="n"/>
      <c r="BL1029" s="141" t="n"/>
      <c r="BM1029" s="205" t="n"/>
      <c r="BN1029" s="205" t="n"/>
      <c r="BO1029" s="206" t="n"/>
      <c r="BP1029" s="144" t="n"/>
      <c r="BQ1029" s="141" t="n"/>
      <c r="BR1029" s="207" t="n"/>
      <c r="BS1029" s="207" t="n"/>
      <c r="BT1029" s="207" t="n"/>
      <c r="BU1029" s="207" t="n"/>
      <c r="BV1029" s="208" t="n"/>
      <c r="BW1029" s="207" t="n"/>
      <c r="BX1029" s="207" t="n"/>
      <c r="BY1029" s="204" t="n"/>
      <c r="BZ1029" s="148" t="n"/>
      <c r="CA1029" s="204" t="n"/>
      <c r="CB1029" s="208" t="n"/>
      <c r="CC1029" s="139" t="n"/>
      <c r="CD1029" s="204" t="n"/>
      <c r="CE1029" s="204" t="n"/>
      <c r="CF1029" s="207" t="n"/>
      <c r="CG1029" s="208" t="n"/>
      <c r="CH1029" s="207" t="n"/>
      <c r="CI1029" s="208" t="n"/>
      <c r="CJ1029" s="204" t="n"/>
      <c r="CK1029" s="208" t="n"/>
      <c r="CL1029" s="208" t="n"/>
      <c r="CM1029" s="208" t="n"/>
      <c r="CN1029" s="78" t="n"/>
      <c r="CO1029" s="209" t="n"/>
      <c r="CP1029" s="204" t="n"/>
      <c r="CQ1029" s="204" t="n"/>
      <c r="CR1029" s="204" t="n"/>
      <c r="CS1029" s="204" t="n"/>
      <c r="CT1029" s="204" t="n"/>
      <c r="CU1029" s="204" t="n"/>
      <c r="CV1029" s="204" t="n"/>
      <c r="CW1029" s="204" t="n"/>
    </row>
    <row r="1030">
      <c r="BF1030" s="78" t="n"/>
      <c r="BG1030" s="78" t="n"/>
      <c r="BH1030" s="78" t="n"/>
      <c r="BI1030" s="78" t="n"/>
      <c r="BJ1030" s="139" t="n"/>
      <c r="BK1030" s="204" t="n"/>
      <c r="BL1030" s="141" t="n"/>
      <c r="BM1030" s="205" t="n"/>
      <c r="BN1030" s="205" t="n"/>
      <c r="BO1030" s="206" t="n"/>
      <c r="BP1030" s="144" t="n"/>
      <c r="BQ1030" s="141" t="n"/>
      <c r="BR1030" s="207" t="n"/>
      <c r="BS1030" s="207" t="n"/>
      <c r="BT1030" s="207" t="n"/>
      <c r="BU1030" s="207" t="n"/>
      <c r="BV1030" s="208" t="n"/>
      <c r="BW1030" s="207" t="n"/>
      <c r="BX1030" s="207" t="n"/>
      <c r="BY1030" s="204" t="n"/>
      <c r="BZ1030" s="148" t="n"/>
      <c r="CA1030" s="204" t="n"/>
      <c r="CB1030" s="208" t="n"/>
      <c r="CC1030" s="139" t="n"/>
      <c r="CD1030" s="204" t="n"/>
      <c r="CE1030" s="204" t="n"/>
      <c r="CF1030" s="207" t="n"/>
      <c r="CG1030" s="208" t="n"/>
      <c r="CH1030" s="207" t="n"/>
      <c r="CI1030" s="208" t="n"/>
      <c r="CJ1030" s="204" t="n"/>
      <c r="CK1030" s="208" t="n"/>
      <c r="CL1030" s="208" t="n"/>
      <c r="CM1030" s="208" t="n"/>
      <c r="CN1030" s="78" t="n"/>
      <c r="CO1030" s="209" t="n"/>
      <c r="CP1030" s="204" t="n"/>
      <c r="CQ1030" s="204" t="n"/>
      <c r="CR1030" s="204" t="n"/>
      <c r="CS1030" s="204" t="n"/>
      <c r="CT1030" s="204" t="n"/>
      <c r="CU1030" s="204" t="n"/>
      <c r="CV1030" s="204" t="n"/>
      <c r="CW1030" s="204" t="n"/>
    </row>
    <row r="1031">
      <c r="BF1031" s="78" t="n"/>
      <c r="BG1031" s="78" t="n"/>
      <c r="BH1031" s="78" t="n"/>
      <c r="BI1031" s="78" t="n"/>
      <c r="BJ1031" s="139" t="n"/>
      <c r="BK1031" s="204" t="n"/>
      <c r="BL1031" s="141" t="n"/>
      <c r="BM1031" s="205" t="n"/>
      <c r="BN1031" s="205" t="n"/>
      <c r="BO1031" s="206" t="n"/>
      <c r="BP1031" s="144" t="n"/>
      <c r="BQ1031" s="141" t="n"/>
      <c r="BR1031" s="207" t="n"/>
      <c r="BS1031" s="207" t="n"/>
      <c r="BT1031" s="207" t="n"/>
      <c r="BU1031" s="207" t="n"/>
      <c r="BV1031" s="208" t="n"/>
      <c r="BW1031" s="207" t="n"/>
      <c r="BX1031" s="207" t="n"/>
      <c r="BY1031" s="204" t="n"/>
      <c r="BZ1031" s="148" t="n"/>
      <c r="CA1031" s="204" t="n"/>
      <c r="CB1031" s="208" t="n"/>
      <c r="CC1031" s="139" t="n"/>
      <c r="CD1031" s="204" t="n"/>
      <c r="CE1031" s="204" t="n"/>
      <c r="CF1031" s="207" t="n"/>
      <c r="CG1031" s="208" t="n"/>
      <c r="CH1031" s="207" t="n"/>
      <c r="CI1031" s="208" t="n"/>
      <c r="CJ1031" s="204" t="n"/>
      <c r="CK1031" s="208" t="n"/>
      <c r="CL1031" s="208" t="n"/>
      <c r="CM1031" s="208" t="n"/>
      <c r="CN1031" s="78" t="n"/>
      <c r="CO1031" s="209" t="n"/>
      <c r="CP1031" s="204" t="n"/>
      <c r="CQ1031" s="204" t="n"/>
      <c r="CR1031" s="204" t="n"/>
      <c r="CS1031" s="204" t="n"/>
      <c r="CT1031" s="204" t="n"/>
      <c r="CU1031" s="204" t="n"/>
      <c r="CV1031" s="204" t="n"/>
      <c r="CW1031" s="204" t="n"/>
    </row>
    <row r="1032">
      <c r="BF1032" s="78" t="n"/>
      <c r="BG1032" s="78" t="n"/>
      <c r="BH1032" s="78" t="n"/>
      <c r="BI1032" s="78" t="n"/>
      <c r="BJ1032" s="139" t="n"/>
      <c r="BK1032" s="204" t="n"/>
      <c r="BL1032" s="141" t="n"/>
      <c r="BM1032" s="205" t="n"/>
      <c r="BN1032" s="205" t="n"/>
      <c r="BO1032" s="206" t="n"/>
      <c r="BP1032" s="144" t="n"/>
      <c r="BQ1032" s="141" t="n"/>
      <c r="BR1032" s="207" t="n"/>
      <c r="BS1032" s="207" t="n"/>
      <c r="BT1032" s="207" t="n"/>
      <c r="BU1032" s="207" t="n"/>
      <c r="BV1032" s="208" t="n"/>
      <c r="BW1032" s="207" t="n"/>
      <c r="BX1032" s="207" t="n"/>
      <c r="BY1032" s="204" t="n"/>
      <c r="BZ1032" s="148" t="n"/>
      <c r="CA1032" s="204" t="n"/>
      <c r="CB1032" s="208" t="n"/>
      <c r="CC1032" s="139" t="n"/>
      <c r="CD1032" s="204" t="n"/>
      <c r="CE1032" s="204" t="n"/>
      <c r="CF1032" s="207" t="n"/>
      <c r="CG1032" s="208" t="n"/>
      <c r="CH1032" s="207" t="n"/>
      <c r="CI1032" s="208" t="n"/>
      <c r="CJ1032" s="204" t="n"/>
      <c r="CK1032" s="208" t="n"/>
      <c r="CL1032" s="208" t="n"/>
      <c r="CM1032" s="208" t="n"/>
      <c r="CN1032" s="78" t="n"/>
      <c r="CO1032" s="209" t="n"/>
      <c r="CP1032" s="204" t="n"/>
      <c r="CQ1032" s="204" t="n"/>
      <c r="CR1032" s="204" t="n"/>
      <c r="CS1032" s="204" t="n"/>
      <c r="CT1032" s="204" t="n"/>
      <c r="CU1032" s="204" t="n"/>
      <c r="CV1032" s="204" t="n"/>
      <c r="CW1032" s="204" t="n"/>
    </row>
    <row r="1033">
      <c r="BF1033" s="78" t="n"/>
      <c r="BG1033" s="78" t="n"/>
      <c r="BH1033" s="78" t="n"/>
      <c r="BI1033" s="78" t="n"/>
      <c r="BJ1033" s="139" t="n"/>
      <c r="BK1033" s="204" t="n"/>
      <c r="BL1033" s="141" t="n"/>
      <c r="BM1033" s="205" t="n"/>
      <c r="BN1033" s="205" t="n"/>
      <c r="BO1033" s="206" t="n"/>
      <c r="BP1033" s="144" t="n"/>
      <c r="BQ1033" s="141" t="n"/>
      <c r="BR1033" s="207" t="n"/>
      <c r="BS1033" s="207" t="n"/>
      <c r="BT1033" s="207" t="n"/>
      <c r="BU1033" s="207" t="n"/>
      <c r="BV1033" s="208" t="n"/>
      <c r="BW1033" s="207" t="n"/>
      <c r="BX1033" s="207" t="n"/>
      <c r="BY1033" s="204" t="n"/>
      <c r="BZ1033" s="148" t="n"/>
      <c r="CA1033" s="204" t="n"/>
      <c r="CB1033" s="208" t="n"/>
      <c r="CC1033" s="139" t="n"/>
      <c r="CD1033" s="204" t="n"/>
      <c r="CE1033" s="204" t="n"/>
      <c r="CF1033" s="207" t="n"/>
      <c r="CG1033" s="208" t="n"/>
      <c r="CH1033" s="207" t="n"/>
      <c r="CI1033" s="208" t="n"/>
      <c r="CJ1033" s="204" t="n"/>
      <c r="CK1033" s="208" t="n"/>
      <c r="CL1033" s="208" t="n"/>
      <c r="CM1033" s="208" t="n"/>
      <c r="CN1033" s="78" t="n"/>
      <c r="CO1033" s="209" t="n"/>
      <c r="CP1033" s="204" t="n"/>
      <c r="CQ1033" s="204" t="n"/>
      <c r="CR1033" s="204" t="n"/>
      <c r="CS1033" s="204" t="n"/>
      <c r="CT1033" s="204" t="n"/>
      <c r="CU1033" s="204" t="n"/>
      <c r="CV1033" s="204" t="n"/>
      <c r="CW1033" s="204" t="n"/>
    </row>
    <row r="1034">
      <c r="BF1034" s="78" t="n"/>
      <c r="BG1034" s="78" t="n"/>
      <c r="BH1034" s="78" t="n"/>
      <c r="BI1034" s="78" t="n"/>
      <c r="BJ1034" s="139" t="n"/>
      <c r="BK1034" s="204" t="n"/>
      <c r="BL1034" s="141" t="n"/>
      <c r="BM1034" s="205" t="n"/>
      <c r="BN1034" s="205" t="n"/>
      <c r="BO1034" s="206" t="n"/>
      <c r="BP1034" s="144" t="n"/>
      <c r="BQ1034" s="141" t="n"/>
      <c r="BR1034" s="207" t="n"/>
      <c r="BS1034" s="207" t="n"/>
      <c r="BT1034" s="207" t="n"/>
      <c r="BU1034" s="207" t="n"/>
      <c r="BV1034" s="208" t="n"/>
      <c r="BW1034" s="207" t="n"/>
      <c r="BX1034" s="207" t="n"/>
      <c r="BY1034" s="204" t="n"/>
      <c r="BZ1034" s="148" t="n"/>
      <c r="CA1034" s="204" t="n"/>
      <c r="CB1034" s="208" t="n"/>
      <c r="CC1034" s="139" t="n"/>
      <c r="CD1034" s="204" t="n"/>
      <c r="CE1034" s="204" t="n"/>
      <c r="CF1034" s="207" t="n"/>
      <c r="CG1034" s="208" t="n"/>
      <c r="CH1034" s="207" t="n"/>
      <c r="CI1034" s="208" t="n"/>
      <c r="CJ1034" s="204" t="n"/>
      <c r="CK1034" s="208" t="n"/>
      <c r="CL1034" s="208" t="n"/>
      <c r="CM1034" s="208" t="n"/>
      <c r="CN1034" s="78" t="n"/>
      <c r="CO1034" s="209" t="n"/>
      <c r="CP1034" s="204" t="n"/>
      <c r="CQ1034" s="204" t="n"/>
      <c r="CR1034" s="204" t="n"/>
      <c r="CS1034" s="204" t="n"/>
      <c r="CT1034" s="204" t="n"/>
      <c r="CU1034" s="204" t="n"/>
      <c r="CV1034" s="204" t="n"/>
      <c r="CW1034" s="204" t="n"/>
    </row>
    <row r="1035">
      <c r="BF1035" s="78" t="n"/>
      <c r="BG1035" s="78" t="n"/>
      <c r="BH1035" s="78" t="n"/>
      <c r="BI1035" s="78" t="n"/>
      <c r="BJ1035" s="139" t="n"/>
      <c r="BK1035" s="204" t="n"/>
      <c r="BL1035" s="141" t="n"/>
      <c r="BM1035" s="205" t="n"/>
      <c r="BN1035" s="205" t="n"/>
      <c r="BO1035" s="206" t="n"/>
      <c r="BP1035" s="144" t="n"/>
      <c r="BQ1035" s="141" t="n"/>
      <c r="BR1035" s="207" t="n"/>
      <c r="BS1035" s="207" t="n"/>
      <c r="BT1035" s="207" t="n"/>
      <c r="BU1035" s="207" t="n"/>
      <c r="BV1035" s="208" t="n"/>
      <c r="BW1035" s="207" t="n"/>
      <c r="BX1035" s="207" t="n"/>
      <c r="BY1035" s="204" t="n"/>
      <c r="BZ1035" s="148" t="n"/>
      <c r="CA1035" s="204" t="n"/>
      <c r="CB1035" s="208" t="n"/>
      <c r="CC1035" s="139" t="n"/>
      <c r="CD1035" s="204" t="n"/>
      <c r="CE1035" s="204" t="n"/>
      <c r="CF1035" s="207" t="n"/>
      <c r="CG1035" s="208" t="n"/>
      <c r="CH1035" s="207" t="n"/>
      <c r="CI1035" s="208" t="n"/>
      <c r="CJ1035" s="204" t="n"/>
      <c r="CK1035" s="208" t="n"/>
      <c r="CL1035" s="208" t="n"/>
      <c r="CM1035" s="208" t="n"/>
      <c r="CN1035" s="78" t="n"/>
      <c r="CO1035" s="209" t="n"/>
      <c r="CP1035" s="204" t="n"/>
      <c r="CQ1035" s="204" t="n"/>
      <c r="CR1035" s="204" t="n"/>
      <c r="CS1035" s="204" t="n"/>
      <c r="CT1035" s="204" t="n"/>
      <c r="CU1035" s="204" t="n"/>
      <c r="CV1035" s="204" t="n"/>
      <c r="CW1035" s="204" t="n"/>
    </row>
    <row r="1036">
      <c r="BF1036" s="78" t="n"/>
      <c r="BG1036" s="78" t="n"/>
      <c r="BH1036" s="78" t="n"/>
      <c r="BI1036" s="78" t="n"/>
      <c r="BJ1036" s="139" t="n"/>
      <c r="BK1036" s="204" t="n"/>
      <c r="BL1036" s="141" t="n"/>
      <c r="BM1036" s="205" t="n"/>
      <c r="BN1036" s="205" t="n"/>
      <c r="BO1036" s="206" t="n"/>
      <c r="BP1036" s="144" t="n"/>
      <c r="BQ1036" s="141" t="n"/>
      <c r="BR1036" s="207" t="n"/>
      <c r="BS1036" s="207" t="n"/>
      <c r="BT1036" s="207" t="n"/>
      <c r="BU1036" s="207" t="n"/>
      <c r="BV1036" s="208" t="n"/>
      <c r="BW1036" s="207" t="n"/>
      <c r="BX1036" s="207" t="n"/>
      <c r="BY1036" s="204" t="n"/>
      <c r="BZ1036" s="148" t="n"/>
      <c r="CA1036" s="204" t="n"/>
      <c r="CB1036" s="208" t="n"/>
      <c r="CC1036" s="139" t="n"/>
      <c r="CD1036" s="204" t="n"/>
      <c r="CE1036" s="204" t="n"/>
      <c r="CF1036" s="207" t="n"/>
      <c r="CG1036" s="208" t="n"/>
      <c r="CH1036" s="207" t="n"/>
      <c r="CI1036" s="208" t="n"/>
      <c r="CJ1036" s="204" t="n"/>
      <c r="CK1036" s="208" t="n"/>
      <c r="CL1036" s="208" t="n"/>
      <c r="CM1036" s="208" t="n"/>
      <c r="CN1036" s="78" t="n"/>
      <c r="CO1036" s="209" t="n"/>
      <c r="CP1036" s="204" t="n"/>
      <c r="CQ1036" s="204" t="n"/>
      <c r="CR1036" s="204" t="n"/>
      <c r="CS1036" s="204" t="n"/>
      <c r="CT1036" s="204" t="n"/>
      <c r="CU1036" s="204" t="n"/>
      <c r="CV1036" s="204" t="n"/>
      <c r="CW1036" s="204" t="n"/>
    </row>
    <row r="1037">
      <c r="BF1037" s="78" t="n"/>
      <c r="BG1037" s="78" t="n"/>
      <c r="BH1037" s="78" t="n"/>
      <c r="BI1037" s="78" t="n"/>
      <c r="BJ1037" s="139" t="n"/>
      <c r="BK1037" s="204" t="n"/>
      <c r="BL1037" s="141" t="n"/>
      <c r="BM1037" s="205" t="n"/>
      <c r="BN1037" s="205" t="n"/>
      <c r="BO1037" s="206" t="n"/>
      <c r="BP1037" s="144" t="n"/>
      <c r="BQ1037" s="141" t="n"/>
      <c r="BR1037" s="207" t="n"/>
      <c r="BS1037" s="207" t="n"/>
      <c r="BT1037" s="207" t="n"/>
      <c r="BU1037" s="207" t="n"/>
      <c r="BV1037" s="208" t="n"/>
      <c r="BW1037" s="207" t="n"/>
      <c r="BX1037" s="207" t="n"/>
      <c r="BY1037" s="204" t="n"/>
      <c r="BZ1037" s="148" t="n"/>
      <c r="CA1037" s="204" t="n"/>
      <c r="CB1037" s="208" t="n"/>
      <c r="CC1037" s="139" t="n"/>
      <c r="CD1037" s="204" t="n"/>
      <c r="CE1037" s="204" t="n"/>
      <c r="CF1037" s="207" t="n"/>
      <c r="CG1037" s="208" t="n"/>
      <c r="CH1037" s="207" t="n"/>
      <c r="CI1037" s="208" t="n"/>
      <c r="CJ1037" s="204" t="n"/>
      <c r="CK1037" s="208" t="n"/>
      <c r="CL1037" s="208" t="n"/>
      <c r="CM1037" s="208" t="n"/>
      <c r="CN1037" s="78" t="n"/>
      <c r="CO1037" s="209" t="n"/>
      <c r="CP1037" s="204" t="n"/>
      <c r="CQ1037" s="204" t="n"/>
      <c r="CR1037" s="204" t="n"/>
      <c r="CS1037" s="204" t="n"/>
      <c r="CT1037" s="204" t="n"/>
      <c r="CU1037" s="204" t="n"/>
      <c r="CV1037" s="204" t="n"/>
      <c r="CW1037" s="204" t="n"/>
    </row>
    <row r="1038">
      <c r="BF1038" s="78" t="n"/>
      <c r="BG1038" s="78" t="n"/>
      <c r="BH1038" s="78" t="n"/>
      <c r="BI1038" s="78" t="n"/>
      <c r="BJ1038" s="139" t="n"/>
      <c r="BK1038" s="204" t="n"/>
      <c r="BL1038" s="141" t="n"/>
      <c r="BM1038" s="205" t="n"/>
      <c r="BN1038" s="205" t="n"/>
      <c r="BO1038" s="206" t="n"/>
      <c r="BP1038" s="144" t="n"/>
      <c r="BQ1038" s="141" t="n"/>
      <c r="BR1038" s="207" t="n"/>
      <c r="BS1038" s="207" t="n"/>
      <c r="BT1038" s="207" t="n"/>
      <c r="BU1038" s="207" t="n"/>
      <c r="BV1038" s="208" t="n"/>
      <c r="BW1038" s="207" t="n"/>
      <c r="BX1038" s="207" t="n"/>
      <c r="BY1038" s="204" t="n"/>
      <c r="BZ1038" s="148" t="n"/>
      <c r="CA1038" s="204" t="n"/>
      <c r="CB1038" s="208" t="n"/>
      <c r="CC1038" s="139" t="n"/>
      <c r="CD1038" s="204" t="n"/>
      <c r="CE1038" s="204" t="n"/>
      <c r="CF1038" s="207" t="n"/>
      <c r="CG1038" s="208" t="n"/>
      <c r="CH1038" s="207" t="n"/>
      <c r="CI1038" s="208" t="n"/>
      <c r="CJ1038" s="204" t="n"/>
      <c r="CK1038" s="208" t="n"/>
      <c r="CL1038" s="208" t="n"/>
      <c r="CM1038" s="208" t="n"/>
      <c r="CN1038" s="78" t="n"/>
      <c r="CO1038" s="209" t="n"/>
      <c r="CP1038" s="204" t="n"/>
      <c r="CQ1038" s="204" t="n"/>
      <c r="CR1038" s="204" t="n"/>
      <c r="CS1038" s="204" t="n"/>
      <c r="CT1038" s="204" t="n"/>
      <c r="CU1038" s="204" t="n"/>
      <c r="CV1038" s="204" t="n"/>
      <c r="CW1038" s="204" t="n"/>
    </row>
    <row r="1039">
      <c r="BF1039" s="78" t="n"/>
      <c r="BG1039" s="78" t="n"/>
      <c r="BH1039" s="78" t="n"/>
      <c r="BI1039" s="78" t="n"/>
      <c r="BJ1039" s="139" t="n"/>
      <c r="BK1039" s="204" t="n"/>
      <c r="BL1039" s="141" t="n"/>
      <c r="BM1039" s="205" t="n"/>
      <c r="BN1039" s="205" t="n"/>
      <c r="BO1039" s="206" t="n"/>
      <c r="BP1039" s="144" t="n"/>
      <c r="BQ1039" s="141" t="n"/>
      <c r="BR1039" s="207" t="n"/>
      <c r="BS1039" s="207" t="n"/>
      <c r="BT1039" s="207" t="n"/>
      <c r="BU1039" s="207" t="n"/>
      <c r="BV1039" s="208" t="n"/>
      <c r="BW1039" s="207" t="n"/>
      <c r="BX1039" s="207" t="n"/>
      <c r="BY1039" s="204" t="n"/>
      <c r="BZ1039" s="148" t="n"/>
      <c r="CA1039" s="204" t="n"/>
      <c r="CB1039" s="208" t="n"/>
      <c r="CC1039" s="139" t="n"/>
      <c r="CD1039" s="204" t="n"/>
      <c r="CE1039" s="204" t="n"/>
      <c r="CF1039" s="207" t="n"/>
      <c r="CG1039" s="208" t="n"/>
      <c r="CH1039" s="207" t="n"/>
      <c r="CI1039" s="208" t="n"/>
      <c r="CJ1039" s="204" t="n"/>
      <c r="CK1039" s="208" t="n"/>
      <c r="CL1039" s="208" t="n"/>
      <c r="CM1039" s="208" t="n"/>
      <c r="CN1039" s="78" t="n"/>
      <c r="CO1039" s="209" t="n"/>
      <c r="CP1039" s="204" t="n"/>
      <c r="CQ1039" s="204" t="n"/>
      <c r="CR1039" s="204" t="n"/>
      <c r="CS1039" s="204" t="n"/>
      <c r="CT1039" s="204" t="n"/>
      <c r="CU1039" s="204" t="n"/>
      <c r="CV1039" s="204" t="n"/>
      <c r="CW1039" s="204" t="n"/>
    </row>
    <row r="1040">
      <c r="BF1040" s="78" t="n"/>
      <c r="BG1040" s="78" t="n"/>
      <c r="BH1040" s="78" t="n"/>
      <c r="BI1040" s="78" t="n"/>
      <c r="BJ1040" s="139" t="n"/>
      <c r="BK1040" s="204" t="n"/>
      <c r="BL1040" s="141" t="n"/>
      <c r="BM1040" s="205" t="n"/>
      <c r="BN1040" s="205" t="n"/>
      <c r="BO1040" s="206" t="n"/>
      <c r="BP1040" s="144" t="n"/>
      <c r="BQ1040" s="141" t="n"/>
      <c r="BR1040" s="207" t="n"/>
      <c r="BS1040" s="207" t="n"/>
      <c r="BT1040" s="207" t="n"/>
      <c r="BU1040" s="207" t="n"/>
      <c r="BV1040" s="208" t="n"/>
      <c r="BW1040" s="207" t="n"/>
      <c r="BX1040" s="207" t="n"/>
      <c r="BY1040" s="204" t="n"/>
      <c r="BZ1040" s="148" t="n"/>
      <c r="CA1040" s="204" t="n"/>
      <c r="CB1040" s="208" t="n"/>
      <c r="CC1040" s="139" t="n"/>
      <c r="CD1040" s="204" t="n"/>
      <c r="CE1040" s="204" t="n"/>
      <c r="CF1040" s="207" t="n"/>
      <c r="CG1040" s="208" t="n"/>
      <c r="CH1040" s="207" t="n"/>
      <c r="CI1040" s="208" t="n"/>
      <c r="CJ1040" s="204" t="n"/>
      <c r="CK1040" s="208" t="n"/>
      <c r="CL1040" s="208" t="n"/>
      <c r="CM1040" s="208" t="n"/>
      <c r="CN1040" s="78" t="n"/>
      <c r="CO1040" s="209" t="n"/>
      <c r="CP1040" s="204" t="n"/>
      <c r="CQ1040" s="204" t="n"/>
      <c r="CR1040" s="204" t="n"/>
      <c r="CS1040" s="204" t="n"/>
      <c r="CT1040" s="204" t="n"/>
      <c r="CU1040" s="204" t="n"/>
      <c r="CV1040" s="204" t="n"/>
      <c r="CW1040" s="204" t="n"/>
    </row>
    <row r="1041">
      <c r="BF1041" s="78" t="n"/>
      <c r="BG1041" s="78" t="n"/>
      <c r="BH1041" s="78" t="n"/>
      <c r="BI1041" s="78" t="n"/>
      <c r="BJ1041" s="139" t="n"/>
      <c r="BK1041" s="204" t="n"/>
      <c r="BL1041" s="141" t="n"/>
      <c r="BM1041" s="205" t="n"/>
      <c r="BN1041" s="205" t="n"/>
      <c r="BO1041" s="206" t="n"/>
      <c r="BP1041" s="144" t="n"/>
      <c r="BQ1041" s="141" t="n"/>
      <c r="BR1041" s="207" t="n"/>
      <c r="BS1041" s="207" t="n"/>
      <c r="BT1041" s="207" t="n"/>
      <c r="BU1041" s="207" t="n"/>
      <c r="BV1041" s="208" t="n"/>
      <c r="BW1041" s="207" t="n"/>
      <c r="BX1041" s="207" t="n"/>
      <c r="BY1041" s="204" t="n"/>
      <c r="BZ1041" s="148" t="n"/>
      <c r="CA1041" s="204" t="n"/>
      <c r="CB1041" s="208" t="n"/>
      <c r="CC1041" s="139" t="n"/>
      <c r="CD1041" s="204" t="n"/>
      <c r="CE1041" s="204" t="n"/>
      <c r="CF1041" s="207" t="n"/>
      <c r="CG1041" s="208" t="n"/>
      <c r="CH1041" s="207" t="n"/>
      <c r="CI1041" s="208" t="n"/>
      <c r="CJ1041" s="204" t="n"/>
      <c r="CK1041" s="208" t="n"/>
      <c r="CL1041" s="208" t="n"/>
      <c r="CM1041" s="208" t="n"/>
      <c r="CN1041" s="78" t="n"/>
      <c r="CO1041" s="209" t="n"/>
      <c r="CP1041" s="204" t="n"/>
      <c r="CQ1041" s="204" t="n"/>
      <c r="CR1041" s="204" t="n"/>
      <c r="CS1041" s="204" t="n"/>
      <c r="CT1041" s="204" t="n"/>
      <c r="CU1041" s="204" t="n"/>
      <c r="CV1041" s="204" t="n"/>
      <c r="CW1041" s="204" t="n"/>
    </row>
    <row r="1042">
      <c r="BF1042" s="78" t="n"/>
      <c r="BG1042" s="78" t="n"/>
      <c r="BH1042" s="78" t="n"/>
      <c r="BI1042" s="78" t="n"/>
      <c r="BJ1042" s="139" t="n"/>
      <c r="BK1042" s="204" t="n"/>
      <c r="BL1042" s="141" t="n"/>
      <c r="BM1042" s="205" t="n"/>
      <c r="BN1042" s="205" t="n"/>
      <c r="BO1042" s="206" t="n"/>
      <c r="BP1042" s="144" t="n"/>
      <c r="BQ1042" s="141" t="n"/>
      <c r="BR1042" s="207" t="n"/>
      <c r="BS1042" s="207" t="n"/>
      <c r="BT1042" s="207" t="n"/>
      <c r="BU1042" s="207" t="n"/>
      <c r="BV1042" s="208" t="n"/>
      <c r="BW1042" s="207" t="n"/>
      <c r="BX1042" s="207" t="n"/>
      <c r="BY1042" s="204" t="n"/>
      <c r="BZ1042" s="148" t="n"/>
      <c r="CA1042" s="204" t="n"/>
      <c r="CB1042" s="208" t="n"/>
      <c r="CC1042" s="139" t="n"/>
      <c r="CD1042" s="204" t="n"/>
      <c r="CE1042" s="204" t="n"/>
      <c r="CF1042" s="207" t="n"/>
      <c r="CG1042" s="208" t="n"/>
      <c r="CH1042" s="207" t="n"/>
      <c r="CI1042" s="208" t="n"/>
      <c r="CJ1042" s="204" t="n"/>
      <c r="CK1042" s="208" t="n"/>
      <c r="CL1042" s="208" t="n"/>
      <c r="CM1042" s="208" t="n"/>
      <c r="CN1042" s="78" t="n"/>
      <c r="CO1042" s="209" t="n"/>
      <c r="CP1042" s="204" t="n"/>
      <c r="CQ1042" s="204" t="n"/>
      <c r="CR1042" s="204" t="n"/>
      <c r="CS1042" s="204" t="n"/>
      <c r="CT1042" s="204" t="n"/>
      <c r="CU1042" s="204" t="n"/>
      <c r="CV1042" s="204" t="n"/>
      <c r="CW1042" s="204" t="n"/>
    </row>
    <row r="1043">
      <c r="BF1043" s="78" t="n"/>
      <c r="BG1043" s="78" t="n"/>
      <c r="BH1043" s="78" t="n"/>
      <c r="BI1043" s="78" t="n"/>
      <c r="BJ1043" s="139" t="n"/>
      <c r="BK1043" s="204" t="n"/>
      <c r="BL1043" s="141" t="n"/>
      <c r="BM1043" s="205" t="n"/>
      <c r="BN1043" s="205" t="n"/>
      <c r="BO1043" s="206" t="n"/>
      <c r="BP1043" s="144" t="n"/>
      <c r="BQ1043" s="141" t="n"/>
      <c r="BR1043" s="207" t="n"/>
      <c r="BS1043" s="207" t="n"/>
      <c r="BT1043" s="207" t="n"/>
      <c r="BU1043" s="207" t="n"/>
      <c r="BV1043" s="208" t="n"/>
      <c r="BW1043" s="207" t="n"/>
      <c r="BX1043" s="207" t="n"/>
      <c r="BY1043" s="204" t="n"/>
      <c r="BZ1043" s="148" t="n"/>
      <c r="CA1043" s="204" t="n"/>
      <c r="CB1043" s="208" t="n"/>
      <c r="CC1043" s="139" t="n"/>
      <c r="CD1043" s="204" t="n"/>
      <c r="CE1043" s="204" t="n"/>
      <c r="CF1043" s="207" t="n"/>
      <c r="CG1043" s="208" t="n"/>
      <c r="CH1043" s="207" t="n"/>
      <c r="CI1043" s="208" t="n"/>
      <c r="CJ1043" s="204" t="n"/>
      <c r="CK1043" s="208" t="n"/>
      <c r="CL1043" s="208" t="n"/>
      <c r="CM1043" s="208" t="n"/>
      <c r="CN1043" s="78" t="n"/>
      <c r="CO1043" s="209" t="n"/>
      <c r="CP1043" s="204" t="n"/>
      <c r="CQ1043" s="204" t="n"/>
      <c r="CR1043" s="204" t="n"/>
      <c r="CS1043" s="204" t="n"/>
      <c r="CT1043" s="204" t="n"/>
      <c r="CU1043" s="204" t="n"/>
      <c r="CV1043" s="204" t="n"/>
      <c r="CW1043" s="204" t="n"/>
    </row>
    <row r="1044">
      <c r="BF1044" s="78" t="n"/>
      <c r="BG1044" s="78" t="n"/>
      <c r="BH1044" s="78" t="n"/>
      <c r="BI1044" s="78" t="n"/>
      <c r="BJ1044" s="139" t="n"/>
      <c r="BK1044" s="204" t="n"/>
      <c r="BL1044" s="141" t="n"/>
      <c r="BM1044" s="205" t="n"/>
      <c r="BN1044" s="205" t="n"/>
      <c r="BO1044" s="206" t="n"/>
      <c r="BP1044" s="144" t="n"/>
      <c r="BQ1044" s="141" t="n"/>
      <c r="BR1044" s="207" t="n"/>
      <c r="BS1044" s="207" t="n"/>
      <c r="BT1044" s="207" t="n"/>
      <c r="BU1044" s="207" t="n"/>
      <c r="BV1044" s="208" t="n"/>
      <c r="BW1044" s="207" t="n"/>
      <c r="BX1044" s="207" t="n"/>
      <c r="BY1044" s="204" t="n"/>
      <c r="BZ1044" s="148" t="n"/>
      <c r="CA1044" s="204" t="n"/>
      <c r="CB1044" s="208" t="n"/>
      <c r="CC1044" s="139" t="n"/>
      <c r="CD1044" s="204" t="n"/>
      <c r="CE1044" s="204" t="n"/>
      <c r="CF1044" s="207" t="n"/>
      <c r="CG1044" s="208" t="n"/>
      <c r="CH1044" s="207" t="n"/>
      <c r="CI1044" s="208" t="n"/>
      <c r="CJ1044" s="204" t="n"/>
      <c r="CK1044" s="208" t="n"/>
      <c r="CL1044" s="208" t="n"/>
      <c r="CM1044" s="208" t="n"/>
      <c r="CN1044" s="78" t="n"/>
      <c r="CO1044" s="209" t="n"/>
      <c r="CP1044" s="204" t="n"/>
      <c r="CQ1044" s="204" t="n"/>
      <c r="CR1044" s="204" t="n"/>
      <c r="CS1044" s="204" t="n"/>
      <c r="CT1044" s="204" t="n"/>
      <c r="CU1044" s="204" t="n"/>
      <c r="CV1044" s="204" t="n"/>
      <c r="CW1044" s="204" t="n"/>
    </row>
    <row r="1045">
      <c r="BF1045" s="78" t="n"/>
      <c r="BG1045" s="78" t="n"/>
      <c r="BH1045" s="78" t="n"/>
      <c r="BI1045" s="78" t="n"/>
      <c r="BJ1045" s="139" t="n"/>
      <c r="BK1045" s="204" t="n"/>
      <c r="BL1045" s="141" t="n"/>
      <c r="BM1045" s="205" t="n"/>
      <c r="BN1045" s="205" t="n"/>
      <c r="BO1045" s="206" t="n"/>
      <c r="BP1045" s="144" t="n"/>
      <c r="BQ1045" s="141" t="n"/>
      <c r="BR1045" s="207" t="n"/>
      <c r="BS1045" s="207" t="n"/>
      <c r="BT1045" s="207" t="n"/>
      <c r="BU1045" s="207" t="n"/>
      <c r="BV1045" s="208" t="n"/>
      <c r="BW1045" s="207" t="n"/>
      <c r="BX1045" s="207" t="n"/>
      <c r="BY1045" s="204" t="n"/>
      <c r="BZ1045" s="148" t="n"/>
      <c r="CA1045" s="204" t="n"/>
      <c r="CB1045" s="208" t="n"/>
      <c r="CC1045" s="139" t="n"/>
      <c r="CD1045" s="204" t="n"/>
      <c r="CE1045" s="204" t="n"/>
      <c r="CF1045" s="207" t="n"/>
      <c r="CG1045" s="208" t="n"/>
      <c r="CH1045" s="207" t="n"/>
      <c r="CI1045" s="208" t="n"/>
      <c r="CJ1045" s="204" t="n"/>
      <c r="CK1045" s="208" t="n"/>
      <c r="CL1045" s="208" t="n"/>
      <c r="CM1045" s="208" t="n"/>
      <c r="CN1045" s="78" t="n"/>
      <c r="CO1045" s="209" t="n"/>
      <c r="CP1045" s="204" t="n"/>
      <c r="CQ1045" s="204" t="n"/>
      <c r="CR1045" s="204" t="n"/>
      <c r="CS1045" s="204" t="n"/>
      <c r="CT1045" s="204" t="n"/>
      <c r="CU1045" s="204" t="n"/>
      <c r="CV1045" s="204" t="n"/>
      <c r="CW1045" s="204" t="n"/>
    </row>
    <row r="1046">
      <c r="BF1046" s="78" t="n"/>
      <c r="BG1046" s="78" t="n"/>
      <c r="BH1046" s="78" t="n"/>
      <c r="BI1046" s="78" t="n"/>
      <c r="BJ1046" s="139" t="n"/>
      <c r="BK1046" s="204" t="n"/>
      <c r="BL1046" s="141" t="n"/>
      <c r="BM1046" s="205" t="n"/>
      <c r="BN1046" s="205" t="n"/>
      <c r="BO1046" s="206" t="n"/>
      <c r="BP1046" s="144" t="n"/>
      <c r="BQ1046" s="141" t="n"/>
      <c r="BR1046" s="207" t="n"/>
      <c r="BS1046" s="207" t="n"/>
      <c r="BT1046" s="207" t="n"/>
      <c r="BU1046" s="207" t="n"/>
      <c r="BV1046" s="208" t="n"/>
      <c r="BW1046" s="207" t="n"/>
      <c r="BX1046" s="207" t="n"/>
      <c r="BY1046" s="204" t="n"/>
      <c r="BZ1046" s="148" t="n"/>
      <c r="CA1046" s="204" t="n"/>
      <c r="CB1046" s="208" t="n"/>
      <c r="CC1046" s="139" t="n"/>
      <c r="CD1046" s="204" t="n"/>
      <c r="CE1046" s="204" t="n"/>
      <c r="CF1046" s="207" t="n"/>
      <c r="CG1046" s="208" t="n"/>
      <c r="CH1046" s="207" t="n"/>
      <c r="CI1046" s="208" t="n"/>
      <c r="CJ1046" s="204" t="n"/>
      <c r="CK1046" s="208" t="n"/>
      <c r="CL1046" s="208" t="n"/>
      <c r="CM1046" s="208" t="n"/>
      <c r="CN1046" s="78" t="n"/>
      <c r="CO1046" s="209" t="n"/>
      <c r="CP1046" s="204" t="n"/>
      <c r="CQ1046" s="204" t="n"/>
      <c r="CR1046" s="204" t="n"/>
      <c r="CS1046" s="204" t="n"/>
      <c r="CT1046" s="204" t="n"/>
      <c r="CU1046" s="204" t="n"/>
      <c r="CV1046" s="204" t="n"/>
      <c r="CW1046" s="204" t="n"/>
    </row>
    <row r="1047">
      <c r="BF1047" s="78" t="n"/>
      <c r="BG1047" s="78" t="n"/>
      <c r="BH1047" s="78" t="n"/>
      <c r="BI1047" s="78" t="n"/>
      <c r="BJ1047" s="139" t="n"/>
      <c r="BK1047" s="204" t="n"/>
      <c r="BL1047" s="141" t="n"/>
      <c r="BM1047" s="205" t="n"/>
      <c r="BN1047" s="205" t="n"/>
      <c r="BO1047" s="206" t="n"/>
      <c r="BP1047" s="144" t="n"/>
      <c r="BQ1047" s="141" t="n"/>
      <c r="BR1047" s="207" t="n"/>
      <c r="BS1047" s="207" t="n"/>
      <c r="BT1047" s="207" t="n"/>
      <c r="BU1047" s="207" t="n"/>
      <c r="BV1047" s="208" t="n"/>
      <c r="BW1047" s="207" t="n"/>
      <c r="BX1047" s="207" t="n"/>
      <c r="BY1047" s="204" t="n"/>
      <c r="BZ1047" s="148" t="n"/>
      <c r="CA1047" s="204" t="n"/>
      <c r="CB1047" s="208" t="n"/>
      <c r="CC1047" s="139" t="n"/>
      <c r="CD1047" s="204" t="n"/>
      <c r="CE1047" s="204" t="n"/>
      <c r="CF1047" s="207" t="n"/>
      <c r="CG1047" s="208" t="n"/>
      <c r="CH1047" s="207" t="n"/>
      <c r="CI1047" s="208" t="n"/>
      <c r="CJ1047" s="204" t="n"/>
      <c r="CK1047" s="208" t="n"/>
      <c r="CL1047" s="208" t="n"/>
      <c r="CM1047" s="208" t="n"/>
      <c r="CN1047" s="78" t="n"/>
      <c r="CO1047" s="209" t="n"/>
      <c r="CP1047" s="204" t="n"/>
      <c r="CQ1047" s="204" t="n"/>
      <c r="CR1047" s="204" t="n"/>
      <c r="CS1047" s="204" t="n"/>
      <c r="CT1047" s="204" t="n"/>
      <c r="CU1047" s="204" t="n"/>
      <c r="CV1047" s="204" t="n"/>
      <c r="CW1047" s="204" t="n"/>
    </row>
    <row r="1048">
      <c r="BF1048" s="78" t="n"/>
      <c r="BG1048" s="78" t="n"/>
      <c r="BH1048" s="78" t="n"/>
      <c r="BI1048" s="78" t="n"/>
      <c r="BJ1048" s="139" t="n"/>
      <c r="BK1048" s="204" t="n"/>
      <c r="BL1048" s="141" t="n"/>
      <c r="BM1048" s="205" t="n"/>
      <c r="BN1048" s="205" t="n"/>
      <c r="BO1048" s="206" t="n"/>
      <c r="BP1048" s="144" t="n"/>
      <c r="BQ1048" s="141" t="n"/>
      <c r="BR1048" s="207" t="n"/>
      <c r="BS1048" s="207" t="n"/>
      <c r="BT1048" s="207" t="n"/>
      <c r="BU1048" s="207" t="n"/>
      <c r="BV1048" s="208" t="n"/>
      <c r="BW1048" s="207" t="n"/>
      <c r="BX1048" s="207" t="n"/>
      <c r="BY1048" s="204" t="n"/>
      <c r="BZ1048" s="148" t="n"/>
      <c r="CA1048" s="204" t="n"/>
      <c r="CB1048" s="208" t="n"/>
      <c r="CC1048" s="139" t="n"/>
      <c r="CD1048" s="204" t="n"/>
      <c r="CE1048" s="204" t="n"/>
      <c r="CF1048" s="207" t="n"/>
      <c r="CG1048" s="208" t="n"/>
      <c r="CH1048" s="207" t="n"/>
      <c r="CI1048" s="208" t="n"/>
      <c r="CJ1048" s="204" t="n"/>
      <c r="CK1048" s="208" t="n"/>
      <c r="CL1048" s="208" t="n"/>
      <c r="CM1048" s="208" t="n"/>
      <c r="CN1048" s="78" t="n"/>
      <c r="CO1048" s="209" t="n"/>
      <c r="CP1048" s="204" t="n"/>
      <c r="CQ1048" s="204" t="n"/>
      <c r="CR1048" s="204" t="n"/>
      <c r="CS1048" s="204" t="n"/>
      <c r="CT1048" s="204" t="n"/>
      <c r="CU1048" s="204" t="n"/>
      <c r="CV1048" s="204" t="n"/>
      <c r="CW1048" s="204" t="n"/>
    </row>
    <row r="1049">
      <c r="BF1049" s="78" t="n"/>
      <c r="BG1049" s="78" t="n"/>
      <c r="BH1049" s="78" t="n"/>
      <c r="BI1049" s="78" t="n"/>
      <c r="BJ1049" s="139" t="n"/>
      <c r="BK1049" s="204" t="n"/>
      <c r="BL1049" s="141" t="n"/>
      <c r="BM1049" s="205" t="n"/>
      <c r="BN1049" s="205" t="n"/>
      <c r="BO1049" s="206" t="n"/>
      <c r="BP1049" s="144" t="n"/>
      <c r="BQ1049" s="141" t="n"/>
      <c r="BR1049" s="207" t="n"/>
      <c r="BS1049" s="207" t="n"/>
      <c r="BT1049" s="207" t="n"/>
      <c r="BU1049" s="207" t="n"/>
      <c r="BV1049" s="208" t="n"/>
      <c r="BW1049" s="207" t="n"/>
      <c r="BX1049" s="207" t="n"/>
      <c r="BY1049" s="204" t="n"/>
      <c r="BZ1049" s="148" t="n"/>
      <c r="CA1049" s="204" t="n"/>
      <c r="CB1049" s="208" t="n"/>
      <c r="CC1049" s="139" t="n"/>
      <c r="CD1049" s="204" t="n"/>
      <c r="CE1049" s="204" t="n"/>
      <c r="CF1049" s="207" t="n"/>
      <c r="CG1049" s="208" t="n"/>
      <c r="CH1049" s="207" t="n"/>
      <c r="CI1049" s="208" t="n"/>
      <c r="CJ1049" s="204" t="n"/>
      <c r="CK1049" s="208" t="n"/>
      <c r="CL1049" s="208" t="n"/>
      <c r="CM1049" s="208" t="n"/>
      <c r="CN1049" s="78" t="n"/>
      <c r="CO1049" s="209" t="n"/>
      <c r="CP1049" s="204" t="n"/>
      <c r="CQ1049" s="204" t="n"/>
      <c r="CR1049" s="204" t="n"/>
      <c r="CS1049" s="204" t="n"/>
      <c r="CT1049" s="204" t="n"/>
      <c r="CU1049" s="204" t="n"/>
      <c r="CV1049" s="204" t="n"/>
      <c r="CW1049" s="204" t="n"/>
    </row>
    <row r="1050">
      <c r="BF1050" s="78" t="n"/>
      <c r="BG1050" s="78" t="n"/>
      <c r="BH1050" s="78" t="n"/>
      <c r="BI1050" s="78" t="n"/>
      <c r="BJ1050" s="139" t="n"/>
      <c r="BK1050" s="204" t="n"/>
      <c r="BL1050" s="141" t="n"/>
      <c r="BM1050" s="205" t="n"/>
      <c r="BN1050" s="205" t="n"/>
      <c r="BO1050" s="206" t="n"/>
      <c r="BP1050" s="144" t="n"/>
      <c r="BQ1050" s="141" t="n"/>
      <c r="BR1050" s="207" t="n"/>
      <c r="BS1050" s="207" t="n"/>
      <c r="BT1050" s="207" t="n"/>
      <c r="BU1050" s="207" t="n"/>
      <c r="BV1050" s="208" t="n"/>
      <c r="BW1050" s="207" t="n"/>
      <c r="BX1050" s="207" t="n"/>
      <c r="BY1050" s="204" t="n"/>
      <c r="BZ1050" s="148" t="n"/>
      <c r="CA1050" s="204" t="n"/>
      <c r="CB1050" s="208" t="n"/>
      <c r="CC1050" s="139" t="n"/>
      <c r="CD1050" s="204" t="n"/>
      <c r="CE1050" s="204" t="n"/>
      <c r="CF1050" s="207" t="n"/>
      <c r="CG1050" s="208" t="n"/>
      <c r="CH1050" s="207" t="n"/>
      <c r="CI1050" s="208" t="n"/>
      <c r="CJ1050" s="204" t="n"/>
      <c r="CK1050" s="208" t="n"/>
      <c r="CL1050" s="208" t="n"/>
      <c r="CM1050" s="208" t="n"/>
      <c r="CN1050" s="78" t="n"/>
      <c r="CO1050" s="209" t="n"/>
      <c r="CP1050" s="204" t="n"/>
      <c r="CQ1050" s="204" t="n"/>
      <c r="CR1050" s="204" t="n"/>
      <c r="CS1050" s="204" t="n"/>
      <c r="CT1050" s="204" t="n"/>
      <c r="CU1050" s="204" t="n"/>
      <c r="CV1050" s="204" t="n"/>
      <c r="CW1050" s="204" t="n"/>
    </row>
    <row r="1051">
      <c r="BF1051" s="78" t="n"/>
      <c r="BG1051" s="78" t="n"/>
      <c r="BH1051" s="78" t="n"/>
      <c r="BI1051" s="78" t="n"/>
      <c r="BJ1051" s="139" t="n"/>
      <c r="BK1051" s="204" t="n"/>
      <c r="BL1051" s="141" t="n"/>
      <c r="BM1051" s="205" t="n"/>
      <c r="BN1051" s="205" t="n"/>
      <c r="BO1051" s="206" t="n"/>
      <c r="BP1051" s="144" t="n"/>
      <c r="BQ1051" s="141" t="n"/>
      <c r="BR1051" s="207" t="n"/>
      <c r="BS1051" s="207" t="n"/>
      <c r="BT1051" s="207" t="n"/>
      <c r="BU1051" s="207" t="n"/>
      <c r="BV1051" s="208" t="n"/>
      <c r="BW1051" s="207" t="n"/>
      <c r="BX1051" s="207" t="n"/>
      <c r="BY1051" s="204" t="n"/>
      <c r="BZ1051" s="148" t="n"/>
      <c r="CA1051" s="204" t="n"/>
      <c r="CB1051" s="208" t="n"/>
      <c r="CC1051" s="139" t="n"/>
      <c r="CD1051" s="204" t="n"/>
      <c r="CE1051" s="204" t="n"/>
      <c r="CF1051" s="207" t="n"/>
      <c r="CG1051" s="208" t="n"/>
      <c r="CH1051" s="207" t="n"/>
      <c r="CI1051" s="208" t="n"/>
      <c r="CJ1051" s="204" t="n"/>
      <c r="CK1051" s="208" t="n"/>
      <c r="CL1051" s="208" t="n"/>
      <c r="CM1051" s="208" t="n"/>
      <c r="CN1051" s="78" t="n"/>
      <c r="CO1051" s="209" t="n"/>
      <c r="CP1051" s="204" t="n"/>
      <c r="CQ1051" s="204" t="n"/>
      <c r="CR1051" s="204" t="n"/>
      <c r="CS1051" s="204" t="n"/>
      <c r="CT1051" s="204" t="n"/>
      <c r="CU1051" s="204" t="n"/>
      <c r="CV1051" s="204" t="n"/>
      <c r="CW1051" s="204" t="n"/>
    </row>
    <row r="1052">
      <c r="BF1052" s="78" t="n"/>
      <c r="BG1052" s="78" t="n"/>
      <c r="BH1052" s="78" t="n"/>
      <c r="BI1052" s="78" t="n"/>
      <c r="BJ1052" s="139" t="n"/>
      <c r="BK1052" s="204" t="n"/>
      <c r="BL1052" s="141" t="n"/>
      <c r="BM1052" s="205" t="n"/>
      <c r="BN1052" s="205" t="n"/>
      <c r="BO1052" s="206" t="n"/>
      <c r="BP1052" s="144" t="n"/>
      <c r="BQ1052" s="141" t="n"/>
      <c r="BR1052" s="207" t="n"/>
      <c r="BS1052" s="207" t="n"/>
      <c r="BT1052" s="207" t="n"/>
      <c r="BU1052" s="207" t="n"/>
      <c r="BV1052" s="208" t="n"/>
      <c r="BW1052" s="207" t="n"/>
      <c r="BX1052" s="207" t="n"/>
      <c r="BY1052" s="204" t="n"/>
      <c r="BZ1052" s="148" t="n"/>
      <c r="CA1052" s="204" t="n"/>
      <c r="CB1052" s="208" t="n"/>
      <c r="CC1052" s="139" t="n"/>
      <c r="CD1052" s="204" t="n"/>
      <c r="CE1052" s="204" t="n"/>
      <c r="CF1052" s="207" t="n"/>
      <c r="CG1052" s="208" t="n"/>
      <c r="CH1052" s="207" t="n"/>
      <c r="CI1052" s="208" t="n"/>
      <c r="CJ1052" s="204" t="n"/>
      <c r="CK1052" s="208" t="n"/>
      <c r="CL1052" s="208" t="n"/>
      <c r="CM1052" s="208" t="n"/>
      <c r="CN1052" s="78" t="n"/>
      <c r="CO1052" s="209" t="n"/>
      <c r="CP1052" s="204" t="n"/>
      <c r="CQ1052" s="204" t="n"/>
      <c r="CR1052" s="204" t="n"/>
      <c r="CS1052" s="204" t="n"/>
      <c r="CT1052" s="204" t="n"/>
      <c r="CU1052" s="204" t="n"/>
      <c r="CV1052" s="204" t="n"/>
      <c r="CW1052" s="204" t="n"/>
    </row>
    <row r="1053">
      <c r="BF1053" s="78" t="n"/>
      <c r="BG1053" s="78" t="n"/>
      <c r="BH1053" s="78" t="n"/>
      <c r="BI1053" s="78" t="n"/>
      <c r="BJ1053" s="139" t="n"/>
      <c r="BK1053" s="204" t="n"/>
      <c r="BL1053" s="141" t="n"/>
      <c r="BM1053" s="205" t="n"/>
      <c r="BN1053" s="205" t="n"/>
      <c r="BO1053" s="206" t="n"/>
      <c r="BP1053" s="144" t="n"/>
      <c r="BQ1053" s="141" t="n"/>
      <c r="BR1053" s="207" t="n"/>
      <c r="BS1053" s="207" t="n"/>
      <c r="BT1053" s="207" t="n"/>
      <c r="BU1053" s="207" t="n"/>
      <c r="BV1053" s="208" t="n"/>
      <c r="BW1053" s="207" t="n"/>
      <c r="BX1053" s="207" t="n"/>
      <c r="BY1053" s="204" t="n"/>
      <c r="BZ1053" s="148" t="n"/>
      <c r="CA1053" s="204" t="n"/>
      <c r="CB1053" s="208" t="n"/>
      <c r="CC1053" s="139" t="n"/>
      <c r="CD1053" s="204" t="n"/>
      <c r="CE1053" s="204" t="n"/>
      <c r="CF1053" s="207" t="n"/>
      <c r="CG1053" s="208" t="n"/>
      <c r="CH1053" s="207" t="n"/>
      <c r="CI1053" s="208" t="n"/>
      <c r="CJ1053" s="204" t="n"/>
      <c r="CK1053" s="208" t="n"/>
      <c r="CL1053" s="208" t="n"/>
      <c r="CM1053" s="208" t="n"/>
      <c r="CN1053" s="78" t="n"/>
      <c r="CO1053" s="209" t="n"/>
      <c r="CP1053" s="204" t="n"/>
      <c r="CQ1053" s="204" t="n"/>
      <c r="CR1053" s="204" t="n"/>
      <c r="CS1053" s="204" t="n"/>
      <c r="CT1053" s="204" t="n"/>
      <c r="CU1053" s="204" t="n"/>
      <c r="CV1053" s="204" t="n"/>
      <c r="CW1053" s="204" t="n"/>
    </row>
    <row r="1054">
      <c r="BF1054" s="78" t="n"/>
      <c r="BG1054" s="78" t="n"/>
      <c r="BH1054" s="78" t="n"/>
      <c r="BI1054" s="78" t="n"/>
      <c r="BJ1054" s="139" t="n"/>
      <c r="BK1054" s="204" t="n"/>
      <c r="BL1054" s="141" t="n"/>
      <c r="BM1054" s="205" t="n"/>
      <c r="BN1054" s="205" t="n"/>
      <c r="BO1054" s="206" t="n"/>
      <c r="BP1054" s="144" t="n"/>
      <c r="BQ1054" s="141" t="n"/>
      <c r="BR1054" s="207" t="n"/>
      <c r="BS1054" s="207" t="n"/>
      <c r="BT1054" s="207" t="n"/>
      <c r="BU1054" s="207" t="n"/>
      <c r="BV1054" s="208" t="n"/>
      <c r="BW1054" s="207" t="n"/>
      <c r="BX1054" s="207" t="n"/>
      <c r="BY1054" s="204" t="n"/>
      <c r="BZ1054" s="148" t="n"/>
      <c r="CA1054" s="204" t="n"/>
      <c r="CB1054" s="208" t="n"/>
      <c r="CC1054" s="139" t="n"/>
      <c r="CD1054" s="204" t="n"/>
      <c r="CE1054" s="204" t="n"/>
      <c r="CF1054" s="207" t="n"/>
      <c r="CG1054" s="208" t="n"/>
      <c r="CH1054" s="207" t="n"/>
      <c r="CI1054" s="208" t="n"/>
      <c r="CJ1054" s="204" t="n"/>
      <c r="CK1054" s="208" t="n"/>
      <c r="CL1054" s="208" t="n"/>
      <c r="CM1054" s="208" t="n"/>
      <c r="CN1054" s="78" t="n"/>
      <c r="CO1054" s="209" t="n"/>
      <c r="CP1054" s="204" t="n"/>
      <c r="CQ1054" s="204" t="n"/>
      <c r="CR1054" s="204" t="n"/>
      <c r="CS1054" s="204" t="n"/>
      <c r="CT1054" s="204" t="n"/>
      <c r="CU1054" s="204" t="n"/>
      <c r="CV1054" s="204" t="n"/>
      <c r="CW1054" s="204" t="n"/>
    </row>
    <row r="1055">
      <c r="BF1055" s="78" t="n"/>
      <c r="BG1055" s="78" t="n"/>
      <c r="BH1055" s="78" t="n"/>
      <c r="BI1055" s="78" t="n"/>
      <c r="BJ1055" s="139" t="n"/>
      <c r="BK1055" s="204" t="n"/>
      <c r="BL1055" s="141" t="n"/>
      <c r="BM1055" s="205" t="n"/>
      <c r="BN1055" s="205" t="n"/>
      <c r="BO1055" s="206" t="n"/>
      <c r="BP1055" s="144" t="n"/>
      <c r="BQ1055" s="141" t="n"/>
      <c r="BR1055" s="207" t="n"/>
      <c r="BS1055" s="207" t="n"/>
      <c r="BT1055" s="207" t="n"/>
      <c r="BU1055" s="207" t="n"/>
      <c r="BV1055" s="208" t="n"/>
      <c r="BW1055" s="207" t="n"/>
      <c r="BX1055" s="207" t="n"/>
      <c r="BY1055" s="204" t="n"/>
      <c r="BZ1055" s="148" t="n"/>
      <c r="CA1055" s="204" t="n"/>
      <c r="CB1055" s="208" t="n"/>
      <c r="CC1055" s="139" t="n"/>
      <c r="CD1055" s="204" t="n"/>
      <c r="CE1055" s="204" t="n"/>
      <c r="CF1055" s="207" t="n"/>
      <c r="CG1055" s="208" t="n"/>
      <c r="CH1055" s="207" t="n"/>
      <c r="CI1055" s="208" t="n"/>
      <c r="CJ1055" s="204" t="n"/>
      <c r="CK1055" s="208" t="n"/>
      <c r="CL1055" s="208" t="n"/>
      <c r="CM1055" s="208" t="n"/>
      <c r="CN1055" s="78" t="n"/>
      <c r="CO1055" s="209" t="n"/>
      <c r="CP1055" s="204" t="n"/>
      <c r="CQ1055" s="204" t="n"/>
      <c r="CR1055" s="204" t="n"/>
      <c r="CS1055" s="204" t="n"/>
      <c r="CT1055" s="204" t="n"/>
      <c r="CU1055" s="204" t="n"/>
      <c r="CV1055" s="204" t="n"/>
      <c r="CW1055" s="204" t="n"/>
    </row>
    <row r="1056">
      <c r="BF1056" s="78" t="n"/>
      <c r="BG1056" s="78" t="n"/>
      <c r="BH1056" s="78" t="n"/>
      <c r="BI1056" s="78" t="n"/>
      <c r="BJ1056" s="139" t="n"/>
      <c r="BK1056" s="204" t="n"/>
      <c r="BL1056" s="141" t="n"/>
      <c r="BM1056" s="205" t="n"/>
      <c r="BN1056" s="205" t="n"/>
      <c r="BO1056" s="206" t="n"/>
      <c r="BP1056" s="144" t="n"/>
      <c r="BQ1056" s="141" t="n"/>
      <c r="BR1056" s="207" t="n"/>
      <c r="BS1056" s="207" t="n"/>
      <c r="BT1056" s="207" t="n"/>
      <c r="BU1056" s="207" t="n"/>
      <c r="BV1056" s="208" t="n"/>
      <c r="BW1056" s="207" t="n"/>
      <c r="BX1056" s="207" t="n"/>
      <c r="BY1056" s="204" t="n"/>
      <c r="BZ1056" s="148" t="n"/>
      <c r="CA1056" s="204" t="n"/>
      <c r="CB1056" s="208" t="n"/>
      <c r="CC1056" s="139" t="n"/>
      <c r="CD1056" s="204" t="n"/>
      <c r="CE1056" s="204" t="n"/>
      <c r="CF1056" s="207" t="n"/>
      <c r="CG1056" s="208" t="n"/>
      <c r="CH1056" s="207" t="n"/>
      <c r="CI1056" s="208" t="n"/>
      <c r="CJ1056" s="204" t="n"/>
      <c r="CK1056" s="208" t="n"/>
      <c r="CL1056" s="208" t="n"/>
      <c r="CM1056" s="208" t="n"/>
      <c r="CN1056" s="78" t="n"/>
      <c r="CO1056" s="209" t="n"/>
      <c r="CP1056" s="204" t="n"/>
      <c r="CQ1056" s="204" t="n"/>
      <c r="CR1056" s="204" t="n"/>
      <c r="CS1056" s="204" t="n"/>
      <c r="CT1056" s="204" t="n"/>
      <c r="CU1056" s="204" t="n"/>
      <c r="CV1056" s="204" t="n"/>
      <c r="CW1056" s="204" t="n"/>
    </row>
    <row r="1057">
      <c r="BF1057" s="78" t="n"/>
      <c r="BG1057" s="78" t="n"/>
      <c r="BH1057" s="78" t="n"/>
      <c r="BI1057" s="78" t="n"/>
      <c r="BJ1057" s="139" t="n"/>
      <c r="BK1057" s="204" t="n"/>
      <c r="BL1057" s="141" t="n"/>
      <c r="BM1057" s="205" t="n"/>
      <c r="BN1057" s="205" t="n"/>
      <c r="BO1057" s="206" t="n"/>
      <c r="BP1057" s="144" t="n"/>
      <c r="BQ1057" s="141" t="n"/>
      <c r="BR1057" s="207" t="n"/>
      <c r="BS1057" s="207" t="n"/>
      <c r="BT1057" s="207" t="n"/>
      <c r="BU1057" s="207" t="n"/>
      <c r="BV1057" s="208" t="n"/>
      <c r="BW1057" s="207" t="n"/>
      <c r="BX1057" s="207" t="n"/>
      <c r="BY1057" s="204" t="n"/>
      <c r="BZ1057" s="148" t="n"/>
      <c r="CA1057" s="204" t="n"/>
      <c r="CB1057" s="208" t="n"/>
      <c r="CC1057" s="139" t="n"/>
      <c r="CD1057" s="204" t="n"/>
      <c r="CE1057" s="204" t="n"/>
      <c r="CF1057" s="207" t="n"/>
      <c r="CG1057" s="208" t="n"/>
      <c r="CH1057" s="207" t="n"/>
      <c r="CI1057" s="208" t="n"/>
      <c r="CJ1057" s="204" t="n"/>
      <c r="CK1057" s="208" t="n"/>
      <c r="CL1057" s="208" t="n"/>
      <c r="CM1057" s="208" t="n"/>
      <c r="CN1057" s="78" t="n"/>
      <c r="CO1057" s="209" t="n"/>
      <c r="CP1057" s="204" t="n"/>
      <c r="CQ1057" s="204" t="n"/>
      <c r="CR1057" s="204" t="n"/>
      <c r="CS1057" s="204" t="n"/>
      <c r="CT1057" s="204" t="n"/>
      <c r="CU1057" s="204" t="n"/>
      <c r="CV1057" s="204" t="n"/>
      <c r="CW1057" s="204" t="n"/>
    </row>
    <row r="1058">
      <c r="BF1058" s="78" t="n"/>
      <c r="BG1058" s="78" t="n"/>
      <c r="BH1058" s="78" t="n"/>
      <c r="BI1058" s="78" t="n"/>
      <c r="BJ1058" s="139" t="n"/>
      <c r="BK1058" s="204" t="n"/>
      <c r="BL1058" s="141" t="n"/>
      <c r="BM1058" s="205" t="n"/>
      <c r="BN1058" s="205" t="n"/>
      <c r="BO1058" s="206" t="n"/>
      <c r="BP1058" s="144" t="n"/>
      <c r="BQ1058" s="141" t="n"/>
      <c r="BR1058" s="207" t="n"/>
      <c r="BS1058" s="207" t="n"/>
      <c r="BT1058" s="207" t="n"/>
      <c r="BU1058" s="207" t="n"/>
      <c r="BV1058" s="208" t="n"/>
      <c r="BW1058" s="207" t="n"/>
      <c r="BX1058" s="207" t="n"/>
      <c r="BY1058" s="204" t="n"/>
      <c r="BZ1058" s="148" t="n"/>
      <c r="CA1058" s="204" t="n"/>
      <c r="CB1058" s="208" t="n"/>
      <c r="CC1058" s="139" t="n"/>
      <c r="CD1058" s="204" t="n"/>
      <c r="CE1058" s="204" t="n"/>
      <c r="CF1058" s="207" t="n"/>
      <c r="CG1058" s="208" t="n"/>
      <c r="CH1058" s="207" t="n"/>
      <c r="CI1058" s="208" t="n"/>
      <c r="CJ1058" s="204" t="n"/>
      <c r="CK1058" s="208" t="n"/>
      <c r="CL1058" s="208" t="n"/>
      <c r="CM1058" s="208" t="n"/>
      <c r="CN1058" s="78" t="n"/>
      <c r="CO1058" s="209" t="n"/>
      <c r="CP1058" s="204" t="n"/>
      <c r="CQ1058" s="204" t="n"/>
      <c r="CR1058" s="204" t="n"/>
      <c r="CS1058" s="204" t="n"/>
      <c r="CT1058" s="204" t="n"/>
      <c r="CU1058" s="204" t="n"/>
      <c r="CV1058" s="204" t="n"/>
      <c r="CW1058" s="204" t="n"/>
    </row>
    <row r="1059">
      <c r="AR1059" s="151" t="n"/>
      <c r="BF1059" s="78" t="n"/>
      <c r="BG1059" s="78" t="n"/>
      <c r="BH1059" s="78" t="n"/>
      <c r="BI1059" s="78" t="n"/>
      <c r="BJ1059" s="139" t="n"/>
      <c r="BK1059" s="204" t="n"/>
      <c r="BL1059" s="141" t="n"/>
      <c r="BM1059" s="205" t="n"/>
      <c r="BN1059" s="205" t="n"/>
      <c r="BO1059" s="206" t="n"/>
      <c r="BP1059" s="144" t="n"/>
      <c r="BQ1059" s="141" t="n"/>
      <c r="BR1059" s="207" t="n"/>
      <c r="BS1059" s="207" t="n"/>
      <c r="BT1059" s="207" t="n"/>
      <c r="BU1059" s="207" t="n"/>
      <c r="BV1059" s="208" t="n"/>
      <c r="BW1059" s="207" t="n"/>
      <c r="BX1059" s="207" t="n"/>
      <c r="BY1059" s="204" t="n"/>
      <c r="BZ1059" s="148" t="n"/>
      <c r="CA1059" s="204" t="n"/>
      <c r="CB1059" s="208" t="n"/>
      <c r="CC1059" s="139" t="n"/>
      <c r="CD1059" s="204" t="n"/>
      <c r="CE1059" s="204" t="n"/>
      <c r="CF1059" s="207" t="n"/>
      <c r="CG1059" s="208" t="n"/>
      <c r="CH1059" s="207" t="n"/>
      <c r="CI1059" s="208" t="n"/>
      <c r="CJ1059" s="204" t="n"/>
      <c r="CK1059" s="208" t="n"/>
      <c r="CL1059" s="208" t="n"/>
      <c r="CM1059" s="208" t="n"/>
      <c r="CN1059" s="78" t="n"/>
      <c r="CO1059" s="209" t="n"/>
      <c r="CP1059" s="204" t="n"/>
      <c r="CQ1059" s="204" t="n"/>
      <c r="CR1059" s="204" t="n"/>
      <c r="CS1059" s="204" t="n"/>
      <c r="CT1059" s="204" t="n"/>
      <c r="CU1059" s="204" t="n"/>
      <c r="CV1059" s="204" t="n"/>
      <c r="CW1059" s="204" t="n"/>
    </row>
    <row r="1060">
      <c r="AR1060" s="151" t="n"/>
      <c r="BF1060" s="78" t="n"/>
      <c r="BG1060" s="78" t="n"/>
      <c r="BH1060" s="78" t="n"/>
      <c r="BI1060" s="78" t="n"/>
      <c r="BJ1060" s="139" t="n"/>
      <c r="BK1060" s="204" t="n"/>
      <c r="BL1060" s="141" t="n"/>
      <c r="BM1060" s="205" t="n"/>
      <c r="BN1060" s="205" t="n"/>
      <c r="BO1060" s="206" t="n"/>
      <c r="BP1060" s="144" t="n"/>
      <c r="BQ1060" s="141" t="n"/>
      <c r="BR1060" s="207" t="n"/>
      <c r="BS1060" s="207" t="n"/>
      <c r="BT1060" s="207" t="n"/>
      <c r="BU1060" s="207" t="n"/>
      <c r="BV1060" s="208" t="n"/>
      <c r="BW1060" s="207" t="n"/>
      <c r="BX1060" s="207" t="n"/>
      <c r="BY1060" s="204" t="n"/>
      <c r="BZ1060" s="148" t="n"/>
      <c r="CA1060" s="204" t="n"/>
      <c r="CB1060" s="208" t="n"/>
      <c r="CC1060" s="139" t="n"/>
      <c r="CD1060" s="204" t="n"/>
      <c r="CE1060" s="204" t="n"/>
      <c r="CF1060" s="207" t="n"/>
      <c r="CG1060" s="208" t="n"/>
      <c r="CH1060" s="207" t="n"/>
      <c r="CI1060" s="208" t="n"/>
      <c r="CJ1060" s="204" t="n"/>
      <c r="CK1060" s="208" t="n"/>
      <c r="CL1060" s="208" t="n"/>
      <c r="CM1060" s="208" t="n"/>
      <c r="CN1060" s="78" t="n"/>
      <c r="CO1060" s="209" t="n"/>
      <c r="CP1060" s="204" t="n"/>
      <c r="CQ1060" s="204" t="n"/>
      <c r="CR1060" s="204" t="n"/>
      <c r="CS1060" s="204" t="n"/>
      <c r="CT1060" s="204" t="n"/>
      <c r="CU1060" s="204" t="n"/>
      <c r="CV1060" s="204" t="n"/>
      <c r="CW1060" s="204" t="n"/>
    </row>
    <row r="1061">
      <c r="AR1061" s="151" t="n"/>
      <c r="BF1061" s="78" t="n"/>
      <c r="BG1061" s="78" t="n"/>
      <c r="BH1061" s="78" t="n"/>
      <c r="BI1061" s="78" t="n"/>
      <c r="BJ1061" s="139" t="n"/>
      <c r="BK1061" s="204" t="n"/>
      <c r="BL1061" s="141" t="n"/>
      <c r="BM1061" s="205" t="n"/>
      <c r="BN1061" s="205" t="n"/>
      <c r="BO1061" s="206" t="n"/>
      <c r="BP1061" s="144" t="n"/>
      <c r="BQ1061" s="141" t="n"/>
      <c r="BR1061" s="207" t="n"/>
      <c r="BS1061" s="207" t="n"/>
      <c r="BT1061" s="207" t="n"/>
      <c r="BU1061" s="207" t="n"/>
      <c r="BV1061" s="208" t="n"/>
      <c r="BW1061" s="207" t="n"/>
      <c r="BX1061" s="207" t="n"/>
      <c r="BY1061" s="204" t="n"/>
      <c r="BZ1061" s="148" t="n"/>
      <c r="CA1061" s="204" t="n"/>
      <c r="CB1061" s="208" t="n"/>
      <c r="CC1061" s="139" t="n"/>
      <c r="CD1061" s="204" t="n"/>
      <c r="CE1061" s="204" t="n"/>
      <c r="CF1061" s="207" t="n"/>
      <c r="CG1061" s="208" t="n"/>
      <c r="CH1061" s="207" t="n"/>
      <c r="CI1061" s="208" t="n"/>
      <c r="CJ1061" s="204" t="n"/>
      <c r="CK1061" s="208" t="n"/>
      <c r="CL1061" s="208" t="n"/>
      <c r="CM1061" s="208" t="n"/>
      <c r="CN1061" s="78" t="n"/>
      <c r="CO1061" s="209" t="n"/>
      <c r="CP1061" s="204" t="n"/>
      <c r="CQ1061" s="204" t="n"/>
      <c r="CR1061" s="204" t="n"/>
      <c r="CS1061" s="204" t="n"/>
      <c r="CT1061" s="204" t="n"/>
      <c r="CU1061" s="204" t="n"/>
      <c r="CV1061" s="204" t="n"/>
      <c r="CW1061" s="204" t="n"/>
    </row>
    <row r="1062">
      <c r="AR1062" s="151" t="n"/>
      <c r="BF1062" s="78" t="n"/>
      <c r="BG1062" s="78" t="n"/>
      <c r="BH1062" s="78" t="n"/>
      <c r="BI1062" s="78" t="n"/>
      <c r="BJ1062" s="139" t="n"/>
      <c r="BK1062" s="204" t="n"/>
      <c r="BL1062" s="141" t="n"/>
      <c r="BM1062" s="205" t="n"/>
      <c r="BN1062" s="205" t="n"/>
      <c r="BO1062" s="206" t="n"/>
      <c r="BP1062" s="144" t="n"/>
      <c r="BQ1062" s="141" t="n"/>
      <c r="BR1062" s="207" t="n"/>
      <c r="BS1062" s="207" t="n"/>
      <c r="BT1062" s="207" t="n"/>
      <c r="BU1062" s="207" t="n"/>
      <c r="BV1062" s="208" t="n"/>
      <c r="BW1062" s="207" t="n"/>
      <c r="BX1062" s="207" t="n"/>
      <c r="BY1062" s="204" t="n"/>
      <c r="BZ1062" s="148" t="n"/>
      <c r="CA1062" s="204" t="n"/>
      <c r="CB1062" s="208" t="n"/>
      <c r="CC1062" s="139" t="n"/>
      <c r="CD1062" s="204" t="n"/>
      <c r="CE1062" s="204" t="n"/>
      <c r="CF1062" s="207" t="n"/>
      <c r="CG1062" s="208" t="n"/>
      <c r="CH1062" s="207" t="n"/>
      <c r="CI1062" s="208" t="n"/>
      <c r="CJ1062" s="204" t="n"/>
      <c r="CK1062" s="208" t="n"/>
      <c r="CL1062" s="208" t="n"/>
      <c r="CM1062" s="208" t="n"/>
      <c r="CN1062" s="78" t="n"/>
      <c r="CO1062" s="209" t="n"/>
      <c r="CP1062" s="204" t="n"/>
      <c r="CQ1062" s="204" t="n"/>
      <c r="CR1062" s="204" t="n"/>
      <c r="CS1062" s="204" t="n"/>
      <c r="CT1062" s="204" t="n"/>
      <c r="CU1062" s="204" t="n"/>
      <c r="CV1062" s="204" t="n"/>
      <c r="CW1062" s="204" t="n"/>
    </row>
    <row r="1063">
      <c r="BF1063" s="78" t="n"/>
      <c r="BG1063" s="78" t="n"/>
      <c r="BH1063" s="78" t="n"/>
      <c r="BI1063" s="78" t="n"/>
      <c r="BJ1063" s="139" t="n"/>
      <c r="BK1063" s="204" t="n"/>
      <c r="BL1063" s="141" t="n"/>
      <c r="BM1063" s="205" t="n"/>
      <c r="BN1063" s="205" t="n"/>
      <c r="BO1063" s="206" t="n"/>
      <c r="BP1063" s="144" t="n"/>
      <c r="BQ1063" s="141" t="n"/>
      <c r="BR1063" s="207" t="n"/>
      <c r="BS1063" s="207" t="n"/>
      <c r="BT1063" s="207" t="n"/>
      <c r="BU1063" s="207" t="n"/>
      <c r="BV1063" s="208" t="n"/>
      <c r="BW1063" s="207" t="n"/>
      <c r="BX1063" s="207" t="n"/>
      <c r="BY1063" s="204" t="n"/>
      <c r="BZ1063" s="148" t="n"/>
      <c r="CA1063" s="204" t="n"/>
      <c r="CB1063" s="208" t="n"/>
      <c r="CC1063" s="139" t="n"/>
      <c r="CD1063" s="204" t="n"/>
      <c r="CE1063" s="204" t="n"/>
      <c r="CF1063" s="207" t="n"/>
      <c r="CG1063" s="208" t="n"/>
      <c r="CH1063" s="207" t="n"/>
      <c r="CI1063" s="208" t="n"/>
      <c r="CJ1063" s="204" t="n"/>
      <c r="CK1063" s="208" t="n"/>
      <c r="CL1063" s="208" t="n"/>
      <c r="CM1063" s="208" t="n"/>
      <c r="CN1063" s="78" t="n"/>
      <c r="CO1063" s="209" t="n"/>
      <c r="CP1063" s="204" t="n"/>
      <c r="CQ1063" s="204" t="n"/>
      <c r="CR1063" s="204" t="n"/>
      <c r="CS1063" s="204" t="n"/>
      <c r="CT1063" s="204" t="n"/>
      <c r="CU1063" s="204" t="n"/>
      <c r="CV1063" s="204" t="n"/>
      <c r="CW1063" s="204" t="n"/>
    </row>
    <row r="1064">
      <c r="BF1064" s="78" t="n"/>
      <c r="BG1064" s="78" t="n"/>
      <c r="BH1064" s="78" t="n"/>
      <c r="BI1064" s="78" t="n"/>
      <c r="BJ1064" s="139" t="n"/>
      <c r="BK1064" s="204" t="n"/>
      <c r="BL1064" s="141" t="n"/>
      <c r="BM1064" s="205" t="n"/>
      <c r="BN1064" s="205" t="n"/>
      <c r="BO1064" s="206" t="n"/>
      <c r="BP1064" s="144" t="n"/>
      <c r="BQ1064" s="141" t="n"/>
      <c r="BR1064" s="207" t="n"/>
      <c r="BS1064" s="207" t="n"/>
      <c r="BT1064" s="207" t="n"/>
      <c r="BU1064" s="207" t="n"/>
      <c r="BV1064" s="208" t="n"/>
      <c r="BW1064" s="207" t="n"/>
      <c r="BX1064" s="207" t="n"/>
      <c r="BY1064" s="204" t="n"/>
      <c r="BZ1064" s="148" t="n"/>
      <c r="CA1064" s="204" t="n"/>
      <c r="CB1064" s="208" t="n"/>
      <c r="CC1064" s="139" t="n"/>
      <c r="CD1064" s="204" t="n"/>
      <c r="CE1064" s="204" t="n"/>
      <c r="CF1064" s="207" t="n"/>
      <c r="CG1064" s="208" t="n"/>
      <c r="CH1064" s="207" t="n"/>
      <c r="CI1064" s="208" t="n"/>
      <c r="CJ1064" s="204" t="n"/>
      <c r="CK1064" s="208" t="n"/>
      <c r="CL1064" s="208" t="n"/>
      <c r="CM1064" s="208" t="n"/>
      <c r="CN1064" s="78" t="n"/>
      <c r="CO1064" s="209" t="n"/>
      <c r="CP1064" s="204" t="n"/>
      <c r="CQ1064" s="204" t="n"/>
      <c r="CR1064" s="204" t="n"/>
      <c r="CS1064" s="204" t="n"/>
      <c r="CT1064" s="204" t="n"/>
      <c r="CU1064" s="204" t="n"/>
      <c r="CV1064" s="204" t="n"/>
      <c r="CW1064" s="204" t="n"/>
    </row>
    <row r="1065">
      <c r="BF1065" s="78" t="n"/>
      <c r="BG1065" s="78" t="n"/>
      <c r="BH1065" s="78" t="n"/>
      <c r="BI1065" s="78" t="n"/>
      <c r="BJ1065" s="139" t="n"/>
      <c r="BK1065" s="204" t="n"/>
      <c r="BL1065" s="141" t="n"/>
      <c r="BM1065" s="205" t="n"/>
      <c r="BN1065" s="205" t="n"/>
      <c r="BO1065" s="206" t="n"/>
      <c r="BP1065" s="144" t="n"/>
      <c r="BQ1065" s="141" t="n"/>
      <c r="BR1065" s="207" t="n"/>
      <c r="BS1065" s="207" t="n"/>
      <c r="BT1065" s="207" t="n"/>
      <c r="BU1065" s="207" t="n"/>
      <c r="BV1065" s="208" t="n"/>
      <c r="BW1065" s="207" t="n"/>
      <c r="BX1065" s="207" t="n"/>
      <c r="BY1065" s="204" t="n"/>
      <c r="BZ1065" s="148" t="n"/>
      <c r="CA1065" s="204" t="n"/>
      <c r="CB1065" s="208" t="n"/>
      <c r="CC1065" s="139" t="n"/>
      <c r="CD1065" s="204" t="n"/>
      <c r="CE1065" s="204" t="n"/>
      <c r="CF1065" s="207" t="n"/>
      <c r="CG1065" s="208" t="n"/>
      <c r="CH1065" s="207" t="n"/>
      <c r="CI1065" s="208" t="n"/>
      <c r="CJ1065" s="204" t="n"/>
      <c r="CK1065" s="208" t="n"/>
      <c r="CL1065" s="208" t="n"/>
      <c r="CM1065" s="208" t="n"/>
      <c r="CN1065" s="78" t="n"/>
      <c r="CO1065" s="209" t="n"/>
      <c r="CP1065" s="204" t="n"/>
      <c r="CQ1065" s="204" t="n"/>
      <c r="CR1065" s="204" t="n"/>
      <c r="CS1065" s="204" t="n"/>
      <c r="CT1065" s="204" t="n"/>
      <c r="CU1065" s="204" t="n"/>
      <c r="CV1065" s="204" t="n"/>
      <c r="CW1065" s="204" t="n"/>
    </row>
    <row r="1066">
      <c r="BF1066" s="78" t="n"/>
      <c r="BG1066" s="78" t="n"/>
      <c r="BH1066" s="78" t="n"/>
      <c r="BI1066" s="78" t="n"/>
      <c r="BJ1066" s="139" t="n"/>
      <c r="BK1066" s="204" t="n"/>
      <c r="BL1066" s="141" t="n"/>
      <c r="BM1066" s="205" t="n"/>
      <c r="BN1066" s="205" t="n"/>
      <c r="BO1066" s="206" t="n"/>
      <c r="BP1066" s="144" t="n"/>
      <c r="BQ1066" s="141" t="n"/>
      <c r="BR1066" s="207" t="n"/>
      <c r="BS1066" s="207" t="n"/>
      <c r="BT1066" s="207" t="n"/>
      <c r="BU1066" s="207" t="n"/>
      <c r="BV1066" s="208" t="n"/>
      <c r="BW1066" s="207" t="n"/>
      <c r="BX1066" s="207" t="n"/>
      <c r="BY1066" s="204" t="n"/>
      <c r="BZ1066" s="148" t="n"/>
      <c r="CA1066" s="204" t="n"/>
      <c r="CB1066" s="208" t="n"/>
      <c r="CC1066" s="139" t="n"/>
      <c r="CD1066" s="204" t="n"/>
      <c r="CE1066" s="204" t="n"/>
      <c r="CF1066" s="207" t="n"/>
      <c r="CG1066" s="208" t="n"/>
      <c r="CH1066" s="207" t="n"/>
      <c r="CI1066" s="208" t="n"/>
      <c r="CJ1066" s="204" t="n"/>
      <c r="CK1066" s="208" t="n"/>
      <c r="CL1066" s="208" t="n"/>
      <c r="CM1066" s="208" t="n"/>
      <c r="CN1066" s="78" t="n"/>
      <c r="CO1066" s="209" t="n"/>
      <c r="CP1066" s="204" t="n"/>
      <c r="CQ1066" s="204" t="n"/>
      <c r="CR1066" s="204" t="n"/>
      <c r="CS1066" s="204" t="n"/>
      <c r="CT1066" s="204" t="n"/>
      <c r="CU1066" s="204" t="n"/>
      <c r="CV1066" s="204" t="n"/>
      <c r="CW1066" s="204" t="n"/>
    </row>
    <row r="1067">
      <c r="BF1067" s="78" t="n"/>
      <c r="BG1067" s="78" t="n"/>
      <c r="BH1067" s="78" t="n"/>
      <c r="BI1067" s="78" t="n"/>
      <c r="BJ1067" s="139" t="n"/>
      <c r="BK1067" s="204" t="n"/>
      <c r="BL1067" s="141" t="n"/>
      <c r="BM1067" s="205" t="n"/>
      <c r="BN1067" s="205" t="n"/>
      <c r="BO1067" s="206" t="n"/>
      <c r="BP1067" s="144" t="n"/>
      <c r="BQ1067" s="141" t="n"/>
      <c r="BR1067" s="207" t="n"/>
      <c r="BS1067" s="207" t="n"/>
      <c r="BT1067" s="207" t="n"/>
      <c r="BU1067" s="207" t="n"/>
      <c r="BV1067" s="208" t="n"/>
      <c r="BW1067" s="207" t="n"/>
      <c r="BX1067" s="207" t="n"/>
      <c r="BY1067" s="204" t="n"/>
      <c r="BZ1067" s="148" t="n"/>
      <c r="CA1067" s="204" t="n"/>
      <c r="CB1067" s="208" t="n"/>
      <c r="CC1067" s="139" t="n"/>
      <c r="CD1067" s="204" t="n"/>
      <c r="CE1067" s="204" t="n"/>
      <c r="CF1067" s="207" t="n"/>
      <c r="CG1067" s="208" t="n"/>
      <c r="CH1067" s="207" t="n"/>
      <c r="CI1067" s="208" t="n"/>
      <c r="CJ1067" s="204" t="n"/>
      <c r="CK1067" s="208" t="n"/>
      <c r="CL1067" s="208" t="n"/>
      <c r="CM1067" s="208" t="n"/>
      <c r="CN1067" s="78" t="n"/>
      <c r="CO1067" s="209" t="n"/>
      <c r="CP1067" s="204" t="n"/>
      <c r="CQ1067" s="204" t="n"/>
      <c r="CR1067" s="204" t="n"/>
      <c r="CS1067" s="204" t="n"/>
      <c r="CT1067" s="204" t="n"/>
      <c r="CU1067" s="204" t="n"/>
      <c r="CV1067" s="204" t="n"/>
      <c r="CW1067" s="204" t="n"/>
    </row>
    <row r="1068">
      <c r="BF1068" s="78" t="n"/>
      <c r="BG1068" s="78" t="n"/>
      <c r="BH1068" s="78" t="n"/>
      <c r="BI1068" s="78" t="n"/>
      <c r="BJ1068" s="139" t="n"/>
      <c r="BK1068" s="204" t="n"/>
      <c r="BL1068" s="141" t="n"/>
      <c r="BM1068" s="205" t="n"/>
      <c r="BN1068" s="205" t="n"/>
      <c r="BO1068" s="206" t="n"/>
      <c r="BP1068" s="144" t="n"/>
      <c r="BQ1068" s="141" t="n"/>
      <c r="BR1068" s="207" t="n"/>
      <c r="BS1068" s="207" t="n"/>
      <c r="BT1068" s="207" t="n"/>
      <c r="BU1068" s="207" t="n"/>
      <c r="BV1068" s="208" t="n"/>
      <c r="BW1068" s="207" t="n"/>
      <c r="BX1068" s="207" t="n"/>
      <c r="BY1068" s="204" t="n"/>
      <c r="BZ1068" s="148" t="n"/>
      <c r="CA1068" s="204" t="n"/>
      <c r="CB1068" s="208" t="n"/>
      <c r="CC1068" s="139" t="n"/>
      <c r="CD1068" s="204" t="n"/>
      <c r="CE1068" s="204" t="n"/>
      <c r="CF1068" s="207" t="n"/>
      <c r="CG1068" s="208" t="n"/>
      <c r="CH1068" s="207" t="n"/>
      <c r="CI1068" s="208" t="n"/>
      <c r="CJ1068" s="204" t="n"/>
      <c r="CK1068" s="208" t="n"/>
      <c r="CL1068" s="208" t="n"/>
      <c r="CM1068" s="208" t="n"/>
      <c r="CN1068" s="78" t="n"/>
      <c r="CO1068" s="209" t="n"/>
      <c r="CP1068" s="204" t="n"/>
      <c r="CQ1068" s="204" t="n"/>
      <c r="CR1068" s="204" t="n"/>
      <c r="CS1068" s="204" t="n"/>
      <c r="CT1068" s="204" t="n"/>
      <c r="CU1068" s="204" t="n"/>
      <c r="CV1068" s="204" t="n"/>
      <c r="CW1068" s="204" t="n"/>
    </row>
    <row r="1069">
      <c r="BF1069" s="78" t="n"/>
      <c r="BG1069" s="78" t="n"/>
      <c r="BH1069" s="78" t="n"/>
      <c r="BI1069" s="78" t="n"/>
      <c r="BJ1069" s="139" t="n"/>
      <c r="BK1069" s="204" t="n"/>
      <c r="BL1069" s="141" t="n"/>
      <c r="BM1069" s="205" t="n"/>
      <c r="BN1069" s="205" t="n"/>
      <c r="BO1069" s="206" t="n"/>
      <c r="BP1069" s="144" t="n"/>
      <c r="BQ1069" s="141" t="n"/>
      <c r="BR1069" s="207" t="n"/>
      <c r="BS1069" s="207" t="n"/>
      <c r="BT1069" s="207" t="n"/>
      <c r="BU1069" s="207" t="n"/>
      <c r="BV1069" s="208" t="n"/>
      <c r="BW1069" s="207" t="n"/>
      <c r="BX1069" s="207" t="n"/>
      <c r="BY1069" s="204" t="n"/>
      <c r="BZ1069" s="148" t="n"/>
      <c r="CA1069" s="204" t="n"/>
      <c r="CB1069" s="208" t="n"/>
      <c r="CC1069" s="139" t="n"/>
      <c r="CD1069" s="204" t="n"/>
      <c r="CE1069" s="204" t="n"/>
      <c r="CF1069" s="207" t="n"/>
      <c r="CG1069" s="208" t="n"/>
      <c r="CH1069" s="207" t="n"/>
      <c r="CI1069" s="208" t="n"/>
      <c r="CJ1069" s="204" t="n"/>
      <c r="CK1069" s="208" t="n"/>
      <c r="CL1069" s="208" t="n"/>
      <c r="CM1069" s="208" t="n"/>
      <c r="CN1069" s="78" t="n"/>
      <c r="CO1069" s="209" t="n"/>
      <c r="CP1069" s="204" t="n"/>
      <c r="CQ1069" s="204" t="n"/>
      <c r="CR1069" s="204" t="n"/>
      <c r="CS1069" s="204" t="n"/>
      <c r="CT1069" s="204" t="n"/>
      <c r="CU1069" s="204" t="n"/>
      <c r="CV1069" s="204" t="n"/>
      <c r="CW1069" s="204" t="n"/>
    </row>
    <row r="1070">
      <c r="BF1070" s="78" t="n"/>
      <c r="BG1070" s="78" t="n"/>
      <c r="BH1070" s="78" t="n"/>
      <c r="BI1070" s="78" t="n"/>
      <c r="BJ1070" s="139" t="n"/>
      <c r="BK1070" s="204" t="n"/>
      <c r="BL1070" s="141" t="n"/>
      <c r="BM1070" s="205" t="n"/>
      <c r="BN1070" s="205" t="n"/>
      <c r="BO1070" s="206" t="n"/>
      <c r="BP1070" s="144" t="n"/>
      <c r="BQ1070" s="141" t="n"/>
      <c r="BR1070" s="207" t="n"/>
      <c r="BS1070" s="207" t="n"/>
      <c r="BT1070" s="207" t="n"/>
      <c r="BU1070" s="207" t="n"/>
      <c r="BV1070" s="208" t="n"/>
      <c r="BW1070" s="207" t="n"/>
      <c r="BX1070" s="207" t="n"/>
      <c r="BY1070" s="204" t="n"/>
      <c r="BZ1070" s="148" t="n"/>
      <c r="CA1070" s="204" t="n"/>
      <c r="CB1070" s="208" t="n"/>
      <c r="CC1070" s="139" t="n"/>
      <c r="CD1070" s="204" t="n"/>
      <c r="CE1070" s="204" t="n"/>
      <c r="CF1070" s="207" t="n"/>
      <c r="CG1070" s="208" t="n"/>
      <c r="CH1070" s="207" t="n"/>
      <c r="CI1070" s="208" t="n"/>
      <c r="CJ1070" s="204" t="n"/>
      <c r="CK1070" s="208" t="n"/>
      <c r="CL1070" s="208" t="n"/>
      <c r="CM1070" s="208" t="n"/>
      <c r="CN1070" s="78" t="n"/>
      <c r="CO1070" s="209" t="n"/>
      <c r="CP1070" s="204" t="n"/>
      <c r="CQ1070" s="204" t="n"/>
      <c r="CR1070" s="204" t="n"/>
      <c r="CS1070" s="204" t="n"/>
      <c r="CT1070" s="204" t="n"/>
      <c r="CU1070" s="204" t="n"/>
      <c r="CV1070" s="204" t="n"/>
      <c r="CW1070" s="204" t="n"/>
    </row>
    <row r="1071">
      <c r="BF1071" s="78" t="n"/>
      <c r="BG1071" s="78" t="n"/>
      <c r="BH1071" s="78" t="n"/>
      <c r="BI1071" s="78" t="n"/>
      <c r="BJ1071" s="139" t="n"/>
      <c r="BK1071" s="204" t="n"/>
      <c r="BL1071" s="141" t="n"/>
      <c r="BM1071" s="205" t="n"/>
      <c r="BN1071" s="205" t="n"/>
      <c r="BO1071" s="206" t="n"/>
      <c r="BP1071" s="144" t="n"/>
      <c r="BQ1071" s="141" t="n"/>
      <c r="BR1071" s="207" t="n"/>
      <c r="BS1071" s="207" t="n"/>
      <c r="BT1071" s="207" t="n"/>
      <c r="BU1071" s="207" t="n"/>
      <c r="BV1071" s="208" t="n"/>
      <c r="BW1071" s="207" t="n"/>
      <c r="BX1071" s="207" t="n"/>
      <c r="BY1071" s="204" t="n"/>
      <c r="BZ1071" s="148" t="n"/>
      <c r="CA1071" s="204" t="n"/>
      <c r="CB1071" s="208" t="n"/>
      <c r="CC1071" s="139" t="n"/>
      <c r="CD1071" s="204" t="n"/>
      <c r="CE1071" s="204" t="n"/>
      <c r="CF1071" s="207" t="n"/>
      <c r="CG1071" s="208" t="n"/>
      <c r="CH1071" s="207" t="n"/>
      <c r="CI1071" s="208" t="n"/>
      <c r="CJ1071" s="204" t="n"/>
      <c r="CK1071" s="208" t="n"/>
      <c r="CL1071" s="208" t="n"/>
      <c r="CM1071" s="208" t="n"/>
      <c r="CN1071" s="78" t="n"/>
      <c r="CO1071" s="209" t="n"/>
      <c r="CP1071" s="204" t="n"/>
      <c r="CQ1071" s="204" t="n"/>
      <c r="CR1071" s="204" t="n"/>
      <c r="CS1071" s="204" t="n"/>
      <c r="CT1071" s="204" t="n"/>
      <c r="CU1071" s="204" t="n"/>
      <c r="CV1071" s="204" t="n"/>
      <c r="CW1071" s="204" t="n"/>
    </row>
    <row r="1072">
      <c r="BF1072" s="78" t="n"/>
      <c r="BG1072" s="78" t="n"/>
      <c r="BH1072" s="78" t="n"/>
      <c r="BI1072" s="78" t="n"/>
      <c r="BJ1072" s="139" t="n"/>
      <c r="BK1072" s="204" t="n"/>
      <c r="BL1072" s="141" t="n"/>
      <c r="BM1072" s="205" t="n"/>
      <c r="BN1072" s="205" t="n"/>
      <c r="BO1072" s="206" t="n"/>
      <c r="BP1072" s="144" t="n"/>
      <c r="BQ1072" s="141" t="n"/>
      <c r="BR1072" s="207" t="n"/>
      <c r="BS1072" s="207" t="n"/>
      <c r="BT1072" s="207" t="n"/>
      <c r="BU1072" s="207" t="n"/>
      <c r="BV1072" s="208" t="n"/>
      <c r="BW1072" s="207" t="n"/>
      <c r="BX1072" s="207" t="n"/>
      <c r="BY1072" s="204" t="n"/>
      <c r="BZ1072" s="148" t="n"/>
      <c r="CA1072" s="204" t="n"/>
      <c r="CB1072" s="208" t="n"/>
      <c r="CC1072" s="139" t="n"/>
      <c r="CD1072" s="204" t="n"/>
      <c r="CE1072" s="204" t="n"/>
      <c r="CF1072" s="207" t="n"/>
      <c r="CG1072" s="208" t="n"/>
      <c r="CH1072" s="207" t="n"/>
      <c r="CI1072" s="208" t="n"/>
      <c r="CJ1072" s="204" t="n"/>
      <c r="CK1072" s="208" t="n"/>
      <c r="CL1072" s="208" t="n"/>
      <c r="CM1072" s="208" t="n"/>
      <c r="CN1072" s="78" t="n"/>
      <c r="CO1072" s="209" t="n"/>
      <c r="CP1072" s="204" t="n"/>
      <c r="CQ1072" s="204" t="n"/>
      <c r="CR1072" s="204" t="n"/>
      <c r="CS1072" s="204" t="n"/>
      <c r="CT1072" s="204" t="n"/>
      <c r="CU1072" s="204" t="n"/>
      <c r="CV1072" s="204" t="n"/>
      <c r="CW1072" s="204" t="n"/>
    </row>
    <row r="1073">
      <c r="BF1073" s="78" t="n"/>
      <c r="BG1073" s="78" t="n"/>
      <c r="BH1073" s="78" t="n"/>
      <c r="BI1073" s="78" t="n"/>
      <c r="BJ1073" s="139" t="n"/>
      <c r="BK1073" s="204" t="n"/>
      <c r="BL1073" s="141" t="n"/>
      <c r="BM1073" s="205" t="n"/>
      <c r="BN1073" s="205" t="n"/>
      <c r="BO1073" s="206" t="n"/>
      <c r="BP1073" s="144" t="n"/>
      <c r="BQ1073" s="141" t="n"/>
      <c r="BR1073" s="207" t="n"/>
      <c r="BS1073" s="207" t="n"/>
      <c r="BT1073" s="207" t="n"/>
      <c r="BU1073" s="207" t="n"/>
      <c r="BV1073" s="208" t="n"/>
      <c r="BW1073" s="207" t="n"/>
      <c r="BX1073" s="207" t="n"/>
      <c r="BY1073" s="204" t="n"/>
      <c r="BZ1073" s="148" t="n"/>
      <c r="CA1073" s="204" t="n"/>
      <c r="CB1073" s="208" t="n"/>
      <c r="CC1073" s="139" t="n"/>
      <c r="CD1073" s="204" t="n"/>
      <c r="CE1073" s="204" t="n"/>
      <c r="CF1073" s="207" t="n"/>
      <c r="CG1073" s="208" t="n"/>
      <c r="CH1073" s="207" t="n"/>
      <c r="CI1073" s="208" t="n"/>
      <c r="CJ1073" s="204" t="n"/>
      <c r="CK1073" s="208" t="n"/>
      <c r="CL1073" s="208" t="n"/>
      <c r="CM1073" s="208" t="n"/>
      <c r="CN1073" s="78" t="n"/>
      <c r="CO1073" s="209" t="n"/>
      <c r="CP1073" s="204" t="n"/>
      <c r="CQ1073" s="204" t="n"/>
      <c r="CR1073" s="204" t="n"/>
      <c r="CS1073" s="204" t="n"/>
      <c r="CT1073" s="204" t="n"/>
      <c r="CU1073" s="204" t="n"/>
      <c r="CV1073" s="204" t="n"/>
      <c r="CW1073" s="204" t="n"/>
    </row>
    <row r="1074">
      <c r="BF1074" s="78" t="n"/>
      <c r="BG1074" s="78" t="n"/>
      <c r="BH1074" s="78" t="n"/>
      <c r="BI1074" s="78" t="n"/>
      <c r="BJ1074" s="139" t="n"/>
      <c r="BK1074" s="204" t="n"/>
      <c r="BL1074" s="141" t="n"/>
      <c r="BM1074" s="205" t="n"/>
      <c r="BN1074" s="205" t="n"/>
      <c r="BO1074" s="206" t="n"/>
      <c r="BP1074" s="144" t="n"/>
      <c r="BQ1074" s="141" t="n"/>
      <c r="BR1074" s="207" t="n"/>
      <c r="BS1074" s="207" t="n"/>
      <c r="BT1074" s="207" t="n"/>
      <c r="BU1074" s="207" t="n"/>
      <c r="BV1074" s="208" t="n"/>
      <c r="BW1074" s="207" t="n"/>
      <c r="BX1074" s="207" t="n"/>
      <c r="BY1074" s="204" t="n"/>
      <c r="BZ1074" s="148" t="n"/>
      <c r="CA1074" s="204" t="n"/>
      <c r="CB1074" s="208" t="n"/>
      <c r="CC1074" s="139" t="n"/>
      <c r="CD1074" s="204" t="n"/>
      <c r="CE1074" s="204" t="n"/>
      <c r="CF1074" s="207" t="n"/>
      <c r="CG1074" s="208" t="n"/>
      <c r="CH1074" s="207" t="n"/>
      <c r="CI1074" s="208" t="n"/>
      <c r="CJ1074" s="204" t="n"/>
      <c r="CK1074" s="208" t="n"/>
      <c r="CL1074" s="208" t="n"/>
      <c r="CM1074" s="208" t="n"/>
      <c r="CN1074" s="78" t="n"/>
      <c r="CO1074" s="209" t="n"/>
      <c r="CP1074" s="204" t="n"/>
      <c r="CQ1074" s="204" t="n"/>
      <c r="CR1074" s="204" t="n"/>
      <c r="CS1074" s="204" t="n"/>
      <c r="CT1074" s="204" t="n"/>
      <c r="CU1074" s="204" t="n"/>
      <c r="CV1074" s="204" t="n"/>
      <c r="CW1074" s="204" t="n"/>
    </row>
    <row r="1075">
      <c r="BF1075" s="78" t="n"/>
      <c r="BG1075" s="78" t="n"/>
      <c r="BH1075" s="78" t="n"/>
      <c r="BI1075" s="78" t="n"/>
      <c r="BJ1075" s="139" t="n"/>
      <c r="BK1075" s="204" t="n"/>
      <c r="BL1075" s="141" t="n"/>
      <c r="BM1075" s="205" t="n"/>
      <c r="BN1075" s="205" t="n"/>
      <c r="BO1075" s="206" t="n"/>
      <c r="BP1075" s="144" t="n"/>
      <c r="BQ1075" s="141" t="n"/>
      <c r="BR1075" s="207" t="n"/>
      <c r="BS1075" s="207" t="n"/>
      <c r="BT1075" s="207" t="n"/>
      <c r="BU1075" s="207" t="n"/>
      <c r="BV1075" s="208" t="n"/>
      <c r="BW1075" s="207" t="n"/>
      <c r="BX1075" s="207" t="n"/>
      <c r="BY1075" s="204" t="n"/>
      <c r="BZ1075" s="148" t="n"/>
      <c r="CA1075" s="204" t="n"/>
      <c r="CB1075" s="208" t="n"/>
      <c r="CC1075" s="139" t="n"/>
      <c r="CD1075" s="204" t="n"/>
      <c r="CE1075" s="204" t="n"/>
      <c r="CF1075" s="207" t="n"/>
      <c r="CG1075" s="208" t="n"/>
      <c r="CH1075" s="207" t="n"/>
      <c r="CI1075" s="208" t="n"/>
      <c r="CJ1075" s="204" t="n"/>
      <c r="CK1075" s="208" t="n"/>
      <c r="CL1075" s="208" t="n"/>
      <c r="CM1075" s="208" t="n"/>
      <c r="CN1075" s="78" t="n"/>
      <c r="CO1075" s="209" t="n"/>
      <c r="CP1075" s="204" t="n"/>
      <c r="CQ1075" s="204" t="n"/>
      <c r="CR1075" s="204" t="n"/>
      <c r="CS1075" s="204" t="n"/>
      <c r="CT1075" s="204" t="n"/>
      <c r="CU1075" s="204" t="n"/>
      <c r="CV1075" s="204" t="n"/>
      <c r="CW1075" s="204" t="n"/>
    </row>
    <row r="1076">
      <c r="BF1076" s="78" t="n"/>
      <c r="BG1076" s="78" t="n"/>
      <c r="BH1076" s="78" t="n"/>
      <c r="BI1076" s="78" t="n"/>
      <c r="BJ1076" s="139" t="n"/>
      <c r="BK1076" s="204" t="n"/>
      <c r="BL1076" s="141" t="n"/>
      <c r="BM1076" s="205" t="n"/>
      <c r="BN1076" s="205" t="n"/>
      <c r="BO1076" s="206" t="n"/>
      <c r="BP1076" s="144" t="n"/>
      <c r="BQ1076" s="141" t="n"/>
      <c r="BR1076" s="207" t="n"/>
      <c r="BS1076" s="207" t="n"/>
      <c r="BT1076" s="207" t="n"/>
      <c r="BU1076" s="207" t="n"/>
      <c r="BV1076" s="208" t="n"/>
      <c r="BW1076" s="207" t="n"/>
      <c r="BX1076" s="207" t="n"/>
      <c r="BY1076" s="204" t="n"/>
      <c r="BZ1076" s="148" t="n"/>
      <c r="CA1076" s="204" t="n"/>
      <c r="CB1076" s="208" t="n"/>
      <c r="CC1076" s="139" t="n"/>
      <c r="CD1076" s="204" t="n"/>
      <c r="CE1076" s="204" t="n"/>
      <c r="CF1076" s="207" t="n"/>
      <c r="CG1076" s="208" t="n"/>
      <c r="CH1076" s="207" t="n"/>
      <c r="CI1076" s="208" t="n"/>
      <c r="CJ1076" s="204" t="n"/>
      <c r="CK1076" s="208" t="n"/>
      <c r="CL1076" s="208" t="n"/>
      <c r="CM1076" s="208" t="n"/>
      <c r="CN1076" s="78" t="n"/>
      <c r="CO1076" s="209" t="n"/>
      <c r="CP1076" s="204" t="n"/>
      <c r="CQ1076" s="204" t="n"/>
      <c r="CR1076" s="204" t="n"/>
      <c r="CS1076" s="204" t="n"/>
      <c r="CT1076" s="204" t="n"/>
      <c r="CU1076" s="204" t="n"/>
      <c r="CV1076" s="204" t="n"/>
      <c r="CW1076" s="204" t="n"/>
    </row>
    <row r="1077">
      <c r="BF1077" s="78" t="n"/>
      <c r="BG1077" s="78" t="n"/>
      <c r="BH1077" s="78" t="n"/>
      <c r="BI1077" s="78" t="n"/>
      <c r="BJ1077" s="139" t="n"/>
      <c r="BK1077" s="204" t="n"/>
      <c r="BL1077" s="141" t="n"/>
      <c r="BM1077" s="205" t="n"/>
      <c r="BN1077" s="205" t="n"/>
      <c r="BO1077" s="206" t="n"/>
      <c r="BP1077" s="144" t="n"/>
      <c r="BQ1077" s="141" t="n"/>
      <c r="BR1077" s="207" t="n"/>
      <c r="BS1077" s="207" t="n"/>
      <c r="BT1077" s="207" t="n"/>
      <c r="BU1077" s="207" t="n"/>
      <c r="BV1077" s="208" t="n"/>
      <c r="BW1077" s="207" t="n"/>
      <c r="BX1077" s="207" t="n"/>
      <c r="BY1077" s="204" t="n"/>
      <c r="BZ1077" s="148" t="n"/>
      <c r="CA1077" s="204" t="n"/>
      <c r="CB1077" s="208" t="n"/>
      <c r="CC1077" s="139" t="n"/>
      <c r="CD1077" s="204" t="n"/>
      <c r="CE1077" s="204" t="n"/>
      <c r="CF1077" s="207" t="n"/>
      <c r="CG1077" s="208" t="n"/>
      <c r="CH1077" s="207" t="n"/>
      <c r="CI1077" s="208" t="n"/>
      <c r="CJ1077" s="204" t="n"/>
      <c r="CK1077" s="208" t="n"/>
      <c r="CL1077" s="208" t="n"/>
      <c r="CM1077" s="208" t="n"/>
      <c r="CN1077" s="78" t="n"/>
      <c r="CO1077" s="209" t="n"/>
      <c r="CP1077" s="204" t="n"/>
      <c r="CQ1077" s="204" t="n"/>
      <c r="CR1077" s="204" t="n"/>
      <c r="CS1077" s="204" t="n"/>
      <c r="CT1077" s="204" t="n"/>
      <c r="CU1077" s="204" t="n"/>
      <c r="CV1077" s="204" t="n"/>
      <c r="CW1077" s="204" t="n"/>
    </row>
    <row r="1078">
      <c r="BF1078" s="78" t="n"/>
      <c r="BG1078" s="78" t="n"/>
      <c r="BH1078" s="78" t="n"/>
      <c r="BI1078" s="78" t="n"/>
      <c r="BJ1078" s="139" t="n"/>
      <c r="BK1078" s="204" t="n"/>
      <c r="BL1078" s="141" t="n"/>
      <c r="BM1078" s="205" t="n"/>
      <c r="BN1078" s="205" t="n"/>
      <c r="BO1078" s="206" t="n"/>
      <c r="BP1078" s="144" t="n"/>
      <c r="BQ1078" s="141" t="n"/>
      <c r="BR1078" s="207" t="n"/>
      <c r="BS1078" s="207" t="n"/>
      <c r="BT1078" s="207" t="n"/>
      <c r="BU1078" s="207" t="n"/>
      <c r="BV1078" s="208" t="n"/>
      <c r="BW1078" s="207" t="n"/>
      <c r="BX1078" s="207" t="n"/>
      <c r="BY1078" s="204" t="n"/>
      <c r="BZ1078" s="148" t="n"/>
      <c r="CA1078" s="204" t="n"/>
      <c r="CB1078" s="208" t="n"/>
      <c r="CC1078" s="139" t="n"/>
      <c r="CD1078" s="204" t="n"/>
      <c r="CE1078" s="204" t="n"/>
      <c r="CF1078" s="207" t="n"/>
      <c r="CG1078" s="208" t="n"/>
      <c r="CH1078" s="207" t="n"/>
      <c r="CI1078" s="208" t="n"/>
      <c r="CJ1078" s="204" t="n"/>
      <c r="CK1078" s="208" t="n"/>
      <c r="CL1078" s="208" t="n"/>
      <c r="CM1078" s="208" t="n"/>
      <c r="CN1078" s="78" t="n"/>
      <c r="CO1078" s="209" t="n"/>
      <c r="CP1078" s="204" t="n"/>
      <c r="CQ1078" s="204" t="n"/>
      <c r="CR1078" s="204" t="n"/>
      <c r="CS1078" s="204" t="n"/>
      <c r="CT1078" s="204" t="n"/>
      <c r="CU1078" s="204" t="n"/>
      <c r="CV1078" s="204" t="n"/>
      <c r="CW1078" s="204" t="n"/>
    </row>
    <row r="1079">
      <c r="BF1079" s="78" t="n"/>
      <c r="BG1079" s="78" t="n"/>
      <c r="BH1079" s="78" t="n"/>
      <c r="BI1079" s="78" t="n"/>
      <c r="BJ1079" s="139" t="n"/>
      <c r="BK1079" s="204" t="n"/>
      <c r="BL1079" s="141" t="n"/>
      <c r="BM1079" s="205" t="n"/>
      <c r="BN1079" s="205" t="n"/>
      <c r="BO1079" s="206" t="n"/>
      <c r="BP1079" s="144" t="n"/>
      <c r="BQ1079" s="141" t="n"/>
      <c r="BR1079" s="207" t="n"/>
      <c r="BS1079" s="207" t="n"/>
      <c r="BT1079" s="207" t="n"/>
      <c r="BU1079" s="207" t="n"/>
      <c r="BV1079" s="208" t="n"/>
      <c r="BW1079" s="207" t="n"/>
      <c r="BX1079" s="207" t="n"/>
      <c r="BY1079" s="204" t="n"/>
      <c r="BZ1079" s="148" t="n"/>
      <c r="CA1079" s="204" t="n"/>
      <c r="CB1079" s="208" t="n"/>
      <c r="CC1079" s="139" t="n"/>
      <c r="CD1079" s="204" t="n"/>
      <c r="CE1079" s="204" t="n"/>
      <c r="CF1079" s="207" t="n"/>
      <c r="CG1079" s="208" t="n"/>
      <c r="CH1079" s="207" t="n"/>
      <c r="CI1079" s="208" t="n"/>
      <c r="CJ1079" s="204" t="n"/>
      <c r="CK1079" s="208" t="n"/>
      <c r="CL1079" s="208" t="n"/>
      <c r="CM1079" s="208" t="n"/>
      <c r="CN1079" s="78" t="n"/>
      <c r="CO1079" s="209" t="n"/>
      <c r="CP1079" s="204" t="n"/>
      <c r="CQ1079" s="204" t="n"/>
      <c r="CR1079" s="204" t="n"/>
      <c r="CS1079" s="204" t="n"/>
      <c r="CT1079" s="204" t="n"/>
      <c r="CU1079" s="204" t="n"/>
      <c r="CV1079" s="204" t="n"/>
      <c r="CW1079" s="204" t="n"/>
    </row>
    <row r="1080">
      <c r="BF1080" s="78" t="n"/>
      <c r="BG1080" s="78" t="n"/>
      <c r="BH1080" s="78" t="n"/>
      <c r="BI1080" s="78" t="n"/>
      <c r="BJ1080" s="139" t="n"/>
      <c r="BK1080" s="204" t="n"/>
      <c r="BL1080" s="141" t="n"/>
      <c r="BM1080" s="205" t="n"/>
      <c r="BN1080" s="205" t="n"/>
      <c r="BO1080" s="206" t="n"/>
      <c r="BP1080" s="144" t="n"/>
      <c r="BQ1080" s="141" t="n"/>
      <c r="BR1080" s="207" t="n"/>
      <c r="BS1080" s="207" t="n"/>
      <c r="BT1080" s="207" t="n"/>
      <c r="BU1080" s="207" t="n"/>
      <c r="BV1080" s="208" t="n"/>
      <c r="BW1080" s="207" t="n"/>
      <c r="BX1080" s="207" t="n"/>
      <c r="BY1080" s="204" t="n"/>
      <c r="BZ1080" s="148" t="n"/>
      <c r="CA1080" s="204" t="n"/>
      <c r="CB1080" s="208" t="n"/>
      <c r="CC1080" s="139" t="n"/>
      <c r="CD1080" s="204" t="n"/>
      <c r="CE1080" s="204" t="n"/>
      <c r="CF1080" s="207" t="n"/>
      <c r="CG1080" s="208" t="n"/>
      <c r="CH1080" s="207" t="n"/>
      <c r="CI1080" s="208" t="n"/>
      <c r="CJ1080" s="204" t="n"/>
      <c r="CK1080" s="208" t="n"/>
      <c r="CL1080" s="208" t="n"/>
      <c r="CM1080" s="208" t="n"/>
      <c r="CN1080" s="78" t="n"/>
      <c r="CO1080" s="209" t="n"/>
      <c r="CP1080" s="204" t="n"/>
      <c r="CQ1080" s="204" t="n"/>
      <c r="CR1080" s="204" t="n"/>
      <c r="CS1080" s="204" t="n"/>
      <c r="CT1080" s="204" t="n"/>
      <c r="CU1080" s="204" t="n"/>
      <c r="CV1080" s="204" t="n"/>
      <c r="CW1080" s="204" t="n"/>
    </row>
    <row r="1081">
      <c r="BF1081" s="78" t="n"/>
      <c r="BG1081" s="78" t="n"/>
      <c r="BH1081" s="78" t="n"/>
      <c r="BI1081" s="78" t="n"/>
      <c r="BJ1081" s="139" t="n"/>
      <c r="BK1081" s="204" t="n"/>
      <c r="BL1081" s="141" t="n"/>
      <c r="BM1081" s="205" t="n"/>
      <c r="BN1081" s="205" t="n"/>
      <c r="BO1081" s="206" t="n"/>
      <c r="BP1081" s="144" t="n"/>
      <c r="BQ1081" s="141" t="n"/>
      <c r="BR1081" s="207" t="n"/>
      <c r="BS1081" s="207" t="n"/>
      <c r="BT1081" s="207" t="n"/>
      <c r="BU1081" s="207" t="n"/>
      <c r="BV1081" s="208" t="n"/>
      <c r="BW1081" s="207" t="n"/>
      <c r="BX1081" s="207" t="n"/>
      <c r="BY1081" s="204" t="n"/>
      <c r="BZ1081" s="148" t="n"/>
      <c r="CA1081" s="204" t="n"/>
      <c r="CB1081" s="208" t="n"/>
      <c r="CC1081" s="139" t="n"/>
      <c r="CD1081" s="204" t="n"/>
      <c r="CE1081" s="204" t="n"/>
      <c r="CF1081" s="207" t="n"/>
      <c r="CG1081" s="208" t="n"/>
      <c r="CH1081" s="207" t="n"/>
      <c r="CI1081" s="208" t="n"/>
      <c r="CJ1081" s="204" t="n"/>
      <c r="CK1081" s="208" t="n"/>
      <c r="CL1081" s="208" t="n"/>
      <c r="CM1081" s="208" t="n"/>
      <c r="CN1081" s="78" t="n"/>
      <c r="CO1081" s="209" t="n"/>
      <c r="CP1081" s="204" t="n"/>
      <c r="CQ1081" s="204" t="n"/>
      <c r="CR1081" s="204" t="n"/>
      <c r="CS1081" s="204" t="n"/>
      <c r="CT1081" s="204" t="n"/>
      <c r="CU1081" s="204" t="n"/>
      <c r="CV1081" s="204" t="n"/>
      <c r="CW1081" s="204" t="n"/>
    </row>
    <row r="1082">
      <c r="BF1082" s="78" t="n"/>
      <c r="BG1082" s="78" t="n"/>
      <c r="BH1082" s="78" t="n"/>
      <c r="BI1082" s="78" t="n"/>
      <c r="BJ1082" s="139" t="n"/>
      <c r="BK1082" s="204" t="n"/>
      <c r="BL1082" s="141" t="n"/>
      <c r="BM1082" s="205" t="n"/>
      <c r="BN1082" s="205" t="n"/>
      <c r="BO1082" s="206" t="n"/>
      <c r="BP1082" s="144" t="n"/>
      <c r="BQ1082" s="141" t="n"/>
      <c r="BR1082" s="207" t="n"/>
      <c r="BS1082" s="207" t="n"/>
      <c r="BT1082" s="207" t="n"/>
      <c r="BU1082" s="207" t="n"/>
      <c r="BV1082" s="208" t="n"/>
      <c r="BW1082" s="207" t="n"/>
      <c r="BX1082" s="207" t="n"/>
      <c r="BY1082" s="204" t="n"/>
      <c r="BZ1082" s="148" t="n"/>
      <c r="CA1082" s="204" t="n"/>
      <c r="CB1082" s="208" t="n"/>
      <c r="CC1082" s="139" t="n"/>
      <c r="CD1082" s="204" t="n"/>
      <c r="CE1082" s="204" t="n"/>
      <c r="CF1082" s="207" t="n"/>
      <c r="CG1082" s="208" t="n"/>
      <c r="CH1082" s="207" t="n"/>
      <c r="CI1082" s="208" t="n"/>
      <c r="CJ1082" s="204" t="n"/>
      <c r="CK1082" s="208" t="n"/>
      <c r="CL1082" s="208" t="n"/>
      <c r="CM1082" s="208" t="n"/>
      <c r="CN1082" s="78" t="n"/>
      <c r="CO1082" s="209" t="n"/>
      <c r="CP1082" s="204" t="n"/>
      <c r="CQ1082" s="204" t="n"/>
      <c r="CR1082" s="204" t="n"/>
      <c r="CS1082" s="204" t="n"/>
      <c r="CT1082" s="204" t="n"/>
      <c r="CU1082" s="204" t="n"/>
      <c r="CV1082" s="204" t="n"/>
      <c r="CW1082" s="204" t="n"/>
    </row>
    <row r="1083">
      <c r="BF1083" s="78" t="n"/>
      <c r="BG1083" s="78" t="n"/>
      <c r="BH1083" s="78" t="n"/>
      <c r="BI1083" s="78" t="n"/>
      <c r="BJ1083" s="139" t="n"/>
      <c r="BK1083" s="204" t="n"/>
      <c r="BL1083" s="141" t="n"/>
      <c r="BM1083" s="205" t="n"/>
      <c r="BN1083" s="205" t="n"/>
      <c r="BO1083" s="206" t="n"/>
      <c r="BP1083" s="144" t="n"/>
      <c r="BQ1083" s="141" t="n"/>
      <c r="BR1083" s="207" t="n"/>
      <c r="BS1083" s="207" t="n"/>
      <c r="BT1083" s="207" t="n"/>
      <c r="BU1083" s="207" t="n"/>
      <c r="BV1083" s="208" t="n"/>
      <c r="BW1083" s="207" t="n"/>
      <c r="BX1083" s="207" t="n"/>
      <c r="BY1083" s="204" t="n"/>
      <c r="BZ1083" s="148" t="n"/>
      <c r="CA1083" s="204" t="n"/>
      <c r="CB1083" s="208" t="n"/>
      <c r="CC1083" s="139" t="n"/>
      <c r="CD1083" s="204" t="n"/>
      <c r="CE1083" s="204" t="n"/>
      <c r="CF1083" s="207" t="n"/>
      <c r="CG1083" s="208" t="n"/>
      <c r="CH1083" s="207" t="n"/>
      <c r="CI1083" s="208" t="n"/>
      <c r="CJ1083" s="204" t="n"/>
      <c r="CK1083" s="208" t="n"/>
      <c r="CL1083" s="208" t="n"/>
      <c r="CM1083" s="208" t="n"/>
      <c r="CN1083" s="78" t="n"/>
      <c r="CO1083" s="209" t="n"/>
      <c r="CP1083" s="204" t="n"/>
      <c r="CQ1083" s="204" t="n"/>
      <c r="CR1083" s="204" t="n"/>
      <c r="CS1083" s="204" t="n"/>
      <c r="CT1083" s="204" t="n"/>
      <c r="CU1083" s="204" t="n"/>
      <c r="CV1083" s="204" t="n"/>
      <c r="CW1083" s="204" t="n"/>
    </row>
    <row r="1084">
      <c r="BF1084" s="78" t="n"/>
      <c r="BG1084" s="78" t="n"/>
      <c r="BH1084" s="78" t="n"/>
      <c r="BI1084" s="78" t="n"/>
      <c r="BJ1084" s="139" t="n"/>
      <c r="BK1084" s="204" t="n"/>
      <c r="BL1084" s="141" t="n"/>
      <c r="BM1084" s="205" t="n"/>
      <c r="BN1084" s="205" t="n"/>
      <c r="BO1084" s="206" t="n"/>
      <c r="BP1084" s="144" t="n"/>
      <c r="BQ1084" s="141" t="n"/>
      <c r="BR1084" s="207" t="n"/>
      <c r="BS1084" s="207" t="n"/>
      <c r="BT1084" s="207" t="n"/>
      <c r="BU1084" s="207" t="n"/>
      <c r="BV1084" s="208" t="n"/>
      <c r="BW1084" s="207" t="n"/>
      <c r="BX1084" s="207" t="n"/>
      <c r="BY1084" s="204" t="n"/>
      <c r="BZ1084" s="148" t="n"/>
      <c r="CA1084" s="204" t="n"/>
      <c r="CB1084" s="208" t="n"/>
      <c r="CC1084" s="139" t="n"/>
      <c r="CD1084" s="204" t="n"/>
      <c r="CE1084" s="204" t="n"/>
      <c r="CF1084" s="207" t="n"/>
      <c r="CG1084" s="208" t="n"/>
      <c r="CH1084" s="207" t="n"/>
      <c r="CI1084" s="208" t="n"/>
      <c r="CJ1084" s="204" t="n"/>
      <c r="CK1084" s="208" t="n"/>
      <c r="CL1084" s="208" t="n"/>
      <c r="CM1084" s="208" t="n"/>
      <c r="CN1084" s="78" t="n"/>
      <c r="CO1084" s="209" t="n"/>
      <c r="CP1084" s="204" t="n"/>
      <c r="CQ1084" s="204" t="n"/>
      <c r="CR1084" s="204" t="n"/>
      <c r="CS1084" s="204" t="n"/>
      <c r="CT1084" s="204" t="n"/>
      <c r="CU1084" s="204" t="n"/>
      <c r="CV1084" s="204" t="n"/>
      <c r="CW1084" s="204" t="n"/>
    </row>
    <row r="1085">
      <c r="BF1085" s="78" t="n"/>
      <c r="BG1085" s="78" t="n"/>
      <c r="BH1085" s="78" t="n"/>
      <c r="BI1085" s="78" t="n"/>
      <c r="BJ1085" s="139" t="n"/>
      <c r="BK1085" s="204" t="n"/>
      <c r="BL1085" s="141" t="n"/>
      <c r="BM1085" s="205" t="n"/>
      <c r="BN1085" s="205" t="n"/>
      <c r="BO1085" s="206" t="n"/>
      <c r="BP1085" s="144" t="n"/>
      <c r="BQ1085" s="141" t="n"/>
      <c r="BR1085" s="207" t="n"/>
      <c r="BS1085" s="207" t="n"/>
      <c r="BT1085" s="207" t="n"/>
      <c r="BU1085" s="207" t="n"/>
      <c r="BV1085" s="208" t="n"/>
      <c r="BW1085" s="207" t="n"/>
      <c r="BX1085" s="207" t="n"/>
      <c r="BY1085" s="204" t="n"/>
      <c r="BZ1085" s="148" t="n"/>
      <c r="CA1085" s="204" t="n"/>
      <c r="CB1085" s="208" t="n"/>
      <c r="CC1085" s="139" t="n"/>
      <c r="CD1085" s="204" t="n"/>
      <c r="CE1085" s="204" t="n"/>
      <c r="CF1085" s="207" t="n"/>
      <c r="CG1085" s="208" t="n"/>
      <c r="CH1085" s="207" t="n"/>
      <c r="CI1085" s="208" t="n"/>
      <c r="CJ1085" s="204" t="n"/>
      <c r="CK1085" s="208" t="n"/>
      <c r="CL1085" s="208" t="n"/>
      <c r="CM1085" s="208" t="n"/>
      <c r="CN1085" s="78" t="n"/>
      <c r="CO1085" s="209" t="n"/>
      <c r="CP1085" s="204" t="n"/>
      <c r="CQ1085" s="204" t="n"/>
      <c r="CR1085" s="204" t="n"/>
      <c r="CS1085" s="204" t="n"/>
      <c r="CT1085" s="204" t="n"/>
      <c r="CU1085" s="204" t="n"/>
      <c r="CV1085" s="204" t="n"/>
      <c r="CW1085" s="204" t="n"/>
    </row>
    <row r="1086">
      <c r="BF1086" s="78" t="n"/>
      <c r="BG1086" s="78" t="n"/>
      <c r="BH1086" s="78" t="n"/>
      <c r="BI1086" s="78" t="n"/>
      <c r="BJ1086" s="139" t="n"/>
      <c r="BK1086" s="204" t="n"/>
      <c r="BL1086" s="141" t="n"/>
      <c r="BM1086" s="205" t="n"/>
      <c r="BN1086" s="205" t="n"/>
      <c r="BO1086" s="206" t="n"/>
      <c r="BP1086" s="144" t="n"/>
      <c r="BQ1086" s="141" t="n"/>
      <c r="BR1086" s="207" t="n"/>
      <c r="BS1086" s="207" t="n"/>
      <c r="BT1086" s="207" t="n"/>
      <c r="BU1086" s="207" t="n"/>
      <c r="BV1086" s="208" t="n"/>
      <c r="BW1086" s="207" t="n"/>
      <c r="BX1086" s="207" t="n"/>
      <c r="BY1086" s="204" t="n"/>
      <c r="BZ1086" s="148" t="n"/>
      <c r="CA1086" s="204" t="n"/>
      <c r="CB1086" s="208" t="n"/>
      <c r="CC1086" s="139" t="n"/>
      <c r="CD1086" s="204" t="n"/>
      <c r="CE1086" s="204" t="n"/>
      <c r="CF1086" s="207" t="n"/>
      <c r="CG1086" s="208" t="n"/>
      <c r="CH1086" s="207" t="n"/>
      <c r="CI1086" s="208" t="n"/>
      <c r="CJ1086" s="204" t="n"/>
      <c r="CK1086" s="208" t="n"/>
      <c r="CL1086" s="208" t="n"/>
      <c r="CM1086" s="208" t="n"/>
      <c r="CN1086" s="78" t="n"/>
      <c r="CO1086" s="209" t="n"/>
      <c r="CP1086" s="204" t="n"/>
      <c r="CQ1086" s="204" t="n"/>
      <c r="CR1086" s="204" t="n"/>
      <c r="CS1086" s="204" t="n"/>
      <c r="CT1086" s="204" t="n"/>
      <c r="CU1086" s="204" t="n"/>
      <c r="CV1086" s="204" t="n"/>
      <c r="CW1086" s="204" t="n"/>
    </row>
    <row r="1087">
      <c r="BF1087" s="78" t="n"/>
      <c r="BG1087" s="78" t="n"/>
      <c r="BH1087" s="78" t="n"/>
      <c r="BI1087" s="78" t="n"/>
      <c r="BJ1087" s="139" t="n"/>
      <c r="BK1087" s="204" t="n"/>
      <c r="BL1087" s="141" t="n"/>
      <c r="BM1087" s="205" t="n"/>
      <c r="BN1087" s="205" t="n"/>
      <c r="BO1087" s="206" t="n"/>
      <c r="BP1087" s="144" t="n"/>
      <c r="BQ1087" s="141" t="n"/>
      <c r="BR1087" s="207" t="n"/>
      <c r="BS1087" s="207" t="n"/>
      <c r="BT1087" s="207" t="n"/>
      <c r="BU1087" s="207" t="n"/>
      <c r="BV1087" s="208" t="n"/>
      <c r="BW1087" s="207" t="n"/>
      <c r="BX1087" s="207" t="n"/>
      <c r="BY1087" s="204" t="n"/>
      <c r="BZ1087" s="148" t="n"/>
      <c r="CA1087" s="204" t="n"/>
      <c r="CB1087" s="208" t="n"/>
      <c r="CC1087" s="139" t="n"/>
      <c r="CD1087" s="204" t="n"/>
      <c r="CE1087" s="204" t="n"/>
      <c r="CF1087" s="207" t="n"/>
      <c r="CG1087" s="208" t="n"/>
      <c r="CH1087" s="207" t="n"/>
      <c r="CI1087" s="208" t="n"/>
      <c r="CJ1087" s="204" t="n"/>
      <c r="CK1087" s="208" t="n"/>
      <c r="CL1087" s="208" t="n"/>
      <c r="CM1087" s="208" t="n"/>
      <c r="CN1087" s="78" t="n"/>
      <c r="CO1087" s="209" t="n"/>
      <c r="CP1087" s="204" t="n"/>
      <c r="CQ1087" s="204" t="n"/>
      <c r="CR1087" s="204" t="n"/>
      <c r="CS1087" s="204" t="n"/>
      <c r="CT1087" s="204" t="n"/>
      <c r="CU1087" s="204" t="n"/>
      <c r="CV1087" s="204" t="n"/>
      <c r="CW1087" s="204" t="n"/>
    </row>
    <row r="1088">
      <c r="BF1088" s="78" t="n"/>
      <c r="BG1088" s="78" t="n"/>
      <c r="BH1088" s="78" t="n"/>
      <c r="BI1088" s="78" t="n"/>
      <c r="BJ1088" s="139" t="n"/>
      <c r="BK1088" s="204" t="n"/>
      <c r="BL1088" s="141" t="n"/>
      <c r="BM1088" s="205" t="n"/>
      <c r="BN1088" s="205" t="n"/>
      <c r="BO1088" s="206" t="n"/>
      <c r="BP1088" s="144" t="n"/>
      <c r="BQ1088" s="141" t="n"/>
      <c r="BR1088" s="207" t="n"/>
      <c r="BS1088" s="207" t="n"/>
      <c r="BT1088" s="207" t="n"/>
      <c r="BU1088" s="207" t="n"/>
      <c r="BV1088" s="208" t="n"/>
      <c r="BW1088" s="207" t="n"/>
      <c r="BX1088" s="207" t="n"/>
      <c r="BY1088" s="204" t="n"/>
      <c r="BZ1088" s="148" t="n"/>
      <c r="CA1088" s="204" t="n"/>
      <c r="CB1088" s="208" t="n"/>
      <c r="CC1088" s="139" t="n"/>
      <c r="CD1088" s="204" t="n"/>
      <c r="CE1088" s="204" t="n"/>
      <c r="CF1088" s="207" t="n"/>
      <c r="CG1088" s="208" t="n"/>
      <c r="CH1088" s="207" t="n"/>
      <c r="CI1088" s="208" t="n"/>
      <c r="CJ1088" s="204" t="n"/>
      <c r="CK1088" s="208" t="n"/>
      <c r="CL1088" s="208" t="n"/>
      <c r="CM1088" s="208" t="n"/>
      <c r="CN1088" s="78" t="n"/>
      <c r="CO1088" s="209" t="n"/>
      <c r="CP1088" s="204" t="n"/>
      <c r="CQ1088" s="204" t="n"/>
      <c r="CR1088" s="204" t="n"/>
      <c r="CS1088" s="204" t="n"/>
      <c r="CT1088" s="204" t="n"/>
      <c r="CU1088" s="204" t="n"/>
      <c r="CV1088" s="204" t="n"/>
      <c r="CW1088" s="204" t="n"/>
    </row>
    <row r="1089">
      <c r="BF1089" s="78" t="n"/>
      <c r="BG1089" s="78" t="n"/>
      <c r="BH1089" s="78" t="n"/>
      <c r="BI1089" s="78" t="n"/>
      <c r="BJ1089" s="139" t="n"/>
      <c r="BK1089" s="204" t="n"/>
      <c r="BL1089" s="141" t="n"/>
      <c r="BM1089" s="205" t="n"/>
      <c r="BN1089" s="205" t="n"/>
      <c r="BO1089" s="206" t="n"/>
      <c r="BP1089" s="144" t="n"/>
      <c r="BQ1089" s="141" t="n"/>
      <c r="BR1089" s="207" t="n"/>
      <c r="BS1089" s="207" t="n"/>
      <c r="BT1089" s="207" t="n"/>
      <c r="BU1089" s="207" t="n"/>
      <c r="BV1089" s="208" t="n"/>
      <c r="BW1089" s="207" t="n"/>
      <c r="BX1089" s="207" t="n"/>
      <c r="BY1089" s="204" t="n"/>
      <c r="BZ1089" s="148" t="n"/>
      <c r="CA1089" s="204" t="n"/>
      <c r="CB1089" s="208" t="n"/>
      <c r="CC1089" s="139" t="n"/>
      <c r="CD1089" s="204" t="n"/>
      <c r="CE1089" s="204" t="n"/>
      <c r="CF1089" s="207" t="n"/>
      <c r="CG1089" s="208" t="n"/>
      <c r="CH1089" s="207" t="n"/>
      <c r="CI1089" s="208" t="n"/>
      <c r="CJ1089" s="204" t="n"/>
      <c r="CK1089" s="208" t="n"/>
      <c r="CL1089" s="208" t="n"/>
      <c r="CM1089" s="208" t="n"/>
      <c r="CN1089" s="78" t="n"/>
      <c r="CO1089" s="209" t="n"/>
      <c r="CP1089" s="204" t="n"/>
      <c r="CQ1089" s="204" t="n"/>
      <c r="CR1089" s="204" t="n"/>
      <c r="CS1089" s="204" t="n"/>
      <c r="CT1089" s="204" t="n"/>
      <c r="CU1089" s="204" t="n"/>
      <c r="CV1089" s="204" t="n"/>
      <c r="CW1089" s="204" t="n"/>
    </row>
    <row r="1090">
      <c r="BF1090" s="78" t="n"/>
      <c r="BG1090" s="78" t="n"/>
      <c r="BH1090" s="78" t="n"/>
      <c r="BI1090" s="78" t="n"/>
      <c r="BJ1090" s="139" t="n"/>
      <c r="BK1090" s="204" t="n"/>
      <c r="BL1090" s="141" t="n"/>
      <c r="BM1090" s="205" t="n"/>
      <c r="BN1090" s="205" t="n"/>
      <c r="BO1090" s="206" t="n"/>
      <c r="BP1090" s="144" t="n"/>
      <c r="BQ1090" s="141" t="n"/>
      <c r="BR1090" s="207" t="n"/>
      <c r="BS1090" s="207" t="n"/>
      <c r="BT1090" s="207" t="n"/>
      <c r="BU1090" s="207" t="n"/>
      <c r="BV1090" s="208" t="n"/>
      <c r="BW1090" s="207" t="n"/>
      <c r="BX1090" s="207" t="n"/>
      <c r="BY1090" s="204" t="n"/>
      <c r="BZ1090" s="148" t="n"/>
      <c r="CA1090" s="204" t="n"/>
      <c r="CB1090" s="208" t="n"/>
      <c r="CC1090" s="139" t="n"/>
      <c r="CD1090" s="204" t="n"/>
      <c r="CE1090" s="204" t="n"/>
      <c r="CF1090" s="207" t="n"/>
      <c r="CG1090" s="208" t="n"/>
      <c r="CH1090" s="207" t="n"/>
      <c r="CI1090" s="208" t="n"/>
      <c r="CJ1090" s="204" t="n"/>
      <c r="CK1090" s="208" t="n"/>
      <c r="CL1090" s="208" t="n"/>
      <c r="CM1090" s="208" t="n"/>
      <c r="CN1090" s="78" t="n"/>
      <c r="CO1090" s="209" t="n"/>
      <c r="CP1090" s="204" t="n"/>
      <c r="CQ1090" s="204" t="n"/>
      <c r="CR1090" s="204" t="n"/>
      <c r="CS1090" s="204" t="n"/>
      <c r="CT1090" s="204" t="n"/>
      <c r="CU1090" s="204" t="n"/>
      <c r="CV1090" s="204" t="n"/>
      <c r="CW1090" s="204" t="n"/>
    </row>
    <row r="1091">
      <c r="BF1091" s="78" t="n"/>
      <c r="BG1091" s="78" t="n"/>
      <c r="BH1091" s="78" t="n"/>
      <c r="BI1091" s="78" t="n"/>
      <c r="BJ1091" s="139" t="n"/>
      <c r="BK1091" s="204" t="n"/>
      <c r="BL1091" s="141" t="n"/>
      <c r="BM1091" s="205" t="n"/>
      <c r="BN1091" s="205" t="n"/>
      <c r="BO1091" s="206" t="n"/>
      <c r="BP1091" s="144" t="n"/>
      <c r="BQ1091" s="141" t="n"/>
      <c r="BR1091" s="207" t="n"/>
      <c r="BS1091" s="207" t="n"/>
      <c r="BT1091" s="207" t="n"/>
      <c r="BU1091" s="207" t="n"/>
      <c r="BV1091" s="208" t="n"/>
      <c r="BW1091" s="207" t="n"/>
      <c r="BX1091" s="207" t="n"/>
      <c r="BY1091" s="204" t="n"/>
      <c r="BZ1091" s="148" t="n"/>
      <c r="CA1091" s="204" t="n"/>
      <c r="CB1091" s="208" t="n"/>
      <c r="CC1091" s="139" t="n"/>
      <c r="CD1091" s="204" t="n"/>
      <c r="CE1091" s="204" t="n"/>
      <c r="CF1091" s="207" t="n"/>
      <c r="CG1091" s="208" t="n"/>
      <c r="CH1091" s="207" t="n"/>
      <c r="CI1091" s="208" t="n"/>
      <c r="CJ1091" s="204" t="n"/>
      <c r="CK1091" s="208" t="n"/>
      <c r="CL1091" s="208" t="n"/>
      <c r="CM1091" s="208" t="n"/>
      <c r="CN1091" s="78" t="n"/>
      <c r="CO1091" s="209" t="n"/>
      <c r="CP1091" s="204" t="n"/>
      <c r="CQ1091" s="204" t="n"/>
      <c r="CR1091" s="204" t="n"/>
      <c r="CS1091" s="204" t="n"/>
      <c r="CT1091" s="204" t="n"/>
      <c r="CU1091" s="204" t="n"/>
      <c r="CV1091" s="204" t="n"/>
      <c r="CW1091" s="204" t="n"/>
    </row>
    <row r="1092">
      <c r="BF1092" s="78" t="n"/>
      <c r="BG1092" s="78" t="n"/>
      <c r="BH1092" s="78" t="n"/>
      <c r="BI1092" s="78" t="n"/>
      <c r="BJ1092" s="139" t="n"/>
      <c r="BK1092" s="204" t="n"/>
      <c r="BL1092" s="141" t="n"/>
      <c r="BM1092" s="205" t="n"/>
      <c r="BN1092" s="205" t="n"/>
      <c r="BO1092" s="206" t="n"/>
      <c r="BP1092" s="144" t="n"/>
      <c r="BQ1092" s="141" t="n"/>
      <c r="BR1092" s="207" t="n"/>
      <c r="BS1092" s="207" t="n"/>
      <c r="BT1092" s="207" t="n"/>
      <c r="BU1092" s="207" t="n"/>
      <c r="BV1092" s="208" t="n"/>
      <c r="BW1092" s="207" t="n"/>
      <c r="BX1092" s="207" t="n"/>
      <c r="BY1092" s="204" t="n"/>
      <c r="BZ1092" s="148" t="n"/>
      <c r="CA1092" s="204" t="n"/>
      <c r="CB1092" s="208" t="n"/>
      <c r="CC1092" s="139" t="n"/>
      <c r="CD1092" s="204" t="n"/>
      <c r="CE1092" s="204" t="n"/>
      <c r="CF1092" s="207" t="n"/>
      <c r="CG1092" s="208" t="n"/>
      <c r="CH1092" s="207" t="n"/>
      <c r="CI1092" s="208" t="n"/>
      <c r="CJ1092" s="204" t="n"/>
      <c r="CK1092" s="208" t="n"/>
      <c r="CL1092" s="208" t="n"/>
      <c r="CM1092" s="208" t="n"/>
      <c r="CN1092" s="78" t="n"/>
      <c r="CO1092" s="209" t="n"/>
      <c r="CP1092" s="204" t="n"/>
      <c r="CQ1092" s="204" t="n"/>
      <c r="CR1092" s="204" t="n"/>
      <c r="CS1092" s="204" t="n"/>
      <c r="CT1092" s="204" t="n"/>
      <c r="CU1092" s="204" t="n"/>
      <c r="CV1092" s="204" t="n"/>
      <c r="CW1092" s="204" t="n"/>
    </row>
    <row r="1093">
      <c r="BF1093" s="78" t="n"/>
      <c r="BG1093" s="78" t="n"/>
      <c r="BH1093" s="78" t="n"/>
      <c r="BI1093" s="78" t="n"/>
      <c r="BJ1093" s="139" t="n"/>
      <c r="BK1093" s="204" t="n"/>
      <c r="BL1093" s="141" t="n"/>
      <c r="BM1093" s="205" t="n"/>
      <c r="BN1093" s="205" t="n"/>
      <c r="BO1093" s="206" t="n"/>
      <c r="BP1093" s="144" t="n"/>
      <c r="BQ1093" s="141" t="n"/>
      <c r="BR1093" s="207" t="n"/>
      <c r="BS1093" s="207" t="n"/>
      <c r="BT1093" s="207" t="n"/>
      <c r="BU1093" s="207" t="n"/>
      <c r="BV1093" s="208" t="n"/>
      <c r="BW1093" s="207" t="n"/>
      <c r="BX1093" s="207" t="n"/>
      <c r="BY1093" s="204" t="n"/>
      <c r="BZ1093" s="148" t="n"/>
      <c r="CA1093" s="204" t="n"/>
      <c r="CB1093" s="208" t="n"/>
      <c r="CC1093" s="139" t="n"/>
      <c r="CD1093" s="204" t="n"/>
      <c r="CE1093" s="204" t="n"/>
      <c r="CF1093" s="207" t="n"/>
      <c r="CG1093" s="208" t="n"/>
      <c r="CH1093" s="207" t="n"/>
      <c r="CI1093" s="208" t="n"/>
      <c r="CJ1093" s="204" t="n"/>
      <c r="CK1093" s="208" t="n"/>
      <c r="CL1093" s="208" t="n"/>
      <c r="CM1093" s="208" t="n"/>
      <c r="CN1093" s="78" t="n"/>
      <c r="CO1093" s="209" t="n"/>
      <c r="CP1093" s="204" t="n"/>
      <c r="CQ1093" s="204" t="n"/>
      <c r="CR1093" s="204" t="n"/>
      <c r="CS1093" s="204" t="n"/>
      <c r="CT1093" s="204" t="n"/>
      <c r="CU1093" s="204" t="n"/>
      <c r="CV1093" s="204" t="n"/>
      <c r="CW1093" s="204" t="n"/>
    </row>
    <row r="1094">
      <c r="BF1094" s="78" t="n"/>
      <c r="BG1094" s="78" t="n"/>
      <c r="BH1094" s="78" t="n"/>
      <c r="BI1094" s="78" t="n"/>
      <c r="BJ1094" s="139" t="n"/>
      <c r="BK1094" s="204" t="n"/>
      <c r="BL1094" s="141" t="n"/>
      <c r="BM1094" s="205" t="n"/>
      <c r="BN1094" s="205" t="n"/>
      <c r="BO1094" s="206" t="n"/>
      <c r="BP1094" s="144" t="n"/>
      <c r="BQ1094" s="141" t="n"/>
      <c r="BR1094" s="207" t="n"/>
      <c r="BS1094" s="207" t="n"/>
      <c r="BT1094" s="207" t="n"/>
      <c r="BU1094" s="207" t="n"/>
      <c r="BV1094" s="208" t="n"/>
      <c r="BW1094" s="207" t="n"/>
      <c r="BX1094" s="207" t="n"/>
      <c r="BY1094" s="204" t="n"/>
      <c r="BZ1094" s="148" t="n"/>
      <c r="CA1094" s="204" t="n"/>
      <c r="CB1094" s="208" t="n"/>
      <c r="CC1094" s="139" t="n"/>
      <c r="CD1094" s="204" t="n"/>
      <c r="CE1094" s="204" t="n"/>
      <c r="CF1094" s="207" t="n"/>
      <c r="CG1094" s="208" t="n"/>
      <c r="CH1094" s="207" t="n"/>
      <c r="CI1094" s="208" t="n"/>
      <c r="CJ1094" s="204" t="n"/>
      <c r="CK1094" s="208" t="n"/>
      <c r="CL1094" s="208" t="n"/>
      <c r="CM1094" s="208" t="n"/>
      <c r="CN1094" s="78" t="n"/>
      <c r="CO1094" s="209" t="n"/>
      <c r="CP1094" s="204" t="n"/>
      <c r="CQ1094" s="204" t="n"/>
      <c r="CR1094" s="204" t="n"/>
      <c r="CS1094" s="204" t="n"/>
      <c r="CT1094" s="204" t="n"/>
      <c r="CU1094" s="204" t="n"/>
      <c r="CV1094" s="204" t="n"/>
      <c r="CW1094" s="204" t="n"/>
    </row>
    <row r="1095">
      <c r="BF1095" s="78" t="n"/>
      <c r="BG1095" s="78" t="n"/>
      <c r="BH1095" s="78" t="n"/>
      <c r="BI1095" s="78" t="n"/>
      <c r="BJ1095" s="139" t="n"/>
      <c r="BK1095" s="204" t="n"/>
      <c r="BL1095" s="141" t="n"/>
      <c r="BM1095" s="205" t="n"/>
      <c r="BN1095" s="205" t="n"/>
      <c r="BO1095" s="206" t="n"/>
      <c r="BP1095" s="144" t="n"/>
      <c r="BQ1095" s="141" t="n"/>
      <c r="BR1095" s="207" t="n"/>
      <c r="BS1095" s="207" t="n"/>
      <c r="BT1095" s="207" t="n"/>
      <c r="BU1095" s="207" t="n"/>
      <c r="BV1095" s="208" t="n"/>
      <c r="BW1095" s="207" t="n"/>
      <c r="BX1095" s="207" t="n"/>
      <c r="BY1095" s="204" t="n"/>
      <c r="BZ1095" s="148" t="n"/>
      <c r="CA1095" s="204" t="n"/>
      <c r="CB1095" s="208" t="n"/>
      <c r="CC1095" s="139" t="n"/>
      <c r="CD1095" s="204" t="n"/>
      <c r="CE1095" s="204" t="n"/>
      <c r="CF1095" s="207" t="n"/>
      <c r="CG1095" s="208" t="n"/>
      <c r="CH1095" s="207" t="n"/>
      <c r="CI1095" s="208" t="n"/>
      <c r="CJ1095" s="204" t="n"/>
      <c r="CK1095" s="208" t="n"/>
      <c r="CL1095" s="208" t="n"/>
      <c r="CM1095" s="208" t="n"/>
      <c r="CN1095" s="78" t="n"/>
      <c r="CO1095" s="209" t="n"/>
      <c r="CP1095" s="204" t="n"/>
      <c r="CQ1095" s="204" t="n"/>
      <c r="CR1095" s="204" t="n"/>
      <c r="CS1095" s="204" t="n"/>
      <c r="CT1095" s="204" t="n"/>
      <c r="CU1095" s="204" t="n"/>
      <c r="CV1095" s="204" t="n"/>
      <c r="CW1095" s="204" t="n"/>
    </row>
    <row r="1096">
      <c r="BF1096" s="78" t="n"/>
      <c r="BG1096" s="78" t="n"/>
      <c r="BH1096" s="78" t="n"/>
      <c r="BI1096" s="78" t="n"/>
      <c r="BJ1096" s="139" t="n"/>
      <c r="BK1096" s="204" t="n"/>
      <c r="BL1096" s="141" t="n"/>
      <c r="BM1096" s="205" t="n"/>
      <c r="BN1096" s="205" t="n"/>
      <c r="BO1096" s="206" t="n"/>
      <c r="BP1096" s="144" t="n"/>
      <c r="BQ1096" s="141" t="n"/>
      <c r="BR1096" s="207" t="n"/>
      <c r="BS1096" s="207" t="n"/>
      <c r="BT1096" s="207" t="n"/>
      <c r="BU1096" s="207" t="n"/>
      <c r="BV1096" s="208" t="n"/>
      <c r="BW1096" s="207" t="n"/>
      <c r="BX1096" s="207" t="n"/>
      <c r="BY1096" s="204" t="n"/>
      <c r="BZ1096" s="148" t="n"/>
      <c r="CA1096" s="204" t="n"/>
      <c r="CB1096" s="208" t="n"/>
      <c r="CC1096" s="139" t="n"/>
      <c r="CD1096" s="204" t="n"/>
      <c r="CE1096" s="204" t="n"/>
      <c r="CF1096" s="207" t="n"/>
      <c r="CG1096" s="208" t="n"/>
      <c r="CH1096" s="207" t="n"/>
      <c r="CI1096" s="208" t="n"/>
      <c r="CJ1096" s="204" t="n"/>
      <c r="CK1096" s="208" t="n"/>
      <c r="CL1096" s="208" t="n"/>
      <c r="CM1096" s="208" t="n"/>
      <c r="CN1096" s="78" t="n"/>
      <c r="CO1096" s="209" t="n"/>
      <c r="CP1096" s="204" t="n"/>
      <c r="CQ1096" s="204" t="n"/>
      <c r="CR1096" s="204" t="n"/>
      <c r="CS1096" s="204" t="n"/>
      <c r="CT1096" s="204" t="n"/>
      <c r="CU1096" s="204" t="n"/>
      <c r="CV1096" s="204" t="n"/>
      <c r="CW1096" s="204" t="n"/>
    </row>
    <row r="1097">
      <c r="BF1097" s="78" t="n"/>
      <c r="BG1097" s="78" t="n"/>
      <c r="BH1097" s="78" t="n"/>
      <c r="BI1097" s="78" t="n"/>
      <c r="BJ1097" s="139" t="n"/>
      <c r="BK1097" s="204" t="n"/>
      <c r="BL1097" s="141" t="n"/>
      <c r="BM1097" s="205" t="n"/>
      <c r="BN1097" s="205" t="n"/>
      <c r="BO1097" s="206" t="n"/>
      <c r="BP1097" s="144" t="n"/>
      <c r="BQ1097" s="141" t="n"/>
      <c r="BR1097" s="207" t="n"/>
      <c r="BS1097" s="207" t="n"/>
      <c r="BT1097" s="207" t="n"/>
      <c r="BU1097" s="207" t="n"/>
      <c r="BV1097" s="208" t="n"/>
      <c r="BW1097" s="207" t="n"/>
      <c r="BX1097" s="207" t="n"/>
      <c r="BY1097" s="204" t="n"/>
      <c r="BZ1097" s="148" t="n"/>
      <c r="CA1097" s="204" t="n"/>
      <c r="CB1097" s="208" t="n"/>
      <c r="CC1097" s="139" t="n"/>
      <c r="CD1097" s="204" t="n"/>
      <c r="CE1097" s="204" t="n"/>
      <c r="CF1097" s="207" t="n"/>
      <c r="CG1097" s="208" t="n"/>
      <c r="CH1097" s="207" t="n"/>
      <c r="CI1097" s="208" t="n"/>
      <c r="CJ1097" s="204" t="n"/>
      <c r="CK1097" s="208" t="n"/>
      <c r="CL1097" s="208" t="n"/>
      <c r="CM1097" s="208" t="n"/>
      <c r="CN1097" s="78" t="n"/>
      <c r="CO1097" s="209" t="n"/>
      <c r="CP1097" s="204" t="n"/>
      <c r="CQ1097" s="204" t="n"/>
      <c r="CR1097" s="204" t="n"/>
      <c r="CS1097" s="204" t="n"/>
      <c r="CT1097" s="204" t="n"/>
      <c r="CU1097" s="204" t="n"/>
      <c r="CV1097" s="204" t="n"/>
      <c r="CW1097" s="204" t="n"/>
    </row>
    <row r="1098">
      <c r="BF1098" s="78" t="n"/>
      <c r="BG1098" s="78" t="n"/>
      <c r="BH1098" s="78" t="n"/>
      <c r="BI1098" s="78" t="n"/>
      <c r="BJ1098" s="139" t="n"/>
      <c r="BK1098" s="204" t="n"/>
      <c r="BL1098" s="141" t="n"/>
      <c r="BM1098" s="205" t="n"/>
      <c r="BN1098" s="205" t="n"/>
      <c r="BO1098" s="206" t="n"/>
      <c r="BP1098" s="144" t="n"/>
      <c r="BQ1098" s="141" t="n"/>
      <c r="BR1098" s="207" t="n"/>
      <c r="BS1098" s="207" t="n"/>
      <c r="BT1098" s="207" t="n"/>
      <c r="BU1098" s="207" t="n"/>
      <c r="BV1098" s="208" t="n"/>
      <c r="BW1098" s="207" t="n"/>
      <c r="BX1098" s="207" t="n"/>
      <c r="BY1098" s="204" t="n"/>
      <c r="BZ1098" s="148" t="n"/>
      <c r="CA1098" s="204" t="n"/>
      <c r="CB1098" s="208" t="n"/>
      <c r="CC1098" s="139" t="n"/>
      <c r="CD1098" s="204" t="n"/>
      <c r="CE1098" s="204" t="n"/>
      <c r="CF1098" s="207" t="n"/>
      <c r="CG1098" s="208" t="n"/>
      <c r="CH1098" s="207" t="n"/>
      <c r="CI1098" s="208" t="n"/>
      <c r="CJ1098" s="204" t="n"/>
      <c r="CK1098" s="208" t="n"/>
      <c r="CL1098" s="208" t="n"/>
      <c r="CM1098" s="208" t="n"/>
      <c r="CN1098" s="78" t="n"/>
      <c r="CO1098" s="209" t="n"/>
      <c r="CP1098" s="204" t="n"/>
      <c r="CQ1098" s="204" t="n"/>
      <c r="CR1098" s="204" t="n"/>
      <c r="CS1098" s="204" t="n"/>
      <c r="CT1098" s="204" t="n"/>
      <c r="CU1098" s="204" t="n"/>
      <c r="CV1098" s="204" t="n"/>
      <c r="CW1098" s="204" t="n"/>
    </row>
    <row r="1099">
      <c r="BF1099" s="78" t="n"/>
      <c r="BG1099" s="78" t="n"/>
      <c r="BH1099" s="78" t="n"/>
      <c r="BI1099" s="78" t="n"/>
      <c r="BJ1099" s="139" t="n"/>
      <c r="BK1099" s="204" t="n"/>
      <c r="BL1099" s="141" t="n"/>
      <c r="BM1099" s="205" t="n"/>
      <c r="BN1099" s="205" t="n"/>
      <c r="BO1099" s="206" t="n"/>
      <c r="BP1099" s="144" t="n"/>
      <c r="BQ1099" s="141" t="n"/>
      <c r="BR1099" s="207" t="n"/>
      <c r="BS1099" s="207" t="n"/>
      <c r="BT1099" s="207" t="n"/>
      <c r="BU1099" s="207" t="n"/>
      <c r="BV1099" s="208" t="n"/>
      <c r="BW1099" s="207" t="n"/>
      <c r="BX1099" s="207" t="n"/>
      <c r="BY1099" s="204" t="n"/>
      <c r="BZ1099" s="148" t="n"/>
      <c r="CA1099" s="204" t="n"/>
      <c r="CB1099" s="208" t="n"/>
      <c r="CC1099" s="139" t="n"/>
      <c r="CD1099" s="204" t="n"/>
      <c r="CE1099" s="204" t="n"/>
      <c r="CF1099" s="207" t="n"/>
      <c r="CG1099" s="208" t="n"/>
      <c r="CH1099" s="207" t="n"/>
      <c r="CI1099" s="208" t="n"/>
      <c r="CJ1099" s="204" t="n"/>
      <c r="CK1099" s="208" t="n"/>
      <c r="CL1099" s="208" t="n"/>
      <c r="CM1099" s="208" t="n"/>
      <c r="CN1099" s="78" t="n"/>
      <c r="CO1099" s="209" t="n"/>
      <c r="CP1099" s="204" t="n"/>
      <c r="CQ1099" s="204" t="n"/>
      <c r="CR1099" s="204" t="n"/>
      <c r="CS1099" s="204" t="n"/>
      <c r="CT1099" s="204" t="n"/>
      <c r="CU1099" s="204" t="n"/>
      <c r="CV1099" s="204" t="n"/>
      <c r="CW1099" s="204" t="n"/>
    </row>
    <row r="1100">
      <c r="BF1100" s="78" t="n"/>
      <c r="BG1100" s="78" t="n"/>
      <c r="BH1100" s="78" t="n"/>
      <c r="BI1100" s="78" t="n"/>
      <c r="BJ1100" s="139" t="n"/>
      <c r="BK1100" s="204" t="n"/>
      <c r="BL1100" s="141" t="n"/>
      <c r="BM1100" s="205" t="n"/>
      <c r="BN1100" s="205" t="n"/>
      <c r="BO1100" s="206" t="n"/>
      <c r="BP1100" s="144" t="n"/>
      <c r="BQ1100" s="141" t="n"/>
      <c r="BR1100" s="207" t="n"/>
      <c r="BS1100" s="207" t="n"/>
      <c r="BT1100" s="207" t="n"/>
      <c r="BU1100" s="207" t="n"/>
      <c r="BV1100" s="208" t="n"/>
      <c r="BW1100" s="207" t="n"/>
      <c r="BX1100" s="207" t="n"/>
      <c r="BY1100" s="204" t="n"/>
      <c r="BZ1100" s="148" t="n"/>
      <c r="CA1100" s="204" t="n"/>
      <c r="CB1100" s="208" t="n"/>
      <c r="CC1100" s="139" t="n"/>
      <c r="CD1100" s="204" t="n"/>
      <c r="CE1100" s="204" t="n"/>
      <c r="CF1100" s="207" t="n"/>
      <c r="CG1100" s="208" t="n"/>
      <c r="CH1100" s="207" t="n"/>
      <c r="CI1100" s="208" t="n"/>
      <c r="CJ1100" s="204" t="n"/>
      <c r="CK1100" s="208" t="n"/>
      <c r="CL1100" s="208" t="n"/>
      <c r="CM1100" s="208" t="n"/>
      <c r="CN1100" s="78" t="n"/>
      <c r="CO1100" s="209" t="n"/>
      <c r="CP1100" s="204" t="n"/>
      <c r="CQ1100" s="204" t="n"/>
      <c r="CR1100" s="204" t="n"/>
      <c r="CS1100" s="204" t="n"/>
      <c r="CT1100" s="204" t="n"/>
      <c r="CU1100" s="204" t="n"/>
      <c r="CV1100" s="204" t="n"/>
      <c r="CW1100" s="204" t="n"/>
    </row>
    <row r="1101">
      <c r="BF1101" s="78" t="n"/>
      <c r="BG1101" s="78" t="n"/>
      <c r="BH1101" s="78" t="n"/>
      <c r="BI1101" s="78" t="n"/>
      <c r="BJ1101" s="139" t="n"/>
      <c r="BK1101" s="204" t="n"/>
      <c r="BL1101" s="141" t="n"/>
      <c r="BM1101" s="205" t="n"/>
      <c r="BN1101" s="205" t="n"/>
      <c r="BO1101" s="206" t="n"/>
      <c r="BP1101" s="144" t="n"/>
      <c r="BQ1101" s="141" t="n"/>
      <c r="BR1101" s="207" t="n"/>
      <c r="BS1101" s="207" t="n"/>
      <c r="BT1101" s="207" t="n"/>
      <c r="BU1101" s="207" t="n"/>
      <c r="BV1101" s="208" t="n"/>
      <c r="BW1101" s="207" t="n"/>
      <c r="BX1101" s="207" t="n"/>
      <c r="BY1101" s="204" t="n"/>
      <c r="BZ1101" s="148" t="n"/>
      <c r="CA1101" s="204" t="n"/>
      <c r="CB1101" s="208" t="n"/>
      <c r="CC1101" s="139" t="n"/>
      <c r="CD1101" s="204" t="n"/>
      <c r="CE1101" s="204" t="n"/>
      <c r="CF1101" s="207" t="n"/>
      <c r="CG1101" s="208" t="n"/>
      <c r="CH1101" s="207" t="n"/>
      <c r="CI1101" s="208" t="n"/>
      <c r="CJ1101" s="204" t="n"/>
      <c r="CK1101" s="208" t="n"/>
      <c r="CL1101" s="208" t="n"/>
      <c r="CM1101" s="208" t="n"/>
      <c r="CN1101" s="78" t="n"/>
      <c r="CO1101" s="209" t="n"/>
      <c r="CP1101" s="204" t="n"/>
      <c r="CQ1101" s="204" t="n"/>
      <c r="CR1101" s="204" t="n"/>
      <c r="CS1101" s="204" t="n"/>
      <c r="CT1101" s="204" t="n"/>
      <c r="CU1101" s="204" t="n"/>
      <c r="CV1101" s="204" t="n"/>
      <c r="CW1101" s="204" t="n"/>
    </row>
    <row r="1102">
      <c r="BF1102" s="78" t="n"/>
      <c r="BG1102" s="78" t="n"/>
      <c r="BH1102" s="78" t="n"/>
      <c r="BI1102" s="78" t="n"/>
      <c r="BJ1102" s="139" t="n"/>
      <c r="BK1102" s="204" t="n"/>
      <c r="BL1102" s="141" t="n"/>
      <c r="BM1102" s="205" t="n"/>
      <c r="BN1102" s="205" t="n"/>
      <c r="BO1102" s="206" t="n"/>
      <c r="BP1102" s="144" t="n"/>
      <c r="BQ1102" s="141" t="n"/>
      <c r="BR1102" s="207" t="n"/>
      <c r="BS1102" s="207" t="n"/>
      <c r="BT1102" s="207" t="n"/>
      <c r="BU1102" s="207" t="n"/>
      <c r="BV1102" s="208" t="n"/>
      <c r="BW1102" s="207" t="n"/>
      <c r="BX1102" s="207" t="n"/>
      <c r="BY1102" s="204" t="n"/>
      <c r="BZ1102" s="148" t="n"/>
      <c r="CA1102" s="204" t="n"/>
      <c r="CB1102" s="208" t="n"/>
      <c r="CC1102" s="139" t="n"/>
      <c r="CD1102" s="204" t="n"/>
      <c r="CE1102" s="204" t="n"/>
      <c r="CF1102" s="207" t="n"/>
      <c r="CG1102" s="208" t="n"/>
      <c r="CH1102" s="207" t="n"/>
      <c r="CI1102" s="208" t="n"/>
      <c r="CJ1102" s="204" t="n"/>
      <c r="CK1102" s="208" t="n"/>
      <c r="CL1102" s="208" t="n"/>
      <c r="CM1102" s="208" t="n"/>
      <c r="CN1102" s="78" t="n"/>
      <c r="CO1102" s="209" t="n"/>
      <c r="CP1102" s="204" t="n"/>
      <c r="CQ1102" s="204" t="n"/>
      <c r="CR1102" s="204" t="n"/>
      <c r="CS1102" s="204" t="n"/>
      <c r="CT1102" s="204" t="n"/>
      <c r="CU1102" s="204" t="n"/>
      <c r="CV1102" s="204" t="n"/>
      <c r="CW1102" s="204" t="n"/>
    </row>
    <row r="1103">
      <c r="BF1103" s="78" t="n"/>
      <c r="BG1103" s="78" t="n"/>
      <c r="BH1103" s="78" t="n"/>
      <c r="BI1103" s="78" t="n"/>
      <c r="BJ1103" s="139" t="n"/>
      <c r="BK1103" s="204" t="n"/>
      <c r="BL1103" s="141" t="n"/>
      <c r="BM1103" s="205" t="n"/>
      <c r="BN1103" s="205" t="n"/>
      <c r="BO1103" s="206" t="n"/>
      <c r="BP1103" s="144" t="n"/>
      <c r="BQ1103" s="141" t="n"/>
      <c r="BR1103" s="207" t="n"/>
      <c r="BS1103" s="207" t="n"/>
      <c r="BT1103" s="207" t="n"/>
      <c r="BU1103" s="207" t="n"/>
      <c r="BV1103" s="208" t="n"/>
      <c r="BW1103" s="207" t="n"/>
      <c r="BX1103" s="207" t="n"/>
      <c r="BY1103" s="204" t="n"/>
      <c r="BZ1103" s="148" t="n"/>
      <c r="CA1103" s="204" t="n"/>
      <c r="CB1103" s="208" t="n"/>
      <c r="CC1103" s="139" t="n"/>
      <c r="CD1103" s="204" t="n"/>
      <c r="CE1103" s="204" t="n"/>
      <c r="CF1103" s="207" t="n"/>
      <c r="CG1103" s="208" t="n"/>
      <c r="CH1103" s="207" t="n"/>
      <c r="CI1103" s="208" t="n"/>
      <c r="CJ1103" s="204" t="n"/>
      <c r="CK1103" s="208" t="n"/>
      <c r="CL1103" s="208" t="n"/>
      <c r="CM1103" s="208" t="n"/>
      <c r="CN1103" s="78" t="n"/>
      <c r="CO1103" s="209" t="n"/>
      <c r="CP1103" s="204" t="n"/>
      <c r="CQ1103" s="204" t="n"/>
      <c r="CR1103" s="204" t="n"/>
      <c r="CS1103" s="204" t="n"/>
      <c r="CT1103" s="204" t="n"/>
      <c r="CU1103" s="204" t="n"/>
      <c r="CV1103" s="204" t="n"/>
      <c r="CW1103" s="204" t="n"/>
    </row>
    <row r="1104">
      <c r="BF1104" s="78" t="n"/>
      <c r="BG1104" s="78" t="n"/>
      <c r="BH1104" s="78" t="n"/>
      <c r="BI1104" s="78" t="n"/>
      <c r="BJ1104" s="139" t="n"/>
      <c r="BK1104" s="204" t="n"/>
      <c r="BL1104" s="141" t="n"/>
      <c r="BM1104" s="205" t="n"/>
      <c r="BN1104" s="205" t="n"/>
      <c r="BO1104" s="206" t="n"/>
      <c r="BP1104" s="144" t="n"/>
      <c r="BQ1104" s="141" t="n"/>
      <c r="BR1104" s="207" t="n"/>
      <c r="BS1104" s="207" t="n"/>
      <c r="BT1104" s="207" t="n"/>
      <c r="BU1104" s="207" t="n"/>
      <c r="BV1104" s="208" t="n"/>
      <c r="BW1104" s="207" t="n"/>
      <c r="BX1104" s="207" t="n"/>
      <c r="BY1104" s="204" t="n"/>
      <c r="BZ1104" s="148" t="n"/>
      <c r="CA1104" s="204" t="n"/>
      <c r="CB1104" s="208" t="n"/>
      <c r="CC1104" s="139" t="n"/>
      <c r="CD1104" s="204" t="n"/>
      <c r="CE1104" s="204" t="n"/>
      <c r="CF1104" s="207" t="n"/>
      <c r="CG1104" s="208" t="n"/>
      <c r="CH1104" s="207" t="n"/>
      <c r="CI1104" s="208" t="n"/>
      <c r="CJ1104" s="204" t="n"/>
      <c r="CK1104" s="208" t="n"/>
      <c r="CL1104" s="208" t="n"/>
      <c r="CM1104" s="208" t="n"/>
      <c r="CN1104" s="78" t="n"/>
      <c r="CO1104" s="209" t="n"/>
      <c r="CP1104" s="204" t="n"/>
      <c r="CQ1104" s="204" t="n"/>
      <c r="CR1104" s="204" t="n"/>
      <c r="CS1104" s="204" t="n"/>
      <c r="CT1104" s="204" t="n"/>
      <c r="CU1104" s="204" t="n"/>
      <c r="CV1104" s="204" t="n"/>
      <c r="CW1104" s="204" t="n"/>
    </row>
    <row r="1105">
      <c r="BF1105" s="78" t="n"/>
      <c r="BG1105" s="78" t="n"/>
      <c r="BH1105" s="78" t="n"/>
      <c r="BI1105" s="78" t="n"/>
      <c r="BJ1105" s="139" t="n"/>
      <c r="BK1105" s="204" t="n"/>
      <c r="BL1105" s="141" t="n"/>
      <c r="BM1105" s="205" t="n"/>
      <c r="BN1105" s="205" t="n"/>
      <c r="BO1105" s="206" t="n"/>
      <c r="BP1105" s="144" t="n"/>
      <c r="BQ1105" s="141" t="n"/>
      <c r="BR1105" s="207" t="n"/>
      <c r="BS1105" s="207" t="n"/>
      <c r="BT1105" s="207" t="n"/>
      <c r="BU1105" s="207" t="n"/>
      <c r="BV1105" s="208" t="n"/>
      <c r="BW1105" s="207" t="n"/>
      <c r="BX1105" s="207" t="n"/>
      <c r="BY1105" s="204" t="n"/>
      <c r="BZ1105" s="148" t="n"/>
      <c r="CA1105" s="204" t="n"/>
      <c r="CB1105" s="208" t="n"/>
      <c r="CC1105" s="139" t="n"/>
      <c r="CD1105" s="204" t="n"/>
      <c r="CE1105" s="204" t="n"/>
      <c r="CF1105" s="207" t="n"/>
      <c r="CG1105" s="208" t="n"/>
      <c r="CH1105" s="207" t="n"/>
      <c r="CI1105" s="208" t="n"/>
      <c r="CJ1105" s="204" t="n"/>
      <c r="CK1105" s="208" t="n"/>
      <c r="CL1105" s="208" t="n"/>
      <c r="CM1105" s="208" t="n"/>
      <c r="CN1105" s="78" t="n"/>
      <c r="CO1105" s="209" t="n"/>
      <c r="CP1105" s="204" t="n"/>
      <c r="CQ1105" s="204" t="n"/>
      <c r="CR1105" s="204" t="n"/>
      <c r="CS1105" s="204" t="n"/>
      <c r="CT1105" s="204" t="n"/>
      <c r="CU1105" s="204" t="n"/>
      <c r="CV1105" s="204" t="n"/>
      <c r="CW1105" s="204" t="n"/>
    </row>
    <row r="1106">
      <c r="BF1106" s="78" t="n"/>
      <c r="BG1106" s="78" t="n"/>
      <c r="BH1106" s="78" t="n"/>
      <c r="BI1106" s="78" t="n"/>
      <c r="BJ1106" s="139" t="n"/>
      <c r="BK1106" s="204" t="n"/>
      <c r="BL1106" s="141" t="n"/>
      <c r="BM1106" s="205" t="n"/>
      <c r="BN1106" s="205" t="n"/>
      <c r="BO1106" s="206" t="n"/>
      <c r="BP1106" s="144" t="n"/>
      <c r="BQ1106" s="141" t="n"/>
      <c r="BR1106" s="207" t="n"/>
      <c r="BS1106" s="207" t="n"/>
      <c r="BT1106" s="207" t="n"/>
      <c r="BU1106" s="207" t="n"/>
      <c r="BV1106" s="208" t="n"/>
      <c r="BW1106" s="207" t="n"/>
      <c r="BX1106" s="207" t="n"/>
      <c r="BY1106" s="204" t="n"/>
      <c r="BZ1106" s="148" t="n"/>
      <c r="CA1106" s="204" t="n"/>
      <c r="CB1106" s="208" t="n"/>
      <c r="CC1106" s="139" t="n"/>
      <c r="CD1106" s="204" t="n"/>
      <c r="CE1106" s="204" t="n"/>
      <c r="CF1106" s="207" t="n"/>
      <c r="CG1106" s="208" t="n"/>
      <c r="CH1106" s="207" t="n"/>
      <c r="CI1106" s="208" t="n"/>
      <c r="CJ1106" s="204" t="n"/>
      <c r="CK1106" s="208" t="n"/>
      <c r="CL1106" s="208" t="n"/>
      <c r="CM1106" s="208" t="n"/>
      <c r="CN1106" s="78" t="n"/>
      <c r="CO1106" s="209" t="n"/>
      <c r="CP1106" s="204" t="n"/>
      <c r="CQ1106" s="204" t="n"/>
      <c r="CR1106" s="204" t="n"/>
      <c r="CS1106" s="204" t="n"/>
      <c r="CT1106" s="204" t="n"/>
      <c r="CU1106" s="204" t="n"/>
      <c r="CV1106" s="204" t="n"/>
      <c r="CW1106" s="204" t="n"/>
    </row>
    <row r="1107">
      <c r="BF1107" s="78" t="n"/>
      <c r="BG1107" s="78" t="n"/>
      <c r="BH1107" s="78" t="n"/>
      <c r="BI1107" s="78" t="n"/>
      <c r="BJ1107" s="139" t="n"/>
      <c r="BK1107" s="204" t="n"/>
      <c r="BL1107" s="141" t="n"/>
      <c r="BM1107" s="205" t="n"/>
      <c r="BN1107" s="205" t="n"/>
      <c r="BO1107" s="206" t="n"/>
      <c r="BP1107" s="144" t="n"/>
      <c r="BQ1107" s="141" t="n"/>
      <c r="BR1107" s="207" t="n"/>
      <c r="BS1107" s="207" t="n"/>
      <c r="BT1107" s="207" t="n"/>
      <c r="BU1107" s="207" t="n"/>
      <c r="BV1107" s="208" t="n"/>
      <c r="BW1107" s="207" t="n"/>
      <c r="BX1107" s="207" t="n"/>
      <c r="BY1107" s="204" t="n"/>
      <c r="BZ1107" s="148" t="n"/>
      <c r="CA1107" s="204" t="n"/>
      <c r="CB1107" s="208" t="n"/>
      <c r="CC1107" s="139" t="n"/>
      <c r="CD1107" s="204" t="n"/>
      <c r="CE1107" s="204" t="n"/>
      <c r="CF1107" s="207" t="n"/>
      <c r="CG1107" s="208" t="n"/>
      <c r="CH1107" s="207" t="n"/>
      <c r="CI1107" s="208" t="n"/>
      <c r="CJ1107" s="204" t="n"/>
      <c r="CK1107" s="208" t="n"/>
      <c r="CL1107" s="208" t="n"/>
      <c r="CM1107" s="208" t="n"/>
      <c r="CN1107" s="78" t="n"/>
      <c r="CO1107" s="209" t="n"/>
      <c r="CP1107" s="204" t="n"/>
      <c r="CQ1107" s="204" t="n"/>
      <c r="CR1107" s="204" t="n"/>
      <c r="CS1107" s="204" t="n"/>
      <c r="CT1107" s="204" t="n"/>
      <c r="CU1107" s="204" t="n"/>
      <c r="CV1107" s="204" t="n"/>
      <c r="CW1107" s="204" t="n"/>
    </row>
    <row r="1108">
      <c r="BF1108" s="78" t="n"/>
      <c r="BG1108" s="78" t="n"/>
      <c r="BH1108" s="78" t="n"/>
      <c r="BI1108" s="78" t="n"/>
      <c r="BJ1108" s="139" t="n"/>
      <c r="BK1108" s="204" t="n"/>
      <c r="BL1108" s="141" t="n"/>
      <c r="BM1108" s="205" t="n"/>
      <c r="BN1108" s="205" t="n"/>
      <c r="BO1108" s="206" t="n"/>
      <c r="BP1108" s="144" t="n"/>
      <c r="BQ1108" s="141" t="n"/>
      <c r="BR1108" s="207" t="n"/>
      <c r="BS1108" s="207" t="n"/>
      <c r="BT1108" s="207" t="n"/>
      <c r="BU1108" s="207" t="n"/>
      <c r="BV1108" s="208" t="n"/>
      <c r="BW1108" s="207" t="n"/>
      <c r="BX1108" s="207" t="n"/>
      <c r="BY1108" s="204" t="n"/>
      <c r="BZ1108" s="148" t="n"/>
      <c r="CA1108" s="204" t="n"/>
      <c r="CB1108" s="208" t="n"/>
      <c r="CC1108" s="139" t="n"/>
      <c r="CD1108" s="204" t="n"/>
      <c r="CE1108" s="204" t="n"/>
      <c r="CF1108" s="207" t="n"/>
      <c r="CG1108" s="208" t="n"/>
      <c r="CH1108" s="207" t="n"/>
      <c r="CI1108" s="208" t="n"/>
      <c r="CJ1108" s="204" t="n"/>
      <c r="CK1108" s="208" t="n"/>
      <c r="CL1108" s="208" t="n"/>
      <c r="CM1108" s="208" t="n"/>
      <c r="CN1108" s="78" t="n"/>
      <c r="CO1108" s="209" t="n"/>
      <c r="CP1108" s="204" t="n"/>
      <c r="CQ1108" s="204" t="n"/>
      <c r="CR1108" s="204" t="n"/>
      <c r="CS1108" s="204" t="n"/>
      <c r="CT1108" s="204" t="n"/>
      <c r="CU1108" s="204" t="n"/>
      <c r="CV1108" s="204" t="n"/>
      <c r="CW1108" s="204" t="n"/>
    </row>
    <row r="1109">
      <c r="BF1109" s="78" t="n"/>
      <c r="BG1109" s="78" t="n"/>
      <c r="BH1109" s="78" t="n"/>
      <c r="BI1109" s="78" t="n"/>
      <c r="BJ1109" s="139" t="n"/>
      <c r="BK1109" s="204" t="n"/>
      <c r="BL1109" s="141" t="n"/>
      <c r="BM1109" s="205" t="n"/>
      <c r="BN1109" s="205" t="n"/>
      <c r="BO1109" s="206" t="n"/>
      <c r="BP1109" s="144" t="n"/>
      <c r="BQ1109" s="141" t="n"/>
      <c r="BR1109" s="207" t="n"/>
      <c r="BS1109" s="207" t="n"/>
      <c r="BT1109" s="207" t="n"/>
      <c r="BU1109" s="207" t="n"/>
      <c r="BV1109" s="208" t="n"/>
      <c r="BW1109" s="207" t="n"/>
      <c r="BX1109" s="207" t="n"/>
      <c r="BY1109" s="204" t="n"/>
      <c r="BZ1109" s="148" t="n"/>
      <c r="CA1109" s="204" t="n"/>
      <c r="CB1109" s="208" t="n"/>
      <c r="CC1109" s="139" t="n"/>
      <c r="CD1109" s="204" t="n"/>
      <c r="CE1109" s="204" t="n"/>
      <c r="CF1109" s="207" t="n"/>
      <c r="CG1109" s="208" t="n"/>
      <c r="CH1109" s="207" t="n"/>
      <c r="CI1109" s="208" t="n"/>
      <c r="CJ1109" s="204" t="n"/>
      <c r="CK1109" s="208" t="n"/>
      <c r="CL1109" s="208" t="n"/>
      <c r="CM1109" s="208" t="n"/>
      <c r="CN1109" s="78" t="n"/>
      <c r="CO1109" s="209" t="n"/>
      <c r="CP1109" s="204" t="n"/>
      <c r="CQ1109" s="204" t="n"/>
      <c r="CR1109" s="204" t="n"/>
      <c r="CS1109" s="204" t="n"/>
      <c r="CT1109" s="204" t="n"/>
      <c r="CU1109" s="204" t="n"/>
      <c r="CV1109" s="204" t="n"/>
      <c r="CW1109" s="204" t="n"/>
    </row>
    <row r="1110">
      <c r="BF1110" s="78" t="n"/>
      <c r="BG1110" s="78" t="n"/>
      <c r="BH1110" s="78" t="n"/>
      <c r="BI1110" s="78" t="n"/>
      <c r="BJ1110" s="139" t="n"/>
      <c r="BK1110" s="204" t="n"/>
      <c r="BL1110" s="141" t="n"/>
      <c r="BM1110" s="205" t="n"/>
      <c r="BN1110" s="205" t="n"/>
      <c r="BO1110" s="206" t="n"/>
      <c r="BP1110" s="144" t="n"/>
      <c r="BQ1110" s="141" t="n"/>
      <c r="BR1110" s="207" t="n"/>
      <c r="BS1110" s="207" t="n"/>
      <c r="BT1110" s="207" t="n"/>
      <c r="BU1110" s="207" t="n"/>
      <c r="BV1110" s="208" t="n"/>
      <c r="BW1110" s="207" t="n"/>
      <c r="BX1110" s="207" t="n"/>
      <c r="BY1110" s="204" t="n"/>
      <c r="BZ1110" s="148" t="n"/>
      <c r="CA1110" s="204" t="n"/>
      <c r="CB1110" s="208" t="n"/>
      <c r="CC1110" s="139" t="n"/>
      <c r="CD1110" s="204" t="n"/>
      <c r="CE1110" s="204" t="n"/>
      <c r="CF1110" s="207" t="n"/>
      <c r="CG1110" s="208" t="n"/>
      <c r="CH1110" s="207" t="n"/>
      <c r="CI1110" s="208" t="n"/>
      <c r="CJ1110" s="204" t="n"/>
      <c r="CK1110" s="208" t="n"/>
      <c r="CL1110" s="208" t="n"/>
      <c r="CM1110" s="208" t="n"/>
      <c r="CN1110" s="78" t="n"/>
      <c r="CO1110" s="209" t="n"/>
      <c r="CP1110" s="204" t="n"/>
      <c r="CQ1110" s="204" t="n"/>
      <c r="CR1110" s="204" t="n"/>
      <c r="CS1110" s="204" t="n"/>
      <c r="CT1110" s="204" t="n"/>
      <c r="CU1110" s="204" t="n"/>
      <c r="CV1110" s="204" t="n"/>
      <c r="CW1110" s="204" t="n"/>
    </row>
    <row r="1111">
      <c r="BF1111" s="78" t="n"/>
      <c r="BG1111" s="78" t="n"/>
      <c r="BH1111" s="78" t="n"/>
      <c r="BI1111" s="78" t="n"/>
      <c r="BJ1111" s="139" t="n"/>
      <c r="BK1111" s="204" t="n"/>
      <c r="BL1111" s="141" t="n"/>
      <c r="BM1111" s="205" t="n"/>
      <c r="BN1111" s="205" t="n"/>
      <c r="BO1111" s="206" t="n"/>
      <c r="BP1111" s="144" t="n"/>
      <c r="BQ1111" s="141" t="n"/>
      <c r="BR1111" s="207" t="n"/>
      <c r="BS1111" s="207" t="n"/>
      <c r="BT1111" s="207" t="n"/>
      <c r="BU1111" s="207" t="n"/>
      <c r="BV1111" s="208" t="n"/>
      <c r="BW1111" s="207" t="n"/>
      <c r="BX1111" s="207" t="n"/>
      <c r="BY1111" s="204" t="n"/>
      <c r="BZ1111" s="148" t="n"/>
      <c r="CA1111" s="204" t="n"/>
      <c r="CB1111" s="208" t="n"/>
      <c r="CC1111" s="139" t="n"/>
      <c r="CD1111" s="204" t="n"/>
      <c r="CE1111" s="204" t="n"/>
      <c r="CF1111" s="207" t="n"/>
      <c r="CG1111" s="208" t="n"/>
      <c r="CH1111" s="207" t="n"/>
      <c r="CI1111" s="208" t="n"/>
      <c r="CJ1111" s="204" t="n"/>
      <c r="CK1111" s="208" t="n"/>
      <c r="CL1111" s="208" t="n"/>
      <c r="CM1111" s="208" t="n"/>
      <c r="CN1111" s="78" t="n"/>
      <c r="CO1111" s="209" t="n"/>
      <c r="CP1111" s="204" t="n"/>
      <c r="CQ1111" s="204" t="n"/>
      <c r="CR1111" s="204" t="n"/>
      <c r="CS1111" s="204" t="n"/>
      <c r="CT1111" s="204" t="n"/>
      <c r="CU1111" s="204" t="n"/>
      <c r="CV1111" s="204" t="n"/>
      <c r="CW1111" s="204" t="n"/>
    </row>
    <row r="1112">
      <c r="BF1112" s="78" t="n"/>
      <c r="BG1112" s="78" t="n"/>
      <c r="BH1112" s="78" t="n"/>
      <c r="BI1112" s="78" t="n"/>
      <c r="BJ1112" s="139" t="n"/>
      <c r="BK1112" s="204" t="n"/>
      <c r="BL1112" s="141" t="n"/>
      <c r="BM1112" s="205" t="n"/>
      <c r="BN1112" s="205" t="n"/>
      <c r="BO1112" s="206" t="n"/>
      <c r="BP1112" s="144" t="n"/>
      <c r="BQ1112" s="141" t="n"/>
      <c r="BR1112" s="207" t="n"/>
      <c r="BS1112" s="207" t="n"/>
      <c r="BT1112" s="207" t="n"/>
      <c r="BU1112" s="207" t="n"/>
      <c r="BV1112" s="208" t="n"/>
      <c r="BW1112" s="207" t="n"/>
      <c r="BX1112" s="207" t="n"/>
      <c r="BY1112" s="204" t="n"/>
      <c r="BZ1112" s="148" t="n"/>
      <c r="CA1112" s="204" t="n"/>
      <c r="CB1112" s="208" t="n"/>
      <c r="CC1112" s="139" t="n"/>
      <c r="CD1112" s="204" t="n"/>
      <c r="CE1112" s="204" t="n"/>
      <c r="CF1112" s="207" t="n"/>
      <c r="CG1112" s="208" t="n"/>
      <c r="CH1112" s="207" t="n"/>
      <c r="CI1112" s="208" t="n"/>
      <c r="CJ1112" s="204" t="n"/>
      <c r="CK1112" s="208" t="n"/>
      <c r="CL1112" s="208" t="n"/>
      <c r="CM1112" s="208" t="n"/>
      <c r="CN1112" s="78" t="n"/>
      <c r="CO1112" s="209" t="n"/>
      <c r="CP1112" s="204" t="n"/>
      <c r="CQ1112" s="204" t="n"/>
      <c r="CR1112" s="204" t="n"/>
      <c r="CS1112" s="204" t="n"/>
      <c r="CT1112" s="204" t="n"/>
      <c r="CU1112" s="204" t="n"/>
      <c r="CV1112" s="204" t="n"/>
      <c r="CW1112" s="204" t="n"/>
    </row>
    <row r="1113">
      <c r="BF1113" s="78" t="n"/>
      <c r="BG1113" s="78" t="n"/>
      <c r="BH1113" s="78" t="n"/>
      <c r="BI1113" s="78" t="n"/>
      <c r="BJ1113" s="139" t="n"/>
      <c r="BK1113" s="204" t="n"/>
      <c r="BL1113" s="141" t="n"/>
      <c r="BM1113" s="205" t="n"/>
      <c r="BN1113" s="205" t="n"/>
      <c r="BO1113" s="206" t="n"/>
      <c r="BP1113" s="144" t="n"/>
      <c r="BQ1113" s="141" t="n"/>
      <c r="BR1113" s="207" t="n"/>
      <c r="BS1113" s="207" t="n"/>
      <c r="BT1113" s="207" t="n"/>
      <c r="BU1113" s="207" t="n"/>
      <c r="BV1113" s="208" t="n"/>
      <c r="BW1113" s="207" t="n"/>
      <c r="BX1113" s="207" t="n"/>
      <c r="BY1113" s="204" t="n"/>
      <c r="BZ1113" s="148" t="n"/>
      <c r="CA1113" s="204" t="n"/>
      <c r="CB1113" s="208" t="n"/>
      <c r="CC1113" s="139" t="n"/>
      <c r="CD1113" s="204" t="n"/>
      <c r="CE1113" s="204" t="n"/>
      <c r="CF1113" s="207" t="n"/>
      <c r="CG1113" s="208" t="n"/>
      <c r="CH1113" s="207" t="n"/>
      <c r="CI1113" s="208" t="n"/>
      <c r="CJ1113" s="204" t="n"/>
      <c r="CK1113" s="208" t="n"/>
      <c r="CL1113" s="208" t="n"/>
      <c r="CM1113" s="208" t="n"/>
      <c r="CN1113" s="78" t="n"/>
      <c r="CO1113" s="209" t="n"/>
      <c r="CP1113" s="204" t="n"/>
      <c r="CQ1113" s="204" t="n"/>
      <c r="CR1113" s="204" t="n"/>
      <c r="CS1113" s="204" t="n"/>
      <c r="CT1113" s="204" t="n"/>
      <c r="CU1113" s="204" t="n"/>
      <c r="CV1113" s="204" t="n"/>
      <c r="CW1113" s="204" t="n"/>
    </row>
    <row r="1114">
      <c r="BF1114" s="78" t="n"/>
      <c r="BG1114" s="78" t="n"/>
      <c r="BH1114" s="78" t="n"/>
      <c r="BI1114" s="78" t="n"/>
      <c r="BJ1114" s="139" t="n"/>
      <c r="BK1114" s="204" t="n"/>
      <c r="BL1114" s="141" t="n"/>
      <c r="BM1114" s="205" t="n"/>
      <c r="BN1114" s="205" t="n"/>
      <c r="BO1114" s="206" t="n"/>
      <c r="BP1114" s="144" t="n"/>
      <c r="BQ1114" s="141" t="n"/>
      <c r="BR1114" s="207" t="n"/>
      <c r="BS1114" s="207" t="n"/>
      <c r="BT1114" s="207" t="n"/>
      <c r="BU1114" s="207" t="n"/>
      <c r="BV1114" s="208" t="n"/>
      <c r="BW1114" s="207" t="n"/>
      <c r="BX1114" s="207" t="n"/>
      <c r="BY1114" s="204" t="n"/>
      <c r="BZ1114" s="148" t="n"/>
      <c r="CA1114" s="204" t="n"/>
      <c r="CB1114" s="208" t="n"/>
      <c r="CC1114" s="139" t="n"/>
      <c r="CD1114" s="204" t="n"/>
      <c r="CE1114" s="204" t="n"/>
      <c r="CF1114" s="207" t="n"/>
      <c r="CG1114" s="208" t="n"/>
      <c r="CH1114" s="207" t="n"/>
      <c r="CI1114" s="208" t="n"/>
      <c r="CJ1114" s="204" t="n"/>
      <c r="CK1114" s="208" t="n"/>
      <c r="CL1114" s="208" t="n"/>
      <c r="CM1114" s="208" t="n"/>
      <c r="CN1114" s="78" t="n"/>
      <c r="CO1114" s="209" t="n"/>
      <c r="CP1114" s="204" t="n"/>
      <c r="CQ1114" s="204" t="n"/>
      <c r="CR1114" s="204" t="n"/>
      <c r="CS1114" s="204" t="n"/>
      <c r="CT1114" s="204" t="n"/>
      <c r="CU1114" s="204" t="n"/>
      <c r="CV1114" s="204" t="n"/>
      <c r="CW1114" s="204" t="n"/>
    </row>
    <row r="1115">
      <c r="BF1115" s="78" t="n"/>
      <c r="BG1115" s="78" t="n"/>
      <c r="BH1115" s="78" t="n"/>
      <c r="BI1115" s="78" t="n"/>
      <c r="BJ1115" s="139" t="n"/>
      <c r="BK1115" s="204" t="n"/>
      <c r="BL1115" s="141" t="n"/>
      <c r="BM1115" s="205" t="n"/>
      <c r="BN1115" s="205" t="n"/>
      <c r="BO1115" s="206" t="n"/>
      <c r="BP1115" s="144" t="n"/>
      <c r="BQ1115" s="141" t="n"/>
      <c r="BR1115" s="207" t="n"/>
      <c r="BS1115" s="207" t="n"/>
      <c r="BT1115" s="207" t="n"/>
      <c r="BU1115" s="207" t="n"/>
      <c r="BV1115" s="208" t="n"/>
      <c r="BW1115" s="207" t="n"/>
      <c r="BX1115" s="207" t="n"/>
      <c r="BY1115" s="204" t="n"/>
      <c r="BZ1115" s="148" t="n"/>
      <c r="CA1115" s="204" t="n"/>
      <c r="CB1115" s="208" t="n"/>
      <c r="CC1115" s="139" t="n"/>
      <c r="CD1115" s="204" t="n"/>
      <c r="CE1115" s="204" t="n"/>
      <c r="CF1115" s="207" t="n"/>
      <c r="CG1115" s="208" t="n"/>
      <c r="CH1115" s="207" t="n"/>
      <c r="CI1115" s="208" t="n"/>
      <c r="CJ1115" s="204" t="n"/>
      <c r="CK1115" s="208" t="n"/>
      <c r="CL1115" s="208" t="n"/>
      <c r="CM1115" s="208" t="n"/>
      <c r="CN1115" s="78" t="n"/>
      <c r="CO1115" s="209" t="n"/>
      <c r="CP1115" s="204" t="n"/>
      <c r="CQ1115" s="204" t="n"/>
      <c r="CR1115" s="204" t="n"/>
      <c r="CS1115" s="204" t="n"/>
      <c r="CT1115" s="204" t="n"/>
      <c r="CU1115" s="204" t="n"/>
      <c r="CV1115" s="204" t="n"/>
      <c r="CW1115" s="204" t="n"/>
    </row>
    <row r="1116">
      <c r="BF1116" s="78" t="n"/>
      <c r="BG1116" s="78" t="n"/>
      <c r="BH1116" s="78" t="n"/>
      <c r="BI1116" s="78" t="n"/>
      <c r="BJ1116" s="139" t="n"/>
      <c r="BK1116" s="204" t="n"/>
      <c r="BL1116" s="141" t="n"/>
      <c r="BM1116" s="205" t="n"/>
      <c r="BN1116" s="205" t="n"/>
      <c r="BO1116" s="206" t="n"/>
      <c r="BP1116" s="144" t="n"/>
      <c r="BQ1116" s="141" t="n"/>
      <c r="BR1116" s="207" t="n"/>
      <c r="BS1116" s="207" t="n"/>
      <c r="BT1116" s="207" t="n"/>
      <c r="BU1116" s="207" t="n"/>
      <c r="BV1116" s="208" t="n"/>
      <c r="BW1116" s="207" t="n"/>
      <c r="BX1116" s="207" t="n"/>
      <c r="BY1116" s="204" t="n"/>
      <c r="BZ1116" s="148" t="n"/>
      <c r="CA1116" s="204" t="n"/>
      <c r="CB1116" s="208" t="n"/>
      <c r="CC1116" s="139" t="n"/>
      <c r="CD1116" s="204" t="n"/>
      <c r="CE1116" s="204" t="n"/>
      <c r="CF1116" s="207" t="n"/>
      <c r="CG1116" s="208" t="n"/>
      <c r="CH1116" s="207" t="n"/>
      <c r="CI1116" s="208" t="n"/>
      <c r="CJ1116" s="204" t="n"/>
      <c r="CK1116" s="208" t="n"/>
      <c r="CL1116" s="208" t="n"/>
      <c r="CM1116" s="208" t="n"/>
      <c r="CN1116" s="78" t="n"/>
      <c r="CO1116" s="209" t="n"/>
      <c r="CP1116" s="204" t="n"/>
      <c r="CQ1116" s="204" t="n"/>
      <c r="CR1116" s="204" t="n"/>
      <c r="CS1116" s="204" t="n"/>
      <c r="CT1116" s="204" t="n"/>
      <c r="CU1116" s="204" t="n"/>
      <c r="CV1116" s="204" t="n"/>
      <c r="CW1116" s="204" t="n"/>
    </row>
    <row r="1117">
      <c r="BF1117" s="78" t="n"/>
      <c r="BG1117" s="78" t="n"/>
      <c r="BH1117" s="78" t="n"/>
      <c r="BI1117" s="78" t="n"/>
      <c r="BJ1117" s="139" t="n"/>
      <c r="BK1117" s="204" t="n"/>
      <c r="BL1117" s="141" t="n"/>
      <c r="BM1117" s="205" t="n"/>
      <c r="BN1117" s="205" t="n"/>
      <c r="BO1117" s="206" t="n"/>
      <c r="BP1117" s="144" t="n"/>
      <c r="BQ1117" s="141" t="n"/>
      <c r="BR1117" s="207" t="n"/>
      <c r="BS1117" s="207" t="n"/>
      <c r="BT1117" s="207" t="n"/>
      <c r="BU1117" s="207" t="n"/>
      <c r="BV1117" s="208" t="n"/>
      <c r="BW1117" s="207" t="n"/>
      <c r="BX1117" s="207" t="n"/>
      <c r="BY1117" s="204" t="n"/>
      <c r="BZ1117" s="148" t="n"/>
      <c r="CA1117" s="204" t="n"/>
      <c r="CB1117" s="208" t="n"/>
      <c r="CC1117" s="139" t="n"/>
      <c r="CD1117" s="204" t="n"/>
      <c r="CE1117" s="204" t="n"/>
      <c r="CF1117" s="207" t="n"/>
      <c r="CG1117" s="208" t="n"/>
      <c r="CH1117" s="207" t="n"/>
      <c r="CI1117" s="208" t="n"/>
      <c r="CJ1117" s="204" t="n"/>
      <c r="CK1117" s="208" t="n"/>
      <c r="CL1117" s="208" t="n"/>
      <c r="CM1117" s="208" t="n"/>
      <c r="CN1117" s="78" t="n"/>
      <c r="CO1117" s="209" t="n"/>
      <c r="CP1117" s="204" t="n"/>
      <c r="CQ1117" s="204" t="n"/>
      <c r="CR1117" s="204" t="n"/>
      <c r="CS1117" s="204" t="n"/>
      <c r="CT1117" s="204" t="n"/>
      <c r="CU1117" s="204" t="n"/>
      <c r="CV1117" s="204" t="n"/>
      <c r="CW1117" s="204" t="n"/>
    </row>
    <row r="1118">
      <c r="BF1118" s="78" t="n"/>
      <c r="BG1118" s="78" t="n"/>
      <c r="BH1118" s="78" t="n"/>
      <c r="BI1118" s="78" t="n"/>
      <c r="BJ1118" s="139" t="n"/>
      <c r="BK1118" s="204" t="n"/>
      <c r="BL1118" s="141" t="n"/>
      <c r="BM1118" s="205" t="n"/>
      <c r="BN1118" s="205" t="n"/>
      <c r="BO1118" s="206" t="n"/>
      <c r="BP1118" s="144" t="n"/>
      <c r="BQ1118" s="141" t="n"/>
      <c r="BR1118" s="207" t="n"/>
      <c r="BS1118" s="207" t="n"/>
      <c r="BT1118" s="207" t="n"/>
      <c r="BU1118" s="207" t="n"/>
      <c r="BV1118" s="208" t="n"/>
      <c r="BW1118" s="207" t="n"/>
      <c r="BX1118" s="207" t="n"/>
      <c r="BY1118" s="204" t="n"/>
      <c r="BZ1118" s="148" t="n"/>
      <c r="CA1118" s="204" t="n"/>
      <c r="CB1118" s="208" t="n"/>
      <c r="CC1118" s="139" t="n"/>
      <c r="CD1118" s="204" t="n"/>
      <c r="CE1118" s="204" t="n"/>
      <c r="CF1118" s="207" t="n"/>
      <c r="CG1118" s="208" t="n"/>
      <c r="CH1118" s="207" t="n"/>
      <c r="CI1118" s="208" t="n"/>
      <c r="CJ1118" s="204" t="n"/>
      <c r="CK1118" s="208" t="n"/>
      <c r="CL1118" s="208" t="n"/>
      <c r="CM1118" s="208" t="n"/>
      <c r="CN1118" s="78" t="n"/>
      <c r="CO1118" s="209" t="n"/>
      <c r="CP1118" s="204" t="n"/>
      <c r="CQ1118" s="204" t="n"/>
      <c r="CR1118" s="204" t="n"/>
      <c r="CS1118" s="204" t="n"/>
      <c r="CT1118" s="204" t="n"/>
      <c r="CU1118" s="204" t="n"/>
      <c r="CV1118" s="204" t="n"/>
      <c r="CW1118" s="204" t="n"/>
    </row>
    <row r="1119">
      <c r="BF1119" s="78" t="n"/>
      <c r="BG1119" s="78" t="n"/>
      <c r="BH1119" s="78" t="n"/>
      <c r="BI1119" s="78" t="n"/>
      <c r="BJ1119" s="139" t="n"/>
      <c r="BK1119" s="204" t="n"/>
      <c r="BL1119" s="141" t="n"/>
      <c r="BM1119" s="205" t="n"/>
      <c r="BN1119" s="205" t="n"/>
      <c r="BO1119" s="206" t="n"/>
      <c r="BP1119" s="144" t="n"/>
      <c r="BQ1119" s="141" t="n"/>
      <c r="BR1119" s="207" t="n"/>
      <c r="BS1119" s="207" t="n"/>
      <c r="BT1119" s="207" t="n"/>
      <c r="BU1119" s="207" t="n"/>
      <c r="BV1119" s="208" t="n"/>
      <c r="BW1119" s="207" t="n"/>
      <c r="BX1119" s="207" t="n"/>
      <c r="BY1119" s="204" t="n"/>
      <c r="BZ1119" s="148" t="n"/>
      <c r="CA1119" s="204" t="n"/>
      <c r="CB1119" s="208" t="n"/>
      <c r="CC1119" s="139" t="n"/>
      <c r="CD1119" s="204" t="n"/>
      <c r="CE1119" s="204" t="n"/>
      <c r="CF1119" s="207" t="n"/>
      <c r="CG1119" s="208" t="n"/>
      <c r="CH1119" s="207" t="n"/>
      <c r="CI1119" s="208" t="n"/>
      <c r="CJ1119" s="204" t="n"/>
      <c r="CK1119" s="208" t="n"/>
      <c r="CL1119" s="208" t="n"/>
      <c r="CM1119" s="208" t="n"/>
      <c r="CN1119" s="78" t="n"/>
      <c r="CO1119" s="209" t="n"/>
      <c r="CP1119" s="204" t="n"/>
      <c r="CQ1119" s="204" t="n"/>
      <c r="CR1119" s="204" t="n"/>
      <c r="CS1119" s="204" t="n"/>
      <c r="CT1119" s="204" t="n"/>
      <c r="CU1119" s="204" t="n"/>
      <c r="CV1119" s="204" t="n"/>
      <c r="CW1119" s="204" t="n"/>
    </row>
    <row r="1120">
      <c r="BF1120" s="78" t="n"/>
      <c r="BG1120" s="78" t="n"/>
      <c r="BH1120" s="78" t="n"/>
      <c r="BI1120" s="78" t="n"/>
      <c r="BJ1120" s="139" t="n"/>
      <c r="BK1120" s="204" t="n"/>
      <c r="BL1120" s="141" t="n"/>
      <c r="BM1120" s="205" t="n"/>
      <c r="BN1120" s="205" t="n"/>
      <c r="BO1120" s="206" t="n"/>
      <c r="BP1120" s="144" t="n"/>
      <c r="BQ1120" s="141" t="n"/>
      <c r="BR1120" s="207" t="n"/>
      <c r="BS1120" s="207" t="n"/>
      <c r="BT1120" s="207" t="n"/>
      <c r="BU1120" s="207" t="n"/>
      <c r="BV1120" s="208" t="n"/>
      <c r="BW1120" s="207" t="n"/>
      <c r="BX1120" s="207" t="n"/>
      <c r="BY1120" s="204" t="n"/>
      <c r="BZ1120" s="148" t="n"/>
      <c r="CA1120" s="204" t="n"/>
      <c r="CB1120" s="208" t="n"/>
      <c r="CC1120" s="139" t="n"/>
      <c r="CD1120" s="204" t="n"/>
      <c r="CE1120" s="204" t="n"/>
      <c r="CF1120" s="207" t="n"/>
      <c r="CG1120" s="208" t="n"/>
      <c r="CH1120" s="207" t="n"/>
      <c r="CI1120" s="208" t="n"/>
      <c r="CJ1120" s="204" t="n"/>
      <c r="CK1120" s="208" t="n"/>
      <c r="CL1120" s="208" t="n"/>
      <c r="CM1120" s="208" t="n"/>
      <c r="CN1120" s="78" t="n"/>
      <c r="CO1120" s="209" t="n"/>
      <c r="CP1120" s="204" t="n"/>
      <c r="CQ1120" s="204" t="n"/>
      <c r="CR1120" s="204" t="n"/>
      <c r="CS1120" s="204" t="n"/>
      <c r="CT1120" s="204" t="n"/>
      <c r="CU1120" s="204" t="n"/>
      <c r="CV1120" s="204" t="n"/>
      <c r="CW1120" s="204" t="n"/>
    </row>
    <row r="1121">
      <c r="BF1121" s="78" t="n"/>
      <c r="BG1121" s="78" t="n"/>
      <c r="BH1121" s="78" t="n"/>
      <c r="BI1121" s="78" t="n"/>
      <c r="BJ1121" s="139" t="n"/>
      <c r="BK1121" s="204" t="n"/>
      <c r="BL1121" s="141" t="n"/>
      <c r="BM1121" s="205" t="n"/>
      <c r="BN1121" s="205" t="n"/>
      <c r="BO1121" s="206" t="n"/>
      <c r="BP1121" s="144" t="n"/>
      <c r="BQ1121" s="141" t="n"/>
      <c r="BR1121" s="207" t="n"/>
      <c r="BS1121" s="207" t="n"/>
      <c r="BT1121" s="207" t="n"/>
      <c r="BU1121" s="207" t="n"/>
      <c r="BV1121" s="208" t="n"/>
      <c r="BW1121" s="207" t="n"/>
      <c r="BX1121" s="207" t="n"/>
      <c r="BY1121" s="204" t="n"/>
      <c r="BZ1121" s="148" t="n"/>
      <c r="CA1121" s="204" t="n"/>
      <c r="CB1121" s="208" t="n"/>
      <c r="CC1121" s="139" t="n"/>
      <c r="CD1121" s="204" t="n"/>
      <c r="CE1121" s="204" t="n"/>
      <c r="CF1121" s="207" t="n"/>
      <c r="CG1121" s="208" t="n"/>
      <c r="CH1121" s="207" t="n"/>
      <c r="CI1121" s="208" t="n"/>
      <c r="CJ1121" s="204" t="n"/>
      <c r="CK1121" s="208" t="n"/>
      <c r="CL1121" s="208" t="n"/>
      <c r="CM1121" s="208" t="n"/>
      <c r="CN1121" s="78" t="n"/>
      <c r="CO1121" s="209" t="n"/>
      <c r="CP1121" s="204" t="n"/>
      <c r="CQ1121" s="204" t="n"/>
      <c r="CR1121" s="204" t="n"/>
      <c r="CS1121" s="204" t="n"/>
      <c r="CT1121" s="204" t="n"/>
      <c r="CU1121" s="204" t="n"/>
      <c r="CV1121" s="204" t="n"/>
      <c r="CW1121" s="204" t="n"/>
    </row>
    <row r="1122">
      <c r="BF1122" s="78" t="n"/>
      <c r="BG1122" s="78" t="n"/>
      <c r="BH1122" s="78" t="n"/>
      <c r="BI1122" s="78" t="n"/>
      <c r="BJ1122" s="139" t="n"/>
      <c r="BK1122" s="204" t="n"/>
      <c r="BL1122" s="141" t="n"/>
      <c r="BM1122" s="205" t="n"/>
      <c r="BN1122" s="205" t="n"/>
      <c r="BO1122" s="206" t="n"/>
      <c r="BP1122" s="144" t="n"/>
      <c r="BQ1122" s="141" t="n"/>
      <c r="BR1122" s="207" t="n"/>
      <c r="BS1122" s="207" t="n"/>
      <c r="BT1122" s="207" t="n"/>
      <c r="BU1122" s="207" t="n"/>
      <c r="BV1122" s="208" t="n"/>
      <c r="BW1122" s="207" t="n"/>
      <c r="BX1122" s="207" t="n"/>
      <c r="BY1122" s="204" t="n"/>
      <c r="BZ1122" s="148" t="n"/>
      <c r="CA1122" s="204" t="n"/>
      <c r="CB1122" s="208" t="n"/>
      <c r="CC1122" s="139" t="n"/>
      <c r="CD1122" s="204" t="n"/>
      <c r="CE1122" s="204" t="n"/>
      <c r="CF1122" s="207" t="n"/>
      <c r="CG1122" s="208" t="n"/>
      <c r="CH1122" s="207" t="n"/>
      <c r="CI1122" s="208" t="n"/>
      <c r="CJ1122" s="204" t="n"/>
      <c r="CK1122" s="208" t="n"/>
      <c r="CL1122" s="208" t="n"/>
      <c r="CM1122" s="208" t="n"/>
      <c r="CN1122" s="78" t="n"/>
      <c r="CO1122" s="209" t="n"/>
      <c r="CP1122" s="204" t="n"/>
      <c r="CQ1122" s="204" t="n"/>
      <c r="CR1122" s="204" t="n"/>
      <c r="CS1122" s="204" t="n"/>
      <c r="CT1122" s="204" t="n"/>
      <c r="CU1122" s="204" t="n"/>
      <c r="CV1122" s="204" t="n"/>
      <c r="CW1122" s="204" t="n"/>
    </row>
    <row r="1123">
      <c r="BF1123" s="78" t="n"/>
      <c r="BG1123" s="78" t="n"/>
      <c r="BH1123" s="78" t="n"/>
      <c r="BI1123" s="78" t="n"/>
      <c r="BJ1123" s="139" t="n"/>
      <c r="BK1123" s="204" t="n"/>
      <c r="BL1123" s="141" t="n"/>
      <c r="BM1123" s="205" t="n"/>
      <c r="BN1123" s="205" t="n"/>
      <c r="BO1123" s="206" t="n"/>
      <c r="BP1123" s="144" t="n"/>
      <c r="BQ1123" s="141" t="n"/>
      <c r="BR1123" s="207" t="n"/>
      <c r="BS1123" s="207" t="n"/>
      <c r="BT1123" s="207" t="n"/>
      <c r="BU1123" s="207" t="n"/>
      <c r="BV1123" s="208" t="n"/>
      <c r="BW1123" s="207" t="n"/>
      <c r="BX1123" s="207" t="n"/>
      <c r="BY1123" s="204" t="n"/>
      <c r="BZ1123" s="148" t="n"/>
      <c r="CA1123" s="204" t="n"/>
      <c r="CB1123" s="208" t="n"/>
      <c r="CC1123" s="139" t="n"/>
      <c r="CD1123" s="204" t="n"/>
      <c r="CE1123" s="204" t="n"/>
      <c r="CF1123" s="207" t="n"/>
      <c r="CG1123" s="208" t="n"/>
      <c r="CH1123" s="207" t="n"/>
      <c r="CI1123" s="208" t="n"/>
      <c r="CJ1123" s="204" t="n"/>
      <c r="CK1123" s="208" t="n"/>
      <c r="CL1123" s="208" t="n"/>
      <c r="CM1123" s="208" t="n"/>
      <c r="CN1123" s="78" t="n"/>
      <c r="CO1123" s="209" t="n"/>
      <c r="CP1123" s="204" t="n"/>
      <c r="CQ1123" s="204" t="n"/>
      <c r="CR1123" s="204" t="n"/>
      <c r="CS1123" s="204" t="n"/>
      <c r="CT1123" s="204" t="n"/>
      <c r="CU1123" s="204" t="n"/>
      <c r="CV1123" s="204" t="n"/>
      <c r="CW1123" s="204" t="n"/>
    </row>
    <row r="1124">
      <c r="BF1124" s="78" t="n"/>
      <c r="BG1124" s="78" t="n"/>
      <c r="BH1124" s="78" t="n"/>
      <c r="BI1124" s="78" t="n"/>
      <c r="BJ1124" s="139" t="n"/>
      <c r="BK1124" s="204" t="n"/>
      <c r="BL1124" s="141" t="n"/>
      <c r="BM1124" s="205" t="n"/>
      <c r="BN1124" s="205" t="n"/>
      <c r="BO1124" s="206" t="n"/>
      <c r="BP1124" s="144" t="n"/>
      <c r="BQ1124" s="141" t="n"/>
      <c r="BR1124" s="207" t="n"/>
      <c r="BS1124" s="207" t="n"/>
      <c r="BT1124" s="207" t="n"/>
      <c r="BU1124" s="207" t="n"/>
      <c r="BV1124" s="208" t="n"/>
      <c r="BW1124" s="207" t="n"/>
      <c r="BX1124" s="207" t="n"/>
      <c r="BY1124" s="204" t="n"/>
      <c r="BZ1124" s="148" t="n"/>
      <c r="CA1124" s="204" t="n"/>
      <c r="CB1124" s="208" t="n"/>
      <c r="CC1124" s="139" t="n"/>
      <c r="CD1124" s="204" t="n"/>
      <c r="CE1124" s="204" t="n"/>
      <c r="CF1124" s="207" t="n"/>
      <c r="CG1124" s="208" t="n"/>
      <c r="CH1124" s="207" t="n"/>
      <c r="CI1124" s="208" t="n"/>
      <c r="CJ1124" s="204" t="n"/>
      <c r="CK1124" s="208" t="n"/>
      <c r="CL1124" s="208" t="n"/>
      <c r="CM1124" s="208" t="n"/>
      <c r="CN1124" s="78" t="n"/>
      <c r="CO1124" s="209" t="n"/>
      <c r="CP1124" s="204" t="n"/>
      <c r="CQ1124" s="204" t="n"/>
      <c r="CR1124" s="204" t="n"/>
      <c r="CS1124" s="204" t="n"/>
      <c r="CT1124" s="204" t="n"/>
      <c r="CU1124" s="204" t="n"/>
      <c r="CV1124" s="204" t="n"/>
      <c r="CW1124" s="204" t="n"/>
    </row>
    <row r="1125">
      <c r="BF1125" s="78" t="n"/>
      <c r="BG1125" s="78" t="n"/>
      <c r="BH1125" s="78" t="n"/>
      <c r="BI1125" s="78" t="n"/>
      <c r="BJ1125" s="139" t="n"/>
      <c r="BK1125" s="204" t="n"/>
      <c r="BL1125" s="141" t="n"/>
      <c r="BM1125" s="205" t="n"/>
      <c r="BN1125" s="205" t="n"/>
      <c r="BO1125" s="206" t="n"/>
      <c r="BP1125" s="144" t="n"/>
      <c r="BQ1125" s="141" t="n"/>
      <c r="BR1125" s="207" t="n"/>
      <c r="BS1125" s="207" t="n"/>
      <c r="BT1125" s="207" t="n"/>
      <c r="BU1125" s="207" t="n"/>
      <c r="BV1125" s="208" t="n"/>
      <c r="BW1125" s="207" t="n"/>
      <c r="BX1125" s="207" t="n"/>
      <c r="BY1125" s="204" t="n"/>
      <c r="BZ1125" s="148" t="n"/>
      <c r="CA1125" s="204" t="n"/>
      <c r="CB1125" s="208" t="n"/>
      <c r="CC1125" s="139" t="n"/>
      <c r="CD1125" s="204" t="n"/>
      <c r="CE1125" s="204" t="n"/>
      <c r="CF1125" s="207" t="n"/>
      <c r="CG1125" s="208" t="n"/>
      <c r="CH1125" s="207" t="n"/>
      <c r="CI1125" s="208" t="n"/>
      <c r="CJ1125" s="204" t="n"/>
      <c r="CK1125" s="208" t="n"/>
      <c r="CL1125" s="208" t="n"/>
      <c r="CM1125" s="208" t="n"/>
      <c r="CN1125" s="78" t="n"/>
      <c r="CO1125" s="209" t="n"/>
      <c r="CP1125" s="204" t="n"/>
      <c r="CQ1125" s="204" t="n"/>
      <c r="CR1125" s="204" t="n"/>
      <c r="CS1125" s="204" t="n"/>
      <c r="CT1125" s="204" t="n"/>
      <c r="CU1125" s="204" t="n"/>
      <c r="CV1125" s="204" t="n"/>
      <c r="CW1125" s="204" t="n"/>
    </row>
    <row r="1126">
      <c r="BF1126" s="78" t="n"/>
      <c r="BG1126" s="78" t="n"/>
      <c r="BH1126" s="78" t="n"/>
      <c r="BI1126" s="78" t="n"/>
      <c r="BJ1126" s="139" t="n"/>
      <c r="BK1126" s="204" t="n"/>
      <c r="BL1126" s="141" t="n"/>
      <c r="BM1126" s="205" t="n"/>
      <c r="BN1126" s="205" t="n"/>
      <c r="BO1126" s="206" t="n"/>
      <c r="BP1126" s="144" t="n"/>
      <c r="BQ1126" s="141" t="n"/>
      <c r="BR1126" s="207" t="n"/>
      <c r="BS1126" s="207" t="n"/>
      <c r="BT1126" s="207" t="n"/>
      <c r="BU1126" s="207" t="n"/>
      <c r="BV1126" s="208" t="n"/>
      <c r="BW1126" s="207" t="n"/>
      <c r="BX1126" s="207" t="n"/>
      <c r="BY1126" s="204" t="n"/>
      <c r="BZ1126" s="148" t="n"/>
      <c r="CA1126" s="204" t="n"/>
      <c r="CB1126" s="208" t="n"/>
      <c r="CC1126" s="139" t="n"/>
      <c r="CD1126" s="204" t="n"/>
      <c r="CE1126" s="204" t="n"/>
      <c r="CF1126" s="207" t="n"/>
      <c r="CG1126" s="208" t="n"/>
      <c r="CH1126" s="207" t="n"/>
      <c r="CI1126" s="208" t="n"/>
      <c r="CJ1126" s="204" t="n"/>
      <c r="CK1126" s="208" t="n"/>
      <c r="CL1126" s="208" t="n"/>
      <c r="CM1126" s="208" t="n"/>
      <c r="CN1126" s="78" t="n"/>
      <c r="CO1126" s="209" t="n"/>
      <c r="CP1126" s="204" t="n"/>
      <c r="CQ1126" s="204" t="n"/>
      <c r="CR1126" s="204" t="n"/>
      <c r="CS1126" s="204" t="n"/>
      <c r="CT1126" s="204" t="n"/>
      <c r="CU1126" s="204" t="n"/>
      <c r="CV1126" s="204" t="n"/>
      <c r="CW1126" s="204" t="n"/>
    </row>
    <row r="1127">
      <c r="BF1127" s="78" t="n"/>
      <c r="BG1127" s="78" t="n"/>
      <c r="BH1127" s="78" t="n"/>
      <c r="BI1127" s="78" t="n"/>
      <c r="BJ1127" s="139" t="n"/>
      <c r="BK1127" s="204" t="n"/>
      <c r="BL1127" s="141" t="n"/>
      <c r="BM1127" s="205" t="n"/>
      <c r="BN1127" s="205" t="n"/>
      <c r="BO1127" s="206" t="n"/>
      <c r="BP1127" s="144" t="n"/>
      <c r="BQ1127" s="141" t="n"/>
      <c r="BR1127" s="207" t="n"/>
      <c r="BS1127" s="207" t="n"/>
      <c r="BT1127" s="207" t="n"/>
      <c r="BU1127" s="207" t="n"/>
      <c r="BV1127" s="208" t="n"/>
      <c r="BW1127" s="207" t="n"/>
      <c r="BX1127" s="207" t="n"/>
      <c r="BY1127" s="204" t="n"/>
      <c r="BZ1127" s="148" t="n"/>
      <c r="CA1127" s="204" t="n"/>
      <c r="CB1127" s="208" t="n"/>
      <c r="CC1127" s="139" t="n"/>
      <c r="CD1127" s="204" t="n"/>
      <c r="CE1127" s="204" t="n"/>
      <c r="CF1127" s="207" t="n"/>
      <c r="CG1127" s="208" t="n"/>
      <c r="CH1127" s="207" t="n"/>
      <c r="CI1127" s="208" t="n"/>
      <c r="CJ1127" s="204" t="n"/>
      <c r="CK1127" s="208" t="n"/>
      <c r="CL1127" s="208" t="n"/>
      <c r="CM1127" s="208" t="n"/>
      <c r="CN1127" s="78" t="n"/>
      <c r="CO1127" s="209" t="n"/>
      <c r="CP1127" s="204" t="n"/>
      <c r="CQ1127" s="204" t="n"/>
      <c r="CR1127" s="204" t="n"/>
      <c r="CS1127" s="204" t="n"/>
      <c r="CT1127" s="204" t="n"/>
      <c r="CU1127" s="204" t="n"/>
      <c r="CV1127" s="204" t="n"/>
      <c r="CW1127" s="204" t="n"/>
    </row>
    <row r="1128">
      <c r="BF1128" s="78" t="n"/>
      <c r="BG1128" s="78" t="n"/>
      <c r="BH1128" s="78" t="n"/>
      <c r="BI1128" s="78" t="n"/>
      <c r="BJ1128" s="139" t="n"/>
      <c r="BK1128" s="204" t="n"/>
      <c r="BL1128" s="141" t="n"/>
      <c r="BM1128" s="205" t="n"/>
      <c r="BN1128" s="205" t="n"/>
      <c r="BO1128" s="206" t="n"/>
      <c r="BP1128" s="144" t="n"/>
      <c r="BQ1128" s="141" t="n"/>
      <c r="BR1128" s="207" t="n"/>
      <c r="BS1128" s="207" t="n"/>
      <c r="BT1128" s="207" t="n"/>
      <c r="BU1128" s="207" t="n"/>
      <c r="BV1128" s="208" t="n"/>
      <c r="BW1128" s="207" t="n"/>
      <c r="BX1128" s="207" t="n"/>
      <c r="BY1128" s="204" t="n"/>
      <c r="BZ1128" s="148" t="n"/>
      <c r="CA1128" s="204" t="n"/>
      <c r="CB1128" s="208" t="n"/>
      <c r="CC1128" s="139" t="n"/>
      <c r="CD1128" s="204" t="n"/>
      <c r="CE1128" s="204" t="n"/>
      <c r="CF1128" s="207" t="n"/>
      <c r="CG1128" s="208" t="n"/>
      <c r="CH1128" s="207" t="n"/>
      <c r="CI1128" s="208" t="n"/>
      <c r="CJ1128" s="204" t="n"/>
      <c r="CK1128" s="208" t="n"/>
      <c r="CL1128" s="208" t="n"/>
      <c r="CM1128" s="208" t="n"/>
      <c r="CN1128" s="78" t="n"/>
      <c r="CO1128" s="209" t="n"/>
      <c r="CP1128" s="204" t="n"/>
      <c r="CQ1128" s="204" t="n"/>
      <c r="CR1128" s="204" t="n"/>
      <c r="CS1128" s="204" t="n"/>
      <c r="CT1128" s="204" t="n"/>
      <c r="CU1128" s="204" t="n"/>
      <c r="CV1128" s="204" t="n"/>
      <c r="CW1128" s="204" t="n"/>
    </row>
    <row r="1129">
      <c r="BF1129" s="78" t="n"/>
      <c r="BG1129" s="78" t="n"/>
      <c r="BH1129" s="78" t="n"/>
      <c r="BI1129" s="78" t="n"/>
      <c r="BJ1129" s="139" t="n"/>
      <c r="BK1129" s="204" t="n"/>
      <c r="BL1129" s="141" t="n"/>
      <c r="BM1129" s="205" t="n"/>
      <c r="BN1129" s="205" t="n"/>
      <c r="BO1129" s="206" t="n"/>
      <c r="BP1129" s="144" t="n"/>
      <c r="BQ1129" s="141" t="n"/>
      <c r="BR1129" s="207" t="n"/>
      <c r="BS1129" s="207" t="n"/>
      <c r="BT1129" s="207" t="n"/>
      <c r="BU1129" s="207" t="n"/>
      <c r="BV1129" s="208" t="n"/>
      <c r="BW1129" s="207" t="n"/>
      <c r="BX1129" s="207" t="n"/>
      <c r="BY1129" s="204" t="n"/>
      <c r="BZ1129" s="148" t="n"/>
      <c r="CA1129" s="204" t="n"/>
      <c r="CB1129" s="208" t="n"/>
      <c r="CC1129" s="139" t="n"/>
      <c r="CD1129" s="204" t="n"/>
      <c r="CE1129" s="204" t="n"/>
      <c r="CF1129" s="207" t="n"/>
      <c r="CG1129" s="208" t="n"/>
      <c r="CH1129" s="207" t="n"/>
      <c r="CI1129" s="208" t="n"/>
      <c r="CJ1129" s="204" t="n"/>
      <c r="CK1129" s="208" t="n"/>
      <c r="CL1129" s="208" t="n"/>
      <c r="CM1129" s="208" t="n"/>
      <c r="CN1129" s="78" t="n"/>
      <c r="CO1129" s="209" t="n"/>
      <c r="CP1129" s="204" t="n"/>
      <c r="CQ1129" s="204" t="n"/>
      <c r="CR1129" s="204" t="n"/>
      <c r="CS1129" s="204" t="n"/>
      <c r="CT1129" s="204" t="n"/>
      <c r="CU1129" s="204" t="n"/>
      <c r="CV1129" s="204" t="n"/>
      <c r="CW1129" s="204" t="n"/>
    </row>
    <row r="1130">
      <c r="BF1130" s="78" t="n"/>
      <c r="BG1130" s="78" t="n"/>
      <c r="BH1130" s="78" t="n"/>
      <c r="BI1130" s="78" t="n"/>
      <c r="BJ1130" s="139" t="n"/>
      <c r="BK1130" s="204" t="n"/>
      <c r="BL1130" s="141" t="n"/>
      <c r="BM1130" s="205" t="n"/>
      <c r="BN1130" s="205" t="n"/>
      <c r="BO1130" s="206" t="n"/>
      <c r="BP1130" s="144" t="n"/>
      <c r="BQ1130" s="141" t="n"/>
      <c r="BR1130" s="207" t="n"/>
      <c r="BS1130" s="207" t="n"/>
      <c r="BT1130" s="207" t="n"/>
      <c r="BU1130" s="207" t="n"/>
      <c r="BV1130" s="208" t="n"/>
      <c r="BW1130" s="207" t="n"/>
      <c r="BX1130" s="207" t="n"/>
      <c r="BY1130" s="204" t="n"/>
      <c r="BZ1130" s="148" t="n"/>
      <c r="CA1130" s="204" t="n"/>
      <c r="CB1130" s="208" t="n"/>
      <c r="CC1130" s="139" t="n"/>
      <c r="CD1130" s="204" t="n"/>
      <c r="CE1130" s="204" t="n"/>
      <c r="CF1130" s="207" t="n"/>
      <c r="CG1130" s="208" t="n"/>
      <c r="CH1130" s="207" t="n"/>
      <c r="CI1130" s="208" t="n"/>
      <c r="CJ1130" s="204" t="n"/>
      <c r="CK1130" s="208" t="n"/>
      <c r="CL1130" s="208" t="n"/>
      <c r="CM1130" s="208" t="n"/>
      <c r="CN1130" s="78" t="n"/>
      <c r="CO1130" s="209" t="n"/>
      <c r="CP1130" s="204" t="n"/>
      <c r="CQ1130" s="204" t="n"/>
      <c r="CR1130" s="204" t="n"/>
      <c r="CS1130" s="204" t="n"/>
      <c r="CT1130" s="204" t="n"/>
      <c r="CU1130" s="204" t="n"/>
      <c r="CV1130" s="204" t="n"/>
      <c r="CW1130" s="204" t="n"/>
    </row>
    <row r="1131">
      <c r="BF1131" s="78" t="n"/>
      <c r="BG1131" s="78" t="n"/>
      <c r="BH1131" s="78" t="n"/>
      <c r="BI1131" s="78" t="n"/>
      <c r="BJ1131" s="139" t="n"/>
      <c r="BK1131" s="204" t="n"/>
      <c r="BL1131" s="141" t="n"/>
      <c r="BM1131" s="205" t="n"/>
      <c r="BN1131" s="205" t="n"/>
      <c r="BO1131" s="206" t="n"/>
      <c r="BP1131" s="144" t="n"/>
      <c r="BQ1131" s="141" t="n"/>
      <c r="BR1131" s="207" t="n"/>
      <c r="BS1131" s="207" t="n"/>
      <c r="BT1131" s="207" t="n"/>
      <c r="BU1131" s="207" t="n"/>
      <c r="BV1131" s="208" t="n"/>
      <c r="BW1131" s="207" t="n"/>
      <c r="BX1131" s="207" t="n"/>
      <c r="BY1131" s="204" t="n"/>
      <c r="BZ1131" s="148" t="n"/>
      <c r="CA1131" s="204" t="n"/>
      <c r="CB1131" s="208" t="n"/>
      <c r="CC1131" s="139" t="n"/>
      <c r="CD1131" s="204" t="n"/>
      <c r="CE1131" s="204" t="n"/>
      <c r="CF1131" s="207" t="n"/>
      <c r="CG1131" s="208" t="n"/>
      <c r="CH1131" s="207" t="n"/>
      <c r="CI1131" s="208" t="n"/>
      <c r="CJ1131" s="204" t="n"/>
      <c r="CK1131" s="208" t="n"/>
      <c r="CL1131" s="208" t="n"/>
      <c r="CM1131" s="208" t="n"/>
      <c r="CN1131" s="78" t="n"/>
      <c r="CO1131" s="209" t="n"/>
      <c r="CP1131" s="204" t="n"/>
      <c r="CQ1131" s="204" t="n"/>
      <c r="CR1131" s="204" t="n"/>
      <c r="CS1131" s="204" t="n"/>
      <c r="CT1131" s="204" t="n"/>
      <c r="CU1131" s="204" t="n"/>
      <c r="CV1131" s="204" t="n"/>
      <c r="CW1131" s="204" t="n"/>
    </row>
    <row r="1132">
      <c r="BF1132" s="78" t="n"/>
      <c r="BG1132" s="78" t="n"/>
      <c r="BH1132" s="78" t="n"/>
      <c r="BI1132" s="78" t="n"/>
      <c r="BJ1132" s="139" t="n"/>
      <c r="BK1132" s="204" t="n"/>
      <c r="BL1132" s="141" t="n"/>
      <c r="BM1132" s="205" t="n"/>
      <c r="BN1132" s="205" t="n"/>
      <c r="BO1132" s="206" t="n"/>
      <c r="BP1132" s="144" t="n"/>
      <c r="BQ1132" s="141" t="n"/>
      <c r="BR1132" s="207" t="n"/>
      <c r="BS1132" s="207" t="n"/>
      <c r="BT1132" s="207" t="n"/>
      <c r="BU1132" s="207" t="n"/>
      <c r="BV1132" s="208" t="n"/>
      <c r="BW1132" s="207" t="n"/>
      <c r="BX1132" s="207" t="n"/>
      <c r="BY1132" s="204" t="n"/>
      <c r="BZ1132" s="148" t="n"/>
      <c r="CA1132" s="204" t="n"/>
      <c r="CB1132" s="208" t="n"/>
      <c r="CC1132" s="139" t="n"/>
      <c r="CD1132" s="204" t="n"/>
      <c r="CE1132" s="204" t="n"/>
      <c r="CF1132" s="207" t="n"/>
      <c r="CG1132" s="208" t="n"/>
      <c r="CH1132" s="207" t="n"/>
      <c r="CI1132" s="208" t="n"/>
      <c r="CJ1132" s="204" t="n"/>
      <c r="CK1132" s="208" t="n"/>
      <c r="CL1132" s="208" t="n"/>
      <c r="CM1132" s="208" t="n"/>
      <c r="CN1132" s="78" t="n"/>
      <c r="CO1132" s="209" t="n"/>
      <c r="CP1132" s="204" t="n"/>
      <c r="CQ1132" s="204" t="n"/>
      <c r="CR1132" s="204" t="n"/>
      <c r="CS1132" s="204" t="n"/>
      <c r="CT1132" s="204" t="n"/>
      <c r="CU1132" s="204" t="n"/>
      <c r="CV1132" s="204" t="n"/>
      <c r="CW1132" s="204" t="n"/>
    </row>
    <row r="1133">
      <c r="BF1133" s="78" t="n"/>
      <c r="BG1133" s="78" t="n"/>
      <c r="BH1133" s="78" t="n"/>
      <c r="BI1133" s="78" t="n"/>
      <c r="BJ1133" s="139" t="n"/>
      <c r="BK1133" s="204" t="n"/>
      <c r="BL1133" s="141" t="n"/>
      <c r="BM1133" s="205" t="n"/>
      <c r="BN1133" s="205" t="n"/>
      <c r="BO1133" s="206" t="n"/>
      <c r="BP1133" s="144" t="n"/>
      <c r="BQ1133" s="141" t="n"/>
      <c r="BR1133" s="207" t="n"/>
      <c r="BS1133" s="207" t="n"/>
      <c r="BT1133" s="207" t="n"/>
      <c r="BU1133" s="207" t="n"/>
      <c r="BV1133" s="208" t="n"/>
      <c r="BW1133" s="207" t="n"/>
      <c r="BX1133" s="207" t="n"/>
      <c r="BY1133" s="204" t="n"/>
      <c r="BZ1133" s="148" t="n"/>
      <c r="CA1133" s="204" t="n"/>
      <c r="CB1133" s="208" t="n"/>
      <c r="CC1133" s="139" t="n"/>
      <c r="CD1133" s="204" t="n"/>
      <c r="CE1133" s="204" t="n"/>
      <c r="CF1133" s="207" t="n"/>
      <c r="CG1133" s="208" t="n"/>
      <c r="CH1133" s="207" t="n"/>
      <c r="CI1133" s="208" t="n"/>
      <c r="CJ1133" s="204" t="n"/>
      <c r="CK1133" s="208" t="n"/>
      <c r="CL1133" s="208" t="n"/>
      <c r="CM1133" s="208" t="n"/>
      <c r="CN1133" s="78" t="n"/>
      <c r="CO1133" s="209" t="n"/>
      <c r="CP1133" s="204" t="n"/>
      <c r="CQ1133" s="204" t="n"/>
      <c r="CR1133" s="204" t="n"/>
      <c r="CS1133" s="204" t="n"/>
      <c r="CT1133" s="204" t="n"/>
      <c r="CU1133" s="204" t="n"/>
      <c r="CV1133" s="204" t="n"/>
      <c r="CW1133" s="204" t="n"/>
    </row>
    <row r="1134">
      <c r="BF1134" s="78" t="n"/>
      <c r="BG1134" s="78" t="n"/>
      <c r="BH1134" s="78" t="n"/>
      <c r="BI1134" s="78" t="n"/>
      <c r="BJ1134" s="139" t="n"/>
      <c r="BK1134" s="204" t="n"/>
      <c r="BL1134" s="141" t="n"/>
      <c r="BM1134" s="205" t="n"/>
      <c r="BN1134" s="205" t="n"/>
      <c r="BO1134" s="206" t="n"/>
      <c r="BP1134" s="144" t="n"/>
      <c r="BQ1134" s="141" t="n"/>
      <c r="BR1134" s="207" t="n"/>
      <c r="BS1134" s="207" t="n"/>
      <c r="BT1134" s="207" t="n"/>
      <c r="BU1134" s="207" t="n"/>
      <c r="BV1134" s="208" t="n"/>
      <c r="BW1134" s="207" t="n"/>
      <c r="BX1134" s="207" t="n"/>
      <c r="BY1134" s="204" t="n"/>
      <c r="BZ1134" s="148" t="n"/>
      <c r="CA1134" s="204" t="n"/>
      <c r="CB1134" s="208" t="n"/>
      <c r="CC1134" s="139" t="n"/>
      <c r="CD1134" s="204" t="n"/>
      <c r="CE1134" s="204" t="n"/>
      <c r="CF1134" s="207" t="n"/>
      <c r="CG1134" s="208" t="n"/>
      <c r="CH1134" s="207" t="n"/>
      <c r="CI1134" s="208" t="n"/>
      <c r="CJ1134" s="204" t="n"/>
      <c r="CK1134" s="208" t="n"/>
      <c r="CL1134" s="208" t="n"/>
      <c r="CM1134" s="208" t="n"/>
      <c r="CN1134" s="78" t="n"/>
      <c r="CO1134" s="209" t="n"/>
      <c r="CP1134" s="204" t="n"/>
      <c r="CQ1134" s="204" t="n"/>
      <c r="CR1134" s="204" t="n"/>
      <c r="CS1134" s="204" t="n"/>
      <c r="CT1134" s="204" t="n"/>
      <c r="CU1134" s="204" t="n"/>
      <c r="CV1134" s="204" t="n"/>
      <c r="CW1134" s="204" t="n"/>
    </row>
    <row r="1135">
      <c r="BF1135" s="78" t="n"/>
      <c r="BG1135" s="78" t="n"/>
      <c r="BH1135" s="78" t="n"/>
      <c r="BI1135" s="78" t="n"/>
      <c r="BJ1135" s="139" t="n"/>
      <c r="BK1135" s="204" t="n"/>
      <c r="BL1135" s="141" t="n"/>
      <c r="BM1135" s="205" t="n"/>
      <c r="BN1135" s="205" t="n"/>
      <c r="BO1135" s="206" t="n"/>
      <c r="BP1135" s="144" t="n"/>
      <c r="BQ1135" s="141" t="n"/>
      <c r="BR1135" s="207" t="n"/>
      <c r="BS1135" s="207" t="n"/>
      <c r="BT1135" s="207" t="n"/>
      <c r="BU1135" s="207" t="n"/>
      <c r="BV1135" s="208" t="n"/>
      <c r="BW1135" s="207" t="n"/>
      <c r="BX1135" s="207" t="n"/>
      <c r="BY1135" s="204" t="n"/>
      <c r="BZ1135" s="148" t="n"/>
      <c r="CA1135" s="204" t="n"/>
      <c r="CB1135" s="208" t="n"/>
      <c r="CC1135" s="139" t="n"/>
      <c r="CD1135" s="204" t="n"/>
      <c r="CE1135" s="204" t="n"/>
      <c r="CF1135" s="207" t="n"/>
      <c r="CG1135" s="208" t="n"/>
      <c r="CH1135" s="207" t="n"/>
      <c r="CI1135" s="208" t="n"/>
      <c r="CJ1135" s="204" t="n"/>
      <c r="CK1135" s="208" t="n"/>
      <c r="CL1135" s="208" t="n"/>
      <c r="CM1135" s="208" t="n"/>
      <c r="CN1135" s="78" t="n"/>
      <c r="CO1135" s="209" t="n"/>
      <c r="CP1135" s="204" t="n"/>
      <c r="CQ1135" s="204" t="n"/>
      <c r="CR1135" s="204" t="n"/>
      <c r="CS1135" s="204" t="n"/>
      <c r="CT1135" s="204" t="n"/>
      <c r="CU1135" s="204" t="n"/>
      <c r="CV1135" s="204" t="n"/>
      <c r="CW1135" s="204" t="n"/>
    </row>
    <row r="1136">
      <c r="BF1136" s="78" t="n"/>
      <c r="BG1136" s="78" t="n"/>
      <c r="BH1136" s="78" t="n"/>
      <c r="BI1136" s="78" t="n"/>
      <c r="BJ1136" s="139" t="n"/>
      <c r="BK1136" s="204" t="n"/>
      <c r="BL1136" s="141" t="n"/>
      <c r="BM1136" s="205" t="n"/>
      <c r="BN1136" s="205" t="n"/>
      <c r="BO1136" s="206" t="n"/>
      <c r="BP1136" s="144" t="n"/>
      <c r="BQ1136" s="141" t="n"/>
      <c r="BR1136" s="207" t="n"/>
      <c r="BS1136" s="207" t="n"/>
      <c r="BT1136" s="207" t="n"/>
      <c r="BU1136" s="207" t="n"/>
      <c r="BV1136" s="208" t="n"/>
      <c r="BW1136" s="207" t="n"/>
      <c r="BX1136" s="207" t="n"/>
      <c r="BY1136" s="204" t="n"/>
      <c r="BZ1136" s="148" t="n"/>
      <c r="CA1136" s="204" t="n"/>
      <c r="CB1136" s="208" t="n"/>
      <c r="CC1136" s="139" t="n"/>
      <c r="CD1136" s="204" t="n"/>
      <c r="CE1136" s="204" t="n"/>
      <c r="CF1136" s="207" t="n"/>
      <c r="CG1136" s="208" t="n"/>
      <c r="CH1136" s="207" t="n"/>
      <c r="CI1136" s="208" t="n"/>
      <c r="CJ1136" s="204" t="n"/>
      <c r="CK1136" s="208" t="n"/>
      <c r="CL1136" s="208" t="n"/>
      <c r="CM1136" s="208" t="n"/>
      <c r="CN1136" s="78" t="n"/>
      <c r="CO1136" s="209" t="n"/>
      <c r="CP1136" s="204" t="n"/>
      <c r="CQ1136" s="204" t="n"/>
      <c r="CR1136" s="204" t="n"/>
      <c r="CS1136" s="204" t="n"/>
      <c r="CT1136" s="204" t="n"/>
      <c r="CU1136" s="204" t="n"/>
      <c r="CV1136" s="204" t="n"/>
      <c r="CW1136" s="204" t="n"/>
    </row>
    <row r="1137">
      <c r="BF1137" s="78" t="n"/>
      <c r="BG1137" s="78" t="n"/>
      <c r="BH1137" s="78" t="n"/>
      <c r="BI1137" s="78" t="n"/>
      <c r="BJ1137" s="139" t="n"/>
      <c r="BK1137" s="204" t="n"/>
      <c r="BL1137" s="141" t="n"/>
      <c r="BM1137" s="205" t="n"/>
      <c r="BN1137" s="205" t="n"/>
      <c r="BO1137" s="206" t="n"/>
      <c r="BP1137" s="144" t="n"/>
      <c r="BQ1137" s="141" t="n"/>
      <c r="BR1137" s="207" t="n"/>
      <c r="BS1137" s="207" t="n"/>
      <c r="BT1137" s="207" t="n"/>
      <c r="BU1137" s="207" t="n"/>
      <c r="BV1137" s="208" t="n"/>
      <c r="BW1137" s="207" t="n"/>
      <c r="BX1137" s="207" t="n"/>
      <c r="BY1137" s="204" t="n"/>
      <c r="BZ1137" s="148" t="n"/>
      <c r="CA1137" s="204" t="n"/>
      <c r="CB1137" s="208" t="n"/>
      <c r="CC1137" s="139" t="n"/>
      <c r="CD1137" s="204" t="n"/>
      <c r="CE1137" s="204" t="n"/>
      <c r="CF1137" s="207" t="n"/>
      <c r="CG1137" s="208" t="n"/>
      <c r="CH1137" s="207" t="n"/>
      <c r="CI1137" s="208" t="n"/>
      <c r="CJ1137" s="204" t="n"/>
      <c r="CK1137" s="208" t="n"/>
      <c r="CL1137" s="208" t="n"/>
      <c r="CM1137" s="208" t="n"/>
      <c r="CN1137" s="78" t="n"/>
      <c r="CO1137" s="209" t="n"/>
      <c r="CP1137" s="204" t="n"/>
      <c r="CQ1137" s="204" t="n"/>
      <c r="CR1137" s="204" t="n"/>
      <c r="CS1137" s="204" t="n"/>
      <c r="CT1137" s="204" t="n"/>
      <c r="CU1137" s="204" t="n"/>
      <c r="CV1137" s="204" t="n"/>
      <c r="CW1137" s="204" t="n"/>
    </row>
    <row r="1138">
      <c r="BF1138" s="78" t="n"/>
      <c r="BG1138" s="78" t="n"/>
      <c r="BH1138" s="78" t="n"/>
      <c r="BI1138" s="78" t="n"/>
      <c r="BJ1138" s="139" t="n"/>
      <c r="BK1138" s="204" t="n"/>
      <c r="BL1138" s="141" t="n"/>
      <c r="BM1138" s="205" t="n"/>
      <c r="BN1138" s="205" t="n"/>
      <c r="BO1138" s="206" t="n"/>
      <c r="BP1138" s="144" t="n"/>
      <c r="BQ1138" s="141" t="n"/>
      <c r="BR1138" s="207" t="n"/>
      <c r="BS1138" s="207" t="n"/>
      <c r="BT1138" s="207" t="n"/>
      <c r="BU1138" s="207" t="n"/>
      <c r="BV1138" s="208" t="n"/>
      <c r="BW1138" s="207" t="n"/>
      <c r="BX1138" s="207" t="n"/>
      <c r="BY1138" s="204" t="n"/>
      <c r="BZ1138" s="148" t="n"/>
      <c r="CA1138" s="204" t="n"/>
      <c r="CB1138" s="208" t="n"/>
      <c r="CC1138" s="139" t="n"/>
      <c r="CD1138" s="204" t="n"/>
      <c r="CE1138" s="204" t="n"/>
      <c r="CF1138" s="207" t="n"/>
      <c r="CG1138" s="208" t="n"/>
      <c r="CH1138" s="207" t="n"/>
      <c r="CI1138" s="208" t="n"/>
      <c r="CJ1138" s="204" t="n"/>
      <c r="CK1138" s="208" t="n"/>
      <c r="CL1138" s="208" t="n"/>
      <c r="CM1138" s="208" t="n"/>
      <c r="CN1138" s="78" t="n"/>
      <c r="CO1138" s="209" t="n"/>
      <c r="CP1138" s="204" t="n"/>
      <c r="CQ1138" s="204" t="n"/>
      <c r="CR1138" s="204" t="n"/>
      <c r="CS1138" s="204" t="n"/>
      <c r="CT1138" s="204" t="n"/>
      <c r="CU1138" s="204" t="n"/>
      <c r="CV1138" s="204" t="n"/>
      <c r="CW1138" s="204" t="n"/>
    </row>
    <row r="1139">
      <c r="BF1139" s="78" t="n"/>
      <c r="BG1139" s="78" t="n"/>
      <c r="BH1139" s="78" t="n"/>
      <c r="BI1139" s="78" t="n"/>
      <c r="BJ1139" s="139" t="n"/>
      <c r="BK1139" s="204" t="n"/>
      <c r="BL1139" s="141" t="n"/>
      <c r="BM1139" s="205" t="n"/>
      <c r="BN1139" s="205" t="n"/>
      <c r="BO1139" s="206" t="n"/>
      <c r="BP1139" s="144" t="n"/>
      <c r="BQ1139" s="141" t="n"/>
      <c r="BR1139" s="207" t="n"/>
      <c r="BS1139" s="207" t="n"/>
      <c r="BT1139" s="207" t="n"/>
      <c r="BU1139" s="207" t="n"/>
      <c r="BV1139" s="208" t="n"/>
      <c r="BW1139" s="207" t="n"/>
      <c r="BX1139" s="207" t="n"/>
      <c r="BY1139" s="204" t="n"/>
      <c r="BZ1139" s="148" t="n"/>
      <c r="CA1139" s="204" t="n"/>
      <c r="CB1139" s="208" t="n"/>
      <c r="CC1139" s="139" t="n"/>
      <c r="CD1139" s="204" t="n"/>
      <c r="CE1139" s="204" t="n"/>
      <c r="CF1139" s="207" t="n"/>
      <c r="CG1139" s="208" t="n"/>
      <c r="CH1139" s="207" t="n"/>
      <c r="CI1139" s="208" t="n"/>
      <c r="CJ1139" s="204" t="n"/>
      <c r="CK1139" s="208" t="n"/>
      <c r="CL1139" s="208" t="n"/>
      <c r="CM1139" s="208" t="n"/>
      <c r="CN1139" s="78" t="n"/>
      <c r="CO1139" s="209" t="n"/>
      <c r="CP1139" s="204" t="n"/>
      <c r="CQ1139" s="204" t="n"/>
      <c r="CR1139" s="204" t="n"/>
      <c r="CS1139" s="204" t="n"/>
      <c r="CT1139" s="204" t="n"/>
      <c r="CU1139" s="204" t="n"/>
      <c r="CV1139" s="204" t="n"/>
      <c r="CW1139" s="204" t="n"/>
    </row>
    <row r="1140">
      <c r="BF1140" s="78" t="n"/>
      <c r="BG1140" s="78" t="n"/>
      <c r="BH1140" s="78" t="n"/>
      <c r="BI1140" s="78" t="n"/>
      <c r="BJ1140" s="139" t="n"/>
      <c r="BK1140" s="204" t="n"/>
      <c r="BL1140" s="141" t="n"/>
      <c r="BM1140" s="205" t="n"/>
      <c r="BN1140" s="205" t="n"/>
      <c r="BO1140" s="206" t="n"/>
      <c r="BP1140" s="144" t="n"/>
      <c r="BQ1140" s="141" t="n"/>
      <c r="BR1140" s="207" t="n"/>
      <c r="BS1140" s="207" t="n"/>
      <c r="BT1140" s="207" t="n"/>
      <c r="BU1140" s="207" t="n"/>
      <c r="BV1140" s="208" t="n"/>
      <c r="BW1140" s="207" t="n"/>
      <c r="BX1140" s="207" t="n"/>
      <c r="BY1140" s="204" t="n"/>
      <c r="BZ1140" s="148" t="n"/>
      <c r="CA1140" s="204" t="n"/>
      <c r="CB1140" s="208" t="n"/>
      <c r="CC1140" s="139" t="n"/>
      <c r="CD1140" s="204" t="n"/>
      <c r="CE1140" s="204" t="n"/>
      <c r="CF1140" s="207" t="n"/>
      <c r="CG1140" s="208" t="n"/>
      <c r="CH1140" s="207" t="n"/>
      <c r="CI1140" s="208" t="n"/>
      <c r="CJ1140" s="204" t="n"/>
      <c r="CK1140" s="208" t="n"/>
      <c r="CL1140" s="208" t="n"/>
      <c r="CM1140" s="208" t="n"/>
      <c r="CN1140" s="78" t="n"/>
      <c r="CO1140" s="209" t="n"/>
      <c r="CP1140" s="204" t="n"/>
      <c r="CQ1140" s="204" t="n"/>
      <c r="CR1140" s="204" t="n"/>
      <c r="CS1140" s="204" t="n"/>
      <c r="CT1140" s="204" t="n"/>
      <c r="CU1140" s="204" t="n"/>
      <c r="CV1140" s="204" t="n"/>
      <c r="CW1140" s="204" t="n"/>
    </row>
    <row r="1141">
      <c r="BF1141" s="78" t="n"/>
      <c r="BG1141" s="78" t="n"/>
      <c r="BH1141" s="78" t="n"/>
      <c r="BI1141" s="78" t="n"/>
      <c r="BJ1141" s="139" t="n"/>
      <c r="BK1141" s="204" t="n"/>
      <c r="BL1141" s="141" t="n"/>
      <c r="BM1141" s="205" t="n"/>
      <c r="BN1141" s="205" t="n"/>
      <c r="BO1141" s="206" t="n"/>
      <c r="BP1141" s="144" t="n"/>
      <c r="BQ1141" s="141" t="n"/>
      <c r="BR1141" s="207" t="n"/>
      <c r="BS1141" s="207" t="n"/>
      <c r="BT1141" s="207" t="n"/>
      <c r="BU1141" s="207" t="n"/>
      <c r="BV1141" s="208" t="n"/>
      <c r="BW1141" s="207" t="n"/>
      <c r="BX1141" s="207" t="n"/>
      <c r="BY1141" s="204" t="n"/>
      <c r="BZ1141" s="148" t="n"/>
      <c r="CA1141" s="204" t="n"/>
      <c r="CB1141" s="208" t="n"/>
      <c r="CC1141" s="139" t="n"/>
      <c r="CD1141" s="204" t="n"/>
      <c r="CE1141" s="204" t="n"/>
      <c r="CF1141" s="207" t="n"/>
      <c r="CG1141" s="208" t="n"/>
      <c r="CH1141" s="207" t="n"/>
      <c r="CI1141" s="208" t="n"/>
      <c r="CJ1141" s="204" t="n"/>
      <c r="CK1141" s="208" t="n"/>
      <c r="CL1141" s="208" t="n"/>
      <c r="CM1141" s="208" t="n"/>
      <c r="CN1141" s="78" t="n"/>
      <c r="CO1141" s="209" t="n"/>
      <c r="CP1141" s="204" t="n"/>
      <c r="CQ1141" s="204" t="n"/>
      <c r="CR1141" s="204" t="n"/>
      <c r="CS1141" s="204" t="n"/>
      <c r="CT1141" s="204" t="n"/>
      <c r="CU1141" s="204" t="n"/>
      <c r="CV1141" s="204" t="n"/>
      <c r="CW1141" s="204" t="n"/>
    </row>
    <row r="1142">
      <c r="BF1142" s="78" t="n"/>
      <c r="BG1142" s="78" t="n"/>
      <c r="BH1142" s="78" t="n"/>
      <c r="BI1142" s="78" t="n"/>
      <c r="BJ1142" s="139" t="n"/>
      <c r="BK1142" s="204" t="n"/>
      <c r="BL1142" s="141" t="n"/>
      <c r="BM1142" s="205" t="n"/>
      <c r="BN1142" s="205" t="n"/>
      <c r="BO1142" s="206" t="n"/>
      <c r="BP1142" s="144" t="n"/>
      <c r="BQ1142" s="141" t="n"/>
      <c r="BR1142" s="207" t="n"/>
      <c r="BS1142" s="207" t="n"/>
      <c r="BT1142" s="207" t="n"/>
      <c r="BU1142" s="207" t="n"/>
      <c r="BV1142" s="208" t="n"/>
      <c r="BW1142" s="207" t="n"/>
      <c r="BX1142" s="207" t="n"/>
      <c r="BY1142" s="204" t="n"/>
      <c r="BZ1142" s="148" t="n"/>
      <c r="CA1142" s="204" t="n"/>
      <c r="CB1142" s="208" t="n"/>
      <c r="CC1142" s="139" t="n"/>
      <c r="CD1142" s="204" t="n"/>
      <c r="CE1142" s="204" t="n"/>
      <c r="CF1142" s="207" t="n"/>
      <c r="CG1142" s="208" t="n"/>
      <c r="CH1142" s="207" t="n"/>
      <c r="CI1142" s="208" t="n"/>
      <c r="CJ1142" s="204" t="n"/>
      <c r="CK1142" s="208" t="n"/>
      <c r="CL1142" s="208" t="n"/>
      <c r="CM1142" s="208" t="n"/>
      <c r="CN1142" s="78" t="n"/>
      <c r="CO1142" s="209" t="n"/>
      <c r="CP1142" s="204" t="n"/>
      <c r="CQ1142" s="204" t="n"/>
      <c r="CR1142" s="204" t="n"/>
      <c r="CS1142" s="204" t="n"/>
      <c r="CT1142" s="204" t="n"/>
      <c r="CU1142" s="204" t="n"/>
      <c r="CV1142" s="204" t="n"/>
      <c r="CW1142" s="204" t="n"/>
    </row>
    <row r="1143">
      <c r="BF1143" s="78" t="n"/>
      <c r="BG1143" s="78" t="n"/>
      <c r="BH1143" s="78" t="n"/>
      <c r="BI1143" s="78" t="n"/>
      <c r="BJ1143" s="139" t="n"/>
      <c r="BK1143" s="204" t="n"/>
      <c r="BL1143" s="141" t="n"/>
      <c r="BM1143" s="205" t="n"/>
      <c r="BN1143" s="205" t="n"/>
      <c r="BO1143" s="206" t="n"/>
      <c r="BP1143" s="144" t="n"/>
      <c r="BQ1143" s="141" t="n"/>
      <c r="BR1143" s="207" t="n"/>
      <c r="BS1143" s="207" t="n"/>
      <c r="BT1143" s="207" t="n"/>
      <c r="BU1143" s="207" t="n"/>
      <c r="BV1143" s="208" t="n"/>
      <c r="BW1143" s="207" t="n"/>
      <c r="BX1143" s="207" t="n"/>
      <c r="BY1143" s="204" t="n"/>
      <c r="BZ1143" s="148" t="n"/>
      <c r="CA1143" s="204" t="n"/>
      <c r="CB1143" s="208" t="n"/>
      <c r="CC1143" s="139" t="n"/>
      <c r="CD1143" s="204" t="n"/>
      <c r="CE1143" s="204" t="n"/>
      <c r="CF1143" s="207" t="n"/>
      <c r="CG1143" s="208" t="n"/>
      <c r="CH1143" s="207" t="n"/>
      <c r="CI1143" s="208" t="n"/>
      <c r="CJ1143" s="204" t="n"/>
      <c r="CK1143" s="208" t="n"/>
      <c r="CL1143" s="208" t="n"/>
      <c r="CM1143" s="208" t="n"/>
      <c r="CN1143" s="78" t="n"/>
      <c r="CO1143" s="209" t="n"/>
      <c r="CP1143" s="204" t="n"/>
      <c r="CQ1143" s="204" t="n"/>
      <c r="CR1143" s="204" t="n"/>
      <c r="CS1143" s="204" t="n"/>
      <c r="CT1143" s="204" t="n"/>
      <c r="CU1143" s="204" t="n"/>
      <c r="CV1143" s="204" t="n"/>
      <c r="CW1143" s="204" t="n"/>
    </row>
    <row r="1144">
      <c r="BF1144" s="78" t="n"/>
      <c r="BG1144" s="78" t="n"/>
      <c r="BH1144" s="78" t="n"/>
      <c r="BI1144" s="78" t="n"/>
      <c r="BJ1144" s="139" t="n"/>
      <c r="BK1144" s="204" t="n"/>
      <c r="BL1144" s="141" t="n"/>
      <c r="BM1144" s="205" t="n"/>
      <c r="BN1144" s="205" t="n"/>
      <c r="BO1144" s="206" t="n"/>
      <c r="BP1144" s="144" t="n"/>
      <c r="BQ1144" s="141" t="n"/>
      <c r="BR1144" s="207" t="n"/>
      <c r="BS1144" s="207" t="n"/>
      <c r="BT1144" s="207" t="n"/>
      <c r="BU1144" s="207" t="n"/>
      <c r="BV1144" s="208" t="n"/>
      <c r="BW1144" s="207" t="n"/>
      <c r="BX1144" s="207" t="n"/>
      <c r="BY1144" s="204" t="n"/>
      <c r="BZ1144" s="148" t="n"/>
      <c r="CA1144" s="204" t="n"/>
      <c r="CB1144" s="208" t="n"/>
      <c r="CC1144" s="139" t="n"/>
      <c r="CD1144" s="204" t="n"/>
      <c r="CE1144" s="204" t="n"/>
      <c r="CF1144" s="207" t="n"/>
      <c r="CG1144" s="208" t="n"/>
      <c r="CH1144" s="207" t="n"/>
      <c r="CI1144" s="208" t="n"/>
      <c r="CJ1144" s="204" t="n"/>
      <c r="CK1144" s="208" t="n"/>
      <c r="CL1144" s="208" t="n"/>
      <c r="CM1144" s="208" t="n"/>
      <c r="CN1144" s="78" t="n"/>
      <c r="CO1144" s="209" t="n"/>
      <c r="CP1144" s="204" t="n"/>
      <c r="CQ1144" s="204" t="n"/>
      <c r="CR1144" s="204" t="n"/>
      <c r="CS1144" s="204" t="n"/>
      <c r="CT1144" s="204" t="n"/>
      <c r="CU1144" s="204" t="n"/>
      <c r="CV1144" s="204" t="n"/>
      <c r="CW1144" s="204" t="n"/>
    </row>
    <row r="1145">
      <c r="BF1145" s="78" t="n"/>
      <c r="BG1145" s="78" t="n"/>
      <c r="BH1145" s="78" t="n"/>
      <c r="BI1145" s="78" t="n"/>
      <c r="BJ1145" s="139" t="n"/>
      <c r="BK1145" s="204" t="n"/>
      <c r="BL1145" s="141" t="n"/>
      <c r="BM1145" s="205" t="n"/>
      <c r="BN1145" s="205" t="n"/>
      <c r="BO1145" s="206" t="n"/>
      <c r="BP1145" s="144" t="n"/>
      <c r="BQ1145" s="141" t="n"/>
      <c r="BR1145" s="207" t="n"/>
      <c r="BS1145" s="207" t="n"/>
      <c r="BT1145" s="207" t="n"/>
      <c r="BU1145" s="207" t="n"/>
      <c r="BV1145" s="208" t="n"/>
      <c r="BW1145" s="207" t="n"/>
      <c r="BX1145" s="207" t="n"/>
      <c r="BY1145" s="204" t="n"/>
      <c r="BZ1145" s="148" t="n"/>
      <c r="CA1145" s="204" t="n"/>
      <c r="CB1145" s="208" t="n"/>
      <c r="CC1145" s="139" t="n"/>
      <c r="CD1145" s="204" t="n"/>
      <c r="CE1145" s="204" t="n"/>
      <c r="CF1145" s="207" t="n"/>
      <c r="CG1145" s="208" t="n"/>
      <c r="CH1145" s="207" t="n"/>
      <c r="CI1145" s="208" t="n"/>
      <c r="CJ1145" s="204" t="n"/>
      <c r="CK1145" s="208" t="n"/>
      <c r="CL1145" s="208" t="n"/>
      <c r="CM1145" s="208" t="n"/>
      <c r="CN1145" s="78" t="n"/>
      <c r="CO1145" s="209" t="n"/>
      <c r="CP1145" s="204" t="n"/>
      <c r="CQ1145" s="204" t="n"/>
      <c r="CR1145" s="204" t="n"/>
      <c r="CS1145" s="204" t="n"/>
      <c r="CT1145" s="204" t="n"/>
      <c r="CU1145" s="204" t="n"/>
      <c r="CV1145" s="204" t="n"/>
      <c r="CW1145" s="204" t="n"/>
    </row>
    <row r="1146">
      <c r="BF1146" s="78" t="n"/>
      <c r="BG1146" s="78" t="n"/>
      <c r="BH1146" s="78" t="n"/>
      <c r="BI1146" s="78" t="n"/>
      <c r="BJ1146" s="139" t="n"/>
      <c r="BK1146" s="204" t="n"/>
      <c r="BL1146" s="141" t="n"/>
      <c r="BM1146" s="205" t="n"/>
      <c r="BN1146" s="205" t="n"/>
      <c r="BO1146" s="206" t="n"/>
      <c r="BP1146" s="144" t="n"/>
      <c r="BQ1146" s="141" t="n"/>
      <c r="BR1146" s="207" t="n"/>
      <c r="BS1146" s="207" t="n"/>
      <c r="BT1146" s="207" t="n"/>
      <c r="BU1146" s="207" t="n"/>
      <c r="BV1146" s="208" t="n"/>
      <c r="BW1146" s="207" t="n"/>
      <c r="BX1146" s="207" t="n"/>
      <c r="BY1146" s="204" t="n"/>
      <c r="BZ1146" s="148" t="n"/>
      <c r="CA1146" s="204" t="n"/>
      <c r="CB1146" s="208" t="n"/>
      <c r="CC1146" s="139" t="n"/>
      <c r="CD1146" s="204" t="n"/>
      <c r="CE1146" s="204" t="n"/>
      <c r="CF1146" s="207" t="n"/>
      <c r="CG1146" s="208" t="n"/>
      <c r="CH1146" s="207" t="n"/>
      <c r="CI1146" s="208" t="n"/>
      <c r="CJ1146" s="204" t="n"/>
      <c r="CK1146" s="208" t="n"/>
      <c r="CL1146" s="208" t="n"/>
      <c r="CM1146" s="208" t="n"/>
      <c r="CN1146" s="78" t="n"/>
      <c r="CO1146" s="209" t="n"/>
      <c r="CP1146" s="204" t="n"/>
      <c r="CQ1146" s="204" t="n"/>
      <c r="CR1146" s="204" t="n"/>
      <c r="CS1146" s="204" t="n"/>
      <c r="CT1146" s="204" t="n"/>
      <c r="CU1146" s="204" t="n"/>
      <c r="CV1146" s="204" t="n"/>
      <c r="CW1146" s="204" t="n"/>
    </row>
    <row r="1147">
      <c r="BF1147" s="78" t="n"/>
      <c r="BG1147" s="78" t="n"/>
      <c r="BH1147" s="78" t="n"/>
      <c r="BI1147" s="78" t="n"/>
      <c r="BJ1147" s="139" t="n"/>
      <c r="BK1147" s="204" t="n"/>
      <c r="BL1147" s="141" t="n"/>
      <c r="BM1147" s="205" t="n"/>
      <c r="BN1147" s="205" t="n"/>
      <c r="BO1147" s="206" t="n"/>
      <c r="BP1147" s="144" t="n"/>
      <c r="BQ1147" s="141" t="n"/>
      <c r="BR1147" s="207" t="n"/>
      <c r="BS1147" s="207" t="n"/>
      <c r="BT1147" s="207" t="n"/>
      <c r="BU1147" s="207" t="n"/>
      <c r="BV1147" s="208" t="n"/>
      <c r="BW1147" s="207" t="n"/>
      <c r="BX1147" s="207" t="n"/>
      <c r="BY1147" s="204" t="n"/>
      <c r="BZ1147" s="148" t="n"/>
      <c r="CA1147" s="204" t="n"/>
      <c r="CB1147" s="208" t="n"/>
      <c r="CC1147" s="139" t="n"/>
      <c r="CD1147" s="204" t="n"/>
      <c r="CE1147" s="204" t="n"/>
      <c r="CF1147" s="207" t="n"/>
      <c r="CG1147" s="208" t="n"/>
      <c r="CH1147" s="207" t="n"/>
      <c r="CI1147" s="208" t="n"/>
      <c r="CJ1147" s="204" t="n"/>
      <c r="CK1147" s="208" t="n"/>
      <c r="CL1147" s="208" t="n"/>
      <c r="CM1147" s="208" t="n"/>
      <c r="CN1147" s="78" t="n"/>
      <c r="CO1147" s="209" t="n"/>
      <c r="CP1147" s="204" t="n"/>
      <c r="CQ1147" s="204" t="n"/>
      <c r="CR1147" s="204" t="n"/>
      <c r="CS1147" s="204" t="n"/>
      <c r="CT1147" s="204" t="n"/>
      <c r="CU1147" s="204" t="n"/>
      <c r="CV1147" s="204" t="n"/>
      <c r="CW1147" s="204" t="n"/>
    </row>
    <row r="1148">
      <c r="BF1148" s="78" t="n"/>
      <c r="BG1148" s="78" t="n"/>
      <c r="BH1148" s="78" t="n"/>
      <c r="BI1148" s="78" t="n"/>
      <c r="BJ1148" s="139" t="n"/>
      <c r="BK1148" s="204" t="n"/>
      <c r="BL1148" s="141" t="n"/>
      <c r="BM1148" s="205" t="n"/>
      <c r="BN1148" s="205" t="n"/>
      <c r="BO1148" s="206" t="n"/>
      <c r="BP1148" s="144" t="n"/>
      <c r="BQ1148" s="141" t="n"/>
      <c r="BR1148" s="207" t="n"/>
      <c r="BS1148" s="207" t="n"/>
      <c r="BT1148" s="207" t="n"/>
      <c r="BU1148" s="207" t="n"/>
      <c r="BV1148" s="208" t="n"/>
      <c r="BW1148" s="207" t="n"/>
      <c r="BX1148" s="207" t="n"/>
      <c r="BY1148" s="204" t="n"/>
      <c r="BZ1148" s="148" t="n"/>
      <c r="CA1148" s="204" t="n"/>
      <c r="CB1148" s="208" t="n"/>
      <c r="CC1148" s="139" t="n"/>
      <c r="CD1148" s="204" t="n"/>
      <c r="CE1148" s="204" t="n"/>
      <c r="CF1148" s="207" t="n"/>
      <c r="CG1148" s="208" t="n"/>
      <c r="CH1148" s="207" t="n"/>
      <c r="CI1148" s="208" t="n"/>
      <c r="CJ1148" s="204" t="n"/>
      <c r="CK1148" s="208" t="n"/>
      <c r="CL1148" s="208" t="n"/>
      <c r="CM1148" s="208" t="n"/>
      <c r="CN1148" s="78" t="n"/>
      <c r="CO1148" s="209" t="n"/>
      <c r="CP1148" s="204" t="n"/>
      <c r="CQ1148" s="204" t="n"/>
      <c r="CR1148" s="204" t="n"/>
      <c r="CS1148" s="204" t="n"/>
      <c r="CT1148" s="204" t="n"/>
      <c r="CU1148" s="204" t="n"/>
      <c r="CV1148" s="204" t="n"/>
      <c r="CW1148" s="204" t="n"/>
    </row>
    <row r="1149">
      <c r="BF1149" s="78" t="n"/>
      <c r="BG1149" s="78" t="n"/>
      <c r="BH1149" s="78" t="n"/>
      <c r="BI1149" s="78" t="n"/>
      <c r="BJ1149" s="139" t="n"/>
      <c r="BK1149" s="204" t="n"/>
      <c r="BL1149" s="141" t="n"/>
      <c r="BM1149" s="205" t="n"/>
      <c r="BN1149" s="205" t="n"/>
      <c r="BO1149" s="206" t="n"/>
      <c r="BP1149" s="144" t="n"/>
      <c r="BQ1149" s="141" t="n"/>
      <c r="BR1149" s="207" t="n"/>
      <c r="BS1149" s="207" t="n"/>
      <c r="BT1149" s="207" t="n"/>
      <c r="BU1149" s="207" t="n"/>
      <c r="BV1149" s="208" t="n"/>
      <c r="BW1149" s="207" t="n"/>
      <c r="BX1149" s="207" t="n"/>
      <c r="BY1149" s="204" t="n"/>
      <c r="BZ1149" s="148" t="n"/>
      <c r="CA1149" s="204" t="n"/>
      <c r="CB1149" s="208" t="n"/>
      <c r="CC1149" s="139" t="n"/>
      <c r="CD1149" s="204" t="n"/>
      <c r="CE1149" s="204" t="n"/>
      <c r="CF1149" s="207" t="n"/>
      <c r="CG1149" s="208" t="n"/>
      <c r="CH1149" s="207" t="n"/>
      <c r="CI1149" s="208" t="n"/>
      <c r="CJ1149" s="204" t="n"/>
      <c r="CK1149" s="208" t="n"/>
      <c r="CL1149" s="208" t="n"/>
      <c r="CM1149" s="208" t="n"/>
      <c r="CN1149" s="78" t="n"/>
      <c r="CO1149" s="209" t="n"/>
      <c r="CP1149" s="204" t="n"/>
      <c r="CQ1149" s="204" t="n"/>
      <c r="CR1149" s="204" t="n"/>
      <c r="CS1149" s="204" t="n"/>
      <c r="CT1149" s="204" t="n"/>
      <c r="CU1149" s="204" t="n"/>
      <c r="CV1149" s="204" t="n"/>
      <c r="CW1149" s="204" t="n"/>
    </row>
    <row r="1150">
      <c r="AR1150" s="151" t="n"/>
      <c r="BF1150" s="78" t="n"/>
      <c r="BG1150" s="78" t="n"/>
      <c r="BH1150" s="78" t="n"/>
      <c r="BI1150" s="78" t="n"/>
      <c r="BJ1150" s="139" t="n"/>
      <c r="BK1150" s="204" t="n"/>
      <c r="BL1150" s="141" t="n"/>
      <c r="BM1150" s="205" t="n"/>
      <c r="BN1150" s="205" t="n"/>
      <c r="BO1150" s="206" t="n"/>
      <c r="BP1150" s="144" t="n"/>
      <c r="BQ1150" s="141" t="n"/>
      <c r="BR1150" s="207" t="n"/>
      <c r="BS1150" s="207" t="n"/>
      <c r="BT1150" s="207" t="n"/>
      <c r="BU1150" s="207" t="n"/>
      <c r="BV1150" s="208" t="n"/>
      <c r="BW1150" s="207" t="n"/>
      <c r="BX1150" s="207" t="n"/>
      <c r="BY1150" s="204" t="n"/>
      <c r="BZ1150" s="148" t="n"/>
      <c r="CA1150" s="204" t="n"/>
      <c r="CB1150" s="208" t="n"/>
      <c r="CC1150" s="139" t="n"/>
      <c r="CD1150" s="204" t="n"/>
      <c r="CE1150" s="204" t="n"/>
      <c r="CF1150" s="207" t="n"/>
      <c r="CG1150" s="208" t="n"/>
      <c r="CH1150" s="207" t="n"/>
      <c r="CI1150" s="208" t="n"/>
      <c r="CJ1150" s="204" t="n"/>
      <c r="CK1150" s="208" t="n"/>
      <c r="CL1150" s="208" t="n"/>
      <c r="CM1150" s="208" t="n"/>
      <c r="CN1150" s="78" t="n"/>
      <c r="CO1150" s="209" t="n"/>
      <c r="CP1150" s="204" t="n"/>
      <c r="CQ1150" s="204" t="n"/>
      <c r="CR1150" s="204" t="n"/>
      <c r="CS1150" s="204" t="n"/>
      <c r="CT1150" s="204" t="n"/>
      <c r="CU1150" s="204" t="n"/>
      <c r="CV1150" s="204" t="n"/>
      <c r="CW1150" s="204" t="n"/>
    </row>
    <row r="1151">
      <c r="BF1151" s="78" t="n"/>
      <c r="BG1151" s="78" t="n"/>
      <c r="BH1151" s="78" t="n"/>
      <c r="BI1151" s="78" t="n"/>
      <c r="BJ1151" s="139" t="n"/>
      <c r="BK1151" s="204" t="n"/>
      <c r="BL1151" s="141" t="n"/>
      <c r="BM1151" s="205" t="n"/>
      <c r="BN1151" s="205" t="n"/>
      <c r="BO1151" s="206" t="n"/>
      <c r="BP1151" s="144" t="n"/>
      <c r="BQ1151" s="141" t="n"/>
      <c r="BR1151" s="207" t="n"/>
      <c r="BS1151" s="207" t="n"/>
      <c r="BT1151" s="207" t="n"/>
      <c r="BU1151" s="207" t="n"/>
      <c r="BV1151" s="208" t="n"/>
      <c r="BW1151" s="207" t="n"/>
      <c r="BX1151" s="207" t="n"/>
      <c r="BY1151" s="204" t="n"/>
      <c r="BZ1151" s="148" t="n"/>
      <c r="CA1151" s="204" t="n"/>
      <c r="CB1151" s="208" t="n"/>
      <c r="CC1151" s="139" t="n"/>
      <c r="CD1151" s="204" t="n"/>
      <c r="CE1151" s="204" t="n"/>
      <c r="CF1151" s="207" t="n"/>
      <c r="CG1151" s="208" t="n"/>
      <c r="CH1151" s="207" t="n"/>
      <c r="CI1151" s="208" t="n"/>
      <c r="CJ1151" s="204" t="n"/>
      <c r="CK1151" s="208" t="n"/>
      <c r="CL1151" s="208" t="n"/>
      <c r="CM1151" s="208" t="n"/>
      <c r="CN1151" s="78" t="n"/>
      <c r="CO1151" s="209" t="n"/>
      <c r="CP1151" s="204" t="n"/>
      <c r="CQ1151" s="204" t="n"/>
      <c r="CR1151" s="204" t="n"/>
      <c r="CS1151" s="204" t="n"/>
      <c r="CT1151" s="204" t="n"/>
      <c r="CU1151" s="204" t="n"/>
      <c r="CV1151" s="204" t="n"/>
      <c r="CW1151" s="204" t="n"/>
    </row>
    <row r="1152">
      <c r="BF1152" s="78" t="n"/>
      <c r="BG1152" s="78" t="n"/>
      <c r="BH1152" s="78" t="n"/>
      <c r="BI1152" s="78" t="n"/>
      <c r="BJ1152" s="139" t="n"/>
      <c r="BK1152" s="204" t="n"/>
      <c r="BL1152" s="141" t="n"/>
      <c r="BM1152" s="205" t="n"/>
      <c r="BN1152" s="205" t="n"/>
      <c r="BO1152" s="206" t="n"/>
      <c r="BP1152" s="144" t="n"/>
      <c r="BQ1152" s="141" t="n"/>
      <c r="BR1152" s="207" t="n"/>
      <c r="BS1152" s="207" t="n"/>
      <c r="BT1152" s="207" t="n"/>
      <c r="BU1152" s="207" t="n"/>
      <c r="BV1152" s="208" t="n"/>
      <c r="BW1152" s="207" t="n"/>
      <c r="BX1152" s="207" t="n"/>
      <c r="BY1152" s="204" t="n"/>
      <c r="BZ1152" s="148" t="n"/>
      <c r="CA1152" s="204" t="n"/>
      <c r="CB1152" s="208" t="n"/>
      <c r="CC1152" s="139" t="n"/>
      <c r="CD1152" s="204" t="n"/>
      <c r="CE1152" s="204" t="n"/>
      <c r="CF1152" s="207" t="n"/>
      <c r="CG1152" s="208" t="n"/>
      <c r="CH1152" s="207" t="n"/>
      <c r="CI1152" s="208" t="n"/>
      <c r="CJ1152" s="204" t="n"/>
      <c r="CK1152" s="208" t="n"/>
      <c r="CL1152" s="208" t="n"/>
      <c r="CM1152" s="208" t="n"/>
      <c r="CN1152" s="78" t="n"/>
      <c r="CO1152" s="209" t="n"/>
      <c r="CP1152" s="204" t="n"/>
      <c r="CQ1152" s="204" t="n"/>
      <c r="CR1152" s="204" t="n"/>
      <c r="CS1152" s="204" t="n"/>
      <c r="CT1152" s="204" t="n"/>
      <c r="CU1152" s="204" t="n"/>
      <c r="CV1152" s="204" t="n"/>
      <c r="CW1152" s="204" t="n"/>
    </row>
    <row r="1153">
      <c r="BF1153" s="78" t="n"/>
      <c r="BG1153" s="78" t="n"/>
      <c r="BH1153" s="78" t="n"/>
      <c r="BI1153" s="78" t="n"/>
      <c r="BJ1153" s="139" t="n"/>
      <c r="BK1153" s="204" t="n"/>
      <c r="BL1153" s="141" t="n"/>
      <c r="BM1153" s="205" t="n"/>
      <c r="BN1153" s="205" t="n"/>
      <c r="BO1153" s="206" t="n"/>
      <c r="BP1153" s="144" t="n"/>
      <c r="BQ1153" s="141" t="n"/>
      <c r="BR1153" s="207" t="n"/>
      <c r="BS1153" s="207" t="n"/>
      <c r="BT1153" s="207" t="n"/>
      <c r="BU1153" s="207" t="n"/>
      <c r="BV1153" s="208" t="n"/>
      <c r="BW1153" s="207" t="n"/>
      <c r="BX1153" s="207" t="n"/>
      <c r="BY1153" s="204" t="n"/>
      <c r="BZ1153" s="148" t="n"/>
      <c r="CA1153" s="204" t="n"/>
      <c r="CB1153" s="208" t="n"/>
      <c r="CC1153" s="139" t="n"/>
      <c r="CD1153" s="204" t="n"/>
      <c r="CE1153" s="204" t="n"/>
      <c r="CF1153" s="207" t="n"/>
      <c r="CG1153" s="208" t="n"/>
      <c r="CH1153" s="207" t="n"/>
      <c r="CI1153" s="208" t="n"/>
      <c r="CJ1153" s="204" t="n"/>
      <c r="CK1153" s="208" t="n"/>
      <c r="CL1153" s="208" t="n"/>
      <c r="CM1153" s="208" t="n"/>
      <c r="CN1153" s="78" t="n"/>
      <c r="CO1153" s="209" t="n"/>
      <c r="CP1153" s="204" t="n"/>
      <c r="CQ1153" s="204" t="n"/>
      <c r="CR1153" s="204" t="n"/>
      <c r="CS1153" s="204" t="n"/>
      <c r="CT1153" s="204" t="n"/>
      <c r="CU1153" s="204" t="n"/>
      <c r="CV1153" s="204" t="n"/>
      <c r="CW1153" s="204" t="n"/>
    </row>
    <row r="1154">
      <c r="BF1154" s="78" t="n"/>
      <c r="BG1154" s="78" t="n"/>
      <c r="BH1154" s="78" t="n"/>
      <c r="BI1154" s="78" t="n"/>
      <c r="BJ1154" s="139" t="n"/>
      <c r="BK1154" s="204" t="n"/>
      <c r="BL1154" s="141" t="n"/>
      <c r="BM1154" s="205" t="n"/>
      <c r="BN1154" s="205" t="n"/>
      <c r="BO1154" s="206" t="n"/>
      <c r="BP1154" s="144" t="n"/>
      <c r="BQ1154" s="141" t="n"/>
      <c r="BR1154" s="207" t="n"/>
      <c r="BS1154" s="207" t="n"/>
      <c r="BT1154" s="207" t="n"/>
      <c r="BU1154" s="207" t="n"/>
      <c r="BV1154" s="208" t="n"/>
      <c r="BW1154" s="207" t="n"/>
      <c r="BX1154" s="207" t="n"/>
      <c r="BY1154" s="204" t="n"/>
      <c r="BZ1154" s="148" t="n"/>
      <c r="CA1154" s="204" t="n"/>
      <c r="CB1154" s="208" t="n"/>
      <c r="CC1154" s="139" t="n"/>
      <c r="CD1154" s="204" t="n"/>
      <c r="CE1154" s="204" t="n"/>
      <c r="CF1154" s="207" t="n"/>
      <c r="CG1154" s="208" t="n"/>
      <c r="CH1154" s="207" t="n"/>
      <c r="CI1154" s="208" t="n"/>
      <c r="CJ1154" s="204" t="n"/>
      <c r="CK1154" s="208" t="n"/>
      <c r="CL1154" s="208" t="n"/>
      <c r="CM1154" s="208" t="n"/>
      <c r="CN1154" s="78" t="n"/>
      <c r="CO1154" s="209" t="n"/>
      <c r="CP1154" s="204" t="n"/>
      <c r="CQ1154" s="204" t="n"/>
      <c r="CR1154" s="204" t="n"/>
      <c r="CS1154" s="204" t="n"/>
      <c r="CT1154" s="204" t="n"/>
      <c r="CU1154" s="204" t="n"/>
      <c r="CV1154" s="204" t="n"/>
      <c r="CW1154" s="204" t="n"/>
    </row>
    <row r="1155">
      <c r="BF1155" s="78" t="n"/>
      <c r="BG1155" s="78" t="n"/>
      <c r="BH1155" s="78" t="n"/>
      <c r="BI1155" s="78" t="n"/>
      <c r="BJ1155" s="139" t="n"/>
      <c r="BK1155" s="204" t="n"/>
      <c r="BL1155" s="141" t="n"/>
      <c r="BM1155" s="205" t="n"/>
      <c r="BN1155" s="205" t="n"/>
      <c r="BO1155" s="206" t="n"/>
      <c r="BP1155" s="144" t="n"/>
      <c r="BQ1155" s="141" t="n"/>
      <c r="BR1155" s="207" t="n"/>
      <c r="BS1155" s="207" t="n"/>
      <c r="BT1155" s="207" t="n"/>
      <c r="BU1155" s="207" t="n"/>
      <c r="BV1155" s="208" t="n"/>
      <c r="BW1155" s="207" t="n"/>
      <c r="BX1155" s="207" t="n"/>
      <c r="BY1155" s="204" t="n"/>
      <c r="BZ1155" s="148" t="n"/>
      <c r="CA1155" s="204" t="n"/>
      <c r="CB1155" s="208" t="n"/>
      <c r="CC1155" s="139" t="n"/>
      <c r="CD1155" s="204" t="n"/>
      <c r="CE1155" s="204" t="n"/>
      <c r="CF1155" s="207" t="n"/>
      <c r="CG1155" s="208" t="n"/>
      <c r="CH1155" s="207" t="n"/>
      <c r="CI1155" s="208" t="n"/>
      <c r="CJ1155" s="204" t="n"/>
      <c r="CK1155" s="208" t="n"/>
      <c r="CL1155" s="208" t="n"/>
      <c r="CM1155" s="208" t="n"/>
      <c r="CN1155" s="78" t="n"/>
      <c r="CO1155" s="209" t="n"/>
      <c r="CP1155" s="204" t="n"/>
      <c r="CQ1155" s="204" t="n"/>
      <c r="CR1155" s="204" t="n"/>
      <c r="CS1155" s="204" t="n"/>
      <c r="CT1155" s="204" t="n"/>
      <c r="CU1155" s="204" t="n"/>
      <c r="CV1155" s="204" t="n"/>
      <c r="CW1155" s="204" t="n"/>
    </row>
    <row r="1156">
      <c r="BF1156" s="78" t="n"/>
      <c r="BG1156" s="78" t="n"/>
      <c r="BH1156" s="78" t="n"/>
      <c r="BI1156" s="78" t="n"/>
      <c r="BJ1156" s="139" t="n"/>
      <c r="BK1156" s="204" t="n"/>
      <c r="BL1156" s="141" t="n"/>
      <c r="BM1156" s="205" t="n"/>
      <c r="BN1156" s="205" t="n"/>
      <c r="BO1156" s="206" t="n"/>
      <c r="BP1156" s="144" t="n"/>
      <c r="BQ1156" s="141" t="n"/>
      <c r="BR1156" s="207" t="n"/>
      <c r="BS1156" s="207" t="n"/>
      <c r="BT1156" s="207" t="n"/>
      <c r="BU1156" s="207" t="n"/>
      <c r="BV1156" s="208" t="n"/>
      <c r="BW1156" s="207" t="n"/>
      <c r="BX1156" s="207" t="n"/>
      <c r="BY1156" s="204" t="n"/>
      <c r="BZ1156" s="148" t="n"/>
      <c r="CA1156" s="204" t="n"/>
      <c r="CB1156" s="208" t="n"/>
      <c r="CC1156" s="139" t="n"/>
      <c r="CD1156" s="204" t="n"/>
      <c r="CE1156" s="204" t="n"/>
      <c r="CF1156" s="207" t="n"/>
      <c r="CG1156" s="208" t="n"/>
      <c r="CH1156" s="207" t="n"/>
      <c r="CI1156" s="208" t="n"/>
      <c r="CJ1156" s="204" t="n"/>
      <c r="CK1156" s="208" t="n"/>
      <c r="CL1156" s="208" t="n"/>
      <c r="CM1156" s="208" t="n"/>
      <c r="CN1156" s="78" t="n"/>
      <c r="CO1156" s="209" t="n"/>
      <c r="CP1156" s="204" t="n"/>
      <c r="CQ1156" s="204" t="n"/>
      <c r="CR1156" s="204" t="n"/>
      <c r="CS1156" s="204" t="n"/>
      <c r="CT1156" s="204" t="n"/>
      <c r="CU1156" s="204" t="n"/>
      <c r="CV1156" s="204" t="n"/>
      <c r="CW1156" s="204" t="n"/>
    </row>
    <row r="1157">
      <c r="BF1157" s="78" t="n"/>
      <c r="BG1157" s="78" t="n"/>
      <c r="BH1157" s="78" t="n"/>
      <c r="BI1157" s="78" t="n"/>
      <c r="BJ1157" s="139" t="n"/>
      <c r="BK1157" s="204" t="n"/>
      <c r="BL1157" s="141" t="n"/>
      <c r="BM1157" s="205" t="n"/>
      <c r="BN1157" s="205" t="n"/>
      <c r="BO1157" s="206" t="n"/>
      <c r="BP1157" s="144" t="n"/>
      <c r="BQ1157" s="141" t="n"/>
      <c r="BR1157" s="207" t="n"/>
      <c r="BS1157" s="207" t="n"/>
      <c r="BT1157" s="207" t="n"/>
      <c r="BU1157" s="207" t="n"/>
      <c r="BV1157" s="208" t="n"/>
      <c r="BW1157" s="207" t="n"/>
      <c r="BX1157" s="207" t="n"/>
      <c r="BY1157" s="204" t="n"/>
      <c r="BZ1157" s="148" t="n"/>
      <c r="CA1157" s="204" t="n"/>
      <c r="CB1157" s="208" t="n"/>
      <c r="CC1157" s="139" t="n"/>
      <c r="CD1157" s="204" t="n"/>
      <c r="CE1157" s="204" t="n"/>
      <c r="CF1157" s="207" t="n"/>
      <c r="CG1157" s="208" t="n"/>
      <c r="CH1157" s="207" t="n"/>
      <c r="CI1157" s="208" t="n"/>
      <c r="CJ1157" s="204" t="n"/>
      <c r="CK1157" s="208" t="n"/>
      <c r="CL1157" s="208" t="n"/>
      <c r="CM1157" s="208" t="n"/>
      <c r="CN1157" s="78" t="n"/>
      <c r="CO1157" s="209" t="n"/>
      <c r="CP1157" s="204" t="n"/>
      <c r="CQ1157" s="204" t="n"/>
      <c r="CR1157" s="204" t="n"/>
      <c r="CS1157" s="204" t="n"/>
      <c r="CT1157" s="204" t="n"/>
      <c r="CU1157" s="204" t="n"/>
      <c r="CV1157" s="204" t="n"/>
      <c r="CW1157" s="204" t="n"/>
    </row>
    <row r="1158">
      <c r="BF1158" s="78" t="n"/>
      <c r="BG1158" s="78" t="n"/>
      <c r="BH1158" s="78" t="n"/>
      <c r="BI1158" s="78" t="n"/>
      <c r="BJ1158" s="139" t="n"/>
      <c r="BK1158" s="204" t="n"/>
      <c r="BL1158" s="141" t="n"/>
      <c r="BM1158" s="205" t="n"/>
      <c r="BN1158" s="205" t="n"/>
      <c r="BO1158" s="206" t="n"/>
      <c r="BP1158" s="144" t="n"/>
      <c r="BQ1158" s="141" t="n"/>
      <c r="BR1158" s="207" t="n"/>
      <c r="BS1158" s="207" t="n"/>
      <c r="BT1158" s="207" t="n"/>
      <c r="BU1158" s="207" t="n"/>
      <c r="BV1158" s="208" t="n"/>
      <c r="BW1158" s="207" t="n"/>
      <c r="BX1158" s="207" t="n"/>
      <c r="BY1158" s="204" t="n"/>
      <c r="BZ1158" s="148" t="n"/>
      <c r="CA1158" s="204" t="n"/>
      <c r="CB1158" s="208" t="n"/>
      <c r="CC1158" s="139" t="n"/>
      <c r="CD1158" s="204" t="n"/>
      <c r="CE1158" s="204" t="n"/>
      <c r="CF1158" s="207" t="n"/>
      <c r="CG1158" s="208" t="n"/>
      <c r="CH1158" s="207" t="n"/>
      <c r="CI1158" s="208" t="n"/>
      <c r="CJ1158" s="204" t="n"/>
      <c r="CK1158" s="208" t="n"/>
      <c r="CL1158" s="208" t="n"/>
      <c r="CM1158" s="208" t="n"/>
      <c r="CN1158" s="78" t="n"/>
      <c r="CO1158" s="209" t="n"/>
      <c r="CP1158" s="204" t="n"/>
      <c r="CQ1158" s="204" t="n"/>
      <c r="CR1158" s="204" t="n"/>
      <c r="CS1158" s="204" t="n"/>
      <c r="CT1158" s="204" t="n"/>
      <c r="CU1158" s="204" t="n"/>
      <c r="CV1158" s="204" t="n"/>
      <c r="CW1158" s="204" t="n"/>
    </row>
    <row r="1159">
      <c r="BF1159" s="78" t="n"/>
      <c r="BG1159" s="78" t="n"/>
      <c r="BH1159" s="78" t="n"/>
      <c r="BI1159" s="78" t="n"/>
      <c r="BJ1159" s="139" t="n"/>
      <c r="BK1159" s="204" t="n"/>
      <c r="BL1159" s="141" t="n"/>
      <c r="BM1159" s="205" t="n"/>
      <c r="BN1159" s="205" t="n"/>
      <c r="BO1159" s="206" t="n"/>
      <c r="BP1159" s="144" t="n"/>
      <c r="BQ1159" s="141" t="n"/>
      <c r="BR1159" s="207" t="n"/>
      <c r="BS1159" s="207" t="n"/>
      <c r="BT1159" s="207" t="n"/>
      <c r="BU1159" s="207" t="n"/>
      <c r="BV1159" s="208" t="n"/>
      <c r="BW1159" s="207" t="n"/>
      <c r="BX1159" s="207" t="n"/>
      <c r="BY1159" s="204" t="n"/>
      <c r="BZ1159" s="148" t="n"/>
      <c r="CA1159" s="204" t="n"/>
      <c r="CB1159" s="208" t="n"/>
      <c r="CC1159" s="139" t="n"/>
      <c r="CD1159" s="204" t="n"/>
      <c r="CE1159" s="204" t="n"/>
      <c r="CF1159" s="207" t="n"/>
      <c r="CG1159" s="208" t="n"/>
      <c r="CH1159" s="207" t="n"/>
      <c r="CI1159" s="208" t="n"/>
      <c r="CJ1159" s="204" t="n"/>
      <c r="CK1159" s="208" t="n"/>
      <c r="CL1159" s="208" t="n"/>
      <c r="CM1159" s="208" t="n"/>
      <c r="CN1159" s="78" t="n"/>
      <c r="CO1159" s="209" t="n"/>
      <c r="CP1159" s="204" t="n"/>
      <c r="CQ1159" s="204" t="n"/>
      <c r="CR1159" s="204" t="n"/>
      <c r="CS1159" s="204" t="n"/>
      <c r="CT1159" s="204" t="n"/>
      <c r="CU1159" s="204" t="n"/>
      <c r="CV1159" s="204" t="n"/>
      <c r="CW1159" s="204" t="n"/>
    </row>
    <row r="1160">
      <c r="BF1160" s="78" t="n"/>
      <c r="BG1160" s="78" t="n"/>
      <c r="BH1160" s="78" t="n"/>
      <c r="BI1160" s="78" t="n"/>
      <c r="BJ1160" s="139" t="n"/>
      <c r="BK1160" s="204" t="n"/>
      <c r="BL1160" s="141" t="n"/>
      <c r="BM1160" s="205" t="n"/>
      <c r="BN1160" s="205" t="n"/>
      <c r="BO1160" s="206" t="n"/>
      <c r="BP1160" s="144" t="n"/>
      <c r="BQ1160" s="141" t="n"/>
      <c r="BR1160" s="207" t="n"/>
      <c r="BS1160" s="207" t="n"/>
      <c r="BT1160" s="207" t="n"/>
      <c r="BU1160" s="207" t="n"/>
      <c r="BV1160" s="208" t="n"/>
      <c r="BW1160" s="207" t="n"/>
      <c r="BX1160" s="207" t="n"/>
      <c r="BY1160" s="204" t="n"/>
      <c r="BZ1160" s="148" t="n"/>
      <c r="CA1160" s="204" t="n"/>
      <c r="CB1160" s="208" t="n"/>
      <c r="CC1160" s="139" t="n"/>
      <c r="CD1160" s="204" t="n"/>
      <c r="CE1160" s="204" t="n"/>
      <c r="CF1160" s="207" t="n"/>
      <c r="CG1160" s="208" t="n"/>
      <c r="CH1160" s="207" t="n"/>
      <c r="CI1160" s="208" t="n"/>
      <c r="CJ1160" s="204" t="n"/>
      <c r="CK1160" s="208" t="n"/>
      <c r="CL1160" s="208" t="n"/>
      <c r="CM1160" s="208" t="n"/>
      <c r="CN1160" s="78" t="n"/>
      <c r="CO1160" s="209" t="n"/>
      <c r="CP1160" s="204" t="n"/>
      <c r="CQ1160" s="204" t="n"/>
      <c r="CR1160" s="204" t="n"/>
      <c r="CS1160" s="204" t="n"/>
      <c r="CT1160" s="204" t="n"/>
      <c r="CU1160" s="204" t="n"/>
      <c r="CV1160" s="204" t="n"/>
      <c r="CW1160" s="204" t="n"/>
    </row>
    <row r="1161">
      <c r="BF1161" s="78" t="n"/>
      <c r="BG1161" s="78" t="n"/>
      <c r="BH1161" s="78" t="n"/>
      <c r="BI1161" s="78" t="n"/>
      <c r="BJ1161" s="139" t="n"/>
      <c r="BK1161" s="204" t="n"/>
      <c r="BL1161" s="141" t="n"/>
      <c r="BM1161" s="205" t="n"/>
      <c r="BN1161" s="205" t="n"/>
      <c r="BO1161" s="206" t="n"/>
      <c r="BP1161" s="144" t="n"/>
      <c r="BQ1161" s="141" t="n"/>
      <c r="BR1161" s="207" t="n"/>
      <c r="BS1161" s="207" t="n"/>
      <c r="BT1161" s="207" t="n"/>
      <c r="BU1161" s="207" t="n"/>
      <c r="BV1161" s="208" t="n"/>
      <c r="BW1161" s="207" t="n"/>
      <c r="BX1161" s="207" t="n"/>
      <c r="BY1161" s="204" t="n"/>
      <c r="BZ1161" s="148" t="n"/>
      <c r="CA1161" s="204" t="n"/>
      <c r="CB1161" s="208" t="n"/>
      <c r="CC1161" s="139" t="n"/>
      <c r="CD1161" s="204" t="n"/>
      <c r="CE1161" s="204" t="n"/>
      <c r="CF1161" s="207" t="n"/>
      <c r="CG1161" s="208" t="n"/>
      <c r="CH1161" s="207" t="n"/>
      <c r="CI1161" s="208" t="n"/>
      <c r="CJ1161" s="204" t="n"/>
      <c r="CK1161" s="208" t="n"/>
      <c r="CL1161" s="208" t="n"/>
      <c r="CM1161" s="208" t="n"/>
      <c r="CN1161" s="78" t="n"/>
      <c r="CO1161" s="209" t="n"/>
      <c r="CP1161" s="204" t="n"/>
      <c r="CQ1161" s="204" t="n"/>
      <c r="CR1161" s="204" t="n"/>
      <c r="CS1161" s="204" t="n"/>
      <c r="CT1161" s="204" t="n"/>
      <c r="CU1161" s="204" t="n"/>
      <c r="CV1161" s="204" t="n"/>
      <c r="CW1161" s="204" t="n"/>
    </row>
    <row r="1162">
      <c r="BF1162" s="78" t="n"/>
      <c r="BG1162" s="78" t="n"/>
      <c r="BH1162" s="78" t="n"/>
      <c r="BI1162" s="78" t="n"/>
      <c r="BJ1162" s="139" t="n"/>
      <c r="BK1162" s="204" t="n"/>
      <c r="BL1162" s="141" t="n"/>
      <c r="BM1162" s="205" t="n"/>
      <c r="BN1162" s="205" t="n"/>
      <c r="BO1162" s="206" t="n"/>
      <c r="BP1162" s="144" t="n"/>
      <c r="BQ1162" s="141" t="n"/>
      <c r="BR1162" s="207" t="n"/>
      <c r="BS1162" s="207" t="n"/>
      <c r="BT1162" s="207" t="n"/>
      <c r="BU1162" s="207" t="n"/>
      <c r="BV1162" s="208" t="n"/>
      <c r="BW1162" s="207" t="n"/>
      <c r="BX1162" s="207" t="n"/>
      <c r="BY1162" s="204" t="n"/>
      <c r="BZ1162" s="148" t="n"/>
      <c r="CA1162" s="204" t="n"/>
      <c r="CB1162" s="208" t="n"/>
      <c r="CC1162" s="139" t="n"/>
      <c r="CD1162" s="204" t="n"/>
      <c r="CE1162" s="204" t="n"/>
      <c r="CF1162" s="207" t="n"/>
      <c r="CG1162" s="208" t="n"/>
      <c r="CH1162" s="207" t="n"/>
      <c r="CI1162" s="208" t="n"/>
      <c r="CJ1162" s="204" t="n"/>
      <c r="CK1162" s="208" t="n"/>
      <c r="CL1162" s="208" t="n"/>
      <c r="CM1162" s="208" t="n"/>
      <c r="CN1162" s="78" t="n"/>
      <c r="CO1162" s="209" t="n"/>
      <c r="CP1162" s="204" t="n"/>
      <c r="CQ1162" s="204" t="n"/>
      <c r="CR1162" s="204" t="n"/>
      <c r="CS1162" s="204" t="n"/>
      <c r="CT1162" s="204" t="n"/>
      <c r="CU1162" s="204" t="n"/>
      <c r="CV1162" s="204" t="n"/>
      <c r="CW1162" s="204" t="n"/>
    </row>
    <row r="1163">
      <c r="BF1163" s="78" t="n"/>
      <c r="BG1163" s="78" t="n"/>
      <c r="BH1163" s="78" t="n"/>
      <c r="BI1163" s="78" t="n"/>
      <c r="BJ1163" s="139" t="n"/>
      <c r="BK1163" s="204" t="n"/>
      <c r="BL1163" s="141" t="n"/>
      <c r="BM1163" s="205" t="n"/>
      <c r="BN1163" s="205" t="n"/>
      <c r="BO1163" s="206" t="n"/>
      <c r="BP1163" s="144" t="n"/>
      <c r="BQ1163" s="141" t="n"/>
      <c r="BR1163" s="207" t="n"/>
      <c r="BS1163" s="207" t="n"/>
      <c r="BT1163" s="207" t="n"/>
      <c r="BU1163" s="207" t="n"/>
      <c r="BV1163" s="208" t="n"/>
      <c r="BW1163" s="207" t="n"/>
      <c r="BX1163" s="207" t="n"/>
      <c r="BY1163" s="204" t="n"/>
      <c r="BZ1163" s="148" t="n"/>
      <c r="CA1163" s="204" t="n"/>
      <c r="CB1163" s="208" t="n"/>
      <c r="CC1163" s="139" t="n"/>
      <c r="CD1163" s="204" t="n"/>
      <c r="CE1163" s="204" t="n"/>
      <c r="CF1163" s="207" t="n"/>
      <c r="CG1163" s="208" t="n"/>
      <c r="CH1163" s="207" t="n"/>
      <c r="CI1163" s="208" t="n"/>
      <c r="CJ1163" s="204" t="n"/>
      <c r="CK1163" s="208" t="n"/>
      <c r="CL1163" s="208" t="n"/>
      <c r="CM1163" s="208" t="n"/>
      <c r="CN1163" s="78" t="n"/>
      <c r="CO1163" s="209" t="n"/>
      <c r="CP1163" s="204" t="n"/>
      <c r="CQ1163" s="204" t="n"/>
      <c r="CR1163" s="204" t="n"/>
      <c r="CS1163" s="204" t="n"/>
      <c r="CT1163" s="204" t="n"/>
      <c r="CU1163" s="204" t="n"/>
      <c r="CV1163" s="204" t="n"/>
      <c r="CW1163" s="204" t="n"/>
    </row>
    <row r="1164">
      <c r="BF1164" s="78" t="n"/>
      <c r="BG1164" s="78" t="n"/>
      <c r="BH1164" s="78" t="n"/>
      <c r="BI1164" s="78" t="n"/>
      <c r="BJ1164" s="139" t="n"/>
      <c r="BK1164" s="204" t="n"/>
      <c r="BL1164" s="141" t="n"/>
      <c r="BM1164" s="205" t="n"/>
      <c r="BN1164" s="205" t="n"/>
      <c r="BO1164" s="206" t="n"/>
      <c r="BP1164" s="144" t="n"/>
      <c r="BQ1164" s="141" t="n"/>
      <c r="BR1164" s="207" t="n"/>
      <c r="BS1164" s="207" t="n"/>
      <c r="BT1164" s="207" t="n"/>
      <c r="BU1164" s="207" t="n"/>
      <c r="BV1164" s="208" t="n"/>
      <c r="BW1164" s="207" t="n"/>
      <c r="BX1164" s="207" t="n"/>
      <c r="BY1164" s="204" t="n"/>
      <c r="BZ1164" s="148" t="n"/>
      <c r="CA1164" s="204" t="n"/>
      <c r="CB1164" s="208" t="n"/>
      <c r="CC1164" s="139" t="n"/>
      <c r="CD1164" s="204" t="n"/>
      <c r="CE1164" s="204" t="n"/>
      <c r="CF1164" s="207" t="n"/>
      <c r="CG1164" s="208" t="n"/>
      <c r="CH1164" s="207" t="n"/>
      <c r="CI1164" s="208" t="n"/>
      <c r="CJ1164" s="204" t="n"/>
      <c r="CK1164" s="208" t="n"/>
      <c r="CL1164" s="208" t="n"/>
      <c r="CM1164" s="208" t="n"/>
      <c r="CN1164" s="78" t="n"/>
      <c r="CO1164" s="209" t="n"/>
      <c r="CP1164" s="204" t="n"/>
      <c r="CQ1164" s="204" t="n"/>
      <c r="CR1164" s="204" t="n"/>
      <c r="CS1164" s="204" t="n"/>
      <c r="CT1164" s="204" t="n"/>
      <c r="CU1164" s="204" t="n"/>
      <c r="CV1164" s="204" t="n"/>
      <c r="CW1164" s="204" t="n"/>
    </row>
    <row r="1165">
      <c r="BF1165" s="78" t="n"/>
      <c r="BG1165" s="78" t="n"/>
      <c r="BH1165" s="78" t="n"/>
      <c r="BI1165" s="78" t="n"/>
      <c r="BJ1165" s="139" t="n"/>
      <c r="BK1165" s="204" t="n"/>
      <c r="BL1165" s="141" t="n"/>
      <c r="BM1165" s="205" t="n"/>
      <c r="BN1165" s="205" t="n"/>
      <c r="BO1165" s="206" t="n"/>
      <c r="BP1165" s="144" t="n"/>
      <c r="BQ1165" s="141" t="n"/>
      <c r="BR1165" s="207" t="n"/>
      <c r="BS1165" s="207" t="n"/>
      <c r="BT1165" s="207" t="n"/>
      <c r="BU1165" s="207" t="n"/>
      <c r="BV1165" s="208" t="n"/>
      <c r="BW1165" s="207" t="n"/>
      <c r="BX1165" s="207" t="n"/>
      <c r="BY1165" s="204" t="n"/>
      <c r="BZ1165" s="148" t="n"/>
      <c r="CA1165" s="204" t="n"/>
      <c r="CB1165" s="208" t="n"/>
      <c r="CC1165" s="139" t="n"/>
      <c r="CD1165" s="204" t="n"/>
      <c r="CE1165" s="204" t="n"/>
      <c r="CF1165" s="207" t="n"/>
      <c r="CG1165" s="208" t="n"/>
      <c r="CH1165" s="207" t="n"/>
      <c r="CI1165" s="208" t="n"/>
      <c r="CJ1165" s="204" t="n"/>
      <c r="CK1165" s="208" t="n"/>
      <c r="CL1165" s="208" t="n"/>
      <c r="CM1165" s="208" t="n"/>
      <c r="CN1165" s="78" t="n"/>
      <c r="CO1165" s="209" t="n"/>
      <c r="CP1165" s="204" t="n"/>
      <c r="CQ1165" s="204" t="n"/>
      <c r="CR1165" s="204" t="n"/>
      <c r="CS1165" s="204" t="n"/>
      <c r="CT1165" s="204" t="n"/>
      <c r="CU1165" s="204" t="n"/>
      <c r="CV1165" s="204" t="n"/>
      <c r="CW1165" s="204" t="n"/>
    </row>
    <row r="1166">
      <c r="BF1166" s="78" t="n"/>
      <c r="BG1166" s="78" t="n"/>
      <c r="BH1166" s="78" t="n"/>
      <c r="BI1166" s="78" t="n"/>
      <c r="BJ1166" s="139" t="n"/>
      <c r="BK1166" s="204" t="n"/>
      <c r="BL1166" s="141" t="n"/>
      <c r="BM1166" s="205" t="n"/>
      <c r="BN1166" s="205" t="n"/>
      <c r="BO1166" s="206" t="n"/>
      <c r="BP1166" s="144" t="n"/>
      <c r="BQ1166" s="141" t="n"/>
      <c r="BR1166" s="207" t="n"/>
      <c r="BS1166" s="207" t="n"/>
      <c r="BT1166" s="207" t="n"/>
      <c r="BU1166" s="207" t="n"/>
      <c r="BV1166" s="208" t="n"/>
      <c r="BW1166" s="207" t="n"/>
      <c r="BX1166" s="207" t="n"/>
      <c r="BY1166" s="204" t="n"/>
      <c r="BZ1166" s="148" t="n"/>
      <c r="CA1166" s="204" t="n"/>
      <c r="CB1166" s="208" t="n"/>
      <c r="CC1166" s="139" t="n"/>
      <c r="CD1166" s="204" t="n"/>
      <c r="CE1166" s="204" t="n"/>
      <c r="CF1166" s="207" t="n"/>
      <c r="CG1166" s="208" t="n"/>
      <c r="CH1166" s="207" t="n"/>
      <c r="CI1166" s="208" t="n"/>
      <c r="CJ1166" s="204" t="n"/>
      <c r="CK1166" s="208" t="n"/>
      <c r="CL1166" s="208" t="n"/>
      <c r="CM1166" s="208" t="n"/>
      <c r="CN1166" s="78" t="n"/>
      <c r="CO1166" s="209" t="n"/>
      <c r="CP1166" s="204" t="n"/>
      <c r="CQ1166" s="204" t="n"/>
      <c r="CR1166" s="204" t="n"/>
      <c r="CS1166" s="204" t="n"/>
      <c r="CT1166" s="204" t="n"/>
      <c r="CU1166" s="204" t="n"/>
      <c r="CV1166" s="204" t="n"/>
      <c r="CW1166" s="204" t="n"/>
    </row>
    <row r="1167">
      <c r="BF1167" s="78" t="n"/>
      <c r="BG1167" s="78" t="n"/>
      <c r="BH1167" s="78" t="n"/>
      <c r="BI1167" s="78" t="n"/>
      <c r="BJ1167" s="139" t="n"/>
      <c r="BK1167" s="204" t="n"/>
      <c r="BL1167" s="141" t="n"/>
      <c r="BM1167" s="205" t="n"/>
      <c r="BN1167" s="205" t="n"/>
      <c r="BO1167" s="206" t="n"/>
      <c r="BP1167" s="144" t="n"/>
      <c r="BQ1167" s="141" t="n"/>
      <c r="BR1167" s="207" t="n"/>
      <c r="BS1167" s="207" t="n"/>
      <c r="BT1167" s="207" t="n"/>
      <c r="BU1167" s="207" t="n"/>
      <c r="BV1167" s="208" t="n"/>
      <c r="BW1167" s="207" t="n"/>
      <c r="BX1167" s="207" t="n"/>
      <c r="BY1167" s="204" t="n"/>
      <c r="BZ1167" s="148" t="n"/>
      <c r="CA1167" s="204" t="n"/>
      <c r="CB1167" s="208" t="n"/>
      <c r="CC1167" s="139" t="n"/>
      <c r="CD1167" s="204" t="n"/>
      <c r="CE1167" s="204" t="n"/>
      <c r="CF1167" s="207" t="n"/>
      <c r="CG1167" s="208" t="n"/>
      <c r="CH1167" s="207" t="n"/>
      <c r="CI1167" s="208" t="n"/>
      <c r="CJ1167" s="204" t="n"/>
      <c r="CK1167" s="208" t="n"/>
      <c r="CL1167" s="208" t="n"/>
      <c r="CM1167" s="208" t="n"/>
      <c r="CN1167" s="78" t="n"/>
      <c r="CO1167" s="209" t="n"/>
      <c r="CP1167" s="204" t="n"/>
      <c r="CQ1167" s="204" t="n"/>
      <c r="CR1167" s="204" t="n"/>
      <c r="CS1167" s="204" t="n"/>
      <c r="CT1167" s="204" t="n"/>
      <c r="CU1167" s="204" t="n"/>
      <c r="CV1167" s="204" t="n"/>
      <c r="CW1167" s="204" t="n"/>
    </row>
    <row r="1168">
      <c r="BF1168" s="78" t="n"/>
      <c r="BG1168" s="78" t="n"/>
      <c r="BH1168" s="78" t="n"/>
      <c r="BI1168" s="78" t="n"/>
      <c r="BJ1168" s="139" t="n"/>
      <c r="BK1168" s="204" t="n"/>
      <c r="BL1168" s="141" t="n"/>
      <c r="BM1168" s="205" t="n"/>
      <c r="BN1168" s="205" t="n"/>
      <c r="BO1168" s="206" t="n"/>
      <c r="BP1168" s="144" t="n"/>
      <c r="BQ1168" s="141" t="n"/>
      <c r="BR1168" s="207" t="n"/>
      <c r="BS1168" s="207" t="n"/>
      <c r="BT1168" s="207" t="n"/>
      <c r="BU1168" s="207" t="n"/>
      <c r="BV1168" s="208" t="n"/>
      <c r="BW1168" s="207" t="n"/>
      <c r="BX1168" s="207" t="n"/>
      <c r="BY1168" s="204" t="n"/>
      <c r="BZ1168" s="148" t="n"/>
      <c r="CA1168" s="204" t="n"/>
      <c r="CB1168" s="208" t="n"/>
      <c r="CC1168" s="139" t="n"/>
      <c r="CD1168" s="204" t="n"/>
      <c r="CE1168" s="204" t="n"/>
      <c r="CF1168" s="207" t="n"/>
      <c r="CG1168" s="208" t="n"/>
      <c r="CH1168" s="207" t="n"/>
      <c r="CI1168" s="208" t="n"/>
      <c r="CJ1168" s="204" t="n"/>
      <c r="CK1168" s="208" t="n"/>
      <c r="CL1168" s="208" t="n"/>
      <c r="CM1168" s="208" t="n"/>
      <c r="CN1168" s="78" t="n"/>
      <c r="CO1168" s="209" t="n"/>
      <c r="CP1168" s="204" t="n"/>
      <c r="CQ1168" s="204" t="n"/>
      <c r="CR1168" s="204" t="n"/>
      <c r="CS1168" s="204" t="n"/>
      <c r="CT1168" s="204" t="n"/>
      <c r="CU1168" s="204" t="n"/>
      <c r="CV1168" s="204" t="n"/>
      <c r="CW1168" s="204" t="n"/>
    </row>
    <row r="1169">
      <c r="BF1169" s="78" t="n"/>
      <c r="BG1169" s="78" t="n"/>
      <c r="BH1169" s="78" t="n"/>
      <c r="BI1169" s="78" t="n"/>
      <c r="BJ1169" s="139" t="n"/>
      <c r="BK1169" s="204" t="n"/>
      <c r="BL1169" s="141" t="n"/>
      <c r="BM1169" s="205" t="n"/>
      <c r="BN1169" s="205" t="n"/>
      <c r="BO1169" s="206" t="n"/>
      <c r="BP1169" s="144" t="n"/>
      <c r="BQ1169" s="141" t="n"/>
      <c r="BR1169" s="207" t="n"/>
      <c r="BS1169" s="207" t="n"/>
      <c r="BT1169" s="207" t="n"/>
      <c r="BU1169" s="207" t="n"/>
      <c r="BV1169" s="208" t="n"/>
      <c r="BW1169" s="207" t="n"/>
      <c r="BX1169" s="207" t="n"/>
      <c r="BY1169" s="204" t="n"/>
      <c r="BZ1169" s="148" t="n"/>
      <c r="CA1169" s="204" t="n"/>
      <c r="CB1169" s="208" t="n"/>
      <c r="CC1169" s="139" t="n"/>
      <c r="CD1169" s="204" t="n"/>
      <c r="CE1169" s="204" t="n"/>
      <c r="CF1169" s="207" t="n"/>
      <c r="CG1169" s="208" t="n"/>
      <c r="CH1169" s="207" t="n"/>
      <c r="CI1169" s="208" t="n"/>
      <c r="CJ1169" s="204" t="n"/>
      <c r="CK1169" s="208" t="n"/>
      <c r="CL1169" s="208" t="n"/>
      <c r="CM1169" s="208" t="n"/>
      <c r="CN1169" s="78" t="n"/>
      <c r="CO1169" s="209" t="n"/>
      <c r="CP1169" s="204" t="n"/>
      <c r="CQ1169" s="204" t="n"/>
      <c r="CR1169" s="204" t="n"/>
      <c r="CS1169" s="204" t="n"/>
      <c r="CT1169" s="204" t="n"/>
      <c r="CU1169" s="204" t="n"/>
      <c r="CV1169" s="204" t="n"/>
      <c r="CW1169" s="204" t="n"/>
    </row>
    <row r="1170">
      <c r="BF1170" s="78" t="n"/>
      <c r="BG1170" s="78" t="n"/>
      <c r="BH1170" s="78" t="n"/>
      <c r="BI1170" s="78" t="n"/>
      <c r="BJ1170" s="139" t="n"/>
      <c r="BK1170" s="204" t="n"/>
      <c r="BL1170" s="141" t="n"/>
      <c r="BM1170" s="205" t="n"/>
      <c r="BN1170" s="205" t="n"/>
      <c r="BO1170" s="206" t="n"/>
      <c r="BP1170" s="144" t="n"/>
      <c r="BQ1170" s="141" t="n"/>
      <c r="BR1170" s="207" t="n"/>
      <c r="BS1170" s="207" t="n"/>
      <c r="BT1170" s="207" t="n"/>
      <c r="BU1170" s="207" t="n"/>
      <c r="BV1170" s="208" t="n"/>
      <c r="BW1170" s="207" t="n"/>
      <c r="BX1170" s="207" t="n"/>
      <c r="BY1170" s="204" t="n"/>
      <c r="BZ1170" s="148" t="n"/>
      <c r="CA1170" s="204" t="n"/>
      <c r="CB1170" s="208" t="n"/>
      <c r="CC1170" s="139" t="n"/>
      <c r="CD1170" s="204" t="n"/>
      <c r="CE1170" s="204" t="n"/>
      <c r="CF1170" s="207" t="n"/>
      <c r="CG1170" s="208" t="n"/>
      <c r="CH1170" s="207" t="n"/>
      <c r="CI1170" s="208" t="n"/>
      <c r="CJ1170" s="204" t="n"/>
      <c r="CK1170" s="208" t="n"/>
      <c r="CL1170" s="208" t="n"/>
      <c r="CM1170" s="208" t="n"/>
      <c r="CN1170" s="78" t="n"/>
      <c r="CO1170" s="209" t="n"/>
      <c r="CP1170" s="204" t="n"/>
      <c r="CQ1170" s="204" t="n"/>
      <c r="CR1170" s="204" t="n"/>
      <c r="CS1170" s="204" t="n"/>
      <c r="CT1170" s="204" t="n"/>
      <c r="CU1170" s="204" t="n"/>
      <c r="CV1170" s="204" t="n"/>
      <c r="CW1170" s="204" t="n"/>
    </row>
    <row r="1171">
      <c r="BF1171" s="78" t="n"/>
      <c r="BG1171" s="78" t="n"/>
      <c r="BH1171" s="78" t="n"/>
      <c r="BI1171" s="78" t="n"/>
      <c r="BJ1171" s="139" t="n"/>
      <c r="BK1171" s="204" t="n"/>
      <c r="BL1171" s="141" t="n"/>
      <c r="BM1171" s="205" t="n"/>
      <c r="BN1171" s="205" t="n"/>
      <c r="BO1171" s="206" t="n"/>
      <c r="BP1171" s="144" t="n"/>
      <c r="BQ1171" s="141" t="n"/>
      <c r="BR1171" s="207" t="n"/>
      <c r="BS1171" s="207" t="n"/>
      <c r="BT1171" s="207" t="n"/>
      <c r="BU1171" s="207" t="n"/>
      <c r="BV1171" s="208" t="n"/>
      <c r="BW1171" s="207" t="n"/>
      <c r="BX1171" s="207" t="n"/>
      <c r="BY1171" s="204" t="n"/>
      <c r="BZ1171" s="148" t="n"/>
      <c r="CA1171" s="204" t="n"/>
      <c r="CB1171" s="208" t="n"/>
      <c r="CC1171" s="139" t="n"/>
      <c r="CD1171" s="204" t="n"/>
      <c r="CE1171" s="204" t="n"/>
      <c r="CF1171" s="207" t="n"/>
      <c r="CG1171" s="208" t="n"/>
      <c r="CH1171" s="207" t="n"/>
      <c r="CI1171" s="208" t="n"/>
      <c r="CJ1171" s="204" t="n"/>
      <c r="CK1171" s="208" t="n"/>
      <c r="CL1171" s="208" t="n"/>
      <c r="CM1171" s="208" t="n"/>
      <c r="CN1171" s="78" t="n"/>
      <c r="CO1171" s="209" t="n"/>
      <c r="CP1171" s="204" t="n"/>
      <c r="CQ1171" s="204" t="n"/>
      <c r="CR1171" s="204" t="n"/>
      <c r="CS1171" s="204" t="n"/>
      <c r="CT1171" s="204" t="n"/>
      <c r="CU1171" s="204" t="n"/>
      <c r="CV1171" s="204" t="n"/>
      <c r="CW1171" s="204" t="n"/>
    </row>
    <row r="1172">
      <c r="BF1172" s="78" t="n"/>
      <c r="BG1172" s="78" t="n"/>
      <c r="BH1172" s="78" t="n"/>
      <c r="BI1172" s="78" t="n"/>
      <c r="BJ1172" s="139" t="n"/>
      <c r="BK1172" s="204" t="n"/>
      <c r="BL1172" s="141" t="n"/>
      <c r="BM1172" s="205" t="n"/>
      <c r="BN1172" s="205" t="n"/>
      <c r="BO1172" s="206" t="n"/>
      <c r="BP1172" s="144" t="n"/>
      <c r="BQ1172" s="141" t="n"/>
      <c r="BR1172" s="207" t="n"/>
      <c r="BS1172" s="207" t="n"/>
      <c r="BT1172" s="207" t="n"/>
      <c r="BU1172" s="207" t="n"/>
      <c r="BV1172" s="208" t="n"/>
      <c r="BW1172" s="207" t="n"/>
      <c r="BX1172" s="207" t="n"/>
      <c r="BY1172" s="204" t="n"/>
      <c r="BZ1172" s="148" t="n"/>
      <c r="CA1172" s="204" t="n"/>
      <c r="CB1172" s="208" t="n"/>
      <c r="CC1172" s="139" t="n"/>
      <c r="CD1172" s="204" t="n"/>
      <c r="CE1172" s="204" t="n"/>
      <c r="CF1172" s="207" t="n"/>
      <c r="CG1172" s="208" t="n"/>
      <c r="CH1172" s="207" t="n"/>
      <c r="CI1172" s="208" t="n"/>
      <c r="CJ1172" s="204" t="n"/>
      <c r="CK1172" s="208" t="n"/>
      <c r="CL1172" s="208" t="n"/>
      <c r="CM1172" s="208" t="n"/>
      <c r="CN1172" s="78" t="n"/>
      <c r="CO1172" s="209" t="n"/>
      <c r="CP1172" s="204" t="n"/>
      <c r="CQ1172" s="204" t="n"/>
      <c r="CR1172" s="204" t="n"/>
      <c r="CS1172" s="204" t="n"/>
      <c r="CT1172" s="204" t="n"/>
      <c r="CU1172" s="204" t="n"/>
      <c r="CV1172" s="204" t="n"/>
      <c r="CW1172" s="204" t="n"/>
    </row>
    <row r="1173">
      <c r="BF1173" s="78" t="n"/>
      <c r="BG1173" s="78" t="n"/>
      <c r="BH1173" s="78" t="n"/>
      <c r="BI1173" s="78" t="n"/>
      <c r="BJ1173" s="139" t="n"/>
      <c r="BK1173" s="204" t="n"/>
      <c r="BL1173" s="141" t="n"/>
      <c r="BM1173" s="205" t="n"/>
      <c r="BN1173" s="205" t="n"/>
      <c r="BO1173" s="206" t="n"/>
      <c r="BP1173" s="144" t="n"/>
      <c r="BQ1173" s="141" t="n"/>
      <c r="BR1173" s="207" t="n"/>
      <c r="BS1173" s="207" t="n"/>
      <c r="BT1173" s="207" t="n"/>
      <c r="BU1173" s="207" t="n"/>
      <c r="BV1173" s="208" t="n"/>
      <c r="BW1173" s="207" t="n"/>
      <c r="BX1173" s="207" t="n"/>
      <c r="BY1173" s="204" t="n"/>
      <c r="BZ1173" s="148" t="n"/>
      <c r="CA1173" s="204" t="n"/>
      <c r="CB1173" s="208" t="n"/>
      <c r="CC1173" s="139" t="n"/>
      <c r="CD1173" s="204" t="n"/>
      <c r="CE1173" s="204" t="n"/>
      <c r="CF1173" s="207" t="n"/>
      <c r="CG1173" s="208" t="n"/>
      <c r="CH1173" s="207" t="n"/>
      <c r="CI1173" s="208" t="n"/>
      <c r="CJ1173" s="204" t="n"/>
      <c r="CK1173" s="208" t="n"/>
      <c r="CL1173" s="208" t="n"/>
      <c r="CM1173" s="208" t="n"/>
      <c r="CN1173" s="78" t="n"/>
      <c r="CO1173" s="209" t="n"/>
      <c r="CP1173" s="204" t="n"/>
      <c r="CQ1173" s="204" t="n"/>
      <c r="CR1173" s="204" t="n"/>
      <c r="CS1173" s="204" t="n"/>
      <c r="CT1173" s="204" t="n"/>
      <c r="CU1173" s="204" t="n"/>
      <c r="CV1173" s="204" t="n"/>
      <c r="CW1173" s="204" t="n"/>
    </row>
    <row r="1174">
      <c r="BF1174" s="78" t="n"/>
      <c r="BG1174" s="78" t="n"/>
      <c r="BH1174" s="78" t="n"/>
      <c r="BI1174" s="78" t="n"/>
      <c r="BJ1174" s="139" t="n"/>
      <c r="BK1174" s="204" t="n"/>
      <c r="BL1174" s="141" t="n"/>
      <c r="BM1174" s="205" t="n"/>
      <c r="BN1174" s="205" t="n"/>
      <c r="BO1174" s="206" t="n"/>
      <c r="BP1174" s="144" t="n"/>
      <c r="BQ1174" s="141" t="n"/>
      <c r="BR1174" s="207" t="n"/>
      <c r="BS1174" s="207" t="n"/>
      <c r="BT1174" s="207" t="n"/>
      <c r="BU1174" s="207" t="n"/>
      <c r="BV1174" s="208" t="n"/>
      <c r="BW1174" s="207" t="n"/>
      <c r="BX1174" s="207" t="n"/>
      <c r="BY1174" s="204" t="n"/>
      <c r="BZ1174" s="148" t="n"/>
      <c r="CA1174" s="204" t="n"/>
      <c r="CB1174" s="208" t="n"/>
      <c r="CC1174" s="139" t="n"/>
      <c r="CD1174" s="204" t="n"/>
      <c r="CE1174" s="204" t="n"/>
      <c r="CF1174" s="207" t="n"/>
      <c r="CG1174" s="208" t="n"/>
      <c r="CH1174" s="207" t="n"/>
      <c r="CI1174" s="208" t="n"/>
      <c r="CJ1174" s="204" t="n"/>
      <c r="CK1174" s="208" t="n"/>
      <c r="CL1174" s="208" t="n"/>
      <c r="CM1174" s="208" t="n"/>
      <c r="CN1174" s="78" t="n"/>
      <c r="CO1174" s="209" t="n"/>
      <c r="CP1174" s="204" t="n"/>
      <c r="CQ1174" s="204" t="n"/>
      <c r="CR1174" s="204" t="n"/>
      <c r="CS1174" s="204" t="n"/>
      <c r="CT1174" s="204" t="n"/>
      <c r="CU1174" s="204" t="n"/>
      <c r="CV1174" s="204" t="n"/>
      <c r="CW1174" s="204" t="n"/>
    </row>
    <row r="1175">
      <c r="BF1175" s="78" t="n"/>
      <c r="BG1175" s="78" t="n"/>
      <c r="BH1175" s="78" t="n"/>
      <c r="BI1175" s="78" t="n"/>
      <c r="BJ1175" s="139" t="n"/>
      <c r="BK1175" s="204" t="n"/>
      <c r="BL1175" s="141" t="n"/>
      <c r="BM1175" s="205" t="n"/>
      <c r="BN1175" s="205" t="n"/>
      <c r="BO1175" s="206" t="n"/>
      <c r="BP1175" s="144" t="n"/>
      <c r="BQ1175" s="141" t="n"/>
      <c r="BR1175" s="207" t="n"/>
      <c r="BS1175" s="207" t="n"/>
      <c r="BT1175" s="207" t="n"/>
      <c r="BU1175" s="207" t="n"/>
      <c r="BV1175" s="208" t="n"/>
      <c r="BW1175" s="207" t="n"/>
      <c r="BX1175" s="207" t="n"/>
      <c r="BY1175" s="204" t="n"/>
      <c r="BZ1175" s="148" t="n"/>
      <c r="CA1175" s="204" t="n"/>
      <c r="CB1175" s="208" t="n"/>
      <c r="CC1175" s="139" t="n"/>
      <c r="CD1175" s="204" t="n"/>
      <c r="CE1175" s="204" t="n"/>
      <c r="CF1175" s="207" t="n"/>
      <c r="CG1175" s="208" t="n"/>
      <c r="CH1175" s="207" t="n"/>
      <c r="CI1175" s="208" t="n"/>
      <c r="CJ1175" s="204" t="n"/>
      <c r="CK1175" s="208" t="n"/>
      <c r="CL1175" s="208" t="n"/>
      <c r="CM1175" s="208" t="n"/>
      <c r="CN1175" s="78" t="n"/>
      <c r="CO1175" s="209" t="n"/>
      <c r="CP1175" s="204" t="n"/>
      <c r="CQ1175" s="204" t="n"/>
      <c r="CR1175" s="204" t="n"/>
      <c r="CS1175" s="204" t="n"/>
      <c r="CT1175" s="204" t="n"/>
      <c r="CU1175" s="204" t="n"/>
      <c r="CV1175" s="204" t="n"/>
      <c r="CW1175" s="204" t="n"/>
    </row>
    <row r="1176">
      <c r="AR1176" s="151" t="n"/>
      <c r="BF1176" s="78" t="n"/>
      <c r="BG1176" s="78" t="n"/>
      <c r="BH1176" s="78" t="n"/>
      <c r="BI1176" s="78" t="n"/>
      <c r="BJ1176" s="139" t="n"/>
      <c r="BK1176" s="204" t="n"/>
      <c r="BL1176" s="141" t="n"/>
      <c r="BM1176" s="205" t="n"/>
      <c r="BN1176" s="205" t="n"/>
      <c r="BO1176" s="206" t="n"/>
      <c r="BP1176" s="144" t="n"/>
      <c r="BQ1176" s="141" t="n"/>
      <c r="BR1176" s="207" t="n"/>
      <c r="BS1176" s="207" t="n"/>
      <c r="BT1176" s="207" t="n"/>
      <c r="BU1176" s="207" t="n"/>
      <c r="BV1176" s="208" t="n"/>
      <c r="BW1176" s="207" t="n"/>
      <c r="BX1176" s="207" t="n"/>
      <c r="BY1176" s="204" t="n"/>
      <c r="BZ1176" s="148" t="n"/>
      <c r="CA1176" s="204" t="n"/>
      <c r="CB1176" s="208" t="n"/>
      <c r="CC1176" s="139" t="n"/>
      <c r="CD1176" s="204" t="n"/>
      <c r="CE1176" s="204" t="n"/>
      <c r="CF1176" s="207" t="n"/>
      <c r="CG1176" s="208" t="n"/>
      <c r="CH1176" s="207" t="n"/>
      <c r="CI1176" s="208" t="n"/>
      <c r="CJ1176" s="204" t="n"/>
      <c r="CK1176" s="208" t="n"/>
      <c r="CL1176" s="208" t="n"/>
      <c r="CM1176" s="208" t="n"/>
      <c r="CN1176" s="78" t="n"/>
      <c r="CO1176" s="209" t="n"/>
      <c r="CP1176" s="204" t="n"/>
      <c r="CQ1176" s="204" t="n"/>
      <c r="CR1176" s="204" t="n"/>
      <c r="CS1176" s="204" t="n"/>
      <c r="CT1176" s="204" t="n"/>
      <c r="CU1176" s="204" t="n"/>
      <c r="CV1176" s="204" t="n"/>
      <c r="CW1176" s="204" t="n"/>
    </row>
    <row r="1177">
      <c r="BF1177" s="78" t="n"/>
      <c r="BG1177" s="78" t="n"/>
      <c r="BH1177" s="78" t="n"/>
      <c r="BI1177" s="78" t="n"/>
      <c r="BJ1177" s="139" t="n"/>
      <c r="BK1177" s="204" t="n"/>
      <c r="BL1177" s="141" t="n"/>
      <c r="BM1177" s="205" t="n"/>
      <c r="BN1177" s="205" t="n"/>
      <c r="BO1177" s="206" t="n"/>
      <c r="BP1177" s="144" t="n"/>
      <c r="BQ1177" s="141" t="n"/>
      <c r="BR1177" s="207" t="n"/>
      <c r="BS1177" s="207" t="n"/>
      <c r="BT1177" s="207" t="n"/>
      <c r="BU1177" s="207" t="n"/>
      <c r="BV1177" s="208" t="n"/>
      <c r="BW1177" s="207" t="n"/>
      <c r="BX1177" s="207" t="n"/>
      <c r="BY1177" s="204" t="n"/>
      <c r="BZ1177" s="148" t="n"/>
      <c r="CA1177" s="204" t="n"/>
      <c r="CB1177" s="208" t="n"/>
      <c r="CC1177" s="139" t="n"/>
      <c r="CD1177" s="204" t="n"/>
      <c r="CE1177" s="204" t="n"/>
      <c r="CF1177" s="207" t="n"/>
      <c r="CG1177" s="208" t="n"/>
      <c r="CH1177" s="207" t="n"/>
      <c r="CI1177" s="208" t="n"/>
      <c r="CJ1177" s="204" t="n"/>
      <c r="CK1177" s="208" t="n"/>
      <c r="CL1177" s="208" t="n"/>
      <c r="CM1177" s="208" t="n"/>
      <c r="CN1177" s="78" t="n"/>
      <c r="CO1177" s="209" t="n"/>
      <c r="CP1177" s="204" t="n"/>
      <c r="CQ1177" s="204" t="n"/>
      <c r="CR1177" s="204" t="n"/>
      <c r="CS1177" s="204" t="n"/>
      <c r="CT1177" s="204" t="n"/>
      <c r="CU1177" s="204" t="n"/>
      <c r="CV1177" s="204" t="n"/>
      <c r="CW1177" s="204" t="n"/>
    </row>
    <row r="1178">
      <c r="BF1178" s="78" t="n"/>
      <c r="BG1178" s="78" t="n"/>
      <c r="BH1178" s="78" t="n"/>
      <c r="BI1178" s="78" t="n"/>
      <c r="BJ1178" s="139" t="n"/>
      <c r="BK1178" s="204" t="n"/>
      <c r="BL1178" s="141" t="n"/>
      <c r="BM1178" s="205" t="n"/>
      <c r="BN1178" s="205" t="n"/>
      <c r="BO1178" s="206" t="n"/>
      <c r="BP1178" s="144" t="n"/>
      <c r="BQ1178" s="141" t="n"/>
      <c r="BR1178" s="207" t="n"/>
      <c r="BS1178" s="207" t="n"/>
      <c r="BT1178" s="207" t="n"/>
      <c r="BU1178" s="207" t="n"/>
      <c r="BV1178" s="208" t="n"/>
      <c r="BW1178" s="207" t="n"/>
      <c r="BX1178" s="207" t="n"/>
      <c r="BY1178" s="204" t="n"/>
      <c r="BZ1178" s="148" t="n"/>
      <c r="CA1178" s="204" t="n"/>
      <c r="CB1178" s="208" t="n"/>
      <c r="CC1178" s="139" t="n"/>
      <c r="CD1178" s="204" t="n"/>
      <c r="CE1178" s="204" t="n"/>
      <c r="CF1178" s="207" t="n"/>
      <c r="CG1178" s="208" t="n"/>
      <c r="CH1178" s="207" t="n"/>
      <c r="CI1178" s="208" t="n"/>
      <c r="CJ1178" s="204" t="n"/>
      <c r="CK1178" s="208" t="n"/>
      <c r="CL1178" s="208" t="n"/>
      <c r="CM1178" s="208" t="n"/>
      <c r="CN1178" s="78" t="n"/>
      <c r="CO1178" s="209" t="n"/>
      <c r="CP1178" s="204" t="n"/>
      <c r="CQ1178" s="204" t="n"/>
      <c r="CR1178" s="204" t="n"/>
      <c r="CS1178" s="204" t="n"/>
      <c r="CT1178" s="204" t="n"/>
      <c r="CU1178" s="204" t="n"/>
      <c r="CV1178" s="204" t="n"/>
      <c r="CW1178" s="204" t="n"/>
    </row>
    <row r="1179">
      <c r="AR1179" s="151" t="n"/>
      <c r="BF1179" s="78" t="n"/>
      <c r="BG1179" s="78" t="n"/>
      <c r="BH1179" s="78" t="n"/>
      <c r="BI1179" s="78" t="n"/>
      <c r="BJ1179" s="139" t="n"/>
      <c r="BK1179" s="204" t="n"/>
      <c r="BL1179" s="141" t="n"/>
      <c r="BM1179" s="205" t="n"/>
      <c r="BN1179" s="205" t="n"/>
      <c r="BO1179" s="206" t="n"/>
      <c r="BP1179" s="144" t="n"/>
      <c r="BQ1179" s="141" t="n"/>
      <c r="BR1179" s="207" t="n"/>
      <c r="BS1179" s="207" t="n"/>
      <c r="BT1179" s="207" t="n"/>
      <c r="BU1179" s="207" t="n"/>
      <c r="BV1179" s="208" t="n"/>
      <c r="BW1179" s="207" t="n"/>
      <c r="BX1179" s="207" t="n"/>
      <c r="BY1179" s="204" t="n"/>
      <c r="BZ1179" s="148" t="n"/>
      <c r="CA1179" s="204" t="n"/>
      <c r="CB1179" s="208" t="n"/>
      <c r="CC1179" s="139" t="n"/>
      <c r="CD1179" s="204" t="n"/>
      <c r="CE1179" s="204" t="n"/>
      <c r="CF1179" s="207" t="n"/>
      <c r="CG1179" s="208" t="n"/>
      <c r="CH1179" s="207" t="n"/>
      <c r="CI1179" s="208" t="n"/>
      <c r="CJ1179" s="204" t="n"/>
      <c r="CK1179" s="208" t="n"/>
      <c r="CL1179" s="208" t="n"/>
      <c r="CM1179" s="208" t="n"/>
      <c r="CN1179" s="78" t="n"/>
      <c r="CO1179" s="209" t="n"/>
      <c r="CP1179" s="204" t="n"/>
      <c r="CQ1179" s="204" t="n"/>
      <c r="CR1179" s="204" t="n"/>
      <c r="CS1179" s="204" t="n"/>
      <c r="CT1179" s="204" t="n"/>
      <c r="CU1179" s="204" t="n"/>
      <c r="CV1179" s="204" t="n"/>
      <c r="CW1179" s="204" t="n"/>
    </row>
    <row r="1180">
      <c r="BF1180" s="78" t="n"/>
      <c r="BG1180" s="78" t="n"/>
      <c r="BH1180" s="78" t="n"/>
      <c r="BI1180" s="78" t="n"/>
      <c r="BJ1180" s="139" t="n"/>
      <c r="BK1180" s="204" t="n"/>
      <c r="BL1180" s="141" t="n"/>
      <c r="BM1180" s="205" t="n"/>
      <c r="BN1180" s="205" t="n"/>
      <c r="BO1180" s="206" t="n"/>
      <c r="BP1180" s="144" t="n"/>
      <c r="BQ1180" s="141" t="n"/>
      <c r="BR1180" s="207" t="n"/>
      <c r="BS1180" s="207" t="n"/>
      <c r="BT1180" s="207" t="n"/>
      <c r="BU1180" s="207" t="n"/>
      <c r="BV1180" s="208" t="n"/>
      <c r="BW1180" s="207" t="n"/>
      <c r="BX1180" s="207" t="n"/>
      <c r="BY1180" s="204" t="n"/>
      <c r="BZ1180" s="148" t="n"/>
      <c r="CA1180" s="204" t="n"/>
      <c r="CB1180" s="208" t="n"/>
      <c r="CC1180" s="139" t="n"/>
      <c r="CD1180" s="204" t="n"/>
      <c r="CE1180" s="204" t="n"/>
      <c r="CF1180" s="207" t="n"/>
      <c r="CG1180" s="208" t="n"/>
      <c r="CH1180" s="207" t="n"/>
      <c r="CI1180" s="208" t="n"/>
      <c r="CJ1180" s="204" t="n"/>
      <c r="CK1180" s="208" t="n"/>
      <c r="CL1180" s="208" t="n"/>
      <c r="CM1180" s="208" t="n"/>
      <c r="CN1180" s="78" t="n"/>
      <c r="CO1180" s="209" t="n"/>
      <c r="CP1180" s="204" t="n"/>
      <c r="CQ1180" s="204" t="n"/>
      <c r="CR1180" s="204" t="n"/>
      <c r="CS1180" s="204" t="n"/>
      <c r="CT1180" s="204" t="n"/>
      <c r="CU1180" s="204" t="n"/>
      <c r="CV1180" s="204" t="n"/>
      <c r="CW1180" s="204" t="n"/>
    </row>
    <row r="1181">
      <c r="BF1181" s="78" t="n"/>
      <c r="BG1181" s="78" t="n"/>
      <c r="BH1181" s="78" t="n"/>
      <c r="BI1181" s="78" t="n"/>
      <c r="BJ1181" s="139" t="n"/>
      <c r="BK1181" s="204" t="n"/>
      <c r="BL1181" s="141" t="n"/>
      <c r="BM1181" s="205" t="n"/>
      <c r="BN1181" s="205" t="n"/>
      <c r="BO1181" s="206" t="n"/>
      <c r="BP1181" s="144" t="n"/>
      <c r="BQ1181" s="141" t="n"/>
      <c r="BR1181" s="207" t="n"/>
      <c r="BS1181" s="207" t="n"/>
      <c r="BT1181" s="207" t="n"/>
      <c r="BU1181" s="207" t="n"/>
      <c r="BV1181" s="208" t="n"/>
      <c r="BW1181" s="207" t="n"/>
      <c r="BX1181" s="207" t="n"/>
      <c r="BY1181" s="204" t="n"/>
      <c r="BZ1181" s="148" t="n"/>
      <c r="CA1181" s="204" t="n"/>
      <c r="CB1181" s="208" t="n"/>
      <c r="CC1181" s="139" t="n"/>
      <c r="CD1181" s="204" t="n"/>
      <c r="CE1181" s="204" t="n"/>
      <c r="CF1181" s="207" t="n"/>
      <c r="CG1181" s="208" t="n"/>
      <c r="CH1181" s="207" t="n"/>
      <c r="CI1181" s="208" t="n"/>
      <c r="CJ1181" s="204" t="n"/>
      <c r="CK1181" s="208" t="n"/>
      <c r="CL1181" s="208" t="n"/>
      <c r="CM1181" s="208" t="n"/>
      <c r="CN1181" s="78" t="n"/>
      <c r="CO1181" s="209" t="n"/>
      <c r="CP1181" s="204" t="n"/>
      <c r="CQ1181" s="204" t="n"/>
      <c r="CR1181" s="204" t="n"/>
      <c r="CS1181" s="204" t="n"/>
      <c r="CT1181" s="204" t="n"/>
      <c r="CU1181" s="204" t="n"/>
      <c r="CV1181" s="204" t="n"/>
      <c r="CW1181" s="204" t="n"/>
    </row>
    <row r="1182">
      <c r="AR1182" s="151" t="n"/>
      <c r="BF1182" s="78" t="n"/>
      <c r="BG1182" s="78" t="n"/>
      <c r="BH1182" s="78" t="n"/>
      <c r="BI1182" s="78" t="n"/>
      <c r="BJ1182" s="139" t="n"/>
      <c r="BK1182" s="204" t="n"/>
      <c r="BL1182" s="141" t="n"/>
      <c r="BM1182" s="205" t="n"/>
      <c r="BN1182" s="205" t="n"/>
      <c r="BO1182" s="206" t="n"/>
      <c r="BP1182" s="144" t="n"/>
      <c r="BQ1182" s="141" t="n"/>
      <c r="BR1182" s="207" t="n"/>
      <c r="BS1182" s="207" t="n"/>
      <c r="BT1182" s="207" t="n"/>
      <c r="BU1182" s="207" t="n"/>
      <c r="BV1182" s="208" t="n"/>
      <c r="BW1182" s="207" t="n"/>
      <c r="BX1182" s="207" t="n"/>
      <c r="BY1182" s="204" t="n"/>
      <c r="BZ1182" s="148" t="n"/>
      <c r="CA1182" s="204" t="n"/>
      <c r="CB1182" s="208" t="n"/>
      <c r="CC1182" s="139" t="n"/>
      <c r="CD1182" s="204" t="n"/>
      <c r="CE1182" s="204" t="n"/>
      <c r="CF1182" s="207" t="n"/>
      <c r="CG1182" s="208" t="n"/>
      <c r="CH1182" s="207" t="n"/>
      <c r="CI1182" s="208" t="n"/>
      <c r="CJ1182" s="204" t="n"/>
      <c r="CK1182" s="208" t="n"/>
      <c r="CL1182" s="208" t="n"/>
      <c r="CM1182" s="208" t="n"/>
      <c r="CN1182" s="78" t="n"/>
      <c r="CO1182" s="209" t="n"/>
      <c r="CP1182" s="204" t="n"/>
      <c r="CQ1182" s="204" t="n"/>
      <c r="CR1182" s="204" t="n"/>
      <c r="CS1182" s="204" t="n"/>
      <c r="CT1182" s="204" t="n"/>
      <c r="CU1182" s="204" t="n"/>
      <c r="CV1182" s="204" t="n"/>
      <c r="CW1182" s="204" t="n"/>
    </row>
    <row r="1183">
      <c r="BF1183" s="78" t="n"/>
      <c r="BG1183" s="78" t="n"/>
      <c r="BH1183" s="78" t="n"/>
      <c r="BI1183" s="78" t="n"/>
      <c r="BJ1183" s="139" t="n"/>
      <c r="BK1183" s="204" t="n"/>
      <c r="BL1183" s="141" t="n"/>
      <c r="BM1183" s="205" t="n"/>
      <c r="BN1183" s="205" t="n"/>
      <c r="BO1183" s="206" t="n"/>
      <c r="BP1183" s="144" t="n"/>
      <c r="BQ1183" s="141" t="n"/>
      <c r="BR1183" s="207" t="n"/>
      <c r="BS1183" s="207" t="n"/>
      <c r="BT1183" s="207" t="n"/>
      <c r="BU1183" s="207" t="n"/>
      <c r="BV1183" s="208" t="n"/>
      <c r="BW1183" s="207" t="n"/>
      <c r="BX1183" s="207" t="n"/>
      <c r="BY1183" s="204" t="n"/>
      <c r="BZ1183" s="148" t="n"/>
      <c r="CA1183" s="204" t="n"/>
      <c r="CB1183" s="208" t="n"/>
      <c r="CC1183" s="139" t="n"/>
      <c r="CD1183" s="204" t="n"/>
      <c r="CE1183" s="204" t="n"/>
      <c r="CF1183" s="207" t="n"/>
      <c r="CG1183" s="208" t="n"/>
      <c r="CH1183" s="207" t="n"/>
      <c r="CI1183" s="208" t="n"/>
      <c r="CJ1183" s="204" t="n"/>
      <c r="CK1183" s="208" t="n"/>
      <c r="CL1183" s="208" t="n"/>
      <c r="CM1183" s="208" t="n"/>
      <c r="CN1183" s="78" t="n"/>
      <c r="CO1183" s="209" t="n"/>
      <c r="CP1183" s="204" t="n"/>
      <c r="CQ1183" s="204" t="n"/>
      <c r="CR1183" s="204" t="n"/>
      <c r="CS1183" s="204" t="n"/>
      <c r="CT1183" s="204" t="n"/>
      <c r="CU1183" s="204" t="n"/>
      <c r="CV1183" s="204" t="n"/>
      <c r="CW1183" s="204" t="n"/>
    </row>
    <row r="1184">
      <c r="BF1184" s="78" t="n"/>
      <c r="BG1184" s="78" t="n"/>
      <c r="BH1184" s="78" t="n"/>
      <c r="BI1184" s="78" t="n"/>
      <c r="BJ1184" s="139" t="n"/>
      <c r="BK1184" s="204" t="n"/>
      <c r="BL1184" s="141" t="n"/>
      <c r="BM1184" s="205" t="n"/>
      <c r="BN1184" s="205" t="n"/>
      <c r="BO1184" s="206" t="n"/>
      <c r="BP1184" s="144" t="n"/>
      <c r="BQ1184" s="141" t="n"/>
      <c r="BR1184" s="207" t="n"/>
      <c r="BS1184" s="207" t="n"/>
      <c r="BT1184" s="207" t="n"/>
      <c r="BU1184" s="207" t="n"/>
      <c r="BV1184" s="208" t="n"/>
      <c r="BW1184" s="207" t="n"/>
      <c r="BX1184" s="207" t="n"/>
      <c r="BY1184" s="204" t="n"/>
      <c r="BZ1184" s="148" t="n"/>
      <c r="CA1184" s="204" t="n"/>
      <c r="CB1184" s="208" t="n"/>
      <c r="CC1184" s="139" t="n"/>
      <c r="CD1184" s="204" t="n"/>
      <c r="CE1184" s="204" t="n"/>
      <c r="CF1184" s="207" t="n"/>
      <c r="CG1184" s="208" t="n"/>
      <c r="CH1184" s="207" t="n"/>
      <c r="CI1184" s="208" t="n"/>
      <c r="CJ1184" s="204" t="n"/>
      <c r="CK1184" s="208" t="n"/>
      <c r="CL1184" s="208" t="n"/>
      <c r="CM1184" s="208" t="n"/>
      <c r="CN1184" s="78" t="n"/>
      <c r="CO1184" s="209" t="n"/>
      <c r="CP1184" s="204" t="n"/>
      <c r="CQ1184" s="204" t="n"/>
      <c r="CR1184" s="204" t="n"/>
      <c r="CS1184" s="204" t="n"/>
      <c r="CT1184" s="204" t="n"/>
      <c r="CU1184" s="204" t="n"/>
      <c r="CV1184" s="204" t="n"/>
      <c r="CW1184" s="204" t="n"/>
    </row>
    <row r="1185">
      <c r="BF1185" s="78" t="n"/>
      <c r="BG1185" s="78" t="n"/>
      <c r="BH1185" s="78" t="n"/>
      <c r="BI1185" s="78" t="n"/>
      <c r="BJ1185" s="139" t="n"/>
      <c r="BK1185" s="204" t="n"/>
      <c r="BL1185" s="141" t="n"/>
      <c r="BM1185" s="205" t="n"/>
      <c r="BN1185" s="205" t="n"/>
      <c r="BO1185" s="206" t="n"/>
      <c r="BP1185" s="144" t="n"/>
      <c r="BQ1185" s="141" t="n"/>
      <c r="BR1185" s="207" t="n"/>
      <c r="BS1185" s="207" t="n"/>
      <c r="BT1185" s="207" t="n"/>
      <c r="BU1185" s="207" t="n"/>
      <c r="BV1185" s="208" t="n"/>
      <c r="BW1185" s="207" t="n"/>
      <c r="BX1185" s="207" t="n"/>
      <c r="BY1185" s="204" t="n"/>
      <c r="BZ1185" s="148" t="n"/>
      <c r="CA1185" s="204" t="n"/>
      <c r="CB1185" s="208" t="n"/>
      <c r="CC1185" s="139" t="n"/>
      <c r="CD1185" s="204" t="n"/>
      <c r="CE1185" s="204" t="n"/>
      <c r="CF1185" s="207" t="n"/>
      <c r="CG1185" s="208" t="n"/>
      <c r="CH1185" s="207" t="n"/>
      <c r="CI1185" s="208" t="n"/>
      <c r="CJ1185" s="204" t="n"/>
      <c r="CK1185" s="208" t="n"/>
      <c r="CL1185" s="208" t="n"/>
      <c r="CM1185" s="208" t="n"/>
      <c r="CN1185" s="78" t="n"/>
      <c r="CO1185" s="209" t="n"/>
      <c r="CP1185" s="204" t="n"/>
      <c r="CQ1185" s="204" t="n"/>
      <c r="CR1185" s="204" t="n"/>
      <c r="CS1185" s="204" t="n"/>
      <c r="CT1185" s="204" t="n"/>
      <c r="CU1185" s="204" t="n"/>
      <c r="CV1185" s="204" t="n"/>
      <c r="CW1185" s="204" t="n"/>
    </row>
    <row r="1186">
      <c r="BF1186" s="78" t="n"/>
      <c r="BG1186" s="78" t="n"/>
      <c r="BH1186" s="78" t="n"/>
      <c r="BI1186" s="78" t="n"/>
      <c r="BJ1186" s="139" t="n"/>
      <c r="BK1186" s="204" t="n"/>
      <c r="BL1186" s="141" t="n"/>
      <c r="BM1186" s="205" t="n"/>
      <c r="BN1186" s="205" t="n"/>
      <c r="BO1186" s="206" t="n"/>
      <c r="BP1186" s="144" t="n"/>
      <c r="BQ1186" s="141" t="n"/>
      <c r="BR1186" s="207" t="n"/>
      <c r="BS1186" s="207" t="n"/>
      <c r="BT1186" s="207" t="n"/>
      <c r="BU1186" s="207" t="n"/>
      <c r="BV1186" s="208" t="n"/>
      <c r="BW1186" s="207" t="n"/>
      <c r="BX1186" s="207" t="n"/>
      <c r="BY1186" s="204" t="n"/>
      <c r="BZ1186" s="148" t="n"/>
      <c r="CA1186" s="204" t="n"/>
      <c r="CB1186" s="208" t="n"/>
      <c r="CC1186" s="139" t="n"/>
      <c r="CD1186" s="204" t="n"/>
      <c r="CE1186" s="204" t="n"/>
      <c r="CF1186" s="207" t="n"/>
      <c r="CG1186" s="208" t="n"/>
      <c r="CH1186" s="207" t="n"/>
      <c r="CI1186" s="208" t="n"/>
      <c r="CJ1186" s="204" t="n"/>
      <c r="CK1186" s="208" t="n"/>
      <c r="CL1186" s="208" t="n"/>
      <c r="CM1186" s="208" t="n"/>
      <c r="CN1186" s="78" t="n"/>
      <c r="CO1186" s="209" t="n"/>
      <c r="CP1186" s="204" t="n"/>
      <c r="CQ1186" s="204" t="n"/>
      <c r="CR1186" s="204" t="n"/>
      <c r="CS1186" s="204" t="n"/>
      <c r="CT1186" s="204" t="n"/>
      <c r="CU1186" s="204" t="n"/>
      <c r="CV1186" s="204" t="n"/>
      <c r="CW1186" s="204" t="n"/>
    </row>
    <row r="1187">
      <c r="BF1187" s="78" t="n"/>
      <c r="BG1187" s="78" t="n"/>
      <c r="BH1187" s="78" t="n"/>
      <c r="BI1187" s="78" t="n"/>
      <c r="BJ1187" s="139" t="n"/>
      <c r="BK1187" s="204" t="n"/>
      <c r="BL1187" s="141" t="n"/>
      <c r="BM1187" s="205" t="n"/>
      <c r="BN1187" s="205" t="n"/>
      <c r="BO1187" s="206" t="n"/>
      <c r="BP1187" s="144" t="n"/>
      <c r="BQ1187" s="141" t="n"/>
      <c r="BR1187" s="207" t="n"/>
      <c r="BS1187" s="207" t="n"/>
      <c r="BT1187" s="207" t="n"/>
      <c r="BU1187" s="207" t="n"/>
      <c r="BV1187" s="208" t="n"/>
      <c r="BW1187" s="207" t="n"/>
      <c r="BX1187" s="207" t="n"/>
      <c r="BY1187" s="204" t="n"/>
      <c r="BZ1187" s="148" t="n"/>
      <c r="CA1187" s="204" t="n"/>
      <c r="CB1187" s="208" t="n"/>
      <c r="CC1187" s="139" t="n"/>
      <c r="CD1187" s="204" t="n"/>
      <c r="CE1187" s="204" t="n"/>
      <c r="CF1187" s="207" t="n"/>
      <c r="CG1187" s="208" t="n"/>
      <c r="CH1187" s="207" t="n"/>
      <c r="CI1187" s="208" t="n"/>
      <c r="CJ1187" s="204" t="n"/>
      <c r="CK1187" s="208" t="n"/>
      <c r="CL1187" s="208" t="n"/>
      <c r="CM1187" s="208" t="n"/>
      <c r="CN1187" s="78" t="n"/>
      <c r="CO1187" s="209" t="n"/>
      <c r="CP1187" s="204" t="n"/>
      <c r="CQ1187" s="204" t="n"/>
      <c r="CR1187" s="204" t="n"/>
      <c r="CS1187" s="204" t="n"/>
      <c r="CT1187" s="204" t="n"/>
      <c r="CU1187" s="204" t="n"/>
      <c r="CV1187" s="204" t="n"/>
      <c r="CW1187" s="204" t="n"/>
    </row>
    <row r="1188">
      <c r="BF1188" s="78" t="n"/>
      <c r="BG1188" s="78" t="n"/>
      <c r="BH1188" s="78" t="n"/>
      <c r="BI1188" s="78" t="n"/>
      <c r="BJ1188" s="139" t="n"/>
      <c r="BK1188" s="204" t="n"/>
      <c r="BL1188" s="141" t="n"/>
      <c r="BM1188" s="205" t="n"/>
      <c r="BN1188" s="205" t="n"/>
      <c r="BO1188" s="206" t="n"/>
      <c r="BP1188" s="144" t="n"/>
      <c r="BQ1188" s="141" t="n"/>
      <c r="BR1188" s="207" t="n"/>
      <c r="BS1188" s="207" t="n"/>
      <c r="BT1188" s="207" t="n"/>
      <c r="BU1188" s="207" t="n"/>
      <c r="BV1188" s="208" t="n"/>
      <c r="BW1188" s="207" t="n"/>
      <c r="BX1188" s="207" t="n"/>
      <c r="BY1188" s="204" t="n"/>
      <c r="BZ1188" s="148" t="n"/>
      <c r="CA1188" s="204" t="n"/>
      <c r="CB1188" s="208" t="n"/>
      <c r="CC1188" s="139" t="n"/>
      <c r="CD1188" s="204" t="n"/>
      <c r="CE1188" s="204" t="n"/>
      <c r="CF1188" s="207" t="n"/>
      <c r="CG1188" s="208" t="n"/>
      <c r="CH1188" s="207" t="n"/>
      <c r="CI1188" s="208" t="n"/>
      <c r="CJ1188" s="204" t="n"/>
      <c r="CK1188" s="208" t="n"/>
      <c r="CL1188" s="208" t="n"/>
      <c r="CM1188" s="208" t="n"/>
      <c r="CN1188" s="78" t="n"/>
      <c r="CO1188" s="209" t="n"/>
      <c r="CP1188" s="204" t="n"/>
      <c r="CQ1188" s="204" t="n"/>
      <c r="CR1188" s="204" t="n"/>
      <c r="CS1188" s="204" t="n"/>
      <c r="CT1188" s="204" t="n"/>
      <c r="CU1188" s="204" t="n"/>
      <c r="CV1188" s="204" t="n"/>
      <c r="CW1188" s="204" t="n"/>
    </row>
    <row r="1189">
      <c r="BF1189" s="78" t="n"/>
      <c r="BG1189" s="78" t="n"/>
      <c r="BH1189" s="78" t="n"/>
      <c r="BI1189" s="78" t="n"/>
      <c r="BJ1189" s="139" t="n"/>
      <c r="BK1189" s="204" t="n"/>
      <c r="BL1189" s="141" t="n"/>
      <c r="BM1189" s="205" t="n"/>
      <c r="BN1189" s="205" t="n"/>
      <c r="BO1189" s="206" t="n"/>
      <c r="BP1189" s="144" t="n"/>
      <c r="BQ1189" s="141" t="n"/>
      <c r="BR1189" s="207" t="n"/>
      <c r="BS1189" s="207" t="n"/>
      <c r="BT1189" s="207" t="n"/>
      <c r="BU1189" s="207" t="n"/>
      <c r="BV1189" s="208" t="n"/>
      <c r="BW1189" s="207" t="n"/>
      <c r="BX1189" s="207" t="n"/>
      <c r="BY1189" s="204" t="n"/>
      <c r="BZ1189" s="148" t="n"/>
      <c r="CA1189" s="204" t="n"/>
      <c r="CB1189" s="208" t="n"/>
      <c r="CC1189" s="139" t="n"/>
      <c r="CD1189" s="204" t="n"/>
      <c r="CE1189" s="204" t="n"/>
      <c r="CF1189" s="207" t="n"/>
      <c r="CG1189" s="208" t="n"/>
      <c r="CH1189" s="207" t="n"/>
      <c r="CI1189" s="208" t="n"/>
      <c r="CJ1189" s="204" t="n"/>
      <c r="CK1189" s="208" t="n"/>
      <c r="CL1189" s="208" t="n"/>
      <c r="CM1189" s="208" t="n"/>
      <c r="CN1189" s="78" t="n"/>
      <c r="CO1189" s="209" t="n"/>
      <c r="CP1189" s="204" t="n"/>
      <c r="CQ1189" s="204" t="n"/>
      <c r="CR1189" s="204" t="n"/>
      <c r="CS1189" s="204" t="n"/>
      <c r="CT1189" s="204" t="n"/>
      <c r="CU1189" s="204" t="n"/>
      <c r="CV1189" s="204" t="n"/>
      <c r="CW1189" s="204" t="n"/>
    </row>
    <row r="1190">
      <c r="BF1190" s="78" t="n"/>
      <c r="BG1190" s="78" t="n"/>
      <c r="BH1190" s="78" t="n"/>
      <c r="BI1190" s="78" t="n"/>
      <c r="BJ1190" s="139" t="n"/>
      <c r="BK1190" s="204" t="n"/>
      <c r="BL1190" s="141" t="n"/>
      <c r="BM1190" s="205" t="n"/>
      <c r="BN1190" s="205" t="n"/>
      <c r="BO1190" s="206" t="n"/>
      <c r="BP1190" s="144" t="n"/>
      <c r="BQ1190" s="141" t="n"/>
      <c r="BR1190" s="207" t="n"/>
      <c r="BS1190" s="207" t="n"/>
      <c r="BT1190" s="207" t="n"/>
      <c r="BU1190" s="207" t="n"/>
      <c r="BV1190" s="208" t="n"/>
      <c r="BW1190" s="207" t="n"/>
      <c r="BX1190" s="207" t="n"/>
      <c r="BY1190" s="204" t="n"/>
      <c r="BZ1190" s="148" t="n"/>
      <c r="CA1190" s="204" t="n"/>
      <c r="CB1190" s="208" t="n"/>
      <c r="CC1190" s="139" t="n"/>
      <c r="CD1190" s="204" t="n"/>
      <c r="CE1190" s="204" t="n"/>
      <c r="CF1190" s="207" t="n"/>
      <c r="CG1190" s="208" t="n"/>
      <c r="CH1190" s="207" t="n"/>
      <c r="CI1190" s="208" t="n"/>
      <c r="CJ1190" s="204" t="n"/>
      <c r="CK1190" s="208" t="n"/>
      <c r="CL1190" s="208" t="n"/>
      <c r="CM1190" s="208" t="n"/>
      <c r="CN1190" s="78" t="n"/>
      <c r="CO1190" s="209" t="n"/>
      <c r="CP1190" s="204" t="n"/>
      <c r="CQ1190" s="204" t="n"/>
      <c r="CR1190" s="204" t="n"/>
      <c r="CS1190" s="204" t="n"/>
      <c r="CT1190" s="204" t="n"/>
      <c r="CU1190" s="204" t="n"/>
      <c r="CV1190" s="204" t="n"/>
      <c r="CW1190" s="204" t="n"/>
    </row>
    <row r="1191">
      <c r="BF1191" s="78" t="n"/>
      <c r="BG1191" s="78" t="n"/>
      <c r="BH1191" s="78" t="n"/>
      <c r="BI1191" s="78" t="n"/>
      <c r="BJ1191" s="139" t="n"/>
      <c r="BK1191" s="204" t="n"/>
      <c r="BL1191" s="141" t="n"/>
      <c r="BM1191" s="205" t="n"/>
      <c r="BN1191" s="205" t="n"/>
      <c r="BO1191" s="206" t="n"/>
      <c r="BP1191" s="144" t="n"/>
      <c r="BQ1191" s="141" t="n"/>
      <c r="BR1191" s="207" t="n"/>
      <c r="BS1191" s="207" t="n"/>
      <c r="BT1191" s="207" t="n"/>
      <c r="BU1191" s="207" t="n"/>
      <c r="BV1191" s="208" t="n"/>
      <c r="BW1191" s="207" t="n"/>
      <c r="BX1191" s="207" t="n"/>
      <c r="BY1191" s="204" t="n"/>
      <c r="BZ1191" s="148" t="n"/>
      <c r="CA1191" s="204" t="n"/>
      <c r="CB1191" s="208" t="n"/>
      <c r="CC1191" s="139" t="n"/>
      <c r="CD1191" s="204" t="n"/>
      <c r="CE1191" s="204" t="n"/>
      <c r="CF1191" s="207" t="n"/>
      <c r="CG1191" s="208" t="n"/>
      <c r="CH1191" s="207" t="n"/>
      <c r="CI1191" s="208" t="n"/>
      <c r="CJ1191" s="204" t="n"/>
      <c r="CK1191" s="208" t="n"/>
      <c r="CL1191" s="208" t="n"/>
      <c r="CM1191" s="208" t="n"/>
      <c r="CN1191" s="78" t="n"/>
      <c r="CO1191" s="209" t="n"/>
      <c r="CP1191" s="204" t="n"/>
      <c r="CQ1191" s="204" t="n"/>
      <c r="CR1191" s="204" t="n"/>
      <c r="CS1191" s="204" t="n"/>
      <c r="CT1191" s="204" t="n"/>
      <c r="CU1191" s="204" t="n"/>
      <c r="CV1191" s="204" t="n"/>
      <c r="CW1191" s="204" t="n"/>
    </row>
    <row r="1192">
      <c r="BF1192" s="78" t="n"/>
      <c r="BG1192" s="78" t="n"/>
      <c r="BH1192" s="78" t="n"/>
      <c r="BI1192" s="78" t="n"/>
      <c r="BJ1192" s="139" t="n"/>
      <c r="BK1192" s="204" t="n"/>
      <c r="BL1192" s="141" t="n"/>
      <c r="BM1192" s="205" t="n"/>
      <c r="BN1192" s="205" t="n"/>
      <c r="BO1192" s="206" t="n"/>
      <c r="BP1192" s="144" t="n"/>
      <c r="BQ1192" s="141" t="n"/>
      <c r="BR1192" s="207" t="n"/>
      <c r="BS1192" s="207" t="n"/>
      <c r="BT1192" s="207" t="n"/>
      <c r="BU1192" s="207" t="n"/>
      <c r="BV1192" s="208" t="n"/>
      <c r="BW1192" s="207" t="n"/>
      <c r="BX1192" s="207" t="n"/>
      <c r="BY1192" s="204" t="n"/>
      <c r="BZ1192" s="148" t="n"/>
      <c r="CA1192" s="204" t="n"/>
      <c r="CB1192" s="208" t="n"/>
      <c r="CC1192" s="139" t="n"/>
      <c r="CD1192" s="204" t="n"/>
      <c r="CE1192" s="204" t="n"/>
      <c r="CF1192" s="207" t="n"/>
      <c r="CG1192" s="208" t="n"/>
      <c r="CH1192" s="207" t="n"/>
      <c r="CI1192" s="208" t="n"/>
      <c r="CJ1192" s="204" t="n"/>
      <c r="CK1192" s="208" t="n"/>
      <c r="CL1192" s="208" t="n"/>
      <c r="CM1192" s="208" t="n"/>
      <c r="CN1192" s="78" t="n"/>
      <c r="CO1192" s="209" t="n"/>
      <c r="CP1192" s="204" t="n"/>
      <c r="CQ1192" s="204" t="n"/>
      <c r="CR1192" s="204" t="n"/>
      <c r="CS1192" s="204" t="n"/>
      <c r="CT1192" s="204" t="n"/>
      <c r="CU1192" s="204" t="n"/>
      <c r="CV1192" s="204" t="n"/>
      <c r="CW1192" s="204" t="n"/>
    </row>
    <row r="1193">
      <c r="BF1193" s="78" t="n"/>
      <c r="BG1193" s="78" t="n"/>
      <c r="BH1193" s="78" t="n"/>
      <c r="BI1193" s="78" t="n"/>
      <c r="BJ1193" s="139" t="n"/>
      <c r="BK1193" s="204" t="n"/>
      <c r="BL1193" s="141" t="n"/>
      <c r="BM1193" s="205" t="n"/>
      <c r="BN1193" s="205" t="n"/>
      <c r="BO1193" s="206" t="n"/>
      <c r="BP1193" s="144" t="n"/>
      <c r="BQ1193" s="141" t="n"/>
      <c r="BR1193" s="207" t="n"/>
      <c r="BS1193" s="207" t="n"/>
      <c r="BT1193" s="207" t="n"/>
      <c r="BU1193" s="207" t="n"/>
      <c r="BV1193" s="208" t="n"/>
      <c r="BW1193" s="207" t="n"/>
      <c r="BX1193" s="207" t="n"/>
      <c r="BY1193" s="204" t="n"/>
      <c r="BZ1193" s="148" t="n"/>
      <c r="CA1193" s="204" t="n"/>
      <c r="CB1193" s="208" t="n"/>
      <c r="CC1193" s="139" t="n"/>
      <c r="CD1193" s="204" t="n"/>
      <c r="CE1193" s="204" t="n"/>
      <c r="CF1193" s="207" t="n"/>
      <c r="CG1193" s="208" t="n"/>
      <c r="CH1193" s="207" t="n"/>
      <c r="CI1193" s="208" t="n"/>
      <c r="CJ1193" s="204" t="n"/>
      <c r="CK1193" s="208" t="n"/>
      <c r="CL1193" s="208" t="n"/>
      <c r="CM1193" s="208" t="n"/>
      <c r="CN1193" s="78" t="n"/>
      <c r="CO1193" s="209" t="n"/>
      <c r="CP1193" s="204" t="n"/>
      <c r="CQ1193" s="204" t="n"/>
      <c r="CR1193" s="204" t="n"/>
      <c r="CS1193" s="204" t="n"/>
      <c r="CT1193" s="204" t="n"/>
      <c r="CU1193" s="204" t="n"/>
      <c r="CV1193" s="204" t="n"/>
      <c r="CW1193" s="204" t="n"/>
    </row>
    <row r="1194">
      <c r="BF1194" s="78" t="n"/>
      <c r="BG1194" s="78" t="n"/>
      <c r="BH1194" s="78" t="n"/>
      <c r="BI1194" s="78" t="n"/>
      <c r="BJ1194" s="139" t="n"/>
      <c r="BK1194" s="204" t="n"/>
      <c r="BL1194" s="141" t="n"/>
      <c r="BM1194" s="205" t="n"/>
      <c r="BN1194" s="205" t="n"/>
      <c r="BO1194" s="206" t="n"/>
      <c r="BP1194" s="144" t="n"/>
      <c r="BQ1194" s="141" t="n"/>
      <c r="BR1194" s="207" t="n"/>
      <c r="BS1194" s="207" t="n"/>
      <c r="BT1194" s="207" t="n"/>
      <c r="BU1194" s="207" t="n"/>
      <c r="BV1194" s="208" t="n"/>
      <c r="BW1194" s="207" t="n"/>
      <c r="BX1194" s="207" t="n"/>
      <c r="BY1194" s="204" t="n"/>
      <c r="BZ1194" s="148" t="n"/>
      <c r="CA1194" s="204" t="n"/>
      <c r="CB1194" s="208" t="n"/>
      <c r="CC1194" s="139" t="n"/>
      <c r="CD1194" s="204" t="n"/>
      <c r="CE1194" s="204" t="n"/>
      <c r="CF1194" s="207" t="n"/>
      <c r="CG1194" s="208" t="n"/>
      <c r="CH1194" s="207" t="n"/>
      <c r="CI1194" s="208" t="n"/>
      <c r="CJ1194" s="204" t="n"/>
      <c r="CK1194" s="208" t="n"/>
      <c r="CL1194" s="208" t="n"/>
      <c r="CM1194" s="208" t="n"/>
      <c r="CN1194" s="78" t="n"/>
      <c r="CO1194" s="209" t="n"/>
      <c r="CP1194" s="204" t="n"/>
      <c r="CQ1194" s="204" t="n"/>
      <c r="CR1194" s="204" t="n"/>
      <c r="CS1194" s="204" t="n"/>
      <c r="CT1194" s="204" t="n"/>
      <c r="CU1194" s="204" t="n"/>
      <c r="CV1194" s="204" t="n"/>
      <c r="CW1194" s="204" t="n"/>
    </row>
    <row r="1195">
      <c r="BF1195" s="78" t="n"/>
      <c r="BG1195" s="78" t="n"/>
      <c r="BH1195" s="78" t="n"/>
      <c r="BI1195" s="78" t="n"/>
      <c r="BJ1195" s="139" t="n"/>
      <c r="BK1195" s="204" t="n"/>
      <c r="BL1195" s="141" t="n"/>
      <c r="BM1195" s="205" t="n"/>
      <c r="BN1195" s="205" t="n"/>
      <c r="BO1195" s="206" t="n"/>
      <c r="BP1195" s="144" t="n"/>
      <c r="BQ1195" s="141" t="n"/>
      <c r="BR1195" s="207" t="n"/>
      <c r="BS1195" s="207" t="n"/>
      <c r="BT1195" s="207" t="n"/>
      <c r="BU1195" s="207" t="n"/>
      <c r="BV1195" s="208" t="n"/>
      <c r="BW1195" s="207" t="n"/>
      <c r="BX1195" s="207" t="n"/>
      <c r="BY1195" s="204" t="n"/>
      <c r="BZ1195" s="148" t="n"/>
      <c r="CA1195" s="204" t="n"/>
      <c r="CB1195" s="208" t="n"/>
      <c r="CC1195" s="139" t="n"/>
      <c r="CD1195" s="204" t="n"/>
      <c r="CE1195" s="204" t="n"/>
      <c r="CF1195" s="207" t="n"/>
      <c r="CG1195" s="208" t="n"/>
      <c r="CH1195" s="207" t="n"/>
      <c r="CI1195" s="208" t="n"/>
      <c r="CJ1195" s="204" t="n"/>
      <c r="CK1195" s="208" t="n"/>
      <c r="CL1195" s="208" t="n"/>
      <c r="CM1195" s="208" t="n"/>
      <c r="CN1195" s="78" t="n"/>
      <c r="CO1195" s="209" t="n"/>
      <c r="CP1195" s="204" t="n"/>
      <c r="CQ1195" s="204" t="n"/>
      <c r="CR1195" s="204" t="n"/>
      <c r="CS1195" s="204" t="n"/>
      <c r="CT1195" s="204" t="n"/>
      <c r="CU1195" s="204" t="n"/>
      <c r="CV1195" s="204" t="n"/>
      <c r="CW1195" s="204" t="n"/>
    </row>
    <row r="1196">
      <c r="BF1196" s="78" t="n"/>
      <c r="BG1196" s="78" t="n"/>
      <c r="BH1196" s="78" t="n"/>
      <c r="BI1196" s="78" t="n"/>
      <c r="BJ1196" s="139" t="n"/>
      <c r="BK1196" s="204" t="n"/>
      <c r="BL1196" s="141" t="n"/>
      <c r="BM1196" s="205" t="n"/>
      <c r="BN1196" s="205" t="n"/>
      <c r="BO1196" s="206" t="n"/>
      <c r="BP1196" s="144" t="n"/>
      <c r="BQ1196" s="141" t="n"/>
      <c r="BR1196" s="207" t="n"/>
      <c r="BS1196" s="207" t="n"/>
      <c r="BT1196" s="207" t="n"/>
      <c r="BU1196" s="207" t="n"/>
      <c r="BV1196" s="208" t="n"/>
      <c r="BW1196" s="207" t="n"/>
      <c r="BX1196" s="207" t="n"/>
      <c r="BY1196" s="204" t="n"/>
      <c r="BZ1196" s="148" t="n"/>
      <c r="CA1196" s="204" t="n"/>
      <c r="CB1196" s="208" t="n"/>
      <c r="CC1196" s="139" t="n"/>
      <c r="CD1196" s="204" t="n"/>
      <c r="CE1196" s="204" t="n"/>
      <c r="CF1196" s="207" t="n"/>
      <c r="CG1196" s="208" t="n"/>
      <c r="CH1196" s="207" t="n"/>
      <c r="CI1196" s="208" t="n"/>
      <c r="CJ1196" s="204" t="n"/>
      <c r="CK1196" s="208" t="n"/>
      <c r="CL1196" s="208" t="n"/>
      <c r="CM1196" s="208" t="n"/>
      <c r="CN1196" s="78" t="n"/>
      <c r="CO1196" s="209" t="n"/>
      <c r="CP1196" s="204" t="n"/>
      <c r="CQ1196" s="204" t="n"/>
      <c r="CR1196" s="204" t="n"/>
      <c r="CS1196" s="204" t="n"/>
      <c r="CT1196" s="204" t="n"/>
      <c r="CU1196" s="204" t="n"/>
      <c r="CV1196" s="204" t="n"/>
      <c r="CW1196" s="204" t="n"/>
    </row>
    <row r="1197">
      <c r="BF1197" s="78" t="n"/>
      <c r="BG1197" s="78" t="n"/>
      <c r="BH1197" s="78" t="n"/>
      <c r="BI1197" s="78" t="n"/>
      <c r="BJ1197" s="139" t="n"/>
      <c r="BK1197" s="204" t="n"/>
      <c r="BL1197" s="141" t="n"/>
      <c r="BM1197" s="205" t="n"/>
      <c r="BN1197" s="205" t="n"/>
      <c r="BO1197" s="206" t="n"/>
      <c r="BP1197" s="144" t="n"/>
      <c r="BQ1197" s="141" t="n"/>
      <c r="BR1197" s="207" t="n"/>
      <c r="BS1197" s="207" t="n"/>
      <c r="BT1197" s="207" t="n"/>
      <c r="BU1197" s="207" t="n"/>
      <c r="BV1197" s="208" t="n"/>
      <c r="BW1197" s="207" t="n"/>
      <c r="BX1197" s="207" t="n"/>
      <c r="BY1197" s="204" t="n"/>
      <c r="BZ1197" s="148" t="n"/>
      <c r="CA1197" s="204" t="n"/>
      <c r="CB1197" s="208" t="n"/>
      <c r="CC1197" s="139" t="n"/>
      <c r="CD1197" s="204" t="n"/>
      <c r="CE1197" s="204" t="n"/>
      <c r="CF1197" s="207" t="n"/>
      <c r="CG1197" s="208" t="n"/>
      <c r="CH1197" s="207" t="n"/>
      <c r="CI1197" s="208" t="n"/>
      <c r="CJ1197" s="204" t="n"/>
      <c r="CK1197" s="208" t="n"/>
      <c r="CL1197" s="208" t="n"/>
      <c r="CM1197" s="208" t="n"/>
      <c r="CN1197" s="78" t="n"/>
      <c r="CO1197" s="209" t="n"/>
      <c r="CP1197" s="204" t="n"/>
      <c r="CQ1197" s="204" t="n"/>
      <c r="CR1197" s="204" t="n"/>
      <c r="CS1197" s="204" t="n"/>
      <c r="CT1197" s="204" t="n"/>
      <c r="CU1197" s="204" t="n"/>
      <c r="CV1197" s="204" t="n"/>
      <c r="CW1197" s="204" t="n"/>
    </row>
    <row r="1198">
      <c r="BF1198" s="78" t="n"/>
      <c r="BG1198" s="78" t="n"/>
      <c r="BH1198" s="78" t="n"/>
      <c r="BI1198" s="78" t="n"/>
      <c r="BJ1198" s="139" t="n"/>
      <c r="BK1198" s="204" t="n"/>
      <c r="BL1198" s="141" t="n"/>
      <c r="BM1198" s="205" t="n"/>
      <c r="BN1198" s="205" t="n"/>
      <c r="BO1198" s="206" t="n"/>
      <c r="BP1198" s="144" t="n"/>
      <c r="BQ1198" s="141" t="n"/>
      <c r="BR1198" s="207" t="n"/>
      <c r="BS1198" s="207" t="n"/>
      <c r="BT1198" s="207" t="n"/>
      <c r="BU1198" s="207" t="n"/>
      <c r="BV1198" s="208" t="n"/>
      <c r="BW1198" s="207" t="n"/>
      <c r="BX1198" s="207" t="n"/>
      <c r="BY1198" s="204" t="n"/>
      <c r="BZ1198" s="148" t="n"/>
      <c r="CA1198" s="204" t="n"/>
      <c r="CB1198" s="208" t="n"/>
      <c r="CC1198" s="139" t="n"/>
      <c r="CD1198" s="204" t="n"/>
      <c r="CE1198" s="204" t="n"/>
      <c r="CF1198" s="207" t="n"/>
      <c r="CG1198" s="208" t="n"/>
      <c r="CH1198" s="207" t="n"/>
      <c r="CI1198" s="208" t="n"/>
      <c r="CJ1198" s="204" t="n"/>
      <c r="CK1198" s="208" t="n"/>
      <c r="CL1198" s="208" t="n"/>
      <c r="CM1198" s="208" t="n"/>
      <c r="CN1198" s="78" t="n"/>
      <c r="CO1198" s="209" t="n"/>
      <c r="CP1198" s="204" t="n"/>
      <c r="CQ1198" s="204" t="n"/>
      <c r="CR1198" s="204" t="n"/>
      <c r="CS1198" s="204" t="n"/>
      <c r="CT1198" s="204" t="n"/>
      <c r="CU1198" s="204" t="n"/>
      <c r="CV1198" s="204" t="n"/>
      <c r="CW1198" s="204" t="n"/>
    </row>
    <row r="1199">
      <c r="BF1199" s="78" t="n"/>
      <c r="BG1199" s="78" t="n"/>
      <c r="BH1199" s="78" t="n"/>
      <c r="BI1199" s="78" t="n"/>
      <c r="BJ1199" s="139" t="n"/>
      <c r="BK1199" s="204" t="n"/>
      <c r="BL1199" s="141" t="n"/>
      <c r="BM1199" s="205" t="n"/>
      <c r="BN1199" s="205" t="n"/>
      <c r="BO1199" s="206" t="n"/>
      <c r="BP1199" s="144" t="n"/>
      <c r="BQ1199" s="141" t="n"/>
      <c r="BR1199" s="207" t="n"/>
      <c r="BS1199" s="207" t="n"/>
      <c r="BT1199" s="207" t="n"/>
      <c r="BU1199" s="207" t="n"/>
      <c r="BV1199" s="208" t="n"/>
      <c r="BW1199" s="207" t="n"/>
      <c r="BX1199" s="207" t="n"/>
      <c r="BY1199" s="204" t="n"/>
      <c r="BZ1199" s="148" t="n"/>
      <c r="CA1199" s="204" t="n"/>
      <c r="CB1199" s="208" t="n"/>
      <c r="CC1199" s="139" t="n"/>
      <c r="CD1199" s="204" t="n"/>
      <c r="CE1199" s="204" t="n"/>
      <c r="CF1199" s="207" t="n"/>
      <c r="CG1199" s="208" t="n"/>
      <c r="CH1199" s="207" t="n"/>
      <c r="CI1199" s="208" t="n"/>
      <c r="CJ1199" s="204" t="n"/>
      <c r="CK1199" s="208" t="n"/>
      <c r="CL1199" s="208" t="n"/>
      <c r="CM1199" s="208" t="n"/>
      <c r="CN1199" s="78" t="n"/>
      <c r="CO1199" s="209" t="n"/>
      <c r="CP1199" s="204" t="n"/>
      <c r="CQ1199" s="204" t="n"/>
      <c r="CR1199" s="204" t="n"/>
      <c r="CS1199" s="204" t="n"/>
      <c r="CT1199" s="204" t="n"/>
      <c r="CU1199" s="204" t="n"/>
      <c r="CV1199" s="204" t="n"/>
      <c r="CW1199" s="204" t="n"/>
    </row>
    <row r="1200">
      <c r="BF1200" s="78" t="n"/>
      <c r="BG1200" s="78" t="n"/>
      <c r="BH1200" s="78" t="n"/>
      <c r="BI1200" s="78" t="n"/>
      <c r="BJ1200" s="139" t="n"/>
      <c r="BK1200" s="204" t="n"/>
      <c r="BL1200" s="141" t="n"/>
      <c r="BM1200" s="205" t="n"/>
      <c r="BN1200" s="205" t="n"/>
      <c r="BO1200" s="206" t="n"/>
      <c r="BP1200" s="144" t="n"/>
      <c r="BQ1200" s="141" t="n"/>
      <c r="BR1200" s="207" t="n"/>
      <c r="BS1200" s="207" t="n"/>
      <c r="BT1200" s="207" t="n"/>
      <c r="BU1200" s="207" t="n"/>
      <c r="BV1200" s="208" t="n"/>
      <c r="BW1200" s="207" t="n"/>
      <c r="BX1200" s="207" t="n"/>
      <c r="BY1200" s="204" t="n"/>
      <c r="BZ1200" s="148" t="n"/>
      <c r="CA1200" s="204" t="n"/>
      <c r="CB1200" s="208" t="n"/>
      <c r="CC1200" s="139" t="n"/>
      <c r="CD1200" s="204" t="n"/>
      <c r="CE1200" s="204" t="n"/>
      <c r="CF1200" s="207" t="n"/>
      <c r="CG1200" s="208" t="n"/>
      <c r="CH1200" s="207" t="n"/>
      <c r="CI1200" s="208" t="n"/>
      <c r="CJ1200" s="204" t="n"/>
      <c r="CK1200" s="208" t="n"/>
      <c r="CL1200" s="208" t="n"/>
      <c r="CM1200" s="208" t="n"/>
      <c r="CN1200" s="78" t="n"/>
      <c r="CO1200" s="209" t="n"/>
      <c r="CP1200" s="204" t="n"/>
      <c r="CQ1200" s="204" t="n"/>
      <c r="CR1200" s="204" t="n"/>
      <c r="CS1200" s="204" t="n"/>
      <c r="CT1200" s="204" t="n"/>
      <c r="CU1200" s="204" t="n"/>
      <c r="CV1200" s="204" t="n"/>
      <c r="CW1200" s="204" t="n"/>
    </row>
    <row r="1201">
      <c r="BF1201" s="78" t="n"/>
      <c r="BG1201" s="78" t="n"/>
      <c r="BH1201" s="78" t="n"/>
      <c r="BI1201" s="78" t="n"/>
      <c r="BJ1201" s="139" t="n"/>
      <c r="BK1201" s="204" t="n"/>
      <c r="BL1201" s="141" t="n"/>
      <c r="BM1201" s="205" t="n"/>
      <c r="BN1201" s="205" t="n"/>
      <c r="BO1201" s="206" t="n"/>
      <c r="BP1201" s="144" t="n"/>
      <c r="BQ1201" s="141" t="n"/>
      <c r="BR1201" s="207" t="n"/>
      <c r="BS1201" s="207" t="n"/>
      <c r="BT1201" s="207" t="n"/>
      <c r="BU1201" s="207" t="n"/>
      <c r="BV1201" s="208" t="n"/>
      <c r="BW1201" s="207" t="n"/>
      <c r="BX1201" s="207" t="n"/>
      <c r="BY1201" s="204" t="n"/>
      <c r="BZ1201" s="148" t="n"/>
      <c r="CA1201" s="204" t="n"/>
      <c r="CB1201" s="208" t="n"/>
      <c r="CC1201" s="139" t="n"/>
      <c r="CD1201" s="204" t="n"/>
      <c r="CE1201" s="204" t="n"/>
      <c r="CF1201" s="207" t="n"/>
      <c r="CG1201" s="208" t="n"/>
      <c r="CH1201" s="207" t="n"/>
      <c r="CI1201" s="208" t="n"/>
      <c r="CJ1201" s="204" t="n"/>
      <c r="CK1201" s="208" t="n"/>
      <c r="CL1201" s="208" t="n"/>
      <c r="CM1201" s="208" t="n"/>
      <c r="CN1201" s="78" t="n"/>
      <c r="CO1201" s="209" t="n"/>
      <c r="CP1201" s="204" t="n"/>
      <c r="CQ1201" s="204" t="n"/>
      <c r="CR1201" s="204" t="n"/>
      <c r="CS1201" s="204" t="n"/>
      <c r="CT1201" s="204" t="n"/>
      <c r="CU1201" s="204" t="n"/>
      <c r="CV1201" s="204" t="n"/>
      <c r="CW1201" s="204" t="n"/>
    </row>
    <row r="1202">
      <c r="BF1202" s="78" t="n"/>
      <c r="BG1202" s="78" t="n"/>
      <c r="BH1202" s="78" t="n"/>
      <c r="BI1202" s="78" t="n"/>
      <c r="BJ1202" s="139" t="n"/>
      <c r="BK1202" s="204" t="n"/>
      <c r="BL1202" s="141" t="n"/>
      <c r="BM1202" s="205" t="n"/>
      <c r="BN1202" s="205" t="n"/>
      <c r="BO1202" s="206" t="n"/>
      <c r="BP1202" s="144" t="n"/>
      <c r="BQ1202" s="141" t="n"/>
      <c r="BR1202" s="207" t="n"/>
      <c r="BS1202" s="207" t="n"/>
      <c r="BT1202" s="207" t="n"/>
      <c r="BU1202" s="207" t="n"/>
      <c r="BV1202" s="208" t="n"/>
      <c r="BW1202" s="207" t="n"/>
      <c r="BX1202" s="207" t="n"/>
      <c r="BY1202" s="204" t="n"/>
      <c r="BZ1202" s="148" t="n"/>
      <c r="CA1202" s="204" t="n"/>
      <c r="CB1202" s="208" t="n"/>
      <c r="CC1202" s="139" t="n"/>
      <c r="CD1202" s="204" t="n"/>
      <c r="CE1202" s="204" t="n"/>
      <c r="CF1202" s="207" t="n"/>
      <c r="CG1202" s="208" t="n"/>
      <c r="CH1202" s="207" t="n"/>
      <c r="CI1202" s="208" t="n"/>
      <c r="CJ1202" s="204" t="n"/>
      <c r="CK1202" s="208" t="n"/>
      <c r="CL1202" s="208" t="n"/>
      <c r="CM1202" s="208" t="n"/>
      <c r="CN1202" s="78" t="n"/>
      <c r="CO1202" s="209" t="n"/>
      <c r="CP1202" s="204" t="n"/>
      <c r="CQ1202" s="204" t="n"/>
      <c r="CR1202" s="204" t="n"/>
      <c r="CS1202" s="204" t="n"/>
      <c r="CT1202" s="204" t="n"/>
      <c r="CU1202" s="204" t="n"/>
      <c r="CV1202" s="204" t="n"/>
      <c r="CW1202" s="204" t="n"/>
    </row>
    <row r="1203">
      <c r="BF1203" s="78" t="n"/>
      <c r="BG1203" s="78" t="n"/>
      <c r="BH1203" s="78" t="n"/>
      <c r="BI1203" s="78" t="n"/>
      <c r="BJ1203" s="139" t="n"/>
      <c r="BK1203" s="204" t="n"/>
      <c r="BL1203" s="141" t="n"/>
      <c r="BM1203" s="205" t="n"/>
      <c r="BN1203" s="205" t="n"/>
      <c r="BO1203" s="206" t="n"/>
      <c r="BP1203" s="144" t="n"/>
      <c r="BQ1203" s="141" t="n"/>
      <c r="BR1203" s="207" t="n"/>
      <c r="BS1203" s="207" t="n"/>
      <c r="BT1203" s="207" t="n"/>
      <c r="BU1203" s="207" t="n"/>
      <c r="BV1203" s="208" t="n"/>
      <c r="BW1203" s="207" t="n"/>
      <c r="BX1203" s="207" t="n"/>
      <c r="BY1203" s="204" t="n"/>
      <c r="BZ1203" s="148" t="n"/>
      <c r="CA1203" s="204" t="n"/>
      <c r="CB1203" s="208" t="n"/>
      <c r="CC1203" s="139" t="n"/>
      <c r="CD1203" s="204" t="n"/>
      <c r="CE1203" s="204" t="n"/>
      <c r="CF1203" s="207" t="n"/>
      <c r="CG1203" s="208" t="n"/>
      <c r="CH1203" s="207" t="n"/>
      <c r="CI1203" s="208" t="n"/>
      <c r="CJ1203" s="204" t="n"/>
      <c r="CK1203" s="208" t="n"/>
      <c r="CL1203" s="208" t="n"/>
      <c r="CM1203" s="208" t="n"/>
      <c r="CN1203" s="78" t="n"/>
      <c r="CO1203" s="209" t="n"/>
      <c r="CP1203" s="204" t="n"/>
      <c r="CQ1203" s="204" t="n"/>
      <c r="CR1203" s="204" t="n"/>
      <c r="CS1203" s="204" t="n"/>
      <c r="CT1203" s="204" t="n"/>
      <c r="CU1203" s="204" t="n"/>
      <c r="CV1203" s="204" t="n"/>
      <c r="CW1203" s="204" t="n"/>
    </row>
    <row r="1204">
      <c r="BF1204" s="78" t="n"/>
      <c r="BG1204" s="78" t="n"/>
      <c r="BH1204" s="78" t="n"/>
      <c r="BI1204" s="78" t="n"/>
      <c r="BJ1204" s="139" t="n"/>
      <c r="BK1204" s="204" t="n"/>
      <c r="BL1204" s="141" t="n"/>
      <c r="BM1204" s="205" t="n"/>
      <c r="BN1204" s="205" t="n"/>
      <c r="BO1204" s="206" t="n"/>
      <c r="BP1204" s="144" t="n"/>
      <c r="BQ1204" s="141" t="n"/>
      <c r="BR1204" s="207" t="n"/>
      <c r="BS1204" s="207" t="n"/>
      <c r="BT1204" s="207" t="n"/>
      <c r="BU1204" s="207" t="n"/>
      <c r="BV1204" s="208" t="n"/>
      <c r="BW1204" s="207" t="n"/>
      <c r="BX1204" s="207" t="n"/>
      <c r="BY1204" s="204" t="n"/>
      <c r="BZ1204" s="148" t="n"/>
      <c r="CA1204" s="204" t="n"/>
      <c r="CB1204" s="208" t="n"/>
      <c r="CC1204" s="139" t="n"/>
      <c r="CD1204" s="204" t="n"/>
      <c r="CE1204" s="204" t="n"/>
      <c r="CF1204" s="207" t="n"/>
      <c r="CG1204" s="208" t="n"/>
      <c r="CH1204" s="207" t="n"/>
      <c r="CI1204" s="208" t="n"/>
      <c r="CJ1204" s="204" t="n"/>
      <c r="CK1204" s="208" t="n"/>
      <c r="CL1204" s="208" t="n"/>
      <c r="CM1204" s="208" t="n"/>
      <c r="CN1204" s="78" t="n"/>
      <c r="CO1204" s="209" t="n"/>
      <c r="CP1204" s="204" t="n"/>
      <c r="CQ1204" s="204" t="n"/>
      <c r="CR1204" s="204" t="n"/>
      <c r="CS1204" s="204" t="n"/>
      <c r="CT1204" s="204" t="n"/>
      <c r="CU1204" s="204" t="n"/>
      <c r="CV1204" s="204" t="n"/>
      <c r="CW1204" s="204" t="n"/>
    </row>
    <row r="1205">
      <c r="BF1205" s="78" t="n"/>
      <c r="BG1205" s="78" t="n"/>
      <c r="BH1205" s="78" t="n"/>
      <c r="BI1205" s="78" t="n"/>
      <c r="BJ1205" s="139" t="n"/>
      <c r="BK1205" s="204" t="n"/>
      <c r="BL1205" s="141" t="n"/>
      <c r="BM1205" s="205" t="n"/>
      <c r="BN1205" s="205" t="n"/>
      <c r="BO1205" s="206" t="n"/>
      <c r="BP1205" s="144" t="n"/>
      <c r="BQ1205" s="141" t="n"/>
      <c r="BR1205" s="207" t="n"/>
      <c r="BS1205" s="207" t="n"/>
      <c r="BT1205" s="207" t="n"/>
      <c r="BU1205" s="207" t="n"/>
      <c r="BV1205" s="208" t="n"/>
      <c r="BW1205" s="207" t="n"/>
      <c r="BX1205" s="207" t="n"/>
      <c r="BY1205" s="204" t="n"/>
      <c r="BZ1205" s="148" t="n"/>
      <c r="CA1205" s="204" t="n"/>
      <c r="CB1205" s="208" t="n"/>
      <c r="CC1205" s="139" t="n"/>
      <c r="CD1205" s="204" t="n"/>
      <c r="CE1205" s="204" t="n"/>
      <c r="CF1205" s="207" t="n"/>
      <c r="CG1205" s="208" t="n"/>
      <c r="CH1205" s="207" t="n"/>
      <c r="CI1205" s="208" t="n"/>
      <c r="CJ1205" s="204" t="n"/>
      <c r="CK1205" s="208" t="n"/>
      <c r="CL1205" s="208" t="n"/>
      <c r="CM1205" s="208" t="n"/>
      <c r="CN1205" s="78" t="n"/>
      <c r="CO1205" s="209" t="n"/>
      <c r="CP1205" s="204" t="n"/>
      <c r="CQ1205" s="204" t="n"/>
      <c r="CR1205" s="204" t="n"/>
      <c r="CS1205" s="204" t="n"/>
      <c r="CT1205" s="204" t="n"/>
      <c r="CU1205" s="204" t="n"/>
      <c r="CV1205" s="204" t="n"/>
      <c r="CW1205" s="204" t="n"/>
    </row>
    <row r="1206">
      <c r="BF1206" s="78" t="n"/>
      <c r="BG1206" s="78" t="n"/>
      <c r="BH1206" s="78" t="n"/>
      <c r="BI1206" s="78" t="n"/>
      <c r="BJ1206" s="139" t="n"/>
      <c r="BK1206" s="204" t="n"/>
      <c r="BL1206" s="141" t="n"/>
      <c r="BM1206" s="205" t="n"/>
      <c r="BN1206" s="205" t="n"/>
      <c r="BO1206" s="206" t="n"/>
      <c r="BP1206" s="144" t="n"/>
      <c r="BQ1206" s="141" t="n"/>
      <c r="BR1206" s="207" t="n"/>
      <c r="BS1206" s="207" t="n"/>
      <c r="BT1206" s="207" t="n"/>
      <c r="BU1206" s="207" t="n"/>
      <c r="BV1206" s="208" t="n"/>
      <c r="BW1206" s="207" t="n"/>
      <c r="BX1206" s="207" t="n"/>
      <c r="BY1206" s="204" t="n"/>
      <c r="BZ1206" s="148" t="n"/>
      <c r="CA1206" s="204" t="n"/>
      <c r="CB1206" s="208" t="n"/>
      <c r="CC1206" s="139" t="n"/>
      <c r="CD1206" s="204" t="n"/>
      <c r="CE1206" s="204" t="n"/>
      <c r="CF1206" s="207" t="n"/>
      <c r="CG1206" s="208" t="n"/>
      <c r="CH1206" s="207" t="n"/>
      <c r="CI1206" s="208" t="n"/>
      <c r="CJ1206" s="204" t="n"/>
      <c r="CK1206" s="208" t="n"/>
      <c r="CL1206" s="208" t="n"/>
      <c r="CM1206" s="208" t="n"/>
      <c r="CN1206" s="78" t="n"/>
      <c r="CO1206" s="209" t="n"/>
      <c r="CP1206" s="204" t="n"/>
      <c r="CQ1206" s="204" t="n"/>
      <c r="CR1206" s="204" t="n"/>
      <c r="CS1206" s="204" t="n"/>
      <c r="CT1206" s="204" t="n"/>
      <c r="CU1206" s="204" t="n"/>
      <c r="CV1206" s="204" t="n"/>
      <c r="CW1206" s="204" t="n"/>
    </row>
    <row r="1207">
      <c r="BF1207" s="78" t="n"/>
      <c r="BG1207" s="78" t="n"/>
      <c r="BH1207" s="78" t="n"/>
      <c r="BI1207" s="78" t="n"/>
      <c r="BJ1207" s="139" t="n"/>
      <c r="BK1207" s="204" t="n"/>
      <c r="BL1207" s="141" t="n"/>
      <c r="BM1207" s="205" t="n"/>
      <c r="BN1207" s="205" t="n"/>
      <c r="BO1207" s="206" t="n"/>
      <c r="BP1207" s="144" t="n"/>
      <c r="BQ1207" s="141" t="n"/>
      <c r="BR1207" s="207" t="n"/>
      <c r="BS1207" s="207" t="n"/>
      <c r="BT1207" s="207" t="n"/>
      <c r="BU1207" s="207" t="n"/>
      <c r="BV1207" s="208" t="n"/>
      <c r="BW1207" s="207" t="n"/>
      <c r="BX1207" s="207" t="n"/>
      <c r="BY1207" s="204" t="n"/>
      <c r="BZ1207" s="148" t="n"/>
      <c r="CA1207" s="204" t="n"/>
      <c r="CB1207" s="208" t="n"/>
      <c r="CC1207" s="139" t="n"/>
      <c r="CD1207" s="204" t="n"/>
      <c r="CE1207" s="204" t="n"/>
      <c r="CF1207" s="207" t="n"/>
      <c r="CG1207" s="208" t="n"/>
      <c r="CH1207" s="207" t="n"/>
      <c r="CI1207" s="208" t="n"/>
      <c r="CJ1207" s="204" t="n"/>
      <c r="CK1207" s="208" t="n"/>
      <c r="CL1207" s="208" t="n"/>
      <c r="CM1207" s="208" t="n"/>
      <c r="CN1207" s="78" t="n"/>
      <c r="CO1207" s="209" t="n"/>
      <c r="CP1207" s="204" t="n"/>
      <c r="CQ1207" s="204" t="n"/>
      <c r="CR1207" s="204" t="n"/>
      <c r="CS1207" s="204" t="n"/>
      <c r="CT1207" s="204" t="n"/>
      <c r="CU1207" s="204" t="n"/>
      <c r="CV1207" s="204" t="n"/>
      <c r="CW1207" s="204" t="n"/>
    </row>
    <row r="1208">
      <c r="BF1208" s="78" t="n"/>
      <c r="BG1208" s="78" t="n"/>
      <c r="BH1208" s="78" t="n"/>
      <c r="BI1208" s="78" t="n"/>
      <c r="BJ1208" s="139" t="n"/>
      <c r="BK1208" s="204" t="n"/>
      <c r="BL1208" s="141" t="n"/>
      <c r="BM1208" s="205" t="n"/>
      <c r="BN1208" s="205" t="n"/>
      <c r="BO1208" s="206" t="n"/>
      <c r="BP1208" s="144" t="n"/>
      <c r="BQ1208" s="141" t="n"/>
      <c r="BR1208" s="207" t="n"/>
      <c r="BS1208" s="207" t="n"/>
      <c r="BT1208" s="207" t="n"/>
      <c r="BU1208" s="207" t="n"/>
      <c r="BV1208" s="208" t="n"/>
      <c r="BW1208" s="207" t="n"/>
      <c r="BX1208" s="207" t="n"/>
      <c r="BY1208" s="204" t="n"/>
      <c r="BZ1208" s="148" t="n"/>
      <c r="CA1208" s="204" t="n"/>
      <c r="CB1208" s="208" t="n"/>
      <c r="CC1208" s="139" t="n"/>
      <c r="CD1208" s="204" t="n"/>
      <c r="CE1208" s="204" t="n"/>
      <c r="CF1208" s="207" t="n"/>
      <c r="CG1208" s="208" t="n"/>
      <c r="CH1208" s="207" t="n"/>
      <c r="CI1208" s="208" t="n"/>
      <c r="CJ1208" s="204" t="n"/>
      <c r="CK1208" s="208" t="n"/>
      <c r="CL1208" s="208" t="n"/>
      <c r="CM1208" s="208" t="n"/>
      <c r="CN1208" s="78" t="n"/>
      <c r="CO1208" s="209" t="n"/>
      <c r="CP1208" s="204" t="n"/>
      <c r="CQ1208" s="204" t="n"/>
      <c r="CR1208" s="204" t="n"/>
      <c r="CS1208" s="204" t="n"/>
      <c r="CT1208" s="204" t="n"/>
      <c r="CU1208" s="204" t="n"/>
      <c r="CV1208" s="204" t="n"/>
      <c r="CW1208" s="204" t="n"/>
    </row>
    <row r="1209">
      <c r="BF1209" s="78" t="n"/>
      <c r="BG1209" s="78" t="n"/>
      <c r="BH1209" s="78" t="n"/>
      <c r="BI1209" s="78" t="n"/>
      <c r="BJ1209" s="139" t="n"/>
      <c r="BK1209" s="204" t="n"/>
      <c r="BL1209" s="141" t="n"/>
      <c r="BM1209" s="205" t="n"/>
      <c r="BN1209" s="205" t="n"/>
      <c r="BO1209" s="206" t="n"/>
      <c r="BP1209" s="144" t="n"/>
      <c r="BQ1209" s="141" t="n"/>
      <c r="BR1209" s="207" t="n"/>
      <c r="BS1209" s="207" t="n"/>
      <c r="BT1209" s="207" t="n"/>
      <c r="BU1209" s="207" t="n"/>
      <c r="BV1209" s="208" t="n"/>
      <c r="BW1209" s="207" t="n"/>
      <c r="BX1209" s="207" t="n"/>
      <c r="BY1209" s="204" t="n"/>
      <c r="BZ1209" s="148" t="n"/>
      <c r="CA1209" s="204" t="n"/>
      <c r="CB1209" s="208" t="n"/>
      <c r="CC1209" s="139" t="n"/>
      <c r="CD1209" s="204" t="n"/>
      <c r="CE1209" s="204" t="n"/>
      <c r="CF1209" s="207" t="n"/>
      <c r="CG1209" s="208" t="n"/>
      <c r="CH1209" s="207" t="n"/>
      <c r="CI1209" s="208" t="n"/>
      <c r="CJ1209" s="204" t="n"/>
      <c r="CK1209" s="208" t="n"/>
      <c r="CL1209" s="208" t="n"/>
      <c r="CM1209" s="208" t="n"/>
      <c r="CN1209" s="78" t="n"/>
      <c r="CO1209" s="209" t="n"/>
      <c r="CP1209" s="204" t="n"/>
      <c r="CQ1209" s="204" t="n"/>
      <c r="CR1209" s="204" t="n"/>
      <c r="CS1209" s="204" t="n"/>
      <c r="CT1209" s="204" t="n"/>
      <c r="CU1209" s="204" t="n"/>
      <c r="CV1209" s="204" t="n"/>
      <c r="CW1209" s="204" t="n"/>
    </row>
    <row r="1210">
      <c r="BF1210" s="78" t="n"/>
      <c r="BG1210" s="78" t="n"/>
      <c r="BH1210" s="78" t="n"/>
      <c r="BI1210" s="78" t="n"/>
      <c r="BJ1210" s="139" t="n"/>
      <c r="BK1210" s="204" t="n"/>
      <c r="BL1210" s="141" t="n"/>
      <c r="BM1210" s="205" t="n"/>
      <c r="BN1210" s="205" t="n"/>
      <c r="BO1210" s="206" t="n"/>
      <c r="BP1210" s="144" t="n"/>
      <c r="BQ1210" s="141" t="n"/>
      <c r="BR1210" s="207" t="n"/>
      <c r="BS1210" s="207" t="n"/>
      <c r="BT1210" s="207" t="n"/>
      <c r="BU1210" s="207" t="n"/>
      <c r="BV1210" s="208" t="n"/>
      <c r="BW1210" s="207" t="n"/>
      <c r="BX1210" s="207" t="n"/>
      <c r="BY1210" s="204" t="n"/>
      <c r="BZ1210" s="148" t="n"/>
      <c r="CA1210" s="204" t="n"/>
      <c r="CB1210" s="208" t="n"/>
      <c r="CC1210" s="139" t="n"/>
      <c r="CD1210" s="204" t="n"/>
      <c r="CE1210" s="204" t="n"/>
      <c r="CF1210" s="207" t="n"/>
      <c r="CG1210" s="208" t="n"/>
      <c r="CH1210" s="207" t="n"/>
      <c r="CI1210" s="208" t="n"/>
      <c r="CJ1210" s="204" t="n"/>
      <c r="CK1210" s="208" t="n"/>
      <c r="CL1210" s="208" t="n"/>
      <c r="CM1210" s="208" t="n"/>
      <c r="CN1210" s="78" t="n"/>
      <c r="CO1210" s="209" t="n"/>
      <c r="CP1210" s="204" t="n"/>
      <c r="CQ1210" s="204" t="n"/>
      <c r="CR1210" s="204" t="n"/>
      <c r="CS1210" s="204" t="n"/>
      <c r="CT1210" s="204" t="n"/>
      <c r="CU1210" s="204" t="n"/>
      <c r="CV1210" s="204" t="n"/>
      <c r="CW1210" s="204" t="n"/>
    </row>
    <row r="1211">
      <c r="BF1211" s="78" t="n"/>
      <c r="BG1211" s="78" t="n"/>
      <c r="BH1211" s="78" t="n"/>
      <c r="BI1211" s="78" t="n"/>
      <c r="BJ1211" s="139" t="n"/>
      <c r="BK1211" s="204" t="n"/>
      <c r="BL1211" s="141" t="n"/>
      <c r="BM1211" s="205" t="n"/>
      <c r="BN1211" s="205" t="n"/>
      <c r="BO1211" s="206" t="n"/>
      <c r="BP1211" s="144" t="n"/>
      <c r="BQ1211" s="141" t="n"/>
      <c r="BR1211" s="207" t="n"/>
      <c r="BS1211" s="207" t="n"/>
      <c r="BT1211" s="207" t="n"/>
      <c r="BU1211" s="207" t="n"/>
      <c r="BV1211" s="208" t="n"/>
      <c r="BW1211" s="207" t="n"/>
      <c r="BX1211" s="207" t="n"/>
      <c r="BY1211" s="204" t="n"/>
      <c r="BZ1211" s="148" t="n"/>
      <c r="CA1211" s="204" t="n"/>
      <c r="CB1211" s="208" t="n"/>
      <c r="CC1211" s="139" t="n"/>
      <c r="CD1211" s="204" t="n"/>
      <c r="CE1211" s="204" t="n"/>
      <c r="CF1211" s="207" t="n"/>
      <c r="CG1211" s="208" t="n"/>
      <c r="CH1211" s="207" t="n"/>
      <c r="CI1211" s="208" t="n"/>
      <c r="CJ1211" s="204" t="n"/>
      <c r="CK1211" s="208" t="n"/>
      <c r="CL1211" s="208" t="n"/>
      <c r="CM1211" s="208" t="n"/>
      <c r="CN1211" s="78" t="n"/>
      <c r="CO1211" s="209" t="n"/>
      <c r="CP1211" s="204" t="n"/>
      <c r="CQ1211" s="204" t="n"/>
      <c r="CR1211" s="204" t="n"/>
      <c r="CS1211" s="204" t="n"/>
      <c r="CT1211" s="204" t="n"/>
      <c r="CU1211" s="204" t="n"/>
      <c r="CV1211" s="204" t="n"/>
      <c r="CW1211" s="204" t="n"/>
    </row>
    <row r="1212">
      <c r="BF1212" s="78" t="n"/>
      <c r="BG1212" s="78" t="n"/>
      <c r="BH1212" s="78" t="n"/>
      <c r="BI1212" s="78" t="n"/>
      <c r="BJ1212" s="139" t="n"/>
      <c r="BK1212" s="204" t="n"/>
      <c r="BL1212" s="141" t="n"/>
      <c r="BM1212" s="205" t="n"/>
      <c r="BN1212" s="205" t="n"/>
      <c r="BO1212" s="206" t="n"/>
      <c r="BP1212" s="144" t="n"/>
      <c r="BQ1212" s="141" t="n"/>
      <c r="BR1212" s="207" t="n"/>
      <c r="BS1212" s="207" t="n"/>
      <c r="BT1212" s="207" t="n"/>
      <c r="BU1212" s="207" t="n"/>
      <c r="BV1212" s="208" t="n"/>
      <c r="BW1212" s="207" t="n"/>
      <c r="BX1212" s="207" t="n"/>
      <c r="BY1212" s="204" t="n"/>
      <c r="BZ1212" s="148" t="n"/>
      <c r="CA1212" s="204" t="n"/>
      <c r="CB1212" s="208" t="n"/>
      <c r="CC1212" s="139" t="n"/>
      <c r="CD1212" s="204" t="n"/>
      <c r="CE1212" s="204" t="n"/>
      <c r="CF1212" s="207" t="n"/>
      <c r="CG1212" s="208" t="n"/>
      <c r="CH1212" s="207" t="n"/>
      <c r="CI1212" s="208" t="n"/>
      <c r="CJ1212" s="204" t="n"/>
      <c r="CK1212" s="208" t="n"/>
      <c r="CL1212" s="208" t="n"/>
      <c r="CM1212" s="208" t="n"/>
      <c r="CN1212" s="78" t="n"/>
      <c r="CO1212" s="209" t="n"/>
      <c r="CP1212" s="204" t="n"/>
      <c r="CQ1212" s="204" t="n"/>
      <c r="CR1212" s="204" t="n"/>
      <c r="CS1212" s="204" t="n"/>
      <c r="CT1212" s="204" t="n"/>
      <c r="CU1212" s="204" t="n"/>
      <c r="CV1212" s="204" t="n"/>
      <c r="CW1212" s="204" t="n"/>
    </row>
    <row r="1213">
      <c r="BF1213" s="78" t="n"/>
      <c r="BG1213" s="78" t="n"/>
      <c r="BH1213" s="78" t="n"/>
      <c r="BI1213" s="78" t="n"/>
      <c r="BJ1213" s="139" t="n"/>
      <c r="BK1213" s="204" t="n"/>
      <c r="BL1213" s="141" t="n"/>
      <c r="BM1213" s="205" t="n"/>
      <c r="BN1213" s="205" t="n"/>
      <c r="BO1213" s="206" t="n"/>
      <c r="BP1213" s="144" t="n"/>
      <c r="BQ1213" s="141" t="n"/>
      <c r="BR1213" s="207" t="n"/>
      <c r="BS1213" s="207" t="n"/>
      <c r="BT1213" s="207" t="n"/>
      <c r="BU1213" s="207" t="n"/>
      <c r="BV1213" s="208" t="n"/>
      <c r="BW1213" s="207" t="n"/>
      <c r="BX1213" s="207" t="n"/>
      <c r="BY1213" s="204" t="n"/>
      <c r="BZ1213" s="148" t="n"/>
      <c r="CA1213" s="204" t="n"/>
      <c r="CB1213" s="208" t="n"/>
      <c r="CC1213" s="139" t="n"/>
      <c r="CD1213" s="204" t="n"/>
      <c r="CE1213" s="204" t="n"/>
      <c r="CF1213" s="207" t="n"/>
      <c r="CG1213" s="208" t="n"/>
      <c r="CH1213" s="207" t="n"/>
      <c r="CI1213" s="208" t="n"/>
      <c r="CJ1213" s="204" t="n"/>
      <c r="CK1213" s="208" t="n"/>
      <c r="CL1213" s="208" t="n"/>
      <c r="CM1213" s="208" t="n"/>
      <c r="CN1213" s="78" t="n"/>
      <c r="CO1213" s="209" t="n"/>
      <c r="CP1213" s="204" t="n"/>
      <c r="CQ1213" s="204" t="n"/>
      <c r="CR1213" s="204" t="n"/>
      <c r="CS1213" s="204" t="n"/>
      <c r="CT1213" s="204" t="n"/>
      <c r="CU1213" s="204" t="n"/>
      <c r="CV1213" s="204" t="n"/>
      <c r="CW1213" s="204" t="n"/>
    </row>
    <row r="1214">
      <c r="AR1214" s="151" t="n"/>
      <c r="BF1214" s="78" t="n"/>
      <c r="BG1214" s="78" t="n"/>
      <c r="BH1214" s="78" t="n"/>
      <c r="BI1214" s="78" t="n"/>
      <c r="BJ1214" s="139" t="n"/>
      <c r="BK1214" s="204" t="n"/>
      <c r="BL1214" s="141" t="n"/>
      <c r="BM1214" s="205" t="n"/>
      <c r="BN1214" s="205" t="n"/>
      <c r="BO1214" s="206" t="n"/>
      <c r="BP1214" s="144" t="n"/>
      <c r="BQ1214" s="141" t="n"/>
      <c r="BR1214" s="207" t="n"/>
      <c r="BS1214" s="207" t="n"/>
      <c r="BT1214" s="207" t="n"/>
      <c r="BU1214" s="207" t="n"/>
      <c r="BV1214" s="208" t="n"/>
      <c r="BW1214" s="207" t="n"/>
      <c r="BX1214" s="207" t="n"/>
      <c r="BY1214" s="204" t="n"/>
      <c r="BZ1214" s="148" t="n"/>
      <c r="CA1214" s="204" t="n"/>
      <c r="CB1214" s="208" t="n"/>
      <c r="CC1214" s="139" t="n"/>
      <c r="CD1214" s="204" t="n"/>
      <c r="CE1214" s="204" t="n"/>
      <c r="CF1214" s="207" t="n"/>
      <c r="CG1214" s="208" t="n"/>
      <c r="CH1214" s="207" t="n"/>
      <c r="CI1214" s="208" t="n"/>
      <c r="CJ1214" s="204" t="n"/>
      <c r="CK1214" s="208" t="n"/>
      <c r="CL1214" s="208" t="n"/>
      <c r="CM1214" s="208" t="n"/>
      <c r="CN1214" s="78" t="n"/>
      <c r="CO1214" s="209" t="n"/>
      <c r="CP1214" s="204" t="n"/>
      <c r="CQ1214" s="204" t="n"/>
      <c r="CR1214" s="204" t="n"/>
      <c r="CS1214" s="204" t="n"/>
      <c r="CT1214" s="204" t="n"/>
      <c r="CU1214" s="204" t="n"/>
      <c r="CV1214" s="204" t="n"/>
      <c r="CW1214" s="204" t="n"/>
    </row>
    <row r="1215">
      <c r="AR1215" s="151" t="n"/>
      <c r="BF1215" s="78" t="n"/>
      <c r="BG1215" s="78" t="n"/>
      <c r="BH1215" s="78" t="n"/>
      <c r="BI1215" s="78" t="n"/>
      <c r="BJ1215" s="139" t="n"/>
      <c r="BK1215" s="204" t="n"/>
      <c r="BL1215" s="141" t="n"/>
      <c r="BM1215" s="205" t="n"/>
      <c r="BN1215" s="205" t="n"/>
      <c r="BO1215" s="206" t="n"/>
      <c r="BP1215" s="144" t="n"/>
      <c r="BQ1215" s="141" t="n"/>
      <c r="BR1215" s="207" t="n"/>
      <c r="BS1215" s="207" t="n"/>
      <c r="BT1215" s="207" t="n"/>
      <c r="BU1215" s="207" t="n"/>
      <c r="BV1215" s="208" t="n"/>
      <c r="BW1215" s="207" t="n"/>
      <c r="BX1215" s="207" t="n"/>
      <c r="BY1215" s="204" t="n"/>
      <c r="BZ1215" s="148" t="n"/>
      <c r="CA1215" s="204" t="n"/>
      <c r="CB1215" s="208" t="n"/>
      <c r="CC1215" s="139" t="n"/>
      <c r="CD1215" s="204" t="n"/>
      <c r="CE1215" s="204" t="n"/>
      <c r="CF1215" s="207" t="n"/>
      <c r="CG1215" s="208" t="n"/>
      <c r="CH1215" s="207" t="n"/>
      <c r="CI1215" s="208" t="n"/>
      <c r="CJ1215" s="204" t="n"/>
      <c r="CK1215" s="208" t="n"/>
      <c r="CL1215" s="208" t="n"/>
      <c r="CM1215" s="208" t="n"/>
      <c r="CN1215" s="78" t="n"/>
      <c r="CO1215" s="209" t="n"/>
      <c r="CP1215" s="204" t="n"/>
      <c r="CQ1215" s="204" t="n"/>
      <c r="CR1215" s="204" t="n"/>
      <c r="CS1215" s="204" t="n"/>
      <c r="CT1215" s="204" t="n"/>
      <c r="CU1215" s="204" t="n"/>
      <c r="CV1215" s="204" t="n"/>
      <c r="CW1215" s="204" t="n"/>
    </row>
    <row r="1216">
      <c r="AR1216" s="151" t="n"/>
      <c r="BF1216" s="78" t="n"/>
      <c r="BG1216" s="78" t="n"/>
      <c r="BH1216" s="78" t="n"/>
      <c r="BI1216" s="78" t="n"/>
      <c r="BJ1216" s="139" t="n"/>
      <c r="BK1216" s="204" t="n"/>
      <c r="BL1216" s="141" t="n"/>
      <c r="BM1216" s="205" t="n"/>
      <c r="BN1216" s="205" t="n"/>
      <c r="BO1216" s="206" t="n"/>
      <c r="BP1216" s="144" t="n"/>
      <c r="BQ1216" s="141" t="n"/>
      <c r="BR1216" s="207" t="n"/>
      <c r="BS1216" s="207" t="n"/>
      <c r="BT1216" s="207" t="n"/>
      <c r="BU1216" s="207" t="n"/>
      <c r="BV1216" s="208" t="n"/>
      <c r="BW1216" s="207" t="n"/>
      <c r="BX1216" s="207" t="n"/>
      <c r="BY1216" s="204" t="n"/>
      <c r="BZ1216" s="148" t="n"/>
      <c r="CA1216" s="204" t="n"/>
      <c r="CB1216" s="208" t="n"/>
      <c r="CC1216" s="139" t="n"/>
      <c r="CD1216" s="204" t="n"/>
      <c r="CE1216" s="204" t="n"/>
      <c r="CF1216" s="207" t="n"/>
      <c r="CG1216" s="208" t="n"/>
      <c r="CH1216" s="207" t="n"/>
      <c r="CI1216" s="208" t="n"/>
      <c r="CJ1216" s="204" t="n"/>
      <c r="CK1216" s="208" t="n"/>
      <c r="CL1216" s="208" t="n"/>
      <c r="CM1216" s="208" t="n"/>
      <c r="CN1216" s="78" t="n"/>
      <c r="CO1216" s="209" t="n"/>
      <c r="CP1216" s="204" t="n"/>
      <c r="CQ1216" s="204" t="n"/>
      <c r="CR1216" s="204" t="n"/>
      <c r="CS1216" s="204" t="n"/>
      <c r="CT1216" s="204" t="n"/>
      <c r="CU1216" s="204" t="n"/>
      <c r="CV1216" s="204" t="n"/>
      <c r="CW1216" s="204" t="n"/>
    </row>
    <row r="1217">
      <c r="BF1217" s="78" t="n"/>
      <c r="BG1217" s="78" t="n"/>
      <c r="BH1217" s="78" t="n"/>
      <c r="BI1217" s="78" t="n"/>
      <c r="BJ1217" s="139" t="n"/>
      <c r="BK1217" s="204" t="n"/>
      <c r="BL1217" s="141" t="n"/>
      <c r="BM1217" s="205" t="n"/>
      <c r="BN1217" s="205" t="n"/>
      <c r="BO1217" s="206" t="n"/>
      <c r="BP1217" s="144" t="n"/>
      <c r="BQ1217" s="141" t="n"/>
      <c r="BR1217" s="207" t="n"/>
      <c r="BS1217" s="207" t="n"/>
      <c r="BT1217" s="207" t="n"/>
      <c r="BU1217" s="207" t="n"/>
      <c r="BV1217" s="208" t="n"/>
      <c r="BW1217" s="207" t="n"/>
      <c r="BX1217" s="207" t="n"/>
      <c r="BY1217" s="204" t="n"/>
      <c r="BZ1217" s="148" t="n"/>
      <c r="CA1217" s="204" t="n"/>
      <c r="CB1217" s="208" t="n"/>
      <c r="CC1217" s="139" t="n"/>
      <c r="CD1217" s="204" t="n"/>
      <c r="CE1217" s="204" t="n"/>
      <c r="CF1217" s="207" t="n"/>
      <c r="CG1217" s="208" t="n"/>
      <c r="CH1217" s="207" t="n"/>
      <c r="CI1217" s="208" t="n"/>
      <c r="CJ1217" s="204" t="n"/>
      <c r="CK1217" s="208" t="n"/>
      <c r="CL1217" s="208" t="n"/>
      <c r="CM1217" s="208" t="n"/>
      <c r="CN1217" s="78" t="n"/>
      <c r="CO1217" s="209" t="n"/>
      <c r="CP1217" s="204" t="n"/>
      <c r="CQ1217" s="204" t="n"/>
      <c r="CR1217" s="204" t="n"/>
      <c r="CS1217" s="204" t="n"/>
      <c r="CT1217" s="204" t="n"/>
      <c r="CU1217" s="204" t="n"/>
      <c r="CV1217" s="204" t="n"/>
      <c r="CW1217" s="204" t="n"/>
    </row>
    <row r="1218">
      <c r="BF1218" s="78" t="n"/>
      <c r="BG1218" s="78" t="n"/>
      <c r="BH1218" s="78" t="n"/>
      <c r="BI1218" s="78" t="n"/>
      <c r="BJ1218" s="139" t="n"/>
      <c r="BK1218" s="204" t="n"/>
      <c r="BL1218" s="141" t="n"/>
      <c r="BM1218" s="205" t="n"/>
      <c r="BN1218" s="205" t="n"/>
      <c r="BO1218" s="206" t="n"/>
      <c r="BP1218" s="144" t="n"/>
      <c r="BQ1218" s="141" t="n"/>
      <c r="BR1218" s="207" t="n"/>
      <c r="BS1218" s="207" t="n"/>
      <c r="BT1218" s="207" t="n"/>
      <c r="BU1218" s="207" t="n"/>
      <c r="BV1218" s="208" t="n"/>
      <c r="BW1218" s="207" t="n"/>
      <c r="BX1218" s="207" t="n"/>
      <c r="BY1218" s="204" t="n"/>
      <c r="BZ1218" s="148" t="n"/>
      <c r="CA1218" s="204" t="n"/>
      <c r="CB1218" s="208" t="n"/>
      <c r="CC1218" s="139" t="n"/>
      <c r="CD1218" s="204" t="n"/>
      <c r="CE1218" s="204" t="n"/>
      <c r="CF1218" s="207" t="n"/>
      <c r="CG1218" s="208" t="n"/>
      <c r="CH1218" s="207" t="n"/>
      <c r="CI1218" s="208" t="n"/>
      <c r="CJ1218" s="204" t="n"/>
      <c r="CK1218" s="208" t="n"/>
      <c r="CL1218" s="208" t="n"/>
      <c r="CM1218" s="208" t="n"/>
      <c r="CN1218" s="78" t="n"/>
      <c r="CO1218" s="209" t="n"/>
      <c r="CP1218" s="204" t="n"/>
      <c r="CQ1218" s="204" t="n"/>
      <c r="CR1218" s="204" t="n"/>
      <c r="CS1218" s="204" t="n"/>
      <c r="CT1218" s="204" t="n"/>
      <c r="CU1218" s="204" t="n"/>
      <c r="CV1218" s="204" t="n"/>
      <c r="CW1218" s="204" t="n"/>
    </row>
    <row r="1219">
      <c r="BF1219" s="78" t="n"/>
      <c r="BG1219" s="78" t="n"/>
      <c r="BH1219" s="78" t="n"/>
      <c r="BI1219" s="78" t="n"/>
      <c r="BJ1219" s="139" t="n"/>
      <c r="BK1219" s="204" t="n"/>
      <c r="BL1219" s="141" t="n"/>
      <c r="BM1219" s="205" t="n"/>
      <c r="BN1219" s="205" t="n"/>
      <c r="BO1219" s="206" t="n"/>
      <c r="BP1219" s="144" t="n"/>
      <c r="BQ1219" s="141" t="n"/>
      <c r="BR1219" s="207" t="n"/>
      <c r="BS1219" s="207" t="n"/>
      <c r="BT1219" s="207" t="n"/>
      <c r="BU1219" s="207" t="n"/>
      <c r="BV1219" s="208" t="n"/>
      <c r="BW1219" s="207" t="n"/>
      <c r="BX1219" s="207" t="n"/>
      <c r="BY1219" s="204" t="n"/>
      <c r="BZ1219" s="148" t="n"/>
      <c r="CA1219" s="204" t="n"/>
      <c r="CB1219" s="208" t="n"/>
      <c r="CC1219" s="139" t="n"/>
      <c r="CD1219" s="204" t="n"/>
      <c r="CE1219" s="204" t="n"/>
      <c r="CF1219" s="207" t="n"/>
      <c r="CG1219" s="208" t="n"/>
      <c r="CH1219" s="207" t="n"/>
      <c r="CI1219" s="208" t="n"/>
      <c r="CJ1219" s="204" t="n"/>
      <c r="CK1219" s="208" t="n"/>
      <c r="CL1219" s="208" t="n"/>
      <c r="CM1219" s="208" t="n"/>
      <c r="CN1219" s="78" t="n"/>
      <c r="CO1219" s="209" t="n"/>
      <c r="CP1219" s="204" t="n"/>
      <c r="CQ1219" s="204" t="n"/>
      <c r="CR1219" s="204" t="n"/>
      <c r="CS1219" s="204" t="n"/>
      <c r="CT1219" s="204" t="n"/>
      <c r="CU1219" s="204" t="n"/>
      <c r="CV1219" s="204" t="n"/>
      <c r="CW1219" s="204" t="n"/>
    </row>
    <row r="1220">
      <c r="BF1220" s="78" t="n"/>
      <c r="BG1220" s="78" t="n"/>
      <c r="BH1220" s="78" t="n"/>
      <c r="BI1220" s="78" t="n"/>
      <c r="BJ1220" s="139" t="n"/>
      <c r="BK1220" s="204" t="n"/>
      <c r="BL1220" s="141" t="n"/>
      <c r="BM1220" s="205" t="n"/>
      <c r="BN1220" s="205" t="n"/>
      <c r="BO1220" s="206" t="n"/>
      <c r="BP1220" s="144" t="n"/>
      <c r="BQ1220" s="141" t="n"/>
      <c r="BR1220" s="207" t="n"/>
      <c r="BS1220" s="207" t="n"/>
      <c r="BT1220" s="207" t="n"/>
      <c r="BU1220" s="207" t="n"/>
      <c r="BV1220" s="208" t="n"/>
      <c r="BW1220" s="207" t="n"/>
      <c r="BX1220" s="207" t="n"/>
      <c r="BY1220" s="204" t="n"/>
      <c r="BZ1220" s="148" t="n"/>
      <c r="CA1220" s="204" t="n"/>
      <c r="CB1220" s="208" t="n"/>
      <c r="CC1220" s="139" t="n"/>
      <c r="CD1220" s="204" t="n"/>
      <c r="CE1220" s="204" t="n"/>
      <c r="CF1220" s="207" t="n"/>
      <c r="CG1220" s="208" t="n"/>
      <c r="CH1220" s="207" t="n"/>
      <c r="CI1220" s="208" t="n"/>
      <c r="CJ1220" s="204" t="n"/>
      <c r="CK1220" s="208" t="n"/>
      <c r="CL1220" s="208" t="n"/>
      <c r="CM1220" s="208" t="n"/>
      <c r="CN1220" s="78" t="n"/>
      <c r="CO1220" s="209" t="n"/>
      <c r="CP1220" s="204" t="n"/>
      <c r="CQ1220" s="204" t="n"/>
      <c r="CR1220" s="204" t="n"/>
      <c r="CS1220" s="204" t="n"/>
      <c r="CT1220" s="204" t="n"/>
      <c r="CU1220" s="204" t="n"/>
      <c r="CV1220" s="204" t="n"/>
      <c r="CW1220" s="204" t="n"/>
    </row>
    <row r="1221">
      <c r="BF1221" s="78" t="n"/>
      <c r="BG1221" s="78" t="n"/>
      <c r="BH1221" s="78" t="n"/>
      <c r="BI1221" s="78" t="n"/>
      <c r="BJ1221" s="139" t="n"/>
      <c r="BK1221" s="204" t="n"/>
      <c r="BL1221" s="141" t="n"/>
      <c r="BM1221" s="205" t="n"/>
      <c r="BN1221" s="205" t="n"/>
      <c r="BO1221" s="206" t="n"/>
      <c r="BP1221" s="144" t="n"/>
      <c r="BQ1221" s="141" t="n"/>
      <c r="BR1221" s="207" t="n"/>
      <c r="BS1221" s="207" t="n"/>
      <c r="BT1221" s="207" t="n"/>
      <c r="BU1221" s="207" t="n"/>
      <c r="BV1221" s="208" t="n"/>
      <c r="BW1221" s="207" t="n"/>
      <c r="BX1221" s="207" t="n"/>
      <c r="BY1221" s="204" t="n"/>
      <c r="BZ1221" s="148" t="n"/>
      <c r="CA1221" s="204" t="n"/>
      <c r="CB1221" s="208" t="n"/>
      <c r="CC1221" s="139" t="n"/>
      <c r="CD1221" s="204" t="n"/>
      <c r="CE1221" s="204" t="n"/>
      <c r="CF1221" s="207" t="n"/>
      <c r="CG1221" s="208" t="n"/>
      <c r="CH1221" s="207" t="n"/>
      <c r="CI1221" s="208" t="n"/>
      <c r="CJ1221" s="204" t="n"/>
      <c r="CK1221" s="208" t="n"/>
      <c r="CL1221" s="208" t="n"/>
      <c r="CM1221" s="208" t="n"/>
      <c r="CN1221" s="78" t="n"/>
      <c r="CO1221" s="209" t="n"/>
      <c r="CP1221" s="204" t="n"/>
      <c r="CQ1221" s="204" t="n"/>
      <c r="CR1221" s="204" t="n"/>
      <c r="CS1221" s="204" t="n"/>
      <c r="CT1221" s="204" t="n"/>
      <c r="CU1221" s="204" t="n"/>
      <c r="CV1221" s="204" t="n"/>
      <c r="CW1221" s="204" t="n"/>
    </row>
    <row r="1222">
      <c r="BF1222" s="78" t="n"/>
      <c r="BG1222" s="78" t="n"/>
      <c r="BH1222" s="78" t="n"/>
      <c r="BI1222" s="78" t="n"/>
      <c r="BJ1222" s="139" t="n"/>
      <c r="BK1222" s="204" t="n"/>
      <c r="BL1222" s="141" t="n"/>
      <c r="BM1222" s="205" t="n"/>
      <c r="BN1222" s="205" t="n"/>
      <c r="BO1222" s="206" t="n"/>
      <c r="BP1222" s="144" t="n"/>
      <c r="BQ1222" s="141" t="n"/>
      <c r="BR1222" s="207" t="n"/>
      <c r="BS1222" s="207" t="n"/>
      <c r="BT1222" s="207" t="n"/>
      <c r="BU1222" s="207" t="n"/>
      <c r="BV1222" s="208" t="n"/>
      <c r="BW1222" s="207" t="n"/>
      <c r="BX1222" s="207" t="n"/>
      <c r="BY1222" s="204" t="n"/>
      <c r="BZ1222" s="148" t="n"/>
      <c r="CA1222" s="204" t="n"/>
      <c r="CB1222" s="208" t="n"/>
      <c r="CC1222" s="139" t="n"/>
      <c r="CD1222" s="204" t="n"/>
      <c r="CE1222" s="204" t="n"/>
      <c r="CF1222" s="207" t="n"/>
      <c r="CG1222" s="208" t="n"/>
      <c r="CH1222" s="207" t="n"/>
      <c r="CI1222" s="208" t="n"/>
      <c r="CJ1222" s="204" t="n"/>
      <c r="CK1222" s="208" t="n"/>
      <c r="CL1222" s="208" t="n"/>
      <c r="CM1222" s="208" t="n"/>
      <c r="CN1222" s="78" t="n"/>
      <c r="CO1222" s="209" t="n"/>
      <c r="CP1222" s="204" t="n"/>
      <c r="CQ1222" s="204" t="n"/>
      <c r="CR1222" s="204" t="n"/>
      <c r="CS1222" s="204" t="n"/>
      <c r="CT1222" s="204" t="n"/>
      <c r="CU1222" s="204" t="n"/>
      <c r="CV1222" s="204" t="n"/>
      <c r="CW1222" s="204" t="n"/>
    </row>
    <row r="1223">
      <c r="BF1223" s="78" t="n"/>
      <c r="BG1223" s="78" t="n"/>
      <c r="BH1223" s="78" t="n"/>
      <c r="BI1223" s="78" t="n"/>
      <c r="BJ1223" s="139" t="n"/>
      <c r="BK1223" s="204" t="n"/>
      <c r="BL1223" s="141" t="n"/>
      <c r="BM1223" s="205" t="n"/>
      <c r="BN1223" s="205" t="n"/>
      <c r="BO1223" s="206" t="n"/>
      <c r="BP1223" s="144" t="n"/>
      <c r="BQ1223" s="141" t="n"/>
      <c r="BR1223" s="207" t="n"/>
      <c r="BS1223" s="207" t="n"/>
      <c r="BT1223" s="207" t="n"/>
      <c r="BU1223" s="207" t="n"/>
      <c r="BV1223" s="208" t="n"/>
      <c r="BW1223" s="207" t="n"/>
      <c r="BX1223" s="207" t="n"/>
      <c r="BY1223" s="204" t="n"/>
      <c r="BZ1223" s="148" t="n"/>
      <c r="CA1223" s="204" t="n"/>
      <c r="CB1223" s="208" t="n"/>
      <c r="CC1223" s="139" t="n"/>
      <c r="CD1223" s="204" t="n"/>
      <c r="CE1223" s="204" t="n"/>
      <c r="CF1223" s="207" t="n"/>
      <c r="CG1223" s="208" t="n"/>
      <c r="CH1223" s="207" t="n"/>
      <c r="CI1223" s="208" t="n"/>
      <c r="CJ1223" s="204" t="n"/>
      <c r="CK1223" s="208" t="n"/>
      <c r="CL1223" s="208" t="n"/>
      <c r="CM1223" s="208" t="n"/>
      <c r="CN1223" s="78" t="n"/>
      <c r="CO1223" s="209" t="n"/>
      <c r="CP1223" s="204" t="n"/>
      <c r="CQ1223" s="204" t="n"/>
      <c r="CR1223" s="204" t="n"/>
      <c r="CS1223" s="204" t="n"/>
      <c r="CT1223" s="204" t="n"/>
      <c r="CU1223" s="204" t="n"/>
      <c r="CV1223" s="204" t="n"/>
      <c r="CW1223" s="204" t="n"/>
    </row>
    <row r="1224">
      <c r="BF1224" s="78" t="n"/>
      <c r="BG1224" s="78" t="n"/>
      <c r="BH1224" s="78" t="n"/>
      <c r="BI1224" s="78" t="n"/>
      <c r="BJ1224" s="139" t="n"/>
      <c r="BK1224" s="204" t="n"/>
      <c r="BL1224" s="141" t="n"/>
      <c r="BM1224" s="205" t="n"/>
      <c r="BN1224" s="205" t="n"/>
      <c r="BO1224" s="206" t="n"/>
      <c r="BP1224" s="144" t="n"/>
      <c r="BQ1224" s="141" t="n"/>
      <c r="BR1224" s="207" t="n"/>
      <c r="BS1224" s="207" t="n"/>
      <c r="BT1224" s="207" t="n"/>
      <c r="BU1224" s="207" t="n"/>
      <c r="BV1224" s="208" t="n"/>
      <c r="BW1224" s="207" t="n"/>
      <c r="BX1224" s="207" t="n"/>
      <c r="BY1224" s="204" t="n"/>
      <c r="BZ1224" s="148" t="n"/>
      <c r="CA1224" s="204" t="n"/>
      <c r="CB1224" s="208" t="n"/>
      <c r="CC1224" s="139" t="n"/>
      <c r="CD1224" s="204" t="n"/>
      <c r="CE1224" s="204" t="n"/>
      <c r="CF1224" s="207" t="n"/>
      <c r="CG1224" s="208" t="n"/>
      <c r="CH1224" s="207" t="n"/>
      <c r="CI1224" s="208" t="n"/>
      <c r="CJ1224" s="204" t="n"/>
      <c r="CK1224" s="208" t="n"/>
      <c r="CL1224" s="208" t="n"/>
      <c r="CM1224" s="208" t="n"/>
      <c r="CN1224" s="78" t="n"/>
      <c r="CO1224" s="209" t="n"/>
      <c r="CP1224" s="204" t="n"/>
      <c r="CQ1224" s="204" t="n"/>
      <c r="CR1224" s="204" t="n"/>
      <c r="CS1224" s="204" t="n"/>
      <c r="CT1224" s="204" t="n"/>
      <c r="CU1224" s="204" t="n"/>
      <c r="CV1224" s="204" t="n"/>
      <c r="CW1224" s="204" t="n"/>
    </row>
    <row r="1225">
      <c r="BF1225" s="78" t="n"/>
      <c r="BG1225" s="78" t="n"/>
      <c r="BH1225" s="78" t="n"/>
      <c r="BI1225" s="78" t="n"/>
      <c r="BJ1225" s="139" t="n"/>
      <c r="BK1225" s="204" t="n"/>
      <c r="BL1225" s="141" t="n"/>
      <c r="BM1225" s="205" t="n"/>
      <c r="BN1225" s="205" t="n"/>
      <c r="BO1225" s="206" t="n"/>
      <c r="BP1225" s="144" t="n"/>
      <c r="BQ1225" s="141" t="n"/>
      <c r="BR1225" s="207" t="n"/>
      <c r="BS1225" s="207" t="n"/>
      <c r="BT1225" s="207" t="n"/>
      <c r="BU1225" s="207" t="n"/>
      <c r="BV1225" s="208" t="n"/>
      <c r="BW1225" s="207" t="n"/>
      <c r="BX1225" s="207" t="n"/>
      <c r="BY1225" s="204" t="n"/>
      <c r="BZ1225" s="148" t="n"/>
      <c r="CA1225" s="204" t="n"/>
      <c r="CB1225" s="208" t="n"/>
      <c r="CC1225" s="139" t="n"/>
      <c r="CD1225" s="204" t="n"/>
      <c r="CE1225" s="204" t="n"/>
      <c r="CF1225" s="207" t="n"/>
      <c r="CG1225" s="208" t="n"/>
      <c r="CH1225" s="207" t="n"/>
      <c r="CI1225" s="208" t="n"/>
      <c r="CJ1225" s="204" t="n"/>
      <c r="CK1225" s="208" t="n"/>
      <c r="CL1225" s="208" t="n"/>
      <c r="CM1225" s="208" t="n"/>
      <c r="CN1225" s="78" t="n"/>
      <c r="CO1225" s="209" t="n"/>
      <c r="CP1225" s="204" t="n"/>
      <c r="CQ1225" s="204" t="n"/>
      <c r="CR1225" s="204" t="n"/>
      <c r="CS1225" s="204" t="n"/>
      <c r="CT1225" s="204" t="n"/>
      <c r="CU1225" s="204" t="n"/>
      <c r="CV1225" s="204" t="n"/>
      <c r="CW1225" s="204" t="n"/>
    </row>
    <row r="1226">
      <c r="BF1226" s="78" t="n"/>
      <c r="BG1226" s="78" t="n"/>
      <c r="BH1226" s="78" t="n"/>
      <c r="BI1226" s="78" t="n"/>
      <c r="BJ1226" s="139" t="n"/>
      <c r="BK1226" s="204" t="n"/>
      <c r="BL1226" s="141" t="n"/>
      <c r="BM1226" s="205" t="n"/>
      <c r="BN1226" s="205" t="n"/>
      <c r="BO1226" s="206" t="n"/>
      <c r="BP1226" s="144" t="n"/>
      <c r="BQ1226" s="141" t="n"/>
      <c r="BR1226" s="207" t="n"/>
      <c r="BS1226" s="207" t="n"/>
      <c r="BT1226" s="207" t="n"/>
      <c r="BU1226" s="207" t="n"/>
      <c r="BV1226" s="208" t="n"/>
      <c r="BW1226" s="207" t="n"/>
      <c r="BX1226" s="207" t="n"/>
      <c r="BY1226" s="204" t="n"/>
      <c r="BZ1226" s="148" t="n"/>
      <c r="CA1226" s="204" t="n"/>
      <c r="CB1226" s="208" t="n"/>
      <c r="CC1226" s="139" t="n"/>
      <c r="CD1226" s="204" t="n"/>
      <c r="CE1226" s="204" t="n"/>
      <c r="CF1226" s="207" t="n"/>
      <c r="CG1226" s="208" t="n"/>
      <c r="CH1226" s="207" t="n"/>
      <c r="CI1226" s="208" t="n"/>
      <c r="CJ1226" s="204" t="n"/>
      <c r="CK1226" s="208" t="n"/>
      <c r="CL1226" s="208" t="n"/>
      <c r="CM1226" s="208" t="n"/>
      <c r="CN1226" s="78" t="n"/>
      <c r="CO1226" s="209" t="n"/>
      <c r="CP1226" s="204" t="n"/>
      <c r="CQ1226" s="204" t="n"/>
      <c r="CR1226" s="204" t="n"/>
      <c r="CS1226" s="204" t="n"/>
      <c r="CT1226" s="204" t="n"/>
      <c r="CU1226" s="204" t="n"/>
      <c r="CV1226" s="204" t="n"/>
      <c r="CW1226" s="204" t="n"/>
    </row>
    <row r="1227">
      <c r="BF1227" s="78" t="n"/>
      <c r="BG1227" s="78" t="n"/>
      <c r="BH1227" s="78" t="n"/>
      <c r="BI1227" s="78" t="n"/>
      <c r="BJ1227" s="139" t="n"/>
      <c r="BK1227" s="204" t="n"/>
      <c r="BL1227" s="141" t="n"/>
      <c r="BM1227" s="205" t="n"/>
      <c r="BN1227" s="205" t="n"/>
      <c r="BO1227" s="206" t="n"/>
      <c r="BP1227" s="144" t="n"/>
      <c r="BQ1227" s="141" t="n"/>
      <c r="BR1227" s="207" t="n"/>
      <c r="BS1227" s="207" t="n"/>
      <c r="BT1227" s="207" t="n"/>
      <c r="BU1227" s="207" t="n"/>
      <c r="BV1227" s="208" t="n"/>
      <c r="BW1227" s="207" t="n"/>
      <c r="BX1227" s="207" t="n"/>
      <c r="BY1227" s="204" t="n"/>
      <c r="BZ1227" s="148" t="n"/>
      <c r="CA1227" s="204" t="n"/>
      <c r="CB1227" s="208" t="n"/>
      <c r="CC1227" s="139" t="n"/>
      <c r="CD1227" s="204" t="n"/>
      <c r="CE1227" s="204" t="n"/>
      <c r="CF1227" s="207" t="n"/>
      <c r="CG1227" s="208" t="n"/>
      <c r="CH1227" s="207" t="n"/>
      <c r="CI1227" s="208" t="n"/>
      <c r="CJ1227" s="204" t="n"/>
      <c r="CK1227" s="208" t="n"/>
      <c r="CL1227" s="208" t="n"/>
      <c r="CM1227" s="208" t="n"/>
      <c r="CN1227" s="78" t="n"/>
      <c r="CO1227" s="209" t="n"/>
      <c r="CP1227" s="204" t="n"/>
      <c r="CQ1227" s="204" t="n"/>
      <c r="CR1227" s="204" t="n"/>
      <c r="CS1227" s="204" t="n"/>
      <c r="CT1227" s="204" t="n"/>
      <c r="CU1227" s="204" t="n"/>
      <c r="CV1227" s="204" t="n"/>
      <c r="CW1227" s="204" t="n"/>
    </row>
    <row r="1228">
      <c r="BF1228" s="78" t="n"/>
      <c r="BG1228" s="78" t="n"/>
      <c r="BH1228" s="78" t="n"/>
      <c r="BI1228" s="78" t="n"/>
      <c r="BJ1228" s="139" t="n"/>
      <c r="BK1228" s="204" t="n"/>
      <c r="BL1228" s="141" t="n"/>
      <c r="BM1228" s="205" t="n"/>
      <c r="BN1228" s="205" t="n"/>
      <c r="BO1228" s="206" t="n"/>
      <c r="BP1228" s="144" t="n"/>
      <c r="BQ1228" s="141" t="n"/>
      <c r="BR1228" s="207" t="n"/>
      <c r="BS1228" s="207" t="n"/>
      <c r="BT1228" s="207" t="n"/>
      <c r="BU1228" s="207" t="n"/>
      <c r="BV1228" s="208" t="n"/>
      <c r="BW1228" s="207" t="n"/>
      <c r="BX1228" s="207" t="n"/>
      <c r="BY1228" s="204" t="n"/>
      <c r="BZ1228" s="148" t="n"/>
      <c r="CA1228" s="204" t="n"/>
      <c r="CB1228" s="208" t="n"/>
      <c r="CC1228" s="139" t="n"/>
      <c r="CD1228" s="204" t="n"/>
      <c r="CE1228" s="204" t="n"/>
      <c r="CF1228" s="207" t="n"/>
      <c r="CG1228" s="208" t="n"/>
      <c r="CH1228" s="207" t="n"/>
      <c r="CI1228" s="208" t="n"/>
      <c r="CJ1228" s="204" t="n"/>
      <c r="CK1228" s="208" t="n"/>
      <c r="CL1228" s="208" t="n"/>
      <c r="CM1228" s="208" t="n"/>
      <c r="CN1228" s="78" t="n"/>
      <c r="CO1228" s="209" t="n"/>
      <c r="CP1228" s="204" t="n"/>
      <c r="CQ1228" s="204" t="n"/>
      <c r="CR1228" s="204" t="n"/>
      <c r="CS1228" s="204" t="n"/>
      <c r="CT1228" s="204" t="n"/>
      <c r="CU1228" s="204" t="n"/>
      <c r="CV1228" s="204" t="n"/>
      <c r="CW1228" s="204" t="n"/>
    </row>
    <row r="1229">
      <c r="BF1229" s="78" t="n"/>
      <c r="BG1229" s="78" t="n"/>
      <c r="BH1229" s="78" t="n"/>
      <c r="BI1229" s="78" t="n"/>
      <c r="BJ1229" s="139" t="n"/>
      <c r="BK1229" s="204" t="n"/>
      <c r="BL1229" s="141" t="n"/>
      <c r="BM1229" s="205" t="n"/>
      <c r="BN1229" s="205" t="n"/>
      <c r="BO1229" s="206" t="n"/>
      <c r="BP1229" s="144" t="n"/>
      <c r="BQ1229" s="141" t="n"/>
      <c r="BR1229" s="207" t="n"/>
      <c r="BS1229" s="207" t="n"/>
      <c r="BT1229" s="207" t="n"/>
      <c r="BU1229" s="207" t="n"/>
      <c r="BV1229" s="208" t="n"/>
      <c r="BW1229" s="207" t="n"/>
      <c r="BX1229" s="207" t="n"/>
      <c r="BY1229" s="204" t="n"/>
      <c r="BZ1229" s="148" t="n"/>
      <c r="CA1229" s="204" t="n"/>
      <c r="CB1229" s="208" t="n"/>
      <c r="CC1229" s="139" t="n"/>
      <c r="CD1229" s="204" t="n"/>
      <c r="CE1229" s="204" t="n"/>
      <c r="CF1229" s="207" t="n"/>
      <c r="CG1229" s="208" t="n"/>
      <c r="CH1229" s="207" t="n"/>
      <c r="CI1229" s="208" t="n"/>
      <c r="CJ1229" s="204" t="n"/>
      <c r="CK1229" s="208" t="n"/>
      <c r="CL1229" s="208" t="n"/>
      <c r="CM1229" s="208" t="n"/>
      <c r="CN1229" s="78" t="n"/>
      <c r="CO1229" s="209" t="n"/>
      <c r="CP1229" s="204" t="n"/>
      <c r="CQ1229" s="204" t="n"/>
      <c r="CR1229" s="204" t="n"/>
      <c r="CS1229" s="204" t="n"/>
      <c r="CT1229" s="204" t="n"/>
      <c r="CU1229" s="204" t="n"/>
      <c r="CV1229" s="204" t="n"/>
      <c r="CW1229" s="204" t="n"/>
    </row>
    <row r="1230">
      <c r="BF1230" s="78" t="n"/>
      <c r="BG1230" s="78" t="n"/>
      <c r="BH1230" s="78" t="n"/>
      <c r="BI1230" s="78" t="n"/>
      <c r="BJ1230" s="139" t="n"/>
      <c r="BK1230" s="204" t="n"/>
      <c r="BL1230" s="141" t="n"/>
      <c r="BM1230" s="205" t="n"/>
      <c r="BN1230" s="205" t="n"/>
      <c r="BO1230" s="206" t="n"/>
      <c r="BP1230" s="144" t="n"/>
      <c r="BQ1230" s="141" t="n"/>
      <c r="BR1230" s="207" t="n"/>
      <c r="BS1230" s="207" t="n"/>
      <c r="BT1230" s="207" t="n"/>
      <c r="BU1230" s="207" t="n"/>
      <c r="BV1230" s="208" t="n"/>
      <c r="BW1230" s="207" t="n"/>
      <c r="BX1230" s="207" t="n"/>
      <c r="BY1230" s="204" t="n"/>
      <c r="BZ1230" s="148" t="n"/>
      <c r="CA1230" s="204" t="n"/>
      <c r="CB1230" s="208" t="n"/>
      <c r="CC1230" s="139" t="n"/>
      <c r="CD1230" s="204" t="n"/>
      <c r="CE1230" s="204" t="n"/>
      <c r="CF1230" s="207" t="n"/>
      <c r="CG1230" s="208" t="n"/>
      <c r="CH1230" s="207" t="n"/>
      <c r="CI1230" s="208" t="n"/>
      <c r="CJ1230" s="204" t="n"/>
      <c r="CK1230" s="208" t="n"/>
      <c r="CL1230" s="208" t="n"/>
      <c r="CM1230" s="208" t="n"/>
      <c r="CN1230" s="78" t="n"/>
      <c r="CO1230" s="209" t="n"/>
      <c r="CP1230" s="204" t="n"/>
      <c r="CQ1230" s="204" t="n"/>
      <c r="CR1230" s="204" t="n"/>
      <c r="CS1230" s="204" t="n"/>
      <c r="CT1230" s="204" t="n"/>
      <c r="CU1230" s="204" t="n"/>
      <c r="CV1230" s="204" t="n"/>
      <c r="CW1230" s="204" t="n"/>
    </row>
    <row r="1231">
      <c r="BF1231" s="78" t="n"/>
      <c r="BG1231" s="78" t="n"/>
      <c r="BH1231" s="78" t="n"/>
      <c r="BI1231" s="78" t="n"/>
      <c r="BJ1231" s="139" t="n"/>
      <c r="BK1231" s="204" t="n"/>
      <c r="BL1231" s="141" t="n"/>
      <c r="BM1231" s="205" t="n"/>
      <c r="BN1231" s="205" t="n"/>
      <c r="BO1231" s="206" t="n"/>
      <c r="BP1231" s="144" t="n"/>
      <c r="BQ1231" s="141" t="n"/>
      <c r="BR1231" s="207" t="n"/>
      <c r="BS1231" s="207" t="n"/>
      <c r="BT1231" s="207" t="n"/>
      <c r="BU1231" s="207" t="n"/>
      <c r="BV1231" s="208" t="n"/>
      <c r="BW1231" s="207" t="n"/>
      <c r="BX1231" s="207" t="n"/>
      <c r="BY1231" s="204" t="n"/>
      <c r="BZ1231" s="148" t="n"/>
      <c r="CA1231" s="204" t="n"/>
      <c r="CB1231" s="208" t="n"/>
      <c r="CC1231" s="139" t="n"/>
      <c r="CD1231" s="204" t="n"/>
      <c r="CE1231" s="204" t="n"/>
      <c r="CF1231" s="207" t="n"/>
      <c r="CG1231" s="208" t="n"/>
      <c r="CH1231" s="207" t="n"/>
      <c r="CI1231" s="208" t="n"/>
      <c r="CJ1231" s="204" t="n"/>
      <c r="CK1231" s="208" t="n"/>
      <c r="CL1231" s="208" t="n"/>
      <c r="CM1231" s="208" t="n"/>
      <c r="CN1231" s="78" t="n"/>
      <c r="CO1231" s="209" t="n"/>
      <c r="CP1231" s="204" t="n"/>
      <c r="CQ1231" s="204" t="n"/>
      <c r="CR1231" s="204" t="n"/>
      <c r="CS1231" s="204" t="n"/>
      <c r="CT1231" s="204" t="n"/>
      <c r="CU1231" s="204" t="n"/>
      <c r="CV1231" s="204" t="n"/>
      <c r="CW1231" s="204" t="n"/>
    </row>
    <row r="1232">
      <c r="BF1232" s="78" t="n"/>
      <c r="BG1232" s="78" t="n"/>
      <c r="BH1232" s="78" t="n"/>
      <c r="BI1232" s="78" t="n"/>
      <c r="BJ1232" s="139" t="n"/>
      <c r="BK1232" s="204" t="n"/>
      <c r="BL1232" s="141" t="n"/>
      <c r="BM1232" s="205" t="n"/>
      <c r="BN1232" s="205" t="n"/>
      <c r="BO1232" s="206" t="n"/>
      <c r="BP1232" s="144" t="n"/>
      <c r="BQ1232" s="141" t="n"/>
      <c r="BR1232" s="207" t="n"/>
      <c r="BS1232" s="207" t="n"/>
      <c r="BT1232" s="207" t="n"/>
      <c r="BU1232" s="207" t="n"/>
      <c r="BV1232" s="208" t="n"/>
      <c r="BW1232" s="207" t="n"/>
      <c r="BX1232" s="207" t="n"/>
      <c r="BY1232" s="204" t="n"/>
      <c r="BZ1232" s="148" t="n"/>
      <c r="CA1232" s="204" t="n"/>
      <c r="CB1232" s="208" t="n"/>
      <c r="CC1232" s="139" t="n"/>
      <c r="CD1232" s="204" t="n"/>
      <c r="CE1232" s="204" t="n"/>
      <c r="CF1232" s="207" t="n"/>
      <c r="CG1232" s="208" t="n"/>
      <c r="CH1232" s="207" t="n"/>
      <c r="CI1232" s="208" t="n"/>
      <c r="CJ1232" s="204" t="n"/>
      <c r="CK1232" s="208" t="n"/>
      <c r="CL1232" s="208" t="n"/>
      <c r="CM1232" s="208" t="n"/>
      <c r="CN1232" s="78" t="n"/>
      <c r="CO1232" s="209" t="n"/>
      <c r="CP1232" s="204" t="n"/>
      <c r="CQ1232" s="204" t="n"/>
      <c r="CR1232" s="204" t="n"/>
      <c r="CS1232" s="204" t="n"/>
      <c r="CT1232" s="204" t="n"/>
      <c r="CU1232" s="204" t="n"/>
      <c r="CV1232" s="204" t="n"/>
      <c r="CW1232" s="204" t="n"/>
    </row>
    <row r="1233">
      <c r="BF1233" s="78" t="n"/>
      <c r="BG1233" s="78" t="n"/>
      <c r="BH1233" s="78" t="n"/>
      <c r="BI1233" s="78" t="n"/>
      <c r="BJ1233" s="139" t="n"/>
      <c r="BK1233" s="204" t="n"/>
      <c r="BL1233" s="141" t="n"/>
      <c r="BM1233" s="205" t="n"/>
      <c r="BN1233" s="205" t="n"/>
      <c r="BO1233" s="206" t="n"/>
      <c r="BP1233" s="144" t="n"/>
      <c r="BQ1233" s="141" t="n"/>
      <c r="BR1233" s="207" t="n"/>
      <c r="BS1233" s="207" t="n"/>
      <c r="BT1233" s="207" t="n"/>
      <c r="BU1233" s="207" t="n"/>
      <c r="BV1233" s="208" t="n"/>
      <c r="BW1233" s="207" t="n"/>
      <c r="BX1233" s="207" t="n"/>
      <c r="BY1233" s="204" t="n"/>
      <c r="BZ1233" s="148" t="n"/>
      <c r="CA1233" s="204" t="n"/>
      <c r="CB1233" s="208" t="n"/>
      <c r="CC1233" s="139" t="n"/>
      <c r="CD1233" s="204" t="n"/>
      <c r="CE1233" s="204" t="n"/>
      <c r="CF1233" s="207" t="n"/>
      <c r="CG1233" s="208" t="n"/>
      <c r="CH1233" s="207" t="n"/>
      <c r="CI1233" s="208" t="n"/>
      <c r="CJ1233" s="204" t="n"/>
      <c r="CK1233" s="208" t="n"/>
      <c r="CL1233" s="208" t="n"/>
      <c r="CM1233" s="208" t="n"/>
      <c r="CN1233" s="78" t="n"/>
      <c r="CO1233" s="209" t="n"/>
      <c r="CP1233" s="204" t="n"/>
      <c r="CQ1233" s="204" t="n"/>
      <c r="CR1233" s="204" t="n"/>
      <c r="CS1233" s="204" t="n"/>
      <c r="CT1233" s="204" t="n"/>
      <c r="CU1233" s="204" t="n"/>
      <c r="CV1233" s="204" t="n"/>
      <c r="CW1233" s="204" t="n"/>
    </row>
    <row r="1234">
      <c r="BF1234" s="78" t="n"/>
      <c r="BG1234" s="78" t="n"/>
      <c r="BH1234" s="78" t="n"/>
      <c r="BI1234" s="78" t="n"/>
      <c r="BJ1234" s="139" t="n"/>
      <c r="BK1234" s="204" t="n"/>
      <c r="BL1234" s="141" t="n"/>
      <c r="BM1234" s="205" t="n"/>
      <c r="BN1234" s="205" t="n"/>
      <c r="BO1234" s="206" t="n"/>
      <c r="BP1234" s="144" t="n"/>
      <c r="BQ1234" s="141" t="n"/>
      <c r="BR1234" s="207" t="n"/>
      <c r="BS1234" s="207" t="n"/>
      <c r="BT1234" s="207" t="n"/>
      <c r="BU1234" s="207" t="n"/>
      <c r="BV1234" s="208" t="n"/>
      <c r="BW1234" s="207" t="n"/>
      <c r="BX1234" s="207" t="n"/>
      <c r="BY1234" s="204" t="n"/>
      <c r="BZ1234" s="148" t="n"/>
      <c r="CA1234" s="204" t="n"/>
      <c r="CB1234" s="208" t="n"/>
      <c r="CC1234" s="139" t="n"/>
      <c r="CD1234" s="204" t="n"/>
      <c r="CE1234" s="204" t="n"/>
      <c r="CF1234" s="207" t="n"/>
      <c r="CG1234" s="208" t="n"/>
      <c r="CH1234" s="207" t="n"/>
      <c r="CI1234" s="208" t="n"/>
      <c r="CJ1234" s="204" t="n"/>
      <c r="CK1234" s="208" t="n"/>
      <c r="CL1234" s="208" t="n"/>
      <c r="CM1234" s="208" t="n"/>
      <c r="CN1234" s="78" t="n"/>
      <c r="CO1234" s="209" t="n"/>
      <c r="CP1234" s="204" t="n"/>
      <c r="CQ1234" s="204" t="n"/>
      <c r="CR1234" s="204" t="n"/>
      <c r="CS1234" s="204" t="n"/>
      <c r="CT1234" s="204" t="n"/>
      <c r="CU1234" s="204" t="n"/>
      <c r="CV1234" s="204" t="n"/>
      <c r="CW1234" s="204" t="n"/>
    </row>
    <row r="1235">
      <c r="BF1235" s="78" t="n"/>
      <c r="BG1235" s="78" t="n"/>
      <c r="BH1235" s="78" t="n"/>
      <c r="BI1235" s="78" t="n"/>
      <c r="BJ1235" s="139" t="n"/>
      <c r="BK1235" s="204" t="n"/>
      <c r="BL1235" s="141" t="n"/>
      <c r="BM1235" s="205" t="n"/>
      <c r="BN1235" s="205" t="n"/>
      <c r="BO1235" s="206" t="n"/>
      <c r="BP1235" s="144" t="n"/>
      <c r="BQ1235" s="141" t="n"/>
      <c r="BR1235" s="207" t="n"/>
      <c r="BS1235" s="207" t="n"/>
      <c r="BT1235" s="207" t="n"/>
      <c r="BU1235" s="207" t="n"/>
      <c r="BV1235" s="208" t="n"/>
      <c r="BW1235" s="207" t="n"/>
      <c r="BX1235" s="207" t="n"/>
      <c r="BY1235" s="204" t="n"/>
      <c r="BZ1235" s="148" t="n"/>
      <c r="CA1235" s="204" t="n"/>
      <c r="CB1235" s="208" t="n"/>
      <c r="CC1235" s="139" t="n"/>
      <c r="CD1235" s="204" t="n"/>
      <c r="CE1235" s="204" t="n"/>
      <c r="CF1235" s="207" t="n"/>
      <c r="CG1235" s="208" t="n"/>
      <c r="CH1235" s="207" t="n"/>
      <c r="CI1235" s="208" t="n"/>
      <c r="CJ1235" s="204" t="n"/>
      <c r="CK1235" s="208" t="n"/>
      <c r="CL1235" s="208" t="n"/>
      <c r="CM1235" s="208" t="n"/>
      <c r="CN1235" s="78" t="n"/>
      <c r="CO1235" s="209" t="n"/>
      <c r="CP1235" s="204" t="n"/>
      <c r="CQ1235" s="204" t="n"/>
      <c r="CR1235" s="204" t="n"/>
      <c r="CS1235" s="204" t="n"/>
      <c r="CT1235" s="204" t="n"/>
      <c r="CU1235" s="204" t="n"/>
      <c r="CV1235" s="204" t="n"/>
      <c r="CW1235" s="204" t="n"/>
    </row>
    <row r="1236">
      <c r="BF1236" s="78" t="n"/>
      <c r="BG1236" s="78" t="n"/>
      <c r="BH1236" s="78" t="n"/>
      <c r="BI1236" s="78" t="n"/>
      <c r="BJ1236" s="139" t="n"/>
      <c r="BK1236" s="204" t="n"/>
      <c r="BL1236" s="141" t="n"/>
      <c r="BM1236" s="205" t="n"/>
      <c r="BN1236" s="205" t="n"/>
      <c r="BO1236" s="206" t="n"/>
      <c r="BP1236" s="144" t="n"/>
      <c r="BQ1236" s="141" t="n"/>
      <c r="BR1236" s="207" t="n"/>
      <c r="BS1236" s="207" t="n"/>
      <c r="BT1236" s="207" t="n"/>
      <c r="BU1236" s="207" t="n"/>
      <c r="BV1236" s="208" t="n"/>
      <c r="BW1236" s="207" t="n"/>
      <c r="BX1236" s="207" t="n"/>
      <c r="BY1236" s="204" t="n"/>
      <c r="BZ1236" s="148" t="n"/>
      <c r="CA1236" s="204" t="n"/>
      <c r="CB1236" s="208" t="n"/>
      <c r="CC1236" s="139" t="n"/>
      <c r="CD1236" s="204" t="n"/>
      <c r="CE1236" s="204" t="n"/>
      <c r="CF1236" s="207" t="n"/>
      <c r="CG1236" s="208" t="n"/>
      <c r="CH1236" s="207" t="n"/>
      <c r="CI1236" s="208" t="n"/>
      <c r="CJ1236" s="204" t="n"/>
      <c r="CK1236" s="208" t="n"/>
      <c r="CL1236" s="208" t="n"/>
      <c r="CM1236" s="208" t="n"/>
      <c r="CN1236" s="78" t="n"/>
      <c r="CO1236" s="209" t="n"/>
      <c r="CP1236" s="204" t="n"/>
      <c r="CQ1236" s="204" t="n"/>
      <c r="CR1236" s="204" t="n"/>
      <c r="CS1236" s="204" t="n"/>
      <c r="CT1236" s="204" t="n"/>
      <c r="CU1236" s="204" t="n"/>
      <c r="CV1236" s="204" t="n"/>
      <c r="CW1236" s="204" t="n"/>
    </row>
    <row r="1237">
      <c r="BF1237" s="78" t="n"/>
      <c r="BG1237" s="78" t="n"/>
      <c r="BH1237" s="78" t="n"/>
      <c r="BI1237" s="78" t="n"/>
      <c r="BJ1237" s="139" t="n"/>
      <c r="BK1237" s="204" t="n"/>
      <c r="BL1237" s="141" t="n"/>
      <c r="BM1237" s="205" t="n"/>
      <c r="BN1237" s="205" t="n"/>
      <c r="BO1237" s="206" t="n"/>
      <c r="BP1237" s="144" t="n"/>
      <c r="BQ1237" s="141" t="n"/>
      <c r="BR1237" s="207" t="n"/>
      <c r="BS1237" s="207" t="n"/>
      <c r="BT1237" s="207" t="n"/>
      <c r="BU1237" s="207" t="n"/>
      <c r="BV1237" s="208" t="n"/>
      <c r="BW1237" s="207" t="n"/>
      <c r="BX1237" s="207" t="n"/>
      <c r="BY1237" s="204" t="n"/>
      <c r="BZ1237" s="148" t="n"/>
      <c r="CA1237" s="204" t="n"/>
      <c r="CB1237" s="208" t="n"/>
      <c r="CC1237" s="139" t="n"/>
      <c r="CD1237" s="204" t="n"/>
      <c r="CE1237" s="204" t="n"/>
      <c r="CF1237" s="207" t="n"/>
      <c r="CG1237" s="208" t="n"/>
      <c r="CH1237" s="207" t="n"/>
      <c r="CI1237" s="208" t="n"/>
      <c r="CJ1237" s="204" t="n"/>
      <c r="CK1237" s="208" t="n"/>
      <c r="CL1237" s="208" t="n"/>
      <c r="CM1237" s="208" t="n"/>
      <c r="CN1237" s="78" t="n"/>
      <c r="CO1237" s="209" t="n"/>
      <c r="CP1237" s="204" t="n"/>
      <c r="CQ1237" s="204" t="n"/>
      <c r="CR1237" s="204" t="n"/>
      <c r="CS1237" s="204" t="n"/>
      <c r="CT1237" s="204" t="n"/>
      <c r="CU1237" s="204" t="n"/>
      <c r="CV1237" s="204" t="n"/>
      <c r="CW1237" s="204" t="n"/>
    </row>
    <row r="1238">
      <c r="BF1238" s="78" t="n"/>
      <c r="BG1238" s="78" t="n"/>
      <c r="BH1238" s="78" t="n"/>
      <c r="BI1238" s="78" t="n"/>
      <c r="BJ1238" s="139" t="n"/>
      <c r="BK1238" s="204" t="n"/>
      <c r="BL1238" s="141" t="n"/>
      <c r="BM1238" s="205" t="n"/>
      <c r="BN1238" s="205" t="n"/>
      <c r="BO1238" s="206" t="n"/>
      <c r="BP1238" s="144" t="n"/>
      <c r="BQ1238" s="141" t="n"/>
      <c r="BR1238" s="207" t="n"/>
      <c r="BS1238" s="207" t="n"/>
      <c r="BT1238" s="207" t="n"/>
      <c r="BU1238" s="207" t="n"/>
      <c r="BV1238" s="208" t="n"/>
      <c r="BW1238" s="207" t="n"/>
      <c r="BX1238" s="207" t="n"/>
      <c r="BY1238" s="204" t="n"/>
      <c r="BZ1238" s="148" t="n"/>
      <c r="CA1238" s="204" t="n"/>
      <c r="CB1238" s="208" t="n"/>
      <c r="CC1238" s="139" t="n"/>
      <c r="CD1238" s="204" t="n"/>
      <c r="CE1238" s="204" t="n"/>
      <c r="CF1238" s="207" t="n"/>
      <c r="CG1238" s="208" t="n"/>
      <c r="CH1238" s="207" t="n"/>
      <c r="CI1238" s="208" t="n"/>
      <c r="CJ1238" s="204" t="n"/>
      <c r="CK1238" s="208" t="n"/>
      <c r="CL1238" s="208" t="n"/>
      <c r="CM1238" s="208" t="n"/>
      <c r="CN1238" s="78" t="n"/>
      <c r="CO1238" s="209" t="n"/>
      <c r="CP1238" s="204" t="n"/>
      <c r="CQ1238" s="204" t="n"/>
      <c r="CR1238" s="204" t="n"/>
      <c r="CS1238" s="204" t="n"/>
      <c r="CT1238" s="204" t="n"/>
      <c r="CU1238" s="204" t="n"/>
      <c r="CV1238" s="204" t="n"/>
      <c r="CW1238" s="204" t="n"/>
    </row>
    <row r="1239">
      <c r="BF1239" s="78" t="n"/>
      <c r="BG1239" s="78" t="n"/>
      <c r="BH1239" s="78" t="n"/>
      <c r="BI1239" s="78" t="n"/>
      <c r="BJ1239" s="139" t="n"/>
      <c r="BK1239" s="204" t="n"/>
      <c r="BL1239" s="141" t="n"/>
      <c r="BM1239" s="205" t="n"/>
      <c r="BN1239" s="205" t="n"/>
      <c r="BO1239" s="206" t="n"/>
      <c r="BP1239" s="144" t="n"/>
      <c r="BQ1239" s="141" t="n"/>
      <c r="BR1239" s="207" t="n"/>
      <c r="BS1239" s="207" t="n"/>
      <c r="BT1239" s="207" t="n"/>
      <c r="BU1239" s="207" t="n"/>
      <c r="BV1239" s="208" t="n"/>
      <c r="BW1239" s="207" t="n"/>
      <c r="BX1239" s="207" t="n"/>
      <c r="BY1239" s="204" t="n"/>
      <c r="BZ1239" s="148" t="n"/>
      <c r="CA1239" s="204" t="n"/>
      <c r="CB1239" s="208" t="n"/>
      <c r="CC1239" s="139" t="n"/>
      <c r="CD1239" s="204" t="n"/>
      <c r="CE1239" s="204" t="n"/>
      <c r="CF1239" s="207" t="n"/>
      <c r="CG1239" s="208" t="n"/>
      <c r="CH1239" s="207" t="n"/>
      <c r="CI1239" s="208" t="n"/>
      <c r="CJ1239" s="204" t="n"/>
      <c r="CK1239" s="208" t="n"/>
      <c r="CL1239" s="208" t="n"/>
      <c r="CM1239" s="208" t="n"/>
      <c r="CN1239" s="78" t="n"/>
      <c r="CO1239" s="209" t="n"/>
      <c r="CP1239" s="204" t="n"/>
      <c r="CQ1239" s="204" t="n"/>
      <c r="CR1239" s="204" t="n"/>
      <c r="CS1239" s="204" t="n"/>
      <c r="CT1239" s="204" t="n"/>
      <c r="CU1239" s="204" t="n"/>
      <c r="CV1239" s="204" t="n"/>
      <c r="CW1239" s="204" t="n"/>
    </row>
    <row r="1240">
      <c r="BF1240" s="78" t="n"/>
      <c r="BG1240" s="78" t="n"/>
      <c r="BH1240" s="78" t="n"/>
      <c r="BI1240" s="78" t="n"/>
      <c r="BJ1240" s="139" t="n"/>
      <c r="BK1240" s="204" t="n"/>
      <c r="BL1240" s="141" t="n"/>
      <c r="BM1240" s="205" t="n"/>
      <c r="BN1240" s="205" t="n"/>
      <c r="BO1240" s="206" t="n"/>
      <c r="BP1240" s="144" t="n"/>
      <c r="BQ1240" s="141" t="n"/>
      <c r="BR1240" s="207" t="n"/>
      <c r="BS1240" s="207" t="n"/>
      <c r="BT1240" s="207" t="n"/>
      <c r="BU1240" s="207" t="n"/>
      <c r="BV1240" s="208" t="n"/>
      <c r="BW1240" s="207" t="n"/>
      <c r="BX1240" s="207" t="n"/>
      <c r="BY1240" s="204" t="n"/>
      <c r="BZ1240" s="148" t="n"/>
      <c r="CA1240" s="204" t="n"/>
      <c r="CB1240" s="208" t="n"/>
      <c r="CC1240" s="139" t="n"/>
      <c r="CD1240" s="204" t="n"/>
      <c r="CE1240" s="204" t="n"/>
      <c r="CF1240" s="207" t="n"/>
      <c r="CG1240" s="208" t="n"/>
      <c r="CH1240" s="207" t="n"/>
      <c r="CI1240" s="208" t="n"/>
      <c r="CJ1240" s="204" t="n"/>
      <c r="CK1240" s="208" t="n"/>
      <c r="CL1240" s="208" t="n"/>
      <c r="CM1240" s="208" t="n"/>
      <c r="CN1240" s="78" t="n"/>
      <c r="CO1240" s="209" t="n"/>
      <c r="CP1240" s="204" t="n"/>
      <c r="CQ1240" s="204" t="n"/>
      <c r="CR1240" s="204" t="n"/>
      <c r="CS1240" s="204" t="n"/>
      <c r="CT1240" s="204" t="n"/>
      <c r="CU1240" s="204" t="n"/>
      <c r="CV1240" s="204" t="n"/>
      <c r="CW1240" s="204" t="n"/>
    </row>
    <row r="1241">
      <c r="BF1241" s="78" t="n"/>
      <c r="BG1241" s="78" t="n"/>
      <c r="BH1241" s="78" t="n"/>
      <c r="BI1241" s="78" t="n"/>
      <c r="BJ1241" s="139" t="n"/>
      <c r="BK1241" s="204" t="n"/>
      <c r="BL1241" s="141" t="n"/>
      <c r="BM1241" s="205" t="n"/>
      <c r="BN1241" s="205" t="n"/>
      <c r="BO1241" s="206" t="n"/>
      <c r="BP1241" s="144" t="n"/>
      <c r="BQ1241" s="141" t="n"/>
      <c r="BR1241" s="207" t="n"/>
      <c r="BS1241" s="207" t="n"/>
      <c r="BT1241" s="207" t="n"/>
      <c r="BU1241" s="207" t="n"/>
      <c r="BV1241" s="208" t="n"/>
      <c r="BW1241" s="207" t="n"/>
      <c r="BX1241" s="207" t="n"/>
      <c r="BY1241" s="204" t="n"/>
      <c r="BZ1241" s="148" t="n"/>
      <c r="CA1241" s="204" t="n"/>
      <c r="CB1241" s="208" t="n"/>
      <c r="CC1241" s="139" t="n"/>
      <c r="CD1241" s="204" t="n"/>
      <c r="CE1241" s="204" t="n"/>
      <c r="CF1241" s="207" t="n"/>
      <c r="CG1241" s="208" t="n"/>
      <c r="CH1241" s="207" t="n"/>
      <c r="CI1241" s="208" t="n"/>
      <c r="CJ1241" s="204" t="n"/>
      <c r="CK1241" s="208" t="n"/>
      <c r="CL1241" s="208" t="n"/>
      <c r="CM1241" s="208" t="n"/>
      <c r="CN1241" s="78" t="n"/>
      <c r="CO1241" s="209" t="n"/>
      <c r="CP1241" s="204" t="n"/>
      <c r="CQ1241" s="204" t="n"/>
      <c r="CR1241" s="204" t="n"/>
      <c r="CS1241" s="204" t="n"/>
      <c r="CT1241" s="204" t="n"/>
      <c r="CU1241" s="204" t="n"/>
      <c r="CV1241" s="204" t="n"/>
      <c r="CW1241" s="204" t="n"/>
    </row>
    <row r="1242">
      <c r="BF1242" s="78" t="n"/>
      <c r="BG1242" s="78" t="n"/>
      <c r="BH1242" s="78" t="n"/>
      <c r="BI1242" s="78" t="n"/>
      <c r="BJ1242" s="139" t="n"/>
      <c r="BK1242" s="204" t="n"/>
      <c r="BL1242" s="141" t="n"/>
      <c r="BM1242" s="205" t="n"/>
      <c r="BN1242" s="205" t="n"/>
      <c r="BO1242" s="206" t="n"/>
      <c r="BP1242" s="144" t="n"/>
      <c r="BQ1242" s="141" t="n"/>
      <c r="BR1242" s="207" t="n"/>
      <c r="BS1242" s="207" t="n"/>
      <c r="BT1242" s="207" t="n"/>
      <c r="BU1242" s="207" t="n"/>
      <c r="BV1242" s="208" t="n"/>
      <c r="BW1242" s="207" t="n"/>
      <c r="BX1242" s="207" t="n"/>
      <c r="BY1242" s="204" t="n"/>
      <c r="BZ1242" s="148" t="n"/>
      <c r="CA1242" s="204" t="n"/>
      <c r="CB1242" s="208" t="n"/>
      <c r="CC1242" s="139" t="n"/>
      <c r="CD1242" s="204" t="n"/>
      <c r="CE1242" s="204" t="n"/>
      <c r="CF1242" s="207" t="n"/>
      <c r="CG1242" s="208" t="n"/>
      <c r="CH1242" s="207" t="n"/>
      <c r="CI1242" s="208" t="n"/>
      <c r="CJ1242" s="204" t="n"/>
      <c r="CK1242" s="208" t="n"/>
      <c r="CL1242" s="208" t="n"/>
      <c r="CM1242" s="208" t="n"/>
      <c r="CN1242" s="78" t="n"/>
      <c r="CO1242" s="209" t="n"/>
      <c r="CP1242" s="204" t="n"/>
      <c r="CQ1242" s="204" t="n"/>
      <c r="CR1242" s="204" t="n"/>
      <c r="CS1242" s="204" t="n"/>
      <c r="CT1242" s="204" t="n"/>
      <c r="CU1242" s="204" t="n"/>
      <c r="CV1242" s="204" t="n"/>
      <c r="CW1242" s="204" t="n"/>
    </row>
    <row r="1243">
      <c r="BF1243" s="78" t="n"/>
      <c r="BG1243" s="78" t="n"/>
      <c r="BH1243" s="78" t="n"/>
      <c r="BI1243" s="78" t="n"/>
      <c r="BJ1243" s="139" t="n"/>
      <c r="BK1243" s="204" t="n"/>
      <c r="BL1243" s="141" t="n"/>
      <c r="BM1243" s="205" t="n"/>
      <c r="BN1243" s="205" t="n"/>
      <c r="BO1243" s="206" t="n"/>
      <c r="BP1243" s="144" t="n"/>
      <c r="BQ1243" s="141" t="n"/>
      <c r="BR1243" s="207" t="n"/>
      <c r="BS1243" s="207" t="n"/>
      <c r="BT1243" s="207" t="n"/>
      <c r="BU1243" s="207" t="n"/>
      <c r="BV1243" s="208" t="n"/>
      <c r="BW1243" s="207" t="n"/>
      <c r="BX1243" s="207" t="n"/>
      <c r="BY1243" s="204" t="n"/>
      <c r="BZ1243" s="148" t="n"/>
      <c r="CA1243" s="204" t="n"/>
      <c r="CB1243" s="208" t="n"/>
      <c r="CC1243" s="139" t="n"/>
      <c r="CD1243" s="204" t="n"/>
      <c r="CE1243" s="204" t="n"/>
      <c r="CF1243" s="207" t="n"/>
      <c r="CG1243" s="208" t="n"/>
      <c r="CH1243" s="207" t="n"/>
      <c r="CI1243" s="208" t="n"/>
      <c r="CJ1243" s="204" t="n"/>
      <c r="CK1243" s="208" t="n"/>
      <c r="CL1243" s="208" t="n"/>
      <c r="CM1243" s="208" t="n"/>
      <c r="CN1243" s="78" t="n"/>
      <c r="CO1243" s="209" t="n"/>
      <c r="CP1243" s="204" t="n"/>
      <c r="CQ1243" s="204" t="n"/>
      <c r="CR1243" s="204" t="n"/>
      <c r="CS1243" s="204" t="n"/>
      <c r="CT1243" s="204" t="n"/>
      <c r="CU1243" s="204" t="n"/>
      <c r="CV1243" s="204" t="n"/>
      <c r="CW1243" s="204" t="n"/>
    </row>
    <row r="1244">
      <c r="BF1244" s="78" t="n"/>
      <c r="BG1244" s="78" t="n"/>
      <c r="BH1244" s="78" t="n"/>
      <c r="BI1244" s="78" t="n"/>
      <c r="BJ1244" s="139" t="n"/>
      <c r="BK1244" s="204" t="n"/>
      <c r="BL1244" s="141" t="n"/>
      <c r="BM1244" s="205" t="n"/>
      <c r="BN1244" s="205" t="n"/>
      <c r="BO1244" s="206" t="n"/>
      <c r="BP1244" s="144" t="n"/>
      <c r="BQ1244" s="141" t="n"/>
      <c r="BR1244" s="207" t="n"/>
      <c r="BS1244" s="207" t="n"/>
      <c r="BT1244" s="207" t="n"/>
      <c r="BU1244" s="207" t="n"/>
      <c r="BV1244" s="208" t="n"/>
      <c r="BW1244" s="207" t="n"/>
      <c r="BX1244" s="207" t="n"/>
      <c r="BY1244" s="204" t="n"/>
      <c r="BZ1244" s="148" t="n"/>
      <c r="CA1244" s="204" t="n"/>
      <c r="CB1244" s="208" t="n"/>
      <c r="CC1244" s="139" t="n"/>
      <c r="CD1244" s="204" t="n"/>
      <c r="CE1244" s="204" t="n"/>
      <c r="CF1244" s="207" t="n"/>
      <c r="CG1244" s="208" t="n"/>
      <c r="CH1244" s="207" t="n"/>
      <c r="CI1244" s="208" t="n"/>
      <c r="CJ1244" s="204" t="n"/>
      <c r="CK1244" s="208" t="n"/>
      <c r="CL1244" s="208" t="n"/>
      <c r="CM1244" s="208" t="n"/>
      <c r="CN1244" s="78" t="n"/>
      <c r="CO1244" s="209" t="n"/>
      <c r="CP1244" s="204" t="n"/>
      <c r="CQ1244" s="204" t="n"/>
      <c r="CR1244" s="204" t="n"/>
      <c r="CS1244" s="204" t="n"/>
      <c r="CT1244" s="204" t="n"/>
      <c r="CU1244" s="204" t="n"/>
      <c r="CV1244" s="204" t="n"/>
      <c r="CW1244" s="204" t="n"/>
    </row>
    <row r="1245">
      <c r="BF1245" s="78" t="n"/>
      <c r="BG1245" s="78" t="n"/>
      <c r="BH1245" s="78" t="n"/>
      <c r="BI1245" s="78" t="n"/>
      <c r="BJ1245" s="139" t="n"/>
      <c r="BK1245" s="204" t="n"/>
      <c r="BL1245" s="141" t="n"/>
      <c r="BM1245" s="205" t="n"/>
      <c r="BN1245" s="205" t="n"/>
      <c r="BO1245" s="206" t="n"/>
      <c r="BP1245" s="144" t="n"/>
      <c r="BQ1245" s="141" t="n"/>
      <c r="BR1245" s="207" t="n"/>
      <c r="BS1245" s="207" t="n"/>
      <c r="BT1245" s="207" t="n"/>
      <c r="BU1245" s="207" t="n"/>
      <c r="BV1245" s="208" t="n"/>
      <c r="BW1245" s="207" t="n"/>
      <c r="BX1245" s="207" t="n"/>
      <c r="BY1245" s="204" t="n"/>
      <c r="BZ1245" s="148" t="n"/>
      <c r="CA1245" s="204" t="n"/>
      <c r="CB1245" s="208" t="n"/>
      <c r="CC1245" s="139" t="n"/>
      <c r="CD1245" s="204" t="n"/>
      <c r="CE1245" s="204" t="n"/>
      <c r="CF1245" s="207" t="n"/>
      <c r="CG1245" s="208" t="n"/>
      <c r="CH1245" s="207" t="n"/>
      <c r="CI1245" s="208" t="n"/>
      <c r="CJ1245" s="204" t="n"/>
      <c r="CK1245" s="208" t="n"/>
      <c r="CL1245" s="208" t="n"/>
      <c r="CM1245" s="208" t="n"/>
      <c r="CN1245" s="78" t="n"/>
      <c r="CO1245" s="209" t="n"/>
      <c r="CP1245" s="204" t="n"/>
      <c r="CQ1245" s="204" t="n"/>
      <c r="CR1245" s="204" t="n"/>
      <c r="CS1245" s="204" t="n"/>
      <c r="CT1245" s="204" t="n"/>
      <c r="CU1245" s="204" t="n"/>
      <c r="CV1245" s="204" t="n"/>
      <c r="CW1245" s="204" t="n"/>
    </row>
    <row r="1246">
      <c r="BF1246" s="78" t="n"/>
      <c r="BG1246" s="78" t="n"/>
      <c r="BH1246" s="78" t="n"/>
      <c r="BI1246" s="78" t="n"/>
      <c r="BJ1246" s="139" t="n"/>
      <c r="BK1246" s="204" t="n"/>
      <c r="BL1246" s="141" t="n"/>
      <c r="BM1246" s="205" t="n"/>
      <c r="BN1246" s="205" t="n"/>
      <c r="BO1246" s="206" t="n"/>
      <c r="BP1246" s="144" t="n"/>
      <c r="BQ1246" s="141" t="n"/>
      <c r="BR1246" s="207" t="n"/>
      <c r="BS1246" s="207" t="n"/>
      <c r="BT1246" s="207" t="n"/>
      <c r="BU1246" s="207" t="n"/>
      <c r="BV1246" s="208" t="n"/>
      <c r="BW1246" s="207" t="n"/>
      <c r="BX1246" s="207" t="n"/>
      <c r="BY1246" s="204" t="n"/>
      <c r="BZ1246" s="148" t="n"/>
      <c r="CA1246" s="204" t="n"/>
      <c r="CB1246" s="208" t="n"/>
      <c r="CC1246" s="139" t="n"/>
      <c r="CD1246" s="204" t="n"/>
      <c r="CE1246" s="204" t="n"/>
      <c r="CF1246" s="207" t="n"/>
      <c r="CG1246" s="208" t="n"/>
      <c r="CH1246" s="207" t="n"/>
      <c r="CI1246" s="208" t="n"/>
      <c r="CJ1246" s="204" t="n"/>
      <c r="CK1246" s="208" t="n"/>
      <c r="CL1246" s="208" t="n"/>
      <c r="CM1246" s="208" t="n"/>
      <c r="CN1246" s="78" t="n"/>
      <c r="CO1246" s="209" t="n"/>
      <c r="CP1246" s="204" t="n"/>
      <c r="CQ1246" s="204" t="n"/>
      <c r="CR1246" s="204" t="n"/>
      <c r="CS1246" s="204" t="n"/>
      <c r="CT1246" s="204" t="n"/>
      <c r="CU1246" s="204" t="n"/>
      <c r="CV1246" s="204" t="n"/>
      <c r="CW1246" s="204" t="n"/>
    </row>
    <row r="1247">
      <c r="BF1247" s="78" t="n"/>
      <c r="BG1247" s="78" t="n"/>
      <c r="BH1247" s="78" t="n"/>
      <c r="BI1247" s="78" t="n"/>
      <c r="BJ1247" s="139" t="n"/>
      <c r="BK1247" s="204" t="n"/>
      <c r="BL1247" s="141" t="n"/>
      <c r="BM1247" s="205" t="n"/>
      <c r="BN1247" s="205" t="n"/>
      <c r="BO1247" s="206" t="n"/>
      <c r="BP1247" s="144" t="n"/>
      <c r="BQ1247" s="141" t="n"/>
      <c r="BR1247" s="207" t="n"/>
      <c r="BS1247" s="207" t="n"/>
      <c r="BT1247" s="207" t="n"/>
      <c r="BU1247" s="207" t="n"/>
      <c r="BV1247" s="208" t="n"/>
      <c r="BW1247" s="207" t="n"/>
      <c r="BX1247" s="207" t="n"/>
      <c r="BY1247" s="204" t="n"/>
      <c r="BZ1247" s="148" t="n"/>
      <c r="CA1247" s="204" t="n"/>
      <c r="CB1247" s="208" t="n"/>
      <c r="CC1247" s="139" t="n"/>
      <c r="CD1247" s="204" t="n"/>
      <c r="CE1247" s="204" t="n"/>
      <c r="CF1247" s="207" t="n"/>
      <c r="CG1247" s="208" t="n"/>
      <c r="CH1247" s="207" t="n"/>
      <c r="CI1247" s="208" t="n"/>
      <c r="CJ1247" s="204" t="n"/>
      <c r="CK1247" s="208" t="n"/>
      <c r="CL1247" s="208" t="n"/>
      <c r="CM1247" s="208" t="n"/>
      <c r="CN1247" s="78" t="n"/>
      <c r="CO1247" s="209" t="n"/>
      <c r="CP1247" s="204" t="n"/>
      <c r="CQ1247" s="204" t="n"/>
      <c r="CR1247" s="204" t="n"/>
      <c r="CS1247" s="204" t="n"/>
      <c r="CT1247" s="204" t="n"/>
      <c r="CU1247" s="204" t="n"/>
      <c r="CV1247" s="204" t="n"/>
      <c r="CW1247" s="204" t="n"/>
    </row>
    <row r="1248">
      <c r="BF1248" s="78" t="n"/>
      <c r="BG1248" s="78" t="n"/>
      <c r="BH1248" s="78" t="n"/>
      <c r="BI1248" s="78" t="n"/>
      <c r="BJ1248" s="139" t="n"/>
      <c r="BK1248" s="204" t="n"/>
      <c r="BL1248" s="141" t="n"/>
      <c r="BM1248" s="205" t="n"/>
      <c r="BN1248" s="205" t="n"/>
      <c r="BO1248" s="206" t="n"/>
      <c r="BP1248" s="144" t="n"/>
      <c r="BQ1248" s="141" t="n"/>
      <c r="BR1248" s="207" t="n"/>
      <c r="BS1248" s="207" t="n"/>
      <c r="BT1248" s="207" t="n"/>
      <c r="BU1248" s="207" t="n"/>
      <c r="BV1248" s="208" t="n"/>
      <c r="BW1248" s="207" t="n"/>
      <c r="BX1248" s="207" t="n"/>
      <c r="BY1248" s="204" t="n"/>
      <c r="BZ1248" s="148" t="n"/>
      <c r="CA1248" s="204" t="n"/>
      <c r="CB1248" s="208" t="n"/>
      <c r="CC1248" s="139" t="n"/>
      <c r="CD1248" s="204" t="n"/>
      <c r="CE1248" s="204" t="n"/>
      <c r="CF1248" s="207" t="n"/>
      <c r="CG1248" s="208" t="n"/>
      <c r="CH1248" s="207" t="n"/>
      <c r="CI1248" s="208" t="n"/>
      <c r="CJ1248" s="204" t="n"/>
      <c r="CK1248" s="208" t="n"/>
      <c r="CL1248" s="208" t="n"/>
      <c r="CM1248" s="208" t="n"/>
      <c r="CN1248" s="78" t="n"/>
      <c r="CO1248" s="209" t="n"/>
      <c r="CP1248" s="204" t="n"/>
      <c r="CQ1248" s="204" t="n"/>
      <c r="CR1248" s="204" t="n"/>
      <c r="CS1248" s="204" t="n"/>
      <c r="CT1248" s="204" t="n"/>
      <c r="CU1248" s="204" t="n"/>
      <c r="CV1248" s="204" t="n"/>
      <c r="CW1248" s="204" t="n"/>
    </row>
    <row r="1249">
      <c r="BF1249" s="78" t="n"/>
      <c r="BG1249" s="78" t="n"/>
      <c r="BH1249" s="78" t="n"/>
      <c r="BI1249" s="78" t="n"/>
      <c r="BJ1249" s="139" t="n"/>
      <c r="BK1249" s="204" t="n"/>
      <c r="BL1249" s="141" t="n"/>
      <c r="BM1249" s="205" t="n"/>
      <c r="BN1249" s="205" t="n"/>
      <c r="BO1249" s="206" t="n"/>
      <c r="BP1249" s="144" t="n"/>
      <c r="BQ1249" s="141" t="n"/>
      <c r="BR1249" s="207" t="n"/>
      <c r="BS1249" s="207" t="n"/>
      <c r="BT1249" s="207" t="n"/>
      <c r="BU1249" s="207" t="n"/>
      <c r="BV1249" s="208" t="n"/>
      <c r="BW1249" s="207" t="n"/>
      <c r="BX1249" s="207" t="n"/>
      <c r="BY1249" s="204" t="n"/>
      <c r="BZ1249" s="148" t="n"/>
      <c r="CA1249" s="204" t="n"/>
      <c r="CB1249" s="208" t="n"/>
      <c r="CC1249" s="139" t="n"/>
      <c r="CD1249" s="204" t="n"/>
      <c r="CE1249" s="204" t="n"/>
      <c r="CF1249" s="207" t="n"/>
      <c r="CG1249" s="208" t="n"/>
      <c r="CH1249" s="207" t="n"/>
      <c r="CI1249" s="208" t="n"/>
      <c r="CJ1249" s="204" t="n"/>
      <c r="CK1249" s="208" t="n"/>
      <c r="CL1249" s="208" t="n"/>
      <c r="CM1249" s="208" t="n"/>
      <c r="CN1249" s="78" t="n"/>
      <c r="CO1249" s="209" t="n"/>
      <c r="CP1249" s="204" t="n"/>
      <c r="CQ1249" s="204" t="n"/>
      <c r="CR1249" s="204" t="n"/>
      <c r="CS1249" s="204" t="n"/>
      <c r="CT1249" s="204" t="n"/>
      <c r="CU1249" s="204" t="n"/>
      <c r="CV1249" s="204" t="n"/>
      <c r="CW1249" s="204" t="n"/>
    </row>
    <row r="1250">
      <c r="BF1250" s="78" t="n"/>
      <c r="BG1250" s="78" t="n"/>
      <c r="BH1250" s="78" t="n"/>
      <c r="BI1250" s="78" t="n"/>
      <c r="BJ1250" s="139" t="n"/>
      <c r="BK1250" s="204" t="n"/>
      <c r="BL1250" s="141" t="n"/>
      <c r="BM1250" s="205" t="n"/>
      <c r="BN1250" s="205" t="n"/>
      <c r="BO1250" s="206" t="n"/>
      <c r="BP1250" s="144" t="n"/>
      <c r="BQ1250" s="141" t="n"/>
      <c r="BR1250" s="207" t="n"/>
      <c r="BS1250" s="207" t="n"/>
      <c r="BT1250" s="207" t="n"/>
      <c r="BU1250" s="207" t="n"/>
      <c r="BV1250" s="208" t="n"/>
      <c r="BW1250" s="207" t="n"/>
      <c r="BX1250" s="207" t="n"/>
      <c r="BY1250" s="204" t="n"/>
      <c r="BZ1250" s="148" t="n"/>
      <c r="CA1250" s="204" t="n"/>
      <c r="CB1250" s="208" t="n"/>
      <c r="CC1250" s="139" t="n"/>
      <c r="CD1250" s="204" t="n"/>
      <c r="CE1250" s="204" t="n"/>
      <c r="CF1250" s="207" t="n"/>
      <c r="CG1250" s="208" t="n"/>
      <c r="CH1250" s="207" t="n"/>
      <c r="CI1250" s="208" t="n"/>
      <c r="CJ1250" s="204" t="n"/>
      <c r="CK1250" s="208" t="n"/>
      <c r="CL1250" s="208" t="n"/>
      <c r="CM1250" s="208" t="n"/>
      <c r="CN1250" s="78" t="n"/>
      <c r="CO1250" s="209" t="n"/>
      <c r="CP1250" s="204" t="n"/>
      <c r="CQ1250" s="204" t="n"/>
      <c r="CR1250" s="204" t="n"/>
      <c r="CS1250" s="204" t="n"/>
      <c r="CT1250" s="204" t="n"/>
      <c r="CU1250" s="204" t="n"/>
      <c r="CV1250" s="204" t="n"/>
      <c r="CW1250" s="204" t="n"/>
    </row>
    <row r="1251">
      <c r="BF1251" s="78" t="n"/>
      <c r="BG1251" s="78" t="n"/>
      <c r="BH1251" s="78" t="n"/>
      <c r="BI1251" s="78" t="n"/>
      <c r="BJ1251" s="139" t="n"/>
      <c r="BK1251" s="204" t="n"/>
      <c r="BL1251" s="141" t="n"/>
      <c r="BM1251" s="205" t="n"/>
      <c r="BN1251" s="205" t="n"/>
      <c r="BO1251" s="206" t="n"/>
      <c r="BP1251" s="144" t="n"/>
      <c r="BQ1251" s="141" t="n"/>
      <c r="BR1251" s="207" t="n"/>
      <c r="BS1251" s="207" t="n"/>
      <c r="BT1251" s="207" t="n"/>
      <c r="BU1251" s="207" t="n"/>
      <c r="BV1251" s="208" t="n"/>
      <c r="BW1251" s="207" t="n"/>
      <c r="BX1251" s="207" t="n"/>
      <c r="BY1251" s="204" t="n"/>
      <c r="BZ1251" s="148" t="n"/>
      <c r="CA1251" s="204" t="n"/>
      <c r="CB1251" s="208" t="n"/>
      <c r="CC1251" s="139" t="n"/>
      <c r="CD1251" s="204" t="n"/>
      <c r="CE1251" s="204" t="n"/>
      <c r="CF1251" s="207" t="n"/>
      <c r="CG1251" s="208" t="n"/>
      <c r="CH1251" s="207" t="n"/>
      <c r="CI1251" s="208" t="n"/>
      <c r="CJ1251" s="204" t="n"/>
      <c r="CK1251" s="208" t="n"/>
      <c r="CL1251" s="208" t="n"/>
      <c r="CM1251" s="208" t="n"/>
      <c r="CN1251" s="78" t="n"/>
      <c r="CO1251" s="209" t="n"/>
      <c r="CP1251" s="204" t="n"/>
      <c r="CQ1251" s="204" t="n"/>
      <c r="CR1251" s="204" t="n"/>
      <c r="CS1251" s="204" t="n"/>
      <c r="CT1251" s="204" t="n"/>
      <c r="CU1251" s="204" t="n"/>
      <c r="CV1251" s="204" t="n"/>
      <c r="CW1251" s="204" t="n"/>
    </row>
    <row r="1252">
      <c r="BF1252" s="78" t="n"/>
      <c r="BG1252" s="78" t="n"/>
      <c r="BH1252" s="78" t="n"/>
      <c r="BI1252" s="78" t="n"/>
      <c r="BJ1252" s="139" t="n"/>
      <c r="BK1252" s="204" t="n"/>
      <c r="BL1252" s="141" t="n"/>
      <c r="BM1252" s="205" t="n"/>
      <c r="BN1252" s="205" t="n"/>
      <c r="BO1252" s="206" t="n"/>
      <c r="BP1252" s="144" t="n"/>
      <c r="BQ1252" s="141" t="n"/>
      <c r="BR1252" s="207" t="n"/>
      <c r="BS1252" s="207" t="n"/>
      <c r="BT1252" s="207" t="n"/>
      <c r="BU1252" s="207" t="n"/>
      <c r="BV1252" s="208" t="n"/>
      <c r="BW1252" s="207" t="n"/>
      <c r="BX1252" s="207" t="n"/>
      <c r="BY1252" s="204" t="n"/>
      <c r="BZ1252" s="148" t="n"/>
      <c r="CA1252" s="204" t="n"/>
      <c r="CB1252" s="208" t="n"/>
      <c r="CC1252" s="139" t="n"/>
      <c r="CD1252" s="204" t="n"/>
      <c r="CE1252" s="204" t="n"/>
      <c r="CF1252" s="207" t="n"/>
      <c r="CG1252" s="208" t="n"/>
      <c r="CH1252" s="207" t="n"/>
      <c r="CI1252" s="208" t="n"/>
      <c r="CJ1252" s="204" t="n"/>
      <c r="CK1252" s="208" t="n"/>
      <c r="CL1252" s="208" t="n"/>
      <c r="CM1252" s="208" t="n"/>
      <c r="CN1252" s="78" t="n"/>
      <c r="CO1252" s="209" t="n"/>
      <c r="CP1252" s="204" t="n"/>
      <c r="CQ1252" s="204" t="n"/>
      <c r="CR1252" s="204" t="n"/>
      <c r="CS1252" s="204" t="n"/>
      <c r="CT1252" s="204" t="n"/>
      <c r="CU1252" s="204" t="n"/>
      <c r="CV1252" s="204" t="n"/>
      <c r="CW1252" s="204" t="n"/>
    </row>
    <row r="1253">
      <c r="BF1253" s="78" t="n"/>
      <c r="BG1253" s="78" t="n"/>
      <c r="BH1253" s="78" t="n"/>
      <c r="BI1253" s="78" t="n"/>
      <c r="BJ1253" s="139" t="n"/>
      <c r="BK1253" s="204" t="n"/>
      <c r="BL1253" s="141" t="n"/>
      <c r="BM1253" s="205" t="n"/>
      <c r="BN1253" s="205" t="n"/>
      <c r="BO1253" s="206" t="n"/>
      <c r="BP1253" s="144" t="n"/>
      <c r="BQ1253" s="141" t="n"/>
      <c r="BR1253" s="207" t="n"/>
      <c r="BS1253" s="207" t="n"/>
      <c r="BT1253" s="207" t="n"/>
      <c r="BU1253" s="207" t="n"/>
      <c r="BV1253" s="208" t="n"/>
      <c r="BW1253" s="207" t="n"/>
      <c r="BX1253" s="207" t="n"/>
      <c r="BY1253" s="204" t="n"/>
      <c r="BZ1253" s="148" t="n"/>
      <c r="CA1253" s="204" t="n"/>
      <c r="CB1253" s="208" t="n"/>
      <c r="CC1253" s="139" t="n"/>
      <c r="CD1253" s="204" t="n"/>
      <c r="CE1253" s="204" t="n"/>
      <c r="CF1253" s="207" t="n"/>
      <c r="CG1253" s="208" t="n"/>
      <c r="CH1253" s="207" t="n"/>
      <c r="CI1253" s="208" t="n"/>
      <c r="CJ1253" s="204" t="n"/>
      <c r="CK1253" s="208" t="n"/>
      <c r="CL1253" s="208" t="n"/>
      <c r="CM1253" s="208" t="n"/>
      <c r="CN1253" s="78" t="n"/>
      <c r="CO1253" s="209" t="n"/>
      <c r="CP1253" s="204" t="n"/>
      <c r="CQ1253" s="204" t="n"/>
      <c r="CR1253" s="204" t="n"/>
      <c r="CS1253" s="204" t="n"/>
      <c r="CT1253" s="204" t="n"/>
      <c r="CU1253" s="204" t="n"/>
      <c r="CV1253" s="204" t="n"/>
      <c r="CW1253" s="204" t="n"/>
    </row>
    <row r="1254">
      <c r="AR1254" s="151" t="n"/>
      <c r="BF1254" s="78" t="n"/>
      <c r="BG1254" s="78" t="n"/>
      <c r="BH1254" s="78" t="n"/>
      <c r="BI1254" s="78" t="n"/>
      <c r="BJ1254" s="139" t="n"/>
      <c r="BK1254" s="204" t="n"/>
      <c r="BL1254" s="141" t="n"/>
      <c r="BM1254" s="205" t="n"/>
      <c r="BN1254" s="205" t="n"/>
      <c r="BO1254" s="206" t="n"/>
      <c r="BP1254" s="144" t="n"/>
      <c r="BQ1254" s="141" t="n"/>
      <c r="BR1254" s="207" t="n"/>
      <c r="BS1254" s="207" t="n"/>
      <c r="BT1254" s="207" t="n"/>
      <c r="BU1254" s="207" t="n"/>
      <c r="BV1254" s="208" t="n"/>
      <c r="BW1254" s="207" t="n"/>
      <c r="BX1254" s="207" t="n"/>
      <c r="BY1254" s="204" t="n"/>
      <c r="BZ1254" s="148" t="n"/>
      <c r="CA1254" s="204" t="n"/>
      <c r="CB1254" s="208" t="n"/>
      <c r="CC1254" s="139" t="n"/>
      <c r="CD1254" s="204" t="n"/>
      <c r="CE1254" s="204" t="n"/>
      <c r="CF1254" s="207" t="n"/>
      <c r="CG1254" s="208" t="n"/>
      <c r="CH1254" s="207" t="n"/>
      <c r="CI1254" s="208" t="n"/>
      <c r="CJ1254" s="204" t="n"/>
      <c r="CK1254" s="208" t="n"/>
      <c r="CL1254" s="208" t="n"/>
      <c r="CM1254" s="208" t="n"/>
      <c r="CN1254" s="78" t="n"/>
      <c r="CO1254" s="209" t="n"/>
      <c r="CP1254" s="204" t="n"/>
      <c r="CQ1254" s="204" t="n"/>
      <c r="CR1254" s="204" t="n"/>
      <c r="CS1254" s="204" t="n"/>
      <c r="CT1254" s="204" t="n"/>
      <c r="CU1254" s="204" t="n"/>
      <c r="CV1254" s="204" t="n"/>
      <c r="CW1254" s="204" t="n"/>
    </row>
    <row r="1255">
      <c r="BF1255" s="78" t="n"/>
      <c r="BG1255" s="78" t="n"/>
      <c r="BH1255" s="78" t="n"/>
      <c r="BI1255" s="78" t="n"/>
      <c r="BJ1255" s="139" t="n"/>
      <c r="BK1255" s="204" t="n"/>
      <c r="BL1255" s="141" t="n"/>
      <c r="BM1255" s="205" t="n"/>
      <c r="BN1255" s="205" t="n"/>
      <c r="BO1255" s="206" t="n"/>
      <c r="BP1255" s="144" t="n"/>
      <c r="BQ1255" s="141" t="n"/>
      <c r="BR1255" s="207" t="n"/>
      <c r="BS1255" s="207" t="n"/>
      <c r="BT1255" s="207" t="n"/>
      <c r="BU1255" s="207" t="n"/>
      <c r="BV1255" s="208" t="n"/>
      <c r="BW1255" s="207" t="n"/>
      <c r="BX1255" s="207" t="n"/>
      <c r="BY1255" s="204" t="n"/>
      <c r="BZ1255" s="148" t="n"/>
      <c r="CA1255" s="204" t="n"/>
      <c r="CB1255" s="208" t="n"/>
      <c r="CC1255" s="139" t="n"/>
      <c r="CD1255" s="204" t="n"/>
      <c r="CE1255" s="204" t="n"/>
      <c r="CF1255" s="207" t="n"/>
      <c r="CG1255" s="208" t="n"/>
      <c r="CH1255" s="207" t="n"/>
      <c r="CI1255" s="208" t="n"/>
      <c r="CJ1255" s="204" t="n"/>
      <c r="CK1255" s="208" t="n"/>
      <c r="CL1255" s="208" t="n"/>
      <c r="CM1255" s="208" t="n"/>
      <c r="CN1255" s="78" t="n"/>
      <c r="CO1255" s="209" t="n"/>
      <c r="CP1255" s="204" t="n"/>
      <c r="CQ1255" s="204" t="n"/>
      <c r="CR1255" s="204" t="n"/>
      <c r="CS1255" s="204" t="n"/>
      <c r="CT1255" s="204" t="n"/>
      <c r="CU1255" s="204" t="n"/>
      <c r="CV1255" s="204" t="n"/>
      <c r="CW1255" s="204" t="n"/>
    </row>
    <row r="1256">
      <c r="BF1256" s="78" t="n"/>
      <c r="BG1256" s="78" t="n"/>
      <c r="BH1256" s="78" t="n"/>
      <c r="BI1256" s="78" t="n"/>
      <c r="BJ1256" s="139" t="n"/>
      <c r="BK1256" s="204" t="n"/>
      <c r="BL1256" s="141" t="n"/>
      <c r="BM1256" s="205" t="n"/>
      <c r="BN1256" s="205" t="n"/>
      <c r="BO1256" s="206" t="n"/>
      <c r="BP1256" s="144" t="n"/>
      <c r="BQ1256" s="141" t="n"/>
      <c r="BR1256" s="207" t="n"/>
      <c r="BS1256" s="207" t="n"/>
      <c r="BT1256" s="207" t="n"/>
      <c r="BU1256" s="207" t="n"/>
      <c r="BV1256" s="208" t="n"/>
      <c r="BW1256" s="207" t="n"/>
      <c r="BX1256" s="207" t="n"/>
      <c r="BY1256" s="204" t="n"/>
      <c r="BZ1256" s="148" t="n"/>
      <c r="CA1256" s="204" t="n"/>
      <c r="CB1256" s="208" t="n"/>
      <c r="CC1256" s="139" t="n"/>
      <c r="CD1256" s="204" t="n"/>
      <c r="CE1256" s="204" t="n"/>
      <c r="CF1256" s="207" t="n"/>
      <c r="CG1256" s="208" t="n"/>
      <c r="CH1256" s="207" t="n"/>
      <c r="CI1256" s="208" t="n"/>
      <c r="CJ1256" s="204" t="n"/>
      <c r="CK1256" s="208" t="n"/>
      <c r="CL1256" s="208" t="n"/>
      <c r="CM1256" s="208" t="n"/>
      <c r="CN1256" s="78" t="n"/>
      <c r="CO1256" s="209" t="n"/>
      <c r="CP1256" s="204" t="n"/>
      <c r="CQ1256" s="204" t="n"/>
      <c r="CR1256" s="204" t="n"/>
      <c r="CS1256" s="204" t="n"/>
      <c r="CT1256" s="204" t="n"/>
      <c r="CU1256" s="204" t="n"/>
      <c r="CV1256" s="204" t="n"/>
      <c r="CW1256" s="204" t="n"/>
    </row>
    <row r="1257">
      <c r="BF1257" s="78" t="n"/>
      <c r="BG1257" s="78" t="n"/>
      <c r="BH1257" s="78" t="n"/>
      <c r="BI1257" s="78" t="n"/>
      <c r="BJ1257" s="139" t="n"/>
      <c r="BK1257" s="204" t="n"/>
      <c r="BL1257" s="141" t="n"/>
      <c r="BM1257" s="205" t="n"/>
      <c r="BN1257" s="205" t="n"/>
      <c r="BO1257" s="206" t="n"/>
      <c r="BP1257" s="144" t="n"/>
      <c r="BQ1257" s="141" t="n"/>
      <c r="BR1257" s="207" t="n"/>
      <c r="BS1257" s="207" t="n"/>
      <c r="BT1257" s="207" t="n"/>
      <c r="BU1257" s="207" t="n"/>
      <c r="BV1257" s="208" t="n"/>
      <c r="BW1257" s="207" t="n"/>
      <c r="BX1257" s="207" t="n"/>
      <c r="BY1257" s="204" t="n"/>
      <c r="BZ1257" s="148" t="n"/>
      <c r="CA1257" s="204" t="n"/>
      <c r="CB1257" s="208" t="n"/>
      <c r="CC1257" s="139" t="n"/>
      <c r="CD1257" s="204" t="n"/>
      <c r="CE1257" s="204" t="n"/>
      <c r="CF1257" s="207" t="n"/>
      <c r="CG1257" s="208" t="n"/>
      <c r="CH1257" s="207" t="n"/>
      <c r="CI1257" s="208" t="n"/>
      <c r="CJ1257" s="204" t="n"/>
      <c r="CK1257" s="208" t="n"/>
      <c r="CL1257" s="208" t="n"/>
      <c r="CM1257" s="208" t="n"/>
      <c r="CN1257" s="78" t="n"/>
      <c r="CO1257" s="209" t="n"/>
      <c r="CP1257" s="204" t="n"/>
      <c r="CQ1257" s="204" t="n"/>
      <c r="CR1257" s="204" t="n"/>
      <c r="CS1257" s="204" t="n"/>
      <c r="CT1257" s="204" t="n"/>
      <c r="CU1257" s="204" t="n"/>
      <c r="CV1257" s="204" t="n"/>
      <c r="CW1257" s="204" t="n"/>
    </row>
    <row r="1258">
      <c r="AR1258" s="151" t="n"/>
      <c r="BF1258" s="78" t="n"/>
      <c r="BG1258" s="78" t="n"/>
      <c r="BH1258" s="78" t="n"/>
      <c r="BI1258" s="78" t="n"/>
      <c r="BJ1258" s="139" t="n"/>
      <c r="BK1258" s="204" t="n"/>
      <c r="BL1258" s="141" t="n"/>
      <c r="BM1258" s="205" t="n"/>
      <c r="BN1258" s="205" t="n"/>
      <c r="BO1258" s="206" t="n"/>
      <c r="BP1258" s="144" t="n"/>
      <c r="BQ1258" s="141" t="n"/>
      <c r="BR1258" s="207" t="n"/>
      <c r="BS1258" s="207" t="n"/>
      <c r="BT1258" s="207" t="n"/>
      <c r="BU1258" s="207" t="n"/>
      <c r="BV1258" s="208" t="n"/>
      <c r="BW1258" s="207" t="n"/>
      <c r="BX1258" s="207" t="n"/>
      <c r="BY1258" s="204" t="n"/>
      <c r="BZ1258" s="148" t="n"/>
      <c r="CA1258" s="204" t="n"/>
      <c r="CB1258" s="208" t="n"/>
      <c r="CC1258" s="139" t="n"/>
      <c r="CD1258" s="204" t="n"/>
      <c r="CE1258" s="204" t="n"/>
      <c r="CF1258" s="207" t="n"/>
      <c r="CG1258" s="208" t="n"/>
      <c r="CH1258" s="207" t="n"/>
      <c r="CI1258" s="208" t="n"/>
      <c r="CJ1258" s="204" t="n"/>
      <c r="CK1258" s="208" t="n"/>
      <c r="CL1258" s="208" t="n"/>
      <c r="CM1258" s="208" t="n"/>
      <c r="CN1258" s="78" t="n"/>
      <c r="CO1258" s="209" t="n"/>
      <c r="CP1258" s="204" t="n"/>
      <c r="CQ1258" s="204" t="n"/>
      <c r="CR1258" s="204" t="n"/>
      <c r="CS1258" s="204" t="n"/>
      <c r="CT1258" s="204" t="n"/>
      <c r="CU1258" s="204" t="n"/>
      <c r="CV1258" s="204" t="n"/>
      <c r="CW1258" s="204" t="n"/>
    </row>
    <row r="1259">
      <c r="BF1259" s="78" t="n"/>
      <c r="BG1259" s="78" t="n"/>
      <c r="BH1259" s="78" t="n"/>
      <c r="BI1259" s="78" t="n"/>
      <c r="BJ1259" s="139" t="n"/>
      <c r="BK1259" s="204" t="n"/>
      <c r="BL1259" s="141" t="n"/>
      <c r="BM1259" s="205" t="n"/>
      <c r="BN1259" s="205" t="n"/>
      <c r="BO1259" s="206" t="n"/>
      <c r="BP1259" s="144" t="n"/>
      <c r="BQ1259" s="141" t="n"/>
      <c r="BR1259" s="207" t="n"/>
      <c r="BS1259" s="207" t="n"/>
      <c r="BT1259" s="207" t="n"/>
      <c r="BU1259" s="207" t="n"/>
      <c r="BV1259" s="208" t="n"/>
      <c r="BW1259" s="207" t="n"/>
      <c r="BX1259" s="207" t="n"/>
      <c r="BY1259" s="204" t="n"/>
      <c r="BZ1259" s="148" t="n"/>
      <c r="CA1259" s="204" t="n"/>
      <c r="CB1259" s="208" t="n"/>
      <c r="CC1259" s="139" t="n"/>
      <c r="CD1259" s="204" t="n"/>
      <c r="CE1259" s="204" t="n"/>
      <c r="CF1259" s="207" t="n"/>
      <c r="CG1259" s="208" t="n"/>
      <c r="CH1259" s="207" t="n"/>
      <c r="CI1259" s="208" t="n"/>
      <c r="CJ1259" s="204" t="n"/>
      <c r="CK1259" s="208" t="n"/>
      <c r="CL1259" s="208" t="n"/>
      <c r="CM1259" s="208" t="n"/>
      <c r="CN1259" s="78" t="n"/>
      <c r="CO1259" s="209" t="n"/>
      <c r="CP1259" s="204" t="n"/>
      <c r="CQ1259" s="204" t="n"/>
      <c r="CR1259" s="204" t="n"/>
      <c r="CS1259" s="204" t="n"/>
      <c r="CT1259" s="204" t="n"/>
      <c r="CU1259" s="204" t="n"/>
      <c r="CV1259" s="204" t="n"/>
      <c r="CW1259" s="204" t="n"/>
    </row>
    <row r="1260">
      <c r="BF1260" s="78" t="n"/>
      <c r="BG1260" s="78" t="n"/>
      <c r="BH1260" s="78" t="n"/>
      <c r="BI1260" s="78" t="n"/>
      <c r="BJ1260" s="139" t="n"/>
      <c r="BK1260" s="204" t="n"/>
      <c r="BL1260" s="141" t="n"/>
      <c r="BM1260" s="205" t="n"/>
      <c r="BN1260" s="205" t="n"/>
      <c r="BO1260" s="206" t="n"/>
      <c r="BP1260" s="144" t="n"/>
      <c r="BQ1260" s="141" t="n"/>
      <c r="BR1260" s="207" t="n"/>
      <c r="BS1260" s="207" t="n"/>
      <c r="BT1260" s="207" t="n"/>
      <c r="BU1260" s="207" t="n"/>
      <c r="BV1260" s="208" t="n"/>
      <c r="BW1260" s="207" t="n"/>
      <c r="BX1260" s="207" t="n"/>
      <c r="BY1260" s="204" t="n"/>
      <c r="BZ1260" s="148" t="n"/>
      <c r="CA1260" s="204" t="n"/>
      <c r="CB1260" s="208" t="n"/>
      <c r="CC1260" s="139" t="n"/>
      <c r="CD1260" s="204" t="n"/>
      <c r="CE1260" s="204" t="n"/>
      <c r="CF1260" s="207" t="n"/>
      <c r="CG1260" s="208" t="n"/>
      <c r="CH1260" s="207" t="n"/>
      <c r="CI1260" s="208" t="n"/>
      <c r="CJ1260" s="204" t="n"/>
      <c r="CK1260" s="208" t="n"/>
      <c r="CL1260" s="208" t="n"/>
      <c r="CM1260" s="208" t="n"/>
      <c r="CN1260" s="78" t="n"/>
      <c r="CO1260" s="209" t="n"/>
      <c r="CP1260" s="204" t="n"/>
      <c r="CQ1260" s="204" t="n"/>
      <c r="CR1260" s="204" t="n"/>
      <c r="CS1260" s="204" t="n"/>
      <c r="CT1260" s="204" t="n"/>
      <c r="CU1260" s="204" t="n"/>
      <c r="CV1260" s="204" t="n"/>
      <c r="CW1260" s="204" t="n"/>
    </row>
    <row r="1261">
      <c r="BF1261" s="78" t="n"/>
      <c r="BG1261" s="78" t="n"/>
      <c r="BH1261" s="78" t="n"/>
      <c r="BI1261" s="78" t="n"/>
      <c r="BJ1261" s="139" t="n"/>
      <c r="BK1261" s="204" t="n"/>
      <c r="BL1261" s="141" t="n"/>
      <c r="BM1261" s="205" t="n"/>
      <c r="BN1261" s="205" t="n"/>
      <c r="BO1261" s="206" t="n"/>
      <c r="BP1261" s="144" t="n"/>
      <c r="BQ1261" s="141" t="n"/>
      <c r="BR1261" s="207" t="n"/>
      <c r="BS1261" s="207" t="n"/>
      <c r="BT1261" s="207" t="n"/>
      <c r="BU1261" s="207" t="n"/>
      <c r="BV1261" s="208" t="n"/>
      <c r="BW1261" s="207" t="n"/>
      <c r="BX1261" s="207" t="n"/>
      <c r="BY1261" s="204" t="n"/>
      <c r="BZ1261" s="148" t="n"/>
      <c r="CA1261" s="204" t="n"/>
      <c r="CB1261" s="208" t="n"/>
      <c r="CC1261" s="139" t="n"/>
      <c r="CD1261" s="204" t="n"/>
      <c r="CE1261" s="204" t="n"/>
      <c r="CF1261" s="207" t="n"/>
      <c r="CG1261" s="208" t="n"/>
      <c r="CH1261" s="207" t="n"/>
      <c r="CI1261" s="208" t="n"/>
      <c r="CJ1261" s="204" t="n"/>
      <c r="CK1261" s="208" t="n"/>
      <c r="CL1261" s="208" t="n"/>
      <c r="CM1261" s="208" t="n"/>
      <c r="CN1261" s="78" t="n"/>
      <c r="CO1261" s="209" t="n"/>
      <c r="CP1261" s="204" t="n"/>
      <c r="CQ1261" s="204" t="n"/>
      <c r="CR1261" s="204" t="n"/>
      <c r="CS1261" s="204" t="n"/>
      <c r="CT1261" s="204" t="n"/>
      <c r="CU1261" s="204" t="n"/>
      <c r="CV1261" s="204" t="n"/>
      <c r="CW1261" s="204" t="n"/>
    </row>
    <row r="1262">
      <c r="BF1262" s="78" t="n"/>
      <c r="BG1262" s="78" t="n"/>
      <c r="BH1262" s="78" t="n"/>
      <c r="BI1262" s="78" t="n"/>
      <c r="BJ1262" s="139" t="n"/>
      <c r="BK1262" s="204" t="n"/>
      <c r="BL1262" s="141" t="n"/>
      <c r="BM1262" s="205" t="n"/>
      <c r="BN1262" s="205" t="n"/>
      <c r="BO1262" s="206" t="n"/>
      <c r="BP1262" s="144" t="n"/>
      <c r="BQ1262" s="141" t="n"/>
      <c r="BR1262" s="207" t="n"/>
      <c r="BS1262" s="207" t="n"/>
      <c r="BT1262" s="207" t="n"/>
      <c r="BU1262" s="207" t="n"/>
      <c r="BV1262" s="208" t="n"/>
      <c r="BW1262" s="207" t="n"/>
      <c r="BX1262" s="207" t="n"/>
      <c r="BY1262" s="204" t="n"/>
      <c r="BZ1262" s="148" t="n"/>
      <c r="CA1262" s="204" t="n"/>
      <c r="CB1262" s="208" t="n"/>
      <c r="CC1262" s="139" t="n"/>
      <c r="CD1262" s="204" t="n"/>
      <c r="CE1262" s="204" t="n"/>
      <c r="CF1262" s="207" t="n"/>
      <c r="CG1262" s="208" t="n"/>
      <c r="CH1262" s="207" t="n"/>
      <c r="CI1262" s="208" t="n"/>
      <c r="CJ1262" s="204" t="n"/>
      <c r="CK1262" s="208" t="n"/>
      <c r="CL1262" s="208" t="n"/>
      <c r="CM1262" s="208" t="n"/>
      <c r="CN1262" s="78" t="n"/>
      <c r="CO1262" s="209" t="n"/>
      <c r="CP1262" s="204" t="n"/>
      <c r="CQ1262" s="204" t="n"/>
      <c r="CR1262" s="204" t="n"/>
      <c r="CS1262" s="204" t="n"/>
      <c r="CT1262" s="204" t="n"/>
      <c r="CU1262" s="204" t="n"/>
      <c r="CV1262" s="204" t="n"/>
      <c r="CW1262" s="204" t="n"/>
    </row>
    <row r="1263">
      <c r="BF1263" s="78" t="n"/>
      <c r="BG1263" s="78" t="n"/>
      <c r="BH1263" s="78" t="n"/>
      <c r="BI1263" s="78" t="n"/>
      <c r="BJ1263" s="139" t="n"/>
      <c r="BK1263" s="204" t="n"/>
      <c r="BL1263" s="141" t="n"/>
      <c r="BM1263" s="205" t="n"/>
      <c r="BN1263" s="205" t="n"/>
      <c r="BO1263" s="206" t="n"/>
      <c r="BP1263" s="144" t="n"/>
      <c r="BQ1263" s="141" t="n"/>
      <c r="BR1263" s="207" t="n"/>
      <c r="BS1263" s="207" t="n"/>
      <c r="BT1263" s="207" t="n"/>
      <c r="BU1263" s="207" t="n"/>
      <c r="BV1263" s="208" t="n"/>
      <c r="BW1263" s="207" t="n"/>
      <c r="BX1263" s="207" t="n"/>
      <c r="BY1263" s="204" t="n"/>
      <c r="BZ1263" s="148" t="n"/>
      <c r="CA1263" s="204" t="n"/>
      <c r="CB1263" s="208" t="n"/>
      <c r="CC1263" s="139" t="n"/>
      <c r="CD1263" s="204" t="n"/>
      <c r="CE1263" s="204" t="n"/>
      <c r="CF1263" s="207" t="n"/>
      <c r="CG1263" s="208" t="n"/>
      <c r="CH1263" s="207" t="n"/>
      <c r="CI1263" s="208" t="n"/>
      <c r="CJ1263" s="204" t="n"/>
      <c r="CK1263" s="208" t="n"/>
      <c r="CL1263" s="208" t="n"/>
      <c r="CM1263" s="208" t="n"/>
      <c r="CN1263" s="78" t="n"/>
      <c r="CO1263" s="209" t="n"/>
      <c r="CP1263" s="204" t="n"/>
      <c r="CQ1263" s="204" t="n"/>
      <c r="CR1263" s="204" t="n"/>
      <c r="CS1263" s="204" t="n"/>
      <c r="CT1263" s="204" t="n"/>
      <c r="CU1263" s="204" t="n"/>
      <c r="CV1263" s="204" t="n"/>
      <c r="CW1263" s="204" t="n"/>
    </row>
    <row r="1264">
      <c r="BF1264" s="78" t="n"/>
      <c r="BG1264" s="78" t="n"/>
      <c r="BH1264" s="78" t="n"/>
      <c r="BI1264" s="78" t="n"/>
      <c r="BJ1264" s="139" t="n"/>
      <c r="BK1264" s="204" t="n"/>
      <c r="BL1264" s="141" t="n"/>
      <c r="BM1264" s="205" t="n"/>
      <c r="BN1264" s="205" t="n"/>
      <c r="BO1264" s="206" t="n"/>
      <c r="BP1264" s="144" t="n"/>
      <c r="BQ1264" s="141" t="n"/>
      <c r="BR1264" s="207" t="n"/>
      <c r="BS1264" s="207" t="n"/>
      <c r="BT1264" s="207" t="n"/>
      <c r="BU1264" s="207" t="n"/>
      <c r="BV1264" s="208" t="n"/>
      <c r="BW1264" s="207" t="n"/>
      <c r="BX1264" s="207" t="n"/>
      <c r="BY1264" s="204" t="n"/>
      <c r="BZ1264" s="148" t="n"/>
      <c r="CA1264" s="204" t="n"/>
      <c r="CB1264" s="208" t="n"/>
      <c r="CC1264" s="139" t="n"/>
      <c r="CD1264" s="204" t="n"/>
      <c r="CE1264" s="204" t="n"/>
      <c r="CF1264" s="207" t="n"/>
      <c r="CG1264" s="208" t="n"/>
      <c r="CH1264" s="207" t="n"/>
      <c r="CI1264" s="208" t="n"/>
      <c r="CJ1264" s="204" t="n"/>
      <c r="CK1264" s="208" t="n"/>
      <c r="CL1264" s="208" t="n"/>
      <c r="CM1264" s="208" t="n"/>
      <c r="CN1264" s="78" t="n"/>
      <c r="CO1264" s="209" t="n"/>
      <c r="CP1264" s="204" t="n"/>
      <c r="CQ1264" s="204" t="n"/>
      <c r="CR1264" s="204" t="n"/>
      <c r="CS1264" s="204" t="n"/>
      <c r="CT1264" s="204" t="n"/>
      <c r="CU1264" s="204" t="n"/>
      <c r="CV1264" s="204" t="n"/>
      <c r="CW1264" s="204" t="n"/>
    </row>
    <row r="1265">
      <c r="BF1265" s="78" t="n"/>
      <c r="BG1265" s="78" t="n"/>
      <c r="BH1265" s="78" t="n"/>
      <c r="BI1265" s="78" t="n"/>
      <c r="BJ1265" s="139" t="n"/>
      <c r="BK1265" s="204" t="n"/>
      <c r="BL1265" s="141" t="n"/>
      <c r="BM1265" s="205" t="n"/>
      <c r="BN1265" s="205" t="n"/>
      <c r="BO1265" s="206" t="n"/>
      <c r="BP1265" s="144" t="n"/>
      <c r="BQ1265" s="141" t="n"/>
      <c r="BR1265" s="207" t="n"/>
      <c r="BS1265" s="207" t="n"/>
      <c r="BT1265" s="207" t="n"/>
      <c r="BU1265" s="207" t="n"/>
      <c r="BV1265" s="208" t="n"/>
      <c r="BW1265" s="207" t="n"/>
      <c r="BX1265" s="207" t="n"/>
      <c r="BY1265" s="204" t="n"/>
      <c r="BZ1265" s="148" t="n"/>
      <c r="CA1265" s="204" t="n"/>
      <c r="CB1265" s="208" t="n"/>
      <c r="CC1265" s="139" t="n"/>
      <c r="CD1265" s="204" t="n"/>
      <c r="CE1265" s="204" t="n"/>
      <c r="CF1265" s="207" t="n"/>
      <c r="CG1265" s="208" t="n"/>
      <c r="CH1265" s="207" t="n"/>
      <c r="CI1265" s="208" t="n"/>
      <c r="CJ1265" s="204" t="n"/>
      <c r="CK1265" s="208" t="n"/>
      <c r="CL1265" s="208" t="n"/>
      <c r="CM1265" s="208" t="n"/>
      <c r="CN1265" s="78" t="n"/>
      <c r="CO1265" s="209" t="n"/>
      <c r="CP1265" s="204" t="n"/>
      <c r="CQ1265" s="204" t="n"/>
      <c r="CR1265" s="204" t="n"/>
      <c r="CS1265" s="204" t="n"/>
      <c r="CT1265" s="204" t="n"/>
      <c r="CU1265" s="204" t="n"/>
      <c r="CV1265" s="204" t="n"/>
      <c r="CW1265" s="204" t="n"/>
    </row>
    <row r="1266">
      <c r="BF1266" s="78" t="n"/>
      <c r="BG1266" s="78" t="n"/>
      <c r="BH1266" s="78" t="n"/>
      <c r="BI1266" s="78" t="n"/>
      <c r="BJ1266" s="139" t="n"/>
      <c r="BK1266" s="204" t="n"/>
      <c r="BL1266" s="141" t="n"/>
      <c r="BM1266" s="205" t="n"/>
      <c r="BN1266" s="205" t="n"/>
      <c r="BO1266" s="206" t="n"/>
      <c r="BP1266" s="144" t="n"/>
      <c r="BQ1266" s="141" t="n"/>
      <c r="BR1266" s="207" t="n"/>
      <c r="BS1266" s="207" t="n"/>
      <c r="BT1266" s="207" t="n"/>
      <c r="BU1266" s="207" t="n"/>
      <c r="BV1266" s="208" t="n"/>
      <c r="BW1266" s="207" t="n"/>
      <c r="BX1266" s="207" t="n"/>
      <c r="BY1266" s="204" t="n"/>
      <c r="BZ1266" s="148" t="n"/>
      <c r="CA1266" s="204" t="n"/>
      <c r="CB1266" s="208" t="n"/>
      <c r="CC1266" s="139" t="n"/>
      <c r="CD1266" s="204" t="n"/>
      <c r="CE1266" s="204" t="n"/>
      <c r="CF1266" s="207" t="n"/>
      <c r="CG1266" s="208" t="n"/>
      <c r="CH1266" s="207" t="n"/>
      <c r="CI1266" s="208" t="n"/>
      <c r="CJ1266" s="204" t="n"/>
      <c r="CK1266" s="208" t="n"/>
      <c r="CL1266" s="208" t="n"/>
      <c r="CM1266" s="208" t="n"/>
      <c r="CN1266" s="78" t="n"/>
      <c r="CO1266" s="209" t="n"/>
      <c r="CP1266" s="204" t="n"/>
      <c r="CQ1266" s="204" t="n"/>
      <c r="CR1266" s="204" t="n"/>
      <c r="CS1266" s="204" t="n"/>
      <c r="CT1266" s="204" t="n"/>
      <c r="CU1266" s="204" t="n"/>
      <c r="CV1266" s="204" t="n"/>
      <c r="CW1266" s="204" t="n"/>
    </row>
    <row r="1267">
      <c r="BF1267" s="78" t="n"/>
      <c r="BG1267" s="78" t="n"/>
      <c r="BH1267" s="78" t="n"/>
      <c r="BI1267" s="78" t="n"/>
      <c r="BJ1267" s="139" t="n"/>
      <c r="BK1267" s="204" t="n"/>
      <c r="BL1267" s="141" t="n"/>
      <c r="BM1267" s="205" t="n"/>
      <c r="BN1267" s="205" t="n"/>
      <c r="BO1267" s="206" t="n"/>
      <c r="BP1267" s="144" t="n"/>
      <c r="BQ1267" s="141" t="n"/>
      <c r="BR1267" s="207" t="n"/>
      <c r="BS1267" s="207" t="n"/>
      <c r="BT1267" s="207" t="n"/>
      <c r="BU1267" s="207" t="n"/>
      <c r="BV1267" s="208" t="n"/>
      <c r="BW1267" s="207" t="n"/>
      <c r="BX1267" s="207" t="n"/>
      <c r="BY1267" s="204" t="n"/>
      <c r="BZ1267" s="148" t="n"/>
      <c r="CA1267" s="204" t="n"/>
      <c r="CB1267" s="208" t="n"/>
      <c r="CC1267" s="139" t="n"/>
      <c r="CD1267" s="204" t="n"/>
      <c r="CE1267" s="204" t="n"/>
      <c r="CF1267" s="207" t="n"/>
      <c r="CG1267" s="208" t="n"/>
      <c r="CH1267" s="207" t="n"/>
      <c r="CI1267" s="208" t="n"/>
      <c r="CJ1267" s="204" t="n"/>
      <c r="CK1267" s="208" t="n"/>
      <c r="CL1267" s="208" t="n"/>
      <c r="CM1267" s="208" t="n"/>
      <c r="CN1267" s="78" t="n"/>
      <c r="CO1267" s="209" t="n"/>
      <c r="CP1267" s="204" t="n"/>
      <c r="CQ1267" s="204" t="n"/>
      <c r="CR1267" s="204" t="n"/>
      <c r="CS1267" s="204" t="n"/>
      <c r="CT1267" s="204" t="n"/>
      <c r="CU1267" s="204" t="n"/>
      <c r="CV1267" s="204" t="n"/>
      <c r="CW1267" s="204" t="n"/>
    </row>
    <row r="1268">
      <c r="BF1268" s="78" t="n"/>
      <c r="BG1268" s="78" t="n"/>
      <c r="BH1268" s="78" t="n"/>
      <c r="BI1268" s="78" t="n"/>
      <c r="BJ1268" s="139" t="n"/>
      <c r="BK1268" s="204" t="n"/>
      <c r="BL1268" s="141" t="n"/>
      <c r="BM1268" s="205" t="n"/>
      <c r="BN1268" s="205" t="n"/>
      <c r="BO1268" s="206" t="n"/>
      <c r="BP1268" s="144" t="n"/>
      <c r="BQ1268" s="141" t="n"/>
      <c r="BR1268" s="207" t="n"/>
      <c r="BS1268" s="207" t="n"/>
      <c r="BT1268" s="207" t="n"/>
      <c r="BU1268" s="207" t="n"/>
      <c r="BV1268" s="208" t="n"/>
      <c r="BW1268" s="207" t="n"/>
      <c r="BX1268" s="207" t="n"/>
      <c r="BY1268" s="204" t="n"/>
      <c r="BZ1268" s="148" t="n"/>
      <c r="CA1268" s="204" t="n"/>
      <c r="CB1268" s="208" t="n"/>
      <c r="CC1268" s="139" t="n"/>
      <c r="CD1268" s="204" t="n"/>
      <c r="CE1268" s="204" t="n"/>
      <c r="CF1268" s="207" t="n"/>
      <c r="CG1268" s="208" t="n"/>
      <c r="CH1268" s="207" t="n"/>
      <c r="CI1268" s="208" t="n"/>
      <c r="CJ1268" s="204" t="n"/>
      <c r="CK1268" s="208" t="n"/>
      <c r="CL1268" s="208" t="n"/>
      <c r="CM1268" s="208" t="n"/>
      <c r="CN1268" s="78" t="n"/>
      <c r="CO1268" s="209" t="n"/>
      <c r="CP1268" s="204" t="n"/>
      <c r="CQ1268" s="204" t="n"/>
      <c r="CR1268" s="204" t="n"/>
      <c r="CS1268" s="204" t="n"/>
      <c r="CT1268" s="204" t="n"/>
      <c r="CU1268" s="204" t="n"/>
      <c r="CV1268" s="204" t="n"/>
      <c r="CW1268" s="204" t="n"/>
    </row>
    <row r="1269">
      <c r="BF1269" s="78" t="n"/>
      <c r="BG1269" s="78" t="n"/>
      <c r="BH1269" s="78" t="n"/>
      <c r="BI1269" s="78" t="n"/>
      <c r="BJ1269" s="139" t="n"/>
      <c r="BK1269" s="204" t="n"/>
      <c r="BL1269" s="141" t="n"/>
      <c r="BM1269" s="205" t="n"/>
      <c r="BN1269" s="205" t="n"/>
      <c r="BO1269" s="206" t="n"/>
      <c r="BP1269" s="144" t="n"/>
      <c r="BQ1269" s="141" t="n"/>
      <c r="BR1269" s="207" t="n"/>
      <c r="BS1269" s="207" t="n"/>
      <c r="BT1269" s="207" t="n"/>
      <c r="BU1269" s="207" t="n"/>
      <c r="BV1269" s="208" t="n"/>
      <c r="BW1269" s="207" t="n"/>
      <c r="BX1269" s="207" t="n"/>
      <c r="BY1269" s="204" t="n"/>
      <c r="BZ1269" s="148" t="n"/>
      <c r="CA1269" s="204" t="n"/>
      <c r="CB1269" s="208" t="n"/>
      <c r="CC1269" s="139" t="n"/>
      <c r="CD1269" s="204" t="n"/>
      <c r="CE1269" s="204" t="n"/>
      <c r="CF1269" s="207" t="n"/>
      <c r="CG1269" s="208" t="n"/>
      <c r="CH1269" s="207" t="n"/>
      <c r="CI1269" s="208" t="n"/>
      <c r="CJ1269" s="204" t="n"/>
      <c r="CK1269" s="208" t="n"/>
      <c r="CL1269" s="208" t="n"/>
      <c r="CM1269" s="208" t="n"/>
      <c r="CN1269" s="78" t="n"/>
      <c r="CO1269" s="209" t="n"/>
      <c r="CP1269" s="204" t="n"/>
      <c r="CQ1269" s="204" t="n"/>
      <c r="CR1269" s="204" t="n"/>
      <c r="CS1269" s="204" t="n"/>
      <c r="CT1269" s="204" t="n"/>
      <c r="CU1269" s="204" t="n"/>
      <c r="CV1269" s="204" t="n"/>
      <c r="CW1269" s="204" t="n"/>
    </row>
    <row r="1270">
      <c r="BF1270" s="78" t="n"/>
      <c r="BG1270" s="78" t="n"/>
      <c r="BH1270" s="78" t="n"/>
      <c r="BI1270" s="78" t="n"/>
      <c r="BJ1270" s="139" t="n"/>
      <c r="BK1270" s="204" t="n"/>
      <c r="BL1270" s="141" t="n"/>
      <c r="BM1270" s="205" t="n"/>
      <c r="BN1270" s="205" t="n"/>
      <c r="BO1270" s="206" t="n"/>
      <c r="BP1270" s="144" t="n"/>
      <c r="BQ1270" s="141" t="n"/>
      <c r="BR1270" s="207" t="n"/>
      <c r="BS1270" s="207" t="n"/>
      <c r="BT1270" s="207" t="n"/>
      <c r="BU1270" s="207" t="n"/>
      <c r="BV1270" s="208" t="n"/>
      <c r="BW1270" s="207" t="n"/>
      <c r="BX1270" s="207" t="n"/>
      <c r="BY1270" s="204" t="n"/>
      <c r="BZ1270" s="148" t="n"/>
      <c r="CA1270" s="204" t="n"/>
      <c r="CB1270" s="208" t="n"/>
      <c r="CC1270" s="139" t="n"/>
      <c r="CD1270" s="204" t="n"/>
      <c r="CE1270" s="204" t="n"/>
      <c r="CF1270" s="207" t="n"/>
      <c r="CG1270" s="208" t="n"/>
      <c r="CH1270" s="207" t="n"/>
      <c r="CI1270" s="208" t="n"/>
      <c r="CJ1270" s="204" t="n"/>
      <c r="CK1270" s="208" t="n"/>
      <c r="CL1270" s="208" t="n"/>
      <c r="CM1270" s="208" t="n"/>
      <c r="CN1270" s="78" t="n"/>
      <c r="CO1270" s="209" t="n"/>
      <c r="CP1270" s="204" t="n"/>
      <c r="CQ1270" s="204" t="n"/>
      <c r="CR1270" s="204" t="n"/>
      <c r="CS1270" s="204" t="n"/>
      <c r="CT1270" s="204" t="n"/>
      <c r="CU1270" s="204" t="n"/>
      <c r="CV1270" s="204" t="n"/>
      <c r="CW1270" s="204" t="n"/>
    </row>
    <row r="1271">
      <c r="BF1271" s="78" t="n"/>
      <c r="BG1271" s="78" t="n"/>
      <c r="BH1271" s="78" t="n"/>
      <c r="BI1271" s="78" t="n"/>
      <c r="BJ1271" s="139" t="n"/>
      <c r="BK1271" s="204" t="n"/>
      <c r="BL1271" s="141" t="n"/>
      <c r="BM1271" s="205" t="n"/>
      <c r="BN1271" s="205" t="n"/>
      <c r="BO1271" s="206" t="n"/>
      <c r="BP1271" s="144" t="n"/>
      <c r="BQ1271" s="141" t="n"/>
      <c r="BR1271" s="207" t="n"/>
      <c r="BS1271" s="207" t="n"/>
      <c r="BT1271" s="207" t="n"/>
      <c r="BU1271" s="207" t="n"/>
      <c r="BV1271" s="208" t="n"/>
      <c r="BW1271" s="207" t="n"/>
      <c r="BX1271" s="207" t="n"/>
      <c r="BY1271" s="204" t="n"/>
      <c r="BZ1271" s="148" t="n"/>
      <c r="CA1271" s="204" t="n"/>
      <c r="CB1271" s="208" t="n"/>
      <c r="CC1271" s="139" t="n"/>
      <c r="CD1271" s="204" t="n"/>
      <c r="CE1271" s="204" t="n"/>
      <c r="CF1271" s="207" t="n"/>
      <c r="CG1271" s="208" t="n"/>
      <c r="CH1271" s="207" t="n"/>
      <c r="CI1271" s="208" t="n"/>
      <c r="CJ1271" s="204" t="n"/>
      <c r="CK1271" s="208" t="n"/>
      <c r="CL1271" s="208" t="n"/>
      <c r="CM1271" s="208" t="n"/>
      <c r="CN1271" s="78" t="n"/>
      <c r="CO1271" s="209" t="n"/>
      <c r="CP1271" s="204" t="n"/>
      <c r="CQ1271" s="204" t="n"/>
      <c r="CR1271" s="204" t="n"/>
      <c r="CS1271" s="204" t="n"/>
      <c r="CT1271" s="204" t="n"/>
      <c r="CU1271" s="204" t="n"/>
      <c r="CV1271" s="204" t="n"/>
      <c r="CW1271" s="204" t="n"/>
    </row>
    <row r="1272">
      <c r="BF1272" s="78" t="n"/>
      <c r="BG1272" s="78" t="n"/>
      <c r="BH1272" s="78" t="n"/>
      <c r="BI1272" s="78" t="n"/>
      <c r="BJ1272" s="139" t="n"/>
      <c r="BK1272" s="204" t="n"/>
      <c r="BL1272" s="141" t="n"/>
      <c r="BM1272" s="205" t="n"/>
      <c r="BN1272" s="205" t="n"/>
      <c r="BO1272" s="206" t="n"/>
      <c r="BP1272" s="144" t="n"/>
      <c r="BQ1272" s="141" t="n"/>
      <c r="BR1272" s="207" t="n"/>
      <c r="BS1272" s="207" t="n"/>
      <c r="BT1272" s="207" t="n"/>
      <c r="BU1272" s="207" t="n"/>
      <c r="BV1272" s="208" t="n"/>
      <c r="BW1272" s="207" t="n"/>
      <c r="BX1272" s="207" t="n"/>
      <c r="BY1272" s="204" t="n"/>
      <c r="BZ1272" s="148" t="n"/>
      <c r="CA1272" s="204" t="n"/>
      <c r="CB1272" s="208" t="n"/>
      <c r="CC1272" s="139" t="n"/>
      <c r="CD1272" s="204" t="n"/>
      <c r="CE1272" s="204" t="n"/>
      <c r="CF1272" s="207" t="n"/>
      <c r="CG1272" s="208" t="n"/>
      <c r="CH1272" s="207" t="n"/>
      <c r="CI1272" s="208" t="n"/>
      <c r="CJ1272" s="204" t="n"/>
      <c r="CK1272" s="208" t="n"/>
      <c r="CL1272" s="208" t="n"/>
      <c r="CM1272" s="208" t="n"/>
      <c r="CN1272" s="78" t="n"/>
      <c r="CO1272" s="209" t="n"/>
      <c r="CP1272" s="204" t="n"/>
      <c r="CQ1272" s="204" t="n"/>
      <c r="CR1272" s="204" t="n"/>
      <c r="CS1272" s="204" t="n"/>
      <c r="CT1272" s="204" t="n"/>
      <c r="CU1272" s="204" t="n"/>
      <c r="CV1272" s="204" t="n"/>
      <c r="CW1272" s="204" t="n"/>
    </row>
    <row r="1273">
      <c r="BF1273" s="78" t="n"/>
      <c r="BG1273" s="78" t="n"/>
      <c r="BH1273" s="78" t="n"/>
      <c r="BI1273" s="78" t="n"/>
      <c r="BJ1273" s="139" t="n"/>
      <c r="BK1273" s="204" t="n"/>
      <c r="BL1273" s="141" t="n"/>
      <c r="BM1273" s="205" t="n"/>
      <c r="BN1273" s="205" t="n"/>
      <c r="BO1273" s="206" t="n"/>
      <c r="BP1273" s="144" t="n"/>
      <c r="BQ1273" s="141" t="n"/>
      <c r="BR1273" s="207" t="n"/>
      <c r="BS1273" s="207" t="n"/>
      <c r="BT1273" s="207" t="n"/>
      <c r="BU1273" s="207" t="n"/>
      <c r="BV1273" s="208" t="n"/>
      <c r="BW1273" s="207" t="n"/>
      <c r="BX1273" s="207" t="n"/>
      <c r="BY1273" s="204" t="n"/>
      <c r="BZ1273" s="148" t="n"/>
      <c r="CA1273" s="204" t="n"/>
      <c r="CB1273" s="208" t="n"/>
      <c r="CC1273" s="139" t="n"/>
      <c r="CD1273" s="204" t="n"/>
      <c r="CE1273" s="204" t="n"/>
      <c r="CF1273" s="207" t="n"/>
      <c r="CG1273" s="208" t="n"/>
      <c r="CH1273" s="207" t="n"/>
      <c r="CI1273" s="208" t="n"/>
      <c r="CJ1273" s="204" t="n"/>
      <c r="CK1273" s="208" t="n"/>
      <c r="CL1273" s="208" t="n"/>
      <c r="CM1273" s="208" t="n"/>
      <c r="CN1273" s="78" t="n"/>
      <c r="CO1273" s="209" t="n"/>
      <c r="CP1273" s="204" t="n"/>
      <c r="CQ1273" s="204" t="n"/>
      <c r="CR1273" s="204" t="n"/>
      <c r="CS1273" s="204" t="n"/>
      <c r="CT1273" s="204" t="n"/>
      <c r="CU1273" s="204" t="n"/>
      <c r="CV1273" s="204" t="n"/>
      <c r="CW1273" s="204" t="n"/>
    </row>
    <row r="1274">
      <c r="BF1274" s="78" t="n"/>
      <c r="BG1274" s="78" t="n"/>
      <c r="BH1274" s="78" t="n"/>
      <c r="BI1274" s="78" t="n"/>
      <c r="BJ1274" s="139" t="n"/>
      <c r="BK1274" s="204" t="n"/>
      <c r="BL1274" s="141" t="n"/>
      <c r="BM1274" s="205" t="n"/>
      <c r="BN1274" s="205" t="n"/>
      <c r="BO1274" s="206" t="n"/>
      <c r="BP1274" s="144" t="n"/>
      <c r="BQ1274" s="141" t="n"/>
      <c r="BR1274" s="207" t="n"/>
      <c r="BS1274" s="207" t="n"/>
      <c r="BT1274" s="207" t="n"/>
      <c r="BU1274" s="207" t="n"/>
      <c r="BV1274" s="208" t="n"/>
      <c r="BW1274" s="207" t="n"/>
      <c r="BX1274" s="207" t="n"/>
      <c r="BY1274" s="204" t="n"/>
      <c r="BZ1274" s="148" t="n"/>
      <c r="CA1274" s="204" t="n"/>
      <c r="CB1274" s="208" t="n"/>
      <c r="CC1274" s="139" t="n"/>
      <c r="CD1274" s="204" t="n"/>
      <c r="CE1274" s="204" t="n"/>
      <c r="CF1274" s="207" t="n"/>
      <c r="CG1274" s="208" t="n"/>
      <c r="CH1274" s="207" t="n"/>
      <c r="CI1274" s="208" t="n"/>
      <c r="CJ1274" s="204" t="n"/>
      <c r="CK1274" s="208" t="n"/>
      <c r="CL1274" s="208" t="n"/>
      <c r="CM1274" s="208" t="n"/>
      <c r="CN1274" s="78" t="n"/>
      <c r="CO1274" s="209" t="n"/>
      <c r="CP1274" s="204" t="n"/>
      <c r="CQ1274" s="204" t="n"/>
      <c r="CR1274" s="204" t="n"/>
      <c r="CS1274" s="204" t="n"/>
      <c r="CT1274" s="204" t="n"/>
      <c r="CU1274" s="204" t="n"/>
      <c r="CV1274" s="204" t="n"/>
      <c r="CW1274" s="204" t="n"/>
    </row>
    <row r="1275">
      <c r="BF1275" s="78" t="n"/>
      <c r="BG1275" s="78" t="n"/>
      <c r="BH1275" s="78" t="n"/>
      <c r="BI1275" s="78" t="n"/>
      <c r="BJ1275" s="139" t="n"/>
      <c r="BK1275" s="204" t="n"/>
      <c r="BL1275" s="141" t="n"/>
      <c r="BM1275" s="205" t="n"/>
      <c r="BN1275" s="205" t="n"/>
      <c r="BO1275" s="206" t="n"/>
      <c r="BP1275" s="144" t="n"/>
      <c r="BQ1275" s="141" t="n"/>
      <c r="BR1275" s="207" t="n"/>
      <c r="BS1275" s="207" t="n"/>
      <c r="BT1275" s="207" t="n"/>
      <c r="BU1275" s="207" t="n"/>
      <c r="BV1275" s="208" t="n"/>
      <c r="BW1275" s="207" t="n"/>
      <c r="BX1275" s="207" t="n"/>
      <c r="BY1275" s="204" t="n"/>
      <c r="BZ1275" s="148" t="n"/>
      <c r="CA1275" s="204" t="n"/>
      <c r="CB1275" s="208" t="n"/>
      <c r="CC1275" s="139" t="n"/>
      <c r="CD1275" s="204" t="n"/>
      <c r="CE1275" s="204" t="n"/>
      <c r="CF1275" s="207" t="n"/>
      <c r="CG1275" s="208" t="n"/>
      <c r="CH1275" s="207" t="n"/>
      <c r="CI1275" s="208" t="n"/>
      <c r="CJ1275" s="204" t="n"/>
      <c r="CK1275" s="208" t="n"/>
      <c r="CL1275" s="208" t="n"/>
      <c r="CM1275" s="208" t="n"/>
      <c r="CN1275" s="78" t="n"/>
      <c r="CO1275" s="209" t="n"/>
      <c r="CP1275" s="204" t="n"/>
      <c r="CQ1275" s="204" t="n"/>
      <c r="CR1275" s="204" t="n"/>
      <c r="CS1275" s="204" t="n"/>
      <c r="CT1275" s="204" t="n"/>
      <c r="CU1275" s="204" t="n"/>
      <c r="CV1275" s="204" t="n"/>
      <c r="CW1275" s="204" t="n"/>
    </row>
    <row r="1276">
      <c r="BF1276" s="78" t="n"/>
      <c r="BG1276" s="78" t="n"/>
      <c r="BH1276" s="78" t="n"/>
      <c r="BI1276" s="78" t="n"/>
      <c r="BJ1276" s="139" t="n"/>
      <c r="BK1276" s="204" t="n"/>
      <c r="BL1276" s="141" t="n"/>
      <c r="BM1276" s="205" t="n"/>
      <c r="BN1276" s="205" t="n"/>
      <c r="BO1276" s="206" t="n"/>
      <c r="BP1276" s="144" t="n"/>
      <c r="BQ1276" s="141" t="n"/>
      <c r="BR1276" s="207" t="n"/>
      <c r="BS1276" s="207" t="n"/>
      <c r="BT1276" s="207" t="n"/>
      <c r="BU1276" s="207" t="n"/>
      <c r="BV1276" s="208" t="n"/>
      <c r="BW1276" s="207" t="n"/>
      <c r="BX1276" s="207" t="n"/>
      <c r="BY1276" s="204" t="n"/>
      <c r="BZ1276" s="148" t="n"/>
      <c r="CA1276" s="204" t="n"/>
      <c r="CB1276" s="208" t="n"/>
      <c r="CC1276" s="139" t="n"/>
      <c r="CD1276" s="204" t="n"/>
      <c r="CE1276" s="204" t="n"/>
      <c r="CF1276" s="207" t="n"/>
      <c r="CG1276" s="208" t="n"/>
      <c r="CH1276" s="207" t="n"/>
      <c r="CI1276" s="208" t="n"/>
      <c r="CJ1276" s="204" t="n"/>
      <c r="CK1276" s="208" t="n"/>
      <c r="CL1276" s="208" t="n"/>
      <c r="CM1276" s="208" t="n"/>
      <c r="CN1276" s="78" t="n"/>
      <c r="CO1276" s="209" t="n"/>
      <c r="CP1276" s="204" t="n"/>
      <c r="CQ1276" s="204" t="n"/>
      <c r="CR1276" s="204" t="n"/>
      <c r="CS1276" s="204" t="n"/>
      <c r="CT1276" s="204" t="n"/>
      <c r="CU1276" s="204" t="n"/>
      <c r="CV1276" s="204" t="n"/>
      <c r="CW1276" s="204" t="n"/>
    </row>
    <row r="1277">
      <c r="BF1277" s="78" t="n"/>
      <c r="BG1277" s="78" t="n"/>
      <c r="BH1277" s="78" t="n"/>
      <c r="BI1277" s="78" t="n"/>
      <c r="BJ1277" s="139" t="n"/>
      <c r="BK1277" s="204" t="n"/>
      <c r="BL1277" s="141" t="n"/>
      <c r="BM1277" s="205" t="n"/>
      <c r="BN1277" s="205" t="n"/>
      <c r="BO1277" s="206" t="n"/>
      <c r="BP1277" s="144" t="n"/>
      <c r="BQ1277" s="141" t="n"/>
      <c r="BR1277" s="207" t="n"/>
      <c r="BS1277" s="207" t="n"/>
      <c r="BT1277" s="207" t="n"/>
      <c r="BU1277" s="207" t="n"/>
      <c r="BV1277" s="208" t="n"/>
      <c r="BW1277" s="207" t="n"/>
      <c r="BX1277" s="207" t="n"/>
      <c r="BY1277" s="204" t="n"/>
      <c r="BZ1277" s="148" t="n"/>
      <c r="CA1277" s="204" t="n"/>
      <c r="CB1277" s="208" t="n"/>
      <c r="CC1277" s="139" t="n"/>
      <c r="CD1277" s="204" t="n"/>
      <c r="CE1277" s="204" t="n"/>
      <c r="CF1277" s="207" t="n"/>
      <c r="CG1277" s="208" t="n"/>
      <c r="CH1277" s="207" t="n"/>
      <c r="CI1277" s="208" t="n"/>
      <c r="CJ1277" s="204" t="n"/>
      <c r="CK1277" s="208" t="n"/>
      <c r="CL1277" s="208" t="n"/>
      <c r="CM1277" s="208" t="n"/>
      <c r="CN1277" s="78" t="n"/>
      <c r="CO1277" s="209" t="n"/>
      <c r="CP1277" s="204" t="n"/>
      <c r="CQ1277" s="204" t="n"/>
      <c r="CR1277" s="204" t="n"/>
      <c r="CS1277" s="204" t="n"/>
      <c r="CT1277" s="204" t="n"/>
      <c r="CU1277" s="204" t="n"/>
      <c r="CV1277" s="204" t="n"/>
      <c r="CW1277" s="204" t="n"/>
    </row>
    <row r="1278">
      <c r="BF1278" s="78" t="n"/>
      <c r="BG1278" s="78" t="n"/>
      <c r="BH1278" s="78" t="n"/>
      <c r="BI1278" s="78" t="n"/>
      <c r="BJ1278" s="139" t="n"/>
      <c r="BK1278" s="204" t="n"/>
      <c r="BL1278" s="141" t="n"/>
      <c r="BM1278" s="205" t="n"/>
      <c r="BN1278" s="205" t="n"/>
      <c r="BO1278" s="206" t="n"/>
      <c r="BP1278" s="144" t="n"/>
      <c r="BQ1278" s="141" t="n"/>
      <c r="BR1278" s="207" t="n"/>
      <c r="BS1278" s="207" t="n"/>
      <c r="BT1278" s="207" t="n"/>
      <c r="BU1278" s="207" t="n"/>
      <c r="BV1278" s="208" t="n"/>
      <c r="BW1278" s="207" t="n"/>
      <c r="BX1278" s="207" t="n"/>
      <c r="BY1278" s="204" t="n"/>
      <c r="BZ1278" s="148" t="n"/>
      <c r="CA1278" s="204" t="n"/>
      <c r="CB1278" s="208" t="n"/>
      <c r="CC1278" s="139" t="n"/>
      <c r="CD1278" s="204" t="n"/>
      <c r="CE1278" s="204" t="n"/>
      <c r="CF1278" s="207" t="n"/>
      <c r="CG1278" s="208" t="n"/>
      <c r="CH1278" s="207" t="n"/>
      <c r="CI1278" s="208" t="n"/>
      <c r="CJ1278" s="204" t="n"/>
      <c r="CK1278" s="208" t="n"/>
      <c r="CL1278" s="208" t="n"/>
      <c r="CM1278" s="208" t="n"/>
      <c r="CN1278" s="78" t="n"/>
      <c r="CO1278" s="209" t="n"/>
      <c r="CP1278" s="204" t="n"/>
      <c r="CQ1278" s="204" t="n"/>
      <c r="CR1278" s="204" t="n"/>
      <c r="CS1278" s="204" t="n"/>
      <c r="CT1278" s="204" t="n"/>
      <c r="CU1278" s="204" t="n"/>
      <c r="CV1278" s="204" t="n"/>
      <c r="CW1278" s="204" t="n"/>
    </row>
    <row r="1279">
      <c r="BF1279" s="78" t="n"/>
      <c r="BG1279" s="78" t="n"/>
      <c r="BH1279" s="78" t="n"/>
      <c r="BI1279" s="78" t="n"/>
      <c r="BJ1279" s="139" t="n"/>
      <c r="BK1279" s="204" t="n"/>
      <c r="BL1279" s="141" t="n"/>
      <c r="BM1279" s="205" t="n"/>
      <c r="BN1279" s="205" t="n"/>
      <c r="BO1279" s="206" t="n"/>
      <c r="BP1279" s="144" t="n"/>
      <c r="BQ1279" s="141" t="n"/>
      <c r="BR1279" s="207" t="n"/>
      <c r="BS1279" s="207" t="n"/>
      <c r="BT1279" s="207" t="n"/>
      <c r="BU1279" s="207" t="n"/>
      <c r="BV1279" s="208" t="n"/>
      <c r="BW1279" s="207" t="n"/>
      <c r="BX1279" s="207" t="n"/>
      <c r="BY1279" s="204" t="n"/>
      <c r="BZ1279" s="148" t="n"/>
      <c r="CA1279" s="204" t="n"/>
      <c r="CB1279" s="208" t="n"/>
      <c r="CC1279" s="139" t="n"/>
      <c r="CD1279" s="204" t="n"/>
      <c r="CE1279" s="204" t="n"/>
      <c r="CF1279" s="207" t="n"/>
      <c r="CG1279" s="208" t="n"/>
      <c r="CH1279" s="207" t="n"/>
      <c r="CI1279" s="208" t="n"/>
      <c r="CJ1279" s="204" t="n"/>
      <c r="CK1279" s="208" t="n"/>
      <c r="CL1279" s="208" t="n"/>
      <c r="CM1279" s="208" t="n"/>
      <c r="CN1279" s="78" t="n"/>
      <c r="CO1279" s="209" t="n"/>
      <c r="CP1279" s="204" t="n"/>
      <c r="CQ1279" s="204" t="n"/>
      <c r="CR1279" s="204" t="n"/>
      <c r="CS1279" s="204" t="n"/>
      <c r="CT1279" s="204" t="n"/>
      <c r="CU1279" s="204" t="n"/>
      <c r="CV1279" s="204" t="n"/>
      <c r="CW1279" s="204" t="n"/>
    </row>
    <row r="1280">
      <c r="BF1280" s="78" t="n"/>
      <c r="BG1280" s="78" t="n"/>
      <c r="BH1280" s="78" t="n"/>
      <c r="BI1280" s="78" t="n"/>
      <c r="BJ1280" s="139" t="n"/>
      <c r="BK1280" s="204" t="n"/>
      <c r="BL1280" s="141" t="n"/>
      <c r="BM1280" s="205" t="n"/>
      <c r="BN1280" s="205" t="n"/>
      <c r="BO1280" s="206" t="n"/>
      <c r="BP1280" s="144" t="n"/>
      <c r="BQ1280" s="141" t="n"/>
      <c r="BR1280" s="207" t="n"/>
      <c r="BS1280" s="207" t="n"/>
      <c r="BT1280" s="207" t="n"/>
      <c r="BU1280" s="207" t="n"/>
      <c r="BV1280" s="208" t="n"/>
      <c r="BW1280" s="207" t="n"/>
      <c r="BX1280" s="207" t="n"/>
      <c r="BY1280" s="204" t="n"/>
      <c r="BZ1280" s="148" t="n"/>
      <c r="CA1280" s="204" t="n"/>
      <c r="CB1280" s="208" t="n"/>
      <c r="CC1280" s="139" t="n"/>
      <c r="CD1280" s="204" t="n"/>
      <c r="CE1280" s="204" t="n"/>
      <c r="CF1280" s="207" t="n"/>
      <c r="CG1280" s="208" t="n"/>
      <c r="CH1280" s="207" t="n"/>
      <c r="CI1280" s="208" t="n"/>
      <c r="CJ1280" s="204" t="n"/>
      <c r="CK1280" s="208" t="n"/>
      <c r="CL1280" s="208" t="n"/>
      <c r="CM1280" s="208" t="n"/>
      <c r="CN1280" s="78" t="n"/>
      <c r="CO1280" s="209" t="n"/>
      <c r="CP1280" s="204" t="n"/>
      <c r="CQ1280" s="204" t="n"/>
      <c r="CR1280" s="204" t="n"/>
      <c r="CS1280" s="204" t="n"/>
      <c r="CT1280" s="204" t="n"/>
      <c r="CU1280" s="204" t="n"/>
      <c r="CV1280" s="204" t="n"/>
      <c r="CW1280" s="204" t="n"/>
    </row>
    <row r="1281">
      <c r="BF1281" s="78" t="n"/>
      <c r="BG1281" s="78" t="n"/>
      <c r="BH1281" s="78" t="n"/>
      <c r="BI1281" s="78" t="n"/>
      <c r="BJ1281" s="139" t="n"/>
      <c r="BK1281" s="204" t="n"/>
      <c r="BL1281" s="141" t="n"/>
      <c r="BM1281" s="205" t="n"/>
      <c r="BN1281" s="205" t="n"/>
      <c r="BO1281" s="206" t="n"/>
      <c r="BP1281" s="144" t="n"/>
      <c r="BQ1281" s="141" t="n"/>
      <c r="BR1281" s="207" t="n"/>
      <c r="BS1281" s="207" t="n"/>
      <c r="BT1281" s="207" t="n"/>
      <c r="BU1281" s="207" t="n"/>
      <c r="BV1281" s="208" t="n"/>
      <c r="BW1281" s="207" t="n"/>
      <c r="BX1281" s="207" t="n"/>
      <c r="BY1281" s="204" t="n"/>
      <c r="BZ1281" s="148" t="n"/>
      <c r="CA1281" s="204" t="n"/>
      <c r="CB1281" s="208" t="n"/>
      <c r="CC1281" s="139" t="n"/>
      <c r="CD1281" s="204" t="n"/>
      <c r="CE1281" s="204" t="n"/>
      <c r="CF1281" s="207" t="n"/>
      <c r="CG1281" s="208" t="n"/>
      <c r="CH1281" s="207" t="n"/>
      <c r="CI1281" s="208" t="n"/>
      <c r="CJ1281" s="204" t="n"/>
      <c r="CK1281" s="208" t="n"/>
      <c r="CL1281" s="208" t="n"/>
      <c r="CM1281" s="208" t="n"/>
      <c r="CN1281" s="78" t="n"/>
      <c r="CO1281" s="209" t="n"/>
      <c r="CP1281" s="204" t="n"/>
      <c r="CQ1281" s="204" t="n"/>
      <c r="CR1281" s="204" t="n"/>
      <c r="CS1281" s="204" t="n"/>
      <c r="CT1281" s="204" t="n"/>
      <c r="CU1281" s="204" t="n"/>
      <c r="CV1281" s="204" t="n"/>
      <c r="CW1281" s="204" t="n"/>
    </row>
    <row r="1282">
      <c r="BF1282" s="78" t="n"/>
      <c r="BG1282" s="78" t="n"/>
      <c r="BH1282" s="78" t="n"/>
      <c r="BI1282" s="78" t="n"/>
      <c r="BJ1282" s="139" t="n"/>
      <c r="BK1282" s="204" t="n"/>
      <c r="BL1282" s="141" t="n"/>
      <c r="BM1282" s="205" t="n"/>
      <c r="BN1282" s="205" t="n"/>
      <c r="BO1282" s="206" t="n"/>
      <c r="BP1282" s="144" t="n"/>
      <c r="BQ1282" s="141" t="n"/>
      <c r="BR1282" s="207" t="n"/>
      <c r="BS1282" s="207" t="n"/>
      <c r="BT1282" s="207" t="n"/>
      <c r="BU1282" s="207" t="n"/>
      <c r="BV1282" s="208" t="n"/>
      <c r="BW1282" s="207" t="n"/>
      <c r="BX1282" s="207" t="n"/>
      <c r="BY1282" s="204" t="n"/>
      <c r="BZ1282" s="148" t="n"/>
      <c r="CA1282" s="204" t="n"/>
      <c r="CB1282" s="208" t="n"/>
      <c r="CC1282" s="139" t="n"/>
      <c r="CD1282" s="204" t="n"/>
      <c r="CE1282" s="204" t="n"/>
      <c r="CF1282" s="207" t="n"/>
      <c r="CG1282" s="208" t="n"/>
      <c r="CH1282" s="207" t="n"/>
      <c r="CI1282" s="208" t="n"/>
      <c r="CJ1282" s="204" t="n"/>
      <c r="CK1282" s="208" t="n"/>
      <c r="CL1282" s="208" t="n"/>
      <c r="CM1282" s="208" t="n"/>
      <c r="CN1282" s="78" t="n"/>
      <c r="CO1282" s="209" t="n"/>
      <c r="CP1282" s="204" t="n"/>
      <c r="CQ1282" s="204" t="n"/>
      <c r="CR1282" s="204" t="n"/>
      <c r="CS1282" s="204" t="n"/>
      <c r="CT1282" s="204" t="n"/>
      <c r="CU1282" s="204" t="n"/>
      <c r="CV1282" s="204" t="n"/>
      <c r="CW1282" s="204" t="n"/>
    </row>
    <row r="1283">
      <c r="BF1283" s="78" t="n"/>
      <c r="BG1283" s="78" t="n"/>
      <c r="BH1283" s="78" t="n"/>
      <c r="BI1283" s="78" t="n"/>
      <c r="BJ1283" s="139" t="n"/>
      <c r="BK1283" s="204" t="n"/>
      <c r="BL1283" s="141" t="n"/>
      <c r="BM1283" s="205" t="n"/>
      <c r="BN1283" s="205" t="n"/>
      <c r="BO1283" s="206" t="n"/>
      <c r="BP1283" s="144" t="n"/>
      <c r="BQ1283" s="141" t="n"/>
      <c r="BR1283" s="207" t="n"/>
      <c r="BS1283" s="207" t="n"/>
      <c r="BT1283" s="207" t="n"/>
      <c r="BU1283" s="207" t="n"/>
      <c r="BV1283" s="208" t="n"/>
      <c r="BW1283" s="207" t="n"/>
      <c r="BX1283" s="207" t="n"/>
      <c r="BY1283" s="204" t="n"/>
      <c r="BZ1283" s="148" t="n"/>
      <c r="CA1283" s="204" t="n"/>
      <c r="CB1283" s="208" t="n"/>
      <c r="CC1283" s="139" t="n"/>
      <c r="CD1283" s="204" t="n"/>
      <c r="CE1283" s="204" t="n"/>
      <c r="CF1283" s="207" t="n"/>
      <c r="CG1283" s="208" t="n"/>
      <c r="CH1283" s="207" t="n"/>
      <c r="CI1283" s="208" t="n"/>
      <c r="CJ1283" s="204" t="n"/>
      <c r="CK1283" s="208" t="n"/>
      <c r="CL1283" s="208" t="n"/>
      <c r="CM1283" s="208" t="n"/>
      <c r="CN1283" s="78" t="n"/>
      <c r="CO1283" s="209" t="n"/>
      <c r="CP1283" s="204" t="n"/>
      <c r="CQ1283" s="204" t="n"/>
      <c r="CR1283" s="204" t="n"/>
      <c r="CS1283" s="204" t="n"/>
      <c r="CT1283" s="204" t="n"/>
      <c r="CU1283" s="204" t="n"/>
      <c r="CV1283" s="204" t="n"/>
      <c r="CW1283" s="204" t="n"/>
    </row>
    <row r="1284">
      <c r="BF1284" s="78" t="n"/>
      <c r="BG1284" s="78" t="n"/>
      <c r="BH1284" s="78" t="n"/>
      <c r="BI1284" s="78" t="n"/>
      <c r="BJ1284" s="139" t="n"/>
      <c r="BK1284" s="204" t="n"/>
      <c r="BL1284" s="141" t="n"/>
      <c r="BM1284" s="205" t="n"/>
      <c r="BN1284" s="205" t="n"/>
      <c r="BO1284" s="206" t="n"/>
      <c r="BP1284" s="144" t="n"/>
      <c r="BQ1284" s="141" t="n"/>
      <c r="BR1284" s="207" t="n"/>
      <c r="BS1284" s="207" t="n"/>
      <c r="BT1284" s="207" t="n"/>
      <c r="BU1284" s="207" t="n"/>
      <c r="BV1284" s="208" t="n"/>
      <c r="BW1284" s="207" t="n"/>
      <c r="BX1284" s="207" t="n"/>
      <c r="BY1284" s="204" t="n"/>
      <c r="BZ1284" s="148" t="n"/>
      <c r="CA1284" s="204" t="n"/>
      <c r="CB1284" s="208" t="n"/>
      <c r="CC1284" s="139" t="n"/>
      <c r="CD1284" s="204" t="n"/>
      <c r="CE1284" s="204" t="n"/>
      <c r="CF1284" s="207" t="n"/>
      <c r="CG1284" s="208" t="n"/>
      <c r="CH1284" s="207" t="n"/>
      <c r="CI1284" s="208" t="n"/>
      <c r="CJ1284" s="204" t="n"/>
      <c r="CK1284" s="208" t="n"/>
      <c r="CL1284" s="208" t="n"/>
      <c r="CM1284" s="208" t="n"/>
      <c r="CN1284" s="78" t="n"/>
      <c r="CO1284" s="209" t="n"/>
      <c r="CP1284" s="204" t="n"/>
      <c r="CQ1284" s="204" t="n"/>
      <c r="CR1284" s="204" t="n"/>
      <c r="CS1284" s="204" t="n"/>
      <c r="CT1284" s="204" t="n"/>
      <c r="CU1284" s="204" t="n"/>
      <c r="CV1284" s="204" t="n"/>
      <c r="CW1284" s="204" t="n"/>
    </row>
    <row r="1285">
      <c r="BF1285" s="78" t="n"/>
      <c r="BG1285" s="78" t="n"/>
      <c r="BH1285" s="78" t="n"/>
      <c r="BI1285" s="78" t="n"/>
      <c r="BJ1285" s="139" t="n"/>
      <c r="BK1285" s="204" t="n"/>
      <c r="BL1285" s="141" t="n"/>
      <c r="BM1285" s="205" t="n"/>
      <c r="BN1285" s="205" t="n"/>
      <c r="BO1285" s="206" t="n"/>
      <c r="BP1285" s="144" t="n"/>
      <c r="BQ1285" s="141" t="n"/>
      <c r="BR1285" s="207" t="n"/>
      <c r="BS1285" s="207" t="n"/>
      <c r="BT1285" s="207" t="n"/>
      <c r="BU1285" s="207" t="n"/>
      <c r="BV1285" s="208" t="n"/>
      <c r="BW1285" s="207" t="n"/>
      <c r="BX1285" s="207" t="n"/>
      <c r="BY1285" s="204" t="n"/>
      <c r="BZ1285" s="148" t="n"/>
      <c r="CA1285" s="204" t="n"/>
      <c r="CB1285" s="208" t="n"/>
      <c r="CC1285" s="139" t="n"/>
      <c r="CD1285" s="204" t="n"/>
      <c r="CE1285" s="204" t="n"/>
      <c r="CF1285" s="207" t="n"/>
      <c r="CG1285" s="208" t="n"/>
      <c r="CH1285" s="207" t="n"/>
      <c r="CI1285" s="208" t="n"/>
      <c r="CJ1285" s="204" t="n"/>
      <c r="CK1285" s="208" t="n"/>
      <c r="CL1285" s="208" t="n"/>
      <c r="CM1285" s="208" t="n"/>
      <c r="CN1285" s="78" t="n"/>
      <c r="CO1285" s="209" t="n"/>
      <c r="CP1285" s="204" t="n"/>
      <c r="CQ1285" s="204" t="n"/>
      <c r="CR1285" s="204" t="n"/>
      <c r="CS1285" s="204" t="n"/>
      <c r="CT1285" s="204" t="n"/>
      <c r="CU1285" s="204" t="n"/>
      <c r="CV1285" s="204" t="n"/>
      <c r="CW1285" s="204" t="n"/>
    </row>
    <row r="1286">
      <c r="BF1286" s="78" t="n"/>
      <c r="BG1286" s="78" t="n"/>
      <c r="BH1286" s="78" t="n"/>
      <c r="BI1286" s="78" t="n"/>
      <c r="BJ1286" s="139" t="n"/>
      <c r="BK1286" s="204" t="n"/>
      <c r="BL1286" s="141" t="n"/>
      <c r="BM1286" s="205" t="n"/>
      <c r="BN1286" s="205" t="n"/>
      <c r="BO1286" s="206" t="n"/>
      <c r="BP1286" s="144" t="n"/>
      <c r="BQ1286" s="141" t="n"/>
      <c r="BR1286" s="207" t="n"/>
      <c r="BS1286" s="207" t="n"/>
      <c r="BT1286" s="207" t="n"/>
      <c r="BU1286" s="207" t="n"/>
      <c r="BV1286" s="208" t="n"/>
      <c r="BW1286" s="207" t="n"/>
      <c r="BX1286" s="207" t="n"/>
      <c r="BY1286" s="204" t="n"/>
      <c r="BZ1286" s="148" t="n"/>
      <c r="CA1286" s="204" t="n"/>
      <c r="CB1286" s="208" t="n"/>
      <c r="CC1286" s="139" t="n"/>
      <c r="CD1286" s="204" t="n"/>
      <c r="CE1286" s="204" t="n"/>
      <c r="CF1286" s="207" t="n"/>
      <c r="CG1286" s="208" t="n"/>
      <c r="CH1286" s="207" t="n"/>
      <c r="CI1286" s="208" t="n"/>
      <c r="CJ1286" s="204" t="n"/>
      <c r="CK1286" s="208" t="n"/>
      <c r="CL1286" s="208" t="n"/>
      <c r="CM1286" s="208" t="n"/>
      <c r="CN1286" s="78" t="n"/>
      <c r="CO1286" s="209" t="n"/>
      <c r="CP1286" s="204" t="n"/>
      <c r="CQ1286" s="204" t="n"/>
      <c r="CR1286" s="204" t="n"/>
      <c r="CS1286" s="204" t="n"/>
      <c r="CT1286" s="204" t="n"/>
      <c r="CU1286" s="204" t="n"/>
      <c r="CV1286" s="204" t="n"/>
      <c r="CW1286" s="204" t="n"/>
    </row>
    <row r="1287">
      <c r="BF1287" s="78" t="n"/>
      <c r="BG1287" s="78" t="n"/>
      <c r="BH1287" s="78" t="n"/>
      <c r="BI1287" s="78" t="n"/>
      <c r="BJ1287" s="139" t="n"/>
      <c r="BK1287" s="204" t="n"/>
      <c r="BL1287" s="141" t="n"/>
      <c r="BM1287" s="205" t="n"/>
      <c r="BN1287" s="205" t="n"/>
      <c r="BO1287" s="206" t="n"/>
      <c r="BP1287" s="144" t="n"/>
      <c r="BQ1287" s="141" t="n"/>
      <c r="BR1287" s="207" t="n"/>
      <c r="BS1287" s="207" t="n"/>
      <c r="BT1287" s="207" t="n"/>
      <c r="BU1287" s="207" t="n"/>
      <c r="BV1287" s="208" t="n"/>
      <c r="BW1287" s="207" t="n"/>
      <c r="BX1287" s="207" t="n"/>
      <c r="BY1287" s="204" t="n"/>
      <c r="BZ1287" s="148" t="n"/>
      <c r="CA1287" s="204" t="n"/>
      <c r="CB1287" s="208" t="n"/>
      <c r="CC1287" s="139" t="n"/>
      <c r="CD1287" s="204" t="n"/>
      <c r="CE1287" s="204" t="n"/>
      <c r="CF1287" s="207" t="n"/>
      <c r="CG1287" s="208" t="n"/>
      <c r="CH1287" s="207" t="n"/>
      <c r="CI1287" s="208" t="n"/>
      <c r="CJ1287" s="204" t="n"/>
      <c r="CK1287" s="208" t="n"/>
      <c r="CL1287" s="208" t="n"/>
      <c r="CM1287" s="208" t="n"/>
      <c r="CN1287" s="78" t="n"/>
      <c r="CO1287" s="209" t="n"/>
      <c r="CP1287" s="204" t="n"/>
      <c r="CQ1287" s="204" t="n"/>
      <c r="CR1287" s="204" t="n"/>
      <c r="CS1287" s="204" t="n"/>
      <c r="CT1287" s="204" t="n"/>
      <c r="CU1287" s="204" t="n"/>
      <c r="CV1287" s="204" t="n"/>
      <c r="CW1287" s="204" t="n"/>
    </row>
    <row r="1288">
      <c r="BF1288" s="78" t="n"/>
      <c r="BG1288" s="78" t="n"/>
      <c r="BH1288" s="78" t="n"/>
      <c r="BI1288" s="78" t="n"/>
      <c r="BJ1288" s="139" t="n"/>
      <c r="BK1288" s="204" t="n"/>
      <c r="BL1288" s="141" t="n"/>
      <c r="BM1288" s="205" t="n"/>
      <c r="BN1288" s="205" t="n"/>
      <c r="BO1288" s="206" t="n"/>
      <c r="BP1288" s="144" t="n"/>
      <c r="BQ1288" s="141" t="n"/>
      <c r="BR1288" s="207" t="n"/>
      <c r="BS1288" s="207" t="n"/>
      <c r="BT1288" s="207" t="n"/>
      <c r="BU1288" s="207" t="n"/>
      <c r="BV1288" s="208" t="n"/>
      <c r="BW1288" s="207" t="n"/>
      <c r="BX1288" s="207" t="n"/>
      <c r="BY1288" s="204" t="n"/>
      <c r="BZ1288" s="148" t="n"/>
      <c r="CA1288" s="204" t="n"/>
      <c r="CB1288" s="208" t="n"/>
      <c r="CC1288" s="139" t="n"/>
      <c r="CD1288" s="204" t="n"/>
      <c r="CE1288" s="204" t="n"/>
      <c r="CF1288" s="207" t="n"/>
      <c r="CG1288" s="208" t="n"/>
      <c r="CH1288" s="207" t="n"/>
      <c r="CI1288" s="208" t="n"/>
      <c r="CJ1288" s="204" t="n"/>
      <c r="CK1288" s="208" t="n"/>
      <c r="CL1288" s="208" t="n"/>
      <c r="CM1288" s="208" t="n"/>
      <c r="CN1288" s="78" t="n"/>
      <c r="CO1288" s="209" t="n"/>
      <c r="CP1288" s="204" t="n"/>
      <c r="CQ1288" s="204" t="n"/>
      <c r="CR1288" s="204" t="n"/>
      <c r="CS1288" s="204" t="n"/>
      <c r="CT1288" s="204" t="n"/>
      <c r="CU1288" s="204" t="n"/>
      <c r="CV1288" s="204" t="n"/>
      <c r="CW1288" s="204" t="n"/>
    </row>
    <row r="1289">
      <c r="BF1289" s="78" t="n"/>
      <c r="BG1289" s="78" t="n"/>
      <c r="BH1289" s="78" t="n"/>
      <c r="BI1289" s="78" t="n"/>
      <c r="BJ1289" s="139" t="n"/>
      <c r="BK1289" s="204" t="n"/>
      <c r="BL1289" s="141" t="n"/>
      <c r="BM1289" s="205" t="n"/>
      <c r="BN1289" s="205" t="n"/>
      <c r="BO1289" s="206" t="n"/>
      <c r="BP1289" s="144" t="n"/>
      <c r="BQ1289" s="141" t="n"/>
      <c r="BR1289" s="207" t="n"/>
      <c r="BS1289" s="207" t="n"/>
      <c r="BT1289" s="207" t="n"/>
      <c r="BU1289" s="207" t="n"/>
      <c r="BV1289" s="208" t="n"/>
      <c r="BW1289" s="207" t="n"/>
      <c r="BX1289" s="207" t="n"/>
      <c r="BY1289" s="204" t="n"/>
      <c r="BZ1289" s="148" t="n"/>
      <c r="CA1289" s="204" t="n"/>
      <c r="CB1289" s="208" t="n"/>
      <c r="CC1289" s="139" t="n"/>
      <c r="CD1289" s="204" t="n"/>
      <c r="CE1289" s="204" t="n"/>
      <c r="CF1289" s="207" t="n"/>
      <c r="CG1289" s="208" t="n"/>
      <c r="CH1289" s="207" t="n"/>
      <c r="CI1289" s="208" t="n"/>
      <c r="CJ1289" s="204" t="n"/>
      <c r="CK1289" s="208" t="n"/>
      <c r="CL1289" s="208" t="n"/>
      <c r="CM1289" s="208" t="n"/>
      <c r="CN1289" s="78" t="n"/>
      <c r="CO1289" s="209" t="n"/>
      <c r="CP1289" s="204" t="n"/>
      <c r="CQ1289" s="204" t="n"/>
      <c r="CR1289" s="204" t="n"/>
      <c r="CS1289" s="204" t="n"/>
      <c r="CT1289" s="204" t="n"/>
      <c r="CU1289" s="204" t="n"/>
      <c r="CV1289" s="204" t="n"/>
      <c r="CW1289" s="204" t="n"/>
    </row>
    <row r="1290">
      <c r="BF1290" s="78" t="n"/>
      <c r="BG1290" s="78" t="n"/>
      <c r="BH1290" s="78" t="n"/>
      <c r="BI1290" s="78" t="n"/>
      <c r="BJ1290" s="139" t="n"/>
      <c r="BK1290" s="204" t="n"/>
      <c r="BL1290" s="141" t="n"/>
      <c r="BM1290" s="205" t="n"/>
      <c r="BN1290" s="205" t="n"/>
      <c r="BO1290" s="206" t="n"/>
      <c r="BP1290" s="144" t="n"/>
      <c r="BQ1290" s="141" t="n"/>
      <c r="BR1290" s="207" t="n"/>
      <c r="BS1290" s="207" t="n"/>
      <c r="BT1290" s="207" t="n"/>
      <c r="BU1290" s="207" t="n"/>
      <c r="BV1290" s="208" t="n"/>
      <c r="BW1290" s="207" t="n"/>
      <c r="BX1290" s="207" t="n"/>
      <c r="BY1290" s="204" t="n"/>
      <c r="BZ1290" s="148" t="n"/>
      <c r="CA1290" s="204" t="n"/>
      <c r="CB1290" s="208" t="n"/>
      <c r="CC1290" s="139" t="n"/>
      <c r="CD1290" s="204" t="n"/>
      <c r="CE1290" s="204" t="n"/>
      <c r="CF1290" s="207" t="n"/>
      <c r="CG1290" s="208" t="n"/>
      <c r="CH1290" s="207" t="n"/>
      <c r="CI1290" s="208" t="n"/>
      <c r="CJ1290" s="204" t="n"/>
      <c r="CK1290" s="208" t="n"/>
      <c r="CL1290" s="208" t="n"/>
      <c r="CM1290" s="208" t="n"/>
      <c r="CN1290" s="78" t="n"/>
      <c r="CO1290" s="209" t="n"/>
      <c r="CP1290" s="204" t="n"/>
      <c r="CQ1290" s="204" t="n"/>
      <c r="CR1290" s="204" t="n"/>
      <c r="CS1290" s="204" t="n"/>
      <c r="CT1290" s="204" t="n"/>
      <c r="CU1290" s="204" t="n"/>
      <c r="CV1290" s="204" t="n"/>
      <c r="CW1290" s="204" t="n"/>
    </row>
    <row r="1291">
      <c r="BF1291" s="78" t="n"/>
      <c r="BG1291" s="78" t="n"/>
      <c r="BH1291" s="78" t="n"/>
      <c r="BI1291" s="78" t="n"/>
      <c r="BJ1291" s="139" t="n"/>
      <c r="BK1291" s="204" t="n"/>
      <c r="BL1291" s="141" t="n"/>
      <c r="BM1291" s="205" t="n"/>
      <c r="BN1291" s="205" t="n"/>
      <c r="BO1291" s="206" t="n"/>
      <c r="BP1291" s="144" t="n"/>
      <c r="BQ1291" s="141" t="n"/>
      <c r="BR1291" s="207" t="n"/>
      <c r="BS1291" s="207" t="n"/>
      <c r="BT1291" s="207" t="n"/>
      <c r="BU1291" s="207" t="n"/>
      <c r="BV1291" s="208" t="n"/>
      <c r="BW1291" s="207" t="n"/>
      <c r="BX1291" s="207" t="n"/>
      <c r="BY1291" s="204" t="n"/>
      <c r="BZ1291" s="148" t="n"/>
      <c r="CA1291" s="204" t="n"/>
      <c r="CB1291" s="208" t="n"/>
      <c r="CC1291" s="139" t="n"/>
      <c r="CD1291" s="204" t="n"/>
      <c r="CE1291" s="204" t="n"/>
      <c r="CF1291" s="207" t="n"/>
      <c r="CG1291" s="208" t="n"/>
      <c r="CH1291" s="207" t="n"/>
      <c r="CI1291" s="208" t="n"/>
      <c r="CJ1291" s="204" t="n"/>
      <c r="CK1291" s="208" t="n"/>
      <c r="CL1291" s="208" t="n"/>
      <c r="CM1291" s="208" t="n"/>
      <c r="CN1291" s="78" t="n"/>
      <c r="CO1291" s="209" t="n"/>
      <c r="CP1291" s="204" t="n"/>
      <c r="CQ1291" s="204" t="n"/>
      <c r="CR1291" s="204" t="n"/>
      <c r="CS1291" s="204" t="n"/>
      <c r="CT1291" s="204" t="n"/>
      <c r="CU1291" s="204" t="n"/>
      <c r="CV1291" s="204" t="n"/>
      <c r="CW1291" s="204" t="n"/>
    </row>
    <row r="1292">
      <c r="BF1292" s="78" t="n"/>
      <c r="BG1292" s="78" t="n"/>
      <c r="BH1292" s="78" t="n"/>
      <c r="BI1292" s="78" t="n"/>
      <c r="BJ1292" s="139" t="n"/>
      <c r="BK1292" s="204" t="n"/>
      <c r="BL1292" s="141" t="n"/>
      <c r="BM1292" s="205" t="n"/>
      <c r="BN1292" s="205" t="n"/>
      <c r="BO1292" s="206" t="n"/>
      <c r="BP1292" s="144" t="n"/>
      <c r="BQ1292" s="141" t="n"/>
      <c r="BR1292" s="207" t="n"/>
      <c r="BS1292" s="207" t="n"/>
      <c r="BT1292" s="207" t="n"/>
      <c r="BU1292" s="207" t="n"/>
      <c r="BV1292" s="208" t="n"/>
      <c r="BW1292" s="207" t="n"/>
      <c r="BX1292" s="207" t="n"/>
      <c r="BY1292" s="204" t="n"/>
      <c r="BZ1292" s="148" t="n"/>
      <c r="CA1292" s="204" t="n"/>
      <c r="CB1292" s="208" t="n"/>
      <c r="CC1292" s="139" t="n"/>
      <c r="CD1292" s="204" t="n"/>
      <c r="CE1292" s="204" t="n"/>
      <c r="CF1292" s="207" t="n"/>
      <c r="CG1292" s="208" t="n"/>
      <c r="CH1292" s="207" t="n"/>
      <c r="CI1292" s="208" t="n"/>
      <c r="CJ1292" s="204" t="n"/>
      <c r="CK1292" s="208" t="n"/>
      <c r="CL1292" s="208" t="n"/>
      <c r="CM1292" s="208" t="n"/>
      <c r="CN1292" s="78" t="n"/>
      <c r="CO1292" s="209" t="n"/>
      <c r="CP1292" s="204" t="n"/>
      <c r="CQ1292" s="204" t="n"/>
      <c r="CR1292" s="204" t="n"/>
      <c r="CS1292" s="204" t="n"/>
      <c r="CT1292" s="204" t="n"/>
      <c r="CU1292" s="204" t="n"/>
      <c r="CV1292" s="204" t="n"/>
      <c r="CW1292" s="204" t="n"/>
    </row>
    <row r="1293">
      <c r="BF1293" s="78" t="n"/>
      <c r="BG1293" s="78" t="n"/>
      <c r="BH1293" s="78" t="n"/>
      <c r="BI1293" s="78" t="n"/>
      <c r="BJ1293" s="139" t="n"/>
      <c r="BK1293" s="204" t="n"/>
      <c r="BL1293" s="141" t="n"/>
      <c r="BM1293" s="205" t="n"/>
      <c r="BN1293" s="205" t="n"/>
      <c r="BO1293" s="206" t="n"/>
      <c r="BP1293" s="144" t="n"/>
      <c r="BQ1293" s="141" t="n"/>
      <c r="BR1293" s="207" t="n"/>
      <c r="BS1293" s="207" t="n"/>
      <c r="BT1293" s="207" t="n"/>
      <c r="BU1293" s="207" t="n"/>
      <c r="BV1293" s="208" t="n"/>
      <c r="BW1293" s="207" t="n"/>
      <c r="BX1293" s="207" t="n"/>
      <c r="BY1293" s="204" t="n"/>
      <c r="BZ1293" s="148" t="n"/>
      <c r="CA1293" s="204" t="n"/>
      <c r="CB1293" s="208" t="n"/>
      <c r="CC1293" s="139" t="n"/>
      <c r="CD1293" s="204" t="n"/>
      <c r="CE1293" s="204" t="n"/>
      <c r="CF1293" s="207" t="n"/>
      <c r="CG1293" s="208" t="n"/>
      <c r="CH1293" s="207" t="n"/>
      <c r="CI1293" s="208" t="n"/>
      <c r="CJ1293" s="204" t="n"/>
      <c r="CK1293" s="208" t="n"/>
      <c r="CL1293" s="208" t="n"/>
      <c r="CM1293" s="208" t="n"/>
      <c r="CN1293" s="78" t="n"/>
      <c r="CO1293" s="209" t="n"/>
      <c r="CP1293" s="204" t="n"/>
      <c r="CQ1293" s="204" t="n"/>
      <c r="CR1293" s="204" t="n"/>
      <c r="CS1293" s="204" t="n"/>
      <c r="CT1293" s="204" t="n"/>
      <c r="CU1293" s="204" t="n"/>
      <c r="CV1293" s="204" t="n"/>
      <c r="CW1293" s="204" t="n"/>
    </row>
    <row r="1294">
      <c r="BF1294" s="78" t="n"/>
      <c r="BG1294" s="78" t="n"/>
      <c r="BH1294" s="78" t="n"/>
      <c r="BI1294" s="78" t="n"/>
      <c r="BJ1294" s="139" t="n"/>
      <c r="BK1294" s="204" t="n"/>
      <c r="BL1294" s="141" t="n"/>
      <c r="BM1294" s="205" t="n"/>
      <c r="BN1294" s="205" t="n"/>
      <c r="BO1294" s="206" t="n"/>
      <c r="BP1294" s="144" t="n"/>
      <c r="BQ1294" s="141" t="n"/>
      <c r="BR1294" s="207" t="n"/>
      <c r="BS1294" s="207" t="n"/>
      <c r="BT1294" s="207" t="n"/>
      <c r="BU1294" s="207" t="n"/>
      <c r="BV1294" s="208" t="n"/>
      <c r="BW1294" s="207" t="n"/>
      <c r="BX1294" s="207" t="n"/>
      <c r="BY1294" s="204" t="n"/>
      <c r="BZ1294" s="148" t="n"/>
      <c r="CA1294" s="204" t="n"/>
      <c r="CB1294" s="208" t="n"/>
      <c r="CC1294" s="139" t="n"/>
      <c r="CD1294" s="204" t="n"/>
      <c r="CE1294" s="204" t="n"/>
      <c r="CF1294" s="207" t="n"/>
      <c r="CG1294" s="208" t="n"/>
      <c r="CH1294" s="207" t="n"/>
      <c r="CI1294" s="208" t="n"/>
      <c r="CJ1294" s="204" t="n"/>
      <c r="CK1294" s="208" t="n"/>
      <c r="CL1294" s="208" t="n"/>
      <c r="CM1294" s="208" t="n"/>
      <c r="CN1294" s="78" t="n"/>
      <c r="CO1294" s="209" t="n"/>
      <c r="CP1294" s="204" t="n"/>
      <c r="CQ1294" s="204" t="n"/>
      <c r="CR1294" s="204" t="n"/>
      <c r="CS1294" s="204" t="n"/>
      <c r="CT1294" s="204" t="n"/>
      <c r="CU1294" s="204" t="n"/>
      <c r="CV1294" s="204" t="n"/>
      <c r="CW1294" s="204" t="n"/>
    </row>
    <row r="1295">
      <c r="BF1295" s="78" t="n"/>
      <c r="BG1295" s="78" t="n"/>
      <c r="BH1295" s="78" t="n"/>
      <c r="BI1295" s="78" t="n"/>
      <c r="BJ1295" s="139" t="n"/>
      <c r="BK1295" s="204" t="n"/>
      <c r="BL1295" s="141" t="n"/>
      <c r="BM1295" s="205" t="n"/>
      <c r="BN1295" s="205" t="n"/>
      <c r="BO1295" s="206" t="n"/>
      <c r="BP1295" s="144" t="n"/>
      <c r="BQ1295" s="141" t="n"/>
      <c r="BR1295" s="207" t="n"/>
      <c r="BS1295" s="207" t="n"/>
      <c r="BT1295" s="207" t="n"/>
      <c r="BU1295" s="207" t="n"/>
      <c r="BV1295" s="208" t="n"/>
      <c r="BW1295" s="207" t="n"/>
      <c r="BX1295" s="207" t="n"/>
      <c r="BY1295" s="204" t="n"/>
      <c r="BZ1295" s="148" t="n"/>
      <c r="CA1295" s="204" t="n"/>
      <c r="CB1295" s="208" t="n"/>
      <c r="CC1295" s="139" t="n"/>
      <c r="CD1295" s="204" t="n"/>
      <c r="CE1295" s="204" t="n"/>
      <c r="CF1295" s="207" t="n"/>
      <c r="CG1295" s="208" t="n"/>
      <c r="CH1295" s="207" t="n"/>
      <c r="CI1295" s="208" t="n"/>
      <c r="CJ1295" s="204" t="n"/>
      <c r="CK1295" s="208" t="n"/>
      <c r="CL1295" s="208" t="n"/>
      <c r="CM1295" s="208" t="n"/>
      <c r="CN1295" s="78" t="n"/>
      <c r="CO1295" s="209" t="n"/>
      <c r="CP1295" s="204" t="n"/>
      <c r="CQ1295" s="204" t="n"/>
      <c r="CR1295" s="204" t="n"/>
      <c r="CS1295" s="204" t="n"/>
      <c r="CT1295" s="204" t="n"/>
      <c r="CU1295" s="204" t="n"/>
      <c r="CV1295" s="204" t="n"/>
      <c r="CW1295" s="204" t="n"/>
    </row>
    <row r="1296">
      <c r="BF1296" s="78" t="n"/>
      <c r="BG1296" s="78" t="n"/>
      <c r="BH1296" s="78" t="n"/>
      <c r="BI1296" s="78" t="n"/>
      <c r="BJ1296" s="139" t="n"/>
      <c r="BK1296" s="204" t="n"/>
      <c r="BL1296" s="141" t="n"/>
      <c r="BM1296" s="205" t="n"/>
      <c r="BN1296" s="205" t="n"/>
      <c r="BO1296" s="206" t="n"/>
      <c r="BP1296" s="144" t="n"/>
      <c r="BQ1296" s="141" t="n"/>
      <c r="BR1296" s="207" t="n"/>
      <c r="BS1296" s="207" t="n"/>
      <c r="BT1296" s="207" t="n"/>
      <c r="BU1296" s="207" t="n"/>
      <c r="BV1296" s="208" t="n"/>
      <c r="BW1296" s="207" t="n"/>
      <c r="BX1296" s="207" t="n"/>
      <c r="BY1296" s="204" t="n"/>
      <c r="BZ1296" s="148" t="n"/>
      <c r="CA1296" s="204" t="n"/>
      <c r="CB1296" s="208" t="n"/>
      <c r="CC1296" s="139" t="n"/>
      <c r="CD1296" s="204" t="n"/>
      <c r="CE1296" s="204" t="n"/>
      <c r="CF1296" s="207" t="n"/>
      <c r="CG1296" s="208" t="n"/>
      <c r="CH1296" s="207" t="n"/>
      <c r="CI1296" s="208" t="n"/>
      <c r="CJ1296" s="204" t="n"/>
      <c r="CK1296" s="208" t="n"/>
      <c r="CL1296" s="208" t="n"/>
      <c r="CM1296" s="208" t="n"/>
      <c r="CN1296" s="78" t="n"/>
      <c r="CO1296" s="209" t="n"/>
      <c r="CP1296" s="204" t="n"/>
      <c r="CQ1296" s="204" t="n"/>
      <c r="CR1296" s="204" t="n"/>
      <c r="CS1296" s="204" t="n"/>
      <c r="CT1296" s="204" t="n"/>
      <c r="CU1296" s="204" t="n"/>
      <c r="CV1296" s="204" t="n"/>
      <c r="CW1296" s="204" t="n"/>
    </row>
    <row r="1297">
      <c r="BF1297" s="78" t="n"/>
      <c r="BG1297" s="78" t="n"/>
      <c r="BH1297" s="78" t="n"/>
      <c r="BI1297" s="78" t="n"/>
      <c r="BJ1297" s="139" t="n"/>
      <c r="BK1297" s="204" t="n"/>
      <c r="BL1297" s="141" t="n"/>
      <c r="BM1297" s="205" t="n"/>
      <c r="BN1297" s="205" t="n"/>
      <c r="BO1297" s="206" t="n"/>
      <c r="BP1297" s="144" t="n"/>
      <c r="BQ1297" s="141" t="n"/>
      <c r="BR1297" s="207" t="n"/>
      <c r="BS1297" s="207" t="n"/>
      <c r="BT1297" s="207" t="n"/>
      <c r="BU1297" s="207" t="n"/>
      <c r="BV1297" s="208" t="n"/>
      <c r="BW1297" s="207" t="n"/>
      <c r="BX1297" s="207" t="n"/>
      <c r="BY1297" s="204" t="n"/>
      <c r="BZ1297" s="148" t="n"/>
      <c r="CA1297" s="204" t="n"/>
      <c r="CB1297" s="208" t="n"/>
      <c r="CC1297" s="139" t="n"/>
      <c r="CD1297" s="204" t="n"/>
      <c r="CE1297" s="204" t="n"/>
      <c r="CF1297" s="207" t="n"/>
      <c r="CG1297" s="208" t="n"/>
      <c r="CH1297" s="207" t="n"/>
      <c r="CI1297" s="208" t="n"/>
      <c r="CJ1297" s="204" t="n"/>
      <c r="CK1297" s="208" t="n"/>
      <c r="CL1297" s="208" t="n"/>
      <c r="CM1297" s="208" t="n"/>
      <c r="CN1297" s="78" t="n"/>
      <c r="CO1297" s="209" t="n"/>
      <c r="CP1297" s="204" t="n"/>
      <c r="CQ1297" s="204" t="n"/>
      <c r="CR1297" s="204" t="n"/>
      <c r="CS1297" s="204" t="n"/>
      <c r="CT1297" s="204" t="n"/>
      <c r="CU1297" s="204" t="n"/>
      <c r="CV1297" s="204" t="n"/>
      <c r="CW1297" s="204" t="n"/>
    </row>
    <row r="1298">
      <c r="BF1298" s="78" t="n"/>
      <c r="BG1298" s="78" t="n"/>
      <c r="BH1298" s="78" t="n"/>
      <c r="BI1298" s="78" t="n"/>
      <c r="BJ1298" s="139" t="n"/>
      <c r="BK1298" s="204" t="n"/>
      <c r="BL1298" s="141" t="n"/>
      <c r="BM1298" s="205" t="n"/>
      <c r="BN1298" s="205" t="n"/>
      <c r="BO1298" s="206" t="n"/>
      <c r="BP1298" s="144" t="n"/>
      <c r="BQ1298" s="141" t="n"/>
      <c r="BR1298" s="207" t="n"/>
      <c r="BS1298" s="207" t="n"/>
      <c r="BT1298" s="207" t="n"/>
      <c r="BU1298" s="207" t="n"/>
      <c r="BV1298" s="208" t="n"/>
      <c r="BW1298" s="207" t="n"/>
      <c r="BX1298" s="207" t="n"/>
      <c r="BY1298" s="204" t="n"/>
      <c r="BZ1298" s="148" t="n"/>
      <c r="CA1298" s="204" t="n"/>
      <c r="CB1298" s="208" t="n"/>
      <c r="CC1298" s="139" t="n"/>
      <c r="CD1298" s="204" t="n"/>
      <c r="CE1298" s="204" t="n"/>
      <c r="CF1298" s="207" t="n"/>
      <c r="CG1298" s="208" t="n"/>
      <c r="CH1298" s="207" t="n"/>
      <c r="CI1298" s="208" t="n"/>
      <c r="CJ1298" s="204" t="n"/>
      <c r="CK1298" s="208" t="n"/>
      <c r="CL1298" s="208" t="n"/>
      <c r="CM1298" s="208" t="n"/>
      <c r="CN1298" s="78" t="n"/>
      <c r="CO1298" s="209" t="n"/>
      <c r="CP1298" s="204" t="n"/>
      <c r="CQ1298" s="204" t="n"/>
      <c r="CR1298" s="204" t="n"/>
      <c r="CS1298" s="204" t="n"/>
      <c r="CT1298" s="204" t="n"/>
      <c r="CU1298" s="204" t="n"/>
      <c r="CV1298" s="204" t="n"/>
      <c r="CW1298" s="204" t="n"/>
    </row>
    <row r="1299">
      <c r="BF1299" s="78" t="n"/>
      <c r="BG1299" s="78" t="n"/>
      <c r="BH1299" s="78" t="n"/>
      <c r="BI1299" s="78" t="n"/>
      <c r="BJ1299" s="139" t="n"/>
      <c r="BK1299" s="204" t="n"/>
      <c r="BL1299" s="141" t="n"/>
      <c r="BM1299" s="205" t="n"/>
      <c r="BN1299" s="205" t="n"/>
      <c r="BO1299" s="206" t="n"/>
      <c r="BP1299" s="144" t="n"/>
      <c r="BQ1299" s="141" t="n"/>
      <c r="BR1299" s="207" t="n"/>
      <c r="BS1299" s="207" t="n"/>
      <c r="BT1299" s="207" t="n"/>
      <c r="BU1299" s="207" t="n"/>
      <c r="BV1299" s="208" t="n"/>
      <c r="BW1299" s="207" t="n"/>
      <c r="BX1299" s="207" t="n"/>
      <c r="BY1299" s="204" t="n"/>
      <c r="BZ1299" s="148" t="n"/>
      <c r="CA1299" s="204" t="n"/>
      <c r="CB1299" s="208" t="n"/>
      <c r="CC1299" s="139" t="n"/>
      <c r="CD1299" s="204" t="n"/>
      <c r="CE1299" s="204" t="n"/>
      <c r="CF1299" s="207" t="n"/>
      <c r="CG1299" s="208" t="n"/>
      <c r="CH1299" s="207" t="n"/>
      <c r="CI1299" s="208" t="n"/>
      <c r="CJ1299" s="204" t="n"/>
      <c r="CK1299" s="208" t="n"/>
      <c r="CL1299" s="208" t="n"/>
      <c r="CM1299" s="208" t="n"/>
      <c r="CN1299" s="78" t="n"/>
      <c r="CO1299" s="209" t="n"/>
      <c r="CP1299" s="204" t="n"/>
      <c r="CQ1299" s="204" t="n"/>
      <c r="CR1299" s="204" t="n"/>
      <c r="CS1299" s="204" t="n"/>
      <c r="CT1299" s="204" t="n"/>
      <c r="CU1299" s="204" t="n"/>
      <c r="CV1299" s="204" t="n"/>
      <c r="CW1299" s="204" t="n"/>
    </row>
    <row r="1300">
      <c r="BF1300" s="78" t="n"/>
      <c r="BG1300" s="78" t="n"/>
      <c r="BH1300" s="78" t="n"/>
      <c r="BI1300" s="78" t="n"/>
      <c r="BJ1300" s="139" t="n"/>
      <c r="BK1300" s="204" t="n"/>
      <c r="BL1300" s="141" t="n"/>
      <c r="BM1300" s="205" t="n"/>
      <c r="BN1300" s="205" t="n"/>
      <c r="BO1300" s="206" t="n"/>
      <c r="BP1300" s="144" t="n"/>
      <c r="BQ1300" s="141" t="n"/>
      <c r="BR1300" s="207" t="n"/>
      <c r="BS1300" s="207" t="n"/>
      <c r="BT1300" s="207" t="n"/>
      <c r="BU1300" s="207" t="n"/>
      <c r="BV1300" s="208" t="n"/>
      <c r="BW1300" s="207" t="n"/>
      <c r="BX1300" s="207" t="n"/>
      <c r="BY1300" s="204" t="n"/>
      <c r="BZ1300" s="148" t="n"/>
      <c r="CA1300" s="204" t="n"/>
      <c r="CB1300" s="208" t="n"/>
      <c r="CC1300" s="139" t="n"/>
      <c r="CD1300" s="204" t="n"/>
      <c r="CE1300" s="204" t="n"/>
      <c r="CF1300" s="207" t="n"/>
      <c r="CG1300" s="208" t="n"/>
      <c r="CH1300" s="207" t="n"/>
      <c r="CI1300" s="208" t="n"/>
      <c r="CJ1300" s="204" t="n"/>
      <c r="CK1300" s="208" t="n"/>
      <c r="CL1300" s="208" t="n"/>
      <c r="CM1300" s="208" t="n"/>
      <c r="CN1300" s="78" t="n"/>
      <c r="CO1300" s="209" t="n"/>
      <c r="CP1300" s="204" t="n"/>
      <c r="CQ1300" s="204" t="n"/>
      <c r="CR1300" s="204" t="n"/>
      <c r="CS1300" s="204" t="n"/>
      <c r="CT1300" s="204" t="n"/>
      <c r="CU1300" s="204" t="n"/>
      <c r="CV1300" s="204" t="n"/>
      <c r="CW1300" s="204" t="n"/>
    </row>
    <row r="1301">
      <c r="BF1301" s="78" t="n"/>
      <c r="BG1301" s="78" t="n"/>
      <c r="BH1301" s="78" t="n"/>
      <c r="BI1301" s="78" t="n"/>
      <c r="BJ1301" s="139" t="n"/>
      <c r="BK1301" s="204" t="n"/>
      <c r="BL1301" s="141" t="n"/>
      <c r="BM1301" s="205" t="n"/>
      <c r="BN1301" s="205" t="n"/>
      <c r="BO1301" s="206" t="n"/>
      <c r="BP1301" s="144" t="n"/>
      <c r="BQ1301" s="141" t="n"/>
      <c r="BR1301" s="207" t="n"/>
      <c r="BS1301" s="207" t="n"/>
      <c r="BT1301" s="207" t="n"/>
      <c r="BU1301" s="207" t="n"/>
      <c r="BV1301" s="208" t="n"/>
      <c r="BW1301" s="207" t="n"/>
      <c r="BX1301" s="207" t="n"/>
      <c r="BY1301" s="204" t="n"/>
      <c r="BZ1301" s="148" t="n"/>
      <c r="CA1301" s="204" t="n"/>
      <c r="CB1301" s="208" t="n"/>
      <c r="CC1301" s="139" t="n"/>
      <c r="CD1301" s="204" t="n"/>
      <c r="CE1301" s="204" t="n"/>
      <c r="CF1301" s="207" t="n"/>
      <c r="CG1301" s="208" t="n"/>
      <c r="CH1301" s="207" t="n"/>
      <c r="CI1301" s="208" t="n"/>
      <c r="CJ1301" s="204" t="n"/>
      <c r="CK1301" s="208" t="n"/>
      <c r="CL1301" s="208" t="n"/>
      <c r="CM1301" s="208" t="n"/>
      <c r="CN1301" s="78" t="n"/>
      <c r="CO1301" s="209" t="n"/>
      <c r="CP1301" s="204" t="n"/>
      <c r="CQ1301" s="204" t="n"/>
      <c r="CR1301" s="204" t="n"/>
      <c r="CS1301" s="204" t="n"/>
      <c r="CT1301" s="204" t="n"/>
      <c r="CU1301" s="204" t="n"/>
      <c r="CV1301" s="204" t="n"/>
      <c r="CW1301" s="204" t="n"/>
    </row>
    <row r="1302">
      <c r="BF1302" s="78" t="n"/>
      <c r="BG1302" s="78" t="n"/>
      <c r="BH1302" s="78" t="n"/>
      <c r="BI1302" s="78" t="n"/>
      <c r="BJ1302" s="139" t="n"/>
      <c r="BK1302" s="204" t="n"/>
      <c r="BL1302" s="141" t="n"/>
      <c r="BM1302" s="205" t="n"/>
      <c r="BN1302" s="205" t="n"/>
      <c r="BO1302" s="206" t="n"/>
      <c r="BP1302" s="144" t="n"/>
      <c r="BQ1302" s="141" t="n"/>
      <c r="BR1302" s="207" t="n"/>
      <c r="BS1302" s="207" t="n"/>
      <c r="BT1302" s="207" t="n"/>
      <c r="BU1302" s="207" t="n"/>
      <c r="BV1302" s="208" t="n"/>
      <c r="BW1302" s="207" t="n"/>
      <c r="BX1302" s="207" t="n"/>
      <c r="BY1302" s="204" t="n"/>
      <c r="BZ1302" s="148" t="n"/>
      <c r="CA1302" s="204" t="n"/>
      <c r="CB1302" s="208" t="n"/>
      <c r="CC1302" s="139" t="n"/>
      <c r="CD1302" s="204" t="n"/>
      <c r="CE1302" s="204" t="n"/>
      <c r="CF1302" s="207" t="n"/>
      <c r="CG1302" s="208" t="n"/>
      <c r="CH1302" s="207" t="n"/>
      <c r="CI1302" s="208" t="n"/>
      <c r="CJ1302" s="204" t="n"/>
      <c r="CK1302" s="208" t="n"/>
      <c r="CL1302" s="208" t="n"/>
      <c r="CM1302" s="208" t="n"/>
      <c r="CN1302" s="78" t="n"/>
      <c r="CO1302" s="209" t="n"/>
      <c r="CP1302" s="204" t="n"/>
      <c r="CQ1302" s="204" t="n"/>
      <c r="CR1302" s="204" t="n"/>
      <c r="CS1302" s="204" t="n"/>
      <c r="CT1302" s="204" t="n"/>
      <c r="CU1302" s="204" t="n"/>
      <c r="CV1302" s="204" t="n"/>
      <c r="CW1302" s="204" t="n"/>
    </row>
    <row r="1303">
      <c r="BF1303" s="78" t="n"/>
      <c r="BG1303" s="78" t="n"/>
      <c r="BH1303" s="78" t="n"/>
      <c r="BI1303" s="78" t="n"/>
      <c r="BJ1303" s="139" t="n"/>
      <c r="BK1303" s="204" t="n"/>
      <c r="BL1303" s="141" t="n"/>
      <c r="BM1303" s="205" t="n"/>
      <c r="BN1303" s="205" t="n"/>
      <c r="BO1303" s="206" t="n"/>
      <c r="BP1303" s="144" t="n"/>
      <c r="BQ1303" s="141" t="n"/>
      <c r="BR1303" s="207" t="n"/>
      <c r="BS1303" s="207" t="n"/>
      <c r="BT1303" s="207" t="n"/>
      <c r="BU1303" s="207" t="n"/>
      <c r="BV1303" s="208" t="n"/>
      <c r="BW1303" s="207" t="n"/>
      <c r="BX1303" s="207" t="n"/>
      <c r="BY1303" s="204" t="n"/>
      <c r="BZ1303" s="148" t="n"/>
      <c r="CA1303" s="204" t="n"/>
      <c r="CB1303" s="208" t="n"/>
      <c r="CC1303" s="139" t="n"/>
      <c r="CD1303" s="204" t="n"/>
      <c r="CE1303" s="204" t="n"/>
      <c r="CF1303" s="207" t="n"/>
      <c r="CG1303" s="208" t="n"/>
      <c r="CH1303" s="207" t="n"/>
      <c r="CI1303" s="208" t="n"/>
      <c r="CJ1303" s="204" t="n"/>
      <c r="CK1303" s="208" t="n"/>
      <c r="CL1303" s="208" t="n"/>
      <c r="CM1303" s="208" t="n"/>
      <c r="CN1303" s="78" t="n"/>
      <c r="CO1303" s="209" t="n"/>
      <c r="CP1303" s="204" t="n"/>
      <c r="CQ1303" s="204" t="n"/>
      <c r="CR1303" s="204" t="n"/>
      <c r="CS1303" s="204" t="n"/>
      <c r="CT1303" s="204" t="n"/>
      <c r="CU1303" s="204" t="n"/>
      <c r="CV1303" s="204" t="n"/>
      <c r="CW1303" s="204" t="n"/>
    </row>
    <row r="1304">
      <c r="BF1304" s="78" t="n"/>
      <c r="BG1304" s="78" t="n"/>
      <c r="BH1304" s="78" t="n"/>
      <c r="BI1304" s="78" t="n"/>
      <c r="BJ1304" s="139" t="n"/>
      <c r="BK1304" s="204" t="n"/>
      <c r="BL1304" s="141" t="n"/>
      <c r="BM1304" s="205" t="n"/>
      <c r="BN1304" s="205" t="n"/>
      <c r="BO1304" s="206" t="n"/>
      <c r="BP1304" s="144" t="n"/>
      <c r="BQ1304" s="141" t="n"/>
      <c r="BR1304" s="207" t="n"/>
      <c r="BS1304" s="207" t="n"/>
      <c r="BT1304" s="207" t="n"/>
      <c r="BU1304" s="207" t="n"/>
      <c r="BV1304" s="208" t="n"/>
      <c r="BW1304" s="207" t="n"/>
      <c r="BX1304" s="207" t="n"/>
      <c r="BY1304" s="204" t="n"/>
      <c r="BZ1304" s="148" t="n"/>
      <c r="CA1304" s="204" t="n"/>
      <c r="CB1304" s="208" t="n"/>
      <c r="CC1304" s="139" t="n"/>
      <c r="CD1304" s="204" t="n"/>
      <c r="CE1304" s="204" t="n"/>
      <c r="CF1304" s="207" t="n"/>
      <c r="CG1304" s="208" t="n"/>
      <c r="CH1304" s="207" t="n"/>
      <c r="CI1304" s="208" t="n"/>
      <c r="CJ1304" s="204" t="n"/>
      <c r="CK1304" s="208" t="n"/>
      <c r="CL1304" s="208" t="n"/>
      <c r="CM1304" s="208" t="n"/>
      <c r="CN1304" s="78" t="n"/>
      <c r="CO1304" s="209" t="n"/>
      <c r="CP1304" s="204" t="n"/>
      <c r="CQ1304" s="204" t="n"/>
      <c r="CR1304" s="204" t="n"/>
      <c r="CS1304" s="204" t="n"/>
      <c r="CT1304" s="204" t="n"/>
      <c r="CU1304" s="204" t="n"/>
      <c r="CV1304" s="204" t="n"/>
      <c r="CW1304" s="204" t="n"/>
    </row>
    <row r="1305">
      <c r="BF1305" s="78" t="n"/>
      <c r="BG1305" s="78" t="n"/>
      <c r="BH1305" s="78" t="n"/>
      <c r="BI1305" s="78" t="n"/>
      <c r="BJ1305" s="139" t="n"/>
      <c r="BK1305" s="204" t="n"/>
      <c r="BL1305" s="141" t="n"/>
      <c r="BM1305" s="205" t="n"/>
      <c r="BN1305" s="205" t="n"/>
      <c r="BO1305" s="206" t="n"/>
      <c r="BP1305" s="144" t="n"/>
      <c r="BQ1305" s="141" t="n"/>
      <c r="BR1305" s="207" t="n"/>
      <c r="BS1305" s="207" t="n"/>
      <c r="BT1305" s="207" t="n"/>
      <c r="BU1305" s="207" t="n"/>
      <c r="BV1305" s="208" t="n"/>
      <c r="BW1305" s="207" t="n"/>
      <c r="BX1305" s="207" t="n"/>
      <c r="BY1305" s="204" t="n"/>
      <c r="BZ1305" s="148" t="n"/>
      <c r="CA1305" s="204" t="n"/>
      <c r="CB1305" s="208" t="n"/>
      <c r="CC1305" s="139" t="n"/>
      <c r="CD1305" s="204" t="n"/>
      <c r="CE1305" s="204" t="n"/>
      <c r="CF1305" s="207" t="n"/>
      <c r="CG1305" s="208" t="n"/>
      <c r="CH1305" s="207" t="n"/>
      <c r="CI1305" s="208" t="n"/>
      <c r="CJ1305" s="204" t="n"/>
      <c r="CK1305" s="208" t="n"/>
      <c r="CL1305" s="208" t="n"/>
      <c r="CM1305" s="208" t="n"/>
      <c r="CN1305" s="78" t="n"/>
      <c r="CO1305" s="209" t="n"/>
      <c r="CP1305" s="204" t="n"/>
      <c r="CQ1305" s="204" t="n"/>
      <c r="CR1305" s="204" t="n"/>
      <c r="CS1305" s="204" t="n"/>
      <c r="CT1305" s="204" t="n"/>
      <c r="CU1305" s="204" t="n"/>
      <c r="CV1305" s="204" t="n"/>
      <c r="CW1305" s="204" t="n"/>
    </row>
    <row r="1306">
      <c r="BF1306" s="78" t="n"/>
      <c r="BG1306" s="78" t="n"/>
      <c r="BH1306" s="78" t="n"/>
      <c r="BI1306" s="78" t="n"/>
      <c r="BJ1306" s="139" t="n"/>
      <c r="BK1306" s="204" t="n"/>
      <c r="BL1306" s="141" t="n"/>
      <c r="BM1306" s="205" t="n"/>
      <c r="BN1306" s="205" t="n"/>
      <c r="BO1306" s="206" t="n"/>
      <c r="BP1306" s="144" t="n"/>
      <c r="BQ1306" s="141" t="n"/>
      <c r="BR1306" s="207" t="n"/>
      <c r="BS1306" s="207" t="n"/>
      <c r="BT1306" s="207" t="n"/>
      <c r="BU1306" s="207" t="n"/>
      <c r="BV1306" s="208" t="n"/>
      <c r="BW1306" s="207" t="n"/>
      <c r="BX1306" s="207" t="n"/>
      <c r="BY1306" s="204" t="n"/>
      <c r="BZ1306" s="148" t="n"/>
      <c r="CA1306" s="204" t="n"/>
      <c r="CB1306" s="208" t="n"/>
      <c r="CC1306" s="139" t="n"/>
      <c r="CD1306" s="204" t="n"/>
      <c r="CE1306" s="204" t="n"/>
      <c r="CF1306" s="207" t="n"/>
      <c r="CG1306" s="208" t="n"/>
      <c r="CH1306" s="207" t="n"/>
      <c r="CI1306" s="208" t="n"/>
      <c r="CJ1306" s="204" t="n"/>
      <c r="CK1306" s="208" t="n"/>
      <c r="CL1306" s="208" t="n"/>
      <c r="CM1306" s="208" t="n"/>
      <c r="CN1306" s="78" t="n"/>
      <c r="CO1306" s="209" t="n"/>
      <c r="CP1306" s="204" t="n"/>
      <c r="CQ1306" s="204" t="n"/>
      <c r="CR1306" s="204" t="n"/>
      <c r="CS1306" s="204" t="n"/>
      <c r="CT1306" s="204" t="n"/>
      <c r="CU1306" s="204" t="n"/>
      <c r="CV1306" s="204" t="n"/>
      <c r="CW1306" s="204" t="n"/>
    </row>
    <row r="1307">
      <c r="BF1307" s="78" t="n"/>
      <c r="BG1307" s="78" t="n"/>
      <c r="BH1307" s="78" t="n"/>
      <c r="BI1307" s="78" t="n"/>
      <c r="BJ1307" s="139" t="n"/>
      <c r="BK1307" s="204" t="n"/>
      <c r="BL1307" s="141" t="n"/>
      <c r="BM1307" s="205" t="n"/>
      <c r="BN1307" s="205" t="n"/>
      <c r="BO1307" s="206" t="n"/>
      <c r="BP1307" s="144" t="n"/>
      <c r="BQ1307" s="141" t="n"/>
      <c r="BR1307" s="207" t="n"/>
      <c r="BS1307" s="207" t="n"/>
      <c r="BT1307" s="207" t="n"/>
      <c r="BU1307" s="207" t="n"/>
      <c r="BV1307" s="208" t="n"/>
      <c r="BW1307" s="207" t="n"/>
      <c r="BX1307" s="207" t="n"/>
      <c r="BY1307" s="204" t="n"/>
      <c r="BZ1307" s="148" t="n"/>
      <c r="CA1307" s="204" t="n"/>
      <c r="CB1307" s="208" t="n"/>
      <c r="CC1307" s="139" t="n"/>
      <c r="CD1307" s="204" t="n"/>
      <c r="CE1307" s="204" t="n"/>
      <c r="CF1307" s="207" t="n"/>
      <c r="CG1307" s="208" t="n"/>
      <c r="CH1307" s="207" t="n"/>
      <c r="CI1307" s="208" t="n"/>
      <c r="CJ1307" s="204" t="n"/>
      <c r="CK1307" s="208" t="n"/>
      <c r="CL1307" s="208" t="n"/>
      <c r="CM1307" s="208" t="n"/>
      <c r="CN1307" s="78" t="n"/>
      <c r="CO1307" s="209" t="n"/>
      <c r="CP1307" s="204" t="n"/>
      <c r="CQ1307" s="204" t="n"/>
      <c r="CR1307" s="204" t="n"/>
      <c r="CS1307" s="204" t="n"/>
      <c r="CT1307" s="204" t="n"/>
      <c r="CU1307" s="204" t="n"/>
      <c r="CV1307" s="204" t="n"/>
      <c r="CW1307" s="204" t="n"/>
    </row>
    <row r="1308">
      <c r="BF1308" s="78" t="n"/>
      <c r="BG1308" s="78" t="n"/>
      <c r="BH1308" s="78" t="n"/>
      <c r="BI1308" s="78" t="n"/>
      <c r="BJ1308" s="139" t="n"/>
      <c r="BK1308" s="204" t="n"/>
      <c r="BL1308" s="141" t="n"/>
      <c r="BM1308" s="205" t="n"/>
      <c r="BN1308" s="205" t="n"/>
      <c r="BO1308" s="206" t="n"/>
      <c r="BP1308" s="144" t="n"/>
      <c r="BQ1308" s="141" t="n"/>
      <c r="BR1308" s="207" t="n"/>
      <c r="BS1308" s="207" t="n"/>
      <c r="BT1308" s="207" t="n"/>
      <c r="BU1308" s="207" t="n"/>
      <c r="BV1308" s="208" t="n"/>
      <c r="BW1308" s="207" t="n"/>
      <c r="BX1308" s="207" t="n"/>
      <c r="BY1308" s="204" t="n"/>
      <c r="BZ1308" s="148" t="n"/>
      <c r="CA1308" s="204" t="n"/>
      <c r="CB1308" s="208" t="n"/>
      <c r="CC1308" s="139" t="n"/>
      <c r="CD1308" s="204" t="n"/>
      <c r="CE1308" s="204" t="n"/>
      <c r="CF1308" s="207" t="n"/>
      <c r="CG1308" s="208" t="n"/>
      <c r="CH1308" s="207" t="n"/>
      <c r="CI1308" s="208" t="n"/>
      <c r="CJ1308" s="204" t="n"/>
      <c r="CK1308" s="208" t="n"/>
      <c r="CL1308" s="208" t="n"/>
      <c r="CM1308" s="208" t="n"/>
      <c r="CN1308" s="78" t="n"/>
      <c r="CO1308" s="209" t="n"/>
      <c r="CP1308" s="204" t="n"/>
      <c r="CQ1308" s="204" t="n"/>
      <c r="CR1308" s="204" t="n"/>
      <c r="CS1308" s="204" t="n"/>
      <c r="CT1308" s="204" t="n"/>
      <c r="CU1308" s="204" t="n"/>
      <c r="CV1308" s="204" t="n"/>
      <c r="CW1308" s="204" t="n"/>
    </row>
    <row r="1309">
      <c r="BF1309" s="78" t="n"/>
      <c r="BG1309" s="78" t="n"/>
      <c r="BH1309" s="78" t="n"/>
      <c r="BI1309" s="78" t="n"/>
      <c r="BJ1309" s="139" t="n"/>
      <c r="BK1309" s="204" t="n"/>
      <c r="BL1309" s="141" t="n"/>
      <c r="BM1309" s="205" t="n"/>
      <c r="BN1309" s="205" t="n"/>
      <c r="BO1309" s="206" t="n"/>
      <c r="BP1309" s="144" t="n"/>
      <c r="BQ1309" s="141" t="n"/>
      <c r="BR1309" s="207" t="n"/>
      <c r="BS1309" s="207" t="n"/>
      <c r="BT1309" s="207" t="n"/>
      <c r="BU1309" s="207" t="n"/>
      <c r="BV1309" s="208" t="n"/>
      <c r="BW1309" s="207" t="n"/>
      <c r="BX1309" s="207" t="n"/>
      <c r="BY1309" s="204" t="n"/>
      <c r="BZ1309" s="148" t="n"/>
      <c r="CA1309" s="204" t="n"/>
      <c r="CB1309" s="208" t="n"/>
      <c r="CC1309" s="139" t="n"/>
      <c r="CD1309" s="204" t="n"/>
      <c r="CE1309" s="204" t="n"/>
      <c r="CF1309" s="207" t="n"/>
      <c r="CG1309" s="208" t="n"/>
      <c r="CH1309" s="207" t="n"/>
      <c r="CI1309" s="208" t="n"/>
      <c r="CJ1309" s="204" t="n"/>
      <c r="CK1309" s="208" t="n"/>
      <c r="CL1309" s="208" t="n"/>
      <c r="CM1309" s="208" t="n"/>
      <c r="CN1309" s="78" t="n"/>
      <c r="CO1309" s="209" t="n"/>
      <c r="CP1309" s="204" t="n"/>
      <c r="CQ1309" s="204" t="n"/>
      <c r="CR1309" s="204" t="n"/>
      <c r="CS1309" s="204" t="n"/>
      <c r="CT1309" s="204" t="n"/>
      <c r="CU1309" s="204" t="n"/>
      <c r="CV1309" s="204" t="n"/>
      <c r="CW1309" s="204" t="n"/>
    </row>
    <row r="1310">
      <c r="BF1310" s="78" t="n"/>
      <c r="BG1310" s="78" t="n"/>
      <c r="BH1310" s="78" t="n"/>
      <c r="BI1310" s="78" t="n"/>
      <c r="BJ1310" s="139" t="n"/>
      <c r="BK1310" s="204" t="n"/>
      <c r="BL1310" s="141" t="n"/>
      <c r="BM1310" s="205" t="n"/>
      <c r="BN1310" s="205" t="n"/>
      <c r="BO1310" s="206" t="n"/>
      <c r="BP1310" s="144" t="n"/>
      <c r="BQ1310" s="141" t="n"/>
      <c r="BR1310" s="207" t="n"/>
      <c r="BS1310" s="207" t="n"/>
      <c r="BT1310" s="207" t="n"/>
      <c r="BU1310" s="207" t="n"/>
      <c r="BV1310" s="208" t="n"/>
      <c r="BW1310" s="207" t="n"/>
      <c r="BX1310" s="207" t="n"/>
      <c r="BY1310" s="204" t="n"/>
      <c r="BZ1310" s="148" t="n"/>
      <c r="CA1310" s="204" t="n"/>
      <c r="CB1310" s="208" t="n"/>
      <c r="CC1310" s="139" t="n"/>
      <c r="CD1310" s="204" t="n"/>
      <c r="CE1310" s="204" t="n"/>
      <c r="CF1310" s="207" t="n"/>
      <c r="CG1310" s="208" t="n"/>
      <c r="CH1310" s="207" t="n"/>
      <c r="CI1310" s="208" t="n"/>
      <c r="CJ1310" s="204" t="n"/>
      <c r="CK1310" s="208" t="n"/>
      <c r="CL1310" s="208" t="n"/>
      <c r="CM1310" s="208" t="n"/>
      <c r="CN1310" s="78" t="n"/>
      <c r="CO1310" s="209" t="n"/>
      <c r="CP1310" s="204" t="n"/>
      <c r="CQ1310" s="204" t="n"/>
      <c r="CR1310" s="204" t="n"/>
      <c r="CS1310" s="204" t="n"/>
      <c r="CT1310" s="204" t="n"/>
      <c r="CU1310" s="204" t="n"/>
      <c r="CV1310" s="204" t="n"/>
      <c r="CW1310" s="204" t="n"/>
    </row>
    <row r="1311">
      <c r="BF1311" s="78" t="n"/>
      <c r="BG1311" s="78" t="n"/>
      <c r="BH1311" s="78" t="n"/>
      <c r="BI1311" s="78" t="n"/>
      <c r="BJ1311" s="139" t="n"/>
      <c r="BK1311" s="204" t="n"/>
      <c r="BL1311" s="141" t="n"/>
      <c r="BM1311" s="205" t="n"/>
      <c r="BN1311" s="205" t="n"/>
      <c r="BO1311" s="206" t="n"/>
      <c r="BP1311" s="144" t="n"/>
      <c r="BQ1311" s="141" t="n"/>
      <c r="BR1311" s="207" t="n"/>
      <c r="BS1311" s="207" t="n"/>
      <c r="BT1311" s="207" t="n"/>
      <c r="BU1311" s="207" t="n"/>
      <c r="BV1311" s="208" t="n"/>
      <c r="BW1311" s="207" t="n"/>
      <c r="BX1311" s="207" t="n"/>
      <c r="BY1311" s="204" t="n"/>
      <c r="BZ1311" s="148" t="n"/>
      <c r="CA1311" s="204" t="n"/>
      <c r="CB1311" s="208" t="n"/>
      <c r="CC1311" s="139" t="n"/>
      <c r="CD1311" s="204" t="n"/>
      <c r="CE1311" s="204" t="n"/>
      <c r="CF1311" s="207" t="n"/>
      <c r="CG1311" s="208" t="n"/>
      <c r="CH1311" s="207" t="n"/>
      <c r="CI1311" s="208" t="n"/>
      <c r="CJ1311" s="204" t="n"/>
      <c r="CK1311" s="208" t="n"/>
      <c r="CL1311" s="208" t="n"/>
      <c r="CM1311" s="208" t="n"/>
      <c r="CN1311" s="78" t="n"/>
      <c r="CO1311" s="209" t="n"/>
      <c r="CP1311" s="204" t="n"/>
      <c r="CQ1311" s="204" t="n"/>
      <c r="CR1311" s="204" t="n"/>
      <c r="CS1311" s="204" t="n"/>
      <c r="CT1311" s="204" t="n"/>
      <c r="CU1311" s="204" t="n"/>
      <c r="CV1311" s="204" t="n"/>
      <c r="CW1311" s="204" t="n"/>
    </row>
    <row r="1312">
      <c r="BF1312" s="78" t="n"/>
      <c r="BG1312" s="78" t="n"/>
      <c r="BH1312" s="78" t="n"/>
      <c r="BI1312" s="78" t="n"/>
      <c r="BJ1312" s="139" t="n"/>
      <c r="BK1312" s="204" t="n"/>
      <c r="BL1312" s="141" t="n"/>
      <c r="BM1312" s="205" t="n"/>
      <c r="BN1312" s="205" t="n"/>
      <c r="BO1312" s="206" t="n"/>
      <c r="BP1312" s="144" t="n"/>
      <c r="BQ1312" s="141" t="n"/>
      <c r="BR1312" s="207" t="n"/>
      <c r="BS1312" s="207" t="n"/>
      <c r="BT1312" s="207" t="n"/>
      <c r="BU1312" s="207" t="n"/>
      <c r="BV1312" s="208" t="n"/>
      <c r="BW1312" s="207" t="n"/>
      <c r="BX1312" s="207" t="n"/>
      <c r="BY1312" s="204" t="n"/>
      <c r="BZ1312" s="148" t="n"/>
      <c r="CA1312" s="204" t="n"/>
      <c r="CB1312" s="208" t="n"/>
      <c r="CC1312" s="139" t="n"/>
      <c r="CD1312" s="204" t="n"/>
      <c r="CE1312" s="204" t="n"/>
      <c r="CF1312" s="207" t="n"/>
      <c r="CG1312" s="208" t="n"/>
      <c r="CH1312" s="207" t="n"/>
      <c r="CI1312" s="208" t="n"/>
      <c r="CJ1312" s="204" t="n"/>
      <c r="CK1312" s="208" t="n"/>
      <c r="CL1312" s="208" t="n"/>
      <c r="CM1312" s="208" t="n"/>
      <c r="CN1312" s="78" t="n"/>
      <c r="CO1312" s="209" t="n"/>
      <c r="CP1312" s="204" t="n"/>
      <c r="CQ1312" s="204" t="n"/>
      <c r="CR1312" s="204" t="n"/>
      <c r="CS1312" s="204" t="n"/>
      <c r="CT1312" s="204" t="n"/>
      <c r="CU1312" s="204" t="n"/>
      <c r="CV1312" s="204" t="n"/>
      <c r="CW1312" s="204" t="n"/>
    </row>
    <row r="1313">
      <c r="BF1313" s="78" t="n"/>
      <c r="BG1313" s="78" t="n"/>
      <c r="BH1313" s="78" t="n"/>
      <c r="BI1313" s="78" t="n"/>
      <c r="BJ1313" s="139" t="n"/>
      <c r="BK1313" s="204" t="n"/>
      <c r="BL1313" s="141" t="n"/>
      <c r="BM1313" s="205" t="n"/>
      <c r="BN1313" s="205" t="n"/>
      <c r="BO1313" s="206" t="n"/>
      <c r="BP1313" s="144" t="n"/>
      <c r="BQ1313" s="141" t="n"/>
      <c r="BR1313" s="207" t="n"/>
      <c r="BS1313" s="207" t="n"/>
      <c r="BT1313" s="207" t="n"/>
      <c r="BU1313" s="207" t="n"/>
      <c r="BV1313" s="208" t="n"/>
      <c r="BW1313" s="207" t="n"/>
      <c r="BX1313" s="207" t="n"/>
      <c r="BY1313" s="204" t="n"/>
      <c r="BZ1313" s="148" t="n"/>
      <c r="CA1313" s="204" t="n"/>
      <c r="CB1313" s="208" t="n"/>
      <c r="CC1313" s="139" t="n"/>
      <c r="CD1313" s="204" t="n"/>
      <c r="CE1313" s="204" t="n"/>
      <c r="CF1313" s="207" t="n"/>
      <c r="CG1313" s="208" t="n"/>
      <c r="CH1313" s="207" t="n"/>
      <c r="CI1313" s="208" t="n"/>
      <c r="CJ1313" s="204" t="n"/>
      <c r="CK1313" s="208" t="n"/>
      <c r="CL1313" s="208" t="n"/>
      <c r="CM1313" s="208" t="n"/>
      <c r="CN1313" s="78" t="n"/>
      <c r="CO1313" s="209" t="n"/>
      <c r="CP1313" s="204" t="n"/>
      <c r="CQ1313" s="204" t="n"/>
      <c r="CR1313" s="204" t="n"/>
      <c r="CS1313" s="204" t="n"/>
      <c r="CT1313" s="204" t="n"/>
      <c r="CU1313" s="204" t="n"/>
      <c r="CV1313" s="204" t="n"/>
      <c r="CW1313" s="204" t="n"/>
    </row>
    <row r="1314">
      <c r="BF1314" s="78" t="n"/>
      <c r="BG1314" s="78" t="n"/>
      <c r="BH1314" s="78" t="n"/>
      <c r="BI1314" s="78" t="n"/>
      <c r="BJ1314" s="139" t="n"/>
      <c r="BK1314" s="204" t="n"/>
      <c r="BL1314" s="141" t="n"/>
      <c r="BM1314" s="205" t="n"/>
      <c r="BN1314" s="205" t="n"/>
      <c r="BO1314" s="206" t="n"/>
      <c r="BP1314" s="144" t="n"/>
      <c r="BQ1314" s="141" t="n"/>
      <c r="BR1314" s="207" t="n"/>
      <c r="BS1314" s="207" t="n"/>
      <c r="BT1314" s="207" t="n"/>
      <c r="BU1314" s="207" t="n"/>
      <c r="BV1314" s="208" t="n"/>
      <c r="BW1314" s="207" t="n"/>
      <c r="BX1314" s="207" t="n"/>
      <c r="BY1314" s="204" t="n"/>
      <c r="BZ1314" s="148" t="n"/>
      <c r="CA1314" s="204" t="n"/>
      <c r="CB1314" s="208" t="n"/>
      <c r="CC1314" s="139" t="n"/>
      <c r="CD1314" s="204" t="n"/>
      <c r="CE1314" s="204" t="n"/>
      <c r="CF1314" s="207" t="n"/>
      <c r="CG1314" s="208" t="n"/>
      <c r="CH1314" s="207" t="n"/>
      <c r="CI1314" s="208" t="n"/>
      <c r="CJ1314" s="204" t="n"/>
      <c r="CK1314" s="208" t="n"/>
      <c r="CL1314" s="208" t="n"/>
      <c r="CM1314" s="208" t="n"/>
      <c r="CN1314" s="78" t="n"/>
      <c r="CO1314" s="209" t="n"/>
      <c r="CP1314" s="204" t="n"/>
      <c r="CQ1314" s="204" t="n"/>
      <c r="CR1314" s="204" t="n"/>
      <c r="CS1314" s="204" t="n"/>
      <c r="CT1314" s="204" t="n"/>
      <c r="CU1314" s="204" t="n"/>
      <c r="CV1314" s="204" t="n"/>
      <c r="CW1314" s="204" t="n"/>
    </row>
    <row r="1315">
      <c r="BF1315" s="78" t="n"/>
      <c r="BG1315" s="78" t="n"/>
      <c r="BH1315" s="78" t="n"/>
      <c r="BI1315" s="78" t="n"/>
      <c r="BJ1315" s="139" t="n"/>
      <c r="BK1315" s="204" t="n"/>
      <c r="BL1315" s="141" t="n"/>
      <c r="BM1315" s="205" t="n"/>
      <c r="BN1315" s="205" t="n"/>
      <c r="BO1315" s="206" t="n"/>
      <c r="BP1315" s="144" t="n"/>
      <c r="BQ1315" s="141" t="n"/>
      <c r="BR1315" s="207" t="n"/>
      <c r="BS1315" s="207" t="n"/>
      <c r="BT1315" s="207" t="n"/>
      <c r="BU1315" s="207" t="n"/>
      <c r="BV1315" s="208" t="n"/>
      <c r="BW1315" s="207" t="n"/>
      <c r="BX1315" s="207" t="n"/>
      <c r="BY1315" s="204" t="n"/>
      <c r="BZ1315" s="148" t="n"/>
      <c r="CA1315" s="204" t="n"/>
      <c r="CB1315" s="208" t="n"/>
      <c r="CC1315" s="139" t="n"/>
      <c r="CD1315" s="204" t="n"/>
      <c r="CE1315" s="204" t="n"/>
      <c r="CF1315" s="207" t="n"/>
      <c r="CG1315" s="208" t="n"/>
      <c r="CH1315" s="207" t="n"/>
      <c r="CI1315" s="208" t="n"/>
      <c r="CJ1315" s="204" t="n"/>
      <c r="CK1315" s="208" t="n"/>
      <c r="CL1315" s="208" t="n"/>
      <c r="CM1315" s="208" t="n"/>
      <c r="CN1315" s="78" t="n"/>
      <c r="CO1315" s="209" t="n"/>
      <c r="CP1315" s="204" t="n"/>
      <c r="CQ1315" s="204" t="n"/>
      <c r="CR1315" s="204" t="n"/>
      <c r="CS1315" s="204" t="n"/>
      <c r="CT1315" s="204" t="n"/>
      <c r="CU1315" s="204" t="n"/>
      <c r="CV1315" s="204" t="n"/>
      <c r="CW1315" s="204" t="n"/>
    </row>
    <row r="1316">
      <c r="BF1316" s="78" t="n"/>
      <c r="BG1316" s="78" t="n"/>
      <c r="BH1316" s="78" t="n"/>
      <c r="BI1316" s="78" t="n"/>
      <c r="BJ1316" s="139" t="n"/>
      <c r="BK1316" s="204" t="n"/>
      <c r="BL1316" s="141" t="n"/>
      <c r="BM1316" s="205" t="n"/>
      <c r="BN1316" s="205" t="n"/>
      <c r="BO1316" s="206" t="n"/>
      <c r="BP1316" s="144" t="n"/>
      <c r="BQ1316" s="141" t="n"/>
      <c r="BR1316" s="207" t="n"/>
      <c r="BS1316" s="207" t="n"/>
      <c r="BT1316" s="207" t="n"/>
      <c r="BU1316" s="207" t="n"/>
      <c r="BV1316" s="208" t="n"/>
      <c r="BW1316" s="207" t="n"/>
      <c r="BX1316" s="207" t="n"/>
      <c r="BY1316" s="204" t="n"/>
      <c r="BZ1316" s="148" t="n"/>
      <c r="CA1316" s="204" t="n"/>
      <c r="CB1316" s="208" t="n"/>
      <c r="CC1316" s="139" t="n"/>
      <c r="CD1316" s="204" t="n"/>
      <c r="CE1316" s="204" t="n"/>
      <c r="CF1316" s="207" t="n"/>
      <c r="CG1316" s="208" t="n"/>
      <c r="CH1316" s="207" t="n"/>
      <c r="CI1316" s="208" t="n"/>
      <c r="CJ1316" s="204" t="n"/>
      <c r="CK1316" s="208" t="n"/>
      <c r="CL1316" s="208" t="n"/>
      <c r="CM1316" s="208" t="n"/>
      <c r="CN1316" s="78" t="n"/>
      <c r="CO1316" s="209" t="n"/>
      <c r="CP1316" s="204" t="n"/>
      <c r="CQ1316" s="204" t="n"/>
      <c r="CR1316" s="204" t="n"/>
      <c r="CS1316" s="204" t="n"/>
      <c r="CT1316" s="204" t="n"/>
      <c r="CU1316" s="204" t="n"/>
      <c r="CV1316" s="204" t="n"/>
      <c r="CW1316" s="204" t="n"/>
    </row>
    <row r="1317">
      <c r="BF1317" s="78" t="n"/>
      <c r="BG1317" s="78" t="n"/>
      <c r="BH1317" s="78" t="n"/>
      <c r="BI1317" s="78" t="n"/>
      <c r="BJ1317" s="139" t="n"/>
      <c r="BK1317" s="204" t="n"/>
      <c r="BL1317" s="141" t="n"/>
      <c r="BM1317" s="205" t="n"/>
      <c r="BN1317" s="205" t="n"/>
      <c r="BO1317" s="206" t="n"/>
      <c r="BP1317" s="144" t="n"/>
      <c r="BQ1317" s="141" t="n"/>
      <c r="BR1317" s="207" t="n"/>
      <c r="BS1317" s="207" t="n"/>
      <c r="BT1317" s="207" t="n"/>
      <c r="BU1317" s="207" t="n"/>
      <c r="BV1317" s="208" t="n"/>
      <c r="BW1317" s="207" t="n"/>
      <c r="BX1317" s="207" t="n"/>
      <c r="BY1317" s="204" t="n"/>
      <c r="BZ1317" s="148" t="n"/>
      <c r="CA1317" s="204" t="n"/>
      <c r="CB1317" s="208" t="n"/>
      <c r="CC1317" s="139" t="n"/>
      <c r="CD1317" s="204" t="n"/>
      <c r="CE1317" s="204" t="n"/>
      <c r="CF1317" s="207" t="n"/>
      <c r="CG1317" s="208" t="n"/>
      <c r="CH1317" s="207" t="n"/>
      <c r="CI1317" s="208" t="n"/>
      <c r="CJ1317" s="204" t="n"/>
      <c r="CK1317" s="208" t="n"/>
      <c r="CL1317" s="208" t="n"/>
      <c r="CM1317" s="208" t="n"/>
      <c r="CN1317" s="78" t="n"/>
      <c r="CO1317" s="209" t="n"/>
      <c r="CP1317" s="204" t="n"/>
      <c r="CQ1317" s="204" t="n"/>
      <c r="CR1317" s="204" t="n"/>
      <c r="CS1317" s="204" t="n"/>
      <c r="CT1317" s="204" t="n"/>
      <c r="CU1317" s="204" t="n"/>
      <c r="CV1317" s="204" t="n"/>
      <c r="CW1317" s="204" t="n"/>
    </row>
    <row r="1318">
      <c r="BF1318" s="78" t="n"/>
      <c r="BG1318" s="78" t="n"/>
      <c r="BH1318" s="78" t="n"/>
      <c r="BI1318" s="78" t="n"/>
      <c r="BJ1318" s="139" t="n"/>
      <c r="BK1318" s="204" t="n"/>
      <c r="BL1318" s="141" t="n"/>
      <c r="BM1318" s="205" t="n"/>
      <c r="BN1318" s="205" t="n"/>
      <c r="BO1318" s="206" t="n"/>
      <c r="BP1318" s="144" t="n"/>
      <c r="BQ1318" s="141" t="n"/>
      <c r="BR1318" s="207" t="n"/>
      <c r="BS1318" s="207" t="n"/>
      <c r="BT1318" s="207" t="n"/>
      <c r="BU1318" s="207" t="n"/>
      <c r="BV1318" s="208" t="n"/>
      <c r="BW1318" s="207" t="n"/>
      <c r="BX1318" s="207" t="n"/>
      <c r="BY1318" s="204" t="n"/>
      <c r="BZ1318" s="148" t="n"/>
      <c r="CA1318" s="204" t="n"/>
      <c r="CB1318" s="208" t="n"/>
      <c r="CC1318" s="139" t="n"/>
      <c r="CD1318" s="204" t="n"/>
      <c r="CE1318" s="204" t="n"/>
      <c r="CF1318" s="207" t="n"/>
      <c r="CG1318" s="208" t="n"/>
      <c r="CH1318" s="207" t="n"/>
      <c r="CI1318" s="208" t="n"/>
      <c r="CJ1318" s="204" t="n"/>
      <c r="CK1318" s="208" t="n"/>
      <c r="CL1318" s="208" t="n"/>
      <c r="CM1318" s="208" t="n"/>
      <c r="CN1318" s="78" t="n"/>
      <c r="CO1318" s="209" t="n"/>
      <c r="CP1318" s="204" t="n"/>
      <c r="CQ1318" s="204" t="n"/>
      <c r="CR1318" s="204" t="n"/>
      <c r="CS1318" s="204" t="n"/>
      <c r="CT1318" s="204" t="n"/>
      <c r="CU1318" s="204" t="n"/>
      <c r="CV1318" s="204" t="n"/>
      <c r="CW1318" s="204" t="n"/>
    </row>
    <row r="1319">
      <c r="BF1319" s="78" t="n"/>
      <c r="BG1319" s="78" t="n"/>
      <c r="BH1319" s="78" t="n"/>
      <c r="BI1319" s="78" t="n"/>
      <c r="BJ1319" s="139" t="n"/>
      <c r="BK1319" s="204" t="n"/>
      <c r="BL1319" s="141" t="n"/>
      <c r="BM1319" s="205" t="n"/>
      <c r="BN1319" s="205" t="n"/>
      <c r="BO1319" s="206" t="n"/>
      <c r="BP1319" s="144" t="n"/>
      <c r="BQ1319" s="141" t="n"/>
      <c r="BR1319" s="207" t="n"/>
      <c r="BS1319" s="207" t="n"/>
      <c r="BT1319" s="207" t="n"/>
      <c r="BU1319" s="207" t="n"/>
      <c r="BV1319" s="208" t="n"/>
      <c r="BW1319" s="207" t="n"/>
      <c r="BX1319" s="207" t="n"/>
      <c r="BY1319" s="204" t="n"/>
      <c r="BZ1319" s="148" t="n"/>
      <c r="CA1319" s="204" t="n"/>
      <c r="CB1319" s="208" t="n"/>
      <c r="CC1319" s="139" t="n"/>
      <c r="CD1319" s="204" t="n"/>
      <c r="CE1319" s="204" t="n"/>
      <c r="CF1319" s="207" t="n"/>
      <c r="CG1319" s="208" t="n"/>
      <c r="CH1319" s="207" t="n"/>
      <c r="CI1319" s="208" t="n"/>
      <c r="CJ1319" s="204" t="n"/>
      <c r="CK1319" s="208" t="n"/>
      <c r="CL1319" s="208" t="n"/>
      <c r="CM1319" s="208" t="n"/>
      <c r="CN1319" s="78" t="n"/>
      <c r="CO1319" s="209" t="n"/>
      <c r="CP1319" s="204" t="n"/>
      <c r="CQ1319" s="204" t="n"/>
      <c r="CR1319" s="204" t="n"/>
      <c r="CS1319" s="204" t="n"/>
      <c r="CT1319" s="204" t="n"/>
      <c r="CU1319" s="204" t="n"/>
      <c r="CV1319" s="204" t="n"/>
      <c r="CW1319" s="204" t="n"/>
    </row>
    <row r="1320">
      <c r="BF1320" s="78" t="n"/>
      <c r="BG1320" s="78" t="n"/>
      <c r="BH1320" s="78" t="n"/>
      <c r="BI1320" s="78" t="n"/>
      <c r="BJ1320" s="139" t="n"/>
      <c r="BK1320" s="204" t="n"/>
      <c r="BL1320" s="141" t="n"/>
      <c r="BM1320" s="205" t="n"/>
      <c r="BN1320" s="205" t="n"/>
      <c r="BO1320" s="206" t="n"/>
      <c r="BP1320" s="144" t="n"/>
      <c r="BQ1320" s="141" t="n"/>
      <c r="BR1320" s="207" t="n"/>
      <c r="BS1320" s="207" t="n"/>
      <c r="BT1320" s="207" t="n"/>
      <c r="BU1320" s="207" t="n"/>
      <c r="BV1320" s="208" t="n"/>
      <c r="BW1320" s="207" t="n"/>
      <c r="BX1320" s="207" t="n"/>
      <c r="BY1320" s="204" t="n"/>
      <c r="BZ1320" s="148" t="n"/>
      <c r="CA1320" s="204" t="n"/>
      <c r="CB1320" s="208" t="n"/>
      <c r="CC1320" s="139" t="n"/>
      <c r="CD1320" s="204" t="n"/>
      <c r="CE1320" s="204" t="n"/>
      <c r="CF1320" s="207" t="n"/>
      <c r="CG1320" s="208" t="n"/>
      <c r="CH1320" s="207" t="n"/>
      <c r="CI1320" s="208" t="n"/>
      <c r="CJ1320" s="204" t="n"/>
      <c r="CK1320" s="208" t="n"/>
      <c r="CL1320" s="208" t="n"/>
      <c r="CM1320" s="208" t="n"/>
      <c r="CN1320" s="78" t="n"/>
      <c r="CO1320" s="209" t="n"/>
      <c r="CP1320" s="204" t="n"/>
      <c r="CQ1320" s="204" t="n"/>
      <c r="CR1320" s="204" t="n"/>
      <c r="CS1320" s="204" t="n"/>
      <c r="CT1320" s="204" t="n"/>
      <c r="CU1320" s="204" t="n"/>
      <c r="CV1320" s="204" t="n"/>
      <c r="CW1320" s="204" t="n"/>
    </row>
    <row r="1321">
      <c r="BF1321" s="78" t="n"/>
      <c r="BG1321" s="78" t="n"/>
      <c r="BH1321" s="78" t="n"/>
      <c r="BI1321" s="78" t="n"/>
      <c r="BJ1321" s="139" t="n"/>
      <c r="BK1321" s="204" t="n"/>
      <c r="BL1321" s="141" t="n"/>
      <c r="BM1321" s="205" t="n"/>
      <c r="BN1321" s="205" t="n"/>
      <c r="BO1321" s="206" t="n"/>
      <c r="BP1321" s="144" t="n"/>
      <c r="BQ1321" s="141" t="n"/>
      <c r="BR1321" s="207" t="n"/>
      <c r="BS1321" s="207" t="n"/>
      <c r="BT1321" s="207" t="n"/>
      <c r="BU1321" s="207" t="n"/>
      <c r="BV1321" s="208" t="n"/>
      <c r="BW1321" s="207" t="n"/>
      <c r="BX1321" s="207" t="n"/>
      <c r="BY1321" s="204" t="n"/>
      <c r="BZ1321" s="148" t="n"/>
      <c r="CA1321" s="204" t="n"/>
      <c r="CB1321" s="208" t="n"/>
      <c r="CC1321" s="139" t="n"/>
      <c r="CD1321" s="204" t="n"/>
      <c r="CE1321" s="204" t="n"/>
      <c r="CF1321" s="207" t="n"/>
      <c r="CG1321" s="208" t="n"/>
      <c r="CH1321" s="207" t="n"/>
      <c r="CI1321" s="208" t="n"/>
      <c r="CJ1321" s="204" t="n"/>
      <c r="CK1321" s="208" t="n"/>
      <c r="CL1321" s="208" t="n"/>
      <c r="CM1321" s="208" t="n"/>
      <c r="CN1321" s="78" t="n"/>
      <c r="CO1321" s="209" t="n"/>
      <c r="CP1321" s="204" t="n"/>
      <c r="CQ1321" s="204" t="n"/>
      <c r="CR1321" s="204" t="n"/>
      <c r="CS1321" s="204" t="n"/>
      <c r="CT1321" s="204" t="n"/>
      <c r="CU1321" s="204" t="n"/>
      <c r="CV1321" s="204" t="n"/>
      <c r="CW1321" s="204" t="n"/>
    </row>
    <row r="1322">
      <c r="BF1322" s="78" t="n"/>
      <c r="BG1322" s="78" t="n"/>
      <c r="BH1322" s="78" t="n"/>
      <c r="BI1322" s="78" t="n"/>
      <c r="BJ1322" s="139" t="n"/>
      <c r="BK1322" s="204" t="n"/>
      <c r="BL1322" s="141" t="n"/>
      <c r="BM1322" s="205" t="n"/>
      <c r="BN1322" s="205" t="n"/>
      <c r="BO1322" s="206" t="n"/>
      <c r="BP1322" s="144" t="n"/>
      <c r="BQ1322" s="141" t="n"/>
      <c r="BR1322" s="207" t="n"/>
      <c r="BS1322" s="207" t="n"/>
      <c r="BT1322" s="207" t="n"/>
      <c r="BU1322" s="207" t="n"/>
      <c r="BV1322" s="208" t="n"/>
      <c r="BW1322" s="207" t="n"/>
      <c r="BX1322" s="207" t="n"/>
      <c r="BY1322" s="204" t="n"/>
      <c r="BZ1322" s="148" t="n"/>
      <c r="CA1322" s="204" t="n"/>
      <c r="CB1322" s="208" t="n"/>
      <c r="CC1322" s="139" t="n"/>
      <c r="CD1322" s="204" t="n"/>
      <c r="CE1322" s="204" t="n"/>
      <c r="CF1322" s="207" t="n"/>
      <c r="CG1322" s="208" t="n"/>
      <c r="CH1322" s="207" t="n"/>
      <c r="CI1322" s="208" t="n"/>
      <c r="CJ1322" s="204" t="n"/>
      <c r="CK1322" s="208" t="n"/>
      <c r="CL1322" s="208" t="n"/>
      <c r="CM1322" s="208" t="n"/>
      <c r="CN1322" s="78" t="n"/>
      <c r="CO1322" s="209" t="n"/>
      <c r="CP1322" s="204" t="n"/>
      <c r="CQ1322" s="204" t="n"/>
      <c r="CR1322" s="204" t="n"/>
      <c r="CS1322" s="204" t="n"/>
      <c r="CT1322" s="204" t="n"/>
      <c r="CU1322" s="204" t="n"/>
      <c r="CV1322" s="204" t="n"/>
      <c r="CW1322" s="204" t="n"/>
    </row>
    <row r="1323">
      <c r="BF1323" s="78" t="n"/>
      <c r="BG1323" s="78" t="n"/>
      <c r="BH1323" s="78" t="n"/>
      <c r="BI1323" s="78" t="n"/>
      <c r="BJ1323" s="139" t="n"/>
      <c r="BK1323" s="204" t="n"/>
      <c r="BL1323" s="141" t="n"/>
      <c r="BM1323" s="205" t="n"/>
      <c r="BN1323" s="205" t="n"/>
      <c r="BO1323" s="206" t="n"/>
      <c r="BP1323" s="144" t="n"/>
      <c r="BQ1323" s="141" t="n"/>
      <c r="BR1323" s="207" t="n"/>
      <c r="BS1323" s="207" t="n"/>
      <c r="BT1323" s="207" t="n"/>
      <c r="BU1323" s="207" t="n"/>
      <c r="BV1323" s="208" t="n"/>
      <c r="BW1323" s="207" t="n"/>
      <c r="BX1323" s="207" t="n"/>
      <c r="BY1323" s="204" t="n"/>
      <c r="BZ1323" s="148" t="n"/>
      <c r="CA1323" s="204" t="n"/>
      <c r="CB1323" s="208" t="n"/>
      <c r="CC1323" s="139" t="n"/>
      <c r="CD1323" s="204" t="n"/>
      <c r="CE1323" s="204" t="n"/>
      <c r="CF1323" s="207" t="n"/>
      <c r="CG1323" s="208" t="n"/>
      <c r="CH1323" s="207" t="n"/>
      <c r="CI1323" s="208" t="n"/>
      <c r="CJ1323" s="204" t="n"/>
      <c r="CK1323" s="208" t="n"/>
      <c r="CL1323" s="208" t="n"/>
      <c r="CM1323" s="208" t="n"/>
      <c r="CN1323" s="78" t="n"/>
      <c r="CO1323" s="209" t="n"/>
      <c r="CP1323" s="204" t="n"/>
      <c r="CQ1323" s="204" t="n"/>
      <c r="CR1323" s="204" t="n"/>
      <c r="CS1323" s="204" t="n"/>
      <c r="CT1323" s="204" t="n"/>
      <c r="CU1323" s="204" t="n"/>
      <c r="CV1323" s="204" t="n"/>
      <c r="CW1323" s="204" t="n"/>
    </row>
    <row r="1324">
      <c r="BF1324" s="78" t="n"/>
      <c r="BG1324" s="78" t="n"/>
      <c r="BH1324" s="78" t="n"/>
      <c r="BI1324" s="78" t="n"/>
      <c r="BJ1324" s="139" t="n"/>
      <c r="BK1324" s="204" t="n"/>
      <c r="BL1324" s="141" t="n"/>
      <c r="BM1324" s="205" t="n"/>
      <c r="BN1324" s="205" t="n"/>
      <c r="BO1324" s="206" t="n"/>
      <c r="BP1324" s="144" t="n"/>
      <c r="BQ1324" s="141" t="n"/>
      <c r="BR1324" s="207" t="n"/>
      <c r="BS1324" s="207" t="n"/>
      <c r="BT1324" s="207" t="n"/>
      <c r="BU1324" s="207" t="n"/>
      <c r="BV1324" s="208" t="n"/>
      <c r="BW1324" s="207" t="n"/>
      <c r="BX1324" s="207" t="n"/>
      <c r="BY1324" s="204" t="n"/>
      <c r="BZ1324" s="148" t="n"/>
      <c r="CA1324" s="204" t="n"/>
      <c r="CB1324" s="208" t="n"/>
      <c r="CC1324" s="139" t="n"/>
      <c r="CD1324" s="204" t="n"/>
      <c r="CE1324" s="204" t="n"/>
      <c r="CF1324" s="207" t="n"/>
      <c r="CG1324" s="208" t="n"/>
      <c r="CH1324" s="207" t="n"/>
      <c r="CI1324" s="208" t="n"/>
      <c r="CJ1324" s="204" t="n"/>
      <c r="CK1324" s="208" t="n"/>
      <c r="CL1324" s="208" t="n"/>
      <c r="CM1324" s="208" t="n"/>
      <c r="CN1324" s="78" t="n"/>
      <c r="CO1324" s="209" t="n"/>
      <c r="CP1324" s="204" t="n"/>
      <c r="CQ1324" s="204" t="n"/>
      <c r="CR1324" s="204" t="n"/>
      <c r="CS1324" s="204" t="n"/>
      <c r="CT1324" s="204" t="n"/>
      <c r="CU1324" s="204" t="n"/>
      <c r="CV1324" s="204" t="n"/>
      <c r="CW1324" s="204" t="n"/>
    </row>
    <row r="1325">
      <c r="BF1325" s="78" t="n"/>
      <c r="BG1325" s="78" t="n"/>
      <c r="BH1325" s="78" t="n"/>
      <c r="BI1325" s="78" t="n"/>
      <c r="BJ1325" s="139" t="n"/>
      <c r="BK1325" s="204" t="n"/>
      <c r="BL1325" s="141" t="n"/>
      <c r="BM1325" s="205" t="n"/>
      <c r="BN1325" s="205" t="n"/>
      <c r="BO1325" s="206" t="n"/>
      <c r="BP1325" s="144" t="n"/>
      <c r="BQ1325" s="141" t="n"/>
      <c r="BR1325" s="207" t="n"/>
      <c r="BS1325" s="207" t="n"/>
      <c r="BT1325" s="207" t="n"/>
      <c r="BU1325" s="207" t="n"/>
      <c r="BV1325" s="208" t="n"/>
      <c r="BW1325" s="207" t="n"/>
      <c r="BX1325" s="207" t="n"/>
      <c r="BY1325" s="204" t="n"/>
      <c r="BZ1325" s="148" t="n"/>
      <c r="CA1325" s="204" t="n"/>
      <c r="CB1325" s="208" t="n"/>
      <c r="CC1325" s="139" t="n"/>
      <c r="CD1325" s="204" t="n"/>
      <c r="CE1325" s="204" t="n"/>
      <c r="CF1325" s="207" t="n"/>
      <c r="CG1325" s="208" t="n"/>
      <c r="CH1325" s="207" t="n"/>
      <c r="CI1325" s="208" t="n"/>
      <c r="CJ1325" s="204" t="n"/>
      <c r="CK1325" s="208" t="n"/>
      <c r="CL1325" s="208" t="n"/>
      <c r="CM1325" s="208" t="n"/>
      <c r="CN1325" s="78" t="n"/>
      <c r="CO1325" s="209" t="n"/>
      <c r="CP1325" s="204" t="n"/>
      <c r="CQ1325" s="204" t="n"/>
      <c r="CR1325" s="204" t="n"/>
      <c r="CS1325" s="204" t="n"/>
      <c r="CT1325" s="204" t="n"/>
      <c r="CU1325" s="204" t="n"/>
      <c r="CV1325" s="204" t="n"/>
      <c r="CW1325" s="204" t="n"/>
    </row>
    <row r="1326">
      <c r="BF1326" s="78" t="n"/>
      <c r="BG1326" s="78" t="n"/>
      <c r="BH1326" s="78" t="n"/>
      <c r="BI1326" s="78" t="n"/>
      <c r="BJ1326" s="139" t="n"/>
      <c r="BK1326" s="204" t="n"/>
      <c r="BL1326" s="141" t="n"/>
      <c r="BM1326" s="205" t="n"/>
      <c r="BN1326" s="205" t="n"/>
      <c r="BO1326" s="206" t="n"/>
      <c r="BP1326" s="144" t="n"/>
      <c r="BQ1326" s="141" t="n"/>
      <c r="BR1326" s="207" t="n"/>
      <c r="BS1326" s="207" t="n"/>
      <c r="BT1326" s="207" t="n"/>
      <c r="BU1326" s="207" t="n"/>
      <c r="BV1326" s="208" t="n"/>
      <c r="BW1326" s="207" t="n"/>
      <c r="BX1326" s="207" t="n"/>
      <c r="BY1326" s="204" t="n"/>
      <c r="BZ1326" s="148" t="n"/>
      <c r="CA1326" s="204" t="n"/>
      <c r="CB1326" s="208" t="n"/>
      <c r="CC1326" s="139" t="n"/>
      <c r="CD1326" s="204" t="n"/>
      <c r="CE1326" s="204" t="n"/>
      <c r="CF1326" s="207" t="n"/>
      <c r="CG1326" s="208" t="n"/>
      <c r="CH1326" s="207" t="n"/>
      <c r="CI1326" s="208" t="n"/>
      <c r="CJ1326" s="204" t="n"/>
      <c r="CK1326" s="208" t="n"/>
      <c r="CL1326" s="208" t="n"/>
      <c r="CM1326" s="208" t="n"/>
      <c r="CN1326" s="78" t="n"/>
      <c r="CO1326" s="209" t="n"/>
      <c r="CP1326" s="204" t="n"/>
      <c r="CQ1326" s="204" t="n"/>
      <c r="CR1326" s="204" t="n"/>
      <c r="CS1326" s="204" t="n"/>
      <c r="CT1326" s="204" t="n"/>
      <c r="CU1326" s="204" t="n"/>
      <c r="CV1326" s="204" t="n"/>
      <c r="CW1326" s="204" t="n"/>
    </row>
    <row r="1327">
      <c r="BF1327" s="78" t="n"/>
      <c r="BG1327" s="78" t="n"/>
      <c r="BH1327" s="78" t="n"/>
      <c r="BI1327" s="78" t="n"/>
      <c r="BJ1327" s="139" t="n"/>
      <c r="BK1327" s="204" t="n"/>
      <c r="BL1327" s="141" t="n"/>
      <c r="BM1327" s="205" t="n"/>
      <c r="BN1327" s="205" t="n"/>
      <c r="BO1327" s="206" t="n"/>
      <c r="BP1327" s="144" t="n"/>
      <c r="BQ1327" s="141" t="n"/>
      <c r="BR1327" s="207" t="n"/>
      <c r="BS1327" s="207" t="n"/>
      <c r="BT1327" s="207" t="n"/>
      <c r="BU1327" s="207" t="n"/>
      <c r="BV1327" s="208" t="n"/>
      <c r="BW1327" s="207" t="n"/>
      <c r="BX1327" s="207" t="n"/>
      <c r="BY1327" s="204" t="n"/>
      <c r="BZ1327" s="148" t="n"/>
      <c r="CA1327" s="204" t="n"/>
      <c r="CB1327" s="208" t="n"/>
      <c r="CC1327" s="139" t="n"/>
      <c r="CD1327" s="204" t="n"/>
      <c r="CE1327" s="204" t="n"/>
      <c r="CF1327" s="207" t="n"/>
      <c r="CG1327" s="208" t="n"/>
      <c r="CH1327" s="207" t="n"/>
      <c r="CI1327" s="208" t="n"/>
      <c r="CJ1327" s="204" t="n"/>
      <c r="CK1327" s="208" t="n"/>
      <c r="CL1327" s="208" t="n"/>
      <c r="CM1327" s="208" t="n"/>
      <c r="CN1327" s="78" t="n"/>
      <c r="CO1327" s="209" t="n"/>
      <c r="CP1327" s="204" t="n"/>
      <c r="CQ1327" s="204" t="n"/>
      <c r="CR1327" s="204" t="n"/>
      <c r="CS1327" s="204" t="n"/>
      <c r="CT1327" s="204" t="n"/>
      <c r="CU1327" s="204" t="n"/>
      <c r="CV1327" s="204" t="n"/>
      <c r="CW1327" s="204" t="n"/>
    </row>
    <row r="1328">
      <c r="BF1328" s="78" t="n"/>
      <c r="BG1328" s="78" t="n"/>
      <c r="BH1328" s="78" t="n"/>
      <c r="BI1328" s="78" t="n"/>
      <c r="BJ1328" s="139" t="n"/>
      <c r="BK1328" s="204" t="n"/>
      <c r="BL1328" s="141" t="n"/>
      <c r="BM1328" s="205" t="n"/>
      <c r="BN1328" s="205" t="n"/>
      <c r="BO1328" s="206" t="n"/>
      <c r="BP1328" s="144" t="n"/>
      <c r="BQ1328" s="141" t="n"/>
      <c r="BR1328" s="207" t="n"/>
      <c r="BS1328" s="207" t="n"/>
      <c r="BT1328" s="207" t="n"/>
      <c r="BU1328" s="207" t="n"/>
      <c r="BV1328" s="208" t="n"/>
      <c r="BW1328" s="207" t="n"/>
      <c r="BX1328" s="207" t="n"/>
      <c r="BY1328" s="204" t="n"/>
      <c r="BZ1328" s="148" t="n"/>
      <c r="CA1328" s="204" t="n"/>
      <c r="CB1328" s="208" t="n"/>
      <c r="CC1328" s="139" t="n"/>
      <c r="CD1328" s="204" t="n"/>
      <c r="CE1328" s="204" t="n"/>
      <c r="CF1328" s="207" t="n"/>
      <c r="CG1328" s="208" t="n"/>
      <c r="CH1328" s="207" t="n"/>
      <c r="CI1328" s="208" t="n"/>
      <c r="CJ1328" s="204" t="n"/>
      <c r="CK1328" s="208" t="n"/>
      <c r="CL1328" s="208" t="n"/>
      <c r="CM1328" s="208" t="n"/>
      <c r="CN1328" s="78" t="n"/>
      <c r="CO1328" s="209" t="n"/>
      <c r="CP1328" s="204" t="n"/>
      <c r="CQ1328" s="204" t="n"/>
      <c r="CR1328" s="204" t="n"/>
      <c r="CS1328" s="204" t="n"/>
      <c r="CT1328" s="204" t="n"/>
      <c r="CU1328" s="204" t="n"/>
      <c r="CV1328" s="204" t="n"/>
      <c r="CW1328" s="204" t="n"/>
    </row>
    <row r="1329">
      <c r="BF1329" s="78" t="n"/>
      <c r="BG1329" s="78" t="n"/>
      <c r="BH1329" s="78" t="n"/>
      <c r="BI1329" s="78" t="n"/>
      <c r="BJ1329" s="139" t="n"/>
      <c r="BK1329" s="204" t="n"/>
      <c r="BL1329" s="141" t="n"/>
      <c r="BM1329" s="205" t="n"/>
      <c r="BN1329" s="205" t="n"/>
      <c r="BO1329" s="206" t="n"/>
      <c r="BP1329" s="144" t="n"/>
      <c r="BQ1329" s="141" t="n"/>
      <c r="BR1329" s="207" t="n"/>
      <c r="BS1329" s="207" t="n"/>
      <c r="BT1329" s="207" t="n"/>
      <c r="BU1329" s="207" t="n"/>
      <c r="BV1329" s="208" t="n"/>
      <c r="BW1329" s="207" t="n"/>
      <c r="BX1329" s="207" t="n"/>
      <c r="BY1329" s="204" t="n"/>
      <c r="BZ1329" s="148" t="n"/>
      <c r="CA1329" s="204" t="n"/>
      <c r="CB1329" s="208" t="n"/>
      <c r="CC1329" s="139" t="n"/>
      <c r="CD1329" s="204" t="n"/>
      <c r="CE1329" s="204" t="n"/>
      <c r="CF1329" s="207" t="n"/>
      <c r="CG1329" s="208" t="n"/>
      <c r="CH1329" s="207" t="n"/>
      <c r="CI1329" s="208" t="n"/>
      <c r="CJ1329" s="204" t="n"/>
      <c r="CK1329" s="208" t="n"/>
      <c r="CL1329" s="208" t="n"/>
      <c r="CM1329" s="208" t="n"/>
      <c r="CN1329" s="78" t="n"/>
      <c r="CO1329" s="209" t="n"/>
      <c r="CP1329" s="204" t="n"/>
      <c r="CQ1329" s="204" t="n"/>
      <c r="CR1329" s="204" t="n"/>
      <c r="CS1329" s="204" t="n"/>
      <c r="CT1329" s="204" t="n"/>
      <c r="CU1329" s="204" t="n"/>
      <c r="CV1329" s="204" t="n"/>
      <c r="CW1329" s="204" t="n"/>
    </row>
    <row r="1330">
      <c r="BF1330" s="78" t="n"/>
      <c r="BG1330" s="78" t="n"/>
      <c r="BH1330" s="78" t="n"/>
      <c r="BI1330" s="78" t="n"/>
      <c r="BJ1330" s="139" t="n"/>
      <c r="BK1330" s="204" t="n"/>
      <c r="BL1330" s="141" t="n"/>
      <c r="BM1330" s="205" t="n"/>
      <c r="BN1330" s="205" t="n"/>
      <c r="BO1330" s="206" t="n"/>
      <c r="BP1330" s="144" t="n"/>
      <c r="BQ1330" s="141" t="n"/>
      <c r="BR1330" s="207" t="n"/>
      <c r="BS1330" s="207" t="n"/>
      <c r="BT1330" s="207" t="n"/>
      <c r="BU1330" s="207" t="n"/>
      <c r="BV1330" s="208" t="n"/>
      <c r="BW1330" s="207" t="n"/>
      <c r="BX1330" s="207" t="n"/>
      <c r="BY1330" s="204" t="n"/>
      <c r="BZ1330" s="148" t="n"/>
      <c r="CA1330" s="204" t="n"/>
      <c r="CB1330" s="208" t="n"/>
      <c r="CC1330" s="139" t="n"/>
      <c r="CD1330" s="204" t="n"/>
      <c r="CE1330" s="204" t="n"/>
      <c r="CF1330" s="207" t="n"/>
      <c r="CG1330" s="208" t="n"/>
      <c r="CH1330" s="207" t="n"/>
      <c r="CI1330" s="208" t="n"/>
      <c r="CJ1330" s="204" t="n"/>
      <c r="CK1330" s="208" t="n"/>
      <c r="CL1330" s="208" t="n"/>
      <c r="CM1330" s="208" t="n"/>
      <c r="CN1330" s="78" t="n"/>
      <c r="CO1330" s="209" t="n"/>
      <c r="CP1330" s="204" t="n"/>
      <c r="CQ1330" s="204" t="n"/>
      <c r="CR1330" s="204" t="n"/>
      <c r="CS1330" s="204" t="n"/>
      <c r="CT1330" s="204" t="n"/>
      <c r="CU1330" s="204" t="n"/>
      <c r="CV1330" s="204" t="n"/>
      <c r="CW1330" s="204" t="n"/>
    </row>
    <row r="1331">
      <c r="BF1331" s="78" t="n"/>
      <c r="BG1331" s="78" t="n"/>
      <c r="BH1331" s="78" t="n"/>
      <c r="BI1331" s="78" t="n"/>
      <c r="BJ1331" s="139" t="n"/>
      <c r="BK1331" s="204" t="n"/>
      <c r="BL1331" s="141" t="n"/>
      <c r="BM1331" s="205" t="n"/>
      <c r="BN1331" s="205" t="n"/>
      <c r="BO1331" s="206" t="n"/>
      <c r="BP1331" s="144" t="n"/>
      <c r="BQ1331" s="141" t="n"/>
      <c r="BR1331" s="207" t="n"/>
      <c r="BS1331" s="207" t="n"/>
      <c r="BT1331" s="207" t="n"/>
      <c r="BU1331" s="207" t="n"/>
      <c r="BV1331" s="208" t="n"/>
      <c r="BW1331" s="207" t="n"/>
      <c r="BX1331" s="207" t="n"/>
      <c r="BY1331" s="204" t="n"/>
      <c r="BZ1331" s="148" t="n"/>
      <c r="CA1331" s="204" t="n"/>
      <c r="CB1331" s="208" t="n"/>
      <c r="CC1331" s="139" t="n"/>
      <c r="CD1331" s="204" t="n"/>
      <c r="CE1331" s="204" t="n"/>
      <c r="CF1331" s="207" t="n"/>
      <c r="CG1331" s="208" t="n"/>
      <c r="CH1331" s="207" t="n"/>
      <c r="CI1331" s="208" t="n"/>
      <c r="CJ1331" s="204" t="n"/>
      <c r="CK1331" s="208" t="n"/>
      <c r="CL1331" s="208" t="n"/>
      <c r="CM1331" s="208" t="n"/>
      <c r="CN1331" s="78" t="n"/>
      <c r="CO1331" s="209" t="n"/>
      <c r="CP1331" s="204" t="n"/>
      <c r="CQ1331" s="204" t="n"/>
      <c r="CR1331" s="204" t="n"/>
      <c r="CS1331" s="204" t="n"/>
      <c r="CT1331" s="204" t="n"/>
      <c r="CU1331" s="204" t="n"/>
      <c r="CV1331" s="204" t="n"/>
      <c r="CW1331" s="204" t="n"/>
    </row>
    <row r="1332">
      <c r="BF1332" s="78" t="n"/>
      <c r="BG1332" s="78" t="n"/>
      <c r="BH1332" s="78" t="n"/>
      <c r="BI1332" s="78" t="n"/>
      <c r="BJ1332" s="139" t="n"/>
      <c r="BK1332" s="204" t="n"/>
      <c r="BL1332" s="141" t="n"/>
      <c r="BM1332" s="205" t="n"/>
      <c r="BN1332" s="205" t="n"/>
      <c r="BO1332" s="206" t="n"/>
      <c r="BP1332" s="144" t="n"/>
      <c r="BQ1332" s="141" t="n"/>
      <c r="BR1332" s="207" t="n"/>
      <c r="BS1332" s="207" t="n"/>
      <c r="BT1332" s="207" t="n"/>
      <c r="BU1332" s="207" t="n"/>
      <c r="BV1332" s="208" t="n"/>
      <c r="BW1332" s="207" t="n"/>
      <c r="BX1332" s="207" t="n"/>
      <c r="BY1332" s="204" t="n"/>
      <c r="BZ1332" s="148" t="n"/>
      <c r="CA1332" s="204" t="n"/>
      <c r="CB1332" s="208" t="n"/>
      <c r="CC1332" s="139" t="n"/>
      <c r="CD1332" s="204" t="n"/>
      <c r="CE1332" s="204" t="n"/>
      <c r="CF1332" s="207" t="n"/>
      <c r="CG1332" s="208" t="n"/>
      <c r="CH1332" s="207" t="n"/>
      <c r="CI1332" s="208" t="n"/>
      <c r="CJ1332" s="204" t="n"/>
      <c r="CK1332" s="208" t="n"/>
      <c r="CL1332" s="208" t="n"/>
      <c r="CM1332" s="208" t="n"/>
      <c r="CN1332" s="78" t="n"/>
      <c r="CO1332" s="209" t="n"/>
      <c r="CP1332" s="204" t="n"/>
      <c r="CQ1332" s="204" t="n"/>
      <c r="CR1332" s="204" t="n"/>
      <c r="CS1332" s="204" t="n"/>
      <c r="CT1332" s="204" t="n"/>
      <c r="CU1332" s="204" t="n"/>
      <c r="CV1332" s="204" t="n"/>
      <c r="CW1332" s="204" t="n"/>
    </row>
    <row r="1333">
      <c r="BF1333" s="78" t="n"/>
      <c r="BG1333" s="78" t="n"/>
      <c r="BH1333" s="78" t="n"/>
      <c r="BI1333" s="78" t="n"/>
      <c r="BJ1333" s="139" t="n"/>
      <c r="BK1333" s="204" t="n"/>
      <c r="BL1333" s="141" t="n"/>
      <c r="BM1333" s="205" t="n"/>
      <c r="BN1333" s="205" t="n"/>
      <c r="BO1333" s="206" t="n"/>
      <c r="BP1333" s="144" t="n"/>
      <c r="BQ1333" s="141" t="n"/>
      <c r="BR1333" s="207" t="n"/>
      <c r="BS1333" s="207" t="n"/>
      <c r="BT1333" s="207" t="n"/>
      <c r="BU1333" s="207" t="n"/>
      <c r="BV1333" s="208" t="n"/>
      <c r="BW1333" s="207" t="n"/>
      <c r="BX1333" s="207" t="n"/>
      <c r="BY1333" s="204" t="n"/>
      <c r="BZ1333" s="148" t="n"/>
      <c r="CA1333" s="204" t="n"/>
      <c r="CB1333" s="208" t="n"/>
      <c r="CC1333" s="139" t="n"/>
      <c r="CD1333" s="204" t="n"/>
      <c r="CE1333" s="204" t="n"/>
      <c r="CF1333" s="207" t="n"/>
      <c r="CG1333" s="208" t="n"/>
      <c r="CH1333" s="207" t="n"/>
      <c r="CI1333" s="208" t="n"/>
      <c r="CJ1333" s="204" t="n"/>
      <c r="CK1333" s="208" t="n"/>
      <c r="CL1333" s="208" t="n"/>
      <c r="CM1333" s="208" t="n"/>
      <c r="CN1333" s="78" t="n"/>
      <c r="CO1333" s="209" t="n"/>
      <c r="CP1333" s="204" t="n"/>
      <c r="CQ1333" s="204" t="n"/>
      <c r="CR1333" s="204" t="n"/>
      <c r="CS1333" s="204" t="n"/>
      <c r="CT1333" s="204" t="n"/>
      <c r="CU1333" s="204" t="n"/>
      <c r="CV1333" s="204" t="n"/>
      <c r="CW1333" s="204" t="n"/>
    </row>
    <row r="1334">
      <c r="BF1334" s="78" t="n"/>
      <c r="BG1334" s="78" t="n"/>
      <c r="BH1334" s="78" t="n"/>
      <c r="BI1334" s="78" t="n"/>
      <c r="BJ1334" s="139" t="n"/>
      <c r="BK1334" s="204" t="n"/>
      <c r="BL1334" s="141" t="n"/>
      <c r="BM1334" s="205" t="n"/>
      <c r="BN1334" s="205" t="n"/>
      <c r="BO1334" s="206" t="n"/>
      <c r="BP1334" s="144" t="n"/>
      <c r="BQ1334" s="141" t="n"/>
      <c r="BR1334" s="207" t="n"/>
      <c r="BS1334" s="207" t="n"/>
      <c r="BT1334" s="207" t="n"/>
      <c r="BU1334" s="207" t="n"/>
      <c r="BV1334" s="208" t="n"/>
      <c r="BW1334" s="207" t="n"/>
      <c r="BX1334" s="207" t="n"/>
      <c r="BY1334" s="204" t="n"/>
      <c r="BZ1334" s="148" t="n"/>
      <c r="CA1334" s="204" t="n"/>
      <c r="CB1334" s="208" t="n"/>
      <c r="CC1334" s="139" t="n"/>
      <c r="CD1334" s="204" t="n"/>
      <c r="CE1334" s="204" t="n"/>
      <c r="CF1334" s="207" t="n"/>
      <c r="CG1334" s="208" t="n"/>
      <c r="CH1334" s="207" t="n"/>
      <c r="CI1334" s="208" t="n"/>
      <c r="CJ1334" s="204" t="n"/>
      <c r="CK1334" s="208" t="n"/>
      <c r="CL1334" s="208" t="n"/>
      <c r="CM1334" s="208" t="n"/>
      <c r="CN1334" s="78" t="n"/>
      <c r="CO1334" s="209" t="n"/>
      <c r="CP1334" s="204" t="n"/>
      <c r="CQ1334" s="204" t="n"/>
      <c r="CR1334" s="204" t="n"/>
      <c r="CS1334" s="204" t="n"/>
      <c r="CT1334" s="204" t="n"/>
      <c r="CU1334" s="204" t="n"/>
      <c r="CV1334" s="204" t="n"/>
      <c r="CW1334" s="204" t="n"/>
    </row>
    <row r="1335">
      <c r="BF1335" s="78" t="n"/>
      <c r="BG1335" s="78" t="n"/>
      <c r="BH1335" s="78" t="n"/>
      <c r="BI1335" s="78" t="n"/>
      <c r="BJ1335" s="139" t="n"/>
      <c r="BK1335" s="204" t="n"/>
      <c r="BL1335" s="141" t="n"/>
      <c r="BM1335" s="205" t="n"/>
      <c r="BN1335" s="205" t="n"/>
      <c r="BO1335" s="206" t="n"/>
      <c r="BP1335" s="144" t="n"/>
      <c r="BQ1335" s="141" t="n"/>
      <c r="BR1335" s="207" t="n"/>
      <c r="BS1335" s="207" t="n"/>
      <c r="BT1335" s="207" t="n"/>
      <c r="BU1335" s="207" t="n"/>
      <c r="BV1335" s="208" t="n"/>
      <c r="BW1335" s="207" t="n"/>
      <c r="BX1335" s="207" t="n"/>
      <c r="BY1335" s="204" t="n"/>
      <c r="BZ1335" s="148" t="n"/>
      <c r="CA1335" s="204" t="n"/>
      <c r="CB1335" s="208" t="n"/>
      <c r="CC1335" s="139" t="n"/>
      <c r="CD1335" s="204" t="n"/>
      <c r="CE1335" s="204" t="n"/>
      <c r="CF1335" s="207" t="n"/>
      <c r="CG1335" s="208" t="n"/>
      <c r="CH1335" s="207" t="n"/>
      <c r="CI1335" s="208" t="n"/>
      <c r="CJ1335" s="204" t="n"/>
      <c r="CK1335" s="208" t="n"/>
      <c r="CL1335" s="208" t="n"/>
      <c r="CM1335" s="208" t="n"/>
      <c r="CN1335" s="78" t="n"/>
      <c r="CO1335" s="209" t="n"/>
      <c r="CP1335" s="204" t="n"/>
      <c r="CQ1335" s="204" t="n"/>
      <c r="CR1335" s="204" t="n"/>
      <c r="CS1335" s="204" t="n"/>
      <c r="CT1335" s="204" t="n"/>
      <c r="CU1335" s="204" t="n"/>
      <c r="CV1335" s="204" t="n"/>
      <c r="CW1335" s="204" t="n"/>
    </row>
    <row r="1336">
      <c r="BF1336" s="78" t="n"/>
      <c r="BG1336" s="78" t="n"/>
      <c r="BH1336" s="78" t="n"/>
      <c r="BI1336" s="78" t="n"/>
      <c r="BJ1336" s="139" t="n"/>
      <c r="BK1336" s="204" t="n"/>
      <c r="BL1336" s="141" t="n"/>
      <c r="BM1336" s="205" t="n"/>
      <c r="BN1336" s="205" t="n"/>
      <c r="BO1336" s="206" t="n"/>
      <c r="BP1336" s="144" t="n"/>
      <c r="BQ1336" s="141" t="n"/>
      <c r="BR1336" s="207" t="n"/>
      <c r="BS1336" s="207" t="n"/>
      <c r="BT1336" s="207" t="n"/>
      <c r="BU1336" s="207" t="n"/>
      <c r="BV1336" s="208" t="n"/>
      <c r="BW1336" s="207" t="n"/>
      <c r="BX1336" s="207" t="n"/>
      <c r="BY1336" s="204" t="n"/>
      <c r="BZ1336" s="148" t="n"/>
      <c r="CA1336" s="204" t="n"/>
      <c r="CB1336" s="208" t="n"/>
      <c r="CC1336" s="139" t="n"/>
      <c r="CD1336" s="204" t="n"/>
      <c r="CE1336" s="204" t="n"/>
      <c r="CF1336" s="207" t="n"/>
      <c r="CG1336" s="208" t="n"/>
      <c r="CH1336" s="207" t="n"/>
      <c r="CI1336" s="208" t="n"/>
      <c r="CJ1336" s="204" t="n"/>
      <c r="CK1336" s="208" t="n"/>
      <c r="CL1336" s="208" t="n"/>
      <c r="CM1336" s="208" t="n"/>
      <c r="CN1336" s="78" t="n"/>
      <c r="CO1336" s="209" t="n"/>
      <c r="CP1336" s="204" t="n"/>
      <c r="CQ1336" s="204" t="n"/>
      <c r="CR1336" s="204" t="n"/>
      <c r="CS1336" s="204" t="n"/>
      <c r="CT1336" s="204" t="n"/>
      <c r="CU1336" s="204" t="n"/>
      <c r="CV1336" s="204" t="n"/>
      <c r="CW1336" s="204" t="n"/>
    </row>
    <row r="1337">
      <c r="BF1337" s="78" t="n"/>
      <c r="BG1337" s="78" t="n"/>
      <c r="BH1337" s="78" t="n"/>
      <c r="BI1337" s="78" t="n"/>
      <c r="BJ1337" s="139" t="n"/>
      <c r="BK1337" s="204" t="n"/>
      <c r="BL1337" s="141" t="n"/>
      <c r="BM1337" s="205" t="n"/>
      <c r="BN1337" s="205" t="n"/>
      <c r="BO1337" s="206" t="n"/>
      <c r="BP1337" s="144" t="n"/>
      <c r="BQ1337" s="141" t="n"/>
      <c r="BR1337" s="207" t="n"/>
      <c r="BS1337" s="207" t="n"/>
      <c r="BT1337" s="207" t="n"/>
      <c r="BU1337" s="207" t="n"/>
      <c r="BV1337" s="208" t="n"/>
      <c r="BW1337" s="207" t="n"/>
      <c r="BX1337" s="207" t="n"/>
      <c r="BY1337" s="204" t="n"/>
      <c r="BZ1337" s="148" t="n"/>
      <c r="CA1337" s="204" t="n"/>
      <c r="CB1337" s="208" t="n"/>
      <c r="CC1337" s="139" t="n"/>
      <c r="CD1337" s="204" t="n"/>
      <c r="CE1337" s="204" t="n"/>
      <c r="CF1337" s="207" t="n"/>
      <c r="CG1337" s="208" t="n"/>
      <c r="CH1337" s="207" t="n"/>
      <c r="CI1337" s="208" t="n"/>
      <c r="CJ1337" s="204" t="n"/>
      <c r="CK1337" s="208" t="n"/>
      <c r="CL1337" s="208" t="n"/>
      <c r="CM1337" s="208" t="n"/>
      <c r="CN1337" s="78" t="n"/>
      <c r="CO1337" s="209" t="n"/>
      <c r="CP1337" s="204" t="n"/>
      <c r="CQ1337" s="204" t="n"/>
      <c r="CR1337" s="204" t="n"/>
      <c r="CS1337" s="204" t="n"/>
      <c r="CT1337" s="204" t="n"/>
      <c r="CU1337" s="204" t="n"/>
      <c r="CV1337" s="204" t="n"/>
      <c r="CW1337" s="204" t="n"/>
    </row>
    <row r="1338">
      <c r="BF1338" s="78" t="n"/>
      <c r="BG1338" s="78" t="n"/>
      <c r="BH1338" s="78" t="n"/>
      <c r="BI1338" s="78" t="n"/>
      <c r="BJ1338" s="139" t="n"/>
      <c r="BK1338" s="204" t="n"/>
      <c r="BL1338" s="141" t="n"/>
      <c r="BM1338" s="205" t="n"/>
      <c r="BN1338" s="205" t="n"/>
      <c r="BO1338" s="206" t="n"/>
      <c r="BP1338" s="144" t="n"/>
      <c r="BQ1338" s="141" t="n"/>
      <c r="BR1338" s="207" t="n"/>
      <c r="BS1338" s="207" t="n"/>
      <c r="BT1338" s="207" t="n"/>
      <c r="BU1338" s="207" t="n"/>
      <c r="BV1338" s="208" t="n"/>
      <c r="BW1338" s="207" t="n"/>
      <c r="BX1338" s="207" t="n"/>
      <c r="BY1338" s="204" t="n"/>
      <c r="BZ1338" s="148" t="n"/>
      <c r="CA1338" s="204" t="n"/>
      <c r="CB1338" s="208" t="n"/>
      <c r="CC1338" s="139" t="n"/>
      <c r="CD1338" s="204" t="n"/>
      <c r="CE1338" s="204" t="n"/>
      <c r="CF1338" s="207" t="n"/>
      <c r="CG1338" s="208" t="n"/>
      <c r="CH1338" s="207" t="n"/>
      <c r="CI1338" s="208" t="n"/>
      <c r="CJ1338" s="204" t="n"/>
      <c r="CK1338" s="208" t="n"/>
      <c r="CL1338" s="208" t="n"/>
      <c r="CM1338" s="208" t="n"/>
      <c r="CN1338" s="78" t="n"/>
      <c r="CO1338" s="209" t="n"/>
      <c r="CP1338" s="204" t="n"/>
      <c r="CQ1338" s="204" t="n"/>
      <c r="CR1338" s="204" t="n"/>
      <c r="CS1338" s="204" t="n"/>
      <c r="CT1338" s="204" t="n"/>
      <c r="CU1338" s="204" t="n"/>
      <c r="CV1338" s="204" t="n"/>
      <c r="CW1338" s="204" t="n"/>
    </row>
    <row r="1339">
      <c r="BF1339" s="78" t="n"/>
      <c r="BG1339" s="78" t="n"/>
      <c r="BH1339" s="78" t="n"/>
      <c r="BI1339" s="78" t="n"/>
      <c r="BJ1339" s="139" t="n"/>
      <c r="BK1339" s="204" t="n"/>
      <c r="BL1339" s="141" t="n"/>
      <c r="BM1339" s="205" t="n"/>
      <c r="BN1339" s="205" t="n"/>
      <c r="BO1339" s="206" t="n"/>
      <c r="BP1339" s="144" t="n"/>
      <c r="BQ1339" s="141" t="n"/>
      <c r="BR1339" s="207" t="n"/>
      <c r="BS1339" s="207" t="n"/>
      <c r="BT1339" s="207" t="n"/>
      <c r="BU1339" s="207" t="n"/>
      <c r="BV1339" s="208" t="n"/>
      <c r="BW1339" s="207" t="n"/>
      <c r="BX1339" s="207" t="n"/>
      <c r="BY1339" s="204" t="n"/>
      <c r="BZ1339" s="148" t="n"/>
      <c r="CA1339" s="204" t="n"/>
      <c r="CB1339" s="208" t="n"/>
      <c r="CC1339" s="139" t="n"/>
      <c r="CD1339" s="204" t="n"/>
      <c r="CE1339" s="204" t="n"/>
      <c r="CF1339" s="207" t="n"/>
      <c r="CG1339" s="208" t="n"/>
      <c r="CH1339" s="207" t="n"/>
      <c r="CI1339" s="208" t="n"/>
      <c r="CJ1339" s="204" t="n"/>
      <c r="CK1339" s="208" t="n"/>
      <c r="CL1339" s="208" t="n"/>
      <c r="CM1339" s="208" t="n"/>
      <c r="CN1339" s="78" t="n"/>
      <c r="CO1339" s="209" t="n"/>
      <c r="CP1339" s="204" t="n"/>
      <c r="CQ1339" s="204" t="n"/>
      <c r="CR1339" s="204" t="n"/>
      <c r="CS1339" s="204" t="n"/>
      <c r="CT1339" s="204" t="n"/>
      <c r="CU1339" s="204" t="n"/>
      <c r="CV1339" s="204" t="n"/>
      <c r="CW1339" s="204" t="n"/>
    </row>
    <row r="1340">
      <c r="BF1340" s="78" t="n"/>
      <c r="BG1340" s="78" t="n"/>
      <c r="BH1340" s="78" t="n"/>
      <c r="BI1340" s="78" t="n"/>
      <c r="BJ1340" s="139" t="n"/>
      <c r="BK1340" s="204" t="n"/>
      <c r="BL1340" s="141" t="n"/>
      <c r="BM1340" s="205" t="n"/>
      <c r="BN1340" s="205" t="n"/>
      <c r="BO1340" s="206" t="n"/>
      <c r="BP1340" s="144" t="n"/>
      <c r="BQ1340" s="141" t="n"/>
      <c r="BR1340" s="207" t="n"/>
      <c r="BS1340" s="207" t="n"/>
      <c r="BT1340" s="207" t="n"/>
      <c r="BU1340" s="207" t="n"/>
      <c r="BV1340" s="208" t="n"/>
      <c r="BW1340" s="207" t="n"/>
      <c r="BX1340" s="207" t="n"/>
      <c r="BY1340" s="204" t="n"/>
      <c r="BZ1340" s="148" t="n"/>
      <c r="CA1340" s="204" t="n"/>
      <c r="CB1340" s="208" t="n"/>
      <c r="CC1340" s="139" t="n"/>
      <c r="CD1340" s="204" t="n"/>
      <c r="CE1340" s="204" t="n"/>
      <c r="CF1340" s="207" t="n"/>
      <c r="CG1340" s="208" t="n"/>
      <c r="CH1340" s="207" t="n"/>
      <c r="CI1340" s="208" t="n"/>
      <c r="CJ1340" s="204" t="n"/>
      <c r="CK1340" s="208" t="n"/>
      <c r="CL1340" s="208" t="n"/>
      <c r="CM1340" s="208" t="n"/>
      <c r="CN1340" s="78" t="n"/>
      <c r="CO1340" s="209" t="n"/>
      <c r="CP1340" s="204" t="n"/>
      <c r="CQ1340" s="204" t="n"/>
      <c r="CR1340" s="204" t="n"/>
      <c r="CS1340" s="204" t="n"/>
      <c r="CT1340" s="204" t="n"/>
      <c r="CU1340" s="204" t="n"/>
      <c r="CV1340" s="204" t="n"/>
      <c r="CW1340" s="204" t="n"/>
    </row>
    <row r="1341">
      <c r="BF1341" s="78" t="n"/>
      <c r="BG1341" s="78" t="n"/>
      <c r="BH1341" s="78" t="n"/>
      <c r="BI1341" s="78" t="n"/>
      <c r="BJ1341" s="139" t="n"/>
      <c r="BK1341" s="204" t="n"/>
      <c r="BL1341" s="141" t="n"/>
      <c r="BM1341" s="205" t="n"/>
      <c r="BN1341" s="205" t="n"/>
      <c r="BO1341" s="206" t="n"/>
      <c r="BP1341" s="144" t="n"/>
      <c r="BQ1341" s="141" t="n"/>
      <c r="BR1341" s="207" t="n"/>
      <c r="BS1341" s="207" t="n"/>
      <c r="BT1341" s="207" t="n"/>
      <c r="BU1341" s="207" t="n"/>
      <c r="BV1341" s="208" t="n"/>
      <c r="BW1341" s="207" t="n"/>
      <c r="BX1341" s="207" t="n"/>
      <c r="BY1341" s="204" t="n"/>
      <c r="BZ1341" s="148" t="n"/>
      <c r="CA1341" s="204" t="n"/>
      <c r="CB1341" s="208" t="n"/>
      <c r="CC1341" s="139" t="n"/>
      <c r="CD1341" s="204" t="n"/>
      <c r="CE1341" s="204" t="n"/>
      <c r="CF1341" s="207" t="n"/>
      <c r="CG1341" s="208" t="n"/>
      <c r="CH1341" s="207" t="n"/>
      <c r="CI1341" s="208" t="n"/>
      <c r="CJ1341" s="204" t="n"/>
      <c r="CK1341" s="208" t="n"/>
      <c r="CL1341" s="208" t="n"/>
      <c r="CM1341" s="208" t="n"/>
      <c r="CN1341" s="78" t="n"/>
      <c r="CO1341" s="209" t="n"/>
      <c r="CP1341" s="204" t="n"/>
      <c r="CQ1341" s="204" t="n"/>
      <c r="CR1341" s="204" t="n"/>
      <c r="CS1341" s="204" t="n"/>
      <c r="CT1341" s="204" t="n"/>
      <c r="CU1341" s="204" t="n"/>
      <c r="CV1341" s="204" t="n"/>
      <c r="CW1341" s="204" t="n"/>
    </row>
    <row r="1342">
      <c r="BF1342" s="78" t="n"/>
      <c r="BG1342" s="78" t="n"/>
      <c r="BH1342" s="78" t="n"/>
      <c r="BI1342" s="78" t="n"/>
      <c r="BJ1342" s="139" t="n"/>
      <c r="BK1342" s="204" t="n"/>
      <c r="BL1342" s="141" t="n"/>
      <c r="BM1342" s="205" t="n"/>
      <c r="BN1342" s="205" t="n"/>
      <c r="BO1342" s="206" t="n"/>
      <c r="BP1342" s="144" t="n"/>
      <c r="BQ1342" s="141" t="n"/>
      <c r="BR1342" s="207" t="n"/>
      <c r="BS1342" s="207" t="n"/>
      <c r="BT1342" s="207" t="n"/>
      <c r="BU1342" s="207" t="n"/>
      <c r="BV1342" s="208" t="n"/>
      <c r="BW1342" s="207" t="n"/>
      <c r="BX1342" s="207" t="n"/>
      <c r="BY1342" s="204" t="n"/>
      <c r="BZ1342" s="148" t="n"/>
      <c r="CA1342" s="204" t="n"/>
      <c r="CB1342" s="208" t="n"/>
      <c r="CC1342" s="139" t="n"/>
      <c r="CD1342" s="204" t="n"/>
      <c r="CE1342" s="204" t="n"/>
      <c r="CF1342" s="207" t="n"/>
      <c r="CG1342" s="208" t="n"/>
      <c r="CH1342" s="207" t="n"/>
      <c r="CI1342" s="208" t="n"/>
      <c r="CJ1342" s="204" t="n"/>
      <c r="CK1342" s="208" t="n"/>
      <c r="CL1342" s="208" t="n"/>
      <c r="CM1342" s="208" t="n"/>
      <c r="CN1342" s="78" t="n"/>
      <c r="CO1342" s="209" t="n"/>
      <c r="CP1342" s="204" t="n"/>
      <c r="CQ1342" s="204" t="n"/>
      <c r="CR1342" s="204" t="n"/>
      <c r="CS1342" s="204" t="n"/>
      <c r="CT1342" s="204" t="n"/>
      <c r="CU1342" s="204" t="n"/>
      <c r="CV1342" s="204" t="n"/>
      <c r="CW1342" s="204" t="n"/>
    </row>
    <row r="1343">
      <c r="BF1343" s="78" t="n"/>
      <c r="BG1343" s="78" t="n"/>
      <c r="BH1343" s="78" t="n"/>
      <c r="BI1343" s="78" t="n"/>
      <c r="BJ1343" s="139" t="n"/>
      <c r="BK1343" s="204" t="n"/>
      <c r="BL1343" s="141" t="n"/>
      <c r="BM1343" s="205" t="n"/>
      <c r="BN1343" s="205" t="n"/>
      <c r="BO1343" s="206" t="n"/>
      <c r="BP1343" s="144" t="n"/>
      <c r="BQ1343" s="141" t="n"/>
      <c r="BR1343" s="207" t="n"/>
      <c r="BS1343" s="207" t="n"/>
      <c r="BT1343" s="207" t="n"/>
      <c r="BU1343" s="207" t="n"/>
      <c r="BV1343" s="208" t="n"/>
      <c r="BW1343" s="207" t="n"/>
      <c r="BX1343" s="207" t="n"/>
      <c r="BY1343" s="204" t="n"/>
      <c r="BZ1343" s="148" t="n"/>
      <c r="CA1343" s="204" t="n"/>
      <c r="CB1343" s="208" t="n"/>
      <c r="CC1343" s="139" t="n"/>
      <c r="CD1343" s="204" t="n"/>
      <c r="CE1343" s="204" t="n"/>
      <c r="CF1343" s="207" t="n"/>
      <c r="CG1343" s="208" t="n"/>
      <c r="CH1343" s="207" t="n"/>
      <c r="CI1343" s="208" t="n"/>
      <c r="CJ1343" s="204" t="n"/>
      <c r="CK1343" s="208" t="n"/>
      <c r="CL1343" s="208" t="n"/>
      <c r="CM1343" s="208" t="n"/>
      <c r="CN1343" s="78" t="n"/>
      <c r="CO1343" s="209" t="n"/>
      <c r="CP1343" s="204" t="n"/>
      <c r="CQ1343" s="204" t="n"/>
      <c r="CR1343" s="204" t="n"/>
      <c r="CS1343" s="204" t="n"/>
      <c r="CT1343" s="204" t="n"/>
      <c r="CU1343" s="204" t="n"/>
      <c r="CV1343" s="204" t="n"/>
      <c r="CW1343" s="204" t="n"/>
    </row>
    <row r="1344">
      <c r="BF1344" s="78" t="n"/>
      <c r="BG1344" s="78" t="n"/>
      <c r="BH1344" s="78" t="n"/>
      <c r="BI1344" s="78" t="n"/>
      <c r="BJ1344" s="139" t="n"/>
      <c r="BK1344" s="204" t="n"/>
      <c r="BL1344" s="141" t="n"/>
      <c r="BM1344" s="205" t="n"/>
      <c r="BN1344" s="205" t="n"/>
      <c r="BO1344" s="206" t="n"/>
      <c r="BP1344" s="144" t="n"/>
      <c r="BQ1344" s="141" t="n"/>
      <c r="BR1344" s="207" t="n"/>
      <c r="BS1344" s="207" t="n"/>
      <c r="BT1344" s="207" t="n"/>
      <c r="BU1344" s="207" t="n"/>
      <c r="BV1344" s="208" t="n"/>
      <c r="BW1344" s="207" t="n"/>
      <c r="BX1344" s="207" t="n"/>
      <c r="BY1344" s="204" t="n"/>
      <c r="BZ1344" s="148" t="n"/>
      <c r="CA1344" s="204" t="n"/>
      <c r="CB1344" s="208" t="n"/>
      <c r="CC1344" s="139" t="n"/>
      <c r="CD1344" s="204" t="n"/>
      <c r="CE1344" s="204" t="n"/>
      <c r="CF1344" s="207" t="n"/>
      <c r="CG1344" s="208" t="n"/>
      <c r="CH1344" s="207" t="n"/>
      <c r="CI1344" s="208" t="n"/>
      <c r="CJ1344" s="204" t="n"/>
      <c r="CK1344" s="208" t="n"/>
      <c r="CL1344" s="208" t="n"/>
      <c r="CM1344" s="208" t="n"/>
      <c r="CN1344" s="78" t="n"/>
      <c r="CO1344" s="209" t="n"/>
      <c r="CP1344" s="204" t="n"/>
      <c r="CQ1344" s="204" t="n"/>
      <c r="CR1344" s="204" t="n"/>
      <c r="CS1344" s="204" t="n"/>
      <c r="CT1344" s="204" t="n"/>
      <c r="CU1344" s="204" t="n"/>
      <c r="CV1344" s="204" t="n"/>
      <c r="CW1344" s="204" t="n"/>
    </row>
    <row r="1345">
      <c r="BF1345" s="78" t="n"/>
      <c r="BG1345" s="78" t="n"/>
      <c r="BH1345" s="78" t="n"/>
      <c r="BI1345" s="78" t="n"/>
      <c r="BJ1345" s="139" t="n"/>
      <c r="BK1345" s="204" t="n"/>
      <c r="BL1345" s="141" t="n"/>
      <c r="BM1345" s="205" t="n"/>
      <c r="BN1345" s="205" t="n"/>
      <c r="BO1345" s="206" t="n"/>
      <c r="BP1345" s="144" t="n"/>
      <c r="BQ1345" s="141" t="n"/>
      <c r="BR1345" s="207" t="n"/>
      <c r="BS1345" s="207" t="n"/>
      <c r="BT1345" s="207" t="n"/>
      <c r="BU1345" s="207" t="n"/>
      <c r="BV1345" s="208" t="n"/>
      <c r="BW1345" s="207" t="n"/>
      <c r="BX1345" s="207" t="n"/>
      <c r="BY1345" s="204" t="n"/>
      <c r="BZ1345" s="148" t="n"/>
      <c r="CA1345" s="204" t="n"/>
      <c r="CB1345" s="208" t="n"/>
      <c r="CC1345" s="139" t="n"/>
      <c r="CD1345" s="204" t="n"/>
      <c r="CE1345" s="204" t="n"/>
      <c r="CF1345" s="207" t="n"/>
      <c r="CG1345" s="208" t="n"/>
      <c r="CH1345" s="207" t="n"/>
      <c r="CI1345" s="208" t="n"/>
      <c r="CJ1345" s="204" t="n"/>
      <c r="CK1345" s="208" t="n"/>
      <c r="CL1345" s="208" t="n"/>
      <c r="CM1345" s="208" t="n"/>
      <c r="CN1345" s="78" t="n"/>
      <c r="CO1345" s="209" t="n"/>
      <c r="CP1345" s="204" t="n"/>
      <c r="CQ1345" s="204" t="n"/>
      <c r="CR1345" s="204" t="n"/>
      <c r="CS1345" s="204" t="n"/>
      <c r="CT1345" s="204" t="n"/>
      <c r="CU1345" s="204" t="n"/>
      <c r="CV1345" s="204" t="n"/>
      <c r="CW1345" s="204" t="n"/>
    </row>
    <row r="1346">
      <c r="BF1346" s="78" t="n"/>
      <c r="BG1346" s="78" t="n"/>
      <c r="BH1346" s="78" t="n"/>
      <c r="BI1346" s="78" t="n"/>
      <c r="BJ1346" s="139" t="n"/>
      <c r="BK1346" s="204" t="n"/>
      <c r="BL1346" s="141" t="n"/>
      <c r="BM1346" s="205" t="n"/>
      <c r="BN1346" s="205" t="n"/>
      <c r="BO1346" s="206" t="n"/>
      <c r="BP1346" s="144" t="n"/>
      <c r="BQ1346" s="141" t="n"/>
      <c r="BR1346" s="207" t="n"/>
      <c r="BS1346" s="207" t="n"/>
      <c r="BT1346" s="207" t="n"/>
      <c r="BU1346" s="207" t="n"/>
      <c r="BV1346" s="208" t="n"/>
      <c r="BW1346" s="207" t="n"/>
      <c r="BX1346" s="207" t="n"/>
      <c r="BY1346" s="204" t="n"/>
      <c r="BZ1346" s="148" t="n"/>
      <c r="CA1346" s="204" t="n"/>
      <c r="CB1346" s="208" t="n"/>
      <c r="CC1346" s="139" t="n"/>
      <c r="CD1346" s="204" t="n"/>
      <c r="CE1346" s="204" t="n"/>
      <c r="CF1346" s="207" t="n"/>
      <c r="CG1346" s="208" t="n"/>
      <c r="CH1346" s="207" t="n"/>
      <c r="CI1346" s="208" t="n"/>
      <c r="CJ1346" s="204" t="n"/>
      <c r="CK1346" s="208" t="n"/>
      <c r="CL1346" s="208" t="n"/>
      <c r="CM1346" s="208" t="n"/>
      <c r="CN1346" s="78" t="n"/>
      <c r="CO1346" s="209" t="n"/>
      <c r="CP1346" s="204" t="n"/>
      <c r="CQ1346" s="204" t="n"/>
      <c r="CR1346" s="204" t="n"/>
      <c r="CS1346" s="204" t="n"/>
      <c r="CT1346" s="204" t="n"/>
      <c r="CU1346" s="204" t="n"/>
      <c r="CV1346" s="204" t="n"/>
      <c r="CW1346" s="204" t="n"/>
    </row>
    <row r="1347">
      <c r="BF1347" s="78" t="n"/>
      <c r="BG1347" s="78" t="n"/>
      <c r="BH1347" s="78" t="n"/>
      <c r="BI1347" s="78" t="n"/>
      <c r="BJ1347" s="139" t="n"/>
      <c r="BK1347" s="204" t="n"/>
      <c r="BL1347" s="141" t="n"/>
      <c r="BM1347" s="205" t="n"/>
      <c r="BN1347" s="205" t="n"/>
      <c r="BO1347" s="206" t="n"/>
      <c r="BP1347" s="144" t="n"/>
      <c r="BQ1347" s="141" t="n"/>
      <c r="BR1347" s="207" t="n"/>
      <c r="BS1347" s="207" t="n"/>
      <c r="BT1347" s="207" t="n"/>
      <c r="BU1347" s="207" t="n"/>
      <c r="BV1347" s="208" t="n"/>
      <c r="BW1347" s="207" t="n"/>
      <c r="BX1347" s="207" t="n"/>
      <c r="BY1347" s="204" t="n"/>
      <c r="BZ1347" s="148" t="n"/>
      <c r="CA1347" s="204" t="n"/>
      <c r="CB1347" s="208" t="n"/>
      <c r="CC1347" s="139" t="n"/>
      <c r="CD1347" s="204" t="n"/>
      <c r="CE1347" s="204" t="n"/>
      <c r="CF1347" s="207" t="n"/>
      <c r="CG1347" s="208" t="n"/>
      <c r="CH1347" s="207" t="n"/>
      <c r="CI1347" s="208" t="n"/>
      <c r="CJ1347" s="204" t="n"/>
      <c r="CK1347" s="208" t="n"/>
      <c r="CL1347" s="208" t="n"/>
      <c r="CM1347" s="208" t="n"/>
      <c r="CN1347" s="78" t="n"/>
      <c r="CO1347" s="209" t="n"/>
      <c r="CP1347" s="204" t="n"/>
      <c r="CQ1347" s="204" t="n"/>
      <c r="CR1347" s="204" t="n"/>
      <c r="CS1347" s="204" t="n"/>
      <c r="CT1347" s="204" t="n"/>
      <c r="CU1347" s="204" t="n"/>
      <c r="CV1347" s="204" t="n"/>
      <c r="CW1347" s="204" t="n"/>
    </row>
    <row r="1348">
      <c r="BF1348" s="78" t="n"/>
      <c r="BG1348" s="78" t="n"/>
      <c r="BH1348" s="78" t="n"/>
      <c r="BI1348" s="78" t="n"/>
      <c r="BJ1348" s="139" t="n"/>
      <c r="BK1348" s="204" t="n"/>
      <c r="BL1348" s="141" t="n"/>
      <c r="BM1348" s="205" t="n"/>
      <c r="BN1348" s="205" t="n"/>
      <c r="BO1348" s="206" t="n"/>
      <c r="BP1348" s="144" t="n"/>
      <c r="BQ1348" s="141" t="n"/>
      <c r="BR1348" s="207" t="n"/>
      <c r="BS1348" s="207" t="n"/>
      <c r="BT1348" s="207" t="n"/>
      <c r="BU1348" s="207" t="n"/>
      <c r="BV1348" s="208" t="n"/>
      <c r="BW1348" s="207" t="n"/>
      <c r="BX1348" s="207" t="n"/>
      <c r="BY1348" s="204" t="n"/>
      <c r="BZ1348" s="148" t="n"/>
      <c r="CA1348" s="204" t="n"/>
      <c r="CB1348" s="208" t="n"/>
      <c r="CC1348" s="139" t="n"/>
      <c r="CD1348" s="204" t="n"/>
      <c r="CE1348" s="204" t="n"/>
      <c r="CF1348" s="207" t="n"/>
      <c r="CG1348" s="208" t="n"/>
      <c r="CH1348" s="207" t="n"/>
      <c r="CI1348" s="208" t="n"/>
      <c r="CJ1348" s="204" t="n"/>
      <c r="CK1348" s="208" t="n"/>
      <c r="CL1348" s="208" t="n"/>
      <c r="CM1348" s="208" t="n"/>
      <c r="CN1348" s="78" t="n"/>
      <c r="CO1348" s="209" t="n"/>
      <c r="CP1348" s="204" t="n"/>
      <c r="CQ1348" s="204" t="n"/>
      <c r="CR1348" s="204" t="n"/>
      <c r="CS1348" s="204" t="n"/>
      <c r="CT1348" s="204" t="n"/>
      <c r="CU1348" s="204" t="n"/>
      <c r="CV1348" s="204" t="n"/>
      <c r="CW1348" s="204" t="n"/>
    </row>
    <row r="1349">
      <c r="BF1349" s="78" t="n"/>
      <c r="BG1349" s="78" t="n"/>
      <c r="BH1349" s="78" t="n"/>
      <c r="BI1349" s="78" t="n"/>
      <c r="BJ1349" s="139" t="n"/>
      <c r="BK1349" s="204" t="n"/>
      <c r="BL1349" s="141" t="n"/>
      <c r="BM1349" s="205" t="n"/>
      <c r="BN1349" s="205" t="n"/>
      <c r="BO1349" s="206" t="n"/>
      <c r="BP1349" s="144" t="n"/>
      <c r="BQ1349" s="141" t="n"/>
      <c r="BR1349" s="207" t="n"/>
      <c r="BS1349" s="207" t="n"/>
      <c r="BT1349" s="207" t="n"/>
      <c r="BU1349" s="207" t="n"/>
      <c r="BV1349" s="208" t="n"/>
      <c r="BW1349" s="207" t="n"/>
      <c r="BX1349" s="207" t="n"/>
      <c r="BY1349" s="204" t="n"/>
      <c r="BZ1349" s="148" t="n"/>
      <c r="CA1349" s="204" t="n"/>
      <c r="CB1349" s="208" t="n"/>
      <c r="CC1349" s="139" t="n"/>
      <c r="CD1349" s="204" t="n"/>
      <c r="CE1349" s="204" t="n"/>
      <c r="CF1349" s="207" t="n"/>
      <c r="CG1349" s="208" t="n"/>
      <c r="CH1349" s="207" t="n"/>
      <c r="CI1349" s="208" t="n"/>
      <c r="CJ1349" s="204" t="n"/>
      <c r="CK1349" s="208" t="n"/>
      <c r="CL1349" s="208" t="n"/>
      <c r="CM1349" s="208" t="n"/>
      <c r="CN1349" s="78" t="n"/>
      <c r="CO1349" s="209" t="n"/>
      <c r="CP1349" s="204" t="n"/>
      <c r="CQ1349" s="204" t="n"/>
      <c r="CR1349" s="204" t="n"/>
      <c r="CS1349" s="204" t="n"/>
      <c r="CT1349" s="204" t="n"/>
      <c r="CU1349" s="204" t="n"/>
      <c r="CV1349" s="204" t="n"/>
      <c r="CW1349" s="204" t="n"/>
    </row>
    <row r="1350">
      <c r="BF1350" s="78" t="n"/>
      <c r="BG1350" s="78" t="n"/>
      <c r="BH1350" s="78" t="n"/>
      <c r="BI1350" s="78" t="n"/>
      <c r="BJ1350" s="139" t="n"/>
      <c r="BK1350" s="204" t="n"/>
      <c r="BL1350" s="141" t="n"/>
      <c r="BM1350" s="205" t="n"/>
      <c r="BN1350" s="205" t="n"/>
      <c r="BO1350" s="206" t="n"/>
      <c r="BP1350" s="144" t="n"/>
      <c r="BQ1350" s="141" t="n"/>
      <c r="BR1350" s="207" t="n"/>
      <c r="BS1350" s="207" t="n"/>
      <c r="BT1350" s="207" t="n"/>
      <c r="BU1350" s="207" t="n"/>
      <c r="BV1350" s="208" t="n"/>
      <c r="BW1350" s="207" t="n"/>
      <c r="BX1350" s="207" t="n"/>
      <c r="BY1350" s="204" t="n"/>
      <c r="BZ1350" s="148" t="n"/>
      <c r="CA1350" s="204" t="n"/>
      <c r="CB1350" s="208" t="n"/>
      <c r="CC1350" s="139" t="n"/>
      <c r="CD1350" s="204" t="n"/>
      <c r="CE1350" s="204" t="n"/>
      <c r="CF1350" s="207" t="n"/>
      <c r="CG1350" s="208" t="n"/>
      <c r="CH1350" s="207" t="n"/>
      <c r="CI1350" s="208" t="n"/>
      <c r="CJ1350" s="204" t="n"/>
      <c r="CK1350" s="208" t="n"/>
      <c r="CL1350" s="208" t="n"/>
      <c r="CM1350" s="208" t="n"/>
      <c r="CN1350" s="78" t="n"/>
      <c r="CO1350" s="209" t="n"/>
      <c r="CP1350" s="204" t="n"/>
      <c r="CQ1350" s="204" t="n"/>
      <c r="CR1350" s="204" t="n"/>
      <c r="CS1350" s="204" t="n"/>
      <c r="CT1350" s="204" t="n"/>
      <c r="CU1350" s="204" t="n"/>
      <c r="CV1350" s="204" t="n"/>
      <c r="CW1350" s="204" t="n"/>
    </row>
    <row r="1351">
      <c r="BF1351" s="78" t="n"/>
      <c r="BG1351" s="78" t="n"/>
      <c r="BH1351" s="78" t="n"/>
      <c r="BI1351" s="78" t="n"/>
      <c r="BJ1351" s="139" t="n"/>
      <c r="BK1351" s="204" t="n"/>
      <c r="BL1351" s="141" t="n"/>
      <c r="BM1351" s="205" t="n"/>
      <c r="BN1351" s="205" t="n"/>
      <c r="BO1351" s="206" t="n"/>
      <c r="BP1351" s="144" t="n"/>
      <c r="BQ1351" s="141" t="n"/>
      <c r="BR1351" s="207" t="n"/>
      <c r="BS1351" s="207" t="n"/>
      <c r="BT1351" s="207" t="n"/>
      <c r="BU1351" s="207" t="n"/>
      <c r="BV1351" s="208" t="n"/>
      <c r="BW1351" s="207" t="n"/>
      <c r="BX1351" s="207" t="n"/>
      <c r="BY1351" s="204" t="n"/>
      <c r="BZ1351" s="148" t="n"/>
      <c r="CA1351" s="204" t="n"/>
      <c r="CB1351" s="208" t="n"/>
      <c r="CC1351" s="139" t="n"/>
      <c r="CD1351" s="204" t="n"/>
      <c r="CE1351" s="204" t="n"/>
      <c r="CF1351" s="207" t="n"/>
      <c r="CG1351" s="208" t="n"/>
      <c r="CH1351" s="207" t="n"/>
      <c r="CI1351" s="208" t="n"/>
      <c r="CJ1351" s="204" t="n"/>
      <c r="CK1351" s="208" t="n"/>
      <c r="CL1351" s="208" t="n"/>
      <c r="CM1351" s="208" t="n"/>
      <c r="CN1351" s="78" t="n"/>
      <c r="CO1351" s="209" t="n"/>
      <c r="CP1351" s="204" t="n"/>
      <c r="CQ1351" s="204" t="n"/>
      <c r="CR1351" s="204" t="n"/>
      <c r="CS1351" s="204" t="n"/>
      <c r="CT1351" s="204" t="n"/>
      <c r="CU1351" s="204" t="n"/>
      <c r="CV1351" s="204" t="n"/>
      <c r="CW1351" s="204" t="n"/>
    </row>
    <row r="1352">
      <c r="BF1352" s="78" t="n"/>
      <c r="BG1352" s="78" t="n"/>
      <c r="BH1352" s="78" t="n"/>
      <c r="BI1352" s="78" t="n"/>
      <c r="BJ1352" s="139" t="n"/>
      <c r="BK1352" s="204" t="n"/>
      <c r="BL1352" s="141" t="n"/>
      <c r="BM1352" s="205" t="n"/>
      <c r="BN1352" s="205" t="n"/>
      <c r="BO1352" s="206" t="n"/>
      <c r="BP1352" s="144" t="n"/>
      <c r="BQ1352" s="141" t="n"/>
      <c r="BR1352" s="207" t="n"/>
      <c r="BS1352" s="207" t="n"/>
      <c r="BT1352" s="207" t="n"/>
      <c r="BU1352" s="207" t="n"/>
      <c r="BV1352" s="208" t="n"/>
      <c r="BW1352" s="207" t="n"/>
      <c r="BX1352" s="207" t="n"/>
      <c r="BY1352" s="204" t="n"/>
      <c r="BZ1352" s="148" t="n"/>
      <c r="CA1352" s="204" t="n"/>
      <c r="CB1352" s="208" t="n"/>
      <c r="CC1352" s="139" t="n"/>
      <c r="CD1352" s="204" t="n"/>
      <c r="CE1352" s="204" t="n"/>
      <c r="CF1352" s="207" t="n"/>
      <c r="CG1352" s="208" t="n"/>
      <c r="CH1352" s="207" t="n"/>
      <c r="CI1352" s="208" t="n"/>
      <c r="CJ1352" s="204" t="n"/>
      <c r="CK1352" s="208" t="n"/>
      <c r="CL1352" s="208" t="n"/>
      <c r="CM1352" s="208" t="n"/>
      <c r="CN1352" s="78" t="n"/>
      <c r="CO1352" s="209" t="n"/>
      <c r="CP1352" s="204" t="n"/>
      <c r="CQ1352" s="204" t="n"/>
      <c r="CR1352" s="204" t="n"/>
      <c r="CS1352" s="204" t="n"/>
      <c r="CT1352" s="204" t="n"/>
      <c r="CU1352" s="204" t="n"/>
      <c r="CV1352" s="204" t="n"/>
      <c r="CW1352" s="204" t="n"/>
    </row>
    <row r="1353">
      <c r="AR1353" s="151" t="n"/>
      <c r="BF1353" s="78" t="n"/>
      <c r="BG1353" s="78" t="n"/>
      <c r="BH1353" s="78" t="n"/>
      <c r="BI1353" s="78" t="n"/>
      <c r="BJ1353" s="139" t="n"/>
      <c r="BK1353" s="204" t="n"/>
      <c r="BL1353" s="141" t="n"/>
      <c r="BM1353" s="205" t="n"/>
      <c r="BN1353" s="205" t="n"/>
      <c r="BO1353" s="206" t="n"/>
      <c r="BP1353" s="144" t="n"/>
      <c r="BQ1353" s="141" t="n"/>
      <c r="BR1353" s="207" t="n"/>
      <c r="BS1353" s="207" t="n"/>
      <c r="BT1353" s="207" t="n"/>
      <c r="BU1353" s="207" t="n"/>
      <c r="BV1353" s="208" t="n"/>
      <c r="BW1353" s="207" t="n"/>
      <c r="BX1353" s="207" t="n"/>
      <c r="BY1353" s="204" t="n"/>
      <c r="BZ1353" s="148" t="n"/>
      <c r="CA1353" s="204" t="n"/>
      <c r="CB1353" s="208" t="n"/>
      <c r="CC1353" s="139" t="n"/>
      <c r="CD1353" s="204" t="n"/>
      <c r="CE1353" s="204" t="n"/>
      <c r="CF1353" s="207" t="n"/>
      <c r="CG1353" s="208" t="n"/>
      <c r="CH1353" s="207" t="n"/>
      <c r="CI1353" s="208" t="n"/>
      <c r="CJ1353" s="204" t="n"/>
      <c r="CK1353" s="208" t="n"/>
      <c r="CL1353" s="208" t="n"/>
      <c r="CM1353" s="208" t="n"/>
      <c r="CN1353" s="78" t="n"/>
      <c r="CO1353" s="209" t="n"/>
      <c r="CP1353" s="204" t="n"/>
      <c r="CQ1353" s="204" t="n"/>
      <c r="CR1353" s="204" t="n"/>
      <c r="CS1353" s="204" t="n"/>
      <c r="CT1353" s="204" t="n"/>
      <c r="CU1353" s="204" t="n"/>
      <c r="CV1353" s="204" t="n"/>
      <c r="CW1353" s="204" t="n"/>
    </row>
    <row r="1354">
      <c r="AR1354" s="151" t="n"/>
      <c r="BF1354" s="78" t="n"/>
      <c r="BG1354" s="78" t="n"/>
      <c r="BH1354" s="78" t="n"/>
      <c r="BI1354" s="78" t="n"/>
      <c r="BJ1354" s="139" t="n"/>
      <c r="BK1354" s="204" t="n"/>
      <c r="BL1354" s="141" t="n"/>
      <c r="BM1354" s="205" t="n"/>
      <c r="BN1354" s="205" t="n"/>
      <c r="BO1354" s="206" t="n"/>
      <c r="BP1354" s="144" t="n"/>
      <c r="BQ1354" s="141" t="n"/>
      <c r="BR1354" s="207" t="n"/>
      <c r="BS1354" s="207" t="n"/>
      <c r="BT1354" s="207" t="n"/>
      <c r="BU1354" s="207" t="n"/>
      <c r="BV1354" s="208" t="n"/>
      <c r="BW1354" s="207" t="n"/>
      <c r="BX1354" s="207" t="n"/>
      <c r="BY1354" s="204" t="n"/>
      <c r="BZ1354" s="148" t="n"/>
      <c r="CA1354" s="204" t="n"/>
      <c r="CB1354" s="208" t="n"/>
      <c r="CC1354" s="139" t="n"/>
      <c r="CD1354" s="204" t="n"/>
      <c r="CE1354" s="204" t="n"/>
      <c r="CF1354" s="207" t="n"/>
      <c r="CG1354" s="208" t="n"/>
      <c r="CH1354" s="207" t="n"/>
      <c r="CI1354" s="208" t="n"/>
      <c r="CJ1354" s="204" t="n"/>
      <c r="CK1354" s="208" t="n"/>
      <c r="CL1354" s="208" t="n"/>
      <c r="CM1354" s="208" t="n"/>
      <c r="CN1354" s="78" t="n"/>
      <c r="CO1354" s="209" t="n"/>
      <c r="CP1354" s="204" t="n"/>
      <c r="CQ1354" s="204" t="n"/>
      <c r="CR1354" s="204" t="n"/>
      <c r="CS1354" s="204" t="n"/>
      <c r="CT1354" s="204" t="n"/>
      <c r="CU1354" s="204" t="n"/>
      <c r="CV1354" s="204" t="n"/>
      <c r="CW1354" s="204" t="n"/>
    </row>
    <row r="1355">
      <c r="BF1355" s="78" t="n"/>
      <c r="BG1355" s="78" t="n"/>
      <c r="BH1355" s="78" t="n"/>
      <c r="BI1355" s="78" t="n"/>
      <c r="BJ1355" s="139" t="n"/>
      <c r="BK1355" s="204" t="n"/>
      <c r="BL1355" s="141" t="n"/>
      <c r="BM1355" s="205" t="n"/>
      <c r="BN1355" s="205" t="n"/>
      <c r="BO1355" s="206" t="n"/>
      <c r="BP1355" s="144" t="n"/>
      <c r="BQ1355" s="141" t="n"/>
      <c r="BR1355" s="207" t="n"/>
      <c r="BS1355" s="207" t="n"/>
      <c r="BT1355" s="207" t="n"/>
      <c r="BU1355" s="207" t="n"/>
      <c r="BV1355" s="208" t="n"/>
      <c r="BW1355" s="207" t="n"/>
      <c r="BX1355" s="207" t="n"/>
      <c r="BY1355" s="204" t="n"/>
      <c r="BZ1355" s="148" t="n"/>
      <c r="CA1355" s="204" t="n"/>
      <c r="CB1355" s="208" t="n"/>
      <c r="CC1355" s="139" t="n"/>
      <c r="CD1355" s="204" t="n"/>
      <c r="CE1355" s="204" t="n"/>
      <c r="CF1355" s="207" t="n"/>
      <c r="CG1355" s="208" t="n"/>
      <c r="CH1355" s="207" t="n"/>
      <c r="CI1355" s="208" t="n"/>
      <c r="CJ1355" s="204" t="n"/>
      <c r="CK1355" s="208" t="n"/>
      <c r="CL1355" s="208" t="n"/>
      <c r="CM1355" s="208" t="n"/>
      <c r="CN1355" s="78" t="n"/>
      <c r="CO1355" s="209" t="n"/>
      <c r="CP1355" s="204" t="n"/>
      <c r="CQ1355" s="204" t="n"/>
      <c r="CR1355" s="204" t="n"/>
      <c r="CS1355" s="204" t="n"/>
      <c r="CT1355" s="204" t="n"/>
      <c r="CU1355" s="204" t="n"/>
      <c r="CV1355" s="204" t="n"/>
      <c r="CW1355" s="204" t="n"/>
    </row>
    <row r="1356">
      <c r="BF1356" s="78" t="n"/>
      <c r="BG1356" s="78" t="n"/>
      <c r="BH1356" s="78" t="n"/>
      <c r="BI1356" s="78" t="n"/>
      <c r="BJ1356" s="139" t="n"/>
      <c r="BK1356" s="204" t="n"/>
      <c r="BL1356" s="141" t="n"/>
      <c r="BM1356" s="205" t="n"/>
      <c r="BN1356" s="205" t="n"/>
      <c r="BO1356" s="206" t="n"/>
      <c r="BP1356" s="144" t="n"/>
      <c r="BQ1356" s="141" t="n"/>
      <c r="BR1356" s="207" t="n"/>
      <c r="BS1356" s="207" t="n"/>
      <c r="BT1356" s="207" t="n"/>
      <c r="BU1356" s="207" t="n"/>
      <c r="BV1356" s="208" t="n"/>
      <c r="BW1356" s="207" t="n"/>
      <c r="BX1356" s="207" t="n"/>
      <c r="BY1356" s="204" t="n"/>
      <c r="BZ1356" s="148" t="n"/>
      <c r="CA1356" s="204" t="n"/>
      <c r="CB1356" s="208" t="n"/>
      <c r="CC1356" s="139" t="n"/>
      <c r="CD1356" s="204" t="n"/>
      <c r="CE1356" s="204" t="n"/>
      <c r="CF1356" s="207" t="n"/>
      <c r="CG1356" s="208" t="n"/>
      <c r="CH1356" s="207" t="n"/>
      <c r="CI1356" s="208" t="n"/>
      <c r="CJ1356" s="204" t="n"/>
      <c r="CK1356" s="208" t="n"/>
      <c r="CL1356" s="208" t="n"/>
      <c r="CM1356" s="208" t="n"/>
      <c r="CN1356" s="78" t="n"/>
      <c r="CO1356" s="209" t="n"/>
      <c r="CP1356" s="204" t="n"/>
      <c r="CQ1356" s="204" t="n"/>
      <c r="CR1356" s="204" t="n"/>
      <c r="CS1356" s="204" t="n"/>
      <c r="CT1356" s="204" t="n"/>
      <c r="CU1356" s="204" t="n"/>
      <c r="CV1356" s="204" t="n"/>
      <c r="CW1356" s="204" t="n"/>
    </row>
    <row r="1357">
      <c r="BF1357" s="78" t="n"/>
      <c r="BG1357" s="78" t="n"/>
      <c r="BH1357" s="78" t="n"/>
      <c r="BI1357" s="78" t="n"/>
      <c r="BJ1357" s="139" t="n"/>
      <c r="BK1357" s="204" t="n"/>
      <c r="BL1357" s="141" t="n"/>
      <c r="BM1357" s="205" t="n"/>
      <c r="BN1357" s="205" t="n"/>
      <c r="BO1357" s="206" t="n"/>
      <c r="BP1357" s="144" t="n"/>
      <c r="BQ1357" s="141" t="n"/>
      <c r="BR1357" s="207" t="n"/>
      <c r="BS1357" s="207" t="n"/>
      <c r="BT1357" s="207" t="n"/>
      <c r="BU1357" s="207" t="n"/>
      <c r="BV1357" s="208" t="n"/>
      <c r="BW1357" s="207" t="n"/>
      <c r="BX1357" s="207" t="n"/>
      <c r="BY1357" s="204" t="n"/>
      <c r="BZ1357" s="148" t="n"/>
      <c r="CA1357" s="204" t="n"/>
      <c r="CB1357" s="208" t="n"/>
      <c r="CC1357" s="139" t="n"/>
      <c r="CD1357" s="204" t="n"/>
      <c r="CE1357" s="204" t="n"/>
      <c r="CF1357" s="207" t="n"/>
      <c r="CG1357" s="208" t="n"/>
      <c r="CH1357" s="207" t="n"/>
      <c r="CI1357" s="208" t="n"/>
      <c r="CJ1357" s="204" t="n"/>
      <c r="CK1357" s="208" t="n"/>
      <c r="CL1357" s="208" t="n"/>
      <c r="CM1357" s="208" t="n"/>
      <c r="CN1357" s="78" t="n"/>
      <c r="CO1357" s="209" t="n"/>
      <c r="CP1357" s="204" t="n"/>
      <c r="CQ1357" s="204" t="n"/>
      <c r="CR1357" s="204" t="n"/>
      <c r="CS1357" s="204" t="n"/>
      <c r="CT1357" s="204" t="n"/>
      <c r="CU1357" s="204" t="n"/>
      <c r="CV1357" s="204" t="n"/>
      <c r="CW1357" s="204" t="n"/>
    </row>
    <row r="1358">
      <c r="BF1358" s="78" t="n"/>
      <c r="BG1358" s="78" t="n"/>
      <c r="BH1358" s="78" t="n"/>
      <c r="BI1358" s="78" t="n"/>
      <c r="BJ1358" s="139" t="n"/>
      <c r="BK1358" s="204" t="n"/>
      <c r="BL1358" s="141" t="n"/>
      <c r="BM1358" s="205" t="n"/>
      <c r="BN1358" s="205" t="n"/>
      <c r="BO1358" s="206" t="n"/>
      <c r="BP1358" s="144" t="n"/>
      <c r="BQ1358" s="141" t="n"/>
      <c r="BR1358" s="207" t="n"/>
      <c r="BS1358" s="207" t="n"/>
      <c r="BT1358" s="207" t="n"/>
      <c r="BU1358" s="207" t="n"/>
      <c r="BV1358" s="208" t="n"/>
      <c r="BW1358" s="207" t="n"/>
      <c r="BX1358" s="207" t="n"/>
      <c r="BY1358" s="204" t="n"/>
      <c r="BZ1358" s="148" t="n"/>
      <c r="CA1358" s="204" t="n"/>
      <c r="CB1358" s="208" t="n"/>
      <c r="CC1358" s="139" t="n"/>
      <c r="CD1358" s="204" t="n"/>
      <c r="CE1358" s="204" t="n"/>
      <c r="CF1358" s="207" t="n"/>
      <c r="CG1358" s="208" t="n"/>
      <c r="CH1358" s="207" t="n"/>
      <c r="CI1358" s="208" t="n"/>
      <c r="CJ1358" s="204" t="n"/>
      <c r="CK1358" s="208" t="n"/>
      <c r="CL1358" s="208" t="n"/>
      <c r="CM1358" s="208" t="n"/>
      <c r="CN1358" s="78" t="n"/>
      <c r="CO1358" s="209" t="n"/>
      <c r="CP1358" s="204" t="n"/>
      <c r="CQ1358" s="204" t="n"/>
      <c r="CR1358" s="204" t="n"/>
      <c r="CS1358" s="204" t="n"/>
      <c r="CT1358" s="204" t="n"/>
      <c r="CU1358" s="204" t="n"/>
      <c r="CV1358" s="204" t="n"/>
      <c r="CW1358" s="204" t="n"/>
    </row>
    <row r="1359">
      <c r="BF1359" s="78" t="n"/>
      <c r="BG1359" s="78" t="n"/>
      <c r="BH1359" s="78" t="n"/>
      <c r="BI1359" s="78" t="n"/>
      <c r="BJ1359" s="139" t="n"/>
      <c r="BK1359" s="204" t="n"/>
      <c r="BL1359" s="141" t="n"/>
      <c r="BM1359" s="205" t="n"/>
      <c r="BN1359" s="205" t="n"/>
      <c r="BO1359" s="206" t="n"/>
      <c r="BP1359" s="144" t="n"/>
      <c r="BQ1359" s="141" t="n"/>
      <c r="BR1359" s="207" t="n"/>
      <c r="BS1359" s="207" t="n"/>
      <c r="BT1359" s="207" t="n"/>
      <c r="BU1359" s="207" t="n"/>
      <c r="BV1359" s="208" t="n"/>
      <c r="BW1359" s="207" t="n"/>
      <c r="BX1359" s="207" t="n"/>
      <c r="BY1359" s="204" t="n"/>
      <c r="BZ1359" s="148" t="n"/>
      <c r="CA1359" s="204" t="n"/>
      <c r="CB1359" s="208" t="n"/>
      <c r="CC1359" s="139" t="n"/>
      <c r="CD1359" s="204" t="n"/>
      <c r="CE1359" s="204" t="n"/>
      <c r="CF1359" s="207" t="n"/>
      <c r="CG1359" s="208" t="n"/>
      <c r="CH1359" s="207" t="n"/>
      <c r="CI1359" s="208" t="n"/>
      <c r="CJ1359" s="204" t="n"/>
      <c r="CK1359" s="208" t="n"/>
      <c r="CL1359" s="208" t="n"/>
      <c r="CM1359" s="208" t="n"/>
      <c r="CN1359" s="78" t="n"/>
      <c r="CO1359" s="209" t="n"/>
      <c r="CP1359" s="204" t="n"/>
      <c r="CQ1359" s="204" t="n"/>
      <c r="CR1359" s="204" t="n"/>
      <c r="CS1359" s="204" t="n"/>
      <c r="CT1359" s="204" t="n"/>
      <c r="CU1359" s="204" t="n"/>
      <c r="CV1359" s="204" t="n"/>
      <c r="CW1359" s="204" t="n"/>
    </row>
    <row r="1360">
      <c r="BF1360" s="78" t="n"/>
      <c r="BG1360" s="78" t="n"/>
      <c r="BH1360" s="78" t="n"/>
      <c r="BI1360" s="78" t="n"/>
      <c r="BJ1360" s="139" t="n"/>
      <c r="BK1360" s="204" t="n"/>
      <c r="BL1360" s="141" t="n"/>
      <c r="BM1360" s="205" t="n"/>
      <c r="BN1360" s="205" t="n"/>
      <c r="BO1360" s="206" t="n"/>
      <c r="BP1360" s="144" t="n"/>
      <c r="BQ1360" s="141" t="n"/>
      <c r="BR1360" s="207" t="n"/>
      <c r="BS1360" s="207" t="n"/>
      <c r="BT1360" s="207" t="n"/>
      <c r="BU1360" s="207" t="n"/>
      <c r="BV1360" s="208" t="n"/>
      <c r="BW1360" s="207" t="n"/>
      <c r="BX1360" s="207" t="n"/>
      <c r="BY1360" s="204" t="n"/>
      <c r="BZ1360" s="148" t="n"/>
      <c r="CA1360" s="204" t="n"/>
      <c r="CB1360" s="208" t="n"/>
      <c r="CC1360" s="139" t="n"/>
      <c r="CD1360" s="204" t="n"/>
      <c r="CE1360" s="204" t="n"/>
      <c r="CF1360" s="207" t="n"/>
      <c r="CG1360" s="208" t="n"/>
      <c r="CH1360" s="207" t="n"/>
      <c r="CI1360" s="208" t="n"/>
      <c r="CJ1360" s="204" t="n"/>
      <c r="CK1360" s="208" t="n"/>
      <c r="CL1360" s="208" t="n"/>
      <c r="CM1360" s="208" t="n"/>
      <c r="CN1360" s="78" t="n"/>
      <c r="CO1360" s="209" t="n"/>
      <c r="CP1360" s="204" t="n"/>
      <c r="CQ1360" s="204" t="n"/>
      <c r="CR1360" s="204" t="n"/>
      <c r="CS1360" s="204" t="n"/>
      <c r="CT1360" s="204" t="n"/>
      <c r="CU1360" s="204" t="n"/>
      <c r="CV1360" s="204" t="n"/>
      <c r="CW1360" s="204" t="n"/>
    </row>
    <row r="1361">
      <c r="BF1361" s="78" t="n"/>
      <c r="BG1361" s="78" t="n"/>
      <c r="BH1361" s="78" t="n"/>
      <c r="BI1361" s="78" t="n"/>
      <c r="BJ1361" s="139" t="n"/>
      <c r="BK1361" s="204" t="n"/>
      <c r="BL1361" s="141" t="n"/>
      <c r="BM1361" s="205" t="n"/>
      <c r="BN1361" s="205" t="n"/>
      <c r="BO1361" s="206" t="n"/>
      <c r="BP1361" s="144" t="n"/>
      <c r="BQ1361" s="141" t="n"/>
      <c r="BR1361" s="207" t="n"/>
      <c r="BS1361" s="207" t="n"/>
      <c r="BT1361" s="207" t="n"/>
      <c r="BU1361" s="207" t="n"/>
      <c r="BV1361" s="208" t="n"/>
      <c r="BW1361" s="207" t="n"/>
      <c r="BX1361" s="207" t="n"/>
      <c r="BY1361" s="204" t="n"/>
      <c r="BZ1361" s="148" t="n"/>
      <c r="CA1361" s="204" t="n"/>
      <c r="CB1361" s="208" t="n"/>
      <c r="CC1361" s="139" t="n"/>
      <c r="CD1361" s="204" t="n"/>
      <c r="CE1361" s="204" t="n"/>
      <c r="CF1361" s="207" t="n"/>
      <c r="CG1361" s="208" t="n"/>
      <c r="CH1361" s="207" t="n"/>
      <c r="CI1361" s="208" t="n"/>
      <c r="CJ1361" s="204" t="n"/>
      <c r="CK1361" s="208" t="n"/>
      <c r="CL1361" s="208" t="n"/>
      <c r="CM1361" s="208" t="n"/>
      <c r="CN1361" s="78" t="n"/>
      <c r="CO1361" s="209" t="n"/>
      <c r="CP1361" s="204" t="n"/>
      <c r="CQ1361" s="204" t="n"/>
      <c r="CR1361" s="204" t="n"/>
      <c r="CS1361" s="204" t="n"/>
      <c r="CT1361" s="204" t="n"/>
      <c r="CU1361" s="204" t="n"/>
      <c r="CV1361" s="204" t="n"/>
      <c r="CW1361" s="204" t="n"/>
    </row>
    <row r="1362">
      <c r="BF1362" s="78" t="n"/>
      <c r="BG1362" s="78" t="n"/>
      <c r="BH1362" s="78" t="n"/>
      <c r="BI1362" s="78" t="n"/>
      <c r="BJ1362" s="139" t="n"/>
      <c r="BK1362" s="204" t="n"/>
      <c r="BL1362" s="141" t="n"/>
      <c r="BM1362" s="205" t="n"/>
      <c r="BN1362" s="205" t="n"/>
      <c r="BO1362" s="206" t="n"/>
      <c r="BP1362" s="144" t="n"/>
      <c r="BQ1362" s="141" t="n"/>
      <c r="BR1362" s="207" t="n"/>
      <c r="BS1362" s="207" t="n"/>
      <c r="BT1362" s="207" t="n"/>
      <c r="BU1362" s="207" t="n"/>
      <c r="BV1362" s="208" t="n"/>
      <c r="BW1362" s="207" t="n"/>
      <c r="BX1362" s="207" t="n"/>
      <c r="BY1362" s="204" t="n"/>
      <c r="BZ1362" s="148" t="n"/>
      <c r="CA1362" s="204" t="n"/>
      <c r="CB1362" s="208" t="n"/>
      <c r="CC1362" s="139" t="n"/>
      <c r="CD1362" s="204" t="n"/>
      <c r="CE1362" s="204" t="n"/>
      <c r="CF1362" s="207" t="n"/>
      <c r="CG1362" s="208" t="n"/>
      <c r="CH1362" s="207" t="n"/>
      <c r="CI1362" s="208" t="n"/>
      <c r="CJ1362" s="204" t="n"/>
      <c r="CK1362" s="208" t="n"/>
      <c r="CL1362" s="208" t="n"/>
      <c r="CM1362" s="208" t="n"/>
      <c r="CN1362" s="78" t="n"/>
      <c r="CO1362" s="209" t="n"/>
      <c r="CP1362" s="204" t="n"/>
      <c r="CQ1362" s="204" t="n"/>
      <c r="CR1362" s="204" t="n"/>
      <c r="CS1362" s="204" t="n"/>
      <c r="CT1362" s="204" t="n"/>
      <c r="CU1362" s="204" t="n"/>
      <c r="CV1362" s="204" t="n"/>
      <c r="CW1362" s="204" t="n"/>
    </row>
    <row r="1363">
      <c r="BF1363" s="78" t="n"/>
      <c r="BG1363" s="78" t="n"/>
      <c r="BH1363" s="78" t="n"/>
      <c r="BI1363" s="78" t="n"/>
      <c r="BJ1363" s="139" t="n"/>
      <c r="BK1363" s="204" t="n"/>
      <c r="BL1363" s="141" t="n"/>
      <c r="BM1363" s="205" t="n"/>
      <c r="BN1363" s="205" t="n"/>
      <c r="BO1363" s="206" t="n"/>
      <c r="BP1363" s="144" t="n"/>
      <c r="BQ1363" s="141" t="n"/>
      <c r="BR1363" s="207" t="n"/>
      <c r="BS1363" s="207" t="n"/>
      <c r="BT1363" s="207" t="n"/>
      <c r="BU1363" s="207" t="n"/>
      <c r="BV1363" s="208" t="n"/>
      <c r="BW1363" s="207" t="n"/>
      <c r="BX1363" s="207" t="n"/>
      <c r="BY1363" s="204" t="n"/>
      <c r="BZ1363" s="148" t="n"/>
      <c r="CA1363" s="204" t="n"/>
      <c r="CB1363" s="208" t="n"/>
      <c r="CC1363" s="139" t="n"/>
      <c r="CD1363" s="204" t="n"/>
      <c r="CE1363" s="204" t="n"/>
      <c r="CF1363" s="207" t="n"/>
      <c r="CG1363" s="208" t="n"/>
      <c r="CH1363" s="207" t="n"/>
      <c r="CI1363" s="208" t="n"/>
      <c r="CJ1363" s="204" t="n"/>
      <c r="CK1363" s="208" t="n"/>
      <c r="CL1363" s="208" t="n"/>
      <c r="CM1363" s="208" t="n"/>
      <c r="CN1363" s="78" t="n"/>
      <c r="CO1363" s="209" t="n"/>
      <c r="CP1363" s="204" t="n"/>
      <c r="CQ1363" s="204" t="n"/>
      <c r="CR1363" s="204" t="n"/>
      <c r="CS1363" s="204" t="n"/>
      <c r="CT1363" s="204" t="n"/>
      <c r="CU1363" s="204" t="n"/>
      <c r="CV1363" s="204" t="n"/>
      <c r="CW1363" s="204" t="n"/>
    </row>
    <row r="1364">
      <c r="BF1364" s="78" t="n"/>
      <c r="BG1364" s="78" t="n"/>
      <c r="BH1364" s="78" t="n"/>
      <c r="BI1364" s="78" t="n"/>
      <c r="BJ1364" s="139" t="n"/>
      <c r="BK1364" s="204" t="n"/>
      <c r="BL1364" s="141" t="n"/>
      <c r="BM1364" s="205" t="n"/>
      <c r="BN1364" s="205" t="n"/>
      <c r="BO1364" s="206" t="n"/>
      <c r="BP1364" s="144" t="n"/>
      <c r="BQ1364" s="141" t="n"/>
      <c r="BR1364" s="207" t="n"/>
      <c r="BS1364" s="207" t="n"/>
      <c r="BT1364" s="207" t="n"/>
      <c r="BU1364" s="207" t="n"/>
      <c r="BV1364" s="208" t="n"/>
      <c r="BW1364" s="207" t="n"/>
      <c r="BX1364" s="207" t="n"/>
      <c r="BY1364" s="204" t="n"/>
      <c r="BZ1364" s="148" t="n"/>
      <c r="CA1364" s="204" t="n"/>
      <c r="CB1364" s="208" t="n"/>
      <c r="CC1364" s="139" t="n"/>
      <c r="CD1364" s="204" t="n"/>
      <c r="CE1364" s="204" t="n"/>
      <c r="CF1364" s="207" t="n"/>
      <c r="CG1364" s="208" t="n"/>
      <c r="CH1364" s="207" t="n"/>
      <c r="CI1364" s="208" t="n"/>
      <c r="CJ1364" s="204" t="n"/>
      <c r="CK1364" s="208" t="n"/>
      <c r="CL1364" s="208" t="n"/>
      <c r="CM1364" s="208" t="n"/>
      <c r="CN1364" s="78" t="n"/>
      <c r="CO1364" s="209" t="n"/>
      <c r="CP1364" s="204" t="n"/>
      <c r="CQ1364" s="204" t="n"/>
      <c r="CR1364" s="204" t="n"/>
      <c r="CS1364" s="204" t="n"/>
      <c r="CT1364" s="204" t="n"/>
      <c r="CU1364" s="204" t="n"/>
      <c r="CV1364" s="204" t="n"/>
      <c r="CW1364" s="204" t="n"/>
    </row>
    <row r="1365">
      <c r="BF1365" s="78" t="n"/>
      <c r="BG1365" s="78" t="n"/>
      <c r="BH1365" s="78" t="n"/>
      <c r="BI1365" s="78" t="n"/>
      <c r="BJ1365" s="139" t="n"/>
      <c r="BK1365" s="204" t="n"/>
      <c r="BL1365" s="141" t="n"/>
      <c r="BM1365" s="205" t="n"/>
      <c r="BN1365" s="205" t="n"/>
      <c r="BO1365" s="206" t="n"/>
      <c r="BP1365" s="144" t="n"/>
      <c r="BQ1365" s="141" t="n"/>
      <c r="BR1365" s="207" t="n"/>
      <c r="BS1365" s="207" t="n"/>
      <c r="BT1365" s="207" t="n"/>
      <c r="BU1365" s="207" t="n"/>
      <c r="BV1365" s="208" t="n"/>
      <c r="BW1365" s="207" t="n"/>
      <c r="BX1365" s="207" t="n"/>
      <c r="BY1365" s="204" t="n"/>
      <c r="BZ1365" s="148" t="n"/>
      <c r="CA1365" s="204" t="n"/>
      <c r="CB1365" s="208" t="n"/>
      <c r="CC1365" s="139" t="n"/>
      <c r="CD1365" s="204" t="n"/>
      <c r="CE1365" s="204" t="n"/>
      <c r="CF1365" s="207" t="n"/>
      <c r="CG1365" s="208" t="n"/>
      <c r="CH1365" s="207" t="n"/>
      <c r="CI1365" s="208" t="n"/>
      <c r="CJ1365" s="204" t="n"/>
      <c r="CK1365" s="208" t="n"/>
      <c r="CL1365" s="208" t="n"/>
      <c r="CM1365" s="208" t="n"/>
      <c r="CN1365" s="78" t="n"/>
      <c r="CO1365" s="209" t="n"/>
      <c r="CP1365" s="204" t="n"/>
      <c r="CQ1365" s="204" t="n"/>
      <c r="CR1365" s="204" t="n"/>
      <c r="CS1365" s="204" t="n"/>
      <c r="CT1365" s="204" t="n"/>
      <c r="CU1365" s="204" t="n"/>
      <c r="CV1365" s="204" t="n"/>
      <c r="CW1365" s="204" t="n"/>
    </row>
    <row r="1366">
      <c r="BF1366" s="78" t="n"/>
      <c r="BG1366" s="78" t="n"/>
      <c r="BH1366" s="78" t="n"/>
      <c r="BI1366" s="78" t="n"/>
      <c r="BJ1366" s="139" t="n"/>
      <c r="BK1366" s="204" t="n"/>
      <c r="BL1366" s="141" t="n"/>
      <c r="BM1366" s="205" t="n"/>
      <c r="BN1366" s="205" t="n"/>
      <c r="BO1366" s="206" t="n"/>
      <c r="BP1366" s="144" t="n"/>
      <c r="BQ1366" s="141" t="n"/>
      <c r="BR1366" s="207" t="n"/>
      <c r="BS1366" s="207" t="n"/>
      <c r="BT1366" s="207" t="n"/>
      <c r="BU1366" s="207" t="n"/>
      <c r="BV1366" s="208" t="n"/>
      <c r="BW1366" s="207" t="n"/>
      <c r="BX1366" s="207" t="n"/>
      <c r="BY1366" s="204" t="n"/>
      <c r="BZ1366" s="148" t="n"/>
      <c r="CA1366" s="204" t="n"/>
      <c r="CB1366" s="208" t="n"/>
      <c r="CC1366" s="139" t="n"/>
      <c r="CD1366" s="204" t="n"/>
      <c r="CE1366" s="204" t="n"/>
      <c r="CF1366" s="207" t="n"/>
      <c r="CG1366" s="208" t="n"/>
      <c r="CH1366" s="207" t="n"/>
      <c r="CI1366" s="208" t="n"/>
      <c r="CJ1366" s="204" t="n"/>
      <c r="CK1366" s="208" t="n"/>
      <c r="CL1366" s="208" t="n"/>
      <c r="CM1366" s="208" t="n"/>
      <c r="CN1366" s="78" t="n"/>
      <c r="CO1366" s="209" t="n"/>
      <c r="CP1366" s="204" t="n"/>
      <c r="CQ1366" s="204" t="n"/>
      <c r="CR1366" s="204" t="n"/>
      <c r="CS1366" s="204" t="n"/>
      <c r="CT1366" s="204" t="n"/>
      <c r="CU1366" s="204" t="n"/>
      <c r="CV1366" s="204" t="n"/>
      <c r="CW1366" s="204" t="n"/>
    </row>
    <row r="1367">
      <c r="BF1367" s="78" t="n"/>
      <c r="BG1367" s="78" t="n"/>
      <c r="BH1367" s="78" t="n"/>
      <c r="BI1367" s="78" t="n"/>
      <c r="BJ1367" s="139" t="n"/>
      <c r="BK1367" s="204" t="n"/>
      <c r="BL1367" s="141" t="n"/>
      <c r="BM1367" s="205" t="n"/>
      <c r="BN1367" s="205" t="n"/>
      <c r="BO1367" s="206" t="n"/>
      <c r="BP1367" s="144" t="n"/>
      <c r="BQ1367" s="141" t="n"/>
      <c r="BR1367" s="207" t="n"/>
      <c r="BS1367" s="207" t="n"/>
      <c r="BT1367" s="207" t="n"/>
      <c r="BU1367" s="207" t="n"/>
      <c r="BV1367" s="208" t="n"/>
      <c r="BW1367" s="207" t="n"/>
      <c r="BX1367" s="207" t="n"/>
      <c r="BY1367" s="204" t="n"/>
      <c r="BZ1367" s="148" t="n"/>
      <c r="CA1367" s="204" t="n"/>
      <c r="CB1367" s="208" t="n"/>
      <c r="CC1367" s="139" t="n"/>
      <c r="CD1367" s="204" t="n"/>
      <c r="CE1367" s="204" t="n"/>
      <c r="CF1367" s="207" t="n"/>
      <c r="CG1367" s="208" t="n"/>
      <c r="CH1367" s="207" t="n"/>
      <c r="CI1367" s="208" t="n"/>
      <c r="CJ1367" s="204" t="n"/>
      <c r="CK1367" s="208" t="n"/>
      <c r="CL1367" s="208" t="n"/>
      <c r="CM1367" s="208" t="n"/>
      <c r="CN1367" s="78" t="n"/>
      <c r="CO1367" s="209" t="n"/>
      <c r="CP1367" s="204" t="n"/>
      <c r="CQ1367" s="204" t="n"/>
      <c r="CR1367" s="204" t="n"/>
      <c r="CS1367" s="204" t="n"/>
      <c r="CT1367" s="204" t="n"/>
      <c r="CU1367" s="204" t="n"/>
      <c r="CV1367" s="204" t="n"/>
      <c r="CW1367" s="204" t="n"/>
    </row>
    <row r="1368">
      <c r="BF1368" s="78" t="n"/>
      <c r="BG1368" s="78" t="n"/>
      <c r="BH1368" s="78" t="n"/>
      <c r="BI1368" s="78" t="n"/>
      <c r="BJ1368" s="139" t="n"/>
      <c r="BK1368" s="204" t="n"/>
      <c r="BL1368" s="141" t="n"/>
      <c r="BM1368" s="205" t="n"/>
      <c r="BN1368" s="205" t="n"/>
      <c r="BO1368" s="206" t="n"/>
      <c r="BP1368" s="144" t="n"/>
      <c r="BQ1368" s="141" t="n"/>
      <c r="BR1368" s="207" t="n"/>
      <c r="BS1368" s="207" t="n"/>
      <c r="BT1368" s="207" t="n"/>
      <c r="BU1368" s="207" t="n"/>
      <c r="BV1368" s="208" t="n"/>
      <c r="BW1368" s="207" t="n"/>
      <c r="BX1368" s="207" t="n"/>
      <c r="BY1368" s="204" t="n"/>
      <c r="BZ1368" s="148" t="n"/>
      <c r="CA1368" s="204" t="n"/>
      <c r="CB1368" s="208" t="n"/>
      <c r="CC1368" s="139" t="n"/>
      <c r="CD1368" s="204" t="n"/>
      <c r="CE1368" s="204" t="n"/>
      <c r="CF1368" s="207" t="n"/>
      <c r="CG1368" s="208" t="n"/>
      <c r="CH1368" s="207" t="n"/>
      <c r="CI1368" s="208" t="n"/>
      <c r="CJ1368" s="204" t="n"/>
      <c r="CK1368" s="208" t="n"/>
      <c r="CL1368" s="208" t="n"/>
      <c r="CM1368" s="208" t="n"/>
      <c r="CN1368" s="78" t="n"/>
      <c r="CO1368" s="209" t="n"/>
      <c r="CP1368" s="204" t="n"/>
      <c r="CQ1368" s="204" t="n"/>
      <c r="CR1368" s="204" t="n"/>
      <c r="CS1368" s="204" t="n"/>
      <c r="CT1368" s="204" t="n"/>
      <c r="CU1368" s="204" t="n"/>
      <c r="CV1368" s="204" t="n"/>
      <c r="CW1368" s="204" t="n"/>
    </row>
    <row r="1369">
      <c r="BF1369" s="78" t="n"/>
      <c r="BG1369" s="78" t="n"/>
      <c r="BH1369" s="78" t="n"/>
      <c r="BI1369" s="78" t="n"/>
      <c r="BJ1369" s="139" t="n"/>
      <c r="BK1369" s="204" t="n"/>
      <c r="BL1369" s="141" t="n"/>
      <c r="BM1369" s="205" t="n"/>
      <c r="BN1369" s="205" t="n"/>
      <c r="BO1369" s="206" t="n"/>
      <c r="BP1369" s="144" t="n"/>
      <c r="BQ1369" s="141" t="n"/>
      <c r="BR1369" s="207" t="n"/>
      <c r="BS1369" s="207" t="n"/>
      <c r="BT1369" s="207" t="n"/>
      <c r="BU1369" s="207" t="n"/>
      <c r="BV1369" s="208" t="n"/>
      <c r="BW1369" s="207" t="n"/>
      <c r="BX1369" s="207" t="n"/>
      <c r="BY1369" s="204" t="n"/>
      <c r="BZ1369" s="148" t="n"/>
      <c r="CA1369" s="204" t="n"/>
      <c r="CB1369" s="208" t="n"/>
      <c r="CC1369" s="139" t="n"/>
      <c r="CD1369" s="204" t="n"/>
      <c r="CE1369" s="204" t="n"/>
      <c r="CF1369" s="207" t="n"/>
      <c r="CG1369" s="208" t="n"/>
      <c r="CH1369" s="207" t="n"/>
      <c r="CI1369" s="208" t="n"/>
      <c r="CJ1369" s="204" t="n"/>
      <c r="CK1369" s="208" t="n"/>
      <c r="CL1369" s="208" t="n"/>
      <c r="CM1369" s="208" t="n"/>
      <c r="CN1369" s="78" t="n"/>
      <c r="CO1369" s="209" t="n"/>
      <c r="CP1369" s="204" t="n"/>
      <c r="CQ1369" s="204" t="n"/>
      <c r="CR1369" s="204" t="n"/>
      <c r="CS1369" s="204" t="n"/>
      <c r="CT1369" s="204" t="n"/>
      <c r="CU1369" s="204" t="n"/>
      <c r="CV1369" s="204" t="n"/>
      <c r="CW1369" s="204" t="n"/>
    </row>
    <row r="1370">
      <c r="BF1370" s="78" t="n"/>
      <c r="BG1370" s="78" t="n"/>
      <c r="BH1370" s="78" t="n"/>
      <c r="BI1370" s="78" t="n"/>
      <c r="BJ1370" s="139" t="n"/>
      <c r="BK1370" s="204" t="n"/>
      <c r="BL1370" s="141" t="n"/>
      <c r="BM1370" s="205" t="n"/>
      <c r="BN1370" s="205" t="n"/>
      <c r="BO1370" s="206" t="n"/>
      <c r="BP1370" s="144" t="n"/>
      <c r="BQ1370" s="141" t="n"/>
      <c r="BR1370" s="207" t="n"/>
      <c r="BS1370" s="207" t="n"/>
      <c r="BT1370" s="207" t="n"/>
      <c r="BU1370" s="207" t="n"/>
      <c r="BV1370" s="208" t="n"/>
      <c r="BW1370" s="207" t="n"/>
      <c r="BX1370" s="207" t="n"/>
      <c r="BY1370" s="204" t="n"/>
      <c r="BZ1370" s="148" t="n"/>
      <c r="CA1370" s="204" t="n"/>
      <c r="CB1370" s="208" t="n"/>
      <c r="CC1370" s="139" t="n"/>
      <c r="CD1370" s="204" t="n"/>
      <c r="CE1370" s="204" t="n"/>
      <c r="CF1370" s="207" t="n"/>
      <c r="CG1370" s="208" t="n"/>
      <c r="CH1370" s="207" t="n"/>
      <c r="CI1370" s="208" t="n"/>
      <c r="CJ1370" s="204" t="n"/>
      <c r="CK1370" s="208" t="n"/>
      <c r="CL1370" s="208" t="n"/>
      <c r="CM1370" s="208" t="n"/>
      <c r="CN1370" s="78" t="n"/>
      <c r="CO1370" s="209" t="n"/>
      <c r="CP1370" s="204" t="n"/>
      <c r="CQ1370" s="204" t="n"/>
      <c r="CR1370" s="204" t="n"/>
      <c r="CS1370" s="204" t="n"/>
      <c r="CT1370" s="204" t="n"/>
      <c r="CU1370" s="204" t="n"/>
      <c r="CV1370" s="204" t="n"/>
      <c r="CW1370" s="204" t="n"/>
    </row>
    <row r="1371">
      <c r="BF1371" s="78" t="n"/>
      <c r="BG1371" s="78" t="n"/>
      <c r="BH1371" s="78" t="n"/>
      <c r="BI1371" s="78" t="n"/>
      <c r="BJ1371" s="139" t="n"/>
      <c r="BK1371" s="204" t="n"/>
      <c r="BL1371" s="141" t="n"/>
      <c r="BM1371" s="205" t="n"/>
      <c r="BN1371" s="205" t="n"/>
      <c r="BO1371" s="206" t="n"/>
      <c r="BP1371" s="144" t="n"/>
      <c r="BQ1371" s="141" t="n"/>
      <c r="BR1371" s="207" t="n"/>
      <c r="BS1371" s="207" t="n"/>
      <c r="BT1371" s="207" t="n"/>
      <c r="BU1371" s="207" t="n"/>
      <c r="BV1371" s="208" t="n"/>
      <c r="BW1371" s="207" t="n"/>
      <c r="BX1371" s="207" t="n"/>
      <c r="BY1371" s="204" t="n"/>
      <c r="BZ1371" s="148" t="n"/>
      <c r="CA1371" s="204" t="n"/>
      <c r="CB1371" s="208" t="n"/>
      <c r="CC1371" s="139" t="n"/>
      <c r="CD1371" s="204" t="n"/>
      <c r="CE1371" s="204" t="n"/>
      <c r="CF1371" s="207" t="n"/>
      <c r="CG1371" s="208" t="n"/>
      <c r="CH1371" s="207" t="n"/>
      <c r="CI1371" s="208" t="n"/>
      <c r="CJ1371" s="204" t="n"/>
      <c r="CK1371" s="208" t="n"/>
      <c r="CL1371" s="208" t="n"/>
      <c r="CM1371" s="208" t="n"/>
      <c r="CN1371" s="78" t="n"/>
      <c r="CO1371" s="209" t="n"/>
      <c r="CP1371" s="204" t="n"/>
      <c r="CQ1371" s="204" t="n"/>
      <c r="CR1371" s="204" t="n"/>
      <c r="CS1371" s="204" t="n"/>
      <c r="CT1371" s="204" t="n"/>
      <c r="CU1371" s="204" t="n"/>
      <c r="CV1371" s="204" t="n"/>
      <c r="CW1371" s="204" t="n"/>
    </row>
    <row r="1372">
      <c r="BF1372" s="78" t="n"/>
      <c r="BG1372" s="78" t="n"/>
      <c r="BH1372" s="78" t="n"/>
      <c r="BI1372" s="78" t="n"/>
      <c r="BJ1372" s="139" t="n"/>
      <c r="BK1372" s="204" t="n"/>
      <c r="BL1372" s="141" t="n"/>
      <c r="BM1372" s="205" t="n"/>
      <c r="BN1372" s="205" t="n"/>
      <c r="BO1372" s="206" t="n"/>
      <c r="BP1372" s="144" t="n"/>
      <c r="BQ1372" s="141" t="n"/>
      <c r="BR1372" s="207" t="n"/>
      <c r="BS1372" s="207" t="n"/>
      <c r="BT1372" s="207" t="n"/>
      <c r="BU1372" s="207" t="n"/>
      <c r="BV1372" s="208" t="n"/>
      <c r="BW1372" s="207" t="n"/>
      <c r="BX1372" s="207" t="n"/>
      <c r="BY1372" s="204" t="n"/>
      <c r="BZ1372" s="148" t="n"/>
      <c r="CA1372" s="204" t="n"/>
      <c r="CB1372" s="208" t="n"/>
      <c r="CC1372" s="139" t="n"/>
      <c r="CD1372" s="204" t="n"/>
      <c r="CE1372" s="204" t="n"/>
      <c r="CF1372" s="207" t="n"/>
      <c r="CG1372" s="208" t="n"/>
      <c r="CH1372" s="207" t="n"/>
      <c r="CI1372" s="208" t="n"/>
      <c r="CJ1372" s="204" t="n"/>
      <c r="CK1372" s="208" t="n"/>
      <c r="CL1372" s="208" t="n"/>
      <c r="CM1372" s="208" t="n"/>
      <c r="CN1372" s="78" t="n"/>
      <c r="CO1372" s="209" t="n"/>
      <c r="CP1372" s="204" t="n"/>
      <c r="CQ1372" s="204" t="n"/>
      <c r="CR1372" s="204" t="n"/>
      <c r="CS1372" s="204" t="n"/>
      <c r="CT1372" s="204" t="n"/>
      <c r="CU1372" s="204" t="n"/>
      <c r="CV1372" s="204" t="n"/>
      <c r="CW1372" s="204" t="n"/>
    </row>
    <row r="1373">
      <c r="BF1373" s="78" t="n"/>
      <c r="BG1373" s="78" t="n"/>
      <c r="BH1373" s="78" t="n"/>
      <c r="BI1373" s="78" t="n"/>
      <c r="BJ1373" s="139" t="n"/>
      <c r="BK1373" s="204" t="n"/>
      <c r="BL1373" s="141" t="n"/>
      <c r="BM1373" s="205" t="n"/>
      <c r="BN1373" s="205" t="n"/>
      <c r="BO1373" s="206" t="n"/>
      <c r="BP1373" s="144" t="n"/>
      <c r="BQ1373" s="141" t="n"/>
      <c r="BR1373" s="207" t="n"/>
      <c r="BS1373" s="207" t="n"/>
      <c r="BT1373" s="207" t="n"/>
      <c r="BU1373" s="207" t="n"/>
      <c r="BV1373" s="208" t="n"/>
      <c r="BW1373" s="207" t="n"/>
      <c r="BX1373" s="207" t="n"/>
      <c r="BY1373" s="204" t="n"/>
      <c r="BZ1373" s="148" t="n"/>
      <c r="CA1373" s="204" t="n"/>
      <c r="CB1373" s="208" t="n"/>
      <c r="CC1373" s="139" t="n"/>
      <c r="CD1373" s="204" t="n"/>
      <c r="CE1373" s="204" t="n"/>
      <c r="CF1373" s="207" t="n"/>
      <c r="CG1373" s="208" t="n"/>
      <c r="CH1373" s="207" t="n"/>
      <c r="CI1373" s="208" t="n"/>
      <c r="CJ1373" s="204" t="n"/>
      <c r="CK1373" s="208" t="n"/>
      <c r="CL1373" s="208" t="n"/>
      <c r="CM1373" s="208" t="n"/>
      <c r="CN1373" s="78" t="n"/>
      <c r="CO1373" s="209" t="n"/>
      <c r="CP1373" s="204" t="n"/>
      <c r="CQ1373" s="204" t="n"/>
      <c r="CR1373" s="204" t="n"/>
      <c r="CS1373" s="204" t="n"/>
      <c r="CT1373" s="204" t="n"/>
      <c r="CU1373" s="204" t="n"/>
      <c r="CV1373" s="204" t="n"/>
      <c r="CW1373" s="204" t="n"/>
    </row>
    <row r="1374">
      <c r="BF1374" s="78" t="n"/>
      <c r="BG1374" s="78" t="n"/>
      <c r="BH1374" s="78" t="n"/>
      <c r="BI1374" s="78" t="n"/>
      <c r="BJ1374" s="139" t="n"/>
      <c r="BK1374" s="204" t="n"/>
      <c r="BL1374" s="141" t="n"/>
      <c r="BM1374" s="205" t="n"/>
      <c r="BN1374" s="205" t="n"/>
      <c r="BO1374" s="206" t="n"/>
      <c r="BP1374" s="144" t="n"/>
      <c r="BQ1374" s="141" t="n"/>
      <c r="BR1374" s="207" t="n"/>
      <c r="BS1374" s="207" t="n"/>
      <c r="BT1374" s="207" t="n"/>
      <c r="BU1374" s="207" t="n"/>
      <c r="BV1374" s="208" t="n"/>
      <c r="BW1374" s="207" t="n"/>
      <c r="BX1374" s="207" t="n"/>
      <c r="BY1374" s="204" t="n"/>
      <c r="BZ1374" s="148" t="n"/>
      <c r="CA1374" s="204" t="n"/>
      <c r="CB1374" s="208" t="n"/>
      <c r="CC1374" s="139" t="n"/>
      <c r="CD1374" s="204" t="n"/>
      <c r="CE1374" s="204" t="n"/>
      <c r="CF1374" s="207" t="n"/>
      <c r="CG1374" s="208" t="n"/>
      <c r="CH1374" s="207" t="n"/>
      <c r="CI1374" s="208" t="n"/>
      <c r="CJ1374" s="204" t="n"/>
      <c r="CK1374" s="208" t="n"/>
      <c r="CL1374" s="208" t="n"/>
      <c r="CM1374" s="208" t="n"/>
      <c r="CN1374" s="78" t="n"/>
      <c r="CO1374" s="209" t="n"/>
      <c r="CP1374" s="204" t="n"/>
      <c r="CQ1374" s="204" t="n"/>
      <c r="CR1374" s="204" t="n"/>
      <c r="CS1374" s="204" t="n"/>
      <c r="CT1374" s="204" t="n"/>
      <c r="CU1374" s="204" t="n"/>
      <c r="CV1374" s="204" t="n"/>
      <c r="CW1374" s="204" t="n"/>
    </row>
    <row r="1375">
      <c r="BF1375" s="78" t="n"/>
      <c r="BG1375" s="78" t="n"/>
      <c r="BH1375" s="78" t="n"/>
      <c r="BI1375" s="78" t="n"/>
      <c r="BJ1375" s="139" t="n"/>
      <c r="BK1375" s="204" t="n"/>
      <c r="BL1375" s="141" t="n"/>
      <c r="BM1375" s="205" t="n"/>
      <c r="BN1375" s="205" t="n"/>
      <c r="BO1375" s="206" t="n"/>
      <c r="BP1375" s="144" t="n"/>
      <c r="BQ1375" s="141" t="n"/>
      <c r="BR1375" s="207" t="n"/>
      <c r="BS1375" s="207" t="n"/>
      <c r="BT1375" s="207" t="n"/>
      <c r="BU1375" s="207" t="n"/>
      <c r="BV1375" s="208" t="n"/>
      <c r="BW1375" s="207" t="n"/>
      <c r="BX1375" s="207" t="n"/>
      <c r="BY1375" s="204" t="n"/>
      <c r="BZ1375" s="148" t="n"/>
      <c r="CA1375" s="204" t="n"/>
      <c r="CB1375" s="208" t="n"/>
      <c r="CC1375" s="139" t="n"/>
      <c r="CD1375" s="204" t="n"/>
      <c r="CE1375" s="204" t="n"/>
      <c r="CF1375" s="207" t="n"/>
      <c r="CG1375" s="208" t="n"/>
      <c r="CH1375" s="207" t="n"/>
      <c r="CI1375" s="208" t="n"/>
      <c r="CJ1375" s="204" t="n"/>
      <c r="CK1375" s="208" t="n"/>
      <c r="CL1375" s="208" t="n"/>
      <c r="CM1375" s="208" t="n"/>
      <c r="CN1375" s="78" t="n"/>
      <c r="CO1375" s="209" t="n"/>
      <c r="CP1375" s="204" t="n"/>
      <c r="CQ1375" s="204" t="n"/>
      <c r="CR1375" s="204" t="n"/>
      <c r="CS1375" s="204" t="n"/>
      <c r="CT1375" s="204" t="n"/>
      <c r="CU1375" s="204" t="n"/>
      <c r="CV1375" s="204" t="n"/>
      <c r="CW1375" s="204" t="n"/>
    </row>
    <row r="1376">
      <c r="BF1376" s="78" t="n"/>
      <c r="BG1376" s="78" t="n"/>
      <c r="BH1376" s="78" t="n"/>
      <c r="BI1376" s="78" t="n"/>
      <c r="BJ1376" s="139" t="n"/>
      <c r="BK1376" s="204" t="n"/>
      <c r="BL1376" s="141" t="n"/>
      <c r="BM1376" s="205" t="n"/>
      <c r="BN1376" s="205" t="n"/>
      <c r="BO1376" s="206" t="n"/>
      <c r="BP1376" s="144" t="n"/>
      <c r="BQ1376" s="141" t="n"/>
      <c r="BR1376" s="207" t="n"/>
      <c r="BS1376" s="207" t="n"/>
      <c r="BT1376" s="207" t="n"/>
      <c r="BU1376" s="207" t="n"/>
      <c r="BV1376" s="208" t="n"/>
      <c r="BW1376" s="207" t="n"/>
      <c r="BX1376" s="207" t="n"/>
      <c r="BY1376" s="204" t="n"/>
      <c r="BZ1376" s="148" t="n"/>
      <c r="CA1376" s="204" t="n"/>
      <c r="CB1376" s="208" t="n"/>
      <c r="CC1376" s="139" t="n"/>
      <c r="CD1376" s="204" t="n"/>
      <c r="CE1376" s="204" t="n"/>
      <c r="CF1376" s="207" t="n"/>
      <c r="CG1376" s="208" t="n"/>
      <c r="CH1376" s="207" t="n"/>
      <c r="CI1376" s="208" t="n"/>
      <c r="CJ1376" s="204" t="n"/>
      <c r="CK1376" s="208" t="n"/>
      <c r="CL1376" s="208" t="n"/>
      <c r="CM1376" s="208" t="n"/>
      <c r="CN1376" s="78" t="n"/>
      <c r="CO1376" s="209" t="n"/>
      <c r="CP1376" s="204" t="n"/>
      <c r="CQ1376" s="204" t="n"/>
      <c r="CR1376" s="204" t="n"/>
      <c r="CS1376" s="204" t="n"/>
      <c r="CT1376" s="204" t="n"/>
      <c r="CU1376" s="204" t="n"/>
      <c r="CV1376" s="204" t="n"/>
      <c r="CW1376" s="204" t="n"/>
    </row>
    <row r="1377">
      <c r="BF1377" s="78" t="n"/>
      <c r="BG1377" s="78" t="n"/>
      <c r="BH1377" s="78" t="n"/>
      <c r="BI1377" s="78" t="n"/>
      <c r="BJ1377" s="139" t="n"/>
      <c r="BK1377" s="204" t="n"/>
      <c r="BL1377" s="141" t="n"/>
      <c r="BM1377" s="205" t="n"/>
      <c r="BN1377" s="205" t="n"/>
      <c r="BO1377" s="206" t="n"/>
      <c r="BP1377" s="144" t="n"/>
      <c r="BQ1377" s="141" t="n"/>
      <c r="BR1377" s="207" t="n"/>
      <c r="BS1377" s="207" t="n"/>
      <c r="BT1377" s="207" t="n"/>
      <c r="BU1377" s="207" t="n"/>
      <c r="BV1377" s="208" t="n"/>
      <c r="BW1377" s="207" t="n"/>
      <c r="BX1377" s="207" t="n"/>
      <c r="BY1377" s="204" t="n"/>
      <c r="BZ1377" s="148" t="n"/>
      <c r="CA1377" s="204" t="n"/>
      <c r="CB1377" s="208" t="n"/>
      <c r="CC1377" s="139" t="n"/>
      <c r="CD1377" s="204" t="n"/>
      <c r="CE1377" s="204" t="n"/>
      <c r="CF1377" s="207" t="n"/>
      <c r="CG1377" s="208" t="n"/>
      <c r="CH1377" s="207" t="n"/>
      <c r="CI1377" s="208" t="n"/>
      <c r="CJ1377" s="204" t="n"/>
      <c r="CK1377" s="208" t="n"/>
      <c r="CL1377" s="208" t="n"/>
      <c r="CM1377" s="208" t="n"/>
      <c r="CN1377" s="78" t="n"/>
      <c r="CO1377" s="209" t="n"/>
      <c r="CP1377" s="204" t="n"/>
      <c r="CQ1377" s="204" t="n"/>
      <c r="CR1377" s="204" t="n"/>
      <c r="CS1377" s="204" t="n"/>
      <c r="CT1377" s="204" t="n"/>
      <c r="CU1377" s="204" t="n"/>
      <c r="CV1377" s="204" t="n"/>
      <c r="CW1377" s="204" t="n"/>
    </row>
    <row r="1378">
      <c r="BF1378" s="78" t="n"/>
      <c r="BG1378" s="78" t="n"/>
      <c r="BH1378" s="78" t="n"/>
      <c r="BI1378" s="78" t="n"/>
      <c r="BJ1378" s="139" t="n"/>
      <c r="BK1378" s="204" t="n"/>
      <c r="BL1378" s="141" t="n"/>
      <c r="BM1378" s="205" t="n"/>
      <c r="BN1378" s="205" t="n"/>
      <c r="BO1378" s="206" t="n"/>
      <c r="BP1378" s="144" t="n"/>
      <c r="BQ1378" s="141" t="n"/>
      <c r="BR1378" s="207" t="n"/>
      <c r="BS1378" s="207" t="n"/>
      <c r="BT1378" s="207" t="n"/>
      <c r="BU1378" s="207" t="n"/>
      <c r="BV1378" s="208" t="n"/>
      <c r="BW1378" s="207" t="n"/>
      <c r="BX1378" s="207" t="n"/>
      <c r="BY1378" s="204" t="n"/>
      <c r="BZ1378" s="148" t="n"/>
      <c r="CA1378" s="204" t="n"/>
      <c r="CB1378" s="208" t="n"/>
      <c r="CC1378" s="139" t="n"/>
      <c r="CD1378" s="204" t="n"/>
      <c r="CE1378" s="204" t="n"/>
      <c r="CF1378" s="207" t="n"/>
      <c r="CG1378" s="208" t="n"/>
      <c r="CH1378" s="207" t="n"/>
      <c r="CI1378" s="208" t="n"/>
      <c r="CJ1378" s="204" t="n"/>
      <c r="CK1378" s="208" t="n"/>
      <c r="CL1378" s="208" t="n"/>
      <c r="CM1378" s="208" t="n"/>
      <c r="CN1378" s="78" t="n"/>
      <c r="CO1378" s="209" t="n"/>
      <c r="CP1378" s="204" t="n"/>
      <c r="CQ1378" s="204" t="n"/>
      <c r="CR1378" s="204" t="n"/>
      <c r="CS1378" s="204" t="n"/>
      <c r="CT1378" s="204" t="n"/>
      <c r="CU1378" s="204" t="n"/>
      <c r="CV1378" s="204" t="n"/>
      <c r="CW1378" s="204" t="n"/>
    </row>
    <row r="1379">
      <c r="BF1379" s="78" t="n"/>
      <c r="BG1379" s="78" t="n"/>
      <c r="BH1379" s="78" t="n"/>
      <c r="BI1379" s="78" t="n"/>
      <c r="BJ1379" s="139" t="n"/>
      <c r="BK1379" s="204" t="n"/>
      <c r="BL1379" s="141" t="n"/>
      <c r="BM1379" s="205" t="n"/>
      <c r="BN1379" s="205" t="n"/>
      <c r="BO1379" s="206" t="n"/>
      <c r="BP1379" s="144" t="n"/>
      <c r="BQ1379" s="141" t="n"/>
      <c r="BR1379" s="207" t="n"/>
      <c r="BS1379" s="207" t="n"/>
      <c r="BT1379" s="207" t="n"/>
      <c r="BU1379" s="207" t="n"/>
      <c r="BV1379" s="208" t="n"/>
      <c r="BW1379" s="207" t="n"/>
      <c r="BX1379" s="207" t="n"/>
      <c r="BY1379" s="204" t="n"/>
      <c r="BZ1379" s="148" t="n"/>
      <c r="CA1379" s="204" t="n"/>
      <c r="CB1379" s="208" t="n"/>
      <c r="CC1379" s="139" t="n"/>
      <c r="CD1379" s="204" t="n"/>
      <c r="CE1379" s="204" t="n"/>
      <c r="CF1379" s="207" t="n"/>
      <c r="CG1379" s="208" t="n"/>
      <c r="CH1379" s="207" t="n"/>
      <c r="CI1379" s="208" t="n"/>
      <c r="CJ1379" s="204" t="n"/>
      <c r="CK1379" s="208" t="n"/>
      <c r="CL1379" s="208" t="n"/>
      <c r="CM1379" s="208" t="n"/>
      <c r="CN1379" s="78" t="n"/>
      <c r="CO1379" s="209" t="n"/>
      <c r="CP1379" s="204" t="n"/>
      <c r="CQ1379" s="204" t="n"/>
      <c r="CR1379" s="204" t="n"/>
      <c r="CS1379" s="204" t="n"/>
      <c r="CT1379" s="204" t="n"/>
      <c r="CU1379" s="204" t="n"/>
      <c r="CV1379" s="204" t="n"/>
      <c r="CW1379" s="204" t="n"/>
    </row>
    <row r="1380">
      <c r="BF1380" s="78" t="n"/>
      <c r="BG1380" s="78" t="n"/>
      <c r="BH1380" s="78" t="n"/>
      <c r="BI1380" s="78" t="n"/>
      <c r="BJ1380" s="139" t="n"/>
      <c r="BK1380" s="204" t="n"/>
      <c r="BL1380" s="141" t="n"/>
      <c r="BM1380" s="205" t="n"/>
      <c r="BN1380" s="205" t="n"/>
      <c r="BO1380" s="206" t="n"/>
      <c r="BP1380" s="144" t="n"/>
      <c r="BQ1380" s="141" t="n"/>
      <c r="BR1380" s="207" t="n"/>
      <c r="BS1380" s="207" t="n"/>
      <c r="BT1380" s="207" t="n"/>
      <c r="BU1380" s="207" t="n"/>
      <c r="BV1380" s="208" t="n"/>
      <c r="BW1380" s="207" t="n"/>
      <c r="BX1380" s="207" t="n"/>
      <c r="BY1380" s="204" t="n"/>
      <c r="BZ1380" s="148" t="n"/>
      <c r="CA1380" s="204" t="n"/>
      <c r="CB1380" s="208" t="n"/>
      <c r="CC1380" s="139" t="n"/>
      <c r="CD1380" s="204" t="n"/>
      <c r="CE1380" s="204" t="n"/>
      <c r="CF1380" s="207" t="n"/>
      <c r="CG1380" s="208" t="n"/>
      <c r="CH1380" s="207" t="n"/>
      <c r="CI1380" s="208" t="n"/>
      <c r="CJ1380" s="204" t="n"/>
      <c r="CK1380" s="208" t="n"/>
      <c r="CL1380" s="208" t="n"/>
      <c r="CM1380" s="208" t="n"/>
      <c r="CN1380" s="78" t="n"/>
      <c r="CO1380" s="209" t="n"/>
      <c r="CP1380" s="204" t="n"/>
      <c r="CQ1380" s="204" t="n"/>
      <c r="CR1380" s="204" t="n"/>
      <c r="CS1380" s="204" t="n"/>
      <c r="CT1380" s="204" t="n"/>
      <c r="CU1380" s="204" t="n"/>
      <c r="CV1380" s="204" t="n"/>
      <c r="CW1380" s="204" t="n"/>
    </row>
    <row r="1381">
      <c r="BF1381" s="78" t="n"/>
      <c r="BG1381" s="78" t="n"/>
      <c r="BH1381" s="78" t="n"/>
      <c r="BI1381" s="78" t="n"/>
      <c r="BJ1381" s="139" t="n"/>
      <c r="BK1381" s="204" t="n"/>
      <c r="BL1381" s="141" t="n"/>
      <c r="BM1381" s="205" t="n"/>
      <c r="BN1381" s="205" t="n"/>
      <c r="BO1381" s="206" t="n"/>
      <c r="BP1381" s="144" t="n"/>
      <c r="BQ1381" s="141" t="n"/>
      <c r="BR1381" s="207" t="n"/>
      <c r="BS1381" s="207" t="n"/>
      <c r="BT1381" s="207" t="n"/>
      <c r="BU1381" s="207" t="n"/>
      <c r="BV1381" s="208" t="n"/>
      <c r="BW1381" s="207" t="n"/>
      <c r="BX1381" s="207" t="n"/>
      <c r="BY1381" s="204" t="n"/>
      <c r="BZ1381" s="148" t="n"/>
      <c r="CA1381" s="204" t="n"/>
      <c r="CB1381" s="208" t="n"/>
      <c r="CC1381" s="139" t="n"/>
      <c r="CD1381" s="204" t="n"/>
      <c r="CE1381" s="204" t="n"/>
      <c r="CF1381" s="207" t="n"/>
      <c r="CG1381" s="208" t="n"/>
      <c r="CH1381" s="207" t="n"/>
      <c r="CI1381" s="208" t="n"/>
      <c r="CJ1381" s="204" t="n"/>
      <c r="CK1381" s="208" t="n"/>
      <c r="CL1381" s="208" t="n"/>
      <c r="CM1381" s="208" t="n"/>
      <c r="CN1381" s="78" t="n"/>
      <c r="CO1381" s="209" t="n"/>
      <c r="CP1381" s="204" t="n"/>
      <c r="CQ1381" s="204" t="n"/>
      <c r="CR1381" s="204" t="n"/>
      <c r="CS1381" s="204" t="n"/>
      <c r="CT1381" s="204" t="n"/>
      <c r="CU1381" s="204" t="n"/>
      <c r="CV1381" s="204" t="n"/>
      <c r="CW1381" s="204" t="n"/>
    </row>
    <row r="1382">
      <c r="BF1382" s="78" t="n"/>
      <c r="BG1382" s="78" t="n"/>
      <c r="BH1382" s="78" t="n"/>
      <c r="BI1382" s="78" t="n"/>
      <c r="BJ1382" s="139" t="n"/>
      <c r="BK1382" s="204" t="n"/>
      <c r="BL1382" s="141" t="n"/>
      <c r="BM1382" s="205" t="n"/>
      <c r="BN1382" s="205" t="n"/>
      <c r="BO1382" s="206" t="n"/>
      <c r="BP1382" s="144" t="n"/>
      <c r="BQ1382" s="141" t="n"/>
      <c r="BR1382" s="207" t="n"/>
      <c r="BS1382" s="207" t="n"/>
      <c r="BT1382" s="207" t="n"/>
      <c r="BU1382" s="207" t="n"/>
      <c r="BV1382" s="208" t="n"/>
      <c r="BW1382" s="207" t="n"/>
      <c r="BX1382" s="207" t="n"/>
      <c r="BY1382" s="204" t="n"/>
      <c r="BZ1382" s="148" t="n"/>
      <c r="CA1382" s="204" t="n"/>
      <c r="CB1382" s="208" t="n"/>
      <c r="CC1382" s="139" t="n"/>
      <c r="CD1382" s="204" t="n"/>
      <c r="CE1382" s="204" t="n"/>
      <c r="CF1382" s="207" t="n"/>
      <c r="CG1382" s="208" t="n"/>
      <c r="CH1382" s="207" t="n"/>
      <c r="CI1382" s="208" t="n"/>
      <c r="CJ1382" s="204" t="n"/>
      <c r="CK1382" s="208" t="n"/>
      <c r="CL1382" s="208" t="n"/>
      <c r="CM1382" s="208" t="n"/>
      <c r="CN1382" s="78" t="n"/>
      <c r="CO1382" s="209" t="n"/>
      <c r="CP1382" s="204" t="n"/>
      <c r="CQ1382" s="204" t="n"/>
      <c r="CR1382" s="204" t="n"/>
      <c r="CS1382" s="204" t="n"/>
      <c r="CT1382" s="204" t="n"/>
      <c r="CU1382" s="204" t="n"/>
      <c r="CV1382" s="204" t="n"/>
      <c r="CW1382" s="204" t="n"/>
    </row>
    <row r="1383">
      <c r="BF1383" s="78" t="n"/>
      <c r="BG1383" s="78" t="n"/>
      <c r="BH1383" s="78" t="n"/>
      <c r="BI1383" s="78" t="n"/>
      <c r="BJ1383" s="139" t="n"/>
      <c r="BK1383" s="204" t="n"/>
      <c r="BL1383" s="141" t="n"/>
      <c r="BM1383" s="205" t="n"/>
      <c r="BN1383" s="205" t="n"/>
      <c r="BO1383" s="206" t="n"/>
      <c r="BP1383" s="144" t="n"/>
      <c r="BQ1383" s="141" t="n"/>
      <c r="BR1383" s="207" t="n"/>
      <c r="BS1383" s="207" t="n"/>
      <c r="BT1383" s="207" t="n"/>
      <c r="BU1383" s="207" t="n"/>
      <c r="BV1383" s="208" t="n"/>
      <c r="BW1383" s="207" t="n"/>
      <c r="BX1383" s="207" t="n"/>
      <c r="BY1383" s="204" t="n"/>
      <c r="BZ1383" s="148" t="n"/>
      <c r="CA1383" s="204" t="n"/>
      <c r="CB1383" s="208" t="n"/>
      <c r="CC1383" s="139" t="n"/>
      <c r="CD1383" s="204" t="n"/>
      <c r="CE1383" s="204" t="n"/>
      <c r="CF1383" s="207" t="n"/>
      <c r="CG1383" s="208" t="n"/>
      <c r="CH1383" s="207" t="n"/>
      <c r="CI1383" s="208" t="n"/>
      <c r="CJ1383" s="204" t="n"/>
      <c r="CK1383" s="208" t="n"/>
      <c r="CL1383" s="208" t="n"/>
      <c r="CM1383" s="208" t="n"/>
      <c r="CN1383" s="78" t="n"/>
      <c r="CO1383" s="209" t="n"/>
      <c r="CP1383" s="204" t="n"/>
      <c r="CQ1383" s="204" t="n"/>
      <c r="CR1383" s="204" t="n"/>
      <c r="CS1383" s="204" t="n"/>
      <c r="CT1383" s="204" t="n"/>
      <c r="CU1383" s="204" t="n"/>
      <c r="CV1383" s="204" t="n"/>
      <c r="CW1383" s="204" t="n"/>
    </row>
    <row r="1384">
      <c r="BF1384" s="78" t="n"/>
      <c r="BG1384" s="78" t="n"/>
      <c r="BH1384" s="78" t="n"/>
      <c r="BI1384" s="78" t="n"/>
      <c r="BJ1384" s="139" t="n"/>
      <c r="BK1384" s="204" t="n"/>
      <c r="BL1384" s="141" t="n"/>
      <c r="BM1384" s="205" t="n"/>
      <c r="BN1384" s="205" t="n"/>
      <c r="BO1384" s="206" t="n"/>
      <c r="BP1384" s="144" t="n"/>
      <c r="BQ1384" s="141" t="n"/>
      <c r="BR1384" s="207" t="n"/>
      <c r="BS1384" s="207" t="n"/>
      <c r="BT1384" s="207" t="n"/>
      <c r="BU1384" s="207" t="n"/>
      <c r="BV1384" s="208" t="n"/>
      <c r="BW1384" s="207" t="n"/>
      <c r="BX1384" s="207" t="n"/>
      <c r="BY1384" s="204" t="n"/>
      <c r="BZ1384" s="148" t="n"/>
      <c r="CA1384" s="204" t="n"/>
      <c r="CB1384" s="208" t="n"/>
      <c r="CC1384" s="139" t="n"/>
      <c r="CD1384" s="204" t="n"/>
      <c r="CE1384" s="204" t="n"/>
      <c r="CF1384" s="207" t="n"/>
      <c r="CG1384" s="208" t="n"/>
      <c r="CH1384" s="207" t="n"/>
      <c r="CI1384" s="208" t="n"/>
      <c r="CJ1384" s="204" t="n"/>
      <c r="CK1384" s="208" t="n"/>
      <c r="CL1384" s="208" t="n"/>
      <c r="CM1384" s="208" t="n"/>
      <c r="CN1384" s="78" t="n"/>
      <c r="CO1384" s="209" t="n"/>
      <c r="CP1384" s="204" t="n"/>
      <c r="CQ1384" s="204" t="n"/>
      <c r="CR1384" s="204" t="n"/>
      <c r="CS1384" s="204" t="n"/>
      <c r="CT1384" s="204" t="n"/>
      <c r="CU1384" s="204" t="n"/>
      <c r="CV1384" s="204" t="n"/>
      <c r="CW1384" s="204" t="n"/>
    </row>
    <row r="1385">
      <c r="BF1385" s="78" t="n"/>
      <c r="BG1385" s="78" t="n"/>
      <c r="BH1385" s="78" t="n"/>
      <c r="BI1385" s="78" t="n"/>
      <c r="BJ1385" s="139" t="n"/>
      <c r="BK1385" s="204" t="n"/>
      <c r="BL1385" s="141" t="n"/>
      <c r="BM1385" s="205" t="n"/>
      <c r="BN1385" s="205" t="n"/>
      <c r="BO1385" s="206" t="n"/>
      <c r="BP1385" s="144" t="n"/>
      <c r="BQ1385" s="141" t="n"/>
      <c r="BR1385" s="207" t="n"/>
      <c r="BS1385" s="207" t="n"/>
      <c r="BT1385" s="207" t="n"/>
      <c r="BU1385" s="207" t="n"/>
      <c r="BV1385" s="208" t="n"/>
      <c r="BW1385" s="207" t="n"/>
      <c r="BX1385" s="207" t="n"/>
      <c r="BY1385" s="204" t="n"/>
      <c r="BZ1385" s="148" t="n"/>
      <c r="CA1385" s="204" t="n"/>
      <c r="CB1385" s="208" t="n"/>
      <c r="CC1385" s="139" t="n"/>
      <c r="CD1385" s="204" t="n"/>
      <c r="CE1385" s="204" t="n"/>
      <c r="CF1385" s="207" t="n"/>
      <c r="CG1385" s="208" t="n"/>
      <c r="CH1385" s="207" t="n"/>
      <c r="CI1385" s="208" t="n"/>
      <c r="CJ1385" s="204" t="n"/>
      <c r="CK1385" s="208" t="n"/>
      <c r="CL1385" s="208" t="n"/>
      <c r="CM1385" s="208" t="n"/>
      <c r="CN1385" s="78" t="n"/>
      <c r="CO1385" s="209" t="n"/>
      <c r="CP1385" s="204" t="n"/>
      <c r="CQ1385" s="204" t="n"/>
      <c r="CR1385" s="204" t="n"/>
      <c r="CS1385" s="204" t="n"/>
      <c r="CT1385" s="204" t="n"/>
      <c r="CU1385" s="204" t="n"/>
      <c r="CV1385" s="204" t="n"/>
      <c r="CW1385" s="204" t="n"/>
    </row>
    <row r="1386">
      <c r="BF1386" s="78" t="n"/>
      <c r="BG1386" s="78" t="n"/>
      <c r="BH1386" s="78" t="n"/>
      <c r="BI1386" s="78" t="n"/>
      <c r="BJ1386" s="139" t="n"/>
      <c r="BK1386" s="204" t="n"/>
      <c r="BL1386" s="141" t="n"/>
      <c r="BM1386" s="205" t="n"/>
      <c r="BN1386" s="205" t="n"/>
      <c r="BO1386" s="206" t="n"/>
      <c r="BP1386" s="144" t="n"/>
      <c r="BQ1386" s="141" t="n"/>
      <c r="BR1386" s="207" t="n"/>
      <c r="BS1386" s="207" t="n"/>
      <c r="BT1386" s="207" t="n"/>
      <c r="BU1386" s="207" t="n"/>
      <c r="BV1386" s="208" t="n"/>
      <c r="BW1386" s="207" t="n"/>
      <c r="BX1386" s="207" t="n"/>
      <c r="BY1386" s="204" t="n"/>
      <c r="BZ1386" s="148" t="n"/>
      <c r="CA1386" s="204" t="n"/>
      <c r="CB1386" s="208" t="n"/>
      <c r="CC1386" s="139" t="n"/>
      <c r="CD1386" s="204" t="n"/>
      <c r="CE1386" s="204" t="n"/>
      <c r="CF1386" s="207" t="n"/>
      <c r="CG1386" s="208" t="n"/>
      <c r="CH1386" s="207" t="n"/>
      <c r="CI1386" s="208" t="n"/>
      <c r="CJ1386" s="204" t="n"/>
      <c r="CK1386" s="208" t="n"/>
      <c r="CL1386" s="208" t="n"/>
      <c r="CM1386" s="208" t="n"/>
      <c r="CN1386" s="78" t="n"/>
      <c r="CO1386" s="209" t="n"/>
      <c r="CP1386" s="204" t="n"/>
      <c r="CQ1386" s="204" t="n"/>
      <c r="CR1386" s="204" t="n"/>
      <c r="CS1386" s="204" t="n"/>
      <c r="CT1386" s="204" t="n"/>
      <c r="CU1386" s="204" t="n"/>
      <c r="CV1386" s="204" t="n"/>
      <c r="CW1386" s="204" t="n"/>
    </row>
    <row r="1387">
      <c r="BF1387" s="78" t="n"/>
      <c r="BG1387" s="78" t="n"/>
      <c r="BH1387" s="78" t="n"/>
      <c r="BI1387" s="78" t="n"/>
      <c r="BJ1387" s="139" t="n"/>
      <c r="BK1387" s="204" t="n"/>
      <c r="BL1387" s="141" t="n"/>
      <c r="BM1387" s="205" t="n"/>
      <c r="BN1387" s="205" t="n"/>
      <c r="BO1387" s="206" t="n"/>
      <c r="BP1387" s="144" t="n"/>
      <c r="BQ1387" s="141" t="n"/>
      <c r="BR1387" s="207" t="n"/>
      <c r="BS1387" s="207" t="n"/>
      <c r="BT1387" s="207" t="n"/>
      <c r="BU1387" s="207" t="n"/>
      <c r="BV1387" s="208" t="n"/>
      <c r="BW1387" s="207" t="n"/>
      <c r="BX1387" s="207" t="n"/>
      <c r="BY1387" s="204" t="n"/>
      <c r="BZ1387" s="148" t="n"/>
      <c r="CA1387" s="204" t="n"/>
      <c r="CB1387" s="208" t="n"/>
      <c r="CC1387" s="139" t="n"/>
      <c r="CD1387" s="204" t="n"/>
      <c r="CE1387" s="204" t="n"/>
      <c r="CF1387" s="207" t="n"/>
      <c r="CG1387" s="208" t="n"/>
      <c r="CH1387" s="207" t="n"/>
      <c r="CI1387" s="208" t="n"/>
      <c r="CJ1387" s="204" t="n"/>
      <c r="CK1387" s="208" t="n"/>
      <c r="CL1387" s="208" t="n"/>
      <c r="CM1387" s="208" t="n"/>
      <c r="CN1387" s="78" t="n"/>
      <c r="CO1387" s="209" t="n"/>
      <c r="CP1387" s="204" t="n"/>
      <c r="CQ1387" s="204" t="n"/>
      <c r="CR1387" s="204" t="n"/>
      <c r="CS1387" s="204" t="n"/>
      <c r="CT1387" s="204" t="n"/>
      <c r="CU1387" s="204" t="n"/>
      <c r="CV1387" s="204" t="n"/>
      <c r="CW1387" s="204" t="n"/>
    </row>
    <row r="1388">
      <c r="BF1388" s="78" t="n"/>
      <c r="BG1388" s="78" t="n"/>
      <c r="BH1388" s="78" t="n"/>
      <c r="BI1388" s="78" t="n"/>
      <c r="BJ1388" s="139" t="n"/>
      <c r="BK1388" s="204" t="n"/>
      <c r="BL1388" s="141" t="n"/>
      <c r="BM1388" s="205" t="n"/>
      <c r="BN1388" s="205" t="n"/>
      <c r="BO1388" s="206" t="n"/>
      <c r="BP1388" s="144" t="n"/>
      <c r="BQ1388" s="141" t="n"/>
      <c r="BR1388" s="207" t="n"/>
      <c r="BS1388" s="207" t="n"/>
      <c r="BT1388" s="207" t="n"/>
      <c r="BU1388" s="207" t="n"/>
      <c r="BV1388" s="208" t="n"/>
      <c r="BW1388" s="207" t="n"/>
      <c r="BX1388" s="207" t="n"/>
      <c r="BY1388" s="204" t="n"/>
      <c r="BZ1388" s="148" t="n"/>
      <c r="CA1388" s="204" t="n"/>
      <c r="CB1388" s="208" t="n"/>
      <c r="CC1388" s="139" t="n"/>
      <c r="CD1388" s="204" t="n"/>
      <c r="CE1388" s="204" t="n"/>
      <c r="CF1388" s="207" t="n"/>
      <c r="CG1388" s="208" t="n"/>
      <c r="CH1388" s="207" t="n"/>
      <c r="CI1388" s="208" t="n"/>
      <c r="CJ1388" s="204" t="n"/>
      <c r="CK1388" s="208" t="n"/>
      <c r="CL1388" s="208" t="n"/>
      <c r="CM1388" s="208" t="n"/>
      <c r="CN1388" s="78" t="n"/>
      <c r="CO1388" s="209" t="n"/>
      <c r="CP1388" s="204" t="n"/>
      <c r="CQ1388" s="204" t="n"/>
      <c r="CR1388" s="204" t="n"/>
      <c r="CS1388" s="204" t="n"/>
      <c r="CT1388" s="204" t="n"/>
      <c r="CU1388" s="204" t="n"/>
      <c r="CV1388" s="204" t="n"/>
      <c r="CW1388" s="204" t="n"/>
    </row>
    <row r="1389">
      <c r="BF1389" s="78" t="n"/>
      <c r="BG1389" s="78" t="n"/>
      <c r="BH1389" s="78" t="n"/>
      <c r="BI1389" s="78" t="n"/>
      <c r="BJ1389" s="139" t="n"/>
      <c r="BK1389" s="204" t="n"/>
      <c r="BL1389" s="141" t="n"/>
      <c r="BM1389" s="205" t="n"/>
      <c r="BN1389" s="205" t="n"/>
      <c r="BO1389" s="206" t="n"/>
      <c r="BP1389" s="144" t="n"/>
      <c r="BQ1389" s="141" t="n"/>
      <c r="BR1389" s="207" t="n"/>
      <c r="BS1389" s="207" t="n"/>
      <c r="BT1389" s="207" t="n"/>
      <c r="BU1389" s="207" t="n"/>
      <c r="BV1389" s="208" t="n"/>
      <c r="BW1389" s="207" t="n"/>
      <c r="BX1389" s="207" t="n"/>
      <c r="BY1389" s="204" t="n"/>
      <c r="BZ1389" s="148" t="n"/>
      <c r="CA1389" s="204" t="n"/>
      <c r="CB1389" s="208" t="n"/>
      <c r="CC1389" s="139" t="n"/>
      <c r="CD1389" s="204" t="n"/>
      <c r="CE1389" s="204" t="n"/>
      <c r="CF1389" s="207" t="n"/>
      <c r="CG1389" s="208" t="n"/>
      <c r="CH1389" s="207" t="n"/>
      <c r="CI1389" s="208" t="n"/>
      <c r="CJ1389" s="204" t="n"/>
      <c r="CK1389" s="208" t="n"/>
      <c r="CL1389" s="208" t="n"/>
      <c r="CM1389" s="208" t="n"/>
      <c r="CN1389" s="78" t="n"/>
      <c r="CO1389" s="209" t="n"/>
      <c r="CP1389" s="204" t="n"/>
      <c r="CQ1389" s="204" t="n"/>
      <c r="CR1389" s="204" t="n"/>
      <c r="CS1389" s="204" t="n"/>
      <c r="CT1389" s="204" t="n"/>
      <c r="CU1389" s="204" t="n"/>
      <c r="CV1389" s="204" t="n"/>
      <c r="CW1389" s="204" t="n"/>
    </row>
    <row r="1390">
      <c r="BF1390" s="78" t="n"/>
      <c r="BG1390" s="78" t="n"/>
      <c r="BH1390" s="78" t="n"/>
      <c r="BI1390" s="78" t="n"/>
      <c r="BJ1390" s="139" t="n"/>
      <c r="BK1390" s="204" t="n"/>
      <c r="BL1390" s="141" t="n"/>
      <c r="BM1390" s="205" t="n"/>
      <c r="BN1390" s="205" t="n"/>
      <c r="BO1390" s="206" t="n"/>
      <c r="BP1390" s="144" t="n"/>
      <c r="BQ1390" s="141" t="n"/>
      <c r="BR1390" s="207" t="n"/>
      <c r="BS1390" s="207" t="n"/>
      <c r="BT1390" s="207" t="n"/>
      <c r="BU1390" s="207" t="n"/>
      <c r="BV1390" s="208" t="n"/>
      <c r="BW1390" s="207" t="n"/>
      <c r="BX1390" s="207" t="n"/>
      <c r="BY1390" s="204" t="n"/>
      <c r="BZ1390" s="148" t="n"/>
      <c r="CA1390" s="204" t="n"/>
      <c r="CB1390" s="208" t="n"/>
      <c r="CC1390" s="139" t="n"/>
      <c r="CD1390" s="204" t="n"/>
      <c r="CE1390" s="204" t="n"/>
      <c r="CF1390" s="207" t="n"/>
      <c r="CG1390" s="208" t="n"/>
      <c r="CH1390" s="207" t="n"/>
      <c r="CI1390" s="208" t="n"/>
      <c r="CJ1390" s="204" t="n"/>
      <c r="CK1390" s="208" t="n"/>
      <c r="CL1390" s="208" t="n"/>
      <c r="CM1390" s="208" t="n"/>
      <c r="CN1390" s="78" t="n"/>
      <c r="CO1390" s="209" t="n"/>
      <c r="CP1390" s="204" t="n"/>
      <c r="CQ1390" s="204" t="n"/>
      <c r="CR1390" s="204" t="n"/>
      <c r="CS1390" s="204" t="n"/>
      <c r="CT1390" s="204" t="n"/>
      <c r="CU1390" s="204" t="n"/>
      <c r="CV1390" s="204" t="n"/>
      <c r="CW1390" s="204" t="n"/>
    </row>
    <row r="1391">
      <c r="BF1391" s="78" t="n"/>
      <c r="BG1391" s="78" t="n"/>
      <c r="BH1391" s="78" t="n"/>
      <c r="BI1391" s="78" t="n"/>
      <c r="BJ1391" s="139" t="n"/>
      <c r="BK1391" s="204" t="n"/>
      <c r="BL1391" s="141" t="n"/>
      <c r="BM1391" s="205" t="n"/>
      <c r="BN1391" s="205" t="n"/>
      <c r="BO1391" s="206" t="n"/>
      <c r="BP1391" s="144" t="n"/>
      <c r="BQ1391" s="141" t="n"/>
      <c r="BR1391" s="207" t="n"/>
      <c r="BS1391" s="207" t="n"/>
      <c r="BT1391" s="207" t="n"/>
      <c r="BU1391" s="207" t="n"/>
      <c r="BV1391" s="208" t="n"/>
      <c r="BW1391" s="207" t="n"/>
      <c r="BX1391" s="207" t="n"/>
      <c r="BY1391" s="204" t="n"/>
      <c r="BZ1391" s="148" t="n"/>
      <c r="CA1391" s="204" t="n"/>
      <c r="CB1391" s="208" t="n"/>
      <c r="CC1391" s="139" t="n"/>
      <c r="CD1391" s="204" t="n"/>
      <c r="CE1391" s="204" t="n"/>
      <c r="CF1391" s="207" t="n"/>
      <c r="CG1391" s="208" t="n"/>
      <c r="CH1391" s="207" t="n"/>
      <c r="CI1391" s="208" t="n"/>
      <c r="CJ1391" s="204" t="n"/>
      <c r="CK1391" s="208" t="n"/>
      <c r="CL1391" s="208" t="n"/>
      <c r="CM1391" s="208" t="n"/>
      <c r="CN1391" s="78" t="n"/>
      <c r="CO1391" s="209" t="n"/>
      <c r="CP1391" s="204" t="n"/>
      <c r="CQ1391" s="204" t="n"/>
      <c r="CR1391" s="204" t="n"/>
      <c r="CS1391" s="204" t="n"/>
      <c r="CT1391" s="204" t="n"/>
      <c r="CU1391" s="204" t="n"/>
      <c r="CV1391" s="204" t="n"/>
      <c r="CW1391" s="204" t="n"/>
    </row>
    <row r="1392">
      <c r="BF1392" s="78" t="n"/>
      <c r="BG1392" s="78" t="n"/>
      <c r="BH1392" s="78" t="n"/>
      <c r="BI1392" s="78" t="n"/>
      <c r="BJ1392" s="139" t="n"/>
      <c r="BK1392" s="204" t="n"/>
      <c r="BL1392" s="141" t="n"/>
      <c r="BM1392" s="205" t="n"/>
      <c r="BN1392" s="205" t="n"/>
      <c r="BO1392" s="206" t="n"/>
      <c r="BP1392" s="144" t="n"/>
      <c r="BQ1392" s="141" t="n"/>
      <c r="BR1392" s="207" t="n"/>
      <c r="BS1392" s="207" t="n"/>
      <c r="BT1392" s="207" t="n"/>
      <c r="BU1392" s="207" t="n"/>
      <c r="BV1392" s="208" t="n"/>
      <c r="BW1392" s="207" t="n"/>
      <c r="BX1392" s="207" t="n"/>
      <c r="BY1392" s="204" t="n"/>
      <c r="BZ1392" s="148" t="n"/>
      <c r="CA1392" s="204" t="n"/>
      <c r="CB1392" s="208" t="n"/>
      <c r="CC1392" s="139" t="n"/>
      <c r="CD1392" s="204" t="n"/>
      <c r="CE1392" s="204" t="n"/>
      <c r="CF1392" s="207" t="n"/>
      <c r="CG1392" s="208" t="n"/>
      <c r="CH1392" s="207" t="n"/>
      <c r="CI1392" s="208" t="n"/>
      <c r="CJ1392" s="204" t="n"/>
      <c r="CK1392" s="208" t="n"/>
      <c r="CL1392" s="208" t="n"/>
      <c r="CM1392" s="208" t="n"/>
      <c r="CN1392" s="78" t="n"/>
      <c r="CO1392" s="209" t="n"/>
      <c r="CP1392" s="204" t="n"/>
      <c r="CQ1392" s="204" t="n"/>
      <c r="CR1392" s="204" t="n"/>
      <c r="CS1392" s="204" t="n"/>
      <c r="CT1392" s="204" t="n"/>
      <c r="CU1392" s="204" t="n"/>
      <c r="CV1392" s="204" t="n"/>
      <c r="CW1392" s="204" t="n"/>
    </row>
    <row r="1393">
      <c r="BF1393" s="78" t="n"/>
      <c r="BG1393" s="78" t="n"/>
      <c r="BH1393" s="78" t="n"/>
      <c r="BI1393" s="78" t="n"/>
      <c r="BJ1393" s="139" t="n"/>
      <c r="BK1393" s="204" t="n"/>
      <c r="BL1393" s="141" t="n"/>
      <c r="BM1393" s="205" t="n"/>
      <c r="BN1393" s="205" t="n"/>
      <c r="BO1393" s="206" t="n"/>
      <c r="BP1393" s="144" t="n"/>
      <c r="BQ1393" s="141" t="n"/>
      <c r="BR1393" s="207" t="n"/>
      <c r="BS1393" s="207" t="n"/>
      <c r="BT1393" s="207" t="n"/>
      <c r="BU1393" s="207" t="n"/>
      <c r="BV1393" s="208" t="n"/>
      <c r="BW1393" s="207" t="n"/>
      <c r="BX1393" s="207" t="n"/>
      <c r="BY1393" s="204" t="n"/>
      <c r="BZ1393" s="148" t="n"/>
      <c r="CA1393" s="204" t="n"/>
      <c r="CB1393" s="208" t="n"/>
      <c r="CC1393" s="139" t="n"/>
      <c r="CD1393" s="204" t="n"/>
      <c r="CE1393" s="204" t="n"/>
      <c r="CF1393" s="207" t="n"/>
      <c r="CG1393" s="208" t="n"/>
      <c r="CH1393" s="207" t="n"/>
      <c r="CI1393" s="208" t="n"/>
      <c r="CJ1393" s="204" t="n"/>
      <c r="CK1393" s="208" t="n"/>
      <c r="CL1393" s="208" t="n"/>
      <c r="CM1393" s="208" t="n"/>
      <c r="CN1393" s="78" t="n"/>
      <c r="CO1393" s="209" t="n"/>
      <c r="CP1393" s="204" t="n"/>
      <c r="CQ1393" s="204" t="n"/>
      <c r="CR1393" s="204" t="n"/>
      <c r="CS1393" s="204" t="n"/>
      <c r="CT1393" s="204" t="n"/>
      <c r="CU1393" s="204" t="n"/>
      <c r="CV1393" s="204" t="n"/>
      <c r="CW1393" s="204" t="n"/>
    </row>
    <row r="1394">
      <c r="BF1394" s="78" t="n"/>
      <c r="BG1394" s="78" t="n"/>
      <c r="BH1394" s="78" t="n"/>
      <c r="BI1394" s="78" t="n"/>
      <c r="BJ1394" s="139" t="n"/>
      <c r="BK1394" s="204" t="n"/>
      <c r="BL1394" s="141" t="n"/>
      <c r="BM1394" s="205" t="n"/>
      <c r="BN1394" s="205" t="n"/>
      <c r="BO1394" s="206" t="n"/>
      <c r="BP1394" s="144" t="n"/>
      <c r="BQ1394" s="141" t="n"/>
      <c r="BR1394" s="207" t="n"/>
      <c r="BS1394" s="207" t="n"/>
      <c r="BT1394" s="207" t="n"/>
      <c r="BU1394" s="207" t="n"/>
      <c r="BV1394" s="208" t="n"/>
      <c r="BW1394" s="207" t="n"/>
      <c r="BX1394" s="207" t="n"/>
      <c r="BY1394" s="204" t="n"/>
      <c r="BZ1394" s="148" t="n"/>
      <c r="CA1394" s="204" t="n"/>
      <c r="CB1394" s="208" t="n"/>
      <c r="CC1394" s="139" t="n"/>
      <c r="CD1394" s="204" t="n"/>
      <c r="CE1394" s="204" t="n"/>
      <c r="CF1394" s="207" t="n"/>
      <c r="CG1394" s="208" t="n"/>
      <c r="CH1394" s="207" t="n"/>
      <c r="CI1394" s="208" t="n"/>
      <c r="CJ1394" s="204" t="n"/>
      <c r="CK1394" s="208" t="n"/>
      <c r="CL1394" s="208" t="n"/>
      <c r="CM1394" s="208" t="n"/>
      <c r="CN1394" s="78" t="n"/>
      <c r="CO1394" s="209" t="n"/>
      <c r="CP1394" s="204" t="n"/>
      <c r="CQ1394" s="204" t="n"/>
      <c r="CR1394" s="204" t="n"/>
      <c r="CS1394" s="204" t="n"/>
      <c r="CT1394" s="204" t="n"/>
      <c r="CU1394" s="204" t="n"/>
      <c r="CV1394" s="204" t="n"/>
      <c r="CW1394" s="204" t="n"/>
    </row>
    <row r="1395">
      <c r="BF1395" s="78" t="n"/>
      <c r="BG1395" s="78" t="n"/>
      <c r="BH1395" s="78" t="n"/>
      <c r="BI1395" s="78" t="n"/>
      <c r="BJ1395" s="139" t="n"/>
      <c r="BK1395" s="204" t="n"/>
      <c r="BL1395" s="141" t="n"/>
      <c r="BM1395" s="205" t="n"/>
      <c r="BN1395" s="205" t="n"/>
      <c r="BO1395" s="206" t="n"/>
      <c r="BP1395" s="144" t="n"/>
      <c r="BQ1395" s="141" t="n"/>
      <c r="BR1395" s="207" t="n"/>
      <c r="BS1395" s="207" t="n"/>
      <c r="BT1395" s="207" t="n"/>
      <c r="BU1395" s="207" t="n"/>
      <c r="BV1395" s="208" t="n"/>
      <c r="BW1395" s="207" t="n"/>
      <c r="BX1395" s="207" t="n"/>
      <c r="BY1395" s="204" t="n"/>
      <c r="BZ1395" s="148" t="n"/>
      <c r="CA1395" s="204" t="n"/>
      <c r="CB1395" s="208" t="n"/>
      <c r="CC1395" s="139" t="n"/>
      <c r="CD1395" s="204" t="n"/>
      <c r="CE1395" s="204" t="n"/>
      <c r="CF1395" s="207" t="n"/>
      <c r="CG1395" s="208" t="n"/>
      <c r="CH1395" s="207" t="n"/>
      <c r="CI1395" s="208" t="n"/>
      <c r="CJ1395" s="204" t="n"/>
      <c r="CK1395" s="208" t="n"/>
      <c r="CL1395" s="208" t="n"/>
      <c r="CM1395" s="208" t="n"/>
      <c r="CN1395" s="78" t="n"/>
      <c r="CO1395" s="209" t="n"/>
      <c r="CP1395" s="204" t="n"/>
      <c r="CQ1395" s="204" t="n"/>
      <c r="CR1395" s="204" t="n"/>
      <c r="CS1395" s="204" t="n"/>
      <c r="CT1395" s="204" t="n"/>
      <c r="CU1395" s="204" t="n"/>
      <c r="CV1395" s="204" t="n"/>
      <c r="CW1395" s="204" t="n"/>
    </row>
    <row r="1396">
      <c r="BF1396" s="78" t="n"/>
      <c r="BG1396" s="78" t="n"/>
      <c r="BH1396" s="78" t="n"/>
      <c r="BI1396" s="78" t="n"/>
      <c r="BJ1396" s="139" t="n"/>
      <c r="BK1396" s="204" t="n"/>
      <c r="BL1396" s="141" t="n"/>
      <c r="BM1396" s="205" t="n"/>
      <c r="BN1396" s="205" t="n"/>
      <c r="BO1396" s="206" t="n"/>
      <c r="BP1396" s="144" t="n"/>
      <c r="BQ1396" s="141" t="n"/>
      <c r="BR1396" s="207" t="n"/>
      <c r="BS1396" s="207" t="n"/>
      <c r="BT1396" s="207" t="n"/>
      <c r="BU1396" s="207" t="n"/>
      <c r="BV1396" s="208" t="n"/>
      <c r="BW1396" s="207" t="n"/>
      <c r="BX1396" s="207" t="n"/>
      <c r="BY1396" s="204" t="n"/>
      <c r="BZ1396" s="148" t="n"/>
      <c r="CA1396" s="204" t="n"/>
      <c r="CB1396" s="208" t="n"/>
      <c r="CC1396" s="139" t="n"/>
      <c r="CD1396" s="204" t="n"/>
      <c r="CE1396" s="204" t="n"/>
      <c r="CF1396" s="207" t="n"/>
      <c r="CG1396" s="208" t="n"/>
      <c r="CH1396" s="207" t="n"/>
      <c r="CI1396" s="208" t="n"/>
      <c r="CJ1396" s="204" t="n"/>
      <c r="CK1396" s="208" t="n"/>
      <c r="CL1396" s="208" t="n"/>
      <c r="CM1396" s="208" t="n"/>
      <c r="CN1396" s="78" t="n"/>
      <c r="CO1396" s="209" t="n"/>
      <c r="CP1396" s="204" t="n"/>
      <c r="CQ1396" s="204" t="n"/>
      <c r="CR1396" s="204" t="n"/>
      <c r="CS1396" s="204" t="n"/>
      <c r="CT1396" s="204" t="n"/>
      <c r="CU1396" s="204" t="n"/>
      <c r="CV1396" s="204" t="n"/>
      <c r="CW1396" s="204" t="n"/>
    </row>
    <row r="1397">
      <c r="BF1397" s="78" t="n"/>
      <c r="BG1397" s="78" t="n"/>
      <c r="BH1397" s="78" t="n"/>
      <c r="BI1397" s="78" t="n"/>
      <c r="BJ1397" s="139" t="n"/>
      <c r="BK1397" s="204" t="n"/>
      <c r="BL1397" s="141" t="n"/>
      <c r="BM1397" s="205" t="n"/>
      <c r="BN1397" s="205" t="n"/>
      <c r="BO1397" s="206" t="n"/>
      <c r="BP1397" s="144" t="n"/>
      <c r="BQ1397" s="141" t="n"/>
      <c r="BR1397" s="207" t="n"/>
      <c r="BS1397" s="207" t="n"/>
      <c r="BT1397" s="207" t="n"/>
      <c r="BU1397" s="207" t="n"/>
      <c r="BV1397" s="208" t="n"/>
      <c r="BW1397" s="207" t="n"/>
      <c r="BX1397" s="207" t="n"/>
      <c r="BY1397" s="204" t="n"/>
      <c r="BZ1397" s="148" t="n"/>
      <c r="CA1397" s="204" t="n"/>
      <c r="CB1397" s="208" t="n"/>
      <c r="CC1397" s="139" t="n"/>
      <c r="CD1397" s="204" t="n"/>
      <c r="CE1397" s="204" t="n"/>
      <c r="CF1397" s="207" t="n"/>
      <c r="CG1397" s="208" t="n"/>
      <c r="CH1397" s="207" t="n"/>
      <c r="CI1397" s="208" t="n"/>
      <c r="CJ1397" s="204" t="n"/>
      <c r="CK1397" s="208" t="n"/>
      <c r="CL1397" s="208" t="n"/>
      <c r="CM1397" s="208" t="n"/>
      <c r="CN1397" s="78" t="n"/>
      <c r="CO1397" s="209" t="n"/>
      <c r="CP1397" s="204" t="n"/>
      <c r="CQ1397" s="204" t="n"/>
      <c r="CR1397" s="204" t="n"/>
      <c r="CS1397" s="204" t="n"/>
      <c r="CT1397" s="204" t="n"/>
      <c r="CU1397" s="204" t="n"/>
      <c r="CV1397" s="204" t="n"/>
      <c r="CW1397" s="204" t="n"/>
    </row>
    <row r="1398">
      <c r="BF1398" s="78" t="n"/>
      <c r="BG1398" s="78" t="n"/>
      <c r="BH1398" s="78" t="n"/>
      <c r="BI1398" s="78" t="n"/>
      <c r="BJ1398" s="139" t="n"/>
      <c r="BK1398" s="204" t="n"/>
      <c r="BL1398" s="141" t="n"/>
      <c r="BM1398" s="205" t="n"/>
      <c r="BN1398" s="205" t="n"/>
      <c r="BO1398" s="206" t="n"/>
      <c r="BP1398" s="144" t="n"/>
      <c r="BQ1398" s="141" t="n"/>
      <c r="BR1398" s="207" t="n"/>
      <c r="BS1398" s="207" t="n"/>
      <c r="BT1398" s="207" t="n"/>
      <c r="BU1398" s="207" t="n"/>
      <c r="BV1398" s="208" t="n"/>
      <c r="BW1398" s="207" t="n"/>
      <c r="BX1398" s="207" t="n"/>
      <c r="BY1398" s="204" t="n"/>
      <c r="BZ1398" s="148" t="n"/>
      <c r="CA1398" s="204" t="n"/>
      <c r="CB1398" s="208" t="n"/>
      <c r="CC1398" s="139" t="n"/>
      <c r="CD1398" s="204" t="n"/>
      <c r="CE1398" s="204" t="n"/>
      <c r="CF1398" s="207" t="n"/>
      <c r="CG1398" s="208" t="n"/>
      <c r="CH1398" s="207" t="n"/>
      <c r="CI1398" s="208" t="n"/>
      <c r="CJ1398" s="204" t="n"/>
      <c r="CK1398" s="208" t="n"/>
      <c r="CL1398" s="208" t="n"/>
      <c r="CM1398" s="208" t="n"/>
      <c r="CN1398" s="78" t="n"/>
      <c r="CO1398" s="209" t="n"/>
      <c r="CP1398" s="204" t="n"/>
      <c r="CQ1398" s="204" t="n"/>
      <c r="CR1398" s="204" t="n"/>
      <c r="CS1398" s="204" t="n"/>
      <c r="CT1398" s="204" t="n"/>
      <c r="CU1398" s="204" t="n"/>
      <c r="CV1398" s="204" t="n"/>
      <c r="CW1398" s="204" t="n"/>
    </row>
    <row r="1399">
      <c r="BF1399" s="78" t="n"/>
      <c r="BG1399" s="78" t="n"/>
      <c r="BH1399" s="78" t="n"/>
      <c r="BI1399" s="78" t="n"/>
      <c r="BJ1399" s="139" t="n"/>
      <c r="BK1399" s="204" t="n"/>
      <c r="BL1399" s="141" t="n"/>
      <c r="BM1399" s="205" t="n"/>
      <c r="BN1399" s="205" t="n"/>
      <c r="BO1399" s="206" t="n"/>
      <c r="BP1399" s="144" t="n"/>
      <c r="BQ1399" s="141" t="n"/>
      <c r="BR1399" s="207" t="n"/>
      <c r="BS1399" s="207" t="n"/>
      <c r="BT1399" s="207" t="n"/>
      <c r="BU1399" s="207" t="n"/>
      <c r="BV1399" s="208" t="n"/>
      <c r="BW1399" s="207" t="n"/>
      <c r="BX1399" s="207" t="n"/>
      <c r="BY1399" s="204" t="n"/>
      <c r="BZ1399" s="148" t="n"/>
      <c r="CA1399" s="204" t="n"/>
      <c r="CB1399" s="208" t="n"/>
      <c r="CC1399" s="139" t="n"/>
      <c r="CD1399" s="204" t="n"/>
      <c r="CE1399" s="204" t="n"/>
      <c r="CF1399" s="207" t="n"/>
      <c r="CG1399" s="208" t="n"/>
      <c r="CH1399" s="207" t="n"/>
      <c r="CI1399" s="208" t="n"/>
      <c r="CJ1399" s="204" t="n"/>
      <c r="CK1399" s="208" t="n"/>
      <c r="CL1399" s="208" t="n"/>
      <c r="CM1399" s="208" t="n"/>
      <c r="CN1399" s="78" t="n"/>
      <c r="CO1399" s="209" t="n"/>
      <c r="CP1399" s="204" t="n"/>
      <c r="CQ1399" s="204" t="n"/>
      <c r="CR1399" s="204" t="n"/>
      <c r="CS1399" s="204" t="n"/>
      <c r="CT1399" s="204" t="n"/>
      <c r="CU1399" s="204" t="n"/>
      <c r="CV1399" s="204" t="n"/>
      <c r="CW1399" s="204" t="n"/>
    </row>
    <row r="1400">
      <c r="BF1400" s="78" t="n"/>
      <c r="BG1400" s="78" t="n"/>
      <c r="BH1400" s="78" t="n"/>
      <c r="BI1400" s="78" t="n"/>
      <c r="BJ1400" s="139" t="n"/>
      <c r="BK1400" s="204" t="n"/>
      <c r="BL1400" s="141" t="n"/>
      <c r="BM1400" s="205" t="n"/>
      <c r="BN1400" s="205" t="n"/>
      <c r="BO1400" s="206" t="n"/>
      <c r="BP1400" s="144" t="n"/>
      <c r="BQ1400" s="141" t="n"/>
      <c r="BR1400" s="207" t="n"/>
      <c r="BS1400" s="207" t="n"/>
      <c r="BT1400" s="207" t="n"/>
      <c r="BU1400" s="207" t="n"/>
      <c r="BV1400" s="208" t="n"/>
      <c r="BW1400" s="207" t="n"/>
      <c r="BX1400" s="207" t="n"/>
      <c r="BY1400" s="204" t="n"/>
      <c r="BZ1400" s="148" t="n"/>
      <c r="CA1400" s="204" t="n"/>
      <c r="CB1400" s="208" t="n"/>
      <c r="CC1400" s="139" t="n"/>
      <c r="CD1400" s="204" t="n"/>
      <c r="CE1400" s="204" t="n"/>
      <c r="CF1400" s="207" t="n"/>
      <c r="CG1400" s="208" t="n"/>
      <c r="CH1400" s="207" t="n"/>
      <c r="CI1400" s="208" t="n"/>
      <c r="CJ1400" s="204" t="n"/>
      <c r="CK1400" s="208" t="n"/>
      <c r="CL1400" s="208" t="n"/>
      <c r="CM1400" s="208" t="n"/>
      <c r="CN1400" s="78" t="n"/>
      <c r="CO1400" s="209" t="n"/>
      <c r="CP1400" s="204" t="n"/>
      <c r="CQ1400" s="204" t="n"/>
      <c r="CR1400" s="204" t="n"/>
      <c r="CS1400" s="204" t="n"/>
      <c r="CT1400" s="204" t="n"/>
      <c r="CU1400" s="204" t="n"/>
      <c r="CV1400" s="204" t="n"/>
      <c r="CW1400" s="204" t="n"/>
    </row>
    <row r="1401">
      <c r="BF1401" s="78" t="n"/>
      <c r="BG1401" s="78" t="n"/>
      <c r="BH1401" s="78" t="n"/>
      <c r="BI1401" s="78" t="n"/>
      <c r="BJ1401" s="139" t="n"/>
      <c r="BK1401" s="204" t="n"/>
      <c r="BL1401" s="141" t="n"/>
      <c r="BM1401" s="205" t="n"/>
      <c r="BN1401" s="205" t="n"/>
      <c r="BO1401" s="206" t="n"/>
      <c r="BP1401" s="144" t="n"/>
      <c r="BQ1401" s="141" t="n"/>
      <c r="BR1401" s="207" t="n"/>
      <c r="BS1401" s="207" t="n"/>
      <c r="BT1401" s="207" t="n"/>
      <c r="BU1401" s="207" t="n"/>
      <c r="BV1401" s="208" t="n"/>
      <c r="BW1401" s="207" t="n"/>
      <c r="BX1401" s="207" t="n"/>
      <c r="BY1401" s="204" t="n"/>
      <c r="BZ1401" s="148" t="n"/>
      <c r="CA1401" s="204" t="n"/>
      <c r="CB1401" s="208" t="n"/>
      <c r="CC1401" s="139" t="n"/>
      <c r="CD1401" s="204" t="n"/>
      <c r="CE1401" s="204" t="n"/>
      <c r="CF1401" s="207" t="n"/>
      <c r="CG1401" s="208" t="n"/>
      <c r="CH1401" s="207" t="n"/>
      <c r="CI1401" s="208" t="n"/>
      <c r="CJ1401" s="204" t="n"/>
      <c r="CK1401" s="208" t="n"/>
      <c r="CL1401" s="208" t="n"/>
      <c r="CM1401" s="208" t="n"/>
      <c r="CN1401" s="78" t="n"/>
      <c r="CO1401" s="209" t="n"/>
      <c r="CP1401" s="204" t="n"/>
      <c r="CQ1401" s="204" t="n"/>
      <c r="CR1401" s="204" t="n"/>
      <c r="CS1401" s="204" t="n"/>
      <c r="CT1401" s="204" t="n"/>
      <c r="CU1401" s="204" t="n"/>
      <c r="CV1401" s="204" t="n"/>
      <c r="CW1401" s="204" t="n"/>
    </row>
    <row r="1402">
      <c r="BF1402" s="78" t="n"/>
      <c r="BG1402" s="78" t="n"/>
      <c r="BH1402" s="78" t="n"/>
      <c r="BI1402" s="78" t="n"/>
      <c r="BJ1402" s="139" t="n"/>
      <c r="BK1402" s="204" t="n"/>
      <c r="BL1402" s="141" t="n"/>
      <c r="BM1402" s="205" t="n"/>
      <c r="BN1402" s="205" t="n"/>
      <c r="BO1402" s="206" t="n"/>
      <c r="BP1402" s="144" t="n"/>
      <c r="BQ1402" s="141" t="n"/>
      <c r="BR1402" s="207" t="n"/>
      <c r="BS1402" s="207" t="n"/>
      <c r="BT1402" s="207" t="n"/>
      <c r="BU1402" s="207" t="n"/>
      <c r="BV1402" s="208" t="n"/>
      <c r="BW1402" s="207" t="n"/>
      <c r="BX1402" s="207" t="n"/>
      <c r="BY1402" s="204" t="n"/>
      <c r="BZ1402" s="148" t="n"/>
      <c r="CA1402" s="204" t="n"/>
      <c r="CB1402" s="208" t="n"/>
      <c r="CC1402" s="139" t="n"/>
      <c r="CD1402" s="204" t="n"/>
      <c r="CE1402" s="204" t="n"/>
      <c r="CF1402" s="207" t="n"/>
      <c r="CG1402" s="208" t="n"/>
      <c r="CH1402" s="207" t="n"/>
      <c r="CI1402" s="208" t="n"/>
      <c r="CJ1402" s="204" t="n"/>
      <c r="CK1402" s="208" t="n"/>
      <c r="CL1402" s="208" t="n"/>
      <c r="CM1402" s="208" t="n"/>
      <c r="CN1402" s="78" t="n"/>
      <c r="CO1402" s="209" t="n"/>
      <c r="CP1402" s="204" t="n"/>
      <c r="CQ1402" s="204" t="n"/>
      <c r="CR1402" s="204" t="n"/>
      <c r="CS1402" s="204" t="n"/>
      <c r="CT1402" s="204" t="n"/>
      <c r="CU1402" s="204" t="n"/>
      <c r="CV1402" s="204" t="n"/>
      <c r="CW1402" s="204" t="n"/>
    </row>
    <row r="1403">
      <c r="BF1403" s="78" t="n"/>
      <c r="BG1403" s="78" t="n"/>
      <c r="BH1403" s="78" t="n"/>
      <c r="BI1403" s="78" t="n"/>
      <c r="BJ1403" s="139" t="n"/>
      <c r="BK1403" s="204" t="n"/>
      <c r="BL1403" s="141" t="n"/>
      <c r="BM1403" s="205" t="n"/>
      <c r="BN1403" s="205" t="n"/>
      <c r="BO1403" s="206" t="n"/>
      <c r="BP1403" s="144" t="n"/>
      <c r="BQ1403" s="141" t="n"/>
      <c r="BR1403" s="207" t="n"/>
      <c r="BS1403" s="207" t="n"/>
      <c r="BT1403" s="207" t="n"/>
      <c r="BU1403" s="207" t="n"/>
      <c r="BV1403" s="208" t="n"/>
      <c r="BW1403" s="207" t="n"/>
      <c r="BX1403" s="207" t="n"/>
      <c r="BY1403" s="204" t="n"/>
      <c r="BZ1403" s="148" t="n"/>
      <c r="CA1403" s="204" t="n"/>
      <c r="CB1403" s="208" t="n"/>
      <c r="CC1403" s="139" t="n"/>
      <c r="CD1403" s="204" t="n"/>
      <c r="CE1403" s="204" t="n"/>
      <c r="CF1403" s="207" t="n"/>
      <c r="CG1403" s="208" t="n"/>
      <c r="CH1403" s="207" t="n"/>
      <c r="CI1403" s="208" t="n"/>
      <c r="CJ1403" s="204" t="n"/>
      <c r="CK1403" s="208" t="n"/>
      <c r="CL1403" s="208" t="n"/>
      <c r="CM1403" s="208" t="n"/>
      <c r="CN1403" s="78" t="n"/>
      <c r="CO1403" s="209" t="n"/>
      <c r="CP1403" s="204" t="n"/>
      <c r="CQ1403" s="204" t="n"/>
      <c r="CR1403" s="204" t="n"/>
      <c r="CS1403" s="204" t="n"/>
      <c r="CT1403" s="204" t="n"/>
      <c r="CU1403" s="204" t="n"/>
      <c r="CV1403" s="204" t="n"/>
      <c r="CW1403" s="204" t="n"/>
    </row>
    <row r="1404">
      <c r="BF1404" s="78" t="n"/>
      <c r="BG1404" s="78" t="n"/>
      <c r="BH1404" s="78" t="n"/>
      <c r="BI1404" s="78" t="n"/>
      <c r="BJ1404" s="139" t="n"/>
      <c r="BK1404" s="204" t="n"/>
      <c r="BL1404" s="141" t="n"/>
      <c r="BM1404" s="205" t="n"/>
      <c r="BN1404" s="205" t="n"/>
      <c r="BO1404" s="206" t="n"/>
      <c r="BP1404" s="144" t="n"/>
      <c r="BQ1404" s="141" t="n"/>
      <c r="BR1404" s="207" t="n"/>
      <c r="BS1404" s="207" t="n"/>
      <c r="BT1404" s="207" t="n"/>
      <c r="BU1404" s="207" t="n"/>
      <c r="BV1404" s="208" t="n"/>
      <c r="BW1404" s="207" t="n"/>
      <c r="BX1404" s="207" t="n"/>
      <c r="BY1404" s="204" t="n"/>
      <c r="BZ1404" s="148" t="n"/>
      <c r="CA1404" s="204" t="n"/>
      <c r="CB1404" s="208" t="n"/>
      <c r="CC1404" s="139" t="n"/>
      <c r="CD1404" s="204" t="n"/>
      <c r="CE1404" s="204" t="n"/>
      <c r="CF1404" s="207" t="n"/>
      <c r="CG1404" s="208" t="n"/>
      <c r="CH1404" s="207" t="n"/>
      <c r="CI1404" s="208" t="n"/>
      <c r="CJ1404" s="204" t="n"/>
      <c r="CK1404" s="208" t="n"/>
      <c r="CL1404" s="208" t="n"/>
      <c r="CM1404" s="208" t="n"/>
      <c r="CN1404" s="78" t="n"/>
      <c r="CO1404" s="209" t="n"/>
      <c r="CP1404" s="204" t="n"/>
      <c r="CQ1404" s="204" t="n"/>
      <c r="CR1404" s="204" t="n"/>
      <c r="CS1404" s="204" t="n"/>
      <c r="CT1404" s="204" t="n"/>
      <c r="CU1404" s="204" t="n"/>
      <c r="CV1404" s="204" t="n"/>
      <c r="CW1404" s="204" t="n"/>
    </row>
    <row r="1405">
      <c r="BF1405" s="78" t="n"/>
      <c r="BG1405" s="78" t="n"/>
      <c r="BH1405" s="78" t="n"/>
      <c r="BI1405" s="78" t="n"/>
      <c r="BJ1405" s="139" t="n"/>
      <c r="BK1405" s="204" t="n"/>
      <c r="BL1405" s="141" t="n"/>
      <c r="BM1405" s="205" t="n"/>
      <c r="BN1405" s="205" t="n"/>
      <c r="BO1405" s="206" t="n"/>
      <c r="BP1405" s="144" t="n"/>
      <c r="BQ1405" s="141" t="n"/>
      <c r="BR1405" s="207" t="n"/>
      <c r="BS1405" s="207" t="n"/>
      <c r="BT1405" s="207" t="n"/>
      <c r="BU1405" s="207" t="n"/>
      <c r="BV1405" s="208" t="n"/>
      <c r="BW1405" s="207" t="n"/>
      <c r="BX1405" s="207" t="n"/>
      <c r="BY1405" s="204" t="n"/>
      <c r="BZ1405" s="148" t="n"/>
      <c r="CA1405" s="204" t="n"/>
      <c r="CB1405" s="208" t="n"/>
      <c r="CC1405" s="139" t="n"/>
      <c r="CD1405" s="204" t="n"/>
      <c r="CE1405" s="204" t="n"/>
      <c r="CF1405" s="207" t="n"/>
      <c r="CG1405" s="208" t="n"/>
      <c r="CH1405" s="207" t="n"/>
      <c r="CI1405" s="208" t="n"/>
      <c r="CJ1405" s="204" t="n"/>
      <c r="CK1405" s="208" t="n"/>
      <c r="CL1405" s="208" t="n"/>
      <c r="CM1405" s="208" t="n"/>
      <c r="CN1405" s="78" t="n"/>
      <c r="CO1405" s="209" t="n"/>
      <c r="CP1405" s="204" t="n"/>
      <c r="CQ1405" s="204" t="n"/>
      <c r="CR1405" s="204" t="n"/>
      <c r="CS1405" s="204" t="n"/>
      <c r="CT1405" s="204" t="n"/>
      <c r="CU1405" s="204" t="n"/>
      <c r="CV1405" s="204" t="n"/>
      <c r="CW1405" s="204" t="n"/>
    </row>
    <row r="1406">
      <c r="BF1406" s="78" t="n"/>
      <c r="BG1406" s="78" t="n"/>
      <c r="BH1406" s="78" t="n"/>
      <c r="BI1406" s="78" t="n"/>
      <c r="BJ1406" s="139" t="n"/>
      <c r="BK1406" s="204" t="n"/>
      <c r="BL1406" s="141" t="n"/>
      <c r="BM1406" s="205" t="n"/>
      <c r="BN1406" s="205" t="n"/>
      <c r="BO1406" s="206" t="n"/>
      <c r="BP1406" s="144" t="n"/>
      <c r="BQ1406" s="141" t="n"/>
      <c r="BR1406" s="207" t="n"/>
      <c r="BS1406" s="207" t="n"/>
      <c r="BT1406" s="207" t="n"/>
      <c r="BU1406" s="207" t="n"/>
      <c r="BV1406" s="208" t="n"/>
      <c r="BW1406" s="207" t="n"/>
      <c r="BX1406" s="207" t="n"/>
      <c r="BY1406" s="204" t="n"/>
      <c r="BZ1406" s="148" t="n"/>
      <c r="CA1406" s="204" t="n"/>
      <c r="CB1406" s="208" t="n"/>
      <c r="CC1406" s="139" t="n"/>
      <c r="CD1406" s="204" t="n"/>
      <c r="CE1406" s="204" t="n"/>
      <c r="CF1406" s="207" t="n"/>
      <c r="CG1406" s="208" t="n"/>
      <c r="CH1406" s="207" t="n"/>
      <c r="CI1406" s="208" t="n"/>
      <c r="CJ1406" s="204" t="n"/>
      <c r="CK1406" s="208" t="n"/>
      <c r="CL1406" s="208" t="n"/>
      <c r="CM1406" s="208" t="n"/>
      <c r="CN1406" s="78" t="n"/>
      <c r="CO1406" s="209" t="n"/>
      <c r="CP1406" s="204" t="n"/>
      <c r="CQ1406" s="204" t="n"/>
      <c r="CR1406" s="204" t="n"/>
      <c r="CS1406" s="204" t="n"/>
      <c r="CT1406" s="204" t="n"/>
      <c r="CU1406" s="204" t="n"/>
      <c r="CV1406" s="204" t="n"/>
      <c r="CW1406" s="204" t="n"/>
    </row>
    <row r="1407">
      <c r="BF1407" s="78" t="n"/>
      <c r="BG1407" s="78" t="n"/>
      <c r="BH1407" s="78" t="n"/>
      <c r="BI1407" s="78" t="n"/>
      <c r="BJ1407" s="139" t="n"/>
      <c r="BK1407" s="204" t="n"/>
      <c r="BL1407" s="141" t="n"/>
      <c r="BM1407" s="205" t="n"/>
      <c r="BN1407" s="205" t="n"/>
      <c r="BO1407" s="206" t="n"/>
      <c r="BP1407" s="144" t="n"/>
      <c r="BQ1407" s="141" t="n"/>
      <c r="BR1407" s="207" t="n"/>
      <c r="BS1407" s="207" t="n"/>
      <c r="BT1407" s="207" t="n"/>
      <c r="BU1407" s="207" t="n"/>
      <c r="BV1407" s="208" t="n"/>
      <c r="BW1407" s="207" t="n"/>
      <c r="BX1407" s="207" t="n"/>
      <c r="BY1407" s="204" t="n"/>
      <c r="BZ1407" s="148" t="n"/>
      <c r="CA1407" s="204" t="n"/>
      <c r="CB1407" s="208" t="n"/>
      <c r="CC1407" s="139" t="n"/>
      <c r="CD1407" s="204" t="n"/>
      <c r="CE1407" s="204" t="n"/>
      <c r="CF1407" s="207" t="n"/>
      <c r="CG1407" s="208" t="n"/>
      <c r="CH1407" s="207" t="n"/>
      <c r="CI1407" s="208" t="n"/>
      <c r="CJ1407" s="204" t="n"/>
      <c r="CK1407" s="208" t="n"/>
      <c r="CL1407" s="208" t="n"/>
      <c r="CM1407" s="208" t="n"/>
      <c r="CN1407" s="78" t="n"/>
      <c r="CO1407" s="209" t="n"/>
      <c r="CP1407" s="204" t="n"/>
      <c r="CQ1407" s="204" t="n"/>
      <c r="CR1407" s="204" t="n"/>
      <c r="CS1407" s="204" t="n"/>
      <c r="CT1407" s="204" t="n"/>
      <c r="CU1407" s="204" t="n"/>
      <c r="CV1407" s="204" t="n"/>
      <c r="CW1407" s="204" t="n"/>
    </row>
    <row r="1408">
      <c r="BF1408" s="78" t="n"/>
      <c r="BG1408" s="78" t="n"/>
      <c r="BH1408" s="78" t="n"/>
      <c r="BI1408" s="78" t="n"/>
      <c r="BJ1408" s="139" t="n"/>
      <c r="BK1408" s="204" t="n"/>
      <c r="BL1408" s="141" t="n"/>
      <c r="BM1408" s="205" t="n"/>
      <c r="BN1408" s="205" t="n"/>
      <c r="BO1408" s="206" t="n"/>
      <c r="BP1408" s="144" t="n"/>
      <c r="BQ1408" s="141" t="n"/>
      <c r="BR1408" s="207" t="n"/>
      <c r="BS1408" s="207" t="n"/>
      <c r="BT1408" s="207" t="n"/>
      <c r="BU1408" s="207" t="n"/>
      <c r="BV1408" s="208" t="n"/>
      <c r="BW1408" s="207" t="n"/>
      <c r="BX1408" s="207" t="n"/>
      <c r="BY1408" s="204" t="n"/>
      <c r="BZ1408" s="148" t="n"/>
      <c r="CA1408" s="204" t="n"/>
      <c r="CB1408" s="208" t="n"/>
      <c r="CC1408" s="139" t="n"/>
      <c r="CD1408" s="204" t="n"/>
      <c r="CE1408" s="204" t="n"/>
      <c r="CF1408" s="207" t="n"/>
      <c r="CG1408" s="208" t="n"/>
      <c r="CH1408" s="207" t="n"/>
      <c r="CI1408" s="208" t="n"/>
      <c r="CJ1408" s="204" t="n"/>
      <c r="CK1408" s="208" t="n"/>
      <c r="CL1408" s="208" t="n"/>
      <c r="CM1408" s="208" t="n"/>
      <c r="CN1408" s="78" t="n"/>
      <c r="CO1408" s="209" t="n"/>
      <c r="CP1408" s="204" t="n"/>
      <c r="CQ1408" s="204" t="n"/>
      <c r="CR1408" s="204" t="n"/>
      <c r="CS1408" s="204" t="n"/>
      <c r="CT1408" s="204" t="n"/>
      <c r="CU1408" s="204" t="n"/>
      <c r="CV1408" s="204" t="n"/>
      <c r="CW1408" s="204" t="n"/>
    </row>
    <row r="1409">
      <c r="AR1409" s="151" t="n"/>
      <c r="BF1409" s="78" t="n"/>
      <c r="BG1409" s="78" t="n"/>
      <c r="BH1409" s="78" t="n"/>
      <c r="BI1409" s="78" t="n"/>
      <c r="BJ1409" s="139" t="n"/>
      <c r="BK1409" s="204" t="n"/>
      <c r="BL1409" s="141" t="n"/>
      <c r="BM1409" s="205" t="n"/>
      <c r="BN1409" s="205" t="n"/>
      <c r="BO1409" s="206" t="n"/>
      <c r="BP1409" s="144" t="n"/>
      <c r="BQ1409" s="141" t="n"/>
      <c r="BR1409" s="207" t="n"/>
      <c r="BS1409" s="207" t="n"/>
      <c r="BT1409" s="207" t="n"/>
      <c r="BU1409" s="207" t="n"/>
      <c r="BV1409" s="208" t="n"/>
      <c r="BW1409" s="207" t="n"/>
      <c r="BX1409" s="207" t="n"/>
      <c r="BY1409" s="204" t="n"/>
      <c r="BZ1409" s="148" t="n"/>
      <c r="CA1409" s="204" t="n"/>
      <c r="CB1409" s="208" t="n"/>
      <c r="CC1409" s="139" t="n"/>
      <c r="CD1409" s="204" t="n"/>
      <c r="CE1409" s="204" t="n"/>
      <c r="CF1409" s="207" t="n"/>
      <c r="CG1409" s="208" t="n"/>
      <c r="CH1409" s="207" t="n"/>
      <c r="CI1409" s="208" t="n"/>
      <c r="CJ1409" s="204" t="n"/>
      <c r="CK1409" s="208" t="n"/>
      <c r="CL1409" s="208" t="n"/>
      <c r="CM1409" s="208" t="n"/>
      <c r="CN1409" s="78" t="n"/>
      <c r="CO1409" s="209" t="n"/>
      <c r="CP1409" s="204" t="n"/>
      <c r="CQ1409" s="204" t="n"/>
      <c r="CR1409" s="204" t="n"/>
      <c r="CS1409" s="204" t="n"/>
      <c r="CT1409" s="204" t="n"/>
      <c r="CU1409" s="204" t="n"/>
      <c r="CV1409" s="204" t="n"/>
      <c r="CW1409" s="204" t="n"/>
    </row>
    <row r="1410">
      <c r="AR1410" s="151" t="n"/>
      <c r="BF1410" s="78" t="n"/>
      <c r="BG1410" s="78" t="n"/>
      <c r="BH1410" s="78" t="n"/>
      <c r="BI1410" s="78" t="n"/>
      <c r="BJ1410" s="139" t="n"/>
      <c r="BK1410" s="204" t="n"/>
      <c r="BL1410" s="141" t="n"/>
      <c r="BM1410" s="205" t="n"/>
      <c r="BN1410" s="205" t="n"/>
      <c r="BO1410" s="206" t="n"/>
      <c r="BP1410" s="144" t="n"/>
      <c r="BQ1410" s="141" t="n"/>
      <c r="BR1410" s="207" t="n"/>
      <c r="BS1410" s="207" t="n"/>
      <c r="BT1410" s="207" t="n"/>
      <c r="BU1410" s="207" t="n"/>
      <c r="BV1410" s="208" t="n"/>
      <c r="BW1410" s="207" t="n"/>
      <c r="BX1410" s="207" t="n"/>
      <c r="BY1410" s="204" t="n"/>
      <c r="BZ1410" s="148" t="n"/>
      <c r="CA1410" s="204" t="n"/>
      <c r="CB1410" s="208" t="n"/>
      <c r="CC1410" s="139" t="n"/>
      <c r="CD1410" s="204" t="n"/>
      <c r="CE1410" s="204" t="n"/>
      <c r="CF1410" s="207" t="n"/>
      <c r="CG1410" s="208" t="n"/>
      <c r="CH1410" s="207" t="n"/>
      <c r="CI1410" s="208" t="n"/>
      <c r="CJ1410" s="204" t="n"/>
      <c r="CK1410" s="208" t="n"/>
      <c r="CL1410" s="208" t="n"/>
      <c r="CM1410" s="208" t="n"/>
      <c r="CN1410" s="78" t="n"/>
      <c r="CO1410" s="209" t="n"/>
      <c r="CP1410" s="204" t="n"/>
      <c r="CQ1410" s="204" t="n"/>
      <c r="CR1410" s="204" t="n"/>
      <c r="CS1410" s="204" t="n"/>
      <c r="CT1410" s="204" t="n"/>
      <c r="CU1410" s="204" t="n"/>
      <c r="CV1410" s="204" t="n"/>
      <c r="CW1410" s="204" t="n"/>
    </row>
    <row r="1411">
      <c r="BF1411" s="78" t="n"/>
      <c r="BG1411" s="78" t="n"/>
      <c r="BH1411" s="78" t="n"/>
      <c r="BI1411" s="78" t="n"/>
      <c r="BJ1411" s="139" t="n"/>
      <c r="BK1411" s="204" t="n"/>
      <c r="BL1411" s="141" t="n"/>
      <c r="BM1411" s="205" t="n"/>
      <c r="BN1411" s="205" t="n"/>
      <c r="BO1411" s="206" t="n"/>
      <c r="BP1411" s="144" t="n"/>
      <c r="BQ1411" s="141" t="n"/>
      <c r="BR1411" s="207" t="n"/>
      <c r="BS1411" s="207" t="n"/>
      <c r="BT1411" s="207" t="n"/>
      <c r="BU1411" s="207" t="n"/>
      <c r="BV1411" s="208" t="n"/>
      <c r="BW1411" s="207" t="n"/>
      <c r="BX1411" s="207" t="n"/>
      <c r="BY1411" s="204" t="n"/>
      <c r="BZ1411" s="148" t="n"/>
      <c r="CA1411" s="204" t="n"/>
      <c r="CB1411" s="208" t="n"/>
      <c r="CC1411" s="139" t="n"/>
      <c r="CD1411" s="204" t="n"/>
      <c r="CE1411" s="204" t="n"/>
      <c r="CF1411" s="207" t="n"/>
      <c r="CG1411" s="208" t="n"/>
      <c r="CH1411" s="207" t="n"/>
      <c r="CI1411" s="208" t="n"/>
      <c r="CJ1411" s="204" t="n"/>
      <c r="CK1411" s="208" t="n"/>
      <c r="CL1411" s="208" t="n"/>
      <c r="CM1411" s="208" t="n"/>
      <c r="CN1411" s="78" t="n"/>
      <c r="CO1411" s="209" t="n"/>
      <c r="CP1411" s="204" t="n"/>
      <c r="CQ1411" s="204" t="n"/>
      <c r="CR1411" s="204" t="n"/>
      <c r="CS1411" s="204" t="n"/>
      <c r="CT1411" s="204" t="n"/>
      <c r="CU1411" s="204" t="n"/>
      <c r="CV1411" s="204" t="n"/>
      <c r="CW1411" s="204" t="n"/>
    </row>
    <row r="1412">
      <c r="BF1412" s="78" t="n"/>
      <c r="BG1412" s="78" t="n"/>
      <c r="BH1412" s="78" t="n"/>
      <c r="BI1412" s="78" t="n"/>
      <c r="BJ1412" s="139" t="n"/>
      <c r="BK1412" s="204" t="n"/>
      <c r="BL1412" s="141" t="n"/>
      <c r="BM1412" s="205" t="n"/>
      <c r="BN1412" s="205" t="n"/>
      <c r="BO1412" s="206" t="n"/>
      <c r="BP1412" s="144" t="n"/>
      <c r="BQ1412" s="141" t="n"/>
      <c r="BR1412" s="207" t="n"/>
      <c r="BS1412" s="207" t="n"/>
      <c r="BT1412" s="207" t="n"/>
      <c r="BU1412" s="207" t="n"/>
      <c r="BV1412" s="208" t="n"/>
      <c r="BW1412" s="207" t="n"/>
      <c r="BX1412" s="207" t="n"/>
      <c r="BY1412" s="204" t="n"/>
      <c r="BZ1412" s="148" t="n"/>
      <c r="CA1412" s="204" t="n"/>
      <c r="CB1412" s="208" t="n"/>
      <c r="CC1412" s="139" t="n"/>
      <c r="CD1412" s="204" t="n"/>
      <c r="CE1412" s="204" t="n"/>
      <c r="CF1412" s="207" t="n"/>
      <c r="CG1412" s="208" t="n"/>
      <c r="CH1412" s="207" t="n"/>
      <c r="CI1412" s="208" t="n"/>
      <c r="CJ1412" s="204" t="n"/>
      <c r="CK1412" s="208" t="n"/>
      <c r="CL1412" s="208" t="n"/>
      <c r="CM1412" s="208" t="n"/>
      <c r="CN1412" s="78" t="n"/>
      <c r="CO1412" s="209" t="n"/>
      <c r="CP1412" s="204" t="n"/>
      <c r="CQ1412" s="204" t="n"/>
      <c r="CR1412" s="204" t="n"/>
      <c r="CS1412" s="204" t="n"/>
      <c r="CT1412" s="204" t="n"/>
      <c r="CU1412" s="204" t="n"/>
      <c r="CV1412" s="204" t="n"/>
      <c r="CW1412" s="204" t="n"/>
    </row>
    <row r="1413">
      <c r="BF1413" s="78" t="n"/>
      <c r="BG1413" s="78" t="n"/>
      <c r="BH1413" s="78" t="n"/>
      <c r="BI1413" s="78" t="n"/>
      <c r="BJ1413" s="139" t="n"/>
      <c r="BK1413" s="204" t="n"/>
      <c r="BL1413" s="141" t="n"/>
      <c r="BM1413" s="205" t="n"/>
      <c r="BN1413" s="205" t="n"/>
      <c r="BO1413" s="206" t="n"/>
      <c r="BP1413" s="144" t="n"/>
      <c r="BQ1413" s="141" t="n"/>
      <c r="BR1413" s="207" t="n"/>
      <c r="BS1413" s="207" t="n"/>
      <c r="BT1413" s="207" t="n"/>
      <c r="BU1413" s="207" t="n"/>
      <c r="BV1413" s="208" t="n"/>
      <c r="BW1413" s="207" t="n"/>
      <c r="BX1413" s="207" t="n"/>
      <c r="BY1413" s="204" t="n"/>
      <c r="BZ1413" s="148" t="n"/>
      <c r="CA1413" s="204" t="n"/>
      <c r="CB1413" s="208" t="n"/>
      <c r="CC1413" s="139" t="n"/>
      <c r="CD1413" s="204" t="n"/>
      <c r="CE1413" s="204" t="n"/>
      <c r="CF1413" s="207" t="n"/>
      <c r="CG1413" s="208" t="n"/>
      <c r="CH1413" s="207" t="n"/>
      <c r="CI1413" s="208" t="n"/>
      <c r="CJ1413" s="204" t="n"/>
      <c r="CK1413" s="208" t="n"/>
      <c r="CL1413" s="208" t="n"/>
      <c r="CM1413" s="208" t="n"/>
      <c r="CN1413" s="78" t="n"/>
      <c r="CO1413" s="209" t="n"/>
      <c r="CP1413" s="204" t="n"/>
      <c r="CQ1413" s="204" t="n"/>
      <c r="CR1413" s="204" t="n"/>
      <c r="CS1413" s="204" t="n"/>
      <c r="CT1413" s="204" t="n"/>
      <c r="CU1413" s="204" t="n"/>
      <c r="CV1413" s="204" t="n"/>
      <c r="CW1413" s="204" t="n"/>
    </row>
    <row r="1414">
      <c r="BF1414" s="78" t="n"/>
      <c r="BG1414" s="78" t="n"/>
      <c r="BH1414" s="78" t="n"/>
      <c r="BI1414" s="78" t="n"/>
      <c r="BJ1414" s="139" t="n"/>
      <c r="BK1414" s="204" t="n"/>
      <c r="BL1414" s="141" t="n"/>
      <c r="BM1414" s="205" t="n"/>
      <c r="BN1414" s="205" t="n"/>
      <c r="BO1414" s="206" t="n"/>
      <c r="BP1414" s="144" t="n"/>
      <c r="BQ1414" s="141" t="n"/>
      <c r="BR1414" s="207" t="n"/>
      <c r="BS1414" s="207" t="n"/>
      <c r="BT1414" s="207" t="n"/>
      <c r="BU1414" s="207" t="n"/>
      <c r="BV1414" s="208" t="n"/>
      <c r="BW1414" s="207" t="n"/>
      <c r="BX1414" s="207" t="n"/>
      <c r="BY1414" s="204" t="n"/>
      <c r="BZ1414" s="148" t="n"/>
      <c r="CA1414" s="204" t="n"/>
      <c r="CB1414" s="208" t="n"/>
      <c r="CC1414" s="139" t="n"/>
      <c r="CD1414" s="204" t="n"/>
      <c r="CE1414" s="204" t="n"/>
      <c r="CF1414" s="207" t="n"/>
      <c r="CG1414" s="208" t="n"/>
      <c r="CH1414" s="207" t="n"/>
      <c r="CI1414" s="208" t="n"/>
      <c r="CJ1414" s="204" t="n"/>
      <c r="CK1414" s="208" t="n"/>
      <c r="CL1414" s="208" t="n"/>
      <c r="CM1414" s="208" t="n"/>
      <c r="CN1414" s="78" t="n"/>
      <c r="CO1414" s="209" t="n"/>
      <c r="CP1414" s="204" t="n"/>
      <c r="CQ1414" s="204" t="n"/>
      <c r="CR1414" s="204" t="n"/>
      <c r="CS1414" s="204" t="n"/>
      <c r="CT1414" s="204" t="n"/>
      <c r="CU1414" s="204" t="n"/>
      <c r="CV1414" s="204" t="n"/>
      <c r="CW1414" s="204" t="n"/>
    </row>
    <row r="1415">
      <c r="BF1415" s="78" t="n"/>
      <c r="BG1415" s="78" t="n"/>
      <c r="BH1415" s="78" t="n"/>
      <c r="BI1415" s="78" t="n"/>
      <c r="BJ1415" s="139" t="n"/>
      <c r="BK1415" s="204" t="n"/>
      <c r="BL1415" s="141" t="n"/>
      <c r="BM1415" s="205" t="n"/>
      <c r="BN1415" s="205" t="n"/>
      <c r="BO1415" s="206" t="n"/>
      <c r="BP1415" s="144" t="n"/>
      <c r="BQ1415" s="141" t="n"/>
      <c r="BR1415" s="207" t="n"/>
      <c r="BS1415" s="207" t="n"/>
      <c r="BT1415" s="207" t="n"/>
      <c r="BU1415" s="207" t="n"/>
      <c r="BV1415" s="208" t="n"/>
      <c r="BW1415" s="207" t="n"/>
      <c r="BX1415" s="207" t="n"/>
      <c r="BY1415" s="204" t="n"/>
      <c r="BZ1415" s="148" t="n"/>
      <c r="CA1415" s="204" t="n"/>
      <c r="CB1415" s="208" t="n"/>
      <c r="CC1415" s="139" t="n"/>
      <c r="CD1415" s="204" t="n"/>
      <c r="CE1415" s="204" t="n"/>
      <c r="CF1415" s="207" t="n"/>
      <c r="CG1415" s="208" t="n"/>
      <c r="CH1415" s="207" t="n"/>
      <c r="CI1415" s="208" t="n"/>
      <c r="CJ1415" s="204" t="n"/>
      <c r="CK1415" s="208" t="n"/>
      <c r="CL1415" s="208" t="n"/>
      <c r="CM1415" s="208" t="n"/>
      <c r="CN1415" s="78" t="n"/>
      <c r="CO1415" s="209" t="n"/>
      <c r="CP1415" s="204" t="n"/>
      <c r="CQ1415" s="204" t="n"/>
      <c r="CR1415" s="204" t="n"/>
      <c r="CS1415" s="204" t="n"/>
      <c r="CT1415" s="204" t="n"/>
      <c r="CU1415" s="204" t="n"/>
      <c r="CV1415" s="204" t="n"/>
      <c r="CW1415" s="204" t="n"/>
    </row>
    <row r="1416">
      <c r="BF1416" s="78" t="n"/>
      <c r="BG1416" s="78" t="n"/>
      <c r="BH1416" s="78" t="n"/>
      <c r="BI1416" s="78" t="n"/>
      <c r="BJ1416" s="139" t="n"/>
      <c r="BK1416" s="204" t="n"/>
      <c r="BL1416" s="141" t="n"/>
      <c r="BM1416" s="205" t="n"/>
      <c r="BN1416" s="205" t="n"/>
      <c r="BO1416" s="206" t="n"/>
      <c r="BP1416" s="144" t="n"/>
      <c r="BQ1416" s="141" t="n"/>
      <c r="BR1416" s="207" t="n"/>
      <c r="BS1416" s="207" t="n"/>
      <c r="BT1416" s="207" t="n"/>
      <c r="BU1416" s="207" t="n"/>
      <c r="BV1416" s="208" t="n"/>
      <c r="BW1416" s="207" t="n"/>
      <c r="BX1416" s="207" t="n"/>
      <c r="BY1416" s="204" t="n"/>
      <c r="BZ1416" s="148" t="n"/>
      <c r="CA1416" s="204" t="n"/>
      <c r="CB1416" s="208" t="n"/>
      <c r="CC1416" s="139" t="n"/>
      <c r="CD1416" s="204" t="n"/>
      <c r="CE1416" s="204" t="n"/>
      <c r="CF1416" s="207" t="n"/>
      <c r="CG1416" s="208" t="n"/>
      <c r="CH1416" s="207" t="n"/>
      <c r="CI1416" s="208" t="n"/>
      <c r="CJ1416" s="204" t="n"/>
      <c r="CK1416" s="208" t="n"/>
      <c r="CL1416" s="208" t="n"/>
      <c r="CM1416" s="208" t="n"/>
      <c r="CN1416" s="78" t="n"/>
      <c r="CO1416" s="209" t="n"/>
      <c r="CP1416" s="204" t="n"/>
      <c r="CQ1416" s="204" t="n"/>
      <c r="CR1416" s="204" t="n"/>
      <c r="CS1416" s="204" t="n"/>
      <c r="CT1416" s="204" t="n"/>
      <c r="CU1416" s="204" t="n"/>
      <c r="CV1416" s="204" t="n"/>
      <c r="CW1416" s="204" t="n"/>
    </row>
    <row r="1417">
      <c r="BF1417" s="78" t="n"/>
      <c r="BG1417" s="78" t="n"/>
      <c r="BH1417" s="78" t="n"/>
      <c r="BI1417" s="78" t="n"/>
      <c r="BJ1417" s="139" t="n"/>
      <c r="BK1417" s="204" t="n"/>
      <c r="BL1417" s="141" t="n"/>
      <c r="BM1417" s="205" t="n"/>
      <c r="BN1417" s="205" t="n"/>
      <c r="BO1417" s="206" t="n"/>
      <c r="BP1417" s="144" t="n"/>
      <c r="BQ1417" s="141" t="n"/>
      <c r="BR1417" s="207" t="n"/>
      <c r="BS1417" s="207" t="n"/>
      <c r="BT1417" s="207" t="n"/>
      <c r="BU1417" s="207" t="n"/>
      <c r="BV1417" s="208" t="n"/>
      <c r="BW1417" s="207" t="n"/>
      <c r="BX1417" s="207" t="n"/>
      <c r="BY1417" s="204" t="n"/>
      <c r="BZ1417" s="148" t="n"/>
      <c r="CA1417" s="204" t="n"/>
      <c r="CB1417" s="208" t="n"/>
      <c r="CC1417" s="139" t="n"/>
      <c r="CD1417" s="204" t="n"/>
      <c r="CE1417" s="204" t="n"/>
      <c r="CF1417" s="207" t="n"/>
      <c r="CG1417" s="208" t="n"/>
      <c r="CH1417" s="207" t="n"/>
      <c r="CI1417" s="208" t="n"/>
      <c r="CJ1417" s="204" t="n"/>
      <c r="CK1417" s="208" t="n"/>
      <c r="CL1417" s="208" t="n"/>
      <c r="CM1417" s="208" t="n"/>
      <c r="CN1417" s="78" t="n"/>
      <c r="CO1417" s="209" t="n"/>
      <c r="CP1417" s="204" t="n"/>
      <c r="CQ1417" s="204" t="n"/>
      <c r="CR1417" s="204" t="n"/>
      <c r="CS1417" s="204" t="n"/>
      <c r="CT1417" s="204" t="n"/>
      <c r="CU1417" s="204" t="n"/>
      <c r="CV1417" s="204" t="n"/>
      <c r="CW1417" s="204" t="n"/>
    </row>
    <row r="1418">
      <c r="BF1418" s="78" t="n"/>
      <c r="BG1418" s="78" t="n"/>
      <c r="BH1418" s="78" t="n"/>
      <c r="BI1418" s="78" t="n"/>
      <c r="BJ1418" s="139" t="n"/>
      <c r="BK1418" s="204" t="n"/>
      <c r="BL1418" s="141" t="n"/>
      <c r="BM1418" s="205" t="n"/>
      <c r="BN1418" s="205" t="n"/>
      <c r="BO1418" s="206" t="n"/>
      <c r="BP1418" s="144" t="n"/>
      <c r="BQ1418" s="141" t="n"/>
      <c r="BR1418" s="207" t="n"/>
      <c r="BS1418" s="207" t="n"/>
      <c r="BT1418" s="207" t="n"/>
      <c r="BU1418" s="207" t="n"/>
      <c r="BV1418" s="208" t="n"/>
      <c r="BW1418" s="207" t="n"/>
      <c r="BX1418" s="207" t="n"/>
      <c r="BY1418" s="204" t="n"/>
      <c r="BZ1418" s="148" t="n"/>
      <c r="CA1418" s="204" t="n"/>
      <c r="CB1418" s="208" t="n"/>
      <c r="CC1418" s="139" t="n"/>
      <c r="CD1418" s="204" t="n"/>
      <c r="CE1418" s="204" t="n"/>
      <c r="CF1418" s="207" t="n"/>
      <c r="CG1418" s="208" t="n"/>
      <c r="CH1418" s="207" t="n"/>
      <c r="CI1418" s="208" t="n"/>
      <c r="CJ1418" s="204" t="n"/>
      <c r="CK1418" s="208" t="n"/>
      <c r="CL1418" s="208" t="n"/>
      <c r="CM1418" s="208" t="n"/>
      <c r="CN1418" s="78" t="n"/>
      <c r="CO1418" s="209" t="n"/>
      <c r="CP1418" s="204" t="n"/>
      <c r="CQ1418" s="204" t="n"/>
      <c r="CR1418" s="204" t="n"/>
      <c r="CS1418" s="204" t="n"/>
      <c r="CT1418" s="204" t="n"/>
      <c r="CU1418" s="204" t="n"/>
      <c r="CV1418" s="204" t="n"/>
      <c r="CW1418" s="204" t="n"/>
    </row>
    <row r="1419">
      <c r="BF1419" s="78" t="n"/>
      <c r="BG1419" s="78" t="n"/>
      <c r="BH1419" s="78" t="n"/>
      <c r="BI1419" s="78" t="n"/>
      <c r="BJ1419" s="139" t="n"/>
      <c r="BK1419" s="204" t="n"/>
      <c r="BL1419" s="141" t="n"/>
      <c r="BM1419" s="205" t="n"/>
      <c r="BN1419" s="205" t="n"/>
      <c r="BO1419" s="206" t="n"/>
      <c r="BP1419" s="144" t="n"/>
      <c r="BQ1419" s="141" t="n"/>
      <c r="BR1419" s="207" t="n"/>
      <c r="BS1419" s="207" t="n"/>
      <c r="BT1419" s="207" t="n"/>
      <c r="BU1419" s="207" t="n"/>
      <c r="BV1419" s="208" t="n"/>
      <c r="BW1419" s="207" t="n"/>
      <c r="BX1419" s="207" t="n"/>
      <c r="BY1419" s="204" t="n"/>
      <c r="BZ1419" s="148" t="n"/>
      <c r="CA1419" s="204" t="n"/>
      <c r="CB1419" s="208" t="n"/>
      <c r="CC1419" s="139" t="n"/>
      <c r="CD1419" s="204" t="n"/>
      <c r="CE1419" s="204" t="n"/>
      <c r="CF1419" s="207" t="n"/>
      <c r="CG1419" s="208" t="n"/>
      <c r="CH1419" s="207" t="n"/>
      <c r="CI1419" s="208" t="n"/>
      <c r="CJ1419" s="204" t="n"/>
      <c r="CK1419" s="208" t="n"/>
      <c r="CL1419" s="208" t="n"/>
      <c r="CM1419" s="208" t="n"/>
      <c r="CN1419" s="78" t="n"/>
      <c r="CO1419" s="209" t="n"/>
      <c r="CP1419" s="204" t="n"/>
      <c r="CQ1419" s="204" t="n"/>
      <c r="CR1419" s="204" t="n"/>
      <c r="CS1419" s="204" t="n"/>
      <c r="CT1419" s="204" t="n"/>
      <c r="CU1419" s="204" t="n"/>
      <c r="CV1419" s="204" t="n"/>
      <c r="CW1419" s="204" t="n"/>
    </row>
    <row r="1420">
      <c r="BF1420" s="78" t="n"/>
      <c r="BG1420" s="78" t="n"/>
      <c r="BH1420" s="78" t="n"/>
      <c r="BI1420" s="78" t="n"/>
      <c r="BJ1420" s="139" t="n"/>
      <c r="BK1420" s="204" t="n"/>
      <c r="BL1420" s="141" t="n"/>
      <c r="BM1420" s="205" t="n"/>
      <c r="BN1420" s="205" t="n"/>
      <c r="BO1420" s="206" t="n"/>
      <c r="BP1420" s="144" t="n"/>
      <c r="BQ1420" s="141" t="n"/>
      <c r="BR1420" s="207" t="n"/>
      <c r="BS1420" s="207" t="n"/>
      <c r="BT1420" s="207" t="n"/>
      <c r="BU1420" s="207" t="n"/>
      <c r="BV1420" s="208" t="n"/>
      <c r="BW1420" s="207" t="n"/>
      <c r="BX1420" s="207" t="n"/>
      <c r="BY1420" s="204" t="n"/>
      <c r="BZ1420" s="148" t="n"/>
      <c r="CA1420" s="204" t="n"/>
      <c r="CB1420" s="208" t="n"/>
      <c r="CC1420" s="139" t="n"/>
      <c r="CD1420" s="204" t="n"/>
      <c r="CE1420" s="204" t="n"/>
      <c r="CF1420" s="207" t="n"/>
      <c r="CG1420" s="208" t="n"/>
      <c r="CH1420" s="207" t="n"/>
      <c r="CI1420" s="208" t="n"/>
      <c r="CJ1420" s="204" t="n"/>
      <c r="CK1420" s="208" t="n"/>
      <c r="CL1420" s="208" t="n"/>
      <c r="CM1420" s="208" t="n"/>
      <c r="CN1420" s="78" t="n"/>
      <c r="CO1420" s="209" t="n"/>
      <c r="CP1420" s="204" t="n"/>
      <c r="CQ1420" s="204" t="n"/>
      <c r="CR1420" s="204" t="n"/>
      <c r="CS1420" s="204" t="n"/>
      <c r="CT1420" s="204" t="n"/>
      <c r="CU1420" s="204" t="n"/>
      <c r="CV1420" s="204" t="n"/>
      <c r="CW1420" s="204" t="n"/>
    </row>
    <row r="1421">
      <c r="BF1421" s="78" t="n"/>
      <c r="BG1421" s="78" t="n"/>
      <c r="BH1421" s="78" t="n"/>
      <c r="BI1421" s="78" t="n"/>
      <c r="BJ1421" s="139" t="n"/>
      <c r="BK1421" s="204" t="n"/>
      <c r="BL1421" s="141" t="n"/>
      <c r="BM1421" s="205" t="n"/>
      <c r="BN1421" s="205" t="n"/>
      <c r="BO1421" s="206" t="n"/>
      <c r="BP1421" s="144" t="n"/>
      <c r="BQ1421" s="141" t="n"/>
      <c r="BR1421" s="207" t="n"/>
      <c r="BS1421" s="207" t="n"/>
      <c r="BT1421" s="207" t="n"/>
      <c r="BU1421" s="207" t="n"/>
      <c r="BV1421" s="208" t="n"/>
      <c r="BW1421" s="207" t="n"/>
      <c r="BX1421" s="207" t="n"/>
      <c r="BY1421" s="204" t="n"/>
      <c r="BZ1421" s="148" t="n"/>
      <c r="CA1421" s="204" t="n"/>
      <c r="CB1421" s="208" t="n"/>
      <c r="CC1421" s="139" t="n"/>
      <c r="CD1421" s="204" t="n"/>
      <c r="CE1421" s="204" t="n"/>
      <c r="CF1421" s="207" t="n"/>
      <c r="CG1421" s="208" t="n"/>
      <c r="CH1421" s="207" t="n"/>
      <c r="CI1421" s="208" t="n"/>
      <c r="CJ1421" s="204" t="n"/>
      <c r="CK1421" s="208" t="n"/>
      <c r="CL1421" s="208" t="n"/>
      <c r="CM1421" s="208" t="n"/>
      <c r="CN1421" s="78" t="n"/>
      <c r="CO1421" s="209" t="n"/>
      <c r="CP1421" s="204" t="n"/>
      <c r="CQ1421" s="204" t="n"/>
      <c r="CR1421" s="204" t="n"/>
      <c r="CS1421" s="204" t="n"/>
      <c r="CT1421" s="204" t="n"/>
      <c r="CU1421" s="204" t="n"/>
      <c r="CV1421" s="204" t="n"/>
      <c r="CW1421" s="204" t="n"/>
    </row>
    <row r="1422">
      <c r="BF1422" s="78" t="n"/>
      <c r="BG1422" s="78" t="n"/>
      <c r="BH1422" s="78" t="n"/>
      <c r="BI1422" s="78" t="n"/>
      <c r="BJ1422" s="139" t="n"/>
      <c r="BK1422" s="204" t="n"/>
      <c r="BL1422" s="141" t="n"/>
      <c r="BM1422" s="205" t="n"/>
      <c r="BN1422" s="205" t="n"/>
      <c r="BO1422" s="206" t="n"/>
      <c r="BP1422" s="144" t="n"/>
      <c r="BQ1422" s="141" t="n"/>
      <c r="BR1422" s="207" t="n"/>
      <c r="BS1422" s="207" t="n"/>
      <c r="BT1422" s="207" t="n"/>
      <c r="BU1422" s="207" t="n"/>
      <c r="BV1422" s="208" t="n"/>
      <c r="BW1422" s="207" t="n"/>
      <c r="BX1422" s="207" t="n"/>
      <c r="BY1422" s="204" t="n"/>
      <c r="BZ1422" s="148" t="n"/>
      <c r="CA1422" s="204" t="n"/>
      <c r="CB1422" s="208" t="n"/>
      <c r="CC1422" s="139" t="n"/>
      <c r="CD1422" s="204" t="n"/>
      <c r="CE1422" s="204" t="n"/>
      <c r="CF1422" s="207" t="n"/>
      <c r="CG1422" s="208" t="n"/>
      <c r="CH1422" s="207" t="n"/>
      <c r="CI1422" s="208" t="n"/>
      <c r="CJ1422" s="204" t="n"/>
      <c r="CK1422" s="208" t="n"/>
      <c r="CL1422" s="208" t="n"/>
      <c r="CM1422" s="208" t="n"/>
      <c r="CN1422" s="78" t="n"/>
      <c r="CO1422" s="209" t="n"/>
      <c r="CP1422" s="204" t="n"/>
      <c r="CQ1422" s="204" t="n"/>
      <c r="CR1422" s="204" t="n"/>
      <c r="CS1422" s="204" t="n"/>
      <c r="CT1422" s="204" t="n"/>
      <c r="CU1422" s="204" t="n"/>
      <c r="CV1422" s="204" t="n"/>
      <c r="CW1422" s="204" t="n"/>
    </row>
    <row r="1423">
      <c r="BF1423" s="78" t="n"/>
      <c r="BG1423" s="78" t="n"/>
      <c r="BH1423" s="78" t="n"/>
      <c r="BI1423" s="78" t="n"/>
      <c r="BJ1423" s="139" t="n"/>
      <c r="BK1423" s="204" t="n"/>
      <c r="BL1423" s="141" t="n"/>
      <c r="BM1423" s="205" t="n"/>
      <c r="BN1423" s="205" t="n"/>
      <c r="BO1423" s="206" t="n"/>
      <c r="BP1423" s="144" t="n"/>
      <c r="BQ1423" s="141" t="n"/>
      <c r="BR1423" s="207" t="n"/>
      <c r="BS1423" s="207" t="n"/>
      <c r="BT1423" s="207" t="n"/>
      <c r="BU1423" s="207" t="n"/>
      <c r="BV1423" s="208" t="n"/>
      <c r="BW1423" s="207" t="n"/>
      <c r="BX1423" s="207" t="n"/>
      <c r="BY1423" s="204" t="n"/>
      <c r="BZ1423" s="148" t="n"/>
      <c r="CA1423" s="204" t="n"/>
      <c r="CB1423" s="208" t="n"/>
      <c r="CC1423" s="139" t="n"/>
      <c r="CD1423" s="204" t="n"/>
      <c r="CE1423" s="204" t="n"/>
      <c r="CF1423" s="207" t="n"/>
      <c r="CG1423" s="208" t="n"/>
      <c r="CH1423" s="207" t="n"/>
      <c r="CI1423" s="208" t="n"/>
      <c r="CJ1423" s="204" t="n"/>
      <c r="CK1423" s="208" t="n"/>
      <c r="CL1423" s="208" t="n"/>
      <c r="CM1423" s="208" t="n"/>
      <c r="CN1423" s="78" t="n"/>
      <c r="CO1423" s="209" t="n"/>
      <c r="CP1423" s="204" t="n"/>
      <c r="CQ1423" s="204" t="n"/>
      <c r="CR1423" s="204" t="n"/>
      <c r="CS1423" s="204" t="n"/>
      <c r="CT1423" s="204" t="n"/>
      <c r="CU1423" s="204" t="n"/>
      <c r="CV1423" s="204" t="n"/>
      <c r="CW1423" s="204" t="n"/>
    </row>
    <row r="1424">
      <c r="BF1424" s="78" t="n"/>
      <c r="BG1424" s="78" t="n"/>
      <c r="BH1424" s="78" t="n"/>
      <c r="BI1424" s="78" t="n"/>
      <c r="BJ1424" s="139" t="n"/>
      <c r="BK1424" s="204" t="n"/>
      <c r="BL1424" s="141" t="n"/>
      <c r="BM1424" s="205" t="n"/>
      <c r="BN1424" s="205" t="n"/>
      <c r="BO1424" s="206" t="n"/>
      <c r="BP1424" s="144" t="n"/>
      <c r="BQ1424" s="141" t="n"/>
      <c r="BR1424" s="207" t="n"/>
      <c r="BS1424" s="207" t="n"/>
      <c r="BT1424" s="207" t="n"/>
      <c r="BU1424" s="207" t="n"/>
      <c r="BV1424" s="208" t="n"/>
      <c r="BW1424" s="207" t="n"/>
      <c r="BX1424" s="207" t="n"/>
      <c r="BY1424" s="204" t="n"/>
      <c r="BZ1424" s="148" t="n"/>
      <c r="CA1424" s="204" t="n"/>
      <c r="CB1424" s="208" t="n"/>
      <c r="CC1424" s="139" t="n"/>
      <c r="CD1424" s="204" t="n"/>
      <c r="CE1424" s="204" t="n"/>
      <c r="CF1424" s="207" t="n"/>
      <c r="CG1424" s="208" t="n"/>
      <c r="CH1424" s="207" t="n"/>
      <c r="CI1424" s="208" t="n"/>
      <c r="CJ1424" s="204" t="n"/>
      <c r="CK1424" s="208" t="n"/>
      <c r="CL1424" s="208" t="n"/>
      <c r="CM1424" s="208" t="n"/>
      <c r="CN1424" s="78" t="n"/>
      <c r="CO1424" s="209" t="n"/>
      <c r="CP1424" s="204" t="n"/>
      <c r="CQ1424" s="204" t="n"/>
      <c r="CR1424" s="204" t="n"/>
      <c r="CS1424" s="204" t="n"/>
      <c r="CT1424" s="204" t="n"/>
      <c r="CU1424" s="204" t="n"/>
      <c r="CV1424" s="204" t="n"/>
      <c r="CW1424" s="204" t="n"/>
    </row>
    <row r="1425">
      <c r="BF1425" s="78" t="n"/>
      <c r="BG1425" s="78" t="n"/>
      <c r="BH1425" s="78" t="n"/>
      <c r="BI1425" s="78" t="n"/>
      <c r="BJ1425" s="139" t="n"/>
      <c r="BK1425" s="204" t="n"/>
      <c r="BL1425" s="141" t="n"/>
      <c r="BM1425" s="205" t="n"/>
      <c r="BN1425" s="205" t="n"/>
      <c r="BO1425" s="206" t="n"/>
      <c r="BP1425" s="144" t="n"/>
      <c r="BQ1425" s="141" t="n"/>
      <c r="BR1425" s="207" t="n"/>
      <c r="BS1425" s="207" t="n"/>
      <c r="BT1425" s="207" t="n"/>
      <c r="BU1425" s="207" t="n"/>
      <c r="BV1425" s="208" t="n"/>
      <c r="BW1425" s="207" t="n"/>
      <c r="BX1425" s="207" t="n"/>
      <c r="BY1425" s="204" t="n"/>
      <c r="BZ1425" s="148" t="n"/>
      <c r="CA1425" s="204" t="n"/>
      <c r="CB1425" s="208" t="n"/>
      <c r="CC1425" s="139" t="n"/>
      <c r="CD1425" s="204" t="n"/>
      <c r="CE1425" s="204" t="n"/>
      <c r="CF1425" s="207" t="n"/>
      <c r="CG1425" s="208" t="n"/>
      <c r="CH1425" s="207" t="n"/>
      <c r="CI1425" s="208" t="n"/>
      <c r="CJ1425" s="204" t="n"/>
      <c r="CK1425" s="208" t="n"/>
      <c r="CL1425" s="208" t="n"/>
      <c r="CM1425" s="208" t="n"/>
      <c r="CN1425" s="78" t="n"/>
      <c r="CO1425" s="209" t="n"/>
      <c r="CP1425" s="204" t="n"/>
      <c r="CQ1425" s="204" t="n"/>
      <c r="CR1425" s="204" t="n"/>
      <c r="CS1425" s="204" t="n"/>
      <c r="CT1425" s="204" t="n"/>
      <c r="CU1425" s="204" t="n"/>
      <c r="CV1425" s="204" t="n"/>
      <c r="CW1425" s="204" t="n"/>
    </row>
    <row r="1426">
      <c r="BF1426" s="78" t="n"/>
      <c r="BG1426" s="78" t="n"/>
      <c r="BH1426" s="78" t="n"/>
      <c r="BI1426" s="78" t="n"/>
      <c r="BJ1426" s="139" t="n"/>
      <c r="BK1426" s="204" t="n"/>
      <c r="BL1426" s="141" t="n"/>
      <c r="BM1426" s="205" t="n"/>
      <c r="BN1426" s="205" t="n"/>
      <c r="BO1426" s="206" t="n"/>
      <c r="BP1426" s="144" t="n"/>
      <c r="BQ1426" s="141" t="n"/>
      <c r="BR1426" s="207" t="n"/>
      <c r="BS1426" s="207" t="n"/>
      <c r="BT1426" s="207" t="n"/>
      <c r="BU1426" s="207" t="n"/>
      <c r="BV1426" s="208" t="n"/>
      <c r="BW1426" s="207" t="n"/>
      <c r="BX1426" s="207" t="n"/>
      <c r="BY1426" s="204" t="n"/>
      <c r="BZ1426" s="148" t="n"/>
      <c r="CA1426" s="204" t="n"/>
      <c r="CB1426" s="208" t="n"/>
      <c r="CC1426" s="139" t="n"/>
      <c r="CD1426" s="204" t="n"/>
      <c r="CE1426" s="204" t="n"/>
      <c r="CF1426" s="207" t="n"/>
      <c r="CG1426" s="208" t="n"/>
      <c r="CH1426" s="207" t="n"/>
      <c r="CI1426" s="208" t="n"/>
      <c r="CJ1426" s="204" t="n"/>
      <c r="CK1426" s="208" t="n"/>
      <c r="CL1426" s="208" t="n"/>
      <c r="CM1426" s="208" t="n"/>
      <c r="CN1426" s="78" t="n"/>
      <c r="CO1426" s="209" t="n"/>
      <c r="CP1426" s="204" t="n"/>
      <c r="CQ1426" s="204" t="n"/>
      <c r="CR1426" s="204" t="n"/>
      <c r="CS1426" s="204" t="n"/>
      <c r="CT1426" s="204" t="n"/>
      <c r="CU1426" s="204" t="n"/>
      <c r="CV1426" s="204" t="n"/>
      <c r="CW1426" s="204" t="n"/>
    </row>
    <row r="1427">
      <c r="BF1427" s="78" t="n"/>
      <c r="BG1427" s="78" t="n"/>
      <c r="BH1427" s="78" t="n"/>
      <c r="BI1427" s="78" t="n"/>
      <c r="BJ1427" s="139" t="n"/>
      <c r="BK1427" s="204" t="n"/>
      <c r="BL1427" s="141" t="n"/>
      <c r="BM1427" s="205" t="n"/>
      <c r="BN1427" s="205" t="n"/>
      <c r="BO1427" s="206" t="n"/>
      <c r="BP1427" s="144" t="n"/>
      <c r="BQ1427" s="141" t="n"/>
      <c r="BR1427" s="207" t="n"/>
      <c r="BS1427" s="207" t="n"/>
      <c r="BT1427" s="207" t="n"/>
      <c r="BU1427" s="207" t="n"/>
      <c r="BV1427" s="208" t="n"/>
      <c r="BW1427" s="207" t="n"/>
      <c r="BX1427" s="207" t="n"/>
      <c r="BY1427" s="204" t="n"/>
      <c r="BZ1427" s="148" t="n"/>
      <c r="CA1427" s="204" t="n"/>
      <c r="CB1427" s="208" t="n"/>
      <c r="CC1427" s="139" t="n"/>
      <c r="CD1427" s="204" t="n"/>
      <c r="CE1427" s="204" t="n"/>
      <c r="CF1427" s="207" t="n"/>
      <c r="CG1427" s="208" t="n"/>
      <c r="CH1427" s="207" t="n"/>
      <c r="CI1427" s="208" t="n"/>
      <c r="CJ1427" s="204" t="n"/>
      <c r="CK1427" s="208" t="n"/>
      <c r="CL1427" s="208" t="n"/>
      <c r="CM1427" s="208" t="n"/>
      <c r="CN1427" s="78" t="n"/>
      <c r="CO1427" s="209" t="n"/>
      <c r="CP1427" s="204" t="n"/>
      <c r="CQ1427" s="204" t="n"/>
      <c r="CR1427" s="204" t="n"/>
      <c r="CS1427" s="204" t="n"/>
      <c r="CT1427" s="204" t="n"/>
      <c r="CU1427" s="204" t="n"/>
      <c r="CV1427" s="204" t="n"/>
      <c r="CW1427" s="204" t="n"/>
    </row>
    <row r="1428">
      <c r="BF1428" s="78" t="n"/>
      <c r="BG1428" s="78" t="n"/>
      <c r="BH1428" s="78" t="n"/>
      <c r="BI1428" s="78" t="n"/>
      <c r="BJ1428" s="139" t="n"/>
      <c r="BK1428" s="204" t="n"/>
      <c r="BL1428" s="141" t="n"/>
      <c r="BM1428" s="205" t="n"/>
      <c r="BN1428" s="205" t="n"/>
      <c r="BO1428" s="206" t="n"/>
      <c r="BP1428" s="144" t="n"/>
      <c r="BQ1428" s="141" t="n"/>
      <c r="BR1428" s="207" t="n"/>
      <c r="BS1428" s="207" t="n"/>
      <c r="BT1428" s="207" t="n"/>
      <c r="BU1428" s="207" t="n"/>
      <c r="BV1428" s="208" t="n"/>
      <c r="BW1428" s="207" t="n"/>
      <c r="BX1428" s="207" t="n"/>
      <c r="BY1428" s="204" t="n"/>
      <c r="BZ1428" s="148" t="n"/>
      <c r="CA1428" s="204" t="n"/>
      <c r="CB1428" s="208" t="n"/>
      <c r="CC1428" s="139" t="n"/>
      <c r="CD1428" s="204" t="n"/>
      <c r="CE1428" s="204" t="n"/>
      <c r="CF1428" s="207" t="n"/>
      <c r="CG1428" s="208" t="n"/>
      <c r="CH1428" s="207" t="n"/>
      <c r="CI1428" s="208" t="n"/>
      <c r="CJ1428" s="204" t="n"/>
      <c r="CK1428" s="208" t="n"/>
      <c r="CL1428" s="208" t="n"/>
      <c r="CM1428" s="208" t="n"/>
      <c r="CN1428" s="78" t="n"/>
      <c r="CO1428" s="209" t="n"/>
      <c r="CP1428" s="204" t="n"/>
      <c r="CQ1428" s="204" t="n"/>
      <c r="CR1428" s="204" t="n"/>
      <c r="CS1428" s="204" t="n"/>
      <c r="CT1428" s="204" t="n"/>
      <c r="CU1428" s="204" t="n"/>
      <c r="CV1428" s="204" t="n"/>
      <c r="CW1428" s="204" t="n"/>
    </row>
    <row r="1429">
      <c r="BF1429" s="78" t="n"/>
      <c r="BG1429" s="78" t="n"/>
      <c r="BH1429" s="78" t="n"/>
      <c r="BI1429" s="78" t="n"/>
      <c r="BJ1429" s="139" t="n"/>
      <c r="BK1429" s="204" t="n"/>
      <c r="BL1429" s="141" t="n"/>
      <c r="BM1429" s="205" t="n"/>
      <c r="BN1429" s="205" t="n"/>
      <c r="BO1429" s="206" t="n"/>
      <c r="BP1429" s="144" t="n"/>
      <c r="BQ1429" s="141" t="n"/>
      <c r="BR1429" s="207" t="n"/>
      <c r="BS1429" s="207" t="n"/>
      <c r="BT1429" s="207" t="n"/>
      <c r="BU1429" s="207" t="n"/>
      <c r="BV1429" s="208" t="n"/>
      <c r="BW1429" s="207" t="n"/>
      <c r="BX1429" s="207" t="n"/>
      <c r="BY1429" s="204" t="n"/>
      <c r="BZ1429" s="148" t="n"/>
      <c r="CA1429" s="204" t="n"/>
      <c r="CB1429" s="208" t="n"/>
      <c r="CC1429" s="139" t="n"/>
      <c r="CD1429" s="204" t="n"/>
      <c r="CE1429" s="204" t="n"/>
      <c r="CF1429" s="207" t="n"/>
      <c r="CG1429" s="208" t="n"/>
      <c r="CH1429" s="207" t="n"/>
      <c r="CI1429" s="208" t="n"/>
      <c r="CJ1429" s="204" t="n"/>
      <c r="CK1429" s="208" t="n"/>
      <c r="CL1429" s="208" t="n"/>
      <c r="CM1429" s="208" t="n"/>
      <c r="CN1429" s="78" t="n"/>
      <c r="CO1429" s="209" t="n"/>
      <c r="CP1429" s="204" t="n"/>
      <c r="CQ1429" s="204" t="n"/>
      <c r="CR1429" s="204" t="n"/>
      <c r="CS1429" s="204" t="n"/>
      <c r="CT1429" s="204" t="n"/>
      <c r="CU1429" s="204" t="n"/>
      <c r="CV1429" s="204" t="n"/>
      <c r="CW1429" s="204" t="n"/>
    </row>
    <row r="1430">
      <c r="BF1430" s="78" t="n"/>
      <c r="BG1430" s="78" t="n"/>
      <c r="BH1430" s="78" t="n"/>
      <c r="BI1430" s="78" t="n"/>
      <c r="BJ1430" s="139" t="n"/>
      <c r="BK1430" s="204" t="n"/>
      <c r="BL1430" s="141" t="n"/>
      <c r="BM1430" s="205" t="n"/>
      <c r="BN1430" s="205" t="n"/>
      <c r="BO1430" s="206" t="n"/>
      <c r="BP1430" s="144" t="n"/>
      <c r="BQ1430" s="141" t="n"/>
      <c r="BR1430" s="207" t="n"/>
      <c r="BS1430" s="207" t="n"/>
      <c r="BT1430" s="207" t="n"/>
      <c r="BU1430" s="207" t="n"/>
      <c r="BV1430" s="208" t="n"/>
      <c r="BW1430" s="207" t="n"/>
      <c r="BX1430" s="207" t="n"/>
      <c r="BY1430" s="204" t="n"/>
      <c r="BZ1430" s="148" t="n"/>
      <c r="CA1430" s="204" t="n"/>
      <c r="CB1430" s="208" t="n"/>
      <c r="CC1430" s="139" t="n"/>
      <c r="CD1430" s="204" t="n"/>
      <c r="CE1430" s="204" t="n"/>
      <c r="CF1430" s="207" t="n"/>
      <c r="CG1430" s="208" t="n"/>
      <c r="CH1430" s="207" t="n"/>
      <c r="CI1430" s="208" t="n"/>
      <c r="CJ1430" s="204" t="n"/>
      <c r="CK1430" s="208" t="n"/>
      <c r="CL1430" s="208" t="n"/>
      <c r="CM1430" s="208" t="n"/>
      <c r="CN1430" s="78" t="n"/>
      <c r="CO1430" s="209" t="n"/>
      <c r="CP1430" s="204" t="n"/>
      <c r="CQ1430" s="204" t="n"/>
      <c r="CR1430" s="204" t="n"/>
      <c r="CS1430" s="204" t="n"/>
      <c r="CT1430" s="204" t="n"/>
      <c r="CU1430" s="204" t="n"/>
      <c r="CV1430" s="204" t="n"/>
      <c r="CW1430" s="204" t="n"/>
    </row>
    <row r="1431">
      <c r="BF1431" s="78" t="n"/>
      <c r="BG1431" s="78" t="n"/>
      <c r="BH1431" s="78" t="n"/>
      <c r="BI1431" s="78" t="n"/>
      <c r="BJ1431" s="139" t="n"/>
      <c r="BK1431" s="204" t="n"/>
      <c r="BL1431" s="141" t="n"/>
      <c r="BM1431" s="205" t="n"/>
      <c r="BN1431" s="205" t="n"/>
      <c r="BO1431" s="206" t="n"/>
      <c r="BP1431" s="144" t="n"/>
      <c r="BQ1431" s="141" t="n"/>
      <c r="BR1431" s="207" t="n"/>
      <c r="BS1431" s="207" t="n"/>
      <c r="BT1431" s="207" t="n"/>
      <c r="BU1431" s="207" t="n"/>
      <c r="BV1431" s="208" t="n"/>
      <c r="BW1431" s="207" t="n"/>
      <c r="BX1431" s="207" t="n"/>
      <c r="BY1431" s="204" t="n"/>
      <c r="BZ1431" s="148" t="n"/>
      <c r="CA1431" s="204" t="n"/>
      <c r="CB1431" s="208" t="n"/>
      <c r="CC1431" s="139" t="n"/>
      <c r="CD1431" s="204" t="n"/>
      <c r="CE1431" s="204" t="n"/>
      <c r="CF1431" s="207" t="n"/>
      <c r="CG1431" s="208" t="n"/>
      <c r="CH1431" s="207" t="n"/>
      <c r="CI1431" s="208" t="n"/>
      <c r="CJ1431" s="204" t="n"/>
      <c r="CK1431" s="208" t="n"/>
      <c r="CL1431" s="208" t="n"/>
      <c r="CM1431" s="208" t="n"/>
      <c r="CN1431" s="78" t="n"/>
      <c r="CO1431" s="209" t="n"/>
      <c r="CP1431" s="204" t="n"/>
      <c r="CQ1431" s="204" t="n"/>
      <c r="CR1431" s="204" t="n"/>
      <c r="CS1431" s="204" t="n"/>
      <c r="CT1431" s="204" t="n"/>
      <c r="CU1431" s="204" t="n"/>
      <c r="CV1431" s="204" t="n"/>
      <c r="CW1431" s="204" t="n"/>
    </row>
    <row r="1432">
      <c r="BF1432" s="78" t="n"/>
      <c r="BG1432" s="78" t="n"/>
      <c r="BH1432" s="78" t="n"/>
      <c r="BI1432" s="78" t="n"/>
      <c r="BJ1432" s="139" t="n"/>
      <c r="BK1432" s="204" t="n"/>
      <c r="BL1432" s="141" t="n"/>
      <c r="BM1432" s="205" t="n"/>
      <c r="BN1432" s="205" t="n"/>
      <c r="BO1432" s="206" t="n"/>
      <c r="BP1432" s="144" t="n"/>
      <c r="BQ1432" s="141" t="n"/>
      <c r="BR1432" s="207" t="n"/>
      <c r="BS1432" s="207" t="n"/>
      <c r="BT1432" s="207" t="n"/>
      <c r="BU1432" s="207" t="n"/>
      <c r="BV1432" s="208" t="n"/>
      <c r="BW1432" s="207" t="n"/>
      <c r="BX1432" s="207" t="n"/>
      <c r="BY1432" s="204" t="n"/>
      <c r="BZ1432" s="148" t="n"/>
      <c r="CA1432" s="204" t="n"/>
      <c r="CB1432" s="208" t="n"/>
      <c r="CC1432" s="139" t="n"/>
      <c r="CD1432" s="204" t="n"/>
      <c r="CE1432" s="204" t="n"/>
      <c r="CF1432" s="207" t="n"/>
      <c r="CG1432" s="208" t="n"/>
      <c r="CH1432" s="207" t="n"/>
      <c r="CI1432" s="208" t="n"/>
      <c r="CJ1432" s="204" t="n"/>
      <c r="CK1432" s="208" t="n"/>
      <c r="CL1432" s="208" t="n"/>
      <c r="CM1432" s="208" t="n"/>
      <c r="CN1432" s="78" t="n"/>
      <c r="CO1432" s="209" t="n"/>
      <c r="CP1432" s="204" t="n"/>
      <c r="CQ1432" s="204" t="n"/>
      <c r="CR1432" s="204" t="n"/>
      <c r="CS1432" s="204" t="n"/>
      <c r="CT1432" s="204" t="n"/>
      <c r="CU1432" s="204" t="n"/>
      <c r="CV1432" s="204" t="n"/>
      <c r="CW1432" s="204" t="n"/>
    </row>
    <row r="1433">
      <c r="BF1433" s="78" t="n"/>
      <c r="BG1433" s="78" t="n"/>
      <c r="BH1433" s="78" t="n"/>
      <c r="BI1433" s="78" t="n"/>
      <c r="BJ1433" s="139" t="n"/>
      <c r="BK1433" s="204" t="n"/>
      <c r="BL1433" s="141" t="n"/>
      <c r="BM1433" s="205" t="n"/>
      <c r="BN1433" s="205" t="n"/>
      <c r="BO1433" s="206" t="n"/>
      <c r="BP1433" s="144" t="n"/>
      <c r="BQ1433" s="141" t="n"/>
      <c r="BR1433" s="207" t="n"/>
      <c r="BS1433" s="207" t="n"/>
      <c r="BT1433" s="207" t="n"/>
      <c r="BU1433" s="207" t="n"/>
      <c r="BV1433" s="208" t="n"/>
      <c r="BW1433" s="207" t="n"/>
      <c r="BX1433" s="207" t="n"/>
      <c r="BY1433" s="204" t="n"/>
      <c r="BZ1433" s="148" t="n"/>
      <c r="CA1433" s="204" t="n"/>
      <c r="CB1433" s="208" t="n"/>
      <c r="CC1433" s="139" t="n"/>
      <c r="CD1433" s="204" t="n"/>
      <c r="CE1433" s="204" t="n"/>
      <c r="CF1433" s="207" t="n"/>
      <c r="CG1433" s="208" t="n"/>
      <c r="CH1433" s="207" t="n"/>
      <c r="CI1433" s="208" t="n"/>
      <c r="CJ1433" s="204" t="n"/>
      <c r="CK1433" s="208" t="n"/>
      <c r="CL1433" s="208" t="n"/>
      <c r="CM1433" s="208" t="n"/>
      <c r="CN1433" s="78" t="n"/>
      <c r="CO1433" s="209" t="n"/>
      <c r="CP1433" s="204" t="n"/>
      <c r="CQ1433" s="204" t="n"/>
      <c r="CR1433" s="204" t="n"/>
      <c r="CS1433" s="204" t="n"/>
      <c r="CT1433" s="204" t="n"/>
      <c r="CU1433" s="204" t="n"/>
      <c r="CV1433" s="204" t="n"/>
      <c r="CW1433" s="204" t="n"/>
    </row>
    <row r="1434">
      <c r="BF1434" s="78" t="n"/>
      <c r="BG1434" s="78" t="n"/>
      <c r="BH1434" s="78" t="n"/>
      <c r="BI1434" s="78" t="n"/>
      <c r="BJ1434" s="139" t="n"/>
      <c r="BK1434" s="204" t="n"/>
      <c r="BL1434" s="141" t="n"/>
      <c r="BM1434" s="205" t="n"/>
      <c r="BN1434" s="205" t="n"/>
      <c r="BO1434" s="206" t="n"/>
      <c r="BP1434" s="144" t="n"/>
      <c r="BQ1434" s="141" t="n"/>
      <c r="BR1434" s="207" t="n"/>
      <c r="BS1434" s="207" t="n"/>
      <c r="BT1434" s="207" t="n"/>
      <c r="BU1434" s="207" t="n"/>
      <c r="BV1434" s="208" t="n"/>
      <c r="BW1434" s="207" t="n"/>
      <c r="BX1434" s="207" t="n"/>
      <c r="BY1434" s="204" t="n"/>
      <c r="BZ1434" s="148" t="n"/>
      <c r="CA1434" s="204" t="n"/>
      <c r="CB1434" s="208" t="n"/>
      <c r="CC1434" s="139" t="n"/>
      <c r="CD1434" s="204" t="n"/>
      <c r="CE1434" s="204" t="n"/>
      <c r="CF1434" s="207" t="n"/>
      <c r="CG1434" s="208" t="n"/>
      <c r="CH1434" s="207" t="n"/>
      <c r="CI1434" s="208" t="n"/>
      <c r="CJ1434" s="204" t="n"/>
      <c r="CK1434" s="208" t="n"/>
      <c r="CL1434" s="208" t="n"/>
      <c r="CM1434" s="208" t="n"/>
      <c r="CN1434" s="78" t="n"/>
      <c r="CO1434" s="209" t="n"/>
      <c r="CP1434" s="204" t="n"/>
      <c r="CQ1434" s="204" t="n"/>
      <c r="CR1434" s="204" t="n"/>
      <c r="CS1434" s="204" t="n"/>
      <c r="CT1434" s="204" t="n"/>
      <c r="CU1434" s="204" t="n"/>
      <c r="CV1434" s="204" t="n"/>
      <c r="CW1434" s="204" t="n"/>
    </row>
    <row r="1435">
      <c r="BF1435" s="78" t="n"/>
      <c r="BG1435" s="78" t="n"/>
      <c r="BH1435" s="78" t="n"/>
      <c r="BI1435" s="78" t="n"/>
      <c r="BJ1435" s="139" t="n"/>
      <c r="BK1435" s="204" t="n"/>
      <c r="BL1435" s="141" t="n"/>
      <c r="BM1435" s="205" t="n"/>
      <c r="BN1435" s="205" t="n"/>
      <c r="BO1435" s="206" t="n"/>
      <c r="BP1435" s="144" t="n"/>
      <c r="BQ1435" s="141" t="n"/>
      <c r="BR1435" s="207" t="n"/>
      <c r="BS1435" s="207" t="n"/>
      <c r="BT1435" s="207" t="n"/>
      <c r="BU1435" s="207" t="n"/>
      <c r="BV1435" s="208" t="n"/>
      <c r="BW1435" s="207" t="n"/>
      <c r="BX1435" s="207" t="n"/>
      <c r="BY1435" s="204" t="n"/>
      <c r="BZ1435" s="148" t="n"/>
      <c r="CA1435" s="204" t="n"/>
      <c r="CB1435" s="208" t="n"/>
      <c r="CC1435" s="139" t="n"/>
      <c r="CD1435" s="204" t="n"/>
      <c r="CE1435" s="204" t="n"/>
      <c r="CF1435" s="207" t="n"/>
      <c r="CG1435" s="208" t="n"/>
      <c r="CH1435" s="207" t="n"/>
      <c r="CI1435" s="208" t="n"/>
      <c r="CJ1435" s="204" t="n"/>
      <c r="CK1435" s="208" t="n"/>
      <c r="CL1435" s="208" t="n"/>
      <c r="CM1435" s="208" t="n"/>
      <c r="CN1435" s="78" t="n"/>
      <c r="CO1435" s="209" t="n"/>
      <c r="CP1435" s="204" t="n"/>
      <c r="CQ1435" s="204" t="n"/>
      <c r="CR1435" s="204" t="n"/>
      <c r="CS1435" s="204" t="n"/>
      <c r="CT1435" s="204" t="n"/>
      <c r="CU1435" s="204" t="n"/>
      <c r="CV1435" s="204" t="n"/>
      <c r="CW1435" s="204" t="n"/>
    </row>
    <row r="1436">
      <c r="BF1436" s="78" t="n"/>
      <c r="BG1436" s="78" t="n"/>
      <c r="BH1436" s="78" t="n"/>
      <c r="BI1436" s="78" t="n"/>
      <c r="BJ1436" s="139" t="n"/>
      <c r="BK1436" s="204" t="n"/>
      <c r="BL1436" s="141" t="n"/>
      <c r="BM1436" s="205" t="n"/>
      <c r="BN1436" s="205" t="n"/>
      <c r="BO1436" s="206" t="n"/>
      <c r="BP1436" s="144" t="n"/>
      <c r="BQ1436" s="141" t="n"/>
      <c r="BR1436" s="207" t="n"/>
      <c r="BS1436" s="207" t="n"/>
      <c r="BT1436" s="207" t="n"/>
      <c r="BU1436" s="207" t="n"/>
      <c r="BV1436" s="208" t="n"/>
      <c r="BW1436" s="207" t="n"/>
      <c r="BX1436" s="207" t="n"/>
      <c r="BY1436" s="204" t="n"/>
      <c r="BZ1436" s="148" t="n"/>
      <c r="CA1436" s="204" t="n"/>
      <c r="CB1436" s="208" t="n"/>
      <c r="CC1436" s="139" t="n"/>
      <c r="CD1436" s="204" t="n"/>
      <c r="CE1436" s="204" t="n"/>
      <c r="CF1436" s="207" t="n"/>
      <c r="CG1436" s="208" t="n"/>
      <c r="CH1436" s="207" t="n"/>
      <c r="CI1436" s="208" t="n"/>
      <c r="CJ1436" s="204" t="n"/>
      <c r="CK1436" s="208" t="n"/>
      <c r="CL1436" s="208" t="n"/>
      <c r="CM1436" s="208" t="n"/>
      <c r="CN1436" s="78" t="n"/>
      <c r="CO1436" s="209" t="n"/>
      <c r="CP1436" s="204" t="n"/>
      <c r="CQ1436" s="204" t="n"/>
      <c r="CR1436" s="204" t="n"/>
      <c r="CS1436" s="204" t="n"/>
      <c r="CT1436" s="204" t="n"/>
      <c r="CU1436" s="204" t="n"/>
      <c r="CV1436" s="204" t="n"/>
      <c r="CW1436" s="204" t="n"/>
    </row>
    <row r="1437">
      <c r="BF1437" s="78" t="n"/>
      <c r="BG1437" s="78" t="n"/>
      <c r="BH1437" s="78" t="n"/>
      <c r="BI1437" s="78" t="n"/>
      <c r="BJ1437" s="139" t="n"/>
      <c r="BK1437" s="204" t="n"/>
      <c r="BL1437" s="141" t="n"/>
      <c r="BM1437" s="205" t="n"/>
      <c r="BN1437" s="205" t="n"/>
      <c r="BO1437" s="206" t="n"/>
      <c r="BP1437" s="144" t="n"/>
      <c r="BQ1437" s="141" t="n"/>
      <c r="BR1437" s="207" t="n"/>
      <c r="BS1437" s="207" t="n"/>
      <c r="BT1437" s="207" t="n"/>
      <c r="BU1437" s="207" t="n"/>
      <c r="BV1437" s="208" t="n"/>
      <c r="BW1437" s="207" t="n"/>
      <c r="BX1437" s="207" t="n"/>
      <c r="BY1437" s="204" t="n"/>
      <c r="BZ1437" s="148" t="n"/>
      <c r="CA1437" s="204" t="n"/>
      <c r="CB1437" s="208" t="n"/>
      <c r="CC1437" s="139" t="n"/>
      <c r="CD1437" s="204" t="n"/>
      <c r="CE1437" s="204" t="n"/>
      <c r="CF1437" s="207" t="n"/>
      <c r="CG1437" s="208" t="n"/>
      <c r="CH1437" s="207" t="n"/>
      <c r="CI1437" s="208" t="n"/>
      <c r="CJ1437" s="204" t="n"/>
      <c r="CK1437" s="208" t="n"/>
      <c r="CL1437" s="208" t="n"/>
      <c r="CM1437" s="208" t="n"/>
      <c r="CN1437" s="78" t="n"/>
      <c r="CO1437" s="209" t="n"/>
      <c r="CP1437" s="204" t="n"/>
      <c r="CQ1437" s="204" t="n"/>
      <c r="CR1437" s="204" t="n"/>
      <c r="CS1437" s="204" t="n"/>
      <c r="CT1437" s="204" t="n"/>
      <c r="CU1437" s="204" t="n"/>
      <c r="CV1437" s="204" t="n"/>
      <c r="CW1437" s="204" t="n"/>
    </row>
    <row r="1438">
      <c r="BF1438" s="78" t="n"/>
      <c r="BG1438" s="78" t="n"/>
      <c r="BH1438" s="78" t="n"/>
      <c r="BI1438" s="78" t="n"/>
      <c r="BJ1438" s="139" t="n"/>
      <c r="BK1438" s="204" t="n"/>
      <c r="BL1438" s="141" t="n"/>
      <c r="BM1438" s="205" t="n"/>
      <c r="BN1438" s="205" t="n"/>
      <c r="BO1438" s="206" t="n"/>
      <c r="BP1438" s="144" t="n"/>
      <c r="BQ1438" s="141" t="n"/>
      <c r="BR1438" s="207" t="n"/>
      <c r="BS1438" s="207" t="n"/>
      <c r="BT1438" s="207" t="n"/>
      <c r="BU1438" s="207" t="n"/>
      <c r="BV1438" s="208" t="n"/>
      <c r="BW1438" s="207" t="n"/>
      <c r="BX1438" s="207" t="n"/>
      <c r="BY1438" s="204" t="n"/>
      <c r="BZ1438" s="148" t="n"/>
      <c r="CA1438" s="204" t="n"/>
      <c r="CB1438" s="208" t="n"/>
      <c r="CC1438" s="139" t="n"/>
      <c r="CD1438" s="204" t="n"/>
      <c r="CE1438" s="204" t="n"/>
      <c r="CF1438" s="207" t="n"/>
      <c r="CG1438" s="208" t="n"/>
      <c r="CH1438" s="207" t="n"/>
      <c r="CI1438" s="208" t="n"/>
      <c r="CJ1438" s="204" t="n"/>
      <c r="CK1438" s="208" t="n"/>
      <c r="CL1438" s="208" t="n"/>
      <c r="CM1438" s="208" t="n"/>
      <c r="CN1438" s="78" t="n"/>
      <c r="CO1438" s="209" t="n"/>
      <c r="CP1438" s="204" t="n"/>
      <c r="CQ1438" s="204" t="n"/>
      <c r="CR1438" s="204" t="n"/>
      <c r="CS1438" s="204" t="n"/>
      <c r="CT1438" s="204" t="n"/>
      <c r="CU1438" s="204" t="n"/>
      <c r="CV1438" s="204" t="n"/>
      <c r="CW1438" s="204" t="n"/>
    </row>
    <row r="1439">
      <c r="BF1439" s="78" t="n"/>
      <c r="BG1439" s="78" t="n"/>
      <c r="BH1439" s="78" t="n"/>
      <c r="BI1439" s="78" t="n"/>
      <c r="BJ1439" s="139" t="n"/>
      <c r="BK1439" s="204" t="n"/>
      <c r="BL1439" s="141" t="n"/>
      <c r="BM1439" s="205" t="n"/>
      <c r="BN1439" s="205" t="n"/>
      <c r="BO1439" s="206" t="n"/>
      <c r="BP1439" s="144" t="n"/>
      <c r="BQ1439" s="141" t="n"/>
      <c r="BR1439" s="207" t="n"/>
      <c r="BS1439" s="207" t="n"/>
      <c r="BT1439" s="207" t="n"/>
      <c r="BU1439" s="207" t="n"/>
      <c r="BV1439" s="208" t="n"/>
      <c r="BW1439" s="207" t="n"/>
      <c r="BX1439" s="207" t="n"/>
      <c r="BY1439" s="204" t="n"/>
      <c r="BZ1439" s="148" t="n"/>
      <c r="CA1439" s="204" t="n"/>
      <c r="CB1439" s="208" t="n"/>
      <c r="CC1439" s="139" t="n"/>
      <c r="CD1439" s="204" t="n"/>
      <c r="CE1439" s="204" t="n"/>
      <c r="CF1439" s="207" t="n"/>
      <c r="CG1439" s="208" t="n"/>
      <c r="CH1439" s="207" t="n"/>
      <c r="CI1439" s="208" t="n"/>
      <c r="CJ1439" s="204" t="n"/>
      <c r="CK1439" s="208" t="n"/>
      <c r="CL1439" s="208" t="n"/>
      <c r="CM1439" s="208" t="n"/>
      <c r="CN1439" s="78" t="n"/>
      <c r="CO1439" s="209" t="n"/>
      <c r="CP1439" s="204" t="n"/>
      <c r="CQ1439" s="204" t="n"/>
      <c r="CR1439" s="204" t="n"/>
      <c r="CS1439" s="204" t="n"/>
      <c r="CT1439" s="204" t="n"/>
      <c r="CU1439" s="204" t="n"/>
      <c r="CV1439" s="204" t="n"/>
      <c r="CW1439" s="204" t="n"/>
    </row>
    <row r="1440">
      <c r="BF1440" s="78" t="n"/>
      <c r="BG1440" s="78" t="n"/>
      <c r="BH1440" s="78" t="n"/>
      <c r="BI1440" s="78" t="n"/>
      <c r="BJ1440" s="139" t="n"/>
      <c r="BK1440" s="204" t="n"/>
      <c r="BL1440" s="141" t="n"/>
      <c r="BM1440" s="205" t="n"/>
      <c r="BN1440" s="205" t="n"/>
      <c r="BO1440" s="206" t="n"/>
      <c r="BP1440" s="144" t="n"/>
      <c r="BQ1440" s="141" t="n"/>
      <c r="BR1440" s="207" t="n"/>
      <c r="BS1440" s="207" t="n"/>
      <c r="BT1440" s="207" t="n"/>
      <c r="BU1440" s="207" t="n"/>
      <c r="BV1440" s="208" t="n"/>
      <c r="BW1440" s="207" t="n"/>
      <c r="BX1440" s="207" t="n"/>
      <c r="BY1440" s="204" t="n"/>
      <c r="BZ1440" s="148" t="n"/>
      <c r="CA1440" s="204" t="n"/>
      <c r="CB1440" s="208" t="n"/>
      <c r="CC1440" s="139" t="n"/>
      <c r="CD1440" s="204" t="n"/>
      <c r="CE1440" s="204" t="n"/>
      <c r="CF1440" s="207" t="n"/>
      <c r="CG1440" s="208" t="n"/>
      <c r="CH1440" s="207" t="n"/>
      <c r="CI1440" s="208" t="n"/>
      <c r="CJ1440" s="204" t="n"/>
      <c r="CK1440" s="208" t="n"/>
      <c r="CL1440" s="208" t="n"/>
      <c r="CM1440" s="208" t="n"/>
      <c r="CN1440" s="78" t="n"/>
      <c r="CO1440" s="209" t="n"/>
      <c r="CP1440" s="204" t="n"/>
      <c r="CQ1440" s="204" t="n"/>
      <c r="CR1440" s="204" t="n"/>
      <c r="CS1440" s="204" t="n"/>
      <c r="CT1440" s="204" t="n"/>
      <c r="CU1440" s="204" t="n"/>
      <c r="CV1440" s="204" t="n"/>
      <c r="CW1440" s="204" t="n"/>
    </row>
    <row r="1441">
      <c r="BF1441" s="78" t="n"/>
      <c r="BG1441" s="78" t="n"/>
      <c r="BH1441" s="78" t="n"/>
      <c r="BI1441" s="78" t="n"/>
      <c r="BJ1441" s="139" t="n"/>
      <c r="BK1441" s="204" t="n"/>
      <c r="BL1441" s="141" t="n"/>
      <c r="BM1441" s="205" t="n"/>
      <c r="BN1441" s="205" t="n"/>
      <c r="BO1441" s="206" t="n"/>
      <c r="BP1441" s="144" t="n"/>
      <c r="BQ1441" s="141" t="n"/>
      <c r="BR1441" s="207" t="n"/>
      <c r="BS1441" s="207" t="n"/>
      <c r="BT1441" s="207" t="n"/>
      <c r="BU1441" s="207" t="n"/>
      <c r="BV1441" s="208" t="n"/>
      <c r="BW1441" s="207" t="n"/>
      <c r="BX1441" s="207" t="n"/>
      <c r="BY1441" s="204" t="n"/>
      <c r="BZ1441" s="148" t="n"/>
      <c r="CA1441" s="204" t="n"/>
      <c r="CB1441" s="208" t="n"/>
      <c r="CC1441" s="139" t="n"/>
      <c r="CD1441" s="204" t="n"/>
      <c r="CE1441" s="204" t="n"/>
      <c r="CF1441" s="207" t="n"/>
      <c r="CG1441" s="208" t="n"/>
      <c r="CH1441" s="207" t="n"/>
      <c r="CI1441" s="208" t="n"/>
      <c r="CJ1441" s="204" t="n"/>
      <c r="CK1441" s="208" t="n"/>
      <c r="CL1441" s="208" t="n"/>
      <c r="CM1441" s="208" t="n"/>
      <c r="CN1441" s="78" t="n"/>
      <c r="CO1441" s="209" t="n"/>
      <c r="CP1441" s="204" t="n"/>
      <c r="CQ1441" s="204" t="n"/>
      <c r="CR1441" s="204" t="n"/>
      <c r="CS1441" s="204" t="n"/>
      <c r="CT1441" s="204" t="n"/>
      <c r="CU1441" s="204" t="n"/>
      <c r="CV1441" s="204" t="n"/>
      <c r="CW1441" s="204" t="n"/>
    </row>
    <row r="1442">
      <c r="BF1442" s="78" t="n"/>
      <c r="BG1442" s="78" t="n"/>
      <c r="BH1442" s="78" t="n"/>
      <c r="BI1442" s="78" t="n"/>
      <c r="BJ1442" s="139" t="n"/>
      <c r="BK1442" s="204" t="n"/>
      <c r="BL1442" s="141" t="n"/>
      <c r="BM1442" s="205" t="n"/>
      <c r="BN1442" s="205" t="n"/>
      <c r="BO1442" s="206" t="n"/>
      <c r="BP1442" s="144" t="n"/>
      <c r="BQ1442" s="141" t="n"/>
      <c r="BR1442" s="207" t="n"/>
      <c r="BS1442" s="207" t="n"/>
      <c r="BT1442" s="207" t="n"/>
      <c r="BU1442" s="207" t="n"/>
      <c r="BV1442" s="208" t="n"/>
      <c r="BW1442" s="207" t="n"/>
      <c r="BX1442" s="207" t="n"/>
      <c r="BY1442" s="204" t="n"/>
      <c r="BZ1442" s="148" t="n"/>
      <c r="CA1442" s="204" t="n"/>
      <c r="CB1442" s="208" t="n"/>
      <c r="CC1442" s="139" t="n"/>
      <c r="CD1442" s="204" t="n"/>
      <c r="CE1442" s="204" t="n"/>
      <c r="CF1442" s="207" t="n"/>
      <c r="CG1442" s="208" t="n"/>
      <c r="CH1442" s="207" t="n"/>
      <c r="CI1442" s="208" t="n"/>
      <c r="CJ1442" s="204" t="n"/>
      <c r="CK1442" s="208" t="n"/>
      <c r="CL1442" s="208" t="n"/>
      <c r="CM1442" s="208" t="n"/>
      <c r="CN1442" s="78" t="n"/>
      <c r="CO1442" s="209" t="n"/>
      <c r="CP1442" s="204" t="n"/>
      <c r="CQ1442" s="204" t="n"/>
      <c r="CR1442" s="204" t="n"/>
      <c r="CS1442" s="204" t="n"/>
      <c r="CT1442" s="204" t="n"/>
      <c r="CU1442" s="204" t="n"/>
      <c r="CV1442" s="204" t="n"/>
      <c r="CW1442" s="204" t="n"/>
    </row>
    <row r="1443">
      <c r="BF1443" s="78" t="n"/>
      <c r="BG1443" s="78" t="n"/>
      <c r="BH1443" s="78" t="n"/>
      <c r="BI1443" s="78" t="n"/>
      <c r="BJ1443" s="139" t="n"/>
      <c r="BK1443" s="204" t="n"/>
      <c r="BL1443" s="141" t="n"/>
      <c r="BM1443" s="205" t="n"/>
      <c r="BN1443" s="205" t="n"/>
      <c r="BO1443" s="206" t="n"/>
      <c r="BP1443" s="144" t="n"/>
      <c r="BQ1443" s="141" t="n"/>
      <c r="BR1443" s="207" t="n"/>
      <c r="BS1443" s="207" t="n"/>
      <c r="BT1443" s="207" t="n"/>
      <c r="BU1443" s="207" t="n"/>
      <c r="BV1443" s="208" t="n"/>
      <c r="BW1443" s="207" t="n"/>
      <c r="BX1443" s="207" t="n"/>
      <c r="BY1443" s="204" t="n"/>
      <c r="BZ1443" s="148" t="n"/>
      <c r="CA1443" s="204" t="n"/>
      <c r="CB1443" s="208" t="n"/>
      <c r="CC1443" s="139" t="n"/>
      <c r="CD1443" s="204" t="n"/>
      <c r="CE1443" s="204" t="n"/>
      <c r="CF1443" s="207" t="n"/>
      <c r="CG1443" s="208" t="n"/>
      <c r="CH1443" s="207" t="n"/>
      <c r="CI1443" s="208" t="n"/>
      <c r="CJ1443" s="204" t="n"/>
      <c r="CK1443" s="208" t="n"/>
      <c r="CL1443" s="208" t="n"/>
      <c r="CM1443" s="208" t="n"/>
      <c r="CN1443" s="78" t="n"/>
      <c r="CO1443" s="209" t="n"/>
      <c r="CP1443" s="204" t="n"/>
      <c r="CQ1443" s="204" t="n"/>
      <c r="CR1443" s="204" t="n"/>
      <c r="CS1443" s="204" t="n"/>
      <c r="CT1443" s="204" t="n"/>
      <c r="CU1443" s="204" t="n"/>
      <c r="CV1443" s="204" t="n"/>
      <c r="CW1443" s="204" t="n"/>
    </row>
    <row r="1444">
      <c r="BF1444" s="78" t="n"/>
      <c r="BG1444" s="78" t="n"/>
      <c r="BH1444" s="78" t="n"/>
      <c r="BI1444" s="78" t="n"/>
      <c r="BJ1444" s="139" t="n"/>
      <c r="BK1444" s="204" t="n"/>
      <c r="BL1444" s="141" t="n"/>
      <c r="BM1444" s="205" t="n"/>
      <c r="BN1444" s="205" t="n"/>
      <c r="BO1444" s="206" t="n"/>
      <c r="BP1444" s="144" t="n"/>
      <c r="BQ1444" s="141" t="n"/>
      <c r="BR1444" s="207" t="n"/>
      <c r="BS1444" s="207" t="n"/>
      <c r="BT1444" s="207" t="n"/>
      <c r="BU1444" s="207" t="n"/>
      <c r="BV1444" s="208" t="n"/>
      <c r="BW1444" s="207" t="n"/>
      <c r="BX1444" s="207" t="n"/>
      <c r="BY1444" s="204" t="n"/>
      <c r="BZ1444" s="148" t="n"/>
      <c r="CA1444" s="204" t="n"/>
      <c r="CB1444" s="208" t="n"/>
      <c r="CC1444" s="139" t="n"/>
      <c r="CD1444" s="204" t="n"/>
      <c r="CE1444" s="204" t="n"/>
      <c r="CF1444" s="207" t="n"/>
      <c r="CG1444" s="208" t="n"/>
      <c r="CH1444" s="207" t="n"/>
      <c r="CI1444" s="208" t="n"/>
      <c r="CJ1444" s="204" t="n"/>
      <c r="CK1444" s="208" t="n"/>
      <c r="CL1444" s="208" t="n"/>
      <c r="CM1444" s="208" t="n"/>
      <c r="CN1444" s="78" t="n"/>
      <c r="CO1444" s="209" t="n"/>
      <c r="CP1444" s="204" t="n"/>
      <c r="CQ1444" s="204" t="n"/>
      <c r="CR1444" s="204" t="n"/>
      <c r="CS1444" s="204" t="n"/>
      <c r="CT1444" s="204" t="n"/>
      <c r="CU1444" s="204" t="n"/>
      <c r="CV1444" s="204" t="n"/>
      <c r="CW1444" s="204" t="n"/>
    </row>
    <row r="1445">
      <c r="BF1445" s="78" t="n"/>
      <c r="BG1445" s="78" t="n"/>
      <c r="BH1445" s="78" t="n"/>
      <c r="BI1445" s="78" t="n"/>
      <c r="BJ1445" s="139" t="n"/>
      <c r="BK1445" s="204" t="n"/>
      <c r="BL1445" s="141" t="n"/>
      <c r="BM1445" s="205" t="n"/>
      <c r="BN1445" s="205" t="n"/>
      <c r="BO1445" s="206" t="n"/>
      <c r="BP1445" s="144" t="n"/>
      <c r="BQ1445" s="141" t="n"/>
      <c r="BR1445" s="207" t="n"/>
      <c r="BS1445" s="207" t="n"/>
      <c r="BT1445" s="207" t="n"/>
      <c r="BU1445" s="207" t="n"/>
      <c r="BV1445" s="208" t="n"/>
      <c r="BW1445" s="207" t="n"/>
      <c r="BX1445" s="207" t="n"/>
      <c r="BY1445" s="204" t="n"/>
      <c r="BZ1445" s="148" t="n"/>
      <c r="CA1445" s="204" t="n"/>
      <c r="CB1445" s="208" t="n"/>
      <c r="CC1445" s="139" t="n"/>
      <c r="CD1445" s="204" t="n"/>
      <c r="CE1445" s="204" t="n"/>
      <c r="CF1445" s="207" t="n"/>
      <c r="CG1445" s="208" t="n"/>
      <c r="CH1445" s="207" t="n"/>
      <c r="CI1445" s="208" t="n"/>
      <c r="CJ1445" s="204" t="n"/>
      <c r="CK1445" s="208" t="n"/>
      <c r="CL1445" s="208" t="n"/>
      <c r="CM1445" s="208" t="n"/>
      <c r="CN1445" s="78" t="n"/>
      <c r="CO1445" s="209" t="n"/>
      <c r="CP1445" s="204" t="n"/>
      <c r="CQ1445" s="204" t="n"/>
      <c r="CR1445" s="204" t="n"/>
      <c r="CS1445" s="204" t="n"/>
      <c r="CT1445" s="204" t="n"/>
      <c r="CU1445" s="204" t="n"/>
      <c r="CV1445" s="204" t="n"/>
      <c r="CW1445" s="204" t="n"/>
    </row>
    <row r="1446">
      <c r="BF1446" s="78" t="n"/>
      <c r="BG1446" s="78" t="n"/>
      <c r="BH1446" s="78" t="n"/>
      <c r="BI1446" s="78" t="n"/>
      <c r="BJ1446" s="139" t="n"/>
      <c r="BK1446" s="204" t="n"/>
      <c r="BL1446" s="141" t="n"/>
      <c r="BM1446" s="205" t="n"/>
      <c r="BN1446" s="205" t="n"/>
      <c r="BO1446" s="206" t="n"/>
      <c r="BP1446" s="144" t="n"/>
      <c r="BQ1446" s="141" t="n"/>
      <c r="BR1446" s="207" t="n"/>
      <c r="BS1446" s="207" t="n"/>
      <c r="BT1446" s="207" t="n"/>
      <c r="BU1446" s="207" t="n"/>
      <c r="BV1446" s="208" t="n"/>
      <c r="BW1446" s="207" t="n"/>
      <c r="BX1446" s="207" t="n"/>
      <c r="BY1446" s="204" t="n"/>
      <c r="BZ1446" s="148" t="n"/>
      <c r="CA1446" s="204" t="n"/>
      <c r="CB1446" s="208" t="n"/>
      <c r="CC1446" s="139" t="n"/>
      <c r="CD1446" s="204" t="n"/>
      <c r="CE1446" s="204" t="n"/>
      <c r="CF1446" s="207" t="n"/>
      <c r="CG1446" s="208" t="n"/>
      <c r="CH1446" s="207" t="n"/>
      <c r="CI1446" s="208" t="n"/>
      <c r="CJ1446" s="204" t="n"/>
      <c r="CK1446" s="208" t="n"/>
      <c r="CL1446" s="208" t="n"/>
      <c r="CM1446" s="208" t="n"/>
      <c r="CN1446" s="78" t="n"/>
      <c r="CO1446" s="209" t="n"/>
      <c r="CP1446" s="204" t="n"/>
      <c r="CQ1446" s="204" t="n"/>
      <c r="CR1446" s="204" t="n"/>
      <c r="CS1446" s="204" t="n"/>
      <c r="CT1446" s="204" t="n"/>
      <c r="CU1446" s="204" t="n"/>
      <c r="CV1446" s="204" t="n"/>
      <c r="CW1446" s="204" t="n"/>
    </row>
    <row r="1447">
      <c r="BF1447" s="78" t="n"/>
      <c r="BG1447" s="78" t="n"/>
      <c r="BH1447" s="78" t="n"/>
      <c r="BI1447" s="78" t="n"/>
      <c r="BJ1447" s="139" t="n"/>
      <c r="BK1447" s="204" t="n"/>
      <c r="BL1447" s="141" t="n"/>
      <c r="BM1447" s="205" t="n"/>
      <c r="BN1447" s="205" t="n"/>
      <c r="BO1447" s="206" t="n"/>
      <c r="BP1447" s="144" t="n"/>
      <c r="BQ1447" s="141" t="n"/>
      <c r="BR1447" s="207" t="n"/>
      <c r="BS1447" s="207" t="n"/>
      <c r="BT1447" s="207" t="n"/>
      <c r="BU1447" s="207" t="n"/>
      <c r="BV1447" s="208" t="n"/>
      <c r="BW1447" s="207" t="n"/>
      <c r="BX1447" s="207" t="n"/>
      <c r="BY1447" s="204" t="n"/>
      <c r="BZ1447" s="148" t="n"/>
      <c r="CA1447" s="204" t="n"/>
      <c r="CB1447" s="208" t="n"/>
      <c r="CC1447" s="139" t="n"/>
      <c r="CD1447" s="204" t="n"/>
      <c r="CE1447" s="204" t="n"/>
      <c r="CF1447" s="207" t="n"/>
      <c r="CG1447" s="208" t="n"/>
      <c r="CH1447" s="207" t="n"/>
      <c r="CI1447" s="208" t="n"/>
      <c r="CJ1447" s="204" t="n"/>
      <c r="CK1447" s="208" t="n"/>
      <c r="CL1447" s="208" t="n"/>
      <c r="CM1447" s="208" t="n"/>
      <c r="CN1447" s="78" t="n"/>
      <c r="CO1447" s="209" t="n"/>
      <c r="CP1447" s="204" t="n"/>
      <c r="CQ1447" s="204" t="n"/>
      <c r="CR1447" s="204" t="n"/>
      <c r="CS1447" s="204" t="n"/>
      <c r="CT1447" s="204" t="n"/>
      <c r="CU1447" s="204" t="n"/>
      <c r="CV1447" s="204" t="n"/>
      <c r="CW1447" s="204" t="n"/>
    </row>
    <row r="1448">
      <c r="BF1448" s="78" t="n"/>
      <c r="BG1448" s="78" t="n"/>
      <c r="BH1448" s="78" t="n"/>
      <c r="BI1448" s="78" t="n"/>
      <c r="BJ1448" s="139" t="n"/>
      <c r="BK1448" s="204" t="n"/>
      <c r="BL1448" s="141" t="n"/>
      <c r="BM1448" s="205" t="n"/>
      <c r="BN1448" s="205" t="n"/>
      <c r="BO1448" s="206" t="n"/>
      <c r="BP1448" s="144" t="n"/>
      <c r="BQ1448" s="141" t="n"/>
      <c r="BR1448" s="207" t="n"/>
      <c r="BS1448" s="207" t="n"/>
      <c r="BT1448" s="207" t="n"/>
      <c r="BU1448" s="207" t="n"/>
      <c r="BV1448" s="208" t="n"/>
      <c r="BW1448" s="207" t="n"/>
      <c r="BX1448" s="207" t="n"/>
      <c r="BY1448" s="204" t="n"/>
      <c r="BZ1448" s="148" t="n"/>
      <c r="CA1448" s="204" t="n"/>
      <c r="CB1448" s="208" t="n"/>
      <c r="CC1448" s="139" t="n"/>
      <c r="CD1448" s="204" t="n"/>
      <c r="CE1448" s="204" t="n"/>
      <c r="CF1448" s="207" t="n"/>
      <c r="CG1448" s="208" t="n"/>
      <c r="CH1448" s="207" t="n"/>
      <c r="CI1448" s="208" t="n"/>
      <c r="CJ1448" s="204" t="n"/>
      <c r="CK1448" s="208" t="n"/>
      <c r="CL1448" s="208" t="n"/>
      <c r="CM1448" s="208" t="n"/>
      <c r="CN1448" s="78" t="n"/>
      <c r="CO1448" s="209" t="n"/>
      <c r="CP1448" s="204" t="n"/>
      <c r="CQ1448" s="204" t="n"/>
      <c r="CR1448" s="204" t="n"/>
      <c r="CS1448" s="204" t="n"/>
      <c r="CT1448" s="204" t="n"/>
      <c r="CU1448" s="204" t="n"/>
      <c r="CV1448" s="204" t="n"/>
      <c r="CW1448" s="204" t="n"/>
    </row>
    <row r="1449">
      <c r="BF1449" s="78" t="n"/>
      <c r="BG1449" s="78" t="n"/>
      <c r="BH1449" s="78" t="n"/>
      <c r="BI1449" s="78" t="n"/>
      <c r="BJ1449" s="139" t="n"/>
      <c r="BK1449" s="204" t="n"/>
      <c r="BL1449" s="141" t="n"/>
      <c r="BM1449" s="205" t="n"/>
      <c r="BN1449" s="205" t="n"/>
      <c r="BO1449" s="206" t="n"/>
      <c r="BP1449" s="144" t="n"/>
      <c r="BQ1449" s="141" t="n"/>
      <c r="BR1449" s="207" t="n"/>
      <c r="BS1449" s="207" t="n"/>
      <c r="BT1449" s="207" t="n"/>
      <c r="BU1449" s="207" t="n"/>
      <c r="BV1449" s="208" t="n"/>
      <c r="BW1449" s="207" t="n"/>
      <c r="BX1449" s="207" t="n"/>
      <c r="BY1449" s="204" t="n"/>
      <c r="BZ1449" s="148" t="n"/>
      <c r="CA1449" s="204" t="n"/>
      <c r="CB1449" s="208" t="n"/>
      <c r="CC1449" s="139" t="n"/>
      <c r="CD1449" s="204" t="n"/>
      <c r="CE1449" s="204" t="n"/>
      <c r="CF1449" s="207" t="n"/>
      <c r="CG1449" s="208" t="n"/>
      <c r="CH1449" s="207" t="n"/>
      <c r="CI1449" s="208" t="n"/>
      <c r="CJ1449" s="204" t="n"/>
      <c r="CK1449" s="208" t="n"/>
      <c r="CL1449" s="208" t="n"/>
      <c r="CM1449" s="208" t="n"/>
      <c r="CN1449" s="78" t="n"/>
      <c r="CO1449" s="209" t="n"/>
      <c r="CP1449" s="204" t="n"/>
      <c r="CQ1449" s="204" t="n"/>
      <c r="CR1449" s="204" t="n"/>
      <c r="CS1449" s="204" t="n"/>
      <c r="CT1449" s="204" t="n"/>
      <c r="CU1449" s="204" t="n"/>
      <c r="CV1449" s="204" t="n"/>
      <c r="CW1449" s="204" t="n"/>
    </row>
    <row r="1450">
      <c r="BF1450" s="78" t="n"/>
      <c r="BG1450" s="78" t="n"/>
      <c r="BH1450" s="78" t="n"/>
      <c r="BI1450" s="78" t="n"/>
      <c r="BJ1450" s="139" t="n"/>
      <c r="BK1450" s="204" t="n"/>
      <c r="BL1450" s="141" t="n"/>
      <c r="BM1450" s="205" t="n"/>
      <c r="BN1450" s="205" t="n"/>
      <c r="BO1450" s="206" t="n"/>
      <c r="BP1450" s="144" t="n"/>
      <c r="BQ1450" s="141" t="n"/>
      <c r="BR1450" s="207" t="n"/>
      <c r="BS1450" s="207" t="n"/>
      <c r="BT1450" s="207" t="n"/>
      <c r="BU1450" s="207" t="n"/>
      <c r="BV1450" s="208" t="n"/>
      <c r="BW1450" s="207" t="n"/>
      <c r="BX1450" s="207" t="n"/>
      <c r="BY1450" s="204" t="n"/>
      <c r="BZ1450" s="148" t="n"/>
      <c r="CA1450" s="204" t="n"/>
      <c r="CB1450" s="208" t="n"/>
      <c r="CC1450" s="139" t="n"/>
      <c r="CD1450" s="204" t="n"/>
      <c r="CE1450" s="204" t="n"/>
      <c r="CF1450" s="207" t="n"/>
      <c r="CG1450" s="208" t="n"/>
      <c r="CH1450" s="207" t="n"/>
      <c r="CI1450" s="208" t="n"/>
      <c r="CJ1450" s="204" t="n"/>
      <c r="CK1450" s="208" t="n"/>
      <c r="CL1450" s="208" t="n"/>
      <c r="CM1450" s="208" t="n"/>
      <c r="CN1450" s="78" t="n"/>
      <c r="CO1450" s="209" t="n"/>
      <c r="CP1450" s="204" t="n"/>
      <c r="CQ1450" s="204" t="n"/>
      <c r="CR1450" s="204" t="n"/>
      <c r="CS1450" s="204" t="n"/>
      <c r="CT1450" s="204" t="n"/>
      <c r="CU1450" s="204" t="n"/>
      <c r="CV1450" s="204" t="n"/>
      <c r="CW1450" s="204" t="n"/>
    </row>
    <row r="1451">
      <c r="BF1451" s="78" t="n"/>
      <c r="BG1451" s="78" t="n"/>
      <c r="BH1451" s="78" t="n"/>
      <c r="BI1451" s="78" t="n"/>
      <c r="BJ1451" s="139" t="n"/>
      <c r="BK1451" s="204" t="n"/>
      <c r="BL1451" s="141" t="n"/>
      <c r="BM1451" s="205" t="n"/>
      <c r="BN1451" s="205" t="n"/>
      <c r="BO1451" s="206" t="n"/>
      <c r="BP1451" s="144" t="n"/>
      <c r="BQ1451" s="141" t="n"/>
      <c r="BR1451" s="207" t="n"/>
      <c r="BS1451" s="207" t="n"/>
      <c r="BT1451" s="207" t="n"/>
      <c r="BU1451" s="207" t="n"/>
      <c r="BV1451" s="208" t="n"/>
      <c r="BW1451" s="207" t="n"/>
      <c r="BX1451" s="207" t="n"/>
      <c r="BY1451" s="204" t="n"/>
      <c r="BZ1451" s="148" t="n"/>
      <c r="CA1451" s="204" t="n"/>
      <c r="CB1451" s="208" t="n"/>
      <c r="CC1451" s="139" t="n"/>
      <c r="CD1451" s="204" t="n"/>
      <c r="CE1451" s="204" t="n"/>
      <c r="CF1451" s="207" t="n"/>
      <c r="CG1451" s="208" t="n"/>
      <c r="CH1451" s="207" t="n"/>
      <c r="CI1451" s="208" t="n"/>
      <c r="CJ1451" s="204" t="n"/>
      <c r="CK1451" s="208" t="n"/>
      <c r="CL1451" s="208" t="n"/>
      <c r="CM1451" s="208" t="n"/>
      <c r="CN1451" s="78" t="n"/>
      <c r="CO1451" s="209" t="n"/>
      <c r="CP1451" s="204" t="n"/>
      <c r="CQ1451" s="204" t="n"/>
      <c r="CR1451" s="204" t="n"/>
      <c r="CS1451" s="204" t="n"/>
      <c r="CT1451" s="204" t="n"/>
      <c r="CU1451" s="204" t="n"/>
      <c r="CV1451" s="204" t="n"/>
      <c r="CW1451" s="204" t="n"/>
    </row>
    <row r="1452">
      <c r="BF1452" s="78" t="n"/>
      <c r="BG1452" s="78" t="n"/>
      <c r="BH1452" s="78" t="n"/>
      <c r="BI1452" s="78" t="n"/>
      <c r="BJ1452" s="139" t="n"/>
      <c r="BK1452" s="204" t="n"/>
      <c r="BL1452" s="141" t="n"/>
      <c r="BM1452" s="205" t="n"/>
      <c r="BN1452" s="205" t="n"/>
      <c r="BO1452" s="206" t="n"/>
      <c r="BP1452" s="144" t="n"/>
      <c r="BQ1452" s="141" t="n"/>
      <c r="BR1452" s="207" t="n"/>
      <c r="BS1452" s="207" t="n"/>
      <c r="BT1452" s="207" t="n"/>
      <c r="BU1452" s="207" t="n"/>
      <c r="BV1452" s="208" t="n"/>
      <c r="BW1452" s="207" t="n"/>
      <c r="BX1452" s="207" t="n"/>
      <c r="BY1452" s="204" t="n"/>
      <c r="BZ1452" s="148" t="n"/>
      <c r="CA1452" s="204" t="n"/>
      <c r="CB1452" s="208" t="n"/>
      <c r="CC1452" s="139" t="n"/>
      <c r="CD1452" s="204" t="n"/>
      <c r="CE1452" s="204" t="n"/>
      <c r="CF1452" s="207" t="n"/>
      <c r="CG1452" s="208" t="n"/>
      <c r="CH1452" s="207" t="n"/>
      <c r="CI1452" s="208" t="n"/>
      <c r="CJ1452" s="204" t="n"/>
      <c r="CK1452" s="208" t="n"/>
      <c r="CL1452" s="208" t="n"/>
      <c r="CM1452" s="208" t="n"/>
      <c r="CN1452" s="78" t="n"/>
      <c r="CO1452" s="209" t="n"/>
      <c r="CP1452" s="204" t="n"/>
      <c r="CQ1452" s="204" t="n"/>
      <c r="CR1452" s="204" t="n"/>
      <c r="CS1452" s="204" t="n"/>
      <c r="CT1452" s="204" t="n"/>
      <c r="CU1452" s="204" t="n"/>
      <c r="CV1452" s="204" t="n"/>
      <c r="CW1452" s="204" t="n"/>
    </row>
    <row r="1453">
      <c r="AR1453" s="151" t="n"/>
      <c r="BF1453" s="78" t="n"/>
      <c r="BG1453" s="78" t="n"/>
      <c r="BH1453" s="78" t="n"/>
      <c r="BI1453" s="78" t="n"/>
      <c r="BJ1453" s="139" t="n"/>
      <c r="BK1453" s="204" t="n"/>
      <c r="BL1453" s="141" t="n"/>
      <c r="BM1453" s="205" t="n"/>
      <c r="BN1453" s="205" t="n"/>
      <c r="BO1453" s="206" t="n"/>
      <c r="BP1453" s="144" t="n"/>
      <c r="BQ1453" s="141" t="n"/>
      <c r="BR1453" s="207" t="n"/>
      <c r="BS1453" s="207" t="n"/>
      <c r="BT1453" s="207" t="n"/>
      <c r="BU1453" s="207" t="n"/>
      <c r="BV1453" s="208" t="n"/>
      <c r="BW1453" s="207" t="n"/>
      <c r="BX1453" s="207" t="n"/>
      <c r="BY1453" s="204" t="n"/>
      <c r="BZ1453" s="148" t="n"/>
      <c r="CA1453" s="204" t="n"/>
      <c r="CB1453" s="208" t="n"/>
      <c r="CC1453" s="139" t="n"/>
      <c r="CD1453" s="204" t="n"/>
      <c r="CE1453" s="204" t="n"/>
      <c r="CF1453" s="207" t="n"/>
      <c r="CG1453" s="208" t="n"/>
      <c r="CH1453" s="207" t="n"/>
      <c r="CI1453" s="208" t="n"/>
      <c r="CJ1453" s="204" t="n"/>
      <c r="CK1453" s="208" t="n"/>
      <c r="CL1453" s="208" t="n"/>
      <c r="CM1453" s="208" t="n"/>
      <c r="CN1453" s="78" t="n"/>
      <c r="CO1453" s="209" t="n"/>
      <c r="CP1453" s="204" t="n"/>
      <c r="CQ1453" s="204" t="n"/>
      <c r="CR1453" s="204" t="n"/>
      <c r="CS1453" s="204" t="n"/>
      <c r="CT1453" s="204" t="n"/>
      <c r="CU1453" s="204" t="n"/>
      <c r="CV1453" s="204" t="n"/>
      <c r="CW1453" s="204" t="n"/>
    </row>
    <row r="1454">
      <c r="BF1454" s="78" t="n"/>
      <c r="BG1454" s="78" t="n"/>
      <c r="BH1454" s="78" t="n"/>
      <c r="BI1454" s="78" t="n"/>
      <c r="BJ1454" s="139" t="n"/>
      <c r="BK1454" s="204" t="n"/>
      <c r="BL1454" s="141" t="n"/>
      <c r="BM1454" s="205" t="n"/>
      <c r="BN1454" s="205" t="n"/>
      <c r="BO1454" s="206" t="n"/>
      <c r="BP1454" s="144" t="n"/>
      <c r="BQ1454" s="141" t="n"/>
      <c r="BR1454" s="207" t="n"/>
      <c r="BS1454" s="207" t="n"/>
      <c r="BT1454" s="207" t="n"/>
      <c r="BU1454" s="207" t="n"/>
      <c r="BV1454" s="208" t="n"/>
      <c r="BW1454" s="207" t="n"/>
      <c r="BX1454" s="207" t="n"/>
      <c r="BY1454" s="204" t="n"/>
      <c r="BZ1454" s="148" t="n"/>
      <c r="CA1454" s="204" t="n"/>
      <c r="CB1454" s="208" t="n"/>
      <c r="CC1454" s="139" t="n"/>
      <c r="CD1454" s="204" t="n"/>
      <c r="CE1454" s="204" t="n"/>
      <c r="CF1454" s="207" t="n"/>
      <c r="CG1454" s="208" t="n"/>
      <c r="CH1454" s="207" t="n"/>
      <c r="CI1454" s="208" t="n"/>
      <c r="CJ1454" s="204" t="n"/>
      <c r="CK1454" s="208" t="n"/>
      <c r="CL1454" s="208" t="n"/>
      <c r="CM1454" s="208" t="n"/>
      <c r="CN1454" s="78" t="n"/>
      <c r="CO1454" s="209" t="n"/>
      <c r="CP1454" s="204" t="n"/>
      <c r="CQ1454" s="204" t="n"/>
      <c r="CR1454" s="204" t="n"/>
      <c r="CS1454" s="204" t="n"/>
      <c r="CT1454" s="204" t="n"/>
      <c r="CU1454" s="204" t="n"/>
      <c r="CV1454" s="204" t="n"/>
      <c r="CW1454" s="204" t="n"/>
    </row>
    <row r="1455">
      <c r="BF1455" s="78" t="n"/>
      <c r="BG1455" s="78" t="n"/>
      <c r="BH1455" s="78" t="n"/>
      <c r="BI1455" s="78" t="n"/>
      <c r="BJ1455" s="139" t="n"/>
      <c r="BK1455" s="204" t="n"/>
      <c r="BL1455" s="141" t="n"/>
      <c r="BM1455" s="205" t="n"/>
      <c r="BN1455" s="205" t="n"/>
      <c r="BO1455" s="206" t="n"/>
      <c r="BP1455" s="144" t="n"/>
      <c r="BQ1455" s="141" t="n"/>
      <c r="BR1455" s="207" t="n"/>
      <c r="BS1455" s="207" t="n"/>
      <c r="BT1455" s="207" t="n"/>
      <c r="BU1455" s="207" t="n"/>
      <c r="BV1455" s="208" t="n"/>
      <c r="BW1455" s="207" t="n"/>
      <c r="BX1455" s="207" t="n"/>
      <c r="BY1455" s="204" t="n"/>
      <c r="BZ1455" s="148" t="n"/>
      <c r="CA1455" s="204" t="n"/>
      <c r="CB1455" s="208" t="n"/>
      <c r="CC1455" s="139" t="n"/>
      <c r="CD1455" s="204" t="n"/>
      <c r="CE1455" s="204" t="n"/>
      <c r="CF1455" s="207" t="n"/>
      <c r="CG1455" s="208" t="n"/>
      <c r="CH1455" s="207" t="n"/>
      <c r="CI1455" s="208" t="n"/>
      <c r="CJ1455" s="204" t="n"/>
      <c r="CK1455" s="208" t="n"/>
      <c r="CL1455" s="208" t="n"/>
      <c r="CM1455" s="208" t="n"/>
      <c r="CN1455" s="78" t="n"/>
      <c r="CO1455" s="209" t="n"/>
      <c r="CP1455" s="204" t="n"/>
      <c r="CQ1455" s="204" t="n"/>
      <c r="CR1455" s="204" t="n"/>
      <c r="CS1455" s="204" t="n"/>
      <c r="CT1455" s="204" t="n"/>
      <c r="CU1455" s="204" t="n"/>
      <c r="CV1455" s="204" t="n"/>
      <c r="CW1455" s="204" t="n"/>
    </row>
    <row r="1456">
      <c r="BF1456" s="78" t="n"/>
      <c r="BG1456" s="78" t="n"/>
      <c r="BH1456" s="78" t="n"/>
      <c r="BI1456" s="78" t="n"/>
      <c r="BJ1456" s="139" t="n"/>
      <c r="BK1456" s="204" t="n"/>
      <c r="BL1456" s="141" t="n"/>
      <c r="BM1456" s="205" t="n"/>
      <c r="BN1456" s="205" t="n"/>
      <c r="BO1456" s="206" t="n"/>
      <c r="BP1456" s="144" t="n"/>
      <c r="BQ1456" s="141" t="n"/>
      <c r="BR1456" s="207" t="n"/>
      <c r="BS1456" s="207" t="n"/>
      <c r="BT1456" s="207" t="n"/>
      <c r="BU1456" s="207" t="n"/>
      <c r="BV1456" s="208" t="n"/>
      <c r="BW1456" s="207" t="n"/>
      <c r="BX1456" s="207" t="n"/>
      <c r="BY1456" s="204" t="n"/>
      <c r="BZ1456" s="148" t="n"/>
      <c r="CA1456" s="204" t="n"/>
      <c r="CB1456" s="208" t="n"/>
      <c r="CC1456" s="139" t="n"/>
      <c r="CD1456" s="204" t="n"/>
      <c r="CE1456" s="204" t="n"/>
      <c r="CF1456" s="207" t="n"/>
      <c r="CG1456" s="208" t="n"/>
      <c r="CH1456" s="207" t="n"/>
      <c r="CI1456" s="208" t="n"/>
      <c r="CJ1456" s="204" t="n"/>
      <c r="CK1456" s="208" t="n"/>
      <c r="CL1456" s="208" t="n"/>
      <c r="CM1456" s="208" t="n"/>
      <c r="CN1456" s="78" t="n"/>
      <c r="CO1456" s="209" t="n"/>
      <c r="CP1456" s="204" t="n"/>
      <c r="CQ1456" s="204" t="n"/>
      <c r="CR1456" s="204" t="n"/>
      <c r="CS1456" s="204" t="n"/>
      <c r="CT1456" s="204" t="n"/>
      <c r="CU1456" s="204" t="n"/>
      <c r="CV1456" s="204" t="n"/>
      <c r="CW1456" s="204" t="n"/>
    </row>
    <row r="1457">
      <c r="BF1457" s="78" t="n"/>
      <c r="BG1457" s="78" t="n"/>
      <c r="BH1457" s="78" t="n"/>
      <c r="BI1457" s="78" t="n"/>
      <c r="BJ1457" s="139" t="n"/>
      <c r="BK1457" s="204" t="n"/>
      <c r="BL1457" s="141" t="n"/>
      <c r="BM1457" s="205" t="n"/>
      <c r="BN1457" s="205" t="n"/>
      <c r="BO1457" s="206" t="n"/>
      <c r="BP1457" s="144" t="n"/>
      <c r="BQ1457" s="141" t="n"/>
      <c r="BR1457" s="207" t="n"/>
      <c r="BS1457" s="207" t="n"/>
      <c r="BT1457" s="207" t="n"/>
      <c r="BU1457" s="207" t="n"/>
      <c r="BV1457" s="208" t="n"/>
      <c r="BW1457" s="207" t="n"/>
      <c r="BX1457" s="207" t="n"/>
      <c r="BY1457" s="204" t="n"/>
      <c r="BZ1457" s="148" t="n"/>
      <c r="CA1457" s="204" t="n"/>
      <c r="CB1457" s="208" t="n"/>
      <c r="CC1457" s="139" t="n"/>
      <c r="CD1457" s="204" t="n"/>
      <c r="CE1457" s="204" t="n"/>
      <c r="CF1457" s="207" t="n"/>
      <c r="CG1457" s="208" t="n"/>
      <c r="CH1457" s="207" t="n"/>
      <c r="CI1457" s="208" t="n"/>
      <c r="CJ1457" s="204" t="n"/>
      <c r="CK1457" s="208" t="n"/>
      <c r="CL1457" s="208" t="n"/>
      <c r="CM1457" s="208" t="n"/>
      <c r="CN1457" s="78" t="n"/>
      <c r="CO1457" s="209" t="n"/>
      <c r="CP1457" s="204" t="n"/>
      <c r="CQ1457" s="204" t="n"/>
      <c r="CR1457" s="204" t="n"/>
      <c r="CS1457" s="204" t="n"/>
      <c r="CT1457" s="204" t="n"/>
      <c r="CU1457" s="204" t="n"/>
      <c r="CV1457" s="204" t="n"/>
      <c r="CW1457" s="204" t="n"/>
    </row>
    <row r="1458">
      <c r="BF1458" s="78" t="n"/>
      <c r="BG1458" s="78" t="n"/>
      <c r="BH1458" s="78" t="n"/>
      <c r="BI1458" s="78" t="n"/>
      <c r="BJ1458" s="139" t="n"/>
      <c r="BK1458" s="204" t="n"/>
      <c r="BL1458" s="141" t="n"/>
      <c r="BM1458" s="205" t="n"/>
      <c r="BN1458" s="205" t="n"/>
      <c r="BO1458" s="206" t="n"/>
      <c r="BP1458" s="144" t="n"/>
      <c r="BQ1458" s="141" t="n"/>
      <c r="BR1458" s="207" t="n"/>
      <c r="BS1458" s="207" t="n"/>
      <c r="BT1458" s="207" t="n"/>
      <c r="BU1458" s="207" t="n"/>
      <c r="BV1458" s="208" t="n"/>
      <c r="BW1458" s="207" t="n"/>
      <c r="BX1458" s="207" t="n"/>
      <c r="BY1458" s="204" t="n"/>
      <c r="BZ1458" s="148" t="n"/>
      <c r="CA1458" s="204" t="n"/>
      <c r="CB1458" s="208" t="n"/>
      <c r="CC1458" s="139" t="n"/>
      <c r="CD1458" s="204" t="n"/>
      <c r="CE1458" s="204" t="n"/>
      <c r="CF1458" s="207" t="n"/>
      <c r="CG1458" s="208" t="n"/>
      <c r="CH1458" s="207" t="n"/>
      <c r="CI1458" s="208" t="n"/>
      <c r="CJ1458" s="204" t="n"/>
      <c r="CK1458" s="208" t="n"/>
      <c r="CL1458" s="208" t="n"/>
      <c r="CM1458" s="208" t="n"/>
      <c r="CN1458" s="78" t="n"/>
      <c r="CO1458" s="209" t="n"/>
      <c r="CP1458" s="204" t="n"/>
      <c r="CQ1458" s="204" t="n"/>
      <c r="CR1458" s="204" t="n"/>
      <c r="CS1458" s="204" t="n"/>
      <c r="CT1458" s="204" t="n"/>
      <c r="CU1458" s="204" t="n"/>
      <c r="CV1458" s="204" t="n"/>
      <c r="CW1458" s="204" t="n"/>
    </row>
    <row r="1459">
      <c r="BF1459" s="78" t="n"/>
      <c r="BG1459" s="78" t="n"/>
      <c r="BH1459" s="78" t="n"/>
      <c r="BI1459" s="78" t="n"/>
      <c r="BJ1459" s="139" t="n"/>
      <c r="BK1459" s="204" t="n"/>
      <c r="BL1459" s="141" t="n"/>
      <c r="BM1459" s="205" t="n"/>
      <c r="BN1459" s="205" t="n"/>
      <c r="BO1459" s="206" t="n"/>
      <c r="BP1459" s="144" t="n"/>
      <c r="BQ1459" s="141" t="n"/>
      <c r="BR1459" s="207" t="n"/>
      <c r="BS1459" s="207" t="n"/>
      <c r="BT1459" s="207" t="n"/>
      <c r="BU1459" s="207" t="n"/>
      <c r="BV1459" s="208" t="n"/>
      <c r="BW1459" s="207" t="n"/>
      <c r="BX1459" s="207" t="n"/>
      <c r="BY1459" s="204" t="n"/>
      <c r="BZ1459" s="148" t="n"/>
      <c r="CA1459" s="204" t="n"/>
      <c r="CB1459" s="208" t="n"/>
      <c r="CC1459" s="139" t="n"/>
      <c r="CD1459" s="204" t="n"/>
      <c r="CE1459" s="204" t="n"/>
      <c r="CF1459" s="207" t="n"/>
      <c r="CG1459" s="208" t="n"/>
      <c r="CH1459" s="207" t="n"/>
      <c r="CI1459" s="208" t="n"/>
      <c r="CJ1459" s="204" t="n"/>
      <c r="CK1459" s="208" t="n"/>
      <c r="CL1459" s="208" t="n"/>
      <c r="CM1459" s="208" t="n"/>
      <c r="CN1459" s="78" t="n"/>
      <c r="CO1459" s="209" t="n"/>
      <c r="CP1459" s="204" t="n"/>
      <c r="CQ1459" s="204" t="n"/>
      <c r="CR1459" s="204" t="n"/>
      <c r="CS1459" s="204" t="n"/>
      <c r="CT1459" s="204" t="n"/>
      <c r="CU1459" s="204" t="n"/>
      <c r="CV1459" s="204" t="n"/>
      <c r="CW1459" s="204" t="n"/>
    </row>
    <row r="1460">
      <c r="AR1460" s="151" t="n"/>
      <c r="BF1460" s="78" t="n"/>
      <c r="BG1460" s="78" t="n"/>
      <c r="BH1460" s="78" t="n"/>
      <c r="BI1460" s="78" t="n"/>
      <c r="BJ1460" s="139" t="n"/>
      <c r="BK1460" s="204" t="n"/>
      <c r="BL1460" s="141" t="n"/>
      <c r="BM1460" s="205" t="n"/>
      <c r="BN1460" s="205" t="n"/>
      <c r="BO1460" s="206" t="n"/>
      <c r="BP1460" s="144" t="n"/>
      <c r="BQ1460" s="141" t="n"/>
      <c r="BR1460" s="207" t="n"/>
      <c r="BS1460" s="207" t="n"/>
      <c r="BT1460" s="207" t="n"/>
      <c r="BU1460" s="207" t="n"/>
      <c r="BV1460" s="208" t="n"/>
      <c r="BW1460" s="207" t="n"/>
      <c r="BX1460" s="207" t="n"/>
      <c r="BY1460" s="204" t="n"/>
      <c r="BZ1460" s="148" t="n"/>
      <c r="CA1460" s="204" t="n"/>
      <c r="CB1460" s="208" t="n"/>
      <c r="CC1460" s="139" t="n"/>
      <c r="CD1460" s="204" t="n"/>
      <c r="CE1460" s="204" t="n"/>
      <c r="CF1460" s="207" t="n"/>
      <c r="CG1460" s="208" t="n"/>
      <c r="CH1460" s="207" t="n"/>
      <c r="CI1460" s="208" t="n"/>
      <c r="CJ1460" s="204" t="n"/>
      <c r="CK1460" s="208" t="n"/>
      <c r="CL1460" s="208" t="n"/>
      <c r="CM1460" s="208" t="n"/>
      <c r="CN1460" s="78" t="n"/>
      <c r="CO1460" s="209" t="n"/>
      <c r="CP1460" s="204" t="n"/>
      <c r="CQ1460" s="204" t="n"/>
      <c r="CR1460" s="204" t="n"/>
      <c r="CS1460" s="204" t="n"/>
      <c r="CT1460" s="204" t="n"/>
      <c r="CU1460" s="204" t="n"/>
      <c r="CV1460" s="204" t="n"/>
      <c r="CW1460" s="204" t="n"/>
    </row>
    <row r="1461">
      <c r="BF1461" s="78" t="n"/>
      <c r="BG1461" s="78" t="n"/>
      <c r="BH1461" s="78" t="n"/>
      <c r="BI1461" s="78" t="n"/>
      <c r="BJ1461" s="139" t="n"/>
      <c r="BK1461" s="204" t="n"/>
      <c r="BL1461" s="141" t="n"/>
      <c r="BM1461" s="205" t="n"/>
      <c r="BN1461" s="205" t="n"/>
      <c r="BO1461" s="206" t="n"/>
      <c r="BP1461" s="144" t="n"/>
      <c r="BQ1461" s="141" t="n"/>
      <c r="BR1461" s="207" t="n"/>
      <c r="BS1461" s="207" t="n"/>
      <c r="BT1461" s="207" t="n"/>
      <c r="BU1461" s="207" t="n"/>
      <c r="BV1461" s="208" t="n"/>
      <c r="BW1461" s="207" t="n"/>
      <c r="BX1461" s="207" t="n"/>
      <c r="BY1461" s="204" t="n"/>
      <c r="BZ1461" s="148" t="n"/>
      <c r="CA1461" s="204" t="n"/>
      <c r="CB1461" s="208" t="n"/>
      <c r="CC1461" s="139" t="n"/>
      <c r="CD1461" s="204" t="n"/>
      <c r="CE1461" s="204" t="n"/>
      <c r="CF1461" s="207" t="n"/>
      <c r="CG1461" s="208" t="n"/>
      <c r="CH1461" s="207" t="n"/>
      <c r="CI1461" s="208" t="n"/>
      <c r="CJ1461" s="204" t="n"/>
      <c r="CK1461" s="208" t="n"/>
      <c r="CL1461" s="208" t="n"/>
      <c r="CM1461" s="208" t="n"/>
      <c r="CN1461" s="78" t="n"/>
      <c r="CO1461" s="209" t="n"/>
      <c r="CP1461" s="204" t="n"/>
      <c r="CQ1461" s="204" t="n"/>
      <c r="CR1461" s="204" t="n"/>
      <c r="CS1461" s="204" t="n"/>
      <c r="CT1461" s="204" t="n"/>
      <c r="CU1461" s="204" t="n"/>
      <c r="CV1461" s="204" t="n"/>
      <c r="CW1461" s="204" t="n"/>
    </row>
    <row r="1462">
      <c r="BF1462" s="78" t="n"/>
      <c r="BG1462" s="78" t="n"/>
      <c r="BH1462" s="78" t="n"/>
      <c r="BI1462" s="78" t="n"/>
      <c r="BJ1462" s="139" t="n"/>
      <c r="BK1462" s="204" t="n"/>
      <c r="BL1462" s="141" t="n"/>
      <c r="BM1462" s="205" t="n"/>
      <c r="BN1462" s="205" t="n"/>
      <c r="BO1462" s="206" t="n"/>
      <c r="BP1462" s="144" t="n"/>
      <c r="BQ1462" s="141" t="n"/>
      <c r="BR1462" s="207" t="n"/>
      <c r="BS1462" s="207" t="n"/>
      <c r="BT1462" s="207" t="n"/>
      <c r="BU1462" s="207" t="n"/>
      <c r="BV1462" s="208" t="n"/>
      <c r="BW1462" s="207" t="n"/>
      <c r="BX1462" s="207" t="n"/>
      <c r="BY1462" s="204" t="n"/>
      <c r="BZ1462" s="148" t="n"/>
      <c r="CA1462" s="204" t="n"/>
      <c r="CB1462" s="208" t="n"/>
      <c r="CC1462" s="139" t="n"/>
      <c r="CD1462" s="204" t="n"/>
      <c r="CE1462" s="204" t="n"/>
      <c r="CF1462" s="207" t="n"/>
      <c r="CG1462" s="208" t="n"/>
      <c r="CH1462" s="207" t="n"/>
      <c r="CI1462" s="208" t="n"/>
      <c r="CJ1462" s="204" t="n"/>
      <c r="CK1462" s="208" t="n"/>
      <c r="CL1462" s="208" t="n"/>
      <c r="CM1462" s="208" t="n"/>
      <c r="CN1462" s="78" t="n"/>
      <c r="CO1462" s="209" t="n"/>
      <c r="CP1462" s="204" t="n"/>
      <c r="CQ1462" s="204" t="n"/>
      <c r="CR1462" s="204" t="n"/>
      <c r="CS1462" s="204" t="n"/>
      <c r="CT1462" s="204" t="n"/>
      <c r="CU1462" s="204" t="n"/>
      <c r="CV1462" s="204" t="n"/>
      <c r="CW1462" s="204" t="n"/>
    </row>
    <row r="1463">
      <c r="BF1463" s="78" t="n"/>
      <c r="BG1463" s="78" t="n"/>
      <c r="BH1463" s="78" t="n"/>
      <c r="BI1463" s="78" t="n"/>
      <c r="BJ1463" s="139" t="n"/>
      <c r="BK1463" s="204" t="n"/>
      <c r="BL1463" s="141" t="n"/>
      <c r="BM1463" s="205" t="n"/>
      <c r="BN1463" s="205" t="n"/>
      <c r="BO1463" s="206" t="n"/>
      <c r="BP1463" s="144" t="n"/>
      <c r="BQ1463" s="141" t="n"/>
      <c r="BR1463" s="207" t="n"/>
      <c r="BS1463" s="207" t="n"/>
      <c r="BT1463" s="207" t="n"/>
      <c r="BU1463" s="207" t="n"/>
      <c r="BV1463" s="208" t="n"/>
      <c r="BW1463" s="207" t="n"/>
      <c r="BX1463" s="207" t="n"/>
      <c r="BY1463" s="204" t="n"/>
      <c r="BZ1463" s="148" t="n"/>
      <c r="CA1463" s="204" t="n"/>
      <c r="CB1463" s="208" t="n"/>
      <c r="CC1463" s="139" t="n"/>
      <c r="CD1463" s="204" t="n"/>
      <c r="CE1463" s="204" t="n"/>
      <c r="CF1463" s="207" t="n"/>
      <c r="CG1463" s="208" t="n"/>
      <c r="CH1463" s="207" t="n"/>
      <c r="CI1463" s="208" t="n"/>
      <c r="CJ1463" s="204" t="n"/>
      <c r="CK1463" s="208" t="n"/>
      <c r="CL1463" s="208" t="n"/>
      <c r="CM1463" s="208" t="n"/>
      <c r="CN1463" s="78" t="n"/>
      <c r="CO1463" s="209" t="n"/>
      <c r="CP1463" s="204" t="n"/>
      <c r="CQ1463" s="204" t="n"/>
      <c r="CR1463" s="204" t="n"/>
      <c r="CS1463" s="204" t="n"/>
      <c r="CT1463" s="204" t="n"/>
      <c r="CU1463" s="204" t="n"/>
      <c r="CV1463" s="204" t="n"/>
      <c r="CW1463" s="204" t="n"/>
    </row>
    <row r="1464">
      <c r="BF1464" s="78" t="n"/>
      <c r="BG1464" s="78" t="n"/>
      <c r="BH1464" s="78" t="n"/>
      <c r="BI1464" s="78" t="n"/>
      <c r="BJ1464" s="139" t="n"/>
      <c r="BK1464" s="204" t="n"/>
      <c r="BL1464" s="141" t="n"/>
      <c r="BM1464" s="205" t="n"/>
      <c r="BN1464" s="205" t="n"/>
      <c r="BO1464" s="206" t="n"/>
      <c r="BP1464" s="144" t="n"/>
      <c r="BQ1464" s="141" t="n"/>
      <c r="BR1464" s="207" t="n"/>
      <c r="BS1464" s="207" t="n"/>
      <c r="BT1464" s="207" t="n"/>
      <c r="BU1464" s="207" t="n"/>
      <c r="BV1464" s="208" t="n"/>
      <c r="BW1464" s="207" t="n"/>
      <c r="BX1464" s="207" t="n"/>
      <c r="BY1464" s="204" t="n"/>
      <c r="BZ1464" s="148" t="n"/>
      <c r="CA1464" s="204" t="n"/>
      <c r="CB1464" s="208" t="n"/>
      <c r="CC1464" s="139" t="n"/>
      <c r="CD1464" s="204" t="n"/>
      <c r="CE1464" s="204" t="n"/>
      <c r="CF1464" s="207" t="n"/>
      <c r="CG1464" s="208" t="n"/>
      <c r="CH1464" s="207" t="n"/>
      <c r="CI1464" s="208" t="n"/>
      <c r="CJ1464" s="204" t="n"/>
      <c r="CK1464" s="208" t="n"/>
      <c r="CL1464" s="208" t="n"/>
      <c r="CM1464" s="208" t="n"/>
      <c r="CN1464" s="78" t="n"/>
      <c r="CO1464" s="209" t="n"/>
      <c r="CP1464" s="204" t="n"/>
      <c r="CQ1464" s="204" t="n"/>
      <c r="CR1464" s="204" t="n"/>
      <c r="CS1464" s="204" t="n"/>
      <c r="CT1464" s="204" t="n"/>
      <c r="CU1464" s="204" t="n"/>
      <c r="CV1464" s="204" t="n"/>
      <c r="CW1464" s="204" t="n"/>
    </row>
    <row r="1465">
      <c r="BF1465" s="78" t="n"/>
      <c r="BG1465" s="78" t="n"/>
      <c r="BH1465" s="78" t="n"/>
      <c r="BI1465" s="78" t="n"/>
      <c r="BJ1465" s="139" t="n"/>
      <c r="BK1465" s="204" t="n"/>
      <c r="BL1465" s="141" t="n"/>
      <c r="BM1465" s="205" t="n"/>
      <c r="BN1465" s="205" t="n"/>
      <c r="BO1465" s="206" t="n"/>
      <c r="BP1465" s="144" t="n"/>
      <c r="BQ1465" s="141" t="n"/>
      <c r="BR1465" s="207" t="n"/>
      <c r="BS1465" s="207" t="n"/>
      <c r="BT1465" s="207" t="n"/>
      <c r="BU1465" s="207" t="n"/>
      <c r="BV1465" s="208" t="n"/>
      <c r="BW1465" s="207" t="n"/>
      <c r="BX1465" s="207" t="n"/>
      <c r="BY1465" s="204" t="n"/>
      <c r="BZ1465" s="148" t="n"/>
      <c r="CA1465" s="204" t="n"/>
      <c r="CB1465" s="208" t="n"/>
      <c r="CC1465" s="139" t="n"/>
      <c r="CD1465" s="204" t="n"/>
      <c r="CE1465" s="204" t="n"/>
      <c r="CF1465" s="207" t="n"/>
      <c r="CG1465" s="208" t="n"/>
      <c r="CH1465" s="207" t="n"/>
      <c r="CI1465" s="208" t="n"/>
      <c r="CJ1465" s="204" t="n"/>
      <c r="CK1465" s="208" t="n"/>
      <c r="CL1465" s="208" t="n"/>
      <c r="CM1465" s="208" t="n"/>
      <c r="CN1465" s="78" t="n"/>
      <c r="CO1465" s="209" t="n"/>
      <c r="CP1465" s="204" t="n"/>
      <c r="CQ1465" s="204" t="n"/>
      <c r="CR1465" s="204" t="n"/>
      <c r="CS1465" s="204" t="n"/>
      <c r="CT1465" s="204" t="n"/>
      <c r="CU1465" s="204" t="n"/>
      <c r="CV1465" s="204" t="n"/>
      <c r="CW1465" s="204" t="n"/>
    </row>
    <row r="1466">
      <c r="BF1466" s="78" t="n"/>
      <c r="BG1466" s="78" t="n"/>
      <c r="BH1466" s="78" t="n"/>
      <c r="BI1466" s="78" t="n"/>
      <c r="BJ1466" s="139" t="n"/>
      <c r="BK1466" s="204" t="n"/>
      <c r="BL1466" s="141" t="n"/>
      <c r="BM1466" s="205" t="n"/>
      <c r="BN1466" s="205" t="n"/>
      <c r="BO1466" s="206" t="n"/>
      <c r="BP1466" s="144" t="n"/>
      <c r="BQ1466" s="141" t="n"/>
      <c r="BR1466" s="207" t="n"/>
      <c r="BS1466" s="207" t="n"/>
      <c r="BT1466" s="207" t="n"/>
      <c r="BU1466" s="207" t="n"/>
      <c r="BV1466" s="208" t="n"/>
      <c r="BW1466" s="207" t="n"/>
      <c r="BX1466" s="207" t="n"/>
      <c r="BY1466" s="204" t="n"/>
      <c r="BZ1466" s="148" t="n"/>
      <c r="CA1466" s="204" t="n"/>
      <c r="CB1466" s="208" t="n"/>
      <c r="CC1466" s="139" t="n"/>
      <c r="CD1466" s="204" t="n"/>
      <c r="CE1466" s="204" t="n"/>
      <c r="CF1466" s="207" t="n"/>
      <c r="CG1466" s="208" t="n"/>
      <c r="CH1466" s="207" t="n"/>
      <c r="CI1466" s="208" t="n"/>
      <c r="CJ1466" s="204" t="n"/>
      <c r="CK1466" s="208" t="n"/>
      <c r="CL1466" s="208" t="n"/>
      <c r="CM1466" s="208" t="n"/>
      <c r="CN1466" s="78" t="n"/>
      <c r="CO1466" s="209" t="n"/>
      <c r="CP1466" s="204" t="n"/>
      <c r="CQ1466" s="204" t="n"/>
      <c r="CR1466" s="204" t="n"/>
      <c r="CS1466" s="204" t="n"/>
      <c r="CT1466" s="204" t="n"/>
      <c r="CU1466" s="204" t="n"/>
      <c r="CV1466" s="204" t="n"/>
      <c r="CW1466" s="204" t="n"/>
    </row>
    <row r="1467">
      <c r="BF1467" s="78" t="n"/>
      <c r="BG1467" s="78" t="n"/>
      <c r="BH1467" s="78" t="n"/>
      <c r="BI1467" s="78" t="n"/>
      <c r="BJ1467" s="139" t="n"/>
      <c r="BK1467" s="204" t="n"/>
      <c r="BL1467" s="141" t="n"/>
      <c r="BM1467" s="205" t="n"/>
      <c r="BN1467" s="205" t="n"/>
      <c r="BO1467" s="206" t="n"/>
      <c r="BP1467" s="144" t="n"/>
      <c r="BQ1467" s="141" t="n"/>
      <c r="BR1467" s="207" t="n"/>
      <c r="BS1467" s="207" t="n"/>
      <c r="BT1467" s="207" t="n"/>
      <c r="BU1467" s="207" t="n"/>
      <c r="BV1467" s="208" t="n"/>
      <c r="BW1467" s="207" t="n"/>
      <c r="BX1467" s="207" t="n"/>
      <c r="BY1467" s="204" t="n"/>
      <c r="BZ1467" s="148" t="n"/>
      <c r="CA1467" s="204" t="n"/>
      <c r="CB1467" s="208" t="n"/>
      <c r="CC1467" s="139" t="n"/>
      <c r="CD1467" s="204" t="n"/>
      <c r="CE1467" s="204" t="n"/>
      <c r="CF1467" s="207" t="n"/>
      <c r="CG1467" s="208" t="n"/>
      <c r="CH1467" s="207" t="n"/>
      <c r="CI1467" s="208" t="n"/>
      <c r="CJ1467" s="204" t="n"/>
      <c r="CK1467" s="208" t="n"/>
      <c r="CL1467" s="208" t="n"/>
      <c r="CM1467" s="208" t="n"/>
      <c r="CN1467" s="78" t="n"/>
      <c r="CO1467" s="209" t="n"/>
      <c r="CP1467" s="204" t="n"/>
      <c r="CQ1467" s="204" t="n"/>
      <c r="CR1467" s="204" t="n"/>
      <c r="CS1467" s="204" t="n"/>
      <c r="CT1467" s="204" t="n"/>
      <c r="CU1467" s="204" t="n"/>
      <c r="CV1467" s="204" t="n"/>
      <c r="CW1467" s="204" t="n"/>
    </row>
    <row r="1468">
      <c r="BF1468" s="78" t="n"/>
      <c r="BG1468" s="78" t="n"/>
      <c r="BH1468" s="78" t="n"/>
      <c r="BI1468" s="78" t="n"/>
      <c r="BJ1468" s="139" t="n"/>
      <c r="BK1468" s="204" t="n"/>
      <c r="BL1468" s="141" t="n"/>
      <c r="BM1468" s="205" t="n"/>
      <c r="BN1468" s="205" t="n"/>
      <c r="BO1468" s="206" t="n"/>
      <c r="BP1468" s="144" t="n"/>
      <c r="BQ1468" s="141" t="n"/>
      <c r="BR1468" s="207" t="n"/>
      <c r="BS1468" s="207" t="n"/>
      <c r="BT1468" s="207" t="n"/>
      <c r="BU1468" s="207" t="n"/>
      <c r="BV1468" s="208" t="n"/>
      <c r="BW1468" s="207" t="n"/>
      <c r="BX1468" s="207" t="n"/>
      <c r="BY1468" s="204" t="n"/>
      <c r="BZ1468" s="148" t="n"/>
      <c r="CA1468" s="204" t="n"/>
      <c r="CB1468" s="208" t="n"/>
      <c r="CC1468" s="139" t="n"/>
      <c r="CD1468" s="204" t="n"/>
      <c r="CE1468" s="204" t="n"/>
      <c r="CF1468" s="207" t="n"/>
      <c r="CG1468" s="208" t="n"/>
      <c r="CH1468" s="207" t="n"/>
      <c r="CI1468" s="208" t="n"/>
      <c r="CJ1468" s="204" t="n"/>
      <c r="CK1468" s="208" t="n"/>
      <c r="CL1468" s="208" t="n"/>
      <c r="CM1468" s="208" t="n"/>
      <c r="CN1468" s="78" t="n"/>
      <c r="CO1468" s="209" t="n"/>
      <c r="CP1468" s="204" t="n"/>
      <c r="CQ1468" s="204" t="n"/>
      <c r="CR1468" s="204" t="n"/>
      <c r="CS1468" s="204" t="n"/>
      <c r="CT1468" s="204" t="n"/>
      <c r="CU1468" s="204" t="n"/>
      <c r="CV1468" s="204" t="n"/>
      <c r="CW1468" s="204" t="n"/>
    </row>
    <row r="1469">
      <c r="BF1469" s="78" t="n"/>
      <c r="BG1469" s="78" t="n"/>
      <c r="BH1469" s="78" t="n"/>
      <c r="BI1469" s="78" t="n"/>
      <c r="BJ1469" s="139" t="n"/>
      <c r="BK1469" s="204" t="n"/>
      <c r="BL1469" s="141" t="n"/>
      <c r="BM1469" s="205" t="n"/>
      <c r="BN1469" s="205" t="n"/>
      <c r="BO1469" s="206" t="n"/>
      <c r="BP1469" s="144" t="n"/>
      <c r="BQ1469" s="141" t="n"/>
      <c r="BR1469" s="207" t="n"/>
      <c r="BS1469" s="207" t="n"/>
      <c r="BT1469" s="207" t="n"/>
      <c r="BU1469" s="207" t="n"/>
      <c r="BV1469" s="208" t="n"/>
      <c r="BW1469" s="207" t="n"/>
      <c r="BX1469" s="207" t="n"/>
      <c r="BY1469" s="204" t="n"/>
      <c r="BZ1469" s="148" t="n"/>
      <c r="CA1469" s="204" t="n"/>
      <c r="CB1469" s="208" t="n"/>
      <c r="CC1469" s="139" t="n"/>
      <c r="CD1469" s="204" t="n"/>
      <c r="CE1469" s="204" t="n"/>
      <c r="CF1469" s="207" t="n"/>
      <c r="CG1469" s="208" t="n"/>
      <c r="CH1469" s="207" t="n"/>
      <c r="CI1469" s="208" t="n"/>
      <c r="CJ1469" s="204" t="n"/>
      <c r="CK1469" s="208" t="n"/>
      <c r="CL1469" s="208" t="n"/>
      <c r="CM1469" s="208" t="n"/>
      <c r="CN1469" s="78" t="n"/>
      <c r="CO1469" s="209" t="n"/>
      <c r="CP1469" s="204" t="n"/>
      <c r="CQ1469" s="204" t="n"/>
      <c r="CR1469" s="204" t="n"/>
      <c r="CS1469" s="204" t="n"/>
      <c r="CT1469" s="204" t="n"/>
      <c r="CU1469" s="204" t="n"/>
      <c r="CV1469" s="204" t="n"/>
      <c r="CW1469" s="204" t="n"/>
    </row>
    <row r="1470">
      <c r="BF1470" s="78" t="n"/>
      <c r="BG1470" s="78" t="n"/>
      <c r="BH1470" s="78" t="n"/>
      <c r="BI1470" s="78" t="n"/>
      <c r="BJ1470" s="139" t="n"/>
      <c r="BK1470" s="204" t="n"/>
      <c r="BL1470" s="141" t="n"/>
      <c r="BM1470" s="205" t="n"/>
      <c r="BN1470" s="205" t="n"/>
      <c r="BO1470" s="206" t="n"/>
      <c r="BP1470" s="144" t="n"/>
      <c r="BQ1470" s="141" t="n"/>
      <c r="BR1470" s="207" t="n"/>
      <c r="BS1470" s="207" t="n"/>
      <c r="BT1470" s="207" t="n"/>
      <c r="BU1470" s="207" t="n"/>
      <c r="BV1470" s="208" t="n"/>
      <c r="BW1470" s="207" t="n"/>
      <c r="BX1470" s="207" t="n"/>
      <c r="BY1470" s="204" t="n"/>
      <c r="BZ1470" s="148" t="n"/>
      <c r="CA1470" s="204" t="n"/>
      <c r="CB1470" s="208" t="n"/>
      <c r="CC1470" s="139" t="n"/>
      <c r="CD1470" s="204" t="n"/>
      <c r="CE1470" s="204" t="n"/>
      <c r="CF1470" s="207" t="n"/>
      <c r="CG1470" s="208" t="n"/>
      <c r="CH1470" s="207" t="n"/>
      <c r="CI1470" s="208" t="n"/>
      <c r="CJ1470" s="204" t="n"/>
      <c r="CK1470" s="208" t="n"/>
      <c r="CL1470" s="208" t="n"/>
      <c r="CM1470" s="208" t="n"/>
      <c r="CN1470" s="78" t="n"/>
      <c r="CO1470" s="209" t="n"/>
      <c r="CP1470" s="204" t="n"/>
      <c r="CQ1470" s="204" t="n"/>
      <c r="CR1470" s="204" t="n"/>
      <c r="CS1470" s="204" t="n"/>
      <c r="CT1470" s="204" t="n"/>
      <c r="CU1470" s="204" t="n"/>
      <c r="CV1470" s="204" t="n"/>
      <c r="CW1470" s="204" t="n"/>
    </row>
    <row r="1471">
      <c r="BF1471" s="78" t="n"/>
      <c r="BG1471" s="78" t="n"/>
      <c r="BH1471" s="78" t="n"/>
      <c r="BI1471" s="78" t="n"/>
      <c r="BJ1471" s="139" t="n"/>
      <c r="BK1471" s="204" t="n"/>
      <c r="BL1471" s="141" t="n"/>
      <c r="BM1471" s="205" t="n"/>
      <c r="BN1471" s="205" t="n"/>
      <c r="BO1471" s="206" t="n"/>
      <c r="BP1471" s="144" t="n"/>
      <c r="BQ1471" s="141" t="n"/>
      <c r="BR1471" s="207" t="n"/>
      <c r="BS1471" s="207" t="n"/>
      <c r="BT1471" s="207" t="n"/>
      <c r="BU1471" s="207" t="n"/>
      <c r="BV1471" s="208" t="n"/>
      <c r="BW1471" s="207" t="n"/>
      <c r="BX1471" s="207" t="n"/>
      <c r="BY1471" s="204" t="n"/>
      <c r="BZ1471" s="148" t="n"/>
      <c r="CA1471" s="204" t="n"/>
      <c r="CB1471" s="208" t="n"/>
      <c r="CC1471" s="139" t="n"/>
      <c r="CD1471" s="204" t="n"/>
      <c r="CE1471" s="204" t="n"/>
      <c r="CF1471" s="207" t="n"/>
      <c r="CG1471" s="208" t="n"/>
      <c r="CH1471" s="207" t="n"/>
      <c r="CI1471" s="208" t="n"/>
      <c r="CJ1471" s="204" t="n"/>
      <c r="CK1471" s="208" t="n"/>
      <c r="CL1471" s="208" t="n"/>
      <c r="CM1471" s="208" t="n"/>
      <c r="CN1471" s="78" t="n"/>
      <c r="CO1471" s="209" t="n"/>
      <c r="CP1471" s="204" t="n"/>
      <c r="CQ1471" s="204" t="n"/>
      <c r="CR1471" s="204" t="n"/>
      <c r="CS1471" s="204" t="n"/>
      <c r="CT1471" s="204" t="n"/>
      <c r="CU1471" s="204" t="n"/>
      <c r="CV1471" s="204" t="n"/>
      <c r="CW1471" s="204" t="n"/>
    </row>
    <row r="1472">
      <c r="BF1472" s="78" t="n"/>
      <c r="BG1472" s="78" t="n"/>
      <c r="BH1472" s="78" t="n"/>
      <c r="BI1472" s="78" t="n"/>
      <c r="BJ1472" s="139" t="n"/>
      <c r="BK1472" s="204" t="n"/>
      <c r="BL1472" s="141" t="n"/>
      <c r="BM1472" s="205" t="n"/>
      <c r="BN1472" s="205" t="n"/>
      <c r="BO1472" s="206" t="n"/>
      <c r="BP1472" s="144" t="n"/>
      <c r="BQ1472" s="141" t="n"/>
      <c r="BR1472" s="207" t="n"/>
      <c r="BS1472" s="207" t="n"/>
      <c r="BT1472" s="207" t="n"/>
      <c r="BU1472" s="207" t="n"/>
      <c r="BV1472" s="208" t="n"/>
      <c r="BW1472" s="207" t="n"/>
      <c r="BX1472" s="207" t="n"/>
      <c r="BY1472" s="204" t="n"/>
      <c r="BZ1472" s="148" t="n"/>
      <c r="CA1472" s="204" t="n"/>
      <c r="CB1472" s="208" t="n"/>
      <c r="CC1472" s="139" t="n"/>
      <c r="CD1472" s="204" t="n"/>
      <c r="CE1472" s="204" t="n"/>
      <c r="CF1472" s="207" t="n"/>
      <c r="CG1472" s="208" t="n"/>
      <c r="CH1472" s="207" t="n"/>
      <c r="CI1472" s="208" t="n"/>
      <c r="CJ1472" s="204" t="n"/>
      <c r="CK1472" s="208" t="n"/>
      <c r="CL1472" s="208" t="n"/>
      <c r="CM1472" s="208" t="n"/>
      <c r="CN1472" s="78" t="n"/>
      <c r="CO1472" s="209" t="n"/>
      <c r="CP1472" s="204" t="n"/>
      <c r="CQ1472" s="204" t="n"/>
      <c r="CR1472" s="204" t="n"/>
      <c r="CS1472" s="204" t="n"/>
      <c r="CT1472" s="204" t="n"/>
      <c r="CU1472" s="204" t="n"/>
      <c r="CV1472" s="204" t="n"/>
      <c r="CW1472" s="204" t="n"/>
    </row>
    <row r="1473">
      <c r="BF1473" s="78" t="n"/>
      <c r="BG1473" s="78" t="n"/>
      <c r="BH1473" s="78" t="n"/>
      <c r="BI1473" s="78" t="n"/>
      <c r="BJ1473" s="139" t="n"/>
      <c r="BK1473" s="204" t="n"/>
      <c r="BL1473" s="141" t="n"/>
      <c r="BM1473" s="205" t="n"/>
      <c r="BN1473" s="205" t="n"/>
      <c r="BO1473" s="206" t="n"/>
      <c r="BP1473" s="144" t="n"/>
      <c r="BQ1473" s="141" t="n"/>
      <c r="BR1473" s="207" t="n"/>
      <c r="BS1473" s="207" t="n"/>
      <c r="BT1473" s="207" t="n"/>
      <c r="BU1473" s="207" t="n"/>
      <c r="BV1473" s="208" t="n"/>
      <c r="BW1473" s="207" t="n"/>
      <c r="BX1473" s="207" t="n"/>
      <c r="BY1473" s="204" t="n"/>
      <c r="BZ1473" s="148" t="n"/>
      <c r="CA1473" s="204" t="n"/>
      <c r="CB1473" s="208" t="n"/>
      <c r="CC1473" s="139" t="n"/>
      <c r="CD1473" s="204" t="n"/>
      <c r="CE1473" s="204" t="n"/>
      <c r="CF1473" s="207" t="n"/>
      <c r="CG1473" s="208" t="n"/>
      <c r="CH1473" s="207" t="n"/>
      <c r="CI1473" s="208" t="n"/>
      <c r="CJ1473" s="204" t="n"/>
      <c r="CK1473" s="208" t="n"/>
      <c r="CL1473" s="208" t="n"/>
      <c r="CM1473" s="208" t="n"/>
      <c r="CN1473" s="78" t="n"/>
      <c r="CO1473" s="209" t="n"/>
      <c r="CP1473" s="204" t="n"/>
      <c r="CQ1473" s="204" t="n"/>
      <c r="CR1473" s="204" t="n"/>
      <c r="CS1473" s="204" t="n"/>
      <c r="CT1473" s="204" t="n"/>
      <c r="CU1473" s="204" t="n"/>
      <c r="CV1473" s="204" t="n"/>
      <c r="CW1473" s="204" t="n"/>
    </row>
    <row r="1474">
      <c r="BF1474" s="78" t="n"/>
      <c r="BG1474" s="78" t="n"/>
      <c r="BH1474" s="78" t="n"/>
      <c r="BI1474" s="78" t="n"/>
      <c r="BJ1474" s="139" t="n"/>
      <c r="BK1474" s="204" t="n"/>
      <c r="BL1474" s="141" t="n"/>
      <c r="BM1474" s="205" t="n"/>
      <c r="BN1474" s="205" t="n"/>
      <c r="BO1474" s="206" t="n"/>
      <c r="BP1474" s="144" t="n"/>
      <c r="BQ1474" s="141" t="n"/>
      <c r="BR1474" s="207" t="n"/>
      <c r="BS1474" s="207" t="n"/>
      <c r="BT1474" s="207" t="n"/>
      <c r="BU1474" s="207" t="n"/>
      <c r="BV1474" s="208" t="n"/>
      <c r="BW1474" s="207" t="n"/>
      <c r="BX1474" s="207" t="n"/>
      <c r="BY1474" s="204" t="n"/>
      <c r="BZ1474" s="148" t="n"/>
      <c r="CA1474" s="204" t="n"/>
      <c r="CB1474" s="208" t="n"/>
      <c r="CC1474" s="139" t="n"/>
      <c r="CD1474" s="204" t="n"/>
      <c r="CE1474" s="204" t="n"/>
      <c r="CF1474" s="207" t="n"/>
      <c r="CG1474" s="208" t="n"/>
      <c r="CH1474" s="207" t="n"/>
      <c r="CI1474" s="208" t="n"/>
      <c r="CJ1474" s="204" t="n"/>
      <c r="CK1474" s="208" t="n"/>
      <c r="CL1474" s="208" t="n"/>
      <c r="CM1474" s="208" t="n"/>
      <c r="CN1474" s="78" t="n"/>
      <c r="CO1474" s="209" t="n"/>
      <c r="CP1474" s="204" t="n"/>
      <c r="CQ1474" s="204" t="n"/>
      <c r="CR1474" s="204" t="n"/>
      <c r="CS1474" s="204" t="n"/>
      <c r="CT1474" s="204" t="n"/>
      <c r="CU1474" s="204" t="n"/>
      <c r="CV1474" s="204" t="n"/>
      <c r="CW1474" s="204" t="n"/>
    </row>
    <row r="1475">
      <c r="BF1475" s="78" t="n"/>
      <c r="BG1475" s="78" t="n"/>
      <c r="BH1475" s="78" t="n"/>
      <c r="BI1475" s="78" t="n"/>
      <c r="BJ1475" s="139" t="n"/>
      <c r="BK1475" s="204" t="n"/>
      <c r="BL1475" s="141" t="n"/>
      <c r="BM1475" s="205" t="n"/>
      <c r="BN1475" s="205" t="n"/>
      <c r="BO1475" s="206" t="n"/>
      <c r="BP1475" s="144" t="n"/>
      <c r="BQ1475" s="141" t="n"/>
      <c r="BR1475" s="207" t="n"/>
      <c r="BS1475" s="207" t="n"/>
      <c r="BT1475" s="207" t="n"/>
      <c r="BU1475" s="207" t="n"/>
      <c r="BV1475" s="208" t="n"/>
      <c r="BW1475" s="207" t="n"/>
      <c r="BX1475" s="207" t="n"/>
      <c r="BY1475" s="204" t="n"/>
      <c r="BZ1475" s="148" t="n"/>
      <c r="CA1475" s="204" t="n"/>
      <c r="CB1475" s="208" t="n"/>
      <c r="CC1475" s="139" t="n"/>
      <c r="CD1475" s="204" t="n"/>
      <c r="CE1475" s="204" t="n"/>
      <c r="CF1475" s="207" t="n"/>
      <c r="CG1475" s="208" t="n"/>
      <c r="CH1475" s="207" t="n"/>
      <c r="CI1475" s="208" t="n"/>
      <c r="CJ1475" s="204" t="n"/>
      <c r="CK1475" s="208" t="n"/>
      <c r="CL1475" s="208" t="n"/>
      <c r="CM1475" s="208" t="n"/>
      <c r="CN1475" s="78" t="n"/>
      <c r="CO1475" s="209" t="n"/>
      <c r="CP1475" s="204" t="n"/>
      <c r="CQ1475" s="204" t="n"/>
      <c r="CR1475" s="204" t="n"/>
      <c r="CS1475" s="204" t="n"/>
      <c r="CT1475" s="204" t="n"/>
      <c r="CU1475" s="204" t="n"/>
      <c r="CV1475" s="204" t="n"/>
      <c r="CW1475" s="204" t="n"/>
    </row>
    <row r="1476">
      <c r="BF1476" s="78" t="n"/>
      <c r="BG1476" s="78" t="n"/>
      <c r="BH1476" s="78" t="n"/>
      <c r="BI1476" s="78" t="n"/>
      <c r="BJ1476" s="139" t="n"/>
      <c r="BK1476" s="204" t="n"/>
      <c r="BL1476" s="141" t="n"/>
      <c r="BM1476" s="205" t="n"/>
      <c r="BN1476" s="205" t="n"/>
      <c r="BO1476" s="206" t="n"/>
      <c r="BP1476" s="144" t="n"/>
      <c r="BQ1476" s="141" t="n"/>
      <c r="BR1476" s="207" t="n"/>
      <c r="BS1476" s="207" t="n"/>
      <c r="BT1476" s="207" t="n"/>
      <c r="BU1476" s="207" t="n"/>
      <c r="BV1476" s="208" t="n"/>
      <c r="BW1476" s="207" t="n"/>
      <c r="BX1476" s="207" t="n"/>
      <c r="BY1476" s="204" t="n"/>
      <c r="BZ1476" s="148" t="n"/>
      <c r="CA1476" s="204" t="n"/>
      <c r="CB1476" s="208" t="n"/>
      <c r="CC1476" s="139" t="n"/>
      <c r="CD1476" s="204" t="n"/>
      <c r="CE1476" s="204" t="n"/>
      <c r="CF1476" s="207" t="n"/>
      <c r="CG1476" s="208" t="n"/>
      <c r="CH1476" s="207" t="n"/>
      <c r="CI1476" s="208" t="n"/>
      <c r="CJ1476" s="204" t="n"/>
      <c r="CK1476" s="208" t="n"/>
      <c r="CL1476" s="208" t="n"/>
      <c r="CM1476" s="208" t="n"/>
      <c r="CN1476" s="78" t="n"/>
      <c r="CO1476" s="209" t="n"/>
      <c r="CP1476" s="204" t="n"/>
      <c r="CQ1476" s="204" t="n"/>
      <c r="CR1476" s="204" t="n"/>
      <c r="CS1476" s="204" t="n"/>
      <c r="CT1476" s="204" t="n"/>
      <c r="CU1476" s="204" t="n"/>
      <c r="CV1476" s="204" t="n"/>
      <c r="CW1476" s="204" t="n"/>
    </row>
    <row r="1477">
      <c r="BF1477" s="78" t="n"/>
      <c r="BG1477" s="78" t="n"/>
      <c r="BH1477" s="78" t="n"/>
      <c r="BI1477" s="78" t="n"/>
      <c r="BJ1477" s="139" t="n"/>
      <c r="BK1477" s="204" t="n"/>
      <c r="BL1477" s="141" t="n"/>
      <c r="BM1477" s="205" t="n"/>
      <c r="BN1477" s="205" t="n"/>
      <c r="BO1477" s="206" t="n"/>
      <c r="BP1477" s="144" t="n"/>
      <c r="BQ1477" s="141" t="n"/>
      <c r="BR1477" s="207" t="n"/>
      <c r="BS1477" s="207" t="n"/>
      <c r="BT1477" s="207" t="n"/>
      <c r="BU1477" s="207" t="n"/>
      <c r="BV1477" s="208" t="n"/>
      <c r="BW1477" s="207" t="n"/>
      <c r="BX1477" s="207" t="n"/>
      <c r="BY1477" s="204" t="n"/>
      <c r="BZ1477" s="148" t="n"/>
      <c r="CA1477" s="204" t="n"/>
      <c r="CB1477" s="208" t="n"/>
      <c r="CC1477" s="139" t="n"/>
      <c r="CD1477" s="204" t="n"/>
      <c r="CE1477" s="204" t="n"/>
      <c r="CF1477" s="207" t="n"/>
      <c r="CG1477" s="208" t="n"/>
      <c r="CH1477" s="207" t="n"/>
      <c r="CI1477" s="208" t="n"/>
      <c r="CJ1477" s="204" t="n"/>
      <c r="CK1477" s="208" t="n"/>
      <c r="CL1477" s="208" t="n"/>
      <c r="CM1477" s="208" t="n"/>
      <c r="CN1477" s="78" t="n"/>
      <c r="CO1477" s="209" t="n"/>
      <c r="CP1477" s="204" t="n"/>
      <c r="CQ1477" s="204" t="n"/>
      <c r="CR1477" s="204" t="n"/>
      <c r="CS1477" s="204" t="n"/>
      <c r="CT1477" s="204" t="n"/>
      <c r="CU1477" s="204" t="n"/>
      <c r="CV1477" s="204" t="n"/>
      <c r="CW1477" s="204" t="n"/>
    </row>
    <row r="1478">
      <c r="BF1478" s="78" t="n"/>
      <c r="BG1478" s="78" t="n"/>
      <c r="BH1478" s="78" t="n"/>
      <c r="BI1478" s="78" t="n"/>
      <c r="BJ1478" s="139" t="n"/>
      <c r="BK1478" s="204" t="n"/>
      <c r="BL1478" s="141" t="n"/>
      <c r="BM1478" s="205" t="n"/>
      <c r="BN1478" s="205" t="n"/>
      <c r="BO1478" s="206" t="n"/>
      <c r="BP1478" s="144" t="n"/>
      <c r="BQ1478" s="141" t="n"/>
      <c r="BR1478" s="207" t="n"/>
      <c r="BS1478" s="207" t="n"/>
      <c r="BT1478" s="207" t="n"/>
      <c r="BU1478" s="207" t="n"/>
      <c r="BV1478" s="208" t="n"/>
      <c r="BW1478" s="207" t="n"/>
      <c r="BX1478" s="207" t="n"/>
      <c r="BY1478" s="204" t="n"/>
      <c r="BZ1478" s="148" t="n"/>
      <c r="CA1478" s="204" t="n"/>
      <c r="CB1478" s="208" t="n"/>
      <c r="CC1478" s="139" t="n"/>
      <c r="CD1478" s="204" t="n"/>
      <c r="CE1478" s="204" t="n"/>
      <c r="CF1478" s="207" t="n"/>
      <c r="CG1478" s="208" t="n"/>
      <c r="CH1478" s="207" t="n"/>
      <c r="CI1478" s="208" t="n"/>
      <c r="CJ1478" s="204" t="n"/>
      <c r="CK1478" s="208" t="n"/>
      <c r="CL1478" s="208" t="n"/>
      <c r="CM1478" s="208" t="n"/>
      <c r="CN1478" s="78" t="n"/>
      <c r="CO1478" s="209" t="n"/>
      <c r="CP1478" s="204" t="n"/>
      <c r="CQ1478" s="204" t="n"/>
      <c r="CR1478" s="204" t="n"/>
      <c r="CS1478" s="204" t="n"/>
      <c r="CT1478" s="204" t="n"/>
      <c r="CU1478" s="204" t="n"/>
      <c r="CV1478" s="204" t="n"/>
      <c r="CW1478" s="204" t="n"/>
    </row>
    <row r="1479">
      <c r="BF1479" s="78" t="n"/>
      <c r="BG1479" s="78" t="n"/>
      <c r="BH1479" s="78" t="n"/>
      <c r="BI1479" s="78" t="n"/>
      <c r="BJ1479" s="139" t="n"/>
      <c r="BK1479" s="204" t="n"/>
      <c r="BL1479" s="141" t="n"/>
      <c r="BM1479" s="205" t="n"/>
      <c r="BN1479" s="205" t="n"/>
      <c r="BO1479" s="206" t="n"/>
      <c r="BP1479" s="144" t="n"/>
      <c r="BQ1479" s="141" t="n"/>
      <c r="BR1479" s="207" t="n"/>
      <c r="BS1479" s="207" t="n"/>
      <c r="BT1479" s="207" t="n"/>
      <c r="BU1479" s="207" t="n"/>
      <c r="BV1479" s="208" t="n"/>
      <c r="BW1479" s="207" t="n"/>
      <c r="BX1479" s="207" t="n"/>
      <c r="BY1479" s="204" t="n"/>
      <c r="BZ1479" s="148" t="n"/>
      <c r="CA1479" s="204" t="n"/>
      <c r="CB1479" s="208" t="n"/>
      <c r="CC1479" s="139" t="n"/>
      <c r="CD1479" s="204" t="n"/>
      <c r="CE1479" s="204" t="n"/>
      <c r="CF1479" s="207" t="n"/>
      <c r="CG1479" s="208" t="n"/>
      <c r="CH1479" s="207" t="n"/>
      <c r="CI1479" s="208" t="n"/>
      <c r="CJ1479" s="204" t="n"/>
      <c r="CK1479" s="208" t="n"/>
      <c r="CL1479" s="208" t="n"/>
      <c r="CM1479" s="208" t="n"/>
      <c r="CN1479" s="78" t="n"/>
      <c r="CO1479" s="209" t="n"/>
      <c r="CP1479" s="204" t="n"/>
      <c r="CQ1479" s="204" t="n"/>
      <c r="CR1479" s="204" t="n"/>
      <c r="CS1479" s="204" t="n"/>
      <c r="CT1479" s="204" t="n"/>
      <c r="CU1479" s="204" t="n"/>
      <c r="CV1479" s="204" t="n"/>
      <c r="CW1479" s="204" t="n"/>
    </row>
    <row r="1480">
      <c r="BF1480" s="78" t="n"/>
      <c r="BG1480" s="78" t="n"/>
      <c r="BH1480" s="78" t="n"/>
      <c r="BI1480" s="78" t="n"/>
      <c r="BJ1480" s="139" t="n"/>
      <c r="BK1480" s="204" t="n"/>
      <c r="BL1480" s="141" t="n"/>
      <c r="BM1480" s="205" t="n"/>
      <c r="BN1480" s="205" t="n"/>
      <c r="BO1480" s="206" t="n"/>
      <c r="BP1480" s="144" t="n"/>
      <c r="BQ1480" s="141" t="n"/>
      <c r="BR1480" s="207" t="n"/>
      <c r="BS1480" s="207" t="n"/>
      <c r="BT1480" s="207" t="n"/>
      <c r="BU1480" s="207" t="n"/>
      <c r="BV1480" s="208" t="n"/>
      <c r="BW1480" s="207" t="n"/>
      <c r="BX1480" s="207" t="n"/>
      <c r="BY1480" s="204" t="n"/>
      <c r="BZ1480" s="148" t="n"/>
      <c r="CA1480" s="204" t="n"/>
      <c r="CB1480" s="208" t="n"/>
      <c r="CC1480" s="139" t="n"/>
      <c r="CD1480" s="204" t="n"/>
      <c r="CE1480" s="204" t="n"/>
      <c r="CF1480" s="207" t="n"/>
      <c r="CG1480" s="208" t="n"/>
      <c r="CH1480" s="207" t="n"/>
      <c r="CI1480" s="208" t="n"/>
      <c r="CJ1480" s="204" t="n"/>
      <c r="CK1480" s="208" t="n"/>
      <c r="CL1480" s="208" t="n"/>
      <c r="CM1480" s="208" t="n"/>
      <c r="CN1480" s="78" t="n"/>
      <c r="CO1480" s="209" t="n"/>
      <c r="CP1480" s="204" t="n"/>
      <c r="CQ1480" s="204" t="n"/>
      <c r="CR1480" s="204" t="n"/>
      <c r="CS1480" s="204" t="n"/>
      <c r="CT1480" s="204" t="n"/>
      <c r="CU1480" s="204" t="n"/>
      <c r="CV1480" s="204" t="n"/>
      <c r="CW1480" s="204" t="n"/>
    </row>
    <row r="1481">
      <c r="BF1481" s="78" t="n"/>
      <c r="BG1481" s="78" t="n"/>
      <c r="BH1481" s="78" t="n"/>
      <c r="BI1481" s="78" t="n"/>
      <c r="BJ1481" s="139" t="n"/>
      <c r="BK1481" s="204" t="n"/>
      <c r="BL1481" s="141" t="n"/>
      <c r="BM1481" s="205" t="n"/>
      <c r="BN1481" s="205" t="n"/>
      <c r="BO1481" s="206" t="n"/>
      <c r="BP1481" s="144" t="n"/>
      <c r="BQ1481" s="141" t="n"/>
      <c r="BR1481" s="207" t="n"/>
      <c r="BS1481" s="207" t="n"/>
      <c r="BT1481" s="207" t="n"/>
      <c r="BU1481" s="207" t="n"/>
      <c r="BV1481" s="208" t="n"/>
      <c r="BW1481" s="207" t="n"/>
      <c r="BX1481" s="207" t="n"/>
      <c r="BY1481" s="204" t="n"/>
      <c r="BZ1481" s="148" t="n"/>
      <c r="CA1481" s="204" t="n"/>
      <c r="CB1481" s="208" t="n"/>
      <c r="CC1481" s="139" t="n"/>
      <c r="CD1481" s="204" t="n"/>
      <c r="CE1481" s="204" t="n"/>
      <c r="CF1481" s="207" t="n"/>
      <c r="CG1481" s="208" t="n"/>
      <c r="CH1481" s="207" t="n"/>
      <c r="CI1481" s="208" t="n"/>
      <c r="CJ1481" s="204" t="n"/>
      <c r="CK1481" s="208" t="n"/>
      <c r="CL1481" s="208" t="n"/>
      <c r="CM1481" s="208" t="n"/>
      <c r="CN1481" s="78" t="n"/>
      <c r="CO1481" s="209" t="n"/>
      <c r="CP1481" s="204" t="n"/>
      <c r="CQ1481" s="204" t="n"/>
      <c r="CR1481" s="204" t="n"/>
      <c r="CS1481" s="204" t="n"/>
      <c r="CT1481" s="204" t="n"/>
      <c r="CU1481" s="204" t="n"/>
      <c r="CV1481" s="204" t="n"/>
      <c r="CW1481" s="204" t="n"/>
    </row>
    <row r="1482">
      <c r="BF1482" s="78" t="n"/>
      <c r="BG1482" s="78" t="n"/>
      <c r="BH1482" s="78" t="n"/>
      <c r="BI1482" s="78" t="n"/>
      <c r="BJ1482" s="139" t="n"/>
      <c r="BK1482" s="204" t="n"/>
      <c r="BL1482" s="141" t="n"/>
      <c r="BM1482" s="205" t="n"/>
      <c r="BN1482" s="205" t="n"/>
      <c r="BO1482" s="206" t="n"/>
      <c r="BP1482" s="144" t="n"/>
      <c r="BQ1482" s="141" t="n"/>
      <c r="BR1482" s="207" t="n"/>
      <c r="BS1482" s="207" t="n"/>
      <c r="BT1482" s="207" t="n"/>
      <c r="BU1482" s="207" t="n"/>
      <c r="BV1482" s="208" t="n"/>
      <c r="BW1482" s="207" t="n"/>
      <c r="BX1482" s="207" t="n"/>
      <c r="BY1482" s="204" t="n"/>
      <c r="BZ1482" s="148" t="n"/>
      <c r="CA1482" s="204" t="n"/>
      <c r="CB1482" s="208" t="n"/>
      <c r="CC1482" s="139" t="n"/>
      <c r="CD1482" s="204" t="n"/>
      <c r="CE1482" s="204" t="n"/>
      <c r="CF1482" s="207" t="n"/>
      <c r="CG1482" s="208" t="n"/>
      <c r="CH1482" s="207" t="n"/>
      <c r="CI1482" s="208" t="n"/>
      <c r="CJ1482" s="204" t="n"/>
      <c r="CK1482" s="208" t="n"/>
      <c r="CL1482" s="208" t="n"/>
      <c r="CM1482" s="208" t="n"/>
      <c r="CN1482" s="78" t="n"/>
      <c r="CO1482" s="209" t="n"/>
      <c r="CP1482" s="204" t="n"/>
      <c r="CQ1482" s="204" t="n"/>
      <c r="CR1482" s="204" t="n"/>
      <c r="CS1482" s="204" t="n"/>
      <c r="CT1482" s="204" t="n"/>
      <c r="CU1482" s="204" t="n"/>
      <c r="CV1482" s="204" t="n"/>
      <c r="CW1482" s="204" t="n"/>
    </row>
    <row r="1483">
      <c r="BF1483" s="78" t="n"/>
      <c r="BG1483" s="78" t="n"/>
      <c r="BH1483" s="78" t="n"/>
      <c r="BI1483" s="78" t="n"/>
      <c r="BJ1483" s="139" t="n"/>
      <c r="BK1483" s="204" t="n"/>
      <c r="BL1483" s="141" t="n"/>
      <c r="BM1483" s="205" t="n"/>
      <c r="BN1483" s="205" t="n"/>
      <c r="BO1483" s="206" t="n"/>
      <c r="BP1483" s="144" t="n"/>
      <c r="BQ1483" s="141" t="n"/>
      <c r="BR1483" s="207" t="n"/>
      <c r="BS1483" s="207" t="n"/>
      <c r="BT1483" s="207" t="n"/>
      <c r="BU1483" s="207" t="n"/>
      <c r="BV1483" s="208" t="n"/>
      <c r="BW1483" s="207" t="n"/>
      <c r="BX1483" s="207" t="n"/>
      <c r="BY1483" s="204" t="n"/>
      <c r="BZ1483" s="148" t="n"/>
      <c r="CA1483" s="204" t="n"/>
      <c r="CB1483" s="208" t="n"/>
      <c r="CC1483" s="139" t="n"/>
      <c r="CD1483" s="204" t="n"/>
      <c r="CE1483" s="204" t="n"/>
      <c r="CF1483" s="207" t="n"/>
      <c r="CG1483" s="208" t="n"/>
      <c r="CH1483" s="207" t="n"/>
      <c r="CI1483" s="208" t="n"/>
      <c r="CJ1483" s="204" t="n"/>
      <c r="CK1483" s="208" t="n"/>
      <c r="CL1483" s="208" t="n"/>
      <c r="CM1483" s="208" t="n"/>
      <c r="CN1483" s="78" t="n"/>
      <c r="CO1483" s="209" t="n"/>
      <c r="CP1483" s="204" t="n"/>
      <c r="CQ1483" s="204" t="n"/>
      <c r="CR1483" s="204" t="n"/>
      <c r="CS1483" s="204" t="n"/>
      <c r="CT1483" s="204" t="n"/>
      <c r="CU1483" s="204" t="n"/>
      <c r="CV1483" s="204" t="n"/>
      <c r="CW1483" s="204" t="n"/>
    </row>
    <row r="1484">
      <c r="BF1484" s="78" t="n"/>
      <c r="BG1484" s="78" t="n"/>
      <c r="BH1484" s="78" t="n"/>
      <c r="BI1484" s="78" t="n"/>
      <c r="BJ1484" s="139" t="n"/>
      <c r="BK1484" s="204" t="n"/>
      <c r="BL1484" s="141" t="n"/>
      <c r="BM1484" s="205" t="n"/>
      <c r="BN1484" s="205" t="n"/>
      <c r="BO1484" s="206" t="n"/>
      <c r="BP1484" s="144" t="n"/>
      <c r="BQ1484" s="141" t="n"/>
      <c r="BR1484" s="207" t="n"/>
      <c r="BS1484" s="207" t="n"/>
      <c r="BT1484" s="207" t="n"/>
      <c r="BU1484" s="207" t="n"/>
      <c r="BV1484" s="208" t="n"/>
      <c r="BW1484" s="207" t="n"/>
      <c r="BX1484" s="207" t="n"/>
      <c r="BY1484" s="204" t="n"/>
      <c r="BZ1484" s="148" t="n"/>
      <c r="CA1484" s="204" t="n"/>
      <c r="CB1484" s="208" t="n"/>
      <c r="CC1484" s="139" t="n"/>
      <c r="CD1484" s="204" t="n"/>
      <c r="CE1484" s="204" t="n"/>
      <c r="CF1484" s="207" t="n"/>
      <c r="CG1484" s="208" t="n"/>
      <c r="CH1484" s="207" t="n"/>
      <c r="CI1484" s="208" t="n"/>
      <c r="CJ1484" s="204" t="n"/>
      <c r="CK1484" s="208" t="n"/>
      <c r="CL1484" s="208" t="n"/>
      <c r="CM1484" s="208" t="n"/>
      <c r="CN1484" s="78" t="n"/>
      <c r="CO1484" s="209" t="n"/>
      <c r="CP1484" s="204" t="n"/>
      <c r="CQ1484" s="204" t="n"/>
      <c r="CR1484" s="204" t="n"/>
      <c r="CS1484" s="204" t="n"/>
      <c r="CT1484" s="204" t="n"/>
      <c r="CU1484" s="204" t="n"/>
      <c r="CV1484" s="204" t="n"/>
      <c r="CW1484" s="204" t="n"/>
    </row>
    <row r="1485">
      <c r="BF1485" s="78" t="n"/>
      <c r="BG1485" s="78" t="n"/>
      <c r="BH1485" s="78" t="n"/>
      <c r="BI1485" s="78" t="n"/>
      <c r="BJ1485" s="139" t="n"/>
      <c r="BK1485" s="204" t="n"/>
      <c r="BL1485" s="141" t="n"/>
      <c r="BM1485" s="205" t="n"/>
      <c r="BN1485" s="205" t="n"/>
      <c r="BO1485" s="206" t="n"/>
      <c r="BP1485" s="144" t="n"/>
      <c r="BQ1485" s="141" t="n"/>
      <c r="BR1485" s="207" t="n"/>
      <c r="BS1485" s="207" t="n"/>
      <c r="BT1485" s="207" t="n"/>
      <c r="BU1485" s="207" t="n"/>
      <c r="BV1485" s="208" t="n"/>
      <c r="BW1485" s="207" t="n"/>
      <c r="BX1485" s="207" t="n"/>
      <c r="BY1485" s="204" t="n"/>
      <c r="BZ1485" s="148" t="n"/>
      <c r="CA1485" s="204" t="n"/>
      <c r="CB1485" s="208" t="n"/>
      <c r="CC1485" s="139" t="n"/>
      <c r="CD1485" s="204" t="n"/>
      <c r="CE1485" s="204" t="n"/>
      <c r="CF1485" s="207" t="n"/>
      <c r="CG1485" s="208" t="n"/>
      <c r="CH1485" s="207" t="n"/>
      <c r="CI1485" s="208" t="n"/>
      <c r="CJ1485" s="204" t="n"/>
      <c r="CK1485" s="208" t="n"/>
      <c r="CL1485" s="208" t="n"/>
      <c r="CM1485" s="208" t="n"/>
      <c r="CN1485" s="78" t="n"/>
      <c r="CO1485" s="209" t="n"/>
      <c r="CP1485" s="204" t="n"/>
      <c r="CQ1485" s="204" t="n"/>
      <c r="CR1485" s="204" t="n"/>
      <c r="CS1485" s="204" t="n"/>
      <c r="CT1485" s="204" t="n"/>
      <c r="CU1485" s="204" t="n"/>
      <c r="CV1485" s="204" t="n"/>
      <c r="CW1485" s="204" t="n"/>
    </row>
    <row r="1486">
      <c r="BF1486" s="78" t="n"/>
      <c r="BG1486" s="78" t="n"/>
      <c r="BH1486" s="78" t="n"/>
      <c r="BI1486" s="78" t="n"/>
      <c r="BJ1486" s="139" t="n"/>
      <c r="BK1486" s="204" t="n"/>
      <c r="BL1486" s="141" t="n"/>
      <c r="BM1486" s="205" t="n"/>
      <c r="BN1486" s="205" t="n"/>
      <c r="BO1486" s="206" t="n"/>
      <c r="BP1486" s="144" t="n"/>
      <c r="BQ1486" s="141" t="n"/>
      <c r="BR1486" s="207" t="n"/>
      <c r="BS1486" s="207" t="n"/>
      <c r="BT1486" s="207" t="n"/>
      <c r="BU1486" s="207" t="n"/>
      <c r="BV1486" s="208" t="n"/>
      <c r="BW1486" s="207" t="n"/>
      <c r="BX1486" s="207" t="n"/>
      <c r="BY1486" s="204" t="n"/>
      <c r="BZ1486" s="148" t="n"/>
      <c r="CA1486" s="204" t="n"/>
      <c r="CB1486" s="208" t="n"/>
      <c r="CC1486" s="139" t="n"/>
      <c r="CD1486" s="204" t="n"/>
      <c r="CE1486" s="204" t="n"/>
      <c r="CF1486" s="207" t="n"/>
      <c r="CG1486" s="208" t="n"/>
      <c r="CH1486" s="207" t="n"/>
      <c r="CI1486" s="208" t="n"/>
      <c r="CJ1486" s="204" t="n"/>
      <c r="CK1486" s="208" t="n"/>
      <c r="CL1486" s="208" t="n"/>
      <c r="CM1486" s="208" t="n"/>
      <c r="CN1486" s="78" t="n"/>
      <c r="CO1486" s="209" t="n"/>
      <c r="CP1486" s="204" t="n"/>
      <c r="CQ1486" s="204" t="n"/>
      <c r="CR1486" s="204" t="n"/>
      <c r="CS1486" s="204" t="n"/>
      <c r="CT1486" s="204" t="n"/>
      <c r="CU1486" s="204" t="n"/>
      <c r="CV1486" s="204" t="n"/>
      <c r="CW1486" s="204" t="n"/>
    </row>
    <row r="1487">
      <c r="BF1487" s="78" t="n"/>
      <c r="BG1487" s="78" t="n"/>
      <c r="BH1487" s="78" t="n"/>
      <c r="BI1487" s="78" t="n"/>
      <c r="BJ1487" s="139" t="n"/>
      <c r="BK1487" s="204" t="n"/>
      <c r="BL1487" s="141" t="n"/>
      <c r="BM1487" s="205" t="n"/>
      <c r="BN1487" s="205" t="n"/>
      <c r="BO1487" s="206" t="n"/>
      <c r="BP1487" s="144" t="n"/>
      <c r="BQ1487" s="141" t="n"/>
      <c r="BR1487" s="207" t="n"/>
      <c r="BS1487" s="207" t="n"/>
      <c r="BT1487" s="207" t="n"/>
      <c r="BU1487" s="207" t="n"/>
      <c r="BV1487" s="208" t="n"/>
      <c r="BW1487" s="207" t="n"/>
      <c r="BX1487" s="207" t="n"/>
      <c r="BY1487" s="204" t="n"/>
      <c r="BZ1487" s="148" t="n"/>
      <c r="CA1487" s="204" t="n"/>
      <c r="CB1487" s="208" t="n"/>
      <c r="CC1487" s="139" t="n"/>
      <c r="CD1487" s="204" t="n"/>
      <c r="CE1487" s="204" t="n"/>
      <c r="CF1487" s="207" t="n"/>
      <c r="CG1487" s="208" t="n"/>
      <c r="CH1487" s="207" t="n"/>
      <c r="CI1487" s="208" t="n"/>
      <c r="CJ1487" s="204" t="n"/>
      <c r="CK1487" s="208" t="n"/>
      <c r="CL1487" s="208" t="n"/>
      <c r="CM1487" s="208" t="n"/>
      <c r="CN1487" s="78" t="n"/>
      <c r="CO1487" s="209" t="n"/>
      <c r="CP1487" s="204" t="n"/>
      <c r="CQ1487" s="204" t="n"/>
      <c r="CR1487" s="204" t="n"/>
      <c r="CS1487" s="204" t="n"/>
      <c r="CT1487" s="204" t="n"/>
      <c r="CU1487" s="204" t="n"/>
      <c r="CV1487" s="204" t="n"/>
      <c r="CW1487" s="204" t="n"/>
    </row>
    <row r="1488">
      <c r="BF1488" s="78" t="n"/>
      <c r="BG1488" s="78" t="n"/>
      <c r="BH1488" s="78" t="n"/>
      <c r="BI1488" s="78" t="n"/>
      <c r="BJ1488" s="139" t="n"/>
      <c r="BK1488" s="204" t="n"/>
      <c r="BL1488" s="141" t="n"/>
      <c r="BM1488" s="205" t="n"/>
      <c r="BN1488" s="205" t="n"/>
      <c r="BO1488" s="206" t="n"/>
      <c r="BP1488" s="144" t="n"/>
      <c r="BQ1488" s="141" t="n"/>
      <c r="BR1488" s="207" t="n"/>
      <c r="BS1488" s="207" t="n"/>
      <c r="BT1488" s="207" t="n"/>
      <c r="BU1488" s="207" t="n"/>
      <c r="BV1488" s="208" t="n"/>
      <c r="BW1488" s="207" t="n"/>
      <c r="BX1488" s="207" t="n"/>
      <c r="BY1488" s="204" t="n"/>
      <c r="BZ1488" s="148" t="n"/>
      <c r="CA1488" s="204" t="n"/>
      <c r="CB1488" s="208" t="n"/>
      <c r="CC1488" s="139" t="n"/>
      <c r="CD1488" s="204" t="n"/>
      <c r="CE1488" s="204" t="n"/>
      <c r="CF1488" s="207" t="n"/>
      <c r="CG1488" s="208" t="n"/>
      <c r="CH1488" s="207" t="n"/>
      <c r="CI1488" s="208" t="n"/>
      <c r="CJ1488" s="204" t="n"/>
      <c r="CK1488" s="208" t="n"/>
      <c r="CL1488" s="208" t="n"/>
      <c r="CM1488" s="208" t="n"/>
      <c r="CN1488" s="78" t="n"/>
      <c r="CO1488" s="209" t="n"/>
      <c r="CP1488" s="204" t="n"/>
      <c r="CQ1488" s="204" t="n"/>
      <c r="CR1488" s="204" t="n"/>
      <c r="CS1488" s="204" t="n"/>
      <c r="CT1488" s="204" t="n"/>
      <c r="CU1488" s="204" t="n"/>
      <c r="CV1488" s="204" t="n"/>
      <c r="CW1488" s="204" t="n"/>
    </row>
    <row r="1489">
      <c r="BF1489" s="78" t="n"/>
      <c r="BG1489" s="78" t="n"/>
      <c r="BH1489" s="78" t="n"/>
      <c r="BI1489" s="78" t="n"/>
      <c r="BJ1489" s="139" t="n"/>
      <c r="BK1489" s="204" t="n"/>
      <c r="BL1489" s="141" t="n"/>
      <c r="BM1489" s="205" t="n"/>
      <c r="BN1489" s="205" t="n"/>
      <c r="BO1489" s="206" t="n"/>
      <c r="BP1489" s="144" t="n"/>
      <c r="BQ1489" s="141" t="n"/>
      <c r="BR1489" s="207" t="n"/>
      <c r="BS1489" s="207" t="n"/>
      <c r="BT1489" s="207" t="n"/>
      <c r="BU1489" s="207" t="n"/>
      <c r="BV1489" s="208" t="n"/>
      <c r="BW1489" s="207" t="n"/>
      <c r="BX1489" s="207" t="n"/>
      <c r="BY1489" s="204" t="n"/>
      <c r="BZ1489" s="148" t="n"/>
      <c r="CA1489" s="204" t="n"/>
      <c r="CB1489" s="208" t="n"/>
      <c r="CC1489" s="139" t="n"/>
      <c r="CD1489" s="204" t="n"/>
      <c r="CE1489" s="204" t="n"/>
      <c r="CF1489" s="207" t="n"/>
      <c r="CG1489" s="208" t="n"/>
      <c r="CH1489" s="207" t="n"/>
      <c r="CI1489" s="208" t="n"/>
      <c r="CJ1489" s="204" t="n"/>
      <c r="CK1489" s="208" t="n"/>
      <c r="CL1489" s="208" t="n"/>
      <c r="CM1489" s="208" t="n"/>
      <c r="CN1489" s="78" t="n"/>
      <c r="CO1489" s="209" t="n"/>
      <c r="CP1489" s="204" t="n"/>
      <c r="CQ1489" s="204" t="n"/>
      <c r="CR1489" s="204" t="n"/>
      <c r="CS1489" s="204" t="n"/>
      <c r="CT1489" s="204" t="n"/>
      <c r="CU1489" s="204" t="n"/>
      <c r="CV1489" s="204" t="n"/>
      <c r="CW1489" s="204" t="n"/>
    </row>
    <row r="1490">
      <c r="A1490" s="155" t="n"/>
      <c r="Z1490" s="156" t="n"/>
      <c r="BF1490" s="78" t="n"/>
      <c r="BG1490" s="78" t="n"/>
      <c r="BH1490" s="78" t="n"/>
      <c r="BI1490" s="78" t="n"/>
      <c r="BJ1490" s="139" t="n"/>
      <c r="BK1490" s="204" t="n"/>
      <c r="BL1490" s="141" t="n"/>
      <c r="BM1490" s="205" t="n"/>
      <c r="BN1490" s="205" t="n"/>
      <c r="BO1490" s="206" t="n"/>
      <c r="BP1490" s="144" t="n"/>
      <c r="BQ1490" s="141" t="n"/>
      <c r="BR1490" s="207" t="n"/>
      <c r="BS1490" s="207" t="n"/>
      <c r="BT1490" s="207" t="n"/>
      <c r="BU1490" s="207" t="n"/>
      <c r="BV1490" s="208" t="n"/>
      <c r="BW1490" s="207" t="n"/>
      <c r="BX1490" s="207" t="n"/>
      <c r="BY1490" s="204" t="n"/>
      <c r="BZ1490" s="148" t="n"/>
      <c r="CA1490" s="204" t="n"/>
      <c r="CB1490" s="208" t="n"/>
      <c r="CC1490" s="139" t="n"/>
      <c r="CD1490" s="204" t="n"/>
      <c r="CE1490" s="204" t="n"/>
      <c r="CF1490" s="207" t="n"/>
      <c r="CG1490" s="208" t="n"/>
      <c r="CH1490" s="207" t="n"/>
      <c r="CI1490" s="208" t="n"/>
      <c r="CJ1490" s="204" t="n"/>
      <c r="CK1490" s="208" t="n"/>
      <c r="CL1490" s="208" t="n"/>
      <c r="CM1490" s="208" t="n"/>
      <c r="CN1490" s="78" t="n"/>
      <c r="CO1490" s="209" t="n"/>
      <c r="CP1490" s="204" t="n"/>
      <c r="CQ1490" s="204" t="n"/>
      <c r="CR1490" s="204" t="n"/>
      <c r="CS1490" s="204" t="n"/>
      <c r="CT1490" s="204" t="n"/>
      <c r="CU1490" s="204" t="n"/>
      <c r="CV1490" s="204" t="n"/>
      <c r="CW1490" s="204" t="n"/>
    </row>
    <row r="1491">
      <c r="AR1491" s="151" t="n"/>
      <c r="BF1491" s="78" t="n"/>
      <c r="BG1491" s="78" t="n"/>
      <c r="BH1491" s="78" t="n"/>
      <c r="BI1491" s="78" t="n"/>
      <c r="BJ1491" s="139" t="n"/>
      <c r="BK1491" s="204" t="n"/>
      <c r="BL1491" s="141" t="n"/>
      <c r="BM1491" s="205" t="n"/>
      <c r="BN1491" s="205" t="n"/>
      <c r="BO1491" s="206" t="n"/>
      <c r="BP1491" s="144" t="n"/>
      <c r="BQ1491" s="141" t="n"/>
      <c r="BR1491" s="207" t="n"/>
      <c r="BS1491" s="207" t="n"/>
      <c r="BT1491" s="207" t="n"/>
      <c r="BU1491" s="207" t="n"/>
      <c r="BV1491" s="208" t="n"/>
      <c r="BW1491" s="207" t="n"/>
      <c r="BX1491" s="207" t="n"/>
      <c r="BY1491" s="204" t="n"/>
      <c r="BZ1491" s="148" t="n"/>
      <c r="CA1491" s="204" t="n"/>
      <c r="CB1491" s="208" t="n"/>
      <c r="CC1491" s="139" t="n"/>
      <c r="CD1491" s="204" t="n"/>
      <c r="CE1491" s="204" t="n"/>
      <c r="CF1491" s="207" t="n"/>
      <c r="CG1491" s="208" t="n"/>
      <c r="CH1491" s="207" t="n"/>
      <c r="CI1491" s="208" t="n"/>
      <c r="CJ1491" s="204" t="n"/>
      <c r="CK1491" s="208" t="n"/>
      <c r="CL1491" s="208" t="n"/>
      <c r="CM1491" s="208" t="n"/>
      <c r="CN1491" s="78" t="n"/>
      <c r="CO1491" s="209" t="n"/>
      <c r="CP1491" s="204" t="n"/>
      <c r="CQ1491" s="204" t="n"/>
      <c r="CR1491" s="204" t="n"/>
      <c r="CS1491" s="204" t="n"/>
      <c r="CT1491" s="204" t="n"/>
      <c r="CU1491" s="204" t="n"/>
      <c r="CV1491" s="204" t="n"/>
      <c r="CW1491" s="204" t="n"/>
    </row>
    <row r="1492">
      <c r="AR1492" s="151" t="n"/>
      <c r="BF1492" s="78" t="n"/>
      <c r="BG1492" s="78" t="n"/>
      <c r="BH1492" s="78" t="n"/>
      <c r="BI1492" s="78" t="n"/>
      <c r="BJ1492" s="139" t="n"/>
      <c r="BK1492" s="204" t="n"/>
      <c r="BL1492" s="141" t="n"/>
      <c r="BM1492" s="205" t="n"/>
      <c r="BN1492" s="205" t="n"/>
      <c r="BO1492" s="206" t="n"/>
      <c r="BP1492" s="144" t="n"/>
      <c r="BQ1492" s="141" t="n"/>
      <c r="BR1492" s="207" t="n"/>
      <c r="BS1492" s="207" t="n"/>
      <c r="BT1492" s="207" t="n"/>
      <c r="BU1492" s="207" t="n"/>
      <c r="BV1492" s="208" t="n"/>
      <c r="BW1492" s="207" t="n"/>
      <c r="BX1492" s="207" t="n"/>
      <c r="BY1492" s="204" t="n"/>
      <c r="BZ1492" s="148" t="n"/>
      <c r="CA1492" s="204" t="n"/>
      <c r="CB1492" s="208" t="n"/>
      <c r="CC1492" s="139" t="n"/>
      <c r="CD1492" s="204" t="n"/>
      <c r="CE1492" s="204" t="n"/>
      <c r="CF1492" s="207" t="n"/>
      <c r="CG1492" s="208" t="n"/>
      <c r="CH1492" s="207" t="n"/>
      <c r="CI1492" s="208" t="n"/>
      <c r="CJ1492" s="204" t="n"/>
      <c r="CK1492" s="208" t="n"/>
      <c r="CL1492" s="208" t="n"/>
      <c r="CM1492" s="208" t="n"/>
      <c r="CN1492" s="78" t="n"/>
      <c r="CO1492" s="209" t="n"/>
      <c r="CP1492" s="204" t="n"/>
      <c r="CQ1492" s="204" t="n"/>
      <c r="CR1492" s="204" t="n"/>
      <c r="CS1492" s="204" t="n"/>
      <c r="CT1492" s="204" t="n"/>
      <c r="CU1492" s="204" t="n"/>
      <c r="CV1492" s="204" t="n"/>
      <c r="CW1492" s="204" t="n"/>
    </row>
    <row r="1493">
      <c r="AR1493" s="151" t="n"/>
      <c r="BF1493" s="78" t="n"/>
      <c r="BG1493" s="78" t="n"/>
      <c r="BH1493" s="78" t="n"/>
      <c r="BI1493" s="78" t="n"/>
      <c r="BJ1493" s="139" t="n"/>
      <c r="BK1493" s="204" t="n"/>
      <c r="BL1493" s="141" t="n"/>
      <c r="BM1493" s="205" t="n"/>
      <c r="BN1493" s="205" t="n"/>
      <c r="BO1493" s="206" t="n"/>
      <c r="BP1493" s="144" t="n"/>
      <c r="BQ1493" s="141" t="n"/>
      <c r="BR1493" s="207" t="n"/>
      <c r="BS1493" s="207" t="n"/>
      <c r="BT1493" s="207" t="n"/>
      <c r="BU1493" s="207" t="n"/>
      <c r="BV1493" s="208" t="n"/>
      <c r="BW1493" s="207" t="n"/>
      <c r="BX1493" s="207" t="n"/>
      <c r="BY1493" s="204" t="n"/>
      <c r="BZ1493" s="148" t="n"/>
      <c r="CA1493" s="204" t="n"/>
      <c r="CB1493" s="208" t="n"/>
      <c r="CC1493" s="139" t="n"/>
      <c r="CD1493" s="204" t="n"/>
      <c r="CE1493" s="204" t="n"/>
      <c r="CF1493" s="207" t="n"/>
      <c r="CG1493" s="208" t="n"/>
      <c r="CH1493" s="207" t="n"/>
      <c r="CI1493" s="208" t="n"/>
      <c r="CJ1493" s="204" t="n"/>
      <c r="CK1493" s="208" t="n"/>
      <c r="CL1493" s="208" t="n"/>
      <c r="CM1493" s="208" t="n"/>
      <c r="CN1493" s="78" t="n"/>
      <c r="CO1493" s="209" t="n"/>
      <c r="CP1493" s="204" t="n"/>
      <c r="CQ1493" s="204" t="n"/>
      <c r="CR1493" s="204" t="n"/>
      <c r="CS1493" s="204" t="n"/>
      <c r="CT1493" s="204" t="n"/>
      <c r="CU1493" s="204" t="n"/>
      <c r="CV1493" s="204" t="n"/>
      <c r="CW1493" s="204" t="n"/>
    </row>
    <row r="1494">
      <c r="BF1494" s="78" t="n"/>
      <c r="BG1494" s="78" t="n"/>
      <c r="BH1494" s="78" t="n"/>
      <c r="BI1494" s="78" t="n"/>
      <c r="BJ1494" s="139" t="n"/>
      <c r="BK1494" s="204" t="n"/>
      <c r="BL1494" s="141" t="n"/>
      <c r="BM1494" s="205" t="n"/>
      <c r="BN1494" s="205" t="n"/>
      <c r="BO1494" s="206" t="n"/>
      <c r="BP1494" s="144" t="n"/>
      <c r="BQ1494" s="141" t="n"/>
      <c r="BR1494" s="207" t="n"/>
      <c r="BS1494" s="207" t="n"/>
      <c r="BT1494" s="207" t="n"/>
      <c r="BU1494" s="207" t="n"/>
      <c r="BV1494" s="208" t="n"/>
      <c r="BW1494" s="207" t="n"/>
      <c r="BX1494" s="207" t="n"/>
      <c r="BY1494" s="204" t="n"/>
      <c r="BZ1494" s="148" t="n"/>
      <c r="CA1494" s="204" t="n"/>
      <c r="CB1494" s="208" t="n"/>
      <c r="CC1494" s="139" t="n"/>
      <c r="CD1494" s="204" t="n"/>
      <c r="CE1494" s="204" t="n"/>
      <c r="CF1494" s="207" t="n"/>
      <c r="CG1494" s="208" t="n"/>
      <c r="CH1494" s="207" t="n"/>
      <c r="CI1494" s="208" t="n"/>
      <c r="CJ1494" s="204" t="n"/>
      <c r="CK1494" s="208" t="n"/>
      <c r="CL1494" s="208" t="n"/>
      <c r="CM1494" s="208" t="n"/>
      <c r="CN1494" s="78" t="n"/>
      <c r="CO1494" s="209" t="n"/>
      <c r="CP1494" s="204" t="n"/>
      <c r="CQ1494" s="204" t="n"/>
      <c r="CR1494" s="204" t="n"/>
      <c r="CS1494" s="204" t="n"/>
      <c r="CT1494" s="204" t="n"/>
      <c r="CU1494" s="204" t="n"/>
      <c r="CV1494" s="204" t="n"/>
      <c r="CW1494" s="204" t="n"/>
    </row>
    <row r="1495">
      <c r="BF1495" s="78" t="n"/>
      <c r="BG1495" s="78" t="n"/>
      <c r="BH1495" s="78" t="n"/>
      <c r="BI1495" s="78" t="n"/>
      <c r="BJ1495" s="139" t="n"/>
      <c r="BK1495" s="204" t="n"/>
      <c r="BL1495" s="141" t="n"/>
      <c r="BM1495" s="205" t="n"/>
      <c r="BN1495" s="205" t="n"/>
      <c r="BO1495" s="206" t="n"/>
      <c r="BP1495" s="144" t="n"/>
      <c r="BQ1495" s="141" t="n"/>
      <c r="BR1495" s="207" t="n"/>
      <c r="BS1495" s="207" t="n"/>
      <c r="BT1495" s="207" t="n"/>
      <c r="BU1495" s="207" t="n"/>
      <c r="BV1495" s="208" t="n"/>
      <c r="BW1495" s="207" t="n"/>
      <c r="BX1495" s="207" t="n"/>
      <c r="BY1495" s="204" t="n"/>
      <c r="BZ1495" s="148" t="n"/>
      <c r="CA1495" s="204" t="n"/>
      <c r="CB1495" s="208" t="n"/>
      <c r="CC1495" s="139" t="n"/>
      <c r="CD1495" s="204" t="n"/>
      <c r="CE1495" s="204" t="n"/>
      <c r="CF1495" s="207" t="n"/>
      <c r="CG1495" s="208" t="n"/>
      <c r="CH1495" s="207" t="n"/>
      <c r="CI1495" s="208" t="n"/>
      <c r="CJ1495" s="204" t="n"/>
      <c r="CK1495" s="208" t="n"/>
      <c r="CL1495" s="208" t="n"/>
      <c r="CM1495" s="208" t="n"/>
      <c r="CN1495" s="78" t="n"/>
      <c r="CO1495" s="209" t="n"/>
      <c r="CP1495" s="204" t="n"/>
      <c r="CQ1495" s="204" t="n"/>
      <c r="CR1495" s="204" t="n"/>
      <c r="CS1495" s="204" t="n"/>
      <c r="CT1495" s="204" t="n"/>
      <c r="CU1495" s="204" t="n"/>
      <c r="CV1495" s="204" t="n"/>
      <c r="CW1495" s="204" t="n"/>
    </row>
    <row r="1496">
      <c r="BF1496" s="78" t="n"/>
      <c r="BG1496" s="78" t="n"/>
      <c r="BH1496" s="78" t="n"/>
      <c r="BI1496" s="78" t="n"/>
      <c r="BJ1496" s="139" t="n"/>
      <c r="BK1496" s="204" t="n"/>
      <c r="BL1496" s="141" t="n"/>
      <c r="BM1496" s="205" t="n"/>
      <c r="BN1496" s="205" t="n"/>
      <c r="BO1496" s="206" t="n"/>
      <c r="BP1496" s="144" t="n"/>
      <c r="BQ1496" s="141" t="n"/>
      <c r="BR1496" s="207" t="n"/>
      <c r="BS1496" s="207" t="n"/>
      <c r="BT1496" s="207" t="n"/>
      <c r="BU1496" s="207" t="n"/>
      <c r="BV1496" s="208" t="n"/>
      <c r="BW1496" s="207" t="n"/>
      <c r="BX1496" s="207" t="n"/>
      <c r="BY1496" s="204" t="n"/>
      <c r="BZ1496" s="148" t="n"/>
      <c r="CA1496" s="204" t="n"/>
      <c r="CB1496" s="208" t="n"/>
      <c r="CC1496" s="139" t="n"/>
      <c r="CD1496" s="204" t="n"/>
      <c r="CE1496" s="204" t="n"/>
      <c r="CF1496" s="207" t="n"/>
      <c r="CG1496" s="208" t="n"/>
      <c r="CH1496" s="207" t="n"/>
      <c r="CI1496" s="208" t="n"/>
      <c r="CJ1496" s="204" t="n"/>
      <c r="CK1496" s="208" t="n"/>
      <c r="CL1496" s="208" t="n"/>
      <c r="CM1496" s="208" t="n"/>
      <c r="CN1496" s="78" t="n"/>
      <c r="CO1496" s="209" t="n"/>
      <c r="CP1496" s="204" t="n"/>
      <c r="CQ1496" s="204" t="n"/>
      <c r="CR1496" s="204" t="n"/>
      <c r="CS1496" s="204" t="n"/>
      <c r="CT1496" s="204" t="n"/>
      <c r="CU1496" s="204" t="n"/>
      <c r="CV1496" s="204" t="n"/>
      <c r="CW1496" s="204" t="n"/>
    </row>
    <row r="1497">
      <c r="AR1497" s="151" t="n"/>
      <c r="BF1497" s="78" t="n"/>
      <c r="BG1497" s="78" t="n"/>
      <c r="BH1497" s="78" t="n"/>
      <c r="BI1497" s="78" t="n"/>
      <c r="BJ1497" s="139" t="n"/>
      <c r="BK1497" s="204" t="n"/>
      <c r="BL1497" s="141" t="n"/>
      <c r="BM1497" s="205" t="n"/>
      <c r="BN1497" s="205" t="n"/>
      <c r="BO1497" s="206" t="n"/>
      <c r="BP1497" s="144" t="n"/>
      <c r="BQ1497" s="141" t="n"/>
      <c r="BR1497" s="207" t="n"/>
      <c r="BS1497" s="207" t="n"/>
      <c r="BT1497" s="207" t="n"/>
      <c r="BU1497" s="207" t="n"/>
      <c r="BV1497" s="208" t="n"/>
      <c r="BW1497" s="207" t="n"/>
      <c r="BX1497" s="207" t="n"/>
      <c r="BY1497" s="204" t="n"/>
      <c r="BZ1497" s="148" t="n"/>
      <c r="CA1497" s="204" t="n"/>
      <c r="CB1497" s="208" t="n"/>
      <c r="CC1497" s="139" t="n"/>
      <c r="CD1497" s="204" t="n"/>
      <c r="CE1497" s="204" t="n"/>
      <c r="CF1497" s="207" t="n"/>
      <c r="CG1497" s="208" t="n"/>
      <c r="CH1497" s="207" t="n"/>
      <c r="CI1497" s="208" t="n"/>
      <c r="CJ1497" s="204" t="n"/>
      <c r="CK1497" s="208" t="n"/>
      <c r="CL1497" s="208" t="n"/>
      <c r="CM1497" s="208" t="n"/>
      <c r="CN1497" s="78" t="n"/>
      <c r="CO1497" s="209" t="n"/>
      <c r="CP1497" s="204" t="n"/>
      <c r="CQ1497" s="204" t="n"/>
      <c r="CR1497" s="204" t="n"/>
      <c r="CS1497" s="204" t="n"/>
      <c r="CT1497" s="204" t="n"/>
      <c r="CU1497" s="204" t="n"/>
      <c r="CV1497" s="204" t="n"/>
      <c r="CW1497" s="204" t="n"/>
    </row>
    <row r="1498">
      <c r="BF1498" s="78" t="n"/>
      <c r="BG1498" s="78" t="n"/>
      <c r="BH1498" s="78" t="n"/>
      <c r="BI1498" s="78" t="n"/>
      <c r="BJ1498" s="139" t="n"/>
      <c r="BK1498" s="204" t="n"/>
      <c r="BL1498" s="141" t="n"/>
      <c r="BM1498" s="205" t="n"/>
      <c r="BN1498" s="205" t="n"/>
      <c r="BO1498" s="206" t="n"/>
      <c r="BP1498" s="144" t="n"/>
      <c r="BQ1498" s="141" t="n"/>
      <c r="BR1498" s="207" t="n"/>
      <c r="BS1498" s="207" t="n"/>
      <c r="BT1498" s="207" t="n"/>
      <c r="BU1498" s="207" t="n"/>
      <c r="BV1498" s="208" t="n"/>
      <c r="BW1498" s="207" t="n"/>
      <c r="BX1498" s="207" t="n"/>
      <c r="BY1498" s="204" t="n"/>
      <c r="BZ1498" s="148" t="n"/>
      <c r="CA1498" s="204" t="n"/>
      <c r="CB1498" s="208" t="n"/>
      <c r="CC1498" s="139" t="n"/>
      <c r="CD1498" s="204" t="n"/>
      <c r="CE1498" s="204" t="n"/>
      <c r="CF1498" s="207" t="n"/>
      <c r="CG1498" s="208" t="n"/>
      <c r="CH1498" s="207" t="n"/>
      <c r="CI1498" s="208" t="n"/>
      <c r="CJ1498" s="204" t="n"/>
      <c r="CK1498" s="208" t="n"/>
      <c r="CL1498" s="208" t="n"/>
      <c r="CM1498" s="208" t="n"/>
      <c r="CN1498" s="78" t="n"/>
      <c r="CO1498" s="209" t="n"/>
      <c r="CP1498" s="204" t="n"/>
      <c r="CQ1498" s="204" t="n"/>
      <c r="CR1498" s="204" t="n"/>
      <c r="CS1498" s="204" t="n"/>
      <c r="CT1498" s="204" t="n"/>
      <c r="CU1498" s="204" t="n"/>
      <c r="CV1498" s="204" t="n"/>
      <c r="CW1498" s="204" t="n"/>
    </row>
    <row r="1499">
      <c r="BF1499" s="78" t="n"/>
      <c r="BG1499" s="78" t="n"/>
      <c r="BH1499" s="78" t="n"/>
      <c r="BI1499" s="78" t="n"/>
      <c r="BJ1499" s="139" t="n"/>
      <c r="BK1499" s="204" t="n"/>
      <c r="BL1499" s="141" t="n"/>
      <c r="BM1499" s="205" t="n"/>
      <c r="BN1499" s="205" t="n"/>
      <c r="BO1499" s="206" t="n"/>
      <c r="BP1499" s="144" t="n"/>
      <c r="BQ1499" s="141" t="n"/>
      <c r="BR1499" s="207" t="n"/>
      <c r="BS1499" s="207" t="n"/>
      <c r="BT1499" s="207" t="n"/>
      <c r="BU1499" s="207" t="n"/>
      <c r="BV1499" s="208" t="n"/>
      <c r="BW1499" s="207" t="n"/>
      <c r="BX1499" s="207" t="n"/>
      <c r="BY1499" s="204" t="n"/>
      <c r="BZ1499" s="148" t="n"/>
      <c r="CA1499" s="204" t="n"/>
      <c r="CB1499" s="208" t="n"/>
      <c r="CC1499" s="139" t="n"/>
      <c r="CD1499" s="204" t="n"/>
      <c r="CE1499" s="204" t="n"/>
      <c r="CF1499" s="207" t="n"/>
      <c r="CG1499" s="208" t="n"/>
      <c r="CH1499" s="207" t="n"/>
      <c r="CI1499" s="208" t="n"/>
      <c r="CJ1499" s="204" t="n"/>
      <c r="CK1499" s="208" t="n"/>
      <c r="CL1499" s="208" t="n"/>
      <c r="CM1499" s="208" t="n"/>
      <c r="CN1499" s="78" t="n"/>
      <c r="CO1499" s="209" t="n"/>
      <c r="CP1499" s="204" t="n"/>
      <c r="CQ1499" s="204" t="n"/>
      <c r="CR1499" s="204" t="n"/>
      <c r="CS1499" s="204" t="n"/>
      <c r="CT1499" s="204" t="n"/>
      <c r="CU1499" s="204" t="n"/>
      <c r="CV1499" s="204" t="n"/>
      <c r="CW1499" s="204" t="n"/>
    </row>
    <row r="1500">
      <c r="BF1500" s="78" t="n"/>
      <c r="BG1500" s="78" t="n"/>
      <c r="BH1500" s="78" t="n"/>
      <c r="BI1500" s="78" t="n"/>
      <c r="BJ1500" s="139" t="n"/>
      <c r="BK1500" s="204" t="n"/>
      <c r="BL1500" s="141" t="n"/>
      <c r="BM1500" s="205" t="n"/>
      <c r="BN1500" s="205" t="n"/>
      <c r="BO1500" s="206" t="n"/>
      <c r="BP1500" s="144" t="n"/>
      <c r="BQ1500" s="141" t="n"/>
      <c r="BR1500" s="207" t="n"/>
      <c r="BS1500" s="207" t="n"/>
      <c r="BT1500" s="207" t="n"/>
      <c r="BU1500" s="207" t="n"/>
      <c r="BV1500" s="208" t="n"/>
      <c r="BW1500" s="207" t="n"/>
      <c r="BX1500" s="207" t="n"/>
      <c r="BY1500" s="204" t="n"/>
      <c r="BZ1500" s="148" t="n"/>
      <c r="CA1500" s="204" t="n"/>
      <c r="CB1500" s="208" t="n"/>
      <c r="CC1500" s="139" t="n"/>
      <c r="CD1500" s="204" t="n"/>
      <c r="CE1500" s="204" t="n"/>
      <c r="CF1500" s="207" t="n"/>
      <c r="CG1500" s="208" t="n"/>
      <c r="CH1500" s="207" t="n"/>
      <c r="CI1500" s="208" t="n"/>
      <c r="CJ1500" s="204" t="n"/>
      <c r="CK1500" s="208" t="n"/>
      <c r="CL1500" s="208" t="n"/>
      <c r="CM1500" s="208" t="n"/>
      <c r="CN1500" s="78" t="n"/>
      <c r="CO1500" s="209" t="n"/>
      <c r="CP1500" s="204" t="n"/>
      <c r="CQ1500" s="204" t="n"/>
      <c r="CR1500" s="204" t="n"/>
      <c r="CS1500" s="204" t="n"/>
      <c r="CT1500" s="204" t="n"/>
      <c r="CU1500" s="204" t="n"/>
      <c r="CV1500" s="204" t="n"/>
      <c r="CW1500" s="204" t="n"/>
    </row>
    <row r="1501">
      <c r="BF1501" s="78" t="n"/>
      <c r="BG1501" s="78" t="n"/>
      <c r="BH1501" s="78" t="n"/>
      <c r="BI1501" s="78" t="n"/>
      <c r="BJ1501" s="139" t="n"/>
      <c r="BK1501" s="204" t="n"/>
      <c r="BL1501" s="141" t="n"/>
      <c r="BM1501" s="205" t="n"/>
      <c r="BN1501" s="205" t="n"/>
      <c r="BO1501" s="206" t="n"/>
      <c r="BP1501" s="144" t="n"/>
      <c r="BQ1501" s="141" t="n"/>
      <c r="BR1501" s="207" t="n"/>
      <c r="BS1501" s="207" t="n"/>
      <c r="BT1501" s="207" t="n"/>
      <c r="BU1501" s="207" t="n"/>
      <c r="BV1501" s="208" t="n"/>
      <c r="BW1501" s="207" t="n"/>
      <c r="BX1501" s="207" t="n"/>
      <c r="BY1501" s="204" t="n"/>
      <c r="BZ1501" s="148" t="n"/>
      <c r="CA1501" s="204" t="n"/>
      <c r="CB1501" s="208" t="n"/>
      <c r="CC1501" s="139" t="n"/>
      <c r="CD1501" s="204" t="n"/>
      <c r="CE1501" s="204" t="n"/>
      <c r="CF1501" s="207" t="n"/>
      <c r="CG1501" s="208" t="n"/>
      <c r="CH1501" s="207" t="n"/>
      <c r="CI1501" s="208" t="n"/>
      <c r="CJ1501" s="204" t="n"/>
      <c r="CK1501" s="208" t="n"/>
      <c r="CL1501" s="208" t="n"/>
      <c r="CM1501" s="208" t="n"/>
      <c r="CN1501" s="78" t="n"/>
      <c r="CO1501" s="209" t="n"/>
      <c r="CP1501" s="204" t="n"/>
      <c r="CQ1501" s="204" t="n"/>
      <c r="CR1501" s="204" t="n"/>
      <c r="CS1501" s="204" t="n"/>
      <c r="CT1501" s="204" t="n"/>
      <c r="CU1501" s="204" t="n"/>
      <c r="CV1501" s="204" t="n"/>
      <c r="CW1501" s="204" t="n"/>
    </row>
    <row r="1502">
      <c r="BF1502" s="78" t="n"/>
      <c r="BG1502" s="78" t="n"/>
      <c r="BH1502" s="78" t="n"/>
      <c r="BI1502" s="78" t="n"/>
      <c r="BJ1502" s="139" t="n"/>
      <c r="BK1502" s="204" t="n"/>
      <c r="BL1502" s="141" t="n"/>
      <c r="BM1502" s="205" t="n"/>
      <c r="BN1502" s="205" t="n"/>
      <c r="BO1502" s="206" t="n"/>
      <c r="BP1502" s="144" t="n"/>
      <c r="BQ1502" s="141" t="n"/>
      <c r="BR1502" s="207" t="n"/>
      <c r="BS1502" s="207" t="n"/>
      <c r="BT1502" s="207" t="n"/>
      <c r="BU1502" s="207" t="n"/>
      <c r="BV1502" s="208" t="n"/>
      <c r="BW1502" s="207" t="n"/>
      <c r="BX1502" s="207" t="n"/>
      <c r="BY1502" s="204" t="n"/>
      <c r="BZ1502" s="148" t="n"/>
      <c r="CA1502" s="204" t="n"/>
      <c r="CB1502" s="208" t="n"/>
      <c r="CC1502" s="139" t="n"/>
      <c r="CD1502" s="204" t="n"/>
      <c r="CE1502" s="204" t="n"/>
      <c r="CF1502" s="207" t="n"/>
      <c r="CG1502" s="208" t="n"/>
      <c r="CH1502" s="207" t="n"/>
      <c r="CI1502" s="208" t="n"/>
      <c r="CJ1502" s="204" t="n"/>
      <c r="CK1502" s="208" t="n"/>
      <c r="CL1502" s="208" t="n"/>
      <c r="CM1502" s="208" t="n"/>
      <c r="CN1502" s="78" t="n"/>
      <c r="CO1502" s="209" t="n"/>
      <c r="CP1502" s="204" t="n"/>
      <c r="CQ1502" s="204" t="n"/>
      <c r="CR1502" s="204" t="n"/>
      <c r="CS1502" s="204" t="n"/>
      <c r="CT1502" s="204" t="n"/>
      <c r="CU1502" s="204" t="n"/>
      <c r="CV1502" s="204" t="n"/>
      <c r="CW1502" s="204" t="n"/>
    </row>
    <row r="1503">
      <c r="BF1503" s="78" t="n"/>
      <c r="BG1503" s="78" t="n"/>
      <c r="BH1503" s="78" t="n"/>
      <c r="BI1503" s="78" t="n"/>
      <c r="BJ1503" s="139" t="n"/>
      <c r="BK1503" s="204" t="n"/>
      <c r="BL1503" s="141" t="n"/>
      <c r="BM1503" s="205" t="n"/>
      <c r="BN1503" s="205" t="n"/>
      <c r="BO1503" s="206" t="n"/>
      <c r="BP1503" s="144" t="n"/>
      <c r="BQ1503" s="141" t="n"/>
      <c r="BR1503" s="207" t="n"/>
      <c r="BS1503" s="207" t="n"/>
      <c r="BT1503" s="207" t="n"/>
      <c r="BU1503" s="207" t="n"/>
      <c r="BV1503" s="208" t="n"/>
      <c r="BW1503" s="207" t="n"/>
      <c r="BX1503" s="207" t="n"/>
      <c r="BY1503" s="204" t="n"/>
      <c r="BZ1503" s="148" t="n"/>
      <c r="CA1503" s="204" t="n"/>
      <c r="CB1503" s="208" t="n"/>
      <c r="CC1503" s="139" t="n"/>
      <c r="CD1503" s="204" t="n"/>
      <c r="CE1503" s="204" t="n"/>
      <c r="CF1503" s="207" t="n"/>
      <c r="CG1503" s="208" t="n"/>
      <c r="CH1503" s="207" t="n"/>
      <c r="CI1503" s="208" t="n"/>
      <c r="CJ1503" s="204" t="n"/>
      <c r="CK1503" s="208" t="n"/>
      <c r="CL1503" s="208" t="n"/>
      <c r="CM1503" s="208" t="n"/>
      <c r="CN1503" s="78" t="n"/>
      <c r="CO1503" s="209" t="n"/>
      <c r="CP1503" s="204" t="n"/>
      <c r="CQ1503" s="204" t="n"/>
      <c r="CR1503" s="204" t="n"/>
      <c r="CS1503" s="204" t="n"/>
      <c r="CT1503" s="204" t="n"/>
      <c r="CU1503" s="204" t="n"/>
      <c r="CV1503" s="204" t="n"/>
      <c r="CW1503" s="204" t="n"/>
    </row>
    <row r="1504">
      <c r="BF1504" s="78" t="n"/>
      <c r="BG1504" s="78" t="n"/>
      <c r="BH1504" s="78" t="n"/>
      <c r="BI1504" s="78" t="n"/>
      <c r="BJ1504" s="139" t="n"/>
      <c r="BK1504" s="204" t="n"/>
      <c r="BL1504" s="141" t="n"/>
      <c r="BM1504" s="205" t="n"/>
      <c r="BN1504" s="205" t="n"/>
      <c r="BO1504" s="206" t="n"/>
      <c r="BP1504" s="144" t="n"/>
      <c r="BQ1504" s="141" t="n"/>
      <c r="BR1504" s="207" t="n"/>
      <c r="BS1504" s="207" t="n"/>
      <c r="BT1504" s="207" t="n"/>
      <c r="BU1504" s="207" t="n"/>
      <c r="BV1504" s="208" t="n"/>
      <c r="BW1504" s="207" t="n"/>
      <c r="BX1504" s="207" t="n"/>
      <c r="BY1504" s="204" t="n"/>
      <c r="BZ1504" s="148" t="n"/>
      <c r="CA1504" s="204" t="n"/>
      <c r="CB1504" s="208" t="n"/>
      <c r="CC1504" s="139" t="n"/>
      <c r="CD1504" s="204" t="n"/>
      <c r="CE1504" s="204" t="n"/>
      <c r="CF1504" s="207" t="n"/>
      <c r="CG1504" s="208" t="n"/>
      <c r="CH1504" s="207" t="n"/>
      <c r="CI1504" s="208" t="n"/>
      <c r="CJ1504" s="204" t="n"/>
      <c r="CK1504" s="208" t="n"/>
      <c r="CL1504" s="208" t="n"/>
      <c r="CM1504" s="208" t="n"/>
      <c r="CN1504" s="78" t="n"/>
      <c r="CO1504" s="209" t="n"/>
      <c r="CP1504" s="204" t="n"/>
      <c r="CQ1504" s="204" t="n"/>
      <c r="CR1504" s="204" t="n"/>
      <c r="CS1504" s="204" t="n"/>
      <c r="CT1504" s="204" t="n"/>
      <c r="CU1504" s="204" t="n"/>
      <c r="CV1504" s="204" t="n"/>
      <c r="CW1504" s="204" t="n"/>
    </row>
    <row r="1505">
      <c r="BF1505" s="78" t="n"/>
      <c r="BG1505" s="78" t="n"/>
      <c r="BH1505" s="78" t="n"/>
      <c r="BI1505" s="78" t="n"/>
      <c r="BJ1505" s="139" t="n"/>
      <c r="BK1505" s="204" t="n"/>
      <c r="BL1505" s="141" t="n"/>
      <c r="BM1505" s="205" t="n"/>
      <c r="BN1505" s="205" t="n"/>
      <c r="BO1505" s="206" t="n"/>
      <c r="BP1505" s="144" t="n"/>
      <c r="BQ1505" s="141" t="n"/>
      <c r="BR1505" s="207" t="n"/>
      <c r="BS1505" s="207" t="n"/>
      <c r="BT1505" s="207" t="n"/>
      <c r="BU1505" s="207" t="n"/>
      <c r="BV1505" s="208" t="n"/>
      <c r="BW1505" s="207" t="n"/>
      <c r="BX1505" s="207" t="n"/>
      <c r="BY1505" s="204" t="n"/>
      <c r="BZ1505" s="148" t="n"/>
      <c r="CA1505" s="204" t="n"/>
      <c r="CB1505" s="208" t="n"/>
      <c r="CC1505" s="139" t="n"/>
      <c r="CD1505" s="204" t="n"/>
      <c r="CE1505" s="204" t="n"/>
      <c r="CF1505" s="207" t="n"/>
      <c r="CG1505" s="208" t="n"/>
      <c r="CH1505" s="207" t="n"/>
      <c r="CI1505" s="208" t="n"/>
      <c r="CJ1505" s="204" t="n"/>
      <c r="CK1505" s="208" t="n"/>
      <c r="CL1505" s="208" t="n"/>
      <c r="CM1505" s="208" t="n"/>
      <c r="CN1505" s="78" t="n"/>
      <c r="CO1505" s="209" t="n"/>
      <c r="CP1505" s="204" t="n"/>
      <c r="CQ1505" s="204" t="n"/>
      <c r="CR1505" s="204" t="n"/>
      <c r="CS1505" s="204" t="n"/>
      <c r="CT1505" s="204" t="n"/>
      <c r="CU1505" s="204" t="n"/>
      <c r="CV1505" s="204" t="n"/>
      <c r="CW1505" s="204" t="n"/>
    </row>
    <row r="1506">
      <c r="BF1506" s="78" t="n"/>
      <c r="BG1506" s="78" t="n"/>
      <c r="BH1506" s="78" t="n"/>
      <c r="BI1506" s="78" t="n"/>
      <c r="BJ1506" s="139" t="n"/>
      <c r="BK1506" s="204" t="n"/>
      <c r="BL1506" s="141" t="n"/>
      <c r="BM1506" s="205" t="n"/>
      <c r="BN1506" s="205" t="n"/>
      <c r="BO1506" s="206" t="n"/>
      <c r="BP1506" s="144" t="n"/>
      <c r="BQ1506" s="141" t="n"/>
      <c r="BR1506" s="207" t="n"/>
      <c r="BS1506" s="207" t="n"/>
      <c r="BT1506" s="207" t="n"/>
      <c r="BU1506" s="207" t="n"/>
      <c r="BV1506" s="208" t="n"/>
      <c r="BW1506" s="207" t="n"/>
      <c r="BX1506" s="207" t="n"/>
      <c r="BY1506" s="204" t="n"/>
      <c r="BZ1506" s="148" t="n"/>
      <c r="CA1506" s="204" t="n"/>
      <c r="CB1506" s="208" t="n"/>
      <c r="CC1506" s="139" t="n"/>
      <c r="CD1506" s="204" t="n"/>
      <c r="CE1506" s="204" t="n"/>
      <c r="CF1506" s="207" t="n"/>
      <c r="CG1506" s="208" t="n"/>
      <c r="CH1506" s="207" t="n"/>
      <c r="CI1506" s="208" t="n"/>
      <c r="CJ1506" s="204" t="n"/>
      <c r="CK1506" s="208" t="n"/>
      <c r="CL1506" s="208" t="n"/>
      <c r="CM1506" s="208" t="n"/>
      <c r="CN1506" s="78" t="n"/>
      <c r="CO1506" s="209" t="n"/>
      <c r="CP1506" s="204" t="n"/>
      <c r="CQ1506" s="204" t="n"/>
      <c r="CR1506" s="204" t="n"/>
      <c r="CS1506" s="204" t="n"/>
      <c r="CT1506" s="204" t="n"/>
      <c r="CU1506" s="204" t="n"/>
      <c r="CV1506" s="204" t="n"/>
      <c r="CW1506" s="204" t="n"/>
    </row>
    <row r="1507">
      <c r="BF1507" s="78" t="n"/>
      <c r="BG1507" s="78" t="n"/>
      <c r="BH1507" s="78" t="n"/>
      <c r="BI1507" s="78" t="n"/>
      <c r="BJ1507" s="139" t="n"/>
      <c r="BK1507" s="204" t="n"/>
      <c r="BL1507" s="141" t="n"/>
      <c r="BM1507" s="205" t="n"/>
      <c r="BN1507" s="205" t="n"/>
      <c r="BO1507" s="206" t="n"/>
      <c r="BP1507" s="144" t="n"/>
      <c r="BQ1507" s="141" t="n"/>
      <c r="BR1507" s="207" t="n"/>
      <c r="BS1507" s="207" t="n"/>
      <c r="BT1507" s="207" t="n"/>
      <c r="BU1507" s="207" t="n"/>
      <c r="BV1507" s="208" t="n"/>
      <c r="BW1507" s="207" t="n"/>
      <c r="BX1507" s="207" t="n"/>
      <c r="BY1507" s="204" t="n"/>
      <c r="BZ1507" s="148" t="n"/>
      <c r="CA1507" s="204" t="n"/>
      <c r="CB1507" s="208" t="n"/>
      <c r="CC1507" s="139" t="n"/>
      <c r="CD1507" s="204" t="n"/>
      <c r="CE1507" s="204" t="n"/>
      <c r="CF1507" s="207" t="n"/>
      <c r="CG1507" s="208" t="n"/>
      <c r="CH1507" s="207" t="n"/>
      <c r="CI1507" s="208" t="n"/>
      <c r="CJ1507" s="204" t="n"/>
      <c r="CK1507" s="208" t="n"/>
      <c r="CL1507" s="208" t="n"/>
      <c r="CM1507" s="208" t="n"/>
      <c r="CN1507" s="78" t="n"/>
      <c r="CO1507" s="209" t="n"/>
      <c r="CP1507" s="204" t="n"/>
      <c r="CQ1507" s="204" t="n"/>
      <c r="CR1507" s="204" t="n"/>
      <c r="CS1507" s="204" t="n"/>
      <c r="CT1507" s="204" t="n"/>
      <c r="CU1507" s="204" t="n"/>
      <c r="CV1507" s="204" t="n"/>
      <c r="CW1507" s="204" t="n"/>
    </row>
    <row r="1508">
      <c r="BF1508" s="78" t="n"/>
      <c r="BG1508" s="78" t="n"/>
      <c r="BH1508" s="78" t="n"/>
      <c r="BI1508" s="78" t="n"/>
      <c r="BJ1508" s="139" t="n"/>
      <c r="BK1508" s="204" t="n"/>
      <c r="BL1508" s="141" t="n"/>
      <c r="BM1508" s="205" t="n"/>
      <c r="BN1508" s="205" t="n"/>
      <c r="BO1508" s="206" t="n"/>
      <c r="BP1508" s="144" t="n"/>
      <c r="BQ1508" s="141" t="n"/>
      <c r="BR1508" s="207" t="n"/>
      <c r="BS1508" s="207" t="n"/>
      <c r="BT1508" s="207" t="n"/>
      <c r="BU1508" s="207" t="n"/>
      <c r="BV1508" s="208" t="n"/>
      <c r="BW1508" s="207" t="n"/>
      <c r="BX1508" s="207" t="n"/>
      <c r="BY1508" s="204" t="n"/>
      <c r="BZ1508" s="148" t="n"/>
      <c r="CA1508" s="204" t="n"/>
      <c r="CB1508" s="208" t="n"/>
      <c r="CC1508" s="139" t="n"/>
      <c r="CD1508" s="204" t="n"/>
      <c r="CE1508" s="204" t="n"/>
      <c r="CF1508" s="207" t="n"/>
      <c r="CG1508" s="208" t="n"/>
      <c r="CH1508" s="207" t="n"/>
      <c r="CI1508" s="208" t="n"/>
      <c r="CJ1508" s="204" t="n"/>
      <c r="CK1508" s="208" t="n"/>
      <c r="CL1508" s="208" t="n"/>
      <c r="CM1508" s="208" t="n"/>
      <c r="CN1508" s="78" t="n"/>
      <c r="CO1508" s="209" t="n"/>
      <c r="CP1508" s="204" t="n"/>
      <c r="CQ1508" s="204" t="n"/>
      <c r="CR1508" s="204" t="n"/>
      <c r="CS1508" s="204" t="n"/>
      <c r="CT1508" s="204" t="n"/>
      <c r="CU1508" s="204" t="n"/>
      <c r="CV1508" s="204" t="n"/>
      <c r="CW1508" s="204" t="n"/>
    </row>
    <row r="1509">
      <c r="BF1509" s="78" t="n"/>
      <c r="BG1509" s="78" t="n"/>
      <c r="BH1509" s="78" t="n"/>
      <c r="BI1509" s="78" t="n"/>
      <c r="BJ1509" s="139" t="n"/>
      <c r="BK1509" s="204" t="n"/>
      <c r="BL1509" s="141" t="n"/>
      <c r="BM1509" s="205" t="n"/>
      <c r="BN1509" s="205" t="n"/>
      <c r="BO1509" s="206" t="n"/>
      <c r="BP1509" s="144" t="n"/>
      <c r="BQ1509" s="141" t="n"/>
      <c r="BR1509" s="207" t="n"/>
      <c r="BS1509" s="207" t="n"/>
      <c r="BT1509" s="207" t="n"/>
      <c r="BU1509" s="207" t="n"/>
      <c r="BV1509" s="208" t="n"/>
      <c r="BW1509" s="207" t="n"/>
      <c r="BX1509" s="207" t="n"/>
      <c r="BY1509" s="204" t="n"/>
      <c r="BZ1509" s="148" t="n"/>
      <c r="CA1509" s="204" t="n"/>
      <c r="CB1509" s="208" t="n"/>
      <c r="CC1509" s="139" t="n"/>
      <c r="CD1509" s="204" t="n"/>
      <c r="CE1509" s="204" t="n"/>
      <c r="CF1509" s="207" t="n"/>
      <c r="CG1509" s="208" t="n"/>
      <c r="CH1509" s="207" t="n"/>
      <c r="CI1509" s="208" t="n"/>
      <c r="CJ1509" s="204" t="n"/>
      <c r="CK1509" s="208" t="n"/>
      <c r="CL1509" s="208" t="n"/>
      <c r="CM1509" s="208" t="n"/>
      <c r="CN1509" s="78" t="n"/>
      <c r="CO1509" s="209" t="n"/>
      <c r="CP1509" s="204" t="n"/>
      <c r="CQ1509" s="204" t="n"/>
      <c r="CR1509" s="204" t="n"/>
      <c r="CS1509" s="204" t="n"/>
      <c r="CT1509" s="204" t="n"/>
      <c r="CU1509" s="204" t="n"/>
      <c r="CV1509" s="204" t="n"/>
      <c r="CW1509" s="204" t="n"/>
    </row>
    <row r="1510">
      <c r="BF1510" s="78" t="n"/>
      <c r="BG1510" s="78" t="n"/>
      <c r="BH1510" s="78" t="n"/>
      <c r="BI1510" s="78" t="n"/>
      <c r="BJ1510" s="139" t="n"/>
      <c r="BK1510" s="204" t="n"/>
      <c r="BL1510" s="141" t="n"/>
      <c r="BM1510" s="205" t="n"/>
      <c r="BN1510" s="205" t="n"/>
      <c r="BO1510" s="206" t="n"/>
      <c r="BP1510" s="144" t="n"/>
      <c r="BQ1510" s="141" t="n"/>
      <c r="BR1510" s="207" t="n"/>
      <c r="BS1510" s="207" t="n"/>
      <c r="BT1510" s="207" t="n"/>
      <c r="BU1510" s="207" t="n"/>
      <c r="BV1510" s="208" t="n"/>
      <c r="BW1510" s="207" t="n"/>
      <c r="BX1510" s="207" t="n"/>
      <c r="BY1510" s="204" t="n"/>
      <c r="BZ1510" s="148" t="n"/>
      <c r="CA1510" s="204" t="n"/>
      <c r="CB1510" s="208" t="n"/>
      <c r="CC1510" s="139" t="n"/>
      <c r="CD1510" s="204" t="n"/>
      <c r="CE1510" s="204" t="n"/>
      <c r="CF1510" s="207" t="n"/>
      <c r="CG1510" s="208" t="n"/>
      <c r="CH1510" s="207" t="n"/>
      <c r="CI1510" s="208" t="n"/>
      <c r="CJ1510" s="204" t="n"/>
      <c r="CK1510" s="208" t="n"/>
      <c r="CL1510" s="208" t="n"/>
      <c r="CM1510" s="208" t="n"/>
      <c r="CN1510" s="78" t="n"/>
      <c r="CO1510" s="209" t="n"/>
      <c r="CP1510" s="204" t="n"/>
      <c r="CQ1510" s="204" t="n"/>
      <c r="CR1510" s="204" t="n"/>
      <c r="CS1510" s="204" t="n"/>
      <c r="CT1510" s="204" t="n"/>
      <c r="CU1510" s="204" t="n"/>
      <c r="CV1510" s="204" t="n"/>
      <c r="CW1510" s="204" t="n"/>
    </row>
    <row r="1511">
      <c r="BF1511" s="78" t="n"/>
      <c r="BG1511" s="78" t="n"/>
      <c r="BH1511" s="78" t="n"/>
      <c r="BI1511" s="78" t="n"/>
      <c r="BJ1511" s="139" t="n"/>
      <c r="BK1511" s="204" t="n"/>
      <c r="BL1511" s="141" t="n"/>
      <c r="BM1511" s="205" t="n"/>
      <c r="BN1511" s="205" t="n"/>
      <c r="BO1511" s="206" t="n"/>
      <c r="BP1511" s="144" t="n"/>
      <c r="BQ1511" s="141" t="n"/>
      <c r="BR1511" s="207" t="n"/>
      <c r="BS1511" s="207" t="n"/>
      <c r="BT1511" s="207" t="n"/>
      <c r="BU1511" s="207" t="n"/>
      <c r="BV1511" s="208" t="n"/>
      <c r="BW1511" s="207" t="n"/>
      <c r="BX1511" s="207" t="n"/>
      <c r="BY1511" s="204" t="n"/>
      <c r="BZ1511" s="148" t="n"/>
      <c r="CA1511" s="204" t="n"/>
      <c r="CB1511" s="208" t="n"/>
      <c r="CC1511" s="139" t="n"/>
      <c r="CD1511" s="204" t="n"/>
      <c r="CE1511" s="204" t="n"/>
      <c r="CF1511" s="207" t="n"/>
      <c r="CG1511" s="208" t="n"/>
      <c r="CH1511" s="207" t="n"/>
      <c r="CI1511" s="208" t="n"/>
      <c r="CJ1511" s="204" t="n"/>
      <c r="CK1511" s="208" t="n"/>
      <c r="CL1511" s="208" t="n"/>
      <c r="CM1511" s="208" t="n"/>
      <c r="CN1511" s="78" t="n"/>
      <c r="CO1511" s="209" t="n"/>
      <c r="CP1511" s="204" t="n"/>
      <c r="CQ1511" s="204" t="n"/>
      <c r="CR1511" s="204" t="n"/>
      <c r="CS1511" s="204" t="n"/>
      <c r="CT1511" s="204" t="n"/>
      <c r="CU1511" s="204" t="n"/>
      <c r="CV1511" s="204" t="n"/>
      <c r="CW1511" s="204" t="n"/>
    </row>
    <row r="1512">
      <c r="BF1512" s="78" t="n"/>
      <c r="BG1512" s="78" t="n"/>
      <c r="BH1512" s="78" t="n"/>
      <c r="BI1512" s="78" t="n"/>
      <c r="BJ1512" s="139" t="n"/>
      <c r="BK1512" s="204" t="n"/>
      <c r="BL1512" s="141" t="n"/>
      <c r="BM1512" s="205" t="n"/>
      <c r="BN1512" s="205" t="n"/>
      <c r="BO1512" s="206" t="n"/>
      <c r="BP1512" s="144" t="n"/>
      <c r="BQ1512" s="141" t="n"/>
      <c r="BR1512" s="207" t="n"/>
      <c r="BS1512" s="207" t="n"/>
      <c r="BT1512" s="207" t="n"/>
      <c r="BU1512" s="207" t="n"/>
      <c r="BV1512" s="208" t="n"/>
      <c r="BW1512" s="207" t="n"/>
      <c r="BX1512" s="207" t="n"/>
      <c r="BY1512" s="204" t="n"/>
      <c r="BZ1512" s="148" t="n"/>
      <c r="CA1512" s="204" t="n"/>
      <c r="CB1512" s="208" t="n"/>
      <c r="CC1512" s="139" t="n"/>
      <c r="CD1512" s="204" t="n"/>
      <c r="CE1512" s="204" t="n"/>
      <c r="CF1512" s="207" t="n"/>
      <c r="CG1512" s="208" t="n"/>
      <c r="CH1512" s="207" t="n"/>
      <c r="CI1512" s="208" t="n"/>
      <c r="CJ1512" s="204" t="n"/>
      <c r="CK1512" s="208" t="n"/>
      <c r="CL1512" s="208" t="n"/>
      <c r="CM1512" s="208" t="n"/>
      <c r="CN1512" s="78" t="n"/>
      <c r="CO1512" s="209" t="n"/>
      <c r="CP1512" s="204" t="n"/>
      <c r="CQ1512" s="204" t="n"/>
      <c r="CR1512" s="204" t="n"/>
      <c r="CS1512" s="204" t="n"/>
      <c r="CT1512" s="204" t="n"/>
      <c r="CU1512" s="204" t="n"/>
      <c r="CV1512" s="204" t="n"/>
      <c r="CW1512" s="204" t="n"/>
    </row>
    <row r="1513">
      <c r="BF1513" s="78" t="n"/>
      <c r="BG1513" s="78" t="n"/>
      <c r="BH1513" s="78" t="n"/>
      <c r="BI1513" s="78" t="n"/>
      <c r="BJ1513" s="139" t="n"/>
      <c r="BK1513" s="204" t="n"/>
      <c r="BL1513" s="141" t="n"/>
      <c r="BM1513" s="205" t="n"/>
      <c r="BN1513" s="205" t="n"/>
      <c r="BO1513" s="206" t="n"/>
      <c r="BP1513" s="144" t="n"/>
      <c r="BQ1513" s="141" t="n"/>
      <c r="BR1513" s="207" t="n"/>
      <c r="BS1513" s="207" t="n"/>
      <c r="BT1513" s="207" t="n"/>
      <c r="BU1513" s="207" t="n"/>
      <c r="BV1513" s="208" t="n"/>
      <c r="BW1513" s="207" t="n"/>
      <c r="BX1513" s="207" t="n"/>
      <c r="BY1513" s="204" t="n"/>
      <c r="BZ1513" s="148" t="n"/>
      <c r="CA1513" s="204" t="n"/>
      <c r="CB1513" s="208" t="n"/>
      <c r="CC1513" s="139" t="n"/>
      <c r="CD1513" s="204" t="n"/>
      <c r="CE1513" s="204" t="n"/>
      <c r="CF1513" s="207" t="n"/>
      <c r="CG1513" s="208" t="n"/>
      <c r="CH1513" s="207" t="n"/>
      <c r="CI1513" s="208" t="n"/>
      <c r="CJ1513" s="204" t="n"/>
      <c r="CK1513" s="208" t="n"/>
      <c r="CL1513" s="208" t="n"/>
      <c r="CM1513" s="208" t="n"/>
      <c r="CN1513" s="78" t="n"/>
      <c r="CO1513" s="209" t="n"/>
      <c r="CP1513" s="204" t="n"/>
      <c r="CQ1513" s="204" t="n"/>
      <c r="CR1513" s="204" t="n"/>
      <c r="CS1513" s="204" t="n"/>
      <c r="CT1513" s="204" t="n"/>
      <c r="CU1513" s="204" t="n"/>
      <c r="CV1513" s="204" t="n"/>
      <c r="CW1513" s="204" t="n"/>
    </row>
    <row r="1514">
      <c r="BF1514" s="78" t="n"/>
      <c r="BG1514" s="78" t="n"/>
      <c r="BH1514" s="78" t="n"/>
      <c r="BI1514" s="78" t="n"/>
      <c r="BJ1514" s="139" t="n"/>
      <c r="BK1514" s="204" t="n"/>
      <c r="BL1514" s="141" t="n"/>
      <c r="BM1514" s="205" t="n"/>
      <c r="BN1514" s="205" t="n"/>
      <c r="BO1514" s="206" t="n"/>
      <c r="BP1514" s="144" t="n"/>
      <c r="BQ1514" s="141" t="n"/>
      <c r="BR1514" s="207" t="n"/>
      <c r="BS1514" s="207" t="n"/>
      <c r="BT1514" s="207" t="n"/>
      <c r="BU1514" s="207" t="n"/>
      <c r="BV1514" s="208" t="n"/>
      <c r="BW1514" s="207" t="n"/>
      <c r="BX1514" s="207" t="n"/>
      <c r="BY1514" s="204" t="n"/>
      <c r="BZ1514" s="148" t="n"/>
      <c r="CA1514" s="204" t="n"/>
      <c r="CB1514" s="208" t="n"/>
      <c r="CC1514" s="139" t="n"/>
      <c r="CD1514" s="204" t="n"/>
      <c r="CE1514" s="204" t="n"/>
      <c r="CF1514" s="207" t="n"/>
      <c r="CG1514" s="208" t="n"/>
      <c r="CH1514" s="207" t="n"/>
      <c r="CI1514" s="208" t="n"/>
      <c r="CJ1514" s="204" t="n"/>
      <c r="CK1514" s="208" t="n"/>
      <c r="CL1514" s="208" t="n"/>
      <c r="CM1514" s="208" t="n"/>
      <c r="CN1514" s="78" t="n"/>
      <c r="CO1514" s="209" t="n"/>
      <c r="CP1514" s="204" t="n"/>
      <c r="CQ1514" s="204" t="n"/>
      <c r="CR1514" s="204" t="n"/>
      <c r="CS1514" s="204" t="n"/>
      <c r="CT1514" s="204" t="n"/>
      <c r="CU1514" s="204" t="n"/>
      <c r="CV1514" s="204" t="n"/>
      <c r="CW1514" s="204" t="n"/>
    </row>
    <row r="1515">
      <c r="BF1515" s="78" t="n"/>
      <c r="BG1515" s="78" t="n"/>
      <c r="BH1515" s="78" t="n"/>
      <c r="BI1515" s="78" t="n"/>
      <c r="BJ1515" s="139" t="n"/>
      <c r="BK1515" s="204" t="n"/>
      <c r="BL1515" s="141" t="n"/>
      <c r="BM1515" s="205" t="n"/>
      <c r="BN1515" s="205" t="n"/>
      <c r="BO1515" s="206" t="n"/>
      <c r="BP1515" s="144" t="n"/>
      <c r="BQ1515" s="141" t="n"/>
      <c r="BR1515" s="207" t="n"/>
      <c r="BS1515" s="207" t="n"/>
      <c r="BT1515" s="207" t="n"/>
      <c r="BU1515" s="207" t="n"/>
      <c r="BV1515" s="208" t="n"/>
      <c r="BW1515" s="207" t="n"/>
      <c r="BX1515" s="207" t="n"/>
      <c r="BY1515" s="204" t="n"/>
      <c r="BZ1515" s="148" t="n"/>
      <c r="CA1515" s="204" t="n"/>
      <c r="CB1515" s="208" t="n"/>
      <c r="CC1515" s="139" t="n"/>
      <c r="CD1515" s="204" t="n"/>
      <c r="CE1515" s="204" t="n"/>
      <c r="CF1515" s="207" t="n"/>
      <c r="CG1515" s="208" t="n"/>
      <c r="CH1515" s="207" t="n"/>
      <c r="CI1515" s="208" t="n"/>
      <c r="CJ1515" s="204" t="n"/>
      <c r="CK1515" s="208" t="n"/>
      <c r="CL1515" s="208" t="n"/>
      <c r="CM1515" s="208" t="n"/>
      <c r="CN1515" s="78" t="n"/>
      <c r="CO1515" s="209" t="n"/>
      <c r="CP1515" s="204" t="n"/>
      <c r="CQ1515" s="204" t="n"/>
      <c r="CR1515" s="204" t="n"/>
      <c r="CS1515" s="204" t="n"/>
      <c r="CT1515" s="204" t="n"/>
      <c r="CU1515" s="204" t="n"/>
      <c r="CV1515" s="204" t="n"/>
      <c r="CW1515" s="204" t="n"/>
    </row>
    <row r="1516">
      <c r="BF1516" s="78" t="n"/>
      <c r="BG1516" s="78" t="n"/>
      <c r="BH1516" s="78" t="n"/>
      <c r="BI1516" s="78" t="n"/>
      <c r="BJ1516" s="139" t="n"/>
      <c r="BK1516" s="204" t="n"/>
      <c r="BL1516" s="141" t="n"/>
      <c r="BM1516" s="205" t="n"/>
      <c r="BN1516" s="205" t="n"/>
      <c r="BO1516" s="206" t="n"/>
      <c r="BP1516" s="144" t="n"/>
      <c r="BQ1516" s="141" t="n"/>
      <c r="BR1516" s="207" t="n"/>
      <c r="BS1516" s="207" t="n"/>
      <c r="BT1516" s="207" t="n"/>
      <c r="BU1516" s="207" t="n"/>
      <c r="BV1516" s="208" t="n"/>
      <c r="BW1516" s="207" t="n"/>
      <c r="BX1516" s="207" t="n"/>
      <c r="BY1516" s="204" t="n"/>
      <c r="BZ1516" s="148" t="n"/>
      <c r="CA1516" s="204" t="n"/>
      <c r="CB1516" s="208" t="n"/>
      <c r="CC1516" s="139" t="n"/>
      <c r="CD1516" s="204" t="n"/>
      <c r="CE1516" s="204" t="n"/>
      <c r="CF1516" s="207" t="n"/>
      <c r="CG1516" s="208" t="n"/>
      <c r="CH1516" s="207" t="n"/>
      <c r="CI1516" s="208" t="n"/>
      <c r="CJ1516" s="204" t="n"/>
      <c r="CK1516" s="208" t="n"/>
      <c r="CL1516" s="208" t="n"/>
      <c r="CM1516" s="208" t="n"/>
      <c r="CN1516" s="78" t="n"/>
      <c r="CO1516" s="209" t="n"/>
      <c r="CP1516" s="204" t="n"/>
      <c r="CQ1516" s="204" t="n"/>
      <c r="CR1516" s="204" t="n"/>
      <c r="CS1516" s="204" t="n"/>
      <c r="CT1516" s="204" t="n"/>
      <c r="CU1516" s="204" t="n"/>
      <c r="CV1516" s="204" t="n"/>
      <c r="CW1516" s="204" t="n"/>
    </row>
    <row r="1517">
      <c r="BF1517" s="78" t="n"/>
      <c r="BG1517" s="78" t="n"/>
      <c r="BH1517" s="78" t="n"/>
      <c r="BI1517" s="78" t="n"/>
      <c r="BJ1517" s="139" t="n"/>
      <c r="BK1517" s="204" t="n"/>
      <c r="BL1517" s="141" t="n"/>
      <c r="BM1517" s="205" t="n"/>
      <c r="BN1517" s="205" t="n"/>
      <c r="BO1517" s="206" t="n"/>
      <c r="BP1517" s="144" t="n"/>
      <c r="BQ1517" s="141" t="n"/>
      <c r="BR1517" s="207" t="n"/>
      <c r="BS1517" s="207" t="n"/>
      <c r="BT1517" s="207" t="n"/>
      <c r="BU1517" s="207" t="n"/>
      <c r="BV1517" s="208" t="n"/>
      <c r="BW1517" s="207" t="n"/>
      <c r="BX1517" s="207" t="n"/>
      <c r="BY1517" s="204" t="n"/>
      <c r="BZ1517" s="148" t="n"/>
      <c r="CA1517" s="204" t="n"/>
      <c r="CB1517" s="208" t="n"/>
      <c r="CC1517" s="139" t="n"/>
      <c r="CD1517" s="204" t="n"/>
      <c r="CE1517" s="204" t="n"/>
      <c r="CF1517" s="207" t="n"/>
      <c r="CG1517" s="208" t="n"/>
      <c r="CH1517" s="207" t="n"/>
      <c r="CI1517" s="208" t="n"/>
      <c r="CJ1517" s="204" t="n"/>
      <c r="CK1517" s="208" t="n"/>
      <c r="CL1517" s="208" t="n"/>
      <c r="CM1517" s="208" t="n"/>
      <c r="CN1517" s="78" t="n"/>
      <c r="CO1517" s="209" t="n"/>
      <c r="CP1517" s="204" t="n"/>
      <c r="CQ1517" s="204" t="n"/>
      <c r="CR1517" s="204" t="n"/>
      <c r="CS1517" s="204" t="n"/>
      <c r="CT1517" s="204" t="n"/>
      <c r="CU1517" s="204" t="n"/>
      <c r="CV1517" s="204" t="n"/>
      <c r="CW1517" s="204" t="n"/>
    </row>
    <row r="1518">
      <c r="BF1518" s="78" t="n"/>
      <c r="BG1518" s="78" t="n"/>
      <c r="BH1518" s="78" t="n"/>
      <c r="BI1518" s="78" t="n"/>
      <c r="BJ1518" s="139" t="n"/>
      <c r="BK1518" s="204" t="n"/>
      <c r="BL1518" s="141" t="n"/>
      <c r="BM1518" s="205" t="n"/>
      <c r="BN1518" s="205" t="n"/>
      <c r="BO1518" s="206" t="n"/>
      <c r="BP1518" s="144" t="n"/>
      <c r="BQ1518" s="141" t="n"/>
      <c r="BR1518" s="207" t="n"/>
      <c r="BS1518" s="207" t="n"/>
      <c r="BT1518" s="207" t="n"/>
      <c r="BU1518" s="207" t="n"/>
      <c r="BV1518" s="208" t="n"/>
      <c r="BW1518" s="207" t="n"/>
      <c r="BX1518" s="207" t="n"/>
      <c r="BY1518" s="204" t="n"/>
      <c r="BZ1518" s="148" t="n"/>
      <c r="CA1518" s="204" t="n"/>
      <c r="CB1518" s="208" t="n"/>
      <c r="CC1518" s="139" t="n"/>
      <c r="CD1518" s="204" t="n"/>
      <c r="CE1518" s="204" t="n"/>
      <c r="CF1518" s="207" t="n"/>
      <c r="CG1518" s="208" t="n"/>
      <c r="CH1518" s="207" t="n"/>
      <c r="CI1518" s="208" t="n"/>
      <c r="CJ1518" s="204" t="n"/>
      <c r="CK1518" s="208" t="n"/>
      <c r="CL1518" s="208" t="n"/>
      <c r="CM1518" s="208" t="n"/>
      <c r="CN1518" s="78" t="n"/>
      <c r="CO1518" s="209" t="n"/>
      <c r="CP1518" s="204" t="n"/>
      <c r="CQ1518" s="204" t="n"/>
      <c r="CR1518" s="204" t="n"/>
      <c r="CS1518" s="204" t="n"/>
      <c r="CT1518" s="204" t="n"/>
      <c r="CU1518" s="204" t="n"/>
      <c r="CV1518" s="204" t="n"/>
      <c r="CW1518" s="204" t="n"/>
    </row>
    <row r="1519">
      <c r="BF1519" s="78" t="n"/>
      <c r="BG1519" s="78" t="n"/>
      <c r="BH1519" s="78" t="n"/>
      <c r="BI1519" s="78" t="n"/>
      <c r="BJ1519" s="139" t="n"/>
      <c r="BK1519" s="204" t="n"/>
      <c r="BL1519" s="141" t="n"/>
      <c r="BM1519" s="205" t="n"/>
      <c r="BN1519" s="205" t="n"/>
      <c r="BO1519" s="206" t="n"/>
      <c r="BP1519" s="144" t="n"/>
      <c r="BQ1519" s="141" t="n"/>
      <c r="BR1519" s="207" t="n"/>
      <c r="BS1519" s="207" t="n"/>
      <c r="BT1519" s="207" t="n"/>
      <c r="BU1519" s="207" t="n"/>
      <c r="BV1519" s="208" t="n"/>
      <c r="BW1519" s="207" t="n"/>
      <c r="BX1519" s="207" t="n"/>
      <c r="BY1519" s="204" t="n"/>
      <c r="BZ1519" s="148" t="n"/>
      <c r="CA1519" s="204" t="n"/>
      <c r="CB1519" s="208" t="n"/>
      <c r="CC1519" s="139" t="n"/>
      <c r="CD1519" s="204" t="n"/>
      <c r="CE1519" s="204" t="n"/>
      <c r="CF1519" s="207" t="n"/>
      <c r="CG1519" s="208" t="n"/>
      <c r="CH1519" s="207" t="n"/>
      <c r="CI1519" s="208" t="n"/>
      <c r="CJ1519" s="204" t="n"/>
      <c r="CK1519" s="208" t="n"/>
      <c r="CL1519" s="208" t="n"/>
      <c r="CM1519" s="208" t="n"/>
      <c r="CN1519" s="78" t="n"/>
      <c r="CO1519" s="209" t="n"/>
      <c r="CP1519" s="204" t="n"/>
      <c r="CQ1519" s="204" t="n"/>
      <c r="CR1519" s="204" t="n"/>
      <c r="CS1519" s="204" t="n"/>
      <c r="CT1519" s="204" t="n"/>
      <c r="CU1519" s="204" t="n"/>
      <c r="CV1519" s="204" t="n"/>
      <c r="CW1519" s="204" t="n"/>
    </row>
    <row r="1520">
      <c r="BF1520" s="78" t="n"/>
      <c r="BG1520" s="78" t="n"/>
      <c r="BH1520" s="78" t="n"/>
      <c r="BI1520" s="78" t="n"/>
      <c r="BJ1520" s="139" t="n"/>
      <c r="BK1520" s="204" t="n"/>
      <c r="BL1520" s="141" t="n"/>
      <c r="BM1520" s="205" t="n"/>
      <c r="BN1520" s="205" t="n"/>
      <c r="BO1520" s="206" t="n"/>
      <c r="BP1520" s="144" t="n"/>
      <c r="BQ1520" s="141" t="n"/>
      <c r="BR1520" s="207" t="n"/>
      <c r="BS1520" s="207" t="n"/>
      <c r="BT1520" s="207" t="n"/>
      <c r="BU1520" s="207" t="n"/>
      <c r="BV1520" s="208" t="n"/>
      <c r="BW1520" s="207" t="n"/>
      <c r="BX1520" s="207" t="n"/>
      <c r="BY1520" s="204" t="n"/>
      <c r="BZ1520" s="148" t="n"/>
      <c r="CA1520" s="204" t="n"/>
      <c r="CB1520" s="208" t="n"/>
      <c r="CC1520" s="139" t="n"/>
      <c r="CD1520" s="204" t="n"/>
      <c r="CE1520" s="204" t="n"/>
      <c r="CF1520" s="207" t="n"/>
      <c r="CG1520" s="208" t="n"/>
      <c r="CH1520" s="207" t="n"/>
      <c r="CI1520" s="208" t="n"/>
      <c r="CJ1520" s="204" t="n"/>
      <c r="CK1520" s="208" t="n"/>
      <c r="CL1520" s="208" t="n"/>
      <c r="CM1520" s="208" t="n"/>
      <c r="CN1520" s="78" t="n"/>
      <c r="CO1520" s="209" t="n"/>
      <c r="CP1520" s="204" t="n"/>
      <c r="CQ1520" s="204" t="n"/>
      <c r="CR1520" s="204" t="n"/>
      <c r="CS1520" s="204" t="n"/>
      <c r="CT1520" s="204" t="n"/>
      <c r="CU1520" s="204" t="n"/>
      <c r="CV1520" s="204" t="n"/>
      <c r="CW1520" s="204" t="n"/>
    </row>
    <row r="1521">
      <c r="BF1521" s="78" t="n"/>
      <c r="BG1521" s="78" t="n"/>
      <c r="BH1521" s="78" t="n"/>
      <c r="BI1521" s="78" t="n"/>
      <c r="BJ1521" s="139" t="n"/>
      <c r="BK1521" s="204" t="n"/>
      <c r="BL1521" s="141" t="n"/>
      <c r="BM1521" s="205" t="n"/>
      <c r="BN1521" s="205" t="n"/>
      <c r="BO1521" s="206" t="n"/>
      <c r="BP1521" s="144" t="n"/>
      <c r="BQ1521" s="141" t="n"/>
      <c r="BR1521" s="207" t="n"/>
      <c r="BS1521" s="207" t="n"/>
      <c r="BT1521" s="207" t="n"/>
      <c r="BU1521" s="207" t="n"/>
      <c r="BV1521" s="208" t="n"/>
      <c r="BW1521" s="207" t="n"/>
      <c r="BX1521" s="207" t="n"/>
      <c r="BY1521" s="204" t="n"/>
      <c r="BZ1521" s="148" t="n"/>
      <c r="CA1521" s="204" t="n"/>
      <c r="CB1521" s="208" t="n"/>
      <c r="CC1521" s="139" t="n"/>
      <c r="CD1521" s="204" t="n"/>
      <c r="CE1521" s="204" t="n"/>
      <c r="CF1521" s="207" t="n"/>
      <c r="CG1521" s="208" t="n"/>
      <c r="CH1521" s="207" t="n"/>
      <c r="CI1521" s="208" t="n"/>
      <c r="CJ1521" s="204" t="n"/>
      <c r="CK1521" s="208" t="n"/>
      <c r="CL1521" s="208" t="n"/>
      <c r="CM1521" s="208" t="n"/>
      <c r="CN1521" s="78" t="n"/>
      <c r="CO1521" s="209" t="n"/>
      <c r="CP1521" s="204" t="n"/>
      <c r="CQ1521" s="204" t="n"/>
      <c r="CR1521" s="204" t="n"/>
      <c r="CS1521" s="204" t="n"/>
      <c r="CT1521" s="204" t="n"/>
      <c r="CU1521" s="204" t="n"/>
      <c r="CV1521" s="204" t="n"/>
      <c r="CW1521" s="204" t="n"/>
    </row>
    <row r="1522">
      <c r="BF1522" s="78" t="n"/>
      <c r="BG1522" s="78" t="n"/>
      <c r="BH1522" s="78" t="n"/>
      <c r="BI1522" s="78" t="n"/>
      <c r="BJ1522" s="139" t="n"/>
      <c r="BK1522" s="204" t="n"/>
      <c r="BL1522" s="141" t="n"/>
      <c r="BM1522" s="205" t="n"/>
      <c r="BN1522" s="205" t="n"/>
      <c r="BO1522" s="206" t="n"/>
      <c r="BP1522" s="144" t="n"/>
      <c r="BQ1522" s="141" t="n"/>
      <c r="BR1522" s="207" t="n"/>
      <c r="BS1522" s="207" t="n"/>
      <c r="BT1522" s="207" t="n"/>
      <c r="BU1522" s="207" t="n"/>
      <c r="BV1522" s="208" t="n"/>
      <c r="BW1522" s="207" t="n"/>
      <c r="BX1522" s="207" t="n"/>
      <c r="BY1522" s="204" t="n"/>
      <c r="BZ1522" s="148" t="n"/>
      <c r="CA1522" s="204" t="n"/>
      <c r="CB1522" s="208" t="n"/>
      <c r="CC1522" s="139" t="n"/>
      <c r="CD1522" s="204" t="n"/>
      <c r="CE1522" s="204" t="n"/>
      <c r="CF1522" s="207" t="n"/>
      <c r="CG1522" s="208" t="n"/>
      <c r="CH1522" s="207" t="n"/>
      <c r="CI1522" s="208" t="n"/>
      <c r="CJ1522" s="204" t="n"/>
      <c r="CK1522" s="208" t="n"/>
      <c r="CL1522" s="208" t="n"/>
      <c r="CM1522" s="208" t="n"/>
      <c r="CN1522" s="78" t="n"/>
      <c r="CO1522" s="209" t="n"/>
      <c r="CP1522" s="204" t="n"/>
      <c r="CQ1522" s="204" t="n"/>
      <c r="CR1522" s="204" t="n"/>
      <c r="CS1522" s="204" t="n"/>
      <c r="CT1522" s="204" t="n"/>
      <c r="CU1522" s="204" t="n"/>
      <c r="CV1522" s="204" t="n"/>
      <c r="CW1522" s="204" t="n"/>
    </row>
    <row r="1523">
      <c r="BF1523" s="78" t="n"/>
      <c r="BG1523" s="78" t="n"/>
      <c r="BH1523" s="78" t="n"/>
      <c r="BI1523" s="78" t="n"/>
      <c r="BJ1523" s="139" t="n"/>
      <c r="BK1523" s="204" t="n"/>
      <c r="BL1523" s="141" t="n"/>
      <c r="BM1523" s="205" t="n"/>
      <c r="BN1523" s="205" t="n"/>
      <c r="BO1523" s="206" t="n"/>
      <c r="BP1523" s="144" t="n"/>
      <c r="BQ1523" s="141" t="n"/>
      <c r="BR1523" s="207" t="n"/>
      <c r="BS1523" s="207" t="n"/>
      <c r="BT1523" s="207" t="n"/>
      <c r="BU1523" s="207" t="n"/>
      <c r="BV1523" s="208" t="n"/>
      <c r="BW1523" s="207" t="n"/>
      <c r="BX1523" s="207" t="n"/>
      <c r="BY1523" s="204" t="n"/>
      <c r="BZ1523" s="148" t="n"/>
      <c r="CA1523" s="204" t="n"/>
      <c r="CB1523" s="208" t="n"/>
      <c r="CC1523" s="139" t="n"/>
      <c r="CD1523" s="204" t="n"/>
      <c r="CE1523" s="204" t="n"/>
      <c r="CF1523" s="207" t="n"/>
      <c r="CG1523" s="208" t="n"/>
      <c r="CH1523" s="207" t="n"/>
      <c r="CI1523" s="208" t="n"/>
      <c r="CJ1523" s="204" t="n"/>
      <c r="CK1523" s="208" t="n"/>
      <c r="CL1523" s="208" t="n"/>
      <c r="CM1523" s="208" t="n"/>
      <c r="CN1523" s="78" t="n"/>
      <c r="CO1523" s="209" t="n"/>
      <c r="CP1523" s="204" t="n"/>
      <c r="CQ1523" s="204" t="n"/>
      <c r="CR1523" s="204" t="n"/>
      <c r="CS1523" s="204" t="n"/>
      <c r="CT1523" s="204" t="n"/>
      <c r="CU1523" s="204" t="n"/>
      <c r="CV1523" s="204" t="n"/>
      <c r="CW1523" s="204" t="n"/>
    </row>
    <row r="1524">
      <c r="BF1524" s="78" t="n"/>
      <c r="BG1524" s="78" t="n"/>
      <c r="BH1524" s="78" t="n"/>
      <c r="BI1524" s="78" t="n"/>
      <c r="BJ1524" s="139" t="n"/>
      <c r="BK1524" s="204" t="n"/>
      <c r="BL1524" s="141" t="n"/>
      <c r="BM1524" s="205" t="n"/>
      <c r="BN1524" s="205" t="n"/>
      <c r="BO1524" s="206" t="n"/>
      <c r="BP1524" s="144" t="n"/>
      <c r="BQ1524" s="141" t="n"/>
      <c r="BR1524" s="207" t="n"/>
      <c r="BS1524" s="207" t="n"/>
      <c r="BT1524" s="207" t="n"/>
      <c r="BU1524" s="207" t="n"/>
      <c r="BV1524" s="208" t="n"/>
      <c r="BW1524" s="207" t="n"/>
      <c r="BX1524" s="207" t="n"/>
      <c r="BY1524" s="204" t="n"/>
      <c r="BZ1524" s="148" t="n"/>
      <c r="CA1524" s="204" t="n"/>
      <c r="CB1524" s="208" t="n"/>
      <c r="CC1524" s="139" t="n"/>
      <c r="CD1524" s="204" t="n"/>
      <c r="CE1524" s="204" t="n"/>
      <c r="CF1524" s="207" t="n"/>
      <c r="CG1524" s="208" t="n"/>
      <c r="CH1524" s="207" t="n"/>
      <c r="CI1524" s="208" t="n"/>
      <c r="CJ1524" s="204" t="n"/>
      <c r="CK1524" s="208" t="n"/>
      <c r="CL1524" s="208" t="n"/>
      <c r="CM1524" s="208" t="n"/>
      <c r="CN1524" s="78" t="n"/>
      <c r="CO1524" s="209" t="n"/>
      <c r="CP1524" s="204" t="n"/>
      <c r="CQ1524" s="204" t="n"/>
      <c r="CR1524" s="204" t="n"/>
      <c r="CS1524" s="204" t="n"/>
      <c r="CT1524" s="204" t="n"/>
      <c r="CU1524" s="204" t="n"/>
      <c r="CV1524" s="204" t="n"/>
      <c r="CW1524" s="204" t="n"/>
    </row>
    <row r="1525">
      <c r="BF1525" s="78" t="n"/>
      <c r="BG1525" s="78" t="n"/>
      <c r="BH1525" s="78" t="n"/>
      <c r="BI1525" s="78" t="n"/>
      <c r="BJ1525" s="139" t="n"/>
      <c r="BK1525" s="204" t="n"/>
      <c r="BL1525" s="141" t="n"/>
      <c r="BM1525" s="205" t="n"/>
      <c r="BN1525" s="205" t="n"/>
      <c r="BO1525" s="206" t="n"/>
      <c r="BP1525" s="144" t="n"/>
      <c r="BQ1525" s="141" t="n"/>
      <c r="BR1525" s="207" t="n"/>
      <c r="BS1525" s="207" t="n"/>
      <c r="BT1525" s="207" t="n"/>
      <c r="BU1525" s="207" t="n"/>
      <c r="BV1525" s="208" t="n"/>
      <c r="BW1525" s="207" t="n"/>
      <c r="BX1525" s="207" t="n"/>
      <c r="BY1525" s="204" t="n"/>
      <c r="BZ1525" s="148" t="n"/>
      <c r="CA1525" s="204" t="n"/>
      <c r="CB1525" s="208" t="n"/>
      <c r="CC1525" s="139" t="n"/>
      <c r="CD1525" s="204" t="n"/>
      <c r="CE1525" s="204" t="n"/>
      <c r="CF1525" s="207" t="n"/>
      <c r="CG1525" s="208" t="n"/>
      <c r="CH1525" s="207" t="n"/>
      <c r="CI1525" s="208" t="n"/>
      <c r="CJ1525" s="204" t="n"/>
      <c r="CK1525" s="208" t="n"/>
      <c r="CL1525" s="208" t="n"/>
      <c r="CM1525" s="208" t="n"/>
      <c r="CN1525" s="78" t="n"/>
      <c r="CO1525" s="209" t="n"/>
      <c r="CP1525" s="204" t="n"/>
      <c r="CQ1525" s="204" t="n"/>
      <c r="CR1525" s="204" t="n"/>
      <c r="CS1525" s="204" t="n"/>
      <c r="CT1525" s="204" t="n"/>
      <c r="CU1525" s="204" t="n"/>
      <c r="CV1525" s="204" t="n"/>
      <c r="CW1525" s="204" t="n"/>
    </row>
    <row r="1526">
      <c r="BF1526" s="78" t="n"/>
      <c r="BG1526" s="78" t="n"/>
      <c r="BH1526" s="78" t="n"/>
      <c r="BI1526" s="78" t="n"/>
      <c r="BJ1526" s="139" t="n"/>
      <c r="BK1526" s="204" t="n"/>
      <c r="BL1526" s="141" t="n"/>
      <c r="BM1526" s="205" t="n"/>
      <c r="BN1526" s="205" t="n"/>
      <c r="BO1526" s="206" t="n"/>
      <c r="BP1526" s="144" t="n"/>
      <c r="BQ1526" s="141" t="n"/>
      <c r="BR1526" s="207" t="n"/>
      <c r="BS1526" s="207" t="n"/>
      <c r="BT1526" s="207" t="n"/>
      <c r="BU1526" s="207" t="n"/>
      <c r="BV1526" s="208" t="n"/>
      <c r="BW1526" s="207" t="n"/>
      <c r="BX1526" s="207" t="n"/>
      <c r="BY1526" s="204" t="n"/>
      <c r="BZ1526" s="148" t="n"/>
      <c r="CA1526" s="204" t="n"/>
      <c r="CB1526" s="208" t="n"/>
      <c r="CC1526" s="139" t="n"/>
      <c r="CD1526" s="204" t="n"/>
      <c r="CE1526" s="204" t="n"/>
      <c r="CF1526" s="207" t="n"/>
      <c r="CG1526" s="208" t="n"/>
      <c r="CH1526" s="207" t="n"/>
      <c r="CI1526" s="208" t="n"/>
      <c r="CJ1526" s="204" t="n"/>
      <c r="CK1526" s="208" t="n"/>
      <c r="CL1526" s="208" t="n"/>
      <c r="CM1526" s="208" t="n"/>
      <c r="CN1526" s="78" t="n"/>
      <c r="CO1526" s="209" t="n"/>
      <c r="CP1526" s="204" t="n"/>
      <c r="CQ1526" s="204" t="n"/>
      <c r="CR1526" s="204" t="n"/>
      <c r="CS1526" s="204" t="n"/>
      <c r="CT1526" s="204" t="n"/>
      <c r="CU1526" s="204" t="n"/>
      <c r="CV1526" s="204" t="n"/>
      <c r="CW1526" s="204" t="n"/>
    </row>
    <row r="1527">
      <c r="BF1527" s="78" t="n"/>
      <c r="BG1527" s="78" t="n"/>
      <c r="BH1527" s="78" t="n"/>
      <c r="BI1527" s="78" t="n"/>
      <c r="BJ1527" s="139" t="n"/>
      <c r="BK1527" s="204" t="n"/>
      <c r="BL1527" s="141" t="n"/>
      <c r="BM1527" s="205" t="n"/>
      <c r="BN1527" s="205" t="n"/>
      <c r="BO1527" s="206" t="n"/>
      <c r="BP1527" s="144" t="n"/>
      <c r="BQ1527" s="141" t="n"/>
      <c r="BR1527" s="207" t="n"/>
      <c r="BS1527" s="207" t="n"/>
      <c r="BT1527" s="207" t="n"/>
      <c r="BU1527" s="207" t="n"/>
      <c r="BV1527" s="208" t="n"/>
      <c r="BW1527" s="207" t="n"/>
      <c r="BX1527" s="207" t="n"/>
      <c r="BY1527" s="204" t="n"/>
      <c r="BZ1527" s="148" t="n"/>
      <c r="CA1527" s="204" t="n"/>
      <c r="CB1527" s="208" t="n"/>
      <c r="CC1527" s="139" t="n"/>
      <c r="CD1527" s="204" t="n"/>
      <c r="CE1527" s="204" t="n"/>
      <c r="CF1527" s="207" t="n"/>
      <c r="CG1527" s="208" t="n"/>
      <c r="CH1527" s="207" t="n"/>
      <c r="CI1527" s="208" t="n"/>
      <c r="CJ1527" s="204" t="n"/>
      <c r="CK1527" s="208" t="n"/>
      <c r="CL1527" s="208" t="n"/>
      <c r="CM1527" s="208" t="n"/>
      <c r="CN1527" s="78" t="n"/>
      <c r="CO1527" s="209" t="n"/>
      <c r="CP1527" s="204" t="n"/>
      <c r="CQ1527" s="204" t="n"/>
      <c r="CR1527" s="204" t="n"/>
      <c r="CS1527" s="204" t="n"/>
      <c r="CT1527" s="204" t="n"/>
      <c r="CU1527" s="204" t="n"/>
      <c r="CV1527" s="204" t="n"/>
      <c r="CW1527" s="204" t="n"/>
    </row>
    <row r="1528">
      <c r="BF1528" s="78" t="n"/>
      <c r="BG1528" s="78" t="n"/>
      <c r="BH1528" s="78" t="n"/>
      <c r="BI1528" s="78" t="n"/>
      <c r="BJ1528" s="139" t="n"/>
      <c r="BK1528" s="204" t="n"/>
      <c r="BL1528" s="141" t="n"/>
      <c r="BM1528" s="205" t="n"/>
      <c r="BN1528" s="205" t="n"/>
      <c r="BO1528" s="206" t="n"/>
      <c r="BP1528" s="144" t="n"/>
      <c r="BQ1528" s="141" t="n"/>
      <c r="BR1528" s="207" t="n"/>
      <c r="BS1528" s="207" t="n"/>
      <c r="BT1528" s="207" t="n"/>
      <c r="BU1528" s="207" t="n"/>
      <c r="BV1528" s="208" t="n"/>
      <c r="BW1528" s="207" t="n"/>
      <c r="BX1528" s="207" t="n"/>
      <c r="BY1528" s="204" t="n"/>
      <c r="BZ1528" s="148" t="n"/>
      <c r="CA1528" s="204" t="n"/>
      <c r="CB1528" s="208" t="n"/>
      <c r="CC1528" s="139" t="n"/>
      <c r="CD1528" s="204" t="n"/>
      <c r="CE1528" s="204" t="n"/>
      <c r="CF1528" s="207" t="n"/>
      <c r="CG1528" s="208" t="n"/>
      <c r="CH1528" s="207" t="n"/>
      <c r="CI1528" s="208" t="n"/>
      <c r="CJ1528" s="204" t="n"/>
      <c r="CK1528" s="208" t="n"/>
      <c r="CL1528" s="208" t="n"/>
      <c r="CM1528" s="208" t="n"/>
      <c r="CN1528" s="78" t="n"/>
      <c r="CO1528" s="209" t="n"/>
      <c r="CP1528" s="204" t="n"/>
      <c r="CQ1528" s="204" t="n"/>
      <c r="CR1528" s="204" t="n"/>
      <c r="CS1528" s="204" t="n"/>
      <c r="CT1528" s="204" t="n"/>
      <c r="CU1528" s="204" t="n"/>
      <c r="CV1528" s="204" t="n"/>
      <c r="CW1528" s="204" t="n"/>
    </row>
    <row r="1529">
      <c r="BF1529" s="78" t="n"/>
      <c r="BG1529" s="78" t="n"/>
      <c r="BH1529" s="78" t="n"/>
      <c r="BI1529" s="78" t="n"/>
      <c r="BJ1529" s="139" t="n"/>
      <c r="BK1529" s="204" t="n"/>
      <c r="BL1529" s="141" t="n"/>
      <c r="BM1529" s="205" t="n"/>
      <c r="BN1529" s="205" t="n"/>
      <c r="BO1529" s="206" t="n"/>
      <c r="BP1529" s="144" t="n"/>
      <c r="BQ1529" s="141" t="n"/>
      <c r="BR1529" s="207" t="n"/>
      <c r="BS1529" s="207" t="n"/>
      <c r="BT1529" s="207" t="n"/>
      <c r="BU1529" s="207" t="n"/>
      <c r="BV1529" s="208" t="n"/>
      <c r="BW1529" s="207" t="n"/>
      <c r="BX1529" s="207" t="n"/>
      <c r="BY1529" s="204" t="n"/>
      <c r="BZ1529" s="148" t="n"/>
      <c r="CA1529" s="204" t="n"/>
      <c r="CB1529" s="208" t="n"/>
      <c r="CC1529" s="139" t="n"/>
      <c r="CD1529" s="204" t="n"/>
      <c r="CE1529" s="204" t="n"/>
      <c r="CF1529" s="207" t="n"/>
      <c r="CG1529" s="208" t="n"/>
      <c r="CH1529" s="207" t="n"/>
      <c r="CI1529" s="208" t="n"/>
      <c r="CJ1529" s="204" t="n"/>
      <c r="CK1529" s="208" t="n"/>
      <c r="CL1529" s="208" t="n"/>
      <c r="CM1529" s="208" t="n"/>
      <c r="CN1529" s="78" t="n"/>
      <c r="CO1529" s="209" t="n"/>
      <c r="CP1529" s="204" t="n"/>
      <c r="CQ1529" s="204" t="n"/>
      <c r="CR1529" s="204" t="n"/>
      <c r="CS1529" s="204" t="n"/>
      <c r="CT1529" s="204" t="n"/>
      <c r="CU1529" s="204" t="n"/>
      <c r="CV1529" s="204" t="n"/>
      <c r="CW1529" s="204" t="n"/>
    </row>
    <row r="1530">
      <c r="BF1530" s="78" t="n"/>
      <c r="BG1530" s="78" t="n"/>
      <c r="BH1530" s="78" t="n"/>
      <c r="BI1530" s="78" t="n"/>
      <c r="BJ1530" s="139" t="n"/>
      <c r="BK1530" s="204" t="n"/>
      <c r="BL1530" s="141" t="n"/>
      <c r="BM1530" s="205" t="n"/>
      <c r="BN1530" s="205" t="n"/>
      <c r="BO1530" s="206" t="n"/>
      <c r="BP1530" s="144" t="n"/>
      <c r="BQ1530" s="141" t="n"/>
      <c r="BR1530" s="207" t="n"/>
      <c r="BS1530" s="207" t="n"/>
      <c r="BT1530" s="207" t="n"/>
      <c r="BU1530" s="207" t="n"/>
      <c r="BV1530" s="208" t="n"/>
      <c r="BW1530" s="207" t="n"/>
      <c r="BX1530" s="207" t="n"/>
      <c r="BY1530" s="204" t="n"/>
      <c r="BZ1530" s="148" t="n"/>
      <c r="CA1530" s="204" t="n"/>
      <c r="CB1530" s="208" t="n"/>
      <c r="CC1530" s="139" t="n"/>
      <c r="CD1530" s="204" t="n"/>
      <c r="CE1530" s="204" t="n"/>
      <c r="CF1530" s="207" t="n"/>
      <c r="CG1530" s="208" t="n"/>
      <c r="CH1530" s="207" t="n"/>
      <c r="CI1530" s="208" t="n"/>
      <c r="CJ1530" s="204" t="n"/>
      <c r="CK1530" s="208" t="n"/>
      <c r="CL1530" s="208" t="n"/>
      <c r="CM1530" s="208" t="n"/>
      <c r="CN1530" s="78" t="n"/>
      <c r="CO1530" s="209" t="n"/>
      <c r="CP1530" s="204" t="n"/>
      <c r="CQ1530" s="204" t="n"/>
      <c r="CR1530" s="204" t="n"/>
      <c r="CS1530" s="204" t="n"/>
      <c r="CT1530" s="204" t="n"/>
      <c r="CU1530" s="204" t="n"/>
      <c r="CV1530" s="204" t="n"/>
      <c r="CW1530" s="204" t="n"/>
    </row>
    <row r="1531">
      <c r="BF1531" s="78" t="n"/>
      <c r="BG1531" s="78" t="n"/>
      <c r="BH1531" s="78" t="n"/>
      <c r="BI1531" s="78" t="n"/>
      <c r="BJ1531" s="139" t="n"/>
      <c r="BK1531" s="204" t="n"/>
      <c r="BL1531" s="141" t="n"/>
      <c r="BM1531" s="205" t="n"/>
      <c r="BN1531" s="205" t="n"/>
      <c r="BO1531" s="206" t="n"/>
      <c r="BP1531" s="144" t="n"/>
      <c r="BQ1531" s="141" t="n"/>
      <c r="BR1531" s="207" t="n"/>
      <c r="BS1531" s="207" t="n"/>
      <c r="BT1531" s="207" t="n"/>
      <c r="BU1531" s="207" t="n"/>
      <c r="BV1531" s="208" t="n"/>
      <c r="BW1531" s="207" t="n"/>
      <c r="BX1531" s="207" t="n"/>
      <c r="BY1531" s="204" t="n"/>
      <c r="BZ1531" s="148" t="n"/>
      <c r="CA1531" s="204" t="n"/>
      <c r="CB1531" s="208" t="n"/>
      <c r="CC1531" s="139" t="n"/>
      <c r="CD1531" s="204" t="n"/>
      <c r="CE1531" s="204" t="n"/>
      <c r="CF1531" s="207" t="n"/>
      <c r="CG1531" s="208" t="n"/>
      <c r="CH1531" s="207" t="n"/>
      <c r="CI1531" s="208" t="n"/>
      <c r="CJ1531" s="204" t="n"/>
      <c r="CK1531" s="208" t="n"/>
      <c r="CL1531" s="208" t="n"/>
      <c r="CM1531" s="208" t="n"/>
      <c r="CN1531" s="78" t="n"/>
      <c r="CO1531" s="209" t="n"/>
      <c r="CP1531" s="204" t="n"/>
      <c r="CQ1531" s="204" t="n"/>
      <c r="CR1531" s="204" t="n"/>
      <c r="CS1531" s="204" t="n"/>
      <c r="CT1531" s="204" t="n"/>
      <c r="CU1531" s="204" t="n"/>
      <c r="CV1531" s="204" t="n"/>
      <c r="CW1531" s="204" t="n"/>
    </row>
    <row r="1532">
      <c r="BF1532" s="78" t="n"/>
      <c r="BG1532" s="78" t="n"/>
      <c r="BH1532" s="78" t="n"/>
      <c r="BI1532" s="78" t="n"/>
      <c r="BJ1532" s="139" t="n"/>
      <c r="BK1532" s="204" t="n"/>
      <c r="BL1532" s="141" t="n"/>
      <c r="BM1532" s="205" t="n"/>
      <c r="BN1532" s="205" t="n"/>
      <c r="BO1532" s="206" t="n"/>
      <c r="BP1532" s="144" t="n"/>
      <c r="BQ1532" s="141" t="n"/>
      <c r="BR1532" s="207" t="n"/>
      <c r="BS1532" s="207" t="n"/>
      <c r="BT1532" s="207" t="n"/>
      <c r="BU1532" s="207" t="n"/>
      <c r="BV1532" s="208" t="n"/>
      <c r="BW1532" s="207" t="n"/>
      <c r="BX1532" s="207" t="n"/>
      <c r="BY1532" s="204" t="n"/>
      <c r="BZ1532" s="148" t="n"/>
      <c r="CA1532" s="204" t="n"/>
      <c r="CB1532" s="208" t="n"/>
      <c r="CC1532" s="139" t="n"/>
      <c r="CD1532" s="204" t="n"/>
      <c r="CE1532" s="204" t="n"/>
      <c r="CF1532" s="207" t="n"/>
      <c r="CG1532" s="208" t="n"/>
      <c r="CH1532" s="207" t="n"/>
      <c r="CI1532" s="208" t="n"/>
      <c r="CJ1532" s="204" t="n"/>
      <c r="CK1532" s="208" t="n"/>
      <c r="CL1532" s="208" t="n"/>
      <c r="CM1532" s="208" t="n"/>
      <c r="CN1532" s="78" t="n"/>
      <c r="CO1532" s="209" t="n"/>
      <c r="CP1532" s="204" t="n"/>
      <c r="CQ1532" s="204" t="n"/>
      <c r="CR1532" s="204" t="n"/>
      <c r="CS1532" s="204" t="n"/>
      <c r="CT1532" s="204" t="n"/>
      <c r="CU1532" s="204" t="n"/>
      <c r="CV1532" s="204" t="n"/>
      <c r="CW1532" s="204" t="n"/>
    </row>
    <row r="1533">
      <c r="BF1533" s="78" t="n"/>
      <c r="BG1533" s="78" t="n"/>
      <c r="BH1533" s="78" t="n"/>
      <c r="BI1533" s="78" t="n"/>
      <c r="BJ1533" s="139" t="n"/>
      <c r="BK1533" s="204" t="n"/>
      <c r="BL1533" s="141" t="n"/>
      <c r="BM1533" s="205" t="n"/>
      <c r="BN1533" s="205" t="n"/>
      <c r="BO1533" s="206" t="n"/>
      <c r="BP1533" s="144" t="n"/>
      <c r="BQ1533" s="141" t="n"/>
      <c r="BR1533" s="207" t="n"/>
      <c r="BS1533" s="207" t="n"/>
      <c r="BT1533" s="207" t="n"/>
      <c r="BU1533" s="207" t="n"/>
      <c r="BV1533" s="208" t="n"/>
      <c r="BW1533" s="207" t="n"/>
      <c r="BX1533" s="207" t="n"/>
      <c r="BY1533" s="204" t="n"/>
      <c r="BZ1533" s="148" t="n"/>
      <c r="CA1533" s="204" t="n"/>
      <c r="CB1533" s="208" t="n"/>
      <c r="CC1533" s="139" t="n"/>
      <c r="CD1533" s="204" t="n"/>
      <c r="CE1533" s="204" t="n"/>
      <c r="CF1533" s="207" t="n"/>
      <c r="CG1533" s="208" t="n"/>
      <c r="CH1533" s="207" t="n"/>
      <c r="CI1533" s="208" t="n"/>
      <c r="CJ1533" s="204" t="n"/>
      <c r="CK1533" s="208" t="n"/>
      <c r="CL1533" s="208" t="n"/>
      <c r="CM1533" s="208" t="n"/>
      <c r="CN1533" s="78" t="n"/>
      <c r="CO1533" s="209" t="n"/>
      <c r="CP1533" s="204" t="n"/>
      <c r="CQ1533" s="204" t="n"/>
      <c r="CR1533" s="204" t="n"/>
      <c r="CS1533" s="204" t="n"/>
      <c r="CT1533" s="204" t="n"/>
      <c r="CU1533" s="204" t="n"/>
      <c r="CV1533" s="204" t="n"/>
      <c r="CW1533" s="204" t="n"/>
    </row>
    <row r="1534">
      <c r="BF1534" s="78" t="n"/>
      <c r="BG1534" s="78" t="n"/>
      <c r="BH1534" s="78" t="n"/>
      <c r="BI1534" s="78" t="n"/>
      <c r="BJ1534" s="139" t="n"/>
      <c r="BK1534" s="204" t="n"/>
      <c r="BL1534" s="141" t="n"/>
      <c r="BM1534" s="205" t="n"/>
      <c r="BN1534" s="205" t="n"/>
      <c r="BO1534" s="206" t="n"/>
      <c r="BP1534" s="144" t="n"/>
      <c r="BQ1534" s="141" t="n"/>
      <c r="BR1534" s="207" t="n"/>
      <c r="BS1534" s="207" t="n"/>
      <c r="BT1534" s="207" t="n"/>
      <c r="BU1534" s="207" t="n"/>
      <c r="BV1534" s="208" t="n"/>
      <c r="BW1534" s="207" t="n"/>
      <c r="BX1534" s="207" t="n"/>
      <c r="BY1534" s="204" t="n"/>
      <c r="BZ1534" s="148" t="n"/>
      <c r="CA1534" s="204" t="n"/>
      <c r="CB1534" s="208" t="n"/>
      <c r="CC1534" s="139" t="n"/>
      <c r="CD1534" s="204" t="n"/>
      <c r="CE1534" s="204" t="n"/>
      <c r="CF1534" s="207" t="n"/>
      <c r="CG1534" s="208" t="n"/>
      <c r="CH1534" s="207" t="n"/>
      <c r="CI1534" s="208" t="n"/>
      <c r="CJ1534" s="204" t="n"/>
      <c r="CK1534" s="208" t="n"/>
      <c r="CL1534" s="208" t="n"/>
      <c r="CM1534" s="208" t="n"/>
      <c r="CN1534" s="78" t="n"/>
      <c r="CO1534" s="209" t="n"/>
      <c r="CP1534" s="204" t="n"/>
      <c r="CQ1534" s="204" t="n"/>
      <c r="CR1534" s="204" t="n"/>
      <c r="CS1534" s="204" t="n"/>
      <c r="CT1534" s="204" t="n"/>
      <c r="CU1534" s="204" t="n"/>
      <c r="CV1534" s="204" t="n"/>
      <c r="CW1534" s="204" t="n"/>
    </row>
    <row r="1535">
      <c r="BF1535" s="78" t="n"/>
      <c r="BG1535" s="78" t="n"/>
      <c r="BH1535" s="78" t="n"/>
      <c r="BI1535" s="78" t="n"/>
      <c r="BJ1535" s="139" t="n"/>
      <c r="BK1535" s="204" t="n"/>
      <c r="BL1535" s="141" t="n"/>
      <c r="BM1535" s="205" t="n"/>
      <c r="BN1535" s="205" t="n"/>
      <c r="BO1535" s="206" t="n"/>
      <c r="BP1535" s="144" t="n"/>
      <c r="BQ1535" s="141" t="n"/>
      <c r="BR1535" s="207" t="n"/>
      <c r="BS1535" s="207" t="n"/>
      <c r="BT1535" s="207" t="n"/>
      <c r="BU1535" s="207" t="n"/>
      <c r="BV1535" s="208" t="n"/>
      <c r="BW1535" s="207" t="n"/>
      <c r="BX1535" s="207" t="n"/>
      <c r="BY1535" s="204" t="n"/>
      <c r="BZ1535" s="148" t="n"/>
      <c r="CA1535" s="204" t="n"/>
      <c r="CB1535" s="208" t="n"/>
      <c r="CC1535" s="139" t="n"/>
      <c r="CD1535" s="204" t="n"/>
      <c r="CE1535" s="204" t="n"/>
      <c r="CF1535" s="207" t="n"/>
      <c r="CG1535" s="208" t="n"/>
      <c r="CH1535" s="207" t="n"/>
      <c r="CI1535" s="208" t="n"/>
      <c r="CJ1535" s="204" t="n"/>
      <c r="CK1535" s="208" t="n"/>
      <c r="CL1535" s="208" t="n"/>
      <c r="CM1535" s="208" t="n"/>
      <c r="CN1535" s="78" t="n"/>
      <c r="CO1535" s="209" t="n"/>
      <c r="CP1535" s="204" t="n"/>
      <c r="CQ1535" s="204" t="n"/>
      <c r="CR1535" s="204" t="n"/>
      <c r="CS1535" s="204" t="n"/>
      <c r="CT1535" s="204" t="n"/>
      <c r="CU1535" s="204" t="n"/>
      <c r="CV1535" s="204" t="n"/>
      <c r="CW1535" s="204" t="n"/>
    </row>
    <row r="1536">
      <c r="BF1536" s="78" t="n"/>
      <c r="BG1536" s="78" t="n"/>
      <c r="BH1536" s="78" t="n"/>
      <c r="BI1536" s="78" t="n"/>
      <c r="BJ1536" s="139" t="n"/>
      <c r="BK1536" s="204" t="n"/>
      <c r="BL1536" s="141" t="n"/>
      <c r="BM1536" s="205" t="n"/>
      <c r="BN1536" s="205" t="n"/>
      <c r="BO1536" s="206" t="n"/>
      <c r="BP1536" s="144" t="n"/>
      <c r="BQ1536" s="141" t="n"/>
      <c r="BR1536" s="207" t="n"/>
      <c r="BS1536" s="207" t="n"/>
      <c r="BT1536" s="207" t="n"/>
      <c r="BU1536" s="207" t="n"/>
      <c r="BV1536" s="208" t="n"/>
      <c r="BW1536" s="207" t="n"/>
      <c r="BX1536" s="207" t="n"/>
      <c r="BY1536" s="204" t="n"/>
      <c r="BZ1536" s="148" t="n"/>
      <c r="CA1536" s="204" t="n"/>
      <c r="CB1536" s="208" t="n"/>
      <c r="CC1536" s="139" t="n"/>
      <c r="CD1536" s="204" t="n"/>
      <c r="CE1536" s="204" t="n"/>
      <c r="CF1536" s="207" t="n"/>
      <c r="CG1536" s="208" t="n"/>
      <c r="CH1536" s="207" t="n"/>
      <c r="CI1536" s="208" t="n"/>
      <c r="CJ1536" s="204" t="n"/>
      <c r="CK1536" s="208" t="n"/>
      <c r="CL1536" s="208" t="n"/>
      <c r="CM1536" s="208" t="n"/>
      <c r="CN1536" s="78" t="n"/>
      <c r="CO1536" s="209" t="n"/>
      <c r="CP1536" s="204" t="n"/>
      <c r="CQ1536" s="204" t="n"/>
      <c r="CR1536" s="204" t="n"/>
      <c r="CS1536" s="204" t="n"/>
      <c r="CT1536" s="204" t="n"/>
      <c r="CU1536" s="204" t="n"/>
      <c r="CV1536" s="204" t="n"/>
      <c r="CW1536" s="204" t="n"/>
    </row>
    <row r="1537">
      <c r="BF1537" s="78" t="n"/>
      <c r="BG1537" s="78" t="n"/>
      <c r="BH1537" s="78" t="n"/>
      <c r="BI1537" s="78" t="n"/>
      <c r="BJ1537" s="139" t="n"/>
      <c r="BK1537" s="204" t="n"/>
      <c r="BL1537" s="141" t="n"/>
      <c r="BM1537" s="205" t="n"/>
      <c r="BN1537" s="205" t="n"/>
      <c r="BO1537" s="206" t="n"/>
      <c r="BP1537" s="144" t="n"/>
      <c r="BQ1537" s="141" t="n"/>
      <c r="BR1537" s="207" t="n"/>
      <c r="BS1537" s="207" t="n"/>
      <c r="BT1537" s="207" t="n"/>
      <c r="BU1537" s="207" t="n"/>
      <c r="BV1537" s="208" t="n"/>
      <c r="BW1537" s="207" t="n"/>
      <c r="BX1537" s="207" t="n"/>
      <c r="BY1537" s="204" t="n"/>
      <c r="BZ1537" s="148" t="n"/>
      <c r="CA1537" s="204" t="n"/>
      <c r="CB1537" s="208" t="n"/>
      <c r="CC1537" s="139" t="n"/>
      <c r="CD1537" s="204" t="n"/>
      <c r="CE1537" s="204" t="n"/>
      <c r="CF1537" s="207" t="n"/>
      <c r="CG1537" s="208" t="n"/>
      <c r="CH1537" s="207" t="n"/>
      <c r="CI1537" s="208" t="n"/>
      <c r="CJ1537" s="204" t="n"/>
      <c r="CK1537" s="208" t="n"/>
      <c r="CL1537" s="208" t="n"/>
      <c r="CM1537" s="208" t="n"/>
      <c r="CN1537" s="78" t="n"/>
      <c r="CO1537" s="209" t="n"/>
      <c r="CP1537" s="204" t="n"/>
      <c r="CQ1537" s="204" t="n"/>
      <c r="CR1537" s="204" t="n"/>
      <c r="CS1537" s="204" t="n"/>
      <c r="CT1537" s="204" t="n"/>
      <c r="CU1537" s="204" t="n"/>
      <c r="CV1537" s="204" t="n"/>
      <c r="CW1537" s="204" t="n"/>
    </row>
    <row r="1538">
      <c r="BF1538" s="78" t="n"/>
      <c r="BG1538" s="78" t="n"/>
      <c r="BH1538" s="78" t="n"/>
      <c r="BI1538" s="78" t="n"/>
      <c r="BJ1538" s="139" t="n"/>
      <c r="BK1538" s="204" t="n"/>
      <c r="BL1538" s="141" t="n"/>
      <c r="BM1538" s="205" t="n"/>
      <c r="BN1538" s="205" t="n"/>
      <c r="BO1538" s="206" t="n"/>
      <c r="BP1538" s="144" t="n"/>
      <c r="BQ1538" s="141" t="n"/>
      <c r="BR1538" s="207" t="n"/>
      <c r="BS1538" s="207" t="n"/>
      <c r="BT1538" s="207" t="n"/>
      <c r="BU1538" s="207" t="n"/>
      <c r="BV1538" s="208" t="n"/>
      <c r="BW1538" s="207" t="n"/>
      <c r="BX1538" s="207" t="n"/>
      <c r="BY1538" s="204" t="n"/>
      <c r="BZ1538" s="148" t="n"/>
      <c r="CA1538" s="204" t="n"/>
      <c r="CB1538" s="208" t="n"/>
      <c r="CC1538" s="139" t="n"/>
      <c r="CD1538" s="204" t="n"/>
      <c r="CE1538" s="204" t="n"/>
      <c r="CF1538" s="207" t="n"/>
      <c r="CG1538" s="208" t="n"/>
      <c r="CH1538" s="207" t="n"/>
      <c r="CI1538" s="208" t="n"/>
      <c r="CJ1538" s="204" t="n"/>
      <c r="CK1538" s="208" t="n"/>
      <c r="CL1538" s="208" t="n"/>
      <c r="CM1538" s="208" t="n"/>
      <c r="CN1538" s="78" t="n"/>
      <c r="CO1538" s="209" t="n"/>
      <c r="CP1538" s="204" t="n"/>
      <c r="CQ1538" s="204" t="n"/>
      <c r="CR1538" s="204" t="n"/>
      <c r="CS1538" s="204" t="n"/>
      <c r="CT1538" s="204" t="n"/>
      <c r="CU1538" s="204" t="n"/>
      <c r="CV1538" s="204" t="n"/>
      <c r="CW1538" s="204" t="n"/>
    </row>
    <row r="1539">
      <c r="BF1539" s="78" t="n"/>
      <c r="BG1539" s="78" t="n"/>
      <c r="BH1539" s="78" t="n"/>
      <c r="BI1539" s="78" t="n"/>
      <c r="BJ1539" s="139" t="n"/>
      <c r="BK1539" s="204" t="n"/>
      <c r="BL1539" s="141" t="n"/>
      <c r="BM1539" s="205" t="n"/>
      <c r="BN1539" s="205" t="n"/>
      <c r="BO1539" s="206" t="n"/>
      <c r="BP1539" s="144" t="n"/>
      <c r="BQ1539" s="141" t="n"/>
      <c r="BR1539" s="207" t="n"/>
      <c r="BS1539" s="207" t="n"/>
      <c r="BT1539" s="207" t="n"/>
      <c r="BU1539" s="207" t="n"/>
      <c r="BV1539" s="208" t="n"/>
      <c r="BW1539" s="207" t="n"/>
      <c r="BX1539" s="207" t="n"/>
      <c r="BY1539" s="204" t="n"/>
      <c r="BZ1539" s="148" t="n"/>
      <c r="CA1539" s="204" t="n"/>
      <c r="CB1539" s="208" t="n"/>
      <c r="CC1539" s="139" t="n"/>
      <c r="CD1539" s="204" t="n"/>
      <c r="CE1539" s="204" t="n"/>
      <c r="CF1539" s="207" t="n"/>
      <c r="CG1539" s="208" t="n"/>
      <c r="CH1539" s="207" t="n"/>
      <c r="CI1539" s="208" t="n"/>
      <c r="CJ1539" s="204" t="n"/>
      <c r="CK1539" s="208" t="n"/>
      <c r="CL1539" s="208" t="n"/>
      <c r="CM1539" s="208" t="n"/>
      <c r="CN1539" s="78" t="n"/>
      <c r="CO1539" s="209" t="n"/>
      <c r="CP1539" s="204" t="n"/>
      <c r="CQ1539" s="204" t="n"/>
      <c r="CR1539" s="204" t="n"/>
      <c r="CS1539" s="204" t="n"/>
      <c r="CT1539" s="204" t="n"/>
      <c r="CU1539" s="204" t="n"/>
      <c r="CV1539" s="204" t="n"/>
      <c r="CW1539" s="204" t="n"/>
    </row>
    <row r="1540">
      <c r="BF1540" s="78" t="n"/>
      <c r="BG1540" s="78" t="n"/>
      <c r="BH1540" s="78" t="n"/>
      <c r="BI1540" s="78" t="n"/>
      <c r="BJ1540" s="139" t="n"/>
      <c r="BK1540" s="204" t="n"/>
      <c r="BL1540" s="141" t="n"/>
      <c r="BM1540" s="205" t="n"/>
      <c r="BN1540" s="205" t="n"/>
      <c r="BO1540" s="206" t="n"/>
      <c r="BP1540" s="144" t="n"/>
      <c r="BQ1540" s="141" t="n"/>
      <c r="BR1540" s="207" t="n"/>
      <c r="BS1540" s="207" t="n"/>
      <c r="BT1540" s="207" t="n"/>
      <c r="BU1540" s="207" t="n"/>
      <c r="BV1540" s="208" t="n"/>
      <c r="BW1540" s="207" t="n"/>
      <c r="BX1540" s="207" t="n"/>
      <c r="BY1540" s="204" t="n"/>
      <c r="BZ1540" s="148" t="n"/>
      <c r="CA1540" s="204" t="n"/>
      <c r="CB1540" s="208" t="n"/>
      <c r="CC1540" s="139" t="n"/>
      <c r="CD1540" s="204" t="n"/>
      <c r="CE1540" s="204" t="n"/>
      <c r="CF1540" s="207" t="n"/>
      <c r="CG1540" s="208" t="n"/>
      <c r="CH1540" s="207" t="n"/>
      <c r="CI1540" s="208" t="n"/>
      <c r="CJ1540" s="204" t="n"/>
      <c r="CK1540" s="208" t="n"/>
      <c r="CL1540" s="208" t="n"/>
      <c r="CM1540" s="208" t="n"/>
      <c r="CN1540" s="78" t="n"/>
      <c r="CO1540" s="209" t="n"/>
      <c r="CP1540" s="204" t="n"/>
      <c r="CQ1540" s="204" t="n"/>
      <c r="CR1540" s="204" t="n"/>
      <c r="CS1540" s="204" t="n"/>
      <c r="CT1540" s="204" t="n"/>
      <c r="CU1540" s="204" t="n"/>
      <c r="CV1540" s="204" t="n"/>
      <c r="CW1540" s="204" t="n"/>
    </row>
    <row r="1541">
      <c r="BF1541" s="78" t="n"/>
      <c r="BG1541" s="78" t="n"/>
      <c r="BH1541" s="78" t="n"/>
      <c r="BI1541" s="78" t="n"/>
      <c r="BJ1541" s="139" t="n"/>
      <c r="BK1541" s="204" t="n"/>
      <c r="BL1541" s="141" t="n"/>
      <c r="BM1541" s="205" t="n"/>
      <c r="BN1541" s="205" t="n"/>
      <c r="BO1541" s="206" t="n"/>
      <c r="BP1541" s="144" t="n"/>
      <c r="BQ1541" s="141" t="n"/>
      <c r="BR1541" s="207" t="n"/>
      <c r="BS1541" s="207" t="n"/>
      <c r="BT1541" s="207" t="n"/>
      <c r="BU1541" s="207" t="n"/>
      <c r="BV1541" s="208" t="n"/>
      <c r="BW1541" s="207" t="n"/>
      <c r="BX1541" s="207" t="n"/>
      <c r="BY1541" s="204" t="n"/>
      <c r="BZ1541" s="148" t="n"/>
      <c r="CA1541" s="204" t="n"/>
      <c r="CB1541" s="208" t="n"/>
      <c r="CC1541" s="139" t="n"/>
      <c r="CD1541" s="204" t="n"/>
      <c r="CE1541" s="204" t="n"/>
      <c r="CF1541" s="207" t="n"/>
      <c r="CG1541" s="208" t="n"/>
      <c r="CH1541" s="207" t="n"/>
      <c r="CI1541" s="208" t="n"/>
      <c r="CJ1541" s="204" t="n"/>
      <c r="CK1541" s="208" t="n"/>
      <c r="CL1541" s="208" t="n"/>
      <c r="CM1541" s="208" t="n"/>
      <c r="CN1541" s="78" t="n"/>
      <c r="CO1541" s="209" t="n"/>
      <c r="CP1541" s="204" t="n"/>
      <c r="CQ1541" s="204" t="n"/>
      <c r="CR1541" s="204" t="n"/>
      <c r="CS1541" s="204" t="n"/>
      <c r="CT1541" s="204" t="n"/>
      <c r="CU1541" s="204" t="n"/>
      <c r="CV1541" s="204" t="n"/>
      <c r="CW1541" s="204" t="n"/>
    </row>
    <row r="1542">
      <c r="BF1542" s="78" t="n"/>
      <c r="BG1542" s="78" t="n"/>
      <c r="BH1542" s="78" t="n"/>
      <c r="BI1542" s="78" t="n"/>
      <c r="BJ1542" s="139" t="n"/>
      <c r="BK1542" s="204" t="n"/>
      <c r="BL1542" s="141" t="n"/>
      <c r="BM1542" s="205" t="n"/>
      <c r="BN1542" s="205" t="n"/>
      <c r="BO1542" s="206" t="n"/>
      <c r="BP1542" s="144" t="n"/>
      <c r="BQ1542" s="141" t="n"/>
      <c r="BR1542" s="207" t="n"/>
      <c r="BS1542" s="207" t="n"/>
      <c r="BT1542" s="207" t="n"/>
      <c r="BU1542" s="207" t="n"/>
      <c r="BV1542" s="208" t="n"/>
      <c r="BW1542" s="207" t="n"/>
      <c r="BX1542" s="207" t="n"/>
      <c r="BY1542" s="204" t="n"/>
      <c r="BZ1542" s="148" t="n"/>
      <c r="CA1542" s="204" t="n"/>
      <c r="CB1542" s="208" t="n"/>
      <c r="CC1542" s="139" t="n"/>
      <c r="CD1542" s="204" t="n"/>
      <c r="CE1542" s="204" t="n"/>
      <c r="CF1542" s="207" t="n"/>
      <c r="CG1542" s="208" t="n"/>
      <c r="CH1542" s="207" t="n"/>
      <c r="CI1542" s="208" t="n"/>
      <c r="CJ1542" s="204" t="n"/>
      <c r="CK1542" s="208" t="n"/>
      <c r="CL1542" s="208" t="n"/>
      <c r="CM1542" s="208" t="n"/>
      <c r="CN1542" s="78" t="n"/>
      <c r="CO1542" s="209" t="n"/>
      <c r="CP1542" s="204" t="n"/>
      <c r="CQ1542" s="204" t="n"/>
      <c r="CR1542" s="204" t="n"/>
      <c r="CS1542" s="204" t="n"/>
      <c r="CT1542" s="204" t="n"/>
      <c r="CU1542" s="204" t="n"/>
      <c r="CV1542" s="204" t="n"/>
      <c r="CW1542" s="204" t="n"/>
    </row>
    <row r="1543">
      <c r="BF1543" s="78" t="n"/>
      <c r="BG1543" s="78" t="n"/>
      <c r="BH1543" s="78" t="n"/>
      <c r="BI1543" s="78" t="n"/>
      <c r="BJ1543" s="139" t="n"/>
      <c r="BK1543" s="204" t="n"/>
      <c r="BL1543" s="141" t="n"/>
      <c r="BM1543" s="205" t="n"/>
      <c r="BN1543" s="205" t="n"/>
      <c r="BO1543" s="206" t="n"/>
      <c r="BP1543" s="144" t="n"/>
      <c r="BQ1543" s="141" t="n"/>
      <c r="BR1543" s="207" t="n"/>
      <c r="BS1543" s="207" t="n"/>
      <c r="BT1543" s="207" t="n"/>
      <c r="BU1543" s="207" t="n"/>
      <c r="BV1543" s="208" t="n"/>
      <c r="BW1543" s="207" t="n"/>
      <c r="BX1543" s="207" t="n"/>
      <c r="BY1543" s="204" t="n"/>
      <c r="BZ1543" s="148" t="n"/>
      <c r="CA1543" s="204" t="n"/>
      <c r="CB1543" s="208" t="n"/>
      <c r="CC1543" s="139" t="n"/>
      <c r="CD1543" s="204" t="n"/>
      <c r="CE1543" s="204" t="n"/>
      <c r="CF1543" s="207" t="n"/>
      <c r="CG1543" s="208" t="n"/>
      <c r="CH1543" s="207" t="n"/>
      <c r="CI1543" s="208" t="n"/>
      <c r="CJ1543" s="204" t="n"/>
      <c r="CK1543" s="208" t="n"/>
      <c r="CL1543" s="208" t="n"/>
      <c r="CM1543" s="208" t="n"/>
      <c r="CN1543" s="78" t="n"/>
      <c r="CO1543" s="209" t="n"/>
      <c r="CP1543" s="204" t="n"/>
      <c r="CQ1543" s="204" t="n"/>
      <c r="CR1543" s="204" t="n"/>
      <c r="CS1543" s="204" t="n"/>
      <c r="CT1543" s="204" t="n"/>
      <c r="CU1543" s="204" t="n"/>
      <c r="CV1543" s="204" t="n"/>
      <c r="CW1543" s="204" t="n"/>
    </row>
    <row r="1544">
      <c r="BF1544" s="78" t="n"/>
      <c r="BG1544" s="78" t="n"/>
      <c r="BH1544" s="78" t="n"/>
      <c r="BI1544" s="78" t="n"/>
      <c r="BJ1544" s="139" t="n"/>
      <c r="BK1544" s="204" t="n"/>
      <c r="BL1544" s="141" t="n"/>
      <c r="BM1544" s="205" t="n"/>
      <c r="BN1544" s="205" t="n"/>
      <c r="BO1544" s="206" t="n"/>
      <c r="BP1544" s="144" t="n"/>
      <c r="BQ1544" s="141" t="n"/>
      <c r="BR1544" s="207" t="n"/>
      <c r="BS1544" s="207" t="n"/>
      <c r="BT1544" s="207" t="n"/>
      <c r="BU1544" s="207" t="n"/>
      <c r="BV1544" s="208" t="n"/>
      <c r="BW1544" s="207" t="n"/>
      <c r="BX1544" s="207" t="n"/>
      <c r="BY1544" s="204" t="n"/>
      <c r="BZ1544" s="148" t="n"/>
      <c r="CA1544" s="204" t="n"/>
      <c r="CB1544" s="208" t="n"/>
      <c r="CC1544" s="139" t="n"/>
      <c r="CD1544" s="204" t="n"/>
      <c r="CE1544" s="204" t="n"/>
      <c r="CF1544" s="207" t="n"/>
      <c r="CG1544" s="208" t="n"/>
      <c r="CH1544" s="207" t="n"/>
      <c r="CI1544" s="208" t="n"/>
      <c r="CJ1544" s="204" t="n"/>
      <c r="CK1544" s="208" t="n"/>
      <c r="CL1544" s="208" t="n"/>
      <c r="CM1544" s="208" t="n"/>
      <c r="CN1544" s="78" t="n"/>
      <c r="CO1544" s="209" t="n"/>
      <c r="CP1544" s="204" t="n"/>
      <c r="CQ1544" s="204" t="n"/>
      <c r="CR1544" s="204" t="n"/>
      <c r="CS1544" s="204" t="n"/>
      <c r="CT1544" s="204" t="n"/>
      <c r="CU1544" s="204" t="n"/>
      <c r="CV1544" s="204" t="n"/>
      <c r="CW1544" s="204" t="n"/>
    </row>
    <row r="1545">
      <c r="BF1545" s="78" t="n"/>
      <c r="BG1545" s="78" t="n"/>
      <c r="BH1545" s="78" t="n"/>
      <c r="BI1545" s="78" t="n"/>
      <c r="BJ1545" s="139" t="n"/>
      <c r="BK1545" s="204" t="n"/>
      <c r="BL1545" s="141" t="n"/>
      <c r="BM1545" s="205" t="n"/>
      <c r="BN1545" s="205" t="n"/>
      <c r="BO1545" s="206" t="n"/>
      <c r="BP1545" s="144" t="n"/>
      <c r="BQ1545" s="141" t="n"/>
      <c r="BR1545" s="207" t="n"/>
      <c r="BS1545" s="207" t="n"/>
      <c r="BT1545" s="207" t="n"/>
      <c r="BU1545" s="207" t="n"/>
      <c r="BV1545" s="208" t="n"/>
      <c r="BW1545" s="207" t="n"/>
      <c r="BX1545" s="207" t="n"/>
      <c r="BY1545" s="204" t="n"/>
      <c r="BZ1545" s="148" t="n"/>
      <c r="CA1545" s="204" t="n"/>
      <c r="CB1545" s="208" t="n"/>
      <c r="CC1545" s="139" t="n"/>
      <c r="CD1545" s="204" t="n"/>
      <c r="CE1545" s="204" t="n"/>
      <c r="CF1545" s="207" t="n"/>
      <c r="CG1545" s="208" t="n"/>
      <c r="CH1545" s="207" t="n"/>
      <c r="CI1545" s="208" t="n"/>
      <c r="CJ1545" s="204" t="n"/>
      <c r="CK1545" s="208" t="n"/>
      <c r="CL1545" s="208" t="n"/>
      <c r="CM1545" s="208" t="n"/>
      <c r="CN1545" s="78" t="n"/>
      <c r="CO1545" s="209" t="n"/>
      <c r="CP1545" s="204" t="n"/>
      <c r="CQ1545" s="204" t="n"/>
      <c r="CR1545" s="204" t="n"/>
      <c r="CS1545" s="204" t="n"/>
      <c r="CT1545" s="204" t="n"/>
      <c r="CU1545" s="204" t="n"/>
      <c r="CV1545" s="204" t="n"/>
      <c r="CW1545" s="204" t="n"/>
    </row>
    <row r="1546">
      <c r="BF1546" s="78" t="n"/>
      <c r="BG1546" s="78" t="n"/>
      <c r="BH1546" s="78" t="n"/>
      <c r="BI1546" s="78" t="n"/>
      <c r="BJ1546" s="139" t="n"/>
      <c r="BK1546" s="204" t="n"/>
      <c r="BL1546" s="141" t="n"/>
      <c r="BM1546" s="205" t="n"/>
      <c r="BN1546" s="205" t="n"/>
      <c r="BO1546" s="206" t="n"/>
      <c r="BP1546" s="144" t="n"/>
      <c r="BQ1546" s="141" t="n"/>
      <c r="BR1546" s="207" t="n"/>
      <c r="BS1546" s="207" t="n"/>
      <c r="BT1546" s="207" t="n"/>
      <c r="BU1546" s="207" t="n"/>
      <c r="BV1546" s="208" t="n"/>
      <c r="BW1546" s="207" t="n"/>
      <c r="BX1546" s="207" t="n"/>
      <c r="BY1546" s="204" t="n"/>
      <c r="BZ1546" s="148" t="n"/>
      <c r="CA1546" s="204" t="n"/>
      <c r="CB1546" s="208" t="n"/>
      <c r="CC1546" s="139" t="n"/>
      <c r="CD1546" s="204" t="n"/>
      <c r="CE1546" s="204" t="n"/>
      <c r="CF1546" s="207" t="n"/>
      <c r="CG1546" s="208" t="n"/>
      <c r="CH1546" s="207" t="n"/>
      <c r="CI1546" s="208" t="n"/>
      <c r="CJ1546" s="204" t="n"/>
      <c r="CK1546" s="208" t="n"/>
      <c r="CL1546" s="208" t="n"/>
      <c r="CM1546" s="208" t="n"/>
      <c r="CN1546" s="78" t="n"/>
      <c r="CO1546" s="209" t="n"/>
      <c r="CP1546" s="204" t="n"/>
      <c r="CQ1546" s="204" t="n"/>
      <c r="CR1546" s="204" t="n"/>
      <c r="CS1546" s="204" t="n"/>
      <c r="CT1546" s="204" t="n"/>
      <c r="CU1546" s="204" t="n"/>
      <c r="CV1546" s="204" t="n"/>
      <c r="CW1546" s="204" t="n"/>
    </row>
    <row r="1547">
      <c r="BF1547" s="78" t="n"/>
      <c r="BG1547" s="78" t="n"/>
      <c r="BH1547" s="78" t="n"/>
      <c r="BI1547" s="78" t="n"/>
      <c r="BJ1547" s="139" t="n"/>
      <c r="BK1547" s="204" t="n"/>
      <c r="BL1547" s="141" t="n"/>
      <c r="BM1547" s="205" t="n"/>
      <c r="BN1547" s="205" t="n"/>
      <c r="BO1547" s="206" t="n"/>
      <c r="BP1547" s="144" t="n"/>
      <c r="BQ1547" s="141" t="n"/>
      <c r="BR1547" s="207" t="n"/>
      <c r="BS1547" s="207" t="n"/>
      <c r="BT1547" s="207" t="n"/>
      <c r="BU1547" s="207" t="n"/>
      <c r="BV1547" s="208" t="n"/>
      <c r="BW1547" s="207" t="n"/>
      <c r="BX1547" s="207" t="n"/>
      <c r="BY1547" s="204" t="n"/>
      <c r="BZ1547" s="148" t="n"/>
      <c r="CA1547" s="204" t="n"/>
      <c r="CB1547" s="208" t="n"/>
      <c r="CC1547" s="139" t="n"/>
      <c r="CD1547" s="204" t="n"/>
      <c r="CE1547" s="204" t="n"/>
      <c r="CF1547" s="207" t="n"/>
      <c r="CG1547" s="208" t="n"/>
      <c r="CH1547" s="207" t="n"/>
      <c r="CI1547" s="208" t="n"/>
      <c r="CJ1547" s="204" t="n"/>
      <c r="CK1547" s="208" t="n"/>
      <c r="CL1547" s="208" t="n"/>
      <c r="CM1547" s="208" t="n"/>
      <c r="CN1547" s="78" t="n"/>
      <c r="CO1547" s="209" t="n"/>
      <c r="CP1547" s="204" t="n"/>
      <c r="CQ1547" s="204" t="n"/>
      <c r="CR1547" s="204" t="n"/>
      <c r="CS1547" s="204" t="n"/>
      <c r="CT1547" s="204" t="n"/>
      <c r="CU1547" s="204" t="n"/>
      <c r="CV1547" s="204" t="n"/>
      <c r="CW1547" s="204" t="n"/>
    </row>
    <row r="1548">
      <c r="BF1548" s="78" t="n"/>
      <c r="BG1548" s="78" t="n"/>
      <c r="BH1548" s="78" t="n"/>
      <c r="BI1548" s="78" t="n"/>
      <c r="BJ1548" s="139" t="n"/>
      <c r="BK1548" s="204" t="n"/>
      <c r="BL1548" s="141" t="n"/>
      <c r="BM1548" s="205" t="n"/>
      <c r="BN1548" s="205" t="n"/>
      <c r="BO1548" s="206" t="n"/>
      <c r="BP1548" s="144" t="n"/>
      <c r="BQ1548" s="141" t="n"/>
      <c r="BR1548" s="207" t="n"/>
      <c r="BS1548" s="207" t="n"/>
      <c r="BT1548" s="207" t="n"/>
      <c r="BU1548" s="207" t="n"/>
      <c r="BV1548" s="208" t="n"/>
      <c r="BW1548" s="207" t="n"/>
      <c r="BX1548" s="207" t="n"/>
      <c r="BY1548" s="204" t="n"/>
      <c r="BZ1548" s="148" t="n"/>
      <c r="CA1548" s="204" t="n"/>
      <c r="CB1548" s="208" t="n"/>
      <c r="CC1548" s="139" t="n"/>
      <c r="CD1548" s="204" t="n"/>
      <c r="CE1548" s="204" t="n"/>
      <c r="CF1548" s="207" t="n"/>
      <c r="CG1548" s="208" t="n"/>
      <c r="CH1548" s="207" t="n"/>
      <c r="CI1548" s="208" t="n"/>
      <c r="CJ1548" s="204" t="n"/>
      <c r="CK1548" s="208" t="n"/>
      <c r="CL1548" s="208" t="n"/>
      <c r="CM1548" s="208" t="n"/>
      <c r="CN1548" s="78" t="n"/>
      <c r="CO1548" s="209" t="n"/>
      <c r="CP1548" s="204" t="n"/>
      <c r="CQ1548" s="204" t="n"/>
      <c r="CR1548" s="204" t="n"/>
      <c r="CS1548" s="204" t="n"/>
      <c r="CT1548" s="204" t="n"/>
      <c r="CU1548" s="204" t="n"/>
      <c r="CV1548" s="204" t="n"/>
      <c r="CW1548" s="204" t="n"/>
    </row>
    <row r="1549">
      <c r="BF1549" s="78" t="n"/>
      <c r="BG1549" s="78" t="n"/>
      <c r="BH1549" s="78" t="n"/>
      <c r="BI1549" s="78" t="n"/>
      <c r="BJ1549" s="139" t="n"/>
      <c r="BK1549" s="204" t="n"/>
      <c r="BL1549" s="141" t="n"/>
      <c r="BM1549" s="205" t="n"/>
      <c r="BN1549" s="205" t="n"/>
      <c r="BO1549" s="206" t="n"/>
      <c r="BP1549" s="144" t="n"/>
      <c r="BQ1549" s="141" t="n"/>
      <c r="BR1549" s="207" t="n"/>
      <c r="BS1549" s="207" t="n"/>
      <c r="BT1549" s="207" t="n"/>
      <c r="BU1549" s="207" t="n"/>
      <c r="BV1549" s="208" t="n"/>
      <c r="BW1549" s="207" t="n"/>
      <c r="BX1549" s="207" t="n"/>
      <c r="BY1549" s="204" t="n"/>
      <c r="BZ1549" s="148" t="n"/>
      <c r="CA1549" s="204" t="n"/>
      <c r="CB1549" s="208" t="n"/>
      <c r="CC1549" s="139" t="n"/>
      <c r="CD1549" s="204" t="n"/>
      <c r="CE1549" s="204" t="n"/>
      <c r="CF1549" s="207" t="n"/>
      <c r="CG1549" s="208" t="n"/>
      <c r="CH1549" s="207" t="n"/>
      <c r="CI1549" s="208" t="n"/>
      <c r="CJ1549" s="204" t="n"/>
      <c r="CK1549" s="208" t="n"/>
      <c r="CL1549" s="208" t="n"/>
      <c r="CM1549" s="208" t="n"/>
      <c r="CN1549" s="78" t="n"/>
      <c r="CO1549" s="209" t="n"/>
      <c r="CP1549" s="204" t="n"/>
      <c r="CQ1549" s="204" t="n"/>
      <c r="CR1549" s="204" t="n"/>
      <c r="CS1549" s="204" t="n"/>
      <c r="CT1549" s="204" t="n"/>
      <c r="CU1549" s="204" t="n"/>
      <c r="CV1549" s="204" t="n"/>
      <c r="CW1549" s="204" t="n"/>
    </row>
    <row r="1550">
      <c r="BF1550" s="78" t="n"/>
      <c r="BG1550" s="78" t="n"/>
      <c r="BH1550" s="78" t="n"/>
      <c r="BI1550" s="78" t="n"/>
      <c r="BJ1550" s="139" t="n"/>
      <c r="BK1550" s="204" t="n"/>
      <c r="BL1550" s="141" t="n"/>
      <c r="BM1550" s="205" t="n"/>
      <c r="BN1550" s="205" t="n"/>
      <c r="BO1550" s="206" t="n"/>
      <c r="BP1550" s="144" t="n"/>
      <c r="BQ1550" s="141" t="n"/>
      <c r="BR1550" s="207" t="n"/>
      <c r="BS1550" s="207" t="n"/>
      <c r="BT1550" s="207" t="n"/>
      <c r="BU1550" s="207" t="n"/>
      <c r="BV1550" s="208" t="n"/>
      <c r="BW1550" s="207" t="n"/>
      <c r="BX1550" s="207" t="n"/>
      <c r="BY1550" s="204" t="n"/>
      <c r="BZ1550" s="148" t="n"/>
      <c r="CA1550" s="204" t="n"/>
      <c r="CB1550" s="208" t="n"/>
      <c r="CC1550" s="139" t="n"/>
      <c r="CD1550" s="204" t="n"/>
      <c r="CE1550" s="204" t="n"/>
      <c r="CF1550" s="207" t="n"/>
      <c r="CG1550" s="208" t="n"/>
      <c r="CH1550" s="207" t="n"/>
      <c r="CI1550" s="208" t="n"/>
      <c r="CJ1550" s="204" t="n"/>
      <c r="CK1550" s="208" t="n"/>
      <c r="CL1550" s="208" t="n"/>
      <c r="CM1550" s="208" t="n"/>
      <c r="CN1550" s="78" t="n"/>
      <c r="CO1550" s="209" t="n"/>
      <c r="CP1550" s="204" t="n"/>
      <c r="CQ1550" s="204" t="n"/>
      <c r="CR1550" s="204" t="n"/>
      <c r="CS1550" s="204" t="n"/>
      <c r="CT1550" s="204" t="n"/>
      <c r="CU1550" s="204" t="n"/>
      <c r="CV1550" s="204" t="n"/>
      <c r="CW1550" s="204" t="n"/>
    </row>
    <row r="1551">
      <c r="BF1551" s="78" t="n"/>
      <c r="BG1551" s="78" t="n"/>
      <c r="BH1551" s="78" t="n"/>
      <c r="BI1551" s="78" t="n"/>
      <c r="BJ1551" s="139" t="n"/>
      <c r="BK1551" s="204" t="n"/>
      <c r="BL1551" s="141" t="n"/>
      <c r="BM1551" s="205" t="n"/>
      <c r="BN1551" s="205" t="n"/>
      <c r="BO1551" s="206" t="n"/>
      <c r="BP1551" s="144" t="n"/>
      <c r="BQ1551" s="141" t="n"/>
      <c r="BR1551" s="207" t="n"/>
      <c r="BS1551" s="207" t="n"/>
      <c r="BT1551" s="207" t="n"/>
      <c r="BU1551" s="207" t="n"/>
      <c r="BV1551" s="208" t="n"/>
      <c r="BW1551" s="207" t="n"/>
      <c r="BX1551" s="207" t="n"/>
      <c r="BY1551" s="204" t="n"/>
      <c r="BZ1551" s="148" t="n"/>
      <c r="CA1551" s="204" t="n"/>
      <c r="CB1551" s="208" t="n"/>
      <c r="CC1551" s="139" t="n"/>
      <c r="CD1551" s="204" t="n"/>
      <c r="CE1551" s="204" t="n"/>
      <c r="CF1551" s="207" t="n"/>
      <c r="CG1551" s="208" t="n"/>
      <c r="CH1551" s="207" t="n"/>
      <c r="CI1551" s="208" t="n"/>
      <c r="CJ1551" s="204" t="n"/>
      <c r="CK1551" s="208" t="n"/>
      <c r="CL1551" s="208" t="n"/>
      <c r="CM1551" s="208" t="n"/>
      <c r="CN1551" s="78" t="n"/>
      <c r="CO1551" s="209" t="n"/>
      <c r="CP1551" s="204" t="n"/>
      <c r="CQ1551" s="204" t="n"/>
      <c r="CR1551" s="204" t="n"/>
      <c r="CS1551" s="204" t="n"/>
      <c r="CT1551" s="204" t="n"/>
      <c r="CU1551" s="204" t="n"/>
      <c r="CV1551" s="204" t="n"/>
      <c r="CW1551" s="204" t="n"/>
    </row>
    <row r="1552">
      <c r="BF1552" s="78" t="n"/>
      <c r="BG1552" s="78" t="n"/>
      <c r="BH1552" s="78" t="n"/>
      <c r="BI1552" s="78" t="n"/>
      <c r="BJ1552" s="139" t="n"/>
      <c r="BK1552" s="204" t="n"/>
      <c r="BL1552" s="141" t="n"/>
      <c r="BM1552" s="205" t="n"/>
      <c r="BN1552" s="205" t="n"/>
      <c r="BO1552" s="206" t="n"/>
      <c r="BP1552" s="144" t="n"/>
      <c r="BQ1552" s="141" t="n"/>
      <c r="BR1552" s="207" t="n"/>
      <c r="BS1552" s="207" t="n"/>
      <c r="BT1552" s="207" t="n"/>
      <c r="BU1552" s="207" t="n"/>
      <c r="BV1552" s="208" t="n"/>
      <c r="BW1552" s="207" t="n"/>
      <c r="BX1552" s="207" t="n"/>
      <c r="BY1552" s="204" t="n"/>
      <c r="BZ1552" s="148" t="n"/>
      <c r="CA1552" s="204" t="n"/>
      <c r="CB1552" s="208" t="n"/>
      <c r="CC1552" s="139" t="n"/>
      <c r="CD1552" s="204" t="n"/>
      <c r="CE1552" s="204" t="n"/>
      <c r="CF1552" s="207" t="n"/>
      <c r="CG1552" s="208" t="n"/>
      <c r="CH1552" s="207" t="n"/>
      <c r="CI1552" s="208" t="n"/>
      <c r="CJ1552" s="204" t="n"/>
      <c r="CK1552" s="208" t="n"/>
      <c r="CL1552" s="208" t="n"/>
      <c r="CM1552" s="208" t="n"/>
      <c r="CN1552" s="78" t="n"/>
      <c r="CO1552" s="209" t="n"/>
      <c r="CP1552" s="204" t="n"/>
      <c r="CQ1552" s="204" t="n"/>
      <c r="CR1552" s="204" t="n"/>
      <c r="CS1552" s="204" t="n"/>
      <c r="CT1552" s="204" t="n"/>
      <c r="CU1552" s="204" t="n"/>
      <c r="CV1552" s="204" t="n"/>
      <c r="CW1552" s="204" t="n"/>
    </row>
    <row r="1553">
      <c r="BF1553" s="78" t="n"/>
      <c r="BG1553" s="78" t="n"/>
      <c r="BH1553" s="78" t="n"/>
      <c r="BI1553" s="78" t="n"/>
      <c r="BJ1553" s="139" t="n"/>
      <c r="BK1553" s="204" t="n"/>
      <c r="BL1553" s="141" t="n"/>
      <c r="BM1553" s="205" t="n"/>
      <c r="BN1553" s="205" t="n"/>
      <c r="BO1553" s="206" t="n"/>
      <c r="BP1553" s="144" t="n"/>
      <c r="BQ1553" s="141" t="n"/>
      <c r="BR1553" s="207" t="n"/>
      <c r="BS1553" s="207" t="n"/>
      <c r="BT1553" s="207" t="n"/>
      <c r="BU1553" s="207" t="n"/>
      <c r="BV1553" s="208" t="n"/>
      <c r="BW1553" s="207" t="n"/>
      <c r="BX1553" s="207" t="n"/>
      <c r="BY1553" s="204" t="n"/>
      <c r="BZ1553" s="148" t="n"/>
      <c r="CA1553" s="204" t="n"/>
      <c r="CB1553" s="208" t="n"/>
      <c r="CC1553" s="139" t="n"/>
      <c r="CD1553" s="204" t="n"/>
      <c r="CE1553" s="204" t="n"/>
      <c r="CF1553" s="207" t="n"/>
      <c r="CG1553" s="208" t="n"/>
      <c r="CH1553" s="207" t="n"/>
      <c r="CI1553" s="208" t="n"/>
      <c r="CJ1553" s="204" t="n"/>
      <c r="CK1553" s="208" t="n"/>
      <c r="CL1553" s="208" t="n"/>
      <c r="CM1553" s="208" t="n"/>
      <c r="CN1553" s="78" t="n"/>
      <c r="CO1553" s="209" t="n"/>
      <c r="CP1553" s="204" t="n"/>
      <c r="CQ1553" s="204" t="n"/>
      <c r="CR1553" s="204" t="n"/>
      <c r="CS1553" s="204" t="n"/>
      <c r="CT1553" s="204" t="n"/>
      <c r="CU1553" s="204" t="n"/>
      <c r="CV1553" s="204" t="n"/>
      <c r="CW1553" s="204" t="n"/>
    </row>
    <row r="1554">
      <c r="BF1554" s="78" t="n"/>
      <c r="BG1554" s="78" t="n"/>
      <c r="BH1554" s="78" t="n"/>
      <c r="BI1554" s="78" t="n"/>
      <c r="BJ1554" s="139" t="n"/>
      <c r="BK1554" s="204" t="n"/>
      <c r="BL1554" s="141" t="n"/>
      <c r="BM1554" s="205" t="n"/>
      <c r="BN1554" s="205" t="n"/>
      <c r="BO1554" s="206" t="n"/>
      <c r="BP1554" s="144" t="n"/>
      <c r="BQ1554" s="141" t="n"/>
      <c r="BR1554" s="207" t="n"/>
      <c r="BS1554" s="207" t="n"/>
      <c r="BT1554" s="207" t="n"/>
      <c r="BU1554" s="207" t="n"/>
      <c r="BV1554" s="208" t="n"/>
      <c r="BW1554" s="207" t="n"/>
      <c r="BX1554" s="207" t="n"/>
      <c r="BY1554" s="204" t="n"/>
      <c r="BZ1554" s="148" t="n"/>
      <c r="CA1554" s="204" t="n"/>
      <c r="CB1554" s="208" t="n"/>
      <c r="CC1554" s="139" t="n"/>
      <c r="CD1554" s="204" t="n"/>
      <c r="CE1554" s="204" t="n"/>
      <c r="CF1554" s="207" t="n"/>
      <c r="CG1554" s="208" t="n"/>
      <c r="CH1554" s="207" t="n"/>
      <c r="CI1554" s="208" t="n"/>
      <c r="CJ1554" s="204" t="n"/>
      <c r="CK1554" s="208" t="n"/>
      <c r="CL1554" s="208" t="n"/>
      <c r="CM1554" s="208" t="n"/>
      <c r="CN1554" s="78" t="n"/>
      <c r="CO1554" s="209" t="n"/>
      <c r="CP1554" s="204" t="n"/>
      <c r="CQ1554" s="204" t="n"/>
      <c r="CR1554" s="204" t="n"/>
      <c r="CS1554" s="204" t="n"/>
      <c r="CT1554" s="204" t="n"/>
      <c r="CU1554" s="204" t="n"/>
      <c r="CV1554" s="204" t="n"/>
      <c r="CW1554" s="204" t="n"/>
    </row>
    <row r="1555">
      <c r="BF1555" s="78" t="n"/>
      <c r="BG1555" s="78" t="n"/>
      <c r="BH1555" s="78" t="n"/>
      <c r="BI1555" s="78" t="n"/>
      <c r="BJ1555" s="139" t="n"/>
      <c r="BK1555" s="204" t="n"/>
      <c r="BL1555" s="141" t="n"/>
      <c r="BM1555" s="205" t="n"/>
      <c r="BN1555" s="205" t="n"/>
      <c r="BO1555" s="206" t="n"/>
      <c r="BP1555" s="144" t="n"/>
      <c r="BQ1555" s="141" t="n"/>
      <c r="BR1555" s="207" t="n"/>
      <c r="BS1555" s="207" t="n"/>
      <c r="BT1555" s="207" t="n"/>
      <c r="BU1555" s="207" t="n"/>
      <c r="BV1555" s="208" t="n"/>
      <c r="BW1555" s="207" t="n"/>
      <c r="BX1555" s="207" t="n"/>
      <c r="BY1555" s="204" t="n"/>
      <c r="BZ1555" s="148" t="n"/>
      <c r="CA1555" s="204" t="n"/>
      <c r="CB1555" s="208" t="n"/>
      <c r="CC1555" s="139" t="n"/>
      <c r="CD1555" s="204" t="n"/>
      <c r="CE1555" s="204" t="n"/>
      <c r="CF1555" s="207" t="n"/>
      <c r="CG1555" s="208" t="n"/>
      <c r="CH1555" s="207" t="n"/>
      <c r="CI1555" s="208" t="n"/>
      <c r="CJ1555" s="204" t="n"/>
      <c r="CK1555" s="208" t="n"/>
      <c r="CL1555" s="208" t="n"/>
      <c r="CM1555" s="208" t="n"/>
      <c r="CN1555" s="78" t="n"/>
      <c r="CO1555" s="209" t="n"/>
      <c r="CP1555" s="204" t="n"/>
      <c r="CQ1555" s="204" t="n"/>
      <c r="CR1555" s="204" t="n"/>
      <c r="CS1555" s="204" t="n"/>
      <c r="CT1555" s="204" t="n"/>
      <c r="CU1555" s="204" t="n"/>
      <c r="CV1555" s="204" t="n"/>
      <c r="CW1555" s="204" t="n"/>
    </row>
    <row r="1556">
      <c r="BF1556" s="78" t="n"/>
      <c r="BG1556" s="78" t="n"/>
      <c r="BH1556" s="78" t="n"/>
      <c r="BI1556" s="78" t="n"/>
      <c r="BJ1556" s="139" t="n"/>
      <c r="BK1556" s="204" t="n"/>
      <c r="BL1556" s="141" t="n"/>
      <c r="BM1556" s="205" t="n"/>
      <c r="BN1556" s="205" t="n"/>
      <c r="BO1556" s="206" t="n"/>
      <c r="BP1556" s="144" t="n"/>
      <c r="BQ1556" s="141" t="n"/>
      <c r="BR1556" s="207" t="n"/>
      <c r="BS1556" s="207" t="n"/>
      <c r="BT1556" s="207" t="n"/>
      <c r="BU1556" s="207" t="n"/>
      <c r="BV1556" s="208" t="n"/>
      <c r="BW1556" s="207" t="n"/>
      <c r="BX1556" s="207" t="n"/>
      <c r="BY1556" s="204" t="n"/>
      <c r="BZ1556" s="148" t="n"/>
      <c r="CA1556" s="204" t="n"/>
      <c r="CB1556" s="208" t="n"/>
      <c r="CC1556" s="139" t="n"/>
      <c r="CD1556" s="204" t="n"/>
      <c r="CE1556" s="204" t="n"/>
      <c r="CF1556" s="207" t="n"/>
      <c r="CG1556" s="208" t="n"/>
      <c r="CH1556" s="207" t="n"/>
      <c r="CI1556" s="208" t="n"/>
      <c r="CJ1556" s="204" t="n"/>
      <c r="CK1556" s="208" t="n"/>
      <c r="CL1556" s="208" t="n"/>
      <c r="CM1556" s="208" t="n"/>
      <c r="CN1556" s="78" t="n"/>
      <c r="CO1556" s="209" t="n"/>
      <c r="CP1556" s="204" t="n"/>
      <c r="CQ1556" s="204" t="n"/>
      <c r="CR1556" s="204" t="n"/>
      <c r="CS1556" s="204" t="n"/>
      <c r="CT1556" s="204" t="n"/>
      <c r="CU1556" s="204" t="n"/>
      <c r="CV1556" s="204" t="n"/>
      <c r="CW1556" s="204" t="n"/>
    </row>
    <row r="1557">
      <c r="BF1557" s="78" t="n"/>
      <c r="BG1557" s="78" t="n"/>
      <c r="BH1557" s="78" t="n"/>
      <c r="BI1557" s="78" t="n"/>
      <c r="BJ1557" s="139" t="n"/>
      <c r="BK1557" s="204" t="n"/>
      <c r="BL1557" s="141" t="n"/>
      <c r="BM1557" s="205" t="n"/>
      <c r="BN1557" s="205" t="n"/>
      <c r="BO1557" s="206" t="n"/>
      <c r="BP1557" s="144" t="n"/>
      <c r="BQ1557" s="141" t="n"/>
      <c r="BR1557" s="207" t="n"/>
      <c r="BS1557" s="207" t="n"/>
      <c r="BT1557" s="207" t="n"/>
      <c r="BU1557" s="207" t="n"/>
      <c r="BV1557" s="208" t="n"/>
      <c r="BW1557" s="207" t="n"/>
      <c r="BX1557" s="207" t="n"/>
      <c r="BY1557" s="204" t="n"/>
      <c r="BZ1557" s="148" t="n"/>
      <c r="CA1557" s="204" t="n"/>
      <c r="CB1557" s="208" t="n"/>
      <c r="CC1557" s="139" t="n"/>
      <c r="CD1557" s="204" t="n"/>
      <c r="CE1557" s="204" t="n"/>
      <c r="CF1557" s="207" t="n"/>
      <c r="CG1557" s="208" t="n"/>
      <c r="CH1557" s="207" t="n"/>
      <c r="CI1557" s="208" t="n"/>
      <c r="CJ1557" s="204" t="n"/>
      <c r="CK1557" s="208" t="n"/>
      <c r="CL1557" s="208" t="n"/>
      <c r="CM1557" s="208" t="n"/>
      <c r="CN1557" s="78" t="n"/>
      <c r="CO1557" s="209" t="n"/>
      <c r="CP1557" s="204" t="n"/>
      <c r="CQ1557" s="204" t="n"/>
      <c r="CR1557" s="204" t="n"/>
      <c r="CS1557" s="204" t="n"/>
      <c r="CT1557" s="204" t="n"/>
      <c r="CU1557" s="204" t="n"/>
      <c r="CV1557" s="204" t="n"/>
      <c r="CW1557" s="204" t="n"/>
    </row>
    <row r="1558">
      <c r="BF1558" s="78" t="n"/>
      <c r="BG1558" s="78" t="n"/>
      <c r="BH1558" s="78" t="n"/>
      <c r="BI1558" s="78" t="n"/>
      <c r="BJ1558" s="139" t="n"/>
      <c r="BK1558" s="204" t="n"/>
      <c r="BL1558" s="141" t="n"/>
      <c r="BM1558" s="205" t="n"/>
      <c r="BN1558" s="205" t="n"/>
      <c r="BO1558" s="206" t="n"/>
      <c r="BP1558" s="144" t="n"/>
      <c r="BQ1558" s="141" t="n"/>
      <c r="BR1558" s="207" t="n"/>
      <c r="BS1558" s="207" t="n"/>
      <c r="BT1558" s="207" t="n"/>
      <c r="BU1558" s="207" t="n"/>
      <c r="BV1558" s="208" t="n"/>
      <c r="BW1558" s="207" t="n"/>
      <c r="BX1558" s="207" t="n"/>
      <c r="BY1558" s="204" t="n"/>
      <c r="BZ1558" s="148" t="n"/>
      <c r="CA1558" s="204" t="n"/>
      <c r="CB1558" s="208" t="n"/>
      <c r="CC1558" s="139" t="n"/>
      <c r="CD1558" s="204" t="n"/>
      <c r="CE1558" s="204" t="n"/>
      <c r="CF1558" s="207" t="n"/>
      <c r="CG1558" s="208" t="n"/>
      <c r="CH1558" s="207" t="n"/>
      <c r="CI1558" s="208" t="n"/>
      <c r="CJ1558" s="204" t="n"/>
      <c r="CK1558" s="208" t="n"/>
      <c r="CL1558" s="208" t="n"/>
      <c r="CM1558" s="208" t="n"/>
      <c r="CN1558" s="78" t="n"/>
      <c r="CO1558" s="209" t="n"/>
      <c r="CP1558" s="204" t="n"/>
      <c r="CQ1558" s="204" t="n"/>
      <c r="CR1558" s="204" t="n"/>
      <c r="CS1558" s="204" t="n"/>
      <c r="CT1558" s="204" t="n"/>
      <c r="CU1558" s="204" t="n"/>
      <c r="CV1558" s="204" t="n"/>
      <c r="CW1558" s="204" t="n"/>
    </row>
    <row r="1559">
      <c r="BF1559" s="78" t="n"/>
      <c r="BG1559" s="78" t="n"/>
      <c r="BH1559" s="78" t="n"/>
      <c r="BI1559" s="78" t="n"/>
      <c r="BJ1559" s="139" t="n"/>
      <c r="BK1559" s="204" t="n"/>
      <c r="BL1559" s="141" t="n"/>
      <c r="BM1559" s="205" t="n"/>
      <c r="BN1559" s="205" t="n"/>
      <c r="BO1559" s="206" t="n"/>
      <c r="BP1559" s="144" t="n"/>
      <c r="BQ1559" s="141" t="n"/>
      <c r="BR1559" s="207" t="n"/>
      <c r="BS1559" s="207" t="n"/>
      <c r="BT1559" s="207" t="n"/>
      <c r="BU1559" s="207" t="n"/>
      <c r="BV1559" s="208" t="n"/>
      <c r="BW1559" s="207" t="n"/>
      <c r="BX1559" s="207" t="n"/>
      <c r="BY1559" s="204" t="n"/>
      <c r="BZ1559" s="148" t="n"/>
      <c r="CA1559" s="204" t="n"/>
      <c r="CB1559" s="208" t="n"/>
      <c r="CC1559" s="139" t="n"/>
      <c r="CD1559" s="204" t="n"/>
      <c r="CE1559" s="204" t="n"/>
      <c r="CF1559" s="207" t="n"/>
      <c r="CG1559" s="208" t="n"/>
      <c r="CH1559" s="207" t="n"/>
      <c r="CI1559" s="208" t="n"/>
      <c r="CJ1559" s="204" t="n"/>
      <c r="CK1559" s="208" t="n"/>
      <c r="CL1559" s="208" t="n"/>
      <c r="CM1559" s="208" t="n"/>
      <c r="CN1559" s="78" t="n"/>
      <c r="CO1559" s="209" t="n"/>
      <c r="CP1559" s="204" t="n"/>
      <c r="CQ1559" s="204" t="n"/>
      <c r="CR1559" s="204" t="n"/>
      <c r="CS1559" s="204" t="n"/>
      <c r="CT1559" s="204" t="n"/>
      <c r="CU1559" s="204" t="n"/>
      <c r="CV1559" s="204" t="n"/>
      <c r="CW1559" s="204" t="n"/>
    </row>
    <row r="1560">
      <c r="BF1560" s="78" t="n"/>
      <c r="BG1560" s="78" t="n"/>
      <c r="BH1560" s="78" t="n"/>
      <c r="BI1560" s="78" t="n"/>
      <c r="BJ1560" s="139" t="n"/>
      <c r="BK1560" s="204" t="n"/>
      <c r="BL1560" s="141" t="n"/>
      <c r="BM1560" s="205" t="n"/>
      <c r="BN1560" s="205" t="n"/>
      <c r="BO1560" s="206" t="n"/>
      <c r="BP1560" s="144" t="n"/>
      <c r="BQ1560" s="141" t="n"/>
      <c r="BR1560" s="207" t="n"/>
      <c r="BS1560" s="207" t="n"/>
      <c r="BT1560" s="207" t="n"/>
      <c r="BU1560" s="207" t="n"/>
      <c r="BV1560" s="208" t="n"/>
      <c r="BW1560" s="207" t="n"/>
      <c r="BX1560" s="207" t="n"/>
      <c r="BY1560" s="204" t="n"/>
      <c r="BZ1560" s="148" t="n"/>
      <c r="CA1560" s="204" t="n"/>
      <c r="CB1560" s="208" t="n"/>
      <c r="CC1560" s="139" t="n"/>
      <c r="CD1560" s="204" t="n"/>
      <c r="CE1560" s="204" t="n"/>
      <c r="CF1560" s="207" t="n"/>
      <c r="CG1560" s="208" t="n"/>
      <c r="CH1560" s="207" t="n"/>
      <c r="CI1560" s="208" t="n"/>
      <c r="CJ1560" s="204" t="n"/>
      <c r="CK1560" s="208" t="n"/>
      <c r="CL1560" s="208" t="n"/>
      <c r="CM1560" s="208" t="n"/>
      <c r="CN1560" s="78" t="n"/>
      <c r="CO1560" s="209" t="n"/>
      <c r="CP1560" s="204" t="n"/>
      <c r="CQ1560" s="204" t="n"/>
      <c r="CR1560" s="204" t="n"/>
      <c r="CS1560" s="204" t="n"/>
      <c r="CT1560" s="204" t="n"/>
      <c r="CU1560" s="204" t="n"/>
      <c r="CV1560" s="204" t="n"/>
      <c r="CW1560" s="204" t="n"/>
    </row>
    <row r="1561">
      <c r="BF1561" s="78" t="n"/>
      <c r="BG1561" s="78" t="n"/>
      <c r="BH1561" s="78" t="n"/>
      <c r="BI1561" s="78" t="n"/>
      <c r="BJ1561" s="139" t="n"/>
      <c r="BK1561" s="204" t="n"/>
      <c r="BL1561" s="141" t="n"/>
      <c r="BM1561" s="205" t="n"/>
      <c r="BN1561" s="205" t="n"/>
      <c r="BO1561" s="206" t="n"/>
      <c r="BP1561" s="144" t="n"/>
      <c r="BQ1561" s="141" t="n"/>
      <c r="BR1561" s="207" t="n"/>
      <c r="BS1561" s="207" t="n"/>
      <c r="BT1561" s="207" t="n"/>
      <c r="BU1561" s="207" t="n"/>
      <c r="BV1561" s="208" t="n"/>
      <c r="BW1561" s="207" t="n"/>
      <c r="BX1561" s="207" t="n"/>
      <c r="BY1561" s="204" t="n"/>
      <c r="BZ1561" s="148" t="n"/>
      <c r="CA1561" s="204" t="n"/>
      <c r="CB1561" s="208" t="n"/>
      <c r="CC1561" s="139" t="n"/>
      <c r="CD1561" s="204" t="n"/>
      <c r="CE1561" s="204" t="n"/>
      <c r="CF1561" s="207" t="n"/>
      <c r="CG1561" s="208" t="n"/>
      <c r="CH1561" s="207" t="n"/>
      <c r="CI1561" s="208" t="n"/>
      <c r="CJ1561" s="204" t="n"/>
      <c r="CK1561" s="208" t="n"/>
      <c r="CL1561" s="208" t="n"/>
      <c r="CM1561" s="208" t="n"/>
      <c r="CN1561" s="78" t="n"/>
      <c r="CO1561" s="209" t="n"/>
      <c r="CP1561" s="204" t="n"/>
      <c r="CQ1561" s="204" t="n"/>
      <c r="CR1561" s="204" t="n"/>
      <c r="CS1561" s="204" t="n"/>
      <c r="CT1561" s="204" t="n"/>
      <c r="CU1561" s="204" t="n"/>
      <c r="CV1561" s="204" t="n"/>
      <c r="CW1561" s="204" t="n"/>
    </row>
    <row r="1562">
      <c r="BF1562" s="78" t="n"/>
      <c r="BG1562" s="78" t="n"/>
      <c r="BH1562" s="78" t="n"/>
      <c r="BI1562" s="78" t="n"/>
      <c r="BJ1562" s="139" t="n"/>
      <c r="BK1562" s="204" t="n"/>
      <c r="BL1562" s="141" t="n"/>
      <c r="BM1562" s="205" t="n"/>
      <c r="BN1562" s="205" t="n"/>
      <c r="BO1562" s="206" t="n"/>
      <c r="BP1562" s="144" t="n"/>
      <c r="BQ1562" s="141" t="n"/>
      <c r="BR1562" s="207" t="n"/>
      <c r="BS1562" s="207" t="n"/>
      <c r="BT1562" s="207" t="n"/>
      <c r="BU1562" s="207" t="n"/>
      <c r="BV1562" s="208" t="n"/>
      <c r="BW1562" s="207" t="n"/>
      <c r="BX1562" s="207" t="n"/>
      <c r="BY1562" s="204" t="n"/>
      <c r="BZ1562" s="148" t="n"/>
      <c r="CA1562" s="204" t="n"/>
      <c r="CB1562" s="208" t="n"/>
      <c r="CC1562" s="139" t="n"/>
      <c r="CD1562" s="204" t="n"/>
      <c r="CE1562" s="204" t="n"/>
      <c r="CF1562" s="207" t="n"/>
      <c r="CG1562" s="208" t="n"/>
      <c r="CH1562" s="207" t="n"/>
      <c r="CI1562" s="208" t="n"/>
      <c r="CJ1562" s="204" t="n"/>
      <c r="CK1562" s="208" t="n"/>
      <c r="CL1562" s="208" t="n"/>
      <c r="CM1562" s="208" t="n"/>
      <c r="CN1562" s="78" t="n"/>
      <c r="CO1562" s="209" t="n"/>
      <c r="CP1562" s="204" t="n"/>
      <c r="CQ1562" s="204" t="n"/>
      <c r="CR1562" s="204" t="n"/>
      <c r="CS1562" s="204" t="n"/>
      <c r="CT1562" s="204" t="n"/>
      <c r="CU1562" s="204" t="n"/>
      <c r="CV1562" s="204" t="n"/>
      <c r="CW1562" s="204" t="n"/>
    </row>
    <row r="1563">
      <c r="BF1563" s="78" t="n"/>
      <c r="BG1563" s="78" t="n"/>
      <c r="BH1563" s="78" t="n"/>
      <c r="BI1563" s="78" t="n"/>
      <c r="BJ1563" s="139" t="n"/>
      <c r="BK1563" s="204" t="n"/>
      <c r="BL1563" s="141" t="n"/>
      <c r="BM1563" s="205" t="n"/>
      <c r="BN1563" s="205" t="n"/>
      <c r="BO1563" s="206" t="n"/>
      <c r="BP1563" s="144" t="n"/>
      <c r="BQ1563" s="141" t="n"/>
      <c r="BR1563" s="207" t="n"/>
      <c r="BS1563" s="207" t="n"/>
      <c r="BT1563" s="207" t="n"/>
      <c r="BU1563" s="207" t="n"/>
      <c r="BV1563" s="208" t="n"/>
      <c r="BW1563" s="207" t="n"/>
      <c r="BX1563" s="207" t="n"/>
      <c r="BY1563" s="204" t="n"/>
      <c r="BZ1563" s="148" t="n"/>
      <c r="CA1563" s="204" t="n"/>
      <c r="CB1563" s="208" t="n"/>
      <c r="CC1563" s="139" t="n"/>
      <c r="CD1563" s="204" t="n"/>
      <c r="CE1563" s="204" t="n"/>
      <c r="CF1563" s="207" t="n"/>
      <c r="CG1563" s="208" t="n"/>
      <c r="CH1563" s="207" t="n"/>
      <c r="CI1563" s="208" t="n"/>
      <c r="CJ1563" s="204" t="n"/>
      <c r="CK1563" s="208" t="n"/>
      <c r="CL1563" s="208" t="n"/>
      <c r="CM1563" s="208" t="n"/>
      <c r="CN1563" s="78" t="n"/>
      <c r="CO1563" s="209" t="n"/>
      <c r="CP1563" s="204" t="n"/>
      <c r="CQ1563" s="204" t="n"/>
      <c r="CR1563" s="204" t="n"/>
      <c r="CS1563" s="204" t="n"/>
      <c r="CT1563" s="204" t="n"/>
      <c r="CU1563" s="204" t="n"/>
      <c r="CV1563" s="204" t="n"/>
      <c r="CW1563" s="204" t="n"/>
    </row>
    <row r="1564">
      <c r="BF1564" s="78" t="n"/>
      <c r="BG1564" s="78" t="n"/>
      <c r="BH1564" s="78" t="n"/>
      <c r="BI1564" s="78" t="n"/>
      <c r="BJ1564" s="139" t="n"/>
      <c r="BK1564" s="204" t="n"/>
      <c r="BL1564" s="141" t="n"/>
      <c r="BM1564" s="205" t="n"/>
      <c r="BN1564" s="205" t="n"/>
      <c r="BO1564" s="206" t="n"/>
      <c r="BP1564" s="144" t="n"/>
      <c r="BQ1564" s="141" t="n"/>
      <c r="BR1564" s="207" t="n"/>
      <c r="BS1564" s="207" t="n"/>
      <c r="BT1564" s="207" t="n"/>
      <c r="BU1564" s="207" t="n"/>
      <c r="BV1564" s="208" t="n"/>
      <c r="BW1564" s="207" t="n"/>
      <c r="BX1564" s="207" t="n"/>
      <c r="BY1564" s="204" t="n"/>
      <c r="BZ1564" s="148" t="n"/>
      <c r="CA1564" s="204" t="n"/>
      <c r="CB1564" s="208" t="n"/>
      <c r="CC1564" s="139" t="n"/>
      <c r="CD1564" s="204" t="n"/>
      <c r="CE1564" s="204" t="n"/>
      <c r="CF1564" s="207" t="n"/>
      <c r="CG1564" s="208" t="n"/>
      <c r="CH1564" s="207" t="n"/>
      <c r="CI1564" s="208" t="n"/>
      <c r="CJ1564" s="204" t="n"/>
      <c r="CK1564" s="208" t="n"/>
      <c r="CL1564" s="208" t="n"/>
      <c r="CM1564" s="208" t="n"/>
      <c r="CN1564" s="78" t="n"/>
      <c r="CO1564" s="209" t="n"/>
      <c r="CP1564" s="204" t="n"/>
      <c r="CQ1564" s="204" t="n"/>
      <c r="CR1564" s="204" t="n"/>
      <c r="CS1564" s="204" t="n"/>
      <c r="CT1564" s="204" t="n"/>
      <c r="CU1564" s="204" t="n"/>
      <c r="CV1564" s="204" t="n"/>
      <c r="CW1564" s="204" t="n"/>
    </row>
    <row r="1565">
      <c r="BF1565" s="78" t="n"/>
      <c r="BG1565" s="78" t="n"/>
      <c r="BH1565" s="78" t="n"/>
      <c r="BI1565" s="78" t="n"/>
      <c r="BJ1565" s="139" t="n"/>
      <c r="BK1565" s="204" t="n"/>
      <c r="BL1565" s="141" t="n"/>
      <c r="BM1565" s="205" t="n"/>
      <c r="BN1565" s="205" t="n"/>
      <c r="BO1565" s="206" t="n"/>
      <c r="BP1565" s="144" t="n"/>
      <c r="BQ1565" s="141" t="n"/>
      <c r="BR1565" s="207" t="n"/>
      <c r="BS1565" s="207" t="n"/>
      <c r="BT1565" s="207" t="n"/>
      <c r="BU1565" s="207" t="n"/>
      <c r="BV1565" s="208" t="n"/>
      <c r="BW1565" s="207" t="n"/>
      <c r="BX1565" s="207" t="n"/>
      <c r="BY1565" s="204" t="n"/>
      <c r="BZ1565" s="148" t="n"/>
      <c r="CA1565" s="204" t="n"/>
      <c r="CB1565" s="208" t="n"/>
      <c r="CC1565" s="139" t="n"/>
      <c r="CD1565" s="204" t="n"/>
      <c r="CE1565" s="204" t="n"/>
      <c r="CF1565" s="207" t="n"/>
      <c r="CG1565" s="208" t="n"/>
      <c r="CH1565" s="207" t="n"/>
      <c r="CI1565" s="208" t="n"/>
      <c r="CJ1565" s="204" t="n"/>
      <c r="CK1565" s="208" t="n"/>
      <c r="CL1565" s="208" t="n"/>
      <c r="CM1565" s="208" t="n"/>
      <c r="CN1565" s="78" t="n"/>
      <c r="CO1565" s="209" t="n"/>
      <c r="CP1565" s="204" t="n"/>
      <c r="CQ1565" s="204" t="n"/>
      <c r="CR1565" s="204" t="n"/>
      <c r="CS1565" s="204" t="n"/>
      <c r="CT1565" s="204" t="n"/>
      <c r="CU1565" s="204" t="n"/>
      <c r="CV1565" s="204" t="n"/>
      <c r="CW1565" s="204" t="n"/>
    </row>
    <row r="1566">
      <c r="BF1566" s="78" t="n"/>
      <c r="BG1566" s="78" t="n"/>
      <c r="BH1566" s="78" t="n"/>
      <c r="BI1566" s="78" t="n"/>
      <c r="BJ1566" s="139" t="n"/>
      <c r="BK1566" s="204" t="n"/>
      <c r="BL1566" s="141" t="n"/>
      <c r="BM1566" s="205" t="n"/>
      <c r="BN1566" s="205" t="n"/>
      <c r="BO1566" s="206" t="n"/>
      <c r="BP1566" s="144" t="n"/>
      <c r="BQ1566" s="141" t="n"/>
      <c r="BR1566" s="207" t="n"/>
      <c r="BS1566" s="207" t="n"/>
      <c r="BT1566" s="207" t="n"/>
      <c r="BU1566" s="207" t="n"/>
      <c r="BV1566" s="208" t="n"/>
      <c r="BW1566" s="207" t="n"/>
      <c r="BX1566" s="207" t="n"/>
      <c r="BY1566" s="204" t="n"/>
      <c r="BZ1566" s="148" t="n"/>
      <c r="CA1566" s="204" t="n"/>
      <c r="CB1566" s="208" t="n"/>
      <c r="CC1566" s="139" t="n"/>
      <c r="CD1566" s="204" t="n"/>
      <c r="CE1566" s="204" t="n"/>
      <c r="CF1566" s="207" t="n"/>
      <c r="CG1566" s="208" t="n"/>
      <c r="CH1566" s="207" t="n"/>
      <c r="CI1566" s="208" t="n"/>
      <c r="CJ1566" s="204" t="n"/>
      <c r="CK1566" s="208" t="n"/>
      <c r="CL1566" s="208" t="n"/>
      <c r="CM1566" s="208" t="n"/>
      <c r="CN1566" s="78" t="n"/>
      <c r="CO1566" s="209" t="n"/>
      <c r="CP1566" s="204" t="n"/>
      <c r="CQ1566" s="204" t="n"/>
      <c r="CR1566" s="204" t="n"/>
      <c r="CS1566" s="204" t="n"/>
      <c r="CT1566" s="204" t="n"/>
      <c r="CU1566" s="204" t="n"/>
      <c r="CV1566" s="204" t="n"/>
      <c r="CW1566" s="204" t="n"/>
    </row>
    <row r="1567">
      <c r="BF1567" s="78" t="n"/>
      <c r="BG1567" s="78" t="n"/>
      <c r="BH1567" s="78" t="n"/>
      <c r="BI1567" s="78" t="n"/>
      <c r="BJ1567" s="139" t="n"/>
      <c r="BK1567" s="204" t="n"/>
      <c r="BL1567" s="141" t="n"/>
      <c r="BM1567" s="205" t="n"/>
      <c r="BN1567" s="205" t="n"/>
      <c r="BO1567" s="206" t="n"/>
      <c r="BP1567" s="144" t="n"/>
      <c r="BQ1567" s="141" t="n"/>
      <c r="BR1567" s="207" t="n"/>
      <c r="BS1567" s="207" t="n"/>
      <c r="BT1567" s="207" t="n"/>
      <c r="BU1567" s="207" t="n"/>
      <c r="BV1567" s="208" t="n"/>
      <c r="BW1567" s="207" t="n"/>
      <c r="BX1567" s="207" t="n"/>
      <c r="BY1567" s="204" t="n"/>
      <c r="BZ1567" s="148" t="n"/>
      <c r="CA1567" s="204" t="n"/>
      <c r="CB1567" s="208" t="n"/>
      <c r="CC1567" s="139" t="n"/>
      <c r="CD1567" s="204" t="n"/>
      <c r="CE1567" s="204" t="n"/>
      <c r="CF1567" s="207" t="n"/>
      <c r="CG1567" s="208" t="n"/>
      <c r="CH1567" s="207" t="n"/>
      <c r="CI1567" s="208" t="n"/>
      <c r="CJ1567" s="204" t="n"/>
      <c r="CK1567" s="208" t="n"/>
      <c r="CL1567" s="208" t="n"/>
      <c r="CM1567" s="208" t="n"/>
      <c r="CN1567" s="78" t="n"/>
      <c r="CO1567" s="209" t="n"/>
      <c r="CP1567" s="204" t="n"/>
      <c r="CQ1567" s="204" t="n"/>
      <c r="CR1567" s="204" t="n"/>
      <c r="CS1567" s="204" t="n"/>
      <c r="CT1567" s="204" t="n"/>
      <c r="CU1567" s="204" t="n"/>
      <c r="CV1567" s="204" t="n"/>
      <c r="CW1567" s="204" t="n"/>
    </row>
    <row r="1568">
      <c r="BF1568" s="78" t="n"/>
      <c r="BG1568" s="78" t="n"/>
      <c r="BH1568" s="78" t="n"/>
      <c r="BI1568" s="78" t="n"/>
      <c r="BJ1568" s="139" t="n"/>
      <c r="BK1568" s="204" t="n"/>
      <c r="BL1568" s="141" t="n"/>
      <c r="BM1568" s="205" t="n"/>
      <c r="BN1568" s="205" t="n"/>
      <c r="BO1568" s="206" t="n"/>
      <c r="BP1568" s="144" t="n"/>
      <c r="BQ1568" s="141" t="n"/>
      <c r="BR1568" s="207" t="n"/>
      <c r="BS1568" s="207" t="n"/>
      <c r="BT1568" s="207" t="n"/>
      <c r="BU1568" s="207" t="n"/>
      <c r="BV1568" s="208" t="n"/>
      <c r="BW1568" s="207" t="n"/>
      <c r="BX1568" s="207" t="n"/>
      <c r="BY1568" s="204" t="n"/>
      <c r="BZ1568" s="148" t="n"/>
      <c r="CA1568" s="204" t="n"/>
      <c r="CB1568" s="208" t="n"/>
      <c r="CC1568" s="139" t="n"/>
      <c r="CD1568" s="204" t="n"/>
      <c r="CE1568" s="204" t="n"/>
      <c r="CF1568" s="207" t="n"/>
      <c r="CG1568" s="208" t="n"/>
      <c r="CH1568" s="207" t="n"/>
      <c r="CI1568" s="208" t="n"/>
      <c r="CJ1568" s="204" t="n"/>
      <c r="CK1568" s="208" t="n"/>
      <c r="CL1568" s="208" t="n"/>
      <c r="CM1568" s="208" t="n"/>
      <c r="CN1568" s="78" t="n"/>
      <c r="CO1568" s="209" t="n"/>
      <c r="CP1568" s="204" t="n"/>
      <c r="CQ1568" s="204" t="n"/>
      <c r="CR1568" s="204" t="n"/>
      <c r="CS1568" s="204" t="n"/>
      <c r="CT1568" s="204" t="n"/>
      <c r="CU1568" s="204" t="n"/>
      <c r="CV1568" s="204" t="n"/>
      <c r="CW1568" s="204" t="n"/>
    </row>
    <row r="1569">
      <c r="BF1569" s="78" t="n"/>
      <c r="BG1569" s="78" t="n"/>
      <c r="BH1569" s="78" t="n"/>
      <c r="BI1569" s="78" t="n"/>
      <c r="BJ1569" s="139" t="n"/>
      <c r="BK1569" s="204" t="n"/>
      <c r="BL1569" s="141" t="n"/>
      <c r="BM1569" s="205" t="n"/>
      <c r="BN1569" s="205" t="n"/>
      <c r="BO1569" s="206" t="n"/>
      <c r="BP1569" s="144" t="n"/>
      <c r="BQ1569" s="141" t="n"/>
      <c r="BR1569" s="207" t="n"/>
      <c r="BS1569" s="207" t="n"/>
      <c r="BT1569" s="207" t="n"/>
      <c r="BU1569" s="207" t="n"/>
      <c r="BV1569" s="208" t="n"/>
      <c r="BW1569" s="207" t="n"/>
      <c r="BX1569" s="207" t="n"/>
      <c r="BY1569" s="204" t="n"/>
      <c r="BZ1569" s="148" t="n"/>
      <c r="CA1569" s="204" t="n"/>
      <c r="CB1569" s="208" t="n"/>
      <c r="CC1569" s="139" t="n"/>
      <c r="CD1569" s="204" t="n"/>
      <c r="CE1569" s="204" t="n"/>
      <c r="CF1569" s="207" t="n"/>
      <c r="CG1569" s="208" t="n"/>
      <c r="CH1569" s="207" t="n"/>
      <c r="CI1569" s="208" t="n"/>
      <c r="CJ1569" s="204" t="n"/>
      <c r="CK1569" s="208" t="n"/>
      <c r="CL1569" s="208" t="n"/>
      <c r="CM1569" s="208" t="n"/>
      <c r="CN1569" s="78" t="n"/>
      <c r="CO1569" s="209" t="n"/>
      <c r="CP1569" s="204" t="n"/>
      <c r="CQ1569" s="204" t="n"/>
      <c r="CR1569" s="204" t="n"/>
      <c r="CS1569" s="204" t="n"/>
      <c r="CT1569" s="204" t="n"/>
      <c r="CU1569" s="204" t="n"/>
      <c r="CV1569" s="204" t="n"/>
      <c r="CW1569" s="204" t="n"/>
    </row>
    <row r="1570">
      <c r="BF1570" s="78" t="n"/>
      <c r="BG1570" s="78" t="n"/>
      <c r="BH1570" s="78" t="n"/>
      <c r="BI1570" s="78" t="n"/>
      <c r="BJ1570" s="139" t="n"/>
      <c r="BK1570" s="204" t="n"/>
      <c r="BL1570" s="141" t="n"/>
      <c r="BM1570" s="205" t="n"/>
      <c r="BN1570" s="205" t="n"/>
      <c r="BO1570" s="206" t="n"/>
      <c r="BP1570" s="144" t="n"/>
      <c r="BQ1570" s="141" t="n"/>
      <c r="BR1570" s="207" t="n"/>
      <c r="BS1570" s="207" t="n"/>
      <c r="BT1570" s="207" t="n"/>
      <c r="BU1570" s="207" t="n"/>
      <c r="BV1570" s="208" t="n"/>
      <c r="BW1570" s="207" t="n"/>
      <c r="BX1570" s="207" t="n"/>
      <c r="BY1570" s="204" t="n"/>
      <c r="BZ1570" s="148" t="n"/>
      <c r="CA1570" s="204" t="n"/>
      <c r="CB1570" s="208" t="n"/>
      <c r="CC1570" s="139" t="n"/>
      <c r="CD1570" s="204" t="n"/>
      <c r="CE1570" s="204" t="n"/>
      <c r="CF1570" s="207" t="n"/>
      <c r="CG1570" s="208" t="n"/>
      <c r="CH1570" s="207" t="n"/>
      <c r="CI1570" s="208" t="n"/>
      <c r="CJ1570" s="204" t="n"/>
      <c r="CK1570" s="208" t="n"/>
      <c r="CL1570" s="208" t="n"/>
      <c r="CM1570" s="208" t="n"/>
      <c r="CN1570" s="78" t="n"/>
      <c r="CO1570" s="209" t="n"/>
      <c r="CP1570" s="204" t="n"/>
      <c r="CQ1570" s="204" t="n"/>
      <c r="CR1570" s="204" t="n"/>
      <c r="CS1570" s="204" t="n"/>
      <c r="CT1570" s="204" t="n"/>
      <c r="CU1570" s="204" t="n"/>
      <c r="CV1570" s="204" t="n"/>
      <c r="CW1570" s="204" t="n"/>
    </row>
    <row r="1571">
      <c r="BF1571" s="78" t="n"/>
      <c r="BG1571" s="78" t="n"/>
      <c r="BH1571" s="78" t="n"/>
      <c r="BI1571" s="78" t="n"/>
      <c r="BJ1571" s="139" t="n"/>
      <c r="BK1571" s="204" t="n"/>
      <c r="BL1571" s="141" t="n"/>
      <c r="BM1571" s="205" t="n"/>
      <c r="BN1571" s="205" t="n"/>
      <c r="BO1571" s="206" t="n"/>
      <c r="BP1571" s="144" t="n"/>
      <c r="BQ1571" s="141" t="n"/>
      <c r="BR1571" s="207" t="n"/>
      <c r="BS1571" s="207" t="n"/>
      <c r="BT1571" s="207" t="n"/>
      <c r="BU1571" s="207" t="n"/>
      <c r="BV1571" s="208" t="n"/>
      <c r="BW1571" s="207" t="n"/>
      <c r="BX1571" s="207" t="n"/>
      <c r="BY1571" s="204" t="n"/>
      <c r="BZ1571" s="148" t="n"/>
      <c r="CA1571" s="204" t="n"/>
      <c r="CB1571" s="208" t="n"/>
      <c r="CC1571" s="139" t="n"/>
      <c r="CD1571" s="204" t="n"/>
      <c r="CE1571" s="204" t="n"/>
      <c r="CF1571" s="207" t="n"/>
      <c r="CG1571" s="208" t="n"/>
      <c r="CH1571" s="207" t="n"/>
      <c r="CI1571" s="208" t="n"/>
      <c r="CJ1571" s="204" t="n"/>
      <c r="CK1571" s="208" t="n"/>
      <c r="CL1571" s="208" t="n"/>
      <c r="CM1571" s="208" t="n"/>
      <c r="CN1571" s="78" t="n"/>
      <c r="CO1571" s="209" t="n"/>
      <c r="CP1571" s="204" t="n"/>
      <c r="CQ1571" s="204" t="n"/>
      <c r="CR1571" s="204" t="n"/>
      <c r="CS1571" s="204" t="n"/>
      <c r="CT1571" s="204" t="n"/>
      <c r="CU1571" s="204" t="n"/>
      <c r="CV1571" s="204" t="n"/>
      <c r="CW1571" s="204" t="n"/>
    </row>
    <row r="1572">
      <c r="BF1572" s="78" t="n"/>
      <c r="BG1572" s="78" t="n"/>
      <c r="BH1572" s="78" t="n"/>
      <c r="BI1572" s="78" t="n"/>
      <c r="BJ1572" s="139" t="n"/>
      <c r="BK1572" s="204" t="n"/>
      <c r="BL1572" s="141" t="n"/>
      <c r="BM1572" s="205" t="n"/>
      <c r="BN1572" s="205" t="n"/>
      <c r="BO1572" s="206" t="n"/>
      <c r="BP1572" s="144" t="n"/>
      <c r="BQ1572" s="141" t="n"/>
      <c r="BR1572" s="207" t="n"/>
      <c r="BS1572" s="207" t="n"/>
      <c r="BT1572" s="207" t="n"/>
      <c r="BU1572" s="207" t="n"/>
      <c r="BV1572" s="208" t="n"/>
      <c r="BW1572" s="207" t="n"/>
      <c r="BX1572" s="207" t="n"/>
      <c r="BY1572" s="204" t="n"/>
      <c r="BZ1572" s="148" t="n"/>
      <c r="CA1572" s="204" t="n"/>
      <c r="CB1572" s="208" t="n"/>
      <c r="CC1572" s="139" t="n"/>
      <c r="CD1572" s="204" t="n"/>
      <c r="CE1572" s="204" t="n"/>
      <c r="CF1572" s="207" t="n"/>
      <c r="CG1572" s="208" t="n"/>
      <c r="CH1572" s="207" t="n"/>
      <c r="CI1572" s="208" t="n"/>
      <c r="CJ1572" s="204" t="n"/>
      <c r="CK1572" s="208" t="n"/>
      <c r="CL1572" s="208" t="n"/>
      <c r="CM1572" s="208" t="n"/>
      <c r="CN1572" s="78" t="n"/>
      <c r="CO1572" s="209" t="n"/>
      <c r="CP1572" s="204" t="n"/>
      <c r="CQ1572" s="204" t="n"/>
      <c r="CR1572" s="204" t="n"/>
      <c r="CS1572" s="204" t="n"/>
      <c r="CT1572" s="204" t="n"/>
      <c r="CU1572" s="204" t="n"/>
      <c r="CV1572" s="204" t="n"/>
      <c r="CW1572" s="204" t="n"/>
    </row>
    <row r="1573">
      <c r="BF1573" s="78" t="n"/>
      <c r="BG1573" s="78" t="n"/>
      <c r="BH1573" s="78" t="n"/>
      <c r="BI1573" s="78" t="n"/>
      <c r="BJ1573" s="139" t="n"/>
      <c r="BK1573" s="204" t="n"/>
      <c r="BL1573" s="141" t="n"/>
      <c r="BM1573" s="205" t="n"/>
      <c r="BN1573" s="205" t="n"/>
      <c r="BO1573" s="206" t="n"/>
      <c r="BP1573" s="144" t="n"/>
      <c r="BQ1573" s="141" t="n"/>
      <c r="BR1573" s="207" t="n"/>
      <c r="BS1573" s="207" t="n"/>
      <c r="BT1573" s="207" t="n"/>
      <c r="BU1573" s="207" t="n"/>
      <c r="BV1573" s="208" t="n"/>
      <c r="BW1573" s="207" t="n"/>
      <c r="BX1573" s="207" t="n"/>
      <c r="BY1573" s="204" t="n"/>
      <c r="BZ1573" s="148" t="n"/>
      <c r="CA1573" s="204" t="n"/>
      <c r="CB1573" s="208" t="n"/>
      <c r="CC1573" s="139" t="n"/>
      <c r="CD1573" s="204" t="n"/>
      <c r="CE1573" s="204" t="n"/>
      <c r="CF1573" s="207" t="n"/>
      <c r="CG1573" s="208" t="n"/>
      <c r="CH1573" s="207" t="n"/>
      <c r="CI1573" s="208" t="n"/>
      <c r="CJ1573" s="204" t="n"/>
      <c r="CK1573" s="208" t="n"/>
      <c r="CL1573" s="208" t="n"/>
      <c r="CM1573" s="208" t="n"/>
      <c r="CN1573" s="78" t="n"/>
      <c r="CO1573" s="209" t="n"/>
      <c r="CP1573" s="204" t="n"/>
      <c r="CQ1573" s="204" t="n"/>
      <c r="CR1573" s="204" t="n"/>
      <c r="CS1573" s="204" t="n"/>
      <c r="CT1573" s="204" t="n"/>
      <c r="CU1573" s="204" t="n"/>
      <c r="CV1573" s="204" t="n"/>
      <c r="CW1573" s="204" t="n"/>
    </row>
    <row r="1574">
      <c r="BF1574" s="78" t="n"/>
      <c r="BG1574" s="78" t="n"/>
      <c r="BH1574" s="78" t="n"/>
      <c r="BI1574" s="78" t="n"/>
      <c r="BJ1574" s="139" t="n"/>
      <c r="BK1574" s="204" t="n"/>
      <c r="BL1574" s="141" t="n"/>
      <c r="BM1574" s="205" t="n"/>
      <c r="BN1574" s="205" t="n"/>
      <c r="BO1574" s="206" t="n"/>
      <c r="BP1574" s="144" t="n"/>
      <c r="BQ1574" s="141" t="n"/>
      <c r="BR1574" s="207" t="n"/>
      <c r="BS1574" s="207" t="n"/>
      <c r="BT1574" s="207" t="n"/>
      <c r="BU1574" s="207" t="n"/>
      <c r="BV1574" s="208" t="n"/>
      <c r="BW1574" s="207" t="n"/>
      <c r="BX1574" s="207" t="n"/>
      <c r="BY1574" s="204" t="n"/>
      <c r="BZ1574" s="148" t="n"/>
      <c r="CA1574" s="204" t="n"/>
      <c r="CB1574" s="208" t="n"/>
      <c r="CC1574" s="139" t="n"/>
      <c r="CD1574" s="204" t="n"/>
      <c r="CE1574" s="204" t="n"/>
      <c r="CF1574" s="207" t="n"/>
      <c r="CG1574" s="208" t="n"/>
      <c r="CH1574" s="207" t="n"/>
      <c r="CI1574" s="208" t="n"/>
      <c r="CJ1574" s="204" t="n"/>
      <c r="CK1574" s="208" t="n"/>
      <c r="CL1574" s="208" t="n"/>
      <c r="CM1574" s="208" t="n"/>
      <c r="CN1574" s="78" t="n"/>
      <c r="CO1574" s="209" t="n"/>
      <c r="CP1574" s="204" t="n"/>
      <c r="CQ1574" s="204" t="n"/>
      <c r="CR1574" s="204" t="n"/>
      <c r="CS1574" s="204" t="n"/>
      <c r="CT1574" s="204" t="n"/>
      <c r="CU1574" s="204" t="n"/>
      <c r="CV1574" s="204" t="n"/>
      <c r="CW1574" s="204" t="n"/>
    </row>
    <row r="1575">
      <c r="BF1575" s="78" t="n"/>
      <c r="BG1575" s="78" t="n"/>
      <c r="BH1575" s="78" t="n"/>
      <c r="BI1575" s="78" t="n"/>
      <c r="BJ1575" s="139" t="n"/>
      <c r="BK1575" s="204" t="n"/>
      <c r="BL1575" s="141" t="n"/>
      <c r="BM1575" s="205" t="n"/>
      <c r="BN1575" s="205" t="n"/>
      <c r="BO1575" s="206" t="n"/>
      <c r="BP1575" s="144" t="n"/>
      <c r="BQ1575" s="141" t="n"/>
      <c r="BR1575" s="207" t="n"/>
      <c r="BS1575" s="207" t="n"/>
      <c r="BT1575" s="207" t="n"/>
      <c r="BU1575" s="207" t="n"/>
      <c r="BV1575" s="208" t="n"/>
      <c r="BW1575" s="207" t="n"/>
      <c r="BX1575" s="207" t="n"/>
      <c r="BY1575" s="204" t="n"/>
      <c r="BZ1575" s="148" t="n"/>
      <c r="CA1575" s="204" t="n"/>
      <c r="CB1575" s="208" t="n"/>
      <c r="CC1575" s="139" t="n"/>
      <c r="CD1575" s="204" t="n"/>
      <c r="CE1575" s="204" t="n"/>
      <c r="CF1575" s="207" t="n"/>
      <c r="CG1575" s="208" t="n"/>
      <c r="CH1575" s="207" t="n"/>
      <c r="CI1575" s="208" t="n"/>
      <c r="CJ1575" s="204" t="n"/>
      <c r="CK1575" s="208" t="n"/>
      <c r="CL1575" s="208" t="n"/>
      <c r="CM1575" s="208" t="n"/>
      <c r="CN1575" s="78" t="n"/>
      <c r="CO1575" s="209" t="n"/>
      <c r="CP1575" s="204" t="n"/>
      <c r="CQ1575" s="204" t="n"/>
      <c r="CR1575" s="204" t="n"/>
      <c r="CS1575" s="204" t="n"/>
      <c r="CT1575" s="204" t="n"/>
      <c r="CU1575" s="204" t="n"/>
      <c r="CV1575" s="204" t="n"/>
      <c r="CW1575" s="204" t="n"/>
    </row>
    <row r="1576">
      <c r="BF1576" s="78" t="n"/>
      <c r="BG1576" s="78" t="n"/>
      <c r="BH1576" s="78" t="n"/>
      <c r="BI1576" s="78" t="n"/>
      <c r="BJ1576" s="139" t="n"/>
      <c r="BK1576" s="204" t="n"/>
      <c r="BL1576" s="141" t="n"/>
      <c r="BM1576" s="205" t="n"/>
      <c r="BN1576" s="205" t="n"/>
      <c r="BO1576" s="206" t="n"/>
      <c r="BP1576" s="144" t="n"/>
      <c r="BQ1576" s="141" t="n"/>
      <c r="BR1576" s="207" t="n"/>
      <c r="BS1576" s="207" t="n"/>
      <c r="BT1576" s="207" t="n"/>
      <c r="BU1576" s="207" t="n"/>
      <c r="BV1576" s="208" t="n"/>
      <c r="BW1576" s="207" t="n"/>
      <c r="BX1576" s="207" t="n"/>
      <c r="BY1576" s="204" t="n"/>
      <c r="BZ1576" s="148" t="n"/>
      <c r="CA1576" s="204" t="n"/>
      <c r="CB1576" s="208" t="n"/>
      <c r="CC1576" s="139" t="n"/>
      <c r="CD1576" s="204" t="n"/>
      <c r="CE1576" s="204" t="n"/>
      <c r="CF1576" s="207" t="n"/>
      <c r="CG1576" s="208" t="n"/>
      <c r="CH1576" s="207" t="n"/>
      <c r="CI1576" s="208" t="n"/>
      <c r="CJ1576" s="204" t="n"/>
      <c r="CK1576" s="208" t="n"/>
      <c r="CL1576" s="208" t="n"/>
      <c r="CM1576" s="208" t="n"/>
      <c r="CN1576" s="78" t="n"/>
      <c r="CO1576" s="209" t="n"/>
      <c r="CP1576" s="204" t="n"/>
      <c r="CQ1576" s="204" t="n"/>
      <c r="CR1576" s="204" t="n"/>
      <c r="CS1576" s="204" t="n"/>
      <c r="CT1576" s="204" t="n"/>
      <c r="CU1576" s="204" t="n"/>
      <c r="CV1576" s="204" t="n"/>
      <c r="CW1576" s="204" t="n"/>
    </row>
    <row r="1577">
      <c r="BF1577" s="78" t="n"/>
      <c r="BG1577" s="78" t="n"/>
      <c r="BH1577" s="78" t="n"/>
      <c r="BI1577" s="78" t="n"/>
      <c r="BJ1577" s="139" t="n"/>
      <c r="BK1577" s="204" t="n"/>
      <c r="BL1577" s="141" t="n"/>
      <c r="BM1577" s="205" t="n"/>
      <c r="BN1577" s="205" t="n"/>
      <c r="BO1577" s="206" t="n"/>
      <c r="BP1577" s="144" t="n"/>
      <c r="BQ1577" s="141" t="n"/>
      <c r="BR1577" s="207" t="n"/>
      <c r="BS1577" s="207" t="n"/>
      <c r="BT1577" s="207" t="n"/>
      <c r="BU1577" s="207" t="n"/>
      <c r="BV1577" s="208" t="n"/>
      <c r="BW1577" s="207" t="n"/>
      <c r="BX1577" s="207" t="n"/>
      <c r="BY1577" s="204" t="n"/>
      <c r="BZ1577" s="148" t="n"/>
      <c r="CA1577" s="204" t="n"/>
      <c r="CB1577" s="208" t="n"/>
      <c r="CC1577" s="139" t="n"/>
      <c r="CD1577" s="204" t="n"/>
      <c r="CE1577" s="204" t="n"/>
      <c r="CF1577" s="207" t="n"/>
      <c r="CG1577" s="208" t="n"/>
      <c r="CH1577" s="207" t="n"/>
      <c r="CI1577" s="208" t="n"/>
      <c r="CJ1577" s="204" t="n"/>
      <c r="CK1577" s="208" t="n"/>
      <c r="CL1577" s="208" t="n"/>
      <c r="CM1577" s="208" t="n"/>
      <c r="CN1577" s="78" t="n"/>
      <c r="CO1577" s="209" t="n"/>
      <c r="CP1577" s="204" t="n"/>
      <c r="CQ1577" s="204" t="n"/>
      <c r="CR1577" s="204" t="n"/>
      <c r="CS1577" s="204" t="n"/>
      <c r="CT1577" s="204" t="n"/>
      <c r="CU1577" s="204" t="n"/>
      <c r="CV1577" s="204" t="n"/>
      <c r="CW1577" s="204" t="n"/>
    </row>
    <row r="1578">
      <c r="BF1578" s="78" t="n"/>
      <c r="BG1578" s="78" t="n"/>
      <c r="BH1578" s="78" t="n"/>
      <c r="BI1578" s="78" t="n"/>
      <c r="BJ1578" s="139" t="n"/>
      <c r="BK1578" s="204" t="n"/>
      <c r="BL1578" s="141" t="n"/>
      <c r="BM1578" s="205" t="n"/>
      <c r="BN1578" s="205" t="n"/>
      <c r="BO1578" s="206" t="n"/>
      <c r="BP1578" s="144" t="n"/>
      <c r="BQ1578" s="141" t="n"/>
      <c r="BR1578" s="207" t="n"/>
      <c r="BS1578" s="207" t="n"/>
      <c r="BT1578" s="207" t="n"/>
      <c r="BU1578" s="207" t="n"/>
      <c r="BV1578" s="208" t="n"/>
      <c r="BW1578" s="207" t="n"/>
      <c r="BX1578" s="207" t="n"/>
      <c r="BY1578" s="204" t="n"/>
      <c r="BZ1578" s="148" t="n"/>
      <c r="CA1578" s="204" t="n"/>
      <c r="CB1578" s="208" t="n"/>
      <c r="CC1578" s="139" t="n"/>
      <c r="CD1578" s="204" t="n"/>
      <c r="CE1578" s="204" t="n"/>
      <c r="CF1578" s="207" t="n"/>
      <c r="CG1578" s="208" t="n"/>
      <c r="CH1578" s="207" t="n"/>
      <c r="CI1578" s="208" t="n"/>
      <c r="CJ1578" s="204" t="n"/>
      <c r="CK1578" s="208" t="n"/>
      <c r="CL1578" s="208" t="n"/>
      <c r="CM1578" s="208" t="n"/>
      <c r="CN1578" s="78" t="n"/>
      <c r="CO1578" s="209" t="n"/>
      <c r="CP1578" s="204" t="n"/>
      <c r="CQ1578" s="204" t="n"/>
      <c r="CR1578" s="204" t="n"/>
      <c r="CS1578" s="204" t="n"/>
      <c r="CT1578" s="204" t="n"/>
      <c r="CU1578" s="204" t="n"/>
      <c r="CV1578" s="204" t="n"/>
      <c r="CW1578" s="204" t="n"/>
    </row>
    <row r="1579">
      <c r="BF1579" s="78" t="n"/>
      <c r="BG1579" s="78" t="n"/>
      <c r="BH1579" s="78" t="n"/>
      <c r="BI1579" s="78" t="n"/>
      <c r="BJ1579" s="139" t="n"/>
      <c r="BK1579" s="204" t="n"/>
      <c r="BL1579" s="141" t="n"/>
      <c r="BM1579" s="205" t="n"/>
      <c r="BN1579" s="205" t="n"/>
      <c r="BO1579" s="206" t="n"/>
      <c r="BP1579" s="144" t="n"/>
      <c r="BQ1579" s="141" t="n"/>
      <c r="BR1579" s="207" t="n"/>
      <c r="BS1579" s="207" t="n"/>
      <c r="BT1579" s="207" t="n"/>
      <c r="BU1579" s="207" t="n"/>
      <c r="BV1579" s="208" t="n"/>
      <c r="BW1579" s="207" t="n"/>
      <c r="BX1579" s="207" t="n"/>
      <c r="BY1579" s="204" t="n"/>
      <c r="BZ1579" s="148" t="n"/>
      <c r="CA1579" s="204" t="n"/>
      <c r="CB1579" s="208" t="n"/>
      <c r="CC1579" s="139" t="n"/>
      <c r="CD1579" s="204" t="n"/>
      <c r="CE1579" s="204" t="n"/>
      <c r="CF1579" s="207" t="n"/>
      <c r="CG1579" s="208" t="n"/>
      <c r="CH1579" s="207" t="n"/>
      <c r="CI1579" s="208" t="n"/>
      <c r="CJ1579" s="204" t="n"/>
      <c r="CK1579" s="208" t="n"/>
      <c r="CL1579" s="208" t="n"/>
      <c r="CM1579" s="208" t="n"/>
      <c r="CN1579" s="78" t="n"/>
      <c r="CO1579" s="209" t="n"/>
      <c r="CP1579" s="204" t="n"/>
      <c r="CQ1579" s="204" t="n"/>
      <c r="CR1579" s="204" t="n"/>
      <c r="CS1579" s="204" t="n"/>
      <c r="CT1579" s="204" t="n"/>
      <c r="CU1579" s="204" t="n"/>
      <c r="CV1579" s="204" t="n"/>
      <c r="CW1579" s="204" t="n"/>
    </row>
    <row r="1580">
      <c r="BF1580" s="78" t="n"/>
      <c r="BG1580" s="78" t="n"/>
      <c r="BH1580" s="78" t="n"/>
      <c r="BI1580" s="78" t="n"/>
      <c r="BJ1580" s="139" t="n"/>
      <c r="BK1580" s="204" t="n"/>
      <c r="BL1580" s="141" t="n"/>
      <c r="BM1580" s="205" t="n"/>
      <c r="BN1580" s="205" t="n"/>
      <c r="BO1580" s="206" t="n"/>
      <c r="BP1580" s="144" t="n"/>
      <c r="BQ1580" s="141" t="n"/>
      <c r="BR1580" s="207" t="n"/>
      <c r="BS1580" s="207" t="n"/>
      <c r="BT1580" s="207" t="n"/>
      <c r="BU1580" s="207" t="n"/>
      <c r="BV1580" s="208" t="n"/>
      <c r="BW1580" s="207" t="n"/>
      <c r="BX1580" s="207" t="n"/>
      <c r="BY1580" s="204" t="n"/>
      <c r="BZ1580" s="148" t="n"/>
      <c r="CA1580" s="204" t="n"/>
      <c r="CB1580" s="208" t="n"/>
      <c r="CC1580" s="139" t="n"/>
      <c r="CD1580" s="204" t="n"/>
      <c r="CE1580" s="204" t="n"/>
      <c r="CF1580" s="207" t="n"/>
      <c r="CG1580" s="208" t="n"/>
      <c r="CH1580" s="207" t="n"/>
      <c r="CI1580" s="208" t="n"/>
      <c r="CJ1580" s="204" t="n"/>
      <c r="CK1580" s="208" t="n"/>
      <c r="CL1580" s="208" t="n"/>
      <c r="CM1580" s="208" t="n"/>
      <c r="CN1580" s="78" t="n"/>
      <c r="CO1580" s="209" t="n"/>
      <c r="CP1580" s="204" t="n"/>
      <c r="CQ1580" s="204" t="n"/>
      <c r="CR1580" s="204" t="n"/>
      <c r="CS1580" s="204" t="n"/>
      <c r="CT1580" s="204" t="n"/>
      <c r="CU1580" s="204" t="n"/>
      <c r="CV1580" s="204" t="n"/>
      <c r="CW1580" s="204" t="n"/>
    </row>
    <row r="1581">
      <c r="BF1581" s="78" t="n"/>
      <c r="BG1581" s="78" t="n"/>
      <c r="BH1581" s="78" t="n"/>
      <c r="BI1581" s="78" t="n"/>
      <c r="BJ1581" s="139" t="n"/>
      <c r="BK1581" s="204" t="n"/>
      <c r="BL1581" s="141" t="n"/>
      <c r="BM1581" s="205" t="n"/>
      <c r="BN1581" s="205" t="n"/>
      <c r="BO1581" s="206" t="n"/>
      <c r="BP1581" s="144" t="n"/>
      <c r="BQ1581" s="141" t="n"/>
      <c r="BR1581" s="207" t="n"/>
      <c r="BS1581" s="207" t="n"/>
      <c r="BT1581" s="207" t="n"/>
      <c r="BU1581" s="207" t="n"/>
      <c r="BV1581" s="208" t="n"/>
      <c r="BW1581" s="207" t="n"/>
      <c r="BX1581" s="207" t="n"/>
      <c r="BY1581" s="204" t="n"/>
      <c r="BZ1581" s="148" t="n"/>
      <c r="CA1581" s="204" t="n"/>
      <c r="CB1581" s="208" t="n"/>
      <c r="CC1581" s="139" t="n"/>
      <c r="CD1581" s="204" t="n"/>
      <c r="CE1581" s="204" t="n"/>
      <c r="CF1581" s="207" t="n"/>
      <c r="CG1581" s="208" t="n"/>
      <c r="CH1581" s="207" t="n"/>
      <c r="CI1581" s="208" t="n"/>
      <c r="CJ1581" s="204" t="n"/>
      <c r="CK1581" s="208" t="n"/>
      <c r="CL1581" s="208" t="n"/>
      <c r="CM1581" s="208" t="n"/>
      <c r="CN1581" s="78" t="n"/>
      <c r="CO1581" s="209" t="n"/>
      <c r="CP1581" s="204" t="n"/>
      <c r="CQ1581" s="204" t="n"/>
      <c r="CR1581" s="204" t="n"/>
      <c r="CS1581" s="204" t="n"/>
      <c r="CT1581" s="204" t="n"/>
      <c r="CU1581" s="204" t="n"/>
      <c r="CV1581" s="204" t="n"/>
      <c r="CW1581" s="204" t="n"/>
    </row>
    <row r="1582">
      <c r="BF1582" s="78" t="n"/>
      <c r="BG1582" s="78" t="n"/>
      <c r="BH1582" s="78" t="n"/>
      <c r="BI1582" s="78" t="n"/>
      <c r="BJ1582" s="139" t="n"/>
      <c r="BK1582" s="204" t="n"/>
      <c r="BL1582" s="141" t="n"/>
      <c r="BM1582" s="205" t="n"/>
      <c r="BN1582" s="205" t="n"/>
      <c r="BO1582" s="206" t="n"/>
      <c r="BP1582" s="144" t="n"/>
      <c r="BQ1582" s="141" t="n"/>
      <c r="BR1582" s="207" t="n"/>
      <c r="BS1582" s="207" t="n"/>
      <c r="BT1582" s="207" t="n"/>
      <c r="BU1582" s="207" t="n"/>
      <c r="BV1582" s="208" t="n"/>
      <c r="BW1582" s="207" t="n"/>
      <c r="BX1582" s="207" t="n"/>
      <c r="BY1582" s="204" t="n"/>
      <c r="BZ1582" s="148" t="n"/>
      <c r="CA1582" s="204" t="n"/>
      <c r="CB1582" s="208" t="n"/>
      <c r="CC1582" s="139" t="n"/>
      <c r="CD1582" s="204" t="n"/>
      <c r="CE1582" s="204" t="n"/>
      <c r="CF1582" s="207" t="n"/>
      <c r="CG1582" s="208" t="n"/>
      <c r="CH1582" s="207" t="n"/>
      <c r="CI1582" s="208" t="n"/>
      <c r="CJ1582" s="204" t="n"/>
      <c r="CK1582" s="208" t="n"/>
      <c r="CL1582" s="208" t="n"/>
      <c r="CM1582" s="208" t="n"/>
      <c r="CN1582" s="78" t="n"/>
      <c r="CO1582" s="209" t="n"/>
      <c r="CP1582" s="204" t="n"/>
      <c r="CQ1582" s="204" t="n"/>
      <c r="CR1582" s="204" t="n"/>
      <c r="CS1582" s="204" t="n"/>
      <c r="CT1582" s="204" t="n"/>
      <c r="CU1582" s="204" t="n"/>
      <c r="CV1582" s="204" t="n"/>
      <c r="CW1582" s="204" t="n"/>
    </row>
    <row r="1583">
      <c r="BF1583" s="78" t="n"/>
      <c r="BG1583" s="78" t="n"/>
      <c r="BH1583" s="78" t="n"/>
      <c r="BI1583" s="78" t="n"/>
      <c r="BJ1583" s="139" t="n"/>
      <c r="BK1583" s="204" t="n"/>
      <c r="BL1583" s="141" t="n"/>
      <c r="BM1583" s="205" t="n"/>
      <c r="BN1583" s="205" t="n"/>
      <c r="BO1583" s="206" t="n"/>
      <c r="BP1583" s="144" t="n"/>
      <c r="BQ1583" s="141" t="n"/>
      <c r="BR1583" s="207" t="n"/>
      <c r="BS1583" s="207" t="n"/>
      <c r="BT1583" s="207" t="n"/>
      <c r="BU1583" s="207" t="n"/>
      <c r="BV1583" s="208" t="n"/>
      <c r="BW1583" s="207" t="n"/>
      <c r="BX1583" s="207" t="n"/>
      <c r="BY1583" s="204" t="n"/>
      <c r="BZ1583" s="148" t="n"/>
      <c r="CA1583" s="204" t="n"/>
      <c r="CB1583" s="208" t="n"/>
      <c r="CC1583" s="139" t="n"/>
      <c r="CD1583" s="204" t="n"/>
      <c r="CE1583" s="204" t="n"/>
      <c r="CF1583" s="207" t="n"/>
      <c r="CG1583" s="208" t="n"/>
      <c r="CH1583" s="207" t="n"/>
      <c r="CI1583" s="208" t="n"/>
      <c r="CJ1583" s="204" t="n"/>
      <c r="CK1583" s="208" t="n"/>
      <c r="CL1583" s="208" t="n"/>
      <c r="CM1583" s="208" t="n"/>
      <c r="CN1583" s="78" t="n"/>
      <c r="CO1583" s="209" t="n"/>
      <c r="CP1583" s="204" t="n"/>
      <c r="CQ1583" s="204" t="n"/>
      <c r="CR1583" s="204" t="n"/>
      <c r="CS1583" s="204" t="n"/>
      <c r="CT1583" s="204" t="n"/>
      <c r="CU1583" s="204" t="n"/>
      <c r="CV1583" s="204" t="n"/>
      <c r="CW1583" s="204" t="n"/>
    </row>
    <row r="1584">
      <c r="BF1584" s="78" t="n"/>
      <c r="BG1584" s="78" t="n"/>
      <c r="BH1584" s="78" t="n"/>
      <c r="BI1584" s="78" t="n"/>
      <c r="BJ1584" s="139" t="n"/>
      <c r="BK1584" s="204" t="n"/>
      <c r="BL1584" s="141" t="n"/>
      <c r="BM1584" s="205" t="n"/>
      <c r="BN1584" s="205" t="n"/>
      <c r="BO1584" s="206" t="n"/>
      <c r="BP1584" s="144" t="n"/>
      <c r="BQ1584" s="141" t="n"/>
      <c r="BR1584" s="207" t="n"/>
      <c r="BS1584" s="207" t="n"/>
      <c r="BT1584" s="207" t="n"/>
      <c r="BU1584" s="207" t="n"/>
      <c r="BV1584" s="208" t="n"/>
      <c r="BW1584" s="207" t="n"/>
      <c r="BX1584" s="207" t="n"/>
      <c r="BY1584" s="204" t="n"/>
      <c r="BZ1584" s="148" t="n"/>
      <c r="CA1584" s="204" t="n"/>
      <c r="CB1584" s="208" t="n"/>
      <c r="CC1584" s="139" t="n"/>
      <c r="CD1584" s="204" t="n"/>
      <c r="CE1584" s="204" t="n"/>
      <c r="CF1584" s="207" t="n"/>
      <c r="CG1584" s="208" t="n"/>
      <c r="CH1584" s="207" t="n"/>
      <c r="CI1584" s="208" t="n"/>
      <c r="CJ1584" s="204" t="n"/>
      <c r="CK1584" s="208" t="n"/>
      <c r="CL1584" s="208" t="n"/>
      <c r="CM1584" s="208" t="n"/>
      <c r="CN1584" s="78" t="n"/>
      <c r="CO1584" s="209" t="n"/>
      <c r="CP1584" s="204" t="n"/>
      <c r="CQ1584" s="204" t="n"/>
      <c r="CR1584" s="204" t="n"/>
      <c r="CS1584" s="204" t="n"/>
      <c r="CT1584" s="204" t="n"/>
      <c r="CU1584" s="204" t="n"/>
      <c r="CV1584" s="204" t="n"/>
      <c r="CW1584" s="204" t="n"/>
    </row>
    <row r="1585">
      <c r="BF1585" s="78" t="n"/>
      <c r="BG1585" s="78" t="n"/>
      <c r="BH1585" s="78" t="n"/>
      <c r="BI1585" s="78" t="n"/>
      <c r="BJ1585" s="139" t="n"/>
      <c r="BK1585" s="204" t="n"/>
      <c r="BL1585" s="141" t="n"/>
      <c r="BM1585" s="205" t="n"/>
      <c r="BN1585" s="205" t="n"/>
      <c r="BO1585" s="206" t="n"/>
      <c r="BP1585" s="144" t="n"/>
      <c r="BQ1585" s="141" t="n"/>
      <c r="BR1585" s="207" t="n"/>
      <c r="BS1585" s="207" t="n"/>
      <c r="BT1585" s="207" t="n"/>
      <c r="BU1585" s="207" t="n"/>
      <c r="BV1585" s="208" t="n"/>
      <c r="BW1585" s="207" t="n"/>
      <c r="BX1585" s="207" t="n"/>
      <c r="BY1585" s="204" t="n"/>
      <c r="BZ1585" s="148" t="n"/>
      <c r="CA1585" s="204" t="n"/>
      <c r="CB1585" s="208" t="n"/>
      <c r="CC1585" s="139" t="n"/>
      <c r="CD1585" s="204" t="n"/>
      <c r="CE1585" s="204" t="n"/>
      <c r="CF1585" s="207" t="n"/>
      <c r="CG1585" s="208" t="n"/>
      <c r="CH1585" s="207" t="n"/>
      <c r="CI1585" s="208" t="n"/>
      <c r="CJ1585" s="204" t="n"/>
      <c r="CK1585" s="208" t="n"/>
      <c r="CL1585" s="208" t="n"/>
      <c r="CM1585" s="208" t="n"/>
      <c r="CN1585" s="78" t="n"/>
      <c r="CO1585" s="209" t="n"/>
      <c r="CP1585" s="204" t="n"/>
      <c r="CQ1585" s="204" t="n"/>
      <c r="CR1585" s="204" t="n"/>
      <c r="CS1585" s="204" t="n"/>
      <c r="CT1585" s="204" t="n"/>
      <c r="CU1585" s="204" t="n"/>
      <c r="CV1585" s="204" t="n"/>
      <c r="CW1585" s="204" t="n"/>
    </row>
    <row r="1586">
      <c r="BF1586" s="78" t="n"/>
      <c r="BG1586" s="78" t="n"/>
      <c r="BH1586" s="78" t="n"/>
      <c r="BI1586" s="78" t="n"/>
      <c r="BJ1586" s="139" t="n"/>
      <c r="BK1586" s="204" t="n"/>
      <c r="BL1586" s="141" t="n"/>
      <c r="BM1586" s="205" t="n"/>
      <c r="BN1586" s="205" t="n"/>
      <c r="BO1586" s="206" t="n"/>
      <c r="BP1586" s="144" t="n"/>
      <c r="BQ1586" s="141" t="n"/>
      <c r="BR1586" s="207" t="n"/>
      <c r="BS1586" s="207" t="n"/>
      <c r="BT1586" s="207" t="n"/>
      <c r="BU1586" s="207" t="n"/>
      <c r="BV1586" s="208" t="n"/>
      <c r="BW1586" s="207" t="n"/>
      <c r="BX1586" s="207" t="n"/>
      <c r="BY1586" s="204" t="n"/>
      <c r="BZ1586" s="148" t="n"/>
      <c r="CA1586" s="204" t="n"/>
      <c r="CB1586" s="208" t="n"/>
      <c r="CC1586" s="139" t="n"/>
      <c r="CD1586" s="204" t="n"/>
      <c r="CE1586" s="204" t="n"/>
      <c r="CF1586" s="207" t="n"/>
      <c r="CG1586" s="208" t="n"/>
      <c r="CH1586" s="207" t="n"/>
      <c r="CI1586" s="208" t="n"/>
      <c r="CJ1586" s="204" t="n"/>
      <c r="CK1586" s="208" t="n"/>
      <c r="CL1586" s="208" t="n"/>
      <c r="CM1586" s="208" t="n"/>
      <c r="CN1586" s="78" t="n"/>
      <c r="CO1586" s="209" t="n"/>
      <c r="CP1586" s="204" t="n"/>
      <c r="CQ1586" s="204" t="n"/>
      <c r="CR1586" s="204" t="n"/>
      <c r="CS1586" s="204" t="n"/>
      <c r="CT1586" s="204" t="n"/>
      <c r="CU1586" s="204" t="n"/>
      <c r="CV1586" s="204" t="n"/>
      <c r="CW1586" s="204" t="n"/>
    </row>
    <row r="1587">
      <c r="BF1587" s="78" t="n"/>
      <c r="BG1587" s="78" t="n"/>
      <c r="BH1587" s="78" t="n"/>
      <c r="BI1587" s="78" t="n"/>
      <c r="BJ1587" s="139" t="n"/>
      <c r="BK1587" s="204" t="n"/>
      <c r="BL1587" s="141" t="n"/>
      <c r="BM1587" s="205" t="n"/>
      <c r="BN1587" s="205" t="n"/>
      <c r="BO1587" s="206" t="n"/>
      <c r="BP1587" s="144" t="n"/>
      <c r="BQ1587" s="141" t="n"/>
      <c r="BR1587" s="207" t="n"/>
      <c r="BS1587" s="207" t="n"/>
      <c r="BT1587" s="207" t="n"/>
      <c r="BU1587" s="207" t="n"/>
      <c r="BV1587" s="208" t="n"/>
      <c r="BW1587" s="207" t="n"/>
      <c r="BX1587" s="207" t="n"/>
      <c r="BY1587" s="204" t="n"/>
      <c r="BZ1587" s="148" t="n"/>
      <c r="CA1587" s="204" t="n"/>
      <c r="CB1587" s="208" t="n"/>
      <c r="CC1587" s="139" t="n"/>
      <c r="CD1587" s="204" t="n"/>
      <c r="CE1587" s="204" t="n"/>
      <c r="CF1587" s="207" t="n"/>
      <c r="CG1587" s="208" t="n"/>
      <c r="CH1587" s="207" t="n"/>
      <c r="CI1587" s="208" t="n"/>
      <c r="CJ1587" s="204" t="n"/>
      <c r="CK1587" s="208" t="n"/>
      <c r="CL1587" s="208" t="n"/>
      <c r="CM1587" s="208" t="n"/>
      <c r="CN1587" s="78" t="n"/>
      <c r="CO1587" s="209" t="n"/>
      <c r="CP1587" s="204" t="n"/>
      <c r="CQ1587" s="204" t="n"/>
      <c r="CR1587" s="204" t="n"/>
      <c r="CS1587" s="204" t="n"/>
      <c r="CT1587" s="204" t="n"/>
      <c r="CU1587" s="204" t="n"/>
      <c r="CV1587" s="204" t="n"/>
      <c r="CW1587" s="204" t="n"/>
    </row>
    <row r="1588">
      <c r="BF1588" s="78" t="n"/>
      <c r="BG1588" s="78" t="n"/>
      <c r="BH1588" s="78" t="n"/>
      <c r="BI1588" s="78" t="n"/>
      <c r="BJ1588" s="139" t="n"/>
      <c r="BK1588" s="204" t="n"/>
      <c r="BL1588" s="141" t="n"/>
      <c r="BM1588" s="205" t="n"/>
      <c r="BN1588" s="205" t="n"/>
      <c r="BO1588" s="206" t="n"/>
      <c r="BP1588" s="144" t="n"/>
      <c r="BQ1588" s="141" t="n"/>
      <c r="BR1588" s="207" t="n"/>
      <c r="BS1588" s="207" t="n"/>
      <c r="BT1588" s="207" t="n"/>
      <c r="BU1588" s="207" t="n"/>
      <c r="BV1588" s="208" t="n"/>
      <c r="BW1588" s="207" t="n"/>
      <c r="BX1588" s="207" t="n"/>
      <c r="BY1588" s="204" t="n"/>
      <c r="BZ1588" s="148" t="n"/>
      <c r="CA1588" s="204" t="n"/>
      <c r="CB1588" s="208" t="n"/>
      <c r="CC1588" s="139" t="n"/>
      <c r="CD1588" s="204" t="n"/>
      <c r="CE1588" s="204" t="n"/>
      <c r="CF1588" s="207" t="n"/>
      <c r="CG1588" s="208" t="n"/>
      <c r="CH1588" s="207" t="n"/>
      <c r="CI1588" s="208" t="n"/>
      <c r="CJ1588" s="204" t="n"/>
      <c r="CK1588" s="208" t="n"/>
      <c r="CL1588" s="208" t="n"/>
      <c r="CM1588" s="208" t="n"/>
      <c r="CN1588" s="78" t="n"/>
      <c r="CO1588" s="209" t="n"/>
      <c r="CP1588" s="204" t="n"/>
      <c r="CQ1588" s="204" t="n"/>
      <c r="CR1588" s="204" t="n"/>
      <c r="CS1588" s="204" t="n"/>
      <c r="CT1588" s="204" t="n"/>
      <c r="CU1588" s="204" t="n"/>
      <c r="CV1588" s="204" t="n"/>
      <c r="CW1588" s="204" t="n"/>
    </row>
    <row r="1589">
      <c r="BF1589" s="78" t="n"/>
      <c r="BG1589" s="78" t="n"/>
      <c r="BH1589" s="78" t="n"/>
      <c r="BI1589" s="78" t="n"/>
      <c r="BJ1589" s="139" t="n"/>
      <c r="BK1589" s="204" t="n"/>
      <c r="BL1589" s="141" t="n"/>
      <c r="BM1589" s="205" t="n"/>
      <c r="BN1589" s="205" t="n"/>
      <c r="BO1589" s="206" t="n"/>
      <c r="BP1589" s="144" t="n"/>
      <c r="BQ1589" s="141" t="n"/>
      <c r="BR1589" s="207" t="n"/>
      <c r="BS1589" s="207" t="n"/>
      <c r="BT1589" s="207" t="n"/>
      <c r="BU1589" s="207" t="n"/>
      <c r="BV1589" s="208" t="n"/>
      <c r="BW1589" s="207" t="n"/>
      <c r="BX1589" s="207" t="n"/>
      <c r="BY1589" s="204" t="n"/>
      <c r="BZ1589" s="148" t="n"/>
      <c r="CA1589" s="204" t="n"/>
      <c r="CB1589" s="208" t="n"/>
      <c r="CC1589" s="139" t="n"/>
      <c r="CD1589" s="204" t="n"/>
      <c r="CE1589" s="204" t="n"/>
      <c r="CF1589" s="207" t="n"/>
      <c r="CG1589" s="208" t="n"/>
      <c r="CH1589" s="207" t="n"/>
      <c r="CI1589" s="208" t="n"/>
      <c r="CJ1589" s="204" t="n"/>
      <c r="CK1589" s="208" t="n"/>
      <c r="CL1589" s="208" t="n"/>
      <c r="CM1589" s="208" t="n"/>
      <c r="CN1589" s="78" t="n"/>
      <c r="CO1589" s="209" t="n"/>
      <c r="CP1589" s="204" t="n"/>
      <c r="CQ1589" s="204" t="n"/>
      <c r="CR1589" s="204" t="n"/>
      <c r="CS1589" s="204" t="n"/>
      <c r="CT1589" s="204" t="n"/>
      <c r="CU1589" s="204" t="n"/>
      <c r="CV1589" s="204" t="n"/>
      <c r="CW1589" s="204" t="n"/>
    </row>
    <row r="1590">
      <c r="BF1590" s="78" t="n"/>
      <c r="BG1590" s="78" t="n"/>
      <c r="BH1590" s="78" t="n"/>
      <c r="BI1590" s="78" t="n"/>
      <c r="BJ1590" s="139" t="n"/>
      <c r="BK1590" s="204" t="n"/>
      <c r="BL1590" s="141" t="n"/>
      <c r="BM1590" s="205" t="n"/>
      <c r="BN1590" s="205" t="n"/>
      <c r="BO1590" s="206" t="n"/>
      <c r="BP1590" s="144" t="n"/>
      <c r="BQ1590" s="141" t="n"/>
      <c r="BR1590" s="207" t="n"/>
      <c r="BS1590" s="207" t="n"/>
      <c r="BT1590" s="207" t="n"/>
      <c r="BU1590" s="207" t="n"/>
      <c r="BV1590" s="208" t="n"/>
      <c r="BW1590" s="207" t="n"/>
      <c r="BX1590" s="207" t="n"/>
      <c r="BY1590" s="204" t="n"/>
      <c r="BZ1590" s="148" t="n"/>
      <c r="CA1590" s="204" t="n"/>
      <c r="CB1590" s="208" t="n"/>
      <c r="CC1590" s="139" t="n"/>
      <c r="CD1590" s="204" t="n"/>
      <c r="CE1590" s="204" t="n"/>
      <c r="CF1590" s="207" t="n"/>
      <c r="CG1590" s="208" t="n"/>
      <c r="CH1590" s="207" t="n"/>
      <c r="CI1590" s="208" t="n"/>
      <c r="CJ1590" s="204" t="n"/>
      <c r="CK1590" s="208" t="n"/>
      <c r="CL1590" s="208" t="n"/>
      <c r="CM1590" s="208" t="n"/>
      <c r="CN1590" s="78" t="n"/>
      <c r="CO1590" s="209" t="n"/>
      <c r="CP1590" s="204" t="n"/>
      <c r="CQ1590" s="204" t="n"/>
      <c r="CR1590" s="204" t="n"/>
      <c r="CS1590" s="204" t="n"/>
      <c r="CT1590" s="204" t="n"/>
      <c r="CU1590" s="204" t="n"/>
      <c r="CV1590" s="204" t="n"/>
      <c r="CW1590" s="204" t="n"/>
    </row>
    <row r="1591">
      <c r="BF1591" s="78" t="n"/>
      <c r="BG1591" s="78" t="n"/>
      <c r="BH1591" s="78" t="n"/>
      <c r="BI1591" s="78" t="n"/>
      <c r="BJ1591" s="139" t="n"/>
      <c r="BK1591" s="204" t="n"/>
      <c r="BL1591" s="141" t="n"/>
      <c r="BM1591" s="205" t="n"/>
      <c r="BN1591" s="205" t="n"/>
      <c r="BO1591" s="206" t="n"/>
      <c r="BP1591" s="144" t="n"/>
      <c r="BQ1591" s="141" t="n"/>
      <c r="BR1591" s="207" t="n"/>
      <c r="BS1591" s="207" t="n"/>
      <c r="BT1591" s="207" t="n"/>
      <c r="BU1591" s="207" t="n"/>
      <c r="BV1591" s="208" t="n"/>
      <c r="BW1591" s="207" t="n"/>
      <c r="BX1591" s="207" t="n"/>
      <c r="BY1591" s="204" t="n"/>
      <c r="BZ1591" s="148" t="n"/>
      <c r="CA1591" s="204" t="n"/>
      <c r="CB1591" s="208" t="n"/>
      <c r="CC1591" s="139" t="n"/>
      <c r="CD1591" s="204" t="n"/>
      <c r="CE1591" s="204" t="n"/>
      <c r="CF1591" s="207" t="n"/>
      <c r="CG1591" s="208" t="n"/>
      <c r="CH1591" s="207" t="n"/>
      <c r="CI1591" s="208" t="n"/>
      <c r="CJ1591" s="204" t="n"/>
      <c r="CK1591" s="208" t="n"/>
      <c r="CL1591" s="208" t="n"/>
      <c r="CM1591" s="208" t="n"/>
      <c r="CN1591" s="78" t="n"/>
      <c r="CO1591" s="209" t="n"/>
      <c r="CP1591" s="204" t="n"/>
      <c r="CQ1591" s="204" t="n"/>
      <c r="CR1591" s="204" t="n"/>
      <c r="CS1591" s="204" t="n"/>
      <c r="CT1591" s="204" t="n"/>
      <c r="CU1591" s="204" t="n"/>
      <c r="CV1591" s="204" t="n"/>
      <c r="CW1591" s="204" t="n"/>
    </row>
    <row r="1592">
      <c r="BF1592" s="78" t="n"/>
      <c r="BG1592" s="78" t="n"/>
      <c r="BH1592" s="78" t="n"/>
      <c r="BI1592" s="78" t="n"/>
      <c r="BJ1592" s="139" t="n"/>
      <c r="BK1592" s="204" t="n"/>
      <c r="BL1592" s="141" t="n"/>
      <c r="BM1592" s="205" t="n"/>
      <c r="BN1592" s="205" t="n"/>
      <c r="BO1592" s="206" t="n"/>
      <c r="BP1592" s="144" t="n"/>
      <c r="BQ1592" s="141" t="n"/>
      <c r="BR1592" s="207" t="n"/>
      <c r="BS1592" s="207" t="n"/>
      <c r="BT1592" s="207" t="n"/>
      <c r="BU1592" s="207" t="n"/>
      <c r="BV1592" s="208" t="n"/>
      <c r="BW1592" s="207" t="n"/>
      <c r="BX1592" s="207" t="n"/>
      <c r="BY1592" s="204" t="n"/>
      <c r="BZ1592" s="148" t="n"/>
      <c r="CA1592" s="204" t="n"/>
      <c r="CB1592" s="208" t="n"/>
      <c r="CC1592" s="139" t="n"/>
      <c r="CD1592" s="204" t="n"/>
      <c r="CE1592" s="204" t="n"/>
      <c r="CF1592" s="207" t="n"/>
      <c r="CG1592" s="208" t="n"/>
      <c r="CH1592" s="207" t="n"/>
      <c r="CI1592" s="208" t="n"/>
      <c r="CJ1592" s="204" t="n"/>
      <c r="CK1592" s="208" t="n"/>
      <c r="CL1592" s="208" t="n"/>
      <c r="CM1592" s="208" t="n"/>
      <c r="CN1592" s="78" t="n"/>
      <c r="CO1592" s="209" t="n"/>
      <c r="CP1592" s="204" t="n"/>
      <c r="CQ1592" s="204" t="n"/>
      <c r="CR1592" s="204" t="n"/>
      <c r="CS1592" s="204" t="n"/>
      <c r="CT1592" s="204" t="n"/>
      <c r="CU1592" s="204" t="n"/>
      <c r="CV1592" s="204" t="n"/>
      <c r="CW1592" s="204" t="n"/>
    </row>
    <row r="1593">
      <c r="BF1593" s="78" t="n"/>
      <c r="BG1593" s="78" t="n"/>
      <c r="BH1593" s="78" t="n"/>
      <c r="BI1593" s="78" t="n"/>
      <c r="BJ1593" s="139" t="n"/>
      <c r="BK1593" s="204" t="n"/>
      <c r="BL1593" s="141" t="n"/>
      <c r="BM1593" s="205" t="n"/>
      <c r="BN1593" s="205" t="n"/>
      <c r="BO1593" s="206" t="n"/>
      <c r="BP1593" s="144" t="n"/>
      <c r="BQ1593" s="141" t="n"/>
      <c r="BR1593" s="207" t="n"/>
      <c r="BS1593" s="207" t="n"/>
      <c r="BT1593" s="207" t="n"/>
      <c r="BU1593" s="207" t="n"/>
      <c r="BV1593" s="208" t="n"/>
      <c r="BW1593" s="207" t="n"/>
      <c r="BX1593" s="207" t="n"/>
      <c r="BY1593" s="204" t="n"/>
      <c r="BZ1593" s="148" t="n"/>
      <c r="CA1593" s="204" t="n"/>
      <c r="CB1593" s="208" t="n"/>
      <c r="CC1593" s="139" t="n"/>
      <c r="CD1593" s="204" t="n"/>
      <c r="CE1593" s="204" t="n"/>
      <c r="CF1593" s="207" t="n"/>
      <c r="CG1593" s="208" t="n"/>
      <c r="CH1593" s="207" t="n"/>
      <c r="CI1593" s="208" t="n"/>
      <c r="CJ1593" s="204" t="n"/>
      <c r="CK1593" s="208" t="n"/>
      <c r="CL1593" s="208" t="n"/>
      <c r="CM1593" s="208" t="n"/>
      <c r="CN1593" s="78" t="n"/>
      <c r="CO1593" s="209" t="n"/>
      <c r="CP1593" s="204" t="n"/>
      <c r="CQ1593" s="204" t="n"/>
      <c r="CR1593" s="204" t="n"/>
      <c r="CS1593" s="204" t="n"/>
      <c r="CT1593" s="204" t="n"/>
      <c r="CU1593" s="204" t="n"/>
      <c r="CV1593" s="204" t="n"/>
      <c r="CW1593" s="204" t="n"/>
    </row>
    <row r="1594">
      <c r="BF1594" s="78" t="n"/>
      <c r="BG1594" s="78" t="n"/>
      <c r="BH1594" s="78" t="n"/>
      <c r="BI1594" s="78" t="n"/>
      <c r="BJ1594" s="139" t="n"/>
      <c r="BK1594" s="204" t="n"/>
      <c r="BL1594" s="141" t="n"/>
      <c r="BM1594" s="205" t="n"/>
      <c r="BN1594" s="205" t="n"/>
      <c r="BO1594" s="206" t="n"/>
      <c r="BP1594" s="144" t="n"/>
      <c r="BQ1594" s="141" t="n"/>
      <c r="BR1594" s="207" t="n"/>
      <c r="BS1594" s="207" t="n"/>
      <c r="BT1594" s="207" t="n"/>
      <c r="BU1594" s="207" t="n"/>
      <c r="BV1594" s="208" t="n"/>
      <c r="BW1594" s="207" t="n"/>
      <c r="BX1594" s="207" t="n"/>
      <c r="BY1594" s="204" t="n"/>
      <c r="BZ1594" s="148" t="n"/>
      <c r="CA1594" s="204" t="n"/>
      <c r="CB1594" s="208" t="n"/>
      <c r="CC1594" s="139" t="n"/>
      <c r="CD1594" s="204" t="n"/>
      <c r="CE1594" s="204" t="n"/>
      <c r="CF1594" s="207" t="n"/>
      <c r="CG1594" s="208" t="n"/>
      <c r="CH1594" s="207" t="n"/>
      <c r="CI1594" s="208" t="n"/>
      <c r="CJ1594" s="204" t="n"/>
      <c r="CK1594" s="208" t="n"/>
      <c r="CL1594" s="208" t="n"/>
      <c r="CM1594" s="208" t="n"/>
      <c r="CN1594" s="78" t="n"/>
      <c r="CO1594" s="209" t="n"/>
      <c r="CP1594" s="204" t="n"/>
      <c r="CQ1594" s="204" t="n"/>
      <c r="CR1594" s="204" t="n"/>
      <c r="CS1594" s="204" t="n"/>
      <c r="CT1594" s="204" t="n"/>
      <c r="CU1594" s="204" t="n"/>
      <c r="CV1594" s="204" t="n"/>
      <c r="CW1594" s="204" t="n"/>
    </row>
    <row r="1595">
      <c r="BF1595" s="78" t="n"/>
      <c r="BG1595" s="78" t="n"/>
      <c r="BH1595" s="78" t="n"/>
      <c r="BI1595" s="78" t="n"/>
      <c r="BJ1595" s="139" t="n"/>
      <c r="BK1595" s="204" t="n"/>
      <c r="BL1595" s="141" t="n"/>
      <c r="BM1595" s="205" t="n"/>
      <c r="BN1595" s="205" t="n"/>
      <c r="BO1595" s="206" t="n"/>
      <c r="BP1595" s="144" t="n"/>
      <c r="BQ1595" s="141" t="n"/>
      <c r="BR1595" s="207" t="n"/>
      <c r="BS1595" s="207" t="n"/>
      <c r="BT1595" s="207" t="n"/>
      <c r="BU1595" s="207" t="n"/>
      <c r="BV1595" s="208" t="n"/>
      <c r="BW1595" s="207" t="n"/>
      <c r="BX1595" s="207" t="n"/>
      <c r="BY1595" s="204" t="n"/>
      <c r="BZ1595" s="148" t="n"/>
      <c r="CA1595" s="204" t="n"/>
      <c r="CB1595" s="208" t="n"/>
      <c r="CC1595" s="139" t="n"/>
      <c r="CD1595" s="204" t="n"/>
      <c r="CE1595" s="204" t="n"/>
      <c r="CF1595" s="207" t="n"/>
      <c r="CG1595" s="208" t="n"/>
      <c r="CH1595" s="207" t="n"/>
      <c r="CI1595" s="208" t="n"/>
      <c r="CJ1595" s="204" t="n"/>
      <c r="CK1595" s="208" t="n"/>
      <c r="CL1595" s="208" t="n"/>
      <c r="CM1595" s="208" t="n"/>
      <c r="CN1595" s="78" t="n"/>
      <c r="CO1595" s="209" t="n"/>
      <c r="CP1595" s="204" t="n"/>
      <c r="CQ1595" s="204" t="n"/>
      <c r="CR1595" s="204" t="n"/>
      <c r="CS1595" s="204" t="n"/>
      <c r="CT1595" s="204" t="n"/>
      <c r="CU1595" s="204" t="n"/>
      <c r="CV1595" s="204" t="n"/>
      <c r="CW1595" s="204" t="n"/>
    </row>
    <row r="1596">
      <c r="BF1596" s="78" t="n"/>
      <c r="BG1596" s="78" t="n"/>
      <c r="BH1596" s="78" t="n"/>
      <c r="BI1596" s="78" t="n"/>
      <c r="BJ1596" s="139" t="n"/>
      <c r="BK1596" s="204" t="n"/>
      <c r="BL1596" s="141" t="n"/>
      <c r="BM1596" s="205" t="n"/>
      <c r="BN1596" s="205" t="n"/>
      <c r="BO1596" s="206" t="n"/>
      <c r="BP1596" s="144" t="n"/>
      <c r="BQ1596" s="141" t="n"/>
      <c r="BR1596" s="207" t="n"/>
      <c r="BS1596" s="207" t="n"/>
      <c r="BT1596" s="207" t="n"/>
      <c r="BU1596" s="207" t="n"/>
      <c r="BV1596" s="208" t="n"/>
      <c r="BW1596" s="207" t="n"/>
      <c r="BX1596" s="207" t="n"/>
      <c r="BY1596" s="204" t="n"/>
      <c r="BZ1596" s="148" t="n"/>
      <c r="CA1596" s="204" t="n"/>
      <c r="CB1596" s="208" t="n"/>
      <c r="CC1596" s="139" t="n"/>
      <c r="CD1596" s="204" t="n"/>
      <c r="CE1596" s="204" t="n"/>
      <c r="CF1596" s="207" t="n"/>
      <c r="CG1596" s="208" t="n"/>
      <c r="CH1596" s="207" t="n"/>
      <c r="CI1596" s="208" t="n"/>
      <c r="CJ1596" s="204" t="n"/>
      <c r="CK1596" s="208" t="n"/>
      <c r="CL1596" s="208" t="n"/>
      <c r="CM1596" s="208" t="n"/>
      <c r="CN1596" s="78" t="n"/>
      <c r="CO1596" s="209" t="n"/>
      <c r="CP1596" s="204" t="n"/>
      <c r="CQ1596" s="204" t="n"/>
      <c r="CR1596" s="204" t="n"/>
      <c r="CS1596" s="204" t="n"/>
      <c r="CT1596" s="204" t="n"/>
      <c r="CU1596" s="204" t="n"/>
      <c r="CV1596" s="204" t="n"/>
      <c r="CW1596" s="204" t="n"/>
    </row>
    <row r="1597">
      <c r="BF1597" s="78" t="n"/>
      <c r="BG1597" s="78" t="n"/>
      <c r="BH1597" s="78" t="n"/>
      <c r="BI1597" s="78" t="n"/>
      <c r="BJ1597" s="139" t="n"/>
      <c r="BK1597" s="204" t="n"/>
      <c r="BL1597" s="141" t="n"/>
      <c r="BM1597" s="205" t="n"/>
      <c r="BN1597" s="205" t="n"/>
      <c r="BO1597" s="206" t="n"/>
      <c r="BP1597" s="144" t="n"/>
      <c r="BQ1597" s="141" t="n"/>
      <c r="BR1597" s="207" t="n"/>
      <c r="BS1597" s="207" t="n"/>
      <c r="BT1597" s="207" t="n"/>
      <c r="BU1597" s="207" t="n"/>
      <c r="BV1597" s="208" t="n"/>
      <c r="BW1597" s="207" t="n"/>
      <c r="BX1597" s="207" t="n"/>
      <c r="BY1597" s="204" t="n"/>
      <c r="BZ1597" s="148" t="n"/>
      <c r="CA1597" s="204" t="n"/>
      <c r="CB1597" s="208" t="n"/>
      <c r="CC1597" s="139" t="n"/>
      <c r="CD1597" s="204" t="n"/>
      <c r="CE1597" s="204" t="n"/>
      <c r="CF1597" s="207" t="n"/>
      <c r="CG1597" s="208" t="n"/>
      <c r="CH1597" s="207" t="n"/>
      <c r="CI1597" s="208" t="n"/>
      <c r="CJ1597" s="204" t="n"/>
      <c r="CK1597" s="208" t="n"/>
      <c r="CL1597" s="208" t="n"/>
      <c r="CM1597" s="208" t="n"/>
      <c r="CN1597" s="78" t="n"/>
      <c r="CO1597" s="209" t="n"/>
      <c r="CP1597" s="204" t="n"/>
      <c r="CQ1597" s="204" t="n"/>
      <c r="CR1597" s="204" t="n"/>
      <c r="CS1597" s="204" t="n"/>
      <c r="CT1597" s="204" t="n"/>
      <c r="CU1597" s="204" t="n"/>
      <c r="CV1597" s="204" t="n"/>
      <c r="CW1597" s="204" t="n"/>
    </row>
    <row r="1598">
      <c r="BF1598" s="78" t="n"/>
      <c r="BG1598" s="78" t="n"/>
      <c r="BH1598" s="78" t="n"/>
      <c r="BI1598" s="78" t="n"/>
      <c r="BJ1598" s="139" t="n"/>
      <c r="BK1598" s="204" t="n"/>
      <c r="BL1598" s="141" t="n"/>
      <c r="BM1598" s="205" t="n"/>
      <c r="BN1598" s="205" t="n"/>
      <c r="BO1598" s="206" t="n"/>
      <c r="BP1598" s="144" t="n"/>
      <c r="BQ1598" s="141" t="n"/>
      <c r="BR1598" s="207" t="n"/>
      <c r="BS1598" s="207" t="n"/>
      <c r="BT1598" s="207" t="n"/>
      <c r="BU1598" s="207" t="n"/>
      <c r="BV1598" s="208" t="n"/>
      <c r="BW1598" s="207" t="n"/>
      <c r="BX1598" s="207" t="n"/>
      <c r="BY1598" s="204" t="n"/>
      <c r="BZ1598" s="148" t="n"/>
      <c r="CA1598" s="204" t="n"/>
      <c r="CB1598" s="208" t="n"/>
      <c r="CC1598" s="139" t="n"/>
      <c r="CD1598" s="204" t="n"/>
      <c r="CE1598" s="204" t="n"/>
      <c r="CF1598" s="207" t="n"/>
      <c r="CG1598" s="208" t="n"/>
      <c r="CH1598" s="207" t="n"/>
      <c r="CI1598" s="208" t="n"/>
      <c r="CJ1598" s="204" t="n"/>
      <c r="CK1598" s="208" t="n"/>
      <c r="CL1598" s="208" t="n"/>
      <c r="CM1598" s="208" t="n"/>
      <c r="CN1598" s="78" t="n"/>
      <c r="CO1598" s="209" t="n"/>
      <c r="CP1598" s="204" t="n"/>
      <c r="CQ1598" s="204" t="n"/>
      <c r="CR1598" s="204" t="n"/>
      <c r="CS1598" s="204" t="n"/>
      <c r="CT1598" s="204" t="n"/>
      <c r="CU1598" s="204" t="n"/>
      <c r="CV1598" s="204" t="n"/>
      <c r="CW1598" s="204" t="n"/>
    </row>
    <row r="1599">
      <c r="BF1599" s="78" t="n"/>
      <c r="BG1599" s="78" t="n"/>
      <c r="BH1599" s="78" t="n"/>
      <c r="BI1599" s="78" t="n"/>
      <c r="BJ1599" s="139" t="n"/>
      <c r="BK1599" s="204" t="n"/>
      <c r="BL1599" s="141" t="n"/>
      <c r="BM1599" s="205" t="n"/>
      <c r="BN1599" s="205" t="n"/>
      <c r="BO1599" s="206" t="n"/>
      <c r="BP1599" s="144" t="n"/>
      <c r="BQ1599" s="141" t="n"/>
      <c r="BR1599" s="207" t="n"/>
      <c r="BS1599" s="207" t="n"/>
      <c r="BT1599" s="207" t="n"/>
      <c r="BU1599" s="207" t="n"/>
      <c r="BV1599" s="208" t="n"/>
      <c r="BW1599" s="207" t="n"/>
      <c r="BX1599" s="207" t="n"/>
      <c r="BY1599" s="204" t="n"/>
      <c r="BZ1599" s="148" t="n"/>
      <c r="CA1599" s="204" t="n"/>
      <c r="CB1599" s="208" t="n"/>
      <c r="CC1599" s="139" t="n"/>
      <c r="CD1599" s="204" t="n"/>
      <c r="CE1599" s="204" t="n"/>
      <c r="CF1599" s="207" t="n"/>
      <c r="CG1599" s="208" t="n"/>
      <c r="CH1599" s="207" t="n"/>
      <c r="CI1599" s="208" t="n"/>
      <c r="CJ1599" s="204" t="n"/>
      <c r="CK1599" s="208" t="n"/>
      <c r="CL1599" s="208" t="n"/>
      <c r="CM1599" s="208" t="n"/>
      <c r="CN1599" s="78" t="n"/>
      <c r="CO1599" s="209" t="n"/>
      <c r="CP1599" s="204" t="n"/>
      <c r="CQ1599" s="204" t="n"/>
      <c r="CR1599" s="204" t="n"/>
      <c r="CS1599" s="204" t="n"/>
      <c r="CT1599" s="204" t="n"/>
      <c r="CU1599" s="204" t="n"/>
      <c r="CV1599" s="204" t="n"/>
      <c r="CW1599" s="204" t="n"/>
    </row>
    <row r="1600">
      <c r="BF1600" s="78" t="n"/>
      <c r="BG1600" s="78" t="n"/>
      <c r="BH1600" s="78" t="n"/>
      <c r="BI1600" s="78" t="n"/>
      <c r="BJ1600" s="139" t="n"/>
      <c r="BK1600" s="204" t="n"/>
      <c r="BL1600" s="141" t="n"/>
      <c r="BM1600" s="205" t="n"/>
      <c r="BN1600" s="205" t="n"/>
      <c r="BO1600" s="206" t="n"/>
      <c r="BP1600" s="144" t="n"/>
      <c r="BQ1600" s="141" t="n"/>
      <c r="BR1600" s="207" t="n"/>
      <c r="BS1600" s="207" t="n"/>
      <c r="BT1600" s="207" t="n"/>
      <c r="BU1600" s="207" t="n"/>
      <c r="BV1600" s="208" t="n"/>
      <c r="BW1600" s="207" t="n"/>
      <c r="BX1600" s="207" t="n"/>
      <c r="BY1600" s="204" t="n"/>
      <c r="BZ1600" s="148" t="n"/>
      <c r="CA1600" s="204" t="n"/>
      <c r="CB1600" s="208" t="n"/>
      <c r="CC1600" s="139" t="n"/>
      <c r="CD1600" s="204" t="n"/>
      <c r="CE1600" s="204" t="n"/>
      <c r="CF1600" s="207" t="n"/>
      <c r="CG1600" s="208" t="n"/>
      <c r="CH1600" s="207" t="n"/>
      <c r="CI1600" s="208" t="n"/>
      <c r="CJ1600" s="204" t="n"/>
      <c r="CK1600" s="208" t="n"/>
      <c r="CL1600" s="208" t="n"/>
      <c r="CM1600" s="208" t="n"/>
      <c r="CN1600" s="78" t="n"/>
      <c r="CO1600" s="209" t="n"/>
      <c r="CP1600" s="204" t="n"/>
      <c r="CQ1600" s="204" t="n"/>
      <c r="CR1600" s="204" t="n"/>
      <c r="CS1600" s="204" t="n"/>
      <c r="CT1600" s="204" t="n"/>
      <c r="CU1600" s="204" t="n"/>
      <c r="CV1600" s="204" t="n"/>
      <c r="CW1600" s="204" t="n"/>
    </row>
    <row r="1601">
      <c r="BF1601" s="78" t="n"/>
      <c r="BG1601" s="78" t="n"/>
      <c r="BH1601" s="78" t="n"/>
      <c r="BI1601" s="78" t="n"/>
      <c r="BJ1601" s="139" t="n"/>
      <c r="BK1601" s="204" t="n"/>
      <c r="BL1601" s="141" t="n"/>
      <c r="BM1601" s="205" t="n"/>
      <c r="BN1601" s="205" t="n"/>
      <c r="BO1601" s="206" t="n"/>
      <c r="BP1601" s="144" t="n"/>
      <c r="BQ1601" s="141" t="n"/>
      <c r="BR1601" s="207" t="n"/>
      <c r="BS1601" s="207" t="n"/>
      <c r="BT1601" s="207" t="n"/>
      <c r="BU1601" s="207" t="n"/>
      <c r="BV1601" s="208" t="n"/>
      <c r="BW1601" s="207" t="n"/>
      <c r="BX1601" s="207" t="n"/>
      <c r="BY1601" s="204" t="n"/>
      <c r="BZ1601" s="148" t="n"/>
      <c r="CA1601" s="204" t="n"/>
      <c r="CB1601" s="208" t="n"/>
      <c r="CC1601" s="139" t="n"/>
      <c r="CD1601" s="204" t="n"/>
      <c r="CE1601" s="204" t="n"/>
      <c r="CF1601" s="207" t="n"/>
      <c r="CG1601" s="208" t="n"/>
      <c r="CH1601" s="207" t="n"/>
      <c r="CI1601" s="208" t="n"/>
      <c r="CJ1601" s="204" t="n"/>
      <c r="CK1601" s="208" t="n"/>
      <c r="CL1601" s="208" t="n"/>
      <c r="CM1601" s="208" t="n"/>
      <c r="CN1601" s="78" t="n"/>
      <c r="CO1601" s="209" t="n"/>
      <c r="CP1601" s="204" t="n"/>
      <c r="CQ1601" s="204" t="n"/>
      <c r="CR1601" s="204" t="n"/>
      <c r="CS1601" s="204" t="n"/>
      <c r="CT1601" s="204" t="n"/>
      <c r="CU1601" s="204" t="n"/>
      <c r="CV1601" s="204" t="n"/>
      <c r="CW1601" s="204" t="n"/>
    </row>
    <row r="1602">
      <c r="BF1602" s="78" t="n"/>
      <c r="BG1602" s="78" t="n"/>
      <c r="BH1602" s="78" t="n"/>
      <c r="BI1602" s="78" t="n"/>
      <c r="BJ1602" s="139" t="n"/>
      <c r="BK1602" s="204" t="n"/>
      <c r="BL1602" s="141" t="n"/>
      <c r="BM1602" s="205" t="n"/>
      <c r="BN1602" s="205" t="n"/>
      <c r="BO1602" s="206" t="n"/>
      <c r="BP1602" s="144" t="n"/>
      <c r="BQ1602" s="141" t="n"/>
      <c r="BR1602" s="207" t="n"/>
      <c r="BS1602" s="207" t="n"/>
      <c r="BT1602" s="207" t="n"/>
      <c r="BU1602" s="207" t="n"/>
      <c r="BV1602" s="208" t="n"/>
      <c r="BW1602" s="207" t="n"/>
      <c r="BX1602" s="207" t="n"/>
      <c r="BY1602" s="204" t="n"/>
      <c r="BZ1602" s="148" t="n"/>
      <c r="CA1602" s="204" t="n"/>
      <c r="CB1602" s="208" t="n"/>
      <c r="CC1602" s="139" t="n"/>
      <c r="CD1602" s="204" t="n"/>
      <c r="CE1602" s="204" t="n"/>
      <c r="CF1602" s="207" t="n"/>
      <c r="CG1602" s="208" t="n"/>
      <c r="CH1602" s="207" t="n"/>
      <c r="CI1602" s="208" t="n"/>
      <c r="CJ1602" s="204" t="n"/>
      <c r="CK1602" s="208" t="n"/>
      <c r="CL1602" s="208" t="n"/>
      <c r="CM1602" s="208" t="n"/>
      <c r="CN1602" s="78" t="n"/>
      <c r="CO1602" s="209" t="n"/>
      <c r="CP1602" s="204" t="n"/>
      <c r="CQ1602" s="204" t="n"/>
      <c r="CR1602" s="204" t="n"/>
      <c r="CS1602" s="204" t="n"/>
      <c r="CT1602" s="204" t="n"/>
      <c r="CU1602" s="204" t="n"/>
      <c r="CV1602" s="204" t="n"/>
      <c r="CW1602" s="204" t="n"/>
    </row>
    <row r="1603">
      <c r="BF1603" s="78" t="n"/>
      <c r="BG1603" s="78" t="n"/>
      <c r="BH1603" s="78" t="n"/>
      <c r="BI1603" s="78" t="n"/>
      <c r="BJ1603" s="139" t="n"/>
      <c r="BK1603" s="204" t="n"/>
      <c r="BL1603" s="141" t="n"/>
      <c r="BM1603" s="205" t="n"/>
      <c r="BN1603" s="205" t="n"/>
      <c r="BO1603" s="206" t="n"/>
      <c r="BP1603" s="144" t="n"/>
      <c r="BQ1603" s="141" t="n"/>
      <c r="BR1603" s="207" t="n"/>
      <c r="BS1603" s="207" t="n"/>
      <c r="BT1603" s="207" t="n"/>
      <c r="BU1603" s="207" t="n"/>
      <c r="BV1603" s="208" t="n"/>
      <c r="BW1603" s="207" t="n"/>
      <c r="BX1603" s="207" t="n"/>
      <c r="BY1603" s="204" t="n"/>
      <c r="BZ1603" s="148" t="n"/>
      <c r="CA1603" s="204" t="n"/>
      <c r="CB1603" s="208" t="n"/>
      <c r="CC1603" s="139" t="n"/>
      <c r="CD1603" s="204" t="n"/>
      <c r="CE1603" s="204" t="n"/>
      <c r="CF1603" s="207" t="n"/>
      <c r="CG1603" s="208" t="n"/>
      <c r="CH1603" s="207" t="n"/>
      <c r="CI1603" s="208" t="n"/>
      <c r="CJ1603" s="204" t="n"/>
      <c r="CK1603" s="208" t="n"/>
      <c r="CL1603" s="208" t="n"/>
      <c r="CM1603" s="208" t="n"/>
      <c r="CN1603" s="78" t="n"/>
      <c r="CO1603" s="209" t="n"/>
      <c r="CP1603" s="204" t="n"/>
      <c r="CQ1603" s="204" t="n"/>
      <c r="CR1603" s="204" t="n"/>
      <c r="CS1603" s="204" t="n"/>
      <c r="CT1603" s="204" t="n"/>
      <c r="CU1603" s="204" t="n"/>
      <c r="CV1603" s="204" t="n"/>
      <c r="CW1603" s="204" t="n"/>
    </row>
    <row r="1604">
      <c r="BF1604" s="78" t="n"/>
      <c r="BG1604" s="78" t="n"/>
      <c r="BH1604" s="78" t="n"/>
      <c r="BI1604" s="78" t="n"/>
      <c r="BJ1604" s="139" t="n"/>
      <c r="BK1604" s="204" t="n"/>
      <c r="BL1604" s="141" t="n"/>
      <c r="BM1604" s="205" t="n"/>
      <c r="BN1604" s="205" t="n"/>
      <c r="BO1604" s="206" t="n"/>
      <c r="BP1604" s="144" t="n"/>
      <c r="BQ1604" s="141" t="n"/>
      <c r="BR1604" s="207" t="n"/>
      <c r="BS1604" s="207" t="n"/>
      <c r="BT1604" s="207" t="n"/>
      <c r="BU1604" s="207" t="n"/>
      <c r="BV1604" s="208" t="n"/>
      <c r="BW1604" s="207" t="n"/>
      <c r="BX1604" s="207" t="n"/>
      <c r="BY1604" s="204" t="n"/>
      <c r="BZ1604" s="148" t="n"/>
      <c r="CA1604" s="204" t="n"/>
      <c r="CB1604" s="208" t="n"/>
      <c r="CC1604" s="139" t="n"/>
      <c r="CD1604" s="204" t="n"/>
      <c r="CE1604" s="204" t="n"/>
      <c r="CF1604" s="207" t="n"/>
      <c r="CG1604" s="208" t="n"/>
      <c r="CH1604" s="207" t="n"/>
      <c r="CI1604" s="208" t="n"/>
      <c r="CJ1604" s="204" t="n"/>
      <c r="CK1604" s="208" t="n"/>
      <c r="CL1604" s="208" t="n"/>
      <c r="CM1604" s="208" t="n"/>
      <c r="CN1604" s="78" t="n"/>
      <c r="CO1604" s="209" t="n"/>
      <c r="CP1604" s="204" t="n"/>
      <c r="CQ1604" s="204" t="n"/>
      <c r="CR1604" s="204" t="n"/>
      <c r="CS1604" s="204" t="n"/>
      <c r="CT1604" s="204" t="n"/>
      <c r="CU1604" s="204" t="n"/>
      <c r="CV1604" s="204" t="n"/>
      <c r="CW1604" s="204" t="n"/>
    </row>
    <row r="1605">
      <c r="BF1605" s="78" t="n"/>
      <c r="BG1605" s="78" t="n"/>
      <c r="BH1605" s="78" t="n"/>
      <c r="BI1605" s="78" t="n"/>
      <c r="BJ1605" s="139" t="n"/>
      <c r="BK1605" s="204" t="n"/>
      <c r="BL1605" s="141" t="n"/>
      <c r="BM1605" s="205" t="n"/>
      <c r="BN1605" s="205" t="n"/>
      <c r="BO1605" s="206" t="n"/>
      <c r="BP1605" s="144" t="n"/>
      <c r="BQ1605" s="141" t="n"/>
      <c r="BR1605" s="207" t="n"/>
      <c r="BS1605" s="207" t="n"/>
      <c r="BT1605" s="207" t="n"/>
      <c r="BU1605" s="207" t="n"/>
      <c r="BV1605" s="208" t="n"/>
      <c r="BW1605" s="207" t="n"/>
      <c r="BX1605" s="207" t="n"/>
      <c r="BY1605" s="204" t="n"/>
      <c r="BZ1605" s="148" t="n"/>
      <c r="CA1605" s="204" t="n"/>
      <c r="CB1605" s="208" t="n"/>
      <c r="CC1605" s="139" t="n"/>
      <c r="CD1605" s="204" t="n"/>
      <c r="CE1605" s="204" t="n"/>
      <c r="CF1605" s="207" t="n"/>
      <c r="CG1605" s="208" t="n"/>
      <c r="CH1605" s="207" t="n"/>
      <c r="CI1605" s="208" t="n"/>
      <c r="CJ1605" s="204" t="n"/>
      <c r="CK1605" s="208" t="n"/>
      <c r="CL1605" s="208" t="n"/>
      <c r="CM1605" s="208" t="n"/>
      <c r="CN1605" s="78" t="n"/>
      <c r="CO1605" s="209" t="n"/>
      <c r="CP1605" s="204" t="n"/>
      <c r="CQ1605" s="204" t="n"/>
      <c r="CR1605" s="204" t="n"/>
      <c r="CS1605" s="204" t="n"/>
      <c r="CT1605" s="204" t="n"/>
      <c r="CU1605" s="204" t="n"/>
      <c r="CV1605" s="204" t="n"/>
      <c r="CW1605" s="204" t="n"/>
    </row>
    <row r="1606">
      <c r="BF1606" s="78" t="n"/>
      <c r="BG1606" s="78" t="n"/>
      <c r="BH1606" s="78" t="n"/>
      <c r="BI1606" s="78" t="n"/>
      <c r="BJ1606" s="139" t="n"/>
      <c r="BK1606" s="204" t="n"/>
      <c r="BL1606" s="141" t="n"/>
      <c r="BM1606" s="205" t="n"/>
      <c r="BN1606" s="205" t="n"/>
      <c r="BO1606" s="206" t="n"/>
      <c r="BP1606" s="144" t="n"/>
      <c r="BQ1606" s="141" t="n"/>
      <c r="BR1606" s="207" t="n"/>
      <c r="BS1606" s="207" t="n"/>
      <c r="BT1606" s="207" t="n"/>
      <c r="BU1606" s="207" t="n"/>
      <c r="BV1606" s="208" t="n"/>
      <c r="BW1606" s="207" t="n"/>
      <c r="BX1606" s="207" t="n"/>
      <c r="BY1606" s="204" t="n"/>
      <c r="BZ1606" s="148" t="n"/>
      <c r="CA1606" s="204" t="n"/>
      <c r="CB1606" s="208" t="n"/>
      <c r="CC1606" s="139" t="n"/>
      <c r="CD1606" s="204" t="n"/>
      <c r="CE1606" s="204" t="n"/>
      <c r="CF1606" s="207" t="n"/>
      <c r="CG1606" s="208" t="n"/>
      <c r="CH1606" s="207" t="n"/>
      <c r="CI1606" s="208" t="n"/>
      <c r="CJ1606" s="204" t="n"/>
      <c r="CK1606" s="208" t="n"/>
      <c r="CL1606" s="208" t="n"/>
      <c r="CM1606" s="208" t="n"/>
      <c r="CN1606" s="78" t="n"/>
      <c r="CO1606" s="209" t="n"/>
      <c r="CP1606" s="204" t="n"/>
      <c r="CQ1606" s="204" t="n"/>
      <c r="CR1606" s="204" t="n"/>
      <c r="CS1606" s="204" t="n"/>
      <c r="CT1606" s="204" t="n"/>
      <c r="CU1606" s="204" t="n"/>
      <c r="CV1606" s="204" t="n"/>
      <c r="CW1606" s="204" t="n"/>
    </row>
    <row r="1607">
      <c r="BF1607" s="78" t="n"/>
      <c r="BG1607" s="78" t="n"/>
      <c r="BH1607" s="78" t="n"/>
      <c r="BI1607" s="78" t="n"/>
      <c r="BJ1607" s="139" t="n"/>
      <c r="BK1607" s="204" t="n"/>
      <c r="BL1607" s="141" t="n"/>
      <c r="BM1607" s="205" t="n"/>
      <c r="BN1607" s="205" t="n"/>
      <c r="BO1607" s="206" t="n"/>
      <c r="BP1607" s="144" t="n"/>
      <c r="BQ1607" s="141" t="n"/>
      <c r="BR1607" s="207" t="n"/>
      <c r="BS1607" s="207" t="n"/>
      <c r="BT1607" s="207" t="n"/>
      <c r="BU1607" s="207" t="n"/>
      <c r="BV1607" s="208" t="n"/>
      <c r="BW1607" s="207" t="n"/>
      <c r="BX1607" s="207" t="n"/>
      <c r="BY1607" s="204" t="n"/>
      <c r="BZ1607" s="148" t="n"/>
      <c r="CA1607" s="204" t="n"/>
      <c r="CB1607" s="208" t="n"/>
      <c r="CC1607" s="139" t="n"/>
      <c r="CD1607" s="204" t="n"/>
      <c r="CE1607" s="204" t="n"/>
      <c r="CF1607" s="207" t="n"/>
      <c r="CG1607" s="208" t="n"/>
      <c r="CH1607" s="207" t="n"/>
      <c r="CI1607" s="208" t="n"/>
      <c r="CJ1607" s="204" t="n"/>
      <c r="CK1607" s="208" t="n"/>
      <c r="CL1607" s="208" t="n"/>
      <c r="CM1607" s="208" t="n"/>
      <c r="CN1607" s="78" t="n"/>
      <c r="CO1607" s="209" t="n"/>
      <c r="CP1607" s="204" t="n"/>
      <c r="CQ1607" s="204" t="n"/>
      <c r="CR1607" s="204" t="n"/>
      <c r="CS1607" s="204" t="n"/>
      <c r="CT1607" s="204" t="n"/>
      <c r="CU1607" s="204" t="n"/>
      <c r="CV1607" s="204" t="n"/>
      <c r="CW1607" s="204" t="n"/>
    </row>
    <row r="1608">
      <c r="BF1608" s="78" t="n"/>
      <c r="BG1608" s="78" t="n"/>
      <c r="BH1608" s="78" t="n"/>
      <c r="BI1608" s="78" t="n"/>
      <c r="BJ1608" s="139" t="n"/>
      <c r="BK1608" s="204" t="n"/>
      <c r="BL1608" s="141" t="n"/>
      <c r="BM1608" s="205" t="n"/>
      <c r="BN1608" s="205" t="n"/>
      <c r="BO1608" s="206" t="n"/>
      <c r="BP1608" s="144" t="n"/>
      <c r="BQ1608" s="141" t="n"/>
      <c r="BR1608" s="207" t="n"/>
      <c r="BS1608" s="207" t="n"/>
      <c r="BT1608" s="207" t="n"/>
      <c r="BU1608" s="207" t="n"/>
      <c r="BV1608" s="208" t="n"/>
      <c r="BW1608" s="207" t="n"/>
      <c r="BX1608" s="207" t="n"/>
      <c r="BY1608" s="204" t="n"/>
      <c r="BZ1608" s="148" t="n"/>
      <c r="CA1608" s="204" t="n"/>
      <c r="CB1608" s="208" t="n"/>
      <c r="CC1608" s="139" t="n"/>
      <c r="CD1608" s="204" t="n"/>
      <c r="CE1608" s="204" t="n"/>
      <c r="CF1608" s="207" t="n"/>
      <c r="CG1608" s="208" t="n"/>
      <c r="CH1608" s="207" t="n"/>
      <c r="CI1608" s="208" t="n"/>
      <c r="CJ1608" s="204" t="n"/>
      <c r="CK1608" s="208" t="n"/>
      <c r="CL1608" s="208" t="n"/>
      <c r="CM1608" s="208" t="n"/>
      <c r="CN1608" s="78" t="n"/>
      <c r="CO1608" s="209" t="n"/>
      <c r="CP1608" s="204" t="n"/>
      <c r="CQ1608" s="204" t="n"/>
      <c r="CR1608" s="204" t="n"/>
      <c r="CS1608" s="204" t="n"/>
      <c r="CT1608" s="204" t="n"/>
      <c r="CU1608" s="204" t="n"/>
      <c r="CV1608" s="204" t="n"/>
      <c r="CW1608" s="204" t="n"/>
    </row>
    <row r="1609">
      <c r="BF1609" s="78" t="n"/>
      <c r="BG1609" s="78" t="n"/>
      <c r="BH1609" s="78" t="n"/>
      <c r="BI1609" s="78" t="n"/>
      <c r="BJ1609" s="139" t="n"/>
      <c r="BK1609" s="204" t="n"/>
      <c r="BL1609" s="141" t="n"/>
      <c r="BM1609" s="205" t="n"/>
      <c r="BN1609" s="205" t="n"/>
      <c r="BO1609" s="206" t="n"/>
      <c r="BP1609" s="144" t="n"/>
      <c r="BQ1609" s="141" t="n"/>
      <c r="BR1609" s="207" t="n"/>
      <c r="BS1609" s="207" t="n"/>
      <c r="BT1609" s="207" t="n"/>
      <c r="BU1609" s="207" t="n"/>
      <c r="BV1609" s="208" t="n"/>
      <c r="BW1609" s="207" t="n"/>
      <c r="BX1609" s="207" t="n"/>
      <c r="BY1609" s="204" t="n"/>
      <c r="BZ1609" s="148" t="n"/>
      <c r="CA1609" s="204" t="n"/>
      <c r="CB1609" s="208" t="n"/>
      <c r="CC1609" s="139" t="n"/>
      <c r="CD1609" s="204" t="n"/>
      <c r="CE1609" s="204" t="n"/>
      <c r="CF1609" s="207" t="n"/>
      <c r="CG1609" s="208" t="n"/>
      <c r="CH1609" s="207" t="n"/>
      <c r="CI1609" s="208" t="n"/>
      <c r="CJ1609" s="204" t="n"/>
      <c r="CK1609" s="208" t="n"/>
      <c r="CL1609" s="208" t="n"/>
      <c r="CM1609" s="208" t="n"/>
      <c r="CN1609" s="78" t="n"/>
      <c r="CO1609" s="209" t="n"/>
      <c r="CP1609" s="204" t="n"/>
      <c r="CQ1609" s="204" t="n"/>
      <c r="CR1609" s="204" t="n"/>
      <c r="CS1609" s="204" t="n"/>
      <c r="CT1609" s="204" t="n"/>
      <c r="CU1609" s="204" t="n"/>
      <c r="CV1609" s="204" t="n"/>
      <c r="CW1609" s="204" t="n"/>
    </row>
    <row r="1610">
      <c r="BF1610" s="78" t="n"/>
      <c r="BG1610" s="78" t="n"/>
      <c r="BH1610" s="78" t="n"/>
      <c r="BI1610" s="78" t="n"/>
      <c r="BJ1610" s="139" t="n"/>
      <c r="BK1610" s="204" t="n"/>
      <c r="BL1610" s="141" t="n"/>
      <c r="BM1610" s="205" t="n"/>
      <c r="BN1610" s="205" t="n"/>
      <c r="BO1610" s="206" t="n"/>
      <c r="BP1610" s="144" t="n"/>
      <c r="BQ1610" s="141" t="n"/>
      <c r="BR1610" s="207" t="n"/>
      <c r="BS1610" s="207" t="n"/>
      <c r="BT1610" s="207" t="n"/>
      <c r="BU1610" s="207" t="n"/>
      <c r="BV1610" s="208" t="n"/>
      <c r="BW1610" s="207" t="n"/>
      <c r="BX1610" s="207" t="n"/>
      <c r="BY1610" s="204" t="n"/>
      <c r="BZ1610" s="148" t="n"/>
      <c r="CA1610" s="204" t="n"/>
      <c r="CB1610" s="208" t="n"/>
      <c r="CC1610" s="139" t="n"/>
      <c r="CD1610" s="204" t="n"/>
      <c r="CE1610" s="204" t="n"/>
      <c r="CF1610" s="207" t="n"/>
      <c r="CG1610" s="208" t="n"/>
      <c r="CH1610" s="207" t="n"/>
      <c r="CI1610" s="208" t="n"/>
      <c r="CJ1610" s="204" t="n"/>
      <c r="CK1610" s="208" t="n"/>
      <c r="CL1610" s="208" t="n"/>
      <c r="CM1610" s="208" t="n"/>
      <c r="CN1610" s="78" t="n"/>
      <c r="CO1610" s="209" t="n"/>
      <c r="CP1610" s="204" t="n"/>
      <c r="CQ1610" s="204" t="n"/>
      <c r="CR1610" s="204" t="n"/>
      <c r="CS1610" s="204" t="n"/>
      <c r="CT1610" s="204" t="n"/>
      <c r="CU1610" s="204" t="n"/>
      <c r="CV1610" s="204" t="n"/>
      <c r="CW1610" s="204" t="n"/>
    </row>
    <row r="1611">
      <c r="BF1611" s="78" t="n"/>
      <c r="BG1611" s="78" t="n"/>
      <c r="BH1611" s="78" t="n"/>
      <c r="BI1611" s="78" t="n"/>
      <c r="BJ1611" s="139" t="n"/>
      <c r="BK1611" s="204" t="n"/>
      <c r="BL1611" s="141" t="n"/>
      <c r="BM1611" s="205" t="n"/>
      <c r="BN1611" s="205" t="n"/>
      <c r="BO1611" s="206" t="n"/>
      <c r="BP1611" s="144" t="n"/>
      <c r="BQ1611" s="141" t="n"/>
      <c r="BR1611" s="207" t="n"/>
      <c r="BS1611" s="207" t="n"/>
      <c r="BT1611" s="207" t="n"/>
      <c r="BU1611" s="207" t="n"/>
      <c r="BV1611" s="208" t="n"/>
      <c r="BW1611" s="207" t="n"/>
      <c r="BX1611" s="207" t="n"/>
      <c r="BY1611" s="204" t="n"/>
      <c r="BZ1611" s="148" t="n"/>
      <c r="CA1611" s="204" t="n"/>
      <c r="CB1611" s="208" t="n"/>
      <c r="CC1611" s="139" t="n"/>
      <c r="CD1611" s="204" t="n"/>
      <c r="CE1611" s="204" t="n"/>
      <c r="CF1611" s="207" t="n"/>
      <c r="CG1611" s="208" t="n"/>
      <c r="CH1611" s="207" t="n"/>
      <c r="CI1611" s="208" t="n"/>
      <c r="CJ1611" s="204" t="n"/>
      <c r="CK1611" s="208" t="n"/>
      <c r="CL1611" s="208" t="n"/>
      <c r="CM1611" s="208" t="n"/>
      <c r="CN1611" s="78" t="n"/>
      <c r="CO1611" s="209" t="n"/>
      <c r="CP1611" s="204" t="n"/>
      <c r="CQ1611" s="204" t="n"/>
      <c r="CR1611" s="204" t="n"/>
      <c r="CS1611" s="204" t="n"/>
      <c r="CT1611" s="204" t="n"/>
      <c r="CU1611" s="204" t="n"/>
      <c r="CV1611" s="204" t="n"/>
      <c r="CW1611" s="204" t="n"/>
    </row>
    <row r="1612">
      <c r="BF1612" s="78" t="n"/>
      <c r="BG1612" s="78" t="n"/>
      <c r="BH1612" s="78" t="n"/>
      <c r="BI1612" s="78" t="n"/>
      <c r="BJ1612" s="139" t="n"/>
      <c r="BK1612" s="204" t="n"/>
      <c r="BL1612" s="141" t="n"/>
      <c r="BM1612" s="205" t="n"/>
      <c r="BN1612" s="205" t="n"/>
      <c r="BO1612" s="206" t="n"/>
      <c r="BP1612" s="144" t="n"/>
      <c r="BQ1612" s="141" t="n"/>
      <c r="BR1612" s="207" t="n"/>
      <c r="BS1612" s="207" t="n"/>
      <c r="BT1612" s="207" t="n"/>
      <c r="BU1612" s="207" t="n"/>
      <c r="BV1612" s="208" t="n"/>
      <c r="BW1612" s="207" t="n"/>
      <c r="BX1612" s="207" t="n"/>
      <c r="BY1612" s="204" t="n"/>
      <c r="BZ1612" s="148" t="n"/>
      <c r="CA1612" s="204" t="n"/>
      <c r="CB1612" s="208" t="n"/>
      <c r="CC1612" s="139" t="n"/>
      <c r="CD1612" s="204" t="n"/>
      <c r="CE1612" s="204" t="n"/>
      <c r="CF1612" s="207" t="n"/>
      <c r="CG1612" s="208" t="n"/>
      <c r="CH1612" s="207" t="n"/>
      <c r="CI1612" s="208" t="n"/>
      <c r="CJ1612" s="204" t="n"/>
      <c r="CK1612" s="208" t="n"/>
      <c r="CL1612" s="208" t="n"/>
      <c r="CM1612" s="208" t="n"/>
      <c r="CN1612" s="78" t="n"/>
      <c r="CO1612" s="209" t="n"/>
      <c r="CP1612" s="204" t="n"/>
      <c r="CQ1612" s="204" t="n"/>
      <c r="CR1612" s="204" t="n"/>
      <c r="CS1612" s="204" t="n"/>
      <c r="CT1612" s="204" t="n"/>
      <c r="CU1612" s="204" t="n"/>
      <c r="CV1612" s="204" t="n"/>
      <c r="CW1612" s="204" t="n"/>
    </row>
    <row r="1613">
      <c r="BF1613" s="78" t="n"/>
      <c r="BG1613" s="78" t="n"/>
      <c r="BH1613" s="78" t="n"/>
      <c r="BI1613" s="78" t="n"/>
      <c r="BJ1613" s="139" t="n"/>
      <c r="BK1613" s="204" t="n"/>
      <c r="BL1613" s="141" t="n"/>
      <c r="BM1613" s="205" t="n"/>
      <c r="BN1613" s="205" t="n"/>
      <c r="BO1613" s="206" t="n"/>
      <c r="BP1613" s="144" t="n"/>
      <c r="BQ1613" s="141" t="n"/>
      <c r="BR1613" s="207" t="n"/>
      <c r="BS1613" s="207" t="n"/>
      <c r="BT1613" s="207" t="n"/>
      <c r="BU1613" s="207" t="n"/>
      <c r="BV1613" s="208" t="n"/>
      <c r="BW1613" s="207" t="n"/>
      <c r="BX1613" s="207" t="n"/>
      <c r="BY1613" s="204" t="n"/>
      <c r="BZ1613" s="148" t="n"/>
      <c r="CA1613" s="204" t="n"/>
      <c r="CB1613" s="208" t="n"/>
      <c r="CC1613" s="139" t="n"/>
      <c r="CD1613" s="204" t="n"/>
      <c r="CE1613" s="204" t="n"/>
      <c r="CF1613" s="207" t="n"/>
      <c r="CG1613" s="208" t="n"/>
      <c r="CH1613" s="207" t="n"/>
      <c r="CI1613" s="208" t="n"/>
      <c r="CJ1613" s="204" t="n"/>
      <c r="CK1613" s="208" t="n"/>
      <c r="CL1613" s="208" t="n"/>
      <c r="CM1613" s="208" t="n"/>
      <c r="CN1613" s="78" t="n"/>
      <c r="CO1613" s="209" t="n"/>
      <c r="CP1613" s="204" t="n"/>
      <c r="CQ1613" s="204" t="n"/>
      <c r="CR1613" s="204" t="n"/>
      <c r="CS1613" s="204" t="n"/>
      <c r="CT1613" s="204" t="n"/>
      <c r="CU1613" s="204" t="n"/>
      <c r="CV1613" s="204" t="n"/>
      <c r="CW1613" s="204" t="n"/>
    </row>
    <row r="1614">
      <c r="BF1614" s="78" t="n"/>
      <c r="BG1614" s="78" t="n"/>
      <c r="BH1614" s="78" t="n"/>
      <c r="BI1614" s="78" t="n"/>
      <c r="BJ1614" s="139" t="n"/>
      <c r="BK1614" s="204" t="n"/>
      <c r="BL1614" s="141" t="n"/>
      <c r="BM1614" s="205" t="n"/>
      <c r="BN1614" s="205" t="n"/>
      <c r="BO1614" s="206" t="n"/>
      <c r="BP1614" s="144" t="n"/>
      <c r="BQ1614" s="141" t="n"/>
      <c r="BR1614" s="207" t="n"/>
      <c r="BS1614" s="207" t="n"/>
      <c r="BT1614" s="207" t="n"/>
      <c r="BU1614" s="207" t="n"/>
      <c r="BV1614" s="208" t="n"/>
      <c r="BW1614" s="207" t="n"/>
      <c r="BX1614" s="207" t="n"/>
      <c r="BY1614" s="204" t="n"/>
      <c r="BZ1614" s="148" t="n"/>
      <c r="CA1614" s="204" t="n"/>
      <c r="CB1614" s="208" t="n"/>
      <c r="CC1614" s="139" t="n"/>
      <c r="CD1614" s="204" t="n"/>
      <c r="CE1614" s="204" t="n"/>
      <c r="CF1614" s="207" t="n"/>
      <c r="CG1614" s="208" t="n"/>
      <c r="CH1614" s="207" t="n"/>
      <c r="CI1614" s="208" t="n"/>
      <c r="CJ1614" s="204" t="n"/>
      <c r="CK1614" s="208" t="n"/>
      <c r="CL1614" s="208" t="n"/>
      <c r="CM1614" s="208" t="n"/>
      <c r="CN1614" s="78" t="n"/>
      <c r="CO1614" s="209" t="n"/>
      <c r="CP1614" s="204" t="n"/>
      <c r="CQ1614" s="204" t="n"/>
      <c r="CR1614" s="204" t="n"/>
      <c r="CS1614" s="204" t="n"/>
      <c r="CT1614" s="204" t="n"/>
      <c r="CU1614" s="204" t="n"/>
      <c r="CV1614" s="204" t="n"/>
      <c r="CW1614" s="204" t="n"/>
    </row>
    <row r="1615">
      <c r="BF1615" s="78" t="n"/>
      <c r="BG1615" s="78" t="n"/>
      <c r="BH1615" s="78" t="n"/>
      <c r="BI1615" s="78" t="n"/>
      <c r="BJ1615" s="139" t="n"/>
      <c r="BK1615" s="204" t="n"/>
      <c r="BL1615" s="141" t="n"/>
      <c r="BM1615" s="205" t="n"/>
      <c r="BN1615" s="205" t="n"/>
      <c r="BO1615" s="206" t="n"/>
      <c r="BP1615" s="144" t="n"/>
      <c r="BQ1615" s="141" t="n"/>
      <c r="BR1615" s="207" t="n"/>
      <c r="BS1615" s="207" t="n"/>
      <c r="BT1615" s="207" t="n"/>
      <c r="BU1615" s="207" t="n"/>
      <c r="BV1615" s="208" t="n"/>
      <c r="BW1615" s="207" t="n"/>
      <c r="BX1615" s="207" t="n"/>
      <c r="BY1615" s="204" t="n"/>
      <c r="BZ1615" s="148" t="n"/>
      <c r="CA1615" s="204" t="n"/>
      <c r="CB1615" s="208" t="n"/>
      <c r="CC1615" s="139" t="n"/>
      <c r="CD1615" s="204" t="n"/>
      <c r="CE1615" s="204" t="n"/>
      <c r="CF1615" s="207" t="n"/>
      <c r="CG1615" s="208" t="n"/>
      <c r="CH1615" s="207" t="n"/>
      <c r="CI1615" s="208" t="n"/>
      <c r="CJ1615" s="204" t="n"/>
      <c r="CK1615" s="208" t="n"/>
      <c r="CL1615" s="208" t="n"/>
      <c r="CM1615" s="208" t="n"/>
      <c r="CN1615" s="78" t="n"/>
      <c r="CO1615" s="209" t="n"/>
      <c r="CP1615" s="204" t="n"/>
      <c r="CQ1615" s="204" t="n"/>
      <c r="CR1615" s="204" t="n"/>
      <c r="CS1615" s="204" t="n"/>
      <c r="CT1615" s="204" t="n"/>
      <c r="CU1615" s="204" t="n"/>
      <c r="CV1615" s="204" t="n"/>
      <c r="CW1615" s="204" t="n"/>
    </row>
    <row r="1616">
      <c r="BF1616" s="78" t="n"/>
      <c r="BG1616" s="78" t="n"/>
      <c r="BH1616" s="78" t="n"/>
      <c r="BI1616" s="78" t="n"/>
      <c r="BJ1616" s="139" t="n"/>
      <c r="BK1616" s="204" t="n"/>
      <c r="BL1616" s="141" t="n"/>
      <c r="BM1616" s="205" t="n"/>
      <c r="BN1616" s="205" t="n"/>
      <c r="BO1616" s="206" t="n"/>
      <c r="BP1616" s="144" t="n"/>
      <c r="BQ1616" s="141" t="n"/>
      <c r="BR1616" s="207" t="n"/>
      <c r="BS1616" s="207" t="n"/>
      <c r="BT1616" s="207" t="n"/>
      <c r="BU1616" s="207" t="n"/>
      <c r="BV1616" s="208" t="n"/>
      <c r="BW1616" s="207" t="n"/>
      <c r="BX1616" s="207" t="n"/>
      <c r="BY1616" s="204" t="n"/>
      <c r="BZ1616" s="148" t="n"/>
      <c r="CA1616" s="204" t="n"/>
      <c r="CB1616" s="208" t="n"/>
      <c r="CC1616" s="139" t="n"/>
      <c r="CD1616" s="204" t="n"/>
      <c r="CE1616" s="204" t="n"/>
      <c r="CF1616" s="207" t="n"/>
      <c r="CG1616" s="208" t="n"/>
      <c r="CH1616" s="207" t="n"/>
      <c r="CI1616" s="208" t="n"/>
      <c r="CJ1616" s="204" t="n"/>
      <c r="CK1616" s="208" t="n"/>
      <c r="CL1616" s="208" t="n"/>
      <c r="CM1616" s="208" t="n"/>
      <c r="CN1616" s="78" t="n"/>
      <c r="CO1616" s="209" t="n"/>
      <c r="CP1616" s="204" t="n"/>
      <c r="CQ1616" s="204" t="n"/>
      <c r="CR1616" s="204" t="n"/>
      <c r="CS1616" s="204" t="n"/>
      <c r="CT1616" s="204" t="n"/>
      <c r="CU1616" s="204" t="n"/>
      <c r="CV1616" s="204" t="n"/>
      <c r="CW1616" s="204" t="n"/>
    </row>
    <row r="1617">
      <c r="BF1617" s="78" t="n"/>
      <c r="BG1617" s="78" t="n"/>
      <c r="BH1617" s="78" t="n"/>
      <c r="BI1617" s="78" t="n"/>
      <c r="BJ1617" s="139" t="n"/>
      <c r="BK1617" s="204" t="n"/>
      <c r="BL1617" s="141" t="n"/>
      <c r="BM1617" s="205" t="n"/>
      <c r="BN1617" s="205" t="n"/>
      <c r="BO1617" s="206" t="n"/>
      <c r="BP1617" s="144" t="n"/>
      <c r="BQ1617" s="141" t="n"/>
      <c r="BR1617" s="207" t="n"/>
      <c r="BS1617" s="207" t="n"/>
      <c r="BT1617" s="207" t="n"/>
      <c r="BU1617" s="207" t="n"/>
      <c r="BV1617" s="208" t="n"/>
      <c r="BW1617" s="207" t="n"/>
      <c r="BX1617" s="207" t="n"/>
      <c r="BY1617" s="204" t="n"/>
      <c r="BZ1617" s="148" t="n"/>
      <c r="CA1617" s="204" t="n"/>
      <c r="CB1617" s="208" t="n"/>
      <c r="CC1617" s="139" t="n"/>
      <c r="CD1617" s="204" t="n"/>
      <c r="CE1617" s="204" t="n"/>
      <c r="CF1617" s="207" t="n"/>
      <c r="CG1617" s="208" t="n"/>
      <c r="CH1617" s="207" t="n"/>
      <c r="CI1617" s="208" t="n"/>
      <c r="CJ1617" s="204" t="n"/>
      <c r="CK1617" s="208" t="n"/>
      <c r="CL1617" s="208" t="n"/>
      <c r="CM1617" s="208" t="n"/>
      <c r="CN1617" s="78" t="n"/>
      <c r="CO1617" s="209" t="n"/>
      <c r="CP1617" s="204" t="n"/>
      <c r="CQ1617" s="204" t="n"/>
      <c r="CR1617" s="204" t="n"/>
      <c r="CS1617" s="204" t="n"/>
      <c r="CT1617" s="204" t="n"/>
      <c r="CU1617" s="204" t="n"/>
      <c r="CV1617" s="204" t="n"/>
      <c r="CW1617" s="204" t="n"/>
    </row>
    <row r="1618">
      <c r="BF1618" s="78" t="n"/>
      <c r="BG1618" s="78" t="n"/>
      <c r="BH1618" s="78" t="n"/>
      <c r="BI1618" s="78" t="n"/>
      <c r="BJ1618" s="139" t="n"/>
      <c r="BK1618" s="204" t="n"/>
      <c r="BL1618" s="141" t="n"/>
      <c r="BM1618" s="205" t="n"/>
      <c r="BN1618" s="205" t="n"/>
      <c r="BO1618" s="206" t="n"/>
      <c r="BP1618" s="144" t="n"/>
      <c r="BQ1618" s="141" t="n"/>
      <c r="BR1618" s="207" t="n"/>
      <c r="BS1618" s="207" t="n"/>
      <c r="BT1618" s="207" t="n"/>
      <c r="BU1618" s="207" t="n"/>
      <c r="BV1618" s="208" t="n"/>
      <c r="BW1618" s="207" t="n"/>
      <c r="BX1618" s="207" t="n"/>
      <c r="BY1618" s="204" t="n"/>
      <c r="BZ1618" s="148" t="n"/>
      <c r="CA1618" s="204" t="n"/>
      <c r="CB1618" s="208" t="n"/>
      <c r="CC1618" s="139" t="n"/>
      <c r="CD1618" s="204" t="n"/>
      <c r="CE1618" s="204" t="n"/>
      <c r="CF1618" s="207" t="n"/>
      <c r="CG1618" s="208" t="n"/>
      <c r="CH1618" s="207" t="n"/>
      <c r="CI1618" s="208" t="n"/>
      <c r="CJ1618" s="204" t="n"/>
      <c r="CK1618" s="208" t="n"/>
      <c r="CL1618" s="208" t="n"/>
      <c r="CM1618" s="208" t="n"/>
      <c r="CN1618" s="78" t="n"/>
      <c r="CO1618" s="209" t="n"/>
      <c r="CP1618" s="204" t="n"/>
      <c r="CQ1618" s="204" t="n"/>
      <c r="CR1618" s="204" t="n"/>
      <c r="CS1618" s="204" t="n"/>
      <c r="CT1618" s="204" t="n"/>
      <c r="CU1618" s="204" t="n"/>
      <c r="CV1618" s="204" t="n"/>
      <c r="CW1618" s="204" t="n"/>
    </row>
    <row r="1619">
      <c r="BF1619" s="78" t="n"/>
      <c r="BG1619" s="78" t="n"/>
      <c r="BH1619" s="78" t="n"/>
      <c r="BI1619" s="78" t="n"/>
      <c r="BJ1619" s="139" t="n"/>
      <c r="BK1619" s="204" t="n"/>
      <c r="BL1619" s="141" t="n"/>
      <c r="BM1619" s="205" t="n"/>
      <c r="BN1619" s="205" t="n"/>
      <c r="BO1619" s="206" t="n"/>
      <c r="BP1619" s="144" t="n"/>
      <c r="BQ1619" s="141" t="n"/>
      <c r="BR1619" s="207" t="n"/>
      <c r="BS1619" s="207" t="n"/>
      <c r="BT1619" s="207" t="n"/>
      <c r="BU1619" s="207" t="n"/>
      <c r="BV1619" s="208" t="n"/>
      <c r="BW1619" s="207" t="n"/>
      <c r="BX1619" s="207" t="n"/>
      <c r="BY1619" s="204" t="n"/>
      <c r="BZ1619" s="148" t="n"/>
      <c r="CA1619" s="204" t="n"/>
      <c r="CB1619" s="208" t="n"/>
      <c r="CC1619" s="139" t="n"/>
      <c r="CD1619" s="204" t="n"/>
      <c r="CE1619" s="204" t="n"/>
      <c r="CF1619" s="207" t="n"/>
      <c r="CG1619" s="208" t="n"/>
      <c r="CH1619" s="207" t="n"/>
      <c r="CI1619" s="208" t="n"/>
      <c r="CJ1619" s="204" t="n"/>
      <c r="CK1619" s="208" t="n"/>
      <c r="CL1619" s="208" t="n"/>
      <c r="CM1619" s="208" t="n"/>
      <c r="CN1619" s="78" t="n"/>
      <c r="CO1619" s="209" t="n"/>
      <c r="CP1619" s="204" t="n"/>
      <c r="CQ1619" s="204" t="n"/>
      <c r="CR1619" s="204" t="n"/>
      <c r="CS1619" s="204" t="n"/>
      <c r="CT1619" s="204" t="n"/>
      <c r="CU1619" s="204" t="n"/>
      <c r="CV1619" s="204" t="n"/>
      <c r="CW1619" s="204" t="n"/>
    </row>
    <row r="1620">
      <c r="BF1620" s="78" t="n"/>
      <c r="BG1620" s="78" t="n"/>
      <c r="BH1620" s="78" t="n"/>
      <c r="BI1620" s="78" t="n"/>
      <c r="BJ1620" s="139" t="n"/>
      <c r="BK1620" s="204" t="n"/>
      <c r="BL1620" s="141" t="n"/>
      <c r="BM1620" s="205" t="n"/>
      <c r="BN1620" s="205" t="n"/>
      <c r="BO1620" s="206" t="n"/>
      <c r="BP1620" s="144" t="n"/>
      <c r="BQ1620" s="141" t="n"/>
      <c r="BR1620" s="207" t="n"/>
      <c r="BS1620" s="207" t="n"/>
      <c r="BT1620" s="207" t="n"/>
      <c r="BU1620" s="207" t="n"/>
      <c r="BV1620" s="208" t="n"/>
      <c r="BW1620" s="207" t="n"/>
      <c r="BX1620" s="207" t="n"/>
      <c r="BY1620" s="204" t="n"/>
      <c r="BZ1620" s="148" t="n"/>
      <c r="CA1620" s="204" t="n"/>
      <c r="CB1620" s="208" t="n"/>
      <c r="CC1620" s="139" t="n"/>
      <c r="CD1620" s="204" t="n"/>
      <c r="CE1620" s="204" t="n"/>
      <c r="CF1620" s="207" t="n"/>
      <c r="CG1620" s="208" t="n"/>
      <c r="CH1620" s="207" t="n"/>
      <c r="CI1620" s="208" t="n"/>
      <c r="CJ1620" s="204" t="n"/>
      <c r="CK1620" s="208" t="n"/>
      <c r="CL1620" s="208" t="n"/>
      <c r="CM1620" s="208" t="n"/>
      <c r="CN1620" s="78" t="n"/>
      <c r="CO1620" s="209" t="n"/>
      <c r="CP1620" s="204" t="n"/>
      <c r="CQ1620" s="204" t="n"/>
      <c r="CR1620" s="204" t="n"/>
      <c r="CS1620" s="204" t="n"/>
      <c r="CT1620" s="204" t="n"/>
      <c r="CU1620" s="204" t="n"/>
      <c r="CV1620" s="204" t="n"/>
      <c r="CW1620" s="204" t="n"/>
    </row>
    <row r="1621">
      <c r="BF1621" s="78" t="n"/>
      <c r="BG1621" s="78" t="n"/>
      <c r="BH1621" s="78" t="n"/>
      <c r="BI1621" s="78" t="n"/>
      <c r="BJ1621" s="139" t="n"/>
      <c r="BK1621" s="204" t="n"/>
      <c r="BL1621" s="141" t="n"/>
      <c r="BM1621" s="205" t="n"/>
      <c r="BN1621" s="205" t="n"/>
      <c r="BO1621" s="206" t="n"/>
      <c r="BP1621" s="144" t="n"/>
      <c r="BQ1621" s="141" t="n"/>
      <c r="BR1621" s="207" t="n"/>
      <c r="BS1621" s="207" t="n"/>
      <c r="BT1621" s="207" t="n"/>
      <c r="BU1621" s="207" t="n"/>
      <c r="BV1621" s="208" t="n"/>
      <c r="BW1621" s="207" t="n"/>
      <c r="BX1621" s="207" t="n"/>
      <c r="BY1621" s="204" t="n"/>
      <c r="BZ1621" s="148" t="n"/>
      <c r="CA1621" s="204" t="n"/>
      <c r="CB1621" s="208" t="n"/>
      <c r="CC1621" s="139" t="n"/>
      <c r="CD1621" s="204" t="n"/>
      <c r="CE1621" s="204" t="n"/>
      <c r="CF1621" s="207" t="n"/>
      <c r="CG1621" s="208" t="n"/>
      <c r="CH1621" s="207" t="n"/>
      <c r="CI1621" s="208" t="n"/>
      <c r="CJ1621" s="204" t="n"/>
      <c r="CK1621" s="208" t="n"/>
      <c r="CL1621" s="208" t="n"/>
      <c r="CM1621" s="208" t="n"/>
      <c r="CN1621" s="78" t="n"/>
      <c r="CO1621" s="209" t="n"/>
      <c r="CP1621" s="204" t="n"/>
      <c r="CQ1621" s="204" t="n"/>
      <c r="CR1621" s="204" t="n"/>
      <c r="CS1621" s="204" t="n"/>
      <c r="CT1621" s="204" t="n"/>
      <c r="CU1621" s="204" t="n"/>
      <c r="CV1621" s="204" t="n"/>
      <c r="CW1621" s="204" t="n"/>
    </row>
    <row r="1622">
      <c r="BF1622" s="78" t="n"/>
      <c r="BG1622" s="78" t="n"/>
      <c r="BH1622" s="78" t="n"/>
      <c r="BI1622" s="78" t="n"/>
      <c r="BJ1622" s="139" t="n"/>
      <c r="BK1622" s="204" t="n"/>
      <c r="BL1622" s="141" t="n"/>
      <c r="BM1622" s="205" t="n"/>
      <c r="BN1622" s="205" t="n"/>
      <c r="BO1622" s="206" t="n"/>
      <c r="BP1622" s="144" t="n"/>
      <c r="BQ1622" s="141" t="n"/>
      <c r="BR1622" s="207" t="n"/>
      <c r="BS1622" s="207" t="n"/>
      <c r="BT1622" s="207" t="n"/>
      <c r="BU1622" s="207" t="n"/>
      <c r="BV1622" s="208" t="n"/>
      <c r="BW1622" s="207" t="n"/>
      <c r="BX1622" s="207" t="n"/>
      <c r="BY1622" s="204" t="n"/>
      <c r="BZ1622" s="148" t="n"/>
      <c r="CA1622" s="204" t="n"/>
      <c r="CB1622" s="208" t="n"/>
      <c r="CC1622" s="139" t="n"/>
      <c r="CD1622" s="204" t="n"/>
      <c r="CE1622" s="204" t="n"/>
      <c r="CF1622" s="207" t="n"/>
      <c r="CG1622" s="208" t="n"/>
      <c r="CH1622" s="207" t="n"/>
      <c r="CI1622" s="208" t="n"/>
      <c r="CJ1622" s="204" t="n"/>
      <c r="CK1622" s="208" t="n"/>
      <c r="CL1622" s="208" t="n"/>
      <c r="CM1622" s="208" t="n"/>
      <c r="CN1622" s="78" t="n"/>
      <c r="CO1622" s="209" t="n"/>
      <c r="CP1622" s="204" t="n"/>
      <c r="CQ1622" s="204" t="n"/>
      <c r="CR1622" s="204" t="n"/>
      <c r="CS1622" s="204" t="n"/>
      <c r="CT1622" s="204" t="n"/>
      <c r="CU1622" s="204" t="n"/>
      <c r="CV1622" s="204" t="n"/>
      <c r="CW1622" s="204" t="n"/>
    </row>
    <row r="1623">
      <c r="BF1623" s="78" t="n"/>
      <c r="BG1623" s="78" t="n"/>
      <c r="BH1623" s="78" t="n"/>
      <c r="BI1623" s="78" t="n"/>
      <c r="BJ1623" s="139" t="n"/>
      <c r="BK1623" s="204" t="n"/>
      <c r="BL1623" s="141" t="n"/>
      <c r="BM1623" s="205" t="n"/>
      <c r="BN1623" s="205" t="n"/>
      <c r="BO1623" s="206" t="n"/>
      <c r="BP1623" s="144" t="n"/>
      <c r="BQ1623" s="141" t="n"/>
      <c r="BR1623" s="207" t="n"/>
      <c r="BS1623" s="207" t="n"/>
      <c r="BT1623" s="207" t="n"/>
      <c r="BU1623" s="207" t="n"/>
      <c r="BV1623" s="208" t="n"/>
      <c r="BW1623" s="207" t="n"/>
      <c r="BX1623" s="207" t="n"/>
      <c r="BY1623" s="204" t="n"/>
      <c r="BZ1623" s="148" t="n"/>
      <c r="CA1623" s="204" t="n"/>
      <c r="CB1623" s="208" t="n"/>
      <c r="CC1623" s="139" t="n"/>
      <c r="CD1623" s="204" t="n"/>
      <c r="CE1623" s="204" t="n"/>
      <c r="CF1623" s="207" t="n"/>
      <c r="CG1623" s="208" t="n"/>
      <c r="CH1623" s="207" t="n"/>
      <c r="CI1623" s="208" t="n"/>
      <c r="CJ1623" s="204" t="n"/>
      <c r="CK1623" s="208" t="n"/>
      <c r="CL1623" s="208" t="n"/>
      <c r="CM1623" s="208" t="n"/>
      <c r="CN1623" s="78" t="n"/>
      <c r="CO1623" s="209" t="n"/>
      <c r="CP1623" s="204" t="n"/>
      <c r="CQ1623" s="204" t="n"/>
      <c r="CR1623" s="204" t="n"/>
      <c r="CS1623" s="204" t="n"/>
      <c r="CT1623" s="204" t="n"/>
      <c r="CU1623" s="204" t="n"/>
      <c r="CV1623" s="204" t="n"/>
      <c r="CW1623" s="204" t="n"/>
    </row>
    <row r="1624">
      <c r="BF1624" s="78" t="n"/>
      <c r="BG1624" s="78" t="n"/>
      <c r="BH1624" s="78" t="n"/>
      <c r="BI1624" s="78" t="n"/>
      <c r="BJ1624" s="139" t="n"/>
      <c r="BK1624" s="204" t="n"/>
      <c r="BL1624" s="141" t="n"/>
      <c r="BM1624" s="205" t="n"/>
      <c r="BN1624" s="205" t="n"/>
      <c r="BO1624" s="206" t="n"/>
      <c r="BP1624" s="144" t="n"/>
      <c r="BQ1624" s="141" t="n"/>
      <c r="BR1624" s="207" t="n"/>
      <c r="BS1624" s="207" t="n"/>
      <c r="BT1624" s="207" t="n"/>
      <c r="BU1624" s="207" t="n"/>
      <c r="BV1624" s="208" t="n"/>
      <c r="BW1624" s="207" t="n"/>
      <c r="BX1624" s="207" t="n"/>
      <c r="BY1624" s="204" t="n"/>
      <c r="BZ1624" s="148" t="n"/>
      <c r="CA1624" s="204" t="n"/>
      <c r="CB1624" s="208" t="n"/>
      <c r="CC1624" s="139" t="n"/>
      <c r="CD1624" s="204" t="n"/>
      <c r="CE1624" s="204" t="n"/>
      <c r="CF1624" s="207" t="n"/>
      <c r="CG1624" s="208" t="n"/>
      <c r="CH1624" s="211" t="n"/>
      <c r="CI1624" s="208" t="n"/>
      <c r="CJ1624" s="204" t="n"/>
      <c r="CK1624" s="208" t="n"/>
      <c r="CL1624" s="208" t="n"/>
      <c r="CM1624" s="208" t="n"/>
      <c r="CN1624" s="78" t="n"/>
      <c r="CO1624" s="209" t="n"/>
      <c r="CP1624" s="204" t="n"/>
      <c r="CQ1624" s="204" t="n"/>
      <c r="CR1624" s="204" t="n"/>
      <c r="CS1624" s="204" t="n"/>
      <c r="CT1624" s="204" t="n"/>
      <c r="CU1624" s="204" t="n"/>
      <c r="CV1624" s="204" t="n"/>
      <c r="CW1624" s="204" t="n"/>
    </row>
    <row r="1625">
      <c r="AF1625" s="158" t="n"/>
      <c r="BF1625" s="78" t="n"/>
      <c r="BG1625" s="78" t="n"/>
      <c r="BH1625" s="78" t="n"/>
      <c r="BI1625" s="78" t="n"/>
      <c r="BJ1625" s="139" t="n"/>
      <c r="BK1625" s="204" t="n"/>
      <c r="BL1625" s="141" t="n"/>
      <c r="BM1625" s="205" t="n"/>
      <c r="BN1625" s="205" t="n"/>
      <c r="BO1625" s="206" t="n"/>
      <c r="BP1625" s="144" t="n"/>
      <c r="BQ1625" s="141" t="n"/>
      <c r="BR1625" s="207" t="n"/>
      <c r="BS1625" s="207" t="n"/>
      <c r="BT1625" s="207" t="n"/>
      <c r="BU1625" s="207" t="n"/>
      <c r="BV1625" s="208" t="n"/>
      <c r="BW1625" s="207" t="n"/>
      <c r="BX1625" s="207" t="n"/>
      <c r="BY1625" s="204" t="n"/>
      <c r="BZ1625" s="148" t="n"/>
      <c r="CA1625" s="204" t="n"/>
      <c r="CB1625" s="208" t="n"/>
      <c r="CC1625" s="139" t="n"/>
      <c r="CD1625" s="204" t="n"/>
      <c r="CE1625" s="204" t="n"/>
      <c r="CF1625" s="207" t="n"/>
      <c r="CG1625" s="208" t="n"/>
      <c r="CH1625" s="207" t="n"/>
      <c r="CI1625" s="208" t="n"/>
      <c r="CJ1625" s="204" t="n"/>
      <c r="CK1625" s="208" t="n"/>
      <c r="CL1625" s="208" t="n"/>
      <c r="CM1625" s="208" t="n"/>
      <c r="CN1625" s="78" t="n"/>
      <c r="CO1625" s="209" t="n"/>
      <c r="CP1625" s="204" t="n"/>
      <c r="CQ1625" s="204" t="n"/>
      <c r="CR1625" s="204" t="n"/>
      <c r="CS1625" s="204" t="n"/>
      <c r="CT1625" s="204" t="n"/>
      <c r="CU1625" s="204" t="n"/>
      <c r="CV1625" s="204" t="n"/>
      <c r="CW1625" s="204" t="n"/>
    </row>
    <row r="1626">
      <c r="BF1626" s="78" t="n"/>
      <c r="BG1626" s="78" t="n"/>
      <c r="BH1626" s="78" t="n"/>
      <c r="BI1626" s="78" t="n"/>
      <c r="BJ1626" s="139" t="n"/>
      <c r="BK1626" s="204" t="n"/>
      <c r="BL1626" s="141" t="n"/>
      <c r="BM1626" s="205" t="n"/>
      <c r="BN1626" s="205" t="n"/>
      <c r="BO1626" s="206" t="n"/>
      <c r="BP1626" s="144" t="n"/>
      <c r="BQ1626" s="141" t="n"/>
      <c r="BR1626" s="207" t="n"/>
      <c r="BS1626" s="207" t="n"/>
      <c r="BT1626" s="207" t="n"/>
      <c r="BU1626" s="207" t="n"/>
      <c r="BV1626" s="208" t="n"/>
      <c r="BW1626" s="207" t="n"/>
      <c r="BX1626" s="207" t="n"/>
      <c r="BY1626" s="204" t="n"/>
      <c r="BZ1626" s="148" t="n"/>
      <c r="CA1626" s="204" t="n"/>
      <c r="CB1626" s="208" t="n"/>
      <c r="CC1626" s="139" t="n"/>
      <c r="CD1626" s="204" t="n"/>
      <c r="CE1626" s="204" t="n"/>
      <c r="CF1626" s="207" t="n"/>
      <c r="CG1626" s="208" t="n"/>
      <c r="CH1626" s="207" t="n"/>
      <c r="CI1626" s="208" t="n"/>
      <c r="CJ1626" s="204" t="n"/>
      <c r="CK1626" s="208" t="n"/>
      <c r="CL1626" s="208" t="n"/>
      <c r="CM1626" s="208" t="n"/>
      <c r="CN1626" s="78" t="n"/>
      <c r="CO1626" s="209" t="n"/>
      <c r="CP1626" s="204" t="n"/>
      <c r="CQ1626" s="204" t="n"/>
      <c r="CR1626" s="204" t="n"/>
      <c r="CS1626" s="204" t="n"/>
      <c r="CT1626" s="204" t="n"/>
      <c r="CU1626" s="204" t="n"/>
      <c r="CV1626" s="204" t="n"/>
      <c r="CW1626" s="204" t="n"/>
    </row>
    <row r="1627">
      <c r="BF1627" s="78" t="n"/>
      <c r="BG1627" s="78" t="n"/>
      <c r="BH1627" s="78" t="n"/>
      <c r="BI1627" s="78" t="n"/>
      <c r="BJ1627" s="139" t="n"/>
      <c r="BK1627" s="204" t="n"/>
      <c r="BL1627" s="141" t="n"/>
      <c r="BM1627" s="205" t="n"/>
      <c r="BN1627" s="205" t="n"/>
      <c r="BO1627" s="206" t="n"/>
      <c r="BP1627" s="144" t="n"/>
      <c r="BQ1627" s="141" t="n"/>
      <c r="BR1627" s="207" t="n"/>
      <c r="BS1627" s="207" t="n"/>
      <c r="BT1627" s="207" t="n"/>
      <c r="BU1627" s="207" t="n"/>
      <c r="BV1627" s="208" t="n"/>
      <c r="BW1627" s="207" t="n"/>
      <c r="BX1627" s="207" t="n"/>
      <c r="BY1627" s="204" t="n"/>
      <c r="BZ1627" s="148" t="n"/>
      <c r="CA1627" s="204" t="n"/>
      <c r="CB1627" s="208" t="n"/>
      <c r="CC1627" s="139" t="n"/>
      <c r="CD1627" s="204" t="n"/>
      <c r="CE1627" s="204" t="n"/>
      <c r="CF1627" s="207" t="n"/>
      <c r="CG1627" s="208" t="n"/>
      <c r="CH1627" s="207" t="n"/>
      <c r="CI1627" s="208" t="n"/>
      <c r="CJ1627" s="204" t="n"/>
      <c r="CK1627" s="208" t="n"/>
      <c r="CL1627" s="208" t="n"/>
      <c r="CM1627" s="208" t="n"/>
      <c r="CN1627" s="78" t="n"/>
      <c r="CO1627" s="209" t="n"/>
      <c r="CP1627" s="204" t="n"/>
      <c r="CQ1627" s="204" t="n"/>
      <c r="CR1627" s="204" t="n"/>
      <c r="CS1627" s="204" t="n"/>
      <c r="CT1627" s="204" t="n"/>
      <c r="CU1627" s="204" t="n"/>
      <c r="CV1627" s="204" t="n"/>
      <c r="CW1627" s="204" t="n"/>
    </row>
    <row r="1628">
      <c r="BF1628" s="78" t="n"/>
      <c r="BG1628" s="78" t="n"/>
      <c r="BH1628" s="78" t="n"/>
      <c r="BI1628" s="78" t="n"/>
      <c r="BJ1628" s="139" t="n"/>
      <c r="BK1628" s="204" t="n"/>
      <c r="BL1628" s="141" t="n"/>
      <c r="BM1628" s="205" t="n"/>
      <c r="BN1628" s="205" t="n"/>
      <c r="BO1628" s="206" t="n"/>
      <c r="BP1628" s="144" t="n"/>
      <c r="BQ1628" s="141" t="n"/>
      <c r="BR1628" s="207" t="n"/>
      <c r="BS1628" s="207" t="n"/>
      <c r="BT1628" s="207" t="n"/>
      <c r="BU1628" s="207" t="n"/>
      <c r="BV1628" s="208" t="n"/>
      <c r="BW1628" s="207" t="n"/>
      <c r="BX1628" s="207" t="n"/>
      <c r="BY1628" s="204" t="n"/>
      <c r="BZ1628" s="148" t="n"/>
      <c r="CA1628" s="204" t="n"/>
      <c r="CB1628" s="208" t="n"/>
      <c r="CC1628" s="139" t="n"/>
      <c r="CD1628" s="204" t="n"/>
      <c r="CE1628" s="204" t="n"/>
      <c r="CF1628" s="207" t="n"/>
      <c r="CG1628" s="208" t="n"/>
      <c r="CH1628" s="207" t="n"/>
      <c r="CI1628" s="208" t="n"/>
      <c r="CJ1628" s="204" t="n"/>
      <c r="CK1628" s="208" t="n"/>
      <c r="CL1628" s="208" t="n"/>
      <c r="CM1628" s="208" t="n"/>
      <c r="CN1628" s="78" t="n"/>
      <c r="CO1628" s="209" t="n"/>
      <c r="CP1628" s="204" t="n"/>
      <c r="CQ1628" s="204" t="n"/>
      <c r="CR1628" s="204" t="n"/>
      <c r="CS1628" s="204" t="n"/>
      <c r="CT1628" s="204" t="n"/>
      <c r="CU1628" s="204" t="n"/>
      <c r="CV1628" s="204" t="n"/>
      <c r="CW1628" s="204" t="n"/>
    </row>
    <row r="1629">
      <c r="BF1629" s="78" t="n"/>
      <c r="BG1629" s="78" t="n"/>
      <c r="BH1629" s="78" t="n"/>
      <c r="BI1629" s="78" t="n"/>
      <c r="BJ1629" s="139" t="n"/>
      <c r="BK1629" s="204" t="n"/>
      <c r="BL1629" s="141" t="n"/>
      <c r="BM1629" s="205" t="n"/>
      <c r="BN1629" s="205" t="n"/>
      <c r="BO1629" s="206" t="n"/>
      <c r="BP1629" s="144" t="n"/>
      <c r="BQ1629" s="141" t="n"/>
      <c r="BR1629" s="207" t="n"/>
      <c r="BS1629" s="207" t="n"/>
      <c r="BT1629" s="207" t="n"/>
      <c r="BU1629" s="207" t="n"/>
      <c r="BV1629" s="208" t="n"/>
      <c r="BW1629" s="207" t="n"/>
      <c r="BX1629" s="207" t="n"/>
      <c r="BY1629" s="204" t="n"/>
      <c r="BZ1629" s="148" t="n"/>
      <c r="CA1629" s="204" t="n"/>
      <c r="CB1629" s="208" t="n"/>
      <c r="CC1629" s="139" t="n"/>
      <c r="CD1629" s="204" t="n"/>
      <c r="CE1629" s="204" t="n"/>
      <c r="CF1629" s="207" t="n"/>
      <c r="CG1629" s="208" t="n"/>
      <c r="CH1629" s="207" t="n"/>
      <c r="CI1629" s="208" t="n"/>
      <c r="CJ1629" s="204" t="n"/>
      <c r="CK1629" s="208" t="n"/>
      <c r="CL1629" s="208" t="n"/>
      <c r="CM1629" s="208" t="n"/>
      <c r="CN1629" s="78" t="n"/>
      <c r="CO1629" s="209" t="n"/>
      <c r="CP1629" s="204" t="n"/>
      <c r="CQ1629" s="204" t="n"/>
      <c r="CR1629" s="204" t="n"/>
      <c r="CS1629" s="204" t="n"/>
      <c r="CT1629" s="204" t="n"/>
      <c r="CU1629" s="204" t="n"/>
      <c r="CV1629" s="204" t="n"/>
      <c r="CW1629" s="204" t="n"/>
    </row>
    <row r="1630">
      <c r="BF1630" s="78" t="n"/>
      <c r="BG1630" s="78" t="n"/>
      <c r="BH1630" s="78" t="n"/>
      <c r="BI1630" s="78" t="n"/>
      <c r="BJ1630" s="139" t="n"/>
      <c r="BK1630" s="204" t="n"/>
      <c r="BL1630" s="141" t="n"/>
      <c r="BM1630" s="205" t="n"/>
      <c r="BN1630" s="205" t="n"/>
      <c r="BO1630" s="206" t="n"/>
      <c r="BP1630" s="144" t="n"/>
      <c r="BQ1630" s="141" t="n"/>
      <c r="BR1630" s="207" t="n"/>
      <c r="BS1630" s="207" t="n"/>
      <c r="BT1630" s="207" t="n"/>
      <c r="BU1630" s="207" t="n"/>
      <c r="BV1630" s="208" t="n"/>
      <c r="BW1630" s="207" t="n"/>
      <c r="BX1630" s="207" t="n"/>
      <c r="BY1630" s="204" t="n"/>
      <c r="BZ1630" s="148" t="n"/>
      <c r="CA1630" s="204" t="n"/>
      <c r="CB1630" s="208" t="n"/>
      <c r="CC1630" s="139" t="n"/>
      <c r="CD1630" s="204" t="n"/>
      <c r="CE1630" s="204" t="n"/>
      <c r="CF1630" s="207" t="n"/>
      <c r="CG1630" s="208" t="n"/>
      <c r="CH1630" s="207" t="n"/>
      <c r="CI1630" s="208" t="n"/>
      <c r="CJ1630" s="204" t="n"/>
      <c r="CK1630" s="208" t="n"/>
      <c r="CL1630" s="208" t="n"/>
      <c r="CM1630" s="208" t="n"/>
      <c r="CN1630" s="78" t="n"/>
      <c r="CO1630" s="209" t="n"/>
      <c r="CP1630" s="204" t="n"/>
      <c r="CQ1630" s="204" t="n"/>
      <c r="CR1630" s="204" t="n"/>
      <c r="CS1630" s="204" t="n"/>
      <c r="CT1630" s="204" t="n"/>
      <c r="CU1630" s="204" t="n"/>
      <c r="CV1630" s="204" t="n"/>
      <c r="CW1630" s="204" t="n"/>
    </row>
    <row r="1631">
      <c r="BF1631" s="78" t="n"/>
      <c r="BG1631" s="78" t="n"/>
      <c r="BH1631" s="78" t="n"/>
      <c r="BI1631" s="78" t="n"/>
      <c r="BJ1631" s="139" t="n"/>
      <c r="BK1631" s="204" t="n"/>
      <c r="BL1631" s="141" t="n"/>
      <c r="BM1631" s="205" t="n"/>
      <c r="BN1631" s="205" t="n"/>
      <c r="BO1631" s="206" t="n"/>
      <c r="BP1631" s="144" t="n"/>
      <c r="BQ1631" s="141" t="n"/>
      <c r="BR1631" s="207" t="n"/>
      <c r="BS1631" s="207" t="n"/>
      <c r="BT1631" s="207" t="n"/>
      <c r="BU1631" s="207" t="n"/>
      <c r="BV1631" s="208" t="n"/>
      <c r="BW1631" s="207" t="n"/>
      <c r="BX1631" s="207" t="n"/>
      <c r="BY1631" s="204" t="n"/>
      <c r="BZ1631" s="148" t="n"/>
      <c r="CA1631" s="204" t="n"/>
      <c r="CB1631" s="208" t="n"/>
      <c r="CC1631" s="139" t="n"/>
      <c r="CD1631" s="204" t="n"/>
      <c r="CE1631" s="204" t="n"/>
      <c r="CF1631" s="207" t="n"/>
      <c r="CG1631" s="208" t="n"/>
      <c r="CH1631" s="207" t="n"/>
      <c r="CI1631" s="208" t="n"/>
      <c r="CJ1631" s="204" t="n"/>
      <c r="CK1631" s="208" t="n"/>
      <c r="CL1631" s="208" t="n"/>
      <c r="CM1631" s="208" t="n"/>
      <c r="CN1631" s="78" t="n"/>
      <c r="CO1631" s="209" t="n"/>
      <c r="CP1631" s="204" t="n"/>
      <c r="CQ1631" s="204" t="n"/>
      <c r="CR1631" s="204" t="n"/>
      <c r="CS1631" s="204" t="n"/>
      <c r="CT1631" s="204" t="n"/>
      <c r="CU1631" s="204" t="n"/>
      <c r="CV1631" s="204" t="n"/>
      <c r="CW1631" s="204" t="n"/>
    </row>
    <row r="1632">
      <c r="BF1632" s="78" t="n"/>
      <c r="BG1632" s="78" t="n"/>
      <c r="BH1632" s="78" t="n"/>
      <c r="BI1632" s="78" t="n"/>
      <c r="BJ1632" s="139" t="n"/>
      <c r="BK1632" s="204" t="n"/>
      <c r="BL1632" s="141" t="n"/>
      <c r="BM1632" s="205" t="n"/>
      <c r="BN1632" s="205" t="n"/>
      <c r="BO1632" s="206" t="n"/>
      <c r="BP1632" s="144" t="n"/>
      <c r="BQ1632" s="141" t="n"/>
      <c r="BR1632" s="207" t="n"/>
      <c r="BS1632" s="207" t="n"/>
      <c r="BT1632" s="207" t="n"/>
      <c r="BU1632" s="207" t="n"/>
      <c r="BV1632" s="208" t="n"/>
      <c r="BW1632" s="207" t="n"/>
      <c r="BX1632" s="207" t="n"/>
      <c r="BY1632" s="204" t="n"/>
      <c r="BZ1632" s="148" t="n"/>
      <c r="CA1632" s="204" t="n"/>
      <c r="CB1632" s="208" t="n"/>
      <c r="CC1632" s="139" t="n"/>
      <c r="CD1632" s="204" t="n"/>
      <c r="CE1632" s="204" t="n"/>
      <c r="CF1632" s="207" t="n"/>
      <c r="CG1632" s="208" t="n"/>
      <c r="CH1632" s="207" t="n"/>
      <c r="CI1632" s="208" t="n"/>
      <c r="CJ1632" s="204" t="n"/>
      <c r="CK1632" s="208" t="n"/>
      <c r="CL1632" s="208" t="n"/>
      <c r="CM1632" s="208" t="n"/>
      <c r="CN1632" s="78" t="n"/>
      <c r="CO1632" s="209" t="n"/>
      <c r="CP1632" s="204" t="n"/>
      <c r="CQ1632" s="204" t="n"/>
      <c r="CR1632" s="204" t="n"/>
      <c r="CS1632" s="204" t="n"/>
      <c r="CT1632" s="204" t="n"/>
      <c r="CU1632" s="204" t="n"/>
      <c r="CV1632" s="204" t="n"/>
      <c r="CW1632" s="204" t="n"/>
    </row>
    <row r="1633">
      <c r="BF1633" s="78" t="n"/>
      <c r="BG1633" s="78" t="n"/>
      <c r="BH1633" s="78" t="n"/>
      <c r="BI1633" s="78" t="n"/>
      <c r="BJ1633" s="139" t="n"/>
      <c r="BK1633" s="204" t="n"/>
      <c r="BL1633" s="141" t="n"/>
      <c r="BM1633" s="205" t="n"/>
      <c r="BN1633" s="205" t="n"/>
      <c r="BO1633" s="206" t="n"/>
      <c r="BP1633" s="144" t="n"/>
      <c r="BQ1633" s="141" t="n"/>
      <c r="BR1633" s="207" t="n"/>
      <c r="BS1633" s="207" t="n"/>
      <c r="BT1633" s="207" t="n"/>
      <c r="BU1633" s="207" t="n"/>
      <c r="BV1633" s="208" t="n"/>
      <c r="BW1633" s="207" t="n"/>
      <c r="BX1633" s="207" t="n"/>
      <c r="BY1633" s="204" t="n"/>
      <c r="BZ1633" s="148" t="n"/>
      <c r="CA1633" s="204" t="n"/>
      <c r="CB1633" s="208" t="n"/>
      <c r="CC1633" s="139" t="n"/>
      <c r="CD1633" s="204" t="n"/>
      <c r="CE1633" s="204" t="n"/>
      <c r="CF1633" s="207" t="n"/>
      <c r="CG1633" s="208" t="n"/>
      <c r="CH1633" s="207" t="n"/>
      <c r="CI1633" s="208" t="n"/>
      <c r="CJ1633" s="204" t="n"/>
      <c r="CK1633" s="208" t="n"/>
      <c r="CL1633" s="208" t="n"/>
      <c r="CM1633" s="208" t="n"/>
      <c r="CN1633" s="78" t="n"/>
      <c r="CO1633" s="209" t="n"/>
      <c r="CP1633" s="204" t="n"/>
      <c r="CQ1633" s="204" t="n"/>
      <c r="CR1633" s="204" t="n"/>
      <c r="CS1633" s="204" t="n"/>
      <c r="CT1633" s="204" t="n"/>
      <c r="CU1633" s="204" t="n"/>
      <c r="CV1633" s="204" t="n"/>
      <c r="CW1633" s="204" t="n"/>
    </row>
    <row r="1634">
      <c r="BF1634" s="78" t="n"/>
      <c r="BG1634" s="78" t="n"/>
      <c r="BH1634" s="78" t="n"/>
      <c r="BI1634" s="78" t="n"/>
      <c r="BJ1634" s="139" t="n"/>
      <c r="BK1634" s="204" t="n"/>
      <c r="BL1634" s="141" t="n"/>
      <c r="BM1634" s="205" t="n"/>
      <c r="BN1634" s="205" t="n"/>
      <c r="BO1634" s="206" t="n"/>
      <c r="BP1634" s="144" t="n"/>
      <c r="BQ1634" s="141" t="n"/>
      <c r="BR1634" s="207" t="n"/>
      <c r="BS1634" s="207" t="n"/>
      <c r="BT1634" s="207" t="n"/>
      <c r="BU1634" s="207" t="n"/>
      <c r="BV1634" s="208" t="n"/>
      <c r="BW1634" s="207" t="n"/>
      <c r="BX1634" s="207" t="n"/>
      <c r="BY1634" s="204" t="n"/>
      <c r="BZ1634" s="148" t="n"/>
      <c r="CA1634" s="204" t="n"/>
      <c r="CB1634" s="208" t="n"/>
      <c r="CC1634" s="139" t="n"/>
      <c r="CD1634" s="204" t="n"/>
      <c r="CE1634" s="204" t="n"/>
      <c r="CF1634" s="207" t="n"/>
      <c r="CG1634" s="208" t="n"/>
      <c r="CH1634" s="207" t="n"/>
      <c r="CI1634" s="208" t="n"/>
      <c r="CJ1634" s="204" t="n"/>
      <c r="CK1634" s="208" t="n"/>
      <c r="CL1634" s="208" t="n"/>
      <c r="CM1634" s="208" t="n"/>
      <c r="CN1634" s="78" t="n"/>
      <c r="CO1634" s="209" t="n"/>
      <c r="CP1634" s="204" t="n"/>
      <c r="CQ1634" s="204" t="n"/>
      <c r="CR1634" s="204" t="n"/>
      <c r="CS1634" s="204" t="n"/>
      <c r="CT1634" s="204" t="n"/>
      <c r="CU1634" s="204" t="n"/>
      <c r="CV1634" s="204" t="n"/>
      <c r="CW1634" s="204" t="n"/>
    </row>
    <row r="1635">
      <c r="BF1635" s="78" t="n"/>
      <c r="BG1635" s="78" t="n"/>
      <c r="BH1635" s="78" t="n"/>
      <c r="BI1635" s="78" t="n"/>
      <c r="BJ1635" s="139" t="n"/>
      <c r="BK1635" s="204" t="n"/>
      <c r="BL1635" s="141" t="n"/>
      <c r="BM1635" s="205" t="n"/>
      <c r="BN1635" s="205" t="n"/>
      <c r="BO1635" s="206" t="n"/>
      <c r="BP1635" s="144" t="n"/>
      <c r="BQ1635" s="141" t="n"/>
      <c r="BR1635" s="207" t="n"/>
      <c r="BS1635" s="207" t="n"/>
      <c r="BT1635" s="207" t="n"/>
      <c r="BU1635" s="207" t="n"/>
      <c r="BV1635" s="208" t="n"/>
      <c r="BW1635" s="207" t="n"/>
      <c r="BX1635" s="207" t="n"/>
      <c r="BY1635" s="204" t="n"/>
      <c r="BZ1635" s="148" t="n"/>
      <c r="CA1635" s="204" t="n"/>
      <c r="CB1635" s="208" t="n"/>
      <c r="CC1635" s="139" t="n"/>
      <c r="CD1635" s="204" t="n"/>
      <c r="CE1635" s="204" t="n"/>
      <c r="CF1635" s="207" t="n"/>
      <c r="CG1635" s="208" t="n"/>
      <c r="CH1635" s="207" t="n"/>
      <c r="CI1635" s="208" t="n"/>
      <c r="CJ1635" s="204" t="n"/>
      <c r="CK1635" s="208" t="n"/>
      <c r="CL1635" s="208" t="n"/>
      <c r="CM1635" s="208" t="n"/>
      <c r="CN1635" s="78" t="n"/>
      <c r="CO1635" s="209" t="n"/>
      <c r="CP1635" s="204" t="n"/>
      <c r="CQ1635" s="204" t="n"/>
      <c r="CR1635" s="204" t="n"/>
      <c r="CS1635" s="204" t="n"/>
      <c r="CT1635" s="204" t="n"/>
      <c r="CU1635" s="204" t="n"/>
      <c r="CV1635" s="204" t="n"/>
      <c r="CW1635" s="204" t="n"/>
    </row>
    <row r="1636">
      <c r="BF1636" s="78" t="n"/>
      <c r="BG1636" s="78" t="n"/>
      <c r="BH1636" s="78" t="n"/>
      <c r="BI1636" s="78" t="n"/>
      <c r="BJ1636" s="139" t="n"/>
      <c r="BK1636" s="204" t="n"/>
      <c r="BL1636" s="141" t="n"/>
      <c r="BM1636" s="205" t="n"/>
      <c r="BN1636" s="205" t="n"/>
      <c r="BO1636" s="206" t="n"/>
      <c r="BP1636" s="144" t="n"/>
      <c r="BQ1636" s="141" t="n"/>
      <c r="BR1636" s="207" t="n"/>
      <c r="BS1636" s="207" t="n"/>
      <c r="BT1636" s="207" t="n"/>
      <c r="BU1636" s="207" t="n"/>
      <c r="BV1636" s="208" t="n"/>
      <c r="BW1636" s="207" t="n"/>
      <c r="BX1636" s="207" t="n"/>
      <c r="BY1636" s="204" t="n"/>
      <c r="BZ1636" s="148" t="n"/>
      <c r="CA1636" s="204" t="n"/>
      <c r="CB1636" s="208" t="n"/>
      <c r="CC1636" s="139" t="n"/>
      <c r="CD1636" s="204" t="n"/>
      <c r="CE1636" s="204" t="n"/>
      <c r="CF1636" s="207" t="n"/>
      <c r="CG1636" s="208" t="n"/>
      <c r="CH1636" s="207" t="n"/>
      <c r="CI1636" s="208" t="n"/>
      <c r="CJ1636" s="204" t="n"/>
      <c r="CK1636" s="208" t="n"/>
      <c r="CL1636" s="208" t="n"/>
      <c r="CM1636" s="208" t="n"/>
      <c r="CN1636" s="78" t="n"/>
      <c r="CO1636" s="209" t="n"/>
      <c r="CP1636" s="204" t="n"/>
      <c r="CQ1636" s="204" t="n"/>
      <c r="CR1636" s="204" t="n"/>
      <c r="CS1636" s="204" t="n"/>
      <c r="CT1636" s="204" t="n"/>
      <c r="CU1636" s="204" t="n"/>
      <c r="CV1636" s="204" t="n"/>
      <c r="CW1636" s="204" t="n"/>
    </row>
    <row r="1637">
      <c r="BF1637" s="78" t="n"/>
      <c r="BG1637" s="78" t="n"/>
      <c r="BH1637" s="78" t="n"/>
      <c r="BI1637" s="78" t="n"/>
      <c r="BJ1637" s="139" t="n"/>
      <c r="BK1637" s="204" t="n"/>
      <c r="BL1637" s="141" t="n"/>
      <c r="BM1637" s="205" t="n"/>
      <c r="BN1637" s="205" t="n"/>
      <c r="BO1637" s="206" t="n"/>
      <c r="BP1637" s="144" t="n"/>
      <c r="BQ1637" s="141" t="n"/>
      <c r="BR1637" s="207" t="n"/>
      <c r="BS1637" s="207" t="n"/>
      <c r="BT1637" s="207" t="n"/>
      <c r="BU1637" s="207" t="n"/>
      <c r="BV1637" s="208" t="n"/>
      <c r="BW1637" s="207" t="n"/>
      <c r="BX1637" s="207" t="n"/>
      <c r="BY1637" s="204" t="n"/>
      <c r="BZ1637" s="148" t="n"/>
      <c r="CA1637" s="204" t="n"/>
      <c r="CB1637" s="208" t="n"/>
      <c r="CC1637" s="139" t="n"/>
      <c r="CD1637" s="204" t="n"/>
      <c r="CE1637" s="204" t="n"/>
      <c r="CF1637" s="207" t="n"/>
      <c r="CG1637" s="208" t="n"/>
      <c r="CH1637" s="207" t="n"/>
      <c r="CI1637" s="208" t="n"/>
      <c r="CJ1637" s="204" t="n"/>
      <c r="CK1637" s="208" t="n"/>
      <c r="CL1637" s="208" t="n"/>
      <c r="CM1637" s="208" t="n"/>
      <c r="CN1637" s="78" t="n"/>
      <c r="CO1637" s="209" t="n"/>
      <c r="CP1637" s="204" t="n"/>
      <c r="CQ1637" s="204" t="n"/>
      <c r="CR1637" s="204" t="n"/>
      <c r="CS1637" s="204" t="n"/>
      <c r="CT1637" s="204" t="n"/>
      <c r="CU1637" s="204" t="n"/>
      <c r="CV1637" s="204" t="n"/>
      <c r="CW1637" s="204" t="n"/>
    </row>
    <row r="1638">
      <c r="BF1638" s="78" t="n"/>
      <c r="BG1638" s="78" t="n"/>
      <c r="BH1638" s="78" t="n"/>
      <c r="BI1638" s="78" t="n"/>
      <c r="BJ1638" s="139" t="n"/>
      <c r="BK1638" s="204" t="n"/>
      <c r="BL1638" s="141" t="n"/>
      <c r="BM1638" s="205" t="n"/>
      <c r="BN1638" s="205" t="n"/>
      <c r="BO1638" s="206" t="n"/>
      <c r="BP1638" s="144" t="n"/>
      <c r="BQ1638" s="141" t="n"/>
      <c r="BR1638" s="207" t="n"/>
      <c r="BS1638" s="207" t="n"/>
      <c r="BT1638" s="207" t="n"/>
      <c r="BU1638" s="207" t="n"/>
      <c r="BV1638" s="208" t="n"/>
      <c r="BW1638" s="207" t="n"/>
      <c r="BX1638" s="207" t="n"/>
      <c r="BY1638" s="204" t="n"/>
      <c r="BZ1638" s="148" t="n"/>
      <c r="CA1638" s="204" t="n"/>
      <c r="CB1638" s="208" t="n"/>
      <c r="CC1638" s="139" t="n"/>
      <c r="CD1638" s="204" t="n"/>
      <c r="CE1638" s="204" t="n"/>
      <c r="CF1638" s="207" t="n"/>
      <c r="CG1638" s="208" t="n"/>
      <c r="CH1638" s="207" t="n"/>
      <c r="CI1638" s="208" t="n"/>
      <c r="CJ1638" s="204" t="n"/>
      <c r="CK1638" s="208" t="n"/>
      <c r="CL1638" s="208" t="n"/>
      <c r="CM1638" s="208" t="n"/>
      <c r="CN1638" s="78" t="n"/>
      <c r="CO1638" s="209" t="n"/>
      <c r="CP1638" s="204" t="n"/>
      <c r="CQ1638" s="204" t="n"/>
      <c r="CR1638" s="204" t="n"/>
      <c r="CS1638" s="204" t="n"/>
      <c r="CT1638" s="204" t="n"/>
      <c r="CU1638" s="204" t="n"/>
      <c r="CV1638" s="204" t="n"/>
      <c r="CW1638" s="204" t="n"/>
    </row>
    <row r="1639">
      <c r="BF1639" s="78" t="n"/>
      <c r="BG1639" s="78" t="n"/>
      <c r="BH1639" s="78" t="n"/>
      <c r="BI1639" s="78" t="n"/>
      <c r="BJ1639" s="139" t="n"/>
      <c r="BK1639" s="204" t="n"/>
      <c r="BL1639" s="141" t="n"/>
      <c r="BM1639" s="205" t="n"/>
      <c r="BN1639" s="205" t="n"/>
      <c r="BO1639" s="206" t="n"/>
      <c r="BP1639" s="144" t="n"/>
      <c r="BQ1639" s="141" t="n"/>
      <c r="BR1639" s="207" t="n"/>
      <c r="BS1639" s="207" t="n"/>
      <c r="BT1639" s="207" t="n"/>
      <c r="BU1639" s="207" t="n"/>
      <c r="BV1639" s="208" t="n"/>
      <c r="BW1639" s="207" t="n"/>
      <c r="BX1639" s="207" t="n"/>
      <c r="BY1639" s="204" t="n"/>
      <c r="BZ1639" s="148" t="n"/>
      <c r="CA1639" s="204" t="n"/>
      <c r="CB1639" s="208" t="n"/>
      <c r="CC1639" s="139" t="n"/>
      <c r="CD1639" s="204" t="n"/>
      <c r="CE1639" s="204" t="n"/>
      <c r="CF1639" s="207" t="n"/>
      <c r="CG1639" s="208" t="n"/>
      <c r="CH1639" s="207" t="n"/>
      <c r="CI1639" s="208" t="n"/>
      <c r="CJ1639" s="204" t="n"/>
      <c r="CK1639" s="208" t="n"/>
      <c r="CL1639" s="208" t="n"/>
      <c r="CM1639" s="208" t="n"/>
      <c r="CN1639" s="78" t="n"/>
      <c r="CO1639" s="209" t="n"/>
      <c r="CP1639" s="204" t="n"/>
      <c r="CQ1639" s="204" t="n"/>
      <c r="CR1639" s="204" t="n"/>
      <c r="CS1639" s="204" t="n"/>
      <c r="CT1639" s="204" t="n"/>
      <c r="CU1639" s="204" t="n"/>
      <c r="CV1639" s="204" t="n"/>
      <c r="CW1639" s="204" t="n"/>
    </row>
    <row r="1640">
      <c r="BF1640" s="78" t="n"/>
      <c r="BG1640" s="78" t="n"/>
      <c r="BH1640" s="78" t="n"/>
      <c r="BI1640" s="78" t="n"/>
      <c r="BJ1640" s="139" t="n"/>
      <c r="BK1640" s="204" t="n"/>
      <c r="BL1640" s="141" t="n"/>
      <c r="BM1640" s="205" t="n"/>
      <c r="BN1640" s="205" t="n"/>
      <c r="BO1640" s="206" t="n"/>
      <c r="BP1640" s="144" t="n"/>
      <c r="BQ1640" s="141" t="n"/>
      <c r="BR1640" s="207" t="n"/>
      <c r="BS1640" s="207" t="n"/>
      <c r="BT1640" s="207" t="n"/>
      <c r="BU1640" s="207" t="n"/>
      <c r="BV1640" s="208" t="n"/>
      <c r="BW1640" s="207" t="n"/>
      <c r="BX1640" s="207" t="n"/>
      <c r="BY1640" s="204" t="n"/>
      <c r="BZ1640" s="148" t="n"/>
      <c r="CA1640" s="204" t="n"/>
      <c r="CB1640" s="208" t="n"/>
      <c r="CC1640" s="139" t="n"/>
      <c r="CD1640" s="204" t="n"/>
      <c r="CE1640" s="204" t="n"/>
      <c r="CF1640" s="207" t="n"/>
      <c r="CG1640" s="208" t="n"/>
      <c r="CH1640" s="207" t="n"/>
      <c r="CI1640" s="208" t="n"/>
      <c r="CJ1640" s="204" t="n"/>
      <c r="CK1640" s="208" t="n"/>
      <c r="CL1640" s="208" t="n"/>
      <c r="CM1640" s="208" t="n"/>
      <c r="CN1640" s="78" t="n"/>
      <c r="CO1640" s="209" t="n"/>
      <c r="CP1640" s="204" t="n"/>
      <c r="CQ1640" s="204" t="n"/>
      <c r="CR1640" s="204" t="n"/>
      <c r="CS1640" s="204" t="n"/>
      <c r="CT1640" s="204" t="n"/>
      <c r="CU1640" s="204" t="n"/>
      <c r="CV1640" s="204" t="n"/>
      <c r="CW1640" s="204" t="n"/>
    </row>
    <row r="1641">
      <c r="BF1641" s="78" t="n"/>
      <c r="BG1641" s="78" t="n"/>
      <c r="BH1641" s="78" t="n"/>
      <c r="BI1641" s="78" t="n"/>
      <c r="BJ1641" s="139" t="n"/>
      <c r="BK1641" s="204" t="n"/>
      <c r="BL1641" s="141" t="n"/>
      <c r="BM1641" s="205" t="n"/>
      <c r="BN1641" s="205" t="n"/>
      <c r="BO1641" s="206" t="n"/>
      <c r="BP1641" s="144" t="n"/>
      <c r="BQ1641" s="141" t="n"/>
      <c r="BR1641" s="207" t="n"/>
      <c r="BS1641" s="207" t="n"/>
      <c r="BT1641" s="207" t="n"/>
      <c r="BU1641" s="207" t="n"/>
      <c r="BV1641" s="208" t="n"/>
      <c r="BW1641" s="207" t="n"/>
      <c r="BX1641" s="207" t="n"/>
      <c r="BY1641" s="204" t="n"/>
      <c r="BZ1641" s="148" t="n"/>
      <c r="CA1641" s="204" t="n"/>
      <c r="CB1641" s="208" t="n"/>
      <c r="CC1641" s="139" t="n"/>
      <c r="CD1641" s="204" t="n"/>
      <c r="CE1641" s="204" t="n"/>
      <c r="CF1641" s="207" t="n"/>
      <c r="CG1641" s="208" t="n"/>
      <c r="CH1641" s="207" t="n"/>
      <c r="CI1641" s="208" t="n"/>
      <c r="CJ1641" s="204" t="n"/>
      <c r="CK1641" s="208" t="n"/>
      <c r="CL1641" s="208" t="n"/>
      <c r="CM1641" s="208" t="n"/>
      <c r="CN1641" s="78" t="n"/>
      <c r="CO1641" s="209" t="n"/>
      <c r="CP1641" s="204" t="n"/>
      <c r="CQ1641" s="204" t="n"/>
      <c r="CR1641" s="204" t="n"/>
      <c r="CS1641" s="204" t="n"/>
      <c r="CT1641" s="204" t="n"/>
      <c r="CU1641" s="204" t="n"/>
      <c r="CV1641" s="204" t="n"/>
      <c r="CW1641" s="204" t="n"/>
    </row>
    <row r="1642">
      <c r="BF1642" s="78" t="n"/>
      <c r="BG1642" s="78" t="n"/>
      <c r="BH1642" s="78" t="n"/>
      <c r="BI1642" s="78" t="n"/>
      <c r="BJ1642" s="139" t="n"/>
      <c r="BK1642" s="204" t="n"/>
      <c r="BL1642" s="141" t="n"/>
      <c r="BM1642" s="205" t="n"/>
      <c r="BN1642" s="205" t="n"/>
      <c r="BO1642" s="206" t="n"/>
      <c r="BP1642" s="144" t="n"/>
      <c r="BQ1642" s="141" t="n"/>
      <c r="BR1642" s="207" t="n"/>
      <c r="BS1642" s="207" t="n"/>
      <c r="BT1642" s="207" t="n"/>
      <c r="BU1642" s="207" t="n"/>
      <c r="BV1642" s="208" t="n"/>
      <c r="BW1642" s="207" t="n"/>
      <c r="BX1642" s="207" t="n"/>
      <c r="BY1642" s="204" t="n"/>
      <c r="BZ1642" s="148" t="n"/>
      <c r="CA1642" s="204" t="n"/>
      <c r="CB1642" s="208" t="n"/>
      <c r="CC1642" s="139" t="n"/>
      <c r="CD1642" s="204" t="n"/>
      <c r="CE1642" s="204" t="n"/>
      <c r="CF1642" s="207" t="n"/>
      <c r="CG1642" s="208" t="n"/>
      <c r="CH1642" s="207" t="n"/>
      <c r="CI1642" s="208" t="n"/>
      <c r="CJ1642" s="204" t="n"/>
      <c r="CK1642" s="208" t="n"/>
      <c r="CL1642" s="208" t="n"/>
      <c r="CM1642" s="208" t="n"/>
      <c r="CN1642" s="78" t="n"/>
      <c r="CO1642" s="209" t="n"/>
      <c r="CP1642" s="204" t="n"/>
      <c r="CQ1642" s="204" t="n"/>
      <c r="CR1642" s="204" t="n"/>
      <c r="CS1642" s="204" t="n"/>
      <c r="CT1642" s="204" t="n"/>
      <c r="CU1642" s="204" t="n"/>
      <c r="CV1642" s="204" t="n"/>
      <c r="CW1642" s="204" t="n"/>
    </row>
    <row r="1643">
      <c r="BF1643" s="78" t="n"/>
      <c r="BG1643" s="78" t="n"/>
      <c r="BH1643" s="78" t="n"/>
      <c r="BI1643" s="78" t="n"/>
      <c r="BJ1643" s="139" t="n"/>
      <c r="BK1643" s="204" t="n"/>
      <c r="BL1643" s="141" t="n"/>
      <c r="BM1643" s="205" t="n"/>
      <c r="BN1643" s="205" t="n"/>
      <c r="BO1643" s="206" t="n"/>
      <c r="BP1643" s="144" t="n"/>
      <c r="BQ1643" s="141" t="n"/>
      <c r="BR1643" s="207" t="n"/>
      <c r="BS1643" s="207" t="n"/>
      <c r="BT1643" s="207" t="n"/>
      <c r="BU1643" s="207" t="n"/>
      <c r="BV1643" s="208" t="n"/>
      <c r="BW1643" s="207" t="n"/>
      <c r="BX1643" s="207" t="n"/>
      <c r="BY1643" s="204" t="n"/>
      <c r="BZ1643" s="148" t="n"/>
      <c r="CA1643" s="204" t="n"/>
      <c r="CB1643" s="208" t="n"/>
      <c r="CC1643" s="139" t="n"/>
      <c r="CD1643" s="204" t="n"/>
      <c r="CE1643" s="204" t="n"/>
      <c r="CF1643" s="207" t="n"/>
      <c r="CG1643" s="208" t="n"/>
      <c r="CH1643" s="207" t="n"/>
      <c r="CI1643" s="208" t="n"/>
      <c r="CJ1643" s="204" t="n"/>
      <c r="CK1643" s="208" t="n"/>
      <c r="CL1643" s="208" t="n"/>
      <c r="CM1643" s="208" t="n"/>
      <c r="CN1643" s="78" t="n"/>
      <c r="CO1643" s="209" t="n"/>
      <c r="CP1643" s="204" t="n"/>
      <c r="CQ1643" s="204" t="n"/>
      <c r="CR1643" s="204" t="n"/>
      <c r="CS1643" s="204" t="n"/>
      <c r="CT1643" s="204" t="n"/>
      <c r="CU1643" s="204" t="n"/>
      <c r="CV1643" s="204" t="n"/>
      <c r="CW1643" s="204" t="n"/>
    </row>
    <row r="1644">
      <c r="BF1644" s="78" t="n"/>
      <c r="BG1644" s="78" t="n"/>
      <c r="BH1644" s="78" t="n"/>
      <c r="BI1644" s="78" t="n"/>
      <c r="BJ1644" s="139" t="n"/>
      <c r="BK1644" s="204" t="n"/>
      <c r="BL1644" s="141" t="n"/>
      <c r="BM1644" s="205" t="n"/>
      <c r="BN1644" s="205" t="n"/>
      <c r="BO1644" s="206" t="n"/>
      <c r="BP1644" s="144" t="n"/>
      <c r="BQ1644" s="141" t="n"/>
      <c r="BR1644" s="207" t="n"/>
      <c r="BS1644" s="207" t="n"/>
      <c r="BT1644" s="207" t="n"/>
      <c r="BU1644" s="207" t="n"/>
      <c r="BV1644" s="208" t="n"/>
      <c r="BW1644" s="207" t="n"/>
      <c r="BX1644" s="207" t="n"/>
      <c r="BY1644" s="204" t="n"/>
      <c r="BZ1644" s="148" t="n"/>
      <c r="CA1644" s="204" t="n"/>
      <c r="CB1644" s="208" t="n"/>
      <c r="CC1644" s="139" t="n"/>
      <c r="CD1644" s="204" t="n"/>
      <c r="CE1644" s="204" t="n"/>
      <c r="CF1644" s="207" t="n"/>
      <c r="CG1644" s="208" t="n"/>
      <c r="CH1644" s="207" t="n"/>
      <c r="CI1644" s="208" t="n"/>
      <c r="CJ1644" s="204" t="n"/>
      <c r="CK1644" s="208" t="n"/>
      <c r="CL1644" s="208" t="n"/>
      <c r="CM1644" s="208" t="n"/>
      <c r="CN1644" s="78" t="n"/>
      <c r="CO1644" s="209" t="n"/>
      <c r="CP1644" s="204" t="n"/>
      <c r="CQ1644" s="204" t="n"/>
      <c r="CR1644" s="204" t="n"/>
      <c r="CS1644" s="204" t="n"/>
      <c r="CT1644" s="204" t="n"/>
      <c r="CU1644" s="204" t="n"/>
      <c r="CV1644" s="204" t="n"/>
      <c r="CW1644" s="204" t="n"/>
    </row>
    <row r="1645">
      <c r="BF1645" s="78" t="n"/>
      <c r="BG1645" s="78" t="n"/>
      <c r="BH1645" s="78" t="n"/>
      <c r="BI1645" s="78" t="n"/>
      <c r="BJ1645" s="139" t="n"/>
      <c r="BK1645" s="204" t="n"/>
      <c r="BL1645" s="141" t="n"/>
      <c r="BM1645" s="205" t="n"/>
      <c r="BN1645" s="205" t="n"/>
      <c r="BO1645" s="206" t="n"/>
      <c r="BP1645" s="144" t="n"/>
      <c r="BQ1645" s="141" t="n"/>
      <c r="BR1645" s="207" t="n"/>
      <c r="BS1645" s="207" t="n"/>
      <c r="BT1645" s="207" t="n"/>
      <c r="BU1645" s="207" t="n"/>
      <c r="BV1645" s="208" t="n"/>
      <c r="BW1645" s="207" t="n"/>
      <c r="BX1645" s="207" t="n"/>
      <c r="BY1645" s="204" t="n"/>
      <c r="BZ1645" s="148" t="n"/>
      <c r="CA1645" s="204" t="n"/>
      <c r="CB1645" s="208" t="n"/>
      <c r="CC1645" s="139" t="n"/>
      <c r="CD1645" s="204" t="n"/>
      <c r="CE1645" s="204" t="n"/>
      <c r="CF1645" s="207" t="n"/>
      <c r="CG1645" s="208" t="n"/>
      <c r="CH1645" s="207" t="n"/>
      <c r="CI1645" s="208" t="n"/>
      <c r="CJ1645" s="204" t="n"/>
      <c r="CK1645" s="208" t="n"/>
      <c r="CL1645" s="208" t="n"/>
      <c r="CM1645" s="208" t="n"/>
      <c r="CN1645" s="78" t="n"/>
      <c r="CO1645" s="209" t="n"/>
      <c r="CP1645" s="204" t="n"/>
      <c r="CQ1645" s="204" t="n"/>
      <c r="CR1645" s="204" t="n"/>
      <c r="CS1645" s="204" t="n"/>
      <c r="CT1645" s="204" t="n"/>
      <c r="CU1645" s="204" t="n"/>
      <c r="CV1645" s="204" t="n"/>
      <c r="CW1645" s="204" t="n"/>
    </row>
    <row r="1646">
      <c r="BF1646" s="78" t="n"/>
      <c r="BG1646" s="78" t="n"/>
      <c r="BH1646" s="78" t="n"/>
      <c r="BI1646" s="78" t="n"/>
      <c r="BJ1646" s="139" t="n"/>
      <c r="BK1646" s="204" t="n"/>
      <c r="BL1646" s="141" t="n"/>
      <c r="BM1646" s="205" t="n"/>
      <c r="BN1646" s="205" t="n"/>
      <c r="BO1646" s="206" t="n"/>
      <c r="BP1646" s="144" t="n"/>
      <c r="BQ1646" s="141" t="n"/>
      <c r="BR1646" s="207" t="n"/>
      <c r="BS1646" s="207" t="n"/>
      <c r="BT1646" s="207" t="n"/>
      <c r="BU1646" s="207" t="n"/>
      <c r="BV1646" s="208" t="n"/>
      <c r="BW1646" s="207" t="n"/>
      <c r="BX1646" s="207" t="n"/>
      <c r="BY1646" s="204" t="n"/>
      <c r="BZ1646" s="148" t="n"/>
      <c r="CA1646" s="204" t="n"/>
      <c r="CB1646" s="208" t="n"/>
      <c r="CC1646" s="139" t="n"/>
      <c r="CD1646" s="204" t="n"/>
      <c r="CE1646" s="204" t="n"/>
      <c r="CF1646" s="207" t="n"/>
      <c r="CG1646" s="208" t="n"/>
      <c r="CH1646" s="207" t="n"/>
      <c r="CI1646" s="208" t="n"/>
      <c r="CJ1646" s="204" t="n"/>
      <c r="CK1646" s="208" t="n"/>
      <c r="CL1646" s="208" t="n"/>
      <c r="CM1646" s="208" t="n"/>
      <c r="CN1646" s="78" t="n"/>
      <c r="CO1646" s="209" t="n"/>
      <c r="CP1646" s="204" t="n"/>
      <c r="CQ1646" s="204" t="n"/>
      <c r="CR1646" s="204" t="n"/>
      <c r="CS1646" s="204" t="n"/>
      <c r="CT1646" s="204" t="n"/>
      <c r="CU1646" s="204" t="n"/>
      <c r="CV1646" s="204" t="n"/>
      <c r="CW1646" s="204" t="n"/>
    </row>
    <row r="1647">
      <c r="BF1647" s="78" t="n"/>
      <c r="BG1647" s="78" t="n"/>
      <c r="BH1647" s="78" t="n"/>
      <c r="BI1647" s="78" t="n"/>
      <c r="BJ1647" s="139" t="n"/>
      <c r="BK1647" s="204" t="n"/>
      <c r="BL1647" s="141" t="n"/>
      <c r="BM1647" s="205" t="n"/>
      <c r="BN1647" s="205" t="n"/>
      <c r="BO1647" s="206" t="n"/>
      <c r="BP1647" s="144" t="n"/>
      <c r="BQ1647" s="141" t="n"/>
      <c r="BR1647" s="207" t="n"/>
      <c r="BS1647" s="207" t="n"/>
      <c r="BT1647" s="207" t="n"/>
      <c r="BU1647" s="207" t="n"/>
      <c r="BV1647" s="208" t="n"/>
      <c r="BW1647" s="207" t="n"/>
      <c r="BX1647" s="207" t="n"/>
      <c r="BY1647" s="204" t="n"/>
      <c r="BZ1647" s="148" t="n"/>
      <c r="CA1647" s="204" t="n"/>
      <c r="CB1647" s="208" t="n"/>
      <c r="CC1647" s="139" t="n"/>
      <c r="CD1647" s="204" t="n"/>
      <c r="CE1647" s="204" t="n"/>
      <c r="CF1647" s="207" t="n"/>
      <c r="CG1647" s="208" t="n"/>
      <c r="CH1647" s="207" t="n"/>
      <c r="CI1647" s="208" t="n"/>
      <c r="CJ1647" s="204" t="n"/>
      <c r="CK1647" s="208" t="n"/>
      <c r="CL1647" s="208" t="n"/>
      <c r="CM1647" s="208" t="n"/>
      <c r="CN1647" s="78" t="n"/>
      <c r="CO1647" s="209" t="n"/>
      <c r="CP1647" s="204" t="n"/>
      <c r="CQ1647" s="204" t="n"/>
      <c r="CR1647" s="204" t="n"/>
      <c r="CS1647" s="204" t="n"/>
      <c r="CT1647" s="204" t="n"/>
      <c r="CU1647" s="204" t="n"/>
      <c r="CV1647" s="204" t="n"/>
      <c r="CW1647" s="204" t="n"/>
    </row>
    <row r="1648">
      <c r="BF1648" s="78" t="n"/>
      <c r="BG1648" s="78" t="n"/>
      <c r="BH1648" s="78" t="n"/>
      <c r="BI1648" s="78" t="n"/>
      <c r="BJ1648" s="139" t="n"/>
      <c r="BK1648" s="204" t="n"/>
      <c r="BL1648" s="141" t="n"/>
      <c r="BM1648" s="205" t="n"/>
      <c r="BN1648" s="205" t="n"/>
      <c r="BO1648" s="206" t="n"/>
      <c r="BP1648" s="144" t="n"/>
      <c r="BQ1648" s="141" t="n"/>
      <c r="BR1648" s="207" t="n"/>
      <c r="BS1648" s="207" t="n"/>
      <c r="BT1648" s="207" t="n"/>
      <c r="BU1648" s="207" t="n"/>
      <c r="BV1648" s="208" t="n"/>
      <c r="BW1648" s="207" t="n"/>
      <c r="BX1648" s="207" t="n"/>
      <c r="BY1648" s="204" t="n"/>
      <c r="BZ1648" s="148" t="n"/>
      <c r="CA1648" s="204" t="n"/>
      <c r="CB1648" s="208" t="n"/>
      <c r="CC1648" s="139" t="n"/>
      <c r="CD1648" s="204" t="n"/>
      <c r="CE1648" s="204" t="n"/>
      <c r="CF1648" s="207" t="n"/>
      <c r="CG1648" s="208" t="n"/>
      <c r="CH1648" s="207" t="n"/>
      <c r="CI1648" s="208" t="n"/>
      <c r="CJ1648" s="204" t="n"/>
      <c r="CK1648" s="208" t="n"/>
      <c r="CL1648" s="208" t="n"/>
      <c r="CM1648" s="208" t="n"/>
      <c r="CN1648" s="78" t="n"/>
      <c r="CO1648" s="209" t="n"/>
      <c r="CP1648" s="204" t="n"/>
      <c r="CQ1648" s="204" t="n"/>
      <c r="CR1648" s="204" t="n"/>
      <c r="CS1648" s="204" t="n"/>
      <c r="CT1648" s="204" t="n"/>
      <c r="CU1648" s="204" t="n"/>
      <c r="CV1648" s="204" t="n"/>
      <c r="CW1648" s="204" t="n"/>
    </row>
    <row r="1649">
      <c r="AF1649" s="158" t="n"/>
      <c r="BF1649" s="78" t="n"/>
      <c r="BG1649" s="78" t="n"/>
      <c r="BH1649" s="78" t="n"/>
      <c r="BI1649" s="78" t="n"/>
      <c r="BJ1649" s="139" t="n"/>
      <c r="BK1649" s="204" t="n"/>
      <c r="BL1649" s="141" t="n"/>
      <c r="BM1649" s="205" t="n"/>
      <c r="BN1649" s="205" t="n"/>
      <c r="BO1649" s="206" t="n"/>
      <c r="BP1649" s="144" t="n"/>
      <c r="BQ1649" s="141" t="n"/>
      <c r="BR1649" s="207" t="n"/>
      <c r="BS1649" s="207" t="n"/>
      <c r="BT1649" s="207" t="n"/>
      <c r="BU1649" s="207" t="n"/>
      <c r="BV1649" s="208" t="n"/>
      <c r="BW1649" s="207" t="n"/>
      <c r="BX1649" s="207" t="n"/>
      <c r="BY1649" s="204" t="n"/>
      <c r="BZ1649" s="148" t="n"/>
      <c r="CA1649" s="204" t="n"/>
      <c r="CB1649" s="208" t="n"/>
      <c r="CC1649" s="139" t="n"/>
      <c r="CD1649" s="204" t="n"/>
      <c r="CE1649" s="204" t="n"/>
      <c r="CF1649" s="207" t="n"/>
      <c r="CG1649" s="208" t="n"/>
      <c r="CH1649" s="207" t="n"/>
      <c r="CI1649" s="208" t="n"/>
      <c r="CJ1649" s="204" t="n"/>
      <c r="CK1649" s="208" t="n"/>
      <c r="CL1649" s="208" t="n"/>
      <c r="CM1649" s="208" t="n"/>
      <c r="CN1649" s="78" t="n"/>
      <c r="CO1649" s="209" t="n"/>
      <c r="CP1649" s="204" t="n"/>
      <c r="CQ1649" s="204" t="n"/>
      <c r="CR1649" s="204" t="n"/>
      <c r="CS1649" s="204" t="n"/>
      <c r="CT1649" s="204" t="n"/>
      <c r="CU1649" s="204" t="n"/>
      <c r="CV1649" s="204" t="n"/>
      <c r="CW1649" s="204" t="n"/>
    </row>
    <row r="1650">
      <c r="AF1650" s="158" t="n"/>
      <c r="BF1650" s="78" t="n"/>
      <c r="BG1650" s="78" t="n"/>
      <c r="BH1650" s="78" t="n"/>
      <c r="BI1650" s="78" t="n"/>
      <c r="BJ1650" s="139" t="n"/>
      <c r="BK1650" s="204" t="n"/>
      <c r="BL1650" s="141" t="n"/>
      <c r="BM1650" s="205" t="n"/>
      <c r="BN1650" s="205" t="n"/>
      <c r="BO1650" s="206" t="n"/>
      <c r="BP1650" s="144" t="n"/>
      <c r="BQ1650" s="141" t="n"/>
      <c r="BR1650" s="207" t="n"/>
      <c r="BS1650" s="207" t="n"/>
      <c r="BT1650" s="207" t="n"/>
      <c r="BU1650" s="207" t="n"/>
      <c r="BV1650" s="208" t="n"/>
      <c r="BW1650" s="207" t="n"/>
      <c r="BX1650" s="207" t="n"/>
      <c r="BY1650" s="204" t="n"/>
      <c r="BZ1650" s="148" t="n"/>
      <c r="CA1650" s="204" t="n"/>
      <c r="CB1650" s="208" t="n"/>
      <c r="CC1650" s="139" t="n"/>
      <c r="CD1650" s="204" t="n"/>
      <c r="CE1650" s="204" t="n"/>
      <c r="CF1650" s="207" t="n"/>
      <c r="CG1650" s="208" t="n"/>
      <c r="CH1650" s="207" t="n"/>
      <c r="CI1650" s="208" t="n"/>
      <c r="CJ1650" s="204" t="n"/>
      <c r="CK1650" s="208" t="n"/>
      <c r="CL1650" s="208" t="n"/>
      <c r="CM1650" s="208" t="n"/>
      <c r="CN1650" s="78" t="n"/>
      <c r="CO1650" s="209" t="n"/>
      <c r="CP1650" s="204" t="n"/>
      <c r="CQ1650" s="204" t="n"/>
      <c r="CR1650" s="204" t="n"/>
      <c r="CS1650" s="204" t="n"/>
      <c r="CT1650" s="204" t="n"/>
      <c r="CU1650" s="204" t="n"/>
      <c r="CV1650" s="204" t="n"/>
      <c r="CW1650" s="204" t="n"/>
    </row>
    <row r="1651">
      <c r="BF1651" s="78" t="n"/>
      <c r="BG1651" s="78" t="n"/>
      <c r="BH1651" s="78" t="n"/>
      <c r="BI1651" s="78" t="n"/>
      <c r="BJ1651" s="139" t="n"/>
      <c r="BK1651" s="204" t="n"/>
      <c r="BL1651" s="141" t="n"/>
      <c r="BM1651" s="205" t="n"/>
      <c r="BN1651" s="205" t="n"/>
      <c r="BO1651" s="206" t="n"/>
      <c r="BP1651" s="144" t="n"/>
      <c r="BQ1651" s="141" t="n"/>
      <c r="BR1651" s="207" t="n"/>
      <c r="BS1651" s="207" t="n"/>
      <c r="BT1651" s="207" t="n"/>
      <c r="BU1651" s="207" t="n"/>
      <c r="BV1651" s="208" t="n"/>
      <c r="BW1651" s="207" t="n"/>
      <c r="BX1651" s="207" t="n"/>
      <c r="BY1651" s="204" t="n"/>
      <c r="BZ1651" s="148" t="n"/>
      <c r="CA1651" s="204" t="n"/>
      <c r="CB1651" s="208" t="n"/>
      <c r="CC1651" s="139" t="n"/>
      <c r="CD1651" s="204" t="n"/>
      <c r="CE1651" s="204" t="n"/>
      <c r="CF1651" s="207" t="n"/>
      <c r="CG1651" s="208" t="n"/>
      <c r="CH1651" s="207" t="n"/>
      <c r="CI1651" s="208" t="n"/>
      <c r="CJ1651" s="204" t="n"/>
      <c r="CK1651" s="208" t="n"/>
      <c r="CL1651" s="208" t="n"/>
      <c r="CM1651" s="208" t="n"/>
      <c r="CN1651" s="78" t="n"/>
      <c r="CO1651" s="209" t="n"/>
      <c r="CP1651" s="204" t="n"/>
      <c r="CQ1651" s="204" t="n"/>
      <c r="CR1651" s="204" t="n"/>
      <c r="CS1651" s="204" t="n"/>
      <c r="CT1651" s="204" t="n"/>
      <c r="CU1651" s="204" t="n"/>
      <c r="CV1651" s="204" t="n"/>
      <c r="CW1651" s="204" t="n"/>
    </row>
    <row r="1652">
      <c r="BF1652" s="78" t="n"/>
      <c r="BG1652" s="78" t="n"/>
      <c r="BH1652" s="78" t="n"/>
      <c r="BI1652" s="78" t="n"/>
      <c r="BJ1652" s="139" t="n"/>
      <c r="BK1652" s="204" t="n"/>
      <c r="BL1652" s="141" t="n"/>
      <c r="BM1652" s="205" t="n"/>
      <c r="BN1652" s="205" t="n"/>
      <c r="BO1652" s="206" t="n"/>
      <c r="BP1652" s="144" t="n"/>
      <c r="BQ1652" s="141" t="n"/>
      <c r="BR1652" s="207" t="n"/>
      <c r="BS1652" s="207" t="n"/>
      <c r="BT1652" s="207" t="n"/>
      <c r="BU1652" s="207" t="n"/>
      <c r="BV1652" s="208" t="n"/>
      <c r="BW1652" s="207" t="n"/>
      <c r="BX1652" s="207" t="n"/>
      <c r="BY1652" s="204" t="n"/>
      <c r="BZ1652" s="148" t="n"/>
      <c r="CA1652" s="204" t="n"/>
      <c r="CB1652" s="208" t="n"/>
      <c r="CC1652" s="139" t="n"/>
      <c r="CD1652" s="204" t="n"/>
      <c r="CE1652" s="204" t="n"/>
      <c r="CF1652" s="207" t="n"/>
      <c r="CG1652" s="208" t="n"/>
      <c r="CH1652" s="207" t="n"/>
      <c r="CI1652" s="208" t="n"/>
      <c r="CJ1652" s="204" t="n"/>
      <c r="CK1652" s="208" t="n"/>
      <c r="CL1652" s="208" t="n"/>
      <c r="CM1652" s="208" t="n"/>
      <c r="CN1652" s="78" t="n"/>
      <c r="CO1652" s="209" t="n"/>
      <c r="CP1652" s="204" t="n"/>
      <c r="CQ1652" s="204" t="n"/>
      <c r="CR1652" s="204" t="n"/>
      <c r="CS1652" s="204" t="n"/>
      <c r="CT1652" s="204" t="n"/>
      <c r="CU1652" s="204" t="n"/>
      <c r="CV1652" s="204" t="n"/>
      <c r="CW1652" s="204" t="n"/>
    </row>
    <row r="1653">
      <c r="BF1653" s="78" t="n"/>
      <c r="BG1653" s="78" t="n"/>
      <c r="BH1653" s="78" t="n"/>
      <c r="BI1653" s="78" t="n"/>
      <c r="BJ1653" s="139" t="n"/>
      <c r="BK1653" s="204" t="n"/>
      <c r="BL1653" s="141" t="n"/>
      <c r="BM1653" s="205" t="n"/>
      <c r="BN1653" s="205" t="n"/>
      <c r="BO1653" s="206" t="n"/>
      <c r="BP1653" s="144" t="n"/>
      <c r="BQ1653" s="141" t="n"/>
      <c r="BR1653" s="207" t="n"/>
      <c r="BS1653" s="207" t="n"/>
      <c r="BT1653" s="207" t="n"/>
      <c r="BU1653" s="207" t="n"/>
      <c r="BV1653" s="208" t="n"/>
      <c r="BW1653" s="207" t="n"/>
      <c r="BX1653" s="207" t="n"/>
      <c r="BY1653" s="204" t="n"/>
      <c r="BZ1653" s="148" t="n"/>
      <c r="CA1653" s="204" t="n"/>
      <c r="CB1653" s="208" t="n"/>
      <c r="CC1653" s="139" t="n"/>
      <c r="CD1653" s="204" t="n"/>
      <c r="CE1653" s="204" t="n"/>
      <c r="CF1653" s="207" t="n"/>
      <c r="CG1653" s="208" t="n"/>
      <c r="CH1653" s="207" t="n"/>
      <c r="CI1653" s="208" t="n"/>
      <c r="CJ1653" s="204" t="n"/>
      <c r="CK1653" s="208" t="n"/>
      <c r="CL1653" s="208" t="n"/>
      <c r="CM1653" s="208" t="n"/>
      <c r="CN1653" s="78" t="n"/>
      <c r="CO1653" s="209" t="n"/>
      <c r="CP1653" s="204" t="n"/>
      <c r="CQ1653" s="204" t="n"/>
      <c r="CR1653" s="204" t="n"/>
      <c r="CS1653" s="204" t="n"/>
      <c r="CT1653" s="204" t="n"/>
      <c r="CU1653" s="204" t="n"/>
      <c r="CV1653" s="204" t="n"/>
      <c r="CW1653" s="204" t="n"/>
    </row>
    <row r="1654">
      <c r="AF1654" s="158" t="n"/>
      <c r="BF1654" s="78" t="n"/>
      <c r="BG1654" s="78" t="n"/>
      <c r="BH1654" s="78" t="n"/>
      <c r="BI1654" s="78" t="n"/>
      <c r="BJ1654" s="139" t="n"/>
      <c r="BK1654" s="204" t="n"/>
      <c r="BL1654" s="141" t="n"/>
      <c r="BM1654" s="205" t="n"/>
      <c r="BN1654" s="205" t="n"/>
      <c r="BO1654" s="206" t="n"/>
      <c r="BP1654" s="144" t="n"/>
      <c r="BQ1654" s="141" t="n"/>
      <c r="BR1654" s="207" t="n"/>
      <c r="BS1654" s="207" t="n"/>
      <c r="BT1654" s="207" t="n"/>
      <c r="BU1654" s="207" t="n"/>
      <c r="BV1654" s="208" t="n"/>
      <c r="BW1654" s="207" t="n"/>
      <c r="BX1654" s="207" t="n"/>
      <c r="BY1654" s="204" t="n"/>
      <c r="BZ1654" s="148" t="n"/>
      <c r="CA1654" s="204" t="n"/>
      <c r="CB1654" s="208" t="n"/>
      <c r="CC1654" s="139" t="n"/>
      <c r="CD1654" s="204" t="n"/>
      <c r="CE1654" s="204" t="n"/>
      <c r="CF1654" s="207" t="n"/>
      <c r="CG1654" s="208" t="n"/>
      <c r="CH1654" s="207" t="n"/>
      <c r="CI1654" s="208" t="n"/>
      <c r="CJ1654" s="204" t="n"/>
      <c r="CK1654" s="208" t="n"/>
      <c r="CL1654" s="208" t="n"/>
      <c r="CM1654" s="208" t="n"/>
      <c r="CN1654" s="78" t="n"/>
      <c r="CO1654" s="209" t="n"/>
      <c r="CP1654" s="204" t="n"/>
      <c r="CQ1654" s="204" t="n"/>
      <c r="CR1654" s="204" t="n"/>
      <c r="CS1654" s="204" t="n"/>
      <c r="CT1654" s="204" t="n"/>
      <c r="CU1654" s="204" t="n"/>
      <c r="CV1654" s="204" t="n"/>
      <c r="CW1654" s="204" t="n"/>
    </row>
    <row r="1655">
      <c r="BF1655" s="78" t="n"/>
      <c r="BG1655" s="78" t="n"/>
      <c r="BH1655" s="78" t="n"/>
      <c r="BI1655" s="78" t="n"/>
      <c r="BJ1655" s="139" t="n"/>
      <c r="BK1655" s="204" t="n"/>
      <c r="BL1655" s="141" t="n"/>
      <c r="BM1655" s="205" t="n"/>
      <c r="BN1655" s="205" t="n"/>
      <c r="BO1655" s="206" t="n"/>
      <c r="BP1655" s="144" t="n"/>
      <c r="BQ1655" s="141" t="n"/>
      <c r="BR1655" s="207" t="n"/>
      <c r="BS1655" s="207" t="n"/>
      <c r="BT1655" s="207" t="n"/>
      <c r="BU1655" s="207" t="n"/>
      <c r="BV1655" s="208" t="n"/>
      <c r="BW1655" s="207" t="n"/>
      <c r="BX1655" s="207" t="n"/>
      <c r="BY1655" s="204" t="n"/>
      <c r="BZ1655" s="148" t="n"/>
      <c r="CA1655" s="204" t="n"/>
      <c r="CB1655" s="208" t="n"/>
      <c r="CC1655" s="139" t="n"/>
      <c r="CD1655" s="204" t="n"/>
      <c r="CE1655" s="204" t="n"/>
      <c r="CF1655" s="207" t="n"/>
      <c r="CG1655" s="208" t="n"/>
      <c r="CH1655" s="207" t="n"/>
      <c r="CI1655" s="208" t="n"/>
      <c r="CJ1655" s="204" t="n"/>
      <c r="CK1655" s="208" t="n"/>
      <c r="CL1655" s="208" t="n"/>
      <c r="CM1655" s="208" t="n"/>
      <c r="CN1655" s="78" t="n"/>
      <c r="CO1655" s="209" t="n"/>
      <c r="CP1655" s="204" t="n"/>
      <c r="CQ1655" s="204" t="n"/>
      <c r="CR1655" s="204" t="n"/>
      <c r="CS1655" s="204" t="n"/>
      <c r="CT1655" s="204" t="n"/>
      <c r="CU1655" s="204" t="n"/>
      <c r="CV1655" s="204" t="n"/>
      <c r="CW1655" s="204" t="n"/>
    </row>
    <row r="1656">
      <c r="BF1656" s="78" t="n"/>
      <c r="BG1656" s="78" t="n"/>
      <c r="BH1656" s="78" t="n"/>
      <c r="BI1656" s="78" t="n"/>
      <c r="BJ1656" s="139" t="n"/>
      <c r="BK1656" s="204" t="n"/>
      <c r="BL1656" s="141" t="n"/>
      <c r="BM1656" s="205" t="n"/>
      <c r="BN1656" s="205" t="n"/>
      <c r="BO1656" s="206" t="n"/>
      <c r="BP1656" s="144" t="n"/>
      <c r="BQ1656" s="141" t="n"/>
      <c r="BR1656" s="207" t="n"/>
      <c r="BS1656" s="207" t="n"/>
      <c r="BT1656" s="207" t="n"/>
      <c r="BU1656" s="207" t="n"/>
      <c r="BV1656" s="208" t="n"/>
      <c r="BW1656" s="207" t="n"/>
      <c r="BX1656" s="207" t="n"/>
      <c r="BY1656" s="204" t="n"/>
      <c r="BZ1656" s="148" t="n"/>
      <c r="CA1656" s="204" t="n"/>
      <c r="CB1656" s="208" t="n"/>
      <c r="CC1656" s="139" t="n"/>
      <c r="CD1656" s="204" t="n"/>
      <c r="CE1656" s="204" t="n"/>
      <c r="CF1656" s="207" t="n"/>
      <c r="CG1656" s="208" t="n"/>
      <c r="CH1656" s="207" t="n"/>
      <c r="CI1656" s="208" t="n"/>
      <c r="CJ1656" s="204" t="n"/>
      <c r="CK1656" s="208" t="n"/>
      <c r="CL1656" s="208" t="n"/>
      <c r="CM1656" s="208" t="n"/>
      <c r="CN1656" s="78" t="n"/>
      <c r="CO1656" s="209" t="n"/>
      <c r="CP1656" s="204" t="n"/>
      <c r="CQ1656" s="204" t="n"/>
      <c r="CR1656" s="204" t="n"/>
      <c r="CS1656" s="204" t="n"/>
      <c r="CT1656" s="204" t="n"/>
      <c r="CU1656" s="204" t="n"/>
      <c r="CV1656" s="204" t="n"/>
      <c r="CW1656" s="204" t="n"/>
    </row>
    <row r="1657">
      <c r="BF1657" s="78" t="n"/>
      <c r="BG1657" s="78" t="n"/>
      <c r="BH1657" s="78" t="n"/>
      <c r="BI1657" s="78" t="n"/>
      <c r="BJ1657" s="139" t="n"/>
      <c r="BK1657" s="204" t="n"/>
      <c r="BL1657" s="141" t="n"/>
      <c r="BM1657" s="205" t="n"/>
      <c r="BN1657" s="205" t="n"/>
      <c r="BO1657" s="206" t="n"/>
      <c r="BP1657" s="144" t="n"/>
      <c r="BQ1657" s="141" t="n"/>
      <c r="BR1657" s="207" t="n"/>
      <c r="BS1657" s="207" t="n"/>
      <c r="BT1657" s="207" t="n"/>
      <c r="BU1657" s="207" t="n"/>
      <c r="BV1657" s="208" t="n"/>
      <c r="BW1657" s="207" t="n"/>
      <c r="BX1657" s="207" t="n"/>
      <c r="BY1657" s="204" t="n"/>
      <c r="BZ1657" s="148" t="n"/>
      <c r="CA1657" s="204" t="n"/>
      <c r="CB1657" s="208" t="n"/>
      <c r="CC1657" s="139" t="n"/>
      <c r="CD1657" s="204" t="n"/>
      <c r="CE1657" s="204" t="n"/>
      <c r="CF1657" s="207" t="n"/>
      <c r="CG1657" s="208" t="n"/>
      <c r="CH1657" s="207" t="n"/>
      <c r="CI1657" s="208" t="n"/>
      <c r="CJ1657" s="204" t="n"/>
      <c r="CK1657" s="208" t="n"/>
      <c r="CL1657" s="208" t="n"/>
      <c r="CM1657" s="208" t="n"/>
      <c r="CN1657" s="78" t="n"/>
      <c r="CO1657" s="209" t="n"/>
      <c r="CP1657" s="204" t="n"/>
      <c r="CQ1657" s="204" t="n"/>
      <c r="CR1657" s="204" t="n"/>
      <c r="CS1657" s="204" t="n"/>
      <c r="CT1657" s="204" t="n"/>
      <c r="CU1657" s="204" t="n"/>
      <c r="CV1657" s="204" t="n"/>
      <c r="CW1657" s="204" t="n"/>
    </row>
    <row r="1658">
      <c r="AF1658" s="158" t="n"/>
      <c r="BF1658" s="78" t="n"/>
      <c r="BG1658" s="78" t="n"/>
      <c r="BH1658" s="78" t="n"/>
      <c r="BI1658" s="78" t="n"/>
      <c r="BJ1658" s="139" t="n"/>
      <c r="BK1658" s="204" t="n"/>
      <c r="BL1658" s="141" t="n"/>
      <c r="BM1658" s="205" t="n"/>
      <c r="BN1658" s="205" t="n"/>
      <c r="BO1658" s="206" t="n"/>
      <c r="BP1658" s="144" t="n"/>
      <c r="BQ1658" s="141" t="n"/>
      <c r="BR1658" s="207" t="n"/>
      <c r="BS1658" s="207" t="n"/>
      <c r="BT1658" s="207" t="n"/>
      <c r="BU1658" s="207" t="n"/>
      <c r="BV1658" s="208" t="n"/>
      <c r="BW1658" s="207" t="n"/>
      <c r="BX1658" s="207" t="n"/>
      <c r="BY1658" s="204" t="n"/>
      <c r="BZ1658" s="148" t="n"/>
      <c r="CA1658" s="204" t="n"/>
      <c r="CB1658" s="208" t="n"/>
      <c r="CC1658" s="139" t="n"/>
      <c r="CD1658" s="204" t="n"/>
      <c r="CE1658" s="204" t="n"/>
      <c r="CF1658" s="207" t="n"/>
      <c r="CG1658" s="208" t="n"/>
      <c r="CH1658" s="207" t="n"/>
      <c r="CI1658" s="208" t="n"/>
      <c r="CJ1658" s="204" t="n"/>
      <c r="CK1658" s="208" t="n"/>
      <c r="CL1658" s="208" t="n"/>
      <c r="CM1658" s="208" t="n"/>
      <c r="CN1658" s="78" t="n"/>
      <c r="CO1658" s="209" t="n"/>
      <c r="CP1658" s="204" t="n"/>
      <c r="CQ1658" s="204" t="n"/>
      <c r="CR1658" s="204" t="n"/>
      <c r="CS1658" s="204" t="n"/>
      <c r="CT1658" s="204" t="n"/>
      <c r="CU1658" s="204" t="n"/>
      <c r="CV1658" s="204" t="n"/>
      <c r="CW1658" s="204" t="n"/>
    </row>
    <row r="1659">
      <c r="AF1659" s="158" t="n"/>
      <c r="BF1659" s="78" t="n"/>
      <c r="BG1659" s="78" t="n"/>
      <c r="BH1659" s="78" t="n"/>
      <c r="BI1659" s="78" t="n"/>
      <c r="BJ1659" s="139" t="n"/>
      <c r="BK1659" s="204" t="n"/>
      <c r="BL1659" s="141" t="n"/>
      <c r="BM1659" s="205" t="n"/>
      <c r="BN1659" s="205" t="n"/>
      <c r="BO1659" s="206" t="n"/>
      <c r="BP1659" s="144" t="n"/>
      <c r="BQ1659" s="141" t="n"/>
      <c r="BR1659" s="207" t="n"/>
      <c r="BS1659" s="207" t="n"/>
      <c r="BT1659" s="207" t="n"/>
      <c r="BU1659" s="207" t="n"/>
      <c r="BV1659" s="208" t="n"/>
      <c r="BW1659" s="207" t="n"/>
      <c r="BX1659" s="207" t="n"/>
      <c r="BY1659" s="204" t="n"/>
      <c r="BZ1659" s="148" t="n"/>
      <c r="CA1659" s="204" t="n"/>
      <c r="CB1659" s="208" t="n"/>
      <c r="CC1659" s="139" t="n"/>
      <c r="CD1659" s="204" t="n"/>
      <c r="CE1659" s="204" t="n"/>
      <c r="CF1659" s="207" t="n"/>
      <c r="CG1659" s="208" t="n"/>
      <c r="CH1659" s="207" t="n"/>
      <c r="CI1659" s="208" t="n"/>
      <c r="CJ1659" s="204" t="n"/>
      <c r="CK1659" s="208" t="n"/>
      <c r="CL1659" s="208" t="n"/>
      <c r="CM1659" s="208" t="n"/>
      <c r="CN1659" s="78" t="n"/>
      <c r="CO1659" s="209" t="n"/>
      <c r="CP1659" s="204" t="n"/>
      <c r="CQ1659" s="204" t="n"/>
      <c r="CR1659" s="204" t="n"/>
      <c r="CS1659" s="204" t="n"/>
      <c r="CT1659" s="204" t="n"/>
      <c r="CU1659" s="204" t="n"/>
      <c r="CV1659" s="204" t="n"/>
      <c r="CW1659" s="204" t="n"/>
    </row>
    <row r="1660">
      <c r="AF1660" s="158" t="n"/>
      <c r="BF1660" s="78" t="n"/>
      <c r="BG1660" s="78" t="n"/>
      <c r="BH1660" s="78" t="n"/>
      <c r="BI1660" s="78" t="n"/>
      <c r="BJ1660" s="139" t="n"/>
      <c r="BK1660" s="204" t="n"/>
      <c r="BL1660" s="141" t="n"/>
      <c r="BM1660" s="205" t="n"/>
      <c r="BN1660" s="205" t="n"/>
      <c r="BO1660" s="206" t="n"/>
      <c r="BP1660" s="144" t="n"/>
      <c r="BQ1660" s="141" t="n"/>
      <c r="BR1660" s="207" t="n"/>
      <c r="BS1660" s="207" t="n"/>
      <c r="BT1660" s="207" t="n"/>
      <c r="BU1660" s="207" t="n"/>
      <c r="BV1660" s="208" t="n"/>
      <c r="BW1660" s="207" t="n"/>
      <c r="BX1660" s="207" t="n"/>
      <c r="BY1660" s="204" t="n"/>
      <c r="BZ1660" s="148" t="n"/>
      <c r="CA1660" s="204" t="n"/>
      <c r="CB1660" s="208" t="n"/>
      <c r="CC1660" s="139" t="n"/>
      <c r="CD1660" s="204" t="n"/>
      <c r="CE1660" s="204" t="n"/>
      <c r="CF1660" s="207" t="n"/>
      <c r="CG1660" s="208" t="n"/>
      <c r="CH1660" s="207" t="n"/>
      <c r="CI1660" s="208" t="n"/>
      <c r="CJ1660" s="204" t="n"/>
      <c r="CK1660" s="208" t="n"/>
      <c r="CL1660" s="208" t="n"/>
      <c r="CM1660" s="208" t="n"/>
      <c r="CN1660" s="78" t="n"/>
      <c r="CO1660" s="209" t="n"/>
      <c r="CP1660" s="204" t="n"/>
      <c r="CQ1660" s="204" t="n"/>
      <c r="CR1660" s="204" t="n"/>
      <c r="CS1660" s="204" t="n"/>
      <c r="CT1660" s="204" t="n"/>
      <c r="CU1660" s="204" t="n"/>
      <c r="CV1660" s="204" t="n"/>
      <c r="CW1660" s="204" t="n"/>
    </row>
    <row r="1661">
      <c r="BF1661" s="78" t="n"/>
      <c r="BG1661" s="78" t="n"/>
      <c r="BH1661" s="78" t="n"/>
      <c r="BI1661" s="78" t="n"/>
      <c r="BJ1661" s="139" t="n"/>
      <c r="BK1661" s="204" t="n"/>
      <c r="BL1661" s="141" t="n"/>
      <c r="BM1661" s="205" t="n"/>
      <c r="BN1661" s="205" t="n"/>
      <c r="BO1661" s="206" t="n"/>
      <c r="BP1661" s="144" t="n"/>
      <c r="BQ1661" s="141" t="n"/>
      <c r="BR1661" s="207" t="n"/>
      <c r="BS1661" s="207" t="n"/>
      <c r="BT1661" s="207" t="n"/>
      <c r="BU1661" s="207" t="n"/>
      <c r="BV1661" s="208" t="n"/>
      <c r="BW1661" s="207" t="n"/>
      <c r="BX1661" s="207" t="n"/>
      <c r="BY1661" s="204" t="n"/>
      <c r="BZ1661" s="148" t="n"/>
      <c r="CA1661" s="204" t="n"/>
      <c r="CB1661" s="208" t="n"/>
      <c r="CC1661" s="139" t="n"/>
      <c r="CD1661" s="204" t="n"/>
      <c r="CE1661" s="204" t="n"/>
      <c r="CF1661" s="207" t="n"/>
      <c r="CG1661" s="208" t="n"/>
      <c r="CH1661" s="207" t="n"/>
      <c r="CI1661" s="208" t="n"/>
      <c r="CJ1661" s="204" t="n"/>
      <c r="CK1661" s="208" t="n"/>
      <c r="CL1661" s="208" t="n"/>
      <c r="CM1661" s="208" t="n"/>
      <c r="CN1661" s="78" t="n"/>
      <c r="CO1661" s="209" t="n"/>
      <c r="CP1661" s="204" t="n"/>
      <c r="CQ1661" s="204" t="n"/>
      <c r="CR1661" s="204" t="n"/>
      <c r="CS1661" s="204" t="n"/>
      <c r="CT1661" s="204" t="n"/>
      <c r="CU1661" s="204" t="n"/>
      <c r="CV1661" s="204" t="n"/>
      <c r="CW1661" s="204" t="n"/>
    </row>
    <row r="1662">
      <c r="AF1662" s="158" t="n"/>
      <c r="BF1662" s="78" t="n"/>
      <c r="BG1662" s="78" t="n"/>
      <c r="BH1662" s="78" t="n"/>
      <c r="BI1662" s="78" t="n"/>
      <c r="BJ1662" s="139" t="n"/>
      <c r="BK1662" s="204" t="n"/>
      <c r="BL1662" s="141" t="n"/>
      <c r="BM1662" s="205" t="n"/>
      <c r="BN1662" s="205" t="n"/>
      <c r="BO1662" s="206" t="n"/>
      <c r="BP1662" s="144" t="n"/>
      <c r="BQ1662" s="141" t="n"/>
      <c r="BR1662" s="207" t="n"/>
      <c r="BS1662" s="207" t="n"/>
      <c r="BT1662" s="207" t="n"/>
      <c r="BU1662" s="207" t="n"/>
      <c r="BV1662" s="208" t="n"/>
      <c r="BW1662" s="207" t="n"/>
      <c r="BX1662" s="207" t="n"/>
      <c r="BY1662" s="204" t="n"/>
      <c r="BZ1662" s="148" t="n"/>
      <c r="CA1662" s="204" t="n"/>
      <c r="CB1662" s="208" t="n"/>
      <c r="CC1662" s="139" t="n"/>
      <c r="CD1662" s="204" t="n"/>
      <c r="CE1662" s="204" t="n"/>
      <c r="CF1662" s="207" t="n"/>
      <c r="CG1662" s="208" t="n"/>
      <c r="CH1662" s="207" t="n"/>
      <c r="CI1662" s="208" t="n"/>
      <c r="CJ1662" s="204" t="n"/>
      <c r="CK1662" s="208" t="n"/>
      <c r="CL1662" s="208" t="n"/>
      <c r="CM1662" s="208" t="n"/>
      <c r="CN1662" s="78" t="n"/>
      <c r="CO1662" s="209" t="n"/>
      <c r="CP1662" s="204" t="n"/>
      <c r="CQ1662" s="204" t="n"/>
      <c r="CR1662" s="204" t="n"/>
      <c r="CS1662" s="204" t="n"/>
      <c r="CT1662" s="204" t="n"/>
      <c r="CU1662" s="204" t="n"/>
      <c r="CV1662" s="204" t="n"/>
      <c r="CW1662" s="204" t="n"/>
    </row>
    <row r="1663">
      <c r="AF1663" s="158" t="n"/>
      <c r="BF1663" s="78" t="n"/>
      <c r="BG1663" s="78" t="n"/>
      <c r="BH1663" s="78" t="n"/>
      <c r="BI1663" s="78" t="n"/>
      <c r="BJ1663" s="139" t="n"/>
      <c r="BK1663" s="204" t="n"/>
      <c r="BL1663" s="141" t="n"/>
      <c r="BM1663" s="205" t="n"/>
      <c r="BN1663" s="205" t="n"/>
      <c r="BO1663" s="206" t="n"/>
      <c r="BP1663" s="144" t="n"/>
      <c r="BQ1663" s="141" t="n"/>
      <c r="BR1663" s="207" t="n"/>
      <c r="BS1663" s="207" t="n"/>
      <c r="BT1663" s="207" t="n"/>
      <c r="BU1663" s="207" t="n"/>
      <c r="BV1663" s="208" t="n"/>
      <c r="BW1663" s="207" t="n"/>
      <c r="BX1663" s="207" t="n"/>
      <c r="BY1663" s="204" t="n"/>
      <c r="BZ1663" s="148" t="n"/>
      <c r="CA1663" s="204" t="n"/>
      <c r="CB1663" s="208" t="n"/>
      <c r="CC1663" s="139" t="n"/>
      <c r="CD1663" s="204" t="n"/>
      <c r="CE1663" s="204" t="n"/>
      <c r="CF1663" s="207" t="n"/>
      <c r="CG1663" s="208" t="n"/>
      <c r="CH1663" s="207" t="n"/>
      <c r="CI1663" s="208" t="n"/>
      <c r="CJ1663" s="204" t="n"/>
      <c r="CK1663" s="208" t="n"/>
      <c r="CL1663" s="208" t="n"/>
      <c r="CM1663" s="208" t="n"/>
      <c r="CN1663" s="78" t="n"/>
      <c r="CO1663" s="209" t="n"/>
      <c r="CP1663" s="204" t="n"/>
      <c r="CQ1663" s="204" t="n"/>
      <c r="CR1663" s="204" t="n"/>
      <c r="CS1663" s="204" t="n"/>
      <c r="CT1663" s="204" t="n"/>
      <c r="CU1663" s="204" t="n"/>
      <c r="CV1663" s="204" t="n"/>
      <c r="CW1663" s="204" t="n"/>
    </row>
    <row r="1664">
      <c r="BF1664" s="78" t="n"/>
      <c r="BG1664" s="78" t="n"/>
      <c r="BH1664" s="78" t="n"/>
      <c r="BI1664" s="78" t="n"/>
      <c r="BJ1664" s="139" t="n"/>
      <c r="BK1664" s="204" t="n"/>
      <c r="BL1664" s="141" t="n"/>
      <c r="BM1664" s="205" t="n"/>
      <c r="BN1664" s="205" t="n"/>
      <c r="BO1664" s="206" t="n"/>
      <c r="BP1664" s="144" t="n"/>
      <c r="BQ1664" s="141" t="n"/>
      <c r="BR1664" s="207" t="n"/>
      <c r="BS1664" s="207" t="n"/>
      <c r="BT1664" s="207" t="n"/>
      <c r="BU1664" s="207" t="n"/>
      <c r="BV1664" s="208" t="n"/>
      <c r="BW1664" s="207" t="n"/>
      <c r="BX1664" s="207" t="n"/>
      <c r="BY1664" s="204" t="n"/>
      <c r="BZ1664" s="148" t="n"/>
      <c r="CA1664" s="204" t="n"/>
      <c r="CB1664" s="208" t="n"/>
      <c r="CC1664" s="139" t="n"/>
      <c r="CD1664" s="204" t="n"/>
      <c r="CE1664" s="204" t="n"/>
      <c r="CF1664" s="207" t="n"/>
      <c r="CG1664" s="208" t="n"/>
      <c r="CH1664" s="207" t="n"/>
      <c r="CI1664" s="208" t="n"/>
      <c r="CJ1664" s="204" t="n"/>
      <c r="CK1664" s="208" t="n"/>
      <c r="CL1664" s="208" t="n"/>
      <c r="CM1664" s="208" t="n"/>
      <c r="CN1664" s="78" t="n"/>
      <c r="CO1664" s="209" t="n"/>
      <c r="CP1664" s="204" t="n"/>
      <c r="CQ1664" s="204" t="n"/>
      <c r="CR1664" s="204" t="n"/>
      <c r="CS1664" s="204" t="n"/>
      <c r="CT1664" s="204" t="n"/>
      <c r="CU1664" s="204" t="n"/>
      <c r="CV1664" s="204" t="n"/>
      <c r="CW1664" s="204" t="n"/>
    </row>
    <row r="1665">
      <c r="BF1665" s="78" t="n"/>
      <c r="BG1665" s="78" t="n"/>
      <c r="BH1665" s="78" t="n"/>
      <c r="BI1665" s="78" t="n"/>
      <c r="BJ1665" s="139" t="n"/>
      <c r="BK1665" s="204" t="n"/>
      <c r="BL1665" s="141" t="n"/>
      <c r="BM1665" s="205" t="n"/>
      <c r="BN1665" s="205" t="n"/>
      <c r="BO1665" s="206" t="n"/>
      <c r="BP1665" s="144" t="n"/>
      <c r="BQ1665" s="141" t="n"/>
      <c r="BR1665" s="207" t="n"/>
      <c r="BS1665" s="207" t="n"/>
      <c r="BT1665" s="207" t="n"/>
      <c r="BU1665" s="207" t="n"/>
      <c r="BV1665" s="208" t="n"/>
      <c r="BW1665" s="207" t="n"/>
      <c r="BX1665" s="207" t="n"/>
      <c r="BY1665" s="204" t="n"/>
      <c r="BZ1665" s="148" t="n"/>
      <c r="CA1665" s="204" t="n"/>
      <c r="CB1665" s="208" t="n"/>
      <c r="CC1665" s="139" t="n"/>
      <c r="CD1665" s="204" t="n"/>
      <c r="CE1665" s="204" t="n"/>
      <c r="CF1665" s="207" t="n"/>
      <c r="CG1665" s="208" t="n"/>
      <c r="CH1665" s="207" t="n"/>
      <c r="CI1665" s="208" t="n"/>
      <c r="CJ1665" s="204" t="n"/>
      <c r="CK1665" s="208" t="n"/>
      <c r="CL1665" s="208" t="n"/>
      <c r="CM1665" s="208" t="n"/>
      <c r="CN1665" s="78" t="n"/>
      <c r="CO1665" s="209" t="n"/>
      <c r="CP1665" s="204" t="n"/>
      <c r="CQ1665" s="204" t="n"/>
      <c r="CR1665" s="204" t="n"/>
      <c r="CS1665" s="204" t="n"/>
      <c r="CT1665" s="204" t="n"/>
      <c r="CU1665" s="204" t="n"/>
      <c r="CV1665" s="204" t="n"/>
      <c r="CW1665" s="204" t="n"/>
    </row>
    <row r="1666">
      <c r="AF1666" s="158" t="n"/>
      <c r="BF1666" s="78" t="n"/>
      <c r="BG1666" s="78" t="n"/>
      <c r="BH1666" s="78" t="n"/>
      <c r="BI1666" s="78" t="n"/>
      <c r="BJ1666" s="139" t="n"/>
      <c r="BK1666" s="204" t="n"/>
      <c r="BL1666" s="141" t="n"/>
      <c r="BM1666" s="205" t="n"/>
      <c r="BN1666" s="205" t="n"/>
      <c r="BO1666" s="206" t="n"/>
      <c r="BP1666" s="144" t="n"/>
      <c r="BQ1666" s="141" t="n"/>
      <c r="BR1666" s="207" t="n"/>
      <c r="BS1666" s="207" t="n"/>
      <c r="BT1666" s="207" t="n"/>
      <c r="BU1666" s="207" t="n"/>
      <c r="BV1666" s="208" t="n"/>
      <c r="BW1666" s="207" t="n"/>
      <c r="BX1666" s="207" t="n"/>
      <c r="BY1666" s="204" t="n"/>
      <c r="BZ1666" s="148" t="n"/>
      <c r="CA1666" s="204" t="n"/>
      <c r="CB1666" s="208" t="n"/>
      <c r="CC1666" s="139" t="n"/>
      <c r="CD1666" s="204" t="n"/>
      <c r="CE1666" s="204" t="n"/>
      <c r="CF1666" s="207" t="n"/>
      <c r="CG1666" s="208" t="n"/>
      <c r="CH1666" s="207" t="n"/>
      <c r="CI1666" s="208" t="n"/>
      <c r="CJ1666" s="204" t="n"/>
      <c r="CK1666" s="208" t="n"/>
      <c r="CL1666" s="208" t="n"/>
      <c r="CM1666" s="208" t="n"/>
      <c r="CN1666" s="78" t="n"/>
      <c r="CO1666" s="209" t="n"/>
      <c r="CP1666" s="204" t="n"/>
      <c r="CQ1666" s="204" t="n"/>
      <c r="CR1666" s="204" t="n"/>
      <c r="CS1666" s="204" t="n"/>
      <c r="CT1666" s="204" t="n"/>
      <c r="CU1666" s="204" t="n"/>
      <c r="CV1666" s="204" t="n"/>
      <c r="CW1666" s="204" t="n"/>
    </row>
    <row r="1667">
      <c r="BF1667" s="78" t="n"/>
      <c r="BG1667" s="78" t="n"/>
      <c r="BH1667" s="78" t="n"/>
      <c r="BI1667" s="78" t="n"/>
      <c r="BJ1667" s="139" t="n"/>
      <c r="BK1667" s="204" t="n"/>
      <c r="BL1667" s="141" t="n"/>
      <c r="BM1667" s="205" t="n"/>
      <c r="BN1667" s="205" t="n"/>
      <c r="BO1667" s="206" t="n"/>
      <c r="BP1667" s="144" t="n"/>
      <c r="BQ1667" s="141" t="n"/>
      <c r="BR1667" s="207" t="n"/>
      <c r="BS1667" s="207" t="n"/>
      <c r="BT1667" s="207" t="n"/>
      <c r="BU1667" s="207" t="n"/>
      <c r="BV1667" s="208" t="n"/>
      <c r="BW1667" s="207" t="n"/>
      <c r="BX1667" s="207" t="n"/>
      <c r="BY1667" s="204" t="n"/>
      <c r="BZ1667" s="148" t="n"/>
      <c r="CA1667" s="204" t="n"/>
      <c r="CB1667" s="208" t="n"/>
      <c r="CC1667" s="139" t="n"/>
      <c r="CD1667" s="204" t="n"/>
      <c r="CE1667" s="204" t="n"/>
      <c r="CF1667" s="207" t="n"/>
      <c r="CG1667" s="208" t="n"/>
      <c r="CH1667" s="207" t="n"/>
      <c r="CI1667" s="208" t="n"/>
      <c r="CJ1667" s="204" t="n"/>
      <c r="CK1667" s="208" t="n"/>
      <c r="CL1667" s="208" t="n"/>
      <c r="CM1667" s="208" t="n"/>
      <c r="CN1667" s="78" t="n"/>
      <c r="CO1667" s="209" t="n"/>
      <c r="CP1667" s="204" t="n"/>
      <c r="CQ1667" s="204" t="n"/>
      <c r="CR1667" s="204" t="n"/>
      <c r="CS1667" s="204" t="n"/>
      <c r="CT1667" s="204" t="n"/>
      <c r="CU1667" s="204" t="n"/>
      <c r="CV1667" s="204" t="n"/>
      <c r="CW1667" s="204" t="n"/>
    </row>
    <row r="1668">
      <c r="AF1668" s="158" t="n"/>
      <c r="BF1668" s="78" t="n"/>
      <c r="BG1668" s="78" t="n"/>
      <c r="BH1668" s="78" t="n"/>
      <c r="BI1668" s="78" t="n"/>
      <c r="BJ1668" s="139" t="n"/>
      <c r="BK1668" s="204" t="n"/>
      <c r="BL1668" s="141" t="n"/>
      <c r="BM1668" s="205" t="n"/>
      <c r="BN1668" s="205" t="n"/>
      <c r="BO1668" s="206" t="n"/>
      <c r="BP1668" s="144" t="n"/>
      <c r="BQ1668" s="141" t="n"/>
      <c r="BR1668" s="207" t="n"/>
      <c r="BS1668" s="207" t="n"/>
      <c r="BT1668" s="207" t="n"/>
      <c r="BU1668" s="207" t="n"/>
      <c r="BV1668" s="208" t="n"/>
      <c r="BW1668" s="207" t="n"/>
      <c r="BX1668" s="207" t="n"/>
      <c r="BY1668" s="204" t="n"/>
      <c r="BZ1668" s="148" t="n"/>
      <c r="CA1668" s="204" t="n"/>
      <c r="CB1668" s="208" t="n"/>
      <c r="CC1668" s="139" t="n"/>
      <c r="CD1668" s="204" t="n"/>
      <c r="CE1668" s="204" t="n"/>
      <c r="CF1668" s="207" t="n"/>
      <c r="CG1668" s="208" t="n"/>
      <c r="CH1668" s="207" t="n"/>
      <c r="CI1668" s="208" t="n"/>
      <c r="CJ1668" s="204" t="n"/>
      <c r="CK1668" s="208" t="n"/>
      <c r="CL1668" s="208" t="n"/>
      <c r="CM1668" s="208" t="n"/>
      <c r="CN1668" s="78" t="n"/>
      <c r="CO1668" s="209" t="n"/>
      <c r="CP1668" s="204" t="n"/>
      <c r="CQ1668" s="204" t="n"/>
      <c r="CR1668" s="204" t="n"/>
      <c r="CS1668" s="204" t="n"/>
      <c r="CT1668" s="204" t="n"/>
      <c r="CU1668" s="204" t="n"/>
      <c r="CV1668" s="204" t="n"/>
      <c r="CW1668" s="204" t="n"/>
    </row>
    <row r="1669">
      <c r="BF1669" s="78" t="n"/>
      <c r="BG1669" s="78" t="n"/>
      <c r="BH1669" s="78" t="n"/>
      <c r="BI1669" s="78" t="n"/>
      <c r="BJ1669" s="139" t="n"/>
      <c r="BK1669" s="204" t="n"/>
      <c r="BL1669" s="141" t="n"/>
      <c r="BM1669" s="205" t="n"/>
      <c r="BN1669" s="205" t="n"/>
      <c r="BO1669" s="206" t="n"/>
      <c r="BP1669" s="144" t="n"/>
      <c r="BQ1669" s="141" t="n"/>
      <c r="BR1669" s="207" t="n"/>
      <c r="BS1669" s="207" t="n"/>
      <c r="BT1669" s="207" t="n"/>
      <c r="BU1669" s="207" t="n"/>
      <c r="BV1669" s="208" t="n"/>
      <c r="BW1669" s="207" t="n"/>
      <c r="BX1669" s="207" t="n"/>
      <c r="BY1669" s="204" t="n"/>
      <c r="BZ1669" s="148" t="n"/>
      <c r="CA1669" s="204" t="n"/>
      <c r="CB1669" s="208" t="n"/>
      <c r="CC1669" s="139" t="n"/>
      <c r="CD1669" s="204" t="n"/>
      <c r="CE1669" s="204" t="n"/>
      <c r="CF1669" s="207" t="n"/>
      <c r="CG1669" s="208" t="n"/>
      <c r="CH1669" s="207" t="n"/>
      <c r="CI1669" s="208" t="n"/>
      <c r="CJ1669" s="204" t="n"/>
      <c r="CK1669" s="208" t="n"/>
      <c r="CL1669" s="208" t="n"/>
      <c r="CM1669" s="208" t="n"/>
      <c r="CN1669" s="78" t="n"/>
      <c r="CO1669" s="209" t="n"/>
      <c r="CP1669" s="204" t="n"/>
      <c r="CQ1669" s="204" t="n"/>
      <c r="CR1669" s="204" t="n"/>
      <c r="CS1669" s="204" t="n"/>
      <c r="CT1669" s="204" t="n"/>
      <c r="CU1669" s="204" t="n"/>
      <c r="CV1669" s="204" t="n"/>
      <c r="CW1669" s="204" t="n"/>
    </row>
    <row r="1670">
      <c r="BF1670" s="78" t="n"/>
      <c r="BG1670" s="78" t="n"/>
      <c r="BH1670" s="78" t="n"/>
      <c r="BI1670" s="78" t="n"/>
      <c r="BJ1670" s="139" t="n"/>
      <c r="BK1670" s="204" t="n"/>
      <c r="BL1670" s="141" t="n"/>
      <c r="BM1670" s="205" t="n"/>
      <c r="BN1670" s="205" t="n"/>
      <c r="BO1670" s="206" t="n"/>
      <c r="BP1670" s="144" t="n"/>
      <c r="BQ1670" s="141" t="n"/>
      <c r="BR1670" s="207" t="n"/>
      <c r="BS1670" s="207" t="n"/>
      <c r="BT1670" s="207" t="n"/>
      <c r="BU1670" s="207" t="n"/>
      <c r="BV1670" s="208" t="n"/>
      <c r="BW1670" s="207" t="n"/>
      <c r="BX1670" s="207" t="n"/>
      <c r="BY1670" s="204" t="n"/>
      <c r="BZ1670" s="148" t="n"/>
      <c r="CA1670" s="204" t="n"/>
      <c r="CB1670" s="208" t="n"/>
      <c r="CC1670" s="139" t="n"/>
      <c r="CD1670" s="204" t="n"/>
      <c r="CE1670" s="204" t="n"/>
      <c r="CF1670" s="207" t="n"/>
      <c r="CG1670" s="208" t="n"/>
      <c r="CH1670" s="207" t="n"/>
      <c r="CI1670" s="208" t="n"/>
      <c r="CJ1670" s="204" t="n"/>
      <c r="CK1670" s="208" t="n"/>
      <c r="CL1670" s="208" t="n"/>
      <c r="CM1670" s="208" t="n"/>
      <c r="CN1670" s="78" t="n"/>
      <c r="CO1670" s="209" t="n"/>
      <c r="CP1670" s="204" t="n"/>
      <c r="CQ1670" s="204" t="n"/>
      <c r="CR1670" s="204" t="n"/>
      <c r="CS1670" s="204" t="n"/>
      <c r="CT1670" s="204" t="n"/>
      <c r="CU1670" s="204" t="n"/>
      <c r="CV1670" s="204" t="n"/>
      <c r="CW1670" s="204" t="n"/>
    </row>
    <row r="1671">
      <c r="AF1671" s="158" t="n"/>
      <c r="BF1671" s="78" t="n"/>
      <c r="BG1671" s="78" t="n"/>
      <c r="BH1671" s="78" t="n"/>
      <c r="BI1671" s="78" t="n"/>
      <c r="BJ1671" s="139" t="n"/>
      <c r="BK1671" s="204" t="n"/>
      <c r="BL1671" s="141" t="n"/>
      <c r="BM1671" s="205" t="n"/>
      <c r="BN1671" s="205" t="n"/>
      <c r="BO1671" s="206" t="n"/>
      <c r="BP1671" s="144" t="n"/>
      <c r="BQ1671" s="141" t="n"/>
      <c r="BR1671" s="207" t="n"/>
      <c r="BS1671" s="207" t="n"/>
      <c r="BT1671" s="207" t="n"/>
      <c r="BU1671" s="207" t="n"/>
      <c r="BV1671" s="208" t="n"/>
      <c r="BW1671" s="207" t="n"/>
      <c r="BX1671" s="207" t="n"/>
      <c r="BY1671" s="204" t="n"/>
      <c r="BZ1671" s="148" t="n"/>
      <c r="CA1671" s="204" t="n"/>
      <c r="CB1671" s="208" t="n"/>
      <c r="CC1671" s="139" t="n"/>
      <c r="CD1671" s="204" t="n"/>
      <c r="CE1671" s="204" t="n"/>
      <c r="CF1671" s="207" t="n"/>
      <c r="CG1671" s="208" t="n"/>
      <c r="CH1671" s="207" t="n"/>
      <c r="CI1671" s="208" t="n"/>
      <c r="CJ1671" s="204" t="n"/>
      <c r="CK1671" s="208" t="n"/>
      <c r="CL1671" s="208" t="n"/>
      <c r="CM1671" s="208" t="n"/>
      <c r="CN1671" s="78" t="n"/>
      <c r="CO1671" s="209" t="n"/>
      <c r="CP1671" s="204" t="n"/>
      <c r="CQ1671" s="204" t="n"/>
      <c r="CR1671" s="204" t="n"/>
      <c r="CS1671" s="204" t="n"/>
      <c r="CT1671" s="204" t="n"/>
      <c r="CU1671" s="204" t="n"/>
      <c r="CV1671" s="204" t="n"/>
      <c r="CW1671" s="204" t="n"/>
    </row>
    <row r="1672">
      <c r="AF1672" s="158" t="n"/>
      <c r="BF1672" s="78" t="n"/>
      <c r="BG1672" s="78" t="n"/>
      <c r="BH1672" s="78" t="n"/>
      <c r="BI1672" s="78" t="n"/>
      <c r="BJ1672" s="139" t="n"/>
      <c r="BK1672" s="204" t="n"/>
      <c r="BL1672" s="141" t="n"/>
      <c r="BM1672" s="205" t="n"/>
      <c r="BN1672" s="205" t="n"/>
      <c r="BO1672" s="206" t="n"/>
      <c r="BP1672" s="144" t="n"/>
      <c r="BQ1672" s="141" t="n"/>
      <c r="BR1672" s="207" t="n"/>
      <c r="BS1672" s="207" t="n"/>
      <c r="BT1672" s="207" t="n"/>
      <c r="BU1672" s="207" t="n"/>
      <c r="BV1672" s="208" t="n"/>
      <c r="BW1672" s="207" t="n"/>
      <c r="BX1672" s="207" t="n"/>
      <c r="BY1672" s="204" t="n"/>
      <c r="BZ1672" s="148" t="n"/>
      <c r="CA1672" s="204" t="n"/>
      <c r="CB1672" s="208" t="n"/>
      <c r="CC1672" s="139" t="n"/>
      <c r="CD1672" s="204" t="n"/>
      <c r="CE1672" s="204" t="n"/>
      <c r="CF1672" s="207" t="n"/>
      <c r="CG1672" s="208" t="n"/>
      <c r="CH1672" s="207" t="n"/>
      <c r="CI1672" s="208" t="n"/>
      <c r="CJ1672" s="204" t="n"/>
      <c r="CK1672" s="208" t="n"/>
      <c r="CL1672" s="208" t="n"/>
      <c r="CM1672" s="208" t="n"/>
      <c r="CN1672" s="78" t="n"/>
      <c r="CO1672" s="209" t="n"/>
      <c r="CP1672" s="204" t="n"/>
      <c r="CQ1672" s="204" t="n"/>
      <c r="CR1672" s="204" t="n"/>
      <c r="CS1672" s="204" t="n"/>
      <c r="CT1672" s="204" t="n"/>
      <c r="CU1672" s="204" t="n"/>
      <c r="CV1672" s="204" t="n"/>
      <c r="CW1672" s="204" t="n"/>
    </row>
    <row r="1673">
      <c r="AF1673" s="158" t="n"/>
      <c r="BF1673" s="78" t="n"/>
      <c r="BG1673" s="78" t="n"/>
      <c r="BH1673" s="78" t="n"/>
      <c r="BI1673" s="78" t="n"/>
      <c r="BJ1673" s="139" t="n"/>
      <c r="BK1673" s="204" t="n"/>
      <c r="BL1673" s="141" t="n"/>
      <c r="BM1673" s="205" t="n"/>
      <c r="BN1673" s="205" t="n"/>
      <c r="BO1673" s="206" t="n"/>
      <c r="BP1673" s="144" t="n"/>
      <c r="BQ1673" s="141" t="n"/>
      <c r="BR1673" s="207" t="n"/>
      <c r="BS1673" s="207" t="n"/>
      <c r="BT1673" s="207" t="n"/>
      <c r="BU1673" s="207" t="n"/>
      <c r="BV1673" s="208" t="n"/>
      <c r="BW1673" s="207" t="n"/>
      <c r="BX1673" s="207" t="n"/>
      <c r="BY1673" s="204" t="n"/>
      <c r="BZ1673" s="148" t="n"/>
      <c r="CA1673" s="204" t="n"/>
      <c r="CB1673" s="208" t="n"/>
      <c r="CC1673" s="139" t="n"/>
      <c r="CD1673" s="204" t="n"/>
      <c r="CE1673" s="204" t="n"/>
      <c r="CF1673" s="207" t="n"/>
      <c r="CG1673" s="208" t="n"/>
      <c r="CH1673" s="207" t="n"/>
      <c r="CI1673" s="208" t="n"/>
      <c r="CJ1673" s="204" t="n"/>
      <c r="CK1673" s="208" t="n"/>
      <c r="CL1673" s="208" t="n"/>
      <c r="CM1673" s="208" t="n"/>
      <c r="CN1673" s="78" t="n"/>
      <c r="CO1673" s="209" t="n"/>
      <c r="CP1673" s="204" t="n"/>
      <c r="CQ1673" s="204" t="n"/>
      <c r="CR1673" s="204" t="n"/>
      <c r="CS1673" s="204" t="n"/>
      <c r="CT1673" s="204" t="n"/>
      <c r="CU1673" s="204" t="n"/>
      <c r="CV1673" s="204" t="n"/>
      <c r="CW1673" s="204" t="n"/>
    </row>
    <row r="1674">
      <c r="BF1674" s="78" t="n"/>
      <c r="BG1674" s="78" t="n"/>
      <c r="BH1674" s="78" t="n"/>
      <c r="BI1674" s="78" t="n"/>
      <c r="BJ1674" s="139" t="n"/>
      <c r="BK1674" s="204" t="n"/>
      <c r="BL1674" s="141" t="n"/>
      <c r="BM1674" s="205" t="n"/>
      <c r="BN1674" s="205" t="n"/>
      <c r="BO1674" s="206" t="n"/>
      <c r="BP1674" s="144" t="n"/>
      <c r="BQ1674" s="141" t="n"/>
      <c r="BR1674" s="207" t="n"/>
      <c r="BS1674" s="207" t="n"/>
      <c r="BT1674" s="207" t="n"/>
      <c r="BU1674" s="207" t="n"/>
      <c r="BV1674" s="208" t="n"/>
      <c r="BW1674" s="207" t="n"/>
      <c r="BX1674" s="207" t="n"/>
      <c r="BY1674" s="204" t="n"/>
      <c r="BZ1674" s="148" t="n"/>
      <c r="CA1674" s="204" t="n"/>
      <c r="CB1674" s="208" t="n"/>
      <c r="CC1674" s="139" t="n"/>
      <c r="CD1674" s="204" t="n"/>
      <c r="CE1674" s="204" t="n"/>
      <c r="CF1674" s="207" t="n"/>
      <c r="CG1674" s="208" t="n"/>
      <c r="CH1674" s="207" t="n"/>
      <c r="CI1674" s="208" t="n"/>
      <c r="CJ1674" s="204" t="n"/>
      <c r="CK1674" s="208" t="n"/>
      <c r="CL1674" s="208" t="n"/>
      <c r="CM1674" s="208" t="n"/>
      <c r="CN1674" s="78" t="n"/>
      <c r="CO1674" s="209" t="n"/>
      <c r="CP1674" s="204" t="n"/>
      <c r="CQ1674" s="204" t="n"/>
      <c r="CR1674" s="204" t="n"/>
      <c r="CS1674" s="204" t="n"/>
      <c r="CT1674" s="204" t="n"/>
      <c r="CU1674" s="204" t="n"/>
      <c r="CV1674" s="204" t="n"/>
      <c r="CW1674" s="204" t="n"/>
    </row>
    <row r="1675">
      <c r="BF1675" s="78" t="n"/>
      <c r="BG1675" s="78" t="n"/>
      <c r="BH1675" s="78" t="n"/>
      <c r="BI1675" s="78" t="n"/>
      <c r="BJ1675" s="139" t="n"/>
      <c r="BK1675" s="204" t="n"/>
      <c r="BL1675" s="141" t="n"/>
      <c r="BM1675" s="205" t="n"/>
      <c r="BN1675" s="205" t="n"/>
      <c r="BO1675" s="206" t="n"/>
      <c r="BP1675" s="144" t="n"/>
      <c r="BQ1675" s="141" t="n"/>
      <c r="BR1675" s="207" t="n"/>
      <c r="BS1675" s="207" t="n"/>
      <c r="BT1675" s="207" t="n"/>
      <c r="BU1675" s="207" t="n"/>
      <c r="BV1675" s="208" t="n"/>
      <c r="BW1675" s="207" t="n"/>
      <c r="BX1675" s="207" t="n"/>
      <c r="BY1675" s="204" t="n"/>
      <c r="BZ1675" s="148" t="n"/>
      <c r="CA1675" s="204" t="n"/>
      <c r="CB1675" s="208" t="n"/>
      <c r="CC1675" s="139" t="n"/>
      <c r="CD1675" s="204" t="n"/>
      <c r="CE1675" s="204" t="n"/>
      <c r="CF1675" s="207" t="n"/>
      <c r="CG1675" s="208" t="n"/>
      <c r="CH1675" s="207" t="n"/>
      <c r="CI1675" s="208" t="n"/>
      <c r="CJ1675" s="204" t="n"/>
      <c r="CK1675" s="208" t="n"/>
      <c r="CL1675" s="208" t="n"/>
      <c r="CM1675" s="208" t="n"/>
      <c r="CN1675" s="78" t="n"/>
      <c r="CO1675" s="209" t="n"/>
      <c r="CP1675" s="204" t="n"/>
      <c r="CQ1675" s="204" t="n"/>
      <c r="CR1675" s="204" t="n"/>
      <c r="CS1675" s="204" t="n"/>
      <c r="CT1675" s="204" t="n"/>
      <c r="CU1675" s="204" t="n"/>
      <c r="CV1675" s="204" t="n"/>
      <c r="CW1675" s="204" t="n"/>
    </row>
    <row r="1676">
      <c r="BF1676" s="78" t="n"/>
      <c r="BG1676" s="78" t="n"/>
      <c r="BH1676" s="78" t="n"/>
      <c r="BI1676" s="78" t="n"/>
      <c r="BJ1676" s="139" t="n"/>
      <c r="BK1676" s="204" t="n"/>
      <c r="BL1676" s="141" t="n"/>
      <c r="BM1676" s="205" t="n"/>
      <c r="BN1676" s="205" t="n"/>
      <c r="BO1676" s="206" t="n"/>
      <c r="BP1676" s="144" t="n"/>
      <c r="BQ1676" s="141" t="n"/>
      <c r="BR1676" s="207" t="n"/>
      <c r="BS1676" s="207" t="n"/>
      <c r="BT1676" s="207" t="n"/>
      <c r="BU1676" s="207" t="n"/>
      <c r="BV1676" s="208" t="n"/>
      <c r="BW1676" s="207" t="n"/>
      <c r="BX1676" s="207" t="n"/>
      <c r="BY1676" s="204" t="n"/>
      <c r="BZ1676" s="148" t="n"/>
      <c r="CA1676" s="204" t="n"/>
      <c r="CB1676" s="208" t="n"/>
      <c r="CC1676" s="139" t="n"/>
      <c r="CD1676" s="204" t="n"/>
      <c r="CE1676" s="204" t="n"/>
      <c r="CF1676" s="207" t="n"/>
      <c r="CG1676" s="208" t="n"/>
      <c r="CH1676" s="207" t="n"/>
      <c r="CI1676" s="208" t="n"/>
      <c r="CJ1676" s="204" t="n"/>
      <c r="CK1676" s="208" t="n"/>
      <c r="CL1676" s="208" t="n"/>
      <c r="CM1676" s="208" t="n"/>
      <c r="CN1676" s="78" t="n"/>
      <c r="CO1676" s="209" t="n"/>
      <c r="CP1676" s="204" t="n"/>
      <c r="CQ1676" s="204" t="n"/>
      <c r="CR1676" s="204" t="n"/>
      <c r="CS1676" s="204" t="n"/>
      <c r="CT1676" s="204" t="n"/>
      <c r="CU1676" s="204" t="n"/>
      <c r="CV1676" s="204" t="n"/>
      <c r="CW1676" s="204" t="n"/>
    </row>
    <row r="1677">
      <c r="BF1677" s="78" t="n"/>
      <c r="BG1677" s="78" t="n"/>
      <c r="BH1677" s="78" t="n"/>
      <c r="BI1677" s="78" t="n"/>
      <c r="BJ1677" s="139" t="n"/>
      <c r="BK1677" s="204" t="n"/>
      <c r="BL1677" s="141" t="n"/>
      <c r="BM1677" s="205" t="n"/>
      <c r="BN1677" s="205" t="n"/>
      <c r="BO1677" s="206" t="n"/>
      <c r="BP1677" s="144" t="n"/>
      <c r="BQ1677" s="141" t="n"/>
      <c r="BR1677" s="207" t="n"/>
      <c r="BS1677" s="207" t="n"/>
      <c r="BT1677" s="207" t="n"/>
      <c r="BU1677" s="207" t="n"/>
      <c r="BV1677" s="208" t="n"/>
      <c r="BW1677" s="207" t="n"/>
      <c r="BX1677" s="207" t="n"/>
      <c r="BY1677" s="204" t="n"/>
      <c r="BZ1677" s="148" t="n"/>
      <c r="CA1677" s="204" t="n"/>
      <c r="CB1677" s="208" t="n"/>
      <c r="CC1677" s="139" t="n"/>
      <c r="CD1677" s="204" t="n"/>
      <c r="CE1677" s="204" t="n"/>
      <c r="CF1677" s="207" t="n"/>
      <c r="CG1677" s="208" t="n"/>
      <c r="CH1677" s="207" t="n"/>
      <c r="CI1677" s="208" t="n"/>
      <c r="CJ1677" s="204" t="n"/>
      <c r="CK1677" s="208" t="n"/>
      <c r="CL1677" s="208" t="n"/>
      <c r="CM1677" s="208" t="n"/>
      <c r="CN1677" s="78" t="n"/>
      <c r="CO1677" s="209" t="n"/>
      <c r="CP1677" s="204" t="n"/>
      <c r="CQ1677" s="204" t="n"/>
      <c r="CR1677" s="204" t="n"/>
      <c r="CS1677" s="204" t="n"/>
      <c r="CT1677" s="204" t="n"/>
      <c r="CU1677" s="204" t="n"/>
      <c r="CV1677" s="204" t="n"/>
      <c r="CW1677" s="204" t="n"/>
    </row>
    <row r="1678">
      <c r="BF1678" s="78" t="n"/>
      <c r="BG1678" s="78" t="n"/>
      <c r="BH1678" s="78" t="n"/>
      <c r="BI1678" s="78" t="n"/>
      <c r="BJ1678" s="139" t="n"/>
      <c r="BK1678" s="204" t="n"/>
      <c r="BL1678" s="141" t="n"/>
      <c r="BM1678" s="205" t="n"/>
      <c r="BN1678" s="205" t="n"/>
      <c r="BO1678" s="206" t="n"/>
      <c r="BP1678" s="144" t="n"/>
      <c r="BQ1678" s="141" t="n"/>
      <c r="BR1678" s="207" t="n"/>
      <c r="BS1678" s="207" t="n"/>
      <c r="BT1678" s="207" t="n"/>
      <c r="BU1678" s="207" t="n"/>
      <c r="BV1678" s="208" t="n"/>
      <c r="BW1678" s="207" t="n"/>
      <c r="BX1678" s="207" t="n"/>
      <c r="BY1678" s="204" t="n"/>
      <c r="BZ1678" s="148" t="n"/>
      <c r="CA1678" s="204" t="n"/>
      <c r="CB1678" s="208" t="n"/>
      <c r="CC1678" s="139" t="n"/>
      <c r="CD1678" s="204" t="n"/>
      <c r="CE1678" s="204" t="n"/>
      <c r="CF1678" s="207" t="n"/>
      <c r="CG1678" s="208" t="n"/>
      <c r="CH1678" s="207" t="n"/>
      <c r="CI1678" s="208" t="n"/>
      <c r="CJ1678" s="204" t="n"/>
      <c r="CK1678" s="208" t="n"/>
      <c r="CL1678" s="208" t="n"/>
      <c r="CM1678" s="208" t="n"/>
      <c r="CN1678" s="78" t="n"/>
      <c r="CO1678" s="209" t="n"/>
      <c r="CP1678" s="204" t="n"/>
      <c r="CQ1678" s="204" t="n"/>
      <c r="CR1678" s="204" t="n"/>
      <c r="CS1678" s="204" t="n"/>
      <c r="CT1678" s="204" t="n"/>
      <c r="CU1678" s="204" t="n"/>
      <c r="CV1678" s="204" t="n"/>
      <c r="CW1678" s="204" t="n"/>
    </row>
    <row r="1679">
      <c r="BF1679" s="78" t="n"/>
      <c r="BG1679" s="78" t="n"/>
      <c r="BH1679" s="78" t="n"/>
      <c r="BI1679" s="78" t="n"/>
      <c r="BJ1679" s="139" t="n"/>
      <c r="BK1679" s="204" t="n"/>
      <c r="BL1679" s="141" t="n"/>
      <c r="BM1679" s="205" t="n"/>
      <c r="BN1679" s="205" t="n"/>
      <c r="BO1679" s="206" t="n"/>
      <c r="BP1679" s="144" t="n"/>
      <c r="BQ1679" s="141" t="n"/>
      <c r="BR1679" s="207" t="n"/>
      <c r="BS1679" s="207" t="n"/>
      <c r="BT1679" s="207" t="n"/>
      <c r="BU1679" s="207" t="n"/>
      <c r="BV1679" s="208" t="n"/>
      <c r="BW1679" s="207" t="n"/>
      <c r="BX1679" s="207" t="n"/>
      <c r="BY1679" s="204" t="n"/>
      <c r="BZ1679" s="148" t="n"/>
      <c r="CA1679" s="204" t="n"/>
      <c r="CB1679" s="208" t="n"/>
      <c r="CC1679" s="139" t="n"/>
      <c r="CD1679" s="204" t="n"/>
      <c r="CE1679" s="204" t="n"/>
      <c r="CF1679" s="207" t="n"/>
      <c r="CG1679" s="208" t="n"/>
      <c r="CH1679" s="207" t="n"/>
      <c r="CI1679" s="208" t="n"/>
      <c r="CJ1679" s="204" t="n"/>
      <c r="CK1679" s="208" t="n"/>
      <c r="CL1679" s="208" t="n"/>
      <c r="CM1679" s="208" t="n"/>
      <c r="CN1679" s="78" t="n"/>
      <c r="CO1679" s="209" t="n"/>
      <c r="CP1679" s="204" t="n"/>
      <c r="CQ1679" s="204" t="n"/>
      <c r="CR1679" s="204" t="n"/>
      <c r="CS1679" s="204" t="n"/>
      <c r="CT1679" s="204" t="n"/>
      <c r="CU1679" s="204" t="n"/>
      <c r="CV1679" s="204" t="n"/>
      <c r="CW1679" s="204" t="n"/>
    </row>
    <row r="1680">
      <c r="BF1680" s="78" t="n"/>
      <c r="BG1680" s="78" t="n"/>
      <c r="BH1680" s="78" t="n"/>
      <c r="BI1680" s="78" t="n"/>
      <c r="BJ1680" s="139" t="n"/>
      <c r="BK1680" s="204" t="n"/>
      <c r="BL1680" s="141" t="n"/>
      <c r="BM1680" s="205" t="n"/>
      <c r="BN1680" s="205" t="n"/>
      <c r="BO1680" s="206" t="n"/>
      <c r="BP1680" s="144" t="n"/>
      <c r="BQ1680" s="141" t="n"/>
      <c r="BR1680" s="207" t="n"/>
      <c r="BS1680" s="207" t="n"/>
      <c r="BT1680" s="207" t="n"/>
      <c r="BU1680" s="207" t="n"/>
      <c r="BV1680" s="208" t="n"/>
      <c r="BW1680" s="207" t="n"/>
      <c r="BX1680" s="207" t="n"/>
      <c r="BY1680" s="204" t="n"/>
      <c r="BZ1680" s="148" t="n"/>
      <c r="CA1680" s="204" t="n"/>
      <c r="CB1680" s="208" t="n"/>
      <c r="CC1680" s="139" t="n"/>
      <c r="CD1680" s="204" t="n"/>
      <c r="CE1680" s="204" t="n"/>
      <c r="CF1680" s="207" t="n"/>
      <c r="CG1680" s="208" t="n"/>
      <c r="CH1680" s="207" t="n"/>
      <c r="CI1680" s="208" t="n"/>
      <c r="CJ1680" s="204" t="n"/>
      <c r="CK1680" s="208" t="n"/>
      <c r="CL1680" s="208" t="n"/>
      <c r="CM1680" s="208" t="n"/>
      <c r="CN1680" s="78" t="n"/>
      <c r="CO1680" s="209" t="n"/>
      <c r="CP1680" s="204" t="n"/>
      <c r="CQ1680" s="204" t="n"/>
      <c r="CR1680" s="204" t="n"/>
      <c r="CS1680" s="204" t="n"/>
      <c r="CT1680" s="204" t="n"/>
      <c r="CU1680" s="204" t="n"/>
      <c r="CV1680" s="204" t="n"/>
      <c r="CW1680" s="204" t="n"/>
    </row>
    <row r="1681">
      <c r="BF1681" s="78" t="n"/>
      <c r="BG1681" s="78" t="n"/>
      <c r="BH1681" s="78" t="n"/>
      <c r="BI1681" s="78" t="n"/>
      <c r="BJ1681" s="139" t="n"/>
      <c r="BK1681" s="204" t="n"/>
      <c r="BL1681" s="141" t="n"/>
      <c r="BM1681" s="205" t="n"/>
      <c r="BN1681" s="205" t="n"/>
      <c r="BO1681" s="206" t="n"/>
      <c r="BP1681" s="144" t="n"/>
      <c r="BQ1681" s="141" t="n"/>
      <c r="BR1681" s="207" t="n"/>
      <c r="BS1681" s="207" t="n"/>
      <c r="BT1681" s="207" t="n"/>
      <c r="BU1681" s="207" t="n"/>
      <c r="BV1681" s="208" t="n"/>
      <c r="BW1681" s="207" t="n"/>
      <c r="BX1681" s="207" t="n"/>
      <c r="BY1681" s="204" t="n"/>
      <c r="BZ1681" s="148" t="n"/>
      <c r="CA1681" s="204" t="n"/>
      <c r="CB1681" s="208" t="n"/>
      <c r="CC1681" s="139" t="n"/>
      <c r="CD1681" s="204" t="n"/>
      <c r="CE1681" s="204" t="n"/>
      <c r="CF1681" s="207" t="n"/>
      <c r="CG1681" s="208" t="n"/>
      <c r="CH1681" s="207" t="n"/>
      <c r="CI1681" s="208" t="n"/>
      <c r="CJ1681" s="204" t="n"/>
      <c r="CK1681" s="208" t="n"/>
      <c r="CL1681" s="208" t="n"/>
      <c r="CM1681" s="208" t="n"/>
      <c r="CN1681" s="78" t="n"/>
      <c r="CO1681" s="209" t="n"/>
      <c r="CP1681" s="204" t="n"/>
      <c r="CQ1681" s="204" t="n"/>
      <c r="CR1681" s="204" t="n"/>
      <c r="CS1681" s="204" t="n"/>
      <c r="CT1681" s="204" t="n"/>
      <c r="CU1681" s="204" t="n"/>
      <c r="CV1681" s="204" t="n"/>
      <c r="CW1681" s="204" t="n"/>
    </row>
    <row r="1682">
      <c r="BF1682" s="78" t="n"/>
      <c r="BG1682" s="78" t="n"/>
      <c r="BH1682" s="78" t="n"/>
      <c r="BI1682" s="78" t="n"/>
      <c r="BJ1682" s="139" t="n"/>
      <c r="BK1682" s="204" t="n"/>
      <c r="BL1682" s="141" t="n"/>
      <c r="BM1682" s="205" t="n"/>
      <c r="BN1682" s="205" t="n"/>
      <c r="BO1682" s="206" t="n"/>
      <c r="BP1682" s="144" t="n"/>
      <c r="BQ1682" s="141" t="n"/>
      <c r="BR1682" s="207" t="n"/>
      <c r="BS1682" s="207" t="n"/>
      <c r="BT1682" s="207" t="n"/>
      <c r="BU1682" s="207" t="n"/>
      <c r="BV1682" s="208" t="n"/>
      <c r="BW1682" s="207" t="n"/>
      <c r="BX1682" s="207" t="n"/>
      <c r="BY1682" s="204" t="n"/>
      <c r="BZ1682" s="148" t="n"/>
      <c r="CA1682" s="204" t="n"/>
      <c r="CB1682" s="208" t="n"/>
      <c r="CC1682" s="139" t="n"/>
      <c r="CD1682" s="204" t="n"/>
      <c r="CE1682" s="204" t="n"/>
      <c r="CF1682" s="207" t="n"/>
      <c r="CG1682" s="208" t="n"/>
      <c r="CH1682" s="207" t="n"/>
      <c r="CI1682" s="208" t="n"/>
      <c r="CJ1682" s="204" t="n"/>
      <c r="CK1682" s="208" t="n"/>
      <c r="CL1682" s="208" t="n"/>
      <c r="CM1682" s="208" t="n"/>
      <c r="CN1682" s="78" t="n"/>
      <c r="CO1682" s="209" t="n"/>
      <c r="CP1682" s="204" t="n"/>
      <c r="CQ1682" s="204" t="n"/>
      <c r="CR1682" s="204" t="n"/>
      <c r="CS1682" s="204" t="n"/>
      <c r="CT1682" s="204" t="n"/>
      <c r="CU1682" s="204" t="n"/>
      <c r="CV1682" s="204" t="n"/>
      <c r="CW1682" s="204" t="n"/>
    </row>
    <row r="1683">
      <c r="BF1683" s="78" t="n"/>
      <c r="BG1683" s="78" t="n"/>
      <c r="BH1683" s="78" t="n"/>
      <c r="BI1683" s="78" t="n"/>
      <c r="BJ1683" s="139" t="n"/>
      <c r="BK1683" s="204" t="n"/>
      <c r="BL1683" s="141" t="n"/>
      <c r="BM1683" s="205" t="n"/>
      <c r="BN1683" s="205" t="n"/>
      <c r="BO1683" s="206" t="n"/>
      <c r="BP1683" s="144" t="n"/>
      <c r="BQ1683" s="141" t="n"/>
      <c r="BR1683" s="207" t="n"/>
      <c r="BS1683" s="207" t="n"/>
      <c r="BT1683" s="207" t="n"/>
      <c r="BU1683" s="207" t="n"/>
      <c r="BV1683" s="208" t="n"/>
      <c r="BW1683" s="207" t="n"/>
      <c r="BX1683" s="207" t="n"/>
      <c r="BY1683" s="204" t="n"/>
      <c r="BZ1683" s="148" t="n"/>
      <c r="CA1683" s="204" t="n"/>
      <c r="CB1683" s="208" t="n"/>
      <c r="CC1683" s="139" t="n"/>
      <c r="CD1683" s="204" t="n"/>
      <c r="CE1683" s="204" t="n"/>
      <c r="CF1683" s="207" t="n"/>
      <c r="CG1683" s="208" t="n"/>
      <c r="CH1683" s="207" t="n"/>
      <c r="CI1683" s="208" t="n"/>
      <c r="CJ1683" s="204" t="n"/>
      <c r="CK1683" s="208" t="n"/>
      <c r="CL1683" s="208" t="n"/>
      <c r="CM1683" s="208" t="n"/>
      <c r="CN1683" s="78" t="n"/>
      <c r="CO1683" s="209" t="n"/>
      <c r="CP1683" s="204" t="n"/>
      <c r="CQ1683" s="204" t="n"/>
      <c r="CR1683" s="204" t="n"/>
      <c r="CS1683" s="204" t="n"/>
      <c r="CT1683" s="204" t="n"/>
      <c r="CU1683" s="204" t="n"/>
      <c r="CV1683" s="204" t="n"/>
      <c r="CW1683" s="204" t="n"/>
    </row>
    <row r="1684">
      <c r="BF1684" s="78" t="n"/>
      <c r="BG1684" s="78" t="n"/>
      <c r="BH1684" s="78" t="n"/>
      <c r="BI1684" s="78" t="n"/>
      <c r="BJ1684" s="139" t="n"/>
      <c r="BK1684" s="204" t="n"/>
      <c r="BL1684" s="141" t="n"/>
      <c r="BM1684" s="205" t="n"/>
      <c r="BN1684" s="205" t="n"/>
      <c r="BO1684" s="206" t="n"/>
      <c r="BP1684" s="144" t="n"/>
      <c r="BQ1684" s="141" t="n"/>
      <c r="BR1684" s="207" t="n"/>
      <c r="BS1684" s="207" t="n"/>
      <c r="BT1684" s="207" t="n"/>
      <c r="BU1684" s="207" t="n"/>
      <c r="BV1684" s="208" t="n"/>
      <c r="BW1684" s="207" t="n"/>
      <c r="BX1684" s="207" t="n"/>
      <c r="BY1684" s="204" t="n"/>
      <c r="BZ1684" s="148" t="n"/>
      <c r="CA1684" s="204" t="n"/>
      <c r="CB1684" s="208" t="n"/>
      <c r="CC1684" s="139" t="n"/>
      <c r="CD1684" s="204" t="n"/>
      <c r="CE1684" s="204" t="n"/>
      <c r="CF1684" s="207" t="n"/>
      <c r="CG1684" s="208" t="n"/>
      <c r="CH1684" s="207" t="n"/>
      <c r="CI1684" s="208" t="n"/>
      <c r="CJ1684" s="204" t="n"/>
      <c r="CK1684" s="208" t="n"/>
      <c r="CL1684" s="208" t="n"/>
      <c r="CM1684" s="208" t="n"/>
      <c r="CN1684" s="78" t="n"/>
      <c r="CO1684" s="209" t="n"/>
      <c r="CP1684" s="204" t="n"/>
      <c r="CQ1684" s="204" t="n"/>
      <c r="CR1684" s="204" t="n"/>
      <c r="CS1684" s="204" t="n"/>
      <c r="CT1684" s="204" t="n"/>
      <c r="CU1684" s="204" t="n"/>
      <c r="CV1684" s="204" t="n"/>
      <c r="CW1684" s="204" t="n"/>
    </row>
    <row r="1685">
      <c r="BF1685" s="78" t="n"/>
      <c r="BG1685" s="78" t="n"/>
      <c r="BH1685" s="78" t="n"/>
      <c r="BI1685" s="78" t="n"/>
      <c r="BJ1685" s="139" t="n"/>
      <c r="BK1685" s="204" t="n"/>
      <c r="BL1685" s="141" t="n"/>
      <c r="BM1685" s="205" t="n"/>
      <c r="BN1685" s="205" t="n"/>
      <c r="BO1685" s="206" t="n"/>
      <c r="BP1685" s="144" t="n"/>
      <c r="BQ1685" s="141" t="n"/>
      <c r="BR1685" s="207" t="n"/>
      <c r="BS1685" s="207" t="n"/>
      <c r="BT1685" s="207" t="n"/>
      <c r="BU1685" s="207" t="n"/>
      <c r="BV1685" s="208" t="n"/>
      <c r="BW1685" s="207" t="n"/>
      <c r="BX1685" s="207" t="n"/>
      <c r="BY1685" s="204" t="n"/>
      <c r="BZ1685" s="148" t="n"/>
      <c r="CA1685" s="204" t="n"/>
      <c r="CB1685" s="208" t="n"/>
      <c r="CC1685" s="139" t="n"/>
      <c r="CD1685" s="204" t="n"/>
      <c r="CE1685" s="204" t="n"/>
      <c r="CF1685" s="207" t="n"/>
      <c r="CG1685" s="208" t="n"/>
      <c r="CH1685" s="207" t="n"/>
      <c r="CI1685" s="208" t="n"/>
      <c r="CJ1685" s="204" t="n"/>
      <c r="CK1685" s="208" t="n"/>
      <c r="CL1685" s="208" t="n"/>
      <c r="CM1685" s="208" t="n"/>
      <c r="CN1685" s="78" t="n"/>
      <c r="CO1685" s="209" t="n"/>
      <c r="CP1685" s="204" t="n"/>
      <c r="CQ1685" s="204" t="n"/>
      <c r="CR1685" s="204" t="n"/>
      <c r="CS1685" s="204" t="n"/>
      <c r="CT1685" s="204" t="n"/>
      <c r="CU1685" s="204" t="n"/>
      <c r="CV1685" s="204" t="n"/>
      <c r="CW1685" s="204" t="n"/>
    </row>
    <row r="1686">
      <c r="AF1686" s="158" t="n"/>
      <c r="BF1686" s="78" t="n"/>
      <c r="BG1686" s="78" t="n"/>
      <c r="BH1686" s="78" t="n"/>
      <c r="BI1686" s="78" t="n"/>
      <c r="BJ1686" s="139" t="n"/>
      <c r="BK1686" s="204" t="n"/>
      <c r="BL1686" s="141" t="n"/>
      <c r="BM1686" s="205" t="n"/>
      <c r="BN1686" s="205" t="n"/>
      <c r="BO1686" s="206" t="n"/>
      <c r="BP1686" s="144" t="n"/>
      <c r="BQ1686" s="141" t="n"/>
      <c r="BR1686" s="207" t="n"/>
      <c r="BS1686" s="207" t="n"/>
      <c r="BT1686" s="207" t="n"/>
      <c r="BU1686" s="207" t="n"/>
      <c r="BV1686" s="208" t="n"/>
      <c r="BW1686" s="207" t="n"/>
      <c r="BX1686" s="207" t="n"/>
      <c r="BY1686" s="204" t="n"/>
      <c r="BZ1686" s="148" t="n"/>
      <c r="CA1686" s="204" t="n"/>
      <c r="CB1686" s="208" t="n"/>
      <c r="CC1686" s="139" t="n"/>
      <c r="CD1686" s="204" t="n"/>
      <c r="CE1686" s="204" t="n"/>
      <c r="CF1686" s="207" t="n"/>
      <c r="CG1686" s="208" t="n"/>
      <c r="CH1686" s="207" t="n"/>
      <c r="CI1686" s="208" t="n"/>
      <c r="CJ1686" s="204" t="n"/>
      <c r="CK1686" s="208" t="n"/>
      <c r="CL1686" s="208" t="n"/>
      <c r="CM1686" s="208" t="n"/>
      <c r="CN1686" s="78" t="n"/>
      <c r="CO1686" s="209" t="n"/>
      <c r="CP1686" s="204" t="n"/>
      <c r="CQ1686" s="204" t="n"/>
      <c r="CR1686" s="204" t="n"/>
      <c r="CS1686" s="204" t="n"/>
      <c r="CT1686" s="204" t="n"/>
      <c r="CU1686" s="204" t="n"/>
      <c r="CV1686" s="204" t="n"/>
      <c r="CW1686" s="204" t="n"/>
    </row>
    <row r="1687">
      <c r="BF1687" s="78" t="n"/>
      <c r="BG1687" s="78" t="n"/>
      <c r="BH1687" s="78" t="n"/>
      <c r="BI1687" s="78" t="n"/>
      <c r="BJ1687" s="139" t="n"/>
      <c r="BK1687" s="204" t="n"/>
      <c r="BL1687" s="141" t="n"/>
      <c r="BM1687" s="205" t="n"/>
      <c r="BN1687" s="205" t="n"/>
      <c r="BO1687" s="206" t="n"/>
      <c r="BP1687" s="144" t="n"/>
      <c r="BQ1687" s="141" t="n"/>
      <c r="BR1687" s="207" t="n"/>
      <c r="BS1687" s="207" t="n"/>
      <c r="BT1687" s="207" t="n"/>
      <c r="BU1687" s="207" t="n"/>
      <c r="BV1687" s="208" t="n"/>
      <c r="BW1687" s="207" t="n"/>
      <c r="BX1687" s="207" t="n"/>
      <c r="BY1687" s="204" t="n"/>
      <c r="BZ1687" s="148" t="n"/>
      <c r="CA1687" s="204" t="n"/>
      <c r="CB1687" s="208" t="n"/>
      <c r="CC1687" s="139" t="n"/>
      <c r="CD1687" s="204" t="n"/>
      <c r="CE1687" s="204" t="n"/>
      <c r="CF1687" s="207" t="n"/>
      <c r="CG1687" s="208" t="n"/>
      <c r="CH1687" s="207" t="n"/>
      <c r="CI1687" s="208" t="n"/>
      <c r="CJ1687" s="204" t="n"/>
      <c r="CK1687" s="208" t="n"/>
      <c r="CL1687" s="208" t="n"/>
      <c r="CM1687" s="208" t="n"/>
      <c r="CN1687" s="78" t="n"/>
      <c r="CO1687" s="209" t="n"/>
      <c r="CP1687" s="204" t="n"/>
      <c r="CQ1687" s="204" t="n"/>
      <c r="CR1687" s="204" t="n"/>
      <c r="CS1687" s="204" t="n"/>
      <c r="CT1687" s="204" t="n"/>
      <c r="CU1687" s="204" t="n"/>
      <c r="CV1687" s="204" t="n"/>
      <c r="CW1687" s="204" t="n"/>
    </row>
    <row r="1688">
      <c r="BF1688" s="78" t="n"/>
      <c r="BG1688" s="78" t="n"/>
      <c r="BH1688" s="78" t="n"/>
      <c r="BI1688" s="78" t="n"/>
      <c r="BJ1688" s="139" t="n"/>
      <c r="BK1688" s="204" t="n"/>
      <c r="BL1688" s="141" t="n"/>
      <c r="BM1688" s="205" t="n"/>
      <c r="BN1688" s="205" t="n"/>
      <c r="BO1688" s="206" t="n"/>
      <c r="BP1688" s="144" t="n"/>
      <c r="BQ1688" s="141" t="n"/>
      <c r="BR1688" s="207" t="n"/>
      <c r="BS1688" s="207" t="n"/>
      <c r="BT1688" s="207" t="n"/>
      <c r="BU1688" s="207" t="n"/>
      <c r="BV1688" s="208" t="n"/>
      <c r="BW1688" s="207" t="n"/>
      <c r="BX1688" s="207" t="n"/>
      <c r="BY1688" s="204" t="n"/>
      <c r="BZ1688" s="148" t="n"/>
      <c r="CA1688" s="204" t="n"/>
      <c r="CB1688" s="208" t="n"/>
      <c r="CC1688" s="139" t="n"/>
      <c r="CD1688" s="204" t="n"/>
      <c r="CE1688" s="204" t="n"/>
      <c r="CF1688" s="207" t="n"/>
      <c r="CG1688" s="208" t="n"/>
      <c r="CH1688" s="207" t="n"/>
      <c r="CI1688" s="208" t="n"/>
      <c r="CJ1688" s="204" t="n"/>
      <c r="CK1688" s="208" t="n"/>
      <c r="CL1688" s="208" t="n"/>
      <c r="CM1688" s="208" t="n"/>
      <c r="CN1688" s="78" t="n"/>
      <c r="CO1688" s="209" t="n"/>
      <c r="CP1688" s="204" t="n"/>
      <c r="CQ1688" s="204" t="n"/>
      <c r="CR1688" s="204" t="n"/>
      <c r="CS1688" s="204" t="n"/>
      <c r="CT1688" s="204" t="n"/>
      <c r="CU1688" s="204" t="n"/>
      <c r="CV1688" s="204" t="n"/>
      <c r="CW1688" s="204" t="n"/>
    </row>
    <row r="1689">
      <c r="BF1689" s="78" t="n"/>
      <c r="BG1689" s="78" t="n"/>
      <c r="BH1689" s="78" t="n"/>
      <c r="BI1689" s="78" t="n"/>
      <c r="BJ1689" s="139" t="n"/>
      <c r="BK1689" s="204" t="n"/>
      <c r="BL1689" s="141" t="n"/>
      <c r="BM1689" s="205" t="n"/>
      <c r="BN1689" s="205" t="n"/>
      <c r="BO1689" s="206" t="n"/>
      <c r="BP1689" s="144" t="n"/>
      <c r="BQ1689" s="141" t="n"/>
      <c r="BR1689" s="207" t="n"/>
      <c r="BS1689" s="207" t="n"/>
      <c r="BT1689" s="207" t="n"/>
      <c r="BU1689" s="207" t="n"/>
      <c r="BV1689" s="208" t="n"/>
      <c r="BW1689" s="207" t="n"/>
      <c r="BX1689" s="207" t="n"/>
      <c r="BY1689" s="204" t="n"/>
      <c r="BZ1689" s="148" t="n"/>
      <c r="CA1689" s="204" t="n"/>
      <c r="CB1689" s="208" t="n"/>
      <c r="CC1689" s="139" t="n"/>
      <c r="CD1689" s="204" t="n"/>
      <c r="CE1689" s="204" t="n"/>
      <c r="CF1689" s="207" t="n"/>
      <c r="CG1689" s="208" t="n"/>
      <c r="CH1689" s="207" t="n"/>
      <c r="CI1689" s="208" t="n"/>
      <c r="CJ1689" s="204" t="n"/>
      <c r="CK1689" s="208" t="n"/>
      <c r="CL1689" s="208" t="n"/>
      <c r="CM1689" s="208" t="n"/>
      <c r="CN1689" s="78" t="n"/>
      <c r="CO1689" s="209" t="n"/>
      <c r="CP1689" s="204" t="n"/>
      <c r="CQ1689" s="204" t="n"/>
      <c r="CR1689" s="204" t="n"/>
      <c r="CS1689" s="204" t="n"/>
      <c r="CT1689" s="204" t="n"/>
      <c r="CU1689" s="204" t="n"/>
      <c r="CV1689" s="204" t="n"/>
      <c r="CW1689" s="204" t="n"/>
    </row>
    <row r="1690">
      <c r="BF1690" s="78" t="n"/>
      <c r="BG1690" s="78" t="n"/>
      <c r="BH1690" s="78" t="n"/>
      <c r="BI1690" s="78" t="n"/>
      <c r="BJ1690" s="139" t="n"/>
      <c r="BK1690" s="204" t="n"/>
      <c r="BL1690" s="141" t="n"/>
      <c r="BM1690" s="205" t="n"/>
      <c r="BN1690" s="205" t="n"/>
      <c r="BO1690" s="206" t="n"/>
      <c r="BP1690" s="144" t="n"/>
      <c r="BQ1690" s="141" t="n"/>
      <c r="BR1690" s="207" t="n"/>
      <c r="BS1690" s="207" t="n"/>
      <c r="BT1690" s="207" t="n"/>
      <c r="BU1690" s="207" t="n"/>
      <c r="BV1690" s="208" t="n"/>
      <c r="BW1690" s="207" t="n"/>
      <c r="BX1690" s="207" t="n"/>
      <c r="BY1690" s="204" t="n"/>
      <c r="BZ1690" s="148" t="n"/>
      <c r="CA1690" s="204" t="n"/>
      <c r="CB1690" s="208" t="n"/>
      <c r="CC1690" s="139" t="n"/>
      <c r="CD1690" s="204" t="n"/>
      <c r="CE1690" s="204" t="n"/>
      <c r="CF1690" s="207" t="n"/>
      <c r="CG1690" s="208" t="n"/>
      <c r="CH1690" s="207" t="n"/>
      <c r="CI1690" s="208" t="n"/>
      <c r="CJ1690" s="204" t="n"/>
      <c r="CK1690" s="208" t="n"/>
      <c r="CL1690" s="208" t="n"/>
      <c r="CM1690" s="208" t="n"/>
      <c r="CN1690" s="78" t="n"/>
      <c r="CO1690" s="209" t="n"/>
      <c r="CP1690" s="204" t="n"/>
      <c r="CQ1690" s="204" t="n"/>
      <c r="CR1690" s="204" t="n"/>
      <c r="CS1690" s="204" t="n"/>
      <c r="CT1690" s="204" t="n"/>
      <c r="CU1690" s="204" t="n"/>
      <c r="CV1690" s="204" t="n"/>
      <c r="CW1690" s="204" t="n"/>
    </row>
    <row r="1691">
      <c r="BF1691" s="78" t="n"/>
      <c r="BG1691" s="78" t="n"/>
      <c r="BH1691" s="78" t="n"/>
      <c r="BI1691" s="78" t="n"/>
      <c r="BJ1691" s="139" t="n"/>
      <c r="BK1691" s="204" t="n"/>
      <c r="BL1691" s="141" t="n"/>
      <c r="BM1691" s="205" t="n"/>
      <c r="BN1691" s="205" t="n"/>
      <c r="BO1691" s="206" t="n"/>
      <c r="BP1691" s="144" t="n"/>
      <c r="BQ1691" s="141" t="n"/>
      <c r="BR1691" s="207" t="n"/>
      <c r="BS1691" s="207" t="n"/>
      <c r="BT1691" s="207" t="n"/>
      <c r="BU1691" s="207" t="n"/>
      <c r="BV1691" s="208" t="n"/>
      <c r="BW1691" s="207" t="n"/>
      <c r="BX1691" s="207" t="n"/>
      <c r="BY1691" s="204" t="n"/>
      <c r="BZ1691" s="148" t="n"/>
      <c r="CA1691" s="204" t="n"/>
      <c r="CB1691" s="208" t="n"/>
      <c r="CC1691" s="139" t="n"/>
      <c r="CD1691" s="204" t="n"/>
      <c r="CE1691" s="204" t="n"/>
      <c r="CF1691" s="207" t="n"/>
      <c r="CG1691" s="208" t="n"/>
      <c r="CH1691" s="207" t="n"/>
      <c r="CI1691" s="208" t="n"/>
      <c r="CJ1691" s="204" t="n"/>
      <c r="CK1691" s="208" t="n"/>
      <c r="CL1691" s="208" t="n"/>
      <c r="CM1691" s="208" t="n"/>
      <c r="CN1691" s="78" t="n"/>
      <c r="CO1691" s="209" t="n"/>
      <c r="CP1691" s="204" t="n"/>
      <c r="CQ1691" s="204" t="n"/>
      <c r="CR1691" s="204" t="n"/>
      <c r="CS1691" s="204" t="n"/>
      <c r="CT1691" s="204" t="n"/>
      <c r="CU1691" s="204" t="n"/>
      <c r="CV1691" s="204" t="n"/>
      <c r="CW1691" s="204" t="n"/>
    </row>
    <row r="1692">
      <c r="AF1692" s="158" t="n"/>
      <c r="BF1692" s="78" t="n"/>
      <c r="BG1692" s="78" t="n"/>
      <c r="BH1692" s="78" t="n"/>
      <c r="BI1692" s="78" t="n"/>
      <c r="BJ1692" s="139" t="n"/>
      <c r="BK1692" s="204" t="n"/>
      <c r="BL1692" s="141" t="n"/>
      <c r="BM1692" s="205" t="n"/>
      <c r="BN1692" s="205" t="n"/>
      <c r="BO1692" s="206" t="n"/>
      <c r="BP1692" s="144" t="n"/>
      <c r="BQ1692" s="141" t="n"/>
      <c r="BR1692" s="207" t="n"/>
      <c r="BS1692" s="207" t="n"/>
      <c r="BT1692" s="207" t="n"/>
      <c r="BU1692" s="207" t="n"/>
      <c r="BV1692" s="208" t="n"/>
      <c r="BW1692" s="207" t="n"/>
      <c r="BX1692" s="207" t="n"/>
      <c r="BY1692" s="204" t="n"/>
      <c r="BZ1692" s="148" t="n"/>
      <c r="CA1692" s="204" t="n"/>
      <c r="CB1692" s="208" t="n"/>
      <c r="CC1692" s="139" t="n"/>
      <c r="CD1692" s="204" t="n"/>
      <c r="CE1692" s="204" t="n"/>
      <c r="CF1692" s="207" t="n"/>
      <c r="CG1692" s="208" t="n"/>
      <c r="CH1692" s="207" t="n"/>
      <c r="CI1692" s="208" t="n"/>
      <c r="CJ1692" s="204" t="n"/>
      <c r="CK1692" s="208" t="n"/>
      <c r="CL1692" s="208" t="n"/>
      <c r="CM1692" s="208" t="n"/>
      <c r="CN1692" s="78" t="n"/>
      <c r="CO1692" s="209" t="n"/>
      <c r="CP1692" s="204" t="n"/>
      <c r="CQ1692" s="204" t="n"/>
      <c r="CR1692" s="204" t="n"/>
      <c r="CS1692" s="204" t="n"/>
      <c r="CT1692" s="204" t="n"/>
      <c r="CU1692" s="204" t="n"/>
      <c r="CV1692" s="204" t="n"/>
      <c r="CW1692" s="204" t="n"/>
    </row>
    <row r="1693">
      <c r="BF1693" s="78" t="n"/>
      <c r="BG1693" s="78" t="n"/>
      <c r="BH1693" s="78" t="n"/>
      <c r="BI1693" s="78" t="n"/>
      <c r="BJ1693" s="139" t="n"/>
      <c r="BK1693" s="204" t="n"/>
      <c r="BL1693" s="141" t="n"/>
      <c r="BM1693" s="205" t="n"/>
      <c r="BN1693" s="205" t="n"/>
      <c r="BO1693" s="206" t="n"/>
      <c r="BP1693" s="144" t="n"/>
      <c r="BQ1693" s="141" t="n"/>
      <c r="BR1693" s="207" t="n"/>
      <c r="BS1693" s="207" t="n"/>
      <c r="BT1693" s="207" t="n"/>
      <c r="BU1693" s="207" t="n"/>
      <c r="BV1693" s="208" t="n"/>
      <c r="BW1693" s="207" t="n"/>
      <c r="BX1693" s="207" t="n"/>
      <c r="BY1693" s="204" t="n"/>
      <c r="BZ1693" s="148" t="n"/>
      <c r="CA1693" s="204" t="n"/>
      <c r="CB1693" s="208" t="n"/>
      <c r="CC1693" s="139" t="n"/>
      <c r="CD1693" s="204" t="n"/>
      <c r="CE1693" s="204" t="n"/>
      <c r="CF1693" s="207" t="n"/>
      <c r="CG1693" s="208" t="n"/>
      <c r="CH1693" s="207" t="n"/>
      <c r="CI1693" s="208" t="n"/>
      <c r="CJ1693" s="204" t="n"/>
      <c r="CK1693" s="208" t="n"/>
      <c r="CL1693" s="208" t="n"/>
      <c r="CM1693" s="208" t="n"/>
      <c r="CN1693" s="78" t="n"/>
      <c r="CO1693" s="209" t="n"/>
      <c r="CP1693" s="204" t="n"/>
      <c r="CQ1693" s="204" t="n"/>
      <c r="CR1693" s="204" t="n"/>
      <c r="CS1693" s="204" t="n"/>
      <c r="CT1693" s="204" t="n"/>
      <c r="CU1693" s="204" t="n"/>
      <c r="CV1693" s="204" t="n"/>
      <c r="CW1693" s="204" t="n"/>
    </row>
    <row r="1694">
      <c r="BF1694" s="78" t="n"/>
      <c r="BG1694" s="78" t="n"/>
      <c r="BH1694" s="78" t="n"/>
      <c r="BI1694" s="78" t="n"/>
      <c r="BJ1694" s="139" t="n"/>
      <c r="BK1694" s="204" t="n"/>
      <c r="BL1694" s="141" t="n"/>
      <c r="BM1694" s="205" t="n"/>
      <c r="BN1694" s="205" t="n"/>
      <c r="BO1694" s="206" t="n"/>
      <c r="BP1694" s="144" t="n"/>
      <c r="BQ1694" s="141" t="n"/>
      <c r="BR1694" s="207" t="n"/>
      <c r="BS1694" s="207" t="n"/>
      <c r="BT1694" s="207" t="n"/>
      <c r="BU1694" s="207" t="n"/>
      <c r="BV1694" s="208" t="n"/>
      <c r="BW1694" s="207" t="n"/>
      <c r="BX1694" s="207" t="n"/>
      <c r="BY1694" s="204" t="n"/>
      <c r="BZ1694" s="148" t="n"/>
      <c r="CA1694" s="204" t="n"/>
      <c r="CB1694" s="208" t="n"/>
      <c r="CC1694" s="139" t="n"/>
      <c r="CD1694" s="204" t="n"/>
      <c r="CE1694" s="204" t="n"/>
      <c r="CF1694" s="207" t="n"/>
      <c r="CG1694" s="208" t="n"/>
      <c r="CH1694" s="207" t="n"/>
      <c r="CI1694" s="208" t="n"/>
      <c r="CJ1694" s="204" t="n"/>
      <c r="CK1694" s="208" t="n"/>
      <c r="CL1694" s="208" t="n"/>
      <c r="CM1694" s="208" t="n"/>
      <c r="CN1694" s="78" t="n"/>
      <c r="CO1694" s="209" t="n"/>
      <c r="CP1694" s="204" t="n"/>
      <c r="CQ1694" s="204" t="n"/>
      <c r="CR1694" s="204" t="n"/>
      <c r="CS1694" s="204" t="n"/>
      <c r="CT1694" s="204" t="n"/>
      <c r="CU1694" s="204" t="n"/>
      <c r="CV1694" s="204" t="n"/>
      <c r="CW1694" s="204" t="n"/>
    </row>
    <row r="1695">
      <c r="BF1695" s="78" t="n"/>
      <c r="BG1695" s="78" t="n"/>
      <c r="BH1695" s="78" t="n"/>
      <c r="BI1695" s="78" t="n"/>
      <c r="BJ1695" s="139" t="n"/>
      <c r="BK1695" s="204" t="n"/>
      <c r="BL1695" s="141" t="n"/>
      <c r="BM1695" s="205" t="n"/>
      <c r="BN1695" s="205" t="n"/>
      <c r="BO1695" s="206" t="n"/>
      <c r="BP1695" s="144" t="n"/>
      <c r="BQ1695" s="141" t="n"/>
      <c r="BR1695" s="207" t="n"/>
      <c r="BS1695" s="207" t="n"/>
      <c r="BT1695" s="207" t="n"/>
      <c r="BU1695" s="207" t="n"/>
      <c r="BV1695" s="208" t="n"/>
      <c r="BW1695" s="207" t="n"/>
      <c r="BX1695" s="207" t="n"/>
      <c r="BY1695" s="204" t="n"/>
      <c r="BZ1695" s="148" t="n"/>
      <c r="CA1695" s="204" t="n"/>
      <c r="CB1695" s="208" t="n"/>
      <c r="CC1695" s="139" t="n"/>
      <c r="CD1695" s="204" t="n"/>
      <c r="CE1695" s="204" t="n"/>
      <c r="CF1695" s="207" t="n"/>
      <c r="CG1695" s="208" t="n"/>
      <c r="CH1695" s="207" t="n"/>
      <c r="CI1695" s="208" t="n"/>
      <c r="CJ1695" s="204" t="n"/>
      <c r="CK1695" s="208" t="n"/>
      <c r="CL1695" s="208" t="n"/>
      <c r="CM1695" s="208" t="n"/>
      <c r="CN1695" s="78" t="n"/>
      <c r="CO1695" s="209" t="n"/>
      <c r="CP1695" s="204" t="n"/>
      <c r="CQ1695" s="204" t="n"/>
      <c r="CR1695" s="204" t="n"/>
      <c r="CS1695" s="204" t="n"/>
      <c r="CT1695" s="204" t="n"/>
      <c r="CU1695" s="204" t="n"/>
      <c r="CV1695" s="204" t="n"/>
      <c r="CW1695" s="204" t="n"/>
    </row>
    <row r="1696">
      <c r="BF1696" s="78" t="n"/>
      <c r="BG1696" s="78" t="n"/>
      <c r="BH1696" s="78" t="n"/>
      <c r="BI1696" s="78" t="n"/>
      <c r="BJ1696" s="139" t="n"/>
      <c r="BK1696" s="204" t="n"/>
      <c r="BL1696" s="141" t="n"/>
      <c r="BM1696" s="205" t="n"/>
      <c r="BN1696" s="205" t="n"/>
      <c r="BO1696" s="206" t="n"/>
      <c r="BP1696" s="144" t="n"/>
      <c r="BQ1696" s="141" t="n"/>
      <c r="BR1696" s="207" t="n"/>
      <c r="BS1696" s="207" t="n"/>
      <c r="BT1696" s="207" t="n"/>
      <c r="BU1696" s="207" t="n"/>
      <c r="BV1696" s="208" t="n"/>
      <c r="BW1696" s="207" t="n"/>
      <c r="BX1696" s="207" t="n"/>
      <c r="BY1696" s="204" t="n"/>
      <c r="BZ1696" s="148" t="n"/>
      <c r="CA1696" s="204" t="n"/>
      <c r="CB1696" s="208" t="n"/>
      <c r="CC1696" s="139" t="n"/>
      <c r="CD1696" s="204" t="n"/>
      <c r="CE1696" s="204" t="n"/>
      <c r="CF1696" s="207" t="n"/>
      <c r="CG1696" s="208" t="n"/>
      <c r="CH1696" s="207" t="n"/>
      <c r="CI1696" s="208" t="n"/>
      <c r="CJ1696" s="204" t="n"/>
      <c r="CK1696" s="208" t="n"/>
      <c r="CL1696" s="208" t="n"/>
      <c r="CM1696" s="208" t="n"/>
      <c r="CN1696" s="78" t="n"/>
      <c r="CO1696" s="209" t="n"/>
      <c r="CP1696" s="204" t="n"/>
      <c r="CQ1696" s="204" t="n"/>
      <c r="CR1696" s="204" t="n"/>
      <c r="CS1696" s="204" t="n"/>
      <c r="CT1696" s="204" t="n"/>
      <c r="CU1696" s="204" t="n"/>
      <c r="CV1696" s="204" t="n"/>
      <c r="CW1696" s="204" t="n"/>
    </row>
    <row r="1697">
      <c r="BF1697" s="78" t="n"/>
      <c r="BG1697" s="78" t="n"/>
      <c r="BH1697" s="78" t="n"/>
      <c r="BI1697" s="78" t="n"/>
      <c r="BJ1697" s="139" t="n"/>
      <c r="BK1697" s="204" t="n"/>
      <c r="BL1697" s="141" t="n"/>
      <c r="BM1697" s="205" t="n"/>
      <c r="BN1697" s="205" t="n"/>
      <c r="BO1697" s="206" t="n"/>
      <c r="BP1697" s="144" t="n"/>
      <c r="BQ1697" s="141" t="n"/>
      <c r="BR1697" s="207" t="n"/>
      <c r="BS1697" s="207" t="n"/>
      <c r="BT1697" s="207" t="n"/>
      <c r="BU1697" s="207" t="n"/>
      <c r="BV1697" s="208" t="n"/>
      <c r="BW1697" s="207" t="n"/>
      <c r="BX1697" s="207" t="n"/>
      <c r="BY1697" s="204" t="n"/>
      <c r="BZ1697" s="148" t="n"/>
      <c r="CA1697" s="204" t="n"/>
      <c r="CB1697" s="208" t="n"/>
      <c r="CC1697" s="139" t="n"/>
      <c r="CD1697" s="204" t="n"/>
      <c r="CE1697" s="204" t="n"/>
      <c r="CF1697" s="207" t="n"/>
      <c r="CG1697" s="208" t="n"/>
      <c r="CH1697" s="207" t="n"/>
      <c r="CI1697" s="208" t="n"/>
      <c r="CJ1697" s="204" t="n"/>
      <c r="CK1697" s="208" t="n"/>
      <c r="CL1697" s="208" t="n"/>
      <c r="CM1697" s="208" t="n"/>
      <c r="CN1697" s="78" t="n"/>
      <c r="CO1697" s="209" t="n"/>
      <c r="CP1697" s="204" t="n"/>
      <c r="CQ1697" s="204" t="n"/>
      <c r="CR1697" s="204" t="n"/>
      <c r="CS1697" s="204" t="n"/>
      <c r="CT1697" s="204" t="n"/>
      <c r="CU1697" s="204" t="n"/>
      <c r="CV1697" s="204" t="n"/>
      <c r="CW1697" s="204" t="n"/>
    </row>
    <row r="1698">
      <c r="AF1698" s="158" t="n"/>
      <c r="BF1698" s="78" t="n"/>
      <c r="BG1698" s="78" t="n"/>
      <c r="BH1698" s="78" t="n"/>
      <c r="BI1698" s="78" t="n"/>
      <c r="BJ1698" s="139" t="n"/>
      <c r="BK1698" s="204" t="n"/>
      <c r="BL1698" s="141" t="n"/>
      <c r="BM1698" s="205" t="n"/>
      <c r="BN1698" s="205" t="n"/>
      <c r="BO1698" s="206" t="n"/>
      <c r="BP1698" s="144" t="n"/>
      <c r="BQ1698" s="141" t="n"/>
      <c r="BR1698" s="207" t="n"/>
      <c r="BS1698" s="207" t="n"/>
      <c r="BT1698" s="207" t="n"/>
      <c r="BU1698" s="207" t="n"/>
      <c r="BV1698" s="208" t="n"/>
      <c r="BW1698" s="207" t="n"/>
      <c r="BX1698" s="207" t="n"/>
      <c r="BY1698" s="204" t="n"/>
      <c r="BZ1698" s="148" t="n"/>
      <c r="CA1698" s="204" t="n"/>
      <c r="CB1698" s="208" t="n"/>
      <c r="CC1698" s="139" t="n"/>
      <c r="CD1698" s="204" t="n"/>
      <c r="CE1698" s="204" t="n"/>
      <c r="CF1698" s="207" t="n"/>
      <c r="CG1698" s="208" t="n"/>
      <c r="CH1698" s="207" t="n"/>
      <c r="CI1698" s="208" t="n"/>
      <c r="CJ1698" s="204" t="n"/>
      <c r="CK1698" s="208" t="n"/>
      <c r="CL1698" s="208" t="n"/>
      <c r="CM1698" s="208" t="n"/>
      <c r="CN1698" s="78" t="n"/>
      <c r="CO1698" s="209" t="n"/>
      <c r="CP1698" s="204" t="n"/>
      <c r="CQ1698" s="204" t="n"/>
      <c r="CR1698" s="204" t="n"/>
      <c r="CS1698" s="204" t="n"/>
      <c r="CT1698" s="204" t="n"/>
      <c r="CU1698" s="204" t="n"/>
      <c r="CV1698" s="204" t="n"/>
      <c r="CW1698" s="204" t="n"/>
    </row>
    <row r="1699">
      <c r="BF1699" s="78" t="n"/>
      <c r="BG1699" s="78" t="n"/>
      <c r="BH1699" s="78" t="n"/>
      <c r="BI1699" s="78" t="n"/>
      <c r="BJ1699" s="139" t="n"/>
      <c r="BK1699" s="204" t="n"/>
      <c r="BL1699" s="141" t="n"/>
      <c r="BM1699" s="205" t="n"/>
      <c r="BN1699" s="205" t="n"/>
      <c r="BO1699" s="206" t="n"/>
      <c r="BP1699" s="144" t="n"/>
      <c r="BQ1699" s="141" t="n"/>
      <c r="BR1699" s="207" t="n"/>
      <c r="BS1699" s="207" t="n"/>
      <c r="BT1699" s="207" t="n"/>
      <c r="BU1699" s="207" t="n"/>
      <c r="BV1699" s="208" t="n"/>
      <c r="BW1699" s="207" t="n"/>
      <c r="BX1699" s="207" t="n"/>
      <c r="BY1699" s="204" t="n"/>
      <c r="BZ1699" s="148" t="n"/>
      <c r="CA1699" s="204" t="n"/>
      <c r="CB1699" s="208" t="n"/>
      <c r="CC1699" s="139" t="n"/>
      <c r="CD1699" s="204" t="n"/>
      <c r="CE1699" s="204" t="n"/>
      <c r="CF1699" s="207" t="n"/>
      <c r="CG1699" s="208" t="n"/>
      <c r="CH1699" s="207" t="n"/>
      <c r="CI1699" s="208" t="n"/>
      <c r="CJ1699" s="204" t="n"/>
      <c r="CK1699" s="208" t="n"/>
      <c r="CL1699" s="208" t="n"/>
      <c r="CM1699" s="208" t="n"/>
      <c r="CN1699" s="78" t="n"/>
      <c r="CO1699" s="209" t="n"/>
      <c r="CP1699" s="204" t="n"/>
      <c r="CQ1699" s="204" t="n"/>
      <c r="CR1699" s="204" t="n"/>
      <c r="CS1699" s="204" t="n"/>
      <c r="CT1699" s="204" t="n"/>
      <c r="CU1699" s="204" t="n"/>
      <c r="CV1699" s="204" t="n"/>
      <c r="CW1699" s="204" t="n"/>
    </row>
    <row r="1700">
      <c r="AF1700" s="158" t="n"/>
      <c r="BF1700" s="78" t="n"/>
      <c r="BG1700" s="78" t="n"/>
      <c r="BH1700" s="78" t="n"/>
      <c r="BI1700" s="78" t="n"/>
      <c r="BJ1700" s="139" t="n"/>
      <c r="BK1700" s="204" t="n"/>
      <c r="BL1700" s="141" t="n"/>
      <c r="BM1700" s="205" t="n"/>
      <c r="BN1700" s="205" t="n"/>
      <c r="BO1700" s="206" t="n"/>
      <c r="BP1700" s="144" t="n"/>
      <c r="BQ1700" s="141" t="n"/>
      <c r="BR1700" s="207" t="n"/>
      <c r="BS1700" s="207" t="n"/>
      <c r="BT1700" s="207" t="n"/>
      <c r="BU1700" s="207" t="n"/>
      <c r="BV1700" s="208" t="n"/>
      <c r="BW1700" s="207" t="n"/>
      <c r="BX1700" s="207" t="n"/>
      <c r="BY1700" s="204" t="n"/>
      <c r="BZ1700" s="148" t="n"/>
      <c r="CA1700" s="204" t="n"/>
      <c r="CB1700" s="208" t="n"/>
      <c r="CC1700" s="139" t="n"/>
      <c r="CD1700" s="204" t="n"/>
      <c r="CE1700" s="204" t="n"/>
      <c r="CF1700" s="207" t="n"/>
      <c r="CG1700" s="208" t="n"/>
      <c r="CH1700" s="207" t="n"/>
      <c r="CI1700" s="208" t="n"/>
      <c r="CJ1700" s="204" t="n"/>
      <c r="CK1700" s="208" t="n"/>
      <c r="CL1700" s="208" t="n"/>
      <c r="CM1700" s="208" t="n"/>
      <c r="CN1700" s="78" t="n"/>
      <c r="CO1700" s="209" t="n"/>
      <c r="CP1700" s="204" t="n"/>
      <c r="CQ1700" s="204" t="n"/>
      <c r="CR1700" s="204" t="n"/>
      <c r="CS1700" s="204" t="n"/>
      <c r="CT1700" s="204" t="n"/>
      <c r="CU1700" s="204" t="n"/>
      <c r="CV1700" s="204" t="n"/>
      <c r="CW1700" s="204" t="n"/>
    </row>
    <row r="1701">
      <c r="BF1701" s="78" t="n"/>
      <c r="BG1701" s="78" t="n"/>
      <c r="BH1701" s="78" t="n"/>
      <c r="BI1701" s="78" t="n"/>
      <c r="BJ1701" s="139" t="n"/>
      <c r="BK1701" s="204" t="n"/>
      <c r="BL1701" s="141" t="n"/>
      <c r="BM1701" s="205" t="n"/>
      <c r="BN1701" s="205" t="n"/>
      <c r="BO1701" s="206" t="n"/>
      <c r="BP1701" s="144" t="n"/>
      <c r="BQ1701" s="141" t="n"/>
      <c r="BR1701" s="207" t="n"/>
      <c r="BS1701" s="207" t="n"/>
      <c r="BT1701" s="207" t="n"/>
      <c r="BU1701" s="207" t="n"/>
      <c r="BV1701" s="208" t="n"/>
      <c r="BW1701" s="207" t="n"/>
      <c r="BX1701" s="207" t="n"/>
      <c r="BY1701" s="204" t="n"/>
      <c r="BZ1701" s="148" t="n"/>
      <c r="CA1701" s="204" t="n"/>
      <c r="CB1701" s="208" t="n"/>
      <c r="CC1701" s="139" t="n"/>
      <c r="CD1701" s="204" t="n"/>
      <c r="CE1701" s="204" t="n"/>
      <c r="CF1701" s="207" t="n"/>
      <c r="CG1701" s="208" t="n"/>
      <c r="CH1701" s="207" t="n"/>
      <c r="CI1701" s="208" t="n"/>
      <c r="CJ1701" s="204" t="n"/>
      <c r="CK1701" s="208" t="n"/>
      <c r="CL1701" s="208" t="n"/>
      <c r="CM1701" s="208" t="n"/>
      <c r="CN1701" s="78" t="n"/>
      <c r="CO1701" s="209" t="n"/>
      <c r="CP1701" s="204" t="n"/>
      <c r="CQ1701" s="204" t="n"/>
      <c r="CR1701" s="204" t="n"/>
      <c r="CS1701" s="204" t="n"/>
      <c r="CT1701" s="204" t="n"/>
      <c r="CU1701" s="204" t="n"/>
      <c r="CV1701" s="204" t="n"/>
      <c r="CW1701" s="204" t="n"/>
    </row>
    <row r="1702">
      <c r="BF1702" s="78" t="n"/>
      <c r="BG1702" s="78" t="n"/>
      <c r="BH1702" s="78" t="n"/>
      <c r="BI1702" s="78" t="n"/>
      <c r="BJ1702" s="139" t="n"/>
      <c r="BK1702" s="204" t="n"/>
      <c r="BL1702" s="141" t="n"/>
      <c r="BM1702" s="205" t="n"/>
      <c r="BN1702" s="205" t="n"/>
      <c r="BO1702" s="206" t="n"/>
      <c r="BP1702" s="144" t="n"/>
      <c r="BQ1702" s="141" t="n"/>
      <c r="BR1702" s="207" t="n"/>
      <c r="BS1702" s="207" t="n"/>
      <c r="BT1702" s="207" t="n"/>
      <c r="BU1702" s="207" t="n"/>
      <c r="BV1702" s="208" t="n"/>
      <c r="BW1702" s="207" t="n"/>
      <c r="BX1702" s="207" t="n"/>
      <c r="BY1702" s="204" t="n"/>
      <c r="BZ1702" s="148" t="n"/>
      <c r="CA1702" s="204" t="n"/>
      <c r="CB1702" s="208" t="n"/>
      <c r="CC1702" s="139" t="n"/>
      <c r="CD1702" s="204" t="n"/>
      <c r="CE1702" s="204" t="n"/>
      <c r="CF1702" s="207" t="n"/>
      <c r="CG1702" s="208" t="n"/>
      <c r="CH1702" s="207" t="n"/>
      <c r="CI1702" s="208" t="n"/>
      <c r="CJ1702" s="204" t="n"/>
      <c r="CK1702" s="208" t="n"/>
      <c r="CL1702" s="208" t="n"/>
      <c r="CM1702" s="208" t="n"/>
      <c r="CN1702" s="78" t="n"/>
      <c r="CO1702" s="209" t="n"/>
      <c r="CP1702" s="204" t="n"/>
      <c r="CQ1702" s="204" t="n"/>
      <c r="CR1702" s="204" t="n"/>
      <c r="CS1702" s="204" t="n"/>
      <c r="CT1702" s="204" t="n"/>
      <c r="CU1702" s="204" t="n"/>
      <c r="CV1702" s="204" t="n"/>
      <c r="CW1702" s="204" t="n"/>
    </row>
    <row r="1703">
      <c r="BF1703" s="78" t="n"/>
      <c r="BG1703" s="78" t="n"/>
      <c r="BH1703" s="78" t="n"/>
      <c r="BI1703" s="78" t="n"/>
      <c r="BJ1703" s="139" t="n"/>
      <c r="BK1703" s="204" t="n"/>
      <c r="BL1703" s="141" t="n"/>
      <c r="BM1703" s="205" t="n"/>
      <c r="BN1703" s="205" t="n"/>
      <c r="BO1703" s="206" t="n"/>
      <c r="BP1703" s="144" t="n"/>
      <c r="BQ1703" s="141" t="n"/>
      <c r="BR1703" s="207" t="n"/>
      <c r="BS1703" s="207" t="n"/>
      <c r="BT1703" s="207" t="n"/>
      <c r="BU1703" s="207" t="n"/>
      <c r="BV1703" s="208" t="n"/>
      <c r="BW1703" s="207" t="n"/>
      <c r="BX1703" s="207" t="n"/>
      <c r="BY1703" s="204" t="n"/>
      <c r="BZ1703" s="148" t="n"/>
      <c r="CA1703" s="204" t="n"/>
      <c r="CB1703" s="208" t="n"/>
      <c r="CC1703" s="139" t="n"/>
      <c r="CD1703" s="204" t="n"/>
      <c r="CE1703" s="204" t="n"/>
      <c r="CF1703" s="207" t="n"/>
      <c r="CG1703" s="208" t="n"/>
      <c r="CH1703" s="207" t="n"/>
      <c r="CI1703" s="208" t="n"/>
      <c r="CJ1703" s="204" t="n"/>
      <c r="CK1703" s="208" t="n"/>
      <c r="CL1703" s="208" t="n"/>
      <c r="CM1703" s="208" t="n"/>
      <c r="CN1703" s="78" t="n"/>
      <c r="CO1703" s="209" t="n"/>
      <c r="CP1703" s="204" t="n"/>
      <c r="CQ1703" s="204" t="n"/>
      <c r="CR1703" s="204" t="n"/>
      <c r="CS1703" s="204" t="n"/>
      <c r="CT1703" s="204" t="n"/>
      <c r="CU1703" s="204" t="n"/>
      <c r="CV1703" s="204" t="n"/>
      <c r="CW1703" s="204" t="n"/>
    </row>
    <row r="1704">
      <c r="BF1704" s="78" t="n"/>
      <c r="BG1704" s="78" t="n"/>
      <c r="BH1704" s="78" t="n"/>
      <c r="BI1704" s="78" t="n"/>
      <c r="BJ1704" s="139" t="n"/>
      <c r="BK1704" s="204" t="n"/>
      <c r="BL1704" s="141" t="n"/>
      <c r="BM1704" s="205" t="n"/>
      <c r="BN1704" s="205" t="n"/>
      <c r="BO1704" s="206" t="n"/>
      <c r="BP1704" s="144" t="n"/>
      <c r="BQ1704" s="141" t="n"/>
      <c r="BR1704" s="207" t="n"/>
      <c r="BS1704" s="207" t="n"/>
      <c r="BT1704" s="207" t="n"/>
      <c r="BU1704" s="207" t="n"/>
      <c r="BV1704" s="208" t="n"/>
      <c r="BW1704" s="207" t="n"/>
      <c r="BX1704" s="207" t="n"/>
      <c r="BY1704" s="204" t="n"/>
      <c r="BZ1704" s="148" t="n"/>
      <c r="CA1704" s="204" t="n"/>
      <c r="CB1704" s="208" t="n"/>
      <c r="CC1704" s="139" t="n"/>
      <c r="CD1704" s="204" t="n"/>
      <c r="CE1704" s="204" t="n"/>
      <c r="CF1704" s="207" t="n"/>
      <c r="CG1704" s="208" t="n"/>
      <c r="CH1704" s="207" t="n"/>
      <c r="CI1704" s="208" t="n"/>
      <c r="CJ1704" s="204" t="n"/>
      <c r="CK1704" s="208" t="n"/>
      <c r="CL1704" s="208" t="n"/>
      <c r="CM1704" s="208" t="n"/>
      <c r="CN1704" s="78" t="n"/>
      <c r="CO1704" s="209" t="n"/>
      <c r="CP1704" s="204" t="n"/>
      <c r="CQ1704" s="204" t="n"/>
      <c r="CR1704" s="204" t="n"/>
      <c r="CS1704" s="204" t="n"/>
      <c r="CT1704" s="204" t="n"/>
      <c r="CU1704" s="204" t="n"/>
      <c r="CV1704" s="204" t="n"/>
      <c r="CW1704" s="204" t="n"/>
    </row>
    <row r="1705">
      <c r="BF1705" s="78" t="n"/>
      <c r="BG1705" s="78" t="n"/>
      <c r="BH1705" s="78" t="n"/>
      <c r="BI1705" s="78" t="n"/>
      <c r="BJ1705" s="139" t="n"/>
      <c r="BK1705" s="204" t="n"/>
      <c r="BL1705" s="141" t="n"/>
      <c r="BM1705" s="205" t="n"/>
      <c r="BN1705" s="205" t="n"/>
      <c r="BO1705" s="206" t="n"/>
      <c r="BP1705" s="144" t="n"/>
      <c r="BQ1705" s="141" t="n"/>
      <c r="BR1705" s="207" t="n"/>
      <c r="BS1705" s="207" t="n"/>
      <c r="BT1705" s="207" t="n"/>
      <c r="BU1705" s="207" t="n"/>
      <c r="BV1705" s="208" t="n"/>
      <c r="BW1705" s="207" t="n"/>
      <c r="BX1705" s="207" t="n"/>
      <c r="BY1705" s="204" t="n"/>
      <c r="BZ1705" s="148" t="n"/>
      <c r="CA1705" s="204" t="n"/>
      <c r="CB1705" s="208" t="n"/>
      <c r="CC1705" s="139" t="n"/>
      <c r="CD1705" s="204" t="n"/>
      <c r="CE1705" s="204" t="n"/>
      <c r="CF1705" s="207" t="n"/>
      <c r="CG1705" s="208" t="n"/>
      <c r="CH1705" s="207" t="n"/>
      <c r="CI1705" s="208" t="n"/>
      <c r="CJ1705" s="204" t="n"/>
      <c r="CK1705" s="208" t="n"/>
      <c r="CL1705" s="208" t="n"/>
      <c r="CM1705" s="208" t="n"/>
      <c r="CN1705" s="78" t="n"/>
      <c r="CO1705" s="209" t="n"/>
      <c r="CP1705" s="204" t="n"/>
      <c r="CQ1705" s="204" t="n"/>
      <c r="CR1705" s="204" t="n"/>
      <c r="CS1705" s="204" t="n"/>
      <c r="CT1705" s="204" t="n"/>
      <c r="CU1705" s="204" t="n"/>
      <c r="CV1705" s="204" t="n"/>
      <c r="CW1705" s="204" t="n"/>
    </row>
    <row r="1706">
      <c r="BF1706" s="78" t="n"/>
      <c r="BG1706" s="78" t="n"/>
      <c r="BH1706" s="78" t="n"/>
      <c r="BI1706" s="78" t="n"/>
      <c r="BJ1706" s="139" t="n"/>
      <c r="BK1706" s="204" t="n"/>
      <c r="BL1706" s="141" t="n"/>
      <c r="BM1706" s="205" t="n"/>
      <c r="BN1706" s="205" t="n"/>
      <c r="BO1706" s="206" t="n"/>
      <c r="BP1706" s="144" t="n"/>
      <c r="BQ1706" s="141" t="n"/>
      <c r="BR1706" s="207" t="n"/>
      <c r="BS1706" s="207" t="n"/>
      <c r="BT1706" s="207" t="n"/>
      <c r="BU1706" s="207" t="n"/>
      <c r="BV1706" s="208" t="n"/>
      <c r="BW1706" s="207" t="n"/>
      <c r="BX1706" s="207" t="n"/>
      <c r="BY1706" s="204" t="n"/>
      <c r="BZ1706" s="148" t="n"/>
      <c r="CA1706" s="204" t="n"/>
      <c r="CB1706" s="208" t="n"/>
      <c r="CC1706" s="139" t="n"/>
      <c r="CD1706" s="204" t="n"/>
      <c r="CE1706" s="204" t="n"/>
      <c r="CF1706" s="207" t="n"/>
      <c r="CG1706" s="208" t="n"/>
      <c r="CH1706" s="207" t="n"/>
      <c r="CI1706" s="208" t="n"/>
      <c r="CJ1706" s="204" t="n"/>
      <c r="CK1706" s="208" t="n"/>
      <c r="CL1706" s="208" t="n"/>
      <c r="CM1706" s="208" t="n"/>
      <c r="CN1706" s="78" t="n"/>
      <c r="CO1706" s="209" t="n"/>
      <c r="CP1706" s="204" t="n"/>
      <c r="CQ1706" s="204" t="n"/>
      <c r="CR1706" s="204" t="n"/>
      <c r="CS1706" s="204" t="n"/>
      <c r="CT1706" s="204" t="n"/>
      <c r="CU1706" s="204" t="n"/>
      <c r="CV1706" s="204" t="n"/>
      <c r="CW1706" s="204" t="n"/>
    </row>
    <row r="1707">
      <c r="BF1707" s="78" t="n"/>
      <c r="BG1707" s="78" t="n"/>
      <c r="BH1707" s="78" t="n"/>
      <c r="BI1707" s="78" t="n"/>
      <c r="BJ1707" s="139" t="n"/>
      <c r="BK1707" s="204" t="n"/>
      <c r="BL1707" s="141" t="n"/>
      <c r="BM1707" s="205" t="n"/>
      <c r="BN1707" s="205" t="n"/>
      <c r="BO1707" s="206" t="n"/>
      <c r="BP1707" s="144" t="n"/>
      <c r="BQ1707" s="141" t="n"/>
      <c r="BR1707" s="207" t="n"/>
      <c r="BS1707" s="207" t="n"/>
      <c r="BT1707" s="207" t="n"/>
      <c r="BU1707" s="207" t="n"/>
      <c r="BV1707" s="208" t="n"/>
      <c r="BW1707" s="207" t="n"/>
      <c r="BX1707" s="207" t="n"/>
      <c r="BY1707" s="204" t="n"/>
      <c r="BZ1707" s="148" t="n"/>
      <c r="CA1707" s="204" t="n"/>
      <c r="CB1707" s="208" t="n"/>
      <c r="CC1707" s="139" t="n"/>
      <c r="CD1707" s="204" t="n"/>
      <c r="CE1707" s="204" t="n"/>
      <c r="CF1707" s="207" t="n"/>
      <c r="CG1707" s="208" t="n"/>
      <c r="CH1707" s="207" t="n"/>
      <c r="CI1707" s="208" t="n"/>
      <c r="CJ1707" s="204" t="n"/>
      <c r="CK1707" s="208" t="n"/>
      <c r="CL1707" s="208" t="n"/>
      <c r="CM1707" s="208" t="n"/>
      <c r="CN1707" s="78" t="n"/>
      <c r="CO1707" s="209" t="n"/>
      <c r="CP1707" s="204" t="n"/>
      <c r="CQ1707" s="204" t="n"/>
      <c r="CR1707" s="204" t="n"/>
      <c r="CS1707" s="204" t="n"/>
      <c r="CT1707" s="204" t="n"/>
      <c r="CU1707" s="204" t="n"/>
      <c r="CV1707" s="204" t="n"/>
      <c r="CW1707" s="204" t="n"/>
    </row>
    <row r="1708">
      <c r="BF1708" s="78" t="n"/>
      <c r="BG1708" s="78" t="n"/>
      <c r="BH1708" s="78" t="n"/>
      <c r="BI1708" s="78" t="n"/>
      <c r="BJ1708" s="139" t="n"/>
      <c r="BK1708" s="204" t="n"/>
      <c r="BL1708" s="141" t="n"/>
      <c r="BM1708" s="205" t="n"/>
      <c r="BN1708" s="205" t="n"/>
      <c r="BO1708" s="206" t="n"/>
      <c r="BP1708" s="144" t="n"/>
      <c r="BQ1708" s="141" t="n"/>
      <c r="BR1708" s="207" t="n"/>
      <c r="BS1708" s="207" t="n"/>
      <c r="BT1708" s="207" t="n"/>
      <c r="BU1708" s="207" t="n"/>
      <c r="BV1708" s="208" t="n"/>
      <c r="BW1708" s="207" t="n"/>
      <c r="BX1708" s="207" t="n"/>
      <c r="BY1708" s="204" t="n"/>
      <c r="BZ1708" s="148" t="n"/>
      <c r="CA1708" s="204" t="n"/>
      <c r="CB1708" s="208" t="n"/>
      <c r="CC1708" s="139" t="n"/>
      <c r="CD1708" s="204" t="n"/>
      <c r="CE1708" s="204" t="n"/>
      <c r="CF1708" s="207" t="n"/>
      <c r="CG1708" s="208" t="n"/>
      <c r="CH1708" s="207" t="n"/>
      <c r="CI1708" s="208" t="n"/>
      <c r="CJ1708" s="204" t="n"/>
      <c r="CK1708" s="208" t="n"/>
      <c r="CL1708" s="208" t="n"/>
      <c r="CM1708" s="208" t="n"/>
      <c r="CN1708" s="78" t="n"/>
      <c r="CO1708" s="209" t="n"/>
      <c r="CP1708" s="204" t="n"/>
      <c r="CQ1708" s="204" t="n"/>
      <c r="CR1708" s="204" t="n"/>
      <c r="CS1708" s="204" t="n"/>
      <c r="CT1708" s="204" t="n"/>
      <c r="CU1708" s="204" t="n"/>
      <c r="CV1708" s="204" t="n"/>
      <c r="CW1708" s="204" t="n"/>
    </row>
    <row r="1709">
      <c r="BF1709" s="78" t="n"/>
      <c r="BG1709" s="78" t="n"/>
      <c r="BH1709" s="78" t="n"/>
      <c r="BI1709" s="78" t="n"/>
      <c r="BJ1709" s="139" t="n"/>
      <c r="BK1709" s="204" t="n"/>
      <c r="BL1709" s="141" t="n"/>
      <c r="BM1709" s="205" t="n"/>
      <c r="BN1709" s="205" t="n"/>
      <c r="BO1709" s="206" t="n"/>
      <c r="BP1709" s="144" t="n"/>
      <c r="BQ1709" s="141" t="n"/>
      <c r="BR1709" s="207" t="n"/>
      <c r="BS1709" s="207" t="n"/>
      <c r="BT1709" s="207" t="n"/>
      <c r="BU1709" s="207" t="n"/>
      <c r="BV1709" s="208" t="n"/>
      <c r="BW1709" s="207" t="n"/>
      <c r="BX1709" s="207" t="n"/>
      <c r="BY1709" s="204" t="n"/>
      <c r="BZ1709" s="148" t="n"/>
      <c r="CA1709" s="204" t="n"/>
      <c r="CB1709" s="208" t="n"/>
      <c r="CC1709" s="139" t="n"/>
      <c r="CD1709" s="204" t="n"/>
      <c r="CE1709" s="204" t="n"/>
      <c r="CF1709" s="207" t="n"/>
      <c r="CG1709" s="208" t="n"/>
      <c r="CH1709" s="207" t="n"/>
      <c r="CI1709" s="208" t="n"/>
      <c r="CJ1709" s="204" t="n"/>
      <c r="CK1709" s="208" t="n"/>
      <c r="CL1709" s="208" t="n"/>
      <c r="CM1709" s="208" t="n"/>
      <c r="CN1709" s="78" t="n"/>
      <c r="CO1709" s="209" t="n"/>
      <c r="CP1709" s="204" t="n"/>
      <c r="CQ1709" s="204" t="n"/>
      <c r="CR1709" s="204" t="n"/>
      <c r="CS1709" s="204" t="n"/>
      <c r="CT1709" s="204" t="n"/>
      <c r="CU1709" s="204" t="n"/>
      <c r="CV1709" s="204" t="n"/>
      <c r="CW1709" s="204" t="n"/>
    </row>
    <row r="1710">
      <c r="BF1710" s="78" t="n"/>
      <c r="BG1710" s="78" t="n"/>
      <c r="BH1710" s="78" t="n"/>
      <c r="BI1710" s="78" t="n"/>
      <c r="BJ1710" s="139" t="n"/>
      <c r="BK1710" s="204" t="n"/>
      <c r="BL1710" s="141" t="n"/>
      <c r="BM1710" s="205" t="n"/>
      <c r="BN1710" s="205" t="n"/>
      <c r="BO1710" s="206" t="n"/>
      <c r="BP1710" s="144" t="n"/>
      <c r="BQ1710" s="141" t="n"/>
      <c r="BR1710" s="207" t="n"/>
      <c r="BS1710" s="207" t="n"/>
      <c r="BT1710" s="207" t="n"/>
      <c r="BU1710" s="207" t="n"/>
      <c r="BV1710" s="208" t="n"/>
      <c r="BW1710" s="207" t="n"/>
      <c r="BX1710" s="207" t="n"/>
      <c r="BY1710" s="204" t="n"/>
      <c r="BZ1710" s="148" t="n"/>
      <c r="CA1710" s="204" t="n"/>
      <c r="CB1710" s="208" t="n"/>
      <c r="CC1710" s="139" t="n"/>
      <c r="CD1710" s="204" t="n"/>
      <c r="CE1710" s="204" t="n"/>
      <c r="CF1710" s="207" t="n"/>
      <c r="CG1710" s="208" t="n"/>
      <c r="CH1710" s="207" t="n"/>
      <c r="CI1710" s="208" t="n"/>
      <c r="CJ1710" s="204" t="n"/>
      <c r="CK1710" s="208" t="n"/>
      <c r="CL1710" s="208" t="n"/>
      <c r="CM1710" s="208" t="n"/>
      <c r="CN1710" s="78" t="n"/>
      <c r="CO1710" s="209" t="n"/>
      <c r="CP1710" s="204" t="n"/>
      <c r="CQ1710" s="204" t="n"/>
      <c r="CR1710" s="204" t="n"/>
      <c r="CS1710" s="204" t="n"/>
      <c r="CT1710" s="204" t="n"/>
      <c r="CU1710" s="204" t="n"/>
      <c r="CV1710" s="204" t="n"/>
      <c r="CW1710" s="204" t="n"/>
    </row>
    <row r="1711">
      <c r="AR1711" s="151" t="n"/>
      <c r="BF1711" s="78" t="n"/>
      <c r="BG1711" s="78" t="n"/>
      <c r="BH1711" s="78" t="n"/>
      <c r="BI1711" s="78" t="n"/>
      <c r="BJ1711" s="139" t="n"/>
      <c r="BK1711" s="204" t="n"/>
      <c r="BL1711" s="141" t="n"/>
      <c r="BM1711" s="205" t="n"/>
      <c r="BN1711" s="205" t="n"/>
      <c r="BO1711" s="206" t="n"/>
      <c r="BP1711" s="144" t="n"/>
      <c r="BQ1711" s="141" t="n"/>
      <c r="BR1711" s="207" t="n"/>
      <c r="BS1711" s="207" t="n"/>
      <c r="BT1711" s="207" t="n"/>
      <c r="BU1711" s="207" t="n"/>
      <c r="BV1711" s="208" t="n"/>
      <c r="BW1711" s="207" t="n"/>
      <c r="BX1711" s="207" t="n"/>
      <c r="BY1711" s="204" t="n"/>
      <c r="BZ1711" s="148" t="n"/>
      <c r="CA1711" s="204" t="n"/>
      <c r="CB1711" s="208" t="n"/>
      <c r="CC1711" s="139" t="n"/>
      <c r="CD1711" s="204" t="n"/>
      <c r="CE1711" s="204" t="n"/>
      <c r="CF1711" s="207" t="n"/>
      <c r="CG1711" s="208" t="n"/>
      <c r="CH1711" s="207" t="n"/>
      <c r="CI1711" s="208" t="n"/>
      <c r="CJ1711" s="204" t="n"/>
      <c r="CK1711" s="208" t="n"/>
      <c r="CL1711" s="208" t="n"/>
      <c r="CM1711" s="208" t="n"/>
      <c r="CN1711" s="78" t="n"/>
      <c r="CO1711" s="209" t="n"/>
      <c r="CP1711" s="204" t="n"/>
      <c r="CQ1711" s="204" t="n"/>
      <c r="CR1711" s="204" t="n"/>
      <c r="CS1711" s="204" t="n"/>
      <c r="CT1711" s="204" t="n"/>
      <c r="CU1711" s="204" t="n"/>
      <c r="CV1711" s="204" t="n"/>
      <c r="CW1711" s="204" t="n"/>
    </row>
    <row r="1712">
      <c r="BF1712" s="78" t="n"/>
      <c r="BG1712" s="78" t="n"/>
      <c r="BH1712" s="78" t="n"/>
      <c r="BI1712" s="78" t="n"/>
      <c r="BJ1712" s="139" t="n"/>
      <c r="BK1712" s="204" t="n"/>
      <c r="BL1712" s="141" t="n"/>
      <c r="BM1712" s="205" t="n"/>
      <c r="BN1712" s="205" t="n"/>
      <c r="BO1712" s="206" t="n"/>
      <c r="BP1712" s="144" t="n"/>
      <c r="BQ1712" s="141" t="n"/>
      <c r="BR1712" s="207" t="n"/>
      <c r="BS1712" s="207" t="n"/>
      <c r="BT1712" s="207" t="n"/>
      <c r="BU1712" s="207" t="n"/>
      <c r="BV1712" s="208" t="n"/>
      <c r="BW1712" s="207" t="n"/>
      <c r="BX1712" s="207" t="n"/>
      <c r="BY1712" s="204" t="n"/>
      <c r="BZ1712" s="148" t="n"/>
      <c r="CA1712" s="204" t="n"/>
      <c r="CB1712" s="208" t="n"/>
      <c r="CC1712" s="139" t="n"/>
      <c r="CD1712" s="204" t="n"/>
      <c r="CE1712" s="204" t="n"/>
      <c r="CF1712" s="207" t="n"/>
      <c r="CG1712" s="208" t="n"/>
      <c r="CH1712" s="207" t="n"/>
      <c r="CI1712" s="208" t="n"/>
      <c r="CJ1712" s="204" t="n"/>
      <c r="CK1712" s="208" t="n"/>
      <c r="CL1712" s="208" t="n"/>
      <c r="CM1712" s="208" t="n"/>
      <c r="CN1712" s="78" t="n"/>
      <c r="CO1712" s="209" t="n"/>
      <c r="CP1712" s="204" t="n"/>
      <c r="CQ1712" s="204" t="n"/>
      <c r="CR1712" s="204" t="n"/>
      <c r="CS1712" s="204" t="n"/>
      <c r="CT1712" s="204" t="n"/>
      <c r="CU1712" s="204" t="n"/>
      <c r="CV1712" s="204" t="n"/>
      <c r="CW1712" s="204" t="n"/>
    </row>
    <row r="1713">
      <c r="AR1713" s="151" t="n"/>
      <c r="BF1713" s="78" t="n"/>
      <c r="BG1713" s="78" t="n"/>
      <c r="BH1713" s="78" t="n"/>
      <c r="BI1713" s="78" t="n"/>
      <c r="BJ1713" s="139" t="n"/>
      <c r="BK1713" s="204" t="n"/>
      <c r="BL1713" s="141" t="n"/>
      <c r="BM1713" s="205" t="n"/>
      <c r="BN1713" s="205" t="n"/>
      <c r="BO1713" s="206" t="n"/>
      <c r="BP1713" s="144" t="n"/>
      <c r="BQ1713" s="141" t="n"/>
      <c r="BR1713" s="207" t="n"/>
      <c r="BS1713" s="207" t="n"/>
      <c r="BT1713" s="207" t="n"/>
      <c r="BU1713" s="207" t="n"/>
      <c r="BV1713" s="208" t="n"/>
      <c r="BW1713" s="207" t="n"/>
      <c r="BX1713" s="207" t="n"/>
      <c r="BY1713" s="204" t="n"/>
      <c r="BZ1713" s="148" t="n"/>
      <c r="CA1713" s="204" t="n"/>
      <c r="CB1713" s="208" t="n"/>
      <c r="CC1713" s="139" t="n"/>
      <c r="CD1713" s="204" t="n"/>
      <c r="CE1713" s="204" t="n"/>
      <c r="CF1713" s="207" t="n"/>
      <c r="CG1713" s="208" t="n"/>
      <c r="CH1713" s="207" t="n"/>
      <c r="CI1713" s="208" t="n"/>
      <c r="CJ1713" s="204" t="n"/>
      <c r="CK1713" s="208" t="n"/>
      <c r="CL1713" s="208" t="n"/>
      <c r="CM1713" s="208" t="n"/>
      <c r="CN1713" s="78" t="n"/>
      <c r="CO1713" s="209" t="n"/>
      <c r="CP1713" s="204" t="n"/>
      <c r="CQ1713" s="204" t="n"/>
      <c r="CR1713" s="204" t="n"/>
      <c r="CS1713" s="204" t="n"/>
      <c r="CT1713" s="204" t="n"/>
      <c r="CU1713" s="204" t="n"/>
      <c r="CV1713" s="204" t="n"/>
      <c r="CW1713" s="204" t="n"/>
    </row>
    <row r="1714">
      <c r="AR1714" s="151" t="n"/>
      <c r="BF1714" s="78" t="n"/>
      <c r="BG1714" s="78" t="n"/>
      <c r="BH1714" s="78" t="n"/>
      <c r="BI1714" s="78" t="n"/>
      <c r="BJ1714" s="139" t="n"/>
      <c r="BK1714" s="204" t="n"/>
      <c r="BL1714" s="141" t="n"/>
      <c r="BM1714" s="205" t="n"/>
      <c r="BN1714" s="205" t="n"/>
      <c r="BO1714" s="206" t="n"/>
      <c r="BP1714" s="144" t="n"/>
      <c r="BQ1714" s="141" t="n"/>
      <c r="BR1714" s="207" t="n"/>
      <c r="BS1714" s="207" t="n"/>
      <c r="BT1714" s="207" t="n"/>
      <c r="BU1714" s="207" t="n"/>
      <c r="BV1714" s="208" t="n"/>
      <c r="BW1714" s="207" t="n"/>
      <c r="BX1714" s="207" t="n"/>
      <c r="BY1714" s="204" t="n"/>
      <c r="BZ1714" s="148" t="n"/>
      <c r="CA1714" s="204" t="n"/>
      <c r="CB1714" s="208" t="n"/>
      <c r="CC1714" s="139" t="n"/>
      <c r="CD1714" s="204" t="n"/>
      <c r="CE1714" s="204" t="n"/>
      <c r="CF1714" s="207" t="n"/>
      <c r="CG1714" s="208" t="n"/>
      <c r="CH1714" s="207" t="n"/>
      <c r="CI1714" s="208" t="n"/>
      <c r="CJ1714" s="204" t="n"/>
      <c r="CK1714" s="208" t="n"/>
      <c r="CL1714" s="208" t="n"/>
      <c r="CM1714" s="208" t="n"/>
      <c r="CN1714" s="78" t="n"/>
      <c r="CO1714" s="209" t="n"/>
      <c r="CP1714" s="204" t="n"/>
      <c r="CQ1714" s="204" t="n"/>
      <c r="CR1714" s="204" t="n"/>
      <c r="CS1714" s="204" t="n"/>
      <c r="CT1714" s="204" t="n"/>
      <c r="CU1714" s="204" t="n"/>
      <c r="CV1714" s="204" t="n"/>
      <c r="CW1714" s="204" t="n"/>
    </row>
    <row r="1715">
      <c r="BF1715" s="78" t="n"/>
      <c r="BG1715" s="78" t="n"/>
      <c r="BH1715" s="78" t="n"/>
      <c r="BI1715" s="78" t="n"/>
      <c r="BJ1715" s="139" t="n"/>
      <c r="BK1715" s="204" t="n"/>
      <c r="BL1715" s="141" t="n"/>
      <c r="BM1715" s="205" t="n"/>
      <c r="BN1715" s="205" t="n"/>
      <c r="BO1715" s="206" t="n"/>
      <c r="BP1715" s="144" t="n"/>
      <c r="BQ1715" s="141" t="n"/>
      <c r="BR1715" s="207" t="n"/>
      <c r="BS1715" s="207" t="n"/>
      <c r="BT1715" s="207" t="n"/>
      <c r="BU1715" s="207" t="n"/>
      <c r="BV1715" s="208" t="n"/>
      <c r="BW1715" s="207" t="n"/>
      <c r="BX1715" s="207" t="n"/>
      <c r="BY1715" s="204" t="n"/>
      <c r="BZ1715" s="148" t="n"/>
      <c r="CA1715" s="204" t="n"/>
      <c r="CB1715" s="208" t="n"/>
      <c r="CC1715" s="139" t="n"/>
      <c r="CD1715" s="204" t="n"/>
      <c r="CE1715" s="204" t="n"/>
      <c r="CF1715" s="207" t="n"/>
      <c r="CG1715" s="208" t="n"/>
      <c r="CH1715" s="207" t="n"/>
      <c r="CI1715" s="208" t="n"/>
      <c r="CJ1715" s="204" t="n"/>
      <c r="CK1715" s="208" t="n"/>
      <c r="CL1715" s="208" t="n"/>
      <c r="CM1715" s="208" t="n"/>
      <c r="CN1715" s="78" t="n"/>
      <c r="CO1715" s="209" t="n"/>
      <c r="CP1715" s="204" t="n"/>
      <c r="CQ1715" s="204" t="n"/>
      <c r="CR1715" s="204" t="n"/>
      <c r="CS1715" s="204" t="n"/>
      <c r="CT1715" s="204" t="n"/>
      <c r="CU1715" s="204" t="n"/>
      <c r="CV1715" s="204" t="n"/>
      <c r="CW1715" s="204" t="n"/>
    </row>
    <row r="1716">
      <c r="AR1716" s="151" t="n"/>
      <c r="BF1716" s="78" t="n"/>
      <c r="BG1716" s="78" t="n"/>
      <c r="BH1716" s="78" t="n"/>
      <c r="BI1716" s="78" t="n"/>
      <c r="BJ1716" s="139" t="n"/>
      <c r="BK1716" s="204" t="n"/>
      <c r="BL1716" s="141" t="n"/>
      <c r="BM1716" s="205" t="n"/>
      <c r="BN1716" s="205" t="n"/>
      <c r="BO1716" s="206" t="n"/>
      <c r="BP1716" s="144" t="n"/>
      <c r="BQ1716" s="141" t="n"/>
      <c r="BR1716" s="207" t="n"/>
      <c r="BS1716" s="207" t="n"/>
      <c r="BT1716" s="207" t="n"/>
      <c r="BU1716" s="207" t="n"/>
      <c r="BV1716" s="208" t="n"/>
      <c r="BW1716" s="207" t="n"/>
      <c r="BX1716" s="207" t="n"/>
      <c r="BY1716" s="204" t="n"/>
      <c r="BZ1716" s="148" t="n"/>
      <c r="CA1716" s="204" t="n"/>
      <c r="CB1716" s="208" t="n"/>
      <c r="CC1716" s="139" t="n"/>
      <c r="CD1716" s="204" t="n"/>
      <c r="CE1716" s="204" t="n"/>
      <c r="CF1716" s="207" t="n"/>
      <c r="CG1716" s="208" t="n"/>
      <c r="CH1716" s="207" t="n"/>
      <c r="CI1716" s="208" t="n"/>
      <c r="CJ1716" s="204" t="n"/>
      <c r="CK1716" s="208" t="n"/>
      <c r="CL1716" s="208" t="n"/>
      <c r="CM1716" s="208" t="n"/>
      <c r="CN1716" s="78" t="n"/>
      <c r="CO1716" s="209" t="n"/>
      <c r="CP1716" s="204" t="n"/>
      <c r="CQ1716" s="204" t="n"/>
      <c r="CR1716" s="204" t="n"/>
      <c r="CS1716" s="204" t="n"/>
      <c r="CT1716" s="204" t="n"/>
      <c r="CU1716" s="204" t="n"/>
      <c r="CV1716" s="204" t="n"/>
      <c r="CW1716" s="204" t="n"/>
    </row>
    <row r="1717">
      <c r="BF1717" s="78" t="n"/>
      <c r="BG1717" s="78" t="n"/>
      <c r="BH1717" s="78" t="n"/>
      <c r="BI1717" s="78" t="n"/>
      <c r="BJ1717" s="139" t="n"/>
      <c r="BK1717" s="204" t="n"/>
      <c r="BL1717" s="141" t="n"/>
      <c r="BM1717" s="205" t="n"/>
      <c r="BN1717" s="205" t="n"/>
      <c r="BO1717" s="206" t="n"/>
      <c r="BP1717" s="144" t="n"/>
      <c r="BQ1717" s="141" t="n"/>
      <c r="BR1717" s="207" t="n"/>
      <c r="BS1717" s="207" t="n"/>
      <c r="BT1717" s="207" t="n"/>
      <c r="BU1717" s="207" t="n"/>
      <c r="BV1717" s="208" t="n"/>
      <c r="BW1717" s="207" t="n"/>
      <c r="BX1717" s="207" t="n"/>
      <c r="BY1717" s="204" t="n"/>
      <c r="BZ1717" s="148" t="n"/>
      <c r="CA1717" s="204" t="n"/>
      <c r="CB1717" s="208" t="n"/>
      <c r="CC1717" s="139" t="n"/>
      <c r="CD1717" s="204" t="n"/>
      <c r="CE1717" s="204" t="n"/>
      <c r="CF1717" s="207" t="n"/>
      <c r="CG1717" s="208" t="n"/>
      <c r="CH1717" s="207" t="n"/>
      <c r="CI1717" s="208" t="n"/>
      <c r="CJ1717" s="204" t="n"/>
      <c r="CK1717" s="208" t="n"/>
      <c r="CL1717" s="208" t="n"/>
      <c r="CM1717" s="208" t="n"/>
      <c r="CN1717" s="78" t="n"/>
      <c r="CO1717" s="209" t="n"/>
      <c r="CP1717" s="204" t="n"/>
      <c r="CQ1717" s="204" t="n"/>
      <c r="CR1717" s="204" t="n"/>
      <c r="CS1717" s="204" t="n"/>
      <c r="CT1717" s="204" t="n"/>
      <c r="CU1717" s="204" t="n"/>
      <c r="CV1717" s="204" t="n"/>
      <c r="CW1717" s="204" t="n"/>
    </row>
    <row r="1718">
      <c r="BF1718" s="78" t="n"/>
      <c r="BG1718" s="78" t="n"/>
      <c r="BH1718" s="78" t="n"/>
      <c r="BI1718" s="78" t="n"/>
      <c r="BJ1718" s="139" t="n"/>
      <c r="BK1718" s="204" t="n"/>
      <c r="BL1718" s="141" t="n"/>
      <c r="BM1718" s="205" t="n"/>
      <c r="BN1718" s="205" t="n"/>
      <c r="BO1718" s="206" t="n"/>
      <c r="BP1718" s="144" t="n"/>
      <c r="BQ1718" s="141" t="n"/>
      <c r="BR1718" s="207" t="n"/>
      <c r="BS1718" s="207" t="n"/>
      <c r="BT1718" s="207" t="n"/>
      <c r="BU1718" s="207" t="n"/>
      <c r="BV1718" s="208" t="n"/>
      <c r="BW1718" s="207" t="n"/>
      <c r="BX1718" s="207" t="n"/>
      <c r="BY1718" s="204" t="n"/>
      <c r="BZ1718" s="148" t="n"/>
      <c r="CA1718" s="204" t="n"/>
      <c r="CB1718" s="208" t="n"/>
      <c r="CC1718" s="139" t="n"/>
      <c r="CD1718" s="204" t="n"/>
      <c r="CE1718" s="204" t="n"/>
      <c r="CF1718" s="207" t="n"/>
      <c r="CG1718" s="208" t="n"/>
      <c r="CH1718" s="207" t="n"/>
      <c r="CI1718" s="208" t="n"/>
      <c r="CJ1718" s="204" t="n"/>
      <c r="CK1718" s="208" t="n"/>
      <c r="CL1718" s="208" t="n"/>
      <c r="CM1718" s="208" t="n"/>
      <c r="CN1718" s="78" t="n"/>
      <c r="CO1718" s="209" t="n"/>
      <c r="CP1718" s="204" t="n"/>
      <c r="CQ1718" s="204" t="n"/>
      <c r="CR1718" s="204" t="n"/>
      <c r="CS1718" s="204" t="n"/>
      <c r="CT1718" s="204" t="n"/>
      <c r="CU1718" s="204" t="n"/>
      <c r="CV1718" s="204" t="n"/>
      <c r="CW1718" s="204" t="n"/>
    </row>
    <row r="1719">
      <c r="BF1719" s="78" t="n"/>
      <c r="BG1719" s="78" t="n"/>
      <c r="BH1719" s="78" t="n"/>
      <c r="BI1719" s="78" t="n"/>
      <c r="BJ1719" s="139" t="n"/>
      <c r="BK1719" s="204" t="n"/>
      <c r="BL1719" s="141" t="n"/>
      <c r="BM1719" s="205" t="n"/>
      <c r="BN1719" s="205" t="n"/>
      <c r="BO1719" s="206" t="n"/>
      <c r="BP1719" s="144" t="n"/>
      <c r="BQ1719" s="141" t="n"/>
      <c r="BR1719" s="207" t="n"/>
      <c r="BS1719" s="207" t="n"/>
      <c r="BT1719" s="207" t="n"/>
      <c r="BU1719" s="207" t="n"/>
      <c r="BV1719" s="208" t="n"/>
      <c r="BW1719" s="207" t="n"/>
      <c r="BX1719" s="207" t="n"/>
      <c r="BY1719" s="204" t="n"/>
      <c r="BZ1719" s="148" t="n"/>
      <c r="CA1719" s="204" t="n"/>
      <c r="CB1719" s="208" t="n"/>
      <c r="CC1719" s="139" t="n"/>
      <c r="CD1719" s="204" t="n"/>
      <c r="CE1719" s="204" t="n"/>
      <c r="CF1719" s="207" t="n"/>
      <c r="CG1719" s="208" t="n"/>
      <c r="CH1719" s="207" t="n"/>
      <c r="CI1719" s="208" t="n"/>
      <c r="CJ1719" s="204" t="n"/>
      <c r="CK1719" s="208" t="n"/>
      <c r="CL1719" s="208" t="n"/>
      <c r="CM1719" s="208" t="n"/>
      <c r="CN1719" s="78" t="n"/>
      <c r="CO1719" s="209" t="n"/>
      <c r="CP1719" s="204" t="n"/>
      <c r="CQ1719" s="204" t="n"/>
      <c r="CR1719" s="204" t="n"/>
      <c r="CS1719" s="204" t="n"/>
      <c r="CT1719" s="204" t="n"/>
      <c r="CU1719" s="204" t="n"/>
      <c r="CV1719" s="204" t="n"/>
      <c r="CW1719" s="204" t="n"/>
    </row>
    <row r="1720">
      <c r="BF1720" s="78" t="n"/>
      <c r="BG1720" s="78" t="n"/>
      <c r="BH1720" s="78" t="n"/>
      <c r="BI1720" s="78" t="n"/>
      <c r="BJ1720" s="139" t="n"/>
      <c r="BK1720" s="204" t="n"/>
      <c r="BL1720" s="141" t="n"/>
      <c r="BM1720" s="205" t="n"/>
      <c r="BN1720" s="205" t="n"/>
      <c r="BO1720" s="206" t="n"/>
      <c r="BP1720" s="144" t="n"/>
      <c r="BQ1720" s="141" t="n"/>
      <c r="BR1720" s="207" t="n"/>
      <c r="BS1720" s="207" t="n"/>
      <c r="BT1720" s="207" t="n"/>
      <c r="BU1720" s="207" t="n"/>
      <c r="BV1720" s="208" t="n"/>
      <c r="BW1720" s="207" t="n"/>
      <c r="BX1720" s="207" t="n"/>
      <c r="BY1720" s="204" t="n"/>
      <c r="BZ1720" s="148" t="n"/>
      <c r="CA1720" s="204" t="n"/>
      <c r="CB1720" s="208" t="n"/>
      <c r="CC1720" s="139" t="n"/>
      <c r="CD1720" s="204" t="n"/>
      <c r="CE1720" s="204" t="n"/>
      <c r="CF1720" s="207" t="n"/>
      <c r="CG1720" s="208" t="n"/>
      <c r="CH1720" s="207" t="n"/>
      <c r="CI1720" s="208" t="n"/>
      <c r="CJ1720" s="204" t="n"/>
      <c r="CK1720" s="208" t="n"/>
      <c r="CL1720" s="208" t="n"/>
      <c r="CM1720" s="208" t="n"/>
      <c r="CN1720" s="78" t="n"/>
      <c r="CO1720" s="209" t="n"/>
      <c r="CP1720" s="204" t="n"/>
      <c r="CQ1720" s="204" t="n"/>
      <c r="CR1720" s="204" t="n"/>
      <c r="CS1720" s="204" t="n"/>
      <c r="CT1720" s="204" t="n"/>
      <c r="CU1720" s="204" t="n"/>
      <c r="CV1720" s="204" t="n"/>
      <c r="CW1720" s="204" t="n"/>
    </row>
    <row r="1721">
      <c r="BF1721" s="78" t="n"/>
      <c r="BG1721" s="78" t="n"/>
      <c r="BH1721" s="78" t="n"/>
      <c r="BI1721" s="78" t="n"/>
      <c r="BJ1721" s="139" t="n"/>
      <c r="BK1721" s="204" t="n"/>
      <c r="BL1721" s="141" t="n"/>
      <c r="BM1721" s="205" t="n"/>
      <c r="BN1721" s="205" t="n"/>
      <c r="BO1721" s="206" t="n"/>
      <c r="BP1721" s="144" t="n"/>
      <c r="BQ1721" s="141" t="n"/>
      <c r="BR1721" s="207" t="n"/>
      <c r="BS1721" s="207" t="n"/>
      <c r="BT1721" s="207" t="n"/>
      <c r="BU1721" s="207" t="n"/>
      <c r="BV1721" s="208" t="n"/>
      <c r="BW1721" s="207" t="n"/>
      <c r="BX1721" s="207" t="n"/>
      <c r="BY1721" s="204" t="n"/>
      <c r="BZ1721" s="148" t="n"/>
      <c r="CA1721" s="204" t="n"/>
      <c r="CB1721" s="208" t="n"/>
      <c r="CC1721" s="139" t="n"/>
      <c r="CD1721" s="204" t="n"/>
      <c r="CE1721" s="204" t="n"/>
      <c r="CF1721" s="207" t="n"/>
      <c r="CG1721" s="208" t="n"/>
      <c r="CH1721" s="207" t="n"/>
      <c r="CI1721" s="208" t="n"/>
      <c r="CJ1721" s="204" t="n"/>
      <c r="CK1721" s="208" t="n"/>
      <c r="CL1721" s="208" t="n"/>
      <c r="CM1721" s="208" t="n"/>
      <c r="CN1721" s="78" t="n"/>
      <c r="CO1721" s="209" t="n"/>
      <c r="CP1721" s="204" t="n"/>
      <c r="CQ1721" s="204" t="n"/>
      <c r="CR1721" s="204" t="n"/>
      <c r="CS1721" s="204" t="n"/>
      <c r="CT1721" s="204" t="n"/>
      <c r="CU1721" s="204" t="n"/>
      <c r="CV1721" s="204" t="n"/>
      <c r="CW1721" s="204" t="n"/>
    </row>
    <row r="1722">
      <c r="BF1722" s="78" t="n"/>
      <c r="BG1722" s="78" t="n"/>
      <c r="BH1722" s="78" t="n"/>
      <c r="BI1722" s="78" t="n"/>
      <c r="BJ1722" s="139" t="n"/>
      <c r="BK1722" s="204" t="n"/>
      <c r="BL1722" s="141" t="n"/>
      <c r="BM1722" s="205" t="n"/>
      <c r="BN1722" s="205" t="n"/>
      <c r="BO1722" s="206" t="n"/>
      <c r="BP1722" s="144" t="n"/>
      <c r="BQ1722" s="141" t="n"/>
      <c r="BR1722" s="207" t="n"/>
      <c r="BS1722" s="207" t="n"/>
      <c r="BT1722" s="207" t="n"/>
      <c r="BU1722" s="207" t="n"/>
      <c r="BV1722" s="208" t="n"/>
      <c r="BW1722" s="207" t="n"/>
      <c r="BX1722" s="207" t="n"/>
      <c r="BY1722" s="204" t="n"/>
      <c r="BZ1722" s="148" t="n"/>
      <c r="CA1722" s="204" t="n"/>
      <c r="CB1722" s="208" t="n"/>
      <c r="CC1722" s="139" t="n"/>
      <c r="CD1722" s="204" t="n"/>
      <c r="CE1722" s="204" t="n"/>
      <c r="CF1722" s="207" t="n"/>
      <c r="CG1722" s="208" t="n"/>
      <c r="CH1722" s="207" t="n"/>
      <c r="CI1722" s="208" t="n"/>
      <c r="CJ1722" s="204" t="n"/>
      <c r="CK1722" s="208" t="n"/>
      <c r="CL1722" s="208" t="n"/>
      <c r="CM1722" s="208" t="n"/>
      <c r="CN1722" s="78" t="n"/>
      <c r="CO1722" s="209" t="n"/>
      <c r="CP1722" s="204" t="n"/>
      <c r="CQ1722" s="204" t="n"/>
      <c r="CR1722" s="204" t="n"/>
      <c r="CS1722" s="204" t="n"/>
      <c r="CT1722" s="204" t="n"/>
      <c r="CU1722" s="204" t="n"/>
      <c r="CV1722" s="204" t="n"/>
      <c r="CW1722" s="204" t="n"/>
    </row>
    <row r="1723">
      <c r="BF1723" s="78" t="n"/>
      <c r="BG1723" s="78" t="n"/>
      <c r="BH1723" s="78" t="n"/>
      <c r="BI1723" s="78" t="n"/>
      <c r="BJ1723" s="139" t="n"/>
      <c r="BK1723" s="204" t="n"/>
      <c r="BL1723" s="141" t="n"/>
      <c r="BM1723" s="205" t="n"/>
      <c r="BN1723" s="205" t="n"/>
      <c r="BO1723" s="206" t="n"/>
      <c r="BP1723" s="144" t="n"/>
      <c r="BQ1723" s="141" t="n"/>
      <c r="BR1723" s="207" t="n"/>
      <c r="BS1723" s="207" t="n"/>
      <c r="BT1723" s="207" t="n"/>
      <c r="BU1723" s="207" t="n"/>
      <c r="BV1723" s="208" t="n"/>
      <c r="BW1723" s="207" t="n"/>
      <c r="BX1723" s="207" t="n"/>
      <c r="BY1723" s="204" t="n"/>
      <c r="BZ1723" s="148" t="n"/>
      <c r="CA1723" s="204" t="n"/>
      <c r="CB1723" s="208" t="n"/>
      <c r="CC1723" s="139" t="n"/>
      <c r="CD1723" s="204" t="n"/>
      <c r="CE1723" s="204" t="n"/>
      <c r="CF1723" s="207" t="n"/>
      <c r="CG1723" s="208" t="n"/>
      <c r="CH1723" s="207" t="n"/>
      <c r="CI1723" s="208" t="n"/>
      <c r="CJ1723" s="204" t="n"/>
      <c r="CK1723" s="208" t="n"/>
      <c r="CL1723" s="208" t="n"/>
      <c r="CM1723" s="208" t="n"/>
      <c r="CN1723" s="78" t="n"/>
      <c r="CO1723" s="209" t="n"/>
      <c r="CP1723" s="204" t="n"/>
      <c r="CQ1723" s="204" t="n"/>
      <c r="CR1723" s="204" t="n"/>
      <c r="CS1723" s="204" t="n"/>
      <c r="CT1723" s="204" t="n"/>
      <c r="CU1723" s="204" t="n"/>
      <c r="CV1723" s="204" t="n"/>
      <c r="CW1723" s="204" t="n"/>
    </row>
    <row r="1724">
      <c r="BF1724" s="78" t="n"/>
      <c r="BG1724" s="78" t="n"/>
      <c r="BH1724" s="78" t="n"/>
      <c r="BI1724" s="78" t="n"/>
      <c r="BJ1724" s="139" t="n"/>
      <c r="BK1724" s="204" t="n"/>
      <c r="BL1724" s="141" t="n"/>
      <c r="BM1724" s="205" t="n"/>
      <c r="BN1724" s="205" t="n"/>
      <c r="BO1724" s="206" t="n"/>
      <c r="BP1724" s="144" t="n"/>
      <c r="BQ1724" s="141" t="n"/>
      <c r="BR1724" s="207" t="n"/>
      <c r="BS1724" s="207" t="n"/>
      <c r="BT1724" s="207" t="n"/>
      <c r="BU1724" s="207" t="n"/>
      <c r="BV1724" s="208" t="n"/>
      <c r="BW1724" s="207" t="n"/>
      <c r="BX1724" s="207" t="n"/>
      <c r="BY1724" s="204" t="n"/>
      <c r="BZ1724" s="148" t="n"/>
      <c r="CA1724" s="204" t="n"/>
      <c r="CB1724" s="208" t="n"/>
      <c r="CC1724" s="139" t="n"/>
      <c r="CD1724" s="204" t="n"/>
      <c r="CE1724" s="204" t="n"/>
      <c r="CF1724" s="207" t="n"/>
      <c r="CG1724" s="208" t="n"/>
      <c r="CH1724" s="207" t="n"/>
      <c r="CI1724" s="208" t="n"/>
      <c r="CJ1724" s="204" t="n"/>
      <c r="CK1724" s="208" t="n"/>
      <c r="CL1724" s="208" t="n"/>
      <c r="CM1724" s="208" t="n"/>
      <c r="CN1724" s="78" t="n"/>
      <c r="CO1724" s="209" t="n"/>
      <c r="CP1724" s="204" t="n"/>
      <c r="CQ1724" s="204" t="n"/>
      <c r="CR1724" s="204" t="n"/>
      <c r="CS1724" s="204" t="n"/>
      <c r="CT1724" s="204" t="n"/>
      <c r="CU1724" s="204" t="n"/>
      <c r="CV1724" s="204" t="n"/>
      <c r="CW1724" s="204" t="n"/>
    </row>
    <row r="1725">
      <c r="AR1725" s="151" t="n"/>
      <c r="BF1725" s="78" t="n"/>
      <c r="BG1725" s="78" t="n"/>
      <c r="BH1725" s="78" t="n"/>
      <c r="BI1725" s="78" t="n"/>
      <c r="BJ1725" s="139" t="n"/>
      <c r="BK1725" s="204" t="n"/>
      <c r="BL1725" s="141" t="n"/>
      <c r="BM1725" s="205" t="n"/>
      <c r="BN1725" s="205" t="n"/>
      <c r="BO1725" s="206" t="n"/>
      <c r="BP1725" s="144" t="n"/>
      <c r="BQ1725" s="141" t="n"/>
      <c r="BR1725" s="207" t="n"/>
      <c r="BS1725" s="207" t="n"/>
      <c r="BT1725" s="207" t="n"/>
      <c r="BU1725" s="207" t="n"/>
      <c r="BV1725" s="208" t="n"/>
      <c r="BW1725" s="207" t="n"/>
      <c r="BX1725" s="207" t="n"/>
      <c r="BY1725" s="204" t="n"/>
      <c r="BZ1725" s="148" t="n"/>
      <c r="CA1725" s="204" t="n"/>
      <c r="CB1725" s="208" t="n"/>
      <c r="CC1725" s="139" t="n"/>
      <c r="CD1725" s="204" t="n"/>
      <c r="CE1725" s="204" t="n"/>
      <c r="CF1725" s="207" t="n"/>
      <c r="CG1725" s="208" t="n"/>
      <c r="CH1725" s="207" t="n"/>
      <c r="CI1725" s="208" t="n"/>
      <c r="CJ1725" s="204" t="n"/>
      <c r="CK1725" s="208" t="n"/>
      <c r="CL1725" s="208" t="n"/>
      <c r="CM1725" s="208" t="n"/>
      <c r="CN1725" s="78" t="n"/>
      <c r="CO1725" s="209" t="n"/>
      <c r="CP1725" s="204" t="n"/>
      <c r="CQ1725" s="204" t="n"/>
      <c r="CR1725" s="204" t="n"/>
      <c r="CS1725" s="204" t="n"/>
      <c r="CT1725" s="204" t="n"/>
      <c r="CU1725" s="204" t="n"/>
      <c r="CV1725" s="204" t="n"/>
      <c r="CW1725" s="204" t="n"/>
    </row>
    <row r="1726">
      <c r="AR1726" s="151" t="n"/>
      <c r="BF1726" s="78" t="n"/>
      <c r="BG1726" s="78" t="n"/>
      <c r="BH1726" s="78" t="n"/>
      <c r="BI1726" s="78" t="n"/>
      <c r="BJ1726" s="139" t="n"/>
      <c r="BK1726" s="204" t="n"/>
      <c r="BL1726" s="141" t="n"/>
      <c r="BM1726" s="205" t="n"/>
      <c r="BN1726" s="205" t="n"/>
      <c r="BO1726" s="206" t="n"/>
      <c r="BP1726" s="144" t="n"/>
      <c r="BQ1726" s="141" t="n"/>
      <c r="BR1726" s="207" t="n"/>
      <c r="BS1726" s="207" t="n"/>
      <c r="BT1726" s="207" t="n"/>
      <c r="BU1726" s="207" t="n"/>
      <c r="BV1726" s="208" t="n"/>
      <c r="BW1726" s="207" t="n"/>
      <c r="BX1726" s="207" t="n"/>
      <c r="BY1726" s="204" t="n"/>
      <c r="BZ1726" s="148" t="n"/>
      <c r="CA1726" s="204" t="n"/>
      <c r="CB1726" s="208" t="n"/>
      <c r="CC1726" s="139" t="n"/>
      <c r="CD1726" s="204" t="n"/>
      <c r="CE1726" s="204" t="n"/>
      <c r="CF1726" s="207" t="n"/>
      <c r="CG1726" s="208" t="n"/>
      <c r="CH1726" s="207" t="n"/>
      <c r="CI1726" s="208" t="n"/>
      <c r="CJ1726" s="204" t="n"/>
      <c r="CK1726" s="208" t="n"/>
      <c r="CL1726" s="208" t="n"/>
      <c r="CM1726" s="208" t="n"/>
      <c r="CN1726" s="78" t="n"/>
      <c r="CO1726" s="209" t="n"/>
      <c r="CP1726" s="204" t="n"/>
      <c r="CQ1726" s="204" t="n"/>
      <c r="CR1726" s="204" t="n"/>
      <c r="CS1726" s="204" t="n"/>
      <c r="CT1726" s="204" t="n"/>
      <c r="CU1726" s="204" t="n"/>
      <c r="CV1726" s="204" t="n"/>
      <c r="CW1726" s="204" t="n"/>
    </row>
    <row r="1727">
      <c r="BF1727" s="78" t="n"/>
      <c r="BG1727" s="78" t="n"/>
      <c r="BH1727" s="78" t="n"/>
      <c r="BI1727" s="78" t="n"/>
      <c r="BJ1727" s="139" t="n"/>
      <c r="BK1727" s="204" t="n"/>
      <c r="BL1727" s="141" t="n"/>
      <c r="BM1727" s="205" t="n"/>
      <c r="BN1727" s="205" t="n"/>
      <c r="BO1727" s="206" t="n"/>
      <c r="BP1727" s="144" t="n"/>
      <c r="BQ1727" s="141" t="n"/>
      <c r="BR1727" s="207" t="n"/>
      <c r="BS1727" s="207" t="n"/>
      <c r="BT1727" s="207" t="n"/>
      <c r="BU1727" s="207" t="n"/>
      <c r="BV1727" s="208" t="n"/>
      <c r="BW1727" s="207" t="n"/>
      <c r="BX1727" s="207" t="n"/>
      <c r="BY1727" s="204" t="n"/>
      <c r="BZ1727" s="148" t="n"/>
      <c r="CA1727" s="204" t="n"/>
      <c r="CB1727" s="208" t="n"/>
      <c r="CC1727" s="139" t="n"/>
      <c r="CD1727" s="204" t="n"/>
      <c r="CE1727" s="204" t="n"/>
      <c r="CF1727" s="207" t="n"/>
      <c r="CG1727" s="208" t="n"/>
      <c r="CH1727" s="207" t="n"/>
      <c r="CI1727" s="208" t="n"/>
      <c r="CJ1727" s="204" t="n"/>
      <c r="CK1727" s="208" t="n"/>
      <c r="CL1727" s="208" t="n"/>
      <c r="CM1727" s="208" t="n"/>
      <c r="CN1727" s="78" t="n"/>
      <c r="CO1727" s="209" t="n"/>
      <c r="CP1727" s="204" t="n"/>
      <c r="CQ1727" s="204" t="n"/>
      <c r="CR1727" s="204" t="n"/>
      <c r="CS1727" s="204" t="n"/>
      <c r="CT1727" s="204" t="n"/>
      <c r="CU1727" s="204" t="n"/>
      <c r="CV1727" s="204" t="n"/>
      <c r="CW1727" s="204" t="n"/>
    </row>
    <row r="1728">
      <c r="AR1728" s="151" t="n"/>
      <c r="BF1728" s="78" t="n"/>
      <c r="BG1728" s="78" t="n"/>
      <c r="BH1728" s="78" t="n"/>
      <c r="BI1728" s="78" t="n"/>
      <c r="BJ1728" s="139" t="n"/>
      <c r="BK1728" s="204" t="n"/>
      <c r="BL1728" s="141" t="n"/>
      <c r="BM1728" s="205" t="n"/>
      <c r="BN1728" s="205" t="n"/>
      <c r="BO1728" s="206" t="n"/>
      <c r="BP1728" s="144" t="n"/>
      <c r="BQ1728" s="141" t="n"/>
      <c r="BR1728" s="207" t="n"/>
      <c r="BS1728" s="207" t="n"/>
      <c r="BT1728" s="207" t="n"/>
      <c r="BU1728" s="207" t="n"/>
      <c r="BV1728" s="208" t="n"/>
      <c r="BW1728" s="207" t="n"/>
      <c r="BX1728" s="207" t="n"/>
      <c r="BY1728" s="204" t="n"/>
      <c r="BZ1728" s="148" t="n"/>
      <c r="CA1728" s="204" t="n"/>
      <c r="CB1728" s="208" t="n"/>
      <c r="CC1728" s="139" t="n"/>
      <c r="CD1728" s="204" t="n"/>
      <c r="CE1728" s="204" t="n"/>
      <c r="CF1728" s="207" t="n"/>
      <c r="CG1728" s="208" t="n"/>
      <c r="CH1728" s="207" t="n"/>
      <c r="CI1728" s="208" t="n"/>
      <c r="CJ1728" s="204" t="n"/>
      <c r="CK1728" s="208" t="n"/>
      <c r="CL1728" s="208" t="n"/>
      <c r="CM1728" s="208" t="n"/>
      <c r="CN1728" s="78" t="n"/>
      <c r="CO1728" s="209" t="n"/>
      <c r="CP1728" s="204" t="n"/>
      <c r="CQ1728" s="204" t="n"/>
      <c r="CR1728" s="204" t="n"/>
      <c r="CS1728" s="204" t="n"/>
      <c r="CT1728" s="204" t="n"/>
      <c r="CU1728" s="204" t="n"/>
      <c r="CV1728" s="204" t="n"/>
      <c r="CW1728" s="204" t="n"/>
    </row>
    <row r="1729">
      <c r="BF1729" s="78" t="n"/>
      <c r="BG1729" s="78" t="n"/>
      <c r="BH1729" s="78" t="n"/>
      <c r="BI1729" s="78" t="n"/>
      <c r="BJ1729" s="139" t="n"/>
      <c r="BK1729" s="204" t="n"/>
      <c r="BL1729" s="141" t="n"/>
      <c r="BM1729" s="205" t="n"/>
      <c r="BN1729" s="205" t="n"/>
      <c r="BO1729" s="206" t="n"/>
      <c r="BP1729" s="144" t="n"/>
      <c r="BQ1729" s="141" t="n"/>
      <c r="BR1729" s="207" t="n"/>
      <c r="BS1729" s="207" t="n"/>
      <c r="BT1729" s="207" t="n"/>
      <c r="BU1729" s="207" t="n"/>
      <c r="BV1729" s="208" t="n"/>
      <c r="BW1729" s="207" t="n"/>
      <c r="BX1729" s="207" t="n"/>
      <c r="BY1729" s="204" t="n"/>
      <c r="BZ1729" s="148" t="n"/>
      <c r="CA1729" s="204" t="n"/>
      <c r="CB1729" s="208" t="n"/>
      <c r="CC1729" s="139" t="n"/>
      <c r="CD1729" s="204" t="n"/>
      <c r="CE1729" s="204" t="n"/>
      <c r="CF1729" s="207" t="n"/>
      <c r="CG1729" s="208" t="n"/>
      <c r="CH1729" s="207" t="n"/>
      <c r="CI1729" s="208" t="n"/>
      <c r="CJ1729" s="204" t="n"/>
      <c r="CK1729" s="208" t="n"/>
      <c r="CL1729" s="208" t="n"/>
      <c r="CM1729" s="208" t="n"/>
      <c r="CN1729" s="78" t="n"/>
      <c r="CO1729" s="209" t="n"/>
      <c r="CP1729" s="204" t="n"/>
      <c r="CQ1729" s="204" t="n"/>
      <c r="CR1729" s="204" t="n"/>
      <c r="CS1729" s="204" t="n"/>
      <c r="CT1729" s="204" t="n"/>
      <c r="CU1729" s="204" t="n"/>
      <c r="CV1729" s="204" t="n"/>
      <c r="CW1729" s="204" t="n"/>
    </row>
    <row r="1730">
      <c r="BF1730" s="78" t="n"/>
      <c r="BG1730" s="78" t="n"/>
      <c r="BH1730" s="78" t="n"/>
      <c r="BI1730" s="78" t="n"/>
      <c r="BJ1730" s="139" t="n"/>
      <c r="BK1730" s="204" t="n"/>
      <c r="BL1730" s="141" t="n"/>
      <c r="BM1730" s="205" t="n"/>
      <c r="BN1730" s="205" t="n"/>
      <c r="BO1730" s="206" t="n"/>
      <c r="BP1730" s="144" t="n"/>
      <c r="BQ1730" s="141" t="n"/>
      <c r="BR1730" s="207" t="n"/>
      <c r="BS1730" s="207" t="n"/>
      <c r="BT1730" s="207" t="n"/>
      <c r="BU1730" s="207" t="n"/>
      <c r="BV1730" s="208" t="n"/>
      <c r="BW1730" s="207" t="n"/>
      <c r="BX1730" s="207" t="n"/>
      <c r="BY1730" s="204" t="n"/>
      <c r="BZ1730" s="148" t="n"/>
      <c r="CA1730" s="204" t="n"/>
      <c r="CB1730" s="208" t="n"/>
      <c r="CC1730" s="139" t="n"/>
      <c r="CD1730" s="204" t="n"/>
      <c r="CE1730" s="204" t="n"/>
      <c r="CF1730" s="207" t="n"/>
      <c r="CG1730" s="208" t="n"/>
      <c r="CH1730" s="207" t="n"/>
      <c r="CI1730" s="208" t="n"/>
      <c r="CJ1730" s="204" t="n"/>
      <c r="CK1730" s="208" t="n"/>
      <c r="CL1730" s="208" t="n"/>
      <c r="CM1730" s="208" t="n"/>
      <c r="CN1730" s="78" t="n"/>
      <c r="CO1730" s="209" t="n"/>
      <c r="CP1730" s="204" t="n"/>
      <c r="CQ1730" s="204" t="n"/>
      <c r="CR1730" s="204" t="n"/>
      <c r="CS1730" s="204" t="n"/>
      <c r="CT1730" s="204" t="n"/>
      <c r="CU1730" s="204" t="n"/>
      <c r="CV1730" s="204" t="n"/>
      <c r="CW1730" s="204" t="n"/>
    </row>
    <row r="1731">
      <c r="AR1731" s="151" t="n"/>
      <c r="BF1731" s="78" t="n"/>
      <c r="BG1731" s="78" t="n"/>
      <c r="BH1731" s="78" t="n"/>
      <c r="BI1731" s="78" t="n"/>
      <c r="BJ1731" s="139" t="n"/>
      <c r="BK1731" s="204" t="n"/>
      <c r="BL1731" s="141" t="n"/>
      <c r="BM1731" s="205" t="n"/>
      <c r="BN1731" s="205" t="n"/>
      <c r="BO1731" s="206" t="n"/>
      <c r="BP1731" s="144" t="n"/>
      <c r="BQ1731" s="141" t="n"/>
      <c r="BR1731" s="207" t="n"/>
      <c r="BS1731" s="207" t="n"/>
      <c r="BT1731" s="207" t="n"/>
      <c r="BU1731" s="207" t="n"/>
      <c r="BV1731" s="208" t="n"/>
      <c r="BW1731" s="207" t="n"/>
      <c r="BX1731" s="207" t="n"/>
      <c r="BY1731" s="204" t="n"/>
      <c r="BZ1731" s="148" t="n"/>
      <c r="CA1731" s="204" t="n"/>
      <c r="CB1731" s="208" t="n"/>
      <c r="CC1731" s="139" t="n"/>
      <c r="CD1731" s="204" t="n"/>
      <c r="CE1731" s="204" t="n"/>
      <c r="CF1731" s="207" t="n"/>
      <c r="CG1731" s="208" t="n"/>
      <c r="CH1731" s="207" t="n"/>
      <c r="CI1731" s="208" t="n"/>
      <c r="CJ1731" s="204" t="n"/>
      <c r="CK1731" s="208" t="n"/>
      <c r="CL1731" s="208" t="n"/>
      <c r="CM1731" s="208" t="n"/>
      <c r="CN1731" s="78" t="n"/>
      <c r="CO1731" s="209" t="n"/>
      <c r="CP1731" s="204" t="n"/>
      <c r="CQ1731" s="204" t="n"/>
      <c r="CR1731" s="204" t="n"/>
      <c r="CS1731" s="204" t="n"/>
      <c r="CT1731" s="204" t="n"/>
      <c r="CU1731" s="204" t="n"/>
      <c r="CV1731" s="204" t="n"/>
      <c r="CW1731" s="204" t="n"/>
    </row>
    <row r="1732">
      <c r="BF1732" s="78" t="n"/>
      <c r="BG1732" s="78" t="n"/>
      <c r="BH1732" s="78" t="n"/>
      <c r="BI1732" s="78" t="n"/>
      <c r="BJ1732" s="139" t="n"/>
      <c r="BK1732" s="204" t="n"/>
      <c r="BL1732" s="141" t="n"/>
      <c r="BM1732" s="205" t="n"/>
      <c r="BN1732" s="205" t="n"/>
      <c r="BO1732" s="206" t="n"/>
      <c r="BP1732" s="144" t="n"/>
      <c r="BQ1732" s="141" t="n"/>
      <c r="BR1732" s="207" t="n"/>
      <c r="BS1732" s="207" t="n"/>
      <c r="BT1732" s="207" t="n"/>
      <c r="BU1732" s="207" t="n"/>
      <c r="BV1732" s="208" t="n"/>
      <c r="BW1732" s="207" t="n"/>
      <c r="BX1732" s="207" t="n"/>
      <c r="BY1732" s="204" t="n"/>
      <c r="BZ1732" s="148" t="n"/>
      <c r="CA1732" s="204" t="n"/>
      <c r="CB1732" s="208" t="n"/>
      <c r="CC1732" s="139" t="n"/>
      <c r="CD1732" s="204" t="n"/>
      <c r="CE1732" s="204" t="n"/>
      <c r="CF1732" s="207" t="n"/>
      <c r="CG1732" s="208" t="n"/>
      <c r="CH1732" s="207" t="n"/>
      <c r="CI1732" s="208" t="n"/>
      <c r="CJ1732" s="204" t="n"/>
      <c r="CK1732" s="208" t="n"/>
      <c r="CL1732" s="208" t="n"/>
      <c r="CM1732" s="208" t="n"/>
      <c r="CN1732" s="78" t="n"/>
      <c r="CO1732" s="209" t="n"/>
      <c r="CP1732" s="204" t="n"/>
      <c r="CQ1732" s="204" t="n"/>
      <c r="CR1732" s="204" t="n"/>
      <c r="CS1732" s="204" t="n"/>
      <c r="CT1732" s="204" t="n"/>
      <c r="CU1732" s="204" t="n"/>
      <c r="CV1732" s="204" t="n"/>
      <c r="CW1732" s="204" t="n"/>
    </row>
    <row r="1733">
      <c r="AR1733" s="151" t="n"/>
      <c r="BF1733" s="78" t="n"/>
      <c r="BG1733" s="78" t="n"/>
      <c r="BH1733" s="78" t="n"/>
      <c r="BI1733" s="78" t="n"/>
      <c r="BJ1733" s="139" t="n"/>
      <c r="BK1733" s="204" t="n"/>
      <c r="BL1733" s="141" t="n"/>
      <c r="BM1733" s="205" t="n"/>
      <c r="BN1733" s="205" t="n"/>
      <c r="BO1733" s="206" t="n"/>
      <c r="BP1733" s="144" t="n"/>
      <c r="BQ1733" s="141" t="n"/>
      <c r="BR1733" s="207" t="n"/>
      <c r="BS1733" s="207" t="n"/>
      <c r="BT1733" s="207" t="n"/>
      <c r="BU1733" s="207" t="n"/>
      <c r="BV1733" s="208" t="n"/>
      <c r="BW1733" s="207" t="n"/>
      <c r="BX1733" s="207" t="n"/>
      <c r="BY1733" s="204" t="n"/>
      <c r="BZ1733" s="148" t="n"/>
      <c r="CA1733" s="204" t="n"/>
      <c r="CB1733" s="208" t="n"/>
      <c r="CC1733" s="139" t="n"/>
      <c r="CD1733" s="204" t="n"/>
      <c r="CE1733" s="204" t="n"/>
      <c r="CF1733" s="207" t="n"/>
      <c r="CG1733" s="208" t="n"/>
      <c r="CH1733" s="207" t="n"/>
      <c r="CI1733" s="208" t="n"/>
      <c r="CJ1733" s="204" t="n"/>
      <c r="CK1733" s="208" t="n"/>
      <c r="CL1733" s="208" t="n"/>
      <c r="CM1733" s="208" t="n"/>
      <c r="CN1733" s="78" t="n"/>
      <c r="CO1733" s="209" t="n"/>
      <c r="CP1733" s="204" t="n"/>
      <c r="CQ1733" s="204" t="n"/>
      <c r="CR1733" s="204" t="n"/>
      <c r="CS1733" s="204" t="n"/>
      <c r="CT1733" s="204" t="n"/>
      <c r="CU1733" s="204" t="n"/>
      <c r="CV1733" s="204" t="n"/>
      <c r="CW1733" s="204" t="n"/>
    </row>
    <row r="1734">
      <c r="BF1734" s="78" t="n"/>
      <c r="BG1734" s="78" t="n"/>
      <c r="BH1734" s="78" t="n"/>
      <c r="BI1734" s="78" t="n"/>
      <c r="BJ1734" s="139" t="n"/>
      <c r="BK1734" s="204" t="n"/>
      <c r="BL1734" s="141" t="n"/>
      <c r="BM1734" s="205" t="n"/>
      <c r="BN1734" s="205" t="n"/>
      <c r="BO1734" s="206" t="n"/>
      <c r="BP1734" s="144" t="n"/>
      <c r="BQ1734" s="141" t="n"/>
      <c r="BR1734" s="207" t="n"/>
      <c r="BS1734" s="207" t="n"/>
      <c r="BT1734" s="207" t="n"/>
      <c r="BU1734" s="207" t="n"/>
      <c r="BV1734" s="208" t="n"/>
      <c r="BW1734" s="207" t="n"/>
      <c r="BX1734" s="207" t="n"/>
      <c r="BY1734" s="204" t="n"/>
      <c r="BZ1734" s="148" t="n"/>
      <c r="CA1734" s="204" t="n"/>
      <c r="CB1734" s="208" t="n"/>
      <c r="CC1734" s="139" t="n"/>
      <c r="CD1734" s="204" t="n"/>
      <c r="CE1734" s="204" t="n"/>
      <c r="CF1734" s="207" t="n"/>
      <c r="CG1734" s="208" t="n"/>
      <c r="CH1734" s="207" t="n"/>
      <c r="CI1734" s="208" t="n"/>
      <c r="CJ1734" s="204" t="n"/>
      <c r="CK1734" s="208" t="n"/>
      <c r="CL1734" s="208" t="n"/>
      <c r="CM1734" s="208" t="n"/>
      <c r="CN1734" s="78" t="n"/>
      <c r="CO1734" s="209" t="n"/>
      <c r="CP1734" s="204" t="n"/>
      <c r="CQ1734" s="204" t="n"/>
      <c r="CR1734" s="204" t="n"/>
      <c r="CS1734" s="204" t="n"/>
      <c r="CT1734" s="204" t="n"/>
      <c r="CU1734" s="204" t="n"/>
      <c r="CV1734" s="204" t="n"/>
      <c r="CW1734" s="204" t="n"/>
    </row>
    <row r="1735">
      <c r="BF1735" s="78" t="n"/>
      <c r="BG1735" s="78" t="n"/>
      <c r="BH1735" s="78" t="n"/>
      <c r="BI1735" s="78" t="n"/>
      <c r="BJ1735" s="139" t="n"/>
      <c r="BK1735" s="204" t="n"/>
      <c r="BL1735" s="141" t="n"/>
      <c r="BM1735" s="205" t="n"/>
      <c r="BN1735" s="205" t="n"/>
      <c r="BO1735" s="206" t="n"/>
      <c r="BP1735" s="144" t="n"/>
      <c r="BQ1735" s="141" t="n"/>
      <c r="BR1735" s="207" t="n"/>
      <c r="BS1735" s="207" t="n"/>
      <c r="BT1735" s="207" t="n"/>
      <c r="BU1735" s="207" t="n"/>
      <c r="BV1735" s="208" t="n"/>
      <c r="BW1735" s="207" t="n"/>
      <c r="BX1735" s="207" t="n"/>
      <c r="BY1735" s="204" t="n"/>
      <c r="BZ1735" s="148" t="n"/>
      <c r="CA1735" s="204" t="n"/>
      <c r="CB1735" s="208" t="n"/>
      <c r="CC1735" s="139" t="n"/>
      <c r="CD1735" s="204" t="n"/>
      <c r="CE1735" s="204" t="n"/>
      <c r="CF1735" s="207" t="n"/>
      <c r="CG1735" s="208" t="n"/>
      <c r="CH1735" s="207" t="n"/>
      <c r="CI1735" s="208" t="n"/>
      <c r="CJ1735" s="204" t="n"/>
      <c r="CK1735" s="208" t="n"/>
      <c r="CL1735" s="208" t="n"/>
      <c r="CM1735" s="208" t="n"/>
      <c r="CN1735" s="78" t="n"/>
      <c r="CO1735" s="209" t="n"/>
      <c r="CP1735" s="204" t="n"/>
      <c r="CQ1735" s="204" t="n"/>
      <c r="CR1735" s="204" t="n"/>
      <c r="CS1735" s="204" t="n"/>
      <c r="CT1735" s="204" t="n"/>
      <c r="CU1735" s="204" t="n"/>
      <c r="CV1735" s="204" t="n"/>
      <c r="CW1735" s="204" t="n"/>
    </row>
    <row r="1736">
      <c r="BF1736" s="78" t="n"/>
      <c r="BG1736" s="78" t="n"/>
      <c r="BH1736" s="78" t="n"/>
      <c r="BI1736" s="78" t="n"/>
      <c r="BJ1736" s="139" t="n"/>
      <c r="BK1736" s="204" t="n"/>
      <c r="BL1736" s="141" t="n"/>
      <c r="BM1736" s="205" t="n"/>
      <c r="BN1736" s="205" t="n"/>
      <c r="BO1736" s="206" t="n"/>
      <c r="BP1736" s="144" t="n"/>
      <c r="BQ1736" s="141" t="n"/>
      <c r="BR1736" s="207" t="n"/>
      <c r="BS1736" s="207" t="n"/>
      <c r="BT1736" s="207" t="n"/>
      <c r="BU1736" s="207" t="n"/>
      <c r="BV1736" s="208" t="n"/>
      <c r="BW1736" s="207" t="n"/>
      <c r="BX1736" s="207" t="n"/>
      <c r="BY1736" s="204" t="n"/>
      <c r="BZ1736" s="148" t="n"/>
      <c r="CA1736" s="204" t="n"/>
      <c r="CB1736" s="208" t="n"/>
      <c r="CC1736" s="139" t="n"/>
      <c r="CD1736" s="204" t="n"/>
      <c r="CE1736" s="204" t="n"/>
      <c r="CF1736" s="207" t="n"/>
      <c r="CG1736" s="208" t="n"/>
      <c r="CH1736" s="207" t="n"/>
      <c r="CI1736" s="208" t="n"/>
      <c r="CJ1736" s="204" t="n"/>
      <c r="CK1736" s="208" t="n"/>
      <c r="CL1736" s="208" t="n"/>
      <c r="CM1736" s="208" t="n"/>
      <c r="CN1736" s="78" t="n"/>
      <c r="CO1736" s="209" t="n"/>
      <c r="CP1736" s="204" t="n"/>
      <c r="CQ1736" s="204" t="n"/>
      <c r="CR1736" s="204" t="n"/>
      <c r="CS1736" s="204" t="n"/>
      <c r="CT1736" s="204" t="n"/>
      <c r="CU1736" s="204" t="n"/>
      <c r="CV1736" s="204" t="n"/>
      <c r="CW1736" s="204" t="n"/>
    </row>
    <row r="1737">
      <c r="BF1737" s="78" t="n"/>
      <c r="BG1737" s="78" t="n"/>
      <c r="BH1737" s="78" t="n"/>
      <c r="BI1737" s="78" t="n"/>
      <c r="BJ1737" s="139" t="n"/>
      <c r="BK1737" s="204" t="n"/>
      <c r="BL1737" s="141" t="n"/>
      <c r="BM1737" s="205" t="n"/>
      <c r="BN1737" s="205" t="n"/>
      <c r="BO1737" s="206" t="n"/>
      <c r="BP1737" s="144" t="n"/>
      <c r="BQ1737" s="141" t="n"/>
      <c r="BR1737" s="207" t="n"/>
      <c r="BS1737" s="207" t="n"/>
      <c r="BT1737" s="207" t="n"/>
      <c r="BU1737" s="207" t="n"/>
      <c r="BV1737" s="208" t="n"/>
      <c r="BW1737" s="207" t="n"/>
      <c r="BX1737" s="207" t="n"/>
      <c r="BY1737" s="204" t="n"/>
      <c r="BZ1737" s="148" t="n"/>
      <c r="CA1737" s="204" t="n"/>
      <c r="CB1737" s="208" t="n"/>
      <c r="CC1737" s="139" t="n"/>
      <c r="CD1737" s="204" t="n"/>
      <c r="CE1737" s="204" t="n"/>
      <c r="CF1737" s="207" t="n"/>
      <c r="CG1737" s="208" t="n"/>
      <c r="CH1737" s="207" t="n"/>
      <c r="CI1737" s="208" t="n"/>
      <c r="CJ1737" s="204" t="n"/>
      <c r="CK1737" s="208" t="n"/>
      <c r="CL1737" s="208" t="n"/>
      <c r="CM1737" s="208" t="n"/>
      <c r="CN1737" s="78" t="n"/>
      <c r="CO1737" s="209" t="n"/>
      <c r="CP1737" s="204" t="n"/>
      <c r="CQ1737" s="204" t="n"/>
      <c r="CR1737" s="204" t="n"/>
      <c r="CS1737" s="204" t="n"/>
      <c r="CT1737" s="204" t="n"/>
      <c r="CU1737" s="204" t="n"/>
      <c r="CV1737" s="204" t="n"/>
      <c r="CW1737" s="204" t="n"/>
    </row>
    <row r="1738">
      <c r="BF1738" s="78" t="n"/>
      <c r="BG1738" s="78" t="n"/>
      <c r="BH1738" s="78" t="n"/>
      <c r="BI1738" s="78" t="n"/>
      <c r="BJ1738" s="139" t="n"/>
      <c r="BK1738" s="204" t="n"/>
      <c r="BL1738" s="141" t="n"/>
      <c r="BM1738" s="205" t="n"/>
      <c r="BN1738" s="205" t="n"/>
      <c r="BO1738" s="206" t="n"/>
      <c r="BP1738" s="144" t="n"/>
      <c r="BQ1738" s="141" t="n"/>
      <c r="BR1738" s="207" t="n"/>
      <c r="BS1738" s="207" t="n"/>
      <c r="BT1738" s="207" t="n"/>
      <c r="BU1738" s="207" t="n"/>
      <c r="BV1738" s="208" t="n"/>
      <c r="BW1738" s="207" t="n"/>
      <c r="BX1738" s="207" t="n"/>
      <c r="BY1738" s="204" t="n"/>
      <c r="BZ1738" s="148" t="n"/>
      <c r="CA1738" s="204" t="n"/>
      <c r="CB1738" s="208" t="n"/>
      <c r="CC1738" s="139" t="n"/>
      <c r="CD1738" s="204" t="n"/>
      <c r="CE1738" s="204" t="n"/>
      <c r="CF1738" s="207" t="n"/>
      <c r="CG1738" s="208" t="n"/>
      <c r="CH1738" s="207" t="n"/>
      <c r="CI1738" s="208" t="n"/>
      <c r="CJ1738" s="204" t="n"/>
      <c r="CK1738" s="208" t="n"/>
      <c r="CL1738" s="208" t="n"/>
      <c r="CM1738" s="208" t="n"/>
      <c r="CN1738" s="78" t="n"/>
      <c r="CO1738" s="209" t="n"/>
      <c r="CP1738" s="204" t="n"/>
      <c r="CQ1738" s="204" t="n"/>
      <c r="CR1738" s="204" t="n"/>
      <c r="CS1738" s="204" t="n"/>
      <c r="CT1738" s="204" t="n"/>
      <c r="CU1738" s="204" t="n"/>
      <c r="CV1738" s="204" t="n"/>
      <c r="CW1738" s="204" t="n"/>
    </row>
    <row r="1739">
      <c r="BF1739" s="78" t="n"/>
      <c r="BG1739" s="78" t="n"/>
      <c r="BH1739" s="78" t="n"/>
      <c r="BI1739" s="78" t="n"/>
      <c r="BJ1739" s="139" t="n"/>
      <c r="BK1739" s="204" t="n"/>
      <c r="BL1739" s="141" t="n"/>
      <c r="BM1739" s="205" t="n"/>
      <c r="BN1739" s="205" t="n"/>
      <c r="BO1739" s="206" t="n"/>
      <c r="BP1739" s="144" t="n"/>
      <c r="BQ1739" s="141" t="n"/>
      <c r="BR1739" s="207" t="n"/>
      <c r="BS1739" s="207" t="n"/>
      <c r="BT1739" s="207" t="n"/>
      <c r="BU1739" s="207" t="n"/>
      <c r="BV1739" s="208" t="n"/>
      <c r="BW1739" s="207" t="n"/>
      <c r="BX1739" s="207" t="n"/>
      <c r="BY1739" s="204" t="n"/>
      <c r="BZ1739" s="148" t="n"/>
      <c r="CA1739" s="204" t="n"/>
      <c r="CB1739" s="208" t="n"/>
      <c r="CC1739" s="139" t="n"/>
      <c r="CD1739" s="204" t="n"/>
      <c r="CE1739" s="204" t="n"/>
      <c r="CF1739" s="207" t="n"/>
      <c r="CG1739" s="208" t="n"/>
      <c r="CH1739" s="207" t="n"/>
      <c r="CI1739" s="208" t="n"/>
      <c r="CJ1739" s="204" t="n"/>
      <c r="CK1739" s="208" t="n"/>
      <c r="CL1739" s="208" t="n"/>
      <c r="CM1739" s="208" t="n"/>
      <c r="CN1739" s="78" t="n"/>
      <c r="CO1739" s="209" t="n"/>
      <c r="CP1739" s="204" t="n"/>
      <c r="CQ1739" s="204" t="n"/>
      <c r="CR1739" s="204" t="n"/>
      <c r="CS1739" s="204" t="n"/>
      <c r="CT1739" s="204" t="n"/>
      <c r="CU1739" s="204" t="n"/>
      <c r="CV1739" s="204" t="n"/>
      <c r="CW1739" s="204" t="n"/>
    </row>
    <row r="1740">
      <c r="BF1740" s="78" t="n"/>
      <c r="BG1740" s="78" t="n"/>
      <c r="BH1740" s="78" t="n"/>
      <c r="BI1740" s="78" t="n"/>
      <c r="BJ1740" s="139" t="n"/>
      <c r="BK1740" s="204" t="n"/>
      <c r="BL1740" s="141" t="n"/>
      <c r="BM1740" s="205" t="n"/>
      <c r="BN1740" s="205" t="n"/>
      <c r="BO1740" s="206" t="n"/>
      <c r="BP1740" s="144" t="n"/>
      <c r="BQ1740" s="141" t="n"/>
      <c r="BR1740" s="207" t="n"/>
      <c r="BS1740" s="207" t="n"/>
      <c r="BT1740" s="207" t="n"/>
      <c r="BU1740" s="207" t="n"/>
      <c r="BV1740" s="208" t="n"/>
      <c r="BW1740" s="207" t="n"/>
      <c r="BX1740" s="207" t="n"/>
      <c r="BY1740" s="204" t="n"/>
      <c r="BZ1740" s="148" t="n"/>
      <c r="CA1740" s="204" t="n"/>
      <c r="CB1740" s="208" t="n"/>
      <c r="CC1740" s="139" t="n"/>
      <c r="CD1740" s="204" t="n"/>
      <c r="CE1740" s="204" t="n"/>
      <c r="CF1740" s="207" t="n"/>
      <c r="CG1740" s="208" t="n"/>
      <c r="CH1740" s="207" t="n"/>
      <c r="CI1740" s="208" t="n"/>
      <c r="CJ1740" s="204" t="n"/>
      <c r="CK1740" s="208" t="n"/>
      <c r="CL1740" s="208" t="n"/>
      <c r="CM1740" s="208" t="n"/>
      <c r="CN1740" s="78" t="n"/>
      <c r="CO1740" s="209" t="n"/>
      <c r="CP1740" s="204" t="n"/>
      <c r="CQ1740" s="204" t="n"/>
      <c r="CR1740" s="204" t="n"/>
      <c r="CS1740" s="204" t="n"/>
      <c r="CT1740" s="204" t="n"/>
      <c r="CU1740" s="204" t="n"/>
      <c r="CV1740" s="204" t="n"/>
      <c r="CW1740" s="204" t="n"/>
    </row>
    <row r="1741">
      <c r="BF1741" s="78" t="n"/>
      <c r="BG1741" s="78" t="n"/>
      <c r="BH1741" s="78" t="n"/>
      <c r="BI1741" s="78" t="n"/>
      <c r="BJ1741" s="139" t="n"/>
      <c r="BK1741" s="204" t="n"/>
      <c r="BL1741" s="141" t="n"/>
      <c r="BM1741" s="205" t="n"/>
      <c r="BN1741" s="205" t="n"/>
      <c r="BO1741" s="206" t="n"/>
      <c r="BP1741" s="144" t="n"/>
      <c r="BQ1741" s="141" t="n"/>
      <c r="BR1741" s="207" t="n"/>
      <c r="BS1741" s="207" t="n"/>
      <c r="BT1741" s="207" t="n"/>
      <c r="BU1741" s="207" t="n"/>
      <c r="BV1741" s="208" t="n"/>
      <c r="BW1741" s="207" t="n"/>
      <c r="BX1741" s="207" t="n"/>
      <c r="BY1741" s="204" t="n"/>
      <c r="BZ1741" s="148" t="n"/>
      <c r="CA1741" s="204" t="n"/>
      <c r="CB1741" s="208" t="n"/>
      <c r="CC1741" s="139" t="n"/>
      <c r="CD1741" s="204" t="n"/>
      <c r="CE1741" s="204" t="n"/>
      <c r="CF1741" s="207" t="n"/>
      <c r="CG1741" s="208" t="n"/>
      <c r="CH1741" s="207" t="n"/>
      <c r="CI1741" s="208" t="n"/>
      <c r="CJ1741" s="204" t="n"/>
      <c r="CK1741" s="208" t="n"/>
      <c r="CL1741" s="208" t="n"/>
      <c r="CM1741" s="208" t="n"/>
      <c r="CN1741" s="78" t="n"/>
      <c r="CO1741" s="209" t="n"/>
      <c r="CP1741" s="204" t="n"/>
      <c r="CQ1741" s="204" t="n"/>
      <c r="CR1741" s="204" t="n"/>
      <c r="CS1741" s="204" t="n"/>
      <c r="CT1741" s="204" t="n"/>
      <c r="CU1741" s="204" t="n"/>
      <c r="CV1741" s="204" t="n"/>
      <c r="CW1741" s="204" t="n"/>
    </row>
    <row r="1742">
      <c r="BF1742" s="78" t="n"/>
      <c r="BG1742" s="78" t="n"/>
      <c r="BH1742" s="78" t="n"/>
      <c r="BI1742" s="78" t="n"/>
      <c r="BJ1742" s="139" t="n"/>
      <c r="BK1742" s="204" t="n"/>
      <c r="BL1742" s="141" t="n"/>
      <c r="BM1742" s="205" t="n"/>
      <c r="BN1742" s="205" t="n"/>
      <c r="BO1742" s="206" t="n"/>
      <c r="BP1742" s="144" t="n"/>
      <c r="BQ1742" s="141" t="n"/>
      <c r="BR1742" s="207" t="n"/>
      <c r="BS1742" s="207" t="n"/>
      <c r="BT1742" s="207" t="n"/>
      <c r="BU1742" s="207" t="n"/>
      <c r="BV1742" s="208" t="n"/>
      <c r="BW1742" s="207" t="n"/>
      <c r="BX1742" s="207" t="n"/>
      <c r="BY1742" s="204" t="n"/>
      <c r="BZ1742" s="148" t="n"/>
      <c r="CA1742" s="204" t="n"/>
      <c r="CB1742" s="208" t="n"/>
      <c r="CC1742" s="139" t="n"/>
      <c r="CD1742" s="204" t="n"/>
      <c r="CE1742" s="204" t="n"/>
      <c r="CF1742" s="207" t="n"/>
      <c r="CG1742" s="208" t="n"/>
      <c r="CH1742" s="207" t="n"/>
      <c r="CI1742" s="208" t="n"/>
      <c r="CJ1742" s="204" t="n"/>
      <c r="CK1742" s="208" t="n"/>
      <c r="CL1742" s="208" t="n"/>
      <c r="CM1742" s="208" t="n"/>
      <c r="CN1742" s="78" t="n"/>
      <c r="CO1742" s="209" t="n"/>
      <c r="CP1742" s="204" t="n"/>
      <c r="CQ1742" s="204" t="n"/>
      <c r="CR1742" s="204" t="n"/>
      <c r="CS1742" s="204" t="n"/>
      <c r="CT1742" s="204" t="n"/>
      <c r="CU1742" s="204" t="n"/>
      <c r="CV1742" s="204" t="n"/>
      <c r="CW1742" s="204" t="n"/>
    </row>
    <row r="1743">
      <c r="BF1743" s="78" t="n"/>
      <c r="BG1743" s="78" t="n"/>
      <c r="BH1743" s="78" t="n"/>
      <c r="BI1743" s="78" t="n"/>
      <c r="BJ1743" s="139" t="n"/>
      <c r="BK1743" s="204" t="n"/>
      <c r="BL1743" s="141" t="n"/>
      <c r="BM1743" s="205" t="n"/>
      <c r="BN1743" s="205" t="n"/>
      <c r="BO1743" s="206" t="n"/>
      <c r="BP1743" s="144" t="n"/>
      <c r="BQ1743" s="141" t="n"/>
      <c r="BR1743" s="207" t="n"/>
      <c r="BS1743" s="207" t="n"/>
      <c r="BT1743" s="207" t="n"/>
      <c r="BU1743" s="207" t="n"/>
      <c r="BV1743" s="208" t="n"/>
      <c r="BW1743" s="207" t="n"/>
      <c r="BX1743" s="207" t="n"/>
      <c r="BY1743" s="204" t="n"/>
      <c r="BZ1743" s="148" t="n"/>
      <c r="CA1743" s="204" t="n"/>
      <c r="CB1743" s="208" t="n"/>
      <c r="CC1743" s="139" t="n"/>
      <c r="CD1743" s="204" t="n"/>
      <c r="CE1743" s="204" t="n"/>
      <c r="CF1743" s="207" t="n"/>
      <c r="CG1743" s="208" t="n"/>
      <c r="CH1743" s="207" t="n"/>
      <c r="CI1743" s="208" t="n"/>
      <c r="CJ1743" s="204" t="n"/>
      <c r="CK1743" s="208" t="n"/>
      <c r="CL1743" s="208" t="n"/>
      <c r="CM1743" s="208" t="n"/>
      <c r="CN1743" s="78" t="n"/>
      <c r="CO1743" s="209" t="n"/>
      <c r="CP1743" s="204" t="n"/>
      <c r="CQ1743" s="204" t="n"/>
      <c r="CR1743" s="204" t="n"/>
      <c r="CS1743" s="204" t="n"/>
      <c r="CT1743" s="204" t="n"/>
      <c r="CU1743" s="204" t="n"/>
      <c r="CV1743" s="204" t="n"/>
      <c r="CW1743" s="204" t="n"/>
    </row>
    <row r="1744">
      <c r="BF1744" s="78" t="n"/>
      <c r="BG1744" s="78" t="n"/>
      <c r="BH1744" s="78" t="n"/>
      <c r="BI1744" s="78" t="n"/>
      <c r="BJ1744" s="139" t="n"/>
      <c r="BK1744" s="204" t="n"/>
      <c r="BL1744" s="141" t="n"/>
      <c r="BM1744" s="205" t="n"/>
      <c r="BN1744" s="205" t="n"/>
      <c r="BO1744" s="206" t="n"/>
      <c r="BP1744" s="144" t="n"/>
      <c r="BQ1744" s="141" t="n"/>
      <c r="BR1744" s="207" t="n"/>
      <c r="BS1744" s="207" t="n"/>
      <c r="BT1744" s="207" t="n"/>
      <c r="BU1744" s="207" t="n"/>
      <c r="BV1744" s="208" t="n"/>
      <c r="BW1744" s="207" t="n"/>
      <c r="BX1744" s="207" t="n"/>
      <c r="BY1744" s="204" t="n"/>
      <c r="BZ1744" s="148" t="n"/>
      <c r="CA1744" s="204" t="n"/>
      <c r="CB1744" s="208" t="n"/>
      <c r="CC1744" s="139" t="n"/>
      <c r="CD1744" s="204" t="n"/>
      <c r="CE1744" s="204" t="n"/>
      <c r="CF1744" s="207" t="n"/>
      <c r="CG1744" s="208" t="n"/>
      <c r="CH1744" s="207" t="n"/>
      <c r="CI1744" s="208" t="n"/>
      <c r="CJ1744" s="204" t="n"/>
      <c r="CK1744" s="208" t="n"/>
      <c r="CL1744" s="208" t="n"/>
      <c r="CM1744" s="208" t="n"/>
      <c r="CN1744" s="78" t="n"/>
      <c r="CO1744" s="209" t="n"/>
      <c r="CP1744" s="204" t="n"/>
      <c r="CQ1744" s="204" t="n"/>
      <c r="CR1744" s="204" t="n"/>
      <c r="CS1744" s="204" t="n"/>
      <c r="CT1744" s="204" t="n"/>
      <c r="CU1744" s="204" t="n"/>
      <c r="CV1744" s="204" t="n"/>
      <c r="CW1744" s="204" t="n"/>
    </row>
    <row r="1745">
      <c r="BF1745" s="78" t="n"/>
      <c r="BG1745" s="78" t="n"/>
      <c r="BH1745" s="78" t="n"/>
      <c r="BI1745" s="78" t="n"/>
      <c r="BJ1745" s="139" t="n"/>
      <c r="BK1745" s="204" t="n"/>
      <c r="BL1745" s="141" t="n"/>
      <c r="BM1745" s="205" t="n"/>
      <c r="BN1745" s="205" t="n"/>
      <c r="BO1745" s="206" t="n"/>
      <c r="BP1745" s="144" t="n"/>
      <c r="BQ1745" s="141" t="n"/>
      <c r="BR1745" s="207" t="n"/>
      <c r="BS1745" s="207" t="n"/>
      <c r="BT1745" s="207" t="n"/>
      <c r="BU1745" s="207" t="n"/>
      <c r="BV1745" s="208" t="n"/>
      <c r="BW1745" s="207" t="n"/>
      <c r="BX1745" s="207" t="n"/>
      <c r="BY1745" s="204" t="n"/>
      <c r="BZ1745" s="148" t="n"/>
      <c r="CA1745" s="204" t="n"/>
      <c r="CB1745" s="208" t="n"/>
      <c r="CC1745" s="139" t="n"/>
      <c r="CD1745" s="204" t="n"/>
      <c r="CE1745" s="204" t="n"/>
      <c r="CF1745" s="207" t="n"/>
      <c r="CG1745" s="208" t="n"/>
      <c r="CH1745" s="207" t="n"/>
      <c r="CI1745" s="208" t="n"/>
      <c r="CJ1745" s="204" t="n"/>
      <c r="CK1745" s="208" t="n"/>
      <c r="CL1745" s="208" t="n"/>
      <c r="CM1745" s="208" t="n"/>
      <c r="CN1745" s="78" t="n"/>
      <c r="CO1745" s="209" t="n"/>
      <c r="CP1745" s="204" t="n"/>
      <c r="CQ1745" s="204" t="n"/>
      <c r="CR1745" s="204" t="n"/>
      <c r="CS1745" s="204" t="n"/>
      <c r="CT1745" s="204" t="n"/>
      <c r="CU1745" s="204" t="n"/>
      <c r="CV1745" s="204" t="n"/>
      <c r="CW1745" s="204" t="n"/>
    </row>
    <row r="1746">
      <c r="BF1746" s="78" t="n"/>
      <c r="BG1746" s="78" t="n"/>
      <c r="BH1746" s="78" t="n"/>
      <c r="BI1746" s="78" t="n"/>
      <c r="BJ1746" s="139" t="n"/>
      <c r="BK1746" s="204" t="n"/>
      <c r="BL1746" s="141" t="n"/>
      <c r="BM1746" s="205" t="n"/>
      <c r="BN1746" s="205" t="n"/>
      <c r="BO1746" s="206" t="n"/>
      <c r="BP1746" s="144" t="n"/>
      <c r="BQ1746" s="141" t="n"/>
      <c r="BR1746" s="207" t="n"/>
      <c r="BS1746" s="207" t="n"/>
      <c r="BT1746" s="207" t="n"/>
      <c r="BU1746" s="207" t="n"/>
      <c r="BV1746" s="208" t="n"/>
      <c r="BW1746" s="207" t="n"/>
      <c r="BX1746" s="207" t="n"/>
      <c r="BY1746" s="204" t="n"/>
      <c r="BZ1746" s="148" t="n"/>
      <c r="CA1746" s="204" t="n"/>
      <c r="CB1746" s="208" t="n"/>
      <c r="CC1746" s="139" t="n"/>
      <c r="CD1746" s="204" t="n"/>
      <c r="CE1746" s="204" t="n"/>
      <c r="CF1746" s="207" t="n"/>
      <c r="CG1746" s="208" t="n"/>
      <c r="CH1746" s="207" t="n"/>
      <c r="CI1746" s="208" t="n"/>
      <c r="CJ1746" s="204" t="n"/>
      <c r="CK1746" s="208" t="n"/>
      <c r="CL1746" s="208" t="n"/>
      <c r="CM1746" s="208" t="n"/>
      <c r="CN1746" s="78" t="n"/>
      <c r="CO1746" s="209" t="n"/>
      <c r="CP1746" s="204" t="n"/>
      <c r="CQ1746" s="204" t="n"/>
      <c r="CR1746" s="204" t="n"/>
      <c r="CS1746" s="204" t="n"/>
      <c r="CT1746" s="204" t="n"/>
      <c r="CU1746" s="204" t="n"/>
      <c r="CV1746" s="204" t="n"/>
      <c r="CW1746" s="204" t="n"/>
    </row>
    <row r="1747">
      <c r="BF1747" s="78" t="n"/>
      <c r="BG1747" s="78" t="n"/>
      <c r="BH1747" s="78" t="n"/>
      <c r="BI1747" s="78" t="n"/>
      <c r="BJ1747" s="139" t="n"/>
      <c r="BK1747" s="204" t="n"/>
      <c r="BL1747" s="141" t="n"/>
      <c r="BM1747" s="205" t="n"/>
      <c r="BN1747" s="205" t="n"/>
      <c r="BO1747" s="206" t="n"/>
      <c r="BP1747" s="144" t="n"/>
      <c r="BQ1747" s="141" t="n"/>
      <c r="BR1747" s="207" t="n"/>
      <c r="BS1747" s="207" t="n"/>
      <c r="BT1747" s="207" t="n"/>
      <c r="BU1747" s="207" t="n"/>
      <c r="BV1747" s="208" t="n"/>
      <c r="BW1747" s="207" t="n"/>
      <c r="BX1747" s="207" t="n"/>
      <c r="BY1747" s="204" t="n"/>
      <c r="BZ1747" s="148" t="n"/>
      <c r="CA1747" s="204" t="n"/>
      <c r="CB1747" s="208" t="n"/>
      <c r="CC1747" s="139" t="n"/>
      <c r="CD1747" s="204" t="n"/>
      <c r="CE1747" s="204" t="n"/>
      <c r="CF1747" s="207" t="n"/>
      <c r="CG1747" s="208" t="n"/>
      <c r="CH1747" s="207" t="n"/>
      <c r="CI1747" s="208" t="n"/>
      <c r="CJ1747" s="204" t="n"/>
      <c r="CK1747" s="208" t="n"/>
      <c r="CL1747" s="208" t="n"/>
      <c r="CM1747" s="208" t="n"/>
      <c r="CN1747" s="78" t="n"/>
      <c r="CO1747" s="209" t="n"/>
      <c r="CP1747" s="204" t="n"/>
      <c r="CQ1747" s="204" t="n"/>
      <c r="CR1747" s="204" t="n"/>
      <c r="CS1747" s="204" t="n"/>
      <c r="CT1747" s="204" t="n"/>
      <c r="CU1747" s="204" t="n"/>
      <c r="CV1747" s="204" t="n"/>
      <c r="CW1747" s="204" t="n"/>
    </row>
    <row r="1748">
      <c r="BF1748" s="78" t="n"/>
      <c r="BG1748" s="78" t="n"/>
      <c r="BH1748" s="78" t="n"/>
      <c r="BI1748" s="78" t="n"/>
      <c r="BJ1748" s="139" t="n"/>
      <c r="BK1748" s="204" t="n"/>
      <c r="BL1748" s="141" t="n"/>
      <c r="BM1748" s="205" t="n"/>
      <c r="BN1748" s="205" t="n"/>
      <c r="BO1748" s="206" t="n"/>
      <c r="BP1748" s="144" t="n"/>
      <c r="BQ1748" s="141" t="n"/>
      <c r="BR1748" s="207" t="n"/>
      <c r="BS1748" s="207" t="n"/>
      <c r="BT1748" s="207" t="n"/>
      <c r="BU1748" s="207" t="n"/>
      <c r="BV1748" s="208" t="n"/>
      <c r="BW1748" s="207" t="n"/>
      <c r="BX1748" s="207" t="n"/>
      <c r="BY1748" s="204" t="n"/>
      <c r="BZ1748" s="148" t="n"/>
      <c r="CA1748" s="204" t="n"/>
      <c r="CB1748" s="208" t="n"/>
      <c r="CC1748" s="139" t="n"/>
      <c r="CD1748" s="204" t="n"/>
      <c r="CE1748" s="204" t="n"/>
      <c r="CF1748" s="207" t="n"/>
      <c r="CG1748" s="208" t="n"/>
      <c r="CH1748" s="207" t="n"/>
      <c r="CI1748" s="208" t="n"/>
      <c r="CJ1748" s="204" t="n"/>
      <c r="CK1748" s="208" t="n"/>
      <c r="CL1748" s="208" t="n"/>
      <c r="CM1748" s="208" t="n"/>
      <c r="CN1748" s="78" t="n"/>
      <c r="CO1748" s="209" t="n"/>
      <c r="CP1748" s="204" t="n"/>
      <c r="CQ1748" s="204" t="n"/>
      <c r="CR1748" s="204" t="n"/>
      <c r="CS1748" s="204" t="n"/>
      <c r="CT1748" s="204" t="n"/>
      <c r="CU1748" s="204" t="n"/>
      <c r="CV1748" s="204" t="n"/>
      <c r="CW1748" s="204" t="n"/>
    </row>
    <row r="1749">
      <c r="BF1749" s="78" t="n"/>
      <c r="BG1749" s="78" t="n"/>
      <c r="BH1749" s="78" t="n"/>
      <c r="BI1749" s="78" t="n"/>
      <c r="BJ1749" s="139" t="n"/>
      <c r="BK1749" s="204" t="n"/>
      <c r="BL1749" s="141" t="n"/>
      <c r="BM1749" s="205" t="n"/>
      <c r="BN1749" s="205" t="n"/>
      <c r="BO1749" s="206" t="n"/>
      <c r="BP1749" s="144" t="n"/>
      <c r="BQ1749" s="141" t="n"/>
      <c r="BR1749" s="207" t="n"/>
      <c r="BS1749" s="207" t="n"/>
      <c r="BT1749" s="207" t="n"/>
      <c r="BU1749" s="207" t="n"/>
      <c r="BV1749" s="208" t="n"/>
      <c r="BW1749" s="207" t="n"/>
      <c r="BX1749" s="207" t="n"/>
      <c r="BY1749" s="204" t="n"/>
      <c r="BZ1749" s="148" t="n"/>
      <c r="CA1749" s="204" t="n"/>
      <c r="CB1749" s="208" t="n"/>
      <c r="CC1749" s="139" t="n"/>
      <c r="CD1749" s="204" t="n"/>
      <c r="CE1749" s="204" t="n"/>
      <c r="CF1749" s="207" t="n"/>
      <c r="CG1749" s="208" t="n"/>
      <c r="CH1749" s="207" t="n"/>
      <c r="CI1749" s="208" t="n"/>
      <c r="CJ1749" s="204" t="n"/>
      <c r="CK1749" s="208" t="n"/>
      <c r="CL1749" s="208" t="n"/>
      <c r="CM1749" s="208" t="n"/>
      <c r="CN1749" s="78" t="n"/>
      <c r="CO1749" s="209" t="n"/>
      <c r="CP1749" s="204" t="n"/>
      <c r="CQ1749" s="204" t="n"/>
      <c r="CR1749" s="204" t="n"/>
      <c r="CS1749" s="204" t="n"/>
      <c r="CT1749" s="204" t="n"/>
      <c r="CU1749" s="204" t="n"/>
      <c r="CV1749" s="204" t="n"/>
      <c r="CW1749" s="204" t="n"/>
    </row>
    <row r="1750">
      <c r="BF1750" s="78" t="n"/>
      <c r="BG1750" s="78" t="n"/>
      <c r="BH1750" s="78" t="n"/>
      <c r="BI1750" s="78" t="n"/>
      <c r="BJ1750" s="139" t="n"/>
      <c r="BK1750" s="204" t="n"/>
      <c r="BL1750" s="141" t="n"/>
      <c r="BM1750" s="205" t="n"/>
      <c r="BN1750" s="205" t="n"/>
      <c r="BO1750" s="206" t="n"/>
      <c r="BP1750" s="144" t="n"/>
      <c r="BQ1750" s="141" t="n"/>
      <c r="BR1750" s="207" t="n"/>
      <c r="BS1750" s="207" t="n"/>
      <c r="BT1750" s="207" t="n"/>
      <c r="BU1750" s="207" t="n"/>
      <c r="BV1750" s="208" t="n"/>
      <c r="BW1750" s="207" t="n"/>
      <c r="BX1750" s="207" t="n"/>
      <c r="BY1750" s="204" t="n"/>
      <c r="BZ1750" s="148" t="n"/>
      <c r="CA1750" s="204" t="n"/>
      <c r="CB1750" s="208" t="n"/>
      <c r="CC1750" s="139" t="n"/>
      <c r="CD1750" s="204" t="n"/>
      <c r="CE1750" s="204" t="n"/>
      <c r="CF1750" s="207" t="n"/>
      <c r="CG1750" s="208" t="n"/>
      <c r="CH1750" s="207" t="n"/>
      <c r="CI1750" s="208" t="n"/>
      <c r="CJ1750" s="204" t="n"/>
      <c r="CK1750" s="208" t="n"/>
      <c r="CL1750" s="208" t="n"/>
      <c r="CM1750" s="208" t="n"/>
      <c r="CN1750" s="78" t="n"/>
      <c r="CO1750" s="209" t="n"/>
      <c r="CP1750" s="204" t="n"/>
      <c r="CQ1750" s="204" t="n"/>
      <c r="CR1750" s="204" t="n"/>
      <c r="CS1750" s="204" t="n"/>
      <c r="CT1750" s="204" t="n"/>
      <c r="CU1750" s="204" t="n"/>
      <c r="CV1750" s="204" t="n"/>
      <c r="CW1750" s="204" t="n"/>
    </row>
    <row r="1751">
      <c r="BF1751" s="78" t="n"/>
      <c r="BG1751" s="78" t="n"/>
      <c r="BH1751" s="78" t="n"/>
      <c r="BI1751" s="78" t="n"/>
      <c r="BJ1751" s="139" t="n"/>
      <c r="BK1751" s="204" t="n"/>
      <c r="BL1751" s="141" t="n"/>
      <c r="BM1751" s="205" t="n"/>
      <c r="BN1751" s="205" t="n"/>
      <c r="BO1751" s="206" t="n"/>
      <c r="BP1751" s="144" t="n"/>
      <c r="BQ1751" s="141" t="n"/>
      <c r="BR1751" s="207" t="n"/>
      <c r="BS1751" s="207" t="n"/>
      <c r="BT1751" s="207" t="n"/>
      <c r="BU1751" s="207" t="n"/>
      <c r="BV1751" s="208" t="n"/>
      <c r="BW1751" s="207" t="n"/>
      <c r="BX1751" s="207" t="n"/>
      <c r="BY1751" s="204" t="n"/>
      <c r="BZ1751" s="148" t="n"/>
      <c r="CA1751" s="204" t="n"/>
      <c r="CB1751" s="208" t="n"/>
      <c r="CC1751" s="139" t="n"/>
      <c r="CD1751" s="204" t="n"/>
      <c r="CE1751" s="204" t="n"/>
      <c r="CF1751" s="207" t="n"/>
      <c r="CG1751" s="208" t="n"/>
      <c r="CH1751" s="207" t="n"/>
      <c r="CI1751" s="208" t="n"/>
      <c r="CJ1751" s="204" t="n"/>
      <c r="CK1751" s="208" t="n"/>
      <c r="CL1751" s="208" t="n"/>
      <c r="CM1751" s="208" t="n"/>
      <c r="CN1751" s="78" t="n"/>
      <c r="CO1751" s="209" t="n"/>
      <c r="CP1751" s="204" t="n"/>
      <c r="CQ1751" s="204" t="n"/>
      <c r="CR1751" s="204" t="n"/>
      <c r="CS1751" s="204" t="n"/>
      <c r="CT1751" s="204" t="n"/>
      <c r="CU1751" s="204" t="n"/>
      <c r="CV1751" s="204" t="n"/>
      <c r="CW1751" s="204" t="n"/>
    </row>
    <row r="1752">
      <c r="BF1752" s="78" t="n"/>
      <c r="BG1752" s="78" t="n"/>
      <c r="BH1752" s="78" t="n"/>
      <c r="BI1752" s="78" t="n"/>
      <c r="BJ1752" s="139" t="n"/>
      <c r="BK1752" s="204" t="n"/>
      <c r="BL1752" s="141" t="n"/>
      <c r="BM1752" s="205" t="n"/>
      <c r="BN1752" s="205" t="n"/>
      <c r="BO1752" s="206" t="n"/>
      <c r="BP1752" s="144" t="n"/>
      <c r="BQ1752" s="141" t="n"/>
      <c r="BR1752" s="207" t="n"/>
      <c r="BS1752" s="207" t="n"/>
      <c r="BT1752" s="207" t="n"/>
      <c r="BU1752" s="207" t="n"/>
      <c r="BV1752" s="208" t="n"/>
      <c r="BW1752" s="207" t="n"/>
      <c r="BX1752" s="207" t="n"/>
      <c r="BY1752" s="204" t="n"/>
      <c r="BZ1752" s="148" t="n"/>
      <c r="CA1752" s="204" t="n"/>
      <c r="CB1752" s="208" t="n"/>
      <c r="CC1752" s="139" t="n"/>
      <c r="CD1752" s="204" t="n"/>
      <c r="CE1752" s="204" t="n"/>
      <c r="CF1752" s="207" t="n"/>
      <c r="CG1752" s="208" t="n"/>
      <c r="CH1752" s="207" t="n"/>
      <c r="CI1752" s="208" t="n"/>
      <c r="CJ1752" s="204" t="n"/>
      <c r="CK1752" s="208" t="n"/>
      <c r="CL1752" s="208" t="n"/>
      <c r="CM1752" s="208" t="n"/>
      <c r="CN1752" s="78" t="n"/>
      <c r="CO1752" s="209" t="n"/>
      <c r="CP1752" s="204" t="n"/>
      <c r="CQ1752" s="204" t="n"/>
      <c r="CR1752" s="204" t="n"/>
      <c r="CS1752" s="204" t="n"/>
      <c r="CT1752" s="204" t="n"/>
      <c r="CU1752" s="204" t="n"/>
      <c r="CV1752" s="204" t="n"/>
      <c r="CW1752" s="204" t="n"/>
    </row>
    <row r="1753">
      <c r="BF1753" s="78" t="n"/>
      <c r="BG1753" s="78" t="n"/>
      <c r="BH1753" s="78" t="n"/>
      <c r="BI1753" s="78" t="n"/>
      <c r="BJ1753" s="139" t="n"/>
      <c r="BK1753" s="204" t="n"/>
      <c r="BL1753" s="141" t="n"/>
      <c r="BM1753" s="205" t="n"/>
      <c r="BN1753" s="205" t="n"/>
      <c r="BO1753" s="206" t="n"/>
      <c r="BP1753" s="144" t="n"/>
      <c r="BQ1753" s="141" t="n"/>
      <c r="BR1753" s="207" t="n"/>
      <c r="BS1753" s="207" t="n"/>
      <c r="BT1753" s="207" t="n"/>
      <c r="BU1753" s="207" t="n"/>
      <c r="BV1753" s="208" t="n"/>
      <c r="BW1753" s="207" t="n"/>
      <c r="BX1753" s="207" t="n"/>
      <c r="BY1753" s="204" t="n"/>
      <c r="BZ1753" s="148" t="n"/>
      <c r="CA1753" s="204" t="n"/>
      <c r="CB1753" s="208" t="n"/>
      <c r="CC1753" s="139" t="n"/>
      <c r="CD1753" s="204" t="n"/>
      <c r="CE1753" s="204" t="n"/>
      <c r="CF1753" s="207" t="n"/>
      <c r="CG1753" s="208" t="n"/>
      <c r="CH1753" s="207" t="n"/>
      <c r="CI1753" s="208" t="n"/>
      <c r="CJ1753" s="204" t="n"/>
      <c r="CK1753" s="208" t="n"/>
      <c r="CL1753" s="208" t="n"/>
      <c r="CM1753" s="208" t="n"/>
      <c r="CN1753" s="78" t="n"/>
      <c r="CO1753" s="209" t="n"/>
      <c r="CP1753" s="204" t="n"/>
      <c r="CQ1753" s="204" t="n"/>
      <c r="CR1753" s="204" t="n"/>
      <c r="CS1753" s="204" t="n"/>
      <c r="CT1753" s="204" t="n"/>
      <c r="CU1753" s="204" t="n"/>
      <c r="CV1753" s="204" t="n"/>
      <c r="CW1753" s="204" t="n"/>
    </row>
    <row r="1754">
      <c r="BF1754" s="78" t="n"/>
      <c r="BG1754" s="78" t="n"/>
      <c r="BH1754" s="78" t="n"/>
      <c r="BI1754" s="78" t="n"/>
      <c r="BJ1754" s="139" t="n"/>
      <c r="BK1754" s="204" t="n"/>
      <c r="BL1754" s="141" t="n"/>
      <c r="BM1754" s="205" t="n"/>
      <c r="BN1754" s="205" t="n"/>
      <c r="BO1754" s="206" t="n"/>
      <c r="BP1754" s="144" t="n"/>
      <c r="BQ1754" s="141" t="n"/>
      <c r="BR1754" s="207" t="n"/>
      <c r="BS1754" s="207" t="n"/>
      <c r="BT1754" s="207" t="n"/>
      <c r="BU1754" s="207" t="n"/>
      <c r="BV1754" s="208" t="n"/>
      <c r="BW1754" s="207" t="n"/>
      <c r="BX1754" s="207" t="n"/>
      <c r="BY1754" s="204" t="n"/>
      <c r="BZ1754" s="148" t="n"/>
      <c r="CA1754" s="204" t="n"/>
      <c r="CB1754" s="208" t="n"/>
      <c r="CC1754" s="139" t="n"/>
      <c r="CD1754" s="204" t="n"/>
      <c r="CE1754" s="204" t="n"/>
      <c r="CF1754" s="207" t="n"/>
      <c r="CG1754" s="208" t="n"/>
      <c r="CH1754" s="207" t="n"/>
      <c r="CI1754" s="208" t="n"/>
      <c r="CJ1754" s="204" t="n"/>
      <c r="CK1754" s="208" t="n"/>
      <c r="CL1754" s="208" t="n"/>
      <c r="CM1754" s="208" t="n"/>
      <c r="CN1754" s="78" t="n"/>
      <c r="CO1754" s="209" t="n"/>
      <c r="CP1754" s="204" t="n"/>
      <c r="CQ1754" s="204" t="n"/>
      <c r="CR1754" s="204" t="n"/>
      <c r="CS1754" s="204" t="n"/>
      <c r="CT1754" s="204" t="n"/>
      <c r="CU1754" s="204" t="n"/>
      <c r="CV1754" s="204" t="n"/>
      <c r="CW1754" s="204" t="n"/>
    </row>
    <row r="1755">
      <c r="BF1755" s="78" t="n"/>
      <c r="BG1755" s="78" t="n"/>
      <c r="BH1755" s="78" t="n"/>
      <c r="BI1755" s="78" t="n"/>
      <c r="BJ1755" s="139" t="n"/>
      <c r="BK1755" s="204" t="n"/>
      <c r="BL1755" s="141" t="n"/>
      <c r="BM1755" s="205" t="n"/>
      <c r="BN1755" s="205" t="n"/>
      <c r="BO1755" s="206" t="n"/>
      <c r="BP1755" s="144" t="n"/>
      <c r="BQ1755" s="141" t="n"/>
      <c r="BR1755" s="207" t="n"/>
      <c r="BS1755" s="207" t="n"/>
      <c r="BT1755" s="207" t="n"/>
      <c r="BU1755" s="207" t="n"/>
      <c r="BV1755" s="208" t="n"/>
      <c r="BW1755" s="207" t="n"/>
      <c r="BX1755" s="207" t="n"/>
      <c r="BY1755" s="204" t="n"/>
      <c r="BZ1755" s="148" t="n"/>
      <c r="CA1755" s="204" t="n"/>
      <c r="CB1755" s="208" t="n"/>
      <c r="CC1755" s="139" t="n"/>
      <c r="CD1755" s="204" t="n"/>
      <c r="CE1755" s="204" t="n"/>
      <c r="CF1755" s="207" t="n"/>
      <c r="CG1755" s="208" t="n"/>
      <c r="CH1755" s="207" t="n"/>
      <c r="CI1755" s="208" t="n"/>
      <c r="CJ1755" s="204" t="n"/>
      <c r="CK1755" s="208" t="n"/>
      <c r="CL1755" s="208" t="n"/>
      <c r="CM1755" s="208" t="n"/>
      <c r="CN1755" s="78" t="n"/>
      <c r="CO1755" s="209" t="n"/>
      <c r="CP1755" s="204" t="n"/>
      <c r="CQ1755" s="204" t="n"/>
      <c r="CR1755" s="204" t="n"/>
      <c r="CS1755" s="204" t="n"/>
      <c r="CT1755" s="204" t="n"/>
      <c r="CU1755" s="204" t="n"/>
      <c r="CV1755" s="204" t="n"/>
      <c r="CW1755" s="204" t="n"/>
    </row>
    <row r="1756">
      <c r="BF1756" s="78" t="n"/>
      <c r="BG1756" s="78" t="n"/>
      <c r="BH1756" s="78" t="n"/>
      <c r="BI1756" s="78" t="n"/>
      <c r="BJ1756" s="139" t="n"/>
      <c r="BK1756" s="204" t="n"/>
      <c r="BL1756" s="141" t="n"/>
      <c r="BM1756" s="205" t="n"/>
      <c r="BN1756" s="205" t="n"/>
      <c r="BO1756" s="206" t="n"/>
      <c r="BP1756" s="144" t="n"/>
      <c r="BQ1756" s="141" t="n"/>
      <c r="BR1756" s="207" t="n"/>
      <c r="BS1756" s="207" t="n"/>
      <c r="BT1756" s="207" t="n"/>
      <c r="BU1756" s="207" t="n"/>
      <c r="BV1756" s="208" t="n"/>
      <c r="BW1756" s="207" t="n"/>
      <c r="BX1756" s="207" t="n"/>
      <c r="BY1756" s="204" t="n"/>
      <c r="BZ1756" s="148" t="n"/>
      <c r="CA1756" s="204" t="n"/>
      <c r="CB1756" s="208" t="n"/>
      <c r="CC1756" s="139" t="n"/>
      <c r="CD1756" s="204" t="n"/>
      <c r="CE1756" s="204" t="n"/>
      <c r="CF1756" s="207" t="n"/>
      <c r="CG1756" s="208" t="n"/>
      <c r="CH1756" s="207" t="n"/>
      <c r="CI1756" s="208" t="n"/>
      <c r="CJ1756" s="204" t="n"/>
      <c r="CK1756" s="208" t="n"/>
      <c r="CL1756" s="208" t="n"/>
      <c r="CM1756" s="208" t="n"/>
      <c r="CN1756" s="78" t="n"/>
      <c r="CO1756" s="209" t="n"/>
      <c r="CP1756" s="204" t="n"/>
      <c r="CQ1756" s="204" t="n"/>
      <c r="CR1756" s="204" t="n"/>
      <c r="CS1756" s="204" t="n"/>
      <c r="CT1756" s="204" t="n"/>
      <c r="CU1756" s="204" t="n"/>
      <c r="CV1756" s="204" t="n"/>
      <c r="CW1756" s="204" t="n"/>
    </row>
    <row r="1757">
      <c r="BF1757" s="78" t="n"/>
      <c r="BG1757" s="78" t="n"/>
      <c r="BH1757" s="78" t="n"/>
      <c r="BI1757" s="78" t="n"/>
      <c r="BJ1757" s="139" t="n"/>
      <c r="BK1757" s="204" t="n"/>
      <c r="BL1757" s="141" t="n"/>
      <c r="BM1757" s="205" t="n"/>
      <c r="BN1757" s="205" t="n"/>
      <c r="BO1757" s="206" t="n"/>
      <c r="BP1757" s="144" t="n"/>
      <c r="BQ1757" s="141" t="n"/>
      <c r="BR1757" s="207" t="n"/>
      <c r="BS1757" s="207" t="n"/>
      <c r="BT1757" s="207" t="n"/>
      <c r="BU1757" s="207" t="n"/>
      <c r="BV1757" s="208" t="n"/>
      <c r="BW1757" s="207" t="n"/>
      <c r="BX1757" s="207" t="n"/>
      <c r="BY1757" s="204" t="n"/>
      <c r="BZ1757" s="148" t="n"/>
      <c r="CA1757" s="204" t="n"/>
      <c r="CB1757" s="208" t="n"/>
      <c r="CC1757" s="139" t="n"/>
      <c r="CD1757" s="204" t="n"/>
      <c r="CE1757" s="204" t="n"/>
      <c r="CF1757" s="207" t="n"/>
      <c r="CG1757" s="208" t="n"/>
      <c r="CH1757" s="207" t="n"/>
      <c r="CI1757" s="208" t="n"/>
      <c r="CJ1757" s="204" t="n"/>
      <c r="CK1757" s="208" t="n"/>
      <c r="CL1757" s="208" t="n"/>
      <c r="CM1757" s="208" t="n"/>
      <c r="CN1757" s="78" t="n"/>
      <c r="CO1757" s="209" t="n"/>
      <c r="CP1757" s="204" t="n"/>
      <c r="CQ1757" s="204" t="n"/>
      <c r="CR1757" s="204" t="n"/>
      <c r="CS1757" s="204" t="n"/>
      <c r="CT1757" s="204" t="n"/>
      <c r="CU1757" s="204" t="n"/>
      <c r="CV1757" s="204" t="n"/>
      <c r="CW1757" s="204" t="n"/>
    </row>
    <row r="1758">
      <c r="BF1758" s="78" t="n"/>
      <c r="BG1758" s="78" t="n"/>
      <c r="BH1758" s="78" t="n"/>
      <c r="BI1758" s="78" t="n"/>
      <c r="BJ1758" s="139" t="n"/>
      <c r="BK1758" s="204" t="n"/>
      <c r="BL1758" s="141" t="n"/>
      <c r="BM1758" s="205" t="n"/>
      <c r="BN1758" s="205" t="n"/>
      <c r="BO1758" s="206" t="n"/>
      <c r="BP1758" s="144" t="n"/>
      <c r="BQ1758" s="141" t="n"/>
      <c r="BR1758" s="207" t="n"/>
      <c r="BS1758" s="207" t="n"/>
      <c r="BT1758" s="207" t="n"/>
      <c r="BU1758" s="207" t="n"/>
      <c r="BV1758" s="208" t="n"/>
      <c r="BW1758" s="207" t="n"/>
      <c r="BX1758" s="207" t="n"/>
      <c r="BY1758" s="204" t="n"/>
      <c r="BZ1758" s="148" t="n"/>
      <c r="CA1758" s="204" t="n"/>
      <c r="CB1758" s="208" t="n"/>
      <c r="CC1758" s="139" t="n"/>
      <c r="CD1758" s="204" t="n"/>
      <c r="CE1758" s="204" t="n"/>
      <c r="CF1758" s="207" t="n"/>
      <c r="CG1758" s="208" t="n"/>
      <c r="CH1758" s="207" t="n"/>
      <c r="CI1758" s="208" t="n"/>
      <c r="CJ1758" s="204" t="n"/>
      <c r="CK1758" s="208" t="n"/>
      <c r="CL1758" s="208" t="n"/>
      <c r="CM1758" s="208" t="n"/>
      <c r="CN1758" s="78" t="n"/>
      <c r="CO1758" s="209" t="n"/>
      <c r="CP1758" s="204" t="n"/>
      <c r="CQ1758" s="204" t="n"/>
      <c r="CR1758" s="204" t="n"/>
      <c r="CS1758" s="204" t="n"/>
      <c r="CT1758" s="204" t="n"/>
      <c r="CU1758" s="204" t="n"/>
      <c r="CV1758" s="204" t="n"/>
      <c r="CW1758" s="204" t="n"/>
    </row>
    <row r="1759">
      <c r="BF1759" s="78" t="n"/>
      <c r="BG1759" s="78" t="n"/>
      <c r="BH1759" s="78" t="n"/>
      <c r="BI1759" s="78" t="n"/>
      <c r="BJ1759" s="139" t="n"/>
      <c r="BK1759" s="204" t="n"/>
      <c r="BL1759" s="141" t="n"/>
      <c r="BM1759" s="205" t="n"/>
      <c r="BN1759" s="205" t="n"/>
      <c r="BO1759" s="206" t="n"/>
      <c r="BP1759" s="144" t="n"/>
      <c r="BQ1759" s="141" t="n"/>
      <c r="BR1759" s="207" t="n"/>
      <c r="BS1759" s="207" t="n"/>
      <c r="BT1759" s="207" t="n"/>
      <c r="BU1759" s="207" t="n"/>
      <c r="BV1759" s="208" t="n"/>
      <c r="BW1759" s="207" t="n"/>
      <c r="BX1759" s="207" t="n"/>
      <c r="BY1759" s="204" t="n"/>
      <c r="BZ1759" s="148" t="n"/>
      <c r="CA1759" s="204" t="n"/>
      <c r="CB1759" s="208" t="n"/>
      <c r="CC1759" s="139" t="n"/>
      <c r="CD1759" s="204" t="n"/>
      <c r="CE1759" s="204" t="n"/>
      <c r="CF1759" s="207" t="n"/>
      <c r="CG1759" s="208" t="n"/>
      <c r="CH1759" s="207" t="n"/>
      <c r="CI1759" s="208" t="n"/>
      <c r="CJ1759" s="204" t="n"/>
      <c r="CK1759" s="208" t="n"/>
      <c r="CL1759" s="208" t="n"/>
      <c r="CM1759" s="208" t="n"/>
      <c r="CN1759" s="78" t="n"/>
      <c r="CO1759" s="209" t="n"/>
      <c r="CP1759" s="204" t="n"/>
      <c r="CQ1759" s="204" t="n"/>
      <c r="CR1759" s="204" t="n"/>
      <c r="CS1759" s="204" t="n"/>
      <c r="CT1759" s="204" t="n"/>
      <c r="CU1759" s="204" t="n"/>
      <c r="CV1759" s="204" t="n"/>
      <c r="CW1759" s="204" t="n"/>
    </row>
    <row r="1760">
      <c r="BF1760" s="78" t="n"/>
      <c r="BG1760" s="78" t="n"/>
      <c r="BH1760" s="78" t="n"/>
      <c r="BI1760" s="78" t="n"/>
      <c r="BJ1760" s="139" t="n"/>
      <c r="BK1760" s="204" t="n"/>
      <c r="BL1760" s="141" t="n"/>
      <c r="BM1760" s="205" t="n"/>
      <c r="BN1760" s="205" t="n"/>
      <c r="BO1760" s="206" t="n"/>
      <c r="BP1760" s="144" t="n"/>
      <c r="BQ1760" s="141" t="n"/>
      <c r="BR1760" s="207" t="n"/>
      <c r="BS1760" s="207" t="n"/>
      <c r="BT1760" s="207" t="n"/>
      <c r="BU1760" s="207" t="n"/>
      <c r="BV1760" s="208" t="n"/>
      <c r="BW1760" s="207" t="n"/>
      <c r="BX1760" s="207" t="n"/>
      <c r="BY1760" s="204" t="n"/>
      <c r="BZ1760" s="148" t="n"/>
      <c r="CA1760" s="204" t="n"/>
      <c r="CB1760" s="208" t="n"/>
      <c r="CC1760" s="139" t="n"/>
      <c r="CD1760" s="204" t="n"/>
      <c r="CE1760" s="204" t="n"/>
      <c r="CF1760" s="207" t="n"/>
      <c r="CG1760" s="208" t="n"/>
      <c r="CH1760" s="207" t="n"/>
      <c r="CI1760" s="208" t="n"/>
      <c r="CJ1760" s="204" t="n"/>
      <c r="CK1760" s="208" t="n"/>
      <c r="CL1760" s="208" t="n"/>
      <c r="CM1760" s="208" t="n"/>
      <c r="CN1760" s="78" t="n"/>
      <c r="CO1760" s="209" t="n"/>
      <c r="CP1760" s="204" t="n"/>
      <c r="CQ1760" s="204" t="n"/>
      <c r="CR1760" s="204" t="n"/>
      <c r="CS1760" s="204" t="n"/>
      <c r="CT1760" s="204" t="n"/>
      <c r="CU1760" s="204" t="n"/>
      <c r="CV1760" s="204" t="n"/>
      <c r="CW1760" s="204" t="n"/>
    </row>
    <row r="1761">
      <c r="BF1761" s="78" t="n"/>
      <c r="BG1761" s="78" t="n"/>
      <c r="BH1761" s="78" t="n"/>
      <c r="BI1761" s="78" t="n"/>
      <c r="BJ1761" s="139" t="n"/>
      <c r="BK1761" s="204" t="n"/>
      <c r="BL1761" s="141" t="n"/>
      <c r="BM1761" s="205" t="n"/>
      <c r="BN1761" s="205" t="n"/>
      <c r="BO1761" s="206" t="n"/>
      <c r="BP1761" s="144" t="n"/>
      <c r="BQ1761" s="141" t="n"/>
      <c r="BR1761" s="207" t="n"/>
      <c r="BS1761" s="207" t="n"/>
      <c r="BT1761" s="207" t="n"/>
      <c r="BU1761" s="207" t="n"/>
      <c r="BV1761" s="208" t="n"/>
      <c r="BW1761" s="207" t="n"/>
      <c r="BX1761" s="207" t="n"/>
      <c r="BY1761" s="204" t="n"/>
      <c r="BZ1761" s="148" t="n"/>
      <c r="CA1761" s="204" t="n"/>
      <c r="CB1761" s="208" t="n"/>
      <c r="CC1761" s="139" t="n"/>
      <c r="CD1761" s="204" t="n"/>
      <c r="CE1761" s="204" t="n"/>
      <c r="CF1761" s="207" t="n"/>
      <c r="CG1761" s="208" t="n"/>
      <c r="CH1761" s="207" t="n"/>
      <c r="CI1761" s="208" t="n"/>
      <c r="CJ1761" s="204" t="n"/>
      <c r="CK1761" s="208" t="n"/>
      <c r="CL1761" s="208" t="n"/>
      <c r="CM1761" s="208" t="n"/>
      <c r="CN1761" s="78" t="n"/>
      <c r="CO1761" s="209" t="n"/>
      <c r="CP1761" s="204" t="n"/>
      <c r="CQ1761" s="204" t="n"/>
      <c r="CR1761" s="204" t="n"/>
      <c r="CS1761" s="204" t="n"/>
      <c r="CT1761" s="204" t="n"/>
      <c r="CU1761" s="204" t="n"/>
      <c r="CV1761" s="204" t="n"/>
      <c r="CW1761" s="204" t="n"/>
    </row>
    <row r="1762">
      <c r="AR1762" s="151" t="n"/>
      <c r="BF1762" s="78" t="n"/>
      <c r="BG1762" s="78" t="n"/>
      <c r="BH1762" s="78" t="n"/>
      <c r="BI1762" s="78" t="n"/>
      <c r="BJ1762" s="139" t="n"/>
      <c r="BK1762" s="204" t="n"/>
      <c r="BL1762" s="141" t="n"/>
      <c r="BM1762" s="205" t="n"/>
      <c r="BN1762" s="205" t="n"/>
      <c r="BO1762" s="206" t="n"/>
      <c r="BP1762" s="144" t="n"/>
      <c r="BQ1762" s="141" t="n"/>
      <c r="BR1762" s="207" t="n"/>
      <c r="BS1762" s="207" t="n"/>
      <c r="BT1762" s="207" t="n"/>
      <c r="BU1762" s="207" t="n"/>
      <c r="BV1762" s="208" t="n"/>
      <c r="BW1762" s="207" t="n"/>
      <c r="BX1762" s="207" t="n"/>
      <c r="BY1762" s="204" t="n"/>
      <c r="BZ1762" s="148" t="n"/>
      <c r="CA1762" s="204" t="n"/>
      <c r="CB1762" s="208" t="n"/>
      <c r="CC1762" s="139" t="n"/>
      <c r="CD1762" s="204" t="n"/>
      <c r="CE1762" s="204" t="n"/>
      <c r="CF1762" s="207" t="n"/>
      <c r="CG1762" s="208" t="n"/>
      <c r="CH1762" s="207" t="n"/>
      <c r="CI1762" s="208" t="n"/>
      <c r="CJ1762" s="204" t="n"/>
      <c r="CK1762" s="208" t="n"/>
      <c r="CL1762" s="208" t="n"/>
      <c r="CM1762" s="208" t="n"/>
      <c r="CN1762" s="78" t="n"/>
      <c r="CO1762" s="209" t="n"/>
      <c r="CP1762" s="204" t="n"/>
      <c r="CQ1762" s="204" t="n"/>
      <c r="CR1762" s="204" t="n"/>
      <c r="CS1762" s="204" t="n"/>
      <c r="CT1762" s="204" t="n"/>
      <c r="CU1762" s="204" t="n"/>
      <c r="CV1762" s="204" t="n"/>
      <c r="CW1762" s="204" t="n"/>
    </row>
    <row r="1763">
      <c r="AR1763" s="151" t="n"/>
      <c r="BF1763" s="78" t="n"/>
      <c r="BG1763" s="78" t="n"/>
      <c r="BH1763" s="78" t="n"/>
      <c r="BI1763" s="78" t="n"/>
      <c r="BJ1763" s="139" t="n"/>
      <c r="BK1763" s="204" t="n"/>
      <c r="BL1763" s="141" t="n"/>
      <c r="BM1763" s="205" t="n"/>
      <c r="BN1763" s="205" t="n"/>
      <c r="BO1763" s="206" t="n"/>
      <c r="BP1763" s="144" t="n"/>
      <c r="BQ1763" s="141" t="n"/>
      <c r="BR1763" s="207" t="n"/>
      <c r="BS1763" s="207" t="n"/>
      <c r="BT1763" s="207" t="n"/>
      <c r="BU1763" s="207" t="n"/>
      <c r="BV1763" s="208" t="n"/>
      <c r="BW1763" s="207" t="n"/>
      <c r="BX1763" s="207" t="n"/>
      <c r="BY1763" s="204" t="n"/>
      <c r="BZ1763" s="148" t="n"/>
      <c r="CA1763" s="204" t="n"/>
      <c r="CB1763" s="208" t="n"/>
      <c r="CC1763" s="139" t="n"/>
      <c r="CD1763" s="204" t="n"/>
      <c r="CE1763" s="204" t="n"/>
      <c r="CF1763" s="207" t="n"/>
      <c r="CG1763" s="208" t="n"/>
      <c r="CH1763" s="207" t="n"/>
      <c r="CI1763" s="208" t="n"/>
      <c r="CJ1763" s="204" t="n"/>
      <c r="CK1763" s="208" t="n"/>
      <c r="CL1763" s="208" t="n"/>
      <c r="CM1763" s="208" t="n"/>
      <c r="CN1763" s="78" t="n"/>
      <c r="CO1763" s="209" t="n"/>
      <c r="CP1763" s="204" t="n"/>
      <c r="CQ1763" s="204" t="n"/>
      <c r="CR1763" s="204" t="n"/>
      <c r="CS1763" s="204" t="n"/>
      <c r="CT1763" s="204" t="n"/>
      <c r="CU1763" s="204" t="n"/>
      <c r="CV1763" s="204" t="n"/>
      <c r="CW1763" s="204" t="n"/>
    </row>
    <row r="1764">
      <c r="BF1764" s="78" t="n"/>
      <c r="BG1764" s="78" t="n"/>
      <c r="BH1764" s="78" t="n"/>
      <c r="BI1764" s="78" t="n"/>
      <c r="BJ1764" s="139" t="n"/>
      <c r="BK1764" s="204" t="n"/>
      <c r="BL1764" s="141" t="n"/>
      <c r="BM1764" s="205" t="n"/>
      <c r="BN1764" s="205" t="n"/>
      <c r="BO1764" s="206" t="n"/>
      <c r="BP1764" s="144" t="n"/>
      <c r="BQ1764" s="141" t="n"/>
      <c r="BR1764" s="207" t="n"/>
      <c r="BS1764" s="207" t="n"/>
      <c r="BT1764" s="207" t="n"/>
      <c r="BU1764" s="207" t="n"/>
      <c r="BV1764" s="208" t="n"/>
      <c r="BW1764" s="207" t="n"/>
      <c r="BX1764" s="207" t="n"/>
      <c r="BY1764" s="204" t="n"/>
      <c r="BZ1764" s="148" t="n"/>
      <c r="CA1764" s="204" t="n"/>
      <c r="CB1764" s="208" t="n"/>
      <c r="CC1764" s="139" t="n"/>
      <c r="CD1764" s="204" t="n"/>
      <c r="CE1764" s="204" t="n"/>
      <c r="CF1764" s="207" t="n"/>
      <c r="CG1764" s="208" t="n"/>
      <c r="CH1764" s="207" t="n"/>
      <c r="CI1764" s="208" t="n"/>
      <c r="CJ1764" s="204" t="n"/>
      <c r="CK1764" s="208" t="n"/>
      <c r="CL1764" s="208" t="n"/>
      <c r="CM1764" s="208" t="n"/>
      <c r="CN1764" s="78" t="n"/>
      <c r="CO1764" s="209" t="n"/>
      <c r="CP1764" s="204" t="n"/>
      <c r="CQ1764" s="204" t="n"/>
      <c r="CR1764" s="204" t="n"/>
      <c r="CS1764" s="204" t="n"/>
      <c r="CT1764" s="204" t="n"/>
      <c r="CU1764" s="204" t="n"/>
      <c r="CV1764" s="204" t="n"/>
      <c r="CW1764" s="204" t="n"/>
    </row>
    <row r="1765">
      <c r="BF1765" s="78" t="n"/>
      <c r="BG1765" s="78" t="n"/>
      <c r="BH1765" s="78" t="n"/>
      <c r="BI1765" s="78" t="n"/>
      <c r="BJ1765" s="139" t="n"/>
      <c r="BK1765" s="204" t="n"/>
      <c r="BL1765" s="141" t="n"/>
      <c r="BM1765" s="205" t="n"/>
      <c r="BN1765" s="205" t="n"/>
      <c r="BO1765" s="206" t="n"/>
      <c r="BP1765" s="144" t="n"/>
      <c r="BQ1765" s="141" t="n"/>
      <c r="BR1765" s="207" t="n"/>
      <c r="BS1765" s="207" t="n"/>
      <c r="BT1765" s="207" t="n"/>
      <c r="BU1765" s="207" t="n"/>
      <c r="BV1765" s="208" t="n"/>
      <c r="BW1765" s="207" t="n"/>
      <c r="BX1765" s="207" t="n"/>
      <c r="BY1765" s="204" t="n"/>
      <c r="BZ1765" s="148" t="n"/>
      <c r="CA1765" s="204" t="n"/>
      <c r="CB1765" s="208" t="n"/>
      <c r="CC1765" s="139" t="n"/>
      <c r="CD1765" s="204" t="n"/>
      <c r="CE1765" s="204" t="n"/>
      <c r="CF1765" s="207" t="n"/>
      <c r="CG1765" s="208" t="n"/>
      <c r="CH1765" s="207" t="n"/>
      <c r="CI1765" s="208" t="n"/>
      <c r="CJ1765" s="204" t="n"/>
      <c r="CK1765" s="208" t="n"/>
      <c r="CL1765" s="208" t="n"/>
      <c r="CM1765" s="208" t="n"/>
      <c r="CN1765" s="78" t="n"/>
      <c r="CO1765" s="209" t="n"/>
      <c r="CP1765" s="204" t="n"/>
      <c r="CQ1765" s="204" t="n"/>
      <c r="CR1765" s="204" t="n"/>
      <c r="CS1765" s="204" t="n"/>
      <c r="CT1765" s="204" t="n"/>
      <c r="CU1765" s="204" t="n"/>
      <c r="CV1765" s="204" t="n"/>
      <c r="CW1765" s="204" t="n"/>
    </row>
    <row r="1766">
      <c r="BF1766" s="78" t="n"/>
      <c r="BG1766" s="78" t="n"/>
      <c r="BH1766" s="78" t="n"/>
      <c r="BI1766" s="78" t="n"/>
      <c r="BJ1766" s="139" t="n"/>
      <c r="BK1766" s="204" t="n"/>
      <c r="BL1766" s="141" t="n"/>
      <c r="BM1766" s="205" t="n"/>
      <c r="BN1766" s="205" t="n"/>
      <c r="BO1766" s="206" t="n"/>
      <c r="BP1766" s="144" t="n"/>
      <c r="BQ1766" s="141" t="n"/>
      <c r="BR1766" s="207" t="n"/>
      <c r="BS1766" s="207" t="n"/>
      <c r="BT1766" s="207" t="n"/>
      <c r="BU1766" s="207" t="n"/>
      <c r="BV1766" s="208" t="n"/>
      <c r="BW1766" s="207" t="n"/>
      <c r="BX1766" s="207" t="n"/>
      <c r="BY1766" s="204" t="n"/>
      <c r="BZ1766" s="148" t="n"/>
      <c r="CA1766" s="204" t="n"/>
      <c r="CB1766" s="208" t="n"/>
      <c r="CC1766" s="139" t="n"/>
      <c r="CD1766" s="204" t="n"/>
      <c r="CE1766" s="204" t="n"/>
      <c r="CF1766" s="207" t="n"/>
      <c r="CG1766" s="208" t="n"/>
      <c r="CH1766" s="207" t="n"/>
      <c r="CI1766" s="208" t="n"/>
      <c r="CJ1766" s="204" t="n"/>
      <c r="CK1766" s="208" t="n"/>
      <c r="CL1766" s="208" t="n"/>
      <c r="CM1766" s="208" t="n"/>
      <c r="CN1766" s="78" t="n"/>
      <c r="CO1766" s="209" t="n"/>
      <c r="CP1766" s="204" t="n"/>
      <c r="CQ1766" s="204" t="n"/>
      <c r="CR1766" s="204" t="n"/>
      <c r="CS1766" s="204" t="n"/>
      <c r="CT1766" s="204" t="n"/>
      <c r="CU1766" s="204" t="n"/>
      <c r="CV1766" s="204" t="n"/>
      <c r="CW1766" s="204" t="n"/>
    </row>
    <row r="1767">
      <c r="BF1767" s="78" t="n"/>
      <c r="BG1767" s="78" t="n"/>
      <c r="BH1767" s="78" t="n"/>
      <c r="BI1767" s="78" t="n"/>
      <c r="BJ1767" s="139" t="n"/>
      <c r="BK1767" s="204" t="n"/>
      <c r="BL1767" s="141" t="n"/>
      <c r="BM1767" s="205" t="n"/>
      <c r="BN1767" s="205" t="n"/>
      <c r="BO1767" s="206" t="n"/>
      <c r="BP1767" s="144" t="n"/>
      <c r="BQ1767" s="141" t="n"/>
      <c r="BR1767" s="207" t="n"/>
      <c r="BS1767" s="207" t="n"/>
      <c r="BT1767" s="207" t="n"/>
      <c r="BU1767" s="207" t="n"/>
      <c r="BV1767" s="208" t="n"/>
      <c r="BW1767" s="207" t="n"/>
      <c r="BX1767" s="207" t="n"/>
      <c r="BY1767" s="204" t="n"/>
      <c r="BZ1767" s="148" t="n"/>
      <c r="CA1767" s="204" t="n"/>
      <c r="CB1767" s="208" t="n"/>
      <c r="CC1767" s="139" t="n"/>
      <c r="CD1767" s="204" t="n"/>
      <c r="CE1767" s="204" t="n"/>
      <c r="CF1767" s="207" t="n"/>
      <c r="CG1767" s="208" t="n"/>
      <c r="CH1767" s="207" t="n"/>
      <c r="CI1767" s="208" t="n"/>
      <c r="CJ1767" s="204" t="n"/>
      <c r="CK1767" s="208" t="n"/>
      <c r="CL1767" s="208" t="n"/>
      <c r="CM1767" s="208" t="n"/>
      <c r="CN1767" s="78" t="n"/>
      <c r="CO1767" s="209" t="n"/>
      <c r="CP1767" s="204" t="n"/>
      <c r="CQ1767" s="204" t="n"/>
      <c r="CR1767" s="204" t="n"/>
      <c r="CS1767" s="204" t="n"/>
      <c r="CT1767" s="204" t="n"/>
      <c r="CU1767" s="204" t="n"/>
      <c r="CV1767" s="204" t="n"/>
      <c r="CW1767" s="204" t="n"/>
    </row>
    <row r="1768">
      <c r="BF1768" s="78" t="n"/>
      <c r="BG1768" s="78" t="n"/>
      <c r="BH1768" s="78" t="n"/>
      <c r="BI1768" s="78" t="n"/>
      <c r="BJ1768" s="139" t="n"/>
      <c r="BK1768" s="204" t="n"/>
      <c r="BL1768" s="141" t="n"/>
      <c r="BM1768" s="205" t="n"/>
      <c r="BN1768" s="205" t="n"/>
      <c r="BO1768" s="206" t="n"/>
      <c r="BP1768" s="144" t="n"/>
      <c r="BQ1768" s="141" t="n"/>
      <c r="BR1768" s="207" t="n"/>
      <c r="BS1768" s="207" t="n"/>
      <c r="BT1768" s="207" t="n"/>
      <c r="BU1768" s="207" t="n"/>
      <c r="BV1768" s="208" t="n"/>
      <c r="BW1768" s="207" t="n"/>
      <c r="BX1768" s="207" t="n"/>
      <c r="BY1768" s="204" t="n"/>
      <c r="BZ1768" s="148" t="n"/>
      <c r="CA1768" s="204" t="n"/>
      <c r="CB1768" s="208" t="n"/>
      <c r="CC1768" s="139" t="n"/>
      <c r="CD1768" s="204" t="n"/>
      <c r="CE1768" s="204" t="n"/>
      <c r="CF1768" s="207" t="n"/>
      <c r="CG1768" s="208" t="n"/>
      <c r="CH1768" s="207" t="n"/>
      <c r="CI1768" s="208" t="n"/>
      <c r="CJ1768" s="204" t="n"/>
      <c r="CK1768" s="208" t="n"/>
      <c r="CL1768" s="208" t="n"/>
      <c r="CM1768" s="208" t="n"/>
      <c r="CN1768" s="78" t="n"/>
      <c r="CO1768" s="209" t="n"/>
      <c r="CP1768" s="204" t="n"/>
      <c r="CQ1768" s="204" t="n"/>
      <c r="CR1768" s="204" t="n"/>
      <c r="CS1768" s="204" t="n"/>
      <c r="CT1768" s="204" t="n"/>
      <c r="CU1768" s="204" t="n"/>
      <c r="CV1768" s="204" t="n"/>
      <c r="CW1768" s="204" t="n"/>
    </row>
    <row r="1769">
      <c r="BF1769" s="78" t="n"/>
      <c r="BG1769" s="78" t="n"/>
      <c r="BH1769" s="78" t="n"/>
      <c r="BI1769" s="78" t="n"/>
      <c r="BJ1769" s="139" t="n"/>
      <c r="BK1769" s="204" t="n"/>
      <c r="BL1769" s="141" t="n"/>
      <c r="BM1769" s="205" t="n"/>
      <c r="BN1769" s="205" t="n"/>
      <c r="BO1769" s="206" t="n"/>
      <c r="BP1769" s="144" t="n"/>
      <c r="BQ1769" s="141" t="n"/>
      <c r="BR1769" s="207" t="n"/>
      <c r="BS1769" s="207" t="n"/>
      <c r="BT1769" s="207" t="n"/>
      <c r="BU1769" s="207" t="n"/>
      <c r="BV1769" s="208" t="n"/>
      <c r="BW1769" s="207" t="n"/>
      <c r="BX1769" s="207" t="n"/>
      <c r="BY1769" s="204" t="n"/>
      <c r="BZ1769" s="148" t="n"/>
      <c r="CA1769" s="204" t="n"/>
      <c r="CB1769" s="208" t="n"/>
      <c r="CC1769" s="139" t="n"/>
      <c r="CD1769" s="204" t="n"/>
      <c r="CE1769" s="204" t="n"/>
      <c r="CF1769" s="207" t="n"/>
      <c r="CG1769" s="208" t="n"/>
      <c r="CH1769" s="207" t="n"/>
      <c r="CI1769" s="208" t="n"/>
      <c r="CJ1769" s="204" t="n"/>
      <c r="CK1769" s="208" t="n"/>
      <c r="CL1769" s="208" t="n"/>
      <c r="CM1769" s="208" t="n"/>
      <c r="CN1769" s="78" t="n"/>
      <c r="CO1769" s="209" t="n"/>
      <c r="CP1769" s="204" t="n"/>
      <c r="CQ1769" s="204" t="n"/>
      <c r="CR1769" s="204" t="n"/>
      <c r="CS1769" s="204" t="n"/>
      <c r="CT1769" s="204" t="n"/>
      <c r="CU1769" s="204" t="n"/>
      <c r="CV1769" s="204" t="n"/>
      <c r="CW1769" s="204" t="n"/>
    </row>
    <row r="1770">
      <c r="AR1770" s="151" t="n"/>
      <c r="BF1770" s="78" t="n"/>
      <c r="BG1770" s="78" t="n"/>
      <c r="BH1770" s="78" t="n"/>
      <c r="BI1770" s="78" t="n"/>
      <c r="BJ1770" s="139" t="n"/>
      <c r="BK1770" s="204" t="n"/>
      <c r="BL1770" s="141" t="n"/>
      <c r="BM1770" s="205" t="n"/>
      <c r="BN1770" s="205" t="n"/>
      <c r="BO1770" s="206" t="n"/>
      <c r="BP1770" s="144" t="n"/>
      <c r="BQ1770" s="141" t="n"/>
      <c r="BR1770" s="207" t="n"/>
      <c r="BS1770" s="207" t="n"/>
      <c r="BT1770" s="207" t="n"/>
      <c r="BU1770" s="207" t="n"/>
      <c r="BV1770" s="208" t="n"/>
      <c r="BW1770" s="207" t="n"/>
      <c r="BX1770" s="207" t="n"/>
      <c r="BY1770" s="204" t="n"/>
      <c r="BZ1770" s="148" t="n"/>
      <c r="CA1770" s="204" t="n"/>
      <c r="CB1770" s="208" t="n"/>
      <c r="CC1770" s="139" t="n"/>
      <c r="CD1770" s="204" t="n"/>
      <c r="CE1770" s="204" t="n"/>
      <c r="CF1770" s="207" t="n"/>
      <c r="CG1770" s="208" t="n"/>
      <c r="CH1770" s="207" t="n"/>
      <c r="CI1770" s="208" t="n"/>
      <c r="CJ1770" s="204" t="n"/>
      <c r="CK1770" s="208" t="n"/>
      <c r="CL1770" s="208" t="n"/>
      <c r="CM1770" s="208" t="n"/>
      <c r="CN1770" s="78" t="n"/>
      <c r="CO1770" s="209" t="n"/>
      <c r="CP1770" s="204" t="n"/>
      <c r="CQ1770" s="204" t="n"/>
      <c r="CR1770" s="204" t="n"/>
      <c r="CS1770" s="204" t="n"/>
      <c r="CT1770" s="204" t="n"/>
      <c r="CU1770" s="204" t="n"/>
      <c r="CV1770" s="204" t="n"/>
      <c r="CW1770" s="204" t="n"/>
    </row>
    <row r="1771">
      <c r="BF1771" s="78" t="n"/>
      <c r="BG1771" s="78" t="n"/>
      <c r="BH1771" s="78" t="n"/>
      <c r="BI1771" s="78" t="n"/>
      <c r="BJ1771" s="139" t="n"/>
      <c r="BK1771" s="204" t="n"/>
      <c r="BL1771" s="141" t="n"/>
      <c r="BM1771" s="205" t="n"/>
      <c r="BN1771" s="205" t="n"/>
      <c r="BO1771" s="206" t="n"/>
      <c r="BP1771" s="144" t="n"/>
      <c r="BQ1771" s="141" t="n"/>
      <c r="BR1771" s="207" t="n"/>
      <c r="BS1771" s="207" t="n"/>
      <c r="BT1771" s="207" t="n"/>
      <c r="BU1771" s="207" t="n"/>
      <c r="BV1771" s="208" t="n"/>
      <c r="BW1771" s="207" t="n"/>
      <c r="BX1771" s="207" t="n"/>
      <c r="BY1771" s="204" t="n"/>
      <c r="BZ1771" s="148" t="n"/>
      <c r="CA1771" s="204" t="n"/>
      <c r="CB1771" s="208" t="n"/>
      <c r="CC1771" s="139" t="n"/>
      <c r="CD1771" s="204" t="n"/>
      <c r="CE1771" s="204" t="n"/>
      <c r="CF1771" s="207" t="n"/>
      <c r="CG1771" s="208" t="n"/>
      <c r="CH1771" s="207" t="n"/>
      <c r="CI1771" s="208" t="n"/>
      <c r="CJ1771" s="204" t="n"/>
      <c r="CK1771" s="208" t="n"/>
      <c r="CL1771" s="208" t="n"/>
      <c r="CM1771" s="208" t="n"/>
      <c r="CN1771" s="78" t="n"/>
      <c r="CO1771" s="209" t="n"/>
      <c r="CP1771" s="204" t="n"/>
      <c r="CQ1771" s="204" t="n"/>
      <c r="CR1771" s="204" t="n"/>
      <c r="CS1771" s="204" t="n"/>
      <c r="CT1771" s="204" t="n"/>
      <c r="CU1771" s="204" t="n"/>
      <c r="CV1771" s="204" t="n"/>
      <c r="CW1771" s="204" t="n"/>
    </row>
    <row r="1772">
      <c r="BF1772" s="78" t="n"/>
      <c r="BG1772" s="78" t="n"/>
      <c r="BH1772" s="78" t="n"/>
      <c r="BI1772" s="78" t="n"/>
      <c r="BJ1772" s="139" t="n"/>
      <c r="BK1772" s="204" t="n"/>
      <c r="BL1772" s="141" t="n"/>
      <c r="BM1772" s="205" t="n"/>
      <c r="BN1772" s="205" t="n"/>
      <c r="BO1772" s="206" t="n"/>
      <c r="BP1772" s="144" t="n"/>
      <c r="BQ1772" s="141" t="n"/>
      <c r="BR1772" s="207" t="n"/>
      <c r="BS1772" s="207" t="n"/>
      <c r="BT1772" s="207" t="n"/>
      <c r="BU1772" s="207" t="n"/>
      <c r="BV1772" s="208" t="n"/>
      <c r="BW1772" s="207" t="n"/>
      <c r="BX1772" s="207" t="n"/>
      <c r="BY1772" s="204" t="n"/>
      <c r="BZ1772" s="148" t="n"/>
      <c r="CA1772" s="204" t="n"/>
      <c r="CB1772" s="208" t="n"/>
      <c r="CC1772" s="139" t="n"/>
      <c r="CD1772" s="204" t="n"/>
      <c r="CE1772" s="204" t="n"/>
      <c r="CF1772" s="207" t="n"/>
      <c r="CG1772" s="208" t="n"/>
      <c r="CH1772" s="207" t="n"/>
      <c r="CI1772" s="208" t="n"/>
      <c r="CJ1772" s="204" t="n"/>
      <c r="CK1772" s="208" t="n"/>
      <c r="CL1772" s="208" t="n"/>
      <c r="CM1772" s="208" t="n"/>
      <c r="CN1772" s="78" t="n"/>
      <c r="CO1772" s="209" t="n"/>
      <c r="CP1772" s="204" t="n"/>
      <c r="CQ1772" s="204" t="n"/>
      <c r="CR1772" s="204" t="n"/>
      <c r="CS1772" s="204" t="n"/>
      <c r="CT1772" s="204" t="n"/>
      <c r="CU1772" s="204" t="n"/>
      <c r="CV1772" s="204" t="n"/>
      <c r="CW1772" s="204" t="n"/>
    </row>
    <row r="1773">
      <c r="BF1773" s="78" t="n"/>
      <c r="BG1773" s="78" t="n"/>
      <c r="BH1773" s="78" t="n"/>
      <c r="BI1773" s="78" t="n"/>
      <c r="BJ1773" s="139" t="n"/>
      <c r="BK1773" s="204" t="n"/>
      <c r="BL1773" s="141" t="n"/>
      <c r="BM1773" s="205" t="n"/>
      <c r="BN1773" s="205" t="n"/>
      <c r="BO1773" s="206" t="n"/>
      <c r="BP1773" s="144" t="n"/>
      <c r="BQ1773" s="141" t="n"/>
      <c r="BR1773" s="207" t="n"/>
      <c r="BS1773" s="207" t="n"/>
      <c r="BT1773" s="207" t="n"/>
      <c r="BU1773" s="207" t="n"/>
      <c r="BV1773" s="208" t="n"/>
      <c r="BW1773" s="207" t="n"/>
      <c r="BX1773" s="207" t="n"/>
      <c r="BY1773" s="204" t="n"/>
      <c r="BZ1773" s="148" t="n"/>
      <c r="CA1773" s="204" t="n"/>
      <c r="CB1773" s="208" t="n"/>
      <c r="CC1773" s="139" t="n"/>
      <c r="CD1773" s="204" t="n"/>
      <c r="CE1773" s="204" t="n"/>
      <c r="CF1773" s="207" t="n"/>
      <c r="CG1773" s="208" t="n"/>
      <c r="CH1773" s="207" t="n"/>
      <c r="CI1773" s="208" t="n"/>
      <c r="CJ1773" s="204" t="n"/>
      <c r="CK1773" s="208" t="n"/>
      <c r="CL1773" s="208" t="n"/>
      <c r="CM1773" s="208" t="n"/>
      <c r="CN1773" s="78" t="n"/>
      <c r="CO1773" s="209" t="n"/>
      <c r="CP1773" s="204" t="n"/>
      <c r="CQ1773" s="204" t="n"/>
      <c r="CR1773" s="204" t="n"/>
      <c r="CS1773" s="204" t="n"/>
      <c r="CT1773" s="204" t="n"/>
      <c r="CU1773" s="204" t="n"/>
      <c r="CV1773" s="204" t="n"/>
      <c r="CW1773" s="204" t="n"/>
    </row>
    <row r="1774">
      <c r="BF1774" s="78" t="n"/>
      <c r="BG1774" s="78" t="n"/>
      <c r="BH1774" s="78" t="n"/>
      <c r="BI1774" s="78" t="n"/>
      <c r="BJ1774" s="139" t="n"/>
      <c r="BK1774" s="204" t="n"/>
      <c r="BL1774" s="141" t="n"/>
      <c r="BM1774" s="205" t="n"/>
      <c r="BN1774" s="205" t="n"/>
      <c r="BO1774" s="206" t="n"/>
      <c r="BP1774" s="144" t="n"/>
      <c r="BQ1774" s="141" t="n"/>
      <c r="BR1774" s="207" t="n"/>
      <c r="BS1774" s="207" t="n"/>
      <c r="BT1774" s="207" t="n"/>
      <c r="BU1774" s="207" t="n"/>
      <c r="BV1774" s="208" t="n"/>
      <c r="BW1774" s="207" t="n"/>
      <c r="BX1774" s="207" t="n"/>
      <c r="BY1774" s="204" t="n"/>
      <c r="BZ1774" s="148" t="n"/>
      <c r="CA1774" s="204" t="n"/>
      <c r="CB1774" s="208" t="n"/>
      <c r="CC1774" s="139" t="n"/>
      <c r="CD1774" s="204" t="n"/>
      <c r="CE1774" s="204" t="n"/>
      <c r="CF1774" s="207" t="n"/>
      <c r="CG1774" s="208" t="n"/>
      <c r="CH1774" s="207" t="n"/>
      <c r="CI1774" s="208" t="n"/>
      <c r="CJ1774" s="204" t="n"/>
      <c r="CK1774" s="208" t="n"/>
      <c r="CL1774" s="208" t="n"/>
      <c r="CM1774" s="208" t="n"/>
      <c r="CN1774" s="78" t="n"/>
      <c r="CO1774" s="209" t="n"/>
      <c r="CP1774" s="204" t="n"/>
      <c r="CQ1774" s="204" t="n"/>
      <c r="CR1774" s="204" t="n"/>
      <c r="CS1774" s="204" t="n"/>
      <c r="CT1774" s="204" t="n"/>
      <c r="CU1774" s="204" t="n"/>
      <c r="CV1774" s="204" t="n"/>
      <c r="CW1774" s="204" t="n"/>
    </row>
    <row r="1775">
      <c r="BF1775" s="78" t="n"/>
      <c r="BG1775" s="78" t="n"/>
      <c r="BH1775" s="78" t="n"/>
      <c r="BI1775" s="78" t="n"/>
      <c r="BJ1775" s="139" t="n"/>
      <c r="BK1775" s="204" t="n"/>
      <c r="BL1775" s="141" t="n"/>
      <c r="BM1775" s="205" t="n"/>
      <c r="BN1775" s="205" t="n"/>
      <c r="BO1775" s="206" t="n"/>
      <c r="BP1775" s="144" t="n"/>
      <c r="BQ1775" s="141" t="n"/>
      <c r="BR1775" s="207" t="n"/>
      <c r="BS1775" s="207" t="n"/>
      <c r="BT1775" s="207" t="n"/>
      <c r="BU1775" s="207" t="n"/>
      <c r="BV1775" s="208" t="n"/>
      <c r="BW1775" s="207" t="n"/>
      <c r="BX1775" s="207" t="n"/>
      <c r="BY1775" s="204" t="n"/>
      <c r="BZ1775" s="148" t="n"/>
      <c r="CA1775" s="204" t="n"/>
      <c r="CB1775" s="208" t="n"/>
      <c r="CC1775" s="139" t="n"/>
      <c r="CD1775" s="204" t="n"/>
      <c r="CE1775" s="204" t="n"/>
      <c r="CF1775" s="207" t="n"/>
      <c r="CG1775" s="208" t="n"/>
      <c r="CH1775" s="207" t="n"/>
      <c r="CI1775" s="208" t="n"/>
      <c r="CJ1775" s="204" t="n"/>
      <c r="CK1775" s="208" t="n"/>
      <c r="CL1775" s="208" t="n"/>
      <c r="CM1775" s="208" t="n"/>
      <c r="CN1775" s="78" t="n"/>
      <c r="CO1775" s="209" t="n"/>
      <c r="CP1775" s="204" t="n"/>
      <c r="CQ1775" s="204" t="n"/>
      <c r="CR1775" s="204" t="n"/>
      <c r="CS1775" s="204" t="n"/>
      <c r="CT1775" s="204" t="n"/>
      <c r="CU1775" s="204" t="n"/>
      <c r="CV1775" s="204" t="n"/>
      <c r="CW1775" s="204" t="n"/>
    </row>
    <row r="1776">
      <c r="BF1776" s="78" t="n"/>
      <c r="BG1776" s="78" t="n"/>
      <c r="BH1776" s="78" t="n"/>
      <c r="BI1776" s="78" t="n"/>
      <c r="BJ1776" s="139" t="n"/>
      <c r="BK1776" s="204" t="n"/>
      <c r="BL1776" s="141" t="n"/>
      <c r="BM1776" s="205" t="n"/>
      <c r="BN1776" s="205" t="n"/>
      <c r="BO1776" s="206" t="n"/>
      <c r="BP1776" s="144" t="n"/>
      <c r="BQ1776" s="141" t="n"/>
      <c r="BR1776" s="207" t="n"/>
      <c r="BS1776" s="207" t="n"/>
      <c r="BT1776" s="207" t="n"/>
      <c r="BU1776" s="207" t="n"/>
      <c r="BV1776" s="208" t="n"/>
      <c r="BW1776" s="207" t="n"/>
      <c r="BX1776" s="207" t="n"/>
      <c r="BY1776" s="204" t="n"/>
      <c r="BZ1776" s="148" t="n"/>
      <c r="CA1776" s="204" t="n"/>
      <c r="CB1776" s="208" t="n"/>
      <c r="CC1776" s="139" t="n"/>
      <c r="CD1776" s="204" t="n"/>
      <c r="CE1776" s="204" t="n"/>
      <c r="CF1776" s="207" t="n"/>
      <c r="CG1776" s="208" t="n"/>
      <c r="CH1776" s="207" t="n"/>
      <c r="CI1776" s="208" t="n"/>
      <c r="CJ1776" s="204" t="n"/>
      <c r="CK1776" s="208" t="n"/>
      <c r="CL1776" s="208" t="n"/>
      <c r="CM1776" s="208" t="n"/>
      <c r="CN1776" s="78" t="n"/>
      <c r="CO1776" s="209" t="n"/>
      <c r="CP1776" s="204" t="n"/>
      <c r="CQ1776" s="204" t="n"/>
      <c r="CR1776" s="204" t="n"/>
      <c r="CS1776" s="204" t="n"/>
      <c r="CT1776" s="204" t="n"/>
      <c r="CU1776" s="204" t="n"/>
      <c r="CV1776" s="204" t="n"/>
      <c r="CW1776" s="204" t="n"/>
    </row>
    <row r="1777">
      <c r="BF1777" s="78" t="n"/>
      <c r="BG1777" s="78" t="n"/>
      <c r="BH1777" s="78" t="n"/>
      <c r="BI1777" s="78" t="n"/>
      <c r="BJ1777" s="139" t="n"/>
      <c r="BK1777" s="204" t="n"/>
      <c r="BL1777" s="141" t="n"/>
      <c r="BM1777" s="205" t="n"/>
      <c r="BN1777" s="205" t="n"/>
      <c r="BO1777" s="206" t="n"/>
      <c r="BP1777" s="144" t="n"/>
      <c r="BQ1777" s="141" t="n"/>
      <c r="BR1777" s="207" t="n"/>
      <c r="BS1777" s="207" t="n"/>
      <c r="BT1777" s="207" t="n"/>
      <c r="BU1777" s="207" t="n"/>
      <c r="BV1777" s="208" t="n"/>
      <c r="BW1777" s="207" t="n"/>
      <c r="BX1777" s="207" t="n"/>
      <c r="BY1777" s="204" t="n"/>
      <c r="BZ1777" s="148" t="n"/>
      <c r="CA1777" s="204" t="n"/>
      <c r="CB1777" s="208" t="n"/>
      <c r="CC1777" s="139" t="n"/>
      <c r="CD1777" s="204" t="n"/>
      <c r="CE1777" s="204" t="n"/>
      <c r="CF1777" s="207" t="n"/>
      <c r="CG1777" s="208" t="n"/>
      <c r="CH1777" s="207" t="n"/>
      <c r="CI1777" s="208" t="n"/>
      <c r="CJ1777" s="204" t="n"/>
      <c r="CK1777" s="208" t="n"/>
      <c r="CL1777" s="208" t="n"/>
      <c r="CM1777" s="208" t="n"/>
      <c r="CN1777" s="78" t="n"/>
      <c r="CO1777" s="209" t="n"/>
      <c r="CP1777" s="204" t="n"/>
      <c r="CQ1777" s="204" t="n"/>
      <c r="CR1777" s="204" t="n"/>
      <c r="CS1777" s="204" t="n"/>
      <c r="CT1777" s="204" t="n"/>
      <c r="CU1777" s="204" t="n"/>
      <c r="CV1777" s="204" t="n"/>
      <c r="CW1777" s="204" t="n"/>
    </row>
    <row r="1778">
      <c r="BF1778" s="78" t="n"/>
      <c r="BG1778" s="78" t="n"/>
      <c r="BH1778" s="78" t="n"/>
      <c r="BI1778" s="78" t="n"/>
      <c r="BJ1778" s="139" t="n"/>
      <c r="BK1778" s="204" t="n"/>
      <c r="BL1778" s="141" t="n"/>
      <c r="BM1778" s="205" t="n"/>
      <c r="BN1778" s="205" t="n"/>
      <c r="BO1778" s="206" t="n"/>
      <c r="BP1778" s="144" t="n"/>
      <c r="BQ1778" s="141" t="n"/>
      <c r="BR1778" s="207" t="n"/>
      <c r="BS1778" s="207" t="n"/>
      <c r="BT1778" s="207" t="n"/>
      <c r="BU1778" s="207" t="n"/>
      <c r="BV1778" s="208" t="n"/>
      <c r="BW1778" s="207" t="n"/>
      <c r="BX1778" s="207" t="n"/>
      <c r="BY1778" s="204" t="n"/>
      <c r="BZ1778" s="148" t="n"/>
      <c r="CA1778" s="204" t="n"/>
      <c r="CB1778" s="208" t="n"/>
      <c r="CC1778" s="139" t="n"/>
      <c r="CD1778" s="204" t="n"/>
      <c r="CE1778" s="204" t="n"/>
      <c r="CF1778" s="207" t="n"/>
      <c r="CG1778" s="208" t="n"/>
      <c r="CH1778" s="207" t="n"/>
      <c r="CI1778" s="208" t="n"/>
      <c r="CJ1778" s="204" t="n"/>
      <c r="CK1778" s="208" t="n"/>
      <c r="CL1778" s="208" t="n"/>
      <c r="CM1778" s="208" t="n"/>
      <c r="CN1778" s="78" t="n"/>
      <c r="CO1778" s="209" t="n"/>
      <c r="CP1778" s="204" t="n"/>
      <c r="CQ1778" s="204" t="n"/>
      <c r="CR1778" s="204" t="n"/>
      <c r="CS1778" s="204" t="n"/>
      <c r="CT1778" s="204" t="n"/>
      <c r="CU1778" s="204" t="n"/>
      <c r="CV1778" s="204" t="n"/>
      <c r="CW1778" s="204" t="n"/>
    </row>
    <row r="1779">
      <c r="BF1779" s="78" t="n"/>
      <c r="BG1779" s="78" t="n"/>
      <c r="BH1779" s="78" t="n"/>
      <c r="BI1779" s="78" t="n"/>
      <c r="BJ1779" s="139" t="n"/>
      <c r="BK1779" s="204" t="n"/>
      <c r="BL1779" s="141" t="n"/>
      <c r="BM1779" s="205" t="n"/>
      <c r="BN1779" s="205" t="n"/>
      <c r="BO1779" s="206" t="n"/>
      <c r="BP1779" s="144" t="n"/>
      <c r="BQ1779" s="141" t="n"/>
      <c r="BR1779" s="207" t="n"/>
      <c r="BS1779" s="207" t="n"/>
      <c r="BT1779" s="207" t="n"/>
      <c r="BU1779" s="207" t="n"/>
      <c r="BV1779" s="208" t="n"/>
      <c r="BW1779" s="207" t="n"/>
      <c r="BX1779" s="207" t="n"/>
      <c r="BY1779" s="204" t="n"/>
      <c r="BZ1779" s="148" t="n"/>
      <c r="CA1779" s="204" t="n"/>
      <c r="CB1779" s="208" t="n"/>
      <c r="CC1779" s="139" t="n"/>
      <c r="CD1779" s="204" t="n"/>
      <c r="CE1779" s="204" t="n"/>
      <c r="CF1779" s="207" t="n"/>
      <c r="CG1779" s="208" t="n"/>
      <c r="CH1779" s="207" t="n"/>
      <c r="CI1779" s="208" t="n"/>
      <c r="CJ1779" s="204" t="n"/>
      <c r="CK1779" s="208" t="n"/>
      <c r="CL1779" s="208" t="n"/>
      <c r="CM1779" s="208" t="n"/>
      <c r="CN1779" s="78" t="n"/>
      <c r="CO1779" s="209" t="n"/>
      <c r="CP1779" s="204" t="n"/>
      <c r="CQ1779" s="204" t="n"/>
      <c r="CR1779" s="204" t="n"/>
      <c r="CS1779" s="204" t="n"/>
      <c r="CT1779" s="204" t="n"/>
      <c r="CU1779" s="204" t="n"/>
      <c r="CV1779" s="204" t="n"/>
      <c r="CW1779" s="204" t="n"/>
    </row>
    <row r="1780">
      <c r="BF1780" s="78" t="n"/>
      <c r="BG1780" s="78" t="n"/>
      <c r="BH1780" s="78" t="n"/>
      <c r="BI1780" s="78" t="n"/>
      <c r="BJ1780" s="139" t="n"/>
      <c r="BK1780" s="204" t="n"/>
      <c r="BL1780" s="141" t="n"/>
      <c r="BM1780" s="205" t="n"/>
      <c r="BN1780" s="205" t="n"/>
      <c r="BO1780" s="206" t="n"/>
      <c r="BP1780" s="144" t="n"/>
      <c r="BQ1780" s="141" t="n"/>
      <c r="BR1780" s="207" t="n"/>
      <c r="BS1780" s="207" t="n"/>
      <c r="BT1780" s="207" t="n"/>
      <c r="BU1780" s="207" t="n"/>
      <c r="BV1780" s="208" t="n"/>
      <c r="BW1780" s="207" t="n"/>
      <c r="BX1780" s="207" t="n"/>
      <c r="BY1780" s="204" t="n"/>
      <c r="BZ1780" s="148" t="n"/>
      <c r="CA1780" s="204" t="n"/>
      <c r="CB1780" s="208" t="n"/>
      <c r="CC1780" s="139" t="n"/>
      <c r="CD1780" s="204" t="n"/>
      <c r="CE1780" s="204" t="n"/>
      <c r="CF1780" s="207" t="n"/>
      <c r="CG1780" s="208" t="n"/>
      <c r="CH1780" s="207" t="n"/>
      <c r="CI1780" s="208" t="n"/>
      <c r="CJ1780" s="204" t="n"/>
      <c r="CK1780" s="208" t="n"/>
      <c r="CL1780" s="208" t="n"/>
      <c r="CM1780" s="208" t="n"/>
      <c r="CN1780" s="78" t="n"/>
      <c r="CO1780" s="209" t="n"/>
      <c r="CP1780" s="204" t="n"/>
      <c r="CQ1780" s="204" t="n"/>
      <c r="CR1780" s="204" t="n"/>
      <c r="CS1780" s="204" t="n"/>
      <c r="CT1780" s="204" t="n"/>
      <c r="CU1780" s="204" t="n"/>
      <c r="CV1780" s="204" t="n"/>
      <c r="CW1780" s="204" t="n"/>
    </row>
    <row r="1781">
      <c r="BF1781" s="78" t="n"/>
      <c r="BG1781" s="78" t="n"/>
      <c r="BH1781" s="78" t="n"/>
      <c r="BI1781" s="78" t="n"/>
      <c r="BJ1781" s="139" t="n"/>
      <c r="BK1781" s="204" t="n"/>
      <c r="BL1781" s="141" t="n"/>
      <c r="BM1781" s="205" t="n"/>
      <c r="BN1781" s="205" t="n"/>
      <c r="BO1781" s="206" t="n"/>
      <c r="BP1781" s="144" t="n"/>
      <c r="BQ1781" s="141" t="n"/>
      <c r="BR1781" s="207" t="n"/>
      <c r="BS1781" s="207" t="n"/>
      <c r="BT1781" s="207" t="n"/>
      <c r="BU1781" s="207" t="n"/>
      <c r="BV1781" s="208" t="n"/>
      <c r="BW1781" s="207" t="n"/>
      <c r="BX1781" s="207" t="n"/>
      <c r="BY1781" s="204" t="n"/>
      <c r="BZ1781" s="148" t="n"/>
      <c r="CA1781" s="204" t="n"/>
      <c r="CB1781" s="208" t="n"/>
      <c r="CC1781" s="139" t="n"/>
      <c r="CD1781" s="204" t="n"/>
      <c r="CE1781" s="204" t="n"/>
      <c r="CF1781" s="207" t="n"/>
      <c r="CG1781" s="208" t="n"/>
      <c r="CH1781" s="207" t="n"/>
      <c r="CI1781" s="208" t="n"/>
      <c r="CJ1781" s="204" t="n"/>
      <c r="CK1781" s="208" t="n"/>
      <c r="CL1781" s="208" t="n"/>
      <c r="CM1781" s="208" t="n"/>
      <c r="CN1781" s="78" t="n"/>
      <c r="CO1781" s="209" t="n"/>
      <c r="CP1781" s="204" t="n"/>
      <c r="CQ1781" s="204" t="n"/>
      <c r="CR1781" s="204" t="n"/>
      <c r="CS1781" s="204" t="n"/>
      <c r="CT1781" s="204" t="n"/>
      <c r="CU1781" s="204" t="n"/>
      <c r="CV1781" s="204" t="n"/>
      <c r="CW1781" s="204" t="n"/>
    </row>
    <row r="1782">
      <c r="BF1782" s="78" t="n"/>
      <c r="BG1782" s="78" t="n"/>
      <c r="BH1782" s="78" t="n"/>
      <c r="BI1782" s="78" t="n"/>
      <c r="BJ1782" s="139" t="n"/>
      <c r="BK1782" s="204" t="n"/>
      <c r="BL1782" s="141" t="n"/>
      <c r="BM1782" s="205" t="n"/>
      <c r="BN1782" s="205" t="n"/>
      <c r="BO1782" s="206" t="n"/>
      <c r="BP1782" s="144" t="n"/>
      <c r="BQ1782" s="141" t="n"/>
      <c r="BR1782" s="207" t="n"/>
      <c r="BS1782" s="207" t="n"/>
      <c r="BT1782" s="207" t="n"/>
      <c r="BU1782" s="207" t="n"/>
      <c r="BV1782" s="208" t="n"/>
      <c r="BW1782" s="207" t="n"/>
      <c r="BX1782" s="207" t="n"/>
      <c r="BY1782" s="204" t="n"/>
      <c r="BZ1782" s="148" t="n"/>
      <c r="CA1782" s="204" t="n"/>
      <c r="CB1782" s="208" t="n"/>
      <c r="CC1782" s="139" t="n"/>
      <c r="CD1782" s="204" t="n"/>
      <c r="CE1782" s="204" t="n"/>
      <c r="CF1782" s="207" t="n"/>
      <c r="CG1782" s="208" t="n"/>
      <c r="CH1782" s="207" t="n"/>
      <c r="CI1782" s="208" t="n"/>
      <c r="CJ1782" s="204" t="n"/>
      <c r="CK1782" s="208" t="n"/>
      <c r="CL1782" s="208" t="n"/>
      <c r="CM1782" s="208" t="n"/>
      <c r="CN1782" s="78" t="n"/>
      <c r="CO1782" s="209" t="n"/>
      <c r="CP1782" s="204" t="n"/>
      <c r="CQ1782" s="204" t="n"/>
      <c r="CR1782" s="204" t="n"/>
      <c r="CS1782" s="204" t="n"/>
      <c r="CT1782" s="204" t="n"/>
      <c r="CU1782" s="204" t="n"/>
      <c r="CV1782" s="204" t="n"/>
      <c r="CW1782" s="204" t="n"/>
    </row>
    <row r="1783">
      <c r="BF1783" s="78" t="n"/>
      <c r="BG1783" s="78" t="n"/>
      <c r="BH1783" s="78" t="n"/>
      <c r="BI1783" s="78" t="n"/>
      <c r="BJ1783" s="139" t="n"/>
      <c r="BK1783" s="204" t="n"/>
      <c r="BL1783" s="141" t="n"/>
      <c r="BM1783" s="205" t="n"/>
      <c r="BN1783" s="205" t="n"/>
      <c r="BO1783" s="206" t="n"/>
      <c r="BP1783" s="144" t="n"/>
      <c r="BQ1783" s="141" t="n"/>
      <c r="BR1783" s="207" t="n"/>
      <c r="BS1783" s="207" t="n"/>
      <c r="BT1783" s="207" t="n"/>
      <c r="BU1783" s="207" t="n"/>
      <c r="BV1783" s="208" t="n"/>
      <c r="BW1783" s="207" t="n"/>
      <c r="BX1783" s="207" t="n"/>
      <c r="BY1783" s="204" t="n"/>
      <c r="BZ1783" s="148" t="n"/>
      <c r="CA1783" s="204" t="n"/>
      <c r="CB1783" s="208" t="n"/>
      <c r="CC1783" s="139" t="n"/>
      <c r="CD1783" s="204" t="n"/>
      <c r="CE1783" s="204" t="n"/>
      <c r="CF1783" s="207" t="n"/>
      <c r="CG1783" s="208" t="n"/>
      <c r="CH1783" s="207" t="n"/>
      <c r="CI1783" s="208" t="n"/>
      <c r="CJ1783" s="204" t="n"/>
      <c r="CK1783" s="208" t="n"/>
      <c r="CL1783" s="208" t="n"/>
      <c r="CM1783" s="208" t="n"/>
      <c r="CN1783" s="78" t="n"/>
      <c r="CO1783" s="209" t="n"/>
      <c r="CP1783" s="204" t="n"/>
      <c r="CQ1783" s="204" t="n"/>
      <c r="CR1783" s="204" t="n"/>
      <c r="CS1783" s="204" t="n"/>
      <c r="CT1783" s="204" t="n"/>
      <c r="CU1783" s="204" t="n"/>
      <c r="CV1783" s="204" t="n"/>
      <c r="CW1783" s="204" t="n"/>
    </row>
    <row r="1784">
      <c r="BF1784" s="78" t="n"/>
      <c r="BG1784" s="78" t="n"/>
      <c r="BH1784" s="78" t="n"/>
      <c r="BI1784" s="78" t="n"/>
      <c r="BJ1784" s="139" t="n"/>
      <c r="BK1784" s="204" t="n"/>
      <c r="BL1784" s="141" t="n"/>
      <c r="BM1784" s="205" t="n"/>
      <c r="BN1784" s="205" t="n"/>
      <c r="BO1784" s="206" t="n"/>
      <c r="BP1784" s="144" t="n"/>
      <c r="BQ1784" s="141" t="n"/>
      <c r="BR1784" s="207" t="n"/>
      <c r="BS1784" s="207" t="n"/>
      <c r="BT1784" s="207" t="n"/>
      <c r="BU1784" s="207" t="n"/>
      <c r="BV1784" s="208" t="n"/>
      <c r="BW1784" s="207" t="n"/>
      <c r="BX1784" s="207" t="n"/>
      <c r="BY1784" s="204" t="n"/>
      <c r="BZ1784" s="148" t="n"/>
      <c r="CA1784" s="204" t="n"/>
      <c r="CB1784" s="208" t="n"/>
      <c r="CC1784" s="139" t="n"/>
      <c r="CD1784" s="204" t="n"/>
      <c r="CE1784" s="204" t="n"/>
      <c r="CF1784" s="207" t="n"/>
      <c r="CG1784" s="208" t="n"/>
      <c r="CH1784" s="207" t="n"/>
      <c r="CI1784" s="208" t="n"/>
      <c r="CJ1784" s="204" t="n"/>
      <c r="CK1784" s="208" t="n"/>
      <c r="CL1784" s="208" t="n"/>
      <c r="CM1784" s="208" t="n"/>
      <c r="CN1784" s="78" t="n"/>
      <c r="CO1784" s="209" t="n"/>
      <c r="CP1784" s="204" t="n"/>
      <c r="CQ1784" s="204" t="n"/>
      <c r="CR1784" s="204" t="n"/>
      <c r="CS1784" s="204" t="n"/>
      <c r="CT1784" s="204" t="n"/>
      <c r="CU1784" s="204" t="n"/>
      <c r="CV1784" s="204" t="n"/>
      <c r="CW1784" s="204" t="n"/>
    </row>
    <row r="1785">
      <c r="BF1785" s="78" t="n"/>
      <c r="BG1785" s="78" t="n"/>
      <c r="BH1785" s="78" t="n"/>
      <c r="BI1785" s="78" t="n"/>
      <c r="BJ1785" s="139" t="n"/>
      <c r="BK1785" s="204" t="n"/>
      <c r="BL1785" s="141" t="n"/>
      <c r="BM1785" s="205" t="n"/>
      <c r="BN1785" s="205" t="n"/>
      <c r="BO1785" s="206" t="n"/>
      <c r="BP1785" s="144" t="n"/>
      <c r="BQ1785" s="141" t="n"/>
      <c r="BR1785" s="207" t="n"/>
      <c r="BS1785" s="207" t="n"/>
      <c r="BT1785" s="207" t="n"/>
      <c r="BU1785" s="207" t="n"/>
      <c r="BV1785" s="208" t="n"/>
      <c r="BW1785" s="207" t="n"/>
      <c r="BX1785" s="207" t="n"/>
      <c r="BY1785" s="204" t="n"/>
      <c r="BZ1785" s="148" t="n"/>
      <c r="CA1785" s="204" t="n"/>
      <c r="CB1785" s="208" t="n"/>
      <c r="CC1785" s="139" t="n"/>
      <c r="CD1785" s="204" t="n"/>
      <c r="CE1785" s="204" t="n"/>
      <c r="CF1785" s="207" t="n"/>
      <c r="CG1785" s="208" t="n"/>
      <c r="CH1785" s="207" t="n"/>
      <c r="CI1785" s="208" t="n"/>
      <c r="CJ1785" s="204" t="n"/>
      <c r="CK1785" s="208" t="n"/>
      <c r="CL1785" s="208" t="n"/>
      <c r="CM1785" s="208" t="n"/>
      <c r="CN1785" s="78" t="n"/>
      <c r="CO1785" s="209" t="n"/>
      <c r="CP1785" s="204" t="n"/>
      <c r="CQ1785" s="204" t="n"/>
      <c r="CR1785" s="204" t="n"/>
      <c r="CS1785" s="204" t="n"/>
      <c r="CT1785" s="204" t="n"/>
      <c r="CU1785" s="204" t="n"/>
      <c r="CV1785" s="204" t="n"/>
      <c r="CW1785" s="204" t="n"/>
    </row>
    <row r="1786">
      <c r="BF1786" s="78" t="n"/>
      <c r="BG1786" s="78" t="n"/>
      <c r="BH1786" s="78" t="n"/>
      <c r="BI1786" s="78" t="n"/>
      <c r="BJ1786" s="139" t="n"/>
      <c r="BK1786" s="204" t="n"/>
      <c r="BL1786" s="141" t="n"/>
      <c r="BM1786" s="205" t="n"/>
      <c r="BN1786" s="205" t="n"/>
      <c r="BO1786" s="206" t="n"/>
      <c r="BP1786" s="144" t="n"/>
      <c r="BQ1786" s="141" t="n"/>
      <c r="BR1786" s="207" t="n"/>
      <c r="BS1786" s="207" t="n"/>
      <c r="BT1786" s="207" t="n"/>
      <c r="BU1786" s="207" t="n"/>
      <c r="BV1786" s="208" t="n"/>
      <c r="BW1786" s="207" t="n"/>
      <c r="BX1786" s="207" t="n"/>
      <c r="BY1786" s="204" t="n"/>
      <c r="BZ1786" s="148" t="n"/>
      <c r="CA1786" s="204" t="n"/>
      <c r="CB1786" s="208" t="n"/>
      <c r="CC1786" s="139" t="n"/>
      <c r="CD1786" s="204" t="n"/>
      <c r="CE1786" s="204" t="n"/>
      <c r="CF1786" s="207" t="n"/>
      <c r="CG1786" s="208" t="n"/>
      <c r="CH1786" s="207" t="n"/>
      <c r="CI1786" s="208" t="n"/>
      <c r="CJ1786" s="204" t="n"/>
      <c r="CK1786" s="208" t="n"/>
      <c r="CL1786" s="208" t="n"/>
      <c r="CM1786" s="208" t="n"/>
      <c r="CN1786" s="78" t="n"/>
      <c r="CO1786" s="209" t="n"/>
      <c r="CP1786" s="204" t="n"/>
      <c r="CQ1786" s="204" t="n"/>
      <c r="CR1786" s="204" t="n"/>
      <c r="CS1786" s="204" t="n"/>
      <c r="CT1786" s="204" t="n"/>
      <c r="CU1786" s="204" t="n"/>
      <c r="CV1786" s="204" t="n"/>
      <c r="CW1786" s="204" t="n"/>
    </row>
    <row r="1787">
      <c r="BF1787" s="78" t="n"/>
      <c r="BG1787" s="78" t="n"/>
      <c r="BH1787" s="78" t="n"/>
      <c r="BI1787" s="78" t="n"/>
      <c r="BJ1787" s="139" t="n"/>
      <c r="BK1787" s="204" t="n"/>
      <c r="BL1787" s="141" t="n"/>
      <c r="BM1787" s="205" t="n"/>
      <c r="BN1787" s="205" t="n"/>
      <c r="BO1787" s="206" t="n"/>
      <c r="BP1787" s="144" t="n"/>
      <c r="BQ1787" s="141" t="n"/>
      <c r="BR1787" s="207" t="n"/>
      <c r="BS1787" s="207" t="n"/>
      <c r="BT1787" s="207" t="n"/>
      <c r="BU1787" s="207" t="n"/>
      <c r="BV1787" s="208" t="n"/>
      <c r="BW1787" s="207" t="n"/>
      <c r="BX1787" s="207" t="n"/>
      <c r="BY1787" s="204" t="n"/>
      <c r="BZ1787" s="148" t="n"/>
      <c r="CA1787" s="204" t="n"/>
      <c r="CB1787" s="208" t="n"/>
      <c r="CC1787" s="139" t="n"/>
      <c r="CD1787" s="204" t="n"/>
      <c r="CE1787" s="204" t="n"/>
      <c r="CF1787" s="207" t="n"/>
      <c r="CG1787" s="208" t="n"/>
      <c r="CH1787" s="207" t="n"/>
      <c r="CI1787" s="208" t="n"/>
      <c r="CJ1787" s="204" t="n"/>
      <c r="CK1787" s="208" t="n"/>
      <c r="CL1787" s="208" t="n"/>
      <c r="CM1787" s="208" t="n"/>
      <c r="CN1787" s="78" t="n"/>
      <c r="CO1787" s="209" t="n"/>
      <c r="CP1787" s="204" t="n"/>
      <c r="CQ1787" s="204" t="n"/>
      <c r="CR1787" s="204" t="n"/>
      <c r="CS1787" s="204" t="n"/>
      <c r="CT1787" s="204" t="n"/>
      <c r="CU1787" s="204" t="n"/>
      <c r="CV1787" s="204" t="n"/>
      <c r="CW1787" s="204" t="n"/>
    </row>
    <row r="1788">
      <c r="BF1788" s="78" t="n"/>
      <c r="BG1788" s="78" t="n"/>
      <c r="BH1788" s="78" t="n"/>
      <c r="BI1788" s="78" t="n"/>
      <c r="BJ1788" s="139" t="n"/>
      <c r="BK1788" s="204" t="n"/>
      <c r="BL1788" s="141" t="n"/>
      <c r="BM1788" s="205" t="n"/>
      <c r="BN1788" s="205" t="n"/>
      <c r="BO1788" s="206" t="n"/>
      <c r="BP1788" s="144" t="n"/>
      <c r="BQ1788" s="141" t="n"/>
      <c r="BR1788" s="207" t="n"/>
      <c r="BS1788" s="207" t="n"/>
      <c r="BT1788" s="207" t="n"/>
      <c r="BU1788" s="207" t="n"/>
      <c r="BV1788" s="208" t="n"/>
      <c r="BW1788" s="207" t="n"/>
      <c r="BX1788" s="207" t="n"/>
      <c r="BY1788" s="204" t="n"/>
      <c r="BZ1788" s="148" t="n"/>
      <c r="CA1788" s="204" t="n"/>
      <c r="CB1788" s="208" t="n"/>
      <c r="CC1788" s="139" t="n"/>
      <c r="CD1788" s="204" t="n"/>
      <c r="CE1788" s="204" t="n"/>
      <c r="CF1788" s="207" t="n"/>
      <c r="CG1788" s="208" t="n"/>
      <c r="CH1788" s="207" t="n"/>
      <c r="CI1788" s="208" t="n"/>
      <c r="CJ1788" s="204" t="n"/>
      <c r="CK1788" s="208" t="n"/>
      <c r="CL1788" s="208" t="n"/>
      <c r="CM1788" s="208" t="n"/>
      <c r="CN1788" s="78" t="n"/>
      <c r="CO1788" s="209" t="n"/>
      <c r="CP1788" s="204" t="n"/>
      <c r="CQ1788" s="204" t="n"/>
      <c r="CR1788" s="204" t="n"/>
      <c r="CS1788" s="204" t="n"/>
      <c r="CT1788" s="204" t="n"/>
      <c r="CU1788" s="204" t="n"/>
      <c r="CV1788" s="204" t="n"/>
      <c r="CW1788" s="204" t="n"/>
    </row>
    <row r="1789">
      <c r="BF1789" s="78" t="n"/>
      <c r="BG1789" s="78" t="n"/>
      <c r="BH1789" s="78" t="n"/>
      <c r="BI1789" s="78" t="n"/>
      <c r="BJ1789" s="139" t="n"/>
      <c r="BK1789" s="204" t="n"/>
      <c r="BL1789" s="141" t="n"/>
      <c r="BM1789" s="205" t="n"/>
      <c r="BN1789" s="205" t="n"/>
      <c r="BO1789" s="206" t="n"/>
      <c r="BP1789" s="144" t="n"/>
      <c r="BQ1789" s="141" t="n"/>
      <c r="BR1789" s="207" t="n"/>
      <c r="BS1789" s="207" t="n"/>
      <c r="BT1789" s="207" t="n"/>
      <c r="BU1789" s="207" t="n"/>
      <c r="BV1789" s="208" t="n"/>
      <c r="BW1789" s="207" t="n"/>
      <c r="BX1789" s="207" t="n"/>
      <c r="BY1789" s="204" t="n"/>
      <c r="BZ1789" s="148" t="n"/>
      <c r="CA1789" s="204" t="n"/>
      <c r="CB1789" s="208" t="n"/>
      <c r="CC1789" s="139" t="n"/>
      <c r="CD1789" s="204" t="n"/>
      <c r="CE1789" s="204" t="n"/>
      <c r="CF1789" s="207" t="n"/>
      <c r="CG1789" s="208" t="n"/>
      <c r="CH1789" s="207" t="n"/>
      <c r="CI1789" s="208" t="n"/>
      <c r="CJ1789" s="204" t="n"/>
      <c r="CK1789" s="208" t="n"/>
      <c r="CL1789" s="208" t="n"/>
      <c r="CM1789" s="208" t="n"/>
      <c r="CN1789" s="78" t="n"/>
      <c r="CO1789" s="209" t="n"/>
      <c r="CP1789" s="204" t="n"/>
      <c r="CQ1789" s="204" t="n"/>
      <c r="CR1789" s="204" t="n"/>
      <c r="CS1789" s="204" t="n"/>
      <c r="CT1789" s="204" t="n"/>
      <c r="CU1789" s="204" t="n"/>
      <c r="CV1789" s="204" t="n"/>
      <c r="CW1789" s="204" t="n"/>
    </row>
    <row r="1790">
      <c r="BF1790" s="78" t="n"/>
      <c r="BG1790" s="78" t="n"/>
      <c r="BH1790" s="78" t="n"/>
      <c r="BI1790" s="78" t="n"/>
      <c r="BJ1790" s="139" t="n"/>
      <c r="BK1790" s="204" t="n"/>
      <c r="BL1790" s="141" t="n"/>
      <c r="BM1790" s="205" t="n"/>
      <c r="BN1790" s="205" t="n"/>
      <c r="BO1790" s="206" t="n"/>
      <c r="BP1790" s="144" t="n"/>
      <c r="BQ1790" s="141" t="n"/>
      <c r="BR1790" s="207" t="n"/>
      <c r="BS1790" s="207" t="n"/>
      <c r="BT1790" s="207" t="n"/>
      <c r="BU1790" s="207" t="n"/>
      <c r="BV1790" s="208" t="n"/>
      <c r="BW1790" s="207" t="n"/>
      <c r="BX1790" s="207" t="n"/>
      <c r="BY1790" s="204" t="n"/>
      <c r="BZ1790" s="148" t="n"/>
      <c r="CA1790" s="204" t="n"/>
      <c r="CB1790" s="208" t="n"/>
      <c r="CC1790" s="139" t="n"/>
      <c r="CD1790" s="204" t="n"/>
      <c r="CE1790" s="204" t="n"/>
      <c r="CF1790" s="207" t="n"/>
      <c r="CG1790" s="208" t="n"/>
      <c r="CH1790" s="207" t="n"/>
      <c r="CI1790" s="208" t="n"/>
      <c r="CJ1790" s="204" t="n"/>
      <c r="CK1790" s="208" t="n"/>
      <c r="CL1790" s="208" t="n"/>
      <c r="CM1790" s="208" t="n"/>
      <c r="CN1790" s="78" t="n"/>
      <c r="CO1790" s="209" t="n"/>
      <c r="CP1790" s="204" t="n"/>
      <c r="CQ1790" s="204" t="n"/>
      <c r="CR1790" s="204" t="n"/>
      <c r="CS1790" s="204" t="n"/>
      <c r="CT1790" s="204" t="n"/>
      <c r="CU1790" s="204" t="n"/>
      <c r="CV1790" s="204" t="n"/>
      <c r="CW1790" s="204" t="n"/>
    </row>
    <row r="1791">
      <c r="BF1791" s="78" t="n"/>
      <c r="BG1791" s="78" t="n"/>
      <c r="BH1791" s="78" t="n"/>
      <c r="BI1791" s="78" t="n"/>
      <c r="BJ1791" s="139" t="n"/>
      <c r="BK1791" s="204" t="n"/>
      <c r="BL1791" s="141" t="n"/>
      <c r="BM1791" s="205" t="n"/>
      <c r="BN1791" s="205" t="n"/>
      <c r="BO1791" s="206" t="n"/>
      <c r="BP1791" s="144" t="n"/>
      <c r="BQ1791" s="141" t="n"/>
      <c r="BR1791" s="207" t="n"/>
      <c r="BS1791" s="207" t="n"/>
      <c r="BT1791" s="207" t="n"/>
      <c r="BU1791" s="207" t="n"/>
      <c r="BV1791" s="208" t="n"/>
      <c r="BW1791" s="207" t="n"/>
      <c r="BX1791" s="207" t="n"/>
      <c r="BY1791" s="204" t="n"/>
      <c r="BZ1791" s="148" t="n"/>
      <c r="CA1791" s="204" t="n"/>
      <c r="CB1791" s="208" t="n"/>
      <c r="CC1791" s="139" t="n"/>
      <c r="CD1791" s="204" t="n"/>
      <c r="CE1791" s="204" t="n"/>
      <c r="CF1791" s="207" t="n"/>
      <c r="CG1791" s="208" t="n"/>
      <c r="CH1791" s="207" t="n"/>
      <c r="CI1791" s="208" t="n"/>
      <c r="CJ1791" s="204" t="n"/>
      <c r="CK1791" s="208" t="n"/>
      <c r="CL1791" s="208" t="n"/>
      <c r="CM1791" s="208" t="n"/>
      <c r="CN1791" s="78" t="n"/>
      <c r="CO1791" s="209" t="n"/>
      <c r="CP1791" s="204" t="n"/>
      <c r="CQ1791" s="204" t="n"/>
      <c r="CR1791" s="204" t="n"/>
      <c r="CS1791" s="204" t="n"/>
      <c r="CT1791" s="204" t="n"/>
      <c r="CU1791" s="204" t="n"/>
      <c r="CV1791" s="204" t="n"/>
      <c r="CW1791" s="204" t="n"/>
    </row>
    <row r="1792">
      <c r="BF1792" s="78" t="n"/>
      <c r="BG1792" s="78" t="n"/>
      <c r="BH1792" s="78" t="n"/>
      <c r="BI1792" s="78" t="n"/>
      <c r="BJ1792" s="139" t="n"/>
      <c r="BK1792" s="204" t="n"/>
      <c r="BL1792" s="141" t="n"/>
      <c r="BM1792" s="205" t="n"/>
      <c r="BN1792" s="205" t="n"/>
      <c r="BO1792" s="206" t="n"/>
      <c r="BP1792" s="144" t="n"/>
      <c r="BQ1792" s="141" t="n"/>
      <c r="BR1792" s="207" t="n"/>
      <c r="BS1792" s="207" t="n"/>
      <c r="BT1792" s="207" t="n"/>
      <c r="BU1792" s="207" t="n"/>
      <c r="BV1792" s="208" t="n"/>
      <c r="BW1792" s="207" t="n"/>
      <c r="BX1792" s="207" t="n"/>
      <c r="BY1792" s="204" t="n"/>
      <c r="BZ1792" s="148" t="n"/>
      <c r="CA1792" s="204" t="n"/>
      <c r="CB1792" s="208" t="n"/>
      <c r="CC1792" s="139" t="n"/>
      <c r="CD1792" s="204" t="n"/>
      <c r="CE1792" s="204" t="n"/>
      <c r="CF1792" s="207" t="n"/>
      <c r="CG1792" s="208" t="n"/>
      <c r="CH1792" s="207" t="n"/>
      <c r="CI1792" s="208" t="n"/>
      <c r="CJ1792" s="204" t="n"/>
      <c r="CK1792" s="208" t="n"/>
      <c r="CL1792" s="208" t="n"/>
      <c r="CM1792" s="208" t="n"/>
      <c r="CN1792" s="78" t="n"/>
      <c r="CO1792" s="209" t="n"/>
      <c r="CP1792" s="204" t="n"/>
      <c r="CQ1792" s="204" t="n"/>
      <c r="CR1792" s="204" t="n"/>
      <c r="CS1792" s="204" t="n"/>
      <c r="CT1792" s="204" t="n"/>
      <c r="CU1792" s="204" t="n"/>
      <c r="CV1792" s="204" t="n"/>
      <c r="CW1792" s="204" t="n"/>
    </row>
    <row r="1793">
      <c r="BF1793" s="78" t="n"/>
      <c r="BG1793" s="78" t="n"/>
      <c r="BH1793" s="78" t="n"/>
      <c r="BI1793" s="78" t="n"/>
      <c r="BJ1793" s="139" t="n"/>
      <c r="BK1793" s="204" t="n"/>
      <c r="BL1793" s="141" t="n"/>
      <c r="BM1793" s="205" t="n"/>
      <c r="BN1793" s="205" t="n"/>
      <c r="BO1793" s="206" t="n"/>
      <c r="BP1793" s="144" t="n"/>
      <c r="BQ1793" s="141" t="n"/>
      <c r="BR1793" s="207" t="n"/>
      <c r="BS1793" s="207" t="n"/>
      <c r="BT1793" s="207" t="n"/>
      <c r="BU1793" s="207" t="n"/>
      <c r="BV1793" s="208" t="n"/>
      <c r="BW1793" s="207" t="n"/>
      <c r="BX1793" s="207" t="n"/>
      <c r="BY1793" s="204" t="n"/>
      <c r="BZ1793" s="148" t="n"/>
      <c r="CA1793" s="204" t="n"/>
      <c r="CB1793" s="208" t="n"/>
      <c r="CC1793" s="139" t="n"/>
      <c r="CD1793" s="204" t="n"/>
      <c r="CE1793" s="204" t="n"/>
      <c r="CF1793" s="207" t="n"/>
      <c r="CG1793" s="208" t="n"/>
      <c r="CH1793" s="207" t="n"/>
      <c r="CI1793" s="208" t="n"/>
      <c r="CJ1793" s="204" t="n"/>
      <c r="CK1793" s="208" t="n"/>
      <c r="CL1793" s="208" t="n"/>
      <c r="CM1793" s="208" t="n"/>
      <c r="CN1793" s="78" t="n"/>
      <c r="CO1793" s="209" t="n"/>
      <c r="CP1793" s="204" t="n"/>
      <c r="CQ1793" s="204" t="n"/>
      <c r="CR1793" s="204" t="n"/>
      <c r="CS1793" s="204" t="n"/>
      <c r="CT1793" s="204" t="n"/>
      <c r="CU1793" s="204" t="n"/>
      <c r="CV1793" s="204" t="n"/>
      <c r="CW1793" s="204" t="n"/>
    </row>
    <row r="1794">
      <c r="BF1794" s="78" t="n"/>
      <c r="BG1794" s="78" t="n"/>
      <c r="BH1794" s="78" t="n"/>
      <c r="BI1794" s="78" t="n"/>
      <c r="BJ1794" s="139" t="n"/>
      <c r="BK1794" s="204" t="n"/>
      <c r="BL1794" s="141" t="n"/>
      <c r="BM1794" s="205" t="n"/>
      <c r="BN1794" s="205" t="n"/>
      <c r="BO1794" s="206" t="n"/>
      <c r="BP1794" s="144" t="n"/>
      <c r="BQ1794" s="141" t="n"/>
      <c r="BR1794" s="207" t="n"/>
      <c r="BS1794" s="207" t="n"/>
      <c r="BT1794" s="207" t="n"/>
      <c r="BU1794" s="207" t="n"/>
      <c r="BV1794" s="208" t="n"/>
      <c r="BW1794" s="207" t="n"/>
      <c r="BX1794" s="207" t="n"/>
      <c r="BY1794" s="204" t="n"/>
      <c r="BZ1794" s="148" t="n"/>
      <c r="CA1794" s="204" t="n"/>
      <c r="CB1794" s="208" t="n"/>
      <c r="CC1794" s="139" t="n"/>
      <c r="CD1794" s="204" t="n"/>
      <c r="CE1794" s="204" t="n"/>
      <c r="CF1794" s="207" t="n"/>
      <c r="CG1794" s="208" t="n"/>
      <c r="CH1794" s="207" t="n"/>
      <c r="CI1794" s="208" t="n"/>
      <c r="CJ1794" s="204" t="n"/>
      <c r="CK1794" s="208" t="n"/>
      <c r="CL1794" s="208" t="n"/>
      <c r="CM1794" s="208" t="n"/>
      <c r="CN1794" s="78" t="n"/>
      <c r="CO1794" s="209" t="n"/>
      <c r="CP1794" s="204" t="n"/>
      <c r="CQ1794" s="204" t="n"/>
      <c r="CR1794" s="204" t="n"/>
      <c r="CS1794" s="204" t="n"/>
      <c r="CT1794" s="204" t="n"/>
      <c r="CU1794" s="204" t="n"/>
      <c r="CV1794" s="204" t="n"/>
      <c r="CW1794" s="204" t="n"/>
    </row>
    <row r="1795">
      <c r="BF1795" s="78" t="n"/>
      <c r="BG1795" s="78" t="n"/>
      <c r="BH1795" s="78" t="n"/>
      <c r="BI1795" s="78" t="n"/>
      <c r="BJ1795" s="139" t="n"/>
      <c r="BK1795" s="204" t="n"/>
      <c r="BL1795" s="141" t="n"/>
      <c r="BM1795" s="205" t="n"/>
      <c r="BN1795" s="205" t="n"/>
      <c r="BO1795" s="206" t="n"/>
      <c r="BP1795" s="144" t="n"/>
      <c r="BQ1795" s="141" t="n"/>
      <c r="BR1795" s="207" t="n"/>
      <c r="BS1795" s="207" t="n"/>
      <c r="BT1795" s="207" t="n"/>
      <c r="BU1795" s="207" t="n"/>
      <c r="BV1795" s="208" t="n"/>
      <c r="BW1795" s="207" t="n"/>
      <c r="BX1795" s="207" t="n"/>
      <c r="BY1795" s="204" t="n"/>
      <c r="BZ1795" s="148" t="n"/>
      <c r="CA1795" s="204" t="n"/>
      <c r="CB1795" s="208" t="n"/>
      <c r="CC1795" s="139" t="n"/>
      <c r="CD1795" s="204" t="n"/>
      <c r="CE1795" s="204" t="n"/>
      <c r="CF1795" s="207" t="n"/>
      <c r="CG1795" s="208" t="n"/>
      <c r="CH1795" s="207" t="n"/>
      <c r="CI1795" s="208" t="n"/>
      <c r="CJ1795" s="204" t="n"/>
      <c r="CK1795" s="208" t="n"/>
      <c r="CL1795" s="208" t="n"/>
      <c r="CM1795" s="208" t="n"/>
      <c r="CN1795" s="78" t="n"/>
      <c r="CO1795" s="209" t="n"/>
      <c r="CP1795" s="204" t="n"/>
      <c r="CQ1795" s="204" t="n"/>
      <c r="CR1795" s="204" t="n"/>
      <c r="CS1795" s="204" t="n"/>
      <c r="CT1795" s="204" t="n"/>
      <c r="CU1795" s="204" t="n"/>
      <c r="CV1795" s="204" t="n"/>
      <c r="CW1795" s="204" t="n"/>
    </row>
    <row r="1796">
      <c r="BF1796" s="78" t="n"/>
      <c r="BG1796" s="78" t="n"/>
      <c r="BH1796" s="78" t="n"/>
      <c r="BI1796" s="78" t="n"/>
      <c r="BJ1796" s="139" t="n"/>
      <c r="BK1796" s="204" t="n"/>
      <c r="BL1796" s="141" t="n"/>
      <c r="BM1796" s="205" t="n"/>
      <c r="BN1796" s="205" t="n"/>
      <c r="BO1796" s="206" t="n"/>
      <c r="BP1796" s="144" t="n"/>
      <c r="BQ1796" s="141" t="n"/>
      <c r="BR1796" s="207" t="n"/>
      <c r="BS1796" s="207" t="n"/>
      <c r="BT1796" s="207" t="n"/>
      <c r="BU1796" s="207" t="n"/>
      <c r="BV1796" s="208" t="n"/>
      <c r="BW1796" s="207" t="n"/>
      <c r="BX1796" s="207" t="n"/>
      <c r="BY1796" s="204" t="n"/>
      <c r="BZ1796" s="148" t="n"/>
      <c r="CA1796" s="204" t="n"/>
      <c r="CB1796" s="208" t="n"/>
      <c r="CC1796" s="139" t="n"/>
      <c r="CD1796" s="204" t="n"/>
      <c r="CE1796" s="204" t="n"/>
      <c r="CF1796" s="207" t="n"/>
      <c r="CG1796" s="208" t="n"/>
      <c r="CH1796" s="207" t="n"/>
      <c r="CI1796" s="208" t="n"/>
      <c r="CJ1796" s="204" t="n"/>
      <c r="CK1796" s="208" t="n"/>
      <c r="CL1796" s="208" t="n"/>
      <c r="CM1796" s="208" t="n"/>
      <c r="CN1796" s="78" t="n"/>
      <c r="CO1796" s="209" t="n"/>
      <c r="CP1796" s="204" t="n"/>
      <c r="CQ1796" s="204" t="n"/>
      <c r="CR1796" s="204" t="n"/>
      <c r="CS1796" s="204" t="n"/>
      <c r="CT1796" s="204" t="n"/>
      <c r="CU1796" s="204" t="n"/>
      <c r="CV1796" s="204" t="n"/>
      <c r="CW1796" s="204" t="n"/>
    </row>
    <row r="1797">
      <c r="BF1797" s="78" t="n"/>
      <c r="BG1797" s="78" t="n"/>
      <c r="BH1797" s="78" t="n"/>
      <c r="BI1797" s="78" t="n"/>
      <c r="BJ1797" s="139" t="n"/>
      <c r="BK1797" s="204" t="n"/>
      <c r="BL1797" s="141" t="n"/>
      <c r="BM1797" s="205" t="n"/>
      <c r="BN1797" s="205" t="n"/>
      <c r="BO1797" s="206" t="n"/>
      <c r="BP1797" s="144" t="n"/>
      <c r="BQ1797" s="141" t="n"/>
      <c r="BR1797" s="207" t="n"/>
      <c r="BS1797" s="207" t="n"/>
      <c r="BT1797" s="207" t="n"/>
      <c r="BU1797" s="207" t="n"/>
      <c r="BV1797" s="208" t="n"/>
      <c r="BW1797" s="207" t="n"/>
      <c r="BX1797" s="207" t="n"/>
      <c r="BY1797" s="204" t="n"/>
      <c r="BZ1797" s="148" t="n"/>
      <c r="CA1797" s="204" t="n"/>
      <c r="CB1797" s="208" t="n"/>
      <c r="CC1797" s="139" t="n"/>
      <c r="CD1797" s="204" t="n"/>
      <c r="CE1797" s="204" t="n"/>
      <c r="CF1797" s="207" t="n"/>
      <c r="CG1797" s="208" t="n"/>
      <c r="CH1797" s="207" t="n"/>
      <c r="CI1797" s="208" t="n"/>
      <c r="CJ1797" s="204" t="n"/>
      <c r="CK1797" s="208" t="n"/>
      <c r="CL1797" s="208" t="n"/>
      <c r="CM1797" s="208" t="n"/>
      <c r="CN1797" s="78" t="n"/>
      <c r="CO1797" s="209" t="n"/>
      <c r="CP1797" s="204" t="n"/>
      <c r="CQ1797" s="204" t="n"/>
      <c r="CR1797" s="204" t="n"/>
      <c r="CS1797" s="204" t="n"/>
      <c r="CT1797" s="204" t="n"/>
      <c r="CU1797" s="204" t="n"/>
      <c r="CV1797" s="204" t="n"/>
      <c r="CW1797" s="204" t="n"/>
    </row>
    <row r="1798">
      <c r="BF1798" s="78" t="n"/>
      <c r="BG1798" s="78" t="n"/>
      <c r="BH1798" s="78" t="n"/>
      <c r="BI1798" s="78" t="n"/>
      <c r="BJ1798" s="139" t="n"/>
      <c r="BK1798" s="204" t="n"/>
      <c r="BL1798" s="141" t="n"/>
      <c r="BM1798" s="205" t="n"/>
      <c r="BN1798" s="205" t="n"/>
      <c r="BO1798" s="206" t="n"/>
      <c r="BP1798" s="144" t="n"/>
      <c r="BQ1798" s="141" t="n"/>
      <c r="BR1798" s="207" t="n"/>
      <c r="BS1798" s="207" t="n"/>
      <c r="BT1798" s="207" t="n"/>
      <c r="BU1798" s="207" t="n"/>
      <c r="BV1798" s="208" t="n"/>
      <c r="BW1798" s="207" t="n"/>
      <c r="BX1798" s="207" t="n"/>
      <c r="BY1798" s="204" t="n"/>
      <c r="BZ1798" s="148" t="n"/>
      <c r="CA1798" s="204" t="n"/>
      <c r="CB1798" s="208" t="n"/>
      <c r="CC1798" s="139" t="n"/>
      <c r="CD1798" s="204" t="n"/>
      <c r="CE1798" s="204" t="n"/>
      <c r="CF1798" s="207" t="n"/>
      <c r="CG1798" s="208" t="n"/>
      <c r="CH1798" s="207" t="n"/>
      <c r="CI1798" s="208" t="n"/>
      <c r="CJ1798" s="204" t="n"/>
      <c r="CK1798" s="208" t="n"/>
      <c r="CL1798" s="208" t="n"/>
      <c r="CM1798" s="208" t="n"/>
      <c r="CN1798" s="78" t="n"/>
      <c r="CO1798" s="209" t="n"/>
      <c r="CP1798" s="204" t="n"/>
      <c r="CQ1798" s="204" t="n"/>
      <c r="CR1798" s="204" t="n"/>
      <c r="CS1798" s="204" t="n"/>
      <c r="CT1798" s="204" t="n"/>
      <c r="CU1798" s="204" t="n"/>
      <c r="CV1798" s="204" t="n"/>
      <c r="CW1798" s="204" t="n"/>
    </row>
    <row r="1799">
      <c r="BF1799" s="78" t="n"/>
      <c r="BG1799" s="78" t="n"/>
      <c r="BH1799" s="78" t="n"/>
      <c r="BI1799" s="78" t="n"/>
      <c r="BJ1799" s="139" t="n"/>
      <c r="BK1799" s="204" t="n"/>
      <c r="BL1799" s="141" t="n"/>
      <c r="BM1799" s="205" t="n"/>
      <c r="BN1799" s="205" t="n"/>
      <c r="BO1799" s="206" t="n"/>
      <c r="BP1799" s="144" t="n"/>
      <c r="BQ1799" s="141" t="n"/>
      <c r="BR1799" s="207" t="n"/>
      <c r="BS1799" s="207" t="n"/>
      <c r="BT1799" s="207" t="n"/>
      <c r="BU1799" s="207" t="n"/>
      <c r="BV1799" s="208" t="n"/>
      <c r="BW1799" s="207" t="n"/>
      <c r="BX1799" s="207" t="n"/>
      <c r="BY1799" s="204" t="n"/>
      <c r="BZ1799" s="148" t="n"/>
      <c r="CA1799" s="204" t="n"/>
      <c r="CB1799" s="208" t="n"/>
      <c r="CC1799" s="139" t="n"/>
      <c r="CD1799" s="204" t="n"/>
      <c r="CE1799" s="204" t="n"/>
      <c r="CF1799" s="207" t="n"/>
      <c r="CG1799" s="208" t="n"/>
      <c r="CH1799" s="207" t="n"/>
      <c r="CI1799" s="208" t="n"/>
      <c r="CJ1799" s="204" t="n"/>
      <c r="CK1799" s="208" t="n"/>
      <c r="CL1799" s="208" t="n"/>
      <c r="CM1799" s="208" t="n"/>
      <c r="CN1799" s="78" t="n"/>
      <c r="CO1799" s="209" t="n"/>
      <c r="CP1799" s="204" t="n"/>
      <c r="CQ1799" s="204" t="n"/>
      <c r="CR1799" s="204" t="n"/>
      <c r="CS1799" s="204" t="n"/>
      <c r="CT1799" s="204" t="n"/>
      <c r="CU1799" s="204" t="n"/>
      <c r="CV1799" s="204" t="n"/>
      <c r="CW1799" s="204" t="n"/>
    </row>
    <row r="1800">
      <c r="BF1800" s="78" t="n"/>
      <c r="BG1800" s="78" t="n"/>
      <c r="BH1800" s="78" t="n"/>
      <c r="BI1800" s="78" t="n"/>
      <c r="BJ1800" s="139" t="n"/>
      <c r="BK1800" s="204" t="n"/>
      <c r="BL1800" s="141" t="n"/>
      <c r="BM1800" s="205" t="n"/>
      <c r="BN1800" s="205" t="n"/>
      <c r="BO1800" s="206" t="n"/>
      <c r="BP1800" s="144" t="n"/>
      <c r="BQ1800" s="141" t="n"/>
      <c r="BR1800" s="207" t="n"/>
      <c r="BS1800" s="207" t="n"/>
      <c r="BT1800" s="207" t="n"/>
      <c r="BU1800" s="207" t="n"/>
      <c r="BV1800" s="208" t="n"/>
      <c r="BW1800" s="207" t="n"/>
      <c r="BX1800" s="207" t="n"/>
      <c r="BY1800" s="204" t="n"/>
      <c r="BZ1800" s="148" t="n"/>
      <c r="CA1800" s="204" t="n"/>
      <c r="CB1800" s="208" t="n"/>
      <c r="CC1800" s="139" t="n"/>
      <c r="CD1800" s="204" t="n"/>
      <c r="CE1800" s="204" t="n"/>
      <c r="CF1800" s="207" t="n"/>
      <c r="CG1800" s="208" t="n"/>
      <c r="CH1800" s="207" t="n"/>
      <c r="CI1800" s="208" t="n"/>
      <c r="CJ1800" s="204" t="n"/>
      <c r="CK1800" s="208" t="n"/>
      <c r="CL1800" s="208" t="n"/>
      <c r="CM1800" s="208" t="n"/>
      <c r="CN1800" s="78" t="n"/>
      <c r="CO1800" s="209" t="n"/>
      <c r="CP1800" s="204" t="n"/>
      <c r="CQ1800" s="204" t="n"/>
      <c r="CR1800" s="204" t="n"/>
      <c r="CS1800" s="204" t="n"/>
      <c r="CT1800" s="204" t="n"/>
      <c r="CU1800" s="204" t="n"/>
      <c r="CV1800" s="204" t="n"/>
      <c r="CW1800" s="204" t="n"/>
    </row>
    <row r="1801">
      <c r="BF1801" s="78" t="n"/>
      <c r="BG1801" s="78" t="n"/>
      <c r="BH1801" s="78" t="n"/>
      <c r="BI1801" s="78" t="n"/>
      <c r="BJ1801" s="139" t="n"/>
      <c r="BK1801" s="204" t="n"/>
      <c r="BL1801" s="141" t="n"/>
      <c r="BM1801" s="205" t="n"/>
      <c r="BN1801" s="205" t="n"/>
      <c r="BO1801" s="206" t="n"/>
      <c r="BP1801" s="144" t="n"/>
      <c r="BQ1801" s="141" t="n"/>
      <c r="BR1801" s="207" t="n"/>
      <c r="BS1801" s="207" t="n"/>
      <c r="BT1801" s="207" t="n"/>
      <c r="BU1801" s="207" t="n"/>
      <c r="BV1801" s="208" t="n"/>
      <c r="BW1801" s="207" t="n"/>
      <c r="BX1801" s="207" t="n"/>
      <c r="BY1801" s="204" t="n"/>
      <c r="BZ1801" s="148" t="n"/>
      <c r="CA1801" s="204" t="n"/>
      <c r="CB1801" s="208" t="n"/>
      <c r="CC1801" s="139" t="n"/>
      <c r="CD1801" s="204" t="n"/>
      <c r="CE1801" s="204" t="n"/>
      <c r="CF1801" s="207" t="n"/>
      <c r="CG1801" s="208" t="n"/>
      <c r="CH1801" s="207" t="n"/>
      <c r="CI1801" s="208" t="n"/>
      <c r="CJ1801" s="204" t="n"/>
      <c r="CK1801" s="208" t="n"/>
      <c r="CL1801" s="208" t="n"/>
      <c r="CM1801" s="208" t="n"/>
      <c r="CN1801" s="78" t="n"/>
      <c r="CO1801" s="209" t="n"/>
      <c r="CP1801" s="204" t="n"/>
      <c r="CQ1801" s="204" t="n"/>
      <c r="CR1801" s="204" t="n"/>
      <c r="CS1801" s="204" t="n"/>
      <c r="CT1801" s="204" t="n"/>
      <c r="CU1801" s="204" t="n"/>
      <c r="CV1801" s="204" t="n"/>
      <c r="CW1801" s="204" t="n"/>
    </row>
    <row r="1802">
      <c r="BF1802" s="78" t="n"/>
      <c r="BG1802" s="78" t="n"/>
      <c r="BH1802" s="78" t="n"/>
      <c r="BI1802" s="78" t="n"/>
      <c r="BJ1802" s="139" t="n"/>
      <c r="BK1802" s="204" t="n"/>
      <c r="BL1802" s="141" t="n"/>
      <c r="BM1802" s="205" t="n"/>
      <c r="BN1802" s="205" t="n"/>
      <c r="BO1802" s="206" t="n"/>
      <c r="BP1802" s="144" t="n"/>
      <c r="BQ1802" s="141" t="n"/>
      <c r="BR1802" s="207" t="n"/>
      <c r="BS1802" s="207" t="n"/>
      <c r="BT1802" s="207" t="n"/>
      <c r="BU1802" s="207" t="n"/>
      <c r="BV1802" s="208" t="n"/>
      <c r="BW1802" s="207" t="n"/>
      <c r="BX1802" s="207" t="n"/>
      <c r="BY1802" s="204" t="n"/>
      <c r="BZ1802" s="148" t="n"/>
      <c r="CA1802" s="204" t="n"/>
      <c r="CB1802" s="208" t="n"/>
      <c r="CC1802" s="139" t="n"/>
      <c r="CD1802" s="204" t="n"/>
      <c r="CE1802" s="204" t="n"/>
      <c r="CF1802" s="207" t="n"/>
      <c r="CG1802" s="208" t="n"/>
      <c r="CH1802" s="207" t="n"/>
      <c r="CI1802" s="208" t="n"/>
      <c r="CJ1802" s="204" t="n"/>
      <c r="CK1802" s="208" t="n"/>
      <c r="CL1802" s="208" t="n"/>
      <c r="CM1802" s="208" t="n"/>
      <c r="CN1802" s="78" t="n"/>
      <c r="CO1802" s="209" t="n"/>
      <c r="CP1802" s="204" t="n"/>
      <c r="CQ1802" s="204" t="n"/>
      <c r="CR1802" s="204" t="n"/>
      <c r="CS1802" s="204" t="n"/>
      <c r="CT1802" s="204" t="n"/>
      <c r="CU1802" s="204" t="n"/>
      <c r="CV1802" s="204" t="n"/>
      <c r="CW1802" s="204" t="n"/>
    </row>
    <row r="1803">
      <c r="BF1803" s="78" t="n"/>
      <c r="BG1803" s="78" t="n"/>
      <c r="BH1803" s="78" t="n"/>
      <c r="BI1803" s="78" t="n"/>
      <c r="BJ1803" s="139" t="n"/>
      <c r="BK1803" s="204" t="n"/>
      <c r="BL1803" s="141" t="n"/>
      <c r="BM1803" s="205" t="n"/>
      <c r="BN1803" s="205" t="n"/>
      <c r="BO1803" s="206" t="n"/>
      <c r="BP1803" s="144" t="n"/>
      <c r="BQ1803" s="141" t="n"/>
      <c r="BR1803" s="207" t="n"/>
      <c r="BS1803" s="207" t="n"/>
      <c r="BT1803" s="207" t="n"/>
      <c r="BU1803" s="207" t="n"/>
      <c r="BV1803" s="208" t="n"/>
      <c r="BW1803" s="207" t="n"/>
      <c r="BX1803" s="207" t="n"/>
      <c r="BY1803" s="204" t="n"/>
      <c r="BZ1803" s="148" t="n"/>
      <c r="CA1803" s="204" t="n"/>
      <c r="CB1803" s="208" t="n"/>
      <c r="CC1803" s="139" t="n"/>
      <c r="CD1803" s="204" t="n"/>
      <c r="CE1803" s="204" t="n"/>
      <c r="CF1803" s="207" t="n"/>
      <c r="CG1803" s="208" t="n"/>
      <c r="CH1803" s="207" t="n"/>
      <c r="CI1803" s="208" t="n"/>
      <c r="CJ1803" s="204" t="n"/>
      <c r="CK1803" s="208" t="n"/>
      <c r="CL1803" s="208" t="n"/>
      <c r="CM1803" s="208" t="n"/>
      <c r="CN1803" s="78" t="n"/>
      <c r="CO1803" s="209" t="n"/>
      <c r="CP1803" s="204" t="n"/>
      <c r="CQ1803" s="204" t="n"/>
      <c r="CR1803" s="204" t="n"/>
      <c r="CS1803" s="204" t="n"/>
      <c r="CT1803" s="204" t="n"/>
      <c r="CU1803" s="204" t="n"/>
      <c r="CV1803" s="204" t="n"/>
      <c r="CW1803" s="204" t="n"/>
    </row>
    <row r="1804">
      <c r="BF1804" s="78" t="n"/>
      <c r="BG1804" s="78" t="n"/>
      <c r="BH1804" s="78" t="n"/>
      <c r="BI1804" s="78" t="n"/>
      <c r="BJ1804" s="139" t="n"/>
      <c r="BK1804" s="204" t="n"/>
      <c r="BL1804" s="141" t="n"/>
      <c r="BM1804" s="205" t="n"/>
      <c r="BN1804" s="205" t="n"/>
      <c r="BO1804" s="206" t="n"/>
      <c r="BP1804" s="144" t="n"/>
      <c r="BQ1804" s="141" t="n"/>
      <c r="BR1804" s="207" t="n"/>
      <c r="BS1804" s="207" t="n"/>
      <c r="BT1804" s="207" t="n"/>
      <c r="BU1804" s="207" t="n"/>
      <c r="BV1804" s="208" t="n"/>
      <c r="BW1804" s="207" t="n"/>
      <c r="BX1804" s="207" t="n"/>
      <c r="BY1804" s="204" t="n"/>
      <c r="BZ1804" s="148" t="n"/>
      <c r="CA1804" s="204" t="n"/>
      <c r="CB1804" s="208" t="n"/>
      <c r="CC1804" s="139" t="n"/>
      <c r="CD1804" s="204" t="n"/>
      <c r="CE1804" s="204" t="n"/>
      <c r="CF1804" s="207" t="n"/>
      <c r="CG1804" s="208" t="n"/>
      <c r="CH1804" s="207" t="n"/>
      <c r="CI1804" s="208" t="n"/>
      <c r="CJ1804" s="204" t="n"/>
      <c r="CK1804" s="208" t="n"/>
      <c r="CL1804" s="208" t="n"/>
      <c r="CM1804" s="208" t="n"/>
      <c r="CN1804" s="78" t="n"/>
      <c r="CO1804" s="209" t="n"/>
      <c r="CP1804" s="204" t="n"/>
      <c r="CQ1804" s="204" t="n"/>
      <c r="CR1804" s="204" t="n"/>
      <c r="CS1804" s="204" t="n"/>
      <c r="CT1804" s="204" t="n"/>
      <c r="CU1804" s="204" t="n"/>
      <c r="CV1804" s="204" t="n"/>
      <c r="CW1804" s="204" t="n"/>
    </row>
    <row r="1805">
      <c r="BF1805" s="78" t="n"/>
      <c r="BG1805" s="78" t="n"/>
      <c r="BH1805" s="78" t="n"/>
      <c r="BI1805" s="78" t="n"/>
      <c r="BJ1805" s="139" t="n"/>
      <c r="BK1805" s="204" t="n"/>
      <c r="BL1805" s="141" t="n"/>
      <c r="BM1805" s="205" t="n"/>
      <c r="BN1805" s="205" t="n"/>
      <c r="BO1805" s="206" t="n"/>
      <c r="BP1805" s="144" t="n"/>
      <c r="BQ1805" s="141" t="n"/>
      <c r="BR1805" s="207" t="n"/>
      <c r="BS1805" s="207" t="n"/>
      <c r="BT1805" s="207" t="n"/>
      <c r="BU1805" s="207" t="n"/>
      <c r="BV1805" s="208" t="n"/>
      <c r="BW1805" s="207" t="n"/>
      <c r="BX1805" s="207" t="n"/>
      <c r="BY1805" s="204" t="n"/>
      <c r="BZ1805" s="148" t="n"/>
      <c r="CA1805" s="204" t="n"/>
      <c r="CB1805" s="208" t="n"/>
      <c r="CC1805" s="139" t="n"/>
      <c r="CD1805" s="204" t="n"/>
      <c r="CE1805" s="204" t="n"/>
      <c r="CF1805" s="207" t="n"/>
      <c r="CG1805" s="208" t="n"/>
      <c r="CH1805" s="207" t="n"/>
      <c r="CI1805" s="208" t="n"/>
      <c r="CJ1805" s="204" t="n"/>
      <c r="CK1805" s="208" t="n"/>
      <c r="CL1805" s="208" t="n"/>
      <c r="CM1805" s="208" t="n"/>
      <c r="CN1805" s="78" t="n"/>
      <c r="CO1805" s="209" t="n"/>
      <c r="CP1805" s="204" t="n"/>
      <c r="CQ1805" s="204" t="n"/>
      <c r="CR1805" s="204" t="n"/>
      <c r="CS1805" s="204" t="n"/>
      <c r="CT1805" s="204" t="n"/>
      <c r="CU1805" s="204" t="n"/>
      <c r="CV1805" s="204" t="n"/>
      <c r="CW1805" s="204" t="n"/>
    </row>
    <row r="1806">
      <c r="BF1806" s="78" t="n"/>
      <c r="BG1806" s="78" t="n"/>
      <c r="BH1806" s="78" t="n"/>
      <c r="BI1806" s="78" t="n"/>
      <c r="BJ1806" s="139" t="n"/>
      <c r="BK1806" s="204" t="n"/>
      <c r="BL1806" s="141" t="n"/>
      <c r="BM1806" s="205" t="n"/>
      <c r="BN1806" s="205" t="n"/>
      <c r="BO1806" s="206" t="n"/>
      <c r="BP1806" s="144" t="n"/>
      <c r="BQ1806" s="141" t="n"/>
      <c r="BR1806" s="207" t="n"/>
      <c r="BS1806" s="207" t="n"/>
      <c r="BT1806" s="207" t="n"/>
      <c r="BU1806" s="207" t="n"/>
      <c r="BV1806" s="208" t="n"/>
      <c r="BW1806" s="207" t="n"/>
      <c r="BX1806" s="207" t="n"/>
      <c r="BY1806" s="204" t="n"/>
      <c r="BZ1806" s="148" t="n"/>
      <c r="CA1806" s="204" t="n"/>
      <c r="CB1806" s="208" t="n"/>
      <c r="CC1806" s="139" t="n"/>
      <c r="CD1806" s="204" t="n"/>
      <c r="CE1806" s="204" t="n"/>
      <c r="CF1806" s="207" t="n"/>
      <c r="CG1806" s="208" t="n"/>
      <c r="CH1806" s="207" t="n"/>
      <c r="CI1806" s="208" t="n"/>
      <c r="CJ1806" s="204" t="n"/>
      <c r="CK1806" s="208" t="n"/>
      <c r="CL1806" s="208" t="n"/>
      <c r="CM1806" s="208" t="n"/>
      <c r="CN1806" s="78" t="n"/>
      <c r="CO1806" s="209" t="n"/>
      <c r="CP1806" s="204" t="n"/>
      <c r="CQ1806" s="204" t="n"/>
      <c r="CR1806" s="204" t="n"/>
      <c r="CS1806" s="204" t="n"/>
      <c r="CT1806" s="204" t="n"/>
      <c r="CU1806" s="204" t="n"/>
      <c r="CV1806" s="204" t="n"/>
      <c r="CW1806" s="204" t="n"/>
    </row>
    <row r="1807">
      <c r="BF1807" s="78" t="n"/>
      <c r="BG1807" s="78" t="n"/>
      <c r="BH1807" s="78" t="n"/>
      <c r="BI1807" s="78" t="n"/>
      <c r="BJ1807" s="139" t="n"/>
      <c r="BK1807" s="204" t="n"/>
      <c r="BL1807" s="141" t="n"/>
      <c r="BM1807" s="205" t="n"/>
      <c r="BN1807" s="205" t="n"/>
      <c r="BO1807" s="206" t="n"/>
      <c r="BP1807" s="144" t="n"/>
      <c r="BQ1807" s="141" t="n"/>
      <c r="BR1807" s="207" t="n"/>
      <c r="BS1807" s="207" t="n"/>
      <c r="BT1807" s="207" t="n"/>
      <c r="BU1807" s="207" t="n"/>
      <c r="BV1807" s="208" t="n"/>
      <c r="BW1807" s="207" t="n"/>
      <c r="BX1807" s="207" t="n"/>
      <c r="BY1807" s="204" t="n"/>
      <c r="BZ1807" s="148" t="n"/>
      <c r="CA1807" s="204" t="n"/>
      <c r="CB1807" s="208" t="n"/>
      <c r="CC1807" s="139" t="n"/>
      <c r="CD1807" s="204" t="n"/>
      <c r="CE1807" s="204" t="n"/>
      <c r="CF1807" s="207" t="n"/>
      <c r="CG1807" s="208" t="n"/>
      <c r="CH1807" s="207" t="n"/>
      <c r="CI1807" s="208" t="n"/>
      <c r="CJ1807" s="204" t="n"/>
      <c r="CK1807" s="208" t="n"/>
      <c r="CL1807" s="208" t="n"/>
      <c r="CM1807" s="208" t="n"/>
      <c r="CN1807" s="78" t="n"/>
      <c r="CO1807" s="209" t="n"/>
      <c r="CP1807" s="204" t="n"/>
      <c r="CQ1807" s="204" t="n"/>
      <c r="CR1807" s="204" t="n"/>
      <c r="CS1807" s="204" t="n"/>
      <c r="CT1807" s="204" t="n"/>
      <c r="CU1807" s="204" t="n"/>
      <c r="CV1807" s="204" t="n"/>
      <c r="CW1807" s="204" t="n"/>
    </row>
    <row r="1808">
      <c r="BF1808" s="78" t="n"/>
      <c r="BG1808" s="78" t="n"/>
      <c r="BH1808" s="78" t="n"/>
      <c r="BI1808" s="78" t="n"/>
      <c r="BJ1808" s="139" t="n"/>
      <c r="BK1808" s="204" t="n"/>
      <c r="BL1808" s="141" t="n"/>
      <c r="BM1808" s="205" t="n"/>
      <c r="BN1808" s="205" t="n"/>
      <c r="BO1808" s="206" t="n"/>
      <c r="BP1808" s="144" t="n"/>
      <c r="BQ1808" s="141" t="n"/>
      <c r="BR1808" s="207" t="n"/>
      <c r="BS1808" s="207" t="n"/>
      <c r="BT1808" s="207" t="n"/>
      <c r="BU1808" s="207" t="n"/>
      <c r="BV1808" s="208" t="n"/>
      <c r="BW1808" s="207" t="n"/>
      <c r="BX1808" s="207" t="n"/>
      <c r="BY1808" s="204" t="n"/>
      <c r="BZ1808" s="148" t="n"/>
      <c r="CA1808" s="204" t="n"/>
      <c r="CB1808" s="208" t="n"/>
      <c r="CC1808" s="139" t="n"/>
      <c r="CD1808" s="204" t="n"/>
      <c r="CE1808" s="204" t="n"/>
      <c r="CF1808" s="207" t="n"/>
      <c r="CG1808" s="208" t="n"/>
      <c r="CH1808" s="207" t="n"/>
      <c r="CI1808" s="208" t="n"/>
      <c r="CJ1808" s="204" t="n"/>
      <c r="CK1808" s="208" t="n"/>
      <c r="CL1808" s="208" t="n"/>
      <c r="CM1808" s="208" t="n"/>
      <c r="CN1808" s="78" t="n"/>
      <c r="CO1808" s="209" t="n"/>
      <c r="CP1808" s="204" t="n"/>
      <c r="CQ1808" s="204" t="n"/>
      <c r="CR1808" s="204" t="n"/>
      <c r="CS1808" s="204" t="n"/>
      <c r="CT1808" s="204" t="n"/>
      <c r="CU1808" s="204" t="n"/>
      <c r="CV1808" s="204" t="n"/>
      <c r="CW1808" s="204" t="n"/>
    </row>
    <row r="1809">
      <c r="BF1809" s="78" t="n"/>
      <c r="BG1809" s="78" t="n"/>
      <c r="BH1809" s="78" t="n"/>
      <c r="BI1809" s="78" t="n"/>
      <c r="BJ1809" s="139" t="n"/>
      <c r="BK1809" s="204" t="n"/>
      <c r="BL1809" s="141" t="n"/>
      <c r="BM1809" s="205" t="n"/>
      <c r="BN1809" s="205" t="n"/>
      <c r="BO1809" s="206" t="n"/>
      <c r="BP1809" s="144" t="n"/>
      <c r="BQ1809" s="141" t="n"/>
      <c r="BR1809" s="207" t="n"/>
      <c r="BS1809" s="207" t="n"/>
      <c r="BT1809" s="207" t="n"/>
      <c r="BU1809" s="207" t="n"/>
      <c r="BV1809" s="208" t="n"/>
      <c r="BW1809" s="207" t="n"/>
      <c r="BX1809" s="207" t="n"/>
      <c r="BY1809" s="204" t="n"/>
      <c r="BZ1809" s="148" t="n"/>
      <c r="CA1809" s="204" t="n"/>
      <c r="CB1809" s="208" t="n"/>
      <c r="CC1809" s="139" t="n"/>
      <c r="CD1809" s="204" t="n"/>
      <c r="CE1809" s="204" t="n"/>
      <c r="CF1809" s="207" t="n"/>
      <c r="CG1809" s="208" t="n"/>
      <c r="CH1809" s="207" t="n"/>
      <c r="CI1809" s="208" t="n"/>
      <c r="CJ1809" s="204" t="n"/>
      <c r="CK1809" s="208" t="n"/>
      <c r="CL1809" s="208" t="n"/>
      <c r="CM1809" s="208" t="n"/>
      <c r="CN1809" s="78" t="n"/>
      <c r="CO1809" s="209" t="n"/>
      <c r="CP1809" s="204" t="n"/>
      <c r="CQ1809" s="204" t="n"/>
      <c r="CR1809" s="204" t="n"/>
      <c r="CS1809" s="204" t="n"/>
      <c r="CT1809" s="204" t="n"/>
      <c r="CU1809" s="204" t="n"/>
      <c r="CV1809" s="204" t="n"/>
      <c r="CW1809" s="204" t="n"/>
    </row>
    <row r="1810">
      <c r="BF1810" s="78" t="n"/>
      <c r="BG1810" s="78" t="n"/>
      <c r="BH1810" s="78" t="n"/>
      <c r="BI1810" s="78" t="n"/>
      <c r="BJ1810" s="139" t="n"/>
      <c r="BK1810" s="204" t="n"/>
      <c r="BL1810" s="141" t="n"/>
      <c r="BM1810" s="205" t="n"/>
      <c r="BN1810" s="205" t="n"/>
      <c r="BO1810" s="206" t="n"/>
      <c r="BP1810" s="144" t="n"/>
      <c r="BQ1810" s="141" t="n"/>
      <c r="BR1810" s="207" t="n"/>
      <c r="BS1810" s="207" t="n"/>
      <c r="BT1810" s="207" t="n"/>
      <c r="BU1810" s="207" t="n"/>
      <c r="BV1810" s="208" t="n"/>
      <c r="BW1810" s="207" t="n"/>
      <c r="BX1810" s="207" t="n"/>
      <c r="BY1810" s="204" t="n"/>
      <c r="BZ1810" s="148" t="n"/>
      <c r="CA1810" s="204" t="n"/>
      <c r="CB1810" s="208" t="n"/>
      <c r="CC1810" s="139" t="n"/>
      <c r="CD1810" s="204" t="n"/>
      <c r="CE1810" s="204" t="n"/>
      <c r="CF1810" s="207" t="n"/>
      <c r="CG1810" s="208" t="n"/>
      <c r="CH1810" s="207" t="n"/>
      <c r="CI1810" s="208" t="n"/>
      <c r="CJ1810" s="204" t="n"/>
      <c r="CK1810" s="208" t="n"/>
      <c r="CL1810" s="208" t="n"/>
      <c r="CM1810" s="208" t="n"/>
      <c r="CN1810" s="78" t="n"/>
      <c r="CO1810" s="209" t="n"/>
      <c r="CP1810" s="204" t="n"/>
      <c r="CQ1810" s="204" t="n"/>
      <c r="CR1810" s="204" t="n"/>
      <c r="CS1810" s="204" t="n"/>
      <c r="CT1810" s="204" t="n"/>
      <c r="CU1810" s="204" t="n"/>
      <c r="CV1810" s="204" t="n"/>
      <c r="CW1810" s="204" t="n"/>
    </row>
    <row r="1811">
      <c r="BF1811" s="78" t="n"/>
      <c r="BG1811" s="78" t="n"/>
      <c r="BH1811" s="78" t="n"/>
      <c r="BI1811" s="78" t="n"/>
      <c r="BJ1811" s="139" t="n"/>
      <c r="BK1811" s="204" t="n"/>
      <c r="BL1811" s="141" t="n"/>
      <c r="BM1811" s="205" t="n"/>
      <c r="BN1811" s="205" t="n"/>
      <c r="BO1811" s="206" t="n"/>
      <c r="BP1811" s="144" t="n"/>
      <c r="BQ1811" s="141" t="n"/>
      <c r="BR1811" s="207" t="n"/>
      <c r="BS1811" s="207" t="n"/>
      <c r="BT1811" s="207" t="n"/>
      <c r="BU1811" s="207" t="n"/>
      <c r="BV1811" s="208" t="n"/>
      <c r="BW1811" s="207" t="n"/>
      <c r="BX1811" s="207" t="n"/>
      <c r="BY1811" s="204" t="n"/>
      <c r="BZ1811" s="148" t="n"/>
      <c r="CA1811" s="204" t="n"/>
      <c r="CB1811" s="208" t="n"/>
      <c r="CC1811" s="139" t="n"/>
      <c r="CD1811" s="204" t="n"/>
      <c r="CE1811" s="204" t="n"/>
      <c r="CF1811" s="207" t="n"/>
      <c r="CG1811" s="208" t="n"/>
      <c r="CH1811" s="207" t="n"/>
      <c r="CI1811" s="208" t="n"/>
      <c r="CJ1811" s="204" t="n"/>
      <c r="CK1811" s="208" t="n"/>
      <c r="CL1811" s="208" t="n"/>
      <c r="CM1811" s="208" t="n"/>
      <c r="CN1811" s="78" t="n"/>
      <c r="CO1811" s="209" t="n"/>
      <c r="CP1811" s="204" t="n"/>
      <c r="CQ1811" s="204" t="n"/>
      <c r="CR1811" s="204" t="n"/>
      <c r="CS1811" s="204" t="n"/>
      <c r="CT1811" s="204" t="n"/>
      <c r="CU1811" s="204" t="n"/>
      <c r="CV1811" s="204" t="n"/>
      <c r="CW1811" s="204" t="n"/>
    </row>
    <row r="1812">
      <c r="BF1812" s="78" t="n"/>
      <c r="BG1812" s="78" t="n"/>
      <c r="BH1812" s="78" t="n"/>
      <c r="BI1812" s="78" t="n"/>
      <c r="BJ1812" s="139" t="n"/>
      <c r="BK1812" s="204" t="n"/>
      <c r="BL1812" s="141" t="n"/>
      <c r="BM1812" s="205" t="n"/>
      <c r="BN1812" s="205" t="n"/>
      <c r="BO1812" s="206" t="n"/>
      <c r="BP1812" s="144" t="n"/>
      <c r="BQ1812" s="141" t="n"/>
      <c r="BR1812" s="207" t="n"/>
      <c r="BS1812" s="207" t="n"/>
      <c r="BT1812" s="207" t="n"/>
      <c r="BU1812" s="207" t="n"/>
      <c r="BV1812" s="208" t="n"/>
      <c r="BW1812" s="207" t="n"/>
      <c r="BX1812" s="207" t="n"/>
      <c r="BY1812" s="204" t="n"/>
      <c r="BZ1812" s="148" t="n"/>
      <c r="CA1812" s="204" t="n"/>
      <c r="CB1812" s="208" t="n"/>
      <c r="CC1812" s="139" t="n"/>
      <c r="CD1812" s="204" t="n"/>
      <c r="CE1812" s="204" t="n"/>
      <c r="CF1812" s="207" t="n"/>
      <c r="CG1812" s="208" t="n"/>
      <c r="CH1812" s="207" t="n"/>
      <c r="CI1812" s="208" t="n"/>
      <c r="CJ1812" s="204" t="n"/>
      <c r="CK1812" s="208" t="n"/>
      <c r="CL1812" s="208" t="n"/>
      <c r="CM1812" s="208" t="n"/>
      <c r="CN1812" s="78" t="n"/>
      <c r="CO1812" s="209" t="n"/>
      <c r="CP1812" s="204" t="n"/>
      <c r="CQ1812" s="204" t="n"/>
      <c r="CR1812" s="204" t="n"/>
      <c r="CS1812" s="204" t="n"/>
      <c r="CT1812" s="204" t="n"/>
      <c r="CU1812" s="204" t="n"/>
      <c r="CV1812" s="204" t="n"/>
      <c r="CW1812" s="204" t="n"/>
    </row>
    <row r="1813">
      <c r="BF1813" s="78" t="n"/>
      <c r="BG1813" s="78" t="n"/>
      <c r="BH1813" s="78" t="n"/>
      <c r="BI1813" s="78" t="n"/>
      <c r="BJ1813" s="139" t="n"/>
      <c r="BK1813" s="204" t="n"/>
      <c r="BL1813" s="141" t="n"/>
      <c r="BM1813" s="205" t="n"/>
      <c r="BN1813" s="205" t="n"/>
      <c r="BO1813" s="206" t="n"/>
      <c r="BP1813" s="144" t="n"/>
      <c r="BQ1813" s="141" t="n"/>
      <c r="BR1813" s="207" t="n"/>
      <c r="BS1813" s="207" t="n"/>
      <c r="BT1813" s="207" t="n"/>
      <c r="BU1813" s="207" t="n"/>
      <c r="BV1813" s="208" t="n"/>
      <c r="BW1813" s="207" t="n"/>
      <c r="BX1813" s="207" t="n"/>
      <c r="BY1813" s="204" t="n"/>
      <c r="BZ1813" s="148" t="n"/>
      <c r="CA1813" s="204" t="n"/>
      <c r="CB1813" s="208" t="n"/>
      <c r="CC1813" s="139" t="n"/>
      <c r="CD1813" s="204" t="n"/>
      <c r="CE1813" s="204" t="n"/>
      <c r="CF1813" s="207" t="n"/>
      <c r="CG1813" s="208" t="n"/>
      <c r="CH1813" s="207" t="n"/>
      <c r="CI1813" s="208" t="n"/>
      <c r="CJ1813" s="204" t="n"/>
      <c r="CK1813" s="208" t="n"/>
      <c r="CL1813" s="208" t="n"/>
      <c r="CM1813" s="208" t="n"/>
      <c r="CN1813" s="78" t="n"/>
      <c r="CO1813" s="209" t="n"/>
      <c r="CP1813" s="204" t="n"/>
      <c r="CQ1813" s="204" t="n"/>
      <c r="CR1813" s="204" t="n"/>
      <c r="CS1813" s="204" t="n"/>
      <c r="CT1813" s="204" t="n"/>
      <c r="CU1813" s="204" t="n"/>
      <c r="CV1813" s="204" t="n"/>
      <c r="CW1813" s="204" t="n"/>
    </row>
    <row r="1814">
      <c r="BF1814" s="78" t="n"/>
      <c r="BG1814" s="78" t="n"/>
      <c r="BH1814" s="78" t="n"/>
      <c r="BI1814" s="78" t="n"/>
      <c r="BJ1814" s="139" t="n"/>
      <c r="BK1814" s="204" t="n"/>
      <c r="BL1814" s="141" t="n"/>
      <c r="BM1814" s="205" t="n"/>
      <c r="BN1814" s="205" t="n"/>
      <c r="BO1814" s="206" t="n"/>
      <c r="BP1814" s="144" t="n"/>
      <c r="BQ1814" s="141" t="n"/>
      <c r="BR1814" s="207" t="n"/>
      <c r="BS1814" s="207" t="n"/>
      <c r="BT1814" s="207" t="n"/>
      <c r="BU1814" s="207" t="n"/>
      <c r="BV1814" s="208" t="n"/>
      <c r="BW1814" s="207" t="n"/>
      <c r="BX1814" s="207" t="n"/>
      <c r="BY1814" s="204" t="n"/>
      <c r="BZ1814" s="148" t="n"/>
      <c r="CA1814" s="204" t="n"/>
      <c r="CB1814" s="208" t="n"/>
      <c r="CC1814" s="139" t="n"/>
      <c r="CD1814" s="204" t="n"/>
      <c r="CE1814" s="204" t="n"/>
      <c r="CF1814" s="207" t="n"/>
      <c r="CG1814" s="208" t="n"/>
      <c r="CH1814" s="207" t="n"/>
      <c r="CI1814" s="208" t="n"/>
      <c r="CJ1814" s="204" t="n"/>
      <c r="CK1814" s="208" t="n"/>
      <c r="CL1814" s="208" t="n"/>
      <c r="CM1814" s="208" t="n"/>
      <c r="CN1814" s="78" t="n"/>
      <c r="CO1814" s="209" t="n"/>
      <c r="CP1814" s="204" t="n"/>
      <c r="CQ1814" s="204" t="n"/>
      <c r="CR1814" s="204" t="n"/>
      <c r="CS1814" s="204" t="n"/>
      <c r="CT1814" s="204" t="n"/>
      <c r="CU1814" s="204" t="n"/>
      <c r="CV1814" s="204" t="n"/>
      <c r="CW1814" s="204" t="n"/>
    </row>
    <row r="1815">
      <c r="BF1815" s="78" t="n"/>
      <c r="BG1815" s="78" t="n"/>
      <c r="BH1815" s="78" t="n"/>
      <c r="BI1815" s="78" t="n"/>
      <c r="BJ1815" s="139" t="n"/>
      <c r="BK1815" s="204" t="n"/>
      <c r="BL1815" s="141" t="n"/>
      <c r="BM1815" s="205" t="n"/>
      <c r="BN1815" s="205" t="n"/>
      <c r="BO1815" s="206" t="n"/>
      <c r="BP1815" s="144" t="n"/>
      <c r="BQ1815" s="141" t="n"/>
      <c r="BR1815" s="207" t="n"/>
      <c r="BS1815" s="207" t="n"/>
      <c r="BT1815" s="207" t="n"/>
      <c r="BU1815" s="207" t="n"/>
      <c r="BV1815" s="208" t="n"/>
      <c r="BW1815" s="207" t="n"/>
      <c r="BX1815" s="207" t="n"/>
      <c r="BY1815" s="204" t="n"/>
      <c r="BZ1815" s="148" t="n"/>
      <c r="CA1815" s="204" t="n"/>
      <c r="CB1815" s="208" t="n"/>
      <c r="CC1815" s="139" t="n"/>
      <c r="CD1815" s="204" t="n"/>
      <c r="CE1815" s="204" t="n"/>
      <c r="CF1815" s="207" t="n"/>
      <c r="CG1815" s="208" t="n"/>
      <c r="CH1815" s="207" t="n"/>
      <c r="CI1815" s="208" t="n"/>
      <c r="CJ1815" s="204" t="n"/>
      <c r="CK1815" s="208" t="n"/>
      <c r="CL1815" s="208" t="n"/>
      <c r="CM1815" s="208" t="n"/>
      <c r="CN1815" s="78" t="n"/>
      <c r="CO1815" s="209" t="n"/>
      <c r="CP1815" s="204" t="n"/>
      <c r="CQ1815" s="204" t="n"/>
      <c r="CR1815" s="204" t="n"/>
      <c r="CS1815" s="204" t="n"/>
      <c r="CT1815" s="204" t="n"/>
      <c r="CU1815" s="204" t="n"/>
      <c r="CV1815" s="204" t="n"/>
      <c r="CW1815" s="204" t="n"/>
    </row>
    <row r="1816">
      <c r="BF1816" s="78" t="n"/>
      <c r="BG1816" s="78" t="n"/>
      <c r="BH1816" s="78" t="n"/>
      <c r="BI1816" s="78" t="n"/>
      <c r="BJ1816" s="139" t="n"/>
      <c r="BK1816" s="204" t="n"/>
      <c r="BL1816" s="141" t="n"/>
      <c r="BM1816" s="205" t="n"/>
      <c r="BN1816" s="205" t="n"/>
      <c r="BO1816" s="206" t="n"/>
      <c r="BP1816" s="144" t="n"/>
      <c r="BQ1816" s="141" t="n"/>
      <c r="BR1816" s="207" t="n"/>
      <c r="BS1816" s="207" t="n"/>
      <c r="BT1816" s="207" t="n"/>
      <c r="BU1816" s="207" t="n"/>
      <c r="BV1816" s="208" t="n"/>
      <c r="BW1816" s="207" t="n"/>
      <c r="BX1816" s="207" t="n"/>
      <c r="BY1816" s="204" t="n"/>
      <c r="BZ1816" s="148" t="n"/>
      <c r="CA1816" s="204" t="n"/>
      <c r="CB1816" s="208" t="n"/>
      <c r="CC1816" s="139" t="n"/>
      <c r="CD1816" s="204" t="n"/>
      <c r="CE1816" s="204" t="n"/>
      <c r="CF1816" s="207" t="n"/>
      <c r="CG1816" s="208" t="n"/>
      <c r="CH1816" s="207" t="n"/>
      <c r="CI1816" s="208" t="n"/>
      <c r="CJ1816" s="204" t="n"/>
      <c r="CK1816" s="208" t="n"/>
      <c r="CL1816" s="208" t="n"/>
      <c r="CM1816" s="208" t="n"/>
      <c r="CN1816" s="78" t="n"/>
      <c r="CO1816" s="209" t="n"/>
      <c r="CP1816" s="204" t="n"/>
      <c r="CQ1816" s="204" t="n"/>
      <c r="CR1816" s="204" t="n"/>
      <c r="CS1816" s="204" t="n"/>
      <c r="CT1816" s="204" t="n"/>
      <c r="CU1816" s="204" t="n"/>
      <c r="CV1816" s="204" t="n"/>
      <c r="CW1816" s="204" t="n"/>
    </row>
    <row r="1817">
      <c r="BF1817" s="78" t="n"/>
      <c r="BG1817" s="78" t="n"/>
      <c r="BH1817" s="78" t="n"/>
      <c r="BI1817" s="78" t="n"/>
      <c r="BJ1817" s="139" t="n"/>
      <c r="BK1817" s="204" t="n"/>
      <c r="BL1817" s="141" t="n"/>
      <c r="BM1817" s="205" t="n"/>
      <c r="BN1817" s="205" t="n"/>
      <c r="BO1817" s="206" t="n"/>
      <c r="BP1817" s="144" t="n"/>
      <c r="BQ1817" s="141" t="n"/>
      <c r="BR1817" s="207" t="n"/>
      <c r="BS1817" s="207" t="n"/>
      <c r="BT1817" s="207" t="n"/>
      <c r="BU1817" s="207" t="n"/>
      <c r="BV1817" s="208" t="n"/>
      <c r="BW1817" s="207" t="n"/>
      <c r="BX1817" s="207" t="n"/>
      <c r="BY1817" s="204" t="n"/>
      <c r="BZ1817" s="148" t="n"/>
      <c r="CA1817" s="204" t="n"/>
      <c r="CB1817" s="208" t="n"/>
      <c r="CC1817" s="139" t="n"/>
      <c r="CD1817" s="204" t="n"/>
      <c r="CE1817" s="204" t="n"/>
      <c r="CF1817" s="207" t="n"/>
      <c r="CG1817" s="208" t="n"/>
      <c r="CH1817" s="207" t="n"/>
      <c r="CI1817" s="208" t="n"/>
      <c r="CJ1817" s="204" t="n"/>
      <c r="CK1817" s="208" t="n"/>
      <c r="CL1817" s="208" t="n"/>
      <c r="CM1817" s="208" t="n"/>
      <c r="CN1817" s="78" t="n"/>
      <c r="CO1817" s="209" t="n"/>
      <c r="CP1817" s="204" t="n"/>
      <c r="CQ1817" s="204" t="n"/>
      <c r="CR1817" s="204" t="n"/>
      <c r="CS1817" s="204" t="n"/>
      <c r="CT1817" s="204" t="n"/>
      <c r="CU1817" s="204" t="n"/>
      <c r="CV1817" s="204" t="n"/>
      <c r="CW1817" s="204" t="n"/>
    </row>
    <row r="1818">
      <c r="BF1818" s="78" t="n"/>
      <c r="BG1818" s="78" t="n"/>
      <c r="BH1818" s="78" t="n"/>
      <c r="BI1818" s="78" t="n"/>
      <c r="BJ1818" s="139" t="n"/>
      <c r="BK1818" s="204" t="n"/>
      <c r="BL1818" s="141" t="n"/>
      <c r="BM1818" s="205" t="n"/>
      <c r="BN1818" s="205" t="n"/>
      <c r="BO1818" s="206" t="n"/>
      <c r="BP1818" s="144" t="n"/>
      <c r="BQ1818" s="141" t="n"/>
      <c r="BR1818" s="207" t="n"/>
      <c r="BS1818" s="207" t="n"/>
      <c r="BT1818" s="207" t="n"/>
      <c r="BU1818" s="207" t="n"/>
      <c r="BV1818" s="208" t="n"/>
      <c r="BW1818" s="207" t="n"/>
      <c r="BX1818" s="207" t="n"/>
      <c r="BY1818" s="204" t="n"/>
      <c r="BZ1818" s="148" t="n"/>
      <c r="CA1818" s="204" t="n"/>
      <c r="CB1818" s="208" t="n"/>
      <c r="CC1818" s="139" t="n"/>
      <c r="CD1818" s="204" t="n"/>
      <c r="CE1818" s="204" t="n"/>
      <c r="CF1818" s="207" t="n"/>
      <c r="CG1818" s="208" t="n"/>
      <c r="CH1818" s="207" t="n"/>
      <c r="CI1818" s="208" t="n"/>
      <c r="CJ1818" s="204" t="n"/>
      <c r="CK1818" s="208" t="n"/>
      <c r="CL1818" s="208" t="n"/>
      <c r="CM1818" s="208" t="n"/>
      <c r="CN1818" s="78" t="n"/>
      <c r="CO1818" s="209" t="n"/>
      <c r="CP1818" s="204" t="n"/>
      <c r="CQ1818" s="204" t="n"/>
      <c r="CR1818" s="204" t="n"/>
      <c r="CS1818" s="204" t="n"/>
      <c r="CT1818" s="204" t="n"/>
      <c r="CU1818" s="204" t="n"/>
      <c r="CV1818" s="204" t="n"/>
      <c r="CW1818" s="204" t="n"/>
    </row>
    <row r="1819">
      <c r="BF1819" s="78" t="n"/>
      <c r="BG1819" s="78" t="n"/>
      <c r="BH1819" s="78" t="n"/>
      <c r="BI1819" s="78" t="n"/>
      <c r="BJ1819" s="139" t="n"/>
      <c r="BK1819" s="204" t="n"/>
      <c r="BL1819" s="141" t="n"/>
      <c r="BM1819" s="205" t="n"/>
      <c r="BN1819" s="205" t="n"/>
      <c r="BO1819" s="206" t="n"/>
      <c r="BP1819" s="144" t="n"/>
      <c r="BQ1819" s="141" t="n"/>
      <c r="BR1819" s="207" t="n"/>
      <c r="BS1819" s="207" t="n"/>
      <c r="BT1819" s="207" t="n"/>
      <c r="BU1819" s="207" t="n"/>
      <c r="BV1819" s="208" t="n"/>
      <c r="BW1819" s="207" t="n"/>
      <c r="BX1819" s="207" t="n"/>
      <c r="BY1819" s="204" t="n"/>
      <c r="BZ1819" s="148" t="n"/>
      <c r="CA1819" s="204" t="n"/>
      <c r="CB1819" s="208" t="n"/>
      <c r="CC1819" s="139" t="n"/>
      <c r="CD1819" s="204" t="n"/>
      <c r="CE1819" s="204" t="n"/>
      <c r="CF1819" s="207" t="n"/>
      <c r="CG1819" s="208" t="n"/>
      <c r="CH1819" s="207" t="n"/>
      <c r="CI1819" s="208" t="n"/>
      <c r="CJ1819" s="204" t="n"/>
      <c r="CK1819" s="208" t="n"/>
      <c r="CL1819" s="208" t="n"/>
      <c r="CM1819" s="208" t="n"/>
      <c r="CN1819" s="78" t="n"/>
      <c r="CO1819" s="209" t="n"/>
      <c r="CP1819" s="204" t="n"/>
      <c r="CQ1819" s="204" t="n"/>
      <c r="CR1819" s="204" t="n"/>
      <c r="CS1819" s="204" t="n"/>
      <c r="CT1819" s="204" t="n"/>
      <c r="CU1819" s="204" t="n"/>
      <c r="CV1819" s="204" t="n"/>
      <c r="CW1819" s="204" t="n"/>
    </row>
    <row r="1820">
      <c r="BF1820" s="78" t="n"/>
      <c r="BG1820" s="78" t="n"/>
      <c r="BH1820" s="78" t="n"/>
      <c r="BI1820" s="78" t="n"/>
      <c r="BJ1820" s="139" t="n"/>
      <c r="BK1820" s="204" t="n"/>
      <c r="BL1820" s="141" t="n"/>
      <c r="BM1820" s="205" t="n"/>
      <c r="BN1820" s="205" t="n"/>
      <c r="BO1820" s="206" t="n"/>
      <c r="BP1820" s="144" t="n"/>
      <c r="BQ1820" s="141" t="n"/>
      <c r="BR1820" s="207" t="n"/>
      <c r="BS1820" s="207" t="n"/>
      <c r="BT1820" s="207" t="n"/>
      <c r="BU1820" s="207" t="n"/>
      <c r="BV1820" s="208" t="n"/>
      <c r="BW1820" s="207" t="n"/>
      <c r="BX1820" s="207" t="n"/>
      <c r="BY1820" s="204" t="n"/>
      <c r="BZ1820" s="148" t="n"/>
      <c r="CA1820" s="204" t="n"/>
      <c r="CB1820" s="208" t="n"/>
      <c r="CC1820" s="139" t="n"/>
      <c r="CD1820" s="204" t="n"/>
      <c r="CE1820" s="204" t="n"/>
      <c r="CF1820" s="207" t="n"/>
      <c r="CG1820" s="208" t="n"/>
      <c r="CH1820" s="207" t="n"/>
      <c r="CI1820" s="208" t="n"/>
      <c r="CJ1820" s="204" t="n"/>
      <c r="CK1820" s="208" t="n"/>
      <c r="CL1820" s="208" t="n"/>
      <c r="CM1820" s="208" t="n"/>
      <c r="CN1820" s="78" t="n"/>
      <c r="CO1820" s="209" t="n"/>
      <c r="CP1820" s="204" t="n"/>
      <c r="CQ1820" s="204" t="n"/>
      <c r="CR1820" s="204" t="n"/>
      <c r="CS1820" s="204" t="n"/>
      <c r="CT1820" s="204" t="n"/>
      <c r="CU1820" s="204" t="n"/>
      <c r="CV1820" s="204" t="n"/>
      <c r="CW1820" s="204" t="n"/>
    </row>
    <row r="1821">
      <c r="BF1821" s="78" t="n"/>
      <c r="BG1821" s="78" t="n"/>
      <c r="BH1821" s="78" t="n"/>
      <c r="BI1821" s="78" t="n"/>
      <c r="BJ1821" s="139" t="n"/>
      <c r="BK1821" s="204" t="n"/>
      <c r="BL1821" s="141" t="n"/>
      <c r="BM1821" s="205" t="n"/>
      <c r="BN1821" s="205" t="n"/>
      <c r="BO1821" s="206" t="n"/>
      <c r="BP1821" s="144" t="n"/>
      <c r="BQ1821" s="141" t="n"/>
      <c r="BR1821" s="207" t="n"/>
      <c r="BS1821" s="207" t="n"/>
      <c r="BT1821" s="207" t="n"/>
      <c r="BU1821" s="207" t="n"/>
      <c r="BV1821" s="208" t="n"/>
      <c r="BW1821" s="207" t="n"/>
      <c r="BX1821" s="207" t="n"/>
      <c r="BY1821" s="204" t="n"/>
      <c r="BZ1821" s="148" t="n"/>
      <c r="CA1821" s="204" t="n"/>
      <c r="CB1821" s="208" t="n"/>
      <c r="CC1821" s="139" t="n"/>
      <c r="CD1821" s="204" t="n"/>
      <c r="CE1821" s="204" t="n"/>
      <c r="CF1821" s="207" t="n"/>
      <c r="CG1821" s="208" t="n"/>
      <c r="CH1821" s="207" t="n"/>
      <c r="CI1821" s="208" t="n"/>
      <c r="CJ1821" s="204" t="n"/>
      <c r="CK1821" s="208" t="n"/>
      <c r="CL1821" s="208" t="n"/>
      <c r="CM1821" s="208" t="n"/>
      <c r="CN1821" s="78" t="n"/>
      <c r="CO1821" s="209" t="n"/>
      <c r="CP1821" s="204" t="n"/>
      <c r="CQ1821" s="204" t="n"/>
      <c r="CR1821" s="204" t="n"/>
      <c r="CS1821" s="204" t="n"/>
      <c r="CT1821" s="204" t="n"/>
      <c r="CU1821" s="204" t="n"/>
      <c r="CV1821" s="204" t="n"/>
      <c r="CW1821" s="204" t="n"/>
    </row>
    <row r="1822">
      <c r="BF1822" s="78" t="n"/>
      <c r="BG1822" s="78" t="n"/>
      <c r="BH1822" s="78" t="n"/>
      <c r="BI1822" s="78" t="n"/>
      <c r="BJ1822" s="139" t="n"/>
      <c r="BK1822" s="204" t="n"/>
      <c r="BL1822" s="141" t="n"/>
      <c r="BM1822" s="205" t="n"/>
      <c r="BN1822" s="205" t="n"/>
      <c r="BO1822" s="206" t="n"/>
      <c r="BP1822" s="144" t="n"/>
      <c r="BQ1822" s="141" t="n"/>
      <c r="BR1822" s="207" t="n"/>
      <c r="BS1822" s="207" t="n"/>
      <c r="BT1822" s="207" t="n"/>
      <c r="BU1822" s="207" t="n"/>
      <c r="BV1822" s="208" t="n"/>
      <c r="BW1822" s="207" t="n"/>
      <c r="BX1822" s="207" t="n"/>
      <c r="BY1822" s="204" t="n"/>
      <c r="BZ1822" s="148" t="n"/>
      <c r="CA1822" s="204" t="n"/>
      <c r="CB1822" s="208" t="n"/>
      <c r="CC1822" s="139" t="n"/>
      <c r="CD1822" s="204" t="n"/>
      <c r="CE1822" s="204" t="n"/>
      <c r="CF1822" s="207" t="n"/>
      <c r="CG1822" s="208" t="n"/>
      <c r="CH1822" s="207" t="n"/>
      <c r="CI1822" s="208" t="n"/>
      <c r="CJ1822" s="204" t="n"/>
      <c r="CK1822" s="208" t="n"/>
      <c r="CL1822" s="208" t="n"/>
      <c r="CM1822" s="208" t="n"/>
      <c r="CN1822" s="78" t="n"/>
      <c r="CO1822" s="209" t="n"/>
      <c r="CP1822" s="204" t="n"/>
      <c r="CQ1822" s="204" t="n"/>
      <c r="CR1822" s="204" t="n"/>
      <c r="CS1822" s="204" t="n"/>
      <c r="CT1822" s="204" t="n"/>
      <c r="CU1822" s="204" t="n"/>
      <c r="CV1822" s="204" t="n"/>
      <c r="CW1822" s="204" t="n"/>
    </row>
    <row r="1823">
      <c r="BF1823" s="78" t="n"/>
      <c r="BG1823" s="78" t="n"/>
      <c r="BH1823" s="78" t="n"/>
      <c r="BI1823" s="78" t="n"/>
      <c r="BJ1823" s="139" t="n"/>
      <c r="BK1823" s="204" t="n"/>
      <c r="BL1823" s="141" t="n"/>
      <c r="BM1823" s="205" t="n"/>
      <c r="BN1823" s="205" t="n"/>
      <c r="BO1823" s="206" t="n"/>
      <c r="BP1823" s="144" t="n"/>
      <c r="BQ1823" s="141" t="n"/>
      <c r="BR1823" s="207" t="n"/>
      <c r="BS1823" s="207" t="n"/>
      <c r="BT1823" s="207" t="n"/>
      <c r="BU1823" s="207" t="n"/>
      <c r="BV1823" s="208" t="n"/>
      <c r="BW1823" s="207" t="n"/>
      <c r="BX1823" s="207" t="n"/>
      <c r="BY1823" s="204" t="n"/>
      <c r="BZ1823" s="148" t="n"/>
      <c r="CA1823" s="204" t="n"/>
      <c r="CB1823" s="208" t="n"/>
      <c r="CC1823" s="139" t="n"/>
      <c r="CD1823" s="204" t="n"/>
      <c r="CE1823" s="204" t="n"/>
      <c r="CF1823" s="207" t="n"/>
      <c r="CG1823" s="208" t="n"/>
      <c r="CH1823" s="207" t="n"/>
      <c r="CI1823" s="208" t="n"/>
      <c r="CJ1823" s="204" t="n"/>
      <c r="CK1823" s="208" t="n"/>
      <c r="CL1823" s="208" t="n"/>
      <c r="CM1823" s="208" t="n"/>
      <c r="CN1823" s="78" t="n"/>
      <c r="CO1823" s="209" t="n"/>
      <c r="CP1823" s="204" t="n"/>
      <c r="CQ1823" s="204" t="n"/>
      <c r="CR1823" s="204" t="n"/>
      <c r="CS1823" s="204" t="n"/>
      <c r="CT1823" s="204" t="n"/>
      <c r="CU1823" s="204" t="n"/>
      <c r="CV1823" s="204" t="n"/>
      <c r="CW1823" s="204" t="n"/>
    </row>
    <row r="1824">
      <c r="BF1824" s="78" t="n"/>
      <c r="BG1824" s="78" t="n"/>
      <c r="BH1824" s="78" t="n"/>
      <c r="BI1824" s="78" t="n"/>
      <c r="BJ1824" s="139" t="n"/>
      <c r="BK1824" s="204" t="n"/>
      <c r="BL1824" s="141" t="n"/>
      <c r="BM1824" s="205" t="n"/>
      <c r="BN1824" s="205" t="n"/>
      <c r="BO1824" s="206" t="n"/>
      <c r="BP1824" s="144" t="n"/>
      <c r="BQ1824" s="141" t="n"/>
      <c r="BR1824" s="207" t="n"/>
      <c r="BS1824" s="207" t="n"/>
      <c r="BT1824" s="207" t="n"/>
      <c r="BU1824" s="207" t="n"/>
      <c r="BV1824" s="208" t="n"/>
      <c r="BW1824" s="207" t="n"/>
      <c r="BX1824" s="207" t="n"/>
      <c r="BY1824" s="204" t="n"/>
      <c r="BZ1824" s="148" t="n"/>
      <c r="CA1824" s="204" t="n"/>
      <c r="CB1824" s="208" t="n"/>
      <c r="CC1824" s="139" t="n"/>
      <c r="CD1824" s="204" t="n"/>
      <c r="CE1824" s="204" t="n"/>
      <c r="CF1824" s="207" t="n"/>
      <c r="CG1824" s="208" t="n"/>
      <c r="CH1824" s="207" t="n"/>
      <c r="CI1824" s="208" t="n"/>
      <c r="CJ1824" s="204" t="n"/>
      <c r="CK1824" s="208" t="n"/>
      <c r="CL1824" s="208" t="n"/>
      <c r="CM1824" s="208" t="n"/>
      <c r="CN1824" s="78" t="n"/>
      <c r="CO1824" s="209" t="n"/>
      <c r="CP1824" s="204" t="n"/>
      <c r="CQ1824" s="204" t="n"/>
      <c r="CR1824" s="204" t="n"/>
      <c r="CS1824" s="204" t="n"/>
      <c r="CT1824" s="204" t="n"/>
      <c r="CU1824" s="204" t="n"/>
      <c r="CV1824" s="204" t="n"/>
      <c r="CW1824" s="204" t="n"/>
    </row>
    <row r="1825">
      <c r="BF1825" s="78" t="n"/>
      <c r="BG1825" s="78" t="n"/>
      <c r="BH1825" s="78" t="n"/>
      <c r="BI1825" s="78" t="n"/>
      <c r="BJ1825" s="139" t="n"/>
      <c r="BK1825" s="204" t="n"/>
      <c r="BL1825" s="141" t="n"/>
      <c r="BM1825" s="205" t="n"/>
      <c r="BN1825" s="205" t="n"/>
      <c r="BO1825" s="206" t="n"/>
      <c r="BP1825" s="144" t="n"/>
      <c r="BQ1825" s="141" t="n"/>
      <c r="BR1825" s="207" t="n"/>
      <c r="BS1825" s="207" t="n"/>
      <c r="BT1825" s="207" t="n"/>
      <c r="BU1825" s="207" t="n"/>
      <c r="BV1825" s="208" t="n"/>
      <c r="BW1825" s="207" t="n"/>
      <c r="BX1825" s="207" t="n"/>
      <c r="BY1825" s="204" t="n"/>
      <c r="BZ1825" s="148" t="n"/>
      <c r="CA1825" s="204" t="n"/>
      <c r="CB1825" s="208" t="n"/>
      <c r="CC1825" s="139" t="n"/>
      <c r="CD1825" s="204" t="n"/>
      <c r="CE1825" s="204" t="n"/>
      <c r="CF1825" s="207" t="n"/>
      <c r="CG1825" s="208" t="n"/>
      <c r="CH1825" s="207" t="n"/>
      <c r="CI1825" s="208" t="n"/>
      <c r="CJ1825" s="204" t="n"/>
      <c r="CK1825" s="208" t="n"/>
      <c r="CL1825" s="208" t="n"/>
      <c r="CM1825" s="208" t="n"/>
      <c r="CN1825" s="78" t="n"/>
      <c r="CO1825" s="209" t="n"/>
      <c r="CP1825" s="204" t="n"/>
      <c r="CQ1825" s="204" t="n"/>
      <c r="CR1825" s="204" t="n"/>
      <c r="CS1825" s="204" t="n"/>
      <c r="CT1825" s="204" t="n"/>
      <c r="CU1825" s="204" t="n"/>
      <c r="CV1825" s="204" t="n"/>
      <c r="CW1825" s="204" t="n"/>
    </row>
    <row r="1826">
      <c r="BF1826" s="78" t="n"/>
      <c r="BG1826" s="78" t="n"/>
      <c r="BH1826" s="78" t="n"/>
      <c r="BI1826" s="78" t="n"/>
      <c r="BJ1826" s="139" t="n"/>
      <c r="BK1826" s="204" t="n"/>
      <c r="BL1826" s="141" t="n"/>
      <c r="BM1826" s="205" t="n"/>
      <c r="BN1826" s="205" t="n"/>
      <c r="BO1826" s="206" t="n"/>
      <c r="BP1826" s="144" t="n"/>
      <c r="BQ1826" s="141" t="n"/>
      <c r="BR1826" s="207" t="n"/>
      <c r="BS1826" s="207" t="n"/>
      <c r="BT1826" s="207" t="n"/>
      <c r="BU1826" s="207" t="n"/>
      <c r="BV1826" s="208" t="n"/>
      <c r="BW1826" s="207" t="n"/>
      <c r="BX1826" s="207" t="n"/>
      <c r="BY1826" s="204" t="n"/>
      <c r="BZ1826" s="148" t="n"/>
      <c r="CA1826" s="204" t="n"/>
      <c r="CB1826" s="208" t="n"/>
      <c r="CC1826" s="139" t="n"/>
      <c r="CD1826" s="204" t="n"/>
      <c r="CE1826" s="204" t="n"/>
      <c r="CF1826" s="207" t="n"/>
      <c r="CG1826" s="208" t="n"/>
      <c r="CH1826" s="207" t="n"/>
      <c r="CI1826" s="208" t="n"/>
      <c r="CJ1826" s="204" t="n"/>
      <c r="CK1826" s="208" t="n"/>
      <c r="CL1826" s="208" t="n"/>
      <c r="CM1826" s="208" t="n"/>
      <c r="CN1826" s="78" t="n"/>
      <c r="CO1826" s="209" t="n"/>
      <c r="CP1826" s="204" t="n"/>
      <c r="CQ1826" s="204" t="n"/>
      <c r="CR1826" s="204" t="n"/>
      <c r="CS1826" s="204" t="n"/>
      <c r="CT1826" s="204" t="n"/>
      <c r="CU1826" s="204" t="n"/>
      <c r="CV1826" s="204" t="n"/>
      <c r="CW1826" s="204" t="n"/>
    </row>
    <row r="1827">
      <c r="BF1827" s="78" t="n"/>
      <c r="BG1827" s="78" t="n"/>
      <c r="BH1827" s="78" t="n"/>
      <c r="BI1827" s="78" t="n"/>
      <c r="BJ1827" s="139" t="n"/>
      <c r="BK1827" s="204" t="n"/>
      <c r="BL1827" s="141" t="n"/>
      <c r="BM1827" s="205" t="n"/>
      <c r="BN1827" s="205" t="n"/>
      <c r="BO1827" s="206" t="n"/>
      <c r="BP1827" s="144" t="n"/>
      <c r="BQ1827" s="141" t="n"/>
      <c r="BR1827" s="207" t="n"/>
      <c r="BS1827" s="207" t="n"/>
      <c r="BT1827" s="207" t="n"/>
      <c r="BU1827" s="207" t="n"/>
      <c r="BV1827" s="208" t="n"/>
      <c r="BW1827" s="207" t="n"/>
      <c r="BX1827" s="207" t="n"/>
      <c r="BY1827" s="204" t="n"/>
      <c r="BZ1827" s="148" t="n"/>
      <c r="CA1827" s="204" t="n"/>
      <c r="CB1827" s="208" t="n"/>
      <c r="CC1827" s="139" t="n"/>
      <c r="CD1827" s="204" t="n"/>
      <c r="CE1827" s="204" t="n"/>
      <c r="CF1827" s="207" t="n"/>
      <c r="CG1827" s="208" t="n"/>
      <c r="CH1827" s="207" t="n"/>
      <c r="CI1827" s="208" t="n"/>
      <c r="CJ1827" s="204" t="n"/>
      <c r="CK1827" s="208" t="n"/>
      <c r="CL1827" s="208" t="n"/>
      <c r="CM1827" s="208" t="n"/>
      <c r="CN1827" s="78" t="n"/>
      <c r="CO1827" s="209" t="n"/>
      <c r="CP1827" s="204" t="n"/>
      <c r="CQ1827" s="204" t="n"/>
      <c r="CR1827" s="204" t="n"/>
      <c r="CS1827" s="204" t="n"/>
      <c r="CT1827" s="204" t="n"/>
      <c r="CU1827" s="204" t="n"/>
      <c r="CV1827" s="204" t="n"/>
      <c r="CW1827" s="204" t="n"/>
    </row>
    <row r="1828">
      <c r="BF1828" s="78" t="n"/>
      <c r="BG1828" s="78" t="n"/>
      <c r="BH1828" s="78" t="n"/>
      <c r="BI1828" s="78" t="n"/>
      <c r="BJ1828" s="139" t="n"/>
      <c r="BK1828" s="204" t="n"/>
      <c r="BL1828" s="141" t="n"/>
      <c r="BM1828" s="205" t="n"/>
      <c r="BN1828" s="205" t="n"/>
      <c r="BO1828" s="206" t="n"/>
      <c r="BP1828" s="144" t="n"/>
      <c r="BQ1828" s="141" t="n"/>
      <c r="BR1828" s="207" t="n"/>
      <c r="BS1828" s="207" t="n"/>
      <c r="BT1828" s="207" t="n"/>
      <c r="BU1828" s="207" t="n"/>
      <c r="BV1828" s="208" t="n"/>
      <c r="BW1828" s="207" t="n"/>
      <c r="BX1828" s="207" t="n"/>
      <c r="BY1828" s="204" t="n"/>
      <c r="BZ1828" s="148" t="n"/>
      <c r="CA1828" s="204" t="n"/>
      <c r="CB1828" s="208" t="n"/>
      <c r="CC1828" s="139" t="n"/>
      <c r="CD1828" s="204" t="n"/>
      <c r="CE1828" s="204" t="n"/>
      <c r="CF1828" s="207" t="n"/>
      <c r="CG1828" s="208" t="n"/>
      <c r="CH1828" s="207" t="n"/>
      <c r="CI1828" s="208" t="n"/>
      <c r="CJ1828" s="204" t="n"/>
      <c r="CK1828" s="208" t="n"/>
      <c r="CL1828" s="208" t="n"/>
      <c r="CM1828" s="208" t="n"/>
      <c r="CN1828" s="78" t="n"/>
      <c r="CO1828" s="209" t="n"/>
      <c r="CP1828" s="204" t="n"/>
      <c r="CQ1828" s="204" t="n"/>
      <c r="CR1828" s="204" t="n"/>
      <c r="CS1828" s="204" t="n"/>
      <c r="CT1828" s="204" t="n"/>
      <c r="CU1828" s="204" t="n"/>
      <c r="CV1828" s="204" t="n"/>
      <c r="CW1828" s="204" t="n"/>
    </row>
    <row r="1829">
      <c r="BF1829" s="78" t="n"/>
      <c r="BG1829" s="78" t="n"/>
      <c r="BH1829" s="78" t="n"/>
      <c r="BI1829" s="78" t="n"/>
      <c r="BJ1829" s="139" t="n"/>
      <c r="BK1829" s="204" t="n"/>
      <c r="BL1829" s="141" t="n"/>
      <c r="BM1829" s="205" t="n"/>
      <c r="BN1829" s="205" t="n"/>
      <c r="BO1829" s="206" t="n"/>
      <c r="BP1829" s="144" t="n"/>
      <c r="BQ1829" s="141" t="n"/>
      <c r="BR1829" s="207" t="n"/>
      <c r="BS1829" s="207" t="n"/>
      <c r="BT1829" s="207" t="n"/>
      <c r="BU1829" s="207" t="n"/>
      <c r="BV1829" s="208" t="n"/>
      <c r="BW1829" s="207" t="n"/>
      <c r="BX1829" s="207" t="n"/>
      <c r="BY1829" s="204" t="n"/>
      <c r="BZ1829" s="148" t="n"/>
      <c r="CA1829" s="204" t="n"/>
      <c r="CB1829" s="208" t="n"/>
      <c r="CC1829" s="139" t="n"/>
      <c r="CD1829" s="204" t="n"/>
      <c r="CE1829" s="204" t="n"/>
      <c r="CF1829" s="207" t="n"/>
      <c r="CG1829" s="208" t="n"/>
      <c r="CH1829" s="207" t="n"/>
      <c r="CI1829" s="208" t="n"/>
      <c r="CJ1829" s="204" t="n"/>
      <c r="CK1829" s="208" t="n"/>
      <c r="CL1829" s="208" t="n"/>
      <c r="CM1829" s="208" t="n"/>
      <c r="CN1829" s="78" t="n"/>
      <c r="CO1829" s="209" t="n"/>
      <c r="CP1829" s="204" t="n"/>
      <c r="CQ1829" s="204" t="n"/>
      <c r="CR1829" s="204" t="n"/>
      <c r="CS1829" s="204" t="n"/>
      <c r="CT1829" s="204" t="n"/>
      <c r="CU1829" s="204" t="n"/>
      <c r="CV1829" s="204" t="n"/>
      <c r="CW1829" s="204" t="n"/>
    </row>
    <row r="1830">
      <c r="BF1830" s="78" t="n"/>
      <c r="BG1830" s="78" t="n"/>
      <c r="BH1830" s="78" t="n"/>
      <c r="BI1830" s="78" t="n"/>
      <c r="BJ1830" s="139" t="n"/>
      <c r="BK1830" s="204" t="n"/>
      <c r="BL1830" s="141" t="n"/>
      <c r="BM1830" s="205" t="n"/>
      <c r="BN1830" s="205" t="n"/>
      <c r="BO1830" s="206" t="n"/>
      <c r="BP1830" s="144" t="n"/>
      <c r="BQ1830" s="141" t="n"/>
      <c r="BR1830" s="207" t="n"/>
      <c r="BS1830" s="207" t="n"/>
      <c r="BT1830" s="207" t="n"/>
      <c r="BU1830" s="207" t="n"/>
      <c r="BV1830" s="208" t="n"/>
      <c r="BW1830" s="207" t="n"/>
      <c r="BX1830" s="207" t="n"/>
      <c r="BY1830" s="204" t="n"/>
      <c r="BZ1830" s="148" t="n"/>
      <c r="CA1830" s="204" t="n"/>
      <c r="CB1830" s="208" t="n"/>
      <c r="CC1830" s="139" t="n"/>
      <c r="CD1830" s="204" t="n"/>
      <c r="CE1830" s="204" t="n"/>
      <c r="CF1830" s="207" t="n"/>
      <c r="CG1830" s="208" t="n"/>
      <c r="CH1830" s="207" t="n"/>
      <c r="CI1830" s="208" t="n"/>
      <c r="CJ1830" s="204" t="n"/>
      <c r="CK1830" s="208" t="n"/>
      <c r="CL1830" s="208" t="n"/>
      <c r="CM1830" s="208" t="n"/>
      <c r="CN1830" s="78" t="n"/>
      <c r="CO1830" s="209" t="n"/>
      <c r="CP1830" s="204" t="n"/>
      <c r="CQ1830" s="204" t="n"/>
      <c r="CR1830" s="204" t="n"/>
      <c r="CS1830" s="204" t="n"/>
      <c r="CT1830" s="204" t="n"/>
      <c r="CU1830" s="204" t="n"/>
      <c r="CV1830" s="204" t="n"/>
      <c r="CW1830" s="204" t="n"/>
    </row>
    <row r="1831">
      <c r="BF1831" s="78" t="n"/>
      <c r="BG1831" s="78" t="n"/>
      <c r="BH1831" s="78" t="n"/>
      <c r="BI1831" s="78" t="n"/>
      <c r="BJ1831" s="139" t="n"/>
      <c r="BK1831" s="204" t="n"/>
      <c r="BL1831" s="141" t="n"/>
      <c r="BM1831" s="205" t="n"/>
      <c r="BN1831" s="205" t="n"/>
      <c r="BO1831" s="206" t="n"/>
      <c r="BP1831" s="144" t="n"/>
      <c r="BQ1831" s="141" t="n"/>
      <c r="BR1831" s="207" t="n"/>
      <c r="BS1831" s="207" t="n"/>
      <c r="BT1831" s="207" t="n"/>
      <c r="BU1831" s="207" t="n"/>
      <c r="BV1831" s="208" t="n"/>
      <c r="BW1831" s="207" t="n"/>
      <c r="BX1831" s="207" t="n"/>
      <c r="BY1831" s="204" t="n"/>
      <c r="BZ1831" s="148" t="n"/>
      <c r="CA1831" s="204" t="n"/>
      <c r="CB1831" s="208" t="n"/>
      <c r="CC1831" s="139" t="n"/>
      <c r="CD1831" s="204" t="n"/>
      <c r="CE1831" s="204" t="n"/>
      <c r="CF1831" s="207" t="n"/>
      <c r="CG1831" s="208" t="n"/>
      <c r="CH1831" s="207" t="n"/>
      <c r="CI1831" s="208" t="n"/>
      <c r="CJ1831" s="204" t="n"/>
      <c r="CK1831" s="208" t="n"/>
      <c r="CL1831" s="208" t="n"/>
      <c r="CM1831" s="208" t="n"/>
      <c r="CN1831" s="78" t="n"/>
      <c r="CO1831" s="209" t="n"/>
      <c r="CP1831" s="204" t="n"/>
      <c r="CQ1831" s="204" t="n"/>
      <c r="CR1831" s="204" t="n"/>
      <c r="CS1831" s="204" t="n"/>
      <c r="CT1831" s="204" t="n"/>
      <c r="CU1831" s="204" t="n"/>
      <c r="CV1831" s="204" t="n"/>
      <c r="CW1831" s="204" t="n"/>
    </row>
    <row r="1832">
      <c r="BF1832" s="78" t="n"/>
      <c r="BG1832" s="78" t="n"/>
      <c r="BH1832" s="78" t="n"/>
      <c r="BI1832" s="78" t="n"/>
      <c r="BJ1832" s="139" t="n"/>
      <c r="BK1832" s="204" t="n"/>
      <c r="BL1832" s="141" t="n"/>
      <c r="BM1832" s="205" t="n"/>
      <c r="BN1832" s="205" t="n"/>
      <c r="BO1832" s="206" t="n"/>
      <c r="BP1832" s="144" t="n"/>
      <c r="BQ1832" s="141" t="n"/>
      <c r="BR1832" s="207" t="n"/>
      <c r="BS1832" s="207" t="n"/>
      <c r="BT1832" s="207" t="n"/>
      <c r="BU1832" s="207" t="n"/>
      <c r="BV1832" s="208" t="n"/>
      <c r="BW1832" s="207" t="n"/>
      <c r="BX1832" s="207" t="n"/>
      <c r="BY1832" s="204" t="n"/>
      <c r="BZ1832" s="148" t="n"/>
      <c r="CA1832" s="204" t="n"/>
      <c r="CB1832" s="208" t="n"/>
      <c r="CC1832" s="139" t="n"/>
      <c r="CD1832" s="204" t="n"/>
      <c r="CE1832" s="204" t="n"/>
      <c r="CF1832" s="207" t="n"/>
      <c r="CG1832" s="208" t="n"/>
      <c r="CH1832" s="207" t="n"/>
      <c r="CI1832" s="208" t="n"/>
      <c r="CJ1832" s="204" t="n"/>
      <c r="CK1832" s="208" t="n"/>
      <c r="CL1832" s="208" t="n"/>
      <c r="CM1832" s="208" t="n"/>
      <c r="CN1832" s="78" t="n"/>
      <c r="CO1832" s="209" t="n"/>
      <c r="CP1832" s="204" t="n"/>
      <c r="CQ1832" s="204" t="n"/>
      <c r="CR1832" s="204" t="n"/>
      <c r="CS1832" s="204" t="n"/>
      <c r="CT1832" s="204" t="n"/>
      <c r="CU1832" s="204" t="n"/>
      <c r="CV1832" s="204" t="n"/>
      <c r="CW1832" s="204" t="n"/>
    </row>
    <row r="1833">
      <c r="AR1833" s="151" t="n"/>
      <c r="BF1833" s="78" t="n"/>
      <c r="BG1833" s="78" t="n"/>
      <c r="BH1833" s="78" t="n"/>
      <c r="BI1833" s="78" t="n"/>
      <c r="BJ1833" s="139" t="n"/>
      <c r="BK1833" s="204" t="n"/>
      <c r="BL1833" s="141" t="n"/>
      <c r="BM1833" s="205" t="n"/>
      <c r="BN1833" s="205" t="n"/>
      <c r="BO1833" s="206" t="n"/>
      <c r="BP1833" s="144" t="n"/>
      <c r="BQ1833" s="141" t="n"/>
      <c r="BR1833" s="207" t="n"/>
      <c r="BS1833" s="207" t="n"/>
      <c r="BT1833" s="207" t="n"/>
      <c r="BU1833" s="207" t="n"/>
      <c r="BV1833" s="208" t="n"/>
      <c r="BW1833" s="207" t="n"/>
      <c r="BX1833" s="207" t="n"/>
      <c r="BY1833" s="204" t="n"/>
      <c r="BZ1833" s="148" t="n"/>
      <c r="CA1833" s="204" t="n"/>
      <c r="CB1833" s="208" t="n"/>
      <c r="CC1833" s="139" t="n"/>
      <c r="CD1833" s="204" t="n"/>
      <c r="CE1833" s="204" t="n"/>
      <c r="CF1833" s="207" t="n"/>
      <c r="CG1833" s="208" t="n"/>
      <c r="CH1833" s="207" t="n"/>
      <c r="CI1833" s="208" t="n"/>
      <c r="CJ1833" s="204" t="n"/>
      <c r="CK1833" s="208" t="n"/>
      <c r="CL1833" s="208" t="n"/>
      <c r="CM1833" s="208" t="n"/>
      <c r="CN1833" s="78" t="n"/>
      <c r="CO1833" s="209" t="n"/>
      <c r="CP1833" s="204" t="n"/>
      <c r="CQ1833" s="204" t="n"/>
      <c r="CR1833" s="204" t="n"/>
      <c r="CS1833" s="204" t="n"/>
      <c r="CT1833" s="204" t="n"/>
      <c r="CU1833" s="204" t="n"/>
      <c r="CV1833" s="204" t="n"/>
      <c r="CW1833" s="204" t="n"/>
    </row>
    <row r="1834">
      <c r="AR1834" s="151" t="n"/>
      <c r="BF1834" s="78" t="n"/>
      <c r="BG1834" s="78" t="n"/>
      <c r="BH1834" s="78" t="n"/>
      <c r="BI1834" s="78" t="n"/>
      <c r="BJ1834" s="139" t="n"/>
      <c r="BK1834" s="204" t="n"/>
      <c r="BL1834" s="141" t="n"/>
      <c r="BM1834" s="205" t="n"/>
      <c r="BN1834" s="205" t="n"/>
      <c r="BO1834" s="206" t="n"/>
      <c r="BP1834" s="144" t="n"/>
      <c r="BQ1834" s="141" t="n"/>
      <c r="BR1834" s="207" t="n"/>
      <c r="BS1834" s="207" t="n"/>
      <c r="BT1834" s="207" t="n"/>
      <c r="BU1834" s="207" t="n"/>
      <c r="BV1834" s="208" t="n"/>
      <c r="BW1834" s="207" t="n"/>
      <c r="BX1834" s="207" t="n"/>
      <c r="BY1834" s="204" t="n"/>
      <c r="BZ1834" s="148" t="n"/>
      <c r="CA1834" s="204" t="n"/>
      <c r="CB1834" s="208" t="n"/>
      <c r="CC1834" s="139" t="n"/>
      <c r="CD1834" s="204" t="n"/>
      <c r="CE1834" s="204" t="n"/>
      <c r="CF1834" s="207" t="n"/>
      <c r="CG1834" s="208" t="n"/>
      <c r="CH1834" s="207" t="n"/>
      <c r="CI1834" s="208" t="n"/>
      <c r="CJ1834" s="204" t="n"/>
      <c r="CK1834" s="208" t="n"/>
      <c r="CL1834" s="208" t="n"/>
      <c r="CM1834" s="208" t="n"/>
      <c r="CN1834" s="78" t="n"/>
      <c r="CO1834" s="209" t="n"/>
      <c r="CP1834" s="204" t="n"/>
      <c r="CQ1834" s="204" t="n"/>
      <c r="CR1834" s="204" t="n"/>
      <c r="CS1834" s="204" t="n"/>
      <c r="CT1834" s="204" t="n"/>
      <c r="CU1834" s="204" t="n"/>
      <c r="CV1834" s="204" t="n"/>
      <c r="CW1834" s="204" t="n"/>
    </row>
    <row r="1835">
      <c r="BF1835" s="78" t="n"/>
      <c r="BG1835" s="78" t="n"/>
      <c r="BH1835" s="78" t="n"/>
      <c r="BI1835" s="78" t="n"/>
      <c r="BJ1835" s="139" t="n"/>
      <c r="BK1835" s="204" t="n"/>
      <c r="BL1835" s="141" t="n"/>
      <c r="BM1835" s="205" t="n"/>
      <c r="BN1835" s="205" t="n"/>
      <c r="BO1835" s="206" t="n"/>
      <c r="BP1835" s="144" t="n"/>
      <c r="BQ1835" s="141" t="n"/>
      <c r="BR1835" s="207" t="n"/>
      <c r="BS1835" s="207" t="n"/>
      <c r="BT1835" s="207" t="n"/>
      <c r="BU1835" s="207" t="n"/>
      <c r="BV1835" s="208" t="n"/>
      <c r="BW1835" s="207" t="n"/>
      <c r="BX1835" s="207" t="n"/>
      <c r="BY1835" s="204" t="n"/>
      <c r="BZ1835" s="148" t="n"/>
      <c r="CA1835" s="204" t="n"/>
      <c r="CB1835" s="208" t="n"/>
      <c r="CC1835" s="139" t="n"/>
      <c r="CD1835" s="204" t="n"/>
      <c r="CE1835" s="204" t="n"/>
      <c r="CF1835" s="207" t="n"/>
      <c r="CG1835" s="208" t="n"/>
      <c r="CH1835" s="207" t="n"/>
      <c r="CI1835" s="208" t="n"/>
      <c r="CJ1835" s="204" t="n"/>
      <c r="CK1835" s="208" t="n"/>
      <c r="CL1835" s="208" t="n"/>
      <c r="CM1835" s="208" t="n"/>
      <c r="CN1835" s="78" t="n"/>
      <c r="CO1835" s="209" t="n"/>
      <c r="CP1835" s="204" t="n"/>
      <c r="CQ1835" s="204" t="n"/>
      <c r="CR1835" s="204" t="n"/>
      <c r="CS1835" s="204" t="n"/>
      <c r="CT1835" s="204" t="n"/>
      <c r="CU1835" s="204" t="n"/>
      <c r="CV1835" s="204" t="n"/>
      <c r="CW1835" s="204" t="n"/>
    </row>
    <row r="1836">
      <c r="BF1836" s="78" t="n"/>
      <c r="BG1836" s="78" t="n"/>
      <c r="BH1836" s="78" t="n"/>
      <c r="BI1836" s="78" t="n"/>
      <c r="BJ1836" s="139" t="n"/>
      <c r="BK1836" s="204" t="n"/>
      <c r="BL1836" s="141" t="n"/>
      <c r="BM1836" s="205" t="n"/>
      <c r="BN1836" s="205" t="n"/>
      <c r="BO1836" s="206" t="n"/>
      <c r="BP1836" s="144" t="n"/>
      <c r="BQ1836" s="141" t="n"/>
      <c r="BR1836" s="207" t="n"/>
      <c r="BS1836" s="207" t="n"/>
      <c r="BT1836" s="207" t="n"/>
      <c r="BU1836" s="207" t="n"/>
      <c r="BV1836" s="208" t="n"/>
      <c r="BW1836" s="207" t="n"/>
      <c r="BX1836" s="207" t="n"/>
      <c r="BY1836" s="204" t="n"/>
      <c r="BZ1836" s="148" t="n"/>
      <c r="CA1836" s="204" t="n"/>
      <c r="CB1836" s="208" t="n"/>
      <c r="CC1836" s="139" t="n"/>
      <c r="CD1836" s="204" t="n"/>
      <c r="CE1836" s="204" t="n"/>
      <c r="CF1836" s="207" t="n"/>
      <c r="CG1836" s="208" t="n"/>
      <c r="CH1836" s="207" t="n"/>
      <c r="CI1836" s="208" t="n"/>
      <c r="CJ1836" s="204" t="n"/>
      <c r="CK1836" s="208" t="n"/>
      <c r="CL1836" s="208" t="n"/>
      <c r="CM1836" s="208" t="n"/>
      <c r="CN1836" s="78" t="n"/>
      <c r="CO1836" s="209" t="n"/>
      <c r="CP1836" s="204" t="n"/>
      <c r="CQ1836" s="204" t="n"/>
      <c r="CR1836" s="204" t="n"/>
      <c r="CS1836" s="204" t="n"/>
      <c r="CT1836" s="204" t="n"/>
      <c r="CU1836" s="204" t="n"/>
      <c r="CV1836" s="204" t="n"/>
      <c r="CW1836" s="204" t="n"/>
    </row>
    <row r="1837">
      <c r="BF1837" s="78" t="n"/>
      <c r="BG1837" s="78" t="n"/>
      <c r="BH1837" s="78" t="n"/>
      <c r="BI1837" s="78" t="n"/>
      <c r="BJ1837" s="139" t="n"/>
      <c r="BK1837" s="204" t="n"/>
      <c r="BL1837" s="141" t="n"/>
      <c r="BM1837" s="205" t="n"/>
      <c r="BN1837" s="205" t="n"/>
      <c r="BO1837" s="206" t="n"/>
      <c r="BP1837" s="144" t="n"/>
      <c r="BQ1837" s="141" t="n"/>
      <c r="BR1837" s="207" t="n"/>
      <c r="BS1837" s="207" t="n"/>
      <c r="BT1837" s="207" t="n"/>
      <c r="BU1837" s="207" t="n"/>
      <c r="BV1837" s="208" t="n"/>
      <c r="BW1837" s="207" t="n"/>
      <c r="BX1837" s="207" t="n"/>
      <c r="BY1837" s="204" t="n"/>
      <c r="BZ1837" s="148" t="n"/>
      <c r="CA1837" s="204" t="n"/>
      <c r="CB1837" s="208" t="n"/>
      <c r="CC1837" s="139" t="n"/>
      <c r="CD1837" s="204" t="n"/>
      <c r="CE1837" s="204" t="n"/>
      <c r="CF1837" s="207" t="n"/>
      <c r="CG1837" s="208" t="n"/>
      <c r="CH1837" s="207" t="n"/>
      <c r="CI1837" s="208" t="n"/>
      <c r="CJ1837" s="204" t="n"/>
      <c r="CK1837" s="208" t="n"/>
      <c r="CL1837" s="208" t="n"/>
      <c r="CM1837" s="208" t="n"/>
      <c r="CN1837" s="78" t="n"/>
      <c r="CO1837" s="209" t="n"/>
      <c r="CP1837" s="204" t="n"/>
      <c r="CQ1837" s="204" t="n"/>
      <c r="CR1837" s="204" t="n"/>
      <c r="CS1837" s="204" t="n"/>
      <c r="CT1837" s="204" t="n"/>
      <c r="CU1837" s="204" t="n"/>
      <c r="CV1837" s="204" t="n"/>
      <c r="CW1837" s="204" t="n"/>
    </row>
    <row r="1838">
      <c r="BF1838" s="78" t="n"/>
      <c r="BG1838" s="78" t="n"/>
      <c r="BH1838" s="78" t="n"/>
      <c r="BI1838" s="78" t="n"/>
      <c r="BJ1838" s="139" t="n"/>
      <c r="BK1838" s="204" t="n"/>
      <c r="BL1838" s="141" t="n"/>
      <c r="BM1838" s="205" t="n"/>
      <c r="BN1838" s="205" t="n"/>
      <c r="BO1838" s="206" t="n"/>
      <c r="BP1838" s="144" t="n"/>
      <c r="BQ1838" s="141" t="n"/>
      <c r="BR1838" s="207" t="n"/>
      <c r="BS1838" s="207" t="n"/>
      <c r="BT1838" s="207" t="n"/>
      <c r="BU1838" s="207" t="n"/>
      <c r="BV1838" s="208" t="n"/>
      <c r="BW1838" s="207" t="n"/>
      <c r="BX1838" s="207" t="n"/>
      <c r="BY1838" s="204" t="n"/>
      <c r="BZ1838" s="148" t="n"/>
      <c r="CA1838" s="204" t="n"/>
      <c r="CB1838" s="208" t="n"/>
      <c r="CC1838" s="139" t="n"/>
      <c r="CD1838" s="204" t="n"/>
      <c r="CE1838" s="204" t="n"/>
      <c r="CF1838" s="207" t="n"/>
      <c r="CG1838" s="208" t="n"/>
      <c r="CH1838" s="207" t="n"/>
      <c r="CI1838" s="208" t="n"/>
      <c r="CJ1838" s="204" t="n"/>
      <c r="CK1838" s="208" t="n"/>
      <c r="CL1838" s="208" t="n"/>
      <c r="CM1838" s="208" t="n"/>
      <c r="CN1838" s="78" t="n"/>
      <c r="CO1838" s="209" t="n"/>
      <c r="CP1838" s="204" t="n"/>
      <c r="CQ1838" s="204" t="n"/>
      <c r="CR1838" s="204" t="n"/>
      <c r="CS1838" s="204" t="n"/>
      <c r="CT1838" s="204" t="n"/>
      <c r="CU1838" s="204" t="n"/>
      <c r="CV1838" s="204" t="n"/>
      <c r="CW1838" s="204" t="n"/>
    </row>
    <row r="1839">
      <c r="BF1839" s="78" t="n"/>
      <c r="BG1839" s="78" t="n"/>
      <c r="BH1839" s="78" t="n"/>
      <c r="BI1839" s="78" t="n"/>
      <c r="BJ1839" s="139" t="n"/>
      <c r="BK1839" s="204" t="n"/>
      <c r="BL1839" s="141" t="n"/>
      <c r="BM1839" s="205" t="n"/>
      <c r="BN1839" s="205" t="n"/>
      <c r="BO1839" s="206" t="n"/>
      <c r="BP1839" s="144" t="n"/>
      <c r="BQ1839" s="141" t="n"/>
      <c r="BR1839" s="207" t="n"/>
      <c r="BS1839" s="207" t="n"/>
      <c r="BT1839" s="207" t="n"/>
      <c r="BU1839" s="207" t="n"/>
      <c r="BV1839" s="208" t="n"/>
      <c r="BW1839" s="207" t="n"/>
      <c r="BX1839" s="207" t="n"/>
      <c r="BY1839" s="204" t="n"/>
      <c r="BZ1839" s="148" t="n"/>
      <c r="CA1839" s="204" t="n"/>
      <c r="CB1839" s="208" t="n"/>
      <c r="CC1839" s="139" t="n"/>
      <c r="CD1839" s="204" t="n"/>
      <c r="CE1839" s="204" t="n"/>
      <c r="CF1839" s="207" t="n"/>
      <c r="CG1839" s="208" t="n"/>
      <c r="CH1839" s="207" t="n"/>
      <c r="CI1839" s="208" t="n"/>
      <c r="CJ1839" s="204" t="n"/>
      <c r="CK1839" s="208" t="n"/>
      <c r="CL1839" s="208" t="n"/>
      <c r="CM1839" s="208" t="n"/>
      <c r="CN1839" s="78" t="n"/>
      <c r="CO1839" s="209" t="n"/>
      <c r="CP1839" s="204" t="n"/>
      <c r="CQ1839" s="204" t="n"/>
      <c r="CR1839" s="204" t="n"/>
      <c r="CS1839" s="204" t="n"/>
      <c r="CT1839" s="204" t="n"/>
      <c r="CU1839" s="204" t="n"/>
      <c r="CV1839" s="204" t="n"/>
      <c r="CW1839" s="204" t="n"/>
    </row>
    <row r="1840">
      <c r="BF1840" s="78" t="n"/>
      <c r="BG1840" s="78" t="n"/>
      <c r="BH1840" s="78" t="n"/>
      <c r="BI1840" s="78" t="n"/>
      <c r="BJ1840" s="139" t="n"/>
      <c r="BK1840" s="204" t="n"/>
      <c r="BL1840" s="141" t="n"/>
      <c r="BM1840" s="205" t="n"/>
      <c r="BN1840" s="205" t="n"/>
      <c r="BO1840" s="206" t="n"/>
      <c r="BP1840" s="144" t="n"/>
      <c r="BQ1840" s="141" t="n"/>
      <c r="BR1840" s="207" t="n"/>
      <c r="BS1840" s="207" t="n"/>
      <c r="BT1840" s="207" t="n"/>
      <c r="BU1840" s="207" t="n"/>
      <c r="BV1840" s="208" t="n"/>
      <c r="BW1840" s="207" t="n"/>
      <c r="BX1840" s="207" t="n"/>
      <c r="BY1840" s="204" t="n"/>
      <c r="BZ1840" s="148" t="n"/>
      <c r="CA1840" s="204" t="n"/>
      <c r="CB1840" s="208" t="n"/>
      <c r="CC1840" s="139" t="n"/>
      <c r="CD1840" s="204" t="n"/>
      <c r="CE1840" s="204" t="n"/>
      <c r="CF1840" s="207" t="n"/>
      <c r="CG1840" s="208" t="n"/>
      <c r="CH1840" s="207" t="n"/>
      <c r="CI1840" s="208" t="n"/>
      <c r="CJ1840" s="204" t="n"/>
      <c r="CK1840" s="208" t="n"/>
      <c r="CL1840" s="208" t="n"/>
      <c r="CM1840" s="208" t="n"/>
      <c r="CN1840" s="78" t="n"/>
      <c r="CO1840" s="209" t="n"/>
      <c r="CP1840" s="204" t="n"/>
      <c r="CQ1840" s="204" t="n"/>
      <c r="CR1840" s="204" t="n"/>
      <c r="CS1840" s="204" t="n"/>
      <c r="CT1840" s="204" t="n"/>
      <c r="CU1840" s="204" t="n"/>
      <c r="CV1840" s="204" t="n"/>
      <c r="CW1840" s="204" t="n"/>
    </row>
    <row r="1841">
      <c r="AR1841" s="151" t="n"/>
      <c r="BF1841" s="78" t="n"/>
      <c r="BG1841" s="78" t="n"/>
      <c r="BH1841" s="78" t="n"/>
      <c r="BI1841" s="78" t="n"/>
      <c r="BJ1841" s="139" t="n"/>
      <c r="BK1841" s="204" t="n"/>
      <c r="BL1841" s="141" t="n"/>
      <c r="BM1841" s="205" t="n"/>
      <c r="BN1841" s="205" t="n"/>
      <c r="BO1841" s="206" t="n"/>
      <c r="BP1841" s="144" t="n"/>
      <c r="BQ1841" s="141" t="n"/>
      <c r="BR1841" s="207" t="n"/>
      <c r="BS1841" s="207" t="n"/>
      <c r="BT1841" s="207" t="n"/>
      <c r="BU1841" s="207" t="n"/>
      <c r="BV1841" s="208" t="n"/>
      <c r="BW1841" s="207" t="n"/>
      <c r="BX1841" s="207" t="n"/>
      <c r="BY1841" s="204" t="n"/>
      <c r="BZ1841" s="148" t="n"/>
      <c r="CA1841" s="204" t="n"/>
      <c r="CB1841" s="208" t="n"/>
      <c r="CC1841" s="139" t="n"/>
      <c r="CD1841" s="204" t="n"/>
      <c r="CE1841" s="204" t="n"/>
      <c r="CF1841" s="207" t="n"/>
      <c r="CG1841" s="208" t="n"/>
      <c r="CH1841" s="207" t="n"/>
      <c r="CI1841" s="208" t="n"/>
      <c r="CJ1841" s="204" t="n"/>
      <c r="CK1841" s="208" t="n"/>
      <c r="CL1841" s="208" t="n"/>
      <c r="CM1841" s="208" t="n"/>
      <c r="CN1841" s="78" t="n"/>
      <c r="CO1841" s="209" t="n"/>
      <c r="CP1841" s="204" t="n"/>
      <c r="CQ1841" s="204" t="n"/>
      <c r="CR1841" s="204" t="n"/>
      <c r="CS1841" s="204" t="n"/>
      <c r="CT1841" s="204" t="n"/>
      <c r="CU1841" s="204" t="n"/>
      <c r="CV1841" s="204" t="n"/>
      <c r="CW1841" s="204" t="n"/>
    </row>
    <row r="1842">
      <c r="AR1842" s="151" t="n"/>
      <c r="BF1842" s="78" t="n"/>
      <c r="BG1842" s="78" t="n"/>
      <c r="BH1842" s="78" t="n"/>
      <c r="BI1842" s="78" t="n"/>
      <c r="BJ1842" s="139" t="n"/>
      <c r="BK1842" s="204" t="n"/>
      <c r="BL1842" s="141" t="n"/>
      <c r="BM1842" s="205" t="n"/>
      <c r="BN1842" s="205" t="n"/>
      <c r="BO1842" s="206" t="n"/>
      <c r="BP1842" s="144" t="n"/>
      <c r="BQ1842" s="141" t="n"/>
      <c r="BR1842" s="207" t="n"/>
      <c r="BS1842" s="207" t="n"/>
      <c r="BT1842" s="207" t="n"/>
      <c r="BU1842" s="207" t="n"/>
      <c r="BV1842" s="208" t="n"/>
      <c r="BW1842" s="207" t="n"/>
      <c r="BX1842" s="207" t="n"/>
      <c r="BY1842" s="204" t="n"/>
      <c r="BZ1842" s="148" t="n"/>
      <c r="CA1842" s="204" t="n"/>
      <c r="CB1842" s="208" t="n"/>
      <c r="CC1842" s="139" t="n"/>
      <c r="CD1842" s="204" t="n"/>
      <c r="CE1842" s="204" t="n"/>
      <c r="CF1842" s="207" t="n"/>
      <c r="CG1842" s="208" t="n"/>
      <c r="CH1842" s="207" t="n"/>
      <c r="CI1842" s="208" t="n"/>
      <c r="CJ1842" s="204" t="n"/>
      <c r="CK1842" s="208" t="n"/>
      <c r="CL1842" s="208" t="n"/>
      <c r="CM1842" s="208" t="n"/>
      <c r="CN1842" s="78" t="n"/>
      <c r="CO1842" s="209" t="n"/>
      <c r="CP1842" s="204" t="n"/>
      <c r="CQ1842" s="204" t="n"/>
      <c r="CR1842" s="204" t="n"/>
      <c r="CS1842" s="204" t="n"/>
      <c r="CT1842" s="204" t="n"/>
      <c r="CU1842" s="204" t="n"/>
      <c r="CV1842" s="204" t="n"/>
      <c r="CW1842" s="204" t="n"/>
    </row>
    <row r="1843">
      <c r="AR1843" s="151" t="n"/>
      <c r="BF1843" s="78" t="n"/>
      <c r="BG1843" s="78" t="n"/>
      <c r="BH1843" s="78" t="n"/>
      <c r="BI1843" s="78" t="n"/>
      <c r="BJ1843" s="139" t="n"/>
      <c r="BK1843" s="204" t="n"/>
      <c r="BL1843" s="141" t="n"/>
      <c r="BM1843" s="205" t="n"/>
      <c r="BN1843" s="205" t="n"/>
      <c r="BO1843" s="206" t="n"/>
      <c r="BP1843" s="144" t="n"/>
      <c r="BQ1843" s="141" t="n"/>
      <c r="BR1843" s="207" t="n"/>
      <c r="BS1843" s="207" t="n"/>
      <c r="BT1843" s="207" t="n"/>
      <c r="BU1843" s="207" t="n"/>
      <c r="BV1843" s="208" t="n"/>
      <c r="BW1843" s="207" t="n"/>
      <c r="BX1843" s="207" t="n"/>
      <c r="BY1843" s="204" t="n"/>
      <c r="BZ1843" s="148" t="n"/>
      <c r="CA1843" s="204" t="n"/>
      <c r="CB1843" s="208" t="n"/>
      <c r="CC1843" s="139" t="n"/>
      <c r="CD1843" s="204" t="n"/>
      <c r="CE1843" s="204" t="n"/>
      <c r="CF1843" s="207" t="n"/>
      <c r="CG1843" s="208" t="n"/>
      <c r="CH1843" s="207" t="n"/>
      <c r="CI1843" s="208" t="n"/>
      <c r="CJ1843" s="204" t="n"/>
      <c r="CK1843" s="208" t="n"/>
      <c r="CL1843" s="208" t="n"/>
      <c r="CM1843" s="208" t="n"/>
      <c r="CN1843" s="78" t="n"/>
      <c r="CO1843" s="209" t="n"/>
      <c r="CP1843" s="204" t="n"/>
      <c r="CQ1843" s="204" t="n"/>
      <c r="CR1843" s="204" t="n"/>
      <c r="CS1843" s="204" t="n"/>
      <c r="CT1843" s="204" t="n"/>
      <c r="CU1843" s="204" t="n"/>
      <c r="CV1843" s="204" t="n"/>
      <c r="CW1843" s="204" t="n"/>
    </row>
    <row r="1844">
      <c r="AR1844" s="151" t="n"/>
      <c r="BF1844" s="78" t="n"/>
      <c r="BG1844" s="78" t="n"/>
      <c r="BH1844" s="78" t="n"/>
      <c r="BI1844" s="78" t="n"/>
      <c r="BJ1844" s="139" t="n"/>
      <c r="BK1844" s="204" t="n"/>
      <c r="BL1844" s="141" t="n"/>
      <c r="BM1844" s="205" t="n"/>
      <c r="BN1844" s="205" t="n"/>
      <c r="BO1844" s="206" t="n"/>
      <c r="BP1844" s="144" t="n"/>
      <c r="BQ1844" s="141" t="n"/>
      <c r="BR1844" s="207" t="n"/>
      <c r="BS1844" s="207" t="n"/>
      <c r="BT1844" s="207" t="n"/>
      <c r="BU1844" s="207" t="n"/>
      <c r="BV1844" s="208" t="n"/>
      <c r="BW1844" s="207" t="n"/>
      <c r="BX1844" s="207" t="n"/>
      <c r="BY1844" s="204" t="n"/>
      <c r="BZ1844" s="148" t="n"/>
      <c r="CA1844" s="204" t="n"/>
      <c r="CB1844" s="208" t="n"/>
      <c r="CC1844" s="139" t="n"/>
      <c r="CD1844" s="204" t="n"/>
      <c r="CE1844" s="204" t="n"/>
      <c r="CF1844" s="207" t="n"/>
      <c r="CG1844" s="208" t="n"/>
      <c r="CH1844" s="207" t="n"/>
      <c r="CI1844" s="208" t="n"/>
      <c r="CJ1844" s="204" t="n"/>
      <c r="CK1844" s="208" t="n"/>
      <c r="CL1844" s="208" t="n"/>
      <c r="CM1844" s="208" t="n"/>
      <c r="CN1844" s="78" t="n"/>
      <c r="CO1844" s="209" t="n"/>
      <c r="CP1844" s="204" t="n"/>
      <c r="CQ1844" s="204" t="n"/>
      <c r="CR1844" s="204" t="n"/>
      <c r="CS1844" s="204" t="n"/>
      <c r="CT1844" s="204" t="n"/>
      <c r="CU1844" s="204" t="n"/>
      <c r="CV1844" s="204" t="n"/>
      <c r="CW1844" s="204" t="n"/>
    </row>
    <row r="1845">
      <c r="BF1845" s="78" t="n"/>
      <c r="BG1845" s="78" t="n"/>
      <c r="BH1845" s="78" t="n"/>
      <c r="BI1845" s="78" t="n"/>
      <c r="BJ1845" s="139" t="n"/>
      <c r="BK1845" s="204" t="n"/>
      <c r="BL1845" s="141" t="n"/>
      <c r="BM1845" s="205" t="n"/>
      <c r="BN1845" s="205" t="n"/>
      <c r="BO1845" s="206" t="n"/>
      <c r="BP1845" s="144" t="n"/>
      <c r="BQ1845" s="141" t="n"/>
      <c r="BR1845" s="207" t="n"/>
      <c r="BS1845" s="207" t="n"/>
      <c r="BT1845" s="207" t="n"/>
      <c r="BU1845" s="207" t="n"/>
      <c r="BV1845" s="208" t="n"/>
      <c r="BW1845" s="207" t="n"/>
      <c r="BX1845" s="207" t="n"/>
      <c r="BY1845" s="204" t="n"/>
      <c r="BZ1845" s="148" t="n"/>
      <c r="CA1845" s="204" t="n"/>
      <c r="CB1845" s="208" t="n"/>
      <c r="CC1845" s="139" t="n"/>
      <c r="CD1845" s="204" t="n"/>
      <c r="CE1845" s="204" t="n"/>
      <c r="CF1845" s="207" t="n"/>
      <c r="CG1845" s="208" t="n"/>
      <c r="CH1845" s="207" t="n"/>
      <c r="CI1845" s="208" t="n"/>
      <c r="CJ1845" s="204" t="n"/>
      <c r="CK1845" s="208" t="n"/>
      <c r="CL1845" s="208" t="n"/>
      <c r="CM1845" s="208" t="n"/>
      <c r="CN1845" s="78" t="n"/>
      <c r="CO1845" s="209" t="n"/>
      <c r="CP1845" s="204" t="n"/>
      <c r="CQ1845" s="204" t="n"/>
      <c r="CR1845" s="204" t="n"/>
      <c r="CS1845" s="204" t="n"/>
      <c r="CT1845" s="204" t="n"/>
      <c r="CU1845" s="204" t="n"/>
      <c r="CV1845" s="204" t="n"/>
      <c r="CW1845" s="204" t="n"/>
    </row>
    <row r="1846">
      <c r="BF1846" s="78" t="n"/>
      <c r="BG1846" s="78" t="n"/>
      <c r="BH1846" s="78" t="n"/>
      <c r="BI1846" s="78" t="n"/>
      <c r="BJ1846" s="139" t="n"/>
      <c r="BK1846" s="204" t="n"/>
      <c r="BL1846" s="141" t="n"/>
      <c r="BM1846" s="205" t="n"/>
      <c r="BN1846" s="205" t="n"/>
      <c r="BO1846" s="206" t="n"/>
      <c r="BP1846" s="144" t="n"/>
      <c r="BQ1846" s="141" t="n"/>
      <c r="BR1846" s="207" t="n"/>
      <c r="BS1846" s="207" t="n"/>
      <c r="BT1846" s="207" t="n"/>
      <c r="BU1846" s="207" t="n"/>
      <c r="BV1846" s="208" t="n"/>
      <c r="BW1846" s="207" t="n"/>
      <c r="BX1846" s="207" t="n"/>
      <c r="BY1846" s="204" t="n"/>
      <c r="BZ1846" s="148" t="n"/>
      <c r="CA1846" s="204" t="n"/>
      <c r="CB1846" s="208" t="n"/>
      <c r="CC1846" s="139" t="n"/>
      <c r="CD1846" s="204" t="n"/>
      <c r="CE1846" s="204" t="n"/>
      <c r="CF1846" s="207" t="n"/>
      <c r="CG1846" s="208" t="n"/>
      <c r="CH1846" s="207" t="n"/>
      <c r="CI1846" s="208" t="n"/>
      <c r="CJ1846" s="204" t="n"/>
      <c r="CK1846" s="208" t="n"/>
      <c r="CL1846" s="208" t="n"/>
      <c r="CM1846" s="208" t="n"/>
      <c r="CN1846" s="78" t="n"/>
      <c r="CO1846" s="209" t="n"/>
      <c r="CP1846" s="204" t="n"/>
      <c r="CQ1846" s="204" t="n"/>
      <c r="CR1846" s="204" t="n"/>
      <c r="CS1846" s="204" t="n"/>
      <c r="CT1846" s="204" t="n"/>
      <c r="CU1846" s="204" t="n"/>
      <c r="CV1846" s="204" t="n"/>
      <c r="CW1846" s="204" t="n"/>
    </row>
    <row r="1847">
      <c r="BF1847" s="78" t="n"/>
      <c r="BG1847" s="78" t="n"/>
      <c r="BH1847" s="78" t="n"/>
      <c r="BI1847" s="78" t="n"/>
      <c r="BJ1847" s="139" t="n"/>
      <c r="BK1847" s="204" t="n"/>
      <c r="BL1847" s="141" t="n"/>
      <c r="BM1847" s="205" t="n"/>
      <c r="BN1847" s="205" t="n"/>
      <c r="BO1847" s="206" t="n"/>
      <c r="BP1847" s="144" t="n"/>
      <c r="BQ1847" s="141" t="n"/>
      <c r="BR1847" s="207" t="n"/>
      <c r="BS1847" s="207" t="n"/>
      <c r="BT1847" s="207" t="n"/>
      <c r="BU1847" s="207" t="n"/>
      <c r="BV1847" s="208" t="n"/>
      <c r="BW1847" s="207" t="n"/>
      <c r="BX1847" s="207" t="n"/>
      <c r="BY1847" s="204" t="n"/>
      <c r="BZ1847" s="148" t="n"/>
      <c r="CA1847" s="204" t="n"/>
      <c r="CB1847" s="208" t="n"/>
      <c r="CC1847" s="139" t="n"/>
      <c r="CD1847" s="204" t="n"/>
      <c r="CE1847" s="204" t="n"/>
      <c r="CF1847" s="207" t="n"/>
      <c r="CG1847" s="208" t="n"/>
      <c r="CH1847" s="207" t="n"/>
      <c r="CI1847" s="208" t="n"/>
      <c r="CJ1847" s="204" t="n"/>
      <c r="CK1847" s="208" t="n"/>
      <c r="CL1847" s="208" t="n"/>
      <c r="CM1847" s="208" t="n"/>
      <c r="CN1847" s="78" t="n"/>
      <c r="CO1847" s="209" t="n"/>
      <c r="CP1847" s="204" t="n"/>
      <c r="CQ1847" s="204" t="n"/>
      <c r="CR1847" s="204" t="n"/>
      <c r="CS1847" s="204" t="n"/>
      <c r="CT1847" s="204" t="n"/>
      <c r="CU1847" s="204" t="n"/>
      <c r="CV1847" s="204" t="n"/>
      <c r="CW1847" s="204" t="n"/>
    </row>
    <row r="1848">
      <c r="AR1848" s="151" t="n"/>
      <c r="BF1848" s="78" t="n"/>
      <c r="BG1848" s="78" t="n"/>
      <c r="BH1848" s="78" t="n"/>
      <c r="BI1848" s="78" t="n"/>
      <c r="BJ1848" s="139" t="n"/>
      <c r="BK1848" s="204" t="n"/>
      <c r="BL1848" s="141" t="n"/>
      <c r="BM1848" s="205" t="n"/>
      <c r="BN1848" s="205" t="n"/>
      <c r="BO1848" s="206" t="n"/>
      <c r="BP1848" s="144" t="n"/>
      <c r="BQ1848" s="141" t="n"/>
      <c r="BR1848" s="207" t="n"/>
      <c r="BS1848" s="207" t="n"/>
      <c r="BT1848" s="207" t="n"/>
      <c r="BU1848" s="207" t="n"/>
      <c r="BV1848" s="208" t="n"/>
      <c r="BW1848" s="207" t="n"/>
      <c r="BX1848" s="207" t="n"/>
      <c r="BY1848" s="204" t="n"/>
      <c r="BZ1848" s="148" t="n"/>
      <c r="CA1848" s="204" t="n"/>
      <c r="CB1848" s="208" t="n"/>
      <c r="CC1848" s="139" t="n"/>
      <c r="CD1848" s="204" t="n"/>
      <c r="CE1848" s="204" t="n"/>
      <c r="CF1848" s="207" t="n"/>
      <c r="CG1848" s="208" t="n"/>
      <c r="CH1848" s="207" t="n"/>
      <c r="CI1848" s="208" t="n"/>
      <c r="CJ1848" s="204" t="n"/>
      <c r="CK1848" s="208" t="n"/>
      <c r="CL1848" s="208" t="n"/>
      <c r="CM1848" s="208" t="n"/>
      <c r="CN1848" s="78" t="n"/>
      <c r="CO1848" s="209" t="n"/>
      <c r="CP1848" s="204" t="n"/>
      <c r="CQ1848" s="204" t="n"/>
      <c r="CR1848" s="204" t="n"/>
      <c r="CS1848" s="204" t="n"/>
      <c r="CT1848" s="204" t="n"/>
      <c r="CU1848" s="204" t="n"/>
      <c r="CV1848" s="204" t="n"/>
      <c r="CW1848" s="204" t="n"/>
    </row>
    <row r="1849">
      <c r="BF1849" s="78" t="n"/>
      <c r="BG1849" s="78" t="n"/>
      <c r="BH1849" s="78" t="n"/>
      <c r="BI1849" s="78" t="n"/>
      <c r="BJ1849" s="139" t="n"/>
      <c r="BK1849" s="204" t="n"/>
      <c r="BL1849" s="141" t="n"/>
      <c r="BM1849" s="205" t="n"/>
      <c r="BN1849" s="205" t="n"/>
      <c r="BO1849" s="206" t="n"/>
      <c r="BP1849" s="144" t="n"/>
      <c r="BQ1849" s="141" t="n"/>
      <c r="BR1849" s="207" t="n"/>
      <c r="BS1849" s="207" t="n"/>
      <c r="BT1849" s="207" t="n"/>
      <c r="BU1849" s="207" t="n"/>
      <c r="BV1849" s="208" t="n"/>
      <c r="BW1849" s="207" t="n"/>
      <c r="BX1849" s="207" t="n"/>
      <c r="BY1849" s="204" t="n"/>
      <c r="BZ1849" s="148" t="n"/>
      <c r="CA1849" s="204" t="n"/>
      <c r="CB1849" s="208" t="n"/>
      <c r="CC1849" s="139" t="n"/>
      <c r="CD1849" s="204" t="n"/>
      <c r="CE1849" s="204" t="n"/>
      <c r="CF1849" s="207" t="n"/>
      <c r="CG1849" s="208" t="n"/>
      <c r="CH1849" s="207" t="n"/>
      <c r="CI1849" s="208" t="n"/>
      <c r="CJ1849" s="204" t="n"/>
      <c r="CK1849" s="208" t="n"/>
      <c r="CL1849" s="208" t="n"/>
      <c r="CM1849" s="208" t="n"/>
      <c r="CN1849" s="78" t="n"/>
      <c r="CO1849" s="209" t="n"/>
      <c r="CP1849" s="204" t="n"/>
      <c r="CQ1849" s="204" t="n"/>
      <c r="CR1849" s="204" t="n"/>
      <c r="CS1849" s="204" t="n"/>
      <c r="CT1849" s="204" t="n"/>
      <c r="CU1849" s="204" t="n"/>
      <c r="CV1849" s="204" t="n"/>
      <c r="CW1849" s="204" t="n"/>
    </row>
    <row r="1850">
      <c r="BF1850" s="78" t="n"/>
      <c r="BG1850" s="78" t="n"/>
      <c r="BH1850" s="78" t="n"/>
      <c r="BI1850" s="78" t="n"/>
      <c r="BJ1850" s="139" t="n"/>
      <c r="BK1850" s="204" t="n"/>
      <c r="BL1850" s="141" t="n"/>
      <c r="BM1850" s="205" t="n"/>
      <c r="BN1850" s="205" t="n"/>
      <c r="BO1850" s="206" t="n"/>
      <c r="BP1850" s="144" t="n"/>
      <c r="BQ1850" s="141" t="n"/>
      <c r="BR1850" s="207" t="n"/>
      <c r="BS1850" s="207" t="n"/>
      <c r="BT1850" s="207" t="n"/>
      <c r="BU1850" s="207" t="n"/>
      <c r="BV1850" s="208" t="n"/>
      <c r="BW1850" s="207" t="n"/>
      <c r="BX1850" s="207" t="n"/>
      <c r="BY1850" s="204" t="n"/>
      <c r="BZ1850" s="148" t="n"/>
      <c r="CA1850" s="204" t="n"/>
      <c r="CB1850" s="208" t="n"/>
      <c r="CC1850" s="139" t="n"/>
      <c r="CD1850" s="204" t="n"/>
      <c r="CE1850" s="204" t="n"/>
      <c r="CF1850" s="207" t="n"/>
      <c r="CG1850" s="208" t="n"/>
      <c r="CH1850" s="207" t="n"/>
      <c r="CI1850" s="208" t="n"/>
      <c r="CJ1850" s="204" t="n"/>
      <c r="CK1850" s="208" t="n"/>
      <c r="CL1850" s="208" t="n"/>
      <c r="CM1850" s="208" t="n"/>
      <c r="CN1850" s="78" t="n"/>
      <c r="CO1850" s="209" t="n"/>
      <c r="CP1850" s="204" t="n"/>
      <c r="CQ1850" s="204" t="n"/>
      <c r="CR1850" s="204" t="n"/>
      <c r="CS1850" s="204" t="n"/>
      <c r="CT1850" s="204" t="n"/>
      <c r="CU1850" s="204" t="n"/>
      <c r="CV1850" s="204" t="n"/>
      <c r="CW1850" s="204" t="n"/>
    </row>
    <row r="1851">
      <c r="BF1851" s="78" t="n"/>
      <c r="BG1851" s="78" t="n"/>
      <c r="BH1851" s="78" t="n"/>
      <c r="BI1851" s="78" t="n"/>
      <c r="BJ1851" s="139" t="n"/>
      <c r="BK1851" s="204" t="n"/>
      <c r="BL1851" s="141" t="n"/>
      <c r="BM1851" s="205" t="n"/>
      <c r="BN1851" s="205" t="n"/>
      <c r="BO1851" s="206" t="n"/>
      <c r="BP1851" s="144" t="n"/>
      <c r="BQ1851" s="141" t="n"/>
      <c r="BR1851" s="207" t="n"/>
      <c r="BS1851" s="207" t="n"/>
      <c r="BT1851" s="207" t="n"/>
      <c r="BU1851" s="207" t="n"/>
      <c r="BV1851" s="208" t="n"/>
      <c r="BW1851" s="207" t="n"/>
      <c r="BX1851" s="207" t="n"/>
      <c r="BY1851" s="204" t="n"/>
      <c r="BZ1851" s="148" t="n"/>
      <c r="CA1851" s="204" t="n"/>
      <c r="CB1851" s="208" t="n"/>
      <c r="CC1851" s="139" t="n"/>
      <c r="CD1851" s="204" t="n"/>
      <c r="CE1851" s="204" t="n"/>
      <c r="CF1851" s="207" t="n"/>
      <c r="CG1851" s="208" t="n"/>
      <c r="CH1851" s="207" t="n"/>
      <c r="CI1851" s="208" t="n"/>
      <c r="CJ1851" s="204" t="n"/>
      <c r="CK1851" s="208" t="n"/>
      <c r="CL1851" s="208" t="n"/>
      <c r="CM1851" s="208" t="n"/>
      <c r="CN1851" s="78" t="n"/>
      <c r="CO1851" s="209" t="n"/>
      <c r="CP1851" s="204" t="n"/>
      <c r="CQ1851" s="204" t="n"/>
      <c r="CR1851" s="204" t="n"/>
      <c r="CS1851" s="204" t="n"/>
      <c r="CT1851" s="204" t="n"/>
      <c r="CU1851" s="204" t="n"/>
      <c r="CV1851" s="204" t="n"/>
      <c r="CW1851" s="204" t="n"/>
    </row>
    <row r="1852">
      <c r="BF1852" s="78" t="n"/>
      <c r="BG1852" s="78" t="n"/>
      <c r="BH1852" s="78" t="n"/>
      <c r="BI1852" s="78" t="n"/>
      <c r="BJ1852" s="139" t="n"/>
      <c r="BK1852" s="204" t="n"/>
      <c r="BL1852" s="141" t="n"/>
      <c r="BM1852" s="205" t="n"/>
      <c r="BN1852" s="205" t="n"/>
      <c r="BO1852" s="206" t="n"/>
      <c r="BP1852" s="144" t="n"/>
      <c r="BQ1852" s="141" t="n"/>
      <c r="BR1852" s="207" t="n"/>
      <c r="BS1852" s="207" t="n"/>
      <c r="BT1852" s="207" t="n"/>
      <c r="BU1852" s="207" t="n"/>
      <c r="BV1852" s="208" t="n"/>
      <c r="BW1852" s="207" t="n"/>
      <c r="BX1852" s="207" t="n"/>
      <c r="BY1852" s="204" t="n"/>
      <c r="BZ1852" s="148" t="n"/>
      <c r="CA1852" s="204" t="n"/>
      <c r="CB1852" s="208" t="n"/>
      <c r="CC1852" s="139" t="n"/>
      <c r="CD1852" s="204" t="n"/>
      <c r="CE1852" s="204" t="n"/>
      <c r="CF1852" s="207" t="n"/>
      <c r="CG1852" s="208" t="n"/>
      <c r="CH1852" s="207" t="n"/>
      <c r="CI1852" s="208" t="n"/>
      <c r="CJ1852" s="204" t="n"/>
      <c r="CK1852" s="208" t="n"/>
      <c r="CL1852" s="208" t="n"/>
      <c r="CM1852" s="208" t="n"/>
      <c r="CN1852" s="78" t="n"/>
      <c r="CO1852" s="209" t="n"/>
      <c r="CP1852" s="204" t="n"/>
      <c r="CQ1852" s="204" t="n"/>
      <c r="CR1852" s="204" t="n"/>
      <c r="CS1852" s="204" t="n"/>
      <c r="CT1852" s="204" t="n"/>
      <c r="CU1852" s="204" t="n"/>
      <c r="CV1852" s="204" t="n"/>
      <c r="CW1852" s="204" t="n"/>
    </row>
    <row r="1853">
      <c r="BF1853" s="78" t="n"/>
      <c r="BG1853" s="78" t="n"/>
      <c r="BH1853" s="78" t="n"/>
      <c r="BI1853" s="78" t="n"/>
      <c r="BJ1853" s="139" t="n"/>
      <c r="BK1853" s="204" t="n"/>
      <c r="BL1853" s="141" t="n"/>
      <c r="BM1853" s="205" t="n"/>
      <c r="BN1853" s="205" t="n"/>
      <c r="BO1853" s="206" t="n"/>
      <c r="BP1853" s="144" t="n"/>
      <c r="BQ1853" s="141" t="n"/>
      <c r="BR1853" s="207" t="n"/>
      <c r="BS1853" s="207" t="n"/>
      <c r="BT1853" s="207" t="n"/>
      <c r="BU1853" s="207" t="n"/>
      <c r="BV1853" s="208" t="n"/>
      <c r="BW1853" s="207" t="n"/>
      <c r="BX1853" s="207" t="n"/>
      <c r="BY1853" s="204" t="n"/>
      <c r="BZ1853" s="148" t="n"/>
      <c r="CA1853" s="204" t="n"/>
      <c r="CB1853" s="208" t="n"/>
      <c r="CC1853" s="139" t="n"/>
      <c r="CD1853" s="204" t="n"/>
      <c r="CE1853" s="204" t="n"/>
      <c r="CF1853" s="207" t="n"/>
      <c r="CG1853" s="208" t="n"/>
      <c r="CH1853" s="207" t="n"/>
      <c r="CI1853" s="208" t="n"/>
      <c r="CJ1853" s="204" t="n"/>
      <c r="CK1853" s="208" t="n"/>
      <c r="CL1853" s="208" t="n"/>
      <c r="CM1853" s="208" t="n"/>
      <c r="CN1853" s="78" t="n"/>
      <c r="CO1853" s="209" t="n"/>
      <c r="CP1853" s="204" t="n"/>
      <c r="CQ1853" s="204" t="n"/>
      <c r="CR1853" s="204" t="n"/>
      <c r="CS1853" s="204" t="n"/>
      <c r="CT1853" s="204" t="n"/>
      <c r="CU1853" s="204" t="n"/>
      <c r="CV1853" s="204" t="n"/>
      <c r="CW1853" s="204" t="n"/>
    </row>
    <row r="1854">
      <c r="BF1854" s="78" t="n"/>
      <c r="BG1854" s="78" t="n"/>
      <c r="BH1854" s="78" t="n"/>
      <c r="BI1854" s="78" t="n"/>
      <c r="BJ1854" s="139" t="n"/>
      <c r="BK1854" s="204" t="n"/>
      <c r="BL1854" s="141" t="n"/>
      <c r="BM1854" s="205" t="n"/>
      <c r="BN1854" s="205" t="n"/>
      <c r="BO1854" s="206" t="n"/>
      <c r="BP1854" s="144" t="n"/>
      <c r="BQ1854" s="141" t="n"/>
      <c r="BR1854" s="207" t="n"/>
      <c r="BS1854" s="207" t="n"/>
      <c r="BT1854" s="207" t="n"/>
      <c r="BU1854" s="207" t="n"/>
      <c r="BV1854" s="208" t="n"/>
      <c r="BW1854" s="207" t="n"/>
      <c r="BX1854" s="207" t="n"/>
      <c r="BY1854" s="204" t="n"/>
      <c r="BZ1854" s="148" t="n"/>
      <c r="CA1854" s="204" t="n"/>
      <c r="CB1854" s="208" t="n"/>
      <c r="CC1854" s="139" t="n"/>
      <c r="CD1854" s="204" t="n"/>
      <c r="CE1854" s="204" t="n"/>
      <c r="CF1854" s="207" t="n"/>
      <c r="CG1854" s="208" t="n"/>
      <c r="CH1854" s="207" t="n"/>
      <c r="CI1854" s="208" t="n"/>
      <c r="CJ1854" s="204" t="n"/>
      <c r="CK1854" s="208" t="n"/>
      <c r="CL1854" s="208" t="n"/>
      <c r="CM1854" s="208" t="n"/>
      <c r="CN1854" s="78" t="n"/>
      <c r="CO1854" s="209" t="n"/>
      <c r="CP1854" s="204" t="n"/>
      <c r="CQ1854" s="204" t="n"/>
      <c r="CR1854" s="204" t="n"/>
      <c r="CS1854" s="204" t="n"/>
      <c r="CT1854" s="204" t="n"/>
      <c r="CU1854" s="204" t="n"/>
      <c r="CV1854" s="204" t="n"/>
      <c r="CW1854" s="204" t="n"/>
    </row>
    <row r="1855">
      <c r="BF1855" s="78" t="n"/>
      <c r="BG1855" s="78" t="n"/>
      <c r="BH1855" s="78" t="n"/>
      <c r="BI1855" s="78" t="n"/>
      <c r="BJ1855" s="139" t="n"/>
      <c r="BK1855" s="204" t="n"/>
      <c r="BL1855" s="141" t="n"/>
      <c r="BM1855" s="205" t="n"/>
      <c r="BN1855" s="205" t="n"/>
      <c r="BO1855" s="206" t="n"/>
      <c r="BP1855" s="144" t="n"/>
      <c r="BQ1855" s="141" t="n"/>
      <c r="BR1855" s="207" t="n"/>
      <c r="BS1855" s="207" t="n"/>
      <c r="BT1855" s="207" t="n"/>
      <c r="BU1855" s="207" t="n"/>
      <c r="BV1855" s="208" t="n"/>
      <c r="BW1855" s="207" t="n"/>
      <c r="BX1855" s="207" t="n"/>
      <c r="BY1855" s="204" t="n"/>
      <c r="BZ1855" s="148" t="n"/>
      <c r="CA1855" s="204" t="n"/>
      <c r="CB1855" s="208" t="n"/>
      <c r="CC1855" s="139" t="n"/>
      <c r="CD1855" s="204" t="n"/>
      <c r="CE1855" s="204" t="n"/>
      <c r="CF1855" s="207" t="n"/>
      <c r="CG1855" s="208" t="n"/>
      <c r="CH1855" s="207" t="n"/>
      <c r="CI1855" s="208" t="n"/>
      <c r="CJ1855" s="204" t="n"/>
      <c r="CK1855" s="208" t="n"/>
      <c r="CL1855" s="208" t="n"/>
      <c r="CM1855" s="208" t="n"/>
      <c r="CN1855" s="78" t="n"/>
      <c r="CO1855" s="209" t="n"/>
      <c r="CP1855" s="204" t="n"/>
      <c r="CQ1855" s="204" t="n"/>
      <c r="CR1855" s="204" t="n"/>
      <c r="CS1855" s="204" t="n"/>
      <c r="CT1855" s="204" t="n"/>
      <c r="CU1855" s="204" t="n"/>
      <c r="CV1855" s="204" t="n"/>
      <c r="CW1855" s="204" t="n"/>
    </row>
    <row r="1856">
      <c r="BF1856" s="78" t="n"/>
      <c r="BG1856" s="78" t="n"/>
      <c r="BH1856" s="78" t="n"/>
      <c r="BI1856" s="78" t="n"/>
      <c r="BJ1856" s="139" t="n"/>
      <c r="BK1856" s="204" t="n"/>
      <c r="BL1856" s="141" t="n"/>
      <c r="BM1856" s="205" t="n"/>
      <c r="BN1856" s="205" t="n"/>
      <c r="BO1856" s="206" t="n"/>
      <c r="BP1856" s="144" t="n"/>
      <c r="BQ1856" s="141" t="n"/>
      <c r="BR1856" s="207" t="n"/>
      <c r="BS1856" s="207" t="n"/>
      <c r="BT1856" s="207" t="n"/>
      <c r="BU1856" s="207" t="n"/>
      <c r="BV1856" s="208" t="n"/>
      <c r="BW1856" s="207" t="n"/>
      <c r="BX1856" s="207" t="n"/>
      <c r="BY1856" s="204" t="n"/>
      <c r="BZ1856" s="148" t="n"/>
      <c r="CA1856" s="204" t="n"/>
      <c r="CB1856" s="208" t="n"/>
      <c r="CC1856" s="139" t="n"/>
      <c r="CD1856" s="204" t="n"/>
      <c r="CE1856" s="204" t="n"/>
      <c r="CF1856" s="207" t="n"/>
      <c r="CG1856" s="208" t="n"/>
      <c r="CH1856" s="207" t="n"/>
      <c r="CI1856" s="208" t="n"/>
      <c r="CJ1856" s="204" t="n"/>
      <c r="CK1856" s="208" t="n"/>
      <c r="CL1856" s="208" t="n"/>
      <c r="CM1856" s="208" t="n"/>
      <c r="CN1856" s="78" t="n"/>
      <c r="CO1856" s="209" t="n"/>
      <c r="CP1856" s="204" t="n"/>
      <c r="CQ1856" s="204" t="n"/>
      <c r="CR1856" s="204" t="n"/>
      <c r="CS1856" s="204" t="n"/>
      <c r="CT1856" s="204" t="n"/>
      <c r="CU1856" s="204" t="n"/>
      <c r="CV1856" s="204" t="n"/>
      <c r="CW1856" s="204" t="n"/>
    </row>
    <row r="1857">
      <c r="BF1857" s="78" t="n"/>
      <c r="BG1857" s="78" t="n"/>
      <c r="BH1857" s="78" t="n"/>
      <c r="BI1857" s="78" t="n"/>
      <c r="BJ1857" s="139" t="n"/>
      <c r="BK1857" s="204" t="n"/>
      <c r="BL1857" s="141" t="n"/>
      <c r="BM1857" s="205" t="n"/>
      <c r="BN1857" s="205" t="n"/>
      <c r="BO1857" s="206" t="n"/>
      <c r="BP1857" s="144" t="n"/>
      <c r="BQ1857" s="141" t="n"/>
      <c r="BR1857" s="207" t="n"/>
      <c r="BS1857" s="207" t="n"/>
      <c r="BT1857" s="207" t="n"/>
      <c r="BU1857" s="207" t="n"/>
      <c r="BV1857" s="208" t="n"/>
      <c r="BW1857" s="207" t="n"/>
      <c r="BX1857" s="207" t="n"/>
      <c r="BY1857" s="204" t="n"/>
      <c r="BZ1857" s="148" t="n"/>
      <c r="CA1857" s="204" t="n"/>
      <c r="CB1857" s="208" t="n"/>
      <c r="CC1857" s="139" t="n"/>
      <c r="CD1857" s="204" t="n"/>
      <c r="CE1857" s="204" t="n"/>
      <c r="CF1857" s="207" t="n"/>
      <c r="CG1857" s="208" t="n"/>
      <c r="CH1857" s="207" t="n"/>
      <c r="CI1857" s="208" t="n"/>
      <c r="CJ1857" s="204" t="n"/>
      <c r="CK1857" s="208" t="n"/>
      <c r="CL1857" s="208" t="n"/>
      <c r="CM1857" s="208" t="n"/>
      <c r="CN1857" s="78" t="n"/>
      <c r="CO1857" s="209" t="n"/>
      <c r="CP1857" s="204" t="n"/>
      <c r="CQ1857" s="204" t="n"/>
      <c r="CR1857" s="204" t="n"/>
      <c r="CS1857" s="204" t="n"/>
      <c r="CT1857" s="204" t="n"/>
      <c r="CU1857" s="204" t="n"/>
      <c r="CV1857" s="204" t="n"/>
      <c r="CW1857" s="204" t="n"/>
    </row>
    <row r="1858">
      <c r="BF1858" s="78" t="n"/>
      <c r="BG1858" s="78" t="n"/>
      <c r="BH1858" s="78" t="n"/>
      <c r="BI1858" s="78" t="n"/>
      <c r="BJ1858" s="139" t="n"/>
      <c r="BK1858" s="204" t="n"/>
      <c r="BL1858" s="141" t="n"/>
      <c r="BM1858" s="205" t="n"/>
      <c r="BN1858" s="205" t="n"/>
      <c r="BO1858" s="206" t="n"/>
      <c r="BP1858" s="144" t="n"/>
      <c r="BQ1858" s="141" t="n"/>
      <c r="BR1858" s="207" t="n"/>
      <c r="BS1858" s="207" t="n"/>
      <c r="BT1858" s="207" t="n"/>
      <c r="BU1858" s="207" t="n"/>
      <c r="BV1858" s="208" t="n"/>
      <c r="BW1858" s="207" t="n"/>
      <c r="BX1858" s="207" t="n"/>
      <c r="BY1858" s="204" t="n"/>
      <c r="BZ1858" s="148" t="n"/>
      <c r="CA1858" s="204" t="n"/>
      <c r="CB1858" s="208" t="n"/>
      <c r="CC1858" s="139" t="n"/>
      <c r="CD1858" s="204" t="n"/>
      <c r="CE1858" s="204" t="n"/>
      <c r="CF1858" s="207" t="n"/>
      <c r="CG1858" s="208" t="n"/>
      <c r="CH1858" s="207" t="n"/>
      <c r="CI1858" s="208" t="n"/>
      <c r="CJ1858" s="204" t="n"/>
      <c r="CK1858" s="208" t="n"/>
      <c r="CL1858" s="208" t="n"/>
      <c r="CM1858" s="208" t="n"/>
      <c r="CN1858" s="78" t="n"/>
      <c r="CO1858" s="209" t="n"/>
      <c r="CP1858" s="204" t="n"/>
      <c r="CQ1858" s="204" t="n"/>
      <c r="CR1858" s="204" t="n"/>
      <c r="CS1858" s="204" t="n"/>
      <c r="CT1858" s="204" t="n"/>
      <c r="CU1858" s="204" t="n"/>
      <c r="CV1858" s="204" t="n"/>
      <c r="CW1858" s="204" t="n"/>
    </row>
    <row r="1859">
      <c r="BF1859" s="78" t="n"/>
      <c r="BG1859" s="78" t="n"/>
      <c r="BH1859" s="78" t="n"/>
      <c r="BI1859" s="78" t="n"/>
      <c r="BJ1859" s="139" t="n"/>
      <c r="BK1859" s="204" t="n"/>
      <c r="BL1859" s="141" t="n"/>
      <c r="BM1859" s="205" t="n"/>
      <c r="BN1859" s="205" t="n"/>
      <c r="BO1859" s="206" t="n"/>
      <c r="BP1859" s="144" t="n"/>
      <c r="BQ1859" s="141" t="n"/>
      <c r="BR1859" s="207" t="n"/>
      <c r="BS1859" s="207" t="n"/>
      <c r="BT1859" s="207" t="n"/>
      <c r="BU1859" s="207" t="n"/>
      <c r="BV1859" s="208" t="n"/>
      <c r="BW1859" s="207" t="n"/>
      <c r="BX1859" s="207" t="n"/>
      <c r="BY1859" s="204" t="n"/>
      <c r="BZ1859" s="148" t="n"/>
      <c r="CA1859" s="204" t="n"/>
      <c r="CB1859" s="208" t="n"/>
      <c r="CC1859" s="139" t="n"/>
      <c r="CD1859" s="204" t="n"/>
      <c r="CE1859" s="204" t="n"/>
      <c r="CF1859" s="207" t="n"/>
      <c r="CG1859" s="208" t="n"/>
      <c r="CH1859" s="207" t="n"/>
      <c r="CI1859" s="208" t="n"/>
      <c r="CJ1859" s="204" t="n"/>
      <c r="CK1859" s="208" t="n"/>
      <c r="CL1859" s="208" t="n"/>
      <c r="CM1859" s="208" t="n"/>
      <c r="CN1859" s="78" t="n"/>
      <c r="CO1859" s="209" t="n"/>
      <c r="CP1859" s="204" t="n"/>
      <c r="CQ1859" s="204" t="n"/>
      <c r="CR1859" s="204" t="n"/>
      <c r="CS1859" s="204" t="n"/>
      <c r="CT1859" s="204" t="n"/>
      <c r="CU1859" s="204" t="n"/>
      <c r="CV1859" s="204" t="n"/>
      <c r="CW1859" s="204" t="n"/>
    </row>
    <row r="1860">
      <c r="BF1860" s="78" t="n"/>
      <c r="BG1860" s="78" t="n"/>
      <c r="BH1860" s="78" t="n"/>
      <c r="BI1860" s="78" t="n"/>
      <c r="BJ1860" s="139" t="n"/>
      <c r="BK1860" s="204" t="n"/>
      <c r="BL1860" s="141" t="n"/>
      <c r="BM1860" s="205" t="n"/>
      <c r="BN1860" s="205" t="n"/>
      <c r="BO1860" s="206" t="n"/>
      <c r="BP1860" s="144" t="n"/>
      <c r="BQ1860" s="141" t="n"/>
      <c r="BR1860" s="207" t="n"/>
      <c r="BS1860" s="207" t="n"/>
      <c r="BT1860" s="207" t="n"/>
      <c r="BU1860" s="207" t="n"/>
      <c r="BV1860" s="208" t="n"/>
      <c r="BW1860" s="207" t="n"/>
      <c r="BX1860" s="207" t="n"/>
      <c r="BY1860" s="204" t="n"/>
      <c r="BZ1860" s="148" t="n"/>
      <c r="CA1860" s="204" t="n"/>
      <c r="CB1860" s="208" t="n"/>
      <c r="CC1860" s="139" t="n"/>
      <c r="CD1860" s="204" t="n"/>
      <c r="CE1860" s="204" t="n"/>
      <c r="CF1860" s="207" t="n"/>
      <c r="CG1860" s="208" t="n"/>
      <c r="CH1860" s="207" t="n"/>
      <c r="CI1860" s="208" t="n"/>
      <c r="CJ1860" s="204" t="n"/>
      <c r="CK1860" s="208" t="n"/>
      <c r="CL1860" s="208" t="n"/>
      <c r="CM1860" s="208" t="n"/>
      <c r="CN1860" s="78" t="n"/>
      <c r="CO1860" s="209" t="n"/>
      <c r="CP1860" s="204" t="n"/>
      <c r="CQ1860" s="204" t="n"/>
      <c r="CR1860" s="204" t="n"/>
      <c r="CS1860" s="204" t="n"/>
      <c r="CT1860" s="204" t="n"/>
      <c r="CU1860" s="204" t="n"/>
      <c r="CV1860" s="204" t="n"/>
      <c r="CW1860" s="204" t="n"/>
    </row>
    <row r="1861">
      <c r="BF1861" s="78" t="n"/>
      <c r="BG1861" s="78" t="n"/>
      <c r="BH1861" s="78" t="n"/>
      <c r="BI1861" s="78" t="n"/>
      <c r="BJ1861" s="139" t="n"/>
      <c r="BK1861" s="204" t="n"/>
      <c r="BL1861" s="141" t="n"/>
      <c r="BM1861" s="205" t="n"/>
      <c r="BN1861" s="205" t="n"/>
      <c r="BO1861" s="206" t="n"/>
      <c r="BP1861" s="144" t="n"/>
      <c r="BQ1861" s="141" t="n"/>
      <c r="BR1861" s="207" t="n"/>
      <c r="BS1861" s="207" t="n"/>
      <c r="BT1861" s="207" t="n"/>
      <c r="BU1861" s="207" t="n"/>
      <c r="BV1861" s="208" t="n"/>
      <c r="BW1861" s="207" t="n"/>
      <c r="BX1861" s="207" t="n"/>
      <c r="BY1861" s="204" t="n"/>
      <c r="BZ1861" s="148" t="n"/>
      <c r="CA1861" s="204" t="n"/>
      <c r="CB1861" s="208" t="n"/>
      <c r="CC1861" s="139" t="n"/>
      <c r="CD1861" s="204" t="n"/>
      <c r="CE1861" s="204" t="n"/>
      <c r="CF1861" s="207" t="n"/>
      <c r="CG1861" s="208" t="n"/>
      <c r="CH1861" s="207" t="n"/>
      <c r="CI1861" s="208" t="n"/>
      <c r="CJ1861" s="204" t="n"/>
      <c r="CK1861" s="208" t="n"/>
      <c r="CL1861" s="208" t="n"/>
      <c r="CM1861" s="208" t="n"/>
      <c r="CN1861" s="78" t="n"/>
      <c r="CO1861" s="209" t="n"/>
      <c r="CP1861" s="204" t="n"/>
      <c r="CQ1861" s="204" t="n"/>
      <c r="CR1861" s="204" t="n"/>
      <c r="CS1861" s="204" t="n"/>
      <c r="CT1861" s="204" t="n"/>
      <c r="CU1861" s="204" t="n"/>
      <c r="CV1861" s="204" t="n"/>
      <c r="CW1861" s="204" t="n"/>
    </row>
    <row r="1862">
      <c r="BF1862" s="78" t="n"/>
      <c r="BG1862" s="78" t="n"/>
      <c r="BH1862" s="78" t="n"/>
      <c r="BI1862" s="78" t="n"/>
      <c r="BJ1862" s="139" t="n"/>
      <c r="BK1862" s="204" t="n"/>
      <c r="BL1862" s="141" t="n"/>
      <c r="BM1862" s="205" t="n"/>
      <c r="BN1862" s="205" t="n"/>
      <c r="BO1862" s="206" t="n"/>
      <c r="BP1862" s="144" t="n"/>
      <c r="BQ1862" s="141" t="n"/>
      <c r="BR1862" s="207" t="n"/>
      <c r="BS1862" s="207" t="n"/>
      <c r="BT1862" s="207" t="n"/>
      <c r="BU1862" s="207" t="n"/>
      <c r="BV1862" s="208" t="n"/>
      <c r="BW1862" s="207" t="n"/>
      <c r="BX1862" s="207" t="n"/>
      <c r="BY1862" s="204" t="n"/>
      <c r="BZ1862" s="148" t="n"/>
      <c r="CA1862" s="204" t="n"/>
      <c r="CB1862" s="208" t="n"/>
      <c r="CC1862" s="139" t="n"/>
      <c r="CD1862" s="204" t="n"/>
      <c r="CE1862" s="204" t="n"/>
      <c r="CF1862" s="207" t="n"/>
      <c r="CG1862" s="208" t="n"/>
      <c r="CH1862" s="207" t="n"/>
      <c r="CI1862" s="208" t="n"/>
      <c r="CJ1862" s="204" t="n"/>
      <c r="CK1862" s="208" t="n"/>
      <c r="CL1862" s="208" t="n"/>
      <c r="CM1862" s="208" t="n"/>
      <c r="CN1862" s="78" t="n"/>
      <c r="CO1862" s="209" t="n"/>
      <c r="CP1862" s="204" t="n"/>
      <c r="CQ1862" s="204" t="n"/>
      <c r="CR1862" s="204" t="n"/>
      <c r="CS1862" s="204" t="n"/>
      <c r="CT1862" s="204" t="n"/>
      <c r="CU1862" s="204" t="n"/>
      <c r="CV1862" s="204" t="n"/>
      <c r="CW1862" s="204" t="n"/>
    </row>
    <row r="1863">
      <c r="BF1863" s="78" t="n"/>
      <c r="BG1863" s="78" t="n"/>
      <c r="BH1863" s="78" t="n"/>
      <c r="BI1863" s="78" t="n"/>
      <c r="BJ1863" s="139" t="n"/>
      <c r="BK1863" s="204" t="n"/>
      <c r="BL1863" s="141" t="n"/>
      <c r="BM1863" s="205" t="n"/>
      <c r="BN1863" s="205" t="n"/>
      <c r="BO1863" s="206" t="n"/>
      <c r="BP1863" s="144" t="n"/>
      <c r="BQ1863" s="141" t="n"/>
      <c r="BR1863" s="207" t="n"/>
      <c r="BS1863" s="207" t="n"/>
      <c r="BT1863" s="207" t="n"/>
      <c r="BU1863" s="207" t="n"/>
      <c r="BV1863" s="208" t="n"/>
      <c r="BW1863" s="207" t="n"/>
      <c r="BX1863" s="207" t="n"/>
      <c r="BY1863" s="204" t="n"/>
      <c r="BZ1863" s="148" t="n"/>
      <c r="CA1863" s="204" t="n"/>
      <c r="CB1863" s="208" t="n"/>
      <c r="CC1863" s="139" t="n"/>
      <c r="CD1863" s="204" t="n"/>
      <c r="CE1863" s="204" t="n"/>
      <c r="CF1863" s="207" t="n"/>
      <c r="CG1863" s="208" t="n"/>
      <c r="CH1863" s="207" t="n"/>
      <c r="CI1863" s="208" t="n"/>
      <c r="CJ1863" s="204" t="n"/>
      <c r="CK1863" s="208" t="n"/>
      <c r="CL1863" s="208" t="n"/>
      <c r="CM1863" s="208" t="n"/>
      <c r="CN1863" s="78" t="n"/>
      <c r="CO1863" s="209" t="n"/>
      <c r="CP1863" s="204" t="n"/>
      <c r="CQ1863" s="204" t="n"/>
      <c r="CR1863" s="204" t="n"/>
      <c r="CS1863" s="204" t="n"/>
      <c r="CT1863" s="204" t="n"/>
      <c r="CU1863" s="204" t="n"/>
      <c r="CV1863" s="204" t="n"/>
      <c r="CW1863" s="204" t="n"/>
    </row>
    <row r="1864">
      <c r="BF1864" s="78" t="n"/>
      <c r="BG1864" s="78" t="n"/>
      <c r="BH1864" s="78" t="n"/>
      <c r="BI1864" s="78" t="n"/>
      <c r="BJ1864" s="139" t="n"/>
      <c r="BK1864" s="204" t="n"/>
      <c r="BL1864" s="141" t="n"/>
      <c r="BM1864" s="205" t="n"/>
      <c r="BN1864" s="205" t="n"/>
      <c r="BO1864" s="206" t="n"/>
      <c r="BP1864" s="144" t="n"/>
      <c r="BQ1864" s="141" t="n"/>
      <c r="BR1864" s="207" t="n"/>
      <c r="BS1864" s="207" t="n"/>
      <c r="BT1864" s="207" t="n"/>
      <c r="BU1864" s="207" t="n"/>
      <c r="BV1864" s="208" t="n"/>
      <c r="BW1864" s="207" t="n"/>
      <c r="BX1864" s="207" t="n"/>
      <c r="BY1864" s="204" t="n"/>
      <c r="BZ1864" s="148" t="n"/>
      <c r="CA1864" s="204" t="n"/>
      <c r="CB1864" s="208" t="n"/>
      <c r="CC1864" s="139" t="n"/>
      <c r="CD1864" s="204" t="n"/>
      <c r="CE1864" s="204" t="n"/>
      <c r="CF1864" s="207" t="n"/>
      <c r="CG1864" s="208" t="n"/>
      <c r="CH1864" s="207" t="n"/>
      <c r="CI1864" s="208" t="n"/>
      <c r="CJ1864" s="204" t="n"/>
      <c r="CK1864" s="208" t="n"/>
      <c r="CL1864" s="208" t="n"/>
      <c r="CM1864" s="208" t="n"/>
      <c r="CN1864" s="78" t="n"/>
      <c r="CO1864" s="209" t="n"/>
      <c r="CP1864" s="204" t="n"/>
      <c r="CQ1864" s="204" t="n"/>
      <c r="CR1864" s="204" t="n"/>
      <c r="CS1864" s="204" t="n"/>
      <c r="CT1864" s="204" t="n"/>
      <c r="CU1864" s="204" t="n"/>
      <c r="CV1864" s="204" t="n"/>
      <c r="CW1864" s="204" t="n"/>
    </row>
    <row r="1865">
      <c r="BF1865" s="78" t="n"/>
      <c r="BG1865" s="78" t="n"/>
      <c r="BH1865" s="78" t="n"/>
      <c r="BI1865" s="78" t="n"/>
      <c r="BJ1865" s="139" t="n"/>
      <c r="BK1865" s="204" t="n"/>
      <c r="BL1865" s="141" t="n"/>
      <c r="BM1865" s="205" t="n"/>
      <c r="BN1865" s="205" t="n"/>
      <c r="BO1865" s="206" t="n"/>
      <c r="BP1865" s="144" t="n"/>
      <c r="BQ1865" s="141" t="n"/>
      <c r="BR1865" s="207" t="n"/>
      <c r="BS1865" s="207" t="n"/>
      <c r="BT1865" s="207" t="n"/>
      <c r="BU1865" s="207" t="n"/>
      <c r="BV1865" s="208" t="n"/>
      <c r="BW1865" s="207" t="n"/>
      <c r="BX1865" s="207" t="n"/>
      <c r="BY1865" s="204" t="n"/>
      <c r="BZ1865" s="148" t="n"/>
      <c r="CA1865" s="204" t="n"/>
      <c r="CB1865" s="208" t="n"/>
      <c r="CC1865" s="139" t="n"/>
      <c r="CD1865" s="204" t="n"/>
      <c r="CE1865" s="204" t="n"/>
      <c r="CF1865" s="207" t="n"/>
      <c r="CG1865" s="208" t="n"/>
      <c r="CH1865" s="207" t="n"/>
      <c r="CI1865" s="208" t="n"/>
      <c r="CJ1865" s="204" t="n"/>
      <c r="CK1865" s="208" t="n"/>
      <c r="CL1865" s="208" t="n"/>
      <c r="CM1865" s="208" t="n"/>
      <c r="CN1865" s="78" t="n"/>
      <c r="CO1865" s="209" t="n"/>
      <c r="CP1865" s="204" t="n"/>
      <c r="CQ1865" s="204" t="n"/>
      <c r="CR1865" s="204" t="n"/>
      <c r="CS1865" s="204" t="n"/>
      <c r="CT1865" s="204" t="n"/>
      <c r="CU1865" s="204" t="n"/>
      <c r="CV1865" s="204" t="n"/>
      <c r="CW1865" s="204" t="n"/>
    </row>
    <row r="1866">
      <c r="BF1866" s="78" t="n"/>
      <c r="BG1866" s="78" t="n"/>
      <c r="BH1866" s="78" t="n"/>
      <c r="BI1866" s="78" t="n"/>
      <c r="BJ1866" s="139" t="n"/>
      <c r="BK1866" s="204" t="n"/>
      <c r="BL1866" s="141" t="n"/>
      <c r="BM1866" s="205" t="n"/>
      <c r="BN1866" s="205" t="n"/>
      <c r="BO1866" s="206" t="n"/>
      <c r="BP1866" s="144" t="n"/>
      <c r="BQ1866" s="141" t="n"/>
      <c r="BR1866" s="207" t="n"/>
      <c r="BS1866" s="207" t="n"/>
      <c r="BT1866" s="207" t="n"/>
      <c r="BU1866" s="207" t="n"/>
      <c r="BV1866" s="208" t="n"/>
      <c r="BW1866" s="207" t="n"/>
      <c r="BX1866" s="207" t="n"/>
      <c r="BY1866" s="204" t="n"/>
      <c r="BZ1866" s="148" t="n"/>
      <c r="CA1866" s="204" t="n"/>
      <c r="CB1866" s="208" t="n"/>
      <c r="CC1866" s="139" t="n"/>
      <c r="CD1866" s="204" t="n"/>
      <c r="CE1866" s="204" t="n"/>
      <c r="CF1866" s="207" t="n"/>
      <c r="CG1866" s="208" t="n"/>
      <c r="CH1866" s="207" t="n"/>
      <c r="CI1866" s="208" t="n"/>
      <c r="CJ1866" s="204" t="n"/>
      <c r="CK1866" s="208" t="n"/>
      <c r="CL1866" s="208" t="n"/>
      <c r="CM1866" s="208" t="n"/>
      <c r="CN1866" s="78" t="n"/>
      <c r="CO1866" s="209" t="n"/>
      <c r="CP1866" s="204" t="n"/>
      <c r="CQ1866" s="204" t="n"/>
      <c r="CR1866" s="204" t="n"/>
      <c r="CS1866" s="204" t="n"/>
      <c r="CT1866" s="204" t="n"/>
      <c r="CU1866" s="204" t="n"/>
      <c r="CV1866" s="204" t="n"/>
      <c r="CW1866" s="204" t="n"/>
    </row>
    <row r="1867">
      <c r="BF1867" s="78" t="n"/>
      <c r="BG1867" s="78" t="n"/>
      <c r="BH1867" s="78" t="n"/>
      <c r="BI1867" s="78" t="n"/>
      <c r="BJ1867" s="139" t="n"/>
      <c r="BK1867" s="204" t="n"/>
      <c r="BL1867" s="141" t="n"/>
      <c r="BM1867" s="205" t="n"/>
      <c r="BN1867" s="205" t="n"/>
      <c r="BO1867" s="206" t="n"/>
      <c r="BP1867" s="144" t="n"/>
      <c r="BQ1867" s="141" t="n"/>
      <c r="BR1867" s="207" t="n"/>
      <c r="BS1867" s="207" t="n"/>
      <c r="BT1867" s="207" t="n"/>
      <c r="BU1867" s="207" t="n"/>
      <c r="BV1867" s="208" t="n"/>
      <c r="BW1867" s="207" t="n"/>
      <c r="BX1867" s="207" t="n"/>
      <c r="BY1867" s="204" t="n"/>
      <c r="BZ1867" s="148" t="n"/>
      <c r="CA1867" s="204" t="n"/>
      <c r="CB1867" s="208" t="n"/>
      <c r="CC1867" s="139" t="n"/>
      <c r="CD1867" s="204" t="n"/>
      <c r="CE1867" s="204" t="n"/>
      <c r="CF1867" s="207" t="n"/>
      <c r="CG1867" s="208" t="n"/>
      <c r="CH1867" s="207" t="n"/>
      <c r="CI1867" s="208" t="n"/>
      <c r="CJ1867" s="204" t="n"/>
      <c r="CK1867" s="208" t="n"/>
      <c r="CL1867" s="208" t="n"/>
      <c r="CM1867" s="208" t="n"/>
      <c r="CN1867" s="78" t="n"/>
      <c r="CO1867" s="209" t="n"/>
      <c r="CP1867" s="204" t="n"/>
      <c r="CQ1867" s="204" t="n"/>
      <c r="CR1867" s="204" t="n"/>
      <c r="CS1867" s="204" t="n"/>
      <c r="CT1867" s="204" t="n"/>
      <c r="CU1867" s="204" t="n"/>
      <c r="CV1867" s="204" t="n"/>
      <c r="CW1867" s="204" t="n"/>
    </row>
    <row r="1868">
      <c r="BF1868" s="78" t="n"/>
      <c r="BG1868" s="78" t="n"/>
      <c r="BH1868" s="78" t="n"/>
      <c r="BI1868" s="78" t="n"/>
      <c r="BJ1868" s="139" t="n"/>
      <c r="BK1868" s="204" t="n"/>
      <c r="BL1868" s="141" t="n"/>
      <c r="BM1868" s="205" t="n"/>
      <c r="BN1868" s="205" t="n"/>
      <c r="BO1868" s="206" t="n"/>
      <c r="BP1868" s="144" t="n"/>
      <c r="BQ1868" s="141" t="n"/>
      <c r="BR1868" s="207" t="n"/>
      <c r="BS1868" s="207" t="n"/>
      <c r="BT1868" s="207" t="n"/>
      <c r="BU1868" s="207" t="n"/>
      <c r="BV1868" s="208" t="n"/>
      <c r="BW1868" s="207" t="n"/>
      <c r="BX1868" s="207" t="n"/>
      <c r="BY1868" s="204" t="n"/>
      <c r="BZ1868" s="148" t="n"/>
      <c r="CA1868" s="204" t="n"/>
      <c r="CB1868" s="208" t="n"/>
      <c r="CC1868" s="139" t="n"/>
      <c r="CD1868" s="204" t="n"/>
      <c r="CE1868" s="204" t="n"/>
      <c r="CF1868" s="207" t="n"/>
      <c r="CG1868" s="208" t="n"/>
      <c r="CH1868" s="207" t="n"/>
      <c r="CI1868" s="208" t="n"/>
      <c r="CJ1868" s="204" t="n"/>
      <c r="CK1868" s="208" t="n"/>
      <c r="CL1868" s="208" t="n"/>
      <c r="CM1868" s="208" t="n"/>
      <c r="CN1868" s="78" t="n"/>
      <c r="CO1868" s="209" t="n"/>
      <c r="CP1868" s="204" t="n"/>
      <c r="CQ1868" s="204" t="n"/>
      <c r="CR1868" s="204" t="n"/>
      <c r="CS1868" s="204" t="n"/>
      <c r="CT1868" s="204" t="n"/>
      <c r="CU1868" s="204" t="n"/>
      <c r="CV1868" s="204" t="n"/>
      <c r="CW1868" s="204" t="n"/>
    </row>
    <row r="1869">
      <c r="BF1869" s="78" t="n"/>
      <c r="BG1869" s="78" t="n"/>
      <c r="BH1869" s="78" t="n"/>
      <c r="BI1869" s="78" t="n"/>
      <c r="BJ1869" s="139" t="n"/>
      <c r="BK1869" s="204" t="n"/>
      <c r="BL1869" s="141" t="n"/>
      <c r="BM1869" s="205" t="n"/>
      <c r="BN1869" s="205" t="n"/>
      <c r="BO1869" s="206" t="n"/>
      <c r="BP1869" s="144" t="n"/>
      <c r="BQ1869" s="141" t="n"/>
      <c r="BR1869" s="207" t="n"/>
      <c r="BS1869" s="207" t="n"/>
      <c r="BT1869" s="207" t="n"/>
      <c r="BU1869" s="207" t="n"/>
      <c r="BV1869" s="208" t="n"/>
      <c r="BW1869" s="207" t="n"/>
      <c r="BX1869" s="207" t="n"/>
      <c r="BY1869" s="204" t="n"/>
      <c r="BZ1869" s="148" t="n"/>
      <c r="CA1869" s="204" t="n"/>
      <c r="CB1869" s="208" t="n"/>
      <c r="CC1869" s="139" t="n"/>
      <c r="CD1869" s="204" t="n"/>
      <c r="CE1869" s="204" t="n"/>
      <c r="CF1869" s="207" t="n"/>
      <c r="CG1869" s="208" t="n"/>
      <c r="CH1869" s="207" t="n"/>
      <c r="CI1869" s="208" t="n"/>
      <c r="CJ1869" s="204" t="n"/>
      <c r="CK1869" s="208" t="n"/>
      <c r="CL1869" s="208" t="n"/>
      <c r="CM1869" s="208" t="n"/>
      <c r="CN1869" s="78" t="n"/>
      <c r="CO1869" s="209" t="n"/>
      <c r="CP1869" s="204" t="n"/>
      <c r="CQ1869" s="204" t="n"/>
      <c r="CR1869" s="204" t="n"/>
      <c r="CS1869" s="204" t="n"/>
      <c r="CT1869" s="204" t="n"/>
      <c r="CU1869" s="204" t="n"/>
      <c r="CV1869" s="204" t="n"/>
      <c r="CW1869" s="204" t="n"/>
    </row>
    <row r="1870">
      <c r="BF1870" s="78" t="n"/>
      <c r="BG1870" s="78" t="n"/>
      <c r="BH1870" s="78" t="n"/>
      <c r="BI1870" s="78" t="n"/>
      <c r="BJ1870" s="139" t="n"/>
      <c r="BK1870" s="204" t="n"/>
      <c r="BL1870" s="141" t="n"/>
      <c r="BM1870" s="205" t="n"/>
      <c r="BN1870" s="205" t="n"/>
      <c r="BO1870" s="206" t="n"/>
      <c r="BP1870" s="144" t="n"/>
      <c r="BQ1870" s="141" t="n"/>
      <c r="BR1870" s="207" t="n"/>
      <c r="BS1870" s="207" t="n"/>
      <c r="BT1870" s="207" t="n"/>
      <c r="BU1870" s="207" t="n"/>
      <c r="BV1870" s="208" t="n"/>
      <c r="BW1870" s="207" t="n"/>
      <c r="BX1870" s="207" t="n"/>
      <c r="BY1870" s="204" t="n"/>
      <c r="BZ1870" s="148" t="n"/>
      <c r="CA1870" s="204" t="n"/>
      <c r="CB1870" s="208" t="n"/>
      <c r="CC1870" s="139" t="n"/>
      <c r="CD1870" s="204" t="n"/>
      <c r="CE1870" s="204" t="n"/>
      <c r="CF1870" s="207" t="n"/>
      <c r="CG1870" s="208" t="n"/>
      <c r="CH1870" s="207" t="n"/>
      <c r="CI1870" s="208" t="n"/>
      <c r="CJ1870" s="204" t="n"/>
      <c r="CK1870" s="208" t="n"/>
      <c r="CL1870" s="208" t="n"/>
      <c r="CM1870" s="208" t="n"/>
      <c r="CN1870" s="78" t="n"/>
      <c r="CO1870" s="209" t="n"/>
      <c r="CP1870" s="204" t="n"/>
      <c r="CQ1870" s="204" t="n"/>
      <c r="CR1870" s="204" t="n"/>
      <c r="CS1870" s="204" t="n"/>
      <c r="CT1870" s="204" t="n"/>
      <c r="CU1870" s="204" t="n"/>
      <c r="CV1870" s="204" t="n"/>
      <c r="CW1870" s="204" t="n"/>
    </row>
    <row r="1871">
      <c r="BF1871" s="78" t="n"/>
      <c r="BG1871" s="78" t="n"/>
      <c r="BH1871" s="78" t="n"/>
      <c r="BI1871" s="78" t="n"/>
      <c r="BJ1871" s="139" t="n"/>
      <c r="BK1871" s="204" t="n"/>
      <c r="BL1871" s="141" t="n"/>
      <c r="BM1871" s="205" t="n"/>
      <c r="BN1871" s="205" t="n"/>
      <c r="BO1871" s="206" t="n"/>
      <c r="BP1871" s="144" t="n"/>
      <c r="BQ1871" s="141" t="n"/>
      <c r="BR1871" s="207" t="n"/>
      <c r="BS1871" s="207" t="n"/>
      <c r="BT1871" s="207" t="n"/>
      <c r="BU1871" s="207" t="n"/>
      <c r="BV1871" s="208" t="n"/>
      <c r="BW1871" s="207" t="n"/>
      <c r="BX1871" s="207" t="n"/>
      <c r="BY1871" s="204" t="n"/>
      <c r="BZ1871" s="148" t="n"/>
      <c r="CA1871" s="204" t="n"/>
      <c r="CB1871" s="208" t="n"/>
      <c r="CC1871" s="139" t="n"/>
      <c r="CD1871" s="204" t="n"/>
      <c r="CE1871" s="204" t="n"/>
      <c r="CF1871" s="207" t="n"/>
      <c r="CG1871" s="208" t="n"/>
      <c r="CH1871" s="207" t="n"/>
      <c r="CI1871" s="208" t="n"/>
      <c r="CJ1871" s="204" t="n"/>
      <c r="CK1871" s="208" t="n"/>
      <c r="CL1871" s="208" t="n"/>
      <c r="CM1871" s="208" t="n"/>
      <c r="CN1871" s="78" t="n"/>
      <c r="CO1871" s="209" t="n"/>
      <c r="CP1871" s="204" t="n"/>
      <c r="CQ1871" s="204" t="n"/>
      <c r="CR1871" s="204" t="n"/>
      <c r="CS1871" s="204" t="n"/>
      <c r="CT1871" s="204" t="n"/>
      <c r="CU1871" s="204" t="n"/>
      <c r="CV1871" s="204" t="n"/>
      <c r="CW1871" s="204" t="n"/>
    </row>
    <row r="1872">
      <c r="BF1872" s="78" t="n"/>
      <c r="BG1872" s="78" t="n"/>
      <c r="BH1872" s="78" t="n"/>
      <c r="BI1872" s="78" t="n"/>
      <c r="BJ1872" s="139" t="n"/>
      <c r="BK1872" s="204" t="n"/>
      <c r="BL1872" s="141" t="n"/>
      <c r="BM1872" s="205" t="n"/>
      <c r="BN1872" s="205" t="n"/>
      <c r="BO1872" s="206" t="n"/>
      <c r="BP1872" s="144" t="n"/>
      <c r="BQ1872" s="141" t="n"/>
      <c r="BR1872" s="207" t="n"/>
      <c r="BS1872" s="207" t="n"/>
      <c r="BT1872" s="207" t="n"/>
      <c r="BU1872" s="207" t="n"/>
      <c r="BV1872" s="208" t="n"/>
      <c r="BW1872" s="207" t="n"/>
      <c r="BX1872" s="207" t="n"/>
      <c r="BY1872" s="204" t="n"/>
      <c r="BZ1872" s="148" t="n"/>
      <c r="CA1872" s="204" t="n"/>
      <c r="CB1872" s="208" t="n"/>
      <c r="CC1872" s="139" t="n"/>
      <c r="CD1872" s="204" t="n"/>
      <c r="CE1872" s="204" t="n"/>
      <c r="CF1872" s="207" t="n"/>
      <c r="CG1872" s="208" t="n"/>
      <c r="CH1872" s="207" t="n"/>
      <c r="CI1872" s="208" t="n"/>
      <c r="CJ1872" s="204" t="n"/>
      <c r="CK1872" s="208" t="n"/>
      <c r="CL1872" s="208" t="n"/>
      <c r="CM1872" s="208" t="n"/>
      <c r="CN1872" s="78" t="n"/>
      <c r="CO1872" s="209" t="n"/>
      <c r="CP1872" s="204" t="n"/>
      <c r="CQ1872" s="204" t="n"/>
      <c r="CR1872" s="204" t="n"/>
      <c r="CS1872" s="204" t="n"/>
      <c r="CT1872" s="204" t="n"/>
      <c r="CU1872" s="204" t="n"/>
      <c r="CV1872" s="204" t="n"/>
      <c r="CW1872" s="204" t="n"/>
    </row>
    <row r="1873">
      <c r="BF1873" s="78" t="n"/>
      <c r="BG1873" s="78" t="n"/>
      <c r="BH1873" s="78" t="n"/>
      <c r="BI1873" s="78" t="n"/>
      <c r="BJ1873" s="139" t="n"/>
      <c r="BK1873" s="204" t="n"/>
      <c r="BL1873" s="141" t="n"/>
      <c r="BM1873" s="205" t="n"/>
      <c r="BN1873" s="205" t="n"/>
      <c r="BO1873" s="206" t="n"/>
      <c r="BP1873" s="144" t="n"/>
      <c r="BQ1873" s="141" t="n"/>
      <c r="BR1873" s="207" t="n"/>
      <c r="BS1873" s="207" t="n"/>
      <c r="BT1873" s="207" t="n"/>
      <c r="BU1873" s="207" t="n"/>
      <c r="BV1873" s="208" t="n"/>
      <c r="BW1873" s="207" t="n"/>
      <c r="BX1873" s="207" t="n"/>
      <c r="BY1873" s="204" t="n"/>
      <c r="BZ1873" s="148" t="n"/>
      <c r="CA1873" s="204" t="n"/>
      <c r="CB1873" s="208" t="n"/>
      <c r="CC1873" s="139" t="n"/>
      <c r="CD1873" s="204" t="n"/>
      <c r="CE1873" s="204" t="n"/>
      <c r="CF1873" s="207" t="n"/>
      <c r="CG1873" s="208" t="n"/>
      <c r="CH1873" s="207" t="n"/>
      <c r="CI1873" s="208" t="n"/>
      <c r="CJ1873" s="204" t="n"/>
      <c r="CK1873" s="208" t="n"/>
      <c r="CL1873" s="208" t="n"/>
      <c r="CM1873" s="208" t="n"/>
      <c r="CN1873" s="78" t="n"/>
      <c r="CO1873" s="209" t="n"/>
      <c r="CP1873" s="204" t="n"/>
      <c r="CQ1873" s="204" t="n"/>
      <c r="CR1873" s="204" t="n"/>
      <c r="CS1873" s="204" t="n"/>
      <c r="CT1873" s="204" t="n"/>
      <c r="CU1873" s="204" t="n"/>
      <c r="CV1873" s="204" t="n"/>
      <c r="CW1873" s="204" t="n"/>
    </row>
    <row r="1874">
      <c r="BF1874" s="78" t="n"/>
      <c r="BG1874" s="78" t="n"/>
      <c r="BH1874" s="78" t="n"/>
      <c r="BI1874" s="78" t="n"/>
      <c r="BJ1874" s="139" t="n"/>
      <c r="BK1874" s="204" t="n"/>
      <c r="BL1874" s="141" t="n"/>
      <c r="BM1874" s="205" t="n"/>
      <c r="BN1874" s="205" t="n"/>
      <c r="BO1874" s="206" t="n"/>
      <c r="BP1874" s="144" t="n"/>
      <c r="BQ1874" s="141" t="n"/>
      <c r="BR1874" s="207" t="n"/>
      <c r="BS1874" s="207" t="n"/>
      <c r="BT1874" s="207" t="n"/>
      <c r="BU1874" s="207" t="n"/>
      <c r="BV1874" s="208" t="n"/>
      <c r="BW1874" s="207" t="n"/>
      <c r="BX1874" s="207" t="n"/>
      <c r="BY1874" s="204" t="n"/>
      <c r="BZ1874" s="148" t="n"/>
      <c r="CA1874" s="204" t="n"/>
      <c r="CB1874" s="208" t="n"/>
      <c r="CC1874" s="139" t="n"/>
      <c r="CD1874" s="204" t="n"/>
      <c r="CE1874" s="204" t="n"/>
      <c r="CF1874" s="207" t="n"/>
      <c r="CG1874" s="208" t="n"/>
      <c r="CH1874" s="207" t="n"/>
      <c r="CI1874" s="208" t="n"/>
      <c r="CJ1874" s="204" t="n"/>
      <c r="CK1874" s="208" t="n"/>
      <c r="CL1874" s="208" t="n"/>
      <c r="CM1874" s="208" t="n"/>
      <c r="CN1874" s="78" t="n"/>
      <c r="CO1874" s="209" t="n"/>
      <c r="CP1874" s="204" t="n"/>
      <c r="CQ1874" s="204" t="n"/>
      <c r="CR1874" s="204" t="n"/>
      <c r="CS1874" s="204" t="n"/>
      <c r="CT1874" s="204" t="n"/>
      <c r="CU1874" s="204" t="n"/>
      <c r="CV1874" s="204" t="n"/>
      <c r="CW1874" s="204" t="n"/>
    </row>
    <row r="1875">
      <c r="BF1875" s="78" t="n"/>
      <c r="BG1875" s="78" t="n"/>
      <c r="BH1875" s="78" t="n"/>
      <c r="BI1875" s="78" t="n"/>
      <c r="BJ1875" s="139" t="n"/>
      <c r="BK1875" s="204" t="n"/>
      <c r="BL1875" s="141" t="n"/>
      <c r="BM1875" s="205" t="n"/>
      <c r="BN1875" s="205" t="n"/>
      <c r="BO1875" s="206" t="n"/>
      <c r="BP1875" s="144" t="n"/>
      <c r="BQ1875" s="141" t="n"/>
      <c r="BR1875" s="207" t="n"/>
      <c r="BS1875" s="207" t="n"/>
      <c r="BT1875" s="207" t="n"/>
      <c r="BU1875" s="207" t="n"/>
      <c r="BV1875" s="208" t="n"/>
      <c r="BW1875" s="207" t="n"/>
      <c r="BX1875" s="207" t="n"/>
      <c r="BY1875" s="204" t="n"/>
      <c r="BZ1875" s="148" t="n"/>
      <c r="CA1875" s="204" t="n"/>
      <c r="CB1875" s="208" t="n"/>
      <c r="CC1875" s="139" t="n"/>
      <c r="CD1875" s="204" t="n"/>
      <c r="CE1875" s="204" t="n"/>
      <c r="CF1875" s="207" t="n"/>
      <c r="CG1875" s="208" t="n"/>
      <c r="CH1875" s="207" t="n"/>
      <c r="CI1875" s="208" t="n"/>
      <c r="CJ1875" s="204" t="n"/>
      <c r="CK1875" s="208" t="n"/>
      <c r="CL1875" s="208" t="n"/>
      <c r="CM1875" s="208" t="n"/>
      <c r="CN1875" s="78" t="n"/>
      <c r="CO1875" s="209" t="n"/>
      <c r="CP1875" s="204" t="n"/>
      <c r="CQ1875" s="204" t="n"/>
      <c r="CR1875" s="204" t="n"/>
      <c r="CS1875" s="204" t="n"/>
      <c r="CT1875" s="204" t="n"/>
      <c r="CU1875" s="204" t="n"/>
      <c r="CV1875" s="204" t="n"/>
      <c r="CW1875" s="204" t="n"/>
    </row>
    <row r="1876">
      <c r="BF1876" s="78" t="n"/>
      <c r="BG1876" s="78" t="n"/>
      <c r="BH1876" s="78" t="n"/>
      <c r="BI1876" s="78" t="n"/>
      <c r="BJ1876" s="139" t="n"/>
      <c r="BK1876" s="204" t="n"/>
      <c r="BL1876" s="141" t="n"/>
      <c r="BM1876" s="205" t="n"/>
      <c r="BN1876" s="205" t="n"/>
      <c r="BO1876" s="206" t="n"/>
      <c r="BP1876" s="144" t="n"/>
      <c r="BQ1876" s="141" t="n"/>
      <c r="BR1876" s="207" t="n"/>
      <c r="BS1876" s="207" t="n"/>
      <c r="BT1876" s="207" t="n"/>
      <c r="BU1876" s="207" t="n"/>
      <c r="BV1876" s="208" t="n"/>
      <c r="BW1876" s="207" t="n"/>
      <c r="BX1876" s="207" t="n"/>
      <c r="BY1876" s="204" t="n"/>
      <c r="BZ1876" s="148" t="n"/>
      <c r="CA1876" s="204" t="n"/>
      <c r="CB1876" s="208" t="n"/>
      <c r="CC1876" s="139" t="n"/>
      <c r="CD1876" s="204" t="n"/>
      <c r="CE1876" s="204" t="n"/>
      <c r="CF1876" s="207" t="n"/>
      <c r="CG1876" s="208" t="n"/>
      <c r="CH1876" s="207" t="n"/>
      <c r="CI1876" s="208" t="n"/>
      <c r="CJ1876" s="204" t="n"/>
      <c r="CK1876" s="208" t="n"/>
      <c r="CL1876" s="208" t="n"/>
      <c r="CM1876" s="208" t="n"/>
      <c r="CN1876" s="78" t="n"/>
      <c r="CO1876" s="209" t="n"/>
      <c r="CP1876" s="204" t="n"/>
      <c r="CQ1876" s="204" t="n"/>
      <c r="CR1876" s="204" t="n"/>
      <c r="CS1876" s="204" t="n"/>
      <c r="CT1876" s="204" t="n"/>
      <c r="CU1876" s="204" t="n"/>
      <c r="CV1876" s="204" t="n"/>
      <c r="CW1876" s="204" t="n"/>
    </row>
    <row r="1877">
      <c r="BF1877" s="78" t="n"/>
      <c r="BG1877" s="78" t="n"/>
      <c r="BH1877" s="78" t="n"/>
      <c r="BI1877" s="78" t="n"/>
      <c r="BJ1877" s="139" t="n"/>
      <c r="BK1877" s="204" t="n"/>
      <c r="BL1877" s="141" t="n"/>
      <c r="BM1877" s="205" t="n"/>
      <c r="BN1877" s="205" t="n"/>
      <c r="BO1877" s="206" t="n"/>
      <c r="BP1877" s="144" t="n"/>
      <c r="BQ1877" s="141" t="n"/>
      <c r="BR1877" s="207" t="n"/>
      <c r="BS1877" s="207" t="n"/>
      <c r="BT1877" s="207" t="n"/>
      <c r="BU1877" s="207" t="n"/>
      <c r="BV1877" s="208" t="n"/>
      <c r="BW1877" s="207" t="n"/>
      <c r="BX1877" s="207" t="n"/>
      <c r="BY1877" s="204" t="n"/>
      <c r="BZ1877" s="148" t="n"/>
      <c r="CA1877" s="204" t="n"/>
      <c r="CB1877" s="208" t="n"/>
      <c r="CC1877" s="139" t="n"/>
      <c r="CD1877" s="204" t="n"/>
      <c r="CE1877" s="204" t="n"/>
      <c r="CF1877" s="207" t="n"/>
      <c r="CG1877" s="208" t="n"/>
      <c r="CH1877" s="207" t="n"/>
      <c r="CI1877" s="208" t="n"/>
      <c r="CJ1877" s="204" t="n"/>
      <c r="CK1877" s="208" t="n"/>
      <c r="CL1877" s="208" t="n"/>
      <c r="CM1877" s="208" t="n"/>
      <c r="CN1877" s="78" t="n"/>
      <c r="CO1877" s="209" t="n"/>
      <c r="CP1877" s="204" t="n"/>
      <c r="CQ1877" s="204" t="n"/>
      <c r="CR1877" s="204" t="n"/>
      <c r="CS1877" s="204" t="n"/>
      <c r="CT1877" s="204" t="n"/>
      <c r="CU1877" s="204" t="n"/>
      <c r="CV1877" s="204" t="n"/>
      <c r="CW1877" s="204" t="n"/>
    </row>
    <row r="1878">
      <c r="BF1878" s="78" t="n"/>
      <c r="BG1878" s="78" t="n"/>
      <c r="BH1878" s="78" t="n"/>
      <c r="BI1878" s="78" t="n"/>
      <c r="BJ1878" s="139" t="n"/>
      <c r="BK1878" s="204" t="n"/>
      <c r="BL1878" s="141" t="n"/>
      <c r="BM1878" s="205" t="n"/>
      <c r="BN1878" s="205" t="n"/>
      <c r="BO1878" s="206" t="n"/>
      <c r="BP1878" s="144" t="n"/>
      <c r="BQ1878" s="141" t="n"/>
      <c r="BR1878" s="207" t="n"/>
      <c r="BS1878" s="207" t="n"/>
      <c r="BT1878" s="207" t="n"/>
      <c r="BU1878" s="207" t="n"/>
      <c r="BV1878" s="208" t="n"/>
      <c r="BW1878" s="207" t="n"/>
      <c r="BX1878" s="207" t="n"/>
      <c r="BY1878" s="204" t="n"/>
      <c r="BZ1878" s="148" t="n"/>
      <c r="CA1878" s="204" t="n"/>
      <c r="CB1878" s="208" t="n"/>
      <c r="CC1878" s="139" t="n"/>
      <c r="CD1878" s="204" t="n"/>
      <c r="CE1878" s="204" t="n"/>
      <c r="CF1878" s="207" t="n"/>
      <c r="CG1878" s="208" t="n"/>
      <c r="CH1878" s="207" t="n"/>
      <c r="CI1878" s="208" t="n"/>
      <c r="CJ1878" s="204" t="n"/>
      <c r="CK1878" s="208" t="n"/>
      <c r="CL1878" s="208" t="n"/>
      <c r="CM1878" s="208" t="n"/>
      <c r="CN1878" s="78" t="n"/>
      <c r="CO1878" s="209" t="n"/>
      <c r="CP1878" s="204" t="n"/>
      <c r="CQ1878" s="204" t="n"/>
      <c r="CR1878" s="204" t="n"/>
      <c r="CS1878" s="204" t="n"/>
      <c r="CT1878" s="204" t="n"/>
      <c r="CU1878" s="204" t="n"/>
      <c r="CV1878" s="204" t="n"/>
      <c r="CW1878" s="204" t="n"/>
    </row>
    <row r="1879">
      <c r="BF1879" s="78" t="n"/>
      <c r="BG1879" s="78" t="n"/>
      <c r="BH1879" s="78" t="n"/>
      <c r="BI1879" s="78" t="n"/>
      <c r="BJ1879" s="139" t="n"/>
      <c r="BK1879" s="204" t="n"/>
      <c r="BL1879" s="141" t="n"/>
      <c r="BM1879" s="205" t="n"/>
      <c r="BN1879" s="205" t="n"/>
      <c r="BO1879" s="206" t="n"/>
      <c r="BP1879" s="144" t="n"/>
      <c r="BQ1879" s="141" t="n"/>
      <c r="BR1879" s="207" t="n"/>
      <c r="BS1879" s="207" t="n"/>
      <c r="BT1879" s="207" t="n"/>
      <c r="BU1879" s="207" t="n"/>
      <c r="BV1879" s="208" t="n"/>
      <c r="BW1879" s="207" t="n"/>
      <c r="BX1879" s="207" t="n"/>
      <c r="BY1879" s="204" t="n"/>
      <c r="BZ1879" s="148" t="n"/>
      <c r="CA1879" s="204" t="n"/>
      <c r="CB1879" s="208" t="n"/>
      <c r="CC1879" s="139" t="n"/>
      <c r="CD1879" s="204" t="n"/>
      <c r="CE1879" s="204" t="n"/>
      <c r="CF1879" s="207" t="n"/>
      <c r="CG1879" s="208" t="n"/>
      <c r="CH1879" s="207" t="n"/>
      <c r="CI1879" s="208" t="n"/>
      <c r="CJ1879" s="204" t="n"/>
      <c r="CK1879" s="208" t="n"/>
      <c r="CL1879" s="208" t="n"/>
      <c r="CM1879" s="208" t="n"/>
      <c r="CN1879" s="78" t="n"/>
      <c r="CO1879" s="209" t="n"/>
      <c r="CP1879" s="204" t="n"/>
      <c r="CQ1879" s="204" t="n"/>
      <c r="CR1879" s="204" t="n"/>
      <c r="CS1879" s="204" t="n"/>
      <c r="CT1879" s="204" t="n"/>
      <c r="CU1879" s="204" t="n"/>
      <c r="CV1879" s="204" t="n"/>
      <c r="CW1879" s="204" t="n"/>
    </row>
    <row r="1880">
      <c r="BF1880" s="78" t="n"/>
      <c r="BG1880" s="78" t="n"/>
      <c r="BH1880" s="78" t="n"/>
      <c r="BI1880" s="78" t="n"/>
      <c r="BJ1880" s="139" t="n"/>
      <c r="BK1880" s="204" t="n"/>
      <c r="BL1880" s="141" t="n"/>
      <c r="BM1880" s="205" t="n"/>
      <c r="BN1880" s="205" t="n"/>
      <c r="BO1880" s="206" t="n"/>
      <c r="BP1880" s="144" t="n"/>
      <c r="BQ1880" s="141" t="n"/>
      <c r="BR1880" s="207" t="n"/>
      <c r="BS1880" s="207" t="n"/>
      <c r="BT1880" s="207" t="n"/>
      <c r="BU1880" s="207" t="n"/>
      <c r="BV1880" s="208" t="n"/>
      <c r="BW1880" s="207" t="n"/>
      <c r="BX1880" s="207" t="n"/>
      <c r="BY1880" s="204" t="n"/>
      <c r="BZ1880" s="148" t="n"/>
      <c r="CA1880" s="204" t="n"/>
      <c r="CB1880" s="208" t="n"/>
      <c r="CC1880" s="139" t="n"/>
      <c r="CD1880" s="204" t="n"/>
      <c r="CE1880" s="204" t="n"/>
      <c r="CF1880" s="207" t="n"/>
      <c r="CG1880" s="208" t="n"/>
      <c r="CH1880" s="207" t="n"/>
      <c r="CI1880" s="208" t="n"/>
      <c r="CJ1880" s="204" t="n"/>
      <c r="CK1880" s="208" t="n"/>
      <c r="CL1880" s="208" t="n"/>
      <c r="CM1880" s="208" t="n"/>
      <c r="CN1880" s="78" t="n"/>
      <c r="CO1880" s="209" t="n"/>
      <c r="CP1880" s="204" t="n"/>
      <c r="CQ1880" s="204" t="n"/>
      <c r="CR1880" s="204" t="n"/>
      <c r="CS1880" s="204" t="n"/>
      <c r="CT1880" s="204" t="n"/>
      <c r="CU1880" s="204" t="n"/>
      <c r="CV1880" s="204" t="n"/>
      <c r="CW1880" s="204" t="n"/>
    </row>
    <row r="1881">
      <c r="BF1881" s="78" t="n"/>
      <c r="BG1881" s="78" t="n"/>
      <c r="BH1881" s="78" t="n"/>
      <c r="BI1881" s="78" t="n"/>
      <c r="BJ1881" s="139" t="n"/>
      <c r="BK1881" s="204" t="n"/>
      <c r="BL1881" s="141" t="n"/>
      <c r="BM1881" s="205" t="n"/>
      <c r="BN1881" s="205" t="n"/>
      <c r="BO1881" s="206" t="n"/>
      <c r="BP1881" s="144" t="n"/>
      <c r="BQ1881" s="141" t="n"/>
      <c r="BR1881" s="207" t="n"/>
      <c r="BS1881" s="207" t="n"/>
      <c r="BT1881" s="207" t="n"/>
      <c r="BU1881" s="207" t="n"/>
      <c r="BV1881" s="208" t="n"/>
      <c r="BW1881" s="207" t="n"/>
      <c r="BX1881" s="207" t="n"/>
      <c r="BY1881" s="204" t="n"/>
      <c r="BZ1881" s="148" t="n"/>
      <c r="CA1881" s="204" t="n"/>
      <c r="CB1881" s="208" t="n"/>
      <c r="CC1881" s="139" t="n"/>
      <c r="CD1881" s="204" t="n"/>
      <c r="CE1881" s="204" t="n"/>
      <c r="CF1881" s="207" t="n"/>
      <c r="CG1881" s="208" t="n"/>
      <c r="CH1881" s="207" t="n"/>
      <c r="CI1881" s="208" t="n"/>
      <c r="CJ1881" s="204" t="n"/>
      <c r="CK1881" s="208" t="n"/>
      <c r="CL1881" s="208" t="n"/>
      <c r="CM1881" s="208" t="n"/>
      <c r="CN1881" s="78" t="n"/>
      <c r="CO1881" s="209" t="n"/>
      <c r="CP1881" s="204" t="n"/>
      <c r="CQ1881" s="204" t="n"/>
      <c r="CR1881" s="204" t="n"/>
      <c r="CS1881" s="204" t="n"/>
      <c r="CT1881" s="204" t="n"/>
      <c r="CU1881" s="204" t="n"/>
      <c r="CV1881" s="204" t="n"/>
      <c r="CW1881" s="204" t="n"/>
    </row>
    <row r="1882">
      <c r="BF1882" s="78" t="n"/>
      <c r="BG1882" s="78" t="n"/>
      <c r="BH1882" s="78" t="n"/>
      <c r="BI1882" s="78" t="n"/>
      <c r="BJ1882" s="139" t="n"/>
      <c r="BK1882" s="204" t="n"/>
      <c r="BL1882" s="141" t="n"/>
      <c r="BM1882" s="205" t="n"/>
      <c r="BN1882" s="205" t="n"/>
      <c r="BO1882" s="206" t="n"/>
      <c r="BP1882" s="144" t="n"/>
      <c r="BQ1882" s="141" t="n"/>
      <c r="BR1882" s="207" t="n"/>
      <c r="BS1882" s="207" t="n"/>
      <c r="BT1882" s="207" t="n"/>
      <c r="BU1882" s="207" t="n"/>
      <c r="BV1882" s="208" t="n"/>
      <c r="BW1882" s="207" t="n"/>
      <c r="BX1882" s="207" t="n"/>
      <c r="BY1882" s="204" t="n"/>
      <c r="BZ1882" s="148" t="n"/>
      <c r="CA1882" s="204" t="n"/>
      <c r="CB1882" s="208" t="n"/>
      <c r="CC1882" s="139" t="n"/>
      <c r="CD1882" s="204" t="n"/>
      <c r="CE1882" s="204" t="n"/>
      <c r="CF1882" s="207" t="n"/>
      <c r="CG1882" s="208" t="n"/>
      <c r="CH1882" s="207" t="n"/>
      <c r="CI1882" s="208" t="n"/>
      <c r="CJ1882" s="204" t="n"/>
      <c r="CK1882" s="208" t="n"/>
      <c r="CL1882" s="208" t="n"/>
      <c r="CM1882" s="208" t="n"/>
      <c r="CN1882" s="78" t="n"/>
      <c r="CO1882" s="209" t="n"/>
      <c r="CP1882" s="204" t="n"/>
      <c r="CQ1882" s="204" t="n"/>
      <c r="CR1882" s="204" t="n"/>
      <c r="CS1882" s="204" t="n"/>
      <c r="CT1882" s="204" t="n"/>
      <c r="CU1882" s="204" t="n"/>
      <c r="CV1882" s="204" t="n"/>
      <c r="CW1882" s="204" t="n"/>
    </row>
    <row r="1883">
      <c r="BF1883" s="78" t="n"/>
      <c r="BG1883" s="78" t="n"/>
      <c r="BH1883" s="78" t="n"/>
      <c r="BI1883" s="78" t="n"/>
      <c r="BJ1883" s="139" t="n"/>
      <c r="BK1883" s="204" t="n"/>
      <c r="BL1883" s="141" t="n"/>
      <c r="BM1883" s="205" t="n"/>
      <c r="BN1883" s="205" t="n"/>
      <c r="BO1883" s="206" t="n"/>
      <c r="BP1883" s="144" t="n"/>
      <c r="BQ1883" s="141" t="n"/>
      <c r="BR1883" s="207" t="n"/>
      <c r="BS1883" s="207" t="n"/>
      <c r="BT1883" s="207" t="n"/>
      <c r="BU1883" s="207" t="n"/>
      <c r="BV1883" s="208" t="n"/>
      <c r="BW1883" s="207" t="n"/>
      <c r="BX1883" s="207" t="n"/>
      <c r="BY1883" s="204" t="n"/>
      <c r="BZ1883" s="148" t="n"/>
      <c r="CA1883" s="204" t="n"/>
      <c r="CB1883" s="208" t="n"/>
      <c r="CC1883" s="139" t="n"/>
      <c r="CD1883" s="204" t="n"/>
      <c r="CE1883" s="204" t="n"/>
      <c r="CF1883" s="207" t="n"/>
      <c r="CG1883" s="208" t="n"/>
      <c r="CH1883" s="207" t="n"/>
      <c r="CI1883" s="208" t="n"/>
      <c r="CJ1883" s="204" t="n"/>
      <c r="CK1883" s="208" t="n"/>
      <c r="CL1883" s="208" t="n"/>
      <c r="CM1883" s="208" t="n"/>
      <c r="CN1883" s="78" t="n"/>
      <c r="CO1883" s="209" t="n"/>
      <c r="CP1883" s="204" t="n"/>
      <c r="CQ1883" s="204" t="n"/>
      <c r="CR1883" s="204" t="n"/>
      <c r="CS1883" s="204" t="n"/>
      <c r="CT1883" s="204" t="n"/>
      <c r="CU1883" s="204" t="n"/>
      <c r="CV1883" s="204" t="n"/>
      <c r="CW1883" s="204" t="n"/>
    </row>
    <row r="1884">
      <c r="BF1884" s="78" t="n"/>
      <c r="BG1884" s="78" t="n"/>
      <c r="BH1884" s="78" t="n"/>
      <c r="BI1884" s="78" t="n"/>
      <c r="BJ1884" s="139" t="n"/>
      <c r="BK1884" s="204" t="n"/>
      <c r="BL1884" s="141" t="n"/>
      <c r="BM1884" s="205" t="n"/>
      <c r="BN1884" s="205" t="n"/>
      <c r="BO1884" s="206" t="n"/>
      <c r="BP1884" s="144" t="n"/>
      <c r="BQ1884" s="141" t="n"/>
      <c r="BR1884" s="207" t="n"/>
      <c r="BS1884" s="207" t="n"/>
      <c r="BT1884" s="207" t="n"/>
      <c r="BU1884" s="207" t="n"/>
      <c r="BV1884" s="208" t="n"/>
      <c r="BW1884" s="207" t="n"/>
      <c r="BX1884" s="207" t="n"/>
      <c r="BY1884" s="204" t="n"/>
      <c r="BZ1884" s="148" t="n"/>
      <c r="CA1884" s="204" t="n"/>
      <c r="CB1884" s="208" t="n"/>
      <c r="CC1884" s="139" t="n"/>
      <c r="CD1884" s="204" t="n"/>
      <c r="CE1884" s="204" t="n"/>
      <c r="CF1884" s="207" t="n"/>
      <c r="CG1884" s="208" t="n"/>
      <c r="CH1884" s="207" t="n"/>
      <c r="CI1884" s="208" t="n"/>
      <c r="CJ1884" s="204" t="n"/>
      <c r="CK1884" s="208" t="n"/>
      <c r="CL1884" s="208" t="n"/>
      <c r="CM1884" s="208" t="n"/>
      <c r="CN1884" s="78" t="n"/>
      <c r="CO1884" s="209" t="n"/>
      <c r="CP1884" s="204" t="n"/>
      <c r="CQ1884" s="204" t="n"/>
      <c r="CR1884" s="204" t="n"/>
      <c r="CS1884" s="204" t="n"/>
      <c r="CT1884" s="204" t="n"/>
      <c r="CU1884" s="204" t="n"/>
      <c r="CV1884" s="204" t="n"/>
      <c r="CW1884" s="204" t="n"/>
    </row>
    <row r="1885">
      <c r="BF1885" s="78" t="n"/>
      <c r="BG1885" s="78" t="n"/>
      <c r="BH1885" s="78" t="n"/>
      <c r="BI1885" s="78" t="n"/>
      <c r="BJ1885" s="139" t="n"/>
      <c r="BK1885" s="204" t="n"/>
      <c r="BL1885" s="141" t="n"/>
      <c r="BM1885" s="205" t="n"/>
      <c r="BN1885" s="205" t="n"/>
      <c r="BO1885" s="206" t="n"/>
      <c r="BP1885" s="144" t="n"/>
      <c r="BQ1885" s="141" t="n"/>
      <c r="BR1885" s="207" t="n"/>
      <c r="BS1885" s="207" t="n"/>
      <c r="BT1885" s="207" t="n"/>
      <c r="BU1885" s="207" t="n"/>
      <c r="BV1885" s="208" t="n"/>
      <c r="BW1885" s="207" t="n"/>
      <c r="BX1885" s="207" t="n"/>
      <c r="BY1885" s="204" t="n"/>
      <c r="BZ1885" s="148" t="n"/>
      <c r="CA1885" s="204" t="n"/>
      <c r="CB1885" s="208" t="n"/>
      <c r="CC1885" s="139" t="n"/>
      <c r="CD1885" s="204" t="n"/>
      <c r="CE1885" s="204" t="n"/>
      <c r="CF1885" s="207" t="n"/>
      <c r="CG1885" s="208" t="n"/>
      <c r="CH1885" s="207" t="n"/>
      <c r="CI1885" s="208" t="n"/>
      <c r="CJ1885" s="204" t="n"/>
      <c r="CK1885" s="208" t="n"/>
      <c r="CL1885" s="208" t="n"/>
      <c r="CM1885" s="208" t="n"/>
      <c r="CN1885" s="78" t="n"/>
      <c r="CO1885" s="209" t="n"/>
      <c r="CP1885" s="204" t="n"/>
      <c r="CQ1885" s="204" t="n"/>
      <c r="CR1885" s="204" t="n"/>
      <c r="CS1885" s="204" t="n"/>
      <c r="CT1885" s="204" t="n"/>
      <c r="CU1885" s="204" t="n"/>
      <c r="CV1885" s="204" t="n"/>
      <c r="CW1885" s="204" t="n"/>
    </row>
    <row r="1886">
      <c r="BF1886" s="78" t="n"/>
      <c r="BG1886" s="78" t="n"/>
      <c r="BH1886" s="78" t="n"/>
      <c r="BI1886" s="78" t="n"/>
      <c r="BJ1886" s="139" t="n"/>
      <c r="BK1886" s="204" t="n"/>
      <c r="BL1886" s="141" t="n"/>
      <c r="BM1886" s="205" t="n"/>
      <c r="BN1886" s="205" t="n"/>
      <c r="BO1886" s="206" t="n"/>
      <c r="BP1886" s="144" t="n"/>
      <c r="BQ1886" s="141" t="n"/>
      <c r="BR1886" s="207" t="n"/>
      <c r="BS1886" s="207" t="n"/>
      <c r="BT1886" s="207" t="n"/>
      <c r="BU1886" s="207" t="n"/>
      <c r="BV1886" s="208" t="n"/>
      <c r="BW1886" s="207" t="n"/>
      <c r="BX1886" s="207" t="n"/>
      <c r="BY1886" s="204" t="n"/>
      <c r="BZ1886" s="148" t="n"/>
      <c r="CA1886" s="204" t="n"/>
      <c r="CB1886" s="208" t="n"/>
      <c r="CC1886" s="139" t="n"/>
      <c r="CD1886" s="204" t="n"/>
      <c r="CE1886" s="204" t="n"/>
      <c r="CF1886" s="207" t="n"/>
      <c r="CG1886" s="208" t="n"/>
      <c r="CH1886" s="207" t="n"/>
      <c r="CI1886" s="208" t="n"/>
      <c r="CJ1886" s="204" t="n"/>
      <c r="CK1886" s="208" t="n"/>
      <c r="CL1886" s="208" t="n"/>
      <c r="CM1886" s="208" t="n"/>
      <c r="CN1886" s="78" t="n"/>
      <c r="CO1886" s="209" t="n"/>
      <c r="CP1886" s="204" t="n"/>
      <c r="CQ1886" s="204" t="n"/>
      <c r="CR1886" s="204" t="n"/>
      <c r="CS1886" s="204" t="n"/>
      <c r="CT1886" s="204" t="n"/>
      <c r="CU1886" s="204" t="n"/>
      <c r="CV1886" s="204" t="n"/>
      <c r="CW1886" s="204" t="n"/>
    </row>
    <row r="1887">
      <c r="BF1887" s="78" t="n"/>
      <c r="BG1887" s="78" t="n"/>
      <c r="BH1887" s="78" t="n"/>
      <c r="BI1887" s="78" t="n"/>
      <c r="BJ1887" s="139" t="n"/>
      <c r="BK1887" s="204" t="n"/>
      <c r="BL1887" s="141" t="n"/>
      <c r="BM1887" s="205" t="n"/>
      <c r="BN1887" s="205" t="n"/>
      <c r="BO1887" s="206" t="n"/>
      <c r="BP1887" s="144" t="n"/>
      <c r="BQ1887" s="141" t="n"/>
      <c r="BR1887" s="207" t="n"/>
      <c r="BS1887" s="207" t="n"/>
      <c r="BT1887" s="207" t="n"/>
      <c r="BU1887" s="207" t="n"/>
      <c r="BV1887" s="208" t="n"/>
      <c r="BW1887" s="207" t="n"/>
      <c r="BX1887" s="207" t="n"/>
      <c r="BY1887" s="204" t="n"/>
      <c r="BZ1887" s="148" t="n"/>
      <c r="CA1887" s="204" t="n"/>
      <c r="CB1887" s="208" t="n"/>
      <c r="CC1887" s="139" t="n"/>
      <c r="CD1887" s="204" t="n"/>
      <c r="CE1887" s="204" t="n"/>
      <c r="CF1887" s="207" t="n"/>
      <c r="CG1887" s="208" t="n"/>
      <c r="CH1887" s="207" t="n"/>
      <c r="CI1887" s="208" t="n"/>
      <c r="CJ1887" s="204" t="n"/>
      <c r="CK1887" s="208" t="n"/>
      <c r="CL1887" s="208" t="n"/>
      <c r="CM1887" s="208" t="n"/>
      <c r="CN1887" s="78" t="n"/>
      <c r="CO1887" s="209" t="n"/>
      <c r="CP1887" s="204" t="n"/>
      <c r="CQ1887" s="204" t="n"/>
      <c r="CR1887" s="204" t="n"/>
      <c r="CS1887" s="204" t="n"/>
      <c r="CT1887" s="204" t="n"/>
      <c r="CU1887" s="204" t="n"/>
      <c r="CV1887" s="204" t="n"/>
      <c r="CW1887" s="204" t="n"/>
    </row>
    <row r="1888">
      <c r="BF1888" s="78" t="n"/>
      <c r="BG1888" s="78" t="n"/>
      <c r="BH1888" s="78" t="n"/>
      <c r="BI1888" s="78" t="n"/>
      <c r="BJ1888" s="139" t="n"/>
      <c r="BK1888" s="204" t="n"/>
      <c r="BL1888" s="141" t="n"/>
      <c r="BM1888" s="205" t="n"/>
      <c r="BN1888" s="205" t="n"/>
      <c r="BO1888" s="206" t="n"/>
      <c r="BP1888" s="144" t="n"/>
      <c r="BQ1888" s="141" t="n"/>
      <c r="BR1888" s="207" t="n"/>
      <c r="BS1888" s="207" t="n"/>
      <c r="BT1888" s="207" t="n"/>
      <c r="BU1888" s="207" t="n"/>
      <c r="BV1888" s="208" t="n"/>
      <c r="BW1888" s="207" t="n"/>
      <c r="BX1888" s="207" t="n"/>
      <c r="BY1888" s="204" t="n"/>
      <c r="BZ1888" s="148" t="n"/>
      <c r="CA1888" s="204" t="n"/>
      <c r="CB1888" s="208" t="n"/>
      <c r="CC1888" s="139" t="n"/>
      <c r="CD1888" s="204" t="n"/>
      <c r="CE1888" s="204" t="n"/>
      <c r="CF1888" s="207" t="n"/>
      <c r="CG1888" s="208" t="n"/>
      <c r="CH1888" s="207" t="n"/>
      <c r="CI1888" s="208" t="n"/>
      <c r="CJ1888" s="204" t="n"/>
      <c r="CK1888" s="208" t="n"/>
      <c r="CL1888" s="208" t="n"/>
      <c r="CM1888" s="208" t="n"/>
      <c r="CN1888" s="78" t="n"/>
      <c r="CO1888" s="209" t="n"/>
      <c r="CP1888" s="204" t="n"/>
      <c r="CQ1888" s="204" t="n"/>
      <c r="CR1888" s="204" t="n"/>
      <c r="CS1888" s="204" t="n"/>
      <c r="CT1888" s="204" t="n"/>
      <c r="CU1888" s="204" t="n"/>
      <c r="CV1888" s="204" t="n"/>
      <c r="CW1888" s="204" t="n"/>
    </row>
    <row r="1889">
      <c r="BF1889" s="78" t="n"/>
      <c r="BG1889" s="78" t="n"/>
      <c r="BH1889" s="78" t="n"/>
      <c r="BI1889" s="78" t="n"/>
      <c r="BJ1889" s="139" t="n"/>
      <c r="BK1889" s="204" t="n"/>
      <c r="BL1889" s="141" t="n"/>
      <c r="BM1889" s="205" t="n"/>
      <c r="BN1889" s="205" t="n"/>
      <c r="BO1889" s="206" t="n"/>
      <c r="BP1889" s="144" t="n"/>
      <c r="BQ1889" s="141" t="n"/>
      <c r="BR1889" s="207" t="n"/>
      <c r="BS1889" s="207" t="n"/>
      <c r="BT1889" s="207" t="n"/>
      <c r="BU1889" s="207" t="n"/>
      <c r="BV1889" s="208" t="n"/>
      <c r="BW1889" s="207" t="n"/>
      <c r="BX1889" s="207" t="n"/>
      <c r="BY1889" s="204" t="n"/>
      <c r="BZ1889" s="148" t="n"/>
      <c r="CA1889" s="204" t="n"/>
      <c r="CB1889" s="208" t="n"/>
      <c r="CC1889" s="139" t="n"/>
      <c r="CD1889" s="204" t="n"/>
      <c r="CE1889" s="204" t="n"/>
      <c r="CF1889" s="207" t="n"/>
      <c r="CG1889" s="208" t="n"/>
      <c r="CH1889" s="207" t="n"/>
      <c r="CI1889" s="208" t="n"/>
      <c r="CJ1889" s="204" t="n"/>
      <c r="CK1889" s="208" t="n"/>
      <c r="CL1889" s="208" t="n"/>
      <c r="CM1889" s="208" t="n"/>
      <c r="CN1889" s="78" t="n"/>
      <c r="CO1889" s="209" t="n"/>
      <c r="CP1889" s="204" t="n"/>
      <c r="CQ1889" s="204" t="n"/>
      <c r="CR1889" s="204" t="n"/>
      <c r="CS1889" s="204" t="n"/>
      <c r="CT1889" s="204" t="n"/>
      <c r="CU1889" s="204" t="n"/>
      <c r="CV1889" s="204" t="n"/>
      <c r="CW1889" s="204" t="n"/>
    </row>
    <row r="1890">
      <c r="BF1890" s="78" t="n"/>
      <c r="BG1890" s="78" t="n"/>
      <c r="BH1890" s="78" t="n"/>
      <c r="BI1890" s="78" t="n"/>
      <c r="BJ1890" s="139" t="n"/>
      <c r="BK1890" s="204" t="n"/>
      <c r="BL1890" s="141" t="n"/>
      <c r="BM1890" s="205" t="n"/>
      <c r="BN1890" s="205" t="n"/>
      <c r="BO1890" s="206" t="n"/>
      <c r="BP1890" s="144" t="n"/>
      <c r="BQ1890" s="141" t="n"/>
      <c r="BR1890" s="207" t="n"/>
      <c r="BS1890" s="207" t="n"/>
      <c r="BT1890" s="207" t="n"/>
      <c r="BU1890" s="207" t="n"/>
      <c r="BV1890" s="208" t="n"/>
      <c r="BW1890" s="207" t="n"/>
      <c r="BX1890" s="207" t="n"/>
      <c r="BY1890" s="204" t="n"/>
      <c r="BZ1890" s="148" t="n"/>
      <c r="CA1890" s="204" t="n"/>
      <c r="CB1890" s="208" t="n"/>
      <c r="CC1890" s="139" t="n"/>
      <c r="CD1890" s="204" t="n"/>
      <c r="CE1890" s="204" t="n"/>
      <c r="CF1890" s="207" t="n"/>
      <c r="CG1890" s="208" t="n"/>
      <c r="CH1890" s="207" t="n"/>
      <c r="CI1890" s="208" t="n"/>
      <c r="CJ1890" s="204" t="n"/>
      <c r="CK1890" s="208" t="n"/>
      <c r="CL1890" s="208" t="n"/>
      <c r="CM1890" s="208" t="n"/>
      <c r="CN1890" s="78" t="n"/>
      <c r="CO1890" s="209" t="n"/>
      <c r="CP1890" s="204" t="n"/>
      <c r="CQ1890" s="204" t="n"/>
      <c r="CR1890" s="204" t="n"/>
      <c r="CS1890" s="204" t="n"/>
      <c r="CT1890" s="204" t="n"/>
      <c r="CU1890" s="204" t="n"/>
      <c r="CV1890" s="204" t="n"/>
      <c r="CW1890" s="204" t="n"/>
    </row>
    <row r="1891">
      <c r="BF1891" s="78" t="n"/>
      <c r="BG1891" s="78" t="n"/>
      <c r="BH1891" s="78" t="n"/>
      <c r="BI1891" s="78" t="n"/>
      <c r="BJ1891" s="139" t="n"/>
      <c r="BK1891" s="204" t="n"/>
      <c r="BL1891" s="141" t="n"/>
      <c r="BM1891" s="205" t="n"/>
      <c r="BN1891" s="205" t="n"/>
      <c r="BO1891" s="206" t="n"/>
      <c r="BP1891" s="144" t="n"/>
      <c r="BQ1891" s="141" t="n"/>
      <c r="BR1891" s="207" t="n"/>
      <c r="BS1891" s="207" t="n"/>
      <c r="BT1891" s="207" t="n"/>
      <c r="BU1891" s="207" t="n"/>
      <c r="BV1891" s="208" t="n"/>
      <c r="BW1891" s="207" t="n"/>
      <c r="BX1891" s="207" t="n"/>
      <c r="BY1891" s="204" t="n"/>
      <c r="BZ1891" s="148" t="n"/>
      <c r="CA1891" s="204" t="n"/>
      <c r="CB1891" s="208" t="n"/>
      <c r="CC1891" s="139" t="n"/>
      <c r="CD1891" s="204" t="n"/>
      <c r="CE1891" s="204" t="n"/>
      <c r="CF1891" s="207" t="n"/>
      <c r="CG1891" s="208" t="n"/>
      <c r="CH1891" s="207" t="n"/>
      <c r="CI1891" s="208" t="n"/>
      <c r="CJ1891" s="204" t="n"/>
      <c r="CK1891" s="208" t="n"/>
      <c r="CL1891" s="208" t="n"/>
      <c r="CM1891" s="208" t="n"/>
      <c r="CN1891" s="78" t="n"/>
      <c r="CO1891" s="209" t="n"/>
      <c r="CP1891" s="204" t="n"/>
      <c r="CQ1891" s="204" t="n"/>
      <c r="CR1891" s="204" t="n"/>
      <c r="CS1891" s="204" t="n"/>
      <c r="CT1891" s="204" t="n"/>
      <c r="CU1891" s="204" t="n"/>
      <c r="CV1891" s="204" t="n"/>
      <c r="CW1891" s="204" t="n"/>
    </row>
    <row r="1892">
      <c r="BF1892" s="78" t="n"/>
      <c r="BG1892" s="78" t="n"/>
      <c r="BH1892" s="78" t="n"/>
      <c r="BI1892" s="78" t="n"/>
      <c r="BJ1892" s="139" t="n"/>
      <c r="BK1892" s="204" t="n"/>
      <c r="BL1892" s="141" t="n"/>
      <c r="BM1892" s="205" t="n"/>
      <c r="BN1892" s="205" t="n"/>
      <c r="BO1892" s="206" t="n"/>
      <c r="BP1892" s="144" t="n"/>
      <c r="BQ1892" s="141" t="n"/>
      <c r="BR1892" s="207" t="n"/>
      <c r="BS1892" s="207" t="n"/>
      <c r="BT1892" s="207" t="n"/>
      <c r="BU1892" s="207" t="n"/>
      <c r="BV1892" s="208" t="n"/>
      <c r="BW1892" s="207" t="n"/>
      <c r="BX1892" s="207" t="n"/>
      <c r="BY1892" s="204" t="n"/>
      <c r="BZ1892" s="148" t="n"/>
      <c r="CA1892" s="204" t="n"/>
      <c r="CB1892" s="208" t="n"/>
      <c r="CC1892" s="139" t="n"/>
      <c r="CD1892" s="204" t="n"/>
      <c r="CE1892" s="204" t="n"/>
      <c r="CF1892" s="207" t="n"/>
      <c r="CG1892" s="208" t="n"/>
      <c r="CH1892" s="207" t="n"/>
      <c r="CI1892" s="208" t="n"/>
      <c r="CJ1892" s="204" t="n"/>
      <c r="CK1892" s="208" t="n"/>
      <c r="CL1892" s="208" t="n"/>
      <c r="CM1892" s="208" t="n"/>
      <c r="CN1892" s="78" t="n"/>
      <c r="CO1892" s="209" t="n"/>
      <c r="CP1892" s="204" t="n"/>
      <c r="CQ1892" s="204" t="n"/>
      <c r="CR1892" s="204" t="n"/>
      <c r="CS1892" s="204" t="n"/>
      <c r="CT1892" s="204" t="n"/>
      <c r="CU1892" s="204" t="n"/>
      <c r="CV1892" s="204" t="n"/>
      <c r="CW1892" s="204" t="n"/>
    </row>
    <row r="1893">
      <c r="BF1893" s="78" t="n"/>
      <c r="BG1893" s="78" t="n"/>
      <c r="BH1893" s="78" t="n"/>
      <c r="BI1893" s="78" t="n"/>
      <c r="BJ1893" s="139" t="n"/>
      <c r="BK1893" s="204" t="n"/>
      <c r="BL1893" s="141" t="n"/>
      <c r="BM1893" s="205" t="n"/>
      <c r="BN1893" s="205" t="n"/>
      <c r="BO1893" s="206" t="n"/>
      <c r="BP1893" s="144" t="n"/>
      <c r="BQ1893" s="141" t="n"/>
      <c r="BR1893" s="207" t="n"/>
      <c r="BS1893" s="207" t="n"/>
      <c r="BT1893" s="207" t="n"/>
      <c r="BU1893" s="207" t="n"/>
      <c r="BV1893" s="208" t="n"/>
      <c r="BW1893" s="207" t="n"/>
      <c r="BX1893" s="207" t="n"/>
      <c r="BY1893" s="204" t="n"/>
      <c r="BZ1893" s="148" t="n"/>
      <c r="CA1893" s="204" t="n"/>
      <c r="CB1893" s="208" t="n"/>
      <c r="CC1893" s="139" t="n"/>
      <c r="CD1893" s="204" t="n"/>
      <c r="CE1893" s="204" t="n"/>
      <c r="CF1893" s="207" t="n"/>
      <c r="CG1893" s="208" t="n"/>
      <c r="CH1893" s="207" t="n"/>
      <c r="CI1893" s="208" t="n"/>
      <c r="CJ1893" s="204" t="n"/>
      <c r="CK1893" s="208" t="n"/>
      <c r="CL1893" s="208" t="n"/>
      <c r="CM1893" s="208" t="n"/>
      <c r="CN1893" s="78" t="n"/>
      <c r="CO1893" s="209" t="n"/>
      <c r="CP1893" s="204" t="n"/>
      <c r="CQ1893" s="204" t="n"/>
      <c r="CR1893" s="204" t="n"/>
      <c r="CS1893" s="204" t="n"/>
      <c r="CT1893" s="204" t="n"/>
      <c r="CU1893" s="204" t="n"/>
      <c r="CV1893" s="204" t="n"/>
      <c r="CW1893" s="204" t="n"/>
    </row>
    <row r="1894">
      <c r="BF1894" s="78" t="n"/>
      <c r="BG1894" s="78" t="n"/>
      <c r="BH1894" s="78" t="n"/>
      <c r="BI1894" s="78" t="n"/>
      <c r="BJ1894" s="139" t="n"/>
      <c r="BK1894" s="204" t="n"/>
      <c r="BL1894" s="141" t="n"/>
      <c r="BM1894" s="205" t="n"/>
      <c r="BN1894" s="205" t="n"/>
      <c r="BO1894" s="206" t="n"/>
      <c r="BP1894" s="144" t="n"/>
      <c r="BQ1894" s="141" t="n"/>
      <c r="BR1894" s="207" t="n"/>
      <c r="BS1894" s="207" t="n"/>
      <c r="BT1894" s="207" t="n"/>
      <c r="BU1894" s="207" t="n"/>
      <c r="BV1894" s="208" t="n"/>
      <c r="BW1894" s="207" t="n"/>
      <c r="BX1894" s="207" t="n"/>
      <c r="BY1894" s="204" t="n"/>
      <c r="BZ1894" s="148" t="n"/>
      <c r="CA1894" s="204" t="n"/>
      <c r="CB1894" s="208" t="n"/>
      <c r="CC1894" s="139" t="n"/>
      <c r="CD1894" s="204" t="n"/>
      <c r="CE1894" s="204" t="n"/>
      <c r="CF1894" s="207" t="n"/>
      <c r="CG1894" s="208" t="n"/>
      <c r="CH1894" s="207" t="n"/>
      <c r="CI1894" s="208" t="n"/>
      <c r="CJ1894" s="204" t="n"/>
      <c r="CK1894" s="208" t="n"/>
      <c r="CL1894" s="208" t="n"/>
      <c r="CM1894" s="208" t="n"/>
      <c r="CN1894" s="78" t="n"/>
      <c r="CO1894" s="209" t="n"/>
      <c r="CP1894" s="204" t="n"/>
      <c r="CQ1894" s="204" t="n"/>
      <c r="CR1894" s="204" t="n"/>
      <c r="CS1894" s="204" t="n"/>
      <c r="CT1894" s="204" t="n"/>
      <c r="CU1894" s="204" t="n"/>
      <c r="CV1894" s="204" t="n"/>
      <c r="CW1894" s="204" t="n"/>
    </row>
    <row r="1895">
      <c r="BF1895" s="78" t="n"/>
      <c r="BG1895" s="78" t="n"/>
      <c r="BH1895" s="78" t="n"/>
      <c r="BI1895" s="78" t="n"/>
      <c r="BJ1895" s="139" t="n"/>
      <c r="BK1895" s="204" t="n"/>
      <c r="BL1895" s="141" t="n"/>
      <c r="BM1895" s="205" t="n"/>
      <c r="BN1895" s="205" t="n"/>
      <c r="BO1895" s="206" t="n"/>
      <c r="BP1895" s="144" t="n"/>
      <c r="BQ1895" s="141" t="n"/>
      <c r="BR1895" s="207" t="n"/>
      <c r="BS1895" s="207" t="n"/>
      <c r="BT1895" s="207" t="n"/>
      <c r="BU1895" s="207" t="n"/>
      <c r="BV1895" s="208" t="n"/>
      <c r="BW1895" s="207" t="n"/>
      <c r="BX1895" s="207" t="n"/>
      <c r="BY1895" s="204" t="n"/>
      <c r="BZ1895" s="148" t="n"/>
      <c r="CA1895" s="204" t="n"/>
      <c r="CB1895" s="208" t="n"/>
      <c r="CC1895" s="139" t="n"/>
      <c r="CD1895" s="204" t="n"/>
      <c r="CE1895" s="204" t="n"/>
      <c r="CF1895" s="207" t="n"/>
      <c r="CG1895" s="208" t="n"/>
      <c r="CH1895" s="207" t="n"/>
      <c r="CI1895" s="208" t="n"/>
      <c r="CJ1895" s="204" t="n"/>
      <c r="CK1895" s="208" t="n"/>
      <c r="CL1895" s="208" t="n"/>
      <c r="CM1895" s="208" t="n"/>
      <c r="CN1895" s="78" t="n"/>
      <c r="CO1895" s="209" t="n"/>
      <c r="CP1895" s="204" t="n"/>
      <c r="CQ1895" s="204" t="n"/>
      <c r="CR1895" s="204" t="n"/>
      <c r="CS1895" s="204" t="n"/>
      <c r="CT1895" s="204" t="n"/>
      <c r="CU1895" s="204" t="n"/>
      <c r="CV1895" s="204" t="n"/>
      <c r="CW1895" s="204" t="n"/>
    </row>
    <row r="1896">
      <c r="BF1896" s="78" t="n"/>
      <c r="BG1896" s="78" t="n"/>
      <c r="BH1896" s="78" t="n"/>
      <c r="BI1896" s="78" t="n"/>
      <c r="BJ1896" s="139" t="n"/>
      <c r="BK1896" s="204" t="n"/>
      <c r="BL1896" s="141" t="n"/>
      <c r="BM1896" s="205" t="n"/>
      <c r="BN1896" s="205" t="n"/>
      <c r="BO1896" s="206" t="n"/>
      <c r="BP1896" s="144" t="n"/>
      <c r="BQ1896" s="141" t="n"/>
      <c r="BR1896" s="207" t="n"/>
      <c r="BS1896" s="207" t="n"/>
      <c r="BT1896" s="207" t="n"/>
      <c r="BU1896" s="207" t="n"/>
      <c r="BV1896" s="208" t="n"/>
      <c r="BW1896" s="207" t="n"/>
      <c r="BX1896" s="207" t="n"/>
      <c r="BY1896" s="204" t="n"/>
      <c r="BZ1896" s="148" t="n"/>
      <c r="CA1896" s="204" t="n"/>
      <c r="CB1896" s="208" t="n"/>
      <c r="CC1896" s="139" t="n"/>
      <c r="CD1896" s="204" t="n"/>
      <c r="CE1896" s="204" t="n"/>
      <c r="CF1896" s="207" t="n"/>
      <c r="CG1896" s="208" t="n"/>
      <c r="CH1896" s="207" t="n"/>
      <c r="CI1896" s="208" t="n"/>
      <c r="CJ1896" s="204" t="n"/>
      <c r="CK1896" s="208" t="n"/>
      <c r="CL1896" s="208" t="n"/>
      <c r="CM1896" s="208" t="n"/>
      <c r="CN1896" s="78" t="n"/>
      <c r="CO1896" s="209" t="n"/>
      <c r="CP1896" s="204" t="n"/>
      <c r="CQ1896" s="204" t="n"/>
      <c r="CR1896" s="204" t="n"/>
      <c r="CS1896" s="204" t="n"/>
      <c r="CT1896" s="204" t="n"/>
      <c r="CU1896" s="204" t="n"/>
      <c r="CV1896" s="204" t="n"/>
      <c r="CW1896" s="204" t="n"/>
    </row>
    <row r="1897">
      <c r="BF1897" s="78" t="n"/>
      <c r="BG1897" s="78" t="n"/>
      <c r="BH1897" s="78" t="n"/>
      <c r="BI1897" s="78" t="n"/>
      <c r="BJ1897" s="139" t="n"/>
      <c r="BK1897" s="204" t="n"/>
      <c r="BL1897" s="141" t="n"/>
      <c r="BM1897" s="205" t="n"/>
      <c r="BN1897" s="205" t="n"/>
      <c r="BO1897" s="206" t="n"/>
      <c r="BP1897" s="144" t="n"/>
      <c r="BQ1897" s="141" t="n"/>
      <c r="BR1897" s="207" t="n"/>
      <c r="BS1897" s="207" t="n"/>
      <c r="BT1897" s="207" t="n"/>
      <c r="BU1897" s="207" t="n"/>
      <c r="BV1897" s="208" t="n"/>
      <c r="BW1897" s="207" t="n"/>
      <c r="BX1897" s="207" t="n"/>
      <c r="BY1897" s="204" t="n"/>
      <c r="BZ1897" s="148" t="n"/>
      <c r="CA1897" s="204" t="n"/>
      <c r="CB1897" s="208" t="n"/>
      <c r="CC1897" s="139" t="n"/>
      <c r="CD1897" s="204" t="n"/>
      <c r="CE1897" s="204" t="n"/>
      <c r="CF1897" s="207" t="n"/>
      <c r="CG1897" s="208" t="n"/>
      <c r="CH1897" s="207" t="n"/>
      <c r="CI1897" s="208" t="n"/>
      <c r="CJ1897" s="204" t="n"/>
      <c r="CK1897" s="208" t="n"/>
      <c r="CL1897" s="208" t="n"/>
      <c r="CM1897" s="208" t="n"/>
      <c r="CN1897" s="78" t="n"/>
      <c r="CO1897" s="209" t="n"/>
      <c r="CP1897" s="204" t="n"/>
      <c r="CQ1897" s="204" t="n"/>
      <c r="CR1897" s="204" t="n"/>
      <c r="CS1897" s="204" t="n"/>
      <c r="CT1897" s="204" t="n"/>
      <c r="CU1897" s="204" t="n"/>
      <c r="CV1897" s="204" t="n"/>
      <c r="CW1897" s="204" t="n"/>
    </row>
    <row r="1898">
      <c r="BF1898" s="78" t="n"/>
      <c r="BG1898" s="78" t="n"/>
      <c r="BH1898" s="78" t="n"/>
      <c r="BI1898" s="78" t="n"/>
      <c r="BJ1898" s="139" t="n"/>
      <c r="BK1898" s="204" t="n"/>
      <c r="BL1898" s="141" t="n"/>
      <c r="BM1898" s="205" t="n"/>
      <c r="BN1898" s="205" t="n"/>
      <c r="BO1898" s="206" t="n"/>
      <c r="BP1898" s="144" t="n"/>
      <c r="BQ1898" s="141" t="n"/>
      <c r="BR1898" s="207" t="n"/>
      <c r="BS1898" s="207" t="n"/>
      <c r="BT1898" s="207" t="n"/>
      <c r="BU1898" s="207" t="n"/>
      <c r="BV1898" s="208" t="n"/>
      <c r="BW1898" s="207" t="n"/>
      <c r="BX1898" s="207" t="n"/>
      <c r="BY1898" s="204" t="n"/>
      <c r="BZ1898" s="148" t="n"/>
      <c r="CA1898" s="204" t="n"/>
      <c r="CB1898" s="208" t="n"/>
      <c r="CC1898" s="139" t="n"/>
      <c r="CD1898" s="204" t="n"/>
      <c r="CE1898" s="204" t="n"/>
      <c r="CF1898" s="207" t="n"/>
      <c r="CG1898" s="208" t="n"/>
      <c r="CH1898" s="207" t="n"/>
      <c r="CI1898" s="208" t="n"/>
      <c r="CJ1898" s="204" t="n"/>
      <c r="CK1898" s="208" t="n"/>
      <c r="CL1898" s="208" t="n"/>
      <c r="CM1898" s="208" t="n"/>
      <c r="CN1898" s="78" t="n"/>
      <c r="CO1898" s="209" t="n"/>
      <c r="CP1898" s="204" t="n"/>
      <c r="CQ1898" s="204" t="n"/>
      <c r="CR1898" s="204" t="n"/>
      <c r="CS1898" s="204" t="n"/>
      <c r="CT1898" s="204" t="n"/>
      <c r="CU1898" s="204" t="n"/>
      <c r="CV1898" s="204" t="n"/>
      <c r="CW1898" s="204" t="n"/>
    </row>
    <row r="1899">
      <c r="BF1899" s="78" t="n"/>
      <c r="BG1899" s="78" t="n"/>
      <c r="BH1899" s="78" t="n"/>
      <c r="BI1899" s="78" t="n"/>
      <c r="BJ1899" s="139" t="n"/>
      <c r="BK1899" s="204" t="n"/>
      <c r="BL1899" s="141" t="n"/>
      <c r="BM1899" s="205" t="n"/>
      <c r="BN1899" s="205" t="n"/>
      <c r="BO1899" s="206" t="n"/>
      <c r="BP1899" s="144" t="n"/>
      <c r="BQ1899" s="141" t="n"/>
      <c r="BR1899" s="207" t="n"/>
      <c r="BS1899" s="207" t="n"/>
      <c r="BT1899" s="207" t="n"/>
      <c r="BU1899" s="207" t="n"/>
      <c r="BV1899" s="208" t="n"/>
      <c r="BW1899" s="207" t="n"/>
      <c r="BX1899" s="207" t="n"/>
      <c r="BY1899" s="204" t="n"/>
      <c r="BZ1899" s="148" t="n"/>
      <c r="CA1899" s="204" t="n"/>
      <c r="CB1899" s="208" t="n"/>
      <c r="CC1899" s="139" t="n"/>
      <c r="CD1899" s="204" t="n"/>
      <c r="CE1899" s="204" t="n"/>
      <c r="CF1899" s="207" t="n"/>
      <c r="CG1899" s="208" t="n"/>
      <c r="CH1899" s="207" t="n"/>
      <c r="CI1899" s="208" t="n"/>
      <c r="CJ1899" s="204" t="n"/>
      <c r="CK1899" s="208" t="n"/>
      <c r="CL1899" s="208" t="n"/>
      <c r="CM1899" s="208" t="n"/>
      <c r="CN1899" s="78" t="n"/>
      <c r="CO1899" s="209" t="n"/>
      <c r="CP1899" s="204" t="n"/>
      <c r="CQ1899" s="204" t="n"/>
      <c r="CR1899" s="204" t="n"/>
      <c r="CS1899" s="204" t="n"/>
      <c r="CT1899" s="204" t="n"/>
      <c r="CU1899" s="204" t="n"/>
      <c r="CV1899" s="204" t="n"/>
      <c r="CW1899" s="204" t="n"/>
    </row>
    <row r="1900">
      <c r="BF1900" s="78" t="n"/>
      <c r="BG1900" s="78" t="n"/>
      <c r="BH1900" s="78" t="n"/>
      <c r="BI1900" s="78" t="n"/>
      <c r="BJ1900" s="139" t="n"/>
      <c r="BK1900" s="204" t="n"/>
      <c r="BL1900" s="141" t="n"/>
      <c r="BM1900" s="205" t="n"/>
      <c r="BN1900" s="205" t="n"/>
      <c r="BO1900" s="206" t="n"/>
      <c r="BP1900" s="144" t="n"/>
      <c r="BQ1900" s="141" t="n"/>
      <c r="BR1900" s="207" t="n"/>
      <c r="BS1900" s="207" t="n"/>
      <c r="BT1900" s="207" t="n"/>
      <c r="BU1900" s="207" t="n"/>
      <c r="BV1900" s="208" t="n"/>
      <c r="BW1900" s="207" t="n"/>
      <c r="BX1900" s="207" t="n"/>
      <c r="BY1900" s="204" t="n"/>
      <c r="BZ1900" s="148" t="n"/>
      <c r="CA1900" s="204" t="n"/>
      <c r="CB1900" s="208" t="n"/>
      <c r="CC1900" s="139" t="n"/>
      <c r="CD1900" s="204" t="n"/>
      <c r="CE1900" s="204" t="n"/>
      <c r="CF1900" s="207" t="n"/>
      <c r="CG1900" s="208" t="n"/>
      <c r="CH1900" s="207" t="n"/>
      <c r="CI1900" s="208" t="n"/>
      <c r="CJ1900" s="204" t="n"/>
      <c r="CK1900" s="208" t="n"/>
      <c r="CL1900" s="208" t="n"/>
      <c r="CM1900" s="208" t="n"/>
      <c r="CN1900" s="78" t="n"/>
      <c r="CO1900" s="209" t="n"/>
      <c r="CP1900" s="204" t="n"/>
      <c r="CQ1900" s="204" t="n"/>
      <c r="CR1900" s="204" t="n"/>
      <c r="CS1900" s="204" t="n"/>
      <c r="CT1900" s="204" t="n"/>
      <c r="CU1900" s="204" t="n"/>
      <c r="CV1900" s="204" t="n"/>
      <c r="CW1900" s="204" t="n"/>
    </row>
    <row r="1901">
      <c r="BF1901" s="78" t="n"/>
      <c r="BG1901" s="78" t="n"/>
      <c r="BH1901" s="78" t="n"/>
      <c r="BI1901" s="78" t="n"/>
      <c r="BJ1901" s="139" t="n"/>
      <c r="BK1901" s="204" t="n"/>
      <c r="BL1901" s="141" t="n"/>
      <c r="BM1901" s="205" t="n"/>
      <c r="BN1901" s="205" t="n"/>
      <c r="BO1901" s="206" t="n"/>
      <c r="BP1901" s="144" t="n"/>
      <c r="BQ1901" s="141" t="n"/>
      <c r="BR1901" s="207" t="n"/>
      <c r="BS1901" s="207" t="n"/>
      <c r="BT1901" s="207" t="n"/>
      <c r="BU1901" s="207" t="n"/>
      <c r="BV1901" s="208" t="n"/>
      <c r="BW1901" s="207" t="n"/>
      <c r="BX1901" s="207" t="n"/>
      <c r="BY1901" s="204" t="n"/>
      <c r="BZ1901" s="148" t="n"/>
      <c r="CA1901" s="204" t="n"/>
      <c r="CB1901" s="208" t="n"/>
      <c r="CC1901" s="139" t="n"/>
      <c r="CD1901" s="204" t="n"/>
      <c r="CE1901" s="204" t="n"/>
      <c r="CF1901" s="207" t="n"/>
      <c r="CG1901" s="208" t="n"/>
      <c r="CH1901" s="207" t="n"/>
      <c r="CI1901" s="208" t="n"/>
      <c r="CJ1901" s="204" t="n"/>
      <c r="CK1901" s="208" t="n"/>
      <c r="CL1901" s="208" t="n"/>
      <c r="CM1901" s="208" t="n"/>
      <c r="CN1901" s="78" t="n"/>
      <c r="CO1901" s="209" t="n"/>
      <c r="CP1901" s="204" t="n"/>
      <c r="CQ1901" s="204" t="n"/>
      <c r="CR1901" s="204" t="n"/>
      <c r="CS1901" s="204" t="n"/>
      <c r="CT1901" s="204" t="n"/>
      <c r="CU1901" s="204" t="n"/>
      <c r="CV1901" s="204" t="n"/>
      <c r="CW1901" s="204" t="n"/>
    </row>
    <row r="1902">
      <c r="BF1902" s="78" t="n"/>
      <c r="BG1902" s="78" t="n"/>
      <c r="BH1902" s="78" t="n"/>
      <c r="BI1902" s="78" t="n"/>
      <c r="BJ1902" s="139" t="n"/>
      <c r="BK1902" s="204" t="n"/>
      <c r="BL1902" s="141" t="n"/>
      <c r="BM1902" s="205" t="n"/>
      <c r="BN1902" s="205" t="n"/>
      <c r="BO1902" s="206" t="n"/>
      <c r="BP1902" s="144" t="n"/>
      <c r="BQ1902" s="141" t="n"/>
      <c r="BR1902" s="207" t="n"/>
      <c r="BS1902" s="207" t="n"/>
      <c r="BT1902" s="207" t="n"/>
      <c r="BU1902" s="207" t="n"/>
      <c r="BV1902" s="208" t="n"/>
      <c r="BW1902" s="207" t="n"/>
      <c r="BX1902" s="207" t="n"/>
      <c r="BY1902" s="204" t="n"/>
      <c r="BZ1902" s="148" t="n"/>
      <c r="CA1902" s="204" t="n"/>
      <c r="CB1902" s="208" t="n"/>
      <c r="CC1902" s="139" t="n"/>
      <c r="CD1902" s="204" t="n"/>
      <c r="CE1902" s="204" t="n"/>
      <c r="CF1902" s="207" t="n"/>
      <c r="CG1902" s="208" t="n"/>
      <c r="CH1902" s="207" t="n"/>
      <c r="CI1902" s="208" t="n"/>
      <c r="CJ1902" s="204" t="n"/>
      <c r="CK1902" s="208" t="n"/>
      <c r="CL1902" s="208" t="n"/>
      <c r="CM1902" s="208" t="n"/>
      <c r="CN1902" s="78" t="n"/>
      <c r="CO1902" s="209" t="n"/>
      <c r="CP1902" s="204" t="n"/>
      <c r="CQ1902" s="204" t="n"/>
      <c r="CR1902" s="204" t="n"/>
      <c r="CS1902" s="204" t="n"/>
      <c r="CT1902" s="204" t="n"/>
      <c r="CU1902" s="204" t="n"/>
      <c r="CV1902" s="204" t="n"/>
      <c r="CW1902" s="204" t="n"/>
    </row>
    <row r="1903">
      <c r="BF1903" s="78" t="n"/>
      <c r="BG1903" s="78" t="n"/>
      <c r="BH1903" s="78" t="n"/>
      <c r="BI1903" s="78" t="n"/>
      <c r="BJ1903" s="139" t="n"/>
      <c r="BK1903" s="204" t="n"/>
      <c r="BL1903" s="141" t="n"/>
      <c r="BM1903" s="205" t="n"/>
      <c r="BN1903" s="205" t="n"/>
      <c r="BO1903" s="206" t="n"/>
      <c r="BP1903" s="144" t="n"/>
      <c r="BQ1903" s="141" t="n"/>
      <c r="BR1903" s="207" t="n"/>
      <c r="BS1903" s="207" t="n"/>
      <c r="BT1903" s="207" t="n"/>
      <c r="BU1903" s="207" t="n"/>
      <c r="BV1903" s="208" t="n"/>
      <c r="BW1903" s="207" t="n"/>
      <c r="BX1903" s="207" t="n"/>
      <c r="BY1903" s="204" t="n"/>
      <c r="BZ1903" s="148" t="n"/>
      <c r="CA1903" s="204" t="n"/>
      <c r="CB1903" s="208" t="n"/>
      <c r="CC1903" s="139" t="n"/>
      <c r="CD1903" s="204" t="n"/>
      <c r="CE1903" s="204" t="n"/>
      <c r="CF1903" s="207" t="n"/>
      <c r="CG1903" s="208" t="n"/>
      <c r="CH1903" s="207" t="n"/>
      <c r="CI1903" s="208" t="n"/>
      <c r="CJ1903" s="204" t="n"/>
      <c r="CK1903" s="208" t="n"/>
      <c r="CL1903" s="208" t="n"/>
      <c r="CM1903" s="208" t="n"/>
      <c r="CN1903" s="78" t="n"/>
      <c r="CO1903" s="209" t="n"/>
      <c r="CP1903" s="204" t="n"/>
      <c r="CQ1903" s="204" t="n"/>
      <c r="CR1903" s="204" t="n"/>
      <c r="CS1903" s="204" t="n"/>
      <c r="CT1903" s="204" t="n"/>
      <c r="CU1903" s="204" t="n"/>
      <c r="CV1903" s="204" t="n"/>
      <c r="CW1903" s="204" t="n"/>
    </row>
    <row r="1904">
      <c r="BF1904" s="78" t="n"/>
      <c r="BG1904" s="78" t="n"/>
      <c r="BH1904" s="78" t="n"/>
      <c r="BI1904" s="78" t="n"/>
      <c r="BJ1904" s="139" t="n"/>
      <c r="BK1904" s="204" t="n"/>
      <c r="BL1904" s="141" t="n"/>
      <c r="BM1904" s="205" t="n"/>
      <c r="BN1904" s="205" t="n"/>
      <c r="BO1904" s="206" t="n"/>
      <c r="BP1904" s="144" t="n"/>
      <c r="BQ1904" s="141" t="n"/>
      <c r="BR1904" s="207" t="n"/>
      <c r="BS1904" s="207" t="n"/>
      <c r="BT1904" s="207" t="n"/>
      <c r="BU1904" s="207" t="n"/>
      <c r="BV1904" s="208" t="n"/>
      <c r="BW1904" s="207" t="n"/>
      <c r="BX1904" s="207" t="n"/>
      <c r="BY1904" s="204" t="n"/>
      <c r="BZ1904" s="148" t="n"/>
      <c r="CA1904" s="204" t="n"/>
      <c r="CB1904" s="208" t="n"/>
      <c r="CC1904" s="139" t="n"/>
      <c r="CD1904" s="204" t="n"/>
      <c r="CE1904" s="204" t="n"/>
      <c r="CF1904" s="207" t="n"/>
      <c r="CG1904" s="208" t="n"/>
      <c r="CH1904" s="207" t="n"/>
      <c r="CI1904" s="208" t="n"/>
      <c r="CJ1904" s="204" t="n"/>
      <c r="CK1904" s="208" t="n"/>
      <c r="CL1904" s="208" t="n"/>
      <c r="CM1904" s="208" t="n"/>
      <c r="CN1904" s="78" t="n"/>
      <c r="CO1904" s="209" t="n"/>
      <c r="CP1904" s="204" t="n"/>
      <c r="CQ1904" s="204" t="n"/>
      <c r="CR1904" s="204" t="n"/>
      <c r="CS1904" s="204" t="n"/>
      <c r="CT1904" s="204" t="n"/>
      <c r="CU1904" s="204" t="n"/>
      <c r="CV1904" s="204" t="n"/>
      <c r="CW1904" s="204" t="n"/>
    </row>
    <row r="1905">
      <c r="BF1905" s="78" t="n"/>
      <c r="BG1905" s="78" t="n"/>
      <c r="BH1905" s="78" t="n"/>
      <c r="BI1905" s="78" t="n"/>
      <c r="BJ1905" s="139" t="n"/>
      <c r="BK1905" s="204" t="n"/>
      <c r="BL1905" s="141" t="n"/>
      <c r="BM1905" s="205" t="n"/>
      <c r="BN1905" s="205" t="n"/>
      <c r="BO1905" s="206" t="n"/>
      <c r="BP1905" s="144" t="n"/>
      <c r="BQ1905" s="141" t="n"/>
      <c r="BR1905" s="207" t="n"/>
      <c r="BS1905" s="207" t="n"/>
      <c r="BT1905" s="207" t="n"/>
      <c r="BU1905" s="207" t="n"/>
      <c r="BV1905" s="208" t="n"/>
      <c r="BW1905" s="207" t="n"/>
      <c r="BX1905" s="207" t="n"/>
      <c r="BY1905" s="204" t="n"/>
      <c r="BZ1905" s="148" t="n"/>
      <c r="CA1905" s="204" t="n"/>
      <c r="CB1905" s="208" t="n"/>
      <c r="CC1905" s="139" t="n"/>
      <c r="CD1905" s="204" t="n"/>
      <c r="CE1905" s="204" t="n"/>
      <c r="CF1905" s="207" t="n"/>
      <c r="CG1905" s="208" t="n"/>
      <c r="CH1905" s="207" t="n"/>
      <c r="CI1905" s="208" t="n"/>
      <c r="CJ1905" s="204" t="n"/>
      <c r="CK1905" s="208" t="n"/>
      <c r="CL1905" s="208" t="n"/>
      <c r="CM1905" s="208" t="n"/>
      <c r="CN1905" s="78" t="n"/>
      <c r="CO1905" s="209" t="n"/>
      <c r="CP1905" s="204" t="n"/>
      <c r="CQ1905" s="204" t="n"/>
      <c r="CR1905" s="204" t="n"/>
      <c r="CS1905" s="204" t="n"/>
      <c r="CT1905" s="204" t="n"/>
      <c r="CU1905" s="204" t="n"/>
      <c r="CV1905" s="204" t="n"/>
      <c r="CW1905" s="204" t="n"/>
    </row>
    <row r="1906">
      <c r="BF1906" s="78" t="n"/>
      <c r="BG1906" s="78" t="n"/>
      <c r="BH1906" s="78" t="n"/>
      <c r="BI1906" s="78" t="n"/>
      <c r="BJ1906" s="139" t="n"/>
      <c r="BK1906" s="204" t="n"/>
      <c r="BL1906" s="141" t="n"/>
      <c r="BM1906" s="205" t="n"/>
      <c r="BN1906" s="205" t="n"/>
      <c r="BO1906" s="206" t="n"/>
      <c r="BP1906" s="144" t="n"/>
      <c r="BQ1906" s="141" t="n"/>
      <c r="BR1906" s="207" t="n"/>
      <c r="BS1906" s="207" t="n"/>
      <c r="BT1906" s="207" t="n"/>
      <c r="BU1906" s="207" t="n"/>
      <c r="BV1906" s="208" t="n"/>
      <c r="BW1906" s="207" t="n"/>
      <c r="BX1906" s="207" t="n"/>
      <c r="BY1906" s="204" t="n"/>
      <c r="BZ1906" s="148" t="n"/>
      <c r="CA1906" s="204" t="n"/>
      <c r="CB1906" s="208" t="n"/>
      <c r="CC1906" s="139" t="n"/>
      <c r="CD1906" s="204" t="n"/>
      <c r="CE1906" s="204" t="n"/>
      <c r="CF1906" s="207" t="n"/>
      <c r="CG1906" s="208" t="n"/>
      <c r="CH1906" s="207" t="n"/>
      <c r="CI1906" s="208" t="n"/>
      <c r="CJ1906" s="204" t="n"/>
      <c r="CK1906" s="208" t="n"/>
      <c r="CL1906" s="208" t="n"/>
      <c r="CM1906" s="208" t="n"/>
      <c r="CN1906" s="78" t="n"/>
      <c r="CO1906" s="209" t="n"/>
      <c r="CP1906" s="204" t="n"/>
      <c r="CQ1906" s="204" t="n"/>
      <c r="CR1906" s="204" t="n"/>
      <c r="CS1906" s="204" t="n"/>
      <c r="CT1906" s="204" t="n"/>
      <c r="CU1906" s="204" t="n"/>
      <c r="CV1906" s="204" t="n"/>
      <c r="CW1906" s="204" t="n"/>
    </row>
    <row r="1907">
      <c r="BF1907" s="78" t="n"/>
      <c r="BG1907" s="78" t="n"/>
      <c r="BH1907" s="78" t="n"/>
      <c r="BI1907" s="78" t="n"/>
      <c r="BJ1907" s="139" t="n"/>
      <c r="BK1907" s="204" t="n"/>
      <c r="BL1907" s="141" t="n"/>
      <c r="BM1907" s="205" t="n"/>
      <c r="BN1907" s="205" t="n"/>
      <c r="BO1907" s="206" t="n"/>
      <c r="BP1907" s="144" t="n"/>
      <c r="BQ1907" s="141" t="n"/>
      <c r="BR1907" s="207" t="n"/>
      <c r="BS1907" s="207" t="n"/>
      <c r="BT1907" s="207" t="n"/>
      <c r="BU1907" s="207" t="n"/>
      <c r="BV1907" s="208" t="n"/>
      <c r="BW1907" s="207" t="n"/>
      <c r="BX1907" s="207" t="n"/>
      <c r="BY1907" s="204" t="n"/>
      <c r="BZ1907" s="148" t="n"/>
      <c r="CA1907" s="204" t="n"/>
      <c r="CB1907" s="208" t="n"/>
      <c r="CC1907" s="139" t="n"/>
      <c r="CD1907" s="204" t="n"/>
      <c r="CE1907" s="204" t="n"/>
      <c r="CF1907" s="207" t="n"/>
      <c r="CG1907" s="208" t="n"/>
      <c r="CH1907" s="207" t="n"/>
      <c r="CI1907" s="208" t="n"/>
      <c r="CJ1907" s="204" t="n"/>
      <c r="CK1907" s="208" t="n"/>
      <c r="CL1907" s="208" t="n"/>
      <c r="CM1907" s="208" t="n"/>
      <c r="CN1907" s="78" t="n"/>
      <c r="CO1907" s="209" t="n"/>
      <c r="CP1907" s="204" t="n"/>
      <c r="CQ1907" s="204" t="n"/>
      <c r="CR1907" s="204" t="n"/>
      <c r="CS1907" s="204" t="n"/>
      <c r="CT1907" s="204" t="n"/>
      <c r="CU1907" s="204" t="n"/>
      <c r="CV1907" s="204" t="n"/>
      <c r="CW1907" s="204" t="n"/>
    </row>
    <row r="1908">
      <c r="BF1908" s="78" t="n"/>
      <c r="BG1908" s="78" t="n"/>
      <c r="BH1908" s="78" t="n"/>
      <c r="BI1908" s="78" t="n"/>
      <c r="BJ1908" s="139" t="n"/>
      <c r="BK1908" s="204" t="n"/>
      <c r="BL1908" s="141" t="n"/>
      <c r="BM1908" s="205" t="n"/>
      <c r="BN1908" s="205" t="n"/>
      <c r="BO1908" s="206" t="n"/>
      <c r="BP1908" s="144" t="n"/>
      <c r="BQ1908" s="141" t="n"/>
      <c r="BR1908" s="207" t="n"/>
      <c r="BS1908" s="207" t="n"/>
      <c r="BT1908" s="207" t="n"/>
      <c r="BU1908" s="207" t="n"/>
      <c r="BV1908" s="208" t="n"/>
      <c r="BW1908" s="207" t="n"/>
      <c r="BX1908" s="207" t="n"/>
      <c r="BY1908" s="204" t="n"/>
      <c r="BZ1908" s="148" t="n"/>
      <c r="CA1908" s="204" t="n"/>
      <c r="CB1908" s="208" t="n"/>
      <c r="CC1908" s="139" t="n"/>
      <c r="CD1908" s="204" t="n"/>
      <c r="CE1908" s="204" t="n"/>
      <c r="CF1908" s="207" t="n"/>
      <c r="CG1908" s="208" t="n"/>
      <c r="CH1908" s="207" t="n"/>
      <c r="CI1908" s="208" t="n"/>
      <c r="CJ1908" s="204" t="n"/>
      <c r="CK1908" s="208" t="n"/>
      <c r="CL1908" s="208" t="n"/>
      <c r="CM1908" s="208" t="n"/>
      <c r="CN1908" s="78" t="n"/>
      <c r="CO1908" s="209" t="n"/>
      <c r="CP1908" s="204" t="n"/>
      <c r="CQ1908" s="204" t="n"/>
      <c r="CR1908" s="204" t="n"/>
      <c r="CS1908" s="204" t="n"/>
      <c r="CT1908" s="204" t="n"/>
      <c r="CU1908" s="204" t="n"/>
      <c r="CV1908" s="204" t="n"/>
      <c r="CW1908" s="204" t="n"/>
    </row>
    <row r="1909">
      <c r="BF1909" s="78" t="n"/>
      <c r="BG1909" s="78" t="n"/>
      <c r="BH1909" s="78" t="n"/>
      <c r="BI1909" s="78" t="n"/>
      <c r="BJ1909" s="139" t="n"/>
      <c r="BK1909" s="204" t="n"/>
      <c r="BL1909" s="141" t="n"/>
      <c r="BM1909" s="205" t="n"/>
      <c r="BN1909" s="205" t="n"/>
      <c r="BO1909" s="206" t="n"/>
      <c r="BP1909" s="144" t="n"/>
      <c r="BQ1909" s="141" t="n"/>
      <c r="BR1909" s="207" t="n"/>
      <c r="BS1909" s="207" t="n"/>
      <c r="BT1909" s="207" t="n"/>
      <c r="BU1909" s="207" t="n"/>
      <c r="BV1909" s="208" t="n"/>
      <c r="BW1909" s="207" t="n"/>
      <c r="BX1909" s="207" t="n"/>
      <c r="BY1909" s="204" t="n"/>
      <c r="BZ1909" s="148" t="n"/>
      <c r="CA1909" s="204" t="n"/>
      <c r="CB1909" s="208" t="n"/>
      <c r="CC1909" s="139" t="n"/>
      <c r="CD1909" s="204" t="n"/>
      <c r="CE1909" s="204" t="n"/>
      <c r="CF1909" s="207" t="n"/>
      <c r="CG1909" s="208" t="n"/>
      <c r="CH1909" s="207" t="n"/>
      <c r="CI1909" s="208" t="n"/>
      <c r="CJ1909" s="204" t="n"/>
      <c r="CK1909" s="208" t="n"/>
      <c r="CL1909" s="208" t="n"/>
      <c r="CM1909" s="208" t="n"/>
      <c r="CN1909" s="78" t="n"/>
      <c r="CO1909" s="209" t="n"/>
      <c r="CP1909" s="204" t="n"/>
      <c r="CQ1909" s="204" t="n"/>
      <c r="CR1909" s="204" t="n"/>
      <c r="CS1909" s="204" t="n"/>
      <c r="CT1909" s="204" t="n"/>
      <c r="CU1909" s="204" t="n"/>
      <c r="CV1909" s="204" t="n"/>
      <c r="CW1909" s="204" t="n"/>
    </row>
    <row r="1910">
      <c r="BF1910" s="78" t="n"/>
      <c r="BG1910" s="78" t="n"/>
      <c r="BH1910" s="78" t="n"/>
      <c r="BI1910" s="78" t="n"/>
      <c r="BJ1910" s="139" t="n"/>
      <c r="BK1910" s="204" t="n"/>
      <c r="BL1910" s="141" t="n"/>
      <c r="BM1910" s="205" t="n"/>
      <c r="BN1910" s="205" t="n"/>
      <c r="BO1910" s="206" t="n"/>
      <c r="BP1910" s="144" t="n"/>
      <c r="BQ1910" s="141" t="n"/>
      <c r="BR1910" s="207" t="n"/>
      <c r="BS1910" s="207" t="n"/>
      <c r="BT1910" s="207" t="n"/>
      <c r="BU1910" s="207" t="n"/>
      <c r="BV1910" s="208" t="n"/>
      <c r="BW1910" s="207" t="n"/>
      <c r="BX1910" s="207" t="n"/>
      <c r="BY1910" s="204" t="n"/>
      <c r="BZ1910" s="148" t="n"/>
      <c r="CA1910" s="204" t="n"/>
      <c r="CB1910" s="208" t="n"/>
      <c r="CC1910" s="139" t="n"/>
      <c r="CD1910" s="204" t="n"/>
      <c r="CE1910" s="204" t="n"/>
      <c r="CF1910" s="207" t="n"/>
      <c r="CG1910" s="208" t="n"/>
      <c r="CH1910" s="207" t="n"/>
      <c r="CI1910" s="208" t="n"/>
      <c r="CJ1910" s="204" t="n"/>
      <c r="CK1910" s="208" t="n"/>
      <c r="CL1910" s="208" t="n"/>
      <c r="CM1910" s="208" t="n"/>
      <c r="CN1910" s="78" t="n"/>
      <c r="CO1910" s="209" t="n"/>
      <c r="CP1910" s="204" t="n"/>
      <c r="CQ1910" s="204" t="n"/>
      <c r="CR1910" s="204" t="n"/>
      <c r="CS1910" s="204" t="n"/>
      <c r="CT1910" s="204" t="n"/>
      <c r="CU1910" s="204" t="n"/>
      <c r="CV1910" s="204" t="n"/>
      <c r="CW1910" s="204" t="n"/>
    </row>
    <row r="1911">
      <c r="BF1911" s="78" t="n"/>
      <c r="BG1911" s="78" t="n"/>
      <c r="BH1911" s="78" t="n"/>
      <c r="BI1911" s="78" t="n"/>
      <c r="BJ1911" s="139" t="n"/>
      <c r="BK1911" s="204" t="n"/>
      <c r="BL1911" s="141" t="n"/>
      <c r="BM1911" s="205" t="n"/>
      <c r="BN1911" s="205" t="n"/>
      <c r="BO1911" s="206" t="n"/>
      <c r="BP1911" s="144" t="n"/>
      <c r="BQ1911" s="141" t="n"/>
      <c r="BR1911" s="207" t="n"/>
      <c r="BS1911" s="207" t="n"/>
      <c r="BT1911" s="207" t="n"/>
      <c r="BU1911" s="207" t="n"/>
      <c r="BV1911" s="208" t="n"/>
      <c r="BW1911" s="207" t="n"/>
      <c r="BX1911" s="207" t="n"/>
      <c r="BY1911" s="204" t="n"/>
      <c r="BZ1911" s="148" t="n"/>
      <c r="CA1911" s="204" t="n"/>
      <c r="CB1911" s="208" t="n"/>
      <c r="CC1911" s="139" t="n"/>
      <c r="CD1911" s="204" t="n"/>
      <c r="CE1911" s="204" t="n"/>
      <c r="CF1911" s="207" t="n"/>
      <c r="CG1911" s="208" t="n"/>
      <c r="CH1911" s="207" t="n"/>
      <c r="CI1911" s="208" t="n"/>
      <c r="CJ1911" s="204" t="n"/>
      <c r="CK1911" s="208" t="n"/>
      <c r="CL1911" s="208" t="n"/>
      <c r="CM1911" s="208" t="n"/>
      <c r="CN1911" s="78" t="n"/>
      <c r="CO1911" s="209" t="n"/>
      <c r="CP1911" s="204" t="n"/>
      <c r="CQ1911" s="204" t="n"/>
      <c r="CR1911" s="204" t="n"/>
      <c r="CS1911" s="204" t="n"/>
      <c r="CT1911" s="204" t="n"/>
      <c r="CU1911" s="204" t="n"/>
      <c r="CV1911" s="204" t="n"/>
      <c r="CW1911" s="204" t="n"/>
    </row>
    <row r="1912">
      <c r="BF1912" s="78" t="n"/>
      <c r="BG1912" s="78" t="n"/>
      <c r="BH1912" s="78" t="n"/>
      <c r="BI1912" s="78" t="n"/>
      <c r="BJ1912" s="139" t="n"/>
      <c r="BK1912" s="204" t="n"/>
      <c r="BL1912" s="141" t="n"/>
      <c r="BM1912" s="205" t="n"/>
      <c r="BN1912" s="205" t="n"/>
      <c r="BO1912" s="206" t="n"/>
      <c r="BP1912" s="144" t="n"/>
      <c r="BQ1912" s="141" t="n"/>
      <c r="BR1912" s="207" t="n"/>
      <c r="BS1912" s="207" t="n"/>
      <c r="BT1912" s="207" t="n"/>
      <c r="BU1912" s="207" t="n"/>
      <c r="BV1912" s="208" t="n"/>
      <c r="BW1912" s="207" t="n"/>
      <c r="BX1912" s="207" t="n"/>
      <c r="BY1912" s="204" t="n"/>
      <c r="BZ1912" s="148" t="n"/>
      <c r="CA1912" s="204" t="n"/>
      <c r="CB1912" s="208" t="n"/>
      <c r="CC1912" s="139" t="n"/>
      <c r="CD1912" s="204" t="n"/>
      <c r="CE1912" s="204" t="n"/>
      <c r="CF1912" s="207" t="n"/>
      <c r="CG1912" s="208" t="n"/>
      <c r="CH1912" s="207" t="n"/>
      <c r="CI1912" s="208" t="n"/>
      <c r="CJ1912" s="204" t="n"/>
      <c r="CK1912" s="208" t="n"/>
      <c r="CL1912" s="208" t="n"/>
      <c r="CM1912" s="208" t="n"/>
      <c r="CN1912" s="78" t="n"/>
      <c r="CO1912" s="209" t="n"/>
      <c r="CP1912" s="204" t="n"/>
      <c r="CQ1912" s="204" t="n"/>
      <c r="CR1912" s="204" t="n"/>
      <c r="CS1912" s="204" t="n"/>
      <c r="CT1912" s="204" t="n"/>
      <c r="CU1912" s="204" t="n"/>
      <c r="CV1912" s="204" t="n"/>
      <c r="CW1912" s="204" t="n"/>
    </row>
    <row r="1913">
      <c r="BF1913" s="78" t="n"/>
      <c r="BG1913" s="78" t="n"/>
      <c r="BH1913" s="78" t="n"/>
      <c r="BI1913" s="78" t="n"/>
      <c r="BJ1913" s="139" t="n"/>
      <c r="BK1913" s="204" t="n"/>
      <c r="BL1913" s="141" t="n"/>
      <c r="BM1913" s="205" t="n"/>
      <c r="BN1913" s="205" t="n"/>
      <c r="BO1913" s="206" t="n"/>
      <c r="BP1913" s="144" t="n"/>
      <c r="BQ1913" s="141" t="n"/>
      <c r="BR1913" s="207" t="n"/>
      <c r="BS1913" s="207" t="n"/>
      <c r="BT1913" s="207" t="n"/>
      <c r="BU1913" s="207" t="n"/>
      <c r="BV1913" s="208" t="n"/>
      <c r="BW1913" s="207" t="n"/>
      <c r="BX1913" s="207" t="n"/>
      <c r="BY1913" s="204" t="n"/>
      <c r="BZ1913" s="148" t="n"/>
      <c r="CA1913" s="204" t="n"/>
      <c r="CB1913" s="208" t="n"/>
      <c r="CC1913" s="139" t="n"/>
      <c r="CD1913" s="204" t="n"/>
      <c r="CE1913" s="204" t="n"/>
      <c r="CF1913" s="207" t="n"/>
      <c r="CG1913" s="208" t="n"/>
      <c r="CH1913" s="207" t="n"/>
      <c r="CI1913" s="208" t="n"/>
      <c r="CJ1913" s="204" t="n"/>
      <c r="CK1913" s="208" t="n"/>
      <c r="CL1913" s="208" t="n"/>
      <c r="CM1913" s="208" t="n"/>
      <c r="CN1913" s="78" t="n"/>
      <c r="CO1913" s="209" t="n"/>
      <c r="CP1913" s="204" t="n"/>
      <c r="CQ1913" s="204" t="n"/>
      <c r="CR1913" s="204" t="n"/>
      <c r="CS1913" s="204" t="n"/>
      <c r="CT1913" s="204" t="n"/>
      <c r="CU1913" s="204" t="n"/>
      <c r="CV1913" s="204" t="n"/>
      <c r="CW1913" s="204" t="n"/>
    </row>
    <row r="1914">
      <c r="BF1914" s="78" t="n"/>
      <c r="BG1914" s="78" t="n"/>
      <c r="BH1914" s="78" t="n"/>
      <c r="BI1914" s="78" t="n"/>
      <c r="BJ1914" s="139" t="n"/>
      <c r="BK1914" s="204" t="n"/>
      <c r="BL1914" s="141" t="n"/>
      <c r="BM1914" s="205" t="n"/>
      <c r="BN1914" s="205" t="n"/>
      <c r="BO1914" s="206" t="n"/>
      <c r="BP1914" s="144" t="n"/>
      <c r="BQ1914" s="141" t="n"/>
      <c r="BR1914" s="207" t="n"/>
      <c r="BS1914" s="207" t="n"/>
      <c r="BT1914" s="207" t="n"/>
      <c r="BU1914" s="207" t="n"/>
      <c r="BV1914" s="208" t="n"/>
      <c r="BW1914" s="207" t="n"/>
      <c r="BX1914" s="207" t="n"/>
      <c r="BY1914" s="204" t="n"/>
      <c r="BZ1914" s="148" t="n"/>
      <c r="CA1914" s="204" t="n"/>
      <c r="CB1914" s="208" t="n"/>
      <c r="CC1914" s="139" t="n"/>
      <c r="CD1914" s="204" t="n"/>
      <c r="CE1914" s="204" t="n"/>
      <c r="CF1914" s="207" t="n"/>
      <c r="CG1914" s="208" t="n"/>
      <c r="CH1914" s="207" t="n"/>
      <c r="CI1914" s="208" t="n"/>
      <c r="CJ1914" s="204" t="n"/>
      <c r="CK1914" s="208" t="n"/>
      <c r="CL1914" s="208" t="n"/>
      <c r="CM1914" s="208" t="n"/>
      <c r="CN1914" s="78" t="n"/>
      <c r="CO1914" s="209" t="n"/>
      <c r="CP1914" s="204" t="n"/>
      <c r="CQ1914" s="204" t="n"/>
      <c r="CR1914" s="204" t="n"/>
      <c r="CS1914" s="204" t="n"/>
      <c r="CT1914" s="204" t="n"/>
      <c r="CU1914" s="204" t="n"/>
      <c r="CV1914" s="204" t="n"/>
      <c r="CW1914" s="204" t="n"/>
    </row>
    <row r="1915">
      <c r="BF1915" s="78" t="n"/>
      <c r="BG1915" s="78" t="n"/>
      <c r="BH1915" s="78" t="n"/>
      <c r="BI1915" s="78" t="n"/>
      <c r="BJ1915" s="139" t="n"/>
      <c r="BK1915" s="204" t="n"/>
      <c r="BL1915" s="141" t="n"/>
      <c r="BM1915" s="205" t="n"/>
      <c r="BN1915" s="205" t="n"/>
      <c r="BO1915" s="206" t="n"/>
      <c r="BP1915" s="144" t="n"/>
      <c r="BQ1915" s="141" t="n"/>
      <c r="BR1915" s="207" t="n"/>
      <c r="BS1915" s="207" t="n"/>
      <c r="BT1915" s="207" t="n"/>
      <c r="BU1915" s="207" t="n"/>
      <c r="BV1915" s="208" t="n"/>
      <c r="BW1915" s="207" t="n"/>
      <c r="BX1915" s="207" t="n"/>
      <c r="BY1915" s="204" t="n"/>
      <c r="BZ1915" s="148" t="n"/>
      <c r="CA1915" s="204" t="n"/>
      <c r="CB1915" s="208" t="n"/>
      <c r="CC1915" s="139" t="n"/>
      <c r="CD1915" s="204" t="n"/>
      <c r="CE1915" s="204" t="n"/>
      <c r="CF1915" s="207" t="n"/>
      <c r="CG1915" s="208" t="n"/>
      <c r="CH1915" s="207" t="n"/>
      <c r="CI1915" s="208" t="n"/>
      <c r="CJ1915" s="204" t="n"/>
      <c r="CK1915" s="208" t="n"/>
      <c r="CL1915" s="208" t="n"/>
      <c r="CM1915" s="208" t="n"/>
      <c r="CN1915" s="78" t="n"/>
      <c r="CO1915" s="209" t="n"/>
      <c r="CP1915" s="204" t="n"/>
      <c r="CQ1915" s="204" t="n"/>
      <c r="CR1915" s="204" t="n"/>
      <c r="CS1915" s="204" t="n"/>
      <c r="CT1915" s="204" t="n"/>
      <c r="CU1915" s="204" t="n"/>
      <c r="CV1915" s="204" t="n"/>
      <c r="CW1915" s="204" t="n"/>
    </row>
    <row r="1916">
      <c r="BF1916" s="78" t="n"/>
      <c r="BG1916" s="78" t="n"/>
      <c r="BH1916" s="78" t="n"/>
      <c r="BI1916" s="78" t="n"/>
      <c r="BJ1916" s="139" t="n"/>
      <c r="BK1916" s="204" t="n"/>
      <c r="BL1916" s="141" t="n"/>
      <c r="BM1916" s="205" t="n"/>
      <c r="BN1916" s="205" t="n"/>
      <c r="BO1916" s="206" t="n"/>
      <c r="BP1916" s="144" t="n"/>
      <c r="BQ1916" s="141" t="n"/>
      <c r="BR1916" s="207" t="n"/>
      <c r="BS1916" s="207" t="n"/>
      <c r="BT1916" s="207" t="n"/>
      <c r="BU1916" s="207" t="n"/>
      <c r="BV1916" s="208" t="n"/>
      <c r="BW1916" s="207" t="n"/>
      <c r="BX1916" s="207" t="n"/>
      <c r="BY1916" s="204" t="n"/>
      <c r="BZ1916" s="148" t="n"/>
      <c r="CA1916" s="204" t="n"/>
      <c r="CB1916" s="208" t="n"/>
      <c r="CC1916" s="139" t="n"/>
      <c r="CD1916" s="204" t="n"/>
      <c r="CE1916" s="204" t="n"/>
      <c r="CF1916" s="207" t="n"/>
      <c r="CG1916" s="208" t="n"/>
      <c r="CH1916" s="207" t="n"/>
      <c r="CI1916" s="208" t="n"/>
      <c r="CJ1916" s="204" t="n"/>
      <c r="CK1916" s="208" t="n"/>
      <c r="CL1916" s="208" t="n"/>
      <c r="CM1916" s="208" t="n"/>
      <c r="CN1916" s="78" t="n"/>
      <c r="CO1916" s="209" t="n"/>
      <c r="CP1916" s="204" t="n"/>
      <c r="CQ1916" s="204" t="n"/>
      <c r="CR1916" s="204" t="n"/>
      <c r="CS1916" s="204" t="n"/>
      <c r="CT1916" s="204" t="n"/>
      <c r="CU1916" s="204" t="n"/>
      <c r="CV1916" s="204" t="n"/>
      <c r="CW1916" s="204" t="n"/>
    </row>
    <row r="1917">
      <c r="BF1917" s="78" t="n"/>
      <c r="BG1917" s="78" t="n"/>
      <c r="BH1917" s="78" t="n"/>
      <c r="BI1917" s="78" t="n"/>
      <c r="BJ1917" s="139" t="n"/>
      <c r="BK1917" s="204" t="n"/>
      <c r="BL1917" s="141" t="n"/>
      <c r="BM1917" s="205" t="n"/>
      <c r="BN1917" s="205" t="n"/>
      <c r="BO1917" s="206" t="n"/>
      <c r="BP1917" s="144" t="n"/>
      <c r="BQ1917" s="141" t="n"/>
      <c r="BR1917" s="207" t="n"/>
      <c r="BS1917" s="207" t="n"/>
      <c r="BT1917" s="207" t="n"/>
      <c r="BU1917" s="207" t="n"/>
      <c r="BV1917" s="208" t="n"/>
      <c r="BW1917" s="207" t="n"/>
      <c r="BX1917" s="207" t="n"/>
      <c r="BY1917" s="204" t="n"/>
      <c r="BZ1917" s="148" t="n"/>
      <c r="CA1917" s="204" t="n"/>
      <c r="CB1917" s="208" t="n"/>
      <c r="CC1917" s="139" t="n"/>
      <c r="CD1917" s="204" t="n"/>
      <c r="CE1917" s="204" t="n"/>
      <c r="CF1917" s="207" t="n"/>
      <c r="CG1917" s="208" t="n"/>
      <c r="CH1917" s="207" t="n"/>
      <c r="CI1917" s="208" t="n"/>
      <c r="CJ1917" s="204" t="n"/>
      <c r="CK1917" s="208" t="n"/>
      <c r="CL1917" s="208" t="n"/>
      <c r="CM1917" s="208" t="n"/>
      <c r="CN1917" s="78" t="n"/>
      <c r="CO1917" s="209" t="n"/>
      <c r="CP1917" s="204" t="n"/>
      <c r="CQ1917" s="204" t="n"/>
      <c r="CR1917" s="204" t="n"/>
      <c r="CS1917" s="204" t="n"/>
      <c r="CT1917" s="204" t="n"/>
      <c r="CU1917" s="204" t="n"/>
      <c r="CV1917" s="204" t="n"/>
      <c r="CW1917" s="204" t="n"/>
    </row>
    <row r="1918">
      <c r="BF1918" s="78" t="n"/>
      <c r="BG1918" s="78" t="n"/>
      <c r="BH1918" s="78" t="n"/>
      <c r="BI1918" s="78" t="n"/>
      <c r="BJ1918" s="139" t="n"/>
      <c r="BK1918" s="204" t="n"/>
      <c r="BL1918" s="141" t="n"/>
      <c r="BM1918" s="205" t="n"/>
      <c r="BN1918" s="205" t="n"/>
      <c r="BO1918" s="206" t="n"/>
      <c r="BP1918" s="144" t="n"/>
      <c r="BQ1918" s="141" t="n"/>
      <c r="BR1918" s="207" t="n"/>
      <c r="BS1918" s="207" t="n"/>
      <c r="BT1918" s="207" t="n"/>
      <c r="BU1918" s="207" t="n"/>
      <c r="BV1918" s="208" t="n"/>
      <c r="BW1918" s="207" t="n"/>
      <c r="BX1918" s="207" t="n"/>
      <c r="BY1918" s="204" t="n"/>
      <c r="BZ1918" s="148" t="n"/>
      <c r="CA1918" s="204" t="n"/>
      <c r="CB1918" s="208" t="n"/>
      <c r="CC1918" s="139" t="n"/>
      <c r="CD1918" s="204" t="n"/>
      <c r="CE1918" s="204" t="n"/>
      <c r="CF1918" s="207" t="n"/>
      <c r="CG1918" s="208" t="n"/>
      <c r="CH1918" s="207" t="n"/>
      <c r="CI1918" s="208" t="n"/>
      <c r="CJ1918" s="204" t="n"/>
      <c r="CK1918" s="208" t="n"/>
      <c r="CL1918" s="208" t="n"/>
      <c r="CM1918" s="208" t="n"/>
      <c r="CN1918" s="78" t="n"/>
      <c r="CO1918" s="209" t="n"/>
      <c r="CP1918" s="204" t="n"/>
      <c r="CQ1918" s="204" t="n"/>
      <c r="CR1918" s="204" t="n"/>
      <c r="CS1918" s="204" t="n"/>
      <c r="CT1918" s="204" t="n"/>
      <c r="CU1918" s="204" t="n"/>
      <c r="CV1918" s="204" t="n"/>
      <c r="CW1918" s="204" t="n"/>
    </row>
    <row r="1919">
      <c r="BF1919" s="78" t="n"/>
      <c r="BG1919" s="78" t="n"/>
      <c r="BH1919" s="78" t="n"/>
      <c r="BI1919" s="78" t="n"/>
      <c r="BJ1919" s="139" t="n"/>
      <c r="BK1919" s="204" t="n"/>
      <c r="BL1919" s="141" t="n"/>
      <c r="BM1919" s="205" t="n"/>
      <c r="BN1919" s="205" t="n"/>
      <c r="BO1919" s="206" t="n"/>
      <c r="BP1919" s="144" t="n"/>
      <c r="BQ1919" s="141" t="n"/>
      <c r="BR1919" s="207" t="n"/>
      <c r="BS1919" s="207" t="n"/>
      <c r="BT1919" s="207" t="n"/>
      <c r="BU1919" s="207" t="n"/>
      <c r="BV1919" s="208" t="n"/>
      <c r="BW1919" s="207" t="n"/>
      <c r="BX1919" s="207" t="n"/>
      <c r="BY1919" s="204" t="n"/>
      <c r="BZ1919" s="148" t="n"/>
      <c r="CA1919" s="204" t="n"/>
      <c r="CB1919" s="208" t="n"/>
      <c r="CC1919" s="139" t="n"/>
      <c r="CD1919" s="204" t="n"/>
      <c r="CE1919" s="204" t="n"/>
      <c r="CF1919" s="207" t="n"/>
      <c r="CG1919" s="208" t="n"/>
      <c r="CH1919" s="207" t="n"/>
      <c r="CI1919" s="208" t="n"/>
      <c r="CJ1919" s="204" t="n"/>
      <c r="CK1919" s="208" t="n"/>
      <c r="CL1919" s="208" t="n"/>
      <c r="CM1919" s="208" t="n"/>
      <c r="CN1919" s="78" t="n"/>
      <c r="CO1919" s="209" t="n"/>
      <c r="CP1919" s="204" t="n"/>
      <c r="CQ1919" s="204" t="n"/>
      <c r="CR1919" s="204" t="n"/>
      <c r="CS1919" s="204" t="n"/>
      <c r="CT1919" s="204" t="n"/>
      <c r="CU1919" s="204" t="n"/>
      <c r="CV1919" s="204" t="n"/>
      <c r="CW1919" s="204" t="n"/>
    </row>
    <row r="1920">
      <c r="BF1920" s="78" t="n"/>
      <c r="BG1920" s="78" t="n"/>
      <c r="BH1920" s="78" t="n"/>
      <c r="BI1920" s="78" t="n"/>
      <c r="BJ1920" s="139" t="n"/>
      <c r="BK1920" s="204" t="n"/>
      <c r="BL1920" s="141" t="n"/>
      <c r="BM1920" s="205" t="n"/>
      <c r="BN1920" s="205" t="n"/>
      <c r="BO1920" s="206" t="n"/>
      <c r="BP1920" s="144" t="n"/>
      <c r="BQ1920" s="141" t="n"/>
      <c r="BR1920" s="207" t="n"/>
      <c r="BS1920" s="207" t="n"/>
      <c r="BT1920" s="207" t="n"/>
      <c r="BU1920" s="207" t="n"/>
      <c r="BV1920" s="208" t="n"/>
      <c r="BW1920" s="207" t="n"/>
      <c r="BX1920" s="207" t="n"/>
      <c r="BY1920" s="204" t="n"/>
      <c r="BZ1920" s="148" t="n"/>
      <c r="CA1920" s="204" t="n"/>
      <c r="CB1920" s="208" t="n"/>
      <c r="CC1920" s="139" t="n"/>
      <c r="CD1920" s="204" t="n"/>
      <c r="CE1920" s="204" t="n"/>
      <c r="CF1920" s="207" t="n"/>
      <c r="CG1920" s="208" t="n"/>
      <c r="CH1920" s="207" t="n"/>
      <c r="CI1920" s="208" t="n"/>
      <c r="CJ1920" s="204" t="n"/>
      <c r="CK1920" s="208" t="n"/>
      <c r="CL1920" s="208" t="n"/>
      <c r="CM1920" s="208" t="n"/>
      <c r="CN1920" s="78" t="n"/>
      <c r="CO1920" s="209" t="n"/>
      <c r="CP1920" s="204" t="n"/>
      <c r="CQ1920" s="204" t="n"/>
      <c r="CR1920" s="204" t="n"/>
      <c r="CS1920" s="204" t="n"/>
      <c r="CT1920" s="204" t="n"/>
      <c r="CU1920" s="204" t="n"/>
      <c r="CV1920" s="204" t="n"/>
      <c r="CW1920" s="204" t="n"/>
    </row>
    <row r="1921">
      <c r="BF1921" s="78" t="n"/>
      <c r="BG1921" s="78" t="n"/>
      <c r="BH1921" s="78" t="n"/>
      <c r="BI1921" s="78" t="n"/>
      <c r="BJ1921" s="139" t="n"/>
      <c r="BK1921" s="204" t="n"/>
      <c r="BL1921" s="141" t="n"/>
      <c r="BM1921" s="205" t="n"/>
      <c r="BN1921" s="205" t="n"/>
      <c r="BO1921" s="206" t="n"/>
      <c r="BP1921" s="144" t="n"/>
      <c r="BQ1921" s="141" t="n"/>
      <c r="BR1921" s="207" t="n"/>
      <c r="BS1921" s="207" t="n"/>
      <c r="BT1921" s="207" t="n"/>
      <c r="BU1921" s="207" t="n"/>
      <c r="BV1921" s="208" t="n"/>
      <c r="BW1921" s="207" t="n"/>
      <c r="BX1921" s="207" t="n"/>
      <c r="BY1921" s="204" t="n"/>
      <c r="BZ1921" s="148" t="n"/>
      <c r="CA1921" s="204" t="n"/>
      <c r="CB1921" s="208" t="n"/>
      <c r="CC1921" s="139" t="n"/>
      <c r="CD1921" s="204" t="n"/>
      <c r="CE1921" s="204" t="n"/>
      <c r="CF1921" s="207" t="n"/>
      <c r="CG1921" s="208" t="n"/>
      <c r="CH1921" s="207" t="n"/>
      <c r="CI1921" s="208" t="n"/>
      <c r="CJ1921" s="204" t="n"/>
      <c r="CK1921" s="208" t="n"/>
      <c r="CL1921" s="208" t="n"/>
      <c r="CM1921" s="208" t="n"/>
      <c r="CN1921" s="78" t="n"/>
      <c r="CO1921" s="209" t="n"/>
      <c r="CP1921" s="204" t="n"/>
      <c r="CQ1921" s="204" t="n"/>
      <c r="CR1921" s="204" t="n"/>
      <c r="CS1921" s="204" t="n"/>
      <c r="CT1921" s="204" t="n"/>
      <c r="CU1921" s="204" t="n"/>
      <c r="CV1921" s="204" t="n"/>
      <c r="CW1921" s="204" t="n"/>
    </row>
    <row r="1922">
      <c r="BF1922" s="78" t="n"/>
      <c r="BG1922" s="78" t="n"/>
      <c r="BH1922" s="78" t="n"/>
      <c r="BI1922" s="78" t="n"/>
      <c r="BJ1922" s="139" t="n"/>
      <c r="BK1922" s="204" t="n"/>
      <c r="BL1922" s="141" t="n"/>
      <c r="BM1922" s="205" t="n"/>
      <c r="BN1922" s="205" t="n"/>
      <c r="BO1922" s="206" t="n"/>
      <c r="BP1922" s="144" t="n"/>
      <c r="BQ1922" s="141" t="n"/>
      <c r="BR1922" s="207" t="n"/>
      <c r="BS1922" s="207" t="n"/>
      <c r="BT1922" s="207" t="n"/>
      <c r="BU1922" s="207" t="n"/>
      <c r="BV1922" s="208" t="n"/>
      <c r="BW1922" s="207" t="n"/>
      <c r="BX1922" s="207" t="n"/>
      <c r="BY1922" s="204" t="n"/>
      <c r="BZ1922" s="148" t="n"/>
      <c r="CA1922" s="204" t="n"/>
      <c r="CB1922" s="208" t="n"/>
      <c r="CC1922" s="139" t="n"/>
      <c r="CD1922" s="204" t="n"/>
      <c r="CE1922" s="204" t="n"/>
      <c r="CF1922" s="207" t="n"/>
      <c r="CG1922" s="208" t="n"/>
      <c r="CH1922" s="207" t="n"/>
      <c r="CI1922" s="208" t="n"/>
      <c r="CJ1922" s="204" t="n"/>
      <c r="CK1922" s="208" t="n"/>
      <c r="CL1922" s="208" t="n"/>
      <c r="CM1922" s="208" t="n"/>
      <c r="CN1922" s="78" t="n"/>
      <c r="CO1922" s="209" t="n"/>
      <c r="CP1922" s="204" t="n"/>
      <c r="CQ1922" s="204" t="n"/>
      <c r="CR1922" s="204" t="n"/>
      <c r="CS1922" s="204" t="n"/>
      <c r="CT1922" s="204" t="n"/>
      <c r="CU1922" s="204" t="n"/>
      <c r="CV1922" s="204" t="n"/>
      <c r="CW1922" s="204" t="n"/>
    </row>
    <row r="1923">
      <c r="BF1923" s="78" t="n"/>
      <c r="BG1923" s="78" t="n"/>
      <c r="BH1923" s="78" t="n"/>
      <c r="BI1923" s="78" t="n"/>
      <c r="BJ1923" s="139" t="n"/>
      <c r="BK1923" s="204" t="n"/>
      <c r="BL1923" s="141" t="n"/>
      <c r="BM1923" s="205" t="n"/>
      <c r="BN1923" s="205" t="n"/>
      <c r="BO1923" s="206" t="n"/>
      <c r="BP1923" s="144" t="n"/>
      <c r="BQ1923" s="141" t="n"/>
      <c r="BR1923" s="207" t="n"/>
      <c r="BS1923" s="207" t="n"/>
      <c r="BT1923" s="207" t="n"/>
      <c r="BU1923" s="207" t="n"/>
      <c r="BV1923" s="208" t="n"/>
      <c r="BW1923" s="207" t="n"/>
      <c r="BX1923" s="207" t="n"/>
      <c r="BY1923" s="204" t="n"/>
      <c r="BZ1923" s="148" t="n"/>
      <c r="CA1923" s="204" t="n"/>
      <c r="CB1923" s="208" t="n"/>
      <c r="CC1923" s="139" t="n"/>
      <c r="CD1923" s="204" t="n"/>
      <c r="CE1923" s="204" t="n"/>
      <c r="CF1923" s="207" t="n"/>
      <c r="CG1923" s="208" t="n"/>
      <c r="CH1923" s="207" t="n"/>
      <c r="CI1923" s="208" t="n"/>
      <c r="CJ1923" s="204" t="n"/>
      <c r="CK1923" s="208" t="n"/>
      <c r="CL1923" s="208" t="n"/>
      <c r="CM1923" s="208" t="n"/>
      <c r="CN1923" s="78" t="n"/>
      <c r="CO1923" s="209" t="n"/>
      <c r="CP1923" s="204" t="n"/>
      <c r="CQ1923" s="204" t="n"/>
      <c r="CR1923" s="204" t="n"/>
      <c r="CS1923" s="204" t="n"/>
      <c r="CT1923" s="204" t="n"/>
      <c r="CU1923" s="204" t="n"/>
      <c r="CV1923" s="204" t="n"/>
      <c r="CW1923" s="204" t="n"/>
    </row>
    <row r="1924">
      <c r="BF1924" s="78" t="n"/>
      <c r="BG1924" s="78" t="n"/>
      <c r="BH1924" s="78" t="n"/>
      <c r="BI1924" s="78" t="n"/>
      <c r="BJ1924" s="139" t="n"/>
      <c r="BK1924" s="204" t="n"/>
      <c r="BL1924" s="141" t="n"/>
      <c r="BM1924" s="205" t="n"/>
      <c r="BN1924" s="205" t="n"/>
      <c r="BO1924" s="206" t="n"/>
      <c r="BP1924" s="144" t="n"/>
      <c r="BQ1924" s="141" t="n"/>
      <c r="BR1924" s="207" t="n"/>
      <c r="BS1924" s="207" t="n"/>
      <c r="BT1924" s="207" t="n"/>
      <c r="BU1924" s="207" t="n"/>
      <c r="BV1924" s="208" t="n"/>
      <c r="BW1924" s="207" t="n"/>
      <c r="BX1924" s="207" t="n"/>
      <c r="BY1924" s="204" t="n"/>
      <c r="BZ1924" s="148" t="n"/>
      <c r="CA1924" s="204" t="n"/>
      <c r="CB1924" s="208" t="n"/>
      <c r="CC1924" s="139" t="n"/>
      <c r="CD1924" s="204" t="n"/>
      <c r="CE1924" s="204" t="n"/>
      <c r="CF1924" s="207" t="n"/>
      <c r="CG1924" s="208" t="n"/>
      <c r="CH1924" s="207" t="n"/>
      <c r="CI1924" s="208" t="n"/>
      <c r="CJ1924" s="204" t="n"/>
      <c r="CK1924" s="208" t="n"/>
      <c r="CL1924" s="208" t="n"/>
      <c r="CM1924" s="208" t="n"/>
      <c r="CN1924" s="78" t="n"/>
      <c r="CO1924" s="209" t="n"/>
      <c r="CP1924" s="204" t="n"/>
      <c r="CQ1924" s="204" t="n"/>
      <c r="CR1924" s="204" t="n"/>
      <c r="CS1924" s="204" t="n"/>
      <c r="CT1924" s="204" t="n"/>
      <c r="CU1924" s="204" t="n"/>
      <c r="CV1924" s="204" t="n"/>
      <c r="CW1924" s="204" t="n"/>
    </row>
    <row r="1925">
      <c r="BF1925" s="78" t="n"/>
      <c r="BG1925" s="78" t="n"/>
      <c r="BH1925" s="78" t="n"/>
      <c r="BI1925" s="78" t="n"/>
      <c r="BJ1925" s="139" t="n"/>
      <c r="BK1925" s="204" t="n"/>
      <c r="BL1925" s="141" t="n"/>
      <c r="BM1925" s="205" t="n"/>
      <c r="BN1925" s="205" t="n"/>
      <c r="BO1925" s="206" t="n"/>
      <c r="BP1925" s="144" t="n"/>
      <c r="BQ1925" s="141" t="n"/>
      <c r="BR1925" s="207" t="n"/>
      <c r="BS1925" s="207" t="n"/>
      <c r="BT1925" s="207" t="n"/>
      <c r="BU1925" s="207" t="n"/>
      <c r="BV1925" s="208" t="n"/>
      <c r="BW1925" s="207" t="n"/>
      <c r="BX1925" s="207" t="n"/>
      <c r="BY1925" s="204" t="n"/>
      <c r="BZ1925" s="148" t="n"/>
      <c r="CA1925" s="204" t="n"/>
      <c r="CB1925" s="208" t="n"/>
      <c r="CC1925" s="139" t="n"/>
      <c r="CD1925" s="204" t="n"/>
      <c r="CE1925" s="204" t="n"/>
      <c r="CF1925" s="207" t="n"/>
      <c r="CG1925" s="208" t="n"/>
      <c r="CH1925" s="207" t="n"/>
      <c r="CI1925" s="208" t="n"/>
      <c r="CJ1925" s="204" t="n"/>
      <c r="CK1925" s="208" t="n"/>
      <c r="CL1925" s="208" t="n"/>
      <c r="CM1925" s="208" t="n"/>
      <c r="CN1925" s="78" t="n"/>
      <c r="CO1925" s="209" t="n"/>
      <c r="CP1925" s="204" t="n"/>
      <c r="CQ1925" s="204" t="n"/>
      <c r="CR1925" s="204" t="n"/>
      <c r="CS1925" s="204" t="n"/>
      <c r="CT1925" s="204" t="n"/>
      <c r="CU1925" s="204" t="n"/>
      <c r="CV1925" s="204" t="n"/>
      <c r="CW1925" s="204" t="n"/>
    </row>
    <row r="1926">
      <c r="BF1926" s="78" t="n"/>
      <c r="BG1926" s="78" t="n"/>
      <c r="BH1926" s="78" t="n"/>
      <c r="BI1926" s="78" t="n"/>
      <c r="BJ1926" s="139" t="n"/>
      <c r="BK1926" s="204" t="n"/>
      <c r="BL1926" s="141" t="n"/>
      <c r="BM1926" s="205" t="n"/>
      <c r="BN1926" s="205" t="n"/>
      <c r="BO1926" s="206" t="n"/>
      <c r="BP1926" s="144" t="n"/>
      <c r="BQ1926" s="141" t="n"/>
      <c r="BR1926" s="207" t="n"/>
      <c r="BS1926" s="207" t="n"/>
      <c r="BT1926" s="207" t="n"/>
      <c r="BU1926" s="207" t="n"/>
      <c r="BV1926" s="208" t="n"/>
      <c r="BW1926" s="207" t="n"/>
      <c r="BX1926" s="207" t="n"/>
      <c r="BY1926" s="204" t="n"/>
      <c r="BZ1926" s="148" t="n"/>
      <c r="CA1926" s="204" t="n"/>
      <c r="CB1926" s="208" t="n"/>
      <c r="CC1926" s="139" t="n"/>
      <c r="CD1926" s="204" t="n"/>
      <c r="CE1926" s="204" t="n"/>
      <c r="CF1926" s="207" t="n"/>
      <c r="CG1926" s="208" t="n"/>
      <c r="CH1926" s="207" t="n"/>
      <c r="CI1926" s="208" t="n"/>
      <c r="CJ1926" s="204" t="n"/>
      <c r="CK1926" s="208" t="n"/>
      <c r="CL1926" s="208" t="n"/>
      <c r="CM1926" s="208" t="n"/>
      <c r="CN1926" s="78" t="n"/>
      <c r="CO1926" s="209" t="n"/>
      <c r="CP1926" s="204" t="n"/>
      <c r="CQ1926" s="204" t="n"/>
      <c r="CR1926" s="204" t="n"/>
      <c r="CS1926" s="204" t="n"/>
      <c r="CT1926" s="204" t="n"/>
      <c r="CU1926" s="204" t="n"/>
      <c r="CV1926" s="204" t="n"/>
      <c r="CW1926" s="204" t="n"/>
    </row>
    <row r="1927">
      <c r="BF1927" s="78" t="n"/>
      <c r="BG1927" s="78" t="n"/>
      <c r="BH1927" s="78" t="n"/>
      <c r="BI1927" s="78" t="n"/>
      <c r="BJ1927" s="139" t="n"/>
      <c r="BK1927" s="204" t="n"/>
      <c r="BL1927" s="141" t="n"/>
      <c r="BM1927" s="205" t="n"/>
      <c r="BN1927" s="205" t="n"/>
      <c r="BO1927" s="206" t="n"/>
      <c r="BP1927" s="144" t="n"/>
      <c r="BQ1927" s="141" t="n"/>
      <c r="BR1927" s="207" t="n"/>
      <c r="BS1927" s="207" t="n"/>
      <c r="BT1927" s="207" t="n"/>
      <c r="BU1927" s="207" t="n"/>
      <c r="BV1927" s="208" t="n"/>
      <c r="BW1927" s="207" t="n"/>
      <c r="BX1927" s="207" t="n"/>
      <c r="BY1927" s="204" t="n"/>
      <c r="BZ1927" s="148" t="n"/>
      <c r="CA1927" s="204" t="n"/>
      <c r="CB1927" s="208" t="n"/>
      <c r="CC1927" s="139" t="n"/>
      <c r="CD1927" s="204" t="n"/>
      <c r="CE1927" s="204" t="n"/>
      <c r="CF1927" s="207" t="n"/>
      <c r="CG1927" s="208" t="n"/>
      <c r="CH1927" s="207" t="n"/>
      <c r="CI1927" s="208" t="n"/>
      <c r="CJ1927" s="204" t="n"/>
      <c r="CK1927" s="208" t="n"/>
      <c r="CL1927" s="208" t="n"/>
      <c r="CM1927" s="208" t="n"/>
      <c r="CN1927" s="78" t="n"/>
      <c r="CO1927" s="209" t="n"/>
      <c r="CP1927" s="204" t="n"/>
      <c r="CQ1927" s="204" t="n"/>
      <c r="CR1927" s="204" t="n"/>
      <c r="CS1927" s="204" t="n"/>
      <c r="CT1927" s="204" t="n"/>
      <c r="CU1927" s="204" t="n"/>
      <c r="CV1927" s="204" t="n"/>
      <c r="CW1927" s="204" t="n"/>
    </row>
    <row r="1928">
      <c r="BF1928" s="78" t="n"/>
      <c r="BG1928" s="78" t="n"/>
      <c r="BH1928" s="78" t="n"/>
      <c r="BI1928" s="78" t="n"/>
      <c r="BJ1928" s="139" t="n"/>
      <c r="BK1928" s="204" t="n"/>
      <c r="BL1928" s="141" t="n"/>
      <c r="BM1928" s="205" t="n"/>
      <c r="BN1928" s="205" t="n"/>
      <c r="BO1928" s="206" t="n"/>
      <c r="BP1928" s="144" t="n"/>
      <c r="BQ1928" s="141" t="n"/>
      <c r="BR1928" s="207" t="n"/>
      <c r="BS1928" s="207" t="n"/>
      <c r="BT1928" s="207" t="n"/>
      <c r="BU1928" s="207" t="n"/>
      <c r="BV1928" s="208" t="n"/>
      <c r="BW1928" s="207" t="n"/>
      <c r="BX1928" s="207" t="n"/>
      <c r="BY1928" s="204" t="n"/>
      <c r="BZ1928" s="148" t="n"/>
      <c r="CA1928" s="204" t="n"/>
      <c r="CB1928" s="208" t="n"/>
      <c r="CC1928" s="139" t="n"/>
      <c r="CD1928" s="204" t="n"/>
      <c r="CE1928" s="204" t="n"/>
      <c r="CF1928" s="207" t="n"/>
      <c r="CG1928" s="208" t="n"/>
      <c r="CH1928" s="207" t="n"/>
      <c r="CI1928" s="208" t="n"/>
      <c r="CJ1928" s="204" t="n"/>
      <c r="CK1928" s="208" t="n"/>
      <c r="CL1928" s="208" t="n"/>
      <c r="CM1928" s="208" t="n"/>
      <c r="CN1928" s="78" t="n"/>
      <c r="CO1928" s="209" t="n"/>
      <c r="CP1928" s="204" t="n"/>
      <c r="CQ1928" s="204" t="n"/>
      <c r="CR1928" s="204" t="n"/>
      <c r="CS1928" s="204" t="n"/>
      <c r="CT1928" s="204" t="n"/>
      <c r="CU1928" s="204" t="n"/>
      <c r="CV1928" s="204" t="n"/>
      <c r="CW1928" s="204" t="n"/>
    </row>
    <row r="1929">
      <c r="BF1929" s="78" t="n"/>
      <c r="BG1929" s="78" t="n"/>
      <c r="BH1929" s="78" t="n"/>
      <c r="BI1929" s="78" t="n"/>
      <c r="BJ1929" s="139" t="n"/>
      <c r="BK1929" s="204" t="n"/>
      <c r="BL1929" s="141" t="n"/>
      <c r="BM1929" s="205" t="n"/>
      <c r="BN1929" s="205" t="n"/>
      <c r="BO1929" s="206" t="n"/>
      <c r="BP1929" s="144" t="n"/>
      <c r="BQ1929" s="141" t="n"/>
      <c r="BR1929" s="207" t="n"/>
      <c r="BS1929" s="207" t="n"/>
      <c r="BT1929" s="207" t="n"/>
      <c r="BU1929" s="207" t="n"/>
      <c r="BV1929" s="208" t="n"/>
      <c r="BW1929" s="207" t="n"/>
      <c r="BX1929" s="207" t="n"/>
      <c r="BY1929" s="204" t="n"/>
      <c r="BZ1929" s="148" t="n"/>
      <c r="CA1929" s="204" t="n"/>
      <c r="CB1929" s="208" t="n"/>
      <c r="CC1929" s="139" t="n"/>
      <c r="CD1929" s="204" t="n"/>
      <c r="CE1929" s="204" t="n"/>
      <c r="CF1929" s="207" t="n"/>
      <c r="CG1929" s="208" t="n"/>
      <c r="CH1929" s="207" t="n"/>
      <c r="CI1929" s="208" t="n"/>
      <c r="CJ1929" s="204" t="n"/>
      <c r="CK1929" s="208" t="n"/>
      <c r="CL1929" s="208" t="n"/>
      <c r="CM1929" s="208" t="n"/>
      <c r="CN1929" s="78" t="n"/>
      <c r="CO1929" s="209" t="n"/>
      <c r="CP1929" s="204" t="n"/>
      <c r="CQ1929" s="204" t="n"/>
      <c r="CR1929" s="204" t="n"/>
      <c r="CS1929" s="204" t="n"/>
      <c r="CT1929" s="204" t="n"/>
      <c r="CU1929" s="204" t="n"/>
      <c r="CV1929" s="204" t="n"/>
      <c r="CW1929" s="204" t="n"/>
    </row>
    <row r="1930">
      <c r="BF1930" s="78" t="n"/>
      <c r="BG1930" s="78" t="n"/>
      <c r="BH1930" s="78" t="n"/>
      <c r="BI1930" s="78" t="n"/>
      <c r="BJ1930" s="139" t="n"/>
      <c r="BK1930" s="204" t="n"/>
      <c r="BL1930" s="141" t="n"/>
      <c r="BM1930" s="205" t="n"/>
      <c r="BN1930" s="205" t="n"/>
      <c r="BO1930" s="206" t="n"/>
      <c r="BP1930" s="144" t="n"/>
      <c r="BQ1930" s="141" t="n"/>
      <c r="BR1930" s="207" t="n"/>
      <c r="BS1930" s="207" t="n"/>
      <c r="BT1930" s="207" t="n"/>
      <c r="BU1930" s="207" t="n"/>
      <c r="BV1930" s="208" t="n"/>
      <c r="BW1930" s="207" t="n"/>
      <c r="BX1930" s="207" t="n"/>
      <c r="BY1930" s="204" t="n"/>
      <c r="BZ1930" s="148" t="n"/>
      <c r="CA1930" s="204" t="n"/>
      <c r="CB1930" s="208" t="n"/>
      <c r="CC1930" s="139" t="n"/>
      <c r="CD1930" s="204" t="n"/>
      <c r="CE1930" s="204" t="n"/>
      <c r="CF1930" s="207" t="n"/>
      <c r="CG1930" s="208" t="n"/>
      <c r="CH1930" s="207" t="n"/>
      <c r="CI1930" s="208" t="n"/>
      <c r="CJ1930" s="204" t="n"/>
      <c r="CK1930" s="208" t="n"/>
      <c r="CL1930" s="208" t="n"/>
      <c r="CM1930" s="208" t="n"/>
      <c r="CN1930" s="78" t="n"/>
      <c r="CO1930" s="209" t="n"/>
      <c r="CP1930" s="204" t="n"/>
      <c r="CQ1930" s="204" t="n"/>
      <c r="CR1930" s="204" t="n"/>
      <c r="CS1930" s="204" t="n"/>
      <c r="CT1930" s="204" t="n"/>
      <c r="CU1930" s="204" t="n"/>
      <c r="CV1930" s="204" t="n"/>
      <c r="CW1930" s="204" t="n"/>
    </row>
    <row r="1931">
      <c r="BF1931" s="78" t="n"/>
      <c r="BG1931" s="78" t="n"/>
      <c r="BH1931" s="78" t="n"/>
      <c r="BI1931" s="78" t="n"/>
      <c r="BJ1931" s="139" t="n"/>
      <c r="BK1931" s="204" t="n"/>
      <c r="BL1931" s="141" t="n"/>
      <c r="BM1931" s="205" t="n"/>
      <c r="BN1931" s="205" t="n"/>
      <c r="BO1931" s="206" t="n"/>
      <c r="BP1931" s="144" t="n"/>
      <c r="BQ1931" s="141" t="n"/>
      <c r="BR1931" s="207" t="n"/>
      <c r="BS1931" s="207" t="n"/>
      <c r="BT1931" s="207" t="n"/>
      <c r="BU1931" s="207" t="n"/>
      <c r="BV1931" s="208" t="n"/>
      <c r="BW1931" s="207" t="n"/>
      <c r="BX1931" s="207" t="n"/>
      <c r="BY1931" s="204" t="n"/>
      <c r="BZ1931" s="148" t="n"/>
      <c r="CA1931" s="204" t="n"/>
      <c r="CB1931" s="208" t="n"/>
      <c r="CC1931" s="139" t="n"/>
      <c r="CD1931" s="204" t="n"/>
      <c r="CE1931" s="204" t="n"/>
      <c r="CF1931" s="207" t="n"/>
      <c r="CG1931" s="208" t="n"/>
      <c r="CH1931" s="207" t="n"/>
      <c r="CI1931" s="208" t="n"/>
      <c r="CJ1931" s="204" t="n"/>
      <c r="CK1931" s="208" t="n"/>
      <c r="CL1931" s="208" t="n"/>
      <c r="CM1931" s="208" t="n"/>
      <c r="CN1931" s="78" t="n"/>
      <c r="CO1931" s="209" t="n"/>
      <c r="CP1931" s="204" t="n"/>
      <c r="CQ1931" s="204" t="n"/>
      <c r="CR1931" s="204" t="n"/>
      <c r="CS1931" s="204" t="n"/>
      <c r="CT1931" s="204" t="n"/>
      <c r="CU1931" s="204" t="n"/>
      <c r="CV1931" s="204" t="n"/>
      <c r="CW1931" s="204" t="n"/>
    </row>
    <row r="1932">
      <c r="BF1932" s="78" t="n"/>
      <c r="BG1932" s="78" t="n"/>
      <c r="BH1932" s="78" t="n"/>
      <c r="BI1932" s="78" t="n"/>
      <c r="BJ1932" s="139" t="n"/>
      <c r="BK1932" s="204" t="n"/>
      <c r="BL1932" s="141" t="n"/>
      <c r="BM1932" s="205" t="n"/>
      <c r="BN1932" s="205" t="n"/>
      <c r="BO1932" s="206" t="n"/>
      <c r="BP1932" s="144" t="n"/>
      <c r="BQ1932" s="141" t="n"/>
      <c r="BR1932" s="207" t="n"/>
      <c r="BS1932" s="207" t="n"/>
      <c r="BT1932" s="207" t="n"/>
      <c r="BU1932" s="207" t="n"/>
      <c r="BV1932" s="208" t="n"/>
      <c r="BW1932" s="207" t="n"/>
      <c r="BX1932" s="207" t="n"/>
      <c r="BY1932" s="204" t="n"/>
      <c r="BZ1932" s="148" t="n"/>
      <c r="CA1932" s="204" t="n"/>
      <c r="CB1932" s="208" t="n"/>
      <c r="CC1932" s="139" t="n"/>
      <c r="CD1932" s="204" t="n"/>
      <c r="CE1932" s="204" t="n"/>
      <c r="CF1932" s="207" t="n"/>
      <c r="CG1932" s="208" t="n"/>
      <c r="CH1932" s="207" t="n"/>
      <c r="CI1932" s="208" t="n"/>
      <c r="CJ1932" s="204" t="n"/>
      <c r="CK1932" s="208" t="n"/>
      <c r="CL1932" s="208" t="n"/>
      <c r="CM1932" s="208" t="n"/>
      <c r="CN1932" s="78" t="n"/>
      <c r="CO1932" s="209" t="n"/>
      <c r="CP1932" s="204" t="n"/>
      <c r="CQ1932" s="204" t="n"/>
      <c r="CR1932" s="204" t="n"/>
      <c r="CS1932" s="204" t="n"/>
      <c r="CT1932" s="204" t="n"/>
      <c r="CU1932" s="204" t="n"/>
      <c r="CV1932" s="204" t="n"/>
      <c r="CW1932" s="204" t="n"/>
    </row>
    <row r="1933">
      <c r="BF1933" s="78" t="n"/>
      <c r="BG1933" s="78" t="n"/>
      <c r="BH1933" s="78" t="n"/>
      <c r="BI1933" s="78" t="n"/>
      <c r="BJ1933" s="139" t="n"/>
      <c r="BK1933" s="204" t="n"/>
      <c r="BL1933" s="141" t="n"/>
      <c r="BM1933" s="205" t="n"/>
      <c r="BN1933" s="205" t="n"/>
      <c r="BO1933" s="206" t="n"/>
      <c r="BP1933" s="144" t="n"/>
      <c r="BQ1933" s="141" t="n"/>
      <c r="BR1933" s="207" t="n"/>
      <c r="BS1933" s="207" t="n"/>
      <c r="BT1933" s="207" t="n"/>
      <c r="BU1933" s="207" t="n"/>
      <c r="BV1933" s="208" t="n"/>
      <c r="BW1933" s="207" t="n"/>
      <c r="BX1933" s="207" t="n"/>
      <c r="BY1933" s="204" t="n"/>
      <c r="BZ1933" s="148" t="n"/>
      <c r="CA1933" s="204" t="n"/>
      <c r="CB1933" s="208" t="n"/>
      <c r="CC1933" s="139" t="n"/>
      <c r="CD1933" s="204" t="n"/>
      <c r="CE1933" s="204" t="n"/>
      <c r="CF1933" s="207" t="n"/>
      <c r="CG1933" s="208" t="n"/>
      <c r="CH1933" s="207" t="n"/>
      <c r="CI1933" s="208" t="n"/>
      <c r="CJ1933" s="204" t="n"/>
      <c r="CK1933" s="208" t="n"/>
      <c r="CL1933" s="208" t="n"/>
      <c r="CM1933" s="208" t="n"/>
      <c r="CN1933" s="78" t="n"/>
      <c r="CO1933" s="209" t="n"/>
      <c r="CP1933" s="204" t="n"/>
      <c r="CQ1933" s="204" t="n"/>
      <c r="CR1933" s="204" t="n"/>
      <c r="CS1933" s="204" t="n"/>
      <c r="CT1933" s="204" t="n"/>
      <c r="CU1933" s="204" t="n"/>
      <c r="CV1933" s="204" t="n"/>
      <c r="CW1933" s="204" t="n"/>
    </row>
    <row r="1934">
      <c r="BF1934" s="78" t="n"/>
      <c r="BG1934" s="78" t="n"/>
      <c r="BH1934" s="78" t="n"/>
      <c r="BI1934" s="78" t="n"/>
      <c r="BJ1934" s="139" t="n"/>
      <c r="BK1934" s="204" t="n"/>
      <c r="BL1934" s="141" t="n"/>
      <c r="BM1934" s="205" t="n"/>
      <c r="BN1934" s="205" t="n"/>
      <c r="BO1934" s="206" t="n"/>
      <c r="BP1934" s="144" t="n"/>
      <c r="BQ1934" s="141" t="n"/>
      <c r="BR1934" s="207" t="n"/>
      <c r="BS1934" s="207" t="n"/>
      <c r="BT1934" s="207" t="n"/>
      <c r="BU1934" s="207" t="n"/>
      <c r="BV1934" s="208" t="n"/>
      <c r="BW1934" s="207" t="n"/>
      <c r="BX1934" s="207" t="n"/>
      <c r="BY1934" s="204" t="n"/>
      <c r="BZ1934" s="148" t="n"/>
      <c r="CA1934" s="204" t="n"/>
      <c r="CB1934" s="208" t="n"/>
      <c r="CC1934" s="139" t="n"/>
      <c r="CD1934" s="204" t="n"/>
      <c r="CE1934" s="204" t="n"/>
      <c r="CF1934" s="207" t="n"/>
      <c r="CG1934" s="208" t="n"/>
      <c r="CH1934" s="207" t="n"/>
      <c r="CI1934" s="208" t="n"/>
      <c r="CJ1934" s="204" t="n"/>
      <c r="CK1934" s="208" t="n"/>
      <c r="CL1934" s="208" t="n"/>
      <c r="CM1934" s="208" t="n"/>
      <c r="CN1934" s="78" t="n"/>
      <c r="CO1934" s="209" t="n"/>
      <c r="CP1934" s="204" t="n"/>
      <c r="CQ1934" s="204" t="n"/>
      <c r="CR1934" s="204" t="n"/>
      <c r="CS1934" s="204" t="n"/>
      <c r="CT1934" s="204" t="n"/>
      <c r="CU1934" s="204" t="n"/>
      <c r="CV1934" s="204" t="n"/>
      <c r="CW1934" s="204" t="n"/>
    </row>
    <row r="1935">
      <c r="BF1935" s="78" t="n"/>
      <c r="BG1935" s="78" t="n"/>
      <c r="BH1935" s="78" t="n"/>
      <c r="BI1935" s="78" t="n"/>
      <c r="BJ1935" s="139" t="n"/>
      <c r="BK1935" s="204" t="n"/>
      <c r="BL1935" s="141" t="n"/>
      <c r="BM1935" s="205" t="n"/>
      <c r="BN1935" s="205" t="n"/>
      <c r="BO1935" s="206" t="n"/>
      <c r="BP1935" s="144" t="n"/>
      <c r="BQ1935" s="141" t="n"/>
      <c r="BR1935" s="207" t="n"/>
      <c r="BS1935" s="207" t="n"/>
      <c r="BT1935" s="207" t="n"/>
      <c r="BU1935" s="207" t="n"/>
      <c r="BV1935" s="208" t="n"/>
      <c r="BW1935" s="207" t="n"/>
      <c r="BX1935" s="207" t="n"/>
      <c r="BY1935" s="204" t="n"/>
      <c r="BZ1935" s="148" t="n"/>
      <c r="CA1935" s="204" t="n"/>
      <c r="CB1935" s="208" t="n"/>
      <c r="CC1935" s="139" t="n"/>
      <c r="CD1935" s="204" t="n"/>
      <c r="CE1935" s="204" t="n"/>
      <c r="CF1935" s="207" t="n"/>
      <c r="CG1935" s="208" t="n"/>
      <c r="CH1935" s="207" t="n"/>
      <c r="CI1935" s="208" t="n"/>
      <c r="CJ1935" s="204" t="n"/>
      <c r="CK1935" s="208" t="n"/>
      <c r="CL1935" s="208" t="n"/>
      <c r="CM1935" s="208" t="n"/>
      <c r="CN1935" s="78" t="n"/>
      <c r="CO1935" s="209" t="n"/>
      <c r="CP1935" s="204" t="n"/>
      <c r="CQ1935" s="204" t="n"/>
      <c r="CR1935" s="204" t="n"/>
      <c r="CS1935" s="204" t="n"/>
      <c r="CT1935" s="204" t="n"/>
      <c r="CU1935" s="204" t="n"/>
      <c r="CV1935" s="204" t="n"/>
      <c r="CW1935" s="204" t="n"/>
    </row>
    <row r="1936">
      <c r="BF1936" s="78" t="n"/>
      <c r="BG1936" s="78" t="n"/>
      <c r="BH1936" s="78" t="n"/>
      <c r="BI1936" s="78" t="n"/>
      <c r="BJ1936" s="139" t="n"/>
      <c r="BK1936" s="204" t="n"/>
      <c r="BL1936" s="141" t="n"/>
      <c r="BM1936" s="205" t="n"/>
      <c r="BN1936" s="205" t="n"/>
      <c r="BO1936" s="206" t="n"/>
      <c r="BP1936" s="144" t="n"/>
      <c r="BQ1936" s="141" t="n"/>
      <c r="BR1936" s="207" t="n"/>
      <c r="BS1936" s="207" t="n"/>
      <c r="BT1936" s="207" t="n"/>
      <c r="BU1936" s="207" t="n"/>
      <c r="BV1936" s="208" t="n"/>
      <c r="BW1936" s="207" t="n"/>
      <c r="BX1936" s="207" t="n"/>
      <c r="BY1936" s="204" t="n"/>
      <c r="BZ1936" s="148" t="n"/>
      <c r="CA1936" s="204" t="n"/>
      <c r="CB1936" s="208" t="n"/>
      <c r="CC1936" s="139" t="n"/>
      <c r="CD1936" s="204" t="n"/>
      <c r="CE1936" s="204" t="n"/>
      <c r="CF1936" s="207" t="n"/>
      <c r="CG1936" s="208" t="n"/>
      <c r="CH1936" s="207" t="n"/>
      <c r="CI1936" s="208" t="n"/>
      <c r="CJ1936" s="204" t="n"/>
      <c r="CK1936" s="208" t="n"/>
      <c r="CL1936" s="208" t="n"/>
      <c r="CM1936" s="208" t="n"/>
      <c r="CN1936" s="78" t="n"/>
      <c r="CO1936" s="209" t="n"/>
      <c r="CP1936" s="204" t="n"/>
      <c r="CQ1936" s="204" t="n"/>
      <c r="CR1936" s="204" t="n"/>
      <c r="CS1936" s="204" t="n"/>
      <c r="CT1936" s="204" t="n"/>
      <c r="CU1936" s="204" t="n"/>
      <c r="CV1936" s="204" t="n"/>
      <c r="CW1936" s="204" t="n"/>
    </row>
    <row r="1937">
      <c r="AR1937" s="151" t="n"/>
      <c r="BF1937" s="78" t="n"/>
      <c r="BG1937" s="78" t="n"/>
      <c r="BH1937" s="78" t="n"/>
      <c r="BI1937" s="78" t="n"/>
      <c r="BJ1937" s="139" t="n"/>
      <c r="BK1937" s="204" t="n"/>
      <c r="BL1937" s="141" t="n"/>
      <c r="BM1937" s="205" t="n"/>
      <c r="BN1937" s="205" t="n"/>
      <c r="BO1937" s="206" t="n"/>
      <c r="BP1937" s="144" t="n"/>
      <c r="BQ1937" s="141" t="n"/>
      <c r="BR1937" s="207" t="n"/>
      <c r="BS1937" s="207" t="n"/>
      <c r="BT1937" s="207" t="n"/>
      <c r="BU1937" s="207" t="n"/>
      <c r="BV1937" s="208" t="n"/>
      <c r="BW1937" s="207" t="n"/>
      <c r="BX1937" s="207" t="n"/>
      <c r="BY1937" s="204" t="n"/>
      <c r="BZ1937" s="148" t="n"/>
      <c r="CA1937" s="204" t="n"/>
      <c r="CB1937" s="208" t="n"/>
      <c r="CC1937" s="139" t="n"/>
      <c r="CD1937" s="204" t="n"/>
      <c r="CE1937" s="204" t="n"/>
      <c r="CF1937" s="207" t="n"/>
      <c r="CG1937" s="208" t="n"/>
      <c r="CH1937" s="207" t="n"/>
      <c r="CI1937" s="208" t="n"/>
      <c r="CJ1937" s="204" t="n"/>
      <c r="CK1937" s="208" t="n"/>
      <c r="CL1937" s="208" t="n"/>
      <c r="CM1937" s="208" t="n"/>
      <c r="CN1937" s="78" t="n"/>
      <c r="CO1937" s="209" t="n"/>
      <c r="CP1937" s="204" t="n"/>
      <c r="CQ1937" s="204" t="n"/>
      <c r="CR1937" s="212" t="n"/>
      <c r="CS1937" s="204" t="n"/>
      <c r="CT1937" s="204" t="n"/>
      <c r="CU1937" s="204" t="n"/>
      <c r="CV1937" s="204" t="n"/>
      <c r="CW1937" s="204" t="n"/>
    </row>
    <row r="1938">
      <c r="AR1938" s="151" t="n"/>
      <c r="BF1938" s="78" t="n"/>
      <c r="BG1938" s="78" t="n"/>
      <c r="BH1938" s="78" t="n"/>
      <c r="BI1938" s="78" t="n"/>
      <c r="BJ1938" s="139" t="n"/>
      <c r="BK1938" s="204" t="n"/>
      <c r="BL1938" s="141" t="n"/>
      <c r="BM1938" s="205" t="n"/>
      <c r="BN1938" s="205" t="n"/>
      <c r="BO1938" s="206" t="n"/>
      <c r="BP1938" s="144" t="n"/>
      <c r="BQ1938" s="141" t="n"/>
      <c r="BR1938" s="207" t="n"/>
      <c r="BS1938" s="207" t="n"/>
      <c r="BT1938" s="207" t="n"/>
      <c r="BU1938" s="207" t="n"/>
      <c r="BV1938" s="208" t="n"/>
      <c r="BW1938" s="207" t="n"/>
      <c r="BX1938" s="207" t="n"/>
      <c r="BY1938" s="204" t="n"/>
      <c r="BZ1938" s="148" t="n"/>
      <c r="CA1938" s="204" t="n"/>
      <c r="CB1938" s="208" t="n"/>
      <c r="CC1938" s="139" t="n"/>
      <c r="CD1938" s="204" t="n"/>
      <c r="CE1938" s="204" t="n"/>
      <c r="CF1938" s="207" t="n"/>
      <c r="CG1938" s="208" t="n"/>
      <c r="CH1938" s="207" t="n"/>
      <c r="CI1938" s="208" t="n"/>
      <c r="CJ1938" s="204" t="n"/>
      <c r="CK1938" s="208" t="n"/>
      <c r="CL1938" s="208" t="n"/>
      <c r="CM1938" s="208" t="n"/>
      <c r="CN1938" s="78" t="n"/>
      <c r="CO1938" s="209" t="n"/>
      <c r="CP1938" s="204" t="n"/>
      <c r="CQ1938" s="204" t="n"/>
      <c r="CR1938" s="204" t="n"/>
      <c r="CS1938" s="204" t="n"/>
      <c r="CT1938" s="204" t="n"/>
      <c r="CU1938" s="204" t="n"/>
      <c r="CV1938" s="204" t="n"/>
      <c r="CW1938" s="204" t="n"/>
    </row>
    <row r="1939">
      <c r="BF1939" s="78" t="n"/>
      <c r="BG1939" s="78" t="n"/>
      <c r="BH1939" s="78" t="n"/>
      <c r="BI1939" s="78" t="n"/>
      <c r="BJ1939" s="139" t="n"/>
      <c r="BK1939" s="204" t="n"/>
      <c r="BL1939" s="141" t="n"/>
      <c r="BM1939" s="205" t="n"/>
      <c r="BN1939" s="205" t="n"/>
      <c r="BO1939" s="206" t="n"/>
      <c r="BP1939" s="144" t="n"/>
      <c r="BQ1939" s="141" t="n"/>
      <c r="BR1939" s="207" t="n"/>
      <c r="BS1939" s="207" t="n"/>
      <c r="BT1939" s="207" t="n"/>
      <c r="BU1939" s="207" t="n"/>
      <c r="BV1939" s="208" t="n"/>
      <c r="BW1939" s="207" t="n"/>
      <c r="BX1939" s="207" t="n"/>
      <c r="BY1939" s="204" t="n"/>
      <c r="BZ1939" s="148" t="n"/>
      <c r="CA1939" s="204" t="n"/>
      <c r="CB1939" s="208" t="n"/>
      <c r="CC1939" s="139" t="n"/>
      <c r="CD1939" s="204" t="n"/>
      <c r="CE1939" s="204" t="n"/>
      <c r="CF1939" s="207" t="n"/>
      <c r="CG1939" s="208" t="n"/>
      <c r="CH1939" s="207" t="n"/>
      <c r="CI1939" s="208" t="n"/>
      <c r="CJ1939" s="204" t="n"/>
      <c r="CK1939" s="208" t="n"/>
      <c r="CL1939" s="208" t="n"/>
      <c r="CM1939" s="208" t="n"/>
      <c r="CN1939" s="78" t="n"/>
      <c r="CO1939" s="209" t="n"/>
      <c r="CP1939" s="204" t="n"/>
      <c r="CQ1939" s="204" t="n"/>
      <c r="CR1939" s="204" t="n"/>
      <c r="CS1939" s="204" t="n"/>
      <c r="CT1939" s="204" t="n"/>
      <c r="CU1939" s="204" t="n"/>
      <c r="CV1939" s="204" t="n"/>
      <c r="CW1939" s="204" t="n"/>
    </row>
    <row r="1940">
      <c r="BF1940" s="78" t="n"/>
      <c r="BG1940" s="78" t="n"/>
      <c r="BH1940" s="78" t="n"/>
      <c r="BI1940" s="78" t="n"/>
      <c r="BJ1940" s="139" t="n"/>
      <c r="BK1940" s="204" t="n"/>
      <c r="BL1940" s="141" t="n"/>
      <c r="BM1940" s="205" t="n"/>
      <c r="BN1940" s="205" t="n"/>
      <c r="BO1940" s="206" t="n"/>
      <c r="BP1940" s="144" t="n"/>
      <c r="BQ1940" s="141" t="n"/>
      <c r="BR1940" s="207" t="n"/>
      <c r="BS1940" s="207" t="n"/>
      <c r="BT1940" s="207" t="n"/>
      <c r="BU1940" s="207" t="n"/>
      <c r="BV1940" s="208" t="n"/>
      <c r="BW1940" s="207" t="n"/>
      <c r="BX1940" s="207" t="n"/>
      <c r="BY1940" s="204" t="n"/>
      <c r="BZ1940" s="148" t="n"/>
      <c r="CA1940" s="204" t="n"/>
      <c r="CB1940" s="208" t="n"/>
      <c r="CC1940" s="139" t="n"/>
      <c r="CD1940" s="204" t="n"/>
      <c r="CE1940" s="204" t="n"/>
      <c r="CF1940" s="207" t="n"/>
      <c r="CG1940" s="208" t="n"/>
      <c r="CH1940" s="207" t="n"/>
      <c r="CI1940" s="208" t="n"/>
      <c r="CJ1940" s="204" t="n"/>
      <c r="CK1940" s="208" t="n"/>
      <c r="CL1940" s="208" t="n"/>
      <c r="CM1940" s="208" t="n"/>
      <c r="CN1940" s="78" t="n"/>
      <c r="CO1940" s="209" t="n"/>
      <c r="CP1940" s="204" t="n"/>
      <c r="CQ1940" s="204" t="n"/>
      <c r="CR1940" s="204" t="n"/>
      <c r="CS1940" s="204" t="n"/>
      <c r="CT1940" s="204" t="n"/>
      <c r="CU1940" s="204" t="n"/>
      <c r="CV1940" s="204" t="n"/>
      <c r="CW1940" s="204" t="n"/>
    </row>
    <row r="1941">
      <c r="BF1941" s="78" t="n"/>
      <c r="BG1941" s="78" t="n"/>
      <c r="BH1941" s="78" t="n"/>
      <c r="BI1941" s="78" t="n"/>
      <c r="BJ1941" s="139" t="n"/>
      <c r="BK1941" s="204" t="n"/>
      <c r="BL1941" s="141" t="n"/>
      <c r="BM1941" s="205" t="n"/>
      <c r="BN1941" s="205" t="n"/>
      <c r="BO1941" s="206" t="n"/>
      <c r="BP1941" s="144" t="n"/>
      <c r="BQ1941" s="141" t="n"/>
      <c r="BR1941" s="207" t="n"/>
      <c r="BS1941" s="207" t="n"/>
      <c r="BT1941" s="207" t="n"/>
      <c r="BU1941" s="207" t="n"/>
      <c r="BV1941" s="208" t="n"/>
      <c r="BW1941" s="207" t="n"/>
      <c r="BX1941" s="207" t="n"/>
      <c r="BY1941" s="204" t="n"/>
      <c r="BZ1941" s="148" t="n"/>
      <c r="CA1941" s="204" t="n"/>
      <c r="CB1941" s="208" t="n"/>
      <c r="CC1941" s="139" t="n"/>
      <c r="CD1941" s="204" t="n"/>
      <c r="CE1941" s="204" t="n"/>
      <c r="CF1941" s="207" t="n"/>
      <c r="CG1941" s="208" t="n"/>
      <c r="CH1941" s="207" t="n"/>
      <c r="CI1941" s="208" t="n"/>
      <c r="CJ1941" s="204" t="n"/>
      <c r="CK1941" s="208" t="n"/>
      <c r="CL1941" s="208" t="n"/>
      <c r="CM1941" s="208" t="n"/>
      <c r="CN1941" s="78" t="n"/>
      <c r="CO1941" s="209" t="n"/>
      <c r="CP1941" s="204" t="n"/>
      <c r="CQ1941" s="204" t="n"/>
      <c r="CR1941" s="204" t="n"/>
      <c r="CS1941" s="204" t="n"/>
      <c r="CT1941" s="204" t="n"/>
      <c r="CU1941" s="204" t="n"/>
      <c r="CV1941" s="204" t="n"/>
      <c r="CW1941" s="204" t="n"/>
    </row>
    <row r="1942">
      <c r="BF1942" s="78" t="n"/>
      <c r="BG1942" s="78" t="n"/>
      <c r="BH1942" s="78" t="n"/>
      <c r="BI1942" s="78" t="n"/>
      <c r="BJ1942" s="139" t="n"/>
      <c r="BK1942" s="204" t="n"/>
      <c r="BL1942" s="141" t="n"/>
      <c r="BM1942" s="205" t="n"/>
      <c r="BN1942" s="205" t="n"/>
      <c r="BO1942" s="206" t="n"/>
      <c r="BP1942" s="144" t="n"/>
      <c r="BQ1942" s="141" t="n"/>
      <c r="BR1942" s="207" t="n"/>
      <c r="BS1942" s="207" t="n"/>
      <c r="BT1942" s="207" t="n"/>
      <c r="BU1942" s="207" t="n"/>
      <c r="BV1942" s="208" t="n"/>
      <c r="BW1942" s="207" t="n"/>
      <c r="BX1942" s="207" t="n"/>
      <c r="BY1942" s="204" t="n"/>
      <c r="BZ1942" s="148" t="n"/>
      <c r="CA1942" s="204" t="n"/>
      <c r="CB1942" s="208" t="n"/>
      <c r="CC1942" s="139" t="n"/>
      <c r="CD1942" s="204" t="n"/>
      <c r="CE1942" s="204" t="n"/>
      <c r="CF1942" s="207" t="n"/>
      <c r="CG1942" s="208" t="n"/>
      <c r="CH1942" s="207" t="n"/>
      <c r="CI1942" s="208" t="n"/>
      <c r="CJ1942" s="204" t="n"/>
      <c r="CK1942" s="208" t="n"/>
      <c r="CL1942" s="208" t="n"/>
      <c r="CM1942" s="208" t="n"/>
      <c r="CN1942" s="78" t="n"/>
      <c r="CO1942" s="209" t="n"/>
      <c r="CP1942" s="204" t="n"/>
      <c r="CQ1942" s="204" t="n"/>
      <c r="CR1942" s="204" t="n"/>
      <c r="CS1942" s="204" t="n"/>
      <c r="CT1942" s="204" t="n"/>
      <c r="CU1942" s="204" t="n"/>
      <c r="CV1942" s="204" t="n"/>
      <c r="CW1942" s="204" t="n"/>
    </row>
    <row r="1943">
      <c r="AR1943" s="151" t="n"/>
      <c r="BF1943" s="78" t="n"/>
      <c r="BG1943" s="78" t="n"/>
      <c r="BH1943" s="78" t="n"/>
      <c r="BI1943" s="78" t="n"/>
      <c r="BJ1943" s="139" t="n"/>
      <c r="BK1943" s="204" t="n"/>
      <c r="BL1943" s="141" t="n"/>
      <c r="BM1943" s="205" t="n"/>
      <c r="BN1943" s="205" t="n"/>
      <c r="BO1943" s="206" t="n"/>
      <c r="BP1943" s="144" t="n"/>
      <c r="BQ1943" s="141" t="n"/>
      <c r="BR1943" s="207" t="n"/>
      <c r="BS1943" s="207" t="n"/>
      <c r="BT1943" s="207" t="n"/>
      <c r="BU1943" s="207" t="n"/>
      <c r="BV1943" s="208" t="n"/>
      <c r="BW1943" s="207" t="n"/>
      <c r="BX1943" s="207" t="n"/>
      <c r="BY1943" s="204" t="n"/>
      <c r="BZ1943" s="148" t="n"/>
      <c r="CA1943" s="204" t="n"/>
      <c r="CB1943" s="208" t="n"/>
      <c r="CC1943" s="139" t="n"/>
      <c r="CD1943" s="204" t="n"/>
      <c r="CE1943" s="204" t="n"/>
      <c r="CF1943" s="207" t="n"/>
      <c r="CG1943" s="208" t="n"/>
      <c r="CH1943" s="207" t="n"/>
      <c r="CI1943" s="208" t="n"/>
      <c r="CJ1943" s="204" t="n"/>
      <c r="CK1943" s="208" t="n"/>
      <c r="CL1943" s="208" t="n"/>
      <c r="CM1943" s="208" t="n"/>
      <c r="CN1943" s="78" t="n"/>
      <c r="CO1943" s="209" t="n"/>
      <c r="CP1943" s="204" t="n"/>
      <c r="CQ1943" s="204" t="n"/>
      <c r="CR1943" s="204" t="n"/>
      <c r="CS1943" s="204" t="n"/>
      <c r="CT1943" s="204" t="n"/>
      <c r="CU1943" s="204" t="n"/>
      <c r="CV1943" s="204" t="n"/>
      <c r="CW1943" s="204" t="n"/>
    </row>
    <row r="1944">
      <c r="BF1944" s="78" t="n"/>
      <c r="BG1944" s="78" t="n"/>
      <c r="BH1944" s="78" t="n"/>
      <c r="BI1944" s="78" t="n"/>
      <c r="BJ1944" s="139" t="n"/>
      <c r="BK1944" s="204" t="n"/>
      <c r="BL1944" s="141" t="n"/>
      <c r="BM1944" s="205" t="n"/>
      <c r="BN1944" s="205" t="n"/>
      <c r="BO1944" s="206" t="n"/>
      <c r="BP1944" s="144" t="n"/>
      <c r="BQ1944" s="141" t="n"/>
      <c r="BR1944" s="207" t="n"/>
      <c r="BS1944" s="207" t="n"/>
      <c r="BT1944" s="207" t="n"/>
      <c r="BU1944" s="207" t="n"/>
      <c r="BV1944" s="208" t="n"/>
      <c r="BW1944" s="207" t="n"/>
      <c r="BX1944" s="207" t="n"/>
      <c r="BY1944" s="204" t="n"/>
      <c r="BZ1944" s="148" t="n"/>
      <c r="CA1944" s="204" t="n"/>
      <c r="CB1944" s="208" t="n"/>
      <c r="CC1944" s="139" t="n"/>
      <c r="CD1944" s="204" t="n"/>
      <c r="CE1944" s="204" t="n"/>
      <c r="CF1944" s="207" t="n"/>
      <c r="CG1944" s="208" t="n"/>
      <c r="CH1944" s="207" t="n"/>
      <c r="CI1944" s="208" t="n"/>
      <c r="CJ1944" s="204" t="n"/>
      <c r="CK1944" s="208" t="n"/>
      <c r="CL1944" s="208" t="n"/>
      <c r="CM1944" s="208" t="n"/>
      <c r="CN1944" s="78" t="n"/>
      <c r="CO1944" s="209" t="n"/>
      <c r="CP1944" s="204" t="n"/>
      <c r="CQ1944" s="204" t="n"/>
      <c r="CR1944" s="204" t="n"/>
      <c r="CS1944" s="204" t="n"/>
      <c r="CT1944" s="204" t="n"/>
      <c r="CU1944" s="204" t="n"/>
      <c r="CV1944" s="204" t="n"/>
      <c r="CW1944" s="204" t="n"/>
    </row>
    <row r="1945">
      <c r="BF1945" s="78" t="n"/>
      <c r="BG1945" s="78" t="n"/>
      <c r="BH1945" s="78" t="n"/>
      <c r="BI1945" s="78" t="n"/>
      <c r="BJ1945" s="139" t="n"/>
      <c r="BK1945" s="204" t="n"/>
      <c r="BL1945" s="141" t="n"/>
      <c r="BM1945" s="205" t="n"/>
      <c r="BN1945" s="205" t="n"/>
      <c r="BO1945" s="206" t="n"/>
      <c r="BP1945" s="144" t="n"/>
      <c r="BQ1945" s="141" t="n"/>
      <c r="BR1945" s="207" t="n"/>
      <c r="BS1945" s="207" t="n"/>
      <c r="BT1945" s="207" t="n"/>
      <c r="BU1945" s="207" t="n"/>
      <c r="BV1945" s="208" t="n"/>
      <c r="BW1945" s="207" t="n"/>
      <c r="BX1945" s="207" t="n"/>
      <c r="BY1945" s="204" t="n"/>
      <c r="BZ1945" s="148" t="n"/>
      <c r="CA1945" s="204" t="n"/>
      <c r="CB1945" s="208" t="n"/>
      <c r="CC1945" s="139" t="n"/>
      <c r="CD1945" s="204" t="n"/>
      <c r="CE1945" s="204" t="n"/>
      <c r="CF1945" s="207" t="n"/>
      <c r="CG1945" s="208" t="n"/>
      <c r="CH1945" s="207" t="n"/>
      <c r="CI1945" s="208" t="n"/>
      <c r="CJ1945" s="204" t="n"/>
      <c r="CK1945" s="208" t="n"/>
      <c r="CL1945" s="208" t="n"/>
      <c r="CM1945" s="208" t="n"/>
      <c r="CN1945" s="78" t="n"/>
      <c r="CO1945" s="209" t="n"/>
      <c r="CP1945" s="204" t="n"/>
      <c r="CQ1945" s="204" t="n"/>
      <c r="CR1945" s="204" t="n"/>
      <c r="CS1945" s="204" t="n"/>
      <c r="CT1945" s="204" t="n"/>
      <c r="CU1945" s="204" t="n"/>
      <c r="CV1945" s="204" t="n"/>
      <c r="CW1945" s="204" t="n"/>
    </row>
    <row r="1946">
      <c r="BF1946" s="78" t="n"/>
      <c r="BG1946" s="78" t="n"/>
      <c r="BH1946" s="78" t="n"/>
      <c r="BI1946" s="78" t="n"/>
      <c r="BJ1946" s="139" t="n"/>
      <c r="BK1946" s="204" t="n"/>
      <c r="BL1946" s="141" t="n"/>
      <c r="BM1946" s="205" t="n"/>
      <c r="BN1946" s="205" t="n"/>
      <c r="BO1946" s="206" t="n"/>
      <c r="BP1946" s="144" t="n"/>
      <c r="BQ1946" s="141" t="n"/>
      <c r="BR1946" s="207" t="n"/>
      <c r="BS1946" s="207" t="n"/>
      <c r="BT1946" s="207" t="n"/>
      <c r="BU1946" s="207" t="n"/>
      <c r="BV1946" s="208" t="n"/>
      <c r="BW1946" s="207" t="n"/>
      <c r="BX1946" s="207" t="n"/>
      <c r="BY1946" s="204" t="n"/>
      <c r="BZ1946" s="148" t="n"/>
      <c r="CA1946" s="204" t="n"/>
      <c r="CB1946" s="208" t="n"/>
      <c r="CC1946" s="139" t="n"/>
      <c r="CD1946" s="204" t="n"/>
      <c r="CE1946" s="204" t="n"/>
      <c r="CF1946" s="207" t="n"/>
      <c r="CG1946" s="208" t="n"/>
      <c r="CH1946" s="207" t="n"/>
      <c r="CI1946" s="208" t="n"/>
      <c r="CJ1946" s="204" t="n"/>
      <c r="CK1946" s="208" t="n"/>
      <c r="CL1946" s="208" t="n"/>
      <c r="CM1946" s="208" t="n"/>
      <c r="CN1946" s="78" t="n"/>
      <c r="CO1946" s="209" t="n"/>
      <c r="CP1946" s="204" t="n"/>
      <c r="CQ1946" s="204" t="n"/>
      <c r="CR1946" s="204" t="n"/>
      <c r="CS1946" s="204" t="n"/>
      <c r="CT1946" s="204" t="n"/>
      <c r="CU1946" s="204" t="n"/>
      <c r="CV1946" s="204" t="n"/>
      <c r="CW1946" s="204" t="n"/>
    </row>
    <row r="1947">
      <c r="BF1947" s="78" t="n"/>
      <c r="BG1947" s="78" t="n"/>
      <c r="BH1947" s="78" t="n"/>
      <c r="BI1947" s="78" t="n"/>
      <c r="BJ1947" s="139" t="n"/>
      <c r="BK1947" s="204" t="n"/>
      <c r="BL1947" s="141" t="n"/>
      <c r="BM1947" s="205" t="n"/>
      <c r="BN1947" s="205" t="n"/>
      <c r="BO1947" s="206" t="n"/>
      <c r="BP1947" s="144" t="n"/>
      <c r="BQ1947" s="141" t="n"/>
      <c r="BR1947" s="207" t="n"/>
      <c r="BS1947" s="207" t="n"/>
      <c r="BT1947" s="207" t="n"/>
      <c r="BU1947" s="207" t="n"/>
      <c r="BV1947" s="208" t="n"/>
      <c r="BW1947" s="207" t="n"/>
      <c r="BX1947" s="207" t="n"/>
      <c r="BY1947" s="204" t="n"/>
      <c r="BZ1947" s="148" t="n"/>
      <c r="CA1947" s="204" t="n"/>
      <c r="CB1947" s="208" t="n"/>
      <c r="CC1947" s="139" t="n"/>
      <c r="CD1947" s="204" t="n"/>
      <c r="CE1947" s="204" t="n"/>
      <c r="CF1947" s="207" t="n"/>
      <c r="CG1947" s="208" t="n"/>
      <c r="CH1947" s="207" t="n"/>
      <c r="CI1947" s="208" t="n"/>
      <c r="CJ1947" s="204" t="n"/>
      <c r="CK1947" s="208" t="n"/>
      <c r="CL1947" s="208" t="n"/>
      <c r="CM1947" s="208" t="n"/>
      <c r="CN1947" s="78" t="n"/>
      <c r="CO1947" s="209" t="n"/>
      <c r="CP1947" s="204" t="n"/>
      <c r="CQ1947" s="204" t="n"/>
      <c r="CR1947" s="204" t="n"/>
      <c r="CS1947" s="204" t="n"/>
      <c r="CT1947" s="204" t="n"/>
      <c r="CU1947" s="204" t="n"/>
      <c r="CV1947" s="204" t="n"/>
      <c r="CW1947" s="204" t="n"/>
    </row>
    <row r="1948">
      <c r="BF1948" s="78" t="n"/>
      <c r="BG1948" s="78" t="n"/>
      <c r="BH1948" s="78" t="n"/>
      <c r="BI1948" s="78" t="n"/>
      <c r="BJ1948" s="139" t="n"/>
      <c r="BK1948" s="204" t="n"/>
      <c r="BL1948" s="141" t="n"/>
      <c r="BM1948" s="205" t="n"/>
      <c r="BN1948" s="205" t="n"/>
      <c r="BO1948" s="206" t="n"/>
      <c r="BP1948" s="144" t="n"/>
      <c r="BQ1948" s="141" t="n"/>
      <c r="BR1948" s="207" t="n"/>
      <c r="BS1948" s="207" t="n"/>
      <c r="BT1948" s="207" t="n"/>
      <c r="BU1948" s="207" t="n"/>
      <c r="BV1948" s="208" t="n"/>
      <c r="BW1948" s="207" t="n"/>
      <c r="BX1948" s="207" t="n"/>
      <c r="BY1948" s="204" t="n"/>
      <c r="BZ1948" s="148" t="n"/>
      <c r="CA1948" s="204" t="n"/>
      <c r="CB1948" s="208" t="n"/>
      <c r="CC1948" s="139" t="n"/>
      <c r="CD1948" s="204" t="n"/>
      <c r="CE1948" s="204" t="n"/>
      <c r="CF1948" s="207" t="n"/>
      <c r="CG1948" s="208" t="n"/>
      <c r="CH1948" s="207" t="n"/>
      <c r="CI1948" s="208" t="n"/>
      <c r="CJ1948" s="204" t="n"/>
      <c r="CK1948" s="208" t="n"/>
      <c r="CL1948" s="208" t="n"/>
      <c r="CM1948" s="208" t="n"/>
      <c r="CN1948" s="78" t="n"/>
      <c r="CO1948" s="209" t="n"/>
      <c r="CP1948" s="204" t="n"/>
      <c r="CQ1948" s="204" t="n"/>
      <c r="CR1948" s="204" t="n"/>
      <c r="CS1948" s="204" t="n"/>
      <c r="CT1948" s="204" t="n"/>
      <c r="CU1948" s="204" t="n"/>
      <c r="CV1948" s="204" t="n"/>
      <c r="CW1948" s="204" t="n"/>
    </row>
    <row r="1949">
      <c r="BF1949" s="78" t="n"/>
      <c r="BG1949" s="78" t="n"/>
      <c r="BH1949" s="78" t="n"/>
      <c r="BI1949" s="78" t="n"/>
      <c r="BJ1949" s="139" t="n"/>
      <c r="BK1949" s="204" t="n"/>
      <c r="BL1949" s="141" t="n"/>
      <c r="BM1949" s="205" t="n"/>
      <c r="BN1949" s="205" t="n"/>
      <c r="BO1949" s="206" t="n"/>
      <c r="BP1949" s="144" t="n"/>
      <c r="BQ1949" s="141" t="n"/>
      <c r="BR1949" s="207" t="n"/>
      <c r="BS1949" s="207" t="n"/>
      <c r="BT1949" s="207" t="n"/>
      <c r="BU1949" s="207" t="n"/>
      <c r="BV1949" s="208" t="n"/>
      <c r="BW1949" s="207" t="n"/>
      <c r="BX1949" s="207" t="n"/>
      <c r="BY1949" s="204" t="n"/>
      <c r="BZ1949" s="148" t="n"/>
      <c r="CA1949" s="204" t="n"/>
      <c r="CB1949" s="208" t="n"/>
      <c r="CC1949" s="139" t="n"/>
      <c r="CD1949" s="204" t="n"/>
      <c r="CE1949" s="204" t="n"/>
      <c r="CF1949" s="207" t="n"/>
      <c r="CG1949" s="208" t="n"/>
      <c r="CH1949" s="207" t="n"/>
      <c r="CI1949" s="208" t="n"/>
      <c r="CJ1949" s="204" t="n"/>
      <c r="CK1949" s="208" t="n"/>
      <c r="CL1949" s="208" t="n"/>
      <c r="CM1949" s="208" t="n"/>
      <c r="CN1949" s="78" t="n"/>
      <c r="CO1949" s="209" t="n"/>
      <c r="CP1949" s="204" t="n"/>
      <c r="CQ1949" s="204" t="n"/>
      <c r="CR1949" s="204" t="n"/>
      <c r="CS1949" s="204" t="n"/>
      <c r="CT1949" s="204" t="n"/>
      <c r="CU1949" s="204" t="n"/>
      <c r="CV1949" s="204" t="n"/>
      <c r="CW1949" s="204" t="n"/>
    </row>
    <row r="1950">
      <c r="BF1950" s="78" t="n"/>
      <c r="BG1950" s="78" t="n"/>
      <c r="BH1950" s="78" t="n"/>
      <c r="BI1950" s="78" t="n"/>
      <c r="BJ1950" s="139" t="n"/>
      <c r="BK1950" s="204" t="n"/>
      <c r="BL1950" s="141" t="n"/>
      <c r="BM1950" s="205" t="n"/>
      <c r="BN1950" s="205" t="n"/>
      <c r="BO1950" s="206" t="n"/>
      <c r="BP1950" s="144" t="n"/>
      <c r="BQ1950" s="141" t="n"/>
      <c r="BR1950" s="207" t="n"/>
      <c r="BS1950" s="207" t="n"/>
      <c r="BT1950" s="207" t="n"/>
      <c r="BU1950" s="207" t="n"/>
      <c r="BV1950" s="208" t="n"/>
      <c r="BW1950" s="207" t="n"/>
      <c r="BX1950" s="207" t="n"/>
      <c r="BY1950" s="204" t="n"/>
      <c r="BZ1950" s="148" t="n"/>
      <c r="CA1950" s="204" t="n"/>
      <c r="CB1950" s="208" t="n"/>
      <c r="CC1950" s="139" t="n"/>
      <c r="CD1950" s="204" t="n"/>
      <c r="CE1950" s="204" t="n"/>
      <c r="CF1950" s="207" t="n"/>
      <c r="CG1950" s="208" t="n"/>
      <c r="CH1950" s="207" t="n"/>
      <c r="CI1950" s="208" t="n"/>
      <c r="CJ1950" s="204" t="n"/>
      <c r="CK1950" s="208" t="n"/>
      <c r="CL1950" s="208" t="n"/>
      <c r="CM1950" s="208" t="n"/>
      <c r="CN1950" s="78" t="n"/>
      <c r="CO1950" s="209" t="n"/>
      <c r="CP1950" s="204" t="n"/>
      <c r="CQ1950" s="204" t="n"/>
      <c r="CR1950" s="204" t="n"/>
      <c r="CS1950" s="204" t="n"/>
      <c r="CT1950" s="204" t="n"/>
      <c r="CU1950" s="204" t="n"/>
      <c r="CV1950" s="204" t="n"/>
      <c r="CW1950" s="204" t="n"/>
    </row>
    <row r="1951">
      <c r="BF1951" s="78" t="n"/>
      <c r="BG1951" s="78" t="n"/>
      <c r="BH1951" s="78" t="n"/>
      <c r="BI1951" s="78" t="n"/>
      <c r="BJ1951" s="139" t="n"/>
      <c r="BK1951" s="204" t="n"/>
      <c r="BL1951" s="141" t="n"/>
      <c r="BM1951" s="205" t="n"/>
      <c r="BN1951" s="205" t="n"/>
      <c r="BO1951" s="206" t="n"/>
      <c r="BP1951" s="144" t="n"/>
      <c r="BQ1951" s="141" t="n"/>
      <c r="BR1951" s="207" t="n"/>
      <c r="BS1951" s="207" t="n"/>
      <c r="BT1951" s="207" t="n"/>
      <c r="BU1951" s="207" t="n"/>
      <c r="BV1951" s="208" t="n"/>
      <c r="BW1951" s="207" t="n"/>
      <c r="BX1951" s="207" t="n"/>
      <c r="BY1951" s="204" t="n"/>
      <c r="BZ1951" s="148" t="n"/>
      <c r="CA1951" s="204" t="n"/>
      <c r="CB1951" s="208" t="n"/>
      <c r="CC1951" s="139" t="n"/>
      <c r="CD1951" s="204" t="n"/>
      <c r="CE1951" s="204" t="n"/>
      <c r="CF1951" s="207" t="n"/>
      <c r="CG1951" s="208" t="n"/>
      <c r="CH1951" s="207" t="n"/>
      <c r="CI1951" s="208" t="n"/>
      <c r="CJ1951" s="204" t="n"/>
      <c r="CK1951" s="208" t="n"/>
      <c r="CL1951" s="208" t="n"/>
      <c r="CM1951" s="208" t="n"/>
      <c r="CN1951" s="78" t="n"/>
      <c r="CO1951" s="209" t="n"/>
      <c r="CP1951" s="204" t="n"/>
      <c r="CQ1951" s="204" t="n"/>
      <c r="CR1951" s="204" t="n"/>
      <c r="CS1951" s="204" t="n"/>
      <c r="CT1951" s="204" t="n"/>
      <c r="CU1951" s="204" t="n"/>
      <c r="CV1951" s="204" t="n"/>
      <c r="CW1951" s="204" t="n"/>
    </row>
    <row r="1952">
      <c r="BF1952" s="78" t="n"/>
      <c r="BG1952" s="78" t="n"/>
      <c r="BH1952" s="78" t="n"/>
      <c r="BI1952" s="78" t="n"/>
      <c r="BJ1952" s="139" t="n"/>
      <c r="BK1952" s="204" t="n"/>
      <c r="BL1952" s="141" t="n"/>
      <c r="BM1952" s="205" t="n"/>
      <c r="BN1952" s="205" t="n"/>
      <c r="BO1952" s="206" t="n"/>
      <c r="BP1952" s="144" t="n"/>
      <c r="BQ1952" s="141" t="n"/>
      <c r="BR1952" s="207" t="n"/>
      <c r="BS1952" s="207" t="n"/>
      <c r="BT1952" s="207" t="n"/>
      <c r="BU1952" s="207" t="n"/>
      <c r="BV1952" s="208" t="n"/>
      <c r="BW1952" s="207" t="n"/>
      <c r="BX1952" s="207" t="n"/>
      <c r="BY1952" s="204" t="n"/>
      <c r="BZ1952" s="148" t="n"/>
      <c r="CA1952" s="204" t="n"/>
      <c r="CB1952" s="208" t="n"/>
      <c r="CC1952" s="139" t="n"/>
      <c r="CD1952" s="204" t="n"/>
      <c r="CE1952" s="204" t="n"/>
      <c r="CF1952" s="207" t="n"/>
      <c r="CG1952" s="208" t="n"/>
      <c r="CH1952" s="207" t="n"/>
      <c r="CI1952" s="208" t="n"/>
      <c r="CJ1952" s="204" t="n"/>
      <c r="CK1952" s="208" t="n"/>
      <c r="CL1952" s="208" t="n"/>
      <c r="CM1952" s="208" t="n"/>
      <c r="CN1952" s="78" t="n"/>
      <c r="CO1952" s="209" t="n"/>
      <c r="CP1952" s="204" t="n"/>
      <c r="CQ1952" s="204" t="n"/>
      <c r="CR1952" s="204" t="n"/>
      <c r="CS1952" s="204" t="n"/>
      <c r="CT1952" s="204" t="n"/>
      <c r="CU1952" s="204" t="n"/>
      <c r="CV1952" s="204" t="n"/>
      <c r="CW1952" s="204" t="n"/>
    </row>
    <row r="1953">
      <c r="BF1953" s="78" t="n"/>
      <c r="BG1953" s="78" t="n"/>
      <c r="BH1953" s="78" t="n"/>
      <c r="BI1953" s="78" t="n"/>
      <c r="BJ1953" s="139" t="n"/>
      <c r="BK1953" s="204" t="n"/>
      <c r="BL1953" s="141" t="n"/>
      <c r="BM1953" s="205" t="n"/>
      <c r="BN1953" s="205" t="n"/>
      <c r="BO1953" s="206" t="n"/>
      <c r="BP1953" s="144" t="n"/>
      <c r="BQ1953" s="141" t="n"/>
      <c r="BR1953" s="207" t="n"/>
      <c r="BS1953" s="207" t="n"/>
      <c r="BT1953" s="207" t="n"/>
      <c r="BU1953" s="207" t="n"/>
      <c r="BV1953" s="208" t="n"/>
      <c r="BW1953" s="207" t="n"/>
      <c r="BX1953" s="207" t="n"/>
      <c r="BY1953" s="204" t="n"/>
      <c r="BZ1953" s="148" t="n"/>
      <c r="CA1953" s="204" t="n"/>
      <c r="CB1953" s="208" t="n"/>
      <c r="CC1953" s="139" t="n"/>
      <c r="CD1953" s="204" t="n"/>
      <c r="CE1953" s="204" t="n"/>
      <c r="CF1953" s="207" t="n"/>
      <c r="CG1953" s="208" t="n"/>
      <c r="CH1953" s="207" t="n"/>
      <c r="CI1953" s="208" t="n"/>
      <c r="CJ1953" s="204" t="n"/>
      <c r="CK1953" s="208" t="n"/>
      <c r="CL1953" s="208" t="n"/>
      <c r="CM1953" s="208" t="n"/>
      <c r="CN1953" s="78" t="n"/>
      <c r="CO1953" s="209" t="n"/>
      <c r="CP1953" s="204" t="n"/>
      <c r="CQ1953" s="204" t="n"/>
      <c r="CR1953" s="204" t="n"/>
      <c r="CS1953" s="204" t="n"/>
      <c r="CT1953" s="204" t="n"/>
      <c r="CU1953" s="204" t="n"/>
      <c r="CV1953" s="204" t="n"/>
      <c r="CW1953" s="204" t="n"/>
    </row>
    <row r="1954">
      <c r="BF1954" s="78" t="n"/>
      <c r="BG1954" s="78" t="n"/>
      <c r="BH1954" s="78" t="n"/>
      <c r="BI1954" s="78" t="n"/>
      <c r="BJ1954" s="139" t="n"/>
      <c r="BK1954" s="204" t="n"/>
      <c r="BL1954" s="141" t="n"/>
      <c r="BM1954" s="205" t="n"/>
      <c r="BN1954" s="205" t="n"/>
      <c r="BO1954" s="206" t="n"/>
      <c r="BP1954" s="144" t="n"/>
      <c r="BQ1954" s="141" t="n"/>
      <c r="BR1954" s="207" t="n"/>
      <c r="BS1954" s="207" t="n"/>
      <c r="BT1954" s="207" t="n"/>
      <c r="BU1954" s="207" t="n"/>
      <c r="BV1954" s="208" t="n"/>
      <c r="BW1954" s="207" t="n"/>
      <c r="BX1954" s="207" t="n"/>
      <c r="BY1954" s="204" t="n"/>
      <c r="BZ1954" s="148" t="n"/>
      <c r="CA1954" s="204" t="n"/>
      <c r="CB1954" s="208" t="n"/>
      <c r="CC1954" s="139" t="n"/>
      <c r="CD1954" s="204" t="n"/>
      <c r="CE1954" s="204" t="n"/>
      <c r="CF1954" s="207" t="n"/>
      <c r="CG1954" s="208" t="n"/>
      <c r="CH1954" s="207" t="n"/>
      <c r="CI1954" s="208" t="n"/>
      <c r="CJ1954" s="204" t="n"/>
      <c r="CK1954" s="208" t="n"/>
      <c r="CL1954" s="208" t="n"/>
      <c r="CM1954" s="208" t="n"/>
      <c r="CN1954" s="78" t="n"/>
      <c r="CO1954" s="209" t="n"/>
      <c r="CP1954" s="204" t="n"/>
      <c r="CQ1954" s="204" t="n"/>
      <c r="CR1954" s="204" t="n"/>
      <c r="CS1954" s="204" t="n"/>
      <c r="CT1954" s="204" t="n"/>
      <c r="CU1954" s="204" t="n"/>
      <c r="CV1954" s="204" t="n"/>
      <c r="CW1954" s="204" t="n"/>
    </row>
    <row r="1955">
      <c r="BF1955" s="78" t="n"/>
      <c r="BG1955" s="78" t="n"/>
      <c r="BH1955" s="78" t="n"/>
      <c r="BI1955" s="78" t="n"/>
      <c r="BJ1955" s="139" t="n"/>
      <c r="BK1955" s="204" t="n"/>
      <c r="BL1955" s="141" t="n"/>
      <c r="BM1955" s="205" t="n"/>
      <c r="BN1955" s="205" t="n"/>
      <c r="BO1955" s="206" t="n"/>
      <c r="BP1955" s="144" t="n"/>
      <c r="BQ1955" s="141" t="n"/>
      <c r="BR1955" s="207" t="n"/>
      <c r="BS1955" s="207" t="n"/>
      <c r="BT1955" s="207" t="n"/>
      <c r="BU1955" s="207" t="n"/>
      <c r="BV1955" s="208" t="n"/>
      <c r="BW1955" s="207" t="n"/>
      <c r="BX1955" s="207" t="n"/>
      <c r="BY1955" s="204" t="n"/>
      <c r="BZ1955" s="148" t="n"/>
      <c r="CA1955" s="204" t="n"/>
      <c r="CB1955" s="208" t="n"/>
      <c r="CC1955" s="139" t="n"/>
      <c r="CD1955" s="204" t="n"/>
      <c r="CE1955" s="204" t="n"/>
      <c r="CF1955" s="207" t="n"/>
      <c r="CG1955" s="208" t="n"/>
      <c r="CH1955" s="207" t="n"/>
      <c r="CI1955" s="208" t="n"/>
      <c r="CJ1955" s="204" t="n"/>
      <c r="CK1955" s="208" t="n"/>
      <c r="CL1955" s="208" t="n"/>
      <c r="CM1955" s="208" t="n"/>
      <c r="CN1955" s="78" t="n"/>
      <c r="CO1955" s="209" t="n"/>
      <c r="CP1955" s="204" t="n"/>
      <c r="CQ1955" s="204" t="n"/>
      <c r="CR1955" s="204" t="n"/>
      <c r="CS1955" s="204" t="n"/>
      <c r="CT1955" s="204" t="n"/>
      <c r="CU1955" s="204" t="n"/>
      <c r="CV1955" s="204" t="n"/>
      <c r="CW1955" s="204" t="n"/>
    </row>
    <row r="1956">
      <c r="BF1956" s="78" t="n"/>
      <c r="BG1956" s="78" t="n"/>
      <c r="BH1956" s="78" t="n"/>
      <c r="BI1956" s="78" t="n"/>
      <c r="BJ1956" s="139" t="n"/>
      <c r="BK1956" s="204" t="n"/>
      <c r="BL1956" s="141" t="n"/>
      <c r="BM1956" s="205" t="n"/>
      <c r="BN1956" s="205" t="n"/>
      <c r="BO1956" s="206" t="n"/>
      <c r="BP1956" s="144" t="n"/>
      <c r="BQ1956" s="141" t="n"/>
      <c r="BR1956" s="207" t="n"/>
      <c r="BS1956" s="207" t="n"/>
      <c r="BT1956" s="207" t="n"/>
      <c r="BU1956" s="207" t="n"/>
      <c r="BV1956" s="208" t="n"/>
      <c r="BW1956" s="207" t="n"/>
      <c r="BX1956" s="207" t="n"/>
      <c r="BY1956" s="204" t="n"/>
      <c r="BZ1956" s="148" t="n"/>
      <c r="CA1956" s="204" t="n"/>
      <c r="CB1956" s="208" t="n"/>
      <c r="CC1956" s="139" t="n"/>
      <c r="CD1956" s="204" t="n"/>
      <c r="CE1956" s="204" t="n"/>
      <c r="CF1956" s="207" t="n"/>
      <c r="CG1956" s="208" t="n"/>
      <c r="CH1956" s="207" t="n"/>
      <c r="CI1956" s="208" t="n"/>
      <c r="CJ1956" s="204" t="n"/>
      <c r="CK1956" s="208" t="n"/>
      <c r="CL1956" s="208" t="n"/>
      <c r="CM1956" s="208" t="n"/>
      <c r="CN1956" s="78" t="n"/>
      <c r="CO1956" s="209" t="n"/>
      <c r="CP1956" s="204" t="n"/>
      <c r="CQ1956" s="204" t="n"/>
      <c r="CR1956" s="204" t="n"/>
      <c r="CS1956" s="204" t="n"/>
      <c r="CT1956" s="204" t="n"/>
      <c r="CU1956" s="204" t="n"/>
      <c r="CV1956" s="204" t="n"/>
      <c r="CW1956" s="204" t="n"/>
    </row>
    <row r="1957">
      <c r="BF1957" s="78" t="n"/>
      <c r="BG1957" s="78" t="n"/>
      <c r="BH1957" s="78" t="n"/>
      <c r="BI1957" s="78" t="n"/>
      <c r="BJ1957" s="139" t="n"/>
      <c r="BK1957" s="204" t="n"/>
      <c r="BL1957" s="141" t="n"/>
      <c r="BM1957" s="205" t="n"/>
      <c r="BN1957" s="205" t="n"/>
      <c r="BO1957" s="206" t="n"/>
      <c r="BP1957" s="144" t="n"/>
      <c r="BQ1957" s="141" t="n"/>
      <c r="BR1957" s="207" t="n"/>
      <c r="BS1957" s="207" t="n"/>
      <c r="BT1957" s="207" t="n"/>
      <c r="BU1957" s="207" t="n"/>
      <c r="BV1957" s="208" t="n"/>
      <c r="BW1957" s="207" t="n"/>
      <c r="BX1957" s="207" t="n"/>
      <c r="BY1957" s="204" t="n"/>
      <c r="BZ1957" s="148" t="n"/>
      <c r="CA1957" s="204" t="n"/>
      <c r="CB1957" s="208" t="n"/>
      <c r="CC1957" s="139" t="n"/>
      <c r="CD1957" s="204" t="n"/>
      <c r="CE1957" s="204" t="n"/>
      <c r="CF1957" s="207" t="n"/>
      <c r="CG1957" s="208" t="n"/>
      <c r="CH1957" s="207" t="n"/>
      <c r="CI1957" s="208" t="n"/>
      <c r="CJ1957" s="204" t="n"/>
      <c r="CK1957" s="208" t="n"/>
      <c r="CL1957" s="208" t="n"/>
      <c r="CM1957" s="208" t="n"/>
      <c r="CN1957" s="78" t="n"/>
      <c r="CO1957" s="209" t="n"/>
      <c r="CP1957" s="204" t="n"/>
      <c r="CQ1957" s="204" t="n"/>
      <c r="CR1957" s="204" t="n"/>
      <c r="CS1957" s="204" t="n"/>
      <c r="CT1957" s="204" t="n"/>
      <c r="CU1957" s="204" t="n"/>
      <c r="CV1957" s="204" t="n"/>
      <c r="CW1957" s="204" t="n"/>
    </row>
    <row r="1958">
      <c r="BF1958" s="78" t="n"/>
      <c r="BG1958" s="78" t="n"/>
      <c r="BH1958" s="78" t="n"/>
      <c r="BI1958" s="78" t="n"/>
      <c r="BJ1958" s="139" t="n"/>
      <c r="BK1958" s="204" t="n"/>
      <c r="BL1958" s="141" t="n"/>
      <c r="BM1958" s="205" t="n"/>
      <c r="BN1958" s="205" t="n"/>
      <c r="BO1958" s="206" t="n"/>
      <c r="BP1958" s="144" t="n"/>
      <c r="BQ1958" s="141" t="n"/>
      <c r="BR1958" s="207" t="n"/>
      <c r="BS1958" s="207" t="n"/>
      <c r="BT1958" s="207" t="n"/>
      <c r="BU1958" s="207" t="n"/>
      <c r="BV1958" s="208" t="n"/>
      <c r="BW1958" s="207" t="n"/>
      <c r="BX1958" s="207" t="n"/>
      <c r="BY1958" s="204" t="n"/>
      <c r="BZ1958" s="148" t="n"/>
      <c r="CA1958" s="204" t="n"/>
      <c r="CB1958" s="208" t="n"/>
      <c r="CC1958" s="139" t="n"/>
      <c r="CD1958" s="204" t="n"/>
      <c r="CE1958" s="204" t="n"/>
      <c r="CF1958" s="207" t="n"/>
      <c r="CG1958" s="208" t="n"/>
      <c r="CH1958" s="207" t="n"/>
      <c r="CI1958" s="208" t="n"/>
      <c r="CJ1958" s="204" t="n"/>
      <c r="CK1958" s="208" t="n"/>
      <c r="CL1958" s="208" t="n"/>
      <c r="CM1958" s="208" t="n"/>
      <c r="CN1958" s="78" t="n"/>
      <c r="CO1958" s="209" t="n"/>
      <c r="CP1958" s="204" t="n"/>
      <c r="CQ1958" s="204" t="n"/>
      <c r="CR1958" s="204" t="n"/>
      <c r="CS1958" s="204" t="n"/>
      <c r="CT1958" s="204" t="n"/>
      <c r="CU1958" s="204" t="n"/>
      <c r="CV1958" s="204" t="n"/>
      <c r="CW1958" s="204" t="n"/>
    </row>
    <row r="1959">
      <c r="BF1959" s="78" t="n"/>
      <c r="BG1959" s="78" t="n"/>
      <c r="BH1959" s="78" t="n"/>
      <c r="BI1959" s="78" t="n"/>
      <c r="BJ1959" s="139" t="n"/>
      <c r="BK1959" s="204" t="n"/>
      <c r="BL1959" s="141" t="n"/>
      <c r="BM1959" s="205" t="n"/>
      <c r="BN1959" s="205" t="n"/>
      <c r="BO1959" s="206" t="n"/>
      <c r="BP1959" s="144" t="n"/>
      <c r="BQ1959" s="141" t="n"/>
      <c r="BR1959" s="207" t="n"/>
      <c r="BS1959" s="207" t="n"/>
      <c r="BT1959" s="207" t="n"/>
      <c r="BU1959" s="207" t="n"/>
      <c r="BV1959" s="208" t="n"/>
      <c r="BW1959" s="207" t="n"/>
      <c r="BX1959" s="207" t="n"/>
      <c r="BY1959" s="204" t="n"/>
      <c r="BZ1959" s="148" t="n"/>
      <c r="CA1959" s="204" t="n"/>
      <c r="CB1959" s="208" t="n"/>
      <c r="CC1959" s="139" t="n"/>
      <c r="CD1959" s="204" t="n"/>
      <c r="CE1959" s="204" t="n"/>
      <c r="CF1959" s="207" t="n"/>
      <c r="CG1959" s="208" t="n"/>
      <c r="CH1959" s="207" t="n"/>
      <c r="CI1959" s="208" t="n"/>
      <c r="CJ1959" s="204" t="n"/>
      <c r="CK1959" s="208" t="n"/>
      <c r="CL1959" s="208" t="n"/>
      <c r="CM1959" s="208" t="n"/>
      <c r="CN1959" s="78" t="n"/>
      <c r="CO1959" s="209" t="n"/>
      <c r="CP1959" s="204" t="n"/>
      <c r="CQ1959" s="204" t="n"/>
      <c r="CR1959" s="204" t="n"/>
      <c r="CS1959" s="204" t="n"/>
      <c r="CT1959" s="204" t="n"/>
      <c r="CU1959" s="204" t="n"/>
      <c r="CV1959" s="204" t="n"/>
      <c r="CW1959" s="204" t="n"/>
    </row>
    <row r="1960">
      <c r="BF1960" s="78" t="n"/>
      <c r="BG1960" s="78" t="n"/>
      <c r="BH1960" s="78" t="n"/>
      <c r="BI1960" s="78" t="n"/>
      <c r="BJ1960" s="139" t="n"/>
      <c r="BK1960" s="204" t="n"/>
      <c r="BL1960" s="141" t="n"/>
      <c r="BM1960" s="205" t="n"/>
      <c r="BN1960" s="205" t="n"/>
      <c r="BO1960" s="206" t="n"/>
      <c r="BP1960" s="144" t="n"/>
      <c r="BQ1960" s="141" t="n"/>
      <c r="BR1960" s="207" t="n"/>
      <c r="BS1960" s="207" t="n"/>
      <c r="BT1960" s="207" t="n"/>
      <c r="BU1960" s="207" t="n"/>
      <c r="BV1960" s="208" t="n"/>
      <c r="BW1960" s="207" t="n"/>
      <c r="BX1960" s="207" t="n"/>
      <c r="BY1960" s="204" t="n"/>
      <c r="BZ1960" s="148" t="n"/>
      <c r="CA1960" s="204" t="n"/>
      <c r="CB1960" s="208" t="n"/>
      <c r="CC1960" s="139" t="n"/>
      <c r="CD1960" s="204" t="n"/>
      <c r="CE1960" s="204" t="n"/>
      <c r="CF1960" s="207" t="n"/>
      <c r="CG1960" s="208" t="n"/>
      <c r="CH1960" s="207" t="n"/>
      <c r="CI1960" s="208" t="n"/>
      <c r="CJ1960" s="204" t="n"/>
      <c r="CK1960" s="208" t="n"/>
      <c r="CL1960" s="208" t="n"/>
      <c r="CM1960" s="208" t="n"/>
      <c r="CN1960" s="78" t="n"/>
      <c r="CO1960" s="209" t="n"/>
      <c r="CP1960" s="204" t="n"/>
      <c r="CQ1960" s="204" t="n"/>
      <c r="CR1960" s="204" t="n"/>
      <c r="CS1960" s="204" t="n"/>
      <c r="CT1960" s="204" t="n"/>
      <c r="CU1960" s="204" t="n"/>
      <c r="CV1960" s="204" t="n"/>
      <c r="CW1960" s="204" t="n"/>
    </row>
    <row r="1961">
      <c r="BF1961" s="78" t="n"/>
      <c r="BG1961" s="78" t="n"/>
      <c r="BH1961" s="78" t="n"/>
      <c r="BI1961" s="78" t="n"/>
      <c r="BJ1961" s="139" t="n"/>
      <c r="BK1961" s="204" t="n"/>
      <c r="BL1961" s="141" t="n"/>
      <c r="BM1961" s="205" t="n"/>
      <c r="BN1961" s="205" t="n"/>
      <c r="BO1961" s="206" t="n"/>
      <c r="BP1961" s="144" t="n"/>
      <c r="BQ1961" s="141" t="n"/>
      <c r="BR1961" s="207" t="n"/>
      <c r="BS1961" s="207" t="n"/>
      <c r="BT1961" s="207" t="n"/>
      <c r="BU1961" s="207" t="n"/>
      <c r="BV1961" s="208" t="n"/>
      <c r="BW1961" s="207" t="n"/>
      <c r="BX1961" s="207" t="n"/>
      <c r="BY1961" s="204" t="n"/>
      <c r="BZ1961" s="148" t="n"/>
      <c r="CA1961" s="204" t="n"/>
      <c r="CB1961" s="208" t="n"/>
      <c r="CC1961" s="139" t="n"/>
      <c r="CD1961" s="204" t="n"/>
      <c r="CE1961" s="204" t="n"/>
      <c r="CF1961" s="207" t="n"/>
      <c r="CG1961" s="208" t="n"/>
      <c r="CH1961" s="207" t="n"/>
      <c r="CI1961" s="208" t="n"/>
      <c r="CJ1961" s="204" t="n"/>
      <c r="CK1961" s="208" t="n"/>
      <c r="CL1961" s="208" t="n"/>
      <c r="CM1961" s="208" t="n"/>
      <c r="CN1961" s="78" t="n"/>
      <c r="CO1961" s="209" t="n"/>
      <c r="CP1961" s="204" t="n"/>
      <c r="CQ1961" s="204" t="n"/>
      <c r="CR1961" s="204" t="n"/>
      <c r="CS1961" s="204" t="n"/>
      <c r="CT1961" s="204" t="n"/>
      <c r="CU1961" s="204" t="n"/>
      <c r="CV1961" s="204" t="n"/>
      <c r="CW1961" s="204" t="n"/>
    </row>
    <row r="1962">
      <c r="BF1962" s="78" t="n"/>
      <c r="BG1962" s="78" t="n"/>
      <c r="BH1962" s="78" t="n"/>
      <c r="BI1962" s="78" t="n"/>
      <c r="BJ1962" s="139" t="n"/>
      <c r="BK1962" s="204" t="n"/>
      <c r="BL1962" s="141" t="n"/>
      <c r="BM1962" s="205" t="n"/>
      <c r="BN1962" s="205" t="n"/>
      <c r="BO1962" s="206" t="n"/>
      <c r="BP1962" s="144" t="n"/>
      <c r="BQ1962" s="141" t="n"/>
      <c r="BR1962" s="207" t="n"/>
      <c r="BS1962" s="207" t="n"/>
      <c r="BT1962" s="207" t="n"/>
      <c r="BU1962" s="207" t="n"/>
      <c r="BV1962" s="208" t="n"/>
      <c r="BW1962" s="207" t="n"/>
      <c r="BX1962" s="207" t="n"/>
      <c r="BY1962" s="204" t="n"/>
      <c r="BZ1962" s="148" t="n"/>
      <c r="CA1962" s="204" t="n"/>
      <c r="CB1962" s="208" t="n"/>
      <c r="CC1962" s="139" t="n"/>
      <c r="CD1962" s="204" t="n"/>
      <c r="CE1962" s="204" t="n"/>
      <c r="CF1962" s="207" t="n"/>
      <c r="CG1962" s="208" t="n"/>
      <c r="CH1962" s="207" t="n"/>
      <c r="CI1962" s="208" t="n"/>
      <c r="CJ1962" s="204" t="n"/>
      <c r="CK1962" s="208" t="n"/>
      <c r="CL1962" s="208" t="n"/>
      <c r="CM1962" s="208" t="n"/>
      <c r="CN1962" s="78" t="n"/>
      <c r="CO1962" s="209" t="n"/>
      <c r="CP1962" s="204" t="n"/>
      <c r="CQ1962" s="204" t="n"/>
      <c r="CR1962" s="204" t="n"/>
      <c r="CS1962" s="204" t="n"/>
      <c r="CT1962" s="204" t="n"/>
      <c r="CU1962" s="204" t="n"/>
      <c r="CV1962" s="204" t="n"/>
      <c r="CW1962" s="204" t="n"/>
    </row>
    <row r="1963">
      <c r="BF1963" s="78" t="n"/>
      <c r="BG1963" s="78" t="n"/>
      <c r="BH1963" s="78" t="n"/>
      <c r="BI1963" s="78" t="n"/>
      <c r="BJ1963" s="139" t="n"/>
      <c r="BK1963" s="204" t="n"/>
      <c r="BL1963" s="141" t="n"/>
      <c r="BM1963" s="205" t="n"/>
      <c r="BN1963" s="205" t="n"/>
      <c r="BO1963" s="206" t="n"/>
      <c r="BP1963" s="144" t="n"/>
      <c r="BQ1963" s="141" t="n"/>
      <c r="BR1963" s="207" t="n"/>
      <c r="BS1963" s="207" t="n"/>
      <c r="BT1963" s="207" t="n"/>
      <c r="BU1963" s="207" t="n"/>
      <c r="BV1963" s="208" t="n"/>
      <c r="BW1963" s="207" t="n"/>
      <c r="BX1963" s="207" t="n"/>
      <c r="BY1963" s="204" t="n"/>
      <c r="BZ1963" s="148" t="n"/>
      <c r="CA1963" s="204" t="n"/>
      <c r="CB1963" s="208" t="n"/>
      <c r="CC1963" s="139" t="n"/>
      <c r="CD1963" s="204" t="n"/>
      <c r="CE1963" s="204" t="n"/>
      <c r="CF1963" s="207" t="n"/>
      <c r="CG1963" s="208" t="n"/>
      <c r="CH1963" s="207" t="n"/>
      <c r="CI1963" s="208" t="n"/>
      <c r="CJ1963" s="204" t="n"/>
      <c r="CK1963" s="208" t="n"/>
      <c r="CL1963" s="208" t="n"/>
      <c r="CM1963" s="208" t="n"/>
      <c r="CN1963" s="78" t="n"/>
      <c r="CO1963" s="209" t="n"/>
      <c r="CP1963" s="204" t="n"/>
      <c r="CQ1963" s="204" t="n"/>
      <c r="CR1963" s="204" t="n"/>
      <c r="CS1963" s="204" t="n"/>
      <c r="CT1963" s="204" t="n"/>
      <c r="CU1963" s="204" t="n"/>
      <c r="CV1963" s="204" t="n"/>
      <c r="CW1963" s="204" t="n"/>
    </row>
    <row r="1964">
      <c r="BF1964" s="78" t="n"/>
      <c r="BG1964" s="78" t="n"/>
      <c r="BH1964" s="78" t="n"/>
      <c r="BI1964" s="78" t="n"/>
      <c r="BJ1964" s="139" t="n"/>
      <c r="BK1964" s="204" t="n"/>
      <c r="BL1964" s="141" t="n"/>
      <c r="BM1964" s="205" t="n"/>
      <c r="BN1964" s="205" t="n"/>
      <c r="BO1964" s="206" t="n"/>
      <c r="BP1964" s="144" t="n"/>
      <c r="BQ1964" s="141" t="n"/>
      <c r="BR1964" s="207" t="n"/>
      <c r="BS1964" s="207" t="n"/>
      <c r="BT1964" s="207" t="n"/>
      <c r="BU1964" s="207" t="n"/>
      <c r="BV1964" s="208" t="n"/>
      <c r="BW1964" s="207" t="n"/>
      <c r="BX1964" s="207" t="n"/>
      <c r="BY1964" s="204" t="n"/>
      <c r="BZ1964" s="148" t="n"/>
      <c r="CA1964" s="204" t="n"/>
      <c r="CB1964" s="208" t="n"/>
      <c r="CC1964" s="139" t="n"/>
      <c r="CD1964" s="204" t="n"/>
      <c r="CE1964" s="204" t="n"/>
      <c r="CF1964" s="207" t="n"/>
      <c r="CG1964" s="208" t="n"/>
      <c r="CH1964" s="207" t="n"/>
      <c r="CI1964" s="208" t="n"/>
      <c r="CJ1964" s="204" t="n"/>
      <c r="CK1964" s="208" t="n"/>
      <c r="CL1964" s="208" t="n"/>
      <c r="CM1964" s="208" t="n"/>
      <c r="CN1964" s="78" t="n"/>
      <c r="CO1964" s="209" t="n"/>
      <c r="CP1964" s="204" t="n"/>
      <c r="CQ1964" s="204" t="n"/>
      <c r="CR1964" s="204" t="n"/>
      <c r="CS1964" s="204" t="n"/>
      <c r="CT1964" s="204" t="n"/>
      <c r="CU1964" s="204" t="n"/>
      <c r="CV1964" s="204" t="n"/>
      <c r="CW1964" s="204" t="n"/>
    </row>
    <row r="1965">
      <c r="BF1965" s="78" t="n"/>
      <c r="BG1965" s="78" t="n"/>
      <c r="BH1965" s="78" t="n"/>
      <c r="BI1965" s="78" t="n"/>
      <c r="BJ1965" s="139" t="n"/>
      <c r="BK1965" s="204" t="n"/>
      <c r="BL1965" s="141" t="n"/>
      <c r="BM1965" s="205" t="n"/>
      <c r="BN1965" s="205" t="n"/>
      <c r="BO1965" s="206" t="n"/>
      <c r="BP1965" s="144" t="n"/>
      <c r="BQ1965" s="141" t="n"/>
      <c r="BR1965" s="207" t="n"/>
      <c r="BS1965" s="207" t="n"/>
      <c r="BT1965" s="207" t="n"/>
      <c r="BU1965" s="207" t="n"/>
      <c r="BV1965" s="208" t="n"/>
      <c r="BW1965" s="207" t="n"/>
      <c r="BX1965" s="207" t="n"/>
      <c r="BY1965" s="204" t="n"/>
      <c r="BZ1965" s="148" t="n"/>
      <c r="CA1965" s="204" t="n"/>
      <c r="CB1965" s="208" t="n"/>
      <c r="CC1965" s="139" t="n"/>
      <c r="CD1965" s="204" t="n"/>
      <c r="CE1965" s="204" t="n"/>
      <c r="CF1965" s="207" t="n"/>
      <c r="CG1965" s="208" t="n"/>
      <c r="CH1965" s="207" t="n"/>
      <c r="CI1965" s="208" t="n"/>
      <c r="CJ1965" s="204" t="n"/>
      <c r="CK1965" s="208" t="n"/>
      <c r="CL1965" s="208" t="n"/>
      <c r="CM1965" s="208" t="n"/>
      <c r="CN1965" s="78" t="n"/>
      <c r="CO1965" s="209" t="n"/>
      <c r="CP1965" s="204" t="n"/>
      <c r="CQ1965" s="204" t="n"/>
      <c r="CR1965" s="204" t="n"/>
      <c r="CS1965" s="204" t="n"/>
      <c r="CT1965" s="204" t="n"/>
      <c r="CU1965" s="204" t="n"/>
      <c r="CV1965" s="204" t="n"/>
      <c r="CW1965" s="204" t="n"/>
    </row>
    <row r="1966">
      <c r="BF1966" s="78" t="n"/>
      <c r="BG1966" s="78" t="n"/>
      <c r="BH1966" s="78" t="n"/>
      <c r="BI1966" s="78" t="n"/>
      <c r="BJ1966" s="139" t="n"/>
      <c r="BK1966" s="204" t="n"/>
      <c r="BL1966" s="141" t="n"/>
      <c r="BM1966" s="205" t="n"/>
      <c r="BN1966" s="205" t="n"/>
      <c r="BO1966" s="206" t="n"/>
      <c r="BP1966" s="144" t="n"/>
      <c r="BQ1966" s="141" t="n"/>
      <c r="BR1966" s="207" t="n"/>
      <c r="BS1966" s="207" t="n"/>
      <c r="BT1966" s="207" t="n"/>
      <c r="BU1966" s="207" t="n"/>
      <c r="BV1966" s="208" t="n"/>
      <c r="BW1966" s="207" t="n"/>
      <c r="BX1966" s="207" t="n"/>
      <c r="BY1966" s="204" t="n"/>
      <c r="BZ1966" s="148" t="n"/>
      <c r="CA1966" s="204" t="n"/>
      <c r="CB1966" s="208" t="n"/>
      <c r="CC1966" s="139" t="n"/>
      <c r="CD1966" s="204" t="n"/>
      <c r="CE1966" s="204" t="n"/>
      <c r="CF1966" s="207" t="n"/>
      <c r="CG1966" s="208" t="n"/>
      <c r="CH1966" s="207" t="n"/>
      <c r="CI1966" s="208" t="n"/>
      <c r="CJ1966" s="204" t="n"/>
      <c r="CK1966" s="208" t="n"/>
      <c r="CL1966" s="208" t="n"/>
      <c r="CM1966" s="208" t="n"/>
      <c r="CN1966" s="78" t="n"/>
      <c r="CO1966" s="209" t="n"/>
      <c r="CP1966" s="204" t="n"/>
      <c r="CQ1966" s="204" t="n"/>
      <c r="CR1966" s="204" t="n"/>
      <c r="CS1966" s="204" t="n"/>
      <c r="CT1966" s="204" t="n"/>
      <c r="CU1966" s="204" t="n"/>
      <c r="CV1966" s="204" t="n"/>
      <c r="CW1966" s="204" t="n"/>
    </row>
    <row r="1967">
      <c r="BF1967" s="78" t="n"/>
      <c r="BG1967" s="78" t="n"/>
      <c r="BH1967" s="78" t="n"/>
      <c r="BI1967" s="78" t="n"/>
      <c r="BJ1967" s="139" t="n"/>
      <c r="BK1967" s="204" t="n"/>
      <c r="BL1967" s="141" t="n"/>
      <c r="BM1967" s="205" t="n"/>
      <c r="BN1967" s="205" t="n"/>
      <c r="BO1967" s="206" t="n"/>
      <c r="BP1967" s="144" t="n"/>
      <c r="BQ1967" s="141" t="n"/>
      <c r="BR1967" s="207" t="n"/>
      <c r="BS1967" s="207" t="n"/>
      <c r="BT1967" s="207" t="n"/>
      <c r="BU1967" s="207" t="n"/>
      <c r="BV1967" s="208" t="n"/>
      <c r="BW1967" s="207" t="n"/>
      <c r="BX1967" s="207" t="n"/>
      <c r="BY1967" s="204" t="n"/>
      <c r="BZ1967" s="148" t="n"/>
      <c r="CA1967" s="204" t="n"/>
      <c r="CB1967" s="208" t="n"/>
      <c r="CC1967" s="139" t="n"/>
      <c r="CD1967" s="204" t="n"/>
      <c r="CE1967" s="204" t="n"/>
      <c r="CF1967" s="207" t="n"/>
      <c r="CG1967" s="208" t="n"/>
      <c r="CH1967" s="207" t="n"/>
      <c r="CI1967" s="208" t="n"/>
      <c r="CJ1967" s="204" t="n"/>
      <c r="CK1967" s="208" t="n"/>
      <c r="CL1967" s="208" t="n"/>
      <c r="CM1967" s="208" t="n"/>
      <c r="CN1967" s="78" t="n"/>
      <c r="CO1967" s="209" t="n"/>
      <c r="CP1967" s="204" t="n"/>
      <c r="CQ1967" s="204" t="n"/>
      <c r="CR1967" s="204" t="n"/>
      <c r="CS1967" s="204" t="n"/>
      <c r="CT1967" s="204" t="n"/>
      <c r="CU1967" s="204" t="n"/>
      <c r="CV1967" s="204" t="n"/>
      <c r="CW1967" s="204" t="n"/>
    </row>
    <row r="1968">
      <c r="BF1968" s="78" t="n"/>
      <c r="BG1968" s="78" t="n"/>
      <c r="BH1968" s="78" t="n"/>
      <c r="BI1968" s="78" t="n"/>
      <c r="BJ1968" s="139" t="n"/>
      <c r="BK1968" s="204" t="n"/>
      <c r="BL1968" s="141" t="n"/>
      <c r="BM1968" s="205" t="n"/>
      <c r="BN1968" s="205" t="n"/>
      <c r="BO1968" s="206" t="n"/>
      <c r="BP1968" s="144" t="n"/>
      <c r="BQ1968" s="141" t="n"/>
      <c r="BR1968" s="207" t="n"/>
      <c r="BS1968" s="207" t="n"/>
      <c r="BT1968" s="207" t="n"/>
      <c r="BU1968" s="207" t="n"/>
      <c r="BV1968" s="208" t="n"/>
      <c r="BW1968" s="207" t="n"/>
      <c r="BX1968" s="207" t="n"/>
      <c r="BY1968" s="204" t="n"/>
      <c r="BZ1968" s="148" t="n"/>
      <c r="CA1968" s="204" t="n"/>
      <c r="CB1968" s="208" t="n"/>
      <c r="CC1968" s="139" t="n"/>
      <c r="CD1968" s="204" t="n"/>
      <c r="CE1968" s="204" t="n"/>
      <c r="CF1968" s="207" t="n"/>
      <c r="CG1968" s="208" t="n"/>
      <c r="CH1968" s="207" t="n"/>
      <c r="CI1968" s="208" t="n"/>
      <c r="CJ1968" s="204" t="n"/>
      <c r="CK1968" s="208" t="n"/>
      <c r="CL1968" s="208" t="n"/>
      <c r="CM1968" s="208" t="n"/>
      <c r="CN1968" s="78" t="n"/>
      <c r="CO1968" s="209" t="n"/>
      <c r="CP1968" s="204" t="n"/>
      <c r="CQ1968" s="204" t="n"/>
      <c r="CR1968" s="204" t="n"/>
      <c r="CS1968" s="204" t="n"/>
      <c r="CT1968" s="204" t="n"/>
      <c r="CU1968" s="204" t="n"/>
      <c r="CV1968" s="204" t="n"/>
      <c r="CW1968" s="204" t="n"/>
    </row>
    <row r="1969">
      <c r="BF1969" s="78" t="n"/>
      <c r="BG1969" s="78" t="n"/>
      <c r="BH1969" s="78" t="n"/>
      <c r="BI1969" s="78" t="n"/>
      <c r="BJ1969" s="139" t="n"/>
      <c r="BK1969" s="204" t="n"/>
      <c r="BL1969" s="141" t="n"/>
      <c r="BM1969" s="205" t="n"/>
      <c r="BN1969" s="205" t="n"/>
      <c r="BO1969" s="206" t="n"/>
      <c r="BP1969" s="144" t="n"/>
      <c r="BQ1969" s="141" t="n"/>
      <c r="BR1969" s="207" t="n"/>
      <c r="BS1969" s="207" t="n"/>
      <c r="BT1969" s="207" t="n"/>
      <c r="BU1969" s="207" t="n"/>
      <c r="BV1969" s="208" t="n"/>
      <c r="BW1969" s="207" t="n"/>
      <c r="BX1969" s="207" t="n"/>
      <c r="BY1969" s="204" t="n"/>
      <c r="BZ1969" s="148" t="n"/>
      <c r="CA1969" s="204" t="n"/>
      <c r="CB1969" s="208" t="n"/>
      <c r="CC1969" s="139" t="n"/>
      <c r="CD1969" s="204" t="n"/>
      <c r="CE1969" s="204" t="n"/>
      <c r="CF1969" s="207" t="n"/>
      <c r="CG1969" s="208" t="n"/>
      <c r="CH1969" s="207" t="n"/>
      <c r="CI1969" s="208" t="n"/>
      <c r="CJ1969" s="204" t="n"/>
      <c r="CK1969" s="208" t="n"/>
      <c r="CL1969" s="208" t="n"/>
      <c r="CM1969" s="208" t="n"/>
      <c r="CN1969" s="78" t="n"/>
      <c r="CO1969" s="209" t="n"/>
      <c r="CP1969" s="204" t="n"/>
      <c r="CQ1969" s="204" t="n"/>
      <c r="CR1969" s="204" t="n"/>
      <c r="CS1969" s="204" t="n"/>
      <c r="CT1969" s="204" t="n"/>
      <c r="CU1969" s="204" t="n"/>
      <c r="CV1969" s="204" t="n"/>
      <c r="CW1969" s="204" t="n"/>
    </row>
    <row r="1970">
      <c r="BF1970" s="78" t="n"/>
      <c r="BG1970" s="78" t="n"/>
      <c r="BH1970" s="78" t="n"/>
      <c r="BI1970" s="78" t="n"/>
      <c r="BJ1970" s="139" t="n"/>
      <c r="BK1970" s="204" t="n"/>
      <c r="BL1970" s="141" t="n"/>
      <c r="BM1970" s="205" t="n"/>
      <c r="BN1970" s="205" t="n"/>
      <c r="BO1970" s="206" t="n"/>
      <c r="BP1970" s="144" t="n"/>
      <c r="BQ1970" s="141" t="n"/>
      <c r="BR1970" s="207" t="n"/>
      <c r="BS1970" s="207" t="n"/>
      <c r="BT1970" s="207" t="n"/>
      <c r="BU1970" s="207" t="n"/>
      <c r="BV1970" s="208" t="n"/>
      <c r="BW1970" s="207" t="n"/>
      <c r="BX1970" s="207" t="n"/>
      <c r="BY1970" s="204" t="n"/>
      <c r="BZ1970" s="148" t="n"/>
      <c r="CA1970" s="204" t="n"/>
      <c r="CB1970" s="208" t="n"/>
      <c r="CC1970" s="139" t="n"/>
      <c r="CD1970" s="204" t="n"/>
      <c r="CE1970" s="204" t="n"/>
      <c r="CF1970" s="207" t="n"/>
      <c r="CG1970" s="208" t="n"/>
      <c r="CH1970" s="207" t="n"/>
      <c r="CI1970" s="208" t="n"/>
      <c r="CJ1970" s="204" t="n"/>
      <c r="CK1970" s="208" t="n"/>
      <c r="CL1970" s="208" t="n"/>
      <c r="CM1970" s="208" t="n"/>
      <c r="CN1970" s="78" t="n"/>
      <c r="CO1970" s="209" t="n"/>
      <c r="CP1970" s="204" t="n"/>
      <c r="CQ1970" s="204" t="n"/>
      <c r="CR1970" s="204" t="n"/>
      <c r="CS1970" s="204" t="n"/>
      <c r="CT1970" s="204" t="n"/>
      <c r="CU1970" s="204" t="n"/>
      <c r="CV1970" s="204" t="n"/>
      <c r="CW1970" s="204" t="n"/>
    </row>
    <row r="1971">
      <c r="BF1971" s="78" t="n"/>
      <c r="BG1971" s="78" t="n"/>
      <c r="BH1971" s="78" t="n"/>
      <c r="BI1971" s="78" t="n"/>
      <c r="BJ1971" s="139" t="n"/>
      <c r="BK1971" s="204" t="n"/>
      <c r="BL1971" s="141" t="n"/>
      <c r="BM1971" s="205" t="n"/>
      <c r="BN1971" s="205" t="n"/>
      <c r="BO1971" s="206" t="n"/>
      <c r="BP1971" s="144" t="n"/>
      <c r="BQ1971" s="141" t="n"/>
      <c r="BR1971" s="207" t="n"/>
      <c r="BS1971" s="207" t="n"/>
      <c r="BT1971" s="207" t="n"/>
      <c r="BU1971" s="207" t="n"/>
      <c r="BV1971" s="208" t="n"/>
      <c r="BW1971" s="207" t="n"/>
      <c r="BX1971" s="207" t="n"/>
      <c r="BY1971" s="204" t="n"/>
      <c r="BZ1971" s="148" t="n"/>
      <c r="CA1971" s="204" t="n"/>
      <c r="CB1971" s="208" t="n"/>
      <c r="CC1971" s="139" t="n"/>
      <c r="CD1971" s="204" t="n"/>
      <c r="CE1971" s="204" t="n"/>
      <c r="CF1971" s="207" t="n"/>
      <c r="CG1971" s="208" t="n"/>
      <c r="CH1971" s="207" t="n"/>
      <c r="CI1971" s="208" t="n"/>
      <c r="CJ1971" s="204" t="n"/>
      <c r="CK1971" s="208" t="n"/>
      <c r="CL1971" s="208" t="n"/>
      <c r="CM1971" s="208" t="n"/>
      <c r="CN1971" s="78" t="n"/>
      <c r="CO1971" s="209" t="n"/>
      <c r="CP1971" s="204" t="n"/>
      <c r="CQ1971" s="204" t="n"/>
      <c r="CR1971" s="204" t="n"/>
      <c r="CS1971" s="204" t="n"/>
      <c r="CT1971" s="204" t="n"/>
      <c r="CU1971" s="204" t="n"/>
      <c r="CV1971" s="204" t="n"/>
      <c r="CW1971" s="204" t="n"/>
    </row>
    <row r="1972">
      <c r="BF1972" s="78" t="n"/>
      <c r="BG1972" s="78" t="n"/>
      <c r="BH1972" s="78" t="n"/>
      <c r="BI1972" s="78" t="n"/>
      <c r="BJ1972" s="139" t="n"/>
      <c r="BK1972" s="204" t="n"/>
      <c r="BL1972" s="141" t="n"/>
      <c r="BM1972" s="205" t="n"/>
      <c r="BN1972" s="205" t="n"/>
      <c r="BO1972" s="206" t="n"/>
      <c r="BP1972" s="144" t="n"/>
      <c r="BQ1972" s="141" t="n"/>
      <c r="BR1972" s="207" t="n"/>
      <c r="BS1972" s="207" t="n"/>
      <c r="BT1972" s="207" t="n"/>
      <c r="BU1972" s="207" t="n"/>
      <c r="BV1972" s="208" t="n"/>
      <c r="BW1972" s="207" t="n"/>
      <c r="BX1972" s="207" t="n"/>
      <c r="BY1972" s="204" t="n"/>
      <c r="BZ1972" s="148" t="n"/>
      <c r="CA1972" s="204" t="n"/>
      <c r="CB1972" s="208" t="n"/>
      <c r="CC1972" s="139" t="n"/>
      <c r="CD1972" s="204" t="n"/>
      <c r="CE1972" s="204" t="n"/>
      <c r="CF1972" s="207" t="n"/>
      <c r="CG1972" s="208" t="n"/>
      <c r="CH1972" s="207" t="n"/>
      <c r="CI1972" s="208" t="n"/>
      <c r="CJ1972" s="204" t="n"/>
      <c r="CK1972" s="208" t="n"/>
      <c r="CL1972" s="208" t="n"/>
      <c r="CM1972" s="208" t="n"/>
      <c r="CN1972" s="78" t="n"/>
      <c r="CO1972" s="209" t="n"/>
      <c r="CP1972" s="204" t="n"/>
      <c r="CQ1972" s="204" t="n"/>
      <c r="CR1972" s="204" t="n"/>
      <c r="CS1972" s="204" t="n"/>
      <c r="CT1972" s="204" t="n"/>
      <c r="CU1972" s="204" t="n"/>
      <c r="CV1972" s="204" t="n"/>
      <c r="CW1972" s="204" t="n"/>
    </row>
    <row r="1973">
      <c r="BF1973" s="78" t="n"/>
      <c r="BG1973" s="78" t="n"/>
      <c r="BH1973" s="78" t="n"/>
      <c r="BI1973" s="78" t="n"/>
      <c r="BJ1973" s="139" t="n"/>
      <c r="BK1973" s="204" t="n"/>
      <c r="BL1973" s="141" t="n"/>
      <c r="BM1973" s="205" t="n"/>
      <c r="BN1973" s="205" t="n"/>
      <c r="BO1973" s="206" t="n"/>
      <c r="BP1973" s="144" t="n"/>
      <c r="BQ1973" s="141" t="n"/>
      <c r="BR1973" s="207" t="n"/>
      <c r="BS1973" s="207" t="n"/>
      <c r="BT1973" s="207" t="n"/>
      <c r="BU1973" s="207" t="n"/>
      <c r="BV1973" s="208" t="n"/>
      <c r="BW1973" s="207" t="n"/>
      <c r="BX1973" s="207" t="n"/>
      <c r="BY1973" s="204" t="n"/>
      <c r="BZ1973" s="148" t="n"/>
      <c r="CA1973" s="204" t="n"/>
      <c r="CB1973" s="208" t="n"/>
      <c r="CC1973" s="139" t="n"/>
      <c r="CD1973" s="204" t="n"/>
      <c r="CE1973" s="204" t="n"/>
      <c r="CF1973" s="207" t="n"/>
      <c r="CG1973" s="208" t="n"/>
      <c r="CH1973" s="207" t="n"/>
      <c r="CI1973" s="208" t="n"/>
      <c r="CJ1973" s="204" t="n"/>
      <c r="CK1973" s="208" t="n"/>
      <c r="CL1973" s="208" t="n"/>
      <c r="CM1973" s="208" t="n"/>
      <c r="CN1973" s="78" t="n"/>
      <c r="CO1973" s="209" t="n"/>
      <c r="CP1973" s="204" t="n"/>
      <c r="CQ1973" s="204" t="n"/>
      <c r="CR1973" s="204" t="n"/>
      <c r="CS1973" s="204" t="n"/>
      <c r="CT1973" s="204" t="n"/>
      <c r="CU1973" s="204" t="n"/>
      <c r="CV1973" s="204" t="n"/>
      <c r="CW1973" s="204" t="n"/>
    </row>
    <row r="1974">
      <c r="BF1974" s="78" t="n"/>
      <c r="BG1974" s="78" t="n"/>
      <c r="BH1974" s="78" t="n"/>
      <c r="BI1974" s="78" t="n"/>
      <c r="BJ1974" s="139" t="n"/>
      <c r="BK1974" s="204" t="n"/>
      <c r="BL1974" s="141" t="n"/>
      <c r="BM1974" s="205" t="n"/>
      <c r="BN1974" s="205" t="n"/>
      <c r="BO1974" s="206" t="n"/>
      <c r="BP1974" s="144" t="n"/>
      <c r="BQ1974" s="141" t="n"/>
      <c r="BR1974" s="207" t="n"/>
      <c r="BS1974" s="207" t="n"/>
      <c r="BT1974" s="207" t="n"/>
      <c r="BU1974" s="207" t="n"/>
      <c r="BV1974" s="208" t="n"/>
      <c r="BW1974" s="207" t="n"/>
      <c r="BX1974" s="207" t="n"/>
      <c r="BY1974" s="204" t="n"/>
      <c r="BZ1974" s="148" t="n"/>
      <c r="CA1974" s="204" t="n"/>
      <c r="CB1974" s="208" t="n"/>
      <c r="CC1974" s="139" t="n"/>
      <c r="CD1974" s="204" t="n"/>
      <c r="CE1974" s="204" t="n"/>
      <c r="CF1974" s="207" t="n"/>
      <c r="CG1974" s="208" t="n"/>
      <c r="CH1974" s="207" t="n"/>
      <c r="CI1974" s="208" t="n"/>
      <c r="CJ1974" s="204" t="n"/>
      <c r="CK1974" s="208" t="n"/>
      <c r="CL1974" s="208" t="n"/>
      <c r="CM1974" s="208" t="n"/>
      <c r="CN1974" s="78" t="n"/>
      <c r="CO1974" s="209" t="n"/>
      <c r="CP1974" s="204" t="n"/>
      <c r="CQ1974" s="204" t="n"/>
      <c r="CR1974" s="204" t="n"/>
      <c r="CS1974" s="204" t="n"/>
      <c r="CT1974" s="204" t="n"/>
      <c r="CU1974" s="204" t="n"/>
      <c r="CV1974" s="204" t="n"/>
      <c r="CW1974" s="204" t="n"/>
    </row>
    <row r="1975">
      <c r="BF1975" s="78" t="n"/>
      <c r="BG1975" s="78" t="n"/>
      <c r="BH1975" s="78" t="n"/>
      <c r="BI1975" s="78" t="n"/>
      <c r="BJ1975" s="139" t="n"/>
      <c r="BK1975" s="204" t="n"/>
      <c r="BL1975" s="141" t="n"/>
      <c r="BM1975" s="205" t="n"/>
      <c r="BN1975" s="205" t="n"/>
      <c r="BO1975" s="206" t="n"/>
      <c r="BP1975" s="144" t="n"/>
      <c r="BQ1975" s="141" t="n"/>
      <c r="BR1975" s="207" t="n"/>
      <c r="BS1975" s="207" t="n"/>
      <c r="BT1975" s="207" t="n"/>
      <c r="BU1975" s="207" t="n"/>
      <c r="BV1975" s="208" t="n"/>
      <c r="BW1975" s="207" t="n"/>
      <c r="BX1975" s="207" t="n"/>
      <c r="BY1975" s="204" t="n"/>
      <c r="BZ1975" s="148" t="n"/>
      <c r="CA1975" s="204" t="n"/>
      <c r="CB1975" s="208" t="n"/>
      <c r="CC1975" s="139" t="n"/>
      <c r="CD1975" s="204" t="n"/>
      <c r="CE1975" s="204" t="n"/>
      <c r="CF1975" s="207" t="n"/>
      <c r="CG1975" s="208" t="n"/>
      <c r="CH1975" s="207" t="n"/>
      <c r="CI1975" s="208" t="n"/>
      <c r="CJ1975" s="204" t="n"/>
      <c r="CK1975" s="208" t="n"/>
      <c r="CL1975" s="208" t="n"/>
      <c r="CM1975" s="208" t="n"/>
      <c r="CN1975" s="78" t="n"/>
      <c r="CO1975" s="209" t="n"/>
      <c r="CP1975" s="204" t="n"/>
      <c r="CQ1975" s="204" t="n"/>
      <c r="CR1975" s="204" t="n"/>
      <c r="CS1975" s="204" t="n"/>
      <c r="CT1975" s="204" t="n"/>
      <c r="CU1975" s="204" t="n"/>
      <c r="CV1975" s="204" t="n"/>
      <c r="CW1975" s="204" t="n"/>
    </row>
    <row r="1976">
      <c r="BF1976" s="78" t="n"/>
      <c r="BG1976" s="78" t="n"/>
      <c r="BH1976" s="78" t="n"/>
      <c r="BI1976" s="78" t="n"/>
      <c r="BJ1976" s="139" t="n"/>
      <c r="BK1976" s="204" t="n"/>
      <c r="BL1976" s="141" t="n"/>
      <c r="BM1976" s="205" t="n"/>
      <c r="BN1976" s="205" t="n"/>
      <c r="BO1976" s="206" t="n"/>
      <c r="BP1976" s="144" t="n"/>
      <c r="BQ1976" s="141" t="n"/>
      <c r="BR1976" s="207" t="n"/>
      <c r="BS1976" s="207" t="n"/>
      <c r="BT1976" s="207" t="n"/>
      <c r="BU1976" s="207" t="n"/>
      <c r="BV1976" s="208" t="n"/>
      <c r="BW1976" s="207" t="n"/>
      <c r="BX1976" s="207" t="n"/>
      <c r="BY1976" s="204" t="n"/>
      <c r="BZ1976" s="148" t="n"/>
      <c r="CA1976" s="204" t="n"/>
      <c r="CB1976" s="208" t="n"/>
      <c r="CC1976" s="139" t="n"/>
      <c r="CD1976" s="204" t="n"/>
      <c r="CE1976" s="204" t="n"/>
      <c r="CF1976" s="207" t="n"/>
      <c r="CG1976" s="208" t="n"/>
      <c r="CH1976" s="207" t="n"/>
      <c r="CI1976" s="208" t="n"/>
      <c r="CJ1976" s="204" t="n"/>
      <c r="CK1976" s="208" t="n"/>
      <c r="CL1976" s="208" t="n"/>
      <c r="CM1976" s="208" t="n"/>
      <c r="CN1976" s="78" t="n"/>
      <c r="CO1976" s="209" t="n"/>
      <c r="CP1976" s="204" t="n"/>
      <c r="CQ1976" s="204" t="n"/>
      <c r="CR1976" s="204" t="n"/>
      <c r="CS1976" s="204" t="n"/>
      <c r="CT1976" s="204" t="n"/>
      <c r="CU1976" s="204" t="n"/>
      <c r="CV1976" s="204" t="n"/>
      <c r="CW1976" s="204" t="n"/>
    </row>
    <row r="1977">
      <c r="BF1977" s="78" t="n"/>
      <c r="BG1977" s="78" t="n"/>
      <c r="BH1977" s="78" t="n"/>
      <c r="BI1977" s="78" t="n"/>
      <c r="BJ1977" s="139" t="n"/>
      <c r="BK1977" s="204" t="n"/>
      <c r="BL1977" s="141" t="n"/>
      <c r="BM1977" s="205" t="n"/>
      <c r="BN1977" s="205" t="n"/>
      <c r="BO1977" s="206" t="n"/>
      <c r="BP1977" s="144" t="n"/>
      <c r="BQ1977" s="141" t="n"/>
      <c r="BR1977" s="207" t="n"/>
      <c r="BS1977" s="207" t="n"/>
      <c r="BT1977" s="207" t="n"/>
      <c r="BU1977" s="207" t="n"/>
      <c r="BV1977" s="208" t="n"/>
      <c r="BW1977" s="207" t="n"/>
      <c r="BX1977" s="207" t="n"/>
      <c r="BY1977" s="204" t="n"/>
      <c r="BZ1977" s="148" t="n"/>
      <c r="CA1977" s="204" t="n"/>
      <c r="CB1977" s="208" t="n"/>
      <c r="CC1977" s="139" t="n"/>
      <c r="CD1977" s="204" t="n"/>
      <c r="CE1977" s="204" t="n"/>
      <c r="CF1977" s="207" t="n"/>
      <c r="CG1977" s="208" t="n"/>
      <c r="CH1977" s="207" t="n"/>
      <c r="CI1977" s="208" t="n"/>
      <c r="CJ1977" s="204" t="n"/>
      <c r="CK1977" s="208" t="n"/>
      <c r="CL1977" s="208" t="n"/>
      <c r="CM1977" s="208" t="n"/>
      <c r="CN1977" s="78" t="n"/>
      <c r="CO1977" s="209" t="n"/>
      <c r="CP1977" s="204" t="n"/>
      <c r="CQ1977" s="204" t="n"/>
      <c r="CR1977" s="204" t="n"/>
      <c r="CS1977" s="204" t="n"/>
      <c r="CT1977" s="204" t="n"/>
      <c r="CU1977" s="204" t="n"/>
      <c r="CV1977" s="204" t="n"/>
      <c r="CW1977" s="204" t="n"/>
    </row>
    <row r="1978">
      <c r="BF1978" s="78" t="n"/>
      <c r="BG1978" s="78" t="n"/>
      <c r="BH1978" s="78" t="n"/>
      <c r="BI1978" s="78" t="n"/>
      <c r="BJ1978" s="139" t="n"/>
      <c r="BK1978" s="204" t="n"/>
      <c r="BL1978" s="141" t="n"/>
      <c r="BM1978" s="205" t="n"/>
      <c r="BN1978" s="205" t="n"/>
      <c r="BO1978" s="206" t="n"/>
      <c r="BP1978" s="144" t="n"/>
      <c r="BQ1978" s="141" t="n"/>
      <c r="BR1978" s="207" t="n"/>
      <c r="BS1978" s="207" t="n"/>
      <c r="BT1978" s="207" t="n"/>
      <c r="BU1978" s="207" t="n"/>
      <c r="BV1978" s="208" t="n"/>
      <c r="BW1978" s="207" t="n"/>
      <c r="BX1978" s="207" t="n"/>
      <c r="BY1978" s="204" t="n"/>
      <c r="BZ1978" s="148" t="n"/>
      <c r="CA1978" s="204" t="n"/>
      <c r="CB1978" s="208" t="n"/>
      <c r="CC1978" s="139" t="n"/>
      <c r="CD1978" s="204" t="n"/>
      <c r="CE1978" s="204" t="n"/>
      <c r="CF1978" s="207" t="n"/>
      <c r="CG1978" s="208" t="n"/>
      <c r="CH1978" s="207" t="n"/>
      <c r="CI1978" s="208" t="n"/>
      <c r="CJ1978" s="204" t="n"/>
      <c r="CK1978" s="208" t="n"/>
      <c r="CL1978" s="208" t="n"/>
      <c r="CM1978" s="208" t="n"/>
      <c r="CN1978" s="78" t="n"/>
      <c r="CO1978" s="209" t="n"/>
      <c r="CP1978" s="204" t="n"/>
      <c r="CQ1978" s="204" t="n"/>
      <c r="CR1978" s="204" t="n"/>
      <c r="CS1978" s="204" t="n"/>
      <c r="CT1978" s="204" t="n"/>
      <c r="CU1978" s="204" t="n"/>
      <c r="CV1978" s="204" t="n"/>
      <c r="CW1978" s="204" t="n"/>
    </row>
    <row r="1979">
      <c r="BF1979" s="78" t="n"/>
      <c r="BG1979" s="78" t="n"/>
      <c r="BH1979" s="78" t="n"/>
      <c r="BI1979" s="78" t="n"/>
      <c r="BJ1979" s="139" t="n"/>
      <c r="BK1979" s="204" t="n"/>
      <c r="BL1979" s="141" t="n"/>
      <c r="BM1979" s="205" t="n"/>
      <c r="BN1979" s="205" t="n"/>
      <c r="BO1979" s="206" t="n"/>
      <c r="BP1979" s="144" t="n"/>
      <c r="BQ1979" s="141" t="n"/>
      <c r="BR1979" s="207" t="n"/>
      <c r="BS1979" s="207" t="n"/>
      <c r="BT1979" s="207" t="n"/>
      <c r="BU1979" s="207" t="n"/>
      <c r="BV1979" s="208" t="n"/>
      <c r="BW1979" s="207" t="n"/>
      <c r="BX1979" s="207" t="n"/>
      <c r="BY1979" s="204" t="n"/>
      <c r="BZ1979" s="148" t="n"/>
      <c r="CA1979" s="204" t="n"/>
      <c r="CB1979" s="208" t="n"/>
      <c r="CC1979" s="139" t="n"/>
      <c r="CD1979" s="204" t="n"/>
      <c r="CE1979" s="204" t="n"/>
      <c r="CF1979" s="207" t="n"/>
      <c r="CG1979" s="208" t="n"/>
      <c r="CH1979" s="207" t="n"/>
      <c r="CI1979" s="208" t="n"/>
      <c r="CJ1979" s="204" t="n"/>
      <c r="CK1979" s="208" t="n"/>
      <c r="CL1979" s="208" t="n"/>
      <c r="CM1979" s="208" t="n"/>
      <c r="CN1979" s="78" t="n"/>
      <c r="CO1979" s="209" t="n"/>
      <c r="CP1979" s="204" t="n"/>
      <c r="CQ1979" s="204" t="n"/>
      <c r="CR1979" s="204" t="n"/>
      <c r="CS1979" s="204" t="n"/>
      <c r="CT1979" s="204" t="n"/>
      <c r="CU1979" s="204" t="n"/>
      <c r="CV1979" s="204" t="n"/>
      <c r="CW1979" s="204" t="n"/>
    </row>
    <row r="1980">
      <c r="BF1980" s="78" t="n"/>
      <c r="BG1980" s="78" t="n"/>
      <c r="BH1980" s="78" t="n"/>
      <c r="BI1980" s="78" t="n"/>
      <c r="BJ1980" s="139" t="n"/>
      <c r="BK1980" s="204" t="n"/>
      <c r="BL1980" s="141" t="n"/>
      <c r="BM1980" s="205" t="n"/>
      <c r="BN1980" s="205" t="n"/>
      <c r="BO1980" s="206" t="n"/>
      <c r="BP1980" s="144" t="n"/>
      <c r="BQ1980" s="141" t="n"/>
      <c r="BR1980" s="207" t="n"/>
      <c r="BS1980" s="207" t="n"/>
      <c r="BT1980" s="207" t="n"/>
      <c r="BU1980" s="207" t="n"/>
      <c r="BV1980" s="208" t="n"/>
      <c r="BW1980" s="207" t="n"/>
      <c r="BX1980" s="207" t="n"/>
      <c r="BY1980" s="204" t="n"/>
      <c r="BZ1980" s="148" t="n"/>
      <c r="CA1980" s="204" t="n"/>
      <c r="CB1980" s="208" t="n"/>
      <c r="CC1980" s="139" t="n"/>
      <c r="CD1980" s="204" t="n"/>
      <c r="CE1980" s="204" t="n"/>
      <c r="CF1980" s="207" t="n"/>
      <c r="CG1980" s="208" t="n"/>
      <c r="CH1980" s="207" t="n"/>
      <c r="CI1980" s="208" t="n"/>
      <c r="CJ1980" s="204" t="n"/>
      <c r="CK1980" s="208" t="n"/>
      <c r="CL1980" s="208" t="n"/>
      <c r="CM1980" s="208" t="n"/>
      <c r="CN1980" s="78" t="n"/>
      <c r="CO1980" s="209" t="n"/>
      <c r="CP1980" s="204" t="n"/>
      <c r="CQ1980" s="204" t="n"/>
      <c r="CR1980" s="204" t="n"/>
      <c r="CS1980" s="204" t="n"/>
      <c r="CT1980" s="204" t="n"/>
      <c r="CU1980" s="204" t="n"/>
      <c r="CV1980" s="204" t="n"/>
      <c r="CW1980" s="204" t="n"/>
    </row>
    <row r="1981">
      <c r="BF1981" s="78" t="n"/>
      <c r="BG1981" s="78" t="n"/>
      <c r="BH1981" s="78" t="n"/>
      <c r="BI1981" s="78" t="n"/>
      <c r="BJ1981" s="139" t="n"/>
      <c r="BK1981" s="204" t="n"/>
      <c r="BL1981" s="141" t="n"/>
      <c r="BM1981" s="205" t="n"/>
      <c r="BN1981" s="205" t="n"/>
      <c r="BO1981" s="206" t="n"/>
      <c r="BP1981" s="144" t="n"/>
      <c r="BQ1981" s="141" t="n"/>
      <c r="BR1981" s="207" t="n"/>
      <c r="BS1981" s="207" t="n"/>
      <c r="BT1981" s="207" t="n"/>
      <c r="BU1981" s="207" t="n"/>
      <c r="BV1981" s="208" t="n"/>
      <c r="BW1981" s="207" t="n"/>
      <c r="BX1981" s="207" t="n"/>
      <c r="BY1981" s="204" t="n"/>
      <c r="BZ1981" s="148" t="n"/>
      <c r="CA1981" s="204" t="n"/>
      <c r="CB1981" s="208" t="n"/>
      <c r="CC1981" s="139" t="n"/>
      <c r="CD1981" s="204" t="n"/>
      <c r="CE1981" s="204" t="n"/>
      <c r="CF1981" s="207" t="n"/>
      <c r="CG1981" s="208" t="n"/>
      <c r="CH1981" s="207" t="n"/>
      <c r="CI1981" s="208" t="n"/>
      <c r="CJ1981" s="204" t="n"/>
      <c r="CK1981" s="208" t="n"/>
      <c r="CL1981" s="208" t="n"/>
      <c r="CM1981" s="208" t="n"/>
      <c r="CN1981" s="78" t="n"/>
      <c r="CO1981" s="209" t="n"/>
      <c r="CP1981" s="204" t="n"/>
      <c r="CQ1981" s="204" t="n"/>
      <c r="CR1981" s="204" t="n"/>
      <c r="CS1981" s="204" t="n"/>
      <c r="CT1981" s="204" t="n"/>
      <c r="CU1981" s="204" t="n"/>
      <c r="CV1981" s="204" t="n"/>
      <c r="CW1981" s="204" t="n"/>
    </row>
    <row r="1982">
      <c r="BF1982" s="78" t="n"/>
      <c r="BG1982" s="78" t="n"/>
      <c r="BH1982" s="78" t="n"/>
      <c r="BI1982" s="78" t="n"/>
      <c r="BJ1982" s="139" t="n"/>
      <c r="BK1982" s="204" t="n"/>
      <c r="BL1982" s="141" t="n"/>
      <c r="BM1982" s="205" t="n"/>
      <c r="BN1982" s="205" t="n"/>
      <c r="BO1982" s="206" t="n"/>
      <c r="BP1982" s="144" t="n"/>
      <c r="BQ1982" s="141" t="n"/>
      <c r="BR1982" s="207" t="n"/>
      <c r="BS1982" s="207" t="n"/>
      <c r="BT1982" s="207" t="n"/>
      <c r="BU1982" s="207" t="n"/>
      <c r="BV1982" s="208" t="n"/>
      <c r="BW1982" s="207" t="n"/>
      <c r="BX1982" s="207" t="n"/>
      <c r="BY1982" s="204" t="n"/>
      <c r="BZ1982" s="148" t="n"/>
      <c r="CA1982" s="204" t="n"/>
      <c r="CB1982" s="208" t="n"/>
      <c r="CC1982" s="139" t="n"/>
      <c r="CD1982" s="204" t="n"/>
      <c r="CE1982" s="204" t="n"/>
      <c r="CF1982" s="207" t="n"/>
      <c r="CG1982" s="208" t="n"/>
      <c r="CH1982" s="207" t="n"/>
      <c r="CI1982" s="208" t="n"/>
      <c r="CJ1982" s="204" t="n"/>
      <c r="CK1982" s="208" t="n"/>
      <c r="CL1982" s="208" t="n"/>
      <c r="CM1982" s="208" t="n"/>
      <c r="CN1982" s="78" t="n"/>
      <c r="CO1982" s="209" t="n"/>
      <c r="CP1982" s="204" t="n"/>
      <c r="CQ1982" s="204" t="n"/>
      <c r="CR1982" s="204" t="n"/>
      <c r="CS1982" s="204" t="n"/>
      <c r="CT1982" s="204" t="n"/>
      <c r="CU1982" s="204" t="n"/>
      <c r="CV1982" s="204" t="n"/>
      <c r="CW1982" s="204" t="n"/>
    </row>
    <row r="1983">
      <c r="BF1983" s="78" t="n"/>
      <c r="BG1983" s="78" t="n"/>
      <c r="BH1983" s="78" t="n"/>
      <c r="BI1983" s="78" t="n"/>
      <c r="BJ1983" s="139" t="n"/>
      <c r="BK1983" s="204" t="n"/>
      <c r="BL1983" s="141" t="n"/>
      <c r="BM1983" s="205" t="n"/>
      <c r="BN1983" s="205" t="n"/>
      <c r="BO1983" s="206" t="n"/>
      <c r="BP1983" s="144" t="n"/>
      <c r="BQ1983" s="141" t="n"/>
      <c r="BR1983" s="207" t="n"/>
      <c r="BS1983" s="207" t="n"/>
      <c r="BT1983" s="207" t="n"/>
      <c r="BU1983" s="207" t="n"/>
      <c r="BV1983" s="208" t="n"/>
      <c r="BW1983" s="207" t="n"/>
      <c r="BX1983" s="207" t="n"/>
      <c r="BY1983" s="204" t="n"/>
      <c r="BZ1983" s="148" t="n"/>
      <c r="CA1983" s="204" t="n"/>
      <c r="CB1983" s="208" t="n"/>
      <c r="CC1983" s="139" t="n"/>
      <c r="CD1983" s="204" t="n"/>
      <c r="CE1983" s="204" t="n"/>
      <c r="CF1983" s="207" t="n"/>
      <c r="CG1983" s="208" t="n"/>
      <c r="CH1983" s="207" t="n"/>
      <c r="CI1983" s="208" t="n"/>
      <c r="CJ1983" s="204" t="n"/>
      <c r="CK1983" s="208" t="n"/>
      <c r="CL1983" s="208" t="n"/>
      <c r="CM1983" s="208" t="n"/>
      <c r="CN1983" s="78" t="n"/>
      <c r="CO1983" s="209" t="n"/>
      <c r="CP1983" s="204" t="n"/>
      <c r="CQ1983" s="204" t="n"/>
      <c r="CR1983" s="204" t="n"/>
      <c r="CS1983" s="204" t="n"/>
      <c r="CT1983" s="204" t="n"/>
      <c r="CU1983" s="204" t="n"/>
      <c r="CV1983" s="204" t="n"/>
      <c r="CW1983" s="204" t="n"/>
    </row>
    <row r="1984">
      <c r="BF1984" s="78" t="n"/>
      <c r="BG1984" s="78" t="n"/>
      <c r="BH1984" s="78" t="n"/>
      <c r="BI1984" s="78" t="n"/>
      <c r="BJ1984" s="139" t="n"/>
      <c r="BK1984" s="204" t="n"/>
      <c r="BL1984" s="141" t="n"/>
      <c r="BM1984" s="205" t="n"/>
      <c r="BN1984" s="205" t="n"/>
      <c r="BO1984" s="206" t="n"/>
      <c r="BP1984" s="144" t="n"/>
      <c r="BQ1984" s="141" t="n"/>
      <c r="BR1984" s="207" t="n"/>
      <c r="BS1984" s="207" t="n"/>
      <c r="BT1984" s="207" t="n"/>
      <c r="BU1984" s="207" t="n"/>
      <c r="BV1984" s="208" t="n"/>
      <c r="BW1984" s="207" t="n"/>
      <c r="BX1984" s="207" t="n"/>
      <c r="BY1984" s="204" t="n"/>
      <c r="BZ1984" s="148" t="n"/>
      <c r="CA1984" s="204" t="n"/>
      <c r="CB1984" s="208" t="n"/>
      <c r="CC1984" s="139" t="n"/>
      <c r="CD1984" s="204" t="n"/>
      <c r="CE1984" s="204" t="n"/>
      <c r="CF1984" s="207" t="n"/>
      <c r="CG1984" s="208" t="n"/>
      <c r="CH1984" s="207" t="n"/>
      <c r="CI1984" s="208" t="n"/>
      <c r="CJ1984" s="204" t="n"/>
      <c r="CK1984" s="208" t="n"/>
      <c r="CL1984" s="208" t="n"/>
      <c r="CM1984" s="208" t="n"/>
      <c r="CN1984" s="78" t="n"/>
      <c r="CO1984" s="209" t="n"/>
      <c r="CP1984" s="204" t="n"/>
      <c r="CQ1984" s="204" t="n"/>
      <c r="CR1984" s="204" t="n"/>
      <c r="CS1984" s="204" t="n"/>
      <c r="CT1984" s="204" t="n"/>
      <c r="CU1984" s="204" t="n"/>
      <c r="CV1984" s="204" t="n"/>
      <c r="CW1984" s="204" t="n"/>
    </row>
    <row r="1985">
      <c r="BF1985" s="78" t="n"/>
      <c r="BG1985" s="78" t="n"/>
      <c r="BH1985" s="78" t="n"/>
      <c r="BI1985" s="78" t="n"/>
      <c r="BJ1985" s="139" t="n"/>
      <c r="BK1985" s="204" t="n"/>
      <c r="BL1985" s="141" t="n"/>
      <c r="BM1985" s="205" t="n"/>
      <c r="BN1985" s="205" t="n"/>
      <c r="BO1985" s="206" t="n"/>
      <c r="BP1985" s="144" t="n"/>
      <c r="BQ1985" s="141" t="n"/>
      <c r="BR1985" s="207" t="n"/>
      <c r="BS1985" s="207" t="n"/>
      <c r="BT1985" s="207" t="n"/>
      <c r="BU1985" s="207" t="n"/>
      <c r="BV1985" s="208" t="n"/>
      <c r="BW1985" s="207" t="n"/>
      <c r="BX1985" s="207" t="n"/>
      <c r="BY1985" s="204" t="n"/>
      <c r="BZ1985" s="148" t="n"/>
      <c r="CA1985" s="204" t="n"/>
      <c r="CB1985" s="208" t="n"/>
      <c r="CC1985" s="139" t="n"/>
      <c r="CD1985" s="204" t="n"/>
      <c r="CE1985" s="204" t="n"/>
      <c r="CF1985" s="207" t="n"/>
      <c r="CG1985" s="208" t="n"/>
      <c r="CH1985" s="207" t="n"/>
      <c r="CI1985" s="208" t="n"/>
      <c r="CJ1985" s="204" t="n"/>
      <c r="CK1985" s="208" t="n"/>
      <c r="CL1985" s="208" t="n"/>
      <c r="CM1985" s="208" t="n"/>
      <c r="CN1985" s="78" t="n"/>
      <c r="CO1985" s="209" t="n"/>
      <c r="CP1985" s="204" t="n"/>
      <c r="CQ1985" s="204" t="n"/>
      <c r="CR1985" s="204" t="n"/>
      <c r="CS1985" s="204" t="n"/>
      <c r="CT1985" s="204" t="n"/>
      <c r="CU1985" s="204" t="n"/>
      <c r="CV1985" s="204" t="n"/>
      <c r="CW1985" s="204" t="n"/>
    </row>
    <row r="1986">
      <c r="BF1986" s="78" t="n"/>
      <c r="BG1986" s="78" t="n"/>
      <c r="BH1986" s="78" t="n"/>
      <c r="BI1986" s="78" t="n"/>
      <c r="BJ1986" s="139" t="n"/>
      <c r="BK1986" s="204" t="n"/>
      <c r="BL1986" s="141" t="n"/>
      <c r="BM1986" s="205" t="n"/>
      <c r="BN1986" s="205" t="n"/>
      <c r="BO1986" s="206" t="n"/>
      <c r="BP1986" s="144" t="n"/>
      <c r="BQ1986" s="141" t="n"/>
      <c r="BR1986" s="207" t="n"/>
      <c r="BS1986" s="207" t="n"/>
      <c r="BT1986" s="207" t="n"/>
      <c r="BU1986" s="207" t="n"/>
      <c r="BV1986" s="208" t="n"/>
      <c r="BW1986" s="207" t="n"/>
      <c r="BX1986" s="207" t="n"/>
      <c r="BY1986" s="204" t="n"/>
      <c r="BZ1986" s="148" t="n"/>
      <c r="CA1986" s="204" t="n"/>
      <c r="CB1986" s="208" t="n"/>
      <c r="CC1986" s="139" t="n"/>
      <c r="CD1986" s="204" t="n"/>
      <c r="CE1986" s="204" t="n"/>
      <c r="CF1986" s="207" t="n"/>
      <c r="CG1986" s="208" t="n"/>
      <c r="CH1986" s="207" t="n"/>
      <c r="CI1986" s="208" t="n"/>
      <c r="CJ1986" s="204" t="n"/>
      <c r="CK1986" s="208" t="n"/>
      <c r="CL1986" s="208" t="n"/>
      <c r="CM1986" s="208" t="n"/>
      <c r="CN1986" s="78" t="n"/>
      <c r="CO1986" s="209" t="n"/>
      <c r="CP1986" s="204" t="n"/>
      <c r="CQ1986" s="204" t="n"/>
      <c r="CR1986" s="204" t="n"/>
      <c r="CS1986" s="204" t="n"/>
      <c r="CT1986" s="204" t="n"/>
      <c r="CU1986" s="204" t="n"/>
      <c r="CV1986" s="204" t="n"/>
      <c r="CW1986" s="204" t="n"/>
    </row>
    <row r="1987">
      <c r="BF1987" s="78" t="n"/>
      <c r="BG1987" s="78" t="n"/>
      <c r="BH1987" s="78" t="n"/>
      <c r="BI1987" s="78" t="n"/>
      <c r="BJ1987" s="139" t="n"/>
      <c r="BK1987" s="204" t="n"/>
      <c r="BL1987" s="141" t="n"/>
      <c r="BM1987" s="205" t="n"/>
      <c r="BN1987" s="205" t="n"/>
      <c r="BO1987" s="206" t="n"/>
      <c r="BP1987" s="144" t="n"/>
      <c r="BQ1987" s="141" t="n"/>
      <c r="BR1987" s="207" t="n"/>
      <c r="BS1987" s="207" t="n"/>
      <c r="BT1987" s="207" t="n"/>
      <c r="BU1987" s="207" t="n"/>
      <c r="BV1987" s="208" t="n"/>
      <c r="BW1987" s="207" t="n"/>
      <c r="BX1987" s="207" t="n"/>
      <c r="BY1987" s="204" t="n"/>
      <c r="BZ1987" s="148" t="n"/>
      <c r="CA1987" s="204" t="n"/>
      <c r="CB1987" s="208" t="n"/>
      <c r="CC1987" s="139" t="n"/>
      <c r="CD1987" s="204" t="n"/>
      <c r="CE1987" s="204" t="n"/>
      <c r="CF1987" s="207" t="n"/>
      <c r="CG1987" s="208" t="n"/>
      <c r="CH1987" s="207" t="n"/>
      <c r="CI1987" s="208" t="n"/>
      <c r="CJ1987" s="204" t="n"/>
      <c r="CK1987" s="208" t="n"/>
      <c r="CL1987" s="208" t="n"/>
      <c r="CM1987" s="208" t="n"/>
      <c r="CN1987" s="78" t="n"/>
      <c r="CO1987" s="209" t="n"/>
      <c r="CP1987" s="204" t="n"/>
      <c r="CQ1987" s="204" t="n"/>
      <c r="CR1987" s="204" t="n"/>
      <c r="CS1987" s="204" t="n"/>
      <c r="CT1987" s="204" t="n"/>
      <c r="CU1987" s="204" t="n"/>
      <c r="CV1987" s="204" t="n"/>
      <c r="CW1987" s="204" t="n"/>
    </row>
    <row r="1988">
      <c r="BF1988" s="78" t="n"/>
      <c r="BG1988" s="78" t="n"/>
      <c r="BH1988" s="78" t="n"/>
      <c r="BI1988" s="78" t="n"/>
      <c r="BJ1988" s="139" t="n"/>
      <c r="BK1988" s="204" t="n"/>
      <c r="BL1988" s="141" t="n"/>
      <c r="BM1988" s="205" t="n"/>
      <c r="BN1988" s="205" t="n"/>
      <c r="BO1988" s="206" t="n"/>
      <c r="BP1988" s="144" t="n"/>
      <c r="BQ1988" s="141" t="n"/>
      <c r="BR1988" s="207" t="n"/>
      <c r="BS1988" s="207" t="n"/>
      <c r="BT1988" s="207" t="n"/>
      <c r="BU1988" s="207" t="n"/>
      <c r="BV1988" s="208" t="n"/>
      <c r="BW1988" s="207" t="n"/>
      <c r="BX1988" s="207" t="n"/>
      <c r="BY1988" s="204" t="n"/>
      <c r="BZ1988" s="148" t="n"/>
      <c r="CA1988" s="204" t="n"/>
      <c r="CB1988" s="208" t="n"/>
      <c r="CC1988" s="139" t="n"/>
      <c r="CD1988" s="204" t="n"/>
      <c r="CE1988" s="204" t="n"/>
      <c r="CF1988" s="207" t="n"/>
      <c r="CG1988" s="208" t="n"/>
      <c r="CH1988" s="207" t="n"/>
      <c r="CI1988" s="208" t="n"/>
      <c r="CJ1988" s="204" t="n"/>
      <c r="CK1988" s="208" t="n"/>
      <c r="CL1988" s="208" t="n"/>
      <c r="CM1988" s="208" t="n"/>
      <c r="CN1988" s="78" t="n"/>
      <c r="CO1988" s="209" t="n"/>
      <c r="CP1988" s="204" t="n"/>
      <c r="CQ1988" s="204" t="n"/>
      <c r="CR1988" s="204" t="n"/>
      <c r="CS1988" s="204" t="n"/>
      <c r="CT1988" s="204" t="n"/>
      <c r="CU1988" s="204" t="n"/>
      <c r="CV1988" s="204" t="n"/>
      <c r="CW1988" s="204" t="n"/>
    </row>
    <row r="1989">
      <c r="BF1989" s="78" t="n"/>
      <c r="BG1989" s="78" t="n"/>
      <c r="BH1989" s="78" t="n"/>
      <c r="BI1989" s="78" t="n"/>
      <c r="BJ1989" s="139" t="n"/>
      <c r="BK1989" s="204" t="n"/>
      <c r="BL1989" s="141" t="n"/>
      <c r="BM1989" s="205" t="n"/>
      <c r="BN1989" s="205" t="n"/>
      <c r="BO1989" s="206" t="n"/>
      <c r="BP1989" s="144" t="n"/>
      <c r="BQ1989" s="141" t="n"/>
      <c r="BR1989" s="207" t="n"/>
      <c r="BS1989" s="207" t="n"/>
      <c r="BT1989" s="207" t="n"/>
      <c r="BU1989" s="207" t="n"/>
      <c r="BV1989" s="208" t="n"/>
      <c r="BW1989" s="207" t="n"/>
      <c r="BX1989" s="207" t="n"/>
      <c r="BY1989" s="204" t="n"/>
      <c r="BZ1989" s="148" t="n"/>
      <c r="CA1989" s="204" t="n"/>
      <c r="CB1989" s="208" t="n"/>
      <c r="CC1989" s="139" t="n"/>
      <c r="CD1989" s="204" t="n"/>
      <c r="CE1989" s="204" t="n"/>
      <c r="CF1989" s="207" t="n"/>
      <c r="CG1989" s="208" t="n"/>
      <c r="CH1989" s="207" t="n"/>
      <c r="CI1989" s="208" t="n"/>
      <c r="CJ1989" s="204" t="n"/>
      <c r="CK1989" s="208" t="n"/>
      <c r="CL1989" s="208" t="n"/>
      <c r="CM1989" s="208" t="n"/>
      <c r="CN1989" s="78" t="n"/>
      <c r="CO1989" s="209" t="n"/>
      <c r="CP1989" s="204" t="n"/>
      <c r="CQ1989" s="204" t="n"/>
      <c r="CR1989" s="204" t="n"/>
      <c r="CS1989" s="204" t="n"/>
      <c r="CT1989" s="204" t="n"/>
      <c r="CU1989" s="204" t="n"/>
      <c r="CV1989" s="204" t="n"/>
      <c r="CW1989" s="204" t="n"/>
    </row>
    <row r="1990">
      <c r="BF1990" s="78" t="n"/>
      <c r="BG1990" s="78" t="n"/>
      <c r="BH1990" s="78" t="n"/>
      <c r="BI1990" s="78" t="n"/>
      <c r="BJ1990" s="139" t="n"/>
      <c r="BK1990" s="204" t="n"/>
      <c r="BL1990" s="141" t="n"/>
      <c r="BM1990" s="205" t="n"/>
      <c r="BN1990" s="205" t="n"/>
      <c r="BO1990" s="206" t="n"/>
      <c r="BP1990" s="144" t="n"/>
      <c r="BQ1990" s="141" t="n"/>
      <c r="BR1990" s="207" t="n"/>
      <c r="BS1990" s="207" t="n"/>
      <c r="BT1990" s="207" t="n"/>
      <c r="BU1990" s="207" t="n"/>
      <c r="BV1990" s="208" t="n"/>
      <c r="BW1990" s="207" t="n"/>
      <c r="BX1990" s="207" t="n"/>
      <c r="BY1990" s="204" t="n"/>
      <c r="BZ1990" s="148" t="n"/>
      <c r="CA1990" s="204" t="n"/>
      <c r="CB1990" s="208" t="n"/>
      <c r="CC1990" s="139" t="n"/>
      <c r="CD1990" s="204" t="n"/>
      <c r="CE1990" s="204" t="n"/>
      <c r="CF1990" s="207" t="n"/>
      <c r="CG1990" s="208" t="n"/>
      <c r="CH1990" s="207" t="n"/>
      <c r="CI1990" s="208" t="n"/>
      <c r="CJ1990" s="204" t="n"/>
      <c r="CK1990" s="208" t="n"/>
      <c r="CL1990" s="208" t="n"/>
      <c r="CM1990" s="208" t="n"/>
      <c r="CN1990" s="78" t="n"/>
      <c r="CO1990" s="209" t="n"/>
      <c r="CP1990" s="204" t="n"/>
      <c r="CQ1990" s="204" t="n"/>
      <c r="CR1990" s="204" t="n"/>
      <c r="CS1990" s="204" t="n"/>
      <c r="CT1990" s="204" t="n"/>
      <c r="CU1990" s="204" t="n"/>
      <c r="CV1990" s="204" t="n"/>
      <c r="CW1990" s="204" t="n"/>
    </row>
    <row r="1991">
      <c r="BF1991" s="78" t="n"/>
      <c r="BG1991" s="78" t="n"/>
      <c r="BH1991" s="78" t="n"/>
      <c r="BI1991" s="78" t="n"/>
      <c r="BJ1991" s="139" t="n"/>
      <c r="BK1991" s="204" t="n"/>
      <c r="BL1991" s="141" t="n"/>
      <c r="BM1991" s="205" t="n"/>
      <c r="BN1991" s="205" t="n"/>
      <c r="BO1991" s="206" t="n"/>
      <c r="BP1991" s="144" t="n"/>
      <c r="BQ1991" s="141" t="n"/>
      <c r="BR1991" s="207" t="n"/>
      <c r="BS1991" s="207" t="n"/>
      <c r="BT1991" s="207" t="n"/>
      <c r="BU1991" s="207" t="n"/>
      <c r="BV1991" s="208" t="n"/>
      <c r="BW1991" s="207" t="n"/>
      <c r="BX1991" s="207" t="n"/>
      <c r="BY1991" s="204" t="n"/>
      <c r="BZ1991" s="148" t="n"/>
      <c r="CA1991" s="204" t="n"/>
      <c r="CB1991" s="208" t="n"/>
      <c r="CC1991" s="139" t="n"/>
      <c r="CD1991" s="204" t="n"/>
      <c r="CE1991" s="204" t="n"/>
      <c r="CF1991" s="207" t="n"/>
      <c r="CG1991" s="208" t="n"/>
      <c r="CH1991" s="207" t="n"/>
      <c r="CI1991" s="208" t="n"/>
      <c r="CJ1991" s="204" t="n"/>
      <c r="CK1991" s="208" t="n"/>
      <c r="CL1991" s="208" t="n"/>
      <c r="CM1991" s="208" t="n"/>
      <c r="CN1991" s="78" t="n"/>
      <c r="CO1991" s="209" t="n"/>
      <c r="CP1991" s="204" t="n"/>
      <c r="CQ1991" s="204" t="n"/>
      <c r="CR1991" s="204" t="n"/>
      <c r="CS1991" s="204" t="n"/>
      <c r="CT1991" s="204" t="n"/>
      <c r="CU1991" s="204" t="n"/>
      <c r="CV1991" s="204" t="n"/>
      <c r="CW1991" s="204" t="n"/>
    </row>
    <row r="1992">
      <c r="BF1992" s="78" t="n"/>
      <c r="BG1992" s="78" t="n"/>
      <c r="BH1992" s="78" t="n"/>
      <c r="BI1992" s="78" t="n"/>
      <c r="BJ1992" s="139" t="n"/>
      <c r="BK1992" s="204" t="n"/>
      <c r="BL1992" s="141" t="n"/>
      <c r="BM1992" s="205" t="n"/>
      <c r="BN1992" s="205" t="n"/>
      <c r="BO1992" s="206" t="n"/>
      <c r="BP1992" s="144" t="n"/>
      <c r="BQ1992" s="141" t="n"/>
      <c r="BR1992" s="207" t="n"/>
      <c r="BS1992" s="207" t="n"/>
      <c r="BT1992" s="207" t="n"/>
      <c r="BU1992" s="207" t="n"/>
      <c r="BV1992" s="208" t="n"/>
      <c r="BW1992" s="207" t="n"/>
      <c r="BX1992" s="207" t="n"/>
      <c r="BY1992" s="204" t="n"/>
      <c r="BZ1992" s="148" t="n"/>
      <c r="CA1992" s="204" t="n"/>
      <c r="CB1992" s="208" t="n"/>
      <c r="CC1992" s="139" t="n"/>
      <c r="CD1992" s="204" t="n"/>
      <c r="CE1992" s="204" t="n"/>
      <c r="CF1992" s="207" t="n"/>
      <c r="CG1992" s="208" t="n"/>
      <c r="CH1992" s="207" t="n"/>
      <c r="CI1992" s="208" t="n"/>
      <c r="CJ1992" s="204" t="n"/>
      <c r="CK1992" s="208" t="n"/>
      <c r="CL1992" s="208" t="n"/>
      <c r="CM1992" s="208" t="n"/>
      <c r="CN1992" s="78" t="n"/>
      <c r="CO1992" s="209" t="n"/>
      <c r="CP1992" s="204" t="n"/>
      <c r="CQ1992" s="204" t="n"/>
      <c r="CR1992" s="204" t="n"/>
      <c r="CS1992" s="204" t="n"/>
      <c r="CT1992" s="204" t="n"/>
      <c r="CU1992" s="204" t="n"/>
      <c r="CV1992" s="204" t="n"/>
      <c r="CW1992" s="204" t="n"/>
    </row>
    <row r="1993">
      <c r="BF1993" s="78" t="n"/>
      <c r="BG1993" s="78" t="n"/>
      <c r="BH1993" s="78" t="n"/>
      <c r="BI1993" s="78" t="n"/>
      <c r="BJ1993" s="139" t="n"/>
      <c r="BK1993" s="204" t="n"/>
      <c r="BL1993" s="141" t="n"/>
      <c r="BM1993" s="205" t="n"/>
      <c r="BN1993" s="205" t="n"/>
      <c r="BO1993" s="206" t="n"/>
      <c r="BP1993" s="144" t="n"/>
      <c r="BQ1993" s="141" t="n"/>
      <c r="BR1993" s="207" t="n"/>
      <c r="BS1993" s="207" t="n"/>
      <c r="BT1993" s="207" t="n"/>
      <c r="BU1993" s="207" t="n"/>
      <c r="BV1993" s="208" t="n"/>
      <c r="BW1993" s="207" t="n"/>
      <c r="BX1993" s="207" t="n"/>
      <c r="BY1993" s="204" t="n"/>
      <c r="BZ1993" s="148" t="n"/>
      <c r="CA1993" s="204" t="n"/>
      <c r="CB1993" s="208" t="n"/>
      <c r="CC1993" s="139" t="n"/>
      <c r="CD1993" s="204" t="n"/>
      <c r="CE1993" s="204" t="n"/>
      <c r="CF1993" s="207" t="n"/>
      <c r="CG1993" s="208" t="n"/>
      <c r="CH1993" s="207" t="n"/>
      <c r="CI1993" s="208" t="n"/>
      <c r="CJ1993" s="204" t="n"/>
      <c r="CK1993" s="208" t="n"/>
      <c r="CL1993" s="208" t="n"/>
      <c r="CM1993" s="208" t="n"/>
      <c r="CN1993" s="78" t="n"/>
      <c r="CO1993" s="209" t="n"/>
      <c r="CP1993" s="204" t="n"/>
      <c r="CQ1993" s="204" t="n"/>
      <c r="CR1993" s="204" t="n"/>
      <c r="CS1993" s="204" t="n"/>
      <c r="CT1993" s="204" t="n"/>
      <c r="CU1993" s="204" t="n"/>
      <c r="CV1993" s="204" t="n"/>
      <c r="CW1993" s="204" t="n"/>
    </row>
    <row r="1994">
      <c r="BF1994" s="78" t="n"/>
      <c r="BG1994" s="78" t="n"/>
      <c r="BH1994" s="78" t="n"/>
      <c r="BI1994" s="78" t="n"/>
      <c r="BJ1994" s="139" t="n"/>
      <c r="BK1994" s="204" t="n"/>
      <c r="BL1994" s="141" t="n"/>
      <c r="BM1994" s="205" t="n"/>
      <c r="BN1994" s="205" t="n"/>
      <c r="BO1994" s="206" t="n"/>
      <c r="BP1994" s="144" t="n"/>
      <c r="BQ1994" s="141" t="n"/>
      <c r="BR1994" s="207" t="n"/>
      <c r="BS1994" s="207" t="n"/>
      <c r="BT1994" s="207" t="n"/>
      <c r="BU1994" s="207" t="n"/>
      <c r="BV1994" s="208" t="n"/>
      <c r="BW1994" s="207" t="n"/>
      <c r="BX1994" s="207" t="n"/>
      <c r="BY1994" s="204" t="n"/>
      <c r="BZ1994" s="148" t="n"/>
      <c r="CA1994" s="204" t="n"/>
      <c r="CB1994" s="208" t="n"/>
      <c r="CC1994" s="139" t="n"/>
      <c r="CD1994" s="204" t="n"/>
      <c r="CE1994" s="204" t="n"/>
      <c r="CF1994" s="207" t="n"/>
      <c r="CG1994" s="208" t="n"/>
      <c r="CH1994" s="207" t="n"/>
      <c r="CI1994" s="208" t="n"/>
      <c r="CJ1994" s="204" t="n"/>
      <c r="CK1994" s="208" t="n"/>
      <c r="CL1994" s="208" t="n"/>
      <c r="CM1994" s="208" t="n"/>
      <c r="CN1994" s="78" t="n"/>
      <c r="CO1994" s="209" t="n"/>
      <c r="CP1994" s="204" t="n"/>
      <c r="CQ1994" s="204" t="n"/>
      <c r="CR1994" s="204" t="n"/>
      <c r="CS1994" s="204" t="n"/>
      <c r="CT1994" s="204" t="n"/>
      <c r="CU1994" s="204" t="n"/>
      <c r="CV1994" s="204" t="n"/>
      <c r="CW1994" s="204" t="n"/>
    </row>
    <row r="1995">
      <c r="BF1995" s="78" t="n"/>
      <c r="BG1995" s="78" t="n"/>
      <c r="BH1995" s="78" t="n"/>
      <c r="BI1995" s="78" t="n"/>
      <c r="BJ1995" s="139" t="n"/>
      <c r="BK1995" s="204" t="n"/>
      <c r="BL1995" s="141" t="n"/>
      <c r="BM1995" s="205" t="n"/>
      <c r="BN1995" s="205" t="n"/>
      <c r="BO1995" s="206" t="n"/>
      <c r="BP1995" s="144" t="n"/>
      <c r="BQ1995" s="141" t="n"/>
      <c r="BR1995" s="207" t="n"/>
      <c r="BS1995" s="207" t="n"/>
      <c r="BT1995" s="207" t="n"/>
      <c r="BU1995" s="207" t="n"/>
      <c r="BV1995" s="208" t="n"/>
      <c r="BW1995" s="207" t="n"/>
      <c r="BX1995" s="207" t="n"/>
      <c r="BY1995" s="204" t="n"/>
      <c r="BZ1995" s="148" t="n"/>
      <c r="CA1995" s="204" t="n"/>
      <c r="CB1995" s="208" t="n"/>
      <c r="CC1995" s="139" t="n"/>
      <c r="CD1995" s="204" t="n"/>
      <c r="CE1995" s="204" t="n"/>
      <c r="CF1995" s="207" t="n"/>
      <c r="CG1995" s="208" t="n"/>
      <c r="CH1995" s="207" t="n"/>
      <c r="CI1995" s="208" t="n"/>
      <c r="CJ1995" s="204" t="n"/>
      <c r="CK1995" s="208" t="n"/>
      <c r="CL1995" s="208" t="n"/>
      <c r="CM1995" s="208" t="n"/>
      <c r="CN1995" s="78" t="n"/>
      <c r="CO1995" s="209" t="n"/>
      <c r="CP1995" s="204" t="n"/>
      <c r="CQ1995" s="204" t="n"/>
      <c r="CR1995" s="204" t="n"/>
      <c r="CS1995" s="204" t="n"/>
      <c r="CT1995" s="204" t="n"/>
      <c r="CU1995" s="204" t="n"/>
      <c r="CV1995" s="204" t="n"/>
      <c r="CW1995" s="204" t="n"/>
    </row>
    <row r="1996">
      <c r="BF1996" s="78" t="n"/>
      <c r="BG1996" s="78" t="n"/>
      <c r="BH1996" s="78" t="n"/>
      <c r="BI1996" s="78" t="n"/>
      <c r="BJ1996" s="139" t="n"/>
      <c r="BK1996" s="204" t="n"/>
      <c r="BL1996" s="141" t="n"/>
      <c r="BM1996" s="205" t="n"/>
      <c r="BN1996" s="205" t="n"/>
      <c r="BO1996" s="206" t="n"/>
      <c r="BP1996" s="144" t="n"/>
      <c r="BQ1996" s="141" t="n"/>
      <c r="BR1996" s="207" t="n"/>
      <c r="BS1996" s="207" t="n"/>
      <c r="BT1996" s="207" t="n"/>
      <c r="BU1996" s="207" t="n"/>
      <c r="BV1996" s="208" t="n"/>
      <c r="BW1996" s="207" t="n"/>
      <c r="BX1996" s="207" t="n"/>
      <c r="BY1996" s="204" t="n"/>
      <c r="BZ1996" s="148" t="n"/>
      <c r="CA1996" s="204" t="n"/>
      <c r="CB1996" s="208" t="n"/>
      <c r="CC1996" s="139" t="n"/>
      <c r="CD1996" s="204" t="n"/>
      <c r="CE1996" s="204" t="n"/>
      <c r="CF1996" s="207" t="n"/>
      <c r="CG1996" s="208" t="n"/>
      <c r="CH1996" s="207" t="n"/>
      <c r="CI1996" s="208" t="n"/>
      <c r="CJ1996" s="204" t="n"/>
      <c r="CK1996" s="208" t="n"/>
      <c r="CL1996" s="208" t="n"/>
      <c r="CM1996" s="208" t="n"/>
      <c r="CN1996" s="78" t="n"/>
      <c r="CO1996" s="209" t="n"/>
      <c r="CP1996" s="204" t="n"/>
      <c r="CQ1996" s="204" t="n"/>
      <c r="CR1996" s="204" t="n"/>
      <c r="CS1996" s="204" t="n"/>
      <c r="CT1996" s="204" t="n"/>
      <c r="CU1996" s="204" t="n"/>
      <c r="CV1996" s="204" t="n"/>
      <c r="CW1996" s="204" t="n"/>
    </row>
    <row r="1997">
      <c r="BF1997" s="78" t="n"/>
      <c r="BG1997" s="78" t="n"/>
      <c r="BH1997" s="78" t="n"/>
      <c r="BI1997" s="78" t="n"/>
      <c r="BJ1997" s="139" t="n"/>
      <c r="BK1997" s="204" t="n"/>
      <c r="BL1997" s="141" t="n"/>
      <c r="BM1997" s="205" t="n"/>
      <c r="BN1997" s="205" t="n"/>
      <c r="BO1997" s="206" t="n"/>
      <c r="BP1997" s="144" t="n"/>
      <c r="BQ1997" s="141" t="n"/>
      <c r="BR1997" s="207" t="n"/>
      <c r="BS1997" s="207" t="n"/>
      <c r="BT1997" s="207" t="n"/>
      <c r="BU1997" s="207" t="n"/>
      <c r="BV1997" s="208" t="n"/>
      <c r="BW1997" s="207" t="n"/>
      <c r="BX1997" s="207" t="n"/>
      <c r="BY1997" s="204" t="n"/>
      <c r="BZ1997" s="148" t="n"/>
      <c r="CA1997" s="204" t="n"/>
      <c r="CB1997" s="208" t="n"/>
      <c r="CC1997" s="139" t="n"/>
      <c r="CD1997" s="204" t="n"/>
      <c r="CE1997" s="204" t="n"/>
      <c r="CF1997" s="207" t="n"/>
      <c r="CG1997" s="208" t="n"/>
      <c r="CH1997" s="207" t="n"/>
      <c r="CI1997" s="208" t="n"/>
      <c r="CJ1997" s="204" t="n"/>
      <c r="CK1997" s="208" t="n"/>
      <c r="CL1997" s="208" t="n"/>
      <c r="CM1997" s="208" t="n"/>
      <c r="CN1997" s="78" t="n"/>
      <c r="CO1997" s="209" t="n"/>
      <c r="CP1997" s="204" t="n"/>
      <c r="CQ1997" s="204" t="n"/>
      <c r="CR1997" s="204" t="n"/>
      <c r="CS1997" s="204" t="n"/>
      <c r="CT1997" s="204" t="n"/>
      <c r="CU1997" s="204" t="n"/>
      <c r="CV1997" s="204" t="n"/>
      <c r="CW1997" s="204" t="n"/>
    </row>
    <row r="1998">
      <c r="BF1998" s="78" t="n"/>
      <c r="BG1998" s="78" t="n"/>
      <c r="BH1998" s="78" t="n"/>
      <c r="BI1998" s="78" t="n"/>
      <c r="BJ1998" s="139" t="n"/>
      <c r="BK1998" s="204" t="n"/>
      <c r="BL1998" s="141" t="n"/>
      <c r="BM1998" s="205" t="n"/>
      <c r="BN1998" s="205" t="n"/>
      <c r="BO1998" s="206" t="n"/>
      <c r="BP1998" s="144" t="n"/>
      <c r="BQ1998" s="141" t="n"/>
      <c r="BR1998" s="207" t="n"/>
      <c r="BS1998" s="207" t="n"/>
      <c r="BT1998" s="207" t="n"/>
      <c r="BU1998" s="207" t="n"/>
      <c r="BV1998" s="208" t="n"/>
      <c r="BW1998" s="207" t="n"/>
      <c r="BX1998" s="207" t="n"/>
      <c r="BY1998" s="204" t="n"/>
      <c r="BZ1998" s="148" t="n"/>
      <c r="CA1998" s="204" t="n"/>
      <c r="CB1998" s="208" t="n"/>
      <c r="CC1998" s="139" t="n"/>
      <c r="CD1998" s="204" t="n"/>
      <c r="CE1998" s="204" t="n"/>
      <c r="CF1998" s="207" t="n"/>
      <c r="CG1998" s="208" t="n"/>
      <c r="CH1998" s="207" t="n"/>
      <c r="CI1998" s="208" t="n"/>
      <c r="CJ1998" s="204" t="n"/>
      <c r="CK1998" s="208" t="n"/>
      <c r="CL1998" s="208" t="n"/>
      <c r="CM1998" s="208" t="n"/>
      <c r="CN1998" s="78" t="n"/>
      <c r="CO1998" s="209" t="n"/>
      <c r="CP1998" s="204" t="n"/>
      <c r="CQ1998" s="204" t="n"/>
      <c r="CR1998" s="204" t="n"/>
      <c r="CS1998" s="204" t="n"/>
      <c r="CT1998" s="204" t="n"/>
      <c r="CU1998" s="204" t="n"/>
      <c r="CV1998" s="204" t="n"/>
      <c r="CW1998" s="204" t="n"/>
    </row>
    <row r="1999">
      <c r="BF1999" s="78" t="n"/>
      <c r="BG1999" s="78" t="n"/>
      <c r="BH1999" s="78" t="n"/>
      <c r="BI1999" s="78" t="n"/>
      <c r="BJ1999" s="139" t="n"/>
      <c r="BK1999" s="204" t="n"/>
      <c r="BL1999" s="141" t="n"/>
      <c r="BM1999" s="205" t="n"/>
      <c r="BN1999" s="205" t="n"/>
      <c r="BO1999" s="206" t="n"/>
      <c r="BP1999" s="144" t="n"/>
      <c r="BQ1999" s="141" t="n"/>
      <c r="BR1999" s="207" t="n"/>
      <c r="BS1999" s="207" t="n"/>
      <c r="BT1999" s="207" t="n"/>
      <c r="BU1999" s="207" t="n"/>
      <c r="BV1999" s="208" t="n"/>
      <c r="BW1999" s="207" t="n"/>
      <c r="BX1999" s="207" t="n"/>
      <c r="BY1999" s="204" t="n"/>
      <c r="BZ1999" s="148" t="n"/>
      <c r="CA1999" s="204" t="n"/>
      <c r="CB1999" s="208" t="n"/>
      <c r="CC1999" s="139" t="n"/>
      <c r="CD1999" s="204" t="n"/>
      <c r="CE1999" s="204" t="n"/>
      <c r="CF1999" s="207" t="n"/>
      <c r="CG1999" s="208" t="n"/>
      <c r="CH1999" s="207" t="n"/>
      <c r="CI1999" s="208" t="n"/>
      <c r="CJ1999" s="204" t="n"/>
      <c r="CK1999" s="208" t="n"/>
      <c r="CL1999" s="208" t="n"/>
      <c r="CM1999" s="208" t="n"/>
      <c r="CN1999" s="78" t="n"/>
      <c r="CO1999" s="209" t="n"/>
      <c r="CP1999" s="204" t="n"/>
      <c r="CQ1999" s="204" t="n"/>
      <c r="CR1999" s="204" t="n"/>
      <c r="CS1999" s="204" t="n"/>
      <c r="CT1999" s="204" t="n"/>
      <c r="CU1999" s="204" t="n"/>
      <c r="CV1999" s="204" t="n"/>
      <c r="CW1999" s="204" t="n"/>
    </row>
    <row r="2000">
      <c r="BF2000" s="78" t="n"/>
      <c r="BG2000" s="78" t="n"/>
      <c r="BH2000" s="78" t="n"/>
      <c r="BI2000" s="78" t="n"/>
      <c r="BJ2000" s="139" t="n"/>
      <c r="BK2000" s="204" t="n"/>
      <c r="BL2000" s="141" t="n"/>
      <c r="BM2000" s="205" t="n"/>
      <c r="BN2000" s="205" t="n"/>
      <c r="BO2000" s="206" t="n"/>
      <c r="BP2000" s="144" t="n"/>
      <c r="BQ2000" s="141" t="n"/>
      <c r="BR2000" s="207" t="n"/>
      <c r="BS2000" s="207" t="n"/>
      <c r="BT2000" s="207" t="n"/>
      <c r="BU2000" s="207" t="n"/>
      <c r="BV2000" s="208" t="n"/>
      <c r="BW2000" s="207" t="n"/>
      <c r="BX2000" s="207" t="n"/>
      <c r="BY2000" s="204" t="n"/>
      <c r="BZ2000" s="148" t="n"/>
      <c r="CA2000" s="204" t="n"/>
      <c r="CB2000" s="208" t="n"/>
      <c r="CC2000" s="139" t="n"/>
      <c r="CD2000" s="204" t="n"/>
      <c r="CE2000" s="204" t="n"/>
      <c r="CF2000" s="207" t="n"/>
      <c r="CG2000" s="208" t="n"/>
      <c r="CH2000" s="207" t="n"/>
      <c r="CI2000" s="208" t="n"/>
      <c r="CJ2000" s="204" t="n"/>
      <c r="CK2000" s="208" t="n"/>
      <c r="CL2000" s="208" t="n"/>
      <c r="CM2000" s="208" t="n"/>
      <c r="CN2000" s="78" t="n"/>
      <c r="CO2000" s="209" t="n"/>
      <c r="CP2000" s="204" t="n"/>
      <c r="CQ2000" s="204" t="n"/>
      <c r="CR2000" s="204" t="n"/>
      <c r="CS2000" s="204" t="n"/>
      <c r="CT2000" s="204" t="n"/>
      <c r="CU2000" s="204" t="n"/>
      <c r="CV2000" s="204" t="n"/>
      <c r="CW2000" s="204" t="n"/>
    </row>
    <row r="2001">
      <c r="BF2001" s="78" t="n"/>
      <c r="BG2001" s="78" t="n"/>
      <c r="BH2001" s="78" t="n"/>
      <c r="BI2001" s="78" t="n"/>
      <c r="BJ2001" s="139" t="n"/>
      <c r="BK2001" s="204" t="n"/>
      <c r="BL2001" s="141" t="n"/>
      <c r="BM2001" s="205" t="n"/>
      <c r="BN2001" s="205" t="n"/>
      <c r="BO2001" s="206" t="n"/>
      <c r="BP2001" s="144" t="n"/>
      <c r="BQ2001" s="141" t="n"/>
      <c r="BR2001" s="207" t="n"/>
      <c r="BS2001" s="207" t="n"/>
      <c r="BT2001" s="207" t="n"/>
      <c r="BU2001" s="207" t="n"/>
      <c r="BV2001" s="208" t="n"/>
      <c r="BW2001" s="207" t="n"/>
      <c r="BX2001" s="207" t="n"/>
      <c r="BY2001" s="204" t="n"/>
      <c r="BZ2001" s="148" t="n"/>
      <c r="CA2001" s="204" t="n"/>
      <c r="CB2001" s="208" t="n"/>
      <c r="CC2001" s="139" t="n"/>
      <c r="CD2001" s="204" t="n"/>
      <c r="CE2001" s="204" t="n"/>
      <c r="CF2001" s="207" t="n"/>
      <c r="CG2001" s="208" t="n"/>
      <c r="CH2001" s="207" t="n"/>
      <c r="CI2001" s="208" t="n"/>
      <c r="CJ2001" s="204" t="n"/>
      <c r="CK2001" s="208" t="n"/>
      <c r="CL2001" s="208" t="n"/>
      <c r="CM2001" s="208" t="n"/>
      <c r="CN2001" s="78" t="n"/>
      <c r="CO2001" s="209" t="n"/>
      <c r="CP2001" s="204" t="n"/>
      <c r="CQ2001" s="204" t="n"/>
      <c r="CR2001" s="204" t="n"/>
      <c r="CS2001" s="204" t="n"/>
      <c r="CT2001" s="204" t="n"/>
      <c r="CU2001" s="204" t="n"/>
      <c r="CV2001" s="204" t="n"/>
      <c r="CW2001" s="204" t="n"/>
    </row>
    <row r="2002">
      <c r="BF2002" s="78" t="n"/>
      <c r="BG2002" s="78" t="n"/>
      <c r="BH2002" s="78" t="n"/>
      <c r="BI2002" s="78" t="n"/>
      <c r="BJ2002" s="139" t="n"/>
      <c r="BK2002" s="204" t="n"/>
      <c r="BL2002" s="141" t="n"/>
      <c r="BM2002" s="205" t="n"/>
      <c r="BN2002" s="205" t="n"/>
      <c r="BO2002" s="206" t="n"/>
      <c r="BP2002" s="144" t="n"/>
      <c r="BQ2002" s="141" t="n"/>
      <c r="BR2002" s="207" t="n"/>
      <c r="BS2002" s="207" t="n"/>
      <c r="BT2002" s="207" t="n"/>
      <c r="BU2002" s="207" t="n"/>
      <c r="BV2002" s="208" t="n"/>
      <c r="BW2002" s="207" t="n"/>
      <c r="BX2002" s="207" t="n"/>
      <c r="BY2002" s="204" t="n"/>
      <c r="BZ2002" s="148" t="n"/>
      <c r="CA2002" s="204" t="n"/>
      <c r="CB2002" s="208" t="n"/>
      <c r="CC2002" s="139" t="n"/>
      <c r="CD2002" s="204" t="n"/>
      <c r="CE2002" s="204" t="n"/>
      <c r="CF2002" s="207" t="n"/>
      <c r="CG2002" s="208" t="n"/>
      <c r="CH2002" s="207" t="n"/>
      <c r="CI2002" s="208" t="n"/>
      <c r="CJ2002" s="204" t="n"/>
      <c r="CK2002" s="208" t="n"/>
      <c r="CL2002" s="208" t="n"/>
      <c r="CM2002" s="208" t="n"/>
      <c r="CN2002" s="78" t="n"/>
      <c r="CO2002" s="209" t="n"/>
      <c r="CP2002" s="204" t="n"/>
      <c r="CQ2002" s="204" t="n"/>
      <c r="CR2002" s="204" t="n"/>
      <c r="CS2002" s="204" t="n"/>
      <c r="CT2002" s="204" t="n"/>
      <c r="CU2002" s="204" t="n"/>
      <c r="CV2002" s="204" t="n"/>
      <c r="CW2002" s="204" t="n"/>
    </row>
    <row r="2003">
      <c r="BF2003" s="78" t="n"/>
      <c r="BG2003" s="78" t="n"/>
      <c r="BH2003" s="78" t="n"/>
      <c r="BI2003" s="78" t="n"/>
      <c r="BJ2003" s="139" t="n"/>
      <c r="BK2003" s="204" t="n"/>
      <c r="BL2003" s="141" t="n"/>
      <c r="BM2003" s="205" t="n"/>
      <c r="BN2003" s="205" t="n"/>
      <c r="BO2003" s="206" t="n"/>
      <c r="BP2003" s="144" t="n"/>
      <c r="BQ2003" s="141" t="n"/>
      <c r="BR2003" s="207" t="n"/>
      <c r="BS2003" s="207" t="n"/>
      <c r="BT2003" s="207" t="n"/>
      <c r="BU2003" s="207" t="n"/>
      <c r="BV2003" s="208" t="n"/>
      <c r="BW2003" s="207" t="n"/>
      <c r="BX2003" s="207" t="n"/>
      <c r="BY2003" s="204" t="n"/>
      <c r="BZ2003" s="148" t="n"/>
      <c r="CA2003" s="204" t="n"/>
      <c r="CB2003" s="208" t="n"/>
      <c r="CC2003" s="139" t="n"/>
      <c r="CD2003" s="204" t="n"/>
      <c r="CE2003" s="204" t="n"/>
      <c r="CF2003" s="207" t="n"/>
      <c r="CG2003" s="208" t="n"/>
      <c r="CH2003" s="207" t="n"/>
      <c r="CI2003" s="208" t="n"/>
      <c r="CJ2003" s="204" t="n"/>
      <c r="CK2003" s="208" t="n"/>
      <c r="CL2003" s="208" t="n"/>
      <c r="CM2003" s="208" t="n"/>
      <c r="CN2003" s="78" t="n"/>
      <c r="CO2003" s="209" t="n"/>
      <c r="CP2003" s="204" t="n"/>
      <c r="CQ2003" s="204" t="n"/>
      <c r="CR2003" s="204" t="n"/>
      <c r="CS2003" s="204" t="n"/>
      <c r="CT2003" s="204" t="n"/>
      <c r="CU2003" s="204" t="n"/>
      <c r="CV2003" s="204" t="n"/>
      <c r="CW2003" s="204" t="n"/>
    </row>
    <row r="2004">
      <c r="BF2004" s="78" t="n"/>
      <c r="BG2004" s="78" t="n"/>
      <c r="BH2004" s="78" t="n"/>
      <c r="BI2004" s="78" t="n"/>
      <c r="BJ2004" s="139" t="n"/>
      <c r="BK2004" s="204" t="n"/>
      <c r="BL2004" s="141" t="n"/>
      <c r="BM2004" s="205" t="n"/>
      <c r="BN2004" s="205" t="n"/>
      <c r="BO2004" s="206" t="n"/>
      <c r="BP2004" s="144" t="n"/>
      <c r="BQ2004" s="141" t="n"/>
      <c r="BR2004" s="207" t="n"/>
      <c r="BS2004" s="207" t="n"/>
      <c r="BT2004" s="207" t="n"/>
      <c r="BU2004" s="207" t="n"/>
      <c r="BV2004" s="208" t="n"/>
      <c r="BW2004" s="207" t="n"/>
      <c r="BX2004" s="207" t="n"/>
      <c r="BY2004" s="204" t="n"/>
      <c r="BZ2004" s="148" t="n"/>
      <c r="CA2004" s="204" t="n"/>
      <c r="CB2004" s="208" t="n"/>
      <c r="CC2004" s="139" t="n"/>
      <c r="CD2004" s="204" t="n"/>
      <c r="CE2004" s="204" t="n"/>
      <c r="CF2004" s="207" t="n"/>
      <c r="CG2004" s="208" t="n"/>
      <c r="CH2004" s="207" t="n"/>
      <c r="CI2004" s="208" t="n"/>
      <c r="CJ2004" s="204" t="n"/>
      <c r="CK2004" s="208" t="n"/>
      <c r="CL2004" s="208" t="n"/>
      <c r="CM2004" s="208" t="n"/>
      <c r="CN2004" s="78" t="n"/>
      <c r="CO2004" s="209" t="n"/>
      <c r="CP2004" s="204" t="n"/>
      <c r="CQ2004" s="204" t="n"/>
      <c r="CR2004" s="204" t="n"/>
      <c r="CS2004" s="204" t="n"/>
      <c r="CT2004" s="204" t="n"/>
      <c r="CU2004" s="204" t="n"/>
      <c r="CV2004" s="204" t="n"/>
      <c r="CW2004" s="204" t="n"/>
    </row>
    <row r="2005">
      <c r="BF2005" s="78" t="n"/>
      <c r="BG2005" s="78" t="n"/>
      <c r="BH2005" s="78" t="n"/>
      <c r="BI2005" s="78" t="n"/>
      <c r="BJ2005" s="139" t="n"/>
      <c r="BK2005" s="204" t="n"/>
      <c r="BL2005" s="141" t="n"/>
      <c r="BM2005" s="205" t="n"/>
      <c r="BN2005" s="205" t="n"/>
      <c r="BO2005" s="206" t="n"/>
      <c r="BP2005" s="144" t="n"/>
      <c r="BQ2005" s="141" t="n"/>
      <c r="BR2005" s="207" t="n"/>
      <c r="BS2005" s="207" t="n"/>
      <c r="BT2005" s="207" t="n"/>
      <c r="BU2005" s="207" t="n"/>
      <c r="BV2005" s="208" t="n"/>
      <c r="BW2005" s="207" t="n"/>
      <c r="BX2005" s="207" t="n"/>
      <c r="BY2005" s="204" t="n"/>
      <c r="BZ2005" s="148" t="n"/>
      <c r="CA2005" s="204" t="n"/>
      <c r="CB2005" s="208" t="n"/>
      <c r="CC2005" s="139" t="n"/>
      <c r="CD2005" s="204" t="n"/>
      <c r="CE2005" s="204" t="n"/>
      <c r="CF2005" s="207" t="n"/>
      <c r="CG2005" s="208" t="n"/>
      <c r="CH2005" s="207" t="n"/>
      <c r="CI2005" s="208" t="n"/>
      <c r="CJ2005" s="204" t="n"/>
      <c r="CK2005" s="208" t="n"/>
      <c r="CL2005" s="208" t="n"/>
      <c r="CM2005" s="208" t="n"/>
      <c r="CN2005" s="78" t="n"/>
      <c r="CO2005" s="209" t="n"/>
      <c r="CP2005" s="204" t="n"/>
      <c r="CQ2005" s="204" t="n"/>
      <c r="CR2005" s="204" t="n"/>
      <c r="CS2005" s="204" t="n"/>
      <c r="CT2005" s="204" t="n"/>
      <c r="CU2005" s="204" t="n"/>
      <c r="CV2005" s="204" t="n"/>
      <c r="CW2005" s="204" t="n"/>
    </row>
    <row r="2006">
      <c r="BF2006" s="78" t="n"/>
      <c r="BG2006" s="78" t="n"/>
      <c r="BH2006" s="78" t="n"/>
      <c r="BI2006" s="78" t="n"/>
      <c r="BJ2006" s="139" t="n"/>
      <c r="BK2006" s="204" t="n"/>
      <c r="BL2006" s="141" t="n"/>
      <c r="BM2006" s="205" t="n"/>
      <c r="BN2006" s="205" t="n"/>
      <c r="BO2006" s="206" t="n"/>
      <c r="BP2006" s="144" t="n"/>
      <c r="BQ2006" s="141" t="n"/>
      <c r="BR2006" s="207" t="n"/>
      <c r="BS2006" s="207" t="n"/>
      <c r="BT2006" s="207" t="n"/>
      <c r="BU2006" s="207" t="n"/>
      <c r="BV2006" s="208" t="n"/>
      <c r="BW2006" s="207" t="n"/>
      <c r="BX2006" s="207" t="n"/>
      <c r="BY2006" s="204" t="n"/>
      <c r="BZ2006" s="148" t="n"/>
      <c r="CA2006" s="204" t="n"/>
      <c r="CB2006" s="208" t="n"/>
      <c r="CC2006" s="139" t="n"/>
      <c r="CD2006" s="204" t="n"/>
      <c r="CE2006" s="204" t="n"/>
      <c r="CF2006" s="207" t="n"/>
      <c r="CG2006" s="208" t="n"/>
      <c r="CH2006" s="207" t="n"/>
      <c r="CI2006" s="208" t="n"/>
      <c r="CJ2006" s="204" t="n"/>
      <c r="CK2006" s="208" t="n"/>
      <c r="CL2006" s="208" t="n"/>
      <c r="CM2006" s="208" t="n"/>
      <c r="CN2006" s="78" t="n"/>
      <c r="CO2006" s="209" t="n"/>
      <c r="CP2006" s="204" t="n"/>
      <c r="CQ2006" s="204" t="n"/>
      <c r="CR2006" s="204" t="n"/>
      <c r="CS2006" s="204" t="n"/>
      <c r="CT2006" s="204" t="n"/>
      <c r="CU2006" s="204" t="n"/>
      <c r="CV2006" s="204" t="n"/>
      <c r="CW2006" s="204" t="n"/>
    </row>
    <row r="2007">
      <c r="BF2007" s="78" t="n"/>
      <c r="BG2007" s="78" t="n"/>
      <c r="BH2007" s="78" t="n"/>
      <c r="BI2007" s="78" t="n"/>
      <c r="BJ2007" s="139" t="n"/>
      <c r="BK2007" s="204" t="n"/>
      <c r="BL2007" s="141" t="n"/>
      <c r="BM2007" s="205" t="n"/>
      <c r="BN2007" s="205" t="n"/>
      <c r="BO2007" s="206" t="n"/>
      <c r="BP2007" s="144" t="n"/>
      <c r="BQ2007" s="141" t="n"/>
      <c r="BR2007" s="207" t="n"/>
      <c r="BS2007" s="207" t="n"/>
      <c r="BT2007" s="207" t="n"/>
      <c r="BU2007" s="207" t="n"/>
      <c r="BV2007" s="208" t="n"/>
      <c r="BW2007" s="207" t="n"/>
      <c r="BX2007" s="207" t="n"/>
      <c r="BY2007" s="204" t="n"/>
      <c r="BZ2007" s="148" t="n"/>
      <c r="CA2007" s="204" t="n"/>
      <c r="CB2007" s="208" t="n"/>
      <c r="CC2007" s="139" t="n"/>
      <c r="CD2007" s="204" t="n"/>
      <c r="CE2007" s="204" t="n"/>
      <c r="CF2007" s="207" t="n"/>
      <c r="CG2007" s="208" t="n"/>
      <c r="CH2007" s="207" t="n"/>
      <c r="CI2007" s="208" t="n"/>
      <c r="CJ2007" s="204" t="n"/>
      <c r="CK2007" s="208" t="n"/>
      <c r="CL2007" s="208" t="n"/>
      <c r="CM2007" s="208" t="n"/>
      <c r="CN2007" s="78" t="n"/>
      <c r="CO2007" s="209" t="n"/>
      <c r="CP2007" s="204" t="n"/>
      <c r="CQ2007" s="204" t="n"/>
      <c r="CR2007" s="204" t="n"/>
      <c r="CS2007" s="204" t="n"/>
      <c r="CT2007" s="204" t="n"/>
      <c r="CU2007" s="204" t="n"/>
      <c r="CV2007" s="204" t="n"/>
      <c r="CW2007" s="204" t="n"/>
    </row>
    <row r="2008">
      <c r="BF2008" s="78" t="n"/>
      <c r="BG2008" s="78" t="n"/>
      <c r="BH2008" s="78" t="n"/>
      <c r="BI2008" s="78" t="n"/>
      <c r="BJ2008" s="139" t="n"/>
      <c r="BK2008" s="204" t="n"/>
      <c r="BL2008" s="141" t="n"/>
      <c r="BM2008" s="205" t="n"/>
      <c r="BN2008" s="205" t="n"/>
      <c r="BO2008" s="206" t="n"/>
      <c r="BP2008" s="144" t="n"/>
      <c r="BQ2008" s="141" t="n"/>
      <c r="BR2008" s="207" t="n"/>
      <c r="BS2008" s="207" t="n"/>
      <c r="BT2008" s="207" t="n"/>
      <c r="BU2008" s="207" t="n"/>
      <c r="BV2008" s="208" t="n"/>
      <c r="BW2008" s="207" t="n"/>
      <c r="BX2008" s="207" t="n"/>
      <c r="BY2008" s="204" t="n"/>
      <c r="BZ2008" s="148" t="n"/>
      <c r="CA2008" s="204" t="n"/>
      <c r="CB2008" s="208" t="n"/>
      <c r="CC2008" s="139" t="n"/>
      <c r="CD2008" s="204" t="n"/>
      <c r="CE2008" s="204" t="n"/>
      <c r="CF2008" s="207" t="n"/>
      <c r="CG2008" s="208" t="n"/>
      <c r="CH2008" s="207" t="n"/>
      <c r="CI2008" s="208" t="n"/>
      <c r="CJ2008" s="204" t="n"/>
      <c r="CK2008" s="208" t="n"/>
      <c r="CL2008" s="208" t="n"/>
      <c r="CM2008" s="208" t="n"/>
      <c r="CN2008" s="78" t="n"/>
      <c r="CO2008" s="209" t="n"/>
      <c r="CP2008" s="204" t="n"/>
      <c r="CQ2008" s="204" t="n"/>
      <c r="CR2008" s="204" t="n"/>
      <c r="CS2008" s="204" t="n"/>
      <c r="CT2008" s="204" t="n"/>
      <c r="CU2008" s="204" t="n"/>
      <c r="CV2008" s="204" t="n"/>
      <c r="CW2008" s="204" t="n"/>
    </row>
    <row r="2009">
      <c r="BF2009" s="78" t="n"/>
      <c r="BG2009" s="78" t="n"/>
      <c r="BH2009" s="78" t="n"/>
      <c r="BI2009" s="78" t="n"/>
      <c r="BJ2009" s="139" t="n"/>
      <c r="BK2009" s="204" t="n"/>
      <c r="BL2009" s="141" t="n"/>
      <c r="BM2009" s="205" t="n"/>
      <c r="BN2009" s="205" t="n"/>
      <c r="BO2009" s="206" t="n"/>
      <c r="BP2009" s="144" t="n"/>
      <c r="BQ2009" s="141" t="n"/>
      <c r="BR2009" s="207" t="n"/>
      <c r="BS2009" s="207" t="n"/>
      <c r="BT2009" s="207" t="n"/>
      <c r="BU2009" s="207" t="n"/>
      <c r="BV2009" s="208" t="n"/>
      <c r="BW2009" s="207" t="n"/>
      <c r="BX2009" s="207" t="n"/>
      <c r="BY2009" s="204" t="n"/>
      <c r="BZ2009" s="148" t="n"/>
      <c r="CA2009" s="204" t="n"/>
      <c r="CB2009" s="208" t="n"/>
      <c r="CC2009" s="139" t="n"/>
      <c r="CD2009" s="204" t="n"/>
      <c r="CE2009" s="204" t="n"/>
      <c r="CF2009" s="207" t="n"/>
      <c r="CG2009" s="208" t="n"/>
      <c r="CH2009" s="207" t="n"/>
      <c r="CI2009" s="208" t="n"/>
      <c r="CJ2009" s="204" t="n"/>
      <c r="CK2009" s="208" t="n"/>
      <c r="CL2009" s="208" t="n"/>
      <c r="CM2009" s="208" t="n"/>
      <c r="CN2009" s="78" t="n"/>
      <c r="CO2009" s="209" t="n"/>
      <c r="CP2009" s="204" t="n"/>
      <c r="CQ2009" s="204" t="n"/>
      <c r="CR2009" s="204" t="n"/>
      <c r="CS2009" s="204" t="n"/>
      <c r="CT2009" s="204" t="n"/>
      <c r="CU2009" s="204" t="n"/>
      <c r="CV2009" s="204" t="n"/>
      <c r="CW2009" s="204" t="n"/>
    </row>
    <row r="2010">
      <c r="BF2010" s="78" t="n"/>
      <c r="BG2010" s="78" t="n"/>
      <c r="BH2010" s="78" t="n"/>
      <c r="BI2010" s="78" t="n"/>
      <c r="BJ2010" s="139" t="n"/>
      <c r="BK2010" s="204" t="n"/>
      <c r="BL2010" s="141" t="n"/>
      <c r="BM2010" s="205" t="n"/>
      <c r="BN2010" s="205" t="n"/>
      <c r="BO2010" s="206" t="n"/>
      <c r="BP2010" s="144" t="n"/>
      <c r="BQ2010" s="141" t="n"/>
      <c r="BR2010" s="207" t="n"/>
      <c r="BS2010" s="207" t="n"/>
      <c r="BT2010" s="207" t="n"/>
      <c r="BU2010" s="207" t="n"/>
      <c r="BV2010" s="208" t="n"/>
      <c r="BW2010" s="207" t="n"/>
      <c r="BX2010" s="207" t="n"/>
      <c r="BY2010" s="204" t="n"/>
      <c r="BZ2010" s="148" t="n"/>
      <c r="CA2010" s="204" t="n"/>
      <c r="CB2010" s="208" t="n"/>
      <c r="CC2010" s="139" t="n"/>
      <c r="CD2010" s="204" t="n"/>
      <c r="CE2010" s="204" t="n"/>
      <c r="CF2010" s="207" t="n"/>
      <c r="CG2010" s="208" t="n"/>
      <c r="CH2010" s="207" t="n"/>
      <c r="CI2010" s="208" t="n"/>
      <c r="CJ2010" s="204" t="n"/>
      <c r="CK2010" s="208" t="n"/>
      <c r="CL2010" s="208" t="n"/>
      <c r="CM2010" s="208" t="n"/>
      <c r="CN2010" s="78" t="n"/>
      <c r="CO2010" s="209" t="n"/>
      <c r="CP2010" s="204" t="n"/>
      <c r="CQ2010" s="204" t="n"/>
      <c r="CR2010" s="204" t="n"/>
      <c r="CS2010" s="204" t="n"/>
      <c r="CT2010" s="204" t="n"/>
      <c r="CU2010" s="204" t="n"/>
      <c r="CV2010" s="204" t="n"/>
      <c r="CW2010" s="204" t="n"/>
    </row>
    <row r="2011">
      <c r="BF2011" s="78" t="n"/>
      <c r="BG2011" s="78" t="n"/>
      <c r="BH2011" s="78" t="n"/>
      <c r="BI2011" s="78" t="n"/>
      <c r="BJ2011" s="139" t="n"/>
      <c r="BK2011" s="204" t="n"/>
      <c r="BL2011" s="141" t="n"/>
      <c r="BM2011" s="205" t="n"/>
      <c r="BN2011" s="205" t="n"/>
      <c r="BO2011" s="206" t="n"/>
      <c r="BP2011" s="144" t="n"/>
      <c r="BQ2011" s="141" t="n"/>
      <c r="BR2011" s="207" t="n"/>
      <c r="BS2011" s="207" t="n"/>
      <c r="BT2011" s="207" t="n"/>
      <c r="BU2011" s="207" t="n"/>
      <c r="BV2011" s="208" t="n"/>
      <c r="BW2011" s="207" t="n"/>
      <c r="BX2011" s="207" t="n"/>
      <c r="BY2011" s="204" t="n"/>
      <c r="BZ2011" s="148" t="n"/>
      <c r="CA2011" s="204" t="n"/>
      <c r="CB2011" s="208" t="n"/>
      <c r="CC2011" s="139" t="n"/>
      <c r="CD2011" s="204" t="n"/>
      <c r="CE2011" s="204" t="n"/>
      <c r="CF2011" s="207" t="n"/>
      <c r="CG2011" s="208" t="n"/>
      <c r="CH2011" s="207" t="n"/>
      <c r="CI2011" s="208" t="n"/>
      <c r="CJ2011" s="204" t="n"/>
      <c r="CK2011" s="208" t="n"/>
      <c r="CL2011" s="208" t="n"/>
      <c r="CM2011" s="208" t="n"/>
      <c r="CN2011" s="78" t="n"/>
      <c r="CO2011" s="209" t="n"/>
      <c r="CP2011" s="204" t="n"/>
      <c r="CQ2011" s="204" t="n"/>
      <c r="CR2011" s="204" t="n"/>
      <c r="CS2011" s="204" t="n"/>
      <c r="CT2011" s="204" t="n"/>
      <c r="CU2011" s="204" t="n"/>
      <c r="CV2011" s="204" t="n"/>
      <c r="CW2011" s="204" t="n"/>
    </row>
    <row r="2012">
      <c r="BF2012" s="78" t="n"/>
      <c r="BG2012" s="78" t="n"/>
      <c r="BH2012" s="78" t="n"/>
      <c r="BI2012" s="78" t="n"/>
      <c r="BJ2012" s="139" t="n"/>
      <c r="BK2012" s="204" t="n"/>
      <c r="BL2012" s="141" t="n"/>
      <c r="BM2012" s="205" t="n"/>
      <c r="BN2012" s="205" t="n"/>
      <c r="BO2012" s="206" t="n"/>
      <c r="BP2012" s="144" t="n"/>
      <c r="BQ2012" s="141" t="n"/>
      <c r="BR2012" s="207" t="n"/>
      <c r="BS2012" s="207" t="n"/>
      <c r="BT2012" s="207" t="n"/>
      <c r="BU2012" s="207" t="n"/>
      <c r="BV2012" s="208" t="n"/>
      <c r="BW2012" s="207" t="n"/>
      <c r="BX2012" s="207" t="n"/>
      <c r="BY2012" s="204" t="n"/>
      <c r="BZ2012" s="148" t="n"/>
      <c r="CA2012" s="204" t="n"/>
      <c r="CB2012" s="208" t="n"/>
      <c r="CC2012" s="139" t="n"/>
      <c r="CD2012" s="204" t="n"/>
      <c r="CE2012" s="204" t="n"/>
      <c r="CF2012" s="207" t="n"/>
      <c r="CG2012" s="208" t="n"/>
      <c r="CH2012" s="207" t="n"/>
      <c r="CI2012" s="208" t="n"/>
      <c r="CJ2012" s="204" t="n"/>
      <c r="CK2012" s="208" t="n"/>
      <c r="CL2012" s="208" t="n"/>
      <c r="CM2012" s="208" t="n"/>
      <c r="CN2012" s="78" t="n"/>
      <c r="CO2012" s="209" t="n"/>
      <c r="CP2012" s="204" t="n"/>
      <c r="CQ2012" s="204" t="n"/>
      <c r="CR2012" s="204" t="n"/>
      <c r="CS2012" s="204" t="n"/>
      <c r="CT2012" s="204" t="n"/>
      <c r="CU2012" s="204" t="n"/>
      <c r="CV2012" s="204" t="n"/>
      <c r="CW2012" s="204" t="n"/>
    </row>
    <row r="2013">
      <c r="BF2013" s="78" t="n"/>
      <c r="BG2013" s="78" t="n"/>
      <c r="BH2013" s="78" t="n"/>
      <c r="BI2013" s="78" t="n"/>
      <c r="BJ2013" s="139" t="n"/>
      <c r="BK2013" s="204" t="n"/>
      <c r="BL2013" s="141" t="n"/>
      <c r="BM2013" s="205" t="n"/>
      <c r="BN2013" s="205" t="n"/>
      <c r="BO2013" s="206" t="n"/>
      <c r="BP2013" s="144" t="n"/>
      <c r="BQ2013" s="141" t="n"/>
      <c r="BR2013" s="207" t="n"/>
      <c r="BS2013" s="207" t="n"/>
      <c r="BT2013" s="207" t="n"/>
      <c r="BU2013" s="207" t="n"/>
      <c r="BV2013" s="208" t="n"/>
      <c r="BW2013" s="207" t="n"/>
      <c r="BX2013" s="207" t="n"/>
      <c r="BY2013" s="204" t="n"/>
      <c r="BZ2013" s="148" t="n"/>
      <c r="CA2013" s="204" t="n"/>
      <c r="CB2013" s="208" t="n"/>
      <c r="CC2013" s="139" t="n"/>
      <c r="CD2013" s="204" t="n"/>
      <c r="CE2013" s="204" t="n"/>
      <c r="CF2013" s="207" t="n"/>
      <c r="CG2013" s="208" t="n"/>
      <c r="CH2013" s="207" t="n"/>
      <c r="CI2013" s="208" t="n"/>
      <c r="CJ2013" s="204" t="n"/>
      <c r="CK2013" s="208" t="n"/>
      <c r="CL2013" s="208" t="n"/>
      <c r="CM2013" s="208" t="n"/>
      <c r="CN2013" s="78" t="n"/>
      <c r="CO2013" s="209" t="n"/>
      <c r="CP2013" s="204" t="n"/>
      <c r="CQ2013" s="204" t="n"/>
      <c r="CR2013" s="204" t="n"/>
      <c r="CS2013" s="204" t="n"/>
      <c r="CT2013" s="204" t="n"/>
      <c r="CU2013" s="204" t="n"/>
      <c r="CV2013" s="204" t="n"/>
      <c r="CW2013" s="204" t="n"/>
    </row>
    <row r="2014">
      <c r="BF2014" s="78" t="n"/>
      <c r="BG2014" s="78" t="n"/>
      <c r="BH2014" s="78" t="n"/>
      <c r="BI2014" s="78" t="n"/>
      <c r="BJ2014" s="139" t="n"/>
      <c r="BK2014" s="204" t="n"/>
      <c r="BL2014" s="141" t="n"/>
      <c r="BM2014" s="205" t="n"/>
      <c r="BN2014" s="205" t="n"/>
      <c r="BO2014" s="206" t="n"/>
      <c r="BP2014" s="144" t="n"/>
      <c r="BQ2014" s="141" t="n"/>
      <c r="BR2014" s="207" t="n"/>
      <c r="BS2014" s="207" t="n"/>
      <c r="BT2014" s="207" t="n"/>
      <c r="BU2014" s="207" t="n"/>
      <c r="BV2014" s="208" t="n"/>
      <c r="BW2014" s="207" t="n"/>
      <c r="BX2014" s="207" t="n"/>
      <c r="BY2014" s="204" t="n"/>
      <c r="BZ2014" s="148" t="n"/>
      <c r="CA2014" s="204" t="n"/>
      <c r="CB2014" s="208" t="n"/>
      <c r="CC2014" s="139" t="n"/>
      <c r="CD2014" s="204" t="n"/>
      <c r="CE2014" s="204" t="n"/>
      <c r="CF2014" s="207" t="n"/>
      <c r="CG2014" s="208" t="n"/>
      <c r="CH2014" s="207" t="n"/>
      <c r="CI2014" s="208" t="n"/>
      <c r="CJ2014" s="204" t="n"/>
      <c r="CK2014" s="208" t="n"/>
      <c r="CL2014" s="208" t="n"/>
      <c r="CM2014" s="208" t="n"/>
      <c r="CN2014" s="78" t="n"/>
      <c r="CO2014" s="209" t="n"/>
      <c r="CP2014" s="204" t="n"/>
      <c r="CQ2014" s="204" t="n"/>
      <c r="CR2014" s="204" t="n"/>
      <c r="CS2014" s="204" t="n"/>
      <c r="CT2014" s="204" t="n"/>
      <c r="CU2014" s="204" t="n"/>
      <c r="CV2014" s="204" t="n"/>
      <c r="CW2014" s="204" t="n"/>
    </row>
    <row r="2015">
      <c r="BF2015" s="78" t="n"/>
      <c r="BG2015" s="78" t="n"/>
      <c r="BH2015" s="78" t="n"/>
      <c r="BI2015" s="78" t="n"/>
      <c r="BJ2015" s="139" t="n"/>
      <c r="BK2015" s="204" t="n"/>
      <c r="BL2015" s="141" t="n"/>
      <c r="BM2015" s="205" t="n"/>
      <c r="BN2015" s="205" t="n"/>
      <c r="BO2015" s="206" t="n"/>
      <c r="BP2015" s="144" t="n"/>
      <c r="BQ2015" s="141" t="n"/>
      <c r="BR2015" s="207" t="n"/>
      <c r="BS2015" s="207" t="n"/>
      <c r="BT2015" s="207" t="n"/>
      <c r="BU2015" s="207" t="n"/>
      <c r="BV2015" s="208" t="n"/>
      <c r="BW2015" s="207" t="n"/>
      <c r="BX2015" s="207" t="n"/>
      <c r="BY2015" s="204" t="n"/>
      <c r="BZ2015" s="148" t="n"/>
      <c r="CA2015" s="204" t="n"/>
      <c r="CB2015" s="208" t="n"/>
      <c r="CC2015" s="139" t="n"/>
      <c r="CD2015" s="204" t="n"/>
      <c r="CE2015" s="204" t="n"/>
      <c r="CF2015" s="207" t="n"/>
      <c r="CG2015" s="208" t="n"/>
      <c r="CH2015" s="207" t="n"/>
      <c r="CI2015" s="208" t="n"/>
      <c r="CJ2015" s="204" t="n"/>
      <c r="CK2015" s="208" t="n"/>
      <c r="CL2015" s="208" t="n"/>
      <c r="CM2015" s="208" t="n"/>
      <c r="CN2015" s="78" t="n"/>
      <c r="CO2015" s="209" t="n"/>
      <c r="CP2015" s="204" t="n"/>
      <c r="CQ2015" s="204" t="n"/>
      <c r="CR2015" s="204" t="n"/>
      <c r="CS2015" s="204" t="n"/>
      <c r="CT2015" s="204" t="n"/>
      <c r="CU2015" s="204" t="n"/>
      <c r="CV2015" s="204" t="n"/>
      <c r="CW2015" s="204" t="n"/>
    </row>
    <row r="2016">
      <c r="BF2016" s="78" t="n"/>
      <c r="BG2016" s="78" t="n"/>
      <c r="BH2016" s="78" t="n"/>
      <c r="BI2016" s="78" t="n"/>
      <c r="BJ2016" s="139" t="n"/>
      <c r="BK2016" s="204" t="n"/>
      <c r="BL2016" s="141" t="n"/>
      <c r="BM2016" s="205" t="n"/>
      <c r="BN2016" s="205" t="n"/>
      <c r="BO2016" s="206" t="n"/>
      <c r="BP2016" s="144" t="n"/>
      <c r="BQ2016" s="141" t="n"/>
      <c r="BR2016" s="207" t="n"/>
      <c r="BS2016" s="207" t="n"/>
      <c r="BT2016" s="207" t="n"/>
      <c r="BU2016" s="207" t="n"/>
      <c r="BV2016" s="208" t="n"/>
      <c r="BW2016" s="207" t="n"/>
      <c r="BX2016" s="207" t="n"/>
      <c r="BY2016" s="204" t="n"/>
      <c r="BZ2016" s="148" t="n"/>
      <c r="CA2016" s="204" t="n"/>
      <c r="CB2016" s="208" t="n"/>
      <c r="CC2016" s="139" t="n"/>
      <c r="CD2016" s="204" t="n"/>
      <c r="CE2016" s="204" t="n"/>
      <c r="CF2016" s="207" t="n"/>
      <c r="CG2016" s="208" t="n"/>
      <c r="CH2016" s="207" t="n"/>
      <c r="CI2016" s="208" t="n"/>
      <c r="CJ2016" s="204" t="n"/>
      <c r="CK2016" s="208" t="n"/>
      <c r="CL2016" s="208" t="n"/>
      <c r="CM2016" s="208" t="n"/>
      <c r="CN2016" s="78" t="n"/>
      <c r="CO2016" s="209" t="n"/>
      <c r="CP2016" s="204" t="n"/>
      <c r="CQ2016" s="204" t="n"/>
      <c r="CR2016" s="204" t="n"/>
      <c r="CS2016" s="204" t="n"/>
      <c r="CT2016" s="204" t="n"/>
      <c r="CU2016" s="204" t="n"/>
      <c r="CV2016" s="204" t="n"/>
      <c r="CW2016" s="204" t="n"/>
    </row>
    <row r="2017">
      <c r="BF2017" s="78" t="n"/>
      <c r="BG2017" s="78" t="n"/>
      <c r="BH2017" s="78" t="n"/>
      <c r="BI2017" s="78" t="n"/>
      <c r="BJ2017" s="139" t="n"/>
      <c r="BK2017" s="204" t="n"/>
      <c r="BL2017" s="141" t="n"/>
      <c r="BM2017" s="205" t="n"/>
      <c r="BN2017" s="205" t="n"/>
      <c r="BO2017" s="206" t="n"/>
      <c r="BP2017" s="144" t="n"/>
      <c r="BQ2017" s="141" t="n"/>
      <c r="BR2017" s="207" t="n"/>
      <c r="BS2017" s="207" t="n"/>
      <c r="BT2017" s="207" t="n"/>
      <c r="BU2017" s="207" t="n"/>
      <c r="BV2017" s="208" t="n"/>
      <c r="BW2017" s="207" t="n"/>
      <c r="BX2017" s="207" t="n"/>
      <c r="BY2017" s="204" t="n"/>
      <c r="BZ2017" s="148" t="n"/>
      <c r="CA2017" s="204" t="n"/>
      <c r="CB2017" s="208" t="n"/>
      <c r="CC2017" s="139" t="n"/>
      <c r="CD2017" s="204" t="n"/>
      <c r="CE2017" s="204" t="n"/>
      <c r="CF2017" s="207" t="n"/>
      <c r="CG2017" s="208" t="n"/>
      <c r="CH2017" s="207" t="n"/>
      <c r="CI2017" s="208" t="n"/>
      <c r="CJ2017" s="204" t="n"/>
      <c r="CK2017" s="208" t="n"/>
      <c r="CL2017" s="208" t="n"/>
      <c r="CM2017" s="208" t="n"/>
      <c r="CN2017" s="78" t="n"/>
      <c r="CO2017" s="209" t="n"/>
      <c r="CP2017" s="204" t="n"/>
      <c r="CQ2017" s="204" t="n"/>
      <c r="CR2017" s="204" t="n"/>
      <c r="CS2017" s="204" t="n"/>
      <c r="CT2017" s="204" t="n"/>
      <c r="CU2017" s="204" t="n"/>
      <c r="CV2017" s="204" t="n"/>
      <c r="CW2017" s="204" t="n"/>
    </row>
    <row r="2018">
      <c r="BF2018" s="78" t="n"/>
      <c r="BG2018" s="78" t="n"/>
      <c r="BH2018" s="78" t="n"/>
      <c r="BI2018" s="78" t="n"/>
      <c r="BJ2018" s="139" t="n"/>
      <c r="BK2018" s="204" t="n"/>
      <c r="BL2018" s="141" t="n"/>
      <c r="BM2018" s="205" t="n"/>
      <c r="BN2018" s="205" t="n"/>
      <c r="BO2018" s="206" t="n"/>
      <c r="BP2018" s="144" t="n"/>
      <c r="BQ2018" s="141" t="n"/>
      <c r="BR2018" s="207" t="n"/>
      <c r="BS2018" s="207" t="n"/>
      <c r="BT2018" s="207" t="n"/>
      <c r="BU2018" s="207" t="n"/>
      <c r="BV2018" s="208" t="n"/>
      <c r="BW2018" s="207" t="n"/>
      <c r="BX2018" s="207" t="n"/>
      <c r="BY2018" s="204" t="n"/>
      <c r="BZ2018" s="148" t="n"/>
      <c r="CA2018" s="204" t="n"/>
      <c r="CB2018" s="208" t="n"/>
      <c r="CC2018" s="139" t="n"/>
      <c r="CD2018" s="204" t="n"/>
      <c r="CE2018" s="204" t="n"/>
      <c r="CF2018" s="207" t="n"/>
      <c r="CG2018" s="208" t="n"/>
      <c r="CH2018" s="207" t="n"/>
      <c r="CI2018" s="208" t="n"/>
      <c r="CJ2018" s="204" t="n"/>
      <c r="CK2018" s="208" t="n"/>
      <c r="CL2018" s="208" t="n"/>
      <c r="CM2018" s="208" t="n"/>
      <c r="CN2018" s="78" t="n"/>
      <c r="CO2018" s="209" t="n"/>
      <c r="CP2018" s="204" t="n"/>
      <c r="CQ2018" s="204" t="n"/>
      <c r="CR2018" s="204" t="n"/>
      <c r="CS2018" s="204" t="n"/>
      <c r="CT2018" s="204" t="n"/>
      <c r="CU2018" s="204" t="n"/>
      <c r="CV2018" s="204" t="n"/>
      <c r="CW2018" s="204" t="n"/>
    </row>
    <row r="2019">
      <c r="BF2019" s="78" t="n"/>
      <c r="BG2019" s="78" t="n"/>
      <c r="BH2019" s="78" t="n"/>
      <c r="BI2019" s="78" t="n"/>
      <c r="BJ2019" s="139" t="n"/>
      <c r="BK2019" s="204" t="n"/>
      <c r="BL2019" s="141" t="n"/>
      <c r="BM2019" s="205" t="n"/>
      <c r="BN2019" s="205" t="n"/>
      <c r="BO2019" s="206" t="n"/>
      <c r="BP2019" s="144" t="n"/>
      <c r="BQ2019" s="141" t="n"/>
      <c r="BR2019" s="207" t="n"/>
      <c r="BS2019" s="207" t="n"/>
      <c r="BT2019" s="207" t="n"/>
      <c r="BU2019" s="207" t="n"/>
      <c r="BV2019" s="208" t="n"/>
      <c r="BW2019" s="207" t="n"/>
      <c r="BX2019" s="207" t="n"/>
      <c r="BY2019" s="204" t="n"/>
      <c r="BZ2019" s="148" t="n"/>
      <c r="CA2019" s="204" t="n"/>
      <c r="CB2019" s="208" t="n"/>
      <c r="CC2019" s="139" t="n"/>
      <c r="CD2019" s="204" t="n"/>
      <c r="CE2019" s="204" t="n"/>
      <c r="CF2019" s="207" t="n"/>
      <c r="CG2019" s="208" t="n"/>
      <c r="CH2019" s="207" t="n"/>
      <c r="CI2019" s="208" t="n"/>
      <c r="CJ2019" s="204" t="n"/>
      <c r="CK2019" s="208" t="n"/>
      <c r="CL2019" s="208" t="n"/>
      <c r="CM2019" s="208" t="n"/>
      <c r="CN2019" s="78" t="n"/>
      <c r="CO2019" s="209" t="n"/>
      <c r="CP2019" s="204" t="n"/>
      <c r="CQ2019" s="204" t="n"/>
      <c r="CR2019" s="204" t="n"/>
      <c r="CS2019" s="204" t="n"/>
      <c r="CT2019" s="204" t="n"/>
      <c r="CU2019" s="204" t="n"/>
      <c r="CV2019" s="204" t="n"/>
      <c r="CW2019" s="204" t="n"/>
    </row>
    <row r="2020">
      <c r="AR2020" s="151" t="n"/>
      <c r="BF2020" s="78" t="n"/>
      <c r="BG2020" s="78" t="n"/>
      <c r="BH2020" s="78" t="n"/>
      <c r="BI2020" s="78" t="n"/>
      <c r="BJ2020" s="139" t="n"/>
      <c r="BK2020" s="204" t="n"/>
      <c r="BL2020" s="141" t="n"/>
      <c r="BM2020" s="205" t="n"/>
      <c r="BN2020" s="205" t="n"/>
      <c r="BO2020" s="206" t="n"/>
      <c r="BP2020" s="144" t="n"/>
      <c r="BQ2020" s="141" t="n"/>
      <c r="BR2020" s="207" t="n"/>
      <c r="BS2020" s="207" t="n"/>
      <c r="BT2020" s="207" t="n"/>
      <c r="BU2020" s="207" t="n"/>
      <c r="BV2020" s="208" t="n"/>
      <c r="BW2020" s="207" t="n"/>
      <c r="BX2020" s="207" t="n"/>
      <c r="BY2020" s="204" t="n"/>
      <c r="BZ2020" s="148" t="n"/>
      <c r="CA2020" s="204" t="n"/>
      <c r="CB2020" s="208" t="n"/>
      <c r="CC2020" s="139" t="n"/>
      <c r="CD2020" s="204" t="n"/>
      <c r="CE2020" s="204" t="n"/>
      <c r="CF2020" s="207" t="n"/>
      <c r="CG2020" s="208" t="n"/>
      <c r="CH2020" s="207" t="n"/>
      <c r="CI2020" s="208" t="n"/>
      <c r="CJ2020" s="204" t="n"/>
      <c r="CK2020" s="208" t="n"/>
      <c r="CL2020" s="208" t="n"/>
      <c r="CM2020" s="208" t="n"/>
      <c r="CN2020" s="78" t="n"/>
      <c r="CO2020" s="209" t="n"/>
      <c r="CP2020" s="204" t="n"/>
      <c r="CQ2020" s="204" t="n"/>
      <c r="CR2020" s="204" t="n"/>
      <c r="CS2020" s="204" t="n"/>
      <c r="CT2020" s="204" t="n"/>
      <c r="CU2020" s="204" t="n"/>
      <c r="CV2020" s="204" t="n"/>
      <c r="CW2020" s="204" t="n"/>
    </row>
    <row r="2021">
      <c r="AR2021" s="151" t="n"/>
      <c r="BF2021" s="78" t="n"/>
      <c r="BG2021" s="78" t="n"/>
      <c r="BH2021" s="78" t="n"/>
      <c r="BI2021" s="78" t="n"/>
      <c r="BJ2021" s="139" t="n"/>
      <c r="BK2021" s="204" t="n"/>
      <c r="BL2021" s="141" t="n"/>
      <c r="BM2021" s="205" t="n"/>
      <c r="BN2021" s="205" t="n"/>
      <c r="BO2021" s="206" t="n"/>
      <c r="BP2021" s="144" t="n"/>
      <c r="BQ2021" s="141" t="n"/>
      <c r="BR2021" s="207" t="n"/>
      <c r="BS2021" s="207" t="n"/>
      <c r="BT2021" s="207" t="n"/>
      <c r="BU2021" s="207" t="n"/>
      <c r="BV2021" s="208" t="n"/>
      <c r="BW2021" s="207" t="n"/>
      <c r="BX2021" s="207" t="n"/>
      <c r="BY2021" s="204" t="n"/>
      <c r="BZ2021" s="148" t="n"/>
      <c r="CA2021" s="204" t="n"/>
      <c r="CB2021" s="208" t="n"/>
      <c r="CC2021" s="139" t="n"/>
      <c r="CD2021" s="204" t="n"/>
      <c r="CE2021" s="204" t="n"/>
      <c r="CF2021" s="207" t="n"/>
      <c r="CG2021" s="208" t="n"/>
      <c r="CH2021" s="207" t="n"/>
      <c r="CI2021" s="208" t="n"/>
      <c r="CJ2021" s="204" t="n"/>
      <c r="CK2021" s="208" t="n"/>
      <c r="CL2021" s="208" t="n"/>
      <c r="CM2021" s="208" t="n"/>
      <c r="CN2021" s="78" t="n"/>
      <c r="CO2021" s="209" t="n"/>
      <c r="CP2021" s="204" t="n"/>
      <c r="CQ2021" s="204" t="n"/>
      <c r="CR2021" s="204" t="n"/>
      <c r="CS2021" s="204" t="n"/>
      <c r="CT2021" s="204" t="n"/>
      <c r="CU2021" s="204" t="n"/>
      <c r="CV2021" s="204" t="n"/>
      <c r="CW2021" s="204" t="n"/>
    </row>
    <row r="2022">
      <c r="AR2022" s="151" t="n"/>
      <c r="BF2022" s="78" t="n"/>
      <c r="BG2022" s="78" t="n"/>
      <c r="BH2022" s="78" t="n"/>
      <c r="BI2022" s="78" t="n"/>
      <c r="BJ2022" s="139" t="n"/>
      <c r="BK2022" s="204" t="n"/>
      <c r="BL2022" s="141" t="n"/>
      <c r="BM2022" s="205" t="n"/>
      <c r="BN2022" s="205" t="n"/>
      <c r="BO2022" s="206" t="n"/>
      <c r="BP2022" s="144" t="n"/>
      <c r="BQ2022" s="141" t="n"/>
      <c r="BR2022" s="207" t="n"/>
      <c r="BS2022" s="207" t="n"/>
      <c r="BT2022" s="207" t="n"/>
      <c r="BU2022" s="207" t="n"/>
      <c r="BV2022" s="208" t="n"/>
      <c r="BW2022" s="207" t="n"/>
      <c r="BX2022" s="207" t="n"/>
      <c r="BY2022" s="204" t="n"/>
      <c r="BZ2022" s="148" t="n"/>
      <c r="CA2022" s="204" t="n"/>
      <c r="CB2022" s="208" t="n"/>
      <c r="CC2022" s="139" t="n"/>
      <c r="CD2022" s="204" t="n"/>
      <c r="CE2022" s="204" t="n"/>
      <c r="CF2022" s="207" t="n"/>
      <c r="CG2022" s="208" t="n"/>
      <c r="CH2022" s="207" t="n"/>
      <c r="CI2022" s="208" t="n"/>
      <c r="CJ2022" s="204" t="n"/>
      <c r="CK2022" s="208" t="n"/>
      <c r="CL2022" s="208" t="n"/>
      <c r="CM2022" s="208" t="n"/>
      <c r="CN2022" s="78" t="n"/>
      <c r="CO2022" s="209" t="n"/>
      <c r="CP2022" s="204" t="n"/>
      <c r="CQ2022" s="204" t="n"/>
      <c r="CR2022" s="204" t="n"/>
      <c r="CS2022" s="204" t="n"/>
      <c r="CT2022" s="204" t="n"/>
      <c r="CU2022" s="204" t="n"/>
      <c r="CV2022" s="204" t="n"/>
      <c r="CW2022" s="204" t="n"/>
    </row>
    <row r="2023">
      <c r="AR2023" s="151" t="n"/>
      <c r="BF2023" s="78" t="n"/>
      <c r="BG2023" s="78" t="n"/>
      <c r="BH2023" s="78" t="n"/>
      <c r="BI2023" s="78" t="n"/>
      <c r="BJ2023" s="139" t="n"/>
      <c r="BK2023" s="204" t="n"/>
      <c r="BL2023" s="141" t="n"/>
      <c r="BM2023" s="205" t="n"/>
      <c r="BN2023" s="205" t="n"/>
      <c r="BO2023" s="206" t="n"/>
      <c r="BP2023" s="144" t="n"/>
      <c r="BQ2023" s="141" t="n"/>
      <c r="BR2023" s="207" t="n"/>
      <c r="BS2023" s="207" t="n"/>
      <c r="BT2023" s="207" t="n"/>
      <c r="BU2023" s="207" t="n"/>
      <c r="BV2023" s="208" t="n"/>
      <c r="BW2023" s="207" t="n"/>
      <c r="BX2023" s="207" t="n"/>
      <c r="BY2023" s="204" t="n"/>
      <c r="BZ2023" s="148" t="n"/>
      <c r="CA2023" s="204" t="n"/>
      <c r="CB2023" s="208" t="n"/>
      <c r="CC2023" s="139" t="n"/>
      <c r="CD2023" s="204" t="n"/>
      <c r="CE2023" s="204" t="n"/>
      <c r="CF2023" s="207" t="n"/>
      <c r="CG2023" s="208" t="n"/>
      <c r="CH2023" s="207" t="n"/>
      <c r="CI2023" s="208" t="n"/>
      <c r="CJ2023" s="204" t="n"/>
      <c r="CK2023" s="208" t="n"/>
      <c r="CL2023" s="208" t="n"/>
      <c r="CM2023" s="208" t="n"/>
      <c r="CN2023" s="78" t="n"/>
      <c r="CO2023" s="209" t="n"/>
      <c r="CP2023" s="204" t="n"/>
      <c r="CQ2023" s="204" t="n"/>
      <c r="CR2023" s="204" t="n"/>
      <c r="CS2023" s="204" t="n"/>
      <c r="CT2023" s="204" t="n"/>
      <c r="CU2023" s="204" t="n"/>
      <c r="CV2023" s="204" t="n"/>
      <c r="CW2023" s="204" t="n"/>
    </row>
    <row r="2024">
      <c r="AR2024" s="151" t="n"/>
      <c r="BF2024" s="78" t="n"/>
      <c r="BG2024" s="78" t="n"/>
      <c r="BH2024" s="78" t="n"/>
      <c r="BI2024" s="78" t="n"/>
      <c r="BJ2024" s="139" t="n"/>
      <c r="BK2024" s="204" t="n"/>
      <c r="BL2024" s="141" t="n"/>
      <c r="BM2024" s="205" t="n"/>
      <c r="BN2024" s="205" t="n"/>
      <c r="BO2024" s="206" t="n"/>
      <c r="BP2024" s="144" t="n"/>
      <c r="BQ2024" s="141" t="n"/>
      <c r="BR2024" s="207" t="n"/>
      <c r="BS2024" s="207" t="n"/>
      <c r="BT2024" s="207" t="n"/>
      <c r="BU2024" s="207" t="n"/>
      <c r="BV2024" s="208" t="n"/>
      <c r="BW2024" s="207" t="n"/>
      <c r="BX2024" s="207" t="n"/>
      <c r="BY2024" s="204" t="n"/>
      <c r="BZ2024" s="148" t="n"/>
      <c r="CA2024" s="204" t="n"/>
      <c r="CB2024" s="208" t="n"/>
      <c r="CC2024" s="139" t="n"/>
      <c r="CD2024" s="204" t="n"/>
      <c r="CE2024" s="204" t="n"/>
      <c r="CF2024" s="207" t="n"/>
      <c r="CG2024" s="208" t="n"/>
      <c r="CH2024" s="207" t="n"/>
      <c r="CI2024" s="208" t="n"/>
      <c r="CJ2024" s="204" t="n"/>
      <c r="CK2024" s="208" t="n"/>
      <c r="CL2024" s="208" t="n"/>
      <c r="CM2024" s="208" t="n"/>
      <c r="CN2024" s="78" t="n"/>
      <c r="CO2024" s="209" t="n"/>
      <c r="CP2024" s="204" t="n"/>
      <c r="CQ2024" s="204" t="n"/>
      <c r="CR2024" s="204" t="n"/>
      <c r="CS2024" s="204" t="n"/>
      <c r="CT2024" s="204" t="n"/>
      <c r="CU2024" s="204" t="n"/>
      <c r="CV2024" s="204" t="n"/>
      <c r="CW2024" s="204" t="n"/>
    </row>
    <row r="2025">
      <c r="AR2025" s="151" t="n"/>
      <c r="BF2025" s="78" t="n"/>
      <c r="BG2025" s="78" t="n"/>
      <c r="BH2025" s="78" t="n"/>
      <c r="BI2025" s="78" t="n"/>
      <c r="BJ2025" s="139" t="n"/>
      <c r="BK2025" s="204" t="n"/>
      <c r="BL2025" s="141" t="n"/>
      <c r="BM2025" s="205" t="n"/>
      <c r="BN2025" s="205" t="n"/>
      <c r="BO2025" s="206" t="n"/>
      <c r="BP2025" s="144" t="n"/>
      <c r="BQ2025" s="141" t="n"/>
      <c r="BR2025" s="207" t="n"/>
      <c r="BS2025" s="207" t="n"/>
      <c r="BT2025" s="207" t="n"/>
      <c r="BU2025" s="207" t="n"/>
      <c r="BV2025" s="208" t="n"/>
      <c r="BW2025" s="207" t="n"/>
      <c r="BX2025" s="207" t="n"/>
      <c r="BY2025" s="204" t="n"/>
      <c r="BZ2025" s="148" t="n"/>
      <c r="CA2025" s="204" t="n"/>
      <c r="CB2025" s="208" t="n"/>
      <c r="CC2025" s="139" t="n"/>
      <c r="CD2025" s="204" t="n"/>
      <c r="CE2025" s="204" t="n"/>
      <c r="CF2025" s="207" t="n"/>
      <c r="CG2025" s="208" t="n"/>
      <c r="CH2025" s="207" t="n"/>
      <c r="CI2025" s="208" t="n"/>
      <c r="CJ2025" s="204" t="n"/>
      <c r="CK2025" s="208" t="n"/>
      <c r="CL2025" s="208" t="n"/>
      <c r="CM2025" s="208" t="n"/>
      <c r="CN2025" s="78" t="n"/>
      <c r="CO2025" s="209" t="n"/>
      <c r="CP2025" s="204" t="n"/>
      <c r="CQ2025" s="204" t="n"/>
      <c r="CR2025" s="204" t="n"/>
      <c r="CS2025" s="204" t="n"/>
      <c r="CT2025" s="204" t="n"/>
      <c r="CU2025" s="204" t="n"/>
      <c r="CV2025" s="204" t="n"/>
      <c r="CW2025" s="204" t="n"/>
    </row>
    <row r="2026">
      <c r="BF2026" s="78" t="n"/>
      <c r="BG2026" s="78" t="n"/>
      <c r="BH2026" s="78" t="n"/>
      <c r="BI2026" s="78" t="n"/>
      <c r="BJ2026" s="139" t="n"/>
      <c r="BK2026" s="204" t="n"/>
      <c r="BL2026" s="141" t="n"/>
      <c r="BM2026" s="205" t="n"/>
      <c r="BN2026" s="205" t="n"/>
      <c r="BO2026" s="206" t="n"/>
      <c r="BP2026" s="144" t="n"/>
      <c r="BQ2026" s="141" t="n"/>
      <c r="BR2026" s="207" t="n"/>
      <c r="BS2026" s="207" t="n"/>
      <c r="BT2026" s="207" t="n"/>
      <c r="BU2026" s="207" t="n"/>
      <c r="BV2026" s="208" t="n"/>
      <c r="BW2026" s="207" t="n"/>
      <c r="BX2026" s="207" t="n"/>
      <c r="BY2026" s="204" t="n"/>
      <c r="BZ2026" s="148" t="n"/>
      <c r="CA2026" s="204" t="n"/>
      <c r="CB2026" s="208" t="n"/>
      <c r="CC2026" s="139" t="n"/>
      <c r="CD2026" s="204" t="n"/>
      <c r="CE2026" s="204" t="n"/>
      <c r="CF2026" s="207" t="n"/>
      <c r="CG2026" s="208" t="n"/>
      <c r="CH2026" s="207" t="n"/>
      <c r="CI2026" s="208" t="n"/>
      <c r="CJ2026" s="204" t="n"/>
      <c r="CK2026" s="208" t="n"/>
      <c r="CL2026" s="208" t="n"/>
      <c r="CM2026" s="208" t="n"/>
      <c r="CN2026" s="78" t="n"/>
      <c r="CO2026" s="209" t="n"/>
      <c r="CP2026" s="204" t="n"/>
      <c r="CQ2026" s="204" t="n"/>
      <c r="CR2026" s="204" t="n"/>
      <c r="CS2026" s="204" t="n"/>
      <c r="CT2026" s="204" t="n"/>
      <c r="CU2026" s="204" t="n"/>
      <c r="CV2026" s="204" t="n"/>
      <c r="CW2026" s="204" t="n"/>
    </row>
    <row r="2027">
      <c r="BF2027" s="78" t="n"/>
      <c r="BG2027" s="78" t="n"/>
      <c r="BH2027" s="78" t="n"/>
      <c r="BI2027" s="78" t="n"/>
      <c r="BJ2027" s="139" t="n"/>
      <c r="BK2027" s="204" t="n"/>
      <c r="BL2027" s="141" t="n"/>
      <c r="BM2027" s="205" t="n"/>
      <c r="BN2027" s="205" t="n"/>
      <c r="BO2027" s="206" t="n"/>
      <c r="BP2027" s="144" t="n"/>
      <c r="BQ2027" s="141" t="n"/>
      <c r="BR2027" s="207" t="n"/>
      <c r="BS2027" s="207" t="n"/>
      <c r="BT2027" s="207" t="n"/>
      <c r="BU2027" s="207" t="n"/>
      <c r="BV2027" s="208" t="n"/>
      <c r="BW2027" s="207" t="n"/>
      <c r="BX2027" s="207" t="n"/>
      <c r="BY2027" s="204" t="n"/>
      <c r="BZ2027" s="148" t="n"/>
      <c r="CA2027" s="204" t="n"/>
      <c r="CB2027" s="208" t="n"/>
      <c r="CC2027" s="139" t="n"/>
      <c r="CD2027" s="204" t="n"/>
      <c r="CE2027" s="204" t="n"/>
      <c r="CF2027" s="207" t="n"/>
      <c r="CG2027" s="208" t="n"/>
      <c r="CH2027" s="207" t="n"/>
      <c r="CI2027" s="208" t="n"/>
      <c r="CJ2027" s="204" t="n"/>
      <c r="CK2027" s="208" t="n"/>
      <c r="CL2027" s="208" t="n"/>
      <c r="CM2027" s="208" t="n"/>
      <c r="CN2027" s="78" t="n"/>
      <c r="CO2027" s="209" t="n"/>
      <c r="CP2027" s="204" t="n"/>
      <c r="CQ2027" s="204" t="n"/>
      <c r="CR2027" s="204" t="n"/>
      <c r="CS2027" s="204" t="n"/>
      <c r="CT2027" s="204" t="n"/>
      <c r="CU2027" s="204" t="n"/>
      <c r="CV2027" s="204" t="n"/>
      <c r="CW2027" s="204" t="n"/>
    </row>
    <row r="2028">
      <c r="BF2028" s="78" t="n"/>
      <c r="BG2028" s="78" t="n"/>
      <c r="BH2028" s="78" t="n"/>
      <c r="BI2028" s="78" t="n"/>
      <c r="BJ2028" s="139" t="n"/>
      <c r="BK2028" s="204" t="n"/>
      <c r="BL2028" s="141" t="n"/>
      <c r="BM2028" s="205" t="n"/>
      <c r="BN2028" s="205" t="n"/>
      <c r="BO2028" s="206" t="n"/>
      <c r="BP2028" s="144" t="n"/>
      <c r="BQ2028" s="141" t="n"/>
      <c r="BR2028" s="207" t="n"/>
      <c r="BS2028" s="207" t="n"/>
      <c r="BT2028" s="207" t="n"/>
      <c r="BU2028" s="207" t="n"/>
      <c r="BV2028" s="208" t="n"/>
      <c r="BW2028" s="207" t="n"/>
      <c r="BX2028" s="207" t="n"/>
      <c r="BY2028" s="204" t="n"/>
      <c r="BZ2028" s="148" t="n"/>
      <c r="CA2028" s="204" t="n"/>
      <c r="CB2028" s="208" t="n"/>
      <c r="CC2028" s="139" t="n"/>
      <c r="CD2028" s="204" t="n"/>
      <c r="CE2028" s="204" t="n"/>
      <c r="CF2028" s="207" t="n"/>
      <c r="CG2028" s="208" t="n"/>
      <c r="CH2028" s="207" t="n"/>
      <c r="CI2028" s="208" t="n"/>
      <c r="CJ2028" s="204" t="n"/>
      <c r="CK2028" s="208" t="n"/>
      <c r="CL2028" s="208" t="n"/>
      <c r="CM2028" s="208" t="n"/>
      <c r="CN2028" s="78" t="n"/>
      <c r="CO2028" s="209" t="n"/>
      <c r="CP2028" s="204" t="n"/>
      <c r="CQ2028" s="204" t="n"/>
      <c r="CR2028" s="204" t="n"/>
      <c r="CS2028" s="204" t="n"/>
      <c r="CT2028" s="204" t="n"/>
      <c r="CU2028" s="204" t="n"/>
      <c r="CV2028" s="204" t="n"/>
      <c r="CW2028" s="204" t="n"/>
    </row>
    <row r="2029">
      <c r="BF2029" s="78" t="n"/>
      <c r="BG2029" s="78" t="n"/>
      <c r="BH2029" s="78" t="n"/>
      <c r="BI2029" s="78" t="n"/>
      <c r="BJ2029" s="139" t="n"/>
      <c r="BK2029" s="204" t="n"/>
      <c r="BL2029" s="141" t="n"/>
      <c r="BM2029" s="205" t="n"/>
      <c r="BN2029" s="205" t="n"/>
      <c r="BO2029" s="206" t="n"/>
      <c r="BP2029" s="144" t="n"/>
      <c r="BQ2029" s="141" t="n"/>
      <c r="BR2029" s="207" t="n"/>
      <c r="BS2029" s="207" t="n"/>
      <c r="BT2029" s="207" t="n"/>
      <c r="BU2029" s="207" t="n"/>
      <c r="BV2029" s="208" t="n"/>
      <c r="BW2029" s="207" t="n"/>
      <c r="BX2029" s="207" t="n"/>
      <c r="BY2029" s="204" t="n"/>
      <c r="BZ2029" s="148" t="n"/>
      <c r="CA2029" s="204" t="n"/>
      <c r="CB2029" s="208" t="n"/>
      <c r="CC2029" s="139" t="n"/>
      <c r="CD2029" s="204" t="n"/>
      <c r="CE2029" s="204" t="n"/>
      <c r="CF2029" s="207" t="n"/>
      <c r="CG2029" s="208" t="n"/>
      <c r="CH2029" s="207" t="n"/>
      <c r="CI2029" s="208" t="n"/>
      <c r="CJ2029" s="204" t="n"/>
      <c r="CK2029" s="208" t="n"/>
      <c r="CL2029" s="208" t="n"/>
      <c r="CM2029" s="208" t="n"/>
      <c r="CN2029" s="78" t="n"/>
      <c r="CO2029" s="209" t="n"/>
      <c r="CP2029" s="204" t="n"/>
      <c r="CQ2029" s="204" t="n"/>
      <c r="CR2029" s="204" t="n"/>
      <c r="CS2029" s="204" t="n"/>
      <c r="CT2029" s="204" t="n"/>
      <c r="CU2029" s="204" t="n"/>
      <c r="CV2029" s="204" t="n"/>
      <c r="CW2029" s="204" t="n"/>
    </row>
    <row r="2030">
      <c r="BF2030" s="78" t="n"/>
      <c r="BG2030" s="78" t="n"/>
      <c r="BH2030" s="78" t="n"/>
      <c r="BI2030" s="78" t="n"/>
      <c r="BJ2030" s="139" t="n"/>
      <c r="BK2030" s="204" t="n"/>
      <c r="BL2030" s="141" t="n"/>
      <c r="BM2030" s="205" t="n"/>
      <c r="BN2030" s="205" t="n"/>
      <c r="BO2030" s="206" t="n"/>
      <c r="BP2030" s="144" t="n"/>
      <c r="BQ2030" s="141" t="n"/>
      <c r="BR2030" s="207" t="n"/>
      <c r="BS2030" s="207" t="n"/>
      <c r="BT2030" s="207" t="n"/>
      <c r="BU2030" s="207" t="n"/>
      <c r="BV2030" s="208" t="n"/>
      <c r="BW2030" s="207" t="n"/>
      <c r="BX2030" s="207" t="n"/>
      <c r="BY2030" s="204" t="n"/>
      <c r="BZ2030" s="148" t="n"/>
      <c r="CA2030" s="204" t="n"/>
      <c r="CB2030" s="208" t="n"/>
      <c r="CC2030" s="139" t="n"/>
      <c r="CD2030" s="204" t="n"/>
      <c r="CE2030" s="204" t="n"/>
      <c r="CF2030" s="207" t="n"/>
      <c r="CG2030" s="208" t="n"/>
      <c r="CH2030" s="207" t="n"/>
      <c r="CI2030" s="208" t="n"/>
      <c r="CJ2030" s="204" t="n"/>
      <c r="CK2030" s="208" t="n"/>
      <c r="CL2030" s="208" t="n"/>
      <c r="CM2030" s="208" t="n"/>
      <c r="CN2030" s="78" t="n"/>
      <c r="CO2030" s="209" t="n"/>
      <c r="CP2030" s="204" t="n"/>
      <c r="CQ2030" s="204" t="n"/>
      <c r="CR2030" s="204" t="n"/>
      <c r="CS2030" s="204" t="n"/>
      <c r="CT2030" s="204" t="n"/>
      <c r="CU2030" s="204" t="n"/>
      <c r="CV2030" s="204" t="n"/>
      <c r="CW2030" s="204" t="n"/>
    </row>
    <row r="2031">
      <c r="BF2031" s="78" t="n"/>
      <c r="BG2031" s="78" t="n"/>
      <c r="BH2031" s="78" t="n"/>
      <c r="BI2031" s="78" t="n"/>
      <c r="BJ2031" s="139" t="n"/>
      <c r="BK2031" s="204" t="n"/>
      <c r="BL2031" s="141" t="n"/>
      <c r="BM2031" s="205" t="n"/>
      <c r="BN2031" s="205" t="n"/>
      <c r="BO2031" s="206" t="n"/>
      <c r="BP2031" s="144" t="n"/>
      <c r="BQ2031" s="141" t="n"/>
      <c r="BR2031" s="207" t="n"/>
      <c r="BS2031" s="207" t="n"/>
      <c r="BT2031" s="207" t="n"/>
      <c r="BU2031" s="207" t="n"/>
      <c r="BV2031" s="208" t="n"/>
      <c r="BW2031" s="207" t="n"/>
      <c r="BX2031" s="207" t="n"/>
      <c r="BY2031" s="204" t="n"/>
      <c r="BZ2031" s="148" t="n"/>
      <c r="CA2031" s="204" t="n"/>
      <c r="CB2031" s="208" t="n"/>
      <c r="CC2031" s="139" t="n"/>
      <c r="CD2031" s="204" t="n"/>
      <c r="CE2031" s="204" t="n"/>
      <c r="CF2031" s="207" t="n"/>
      <c r="CG2031" s="208" t="n"/>
      <c r="CH2031" s="207" t="n"/>
      <c r="CI2031" s="208" t="n"/>
      <c r="CJ2031" s="204" t="n"/>
      <c r="CK2031" s="208" t="n"/>
      <c r="CL2031" s="208" t="n"/>
      <c r="CM2031" s="208" t="n"/>
      <c r="CN2031" s="78" t="n"/>
      <c r="CO2031" s="209" t="n"/>
      <c r="CP2031" s="204" t="n"/>
      <c r="CQ2031" s="204" t="n"/>
      <c r="CR2031" s="204" t="n"/>
      <c r="CS2031" s="204" t="n"/>
      <c r="CT2031" s="204" t="n"/>
      <c r="CU2031" s="204" t="n"/>
      <c r="CV2031" s="204" t="n"/>
      <c r="CW2031" s="204" t="n"/>
    </row>
    <row r="2032">
      <c r="BF2032" s="78" t="n"/>
      <c r="BG2032" s="78" t="n"/>
      <c r="BH2032" s="78" t="n"/>
      <c r="BI2032" s="78" t="n"/>
      <c r="BJ2032" s="139" t="n"/>
      <c r="BK2032" s="204" t="n"/>
      <c r="BL2032" s="141" t="n"/>
      <c r="BM2032" s="205" t="n"/>
      <c r="BN2032" s="205" t="n"/>
      <c r="BO2032" s="206" t="n"/>
      <c r="BP2032" s="144" t="n"/>
      <c r="BQ2032" s="141" t="n"/>
      <c r="BR2032" s="207" t="n"/>
      <c r="BS2032" s="207" t="n"/>
      <c r="BT2032" s="207" t="n"/>
      <c r="BU2032" s="207" t="n"/>
      <c r="BV2032" s="208" t="n"/>
      <c r="BW2032" s="207" t="n"/>
      <c r="BX2032" s="207" t="n"/>
      <c r="BY2032" s="204" t="n"/>
      <c r="BZ2032" s="148" t="n"/>
      <c r="CA2032" s="204" t="n"/>
      <c r="CB2032" s="208" t="n"/>
      <c r="CC2032" s="139" t="n"/>
      <c r="CD2032" s="204" t="n"/>
      <c r="CE2032" s="204" t="n"/>
      <c r="CF2032" s="207" t="n"/>
      <c r="CG2032" s="208" t="n"/>
      <c r="CH2032" s="207" t="n"/>
      <c r="CI2032" s="208" t="n"/>
      <c r="CJ2032" s="204" t="n"/>
      <c r="CK2032" s="208" t="n"/>
      <c r="CL2032" s="208" t="n"/>
      <c r="CM2032" s="208" t="n"/>
      <c r="CN2032" s="78" t="n"/>
      <c r="CO2032" s="209" t="n"/>
      <c r="CP2032" s="204" t="n"/>
      <c r="CQ2032" s="204" t="n"/>
      <c r="CR2032" s="204" t="n"/>
      <c r="CS2032" s="204" t="n"/>
      <c r="CT2032" s="204" t="n"/>
      <c r="CU2032" s="204" t="n"/>
      <c r="CV2032" s="204" t="n"/>
      <c r="CW2032" s="204" t="n"/>
    </row>
    <row r="2033">
      <c r="BF2033" s="78" t="n"/>
      <c r="BG2033" s="78" t="n"/>
      <c r="BH2033" s="78" t="n"/>
      <c r="BI2033" s="78" t="n"/>
      <c r="BJ2033" s="139" t="n"/>
      <c r="BK2033" s="204" t="n"/>
      <c r="BL2033" s="141" t="n"/>
      <c r="BM2033" s="205" t="n"/>
      <c r="BN2033" s="205" t="n"/>
      <c r="BO2033" s="206" t="n"/>
      <c r="BP2033" s="144" t="n"/>
      <c r="BQ2033" s="141" t="n"/>
      <c r="BR2033" s="207" t="n"/>
      <c r="BS2033" s="207" t="n"/>
      <c r="BT2033" s="207" t="n"/>
      <c r="BU2033" s="207" t="n"/>
      <c r="BV2033" s="208" t="n"/>
      <c r="BW2033" s="207" t="n"/>
      <c r="BX2033" s="207" t="n"/>
      <c r="BY2033" s="204" t="n"/>
      <c r="BZ2033" s="148" t="n"/>
      <c r="CA2033" s="204" t="n"/>
      <c r="CB2033" s="208" t="n"/>
      <c r="CC2033" s="139" t="n"/>
      <c r="CD2033" s="204" t="n"/>
      <c r="CE2033" s="204" t="n"/>
      <c r="CF2033" s="207" t="n"/>
      <c r="CG2033" s="208" t="n"/>
      <c r="CH2033" s="207" t="n"/>
      <c r="CI2033" s="208" t="n"/>
      <c r="CJ2033" s="204" t="n"/>
      <c r="CK2033" s="208" t="n"/>
      <c r="CL2033" s="208" t="n"/>
      <c r="CM2033" s="208" t="n"/>
      <c r="CN2033" s="78" t="n"/>
      <c r="CO2033" s="209" t="n"/>
      <c r="CP2033" s="204" t="n"/>
      <c r="CQ2033" s="204" t="n"/>
      <c r="CR2033" s="204" t="n"/>
      <c r="CS2033" s="204" t="n"/>
      <c r="CT2033" s="204" t="n"/>
      <c r="CU2033" s="204" t="n"/>
      <c r="CV2033" s="204" t="n"/>
      <c r="CW2033" s="204" t="n"/>
    </row>
    <row r="2034">
      <c r="BF2034" s="78" t="n"/>
      <c r="BG2034" s="78" t="n"/>
      <c r="BH2034" s="78" t="n"/>
      <c r="BI2034" s="78" t="n"/>
      <c r="BJ2034" s="139" t="n"/>
      <c r="BK2034" s="204" t="n"/>
      <c r="BL2034" s="141" t="n"/>
      <c r="BM2034" s="205" t="n"/>
      <c r="BN2034" s="205" t="n"/>
      <c r="BO2034" s="206" t="n"/>
      <c r="BP2034" s="144" t="n"/>
      <c r="BQ2034" s="141" t="n"/>
      <c r="BR2034" s="207" t="n"/>
      <c r="BS2034" s="207" t="n"/>
      <c r="BT2034" s="207" t="n"/>
      <c r="BU2034" s="207" t="n"/>
      <c r="BV2034" s="208" t="n"/>
      <c r="BW2034" s="207" t="n"/>
      <c r="BX2034" s="207" t="n"/>
      <c r="BY2034" s="204" t="n"/>
      <c r="BZ2034" s="148" t="n"/>
      <c r="CA2034" s="204" t="n"/>
      <c r="CB2034" s="208" t="n"/>
      <c r="CC2034" s="139" t="n"/>
      <c r="CD2034" s="204" t="n"/>
      <c r="CE2034" s="204" t="n"/>
      <c r="CF2034" s="207" t="n"/>
      <c r="CG2034" s="208" t="n"/>
      <c r="CH2034" s="207" t="n"/>
      <c r="CI2034" s="208" t="n"/>
      <c r="CJ2034" s="204" t="n"/>
      <c r="CK2034" s="208" t="n"/>
      <c r="CL2034" s="208" t="n"/>
      <c r="CM2034" s="208" t="n"/>
      <c r="CN2034" s="78" t="n"/>
      <c r="CO2034" s="209" t="n"/>
      <c r="CP2034" s="204" t="n"/>
      <c r="CQ2034" s="204" t="n"/>
      <c r="CR2034" s="204" t="n"/>
      <c r="CS2034" s="204" t="n"/>
      <c r="CT2034" s="204" t="n"/>
      <c r="CU2034" s="204" t="n"/>
      <c r="CV2034" s="204" t="n"/>
      <c r="CW2034" s="204" t="n"/>
    </row>
    <row r="2035">
      <c r="BF2035" s="78" t="n"/>
      <c r="BG2035" s="78" t="n"/>
      <c r="BH2035" s="78" t="n"/>
      <c r="BI2035" s="78" t="n"/>
      <c r="BJ2035" s="139" t="n"/>
      <c r="BK2035" s="204" t="n"/>
      <c r="BL2035" s="141" t="n"/>
      <c r="BM2035" s="205" t="n"/>
      <c r="BN2035" s="205" t="n"/>
      <c r="BO2035" s="206" t="n"/>
      <c r="BP2035" s="144" t="n"/>
      <c r="BQ2035" s="141" t="n"/>
      <c r="BR2035" s="207" t="n"/>
      <c r="BS2035" s="207" t="n"/>
      <c r="BT2035" s="207" t="n"/>
      <c r="BU2035" s="207" t="n"/>
      <c r="BV2035" s="208" t="n"/>
      <c r="BW2035" s="207" t="n"/>
      <c r="BX2035" s="207" t="n"/>
      <c r="BY2035" s="204" t="n"/>
      <c r="BZ2035" s="148" t="n"/>
      <c r="CA2035" s="204" t="n"/>
      <c r="CB2035" s="208" t="n"/>
      <c r="CC2035" s="139" t="n"/>
      <c r="CD2035" s="204" t="n"/>
      <c r="CE2035" s="204" t="n"/>
      <c r="CF2035" s="207" t="n"/>
      <c r="CG2035" s="208" t="n"/>
      <c r="CH2035" s="207" t="n"/>
      <c r="CI2035" s="208" t="n"/>
      <c r="CJ2035" s="204" t="n"/>
      <c r="CK2035" s="208" t="n"/>
      <c r="CL2035" s="208" t="n"/>
      <c r="CM2035" s="208" t="n"/>
      <c r="CN2035" s="78" t="n"/>
      <c r="CO2035" s="209" t="n"/>
      <c r="CP2035" s="204" t="n"/>
      <c r="CQ2035" s="204" t="n"/>
      <c r="CR2035" s="204" t="n"/>
      <c r="CS2035" s="204" t="n"/>
      <c r="CT2035" s="204" t="n"/>
      <c r="CU2035" s="204" t="n"/>
      <c r="CV2035" s="204" t="n"/>
      <c r="CW2035" s="204" t="n"/>
    </row>
    <row r="2036">
      <c r="BF2036" s="78" t="n"/>
      <c r="BG2036" s="78" t="n"/>
      <c r="BH2036" s="78" t="n"/>
      <c r="BI2036" s="78" t="n"/>
      <c r="BJ2036" s="139" t="n"/>
      <c r="BK2036" s="204" t="n"/>
      <c r="BL2036" s="141" t="n"/>
      <c r="BM2036" s="205" t="n"/>
      <c r="BN2036" s="205" t="n"/>
      <c r="BO2036" s="206" t="n"/>
      <c r="BP2036" s="144" t="n"/>
      <c r="BQ2036" s="141" t="n"/>
      <c r="BR2036" s="207" t="n"/>
      <c r="BS2036" s="207" t="n"/>
      <c r="BT2036" s="207" t="n"/>
      <c r="BU2036" s="207" t="n"/>
      <c r="BV2036" s="208" t="n"/>
      <c r="BW2036" s="207" t="n"/>
      <c r="BX2036" s="207" t="n"/>
      <c r="BY2036" s="204" t="n"/>
      <c r="BZ2036" s="148" t="n"/>
      <c r="CA2036" s="204" t="n"/>
      <c r="CB2036" s="208" t="n"/>
      <c r="CC2036" s="139" t="n"/>
      <c r="CD2036" s="204" t="n"/>
      <c r="CE2036" s="204" t="n"/>
      <c r="CF2036" s="207" t="n"/>
      <c r="CG2036" s="208" t="n"/>
      <c r="CH2036" s="207" t="n"/>
      <c r="CI2036" s="208" t="n"/>
      <c r="CJ2036" s="204" t="n"/>
      <c r="CK2036" s="208" t="n"/>
      <c r="CL2036" s="208" t="n"/>
      <c r="CM2036" s="208" t="n"/>
      <c r="CN2036" s="78" t="n"/>
      <c r="CO2036" s="209" t="n"/>
      <c r="CP2036" s="204" t="n"/>
      <c r="CQ2036" s="204" t="n"/>
      <c r="CR2036" s="204" t="n"/>
      <c r="CS2036" s="204" t="n"/>
      <c r="CT2036" s="204" t="n"/>
      <c r="CU2036" s="204" t="n"/>
      <c r="CV2036" s="204" t="n"/>
      <c r="CW2036" s="204" t="n"/>
    </row>
    <row r="2037">
      <c r="BF2037" s="78" t="n"/>
      <c r="BG2037" s="78" t="n"/>
      <c r="BH2037" s="78" t="n"/>
      <c r="BI2037" s="78" t="n"/>
      <c r="BJ2037" s="139" t="n"/>
      <c r="BK2037" s="204" t="n"/>
      <c r="BL2037" s="141" t="n"/>
      <c r="BM2037" s="205" t="n"/>
      <c r="BN2037" s="205" t="n"/>
      <c r="BO2037" s="206" t="n"/>
      <c r="BP2037" s="144" t="n"/>
      <c r="BQ2037" s="141" t="n"/>
      <c r="BR2037" s="207" t="n"/>
      <c r="BS2037" s="207" t="n"/>
      <c r="BT2037" s="207" t="n"/>
      <c r="BU2037" s="207" t="n"/>
      <c r="BV2037" s="208" t="n"/>
      <c r="BW2037" s="207" t="n"/>
      <c r="BX2037" s="207" t="n"/>
      <c r="BY2037" s="204" t="n"/>
      <c r="BZ2037" s="148" t="n"/>
      <c r="CA2037" s="204" t="n"/>
      <c r="CB2037" s="208" t="n"/>
      <c r="CC2037" s="139" t="n"/>
      <c r="CD2037" s="204" t="n"/>
      <c r="CE2037" s="204" t="n"/>
      <c r="CF2037" s="207" t="n"/>
      <c r="CG2037" s="208" t="n"/>
      <c r="CH2037" s="207" t="n"/>
      <c r="CI2037" s="208" t="n"/>
      <c r="CJ2037" s="204" t="n"/>
      <c r="CK2037" s="208" t="n"/>
      <c r="CL2037" s="208" t="n"/>
      <c r="CM2037" s="208" t="n"/>
      <c r="CN2037" s="78" t="n"/>
      <c r="CO2037" s="209" t="n"/>
      <c r="CP2037" s="204" t="n"/>
      <c r="CQ2037" s="204" t="n"/>
      <c r="CR2037" s="204" t="n"/>
      <c r="CS2037" s="204" t="n"/>
      <c r="CT2037" s="204" t="n"/>
      <c r="CU2037" s="204" t="n"/>
      <c r="CV2037" s="204" t="n"/>
      <c r="CW2037" s="204" t="n"/>
    </row>
    <row r="2038">
      <c r="BF2038" s="78" t="n"/>
      <c r="BG2038" s="78" t="n"/>
      <c r="BH2038" s="78" t="n"/>
      <c r="BI2038" s="78" t="n"/>
      <c r="BJ2038" s="139" t="n"/>
      <c r="BK2038" s="204" t="n"/>
      <c r="BL2038" s="141" t="n"/>
      <c r="BM2038" s="205" t="n"/>
      <c r="BN2038" s="205" t="n"/>
      <c r="BO2038" s="206" t="n"/>
      <c r="BP2038" s="144" t="n"/>
      <c r="BQ2038" s="141" t="n"/>
      <c r="BR2038" s="207" t="n"/>
      <c r="BS2038" s="207" t="n"/>
      <c r="BT2038" s="207" t="n"/>
      <c r="BU2038" s="207" t="n"/>
      <c r="BV2038" s="208" t="n"/>
      <c r="BW2038" s="207" t="n"/>
      <c r="BX2038" s="207" t="n"/>
      <c r="BY2038" s="204" t="n"/>
      <c r="BZ2038" s="148" t="n"/>
      <c r="CA2038" s="204" t="n"/>
      <c r="CB2038" s="208" t="n"/>
      <c r="CC2038" s="139" t="n"/>
      <c r="CD2038" s="204" t="n"/>
      <c r="CE2038" s="204" t="n"/>
      <c r="CF2038" s="207" t="n"/>
      <c r="CG2038" s="208" t="n"/>
      <c r="CH2038" s="207" t="n"/>
      <c r="CI2038" s="208" t="n"/>
      <c r="CJ2038" s="204" t="n"/>
      <c r="CK2038" s="208" t="n"/>
      <c r="CL2038" s="208" t="n"/>
      <c r="CM2038" s="208" t="n"/>
      <c r="CN2038" s="78" t="n"/>
      <c r="CO2038" s="209" t="n"/>
      <c r="CP2038" s="204" t="n"/>
      <c r="CQ2038" s="204" t="n"/>
      <c r="CR2038" s="204" t="n"/>
      <c r="CS2038" s="204" t="n"/>
      <c r="CT2038" s="204" t="n"/>
      <c r="CU2038" s="204" t="n"/>
      <c r="CV2038" s="204" t="n"/>
      <c r="CW2038" s="204" t="n"/>
    </row>
    <row r="2039">
      <c r="BF2039" s="78" t="n"/>
      <c r="BG2039" s="78" t="n"/>
      <c r="BH2039" s="78" t="n"/>
      <c r="BI2039" s="78" t="n"/>
      <c r="BJ2039" s="139" t="n"/>
      <c r="BK2039" s="204" t="n"/>
      <c r="BL2039" s="141" t="n"/>
      <c r="BM2039" s="205" t="n"/>
      <c r="BN2039" s="205" t="n"/>
      <c r="BO2039" s="206" t="n"/>
      <c r="BP2039" s="144" t="n"/>
      <c r="BQ2039" s="141" t="n"/>
      <c r="BR2039" s="207" t="n"/>
      <c r="BS2039" s="207" t="n"/>
      <c r="BT2039" s="207" t="n"/>
      <c r="BU2039" s="207" t="n"/>
      <c r="BV2039" s="208" t="n"/>
      <c r="BW2039" s="207" t="n"/>
      <c r="BX2039" s="207" t="n"/>
      <c r="BY2039" s="204" t="n"/>
      <c r="BZ2039" s="148" t="n"/>
      <c r="CA2039" s="204" t="n"/>
      <c r="CB2039" s="208" t="n"/>
      <c r="CC2039" s="139" t="n"/>
      <c r="CD2039" s="204" t="n"/>
      <c r="CE2039" s="204" t="n"/>
      <c r="CF2039" s="207" t="n"/>
      <c r="CG2039" s="208" t="n"/>
      <c r="CH2039" s="207" t="n"/>
      <c r="CI2039" s="208" t="n"/>
      <c r="CJ2039" s="204" t="n"/>
      <c r="CK2039" s="208" t="n"/>
      <c r="CL2039" s="208" t="n"/>
      <c r="CM2039" s="208" t="n"/>
      <c r="CN2039" s="78" t="n"/>
      <c r="CO2039" s="209" t="n"/>
      <c r="CP2039" s="204" t="n"/>
      <c r="CQ2039" s="204" t="n"/>
      <c r="CR2039" s="204" t="n"/>
      <c r="CS2039" s="204" t="n"/>
      <c r="CT2039" s="204" t="n"/>
      <c r="CU2039" s="204" t="n"/>
      <c r="CV2039" s="204" t="n"/>
      <c r="CW2039" s="204" t="n"/>
    </row>
    <row r="2040">
      <c r="BF2040" s="78" t="n"/>
      <c r="BG2040" s="78" t="n"/>
      <c r="BH2040" s="78" t="n"/>
      <c r="BI2040" s="78" t="n"/>
      <c r="BJ2040" s="139" t="n"/>
      <c r="BK2040" s="204" t="n"/>
      <c r="BL2040" s="141" t="n"/>
      <c r="BM2040" s="205" t="n"/>
      <c r="BN2040" s="205" t="n"/>
      <c r="BO2040" s="206" t="n"/>
      <c r="BP2040" s="144" t="n"/>
      <c r="BQ2040" s="141" t="n"/>
      <c r="BR2040" s="207" t="n"/>
      <c r="BS2040" s="207" t="n"/>
      <c r="BT2040" s="207" t="n"/>
      <c r="BU2040" s="207" t="n"/>
      <c r="BV2040" s="208" t="n"/>
      <c r="BW2040" s="207" t="n"/>
      <c r="BX2040" s="207" t="n"/>
      <c r="BY2040" s="204" t="n"/>
      <c r="BZ2040" s="148" t="n"/>
      <c r="CA2040" s="204" t="n"/>
      <c r="CB2040" s="208" t="n"/>
      <c r="CC2040" s="139" t="n"/>
      <c r="CD2040" s="204" t="n"/>
      <c r="CE2040" s="204" t="n"/>
      <c r="CF2040" s="207" t="n"/>
      <c r="CG2040" s="208" t="n"/>
      <c r="CH2040" s="207" t="n"/>
      <c r="CI2040" s="208" t="n"/>
      <c r="CJ2040" s="204" t="n"/>
      <c r="CK2040" s="208" t="n"/>
      <c r="CL2040" s="208" t="n"/>
      <c r="CM2040" s="208" t="n"/>
      <c r="CN2040" s="78" t="n"/>
      <c r="CO2040" s="209" t="n"/>
      <c r="CP2040" s="204" t="n"/>
      <c r="CQ2040" s="204" t="n"/>
      <c r="CR2040" s="204" t="n"/>
      <c r="CS2040" s="204" t="n"/>
      <c r="CT2040" s="204" t="n"/>
      <c r="CU2040" s="204" t="n"/>
      <c r="CV2040" s="204" t="n"/>
      <c r="CW2040" s="204" t="n"/>
    </row>
    <row r="2041">
      <c r="BF2041" s="78" t="n"/>
      <c r="BG2041" s="78" t="n"/>
      <c r="BH2041" s="78" t="n"/>
      <c r="BI2041" s="78" t="n"/>
      <c r="BJ2041" s="139" t="n"/>
      <c r="BK2041" s="204" t="n"/>
      <c r="BL2041" s="141" t="n"/>
      <c r="BM2041" s="205" t="n"/>
      <c r="BN2041" s="205" t="n"/>
      <c r="BO2041" s="206" t="n"/>
      <c r="BP2041" s="144" t="n"/>
      <c r="BQ2041" s="141" t="n"/>
      <c r="BR2041" s="207" t="n"/>
      <c r="BS2041" s="207" t="n"/>
      <c r="BT2041" s="207" t="n"/>
      <c r="BU2041" s="207" t="n"/>
      <c r="BV2041" s="208" t="n"/>
      <c r="BW2041" s="207" t="n"/>
      <c r="BX2041" s="207" t="n"/>
      <c r="BY2041" s="204" t="n"/>
      <c r="BZ2041" s="148" t="n"/>
      <c r="CA2041" s="204" t="n"/>
      <c r="CB2041" s="208" t="n"/>
      <c r="CC2041" s="139" t="n"/>
      <c r="CD2041" s="204" t="n"/>
      <c r="CE2041" s="204" t="n"/>
      <c r="CF2041" s="207" t="n"/>
      <c r="CG2041" s="208" t="n"/>
      <c r="CH2041" s="207" t="n"/>
      <c r="CI2041" s="208" t="n"/>
      <c r="CJ2041" s="204" t="n"/>
      <c r="CK2041" s="208" t="n"/>
      <c r="CL2041" s="208" t="n"/>
      <c r="CM2041" s="208" t="n"/>
      <c r="CN2041" s="78" t="n"/>
      <c r="CO2041" s="209" t="n"/>
      <c r="CP2041" s="204" t="n"/>
      <c r="CQ2041" s="204" t="n"/>
      <c r="CR2041" s="204" t="n"/>
      <c r="CS2041" s="204" t="n"/>
      <c r="CT2041" s="204" t="n"/>
      <c r="CU2041" s="204" t="n"/>
      <c r="CV2041" s="204" t="n"/>
      <c r="CW2041" s="204" t="n"/>
    </row>
    <row r="2042">
      <c r="BF2042" s="78" t="n"/>
      <c r="BG2042" s="78" t="n"/>
      <c r="BH2042" s="78" t="n"/>
      <c r="BI2042" s="78" t="n"/>
      <c r="BJ2042" s="139" t="n"/>
      <c r="BK2042" s="204" t="n"/>
      <c r="BL2042" s="141" t="n"/>
      <c r="BM2042" s="205" t="n"/>
      <c r="BN2042" s="205" t="n"/>
      <c r="BO2042" s="206" t="n"/>
      <c r="BP2042" s="144" t="n"/>
      <c r="BQ2042" s="141" t="n"/>
      <c r="BR2042" s="207" t="n"/>
      <c r="BS2042" s="207" t="n"/>
      <c r="BT2042" s="207" t="n"/>
      <c r="BU2042" s="207" t="n"/>
      <c r="BV2042" s="208" t="n"/>
      <c r="BW2042" s="207" t="n"/>
      <c r="BX2042" s="207" t="n"/>
      <c r="BY2042" s="204" t="n"/>
      <c r="BZ2042" s="148" t="n"/>
      <c r="CA2042" s="204" t="n"/>
      <c r="CB2042" s="208" t="n"/>
      <c r="CC2042" s="139" t="n"/>
      <c r="CD2042" s="204" t="n"/>
      <c r="CE2042" s="204" t="n"/>
      <c r="CF2042" s="207" t="n"/>
      <c r="CG2042" s="208" t="n"/>
      <c r="CH2042" s="207" t="n"/>
      <c r="CI2042" s="208" t="n"/>
      <c r="CJ2042" s="204" t="n"/>
      <c r="CK2042" s="208" t="n"/>
      <c r="CL2042" s="208" t="n"/>
      <c r="CM2042" s="208" t="n"/>
      <c r="CN2042" s="78" t="n"/>
      <c r="CO2042" s="209" t="n"/>
      <c r="CP2042" s="204" t="n"/>
      <c r="CQ2042" s="204" t="n"/>
      <c r="CR2042" s="204" t="n"/>
      <c r="CS2042" s="204" t="n"/>
      <c r="CT2042" s="204" t="n"/>
      <c r="CU2042" s="204" t="n"/>
      <c r="CV2042" s="204" t="n"/>
      <c r="CW2042" s="204" t="n"/>
    </row>
    <row r="2043">
      <c r="BF2043" s="78" t="n"/>
      <c r="BG2043" s="78" t="n"/>
      <c r="BH2043" s="78" t="n"/>
      <c r="BI2043" s="78" t="n"/>
      <c r="BJ2043" s="139" t="n"/>
      <c r="BK2043" s="204" t="n"/>
      <c r="BL2043" s="141" t="n"/>
      <c r="BM2043" s="205" t="n"/>
      <c r="BN2043" s="205" t="n"/>
      <c r="BO2043" s="206" t="n"/>
      <c r="BP2043" s="144" t="n"/>
      <c r="BQ2043" s="141" t="n"/>
      <c r="BR2043" s="207" t="n"/>
      <c r="BS2043" s="207" t="n"/>
      <c r="BT2043" s="207" t="n"/>
      <c r="BU2043" s="207" t="n"/>
      <c r="BV2043" s="208" t="n"/>
      <c r="BW2043" s="207" t="n"/>
      <c r="BX2043" s="207" t="n"/>
      <c r="BY2043" s="204" t="n"/>
      <c r="BZ2043" s="148" t="n"/>
      <c r="CA2043" s="204" t="n"/>
      <c r="CB2043" s="208" t="n"/>
      <c r="CC2043" s="139" t="n"/>
      <c r="CD2043" s="204" t="n"/>
      <c r="CE2043" s="204" t="n"/>
      <c r="CF2043" s="207" t="n"/>
      <c r="CG2043" s="208" t="n"/>
      <c r="CH2043" s="207" t="n"/>
      <c r="CI2043" s="208" t="n"/>
      <c r="CJ2043" s="204" t="n"/>
      <c r="CK2043" s="208" t="n"/>
      <c r="CL2043" s="208" t="n"/>
      <c r="CM2043" s="208" t="n"/>
      <c r="CN2043" s="78" t="n"/>
      <c r="CO2043" s="209" t="n"/>
      <c r="CP2043" s="204" t="n"/>
      <c r="CQ2043" s="204" t="n"/>
      <c r="CR2043" s="204" t="n"/>
      <c r="CS2043" s="204" t="n"/>
      <c r="CT2043" s="204" t="n"/>
      <c r="CU2043" s="204" t="n"/>
      <c r="CV2043" s="204" t="n"/>
      <c r="CW2043" s="204" t="n"/>
    </row>
    <row r="2044">
      <c r="BF2044" s="78" t="n"/>
      <c r="BG2044" s="78" t="n"/>
      <c r="BH2044" s="78" t="n"/>
      <c r="BI2044" s="78" t="n"/>
      <c r="BJ2044" s="139" t="n"/>
      <c r="BK2044" s="204" t="n"/>
      <c r="BL2044" s="141" t="n"/>
      <c r="BM2044" s="205" t="n"/>
      <c r="BN2044" s="205" t="n"/>
      <c r="BO2044" s="206" t="n"/>
      <c r="BP2044" s="144" t="n"/>
      <c r="BQ2044" s="141" t="n"/>
      <c r="BR2044" s="207" t="n"/>
      <c r="BS2044" s="207" t="n"/>
      <c r="BT2044" s="207" t="n"/>
      <c r="BU2044" s="207" t="n"/>
      <c r="BV2044" s="208" t="n"/>
      <c r="BW2044" s="207" t="n"/>
      <c r="BX2044" s="207" t="n"/>
      <c r="BY2044" s="204" t="n"/>
      <c r="BZ2044" s="148" t="n"/>
      <c r="CA2044" s="204" t="n"/>
      <c r="CB2044" s="208" t="n"/>
      <c r="CC2044" s="139" t="n"/>
      <c r="CD2044" s="204" t="n"/>
      <c r="CE2044" s="204" t="n"/>
      <c r="CF2044" s="207" t="n"/>
      <c r="CG2044" s="208" t="n"/>
      <c r="CH2044" s="207" t="n"/>
      <c r="CI2044" s="208" t="n"/>
      <c r="CJ2044" s="204" t="n"/>
      <c r="CK2044" s="208" t="n"/>
      <c r="CL2044" s="208" t="n"/>
      <c r="CM2044" s="208" t="n"/>
      <c r="CN2044" s="78" t="n"/>
      <c r="CO2044" s="209" t="n"/>
      <c r="CP2044" s="204" t="n"/>
      <c r="CQ2044" s="204" t="n"/>
      <c r="CR2044" s="204" t="n"/>
      <c r="CS2044" s="204" t="n"/>
      <c r="CT2044" s="204" t="n"/>
      <c r="CU2044" s="204" t="n"/>
      <c r="CV2044" s="204" t="n"/>
      <c r="CW2044" s="204" t="n"/>
    </row>
    <row r="2045">
      <c r="BF2045" s="78" t="n"/>
      <c r="BG2045" s="78" t="n"/>
      <c r="BH2045" s="78" t="n"/>
      <c r="BI2045" s="78" t="n"/>
      <c r="BJ2045" s="139" t="n"/>
      <c r="BK2045" s="204" t="n"/>
      <c r="BL2045" s="141" t="n"/>
      <c r="BM2045" s="205" t="n"/>
      <c r="BN2045" s="205" t="n"/>
      <c r="BO2045" s="206" t="n"/>
      <c r="BP2045" s="144" t="n"/>
      <c r="BQ2045" s="141" t="n"/>
      <c r="BR2045" s="207" t="n"/>
      <c r="BS2045" s="207" t="n"/>
      <c r="BT2045" s="207" t="n"/>
      <c r="BU2045" s="207" t="n"/>
      <c r="BV2045" s="208" t="n"/>
      <c r="BW2045" s="207" t="n"/>
      <c r="BX2045" s="207" t="n"/>
      <c r="BY2045" s="204" t="n"/>
      <c r="BZ2045" s="148" t="n"/>
      <c r="CA2045" s="204" t="n"/>
      <c r="CB2045" s="208" t="n"/>
      <c r="CC2045" s="139" t="n"/>
      <c r="CD2045" s="204" t="n"/>
      <c r="CE2045" s="204" t="n"/>
      <c r="CF2045" s="207" t="n"/>
      <c r="CG2045" s="208" t="n"/>
      <c r="CH2045" s="207" t="n"/>
      <c r="CI2045" s="208" t="n"/>
      <c r="CJ2045" s="204" t="n"/>
      <c r="CK2045" s="208" t="n"/>
      <c r="CL2045" s="208" t="n"/>
      <c r="CM2045" s="208" t="n"/>
      <c r="CN2045" s="78" t="n"/>
      <c r="CO2045" s="209" t="n"/>
      <c r="CP2045" s="204" t="n"/>
      <c r="CQ2045" s="204" t="n"/>
      <c r="CR2045" s="204" t="n"/>
      <c r="CS2045" s="204" t="n"/>
      <c r="CT2045" s="204" t="n"/>
      <c r="CU2045" s="204" t="n"/>
      <c r="CV2045" s="204" t="n"/>
      <c r="CW2045" s="204" t="n"/>
    </row>
    <row r="2046">
      <c r="BF2046" s="78" t="n"/>
      <c r="BG2046" s="78" t="n"/>
      <c r="BH2046" s="78" t="n"/>
      <c r="BI2046" s="78" t="n"/>
      <c r="BJ2046" s="139" t="n"/>
      <c r="BK2046" s="204" t="n"/>
      <c r="BL2046" s="141" t="n"/>
      <c r="BM2046" s="205" t="n"/>
      <c r="BN2046" s="205" t="n"/>
      <c r="BO2046" s="206" t="n"/>
      <c r="BP2046" s="144" t="n"/>
      <c r="BQ2046" s="141" t="n"/>
      <c r="BR2046" s="207" t="n"/>
      <c r="BS2046" s="207" t="n"/>
      <c r="BT2046" s="207" t="n"/>
      <c r="BU2046" s="207" t="n"/>
      <c r="BV2046" s="208" t="n"/>
      <c r="BW2046" s="207" t="n"/>
      <c r="BX2046" s="207" t="n"/>
      <c r="BY2046" s="204" t="n"/>
      <c r="BZ2046" s="148" t="n"/>
      <c r="CA2046" s="204" t="n"/>
      <c r="CB2046" s="208" t="n"/>
      <c r="CC2046" s="139" t="n"/>
      <c r="CD2046" s="204" t="n"/>
      <c r="CE2046" s="204" t="n"/>
      <c r="CF2046" s="207" t="n"/>
      <c r="CG2046" s="208" t="n"/>
      <c r="CH2046" s="207" t="n"/>
      <c r="CI2046" s="208" t="n"/>
      <c r="CJ2046" s="204" t="n"/>
      <c r="CK2046" s="208" t="n"/>
      <c r="CL2046" s="208" t="n"/>
      <c r="CM2046" s="208" t="n"/>
      <c r="CN2046" s="78" t="n"/>
      <c r="CO2046" s="209" t="n"/>
      <c r="CP2046" s="204" t="n"/>
      <c r="CQ2046" s="204" t="n"/>
      <c r="CR2046" s="204" t="n"/>
      <c r="CS2046" s="204" t="n"/>
      <c r="CT2046" s="204" t="n"/>
      <c r="CU2046" s="204" t="n"/>
      <c r="CV2046" s="204" t="n"/>
      <c r="CW2046" s="204" t="n"/>
    </row>
    <row r="2047">
      <c r="BF2047" s="78" t="n"/>
      <c r="BG2047" s="78" t="n"/>
      <c r="BH2047" s="78" t="n"/>
      <c r="BI2047" s="78" t="n"/>
      <c r="BJ2047" s="139" t="n"/>
      <c r="BK2047" s="204" t="n"/>
      <c r="BL2047" s="141" t="n"/>
      <c r="BM2047" s="205" t="n"/>
      <c r="BN2047" s="205" t="n"/>
      <c r="BO2047" s="206" t="n"/>
      <c r="BP2047" s="144" t="n"/>
      <c r="BQ2047" s="141" t="n"/>
      <c r="BR2047" s="207" t="n"/>
      <c r="BS2047" s="207" t="n"/>
      <c r="BT2047" s="207" t="n"/>
      <c r="BU2047" s="207" t="n"/>
      <c r="BV2047" s="208" t="n"/>
      <c r="BW2047" s="207" t="n"/>
      <c r="BX2047" s="207" t="n"/>
      <c r="BY2047" s="204" t="n"/>
      <c r="BZ2047" s="148" t="n"/>
      <c r="CA2047" s="204" t="n"/>
      <c r="CB2047" s="208" t="n"/>
      <c r="CC2047" s="139" t="n"/>
      <c r="CD2047" s="204" t="n"/>
      <c r="CE2047" s="204" t="n"/>
      <c r="CF2047" s="207" t="n"/>
      <c r="CG2047" s="208" t="n"/>
      <c r="CH2047" s="207" t="n"/>
      <c r="CI2047" s="208" t="n"/>
      <c r="CJ2047" s="204" t="n"/>
      <c r="CK2047" s="208" t="n"/>
      <c r="CL2047" s="208" t="n"/>
      <c r="CM2047" s="208" t="n"/>
      <c r="CN2047" s="78" t="n"/>
      <c r="CO2047" s="209" t="n"/>
      <c r="CP2047" s="204" t="n"/>
      <c r="CQ2047" s="204" t="n"/>
      <c r="CR2047" s="204" t="n"/>
      <c r="CS2047" s="204" t="n"/>
      <c r="CT2047" s="204" t="n"/>
      <c r="CU2047" s="204" t="n"/>
      <c r="CV2047" s="204" t="n"/>
      <c r="CW2047" s="204" t="n"/>
    </row>
    <row r="2048">
      <c r="BF2048" s="78" t="n"/>
      <c r="BG2048" s="78" t="n"/>
      <c r="BH2048" s="78" t="n"/>
      <c r="BI2048" s="78" t="n"/>
      <c r="BJ2048" s="139" t="n"/>
      <c r="BK2048" s="204" t="n"/>
      <c r="BL2048" s="141" t="n"/>
      <c r="BM2048" s="205" t="n"/>
      <c r="BN2048" s="205" t="n"/>
      <c r="BO2048" s="206" t="n"/>
      <c r="BP2048" s="144" t="n"/>
      <c r="BQ2048" s="141" t="n"/>
      <c r="BR2048" s="207" t="n"/>
      <c r="BS2048" s="207" t="n"/>
      <c r="BT2048" s="207" t="n"/>
      <c r="BU2048" s="207" t="n"/>
      <c r="BV2048" s="208" t="n"/>
      <c r="BW2048" s="207" t="n"/>
      <c r="BX2048" s="207" t="n"/>
      <c r="BY2048" s="204" t="n"/>
      <c r="BZ2048" s="148" t="n"/>
      <c r="CA2048" s="204" t="n"/>
      <c r="CB2048" s="208" t="n"/>
      <c r="CC2048" s="139" t="n"/>
      <c r="CD2048" s="204" t="n"/>
      <c r="CE2048" s="204" t="n"/>
      <c r="CF2048" s="207" t="n"/>
      <c r="CG2048" s="208" t="n"/>
      <c r="CH2048" s="207" t="n"/>
      <c r="CI2048" s="208" t="n"/>
      <c r="CJ2048" s="204" t="n"/>
      <c r="CK2048" s="208" t="n"/>
      <c r="CL2048" s="208" t="n"/>
      <c r="CM2048" s="208" t="n"/>
      <c r="CN2048" s="78" t="n"/>
      <c r="CO2048" s="209" t="n"/>
      <c r="CP2048" s="204" t="n"/>
      <c r="CQ2048" s="204" t="n"/>
      <c r="CR2048" s="204" t="n"/>
      <c r="CS2048" s="204" t="n"/>
      <c r="CT2048" s="204" t="n"/>
      <c r="CU2048" s="204" t="n"/>
      <c r="CV2048" s="204" t="n"/>
      <c r="CW2048" s="204" t="n"/>
    </row>
    <row r="2049">
      <c r="BF2049" s="78" t="n"/>
      <c r="BG2049" s="78" t="n"/>
      <c r="BH2049" s="78" t="n"/>
      <c r="BI2049" s="78" t="n"/>
      <c r="BJ2049" s="139" t="n"/>
      <c r="BK2049" s="204" t="n"/>
      <c r="BL2049" s="141" t="n"/>
      <c r="BM2049" s="205" t="n"/>
      <c r="BN2049" s="205" t="n"/>
      <c r="BO2049" s="206" t="n"/>
      <c r="BP2049" s="144" t="n"/>
      <c r="BQ2049" s="141" t="n"/>
      <c r="BR2049" s="207" t="n"/>
      <c r="BS2049" s="207" t="n"/>
      <c r="BT2049" s="207" t="n"/>
      <c r="BU2049" s="207" t="n"/>
      <c r="BV2049" s="208" t="n"/>
      <c r="BW2049" s="207" t="n"/>
      <c r="BX2049" s="207" t="n"/>
      <c r="BY2049" s="204" t="n"/>
      <c r="BZ2049" s="148" t="n"/>
      <c r="CA2049" s="204" t="n"/>
      <c r="CB2049" s="208" t="n"/>
      <c r="CC2049" s="139" t="n"/>
      <c r="CD2049" s="204" t="n"/>
      <c r="CE2049" s="204" t="n"/>
      <c r="CF2049" s="207" t="n"/>
      <c r="CG2049" s="208" t="n"/>
      <c r="CH2049" s="207" t="n"/>
      <c r="CI2049" s="208" t="n"/>
      <c r="CJ2049" s="204" t="n"/>
      <c r="CK2049" s="208" t="n"/>
      <c r="CL2049" s="208" t="n"/>
      <c r="CM2049" s="208" t="n"/>
      <c r="CN2049" s="78" t="n"/>
      <c r="CO2049" s="209" t="n"/>
      <c r="CP2049" s="204" t="n"/>
      <c r="CQ2049" s="204" t="n"/>
      <c r="CR2049" s="204" t="n"/>
      <c r="CS2049" s="204" t="n"/>
      <c r="CT2049" s="204" t="n"/>
      <c r="CU2049" s="204" t="n"/>
      <c r="CV2049" s="204" t="n"/>
      <c r="CW2049" s="204" t="n"/>
    </row>
    <row r="2050">
      <c r="BF2050" s="78" t="n"/>
      <c r="BG2050" s="78" t="n"/>
      <c r="BH2050" s="78" t="n"/>
      <c r="BI2050" s="78" t="n"/>
      <c r="BJ2050" s="139" t="n"/>
      <c r="BK2050" s="204" t="n"/>
      <c r="BL2050" s="141" t="n"/>
      <c r="BM2050" s="205" t="n"/>
      <c r="BN2050" s="205" t="n"/>
      <c r="BO2050" s="206" t="n"/>
      <c r="BP2050" s="144" t="n"/>
      <c r="BQ2050" s="141" t="n"/>
      <c r="BR2050" s="207" t="n"/>
      <c r="BS2050" s="207" t="n"/>
      <c r="BT2050" s="207" t="n"/>
      <c r="BU2050" s="207" t="n"/>
      <c r="BV2050" s="208" t="n"/>
      <c r="BW2050" s="207" t="n"/>
      <c r="BX2050" s="207" t="n"/>
      <c r="BY2050" s="204" t="n"/>
      <c r="BZ2050" s="148" t="n"/>
      <c r="CA2050" s="204" t="n"/>
      <c r="CB2050" s="208" t="n"/>
      <c r="CC2050" s="139" t="n"/>
      <c r="CD2050" s="204" t="n"/>
      <c r="CE2050" s="204" t="n"/>
      <c r="CF2050" s="207" t="n"/>
      <c r="CG2050" s="208" t="n"/>
      <c r="CH2050" s="207" t="n"/>
      <c r="CI2050" s="208" t="n"/>
      <c r="CJ2050" s="204" t="n"/>
      <c r="CK2050" s="208" t="n"/>
      <c r="CL2050" s="208" t="n"/>
      <c r="CM2050" s="208" t="n"/>
      <c r="CN2050" s="78" t="n"/>
      <c r="CO2050" s="209" t="n"/>
      <c r="CP2050" s="204" t="n"/>
      <c r="CQ2050" s="204" t="n"/>
      <c r="CR2050" s="204" t="n"/>
      <c r="CS2050" s="204" t="n"/>
      <c r="CT2050" s="204" t="n"/>
      <c r="CU2050" s="204" t="n"/>
      <c r="CV2050" s="204" t="n"/>
      <c r="CW2050" s="204" t="n"/>
    </row>
    <row r="2051">
      <c r="BF2051" s="78" t="n"/>
      <c r="BG2051" s="78" t="n"/>
      <c r="BH2051" s="78" t="n"/>
      <c r="BI2051" s="78" t="n"/>
      <c r="BJ2051" s="139" t="n"/>
      <c r="BK2051" s="204" t="n"/>
      <c r="BL2051" s="141" t="n"/>
      <c r="BM2051" s="205" t="n"/>
      <c r="BN2051" s="205" t="n"/>
      <c r="BO2051" s="206" t="n"/>
      <c r="BP2051" s="144" t="n"/>
      <c r="BQ2051" s="141" t="n"/>
      <c r="BR2051" s="207" t="n"/>
      <c r="BS2051" s="207" t="n"/>
      <c r="BT2051" s="207" t="n"/>
      <c r="BU2051" s="207" t="n"/>
      <c r="BV2051" s="208" t="n"/>
      <c r="BW2051" s="207" t="n"/>
      <c r="BX2051" s="207" t="n"/>
      <c r="BY2051" s="204" t="n"/>
      <c r="BZ2051" s="148" t="n"/>
      <c r="CA2051" s="204" t="n"/>
      <c r="CB2051" s="208" t="n"/>
      <c r="CC2051" s="139" t="n"/>
      <c r="CD2051" s="204" t="n"/>
      <c r="CE2051" s="204" t="n"/>
      <c r="CF2051" s="207" t="n"/>
      <c r="CG2051" s="208" t="n"/>
      <c r="CH2051" s="207" t="n"/>
      <c r="CI2051" s="208" t="n"/>
      <c r="CJ2051" s="204" t="n"/>
      <c r="CK2051" s="208" t="n"/>
      <c r="CL2051" s="208" t="n"/>
      <c r="CM2051" s="208" t="n"/>
      <c r="CN2051" s="78" t="n"/>
      <c r="CO2051" s="209" t="n"/>
      <c r="CP2051" s="204" t="n"/>
      <c r="CQ2051" s="204" t="n"/>
      <c r="CR2051" s="204" t="n"/>
      <c r="CS2051" s="204" t="n"/>
      <c r="CT2051" s="204" t="n"/>
      <c r="CU2051" s="204" t="n"/>
      <c r="CV2051" s="204" t="n"/>
      <c r="CW2051" s="204" t="n"/>
    </row>
    <row r="2052">
      <c r="BF2052" s="78" t="n"/>
      <c r="BG2052" s="78" t="n"/>
      <c r="BH2052" s="78" t="n"/>
      <c r="BI2052" s="78" t="n"/>
      <c r="BJ2052" s="139" t="n"/>
      <c r="BK2052" s="204" t="n"/>
      <c r="BL2052" s="141" t="n"/>
      <c r="BM2052" s="205" t="n"/>
      <c r="BN2052" s="205" t="n"/>
      <c r="BO2052" s="206" t="n"/>
      <c r="BP2052" s="144" t="n"/>
      <c r="BQ2052" s="141" t="n"/>
      <c r="BR2052" s="207" t="n"/>
      <c r="BS2052" s="207" t="n"/>
      <c r="BT2052" s="207" t="n"/>
      <c r="BU2052" s="207" t="n"/>
      <c r="BV2052" s="208" t="n"/>
      <c r="BW2052" s="207" t="n"/>
      <c r="BX2052" s="207" t="n"/>
      <c r="BY2052" s="204" t="n"/>
      <c r="BZ2052" s="148" t="n"/>
      <c r="CA2052" s="204" t="n"/>
      <c r="CB2052" s="208" t="n"/>
      <c r="CC2052" s="139" t="n"/>
      <c r="CD2052" s="204" t="n"/>
      <c r="CE2052" s="204" t="n"/>
      <c r="CF2052" s="207" t="n"/>
      <c r="CG2052" s="208" t="n"/>
      <c r="CH2052" s="207" t="n"/>
      <c r="CI2052" s="208" t="n"/>
      <c r="CJ2052" s="204" t="n"/>
      <c r="CK2052" s="208" t="n"/>
      <c r="CL2052" s="208" t="n"/>
      <c r="CM2052" s="208" t="n"/>
      <c r="CN2052" s="78" t="n"/>
      <c r="CO2052" s="209" t="n"/>
      <c r="CP2052" s="204" t="n"/>
      <c r="CQ2052" s="204" t="n"/>
      <c r="CR2052" s="204" t="n"/>
      <c r="CS2052" s="204" t="n"/>
      <c r="CT2052" s="204" t="n"/>
      <c r="CU2052" s="204" t="n"/>
      <c r="CV2052" s="204" t="n"/>
      <c r="CW2052" s="204" t="n"/>
    </row>
    <row r="2053">
      <c r="BF2053" s="78" t="n"/>
      <c r="BG2053" s="78" t="n"/>
      <c r="BH2053" s="78" t="n"/>
      <c r="BI2053" s="78" t="n"/>
      <c r="BJ2053" s="139" t="n"/>
      <c r="BK2053" s="204" t="n"/>
      <c r="BL2053" s="141" t="n"/>
      <c r="BM2053" s="205" t="n"/>
      <c r="BN2053" s="205" t="n"/>
      <c r="BO2053" s="206" t="n"/>
      <c r="BP2053" s="144" t="n"/>
      <c r="BQ2053" s="141" t="n"/>
      <c r="BR2053" s="207" t="n"/>
      <c r="BS2053" s="207" t="n"/>
      <c r="BT2053" s="207" t="n"/>
      <c r="BU2053" s="207" t="n"/>
      <c r="BV2053" s="208" t="n"/>
      <c r="BW2053" s="207" t="n"/>
      <c r="BX2053" s="207" t="n"/>
      <c r="BY2053" s="204" t="n"/>
      <c r="BZ2053" s="148" t="n"/>
      <c r="CA2053" s="204" t="n"/>
      <c r="CB2053" s="208" t="n"/>
      <c r="CC2053" s="139" t="n"/>
      <c r="CD2053" s="204" t="n"/>
      <c r="CE2053" s="204" t="n"/>
      <c r="CF2053" s="207" t="n"/>
      <c r="CG2053" s="208" t="n"/>
      <c r="CH2053" s="207" t="n"/>
      <c r="CI2053" s="208" t="n"/>
      <c r="CJ2053" s="204" t="n"/>
      <c r="CK2053" s="208" t="n"/>
      <c r="CL2053" s="208" t="n"/>
      <c r="CM2053" s="208" t="n"/>
      <c r="CN2053" s="78" t="n"/>
      <c r="CO2053" s="209" t="n"/>
      <c r="CP2053" s="204" t="n"/>
      <c r="CQ2053" s="204" t="n"/>
      <c r="CR2053" s="204" t="n"/>
      <c r="CS2053" s="204" t="n"/>
      <c r="CT2053" s="204" t="n"/>
      <c r="CU2053" s="204" t="n"/>
      <c r="CV2053" s="204" t="n"/>
      <c r="CW2053" s="204" t="n"/>
    </row>
    <row r="2054">
      <c r="BF2054" s="78" t="n"/>
      <c r="BG2054" s="78" t="n"/>
      <c r="BH2054" s="78" t="n"/>
      <c r="BI2054" s="78" t="n"/>
      <c r="BJ2054" s="139" t="n"/>
      <c r="BK2054" s="204" t="n"/>
      <c r="BL2054" s="141" t="n"/>
      <c r="BM2054" s="205" t="n"/>
      <c r="BN2054" s="205" t="n"/>
      <c r="BO2054" s="206" t="n"/>
      <c r="BP2054" s="144" t="n"/>
      <c r="BQ2054" s="141" t="n"/>
      <c r="BR2054" s="207" t="n"/>
      <c r="BS2054" s="207" t="n"/>
      <c r="BT2054" s="207" t="n"/>
      <c r="BU2054" s="207" t="n"/>
      <c r="BV2054" s="208" t="n"/>
      <c r="BW2054" s="207" t="n"/>
      <c r="BX2054" s="207" t="n"/>
      <c r="BY2054" s="204" t="n"/>
      <c r="BZ2054" s="148" t="n"/>
      <c r="CA2054" s="204" t="n"/>
      <c r="CB2054" s="208" t="n"/>
      <c r="CC2054" s="139" t="n"/>
      <c r="CD2054" s="204" t="n"/>
      <c r="CE2054" s="204" t="n"/>
      <c r="CF2054" s="207" t="n"/>
      <c r="CG2054" s="208" t="n"/>
      <c r="CH2054" s="207" t="n"/>
      <c r="CI2054" s="208" t="n"/>
      <c r="CJ2054" s="204" t="n"/>
      <c r="CK2054" s="208" t="n"/>
      <c r="CL2054" s="208" t="n"/>
      <c r="CM2054" s="208" t="n"/>
      <c r="CN2054" s="78" t="n"/>
      <c r="CO2054" s="209" t="n"/>
      <c r="CP2054" s="204" t="n"/>
      <c r="CQ2054" s="204" t="n"/>
      <c r="CR2054" s="204" t="n"/>
      <c r="CS2054" s="204" t="n"/>
      <c r="CT2054" s="204" t="n"/>
      <c r="CU2054" s="204" t="n"/>
      <c r="CV2054" s="204" t="n"/>
      <c r="CW2054" s="204" t="n"/>
    </row>
    <row r="2055">
      <c r="BF2055" s="78" t="n"/>
      <c r="BG2055" s="78" t="n"/>
      <c r="BH2055" s="78" t="n"/>
      <c r="BI2055" s="78" t="n"/>
      <c r="BJ2055" s="139" t="n"/>
      <c r="BK2055" s="204" t="n"/>
      <c r="BL2055" s="141" t="n"/>
      <c r="BM2055" s="205" t="n"/>
      <c r="BN2055" s="205" t="n"/>
      <c r="BO2055" s="206" t="n"/>
      <c r="BP2055" s="144" t="n"/>
      <c r="BQ2055" s="141" t="n"/>
      <c r="BR2055" s="207" t="n"/>
      <c r="BS2055" s="207" t="n"/>
      <c r="BT2055" s="207" t="n"/>
      <c r="BU2055" s="207" t="n"/>
      <c r="BV2055" s="208" t="n"/>
      <c r="BW2055" s="207" t="n"/>
      <c r="BX2055" s="207" t="n"/>
      <c r="BY2055" s="204" t="n"/>
      <c r="BZ2055" s="148" t="n"/>
      <c r="CA2055" s="204" t="n"/>
      <c r="CB2055" s="208" t="n"/>
      <c r="CC2055" s="139" t="n"/>
      <c r="CD2055" s="204" t="n"/>
      <c r="CE2055" s="204" t="n"/>
      <c r="CF2055" s="207" t="n"/>
      <c r="CG2055" s="208" t="n"/>
      <c r="CH2055" s="207" t="n"/>
      <c r="CI2055" s="208" t="n"/>
      <c r="CJ2055" s="204" t="n"/>
      <c r="CK2055" s="208" t="n"/>
      <c r="CL2055" s="208" t="n"/>
      <c r="CM2055" s="208" t="n"/>
      <c r="CN2055" s="78" t="n"/>
      <c r="CO2055" s="209" t="n"/>
      <c r="CP2055" s="204" t="n"/>
      <c r="CQ2055" s="204" t="n"/>
      <c r="CR2055" s="204" t="n"/>
      <c r="CS2055" s="204" t="n"/>
      <c r="CT2055" s="204" t="n"/>
      <c r="CU2055" s="204" t="n"/>
      <c r="CV2055" s="204" t="n"/>
      <c r="CW2055" s="204" t="n"/>
    </row>
    <row r="2056">
      <c r="BF2056" s="78" t="n"/>
      <c r="BG2056" s="78" t="n"/>
      <c r="BH2056" s="78" t="n"/>
      <c r="BI2056" s="78" t="n"/>
      <c r="BJ2056" s="139" t="n"/>
      <c r="BK2056" s="204" t="n"/>
      <c r="BL2056" s="141" t="n"/>
      <c r="BM2056" s="205" t="n"/>
      <c r="BN2056" s="205" t="n"/>
      <c r="BO2056" s="206" t="n"/>
      <c r="BP2056" s="144" t="n"/>
      <c r="BQ2056" s="141" t="n"/>
      <c r="BR2056" s="207" t="n"/>
      <c r="BS2056" s="207" t="n"/>
      <c r="BT2056" s="207" t="n"/>
      <c r="BU2056" s="207" t="n"/>
      <c r="BV2056" s="208" t="n"/>
      <c r="BW2056" s="207" t="n"/>
      <c r="BX2056" s="207" t="n"/>
      <c r="BY2056" s="204" t="n"/>
      <c r="BZ2056" s="148" t="n"/>
      <c r="CA2056" s="204" t="n"/>
      <c r="CB2056" s="208" t="n"/>
      <c r="CC2056" s="139" t="n"/>
      <c r="CD2056" s="204" t="n"/>
      <c r="CE2056" s="204" t="n"/>
      <c r="CF2056" s="207" t="n"/>
      <c r="CG2056" s="208" t="n"/>
      <c r="CH2056" s="207" t="n"/>
      <c r="CI2056" s="208" t="n"/>
      <c r="CJ2056" s="204" t="n"/>
      <c r="CK2056" s="208" t="n"/>
      <c r="CL2056" s="208" t="n"/>
      <c r="CM2056" s="208" t="n"/>
      <c r="CN2056" s="78" t="n"/>
      <c r="CO2056" s="209" t="n"/>
      <c r="CP2056" s="204" t="n"/>
      <c r="CQ2056" s="204" t="n"/>
      <c r="CR2056" s="204" t="n"/>
      <c r="CS2056" s="204" t="n"/>
      <c r="CT2056" s="204" t="n"/>
      <c r="CU2056" s="204" t="n"/>
      <c r="CV2056" s="204" t="n"/>
      <c r="CW2056" s="204" t="n"/>
    </row>
    <row r="2057">
      <c r="BF2057" s="78" t="n"/>
      <c r="BG2057" s="78" t="n"/>
      <c r="BH2057" s="78" t="n"/>
      <c r="BI2057" s="78" t="n"/>
      <c r="BJ2057" s="139" t="n"/>
      <c r="BK2057" s="204" t="n"/>
      <c r="BL2057" s="141" t="n"/>
      <c r="BM2057" s="205" t="n"/>
      <c r="BN2057" s="205" t="n"/>
      <c r="BO2057" s="206" t="n"/>
      <c r="BP2057" s="144" t="n"/>
      <c r="BQ2057" s="141" t="n"/>
      <c r="BR2057" s="207" t="n"/>
      <c r="BS2057" s="207" t="n"/>
      <c r="BT2057" s="207" t="n"/>
      <c r="BU2057" s="207" t="n"/>
      <c r="BV2057" s="208" t="n"/>
      <c r="BW2057" s="207" t="n"/>
      <c r="BX2057" s="207" t="n"/>
      <c r="BY2057" s="204" t="n"/>
      <c r="BZ2057" s="148" t="n"/>
      <c r="CA2057" s="204" t="n"/>
      <c r="CB2057" s="208" t="n"/>
      <c r="CC2057" s="139" t="n"/>
      <c r="CD2057" s="204" t="n"/>
      <c r="CE2057" s="204" t="n"/>
      <c r="CF2057" s="207" t="n"/>
      <c r="CG2057" s="208" t="n"/>
      <c r="CH2057" s="207" t="n"/>
      <c r="CI2057" s="208" t="n"/>
      <c r="CJ2057" s="204" t="n"/>
      <c r="CK2057" s="208" t="n"/>
      <c r="CL2057" s="208" t="n"/>
      <c r="CM2057" s="208" t="n"/>
      <c r="CN2057" s="78" t="n"/>
      <c r="CO2057" s="209" t="n"/>
      <c r="CP2057" s="204" t="n"/>
      <c r="CQ2057" s="204" t="n"/>
      <c r="CR2057" s="204" t="n"/>
      <c r="CS2057" s="204" t="n"/>
      <c r="CT2057" s="204" t="n"/>
      <c r="CU2057" s="204" t="n"/>
      <c r="CV2057" s="204" t="n"/>
      <c r="CW2057" s="204" t="n"/>
    </row>
    <row r="2058">
      <c r="BF2058" s="78" t="n"/>
      <c r="BG2058" s="78" t="n"/>
      <c r="BH2058" s="78" t="n"/>
      <c r="BI2058" s="78" t="n"/>
      <c r="BJ2058" s="139" t="n"/>
      <c r="BK2058" s="204" t="n"/>
      <c r="BL2058" s="141" t="n"/>
      <c r="BM2058" s="205" t="n"/>
      <c r="BN2058" s="205" t="n"/>
      <c r="BO2058" s="206" t="n"/>
      <c r="BP2058" s="144" t="n"/>
      <c r="BQ2058" s="141" t="n"/>
      <c r="BR2058" s="207" t="n"/>
      <c r="BS2058" s="207" t="n"/>
      <c r="BT2058" s="207" t="n"/>
      <c r="BU2058" s="207" t="n"/>
      <c r="BV2058" s="208" t="n"/>
      <c r="BW2058" s="207" t="n"/>
      <c r="BX2058" s="207" t="n"/>
      <c r="BY2058" s="204" t="n"/>
      <c r="BZ2058" s="148" t="n"/>
      <c r="CA2058" s="204" t="n"/>
      <c r="CB2058" s="208" t="n"/>
      <c r="CC2058" s="139" t="n"/>
      <c r="CD2058" s="204" t="n"/>
      <c r="CE2058" s="204" t="n"/>
      <c r="CF2058" s="207" t="n"/>
      <c r="CG2058" s="208" t="n"/>
      <c r="CH2058" s="207" t="n"/>
      <c r="CI2058" s="208" t="n"/>
      <c r="CJ2058" s="204" t="n"/>
      <c r="CK2058" s="208" t="n"/>
      <c r="CL2058" s="208" t="n"/>
      <c r="CM2058" s="208" t="n"/>
      <c r="CN2058" s="78" t="n"/>
      <c r="CO2058" s="209" t="n"/>
      <c r="CP2058" s="204" t="n"/>
      <c r="CQ2058" s="204" t="n"/>
      <c r="CR2058" s="204" t="n"/>
      <c r="CS2058" s="204" t="n"/>
      <c r="CT2058" s="204" t="n"/>
      <c r="CU2058" s="204" t="n"/>
      <c r="CV2058" s="204" t="n"/>
      <c r="CW2058" s="204" t="n"/>
    </row>
    <row r="2059">
      <c r="BF2059" s="78" t="n"/>
      <c r="BG2059" s="78" t="n"/>
      <c r="BH2059" s="78" t="n"/>
      <c r="BI2059" s="78" t="n"/>
      <c r="BJ2059" s="139" t="n"/>
      <c r="BK2059" s="204" t="n"/>
      <c r="BL2059" s="141" t="n"/>
      <c r="BM2059" s="205" t="n"/>
      <c r="BN2059" s="205" t="n"/>
      <c r="BO2059" s="206" t="n"/>
      <c r="BP2059" s="144" t="n"/>
      <c r="BQ2059" s="141" t="n"/>
      <c r="BR2059" s="207" t="n"/>
      <c r="BS2059" s="207" t="n"/>
      <c r="BT2059" s="207" t="n"/>
      <c r="BU2059" s="207" t="n"/>
      <c r="BV2059" s="208" t="n"/>
      <c r="BW2059" s="207" t="n"/>
      <c r="BX2059" s="207" t="n"/>
      <c r="BY2059" s="204" t="n"/>
      <c r="BZ2059" s="148" t="n"/>
      <c r="CA2059" s="204" t="n"/>
      <c r="CB2059" s="208" t="n"/>
      <c r="CC2059" s="139" t="n"/>
      <c r="CD2059" s="204" t="n"/>
      <c r="CE2059" s="204" t="n"/>
      <c r="CF2059" s="207" t="n"/>
      <c r="CG2059" s="208" t="n"/>
      <c r="CH2059" s="207" t="n"/>
      <c r="CI2059" s="208" t="n"/>
      <c r="CJ2059" s="204" t="n"/>
      <c r="CK2059" s="208" t="n"/>
      <c r="CL2059" s="208" t="n"/>
      <c r="CM2059" s="208" t="n"/>
      <c r="CN2059" s="78" t="n"/>
      <c r="CO2059" s="209" t="n"/>
      <c r="CP2059" s="204" t="n"/>
      <c r="CQ2059" s="204" t="n"/>
      <c r="CR2059" s="204" t="n"/>
      <c r="CS2059" s="204" t="n"/>
      <c r="CT2059" s="204" t="n"/>
      <c r="CU2059" s="204" t="n"/>
      <c r="CV2059" s="204" t="n"/>
      <c r="CW2059" s="204" t="n"/>
    </row>
    <row r="2060">
      <c r="BF2060" s="78" t="n"/>
      <c r="BG2060" s="78" t="n"/>
      <c r="BH2060" s="78" t="n"/>
      <c r="BI2060" s="78" t="n"/>
      <c r="BJ2060" s="139" t="n"/>
      <c r="BK2060" s="204" t="n"/>
      <c r="BL2060" s="141" t="n"/>
      <c r="BM2060" s="205" t="n"/>
      <c r="BN2060" s="205" t="n"/>
      <c r="BO2060" s="206" t="n"/>
      <c r="BP2060" s="144" t="n"/>
      <c r="BQ2060" s="141" t="n"/>
      <c r="BR2060" s="207" t="n"/>
      <c r="BS2060" s="207" t="n"/>
      <c r="BT2060" s="207" t="n"/>
      <c r="BU2060" s="207" t="n"/>
      <c r="BV2060" s="208" t="n"/>
      <c r="BW2060" s="207" t="n"/>
      <c r="BX2060" s="207" t="n"/>
      <c r="BY2060" s="204" t="n"/>
      <c r="BZ2060" s="148" t="n"/>
      <c r="CA2060" s="204" t="n"/>
      <c r="CB2060" s="208" t="n"/>
      <c r="CC2060" s="139" t="n"/>
      <c r="CD2060" s="204" t="n"/>
      <c r="CE2060" s="204" t="n"/>
      <c r="CF2060" s="207" t="n"/>
      <c r="CG2060" s="208" t="n"/>
      <c r="CH2060" s="207" t="n"/>
      <c r="CI2060" s="208" t="n"/>
      <c r="CJ2060" s="204" t="n"/>
      <c r="CK2060" s="208" t="n"/>
      <c r="CL2060" s="208" t="n"/>
      <c r="CM2060" s="208" t="n"/>
      <c r="CN2060" s="78" t="n"/>
      <c r="CO2060" s="209" t="n"/>
      <c r="CP2060" s="204" t="n"/>
      <c r="CQ2060" s="204" t="n"/>
      <c r="CR2060" s="204" t="n"/>
      <c r="CS2060" s="204" t="n"/>
      <c r="CT2060" s="204" t="n"/>
      <c r="CU2060" s="204" t="n"/>
      <c r="CV2060" s="204" t="n"/>
      <c r="CW2060" s="204" t="n"/>
    </row>
    <row r="2061">
      <c r="BF2061" s="78" t="n"/>
      <c r="BG2061" s="78" t="n"/>
      <c r="BH2061" s="78" t="n"/>
      <c r="BI2061" s="78" t="n"/>
      <c r="BJ2061" s="139" t="n"/>
      <c r="BK2061" s="204" t="n"/>
      <c r="BL2061" s="141" t="n"/>
      <c r="BM2061" s="205" t="n"/>
      <c r="BN2061" s="205" t="n"/>
      <c r="BO2061" s="206" t="n"/>
      <c r="BP2061" s="144" t="n"/>
      <c r="BQ2061" s="141" t="n"/>
      <c r="BR2061" s="207" t="n"/>
      <c r="BS2061" s="207" t="n"/>
      <c r="BT2061" s="207" t="n"/>
      <c r="BU2061" s="207" t="n"/>
      <c r="BV2061" s="208" t="n"/>
      <c r="BW2061" s="207" t="n"/>
      <c r="BX2061" s="207" t="n"/>
      <c r="BY2061" s="204" t="n"/>
      <c r="BZ2061" s="148" t="n"/>
      <c r="CA2061" s="204" t="n"/>
      <c r="CB2061" s="208" t="n"/>
      <c r="CC2061" s="139" t="n"/>
      <c r="CD2061" s="204" t="n"/>
      <c r="CE2061" s="204" t="n"/>
      <c r="CF2061" s="207" t="n"/>
      <c r="CG2061" s="208" t="n"/>
      <c r="CH2061" s="207" t="n"/>
      <c r="CI2061" s="208" t="n"/>
      <c r="CJ2061" s="204" t="n"/>
      <c r="CK2061" s="208" t="n"/>
      <c r="CL2061" s="208" t="n"/>
      <c r="CM2061" s="208" t="n"/>
      <c r="CN2061" s="78" t="n"/>
      <c r="CO2061" s="209" t="n"/>
      <c r="CP2061" s="204" t="n"/>
      <c r="CQ2061" s="204" t="n"/>
      <c r="CR2061" s="204" t="n"/>
      <c r="CS2061" s="204" t="n"/>
      <c r="CT2061" s="204" t="n"/>
      <c r="CU2061" s="204" t="n"/>
      <c r="CV2061" s="204" t="n"/>
      <c r="CW2061" s="204" t="n"/>
    </row>
    <row r="2062">
      <c r="BF2062" s="78" t="n"/>
      <c r="BG2062" s="78" t="n"/>
      <c r="BH2062" s="78" t="n"/>
      <c r="BI2062" s="78" t="n"/>
      <c r="BJ2062" s="139" t="n"/>
      <c r="BK2062" s="204" t="n"/>
      <c r="BL2062" s="141" t="n"/>
      <c r="BM2062" s="205" t="n"/>
      <c r="BN2062" s="205" t="n"/>
      <c r="BO2062" s="206" t="n"/>
      <c r="BP2062" s="144" t="n"/>
      <c r="BQ2062" s="141" t="n"/>
      <c r="BR2062" s="207" t="n"/>
      <c r="BS2062" s="207" t="n"/>
      <c r="BT2062" s="207" t="n"/>
      <c r="BU2062" s="207" t="n"/>
      <c r="BV2062" s="208" t="n"/>
      <c r="BW2062" s="207" t="n"/>
      <c r="BX2062" s="207" t="n"/>
      <c r="BY2062" s="204" t="n"/>
      <c r="BZ2062" s="148" t="n"/>
      <c r="CA2062" s="204" t="n"/>
      <c r="CB2062" s="208" t="n"/>
      <c r="CC2062" s="139" t="n"/>
      <c r="CD2062" s="204" t="n"/>
      <c r="CE2062" s="204" t="n"/>
      <c r="CF2062" s="207" t="n"/>
      <c r="CG2062" s="208" t="n"/>
      <c r="CH2062" s="207" t="n"/>
      <c r="CI2062" s="208" t="n"/>
      <c r="CJ2062" s="204" t="n"/>
      <c r="CK2062" s="208" t="n"/>
      <c r="CL2062" s="208" t="n"/>
      <c r="CM2062" s="208" t="n"/>
      <c r="CN2062" s="78" t="n"/>
      <c r="CO2062" s="209" t="n"/>
      <c r="CP2062" s="204" t="n"/>
      <c r="CQ2062" s="204" t="n"/>
      <c r="CR2062" s="204" t="n"/>
      <c r="CS2062" s="204" t="n"/>
      <c r="CT2062" s="204" t="n"/>
      <c r="CU2062" s="204" t="n"/>
      <c r="CV2062" s="204" t="n"/>
      <c r="CW2062" s="204" t="n"/>
    </row>
    <row r="2063">
      <c r="BF2063" s="78" t="n"/>
      <c r="BG2063" s="78" t="n"/>
      <c r="BH2063" s="78" t="n"/>
      <c r="BI2063" s="78" t="n"/>
      <c r="BJ2063" s="139" t="n"/>
      <c r="BK2063" s="204" t="n"/>
      <c r="BL2063" s="141" t="n"/>
      <c r="BM2063" s="205" t="n"/>
      <c r="BN2063" s="205" t="n"/>
      <c r="BO2063" s="206" t="n"/>
      <c r="BP2063" s="144" t="n"/>
      <c r="BQ2063" s="141" t="n"/>
      <c r="BR2063" s="207" t="n"/>
      <c r="BS2063" s="207" t="n"/>
      <c r="BT2063" s="207" t="n"/>
      <c r="BU2063" s="207" t="n"/>
      <c r="BV2063" s="208" t="n"/>
      <c r="BW2063" s="207" t="n"/>
      <c r="BX2063" s="207" t="n"/>
      <c r="BY2063" s="204" t="n"/>
      <c r="BZ2063" s="148" t="n"/>
      <c r="CA2063" s="204" t="n"/>
      <c r="CB2063" s="208" t="n"/>
      <c r="CC2063" s="139" t="n"/>
      <c r="CD2063" s="204" t="n"/>
      <c r="CE2063" s="204" t="n"/>
      <c r="CF2063" s="207" t="n"/>
      <c r="CG2063" s="208" t="n"/>
      <c r="CH2063" s="207" t="n"/>
      <c r="CI2063" s="208" t="n"/>
      <c r="CJ2063" s="204" t="n"/>
      <c r="CK2063" s="208" t="n"/>
      <c r="CL2063" s="208" t="n"/>
      <c r="CM2063" s="208" t="n"/>
      <c r="CN2063" s="78" t="n"/>
      <c r="CO2063" s="209" t="n"/>
      <c r="CP2063" s="204" t="n"/>
      <c r="CQ2063" s="204" t="n"/>
      <c r="CR2063" s="204" t="n"/>
      <c r="CS2063" s="204" t="n"/>
      <c r="CT2063" s="204" t="n"/>
      <c r="CU2063" s="204" t="n"/>
      <c r="CV2063" s="204" t="n"/>
      <c r="CW2063" s="204" t="n"/>
    </row>
    <row r="2064">
      <c r="BF2064" s="78" t="n"/>
      <c r="BG2064" s="78" t="n"/>
      <c r="BH2064" s="78" t="n"/>
      <c r="BI2064" s="78" t="n"/>
      <c r="BJ2064" s="139" t="n"/>
      <c r="BK2064" s="204" t="n"/>
      <c r="BL2064" s="141" t="n"/>
      <c r="BM2064" s="205" t="n"/>
      <c r="BN2064" s="205" t="n"/>
      <c r="BO2064" s="206" t="n"/>
      <c r="BP2064" s="144" t="n"/>
      <c r="BQ2064" s="141" t="n"/>
      <c r="BR2064" s="207" t="n"/>
      <c r="BS2064" s="207" t="n"/>
      <c r="BT2064" s="207" t="n"/>
      <c r="BU2064" s="207" t="n"/>
      <c r="BV2064" s="208" t="n"/>
      <c r="BW2064" s="207" t="n"/>
      <c r="BX2064" s="207" t="n"/>
      <c r="BY2064" s="204" t="n"/>
      <c r="BZ2064" s="148" t="n"/>
      <c r="CA2064" s="204" t="n"/>
      <c r="CB2064" s="208" t="n"/>
      <c r="CC2064" s="139" t="n"/>
      <c r="CD2064" s="204" t="n"/>
      <c r="CE2064" s="204" t="n"/>
      <c r="CF2064" s="207" t="n"/>
      <c r="CG2064" s="208" t="n"/>
      <c r="CH2064" s="207" t="n"/>
      <c r="CI2064" s="208" t="n"/>
      <c r="CJ2064" s="204" t="n"/>
      <c r="CK2064" s="208" t="n"/>
      <c r="CL2064" s="208" t="n"/>
      <c r="CM2064" s="208" t="n"/>
      <c r="CN2064" s="78" t="n"/>
      <c r="CO2064" s="209" t="n"/>
      <c r="CP2064" s="204" t="n"/>
      <c r="CQ2064" s="204" t="n"/>
      <c r="CR2064" s="204" t="n"/>
      <c r="CS2064" s="204" t="n"/>
      <c r="CT2064" s="204" t="n"/>
      <c r="CU2064" s="204" t="n"/>
      <c r="CV2064" s="204" t="n"/>
      <c r="CW2064" s="204" t="n"/>
    </row>
    <row r="2065">
      <c r="BF2065" s="78" t="n"/>
      <c r="BG2065" s="78" t="n"/>
      <c r="BH2065" s="78" t="n"/>
      <c r="BI2065" s="78" t="n"/>
      <c r="BJ2065" s="139" t="n"/>
      <c r="BK2065" s="204" t="n"/>
      <c r="BL2065" s="141" t="n"/>
      <c r="BM2065" s="205" t="n"/>
      <c r="BN2065" s="205" t="n"/>
      <c r="BO2065" s="206" t="n"/>
      <c r="BP2065" s="144" t="n"/>
      <c r="BQ2065" s="141" t="n"/>
      <c r="BR2065" s="207" t="n"/>
      <c r="BS2065" s="207" t="n"/>
      <c r="BT2065" s="207" t="n"/>
      <c r="BU2065" s="207" t="n"/>
      <c r="BV2065" s="208" t="n"/>
      <c r="BW2065" s="207" t="n"/>
      <c r="BX2065" s="207" t="n"/>
      <c r="BY2065" s="204" t="n"/>
      <c r="BZ2065" s="148" t="n"/>
      <c r="CA2065" s="204" t="n"/>
      <c r="CB2065" s="208" t="n"/>
      <c r="CC2065" s="139" t="n"/>
      <c r="CD2065" s="204" t="n"/>
      <c r="CE2065" s="204" t="n"/>
      <c r="CF2065" s="207" t="n"/>
      <c r="CG2065" s="208" t="n"/>
      <c r="CH2065" s="207" t="n"/>
      <c r="CI2065" s="208" t="n"/>
      <c r="CJ2065" s="204" t="n"/>
      <c r="CK2065" s="208" t="n"/>
      <c r="CL2065" s="208" t="n"/>
      <c r="CM2065" s="208" t="n"/>
      <c r="CN2065" s="78" t="n"/>
      <c r="CO2065" s="209" t="n"/>
      <c r="CP2065" s="204" t="n"/>
      <c r="CQ2065" s="204" t="n"/>
      <c r="CR2065" s="204" t="n"/>
      <c r="CS2065" s="204" t="n"/>
      <c r="CT2065" s="204" t="n"/>
      <c r="CU2065" s="204" t="n"/>
      <c r="CV2065" s="204" t="n"/>
      <c r="CW2065" s="204" t="n"/>
    </row>
    <row r="2066">
      <c r="BF2066" s="78" t="n"/>
      <c r="BG2066" s="78" t="n"/>
      <c r="BH2066" s="78" t="n"/>
      <c r="BI2066" s="78" t="n"/>
      <c r="BJ2066" s="139" t="n"/>
      <c r="BK2066" s="204" t="n"/>
      <c r="BL2066" s="141" t="n"/>
      <c r="BM2066" s="205" t="n"/>
      <c r="BN2066" s="205" t="n"/>
      <c r="BO2066" s="206" t="n"/>
      <c r="BP2066" s="144" t="n"/>
      <c r="BQ2066" s="141" t="n"/>
      <c r="BR2066" s="207" t="n"/>
      <c r="BS2066" s="207" t="n"/>
      <c r="BT2066" s="207" t="n"/>
      <c r="BU2066" s="207" t="n"/>
      <c r="BV2066" s="208" t="n"/>
      <c r="BW2066" s="207" t="n"/>
      <c r="BX2066" s="207" t="n"/>
      <c r="BY2066" s="204" t="n"/>
      <c r="BZ2066" s="148" t="n"/>
      <c r="CA2066" s="204" t="n"/>
      <c r="CB2066" s="208" t="n"/>
      <c r="CC2066" s="139" t="n"/>
      <c r="CD2066" s="204" t="n"/>
      <c r="CE2066" s="204" t="n"/>
      <c r="CF2066" s="207" t="n"/>
      <c r="CG2066" s="208" t="n"/>
      <c r="CH2066" s="207" t="n"/>
      <c r="CI2066" s="208" t="n"/>
      <c r="CJ2066" s="204" t="n"/>
      <c r="CK2066" s="208" t="n"/>
      <c r="CL2066" s="208" t="n"/>
      <c r="CM2066" s="208" t="n"/>
      <c r="CN2066" s="78" t="n"/>
      <c r="CO2066" s="209" t="n"/>
      <c r="CP2066" s="204" t="n"/>
      <c r="CQ2066" s="204" t="n"/>
      <c r="CR2066" s="204" t="n"/>
      <c r="CS2066" s="204" t="n"/>
      <c r="CT2066" s="204" t="n"/>
      <c r="CU2066" s="204" t="n"/>
      <c r="CV2066" s="204" t="n"/>
      <c r="CW2066" s="204" t="n"/>
    </row>
    <row r="2067">
      <c r="BF2067" s="78" t="n"/>
      <c r="BG2067" s="78" t="n"/>
      <c r="BH2067" s="78" t="n"/>
      <c r="BI2067" s="78" t="n"/>
      <c r="BJ2067" s="139" t="n"/>
      <c r="BK2067" s="204" t="n"/>
      <c r="BL2067" s="141" t="n"/>
      <c r="BM2067" s="205" t="n"/>
      <c r="BN2067" s="205" t="n"/>
      <c r="BO2067" s="206" t="n"/>
      <c r="BP2067" s="144" t="n"/>
      <c r="BQ2067" s="141" t="n"/>
      <c r="BR2067" s="207" t="n"/>
      <c r="BS2067" s="207" t="n"/>
      <c r="BT2067" s="207" t="n"/>
      <c r="BU2067" s="207" t="n"/>
      <c r="BV2067" s="208" t="n"/>
      <c r="BW2067" s="207" t="n"/>
      <c r="BX2067" s="207" t="n"/>
      <c r="BY2067" s="204" t="n"/>
      <c r="BZ2067" s="148" t="n"/>
      <c r="CA2067" s="204" t="n"/>
      <c r="CB2067" s="208" t="n"/>
      <c r="CC2067" s="139" t="n"/>
      <c r="CD2067" s="204" t="n"/>
      <c r="CE2067" s="204" t="n"/>
      <c r="CF2067" s="207" t="n"/>
      <c r="CG2067" s="208" t="n"/>
      <c r="CH2067" s="207" t="n"/>
      <c r="CI2067" s="208" t="n"/>
      <c r="CJ2067" s="204" t="n"/>
      <c r="CK2067" s="208" t="n"/>
      <c r="CL2067" s="208" t="n"/>
      <c r="CM2067" s="208" t="n"/>
      <c r="CN2067" s="78" t="n"/>
      <c r="CO2067" s="209" t="n"/>
      <c r="CP2067" s="204" t="n"/>
      <c r="CQ2067" s="204" t="n"/>
      <c r="CR2067" s="204" t="n"/>
      <c r="CS2067" s="204" t="n"/>
      <c r="CT2067" s="204" t="n"/>
      <c r="CU2067" s="204" t="n"/>
      <c r="CV2067" s="204" t="n"/>
      <c r="CW2067" s="204" t="n"/>
    </row>
    <row r="2068">
      <c r="BF2068" s="78" t="n"/>
      <c r="BG2068" s="78" t="n"/>
      <c r="BH2068" s="78" t="n"/>
      <c r="BI2068" s="78" t="n"/>
      <c r="BJ2068" s="139" t="n"/>
      <c r="BK2068" s="204" t="n"/>
      <c r="BL2068" s="141" t="n"/>
      <c r="BM2068" s="205" t="n"/>
      <c r="BN2068" s="205" t="n"/>
      <c r="BO2068" s="206" t="n"/>
      <c r="BP2068" s="144" t="n"/>
      <c r="BQ2068" s="141" t="n"/>
      <c r="BR2068" s="207" t="n"/>
      <c r="BS2068" s="207" t="n"/>
      <c r="BT2068" s="207" t="n"/>
      <c r="BU2068" s="207" t="n"/>
      <c r="BV2068" s="208" t="n"/>
      <c r="BW2068" s="207" t="n"/>
      <c r="BX2068" s="207" t="n"/>
      <c r="BY2068" s="204" t="n"/>
      <c r="BZ2068" s="148" t="n"/>
      <c r="CA2068" s="204" t="n"/>
      <c r="CB2068" s="208" t="n"/>
      <c r="CC2068" s="139" t="n"/>
      <c r="CD2068" s="204" t="n"/>
      <c r="CE2068" s="204" t="n"/>
      <c r="CF2068" s="207" t="n"/>
      <c r="CG2068" s="208" t="n"/>
      <c r="CH2068" s="207" t="n"/>
      <c r="CI2068" s="208" t="n"/>
      <c r="CJ2068" s="204" t="n"/>
      <c r="CK2068" s="208" t="n"/>
      <c r="CL2068" s="208" t="n"/>
      <c r="CM2068" s="208" t="n"/>
      <c r="CN2068" s="78" t="n"/>
      <c r="CO2068" s="209" t="n"/>
      <c r="CP2068" s="204" t="n"/>
      <c r="CQ2068" s="204" t="n"/>
      <c r="CR2068" s="204" t="n"/>
      <c r="CS2068" s="204" t="n"/>
      <c r="CT2068" s="204" t="n"/>
      <c r="CU2068" s="204" t="n"/>
      <c r="CV2068" s="204" t="n"/>
      <c r="CW2068" s="204" t="n"/>
    </row>
    <row r="2069">
      <c r="BF2069" s="78" t="n"/>
      <c r="BG2069" s="78" t="n"/>
      <c r="BH2069" s="78" t="n"/>
      <c r="BI2069" s="78" t="n"/>
      <c r="BJ2069" s="139" t="n"/>
      <c r="BK2069" s="204" t="n"/>
      <c r="BL2069" s="141" t="n"/>
      <c r="BM2069" s="205" t="n"/>
      <c r="BN2069" s="205" t="n"/>
      <c r="BO2069" s="206" t="n"/>
      <c r="BP2069" s="144" t="n"/>
      <c r="BQ2069" s="141" t="n"/>
      <c r="BR2069" s="207" t="n"/>
      <c r="BS2069" s="207" t="n"/>
      <c r="BT2069" s="207" t="n"/>
      <c r="BU2069" s="207" t="n"/>
      <c r="BV2069" s="208" t="n"/>
      <c r="BW2069" s="207" t="n"/>
      <c r="BX2069" s="207" t="n"/>
      <c r="BY2069" s="204" t="n"/>
      <c r="BZ2069" s="148" t="n"/>
      <c r="CA2069" s="204" t="n"/>
      <c r="CB2069" s="208" t="n"/>
      <c r="CC2069" s="139" t="n"/>
      <c r="CD2069" s="204" t="n"/>
      <c r="CE2069" s="204" t="n"/>
      <c r="CF2069" s="207" t="n"/>
      <c r="CG2069" s="208" t="n"/>
      <c r="CH2069" s="207" t="n"/>
      <c r="CI2069" s="208" t="n"/>
      <c r="CJ2069" s="204" t="n"/>
      <c r="CK2069" s="208" t="n"/>
      <c r="CL2069" s="208" t="n"/>
      <c r="CM2069" s="208" t="n"/>
      <c r="CN2069" s="78" t="n"/>
      <c r="CO2069" s="209" t="n"/>
      <c r="CP2069" s="204" t="n"/>
      <c r="CQ2069" s="204" t="n"/>
      <c r="CR2069" s="204" t="n"/>
      <c r="CS2069" s="204" t="n"/>
      <c r="CT2069" s="204" t="n"/>
      <c r="CU2069" s="204" t="n"/>
      <c r="CV2069" s="204" t="n"/>
      <c r="CW2069" s="204" t="n"/>
    </row>
    <row r="2070">
      <c r="BF2070" s="78" t="n"/>
      <c r="BG2070" s="78" t="n"/>
      <c r="BH2070" s="78" t="n"/>
      <c r="BI2070" s="78" t="n"/>
      <c r="BJ2070" s="139" t="n"/>
      <c r="BK2070" s="204" t="n"/>
      <c r="BL2070" s="141" t="n"/>
      <c r="BM2070" s="205" t="n"/>
      <c r="BN2070" s="205" t="n"/>
      <c r="BO2070" s="206" t="n"/>
      <c r="BP2070" s="144" t="n"/>
      <c r="BQ2070" s="141" t="n"/>
      <c r="BR2070" s="207" t="n"/>
      <c r="BS2070" s="207" t="n"/>
      <c r="BT2070" s="207" t="n"/>
      <c r="BU2070" s="207" t="n"/>
      <c r="BV2070" s="208" t="n"/>
      <c r="BW2070" s="207" t="n"/>
      <c r="BX2070" s="207" t="n"/>
      <c r="BY2070" s="204" t="n"/>
      <c r="BZ2070" s="148" t="n"/>
      <c r="CA2070" s="204" t="n"/>
      <c r="CB2070" s="208" t="n"/>
      <c r="CC2070" s="139" t="n"/>
      <c r="CD2070" s="204" t="n"/>
      <c r="CE2070" s="204" t="n"/>
      <c r="CF2070" s="207" t="n"/>
      <c r="CG2070" s="208" t="n"/>
      <c r="CH2070" s="207" t="n"/>
      <c r="CI2070" s="208" t="n"/>
      <c r="CJ2070" s="204" t="n"/>
      <c r="CK2070" s="208" t="n"/>
      <c r="CL2070" s="208" t="n"/>
      <c r="CM2070" s="208" t="n"/>
      <c r="CN2070" s="78" t="n"/>
      <c r="CO2070" s="209" t="n"/>
      <c r="CP2070" s="204" t="n"/>
      <c r="CQ2070" s="204" t="n"/>
      <c r="CR2070" s="204" t="n"/>
      <c r="CS2070" s="204" t="n"/>
      <c r="CT2070" s="204" t="n"/>
      <c r="CU2070" s="204" t="n"/>
      <c r="CV2070" s="204" t="n"/>
      <c r="CW2070" s="204" t="n"/>
    </row>
    <row r="2071">
      <c r="BF2071" s="78" t="n"/>
      <c r="BG2071" s="78" t="n"/>
      <c r="BH2071" s="78" t="n"/>
      <c r="BI2071" s="78" t="n"/>
      <c r="BJ2071" s="139" t="n"/>
      <c r="BK2071" s="204" t="n"/>
      <c r="BL2071" s="141" t="n"/>
      <c r="BM2071" s="205" t="n"/>
      <c r="BN2071" s="205" t="n"/>
      <c r="BO2071" s="206" t="n"/>
      <c r="BP2071" s="144" t="n"/>
      <c r="BQ2071" s="141" t="n"/>
      <c r="BR2071" s="207" t="n"/>
      <c r="BS2071" s="207" t="n"/>
      <c r="BT2071" s="207" t="n"/>
      <c r="BU2071" s="207" t="n"/>
      <c r="BV2071" s="208" t="n"/>
      <c r="BW2071" s="207" t="n"/>
      <c r="BX2071" s="207" t="n"/>
      <c r="BY2071" s="204" t="n"/>
      <c r="BZ2071" s="148" t="n"/>
      <c r="CA2071" s="204" t="n"/>
      <c r="CB2071" s="208" t="n"/>
      <c r="CC2071" s="139" t="n"/>
      <c r="CD2071" s="204" t="n"/>
      <c r="CE2071" s="204" t="n"/>
      <c r="CF2071" s="207" t="n"/>
      <c r="CG2071" s="208" t="n"/>
      <c r="CH2071" s="207" t="n"/>
      <c r="CI2071" s="208" t="n"/>
      <c r="CJ2071" s="204" t="n"/>
      <c r="CK2071" s="208" t="n"/>
      <c r="CL2071" s="208" t="n"/>
      <c r="CM2071" s="208" t="n"/>
      <c r="CN2071" s="78" t="n"/>
      <c r="CO2071" s="209" t="n"/>
      <c r="CP2071" s="204" t="n"/>
      <c r="CQ2071" s="204" t="n"/>
      <c r="CR2071" s="204" t="n"/>
      <c r="CS2071" s="204" t="n"/>
      <c r="CT2071" s="204" t="n"/>
      <c r="CU2071" s="204" t="n"/>
      <c r="CV2071" s="204" t="n"/>
      <c r="CW2071" s="204" t="n"/>
    </row>
    <row r="2072">
      <c r="BF2072" s="78" t="n"/>
      <c r="BG2072" s="78" t="n"/>
      <c r="BH2072" s="78" t="n"/>
      <c r="BI2072" s="78" t="n"/>
      <c r="BJ2072" s="139" t="n"/>
      <c r="BK2072" s="204" t="n"/>
      <c r="BL2072" s="141" t="n"/>
      <c r="BM2072" s="205" t="n"/>
      <c r="BN2072" s="205" t="n"/>
      <c r="BO2072" s="206" t="n"/>
      <c r="BP2072" s="144" t="n"/>
      <c r="BQ2072" s="141" t="n"/>
      <c r="BR2072" s="207" t="n"/>
      <c r="BS2072" s="207" t="n"/>
      <c r="BT2072" s="207" t="n"/>
      <c r="BU2072" s="207" t="n"/>
      <c r="BV2072" s="208" t="n"/>
      <c r="BW2072" s="207" t="n"/>
      <c r="BX2072" s="207" t="n"/>
      <c r="BY2072" s="204" t="n"/>
      <c r="BZ2072" s="148" t="n"/>
      <c r="CA2072" s="204" t="n"/>
      <c r="CB2072" s="208" t="n"/>
      <c r="CC2072" s="139" t="n"/>
      <c r="CD2072" s="204" t="n"/>
      <c r="CE2072" s="204" t="n"/>
      <c r="CF2072" s="207" t="n"/>
      <c r="CG2072" s="208" t="n"/>
      <c r="CH2072" s="207" t="n"/>
      <c r="CI2072" s="208" t="n"/>
      <c r="CJ2072" s="204" t="n"/>
      <c r="CK2072" s="208" t="n"/>
      <c r="CL2072" s="208" t="n"/>
      <c r="CM2072" s="208" t="n"/>
      <c r="CN2072" s="78" t="n"/>
      <c r="CO2072" s="209" t="n"/>
      <c r="CP2072" s="204" t="n"/>
      <c r="CQ2072" s="204" t="n"/>
      <c r="CR2072" s="204" t="n"/>
      <c r="CS2072" s="204" t="n"/>
      <c r="CT2072" s="204" t="n"/>
      <c r="CU2072" s="204" t="n"/>
      <c r="CV2072" s="204" t="n"/>
      <c r="CW2072" s="204" t="n"/>
    </row>
    <row r="2073">
      <c r="BF2073" s="78" t="n"/>
      <c r="BG2073" s="78" t="n"/>
      <c r="BH2073" s="78" t="n"/>
      <c r="BI2073" s="78" t="n"/>
      <c r="BJ2073" s="139" t="n"/>
      <c r="BK2073" s="204" t="n"/>
      <c r="BL2073" s="141" t="n"/>
      <c r="BM2073" s="205" t="n"/>
      <c r="BN2073" s="205" t="n"/>
      <c r="BO2073" s="206" t="n"/>
      <c r="BP2073" s="144" t="n"/>
      <c r="BQ2073" s="141" t="n"/>
      <c r="BR2073" s="207" t="n"/>
      <c r="BS2073" s="207" t="n"/>
      <c r="BT2073" s="207" t="n"/>
      <c r="BU2073" s="207" t="n"/>
      <c r="BV2073" s="208" t="n"/>
      <c r="BW2073" s="207" t="n"/>
      <c r="BX2073" s="207" t="n"/>
      <c r="BY2073" s="204" t="n"/>
      <c r="BZ2073" s="148" t="n"/>
      <c r="CA2073" s="204" t="n"/>
      <c r="CB2073" s="208" t="n"/>
      <c r="CC2073" s="139" t="n"/>
      <c r="CD2073" s="204" t="n"/>
      <c r="CE2073" s="204" t="n"/>
      <c r="CF2073" s="207" t="n"/>
      <c r="CG2073" s="208" t="n"/>
      <c r="CH2073" s="207" t="n"/>
      <c r="CI2073" s="208" t="n"/>
      <c r="CJ2073" s="204" t="n"/>
      <c r="CK2073" s="208" t="n"/>
      <c r="CL2073" s="208" t="n"/>
      <c r="CM2073" s="208" t="n"/>
      <c r="CN2073" s="78" t="n"/>
      <c r="CO2073" s="209" t="n"/>
      <c r="CP2073" s="204" t="n"/>
      <c r="CQ2073" s="204" t="n"/>
      <c r="CR2073" s="204" t="n"/>
      <c r="CS2073" s="204" t="n"/>
      <c r="CT2073" s="204" t="n"/>
      <c r="CU2073" s="204" t="n"/>
      <c r="CV2073" s="204" t="n"/>
      <c r="CW2073" s="204" t="n"/>
    </row>
    <row r="2074">
      <c r="BF2074" s="78" t="n"/>
      <c r="BG2074" s="78" t="n"/>
      <c r="BH2074" s="78" t="n"/>
      <c r="BI2074" s="78" t="n"/>
      <c r="BJ2074" s="139" t="n"/>
      <c r="BK2074" s="204" t="n"/>
      <c r="BL2074" s="141" t="n"/>
      <c r="BM2074" s="205" t="n"/>
      <c r="BN2074" s="205" t="n"/>
      <c r="BO2074" s="206" t="n"/>
      <c r="BP2074" s="144" t="n"/>
      <c r="BQ2074" s="141" t="n"/>
      <c r="BR2074" s="207" t="n"/>
      <c r="BS2074" s="207" t="n"/>
      <c r="BT2074" s="207" t="n"/>
      <c r="BU2074" s="207" t="n"/>
      <c r="BV2074" s="208" t="n"/>
      <c r="BW2074" s="207" t="n"/>
      <c r="BX2074" s="207" t="n"/>
      <c r="BY2074" s="204" t="n"/>
      <c r="BZ2074" s="148" t="n"/>
      <c r="CA2074" s="204" t="n"/>
      <c r="CB2074" s="208" t="n"/>
      <c r="CC2074" s="139" t="n"/>
      <c r="CD2074" s="204" t="n"/>
      <c r="CE2074" s="204" t="n"/>
      <c r="CF2074" s="207" t="n"/>
      <c r="CG2074" s="208" t="n"/>
      <c r="CH2074" s="207" t="n"/>
      <c r="CI2074" s="208" t="n"/>
      <c r="CJ2074" s="204" t="n"/>
      <c r="CK2074" s="208" t="n"/>
      <c r="CL2074" s="208" t="n"/>
      <c r="CM2074" s="208" t="n"/>
      <c r="CN2074" s="78" t="n"/>
      <c r="CO2074" s="209" t="n"/>
      <c r="CP2074" s="204" t="n"/>
      <c r="CQ2074" s="204" t="n"/>
      <c r="CR2074" s="204" t="n"/>
      <c r="CS2074" s="204" t="n"/>
      <c r="CT2074" s="204" t="n"/>
      <c r="CU2074" s="204" t="n"/>
      <c r="CV2074" s="204" t="n"/>
      <c r="CW2074" s="204" t="n"/>
    </row>
    <row r="2075">
      <c r="BF2075" s="78" t="n"/>
      <c r="BG2075" s="78" t="n"/>
      <c r="BH2075" s="78" t="n"/>
      <c r="BI2075" s="78" t="n"/>
      <c r="BJ2075" s="139" t="n"/>
      <c r="BK2075" s="204" t="n"/>
      <c r="BL2075" s="141" t="n"/>
      <c r="BM2075" s="205" t="n"/>
      <c r="BN2075" s="205" t="n"/>
      <c r="BO2075" s="206" t="n"/>
      <c r="BP2075" s="144" t="n"/>
      <c r="BQ2075" s="141" t="n"/>
      <c r="BR2075" s="207" t="n"/>
      <c r="BS2075" s="207" t="n"/>
      <c r="BT2075" s="207" t="n"/>
      <c r="BU2075" s="207" t="n"/>
      <c r="BV2075" s="208" t="n"/>
      <c r="BW2075" s="207" t="n"/>
      <c r="BX2075" s="207" t="n"/>
      <c r="BY2075" s="204" t="n"/>
      <c r="BZ2075" s="148" t="n"/>
      <c r="CA2075" s="204" t="n"/>
      <c r="CB2075" s="208" t="n"/>
      <c r="CC2075" s="139" t="n"/>
      <c r="CD2075" s="204" t="n"/>
      <c r="CE2075" s="204" t="n"/>
      <c r="CF2075" s="207" t="n"/>
      <c r="CG2075" s="208" t="n"/>
      <c r="CH2075" s="207" t="n"/>
      <c r="CI2075" s="208" t="n"/>
      <c r="CJ2075" s="204" t="n"/>
      <c r="CK2075" s="208" t="n"/>
      <c r="CL2075" s="208" t="n"/>
      <c r="CM2075" s="208" t="n"/>
      <c r="CN2075" s="78" t="n"/>
      <c r="CO2075" s="209" t="n"/>
      <c r="CP2075" s="204" t="n"/>
      <c r="CQ2075" s="204" t="n"/>
      <c r="CR2075" s="204" t="n"/>
      <c r="CS2075" s="204" t="n"/>
      <c r="CT2075" s="204" t="n"/>
      <c r="CU2075" s="204" t="n"/>
      <c r="CV2075" s="204" t="n"/>
      <c r="CW2075" s="204" t="n"/>
    </row>
    <row r="2076">
      <c r="BF2076" s="78" t="n"/>
      <c r="BG2076" s="78" t="n"/>
      <c r="BH2076" s="78" t="n"/>
      <c r="BI2076" s="78" t="n"/>
      <c r="BJ2076" s="139" t="n"/>
      <c r="BK2076" s="204" t="n"/>
      <c r="BL2076" s="141" t="n"/>
      <c r="BM2076" s="205" t="n"/>
      <c r="BN2076" s="205" t="n"/>
      <c r="BO2076" s="206" t="n"/>
      <c r="BP2076" s="144" t="n"/>
      <c r="BQ2076" s="141" t="n"/>
      <c r="BR2076" s="207" t="n"/>
      <c r="BS2076" s="207" t="n"/>
      <c r="BT2076" s="207" t="n"/>
      <c r="BU2076" s="207" t="n"/>
      <c r="BV2076" s="208" t="n"/>
      <c r="BW2076" s="207" t="n"/>
      <c r="BX2076" s="207" t="n"/>
      <c r="BY2076" s="204" t="n"/>
      <c r="BZ2076" s="148" t="n"/>
      <c r="CA2076" s="204" t="n"/>
      <c r="CB2076" s="208" t="n"/>
      <c r="CC2076" s="139" t="n"/>
      <c r="CD2076" s="204" t="n"/>
      <c r="CE2076" s="204" t="n"/>
      <c r="CF2076" s="207" t="n"/>
      <c r="CG2076" s="208" t="n"/>
      <c r="CH2076" s="207" t="n"/>
      <c r="CI2076" s="208" t="n"/>
      <c r="CJ2076" s="204" t="n"/>
      <c r="CK2076" s="208" t="n"/>
      <c r="CL2076" s="208" t="n"/>
      <c r="CM2076" s="208" t="n"/>
      <c r="CN2076" s="78" t="n"/>
      <c r="CO2076" s="209" t="n"/>
      <c r="CP2076" s="204" t="n"/>
      <c r="CQ2076" s="204" t="n"/>
      <c r="CR2076" s="204" t="n"/>
      <c r="CS2076" s="204" t="n"/>
      <c r="CT2076" s="204" t="n"/>
      <c r="CU2076" s="204" t="n"/>
      <c r="CV2076" s="204" t="n"/>
      <c r="CW2076" s="204" t="n"/>
    </row>
    <row r="2077">
      <c r="BF2077" s="78" t="n"/>
      <c r="BG2077" s="78" t="n"/>
      <c r="BH2077" s="78" t="n"/>
      <c r="BI2077" s="78" t="n"/>
      <c r="BJ2077" s="139" t="n"/>
      <c r="BK2077" s="204" t="n"/>
      <c r="BL2077" s="141" t="n"/>
      <c r="BM2077" s="205" t="n"/>
      <c r="BN2077" s="205" t="n"/>
      <c r="BO2077" s="206" t="n"/>
      <c r="BP2077" s="144" t="n"/>
      <c r="BQ2077" s="141" t="n"/>
      <c r="BR2077" s="207" t="n"/>
      <c r="BS2077" s="207" t="n"/>
      <c r="BT2077" s="207" t="n"/>
      <c r="BU2077" s="207" t="n"/>
      <c r="BV2077" s="208" t="n"/>
      <c r="BW2077" s="207" t="n"/>
      <c r="BX2077" s="207" t="n"/>
      <c r="BY2077" s="204" t="n"/>
      <c r="BZ2077" s="148" t="n"/>
      <c r="CA2077" s="204" t="n"/>
      <c r="CB2077" s="208" t="n"/>
      <c r="CC2077" s="139" t="n"/>
      <c r="CD2077" s="204" t="n"/>
      <c r="CE2077" s="204" t="n"/>
      <c r="CF2077" s="207" t="n"/>
      <c r="CG2077" s="208" t="n"/>
      <c r="CH2077" s="207" t="n"/>
      <c r="CI2077" s="208" t="n"/>
      <c r="CJ2077" s="204" t="n"/>
      <c r="CK2077" s="208" t="n"/>
      <c r="CL2077" s="208" t="n"/>
      <c r="CM2077" s="208" t="n"/>
      <c r="CN2077" s="78" t="n"/>
      <c r="CO2077" s="209" t="n"/>
      <c r="CP2077" s="204" t="n"/>
      <c r="CQ2077" s="204" t="n"/>
      <c r="CR2077" s="204" t="n"/>
      <c r="CS2077" s="204" t="n"/>
      <c r="CT2077" s="204" t="n"/>
      <c r="CU2077" s="204" t="n"/>
      <c r="CV2077" s="204" t="n"/>
      <c r="CW2077" s="204" t="n"/>
    </row>
    <row r="2078">
      <c r="BF2078" s="78" t="n"/>
      <c r="BG2078" s="78" t="n"/>
      <c r="BH2078" s="78" t="n"/>
      <c r="BI2078" s="78" t="n"/>
      <c r="BJ2078" s="139" t="n"/>
      <c r="BK2078" s="204" t="n"/>
      <c r="BL2078" s="141" t="n"/>
      <c r="BM2078" s="205" t="n"/>
      <c r="BN2078" s="205" t="n"/>
      <c r="BO2078" s="206" t="n"/>
      <c r="BP2078" s="144" t="n"/>
      <c r="BQ2078" s="141" t="n"/>
      <c r="BR2078" s="207" t="n"/>
      <c r="BS2078" s="207" t="n"/>
      <c r="BT2078" s="207" t="n"/>
      <c r="BU2078" s="207" t="n"/>
      <c r="BV2078" s="208" t="n"/>
      <c r="BW2078" s="207" t="n"/>
      <c r="BX2078" s="207" t="n"/>
      <c r="BY2078" s="204" t="n"/>
      <c r="BZ2078" s="148" t="n"/>
      <c r="CA2078" s="204" t="n"/>
      <c r="CB2078" s="208" t="n"/>
      <c r="CC2078" s="139" t="n"/>
      <c r="CD2078" s="204" t="n"/>
      <c r="CE2078" s="204" t="n"/>
      <c r="CF2078" s="207" t="n"/>
      <c r="CG2078" s="208" t="n"/>
      <c r="CH2078" s="207" t="n"/>
      <c r="CI2078" s="208" t="n"/>
      <c r="CJ2078" s="204" t="n"/>
      <c r="CK2078" s="208" t="n"/>
      <c r="CL2078" s="208" t="n"/>
      <c r="CM2078" s="208" t="n"/>
      <c r="CN2078" s="78" t="n"/>
      <c r="CO2078" s="209" t="n"/>
      <c r="CP2078" s="204" t="n"/>
      <c r="CQ2078" s="204" t="n"/>
      <c r="CR2078" s="204" t="n"/>
      <c r="CS2078" s="204" t="n"/>
      <c r="CT2078" s="204" t="n"/>
      <c r="CU2078" s="204" t="n"/>
      <c r="CV2078" s="204" t="n"/>
      <c r="CW2078" s="204" t="n"/>
    </row>
    <row r="2079">
      <c r="BF2079" s="78" t="n"/>
      <c r="BG2079" s="78" t="n"/>
      <c r="BH2079" s="78" t="n"/>
      <c r="BI2079" s="78" t="n"/>
      <c r="BJ2079" s="139" t="n"/>
      <c r="BK2079" s="204" t="n"/>
      <c r="BL2079" s="141" t="n"/>
      <c r="BM2079" s="205" t="n"/>
      <c r="BN2079" s="205" t="n"/>
      <c r="BO2079" s="206" t="n"/>
      <c r="BP2079" s="144" t="n"/>
      <c r="BQ2079" s="141" t="n"/>
      <c r="BR2079" s="207" t="n"/>
      <c r="BS2079" s="207" t="n"/>
      <c r="BT2079" s="207" t="n"/>
      <c r="BU2079" s="207" t="n"/>
      <c r="BV2079" s="208" t="n"/>
      <c r="BW2079" s="207" t="n"/>
      <c r="BX2079" s="207" t="n"/>
      <c r="BY2079" s="204" t="n"/>
      <c r="BZ2079" s="148" t="n"/>
      <c r="CA2079" s="204" t="n"/>
      <c r="CB2079" s="208" t="n"/>
      <c r="CC2079" s="139" t="n"/>
      <c r="CD2079" s="204" t="n"/>
      <c r="CE2079" s="204" t="n"/>
      <c r="CF2079" s="207" t="n"/>
      <c r="CG2079" s="208" t="n"/>
      <c r="CH2079" s="207" t="n"/>
      <c r="CI2079" s="208" t="n"/>
      <c r="CJ2079" s="204" t="n"/>
      <c r="CK2079" s="208" t="n"/>
      <c r="CL2079" s="208" t="n"/>
      <c r="CM2079" s="208" t="n"/>
      <c r="CN2079" s="78" t="n"/>
      <c r="CO2079" s="209" t="n"/>
      <c r="CP2079" s="204" t="n"/>
      <c r="CQ2079" s="204" t="n"/>
      <c r="CR2079" s="204" t="n"/>
      <c r="CS2079" s="204" t="n"/>
      <c r="CT2079" s="204" t="n"/>
      <c r="CU2079" s="204" t="n"/>
      <c r="CV2079" s="204" t="n"/>
      <c r="CW2079" s="204" t="n"/>
    </row>
    <row r="2080">
      <c r="BF2080" s="78" t="n"/>
      <c r="BG2080" s="78" t="n"/>
      <c r="BH2080" s="78" t="n"/>
      <c r="BI2080" s="78" t="n"/>
      <c r="BJ2080" s="139" t="n"/>
      <c r="BK2080" s="204" t="n"/>
      <c r="BL2080" s="141" t="n"/>
      <c r="BM2080" s="205" t="n"/>
      <c r="BN2080" s="205" t="n"/>
      <c r="BO2080" s="206" t="n"/>
      <c r="BP2080" s="144" t="n"/>
      <c r="BQ2080" s="141" t="n"/>
      <c r="BR2080" s="207" t="n"/>
      <c r="BS2080" s="207" t="n"/>
      <c r="BT2080" s="207" t="n"/>
      <c r="BU2080" s="207" t="n"/>
      <c r="BV2080" s="208" t="n"/>
      <c r="BW2080" s="207" t="n"/>
      <c r="BX2080" s="207" t="n"/>
      <c r="BY2080" s="204" t="n"/>
      <c r="BZ2080" s="148" t="n"/>
      <c r="CA2080" s="204" t="n"/>
      <c r="CB2080" s="208" t="n"/>
      <c r="CC2080" s="139" t="n"/>
      <c r="CD2080" s="204" t="n"/>
      <c r="CE2080" s="204" t="n"/>
      <c r="CF2080" s="207" t="n"/>
      <c r="CG2080" s="208" t="n"/>
      <c r="CH2080" s="207" t="n"/>
      <c r="CI2080" s="208" t="n"/>
      <c r="CJ2080" s="204" t="n"/>
      <c r="CK2080" s="208" t="n"/>
      <c r="CL2080" s="208" t="n"/>
      <c r="CM2080" s="208" t="n"/>
      <c r="CN2080" s="78" t="n"/>
      <c r="CO2080" s="209" t="n"/>
      <c r="CP2080" s="204" t="n"/>
      <c r="CQ2080" s="204" t="n"/>
      <c r="CR2080" s="204" t="n"/>
      <c r="CS2080" s="204" t="n"/>
      <c r="CT2080" s="204" t="n"/>
      <c r="CU2080" s="204" t="n"/>
      <c r="CV2080" s="204" t="n"/>
      <c r="CW2080" s="204" t="n"/>
    </row>
    <row r="2081">
      <c r="BF2081" s="78" t="n"/>
      <c r="BG2081" s="78" t="n"/>
      <c r="BH2081" s="78" t="n"/>
      <c r="BI2081" s="78" t="n"/>
      <c r="BJ2081" s="139" t="n"/>
      <c r="BK2081" s="204" t="n"/>
      <c r="BL2081" s="141" t="n"/>
      <c r="BM2081" s="205" t="n"/>
      <c r="BN2081" s="205" t="n"/>
      <c r="BO2081" s="206" t="n"/>
      <c r="BP2081" s="144" t="n"/>
      <c r="BQ2081" s="141" t="n"/>
      <c r="BR2081" s="207" t="n"/>
      <c r="BS2081" s="207" t="n"/>
      <c r="BT2081" s="207" t="n"/>
      <c r="BU2081" s="207" t="n"/>
      <c r="BV2081" s="208" t="n"/>
      <c r="BW2081" s="207" t="n"/>
      <c r="BX2081" s="207" t="n"/>
      <c r="BY2081" s="204" t="n"/>
      <c r="BZ2081" s="148" t="n"/>
      <c r="CA2081" s="204" t="n"/>
      <c r="CB2081" s="208" t="n"/>
      <c r="CC2081" s="139" t="n"/>
      <c r="CD2081" s="204" t="n"/>
      <c r="CE2081" s="204" t="n"/>
      <c r="CF2081" s="207" t="n"/>
      <c r="CG2081" s="208" t="n"/>
      <c r="CH2081" s="207" t="n"/>
      <c r="CI2081" s="208" t="n"/>
      <c r="CJ2081" s="204" t="n"/>
      <c r="CK2081" s="208" t="n"/>
      <c r="CL2081" s="208" t="n"/>
      <c r="CM2081" s="208" t="n"/>
      <c r="CN2081" s="78" t="n"/>
      <c r="CO2081" s="209" t="n"/>
      <c r="CP2081" s="204" t="n"/>
      <c r="CQ2081" s="204" t="n"/>
      <c r="CR2081" s="204" t="n"/>
      <c r="CS2081" s="204" t="n"/>
      <c r="CT2081" s="204" t="n"/>
      <c r="CU2081" s="204" t="n"/>
      <c r="CV2081" s="204" t="n"/>
      <c r="CW2081" s="204" t="n"/>
    </row>
    <row r="2082">
      <c r="BF2082" s="78" t="n"/>
      <c r="BG2082" s="78" t="n"/>
      <c r="BH2082" s="78" t="n"/>
      <c r="BI2082" s="78" t="n"/>
      <c r="BJ2082" s="139" t="n"/>
      <c r="BK2082" s="204" t="n"/>
      <c r="BL2082" s="141" t="n"/>
      <c r="BM2082" s="205" t="n"/>
      <c r="BN2082" s="205" t="n"/>
      <c r="BO2082" s="206" t="n"/>
      <c r="BP2082" s="144" t="n"/>
      <c r="BQ2082" s="141" t="n"/>
      <c r="BR2082" s="207" t="n"/>
      <c r="BS2082" s="207" t="n"/>
      <c r="BT2082" s="207" t="n"/>
      <c r="BU2082" s="207" t="n"/>
      <c r="BV2082" s="208" t="n"/>
      <c r="BW2082" s="207" t="n"/>
      <c r="BX2082" s="207" t="n"/>
      <c r="BY2082" s="204" t="n"/>
      <c r="BZ2082" s="148" t="n"/>
      <c r="CA2082" s="204" t="n"/>
      <c r="CB2082" s="208" t="n"/>
      <c r="CC2082" s="139" t="n"/>
      <c r="CD2082" s="204" t="n"/>
      <c r="CE2082" s="204" t="n"/>
      <c r="CF2082" s="207" t="n"/>
      <c r="CG2082" s="208" t="n"/>
      <c r="CH2082" s="207" t="n"/>
      <c r="CI2082" s="208" t="n"/>
      <c r="CJ2082" s="204" t="n"/>
      <c r="CK2082" s="208" t="n"/>
      <c r="CL2082" s="208" t="n"/>
      <c r="CM2082" s="208" t="n"/>
      <c r="CN2082" s="78" t="n"/>
      <c r="CO2082" s="209" t="n"/>
      <c r="CP2082" s="204" t="n"/>
      <c r="CQ2082" s="204" t="n"/>
      <c r="CR2082" s="204" t="n"/>
      <c r="CS2082" s="204" t="n"/>
      <c r="CT2082" s="204" t="n"/>
      <c r="CU2082" s="204" t="n"/>
      <c r="CV2082" s="204" t="n"/>
      <c r="CW2082" s="204" t="n"/>
    </row>
    <row r="2083">
      <c r="AR2083" s="151" t="n"/>
      <c r="BF2083" s="78" t="n"/>
      <c r="BG2083" s="78" t="n"/>
      <c r="BH2083" s="78" t="n"/>
      <c r="BI2083" s="78" t="n"/>
      <c r="BJ2083" s="139" t="n"/>
      <c r="BK2083" s="204" t="n"/>
      <c r="BL2083" s="141" t="n"/>
      <c r="BM2083" s="205" t="n"/>
      <c r="BN2083" s="205" t="n"/>
      <c r="BO2083" s="206" t="n"/>
      <c r="BP2083" s="144" t="n"/>
      <c r="BQ2083" s="141" t="n"/>
      <c r="BR2083" s="207" t="n"/>
      <c r="BS2083" s="207" t="n"/>
      <c r="BT2083" s="207" t="n"/>
      <c r="BU2083" s="207" t="n"/>
      <c r="BV2083" s="208" t="n"/>
      <c r="BW2083" s="207" t="n"/>
      <c r="BX2083" s="207" t="n"/>
      <c r="BY2083" s="204" t="n"/>
      <c r="BZ2083" s="148" t="n"/>
      <c r="CA2083" s="204" t="n"/>
      <c r="CB2083" s="208" t="n"/>
      <c r="CC2083" s="139" t="n"/>
      <c r="CD2083" s="204" t="n"/>
      <c r="CE2083" s="204" t="n"/>
      <c r="CF2083" s="207" t="n"/>
      <c r="CG2083" s="208" t="n"/>
      <c r="CH2083" s="207" t="n"/>
      <c r="CI2083" s="208" t="n"/>
      <c r="CJ2083" s="204" t="n"/>
      <c r="CK2083" s="208" t="n"/>
      <c r="CL2083" s="208" t="n"/>
      <c r="CM2083" s="208" t="n"/>
      <c r="CN2083" s="78" t="n"/>
      <c r="CO2083" s="209" t="n"/>
      <c r="CP2083" s="204" t="n"/>
      <c r="CQ2083" s="204" t="n"/>
      <c r="CR2083" s="204" t="n"/>
      <c r="CS2083" s="204" t="n"/>
      <c r="CT2083" s="204" t="n"/>
      <c r="CU2083" s="204" t="n"/>
      <c r="CV2083" s="204" t="n"/>
      <c r="CW2083" s="204" t="n"/>
    </row>
    <row r="2084">
      <c r="AR2084" s="151" t="n"/>
      <c r="BF2084" s="78" t="n"/>
      <c r="BG2084" s="78" t="n"/>
      <c r="BH2084" s="78" t="n"/>
      <c r="BI2084" s="78" t="n"/>
      <c r="BJ2084" s="139" t="n"/>
      <c r="BK2084" s="204" t="n"/>
      <c r="BL2084" s="141" t="n"/>
      <c r="BM2084" s="205" t="n"/>
      <c r="BN2084" s="205" t="n"/>
      <c r="BO2084" s="206" t="n"/>
      <c r="BP2084" s="144" t="n"/>
      <c r="BQ2084" s="141" t="n"/>
      <c r="BR2084" s="207" t="n"/>
      <c r="BS2084" s="207" t="n"/>
      <c r="BT2084" s="207" t="n"/>
      <c r="BU2084" s="207" t="n"/>
      <c r="BV2084" s="208" t="n"/>
      <c r="BW2084" s="207" t="n"/>
      <c r="BX2084" s="207" t="n"/>
      <c r="BY2084" s="204" t="n"/>
      <c r="BZ2084" s="148" t="n"/>
      <c r="CA2084" s="204" t="n"/>
      <c r="CB2084" s="208" t="n"/>
      <c r="CC2084" s="139" t="n"/>
      <c r="CD2084" s="204" t="n"/>
      <c r="CE2084" s="204" t="n"/>
      <c r="CF2084" s="207" t="n"/>
      <c r="CG2084" s="208" t="n"/>
      <c r="CH2084" s="207" t="n"/>
      <c r="CI2084" s="208" t="n"/>
      <c r="CJ2084" s="204" t="n"/>
      <c r="CK2084" s="208" t="n"/>
      <c r="CL2084" s="208" t="n"/>
      <c r="CM2084" s="208" t="n"/>
      <c r="CN2084" s="78" t="n"/>
      <c r="CO2084" s="209" t="n"/>
      <c r="CP2084" s="204" t="n"/>
      <c r="CQ2084" s="204" t="n"/>
      <c r="CR2084" s="204" t="n"/>
      <c r="CS2084" s="204" t="n"/>
      <c r="CT2084" s="204" t="n"/>
      <c r="CU2084" s="204" t="n"/>
      <c r="CV2084" s="204" t="n"/>
      <c r="CW2084" s="204" t="n"/>
    </row>
    <row r="2085">
      <c r="AR2085" s="151" t="n"/>
      <c r="BF2085" s="78" t="n"/>
      <c r="BG2085" s="78" t="n"/>
      <c r="BH2085" s="78" t="n"/>
      <c r="BI2085" s="78" t="n"/>
      <c r="BJ2085" s="139" t="n"/>
      <c r="BK2085" s="204" t="n"/>
      <c r="BL2085" s="141" t="n"/>
      <c r="BM2085" s="205" t="n"/>
      <c r="BN2085" s="205" t="n"/>
      <c r="BO2085" s="206" t="n"/>
      <c r="BP2085" s="144" t="n"/>
      <c r="BQ2085" s="141" t="n"/>
      <c r="BR2085" s="207" t="n"/>
      <c r="BS2085" s="207" t="n"/>
      <c r="BT2085" s="207" t="n"/>
      <c r="BU2085" s="207" t="n"/>
      <c r="BV2085" s="208" t="n"/>
      <c r="BW2085" s="207" t="n"/>
      <c r="BX2085" s="207" t="n"/>
      <c r="BY2085" s="204" t="n"/>
      <c r="BZ2085" s="148" t="n"/>
      <c r="CA2085" s="204" t="n"/>
      <c r="CB2085" s="208" t="n"/>
      <c r="CC2085" s="139" t="n"/>
      <c r="CD2085" s="204" t="n"/>
      <c r="CE2085" s="204" t="n"/>
      <c r="CF2085" s="207" t="n"/>
      <c r="CG2085" s="208" t="n"/>
      <c r="CH2085" s="207" t="n"/>
      <c r="CI2085" s="208" t="n"/>
      <c r="CJ2085" s="204" t="n"/>
      <c r="CK2085" s="208" t="n"/>
      <c r="CL2085" s="208" t="n"/>
      <c r="CM2085" s="208" t="n"/>
      <c r="CN2085" s="78" t="n"/>
      <c r="CO2085" s="209" t="n"/>
      <c r="CP2085" s="204" t="n"/>
      <c r="CQ2085" s="204" t="n"/>
      <c r="CR2085" s="204" t="n"/>
      <c r="CS2085" s="204" t="n"/>
      <c r="CT2085" s="204" t="n"/>
      <c r="CU2085" s="204" t="n"/>
      <c r="CV2085" s="204" t="n"/>
      <c r="CW2085" s="204" t="n"/>
    </row>
    <row r="2086">
      <c r="AR2086" s="151" t="n"/>
      <c r="BF2086" s="78" t="n"/>
      <c r="BG2086" s="78" t="n"/>
      <c r="BH2086" s="78" t="n"/>
      <c r="BI2086" s="78" t="n"/>
      <c r="BJ2086" s="139" t="n"/>
      <c r="BK2086" s="204" t="n"/>
      <c r="BL2086" s="141" t="n"/>
      <c r="BM2086" s="205" t="n"/>
      <c r="BN2086" s="205" t="n"/>
      <c r="BO2086" s="206" t="n"/>
      <c r="BP2086" s="144" t="n"/>
      <c r="BQ2086" s="141" t="n"/>
      <c r="BR2086" s="207" t="n"/>
      <c r="BS2086" s="207" t="n"/>
      <c r="BT2086" s="207" t="n"/>
      <c r="BU2086" s="207" t="n"/>
      <c r="BV2086" s="208" t="n"/>
      <c r="BW2086" s="207" t="n"/>
      <c r="BX2086" s="207" t="n"/>
      <c r="BY2086" s="204" t="n"/>
      <c r="BZ2086" s="148" t="n"/>
      <c r="CA2086" s="204" t="n"/>
      <c r="CB2086" s="208" t="n"/>
      <c r="CC2086" s="139" t="n"/>
      <c r="CD2086" s="204" t="n"/>
      <c r="CE2086" s="204" t="n"/>
      <c r="CF2086" s="207" t="n"/>
      <c r="CG2086" s="208" t="n"/>
      <c r="CH2086" s="207" t="n"/>
      <c r="CI2086" s="208" t="n"/>
      <c r="CJ2086" s="204" t="n"/>
      <c r="CK2086" s="208" t="n"/>
      <c r="CL2086" s="208" t="n"/>
      <c r="CM2086" s="208" t="n"/>
      <c r="CN2086" s="78" t="n"/>
      <c r="CO2086" s="209" t="n"/>
      <c r="CP2086" s="204" t="n"/>
      <c r="CQ2086" s="204" t="n"/>
      <c r="CR2086" s="204" t="n"/>
      <c r="CS2086" s="204" t="n"/>
      <c r="CT2086" s="204" t="n"/>
      <c r="CU2086" s="204" t="n"/>
      <c r="CV2086" s="204" t="n"/>
      <c r="CW2086" s="204" t="n"/>
    </row>
    <row r="2087">
      <c r="AR2087" s="151" t="n"/>
      <c r="BF2087" s="78" t="n"/>
      <c r="BG2087" s="78" t="n"/>
      <c r="BH2087" s="78" t="n"/>
      <c r="BI2087" s="78" t="n"/>
      <c r="BJ2087" s="139" t="n"/>
      <c r="BK2087" s="204" t="n"/>
      <c r="BL2087" s="141" t="n"/>
      <c r="BM2087" s="205" t="n"/>
      <c r="BN2087" s="205" t="n"/>
      <c r="BO2087" s="206" t="n"/>
      <c r="BP2087" s="144" t="n"/>
      <c r="BQ2087" s="141" t="n"/>
      <c r="BR2087" s="207" t="n"/>
      <c r="BS2087" s="207" t="n"/>
      <c r="BT2087" s="207" t="n"/>
      <c r="BU2087" s="207" t="n"/>
      <c r="BV2087" s="208" t="n"/>
      <c r="BW2087" s="207" t="n"/>
      <c r="BX2087" s="207" t="n"/>
      <c r="BY2087" s="204" t="n"/>
      <c r="BZ2087" s="148" t="n"/>
      <c r="CA2087" s="204" t="n"/>
      <c r="CB2087" s="208" t="n"/>
      <c r="CC2087" s="139" t="n"/>
      <c r="CD2087" s="204" t="n"/>
      <c r="CE2087" s="204" t="n"/>
      <c r="CF2087" s="207" t="n"/>
      <c r="CG2087" s="208" t="n"/>
      <c r="CH2087" s="207" t="n"/>
      <c r="CI2087" s="208" t="n"/>
      <c r="CJ2087" s="204" t="n"/>
      <c r="CK2087" s="208" t="n"/>
      <c r="CL2087" s="208" t="n"/>
      <c r="CM2087" s="208" t="n"/>
      <c r="CN2087" s="78" t="n"/>
      <c r="CO2087" s="209" t="n"/>
      <c r="CP2087" s="204" t="n"/>
      <c r="CQ2087" s="204" t="n"/>
      <c r="CR2087" s="204" t="n"/>
      <c r="CS2087" s="204" t="n"/>
      <c r="CT2087" s="204" t="n"/>
      <c r="CU2087" s="204" t="n"/>
      <c r="CV2087" s="204" t="n"/>
      <c r="CW2087" s="204" t="n"/>
    </row>
    <row r="2088">
      <c r="AR2088" s="151" t="n"/>
      <c r="BF2088" s="78" t="n"/>
      <c r="BG2088" s="78" t="n"/>
      <c r="BH2088" s="78" t="n"/>
      <c r="BI2088" s="78" t="n"/>
      <c r="BJ2088" s="139" t="n"/>
      <c r="BK2088" s="204" t="n"/>
      <c r="BL2088" s="141" t="n"/>
      <c r="BM2088" s="205" t="n"/>
      <c r="BN2088" s="205" t="n"/>
      <c r="BO2088" s="206" t="n"/>
      <c r="BP2088" s="144" t="n"/>
      <c r="BQ2088" s="141" t="n"/>
      <c r="BR2088" s="207" t="n"/>
      <c r="BS2088" s="207" t="n"/>
      <c r="BT2088" s="207" t="n"/>
      <c r="BU2088" s="207" t="n"/>
      <c r="BV2088" s="208" t="n"/>
      <c r="BW2088" s="207" t="n"/>
      <c r="BX2088" s="207" t="n"/>
      <c r="BY2088" s="204" t="n"/>
      <c r="BZ2088" s="148" t="n"/>
      <c r="CA2088" s="204" t="n"/>
      <c r="CB2088" s="208" t="n"/>
      <c r="CC2088" s="139" t="n"/>
      <c r="CD2088" s="204" t="n"/>
      <c r="CE2088" s="204" t="n"/>
      <c r="CF2088" s="207" t="n"/>
      <c r="CG2088" s="208" t="n"/>
      <c r="CH2088" s="207" t="n"/>
      <c r="CI2088" s="208" t="n"/>
      <c r="CJ2088" s="204" t="n"/>
      <c r="CK2088" s="208" t="n"/>
      <c r="CL2088" s="208" t="n"/>
      <c r="CM2088" s="208" t="n"/>
      <c r="CN2088" s="78" t="n"/>
      <c r="CO2088" s="209" t="n"/>
      <c r="CP2088" s="204" t="n"/>
      <c r="CQ2088" s="204" t="n"/>
      <c r="CR2088" s="204" t="n"/>
      <c r="CS2088" s="204" t="n"/>
      <c r="CT2088" s="204" t="n"/>
      <c r="CU2088" s="204" t="n"/>
      <c r="CV2088" s="204" t="n"/>
      <c r="CW2088" s="204" t="n"/>
    </row>
    <row r="2089">
      <c r="BF2089" s="78" t="n"/>
      <c r="BG2089" s="78" t="n"/>
      <c r="BH2089" s="78" t="n"/>
      <c r="BI2089" s="78" t="n"/>
      <c r="BJ2089" s="139" t="n"/>
      <c r="BK2089" s="204" t="n"/>
      <c r="BL2089" s="141" t="n"/>
      <c r="BM2089" s="205" t="n"/>
      <c r="BN2089" s="205" t="n"/>
      <c r="BO2089" s="206" t="n"/>
      <c r="BP2089" s="144" t="n"/>
      <c r="BQ2089" s="141" t="n"/>
      <c r="BR2089" s="207" t="n"/>
      <c r="BS2089" s="207" t="n"/>
      <c r="BT2089" s="207" t="n"/>
      <c r="BU2089" s="207" t="n"/>
      <c r="BV2089" s="208" t="n"/>
      <c r="BW2089" s="207" t="n"/>
      <c r="BX2089" s="207" t="n"/>
      <c r="BY2089" s="204" t="n"/>
      <c r="BZ2089" s="148" t="n"/>
      <c r="CA2089" s="204" t="n"/>
      <c r="CB2089" s="208" t="n"/>
      <c r="CC2089" s="139" t="n"/>
      <c r="CD2089" s="204" t="n"/>
      <c r="CE2089" s="204" t="n"/>
      <c r="CF2089" s="207" t="n"/>
      <c r="CG2089" s="208" t="n"/>
      <c r="CH2089" s="207" t="n"/>
      <c r="CI2089" s="208" t="n"/>
      <c r="CJ2089" s="204" t="n"/>
      <c r="CK2089" s="208" t="n"/>
      <c r="CL2089" s="208" t="n"/>
      <c r="CM2089" s="208" t="n"/>
      <c r="CN2089" s="78" t="n"/>
      <c r="CO2089" s="209" t="n"/>
      <c r="CP2089" s="204" t="n"/>
      <c r="CQ2089" s="204" t="n"/>
      <c r="CR2089" s="204" t="n"/>
      <c r="CS2089" s="204" t="n"/>
      <c r="CT2089" s="204" t="n"/>
      <c r="CU2089" s="204" t="n"/>
      <c r="CV2089" s="204" t="n"/>
      <c r="CW2089" s="204" t="n"/>
    </row>
    <row r="2090">
      <c r="BF2090" s="78" t="n"/>
      <c r="BG2090" s="78" t="n"/>
      <c r="BH2090" s="78" t="n"/>
      <c r="BI2090" s="78" t="n"/>
      <c r="BJ2090" s="139" t="n"/>
      <c r="BK2090" s="204" t="n"/>
      <c r="BL2090" s="141" t="n"/>
      <c r="BM2090" s="205" t="n"/>
      <c r="BN2090" s="205" t="n"/>
      <c r="BO2090" s="206" t="n"/>
      <c r="BP2090" s="144" t="n"/>
      <c r="BQ2090" s="141" t="n"/>
      <c r="BR2090" s="207" t="n"/>
      <c r="BS2090" s="207" t="n"/>
      <c r="BT2090" s="207" t="n"/>
      <c r="BU2090" s="207" t="n"/>
      <c r="BV2090" s="208" t="n"/>
      <c r="BW2090" s="207" t="n"/>
      <c r="BX2090" s="207" t="n"/>
      <c r="BY2090" s="204" t="n"/>
      <c r="BZ2090" s="148" t="n"/>
      <c r="CA2090" s="204" t="n"/>
      <c r="CB2090" s="208" t="n"/>
      <c r="CC2090" s="139" t="n"/>
      <c r="CD2090" s="204" t="n"/>
      <c r="CE2090" s="204" t="n"/>
      <c r="CF2090" s="207" t="n"/>
      <c r="CG2090" s="208" t="n"/>
      <c r="CH2090" s="207" t="n"/>
      <c r="CI2090" s="208" t="n"/>
      <c r="CJ2090" s="204" t="n"/>
      <c r="CK2090" s="208" t="n"/>
      <c r="CL2090" s="208" t="n"/>
      <c r="CM2090" s="208" t="n"/>
      <c r="CN2090" s="78" t="n"/>
      <c r="CO2090" s="209" t="n"/>
      <c r="CP2090" s="204" t="n"/>
      <c r="CQ2090" s="204" t="n"/>
      <c r="CR2090" s="204" t="n"/>
      <c r="CS2090" s="204" t="n"/>
      <c r="CT2090" s="204" t="n"/>
      <c r="CU2090" s="204" t="n"/>
      <c r="CV2090" s="204" t="n"/>
      <c r="CW2090" s="204" t="n"/>
    </row>
    <row r="2091">
      <c r="BF2091" s="78" t="n"/>
      <c r="BG2091" s="78" t="n"/>
      <c r="BH2091" s="78" t="n"/>
      <c r="BI2091" s="78" t="n"/>
      <c r="BJ2091" s="139" t="n"/>
      <c r="BK2091" s="204" t="n"/>
      <c r="BL2091" s="141" t="n"/>
      <c r="BM2091" s="205" t="n"/>
      <c r="BN2091" s="205" t="n"/>
      <c r="BO2091" s="206" t="n"/>
      <c r="BP2091" s="144" t="n"/>
      <c r="BQ2091" s="141" t="n"/>
      <c r="BR2091" s="207" t="n"/>
      <c r="BS2091" s="207" t="n"/>
      <c r="BT2091" s="207" t="n"/>
      <c r="BU2091" s="207" t="n"/>
      <c r="BV2091" s="208" t="n"/>
      <c r="BW2091" s="207" t="n"/>
      <c r="BX2091" s="207" t="n"/>
      <c r="BY2091" s="204" t="n"/>
      <c r="BZ2091" s="148" t="n"/>
      <c r="CA2091" s="204" t="n"/>
      <c r="CB2091" s="208" t="n"/>
      <c r="CC2091" s="139" t="n"/>
      <c r="CD2091" s="204" t="n"/>
      <c r="CE2091" s="204" t="n"/>
      <c r="CF2091" s="207" t="n"/>
      <c r="CG2091" s="208" t="n"/>
      <c r="CH2091" s="207" t="n"/>
      <c r="CI2091" s="208" t="n"/>
      <c r="CJ2091" s="204" t="n"/>
      <c r="CK2091" s="208" t="n"/>
      <c r="CL2091" s="208" t="n"/>
      <c r="CM2091" s="208" t="n"/>
      <c r="CN2091" s="78" t="n"/>
      <c r="CO2091" s="209" t="n"/>
      <c r="CP2091" s="204" t="n"/>
      <c r="CQ2091" s="204" t="n"/>
      <c r="CR2091" s="204" t="n"/>
      <c r="CS2091" s="204" t="n"/>
      <c r="CT2091" s="204" t="n"/>
      <c r="CU2091" s="204" t="n"/>
      <c r="CV2091" s="204" t="n"/>
      <c r="CW2091" s="204" t="n"/>
    </row>
    <row r="2092">
      <c r="BF2092" s="78" t="n"/>
      <c r="BG2092" s="78" t="n"/>
      <c r="BH2092" s="78" t="n"/>
      <c r="BI2092" s="78" t="n"/>
      <c r="BJ2092" s="139" t="n"/>
      <c r="BK2092" s="204" t="n"/>
      <c r="BL2092" s="141" t="n"/>
      <c r="BM2092" s="205" t="n"/>
      <c r="BN2092" s="205" t="n"/>
      <c r="BO2092" s="206" t="n"/>
      <c r="BP2092" s="144" t="n"/>
      <c r="BQ2092" s="141" t="n"/>
      <c r="BR2092" s="207" t="n"/>
      <c r="BS2092" s="207" t="n"/>
      <c r="BT2092" s="207" t="n"/>
      <c r="BU2092" s="207" t="n"/>
      <c r="BV2092" s="208" t="n"/>
      <c r="BW2092" s="207" t="n"/>
      <c r="BX2092" s="207" t="n"/>
      <c r="BY2092" s="204" t="n"/>
      <c r="BZ2092" s="148" t="n"/>
      <c r="CA2092" s="204" t="n"/>
      <c r="CB2092" s="208" t="n"/>
      <c r="CC2092" s="139" t="n"/>
      <c r="CD2092" s="204" t="n"/>
      <c r="CE2092" s="204" t="n"/>
      <c r="CF2092" s="207" t="n"/>
      <c r="CG2092" s="208" t="n"/>
      <c r="CH2092" s="207" t="n"/>
      <c r="CI2092" s="208" t="n"/>
      <c r="CJ2092" s="204" t="n"/>
      <c r="CK2092" s="208" t="n"/>
      <c r="CL2092" s="208" t="n"/>
      <c r="CM2092" s="208" t="n"/>
      <c r="CN2092" s="78" t="n"/>
      <c r="CO2092" s="209" t="n"/>
      <c r="CP2092" s="204" t="n"/>
      <c r="CQ2092" s="204" t="n"/>
      <c r="CR2092" s="204" t="n"/>
      <c r="CS2092" s="204" t="n"/>
      <c r="CT2092" s="204" t="n"/>
      <c r="CU2092" s="204" t="n"/>
      <c r="CV2092" s="204" t="n"/>
      <c r="CW2092" s="204" t="n"/>
    </row>
    <row r="2093">
      <c r="BF2093" s="78" t="n"/>
      <c r="BG2093" s="78" t="n"/>
      <c r="BH2093" s="78" t="n"/>
      <c r="BI2093" s="78" t="n"/>
      <c r="BJ2093" s="139" t="n"/>
      <c r="BK2093" s="204" t="n"/>
      <c r="BL2093" s="141" t="n"/>
      <c r="BM2093" s="205" t="n"/>
      <c r="BN2093" s="205" t="n"/>
      <c r="BO2093" s="206" t="n"/>
      <c r="BP2093" s="144" t="n"/>
      <c r="BQ2093" s="141" t="n"/>
      <c r="BR2093" s="207" t="n"/>
      <c r="BS2093" s="207" t="n"/>
      <c r="BT2093" s="207" t="n"/>
      <c r="BU2093" s="207" t="n"/>
      <c r="BV2093" s="208" t="n"/>
      <c r="BW2093" s="207" t="n"/>
      <c r="BX2093" s="207" t="n"/>
      <c r="BY2093" s="204" t="n"/>
      <c r="BZ2093" s="148" t="n"/>
      <c r="CA2093" s="204" t="n"/>
      <c r="CB2093" s="208" t="n"/>
      <c r="CC2093" s="139" t="n"/>
      <c r="CD2093" s="204" t="n"/>
      <c r="CE2093" s="204" t="n"/>
      <c r="CF2093" s="207" t="n"/>
      <c r="CG2093" s="208" t="n"/>
      <c r="CH2093" s="207" t="n"/>
      <c r="CI2093" s="208" t="n"/>
      <c r="CJ2093" s="204" t="n"/>
      <c r="CK2093" s="208" t="n"/>
      <c r="CL2093" s="208" t="n"/>
      <c r="CM2093" s="208" t="n"/>
      <c r="CN2093" s="78" t="n"/>
      <c r="CO2093" s="209" t="n"/>
      <c r="CP2093" s="204" t="n"/>
      <c r="CQ2093" s="204" t="n"/>
      <c r="CR2093" s="204" t="n"/>
      <c r="CS2093" s="204" t="n"/>
      <c r="CT2093" s="204" t="n"/>
      <c r="CU2093" s="204" t="n"/>
      <c r="CV2093" s="204" t="n"/>
      <c r="CW2093" s="204" t="n"/>
    </row>
    <row r="2094">
      <c r="BF2094" s="78" t="n"/>
      <c r="BG2094" s="78" t="n"/>
      <c r="BH2094" s="78" t="n"/>
      <c r="BI2094" s="78" t="n"/>
      <c r="BJ2094" s="139" t="n"/>
      <c r="BK2094" s="204" t="n"/>
      <c r="BL2094" s="141" t="n"/>
      <c r="BM2094" s="205" t="n"/>
      <c r="BN2094" s="205" t="n"/>
      <c r="BO2094" s="206" t="n"/>
      <c r="BP2094" s="144" t="n"/>
      <c r="BQ2094" s="141" t="n"/>
      <c r="BR2094" s="207" t="n"/>
      <c r="BS2094" s="207" t="n"/>
      <c r="BT2094" s="207" t="n"/>
      <c r="BU2094" s="207" t="n"/>
      <c r="BV2094" s="208" t="n"/>
      <c r="BW2094" s="207" t="n"/>
      <c r="BX2094" s="207" t="n"/>
      <c r="BY2094" s="204" t="n"/>
      <c r="BZ2094" s="148" t="n"/>
      <c r="CA2094" s="204" t="n"/>
      <c r="CB2094" s="208" t="n"/>
      <c r="CC2094" s="139" t="n"/>
      <c r="CD2094" s="204" t="n"/>
      <c r="CE2094" s="204" t="n"/>
      <c r="CF2094" s="207" t="n"/>
      <c r="CG2094" s="208" t="n"/>
      <c r="CH2094" s="207" t="n"/>
      <c r="CI2094" s="208" t="n"/>
      <c r="CJ2094" s="204" t="n"/>
      <c r="CK2094" s="208" t="n"/>
      <c r="CL2094" s="208" t="n"/>
      <c r="CM2094" s="208" t="n"/>
      <c r="CN2094" s="78" t="n"/>
      <c r="CO2094" s="209" t="n"/>
      <c r="CP2094" s="204" t="n"/>
      <c r="CQ2094" s="204" t="n"/>
      <c r="CR2094" s="204" t="n"/>
      <c r="CS2094" s="204" t="n"/>
      <c r="CT2094" s="204" t="n"/>
      <c r="CU2094" s="204" t="n"/>
      <c r="CV2094" s="204" t="n"/>
      <c r="CW2094" s="204" t="n"/>
    </row>
    <row r="2095">
      <c r="BF2095" s="78" t="n"/>
      <c r="BG2095" s="78" t="n"/>
      <c r="BH2095" s="78" t="n"/>
      <c r="BI2095" s="78" t="n"/>
      <c r="BJ2095" s="139" t="n"/>
      <c r="BK2095" s="204" t="n"/>
      <c r="BL2095" s="141" t="n"/>
      <c r="BM2095" s="205" t="n"/>
      <c r="BN2095" s="205" t="n"/>
      <c r="BO2095" s="206" t="n"/>
      <c r="BP2095" s="144" t="n"/>
      <c r="BQ2095" s="141" t="n"/>
      <c r="BR2095" s="207" t="n"/>
      <c r="BS2095" s="207" t="n"/>
      <c r="BT2095" s="207" t="n"/>
      <c r="BU2095" s="207" t="n"/>
      <c r="BV2095" s="208" t="n"/>
      <c r="BW2095" s="207" t="n"/>
      <c r="BX2095" s="207" t="n"/>
      <c r="BY2095" s="204" t="n"/>
      <c r="BZ2095" s="148" t="n"/>
      <c r="CA2095" s="204" t="n"/>
      <c r="CB2095" s="208" t="n"/>
      <c r="CC2095" s="139" t="n"/>
      <c r="CD2095" s="204" t="n"/>
      <c r="CE2095" s="204" t="n"/>
      <c r="CF2095" s="207" t="n"/>
      <c r="CG2095" s="208" t="n"/>
      <c r="CH2095" s="207" t="n"/>
      <c r="CI2095" s="208" t="n"/>
      <c r="CJ2095" s="204" t="n"/>
      <c r="CK2095" s="208" t="n"/>
      <c r="CL2095" s="208" t="n"/>
      <c r="CM2095" s="208" t="n"/>
      <c r="CN2095" s="78" t="n"/>
      <c r="CO2095" s="209" t="n"/>
      <c r="CP2095" s="204" t="n"/>
      <c r="CQ2095" s="204" t="n"/>
      <c r="CR2095" s="204" t="n"/>
      <c r="CS2095" s="204" t="n"/>
      <c r="CT2095" s="204" t="n"/>
      <c r="CU2095" s="204" t="n"/>
      <c r="CV2095" s="204" t="n"/>
      <c r="CW2095" s="204" t="n"/>
    </row>
    <row r="2096">
      <c r="BF2096" s="78" t="n"/>
      <c r="BG2096" s="78" t="n"/>
      <c r="BH2096" s="78" t="n"/>
      <c r="BI2096" s="78" t="n"/>
      <c r="BJ2096" s="139" t="n"/>
      <c r="BK2096" s="204" t="n"/>
      <c r="BL2096" s="141" t="n"/>
      <c r="BM2096" s="205" t="n"/>
      <c r="BN2096" s="205" t="n"/>
      <c r="BO2096" s="206" t="n"/>
      <c r="BP2096" s="144" t="n"/>
      <c r="BQ2096" s="141" t="n"/>
      <c r="BR2096" s="207" t="n"/>
      <c r="BS2096" s="207" t="n"/>
      <c r="BT2096" s="207" t="n"/>
      <c r="BU2096" s="207" t="n"/>
      <c r="BV2096" s="208" t="n"/>
      <c r="BW2096" s="207" t="n"/>
      <c r="BX2096" s="207" t="n"/>
      <c r="BY2096" s="204" t="n"/>
      <c r="BZ2096" s="148" t="n"/>
      <c r="CA2096" s="204" t="n"/>
      <c r="CB2096" s="208" t="n"/>
      <c r="CC2096" s="139" t="n"/>
      <c r="CD2096" s="204" t="n"/>
      <c r="CE2096" s="204" t="n"/>
      <c r="CF2096" s="207" t="n"/>
      <c r="CG2096" s="208" t="n"/>
      <c r="CH2096" s="207" t="n"/>
      <c r="CI2096" s="208" t="n"/>
      <c r="CJ2096" s="204" t="n"/>
      <c r="CK2096" s="208" t="n"/>
      <c r="CL2096" s="208" t="n"/>
      <c r="CM2096" s="208" t="n"/>
      <c r="CN2096" s="78" t="n"/>
      <c r="CO2096" s="209" t="n"/>
      <c r="CP2096" s="204" t="n"/>
      <c r="CQ2096" s="204" t="n"/>
      <c r="CR2096" s="204" t="n"/>
      <c r="CS2096" s="204" t="n"/>
      <c r="CT2096" s="204" t="n"/>
      <c r="CU2096" s="204" t="n"/>
      <c r="CV2096" s="204" t="n"/>
      <c r="CW2096" s="204" t="n"/>
    </row>
    <row r="2097">
      <c r="BF2097" s="78" t="n"/>
      <c r="BG2097" s="78" t="n"/>
      <c r="BH2097" s="78" t="n"/>
      <c r="BI2097" s="78" t="n"/>
      <c r="BJ2097" s="139" t="n"/>
      <c r="BK2097" s="204" t="n"/>
      <c r="BL2097" s="141" t="n"/>
      <c r="BM2097" s="205" t="n"/>
      <c r="BN2097" s="205" t="n"/>
      <c r="BO2097" s="206" t="n"/>
      <c r="BP2097" s="144" t="n"/>
      <c r="BQ2097" s="141" t="n"/>
      <c r="BR2097" s="207" t="n"/>
      <c r="BS2097" s="207" t="n"/>
      <c r="BT2097" s="207" t="n"/>
      <c r="BU2097" s="207" t="n"/>
      <c r="BV2097" s="208" t="n"/>
      <c r="BW2097" s="207" t="n"/>
      <c r="BX2097" s="207" t="n"/>
      <c r="BY2097" s="204" t="n"/>
      <c r="BZ2097" s="148" t="n"/>
      <c r="CA2097" s="204" t="n"/>
      <c r="CB2097" s="208" t="n"/>
      <c r="CC2097" s="139" t="n"/>
      <c r="CD2097" s="204" t="n"/>
      <c r="CE2097" s="204" t="n"/>
      <c r="CF2097" s="207" t="n"/>
      <c r="CG2097" s="208" t="n"/>
      <c r="CH2097" s="207" t="n"/>
      <c r="CI2097" s="208" t="n"/>
      <c r="CJ2097" s="204" t="n"/>
      <c r="CK2097" s="208" t="n"/>
      <c r="CL2097" s="208" t="n"/>
      <c r="CM2097" s="208" t="n"/>
      <c r="CN2097" s="78" t="n"/>
      <c r="CO2097" s="209" t="n"/>
      <c r="CP2097" s="204" t="n"/>
      <c r="CQ2097" s="204" t="n"/>
      <c r="CR2097" s="204" t="n"/>
      <c r="CS2097" s="204" t="n"/>
      <c r="CT2097" s="204" t="n"/>
      <c r="CU2097" s="204" t="n"/>
      <c r="CV2097" s="204" t="n"/>
      <c r="CW2097" s="204" t="n"/>
    </row>
    <row r="2098">
      <c r="BF2098" s="78" t="n"/>
      <c r="BG2098" s="78" t="n"/>
      <c r="BH2098" s="78" t="n"/>
      <c r="BI2098" s="78" t="n"/>
      <c r="BJ2098" s="139" t="n"/>
      <c r="BK2098" s="204" t="n"/>
      <c r="BL2098" s="141" t="n"/>
      <c r="BM2098" s="205" t="n"/>
      <c r="BN2098" s="205" t="n"/>
      <c r="BO2098" s="206" t="n"/>
      <c r="BP2098" s="144" t="n"/>
      <c r="BQ2098" s="141" t="n"/>
      <c r="BR2098" s="207" t="n"/>
      <c r="BS2098" s="207" t="n"/>
      <c r="BT2098" s="207" t="n"/>
      <c r="BU2098" s="207" t="n"/>
      <c r="BV2098" s="208" t="n"/>
      <c r="BW2098" s="207" t="n"/>
      <c r="BX2098" s="207" t="n"/>
      <c r="BY2098" s="204" t="n"/>
      <c r="BZ2098" s="148" t="n"/>
      <c r="CA2098" s="204" t="n"/>
      <c r="CB2098" s="208" t="n"/>
      <c r="CC2098" s="139" t="n"/>
      <c r="CD2098" s="204" t="n"/>
      <c r="CE2098" s="204" t="n"/>
      <c r="CF2098" s="207" t="n"/>
      <c r="CG2098" s="208" t="n"/>
      <c r="CH2098" s="207" t="n"/>
      <c r="CI2098" s="208" t="n"/>
      <c r="CJ2098" s="204" t="n"/>
      <c r="CK2098" s="208" t="n"/>
      <c r="CL2098" s="208" t="n"/>
      <c r="CM2098" s="208" t="n"/>
      <c r="CN2098" s="78" t="n"/>
      <c r="CO2098" s="209" t="n"/>
      <c r="CP2098" s="204" t="n"/>
      <c r="CQ2098" s="204" t="n"/>
      <c r="CR2098" s="204" t="n"/>
      <c r="CS2098" s="204" t="n"/>
      <c r="CT2098" s="204" t="n"/>
      <c r="CU2098" s="204" t="n"/>
      <c r="CV2098" s="204" t="n"/>
      <c r="CW2098" s="204" t="n"/>
    </row>
    <row r="2099">
      <c r="BF2099" s="78" t="n"/>
      <c r="BG2099" s="78" t="n"/>
      <c r="BH2099" s="78" t="n"/>
      <c r="BI2099" s="78" t="n"/>
      <c r="BJ2099" s="139" t="n"/>
      <c r="BK2099" s="204" t="n"/>
      <c r="BL2099" s="141" t="n"/>
      <c r="BM2099" s="205" t="n"/>
      <c r="BN2099" s="205" t="n"/>
      <c r="BO2099" s="206" t="n"/>
      <c r="BP2099" s="144" t="n"/>
      <c r="BQ2099" s="141" t="n"/>
      <c r="BR2099" s="207" t="n"/>
      <c r="BS2099" s="207" t="n"/>
      <c r="BT2099" s="207" t="n"/>
      <c r="BU2099" s="207" t="n"/>
      <c r="BV2099" s="208" t="n"/>
      <c r="BW2099" s="207" t="n"/>
      <c r="BX2099" s="207" t="n"/>
      <c r="BY2099" s="204" t="n"/>
      <c r="BZ2099" s="148" t="n"/>
      <c r="CA2099" s="204" t="n"/>
      <c r="CB2099" s="208" t="n"/>
      <c r="CC2099" s="139" t="n"/>
      <c r="CD2099" s="204" t="n"/>
      <c r="CE2099" s="204" t="n"/>
      <c r="CF2099" s="207" t="n"/>
      <c r="CG2099" s="208" t="n"/>
      <c r="CH2099" s="207" t="n"/>
      <c r="CI2099" s="208" t="n"/>
      <c r="CJ2099" s="204" t="n"/>
      <c r="CK2099" s="208" t="n"/>
      <c r="CL2099" s="208" t="n"/>
      <c r="CM2099" s="208" t="n"/>
      <c r="CN2099" s="78" t="n"/>
      <c r="CO2099" s="209" t="n"/>
      <c r="CP2099" s="204" t="n"/>
      <c r="CQ2099" s="204" t="n"/>
      <c r="CR2099" s="204" t="n"/>
      <c r="CS2099" s="204" t="n"/>
      <c r="CT2099" s="204" t="n"/>
      <c r="CU2099" s="204" t="n"/>
      <c r="CV2099" s="204" t="n"/>
      <c r="CW2099" s="204" t="n"/>
    </row>
    <row r="2100">
      <c r="BF2100" s="78" t="n"/>
      <c r="BG2100" s="78" t="n"/>
      <c r="BH2100" s="78" t="n"/>
      <c r="BI2100" s="78" t="n"/>
      <c r="BJ2100" s="139" t="n"/>
      <c r="BK2100" s="204" t="n"/>
      <c r="BL2100" s="141" t="n"/>
      <c r="BM2100" s="205" t="n"/>
      <c r="BN2100" s="205" t="n"/>
      <c r="BO2100" s="206" t="n"/>
      <c r="BP2100" s="144" t="n"/>
      <c r="BQ2100" s="141" t="n"/>
      <c r="BR2100" s="207" t="n"/>
      <c r="BS2100" s="207" t="n"/>
      <c r="BT2100" s="207" t="n"/>
      <c r="BU2100" s="207" t="n"/>
      <c r="BV2100" s="208" t="n"/>
      <c r="BW2100" s="207" t="n"/>
      <c r="BX2100" s="207" t="n"/>
      <c r="BY2100" s="204" t="n"/>
      <c r="BZ2100" s="148" t="n"/>
      <c r="CA2100" s="204" t="n"/>
      <c r="CB2100" s="208" t="n"/>
      <c r="CC2100" s="139" t="n"/>
      <c r="CD2100" s="204" t="n"/>
      <c r="CE2100" s="204" t="n"/>
      <c r="CF2100" s="207" t="n"/>
      <c r="CG2100" s="208" t="n"/>
      <c r="CH2100" s="207" t="n"/>
      <c r="CI2100" s="208" t="n"/>
      <c r="CJ2100" s="204" t="n"/>
      <c r="CK2100" s="208" t="n"/>
      <c r="CL2100" s="208" t="n"/>
      <c r="CM2100" s="208" t="n"/>
      <c r="CN2100" s="78" t="n"/>
      <c r="CO2100" s="209" t="n"/>
      <c r="CP2100" s="204" t="n"/>
      <c r="CQ2100" s="204" t="n"/>
      <c r="CR2100" s="204" t="n"/>
      <c r="CS2100" s="204" t="n"/>
      <c r="CT2100" s="204" t="n"/>
      <c r="CU2100" s="204" t="n"/>
      <c r="CV2100" s="204" t="n"/>
      <c r="CW2100" s="204" t="n"/>
    </row>
    <row r="2101">
      <c r="BF2101" s="78" t="n"/>
      <c r="BG2101" s="78" t="n"/>
      <c r="BH2101" s="78" t="n"/>
      <c r="BI2101" s="78" t="n"/>
      <c r="BJ2101" s="139" t="n"/>
      <c r="BK2101" s="204" t="n"/>
      <c r="BL2101" s="141" t="n"/>
      <c r="BM2101" s="205" t="n"/>
      <c r="BN2101" s="205" t="n"/>
      <c r="BO2101" s="206" t="n"/>
      <c r="BP2101" s="144" t="n"/>
      <c r="BQ2101" s="141" t="n"/>
      <c r="BR2101" s="207" t="n"/>
      <c r="BS2101" s="207" t="n"/>
      <c r="BT2101" s="207" t="n"/>
      <c r="BU2101" s="207" t="n"/>
      <c r="BV2101" s="208" t="n"/>
      <c r="BW2101" s="207" t="n"/>
      <c r="BX2101" s="207" t="n"/>
      <c r="BY2101" s="204" t="n"/>
      <c r="BZ2101" s="148" t="n"/>
      <c r="CA2101" s="204" t="n"/>
      <c r="CB2101" s="208" t="n"/>
      <c r="CC2101" s="139" t="n"/>
      <c r="CD2101" s="204" t="n"/>
      <c r="CE2101" s="204" t="n"/>
      <c r="CF2101" s="207" t="n"/>
      <c r="CG2101" s="208" t="n"/>
      <c r="CH2101" s="207" t="n"/>
      <c r="CI2101" s="208" t="n"/>
      <c r="CJ2101" s="204" t="n"/>
      <c r="CK2101" s="208" t="n"/>
      <c r="CL2101" s="208" t="n"/>
      <c r="CM2101" s="208" t="n"/>
      <c r="CN2101" s="78" t="n"/>
      <c r="CO2101" s="209" t="n"/>
      <c r="CP2101" s="204" t="n"/>
      <c r="CQ2101" s="204" t="n"/>
      <c r="CR2101" s="204" t="n"/>
      <c r="CS2101" s="204" t="n"/>
      <c r="CT2101" s="204" t="n"/>
      <c r="CU2101" s="204" t="n"/>
      <c r="CV2101" s="204" t="n"/>
      <c r="CW2101" s="204" t="n"/>
    </row>
    <row r="2102">
      <c r="BF2102" s="78" t="n"/>
      <c r="BG2102" s="78" t="n"/>
      <c r="BH2102" s="78" t="n"/>
      <c r="BI2102" s="78" t="n"/>
      <c r="BJ2102" s="139" t="n"/>
      <c r="BK2102" s="204" t="n"/>
      <c r="BL2102" s="141" t="n"/>
      <c r="BM2102" s="205" t="n"/>
      <c r="BN2102" s="205" t="n"/>
      <c r="BO2102" s="206" t="n"/>
      <c r="BP2102" s="144" t="n"/>
      <c r="BQ2102" s="141" t="n"/>
      <c r="BR2102" s="207" t="n"/>
      <c r="BS2102" s="207" t="n"/>
      <c r="BT2102" s="207" t="n"/>
      <c r="BU2102" s="207" t="n"/>
      <c r="BV2102" s="208" t="n"/>
      <c r="BW2102" s="207" t="n"/>
      <c r="BX2102" s="207" t="n"/>
      <c r="BY2102" s="204" t="n"/>
      <c r="BZ2102" s="148" t="n"/>
      <c r="CA2102" s="204" t="n"/>
      <c r="CB2102" s="208" t="n"/>
      <c r="CC2102" s="139" t="n"/>
      <c r="CD2102" s="204" t="n"/>
      <c r="CE2102" s="204" t="n"/>
      <c r="CF2102" s="207" t="n"/>
      <c r="CG2102" s="208" t="n"/>
      <c r="CH2102" s="207" t="n"/>
      <c r="CI2102" s="208" t="n"/>
      <c r="CJ2102" s="204" t="n"/>
      <c r="CK2102" s="208" t="n"/>
      <c r="CL2102" s="208" t="n"/>
      <c r="CM2102" s="208" t="n"/>
      <c r="CN2102" s="78" t="n"/>
      <c r="CO2102" s="209" t="n"/>
      <c r="CP2102" s="204" t="n"/>
      <c r="CQ2102" s="204" t="n"/>
      <c r="CR2102" s="204" t="n"/>
      <c r="CS2102" s="204" t="n"/>
      <c r="CT2102" s="204" t="n"/>
      <c r="CU2102" s="204" t="n"/>
      <c r="CV2102" s="204" t="n"/>
      <c r="CW2102" s="204" t="n"/>
    </row>
    <row r="2103">
      <c r="BF2103" s="78" t="n"/>
      <c r="BG2103" s="78" t="n"/>
      <c r="BH2103" s="78" t="n"/>
      <c r="BI2103" s="78" t="n"/>
      <c r="BJ2103" s="139" t="n"/>
      <c r="BK2103" s="204" t="n"/>
      <c r="BL2103" s="141" t="n"/>
      <c r="BM2103" s="205" t="n"/>
      <c r="BN2103" s="205" t="n"/>
      <c r="BO2103" s="206" t="n"/>
      <c r="BP2103" s="144" t="n"/>
      <c r="BQ2103" s="141" t="n"/>
      <c r="BR2103" s="207" t="n"/>
      <c r="BS2103" s="207" t="n"/>
      <c r="BT2103" s="207" t="n"/>
      <c r="BU2103" s="207" t="n"/>
      <c r="BV2103" s="208" t="n"/>
      <c r="BW2103" s="207" t="n"/>
      <c r="BX2103" s="207" t="n"/>
      <c r="BY2103" s="204" t="n"/>
      <c r="BZ2103" s="148" t="n"/>
      <c r="CA2103" s="204" t="n"/>
      <c r="CB2103" s="208" t="n"/>
      <c r="CC2103" s="139" t="n"/>
      <c r="CD2103" s="204" t="n"/>
      <c r="CE2103" s="204" t="n"/>
      <c r="CF2103" s="207" t="n"/>
      <c r="CG2103" s="208" t="n"/>
      <c r="CH2103" s="207" t="n"/>
      <c r="CI2103" s="208" t="n"/>
      <c r="CJ2103" s="204" t="n"/>
      <c r="CK2103" s="208" t="n"/>
      <c r="CL2103" s="208" t="n"/>
      <c r="CM2103" s="208" t="n"/>
      <c r="CN2103" s="78" t="n"/>
      <c r="CO2103" s="209" t="n"/>
      <c r="CP2103" s="204" t="n"/>
      <c r="CQ2103" s="204" t="n"/>
      <c r="CR2103" s="204" t="n"/>
      <c r="CS2103" s="204" t="n"/>
      <c r="CT2103" s="204" t="n"/>
      <c r="CU2103" s="204" t="n"/>
      <c r="CV2103" s="204" t="n"/>
      <c r="CW2103" s="204" t="n"/>
    </row>
    <row r="2104">
      <c r="BF2104" s="78" t="n"/>
      <c r="BG2104" s="78" t="n"/>
      <c r="BH2104" s="78" t="n"/>
      <c r="BI2104" s="78" t="n"/>
      <c r="BJ2104" s="139" t="n"/>
      <c r="BK2104" s="204" t="n"/>
      <c r="BL2104" s="141" t="n"/>
      <c r="BM2104" s="205" t="n"/>
      <c r="BN2104" s="205" t="n"/>
      <c r="BO2104" s="206" t="n"/>
      <c r="BP2104" s="144" t="n"/>
      <c r="BQ2104" s="141" t="n"/>
      <c r="BR2104" s="207" t="n"/>
      <c r="BS2104" s="207" t="n"/>
      <c r="BT2104" s="207" t="n"/>
      <c r="BU2104" s="207" t="n"/>
      <c r="BV2104" s="208" t="n"/>
      <c r="BW2104" s="207" t="n"/>
      <c r="BX2104" s="207" t="n"/>
      <c r="BY2104" s="204" t="n"/>
      <c r="BZ2104" s="148" t="n"/>
      <c r="CA2104" s="204" t="n"/>
      <c r="CB2104" s="208" t="n"/>
      <c r="CC2104" s="139" t="n"/>
      <c r="CD2104" s="204" t="n"/>
      <c r="CE2104" s="204" t="n"/>
      <c r="CF2104" s="207" t="n"/>
      <c r="CG2104" s="208" t="n"/>
      <c r="CH2104" s="207" t="n"/>
      <c r="CI2104" s="208" t="n"/>
      <c r="CJ2104" s="204" t="n"/>
      <c r="CK2104" s="208" t="n"/>
      <c r="CL2104" s="208" t="n"/>
      <c r="CM2104" s="208" t="n"/>
      <c r="CN2104" s="78" t="n"/>
      <c r="CO2104" s="209" t="n"/>
      <c r="CP2104" s="204" t="n"/>
      <c r="CQ2104" s="204" t="n"/>
      <c r="CR2104" s="204" t="n"/>
      <c r="CS2104" s="204" t="n"/>
      <c r="CT2104" s="204" t="n"/>
      <c r="CU2104" s="204" t="n"/>
      <c r="CV2104" s="204" t="n"/>
      <c r="CW2104" s="204" t="n"/>
    </row>
    <row r="2105">
      <c r="BF2105" s="78" t="n"/>
      <c r="BG2105" s="78" t="n"/>
      <c r="BH2105" s="78" t="n"/>
      <c r="BI2105" s="78" t="n"/>
      <c r="BJ2105" s="139" t="n"/>
      <c r="BK2105" s="204" t="n"/>
      <c r="BL2105" s="141" t="n"/>
      <c r="BM2105" s="205" t="n"/>
      <c r="BN2105" s="205" t="n"/>
      <c r="BO2105" s="206" t="n"/>
      <c r="BP2105" s="144" t="n"/>
      <c r="BQ2105" s="141" t="n"/>
      <c r="BR2105" s="207" t="n"/>
      <c r="BS2105" s="207" t="n"/>
      <c r="BT2105" s="207" t="n"/>
      <c r="BU2105" s="207" t="n"/>
      <c r="BV2105" s="208" t="n"/>
      <c r="BW2105" s="207" t="n"/>
      <c r="BX2105" s="207" t="n"/>
      <c r="BY2105" s="204" t="n"/>
      <c r="BZ2105" s="148" t="n"/>
      <c r="CA2105" s="204" t="n"/>
      <c r="CB2105" s="208" t="n"/>
      <c r="CC2105" s="139" t="n"/>
      <c r="CD2105" s="204" t="n"/>
      <c r="CE2105" s="204" t="n"/>
      <c r="CF2105" s="207" t="n"/>
      <c r="CG2105" s="208" t="n"/>
      <c r="CH2105" s="207" t="n"/>
      <c r="CI2105" s="208" t="n"/>
      <c r="CJ2105" s="204" t="n"/>
      <c r="CK2105" s="208" t="n"/>
      <c r="CL2105" s="208" t="n"/>
      <c r="CM2105" s="208" t="n"/>
      <c r="CN2105" s="78" t="n"/>
      <c r="CO2105" s="209" t="n"/>
      <c r="CP2105" s="204" t="n"/>
      <c r="CQ2105" s="204" t="n"/>
      <c r="CR2105" s="204" t="n"/>
      <c r="CS2105" s="204" t="n"/>
      <c r="CT2105" s="204" t="n"/>
      <c r="CU2105" s="204" t="n"/>
      <c r="CV2105" s="204" t="n"/>
      <c r="CW2105" s="204" t="n"/>
    </row>
    <row r="2106">
      <c r="BF2106" s="78" t="n"/>
      <c r="BG2106" s="78" t="n"/>
      <c r="BH2106" s="78" t="n"/>
      <c r="BI2106" s="78" t="n"/>
      <c r="BJ2106" s="139" t="n"/>
      <c r="BK2106" s="204" t="n"/>
      <c r="BL2106" s="141" t="n"/>
      <c r="BM2106" s="205" t="n"/>
      <c r="BN2106" s="205" t="n"/>
      <c r="BO2106" s="206" t="n"/>
      <c r="BP2106" s="144" t="n"/>
      <c r="BQ2106" s="141" t="n"/>
      <c r="BR2106" s="207" t="n"/>
      <c r="BS2106" s="207" t="n"/>
      <c r="BT2106" s="207" t="n"/>
      <c r="BU2106" s="207" t="n"/>
      <c r="BV2106" s="208" t="n"/>
      <c r="BW2106" s="207" t="n"/>
      <c r="BX2106" s="207" t="n"/>
      <c r="BY2106" s="204" t="n"/>
      <c r="BZ2106" s="148" t="n"/>
      <c r="CA2106" s="204" t="n"/>
      <c r="CB2106" s="208" t="n"/>
      <c r="CC2106" s="139" t="n"/>
      <c r="CD2106" s="204" t="n"/>
      <c r="CE2106" s="204" t="n"/>
      <c r="CF2106" s="207" t="n"/>
      <c r="CG2106" s="208" t="n"/>
      <c r="CH2106" s="207" t="n"/>
      <c r="CI2106" s="208" t="n"/>
      <c r="CJ2106" s="204" t="n"/>
      <c r="CK2106" s="208" t="n"/>
      <c r="CL2106" s="208" t="n"/>
      <c r="CM2106" s="208" t="n"/>
      <c r="CN2106" s="78" t="n"/>
      <c r="CO2106" s="209" t="n"/>
      <c r="CP2106" s="204" t="n"/>
      <c r="CQ2106" s="204" t="n"/>
      <c r="CR2106" s="204" t="n"/>
      <c r="CS2106" s="204" t="n"/>
      <c r="CT2106" s="204" t="n"/>
      <c r="CU2106" s="204" t="n"/>
      <c r="CV2106" s="204" t="n"/>
      <c r="CW2106" s="204" t="n"/>
    </row>
    <row r="2107">
      <c r="BF2107" s="78" t="n"/>
      <c r="BG2107" s="78" t="n"/>
      <c r="BH2107" s="78" t="n"/>
      <c r="BI2107" s="78" t="n"/>
      <c r="BJ2107" s="139" t="n"/>
      <c r="BK2107" s="204" t="n"/>
      <c r="BL2107" s="141" t="n"/>
      <c r="BM2107" s="205" t="n"/>
      <c r="BN2107" s="205" t="n"/>
      <c r="BO2107" s="206" t="n"/>
      <c r="BP2107" s="144" t="n"/>
      <c r="BQ2107" s="141" t="n"/>
      <c r="BR2107" s="207" t="n"/>
      <c r="BS2107" s="207" t="n"/>
      <c r="BT2107" s="207" t="n"/>
      <c r="BU2107" s="207" t="n"/>
      <c r="BV2107" s="208" t="n"/>
      <c r="BW2107" s="207" t="n"/>
      <c r="BX2107" s="207" t="n"/>
      <c r="BY2107" s="204" t="n"/>
      <c r="BZ2107" s="148" t="n"/>
      <c r="CA2107" s="204" t="n"/>
      <c r="CB2107" s="208" t="n"/>
      <c r="CC2107" s="139" t="n"/>
      <c r="CD2107" s="204" t="n"/>
      <c r="CE2107" s="204" t="n"/>
      <c r="CF2107" s="207" t="n"/>
      <c r="CG2107" s="208" t="n"/>
      <c r="CH2107" s="207" t="n"/>
      <c r="CI2107" s="208" t="n"/>
      <c r="CJ2107" s="204" t="n"/>
      <c r="CK2107" s="208" t="n"/>
      <c r="CL2107" s="208" t="n"/>
      <c r="CM2107" s="208" t="n"/>
      <c r="CN2107" s="78" t="n"/>
      <c r="CO2107" s="209" t="n"/>
      <c r="CP2107" s="204" t="n"/>
      <c r="CQ2107" s="204" t="n"/>
      <c r="CR2107" s="204" t="n"/>
      <c r="CS2107" s="204" t="n"/>
      <c r="CT2107" s="204" t="n"/>
      <c r="CU2107" s="204" t="n"/>
      <c r="CV2107" s="204" t="n"/>
      <c r="CW2107" s="204" t="n"/>
    </row>
    <row r="2108">
      <c r="BF2108" s="78" t="n"/>
      <c r="BG2108" s="78" t="n"/>
      <c r="BH2108" s="78" t="n"/>
      <c r="BI2108" s="78" t="n"/>
      <c r="BJ2108" s="139" t="n"/>
      <c r="BK2108" s="204" t="n"/>
      <c r="BL2108" s="141" t="n"/>
      <c r="BM2108" s="205" t="n"/>
      <c r="BN2108" s="205" t="n"/>
      <c r="BO2108" s="206" t="n"/>
      <c r="BP2108" s="144" t="n"/>
      <c r="BQ2108" s="141" t="n"/>
      <c r="BR2108" s="207" t="n"/>
      <c r="BS2108" s="207" t="n"/>
      <c r="BT2108" s="207" t="n"/>
      <c r="BU2108" s="207" t="n"/>
      <c r="BV2108" s="208" t="n"/>
      <c r="BW2108" s="207" t="n"/>
      <c r="BX2108" s="207" t="n"/>
      <c r="BY2108" s="204" t="n"/>
      <c r="BZ2108" s="148" t="n"/>
      <c r="CA2108" s="204" t="n"/>
      <c r="CB2108" s="208" t="n"/>
      <c r="CC2108" s="139" t="n"/>
      <c r="CD2108" s="204" t="n"/>
      <c r="CE2108" s="204" t="n"/>
      <c r="CF2108" s="207" t="n"/>
      <c r="CG2108" s="208" t="n"/>
      <c r="CH2108" s="207" t="n"/>
      <c r="CI2108" s="208" t="n"/>
      <c r="CJ2108" s="204" t="n"/>
      <c r="CK2108" s="208" t="n"/>
      <c r="CL2108" s="208" t="n"/>
      <c r="CM2108" s="208" t="n"/>
      <c r="CN2108" s="78" t="n"/>
      <c r="CO2108" s="209" t="n"/>
      <c r="CP2108" s="204" t="n"/>
      <c r="CQ2108" s="204" t="n"/>
      <c r="CR2108" s="204" t="n"/>
      <c r="CS2108" s="204" t="n"/>
      <c r="CT2108" s="204" t="n"/>
      <c r="CU2108" s="204" t="n"/>
      <c r="CV2108" s="204" t="n"/>
      <c r="CW2108" s="204" t="n"/>
    </row>
    <row r="2109">
      <c r="BF2109" s="78" t="n"/>
      <c r="BG2109" s="78" t="n"/>
      <c r="BH2109" s="78" t="n"/>
      <c r="BI2109" s="78" t="n"/>
      <c r="BJ2109" s="139" t="n"/>
      <c r="BK2109" s="204" t="n"/>
      <c r="BL2109" s="141" t="n"/>
      <c r="BM2109" s="205" t="n"/>
      <c r="BN2109" s="205" t="n"/>
      <c r="BO2109" s="206" t="n"/>
      <c r="BP2109" s="144" t="n"/>
      <c r="BQ2109" s="141" t="n"/>
      <c r="BR2109" s="207" t="n"/>
      <c r="BS2109" s="207" t="n"/>
      <c r="BT2109" s="207" t="n"/>
      <c r="BU2109" s="207" t="n"/>
      <c r="BV2109" s="208" t="n"/>
      <c r="BW2109" s="207" t="n"/>
      <c r="BX2109" s="207" t="n"/>
      <c r="BY2109" s="204" t="n"/>
      <c r="BZ2109" s="148" t="n"/>
      <c r="CA2109" s="204" t="n"/>
      <c r="CB2109" s="208" t="n"/>
      <c r="CC2109" s="139" t="n"/>
      <c r="CD2109" s="204" t="n"/>
      <c r="CE2109" s="204" t="n"/>
      <c r="CF2109" s="207" t="n"/>
      <c r="CG2109" s="208" t="n"/>
      <c r="CH2109" s="207" t="n"/>
      <c r="CI2109" s="208" t="n"/>
      <c r="CJ2109" s="204" t="n"/>
      <c r="CK2109" s="208" t="n"/>
      <c r="CL2109" s="208" t="n"/>
      <c r="CM2109" s="208" t="n"/>
      <c r="CN2109" s="78" t="n"/>
      <c r="CO2109" s="209" t="n"/>
      <c r="CP2109" s="204" t="n"/>
      <c r="CQ2109" s="204" t="n"/>
      <c r="CR2109" s="204" t="n"/>
      <c r="CS2109" s="204" t="n"/>
      <c r="CT2109" s="204" t="n"/>
      <c r="CU2109" s="204" t="n"/>
      <c r="CV2109" s="204" t="n"/>
      <c r="CW2109" s="204" t="n"/>
    </row>
    <row r="2110">
      <c r="BF2110" s="78" t="n"/>
      <c r="BG2110" s="78" t="n"/>
      <c r="BH2110" s="78" t="n"/>
      <c r="BI2110" s="78" t="n"/>
      <c r="BJ2110" s="139" t="n"/>
      <c r="BK2110" s="204" t="n"/>
      <c r="BL2110" s="141" t="n"/>
      <c r="BM2110" s="205" t="n"/>
      <c r="BN2110" s="205" t="n"/>
      <c r="BO2110" s="206" t="n"/>
      <c r="BP2110" s="144" t="n"/>
      <c r="BQ2110" s="141" t="n"/>
      <c r="BR2110" s="207" t="n"/>
      <c r="BS2110" s="207" t="n"/>
      <c r="BT2110" s="207" t="n"/>
      <c r="BU2110" s="207" t="n"/>
      <c r="BV2110" s="208" t="n"/>
      <c r="BW2110" s="207" t="n"/>
      <c r="BX2110" s="207" t="n"/>
      <c r="BY2110" s="204" t="n"/>
      <c r="BZ2110" s="148" t="n"/>
      <c r="CA2110" s="204" t="n"/>
      <c r="CB2110" s="208" t="n"/>
      <c r="CC2110" s="139" t="n"/>
      <c r="CD2110" s="204" t="n"/>
      <c r="CE2110" s="204" t="n"/>
      <c r="CF2110" s="207" t="n"/>
      <c r="CG2110" s="208" t="n"/>
      <c r="CH2110" s="207" t="n"/>
      <c r="CI2110" s="208" t="n"/>
      <c r="CJ2110" s="204" t="n"/>
      <c r="CK2110" s="208" t="n"/>
      <c r="CL2110" s="208" t="n"/>
      <c r="CM2110" s="208" t="n"/>
      <c r="CN2110" s="78" t="n"/>
      <c r="CO2110" s="209" t="n"/>
      <c r="CP2110" s="204" t="n"/>
      <c r="CQ2110" s="204" t="n"/>
      <c r="CR2110" s="204" t="n"/>
      <c r="CS2110" s="204" t="n"/>
      <c r="CT2110" s="204" t="n"/>
      <c r="CU2110" s="204" t="n"/>
      <c r="CV2110" s="204" t="n"/>
      <c r="CW2110" s="204" t="n"/>
    </row>
    <row r="2111">
      <c r="BF2111" s="78" t="n"/>
      <c r="BG2111" s="78" t="n"/>
      <c r="BH2111" s="78" t="n"/>
      <c r="BI2111" s="78" t="n"/>
      <c r="BJ2111" s="139" t="n"/>
      <c r="BK2111" s="204" t="n"/>
      <c r="BL2111" s="141" t="n"/>
      <c r="BM2111" s="205" t="n"/>
      <c r="BN2111" s="205" t="n"/>
      <c r="BO2111" s="206" t="n"/>
      <c r="BP2111" s="144" t="n"/>
      <c r="BQ2111" s="141" t="n"/>
      <c r="BR2111" s="207" t="n"/>
      <c r="BS2111" s="207" t="n"/>
      <c r="BT2111" s="207" t="n"/>
      <c r="BU2111" s="207" t="n"/>
      <c r="BV2111" s="208" t="n"/>
      <c r="BW2111" s="207" t="n"/>
      <c r="BX2111" s="207" t="n"/>
      <c r="BY2111" s="204" t="n"/>
      <c r="BZ2111" s="148" t="n"/>
      <c r="CA2111" s="204" t="n"/>
      <c r="CB2111" s="208" t="n"/>
      <c r="CC2111" s="139" t="n"/>
      <c r="CD2111" s="204" t="n"/>
      <c r="CE2111" s="204" t="n"/>
      <c r="CF2111" s="207" t="n"/>
      <c r="CG2111" s="208" t="n"/>
      <c r="CH2111" s="207" t="n"/>
      <c r="CI2111" s="208" t="n"/>
      <c r="CJ2111" s="204" t="n"/>
      <c r="CK2111" s="208" t="n"/>
      <c r="CL2111" s="208" t="n"/>
      <c r="CM2111" s="208" t="n"/>
      <c r="CN2111" s="78" t="n"/>
      <c r="CO2111" s="209" t="n"/>
      <c r="CP2111" s="204" t="n"/>
      <c r="CQ2111" s="204" t="n"/>
      <c r="CR2111" s="204" t="n"/>
      <c r="CS2111" s="204" t="n"/>
      <c r="CT2111" s="204" t="n"/>
      <c r="CU2111" s="204" t="n"/>
      <c r="CV2111" s="204" t="n"/>
      <c r="CW2111" s="204" t="n"/>
    </row>
    <row r="2112">
      <c r="BF2112" s="78" t="n"/>
      <c r="BG2112" s="78" t="n"/>
      <c r="BH2112" s="78" t="n"/>
      <c r="BI2112" s="78" t="n"/>
      <c r="BJ2112" s="139" t="n"/>
      <c r="BK2112" s="204" t="n"/>
      <c r="BL2112" s="141" t="n"/>
      <c r="BM2112" s="205" t="n"/>
      <c r="BN2112" s="205" t="n"/>
      <c r="BO2112" s="206" t="n"/>
      <c r="BP2112" s="144" t="n"/>
      <c r="BQ2112" s="141" t="n"/>
      <c r="BR2112" s="207" t="n"/>
      <c r="BS2112" s="207" t="n"/>
      <c r="BT2112" s="207" t="n"/>
      <c r="BU2112" s="207" t="n"/>
      <c r="BV2112" s="208" t="n"/>
      <c r="BW2112" s="207" t="n"/>
      <c r="BX2112" s="207" t="n"/>
      <c r="BY2112" s="204" t="n"/>
      <c r="BZ2112" s="148" t="n"/>
      <c r="CA2112" s="204" t="n"/>
      <c r="CB2112" s="208" t="n"/>
      <c r="CC2112" s="139" t="n"/>
      <c r="CD2112" s="204" t="n"/>
      <c r="CE2112" s="204" t="n"/>
      <c r="CF2112" s="207" t="n"/>
      <c r="CG2112" s="208" t="n"/>
      <c r="CH2112" s="207" t="n"/>
      <c r="CI2112" s="208" t="n"/>
      <c r="CJ2112" s="204" t="n"/>
      <c r="CK2112" s="208" t="n"/>
      <c r="CL2112" s="208" t="n"/>
      <c r="CM2112" s="208" t="n"/>
      <c r="CN2112" s="78" t="n"/>
      <c r="CO2112" s="209" t="n"/>
      <c r="CP2112" s="204" t="n"/>
      <c r="CQ2112" s="204" t="n"/>
      <c r="CR2112" s="204" t="n"/>
      <c r="CS2112" s="204" t="n"/>
      <c r="CT2112" s="204" t="n"/>
      <c r="CU2112" s="204" t="n"/>
      <c r="CV2112" s="204" t="n"/>
      <c r="CW2112" s="204" t="n"/>
    </row>
    <row r="2113">
      <c r="BF2113" s="78" t="n"/>
      <c r="BG2113" s="78" t="n"/>
      <c r="BH2113" s="78" t="n"/>
      <c r="BI2113" s="78" t="n"/>
      <c r="BJ2113" s="139" t="n"/>
      <c r="BK2113" s="204" t="n"/>
      <c r="BL2113" s="141" t="n"/>
      <c r="BM2113" s="205" t="n"/>
      <c r="BN2113" s="205" t="n"/>
      <c r="BO2113" s="206" t="n"/>
      <c r="BP2113" s="144" t="n"/>
      <c r="BQ2113" s="141" t="n"/>
      <c r="BR2113" s="207" t="n"/>
      <c r="BS2113" s="207" t="n"/>
      <c r="BT2113" s="207" t="n"/>
      <c r="BU2113" s="207" t="n"/>
      <c r="BV2113" s="208" t="n"/>
      <c r="BW2113" s="207" t="n"/>
      <c r="BX2113" s="207" t="n"/>
      <c r="BY2113" s="204" t="n"/>
      <c r="BZ2113" s="148" t="n"/>
      <c r="CA2113" s="204" t="n"/>
      <c r="CB2113" s="208" t="n"/>
      <c r="CC2113" s="139" t="n"/>
      <c r="CD2113" s="204" t="n"/>
      <c r="CE2113" s="204" t="n"/>
      <c r="CF2113" s="207" t="n"/>
      <c r="CG2113" s="208" t="n"/>
      <c r="CH2113" s="207" t="n"/>
      <c r="CI2113" s="208" t="n"/>
      <c r="CJ2113" s="204" t="n"/>
      <c r="CK2113" s="208" t="n"/>
      <c r="CL2113" s="208" t="n"/>
      <c r="CM2113" s="208" t="n"/>
      <c r="CN2113" s="78" t="n"/>
      <c r="CO2113" s="209" t="n"/>
      <c r="CP2113" s="204" t="n"/>
      <c r="CQ2113" s="204" t="n"/>
      <c r="CR2113" s="204" t="n"/>
      <c r="CS2113" s="204" t="n"/>
      <c r="CT2113" s="204" t="n"/>
      <c r="CU2113" s="204" t="n"/>
      <c r="CV2113" s="204" t="n"/>
      <c r="CW2113" s="204" t="n"/>
    </row>
    <row r="2114">
      <c r="BF2114" s="78" t="n"/>
      <c r="BG2114" s="78" t="n"/>
      <c r="BH2114" s="78" t="n"/>
      <c r="BI2114" s="78" t="n"/>
      <c r="BJ2114" s="139" t="n"/>
      <c r="BK2114" s="204" t="n"/>
      <c r="BL2114" s="141" t="n"/>
      <c r="BM2114" s="205" t="n"/>
      <c r="BN2114" s="205" t="n"/>
      <c r="BO2114" s="206" t="n"/>
      <c r="BP2114" s="144" t="n"/>
      <c r="BQ2114" s="141" t="n"/>
      <c r="BR2114" s="207" t="n"/>
      <c r="BS2114" s="207" t="n"/>
      <c r="BT2114" s="207" t="n"/>
      <c r="BU2114" s="207" t="n"/>
      <c r="BV2114" s="208" t="n"/>
      <c r="BW2114" s="207" t="n"/>
      <c r="BX2114" s="207" t="n"/>
      <c r="BY2114" s="204" t="n"/>
      <c r="BZ2114" s="148" t="n"/>
      <c r="CA2114" s="204" t="n"/>
      <c r="CB2114" s="208" t="n"/>
      <c r="CC2114" s="139" t="n"/>
      <c r="CD2114" s="204" t="n"/>
      <c r="CE2114" s="204" t="n"/>
      <c r="CF2114" s="207" t="n"/>
      <c r="CG2114" s="208" t="n"/>
      <c r="CH2114" s="207" t="n"/>
      <c r="CI2114" s="208" t="n"/>
      <c r="CJ2114" s="204" t="n"/>
      <c r="CK2114" s="208" t="n"/>
      <c r="CL2114" s="208" t="n"/>
      <c r="CM2114" s="208" t="n"/>
      <c r="CN2114" s="78" t="n"/>
      <c r="CO2114" s="209" t="n"/>
      <c r="CP2114" s="204" t="n"/>
      <c r="CQ2114" s="204" t="n"/>
      <c r="CR2114" s="204" t="n"/>
      <c r="CS2114" s="204" t="n"/>
      <c r="CT2114" s="204" t="n"/>
      <c r="CU2114" s="204" t="n"/>
      <c r="CV2114" s="204" t="n"/>
      <c r="CW2114" s="204" t="n"/>
    </row>
    <row r="2115">
      <c r="BF2115" s="78" t="n"/>
      <c r="BG2115" s="78" t="n"/>
      <c r="BH2115" s="78" t="n"/>
      <c r="BI2115" s="78" t="n"/>
      <c r="BJ2115" s="139" t="n"/>
      <c r="BK2115" s="204" t="n"/>
      <c r="BL2115" s="141" t="n"/>
      <c r="BM2115" s="205" t="n"/>
      <c r="BN2115" s="205" t="n"/>
      <c r="BO2115" s="206" t="n"/>
      <c r="BP2115" s="144" t="n"/>
      <c r="BQ2115" s="141" t="n"/>
      <c r="BR2115" s="207" t="n"/>
      <c r="BS2115" s="207" t="n"/>
      <c r="BT2115" s="207" t="n"/>
      <c r="BU2115" s="207" t="n"/>
      <c r="BV2115" s="208" t="n"/>
      <c r="BW2115" s="207" t="n"/>
      <c r="BX2115" s="207" t="n"/>
      <c r="BY2115" s="204" t="n"/>
      <c r="BZ2115" s="148" t="n"/>
      <c r="CA2115" s="204" t="n"/>
      <c r="CB2115" s="208" t="n"/>
      <c r="CC2115" s="139" t="n"/>
      <c r="CD2115" s="204" t="n"/>
      <c r="CE2115" s="204" t="n"/>
      <c r="CF2115" s="207" t="n"/>
      <c r="CG2115" s="208" t="n"/>
      <c r="CH2115" s="207" t="n"/>
      <c r="CI2115" s="208" t="n"/>
      <c r="CJ2115" s="204" t="n"/>
      <c r="CK2115" s="208" t="n"/>
      <c r="CL2115" s="208" t="n"/>
      <c r="CM2115" s="208" t="n"/>
      <c r="CN2115" s="78" t="n"/>
      <c r="CO2115" s="209" t="n"/>
      <c r="CP2115" s="204" t="n"/>
      <c r="CQ2115" s="204" t="n"/>
      <c r="CR2115" s="204" t="n"/>
      <c r="CS2115" s="204" t="n"/>
      <c r="CT2115" s="204" t="n"/>
      <c r="CU2115" s="204" t="n"/>
      <c r="CV2115" s="204" t="n"/>
      <c r="CW2115" s="204" t="n"/>
    </row>
    <row r="2116">
      <c r="BF2116" s="78" t="n"/>
      <c r="BG2116" s="78" t="n"/>
      <c r="BH2116" s="78" t="n"/>
      <c r="BI2116" s="78" t="n"/>
      <c r="BJ2116" s="139" t="n"/>
      <c r="BK2116" s="204" t="n"/>
      <c r="BL2116" s="141" t="n"/>
      <c r="BM2116" s="205" t="n"/>
      <c r="BN2116" s="205" t="n"/>
      <c r="BO2116" s="206" t="n"/>
      <c r="BP2116" s="144" t="n"/>
      <c r="BQ2116" s="141" t="n"/>
      <c r="BR2116" s="207" t="n"/>
      <c r="BS2116" s="207" t="n"/>
      <c r="BT2116" s="207" t="n"/>
      <c r="BU2116" s="207" t="n"/>
      <c r="BV2116" s="208" t="n"/>
      <c r="BW2116" s="207" t="n"/>
      <c r="BX2116" s="207" t="n"/>
      <c r="BY2116" s="204" t="n"/>
      <c r="BZ2116" s="148" t="n"/>
      <c r="CA2116" s="204" t="n"/>
      <c r="CB2116" s="208" t="n"/>
      <c r="CC2116" s="139" t="n"/>
      <c r="CD2116" s="204" t="n"/>
      <c r="CE2116" s="204" t="n"/>
      <c r="CF2116" s="207" t="n"/>
      <c r="CG2116" s="208" t="n"/>
      <c r="CH2116" s="207" t="n"/>
      <c r="CI2116" s="208" t="n"/>
      <c r="CJ2116" s="204" t="n"/>
      <c r="CK2116" s="208" t="n"/>
      <c r="CL2116" s="208" t="n"/>
      <c r="CM2116" s="208" t="n"/>
      <c r="CN2116" s="78" t="n"/>
      <c r="CO2116" s="209" t="n"/>
      <c r="CP2116" s="204" t="n"/>
      <c r="CQ2116" s="204" t="n"/>
      <c r="CR2116" s="204" t="n"/>
      <c r="CS2116" s="204" t="n"/>
      <c r="CT2116" s="204" t="n"/>
      <c r="CU2116" s="204" t="n"/>
      <c r="CV2116" s="204" t="n"/>
      <c r="CW2116" s="204" t="n"/>
    </row>
    <row r="2117">
      <c r="BF2117" s="78" t="n"/>
      <c r="BG2117" s="78" t="n"/>
      <c r="BH2117" s="78" t="n"/>
      <c r="BI2117" s="78" t="n"/>
      <c r="BJ2117" s="139" t="n"/>
      <c r="BK2117" s="204" t="n"/>
      <c r="BL2117" s="141" t="n"/>
      <c r="BM2117" s="205" t="n"/>
      <c r="BN2117" s="205" t="n"/>
      <c r="BO2117" s="206" t="n"/>
      <c r="BP2117" s="144" t="n"/>
      <c r="BQ2117" s="141" t="n"/>
      <c r="BR2117" s="207" t="n"/>
      <c r="BS2117" s="207" t="n"/>
      <c r="BT2117" s="207" t="n"/>
      <c r="BU2117" s="207" t="n"/>
      <c r="BV2117" s="208" t="n"/>
      <c r="BW2117" s="207" t="n"/>
      <c r="BX2117" s="207" t="n"/>
      <c r="BY2117" s="204" t="n"/>
      <c r="BZ2117" s="148" t="n"/>
      <c r="CA2117" s="204" t="n"/>
      <c r="CB2117" s="208" t="n"/>
      <c r="CC2117" s="139" t="n"/>
      <c r="CD2117" s="204" t="n"/>
      <c r="CE2117" s="204" t="n"/>
      <c r="CF2117" s="207" t="n"/>
      <c r="CG2117" s="208" t="n"/>
      <c r="CH2117" s="207" t="n"/>
      <c r="CI2117" s="208" t="n"/>
      <c r="CJ2117" s="204" t="n"/>
      <c r="CK2117" s="208" t="n"/>
      <c r="CL2117" s="208" t="n"/>
      <c r="CM2117" s="208" t="n"/>
      <c r="CN2117" s="78" t="n"/>
      <c r="CO2117" s="209" t="n"/>
      <c r="CP2117" s="204" t="n"/>
      <c r="CQ2117" s="204" t="n"/>
      <c r="CR2117" s="204" t="n"/>
      <c r="CS2117" s="204" t="n"/>
      <c r="CT2117" s="204" t="n"/>
      <c r="CU2117" s="204" t="n"/>
      <c r="CV2117" s="204" t="n"/>
      <c r="CW2117" s="204" t="n"/>
    </row>
    <row r="2118">
      <c r="BF2118" s="78" t="n"/>
      <c r="BG2118" s="78" t="n"/>
      <c r="BH2118" s="78" t="n"/>
      <c r="BI2118" s="78" t="n"/>
      <c r="BJ2118" s="139" t="n"/>
      <c r="BK2118" s="204" t="n"/>
      <c r="BL2118" s="141" t="n"/>
      <c r="BM2118" s="205" t="n"/>
      <c r="BN2118" s="205" t="n"/>
      <c r="BO2118" s="206" t="n"/>
      <c r="BP2118" s="144" t="n"/>
      <c r="BQ2118" s="141" t="n"/>
      <c r="BR2118" s="207" t="n"/>
      <c r="BS2118" s="207" t="n"/>
      <c r="BT2118" s="207" t="n"/>
      <c r="BU2118" s="207" t="n"/>
      <c r="BV2118" s="208" t="n"/>
      <c r="BW2118" s="207" t="n"/>
      <c r="BX2118" s="207" t="n"/>
      <c r="BY2118" s="204" t="n"/>
      <c r="BZ2118" s="148" t="n"/>
      <c r="CA2118" s="204" t="n"/>
      <c r="CB2118" s="208" t="n"/>
      <c r="CC2118" s="139" t="n"/>
      <c r="CD2118" s="204" t="n"/>
      <c r="CE2118" s="204" t="n"/>
      <c r="CF2118" s="207" t="n"/>
      <c r="CG2118" s="208" t="n"/>
      <c r="CH2118" s="207" t="n"/>
      <c r="CI2118" s="208" t="n"/>
      <c r="CJ2118" s="204" t="n"/>
      <c r="CK2118" s="208" t="n"/>
      <c r="CL2118" s="208" t="n"/>
      <c r="CM2118" s="208" t="n"/>
      <c r="CN2118" s="78" t="n"/>
      <c r="CO2118" s="209" t="n"/>
      <c r="CP2118" s="204" t="n"/>
      <c r="CQ2118" s="204" t="n"/>
      <c r="CR2118" s="204" t="n"/>
      <c r="CS2118" s="204" t="n"/>
      <c r="CT2118" s="204" t="n"/>
      <c r="CU2118" s="204" t="n"/>
      <c r="CV2118" s="204" t="n"/>
      <c r="CW2118" s="204" t="n"/>
    </row>
    <row r="2119">
      <c r="BF2119" s="78" t="n"/>
      <c r="BG2119" s="78" t="n"/>
      <c r="BH2119" s="78" t="n"/>
      <c r="BI2119" s="78" t="n"/>
      <c r="BJ2119" s="139" t="n"/>
      <c r="BK2119" s="204" t="n"/>
      <c r="BL2119" s="141" t="n"/>
      <c r="BM2119" s="205" t="n"/>
      <c r="BN2119" s="205" t="n"/>
      <c r="BO2119" s="206" t="n"/>
      <c r="BP2119" s="144" t="n"/>
      <c r="BQ2119" s="141" t="n"/>
      <c r="BR2119" s="207" t="n"/>
      <c r="BS2119" s="207" t="n"/>
      <c r="BT2119" s="207" t="n"/>
      <c r="BU2119" s="207" t="n"/>
      <c r="BV2119" s="208" t="n"/>
      <c r="BW2119" s="207" t="n"/>
      <c r="BX2119" s="207" t="n"/>
      <c r="BY2119" s="204" t="n"/>
      <c r="BZ2119" s="148" t="n"/>
      <c r="CA2119" s="204" t="n"/>
      <c r="CB2119" s="208" t="n"/>
      <c r="CC2119" s="139" t="n"/>
      <c r="CD2119" s="204" t="n"/>
      <c r="CE2119" s="204" t="n"/>
      <c r="CF2119" s="207" t="n"/>
      <c r="CG2119" s="208" t="n"/>
      <c r="CH2119" s="207" t="n"/>
      <c r="CI2119" s="208" t="n"/>
      <c r="CJ2119" s="204" t="n"/>
      <c r="CK2119" s="208" t="n"/>
      <c r="CL2119" s="208" t="n"/>
      <c r="CM2119" s="208" t="n"/>
      <c r="CN2119" s="78" t="n"/>
      <c r="CO2119" s="209" t="n"/>
      <c r="CP2119" s="204" t="n"/>
      <c r="CQ2119" s="204" t="n"/>
      <c r="CR2119" s="204" t="n"/>
      <c r="CS2119" s="204" t="n"/>
      <c r="CT2119" s="204" t="n"/>
      <c r="CU2119" s="204" t="n"/>
      <c r="CV2119" s="204" t="n"/>
      <c r="CW2119" s="204" t="n"/>
    </row>
    <row r="2120">
      <c r="BF2120" s="78" t="n"/>
      <c r="BG2120" s="78" t="n"/>
      <c r="BH2120" s="78" t="n"/>
      <c r="BI2120" s="78" t="n"/>
      <c r="BJ2120" s="139" t="n"/>
      <c r="BK2120" s="204" t="n"/>
      <c r="BL2120" s="141" t="n"/>
      <c r="BM2120" s="205" t="n"/>
      <c r="BN2120" s="205" t="n"/>
      <c r="BO2120" s="206" t="n"/>
      <c r="BP2120" s="144" t="n"/>
      <c r="BQ2120" s="141" t="n"/>
      <c r="BR2120" s="207" t="n"/>
      <c r="BS2120" s="207" t="n"/>
      <c r="BT2120" s="207" t="n"/>
      <c r="BU2120" s="207" t="n"/>
      <c r="BV2120" s="208" t="n"/>
      <c r="BW2120" s="207" t="n"/>
      <c r="BX2120" s="207" t="n"/>
      <c r="BY2120" s="204" t="n"/>
      <c r="BZ2120" s="148" t="n"/>
      <c r="CA2120" s="204" t="n"/>
      <c r="CB2120" s="208" t="n"/>
      <c r="CC2120" s="139" t="n"/>
      <c r="CD2120" s="204" t="n"/>
      <c r="CE2120" s="204" t="n"/>
      <c r="CF2120" s="207" t="n"/>
      <c r="CG2120" s="208" t="n"/>
      <c r="CH2120" s="207" t="n"/>
      <c r="CI2120" s="208" t="n"/>
      <c r="CJ2120" s="204" t="n"/>
      <c r="CK2120" s="208" t="n"/>
      <c r="CL2120" s="208" t="n"/>
      <c r="CM2120" s="208" t="n"/>
      <c r="CN2120" s="78" t="n"/>
      <c r="CO2120" s="209" t="n"/>
      <c r="CP2120" s="204" t="n"/>
      <c r="CQ2120" s="204" t="n"/>
      <c r="CR2120" s="204" t="n"/>
      <c r="CS2120" s="204" t="n"/>
      <c r="CT2120" s="204" t="n"/>
      <c r="CU2120" s="204" t="n"/>
      <c r="CV2120" s="204" t="n"/>
      <c r="CW2120" s="204" t="n"/>
    </row>
    <row r="2121">
      <c r="BF2121" s="78" t="n"/>
      <c r="BG2121" s="78" t="n"/>
      <c r="BH2121" s="78" t="n"/>
      <c r="BI2121" s="78" t="n"/>
      <c r="BJ2121" s="139" t="n"/>
      <c r="BK2121" s="204" t="n"/>
      <c r="BL2121" s="141" t="n"/>
      <c r="BM2121" s="205" t="n"/>
      <c r="BN2121" s="205" t="n"/>
      <c r="BO2121" s="206" t="n"/>
      <c r="BP2121" s="144" t="n"/>
      <c r="BQ2121" s="141" t="n"/>
      <c r="BR2121" s="207" t="n"/>
      <c r="BS2121" s="207" t="n"/>
      <c r="BT2121" s="207" t="n"/>
      <c r="BU2121" s="207" t="n"/>
      <c r="BV2121" s="208" t="n"/>
      <c r="BW2121" s="207" t="n"/>
      <c r="BX2121" s="207" t="n"/>
      <c r="BY2121" s="204" t="n"/>
      <c r="BZ2121" s="148" t="n"/>
      <c r="CA2121" s="204" t="n"/>
      <c r="CB2121" s="208" t="n"/>
      <c r="CC2121" s="139" t="n"/>
      <c r="CD2121" s="204" t="n"/>
      <c r="CE2121" s="204" t="n"/>
      <c r="CF2121" s="207" t="n"/>
      <c r="CG2121" s="208" t="n"/>
      <c r="CH2121" s="207" t="n"/>
      <c r="CI2121" s="208" t="n"/>
      <c r="CJ2121" s="204" t="n"/>
      <c r="CK2121" s="208" t="n"/>
      <c r="CL2121" s="208" t="n"/>
      <c r="CM2121" s="208" t="n"/>
      <c r="CN2121" s="78" t="n"/>
      <c r="CO2121" s="209" t="n"/>
      <c r="CP2121" s="204" t="n"/>
      <c r="CQ2121" s="204" t="n"/>
      <c r="CR2121" s="204" t="n"/>
      <c r="CS2121" s="204" t="n"/>
      <c r="CT2121" s="204" t="n"/>
      <c r="CU2121" s="204" t="n"/>
      <c r="CV2121" s="204" t="n"/>
      <c r="CW2121" s="204" t="n"/>
    </row>
    <row r="2122">
      <c r="BF2122" s="78" t="n"/>
      <c r="BG2122" s="78" t="n"/>
      <c r="BH2122" s="78" t="n"/>
      <c r="BI2122" s="78" t="n"/>
      <c r="BJ2122" s="139" t="n"/>
      <c r="BK2122" s="204" t="n"/>
      <c r="BL2122" s="141" t="n"/>
      <c r="BM2122" s="205" t="n"/>
      <c r="BN2122" s="205" t="n"/>
      <c r="BO2122" s="206" t="n"/>
      <c r="BP2122" s="144" t="n"/>
      <c r="BQ2122" s="141" t="n"/>
      <c r="BR2122" s="207" t="n"/>
      <c r="BS2122" s="207" t="n"/>
      <c r="BT2122" s="207" t="n"/>
      <c r="BU2122" s="207" t="n"/>
      <c r="BV2122" s="208" t="n"/>
      <c r="BW2122" s="207" t="n"/>
      <c r="BX2122" s="207" t="n"/>
      <c r="BY2122" s="204" t="n"/>
      <c r="BZ2122" s="148" t="n"/>
      <c r="CA2122" s="204" t="n"/>
      <c r="CB2122" s="208" t="n"/>
      <c r="CC2122" s="139" t="n"/>
      <c r="CD2122" s="204" t="n"/>
      <c r="CE2122" s="204" t="n"/>
      <c r="CF2122" s="207" t="n"/>
      <c r="CG2122" s="208" t="n"/>
      <c r="CH2122" s="207" t="n"/>
      <c r="CI2122" s="208" t="n"/>
      <c r="CJ2122" s="204" t="n"/>
      <c r="CK2122" s="208" t="n"/>
      <c r="CL2122" s="208" t="n"/>
      <c r="CM2122" s="208" t="n"/>
      <c r="CN2122" s="78" t="n"/>
      <c r="CO2122" s="209" t="n"/>
      <c r="CP2122" s="204" t="n"/>
      <c r="CQ2122" s="204" t="n"/>
      <c r="CR2122" s="204" t="n"/>
      <c r="CS2122" s="204" t="n"/>
      <c r="CT2122" s="204" t="n"/>
      <c r="CU2122" s="204" t="n"/>
      <c r="CV2122" s="204" t="n"/>
      <c r="CW2122" s="204" t="n"/>
    </row>
    <row r="2123">
      <c r="BF2123" s="78" t="n"/>
      <c r="BG2123" s="78" t="n"/>
      <c r="BH2123" s="78" t="n"/>
      <c r="BI2123" s="78" t="n"/>
      <c r="BJ2123" s="139" t="n"/>
      <c r="BK2123" s="204" t="n"/>
      <c r="BL2123" s="141" t="n"/>
      <c r="BM2123" s="205" t="n"/>
      <c r="BN2123" s="205" t="n"/>
      <c r="BO2123" s="206" t="n"/>
      <c r="BP2123" s="144" t="n"/>
      <c r="BQ2123" s="141" t="n"/>
      <c r="BR2123" s="207" t="n"/>
      <c r="BS2123" s="207" t="n"/>
      <c r="BT2123" s="207" t="n"/>
      <c r="BU2123" s="207" t="n"/>
      <c r="BV2123" s="208" t="n"/>
      <c r="BW2123" s="207" t="n"/>
      <c r="BX2123" s="207" t="n"/>
      <c r="BY2123" s="204" t="n"/>
      <c r="BZ2123" s="148" t="n"/>
      <c r="CA2123" s="204" t="n"/>
      <c r="CB2123" s="208" t="n"/>
      <c r="CC2123" s="139" t="n"/>
      <c r="CD2123" s="204" t="n"/>
      <c r="CE2123" s="204" t="n"/>
      <c r="CF2123" s="207" t="n"/>
      <c r="CG2123" s="208" t="n"/>
      <c r="CH2123" s="207" t="n"/>
      <c r="CI2123" s="208" t="n"/>
      <c r="CJ2123" s="204" t="n"/>
      <c r="CK2123" s="208" t="n"/>
      <c r="CL2123" s="208" t="n"/>
      <c r="CM2123" s="208" t="n"/>
      <c r="CN2123" s="78" t="n"/>
      <c r="CO2123" s="209" t="n"/>
      <c r="CP2123" s="204" t="n"/>
      <c r="CQ2123" s="204" t="n"/>
      <c r="CR2123" s="204" t="n"/>
      <c r="CS2123" s="204" t="n"/>
      <c r="CT2123" s="204" t="n"/>
      <c r="CU2123" s="204" t="n"/>
      <c r="CV2123" s="204" t="n"/>
      <c r="CW2123" s="204" t="n"/>
    </row>
    <row r="2124">
      <c r="BF2124" s="78" t="n"/>
      <c r="BG2124" s="78" t="n"/>
      <c r="BH2124" s="78" t="n"/>
      <c r="BI2124" s="78" t="n"/>
      <c r="BJ2124" s="139" t="n"/>
      <c r="BK2124" s="204" t="n"/>
      <c r="BL2124" s="141" t="n"/>
      <c r="BM2124" s="205" t="n"/>
      <c r="BN2124" s="205" t="n"/>
      <c r="BO2124" s="206" t="n"/>
      <c r="BP2124" s="144" t="n"/>
      <c r="BQ2124" s="141" t="n"/>
      <c r="BR2124" s="207" t="n"/>
      <c r="BS2124" s="207" t="n"/>
      <c r="BT2124" s="207" t="n"/>
      <c r="BU2124" s="207" t="n"/>
      <c r="BV2124" s="208" t="n"/>
      <c r="BW2124" s="207" t="n"/>
      <c r="BX2124" s="207" t="n"/>
      <c r="BY2124" s="204" t="n"/>
      <c r="BZ2124" s="148" t="n"/>
      <c r="CA2124" s="204" t="n"/>
      <c r="CB2124" s="208" t="n"/>
      <c r="CC2124" s="139" t="n"/>
      <c r="CD2124" s="204" t="n"/>
      <c r="CE2124" s="204" t="n"/>
      <c r="CF2124" s="207" t="n"/>
      <c r="CG2124" s="208" t="n"/>
      <c r="CH2124" s="207" t="n"/>
      <c r="CI2124" s="208" t="n"/>
      <c r="CJ2124" s="204" t="n"/>
      <c r="CK2124" s="208" t="n"/>
      <c r="CL2124" s="208" t="n"/>
      <c r="CM2124" s="208" t="n"/>
      <c r="CN2124" s="78" t="n"/>
      <c r="CO2124" s="209" t="n"/>
      <c r="CP2124" s="204" t="n"/>
      <c r="CQ2124" s="204" t="n"/>
      <c r="CR2124" s="204" t="n"/>
      <c r="CS2124" s="204" t="n"/>
      <c r="CT2124" s="204" t="n"/>
      <c r="CU2124" s="204" t="n"/>
      <c r="CV2124" s="204" t="n"/>
      <c r="CW2124" s="204" t="n"/>
    </row>
    <row r="2125">
      <c r="BF2125" s="78" t="n"/>
      <c r="BG2125" s="78" t="n"/>
      <c r="BH2125" s="78" t="n"/>
      <c r="BI2125" s="78" t="n"/>
      <c r="BJ2125" s="139" t="n"/>
      <c r="BK2125" s="204" t="n"/>
      <c r="BL2125" s="141" t="n"/>
      <c r="BM2125" s="205" t="n"/>
      <c r="BN2125" s="205" t="n"/>
      <c r="BO2125" s="206" t="n"/>
      <c r="BP2125" s="144" t="n"/>
      <c r="BQ2125" s="141" t="n"/>
      <c r="BR2125" s="207" t="n"/>
      <c r="BS2125" s="207" t="n"/>
      <c r="BT2125" s="207" t="n"/>
      <c r="BU2125" s="207" t="n"/>
      <c r="BV2125" s="208" t="n"/>
      <c r="BW2125" s="207" t="n"/>
      <c r="BX2125" s="207" t="n"/>
      <c r="BY2125" s="204" t="n"/>
      <c r="BZ2125" s="148" t="n"/>
      <c r="CA2125" s="204" t="n"/>
      <c r="CB2125" s="208" t="n"/>
      <c r="CC2125" s="139" t="n"/>
      <c r="CD2125" s="204" t="n"/>
      <c r="CE2125" s="204" t="n"/>
      <c r="CF2125" s="207" t="n"/>
      <c r="CG2125" s="208" t="n"/>
      <c r="CH2125" s="207" t="n"/>
      <c r="CI2125" s="208" t="n"/>
      <c r="CJ2125" s="204" t="n"/>
      <c r="CK2125" s="208" t="n"/>
      <c r="CL2125" s="208" t="n"/>
      <c r="CM2125" s="208" t="n"/>
      <c r="CN2125" s="78" t="n"/>
      <c r="CO2125" s="209" t="n"/>
      <c r="CP2125" s="204" t="n"/>
      <c r="CQ2125" s="204" t="n"/>
      <c r="CR2125" s="204" t="n"/>
      <c r="CS2125" s="204" t="n"/>
      <c r="CT2125" s="204" t="n"/>
      <c r="CU2125" s="204" t="n"/>
      <c r="CV2125" s="204" t="n"/>
      <c r="CW2125" s="204" t="n"/>
    </row>
    <row r="2126">
      <c r="BF2126" s="78" t="n"/>
      <c r="BG2126" s="78" t="n"/>
      <c r="BH2126" s="78" t="n"/>
      <c r="BI2126" s="78" t="n"/>
      <c r="BJ2126" s="139" t="n"/>
      <c r="BK2126" s="204" t="n"/>
      <c r="BL2126" s="141" t="n"/>
      <c r="BM2126" s="205" t="n"/>
      <c r="BN2126" s="205" t="n"/>
      <c r="BO2126" s="206" t="n"/>
      <c r="BP2126" s="144" t="n"/>
      <c r="BQ2126" s="141" t="n"/>
      <c r="BR2126" s="207" t="n"/>
      <c r="BS2126" s="207" t="n"/>
      <c r="BT2126" s="207" t="n"/>
      <c r="BU2126" s="207" t="n"/>
      <c r="BV2126" s="208" t="n"/>
      <c r="BW2126" s="207" t="n"/>
      <c r="BX2126" s="207" t="n"/>
      <c r="BY2126" s="204" t="n"/>
      <c r="BZ2126" s="148" t="n"/>
      <c r="CA2126" s="204" t="n"/>
      <c r="CB2126" s="208" t="n"/>
      <c r="CC2126" s="139" t="n"/>
      <c r="CD2126" s="204" t="n"/>
      <c r="CE2126" s="204" t="n"/>
      <c r="CF2126" s="207" t="n"/>
      <c r="CG2126" s="208" t="n"/>
      <c r="CH2126" s="207" t="n"/>
      <c r="CI2126" s="208" t="n"/>
      <c r="CJ2126" s="204" t="n"/>
      <c r="CK2126" s="208" t="n"/>
      <c r="CL2126" s="208" t="n"/>
      <c r="CM2126" s="208" t="n"/>
      <c r="CN2126" s="78" t="n"/>
      <c r="CO2126" s="209" t="n"/>
      <c r="CP2126" s="204" t="n"/>
      <c r="CQ2126" s="204" t="n"/>
      <c r="CR2126" s="204" t="n"/>
      <c r="CS2126" s="204" t="n"/>
      <c r="CT2126" s="204" t="n"/>
      <c r="CU2126" s="204" t="n"/>
      <c r="CV2126" s="204" t="n"/>
      <c r="CW2126" s="204" t="n"/>
    </row>
    <row r="2127">
      <c r="BF2127" s="78" t="n"/>
      <c r="BG2127" s="78" t="n"/>
      <c r="BH2127" s="78" t="n"/>
      <c r="BI2127" s="78" t="n"/>
      <c r="BJ2127" s="139" t="n"/>
      <c r="BK2127" s="204" t="n"/>
      <c r="BL2127" s="141" t="n"/>
      <c r="BM2127" s="205" t="n"/>
      <c r="BN2127" s="205" t="n"/>
      <c r="BO2127" s="206" t="n"/>
      <c r="BP2127" s="144" t="n"/>
      <c r="BQ2127" s="141" t="n"/>
      <c r="BR2127" s="207" t="n"/>
      <c r="BS2127" s="207" t="n"/>
      <c r="BT2127" s="207" t="n"/>
      <c r="BU2127" s="207" t="n"/>
      <c r="BV2127" s="208" t="n"/>
      <c r="BW2127" s="207" t="n"/>
      <c r="BX2127" s="207" t="n"/>
      <c r="BY2127" s="204" t="n"/>
      <c r="BZ2127" s="148" t="n"/>
      <c r="CA2127" s="204" t="n"/>
      <c r="CB2127" s="208" t="n"/>
      <c r="CC2127" s="139" t="n"/>
      <c r="CD2127" s="204" t="n"/>
      <c r="CE2127" s="204" t="n"/>
      <c r="CF2127" s="207" t="n"/>
      <c r="CG2127" s="208" t="n"/>
      <c r="CH2127" s="207" t="n"/>
      <c r="CI2127" s="208" t="n"/>
      <c r="CJ2127" s="204" t="n"/>
      <c r="CK2127" s="208" t="n"/>
      <c r="CL2127" s="208" t="n"/>
      <c r="CM2127" s="208" t="n"/>
      <c r="CN2127" s="78" t="n"/>
      <c r="CO2127" s="209" t="n"/>
      <c r="CP2127" s="204" t="n"/>
      <c r="CQ2127" s="204" t="n"/>
      <c r="CR2127" s="204" t="n"/>
      <c r="CS2127" s="204" t="n"/>
      <c r="CT2127" s="204" t="n"/>
      <c r="CU2127" s="204" t="n"/>
      <c r="CV2127" s="204" t="n"/>
      <c r="CW2127" s="204" t="n"/>
    </row>
    <row r="2128">
      <c r="BF2128" s="78" t="n"/>
      <c r="BG2128" s="78" t="n"/>
      <c r="BH2128" s="78" t="n"/>
      <c r="BI2128" s="78" t="n"/>
      <c r="BJ2128" s="139" t="n"/>
      <c r="BK2128" s="204" t="n"/>
      <c r="BL2128" s="141" t="n"/>
      <c r="BM2128" s="205" t="n"/>
      <c r="BN2128" s="205" t="n"/>
      <c r="BO2128" s="206" t="n"/>
      <c r="BP2128" s="144" t="n"/>
      <c r="BQ2128" s="141" t="n"/>
      <c r="BR2128" s="207" t="n"/>
      <c r="BS2128" s="207" t="n"/>
      <c r="BT2128" s="207" t="n"/>
      <c r="BU2128" s="207" t="n"/>
      <c r="BV2128" s="208" t="n"/>
      <c r="BW2128" s="207" t="n"/>
      <c r="BX2128" s="207" t="n"/>
      <c r="BY2128" s="204" t="n"/>
      <c r="BZ2128" s="148" t="n"/>
      <c r="CA2128" s="204" t="n"/>
      <c r="CB2128" s="208" t="n"/>
      <c r="CC2128" s="139" t="n"/>
      <c r="CD2128" s="204" t="n"/>
      <c r="CE2128" s="204" t="n"/>
      <c r="CF2128" s="207" t="n"/>
      <c r="CG2128" s="208" t="n"/>
      <c r="CH2128" s="207" t="n"/>
      <c r="CI2128" s="208" t="n"/>
      <c r="CJ2128" s="204" t="n"/>
      <c r="CK2128" s="208" t="n"/>
      <c r="CL2128" s="208" t="n"/>
      <c r="CM2128" s="208" t="n"/>
      <c r="CN2128" s="78" t="n"/>
      <c r="CO2128" s="209" t="n"/>
      <c r="CP2128" s="204" t="n"/>
      <c r="CQ2128" s="204" t="n"/>
      <c r="CR2128" s="204" t="n"/>
      <c r="CS2128" s="204" t="n"/>
      <c r="CT2128" s="204" t="n"/>
      <c r="CU2128" s="204" t="n"/>
      <c r="CV2128" s="204" t="n"/>
      <c r="CW2128" s="204" t="n"/>
    </row>
    <row r="2129">
      <c r="BF2129" s="78" t="n"/>
      <c r="BG2129" s="78" t="n"/>
      <c r="BH2129" s="78" t="n"/>
      <c r="BI2129" s="78" t="n"/>
      <c r="BJ2129" s="139" t="n"/>
      <c r="BK2129" s="204" t="n"/>
      <c r="BL2129" s="141" t="n"/>
      <c r="BM2129" s="205" t="n"/>
      <c r="BN2129" s="205" t="n"/>
      <c r="BO2129" s="206" t="n"/>
      <c r="BP2129" s="144" t="n"/>
      <c r="BQ2129" s="141" t="n"/>
      <c r="BR2129" s="207" t="n"/>
      <c r="BS2129" s="207" t="n"/>
      <c r="BT2129" s="207" t="n"/>
      <c r="BU2129" s="207" t="n"/>
      <c r="BV2129" s="208" t="n"/>
      <c r="BW2129" s="207" t="n"/>
      <c r="BX2129" s="207" t="n"/>
      <c r="BY2129" s="204" t="n"/>
      <c r="BZ2129" s="148" t="n"/>
      <c r="CA2129" s="204" t="n"/>
      <c r="CB2129" s="208" t="n"/>
      <c r="CC2129" s="139" t="n"/>
      <c r="CD2129" s="204" t="n"/>
      <c r="CE2129" s="204" t="n"/>
      <c r="CF2129" s="207" t="n"/>
      <c r="CG2129" s="208" t="n"/>
      <c r="CH2129" s="207" t="n"/>
      <c r="CI2129" s="208" t="n"/>
      <c r="CJ2129" s="204" t="n"/>
      <c r="CK2129" s="208" t="n"/>
      <c r="CL2129" s="208" t="n"/>
      <c r="CM2129" s="208" t="n"/>
      <c r="CN2129" s="78" t="n"/>
      <c r="CO2129" s="209" t="n"/>
      <c r="CP2129" s="204" t="n"/>
      <c r="CQ2129" s="204" t="n"/>
      <c r="CR2129" s="204" t="n"/>
      <c r="CS2129" s="204" t="n"/>
      <c r="CT2129" s="204" t="n"/>
      <c r="CU2129" s="204" t="n"/>
      <c r="CV2129" s="204" t="n"/>
      <c r="CW2129" s="204" t="n"/>
    </row>
    <row r="2130">
      <c r="BF2130" s="78" t="n"/>
      <c r="BG2130" s="78" t="n"/>
      <c r="BH2130" s="78" t="n"/>
      <c r="BI2130" s="78" t="n"/>
      <c r="BJ2130" s="139" t="n"/>
      <c r="BK2130" s="204" t="n"/>
      <c r="BL2130" s="141" t="n"/>
      <c r="BM2130" s="205" t="n"/>
      <c r="BN2130" s="205" t="n"/>
      <c r="BO2130" s="206" t="n"/>
      <c r="BP2130" s="144" t="n"/>
      <c r="BQ2130" s="141" t="n"/>
      <c r="BR2130" s="207" t="n"/>
      <c r="BS2130" s="207" t="n"/>
      <c r="BT2130" s="207" t="n"/>
      <c r="BU2130" s="207" t="n"/>
      <c r="BV2130" s="208" t="n"/>
      <c r="BW2130" s="207" t="n"/>
      <c r="BX2130" s="207" t="n"/>
      <c r="BY2130" s="204" t="n"/>
      <c r="BZ2130" s="148" t="n"/>
      <c r="CA2130" s="204" t="n"/>
      <c r="CB2130" s="208" t="n"/>
      <c r="CC2130" s="139" t="n"/>
      <c r="CD2130" s="204" t="n"/>
      <c r="CE2130" s="204" t="n"/>
      <c r="CF2130" s="207" t="n"/>
      <c r="CG2130" s="208" t="n"/>
      <c r="CH2130" s="207" t="n"/>
      <c r="CI2130" s="208" t="n"/>
      <c r="CJ2130" s="204" t="n"/>
      <c r="CK2130" s="208" t="n"/>
      <c r="CL2130" s="208" t="n"/>
      <c r="CM2130" s="208" t="n"/>
      <c r="CN2130" s="78" t="n"/>
      <c r="CO2130" s="209" t="n"/>
      <c r="CP2130" s="204" t="n"/>
      <c r="CQ2130" s="204" t="n"/>
      <c r="CR2130" s="204" t="n"/>
      <c r="CS2130" s="204" t="n"/>
      <c r="CT2130" s="204" t="n"/>
      <c r="CU2130" s="204" t="n"/>
      <c r="CV2130" s="204" t="n"/>
      <c r="CW2130" s="204" t="n"/>
    </row>
    <row r="2131">
      <c r="BF2131" s="78" t="n"/>
      <c r="BG2131" s="78" t="n"/>
      <c r="BH2131" s="78" t="n"/>
      <c r="BI2131" s="78" t="n"/>
      <c r="BJ2131" s="139" t="n"/>
      <c r="BK2131" s="204" t="n"/>
      <c r="BL2131" s="141" t="n"/>
      <c r="BM2131" s="205" t="n"/>
      <c r="BN2131" s="205" t="n"/>
      <c r="BO2131" s="206" t="n"/>
      <c r="BP2131" s="144" t="n"/>
      <c r="BQ2131" s="141" t="n"/>
      <c r="BR2131" s="207" t="n"/>
      <c r="BS2131" s="207" t="n"/>
      <c r="BT2131" s="207" t="n"/>
      <c r="BU2131" s="207" t="n"/>
      <c r="BV2131" s="208" t="n"/>
      <c r="BW2131" s="207" t="n"/>
      <c r="BX2131" s="207" t="n"/>
      <c r="BY2131" s="204" t="n"/>
      <c r="BZ2131" s="148" t="n"/>
      <c r="CA2131" s="204" t="n"/>
      <c r="CB2131" s="208" t="n"/>
      <c r="CC2131" s="139" t="n"/>
      <c r="CD2131" s="204" t="n"/>
      <c r="CE2131" s="204" t="n"/>
      <c r="CF2131" s="207" t="n"/>
      <c r="CG2131" s="208" t="n"/>
      <c r="CH2131" s="207" t="n"/>
      <c r="CI2131" s="208" t="n"/>
      <c r="CJ2131" s="204" t="n"/>
      <c r="CK2131" s="208" t="n"/>
      <c r="CL2131" s="208" t="n"/>
      <c r="CM2131" s="208" t="n"/>
      <c r="CN2131" s="78" t="n"/>
      <c r="CO2131" s="209" t="n"/>
      <c r="CP2131" s="204" t="n"/>
      <c r="CQ2131" s="204" t="n"/>
      <c r="CR2131" s="204" t="n"/>
      <c r="CS2131" s="204" t="n"/>
      <c r="CT2131" s="204" t="n"/>
      <c r="CU2131" s="204" t="n"/>
      <c r="CV2131" s="204" t="n"/>
      <c r="CW2131" s="204" t="n"/>
    </row>
    <row r="2132">
      <c r="BF2132" s="78" t="n"/>
      <c r="BG2132" s="78" t="n"/>
      <c r="BH2132" s="78" t="n"/>
      <c r="BI2132" s="78" t="n"/>
      <c r="BJ2132" s="139" t="n"/>
      <c r="BK2132" s="204" t="n"/>
      <c r="BL2132" s="141" t="n"/>
      <c r="BM2132" s="205" t="n"/>
      <c r="BN2132" s="205" t="n"/>
      <c r="BO2132" s="206" t="n"/>
      <c r="BP2132" s="144" t="n"/>
      <c r="BQ2132" s="141" t="n"/>
      <c r="BR2132" s="207" t="n"/>
      <c r="BS2132" s="207" t="n"/>
      <c r="BT2132" s="207" t="n"/>
      <c r="BU2132" s="207" t="n"/>
      <c r="BV2132" s="208" t="n"/>
      <c r="BW2132" s="207" t="n"/>
      <c r="BX2132" s="207" t="n"/>
      <c r="BY2132" s="204" t="n"/>
      <c r="BZ2132" s="148" t="n"/>
      <c r="CA2132" s="204" t="n"/>
      <c r="CB2132" s="208" t="n"/>
      <c r="CC2132" s="139" t="n"/>
      <c r="CD2132" s="204" t="n"/>
      <c r="CE2132" s="204" t="n"/>
      <c r="CF2132" s="207" t="n"/>
      <c r="CG2132" s="208" t="n"/>
      <c r="CH2132" s="207" t="n"/>
      <c r="CI2132" s="208" t="n"/>
      <c r="CJ2132" s="204" t="n"/>
      <c r="CK2132" s="208" t="n"/>
      <c r="CL2132" s="208" t="n"/>
      <c r="CM2132" s="208" t="n"/>
      <c r="CN2132" s="78" t="n"/>
      <c r="CO2132" s="209" t="n"/>
      <c r="CP2132" s="204" t="n"/>
      <c r="CQ2132" s="204" t="n"/>
      <c r="CR2132" s="204" t="n"/>
      <c r="CS2132" s="204" t="n"/>
      <c r="CT2132" s="204" t="n"/>
      <c r="CU2132" s="204" t="n"/>
      <c r="CV2132" s="204" t="n"/>
      <c r="CW2132" s="204" t="n"/>
    </row>
    <row r="2133">
      <c r="BF2133" s="78" t="n"/>
      <c r="BG2133" s="78" t="n"/>
      <c r="BH2133" s="78" t="n"/>
      <c r="BI2133" s="78" t="n"/>
      <c r="BJ2133" s="139" t="n"/>
      <c r="BK2133" s="204" t="n"/>
      <c r="BL2133" s="141" t="n"/>
      <c r="BM2133" s="205" t="n"/>
      <c r="BN2133" s="205" t="n"/>
      <c r="BO2133" s="206" t="n"/>
      <c r="BP2133" s="144" t="n"/>
      <c r="BQ2133" s="141" t="n"/>
      <c r="BR2133" s="207" t="n"/>
      <c r="BS2133" s="207" t="n"/>
      <c r="BT2133" s="207" t="n"/>
      <c r="BU2133" s="207" t="n"/>
      <c r="BV2133" s="208" t="n"/>
      <c r="BW2133" s="207" t="n"/>
      <c r="BX2133" s="207" t="n"/>
      <c r="BY2133" s="204" t="n"/>
      <c r="BZ2133" s="148" t="n"/>
      <c r="CA2133" s="204" t="n"/>
      <c r="CB2133" s="208" t="n"/>
      <c r="CC2133" s="139" t="n"/>
      <c r="CD2133" s="204" t="n"/>
      <c r="CE2133" s="204" t="n"/>
      <c r="CF2133" s="207" t="n"/>
      <c r="CG2133" s="208" t="n"/>
      <c r="CH2133" s="207" t="n"/>
      <c r="CI2133" s="208" t="n"/>
      <c r="CJ2133" s="204" t="n"/>
      <c r="CK2133" s="208" t="n"/>
      <c r="CL2133" s="208" t="n"/>
      <c r="CM2133" s="208" t="n"/>
      <c r="CN2133" s="78" t="n"/>
      <c r="CO2133" s="209" t="n"/>
      <c r="CP2133" s="204" t="n"/>
      <c r="CQ2133" s="204" t="n"/>
      <c r="CR2133" s="204" t="n"/>
      <c r="CS2133" s="204" t="n"/>
      <c r="CT2133" s="204" t="n"/>
      <c r="CU2133" s="204" t="n"/>
      <c r="CV2133" s="204" t="n"/>
      <c r="CW2133" s="204" t="n"/>
    </row>
    <row r="2134">
      <c r="BF2134" s="78" t="n"/>
      <c r="BG2134" s="78" t="n"/>
      <c r="BH2134" s="78" t="n"/>
      <c r="BI2134" s="78" t="n"/>
      <c r="BJ2134" s="139" t="n"/>
      <c r="BK2134" s="204" t="n"/>
      <c r="BL2134" s="141" t="n"/>
      <c r="BM2134" s="205" t="n"/>
      <c r="BN2134" s="205" t="n"/>
      <c r="BO2134" s="206" t="n"/>
      <c r="BP2134" s="144" t="n"/>
      <c r="BQ2134" s="141" t="n"/>
      <c r="BR2134" s="207" t="n"/>
      <c r="BS2134" s="207" t="n"/>
      <c r="BT2134" s="207" t="n"/>
      <c r="BU2134" s="207" t="n"/>
      <c r="BV2134" s="208" t="n"/>
      <c r="BW2134" s="207" t="n"/>
      <c r="BX2134" s="207" t="n"/>
      <c r="BY2134" s="204" t="n"/>
      <c r="BZ2134" s="148" t="n"/>
      <c r="CA2134" s="204" t="n"/>
      <c r="CB2134" s="208" t="n"/>
      <c r="CC2134" s="139" t="n"/>
      <c r="CD2134" s="204" t="n"/>
      <c r="CE2134" s="204" t="n"/>
      <c r="CF2134" s="207" t="n"/>
      <c r="CG2134" s="208" t="n"/>
      <c r="CH2134" s="207" t="n"/>
      <c r="CI2134" s="208" t="n"/>
      <c r="CJ2134" s="204" t="n"/>
      <c r="CK2134" s="208" t="n"/>
      <c r="CL2134" s="208" t="n"/>
      <c r="CM2134" s="208" t="n"/>
      <c r="CN2134" s="78" t="n"/>
      <c r="CO2134" s="209" t="n"/>
      <c r="CP2134" s="204" t="n"/>
      <c r="CQ2134" s="204" t="n"/>
      <c r="CR2134" s="204" t="n"/>
      <c r="CS2134" s="204" t="n"/>
      <c r="CT2134" s="204" t="n"/>
      <c r="CU2134" s="204" t="n"/>
      <c r="CV2134" s="204" t="n"/>
      <c r="CW2134" s="204" t="n"/>
    </row>
    <row r="2135">
      <c r="BF2135" s="78" t="n"/>
      <c r="BG2135" s="78" t="n"/>
      <c r="BH2135" s="78" t="n"/>
      <c r="BI2135" s="78" t="n"/>
      <c r="BJ2135" s="139" t="n"/>
      <c r="BK2135" s="204" t="n"/>
      <c r="BL2135" s="141" t="n"/>
      <c r="BM2135" s="205" t="n"/>
      <c r="BN2135" s="205" t="n"/>
      <c r="BO2135" s="206" t="n"/>
      <c r="BP2135" s="144" t="n"/>
      <c r="BQ2135" s="141" t="n"/>
      <c r="BR2135" s="207" t="n"/>
      <c r="BS2135" s="207" t="n"/>
      <c r="BT2135" s="207" t="n"/>
      <c r="BU2135" s="207" t="n"/>
      <c r="BV2135" s="208" t="n"/>
      <c r="BW2135" s="207" t="n"/>
      <c r="BX2135" s="207" t="n"/>
      <c r="BY2135" s="204" t="n"/>
      <c r="BZ2135" s="148" t="n"/>
      <c r="CA2135" s="204" t="n"/>
      <c r="CB2135" s="208" t="n"/>
      <c r="CC2135" s="139" t="n"/>
      <c r="CD2135" s="204" t="n"/>
      <c r="CE2135" s="204" t="n"/>
      <c r="CF2135" s="207" t="n"/>
      <c r="CG2135" s="208" t="n"/>
      <c r="CH2135" s="207" t="n"/>
      <c r="CI2135" s="208" t="n"/>
      <c r="CJ2135" s="204" t="n"/>
      <c r="CK2135" s="208" t="n"/>
      <c r="CL2135" s="208" t="n"/>
      <c r="CM2135" s="208" t="n"/>
      <c r="CN2135" s="78" t="n"/>
      <c r="CO2135" s="209" t="n"/>
      <c r="CP2135" s="204" t="n"/>
      <c r="CQ2135" s="204" t="n"/>
      <c r="CR2135" s="204" t="n"/>
      <c r="CS2135" s="204" t="n"/>
      <c r="CT2135" s="204" t="n"/>
      <c r="CU2135" s="204" t="n"/>
      <c r="CV2135" s="204" t="n"/>
      <c r="CW2135" s="204" t="n"/>
    </row>
    <row r="2136">
      <c r="BF2136" s="78" t="n"/>
      <c r="BG2136" s="78" t="n"/>
      <c r="BH2136" s="78" t="n"/>
      <c r="BI2136" s="78" t="n"/>
      <c r="BJ2136" s="139" t="n"/>
      <c r="BK2136" s="204" t="n"/>
      <c r="BL2136" s="141" t="n"/>
      <c r="BM2136" s="205" t="n"/>
      <c r="BN2136" s="205" t="n"/>
      <c r="BO2136" s="206" t="n"/>
      <c r="BP2136" s="144" t="n"/>
      <c r="BQ2136" s="141" t="n"/>
      <c r="BR2136" s="207" t="n"/>
      <c r="BS2136" s="207" t="n"/>
      <c r="BT2136" s="207" t="n"/>
      <c r="BU2136" s="207" t="n"/>
      <c r="BV2136" s="208" t="n"/>
      <c r="BW2136" s="207" t="n"/>
      <c r="BX2136" s="207" t="n"/>
      <c r="BY2136" s="204" t="n"/>
      <c r="BZ2136" s="148" t="n"/>
      <c r="CA2136" s="204" t="n"/>
      <c r="CB2136" s="208" t="n"/>
      <c r="CC2136" s="139" t="n"/>
      <c r="CD2136" s="204" t="n"/>
      <c r="CE2136" s="204" t="n"/>
      <c r="CF2136" s="207" t="n"/>
      <c r="CG2136" s="208" t="n"/>
      <c r="CH2136" s="207" t="n"/>
      <c r="CI2136" s="208" t="n"/>
      <c r="CJ2136" s="204" t="n"/>
      <c r="CK2136" s="208" t="n"/>
      <c r="CL2136" s="208" t="n"/>
      <c r="CM2136" s="208" t="n"/>
      <c r="CN2136" s="78" t="n"/>
      <c r="CO2136" s="209" t="n"/>
      <c r="CP2136" s="204" t="n"/>
      <c r="CQ2136" s="204" t="n"/>
      <c r="CR2136" s="204" t="n"/>
      <c r="CS2136" s="204" t="n"/>
      <c r="CT2136" s="204" t="n"/>
      <c r="CU2136" s="204" t="n"/>
      <c r="CV2136" s="204" t="n"/>
      <c r="CW2136" s="204" t="n"/>
    </row>
    <row r="2137">
      <c r="BF2137" s="78" t="n"/>
      <c r="BG2137" s="78" t="n"/>
      <c r="BH2137" s="78" t="n"/>
      <c r="BI2137" s="78" t="n"/>
      <c r="BJ2137" s="139" t="n"/>
      <c r="BK2137" s="204" t="n"/>
      <c r="BL2137" s="141" t="n"/>
      <c r="BM2137" s="205" t="n"/>
      <c r="BN2137" s="205" t="n"/>
      <c r="BO2137" s="206" t="n"/>
      <c r="BP2137" s="144" t="n"/>
      <c r="BQ2137" s="141" t="n"/>
      <c r="BR2137" s="207" t="n"/>
      <c r="BS2137" s="207" t="n"/>
      <c r="BT2137" s="207" t="n"/>
      <c r="BU2137" s="207" t="n"/>
      <c r="BV2137" s="208" t="n"/>
      <c r="BW2137" s="207" t="n"/>
      <c r="BX2137" s="207" t="n"/>
      <c r="BY2137" s="204" t="n"/>
      <c r="BZ2137" s="148" t="n"/>
      <c r="CA2137" s="204" t="n"/>
      <c r="CB2137" s="208" t="n"/>
      <c r="CC2137" s="139" t="n"/>
      <c r="CD2137" s="204" t="n"/>
      <c r="CE2137" s="204" t="n"/>
      <c r="CF2137" s="207" t="n"/>
      <c r="CG2137" s="208" t="n"/>
      <c r="CH2137" s="207" t="n"/>
      <c r="CI2137" s="208" t="n"/>
      <c r="CJ2137" s="204" t="n"/>
      <c r="CK2137" s="208" t="n"/>
      <c r="CL2137" s="208" t="n"/>
      <c r="CM2137" s="208" t="n"/>
      <c r="CN2137" s="78" t="n"/>
      <c r="CO2137" s="209" t="n"/>
      <c r="CP2137" s="204" t="n"/>
      <c r="CQ2137" s="204" t="n"/>
      <c r="CR2137" s="204" t="n"/>
      <c r="CS2137" s="204" t="n"/>
      <c r="CT2137" s="204" t="n"/>
      <c r="CU2137" s="204" t="n"/>
      <c r="CV2137" s="204" t="n"/>
      <c r="CW2137" s="204" t="n"/>
    </row>
    <row r="2138">
      <c r="BF2138" s="78" t="n"/>
      <c r="BG2138" s="78" t="n"/>
      <c r="BH2138" s="78" t="n"/>
      <c r="BI2138" s="78" t="n"/>
      <c r="BJ2138" s="139" t="n"/>
      <c r="BK2138" s="204" t="n"/>
      <c r="BL2138" s="141" t="n"/>
      <c r="BM2138" s="205" t="n"/>
      <c r="BN2138" s="205" t="n"/>
      <c r="BO2138" s="206" t="n"/>
      <c r="BP2138" s="144" t="n"/>
      <c r="BQ2138" s="141" t="n"/>
      <c r="BR2138" s="207" t="n"/>
      <c r="BS2138" s="207" t="n"/>
      <c r="BT2138" s="207" t="n"/>
      <c r="BU2138" s="207" t="n"/>
      <c r="BV2138" s="208" t="n"/>
      <c r="BW2138" s="207" t="n"/>
      <c r="BX2138" s="207" t="n"/>
      <c r="BY2138" s="204" t="n"/>
      <c r="BZ2138" s="148" t="n"/>
      <c r="CA2138" s="204" t="n"/>
      <c r="CB2138" s="208" t="n"/>
      <c r="CC2138" s="139" t="n"/>
      <c r="CD2138" s="204" t="n"/>
      <c r="CE2138" s="204" t="n"/>
      <c r="CF2138" s="207" t="n"/>
      <c r="CG2138" s="208" t="n"/>
      <c r="CH2138" s="207" t="n"/>
      <c r="CI2138" s="208" t="n"/>
      <c r="CJ2138" s="204" t="n"/>
      <c r="CK2138" s="208" t="n"/>
      <c r="CL2138" s="208" t="n"/>
      <c r="CM2138" s="208" t="n"/>
      <c r="CN2138" s="78" t="n"/>
      <c r="CO2138" s="209" t="n"/>
      <c r="CP2138" s="204" t="n"/>
      <c r="CQ2138" s="204" t="n"/>
      <c r="CR2138" s="204" t="n"/>
      <c r="CS2138" s="204" t="n"/>
      <c r="CT2138" s="204" t="n"/>
      <c r="CU2138" s="204" t="n"/>
      <c r="CV2138" s="204" t="n"/>
      <c r="CW2138" s="204" t="n"/>
    </row>
    <row r="2139">
      <c r="BF2139" s="78" t="n"/>
      <c r="BG2139" s="78" t="n"/>
      <c r="BH2139" s="78" t="n"/>
      <c r="BI2139" s="78" t="n"/>
      <c r="BJ2139" s="139" t="n"/>
      <c r="BK2139" s="204" t="n"/>
      <c r="BL2139" s="141" t="n"/>
      <c r="BM2139" s="205" t="n"/>
      <c r="BN2139" s="205" t="n"/>
      <c r="BO2139" s="206" t="n"/>
      <c r="BP2139" s="144" t="n"/>
      <c r="BQ2139" s="141" t="n"/>
      <c r="BR2139" s="207" t="n"/>
      <c r="BS2139" s="207" t="n"/>
      <c r="BT2139" s="207" t="n"/>
      <c r="BU2139" s="207" t="n"/>
      <c r="BV2139" s="208" t="n"/>
      <c r="BW2139" s="207" t="n"/>
      <c r="BX2139" s="207" t="n"/>
      <c r="BY2139" s="204" t="n"/>
      <c r="BZ2139" s="148" t="n"/>
      <c r="CA2139" s="204" t="n"/>
      <c r="CB2139" s="208" t="n"/>
      <c r="CC2139" s="139" t="n"/>
      <c r="CD2139" s="204" t="n"/>
      <c r="CE2139" s="204" t="n"/>
      <c r="CF2139" s="207" t="n"/>
      <c r="CG2139" s="208" t="n"/>
      <c r="CH2139" s="207" t="n"/>
      <c r="CI2139" s="208" t="n"/>
      <c r="CJ2139" s="204" t="n"/>
      <c r="CK2139" s="208" t="n"/>
      <c r="CL2139" s="208" t="n"/>
      <c r="CM2139" s="208" t="n"/>
      <c r="CN2139" s="78" t="n"/>
      <c r="CO2139" s="209" t="n"/>
      <c r="CP2139" s="204" t="n"/>
      <c r="CQ2139" s="204" t="n"/>
      <c r="CR2139" s="204" t="n"/>
      <c r="CS2139" s="204" t="n"/>
      <c r="CT2139" s="204" t="n"/>
      <c r="CU2139" s="204" t="n"/>
      <c r="CV2139" s="204" t="n"/>
      <c r="CW2139" s="204" t="n"/>
    </row>
    <row r="2140">
      <c r="BF2140" s="78" t="n"/>
      <c r="BG2140" s="78" t="n"/>
      <c r="BH2140" s="78" t="n"/>
      <c r="BI2140" s="78" t="n"/>
      <c r="BJ2140" s="139" t="n"/>
      <c r="BK2140" s="204" t="n"/>
      <c r="BL2140" s="141" t="n"/>
      <c r="BM2140" s="205" t="n"/>
      <c r="BN2140" s="205" t="n"/>
      <c r="BO2140" s="206" t="n"/>
      <c r="BP2140" s="144" t="n"/>
      <c r="BQ2140" s="141" t="n"/>
      <c r="BR2140" s="207" t="n"/>
      <c r="BS2140" s="207" t="n"/>
      <c r="BT2140" s="207" t="n"/>
      <c r="BU2140" s="207" t="n"/>
      <c r="BV2140" s="208" t="n"/>
      <c r="BW2140" s="207" t="n"/>
      <c r="BX2140" s="207" t="n"/>
      <c r="BY2140" s="204" t="n"/>
      <c r="BZ2140" s="148" t="n"/>
      <c r="CA2140" s="204" t="n"/>
      <c r="CB2140" s="208" t="n"/>
      <c r="CC2140" s="139" t="n"/>
      <c r="CD2140" s="204" t="n"/>
      <c r="CE2140" s="204" t="n"/>
      <c r="CF2140" s="207" t="n"/>
      <c r="CG2140" s="208" t="n"/>
      <c r="CH2140" s="207" t="n"/>
      <c r="CI2140" s="208" t="n"/>
      <c r="CJ2140" s="204" t="n"/>
      <c r="CK2140" s="208" t="n"/>
      <c r="CL2140" s="208" t="n"/>
      <c r="CM2140" s="208" t="n"/>
      <c r="CN2140" s="78" t="n"/>
      <c r="CO2140" s="209" t="n"/>
      <c r="CP2140" s="204" t="n"/>
      <c r="CQ2140" s="204" t="n"/>
      <c r="CR2140" s="204" t="n"/>
      <c r="CS2140" s="204" t="n"/>
      <c r="CT2140" s="204" t="n"/>
      <c r="CU2140" s="204" t="n"/>
      <c r="CV2140" s="204" t="n"/>
      <c r="CW2140" s="204" t="n"/>
    </row>
    <row r="2141">
      <c r="BF2141" s="78" t="n"/>
      <c r="BG2141" s="78" t="n"/>
      <c r="BH2141" s="78" t="n"/>
      <c r="BI2141" s="78" t="n"/>
      <c r="BJ2141" s="139" t="n"/>
      <c r="BK2141" s="204" t="n"/>
      <c r="BL2141" s="141" t="n"/>
      <c r="BM2141" s="205" t="n"/>
      <c r="BN2141" s="205" t="n"/>
      <c r="BO2141" s="206" t="n"/>
      <c r="BP2141" s="144" t="n"/>
      <c r="BQ2141" s="141" t="n"/>
      <c r="BR2141" s="207" t="n"/>
      <c r="BS2141" s="207" t="n"/>
      <c r="BT2141" s="207" t="n"/>
      <c r="BU2141" s="207" t="n"/>
      <c r="BV2141" s="208" t="n"/>
      <c r="BW2141" s="207" t="n"/>
      <c r="BX2141" s="207" t="n"/>
      <c r="BY2141" s="204" t="n"/>
      <c r="BZ2141" s="148" t="n"/>
      <c r="CA2141" s="204" t="n"/>
      <c r="CB2141" s="208" t="n"/>
      <c r="CC2141" s="139" t="n"/>
      <c r="CD2141" s="204" t="n"/>
      <c r="CE2141" s="204" t="n"/>
      <c r="CF2141" s="207" t="n"/>
      <c r="CG2141" s="208" t="n"/>
      <c r="CH2141" s="207" t="n"/>
      <c r="CI2141" s="208" t="n"/>
      <c r="CJ2141" s="204" t="n"/>
      <c r="CK2141" s="208" t="n"/>
      <c r="CL2141" s="208" t="n"/>
      <c r="CM2141" s="208" t="n"/>
      <c r="CN2141" s="78" t="n"/>
      <c r="CO2141" s="209" t="n"/>
      <c r="CP2141" s="204" t="n"/>
      <c r="CQ2141" s="204" t="n"/>
      <c r="CR2141" s="204" t="n"/>
      <c r="CS2141" s="204" t="n"/>
      <c r="CT2141" s="204" t="n"/>
      <c r="CU2141" s="204" t="n"/>
      <c r="CV2141" s="204" t="n"/>
      <c r="CW2141" s="204" t="n"/>
    </row>
    <row r="2142">
      <c r="BF2142" s="78" t="n"/>
      <c r="BG2142" s="78" t="n"/>
      <c r="BH2142" s="78" t="n"/>
      <c r="BI2142" s="78" t="n"/>
      <c r="BJ2142" s="139" t="n"/>
      <c r="BK2142" s="204" t="n"/>
      <c r="BL2142" s="141" t="n"/>
      <c r="BM2142" s="205" t="n"/>
      <c r="BN2142" s="205" t="n"/>
      <c r="BO2142" s="206" t="n"/>
      <c r="BP2142" s="144" t="n"/>
      <c r="BQ2142" s="141" t="n"/>
      <c r="BR2142" s="207" t="n"/>
      <c r="BS2142" s="207" t="n"/>
      <c r="BT2142" s="207" t="n"/>
      <c r="BU2142" s="207" t="n"/>
      <c r="BV2142" s="208" t="n"/>
      <c r="BW2142" s="207" t="n"/>
      <c r="BX2142" s="207" t="n"/>
      <c r="BY2142" s="204" t="n"/>
      <c r="BZ2142" s="148" t="n"/>
      <c r="CA2142" s="204" t="n"/>
      <c r="CB2142" s="208" t="n"/>
      <c r="CC2142" s="139" t="n"/>
      <c r="CD2142" s="204" t="n"/>
      <c r="CE2142" s="204" t="n"/>
      <c r="CF2142" s="207" t="n"/>
      <c r="CG2142" s="208" t="n"/>
      <c r="CH2142" s="207" t="n"/>
      <c r="CI2142" s="208" t="n"/>
      <c r="CJ2142" s="204" t="n"/>
      <c r="CK2142" s="208" t="n"/>
      <c r="CL2142" s="208" t="n"/>
      <c r="CM2142" s="208" t="n"/>
      <c r="CN2142" s="78" t="n"/>
      <c r="CO2142" s="209" t="n"/>
      <c r="CP2142" s="204" t="n"/>
      <c r="CQ2142" s="204" t="n"/>
      <c r="CR2142" s="204" t="n"/>
      <c r="CS2142" s="204" t="n"/>
      <c r="CT2142" s="204" t="n"/>
      <c r="CU2142" s="204" t="n"/>
      <c r="CV2142" s="204" t="n"/>
      <c r="CW2142" s="204" t="n"/>
    </row>
    <row r="2143">
      <c r="BF2143" s="78" t="n"/>
      <c r="BG2143" s="78" t="n"/>
      <c r="BH2143" s="78" t="n"/>
      <c r="BI2143" s="78" t="n"/>
      <c r="BJ2143" s="139" t="n"/>
      <c r="BK2143" s="204" t="n"/>
      <c r="BL2143" s="141" t="n"/>
      <c r="BM2143" s="205" t="n"/>
      <c r="BN2143" s="205" t="n"/>
      <c r="BO2143" s="206" t="n"/>
      <c r="BP2143" s="144" t="n"/>
      <c r="BQ2143" s="141" t="n"/>
      <c r="BR2143" s="207" t="n"/>
      <c r="BS2143" s="207" t="n"/>
      <c r="BT2143" s="207" t="n"/>
      <c r="BU2143" s="207" t="n"/>
      <c r="BV2143" s="208" t="n"/>
      <c r="BW2143" s="207" t="n"/>
      <c r="BX2143" s="207" t="n"/>
      <c r="BY2143" s="204" t="n"/>
      <c r="BZ2143" s="148" t="n"/>
      <c r="CA2143" s="204" t="n"/>
      <c r="CB2143" s="208" t="n"/>
      <c r="CC2143" s="139" t="n"/>
      <c r="CD2143" s="204" t="n"/>
      <c r="CE2143" s="204" t="n"/>
      <c r="CF2143" s="207" t="n"/>
      <c r="CG2143" s="208" t="n"/>
      <c r="CH2143" s="207" t="n"/>
      <c r="CI2143" s="208" t="n"/>
      <c r="CJ2143" s="204" t="n"/>
      <c r="CK2143" s="208" t="n"/>
      <c r="CL2143" s="208" t="n"/>
      <c r="CM2143" s="208" t="n"/>
      <c r="CN2143" s="78" t="n"/>
      <c r="CO2143" s="209" t="n"/>
      <c r="CP2143" s="204" t="n"/>
      <c r="CQ2143" s="204" t="n"/>
      <c r="CR2143" s="204" t="n"/>
      <c r="CS2143" s="204" t="n"/>
      <c r="CT2143" s="204" t="n"/>
      <c r="CU2143" s="204" t="n"/>
      <c r="CV2143" s="204" t="n"/>
      <c r="CW2143" s="204" t="n"/>
    </row>
    <row r="2144">
      <c r="BF2144" s="78" t="n"/>
      <c r="BG2144" s="78" t="n"/>
      <c r="BH2144" s="78" t="n"/>
      <c r="BI2144" s="78" t="n"/>
      <c r="BJ2144" s="139" t="n"/>
      <c r="BK2144" s="204" t="n"/>
      <c r="BL2144" s="141" t="n"/>
      <c r="BM2144" s="205" t="n"/>
      <c r="BN2144" s="205" t="n"/>
      <c r="BO2144" s="206" t="n"/>
      <c r="BP2144" s="144" t="n"/>
      <c r="BQ2144" s="141" t="n"/>
      <c r="BR2144" s="207" t="n"/>
      <c r="BS2144" s="207" t="n"/>
      <c r="BT2144" s="207" t="n"/>
      <c r="BU2144" s="207" t="n"/>
      <c r="BV2144" s="208" t="n"/>
      <c r="BW2144" s="207" t="n"/>
      <c r="BX2144" s="207" t="n"/>
      <c r="BY2144" s="204" t="n"/>
      <c r="BZ2144" s="148" t="n"/>
      <c r="CA2144" s="204" t="n"/>
      <c r="CB2144" s="208" t="n"/>
      <c r="CC2144" s="139" t="n"/>
      <c r="CD2144" s="204" t="n"/>
      <c r="CE2144" s="204" t="n"/>
      <c r="CF2144" s="207" t="n"/>
      <c r="CG2144" s="208" t="n"/>
      <c r="CH2144" s="207" t="n"/>
      <c r="CI2144" s="208" t="n"/>
      <c r="CJ2144" s="204" t="n"/>
      <c r="CK2144" s="208" t="n"/>
      <c r="CL2144" s="208" t="n"/>
      <c r="CM2144" s="208" t="n"/>
      <c r="CN2144" s="78" t="n"/>
      <c r="CO2144" s="209" t="n"/>
      <c r="CP2144" s="204" t="n"/>
      <c r="CQ2144" s="204" t="n"/>
      <c r="CR2144" s="204" t="n"/>
      <c r="CS2144" s="204" t="n"/>
      <c r="CT2144" s="204" t="n"/>
      <c r="CU2144" s="204" t="n"/>
      <c r="CV2144" s="204" t="n"/>
      <c r="CW2144" s="204" t="n"/>
    </row>
    <row r="2145">
      <c r="BF2145" s="78" t="n"/>
      <c r="BG2145" s="78" t="n"/>
      <c r="BH2145" s="78" t="n"/>
      <c r="BI2145" s="78" t="n"/>
      <c r="BJ2145" s="139" t="n"/>
      <c r="BK2145" s="204" t="n"/>
      <c r="BL2145" s="141" t="n"/>
      <c r="BM2145" s="205" t="n"/>
      <c r="BN2145" s="205" t="n"/>
      <c r="BO2145" s="206" t="n"/>
      <c r="BP2145" s="144" t="n"/>
      <c r="BQ2145" s="141" t="n"/>
      <c r="BR2145" s="207" t="n"/>
      <c r="BS2145" s="207" t="n"/>
      <c r="BT2145" s="207" t="n"/>
      <c r="BU2145" s="207" t="n"/>
      <c r="BV2145" s="208" t="n"/>
      <c r="BW2145" s="207" t="n"/>
      <c r="BX2145" s="207" t="n"/>
      <c r="BY2145" s="204" t="n"/>
      <c r="BZ2145" s="148" t="n"/>
      <c r="CA2145" s="204" t="n"/>
      <c r="CB2145" s="208" t="n"/>
      <c r="CC2145" s="139" t="n"/>
      <c r="CD2145" s="204" t="n"/>
      <c r="CE2145" s="204" t="n"/>
      <c r="CF2145" s="207" t="n"/>
      <c r="CG2145" s="208" t="n"/>
      <c r="CH2145" s="207" t="n"/>
      <c r="CI2145" s="208" t="n"/>
      <c r="CJ2145" s="204" t="n"/>
      <c r="CK2145" s="208" t="n"/>
      <c r="CL2145" s="208" t="n"/>
      <c r="CM2145" s="208" t="n"/>
      <c r="CN2145" s="78" t="n"/>
      <c r="CO2145" s="209" t="n"/>
      <c r="CP2145" s="204" t="n"/>
      <c r="CQ2145" s="204" t="n"/>
      <c r="CR2145" s="204" t="n"/>
      <c r="CS2145" s="204" t="n"/>
      <c r="CT2145" s="204" t="n"/>
      <c r="CU2145" s="204" t="n"/>
      <c r="CV2145" s="204" t="n"/>
      <c r="CW2145" s="204" t="n"/>
    </row>
    <row r="2146">
      <c r="BF2146" s="78" t="n"/>
      <c r="BG2146" s="78" t="n"/>
      <c r="BH2146" s="78" t="n"/>
      <c r="BI2146" s="78" t="n"/>
      <c r="BJ2146" s="139" t="n"/>
      <c r="BK2146" s="204" t="n"/>
      <c r="BL2146" s="141" t="n"/>
      <c r="BM2146" s="205" t="n"/>
      <c r="BN2146" s="205" t="n"/>
      <c r="BO2146" s="206" t="n"/>
      <c r="BP2146" s="144" t="n"/>
      <c r="BQ2146" s="141" t="n"/>
      <c r="BR2146" s="207" t="n"/>
      <c r="BS2146" s="207" t="n"/>
      <c r="BT2146" s="207" t="n"/>
      <c r="BU2146" s="207" t="n"/>
      <c r="BV2146" s="208" t="n"/>
      <c r="BW2146" s="207" t="n"/>
      <c r="BX2146" s="207" t="n"/>
      <c r="BY2146" s="204" t="n"/>
      <c r="BZ2146" s="148" t="n"/>
      <c r="CA2146" s="204" t="n"/>
      <c r="CB2146" s="208" t="n"/>
      <c r="CC2146" s="139" t="n"/>
      <c r="CD2146" s="204" t="n"/>
      <c r="CE2146" s="204" t="n"/>
      <c r="CF2146" s="207" t="n"/>
      <c r="CG2146" s="208" t="n"/>
      <c r="CH2146" s="207" t="n"/>
      <c r="CI2146" s="208" t="n"/>
      <c r="CJ2146" s="204" t="n"/>
      <c r="CK2146" s="208" t="n"/>
      <c r="CL2146" s="208" t="n"/>
      <c r="CM2146" s="208" t="n"/>
      <c r="CN2146" s="78" t="n"/>
      <c r="CO2146" s="209" t="n"/>
      <c r="CP2146" s="204" t="n"/>
      <c r="CQ2146" s="204" t="n"/>
      <c r="CR2146" s="204" t="n"/>
      <c r="CS2146" s="204" t="n"/>
      <c r="CT2146" s="204" t="n"/>
      <c r="CU2146" s="204" t="n"/>
      <c r="CV2146" s="204" t="n"/>
      <c r="CW2146" s="204" t="n"/>
    </row>
    <row r="2147">
      <c r="BF2147" s="78" t="n"/>
      <c r="BG2147" s="78" t="n"/>
      <c r="BH2147" s="78" t="n"/>
      <c r="BI2147" s="78" t="n"/>
      <c r="BJ2147" s="139" t="n"/>
      <c r="BK2147" s="204" t="n"/>
      <c r="BL2147" s="141" t="n"/>
      <c r="BM2147" s="205" t="n"/>
      <c r="BN2147" s="205" t="n"/>
      <c r="BO2147" s="206" t="n"/>
      <c r="BP2147" s="144" t="n"/>
      <c r="BQ2147" s="141" t="n"/>
      <c r="BR2147" s="207" t="n"/>
      <c r="BS2147" s="207" t="n"/>
      <c r="BT2147" s="207" t="n"/>
      <c r="BU2147" s="207" t="n"/>
      <c r="BV2147" s="208" t="n"/>
      <c r="BW2147" s="207" t="n"/>
      <c r="BX2147" s="207" t="n"/>
      <c r="BY2147" s="204" t="n"/>
      <c r="BZ2147" s="148" t="n"/>
      <c r="CA2147" s="204" t="n"/>
      <c r="CB2147" s="208" t="n"/>
      <c r="CC2147" s="139" t="n"/>
      <c r="CD2147" s="204" t="n"/>
      <c r="CE2147" s="204" t="n"/>
      <c r="CF2147" s="207" t="n"/>
      <c r="CG2147" s="208" t="n"/>
      <c r="CH2147" s="207" t="n"/>
      <c r="CI2147" s="208" t="n"/>
      <c r="CJ2147" s="204" t="n"/>
      <c r="CK2147" s="208" t="n"/>
      <c r="CL2147" s="208" t="n"/>
      <c r="CM2147" s="208" t="n"/>
      <c r="CN2147" s="78" t="n"/>
      <c r="CO2147" s="209" t="n"/>
      <c r="CP2147" s="204" t="n"/>
      <c r="CQ2147" s="204" t="n"/>
      <c r="CR2147" s="204" t="n"/>
      <c r="CS2147" s="204" t="n"/>
      <c r="CT2147" s="204" t="n"/>
      <c r="CU2147" s="204" t="n"/>
      <c r="CV2147" s="204" t="n"/>
      <c r="CW2147" s="204" t="n"/>
    </row>
    <row r="2148">
      <c r="BF2148" s="78" t="n"/>
      <c r="BG2148" s="78" t="n"/>
      <c r="BH2148" s="78" t="n"/>
      <c r="BI2148" s="78" t="n"/>
      <c r="BJ2148" s="139" t="n"/>
      <c r="BK2148" s="204" t="n"/>
      <c r="BL2148" s="141" t="n"/>
      <c r="BM2148" s="205" t="n"/>
      <c r="BN2148" s="205" t="n"/>
      <c r="BO2148" s="206" t="n"/>
      <c r="BP2148" s="144" t="n"/>
      <c r="BQ2148" s="141" t="n"/>
      <c r="BR2148" s="207" t="n"/>
      <c r="BS2148" s="207" t="n"/>
      <c r="BT2148" s="207" t="n"/>
      <c r="BU2148" s="207" t="n"/>
      <c r="BV2148" s="208" t="n"/>
      <c r="BW2148" s="207" t="n"/>
      <c r="BX2148" s="207" t="n"/>
      <c r="BY2148" s="204" t="n"/>
      <c r="BZ2148" s="148" t="n"/>
      <c r="CA2148" s="204" t="n"/>
      <c r="CB2148" s="208" t="n"/>
      <c r="CC2148" s="139" t="n"/>
      <c r="CD2148" s="204" t="n"/>
      <c r="CE2148" s="204" t="n"/>
      <c r="CF2148" s="207" t="n"/>
      <c r="CG2148" s="208" t="n"/>
      <c r="CH2148" s="207" t="n"/>
      <c r="CI2148" s="208" t="n"/>
      <c r="CJ2148" s="204" t="n"/>
      <c r="CK2148" s="208" t="n"/>
      <c r="CL2148" s="208" t="n"/>
      <c r="CM2148" s="208" t="n"/>
      <c r="CN2148" s="78" t="n"/>
      <c r="CO2148" s="209" t="n"/>
      <c r="CP2148" s="204" t="n"/>
      <c r="CQ2148" s="204" t="n"/>
      <c r="CR2148" s="204" t="n"/>
      <c r="CS2148" s="204" t="n"/>
      <c r="CT2148" s="204" t="n"/>
      <c r="CU2148" s="204" t="n"/>
      <c r="CV2148" s="204" t="n"/>
      <c r="CW2148" s="204" t="n"/>
    </row>
    <row r="2149">
      <c r="BF2149" s="78" t="n"/>
      <c r="BG2149" s="78" t="n"/>
      <c r="BH2149" s="78" t="n"/>
      <c r="BI2149" s="78" t="n"/>
      <c r="BJ2149" s="139" t="n"/>
      <c r="BK2149" s="204" t="n"/>
      <c r="BL2149" s="141" t="n"/>
      <c r="BM2149" s="205" t="n"/>
      <c r="BN2149" s="205" t="n"/>
      <c r="BO2149" s="206" t="n"/>
      <c r="BP2149" s="144" t="n"/>
      <c r="BQ2149" s="141" t="n"/>
      <c r="BR2149" s="207" t="n"/>
      <c r="BS2149" s="207" t="n"/>
      <c r="BT2149" s="207" t="n"/>
      <c r="BU2149" s="207" t="n"/>
      <c r="BV2149" s="208" t="n"/>
      <c r="BW2149" s="207" t="n"/>
      <c r="BX2149" s="207" t="n"/>
      <c r="BY2149" s="204" t="n"/>
      <c r="BZ2149" s="148" t="n"/>
      <c r="CA2149" s="204" t="n"/>
      <c r="CB2149" s="208" t="n"/>
      <c r="CC2149" s="139" t="n"/>
      <c r="CD2149" s="204" t="n"/>
      <c r="CE2149" s="204" t="n"/>
      <c r="CF2149" s="207" t="n"/>
      <c r="CG2149" s="208" t="n"/>
      <c r="CH2149" s="207" t="n"/>
      <c r="CI2149" s="208" t="n"/>
      <c r="CJ2149" s="204" t="n"/>
      <c r="CK2149" s="208" t="n"/>
      <c r="CL2149" s="208" t="n"/>
      <c r="CM2149" s="208" t="n"/>
      <c r="CN2149" s="78" t="n"/>
      <c r="CO2149" s="209" t="n"/>
      <c r="CP2149" s="204" t="n"/>
      <c r="CQ2149" s="204" t="n"/>
      <c r="CR2149" s="204" t="n"/>
      <c r="CS2149" s="204" t="n"/>
      <c r="CT2149" s="204" t="n"/>
      <c r="CU2149" s="204" t="n"/>
      <c r="CV2149" s="204" t="n"/>
      <c r="CW2149" s="204" t="n"/>
    </row>
    <row r="2150">
      <c r="BF2150" s="78" t="n"/>
      <c r="BG2150" s="78" t="n"/>
      <c r="BH2150" s="78" t="n"/>
      <c r="BI2150" s="78" t="n"/>
      <c r="BJ2150" s="139" t="n"/>
      <c r="BK2150" s="204" t="n"/>
      <c r="BL2150" s="141" t="n"/>
      <c r="BM2150" s="205" t="n"/>
      <c r="BN2150" s="205" t="n"/>
      <c r="BO2150" s="206" t="n"/>
      <c r="BP2150" s="144" t="n"/>
      <c r="BQ2150" s="141" t="n"/>
      <c r="BR2150" s="207" t="n"/>
      <c r="BS2150" s="207" t="n"/>
      <c r="BT2150" s="207" t="n"/>
      <c r="BU2150" s="207" t="n"/>
      <c r="BV2150" s="208" t="n"/>
      <c r="BW2150" s="207" t="n"/>
      <c r="BX2150" s="207" t="n"/>
      <c r="BY2150" s="204" t="n"/>
      <c r="BZ2150" s="148" t="n"/>
      <c r="CA2150" s="204" t="n"/>
      <c r="CB2150" s="208" t="n"/>
      <c r="CC2150" s="139" t="n"/>
      <c r="CD2150" s="204" t="n"/>
      <c r="CE2150" s="204" t="n"/>
      <c r="CF2150" s="207" t="n"/>
      <c r="CG2150" s="208" t="n"/>
      <c r="CH2150" s="207" t="n"/>
      <c r="CI2150" s="208" t="n"/>
      <c r="CJ2150" s="204" t="n"/>
      <c r="CK2150" s="208" t="n"/>
      <c r="CL2150" s="208" t="n"/>
      <c r="CM2150" s="208" t="n"/>
      <c r="CN2150" s="78" t="n"/>
      <c r="CO2150" s="209" t="n"/>
      <c r="CP2150" s="204" t="n"/>
      <c r="CQ2150" s="204" t="n"/>
      <c r="CR2150" s="204" t="n"/>
      <c r="CS2150" s="204" t="n"/>
      <c r="CT2150" s="204" t="n"/>
      <c r="CU2150" s="204" t="n"/>
      <c r="CV2150" s="204" t="n"/>
      <c r="CW2150" s="204" t="n"/>
    </row>
    <row r="2151">
      <c r="BF2151" s="78" t="n"/>
      <c r="BG2151" s="78" t="n"/>
      <c r="BH2151" s="78" t="n"/>
      <c r="BI2151" s="78" t="n"/>
      <c r="BJ2151" s="139" t="n"/>
      <c r="BK2151" s="204" t="n"/>
      <c r="BL2151" s="141" t="n"/>
      <c r="BM2151" s="205" t="n"/>
      <c r="BN2151" s="205" t="n"/>
      <c r="BO2151" s="206" t="n"/>
      <c r="BP2151" s="144" t="n"/>
      <c r="BQ2151" s="141" t="n"/>
      <c r="BR2151" s="207" t="n"/>
      <c r="BS2151" s="207" t="n"/>
      <c r="BT2151" s="207" t="n"/>
      <c r="BU2151" s="207" t="n"/>
      <c r="BV2151" s="208" t="n"/>
      <c r="BW2151" s="207" t="n"/>
      <c r="BX2151" s="207" t="n"/>
      <c r="BY2151" s="204" t="n"/>
      <c r="BZ2151" s="148" t="n"/>
      <c r="CA2151" s="204" t="n"/>
      <c r="CB2151" s="208" t="n"/>
      <c r="CC2151" s="139" t="n"/>
      <c r="CD2151" s="204" t="n"/>
      <c r="CE2151" s="204" t="n"/>
      <c r="CF2151" s="207" t="n"/>
      <c r="CG2151" s="208" t="n"/>
      <c r="CH2151" s="207" t="n"/>
      <c r="CI2151" s="208" t="n"/>
      <c r="CJ2151" s="204" t="n"/>
      <c r="CK2151" s="208" t="n"/>
      <c r="CL2151" s="208" t="n"/>
      <c r="CM2151" s="208" t="n"/>
      <c r="CN2151" s="78" t="n"/>
      <c r="CO2151" s="209" t="n"/>
      <c r="CP2151" s="204" t="n"/>
      <c r="CQ2151" s="204" t="n"/>
      <c r="CR2151" s="204" t="n"/>
      <c r="CS2151" s="204" t="n"/>
      <c r="CT2151" s="204" t="n"/>
      <c r="CU2151" s="204" t="n"/>
      <c r="CV2151" s="204" t="n"/>
      <c r="CW2151" s="204" t="n"/>
    </row>
    <row r="2152">
      <c r="BF2152" s="78" t="n"/>
      <c r="BG2152" s="78" t="n"/>
      <c r="BH2152" s="78" t="n"/>
      <c r="BI2152" s="78" t="n"/>
      <c r="BJ2152" s="139" t="n"/>
      <c r="BK2152" s="204" t="n"/>
      <c r="BL2152" s="141" t="n"/>
      <c r="BM2152" s="205" t="n"/>
      <c r="BN2152" s="205" t="n"/>
      <c r="BO2152" s="206" t="n"/>
      <c r="BP2152" s="144" t="n"/>
      <c r="BQ2152" s="141" t="n"/>
      <c r="BR2152" s="207" t="n"/>
      <c r="BS2152" s="207" t="n"/>
      <c r="BT2152" s="207" t="n"/>
      <c r="BU2152" s="207" t="n"/>
      <c r="BV2152" s="208" t="n"/>
      <c r="BW2152" s="207" t="n"/>
      <c r="BX2152" s="207" t="n"/>
      <c r="BY2152" s="204" t="n"/>
      <c r="BZ2152" s="148" t="n"/>
      <c r="CA2152" s="204" t="n"/>
      <c r="CB2152" s="208" t="n"/>
      <c r="CC2152" s="139" t="n"/>
      <c r="CD2152" s="204" t="n"/>
      <c r="CE2152" s="204" t="n"/>
      <c r="CF2152" s="207" t="n"/>
      <c r="CG2152" s="208" t="n"/>
      <c r="CH2152" s="207" t="n"/>
      <c r="CI2152" s="208" t="n"/>
      <c r="CJ2152" s="204" t="n"/>
      <c r="CK2152" s="208" t="n"/>
      <c r="CL2152" s="208" t="n"/>
      <c r="CM2152" s="208" t="n"/>
      <c r="CN2152" s="78" t="n"/>
      <c r="CO2152" s="209" t="n"/>
      <c r="CP2152" s="204" t="n"/>
      <c r="CQ2152" s="204" t="n"/>
      <c r="CR2152" s="204" t="n"/>
      <c r="CS2152" s="204" t="n"/>
      <c r="CT2152" s="204" t="n"/>
      <c r="CU2152" s="204" t="n"/>
      <c r="CV2152" s="204" t="n"/>
      <c r="CW2152" s="204" t="n"/>
    </row>
    <row r="2153">
      <c r="BF2153" s="78" t="n"/>
      <c r="BG2153" s="78" t="n"/>
      <c r="BH2153" s="78" t="n"/>
      <c r="BI2153" s="78" t="n"/>
      <c r="BJ2153" s="139" t="n"/>
      <c r="BK2153" s="204" t="n"/>
      <c r="BL2153" s="141" t="n"/>
      <c r="BM2153" s="205" t="n"/>
      <c r="BN2153" s="205" t="n"/>
      <c r="BO2153" s="206" t="n"/>
      <c r="BP2153" s="144" t="n"/>
      <c r="BQ2153" s="141" t="n"/>
      <c r="BR2153" s="207" t="n"/>
      <c r="BS2153" s="207" t="n"/>
      <c r="BT2153" s="207" t="n"/>
      <c r="BU2153" s="207" t="n"/>
      <c r="BV2153" s="208" t="n"/>
      <c r="BW2153" s="207" t="n"/>
      <c r="BX2153" s="207" t="n"/>
      <c r="BY2153" s="204" t="n"/>
      <c r="BZ2153" s="148" t="n"/>
      <c r="CA2153" s="204" t="n"/>
      <c r="CB2153" s="208" t="n"/>
      <c r="CC2153" s="139" t="n"/>
      <c r="CD2153" s="204" t="n"/>
      <c r="CE2153" s="204" t="n"/>
      <c r="CF2153" s="207" t="n"/>
      <c r="CG2153" s="208" t="n"/>
      <c r="CH2153" s="207" t="n"/>
      <c r="CI2153" s="208" t="n"/>
      <c r="CJ2153" s="204" t="n"/>
      <c r="CK2153" s="208" t="n"/>
      <c r="CL2153" s="208" t="n"/>
      <c r="CM2153" s="208" t="n"/>
      <c r="CN2153" s="78" t="n"/>
      <c r="CO2153" s="209" t="n"/>
      <c r="CP2153" s="204" t="n"/>
      <c r="CQ2153" s="204" t="n"/>
      <c r="CR2153" s="204" t="n"/>
      <c r="CS2153" s="204" t="n"/>
      <c r="CT2153" s="204" t="n"/>
      <c r="CU2153" s="204" t="n"/>
      <c r="CV2153" s="204" t="n"/>
      <c r="CW2153" s="204" t="n"/>
    </row>
    <row r="2154">
      <c r="BF2154" s="78" t="n"/>
      <c r="BG2154" s="78" t="n"/>
      <c r="BH2154" s="78" t="n"/>
      <c r="BI2154" s="78" t="n"/>
      <c r="BJ2154" s="139" t="n"/>
      <c r="BK2154" s="204" t="n"/>
      <c r="BL2154" s="141" t="n"/>
      <c r="BM2154" s="205" t="n"/>
      <c r="BN2154" s="205" t="n"/>
      <c r="BO2154" s="206" t="n"/>
      <c r="BP2154" s="144" t="n"/>
      <c r="BQ2154" s="141" t="n"/>
      <c r="BR2154" s="207" t="n"/>
      <c r="BS2154" s="207" t="n"/>
      <c r="BT2154" s="207" t="n"/>
      <c r="BU2154" s="207" t="n"/>
      <c r="BV2154" s="208" t="n"/>
      <c r="BW2154" s="207" t="n"/>
      <c r="BX2154" s="207" t="n"/>
      <c r="BY2154" s="204" t="n"/>
      <c r="BZ2154" s="148" t="n"/>
      <c r="CA2154" s="204" t="n"/>
      <c r="CB2154" s="208" t="n"/>
      <c r="CC2154" s="139" t="n"/>
      <c r="CD2154" s="204" t="n"/>
      <c r="CE2154" s="204" t="n"/>
      <c r="CF2154" s="207" t="n"/>
      <c r="CG2154" s="208" t="n"/>
      <c r="CH2154" s="207" t="n"/>
      <c r="CI2154" s="208" t="n"/>
      <c r="CJ2154" s="204" t="n"/>
      <c r="CK2154" s="208" t="n"/>
      <c r="CL2154" s="208" t="n"/>
      <c r="CM2154" s="208" t="n"/>
      <c r="CN2154" s="78" t="n"/>
      <c r="CO2154" s="209" t="n"/>
      <c r="CP2154" s="204" t="n"/>
      <c r="CQ2154" s="204" t="n"/>
      <c r="CR2154" s="204" t="n"/>
      <c r="CS2154" s="204" t="n"/>
      <c r="CT2154" s="204" t="n"/>
      <c r="CU2154" s="204" t="n"/>
      <c r="CV2154" s="204" t="n"/>
      <c r="CW2154" s="204" t="n"/>
    </row>
    <row r="2155">
      <c r="BF2155" s="78" t="n"/>
      <c r="BG2155" s="78" t="n"/>
      <c r="BH2155" s="78" t="n"/>
      <c r="BI2155" s="78" t="n"/>
      <c r="BJ2155" s="139" t="n"/>
      <c r="BK2155" s="204" t="n"/>
      <c r="BL2155" s="141" t="n"/>
      <c r="BM2155" s="205" t="n"/>
      <c r="BN2155" s="205" t="n"/>
      <c r="BO2155" s="206" t="n"/>
      <c r="BP2155" s="144" t="n"/>
      <c r="BQ2155" s="141" t="n"/>
      <c r="BR2155" s="207" t="n"/>
      <c r="BS2155" s="207" t="n"/>
      <c r="BT2155" s="207" t="n"/>
      <c r="BU2155" s="207" t="n"/>
      <c r="BV2155" s="208" t="n"/>
      <c r="BW2155" s="207" t="n"/>
      <c r="BX2155" s="207" t="n"/>
      <c r="BY2155" s="204" t="n"/>
      <c r="BZ2155" s="148" t="n"/>
      <c r="CA2155" s="204" t="n"/>
      <c r="CB2155" s="208" t="n"/>
      <c r="CC2155" s="139" t="n"/>
      <c r="CD2155" s="204" t="n"/>
      <c r="CE2155" s="204" t="n"/>
      <c r="CF2155" s="207" t="n"/>
      <c r="CG2155" s="208" t="n"/>
      <c r="CH2155" s="207" t="n"/>
      <c r="CI2155" s="208" t="n"/>
      <c r="CJ2155" s="204" t="n"/>
      <c r="CK2155" s="208" t="n"/>
      <c r="CL2155" s="208" t="n"/>
      <c r="CM2155" s="208" t="n"/>
      <c r="CN2155" s="78" t="n"/>
      <c r="CO2155" s="209" t="n"/>
      <c r="CP2155" s="204" t="n"/>
      <c r="CQ2155" s="204" t="n"/>
      <c r="CR2155" s="204" t="n"/>
      <c r="CS2155" s="204" t="n"/>
      <c r="CT2155" s="204" t="n"/>
      <c r="CU2155" s="204" t="n"/>
      <c r="CV2155" s="204" t="n"/>
      <c r="CW2155" s="204" t="n"/>
    </row>
    <row r="2156">
      <c r="BF2156" s="78" t="n"/>
      <c r="BG2156" s="78" t="n"/>
      <c r="BH2156" s="78" t="n"/>
      <c r="BI2156" s="78" t="n"/>
      <c r="BJ2156" s="139" t="n"/>
      <c r="BK2156" s="204" t="n"/>
      <c r="BL2156" s="141" t="n"/>
      <c r="BM2156" s="205" t="n"/>
      <c r="BN2156" s="205" t="n"/>
      <c r="BO2156" s="206" t="n"/>
      <c r="BP2156" s="144" t="n"/>
      <c r="BQ2156" s="141" t="n"/>
      <c r="BR2156" s="207" t="n"/>
      <c r="BS2156" s="207" t="n"/>
      <c r="BT2156" s="207" t="n"/>
      <c r="BU2156" s="207" t="n"/>
      <c r="BV2156" s="208" t="n"/>
      <c r="BW2156" s="207" t="n"/>
      <c r="BX2156" s="207" t="n"/>
      <c r="BY2156" s="204" t="n"/>
      <c r="BZ2156" s="148" t="n"/>
      <c r="CA2156" s="204" t="n"/>
      <c r="CB2156" s="208" t="n"/>
      <c r="CC2156" s="139" t="n"/>
      <c r="CD2156" s="204" t="n"/>
      <c r="CE2156" s="204" t="n"/>
      <c r="CF2156" s="207" t="n"/>
      <c r="CG2156" s="208" t="n"/>
      <c r="CH2156" s="207" t="n"/>
      <c r="CI2156" s="208" t="n"/>
      <c r="CJ2156" s="204" t="n"/>
      <c r="CK2156" s="208" t="n"/>
      <c r="CL2156" s="208" t="n"/>
      <c r="CM2156" s="208" t="n"/>
      <c r="CN2156" s="78" t="n"/>
      <c r="CO2156" s="209" t="n"/>
      <c r="CP2156" s="204" t="n"/>
      <c r="CQ2156" s="204" t="n"/>
      <c r="CR2156" s="204" t="n"/>
      <c r="CS2156" s="204" t="n"/>
      <c r="CT2156" s="204" t="n"/>
      <c r="CU2156" s="204" t="n"/>
      <c r="CV2156" s="204" t="n"/>
      <c r="CW2156" s="204" t="n"/>
    </row>
    <row r="2157">
      <c r="BF2157" s="78" t="n"/>
      <c r="BG2157" s="78" t="n"/>
      <c r="BH2157" s="78" t="n"/>
      <c r="BI2157" s="78" t="n"/>
      <c r="BJ2157" s="139" t="n"/>
      <c r="BK2157" s="204" t="n"/>
      <c r="BL2157" s="141" t="n"/>
      <c r="BM2157" s="205" t="n"/>
      <c r="BN2157" s="205" t="n"/>
      <c r="BO2157" s="206" t="n"/>
      <c r="BP2157" s="144" t="n"/>
      <c r="BQ2157" s="141" t="n"/>
      <c r="BR2157" s="207" t="n"/>
      <c r="BS2157" s="207" t="n"/>
      <c r="BT2157" s="207" t="n"/>
      <c r="BU2157" s="207" t="n"/>
      <c r="BV2157" s="208" t="n"/>
      <c r="BW2157" s="207" t="n"/>
      <c r="BX2157" s="207" t="n"/>
      <c r="BY2157" s="204" t="n"/>
      <c r="BZ2157" s="148" t="n"/>
      <c r="CA2157" s="204" t="n"/>
      <c r="CB2157" s="208" t="n"/>
      <c r="CC2157" s="139" t="n"/>
      <c r="CD2157" s="204" t="n"/>
      <c r="CE2157" s="204" t="n"/>
      <c r="CF2157" s="207" t="n"/>
      <c r="CG2157" s="208" t="n"/>
      <c r="CH2157" s="207" t="n"/>
      <c r="CI2157" s="208" t="n"/>
      <c r="CJ2157" s="204" t="n"/>
      <c r="CK2157" s="208" t="n"/>
      <c r="CL2157" s="208" t="n"/>
      <c r="CM2157" s="208" t="n"/>
      <c r="CN2157" s="78" t="n"/>
      <c r="CO2157" s="209" t="n"/>
      <c r="CP2157" s="204" t="n"/>
      <c r="CQ2157" s="204" t="n"/>
      <c r="CR2157" s="204" t="n"/>
      <c r="CS2157" s="204" t="n"/>
      <c r="CT2157" s="204" t="n"/>
      <c r="CU2157" s="204" t="n"/>
      <c r="CV2157" s="204" t="n"/>
      <c r="CW2157" s="204" t="n"/>
    </row>
    <row r="2158">
      <c r="BF2158" s="78" t="n"/>
      <c r="BG2158" s="78" t="n"/>
      <c r="BH2158" s="78" t="n"/>
      <c r="BI2158" s="78" t="n"/>
      <c r="BJ2158" s="139" t="n"/>
      <c r="BK2158" s="204" t="n"/>
      <c r="BL2158" s="141" t="n"/>
      <c r="BM2158" s="205" t="n"/>
      <c r="BN2158" s="205" t="n"/>
      <c r="BO2158" s="206" t="n"/>
      <c r="BP2158" s="144" t="n"/>
      <c r="BQ2158" s="141" t="n"/>
      <c r="BR2158" s="207" t="n"/>
      <c r="BS2158" s="207" t="n"/>
      <c r="BT2158" s="207" t="n"/>
      <c r="BU2158" s="207" t="n"/>
      <c r="BV2158" s="208" t="n"/>
      <c r="BW2158" s="207" t="n"/>
      <c r="BX2158" s="207" t="n"/>
      <c r="BY2158" s="204" t="n"/>
      <c r="BZ2158" s="148" t="n"/>
      <c r="CA2158" s="204" t="n"/>
      <c r="CB2158" s="208" t="n"/>
      <c r="CC2158" s="139" t="n"/>
      <c r="CD2158" s="204" t="n"/>
      <c r="CE2158" s="204" t="n"/>
      <c r="CF2158" s="207" t="n"/>
      <c r="CG2158" s="208" t="n"/>
      <c r="CH2158" s="207" t="n"/>
      <c r="CI2158" s="208" t="n"/>
      <c r="CJ2158" s="204" t="n"/>
      <c r="CK2158" s="208" t="n"/>
      <c r="CL2158" s="208" t="n"/>
      <c r="CM2158" s="208" t="n"/>
      <c r="CN2158" s="78" t="n"/>
      <c r="CO2158" s="209" t="n"/>
      <c r="CP2158" s="204" t="n"/>
      <c r="CQ2158" s="204" t="n"/>
      <c r="CR2158" s="204" t="n"/>
      <c r="CS2158" s="204" t="n"/>
      <c r="CT2158" s="204" t="n"/>
      <c r="CU2158" s="204" t="n"/>
      <c r="CV2158" s="204" t="n"/>
      <c r="CW2158" s="204" t="n"/>
    </row>
    <row r="2159">
      <c r="BF2159" s="78" t="n"/>
      <c r="BG2159" s="78" t="n"/>
      <c r="BH2159" s="78" t="n"/>
      <c r="BI2159" s="78" t="n"/>
      <c r="BJ2159" s="139" t="n"/>
      <c r="BK2159" s="204" t="n"/>
      <c r="BL2159" s="141" t="n"/>
      <c r="BM2159" s="205" t="n"/>
      <c r="BN2159" s="205" t="n"/>
      <c r="BO2159" s="206" t="n"/>
      <c r="BP2159" s="144" t="n"/>
      <c r="BQ2159" s="141" t="n"/>
      <c r="BR2159" s="207" t="n"/>
      <c r="BS2159" s="207" t="n"/>
      <c r="BT2159" s="207" t="n"/>
      <c r="BU2159" s="207" t="n"/>
      <c r="BV2159" s="208" t="n"/>
      <c r="BW2159" s="207" t="n"/>
      <c r="BX2159" s="207" t="n"/>
      <c r="BY2159" s="204" t="n"/>
      <c r="BZ2159" s="148" t="n"/>
      <c r="CA2159" s="204" t="n"/>
      <c r="CB2159" s="208" t="n"/>
      <c r="CC2159" s="139" t="n"/>
      <c r="CD2159" s="204" t="n"/>
      <c r="CE2159" s="204" t="n"/>
      <c r="CF2159" s="207" t="n"/>
      <c r="CG2159" s="208" t="n"/>
      <c r="CH2159" s="207" t="n"/>
      <c r="CI2159" s="208" t="n"/>
      <c r="CJ2159" s="204" t="n"/>
      <c r="CK2159" s="208" t="n"/>
      <c r="CL2159" s="208" t="n"/>
      <c r="CM2159" s="208" t="n"/>
      <c r="CN2159" s="78" t="n"/>
      <c r="CO2159" s="209" t="n"/>
      <c r="CP2159" s="204" t="n"/>
      <c r="CQ2159" s="204" t="n"/>
      <c r="CR2159" s="204" t="n"/>
      <c r="CS2159" s="204" t="n"/>
      <c r="CT2159" s="204" t="n"/>
      <c r="CU2159" s="204" t="n"/>
      <c r="CV2159" s="204" t="n"/>
      <c r="CW2159" s="204" t="n"/>
    </row>
    <row r="2160">
      <c r="BF2160" s="78" t="n"/>
      <c r="BG2160" s="78" t="n"/>
      <c r="BH2160" s="78" t="n"/>
      <c r="BI2160" s="78" t="n"/>
      <c r="BJ2160" s="139" t="n"/>
      <c r="BK2160" s="204" t="n"/>
      <c r="BL2160" s="141" t="n"/>
      <c r="BM2160" s="205" t="n"/>
      <c r="BN2160" s="205" t="n"/>
      <c r="BO2160" s="206" t="n"/>
      <c r="BP2160" s="144" t="n"/>
      <c r="BQ2160" s="141" t="n"/>
      <c r="BR2160" s="207" t="n"/>
      <c r="BS2160" s="207" t="n"/>
      <c r="BT2160" s="207" t="n"/>
      <c r="BU2160" s="207" t="n"/>
      <c r="BV2160" s="208" t="n"/>
      <c r="BW2160" s="207" t="n"/>
      <c r="BX2160" s="207" t="n"/>
      <c r="BY2160" s="204" t="n"/>
      <c r="BZ2160" s="148" t="n"/>
      <c r="CA2160" s="204" t="n"/>
      <c r="CB2160" s="208" t="n"/>
      <c r="CC2160" s="139" t="n"/>
      <c r="CD2160" s="204" t="n"/>
      <c r="CE2160" s="204" t="n"/>
      <c r="CF2160" s="207" t="n"/>
      <c r="CG2160" s="208" t="n"/>
      <c r="CH2160" s="207" t="n"/>
      <c r="CI2160" s="208" t="n"/>
      <c r="CJ2160" s="204" t="n"/>
      <c r="CK2160" s="208" t="n"/>
      <c r="CL2160" s="208" t="n"/>
      <c r="CM2160" s="208" t="n"/>
      <c r="CN2160" s="78" t="n"/>
      <c r="CO2160" s="209" t="n"/>
      <c r="CP2160" s="204" t="n"/>
      <c r="CQ2160" s="204" t="n"/>
      <c r="CR2160" s="204" t="n"/>
      <c r="CS2160" s="204" t="n"/>
      <c r="CT2160" s="204" t="n"/>
      <c r="CU2160" s="204" t="n"/>
      <c r="CV2160" s="204" t="n"/>
      <c r="CW2160" s="204" t="n"/>
    </row>
    <row r="2161">
      <c r="BF2161" s="78" t="n"/>
      <c r="BG2161" s="78" t="n"/>
      <c r="BH2161" s="78" t="n"/>
      <c r="BI2161" s="78" t="n"/>
      <c r="BJ2161" s="139" t="n"/>
      <c r="BK2161" s="204" t="n"/>
      <c r="BL2161" s="141" t="n"/>
      <c r="BM2161" s="205" t="n"/>
      <c r="BN2161" s="205" t="n"/>
      <c r="BO2161" s="206" t="n"/>
      <c r="BP2161" s="144" t="n"/>
      <c r="BQ2161" s="141" t="n"/>
      <c r="BR2161" s="207" t="n"/>
      <c r="BS2161" s="207" t="n"/>
      <c r="BT2161" s="207" t="n"/>
      <c r="BU2161" s="207" t="n"/>
      <c r="BV2161" s="208" t="n"/>
      <c r="BW2161" s="207" t="n"/>
      <c r="BX2161" s="207" t="n"/>
      <c r="BY2161" s="204" t="n"/>
      <c r="BZ2161" s="148" t="n"/>
      <c r="CA2161" s="204" t="n"/>
      <c r="CB2161" s="208" t="n"/>
      <c r="CC2161" s="139" t="n"/>
      <c r="CD2161" s="204" t="n"/>
      <c r="CE2161" s="204" t="n"/>
      <c r="CF2161" s="207" t="n"/>
      <c r="CG2161" s="208" t="n"/>
      <c r="CH2161" s="207" t="n"/>
      <c r="CI2161" s="208" t="n"/>
      <c r="CJ2161" s="204" t="n"/>
      <c r="CK2161" s="208" t="n"/>
      <c r="CL2161" s="208" t="n"/>
      <c r="CM2161" s="208" t="n"/>
      <c r="CN2161" s="78" t="n"/>
      <c r="CO2161" s="209" t="n"/>
      <c r="CP2161" s="204" t="n"/>
      <c r="CQ2161" s="204" t="n"/>
      <c r="CR2161" s="204" t="n"/>
      <c r="CS2161" s="204" t="n"/>
      <c r="CT2161" s="204" t="n"/>
      <c r="CU2161" s="204" t="n"/>
      <c r="CV2161" s="204" t="n"/>
      <c r="CW2161" s="204" t="n"/>
    </row>
    <row r="2162">
      <c r="BF2162" s="78" t="n"/>
      <c r="BG2162" s="78" t="n"/>
      <c r="BH2162" s="78" t="n"/>
      <c r="BI2162" s="78" t="n"/>
      <c r="BJ2162" s="139" t="n"/>
      <c r="BK2162" s="204" t="n"/>
      <c r="BL2162" s="141" t="n"/>
      <c r="BM2162" s="205" t="n"/>
      <c r="BN2162" s="205" t="n"/>
      <c r="BO2162" s="206" t="n"/>
      <c r="BP2162" s="144" t="n"/>
      <c r="BQ2162" s="141" t="n"/>
      <c r="BR2162" s="207" t="n"/>
      <c r="BS2162" s="207" t="n"/>
      <c r="BT2162" s="207" t="n"/>
      <c r="BU2162" s="207" t="n"/>
      <c r="BV2162" s="208" t="n"/>
      <c r="BW2162" s="207" t="n"/>
      <c r="BX2162" s="207" t="n"/>
      <c r="BY2162" s="204" t="n"/>
      <c r="BZ2162" s="148" t="n"/>
      <c r="CA2162" s="204" t="n"/>
      <c r="CB2162" s="208" t="n"/>
      <c r="CC2162" s="139" t="n"/>
      <c r="CD2162" s="204" t="n"/>
      <c r="CE2162" s="204" t="n"/>
      <c r="CF2162" s="207" t="n"/>
      <c r="CG2162" s="208" t="n"/>
      <c r="CH2162" s="207" t="n"/>
      <c r="CI2162" s="208" t="n"/>
      <c r="CJ2162" s="204" t="n"/>
      <c r="CK2162" s="208" t="n"/>
      <c r="CL2162" s="208" t="n"/>
      <c r="CM2162" s="208" t="n"/>
      <c r="CN2162" s="78" t="n"/>
      <c r="CO2162" s="209" t="n"/>
      <c r="CP2162" s="204" t="n"/>
      <c r="CQ2162" s="204" t="n"/>
      <c r="CR2162" s="204" t="n"/>
      <c r="CS2162" s="204" t="n"/>
      <c r="CT2162" s="204" t="n"/>
      <c r="CU2162" s="204" t="n"/>
      <c r="CV2162" s="204" t="n"/>
      <c r="CW2162" s="204" t="n"/>
    </row>
    <row r="2163">
      <c r="BF2163" s="78" t="n"/>
      <c r="BG2163" s="78" t="n"/>
      <c r="BH2163" s="78" t="n"/>
      <c r="BI2163" s="78" t="n"/>
      <c r="BJ2163" s="139" t="n"/>
      <c r="BK2163" s="204" t="n"/>
      <c r="BL2163" s="141" t="n"/>
      <c r="BM2163" s="205" t="n"/>
      <c r="BN2163" s="205" t="n"/>
      <c r="BO2163" s="206" t="n"/>
      <c r="BP2163" s="144" t="n"/>
      <c r="BQ2163" s="141" t="n"/>
      <c r="BR2163" s="207" t="n"/>
      <c r="BS2163" s="207" t="n"/>
      <c r="BT2163" s="207" t="n"/>
      <c r="BU2163" s="207" t="n"/>
      <c r="BV2163" s="208" t="n"/>
      <c r="BW2163" s="207" t="n"/>
      <c r="BX2163" s="207" t="n"/>
      <c r="BY2163" s="204" t="n"/>
      <c r="BZ2163" s="148" t="n"/>
      <c r="CA2163" s="204" t="n"/>
      <c r="CB2163" s="208" t="n"/>
      <c r="CC2163" s="139" t="n"/>
      <c r="CD2163" s="204" t="n"/>
      <c r="CE2163" s="204" t="n"/>
      <c r="CF2163" s="207" t="n"/>
      <c r="CG2163" s="208" t="n"/>
      <c r="CH2163" s="207" t="n"/>
      <c r="CI2163" s="208" t="n"/>
      <c r="CJ2163" s="204" t="n"/>
      <c r="CK2163" s="208" t="n"/>
      <c r="CL2163" s="208" t="n"/>
      <c r="CM2163" s="208" t="n"/>
      <c r="CN2163" s="78" t="n"/>
      <c r="CO2163" s="209" t="n"/>
      <c r="CP2163" s="204" t="n"/>
      <c r="CQ2163" s="204" t="n"/>
      <c r="CR2163" s="204" t="n"/>
      <c r="CS2163" s="204" t="n"/>
      <c r="CT2163" s="204" t="n"/>
      <c r="CU2163" s="204" t="n"/>
      <c r="CV2163" s="204" t="n"/>
      <c r="CW2163" s="204" t="n"/>
    </row>
    <row r="2164">
      <c r="BF2164" s="78" t="n"/>
      <c r="BG2164" s="78" t="n"/>
      <c r="BH2164" s="78" t="n"/>
      <c r="BI2164" s="78" t="n"/>
      <c r="BJ2164" s="139" t="n"/>
      <c r="BK2164" s="204" t="n"/>
      <c r="BL2164" s="141" t="n"/>
      <c r="BM2164" s="205" t="n"/>
      <c r="BN2164" s="205" t="n"/>
      <c r="BO2164" s="206" t="n"/>
      <c r="BP2164" s="144" t="n"/>
      <c r="BQ2164" s="141" t="n"/>
      <c r="BR2164" s="207" t="n"/>
      <c r="BS2164" s="207" t="n"/>
      <c r="BT2164" s="207" t="n"/>
      <c r="BU2164" s="207" t="n"/>
      <c r="BV2164" s="208" t="n"/>
      <c r="BW2164" s="207" t="n"/>
      <c r="BX2164" s="207" t="n"/>
      <c r="BY2164" s="204" t="n"/>
      <c r="BZ2164" s="148" t="n"/>
      <c r="CA2164" s="204" t="n"/>
      <c r="CB2164" s="208" t="n"/>
      <c r="CC2164" s="139" t="n"/>
      <c r="CD2164" s="204" t="n"/>
      <c r="CE2164" s="204" t="n"/>
      <c r="CF2164" s="207" t="n"/>
      <c r="CG2164" s="208" t="n"/>
      <c r="CH2164" s="207" t="n"/>
      <c r="CI2164" s="208" t="n"/>
      <c r="CJ2164" s="204" t="n"/>
      <c r="CK2164" s="208" t="n"/>
      <c r="CL2164" s="208" t="n"/>
      <c r="CM2164" s="208" t="n"/>
      <c r="CN2164" s="78" t="n"/>
      <c r="CO2164" s="209" t="n"/>
      <c r="CP2164" s="204" t="n"/>
      <c r="CQ2164" s="204" t="n"/>
      <c r="CR2164" s="204" t="n"/>
      <c r="CS2164" s="204" t="n"/>
      <c r="CT2164" s="204" t="n"/>
      <c r="CU2164" s="204" t="n"/>
      <c r="CV2164" s="204" t="n"/>
      <c r="CW2164" s="204" t="n"/>
    </row>
    <row r="2165">
      <c r="BF2165" s="78" t="n"/>
      <c r="BG2165" s="78" t="n"/>
      <c r="BH2165" s="78" t="n"/>
      <c r="BI2165" s="78" t="n"/>
      <c r="BJ2165" s="139" t="n"/>
      <c r="BK2165" s="204" t="n"/>
      <c r="BL2165" s="141" t="n"/>
      <c r="BM2165" s="205" t="n"/>
      <c r="BN2165" s="205" t="n"/>
      <c r="BO2165" s="206" t="n"/>
      <c r="BP2165" s="144" t="n"/>
      <c r="BQ2165" s="141" t="n"/>
      <c r="BR2165" s="207" t="n"/>
      <c r="BS2165" s="207" t="n"/>
      <c r="BT2165" s="207" t="n"/>
      <c r="BU2165" s="207" t="n"/>
      <c r="BV2165" s="208" t="n"/>
      <c r="BW2165" s="207" t="n"/>
      <c r="BX2165" s="207" t="n"/>
      <c r="BY2165" s="204" t="n"/>
      <c r="BZ2165" s="148" t="n"/>
      <c r="CA2165" s="204" t="n"/>
      <c r="CB2165" s="208" t="n"/>
      <c r="CC2165" s="139" t="n"/>
      <c r="CD2165" s="204" t="n"/>
      <c r="CE2165" s="204" t="n"/>
      <c r="CF2165" s="207" t="n"/>
      <c r="CG2165" s="208" t="n"/>
      <c r="CH2165" s="207" t="n"/>
      <c r="CI2165" s="208" t="n"/>
      <c r="CJ2165" s="204" t="n"/>
      <c r="CK2165" s="208" t="n"/>
      <c r="CL2165" s="208" t="n"/>
      <c r="CM2165" s="208" t="n"/>
      <c r="CN2165" s="78" t="n"/>
      <c r="CO2165" s="209" t="n"/>
      <c r="CP2165" s="204" t="n"/>
      <c r="CQ2165" s="204" t="n"/>
      <c r="CR2165" s="204" t="n"/>
      <c r="CS2165" s="204" t="n"/>
      <c r="CT2165" s="204" t="n"/>
      <c r="CU2165" s="204" t="n"/>
      <c r="CV2165" s="204" t="n"/>
      <c r="CW2165" s="204" t="n"/>
    </row>
    <row r="2166">
      <c r="BF2166" s="78" t="n"/>
      <c r="BG2166" s="78" t="n"/>
      <c r="BH2166" s="78" t="n"/>
      <c r="BI2166" s="78" t="n"/>
      <c r="BJ2166" s="139" t="n"/>
      <c r="BK2166" s="204" t="n"/>
      <c r="BL2166" s="141" t="n"/>
      <c r="BM2166" s="205" t="n"/>
      <c r="BN2166" s="205" t="n"/>
      <c r="BO2166" s="206" t="n"/>
      <c r="BP2166" s="144" t="n"/>
      <c r="BQ2166" s="141" t="n"/>
      <c r="BR2166" s="207" t="n"/>
      <c r="BS2166" s="207" t="n"/>
      <c r="BT2166" s="207" t="n"/>
      <c r="BU2166" s="207" t="n"/>
      <c r="BV2166" s="208" t="n"/>
      <c r="BW2166" s="207" t="n"/>
      <c r="BX2166" s="207" t="n"/>
      <c r="BY2166" s="204" t="n"/>
      <c r="BZ2166" s="148" t="n"/>
      <c r="CA2166" s="204" t="n"/>
      <c r="CB2166" s="208" t="n"/>
      <c r="CC2166" s="139" t="n"/>
      <c r="CD2166" s="204" t="n"/>
      <c r="CE2166" s="204" t="n"/>
      <c r="CF2166" s="207" t="n"/>
      <c r="CG2166" s="208" t="n"/>
      <c r="CH2166" s="207" t="n"/>
      <c r="CI2166" s="208" t="n"/>
      <c r="CJ2166" s="204" t="n"/>
      <c r="CK2166" s="208" t="n"/>
      <c r="CL2166" s="208" t="n"/>
      <c r="CM2166" s="208" t="n"/>
      <c r="CN2166" s="78" t="n"/>
      <c r="CO2166" s="209" t="n"/>
      <c r="CP2166" s="204" t="n"/>
      <c r="CQ2166" s="204" t="n"/>
      <c r="CR2166" s="204" t="n"/>
      <c r="CS2166" s="204" t="n"/>
      <c r="CT2166" s="204" t="n"/>
      <c r="CU2166" s="204" t="n"/>
      <c r="CV2166" s="204" t="n"/>
      <c r="CW2166" s="204" t="n"/>
    </row>
    <row r="2167">
      <c r="BF2167" s="78" t="n"/>
      <c r="BG2167" s="78" t="n"/>
      <c r="BH2167" s="78" t="n"/>
      <c r="BI2167" s="78" t="n"/>
      <c r="BJ2167" s="139" t="n"/>
      <c r="BK2167" s="204" t="n"/>
      <c r="BL2167" s="141" t="n"/>
      <c r="BM2167" s="205" t="n"/>
      <c r="BN2167" s="205" t="n"/>
      <c r="BO2167" s="206" t="n"/>
      <c r="BP2167" s="144" t="n"/>
      <c r="BQ2167" s="141" t="n"/>
      <c r="BR2167" s="207" t="n"/>
      <c r="BS2167" s="207" t="n"/>
      <c r="BT2167" s="207" t="n"/>
      <c r="BU2167" s="207" t="n"/>
      <c r="BV2167" s="208" t="n"/>
      <c r="BW2167" s="207" t="n"/>
      <c r="BX2167" s="207" t="n"/>
      <c r="BY2167" s="204" t="n"/>
      <c r="BZ2167" s="148" t="n"/>
      <c r="CA2167" s="204" t="n"/>
      <c r="CB2167" s="208" t="n"/>
      <c r="CC2167" s="139" t="n"/>
      <c r="CD2167" s="204" t="n"/>
      <c r="CE2167" s="204" t="n"/>
      <c r="CF2167" s="207" t="n"/>
      <c r="CG2167" s="208" t="n"/>
      <c r="CH2167" s="207" t="n"/>
      <c r="CI2167" s="208" t="n"/>
      <c r="CJ2167" s="204" t="n"/>
      <c r="CK2167" s="208" t="n"/>
      <c r="CL2167" s="208" t="n"/>
      <c r="CM2167" s="208" t="n"/>
      <c r="CN2167" s="78" t="n"/>
      <c r="CO2167" s="209" t="n"/>
      <c r="CP2167" s="204" t="n"/>
      <c r="CQ2167" s="204" t="n"/>
      <c r="CR2167" s="204" t="n"/>
      <c r="CS2167" s="204" t="n"/>
      <c r="CT2167" s="204" t="n"/>
      <c r="CU2167" s="204" t="n"/>
      <c r="CV2167" s="204" t="n"/>
      <c r="CW2167" s="204" t="n"/>
    </row>
    <row r="2168">
      <c r="BF2168" s="78" t="n"/>
      <c r="BG2168" s="78" t="n"/>
      <c r="BH2168" s="78" t="n"/>
      <c r="BI2168" s="78" t="n"/>
      <c r="BJ2168" s="139" t="n"/>
      <c r="BK2168" s="204" t="n"/>
      <c r="BL2168" s="141" t="n"/>
      <c r="BM2168" s="205" t="n"/>
      <c r="BN2168" s="205" t="n"/>
      <c r="BO2168" s="206" t="n"/>
      <c r="BP2168" s="144" t="n"/>
      <c r="BQ2168" s="141" t="n"/>
      <c r="BR2168" s="207" t="n"/>
      <c r="BS2168" s="207" t="n"/>
      <c r="BT2168" s="207" t="n"/>
      <c r="BU2168" s="207" t="n"/>
      <c r="BV2168" s="208" t="n"/>
      <c r="BW2168" s="207" t="n"/>
      <c r="BX2168" s="207" t="n"/>
      <c r="BY2168" s="204" t="n"/>
      <c r="BZ2168" s="148" t="n"/>
      <c r="CA2168" s="204" t="n"/>
      <c r="CB2168" s="208" t="n"/>
      <c r="CC2168" s="139" t="n"/>
      <c r="CD2168" s="204" t="n"/>
      <c r="CE2168" s="204" t="n"/>
      <c r="CF2168" s="207" t="n"/>
      <c r="CG2168" s="208" t="n"/>
      <c r="CH2168" s="207" t="n"/>
      <c r="CI2168" s="208" t="n"/>
      <c r="CJ2168" s="204" t="n"/>
      <c r="CK2168" s="208" t="n"/>
      <c r="CL2168" s="208" t="n"/>
      <c r="CM2168" s="208" t="n"/>
      <c r="CN2168" s="78" t="n"/>
      <c r="CO2168" s="209" t="n"/>
      <c r="CP2168" s="204" t="n"/>
      <c r="CQ2168" s="204" t="n"/>
      <c r="CR2168" s="204" t="n"/>
      <c r="CS2168" s="204" t="n"/>
      <c r="CT2168" s="204" t="n"/>
      <c r="CU2168" s="204" t="n"/>
      <c r="CV2168" s="204" t="n"/>
      <c r="CW2168" s="204" t="n"/>
    </row>
    <row r="2169">
      <c r="BF2169" s="78" t="n"/>
      <c r="BG2169" s="78" t="n"/>
      <c r="BH2169" s="78" t="n"/>
      <c r="BI2169" s="78" t="n"/>
      <c r="BJ2169" s="139" t="n"/>
      <c r="BK2169" s="204" t="n"/>
      <c r="BL2169" s="141" t="n"/>
      <c r="BM2169" s="205" t="n"/>
      <c r="BN2169" s="205" t="n"/>
      <c r="BO2169" s="206" t="n"/>
      <c r="BP2169" s="144" t="n"/>
      <c r="BQ2169" s="141" t="n"/>
      <c r="BR2169" s="207" t="n"/>
      <c r="BS2169" s="207" t="n"/>
      <c r="BT2169" s="207" t="n"/>
      <c r="BU2169" s="207" t="n"/>
      <c r="BV2169" s="208" t="n"/>
      <c r="BW2169" s="207" t="n"/>
      <c r="BX2169" s="207" t="n"/>
      <c r="BY2169" s="204" t="n"/>
      <c r="BZ2169" s="148" t="n"/>
      <c r="CA2169" s="204" t="n"/>
      <c r="CB2169" s="208" t="n"/>
      <c r="CC2169" s="139" t="n"/>
      <c r="CD2169" s="204" t="n"/>
      <c r="CE2169" s="204" t="n"/>
      <c r="CF2169" s="207" t="n"/>
      <c r="CG2169" s="208" t="n"/>
      <c r="CH2169" s="207" t="n"/>
      <c r="CI2169" s="208" t="n"/>
      <c r="CJ2169" s="204" t="n"/>
      <c r="CK2169" s="208" t="n"/>
      <c r="CL2169" s="208" t="n"/>
      <c r="CM2169" s="208" t="n"/>
      <c r="CN2169" s="78" t="n"/>
      <c r="CO2169" s="209" t="n"/>
      <c r="CP2169" s="204" t="n"/>
      <c r="CQ2169" s="204" t="n"/>
      <c r="CR2169" s="204" t="n"/>
      <c r="CS2169" s="204" t="n"/>
      <c r="CT2169" s="204" t="n"/>
      <c r="CU2169" s="204" t="n"/>
      <c r="CV2169" s="204" t="n"/>
      <c r="CW2169" s="204" t="n"/>
    </row>
    <row r="2170">
      <c r="BF2170" s="78" t="n"/>
      <c r="BG2170" s="78" t="n"/>
      <c r="BH2170" s="78" t="n"/>
      <c r="BI2170" s="78" t="n"/>
      <c r="BJ2170" s="139" t="n"/>
      <c r="BK2170" s="204" t="n"/>
      <c r="BL2170" s="141" t="n"/>
      <c r="BM2170" s="205" t="n"/>
      <c r="BN2170" s="205" t="n"/>
      <c r="BO2170" s="206" t="n"/>
      <c r="BP2170" s="144" t="n"/>
      <c r="BQ2170" s="141" t="n"/>
      <c r="BR2170" s="207" t="n"/>
      <c r="BS2170" s="207" t="n"/>
      <c r="BT2170" s="207" t="n"/>
      <c r="BU2170" s="207" t="n"/>
      <c r="BV2170" s="208" t="n"/>
      <c r="BW2170" s="207" t="n"/>
      <c r="BX2170" s="207" t="n"/>
      <c r="BY2170" s="204" t="n"/>
      <c r="BZ2170" s="148" t="n"/>
      <c r="CA2170" s="204" t="n"/>
      <c r="CB2170" s="208" t="n"/>
      <c r="CC2170" s="139" t="n"/>
      <c r="CD2170" s="204" t="n"/>
      <c r="CE2170" s="204" t="n"/>
      <c r="CF2170" s="207" t="n"/>
      <c r="CG2170" s="208" t="n"/>
      <c r="CH2170" s="207" t="n"/>
      <c r="CI2170" s="208" t="n"/>
      <c r="CJ2170" s="204" t="n"/>
      <c r="CK2170" s="208" t="n"/>
      <c r="CL2170" s="208" t="n"/>
      <c r="CM2170" s="208" t="n"/>
      <c r="CN2170" s="78" t="n"/>
      <c r="CO2170" s="209" t="n"/>
      <c r="CP2170" s="204" t="n"/>
      <c r="CQ2170" s="204" t="n"/>
      <c r="CR2170" s="204" t="n"/>
      <c r="CS2170" s="204" t="n"/>
      <c r="CT2170" s="204" t="n"/>
      <c r="CU2170" s="204" t="n"/>
      <c r="CV2170" s="204" t="n"/>
      <c r="CW2170" s="204" t="n"/>
    </row>
    <row r="2171">
      <c r="BF2171" s="78" t="n"/>
      <c r="BG2171" s="78" t="n"/>
      <c r="BH2171" s="78" t="n"/>
      <c r="BI2171" s="78" t="n"/>
      <c r="BJ2171" s="139" t="n"/>
      <c r="BK2171" s="204" t="n"/>
      <c r="BL2171" s="141" t="n"/>
      <c r="BM2171" s="205" t="n"/>
      <c r="BN2171" s="205" t="n"/>
      <c r="BO2171" s="206" t="n"/>
      <c r="BP2171" s="144" t="n"/>
      <c r="BQ2171" s="141" t="n"/>
      <c r="BR2171" s="207" t="n"/>
      <c r="BS2171" s="207" t="n"/>
      <c r="BT2171" s="207" t="n"/>
      <c r="BU2171" s="207" t="n"/>
      <c r="BV2171" s="208" t="n"/>
      <c r="BW2171" s="207" t="n"/>
      <c r="BX2171" s="207" t="n"/>
      <c r="BY2171" s="204" t="n"/>
      <c r="BZ2171" s="148" t="n"/>
      <c r="CA2171" s="204" t="n"/>
      <c r="CB2171" s="208" t="n"/>
      <c r="CC2171" s="139" t="n"/>
      <c r="CD2171" s="204" t="n"/>
      <c r="CE2171" s="204" t="n"/>
      <c r="CF2171" s="207" t="n"/>
      <c r="CG2171" s="208" t="n"/>
      <c r="CH2171" s="207" t="n"/>
      <c r="CI2171" s="208" t="n"/>
      <c r="CJ2171" s="204" t="n"/>
      <c r="CK2171" s="208" t="n"/>
      <c r="CL2171" s="208" t="n"/>
      <c r="CM2171" s="208" t="n"/>
      <c r="CN2171" s="78" t="n"/>
      <c r="CO2171" s="209" t="n"/>
      <c r="CP2171" s="204" t="n"/>
      <c r="CQ2171" s="204" t="n"/>
      <c r="CR2171" s="204" t="n"/>
      <c r="CS2171" s="204" t="n"/>
      <c r="CT2171" s="204" t="n"/>
      <c r="CU2171" s="204" t="n"/>
      <c r="CV2171" s="204" t="n"/>
      <c r="CW2171" s="204" t="n"/>
    </row>
    <row r="2172">
      <c r="BF2172" s="78" t="n"/>
      <c r="BG2172" s="78" t="n"/>
      <c r="BH2172" s="78" t="n"/>
      <c r="BI2172" s="78" t="n"/>
      <c r="BJ2172" s="139" t="n"/>
      <c r="BK2172" s="204" t="n"/>
      <c r="BL2172" s="141" t="n"/>
      <c r="BM2172" s="205" t="n"/>
      <c r="BN2172" s="205" t="n"/>
      <c r="BO2172" s="206" t="n"/>
      <c r="BP2172" s="144" t="n"/>
      <c r="BQ2172" s="141" t="n"/>
      <c r="BR2172" s="207" t="n"/>
      <c r="BS2172" s="207" t="n"/>
      <c r="BT2172" s="207" t="n"/>
      <c r="BU2172" s="207" t="n"/>
      <c r="BV2172" s="208" t="n"/>
      <c r="BW2172" s="207" t="n"/>
      <c r="BX2172" s="207" t="n"/>
      <c r="BY2172" s="204" t="n"/>
      <c r="BZ2172" s="148" t="n"/>
      <c r="CA2172" s="204" t="n"/>
      <c r="CB2172" s="208" t="n"/>
      <c r="CC2172" s="139" t="n"/>
      <c r="CD2172" s="204" t="n"/>
      <c r="CE2172" s="204" t="n"/>
      <c r="CF2172" s="207" t="n"/>
      <c r="CG2172" s="208" t="n"/>
      <c r="CH2172" s="207" t="n"/>
      <c r="CI2172" s="208" t="n"/>
      <c r="CJ2172" s="204" t="n"/>
      <c r="CK2172" s="208" t="n"/>
      <c r="CL2172" s="208" t="n"/>
      <c r="CM2172" s="208" t="n"/>
      <c r="CN2172" s="78" t="n"/>
      <c r="CO2172" s="209" t="n"/>
      <c r="CP2172" s="204" t="n"/>
      <c r="CQ2172" s="204" t="n"/>
      <c r="CR2172" s="204" t="n"/>
      <c r="CS2172" s="204" t="n"/>
      <c r="CT2172" s="204" t="n"/>
      <c r="CU2172" s="204" t="n"/>
      <c r="CV2172" s="204" t="n"/>
      <c r="CW2172" s="204" t="n"/>
    </row>
    <row r="2173">
      <c r="BF2173" s="78" t="n"/>
      <c r="BG2173" s="78" t="n"/>
      <c r="BH2173" s="78" t="n"/>
      <c r="BI2173" s="78" t="n"/>
      <c r="BJ2173" s="139" t="n"/>
      <c r="BK2173" s="204" t="n"/>
      <c r="BL2173" s="141" t="n"/>
      <c r="BM2173" s="205" t="n"/>
      <c r="BN2173" s="205" t="n"/>
      <c r="BO2173" s="206" t="n"/>
      <c r="BP2173" s="144" t="n"/>
      <c r="BQ2173" s="141" t="n"/>
      <c r="BR2173" s="207" t="n"/>
      <c r="BS2173" s="207" t="n"/>
      <c r="BT2173" s="207" t="n"/>
      <c r="BU2173" s="207" t="n"/>
      <c r="BV2173" s="208" t="n"/>
      <c r="BW2173" s="207" t="n"/>
      <c r="BX2173" s="207" t="n"/>
      <c r="BY2173" s="204" t="n"/>
      <c r="BZ2173" s="148" t="n"/>
      <c r="CA2173" s="204" t="n"/>
      <c r="CB2173" s="208" t="n"/>
      <c r="CC2173" s="139" t="n"/>
      <c r="CD2173" s="204" t="n"/>
      <c r="CE2173" s="204" t="n"/>
      <c r="CF2173" s="207" t="n"/>
      <c r="CG2173" s="208" t="n"/>
      <c r="CH2173" s="207" t="n"/>
      <c r="CI2173" s="208" t="n"/>
      <c r="CJ2173" s="204" t="n"/>
      <c r="CK2173" s="208" t="n"/>
      <c r="CL2173" s="208" t="n"/>
      <c r="CM2173" s="208" t="n"/>
      <c r="CN2173" s="78" t="n"/>
      <c r="CO2173" s="209" t="n"/>
      <c r="CP2173" s="204" t="n"/>
      <c r="CQ2173" s="204" t="n"/>
      <c r="CR2173" s="204" t="n"/>
      <c r="CS2173" s="204" t="n"/>
      <c r="CT2173" s="204" t="n"/>
      <c r="CU2173" s="204" t="n"/>
      <c r="CV2173" s="204" t="n"/>
      <c r="CW2173" s="204" t="n"/>
    </row>
    <row r="2174">
      <c r="BF2174" s="78" t="n"/>
      <c r="BG2174" s="78" t="n"/>
      <c r="BH2174" s="78" t="n"/>
      <c r="BI2174" s="78" t="n"/>
      <c r="BJ2174" s="139" t="n"/>
      <c r="BK2174" s="204" t="n"/>
      <c r="BL2174" s="141" t="n"/>
      <c r="BM2174" s="205" t="n"/>
      <c r="BN2174" s="205" t="n"/>
      <c r="BO2174" s="206" t="n"/>
      <c r="BP2174" s="144" t="n"/>
      <c r="BQ2174" s="141" t="n"/>
      <c r="BR2174" s="207" t="n"/>
      <c r="BS2174" s="207" t="n"/>
      <c r="BT2174" s="207" t="n"/>
      <c r="BU2174" s="207" t="n"/>
      <c r="BV2174" s="208" t="n"/>
      <c r="BW2174" s="207" t="n"/>
      <c r="BX2174" s="207" t="n"/>
      <c r="BY2174" s="204" t="n"/>
      <c r="BZ2174" s="148" t="n"/>
      <c r="CA2174" s="204" t="n"/>
      <c r="CB2174" s="208" t="n"/>
      <c r="CC2174" s="139" t="n"/>
      <c r="CD2174" s="204" t="n"/>
      <c r="CE2174" s="204" t="n"/>
      <c r="CF2174" s="207" t="n"/>
      <c r="CG2174" s="208" t="n"/>
      <c r="CH2174" s="207" t="n"/>
      <c r="CI2174" s="208" t="n"/>
      <c r="CJ2174" s="204" t="n"/>
      <c r="CK2174" s="208" t="n"/>
      <c r="CL2174" s="208" t="n"/>
      <c r="CM2174" s="208" t="n"/>
      <c r="CN2174" s="78" t="n"/>
      <c r="CO2174" s="209" t="n"/>
      <c r="CP2174" s="204" t="n"/>
      <c r="CQ2174" s="204" t="n"/>
      <c r="CR2174" s="204" t="n"/>
      <c r="CS2174" s="204" t="n"/>
      <c r="CT2174" s="204" t="n"/>
      <c r="CU2174" s="204" t="n"/>
      <c r="CV2174" s="204" t="n"/>
      <c r="CW2174" s="204" t="n"/>
    </row>
    <row r="2175">
      <c r="BF2175" s="78" t="n"/>
      <c r="BG2175" s="78" t="n"/>
      <c r="BH2175" s="78" t="n"/>
      <c r="BI2175" s="78" t="n"/>
      <c r="BJ2175" s="139" t="n"/>
      <c r="BK2175" s="204" t="n"/>
      <c r="BL2175" s="141" t="n"/>
      <c r="BM2175" s="205" t="n"/>
      <c r="BN2175" s="205" t="n"/>
      <c r="BO2175" s="206" t="n"/>
      <c r="BP2175" s="144" t="n"/>
      <c r="BQ2175" s="141" t="n"/>
      <c r="BR2175" s="207" t="n"/>
      <c r="BS2175" s="207" t="n"/>
      <c r="BT2175" s="207" t="n"/>
      <c r="BU2175" s="207" t="n"/>
      <c r="BV2175" s="208" t="n"/>
      <c r="BW2175" s="207" t="n"/>
      <c r="BX2175" s="207" t="n"/>
      <c r="BY2175" s="204" t="n"/>
      <c r="BZ2175" s="148" t="n"/>
      <c r="CA2175" s="204" t="n"/>
      <c r="CB2175" s="208" t="n"/>
      <c r="CC2175" s="139" t="n"/>
      <c r="CD2175" s="204" t="n"/>
      <c r="CE2175" s="204" t="n"/>
      <c r="CF2175" s="207" t="n"/>
      <c r="CG2175" s="208" t="n"/>
      <c r="CH2175" s="207" t="n"/>
      <c r="CI2175" s="208" t="n"/>
      <c r="CJ2175" s="204" t="n"/>
      <c r="CK2175" s="208" t="n"/>
      <c r="CL2175" s="208" t="n"/>
      <c r="CM2175" s="208" t="n"/>
      <c r="CN2175" s="78" t="n"/>
      <c r="CO2175" s="209" t="n"/>
      <c r="CP2175" s="204" t="n"/>
      <c r="CQ2175" s="204" t="n"/>
      <c r="CR2175" s="204" t="n"/>
      <c r="CS2175" s="204" t="n"/>
      <c r="CT2175" s="204" t="n"/>
      <c r="CU2175" s="204" t="n"/>
      <c r="CV2175" s="204" t="n"/>
      <c r="CW2175" s="204" t="n"/>
    </row>
    <row r="2176">
      <c r="BF2176" s="78" t="n"/>
      <c r="BG2176" s="78" t="n"/>
      <c r="BH2176" s="78" t="n"/>
      <c r="BI2176" s="78" t="n"/>
      <c r="BJ2176" s="139" t="n"/>
      <c r="BK2176" s="204" t="n"/>
      <c r="BL2176" s="141" t="n"/>
      <c r="BM2176" s="205" t="n"/>
      <c r="BN2176" s="205" t="n"/>
      <c r="BO2176" s="206" t="n"/>
      <c r="BP2176" s="144" t="n"/>
      <c r="BQ2176" s="141" t="n"/>
      <c r="BR2176" s="207" t="n"/>
      <c r="BS2176" s="207" t="n"/>
      <c r="BT2176" s="207" t="n"/>
      <c r="BU2176" s="207" t="n"/>
      <c r="BV2176" s="208" t="n"/>
      <c r="BW2176" s="207" t="n"/>
      <c r="BX2176" s="207" t="n"/>
      <c r="BY2176" s="204" t="n"/>
      <c r="BZ2176" s="148" t="n"/>
      <c r="CA2176" s="204" t="n"/>
      <c r="CB2176" s="208" t="n"/>
      <c r="CC2176" s="139" t="n"/>
      <c r="CD2176" s="204" t="n"/>
      <c r="CE2176" s="204" t="n"/>
      <c r="CF2176" s="207" t="n"/>
      <c r="CG2176" s="208" t="n"/>
      <c r="CH2176" s="207" t="n"/>
      <c r="CI2176" s="208" t="n"/>
      <c r="CJ2176" s="204" t="n"/>
      <c r="CK2176" s="208" t="n"/>
      <c r="CL2176" s="208" t="n"/>
      <c r="CM2176" s="208" t="n"/>
      <c r="CN2176" s="78" t="n"/>
      <c r="CO2176" s="209" t="n"/>
      <c r="CP2176" s="204" t="n"/>
      <c r="CQ2176" s="204" t="n"/>
      <c r="CR2176" s="204" t="n"/>
      <c r="CS2176" s="204" t="n"/>
      <c r="CT2176" s="204" t="n"/>
      <c r="CU2176" s="204" t="n"/>
      <c r="CV2176" s="204" t="n"/>
      <c r="CW2176" s="204" t="n"/>
    </row>
    <row r="2177">
      <c r="BF2177" s="78" t="n"/>
      <c r="BG2177" s="78" t="n"/>
      <c r="BH2177" s="78" t="n"/>
      <c r="BI2177" s="78" t="n"/>
      <c r="BJ2177" s="139" t="n"/>
      <c r="BK2177" s="204" t="n"/>
      <c r="BL2177" s="141" t="n"/>
      <c r="BM2177" s="205" t="n"/>
      <c r="BN2177" s="205" t="n"/>
      <c r="BO2177" s="206" t="n"/>
      <c r="BP2177" s="144" t="n"/>
      <c r="BQ2177" s="141" t="n"/>
      <c r="BR2177" s="207" t="n"/>
      <c r="BS2177" s="207" t="n"/>
      <c r="BT2177" s="207" t="n"/>
      <c r="BU2177" s="207" t="n"/>
      <c r="BV2177" s="208" t="n"/>
      <c r="BW2177" s="207" t="n"/>
      <c r="BX2177" s="207" t="n"/>
      <c r="BY2177" s="204" t="n"/>
      <c r="BZ2177" s="148" t="n"/>
      <c r="CA2177" s="204" t="n"/>
      <c r="CB2177" s="208" t="n"/>
      <c r="CC2177" s="139" t="n"/>
      <c r="CD2177" s="204" t="n"/>
      <c r="CE2177" s="204" t="n"/>
      <c r="CF2177" s="207" t="n"/>
      <c r="CG2177" s="208" t="n"/>
      <c r="CH2177" s="207" t="n"/>
      <c r="CI2177" s="208" t="n"/>
      <c r="CJ2177" s="204" t="n"/>
      <c r="CK2177" s="208" t="n"/>
      <c r="CL2177" s="208" t="n"/>
      <c r="CM2177" s="208" t="n"/>
      <c r="CN2177" s="78" t="n"/>
      <c r="CO2177" s="209" t="n"/>
      <c r="CP2177" s="204" t="n"/>
      <c r="CQ2177" s="204" t="n"/>
      <c r="CR2177" s="204" t="n"/>
      <c r="CS2177" s="204" t="n"/>
      <c r="CT2177" s="204" t="n"/>
      <c r="CU2177" s="204" t="n"/>
      <c r="CV2177" s="204" t="n"/>
      <c r="CW2177" s="204" t="n"/>
    </row>
    <row r="2178">
      <c r="BF2178" s="78" t="n"/>
      <c r="BG2178" s="78" t="n"/>
      <c r="BH2178" s="78" t="n"/>
      <c r="BI2178" s="78" t="n"/>
      <c r="BJ2178" s="139" t="n"/>
      <c r="BK2178" s="204" t="n"/>
      <c r="BL2178" s="141" t="n"/>
      <c r="BM2178" s="205" t="n"/>
      <c r="BN2178" s="205" t="n"/>
      <c r="BO2178" s="206" t="n"/>
      <c r="BP2178" s="144" t="n"/>
      <c r="BQ2178" s="141" t="n"/>
      <c r="BR2178" s="207" t="n"/>
      <c r="BS2178" s="207" t="n"/>
      <c r="BT2178" s="207" t="n"/>
      <c r="BU2178" s="207" t="n"/>
      <c r="BV2178" s="208" t="n"/>
      <c r="BW2178" s="207" t="n"/>
      <c r="BX2178" s="207" t="n"/>
      <c r="BY2178" s="204" t="n"/>
      <c r="BZ2178" s="148" t="n"/>
      <c r="CA2178" s="204" t="n"/>
      <c r="CB2178" s="208" t="n"/>
      <c r="CC2178" s="139" t="n"/>
      <c r="CD2178" s="204" t="n"/>
      <c r="CE2178" s="204" t="n"/>
      <c r="CF2178" s="207" t="n"/>
      <c r="CG2178" s="208" t="n"/>
      <c r="CH2178" s="207" t="n"/>
      <c r="CI2178" s="208" t="n"/>
      <c r="CJ2178" s="204" t="n"/>
      <c r="CK2178" s="208" t="n"/>
      <c r="CL2178" s="208" t="n"/>
      <c r="CM2178" s="208" t="n"/>
      <c r="CN2178" s="78" t="n"/>
      <c r="CO2178" s="209" t="n"/>
      <c r="CP2178" s="204" t="n"/>
      <c r="CQ2178" s="204" t="n"/>
      <c r="CR2178" s="204" t="n"/>
      <c r="CS2178" s="204" t="n"/>
      <c r="CT2178" s="204" t="n"/>
      <c r="CU2178" s="204" t="n"/>
      <c r="CV2178" s="204" t="n"/>
      <c r="CW2178" s="204" t="n"/>
    </row>
    <row r="2179">
      <c r="BF2179" s="78" t="n"/>
      <c r="BG2179" s="78" t="n"/>
      <c r="BH2179" s="78" t="n"/>
      <c r="BI2179" s="78" t="n"/>
      <c r="BJ2179" s="139" t="n"/>
      <c r="BK2179" s="204" t="n"/>
      <c r="BL2179" s="141" t="n"/>
      <c r="BM2179" s="205" t="n"/>
      <c r="BN2179" s="205" t="n"/>
      <c r="BO2179" s="206" t="n"/>
      <c r="BP2179" s="144" t="n"/>
      <c r="BQ2179" s="141" t="n"/>
      <c r="BR2179" s="207" t="n"/>
      <c r="BS2179" s="207" t="n"/>
      <c r="BT2179" s="207" t="n"/>
      <c r="BU2179" s="207" t="n"/>
      <c r="BV2179" s="208" t="n"/>
      <c r="BW2179" s="207" t="n"/>
      <c r="BX2179" s="207" t="n"/>
      <c r="BY2179" s="204" t="n"/>
      <c r="BZ2179" s="148" t="n"/>
      <c r="CA2179" s="204" t="n"/>
      <c r="CB2179" s="208" t="n"/>
      <c r="CC2179" s="139" t="n"/>
      <c r="CD2179" s="204" t="n"/>
      <c r="CE2179" s="204" t="n"/>
      <c r="CF2179" s="207" t="n"/>
      <c r="CG2179" s="208" t="n"/>
      <c r="CH2179" s="207" t="n"/>
      <c r="CI2179" s="208" t="n"/>
      <c r="CJ2179" s="204" t="n"/>
      <c r="CK2179" s="208" t="n"/>
      <c r="CL2179" s="208" t="n"/>
      <c r="CM2179" s="208" t="n"/>
      <c r="CN2179" s="78" t="n"/>
      <c r="CO2179" s="209" t="n"/>
      <c r="CP2179" s="204" t="n"/>
      <c r="CQ2179" s="204" t="n"/>
      <c r="CR2179" s="204" t="n"/>
      <c r="CS2179" s="204" t="n"/>
      <c r="CT2179" s="204" t="n"/>
      <c r="CU2179" s="204" t="n"/>
      <c r="CV2179" s="204" t="n"/>
      <c r="CW2179" s="204" t="n"/>
    </row>
    <row r="2180">
      <c r="BF2180" s="78" t="n"/>
      <c r="BG2180" s="78" t="n"/>
      <c r="BH2180" s="78" t="n"/>
      <c r="BI2180" s="78" t="n"/>
      <c r="BJ2180" s="139" t="n"/>
      <c r="BK2180" s="204" t="n"/>
      <c r="BL2180" s="141" t="n"/>
      <c r="BM2180" s="205" t="n"/>
      <c r="BN2180" s="205" t="n"/>
      <c r="BO2180" s="206" t="n"/>
      <c r="BP2180" s="144" t="n"/>
      <c r="BQ2180" s="141" t="n"/>
      <c r="BR2180" s="207" t="n"/>
      <c r="BS2180" s="207" t="n"/>
      <c r="BT2180" s="207" t="n"/>
      <c r="BU2180" s="207" t="n"/>
      <c r="BV2180" s="208" t="n"/>
      <c r="BW2180" s="207" t="n"/>
      <c r="BX2180" s="207" t="n"/>
      <c r="BY2180" s="204" t="n"/>
      <c r="BZ2180" s="148" t="n"/>
      <c r="CA2180" s="204" t="n"/>
      <c r="CB2180" s="208" t="n"/>
      <c r="CC2180" s="139" t="n"/>
      <c r="CD2180" s="204" t="n"/>
      <c r="CE2180" s="204" t="n"/>
      <c r="CF2180" s="207" t="n"/>
      <c r="CG2180" s="208" t="n"/>
      <c r="CH2180" s="207" t="n"/>
      <c r="CI2180" s="208" t="n"/>
      <c r="CJ2180" s="204" t="n"/>
      <c r="CK2180" s="208" t="n"/>
      <c r="CL2180" s="208" t="n"/>
      <c r="CM2180" s="208" t="n"/>
      <c r="CN2180" s="78" t="n"/>
      <c r="CO2180" s="209" t="n"/>
      <c r="CP2180" s="204" t="n"/>
      <c r="CQ2180" s="204" t="n"/>
      <c r="CR2180" s="204" t="n"/>
      <c r="CS2180" s="204" t="n"/>
      <c r="CT2180" s="204" t="n"/>
      <c r="CU2180" s="204" t="n"/>
      <c r="CV2180" s="204" t="n"/>
      <c r="CW2180" s="204" t="n"/>
    </row>
    <row r="2181">
      <c r="BF2181" s="78" t="n"/>
      <c r="BG2181" s="78" t="n"/>
      <c r="BH2181" s="78" t="n"/>
      <c r="BI2181" s="78" t="n"/>
      <c r="BJ2181" s="139" t="n"/>
      <c r="BK2181" s="204" t="n"/>
      <c r="BL2181" s="141" t="n"/>
      <c r="BM2181" s="205" t="n"/>
      <c r="BN2181" s="205" t="n"/>
      <c r="BO2181" s="206" t="n"/>
      <c r="BP2181" s="144" t="n"/>
      <c r="BQ2181" s="141" t="n"/>
      <c r="BR2181" s="207" t="n"/>
      <c r="BS2181" s="207" t="n"/>
      <c r="BT2181" s="207" t="n"/>
      <c r="BU2181" s="207" t="n"/>
      <c r="BV2181" s="208" t="n"/>
      <c r="BW2181" s="207" t="n"/>
      <c r="BX2181" s="207" t="n"/>
      <c r="BY2181" s="204" t="n"/>
      <c r="BZ2181" s="148" t="n"/>
      <c r="CA2181" s="204" t="n"/>
      <c r="CB2181" s="208" t="n"/>
      <c r="CC2181" s="139" t="n"/>
      <c r="CD2181" s="204" t="n"/>
      <c r="CE2181" s="204" t="n"/>
      <c r="CF2181" s="207" t="n"/>
      <c r="CG2181" s="208" t="n"/>
      <c r="CH2181" s="207" t="n"/>
      <c r="CI2181" s="208" t="n"/>
      <c r="CJ2181" s="204" t="n"/>
      <c r="CK2181" s="208" t="n"/>
      <c r="CL2181" s="208" t="n"/>
      <c r="CM2181" s="208" t="n"/>
      <c r="CN2181" s="78" t="n"/>
      <c r="CO2181" s="209" t="n"/>
      <c r="CP2181" s="204" t="n"/>
      <c r="CQ2181" s="204" t="n"/>
      <c r="CR2181" s="204" t="n"/>
      <c r="CS2181" s="204" t="n"/>
      <c r="CT2181" s="204" t="n"/>
      <c r="CU2181" s="204" t="n"/>
      <c r="CV2181" s="204" t="n"/>
      <c r="CW2181" s="204" t="n"/>
    </row>
    <row r="2182">
      <c r="BF2182" s="78" t="n"/>
      <c r="BG2182" s="78" t="n"/>
      <c r="BH2182" s="78" t="n"/>
      <c r="BI2182" s="78" t="n"/>
      <c r="BJ2182" s="139" t="n"/>
      <c r="BK2182" s="204" t="n"/>
      <c r="BL2182" s="141" t="n"/>
      <c r="BM2182" s="205" t="n"/>
      <c r="BN2182" s="205" t="n"/>
      <c r="BO2182" s="206" t="n"/>
      <c r="BP2182" s="144" t="n"/>
      <c r="BQ2182" s="141" t="n"/>
      <c r="BR2182" s="207" t="n"/>
      <c r="BS2182" s="207" t="n"/>
      <c r="BT2182" s="207" t="n"/>
      <c r="BU2182" s="207" t="n"/>
      <c r="BV2182" s="208" t="n"/>
      <c r="BW2182" s="207" t="n"/>
      <c r="BX2182" s="207" t="n"/>
      <c r="BY2182" s="204" t="n"/>
      <c r="BZ2182" s="148" t="n"/>
      <c r="CA2182" s="204" t="n"/>
      <c r="CB2182" s="208" t="n"/>
      <c r="CC2182" s="139" t="n"/>
      <c r="CD2182" s="204" t="n"/>
      <c r="CE2182" s="204" t="n"/>
      <c r="CF2182" s="207" t="n"/>
      <c r="CG2182" s="208" t="n"/>
      <c r="CH2182" s="207" t="n"/>
      <c r="CI2182" s="208" t="n"/>
      <c r="CJ2182" s="204" t="n"/>
      <c r="CK2182" s="208" t="n"/>
      <c r="CL2182" s="208" t="n"/>
      <c r="CM2182" s="208" t="n"/>
      <c r="CN2182" s="78" t="n"/>
      <c r="CO2182" s="209" t="n"/>
      <c r="CP2182" s="204" t="n"/>
      <c r="CQ2182" s="204" t="n"/>
      <c r="CR2182" s="204" t="n"/>
      <c r="CS2182" s="204" t="n"/>
      <c r="CT2182" s="204" t="n"/>
      <c r="CU2182" s="204" t="n"/>
      <c r="CV2182" s="204" t="n"/>
      <c r="CW2182" s="204" t="n"/>
    </row>
    <row r="2183">
      <c r="BF2183" s="78" t="n"/>
      <c r="BG2183" s="78" t="n"/>
      <c r="BH2183" s="78" t="n"/>
      <c r="BI2183" s="78" t="n"/>
      <c r="BJ2183" s="139" t="n"/>
      <c r="BK2183" s="204" t="n"/>
      <c r="BL2183" s="141" t="n"/>
      <c r="BM2183" s="205" t="n"/>
      <c r="BN2183" s="205" t="n"/>
      <c r="BO2183" s="206" t="n"/>
      <c r="BP2183" s="144" t="n"/>
      <c r="BQ2183" s="141" t="n"/>
      <c r="BR2183" s="207" t="n"/>
      <c r="BS2183" s="207" t="n"/>
      <c r="BT2183" s="207" t="n"/>
      <c r="BU2183" s="207" t="n"/>
      <c r="BV2183" s="208" t="n"/>
      <c r="BW2183" s="207" t="n"/>
      <c r="BX2183" s="207" t="n"/>
      <c r="BY2183" s="204" t="n"/>
      <c r="BZ2183" s="148" t="n"/>
      <c r="CA2183" s="204" t="n"/>
      <c r="CB2183" s="208" t="n"/>
      <c r="CC2183" s="139" t="n"/>
      <c r="CD2183" s="204" t="n"/>
      <c r="CE2183" s="204" t="n"/>
      <c r="CF2183" s="207" t="n"/>
      <c r="CG2183" s="208" t="n"/>
      <c r="CH2183" s="207" t="n"/>
      <c r="CI2183" s="208" t="n"/>
      <c r="CJ2183" s="204" t="n"/>
      <c r="CK2183" s="208" t="n"/>
      <c r="CL2183" s="208" t="n"/>
      <c r="CM2183" s="208" t="n"/>
      <c r="CN2183" s="78" t="n"/>
      <c r="CO2183" s="209" t="n"/>
      <c r="CP2183" s="204" t="n"/>
      <c r="CQ2183" s="204" t="n"/>
      <c r="CR2183" s="204" t="n"/>
      <c r="CS2183" s="204" t="n"/>
      <c r="CT2183" s="204" t="n"/>
      <c r="CU2183" s="204" t="n"/>
      <c r="CV2183" s="204" t="n"/>
      <c r="CW2183" s="204" t="n"/>
    </row>
    <row r="2184">
      <c r="BF2184" s="78" t="n"/>
      <c r="BG2184" s="78" t="n"/>
      <c r="BH2184" s="78" t="n"/>
      <c r="BI2184" s="78" t="n"/>
      <c r="BJ2184" s="139" t="n"/>
      <c r="BK2184" s="204" t="n"/>
      <c r="BL2184" s="141" t="n"/>
      <c r="BM2184" s="205" t="n"/>
      <c r="BN2184" s="205" t="n"/>
      <c r="BO2184" s="206" t="n"/>
      <c r="BP2184" s="144" t="n"/>
      <c r="BQ2184" s="141" t="n"/>
      <c r="BR2184" s="207" t="n"/>
      <c r="BS2184" s="207" t="n"/>
      <c r="BT2184" s="207" t="n"/>
      <c r="BU2184" s="207" t="n"/>
      <c r="BV2184" s="208" t="n"/>
      <c r="BW2184" s="207" t="n"/>
      <c r="BX2184" s="207" t="n"/>
      <c r="BY2184" s="204" t="n"/>
      <c r="BZ2184" s="148" t="n"/>
      <c r="CA2184" s="204" t="n"/>
      <c r="CB2184" s="208" t="n"/>
      <c r="CC2184" s="139" t="n"/>
      <c r="CD2184" s="204" t="n"/>
      <c r="CE2184" s="204" t="n"/>
      <c r="CF2184" s="207" t="n"/>
      <c r="CG2184" s="208" t="n"/>
      <c r="CH2184" s="207" t="n"/>
      <c r="CI2184" s="208" t="n"/>
      <c r="CJ2184" s="204" t="n"/>
      <c r="CK2184" s="208" t="n"/>
      <c r="CL2184" s="208" t="n"/>
      <c r="CM2184" s="208" t="n"/>
      <c r="CN2184" s="78" t="n"/>
      <c r="CO2184" s="209" t="n"/>
      <c r="CP2184" s="204" t="n"/>
      <c r="CQ2184" s="204" t="n"/>
      <c r="CR2184" s="204" t="n"/>
      <c r="CS2184" s="204" t="n"/>
      <c r="CT2184" s="204" t="n"/>
      <c r="CU2184" s="204" t="n"/>
      <c r="CV2184" s="204" t="n"/>
      <c r="CW2184" s="204" t="n"/>
    </row>
    <row r="2185">
      <c r="BF2185" s="78" t="n"/>
      <c r="BG2185" s="78" t="n"/>
      <c r="BH2185" s="78" t="n"/>
      <c r="BI2185" s="78" t="n"/>
      <c r="BJ2185" s="139" t="n"/>
      <c r="BK2185" s="204" t="n"/>
      <c r="BL2185" s="141" t="n"/>
      <c r="BM2185" s="205" t="n"/>
      <c r="BN2185" s="205" t="n"/>
      <c r="BO2185" s="206" t="n"/>
      <c r="BP2185" s="144" t="n"/>
      <c r="BQ2185" s="141" t="n"/>
      <c r="BR2185" s="207" t="n"/>
      <c r="BS2185" s="207" t="n"/>
      <c r="BT2185" s="207" t="n"/>
      <c r="BU2185" s="207" t="n"/>
      <c r="BV2185" s="208" t="n"/>
      <c r="BW2185" s="207" t="n"/>
      <c r="BX2185" s="207" t="n"/>
      <c r="BY2185" s="204" t="n"/>
      <c r="BZ2185" s="148" t="n"/>
      <c r="CA2185" s="204" t="n"/>
      <c r="CB2185" s="208" t="n"/>
      <c r="CC2185" s="139" t="n"/>
      <c r="CD2185" s="204" t="n"/>
      <c r="CE2185" s="204" t="n"/>
      <c r="CF2185" s="207" t="n"/>
      <c r="CG2185" s="208" t="n"/>
      <c r="CH2185" s="207" t="n"/>
      <c r="CI2185" s="208" t="n"/>
      <c r="CJ2185" s="204" t="n"/>
      <c r="CK2185" s="208" t="n"/>
      <c r="CL2185" s="208" t="n"/>
      <c r="CM2185" s="208" t="n"/>
      <c r="CN2185" s="78" t="n"/>
      <c r="CO2185" s="209" t="n"/>
      <c r="CP2185" s="204" t="n"/>
      <c r="CQ2185" s="204" t="n"/>
      <c r="CR2185" s="204" t="n"/>
      <c r="CS2185" s="204" t="n"/>
      <c r="CT2185" s="204" t="n"/>
      <c r="CU2185" s="204" t="n"/>
      <c r="CV2185" s="204" t="n"/>
      <c r="CW2185" s="204" t="n"/>
    </row>
    <row r="2186">
      <c r="BF2186" s="78" t="n"/>
      <c r="BG2186" s="78" t="n"/>
      <c r="BH2186" s="78" t="n"/>
      <c r="BI2186" s="78" t="n"/>
      <c r="BJ2186" s="139" t="n"/>
      <c r="BK2186" s="204" t="n"/>
      <c r="BL2186" s="141" t="n"/>
      <c r="BM2186" s="205" t="n"/>
      <c r="BN2186" s="205" t="n"/>
      <c r="BO2186" s="206" t="n"/>
      <c r="BP2186" s="144" t="n"/>
      <c r="BQ2186" s="141" t="n"/>
      <c r="BR2186" s="207" t="n"/>
      <c r="BS2186" s="207" t="n"/>
      <c r="BT2186" s="207" t="n"/>
      <c r="BU2186" s="207" t="n"/>
      <c r="BV2186" s="208" t="n"/>
      <c r="BW2186" s="207" t="n"/>
      <c r="BX2186" s="207" t="n"/>
      <c r="BY2186" s="204" t="n"/>
      <c r="BZ2186" s="148" t="n"/>
      <c r="CA2186" s="204" t="n"/>
      <c r="CB2186" s="208" t="n"/>
      <c r="CC2186" s="139" t="n"/>
      <c r="CD2186" s="204" t="n"/>
      <c r="CE2186" s="204" t="n"/>
      <c r="CF2186" s="207" t="n"/>
      <c r="CG2186" s="208" t="n"/>
      <c r="CH2186" s="207" t="n"/>
      <c r="CI2186" s="208" t="n"/>
      <c r="CJ2186" s="204" t="n"/>
      <c r="CK2186" s="208" t="n"/>
      <c r="CL2186" s="208" t="n"/>
      <c r="CM2186" s="208" t="n"/>
      <c r="CN2186" s="78" t="n"/>
      <c r="CO2186" s="209" t="n"/>
      <c r="CP2186" s="204" t="n"/>
      <c r="CQ2186" s="204" t="n"/>
      <c r="CR2186" s="204" t="n"/>
      <c r="CS2186" s="204" t="n"/>
      <c r="CT2186" s="204" t="n"/>
      <c r="CU2186" s="204" t="n"/>
      <c r="CV2186" s="204" t="n"/>
      <c r="CW2186" s="204" t="n"/>
    </row>
    <row r="2187">
      <c r="BF2187" s="78" t="n"/>
      <c r="BG2187" s="78" t="n"/>
      <c r="BH2187" s="78" t="n"/>
      <c r="BI2187" s="78" t="n"/>
      <c r="BJ2187" s="139" t="n"/>
      <c r="BK2187" s="204" t="n"/>
      <c r="BL2187" s="141" t="n"/>
      <c r="BM2187" s="205" t="n"/>
      <c r="BN2187" s="205" t="n"/>
      <c r="BO2187" s="206" t="n"/>
      <c r="BP2187" s="144" t="n"/>
      <c r="BQ2187" s="141" t="n"/>
      <c r="BR2187" s="207" t="n"/>
      <c r="BS2187" s="207" t="n"/>
      <c r="BT2187" s="207" t="n"/>
      <c r="BU2187" s="207" t="n"/>
      <c r="BV2187" s="208" t="n"/>
      <c r="BW2187" s="207" t="n"/>
      <c r="BX2187" s="207" t="n"/>
      <c r="BY2187" s="204" t="n"/>
      <c r="BZ2187" s="148" t="n"/>
      <c r="CA2187" s="204" t="n"/>
      <c r="CB2187" s="208" t="n"/>
      <c r="CC2187" s="139" t="n"/>
      <c r="CD2187" s="204" t="n"/>
      <c r="CE2187" s="204" t="n"/>
      <c r="CF2187" s="207" t="n"/>
      <c r="CG2187" s="208" t="n"/>
      <c r="CH2187" s="207" t="n"/>
      <c r="CI2187" s="208" t="n"/>
      <c r="CJ2187" s="204" t="n"/>
      <c r="CK2187" s="208" t="n"/>
      <c r="CL2187" s="208" t="n"/>
      <c r="CM2187" s="208" t="n"/>
      <c r="CN2187" s="78" t="n"/>
      <c r="CO2187" s="209" t="n"/>
      <c r="CP2187" s="204" t="n"/>
      <c r="CQ2187" s="204" t="n"/>
      <c r="CR2187" s="204" t="n"/>
      <c r="CS2187" s="204" t="n"/>
      <c r="CT2187" s="204" t="n"/>
      <c r="CU2187" s="204" t="n"/>
      <c r="CV2187" s="204" t="n"/>
      <c r="CW2187" s="204" t="n"/>
    </row>
    <row r="2188">
      <c r="BF2188" s="78" t="n"/>
      <c r="BG2188" s="78" t="n"/>
      <c r="BH2188" s="78" t="n"/>
      <c r="BI2188" s="78" t="n"/>
      <c r="BJ2188" s="139" t="n"/>
      <c r="BK2188" s="204" t="n"/>
      <c r="BL2188" s="141" t="n"/>
      <c r="BM2188" s="205" t="n"/>
      <c r="BN2188" s="205" t="n"/>
      <c r="BO2188" s="206" t="n"/>
      <c r="BP2188" s="144" t="n"/>
      <c r="BQ2188" s="141" t="n"/>
      <c r="BR2188" s="207" t="n"/>
      <c r="BS2188" s="207" t="n"/>
      <c r="BT2188" s="207" t="n"/>
      <c r="BU2188" s="207" t="n"/>
      <c r="BV2188" s="208" t="n"/>
      <c r="BW2188" s="207" t="n"/>
      <c r="BX2188" s="207" t="n"/>
      <c r="BY2188" s="204" t="n"/>
      <c r="BZ2188" s="148" t="n"/>
      <c r="CA2188" s="204" t="n"/>
      <c r="CB2188" s="208" t="n"/>
      <c r="CC2188" s="139" t="n"/>
      <c r="CD2188" s="204" t="n"/>
      <c r="CE2188" s="204" t="n"/>
      <c r="CF2188" s="207" t="n"/>
      <c r="CG2188" s="208" t="n"/>
      <c r="CH2188" s="207" t="n"/>
      <c r="CI2188" s="208" t="n"/>
      <c r="CJ2188" s="204" t="n"/>
      <c r="CK2188" s="208" t="n"/>
      <c r="CL2188" s="208" t="n"/>
      <c r="CM2188" s="208" t="n"/>
      <c r="CN2188" s="78" t="n"/>
      <c r="CO2188" s="209" t="n"/>
      <c r="CP2188" s="204" t="n"/>
      <c r="CQ2188" s="204" t="n"/>
      <c r="CR2188" s="204" t="n"/>
      <c r="CS2188" s="204" t="n"/>
      <c r="CT2188" s="204" t="n"/>
      <c r="CU2188" s="204" t="n"/>
      <c r="CV2188" s="204" t="n"/>
      <c r="CW2188" s="204" t="n"/>
    </row>
    <row r="2189">
      <c r="BF2189" s="78" t="n"/>
      <c r="BG2189" s="78" t="n"/>
      <c r="BH2189" s="78" t="n"/>
      <c r="BI2189" s="78" t="n"/>
      <c r="BJ2189" s="139" t="n"/>
      <c r="BK2189" s="204" t="n"/>
      <c r="BL2189" s="141" t="n"/>
      <c r="BM2189" s="205" t="n"/>
      <c r="BN2189" s="205" t="n"/>
      <c r="BO2189" s="206" t="n"/>
      <c r="BP2189" s="144" t="n"/>
      <c r="BQ2189" s="141" t="n"/>
      <c r="BR2189" s="207" t="n"/>
      <c r="BS2189" s="207" t="n"/>
      <c r="BT2189" s="207" t="n"/>
      <c r="BU2189" s="207" t="n"/>
      <c r="BV2189" s="208" t="n"/>
      <c r="BW2189" s="207" t="n"/>
      <c r="BX2189" s="207" t="n"/>
      <c r="BY2189" s="204" t="n"/>
      <c r="BZ2189" s="148" t="n"/>
      <c r="CA2189" s="204" t="n"/>
      <c r="CB2189" s="208" t="n"/>
      <c r="CC2189" s="139" t="n"/>
      <c r="CD2189" s="204" t="n"/>
      <c r="CE2189" s="204" t="n"/>
      <c r="CF2189" s="207" t="n"/>
      <c r="CG2189" s="208" t="n"/>
      <c r="CH2189" s="207" t="n"/>
      <c r="CI2189" s="208" t="n"/>
      <c r="CJ2189" s="204" t="n"/>
      <c r="CK2189" s="208" t="n"/>
      <c r="CL2189" s="208" t="n"/>
      <c r="CM2189" s="208" t="n"/>
      <c r="CN2189" s="78" t="n"/>
      <c r="CO2189" s="209" t="n"/>
      <c r="CP2189" s="204" t="n"/>
      <c r="CQ2189" s="204" t="n"/>
      <c r="CR2189" s="204" t="n"/>
      <c r="CS2189" s="204" t="n"/>
      <c r="CT2189" s="204" t="n"/>
      <c r="CU2189" s="204" t="n"/>
      <c r="CV2189" s="204" t="n"/>
      <c r="CW2189" s="204" t="n"/>
    </row>
    <row r="2190">
      <c r="BF2190" s="78" t="n"/>
      <c r="BG2190" s="78" t="n"/>
      <c r="BH2190" s="78" t="n"/>
      <c r="BI2190" s="78" t="n"/>
      <c r="BJ2190" s="139" t="n"/>
      <c r="BK2190" s="204" t="n"/>
      <c r="BL2190" s="141" t="n"/>
      <c r="BM2190" s="205" t="n"/>
      <c r="BN2190" s="205" t="n"/>
      <c r="BO2190" s="206" t="n"/>
      <c r="BP2190" s="144" t="n"/>
      <c r="BQ2190" s="141" t="n"/>
      <c r="BR2190" s="207" t="n"/>
      <c r="BS2190" s="207" t="n"/>
      <c r="BT2190" s="207" t="n"/>
      <c r="BU2190" s="207" t="n"/>
      <c r="BV2190" s="208" t="n"/>
      <c r="BW2190" s="207" t="n"/>
      <c r="BX2190" s="207" t="n"/>
      <c r="BY2190" s="204" t="n"/>
      <c r="BZ2190" s="148" t="n"/>
      <c r="CA2190" s="204" t="n"/>
      <c r="CB2190" s="208" t="n"/>
      <c r="CC2190" s="139" t="n"/>
      <c r="CD2190" s="204" t="n"/>
      <c r="CE2190" s="204" t="n"/>
      <c r="CF2190" s="207" t="n"/>
      <c r="CG2190" s="208" t="n"/>
      <c r="CH2190" s="207" t="n"/>
      <c r="CI2190" s="208" t="n"/>
      <c r="CJ2190" s="204" t="n"/>
      <c r="CK2190" s="208" t="n"/>
      <c r="CL2190" s="208" t="n"/>
      <c r="CM2190" s="208" t="n"/>
      <c r="CN2190" s="78" t="n"/>
      <c r="CO2190" s="209" t="n"/>
      <c r="CP2190" s="204" t="n"/>
      <c r="CQ2190" s="204" t="n"/>
      <c r="CR2190" s="204" t="n"/>
      <c r="CS2190" s="204" t="n"/>
      <c r="CT2190" s="204" t="n"/>
      <c r="CU2190" s="204" t="n"/>
      <c r="CV2190" s="204" t="n"/>
      <c r="CW2190" s="204" t="n"/>
    </row>
    <row r="2191">
      <c r="BF2191" s="78" t="n"/>
      <c r="BG2191" s="78" t="n"/>
      <c r="BH2191" s="78" t="n"/>
      <c r="BI2191" s="78" t="n"/>
      <c r="BJ2191" s="139" t="n"/>
      <c r="BK2191" s="204" t="n"/>
      <c r="BL2191" s="141" t="n"/>
      <c r="BM2191" s="205" t="n"/>
      <c r="BN2191" s="205" t="n"/>
      <c r="BO2191" s="206" t="n"/>
      <c r="BP2191" s="144" t="n"/>
      <c r="BQ2191" s="141" t="n"/>
      <c r="BR2191" s="207" t="n"/>
      <c r="BS2191" s="207" t="n"/>
      <c r="BT2191" s="207" t="n"/>
      <c r="BU2191" s="207" t="n"/>
      <c r="BV2191" s="208" t="n"/>
      <c r="BW2191" s="207" t="n"/>
      <c r="BX2191" s="207" t="n"/>
      <c r="BY2191" s="204" t="n"/>
      <c r="BZ2191" s="148" t="n"/>
      <c r="CA2191" s="204" t="n"/>
      <c r="CB2191" s="208" t="n"/>
      <c r="CC2191" s="139" t="n"/>
      <c r="CD2191" s="204" t="n"/>
      <c r="CE2191" s="204" t="n"/>
      <c r="CF2191" s="207" t="n"/>
      <c r="CG2191" s="208" t="n"/>
      <c r="CH2191" s="207" t="n"/>
      <c r="CI2191" s="208" t="n"/>
      <c r="CJ2191" s="204" t="n"/>
      <c r="CK2191" s="208" t="n"/>
      <c r="CL2191" s="208" t="n"/>
      <c r="CM2191" s="208" t="n"/>
      <c r="CN2191" s="78" t="n"/>
      <c r="CO2191" s="209" t="n"/>
      <c r="CP2191" s="204" t="n"/>
      <c r="CQ2191" s="204" t="n"/>
      <c r="CR2191" s="204" t="n"/>
      <c r="CS2191" s="204" t="n"/>
      <c r="CT2191" s="204" t="n"/>
      <c r="CU2191" s="204" t="n"/>
      <c r="CV2191" s="204" t="n"/>
      <c r="CW2191" s="204" t="n"/>
    </row>
    <row r="2192">
      <c r="BF2192" s="78" t="n"/>
      <c r="BG2192" s="78" t="n"/>
      <c r="BH2192" s="78" t="n"/>
      <c r="BI2192" s="78" t="n"/>
      <c r="BJ2192" s="139" t="n"/>
      <c r="BK2192" s="204" t="n"/>
      <c r="BL2192" s="141" t="n"/>
      <c r="BM2192" s="205" t="n"/>
      <c r="BN2192" s="205" t="n"/>
      <c r="BO2192" s="206" t="n"/>
      <c r="BP2192" s="144" t="n"/>
      <c r="BQ2192" s="141" t="n"/>
      <c r="BR2192" s="207" t="n"/>
      <c r="BS2192" s="207" t="n"/>
      <c r="BT2192" s="207" t="n"/>
      <c r="BU2192" s="207" t="n"/>
      <c r="BV2192" s="208" t="n"/>
      <c r="BW2192" s="207" t="n"/>
      <c r="BX2192" s="207" t="n"/>
      <c r="BY2192" s="204" t="n"/>
      <c r="BZ2192" s="148" t="n"/>
      <c r="CA2192" s="204" t="n"/>
      <c r="CB2192" s="208" t="n"/>
      <c r="CC2192" s="139" t="n"/>
      <c r="CD2192" s="204" t="n"/>
      <c r="CE2192" s="204" t="n"/>
      <c r="CF2192" s="207" t="n"/>
      <c r="CG2192" s="208" t="n"/>
      <c r="CH2192" s="207" t="n"/>
      <c r="CI2192" s="208" t="n"/>
      <c r="CJ2192" s="204" t="n"/>
      <c r="CK2192" s="208" t="n"/>
      <c r="CL2192" s="208" t="n"/>
      <c r="CM2192" s="208" t="n"/>
      <c r="CN2192" s="78" t="n"/>
      <c r="CO2192" s="209" t="n"/>
      <c r="CP2192" s="204" t="n"/>
      <c r="CQ2192" s="204" t="n"/>
      <c r="CR2192" s="204" t="n"/>
      <c r="CS2192" s="204" t="n"/>
      <c r="CT2192" s="204" t="n"/>
      <c r="CU2192" s="204" t="n"/>
      <c r="CV2192" s="204" t="n"/>
      <c r="CW2192" s="204" t="n"/>
    </row>
    <row r="2193">
      <c r="BF2193" s="78" t="n"/>
      <c r="BG2193" s="78" t="n"/>
      <c r="BH2193" s="78" t="n"/>
      <c r="BI2193" s="78" t="n"/>
      <c r="BJ2193" s="139" t="n"/>
      <c r="BK2193" s="204" t="n"/>
      <c r="BL2193" s="141" t="n"/>
      <c r="BM2193" s="205" t="n"/>
      <c r="BN2193" s="205" t="n"/>
      <c r="BO2193" s="206" t="n"/>
      <c r="BP2193" s="144" t="n"/>
      <c r="BQ2193" s="141" t="n"/>
      <c r="BR2193" s="207" t="n"/>
      <c r="BS2193" s="207" t="n"/>
      <c r="BT2193" s="207" t="n"/>
      <c r="BU2193" s="207" t="n"/>
      <c r="BV2193" s="208" t="n"/>
      <c r="BW2193" s="207" t="n"/>
      <c r="BX2193" s="207" t="n"/>
      <c r="BY2193" s="204" t="n"/>
      <c r="BZ2193" s="148" t="n"/>
      <c r="CA2193" s="204" t="n"/>
      <c r="CB2193" s="208" t="n"/>
      <c r="CC2193" s="139" t="n"/>
      <c r="CD2193" s="204" t="n"/>
      <c r="CE2193" s="204" t="n"/>
      <c r="CF2193" s="207" t="n"/>
      <c r="CG2193" s="208" t="n"/>
      <c r="CH2193" s="207" t="n"/>
      <c r="CI2193" s="208" t="n"/>
      <c r="CJ2193" s="204" t="n"/>
      <c r="CK2193" s="208" t="n"/>
      <c r="CL2193" s="208" t="n"/>
      <c r="CM2193" s="208" t="n"/>
      <c r="CN2193" s="78" t="n"/>
      <c r="CO2193" s="209" t="n"/>
      <c r="CP2193" s="204" t="n"/>
      <c r="CQ2193" s="204" t="n"/>
      <c r="CR2193" s="204" t="n"/>
      <c r="CS2193" s="204" t="n"/>
      <c r="CT2193" s="204" t="n"/>
      <c r="CU2193" s="204" t="n"/>
      <c r="CV2193" s="204" t="n"/>
      <c r="CW2193" s="204" t="n"/>
    </row>
    <row r="2194">
      <c r="BF2194" s="78" t="n"/>
      <c r="BG2194" s="78" t="n"/>
      <c r="BH2194" s="78" t="n"/>
      <c r="BI2194" s="78" t="n"/>
      <c r="BJ2194" s="139" t="n"/>
      <c r="BK2194" s="204" t="n"/>
      <c r="BL2194" s="141" t="n"/>
      <c r="BM2194" s="205" t="n"/>
      <c r="BN2194" s="205" t="n"/>
      <c r="BO2194" s="206" t="n"/>
      <c r="BP2194" s="144" t="n"/>
      <c r="BQ2194" s="141" t="n"/>
      <c r="BR2194" s="207" t="n"/>
      <c r="BS2194" s="207" t="n"/>
      <c r="BT2194" s="207" t="n"/>
      <c r="BU2194" s="207" t="n"/>
      <c r="BV2194" s="208" t="n"/>
      <c r="BW2194" s="207" t="n"/>
      <c r="BX2194" s="207" t="n"/>
      <c r="BY2194" s="204" t="n"/>
      <c r="BZ2194" s="148" t="n"/>
      <c r="CA2194" s="204" t="n"/>
      <c r="CB2194" s="208" t="n"/>
      <c r="CC2194" s="139" t="n"/>
      <c r="CD2194" s="204" t="n"/>
      <c r="CE2194" s="204" t="n"/>
      <c r="CF2194" s="207" t="n"/>
      <c r="CG2194" s="208" t="n"/>
      <c r="CH2194" s="207" t="n"/>
      <c r="CI2194" s="208" t="n"/>
      <c r="CJ2194" s="204" t="n"/>
      <c r="CK2194" s="208" t="n"/>
      <c r="CL2194" s="208" t="n"/>
      <c r="CM2194" s="208" t="n"/>
      <c r="CN2194" s="78" t="n"/>
      <c r="CO2194" s="209" t="n"/>
      <c r="CP2194" s="204" t="n"/>
      <c r="CQ2194" s="204" t="n"/>
      <c r="CR2194" s="204" t="n"/>
      <c r="CS2194" s="204" t="n"/>
      <c r="CT2194" s="204" t="n"/>
      <c r="CU2194" s="204" t="n"/>
      <c r="CV2194" s="204" t="n"/>
      <c r="CW2194" s="204" t="n"/>
    </row>
    <row r="2195">
      <c r="BF2195" s="78" t="n"/>
      <c r="BG2195" s="78" t="n"/>
      <c r="BH2195" s="78" t="n"/>
      <c r="BI2195" s="78" t="n"/>
      <c r="BJ2195" s="139" t="n"/>
      <c r="BK2195" s="204" t="n"/>
      <c r="BL2195" s="141" t="n"/>
      <c r="BM2195" s="205" t="n"/>
      <c r="BN2195" s="205" t="n"/>
      <c r="BO2195" s="206" t="n"/>
      <c r="BP2195" s="144" t="n"/>
      <c r="BQ2195" s="141" t="n"/>
      <c r="BR2195" s="207" t="n"/>
      <c r="BS2195" s="207" t="n"/>
      <c r="BT2195" s="207" t="n"/>
      <c r="BU2195" s="207" t="n"/>
      <c r="BV2195" s="208" t="n"/>
      <c r="BW2195" s="207" t="n"/>
      <c r="BX2195" s="207" t="n"/>
      <c r="BY2195" s="204" t="n"/>
      <c r="BZ2195" s="148" t="n"/>
      <c r="CA2195" s="204" t="n"/>
      <c r="CB2195" s="208" t="n"/>
      <c r="CC2195" s="139" t="n"/>
      <c r="CD2195" s="204" t="n"/>
      <c r="CE2195" s="204" t="n"/>
      <c r="CF2195" s="207" t="n"/>
      <c r="CG2195" s="208" t="n"/>
      <c r="CH2195" s="207" t="n"/>
      <c r="CI2195" s="208" t="n"/>
      <c r="CJ2195" s="204" t="n"/>
      <c r="CK2195" s="208" t="n"/>
      <c r="CL2195" s="208" t="n"/>
      <c r="CM2195" s="208" t="n"/>
      <c r="CN2195" s="78" t="n"/>
      <c r="CO2195" s="209" t="n"/>
      <c r="CP2195" s="204" t="n"/>
      <c r="CQ2195" s="204" t="n"/>
      <c r="CR2195" s="204" t="n"/>
      <c r="CS2195" s="204" t="n"/>
      <c r="CT2195" s="204" t="n"/>
      <c r="CU2195" s="204" t="n"/>
      <c r="CV2195" s="204" t="n"/>
      <c r="CW2195" s="204" t="n"/>
    </row>
    <row r="2196">
      <c r="BF2196" s="78" t="n"/>
      <c r="BG2196" s="78" t="n"/>
      <c r="BH2196" s="78" t="n"/>
      <c r="BI2196" s="78" t="n"/>
      <c r="BJ2196" s="139" t="n"/>
      <c r="BK2196" s="204" t="n"/>
      <c r="BL2196" s="141" t="n"/>
      <c r="BM2196" s="205" t="n"/>
      <c r="BN2196" s="205" t="n"/>
      <c r="BO2196" s="206" t="n"/>
      <c r="BP2196" s="144" t="n"/>
      <c r="BQ2196" s="141" t="n"/>
      <c r="BR2196" s="207" t="n"/>
      <c r="BS2196" s="207" t="n"/>
      <c r="BT2196" s="207" t="n"/>
      <c r="BU2196" s="207" t="n"/>
      <c r="BV2196" s="208" t="n"/>
      <c r="BW2196" s="207" t="n"/>
      <c r="BX2196" s="207" t="n"/>
      <c r="BY2196" s="204" t="n"/>
      <c r="BZ2196" s="148" t="n"/>
      <c r="CA2196" s="204" t="n"/>
      <c r="CB2196" s="208" t="n"/>
      <c r="CC2196" s="139" t="n"/>
      <c r="CD2196" s="204" t="n"/>
      <c r="CE2196" s="204" t="n"/>
      <c r="CF2196" s="207" t="n"/>
      <c r="CG2196" s="208" t="n"/>
      <c r="CH2196" s="207" t="n"/>
      <c r="CI2196" s="208" t="n"/>
      <c r="CJ2196" s="204" t="n"/>
      <c r="CK2196" s="208" t="n"/>
      <c r="CL2196" s="208" t="n"/>
      <c r="CM2196" s="208" t="n"/>
      <c r="CN2196" s="78" t="n"/>
      <c r="CO2196" s="209" t="n"/>
      <c r="CP2196" s="204" t="n"/>
      <c r="CQ2196" s="204" t="n"/>
      <c r="CR2196" s="204" t="n"/>
      <c r="CS2196" s="204" t="n"/>
      <c r="CT2196" s="204" t="n"/>
      <c r="CU2196" s="204" t="n"/>
      <c r="CV2196" s="204" t="n"/>
      <c r="CW2196" s="204" t="n"/>
    </row>
    <row r="2197">
      <c r="BF2197" s="78" t="n"/>
      <c r="BG2197" s="78" t="n"/>
      <c r="BH2197" s="78" t="n"/>
      <c r="BI2197" s="78" t="n"/>
      <c r="BJ2197" s="139" t="n"/>
      <c r="BK2197" s="204" t="n"/>
      <c r="BL2197" s="141" t="n"/>
      <c r="BM2197" s="205" t="n"/>
      <c r="BN2197" s="205" t="n"/>
      <c r="BO2197" s="206" t="n"/>
      <c r="BP2197" s="144" t="n"/>
      <c r="BQ2197" s="141" t="n"/>
      <c r="BR2197" s="207" t="n"/>
      <c r="BS2197" s="207" t="n"/>
      <c r="BT2197" s="207" t="n"/>
      <c r="BU2197" s="207" t="n"/>
      <c r="BV2197" s="208" t="n"/>
      <c r="BW2197" s="207" t="n"/>
      <c r="BX2197" s="207" t="n"/>
      <c r="BY2197" s="204" t="n"/>
      <c r="BZ2197" s="148" t="n"/>
      <c r="CA2197" s="204" t="n"/>
      <c r="CB2197" s="208" t="n"/>
      <c r="CC2197" s="139" t="n"/>
      <c r="CD2197" s="204" t="n"/>
      <c r="CE2197" s="204" t="n"/>
      <c r="CF2197" s="207" t="n"/>
      <c r="CG2197" s="208" t="n"/>
      <c r="CH2197" s="207" t="n"/>
      <c r="CI2197" s="208" t="n"/>
      <c r="CJ2197" s="204" t="n"/>
      <c r="CK2197" s="208" t="n"/>
      <c r="CL2197" s="208" t="n"/>
      <c r="CM2197" s="208" t="n"/>
      <c r="CN2197" s="78" t="n"/>
      <c r="CO2197" s="209" t="n"/>
      <c r="CP2197" s="204" t="n"/>
      <c r="CQ2197" s="204" t="n"/>
      <c r="CR2197" s="204" t="n"/>
      <c r="CS2197" s="204" t="n"/>
      <c r="CT2197" s="204" t="n"/>
      <c r="CU2197" s="204" t="n"/>
      <c r="CV2197" s="204" t="n"/>
      <c r="CW2197" s="204" t="n"/>
    </row>
    <row r="2198">
      <c r="BF2198" s="78" t="n"/>
      <c r="BG2198" s="78" t="n"/>
      <c r="BH2198" s="78" t="n"/>
      <c r="BI2198" s="78" t="n"/>
      <c r="BJ2198" s="139" t="n"/>
      <c r="BK2198" s="204" t="n"/>
      <c r="BL2198" s="141" t="n"/>
      <c r="BM2198" s="205" t="n"/>
      <c r="BN2198" s="205" t="n"/>
      <c r="BO2198" s="206" t="n"/>
      <c r="BP2198" s="144" t="n"/>
      <c r="BQ2198" s="141" t="n"/>
      <c r="BR2198" s="207" t="n"/>
      <c r="BS2198" s="207" t="n"/>
      <c r="BT2198" s="207" t="n"/>
      <c r="BU2198" s="207" t="n"/>
      <c r="BV2198" s="208" t="n"/>
      <c r="BW2198" s="207" t="n"/>
      <c r="BX2198" s="207" t="n"/>
      <c r="BY2198" s="204" t="n"/>
      <c r="BZ2198" s="148" t="n"/>
      <c r="CA2198" s="204" t="n"/>
      <c r="CB2198" s="208" t="n"/>
      <c r="CC2198" s="139" t="n"/>
      <c r="CD2198" s="204" t="n"/>
      <c r="CE2198" s="204" t="n"/>
      <c r="CF2198" s="207" t="n"/>
      <c r="CG2198" s="208" t="n"/>
      <c r="CH2198" s="207" t="n"/>
      <c r="CI2198" s="208" t="n"/>
      <c r="CJ2198" s="204" t="n"/>
      <c r="CK2198" s="208" t="n"/>
      <c r="CL2198" s="208" t="n"/>
      <c r="CM2198" s="208" t="n"/>
      <c r="CN2198" s="78" t="n"/>
      <c r="CO2198" s="209" t="n"/>
      <c r="CP2198" s="204" t="n"/>
      <c r="CQ2198" s="204" t="n"/>
      <c r="CR2198" s="204" t="n"/>
      <c r="CS2198" s="204" t="n"/>
      <c r="CT2198" s="204" t="n"/>
      <c r="CU2198" s="204" t="n"/>
      <c r="CV2198" s="204" t="n"/>
      <c r="CW2198" s="204" t="n"/>
    </row>
    <row r="2199">
      <c r="BF2199" s="78" t="n"/>
      <c r="BG2199" s="78" t="n"/>
      <c r="BH2199" s="78" t="n"/>
      <c r="BI2199" s="78" t="n"/>
      <c r="BJ2199" s="139" t="n"/>
      <c r="BK2199" s="204" t="n"/>
      <c r="BL2199" s="141" t="n"/>
      <c r="BM2199" s="205" t="n"/>
      <c r="BN2199" s="205" t="n"/>
      <c r="BO2199" s="206" t="n"/>
      <c r="BP2199" s="144" t="n"/>
      <c r="BQ2199" s="141" t="n"/>
      <c r="BR2199" s="207" t="n"/>
      <c r="BS2199" s="207" t="n"/>
      <c r="BT2199" s="207" t="n"/>
      <c r="BU2199" s="207" t="n"/>
      <c r="BV2199" s="208" t="n"/>
      <c r="BW2199" s="207" t="n"/>
      <c r="BX2199" s="207" t="n"/>
      <c r="BY2199" s="204" t="n"/>
      <c r="BZ2199" s="148" t="n"/>
      <c r="CA2199" s="204" t="n"/>
      <c r="CB2199" s="208" t="n"/>
      <c r="CC2199" s="139" t="n"/>
      <c r="CD2199" s="204" t="n"/>
      <c r="CE2199" s="204" t="n"/>
      <c r="CF2199" s="207" t="n"/>
      <c r="CG2199" s="208" t="n"/>
      <c r="CH2199" s="207" t="n"/>
      <c r="CI2199" s="208" t="n"/>
      <c r="CJ2199" s="204" t="n"/>
      <c r="CK2199" s="208" t="n"/>
      <c r="CL2199" s="208" t="n"/>
      <c r="CM2199" s="208" t="n"/>
      <c r="CN2199" s="78" t="n"/>
      <c r="CO2199" s="209" t="n"/>
      <c r="CP2199" s="204" t="n"/>
      <c r="CQ2199" s="204" t="n"/>
      <c r="CR2199" s="204" t="n"/>
      <c r="CS2199" s="204" t="n"/>
      <c r="CT2199" s="204" t="n"/>
      <c r="CU2199" s="204" t="n"/>
      <c r="CV2199" s="204" t="n"/>
      <c r="CW2199" s="204" t="n"/>
    </row>
    <row r="2200">
      <c r="BF2200" s="78" t="n"/>
      <c r="BG2200" s="78" t="n"/>
      <c r="BH2200" s="78" t="n"/>
      <c r="BI2200" s="78" t="n"/>
      <c r="BJ2200" s="139" t="n"/>
      <c r="BK2200" s="204" t="n"/>
      <c r="BL2200" s="141" t="n"/>
      <c r="BM2200" s="205" t="n"/>
      <c r="BN2200" s="205" t="n"/>
      <c r="BO2200" s="206" t="n"/>
      <c r="BP2200" s="144" t="n"/>
      <c r="BQ2200" s="141" t="n"/>
      <c r="BR2200" s="207" t="n"/>
      <c r="BS2200" s="207" t="n"/>
      <c r="BT2200" s="207" t="n"/>
      <c r="BU2200" s="207" t="n"/>
      <c r="BV2200" s="208" t="n"/>
      <c r="BW2200" s="207" t="n"/>
      <c r="BX2200" s="207" t="n"/>
      <c r="BY2200" s="204" t="n"/>
      <c r="BZ2200" s="148" t="n"/>
      <c r="CA2200" s="204" t="n"/>
      <c r="CB2200" s="208" t="n"/>
      <c r="CC2200" s="139" t="n"/>
      <c r="CD2200" s="204" t="n"/>
      <c r="CE2200" s="204" t="n"/>
      <c r="CF2200" s="207" t="n"/>
      <c r="CG2200" s="208" t="n"/>
      <c r="CH2200" s="207" t="n"/>
      <c r="CI2200" s="208" t="n"/>
      <c r="CJ2200" s="204" t="n"/>
      <c r="CK2200" s="208" t="n"/>
      <c r="CL2200" s="208" t="n"/>
      <c r="CM2200" s="208" t="n"/>
      <c r="CN2200" s="78" t="n"/>
      <c r="CO2200" s="209" t="n"/>
      <c r="CP2200" s="204" t="n"/>
      <c r="CQ2200" s="204" t="n"/>
      <c r="CR2200" s="204" t="n"/>
      <c r="CS2200" s="204" t="n"/>
      <c r="CT2200" s="204" t="n"/>
      <c r="CU2200" s="204" t="n"/>
      <c r="CV2200" s="204" t="n"/>
      <c r="CW2200" s="204" t="n"/>
    </row>
    <row r="2201">
      <c r="BF2201" s="78" t="n"/>
      <c r="BG2201" s="78" t="n"/>
      <c r="BH2201" s="78" t="n"/>
      <c r="BI2201" s="78" t="n"/>
      <c r="BJ2201" s="139" t="n"/>
      <c r="BK2201" s="204" t="n"/>
      <c r="BL2201" s="141" t="n"/>
      <c r="BM2201" s="205" t="n"/>
      <c r="BN2201" s="205" t="n"/>
      <c r="BO2201" s="206" t="n"/>
      <c r="BP2201" s="144" t="n"/>
      <c r="BQ2201" s="141" t="n"/>
      <c r="BR2201" s="207" t="n"/>
      <c r="BS2201" s="207" t="n"/>
      <c r="BT2201" s="207" t="n"/>
      <c r="BU2201" s="207" t="n"/>
      <c r="BV2201" s="208" t="n"/>
      <c r="BW2201" s="207" t="n"/>
      <c r="BX2201" s="207" t="n"/>
      <c r="BY2201" s="204" t="n"/>
      <c r="BZ2201" s="148" t="n"/>
      <c r="CA2201" s="204" t="n"/>
      <c r="CB2201" s="208" t="n"/>
      <c r="CC2201" s="139" t="n"/>
      <c r="CD2201" s="204" t="n"/>
      <c r="CE2201" s="204" t="n"/>
      <c r="CF2201" s="207" t="n"/>
      <c r="CG2201" s="208" t="n"/>
      <c r="CH2201" s="207" t="n"/>
      <c r="CI2201" s="208" t="n"/>
      <c r="CJ2201" s="204" t="n"/>
      <c r="CK2201" s="208" t="n"/>
      <c r="CL2201" s="208" t="n"/>
      <c r="CM2201" s="208" t="n"/>
      <c r="CN2201" s="78" t="n"/>
      <c r="CO2201" s="209" t="n"/>
      <c r="CP2201" s="204" t="n"/>
      <c r="CQ2201" s="204" t="n"/>
      <c r="CR2201" s="204" t="n"/>
      <c r="CS2201" s="204" t="n"/>
      <c r="CT2201" s="204" t="n"/>
      <c r="CU2201" s="204" t="n"/>
      <c r="CV2201" s="204" t="n"/>
      <c r="CW2201" s="204" t="n"/>
    </row>
    <row r="2202">
      <c r="BF2202" s="78" t="n"/>
      <c r="BG2202" s="78" t="n"/>
      <c r="BH2202" s="78" t="n"/>
      <c r="BI2202" s="78" t="n"/>
      <c r="BJ2202" s="139" t="n"/>
      <c r="BK2202" s="204" t="n"/>
      <c r="BL2202" s="141" t="n"/>
      <c r="BM2202" s="205" t="n"/>
      <c r="BN2202" s="205" t="n"/>
      <c r="BO2202" s="206" t="n"/>
      <c r="BP2202" s="144" t="n"/>
      <c r="BQ2202" s="141" t="n"/>
      <c r="BR2202" s="207" t="n"/>
      <c r="BS2202" s="207" t="n"/>
      <c r="BT2202" s="207" t="n"/>
      <c r="BU2202" s="207" t="n"/>
      <c r="BV2202" s="208" t="n"/>
      <c r="BW2202" s="207" t="n"/>
      <c r="BX2202" s="207" t="n"/>
      <c r="BY2202" s="204" t="n"/>
      <c r="BZ2202" s="148" t="n"/>
      <c r="CA2202" s="204" t="n"/>
      <c r="CB2202" s="208" t="n"/>
      <c r="CC2202" s="139" t="n"/>
      <c r="CD2202" s="204" t="n"/>
      <c r="CE2202" s="204" t="n"/>
      <c r="CF2202" s="207" t="n"/>
      <c r="CG2202" s="208" t="n"/>
      <c r="CH2202" s="207" t="n"/>
      <c r="CI2202" s="208" t="n"/>
      <c r="CJ2202" s="204" t="n"/>
      <c r="CK2202" s="208" t="n"/>
      <c r="CL2202" s="208" t="n"/>
      <c r="CM2202" s="208" t="n"/>
      <c r="CN2202" s="78" t="n"/>
      <c r="CO2202" s="209" t="n"/>
      <c r="CP2202" s="204" t="n"/>
      <c r="CQ2202" s="204" t="n"/>
      <c r="CR2202" s="204" t="n"/>
      <c r="CS2202" s="204" t="n"/>
      <c r="CT2202" s="204" t="n"/>
      <c r="CU2202" s="204" t="n"/>
      <c r="CV2202" s="204" t="n"/>
      <c r="CW2202" s="204" t="n"/>
    </row>
    <row r="2203">
      <c r="BF2203" s="78" t="n"/>
      <c r="BG2203" s="78" t="n"/>
      <c r="BH2203" s="78" t="n"/>
      <c r="BI2203" s="78" t="n"/>
      <c r="BJ2203" s="139" t="n"/>
      <c r="BK2203" s="204" t="n"/>
      <c r="BL2203" s="141" t="n"/>
      <c r="BM2203" s="205" t="n"/>
      <c r="BN2203" s="205" t="n"/>
      <c r="BO2203" s="206" t="n"/>
      <c r="BP2203" s="144" t="n"/>
      <c r="BQ2203" s="141" t="n"/>
      <c r="BR2203" s="207" t="n"/>
      <c r="BS2203" s="207" t="n"/>
      <c r="BT2203" s="207" t="n"/>
      <c r="BU2203" s="207" t="n"/>
      <c r="BV2203" s="208" t="n"/>
      <c r="BW2203" s="207" t="n"/>
      <c r="BX2203" s="207" t="n"/>
      <c r="BY2203" s="204" t="n"/>
      <c r="BZ2203" s="148" t="n"/>
      <c r="CA2203" s="204" t="n"/>
      <c r="CB2203" s="208" t="n"/>
      <c r="CC2203" s="139" t="n"/>
      <c r="CD2203" s="204" t="n"/>
      <c r="CE2203" s="204" t="n"/>
      <c r="CF2203" s="207" t="n"/>
      <c r="CG2203" s="208" t="n"/>
      <c r="CH2203" s="207" t="n"/>
      <c r="CI2203" s="208" t="n"/>
      <c r="CJ2203" s="204" t="n"/>
      <c r="CK2203" s="208" t="n"/>
      <c r="CL2203" s="208" t="n"/>
      <c r="CM2203" s="208" t="n"/>
      <c r="CN2203" s="78" t="n"/>
      <c r="CO2203" s="209" t="n"/>
      <c r="CP2203" s="204" t="n"/>
      <c r="CQ2203" s="204" t="n"/>
      <c r="CR2203" s="204" t="n"/>
      <c r="CS2203" s="204" t="n"/>
      <c r="CT2203" s="204" t="n"/>
      <c r="CU2203" s="204" t="n"/>
      <c r="CV2203" s="204" t="n"/>
      <c r="CW2203" s="204" t="n"/>
    </row>
    <row r="2204">
      <c r="BF2204" s="78" t="n"/>
      <c r="BG2204" s="78" t="n"/>
      <c r="BH2204" s="78" t="n"/>
      <c r="BI2204" s="78" t="n"/>
      <c r="BJ2204" s="139" t="n"/>
      <c r="BK2204" s="204" t="n"/>
      <c r="BL2204" s="141" t="n"/>
      <c r="BM2204" s="205" t="n"/>
      <c r="BN2204" s="205" t="n"/>
      <c r="BO2204" s="206" t="n"/>
      <c r="BP2204" s="144" t="n"/>
      <c r="BQ2204" s="141" t="n"/>
      <c r="BR2204" s="207" t="n"/>
      <c r="BS2204" s="207" t="n"/>
      <c r="BT2204" s="207" t="n"/>
      <c r="BU2204" s="207" t="n"/>
      <c r="BV2204" s="208" t="n"/>
      <c r="BW2204" s="207" t="n"/>
      <c r="BX2204" s="207" t="n"/>
      <c r="BY2204" s="204" t="n"/>
      <c r="BZ2204" s="148" t="n"/>
      <c r="CA2204" s="204" t="n"/>
      <c r="CB2204" s="208" t="n"/>
      <c r="CC2204" s="139" t="n"/>
      <c r="CD2204" s="204" t="n"/>
      <c r="CE2204" s="204" t="n"/>
      <c r="CF2204" s="207" t="n"/>
      <c r="CG2204" s="208" t="n"/>
      <c r="CH2204" s="207" t="n"/>
      <c r="CI2204" s="208" t="n"/>
      <c r="CJ2204" s="204" t="n"/>
      <c r="CK2204" s="208" t="n"/>
      <c r="CL2204" s="208" t="n"/>
      <c r="CM2204" s="208" t="n"/>
      <c r="CN2204" s="78" t="n"/>
      <c r="CO2204" s="209" t="n"/>
      <c r="CP2204" s="204" t="n"/>
      <c r="CQ2204" s="204" t="n"/>
      <c r="CR2204" s="204" t="n"/>
      <c r="CS2204" s="204" t="n"/>
      <c r="CT2204" s="204" t="n"/>
      <c r="CU2204" s="204" t="n"/>
      <c r="CV2204" s="204" t="n"/>
      <c r="CW2204" s="204" t="n"/>
    </row>
    <row r="2205">
      <c r="BF2205" s="78" t="n"/>
      <c r="BG2205" s="78" t="n"/>
      <c r="BH2205" s="78" t="n"/>
      <c r="BI2205" s="78" t="n"/>
      <c r="BJ2205" s="139" t="n"/>
      <c r="BK2205" s="204" t="n"/>
      <c r="BL2205" s="141" t="n"/>
      <c r="BM2205" s="205" t="n"/>
      <c r="BN2205" s="205" t="n"/>
      <c r="BO2205" s="206" t="n"/>
      <c r="BP2205" s="144" t="n"/>
      <c r="BQ2205" s="141" t="n"/>
      <c r="BR2205" s="207" t="n"/>
      <c r="BS2205" s="207" t="n"/>
      <c r="BT2205" s="207" t="n"/>
      <c r="BU2205" s="207" t="n"/>
      <c r="BV2205" s="208" t="n"/>
      <c r="BW2205" s="207" t="n"/>
      <c r="BX2205" s="207" t="n"/>
      <c r="BY2205" s="204" t="n"/>
      <c r="BZ2205" s="148" t="n"/>
      <c r="CA2205" s="204" t="n"/>
      <c r="CB2205" s="208" t="n"/>
      <c r="CC2205" s="139" t="n"/>
      <c r="CD2205" s="204" t="n"/>
      <c r="CE2205" s="204" t="n"/>
      <c r="CF2205" s="207" t="n"/>
      <c r="CG2205" s="208" t="n"/>
      <c r="CH2205" s="207" t="n"/>
      <c r="CI2205" s="208" t="n"/>
      <c r="CJ2205" s="204" t="n"/>
      <c r="CK2205" s="208" t="n"/>
      <c r="CL2205" s="208" t="n"/>
      <c r="CM2205" s="208" t="n"/>
      <c r="CN2205" s="78" t="n"/>
      <c r="CO2205" s="209" t="n"/>
      <c r="CP2205" s="204" t="n"/>
      <c r="CQ2205" s="204" t="n"/>
      <c r="CR2205" s="204" t="n"/>
      <c r="CS2205" s="204" t="n"/>
      <c r="CT2205" s="204" t="n"/>
      <c r="CU2205" s="204" t="n"/>
      <c r="CV2205" s="204" t="n"/>
      <c r="CW2205" s="204" t="n"/>
    </row>
    <row r="2206">
      <c r="BF2206" s="78" t="n"/>
      <c r="BG2206" s="78" t="n"/>
      <c r="BH2206" s="78" t="n"/>
      <c r="BI2206" s="78" t="n"/>
      <c r="BJ2206" s="139" t="n"/>
      <c r="BK2206" s="204" t="n"/>
      <c r="BL2206" s="141" t="n"/>
      <c r="BM2206" s="205" t="n"/>
      <c r="BN2206" s="205" t="n"/>
      <c r="BO2206" s="206" t="n"/>
      <c r="BP2206" s="144" t="n"/>
      <c r="BQ2206" s="141" t="n"/>
      <c r="BR2206" s="207" t="n"/>
      <c r="BS2206" s="207" t="n"/>
      <c r="BT2206" s="207" t="n"/>
      <c r="BU2206" s="207" t="n"/>
      <c r="BV2206" s="208" t="n"/>
      <c r="BW2206" s="207" t="n"/>
      <c r="BX2206" s="207" t="n"/>
      <c r="BY2206" s="204" t="n"/>
      <c r="BZ2206" s="148" t="n"/>
      <c r="CA2206" s="204" t="n"/>
      <c r="CB2206" s="208" t="n"/>
      <c r="CC2206" s="139" t="n"/>
      <c r="CD2206" s="204" t="n"/>
      <c r="CE2206" s="204" t="n"/>
      <c r="CF2206" s="207" t="n"/>
      <c r="CG2206" s="208" t="n"/>
      <c r="CH2206" s="207" t="n"/>
      <c r="CI2206" s="208" t="n"/>
      <c r="CJ2206" s="204" t="n"/>
      <c r="CK2206" s="208" t="n"/>
      <c r="CL2206" s="208" t="n"/>
      <c r="CM2206" s="208" t="n"/>
      <c r="CN2206" s="78" t="n"/>
      <c r="CO2206" s="209" t="n"/>
      <c r="CP2206" s="204" t="n"/>
      <c r="CQ2206" s="204" t="n"/>
      <c r="CR2206" s="204" t="n"/>
      <c r="CS2206" s="204" t="n"/>
      <c r="CT2206" s="204" t="n"/>
      <c r="CU2206" s="204" t="n"/>
      <c r="CV2206" s="204" t="n"/>
      <c r="CW2206" s="204" t="n"/>
    </row>
    <row r="2207">
      <c r="BF2207" s="78" t="n"/>
      <c r="BG2207" s="78" t="n"/>
      <c r="BH2207" s="78" t="n"/>
      <c r="BI2207" s="78" t="n"/>
      <c r="BJ2207" s="139" t="n"/>
      <c r="BK2207" s="204" t="n"/>
      <c r="BL2207" s="141" t="n"/>
      <c r="BM2207" s="205" t="n"/>
      <c r="BN2207" s="205" t="n"/>
      <c r="BO2207" s="206" t="n"/>
      <c r="BP2207" s="144" t="n"/>
      <c r="BQ2207" s="141" t="n"/>
      <c r="BR2207" s="207" t="n"/>
      <c r="BS2207" s="207" t="n"/>
      <c r="BT2207" s="207" t="n"/>
      <c r="BU2207" s="207" t="n"/>
      <c r="BV2207" s="208" t="n"/>
      <c r="BW2207" s="207" t="n"/>
      <c r="BX2207" s="207" t="n"/>
      <c r="BY2207" s="204" t="n"/>
      <c r="BZ2207" s="148" t="n"/>
      <c r="CA2207" s="204" t="n"/>
      <c r="CB2207" s="208" t="n"/>
      <c r="CC2207" s="139" t="n"/>
      <c r="CD2207" s="204" t="n"/>
      <c r="CE2207" s="204" t="n"/>
      <c r="CF2207" s="207" t="n"/>
      <c r="CG2207" s="208" t="n"/>
      <c r="CH2207" s="207" t="n"/>
      <c r="CI2207" s="208" t="n"/>
      <c r="CJ2207" s="204" t="n"/>
      <c r="CK2207" s="208" t="n"/>
      <c r="CL2207" s="208" t="n"/>
      <c r="CM2207" s="208" t="n"/>
      <c r="CN2207" s="78" t="n"/>
      <c r="CO2207" s="209" t="n"/>
      <c r="CP2207" s="204" t="n"/>
      <c r="CQ2207" s="204" t="n"/>
      <c r="CR2207" s="204" t="n"/>
      <c r="CS2207" s="204" t="n"/>
      <c r="CT2207" s="204" t="n"/>
      <c r="CU2207" s="204" t="n"/>
      <c r="CV2207" s="204" t="n"/>
      <c r="CW2207" s="204" t="n"/>
    </row>
    <row r="2208">
      <c r="BF2208" s="78" t="n"/>
      <c r="BG2208" s="78" t="n"/>
      <c r="BH2208" s="78" t="n"/>
      <c r="BI2208" s="78" t="n"/>
      <c r="BJ2208" s="139" t="n"/>
      <c r="BK2208" s="204" t="n"/>
      <c r="BL2208" s="141" t="n"/>
      <c r="BM2208" s="205" t="n"/>
      <c r="BN2208" s="205" t="n"/>
      <c r="BO2208" s="206" t="n"/>
      <c r="BP2208" s="144" t="n"/>
      <c r="BQ2208" s="141" t="n"/>
      <c r="BR2208" s="207" t="n"/>
      <c r="BS2208" s="207" t="n"/>
      <c r="BT2208" s="207" t="n"/>
      <c r="BU2208" s="207" t="n"/>
      <c r="BV2208" s="208" t="n"/>
      <c r="BW2208" s="207" t="n"/>
      <c r="BX2208" s="207" t="n"/>
      <c r="BY2208" s="204" t="n"/>
      <c r="BZ2208" s="148" t="n"/>
      <c r="CA2208" s="204" t="n"/>
      <c r="CB2208" s="208" t="n"/>
      <c r="CC2208" s="139" t="n"/>
      <c r="CD2208" s="204" t="n"/>
      <c r="CE2208" s="204" t="n"/>
      <c r="CF2208" s="207" t="n"/>
      <c r="CG2208" s="208" t="n"/>
      <c r="CH2208" s="207" t="n"/>
      <c r="CI2208" s="208" t="n"/>
      <c r="CJ2208" s="204" t="n"/>
      <c r="CK2208" s="208" t="n"/>
      <c r="CL2208" s="208" t="n"/>
      <c r="CM2208" s="208" t="n"/>
      <c r="CN2208" s="78" t="n"/>
      <c r="CO2208" s="209" t="n"/>
      <c r="CP2208" s="204" t="n"/>
      <c r="CQ2208" s="204" t="n"/>
      <c r="CR2208" s="204" t="n"/>
      <c r="CS2208" s="204" t="n"/>
      <c r="CT2208" s="204" t="n"/>
      <c r="CU2208" s="204" t="n"/>
      <c r="CV2208" s="204" t="n"/>
      <c r="CW2208" s="204" t="n"/>
    </row>
    <row r="2209">
      <c r="BF2209" s="78" t="n"/>
      <c r="BG2209" s="78" t="n"/>
      <c r="BH2209" s="78" t="n"/>
      <c r="BI2209" s="78" t="n"/>
      <c r="BJ2209" s="139" t="n"/>
      <c r="BK2209" s="204" t="n"/>
      <c r="BL2209" s="141" t="n"/>
      <c r="BM2209" s="205" t="n"/>
      <c r="BN2209" s="205" t="n"/>
      <c r="BO2209" s="206" t="n"/>
      <c r="BP2209" s="144" t="n"/>
      <c r="BQ2209" s="141" t="n"/>
      <c r="BR2209" s="207" t="n"/>
      <c r="BS2209" s="207" t="n"/>
      <c r="BT2209" s="207" t="n"/>
      <c r="BU2209" s="207" t="n"/>
      <c r="BV2209" s="208" t="n"/>
      <c r="BW2209" s="207" t="n"/>
      <c r="BX2209" s="207" t="n"/>
      <c r="BY2209" s="204" t="n"/>
      <c r="BZ2209" s="148" t="n"/>
      <c r="CA2209" s="204" t="n"/>
      <c r="CB2209" s="208" t="n"/>
      <c r="CC2209" s="139" t="n"/>
      <c r="CD2209" s="204" t="n"/>
      <c r="CE2209" s="204" t="n"/>
      <c r="CF2209" s="207" t="n"/>
      <c r="CG2209" s="208" t="n"/>
      <c r="CH2209" s="207" t="n"/>
      <c r="CI2209" s="208" t="n"/>
      <c r="CJ2209" s="204" t="n"/>
      <c r="CK2209" s="208" t="n"/>
      <c r="CL2209" s="208" t="n"/>
      <c r="CM2209" s="208" t="n"/>
      <c r="CN2209" s="78" t="n"/>
      <c r="CO2209" s="209" t="n"/>
      <c r="CP2209" s="204" t="n"/>
      <c r="CQ2209" s="204" t="n"/>
      <c r="CR2209" s="204" t="n"/>
      <c r="CS2209" s="204" t="n"/>
      <c r="CT2209" s="204" t="n"/>
      <c r="CU2209" s="204" t="n"/>
      <c r="CV2209" s="204" t="n"/>
      <c r="CW2209" s="204" t="n"/>
    </row>
    <row r="2210">
      <c r="AR2210" s="151" t="n"/>
      <c r="BF2210" s="78" t="n"/>
      <c r="BG2210" s="78" t="n"/>
      <c r="BH2210" s="78" t="n"/>
      <c r="BI2210" s="78" t="n"/>
      <c r="BJ2210" s="139" t="n"/>
      <c r="BK2210" s="204" t="n"/>
      <c r="BL2210" s="141" t="n"/>
      <c r="BM2210" s="205" t="n"/>
      <c r="BN2210" s="205" t="n"/>
      <c r="BO2210" s="206" t="n"/>
      <c r="BP2210" s="144" t="n"/>
      <c r="BQ2210" s="141" t="n"/>
      <c r="BR2210" s="207" t="n"/>
      <c r="BS2210" s="207" t="n"/>
      <c r="BT2210" s="207" t="n"/>
      <c r="BU2210" s="207" t="n"/>
      <c r="BV2210" s="208" t="n"/>
      <c r="BW2210" s="207" t="n"/>
      <c r="BX2210" s="207" t="n"/>
      <c r="BY2210" s="204" t="n"/>
      <c r="BZ2210" s="148" t="n"/>
      <c r="CA2210" s="204" t="n"/>
      <c r="CB2210" s="208" t="n"/>
      <c r="CC2210" s="139" t="n"/>
      <c r="CD2210" s="204" t="n"/>
      <c r="CE2210" s="204" t="n"/>
      <c r="CF2210" s="207" t="n"/>
      <c r="CG2210" s="208" t="n"/>
      <c r="CH2210" s="207" t="n"/>
      <c r="CI2210" s="208" t="n"/>
      <c r="CJ2210" s="204" t="n"/>
      <c r="CK2210" s="208" t="n"/>
      <c r="CL2210" s="208" t="n"/>
      <c r="CM2210" s="208" t="n"/>
      <c r="CN2210" s="78" t="n"/>
      <c r="CO2210" s="209" t="n"/>
      <c r="CP2210" s="204" t="n"/>
      <c r="CQ2210" s="204" t="n"/>
      <c r="CR2210" s="204" t="n"/>
      <c r="CS2210" s="204" t="n"/>
      <c r="CT2210" s="204" t="n"/>
      <c r="CU2210" s="204" t="n"/>
      <c r="CV2210" s="204" t="n"/>
      <c r="CW2210" s="204" t="n"/>
    </row>
    <row r="2211">
      <c r="BF2211" s="78" t="n"/>
      <c r="BG2211" s="78" t="n"/>
      <c r="BH2211" s="78" t="n"/>
      <c r="BI2211" s="78" t="n"/>
      <c r="BJ2211" s="139" t="n"/>
      <c r="BK2211" s="204" t="n"/>
      <c r="BL2211" s="141" t="n"/>
      <c r="BM2211" s="205" t="n"/>
      <c r="BN2211" s="205" t="n"/>
      <c r="BO2211" s="206" t="n"/>
      <c r="BP2211" s="144" t="n"/>
      <c r="BQ2211" s="141" t="n"/>
      <c r="BR2211" s="207" t="n"/>
      <c r="BS2211" s="207" t="n"/>
      <c r="BT2211" s="207" t="n"/>
      <c r="BU2211" s="207" t="n"/>
      <c r="BV2211" s="208" t="n"/>
      <c r="BW2211" s="207" t="n"/>
      <c r="BX2211" s="207" t="n"/>
      <c r="BY2211" s="204" t="n"/>
      <c r="BZ2211" s="148" t="n"/>
      <c r="CA2211" s="204" t="n"/>
      <c r="CB2211" s="208" t="n"/>
      <c r="CC2211" s="139" t="n"/>
      <c r="CD2211" s="204" t="n"/>
      <c r="CE2211" s="204" t="n"/>
      <c r="CF2211" s="207" t="n"/>
      <c r="CG2211" s="208" t="n"/>
      <c r="CH2211" s="207" t="n"/>
      <c r="CI2211" s="208" t="n"/>
      <c r="CJ2211" s="204" t="n"/>
      <c r="CK2211" s="208" t="n"/>
      <c r="CL2211" s="208" t="n"/>
      <c r="CM2211" s="208" t="n"/>
      <c r="CN2211" s="78" t="n"/>
      <c r="CO2211" s="209" t="n"/>
      <c r="CP2211" s="204" t="n"/>
      <c r="CQ2211" s="204" t="n"/>
      <c r="CR2211" s="204" t="n"/>
      <c r="CS2211" s="204" t="n"/>
      <c r="CT2211" s="204" t="n"/>
      <c r="CU2211" s="204" t="n"/>
      <c r="CV2211" s="204" t="n"/>
      <c r="CW2211" s="204" t="n"/>
    </row>
    <row r="2212">
      <c r="BF2212" s="78" t="n"/>
      <c r="BG2212" s="78" t="n"/>
      <c r="BH2212" s="78" t="n"/>
      <c r="BI2212" s="78" t="n"/>
      <c r="BJ2212" s="139" t="n"/>
      <c r="BK2212" s="204" t="n"/>
      <c r="BL2212" s="141" t="n"/>
      <c r="BM2212" s="205" t="n"/>
      <c r="BN2212" s="205" t="n"/>
      <c r="BO2212" s="206" t="n"/>
      <c r="BP2212" s="144" t="n"/>
      <c r="BQ2212" s="141" t="n"/>
      <c r="BR2212" s="207" t="n"/>
      <c r="BS2212" s="207" t="n"/>
      <c r="BT2212" s="207" t="n"/>
      <c r="BU2212" s="207" t="n"/>
      <c r="BV2212" s="208" t="n"/>
      <c r="BW2212" s="207" t="n"/>
      <c r="BX2212" s="207" t="n"/>
      <c r="BY2212" s="204" t="n"/>
      <c r="BZ2212" s="148" t="n"/>
      <c r="CA2212" s="204" t="n"/>
      <c r="CB2212" s="208" t="n"/>
      <c r="CC2212" s="139" t="n"/>
      <c r="CD2212" s="204" t="n"/>
      <c r="CE2212" s="204" t="n"/>
      <c r="CF2212" s="207" t="n"/>
      <c r="CG2212" s="208" t="n"/>
      <c r="CH2212" s="207" t="n"/>
      <c r="CI2212" s="208" t="n"/>
      <c r="CJ2212" s="204" t="n"/>
      <c r="CK2212" s="208" t="n"/>
      <c r="CL2212" s="208" t="n"/>
      <c r="CM2212" s="208" t="n"/>
      <c r="CN2212" s="78" t="n"/>
      <c r="CO2212" s="209" t="n"/>
      <c r="CP2212" s="204" t="n"/>
      <c r="CQ2212" s="204" t="n"/>
      <c r="CR2212" s="204" t="n"/>
      <c r="CS2212" s="204" t="n"/>
      <c r="CT2212" s="204" t="n"/>
      <c r="CU2212" s="204" t="n"/>
      <c r="CV2212" s="204" t="n"/>
      <c r="CW2212" s="204" t="n"/>
    </row>
    <row r="2213">
      <c r="AR2213" s="151" t="n"/>
      <c r="BF2213" s="78" t="n"/>
      <c r="BG2213" s="78" t="n"/>
      <c r="BH2213" s="78" t="n"/>
      <c r="BI2213" s="78" t="n"/>
      <c r="BJ2213" s="139" t="n"/>
      <c r="BK2213" s="204" t="n"/>
      <c r="BL2213" s="141" t="n"/>
      <c r="BM2213" s="205" t="n"/>
      <c r="BN2213" s="205" t="n"/>
      <c r="BO2213" s="206" t="n"/>
      <c r="BP2213" s="144" t="n"/>
      <c r="BQ2213" s="141" t="n"/>
      <c r="BR2213" s="207" t="n"/>
      <c r="BS2213" s="207" t="n"/>
      <c r="BT2213" s="207" t="n"/>
      <c r="BU2213" s="207" t="n"/>
      <c r="BV2213" s="208" t="n"/>
      <c r="BW2213" s="207" t="n"/>
      <c r="BX2213" s="207" t="n"/>
      <c r="BY2213" s="204" t="n"/>
      <c r="BZ2213" s="148" t="n"/>
      <c r="CA2213" s="204" t="n"/>
      <c r="CB2213" s="208" t="n"/>
      <c r="CC2213" s="139" t="n"/>
      <c r="CD2213" s="204" t="n"/>
      <c r="CE2213" s="204" t="n"/>
      <c r="CF2213" s="207" t="n"/>
      <c r="CG2213" s="208" t="n"/>
      <c r="CH2213" s="207" t="n"/>
      <c r="CI2213" s="208" t="n"/>
      <c r="CJ2213" s="204" t="n"/>
      <c r="CK2213" s="208" t="n"/>
      <c r="CL2213" s="208" t="n"/>
      <c r="CM2213" s="208" t="n"/>
      <c r="CN2213" s="78" t="n"/>
      <c r="CO2213" s="209" t="n"/>
      <c r="CP2213" s="204" t="n"/>
      <c r="CQ2213" s="204" t="n"/>
      <c r="CR2213" s="204" t="n"/>
      <c r="CS2213" s="204" t="n"/>
      <c r="CT2213" s="204" t="n"/>
      <c r="CU2213" s="204" t="n"/>
      <c r="CV2213" s="204" t="n"/>
      <c r="CW2213" s="204" t="n"/>
    </row>
    <row r="2214">
      <c r="BF2214" s="78" t="n"/>
      <c r="BG2214" s="78" t="n"/>
      <c r="BH2214" s="78" t="n"/>
      <c r="BI2214" s="78" t="n"/>
      <c r="BJ2214" s="139" t="n"/>
      <c r="BK2214" s="204" t="n"/>
      <c r="BL2214" s="141" t="n"/>
      <c r="BM2214" s="205" t="n"/>
      <c r="BN2214" s="205" t="n"/>
      <c r="BO2214" s="206" t="n"/>
      <c r="BP2214" s="144" t="n"/>
      <c r="BQ2214" s="141" t="n"/>
      <c r="BR2214" s="207" t="n"/>
      <c r="BS2214" s="207" t="n"/>
      <c r="BT2214" s="207" t="n"/>
      <c r="BU2214" s="207" t="n"/>
      <c r="BV2214" s="208" t="n"/>
      <c r="BW2214" s="207" t="n"/>
      <c r="BX2214" s="207" t="n"/>
      <c r="BY2214" s="204" t="n"/>
      <c r="BZ2214" s="148" t="n"/>
      <c r="CA2214" s="204" t="n"/>
      <c r="CB2214" s="208" t="n"/>
      <c r="CC2214" s="139" t="n"/>
      <c r="CD2214" s="204" t="n"/>
      <c r="CE2214" s="204" t="n"/>
      <c r="CF2214" s="207" t="n"/>
      <c r="CG2214" s="208" t="n"/>
      <c r="CH2214" s="207" t="n"/>
      <c r="CI2214" s="208" t="n"/>
      <c r="CJ2214" s="204" t="n"/>
      <c r="CK2214" s="208" t="n"/>
      <c r="CL2214" s="208" t="n"/>
      <c r="CM2214" s="208" t="n"/>
      <c r="CN2214" s="78" t="n"/>
      <c r="CO2214" s="209" t="n"/>
      <c r="CP2214" s="204" t="n"/>
      <c r="CQ2214" s="204" t="n"/>
      <c r="CR2214" s="204" t="n"/>
      <c r="CS2214" s="204" t="n"/>
      <c r="CT2214" s="204" t="n"/>
      <c r="CU2214" s="204" t="n"/>
      <c r="CV2214" s="204" t="n"/>
      <c r="CW2214" s="204" t="n"/>
    </row>
    <row r="2215">
      <c r="BF2215" s="78" t="n"/>
      <c r="BG2215" s="78" t="n"/>
      <c r="BH2215" s="78" t="n"/>
      <c r="BI2215" s="78" t="n"/>
      <c r="BJ2215" s="139" t="n"/>
      <c r="BK2215" s="204" t="n"/>
      <c r="BL2215" s="141" t="n"/>
      <c r="BM2215" s="205" t="n"/>
      <c r="BN2215" s="205" t="n"/>
      <c r="BO2215" s="206" t="n"/>
      <c r="BP2215" s="144" t="n"/>
      <c r="BQ2215" s="141" t="n"/>
      <c r="BR2215" s="207" t="n"/>
      <c r="BS2215" s="207" t="n"/>
      <c r="BT2215" s="207" t="n"/>
      <c r="BU2215" s="207" t="n"/>
      <c r="BV2215" s="208" t="n"/>
      <c r="BW2215" s="207" t="n"/>
      <c r="BX2215" s="207" t="n"/>
      <c r="BY2215" s="204" t="n"/>
      <c r="BZ2215" s="148" t="n"/>
      <c r="CA2215" s="204" t="n"/>
      <c r="CB2215" s="208" t="n"/>
      <c r="CC2215" s="139" t="n"/>
      <c r="CD2215" s="204" t="n"/>
      <c r="CE2215" s="204" t="n"/>
      <c r="CF2215" s="207" t="n"/>
      <c r="CG2215" s="208" t="n"/>
      <c r="CH2215" s="207" t="n"/>
      <c r="CI2215" s="208" t="n"/>
      <c r="CJ2215" s="204" t="n"/>
      <c r="CK2215" s="208" t="n"/>
      <c r="CL2215" s="208" t="n"/>
      <c r="CM2215" s="208" t="n"/>
      <c r="CN2215" s="78" t="n"/>
      <c r="CO2215" s="209" t="n"/>
      <c r="CP2215" s="204" t="n"/>
      <c r="CQ2215" s="204" t="n"/>
      <c r="CR2215" s="204" t="n"/>
      <c r="CS2215" s="204" t="n"/>
      <c r="CT2215" s="204" t="n"/>
      <c r="CU2215" s="204" t="n"/>
      <c r="CV2215" s="204" t="n"/>
      <c r="CW2215" s="204" t="n"/>
    </row>
    <row r="2216">
      <c r="BF2216" s="78" t="n"/>
      <c r="BG2216" s="78" t="n"/>
      <c r="BH2216" s="78" t="n"/>
      <c r="BI2216" s="78" t="n"/>
      <c r="BJ2216" s="139" t="n"/>
      <c r="BK2216" s="204" t="n"/>
      <c r="BL2216" s="141" t="n"/>
      <c r="BM2216" s="205" t="n"/>
      <c r="BN2216" s="205" t="n"/>
      <c r="BO2216" s="206" t="n"/>
      <c r="BP2216" s="144" t="n"/>
      <c r="BQ2216" s="141" t="n"/>
      <c r="BR2216" s="207" t="n"/>
      <c r="BS2216" s="207" t="n"/>
      <c r="BT2216" s="207" t="n"/>
      <c r="BU2216" s="207" t="n"/>
      <c r="BV2216" s="208" t="n"/>
      <c r="BW2216" s="207" t="n"/>
      <c r="BX2216" s="207" t="n"/>
      <c r="BY2216" s="204" t="n"/>
      <c r="BZ2216" s="148" t="n"/>
      <c r="CA2216" s="204" t="n"/>
      <c r="CB2216" s="208" t="n"/>
      <c r="CC2216" s="139" t="n"/>
      <c r="CD2216" s="204" t="n"/>
      <c r="CE2216" s="204" t="n"/>
      <c r="CF2216" s="207" t="n"/>
      <c r="CG2216" s="208" t="n"/>
      <c r="CH2216" s="207" t="n"/>
      <c r="CI2216" s="208" t="n"/>
      <c r="CJ2216" s="204" t="n"/>
      <c r="CK2216" s="208" t="n"/>
      <c r="CL2216" s="208" t="n"/>
      <c r="CM2216" s="208" t="n"/>
      <c r="CN2216" s="78" t="n"/>
      <c r="CO2216" s="209" t="n"/>
      <c r="CP2216" s="204" t="n"/>
      <c r="CQ2216" s="204" t="n"/>
      <c r="CR2216" s="204" t="n"/>
      <c r="CS2216" s="204" t="n"/>
      <c r="CT2216" s="204" t="n"/>
      <c r="CU2216" s="204" t="n"/>
      <c r="CV2216" s="204" t="n"/>
      <c r="CW2216" s="204" t="n"/>
    </row>
    <row r="2217">
      <c r="BF2217" s="78" t="n"/>
      <c r="BG2217" s="78" t="n"/>
      <c r="BH2217" s="78" t="n"/>
      <c r="BI2217" s="78" t="n"/>
      <c r="BJ2217" s="139" t="n"/>
      <c r="BK2217" s="204" t="n"/>
      <c r="BL2217" s="141" t="n"/>
      <c r="BM2217" s="205" t="n"/>
      <c r="BN2217" s="205" t="n"/>
      <c r="BO2217" s="206" t="n"/>
      <c r="BP2217" s="144" t="n"/>
      <c r="BQ2217" s="141" t="n"/>
      <c r="BR2217" s="207" t="n"/>
      <c r="BS2217" s="207" t="n"/>
      <c r="BT2217" s="207" t="n"/>
      <c r="BU2217" s="207" t="n"/>
      <c r="BV2217" s="208" t="n"/>
      <c r="BW2217" s="207" t="n"/>
      <c r="BX2217" s="207" t="n"/>
      <c r="BY2217" s="204" t="n"/>
      <c r="BZ2217" s="148" t="n"/>
      <c r="CA2217" s="204" t="n"/>
      <c r="CB2217" s="208" t="n"/>
      <c r="CC2217" s="139" t="n"/>
      <c r="CD2217" s="204" t="n"/>
      <c r="CE2217" s="204" t="n"/>
      <c r="CF2217" s="207" t="n"/>
      <c r="CG2217" s="208" t="n"/>
      <c r="CH2217" s="207" t="n"/>
      <c r="CI2217" s="208" t="n"/>
      <c r="CJ2217" s="204" t="n"/>
      <c r="CK2217" s="208" t="n"/>
      <c r="CL2217" s="208" t="n"/>
      <c r="CM2217" s="208" t="n"/>
      <c r="CN2217" s="78" t="n"/>
      <c r="CO2217" s="209" t="n"/>
      <c r="CP2217" s="204" t="n"/>
      <c r="CQ2217" s="204" t="n"/>
      <c r="CR2217" s="204" t="n"/>
      <c r="CS2217" s="204" t="n"/>
      <c r="CT2217" s="204" t="n"/>
      <c r="CU2217" s="204" t="n"/>
      <c r="CV2217" s="204" t="n"/>
      <c r="CW2217" s="204" t="n"/>
    </row>
    <row r="2218">
      <c r="BF2218" s="78" t="n"/>
      <c r="BG2218" s="78" t="n"/>
      <c r="BH2218" s="78" t="n"/>
      <c r="BI2218" s="78" t="n"/>
      <c r="BJ2218" s="139" t="n"/>
      <c r="BK2218" s="204" t="n"/>
      <c r="BL2218" s="141" t="n"/>
      <c r="BM2218" s="205" t="n"/>
      <c r="BN2218" s="205" t="n"/>
      <c r="BO2218" s="206" t="n"/>
      <c r="BP2218" s="144" t="n"/>
      <c r="BQ2218" s="141" t="n"/>
      <c r="BR2218" s="207" t="n"/>
      <c r="BS2218" s="207" t="n"/>
      <c r="BT2218" s="207" t="n"/>
      <c r="BU2218" s="207" t="n"/>
      <c r="BV2218" s="208" t="n"/>
      <c r="BW2218" s="207" t="n"/>
      <c r="BX2218" s="207" t="n"/>
      <c r="BY2218" s="204" t="n"/>
      <c r="BZ2218" s="148" t="n"/>
      <c r="CA2218" s="204" t="n"/>
      <c r="CB2218" s="208" t="n"/>
      <c r="CC2218" s="139" t="n"/>
      <c r="CD2218" s="204" t="n"/>
      <c r="CE2218" s="204" t="n"/>
      <c r="CF2218" s="207" t="n"/>
      <c r="CG2218" s="208" t="n"/>
      <c r="CH2218" s="207" t="n"/>
      <c r="CI2218" s="208" t="n"/>
      <c r="CJ2218" s="204" t="n"/>
      <c r="CK2218" s="208" t="n"/>
      <c r="CL2218" s="208" t="n"/>
      <c r="CM2218" s="208" t="n"/>
      <c r="CN2218" s="78" t="n"/>
      <c r="CO2218" s="209" t="n"/>
      <c r="CP2218" s="204" t="n"/>
      <c r="CQ2218" s="204" t="n"/>
      <c r="CR2218" s="204" t="n"/>
      <c r="CS2218" s="204" t="n"/>
      <c r="CT2218" s="204" t="n"/>
      <c r="CU2218" s="204" t="n"/>
      <c r="CV2218" s="204" t="n"/>
      <c r="CW2218" s="204" t="n"/>
    </row>
    <row r="2219">
      <c r="BF2219" s="78" t="n"/>
      <c r="BG2219" s="78" t="n"/>
      <c r="BH2219" s="78" t="n"/>
      <c r="BI2219" s="78" t="n"/>
      <c r="BJ2219" s="139" t="n"/>
      <c r="BK2219" s="204" t="n"/>
      <c r="BL2219" s="141" t="n"/>
      <c r="BM2219" s="205" t="n"/>
      <c r="BN2219" s="205" t="n"/>
      <c r="BO2219" s="206" t="n"/>
      <c r="BP2219" s="144" t="n"/>
      <c r="BQ2219" s="141" t="n"/>
      <c r="BR2219" s="207" t="n"/>
      <c r="BS2219" s="207" t="n"/>
      <c r="BT2219" s="207" t="n"/>
      <c r="BU2219" s="207" t="n"/>
      <c r="BV2219" s="208" t="n"/>
      <c r="BW2219" s="207" t="n"/>
      <c r="BX2219" s="207" t="n"/>
      <c r="BY2219" s="204" t="n"/>
      <c r="BZ2219" s="148" t="n"/>
      <c r="CA2219" s="204" t="n"/>
      <c r="CB2219" s="208" t="n"/>
      <c r="CC2219" s="139" t="n"/>
      <c r="CD2219" s="204" t="n"/>
      <c r="CE2219" s="204" t="n"/>
      <c r="CF2219" s="207" t="n"/>
      <c r="CG2219" s="208" t="n"/>
      <c r="CH2219" s="207" t="n"/>
      <c r="CI2219" s="208" t="n"/>
      <c r="CJ2219" s="204" t="n"/>
      <c r="CK2219" s="208" t="n"/>
      <c r="CL2219" s="208" t="n"/>
      <c r="CM2219" s="208" t="n"/>
      <c r="CN2219" s="78" t="n"/>
      <c r="CO2219" s="209" t="n"/>
      <c r="CP2219" s="204" t="n"/>
      <c r="CQ2219" s="204" t="n"/>
      <c r="CR2219" s="204" t="n"/>
      <c r="CS2219" s="204" t="n"/>
      <c r="CT2219" s="204" t="n"/>
      <c r="CU2219" s="204" t="n"/>
      <c r="CV2219" s="204" t="n"/>
      <c r="CW2219" s="204" t="n"/>
    </row>
    <row r="2220">
      <c r="BF2220" s="78" t="n"/>
      <c r="BG2220" s="78" t="n"/>
      <c r="BH2220" s="78" t="n"/>
      <c r="BI2220" s="78" t="n"/>
      <c r="BJ2220" s="139" t="n"/>
      <c r="BK2220" s="204" t="n"/>
      <c r="BL2220" s="141" t="n"/>
      <c r="BM2220" s="205" t="n"/>
      <c r="BN2220" s="205" t="n"/>
      <c r="BO2220" s="206" t="n"/>
      <c r="BP2220" s="144" t="n"/>
      <c r="BQ2220" s="141" t="n"/>
      <c r="BR2220" s="207" t="n"/>
      <c r="BS2220" s="207" t="n"/>
      <c r="BT2220" s="207" t="n"/>
      <c r="BU2220" s="207" t="n"/>
      <c r="BV2220" s="208" t="n"/>
      <c r="BW2220" s="207" t="n"/>
      <c r="BX2220" s="207" t="n"/>
      <c r="BY2220" s="204" t="n"/>
      <c r="BZ2220" s="148" t="n"/>
      <c r="CA2220" s="204" t="n"/>
      <c r="CB2220" s="208" t="n"/>
      <c r="CC2220" s="139" t="n"/>
      <c r="CD2220" s="204" t="n"/>
      <c r="CE2220" s="204" t="n"/>
      <c r="CF2220" s="207" t="n"/>
      <c r="CG2220" s="208" t="n"/>
      <c r="CH2220" s="207" t="n"/>
      <c r="CI2220" s="208" t="n"/>
      <c r="CJ2220" s="204" t="n"/>
      <c r="CK2220" s="208" t="n"/>
      <c r="CL2220" s="208" t="n"/>
      <c r="CM2220" s="208" t="n"/>
      <c r="CN2220" s="78" t="n"/>
      <c r="CO2220" s="209" t="n"/>
      <c r="CP2220" s="204" t="n"/>
      <c r="CQ2220" s="204" t="n"/>
      <c r="CR2220" s="204" t="n"/>
      <c r="CS2220" s="204" t="n"/>
      <c r="CT2220" s="204" t="n"/>
      <c r="CU2220" s="204" t="n"/>
      <c r="CV2220" s="204" t="n"/>
      <c r="CW2220" s="204" t="n"/>
    </row>
    <row r="2221">
      <c r="BF2221" s="78" t="n"/>
      <c r="BG2221" s="78" t="n"/>
      <c r="BH2221" s="78" t="n"/>
      <c r="BI2221" s="78" t="n"/>
      <c r="BJ2221" s="139" t="n"/>
      <c r="BK2221" s="204" t="n"/>
      <c r="BL2221" s="141" t="n"/>
      <c r="BM2221" s="205" t="n"/>
      <c r="BN2221" s="205" t="n"/>
      <c r="BO2221" s="206" t="n"/>
      <c r="BP2221" s="144" t="n"/>
      <c r="BQ2221" s="141" t="n"/>
      <c r="BR2221" s="207" t="n"/>
      <c r="BS2221" s="207" t="n"/>
      <c r="BT2221" s="207" t="n"/>
      <c r="BU2221" s="207" t="n"/>
      <c r="BV2221" s="208" t="n"/>
      <c r="BW2221" s="207" t="n"/>
      <c r="BX2221" s="207" t="n"/>
      <c r="BY2221" s="204" t="n"/>
      <c r="BZ2221" s="148" t="n"/>
      <c r="CA2221" s="204" t="n"/>
      <c r="CB2221" s="208" t="n"/>
      <c r="CC2221" s="139" t="n"/>
      <c r="CD2221" s="204" t="n"/>
      <c r="CE2221" s="204" t="n"/>
      <c r="CF2221" s="207" t="n"/>
      <c r="CG2221" s="208" t="n"/>
      <c r="CH2221" s="207" t="n"/>
      <c r="CI2221" s="208" t="n"/>
      <c r="CJ2221" s="204" t="n"/>
      <c r="CK2221" s="208" t="n"/>
      <c r="CL2221" s="208" t="n"/>
      <c r="CM2221" s="208" t="n"/>
      <c r="CN2221" s="78" t="n"/>
      <c r="CO2221" s="209" t="n"/>
      <c r="CP2221" s="204" t="n"/>
      <c r="CQ2221" s="204" t="n"/>
      <c r="CR2221" s="204" t="n"/>
      <c r="CS2221" s="204" t="n"/>
      <c r="CT2221" s="204" t="n"/>
      <c r="CU2221" s="204" t="n"/>
      <c r="CV2221" s="204" t="n"/>
      <c r="CW2221" s="204" t="n"/>
    </row>
    <row r="2222">
      <c r="BF2222" s="78" t="n"/>
      <c r="BG2222" s="78" t="n"/>
      <c r="BH2222" s="78" t="n"/>
      <c r="BI2222" s="78" t="n"/>
      <c r="BJ2222" s="139" t="n"/>
      <c r="BK2222" s="204" t="n"/>
      <c r="BL2222" s="141" t="n"/>
      <c r="BM2222" s="205" t="n"/>
      <c r="BN2222" s="205" t="n"/>
      <c r="BO2222" s="206" t="n"/>
      <c r="BP2222" s="144" t="n"/>
      <c r="BQ2222" s="141" t="n"/>
      <c r="BR2222" s="207" t="n"/>
      <c r="BS2222" s="207" t="n"/>
      <c r="BT2222" s="207" t="n"/>
      <c r="BU2222" s="207" t="n"/>
      <c r="BV2222" s="208" t="n"/>
      <c r="BW2222" s="207" t="n"/>
      <c r="BX2222" s="207" t="n"/>
      <c r="BY2222" s="204" t="n"/>
      <c r="BZ2222" s="148" t="n"/>
      <c r="CA2222" s="204" t="n"/>
      <c r="CB2222" s="208" t="n"/>
      <c r="CC2222" s="139" t="n"/>
      <c r="CD2222" s="204" t="n"/>
      <c r="CE2222" s="204" t="n"/>
      <c r="CF2222" s="207" t="n"/>
      <c r="CG2222" s="208" t="n"/>
      <c r="CH2222" s="207" t="n"/>
      <c r="CI2222" s="208" t="n"/>
      <c r="CJ2222" s="204" t="n"/>
      <c r="CK2222" s="208" t="n"/>
      <c r="CL2222" s="208" t="n"/>
      <c r="CM2222" s="208" t="n"/>
      <c r="CN2222" s="78" t="n"/>
      <c r="CO2222" s="209" t="n"/>
      <c r="CP2222" s="204" t="n"/>
      <c r="CQ2222" s="204" t="n"/>
      <c r="CR2222" s="204" t="n"/>
      <c r="CS2222" s="204" t="n"/>
      <c r="CT2222" s="204" t="n"/>
      <c r="CU2222" s="204" t="n"/>
      <c r="CV2222" s="204" t="n"/>
      <c r="CW2222" s="204" t="n"/>
    </row>
    <row r="2223">
      <c r="BF2223" s="78" t="n"/>
      <c r="BG2223" s="78" t="n"/>
      <c r="BH2223" s="78" t="n"/>
      <c r="BI2223" s="78" t="n"/>
      <c r="BJ2223" s="139" t="n"/>
      <c r="BK2223" s="204" t="n"/>
      <c r="BL2223" s="141" t="n"/>
      <c r="BM2223" s="205" t="n"/>
      <c r="BN2223" s="205" t="n"/>
      <c r="BO2223" s="206" t="n"/>
      <c r="BP2223" s="144" t="n"/>
      <c r="BQ2223" s="141" t="n"/>
      <c r="BR2223" s="207" t="n"/>
      <c r="BS2223" s="207" t="n"/>
      <c r="BT2223" s="207" t="n"/>
      <c r="BU2223" s="207" t="n"/>
      <c r="BV2223" s="208" t="n"/>
      <c r="BW2223" s="207" t="n"/>
      <c r="BX2223" s="207" t="n"/>
      <c r="BY2223" s="204" t="n"/>
      <c r="BZ2223" s="148" t="n"/>
      <c r="CA2223" s="204" t="n"/>
      <c r="CB2223" s="208" t="n"/>
      <c r="CC2223" s="139" t="n"/>
      <c r="CD2223" s="204" t="n"/>
      <c r="CE2223" s="204" t="n"/>
      <c r="CF2223" s="207" t="n"/>
      <c r="CG2223" s="208" t="n"/>
      <c r="CH2223" s="207" t="n"/>
      <c r="CI2223" s="208" t="n"/>
      <c r="CJ2223" s="204" t="n"/>
      <c r="CK2223" s="208" t="n"/>
      <c r="CL2223" s="208" t="n"/>
      <c r="CM2223" s="208" t="n"/>
      <c r="CN2223" s="78" t="n"/>
      <c r="CO2223" s="209" t="n"/>
      <c r="CP2223" s="204" t="n"/>
      <c r="CQ2223" s="204" t="n"/>
      <c r="CR2223" s="204" t="n"/>
      <c r="CS2223" s="204" t="n"/>
      <c r="CT2223" s="204" t="n"/>
      <c r="CU2223" s="204" t="n"/>
      <c r="CV2223" s="204" t="n"/>
      <c r="CW2223" s="204" t="n"/>
    </row>
    <row r="2224">
      <c r="BF2224" s="78" t="n"/>
      <c r="BG2224" s="78" t="n"/>
      <c r="BH2224" s="78" t="n"/>
      <c r="BI2224" s="78" t="n"/>
      <c r="BJ2224" s="139" t="n"/>
      <c r="BK2224" s="204" t="n"/>
      <c r="BL2224" s="141" t="n"/>
      <c r="BM2224" s="205" t="n"/>
      <c r="BN2224" s="205" t="n"/>
      <c r="BO2224" s="206" t="n"/>
      <c r="BP2224" s="144" t="n"/>
      <c r="BQ2224" s="141" t="n"/>
      <c r="BR2224" s="207" t="n"/>
      <c r="BS2224" s="207" t="n"/>
      <c r="BT2224" s="207" t="n"/>
      <c r="BU2224" s="207" t="n"/>
      <c r="BV2224" s="208" t="n"/>
      <c r="BW2224" s="207" t="n"/>
      <c r="BX2224" s="207" t="n"/>
      <c r="BY2224" s="204" t="n"/>
      <c r="BZ2224" s="148" t="n"/>
      <c r="CA2224" s="204" t="n"/>
      <c r="CB2224" s="208" t="n"/>
      <c r="CC2224" s="139" t="n"/>
      <c r="CD2224" s="204" t="n"/>
      <c r="CE2224" s="204" t="n"/>
      <c r="CF2224" s="207" t="n"/>
      <c r="CG2224" s="208" t="n"/>
      <c r="CH2224" s="207" t="n"/>
      <c r="CI2224" s="208" t="n"/>
      <c r="CJ2224" s="204" t="n"/>
      <c r="CK2224" s="208" t="n"/>
      <c r="CL2224" s="208" t="n"/>
      <c r="CM2224" s="208" t="n"/>
      <c r="CN2224" s="78" t="n"/>
      <c r="CO2224" s="209" t="n"/>
      <c r="CP2224" s="204" t="n"/>
      <c r="CQ2224" s="204" t="n"/>
      <c r="CR2224" s="204" t="n"/>
      <c r="CS2224" s="204" t="n"/>
      <c r="CT2224" s="204" t="n"/>
      <c r="CU2224" s="204" t="n"/>
      <c r="CV2224" s="204" t="n"/>
      <c r="CW2224" s="204" t="n"/>
    </row>
    <row r="2225">
      <c r="BF2225" s="78" t="n"/>
      <c r="BG2225" s="78" t="n"/>
      <c r="BH2225" s="78" t="n"/>
      <c r="BI2225" s="78" t="n"/>
      <c r="BJ2225" s="139" t="n"/>
      <c r="BK2225" s="204" t="n"/>
      <c r="BL2225" s="141" t="n"/>
      <c r="BM2225" s="205" t="n"/>
      <c r="BN2225" s="205" t="n"/>
      <c r="BO2225" s="206" t="n"/>
      <c r="BP2225" s="144" t="n"/>
      <c r="BQ2225" s="141" t="n"/>
      <c r="BR2225" s="207" t="n"/>
      <c r="BS2225" s="207" t="n"/>
      <c r="BT2225" s="207" t="n"/>
      <c r="BU2225" s="207" t="n"/>
      <c r="BV2225" s="208" t="n"/>
      <c r="BW2225" s="207" t="n"/>
      <c r="BX2225" s="207" t="n"/>
      <c r="BY2225" s="204" t="n"/>
      <c r="BZ2225" s="148" t="n"/>
      <c r="CA2225" s="204" t="n"/>
      <c r="CB2225" s="208" t="n"/>
      <c r="CC2225" s="139" t="n"/>
      <c r="CD2225" s="204" t="n"/>
      <c r="CE2225" s="204" t="n"/>
      <c r="CF2225" s="207" t="n"/>
      <c r="CG2225" s="208" t="n"/>
      <c r="CH2225" s="207" t="n"/>
      <c r="CI2225" s="208" t="n"/>
      <c r="CJ2225" s="204" t="n"/>
      <c r="CK2225" s="208" t="n"/>
      <c r="CL2225" s="208" t="n"/>
      <c r="CM2225" s="208" t="n"/>
      <c r="CN2225" s="78" t="n"/>
      <c r="CO2225" s="209" t="n"/>
      <c r="CP2225" s="204" t="n"/>
      <c r="CQ2225" s="204" t="n"/>
      <c r="CR2225" s="204" t="n"/>
      <c r="CS2225" s="204" t="n"/>
      <c r="CT2225" s="204" t="n"/>
      <c r="CU2225" s="204" t="n"/>
      <c r="CV2225" s="204" t="n"/>
      <c r="CW2225" s="204" t="n"/>
    </row>
    <row r="2226">
      <c r="BF2226" s="78" t="n"/>
      <c r="BG2226" s="78" t="n"/>
      <c r="BH2226" s="78" t="n"/>
      <c r="BI2226" s="78" t="n"/>
      <c r="BJ2226" s="139" t="n"/>
      <c r="BK2226" s="204" t="n"/>
      <c r="BL2226" s="141" t="n"/>
      <c r="BM2226" s="205" t="n"/>
      <c r="BN2226" s="205" t="n"/>
      <c r="BO2226" s="206" t="n"/>
      <c r="BP2226" s="144" t="n"/>
      <c r="BQ2226" s="141" t="n"/>
      <c r="BR2226" s="207" t="n"/>
      <c r="BS2226" s="207" t="n"/>
      <c r="BT2226" s="207" t="n"/>
      <c r="BU2226" s="207" t="n"/>
      <c r="BV2226" s="208" t="n"/>
      <c r="BW2226" s="207" t="n"/>
      <c r="BX2226" s="207" t="n"/>
      <c r="BY2226" s="204" t="n"/>
      <c r="BZ2226" s="148" t="n"/>
      <c r="CA2226" s="204" t="n"/>
      <c r="CB2226" s="208" t="n"/>
      <c r="CC2226" s="139" t="n"/>
      <c r="CD2226" s="204" t="n"/>
      <c r="CE2226" s="204" t="n"/>
      <c r="CF2226" s="207" t="n"/>
      <c r="CG2226" s="208" t="n"/>
      <c r="CH2226" s="207" t="n"/>
      <c r="CI2226" s="208" t="n"/>
      <c r="CJ2226" s="204" t="n"/>
      <c r="CK2226" s="208" t="n"/>
      <c r="CL2226" s="208" t="n"/>
      <c r="CM2226" s="208" t="n"/>
      <c r="CN2226" s="78" t="n"/>
      <c r="CO2226" s="209" t="n"/>
      <c r="CP2226" s="204" t="n"/>
      <c r="CQ2226" s="204" t="n"/>
      <c r="CR2226" s="204" t="n"/>
      <c r="CS2226" s="204" t="n"/>
      <c r="CT2226" s="204" t="n"/>
      <c r="CU2226" s="204" t="n"/>
      <c r="CV2226" s="204" t="n"/>
      <c r="CW2226" s="204" t="n"/>
    </row>
    <row r="2227">
      <c r="BF2227" s="78" t="n"/>
      <c r="BG2227" s="78" t="n"/>
      <c r="BH2227" s="78" t="n"/>
      <c r="BI2227" s="78" t="n"/>
      <c r="BJ2227" s="139" t="n"/>
      <c r="BK2227" s="204" t="n"/>
      <c r="BL2227" s="141" t="n"/>
      <c r="BM2227" s="205" t="n"/>
      <c r="BN2227" s="205" t="n"/>
      <c r="BO2227" s="206" t="n"/>
      <c r="BP2227" s="144" t="n"/>
      <c r="BQ2227" s="141" t="n"/>
      <c r="BR2227" s="207" t="n"/>
      <c r="BS2227" s="207" t="n"/>
      <c r="BT2227" s="207" t="n"/>
      <c r="BU2227" s="207" t="n"/>
      <c r="BV2227" s="208" t="n"/>
      <c r="BW2227" s="207" t="n"/>
      <c r="BX2227" s="207" t="n"/>
      <c r="BY2227" s="204" t="n"/>
      <c r="BZ2227" s="148" t="n"/>
      <c r="CA2227" s="204" t="n"/>
      <c r="CB2227" s="208" t="n"/>
      <c r="CC2227" s="139" t="n"/>
      <c r="CD2227" s="204" t="n"/>
      <c r="CE2227" s="204" t="n"/>
      <c r="CF2227" s="207" t="n"/>
      <c r="CG2227" s="208" t="n"/>
      <c r="CH2227" s="207" t="n"/>
      <c r="CI2227" s="208" t="n"/>
      <c r="CJ2227" s="204" t="n"/>
      <c r="CK2227" s="208" t="n"/>
      <c r="CL2227" s="208" t="n"/>
      <c r="CM2227" s="208" t="n"/>
      <c r="CN2227" s="78" t="n"/>
      <c r="CO2227" s="209" t="n"/>
      <c r="CP2227" s="204" t="n"/>
      <c r="CQ2227" s="204" t="n"/>
      <c r="CR2227" s="204" t="n"/>
      <c r="CS2227" s="204" t="n"/>
      <c r="CT2227" s="204" t="n"/>
      <c r="CU2227" s="204" t="n"/>
      <c r="CV2227" s="204" t="n"/>
      <c r="CW2227" s="204" t="n"/>
    </row>
    <row r="2228">
      <c r="BF2228" s="78" t="n"/>
      <c r="BG2228" s="78" t="n"/>
      <c r="BH2228" s="78" t="n"/>
      <c r="BI2228" s="78" t="n"/>
      <c r="BJ2228" s="139" t="n"/>
      <c r="BK2228" s="204" t="n"/>
      <c r="BL2228" s="141" t="n"/>
      <c r="BM2228" s="205" t="n"/>
      <c r="BN2228" s="205" t="n"/>
      <c r="BO2228" s="206" t="n"/>
      <c r="BP2228" s="144" t="n"/>
      <c r="BQ2228" s="141" t="n"/>
      <c r="BR2228" s="207" t="n"/>
      <c r="BS2228" s="207" t="n"/>
      <c r="BT2228" s="207" t="n"/>
      <c r="BU2228" s="207" t="n"/>
      <c r="BV2228" s="208" t="n"/>
      <c r="BW2228" s="207" t="n"/>
      <c r="BX2228" s="207" t="n"/>
      <c r="BY2228" s="204" t="n"/>
      <c r="BZ2228" s="148" t="n"/>
      <c r="CA2228" s="204" t="n"/>
      <c r="CB2228" s="208" t="n"/>
      <c r="CC2228" s="139" t="n"/>
      <c r="CD2228" s="204" t="n"/>
      <c r="CE2228" s="204" t="n"/>
      <c r="CF2228" s="207" t="n"/>
      <c r="CG2228" s="208" t="n"/>
      <c r="CH2228" s="207" t="n"/>
      <c r="CI2228" s="208" t="n"/>
      <c r="CJ2228" s="204" t="n"/>
      <c r="CK2228" s="208" t="n"/>
      <c r="CL2228" s="208" t="n"/>
      <c r="CM2228" s="208" t="n"/>
      <c r="CN2228" s="78" t="n"/>
      <c r="CO2228" s="209" t="n"/>
      <c r="CP2228" s="204" t="n"/>
      <c r="CQ2228" s="204" t="n"/>
      <c r="CR2228" s="204" t="n"/>
      <c r="CS2228" s="204" t="n"/>
      <c r="CT2228" s="204" t="n"/>
      <c r="CU2228" s="204" t="n"/>
      <c r="CV2228" s="204" t="n"/>
      <c r="CW2228" s="204" t="n"/>
    </row>
    <row r="2229">
      <c r="BF2229" s="78" t="n"/>
      <c r="BG2229" s="78" t="n"/>
      <c r="BH2229" s="78" t="n"/>
      <c r="BI2229" s="78" t="n"/>
      <c r="BJ2229" s="139" t="n"/>
      <c r="BK2229" s="204" t="n"/>
      <c r="BL2229" s="141" t="n"/>
      <c r="BM2229" s="205" t="n"/>
      <c r="BN2229" s="205" t="n"/>
      <c r="BO2229" s="206" t="n"/>
      <c r="BP2229" s="144" t="n"/>
      <c r="BQ2229" s="141" t="n"/>
      <c r="BR2229" s="207" t="n"/>
      <c r="BS2229" s="207" t="n"/>
      <c r="BT2229" s="207" t="n"/>
      <c r="BU2229" s="207" t="n"/>
      <c r="BV2229" s="208" t="n"/>
      <c r="BW2229" s="207" t="n"/>
      <c r="BX2229" s="207" t="n"/>
      <c r="BY2229" s="204" t="n"/>
      <c r="BZ2229" s="148" t="n"/>
      <c r="CA2229" s="204" t="n"/>
      <c r="CB2229" s="208" t="n"/>
      <c r="CC2229" s="139" t="n"/>
      <c r="CD2229" s="204" t="n"/>
      <c r="CE2229" s="204" t="n"/>
      <c r="CF2229" s="207" t="n"/>
      <c r="CG2229" s="208" t="n"/>
      <c r="CH2229" s="207" t="n"/>
      <c r="CI2229" s="208" t="n"/>
      <c r="CJ2229" s="204" t="n"/>
      <c r="CK2229" s="208" t="n"/>
      <c r="CL2229" s="208" t="n"/>
      <c r="CM2229" s="208" t="n"/>
      <c r="CN2229" s="78" t="n"/>
      <c r="CO2229" s="209" t="n"/>
      <c r="CP2229" s="204" t="n"/>
      <c r="CQ2229" s="204" t="n"/>
      <c r="CR2229" s="204" t="n"/>
      <c r="CS2229" s="204" t="n"/>
      <c r="CT2229" s="204" t="n"/>
      <c r="CU2229" s="204" t="n"/>
      <c r="CV2229" s="204" t="n"/>
      <c r="CW2229" s="204" t="n"/>
    </row>
    <row r="2230">
      <c r="BF2230" s="78" t="n"/>
      <c r="BG2230" s="78" t="n"/>
      <c r="BH2230" s="78" t="n"/>
      <c r="BI2230" s="78" t="n"/>
      <c r="BJ2230" s="139" t="n"/>
      <c r="BK2230" s="204" t="n"/>
      <c r="BL2230" s="141" t="n"/>
      <c r="BM2230" s="205" t="n"/>
      <c r="BN2230" s="205" t="n"/>
      <c r="BO2230" s="206" t="n"/>
      <c r="BP2230" s="144" t="n"/>
      <c r="BQ2230" s="141" t="n"/>
      <c r="BR2230" s="207" t="n"/>
      <c r="BS2230" s="207" t="n"/>
      <c r="BT2230" s="207" t="n"/>
      <c r="BU2230" s="207" t="n"/>
      <c r="BV2230" s="208" t="n"/>
      <c r="BW2230" s="207" t="n"/>
      <c r="BX2230" s="207" t="n"/>
      <c r="BY2230" s="204" t="n"/>
      <c r="BZ2230" s="148" t="n"/>
      <c r="CA2230" s="204" t="n"/>
      <c r="CB2230" s="208" t="n"/>
      <c r="CC2230" s="139" t="n"/>
      <c r="CD2230" s="204" t="n"/>
      <c r="CE2230" s="204" t="n"/>
      <c r="CF2230" s="207" t="n"/>
      <c r="CG2230" s="208" t="n"/>
      <c r="CH2230" s="207" t="n"/>
      <c r="CI2230" s="208" t="n"/>
      <c r="CJ2230" s="204" t="n"/>
      <c r="CK2230" s="208" t="n"/>
      <c r="CL2230" s="208" t="n"/>
      <c r="CM2230" s="208" t="n"/>
      <c r="CN2230" s="78" t="n"/>
      <c r="CO2230" s="209" t="n"/>
      <c r="CP2230" s="204" t="n"/>
      <c r="CQ2230" s="204" t="n"/>
      <c r="CR2230" s="204" t="n"/>
      <c r="CS2230" s="204" t="n"/>
      <c r="CT2230" s="204" t="n"/>
      <c r="CU2230" s="204" t="n"/>
      <c r="CV2230" s="204" t="n"/>
      <c r="CW2230" s="204" t="n"/>
    </row>
    <row r="2231">
      <c r="BF2231" s="78" t="n"/>
      <c r="BG2231" s="78" t="n"/>
      <c r="BH2231" s="78" t="n"/>
      <c r="BI2231" s="78" t="n"/>
      <c r="BJ2231" s="139" t="n"/>
      <c r="BK2231" s="204" t="n"/>
      <c r="BL2231" s="141" t="n"/>
      <c r="BM2231" s="205" t="n"/>
      <c r="BN2231" s="205" t="n"/>
      <c r="BO2231" s="206" t="n"/>
      <c r="BP2231" s="144" t="n"/>
      <c r="BQ2231" s="141" t="n"/>
      <c r="BR2231" s="207" t="n"/>
      <c r="BS2231" s="207" t="n"/>
      <c r="BT2231" s="207" t="n"/>
      <c r="BU2231" s="207" t="n"/>
      <c r="BV2231" s="208" t="n"/>
      <c r="BW2231" s="207" t="n"/>
      <c r="BX2231" s="207" t="n"/>
      <c r="BY2231" s="204" t="n"/>
      <c r="BZ2231" s="148" t="n"/>
      <c r="CA2231" s="204" t="n"/>
      <c r="CB2231" s="208" t="n"/>
      <c r="CC2231" s="139" t="n"/>
      <c r="CD2231" s="204" t="n"/>
      <c r="CE2231" s="204" t="n"/>
      <c r="CF2231" s="207" t="n"/>
      <c r="CG2231" s="208" t="n"/>
      <c r="CH2231" s="207" t="n"/>
      <c r="CI2231" s="208" t="n"/>
      <c r="CJ2231" s="204" t="n"/>
      <c r="CK2231" s="208" t="n"/>
      <c r="CL2231" s="208" t="n"/>
      <c r="CM2231" s="208" t="n"/>
      <c r="CN2231" s="78" t="n"/>
      <c r="CO2231" s="209" t="n"/>
      <c r="CP2231" s="204" t="n"/>
      <c r="CQ2231" s="204" t="n"/>
      <c r="CR2231" s="204" t="n"/>
      <c r="CS2231" s="204" t="n"/>
      <c r="CT2231" s="204" t="n"/>
      <c r="CU2231" s="204" t="n"/>
      <c r="CV2231" s="204" t="n"/>
      <c r="CW2231" s="204" t="n"/>
    </row>
    <row r="2232">
      <c r="BF2232" s="78" t="n"/>
      <c r="BG2232" s="78" t="n"/>
      <c r="BH2232" s="78" t="n"/>
      <c r="BI2232" s="78" t="n"/>
      <c r="BJ2232" s="139" t="n"/>
      <c r="BK2232" s="204" t="n"/>
      <c r="BL2232" s="141" t="n"/>
      <c r="BM2232" s="205" t="n"/>
      <c r="BN2232" s="205" t="n"/>
      <c r="BO2232" s="206" t="n"/>
      <c r="BP2232" s="144" t="n"/>
      <c r="BQ2232" s="141" t="n"/>
      <c r="BR2232" s="207" t="n"/>
      <c r="BS2232" s="207" t="n"/>
      <c r="BT2232" s="207" t="n"/>
      <c r="BU2232" s="207" t="n"/>
      <c r="BV2232" s="208" t="n"/>
      <c r="BW2232" s="207" t="n"/>
      <c r="BX2232" s="207" t="n"/>
      <c r="BY2232" s="204" t="n"/>
      <c r="BZ2232" s="148" t="n"/>
      <c r="CA2232" s="204" t="n"/>
      <c r="CB2232" s="208" t="n"/>
      <c r="CC2232" s="139" t="n"/>
      <c r="CD2232" s="204" t="n"/>
      <c r="CE2232" s="204" t="n"/>
      <c r="CF2232" s="207" t="n"/>
      <c r="CG2232" s="208" t="n"/>
      <c r="CH2232" s="207" t="n"/>
      <c r="CI2232" s="208" t="n"/>
      <c r="CJ2232" s="204" t="n"/>
      <c r="CK2232" s="208" t="n"/>
      <c r="CL2232" s="208" t="n"/>
      <c r="CM2232" s="208" t="n"/>
      <c r="CN2232" s="78" t="n"/>
      <c r="CO2232" s="209" t="n"/>
      <c r="CP2232" s="204" t="n"/>
      <c r="CQ2232" s="204" t="n"/>
      <c r="CR2232" s="204" t="n"/>
      <c r="CS2232" s="204" t="n"/>
      <c r="CT2232" s="204" t="n"/>
      <c r="CU2232" s="204" t="n"/>
      <c r="CV2232" s="204" t="n"/>
      <c r="CW2232" s="204" t="n"/>
    </row>
    <row r="2233">
      <c r="BF2233" s="78" t="n"/>
      <c r="BG2233" s="78" t="n"/>
      <c r="BH2233" s="78" t="n"/>
      <c r="BI2233" s="78" t="n"/>
      <c r="BJ2233" s="139" t="n"/>
      <c r="BK2233" s="204" t="n"/>
      <c r="BL2233" s="141" t="n"/>
      <c r="BM2233" s="205" t="n"/>
      <c r="BN2233" s="205" t="n"/>
      <c r="BO2233" s="206" t="n"/>
      <c r="BP2233" s="144" t="n"/>
      <c r="BQ2233" s="141" t="n"/>
      <c r="BR2233" s="207" t="n"/>
      <c r="BS2233" s="207" t="n"/>
      <c r="BT2233" s="207" t="n"/>
      <c r="BU2233" s="207" t="n"/>
      <c r="BV2233" s="208" t="n"/>
      <c r="BW2233" s="207" t="n"/>
      <c r="BX2233" s="207" t="n"/>
      <c r="BY2233" s="204" t="n"/>
      <c r="BZ2233" s="148" t="n"/>
      <c r="CA2233" s="204" t="n"/>
      <c r="CB2233" s="208" t="n"/>
      <c r="CC2233" s="139" t="n"/>
      <c r="CD2233" s="204" t="n"/>
      <c r="CE2233" s="204" t="n"/>
      <c r="CF2233" s="207" t="n"/>
      <c r="CG2233" s="208" t="n"/>
      <c r="CH2233" s="207" t="n"/>
      <c r="CI2233" s="208" t="n"/>
      <c r="CJ2233" s="204" t="n"/>
      <c r="CK2233" s="208" t="n"/>
      <c r="CL2233" s="208" t="n"/>
      <c r="CM2233" s="208" t="n"/>
      <c r="CN2233" s="78" t="n"/>
      <c r="CO2233" s="209" t="n"/>
      <c r="CP2233" s="204" t="n"/>
      <c r="CQ2233" s="204" t="n"/>
      <c r="CR2233" s="204" t="n"/>
      <c r="CS2233" s="204" t="n"/>
      <c r="CT2233" s="204" t="n"/>
      <c r="CU2233" s="204" t="n"/>
      <c r="CV2233" s="204" t="n"/>
      <c r="CW2233" s="204" t="n"/>
    </row>
    <row r="2234">
      <c r="BF2234" s="78" t="n"/>
      <c r="BG2234" s="78" t="n"/>
      <c r="BH2234" s="78" t="n"/>
      <c r="BI2234" s="78" t="n"/>
      <c r="BJ2234" s="139" t="n"/>
      <c r="BK2234" s="204" t="n"/>
      <c r="BL2234" s="141" t="n"/>
      <c r="BM2234" s="205" t="n"/>
      <c r="BN2234" s="205" t="n"/>
      <c r="BO2234" s="206" t="n"/>
      <c r="BP2234" s="144" t="n"/>
      <c r="BQ2234" s="141" t="n"/>
      <c r="BR2234" s="207" t="n"/>
      <c r="BS2234" s="207" t="n"/>
      <c r="BT2234" s="207" t="n"/>
      <c r="BU2234" s="207" t="n"/>
      <c r="BV2234" s="208" t="n"/>
      <c r="BW2234" s="207" t="n"/>
      <c r="BX2234" s="207" t="n"/>
      <c r="BY2234" s="204" t="n"/>
      <c r="BZ2234" s="148" t="n"/>
      <c r="CA2234" s="204" t="n"/>
      <c r="CB2234" s="208" t="n"/>
      <c r="CC2234" s="139" t="n"/>
      <c r="CD2234" s="204" t="n"/>
      <c r="CE2234" s="204" t="n"/>
      <c r="CF2234" s="207" t="n"/>
      <c r="CG2234" s="208" t="n"/>
      <c r="CH2234" s="207" t="n"/>
      <c r="CI2234" s="208" t="n"/>
      <c r="CJ2234" s="204" t="n"/>
      <c r="CK2234" s="208" t="n"/>
      <c r="CL2234" s="208" t="n"/>
      <c r="CM2234" s="208" t="n"/>
      <c r="CN2234" s="78" t="n"/>
      <c r="CO2234" s="209" t="n"/>
      <c r="CP2234" s="204" t="n"/>
      <c r="CQ2234" s="204" t="n"/>
      <c r="CR2234" s="204" t="n"/>
      <c r="CS2234" s="204" t="n"/>
      <c r="CT2234" s="204" t="n"/>
      <c r="CU2234" s="204" t="n"/>
      <c r="CV2234" s="204" t="n"/>
      <c r="CW2234" s="204" t="n"/>
    </row>
    <row r="2235">
      <c r="BF2235" s="78" t="n"/>
      <c r="BG2235" s="78" t="n"/>
      <c r="BH2235" s="78" t="n"/>
      <c r="BI2235" s="78" t="n"/>
      <c r="BJ2235" s="139" t="n"/>
      <c r="BK2235" s="204" t="n"/>
      <c r="BL2235" s="141" t="n"/>
      <c r="BM2235" s="205" t="n"/>
      <c r="BN2235" s="205" t="n"/>
      <c r="BO2235" s="206" t="n"/>
      <c r="BP2235" s="144" t="n"/>
      <c r="BQ2235" s="141" t="n"/>
      <c r="BR2235" s="207" t="n"/>
      <c r="BS2235" s="207" t="n"/>
      <c r="BT2235" s="207" t="n"/>
      <c r="BU2235" s="207" t="n"/>
      <c r="BV2235" s="208" t="n"/>
      <c r="BW2235" s="207" t="n"/>
      <c r="BX2235" s="207" t="n"/>
      <c r="BY2235" s="204" t="n"/>
      <c r="BZ2235" s="148" t="n"/>
      <c r="CA2235" s="204" t="n"/>
      <c r="CB2235" s="208" t="n"/>
      <c r="CC2235" s="139" t="n"/>
      <c r="CD2235" s="204" t="n"/>
      <c r="CE2235" s="204" t="n"/>
      <c r="CF2235" s="207" t="n"/>
      <c r="CG2235" s="208" t="n"/>
      <c r="CH2235" s="207" t="n"/>
      <c r="CI2235" s="208" t="n"/>
      <c r="CJ2235" s="204" t="n"/>
      <c r="CK2235" s="208" t="n"/>
      <c r="CL2235" s="208" t="n"/>
      <c r="CM2235" s="208" t="n"/>
      <c r="CN2235" s="78" t="n"/>
      <c r="CO2235" s="209" t="n"/>
      <c r="CP2235" s="204" t="n"/>
      <c r="CQ2235" s="204" t="n"/>
      <c r="CR2235" s="204" t="n"/>
      <c r="CS2235" s="204" t="n"/>
      <c r="CT2235" s="204" t="n"/>
      <c r="CU2235" s="204" t="n"/>
      <c r="CV2235" s="204" t="n"/>
      <c r="CW2235" s="204" t="n"/>
    </row>
    <row r="2236">
      <c r="BF2236" s="78" t="n"/>
      <c r="BG2236" s="78" t="n"/>
      <c r="BH2236" s="78" t="n"/>
      <c r="BI2236" s="78" t="n"/>
      <c r="BJ2236" s="139" t="n"/>
      <c r="BK2236" s="204" t="n"/>
      <c r="BL2236" s="141" t="n"/>
      <c r="BM2236" s="205" t="n"/>
      <c r="BN2236" s="205" t="n"/>
      <c r="BO2236" s="206" t="n"/>
      <c r="BP2236" s="144" t="n"/>
      <c r="BQ2236" s="141" t="n"/>
      <c r="BR2236" s="207" t="n"/>
      <c r="BS2236" s="207" t="n"/>
      <c r="BT2236" s="207" t="n"/>
      <c r="BU2236" s="207" t="n"/>
      <c r="BV2236" s="208" t="n"/>
      <c r="BW2236" s="207" t="n"/>
      <c r="BX2236" s="207" t="n"/>
      <c r="BY2236" s="204" t="n"/>
      <c r="BZ2236" s="148" t="n"/>
      <c r="CA2236" s="204" t="n"/>
      <c r="CB2236" s="208" t="n"/>
      <c r="CC2236" s="139" t="n"/>
      <c r="CD2236" s="204" t="n"/>
      <c r="CE2236" s="204" t="n"/>
      <c r="CF2236" s="207" t="n"/>
      <c r="CG2236" s="208" t="n"/>
      <c r="CH2236" s="207" t="n"/>
      <c r="CI2236" s="208" t="n"/>
      <c r="CJ2236" s="204" t="n"/>
      <c r="CK2236" s="208" t="n"/>
      <c r="CL2236" s="208" t="n"/>
      <c r="CM2236" s="208" t="n"/>
      <c r="CN2236" s="78" t="n"/>
      <c r="CO2236" s="209" t="n"/>
      <c r="CP2236" s="204" t="n"/>
      <c r="CQ2236" s="204" t="n"/>
      <c r="CR2236" s="204" t="n"/>
      <c r="CS2236" s="204" t="n"/>
      <c r="CT2236" s="204" t="n"/>
      <c r="CU2236" s="204" t="n"/>
      <c r="CV2236" s="204" t="n"/>
      <c r="CW2236" s="204" t="n"/>
    </row>
    <row r="2237">
      <c r="BF2237" s="78" t="n"/>
      <c r="BG2237" s="78" t="n"/>
      <c r="BH2237" s="78" t="n"/>
      <c r="BI2237" s="78" t="n"/>
      <c r="BJ2237" s="139" t="n"/>
      <c r="BK2237" s="204" t="n"/>
      <c r="BL2237" s="141" t="n"/>
      <c r="BM2237" s="205" t="n"/>
      <c r="BN2237" s="205" t="n"/>
      <c r="BO2237" s="206" t="n"/>
      <c r="BP2237" s="144" t="n"/>
      <c r="BQ2237" s="141" t="n"/>
      <c r="BR2237" s="207" t="n"/>
      <c r="BS2237" s="207" t="n"/>
      <c r="BT2237" s="207" t="n"/>
      <c r="BU2237" s="207" t="n"/>
      <c r="BV2237" s="208" t="n"/>
      <c r="BW2237" s="207" t="n"/>
      <c r="BX2237" s="207" t="n"/>
      <c r="BY2237" s="204" t="n"/>
      <c r="BZ2237" s="148" t="n"/>
      <c r="CA2237" s="204" t="n"/>
      <c r="CB2237" s="208" t="n"/>
      <c r="CC2237" s="139" t="n"/>
      <c r="CD2237" s="204" t="n"/>
      <c r="CE2237" s="204" t="n"/>
      <c r="CF2237" s="207" t="n"/>
      <c r="CG2237" s="208" t="n"/>
      <c r="CH2237" s="207" t="n"/>
      <c r="CI2237" s="208" t="n"/>
      <c r="CJ2237" s="204" t="n"/>
      <c r="CK2237" s="208" t="n"/>
      <c r="CL2237" s="208" t="n"/>
      <c r="CM2237" s="208" t="n"/>
      <c r="CN2237" s="78" t="n"/>
      <c r="CO2237" s="209" t="n"/>
      <c r="CP2237" s="204" t="n"/>
      <c r="CQ2237" s="204" t="n"/>
      <c r="CR2237" s="204" t="n"/>
      <c r="CS2237" s="204" t="n"/>
      <c r="CT2237" s="204" t="n"/>
      <c r="CU2237" s="204" t="n"/>
      <c r="CV2237" s="204" t="n"/>
      <c r="CW2237" s="204" t="n"/>
    </row>
    <row r="2238">
      <c r="BF2238" s="78" t="n"/>
      <c r="BG2238" s="78" t="n"/>
      <c r="BH2238" s="78" t="n"/>
      <c r="BI2238" s="78" t="n"/>
      <c r="BJ2238" s="139" t="n"/>
      <c r="BK2238" s="204" t="n"/>
      <c r="BL2238" s="141" t="n"/>
      <c r="BM2238" s="205" t="n"/>
      <c r="BN2238" s="205" t="n"/>
      <c r="BO2238" s="206" t="n"/>
      <c r="BP2238" s="144" t="n"/>
      <c r="BQ2238" s="141" t="n"/>
      <c r="BR2238" s="207" t="n"/>
      <c r="BS2238" s="207" t="n"/>
      <c r="BT2238" s="207" t="n"/>
      <c r="BU2238" s="207" t="n"/>
      <c r="BV2238" s="208" t="n"/>
      <c r="BW2238" s="207" t="n"/>
      <c r="BX2238" s="207" t="n"/>
      <c r="BY2238" s="204" t="n"/>
      <c r="BZ2238" s="148" t="n"/>
      <c r="CA2238" s="204" t="n"/>
      <c r="CB2238" s="208" t="n"/>
      <c r="CC2238" s="139" t="n"/>
      <c r="CD2238" s="204" t="n"/>
      <c r="CE2238" s="204" t="n"/>
      <c r="CF2238" s="207" t="n"/>
      <c r="CG2238" s="208" t="n"/>
      <c r="CH2238" s="207" t="n"/>
      <c r="CI2238" s="208" t="n"/>
      <c r="CJ2238" s="204" t="n"/>
      <c r="CK2238" s="208" t="n"/>
      <c r="CL2238" s="208" t="n"/>
      <c r="CM2238" s="208" t="n"/>
      <c r="CN2238" s="78" t="n"/>
      <c r="CO2238" s="209" t="n"/>
      <c r="CP2238" s="204" t="n"/>
      <c r="CQ2238" s="204" t="n"/>
      <c r="CR2238" s="204" t="n"/>
      <c r="CS2238" s="204" t="n"/>
      <c r="CT2238" s="204" t="n"/>
      <c r="CU2238" s="204" t="n"/>
      <c r="CV2238" s="204" t="n"/>
      <c r="CW2238" s="204" t="n"/>
    </row>
    <row r="2239">
      <c r="BF2239" s="78" t="n"/>
      <c r="BG2239" s="78" t="n"/>
      <c r="BH2239" s="78" t="n"/>
      <c r="BI2239" s="78" t="n"/>
      <c r="BJ2239" s="139" t="n"/>
      <c r="BK2239" s="204" t="n"/>
      <c r="BL2239" s="141" t="n"/>
      <c r="BM2239" s="205" t="n"/>
      <c r="BN2239" s="205" t="n"/>
      <c r="BO2239" s="206" t="n"/>
      <c r="BP2239" s="144" t="n"/>
      <c r="BQ2239" s="141" t="n"/>
      <c r="BR2239" s="207" t="n"/>
      <c r="BS2239" s="207" t="n"/>
      <c r="BT2239" s="207" t="n"/>
      <c r="BU2239" s="207" t="n"/>
      <c r="BV2239" s="208" t="n"/>
      <c r="BW2239" s="207" t="n"/>
      <c r="BX2239" s="207" t="n"/>
      <c r="BY2239" s="204" t="n"/>
      <c r="BZ2239" s="148" t="n"/>
      <c r="CA2239" s="204" t="n"/>
      <c r="CB2239" s="208" t="n"/>
      <c r="CC2239" s="139" t="n"/>
      <c r="CD2239" s="204" t="n"/>
      <c r="CE2239" s="204" t="n"/>
      <c r="CF2239" s="207" t="n"/>
      <c r="CG2239" s="208" t="n"/>
      <c r="CH2239" s="207" t="n"/>
      <c r="CI2239" s="208" t="n"/>
      <c r="CJ2239" s="204" t="n"/>
      <c r="CK2239" s="208" t="n"/>
      <c r="CL2239" s="208" t="n"/>
      <c r="CM2239" s="208" t="n"/>
      <c r="CN2239" s="78" t="n"/>
      <c r="CO2239" s="209" t="n"/>
      <c r="CP2239" s="204" t="n"/>
      <c r="CQ2239" s="204" t="n"/>
      <c r="CR2239" s="204" t="n"/>
      <c r="CS2239" s="204" t="n"/>
      <c r="CT2239" s="204" t="n"/>
      <c r="CU2239" s="204" t="n"/>
      <c r="CV2239" s="204" t="n"/>
      <c r="CW2239" s="204" t="n"/>
    </row>
    <row r="2240">
      <c r="BF2240" s="78" t="n"/>
      <c r="BG2240" s="78" t="n"/>
      <c r="BH2240" s="78" t="n"/>
      <c r="BI2240" s="78" t="n"/>
      <c r="BJ2240" s="139" t="n"/>
      <c r="BK2240" s="204" t="n"/>
      <c r="BL2240" s="141" t="n"/>
      <c r="BM2240" s="205" t="n"/>
      <c r="BN2240" s="205" t="n"/>
      <c r="BO2240" s="206" t="n"/>
      <c r="BP2240" s="144" t="n"/>
      <c r="BQ2240" s="141" t="n"/>
      <c r="BR2240" s="207" t="n"/>
      <c r="BS2240" s="207" t="n"/>
      <c r="BT2240" s="207" t="n"/>
      <c r="BU2240" s="207" t="n"/>
      <c r="BV2240" s="208" t="n"/>
      <c r="BW2240" s="207" t="n"/>
      <c r="BX2240" s="207" t="n"/>
      <c r="BY2240" s="204" t="n"/>
      <c r="BZ2240" s="148" t="n"/>
      <c r="CA2240" s="204" t="n"/>
      <c r="CB2240" s="208" t="n"/>
      <c r="CC2240" s="139" t="n"/>
      <c r="CD2240" s="204" t="n"/>
      <c r="CE2240" s="204" t="n"/>
      <c r="CF2240" s="207" t="n"/>
      <c r="CG2240" s="208" t="n"/>
      <c r="CH2240" s="207" t="n"/>
      <c r="CI2240" s="208" t="n"/>
      <c r="CJ2240" s="204" t="n"/>
      <c r="CK2240" s="208" t="n"/>
      <c r="CL2240" s="208" t="n"/>
      <c r="CM2240" s="208" t="n"/>
      <c r="CN2240" s="78" t="n"/>
      <c r="CO2240" s="209" t="n"/>
      <c r="CP2240" s="204" t="n"/>
      <c r="CQ2240" s="204" t="n"/>
      <c r="CR2240" s="204" t="n"/>
      <c r="CS2240" s="204" t="n"/>
      <c r="CT2240" s="204" t="n"/>
      <c r="CU2240" s="204" t="n"/>
      <c r="CV2240" s="204" t="n"/>
      <c r="CW2240" s="204" t="n"/>
    </row>
    <row r="2241">
      <c r="BF2241" s="78" t="n"/>
      <c r="BG2241" s="78" t="n"/>
      <c r="BH2241" s="78" t="n"/>
      <c r="BI2241" s="78" t="n"/>
      <c r="BJ2241" s="139" t="n"/>
      <c r="BK2241" s="204" t="n"/>
      <c r="BL2241" s="141" t="n"/>
      <c r="BM2241" s="205" t="n"/>
      <c r="BN2241" s="205" t="n"/>
      <c r="BO2241" s="206" t="n"/>
      <c r="BP2241" s="144" t="n"/>
      <c r="BQ2241" s="141" t="n"/>
      <c r="BR2241" s="207" t="n"/>
      <c r="BS2241" s="207" t="n"/>
      <c r="BT2241" s="207" t="n"/>
      <c r="BU2241" s="207" t="n"/>
      <c r="BV2241" s="208" t="n"/>
      <c r="BW2241" s="207" t="n"/>
      <c r="BX2241" s="207" t="n"/>
      <c r="BY2241" s="204" t="n"/>
      <c r="BZ2241" s="148" t="n"/>
      <c r="CA2241" s="204" t="n"/>
      <c r="CB2241" s="208" t="n"/>
      <c r="CC2241" s="139" t="n"/>
      <c r="CD2241" s="204" t="n"/>
      <c r="CE2241" s="204" t="n"/>
      <c r="CF2241" s="207" t="n"/>
      <c r="CG2241" s="208" t="n"/>
      <c r="CH2241" s="207" t="n"/>
      <c r="CI2241" s="208" t="n"/>
      <c r="CJ2241" s="204" t="n"/>
      <c r="CK2241" s="208" t="n"/>
      <c r="CL2241" s="208" t="n"/>
      <c r="CM2241" s="208" t="n"/>
      <c r="CN2241" s="78" t="n"/>
      <c r="CO2241" s="209" t="n"/>
      <c r="CP2241" s="204" t="n"/>
      <c r="CQ2241" s="204" t="n"/>
      <c r="CR2241" s="204" t="n"/>
      <c r="CS2241" s="204" t="n"/>
      <c r="CT2241" s="204" t="n"/>
      <c r="CU2241" s="204" t="n"/>
      <c r="CV2241" s="204" t="n"/>
      <c r="CW2241" s="204" t="n"/>
    </row>
    <row r="2242">
      <c r="BF2242" s="78" t="n"/>
      <c r="BG2242" s="78" t="n"/>
      <c r="BH2242" s="78" t="n"/>
      <c r="BI2242" s="78" t="n"/>
      <c r="BJ2242" s="139" t="n"/>
      <c r="BK2242" s="204" t="n"/>
      <c r="BL2242" s="141" t="n"/>
      <c r="BM2242" s="205" t="n"/>
      <c r="BN2242" s="205" t="n"/>
      <c r="BO2242" s="206" t="n"/>
      <c r="BP2242" s="144" t="n"/>
      <c r="BQ2242" s="141" t="n"/>
      <c r="BR2242" s="207" t="n"/>
      <c r="BS2242" s="207" t="n"/>
      <c r="BT2242" s="207" t="n"/>
      <c r="BU2242" s="207" t="n"/>
      <c r="BV2242" s="208" t="n"/>
      <c r="BW2242" s="207" t="n"/>
      <c r="BX2242" s="207" t="n"/>
      <c r="BY2242" s="204" t="n"/>
      <c r="BZ2242" s="148" t="n"/>
      <c r="CA2242" s="204" t="n"/>
      <c r="CB2242" s="208" t="n"/>
      <c r="CC2242" s="139" t="n"/>
      <c r="CD2242" s="204" t="n"/>
      <c r="CE2242" s="204" t="n"/>
      <c r="CF2242" s="207" t="n"/>
      <c r="CG2242" s="208" t="n"/>
      <c r="CH2242" s="207" t="n"/>
      <c r="CI2242" s="208" t="n"/>
      <c r="CJ2242" s="204" t="n"/>
      <c r="CK2242" s="208" t="n"/>
      <c r="CL2242" s="208" t="n"/>
      <c r="CM2242" s="208" t="n"/>
      <c r="CN2242" s="78" t="n"/>
      <c r="CO2242" s="209" t="n"/>
      <c r="CP2242" s="204" t="n"/>
      <c r="CQ2242" s="204" t="n"/>
      <c r="CR2242" s="204" t="n"/>
      <c r="CS2242" s="204" t="n"/>
      <c r="CT2242" s="204" t="n"/>
      <c r="CU2242" s="204" t="n"/>
      <c r="CV2242" s="204" t="n"/>
      <c r="CW2242" s="204" t="n"/>
    </row>
    <row r="2243">
      <c r="BF2243" s="78" t="n"/>
      <c r="BG2243" s="78" t="n"/>
      <c r="BH2243" s="78" t="n"/>
      <c r="BI2243" s="78" t="n"/>
      <c r="BJ2243" s="139" t="n"/>
      <c r="BK2243" s="204" t="n"/>
      <c r="BL2243" s="141" t="n"/>
      <c r="BM2243" s="205" t="n"/>
      <c r="BN2243" s="205" t="n"/>
      <c r="BO2243" s="206" t="n"/>
      <c r="BP2243" s="144" t="n"/>
      <c r="BQ2243" s="141" t="n"/>
      <c r="BR2243" s="207" t="n"/>
      <c r="BS2243" s="207" t="n"/>
      <c r="BT2243" s="207" t="n"/>
      <c r="BU2243" s="207" t="n"/>
      <c r="BV2243" s="208" t="n"/>
      <c r="BW2243" s="207" t="n"/>
      <c r="BX2243" s="207" t="n"/>
      <c r="BY2243" s="204" t="n"/>
      <c r="BZ2243" s="148" t="n"/>
      <c r="CA2243" s="204" t="n"/>
      <c r="CB2243" s="208" t="n"/>
      <c r="CC2243" s="139" t="n"/>
      <c r="CD2243" s="204" t="n"/>
      <c r="CE2243" s="204" t="n"/>
      <c r="CF2243" s="207" t="n"/>
      <c r="CG2243" s="208" t="n"/>
      <c r="CH2243" s="207" t="n"/>
      <c r="CI2243" s="208" t="n"/>
      <c r="CJ2243" s="204" t="n"/>
      <c r="CK2243" s="208" t="n"/>
      <c r="CL2243" s="208" t="n"/>
      <c r="CM2243" s="208" t="n"/>
      <c r="CN2243" s="78" t="n"/>
      <c r="CO2243" s="209" t="n"/>
      <c r="CP2243" s="204" t="n"/>
      <c r="CQ2243" s="204" t="n"/>
      <c r="CR2243" s="204" t="n"/>
      <c r="CS2243" s="204" t="n"/>
      <c r="CT2243" s="204" t="n"/>
      <c r="CU2243" s="204" t="n"/>
      <c r="CV2243" s="204" t="n"/>
      <c r="CW2243" s="204" t="n"/>
    </row>
    <row r="2244">
      <c r="BF2244" s="78" t="n"/>
      <c r="BG2244" s="78" t="n"/>
      <c r="BH2244" s="78" t="n"/>
      <c r="BI2244" s="78" t="n"/>
      <c r="BJ2244" s="139" t="n"/>
      <c r="BK2244" s="204" t="n"/>
      <c r="BL2244" s="141" t="n"/>
      <c r="BM2244" s="205" t="n"/>
      <c r="BN2244" s="205" t="n"/>
      <c r="BO2244" s="206" t="n"/>
      <c r="BP2244" s="144" t="n"/>
      <c r="BQ2244" s="141" t="n"/>
      <c r="BR2244" s="207" t="n"/>
      <c r="BS2244" s="207" t="n"/>
      <c r="BT2244" s="207" t="n"/>
      <c r="BU2244" s="207" t="n"/>
      <c r="BV2244" s="208" t="n"/>
      <c r="BW2244" s="207" t="n"/>
      <c r="BX2244" s="207" t="n"/>
      <c r="BY2244" s="204" t="n"/>
      <c r="BZ2244" s="148" t="n"/>
      <c r="CA2244" s="204" t="n"/>
      <c r="CB2244" s="208" t="n"/>
      <c r="CC2244" s="139" t="n"/>
      <c r="CD2244" s="204" t="n"/>
      <c r="CE2244" s="204" t="n"/>
      <c r="CF2244" s="207" t="n"/>
      <c r="CG2244" s="208" t="n"/>
      <c r="CH2244" s="207" t="n"/>
      <c r="CI2244" s="208" t="n"/>
      <c r="CJ2244" s="204" t="n"/>
      <c r="CK2244" s="208" t="n"/>
      <c r="CL2244" s="208" t="n"/>
      <c r="CM2244" s="208" t="n"/>
      <c r="CN2244" s="78" t="n"/>
      <c r="CO2244" s="209" t="n"/>
      <c r="CP2244" s="204" t="n"/>
      <c r="CQ2244" s="204" t="n"/>
      <c r="CR2244" s="204" t="n"/>
      <c r="CS2244" s="204" t="n"/>
      <c r="CT2244" s="204" t="n"/>
      <c r="CU2244" s="204" t="n"/>
      <c r="CV2244" s="204" t="n"/>
      <c r="CW2244" s="204" t="n"/>
    </row>
    <row r="2245">
      <c r="BF2245" s="78" t="n"/>
      <c r="BG2245" s="78" t="n"/>
      <c r="BH2245" s="78" t="n"/>
      <c r="BI2245" s="78" t="n"/>
      <c r="BJ2245" s="139" t="n"/>
      <c r="BK2245" s="204" t="n"/>
      <c r="BL2245" s="141" t="n"/>
      <c r="BM2245" s="205" t="n"/>
      <c r="BN2245" s="205" t="n"/>
      <c r="BO2245" s="206" t="n"/>
      <c r="BP2245" s="144" t="n"/>
      <c r="BQ2245" s="141" t="n"/>
      <c r="BR2245" s="207" t="n"/>
      <c r="BS2245" s="207" t="n"/>
      <c r="BT2245" s="207" t="n"/>
      <c r="BU2245" s="207" t="n"/>
      <c r="BV2245" s="208" t="n"/>
      <c r="BW2245" s="207" t="n"/>
      <c r="BX2245" s="207" t="n"/>
      <c r="BY2245" s="204" t="n"/>
      <c r="BZ2245" s="148" t="n"/>
      <c r="CA2245" s="204" t="n"/>
      <c r="CB2245" s="208" t="n"/>
      <c r="CC2245" s="139" t="n"/>
      <c r="CD2245" s="204" t="n"/>
      <c r="CE2245" s="204" t="n"/>
      <c r="CF2245" s="207" t="n"/>
      <c r="CG2245" s="208" t="n"/>
      <c r="CH2245" s="207" t="n"/>
      <c r="CI2245" s="208" t="n"/>
      <c r="CJ2245" s="204" t="n"/>
      <c r="CK2245" s="208" t="n"/>
      <c r="CL2245" s="208" t="n"/>
      <c r="CM2245" s="208" t="n"/>
      <c r="CN2245" s="78" t="n"/>
      <c r="CO2245" s="209" t="n"/>
      <c r="CP2245" s="204" t="n"/>
      <c r="CQ2245" s="204" t="n"/>
      <c r="CR2245" s="204" t="n"/>
      <c r="CS2245" s="204" t="n"/>
      <c r="CT2245" s="204" t="n"/>
      <c r="CU2245" s="204" t="n"/>
      <c r="CV2245" s="204" t="n"/>
      <c r="CW2245" s="204" t="n"/>
    </row>
    <row r="2246">
      <c r="BF2246" s="78" t="n"/>
      <c r="BG2246" s="78" t="n"/>
      <c r="BH2246" s="78" t="n"/>
      <c r="BI2246" s="78" t="n"/>
      <c r="BJ2246" s="139" t="n"/>
      <c r="BK2246" s="204" t="n"/>
      <c r="BL2246" s="141" t="n"/>
      <c r="BM2246" s="205" t="n"/>
      <c r="BN2246" s="205" t="n"/>
      <c r="BO2246" s="206" t="n"/>
      <c r="BP2246" s="144" t="n"/>
      <c r="BQ2246" s="141" t="n"/>
      <c r="BR2246" s="207" t="n"/>
      <c r="BS2246" s="207" t="n"/>
      <c r="BT2246" s="207" t="n"/>
      <c r="BU2246" s="207" t="n"/>
      <c r="BV2246" s="208" t="n"/>
      <c r="BW2246" s="207" t="n"/>
      <c r="BX2246" s="207" t="n"/>
      <c r="BY2246" s="204" t="n"/>
      <c r="BZ2246" s="148" t="n"/>
      <c r="CA2246" s="204" t="n"/>
      <c r="CB2246" s="208" t="n"/>
      <c r="CC2246" s="139" t="n"/>
      <c r="CD2246" s="204" t="n"/>
      <c r="CE2246" s="204" t="n"/>
      <c r="CF2246" s="207" t="n"/>
      <c r="CG2246" s="208" t="n"/>
      <c r="CH2246" s="207" t="n"/>
      <c r="CI2246" s="208" t="n"/>
      <c r="CJ2246" s="204" t="n"/>
      <c r="CK2246" s="208" t="n"/>
      <c r="CL2246" s="208" t="n"/>
      <c r="CM2246" s="208" t="n"/>
      <c r="CN2246" s="78" t="n"/>
      <c r="CO2246" s="209" t="n"/>
      <c r="CP2246" s="204" t="n"/>
      <c r="CQ2246" s="204" t="n"/>
      <c r="CR2246" s="204" t="n"/>
      <c r="CS2246" s="204" t="n"/>
      <c r="CT2246" s="204" t="n"/>
      <c r="CU2246" s="204" t="n"/>
      <c r="CV2246" s="204" t="n"/>
      <c r="CW2246" s="204" t="n"/>
    </row>
    <row r="2247">
      <c r="BF2247" s="78" t="n"/>
      <c r="BG2247" s="78" t="n"/>
      <c r="BH2247" s="78" t="n"/>
      <c r="BI2247" s="78" t="n"/>
      <c r="BJ2247" s="139" t="n"/>
      <c r="BK2247" s="204" t="n"/>
      <c r="BL2247" s="141" t="n"/>
      <c r="BM2247" s="205" t="n"/>
      <c r="BN2247" s="205" t="n"/>
      <c r="BO2247" s="206" t="n"/>
      <c r="BP2247" s="144" t="n"/>
      <c r="BQ2247" s="141" t="n"/>
      <c r="BR2247" s="207" t="n"/>
      <c r="BS2247" s="207" t="n"/>
      <c r="BT2247" s="207" t="n"/>
      <c r="BU2247" s="207" t="n"/>
      <c r="BV2247" s="208" t="n"/>
      <c r="BW2247" s="207" t="n"/>
      <c r="BX2247" s="207" t="n"/>
      <c r="BY2247" s="204" t="n"/>
      <c r="BZ2247" s="148" t="n"/>
      <c r="CA2247" s="204" t="n"/>
      <c r="CB2247" s="208" t="n"/>
      <c r="CC2247" s="139" t="n"/>
      <c r="CD2247" s="204" t="n"/>
      <c r="CE2247" s="204" t="n"/>
      <c r="CF2247" s="207" t="n"/>
      <c r="CG2247" s="208" t="n"/>
      <c r="CH2247" s="207" t="n"/>
      <c r="CI2247" s="208" t="n"/>
      <c r="CJ2247" s="204" t="n"/>
      <c r="CK2247" s="208" t="n"/>
      <c r="CL2247" s="208" t="n"/>
      <c r="CM2247" s="208" t="n"/>
      <c r="CN2247" s="78" t="n"/>
      <c r="CO2247" s="209" t="n"/>
      <c r="CP2247" s="204" t="n"/>
      <c r="CQ2247" s="204" t="n"/>
      <c r="CR2247" s="204" t="n"/>
      <c r="CS2247" s="204" t="n"/>
      <c r="CT2247" s="204" t="n"/>
      <c r="CU2247" s="204" t="n"/>
      <c r="CV2247" s="204" t="n"/>
      <c r="CW2247" s="204" t="n"/>
    </row>
    <row r="2248">
      <c r="BF2248" s="78" t="n"/>
      <c r="BG2248" s="78" t="n"/>
      <c r="BH2248" s="78" t="n"/>
      <c r="BI2248" s="78" t="n"/>
      <c r="BJ2248" s="139" t="n"/>
      <c r="BK2248" s="204" t="n"/>
      <c r="BL2248" s="141" t="n"/>
      <c r="BM2248" s="205" t="n"/>
      <c r="BN2248" s="205" t="n"/>
      <c r="BO2248" s="206" t="n"/>
      <c r="BP2248" s="144" t="n"/>
      <c r="BQ2248" s="141" t="n"/>
      <c r="BR2248" s="207" t="n"/>
      <c r="BS2248" s="207" t="n"/>
      <c r="BT2248" s="207" t="n"/>
      <c r="BU2248" s="207" t="n"/>
      <c r="BV2248" s="208" t="n"/>
      <c r="BW2248" s="207" t="n"/>
      <c r="BX2248" s="207" t="n"/>
      <c r="BY2248" s="204" t="n"/>
      <c r="BZ2248" s="148" t="n"/>
      <c r="CA2248" s="204" t="n"/>
      <c r="CB2248" s="208" t="n"/>
      <c r="CC2248" s="139" t="n"/>
      <c r="CD2248" s="204" t="n"/>
      <c r="CE2248" s="204" t="n"/>
      <c r="CF2248" s="207" t="n"/>
      <c r="CG2248" s="208" t="n"/>
      <c r="CH2248" s="207" t="n"/>
      <c r="CI2248" s="208" t="n"/>
      <c r="CJ2248" s="204" t="n"/>
      <c r="CK2248" s="208" t="n"/>
      <c r="CL2248" s="208" t="n"/>
      <c r="CM2248" s="208" t="n"/>
      <c r="CN2248" s="78" t="n"/>
      <c r="CO2248" s="209" t="n"/>
      <c r="CP2248" s="204" t="n"/>
      <c r="CQ2248" s="204" t="n"/>
      <c r="CR2248" s="204" t="n"/>
      <c r="CS2248" s="204" t="n"/>
      <c r="CT2248" s="204" t="n"/>
      <c r="CU2248" s="204" t="n"/>
      <c r="CV2248" s="204" t="n"/>
      <c r="CW2248" s="204" t="n"/>
    </row>
    <row r="2249">
      <c r="BF2249" s="78" t="n"/>
      <c r="BG2249" s="78" t="n"/>
      <c r="BH2249" s="78" t="n"/>
      <c r="BI2249" s="78" t="n"/>
      <c r="BJ2249" s="139" t="n"/>
      <c r="BK2249" s="204" t="n"/>
      <c r="BL2249" s="141" t="n"/>
      <c r="BM2249" s="205" t="n"/>
      <c r="BN2249" s="205" t="n"/>
      <c r="BO2249" s="206" t="n"/>
      <c r="BP2249" s="144" t="n"/>
      <c r="BQ2249" s="141" t="n"/>
      <c r="BR2249" s="207" t="n"/>
      <c r="BS2249" s="207" t="n"/>
      <c r="BT2249" s="207" t="n"/>
      <c r="BU2249" s="207" t="n"/>
      <c r="BV2249" s="208" t="n"/>
      <c r="BW2249" s="207" t="n"/>
      <c r="BX2249" s="207" t="n"/>
      <c r="BY2249" s="204" t="n"/>
      <c r="BZ2249" s="148" t="n"/>
      <c r="CA2249" s="204" t="n"/>
      <c r="CB2249" s="208" t="n"/>
      <c r="CC2249" s="139" t="n"/>
      <c r="CD2249" s="204" t="n"/>
      <c r="CE2249" s="204" t="n"/>
      <c r="CF2249" s="207" t="n"/>
      <c r="CG2249" s="208" t="n"/>
      <c r="CH2249" s="207" t="n"/>
      <c r="CI2249" s="208" t="n"/>
      <c r="CJ2249" s="204" t="n"/>
      <c r="CK2249" s="208" t="n"/>
      <c r="CL2249" s="208" t="n"/>
      <c r="CM2249" s="208" t="n"/>
      <c r="CN2249" s="78" t="n"/>
      <c r="CO2249" s="209" t="n"/>
      <c r="CP2249" s="204" t="n"/>
      <c r="CQ2249" s="204" t="n"/>
      <c r="CR2249" s="204" t="n"/>
      <c r="CS2249" s="204" t="n"/>
      <c r="CT2249" s="204" t="n"/>
      <c r="CU2249" s="204" t="n"/>
      <c r="CV2249" s="204" t="n"/>
      <c r="CW2249" s="204" t="n"/>
    </row>
    <row r="2250">
      <c r="BF2250" s="78" t="n"/>
      <c r="BG2250" s="78" t="n"/>
      <c r="BH2250" s="78" t="n"/>
      <c r="BI2250" s="78" t="n"/>
      <c r="BJ2250" s="139" t="n"/>
      <c r="BK2250" s="204" t="n"/>
      <c r="BL2250" s="141" t="n"/>
      <c r="BM2250" s="205" t="n"/>
      <c r="BN2250" s="205" t="n"/>
      <c r="BO2250" s="206" t="n"/>
      <c r="BP2250" s="144" t="n"/>
      <c r="BQ2250" s="141" t="n"/>
      <c r="BR2250" s="207" t="n"/>
      <c r="BS2250" s="207" t="n"/>
      <c r="BT2250" s="207" t="n"/>
      <c r="BU2250" s="207" t="n"/>
      <c r="BV2250" s="208" t="n"/>
      <c r="BW2250" s="207" t="n"/>
      <c r="BX2250" s="207" t="n"/>
      <c r="BY2250" s="204" t="n"/>
      <c r="BZ2250" s="148" t="n"/>
      <c r="CA2250" s="204" t="n"/>
      <c r="CB2250" s="208" t="n"/>
      <c r="CC2250" s="139" t="n"/>
      <c r="CD2250" s="204" t="n"/>
      <c r="CE2250" s="204" t="n"/>
      <c r="CF2250" s="207" t="n"/>
      <c r="CG2250" s="208" t="n"/>
      <c r="CH2250" s="207" t="n"/>
      <c r="CI2250" s="208" t="n"/>
      <c r="CJ2250" s="204" t="n"/>
      <c r="CK2250" s="208" t="n"/>
      <c r="CL2250" s="208" t="n"/>
      <c r="CM2250" s="208" t="n"/>
      <c r="CN2250" s="78" t="n"/>
      <c r="CO2250" s="209" t="n"/>
      <c r="CP2250" s="204" t="n"/>
      <c r="CQ2250" s="204" t="n"/>
      <c r="CR2250" s="204" t="n"/>
      <c r="CS2250" s="204" t="n"/>
      <c r="CT2250" s="204" t="n"/>
      <c r="CU2250" s="204" t="n"/>
      <c r="CV2250" s="204" t="n"/>
      <c r="CW2250" s="204" t="n"/>
    </row>
    <row r="2251">
      <c r="BF2251" s="78" t="n"/>
      <c r="BG2251" s="78" t="n"/>
      <c r="BH2251" s="78" t="n"/>
      <c r="BI2251" s="78" t="n"/>
      <c r="BJ2251" s="139" t="n"/>
      <c r="BK2251" s="204" t="n"/>
      <c r="BL2251" s="141" t="n"/>
      <c r="BM2251" s="205" t="n"/>
      <c r="BN2251" s="205" t="n"/>
      <c r="BO2251" s="206" t="n"/>
      <c r="BP2251" s="144" t="n"/>
      <c r="BQ2251" s="141" t="n"/>
      <c r="BR2251" s="207" t="n"/>
      <c r="BS2251" s="207" t="n"/>
      <c r="BT2251" s="207" t="n"/>
      <c r="BU2251" s="207" t="n"/>
      <c r="BV2251" s="208" t="n"/>
      <c r="BW2251" s="207" t="n"/>
      <c r="BX2251" s="207" t="n"/>
      <c r="BY2251" s="204" t="n"/>
      <c r="BZ2251" s="148" t="n"/>
      <c r="CA2251" s="204" t="n"/>
      <c r="CB2251" s="208" t="n"/>
      <c r="CC2251" s="139" t="n"/>
      <c r="CD2251" s="204" t="n"/>
      <c r="CE2251" s="204" t="n"/>
      <c r="CF2251" s="207" t="n"/>
      <c r="CG2251" s="208" t="n"/>
      <c r="CH2251" s="207" t="n"/>
      <c r="CI2251" s="208" t="n"/>
      <c r="CJ2251" s="204" t="n"/>
      <c r="CK2251" s="208" t="n"/>
      <c r="CL2251" s="208" t="n"/>
      <c r="CM2251" s="208" t="n"/>
      <c r="CN2251" s="78" t="n"/>
      <c r="CO2251" s="209" t="n"/>
      <c r="CP2251" s="204" t="n"/>
      <c r="CQ2251" s="204" t="n"/>
      <c r="CR2251" s="204" t="n"/>
      <c r="CS2251" s="204" t="n"/>
      <c r="CT2251" s="204" t="n"/>
      <c r="CU2251" s="204" t="n"/>
      <c r="CV2251" s="204" t="n"/>
      <c r="CW2251" s="204" t="n"/>
    </row>
    <row r="2252">
      <c r="BF2252" s="78" t="n"/>
      <c r="BG2252" s="78" t="n"/>
      <c r="BH2252" s="78" t="n"/>
      <c r="BI2252" s="78" t="n"/>
      <c r="BJ2252" s="139" t="n"/>
      <c r="BK2252" s="204" t="n"/>
      <c r="BL2252" s="141" t="n"/>
      <c r="BM2252" s="205" t="n"/>
      <c r="BN2252" s="205" t="n"/>
      <c r="BO2252" s="206" t="n"/>
      <c r="BP2252" s="144" t="n"/>
      <c r="BQ2252" s="141" t="n"/>
      <c r="BR2252" s="207" t="n"/>
      <c r="BS2252" s="207" t="n"/>
      <c r="BT2252" s="207" t="n"/>
      <c r="BU2252" s="207" t="n"/>
      <c r="BV2252" s="208" t="n"/>
      <c r="BW2252" s="207" t="n"/>
      <c r="BX2252" s="207" t="n"/>
      <c r="BY2252" s="204" t="n"/>
      <c r="BZ2252" s="148" t="n"/>
      <c r="CA2252" s="204" t="n"/>
      <c r="CB2252" s="208" t="n"/>
      <c r="CC2252" s="139" t="n"/>
      <c r="CD2252" s="204" t="n"/>
      <c r="CE2252" s="204" t="n"/>
      <c r="CF2252" s="207" t="n"/>
      <c r="CG2252" s="208" t="n"/>
      <c r="CH2252" s="207" t="n"/>
      <c r="CI2252" s="208" t="n"/>
      <c r="CJ2252" s="204" t="n"/>
      <c r="CK2252" s="208" t="n"/>
      <c r="CL2252" s="208" t="n"/>
      <c r="CM2252" s="208" t="n"/>
      <c r="CN2252" s="78" t="n"/>
      <c r="CO2252" s="209" t="n"/>
      <c r="CP2252" s="204" t="n"/>
      <c r="CQ2252" s="204" t="n"/>
      <c r="CR2252" s="204" t="n"/>
      <c r="CS2252" s="204" t="n"/>
      <c r="CT2252" s="204" t="n"/>
      <c r="CU2252" s="204" t="n"/>
      <c r="CV2252" s="204" t="n"/>
      <c r="CW2252" s="204" t="n"/>
    </row>
    <row r="2253">
      <c r="BF2253" s="78" t="n"/>
      <c r="BG2253" s="78" t="n"/>
      <c r="BH2253" s="78" t="n"/>
      <c r="BI2253" s="78" t="n"/>
      <c r="BJ2253" s="139" t="n"/>
      <c r="BK2253" s="204" t="n"/>
      <c r="BL2253" s="141" t="n"/>
      <c r="BM2253" s="205" t="n"/>
      <c r="BN2253" s="205" t="n"/>
      <c r="BO2253" s="206" t="n"/>
      <c r="BP2253" s="144" t="n"/>
      <c r="BQ2253" s="141" t="n"/>
      <c r="BR2253" s="207" t="n"/>
      <c r="BS2253" s="207" t="n"/>
      <c r="BT2253" s="207" t="n"/>
      <c r="BU2253" s="207" t="n"/>
      <c r="BV2253" s="208" t="n"/>
      <c r="BW2253" s="207" t="n"/>
      <c r="BX2253" s="207" t="n"/>
      <c r="BY2253" s="204" t="n"/>
      <c r="BZ2253" s="148" t="n"/>
      <c r="CA2253" s="204" t="n"/>
      <c r="CB2253" s="208" t="n"/>
      <c r="CC2253" s="139" t="n"/>
      <c r="CD2253" s="204" t="n"/>
      <c r="CE2253" s="204" t="n"/>
      <c r="CF2253" s="207" t="n"/>
      <c r="CG2253" s="208" t="n"/>
      <c r="CH2253" s="207" t="n"/>
      <c r="CI2253" s="208" t="n"/>
      <c r="CJ2253" s="204" t="n"/>
      <c r="CK2253" s="208" t="n"/>
      <c r="CL2253" s="208" t="n"/>
      <c r="CM2253" s="208" t="n"/>
      <c r="CN2253" s="78" t="n"/>
      <c r="CO2253" s="209" t="n"/>
      <c r="CP2253" s="204" t="n"/>
      <c r="CQ2253" s="204" t="n"/>
      <c r="CR2253" s="204" t="n"/>
      <c r="CS2253" s="204" t="n"/>
      <c r="CT2253" s="204" t="n"/>
      <c r="CU2253" s="204" t="n"/>
      <c r="CV2253" s="204" t="n"/>
      <c r="CW2253" s="204" t="n"/>
    </row>
    <row r="2254">
      <c r="BF2254" s="78" t="n"/>
      <c r="BG2254" s="78" t="n"/>
      <c r="BH2254" s="78" t="n"/>
      <c r="BI2254" s="78" t="n"/>
      <c r="BJ2254" s="139" t="n"/>
      <c r="BK2254" s="204" t="n"/>
      <c r="BL2254" s="141" t="n"/>
      <c r="BM2254" s="205" t="n"/>
      <c r="BN2254" s="205" t="n"/>
      <c r="BO2254" s="206" t="n"/>
      <c r="BP2254" s="144" t="n"/>
      <c r="BQ2254" s="141" t="n"/>
      <c r="BR2254" s="207" t="n"/>
      <c r="BS2254" s="207" t="n"/>
      <c r="BT2254" s="207" t="n"/>
      <c r="BU2254" s="207" t="n"/>
      <c r="BV2254" s="208" t="n"/>
      <c r="BW2254" s="207" t="n"/>
      <c r="BX2254" s="207" t="n"/>
      <c r="BY2254" s="204" t="n"/>
      <c r="BZ2254" s="148" t="n"/>
      <c r="CA2254" s="204" t="n"/>
      <c r="CB2254" s="208" t="n"/>
      <c r="CC2254" s="139" t="n"/>
      <c r="CD2254" s="204" t="n"/>
      <c r="CE2254" s="204" t="n"/>
      <c r="CF2254" s="207" t="n"/>
      <c r="CG2254" s="208" t="n"/>
      <c r="CH2254" s="207" t="n"/>
      <c r="CI2254" s="208" t="n"/>
      <c r="CJ2254" s="204" t="n"/>
      <c r="CK2254" s="208" t="n"/>
      <c r="CL2254" s="208" t="n"/>
      <c r="CM2254" s="208" t="n"/>
      <c r="CN2254" s="78" t="n"/>
      <c r="CO2254" s="209" t="n"/>
      <c r="CP2254" s="204" t="n"/>
      <c r="CQ2254" s="204" t="n"/>
      <c r="CR2254" s="204" t="n"/>
      <c r="CS2254" s="204" t="n"/>
      <c r="CT2254" s="204" t="n"/>
      <c r="CU2254" s="204" t="n"/>
      <c r="CV2254" s="204" t="n"/>
      <c r="CW2254" s="204" t="n"/>
    </row>
    <row r="2255">
      <c r="BF2255" s="78" t="n"/>
      <c r="BG2255" s="78" t="n"/>
      <c r="BH2255" s="78" t="n"/>
      <c r="BI2255" s="78" t="n"/>
      <c r="BJ2255" s="139" t="n"/>
      <c r="BK2255" s="204" t="n"/>
      <c r="BL2255" s="141" t="n"/>
      <c r="BM2255" s="205" t="n"/>
      <c r="BN2255" s="205" t="n"/>
      <c r="BO2255" s="206" t="n"/>
      <c r="BP2255" s="144" t="n"/>
      <c r="BQ2255" s="141" t="n"/>
      <c r="BR2255" s="207" t="n"/>
      <c r="BS2255" s="207" t="n"/>
      <c r="BT2255" s="207" t="n"/>
      <c r="BU2255" s="207" t="n"/>
      <c r="BV2255" s="208" t="n"/>
      <c r="BW2255" s="207" t="n"/>
      <c r="BX2255" s="207" t="n"/>
      <c r="BY2255" s="204" t="n"/>
      <c r="BZ2255" s="148" t="n"/>
      <c r="CA2255" s="204" t="n"/>
      <c r="CB2255" s="208" t="n"/>
      <c r="CC2255" s="139" t="n"/>
      <c r="CD2255" s="204" t="n"/>
      <c r="CE2255" s="204" t="n"/>
      <c r="CF2255" s="207" t="n"/>
      <c r="CG2255" s="208" t="n"/>
      <c r="CH2255" s="207" t="n"/>
      <c r="CI2255" s="208" t="n"/>
      <c r="CJ2255" s="204" t="n"/>
      <c r="CK2255" s="208" t="n"/>
      <c r="CL2255" s="208" t="n"/>
      <c r="CM2255" s="208" t="n"/>
      <c r="CN2255" s="78" t="n"/>
      <c r="CO2255" s="209" t="n"/>
      <c r="CP2255" s="204" t="n"/>
      <c r="CQ2255" s="204" t="n"/>
      <c r="CR2255" s="204" t="n"/>
      <c r="CS2255" s="204" t="n"/>
      <c r="CT2255" s="204" t="n"/>
      <c r="CU2255" s="204" t="n"/>
      <c r="CV2255" s="204" t="n"/>
      <c r="CW2255" s="204" t="n"/>
    </row>
    <row r="2256">
      <c r="BF2256" s="78" t="n"/>
      <c r="BG2256" s="78" t="n"/>
      <c r="BH2256" s="78" t="n"/>
      <c r="BI2256" s="78" t="n"/>
      <c r="BJ2256" s="139" t="n"/>
      <c r="BK2256" s="204" t="n"/>
      <c r="BL2256" s="141" t="n"/>
      <c r="BM2256" s="205" t="n"/>
      <c r="BN2256" s="205" t="n"/>
      <c r="BO2256" s="206" t="n"/>
      <c r="BP2256" s="144" t="n"/>
      <c r="BQ2256" s="141" t="n"/>
      <c r="BR2256" s="207" t="n"/>
      <c r="BS2256" s="207" t="n"/>
      <c r="BT2256" s="207" t="n"/>
      <c r="BU2256" s="207" t="n"/>
      <c r="BV2256" s="208" t="n"/>
      <c r="BW2256" s="207" t="n"/>
      <c r="BX2256" s="207" t="n"/>
      <c r="BY2256" s="204" t="n"/>
      <c r="BZ2256" s="148" t="n"/>
      <c r="CA2256" s="204" t="n"/>
      <c r="CB2256" s="208" t="n"/>
      <c r="CC2256" s="139" t="n"/>
      <c r="CD2256" s="204" t="n"/>
      <c r="CE2256" s="204" t="n"/>
      <c r="CF2256" s="207" t="n"/>
      <c r="CG2256" s="208" t="n"/>
      <c r="CH2256" s="207" t="n"/>
      <c r="CI2256" s="208" t="n"/>
      <c r="CJ2256" s="204" t="n"/>
      <c r="CK2256" s="208" t="n"/>
      <c r="CL2256" s="208" t="n"/>
      <c r="CM2256" s="208" t="n"/>
      <c r="CN2256" s="78" t="n"/>
      <c r="CO2256" s="209" t="n"/>
      <c r="CP2256" s="204" t="n"/>
      <c r="CQ2256" s="204" t="n"/>
      <c r="CR2256" s="204" t="n"/>
      <c r="CS2256" s="204" t="n"/>
      <c r="CT2256" s="204" t="n"/>
      <c r="CU2256" s="204" t="n"/>
      <c r="CV2256" s="204" t="n"/>
      <c r="CW2256" s="204" t="n"/>
    </row>
    <row r="2257">
      <c r="BF2257" s="78" t="n"/>
      <c r="BG2257" s="78" t="n"/>
      <c r="BH2257" s="78" t="n"/>
      <c r="BI2257" s="78" t="n"/>
      <c r="BJ2257" s="139" t="n"/>
      <c r="BK2257" s="204" t="n"/>
      <c r="BL2257" s="141" t="n"/>
      <c r="BM2257" s="205" t="n"/>
      <c r="BN2257" s="205" t="n"/>
      <c r="BO2257" s="206" t="n"/>
      <c r="BP2257" s="144" t="n"/>
      <c r="BQ2257" s="141" t="n"/>
      <c r="BR2257" s="207" t="n"/>
      <c r="BS2257" s="207" t="n"/>
      <c r="BT2257" s="207" t="n"/>
      <c r="BU2257" s="207" t="n"/>
      <c r="BV2257" s="208" t="n"/>
      <c r="BW2257" s="207" t="n"/>
      <c r="BX2257" s="207" t="n"/>
      <c r="BY2257" s="204" t="n"/>
      <c r="BZ2257" s="148" t="n"/>
      <c r="CA2257" s="204" t="n"/>
      <c r="CB2257" s="208" t="n"/>
      <c r="CC2257" s="139" t="n"/>
      <c r="CD2257" s="204" t="n"/>
      <c r="CE2257" s="204" t="n"/>
      <c r="CF2257" s="207" t="n"/>
      <c r="CG2257" s="208" t="n"/>
      <c r="CH2257" s="207" t="n"/>
      <c r="CI2257" s="208" t="n"/>
      <c r="CJ2257" s="204" t="n"/>
      <c r="CK2257" s="208" t="n"/>
      <c r="CL2257" s="208" t="n"/>
      <c r="CM2257" s="208" t="n"/>
      <c r="CN2257" s="78" t="n"/>
      <c r="CO2257" s="209" t="n"/>
      <c r="CP2257" s="204" t="n"/>
      <c r="CQ2257" s="204" t="n"/>
      <c r="CR2257" s="204" t="n"/>
      <c r="CS2257" s="204" t="n"/>
      <c r="CT2257" s="204" t="n"/>
      <c r="CU2257" s="204" t="n"/>
      <c r="CV2257" s="204" t="n"/>
      <c r="CW2257" s="204" t="n"/>
    </row>
    <row r="2258">
      <c r="BF2258" s="78" t="n"/>
      <c r="BG2258" s="78" t="n"/>
      <c r="BH2258" s="78" t="n"/>
      <c r="BI2258" s="78" t="n"/>
      <c r="BJ2258" s="139" t="n"/>
      <c r="BK2258" s="204" t="n"/>
      <c r="BL2258" s="141" t="n"/>
      <c r="BM2258" s="205" t="n"/>
      <c r="BN2258" s="205" t="n"/>
      <c r="BO2258" s="206" t="n"/>
      <c r="BP2258" s="144" t="n"/>
      <c r="BQ2258" s="141" t="n"/>
      <c r="BR2258" s="207" t="n"/>
      <c r="BS2258" s="207" t="n"/>
      <c r="BT2258" s="207" t="n"/>
      <c r="BU2258" s="207" t="n"/>
      <c r="BV2258" s="208" t="n"/>
      <c r="BW2258" s="207" t="n"/>
      <c r="BX2258" s="207" t="n"/>
      <c r="BY2258" s="204" t="n"/>
      <c r="BZ2258" s="148" t="n"/>
      <c r="CA2258" s="204" t="n"/>
      <c r="CB2258" s="208" t="n"/>
      <c r="CC2258" s="139" t="n"/>
      <c r="CD2258" s="204" t="n"/>
      <c r="CE2258" s="204" t="n"/>
      <c r="CF2258" s="207" t="n"/>
      <c r="CG2258" s="208" t="n"/>
      <c r="CH2258" s="207" t="n"/>
      <c r="CI2258" s="208" t="n"/>
      <c r="CJ2258" s="204" t="n"/>
      <c r="CK2258" s="208" t="n"/>
      <c r="CL2258" s="208" t="n"/>
      <c r="CM2258" s="208" t="n"/>
      <c r="CN2258" s="78" t="n"/>
      <c r="CO2258" s="209" t="n"/>
      <c r="CP2258" s="204" t="n"/>
      <c r="CQ2258" s="204" t="n"/>
      <c r="CR2258" s="204" t="n"/>
      <c r="CS2258" s="204" t="n"/>
      <c r="CT2258" s="204" t="n"/>
      <c r="CU2258" s="204" t="n"/>
      <c r="CV2258" s="204" t="n"/>
      <c r="CW2258" s="204" t="n"/>
    </row>
    <row r="2259">
      <c r="BF2259" s="78" t="n"/>
      <c r="BG2259" s="78" t="n"/>
      <c r="BH2259" s="78" t="n"/>
      <c r="BI2259" s="78" t="n"/>
      <c r="BJ2259" s="139" t="n"/>
      <c r="BK2259" s="204" t="n"/>
      <c r="BL2259" s="141" t="n"/>
      <c r="BM2259" s="205" t="n"/>
      <c r="BN2259" s="205" t="n"/>
      <c r="BO2259" s="206" t="n"/>
      <c r="BP2259" s="144" t="n"/>
      <c r="BQ2259" s="141" t="n"/>
      <c r="BR2259" s="207" t="n"/>
      <c r="BS2259" s="207" t="n"/>
      <c r="BT2259" s="207" t="n"/>
      <c r="BU2259" s="207" t="n"/>
      <c r="BV2259" s="208" t="n"/>
      <c r="BW2259" s="207" t="n"/>
      <c r="BX2259" s="207" t="n"/>
      <c r="BY2259" s="204" t="n"/>
      <c r="BZ2259" s="148" t="n"/>
      <c r="CA2259" s="204" t="n"/>
      <c r="CB2259" s="208" t="n"/>
      <c r="CC2259" s="139" t="n"/>
      <c r="CD2259" s="204" t="n"/>
      <c r="CE2259" s="204" t="n"/>
      <c r="CF2259" s="207" t="n"/>
      <c r="CG2259" s="208" t="n"/>
      <c r="CH2259" s="207" t="n"/>
      <c r="CI2259" s="208" t="n"/>
      <c r="CJ2259" s="204" t="n"/>
      <c r="CK2259" s="208" t="n"/>
      <c r="CL2259" s="208" t="n"/>
      <c r="CM2259" s="208" t="n"/>
      <c r="CN2259" s="78" t="n"/>
      <c r="CO2259" s="209" t="n"/>
      <c r="CP2259" s="204" t="n"/>
      <c r="CQ2259" s="204" t="n"/>
      <c r="CR2259" s="204" t="n"/>
      <c r="CS2259" s="204" t="n"/>
      <c r="CT2259" s="204" t="n"/>
      <c r="CU2259" s="204" t="n"/>
      <c r="CV2259" s="204" t="n"/>
      <c r="CW2259" s="204" t="n"/>
    </row>
    <row r="2260">
      <c r="BF2260" s="78" t="n"/>
      <c r="BG2260" s="78" t="n"/>
      <c r="BH2260" s="78" t="n"/>
      <c r="BI2260" s="78" t="n"/>
      <c r="BJ2260" s="139" t="n"/>
      <c r="BK2260" s="204" t="n"/>
      <c r="BL2260" s="141" t="n"/>
      <c r="BM2260" s="205" t="n"/>
      <c r="BN2260" s="205" t="n"/>
      <c r="BO2260" s="206" t="n"/>
      <c r="BP2260" s="144" t="n"/>
      <c r="BQ2260" s="141" t="n"/>
      <c r="BR2260" s="207" t="n"/>
      <c r="BS2260" s="207" t="n"/>
      <c r="BT2260" s="207" t="n"/>
      <c r="BU2260" s="207" t="n"/>
      <c r="BV2260" s="208" t="n"/>
      <c r="BW2260" s="207" t="n"/>
      <c r="BX2260" s="207" t="n"/>
      <c r="BY2260" s="204" t="n"/>
      <c r="BZ2260" s="148" t="n"/>
      <c r="CA2260" s="204" t="n"/>
      <c r="CB2260" s="208" t="n"/>
      <c r="CC2260" s="139" t="n"/>
      <c r="CD2260" s="204" t="n"/>
      <c r="CE2260" s="204" t="n"/>
      <c r="CF2260" s="207" t="n"/>
      <c r="CG2260" s="208" t="n"/>
      <c r="CH2260" s="207" t="n"/>
      <c r="CI2260" s="208" t="n"/>
      <c r="CJ2260" s="204" t="n"/>
      <c r="CK2260" s="208" t="n"/>
      <c r="CL2260" s="208" t="n"/>
      <c r="CM2260" s="208" t="n"/>
      <c r="CN2260" s="78" t="n"/>
      <c r="CO2260" s="209" t="n"/>
      <c r="CP2260" s="204" t="n"/>
      <c r="CQ2260" s="204" t="n"/>
      <c r="CR2260" s="204" t="n"/>
      <c r="CS2260" s="204" t="n"/>
      <c r="CT2260" s="204" t="n"/>
      <c r="CU2260" s="204" t="n"/>
      <c r="CV2260" s="204" t="n"/>
      <c r="CW2260" s="204" t="n"/>
    </row>
    <row r="2261">
      <c r="BF2261" s="78" t="n"/>
      <c r="BG2261" s="78" t="n"/>
      <c r="BH2261" s="78" t="n"/>
      <c r="BI2261" s="78" t="n"/>
      <c r="BJ2261" s="139" t="n"/>
      <c r="BK2261" s="204" t="n"/>
      <c r="BL2261" s="141" t="n"/>
      <c r="BM2261" s="205" t="n"/>
      <c r="BN2261" s="205" t="n"/>
      <c r="BO2261" s="206" t="n"/>
      <c r="BP2261" s="144" t="n"/>
      <c r="BQ2261" s="141" t="n"/>
      <c r="BR2261" s="207" t="n"/>
      <c r="BS2261" s="207" t="n"/>
      <c r="BT2261" s="207" t="n"/>
      <c r="BU2261" s="207" t="n"/>
      <c r="BV2261" s="208" t="n"/>
      <c r="BW2261" s="207" t="n"/>
      <c r="BX2261" s="207" t="n"/>
      <c r="BY2261" s="204" t="n"/>
      <c r="BZ2261" s="148" t="n"/>
      <c r="CA2261" s="204" t="n"/>
      <c r="CB2261" s="208" t="n"/>
      <c r="CC2261" s="139" t="n"/>
      <c r="CD2261" s="204" t="n"/>
      <c r="CE2261" s="204" t="n"/>
      <c r="CF2261" s="207" t="n"/>
      <c r="CG2261" s="208" t="n"/>
      <c r="CH2261" s="207" t="n"/>
      <c r="CI2261" s="208" t="n"/>
      <c r="CJ2261" s="204" t="n"/>
      <c r="CK2261" s="208" t="n"/>
      <c r="CL2261" s="208" t="n"/>
      <c r="CM2261" s="208" t="n"/>
      <c r="CN2261" s="78" t="n"/>
      <c r="CO2261" s="209" t="n"/>
      <c r="CP2261" s="204" t="n"/>
      <c r="CQ2261" s="204" t="n"/>
      <c r="CR2261" s="204" t="n"/>
      <c r="CS2261" s="204" t="n"/>
      <c r="CT2261" s="204" t="n"/>
      <c r="CU2261" s="204" t="n"/>
      <c r="CV2261" s="204" t="n"/>
      <c r="CW2261" s="204" t="n"/>
    </row>
    <row r="2262">
      <c r="BF2262" s="78" t="n"/>
      <c r="BG2262" s="78" t="n"/>
      <c r="BH2262" s="78" t="n"/>
      <c r="BI2262" s="78" t="n"/>
      <c r="BJ2262" s="139" t="n"/>
      <c r="BK2262" s="204" t="n"/>
      <c r="BL2262" s="141" t="n"/>
      <c r="BM2262" s="205" t="n"/>
      <c r="BN2262" s="205" t="n"/>
      <c r="BO2262" s="206" t="n"/>
      <c r="BP2262" s="144" t="n"/>
      <c r="BQ2262" s="141" t="n"/>
      <c r="BR2262" s="207" t="n"/>
      <c r="BS2262" s="207" t="n"/>
      <c r="BT2262" s="207" t="n"/>
      <c r="BU2262" s="207" t="n"/>
      <c r="BV2262" s="208" t="n"/>
      <c r="BW2262" s="207" t="n"/>
      <c r="BX2262" s="207" t="n"/>
      <c r="BY2262" s="204" t="n"/>
      <c r="BZ2262" s="148" t="n"/>
      <c r="CA2262" s="204" t="n"/>
      <c r="CB2262" s="208" t="n"/>
      <c r="CC2262" s="139" t="n"/>
      <c r="CD2262" s="204" t="n"/>
      <c r="CE2262" s="204" t="n"/>
      <c r="CF2262" s="207" t="n"/>
      <c r="CG2262" s="208" t="n"/>
      <c r="CH2262" s="207" t="n"/>
      <c r="CI2262" s="208" t="n"/>
      <c r="CJ2262" s="204" t="n"/>
      <c r="CK2262" s="208" t="n"/>
      <c r="CL2262" s="208" t="n"/>
      <c r="CM2262" s="208" t="n"/>
      <c r="CN2262" s="78" t="n"/>
      <c r="CO2262" s="209" t="n"/>
      <c r="CP2262" s="204" t="n"/>
      <c r="CQ2262" s="204" t="n"/>
      <c r="CR2262" s="204" t="n"/>
      <c r="CS2262" s="204" t="n"/>
      <c r="CT2262" s="204" t="n"/>
      <c r="CU2262" s="204" t="n"/>
      <c r="CV2262" s="204" t="n"/>
      <c r="CW2262" s="204" t="n"/>
    </row>
    <row r="2263">
      <c r="BF2263" s="78" t="n"/>
      <c r="BG2263" s="78" t="n"/>
      <c r="BH2263" s="78" t="n"/>
      <c r="BI2263" s="78" t="n"/>
      <c r="BJ2263" s="139" t="n"/>
      <c r="BK2263" s="204" t="n"/>
      <c r="BL2263" s="141" t="n"/>
      <c r="BM2263" s="205" t="n"/>
      <c r="BN2263" s="205" t="n"/>
      <c r="BO2263" s="206" t="n"/>
      <c r="BP2263" s="144" t="n"/>
      <c r="BQ2263" s="141" t="n"/>
      <c r="BR2263" s="207" t="n"/>
      <c r="BS2263" s="207" t="n"/>
      <c r="BT2263" s="207" t="n"/>
      <c r="BU2263" s="207" t="n"/>
      <c r="BV2263" s="208" t="n"/>
      <c r="BW2263" s="207" t="n"/>
      <c r="BX2263" s="207" t="n"/>
      <c r="BY2263" s="204" t="n"/>
      <c r="BZ2263" s="148" t="n"/>
      <c r="CA2263" s="204" t="n"/>
      <c r="CB2263" s="208" t="n"/>
      <c r="CC2263" s="139" t="n"/>
      <c r="CD2263" s="204" t="n"/>
      <c r="CE2263" s="204" t="n"/>
      <c r="CF2263" s="207" t="n"/>
      <c r="CG2263" s="208" t="n"/>
      <c r="CH2263" s="207" t="n"/>
      <c r="CI2263" s="208" t="n"/>
      <c r="CJ2263" s="204" t="n"/>
      <c r="CK2263" s="208" t="n"/>
      <c r="CL2263" s="208" t="n"/>
      <c r="CM2263" s="208" t="n"/>
      <c r="CN2263" s="78" t="n"/>
      <c r="CO2263" s="209" t="n"/>
      <c r="CP2263" s="204" t="n"/>
      <c r="CQ2263" s="204" t="n"/>
      <c r="CR2263" s="204" t="n"/>
      <c r="CS2263" s="204" t="n"/>
      <c r="CT2263" s="204" t="n"/>
      <c r="CU2263" s="204" t="n"/>
      <c r="CV2263" s="204" t="n"/>
      <c r="CW2263" s="204" t="n"/>
    </row>
    <row r="2264">
      <c r="BF2264" s="78" t="n"/>
      <c r="BG2264" s="78" t="n"/>
      <c r="BH2264" s="78" t="n"/>
      <c r="BI2264" s="78" t="n"/>
      <c r="BJ2264" s="139" t="n"/>
      <c r="BK2264" s="204" t="n"/>
      <c r="BL2264" s="141" t="n"/>
      <c r="BM2264" s="205" t="n"/>
      <c r="BN2264" s="205" t="n"/>
      <c r="BO2264" s="206" t="n"/>
      <c r="BP2264" s="144" t="n"/>
      <c r="BQ2264" s="141" t="n"/>
      <c r="BR2264" s="207" t="n"/>
      <c r="BS2264" s="207" t="n"/>
      <c r="BT2264" s="207" t="n"/>
      <c r="BU2264" s="207" t="n"/>
      <c r="BV2264" s="208" t="n"/>
      <c r="BW2264" s="207" t="n"/>
      <c r="BX2264" s="207" t="n"/>
      <c r="BY2264" s="204" t="n"/>
      <c r="BZ2264" s="148" t="n"/>
      <c r="CA2264" s="204" t="n"/>
      <c r="CB2264" s="208" t="n"/>
      <c r="CC2264" s="139" t="n"/>
      <c r="CD2264" s="204" t="n"/>
      <c r="CE2264" s="204" t="n"/>
      <c r="CF2264" s="207" t="n"/>
      <c r="CG2264" s="208" t="n"/>
      <c r="CH2264" s="207" t="n"/>
      <c r="CI2264" s="208" t="n"/>
      <c r="CJ2264" s="204" t="n"/>
      <c r="CK2264" s="208" t="n"/>
      <c r="CL2264" s="208" t="n"/>
      <c r="CM2264" s="208" t="n"/>
      <c r="CN2264" s="78" t="n"/>
      <c r="CO2264" s="209" t="n"/>
      <c r="CP2264" s="204" t="n"/>
      <c r="CQ2264" s="204" t="n"/>
      <c r="CR2264" s="204" t="n"/>
      <c r="CS2264" s="204" t="n"/>
      <c r="CT2264" s="204" t="n"/>
      <c r="CU2264" s="204" t="n"/>
      <c r="CV2264" s="204" t="n"/>
      <c r="CW2264" s="204" t="n"/>
    </row>
    <row r="2265">
      <c r="BF2265" s="78" t="n"/>
      <c r="BG2265" s="78" t="n"/>
      <c r="BH2265" s="78" t="n"/>
      <c r="BI2265" s="78" t="n"/>
      <c r="BJ2265" s="139" t="n"/>
      <c r="BK2265" s="204" t="n"/>
      <c r="BL2265" s="141" t="n"/>
      <c r="BM2265" s="205" t="n"/>
      <c r="BN2265" s="205" t="n"/>
      <c r="BO2265" s="206" t="n"/>
      <c r="BP2265" s="144" t="n"/>
      <c r="BQ2265" s="141" t="n"/>
      <c r="BR2265" s="207" t="n"/>
      <c r="BS2265" s="207" t="n"/>
      <c r="BT2265" s="207" t="n"/>
      <c r="BU2265" s="207" t="n"/>
      <c r="BV2265" s="208" t="n"/>
      <c r="BW2265" s="207" t="n"/>
      <c r="BX2265" s="207" t="n"/>
      <c r="BY2265" s="204" t="n"/>
      <c r="BZ2265" s="148" t="n"/>
      <c r="CA2265" s="204" t="n"/>
      <c r="CB2265" s="208" t="n"/>
      <c r="CC2265" s="139" t="n"/>
      <c r="CD2265" s="204" t="n"/>
      <c r="CE2265" s="204" t="n"/>
      <c r="CF2265" s="207" t="n"/>
      <c r="CG2265" s="208" t="n"/>
      <c r="CH2265" s="207" t="n"/>
      <c r="CI2265" s="208" t="n"/>
      <c r="CJ2265" s="204" t="n"/>
      <c r="CK2265" s="208" t="n"/>
      <c r="CL2265" s="208" t="n"/>
      <c r="CM2265" s="208" t="n"/>
      <c r="CN2265" s="78" t="n"/>
      <c r="CO2265" s="209" t="n"/>
      <c r="CP2265" s="204" t="n"/>
      <c r="CQ2265" s="204" t="n"/>
      <c r="CR2265" s="204" t="n"/>
      <c r="CS2265" s="204" t="n"/>
      <c r="CT2265" s="204" t="n"/>
      <c r="CU2265" s="204" t="n"/>
      <c r="CV2265" s="204" t="n"/>
      <c r="CW2265" s="204" t="n"/>
    </row>
    <row r="2266">
      <c r="BF2266" s="78" t="n"/>
      <c r="BG2266" s="78" t="n"/>
      <c r="BH2266" s="78" t="n"/>
      <c r="BI2266" s="78" t="n"/>
      <c r="BJ2266" s="139" t="n"/>
      <c r="BK2266" s="204" t="n"/>
      <c r="BL2266" s="141" t="n"/>
      <c r="BM2266" s="205" t="n"/>
      <c r="BN2266" s="205" t="n"/>
      <c r="BO2266" s="206" t="n"/>
      <c r="BP2266" s="144" t="n"/>
      <c r="BQ2266" s="141" t="n"/>
      <c r="BR2266" s="207" t="n"/>
      <c r="BS2266" s="207" t="n"/>
      <c r="BT2266" s="207" t="n"/>
      <c r="BU2266" s="207" t="n"/>
      <c r="BV2266" s="208" t="n"/>
      <c r="BW2266" s="207" t="n"/>
      <c r="BX2266" s="207" t="n"/>
      <c r="BY2266" s="204" t="n"/>
      <c r="BZ2266" s="148" t="n"/>
      <c r="CA2266" s="204" t="n"/>
      <c r="CB2266" s="208" t="n"/>
      <c r="CC2266" s="139" t="n"/>
      <c r="CD2266" s="204" t="n"/>
      <c r="CE2266" s="204" t="n"/>
      <c r="CF2266" s="207" t="n"/>
      <c r="CG2266" s="208" t="n"/>
      <c r="CH2266" s="207" t="n"/>
      <c r="CI2266" s="208" t="n"/>
      <c r="CJ2266" s="204" t="n"/>
      <c r="CK2266" s="208" t="n"/>
      <c r="CL2266" s="208" t="n"/>
      <c r="CM2266" s="208" t="n"/>
      <c r="CN2266" s="78" t="n"/>
      <c r="CO2266" s="209" t="n"/>
      <c r="CP2266" s="204" t="n"/>
      <c r="CQ2266" s="204" t="n"/>
      <c r="CR2266" s="204" t="n"/>
      <c r="CS2266" s="204" t="n"/>
      <c r="CT2266" s="204" t="n"/>
      <c r="CU2266" s="204" t="n"/>
      <c r="CV2266" s="204" t="n"/>
      <c r="CW2266" s="204" t="n"/>
    </row>
    <row r="2267">
      <c r="BF2267" s="78" t="n"/>
      <c r="BG2267" s="78" t="n"/>
      <c r="BH2267" s="78" t="n"/>
      <c r="BI2267" s="78" t="n"/>
      <c r="BJ2267" s="139" t="n"/>
      <c r="BK2267" s="204" t="n"/>
      <c r="BL2267" s="141" t="n"/>
      <c r="BM2267" s="205" t="n"/>
      <c r="BN2267" s="205" t="n"/>
      <c r="BO2267" s="206" t="n"/>
      <c r="BP2267" s="144" t="n"/>
      <c r="BQ2267" s="141" t="n"/>
      <c r="BR2267" s="207" t="n"/>
      <c r="BS2267" s="207" t="n"/>
      <c r="BT2267" s="207" t="n"/>
      <c r="BU2267" s="207" t="n"/>
      <c r="BV2267" s="208" t="n"/>
      <c r="BW2267" s="207" t="n"/>
      <c r="BX2267" s="207" t="n"/>
      <c r="BY2267" s="204" t="n"/>
      <c r="BZ2267" s="148" t="n"/>
      <c r="CA2267" s="204" t="n"/>
      <c r="CB2267" s="208" t="n"/>
      <c r="CC2267" s="139" t="n"/>
      <c r="CD2267" s="204" t="n"/>
      <c r="CE2267" s="204" t="n"/>
      <c r="CF2267" s="207" t="n"/>
      <c r="CG2267" s="208" t="n"/>
      <c r="CH2267" s="207" t="n"/>
      <c r="CI2267" s="208" t="n"/>
      <c r="CJ2267" s="204" t="n"/>
      <c r="CK2267" s="208" t="n"/>
      <c r="CL2267" s="208" t="n"/>
      <c r="CM2267" s="208" t="n"/>
      <c r="CN2267" s="78" t="n"/>
      <c r="CO2267" s="209" t="n"/>
      <c r="CP2267" s="204" t="n"/>
      <c r="CQ2267" s="204" t="n"/>
      <c r="CR2267" s="204" t="n"/>
      <c r="CS2267" s="204" t="n"/>
      <c r="CT2267" s="204" t="n"/>
      <c r="CU2267" s="204" t="n"/>
      <c r="CV2267" s="204" t="n"/>
      <c r="CW2267" s="204" t="n"/>
    </row>
    <row r="2268">
      <c r="BF2268" s="78" t="n"/>
      <c r="BG2268" s="78" t="n"/>
      <c r="BH2268" s="78" t="n"/>
      <c r="BI2268" s="78" t="n"/>
      <c r="BJ2268" s="139" t="n"/>
      <c r="BK2268" s="204" t="n"/>
      <c r="BL2268" s="141" t="n"/>
      <c r="BM2268" s="205" t="n"/>
      <c r="BN2268" s="205" t="n"/>
      <c r="BO2268" s="206" t="n"/>
      <c r="BP2268" s="144" t="n"/>
      <c r="BQ2268" s="141" t="n"/>
      <c r="BR2268" s="207" t="n"/>
      <c r="BS2268" s="207" t="n"/>
      <c r="BT2268" s="207" t="n"/>
      <c r="BU2268" s="207" t="n"/>
      <c r="BV2268" s="208" t="n"/>
      <c r="BW2268" s="207" t="n"/>
      <c r="BX2268" s="207" t="n"/>
      <c r="BY2268" s="204" t="n"/>
      <c r="BZ2268" s="148" t="n"/>
      <c r="CA2268" s="204" t="n"/>
      <c r="CB2268" s="208" t="n"/>
      <c r="CC2268" s="139" t="n"/>
      <c r="CD2268" s="204" t="n"/>
      <c r="CE2268" s="204" t="n"/>
      <c r="CF2268" s="207" t="n"/>
      <c r="CG2268" s="208" t="n"/>
      <c r="CH2268" s="207" t="n"/>
      <c r="CI2268" s="208" t="n"/>
      <c r="CJ2268" s="204" t="n"/>
      <c r="CK2268" s="208" t="n"/>
      <c r="CL2268" s="208" t="n"/>
      <c r="CM2268" s="208" t="n"/>
      <c r="CN2268" s="78" t="n"/>
      <c r="CO2268" s="209" t="n"/>
      <c r="CP2268" s="204" t="n"/>
      <c r="CQ2268" s="204" t="n"/>
      <c r="CR2268" s="204" t="n"/>
      <c r="CS2268" s="204" t="n"/>
      <c r="CT2268" s="204" t="n"/>
      <c r="CU2268" s="204" t="n"/>
      <c r="CV2268" s="204" t="n"/>
      <c r="CW2268" s="204" t="n"/>
    </row>
    <row r="2269">
      <c r="BF2269" s="78" t="n"/>
      <c r="BG2269" s="78" t="n"/>
      <c r="BH2269" s="78" t="n"/>
      <c r="BI2269" s="78" t="n"/>
      <c r="BJ2269" s="139" t="n"/>
      <c r="BK2269" s="204" t="n"/>
      <c r="BL2269" s="141" t="n"/>
      <c r="BM2269" s="205" t="n"/>
      <c r="BN2269" s="205" t="n"/>
      <c r="BO2269" s="206" t="n"/>
      <c r="BP2269" s="144" t="n"/>
      <c r="BQ2269" s="141" t="n"/>
      <c r="BR2269" s="207" t="n"/>
      <c r="BS2269" s="207" t="n"/>
      <c r="BT2269" s="207" t="n"/>
      <c r="BU2269" s="207" t="n"/>
      <c r="BV2269" s="208" t="n"/>
      <c r="BW2269" s="207" t="n"/>
      <c r="BX2269" s="207" t="n"/>
      <c r="BY2269" s="204" t="n"/>
      <c r="BZ2269" s="148" t="n"/>
      <c r="CA2269" s="204" t="n"/>
      <c r="CB2269" s="208" t="n"/>
      <c r="CC2269" s="139" t="n"/>
      <c r="CD2269" s="204" t="n"/>
      <c r="CE2269" s="204" t="n"/>
      <c r="CF2269" s="207" t="n"/>
      <c r="CG2269" s="208" t="n"/>
      <c r="CH2269" s="207" t="n"/>
      <c r="CI2269" s="208" t="n"/>
      <c r="CJ2269" s="204" t="n"/>
      <c r="CK2269" s="208" t="n"/>
      <c r="CL2269" s="208" t="n"/>
      <c r="CM2269" s="208" t="n"/>
      <c r="CN2269" s="78" t="n"/>
      <c r="CO2269" s="209" t="n"/>
      <c r="CP2269" s="204" t="n"/>
      <c r="CQ2269" s="204" t="n"/>
      <c r="CR2269" s="204" t="n"/>
      <c r="CS2269" s="204" t="n"/>
      <c r="CT2269" s="204" t="n"/>
      <c r="CU2269" s="204" t="n"/>
      <c r="CV2269" s="204" t="n"/>
      <c r="CW2269" s="204" t="n"/>
    </row>
    <row r="2270">
      <c r="BF2270" s="78" t="n"/>
      <c r="BG2270" s="78" t="n"/>
      <c r="BH2270" s="78" t="n"/>
      <c r="BI2270" s="78" t="n"/>
      <c r="BJ2270" s="139" t="n"/>
      <c r="BK2270" s="204" t="n"/>
      <c r="BL2270" s="141" t="n"/>
      <c r="BM2270" s="205" t="n"/>
      <c r="BN2270" s="205" t="n"/>
      <c r="BO2270" s="206" t="n"/>
      <c r="BP2270" s="144" t="n"/>
      <c r="BQ2270" s="141" t="n"/>
      <c r="BR2270" s="207" t="n"/>
      <c r="BS2270" s="207" t="n"/>
      <c r="BT2270" s="207" t="n"/>
      <c r="BU2270" s="207" t="n"/>
      <c r="BV2270" s="208" t="n"/>
      <c r="BW2270" s="207" t="n"/>
      <c r="BX2270" s="207" t="n"/>
      <c r="BY2270" s="204" t="n"/>
      <c r="BZ2270" s="148" t="n"/>
      <c r="CA2270" s="204" t="n"/>
      <c r="CB2270" s="208" t="n"/>
      <c r="CC2270" s="139" t="n"/>
      <c r="CD2270" s="204" t="n"/>
      <c r="CE2270" s="204" t="n"/>
      <c r="CF2270" s="207" t="n"/>
      <c r="CG2270" s="208" t="n"/>
      <c r="CH2270" s="207" t="n"/>
      <c r="CI2270" s="208" t="n"/>
      <c r="CJ2270" s="204" t="n"/>
      <c r="CK2270" s="208" t="n"/>
      <c r="CL2270" s="208" t="n"/>
      <c r="CM2270" s="208" t="n"/>
      <c r="CN2270" s="78" t="n"/>
      <c r="CO2270" s="209" t="n"/>
      <c r="CP2270" s="204" t="n"/>
      <c r="CQ2270" s="204" t="n"/>
      <c r="CR2270" s="204" t="n"/>
      <c r="CS2270" s="204" t="n"/>
      <c r="CT2270" s="204" t="n"/>
      <c r="CU2270" s="204" t="n"/>
      <c r="CV2270" s="204" t="n"/>
      <c r="CW2270" s="204" t="n"/>
    </row>
    <row r="2271">
      <c r="BF2271" s="78" t="n"/>
      <c r="BG2271" s="78" t="n"/>
      <c r="BH2271" s="78" t="n"/>
      <c r="BI2271" s="78" t="n"/>
      <c r="BJ2271" s="139" t="n"/>
      <c r="BK2271" s="204" t="n"/>
      <c r="BL2271" s="141" t="n"/>
      <c r="BM2271" s="205" t="n"/>
      <c r="BN2271" s="205" t="n"/>
      <c r="BO2271" s="206" t="n"/>
      <c r="BP2271" s="144" t="n"/>
      <c r="BQ2271" s="141" t="n"/>
      <c r="BR2271" s="207" t="n"/>
      <c r="BS2271" s="207" t="n"/>
      <c r="BT2271" s="207" t="n"/>
      <c r="BU2271" s="207" t="n"/>
      <c r="BV2271" s="208" t="n"/>
      <c r="BW2271" s="207" t="n"/>
      <c r="BX2271" s="207" t="n"/>
      <c r="BY2271" s="204" t="n"/>
      <c r="BZ2271" s="148" t="n"/>
      <c r="CA2271" s="204" t="n"/>
      <c r="CB2271" s="208" t="n"/>
      <c r="CC2271" s="139" t="n"/>
      <c r="CD2271" s="204" t="n"/>
      <c r="CE2271" s="204" t="n"/>
      <c r="CF2271" s="207" t="n"/>
      <c r="CG2271" s="208" t="n"/>
      <c r="CH2271" s="207" t="n"/>
      <c r="CI2271" s="208" t="n"/>
      <c r="CJ2271" s="204" t="n"/>
      <c r="CK2271" s="208" t="n"/>
      <c r="CL2271" s="208" t="n"/>
      <c r="CM2271" s="208" t="n"/>
      <c r="CN2271" s="78" t="n"/>
      <c r="CO2271" s="209" t="n"/>
      <c r="CP2271" s="204" t="n"/>
      <c r="CQ2271" s="204" t="n"/>
      <c r="CR2271" s="204" t="n"/>
      <c r="CS2271" s="204" t="n"/>
      <c r="CT2271" s="204" t="n"/>
      <c r="CU2271" s="204" t="n"/>
      <c r="CV2271" s="204" t="n"/>
      <c r="CW2271" s="204" t="n"/>
    </row>
    <row r="2272">
      <c r="BF2272" s="78" t="n"/>
      <c r="BG2272" s="78" t="n"/>
      <c r="BH2272" s="78" t="n"/>
      <c r="BI2272" s="78" t="n"/>
      <c r="BJ2272" s="139" t="n"/>
      <c r="BK2272" s="204" t="n"/>
      <c r="BL2272" s="141" t="n"/>
      <c r="BM2272" s="205" t="n"/>
      <c r="BN2272" s="205" t="n"/>
      <c r="BO2272" s="206" t="n"/>
      <c r="BP2272" s="144" t="n"/>
      <c r="BQ2272" s="141" t="n"/>
      <c r="BR2272" s="207" t="n"/>
      <c r="BS2272" s="207" t="n"/>
      <c r="BT2272" s="207" t="n"/>
      <c r="BU2272" s="207" t="n"/>
      <c r="BV2272" s="208" t="n"/>
      <c r="BW2272" s="207" t="n"/>
      <c r="BX2272" s="207" t="n"/>
      <c r="BY2272" s="204" t="n"/>
      <c r="BZ2272" s="148" t="n"/>
      <c r="CA2272" s="204" t="n"/>
      <c r="CB2272" s="208" t="n"/>
      <c r="CC2272" s="139" t="n"/>
      <c r="CD2272" s="204" t="n"/>
      <c r="CE2272" s="204" t="n"/>
      <c r="CF2272" s="207" t="n"/>
      <c r="CG2272" s="208" t="n"/>
      <c r="CH2272" s="207" t="n"/>
      <c r="CI2272" s="208" t="n"/>
      <c r="CJ2272" s="204" t="n"/>
      <c r="CK2272" s="208" t="n"/>
      <c r="CL2272" s="208" t="n"/>
      <c r="CM2272" s="208" t="n"/>
      <c r="CN2272" s="78" t="n"/>
      <c r="CO2272" s="209" t="n"/>
      <c r="CP2272" s="204" t="n"/>
      <c r="CQ2272" s="204" t="n"/>
      <c r="CR2272" s="204" t="n"/>
      <c r="CS2272" s="204" t="n"/>
      <c r="CT2272" s="204" t="n"/>
      <c r="CU2272" s="204" t="n"/>
      <c r="CV2272" s="204" t="n"/>
      <c r="CW2272" s="204" t="n"/>
    </row>
    <row r="2273">
      <c r="BF2273" s="78" t="n"/>
      <c r="BG2273" s="78" t="n"/>
      <c r="BH2273" s="78" t="n"/>
      <c r="BI2273" s="78" t="n"/>
      <c r="BJ2273" s="139" t="n"/>
      <c r="BK2273" s="204" t="n"/>
      <c r="BL2273" s="141" t="n"/>
      <c r="BM2273" s="205" t="n"/>
      <c r="BN2273" s="205" t="n"/>
      <c r="BO2273" s="206" t="n"/>
      <c r="BP2273" s="144" t="n"/>
      <c r="BQ2273" s="141" t="n"/>
      <c r="BR2273" s="207" t="n"/>
      <c r="BS2273" s="207" t="n"/>
      <c r="BT2273" s="207" t="n"/>
      <c r="BU2273" s="207" t="n"/>
      <c r="BV2273" s="208" t="n"/>
      <c r="BW2273" s="207" t="n"/>
      <c r="BX2273" s="207" t="n"/>
      <c r="BY2273" s="204" t="n"/>
      <c r="BZ2273" s="148" t="n"/>
      <c r="CA2273" s="204" t="n"/>
      <c r="CB2273" s="208" t="n"/>
      <c r="CC2273" s="139" t="n"/>
      <c r="CD2273" s="204" t="n"/>
      <c r="CE2273" s="204" t="n"/>
      <c r="CF2273" s="207" t="n"/>
      <c r="CG2273" s="208" t="n"/>
      <c r="CH2273" s="207" t="n"/>
      <c r="CI2273" s="208" t="n"/>
      <c r="CJ2273" s="204" t="n"/>
      <c r="CK2273" s="208" t="n"/>
      <c r="CL2273" s="208" t="n"/>
      <c r="CM2273" s="208" t="n"/>
      <c r="CN2273" s="78" t="n"/>
      <c r="CO2273" s="209" t="n"/>
      <c r="CP2273" s="204" t="n"/>
      <c r="CQ2273" s="204" t="n"/>
      <c r="CR2273" s="204" t="n"/>
      <c r="CS2273" s="204" t="n"/>
      <c r="CT2273" s="204" t="n"/>
      <c r="CU2273" s="204" t="n"/>
      <c r="CV2273" s="204" t="n"/>
      <c r="CW2273" s="204" t="n"/>
    </row>
    <row r="2274">
      <c r="BF2274" s="78" t="n"/>
      <c r="BG2274" s="78" t="n"/>
      <c r="BH2274" s="78" t="n"/>
      <c r="BI2274" s="78" t="n"/>
      <c r="BJ2274" s="139" t="n"/>
      <c r="BK2274" s="204" t="n"/>
      <c r="BL2274" s="141" t="n"/>
      <c r="BM2274" s="205" t="n"/>
      <c r="BN2274" s="205" t="n"/>
      <c r="BO2274" s="206" t="n"/>
      <c r="BP2274" s="144" t="n"/>
      <c r="BQ2274" s="141" t="n"/>
      <c r="BR2274" s="207" t="n"/>
      <c r="BS2274" s="207" t="n"/>
      <c r="BT2274" s="207" t="n"/>
      <c r="BU2274" s="207" t="n"/>
      <c r="BV2274" s="208" t="n"/>
      <c r="BW2274" s="207" t="n"/>
      <c r="BX2274" s="207" t="n"/>
      <c r="BY2274" s="204" t="n"/>
      <c r="BZ2274" s="148" t="n"/>
      <c r="CA2274" s="204" t="n"/>
      <c r="CB2274" s="208" t="n"/>
      <c r="CC2274" s="139" t="n"/>
      <c r="CD2274" s="204" t="n"/>
      <c r="CE2274" s="204" t="n"/>
      <c r="CF2274" s="207" t="n"/>
      <c r="CG2274" s="208" t="n"/>
      <c r="CH2274" s="207" t="n"/>
      <c r="CI2274" s="208" t="n"/>
      <c r="CJ2274" s="204" t="n"/>
      <c r="CK2274" s="208" t="n"/>
      <c r="CL2274" s="208" t="n"/>
      <c r="CM2274" s="208" t="n"/>
      <c r="CN2274" s="78" t="n"/>
      <c r="CO2274" s="209" t="n"/>
      <c r="CP2274" s="204" t="n"/>
      <c r="CQ2274" s="204" t="n"/>
      <c r="CR2274" s="204" t="n"/>
      <c r="CS2274" s="204" t="n"/>
      <c r="CT2274" s="204" t="n"/>
      <c r="CU2274" s="204" t="n"/>
      <c r="CV2274" s="204" t="n"/>
      <c r="CW2274" s="204" t="n"/>
    </row>
    <row r="2275">
      <c r="BF2275" s="78" t="n"/>
      <c r="BG2275" s="78" t="n"/>
      <c r="BH2275" s="78" t="n"/>
      <c r="BI2275" s="78" t="n"/>
      <c r="BJ2275" s="139" t="n"/>
      <c r="BK2275" s="204" t="n"/>
      <c r="BL2275" s="141" t="n"/>
      <c r="BM2275" s="205" t="n"/>
      <c r="BN2275" s="205" t="n"/>
      <c r="BO2275" s="206" t="n"/>
      <c r="BP2275" s="144" t="n"/>
      <c r="BQ2275" s="141" t="n"/>
      <c r="BR2275" s="207" t="n"/>
      <c r="BS2275" s="207" t="n"/>
      <c r="BT2275" s="207" t="n"/>
      <c r="BU2275" s="207" t="n"/>
      <c r="BV2275" s="208" t="n"/>
      <c r="BW2275" s="207" t="n"/>
      <c r="BX2275" s="207" t="n"/>
      <c r="BY2275" s="204" t="n"/>
      <c r="BZ2275" s="148" t="n"/>
      <c r="CA2275" s="204" t="n"/>
      <c r="CB2275" s="208" t="n"/>
      <c r="CC2275" s="139" t="n"/>
      <c r="CD2275" s="204" t="n"/>
      <c r="CE2275" s="204" t="n"/>
      <c r="CF2275" s="207" t="n"/>
      <c r="CG2275" s="208" t="n"/>
      <c r="CH2275" s="207" t="n"/>
      <c r="CI2275" s="208" t="n"/>
      <c r="CJ2275" s="204" t="n"/>
      <c r="CK2275" s="208" t="n"/>
      <c r="CL2275" s="208" t="n"/>
      <c r="CM2275" s="208" t="n"/>
      <c r="CN2275" s="78" t="n"/>
      <c r="CO2275" s="209" t="n"/>
      <c r="CP2275" s="204" t="n"/>
      <c r="CQ2275" s="204" t="n"/>
      <c r="CR2275" s="204" t="n"/>
      <c r="CS2275" s="204" t="n"/>
      <c r="CT2275" s="204" t="n"/>
      <c r="CU2275" s="204" t="n"/>
      <c r="CV2275" s="204" t="n"/>
      <c r="CW2275" s="204" t="n"/>
    </row>
    <row r="2276">
      <c r="BF2276" s="78" t="n"/>
      <c r="BG2276" s="78" t="n"/>
      <c r="BH2276" s="78" t="n"/>
      <c r="BI2276" s="78" t="n"/>
      <c r="BJ2276" s="139" t="n"/>
      <c r="BK2276" s="204" t="n"/>
      <c r="BL2276" s="141" t="n"/>
      <c r="BM2276" s="205" t="n"/>
      <c r="BN2276" s="205" t="n"/>
      <c r="BO2276" s="206" t="n"/>
      <c r="BP2276" s="144" t="n"/>
      <c r="BQ2276" s="141" t="n"/>
      <c r="BR2276" s="207" t="n"/>
      <c r="BS2276" s="207" t="n"/>
      <c r="BT2276" s="207" t="n"/>
      <c r="BU2276" s="207" t="n"/>
      <c r="BV2276" s="208" t="n"/>
      <c r="BW2276" s="207" t="n"/>
      <c r="BX2276" s="207" t="n"/>
      <c r="BY2276" s="204" t="n"/>
      <c r="BZ2276" s="148" t="n"/>
      <c r="CA2276" s="204" t="n"/>
      <c r="CB2276" s="208" t="n"/>
      <c r="CC2276" s="139" t="n"/>
      <c r="CD2276" s="204" t="n"/>
      <c r="CE2276" s="204" t="n"/>
      <c r="CF2276" s="207" t="n"/>
      <c r="CG2276" s="208" t="n"/>
      <c r="CH2276" s="207" t="n"/>
      <c r="CI2276" s="208" t="n"/>
      <c r="CJ2276" s="204" t="n"/>
      <c r="CK2276" s="208" t="n"/>
      <c r="CL2276" s="208" t="n"/>
      <c r="CM2276" s="208" t="n"/>
      <c r="CN2276" s="78" t="n"/>
      <c r="CO2276" s="209" t="n"/>
      <c r="CP2276" s="204" t="n"/>
      <c r="CQ2276" s="204" t="n"/>
      <c r="CR2276" s="204" t="n"/>
      <c r="CS2276" s="204" t="n"/>
      <c r="CT2276" s="204" t="n"/>
      <c r="CU2276" s="204" t="n"/>
      <c r="CV2276" s="204" t="n"/>
      <c r="CW2276" s="204" t="n"/>
    </row>
    <row r="2277">
      <c r="BF2277" s="78" t="n"/>
      <c r="BG2277" s="78" t="n"/>
      <c r="BH2277" s="78" t="n"/>
      <c r="BI2277" s="78" t="n"/>
      <c r="BJ2277" s="139" t="n"/>
      <c r="BK2277" s="204" t="n"/>
      <c r="BL2277" s="141" t="n"/>
      <c r="BM2277" s="205" t="n"/>
      <c r="BN2277" s="205" t="n"/>
      <c r="BO2277" s="206" t="n"/>
      <c r="BP2277" s="144" t="n"/>
      <c r="BQ2277" s="141" t="n"/>
      <c r="BR2277" s="207" t="n"/>
      <c r="BS2277" s="207" t="n"/>
      <c r="BT2277" s="207" t="n"/>
      <c r="BU2277" s="207" t="n"/>
      <c r="BV2277" s="208" t="n"/>
      <c r="BW2277" s="207" t="n"/>
      <c r="BX2277" s="207" t="n"/>
      <c r="BY2277" s="204" t="n"/>
      <c r="BZ2277" s="148" t="n"/>
      <c r="CA2277" s="204" t="n"/>
      <c r="CB2277" s="208" t="n"/>
      <c r="CC2277" s="139" t="n"/>
      <c r="CD2277" s="204" t="n"/>
      <c r="CE2277" s="204" t="n"/>
      <c r="CF2277" s="207" t="n"/>
      <c r="CG2277" s="208" t="n"/>
      <c r="CH2277" s="207" t="n"/>
      <c r="CI2277" s="208" t="n"/>
      <c r="CJ2277" s="204" t="n"/>
      <c r="CK2277" s="208" t="n"/>
      <c r="CL2277" s="208" t="n"/>
      <c r="CM2277" s="208" t="n"/>
      <c r="CN2277" s="78" t="n"/>
      <c r="CO2277" s="209" t="n"/>
      <c r="CP2277" s="204" t="n"/>
      <c r="CQ2277" s="204" t="n"/>
      <c r="CR2277" s="204" t="n"/>
      <c r="CS2277" s="204" t="n"/>
      <c r="CT2277" s="204" t="n"/>
      <c r="CU2277" s="204" t="n"/>
      <c r="CV2277" s="204" t="n"/>
      <c r="CW2277" s="204" t="n"/>
    </row>
    <row r="2278">
      <c r="BF2278" s="78" t="n"/>
      <c r="BG2278" s="78" t="n"/>
      <c r="BH2278" s="78" t="n"/>
      <c r="BI2278" s="78" t="n"/>
      <c r="BJ2278" s="139" t="n"/>
      <c r="BK2278" s="204" t="n"/>
      <c r="BL2278" s="141" t="n"/>
      <c r="BM2278" s="205" t="n"/>
      <c r="BN2278" s="205" t="n"/>
      <c r="BO2278" s="206" t="n"/>
      <c r="BP2278" s="144" t="n"/>
      <c r="BQ2278" s="141" t="n"/>
      <c r="BR2278" s="207" t="n"/>
      <c r="BS2278" s="207" t="n"/>
      <c r="BT2278" s="207" t="n"/>
      <c r="BU2278" s="207" t="n"/>
      <c r="BV2278" s="208" t="n"/>
      <c r="BW2278" s="207" t="n"/>
      <c r="BX2278" s="207" t="n"/>
      <c r="BY2278" s="204" t="n"/>
      <c r="BZ2278" s="148" t="n"/>
      <c r="CA2278" s="204" t="n"/>
      <c r="CB2278" s="208" t="n"/>
      <c r="CC2278" s="139" t="n"/>
      <c r="CD2278" s="204" t="n"/>
      <c r="CE2278" s="204" t="n"/>
      <c r="CF2278" s="207" t="n"/>
      <c r="CG2278" s="208" t="n"/>
      <c r="CH2278" s="207" t="n"/>
      <c r="CI2278" s="208" t="n"/>
      <c r="CJ2278" s="204" t="n"/>
      <c r="CK2278" s="208" t="n"/>
      <c r="CL2278" s="208" t="n"/>
      <c r="CM2278" s="208" t="n"/>
      <c r="CN2278" s="78" t="n"/>
      <c r="CO2278" s="209" t="n"/>
      <c r="CP2278" s="204" t="n"/>
      <c r="CQ2278" s="204" t="n"/>
      <c r="CR2278" s="204" t="n"/>
      <c r="CS2278" s="204" t="n"/>
      <c r="CT2278" s="204" t="n"/>
      <c r="CU2278" s="204" t="n"/>
      <c r="CV2278" s="204" t="n"/>
      <c r="CW2278" s="204" t="n"/>
    </row>
    <row r="2279">
      <c r="BF2279" s="78" t="n"/>
      <c r="BG2279" s="78" t="n"/>
      <c r="BH2279" s="78" t="n"/>
      <c r="BI2279" s="78" t="n"/>
      <c r="BJ2279" s="139" t="n"/>
      <c r="BK2279" s="204" t="n"/>
      <c r="BL2279" s="141" t="n"/>
      <c r="BM2279" s="205" t="n"/>
      <c r="BN2279" s="205" t="n"/>
      <c r="BO2279" s="206" t="n"/>
      <c r="BP2279" s="144" t="n"/>
      <c r="BQ2279" s="141" t="n"/>
      <c r="BR2279" s="207" t="n"/>
      <c r="BS2279" s="207" t="n"/>
      <c r="BT2279" s="207" t="n"/>
      <c r="BU2279" s="207" t="n"/>
      <c r="BV2279" s="208" t="n"/>
      <c r="BW2279" s="207" t="n"/>
      <c r="BX2279" s="207" t="n"/>
      <c r="BY2279" s="204" t="n"/>
      <c r="BZ2279" s="148" t="n"/>
      <c r="CA2279" s="204" t="n"/>
      <c r="CB2279" s="208" t="n"/>
      <c r="CC2279" s="139" t="n"/>
      <c r="CD2279" s="204" t="n"/>
      <c r="CE2279" s="204" t="n"/>
      <c r="CF2279" s="207" t="n"/>
      <c r="CG2279" s="208" t="n"/>
      <c r="CH2279" s="207" t="n"/>
      <c r="CI2279" s="208" t="n"/>
      <c r="CJ2279" s="204" t="n"/>
      <c r="CK2279" s="208" t="n"/>
      <c r="CL2279" s="208" t="n"/>
      <c r="CM2279" s="208" t="n"/>
      <c r="CN2279" s="78" t="n"/>
      <c r="CO2279" s="209" t="n"/>
      <c r="CP2279" s="204" t="n"/>
      <c r="CQ2279" s="204" t="n"/>
      <c r="CR2279" s="204" t="n"/>
      <c r="CS2279" s="204" t="n"/>
      <c r="CT2279" s="204" t="n"/>
      <c r="CU2279" s="204" t="n"/>
      <c r="CV2279" s="204" t="n"/>
      <c r="CW2279" s="204" t="n"/>
    </row>
    <row r="2280">
      <c r="BF2280" s="78" t="n"/>
      <c r="BG2280" s="78" t="n"/>
      <c r="BH2280" s="78" t="n"/>
      <c r="BI2280" s="78" t="n"/>
      <c r="BJ2280" s="139" t="n"/>
      <c r="BK2280" s="204" t="n"/>
      <c r="BL2280" s="141" t="n"/>
      <c r="BM2280" s="205" t="n"/>
      <c r="BN2280" s="205" t="n"/>
      <c r="BO2280" s="206" t="n"/>
      <c r="BP2280" s="144" t="n"/>
      <c r="BQ2280" s="141" t="n"/>
      <c r="BR2280" s="207" t="n"/>
      <c r="BS2280" s="207" t="n"/>
      <c r="BT2280" s="207" t="n"/>
      <c r="BU2280" s="207" t="n"/>
      <c r="BV2280" s="208" t="n"/>
      <c r="BW2280" s="207" t="n"/>
      <c r="BX2280" s="207" t="n"/>
      <c r="BY2280" s="204" t="n"/>
      <c r="BZ2280" s="148" t="n"/>
      <c r="CA2280" s="204" t="n"/>
      <c r="CB2280" s="208" t="n"/>
      <c r="CC2280" s="139" t="n"/>
      <c r="CD2280" s="204" t="n"/>
      <c r="CE2280" s="204" t="n"/>
      <c r="CF2280" s="207" t="n"/>
      <c r="CG2280" s="208" t="n"/>
      <c r="CH2280" s="207" t="n"/>
      <c r="CI2280" s="208" t="n"/>
      <c r="CJ2280" s="204" t="n"/>
      <c r="CK2280" s="208" t="n"/>
      <c r="CL2280" s="208" t="n"/>
      <c r="CM2280" s="208" t="n"/>
      <c r="CN2280" s="78" t="n"/>
      <c r="CO2280" s="209" t="n"/>
      <c r="CP2280" s="204" t="n"/>
      <c r="CQ2280" s="204" t="n"/>
      <c r="CR2280" s="204" t="n"/>
      <c r="CS2280" s="204" t="n"/>
      <c r="CT2280" s="204" t="n"/>
      <c r="CU2280" s="204" t="n"/>
      <c r="CV2280" s="204" t="n"/>
      <c r="CW2280" s="204" t="n"/>
    </row>
    <row r="2281">
      <c r="BF2281" s="78" t="n"/>
      <c r="BG2281" s="78" t="n"/>
      <c r="BH2281" s="78" t="n"/>
      <c r="BI2281" s="78" t="n"/>
      <c r="BJ2281" s="139" t="n"/>
      <c r="BK2281" s="204" t="n"/>
      <c r="BL2281" s="141" t="n"/>
      <c r="BM2281" s="205" t="n"/>
      <c r="BN2281" s="205" t="n"/>
      <c r="BO2281" s="206" t="n"/>
      <c r="BP2281" s="144" t="n"/>
      <c r="BQ2281" s="141" t="n"/>
      <c r="BR2281" s="207" t="n"/>
      <c r="BS2281" s="207" t="n"/>
      <c r="BT2281" s="207" t="n"/>
      <c r="BU2281" s="207" t="n"/>
      <c r="BV2281" s="208" t="n"/>
      <c r="BW2281" s="207" t="n"/>
      <c r="BX2281" s="207" t="n"/>
      <c r="BY2281" s="204" t="n"/>
      <c r="BZ2281" s="148" t="n"/>
      <c r="CA2281" s="204" t="n"/>
      <c r="CB2281" s="208" t="n"/>
      <c r="CC2281" s="139" t="n"/>
      <c r="CD2281" s="204" t="n"/>
      <c r="CE2281" s="204" t="n"/>
      <c r="CF2281" s="207" t="n"/>
      <c r="CG2281" s="208" t="n"/>
      <c r="CH2281" s="207" t="n"/>
      <c r="CI2281" s="208" t="n"/>
      <c r="CJ2281" s="204" t="n"/>
      <c r="CK2281" s="208" t="n"/>
      <c r="CL2281" s="208" t="n"/>
      <c r="CM2281" s="208" t="n"/>
      <c r="CN2281" s="78" t="n"/>
      <c r="CO2281" s="209" t="n"/>
      <c r="CP2281" s="204" t="n"/>
      <c r="CQ2281" s="204" t="n"/>
      <c r="CR2281" s="204" t="n"/>
      <c r="CS2281" s="204" t="n"/>
      <c r="CT2281" s="204" t="n"/>
      <c r="CU2281" s="204" t="n"/>
      <c r="CV2281" s="204" t="n"/>
      <c r="CW2281" s="204" t="n"/>
    </row>
    <row r="2282">
      <c r="BF2282" s="78" t="n"/>
      <c r="BG2282" s="78" t="n"/>
      <c r="BH2282" s="78" t="n"/>
      <c r="BI2282" s="78" t="n"/>
      <c r="BJ2282" s="139" t="n"/>
      <c r="BK2282" s="204" t="n"/>
      <c r="BL2282" s="141" t="n"/>
      <c r="BM2282" s="205" t="n"/>
      <c r="BN2282" s="205" t="n"/>
      <c r="BO2282" s="206" t="n"/>
      <c r="BP2282" s="144" t="n"/>
      <c r="BQ2282" s="141" t="n"/>
      <c r="BR2282" s="207" t="n"/>
      <c r="BS2282" s="207" t="n"/>
      <c r="BT2282" s="207" t="n"/>
      <c r="BU2282" s="207" t="n"/>
      <c r="BV2282" s="208" t="n"/>
      <c r="BW2282" s="207" t="n"/>
      <c r="BX2282" s="207" t="n"/>
      <c r="BY2282" s="204" t="n"/>
      <c r="BZ2282" s="148" t="n"/>
      <c r="CA2282" s="204" t="n"/>
      <c r="CB2282" s="208" t="n"/>
      <c r="CC2282" s="139" t="n"/>
      <c r="CD2282" s="204" t="n"/>
      <c r="CE2282" s="204" t="n"/>
      <c r="CF2282" s="207" t="n"/>
      <c r="CG2282" s="208" t="n"/>
      <c r="CH2282" s="207" t="n"/>
      <c r="CI2282" s="208" t="n"/>
      <c r="CJ2282" s="204" t="n"/>
      <c r="CK2282" s="208" t="n"/>
      <c r="CL2282" s="208" t="n"/>
      <c r="CM2282" s="208" t="n"/>
      <c r="CN2282" s="78" t="n"/>
      <c r="CO2282" s="209" t="n"/>
      <c r="CP2282" s="204" t="n"/>
      <c r="CQ2282" s="204" t="n"/>
      <c r="CR2282" s="204" t="n"/>
      <c r="CS2282" s="204" t="n"/>
      <c r="CT2282" s="204" t="n"/>
      <c r="CU2282" s="204" t="n"/>
      <c r="CV2282" s="204" t="n"/>
      <c r="CW2282" s="204" t="n"/>
    </row>
    <row r="2283">
      <c r="AR2283" s="151" t="n"/>
      <c r="BF2283" s="78" t="n"/>
      <c r="BG2283" s="78" t="n"/>
      <c r="BH2283" s="78" t="n"/>
      <c r="BI2283" s="78" t="n"/>
      <c r="BJ2283" s="139" t="n"/>
      <c r="BK2283" s="204" t="n"/>
      <c r="BL2283" s="141" t="n"/>
      <c r="BM2283" s="205" t="n"/>
      <c r="BN2283" s="205" t="n"/>
      <c r="BO2283" s="206" t="n"/>
      <c r="BP2283" s="144" t="n"/>
      <c r="BQ2283" s="141" t="n"/>
      <c r="BR2283" s="207" t="n"/>
      <c r="BS2283" s="207" t="n"/>
      <c r="BT2283" s="207" t="n"/>
      <c r="BU2283" s="207" t="n"/>
      <c r="BV2283" s="208" t="n"/>
      <c r="BW2283" s="207" t="n"/>
      <c r="BX2283" s="207" t="n"/>
      <c r="BY2283" s="204" t="n"/>
      <c r="BZ2283" s="148" t="n"/>
      <c r="CA2283" s="204" t="n"/>
      <c r="CB2283" s="208" t="n"/>
      <c r="CC2283" s="139" t="n"/>
      <c r="CD2283" s="204" t="n"/>
      <c r="CE2283" s="204" t="n"/>
      <c r="CF2283" s="207" t="n"/>
      <c r="CG2283" s="208" t="n"/>
      <c r="CH2283" s="207" t="n"/>
      <c r="CI2283" s="208" t="n"/>
      <c r="CJ2283" s="204" t="n"/>
      <c r="CK2283" s="208" t="n"/>
      <c r="CL2283" s="208" t="n"/>
      <c r="CM2283" s="208" t="n"/>
      <c r="CN2283" s="78" t="n"/>
      <c r="CO2283" s="209" t="n"/>
      <c r="CP2283" s="204" t="n"/>
      <c r="CQ2283" s="204" t="n"/>
      <c r="CR2283" s="204" t="n"/>
      <c r="CS2283" s="204" t="n"/>
      <c r="CT2283" s="204" t="n"/>
      <c r="CU2283" s="204" t="n"/>
      <c r="CV2283" s="204" t="n"/>
      <c r="CW2283" s="204" t="n"/>
    </row>
    <row r="2284">
      <c r="AR2284" s="151" t="n"/>
      <c r="BF2284" s="78" t="n"/>
      <c r="BG2284" s="78" t="n"/>
      <c r="BH2284" s="78" t="n"/>
      <c r="BI2284" s="78" t="n"/>
      <c r="BJ2284" s="139" t="n"/>
      <c r="BK2284" s="204" t="n"/>
      <c r="BL2284" s="141" t="n"/>
      <c r="BM2284" s="205" t="n"/>
      <c r="BN2284" s="205" t="n"/>
      <c r="BO2284" s="206" t="n"/>
      <c r="BP2284" s="144" t="n"/>
      <c r="BQ2284" s="141" t="n"/>
      <c r="BR2284" s="207" t="n"/>
      <c r="BS2284" s="207" t="n"/>
      <c r="BT2284" s="207" t="n"/>
      <c r="BU2284" s="207" t="n"/>
      <c r="BV2284" s="208" t="n"/>
      <c r="BW2284" s="207" t="n"/>
      <c r="BX2284" s="207" t="n"/>
      <c r="BY2284" s="204" t="n"/>
      <c r="BZ2284" s="148" t="n"/>
      <c r="CA2284" s="204" t="n"/>
      <c r="CB2284" s="208" t="n"/>
      <c r="CC2284" s="139" t="n"/>
      <c r="CD2284" s="204" t="n"/>
      <c r="CE2284" s="204" t="n"/>
      <c r="CF2284" s="207" t="n"/>
      <c r="CG2284" s="208" t="n"/>
      <c r="CH2284" s="207" t="n"/>
      <c r="CI2284" s="208" t="n"/>
      <c r="CJ2284" s="204" t="n"/>
      <c r="CK2284" s="208" t="n"/>
      <c r="CL2284" s="208" t="n"/>
      <c r="CM2284" s="208" t="n"/>
      <c r="CN2284" s="78" t="n"/>
      <c r="CO2284" s="209" t="n"/>
      <c r="CP2284" s="204" t="n"/>
      <c r="CQ2284" s="204" t="n"/>
      <c r="CR2284" s="204" t="n"/>
      <c r="CS2284" s="204" t="n"/>
      <c r="CT2284" s="204" t="n"/>
      <c r="CU2284" s="204" t="n"/>
      <c r="CV2284" s="204" t="n"/>
      <c r="CW2284" s="204" t="n"/>
    </row>
    <row r="2285">
      <c r="AR2285" s="151" t="n"/>
      <c r="BF2285" s="78" t="n"/>
      <c r="BG2285" s="78" t="n"/>
      <c r="BH2285" s="78" t="n"/>
      <c r="BI2285" s="78" t="n"/>
      <c r="BJ2285" s="139" t="n"/>
      <c r="BK2285" s="204" t="n"/>
      <c r="BL2285" s="141" t="n"/>
      <c r="BM2285" s="205" t="n"/>
      <c r="BN2285" s="205" t="n"/>
      <c r="BO2285" s="206" t="n"/>
      <c r="BP2285" s="144" t="n"/>
      <c r="BQ2285" s="141" t="n"/>
      <c r="BR2285" s="207" t="n"/>
      <c r="BS2285" s="207" t="n"/>
      <c r="BT2285" s="207" t="n"/>
      <c r="BU2285" s="207" t="n"/>
      <c r="BV2285" s="208" t="n"/>
      <c r="BW2285" s="207" t="n"/>
      <c r="BX2285" s="207" t="n"/>
      <c r="BY2285" s="204" t="n"/>
      <c r="BZ2285" s="148" t="n"/>
      <c r="CA2285" s="204" t="n"/>
      <c r="CB2285" s="208" t="n"/>
      <c r="CC2285" s="139" t="n"/>
      <c r="CD2285" s="204" t="n"/>
      <c r="CE2285" s="204" t="n"/>
      <c r="CF2285" s="207" t="n"/>
      <c r="CG2285" s="208" t="n"/>
      <c r="CH2285" s="207" t="n"/>
      <c r="CI2285" s="208" t="n"/>
      <c r="CJ2285" s="204" t="n"/>
      <c r="CK2285" s="208" t="n"/>
      <c r="CL2285" s="208" t="n"/>
      <c r="CM2285" s="208" t="n"/>
      <c r="CN2285" s="78" t="n"/>
      <c r="CO2285" s="209" t="n"/>
      <c r="CP2285" s="204" t="n"/>
      <c r="CQ2285" s="204" t="n"/>
      <c r="CR2285" s="204" t="n"/>
      <c r="CS2285" s="204" t="n"/>
      <c r="CT2285" s="204" t="n"/>
      <c r="CU2285" s="204" t="n"/>
      <c r="CV2285" s="204" t="n"/>
      <c r="CW2285" s="204" t="n"/>
    </row>
    <row r="2286">
      <c r="AR2286" s="151" t="n"/>
      <c r="BF2286" s="78" t="n"/>
      <c r="BG2286" s="78" t="n"/>
      <c r="BH2286" s="78" t="n"/>
      <c r="BI2286" s="78" t="n"/>
      <c r="BJ2286" s="139" t="n"/>
      <c r="BK2286" s="204" t="n"/>
      <c r="BL2286" s="141" t="n"/>
      <c r="BM2286" s="205" t="n"/>
      <c r="BN2286" s="205" t="n"/>
      <c r="BO2286" s="206" t="n"/>
      <c r="BP2286" s="144" t="n"/>
      <c r="BQ2286" s="141" t="n"/>
      <c r="BR2286" s="207" t="n"/>
      <c r="BS2286" s="207" t="n"/>
      <c r="BT2286" s="207" t="n"/>
      <c r="BU2286" s="207" t="n"/>
      <c r="BV2286" s="208" t="n"/>
      <c r="BW2286" s="207" t="n"/>
      <c r="BX2286" s="207" t="n"/>
      <c r="BY2286" s="204" t="n"/>
      <c r="BZ2286" s="148" t="n"/>
      <c r="CA2286" s="204" t="n"/>
      <c r="CB2286" s="208" t="n"/>
      <c r="CC2286" s="139" t="n"/>
      <c r="CD2286" s="204" t="n"/>
      <c r="CE2286" s="204" t="n"/>
      <c r="CF2286" s="207" t="n"/>
      <c r="CG2286" s="208" t="n"/>
      <c r="CH2286" s="207" t="n"/>
      <c r="CI2286" s="208" t="n"/>
      <c r="CJ2286" s="204" t="n"/>
      <c r="CK2286" s="208" t="n"/>
      <c r="CL2286" s="208" t="n"/>
      <c r="CM2286" s="208" t="n"/>
      <c r="CN2286" s="78" t="n"/>
      <c r="CO2286" s="209" t="n"/>
      <c r="CP2286" s="204" t="n"/>
      <c r="CQ2286" s="204" t="n"/>
      <c r="CR2286" s="204" t="n"/>
      <c r="CS2286" s="204" t="n"/>
      <c r="CT2286" s="204" t="n"/>
      <c r="CU2286" s="204" t="n"/>
      <c r="CV2286" s="204" t="n"/>
      <c r="CW2286" s="204" t="n"/>
    </row>
    <row r="2287">
      <c r="AR2287" s="151" t="n"/>
      <c r="BF2287" s="78" t="n"/>
      <c r="BG2287" s="78" t="n"/>
      <c r="BH2287" s="78" t="n"/>
      <c r="BI2287" s="78" t="n"/>
      <c r="BJ2287" s="139" t="n"/>
      <c r="BK2287" s="204" t="n"/>
      <c r="BL2287" s="141" t="n"/>
      <c r="BM2287" s="205" t="n"/>
      <c r="BN2287" s="205" t="n"/>
      <c r="BO2287" s="206" t="n"/>
      <c r="BP2287" s="144" t="n"/>
      <c r="BQ2287" s="141" t="n"/>
      <c r="BR2287" s="207" t="n"/>
      <c r="BS2287" s="207" t="n"/>
      <c r="BT2287" s="207" t="n"/>
      <c r="BU2287" s="207" t="n"/>
      <c r="BV2287" s="208" t="n"/>
      <c r="BW2287" s="207" t="n"/>
      <c r="BX2287" s="207" t="n"/>
      <c r="BY2287" s="204" t="n"/>
      <c r="BZ2287" s="148" t="n"/>
      <c r="CA2287" s="204" t="n"/>
      <c r="CB2287" s="208" t="n"/>
      <c r="CC2287" s="139" t="n"/>
      <c r="CD2287" s="204" t="n"/>
      <c r="CE2287" s="204" t="n"/>
      <c r="CF2287" s="207" t="n"/>
      <c r="CG2287" s="208" t="n"/>
      <c r="CH2287" s="207" t="n"/>
      <c r="CI2287" s="208" t="n"/>
      <c r="CJ2287" s="204" t="n"/>
      <c r="CK2287" s="208" t="n"/>
      <c r="CL2287" s="208" t="n"/>
      <c r="CM2287" s="208" t="n"/>
      <c r="CN2287" s="78" t="n"/>
      <c r="CO2287" s="209" t="n"/>
      <c r="CP2287" s="204" t="n"/>
      <c r="CQ2287" s="204" t="n"/>
      <c r="CR2287" s="204" t="n"/>
      <c r="CS2287" s="204" t="n"/>
      <c r="CT2287" s="204" t="n"/>
      <c r="CU2287" s="204" t="n"/>
      <c r="CV2287" s="204" t="n"/>
      <c r="CW2287" s="204" t="n"/>
    </row>
    <row r="2288">
      <c r="AR2288" s="151" t="n"/>
      <c r="BF2288" s="78" t="n"/>
      <c r="BG2288" s="78" t="n"/>
      <c r="BH2288" s="78" t="n"/>
      <c r="BI2288" s="78" t="n"/>
      <c r="BJ2288" s="139" t="n"/>
      <c r="BK2288" s="204" t="n"/>
      <c r="BL2288" s="141" t="n"/>
      <c r="BM2288" s="205" t="n"/>
      <c r="BN2288" s="205" t="n"/>
      <c r="BO2288" s="206" t="n"/>
      <c r="BP2288" s="144" t="n"/>
      <c r="BQ2288" s="141" t="n"/>
      <c r="BR2288" s="207" t="n"/>
      <c r="BS2288" s="207" t="n"/>
      <c r="BT2288" s="207" t="n"/>
      <c r="BU2288" s="207" t="n"/>
      <c r="BV2288" s="208" t="n"/>
      <c r="BW2288" s="207" t="n"/>
      <c r="BX2288" s="207" t="n"/>
      <c r="BY2288" s="204" t="n"/>
      <c r="BZ2288" s="148" t="n"/>
      <c r="CA2288" s="204" t="n"/>
      <c r="CB2288" s="208" t="n"/>
      <c r="CC2288" s="139" t="n"/>
      <c r="CD2288" s="204" t="n"/>
      <c r="CE2288" s="204" t="n"/>
      <c r="CF2288" s="207" t="n"/>
      <c r="CG2288" s="208" t="n"/>
      <c r="CH2288" s="207" t="n"/>
      <c r="CI2288" s="208" t="n"/>
      <c r="CJ2288" s="204" t="n"/>
      <c r="CK2288" s="208" t="n"/>
      <c r="CL2288" s="208" t="n"/>
      <c r="CM2288" s="208" t="n"/>
      <c r="CN2288" s="78" t="n"/>
      <c r="CO2288" s="209" t="n"/>
      <c r="CP2288" s="204" t="n"/>
      <c r="CQ2288" s="204" t="n"/>
      <c r="CR2288" s="204" t="n"/>
      <c r="CS2288" s="204" t="n"/>
      <c r="CT2288" s="204" t="n"/>
      <c r="CU2288" s="204" t="n"/>
      <c r="CV2288" s="204" t="n"/>
      <c r="CW2288" s="204" t="n"/>
    </row>
    <row r="2289">
      <c r="BF2289" s="78" t="n"/>
      <c r="BG2289" s="78" t="n"/>
      <c r="BH2289" s="78" t="n"/>
      <c r="BI2289" s="78" t="n"/>
      <c r="BJ2289" s="139" t="n"/>
      <c r="BK2289" s="204" t="n"/>
      <c r="BL2289" s="141" t="n"/>
      <c r="BM2289" s="205" t="n"/>
      <c r="BN2289" s="205" t="n"/>
      <c r="BO2289" s="206" t="n"/>
      <c r="BP2289" s="144" t="n"/>
      <c r="BQ2289" s="141" t="n"/>
      <c r="BR2289" s="207" t="n"/>
      <c r="BS2289" s="207" t="n"/>
      <c r="BT2289" s="207" t="n"/>
      <c r="BU2289" s="207" t="n"/>
      <c r="BV2289" s="208" t="n"/>
      <c r="BW2289" s="207" t="n"/>
      <c r="BX2289" s="207" t="n"/>
      <c r="BY2289" s="204" t="n"/>
      <c r="BZ2289" s="148" t="n"/>
      <c r="CA2289" s="204" t="n"/>
      <c r="CB2289" s="208" t="n"/>
      <c r="CC2289" s="139" t="n"/>
      <c r="CD2289" s="204" t="n"/>
      <c r="CE2289" s="204" t="n"/>
      <c r="CF2289" s="207" t="n"/>
      <c r="CG2289" s="208" t="n"/>
      <c r="CH2289" s="207" t="n"/>
      <c r="CI2289" s="208" t="n"/>
      <c r="CJ2289" s="204" t="n"/>
      <c r="CK2289" s="208" t="n"/>
      <c r="CL2289" s="208" t="n"/>
      <c r="CM2289" s="208" t="n"/>
      <c r="CN2289" s="78" t="n"/>
      <c r="CO2289" s="209" t="n"/>
      <c r="CP2289" s="204" t="n"/>
      <c r="CQ2289" s="204" t="n"/>
      <c r="CR2289" s="204" t="n"/>
      <c r="CS2289" s="204" t="n"/>
      <c r="CT2289" s="204" t="n"/>
      <c r="CU2289" s="204" t="n"/>
      <c r="CV2289" s="204" t="n"/>
      <c r="CW2289" s="204" t="n"/>
    </row>
    <row r="2290">
      <c r="BF2290" s="78" t="n"/>
      <c r="BG2290" s="78" t="n"/>
      <c r="BH2290" s="78" t="n"/>
      <c r="BI2290" s="78" t="n"/>
      <c r="BJ2290" s="139" t="n"/>
      <c r="BK2290" s="204" t="n"/>
      <c r="BL2290" s="141" t="n"/>
      <c r="BM2290" s="205" t="n"/>
      <c r="BN2290" s="205" t="n"/>
      <c r="BO2290" s="206" t="n"/>
      <c r="BP2290" s="144" t="n"/>
      <c r="BQ2290" s="141" t="n"/>
      <c r="BR2290" s="207" t="n"/>
      <c r="BS2290" s="207" t="n"/>
      <c r="BT2290" s="207" t="n"/>
      <c r="BU2290" s="207" t="n"/>
      <c r="BV2290" s="208" t="n"/>
      <c r="BW2290" s="207" t="n"/>
      <c r="BX2290" s="207" t="n"/>
      <c r="BY2290" s="204" t="n"/>
      <c r="BZ2290" s="148" t="n"/>
      <c r="CA2290" s="204" t="n"/>
      <c r="CB2290" s="208" t="n"/>
      <c r="CC2290" s="139" t="n"/>
      <c r="CD2290" s="204" t="n"/>
      <c r="CE2290" s="204" t="n"/>
      <c r="CF2290" s="207" t="n"/>
      <c r="CG2290" s="208" t="n"/>
      <c r="CH2290" s="207" t="n"/>
      <c r="CI2290" s="208" t="n"/>
      <c r="CJ2290" s="204" t="n"/>
      <c r="CK2290" s="208" t="n"/>
      <c r="CL2290" s="208" t="n"/>
      <c r="CM2290" s="208" t="n"/>
      <c r="CN2290" s="78" t="n"/>
      <c r="CO2290" s="209" t="n"/>
      <c r="CP2290" s="204" t="n"/>
      <c r="CQ2290" s="204" t="n"/>
      <c r="CR2290" s="204" t="n"/>
      <c r="CS2290" s="204" t="n"/>
      <c r="CT2290" s="204" t="n"/>
      <c r="CU2290" s="204" t="n"/>
      <c r="CV2290" s="204" t="n"/>
      <c r="CW2290" s="204" t="n"/>
    </row>
    <row r="2291">
      <c r="BF2291" s="78" t="n"/>
      <c r="BG2291" s="78" t="n"/>
      <c r="BH2291" s="78" t="n"/>
      <c r="BI2291" s="78" t="n"/>
      <c r="BJ2291" s="139" t="n"/>
      <c r="BK2291" s="204" t="n"/>
      <c r="BL2291" s="141" t="n"/>
      <c r="BM2291" s="205" t="n"/>
      <c r="BN2291" s="205" t="n"/>
      <c r="BO2291" s="206" t="n"/>
      <c r="BP2291" s="144" t="n"/>
      <c r="BQ2291" s="141" t="n"/>
      <c r="BR2291" s="207" t="n"/>
      <c r="BS2291" s="207" t="n"/>
      <c r="BT2291" s="207" t="n"/>
      <c r="BU2291" s="207" t="n"/>
      <c r="BV2291" s="208" t="n"/>
      <c r="BW2291" s="207" t="n"/>
      <c r="BX2291" s="207" t="n"/>
      <c r="BY2291" s="204" t="n"/>
      <c r="BZ2291" s="148" t="n"/>
      <c r="CA2291" s="204" t="n"/>
      <c r="CB2291" s="208" t="n"/>
      <c r="CC2291" s="139" t="n"/>
      <c r="CD2291" s="204" t="n"/>
      <c r="CE2291" s="204" t="n"/>
      <c r="CF2291" s="207" t="n"/>
      <c r="CG2291" s="208" t="n"/>
      <c r="CH2291" s="207" t="n"/>
      <c r="CI2291" s="208" t="n"/>
      <c r="CJ2291" s="204" t="n"/>
      <c r="CK2291" s="208" t="n"/>
      <c r="CL2291" s="208" t="n"/>
      <c r="CM2291" s="208" t="n"/>
      <c r="CN2291" s="78" t="n"/>
      <c r="CO2291" s="209" t="n"/>
      <c r="CP2291" s="204" t="n"/>
      <c r="CQ2291" s="204" t="n"/>
      <c r="CR2291" s="204" t="n"/>
      <c r="CS2291" s="204" t="n"/>
      <c r="CT2291" s="204" t="n"/>
      <c r="CU2291" s="204" t="n"/>
      <c r="CV2291" s="204" t="n"/>
      <c r="CW2291" s="204" t="n"/>
    </row>
    <row r="2292">
      <c r="BF2292" s="78" t="n"/>
      <c r="BG2292" s="78" t="n"/>
      <c r="BH2292" s="78" t="n"/>
      <c r="BI2292" s="78" t="n"/>
      <c r="BJ2292" s="139" t="n"/>
      <c r="BK2292" s="204" t="n"/>
      <c r="BL2292" s="141" t="n"/>
      <c r="BM2292" s="205" t="n"/>
      <c r="BN2292" s="205" t="n"/>
      <c r="BO2292" s="206" t="n"/>
      <c r="BP2292" s="144" t="n"/>
      <c r="BQ2292" s="141" t="n"/>
      <c r="BR2292" s="207" t="n"/>
      <c r="BS2292" s="207" t="n"/>
      <c r="BT2292" s="207" t="n"/>
      <c r="BU2292" s="207" t="n"/>
      <c r="BV2292" s="208" t="n"/>
      <c r="BW2292" s="207" t="n"/>
      <c r="BX2292" s="207" t="n"/>
      <c r="BY2292" s="204" t="n"/>
      <c r="BZ2292" s="148" t="n"/>
      <c r="CA2292" s="204" t="n"/>
      <c r="CB2292" s="208" t="n"/>
      <c r="CC2292" s="139" t="n"/>
      <c r="CD2292" s="204" t="n"/>
      <c r="CE2292" s="204" t="n"/>
      <c r="CF2292" s="207" t="n"/>
      <c r="CG2292" s="208" t="n"/>
      <c r="CH2292" s="207" t="n"/>
      <c r="CI2292" s="208" t="n"/>
      <c r="CJ2292" s="204" t="n"/>
      <c r="CK2292" s="208" t="n"/>
      <c r="CL2292" s="208" t="n"/>
      <c r="CM2292" s="208" t="n"/>
      <c r="CN2292" s="78" t="n"/>
      <c r="CO2292" s="209" t="n"/>
      <c r="CP2292" s="204" t="n"/>
      <c r="CQ2292" s="204" t="n"/>
      <c r="CR2292" s="204" t="n"/>
      <c r="CS2292" s="204" t="n"/>
      <c r="CT2292" s="204" t="n"/>
      <c r="CU2292" s="204" t="n"/>
      <c r="CV2292" s="204" t="n"/>
      <c r="CW2292" s="204" t="n"/>
    </row>
    <row r="2293">
      <c r="BF2293" s="78" t="n"/>
      <c r="BG2293" s="78" t="n"/>
      <c r="BH2293" s="78" t="n"/>
      <c r="BI2293" s="78" t="n"/>
      <c r="BJ2293" s="139" t="n"/>
      <c r="BK2293" s="204" t="n"/>
      <c r="BL2293" s="141" t="n"/>
      <c r="BM2293" s="205" t="n"/>
      <c r="BN2293" s="205" t="n"/>
      <c r="BO2293" s="206" t="n"/>
      <c r="BP2293" s="144" t="n"/>
      <c r="BQ2293" s="141" t="n"/>
      <c r="BR2293" s="207" t="n"/>
      <c r="BS2293" s="207" t="n"/>
      <c r="BT2293" s="207" t="n"/>
      <c r="BU2293" s="207" t="n"/>
      <c r="BV2293" s="208" t="n"/>
      <c r="BW2293" s="207" t="n"/>
      <c r="BX2293" s="207" t="n"/>
      <c r="BY2293" s="204" t="n"/>
      <c r="BZ2293" s="148" t="n"/>
      <c r="CA2293" s="204" t="n"/>
      <c r="CB2293" s="208" t="n"/>
      <c r="CC2293" s="139" t="n"/>
      <c r="CD2293" s="204" t="n"/>
      <c r="CE2293" s="204" t="n"/>
      <c r="CF2293" s="207" t="n"/>
      <c r="CG2293" s="208" t="n"/>
      <c r="CH2293" s="207" t="n"/>
      <c r="CI2293" s="208" t="n"/>
      <c r="CJ2293" s="204" t="n"/>
      <c r="CK2293" s="208" t="n"/>
      <c r="CL2293" s="208" t="n"/>
      <c r="CM2293" s="208" t="n"/>
      <c r="CN2293" s="78" t="n"/>
      <c r="CO2293" s="209" t="n"/>
      <c r="CP2293" s="204" t="n"/>
      <c r="CQ2293" s="204" t="n"/>
      <c r="CR2293" s="204" t="n"/>
      <c r="CS2293" s="204" t="n"/>
      <c r="CT2293" s="204" t="n"/>
      <c r="CU2293" s="204" t="n"/>
      <c r="CV2293" s="204" t="n"/>
      <c r="CW2293" s="204" t="n"/>
    </row>
    <row r="2294">
      <c r="BF2294" s="78" t="n"/>
      <c r="BG2294" s="78" t="n"/>
      <c r="BH2294" s="78" t="n"/>
      <c r="BI2294" s="78" t="n"/>
      <c r="BJ2294" s="139" t="n"/>
      <c r="BK2294" s="204" t="n"/>
      <c r="BL2294" s="141" t="n"/>
      <c r="BM2294" s="205" t="n"/>
      <c r="BN2294" s="205" t="n"/>
      <c r="BO2294" s="206" t="n"/>
      <c r="BP2294" s="144" t="n"/>
      <c r="BQ2294" s="141" t="n"/>
      <c r="BR2294" s="207" t="n"/>
      <c r="BS2294" s="207" t="n"/>
      <c r="BT2294" s="207" t="n"/>
      <c r="BU2294" s="207" t="n"/>
      <c r="BV2294" s="208" t="n"/>
      <c r="BW2294" s="207" t="n"/>
      <c r="BX2294" s="207" t="n"/>
      <c r="BY2294" s="204" t="n"/>
      <c r="BZ2294" s="148" t="n"/>
      <c r="CA2294" s="204" t="n"/>
      <c r="CB2294" s="208" t="n"/>
      <c r="CC2294" s="139" t="n"/>
      <c r="CD2294" s="204" t="n"/>
      <c r="CE2294" s="204" t="n"/>
      <c r="CF2294" s="207" t="n"/>
      <c r="CG2294" s="208" t="n"/>
      <c r="CH2294" s="207" t="n"/>
      <c r="CI2294" s="208" t="n"/>
      <c r="CJ2294" s="204" t="n"/>
      <c r="CK2294" s="208" t="n"/>
      <c r="CL2294" s="208" t="n"/>
      <c r="CM2294" s="208" t="n"/>
      <c r="CN2294" s="78" t="n"/>
      <c r="CO2294" s="209" t="n"/>
      <c r="CP2294" s="204" t="n"/>
      <c r="CQ2294" s="204" t="n"/>
      <c r="CR2294" s="204" t="n"/>
      <c r="CS2294" s="204" t="n"/>
      <c r="CT2294" s="204" t="n"/>
      <c r="CU2294" s="204" t="n"/>
      <c r="CV2294" s="204" t="n"/>
      <c r="CW2294" s="204" t="n"/>
    </row>
    <row r="2295">
      <c r="BF2295" s="78" t="n"/>
      <c r="BG2295" s="78" t="n"/>
      <c r="BH2295" s="78" t="n"/>
      <c r="BI2295" s="78" t="n"/>
      <c r="BJ2295" s="139" t="n"/>
      <c r="BK2295" s="204" t="n"/>
      <c r="BL2295" s="141" t="n"/>
      <c r="BM2295" s="205" t="n"/>
      <c r="BN2295" s="205" t="n"/>
      <c r="BO2295" s="206" t="n"/>
      <c r="BP2295" s="144" t="n"/>
      <c r="BQ2295" s="141" t="n"/>
      <c r="BR2295" s="207" t="n"/>
      <c r="BS2295" s="207" t="n"/>
      <c r="BT2295" s="207" t="n"/>
      <c r="BU2295" s="207" t="n"/>
      <c r="BV2295" s="208" t="n"/>
      <c r="BW2295" s="207" t="n"/>
      <c r="BX2295" s="207" t="n"/>
      <c r="BY2295" s="204" t="n"/>
      <c r="BZ2295" s="148" t="n"/>
      <c r="CA2295" s="204" t="n"/>
      <c r="CB2295" s="208" t="n"/>
      <c r="CC2295" s="139" t="n"/>
      <c r="CD2295" s="204" t="n"/>
      <c r="CE2295" s="204" t="n"/>
      <c r="CF2295" s="207" t="n"/>
      <c r="CG2295" s="208" t="n"/>
      <c r="CH2295" s="207" t="n"/>
      <c r="CI2295" s="208" t="n"/>
      <c r="CJ2295" s="204" t="n"/>
      <c r="CK2295" s="208" t="n"/>
      <c r="CL2295" s="208" t="n"/>
      <c r="CM2295" s="208" t="n"/>
      <c r="CN2295" s="78" t="n"/>
      <c r="CO2295" s="209" t="n"/>
      <c r="CP2295" s="204" t="n"/>
      <c r="CQ2295" s="204" t="n"/>
      <c r="CR2295" s="204" t="n"/>
      <c r="CS2295" s="204" t="n"/>
      <c r="CT2295" s="204" t="n"/>
      <c r="CU2295" s="204" t="n"/>
      <c r="CV2295" s="204" t="n"/>
      <c r="CW2295" s="204" t="n"/>
    </row>
    <row r="2296">
      <c r="BF2296" s="78" t="n"/>
      <c r="BG2296" s="78" t="n"/>
      <c r="BH2296" s="78" t="n"/>
      <c r="BI2296" s="78" t="n"/>
      <c r="BJ2296" s="139" t="n"/>
      <c r="BK2296" s="204" t="n"/>
      <c r="BL2296" s="141" t="n"/>
      <c r="BM2296" s="205" t="n"/>
      <c r="BN2296" s="205" t="n"/>
      <c r="BO2296" s="206" t="n"/>
      <c r="BP2296" s="144" t="n"/>
      <c r="BQ2296" s="141" t="n"/>
      <c r="BR2296" s="207" t="n"/>
      <c r="BS2296" s="207" t="n"/>
      <c r="BT2296" s="207" t="n"/>
      <c r="BU2296" s="207" t="n"/>
      <c r="BV2296" s="208" t="n"/>
      <c r="BW2296" s="207" t="n"/>
      <c r="BX2296" s="207" t="n"/>
      <c r="BY2296" s="204" t="n"/>
      <c r="BZ2296" s="148" t="n"/>
      <c r="CA2296" s="204" t="n"/>
      <c r="CB2296" s="208" t="n"/>
      <c r="CC2296" s="139" t="n"/>
      <c r="CD2296" s="204" t="n"/>
      <c r="CE2296" s="204" t="n"/>
      <c r="CF2296" s="207" t="n"/>
      <c r="CG2296" s="208" t="n"/>
      <c r="CH2296" s="207" t="n"/>
      <c r="CI2296" s="208" t="n"/>
      <c r="CJ2296" s="204" t="n"/>
      <c r="CK2296" s="208" t="n"/>
      <c r="CL2296" s="208" t="n"/>
      <c r="CM2296" s="208" t="n"/>
      <c r="CN2296" s="78" t="n"/>
      <c r="CO2296" s="209" t="n"/>
      <c r="CP2296" s="204" t="n"/>
      <c r="CQ2296" s="204" t="n"/>
      <c r="CR2296" s="204" t="n"/>
      <c r="CS2296" s="204" t="n"/>
      <c r="CT2296" s="204" t="n"/>
      <c r="CU2296" s="204" t="n"/>
      <c r="CV2296" s="204" t="n"/>
      <c r="CW2296" s="204" t="n"/>
    </row>
    <row r="2297">
      <c r="BF2297" s="78" t="n"/>
      <c r="BG2297" s="78" t="n"/>
      <c r="BH2297" s="78" t="n"/>
      <c r="BI2297" s="78" t="n"/>
      <c r="BJ2297" s="139" t="n"/>
      <c r="BK2297" s="204" t="n"/>
      <c r="BL2297" s="141" t="n"/>
      <c r="BM2297" s="205" t="n"/>
      <c r="BN2297" s="205" t="n"/>
      <c r="BO2297" s="206" t="n"/>
      <c r="BP2297" s="144" t="n"/>
      <c r="BQ2297" s="141" t="n"/>
      <c r="BR2297" s="207" t="n"/>
      <c r="BS2297" s="207" t="n"/>
      <c r="BT2297" s="207" t="n"/>
      <c r="BU2297" s="207" t="n"/>
      <c r="BV2297" s="208" t="n"/>
      <c r="BW2297" s="207" t="n"/>
      <c r="BX2297" s="207" t="n"/>
      <c r="BY2297" s="204" t="n"/>
      <c r="BZ2297" s="148" t="n"/>
      <c r="CA2297" s="204" t="n"/>
      <c r="CB2297" s="208" t="n"/>
      <c r="CC2297" s="139" t="n"/>
      <c r="CD2297" s="204" t="n"/>
      <c r="CE2297" s="204" t="n"/>
      <c r="CF2297" s="207" t="n"/>
      <c r="CG2297" s="208" t="n"/>
      <c r="CH2297" s="207" t="n"/>
      <c r="CI2297" s="208" t="n"/>
      <c r="CJ2297" s="204" t="n"/>
      <c r="CK2297" s="208" t="n"/>
      <c r="CL2297" s="208" t="n"/>
      <c r="CM2297" s="208" t="n"/>
      <c r="CN2297" s="78" t="n"/>
      <c r="CO2297" s="209" t="n"/>
      <c r="CP2297" s="204" t="n"/>
      <c r="CQ2297" s="204" t="n"/>
      <c r="CR2297" s="204" t="n"/>
      <c r="CS2297" s="204" t="n"/>
      <c r="CT2297" s="204" t="n"/>
      <c r="CU2297" s="204" t="n"/>
      <c r="CV2297" s="204" t="n"/>
      <c r="CW2297" s="204" t="n"/>
    </row>
    <row r="2298">
      <c r="BF2298" s="78" t="n"/>
      <c r="BG2298" s="78" t="n"/>
      <c r="BH2298" s="78" t="n"/>
      <c r="BI2298" s="78" t="n"/>
      <c r="BJ2298" s="139" t="n"/>
      <c r="BK2298" s="204" t="n"/>
      <c r="BL2298" s="141" t="n"/>
      <c r="BM2298" s="205" t="n"/>
      <c r="BN2298" s="205" t="n"/>
      <c r="BO2298" s="206" t="n"/>
      <c r="BP2298" s="144" t="n"/>
      <c r="BQ2298" s="141" t="n"/>
      <c r="BR2298" s="207" t="n"/>
      <c r="BS2298" s="207" t="n"/>
      <c r="BT2298" s="207" t="n"/>
      <c r="BU2298" s="207" t="n"/>
      <c r="BV2298" s="208" t="n"/>
      <c r="BW2298" s="207" t="n"/>
      <c r="BX2298" s="207" t="n"/>
      <c r="BY2298" s="204" t="n"/>
      <c r="BZ2298" s="148" t="n"/>
      <c r="CA2298" s="204" t="n"/>
      <c r="CB2298" s="208" t="n"/>
      <c r="CC2298" s="139" t="n"/>
      <c r="CD2298" s="204" t="n"/>
      <c r="CE2298" s="204" t="n"/>
      <c r="CF2298" s="207" t="n"/>
      <c r="CG2298" s="208" t="n"/>
      <c r="CH2298" s="207" t="n"/>
      <c r="CI2298" s="208" t="n"/>
      <c r="CJ2298" s="204" t="n"/>
      <c r="CK2298" s="208" t="n"/>
      <c r="CL2298" s="208" t="n"/>
      <c r="CM2298" s="208" t="n"/>
      <c r="CN2298" s="78" t="n"/>
      <c r="CO2298" s="209" t="n"/>
      <c r="CP2298" s="204" t="n"/>
      <c r="CQ2298" s="204" t="n"/>
      <c r="CR2298" s="204" t="n"/>
      <c r="CS2298" s="204" t="n"/>
      <c r="CT2298" s="204" t="n"/>
      <c r="CU2298" s="204" t="n"/>
      <c r="CV2298" s="204" t="n"/>
      <c r="CW2298" s="204" t="n"/>
    </row>
    <row r="2299">
      <c r="BF2299" s="78" t="n"/>
      <c r="BG2299" s="78" t="n"/>
      <c r="BH2299" s="78" t="n"/>
      <c r="BI2299" s="78" t="n"/>
      <c r="BJ2299" s="139" t="n"/>
      <c r="BK2299" s="204" t="n"/>
      <c r="BL2299" s="141" t="n"/>
      <c r="BM2299" s="205" t="n"/>
      <c r="BN2299" s="205" t="n"/>
      <c r="BO2299" s="206" t="n"/>
      <c r="BP2299" s="144" t="n"/>
      <c r="BQ2299" s="141" t="n"/>
      <c r="BR2299" s="207" t="n"/>
      <c r="BS2299" s="207" t="n"/>
      <c r="BT2299" s="207" t="n"/>
      <c r="BU2299" s="207" t="n"/>
      <c r="BV2299" s="208" t="n"/>
      <c r="BW2299" s="207" t="n"/>
      <c r="BX2299" s="207" t="n"/>
      <c r="BY2299" s="204" t="n"/>
      <c r="BZ2299" s="148" t="n"/>
      <c r="CA2299" s="204" t="n"/>
      <c r="CB2299" s="208" t="n"/>
      <c r="CC2299" s="139" t="n"/>
      <c r="CD2299" s="204" t="n"/>
      <c r="CE2299" s="204" t="n"/>
      <c r="CF2299" s="207" t="n"/>
      <c r="CG2299" s="208" t="n"/>
      <c r="CH2299" s="207" t="n"/>
      <c r="CI2299" s="208" t="n"/>
      <c r="CJ2299" s="204" t="n"/>
      <c r="CK2299" s="208" t="n"/>
      <c r="CL2299" s="208" t="n"/>
      <c r="CM2299" s="208" t="n"/>
      <c r="CN2299" s="78" t="n"/>
      <c r="CO2299" s="209" t="n"/>
      <c r="CP2299" s="204" t="n"/>
      <c r="CQ2299" s="204" t="n"/>
      <c r="CR2299" s="204" t="n"/>
      <c r="CS2299" s="204" t="n"/>
      <c r="CT2299" s="204" t="n"/>
      <c r="CU2299" s="204" t="n"/>
      <c r="CV2299" s="204" t="n"/>
      <c r="CW2299" s="204" t="n"/>
    </row>
    <row r="2300">
      <c r="BF2300" s="78" t="n"/>
      <c r="BG2300" s="78" t="n"/>
      <c r="BH2300" s="78" t="n"/>
      <c r="BI2300" s="78" t="n"/>
      <c r="BJ2300" s="139" t="n"/>
      <c r="BK2300" s="204" t="n"/>
      <c r="BL2300" s="141" t="n"/>
      <c r="BM2300" s="205" t="n"/>
      <c r="BN2300" s="205" t="n"/>
      <c r="BO2300" s="206" t="n"/>
      <c r="BP2300" s="144" t="n"/>
      <c r="BQ2300" s="141" t="n"/>
      <c r="BR2300" s="207" t="n"/>
      <c r="BS2300" s="207" t="n"/>
      <c r="BT2300" s="207" t="n"/>
      <c r="BU2300" s="207" t="n"/>
      <c r="BV2300" s="208" t="n"/>
      <c r="BW2300" s="207" t="n"/>
      <c r="BX2300" s="207" t="n"/>
      <c r="BY2300" s="204" t="n"/>
      <c r="BZ2300" s="148" t="n"/>
      <c r="CA2300" s="204" t="n"/>
      <c r="CB2300" s="208" t="n"/>
      <c r="CC2300" s="139" t="n"/>
      <c r="CD2300" s="204" t="n"/>
      <c r="CE2300" s="204" t="n"/>
      <c r="CF2300" s="207" t="n"/>
      <c r="CG2300" s="208" t="n"/>
      <c r="CH2300" s="207" t="n"/>
      <c r="CI2300" s="208" t="n"/>
      <c r="CJ2300" s="204" t="n"/>
      <c r="CK2300" s="208" t="n"/>
      <c r="CL2300" s="208" t="n"/>
      <c r="CM2300" s="208" t="n"/>
      <c r="CN2300" s="78" t="n"/>
      <c r="CO2300" s="209" t="n"/>
      <c r="CP2300" s="204" t="n"/>
      <c r="CQ2300" s="204" t="n"/>
      <c r="CR2300" s="204" t="n"/>
      <c r="CS2300" s="204" t="n"/>
      <c r="CT2300" s="204" t="n"/>
      <c r="CU2300" s="204" t="n"/>
      <c r="CV2300" s="204" t="n"/>
      <c r="CW2300" s="204" t="n"/>
    </row>
    <row r="2301">
      <c r="BF2301" s="78" t="n"/>
      <c r="BG2301" s="78" t="n"/>
      <c r="BH2301" s="78" t="n"/>
      <c r="BI2301" s="78" t="n"/>
      <c r="BJ2301" s="139" t="n"/>
      <c r="BK2301" s="204" t="n"/>
      <c r="BL2301" s="141" t="n"/>
      <c r="BM2301" s="205" t="n"/>
      <c r="BN2301" s="205" t="n"/>
      <c r="BO2301" s="206" t="n"/>
      <c r="BP2301" s="144" t="n"/>
      <c r="BQ2301" s="141" t="n"/>
      <c r="BR2301" s="207" t="n"/>
      <c r="BS2301" s="207" t="n"/>
      <c r="BT2301" s="207" t="n"/>
      <c r="BU2301" s="207" t="n"/>
      <c r="BV2301" s="208" t="n"/>
      <c r="BW2301" s="207" t="n"/>
      <c r="BX2301" s="207" t="n"/>
      <c r="BY2301" s="204" t="n"/>
      <c r="BZ2301" s="148" t="n"/>
      <c r="CA2301" s="204" t="n"/>
      <c r="CB2301" s="208" t="n"/>
      <c r="CC2301" s="139" t="n"/>
      <c r="CD2301" s="204" t="n"/>
      <c r="CE2301" s="204" t="n"/>
      <c r="CF2301" s="207" t="n"/>
      <c r="CG2301" s="208" t="n"/>
      <c r="CH2301" s="207" t="n"/>
      <c r="CI2301" s="208" t="n"/>
      <c r="CJ2301" s="204" t="n"/>
      <c r="CK2301" s="208" t="n"/>
      <c r="CL2301" s="208" t="n"/>
      <c r="CM2301" s="208" t="n"/>
      <c r="CN2301" s="78" t="n"/>
      <c r="CO2301" s="209" t="n"/>
      <c r="CP2301" s="204" t="n"/>
      <c r="CQ2301" s="204" t="n"/>
      <c r="CR2301" s="204" t="n"/>
      <c r="CS2301" s="204" t="n"/>
      <c r="CT2301" s="204" t="n"/>
      <c r="CU2301" s="204" t="n"/>
      <c r="CV2301" s="204" t="n"/>
      <c r="CW2301" s="204" t="n"/>
    </row>
    <row r="2302">
      <c r="BF2302" s="78" t="n"/>
      <c r="BG2302" s="78" t="n"/>
      <c r="BH2302" s="78" t="n"/>
      <c r="BI2302" s="78" t="n"/>
      <c r="BJ2302" s="139" t="n"/>
      <c r="BK2302" s="204" t="n"/>
      <c r="BL2302" s="141" t="n"/>
      <c r="BM2302" s="205" t="n"/>
      <c r="BN2302" s="205" t="n"/>
      <c r="BO2302" s="206" t="n"/>
      <c r="BP2302" s="144" t="n"/>
      <c r="BQ2302" s="141" t="n"/>
      <c r="BR2302" s="207" t="n"/>
      <c r="BS2302" s="207" t="n"/>
      <c r="BT2302" s="207" t="n"/>
      <c r="BU2302" s="207" t="n"/>
      <c r="BV2302" s="208" t="n"/>
      <c r="BW2302" s="207" t="n"/>
      <c r="BX2302" s="207" t="n"/>
      <c r="BY2302" s="204" t="n"/>
      <c r="BZ2302" s="148" t="n"/>
      <c r="CA2302" s="204" t="n"/>
      <c r="CB2302" s="208" t="n"/>
      <c r="CC2302" s="139" t="n"/>
      <c r="CD2302" s="204" t="n"/>
      <c r="CE2302" s="204" t="n"/>
      <c r="CF2302" s="207" t="n"/>
      <c r="CG2302" s="208" t="n"/>
      <c r="CH2302" s="207" t="n"/>
      <c r="CI2302" s="208" t="n"/>
      <c r="CJ2302" s="204" t="n"/>
      <c r="CK2302" s="208" t="n"/>
      <c r="CL2302" s="208" t="n"/>
      <c r="CM2302" s="208" t="n"/>
      <c r="CN2302" s="78" t="n"/>
      <c r="CO2302" s="209" t="n"/>
      <c r="CP2302" s="204" t="n"/>
      <c r="CQ2302" s="204" t="n"/>
      <c r="CR2302" s="204" t="n"/>
      <c r="CS2302" s="204" t="n"/>
      <c r="CT2302" s="204" t="n"/>
      <c r="CU2302" s="204" t="n"/>
      <c r="CV2302" s="204" t="n"/>
      <c r="CW2302" s="204" t="n"/>
    </row>
    <row r="2303">
      <c r="BF2303" s="78" t="n"/>
      <c r="BG2303" s="78" t="n"/>
      <c r="BH2303" s="78" t="n"/>
      <c r="BI2303" s="78" t="n"/>
      <c r="BJ2303" s="139" t="n"/>
      <c r="BK2303" s="204" t="n"/>
      <c r="BL2303" s="141" t="n"/>
      <c r="BM2303" s="205" t="n"/>
      <c r="BN2303" s="205" t="n"/>
      <c r="BO2303" s="206" t="n"/>
      <c r="BP2303" s="144" t="n"/>
      <c r="BQ2303" s="141" t="n"/>
      <c r="BR2303" s="207" t="n"/>
      <c r="BS2303" s="207" t="n"/>
      <c r="BT2303" s="207" t="n"/>
      <c r="BU2303" s="207" t="n"/>
      <c r="BV2303" s="208" t="n"/>
      <c r="BW2303" s="207" t="n"/>
      <c r="BX2303" s="207" t="n"/>
      <c r="BY2303" s="204" t="n"/>
      <c r="BZ2303" s="148" t="n"/>
      <c r="CA2303" s="204" t="n"/>
      <c r="CB2303" s="208" t="n"/>
      <c r="CC2303" s="139" t="n"/>
      <c r="CD2303" s="204" t="n"/>
      <c r="CE2303" s="204" t="n"/>
      <c r="CF2303" s="207" t="n"/>
      <c r="CG2303" s="208" t="n"/>
      <c r="CH2303" s="207" t="n"/>
      <c r="CI2303" s="208" t="n"/>
      <c r="CJ2303" s="204" t="n"/>
      <c r="CK2303" s="208" t="n"/>
      <c r="CL2303" s="208" t="n"/>
      <c r="CM2303" s="208" t="n"/>
      <c r="CN2303" s="78" t="n"/>
      <c r="CO2303" s="209" t="n"/>
      <c r="CP2303" s="204" t="n"/>
      <c r="CQ2303" s="204" t="n"/>
      <c r="CR2303" s="204" t="n"/>
      <c r="CS2303" s="204" t="n"/>
      <c r="CT2303" s="204" t="n"/>
      <c r="CU2303" s="204" t="n"/>
      <c r="CV2303" s="204" t="n"/>
      <c r="CW2303" s="204" t="n"/>
    </row>
    <row r="2304">
      <c r="BF2304" s="78" t="n"/>
      <c r="BG2304" s="78" t="n"/>
      <c r="BH2304" s="78" t="n"/>
      <c r="BI2304" s="78" t="n"/>
      <c r="BJ2304" s="139" t="n"/>
      <c r="BK2304" s="204" t="n"/>
      <c r="BL2304" s="141" t="n"/>
      <c r="BM2304" s="205" t="n"/>
      <c r="BN2304" s="205" t="n"/>
      <c r="BO2304" s="206" t="n"/>
      <c r="BP2304" s="144" t="n"/>
      <c r="BQ2304" s="141" t="n"/>
      <c r="BR2304" s="207" t="n"/>
      <c r="BS2304" s="207" t="n"/>
      <c r="BT2304" s="207" t="n"/>
      <c r="BU2304" s="207" t="n"/>
      <c r="BV2304" s="208" t="n"/>
      <c r="BW2304" s="207" t="n"/>
      <c r="BX2304" s="207" t="n"/>
      <c r="BY2304" s="204" t="n"/>
      <c r="BZ2304" s="148" t="n"/>
      <c r="CA2304" s="204" t="n"/>
      <c r="CB2304" s="208" t="n"/>
      <c r="CC2304" s="139" t="n"/>
      <c r="CD2304" s="204" t="n"/>
      <c r="CE2304" s="204" t="n"/>
      <c r="CF2304" s="207" t="n"/>
      <c r="CG2304" s="208" t="n"/>
      <c r="CH2304" s="207" t="n"/>
      <c r="CI2304" s="208" t="n"/>
      <c r="CJ2304" s="204" t="n"/>
      <c r="CK2304" s="208" t="n"/>
      <c r="CL2304" s="208" t="n"/>
      <c r="CM2304" s="208" t="n"/>
      <c r="CN2304" s="78" t="n"/>
      <c r="CO2304" s="209" t="n"/>
      <c r="CP2304" s="204" t="n"/>
      <c r="CQ2304" s="204" t="n"/>
      <c r="CR2304" s="204" t="n"/>
      <c r="CS2304" s="204" t="n"/>
      <c r="CT2304" s="204" t="n"/>
      <c r="CU2304" s="204" t="n"/>
      <c r="CV2304" s="204" t="n"/>
      <c r="CW2304" s="204" t="n"/>
    </row>
    <row r="2305">
      <c r="BF2305" s="78" t="n"/>
      <c r="BG2305" s="78" t="n"/>
      <c r="BH2305" s="78" t="n"/>
      <c r="BI2305" s="78" t="n"/>
      <c r="BJ2305" s="139" t="n"/>
      <c r="BK2305" s="204" t="n"/>
      <c r="BL2305" s="141" t="n"/>
      <c r="BM2305" s="205" t="n"/>
      <c r="BN2305" s="205" t="n"/>
      <c r="BO2305" s="206" t="n"/>
      <c r="BP2305" s="144" t="n"/>
      <c r="BQ2305" s="141" t="n"/>
      <c r="BR2305" s="207" t="n"/>
      <c r="BS2305" s="207" t="n"/>
      <c r="BT2305" s="207" t="n"/>
      <c r="BU2305" s="207" t="n"/>
      <c r="BV2305" s="208" t="n"/>
      <c r="BW2305" s="207" t="n"/>
      <c r="BX2305" s="207" t="n"/>
      <c r="BY2305" s="204" t="n"/>
      <c r="BZ2305" s="148" t="n"/>
      <c r="CA2305" s="204" t="n"/>
      <c r="CB2305" s="208" t="n"/>
      <c r="CC2305" s="139" t="n"/>
      <c r="CD2305" s="204" t="n"/>
      <c r="CE2305" s="204" t="n"/>
      <c r="CF2305" s="207" t="n"/>
      <c r="CG2305" s="208" t="n"/>
      <c r="CH2305" s="207" t="n"/>
      <c r="CI2305" s="208" t="n"/>
      <c r="CJ2305" s="204" t="n"/>
      <c r="CK2305" s="208" t="n"/>
      <c r="CL2305" s="208" t="n"/>
      <c r="CM2305" s="208" t="n"/>
      <c r="CN2305" s="78" t="n"/>
      <c r="CO2305" s="209" t="n"/>
      <c r="CP2305" s="204" t="n"/>
      <c r="CQ2305" s="204" t="n"/>
      <c r="CR2305" s="204" t="n"/>
      <c r="CS2305" s="204" t="n"/>
      <c r="CT2305" s="204" t="n"/>
      <c r="CU2305" s="204" t="n"/>
      <c r="CV2305" s="204" t="n"/>
      <c r="CW2305" s="204" t="n"/>
    </row>
    <row r="2306">
      <c r="BF2306" s="78" t="n"/>
      <c r="BG2306" s="78" t="n"/>
      <c r="BH2306" s="78" t="n"/>
      <c r="BI2306" s="78" t="n"/>
      <c r="BJ2306" s="139" t="n"/>
      <c r="BK2306" s="204" t="n"/>
      <c r="BL2306" s="141" t="n"/>
      <c r="BM2306" s="205" t="n"/>
      <c r="BN2306" s="205" t="n"/>
      <c r="BO2306" s="206" t="n"/>
      <c r="BP2306" s="144" t="n"/>
      <c r="BQ2306" s="141" t="n"/>
      <c r="BR2306" s="207" t="n"/>
      <c r="BS2306" s="207" t="n"/>
      <c r="BT2306" s="207" t="n"/>
      <c r="BU2306" s="207" t="n"/>
      <c r="BV2306" s="208" t="n"/>
      <c r="BW2306" s="207" t="n"/>
      <c r="BX2306" s="207" t="n"/>
      <c r="BY2306" s="204" t="n"/>
      <c r="BZ2306" s="148" t="n"/>
      <c r="CA2306" s="204" t="n"/>
      <c r="CB2306" s="208" t="n"/>
      <c r="CC2306" s="139" t="n"/>
      <c r="CD2306" s="204" t="n"/>
      <c r="CE2306" s="204" t="n"/>
      <c r="CF2306" s="207" t="n"/>
      <c r="CG2306" s="208" t="n"/>
      <c r="CH2306" s="207" t="n"/>
      <c r="CI2306" s="208" t="n"/>
      <c r="CJ2306" s="204" t="n"/>
      <c r="CK2306" s="208" t="n"/>
      <c r="CL2306" s="208" t="n"/>
      <c r="CM2306" s="208" t="n"/>
      <c r="CN2306" s="78" t="n"/>
      <c r="CO2306" s="209" t="n"/>
      <c r="CP2306" s="204" t="n"/>
      <c r="CQ2306" s="204" t="n"/>
      <c r="CR2306" s="204" t="n"/>
      <c r="CS2306" s="204" t="n"/>
      <c r="CT2306" s="204" t="n"/>
      <c r="CU2306" s="204" t="n"/>
      <c r="CV2306" s="204" t="n"/>
      <c r="CW2306" s="204" t="n"/>
    </row>
    <row r="2307">
      <c r="BF2307" s="78" t="n"/>
      <c r="BG2307" s="78" t="n"/>
      <c r="BH2307" s="78" t="n"/>
      <c r="BI2307" s="78" t="n"/>
      <c r="BJ2307" s="139" t="n"/>
      <c r="BK2307" s="204" t="n"/>
      <c r="BL2307" s="141" t="n"/>
      <c r="BM2307" s="205" t="n"/>
      <c r="BN2307" s="205" t="n"/>
      <c r="BO2307" s="206" t="n"/>
      <c r="BP2307" s="144" t="n"/>
      <c r="BQ2307" s="141" t="n"/>
      <c r="BR2307" s="207" t="n"/>
      <c r="BS2307" s="207" t="n"/>
      <c r="BT2307" s="207" t="n"/>
      <c r="BU2307" s="207" t="n"/>
      <c r="BV2307" s="208" t="n"/>
      <c r="BW2307" s="207" t="n"/>
      <c r="BX2307" s="207" t="n"/>
      <c r="BY2307" s="204" t="n"/>
      <c r="BZ2307" s="148" t="n"/>
      <c r="CA2307" s="204" t="n"/>
      <c r="CB2307" s="208" t="n"/>
      <c r="CC2307" s="139" t="n"/>
      <c r="CD2307" s="204" t="n"/>
      <c r="CE2307" s="204" t="n"/>
      <c r="CF2307" s="207" t="n"/>
      <c r="CG2307" s="208" t="n"/>
      <c r="CH2307" s="207" t="n"/>
      <c r="CI2307" s="208" t="n"/>
      <c r="CJ2307" s="204" t="n"/>
      <c r="CK2307" s="208" t="n"/>
      <c r="CL2307" s="208" t="n"/>
      <c r="CM2307" s="208" t="n"/>
      <c r="CN2307" s="78" t="n"/>
      <c r="CO2307" s="209" t="n"/>
      <c r="CP2307" s="204" t="n"/>
      <c r="CQ2307" s="204" t="n"/>
      <c r="CR2307" s="204" t="n"/>
      <c r="CS2307" s="204" t="n"/>
      <c r="CT2307" s="204" t="n"/>
      <c r="CU2307" s="204" t="n"/>
      <c r="CV2307" s="204" t="n"/>
      <c r="CW2307" s="204" t="n"/>
    </row>
    <row r="2308">
      <c r="BF2308" s="78" t="n"/>
      <c r="BG2308" s="78" t="n"/>
      <c r="BH2308" s="78" t="n"/>
      <c r="BI2308" s="78" t="n"/>
      <c r="BJ2308" s="139" t="n"/>
      <c r="BK2308" s="204" t="n"/>
      <c r="BL2308" s="141" t="n"/>
      <c r="BM2308" s="205" t="n"/>
      <c r="BN2308" s="205" t="n"/>
      <c r="BO2308" s="206" t="n"/>
      <c r="BP2308" s="144" t="n"/>
      <c r="BQ2308" s="141" t="n"/>
      <c r="BR2308" s="207" t="n"/>
      <c r="BS2308" s="207" t="n"/>
      <c r="BT2308" s="207" t="n"/>
      <c r="BU2308" s="207" t="n"/>
      <c r="BV2308" s="208" t="n"/>
      <c r="BW2308" s="207" t="n"/>
      <c r="BX2308" s="207" t="n"/>
      <c r="BY2308" s="204" t="n"/>
      <c r="BZ2308" s="148" t="n"/>
      <c r="CA2308" s="204" t="n"/>
      <c r="CB2308" s="208" t="n"/>
      <c r="CC2308" s="139" t="n"/>
      <c r="CD2308" s="204" t="n"/>
      <c r="CE2308" s="204" t="n"/>
      <c r="CF2308" s="207" t="n"/>
      <c r="CG2308" s="208" t="n"/>
      <c r="CH2308" s="207" t="n"/>
      <c r="CI2308" s="208" t="n"/>
      <c r="CJ2308" s="204" t="n"/>
      <c r="CK2308" s="208" t="n"/>
      <c r="CL2308" s="208" t="n"/>
      <c r="CM2308" s="208" t="n"/>
      <c r="CN2308" s="78" t="n"/>
      <c r="CO2308" s="209" t="n"/>
      <c r="CP2308" s="204" t="n"/>
      <c r="CQ2308" s="204" t="n"/>
      <c r="CR2308" s="204" t="n"/>
      <c r="CS2308" s="204" t="n"/>
      <c r="CT2308" s="204" t="n"/>
      <c r="CU2308" s="204" t="n"/>
      <c r="CV2308" s="204" t="n"/>
      <c r="CW2308" s="204" t="n"/>
    </row>
    <row r="2309">
      <c r="BF2309" s="78" t="n"/>
      <c r="BG2309" s="78" t="n"/>
      <c r="BH2309" s="78" t="n"/>
      <c r="BI2309" s="78" t="n"/>
      <c r="BJ2309" s="139" t="n"/>
      <c r="BK2309" s="204" t="n"/>
      <c r="BL2309" s="141" t="n"/>
      <c r="BM2309" s="205" t="n"/>
      <c r="BN2309" s="205" t="n"/>
      <c r="BO2309" s="206" t="n"/>
      <c r="BP2309" s="144" t="n"/>
      <c r="BQ2309" s="141" t="n"/>
      <c r="BR2309" s="207" t="n"/>
      <c r="BS2309" s="207" t="n"/>
      <c r="BT2309" s="207" t="n"/>
      <c r="BU2309" s="207" t="n"/>
      <c r="BV2309" s="208" t="n"/>
      <c r="BW2309" s="207" t="n"/>
      <c r="BX2309" s="207" t="n"/>
      <c r="BY2309" s="204" t="n"/>
      <c r="BZ2309" s="148" t="n"/>
      <c r="CA2309" s="204" t="n"/>
      <c r="CB2309" s="208" t="n"/>
      <c r="CC2309" s="139" t="n"/>
      <c r="CD2309" s="204" t="n"/>
      <c r="CE2309" s="204" t="n"/>
      <c r="CF2309" s="207" t="n"/>
      <c r="CG2309" s="208" t="n"/>
      <c r="CH2309" s="207" t="n"/>
      <c r="CI2309" s="208" t="n"/>
      <c r="CJ2309" s="204" t="n"/>
      <c r="CK2309" s="208" t="n"/>
      <c r="CL2309" s="208" t="n"/>
      <c r="CM2309" s="208" t="n"/>
      <c r="CN2309" s="78" t="n"/>
      <c r="CO2309" s="209" t="n"/>
      <c r="CP2309" s="204" t="n"/>
      <c r="CQ2309" s="204" t="n"/>
      <c r="CR2309" s="204" t="n"/>
      <c r="CS2309" s="204" t="n"/>
      <c r="CT2309" s="204" t="n"/>
      <c r="CU2309" s="204" t="n"/>
      <c r="CV2309" s="204" t="n"/>
      <c r="CW2309" s="204" t="n"/>
    </row>
    <row r="2310">
      <c r="BF2310" s="78" t="n"/>
      <c r="BG2310" s="78" t="n"/>
      <c r="BH2310" s="78" t="n"/>
      <c r="BI2310" s="78" t="n"/>
      <c r="BJ2310" s="139" t="n"/>
      <c r="BK2310" s="204" t="n"/>
      <c r="BL2310" s="141" t="n"/>
      <c r="BM2310" s="205" t="n"/>
      <c r="BN2310" s="205" t="n"/>
      <c r="BO2310" s="206" t="n"/>
      <c r="BP2310" s="144" t="n"/>
      <c r="BQ2310" s="141" t="n"/>
      <c r="BR2310" s="207" t="n"/>
      <c r="BS2310" s="207" t="n"/>
      <c r="BT2310" s="207" t="n"/>
      <c r="BU2310" s="207" t="n"/>
      <c r="BV2310" s="208" t="n"/>
      <c r="BW2310" s="207" t="n"/>
      <c r="BX2310" s="207" t="n"/>
      <c r="BY2310" s="204" t="n"/>
      <c r="BZ2310" s="148" t="n"/>
      <c r="CA2310" s="204" t="n"/>
      <c r="CB2310" s="208" t="n"/>
      <c r="CC2310" s="139" t="n"/>
      <c r="CD2310" s="204" t="n"/>
      <c r="CE2310" s="204" t="n"/>
      <c r="CF2310" s="207" t="n"/>
      <c r="CG2310" s="208" t="n"/>
      <c r="CH2310" s="207" t="n"/>
      <c r="CI2310" s="208" t="n"/>
      <c r="CJ2310" s="204" t="n"/>
      <c r="CK2310" s="208" t="n"/>
      <c r="CL2310" s="208" t="n"/>
      <c r="CM2310" s="208" t="n"/>
      <c r="CN2310" s="78" t="n"/>
      <c r="CO2310" s="209" t="n"/>
      <c r="CP2310" s="204" t="n"/>
      <c r="CQ2310" s="204" t="n"/>
      <c r="CR2310" s="204" t="n"/>
      <c r="CS2310" s="204" t="n"/>
      <c r="CT2310" s="204" t="n"/>
      <c r="CU2310" s="204" t="n"/>
      <c r="CV2310" s="204" t="n"/>
      <c r="CW2310" s="204" t="n"/>
    </row>
    <row r="2311">
      <c r="BF2311" s="78" t="n"/>
      <c r="BG2311" s="78" t="n"/>
      <c r="BH2311" s="78" t="n"/>
      <c r="BI2311" s="78" t="n"/>
      <c r="BJ2311" s="139" t="n"/>
      <c r="BK2311" s="204" t="n"/>
      <c r="BL2311" s="141" t="n"/>
      <c r="BM2311" s="205" t="n"/>
      <c r="BN2311" s="205" t="n"/>
      <c r="BO2311" s="206" t="n"/>
      <c r="BP2311" s="144" t="n"/>
      <c r="BQ2311" s="141" t="n"/>
      <c r="BR2311" s="207" t="n"/>
      <c r="BS2311" s="207" t="n"/>
      <c r="BT2311" s="207" t="n"/>
      <c r="BU2311" s="207" t="n"/>
      <c r="BV2311" s="208" t="n"/>
      <c r="BW2311" s="207" t="n"/>
      <c r="BX2311" s="207" t="n"/>
      <c r="BY2311" s="204" t="n"/>
      <c r="BZ2311" s="148" t="n"/>
      <c r="CA2311" s="204" t="n"/>
      <c r="CB2311" s="208" t="n"/>
      <c r="CC2311" s="139" t="n"/>
      <c r="CD2311" s="204" t="n"/>
      <c r="CE2311" s="204" t="n"/>
      <c r="CF2311" s="207" t="n"/>
      <c r="CG2311" s="208" t="n"/>
      <c r="CH2311" s="207" t="n"/>
      <c r="CI2311" s="208" t="n"/>
      <c r="CJ2311" s="204" t="n"/>
      <c r="CK2311" s="208" t="n"/>
      <c r="CL2311" s="208" t="n"/>
      <c r="CM2311" s="208" t="n"/>
      <c r="CN2311" s="78" t="n"/>
      <c r="CO2311" s="209" t="n"/>
      <c r="CP2311" s="204" t="n"/>
      <c r="CQ2311" s="204" t="n"/>
      <c r="CR2311" s="204" t="n"/>
      <c r="CS2311" s="204" t="n"/>
      <c r="CT2311" s="204" t="n"/>
      <c r="CU2311" s="204" t="n"/>
      <c r="CV2311" s="204" t="n"/>
      <c r="CW2311" s="204" t="n"/>
    </row>
    <row r="2312">
      <c r="BF2312" s="78" t="n"/>
      <c r="BG2312" s="78" t="n"/>
      <c r="BH2312" s="78" t="n"/>
      <c r="BI2312" s="78" t="n"/>
      <c r="BJ2312" s="139" t="n"/>
      <c r="BK2312" s="204" t="n"/>
      <c r="BL2312" s="141" t="n"/>
      <c r="BM2312" s="205" t="n"/>
      <c r="BN2312" s="205" t="n"/>
      <c r="BO2312" s="206" t="n"/>
      <c r="BP2312" s="144" t="n"/>
      <c r="BQ2312" s="141" t="n"/>
      <c r="BR2312" s="207" t="n"/>
      <c r="BS2312" s="207" t="n"/>
      <c r="BT2312" s="207" t="n"/>
      <c r="BU2312" s="207" t="n"/>
      <c r="BV2312" s="208" t="n"/>
      <c r="BW2312" s="207" t="n"/>
      <c r="BX2312" s="207" t="n"/>
      <c r="BY2312" s="204" t="n"/>
      <c r="BZ2312" s="148" t="n"/>
      <c r="CA2312" s="204" t="n"/>
      <c r="CB2312" s="208" t="n"/>
      <c r="CC2312" s="139" t="n"/>
      <c r="CD2312" s="204" t="n"/>
      <c r="CE2312" s="204" t="n"/>
      <c r="CF2312" s="207" t="n"/>
      <c r="CG2312" s="208" t="n"/>
      <c r="CH2312" s="207" t="n"/>
      <c r="CI2312" s="208" t="n"/>
      <c r="CJ2312" s="204" t="n"/>
      <c r="CK2312" s="208" t="n"/>
      <c r="CL2312" s="208" t="n"/>
      <c r="CM2312" s="208" t="n"/>
      <c r="CN2312" s="78" t="n"/>
      <c r="CO2312" s="209" t="n"/>
      <c r="CP2312" s="204" t="n"/>
      <c r="CQ2312" s="204" t="n"/>
      <c r="CR2312" s="204" t="n"/>
      <c r="CS2312" s="204" t="n"/>
      <c r="CT2312" s="204" t="n"/>
      <c r="CU2312" s="204" t="n"/>
      <c r="CV2312" s="204" t="n"/>
      <c r="CW2312" s="204" t="n"/>
    </row>
    <row r="2313">
      <c r="BF2313" s="78" t="n"/>
      <c r="BG2313" s="78" t="n"/>
      <c r="BH2313" s="78" t="n"/>
      <c r="BI2313" s="78" t="n"/>
      <c r="BJ2313" s="139" t="n"/>
      <c r="BK2313" s="204" t="n"/>
      <c r="BL2313" s="141" t="n"/>
      <c r="BM2313" s="205" t="n"/>
      <c r="BN2313" s="205" t="n"/>
      <c r="BO2313" s="206" t="n"/>
      <c r="BP2313" s="144" t="n"/>
      <c r="BQ2313" s="141" t="n"/>
      <c r="BR2313" s="207" t="n"/>
      <c r="BS2313" s="207" t="n"/>
      <c r="BT2313" s="207" t="n"/>
      <c r="BU2313" s="207" t="n"/>
      <c r="BV2313" s="208" t="n"/>
      <c r="BW2313" s="207" t="n"/>
      <c r="BX2313" s="207" t="n"/>
      <c r="BY2313" s="204" t="n"/>
      <c r="BZ2313" s="148" t="n"/>
      <c r="CA2313" s="204" t="n"/>
      <c r="CB2313" s="208" t="n"/>
      <c r="CC2313" s="139" t="n"/>
      <c r="CD2313" s="204" t="n"/>
      <c r="CE2313" s="204" t="n"/>
      <c r="CF2313" s="207" t="n"/>
      <c r="CG2313" s="208" t="n"/>
      <c r="CH2313" s="207" t="n"/>
      <c r="CI2313" s="208" t="n"/>
      <c r="CJ2313" s="204" t="n"/>
      <c r="CK2313" s="208" t="n"/>
      <c r="CL2313" s="208" t="n"/>
      <c r="CM2313" s="208" t="n"/>
      <c r="CN2313" s="78" t="n"/>
      <c r="CO2313" s="209" t="n"/>
      <c r="CP2313" s="204" t="n"/>
      <c r="CQ2313" s="204" t="n"/>
      <c r="CR2313" s="204" t="n"/>
      <c r="CS2313" s="204" t="n"/>
      <c r="CT2313" s="204" t="n"/>
      <c r="CU2313" s="204" t="n"/>
      <c r="CV2313" s="204" t="n"/>
      <c r="CW2313" s="204" t="n"/>
    </row>
    <row r="2314">
      <c r="BF2314" s="78" t="n"/>
      <c r="BG2314" s="78" t="n"/>
      <c r="BH2314" s="78" t="n"/>
      <c r="BI2314" s="78" t="n"/>
      <c r="BJ2314" s="139" t="n"/>
      <c r="BK2314" s="204" t="n"/>
      <c r="BL2314" s="141" t="n"/>
      <c r="BM2314" s="205" t="n"/>
      <c r="BN2314" s="205" t="n"/>
      <c r="BO2314" s="206" t="n"/>
      <c r="BP2314" s="144" t="n"/>
      <c r="BQ2314" s="141" t="n"/>
      <c r="BR2314" s="207" t="n"/>
      <c r="BS2314" s="207" t="n"/>
      <c r="BT2314" s="207" t="n"/>
      <c r="BU2314" s="207" t="n"/>
      <c r="BV2314" s="208" t="n"/>
      <c r="BW2314" s="207" t="n"/>
      <c r="BX2314" s="207" t="n"/>
      <c r="BY2314" s="204" t="n"/>
      <c r="BZ2314" s="148" t="n"/>
      <c r="CA2314" s="204" t="n"/>
      <c r="CB2314" s="208" t="n"/>
      <c r="CC2314" s="139" t="n"/>
      <c r="CD2314" s="204" t="n"/>
      <c r="CE2314" s="204" t="n"/>
      <c r="CF2314" s="207" t="n"/>
      <c r="CG2314" s="208" t="n"/>
      <c r="CH2314" s="207" t="n"/>
      <c r="CI2314" s="208" t="n"/>
      <c r="CJ2314" s="204" t="n"/>
      <c r="CK2314" s="208" t="n"/>
      <c r="CL2314" s="208" t="n"/>
      <c r="CM2314" s="208" t="n"/>
      <c r="CN2314" s="78" t="n"/>
      <c r="CO2314" s="209" t="n"/>
      <c r="CP2314" s="204" t="n"/>
      <c r="CQ2314" s="204" t="n"/>
      <c r="CR2314" s="204" t="n"/>
      <c r="CS2314" s="204" t="n"/>
      <c r="CT2314" s="204" t="n"/>
      <c r="CU2314" s="204" t="n"/>
      <c r="CV2314" s="204" t="n"/>
      <c r="CW2314" s="204" t="n"/>
    </row>
    <row r="2315">
      <c r="BF2315" s="78" t="n"/>
      <c r="BG2315" s="78" t="n"/>
      <c r="BH2315" s="78" t="n"/>
      <c r="BI2315" s="78" t="n"/>
      <c r="BJ2315" s="139" t="n"/>
      <c r="BK2315" s="204" t="n"/>
      <c r="BL2315" s="141" t="n"/>
      <c r="BM2315" s="205" t="n"/>
      <c r="BN2315" s="205" t="n"/>
      <c r="BO2315" s="206" t="n"/>
      <c r="BP2315" s="144" t="n"/>
      <c r="BQ2315" s="141" t="n"/>
      <c r="BR2315" s="207" t="n"/>
      <c r="BS2315" s="207" t="n"/>
      <c r="BT2315" s="207" t="n"/>
      <c r="BU2315" s="207" t="n"/>
      <c r="BV2315" s="208" t="n"/>
      <c r="BW2315" s="207" t="n"/>
      <c r="BX2315" s="207" t="n"/>
      <c r="BY2315" s="204" t="n"/>
      <c r="BZ2315" s="148" t="n"/>
      <c r="CA2315" s="204" t="n"/>
      <c r="CB2315" s="208" t="n"/>
      <c r="CC2315" s="139" t="n"/>
      <c r="CD2315" s="204" t="n"/>
      <c r="CE2315" s="204" t="n"/>
      <c r="CF2315" s="207" t="n"/>
      <c r="CG2315" s="208" t="n"/>
      <c r="CH2315" s="207" t="n"/>
      <c r="CI2315" s="208" t="n"/>
      <c r="CJ2315" s="204" t="n"/>
      <c r="CK2315" s="208" t="n"/>
      <c r="CL2315" s="208" t="n"/>
      <c r="CM2315" s="208" t="n"/>
      <c r="CN2315" s="78" t="n"/>
      <c r="CO2315" s="209" t="n"/>
      <c r="CP2315" s="204" t="n"/>
      <c r="CQ2315" s="204" t="n"/>
      <c r="CR2315" s="204" t="n"/>
      <c r="CS2315" s="204" t="n"/>
      <c r="CT2315" s="204" t="n"/>
      <c r="CU2315" s="204" t="n"/>
      <c r="CV2315" s="204" t="n"/>
      <c r="CW2315" s="204" t="n"/>
    </row>
    <row r="2316">
      <c r="BF2316" s="78" t="n"/>
      <c r="BG2316" s="78" t="n"/>
      <c r="BH2316" s="78" t="n"/>
      <c r="BI2316" s="78" t="n"/>
      <c r="BJ2316" s="139" t="n"/>
      <c r="BK2316" s="204" t="n"/>
      <c r="BL2316" s="141" t="n"/>
      <c r="BM2316" s="205" t="n"/>
      <c r="BN2316" s="205" t="n"/>
      <c r="BO2316" s="206" t="n"/>
      <c r="BP2316" s="144" t="n"/>
      <c r="BQ2316" s="141" t="n"/>
      <c r="BR2316" s="207" t="n"/>
      <c r="BS2316" s="207" t="n"/>
      <c r="BT2316" s="207" t="n"/>
      <c r="BU2316" s="207" t="n"/>
      <c r="BV2316" s="208" t="n"/>
      <c r="BW2316" s="207" t="n"/>
      <c r="BX2316" s="207" t="n"/>
      <c r="BY2316" s="204" t="n"/>
      <c r="BZ2316" s="148" t="n"/>
      <c r="CA2316" s="204" t="n"/>
      <c r="CB2316" s="208" t="n"/>
      <c r="CC2316" s="139" t="n"/>
      <c r="CD2316" s="204" t="n"/>
      <c r="CE2316" s="204" t="n"/>
      <c r="CF2316" s="207" t="n"/>
      <c r="CG2316" s="208" t="n"/>
      <c r="CH2316" s="207" t="n"/>
      <c r="CI2316" s="208" t="n"/>
      <c r="CJ2316" s="204" t="n"/>
      <c r="CK2316" s="208" t="n"/>
      <c r="CL2316" s="208" t="n"/>
      <c r="CM2316" s="208" t="n"/>
      <c r="CN2316" s="78" t="n"/>
      <c r="CO2316" s="209" t="n"/>
      <c r="CP2316" s="204" t="n"/>
      <c r="CQ2316" s="204" t="n"/>
      <c r="CR2316" s="204" t="n"/>
      <c r="CS2316" s="204" t="n"/>
      <c r="CT2316" s="204" t="n"/>
      <c r="CU2316" s="204" t="n"/>
      <c r="CV2316" s="204" t="n"/>
      <c r="CW2316" s="204" t="n"/>
    </row>
    <row r="2317">
      <c r="BF2317" s="78" t="n"/>
      <c r="BG2317" s="78" t="n"/>
      <c r="BH2317" s="78" t="n"/>
      <c r="BI2317" s="78" t="n"/>
      <c r="BJ2317" s="139" t="n"/>
      <c r="BK2317" s="204" t="n"/>
      <c r="BL2317" s="141" t="n"/>
      <c r="BM2317" s="205" t="n"/>
      <c r="BN2317" s="205" t="n"/>
      <c r="BO2317" s="206" t="n"/>
      <c r="BP2317" s="144" t="n"/>
      <c r="BQ2317" s="141" t="n"/>
      <c r="BR2317" s="207" t="n"/>
      <c r="BS2317" s="207" t="n"/>
      <c r="BT2317" s="207" t="n"/>
      <c r="BU2317" s="207" t="n"/>
      <c r="BV2317" s="208" t="n"/>
      <c r="BW2317" s="207" t="n"/>
      <c r="BX2317" s="207" t="n"/>
      <c r="BY2317" s="204" t="n"/>
      <c r="BZ2317" s="148" t="n"/>
      <c r="CA2317" s="204" t="n"/>
      <c r="CB2317" s="208" t="n"/>
      <c r="CC2317" s="139" t="n"/>
      <c r="CD2317" s="204" t="n"/>
      <c r="CE2317" s="204" t="n"/>
      <c r="CF2317" s="207" t="n"/>
      <c r="CG2317" s="208" t="n"/>
      <c r="CH2317" s="207" t="n"/>
      <c r="CI2317" s="208" t="n"/>
      <c r="CJ2317" s="204" t="n"/>
      <c r="CK2317" s="208" t="n"/>
      <c r="CL2317" s="208" t="n"/>
      <c r="CM2317" s="208" t="n"/>
      <c r="CN2317" s="78" t="n"/>
      <c r="CO2317" s="209" t="n"/>
      <c r="CP2317" s="204" t="n"/>
      <c r="CQ2317" s="204" t="n"/>
      <c r="CR2317" s="204" t="n"/>
      <c r="CS2317" s="204" t="n"/>
      <c r="CT2317" s="204" t="n"/>
      <c r="CU2317" s="204" t="n"/>
      <c r="CV2317" s="204" t="n"/>
      <c r="CW2317" s="204" t="n"/>
    </row>
    <row r="2318">
      <c r="BF2318" s="78" t="n"/>
      <c r="BG2318" s="78" t="n"/>
      <c r="BH2318" s="78" t="n"/>
      <c r="BI2318" s="78" t="n"/>
      <c r="BJ2318" s="139" t="n"/>
      <c r="BK2318" s="204" t="n"/>
      <c r="BL2318" s="141" t="n"/>
      <c r="BM2318" s="205" t="n"/>
      <c r="BN2318" s="205" t="n"/>
      <c r="BO2318" s="206" t="n"/>
      <c r="BP2318" s="144" t="n"/>
      <c r="BQ2318" s="141" t="n"/>
      <c r="BR2318" s="207" t="n"/>
      <c r="BS2318" s="207" t="n"/>
      <c r="BT2318" s="207" t="n"/>
      <c r="BU2318" s="207" t="n"/>
      <c r="BV2318" s="208" t="n"/>
      <c r="BW2318" s="207" t="n"/>
      <c r="BX2318" s="207" t="n"/>
      <c r="BY2318" s="204" t="n"/>
      <c r="BZ2318" s="148" t="n"/>
      <c r="CA2318" s="204" t="n"/>
      <c r="CB2318" s="208" t="n"/>
      <c r="CC2318" s="139" t="n"/>
      <c r="CD2318" s="204" t="n"/>
      <c r="CE2318" s="204" t="n"/>
      <c r="CF2318" s="207" t="n"/>
      <c r="CG2318" s="208" t="n"/>
      <c r="CH2318" s="207" t="n"/>
      <c r="CI2318" s="208" t="n"/>
      <c r="CJ2318" s="204" t="n"/>
      <c r="CK2318" s="208" t="n"/>
      <c r="CL2318" s="208" t="n"/>
      <c r="CM2318" s="208" t="n"/>
      <c r="CN2318" s="78" t="n"/>
      <c r="CO2318" s="209" t="n"/>
      <c r="CP2318" s="204" t="n"/>
      <c r="CQ2318" s="204" t="n"/>
      <c r="CR2318" s="204" t="n"/>
      <c r="CS2318" s="204" t="n"/>
      <c r="CT2318" s="204" t="n"/>
      <c r="CU2318" s="204" t="n"/>
      <c r="CV2318" s="204" t="n"/>
      <c r="CW2318" s="204" t="n"/>
    </row>
    <row r="2319">
      <c r="BF2319" s="78" t="n"/>
      <c r="BG2319" s="78" t="n"/>
      <c r="BH2319" s="78" t="n"/>
      <c r="BI2319" s="78" t="n"/>
      <c r="BJ2319" s="139" t="n"/>
      <c r="BK2319" s="204" t="n"/>
      <c r="BL2319" s="141" t="n"/>
      <c r="BM2319" s="205" t="n"/>
      <c r="BN2319" s="205" t="n"/>
      <c r="BO2319" s="206" t="n"/>
      <c r="BP2319" s="144" t="n"/>
      <c r="BQ2319" s="141" t="n"/>
      <c r="BR2319" s="207" t="n"/>
      <c r="BS2319" s="207" t="n"/>
      <c r="BT2319" s="207" t="n"/>
      <c r="BU2319" s="207" t="n"/>
      <c r="BV2319" s="208" t="n"/>
      <c r="BW2319" s="207" t="n"/>
      <c r="BX2319" s="207" t="n"/>
      <c r="BY2319" s="204" t="n"/>
      <c r="BZ2319" s="148" t="n"/>
      <c r="CA2319" s="204" t="n"/>
      <c r="CB2319" s="208" t="n"/>
      <c r="CC2319" s="139" t="n"/>
      <c r="CD2319" s="204" t="n"/>
      <c r="CE2319" s="204" t="n"/>
      <c r="CF2319" s="207" t="n"/>
      <c r="CG2319" s="208" t="n"/>
      <c r="CH2319" s="207" t="n"/>
      <c r="CI2319" s="208" t="n"/>
      <c r="CJ2319" s="204" t="n"/>
      <c r="CK2319" s="208" t="n"/>
      <c r="CL2319" s="208" t="n"/>
      <c r="CM2319" s="208" t="n"/>
      <c r="CN2319" s="78" t="n"/>
      <c r="CO2319" s="209" t="n"/>
      <c r="CP2319" s="204" t="n"/>
      <c r="CQ2319" s="204" t="n"/>
      <c r="CR2319" s="204" t="n"/>
      <c r="CS2319" s="204" t="n"/>
      <c r="CT2319" s="204" t="n"/>
      <c r="CU2319" s="204" t="n"/>
      <c r="CV2319" s="204" t="n"/>
      <c r="CW2319" s="204" t="n"/>
    </row>
    <row r="2320">
      <c r="BF2320" s="78" t="n"/>
      <c r="BG2320" s="78" t="n"/>
      <c r="BH2320" s="78" t="n"/>
      <c r="BI2320" s="78" t="n"/>
      <c r="BJ2320" s="139" t="n"/>
      <c r="BK2320" s="204" t="n"/>
      <c r="BL2320" s="141" t="n"/>
      <c r="BM2320" s="205" t="n"/>
      <c r="BN2320" s="205" t="n"/>
      <c r="BO2320" s="206" t="n"/>
      <c r="BP2320" s="144" t="n"/>
      <c r="BQ2320" s="141" t="n"/>
      <c r="BR2320" s="207" t="n"/>
      <c r="BS2320" s="207" t="n"/>
      <c r="BT2320" s="207" t="n"/>
      <c r="BU2320" s="207" t="n"/>
      <c r="BV2320" s="208" t="n"/>
      <c r="BW2320" s="207" t="n"/>
      <c r="BX2320" s="207" t="n"/>
      <c r="BY2320" s="204" t="n"/>
      <c r="BZ2320" s="148" t="n"/>
      <c r="CA2320" s="204" t="n"/>
      <c r="CB2320" s="208" t="n"/>
      <c r="CC2320" s="139" t="n"/>
      <c r="CD2320" s="204" t="n"/>
      <c r="CE2320" s="204" t="n"/>
      <c r="CF2320" s="207" t="n"/>
      <c r="CG2320" s="208" t="n"/>
      <c r="CH2320" s="207" t="n"/>
      <c r="CI2320" s="208" t="n"/>
      <c r="CJ2320" s="204" t="n"/>
      <c r="CK2320" s="208" t="n"/>
      <c r="CL2320" s="208" t="n"/>
      <c r="CM2320" s="208" t="n"/>
      <c r="CN2320" s="78" t="n"/>
      <c r="CO2320" s="209" t="n"/>
      <c r="CP2320" s="204" t="n"/>
      <c r="CQ2320" s="204" t="n"/>
      <c r="CR2320" s="204" t="n"/>
      <c r="CS2320" s="204" t="n"/>
      <c r="CT2320" s="204" t="n"/>
      <c r="CU2320" s="204" t="n"/>
      <c r="CV2320" s="204" t="n"/>
      <c r="CW2320" s="204" t="n"/>
    </row>
    <row r="2321">
      <c r="BF2321" s="78" t="n"/>
      <c r="BG2321" s="78" t="n"/>
      <c r="BH2321" s="78" t="n"/>
      <c r="BI2321" s="78" t="n"/>
      <c r="BJ2321" s="139" t="n"/>
      <c r="BK2321" s="204" t="n"/>
      <c r="BL2321" s="141" t="n"/>
      <c r="BM2321" s="205" t="n"/>
      <c r="BN2321" s="205" t="n"/>
      <c r="BO2321" s="206" t="n"/>
      <c r="BP2321" s="144" t="n"/>
      <c r="BQ2321" s="141" t="n"/>
      <c r="BR2321" s="207" t="n"/>
      <c r="BS2321" s="207" t="n"/>
      <c r="BT2321" s="207" t="n"/>
      <c r="BU2321" s="207" t="n"/>
      <c r="BV2321" s="208" t="n"/>
      <c r="BW2321" s="207" t="n"/>
      <c r="BX2321" s="207" t="n"/>
      <c r="BY2321" s="204" t="n"/>
      <c r="BZ2321" s="148" t="n"/>
      <c r="CA2321" s="204" t="n"/>
      <c r="CB2321" s="208" t="n"/>
      <c r="CC2321" s="139" t="n"/>
      <c r="CD2321" s="204" t="n"/>
      <c r="CE2321" s="204" t="n"/>
      <c r="CF2321" s="207" t="n"/>
      <c r="CG2321" s="208" t="n"/>
      <c r="CH2321" s="207" t="n"/>
      <c r="CI2321" s="208" t="n"/>
      <c r="CJ2321" s="204" t="n"/>
      <c r="CK2321" s="208" t="n"/>
      <c r="CL2321" s="208" t="n"/>
      <c r="CM2321" s="208" t="n"/>
      <c r="CN2321" s="78" t="n"/>
      <c r="CO2321" s="209" t="n"/>
      <c r="CP2321" s="204" t="n"/>
      <c r="CQ2321" s="204" t="n"/>
      <c r="CR2321" s="204" t="n"/>
      <c r="CS2321" s="204" t="n"/>
      <c r="CT2321" s="204" t="n"/>
      <c r="CU2321" s="204" t="n"/>
      <c r="CV2321" s="204" t="n"/>
      <c r="CW2321" s="204" t="n"/>
    </row>
    <row r="2322">
      <c r="BF2322" s="78" t="n"/>
      <c r="BG2322" s="78" t="n"/>
      <c r="BH2322" s="78" t="n"/>
      <c r="BI2322" s="78" t="n"/>
      <c r="BJ2322" s="139" t="n"/>
      <c r="BK2322" s="204" t="n"/>
      <c r="BL2322" s="141" t="n"/>
      <c r="BM2322" s="205" t="n"/>
      <c r="BN2322" s="205" t="n"/>
      <c r="BO2322" s="206" t="n"/>
      <c r="BP2322" s="144" t="n"/>
      <c r="BQ2322" s="141" t="n"/>
      <c r="BR2322" s="207" t="n"/>
      <c r="BS2322" s="207" t="n"/>
      <c r="BT2322" s="207" t="n"/>
      <c r="BU2322" s="207" t="n"/>
      <c r="BV2322" s="208" t="n"/>
      <c r="BW2322" s="207" t="n"/>
      <c r="BX2322" s="207" t="n"/>
      <c r="BY2322" s="204" t="n"/>
      <c r="BZ2322" s="148" t="n"/>
      <c r="CA2322" s="204" t="n"/>
      <c r="CB2322" s="208" t="n"/>
      <c r="CC2322" s="139" t="n"/>
      <c r="CD2322" s="204" t="n"/>
      <c r="CE2322" s="204" t="n"/>
      <c r="CF2322" s="207" t="n"/>
      <c r="CG2322" s="208" t="n"/>
      <c r="CH2322" s="207" t="n"/>
      <c r="CI2322" s="208" t="n"/>
      <c r="CJ2322" s="204" t="n"/>
      <c r="CK2322" s="208" t="n"/>
      <c r="CL2322" s="208" t="n"/>
      <c r="CM2322" s="208" t="n"/>
      <c r="CN2322" s="78" t="n"/>
      <c r="CO2322" s="209" t="n"/>
      <c r="CP2322" s="204" t="n"/>
      <c r="CQ2322" s="204" t="n"/>
      <c r="CR2322" s="204" t="n"/>
      <c r="CS2322" s="204" t="n"/>
      <c r="CT2322" s="204" t="n"/>
      <c r="CU2322" s="204" t="n"/>
      <c r="CV2322" s="204" t="n"/>
      <c r="CW2322" s="204" t="n"/>
    </row>
    <row r="2323">
      <c r="BF2323" s="78" t="n"/>
      <c r="BG2323" s="78" t="n"/>
      <c r="BH2323" s="78" t="n"/>
      <c r="BI2323" s="78" t="n"/>
      <c r="BJ2323" s="139" t="n"/>
      <c r="BK2323" s="204" t="n"/>
      <c r="BL2323" s="141" t="n"/>
      <c r="BM2323" s="205" t="n"/>
      <c r="BN2323" s="205" t="n"/>
      <c r="BO2323" s="206" t="n"/>
      <c r="BP2323" s="144" t="n"/>
      <c r="BQ2323" s="141" t="n"/>
      <c r="BR2323" s="207" t="n"/>
      <c r="BS2323" s="207" t="n"/>
      <c r="BT2323" s="207" t="n"/>
      <c r="BU2323" s="207" t="n"/>
      <c r="BV2323" s="208" t="n"/>
      <c r="BW2323" s="207" t="n"/>
      <c r="BX2323" s="207" t="n"/>
      <c r="BY2323" s="204" t="n"/>
      <c r="BZ2323" s="148" t="n"/>
      <c r="CA2323" s="204" t="n"/>
      <c r="CB2323" s="208" t="n"/>
      <c r="CC2323" s="139" t="n"/>
      <c r="CD2323" s="204" t="n"/>
      <c r="CE2323" s="204" t="n"/>
      <c r="CF2323" s="207" t="n"/>
      <c r="CG2323" s="208" t="n"/>
      <c r="CH2323" s="207" t="n"/>
      <c r="CI2323" s="208" t="n"/>
      <c r="CJ2323" s="204" t="n"/>
      <c r="CK2323" s="208" t="n"/>
      <c r="CL2323" s="208" t="n"/>
      <c r="CM2323" s="208" t="n"/>
      <c r="CN2323" s="78" t="n"/>
      <c r="CO2323" s="209" t="n"/>
      <c r="CP2323" s="204" t="n"/>
      <c r="CQ2323" s="204" t="n"/>
      <c r="CR2323" s="204" t="n"/>
      <c r="CS2323" s="204" t="n"/>
      <c r="CT2323" s="204" t="n"/>
      <c r="CU2323" s="204" t="n"/>
      <c r="CV2323" s="204" t="n"/>
      <c r="CW2323" s="204" t="n"/>
    </row>
    <row r="2324">
      <c r="BF2324" s="78" t="n"/>
      <c r="BG2324" s="78" t="n"/>
      <c r="BH2324" s="78" t="n"/>
      <c r="BI2324" s="78" t="n"/>
      <c r="BJ2324" s="139" t="n"/>
      <c r="BK2324" s="204" t="n"/>
      <c r="BL2324" s="141" t="n"/>
      <c r="BM2324" s="205" t="n"/>
      <c r="BN2324" s="205" t="n"/>
      <c r="BO2324" s="206" t="n"/>
      <c r="BP2324" s="144" t="n"/>
      <c r="BQ2324" s="141" t="n"/>
      <c r="BR2324" s="207" t="n"/>
      <c r="BS2324" s="207" t="n"/>
      <c r="BT2324" s="207" t="n"/>
      <c r="BU2324" s="207" t="n"/>
      <c r="BV2324" s="208" t="n"/>
      <c r="BW2324" s="207" t="n"/>
      <c r="BX2324" s="207" t="n"/>
      <c r="BY2324" s="204" t="n"/>
      <c r="BZ2324" s="148" t="n"/>
      <c r="CA2324" s="204" t="n"/>
      <c r="CB2324" s="208" t="n"/>
      <c r="CC2324" s="139" t="n"/>
      <c r="CD2324" s="204" t="n"/>
      <c r="CE2324" s="204" t="n"/>
      <c r="CF2324" s="207" t="n"/>
      <c r="CG2324" s="208" t="n"/>
      <c r="CH2324" s="207" t="n"/>
      <c r="CI2324" s="208" t="n"/>
      <c r="CJ2324" s="204" t="n"/>
      <c r="CK2324" s="208" t="n"/>
      <c r="CL2324" s="208" t="n"/>
      <c r="CM2324" s="208" t="n"/>
      <c r="CN2324" s="78" t="n"/>
      <c r="CO2324" s="209" t="n"/>
      <c r="CP2324" s="204" t="n"/>
      <c r="CQ2324" s="204" t="n"/>
      <c r="CR2324" s="204" t="n"/>
      <c r="CS2324" s="204" t="n"/>
      <c r="CT2324" s="204" t="n"/>
      <c r="CU2324" s="204" t="n"/>
      <c r="CV2324" s="204" t="n"/>
      <c r="CW2324" s="204" t="n"/>
    </row>
    <row r="2325">
      <c r="BF2325" s="78" t="n"/>
      <c r="BG2325" s="78" t="n"/>
      <c r="BH2325" s="78" t="n"/>
      <c r="BI2325" s="78" t="n"/>
      <c r="BJ2325" s="139" t="n"/>
      <c r="BK2325" s="204" t="n"/>
      <c r="BL2325" s="141" t="n"/>
      <c r="BM2325" s="205" t="n"/>
      <c r="BN2325" s="205" t="n"/>
      <c r="BO2325" s="206" t="n"/>
      <c r="BP2325" s="144" t="n"/>
      <c r="BQ2325" s="141" t="n"/>
      <c r="BR2325" s="207" t="n"/>
      <c r="BS2325" s="207" t="n"/>
      <c r="BT2325" s="207" t="n"/>
      <c r="BU2325" s="207" t="n"/>
      <c r="BV2325" s="208" t="n"/>
      <c r="BW2325" s="207" t="n"/>
      <c r="BX2325" s="207" t="n"/>
      <c r="BY2325" s="204" t="n"/>
      <c r="BZ2325" s="148" t="n"/>
      <c r="CA2325" s="204" t="n"/>
      <c r="CB2325" s="208" t="n"/>
      <c r="CC2325" s="139" t="n"/>
      <c r="CD2325" s="204" t="n"/>
      <c r="CE2325" s="204" t="n"/>
      <c r="CF2325" s="207" t="n"/>
      <c r="CG2325" s="208" t="n"/>
      <c r="CH2325" s="207" t="n"/>
      <c r="CI2325" s="208" t="n"/>
      <c r="CJ2325" s="204" t="n"/>
      <c r="CK2325" s="208" t="n"/>
      <c r="CL2325" s="208" t="n"/>
      <c r="CM2325" s="208" t="n"/>
      <c r="CN2325" s="78" t="n"/>
      <c r="CO2325" s="209" t="n"/>
      <c r="CP2325" s="204" t="n"/>
      <c r="CQ2325" s="204" t="n"/>
      <c r="CR2325" s="204" t="n"/>
      <c r="CS2325" s="204" t="n"/>
      <c r="CT2325" s="204" t="n"/>
      <c r="CU2325" s="204" t="n"/>
      <c r="CV2325" s="204" t="n"/>
      <c r="CW2325" s="204" t="n"/>
    </row>
    <row r="2326">
      <c r="BF2326" s="78" t="n"/>
      <c r="BG2326" s="78" t="n"/>
      <c r="BH2326" s="78" t="n"/>
      <c r="BI2326" s="78" t="n"/>
      <c r="BJ2326" s="139" t="n"/>
      <c r="BK2326" s="204" t="n"/>
      <c r="BL2326" s="141" t="n"/>
      <c r="BM2326" s="205" t="n"/>
      <c r="BN2326" s="205" t="n"/>
      <c r="BO2326" s="206" t="n"/>
      <c r="BP2326" s="144" t="n"/>
      <c r="BQ2326" s="141" t="n"/>
      <c r="BR2326" s="207" t="n"/>
      <c r="BS2326" s="207" t="n"/>
      <c r="BT2326" s="207" t="n"/>
      <c r="BU2326" s="207" t="n"/>
      <c r="BV2326" s="208" t="n"/>
      <c r="BW2326" s="207" t="n"/>
      <c r="BX2326" s="207" t="n"/>
      <c r="BY2326" s="204" t="n"/>
      <c r="BZ2326" s="148" t="n"/>
      <c r="CA2326" s="204" t="n"/>
      <c r="CB2326" s="208" t="n"/>
      <c r="CC2326" s="139" t="n"/>
      <c r="CD2326" s="204" t="n"/>
      <c r="CE2326" s="204" t="n"/>
      <c r="CF2326" s="207" t="n"/>
      <c r="CG2326" s="208" t="n"/>
      <c r="CH2326" s="207" t="n"/>
      <c r="CI2326" s="208" t="n"/>
      <c r="CJ2326" s="204" t="n"/>
      <c r="CK2326" s="208" t="n"/>
      <c r="CL2326" s="208" t="n"/>
      <c r="CM2326" s="208" t="n"/>
      <c r="CN2326" s="78" t="n"/>
      <c r="CO2326" s="209" t="n"/>
      <c r="CP2326" s="204" t="n"/>
      <c r="CQ2326" s="204" t="n"/>
      <c r="CR2326" s="204" t="n"/>
      <c r="CS2326" s="204" t="n"/>
      <c r="CT2326" s="204" t="n"/>
      <c r="CU2326" s="204" t="n"/>
      <c r="CV2326" s="204" t="n"/>
      <c r="CW2326" s="204" t="n"/>
    </row>
    <row r="2327">
      <c r="BF2327" s="78" t="n"/>
      <c r="BG2327" s="78" t="n"/>
      <c r="BH2327" s="78" t="n"/>
      <c r="BI2327" s="78" t="n"/>
      <c r="BJ2327" s="139" t="n"/>
      <c r="BK2327" s="204" t="n"/>
      <c r="BL2327" s="141" t="n"/>
      <c r="BM2327" s="205" t="n"/>
      <c r="BN2327" s="205" t="n"/>
      <c r="BO2327" s="206" t="n"/>
      <c r="BP2327" s="144" t="n"/>
      <c r="BQ2327" s="141" t="n"/>
      <c r="BR2327" s="207" t="n"/>
      <c r="BS2327" s="207" t="n"/>
      <c r="BT2327" s="207" t="n"/>
      <c r="BU2327" s="207" t="n"/>
      <c r="BV2327" s="208" t="n"/>
      <c r="BW2327" s="207" t="n"/>
      <c r="BX2327" s="207" t="n"/>
      <c r="BY2327" s="204" t="n"/>
      <c r="BZ2327" s="148" t="n"/>
      <c r="CA2327" s="204" t="n"/>
      <c r="CB2327" s="208" t="n"/>
      <c r="CC2327" s="139" t="n"/>
      <c r="CD2327" s="204" t="n"/>
      <c r="CE2327" s="204" t="n"/>
      <c r="CF2327" s="207" t="n"/>
      <c r="CG2327" s="208" t="n"/>
      <c r="CH2327" s="207" t="n"/>
      <c r="CI2327" s="208" t="n"/>
      <c r="CJ2327" s="204" t="n"/>
      <c r="CK2327" s="208" t="n"/>
      <c r="CL2327" s="208" t="n"/>
      <c r="CM2327" s="208" t="n"/>
      <c r="CN2327" s="78" t="n"/>
      <c r="CO2327" s="209" t="n"/>
      <c r="CP2327" s="204" t="n"/>
      <c r="CQ2327" s="204" t="n"/>
      <c r="CR2327" s="204" t="n"/>
      <c r="CS2327" s="204" t="n"/>
      <c r="CT2327" s="204" t="n"/>
      <c r="CU2327" s="204" t="n"/>
      <c r="CV2327" s="204" t="n"/>
      <c r="CW2327" s="204" t="n"/>
    </row>
    <row r="2328">
      <c r="BF2328" s="78" t="n"/>
      <c r="BG2328" s="78" t="n"/>
      <c r="BH2328" s="78" t="n"/>
      <c r="BI2328" s="78" t="n"/>
      <c r="BJ2328" s="139" t="n"/>
      <c r="BK2328" s="204" t="n"/>
      <c r="BL2328" s="141" t="n"/>
      <c r="BM2328" s="205" t="n"/>
      <c r="BN2328" s="205" t="n"/>
      <c r="BO2328" s="206" t="n"/>
      <c r="BP2328" s="144" t="n"/>
      <c r="BQ2328" s="141" t="n"/>
      <c r="BR2328" s="207" t="n"/>
      <c r="BS2328" s="207" t="n"/>
      <c r="BT2328" s="207" t="n"/>
      <c r="BU2328" s="207" t="n"/>
      <c r="BV2328" s="208" t="n"/>
      <c r="BW2328" s="207" t="n"/>
      <c r="BX2328" s="207" t="n"/>
      <c r="BY2328" s="204" t="n"/>
      <c r="BZ2328" s="148" t="n"/>
      <c r="CA2328" s="204" t="n"/>
      <c r="CB2328" s="208" t="n"/>
      <c r="CC2328" s="139" t="n"/>
      <c r="CD2328" s="204" t="n"/>
      <c r="CE2328" s="204" t="n"/>
      <c r="CF2328" s="207" t="n"/>
      <c r="CG2328" s="208" t="n"/>
      <c r="CH2328" s="207" t="n"/>
      <c r="CI2328" s="208" t="n"/>
      <c r="CJ2328" s="204" t="n"/>
      <c r="CK2328" s="208" t="n"/>
      <c r="CL2328" s="208" t="n"/>
      <c r="CM2328" s="208" t="n"/>
      <c r="CN2328" s="78" t="n"/>
      <c r="CO2328" s="209" t="n"/>
      <c r="CP2328" s="204" t="n"/>
      <c r="CQ2328" s="204" t="n"/>
      <c r="CR2328" s="204" t="n"/>
      <c r="CS2328" s="204" t="n"/>
      <c r="CT2328" s="204" t="n"/>
      <c r="CU2328" s="204" t="n"/>
      <c r="CV2328" s="204" t="n"/>
      <c r="CW2328" s="204" t="n"/>
    </row>
    <row r="2329">
      <c r="BF2329" s="78" t="n"/>
      <c r="BG2329" s="78" t="n"/>
      <c r="BH2329" s="78" t="n"/>
      <c r="BI2329" s="78" t="n"/>
      <c r="BJ2329" s="139" t="n"/>
      <c r="BK2329" s="204" t="n"/>
      <c r="BL2329" s="141" t="n"/>
      <c r="BM2329" s="205" t="n"/>
      <c r="BN2329" s="205" t="n"/>
      <c r="BO2329" s="206" t="n"/>
      <c r="BP2329" s="144" t="n"/>
      <c r="BQ2329" s="141" t="n"/>
      <c r="BR2329" s="207" t="n"/>
      <c r="BS2329" s="207" t="n"/>
      <c r="BT2329" s="207" t="n"/>
      <c r="BU2329" s="207" t="n"/>
      <c r="BV2329" s="208" t="n"/>
      <c r="BW2329" s="207" t="n"/>
      <c r="BX2329" s="207" t="n"/>
      <c r="BY2329" s="204" t="n"/>
      <c r="BZ2329" s="148" t="n"/>
      <c r="CA2329" s="204" t="n"/>
      <c r="CB2329" s="208" t="n"/>
      <c r="CC2329" s="139" t="n"/>
      <c r="CD2329" s="204" t="n"/>
      <c r="CE2329" s="204" t="n"/>
      <c r="CF2329" s="207" t="n"/>
      <c r="CG2329" s="208" t="n"/>
      <c r="CH2329" s="207" t="n"/>
      <c r="CI2329" s="208" t="n"/>
      <c r="CJ2329" s="204" t="n"/>
      <c r="CK2329" s="208" t="n"/>
      <c r="CL2329" s="208" t="n"/>
      <c r="CM2329" s="208" t="n"/>
      <c r="CN2329" s="78" t="n"/>
      <c r="CO2329" s="209" t="n"/>
      <c r="CP2329" s="204" t="n"/>
      <c r="CQ2329" s="204" t="n"/>
      <c r="CR2329" s="204" t="n"/>
      <c r="CS2329" s="204" t="n"/>
      <c r="CT2329" s="204" t="n"/>
      <c r="CU2329" s="204" t="n"/>
      <c r="CV2329" s="204" t="n"/>
      <c r="CW2329" s="204" t="n"/>
    </row>
    <row r="2330">
      <c r="BF2330" s="78" t="n"/>
      <c r="BG2330" s="78" t="n"/>
      <c r="BH2330" s="78" t="n"/>
      <c r="BI2330" s="78" t="n"/>
      <c r="BJ2330" s="139" t="n"/>
      <c r="BK2330" s="204" t="n"/>
      <c r="BL2330" s="141" t="n"/>
      <c r="BM2330" s="205" t="n"/>
      <c r="BN2330" s="205" t="n"/>
      <c r="BO2330" s="206" t="n"/>
      <c r="BP2330" s="144" t="n"/>
      <c r="BQ2330" s="141" t="n"/>
      <c r="BR2330" s="207" t="n"/>
      <c r="BS2330" s="207" t="n"/>
      <c r="BT2330" s="207" t="n"/>
      <c r="BU2330" s="207" t="n"/>
      <c r="BV2330" s="208" t="n"/>
      <c r="BW2330" s="207" t="n"/>
      <c r="BX2330" s="207" t="n"/>
      <c r="BY2330" s="204" t="n"/>
      <c r="BZ2330" s="148" t="n"/>
      <c r="CA2330" s="204" t="n"/>
      <c r="CB2330" s="208" t="n"/>
      <c r="CC2330" s="139" t="n"/>
      <c r="CD2330" s="204" t="n"/>
      <c r="CE2330" s="204" t="n"/>
      <c r="CF2330" s="207" t="n"/>
      <c r="CG2330" s="208" t="n"/>
      <c r="CH2330" s="207" t="n"/>
      <c r="CI2330" s="208" t="n"/>
      <c r="CJ2330" s="204" t="n"/>
      <c r="CK2330" s="208" t="n"/>
      <c r="CL2330" s="208" t="n"/>
      <c r="CM2330" s="208" t="n"/>
      <c r="CN2330" s="78" t="n"/>
      <c r="CO2330" s="209" t="n"/>
      <c r="CP2330" s="204" t="n"/>
      <c r="CQ2330" s="204" t="n"/>
      <c r="CR2330" s="204" t="n"/>
      <c r="CS2330" s="204" t="n"/>
      <c r="CT2330" s="204" t="n"/>
      <c r="CU2330" s="204" t="n"/>
      <c r="CV2330" s="204" t="n"/>
      <c r="CW2330" s="204" t="n"/>
    </row>
    <row r="2331">
      <c r="BF2331" s="78" t="n"/>
      <c r="BG2331" s="78" t="n"/>
      <c r="BH2331" s="78" t="n"/>
      <c r="BI2331" s="78" t="n"/>
      <c r="BJ2331" s="139" t="n"/>
      <c r="BK2331" s="204" t="n"/>
      <c r="BL2331" s="141" t="n"/>
      <c r="BM2331" s="205" t="n"/>
      <c r="BN2331" s="205" t="n"/>
      <c r="BO2331" s="206" t="n"/>
      <c r="BP2331" s="144" t="n"/>
      <c r="BQ2331" s="141" t="n"/>
      <c r="BR2331" s="207" t="n"/>
      <c r="BS2331" s="207" t="n"/>
      <c r="BT2331" s="207" t="n"/>
      <c r="BU2331" s="207" t="n"/>
      <c r="BV2331" s="208" t="n"/>
      <c r="BW2331" s="207" t="n"/>
      <c r="BX2331" s="207" t="n"/>
      <c r="BY2331" s="204" t="n"/>
      <c r="BZ2331" s="148" t="n"/>
      <c r="CA2331" s="204" t="n"/>
      <c r="CB2331" s="208" t="n"/>
      <c r="CC2331" s="139" t="n"/>
      <c r="CD2331" s="204" t="n"/>
      <c r="CE2331" s="204" t="n"/>
      <c r="CF2331" s="207" t="n"/>
      <c r="CG2331" s="208" t="n"/>
      <c r="CH2331" s="207" t="n"/>
      <c r="CI2331" s="208" t="n"/>
      <c r="CJ2331" s="204" t="n"/>
      <c r="CK2331" s="208" t="n"/>
      <c r="CL2331" s="208" t="n"/>
      <c r="CM2331" s="208" t="n"/>
      <c r="CN2331" s="78" t="n"/>
      <c r="CO2331" s="209" t="n"/>
      <c r="CP2331" s="204" t="n"/>
      <c r="CQ2331" s="204" t="n"/>
      <c r="CR2331" s="204" t="n"/>
      <c r="CS2331" s="204" t="n"/>
      <c r="CT2331" s="204" t="n"/>
      <c r="CU2331" s="204" t="n"/>
      <c r="CV2331" s="204" t="n"/>
      <c r="CW2331" s="204" t="n"/>
    </row>
    <row r="2332">
      <c r="BF2332" s="78" t="n"/>
      <c r="BG2332" s="78" t="n"/>
      <c r="BH2332" s="78" t="n"/>
      <c r="BI2332" s="78" t="n"/>
      <c r="BJ2332" s="139" t="n"/>
      <c r="BK2332" s="204" t="n"/>
      <c r="BL2332" s="141" t="n"/>
      <c r="BM2332" s="205" t="n"/>
      <c r="BN2332" s="205" t="n"/>
      <c r="BO2332" s="206" t="n"/>
      <c r="BP2332" s="144" t="n"/>
      <c r="BQ2332" s="141" t="n"/>
      <c r="BR2332" s="207" t="n"/>
      <c r="BS2332" s="207" t="n"/>
      <c r="BT2332" s="207" t="n"/>
      <c r="BU2332" s="207" t="n"/>
      <c r="BV2332" s="208" t="n"/>
      <c r="BW2332" s="207" t="n"/>
      <c r="BX2332" s="207" t="n"/>
      <c r="BY2332" s="204" t="n"/>
      <c r="BZ2332" s="148" t="n"/>
      <c r="CA2332" s="204" t="n"/>
      <c r="CB2332" s="208" t="n"/>
      <c r="CC2332" s="139" t="n"/>
      <c r="CD2332" s="204" t="n"/>
      <c r="CE2332" s="204" t="n"/>
      <c r="CF2332" s="207" t="n"/>
      <c r="CG2332" s="208" t="n"/>
      <c r="CH2332" s="207" t="n"/>
      <c r="CI2332" s="208" t="n"/>
      <c r="CJ2332" s="204" t="n"/>
      <c r="CK2332" s="208" t="n"/>
      <c r="CL2332" s="208" t="n"/>
      <c r="CM2332" s="208" t="n"/>
      <c r="CN2332" s="78" t="n"/>
      <c r="CO2332" s="209" t="n"/>
      <c r="CP2332" s="204" t="n"/>
      <c r="CQ2332" s="204" t="n"/>
      <c r="CR2332" s="204" t="n"/>
      <c r="CS2332" s="204" t="n"/>
      <c r="CT2332" s="204" t="n"/>
      <c r="CU2332" s="204" t="n"/>
      <c r="CV2332" s="204" t="n"/>
      <c r="CW2332" s="204" t="n"/>
    </row>
    <row r="2333">
      <c r="BF2333" s="78" t="n"/>
      <c r="BG2333" s="78" t="n"/>
      <c r="BH2333" s="78" t="n"/>
      <c r="BI2333" s="78" t="n"/>
      <c r="BJ2333" s="139" t="n"/>
      <c r="BK2333" s="204" t="n"/>
      <c r="BL2333" s="141" t="n"/>
      <c r="BM2333" s="205" t="n"/>
      <c r="BN2333" s="205" t="n"/>
      <c r="BO2333" s="206" t="n"/>
      <c r="BP2333" s="144" t="n"/>
      <c r="BQ2333" s="141" t="n"/>
      <c r="BR2333" s="207" t="n"/>
      <c r="BS2333" s="207" t="n"/>
      <c r="BT2333" s="207" t="n"/>
      <c r="BU2333" s="207" t="n"/>
      <c r="BV2333" s="208" t="n"/>
      <c r="BW2333" s="207" t="n"/>
      <c r="BX2333" s="207" t="n"/>
      <c r="BY2333" s="204" t="n"/>
      <c r="BZ2333" s="148" t="n"/>
      <c r="CA2333" s="204" t="n"/>
      <c r="CB2333" s="208" t="n"/>
      <c r="CC2333" s="139" t="n"/>
      <c r="CD2333" s="204" t="n"/>
      <c r="CE2333" s="204" t="n"/>
      <c r="CF2333" s="207" t="n"/>
      <c r="CG2333" s="208" t="n"/>
      <c r="CH2333" s="207" t="n"/>
      <c r="CI2333" s="208" t="n"/>
      <c r="CJ2333" s="204" t="n"/>
      <c r="CK2333" s="208" t="n"/>
      <c r="CL2333" s="208" t="n"/>
      <c r="CM2333" s="208" t="n"/>
      <c r="CN2333" s="78" t="n"/>
      <c r="CO2333" s="209" t="n"/>
      <c r="CP2333" s="204" t="n"/>
      <c r="CQ2333" s="204" t="n"/>
      <c r="CR2333" s="204" t="n"/>
      <c r="CS2333" s="204" t="n"/>
      <c r="CT2333" s="204" t="n"/>
      <c r="CU2333" s="204" t="n"/>
      <c r="CV2333" s="204" t="n"/>
      <c r="CW2333" s="204" t="n"/>
    </row>
    <row r="2334">
      <c r="BF2334" s="78" t="n"/>
      <c r="BG2334" s="78" t="n"/>
      <c r="BH2334" s="78" t="n"/>
      <c r="BI2334" s="78" t="n"/>
      <c r="BJ2334" s="139" t="n"/>
      <c r="BK2334" s="204" t="n"/>
      <c r="BL2334" s="141" t="n"/>
      <c r="BM2334" s="205" t="n"/>
      <c r="BN2334" s="205" t="n"/>
      <c r="BO2334" s="206" t="n"/>
      <c r="BP2334" s="144" t="n"/>
      <c r="BQ2334" s="141" t="n"/>
      <c r="BR2334" s="207" t="n"/>
      <c r="BS2334" s="207" t="n"/>
      <c r="BT2334" s="207" t="n"/>
      <c r="BU2334" s="207" t="n"/>
      <c r="BV2334" s="208" t="n"/>
      <c r="BW2334" s="207" t="n"/>
      <c r="BX2334" s="207" t="n"/>
      <c r="BY2334" s="204" t="n"/>
      <c r="BZ2334" s="148" t="n"/>
      <c r="CA2334" s="204" t="n"/>
      <c r="CB2334" s="208" t="n"/>
      <c r="CC2334" s="139" t="n"/>
      <c r="CD2334" s="204" t="n"/>
      <c r="CE2334" s="204" t="n"/>
      <c r="CF2334" s="207" t="n"/>
      <c r="CG2334" s="208" t="n"/>
      <c r="CH2334" s="207" t="n"/>
      <c r="CI2334" s="208" t="n"/>
      <c r="CJ2334" s="204" t="n"/>
      <c r="CK2334" s="208" t="n"/>
      <c r="CL2334" s="208" t="n"/>
      <c r="CM2334" s="208" t="n"/>
      <c r="CN2334" s="78" t="n"/>
      <c r="CO2334" s="209" t="n"/>
      <c r="CP2334" s="204" t="n"/>
      <c r="CQ2334" s="204" t="n"/>
      <c r="CR2334" s="204" t="n"/>
      <c r="CS2334" s="204" t="n"/>
      <c r="CT2334" s="204" t="n"/>
      <c r="CU2334" s="204" t="n"/>
      <c r="CV2334" s="204" t="n"/>
      <c r="CW2334" s="204" t="n"/>
    </row>
    <row r="2335">
      <c r="BF2335" s="78" t="n"/>
      <c r="BG2335" s="78" t="n"/>
      <c r="BH2335" s="78" t="n"/>
      <c r="BI2335" s="78" t="n"/>
      <c r="BJ2335" s="139" t="n"/>
      <c r="BK2335" s="204" t="n"/>
      <c r="BL2335" s="141" t="n"/>
      <c r="BM2335" s="205" t="n"/>
      <c r="BN2335" s="205" t="n"/>
      <c r="BO2335" s="206" t="n"/>
      <c r="BP2335" s="144" t="n"/>
      <c r="BQ2335" s="141" t="n"/>
      <c r="BR2335" s="207" t="n"/>
      <c r="BS2335" s="207" t="n"/>
      <c r="BT2335" s="207" t="n"/>
      <c r="BU2335" s="207" t="n"/>
      <c r="BV2335" s="208" t="n"/>
      <c r="BW2335" s="207" t="n"/>
      <c r="BX2335" s="207" t="n"/>
      <c r="BY2335" s="204" t="n"/>
      <c r="BZ2335" s="148" t="n"/>
      <c r="CA2335" s="204" t="n"/>
      <c r="CB2335" s="208" t="n"/>
      <c r="CC2335" s="139" t="n"/>
      <c r="CD2335" s="204" t="n"/>
      <c r="CE2335" s="204" t="n"/>
      <c r="CF2335" s="207" t="n"/>
      <c r="CG2335" s="208" t="n"/>
      <c r="CH2335" s="207" t="n"/>
      <c r="CI2335" s="208" t="n"/>
      <c r="CJ2335" s="204" t="n"/>
      <c r="CK2335" s="208" t="n"/>
      <c r="CL2335" s="208" t="n"/>
      <c r="CM2335" s="208" t="n"/>
      <c r="CN2335" s="78" t="n"/>
      <c r="CO2335" s="209" t="n"/>
      <c r="CP2335" s="204" t="n"/>
      <c r="CQ2335" s="204" t="n"/>
      <c r="CR2335" s="204" t="n"/>
      <c r="CS2335" s="204" t="n"/>
      <c r="CT2335" s="204" t="n"/>
      <c r="CU2335" s="204" t="n"/>
      <c r="CV2335" s="204" t="n"/>
      <c r="CW2335" s="204" t="n"/>
    </row>
    <row r="2336">
      <c r="BF2336" s="78" t="n"/>
      <c r="BG2336" s="78" t="n"/>
      <c r="BH2336" s="78" t="n"/>
      <c r="BI2336" s="78" t="n"/>
      <c r="BJ2336" s="139" t="n"/>
      <c r="BK2336" s="204" t="n"/>
      <c r="BL2336" s="141" t="n"/>
      <c r="BM2336" s="205" t="n"/>
      <c r="BN2336" s="205" t="n"/>
      <c r="BO2336" s="206" t="n"/>
      <c r="BP2336" s="144" t="n"/>
      <c r="BQ2336" s="141" t="n"/>
      <c r="BR2336" s="207" t="n"/>
      <c r="BS2336" s="207" t="n"/>
      <c r="BT2336" s="207" t="n"/>
      <c r="BU2336" s="207" t="n"/>
      <c r="BV2336" s="208" t="n"/>
      <c r="BW2336" s="207" t="n"/>
      <c r="BX2336" s="207" t="n"/>
      <c r="BY2336" s="204" t="n"/>
      <c r="BZ2336" s="148" t="n"/>
      <c r="CA2336" s="204" t="n"/>
      <c r="CB2336" s="208" t="n"/>
      <c r="CC2336" s="139" t="n"/>
      <c r="CD2336" s="204" t="n"/>
      <c r="CE2336" s="204" t="n"/>
      <c r="CF2336" s="207" t="n"/>
      <c r="CG2336" s="208" t="n"/>
      <c r="CH2336" s="207" t="n"/>
      <c r="CI2336" s="208" t="n"/>
      <c r="CJ2336" s="204" t="n"/>
      <c r="CK2336" s="208" t="n"/>
      <c r="CL2336" s="208" t="n"/>
      <c r="CM2336" s="208" t="n"/>
      <c r="CN2336" s="78" t="n"/>
      <c r="CO2336" s="209" t="n"/>
      <c r="CP2336" s="204" t="n"/>
      <c r="CQ2336" s="204" t="n"/>
      <c r="CR2336" s="204" t="n"/>
      <c r="CS2336" s="204" t="n"/>
      <c r="CT2336" s="204" t="n"/>
      <c r="CU2336" s="204" t="n"/>
      <c r="CV2336" s="204" t="n"/>
      <c r="CW2336" s="204" t="n"/>
    </row>
    <row r="2337">
      <c r="BF2337" s="78" t="n"/>
      <c r="BG2337" s="78" t="n"/>
      <c r="BH2337" s="78" t="n"/>
      <c r="BI2337" s="78" t="n"/>
      <c r="BJ2337" s="139" t="n"/>
      <c r="BK2337" s="204" t="n"/>
      <c r="BL2337" s="141" t="n"/>
      <c r="BM2337" s="205" t="n"/>
      <c r="BN2337" s="205" t="n"/>
      <c r="BO2337" s="206" t="n"/>
      <c r="BP2337" s="144" t="n"/>
      <c r="BQ2337" s="141" t="n"/>
      <c r="BR2337" s="207" t="n"/>
      <c r="BS2337" s="207" t="n"/>
      <c r="BT2337" s="207" t="n"/>
      <c r="BU2337" s="207" t="n"/>
      <c r="BV2337" s="208" t="n"/>
      <c r="BW2337" s="207" t="n"/>
      <c r="BX2337" s="207" t="n"/>
      <c r="BY2337" s="204" t="n"/>
      <c r="BZ2337" s="148" t="n"/>
      <c r="CA2337" s="204" t="n"/>
      <c r="CB2337" s="208" t="n"/>
      <c r="CC2337" s="139" t="n"/>
      <c r="CD2337" s="204" t="n"/>
      <c r="CE2337" s="204" t="n"/>
      <c r="CF2337" s="207" t="n"/>
      <c r="CG2337" s="208" t="n"/>
      <c r="CH2337" s="207" t="n"/>
      <c r="CI2337" s="208" t="n"/>
      <c r="CJ2337" s="204" t="n"/>
      <c r="CK2337" s="208" t="n"/>
      <c r="CL2337" s="208" t="n"/>
      <c r="CM2337" s="208" t="n"/>
      <c r="CN2337" s="78" t="n"/>
      <c r="CO2337" s="209" t="n"/>
      <c r="CP2337" s="204" t="n"/>
      <c r="CQ2337" s="204" t="n"/>
      <c r="CR2337" s="204" t="n"/>
      <c r="CS2337" s="204" t="n"/>
      <c r="CT2337" s="204" t="n"/>
      <c r="CU2337" s="204" t="n"/>
      <c r="CV2337" s="204" t="n"/>
      <c r="CW2337" s="204" t="n"/>
    </row>
    <row r="2338">
      <c r="BF2338" s="78" t="n"/>
      <c r="BG2338" s="78" t="n"/>
      <c r="BH2338" s="78" t="n"/>
      <c r="BI2338" s="78" t="n"/>
      <c r="BJ2338" s="139" t="n"/>
      <c r="BK2338" s="204" t="n"/>
      <c r="BL2338" s="141" t="n"/>
      <c r="BM2338" s="205" t="n"/>
      <c r="BN2338" s="205" t="n"/>
      <c r="BO2338" s="206" t="n"/>
      <c r="BP2338" s="144" t="n"/>
      <c r="BQ2338" s="141" t="n"/>
      <c r="BR2338" s="207" t="n"/>
      <c r="BS2338" s="207" t="n"/>
      <c r="BT2338" s="207" t="n"/>
      <c r="BU2338" s="207" t="n"/>
      <c r="BV2338" s="208" t="n"/>
      <c r="BW2338" s="207" t="n"/>
      <c r="BX2338" s="207" t="n"/>
      <c r="BY2338" s="204" t="n"/>
      <c r="BZ2338" s="148" t="n"/>
      <c r="CA2338" s="204" t="n"/>
      <c r="CB2338" s="208" t="n"/>
      <c r="CC2338" s="139" t="n"/>
      <c r="CD2338" s="204" t="n"/>
      <c r="CE2338" s="204" t="n"/>
      <c r="CF2338" s="207" t="n"/>
      <c r="CG2338" s="208" t="n"/>
      <c r="CH2338" s="207" t="n"/>
      <c r="CI2338" s="208" t="n"/>
      <c r="CJ2338" s="204" t="n"/>
      <c r="CK2338" s="208" t="n"/>
      <c r="CL2338" s="208" t="n"/>
      <c r="CM2338" s="208" t="n"/>
      <c r="CN2338" s="78" t="n"/>
      <c r="CO2338" s="209" t="n"/>
      <c r="CP2338" s="204" t="n"/>
      <c r="CQ2338" s="204" t="n"/>
      <c r="CR2338" s="204" t="n"/>
      <c r="CS2338" s="204" t="n"/>
      <c r="CT2338" s="204" t="n"/>
      <c r="CU2338" s="204" t="n"/>
      <c r="CV2338" s="204" t="n"/>
      <c r="CW2338" s="204" t="n"/>
    </row>
    <row r="2339">
      <c r="BF2339" s="78" t="n"/>
      <c r="BG2339" s="78" t="n"/>
      <c r="BH2339" s="78" t="n"/>
      <c r="BI2339" s="78" t="n"/>
      <c r="BJ2339" s="139" t="n"/>
      <c r="BK2339" s="204" t="n"/>
      <c r="BL2339" s="141" t="n"/>
      <c r="BM2339" s="205" t="n"/>
      <c r="BN2339" s="205" t="n"/>
      <c r="BO2339" s="206" t="n"/>
      <c r="BP2339" s="144" t="n"/>
      <c r="BQ2339" s="141" t="n"/>
      <c r="BR2339" s="207" t="n"/>
      <c r="BS2339" s="207" t="n"/>
      <c r="BT2339" s="207" t="n"/>
      <c r="BU2339" s="207" t="n"/>
      <c r="BV2339" s="208" t="n"/>
      <c r="BW2339" s="207" t="n"/>
      <c r="BX2339" s="207" t="n"/>
      <c r="BY2339" s="204" t="n"/>
      <c r="BZ2339" s="148" t="n"/>
      <c r="CA2339" s="204" t="n"/>
      <c r="CB2339" s="208" t="n"/>
      <c r="CC2339" s="139" t="n"/>
      <c r="CD2339" s="204" t="n"/>
      <c r="CE2339" s="204" t="n"/>
      <c r="CF2339" s="207" t="n"/>
      <c r="CG2339" s="208" t="n"/>
      <c r="CH2339" s="207" t="n"/>
      <c r="CI2339" s="208" t="n"/>
      <c r="CJ2339" s="204" t="n"/>
      <c r="CK2339" s="208" t="n"/>
      <c r="CL2339" s="208" t="n"/>
      <c r="CM2339" s="208" t="n"/>
      <c r="CN2339" s="78" t="n"/>
      <c r="CO2339" s="209" t="n"/>
      <c r="CP2339" s="204" t="n"/>
      <c r="CQ2339" s="204" t="n"/>
      <c r="CR2339" s="204" t="n"/>
      <c r="CS2339" s="204" t="n"/>
      <c r="CT2339" s="204" t="n"/>
      <c r="CU2339" s="204" t="n"/>
      <c r="CV2339" s="204" t="n"/>
      <c r="CW2339" s="204" t="n"/>
    </row>
    <row r="2340">
      <c r="BF2340" s="78" t="n"/>
      <c r="BG2340" s="78" t="n"/>
      <c r="BH2340" s="78" t="n"/>
      <c r="BI2340" s="78" t="n"/>
      <c r="BJ2340" s="139" t="n"/>
      <c r="BK2340" s="204" t="n"/>
      <c r="BL2340" s="141" t="n"/>
      <c r="BM2340" s="205" t="n"/>
      <c r="BN2340" s="205" t="n"/>
      <c r="BO2340" s="206" t="n"/>
      <c r="BP2340" s="144" t="n"/>
      <c r="BQ2340" s="141" t="n"/>
      <c r="BR2340" s="207" t="n"/>
      <c r="BS2340" s="207" t="n"/>
      <c r="BT2340" s="207" t="n"/>
      <c r="BU2340" s="207" t="n"/>
      <c r="BV2340" s="208" t="n"/>
      <c r="BW2340" s="207" t="n"/>
      <c r="BX2340" s="207" t="n"/>
      <c r="BY2340" s="204" t="n"/>
      <c r="BZ2340" s="148" t="n"/>
      <c r="CA2340" s="204" t="n"/>
      <c r="CB2340" s="208" t="n"/>
      <c r="CC2340" s="139" t="n"/>
      <c r="CD2340" s="204" t="n"/>
      <c r="CE2340" s="204" t="n"/>
      <c r="CF2340" s="207" t="n"/>
      <c r="CG2340" s="208" t="n"/>
      <c r="CH2340" s="207" t="n"/>
      <c r="CI2340" s="208" t="n"/>
      <c r="CJ2340" s="204" t="n"/>
      <c r="CK2340" s="208" t="n"/>
      <c r="CL2340" s="208" t="n"/>
      <c r="CM2340" s="208" t="n"/>
      <c r="CN2340" s="78" t="n"/>
      <c r="CO2340" s="209" t="n"/>
      <c r="CP2340" s="204" t="n"/>
      <c r="CQ2340" s="204" t="n"/>
      <c r="CR2340" s="204" t="n"/>
      <c r="CS2340" s="204" t="n"/>
      <c r="CT2340" s="204" t="n"/>
      <c r="CU2340" s="204" t="n"/>
      <c r="CV2340" s="204" t="n"/>
      <c r="CW2340" s="204" t="n"/>
    </row>
    <row r="2341">
      <c r="AR2341" s="151" t="n"/>
      <c r="BF2341" s="78" t="n"/>
      <c r="BG2341" s="78" t="n"/>
      <c r="BH2341" s="78" t="n"/>
      <c r="BI2341" s="78" t="n"/>
      <c r="BJ2341" s="139" t="n"/>
      <c r="BK2341" s="204" t="n"/>
      <c r="BL2341" s="141" t="n"/>
      <c r="BM2341" s="205" t="n"/>
      <c r="BN2341" s="205" t="n"/>
      <c r="BO2341" s="206" t="n"/>
      <c r="BP2341" s="144" t="n"/>
      <c r="BQ2341" s="141" t="n"/>
      <c r="BR2341" s="207" t="n"/>
      <c r="BS2341" s="207" t="n"/>
      <c r="BT2341" s="207" t="n"/>
      <c r="BU2341" s="207" t="n"/>
      <c r="BV2341" s="208" t="n"/>
      <c r="BW2341" s="207" t="n"/>
      <c r="BX2341" s="207" t="n"/>
      <c r="BY2341" s="204" t="n"/>
      <c r="BZ2341" s="148" t="n"/>
      <c r="CA2341" s="204" t="n"/>
      <c r="CB2341" s="208" t="n"/>
      <c r="CC2341" s="139" t="n"/>
      <c r="CD2341" s="204" t="n"/>
      <c r="CE2341" s="204" t="n"/>
      <c r="CF2341" s="207" t="n"/>
      <c r="CG2341" s="208" t="n"/>
      <c r="CH2341" s="207" t="n"/>
      <c r="CI2341" s="208" t="n"/>
      <c r="CJ2341" s="204" t="n"/>
      <c r="CK2341" s="208" t="n"/>
      <c r="CL2341" s="208" t="n"/>
      <c r="CM2341" s="208" t="n"/>
      <c r="CN2341" s="78" t="n"/>
      <c r="CO2341" s="209" t="n"/>
      <c r="CP2341" s="204" t="n"/>
      <c r="CQ2341" s="204" t="n"/>
      <c r="CR2341" s="204" t="n"/>
      <c r="CS2341" s="204" t="n"/>
      <c r="CT2341" s="204" t="n"/>
      <c r="CU2341" s="204" t="n"/>
      <c r="CV2341" s="204" t="n"/>
      <c r="CW2341" s="204" t="n"/>
    </row>
    <row r="2342">
      <c r="AR2342" s="151" t="n"/>
      <c r="BF2342" s="78" t="n"/>
      <c r="BG2342" s="78" t="n"/>
      <c r="BH2342" s="78" t="n"/>
      <c r="BI2342" s="78" t="n"/>
      <c r="BJ2342" s="139" t="n"/>
      <c r="BK2342" s="204" t="n"/>
      <c r="BL2342" s="141" t="n"/>
      <c r="BM2342" s="205" t="n"/>
      <c r="BN2342" s="205" t="n"/>
      <c r="BO2342" s="206" t="n"/>
      <c r="BP2342" s="144" t="n"/>
      <c r="BQ2342" s="141" t="n"/>
      <c r="BR2342" s="207" t="n"/>
      <c r="BS2342" s="207" t="n"/>
      <c r="BT2342" s="207" t="n"/>
      <c r="BU2342" s="207" t="n"/>
      <c r="BV2342" s="208" t="n"/>
      <c r="BW2342" s="207" t="n"/>
      <c r="BX2342" s="207" t="n"/>
      <c r="BY2342" s="204" t="n"/>
      <c r="BZ2342" s="148" t="n"/>
      <c r="CA2342" s="204" t="n"/>
      <c r="CB2342" s="208" t="n"/>
      <c r="CC2342" s="139" t="n"/>
      <c r="CD2342" s="204" t="n"/>
      <c r="CE2342" s="204" t="n"/>
      <c r="CF2342" s="207" t="n"/>
      <c r="CG2342" s="208" t="n"/>
      <c r="CH2342" s="207" t="n"/>
      <c r="CI2342" s="208" t="n"/>
      <c r="CJ2342" s="204" t="n"/>
      <c r="CK2342" s="208" t="n"/>
      <c r="CL2342" s="208" t="n"/>
      <c r="CM2342" s="208" t="n"/>
      <c r="CN2342" s="78" t="n"/>
      <c r="CO2342" s="209" t="n"/>
      <c r="CP2342" s="204" t="n"/>
      <c r="CQ2342" s="204" t="n"/>
      <c r="CR2342" s="204" t="n"/>
      <c r="CS2342" s="204" t="n"/>
      <c r="CT2342" s="204" t="n"/>
      <c r="CU2342" s="204" t="n"/>
      <c r="CV2342" s="204" t="n"/>
      <c r="CW2342" s="204" t="n"/>
    </row>
    <row r="2343">
      <c r="AR2343" s="151" t="n"/>
      <c r="BF2343" s="78" t="n"/>
      <c r="BG2343" s="78" t="n"/>
      <c r="BH2343" s="78" t="n"/>
      <c r="BI2343" s="78" t="n"/>
      <c r="BJ2343" s="139" t="n"/>
      <c r="BK2343" s="204" t="n"/>
      <c r="BL2343" s="141" t="n"/>
      <c r="BM2343" s="205" t="n"/>
      <c r="BN2343" s="205" t="n"/>
      <c r="BO2343" s="206" t="n"/>
      <c r="BP2343" s="144" t="n"/>
      <c r="BQ2343" s="141" t="n"/>
      <c r="BR2343" s="207" t="n"/>
      <c r="BS2343" s="207" t="n"/>
      <c r="BT2343" s="207" t="n"/>
      <c r="BU2343" s="207" t="n"/>
      <c r="BV2343" s="208" t="n"/>
      <c r="BW2343" s="207" t="n"/>
      <c r="BX2343" s="207" t="n"/>
      <c r="BY2343" s="204" t="n"/>
      <c r="BZ2343" s="148" t="n"/>
      <c r="CA2343" s="204" t="n"/>
      <c r="CB2343" s="208" t="n"/>
      <c r="CC2343" s="139" t="n"/>
      <c r="CD2343" s="204" t="n"/>
      <c r="CE2343" s="204" t="n"/>
      <c r="CF2343" s="207" t="n"/>
      <c r="CG2343" s="208" t="n"/>
      <c r="CH2343" s="207" t="n"/>
      <c r="CI2343" s="208" t="n"/>
      <c r="CJ2343" s="204" t="n"/>
      <c r="CK2343" s="208" t="n"/>
      <c r="CL2343" s="208" t="n"/>
      <c r="CM2343" s="208" t="n"/>
      <c r="CN2343" s="78" t="n"/>
      <c r="CO2343" s="209" t="n"/>
      <c r="CP2343" s="204" t="n"/>
      <c r="CQ2343" s="204" t="n"/>
      <c r="CR2343" s="204" t="n"/>
      <c r="CS2343" s="204" t="n"/>
      <c r="CT2343" s="204" t="n"/>
      <c r="CU2343" s="204" t="n"/>
      <c r="CV2343" s="204" t="n"/>
      <c r="CW2343" s="204" t="n"/>
    </row>
    <row r="2344">
      <c r="AR2344" s="151" t="n"/>
      <c r="BF2344" s="78" t="n"/>
      <c r="BG2344" s="78" t="n"/>
      <c r="BH2344" s="78" t="n"/>
      <c r="BI2344" s="78" t="n"/>
      <c r="BJ2344" s="139" t="n"/>
      <c r="BK2344" s="204" t="n"/>
      <c r="BL2344" s="141" t="n"/>
      <c r="BM2344" s="205" t="n"/>
      <c r="BN2344" s="205" t="n"/>
      <c r="BO2344" s="206" t="n"/>
      <c r="BP2344" s="144" t="n"/>
      <c r="BQ2344" s="141" t="n"/>
      <c r="BR2344" s="207" t="n"/>
      <c r="BS2344" s="207" t="n"/>
      <c r="BT2344" s="207" t="n"/>
      <c r="BU2344" s="207" t="n"/>
      <c r="BV2344" s="208" t="n"/>
      <c r="BW2344" s="207" t="n"/>
      <c r="BX2344" s="207" t="n"/>
      <c r="BY2344" s="204" t="n"/>
      <c r="BZ2344" s="148" t="n"/>
      <c r="CA2344" s="204" t="n"/>
      <c r="CB2344" s="208" t="n"/>
      <c r="CC2344" s="139" t="n"/>
      <c r="CD2344" s="204" t="n"/>
      <c r="CE2344" s="204" t="n"/>
      <c r="CF2344" s="207" t="n"/>
      <c r="CG2344" s="208" t="n"/>
      <c r="CH2344" s="207" t="n"/>
      <c r="CI2344" s="208" t="n"/>
      <c r="CJ2344" s="204" t="n"/>
      <c r="CK2344" s="208" t="n"/>
      <c r="CL2344" s="208" t="n"/>
      <c r="CM2344" s="208" t="n"/>
      <c r="CN2344" s="78" t="n"/>
      <c r="CO2344" s="209" t="n"/>
      <c r="CP2344" s="204" t="n"/>
      <c r="CQ2344" s="204" t="n"/>
      <c r="CR2344" s="204" t="n"/>
      <c r="CS2344" s="204" t="n"/>
      <c r="CT2344" s="204" t="n"/>
      <c r="CU2344" s="204" t="n"/>
      <c r="CV2344" s="204" t="n"/>
      <c r="CW2344" s="204" t="n"/>
    </row>
    <row r="2345">
      <c r="AR2345" s="151" t="n"/>
      <c r="BF2345" s="78" t="n"/>
      <c r="BG2345" s="78" t="n"/>
      <c r="BH2345" s="78" t="n"/>
      <c r="BI2345" s="78" t="n"/>
      <c r="BJ2345" s="139" t="n"/>
      <c r="BK2345" s="204" t="n"/>
      <c r="BL2345" s="141" t="n"/>
      <c r="BM2345" s="205" t="n"/>
      <c r="BN2345" s="205" t="n"/>
      <c r="BO2345" s="206" t="n"/>
      <c r="BP2345" s="144" t="n"/>
      <c r="BQ2345" s="141" t="n"/>
      <c r="BR2345" s="207" t="n"/>
      <c r="BS2345" s="207" t="n"/>
      <c r="BT2345" s="207" t="n"/>
      <c r="BU2345" s="207" t="n"/>
      <c r="BV2345" s="208" t="n"/>
      <c r="BW2345" s="207" t="n"/>
      <c r="BX2345" s="207" t="n"/>
      <c r="BY2345" s="204" t="n"/>
      <c r="BZ2345" s="148" t="n"/>
      <c r="CA2345" s="204" t="n"/>
      <c r="CB2345" s="208" t="n"/>
      <c r="CC2345" s="139" t="n"/>
      <c r="CD2345" s="204" t="n"/>
      <c r="CE2345" s="204" t="n"/>
      <c r="CF2345" s="207" t="n"/>
      <c r="CG2345" s="208" t="n"/>
      <c r="CH2345" s="207" t="n"/>
      <c r="CI2345" s="208" t="n"/>
      <c r="CJ2345" s="204" t="n"/>
      <c r="CK2345" s="208" t="n"/>
      <c r="CL2345" s="208" t="n"/>
      <c r="CM2345" s="208" t="n"/>
      <c r="CN2345" s="78" t="n"/>
      <c r="CO2345" s="209" t="n"/>
      <c r="CP2345" s="204" t="n"/>
      <c r="CQ2345" s="204" t="n"/>
      <c r="CR2345" s="204" t="n"/>
      <c r="CS2345" s="204" t="n"/>
      <c r="CT2345" s="204" t="n"/>
      <c r="CU2345" s="204" t="n"/>
      <c r="CV2345" s="204" t="n"/>
      <c r="CW2345" s="204" t="n"/>
    </row>
    <row r="2346">
      <c r="AR2346" s="151" t="n"/>
      <c r="BF2346" s="78" t="n"/>
      <c r="BG2346" s="78" t="n"/>
      <c r="BH2346" s="78" t="n"/>
      <c r="BI2346" s="78" t="n"/>
      <c r="BJ2346" s="139" t="n"/>
      <c r="BK2346" s="204" t="n"/>
      <c r="BL2346" s="141" t="n"/>
      <c r="BM2346" s="205" t="n"/>
      <c r="BN2346" s="205" t="n"/>
      <c r="BO2346" s="206" t="n"/>
      <c r="BP2346" s="144" t="n"/>
      <c r="BQ2346" s="141" t="n"/>
      <c r="BR2346" s="207" t="n"/>
      <c r="BS2346" s="207" t="n"/>
      <c r="BT2346" s="207" t="n"/>
      <c r="BU2346" s="207" t="n"/>
      <c r="BV2346" s="208" t="n"/>
      <c r="BW2346" s="207" t="n"/>
      <c r="BX2346" s="207" t="n"/>
      <c r="BY2346" s="204" t="n"/>
      <c r="BZ2346" s="148" t="n"/>
      <c r="CA2346" s="204" t="n"/>
      <c r="CB2346" s="208" t="n"/>
      <c r="CC2346" s="139" t="n"/>
      <c r="CD2346" s="204" t="n"/>
      <c r="CE2346" s="204" t="n"/>
      <c r="CF2346" s="207" t="n"/>
      <c r="CG2346" s="208" t="n"/>
      <c r="CH2346" s="207" t="n"/>
      <c r="CI2346" s="208" t="n"/>
      <c r="CJ2346" s="204" t="n"/>
      <c r="CK2346" s="208" t="n"/>
      <c r="CL2346" s="208" t="n"/>
      <c r="CM2346" s="208" t="n"/>
      <c r="CN2346" s="78" t="n"/>
      <c r="CO2346" s="209" t="n"/>
      <c r="CP2346" s="204" t="n"/>
      <c r="CQ2346" s="204" t="n"/>
      <c r="CR2346" s="204" t="n"/>
      <c r="CS2346" s="204" t="n"/>
      <c r="CT2346" s="204" t="n"/>
      <c r="CU2346" s="204" t="n"/>
      <c r="CV2346" s="204" t="n"/>
      <c r="CW2346" s="204" t="n"/>
    </row>
    <row r="2347">
      <c r="BF2347" s="78" t="n"/>
      <c r="BG2347" s="78" t="n"/>
      <c r="BH2347" s="78" t="n"/>
      <c r="BI2347" s="78" t="n"/>
      <c r="BJ2347" s="139" t="n"/>
      <c r="BK2347" s="204" t="n"/>
      <c r="BL2347" s="141" t="n"/>
      <c r="BM2347" s="205" t="n"/>
      <c r="BN2347" s="205" t="n"/>
      <c r="BO2347" s="206" t="n"/>
      <c r="BP2347" s="144" t="n"/>
      <c r="BQ2347" s="141" t="n"/>
      <c r="BR2347" s="207" t="n"/>
      <c r="BS2347" s="207" t="n"/>
      <c r="BT2347" s="207" t="n"/>
      <c r="BU2347" s="207" t="n"/>
      <c r="BV2347" s="208" t="n"/>
      <c r="BW2347" s="207" t="n"/>
      <c r="BX2347" s="207" t="n"/>
      <c r="BY2347" s="204" t="n"/>
      <c r="BZ2347" s="148" t="n"/>
      <c r="CA2347" s="204" t="n"/>
      <c r="CB2347" s="208" t="n"/>
      <c r="CC2347" s="139" t="n"/>
      <c r="CD2347" s="204" t="n"/>
      <c r="CE2347" s="204" t="n"/>
      <c r="CF2347" s="207" t="n"/>
      <c r="CG2347" s="208" t="n"/>
      <c r="CH2347" s="207" t="n"/>
      <c r="CI2347" s="208" t="n"/>
      <c r="CJ2347" s="204" t="n"/>
      <c r="CK2347" s="208" t="n"/>
      <c r="CL2347" s="208" t="n"/>
      <c r="CM2347" s="208" t="n"/>
      <c r="CN2347" s="78" t="n"/>
      <c r="CO2347" s="209" t="n"/>
      <c r="CP2347" s="204" t="n"/>
      <c r="CQ2347" s="204" t="n"/>
      <c r="CR2347" s="204" t="n"/>
      <c r="CS2347" s="204" t="n"/>
      <c r="CT2347" s="204" t="n"/>
      <c r="CU2347" s="204" t="n"/>
      <c r="CV2347" s="204" t="n"/>
      <c r="CW2347" s="204" t="n"/>
    </row>
    <row r="2348">
      <c r="BF2348" s="78" t="n"/>
      <c r="BG2348" s="78" t="n"/>
      <c r="BH2348" s="78" t="n"/>
      <c r="BI2348" s="78" t="n"/>
      <c r="BJ2348" s="139" t="n"/>
      <c r="BK2348" s="204" t="n"/>
      <c r="BL2348" s="141" t="n"/>
      <c r="BM2348" s="205" t="n"/>
      <c r="BN2348" s="205" t="n"/>
      <c r="BO2348" s="206" t="n"/>
      <c r="BP2348" s="144" t="n"/>
      <c r="BQ2348" s="141" t="n"/>
      <c r="BR2348" s="207" t="n"/>
      <c r="BS2348" s="207" t="n"/>
      <c r="BT2348" s="207" t="n"/>
      <c r="BU2348" s="207" t="n"/>
      <c r="BV2348" s="208" t="n"/>
      <c r="BW2348" s="207" t="n"/>
      <c r="BX2348" s="207" t="n"/>
      <c r="BY2348" s="204" t="n"/>
      <c r="BZ2348" s="148" t="n"/>
      <c r="CA2348" s="204" t="n"/>
      <c r="CB2348" s="208" t="n"/>
      <c r="CC2348" s="139" t="n"/>
      <c r="CD2348" s="204" t="n"/>
      <c r="CE2348" s="204" t="n"/>
      <c r="CF2348" s="207" t="n"/>
      <c r="CG2348" s="208" t="n"/>
      <c r="CH2348" s="207" t="n"/>
      <c r="CI2348" s="208" t="n"/>
      <c r="CJ2348" s="204" t="n"/>
      <c r="CK2348" s="208" t="n"/>
      <c r="CL2348" s="208" t="n"/>
      <c r="CM2348" s="208" t="n"/>
      <c r="CN2348" s="78" t="n"/>
      <c r="CO2348" s="209" t="n"/>
      <c r="CP2348" s="204" t="n"/>
      <c r="CQ2348" s="204" t="n"/>
      <c r="CR2348" s="204" t="n"/>
      <c r="CS2348" s="204" t="n"/>
      <c r="CT2348" s="204" t="n"/>
      <c r="CU2348" s="204" t="n"/>
      <c r="CV2348" s="204" t="n"/>
      <c r="CW2348" s="204" t="n"/>
    </row>
    <row r="2349">
      <c r="BF2349" s="78" t="n"/>
      <c r="BG2349" s="78" t="n"/>
      <c r="BH2349" s="78" t="n"/>
      <c r="BI2349" s="78" t="n"/>
      <c r="BJ2349" s="139" t="n"/>
      <c r="BK2349" s="204" t="n"/>
      <c r="BL2349" s="141" t="n"/>
      <c r="BM2349" s="205" t="n"/>
      <c r="BN2349" s="205" t="n"/>
      <c r="BO2349" s="206" t="n"/>
      <c r="BP2349" s="144" t="n"/>
      <c r="BQ2349" s="141" t="n"/>
      <c r="BR2349" s="207" t="n"/>
      <c r="BS2349" s="207" t="n"/>
      <c r="BT2349" s="207" t="n"/>
      <c r="BU2349" s="207" t="n"/>
      <c r="BV2349" s="208" t="n"/>
      <c r="BW2349" s="207" t="n"/>
      <c r="BX2349" s="207" t="n"/>
      <c r="BY2349" s="204" t="n"/>
      <c r="BZ2349" s="148" t="n"/>
      <c r="CA2349" s="204" t="n"/>
      <c r="CB2349" s="208" t="n"/>
      <c r="CC2349" s="139" t="n"/>
      <c r="CD2349" s="204" t="n"/>
      <c r="CE2349" s="204" t="n"/>
      <c r="CF2349" s="207" t="n"/>
      <c r="CG2349" s="208" t="n"/>
      <c r="CH2349" s="207" t="n"/>
      <c r="CI2349" s="208" t="n"/>
      <c r="CJ2349" s="204" t="n"/>
      <c r="CK2349" s="208" t="n"/>
      <c r="CL2349" s="208" t="n"/>
      <c r="CM2349" s="208" t="n"/>
      <c r="CN2349" s="78" t="n"/>
      <c r="CO2349" s="209" t="n"/>
      <c r="CP2349" s="204" t="n"/>
      <c r="CQ2349" s="204" t="n"/>
      <c r="CR2349" s="204" t="n"/>
      <c r="CS2349" s="204" t="n"/>
      <c r="CT2349" s="204" t="n"/>
      <c r="CU2349" s="204" t="n"/>
      <c r="CV2349" s="204" t="n"/>
      <c r="CW2349" s="204" t="n"/>
    </row>
    <row r="2350">
      <c r="BF2350" s="78" t="n"/>
      <c r="BG2350" s="78" t="n"/>
      <c r="BH2350" s="78" t="n"/>
      <c r="BI2350" s="78" t="n"/>
      <c r="BJ2350" s="139" t="n"/>
      <c r="BK2350" s="204" t="n"/>
      <c r="BL2350" s="141" t="n"/>
      <c r="BM2350" s="205" t="n"/>
      <c r="BN2350" s="205" t="n"/>
      <c r="BO2350" s="206" t="n"/>
      <c r="BP2350" s="144" t="n"/>
      <c r="BQ2350" s="141" t="n"/>
      <c r="BR2350" s="207" t="n"/>
      <c r="BS2350" s="207" t="n"/>
      <c r="BT2350" s="207" t="n"/>
      <c r="BU2350" s="207" t="n"/>
      <c r="BV2350" s="208" t="n"/>
      <c r="BW2350" s="207" t="n"/>
      <c r="BX2350" s="207" t="n"/>
      <c r="BY2350" s="204" t="n"/>
      <c r="BZ2350" s="148" t="n"/>
      <c r="CA2350" s="204" t="n"/>
      <c r="CB2350" s="208" t="n"/>
      <c r="CC2350" s="139" t="n"/>
      <c r="CD2350" s="204" t="n"/>
      <c r="CE2350" s="204" t="n"/>
      <c r="CF2350" s="207" t="n"/>
      <c r="CG2350" s="208" t="n"/>
      <c r="CH2350" s="207" t="n"/>
      <c r="CI2350" s="208" t="n"/>
      <c r="CJ2350" s="204" t="n"/>
      <c r="CK2350" s="208" t="n"/>
      <c r="CL2350" s="208" t="n"/>
      <c r="CM2350" s="208" t="n"/>
      <c r="CN2350" s="78" t="n"/>
      <c r="CO2350" s="209" t="n"/>
      <c r="CP2350" s="204" t="n"/>
      <c r="CQ2350" s="204" t="n"/>
      <c r="CR2350" s="204" t="n"/>
      <c r="CS2350" s="204" t="n"/>
      <c r="CT2350" s="204" t="n"/>
      <c r="CU2350" s="204" t="n"/>
      <c r="CV2350" s="204" t="n"/>
      <c r="CW2350" s="204" t="n"/>
    </row>
    <row r="2351">
      <c r="AR2351" s="151" t="n"/>
      <c r="BF2351" s="78" t="n"/>
      <c r="BG2351" s="78" t="n"/>
      <c r="BH2351" s="78" t="n"/>
      <c r="BI2351" s="78" t="n"/>
      <c r="BJ2351" s="139" t="n"/>
      <c r="BK2351" s="204" t="n"/>
      <c r="BL2351" s="141" t="n"/>
      <c r="BM2351" s="205" t="n"/>
      <c r="BN2351" s="205" t="n"/>
      <c r="BO2351" s="206" t="n"/>
      <c r="BP2351" s="144" t="n"/>
      <c r="BQ2351" s="141" t="n"/>
      <c r="BR2351" s="207" t="n"/>
      <c r="BS2351" s="207" t="n"/>
      <c r="BT2351" s="207" t="n"/>
      <c r="BU2351" s="207" t="n"/>
      <c r="BV2351" s="208" t="n"/>
      <c r="BW2351" s="207" t="n"/>
      <c r="BX2351" s="207" t="n"/>
      <c r="BY2351" s="204" t="n"/>
      <c r="BZ2351" s="148" t="n"/>
      <c r="CA2351" s="204" t="n"/>
      <c r="CB2351" s="208" t="n"/>
      <c r="CC2351" s="139" t="n"/>
      <c r="CD2351" s="204" t="n"/>
      <c r="CE2351" s="204" t="n"/>
      <c r="CF2351" s="207" t="n"/>
      <c r="CG2351" s="208" t="n"/>
      <c r="CH2351" s="207" t="n"/>
      <c r="CI2351" s="208" t="n"/>
      <c r="CJ2351" s="204" t="n"/>
      <c r="CK2351" s="208" t="n"/>
      <c r="CL2351" s="208" t="n"/>
      <c r="CM2351" s="208" t="n"/>
      <c r="CN2351" s="78" t="n"/>
      <c r="CO2351" s="209" t="n"/>
      <c r="CP2351" s="204" t="n"/>
      <c r="CQ2351" s="204" t="n"/>
      <c r="CR2351" s="204" t="n"/>
      <c r="CS2351" s="204" t="n"/>
      <c r="CT2351" s="204" t="n"/>
      <c r="CU2351" s="204" t="n"/>
      <c r="CV2351" s="204" t="n"/>
      <c r="CW2351" s="204" t="n"/>
    </row>
    <row r="2352">
      <c r="BF2352" s="78" t="n"/>
      <c r="BG2352" s="78" t="n"/>
      <c r="BH2352" s="78" t="n"/>
      <c r="BI2352" s="78" t="n"/>
      <c r="BJ2352" s="139" t="n"/>
      <c r="BK2352" s="204" t="n"/>
      <c r="BL2352" s="141" t="n"/>
      <c r="BM2352" s="205" t="n"/>
      <c r="BN2352" s="205" t="n"/>
      <c r="BO2352" s="206" t="n"/>
      <c r="BP2352" s="144" t="n"/>
      <c r="BQ2352" s="141" t="n"/>
      <c r="BR2352" s="207" t="n"/>
      <c r="BS2352" s="207" t="n"/>
      <c r="BT2352" s="207" t="n"/>
      <c r="BU2352" s="207" t="n"/>
      <c r="BV2352" s="208" t="n"/>
      <c r="BW2352" s="207" t="n"/>
      <c r="BX2352" s="207" t="n"/>
      <c r="BY2352" s="204" t="n"/>
      <c r="BZ2352" s="148" t="n"/>
      <c r="CA2352" s="204" t="n"/>
      <c r="CB2352" s="208" t="n"/>
      <c r="CC2352" s="139" t="n"/>
      <c r="CD2352" s="204" t="n"/>
      <c r="CE2352" s="204" t="n"/>
      <c r="CF2352" s="207" t="n"/>
      <c r="CG2352" s="208" t="n"/>
      <c r="CH2352" s="207" t="n"/>
      <c r="CI2352" s="208" t="n"/>
      <c r="CJ2352" s="204" t="n"/>
      <c r="CK2352" s="208" t="n"/>
      <c r="CL2352" s="208" t="n"/>
      <c r="CM2352" s="208" t="n"/>
      <c r="CN2352" s="78" t="n"/>
      <c r="CO2352" s="209" t="n"/>
      <c r="CP2352" s="204" t="n"/>
      <c r="CQ2352" s="204" t="n"/>
      <c r="CR2352" s="204" t="n"/>
      <c r="CS2352" s="204" t="n"/>
      <c r="CT2352" s="204" t="n"/>
      <c r="CU2352" s="204" t="n"/>
      <c r="CV2352" s="204" t="n"/>
      <c r="CW2352" s="204" t="n"/>
    </row>
    <row r="2353">
      <c r="AR2353" s="151" t="n"/>
      <c r="BF2353" s="78" t="n"/>
      <c r="BG2353" s="78" t="n"/>
      <c r="BH2353" s="78" t="n"/>
      <c r="BI2353" s="78" t="n"/>
      <c r="BJ2353" s="139" t="n"/>
      <c r="BK2353" s="204" t="n"/>
      <c r="BL2353" s="141" t="n"/>
      <c r="BM2353" s="205" t="n"/>
      <c r="BN2353" s="205" t="n"/>
      <c r="BO2353" s="206" t="n"/>
      <c r="BP2353" s="144" t="n"/>
      <c r="BQ2353" s="141" t="n"/>
      <c r="BR2353" s="207" t="n"/>
      <c r="BS2353" s="207" t="n"/>
      <c r="BT2353" s="207" t="n"/>
      <c r="BU2353" s="207" t="n"/>
      <c r="BV2353" s="208" t="n"/>
      <c r="BW2353" s="207" t="n"/>
      <c r="BX2353" s="207" t="n"/>
      <c r="BY2353" s="204" t="n"/>
      <c r="BZ2353" s="148" t="n"/>
      <c r="CA2353" s="204" t="n"/>
      <c r="CB2353" s="208" t="n"/>
      <c r="CC2353" s="139" t="n"/>
      <c r="CD2353" s="204" t="n"/>
      <c r="CE2353" s="204" t="n"/>
      <c r="CF2353" s="207" t="n"/>
      <c r="CG2353" s="208" t="n"/>
      <c r="CH2353" s="207" t="n"/>
      <c r="CI2353" s="208" t="n"/>
      <c r="CJ2353" s="204" t="n"/>
      <c r="CK2353" s="208" t="n"/>
      <c r="CL2353" s="208" t="n"/>
      <c r="CM2353" s="208" t="n"/>
      <c r="CN2353" s="78" t="n"/>
      <c r="CO2353" s="209" t="n"/>
      <c r="CP2353" s="204" t="n"/>
      <c r="CQ2353" s="204" t="n"/>
      <c r="CR2353" s="204" t="n"/>
      <c r="CS2353" s="204" t="n"/>
      <c r="CT2353" s="204" t="n"/>
      <c r="CU2353" s="204" t="n"/>
      <c r="CV2353" s="204" t="n"/>
      <c r="CW2353" s="204" t="n"/>
    </row>
    <row r="2354">
      <c r="BF2354" s="78" t="n"/>
      <c r="BG2354" s="78" t="n"/>
      <c r="BH2354" s="78" t="n"/>
      <c r="BI2354" s="78" t="n"/>
      <c r="BJ2354" s="139" t="n"/>
      <c r="BK2354" s="204" t="n"/>
      <c r="BL2354" s="141" t="n"/>
      <c r="BM2354" s="205" t="n"/>
      <c r="BN2354" s="205" t="n"/>
      <c r="BO2354" s="206" t="n"/>
      <c r="BP2354" s="144" t="n"/>
      <c r="BQ2354" s="141" t="n"/>
      <c r="BR2354" s="207" t="n"/>
      <c r="BS2354" s="207" t="n"/>
      <c r="BT2354" s="207" t="n"/>
      <c r="BU2354" s="207" t="n"/>
      <c r="BV2354" s="208" t="n"/>
      <c r="BW2354" s="207" t="n"/>
      <c r="BX2354" s="207" t="n"/>
      <c r="BY2354" s="204" t="n"/>
      <c r="BZ2354" s="148" t="n"/>
      <c r="CA2354" s="204" t="n"/>
      <c r="CB2354" s="208" t="n"/>
      <c r="CC2354" s="139" t="n"/>
      <c r="CD2354" s="204" t="n"/>
      <c r="CE2354" s="204" t="n"/>
      <c r="CF2354" s="207" t="n"/>
      <c r="CG2354" s="208" t="n"/>
      <c r="CH2354" s="207" t="n"/>
      <c r="CI2354" s="208" t="n"/>
      <c r="CJ2354" s="204" t="n"/>
      <c r="CK2354" s="208" t="n"/>
      <c r="CL2354" s="208" t="n"/>
      <c r="CM2354" s="208" t="n"/>
      <c r="CN2354" s="78" t="n"/>
      <c r="CO2354" s="209" t="n"/>
      <c r="CP2354" s="204" t="n"/>
      <c r="CQ2354" s="204" t="n"/>
      <c r="CR2354" s="204" t="n"/>
      <c r="CS2354" s="204" t="n"/>
      <c r="CT2354" s="204" t="n"/>
      <c r="CU2354" s="204" t="n"/>
      <c r="CV2354" s="204" t="n"/>
      <c r="CW2354" s="204" t="n"/>
    </row>
    <row r="2355">
      <c r="BF2355" s="78" t="n"/>
      <c r="BG2355" s="78" t="n"/>
      <c r="BH2355" s="78" t="n"/>
      <c r="BI2355" s="78" t="n"/>
      <c r="BJ2355" s="139" t="n"/>
      <c r="BK2355" s="204" t="n"/>
      <c r="BL2355" s="141" t="n"/>
      <c r="BM2355" s="205" t="n"/>
      <c r="BN2355" s="205" t="n"/>
      <c r="BO2355" s="206" t="n"/>
      <c r="BP2355" s="144" t="n"/>
      <c r="BQ2355" s="141" t="n"/>
      <c r="BR2355" s="207" t="n"/>
      <c r="BS2355" s="207" t="n"/>
      <c r="BT2355" s="207" t="n"/>
      <c r="BU2355" s="207" t="n"/>
      <c r="BV2355" s="208" t="n"/>
      <c r="BW2355" s="207" t="n"/>
      <c r="BX2355" s="207" t="n"/>
      <c r="BY2355" s="204" t="n"/>
      <c r="BZ2355" s="148" t="n"/>
      <c r="CA2355" s="204" t="n"/>
      <c r="CB2355" s="208" t="n"/>
      <c r="CC2355" s="139" t="n"/>
      <c r="CD2355" s="204" t="n"/>
      <c r="CE2355" s="204" t="n"/>
      <c r="CF2355" s="207" t="n"/>
      <c r="CG2355" s="208" t="n"/>
      <c r="CH2355" s="207" t="n"/>
      <c r="CI2355" s="208" t="n"/>
      <c r="CJ2355" s="204" t="n"/>
      <c r="CK2355" s="208" t="n"/>
      <c r="CL2355" s="208" t="n"/>
      <c r="CM2355" s="208" t="n"/>
      <c r="CN2355" s="78" t="n"/>
      <c r="CO2355" s="209" t="n"/>
      <c r="CP2355" s="204" t="n"/>
      <c r="CQ2355" s="204" t="n"/>
      <c r="CR2355" s="204" t="n"/>
      <c r="CS2355" s="204" t="n"/>
      <c r="CT2355" s="204" t="n"/>
      <c r="CU2355" s="204" t="n"/>
      <c r="CV2355" s="204" t="n"/>
      <c r="CW2355" s="204" t="n"/>
    </row>
    <row r="2356">
      <c r="BF2356" s="78" t="n"/>
      <c r="BG2356" s="78" t="n"/>
      <c r="BH2356" s="78" t="n"/>
      <c r="BI2356" s="78" t="n"/>
      <c r="BJ2356" s="139" t="n"/>
      <c r="BK2356" s="204" t="n"/>
      <c r="BL2356" s="141" t="n"/>
      <c r="BM2356" s="205" t="n"/>
      <c r="BN2356" s="205" t="n"/>
      <c r="BO2356" s="206" t="n"/>
      <c r="BP2356" s="144" t="n"/>
      <c r="BQ2356" s="141" t="n"/>
      <c r="BR2356" s="207" t="n"/>
      <c r="BS2356" s="207" t="n"/>
      <c r="BT2356" s="207" t="n"/>
      <c r="BU2356" s="207" t="n"/>
      <c r="BV2356" s="208" t="n"/>
      <c r="BW2356" s="207" t="n"/>
      <c r="BX2356" s="207" t="n"/>
      <c r="BY2356" s="204" t="n"/>
      <c r="BZ2356" s="148" t="n"/>
      <c r="CA2356" s="204" t="n"/>
      <c r="CB2356" s="208" t="n"/>
      <c r="CC2356" s="139" t="n"/>
      <c r="CD2356" s="204" t="n"/>
      <c r="CE2356" s="204" t="n"/>
      <c r="CF2356" s="207" t="n"/>
      <c r="CG2356" s="208" t="n"/>
      <c r="CH2356" s="207" t="n"/>
      <c r="CI2356" s="208" t="n"/>
      <c r="CJ2356" s="204" t="n"/>
      <c r="CK2356" s="208" t="n"/>
      <c r="CL2356" s="208" t="n"/>
      <c r="CM2356" s="208" t="n"/>
      <c r="CN2356" s="78" t="n"/>
      <c r="CO2356" s="209" t="n"/>
      <c r="CP2356" s="204" t="n"/>
      <c r="CQ2356" s="204" t="n"/>
      <c r="CR2356" s="204" t="n"/>
      <c r="CS2356" s="204" t="n"/>
      <c r="CT2356" s="204" t="n"/>
      <c r="CU2356" s="204" t="n"/>
      <c r="CV2356" s="204" t="n"/>
      <c r="CW2356" s="204" t="n"/>
    </row>
    <row r="2357">
      <c r="BF2357" s="78" t="n"/>
      <c r="BG2357" s="78" t="n"/>
      <c r="BH2357" s="78" t="n"/>
      <c r="BI2357" s="78" t="n"/>
      <c r="BJ2357" s="139" t="n"/>
      <c r="BK2357" s="204" t="n"/>
      <c r="BL2357" s="141" t="n"/>
      <c r="BM2357" s="205" t="n"/>
      <c r="BN2357" s="205" t="n"/>
      <c r="BO2357" s="206" t="n"/>
      <c r="BP2357" s="144" t="n"/>
      <c r="BQ2357" s="141" t="n"/>
      <c r="BR2357" s="207" t="n"/>
      <c r="BS2357" s="207" t="n"/>
      <c r="BT2357" s="207" t="n"/>
      <c r="BU2357" s="207" t="n"/>
      <c r="BV2357" s="208" t="n"/>
      <c r="BW2357" s="207" t="n"/>
      <c r="BX2357" s="207" t="n"/>
      <c r="BY2357" s="204" t="n"/>
      <c r="BZ2357" s="148" t="n"/>
      <c r="CA2357" s="204" t="n"/>
      <c r="CB2357" s="208" t="n"/>
      <c r="CC2357" s="139" t="n"/>
      <c r="CD2357" s="204" t="n"/>
      <c r="CE2357" s="204" t="n"/>
      <c r="CF2357" s="207" t="n"/>
      <c r="CG2357" s="208" t="n"/>
      <c r="CH2357" s="207" t="n"/>
      <c r="CI2357" s="208" t="n"/>
      <c r="CJ2357" s="204" t="n"/>
      <c r="CK2357" s="208" t="n"/>
      <c r="CL2357" s="208" t="n"/>
      <c r="CM2357" s="208" t="n"/>
      <c r="CN2357" s="78" t="n"/>
      <c r="CO2357" s="209" t="n"/>
      <c r="CP2357" s="204" t="n"/>
      <c r="CQ2357" s="204" t="n"/>
      <c r="CR2357" s="204" t="n"/>
      <c r="CS2357" s="204" t="n"/>
      <c r="CT2357" s="204" t="n"/>
      <c r="CU2357" s="204" t="n"/>
      <c r="CV2357" s="204" t="n"/>
      <c r="CW2357" s="204" t="n"/>
    </row>
    <row r="2358">
      <c r="BF2358" s="78" t="n"/>
      <c r="BG2358" s="78" t="n"/>
      <c r="BH2358" s="78" t="n"/>
      <c r="BI2358" s="78" t="n"/>
      <c r="BJ2358" s="139" t="n"/>
      <c r="BK2358" s="204" t="n"/>
      <c r="BL2358" s="141" t="n"/>
      <c r="BM2358" s="205" t="n"/>
      <c r="BN2358" s="205" t="n"/>
      <c r="BO2358" s="206" t="n"/>
      <c r="BP2358" s="144" t="n"/>
      <c r="BQ2358" s="141" t="n"/>
      <c r="BR2358" s="207" t="n"/>
      <c r="BS2358" s="207" t="n"/>
      <c r="BT2358" s="207" t="n"/>
      <c r="BU2358" s="207" t="n"/>
      <c r="BV2358" s="208" t="n"/>
      <c r="BW2358" s="207" t="n"/>
      <c r="BX2358" s="207" t="n"/>
      <c r="BY2358" s="204" t="n"/>
      <c r="BZ2358" s="148" t="n"/>
      <c r="CA2358" s="204" t="n"/>
      <c r="CB2358" s="208" t="n"/>
      <c r="CC2358" s="139" t="n"/>
      <c r="CD2358" s="204" t="n"/>
      <c r="CE2358" s="204" t="n"/>
      <c r="CF2358" s="207" t="n"/>
      <c r="CG2358" s="208" t="n"/>
      <c r="CH2358" s="207" t="n"/>
      <c r="CI2358" s="208" t="n"/>
      <c r="CJ2358" s="204" t="n"/>
      <c r="CK2358" s="208" t="n"/>
      <c r="CL2358" s="208" t="n"/>
      <c r="CM2358" s="208" t="n"/>
      <c r="CN2358" s="78" t="n"/>
      <c r="CO2358" s="209" t="n"/>
      <c r="CP2358" s="204" t="n"/>
      <c r="CQ2358" s="204" t="n"/>
      <c r="CR2358" s="204" t="n"/>
      <c r="CS2358" s="204" t="n"/>
      <c r="CT2358" s="204" t="n"/>
      <c r="CU2358" s="204" t="n"/>
      <c r="CV2358" s="204" t="n"/>
      <c r="CW2358" s="204" t="n"/>
    </row>
    <row r="2359">
      <c r="BF2359" s="78" t="n"/>
      <c r="BG2359" s="78" t="n"/>
      <c r="BH2359" s="78" t="n"/>
      <c r="BI2359" s="78" t="n"/>
      <c r="BJ2359" s="139" t="n"/>
      <c r="BK2359" s="204" t="n"/>
      <c r="BL2359" s="141" t="n"/>
      <c r="BM2359" s="205" t="n"/>
      <c r="BN2359" s="205" t="n"/>
      <c r="BO2359" s="206" t="n"/>
      <c r="BP2359" s="144" t="n"/>
      <c r="BQ2359" s="141" t="n"/>
      <c r="BR2359" s="207" t="n"/>
      <c r="BS2359" s="207" t="n"/>
      <c r="BT2359" s="207" t="n"/>
      <c r="BU2359" s="207" t="n"/>
      <c r="BV2359" s="208" t="n"/>
      <c r="BW2359" s="207" t="n"/>
      <c r="BX2359" s="207" t="n"/>
      <c r="BY2359" s="204" t="n"/>
      <c r="BZ2359" s="148" t="n"/>
      <c r="CA2359" s="204" t="n"/>
      <c r="CB2359" s="208" t="n"/>
      <c r="CC2359" s="139" t="n"/>
      <c r="CD2359" s="204" t="n"/>
      <c r="CE2359" s="204" t="n"/>
      <c r="CF2359" s="207" t="n"/>
      <c r="CG2359" s="208" t="n"/>
      <c r="CH2359" s="207" t="n"/>
      <c r="CI2359" s="208" t="n"/>
      <c r="CJ2359" s="204" t="n"/>
      <c r="CK2359" s="208" t="n"/>
      <c r="CL2359" s="208" t="n"/>
      <c r="CM2359" s="208" t="n"/>
      <c r="CN2359" s="78" t="n"/>
      <c r="CO2359" s="209" t="n"/>
      <c r="CP2359" s="204" t="n"/>
      <c r="CQ2359" s="204" t="n"/>
      <c r="CR2359" s="204" t="n"/>
      <c r="CS2359" s="204" t="n"/>
      <c r="CT2359" s="204" t="n"/>
      <c r="CU2359" s="204" t="n"/>
      <c r="CV2359" s="204" t="n"/>
      <c r="CW2359" s="204" t="n"/>
    </row>
    <row r="2360">
      <c r="BF2360" s="78" t="n"/>
      <c r="BG2360" s="78" t="n"/>
      <c r="BH2360" s="78" t="n"/>
      <c r="BI2360" s="78" t="n"/>
      <c r="BJ2360" s="139" t="n"/>
      <c r="BK2360" s="204" t="n"/>
      <c r="BL2360" s="141" t="n"/>
      <c r="BM2360" s="205" t="n"/>
      <c r="BN2360" s="205" t="n"/>
      <c r="BO2360" s="206" t="n"/>
      <c r="BP2360" s="144" t="n"/>
      <c r="BQ2360" s="141" t="n"/>
      <c r="BR2360" s="207" t="n"/>
      <c r="BS2360" s="207" t="n"/>
      <c r="BT2360" s="207" t="n"/>
      <c r="BU2360" s="207" t="n"/>
      <c r="BV2360" s="208" t="n"/>
      <c r="BW2360" s="207" t="n"/>
      <c r="BX2360" s="207" t="n"/>
      <c r="BY2360" s="204" t="n"/>
      <c r="BZ2360" s="148" t="n"/>
      <c r="CA2360" s="204" t="n"/>
      <c r="CB2360" s="208" t="n"/>
      <c r="CC2360" s="139" t="n"/>
      <c r="CD2360" s="204" t="n"/>
      <c r="CE2360" s="204" t="n"/>
      <c r="CF2360" s="207" t="n"/>
      <c r="CG2360" s="208" t="n"/>
      <c r="CH2360" s="207" t="n"/>
      <c r="CI2360" s="208" t="n"/>
      <c r="CJ2360" s="204" t="n"/>
      <c r="CK2360" s="208" t="n"/>
      <c r="CL2360" s="208" t="n"/>
      <c r="CM2360" s="208" t="n"/>
      <c r="CN2360" s="78" t="n"/>
      <c r="CO2360" s="209" t="n"/>
      <c r="CP2360" s="204" t="n"/>
      <c r="CQ2360" s="204" t="n"/>
      <c r="CR2360" s="204" t="n"/>
      <c r="CS2360" s="204" t="n"/>
      <c r="CT2360" s="204" t="n"/>
      <c r="CU2360" s="204" t="n"/>
      <c r="CV2360" s="204" t="n"/>
      <c r="CW2360" s="204" t="n"/>
    </row>
    <row r="2361">
      <c r="BF2361" s="78" t="n"/>
      <c r="BG2361" s="78" t="n"/>
      <c r="BH2361" s="78" t="n"/>
      <c r="BI2361" s="78" t="n"/>
      <c r="BJ2361" s="139" t="n"/>
      <c r="BK2361" s="204" t="n"/>
      <c r="BL2361" s="141" t="n"/>
      <c r="BM2361" s="205" t="n"/>
      <c r="BN2361" s="205" t="n"/>
      <c r="BO2361" s="206" t="n"/>
      <c r="BP2361" s="144" t="n"/>
      <c r="BQ2361" s="141" t="n"/>
      <c r="BR2361" s="207" t="n"/>
      <c r="BS2361" s="207" t="n"/>
      <c r="BT2361" s="207" t="n"/>
      <c r="BU2361" s="207" t="n"/>
      <c r="BV2361" s="208" t="n"/>
      <c r="BW2361" s="207" t="n"/>
      <c r="BX2361" s="207" t="n"/>
      <c r="BY2361" s="204" t="n"/>
      <c r="BZ2361" s="148" t="n"/>
      <c r="CA2361" s="204" t="n"/>
      <c r="CB2361" s="208" t="n"/>
      <c r="CC2361" s="139" t="n"/>
      <c r="CD2361" s="204" t="n"/>
      <c r="CE2361" s="204" t="n"/>
      <c r="CF2361" s="207" t="n"/>
      <c r="CG2361" s="208" t="n"/>
      <c r="CH2361" s="207" t="n"/>
      <c r="CI2361" s="208" t="n"/>
      <c r="CJ2361" s="204" t="n"/>
      <c r="CK2361" s="208" t="n"/>
      <c r="CL2361" s="208" t="n"/>
      <c r="CM2361" s="208" t="n"/>
      <c r="CN2361" s="78" t="n"/>
      <c r="CO2361" s="209" t="n"/>
      <c r="CP2361" s="204" t="n"/>
      <c r="CQ2361" s="204" t="n"/>
      <c r="CR2361" s="204" t="n"/>
      <c r="CS2361" s="204" t="n"/>
      <c r="CT2361" s="204" t="n"/>
      <c r="CU2361" s="204" t="n"/>
      <c r="CV2361" s="204" t="n"/>
      <c r="CW2361" s="204" t="n"/>
    </row>
    <row r="2362">
      <c r="BF2362" s="78" t="n"/>
      <c r="BG2362" s="78" t="n"/>
      <c r="BH2362" s="78" t="n"/>
      <c r="BI2362" s="78" t="n"/>
      <c r="BJ2362" s="139" t="n"/>
      <c r="BK2362" s="204" t="n"/>
      <c r="BL2362" s="141" t="n"/>
      <c r="BM2362" s="205" t="n"/>
      <c r="BN2362" s="205" t="n"/>
      <c r="BO2362" s="206" t="n"/>
      <c r="BP2362" s="144" t="n"/>
      <c r="BQ2362" s="141" t="n"/>
      <c r="BR2362" s="207" t="n"/>
      <c r="BS2362" s="207" t="n"/>
      <c r="BT2362" s="207" t="n"/>
      <c r="BU2362" s="207" t="n"/>
      <c r="BV2362" s="208" t="n"/>
      <c r="BW2362" s="207" t="n"/>
      <c r="BX2362" s="207" t="n"/>
      <c r="BY2362" s="204" t="n"/>
      <c r="BZ2362" s="148" t="n"/>
      <c r="CA2362" s="204" t="n"/>
      <c r="CB2362" s="208" t="n"/>
      <c r="CC2362" s="139" t="n"/>
      <c r="CD2362" s="204" t="n"/>
      <c r="CE2362" s="204" t="n"/>
      <c r="CF2362" s="207" t="n"/>
      <c r="CG2362" s="208" t="n"/>
      <c r="CH2362" s="207" t="n"/>
      <c r="CI2362" s="208" t="n"/>
      <c r="CJ2362" s="204" t="n"/>
      <c r="CK2362" s="208" t="n"/>
      <c r="CL2362" s="208" t="n"/>
      <c r="CM2362" s="208" t="n"/>
      <c r="CN2362" s="78" t="n"/>
      <c r="CO2362" s="209" t="n"/>
      <c r="CP2362" s="204" t="n"/>
      <c r="CQ2362" s="204" t="n"/>
      <c r="CR2362" s="204" t="n"/>
      <c r="CS2362" s="204" t="n"/>
      <c r="CT2362" s="204" t="n"/>
      <c r="CU2362" s="204" t="n"/>
      <c r="CV2362" s="204" t="n"/>
      <c r="CW2362" s="204" t="n"/>
    </row>
    <row r="2363">
      <c r="BF2363" s="78" t="n"/>
      <c r="BG2363" s="78" t="n"/>
      <c r="BH2363" s="78" t="n"/>
      <c r="BI2363" s="78" t="n"/>
      <c r="BJ2363" s="139" t="n"/>
      <c r="BK2363" s="204" t="n"/>
      <c r="BL2363" s="141" t="n"/>
      <c r="BM2363" s="205" t="n"/>
      <c r="BN2363" s="205" t="n"/>
      <c r="BO2363" s="206" t="n"/>
      <c r="BP2363" s="144" t="n"/>
      <c r="BQ2363" s="141" t="n"/>
      <c r="BR2363" s="207" t="n"/>
      <c r="BS2363" s="207" t="n"/>
      <c r="BT2363" s="207" t="n"/>
      <c r="BU2363" s="207" t="n"/>
      <c r="BV2363" s="208" t="n"/>
      <c r="BW2363" s="207" t="n"/>
      <c r="BX2363" s="207" t="n"/>
      <c r="BY2363" s="204" t="n"/>
      <c r="BZ2363" s="148" t="n"/>
      <c r="CA2363" s="204" t="n"/>
      <c r="CB2363" s="208" t="n"/>
      <c r="CC2363" s="139" t="n"/>
      <c r="CD2363" s="204" t="n"/>
      <c r="CE2363" s="204" t="n"/>
      <c r="CF2363" s="207" t="n"/>
      <c r="CG2363" s="208" t="n"/>
      <c r="CH2363" s="207" t="n"/>
      <c r="CI2363" s="208" t="n"/>
      <c r="CJ2363" s="204" t="n"/>
      <c r="CK2363" s="208" t="n"/>
      <c r="CL2363" s="208" t="n"/>
      <c r="CM2363" s="208" t="n"/>
      <c r="CN2363" s="78" t="n"/>
      <c r="CO2363" s="209" t="n"/>
      <c r="CP2363" s="204" t="n"/>
      <c r="CQ2363" s="204" t="n"/>
      <c r="CR2363" s="204" t="n"/>
      <c r="CS2363" s="204" t="n"/>
      <c r="CT2363" s="204" t="n"/>
      <c r="CU2363" s="204" t="n"/>
      <c r="CV2363" s="204" t="n"/>
      <c r="CW2363" s="204" t="n"/>
    </row>
    <row r="2364">
      <c r="BF2364" s="78" t="n"/>
      <c r="BG2364" s="78" t="n"/>
      <c r="BH2364" s="78" t="n"/>
      <c r="BI2364" s="78" t="n"/>
      <c r="BJ2364" s="139" t="n"/>
      <c r="BK2364" s="204" t="n"/>
      <c r="BL2364" s="141" t="n"/>
      <c r="BM2364" s="205" t="n"/>
      <c r="BN2364" s="205" t="n"/>
      <c r="BO2364" s="206" t="n"/>
      <c r="BP2364" s="144" t="n"/>
      <c r="BQ2364" s="141" t="n"/>
      <c r="BR2364" s="207" t="n"/>
      <c r="BS2364" s="207" t="n"/>
      <c r="BT2364" s="207" t="n"/>
      <c r="BU2364" s="207" t="n"/>
      <c r="BV2364" s="208" t="n"/>
      <c r="BW2364" s="207" t="n"/>
      <c r="BX2364" s="207" t="n"/>
      <c r="BY2364" s="204" t="n"/>
      <c r="BZ2364" s="148" t="n"/>
      <c r="CA2364" s="204" t="n"/>
      <c r="CB2364" s="208" t="n"/>
      <c r="CC2364" s="139" t="n"/>
      <c r="CD2364" s="204" t="n"/>
      <c r="CE2364" s="204" t="n"/>
      <c r="CF2364" s="207" t="n"/>
      <c r="CG2364" s="208" t="n"/>
      <c r="CH2364" s="207" t="n"/>
      <c r="CI2364" s="208" t="n"/>
      <c r="CJ2364" s="204" t="n"/>
      <c r="CK2364" s="208" t="n"/>
      <c r="CL2364" s="208" t="n"/>
      <c r="CM2364" s="208" t="n"/>
      <c r="CN2364" s="78" t="n"/>
      <c r="CO2364" s="209" t="n"/>
      <c r="CP2364" s="204" t="n"/>
      <c r="CQ2364" s="204" t="n"/>
      <c r="CR2364" s="204" t="n"/>
      <c r="CS2364" s="204" t="n"/>
      <c r="CT2364" s="204" t="n"/>
      <c r="CU2364" s="204" t="n"/>
      <c r="CV2364" s="204" t="n"/>
      <c r="CW2364" s="204" t="n"/>
    </row>
    <row r="2365">
      <c r="BF2365" s="78" t="n"/>
      <c r="BG2365" s="78" t="n"/>
      <c r="BH2365" s="78" t="n"/>
      <c r="BI2365" s="78" t="n"/>
      <c r="BJ2365" s="139" t="n"/>
      <c r="BK2365" s="204" t="n"/>
      <c r="BL2365" s="141" t="n"/>
      <c r="BM2365" s="205" t="n"/>
      <c r="BN2365" s="205" t="n"/>
      <c r="BO2365" s="206" t="n"/>
      <c r="BP2365" s="144" t="n"/>
      <c r="BQ2365" s="141" t="n"/>
      <c r="BR2365" s="207" t="n"/>
      <c r="BS2365" s="207" t="n"/>
      <c r="BT2365" s="207" t="n"/>
      <c r="BU2365" s="207" t="n"/>
      <c r="BV2365" s="208" t="n"/>
      <c r="BW2365" s="207" t="n"/>
      <c r="BX2365" s="207" t="n"/>
      <c r="BY2365" s="204" t="n"/>
      <c r="BZ2365" s="148" t="n"/>
      <c r="CA2365" s="204" t="n"/>
      <c r="CB2365" s="208" t="n"/>
      <c r="CC2365" s="139" t="n"/>
      <c r="CD2365" s="204" t="n"/>
      <c r="CE2365" s="204" t="n"/>
      <c r="CF2365" s="207" t="n"/>
      <c r="CG2365" s="208" t="n"/>
      <c r="CH2365" s="207" t="n"/>
      <c r="CI2365" s="208" t="n"/>
      <c r="CJ2365" s="204" t="n"/>
      <c r="CK2365" s="208" t="n"/>
      <c r="CL2365" s="208" t="n"/>
      <c r="CM2365" s="208" t="n"/>
      <c r="CN2365" s="78" t="n"/>
      <c r="CO2365" s="209" t="n"/>
      <c r="CP2365" s="204" t="n"/>
      <c r="CQ2365" s="204" t="n"/>
      <c r="CR2365" s="204" t="n"/>
      <c r="CS2365" s="204" t="n"/>
      <c r="CT2365" s="204" t="n"/>
      <c r="CU2365" s="204" t="n"/>
      <c r="CV2365" s="204" t="n"/>
      <c r="CW2365" s="204" t="n"/>
    </row>
    <row r="2366">
      <c r="BF2366" s="78" t="n"/>
      <c r="BG2366" s="78" t="n"/>
      <c r="BH2366" s="78" t="n"/>
      <c r="BI2366" s="78" t="n"/>
      <c r="BJ2366" s="139" t="n"/>
      <c r="BK2366" s="204" t="n"/>
      <c r="BL2366" s="141" t="n"/>
      <c r="BM2366" s="205" t="n"/>
      <c r="BN2366" s="205" t="n"/>
      <c r="BO2366" s="206" t="n"/>
      <c r="BP2366" s="144" t="n"/>
      <c r="BQ2366" s="141" t="n"/>
      <c r="BR2366" s="207" t="n"/>
      <c r="BS2366" s="207" t="n"/>
      <c r="BT2366" s="207" t="n"/>
      <c r="BU2366" s="207" t="n"/>
      <c r="BV2366" s="208" t="n"/>
      <c r="BW2366" s="207" t="n"/>
      <c r="BX2366" s="207" t="n"/>
      <c r="BY2366" s="204" t="n"/>
      <c r="BZ2366" s="148" t="n"/>
      <c r="CA2366" s="204" t="n"/>
      <c r="CB2366" s="208" t="n"/>
      <c r="CC2366" s="139" t="n"/>
      <c r="CD2366" s="204" t="n"/>
      <c r="CE2366" s="204" t="n"/>
      <c r="CF2366" s="207" t="n"/>
      <c r="CG2366" s="208" t="n"/>
      <c r="CH2366" s="207" t="n"/>
      <c r="CI2366" s="208" t="n"/>
      <c r="CJ2366" s="204" t="n"/>
      <c r="CK2366" s="208" t="n"/>
      <c r="CL2366" s="208" t="n"/>
      <c r="CM2366" s="208" t="n"/>
      <c r="CN2366" s="78" t="n"/>
      <c r="CO2366" s="209" t="n"/>
      <c r="CP2366" s="204" t="n"/>
      <c r="CQ2366" s="204" t="n"/>
      <c r="CR2366" s="204" t="n"/>
      <c r="CS2366" s="204" t="n"/>
      <c r="CT2366" s="204" t="n"/>
      <c r="CU2366" s="204" t="n"/>
      <c r="CV2366" s="204" t="n"/>
      <c r="CW2366" s="204" t="n"/>
    </row>
    <row r="2367">
      <c r="BF2367" s="78" t="n"/>
      <c r="BG2367" s="78" t="n"/>
      <c r="BH2367" s="78" t="n"/>
      <c r="BI2367" s="78" t="n"/>
      <c r="BJ2367" s="139" t="n"/>
      <c r="BK2367" s="204" t="n"/>
      <c r="BL2367" s="141" t="n"/>
      <c r="BM2367" s="205" t="n"/>
      <c r="BN2367" s="205" t="n"/>
      <c r="BO2367" s="206" t="n"/>
      <c r="BP2367" s="144" t="n"/>
      <c r="BQ2367" s="141" t="n"/>
      <c r="BR2367" s="207" t="n"/>
      <c r="BS2367" s="207" t="n"/>
      <c r="BT2367" s="207" t="n"/>
      <c r="BU2367" s="207" t="n"/>
      <c r="BV2367" s="208" t="n"/>
      <c r="BW2367" s="207" t="n"/>
      <c r="BX2367" s="207" t="n"/>
      <c r="BY2367" s="204" t="n"/>
      <c r="BZ2367" s="148" t="n"/>
      <c r="CA2367" s="204" t="n"/>
      <c r="CB2367" s="208" t="n"/>
      <c r="CC2367" s="139" t="n"/>
      <c r="CD2367" s="204" t="n"/>
      <c r="CE2367" s="204" t="n"/>
      <c r="CF2367" s="207" t="n"/>
      <c r="CG2367" s="208" t="n"/>
      <c r="CH2367" s="207" t="n"/>
      <c r="CI2367" s="208" t="n"/>
      <c r="CJ2367" s="204" t="n"/>
      <c r="CK2367" s="208" t="n"/>
      <c r="CL2367" s="208" t="n"/>
      <c r="CM2367" s="208" t="n"/>
      <c r="CN2367" s="78" t="n"/>
      <c r="CO2367" s="209" t="n"/>
      <c r="CP2367" s="204" t="n"/>
      <c r="CQ2367" s="204" t="n"/>
      <c r="CR2367" s="204" t="n"/>
      <c r="CS2367" s="204" t="n"/>
      <c r="CT2367" s="204" t="n"/>
      <c r="CU2367" s="204" t="n"/>
      <c r="CV2367" s="204" t="n"/>
      <c r="CW2367" s="204" t="n"/>
    </row>
    <row r="2368">
      <c r="BF2368" s="78" t="n"/>
      <c r="BG2368" s="78" t="n"/>
      <c r="BH2368" s="78" t="n"/>
      <c r="BI2368" s="78" t="n"/>
      <c r="BJ2368" s="139" t="n"/>
      <c r="BK2368" s="204" t="n"/>
      <c r="BL2368" s="141" t="n"/>
      <c r="BM2368" s="205" t="n"/>
      <c r="BN2368" s="205" t="n"/>
      <c r="BO2368" s="206" t="n"/>
      <c r="BP2368" s="144" t="n"/>
      <c r="BQ2368" s="141" t="n"/>
      <c r="BR2368" s="207" t="n"/>
      <c r="BS2368" s="207" t="n"/>
      <c r="BT2368" s="207" t="n"/>
      <c r="BU2368" s="207" t="n"/>
      <c r="BV2368" s="208" t="n"/>
      <c r="BW2368" s="207" t="n"/>
      <c r="BX2368" s="207" t="n"/>
      <c r="BY2368" s="204" t="n"/>
      <c r="BZ2368" s="148" t="n"/>
      <c r="CA2368" s="204" t="n"/>
      <c r="CB2368" s="208" t="n"/>
      <c r="CC2368" s="139" t="n"/>
      <c r="CD2368" s="204" t="n"/>
      <c r="CE2368" s="204" t="n"/>
      <c r="CF2368" s="207" t="n"/>
      <c r="CG2368" s="208" t="n"/>
      <c r="CH2368" s="207" t="n"/>
      <c r="CI2368" s="208" t="n"/>
      <c r="CJ2368" s="204" t="n"/>
      <c r="CK2368" s="208" t="n"/>
      <c r="CL2368" s="208" t="n"/>
      <c r="CM2368" s="208" t="n"/>
      <c r="CN2368" s="78" t="n"/>
      <c r="CO2368" s="209" t="n"/>
      <c r="CP2368" s="204" t="n"/>
      <c r="CQ2368" s="204" t="n"/>
      <c r="CR2368" s="204" t="n"/>
      <c r="CS2368" s="204" t="n"/>
      <c r="CT2368" s="204" t="n"/>
      <c r="CU2368" s="204" t="n"/>
      <c r="CV2368" s="204" t="n"/>
      <c r="CW2368" s="204" t="n"/>
    </row>
    <row r="2369">
      <c r="BF2369" s="78" t="n"/>
      <c r="BG2369" s="78" t="n"/>
      <c r="BH2369" s="78" t="n"/>
      <c r="BI2369" s="78" t="n"/>
      <c r="BJ2369" s="139" t="n"/>
      <c r="BK2369" s="204" t="n"/>
      <c r="BL2369" s="141" t="n"/>
      <c r="BM2369" s="205" t="n"/>
      <c r="BN2369" s="205" t="n"/>
      <c r="BO2369" s="206" t="n"/>
      <c r="BP2369" s="144" t="n"/>
      <c r="BQ2369" s="141" t="n"/>
      <c r="BR2369" s="207" t="n"/>
      <c r="BS2369" s="207" t="n"/>
      <c r="BT2369" s="207" t="n"/>
      <c r="BU2369" s="207" t="n"/>
      <c r="BV2369" s="208" t="n"/>
      <c r="BW2369" s="207" t="n"/>
      <c r="BX2369" s="207" t="n"/>
      <c r="BY2369" s="204" t="n"/>
      <c r="BZ2369" s="148" t="n"/>
      <c r="CA2369" s="204" t="n"/>
      <c r="CB2369" s="208" t="n"/>
      <c r="CC2369" s="139" t="n"/>
      <c r="CD2369" s="204" t="n"/>
      <c r="CE2369" s="204" t="n"/>
      <c r="CF2369" s="207" t="n"/>
      <c r="CG2369" s="208" t="n"/>
      <c r="CH2369" s="207" t="n"/>
      <c r="CI2369" s="208" t="n"/>
      <c r="CJ2369" s="204" t="n"/>
      <c r="CK2369" s="208" t="n"/>
      <c r="CL2369" s="208" t="n"/>
      <c r="CM2369" s="208" t="n"/>
      <c r="CN2369" s="78" t="n"/>
      <c r="CO2369" s="209" t="n"/>
      <c r="CP2369" s="204" t="n"/>
      <c r="CQ2369" s="204" t="n"/>
      <c r="CR2369" s="204" t="n"/>
      <c r="CS2369" s="204" t="n"/>
      <c r="CT2369" s="204" t="n"/>
      <c r="CU2369" s="204" t="n"/>
      <c r="CV2369" s="204" t="n"/>
      <c r="CW2369" s="204" t="n"/>
    </row>
    <row r="2370">
      <c r="BF2370" s="78" t="n"/>
      <c r="BG2370" s="78" t="n"/>
      <c r="BH2370" s="78" t="n"/>
      <c r="BI2370" s="78" t="n"/>
      <c r="BJ2370" s="139" t="n"/>
      <c r="BK2370" s="204" t="n"/>
      <c r="BL2370" s="141" t="n"/>
      <c r="BM2370" s="205" t="n"/>
      <c r="BN2370" s="205" t="n"/>
      <c r="BO2370" s="206" t="n"/>
      <c r="BP2370" s="144" t="n"/>
      <c r="BQ2370" s="141" t="n"/>
      <c r="BR2370" s="207" t="n"/>
      <c r="BS2370" s="207" t="n"/>
      <c r="BT2370" s="207" t="n"/>
      <c r="BU2370" s="207" t="n"/>
      <c r="BV2370" s="208" t="n"/>
      <c r="BW2370" s="207" t="n"/>
      <c r="BX2370" s="207" t="n"/>
      <c r="BY2370" s="204" t="n"/>
      <c r="BZ2370" s="148" t="n"/>
      <c r="CA2370" s="204" t="n"/>
      <c r="CB2370" s="208" t="n"/>
      <c r="CC2370" s="139" t="n"/>
      <c r="CD2370" s="204" t="n"/>
      <c r="CE2370" s="204" t="n"/>
      <c r="CF2370" s="207" t="n"/>
      <c r="CG2370" s="208" t="n"/>
      <c r="CH2370" s="207" t="n"/>
      <c r="CI2370" s="208" t="n"/>
      <c r="CJ2370" s="204" t="n"/>
      <c r="CK2370" s="208" t="n"/>
      <c r="CL2370" s="208" t="n"/>
      <c r="CM2370" s="208" t="n"/>
      <c r="CN2370" s="78" t="n"/>
      <c r="CO2370" s="209" t="n"/>
      <c r="CP2370" s="204" t="n"/>
      <c r="CQ2370" s="204" t="n"/>
      <c r="CR2370" s="204" t="n"/>
      <c r="CS2370" s="204" t="n"/>
      <c r="CT2370" s="204" t="n"/>
      <c r="CU2370" s="204" t="n"/>
      <c r="CV2370" s="204" t="n"/>
      <c r="CW2370" s="204" t="n"/>
    </row>
    <row r="2371">
      <c r="BF2371" s="78" t="n"/>
      <c r="BG2371" s="78" t="n"/>
      <c r="BH2371" s="78" t="n"/>
      <c r="BI2371" s="78" t="n"/>
      <c r="BJ2371" s="139" t="n"/>
      <c r="BK2371" s="204" t="n"/>
      <c r="BL2371" s="141" t="n"/>
      <c r="BM2371" s="205" t="n"/>
      <c r="BN2371" s="205" t="n"/>
      <c r="BO2371" s="206" t="n"/>
      <c r="BP2371" s="144" t="n"/>
      <c r="BQ2371" s="141" t="n"/>
      <c r="BR2371" s="207" t="n"/>
      <c r="BS2371" s="207" t="n"/>
      <c r="BT2371" s="207" t="n"/>
      <c r="BU2371" s="207" t="n"/>
      <c r="BV2371" s="208" t="n"/>
      <c r="BW2371" s="207" t="n"/>
      <c r="BX2371" s="207" t="n"/>
      <c r="BY2371" s="204" t="n"/>
      <c r="BZ2371" s="148" t="n"/>
      <c r="CA2371" s="204" t="n"/>
      <c r="CB2371" s="208" t="n"/>
      <c r="CC2371" s="139" t="n"/>
      <c r="CD2371" s="204" t="n"/>
      <c r="CE2371" s="204" t="n"/>
      <c r="CF2371" s="207" t="n"/>
      <c r="CG2371" s="208" t="n"/>
      <c r="CH2371" s="207" t="n"/>
      <c r="CI2371" s="208" t="n"/>
      <c r="CJ2371" s="204" t="n"/>
      <c r="CK2371" s="208" t="n"/>
      <c r="CL2371" s="208" t="n"/>
      <c r="CM2371" s="208" t="n"/>
      <c r="CN2371" s="78" t="n"/>
      <c r="CO2371" s="209" t="n"/>
      <c r="CP2371" s="204" t="n"/>
      <c r="CQ2371" s="204" t="n"/>
      <c r="CR2371" s="204" t="n"/>
      <c r="CS2371" s="204" t="n"/>
      <c r="CT2371" s="204" t="n"/>
      <c r="CU2371" s="204" t="n"/>
      <c r="CV2371" s="204" t="n"/>
      <c r="CW2371" s="204" t="n"/>
    </row>
    <row r="2372">
      <c r="BF2372" s="78" t="n"/>
      <c r="BG2372" s="78" t="n"/>
      <c r="BH2372" s="78" t="n"/>
      <c r="BI2372" s="78" t="n"/>
      <c r="BJ2372" s="139" t="n"/>
      <c r="BK2372" s="204" t="n"/>
      <c r="BL2372" s="141" t="n"/>
      <c r="BM2372" s="205" t="n"/>
      <c r="BN2372" s="205" t="n"/>
      <c r="BO2372" s="206" t="n"/>
      <c r="BP2372" s="144" t="n"/>
      <c r="BQ2372" s="141" t="n"/>
      <c r="BR2372" s="207" t="n"/>
      <c r="BS2372" s="207" t="n"/>
      <c r="BT2372" s="207" t="n"/>
      <c r="BU2372" s="207" t="n"/>
      <c r="BV2372" s="208" t="n"/>
      <c r="BW2372" s="207" t="n"/>
      <c r="BX2372" s="207" t="n"/>
      <c r="BY2372" s="204" t="n"/>
      <c r="BZ2372" s="148" t="n"/>
      <c r="CA2372" s="204" t="n"/>
      <c r="CB2372" s="208" t="n"/>
      <c r="CC2372" s="139" t="n"/>
      <c r="CD2372" s="204" t="n"/>
      <c r="CE2372" s="204" t="n"/>
      <c r="CF2372" s="207" t="n"/>
      <c r="CG2372" s="208" t="n"/>
      <c r="CH2372" s="207" t="n"/>
      <c r="CI2372" s="208" t="n"/>
      <c r="CJ2372" s="204" t="n"/>
      <c r="CK2372" s="208" t="n"/>
      <c r="CL2372" s="208" t="n"/>
      <c r="CM2372" s="208" t="n"/>
      <c r="CN2372" s="78" t="n"/>
      <c r="CO2372" s="209" t="n"/>
      <c r="CP2372" s="204" t="n"/>
      <c r="CQ2372" s="204" t="n"/>
      <c r="CR2372" s="204" t="n"/>
      <c r="CS2372" s="204" t="n"/>
      <c r="CT2372" s="204" t="n"/>
      <c r="CU2372" s="204" t="n"/>
      <c r="CV2372" s="204" t="n"/>
      <c r="CW2372" s="204" t="n"/>
    </row>
    <row r="2373">
      <c r="BF2373" s="78" t="n"/>
      <c r="BG2373" s="78" t="n"/>
      <c r="BH2373" s="78" t="n"/>
      <c r="BI2373" s="78" t="n"/>
      <c r="BJ2373" s="139" t="n"/>
      <c r="BK2373" s="204" t="n"/>
      <c r="BL2373" s="141" t="n"/>
      <c r="BM2373" s="205" t="n"/>
      <c r="BN2373" s="205" t="n"/>
      <c r="BO2373" s="206" t="n"/>
      <c r="BP2373" s="144" t="n"/>
      <c r="BQ2373" s="141" t="n"/>
      <c r="BR2373" s="207" t="n"/>
      <c r="BS2373" s="207" t="n"/>
      <c r="BT2373" s="207" t="n"/>
      <c r="BU2373" s="207" t="n"/>
      <c r="BV2373" s="208" t="n"/>
      <c r="BW2373" s="207" t="n"/>
      <c r="BX2373" s="207" t="n"/>
      <c r="BY2373" s="204" t="n"/>
      <c r="BZ2373" s="148" t="n"/>
      <c r="CA2373" s="204" t="n"/>
      <c r="CB2373" s="208" t="n"/>
      <c r="CC2373" s="139" t="n"/>
      <c r="CD2373" s="204" t="n"/>
      <c r="CE2373" s="204" t="n"/>
      <c r="CF2373" s="207" t="n"/>
      <c r="CG2373" s="208" t="n"/>
      <c r="CH2373" s="207" t="n"/>
      <c r="CI2373" s="208" t="n"/>
      <c r="CJ2373" s="204" t="n"/>
      <c r="CK2373" s="208" t="n"/>
      <c r="CL2373" s="208" t="n"/>
      <c r="CM2373" s="208" t="n"/>
      <c r="CN2373" s="78" t="n"/>
      <c r="CO2373" s="209" t="n"/>
      <c r="CP2373" s="204" t="n"/>
      <c r="CQ2373" s="204" t="n"/>
      <c r="CR2373" s="204" t="n"/>
      <c r="CS2373" s="204" t="n"/>
      <c r="CT2373" s="204" t="n"/>
      <c r="CU2373" s="204" t="n"/>
      <c r="CV2373" s="204" t="n"/>
      <c r="CW2373" s="204" t="n"/>
    </row>
    <row r="2374">
      <c r="BF2374" s="78" t="n"/>
      <c r="BG2374" s="78" t="n"/>
      <c r="BH2374" s="78" t="n"/>
      <c r="BI2374" s="78" t="n"/>
      <c r="BJ2374" s="139" t="n"/>
      <c r="BK2374" s="204" t="n"/>
      <c r="BL2374" s="141" t="n"/>
      <c r="BM2374" s="205" t="n"/>
      <c r="BN2374" s="205" t="n"/>
      <c r="BO2374" s="206" t="n"/>
      <c r="BP2374" s="144" t="n"/>
      <c r="BQ2374" s="141" t="n"/>
      <c r="BR2374" s="207" t="n"/>
      <c r="BS2374" s="207" t="n"/>
      <c r="BT2374" s="207" t="n"/>
      <c r="BU2374" s="207" t="n"/>
      <c r="BV2374" s="208" t="n"/>
      <c r="BW2374" s="207" t="n"/>
      <c r="BX2374" s="207" t="n"/>
      <c r="BY2374" s="204" t="n"/>
      <c r="BZ2374" s="148" t="n"/>
      <c r="CA2374" s="204" t="n"/>
      <c r="CB2374" s="208" t="n"/>
      <c r="CC2374" s="139" t="n"/>
      <c r="CD2374" s="204" t="n"/>
      <c r="CE2374" s="204" t="n"/>
      <c r="CF2374" s="207" t="n"/>
      <c r="CG2374" s="208" t="n"/>
      <c r="CH2374" s="207" t="n"/>
      <c r="CI2374" s="208" t="n"/>
      <c r="CJ2374" s="204" t="n"/>
      <c r="CK2374" s="208" t="n"/>
      <c r="CL2374" s="208" t="n"/>
      <c r="CM2374" s="208" t="n"/>
      <c r="CN2374" s="78" t="n"/>
      <c r="CO2374" s="209" t="n"/>
      <c r="CP2374" s="204" t="n"/>
      <c r="CQ2374" s="204" t="n"/>
      <c r="CR2374" s="204" t="n"/>
      <c r="CS2374" s="204" t="n"/>
      <c r="CT2374" s="204" t="n"/>
      <c r="CU2374" s="204" t="n"/>
      <c r="CV2374" s="204" t="n"/>
      <c r="CW2374" s="204" t="n"/>
    </row>
    <row r="2375">
      <c r="BF2375" s="78" t="n"/>
      <c r="BG2375" s="78" t="n"/>
      <c r="BH2375" s="78" t="n"/>
      <c r="BI2375" s="78" t="n"/>
      <c r="BJ2375" s="139" t="n"/>
      <c r="BK2375" s="204" t="n"/>
      <c r="BL2375" s="141" t="n"/>
      <c r="BM2375" s="205" t="n"/>
      <c r="BN2375" s="205" t="n"/>
      <c r="BO2375" s="206" t="n"/>
      <c r="BP2375" s="144" t="n"/>
      <c r="BQ2375" s="141" t="n"/>
      <c r="BR2375" s="207" t="n"/>
      <c r="BS2375" s="207" t="n"/>
      <c r="BT2375" s="207" t="n"/>
      <c r="BU2375" s="207" t="n"/>
      <c r="BV2375" s="208" t="n"/>
      <c r="BW2375" s="207" t="n"/>
      <c r="BX2375" s="207" t="n"/>
      <c r="BY2375" s="204" t="n"/>
      <c r="BZ2375" s="148" t="n"/>
      <c r="CA2375" s="204" t="n"/>
      <c r="CB2375" s="208" t="n"/>
      <c r="CC2375" s="139" t="n"/>
      <c r="CD2375" s="204" t="n"/>
      <c r="CE2375" s="204" t="n"/>
      <c r="CF2375" s="207" t="n"/>
      <c r="CG2375" s="208" t="n"/>
      <c r="CH2375" s="207" t="n"/>
      <c r="CI2375" s="208" t="n"/>
      <c r="CJ2375" s="204" t="n"/>
      <c r="CK2375" s="208" t="n"/>
      <c r="CL2375" s="208" t="n"/>
      <c r="CM2375" s="208" t="n"/>
      <c r="CN2375" s="78" t="n"/>
      <c r="CO2375" s="209" t="n"/>
      <c r="CP2375" s="204" t="n"/>
      <c r="CQ2375" s="204" t="n"/>
      <c r="CR2375" s="204" t="n"/>
      <c r="CS2375" s="204" t="n"/>
      <c r="CT2375" s="204" t="n"/>
      <c r="CU2375" s="204" t="n"/>
      <c r="CV2375" s="204" t="n"/>
      <c r="CW2375" s="204" t="n"/>
    </row>
    <row r="2376">
      <c r="BF2376" s="78" t="n"/>
      <c r="BG2376" s="78" t="n"/>
      <c r="BH2376" s="78" t="n"/>
      <c r="BI2376" s="78" t="n"/>
      <c r="BJ2376" s="139" t="n"/>
      <c r="BK2376" s="204" t="n"/>
      <c r="BL2376" s="141" t="n"/>
      <c r="BM2376" s="205" t="n"/>
      <c r="BN2376" s="205" t="n"/>
      <c r="BO2376" s="206" t="n"/>
      <c r="BP2376" s="144" t="n"/>
      <c r="BQ2376" s="141" t="n"/>
      <c r="BR2376" s="207" t="n"/>
      <c r="BS2376" s="207" t="n"/>
      <c r="BT2376" s="207" t="n"/>
      <c r="BU2376" s="207" t="n"/>
      <c r="BV2376" s="208" t="n"/>
      <c r="BW2376" s="207" t="n"/>
      <c r="BX2376" s="207" t="n"/>
      <c r="BY2376" s="204" t="n"/>
      <c r="BZ2376" s="148" t="n"/>
      <c r="CA2376" s="204" t="n"/>
      <c r="CB2376" s="208" t="n"/>
      <c r="CC2376" s="139" t="n"/>
      <c r="CD2376" s="204" t="n"/>
      <c r="CE2376" s="204" t="n"/>
      <c r="CF2376" s="207" t="n"/>
      <c r="CG2376" s="208" t="n"/>
      <c r="CH2376" s="207" t="n"/>
      <c r="CI2376" s="208" t="n"/>
      <c r="CJ2376" s="204" t="n"/>
      <c r="CK2376" s="208" t="n"/>
      <c r="CL2376" s="208" t="n"/>
      <c r="CM2376" s="208" t="n"/>
      <c r="CN2376" s="78" t="n"/>
      <c r="CO2376" s="209" t="n"/>
      <c r="CP2376" s="204" t="n"/>
      <c r="CQ2376" s="204" t="n"/>
      <c r="CR2376" s="204" t="n"/>
      <c r="CS2376" s="204" t="n"/>
      <c r="CT2376" s="204" t="n"/>
      <c r="CU2376" s="204" t="n"/>
      <c r="CV2376" s="204" t="n"/>
      <c r="CW2376" s="204" t="n"/>
    </row>
    <row r="2377">
      <c r="BF2377" s="78" t="n"/>
      <c r="BG2377" s="78" t="n"/>
      <c r="BH2377" s="78" t="n"/>
      <c r="BI2377" s="78" t="n"/>
      <c r="BJ2377" s="139" t="n"/>
      <c r="BK2377" s="204" t="n"/>
      <c r="BL2377" s="141" t="n"/>
      <c r="BM2377" s="205" t="n"/>
      <c r="BN2377" s="205" t="n"/>
      <c r="BO2377" s="206" t="n"/>
      <c r="BP2377" s="144" t="n"/>
      <c r="BQ2377" s="141" t="n"/>
      <c r="BR2377" s="207" t="n"/>
      <c r="BS2377" s="207" t="n"/>
      <c r="BT2377" s="207" t="n"/>
      <c r="BU2377" s="207" t="n"/>
      <c r="BV2377" s="208" t="n"/>
      <c r="BW2377" s="207" t="n"/>
      <c r="BX2377" s="207" t="n"/>
      <c r="BY2377" s="204" t="n"/>
      <c r="BZ2377" s="148" t="n"/>
      <c r="CA2377" s="204" t="n"/>
      <c r="CB2377" s="208" t="n"/>
      <c r="CC2377" s="139" t="n"/>
      <c r="CD2377" s="204" t="n"/>
      <c r="CE2377" s="204" t="n"/>
      <c r="CF2377" s="207" t="n"/>
      <c r="CG2377" s="208" t="n"/>
      <c r="CH2377" s="207" t="n"/>
      <c r="CI2377" s="208" t="n"/>
      <c r="CJ2377" s="204" t="n"/>
      <c r="CK2377" s="208" t="n"/>
      <c r="CL2377" s="208" t="n"/>
      <c r="CM2377" s="208" t="n"/>
      <c r="CN2377" s="78" t="n"/>
      <c r="CO2377" s="209" t="n"/>
      <c r="CP2377" s="204" t="n"/>
      <c r="CQ2377" s="204" t="n"/>
      <c r="CR2377" s="204" t="n"/>
      <c r="CS2377" s="204" t="n"/>
      <c r="CT2377" s="204" t="n"/>
      <c r="CU2377" s="204" t="n"/>
      <c r="CV2377" s="204" t="n"/>
      <c r="CW2377" s="204" t="n"/>
    </row>
    <row r="2378">
      <c r="BF2378" s="78" t="n"/>
      <c r="BG2378" s="78" t="n"/>
      <c r="BH2378" s="78" t="n"/>
      <c r="BI2378" s="78" t="n"/>
      <c r="BJ2378" s="139" t="n"/>
      <c r="BK2378" s="204" t="n"/>
      <c r="BL2378" s="141" t="n"/>
      <c r="BM2378" s="205" t="n"/>
      <c r="BN2378" s="205" t="n"/>
      <c r="BO2378" s="206" t="n"/>
      <c r="BP2378" s="144" t="n"/>
      <c r="BQ2378" s="141" t="n"/>
      <c r="BR2378" s="207" t="n"/>
      <c r="BS2378" s="207" t="n"/>
      <c r="BT2378" s="207" t="n"/>
      <c r="BU2378" s="207" t="n"/>
      <c r="BV2378" s="208" t="n"/>
      <c r="BW2378" s="207" t="n"/>
      <c r="BX2378" s="207" t="n"/>
      <c r="BY2378" s="204" t="n"/>
      <c r="BZ2378" s="148" t="n"/>
      <c r="CA2378" s="204" t="n"/>
      <c r="CB2378" s="208" t="n"/>
      <c r="CC2378" s="139" t="n"/>
      <c r="CD2378" s="204" t="n"/>
      <c r="CE2378" s="204" t="n"/>
      <c r="CF2378" s="207" t="n"/>
      <c r="CG2378" s="208" t="n"/>
      <c r="CH2378" s="207" t="n"/>
      <c r="CI2378" s="208" t="n"/>
      <c r="CJ2378" s="204" t="n"/>
      <c r="CK2378" s="208" t="n"/>
      <c r="CL2378" s="208" t="n"/>
      <c r="CM2378" s="208" t="n"/>
      <c r="CN2378" s="78" t="n"/>
      <c r="CO2378" s="209" t="n"/>
      <c r="CP2378" s="204" t="n"/>
      <c r="CQ2378" s="204" t="n"/>
      <c r="CR2378" s="204" t="n"/>
      <c r="CS2378" s="204" t="n"/>
      <c r="CT2378" s="204" t="n"/>
      <c r="CU2378" s="204" t="n"/>
      <c r="CV2378" s="204" t="n"/>
      <c r="CW2378" s="204" t="n"/>
    </row>
    <row r="2379">
      <c r="BF2379" s="78" t="n"/>
      <c r="BG2379" s="78" t="n"/>
      <c r="BH2379" s="78" t="n"/>
      <c r="BI2379" s="78" t="n"/>
      <c r="BJ2379" s="139" t="n"/>
      <c r="BK2379" s="204" t="n"/>
      <c r="BL2379" s="141" t="n"/>
      <c r="BM2379" s="205" t="n"/>
      <c r="BN2379" s="205" t="n"/>
      <c r="BO2379" s="206" t="n"/>
      <c r="BP2379" s="144" t="n"/>
      <c r="BQ2379" s="141" t="n"/>
      <c r="BR2379" s="207" t="n"/>
      <c r="BS2379" s="207" t="n"/>
      <c r="BT2379" s="207" t="n"/>
      <c r="BU2379" s="207" t="n"/>
      <c r="BV2379" s="208" t="n"/>
      <c r="BW2379" s="207" t="n"/>
      <c r="BX2379" s="207" t="n"/>
      <c r="BY2379" s="204" t="n"/>
      <c r="BZ2379" s="148" t="n"/>
      <c r="CA2379" s="204" t="n"/>
      <c r="CB2379" s="208" t="n"/>
      <c r="CC2379" s="139" t="n"/>
      <c r="CD2379" s="204" t="n"/>
      <c r="CE2379" s="204" t="n"/>
      <c r="CF2379" s="207" t="n"/>
      <c r="CG2379" s="208" t="n"/>
      <c r="CH2379" s="207" t="n"/>
      <c r="CI2379" s="208" t="n"/>
      <c r="CJ2379" s="204" t="n"/>
      <c r="CK2379" s="208" t="n"/>
      <c r="CL2379" s="208" t="n"/>
      <c r="CM2379" s="208" t="n"/>
      <c r="CN2379" s="78" t="n"/>
      <c r="CO2379" s="209" t="n"/>
      <c r="CP2379" s="204" t="n"/>
      <c r="CQ2379" s="204" t="n"/>
      <c r="CR2379" s="204" t="n"/>
      <c r="CS2379" s="204" t="n"/>
      <c r="CT2379" s="204" t="n"/>
      <c r="CU2379" s="204" t="n"/>
      <c r="CV2379" s="204" t="n"/>
      <c r="CW2379" s="204" t="n"/>
    </row>
    <row r="2380">
      <c r="BF2380" s="78" t="n"/>
      <c r="BG2380" s="78" t="n"/>
      <c r="BH2380" s="78" t="n"/>
      <c r="BI2380" s="78" t="n"/>
      <c r="BJ2380" s="139" t="n"/>
      <c r="BK2380" s="204" t="n"/>
      <c r="BL2380" s="141" t="n"/>
      <c r="BM2380" s="205" t="n"/>
      <c r="BN2380" s="205" t="n"/>
      <c r="BO2380" s="206" t="n"/>
      <c r="BP2380" s="144" t="n"/>
      <c r="BQ2380" s="141" t="n"/>
      <c r="BR2380" s="207" t="n"/>
      <c r="BS2380" s="207" t="n"/>
      <c r="BT2380" s="207" t="n"/>
      <c r="BU2380" s="207" t="n"/>
      <c r="BV2380" s="208" t="n"/>
      <c r="BW2380" s="207" t="n"/>
      <c r="BX2380" s="207" t="n"/>
      <c r="BY2380" s="204" t="n"/>
      <c r="BZ2380" s="148" t="n"/>
      <c r="CA2380" s="204" t="n"/>
      <c r="CB2380" s="208" t="n"/>
      <c r="CC2380" s="139" t="n"/>
      <c r="CD2380" s="204" t="n"/>
      <c r="CE2380" s="204" t="n"/>
      <c r="CF2380" s="207" t="n"/>
      <c r="CG2380" s="208" t="n"/>
      <c r="CH2380" s="207" t="n"/>
      <c r="CI2380" s="208" t="n"/>
      <c r="CJ2380" s="204" t="n"/>
      <c r="CK2380" s="208" t="n"/>
      <c r="CL2380" s="208" t="n"/>
      <c r="CM2380" s="208" t="n"/>
      <c r="CN2380" s="78" t="n"/>
      <c r="CO2380" s="209" t="n"/>
      <c r="CP2380" s="204" t="n"/>
      <c r="CQ2380" s="204" t="n"/>
      <c r="CR2380" s="204" t="n"/>
      <c r="CS2380" s="204" t="n"/>
      <c r="CT2380" s="204" t="n"/>
      <c r="CU2380" s="204" t="n"/>
      <c r="CV2380" s="204" t="n"/>
      <c r="CW2380" s="204" t="n"/>
    </row>
    <row r="2381">
      <c r="BF2381" s="78" t="n"/>
      <c r="BG2381" s="78" t="n"/>
      <c r="BH2381" s="78" t="n"/>
      <c r="BI2381" s="78" t="n"/>
      <c r="BJ2381" s="139" t="n"/>
      <c r="BK2381" s="204" t="n"/>
      <c r="BL2381" s="141" t="n"/>
      <c r="BM2381" s="205" t="n"/>
      <c r="BN2381" s="205" t="n"/>
      <c r="BO2381" s="206" t="n"/>
      <c r="BP2381" s="144" t="n"/>
      <c r="BQ2381" s="141" t="n"/>
      <c r="BR2381" s="207" t="n"/>
      <c r="BS2381" s="207" t="n"/>
      <c r="BT2381" s="207" t="n"/>
      <c r="BU2381" s="207" t="n"/>
      <c r="BV2381" s="208" t="n"/>
      <c r="BW2381" s="207" t="n"/>
      <c r="BX2381" s="207" t="n"/>
      <c r="BY2381" s="204" t="n"/>
      <c r="BZ2381" s="148" t="n"/>
      <c r="CA2381" s="204" t="n"/>
      <c r="CB2381" s="208" t="n"/>
      <c r="CC2381" s="139" t="n"/>
      <c r="CD2381" s="204" t="n"/>
      <c r="CE2381" s="204" t="n"/>
      <c r="CF2381" s="207" t="n"/>
      <c r="CG2381" s="208" t="n"/>
      <c r="CH2381" s="207" t="n"/>
      <c r="CI2381" s="208" t="n"/>
      <c r="CJ2381" s="204" t="n"/>
      <c r="CK2381" s="208" t="n"/>
      <c r="CL2381" s="208" t="n"/>
      <c r="CM2381" s="208" t="n"/>
      <c r="CN2381" s="78" t="n"/>
      <c r="CO2381" s="209" t="n"/>
      <c r="CP2381" s="204" t="n"/>
      <c r="CQ2381" s="204" t="n"/>
      <c r="CR2381" s="204" t="n"/>
      <c r="CS2381" s="204" t="n"/>
      <c r="CT2381" s="204" t="n"/>
      <c r="CU2381" s="204" t="n"/>
      <c r="CV2381" s="204" t="n"/>
      <c r="CW2381" s="204" t="n"/>
    </row>
    <row r="2382">
      <c r="BF2382" s="78" t="n"/>
      <c r="BG2382" s="78" t="n"/>
      <c r="BH2382" s="78" t="n"/>
      <c r="BI2382" s="78" t="n"/>
      <c r="BJ2382" s="139" t="n"/>
      <c r="BK2382" s="204" t="n"/>
      <c r="BL2382" s="141" t="n"/>
      <c r="BM2382" s="205" t="n"/>
      <c r="BN2382" s="205" t="n"/>
      <c r="BO2382" s="206" t="n"/>
      <c r="BP2382" s="144" t="n"/>
      <c r="BQ2382" s="141" t="n"/>
      <c r="BR2382" s="207" t="n"/>
      <c r="BS2382" s="207" t="n"/>
      <c r="BT2382" s="207" t="n"/>
      <c r="BU2382" s="207" t="n"/>
      <c r="BV2382" s="208" t="n"/>
      <c r="BW2382" s="207" t="n"/>
      <c r="BX2382" s="207" t="n"/>
      <c r="BY2382" s="204" t="n"/>
      <c r="BZ2382" s="148" t="n"/>
      <c r="CA2382" s="204" t="n"/>
      <c r="CB2382" s="208" t="n"/>
      <c r="CC2382" s="139" t="n"/>
      <c r="CD2382" s="204" t="n"/>
      <c r="CE2382" s="204" t="n"/>
      <c r="CF2382" s="207" t="n"/>
      <c r="CG2382" s="208" t="n"/>
      <c r="CH2382" s="207" t="n"/>
      <c r="CI2382" s="208" t="n"/>
      <c r="CJ2382" s="204" t="n"/>
      <c r="CK2382" s="208" t="n"/>
      <c r="CL2382" s="208" t="n"/>
      <c r="CM2382" s="208" t="n"/>
      <c r="CN2382" s="78" t="n"/>
      <c r="CO2382" s="209" t="n"/>
      <c r="CP2382" s="204" t="n"/>
      <c r="CQ2382" s="204" t="n"/>
      <c r="CR2382" s="204" t="n"/>
      <c r="CS2382" s="204" t="n"/>
      <c r="CT2382" s="204" t="n"/>
      <c r="CU2382" s="204" t="n"/>
      <c r="CV2382" s="204" t="n"/>
      <c r="CW2382" s="204" t="n"/>
    </row>
    <row r="2383">
      <c r="BF2383" s="78" t="n"/>
      <c r="BG2383" s="78" t="n"/>
      <c r="BH2383" s="78" t="n"/>
      <c r="BI2383" s="78" t="n"/>
      <c r="BJ2383" s="139" t="n"/>
      <c r="BK2383" s="204" t="n"/>
      <c r="BL2383" s="141" t="n"/>
      <c r="BM2383" s="205" t="n"/>
      <c r="BN2383" s="205" t="n"/>
      <c r="BO2383" s="206" t="n"/>
      <c r="BP2383" s="144" t="n"/>
      <c r="BQ2383" s="141" t="n"/>
      <c r="BR2383" s="207" t="n"/>
      <c r="BS2383" s="207" t="n"/>
      <c r="BT2383" s="207" t="n"/>
      <c r="BU2383" s="207" t="n"/>
      <c r="BV2383" s="208" t="n"/>
      <c r="BW2383" s="207" t="n"/>
      <c r="BX2383" s="207" t="n"/>
      <c r="BY2383" s="204" t="n"/>
      <c r="BZ2383" s="148" t="n"/>
      <c r="CA2383" s="204" t="n"/>
      <c r="CB2383" s="208" t="n"/>
      <c r="CC2383" s="139" t="n"/>
      <c r="CD2383" s="204" t="n"/>
      <c r="CE2383" s="204" t="n"/>
      <c r="CF2383" s="207" t="n"/>
      <c r="CG2383" s="208" t="n"/>
      <c r="CH2383" s="207" t="n"/>
      <c r="CI2383" s="208" t="n"/>
      <c r="CJ2383" s="204" t="n"/>
      <c r="CK2383" s="208" t="n"/>
      <c r="CL2383" s="208" t="n"/>
      <c r="CM2383" s="208" t="n"/>
      <c r="CN2383" s="78" t="n"/>
      <c r="CO2383" s="209" t="n"/>
      <c r="CP2383" s="204" t="n"/>
      <c r="CQ2383" s="204" t="n"/>
      <c r="CR2383" s="204" t="n"/>
      <c r="CS2383" s="204" t="n"/>
      <c r="CT2383" s="204" t="n"/>
      <c r="CU2383" s="204" t="n"/>
      <c r="CV2383" s="204" t="n"/>
      <c r="CW2383" s="204" t="n"/>
    </row>
    <row r="2384">
      <c r="BF2384" s="78" t="n"/>
      <c r="BG2384" s="78" t="n"/>
      <c r="BH2384" s="78" t="n"/>
      <c r="BI2384" s="78" t="n"/>
      <c r="BJ2384" s="139" t="n"/>
      <c r="BK2384" s="204" t="n"/>
      <c r="BL2384" s="141" t="n"/>
      <c r="BM2384" s="205" t="n"/>
      <c r="BN2384" s="205" t="n"/>
      <c r="BO2384" s="206" t="n"/>
      <c r="BP2384" s="144" t="n"/>
      <c r="BQ2384" s="141" t="n"/>
      <c r="BR2384" s="207" t="n"/>
      <c r="BS2384" s="207" t="n"/>
      <c r="BT2384" s="207" t="n"/>
      <c r="BU2384" s="207" t="n"/>
      <c r="BV2384" s="208" t="n"/>
      <c r="BW2384" s="207" t="n"/>
      <c r="BX2384" s="207" t="n"/>
      <c r="BY2384" s="204" t="n"/>
      <c r="BZ2384" s="148" t="n"/>
      <c r="CA2384" s="204" t="n"/>
      <c r="CB2384" s="208" t="n"/>
      <c r="CC2384" s="139" t="n"/>
      <c r="CD2384" s="204" t="n"/>
      <c r="CE2384" s="204" t="n"/>
      <c r="CF2384" s="207" t="n"/>
      <c r="CG2384" s="208" t="n"/>
      <c r="CH2384" s="207" t="n"/>
      <c r="CI2384" s="208" t="n"/>
      <c r="CJ2384" s="204" t="n"/>
      <c r="CK2384" s="208" t="n"/>
      <c r="CL2384" s="208" t="n"/>
      <c r="CM2384" s="208" t="n"/>
      <c r="CN2384" s="78" t="n"/>
      <c r="CO2384" s="209" t="n"/>
      <c r="CP2384" s="204" t="n"/>
      <c r="CQ2384" s="204" t="n"/>
      <c r="CR2384" s="204" t="n"/>
      <c r="CS2384" s="204" t="n"/>
      <c r="CT2384" s="204" t="n"/>
      <c r="CU2384" s="204" t="n"/>
      <c r="CV2384" s="204" t="n"/>
      <c r="CW2384" s="204" t="n"/>
    </row>
    <row r="2385">
      <c r="BF2385" s="78" t="n"/>
      <c r="BG2385" s="78" t="n"/>
      <c r="BH2385" s="78" t="n"/>
      <c r="BI2385" s="78" t="n"/>
      <c r="BJ2385" s="139" t="n"/>
      <c r="BK2385" s="204" t="n"/>
      <c r="BL2385" s="141" t="n"/>
      <c r="BM2385" s="205" t="n"/>
      <c r="BN2385" s="205" t="n"/>
      <c r="BO2385" s="206" t="n"/>
      <c r="BP2385" s="144" t="n"/>
      <c r="BQ2385" s="141" t="n"/>
      <c r="BR2385" s="207" t="n"/>
      <c r="BS2385" s="207" t="n"/>
      <c r="BT2385" s="207" t="n"/>
      <c r="BU2385" s="207" t="n"/>
      <c r="BV2385" s="208" t="n"/>
      <c r="BW2385" s="207" t="n"/>
      <c r="BX2385" s="207" t="n"/>
      <c r="BY2385" s="204" t="n"/>
      <c r="BZ2385" s="148" t="n"/>
      <c r="CA2385" s="204" t="n"/>
      <c r="CB2385" s="208" t="n"/>
      <c r="CC2385" s="139" t="n"/>
      <c r="CD2385" s="204" t="n"/>
      <c r="CE2385" s="204" t="n"/>
      <c r="CF2385" s="207" t="n"/>
      <c r="CG2385" s="208" t="n"/>
      <c r="CH2385" s="207" t="n"/>
      <c r="CI2385" s="208" t="n"/>
      <c r="CJ2385" s="204" t="n"/>
      <c r="CK2385" s="208" t="n"/>
      <c r="CL2385" s="208" t="n"/>
      <c r="CM2385" s="208" t="n"/>
      <c r="CN2385" s="78" t="n"/>
      <c r="CO2385" s="209" t="n"/>
      <c r="CP2385" s="204" t="n"/>
      <c r="CQ2385" s="204" t="n"/>
      <c r="CR2385" s="204" t="n"/>
      <c r="CS2385" s="204" t="n"/>
      <c r="CT2385" s="204" t="n"/>
      <c r="CU2385" s="204" t="n"/>
      <c r="CV2385" s="204" t="n"/>
      <c r="CW2385" s="204" t="n"/>
    </row>
    <row r="2386">
      <c r="BF2386" s="78" t="n"/>
      <c r="BG2386" s="78" t="n"/>
      <c r="BH2386" s="78" t="n"/>
      <c r="BI2386" s="78" t="n"/>
      <c r="BJ2386" s="139" t="n"/>
      <c r="BK2386" s="204" t="n"/>
      <c r="BL2386" s="141" t="n"/>
      <c r="BM2386" s="205" t="n"/>
      <c r="BN2386" s="205" t="n"/>
      <c r="BO2386" s="206" t="n"/>
      <c r="BP2386" s="144" t="n"/>
      <c r="BQ2386" s="141" t="n"/>
      <c r="BR2386" s="207" t="n"/>
      <c r="BS2386" s="207" t="n"/>
      <c r="BT2386" s="207" t="n"/>
      <c r="BU2386" s="207" t="n"/>
      <c r="BV2386" s="208" t="n"/>
      <c r="BW2386" s="207" t="n"/>
      <c r="BX2386" s="207" t="n"/>
      <c r="BY2386" s="204" t="n"/>
      <c r="BZ2386" s="148" t="n"/>
      <c r="CA2386" s="204" t="n"/>
      <c r="CB2386" s="208" t="n"/>
      <c r="CC2386" s="139" t="n"/>
      <c r="CD2386" s="204" t="n"/>
      <c r="CE2386" s="204" t="n"/>
      <c r="CF2386" s="207" t="n"/>
      <c r="CG2386" s="208" t="n"/>
      <c r="CH2386" s="207" t="n"/>
      <c r="CI2386" s="208" t="n"/>
      <c r="CJ2386" s="204" t="n"/>
      <c r="CK2386" s="208" t="n"/>
      <c r="CL2386" s="208" t="n"/>
      <c r="CM2386" s="208" t="n"/>
      <c r="CN2386" s="78" t="n"/>
      <c r="CO2386" s="209" t="n"/>
      <c r="CP2386" s="204" t="n"/>
      <c r="CQ2386" s="204" t="n"/>
      <c r="CR2386" s="204" t="n"/>
      <c r="CS2386" s="204" t="n"/>
      <c r="CT2386" s="204" t="n"/>
      <c r="CU2386" s="204" t="n"/>
      <c r="CV2386" s="204" t="n"/>
      <c r="CW2386" s="204" t="n"/>
    </row>
    <row r="2387">
      <c r="BF2387" s="78" t="n"/>
      <c r="BG2387" s="78" t="n"/>
      <c r="BH2387" s="78" t="n"/>
      <c r="BI2387" s="78" t="n"/>
      <c r="BJ2387" s="139" t="n"/>
      <c r="BK2387" s="204" t="n"/>
      <c r="BL2387" s="141" t="n"/>
      <c r="BM2387" s="205" t="n"/>
      <c r="BN2387" s="205" t="n"/>
      <c r="BO2387" s="206" t="n"/>
      <c r="BP2387" s="144" t="n"/>
      <c r="BQ2387" s="141" t="n"/>
      <c r="BR2387" s="207" t="n"/>
      <c r="BS2387" s="207" t="n"/>
      <c r="BT2387" s="207" t="n"/>
      <c r="BU2387" s="207" t="n"/>
      <c r="BV2387" s="208" t="n"/>
      <c r="BW2387" s="207" t="n"/>
      <c r="BX2387" s="207" t="n"/>
      <c r="BY2387" s="204" t="n"/>
      <c r="BZ2387" s="148" t="n"/>
      <c r="CA2387" s="204" t="n"/>
      <c r="CB2387" s="208" t="n"/>
      <c r="CC2387" s="139" t="n"/>
      <c r="CD2387" s="204" t="n"/>
      <c r="CE2387" s="204" t="n"/>
      <c r="CF2387" s="207" t="n"/>
      <c r="CG2387" s="208" t="n"/>
      <c r="CH2387" s="207" t="n"/>
      <c r="CI2387" s="208" t="n"/>
      <c r="CJ2387" s="204" t="n"/>
      <c r="CK2387" s="208" t="n"/>
      <c r="CL2387" s="208" t="n"/>
      <c r="CM2387" s="208" t="n"/>
      <c r="CN2387" s="78" t="n"/>
      <c r="CO2387" s="209" t="n"/>
      <c r="CP2387" s="204" t="n"/>
      <c r="CQ2387" s="204" t="n"/>
      <c r="CR2387" s="204" t="n"/>
      <c r="CS2387" s="204" t="n"/>
      <c r="CT2387" s="204" t="n"/>
      <c r="CU2387" s="204" t="n"/>
      <c r="CV2387" s="204" t="n"/>
      <c r="CW2387" s="204" t="n"/>
    </row>
    <row r="2388">
      <c r="BF2388" s="78" t="n"/>
      <c r="BG2388" s="78" t="n"/>
      <c r="BH2388" s="78" t="n"/>
      <c r="BI2388" s="78" t="n"/>
      <c r="BJ2388" s="139" t="n"/>
      <c r="BK2388" s="204" t="n"/>
      <c r="BL2388" s="141" t="n"/>
      <c r="BM2388" s="205" t="n"/>
      <c r="BN2388" s="205" t="n"/>
      <c r="BO2388" s="206" t="n"/>
      <c r="BP2388" s="144" t="n"/>
      <c r="BQ2388" s="141" t="n"/>
      <c r="BR2388" s="207" t="n"/>
      <c r="BS2388" s="207" t="n"/>
      <c r="BT2388" s="207" t="n"/>
      <c r="BU2388" s="207" t="n"/>
      <c r="BV2388" s="208" t="n"/>
      <c r="BW2388" s="207" t="n"/>
      <c r="BX2388" s="207" t="n"/>
      <c r="BY2388" s="204" t="n"/>
      <c r="BZ2388" s="148" t="n"/>
      <c r="CA2388" s="204" t="n"/>
      <c r="CB2388" s="208" t="n"/>
      <c r="CC2388" s="139" t="n"/>
      <c r="CD2388" s="204" t="n"/>
      <c r="CE2388" s="204" t="n"/>
      <c r="CF2388" s="207" t="n"/>
      <c r="CG2388" s="208" t="n"/>
      <c r="CH2388" s="207" t="n"/>
      <c r="CI2388" s="208" t="n"/>
      <c r="CJ2388" s="204" t="n"/>
      <c r="CK2388" s="208" t="n"/>
      <c r="CL2388" s="208" t="n"/>
      <c r="CM2388" s="208" t="n"/>
      <c r="CN2388" s="78" t="n"/>
      <c r="CO2388" s="209" t="n"/>
      <c r="CP2388" s="204" t="n"/>
      <c r="CQ2388" s="204" t="n"/>
      <c r="CR2388" s="204" t="n"/>
      <c r="CS2388" s="204" t="n"/>
      <c r="CT2388" s="204" t="n"/>
      <c r="CU2388" s="204" t="n"/>
      <c r="CV2388" s="204" t="n"/>
      <c r="CW2388" s="204" t="n"/>
    </row>
    <row r="2389">
      <c r="BF2389" s="78" t="n"/>
      <c r="BG2389" s="78" t="n"/>
      <c r="BH2389" s="78" t="n"/>
      <c r="BI2389" s="78" t="n"/>
      <c r="BJ2389" s="139" t="n"/>
      <c r="BK2389" s="204" t="n"/>
      <c r="BL2389" s="141" t="n"/>
      <c r="BM2389" s="205" t="n"/>
      <c r="BN2389" s="205" t="n"/>
      <c r="BO2389" s="206" t="n"/>
      <c r="BP2389" s="144" t="n"/>
      <c r="BQ2389" s="141" t="n"/>
      <c r="BR2389" s="207" t="n"/>
      <c r="BS2389" s="207" t="n"/>
      <c r="BT2389" s="207" t="n"/>
      <c r="BU2389" s="207" t="n"/>
      <c r="BV2389" s="208" t="n"/>
      <c r="BW2389" s="207" t="n"/>
      <c r="BX2389" s="207" t="n"/>
      <c r="BY2389" s="204" t="n"/>
      <c r="BZ2389" s="148" t="n"/>
      <c r="CA2389" s="204" t="n"/>
      <c r="CB2389" s="208" t="n"/>
      <c r="CC2389" s="139" t="n"/>
      <c r="CD2389" s="204" t="n"/>
      <c r="CE2389" s="204" t="n"/>
      <c r="CF2389" s="207" t="n"/>
      <c r="CG2389" s="208" t="n"/>
      <c r="CH2389" s="207" t="n"/>
      <c r="CI2389" s="208" t="n"/>
      <c r="CJ2389" s="204" t="n"/>
      <c r="CK2389" s="208" t="n"/>
      <c r="CL2389" s="208" t="n"/>
      <c r="CM2389" s="208" t="n"/>
      <c r="CN2389" s="78" t="n"/>
      <c r="CO2389" s="209" t="n"/>
      <c r="CP2389" s="204" t="n"/>
      <c r="CQ2389" s="204" t="n"/>
      <c r="CR2389" s="204" t="n"/>
      <c r="CS2389" s="204" t="n"/>
      <c r="CT2389" s="204" t="n"/>
      <c r="CU2389" s="204" t="n"/>
      <c r="CV2389" s="204" t="n"/>
      <c r="CW2389" s="204" t="n"/>
    </row>
    <row r="2390">
      <c r="BF2390" s="78" t="n"/>
      <c r="BG2390" s="78" t="n"/>
      <c r="BH2390" s="78" t="n"/>
      <c r="BI2390" s="78" t="n"/>
      <c r="BJ2390" s="139" t="n"/>
      <c r="BK2390" s="204" t="n"/>
      <c r="BL2390" s="141" t="n"/>
      <c r="BM2390" s="205" t="n"/>
      <c r="BN2390" s="205" t="n"/>
      <c r="BO2390" s="206" t="n"/>
      <c r="BP2390" s="144" t="n"/>
      <c r="BQ2390" s="141" t="n"/>
      <c r="BR2390" s="207" t="n"/>
      <c r="BS2390" s="207" t="n"/>
      <c r="BT2390" s="207" t="n"/>
      <c r="BU2390" s="207" t="n"/>
      <c r="BV2390" s="208" t="n"/>
      <c r="BW2390" s="207" t="n"/>
      <c r="BX2390" s="207" t="n"/>
      <c r="BY2390" s="204" t="n"/>
      <c r="BZ2390" s="148" t="n"/>
      <c r="CA2390" s="204" t="n"/>
      <c r="CB2390" s="208" t="n"/>
      <c r="CC2390" s="139" t="n"/>
      <c r="CD2390" s="204" t="n"/>
      <c r="CE2390" s="204" t="n"/>
      <c r="CF2390" s="207" t="n"/>
      <c r="CG2390" s="208" t="n"/>
      <c r="CH2390" s="207" t="n"/>
      <c r="CI2390" s="208" t="n"/>
      <c r="CJ2390" s="204" t="n"/>
      <c r="CK2390" s="208" t="n"/>
      <c r="CL2390" s="208" t="n"/>
      <c r="CM2390" s="208" t="n"/>
      <c r="CN2390" s="78" t="n"/>
      <c r="CO2390" s="209" t="n"/>
      <c r="CP2390" s="204" t="n"/>
      <c r="CQ2390" s="204" t="n"/>
      <c r="CR2390" s="204" t="n"/>
      <c r="CS2390" s="204" t="n"/>
      <c r="CT2390" s="204" t="n"/>
      <c r="CU2390" s="204" t="n"/>
      <c r="CV2390" s="204" t="n"/>
      <c r="CW2390" s="204" t="n"/>
    </row>
    <row r="2391">
      <c r="BF2391" s="78" t="n"/>
      <c r="BG2391" s="78" t="n"/>
      <c r="BH2391" s="78" t="n"/>
      <c r="BI2391" s="78" t="n"/>
      <c r="BJ2391" s="139" t="n"/>
      <c r="BK2391" s="204" t="n"/>
      <c r="BL2391" s="141" t="n"/>
      <c r="BM2391" s="205" t="n"/>
      <c r="BN2391" s="205" t="n"/>
      <c r="BO2391" s="206" t="n"/>
      <c r="BP2391" s="144" t="n"/>
      <c r="BQ2391" s="141" t="n"/>
      <c r="BR2391" s="207" t="n"/>
      <c r="BS2391" s="207" t="n"/>
      <c r="BT2391" s="207" t="n"/>
      <c r="BU2391" s="207" t="n"/>
      <c r="BV2391" s="208" t="n"/>
      <c r="BW2391" s="207" t="n"/>
      <c r="BX2391" s="207" t="n"/>
      <c r="BY2391" s="204" t="n"/>
      <c r="BZ2391" s="148" t="n"/>
      <c r="CA2391" s="204" t="n"/>
      <c r="CB2391" s="208" t="n"/>
      <c r="CC2391" s="139" t="n"/>
      <c r="CD2391" s="204" t="n"/>
      <c r="CE2391" s="204" t="n"/>
      <c r="CF2391" s="207" t="n"/>
      <c r="CG2391" s="208" t="n"/>
      <c r="CH2391" s="207" t="n"/>
      <c r="CI2391" s="208" t="n"/>
      <c r="CJ2391" s="204" t="n"/>
      <c r="CK2391" s="208" t="n"/>
      <c r="CL2391" s="208" t="n"/>
      <c r="CM2391" s="208" t="n"/>
      <c r="CN2391" s="78" t="n"/>
      <c r="CO2391" s="209" t="n"/>
      <c r="CP2391" s="204" t="n"/>
      <c r="CQ2391" s="204" t="n"/>
      <c r="CR2391" s="204" t="n"/>
      <c r="CS2391" s="204" t="n"/>
      <c r="CT2391" s="204" t="n"/>
      <c r="CU2391" s="204" t="n"/>
      <c r="CV2391" s="204" t="n"/>
      <c r="CW2391" s="204" t="n"/>
    </row>
    <row r="2392">
      <c r="BF2392" s="78" t="n"/>
      <c r="BG2392" s="78" t="n"/>
      <c r="BH2392" s="78" t="n"/>
      <c r="BI2392" s="78" t="n"/>
      <c r="BJ2392" s="139" t="n"/>
      <c r="BK2392" s="204" t="n"/>
      <c r="BL2392" s="141" t="n"/>
      <c r="BM2392" s="205" t="n"/>
      <c r="BN2392" s="205" t="n"/>
      <c r="BO2392" s="206" t="n"/>
      <c r="BP2392" s="144" t="n"/>
      <c r="BQ2392" s="141" t="n"/>
      <c r="BR2392" s="207" t="n"/>
      <c r="BS2392" s="207" t="n"/>
      <c r="BT2392" s="207" t="n"/>
      <c r="BU2392" s="207" t="n"/>
      <c r="BV2392" s="208" t="n"/>
      <c r="BW2392" s="207" t="n"/>
      <c r="BX2392" s="207" t="n"/>
      <c r="BY2392" s="204" t="n"/>
      <c r="BZ2392" s="148" t="n"/>
      <c r="CA2392" s="204" t="n"/>
      <c r="CB2392" s="208" t="n"/>
      <c r="CC2392" s="139" t="n"/>
      <c r="CD2392" s="204" t="n"/>
      <c r="CE2392" s="204" t="n"/>
      <c r="CF2392" s="207" t="n"/>
      <c r="CG2392" s="208" t="n"/>
      <c r="CH2392" s="207" t="n"/>
      <c r="CI2392" s="208" t="n"/>
      <c r="CJ2392" s="204" t="n"/>
      <c r="CK2392" s="208" t="n"/>
      <c r="CL2392" s="208" t="n"/>
      <c r="CM2392" s="208" t="n"/>
      <c r="CN2392" s="78" t="n"/>
      <c r="CO2392" s="209" t="n"/>
      <c r="CP2392" s="204" t="n"/>
      <c r="CQ2392" s="204" t="n"/>
      <c r="CR2392" s="204" t="n"/>
      <c r="CS2392" s="204" t="n"/>
      <c r="CT2392" s="204" t="n"/>
      <c r="CU2392" s="204" t="n"/>
      <c r="CV2392" s="204" t="n"/>
      <c r="CW2392" s="204" t="n"/>
    </row>
    <row r="2393">
      <c r="BF2393" s="78" t="n"/>
      <c r="BG2393" s="78" t="n"/>
      <c r="BH2393" s="78" t="n"/>
      <c r="BI2393" s="78" t="n"/>
      <c r="BJ2393" s="139" t="n"/>
      <c r="BK2393" s="204" t="n"/>
      <c r="BL2393" s="141" t="n"/>
      <c r="BM2393" s="205" t="n"/>
      <c r="BN2393" s="205" t="n"/>
      <c r="BO2393" s="206" t="n"/>
      <c r="BP2393" s="144" t="n"/>
      <c r="BQ2393" s="141" t="n"/>
      <c r="BR2393" s="207" t="n"/>
      <c r="BS2393" s="207" t="n"/>
      <c r="BT2393" s="207" t="n"/>
      <c r="BU2393" s="207" t="n"/>
      <c r="BV2393" s="208" t="n"/>
      <c r="BW2393" s="207" t="n"/>
      <c r="BX2393" s="207" t="n"/>
      <c r="BY2393" s="204" t="n"/>
      <c r="BZ2393" s="148" t="n"/>
      <c r="CA2393" s="204" t="n"/>
      <c r="CB2393" s="208" t="n"/>
      <c r="CC2393" s="139" t="n"/>
      <c r="CD2393" s="204" t="n"/>
      <c r="CE2393" s="204" t="n"/>
      <c r="CF2393" s="207" t="n"/>
      <c r="CG2393" s="208" t="n"/>
      <c r="CH2393" s="207" t="n"/>
      <c r="CI2393" s="208" t="n"/>
      <c r="CJ2393" s="204" t="n"/>
      <c r="CK2393" s="208" t="n"/>
      <c r="CL2393" s="208" t="n"/>
      <c r="CM2393" s="208" t="n"/>
      <c r="CN2393" s="78" t="n"/>
      <c r="CO2393" s="209" t="n"/>
      <c r="CP2393" s="204" t="n"/>
      <c r="CQ2393" s="204" t="n"/>
      <c r="CR2393" s="204" t="n"/>
      <c r="CS2393" s="204" t="n"/>
      <c r="CT2393" s="204" t="n"/>
      <c r="CU2393" s="204" t="n"/>
      <c r="CV2393" s="204" t="n"/>
      <c r="CW2393" s="204" t="n"/>
    </row>
    <row r="2394">
      <c r="BF2394" s="78" t="n"/>
      <c r="BG2394" s="78" t="n"/>
      <c r="BH2394" s="78" t="n"/>
      <c r="BI2394" s="78" t="n"/>
      <c r="BJ2394" s="139" t="n"/>
      <c r="BK2394" s="204" t="n"/>
      <c r="BL2394" s="141" t="n"/>
      <c r="BM2394" s="205" t="n"/>
      <c r="BN2394" s="205" t="n"/>
      <c r="BO2394" s="206" t="n"/>
      <c r="BP2394" s="144" t="n"/>
      <c r="BQ2394" s="141" t="n"/>
      <c r="BR2394" s="207" t="n"/>
      <c r="BS2394" s="207" t="n"/>
      <c r="BT2394" s="207" t="n"/>
      <c r="BU2394" s="207" t="n"/>
      <c r="BV2394" s="208" t="n"/>
      <c r="BW2394" s="207" t="n"/>
      <c r="BX2394" s="207" t="n"/>
      <c r="BY2394" s="204" t="n"/>
      <c r="BZ2394" s="148" t="n"/>
      <c r="CA2394" s="204" t="n"/>
      <c r="CB2394" s="208" t="n"/>
      <c r="CC2394" s="139" t="n"/>
      <c r="CD2394" s="204" t="n"/>
      <c r="CE2394" s="204" t="n"/>
      <c r="CF2394" s="207" t="n"/>
      <c r="CG2394" s="208" t="n"/>
      <c r="CH2394" s="207" t="n"/>
      <c r="CI2394" s="208" t="n"/>
      <c r="CJ2394" s="204" t="n"/>
      <c r="CK2394" s="208" t="n"/>
      <c r="CL2394" s="208" t="n"/>
      <c r="CM2394" s="208" t="n"/>
      <c r="CN2394" s="78" t="n"/>
      <c r="CO2394" s="209" t="n"/>
      <c r="CP2394" s="204" t="n"/>
      <c r="CQ2394" s="204" t="n"/>
      <c r="CR2394" s="204" t="n"/>
      <c r="CS2394" s="204" t="n"/>
      <c r="CT2394" s="204" t="n"/>
      <c r="CU2394" s="204" t="n"/>
      <c r="CV2394" s="204" t="n"/>
      <c r="CW2394" s="204" t="n"/>
    </row>
    <row r="2395">
      <c r="BF2395" s="78" t="n"/>
      <c r="BG2395" s="78" t="n"/>
      <c r="BH2395" s="78" t="n"/>
      <c r="BI2395" s="78" t="n"/>
      <c r="BJ2395" s="139" t="n"/>
      <c r="BK2395" s="204" t="n"/>
      <c r="BL2395" s="141" t="n"/>
      <c r="BM2395" s="205" t="n"/>
      <c r="BN2395" s="205" t="n"/>
      <c r="BO2395" s="206" t="n"/>
      <c r="BP2395" s="144" t="n"/>
      <c r="BQ2395" s="141" t="n"/>
      <c r="BR2395" s="207" t="n"/>
      <c r="BS2395" s="207" t="n"/>
      <c r="BT2395" s="207" t="n"/>
      <c r="BU2395" s="207" t="n"/>
      <c r="BV2395" s="208" t="n"/>
      <c r="BW2395" s="207" t="n"/>
      <c r="BX2395" s="207" t="n"/>
      <c r="BY2395" s="204" t="n"/>
      <c r="BZ2395" s="148" t="n"/>
      <c r="CA2395" s="204" t="n"/>
      <c r="CB2395" s="208" t="n"/>
      <c r="CC2395" s="139" t="n"/>
      <c r="CD2395" s="204" t="n"/>
      <c r="CE2395" s="204" t="n"/>
      <c r="CF2395" s="207" t="n"/>
      <c r="CG2395" s="208" t="n"/>
      <c r="CH2395" s="207" t="n"/>
      <c r="CI2395" s="208" t="n"/>
      <c r="CJ2395" s="204" t="n"/>
      <c r="CK2395" s="208" t="n"/>
      <c r="CL2395" s="208" t="n"/>
      <c r="CM2395" s="208" t="n"/>
      <c r="CN2395" s="78" t="n"/>
      <c r="CO2395" s="209" t="n"/>
      <c r="CP2395" s="204" t="n"/>
      <c r="CQ2395" s="204" t="n"/>
      <c r="CR2395" s="204" t="n"/>
      <c r="CS2395" s="204" t="n"/>
      <c r="CT2395" s="204" t="n"/>
      <c r="CU2395" s="204" t="n"/>
      <c r="CV2395" s="204" t="n"/>
      <c r="CW2395" s="204" t="n"/>
    </row>
    <row r="2396">
      <c r="BF2396" s="78" t="n"/>
      <c r="BG2396" s="78" t="n"/>
      <c r="BH2396" s="78" t="n"/>
      <c r="BI2396" s="78" t="n"/>
      <c r="BJ2396" s="139" t="n"/>
      <c r="BK2396" s="204" t="n"/>
      <c r="BL2396" s="141" t="n"/>
      <c r="BM2396" s="205" t="n"/>
      <c r="BN2396" s="205" t="n"/>
      <c r="BO2396" s="206" t="n"/>
      <c r="BP2396" s="144" t="n"/>
      <c r="BQ2396" s="141" t="n"/>
      <c r="BR2396" s="207" t="n"/>
      <c r="BS2396" s="207" t="n"/>
      <c r="BT2396" s="207" t="n"/>
      <c r="BU2396" s="207" t="n"/>
      <c r="BV2396" s="208" t="n"/>
      <c r="BW2396" s="207" t="n"/>
      <c r="BX2396" s="207" t="n"/>
      <c r="BY2396" s="204" t="n"/>
      <c r="BZ2396" s="148" t="n"/>
      <c r="CA2396" s="204" t="n"/>
      <c r="CB2396" s="208" t="n"/>
      <c r="CC2396" s="139" t="n"/>
      <c r="CD2396" s="204" t="n"/>
      <c r="CE2396" s="204" t="n"/>
      <c r="CF2396" s="207" t="n"/>
      <c r="CG2396" s="208" t="n"/>
      <c r="CH2396" s="207" t="n"/>
      <c r="CI2396" s="208" t="n"/>
      <c r="CJ2396" s="204" t="n"/>
      <c r="CK2396" s="208" t="n"/>
      <c r="CL2396" s="208" t="n"/>
      <c r="CM2396" s="208" t="n"/>
      <c r="CN2396" s="78" t="n"/>
      <c r="CO2396" s="209" t="n"/>
      <c r="CP2396" s="204" t="n"/>
      <c r="CQ2396" s="204" t="n"/>
      <c r="CR2396" s="204" t="n"/>
      <c r="CS2396" s="204" t="n"/>
      <c r="CT2396" s="204" t="n"/>
      <c r="CU2396" s="204" t="n"/>
      <c r="CV2396" s="204" t="n"/>
      <c r="CW2396" s="204" t="n"/>
    </row>
    <row r="2397">
      <c r="BF2397" s="78" t="n"/>
      <c r="BG2397" s="78" t="n"/>
      <c r="BH2397" s="78" t="n"/>
      <c r="BI2397" s="78" t="n"/>
      <c r="BJ2397" s="139" t="n"/>
      <c r="BK2397" s="204" t="n"/>
      <c r="BL2397" s="141" t="n"/>
      <c r="BM2397" s="205" t="n"/>
      <c r="BN2397" s="205" t="n"/>
      <c r="BO2397" s="206" t="n"/>
      <c r="BP2397" s="144" t="n"/>
      <c r="BQ2397" s="141" t="n"/>
      <c r="BR2397" s="207" t="n"/>
      <c r="BS2397" s="207" t="n"/>
      <c r="BT2397" s="207" t="n"/>
      <c r="BU2397" s="207" t="n"/>
      <c r="BV2397" s="208" t="n"/>
      <c r="BW2397" s="207" t="n"/>
      <c r="BX2397" s="207" t="n"/>
      <c r="BY2397" s="204" t="n"/>
      <c r="BZ2397" s="148" t="n"/>
      <c r="CA2397" s="204" t="n"/>
      <c r="CB2397" s="208" t="n"/>
      <c r="CC2397" s="139" t="n"/>
      <c r="CD2397" s="204" t="n"/>
      <c r="CE2397" s="204" t="n"/>
      <c r="CF2397" s="207" t="n"/>
      <c r="CG2397" s="208" t="n"/>
      <c r="CH2397" s="207" t="n"/>
      <c r="CI2397" s="208" t="n"/>
      <c r="CJ2397" s="204" t="n"/>
      <c r="CK2397" s="208" t="n"/>
      <c r="CL2397" s="208" t="n"/>
      <c r="CM2397" s="208" t="n"/>
      <c r="CN2397" s="78" t="n"/>
      <c r="CO2397" s="209" t="n"/>
      <c r="CP2397" s="204" t="n"/>
      <c r="CQ2397" s="204" t="n"/>
      <c r="CR2397" s="204" t="n"/>
      <c r="CS2397" s="204" t="n"/>
      <c r="CT2397" s="204" t="n"/>
      <c r="CU2397" s="204" t="n"/>
      <c r="CV2397" s="204" t="n"/>
      <c r="CW2397" s="204" t="n"/>
    </row>
    <row r="2398">
      <c r="BF2398" s="78" t="n"/>
      <c r="BG2398" s="78" t="n"/>
      <c r="BH2398" s="78" t="n"/>
      <c r="BI2398" s="78" t="n"/>
      <c r="BJ2398" s="139" t="n"/>
      <c r="BK2398" s="204" t="n"/>
      <c r="BL2398" s="141" t="n"/>
      <c r="BM2398" s="205" t="n"/>
      <c r="BN2398" s="205" t="n"/>
      <c r="BO2398" s="206" t="n"/>
      <c r="BP2398" s="144" t="n"/>
      <c r="BQ2398" s="141" t="n"/>
      <c r="BR2398" s="207" t="n"/>
      <c r="BS2398" s="207" t="n"/>
      <c r="BT2398" s="207" t="n"/>
      <c r="BU2398" s="207" t="n"/>
      <c r="BV2398" s="208" t="n"/>
      <c r="BW2398" s="207" t="n"/>
      <c r="BX2398" s="207" t="n"/>
      <c r="BY2398" s="204" t="n"/>
      <c r="BZ2398" s="148" t="n"/>
      <c r="CA2398" s="204" t="n"/>
      <c r="CB2398" s="208" t="n"/>
      <c r="CC2398" s="139" t="n"/>
      <c r="CD2398" s="204" t="n"/>
      <c r="CE2398" s="204" t="n"/>
      <c r="CF2398" s="207" t="n"/>
      <c r="CG2398" s="208" t="n"/>
      <c r="CH2398" s="207" t="n"/>
      <c r="CI2398" s="208" t="n"/>
      <c r="CJ2398" s="204" t="n"/>
      <c r="CK2398" s="208" t="n"/>
      <c r="CL2398" s="208" t="n"/>
      <c r="CM2398" s="208" t="n"/>
      <c r="CN2398" s="78" t="n"/>
      <c r="CO2398" s="209" t="n"/>
      <c r="CP2398" s="204" t="n"/>
      <c r="CQ2398" s="204" t="n"/>
      <c r="CR2398" s="204" t="n"/>
      <c r="CS2398" s="204" t="n"/>
      <c r="CT2398" s="204" t="n"/>
      <c r="CU2398" s="204" t="n"/>
      <c r="CV2398" s="204" t="n"/>
      <c r="CW2398" s="204" t="n"/>
    </row>
    <row r="2399">
      <c r="BF2399" s="78" t="n"/>
      <c r="BG2399" s="78" t="n"/>
      <c r="BH2399" s="78" t="n"/>
      <c r="BI2399" s="78" t="n"/>
      <c r="BJ2399" s="139" t="n"/>
      <c r="BK2399" s="204" t="n"/>
      <c r="BL2399" s="141" t="n"/>
      <c r="BM2399" s="205" t="n"/>
      <c r="BN2399" s="205" t="n"/>
      <c r="BO2399" s="206" t="n"/>
      <c r="BP2399" s="144" t="n"/>
      <c r="BQ2399" s="141" t="n"/>
      <c r="BR2399" s="207" t="n"/>
      <c r="BS2399" s="207" t="n"/>
      <c r="BT2399" s="207" t="n"/>
      <c r="BU2399" s="207" t="n"/>
      <c r="BV2399" s="208" t="n"/>
      <c r="BW2399" s="207" t="n"/>
      <c r="BX2399" s="207" t="n"/>
      <c r="BY2399" s="204" t="n"/>
      <c r="BZ2399" s="148" t="n"/>
      <c r="CA2399" s="204" t="n"/>
      <c r="CB2399" s="208" t="n"/>
      <c r="CC2399" s="139" t="n"/>
      <c r="CD2399" s="204" t="n"/>
      <c r="CE2399" s="204" t="n"/>
      <c r="CF2399" s="207" t="n"/>
      <c r="CG2399" s="208" t="n"/>
      <c r="CH2399" s="207" t="n"/>
      <c r="CI2399" s="208" t="n"/>
      <c r="CJ2399" s="204" t="n"/>
      <c r="CK2399" s="208" t="n"/>
      <c r="CL2399" s="208" t="n"/>
      <c r="CM2399" s="208" t="n"/>
      <c r="CN2399" s="78" t="n"/>
      <c r="CO2399" s="209" t="n"/>
      <c r="CP2399" s="204" t="n"/>
      <c r="CQ2399" s="204" t="n"/>
      <c r="CR2399" s="204" t="n"/>
      <c r="CS2399" s="204" t="n"/>
      <c r="CT2399" s="204" t="n"/>
      <c r="CU2399" s="204" t="n"/>
      <c r="CV2399" s="204" t="n"/>
      <c r="CW2399" s="204" t="n"/>
    </row>
    <row r="2400">
      <c r="BF2400" s="78" t="n"/>
      <c r="BG2400" s="78" t="n"/>
      <c r="BH2400" s="78" t="n"/>
      <c r="BI2400" s="78" t="n"/>
      <c r="BJ2400" s="139" t="n"/>
      <c r="BK2400" s="204" t="n"/>
      <c r="BL2400" s="141" t="n"/>
      <c r="BM2400" s="205" t="n"/>
      <c r="BN2400" s="205" t="n"/>
      <c r="BO2400" s="206" t="n"/>
      <c r="BP2400" s="144" t="n"/>
      <c r="BQ2400" s="141" t="n"/>
      <c r="BR2400" s="207" t="n"/>
      <c r="BS2400" s="207" t="n"/>
      <c r="BT2400" s="207" t="n"/>
      <c r="BU2400" s="207" t="n"/>
      <c r="BV2400" s="208" t="n"/>
      <c r="BW2400" s="207" t="n"/>
      <c r="BX2400" s="207" t="n"/>
      <c r="BY2400" s="204" t="n"/>
      <c r="BZ2400" s="148" t="n"/>
      <c r="CA2400" s="204" t="n"/>
      <c r="CB2400" s="208" t="n"/>
      <c r="CC2400" s="139" t="n"/>
      <c r="CD2400" s="204" t="n"/>
      <c r="CE2400" s="204" t="n"/>
      <c r="CF2400" s="207" t="n"/>
      <c r="CG2400" s="208" t="n"/>
      <c r="CH2400" s="207" t="n"/>
      <c r="CI2400" s="208" t="n"/>
      <c r="CJ2400" s="204" t="n"/>
      <c r="CK2400" s="208" t="n"/>
      <c r="CL2400" s="208" t="n"/>
      <c r="CM2400" s="208" t="n"/>
      <c r="CN2400" s="78" t="n"/>
      <c r="CO2400" s="209" t="n"/>
      <c r="CP2400" s="204" t="n"/>
      <c r="CQ2400" s="204" t="n"/>
      <c r="CR2400" s="204" t="n"/>
      <c r="CS2400" s="204" t="n"/>
      <c r="CT2400" s="204" t="n"/>
      <c r="CU2400" s="204" t="n"/>
      <c r="CV2400" s="204" t="n"/>
      <c r="CW2400" s="204" t="n"/>
    </row>
    <row r="2401">
      <c r="BF2401" s="78" t="n"/>
      <c r="BG2401" s="78" t="n"/>
      <c r="BH2401" s="78" t="n"/>
      <c r="BI2401" s="78" t="n"/>
      <c r="BJ2401" s="139" t="n"/>
      <c r="BK2401" s="204" t="n"/>
      <c r="BL2401" s="141" t="n"/>
      <c r="BM2401" s="205" t="n"/>
      <c r="BN2401" s="205" t="n"/>
      <c r="BO2401" s="206" t="n"/>
      <c r="BP2401" s="144" t="n"/>
      <c r="BQ2401" s="141" t="n"/>
      <c r="BR2401" s="207" t="n"/>
      <c r="BS2401" s="207" t="n"/>
      <c r="BT2401" s="207" t="n"/>
      <c r="BU2401" s="207" t="n"/>
      <c r="BV2401" s="208" t="n"/>
      <c r="BW2401" s="207" t="n"/>
      <c r="BX2401" s="207" t="n"/>
      <c r="BY2401" s="204" t="n"/>
      <c r="BZ2401" s="148" t="n"/>
      <c r="CA2401" s="204" t="n"/>
      <c r="CB2401" s="208" t="n"/>
      <c r="CC2401" s="139" t="n"/>
      <c r="CD2401" s="204" t="n"/>
      <c r="CE2401" s="204" t="n"/>
      <c r="CF2401" s="207" t="n"/>
      <c r="CG2401" s="208" t="n"/>
      <c r="CH2401" s="207" t="n"/>
      <c r="CI2401" s="208" t="n"/>
      <c r="CJ2401" s="204" t="n"/>
      <c r="CK2401" s="208" t="n"/>
      <c r="CL2401" s="208" t="n"/>
      <c r="CM2401" s="208" t="n"/>
      <c r="CN2401" s="78" t="n"/>
      <c r="CO2401" s="209" t="n"/>
      <c r="CP2401" s="204" t="n"/>
      <c r="CQ2401" s="204" t="n"/>
      <c r="CR2401" s="204" t="n"/>
      <c r="CS2401" s="204" t="n"/>
      <c r="CT2401" s="204" t="n"/>
      <c r="CU2401" s="204" t="n"/>
      <c r="CV2401" s="204" t="n"/>
      <c r="CW2401" s="204" t="n"/>
    </row>
    <row r="2402">
      <c r="BF2402" s="78" t="n"/>
      <c r="BG2402" s="78" t="n"/>
      <c r="BH2402" s="78" t="n"/>
      <c r="BI2402" s="78" t="n"/>
      <c r="BJ2402" s="139" t="n"/>
      <c r="BK2402" s="204" t="n"/>
      <c r="BL2402" s="141" t="n"/>
      <c r="BM2402" s="205" t="n"/>
      <c r="BN2402" s="205" t="n"/>
      <c r="BO2402" s="206" t="n"/>
      <c r="BP2402" s="144" t="n"/>
      <c r="BQ2402" s="141" t="n"/>
      <c r="BR2402" s="207" t="n"/>
      <c r="BS2402" s="207" t="n"/>
      <c r="BT2402" s="207" t="n"/>
      <c r="BU2402" s="207" t="n"/>
      <c r="BV2402" s="208" t="n"/>
      <c r="BW2402" s="207" t="n"/>
      <c r="BX2402" s="207" t="n"/>
      <c r="BY2402" s="204" t="n"/>
      <c r="BZ2402" s="148" t="n"/>
      <c r="CA2402" s="204" t="n"/>
      <c r="CB2402" s="208" t="n"/>
      <c r="CC2402" s="139" t="n"/>
      <c r="CD2402" s="204" t="n"/>
      <c r="CE2402" s="204" t="n"/>
      <c r="CF2402" s="207" t="n"/>
      <c r="CG2402" s="208" t="n"/>
      <c r="CH2402" s="207" t="n"/>
      <c r="CI2402" s="208" t="n"/>
      <c r="CJ2402" s="204" t="n"/>
      <c r="CK2402" s="208" t="n"/>
      <c r="CL2402" s="208" t="n"/>
      <c r="CM2402" s="208" t="n"/>
      <c r="CN2402" s="78" t="n"/>
      <c r="CO2402" s="209" t="n"/>
      <c r="CP2402" s="204" t="n"/>
      <c r="CQ2402" s="204" t="n"/>
      <c r="CR2402" s="204" t="n"/>
      <c r="CS2402" s="204" t="n"/>
      <c r="CT2402" s="204" t="n"/>
      <c r="CU2402" s="204" t="n"/>
      <c r="CV2402" s="204" t="n"/>
      <c r="CW2402" s="204" t="n"/>
    </row>
    <row r="2403">
      <c r="BF2403" s="78" t="n"/>
      <c r="BG2403" s="78" t="n"/>
      <c r="BH2403" s="78" t="n"/>
      <c r="BI2403" s="78" t="n"/>
      <c r="BJ2403" s="139" t="n"/>
      <c r="BK2403" s="204" t="n"/>
      <c r="BL2403" s="141" t="n"/>
      <c r="BM2403" s="205" t="n"/>
      <c r="BN2403" s="205" t="n"/>
      <c r="BO2403" s="206" t="n"/>
      <c r="BP2403" s="144" t="n"/>
      <c r="BQ2403" s="141" t="n"/>
      <c r="BR2403" s="207" t="n"/>
      <c r="BS2403" s="207" t="n"/>
      <c r="BT2403" s="207" t="n"/>
      <c r="BU2403" s="207" t="n"/>
      <c r="BV2403" s="208" t="n"/>
      <c r="BW2403" s="207" t="n"/>
      <c r="BX2403" s="207" t="n"/>
      <c r="BY2403" s="204" t="n"/>
      <c r="BZ2403" s="148" t="n"/>
      <c r="CA2403" s="204" t="n"/>
      <c r="CB2403" s="208" t="n"/>
      <c r="CC2403" s="139" t="n"/>
      <c r="CD2403" s="204" t="n"/>
      <c r="CE2403" s="204" t="n"/>
      <c r="CF2403" s="207" t="n"/>
      <c r="CG2403" s="208" t="n"/>
      <c r="CH2403" s="207" t="n"/>
      <c r="CI2403" s="208" t="n"/>
      <c r="CJ2403" s="204" t="n"/>
      <c r="CK2403" s="208" t="n"/>
      <c r="CL2403" s="208" t="n"/>
      <c r="CM2403" s="208" t="n"/>
      <c r="CN2403" s="78" t="n"/>
      <c r="CO2403" s="209" t="n"/>
      <c r="CP2403" s="204" t="n"/>
      <c r="CQ2403" s="204" t="n"/>
      <c r="CR2403" s="204" t="n"/>
      <c r="CS2403" s="204" t="n"/>
      <c r="CT2403" s="204" t="n"/>
      <c r="CU2403" s="204" t="n"/>
      <c r="CV2403" s="204" t="n"/>
      <c r="CW2403" s="204" t="n"/>
    </row>
    <row r="2404">
      <c r="BF2404" s="78" t="n"/>
      <c r="BG2404" s="78" t="n"/>
      <c r="BH2404" s="78" t="n"/>
      <c r="BI2404" s="78" t="n"/>
      <c r="BJ2404" s="139" t="n"/>
      <c r="BK2404" s="204" t="n"/>
      <c r="BL2404" s="141" t="n"/>
      <c r="BM2404" s="205" t="n"/>
      <c r="BN2404" s="205" t="n"/>
      <c r="BO2404" s="206" t="n"/>
      <c r="BP2404" s="144" t="n"/>
      <c r="BQ2404" s="141" t="n"/>
      <c r="BR2404" s="207" t="n"/>
      <c r="BS2404" s="207" t="n"/>
      <c r="BT2404" s="207" t="n"/>
      <c r="BU2404" s="207" t="n"/>
      <c r="BV2404" s="208" t="n"/>
      <c r="BW2404" s="207" t="n"/>
      <c r="BX2404" s="207" t="n"/>
      <c r="BY2404" s="204" t="n"/>
      <c r="BZ2404" s="148" t="n"/>
      <c r="CA2404" s="204" t="n"/>
      <c r="CB2404" s="208" t="n"/>
      <c r="CC2404" s="139" t="n"/>
      <c r="CD2404" s="204" t="n"/>
      <c r="CE2404" s="204" t="n"/>
      <c r="CF2404" s="207" t="n"/>
      <c r="CG2404" s="208" t="n"/>
      <c r="CH2404" s="207" t="n"/>
      <c r="CI2404" s="208" t="n"/>
      <c r="CJ2404" s="204" t="n"/>
      <c r="CK2404" s="208" t="n"/>
      <c r="CL2404" s="208" t="n"/>
      <c r="CM2404" s="208" t="n"/>
      <c r="CN2404" s="78" t="n"/>
      <c r="CO2404" s="209" t="n"/>
      <c r="CP2404" s="204" t="n"/>
      <c r="CQ2404" s="204" t="n"/>
      <c r="CR2404" s="204" t="n"/>
      <c r="CS2404" s="204" t="n"/>
      <c r="CT2404" s="204" t="n"/>
      <c r="CU2404" s="204" t="n"/>
      <c r="CV2404" s="204" t="n"/>
      <c r="CW2404" s="204" t="n"/>
    </row>
    <row r="2405">
      <c r="BF2405" s="78" t="n"/>
      <c r="BG2405" s="78" t="n"/>
      <c r="BH2405" s="78" t="n"/>
      <c r="BI2405" s="78" t="n"/>
      <c r="BJ2405" s="139" t="n"/>
      <c r="BK2405" s="204" t="n"/>
      <c r="BL2405" s="141" t="n"/>
      <c r="BM2405" s="205" t="n"/>
      <c r="BN2405" s="205" t="n"/>
      <c r="BO2405" s="206" t="n"/>
      <c r="BP2405" s="144" t="n"/>
      <c r="BQ2405" s="141" t="n"/>
      <c r="BR2405" s="207" t="n"/>
      <c r="BS2405" s="207" t="n"/>
      <c r="BT2405" s="207" t="n"/>
      <c r="BU2405" s="207" t="n"/>
      <c r="BV2405" s="208" t="n"/>
      <c r="BW2405" s="207" t="n"/>
      <c r="BX2405" s="207" t="n"/>
      <c r="BY2405" s="204" t="n"/>
      <c r="BZ2405" s="148" t="n"/>
      <c r="CA2405" s="204" t="n"/>
      <c r="CB2405" s="208" t="n"/>
      <c r="CC2405" s="139" t="n"/>
      <c r="CD2405" s="204" t="n"/>
      <c r="CE2405" s="204" t="n"/>
      <c r="CF2405" s="207" t="n"/>
      <c r="CG2405" s="208" t="n"/>
      <c r="CH2405" s="207" t="n"/>
      <c r="CI2405" s="208" t="n"/>
      <c r="CJ2405" s="204" t="n"/>
      <c r="CK2405" s="208" t="n"/>
      <c r="CL2405" s="208" t="n"/>
      <c r="CM2405" s="208" t="n"/>
      <c r="CN2405" s="78" t="n"/>
      <c r="CO2405" s="209" t="n"/>
      <c r="CP2405" s="204" t="n"/>
      <c r="CQ2405" s="204" t="n"/>
      <c r="CR2405" s="204" t="n"/>
      <c r="CS2405" s="204" t="n"/>
      <c r="CT2405" s="204" t="n"/>
      <c r="CU2405" s="204" t="n"/>
      <c r="CV2405" s="204" t="n"/>
      <c r="CW2405" s="204" t="n"/>
    </row>
    <row r="2406">
      <c r="BF2406" s="78" t="n"/>
      <c r="BG2406" s="78" t="n"/>
      <c r="BH2406" s="78" t="n"/>
      <c r="BI2406" s="78" t="n"/>
      <c r="BJ2406" s="139" t="n"/>
      <c r="BK2406" s="204" t="n"/>
      <c r="BL2406" s="141" t="n"/>
      <c r="BM2406" s="205" t="n"/>
      <c r="BN2406" s="205" t="n"/>
      <c r="BO2406" s="206" t="n"/>
      <c r="BP2406" s="144" t="n"/>
      <c r="BQ2406" s="141" t="n"/>
      <c r="BR2406" s="207" t="n"/>
      <c r="BS2406" s="207" t="n"/>
      <c r="BT2406" s="207" t="n"/>
      <c r="BU2406" s="207" t="n"/>
      <c r="BV2406" s="208" t="n"/>
      <c r="BW2406" s="207" t="n"/>
      <c r="BX2406" s="207" t="n"/>
      <c r="BY2406" s="204" t="n"/>
      <c r="BZ2406" s="148" t="n"/>
      <c r="CA2406" s="204" t="n"/>
      <c r="CB2406" s="208" t="n"/>
      <c r="CC2406" s="139" t="n"/>
      <c r="CD2406" s="204" t="n"/>
      <c r="CE2406" s="204" t="n"/>
      <c r="CF2406" s="207" t="n"/>
      <c r="CG2406" s="208" t="n"/>
      <c r="CH2406" s="207" t="n"/>
      <c r="CI2406" s="208" t="n"/>
      <c r="CJ2406" s="204" t="n"/>
      <c r="CK2406" s="208" t="n"/>
      <c r="CL2406" s="208" t="n"/>
      <c r="CM2406" s="208" t="n"/>
      <c r="CN2406" s="78" t="n"/>
      <c r="CO2406" s="209" t="n"/>
      <c r="CP2406" s="204" t="n"/>
      <c r="CQ2406" s="204" t="n"/>
      <c r="CR2406" s="204" t="n"/>
      <c r="CS2406" s="204" t="n"/>
      <c r="CT2406" s="204" t="n"/>
      <c r="CU2406" s="204" t="n"/>
      <c r="CV2406" s="204" t="n"/>
      <c r="CW2406" s="204" t="n"/>
    </row>
    <row r="2407">
      <c r="BF2407" s="78" t="n"/>
      <c r="BG2407" s="78" t="n"/>
      <c r="BH2407" s="78" t="n"/>
      <c r="BI2407" s="78" t="n"/>
      <c r="BJ2407" s="139" t="n"/>
      <c r="BK2407" s="204" t="n"/>
      <c r="BL2407" s="141" t="n"/>
      <c r="BM2407" s="205" t="n"/>
      <c r="BN2407" s="205" t="n"/>
      <c r="BO2407" s="206" t="n"/>
      <c r="BP2407" s="144" t="n"/>
      <c r="BQ2407" s="141" t="n"/>
      <c r="BR2407" s="207" t="n"/>
      <c r="BS2407" s="207" t="n"/>
      <c r="BT2407" s="207" t="n"/>
      <c r="BU2407" s="207" t="n"/>
      <c r="BV2407" s="208" t="n"/>
      <c r="BW2407" s="207" t="n"/>
      <c r="BX2407" s="207" t="n"/>
      <c r="BY2407" s="204" t="n"/>
      <c r="BZ2407" s="148" t="n"/>
      <c r="CA2407" s="204" t="n"/>
      <c r="CB2407" s="208" t="n"/>
      <c r="CC2407" s="139" t="n"/>
      <c r="CD2407" s="204" t="n"/>
      <c r="CE2407" s="204" t="n"/>
      <c r="CF2407" s="207" t="n"/>
      <c r="CG2407" s="208" t="n"/>
      <c r="CH2407" s="207" t="n"/>
      <c r="CI2407" s="208" t="n"/>
      <c r="CJ2407" s="204" t="n"/>
      <c r="CK2407" s="208" t="n"/>
      <c r="CL2407" s="208" t="n"/>
      <c r="CM2407" s="208" t="n"/>
      <c r="CN2407" s="78" t="n"/>
      <c r="CO2407" s="209" t="n"/>
      <c r="CP2407" s="204" t="n"/>
      <c r="CQ2407" s="204" t="n"/>
      <c r="CR2407" s="204" t="n"/>
      <c r="CS2407" s="204" t="n"/>
      <c r="CT2407" s="204" t="n"/>
      <c r="CU2407" s="204" t="n"/>
      <c r="CV2407" s="204" t="n"/>
      <c r="CW2407" s="204" t="n"/>
    </row>
    <row r="2408">
      <c r="BF2408" s="78" t="n"/>
      <c r="BG2408" s="78" t="n"/>
      <c r="BH2408" s="78" t="n"/>
      <c r="BI2408" s="78" t="n"/>
      <c r="BJ2408" s="139" t="n"/>
      <c r="BK2408" s="204" t="n"/>
      <c r="BL2408" s="141" t="n"/>
      <c r="BM2408" s="205" t="n"/>
      <c r="BN2408" s="205" t="n"/>
      <c r="BO2408" s="206" t="n"/>
      <c r="BP2408" s="144" t="n"/>
      <c r="BQ2408" s="141" t="n"/>
      <c r="BR2408" s="207" t="n"/>
      <c r="BS2408" s="207" t="n"/>
      <c r="BT2408" s="207" t="n"/>
      <c r="BU2408" s="207" t="n"/>
      <c r="BV2408" s="208" t="n"/>
      <c r="BW2408" s="207" t="n"/>
      <c r="BX2408" s="207" t="n"/>
      <c r="BY2408" s="204" t="n"/>
      <c r="BZ2408" s="148" t="n"/>
      <c r="CA2408" s="204" t="n"/>
      <c r="CB2408" s="208" t="n"/>
      <c r="CC2408" s="139" t="n"/>
      <c r="CD2408" s="204" t="n"/>
      <c r="CE2408" s="204" t="n"/>
      <c r="CF2408" s="207" t="n"/>
      <c r="CG2408" s="208" t="n"/>
      <c r="CH2408" s="207" t="n"/>
      <c r="CI2408" s="208" t="n"/>
      <c r="CJ2408" s="204" t="n"/>
      <c r="CK2408" s="208" t="n"/>
      <c r="CL2408" s="208" t="n"/>
      <c r="CM2408" s="208" t="n"/>
      <c r="CN2408" s="78" t="n"/>
      <c r="CO2408" s="209" t="n"/>
      <c r="CP2408" s="204" t="n"/>
      <c r="CQ2408" s="204" t="n"/>
      <c r="CR2408" s="204" t="n"/>
      <c r="CS2408" s="204" t="n"/>
      <c r="CT2408" s="204" t="n"/>
      <c r="CU2408" s="204" t="n"/>
      <c r="CV2408" s="204" t="n"/>
      <c r="CW2408" s="204" t="n"/>
    </row>
    <row r="2409">
      <c r="BF2409" s="78" t="n"/>
      <c r="BG2409" s="78" t="n"/>
      <c r="BH2409" s="78" t="n"/>
      <c r="BI2409" s="78" t="n"/>
      <c r="BJ2409" s="139" t="n"/>
      <c r="BK2409" s="204" t="n"/>
      <c r="BL2409" s="141" t="n"/>
      <c r="BM2409" s="205" t="n"/>
      <c r="BN2409" s="205" t="n"/>
      <c r="BO2409" s="206" t="n"/>
      <c r="BP2409" s="144" t="n"/>
      <c r="BQ2409" s="141" t="n"/>
      <c r="BR2409" s="207" t="n"/>
      <c r="BS2409" s="207" t="n"/>
      <c r="BT2409" s="207" t="n"/>
      <c r="BU2409" s="207" t="n"/>
      <c r="BV2409" s="208" t="n"/>
      <c r="BW2409" s="207" t="n"/>
      <c r="BX2409" s="207" t="n"/>
      <c r="BY2409" s="204" t="n"/>
      <c r="BZ2409" s="148" t="n"/>
      <c r="CA2409" s="204" t="n"/>
      <c r="CB2409" s="208" t="n"/>
      <c r="CC2409" s="139" t="n"/>
      <c r="CD2409" s="204" t="n"/>
      <c r="CE2409" s="204" t="n"/>
      <c r="CF2409" s="207" t="n"/>
      <c r="CG2409" s="208" t="n"/>
      <c r="CH2409" s="207" t="n"/>
      <c r="CI2409" s="208" t="n"/>
      <c r="CJ2409" s="204" t="n"/>
      <c r="CK2409" s="208" t="n"/>
      <c r="CL2409" s="208" t="n"/>
      <c r="CM2409" s="208" t="n"/>
      <c r="CN2409" s="78" t="n"/>
      <c r="CO2409" s="209" t="n"/>
      <c r="CP2409" s="204" t="n"/>
      <c r="CQ2409" s="204" t="n"/>
      <c r="CR2409" s="204" t="n"/>
      <c r="CS2409" s="204" t="n"/>
      <c r="CT2409" s="204" t="n"/>
      <c r="CU2409" s="204" t="n"/>
      <c r="CV2409" s="204" t="n"/>
      <c r="CW2409" s="204" t="n"/>
    </row>
    <row r="2410">
      <c r="BF2410" s="78" t="n"/>
      <c r="BG2410" s="78" t="n"/>
      <c r="BH2410" s="78" t="n"/>
      <c r="BI2410" s="78" t="n"/>
      <c r="BJ2410" s="139" t="n"/>
      <c r="BK2410" s="204" t="n"/>
      <c r="BL2410" s="141" t="n"/>
      <c r="BM2410" s="205" t="n"/>
      <c r="BN2410" s="205" t="n"/>
      <c r="BO2410" s="206" t="n"/>
      <c r="BP2410" s="144" t="n"/>
      <c r="BQ2410" s="141" t="n"/>
      <c r="BR2410" s="207" t="n"/>
      <c r="BS2410" s="207" t="n"/>
      <c r="BT2410" s="207" t="n"/>
      <c r="BU2410" s="207" t="n"/>
      <c r="BV2410" s="208" t="n"/>
      <c r="BW2410" s="207" t="n"/>
      <c r="BX2410" s="207" t="n"/>
      <c r="BY2410" s="204" t="n"/>
      <c r="BZ2410" s="148" t="n"/>
      <c r="CA2410" s="204" t="n"/>
      <c r="CB2410" s="208" t="n"/>
      <c r="CC2410" s="139" t="n"/>
      <c r="CD2410" s="204" t="n"/>
      <c r="CE2410" s="204" t="n"/>
      <c r="CF2410" s="207" t="n"/>
      <c r="CG2410" s="208" t="n"/>
      <c r="CH2410" s="207" t="n"/>
      <c r="CI2410" s="208" t="n"/>
      <c r="CJ2410" s="204" t="n"/>
      <c r="CK2410" s="208" t="n"/>
      <c r="CL2410" s="208" t="n"/>
      <c r="CM2410" s="208" t="n"/>
      <c r="CN2410" s="78" t="n"/>
      <c r="CO2410" s="209" t="n"/>
      <c r="CP2410" s="204" t="n"/>
      <c r="CQ2410" s="204" t="n"/>
      <c r="CR2410" s="204" t="n"/>
      <c r="CS2410" s="204" t="n"/>
      <c r="CT2410" s="204" t="n"/>
      <c r="CU2410" s="204" t="n"/>
      <c r="CV2410" s="204" t="n"/>
      <c r="CW2410" s="204" t="n"/>
    </row>
    <row r="2411">
      <c r="BF2411" s="78" t="n"/>
      <c r="BG2411" s="78" t="n"/>
      <c r="BH2411" s="78" t="n"/>
      <c r="BI2411" s="78" t="n"/>
      <c r="BJ2411" s="139" t="n"/>
      <c r="BK2411" s="204" t="n"/>
      <c r="BL2411" s="141" t="n"/>
      <c r="BM2411" s="205" t="n"/>
      <c r="BN2411" s="205" t="n"/>
      <c r="BO2411" s="206" t="n"/>
      <c r="BP2411" s="144" t="n"/>
      <c r="BQ2411" s="141" t="n"/>
      <c r="BR2411" s="207" t="n"/>
      <c r="BS2411" s="207" t="n"/>
      <c r="BT2411" s="207" t="n"/>
      <c r="BU2411" s="207" t="n"/>
      <c r="BV2411" s="208" t="n"/>
      <c r="BW2411" s="207" t="n"/>
      <c r="BX2411" s="207" t="n"/>
      <c r="BY2411" s="204" t="n"/>
      <c r="BZ2411" s="148" t="n"/>
      <c r="CA2411" s="204" t="n"/>
      <c r="CB2411" s="208" t="n"/>
      <c r="CC2411" s="139" t="n"/>
      <c r="CD2411" s="204" t="n"/>
      <c r="CE2411" s="204" t="n"/>
      <c r="CF2411" s="207" t="n"/>
      <c r="CG2411" s="208" t="n"/>
      <c r="CH2411" s="207" t="n"/>
      <c r="CI2411" s="208" t="n"/>
      <c r="CJ2411" s="204" t="n"/>
      <c r="CK2411" s="208" t="n"/>
      <c r="CL2411" s="208" t="n"/>
      <c r="CM2411" s="208" t="n"/>
      <c r="CN2411" s="78" t="n"/>
      <c r="CO2411" s="209" t="n"/>
      <c r="CP2411" s="204" t="n"/>
      <c r="CQ2411" s="204" t="n"/>
      <c r="CR2411" s="204" t="n"/>
      <c r="CS2411" s="204" t="n"/>
      <c r="CT2411" s="204" t="n"/>
      <c r="CU2411" s="204" t="n"/>
      <c r="CV2411" s="204" t="n"/>
      <c r="CW2411" s="204" t="n"/>
    </row>
    <row r="2412">
      <c r="BF2412" s="78" t="n"/>
      <c r="BG2412" s="78" t="n"/>
      <c r="BH2412" s="78" t="n"/>
      <c r="BI2412" s="78" t="n"/>
      <c r="BJ2412" s="139" t="n"/>
      <c r="BK2412" s="204" t="n"/>
      <c r="BL2412" s="141" t="n"/>
      <c r="BM2412" s="205" t="n"/>
      <c r="BN2412" s="205" t="n"/>
      <c r="BO2412" s="206" t="n"/>
      <c r="BP2412" s="144" t="n"/>
      <c r="BQ2412" s="141" t="n"/>
      <c r="BR2412" s="207" t="n"/>
      <c r="BS2412" s="207" t="n"/>
      <c r="BT2412" s="207" t="n"/>
      <c r="BU2412" s="207" t="n"/>
      <c r="BV2412" s="208" t="n"/>
      <c r="BW2412" s="207" t="n"/>
      <c r="BX2412" s="207" t="n"/>
      <c r="BY2412" s="204" t="n"/>
      <c r="BZ2412" s="148" t="n"/>
      <c r="CA2412" s="204" t="n"/>
      <c r="CB2412" s="208" t="n"/>
      <c r="CC2412" s="139" t="n"/>
      <c r="CD2412" s="204" t="n"/>
      <c r="CE2412" s="204" t="n"/>
      <c r="CF2412" s="207" t="n"/>
      <c r="CG2412" s="208" t="n"/>
      <c r="CH2412" s="207" t="n"/>
      <c r="CI2412" s="208" t="n"/>
      <c r="CJ2412" s="204" t="n"/>
      <c r="CK2412" s="208" t="n"/>
      <c r="CL2412" s="208" t="n"/>
      <c r="CM2412" s="208" t="n"/>
      <c r="CN2412" s="78" t="n"/>
      <c r="CO2412" s="209" t="n"/>
      <c r="CP2412" s="204" t="n"/>
      <c r="CQ2412" s="204" t="n"/>
      <c r="CR2412" s="204" t="n"/>
      <c r="CS2412" s="204" t="n"/>
      <c r="CT2412" s="204" t="n"/>
      <c r="CU2412" s="204" t="n"/>
      <c r="CV2412" s="204" t="n"/>
      <c r="CW2412" s="204" t="n"/>
    </row>
    <row r="2413">
      <c r="AR2413" s="151" t="n"/>
      <c r="BF2413" s="78" t="n"/>
      <c r="BG2413" s="78" t="n"/>
      <c r="BH2413" s="78" t="n"/>
      <c r="BI2413" s="78" t="n"/>
      <c r="BJ2413" s="139" t="n"/>
      <c r="BK2413" s="204" t="n"/>
      <c r="BL2413" s="141" t="n"/>
      <c r="BM2413" s="205" t="n"/>
      <c r="BN2413" s="205" t="n"/>
      <c r="BO2413" s="206" t="n"/>
      <c r="BP2413" s="144" t="n"/>
      <c r="BQ2413" s="141" t="n"/>
      <c r="BR2413" s="207" t="n"/>
      <c r="BS2413" s="207" t="n"/>
      <c r="BT2413" s="207" t="n"/>
      <c r="BU2413" s="207" t="n"/>
      <c r="BV2413" s="208" t="n"/>
      <c r="BW2413" s="207" t="n"/>
      <c r="BX2413" s="207" t="n"/>
      <c r="BY2413" s="204" t="n"/>
      <c r="BZ2413" s="148" t="n"/>
      <c r="CA2413" s="204" t="n"/>
      <c r="CB2413" s="208" t="n"/>
      <c r="CC2413" s="139" t="n"/>
      <c r="CD2413" s="204" t="n"/>
      <c r="CE2413" s="204" t="n"/>
      <c r="CF2413" s="207" t="n"/>
      <c r="CG2413" s="208" t="n"/>
      <c r="CH2413" s="207" t="n"/>
      <c r="CI2413" s="208" t="n"/>
      <c r="CJ2413" s="204" t="n"/>
      <c r="CK2413" s="208" t="n"/>
      <c r="CL2413" s="208" t="n"/>
      <c r="CM2413" s="208" t="n"/>
      <c r="CN2413" s="78" t="n"/>
      <c r="CO2413" s="209" t="n"/>
      <c r="CP2413" s="204" t="n"/>
      <c r="CQ2413" s="204" t="n"/>
      <c r="CR2413" s="204" t="n"/>
      <c r="CS2413" s="204" t="n"/>
      <c r="CT2413" s="204" t="n"/>
      <c r="CU2413" s="204" t="n"/>
      <c r="CV2413" s="204" t="n"/>
      <c r="CW2413" s="204" t="n"/>
    </row>
    <row r="2414">
      <c r="AR2414" s="151" t="n"/>
      <c r="BF2414" s="78" t="n"/>
      <c r="BG2414" s="78" t="n"/>
      <c r="BH2414" s="78" t="n"/>
      <c r="BI2414" s="78" t="n"/>
      <c r="BJ2414" s="139" t="n"/>
      <c r="BK2414" s="204" t="n"/>
      <c r="BL2414" s="141" t="n"/>
      <c r="BM2414" s="205" t="n"/>
      <c r="BN2414" s="205" t="n"/>
      <c r="BO2414" s="206" t="n"/>
      <c r="BP2414" s="144" t="n"/>
      <c r="BQ2414" s="141" t="n"/>
      <c r="BR2414" s="207" t="n"/>
      <c r="BS2414" s="207" t="n"/>
      <c r="BT2414" s="207" t="n"/>
      <c r="BU2414" s="207" t="n"/>
      <c r="BV2414" s="208" t="n"/>
      <c r="BW2414" s="207" t="n"/>
      <c r="BX2414" s="207" t="n"/>
      <c r="BY2414" s="204" t="n"/>
      <c r="BZ2414" s="148" t="n"/>
      <c r="CA2414" s="204" t="n"/>
      <c r="CB2414" s="208" t="n"/>
      <c r="CC2414" s="139" t="n"/>
      <c r="CD2414" s="204" t="n"/>
      <c r="CE2414" s="204" t="n"/>
      <c r="CF2414" s="207" t="n"/>
      <c r="CG2414" s="208" t="n"/>
      <c r="CH2414" s="207" t="n"/>
      <c r="CI2414" s="208" t="n"/>
      <c r="CJ2414" s="204" t="n"/>
      <c r="CK2414" s="208" t="n"/>
      <c r="CL2414" s="208" t="n"/>
      <c r="CM2414" s="208" t="n"/>
      <c r="CN2414" s="78" t="n"/>
      <c r="CO2414" s="209" t="n"/>
      <c r="CP2414" s="204" t="n"/>
      <c r="CQ2414" s="204" t="n"/>
      <c r="CR2414" s="204" t="n"/>
      <c r="CS2414" s="204" t="n"/>
      <c r="CT2414" s="204" t="n"/>
      <c r="CU2414" s="204" t="n"/>
      <c r="CV2414" s="204" t="n"/>
      <c r="CW2414" s="204" t="n"/>
    </row>
    <row r="2415">
      <c r="BF2415" s="78" t="n"/>
      <c r="BG2415" s="78" t="n"/>
      <c r="BH2415" s="78" t="n"/>
      <c r="BI2415" s="78" t="n"/>
      <c r="BJ2415" s="139" t="n"/>
      <c r="BK2415" s="204" t="n"/>
      <c r="BL2415" s="141" t="n"/>
      <c r="BM2415" s="205" t="n"/>
      <c r="BN2415" s="205" t="n"/>
      <c r="BO2415" s="206" t="n"/>
      <c r="BP2415" s="144" t="n"/>
      <c r="BQ2415" s="141" t="n"/>
      <c r="BR2415" s="207" t="n"/>
      <c r="BS2415" s="207" t="n"/>
      <c r="BT2415" s="207" t="n"/>
      <c r="BU2415" s="207" t="n"/>
      <c r="BV2415" s="208" t="n"/>
      <c r="BW2415" s="207" t="n"/>
      <c r="BX2415" s="207" t="n"/>
      <c r="BY2415" s="204" t="n"/>
      <c r="BZ2415" s="148" t="n"/>
      <c r="CA2415" s="204" t="n"/>
      <c r="CB2415" s="208" t="n"/>
      <c r="CC2415" s="139" t="n"/>
      <c r="CD2415" s="204" t="n"/>
      <c r="CE2415" s="204" t="n"/>
      <c r="CF2415" s="207" t="n"/>
      <c r="CG2415" s="208" t="n"/>
      <c r="CH2415" s="207" t="n"/>
      <c r="CI2415" s="208" t="n"/>
      <c r="CJ2415" s="204" t="n"/>
      <c r="CK2415" s="208" t="n"/>
      <c r="CL2415" s="208" t="n"/>
      <c r="CM2415" s="208" t="n"/>
      <c r="CN2415" s="78" t="n"/>
      <c r="CO2415" s="209" t="n"/>
      <c r="CP2415" s="204" t="n"/>
      <c r="CQ2415" s="204" t="n"/>
      <c r="CR2415" s="204" t="n"/>
      <c r="CS2415" s="204" t="n"/>
      <c r="CT2415" s="204" t="n"/>
      <c r="CU2415" s="204" t="n"/>
      <c r="CV2415" s="204" t="n"/>
      <c r="CW2415" s="204" t="n"/>
    </row>
    <row r="2416">
      <c r="AR2416" s="151" t="n"/>
      <c r="BF2416" s="78" t="n"/>
      <c r="BG2416" s="78" t="n"/>
      <c r="BH2416" s="78" t="n"/>
      <c r="BI2416" s="78" t="n"/>
      <c r="BJ2416" s="139" t="n"/>
      <c r="BK2416" s="204" t="n"/>
      <c r="BL2416" s="141" t="n"/>
      <c r="BM2416" s="205" t="n"/>
      <c r="BN2416" s="205" t="n"/>
      <c r="BO2416" s="206" t="n"/>
      <c r="BP2416" s="144" t="n"/>
      <c r="BQ2416" s="141" t="n"/>
      <c r="BR2416" s="207" t="n"/>
      <c r="BS2416" s="207" t="n"/>
      <c r="BT2416" s="207" t="n"/>
      <c r="BU2416" s="207" t="n"/>
      <c r="BV2416" s="208" t="n"/>
      <c r="BW2416" s="207" t="n"/>
      <c r="BX2416" s="207" t="n"/>
      <c r="BY2416" s="204" t="n"/>
      <c r="BZ2416" s="148" t="n"/>
      <c r="CA2416" s="204" t="n"/>
      <c r="CB2416" s="208" t="n"/>
      <c r="CC2416" s="139" t="n"/>
      <c r="CD2416" s="204" t="n"/>
      <c r="CE2416" s="204" t="n"/>
      <c r="CF2416" s="207" t="n"/>
      <c r="CG2416" s="208" t="n"/>
      <c r="CH2416" s="207" t="n"/>
      <c r="CI2416" s="208" t="n"/>
      <c r="CJ2416" s="204" t="n"/>
      <c r="CK2416" s="208" t="n"/>
      <c r="CL2416" s="208" t="n"/>
      <c r="CM2416" s="208" t="n"/>
      <c r="CN2416" s="78" t="n"/>
      <c r="CO2416" s="209" t="n"/>
      <c r="CP2416" s="204" t="n"/>
      <c r="CQ2416" s="204" t="n"/>
      <c r="CR2416" s="204" t="n"/>
      <c r="CS2416" s="204" t="n"/>
      <c r="CT2416" s="204" t="n"/>
      <c r="CU2416" s="204" t="n"/>
      <c r="CV2416" s="204" t="n"/>
      <c r="CW2416" s="204" t="n"/>
    </row>
    <row r="2417">
      <c r="BF2417" s="78" t="n"/>
      <c r="BG2417" s="78" t="n"/>
      <c r="BH2417" s="78" t="n"/>
      <c r="BI2417" s="78" t="n"/>
      <c r="BJ2417" s="139" t="n"/>
      <c r="BK2417" s="204" t="n"/>
      <c r="BL2417" s="141" t="n"/>
      <c r="BM2417" s="205" t="n"/>
      <c r="BN2417" s="205" t="n"/>
      <c r="BO2417" s="206" t="n"/>
      <c r="BP2417" s="144" t="n"/>
      <c r="BQ2417" s="141" t="n"/>
      <c r="BR2417" s="207" t="n"/>
      <c r="BS2417" s="207" t="n"/>
      <c r="BT2417" s="207" t="n"/>
      <c r="BU2417" s="207" t="n"/>
      <c r="BV2417" s="208" t="n"/>
      <c r="BW2417" s="207" t="n"/>
      <c r="BX2417" s="207" t="n"/>
      <c r="BY2417" s="204" t="n"/>
      <c r="BZ2417" s="148" t="n"/>
      <c r="CA2417" s="204" t="n"/>
      <c r="CB2417" s="208" t="n"/>
      <c r="CC2417" s="139" t="n"/>
      <c r="CD2417" s="204" t="n"/>
      <c r="CE2417" s="204" t="n"/>
      <c r="CF2417" s="207" t="n"/>
      <c r="CG2417" s="208" t="n"/>
      <c r="CH2417" s="207" t="n"/>
      <c r="CI2417" s="208" t="n"/>
      <c r="CJ2417" s="204" t="n"/>
      <c r="CK2417" s="208" t="n"/>
      <c r="CL2417" s="208" t="n"/>
      <c r="CM2417" s="208" t="n"/>
      <c r="CN2417" s="78" t="n"/>
      <c r="CO2417" s="209" t="n"/>
      <c r="CP2417" s="204" t="n"/>
      <c r="CQ2417" s="204" t="n"/>
      <c r="CR2417" s="204" t="n"/>
      <c r="CS2417" s="204" t="n"/>
      <c r="CT2417" s="204" t="n"/>
      <c r="CU2417" s="204" t="n"/>
      <c r="CV2417" s="204" t="n"/>
      <c r="CW2417" s="204" t="n"/>
    </row>
    <row r="2418">
      <c r="BF2418" s="78" t="n"/>
      <c r="BG2418" s="78" t="n"/>
      <c r="BH2418" s="78" t="n"/>
      <c r="BI2418" s="78" t="n"/>
      <c r="BJ2418" s="139" t="n"/>
      <c r="BK2418" s="204" t="n"/>
      <c r="BL2418" s="141" t="n"/>
      <c r="BM2418" s="205" t="n"/>
      <c r="BN2418" s="205" t="n"/>
      <c r="BO2418" s="206" t="n"/>
      <c r="BP2418" s="144" t="n"/>
      <c r="BQ2418" s="141" t="n"/>
      <c r="BR2418" s="207" t="n"/>
      <c r="BS2418" s="207" t="n"/>
      <c r="BT2418" s="207" t="n"/>
      <c r="BU2418" s="207" t="n"/>
      <c r="BV2418" s="208" t="n"/>
      <c r="BW2418" s="207" t="n"/>
      <c r="BX2418" s="207" t="n"/>
      <c r="BY2418" s="204" t="n"/>
      <c r="BZ2418" s="148" t="n"/>
      <c r="CA2418" s="204" t="n"/>
      <c r="CB2418" s="208" t="n"/>
      <c r="CC2418" s="139" t="n"/>
      <c r="CD2418" s="204" t="n"/>
      <c r="CE2418" s="204" t="n"/>
      <c r="CF2418" s="207" t="n"/>
      <c r="CG2418" s="208" t="n"/>
      <c r="CH2418" s="207" t="n"/>
      <c r="CI2418" s="208" t="n"/>
      <c r="CJ2418" s="204" t="n"/>
      <c r="CK2418" s="208" t="n"/>
      <c r="CL2418" s="208" t="n"/>
      <c r="CM2418" s="208" t="n"/>
      <c r="CN2418" s="78" t="n"/>
      <c r="CO2418" s="209" t="n"/>
      <c r="CP2418" s="204" t="n"/>
      <c r="CQ2418" s="204" t="n"/>
      <c r="CR2418" s="204" t="n"/>
      <c r="CS2418" s="204" t="n"/>
      <c r="CT2418" s="204" t="n"/>
      <c r="CU2418" s="204" t="n"/>
      <c r="CV2418" s="204" t="n"/>
      <c r="CW2418" s="204" t="n"/>
    </row>
    <row r="2419">
      <c r="BF2419" s="78" t="n"/>
      <c r="BG2419" s="78" t="n"/>
      <c r="BH2419" s="78" t="n"/>
      <c r="BI2419" s="78" t="n"/>
      <c r="BJ2419" s="139" t="n"/>
      <c r="BK2419" s="204" t="n"/>
      <c r="BL2419" s="141" t="n"/>
      <c r="BM2419" s="205" t="n"/>
      <c r="BN2419" s="205" t="n"/>
      <c r="BO2419" s="206" t="n"/>
      <c r="BP2419" s="144" t="n"/>
      <c r="BQ2419" s="141" t="n"/>
      <c r="BR2419" s="207" t="n"/>
      <c r="BS2419" s="207" t="n"/>
      <c r="BT2419" s="207" t="n"/>
      <c r="BU2419" s="207" t="n"/>
      <c r="BV2419" s="208" t="n"/>
      <c r="BW2419" s="207" t="n"/>
      <c r="BX2419" s="207" t="n"/>
      <c r="BY2419" s="204" t="n"/>
      <c r="BZ2419" s="148" t="n"/>
      <c r="CA2419" s="204" t="n"/>
      <c r="CB2419" s="208" t="n"/>
      <c r="CC2419" s="139" t="n"/>
      <c r="CD2419" s="204" t="n"/>
      <c r="CE2419" s="204" t="n"/>
      <c r="CF2419" s="207" t="n"/>
      <c r="CG2419" s="208" t="n"/>
      <c r="CH2419" s="207" t="n"/>
      <c r="CI2419" s="208" t="n"/>
      <c r="CJ2419" s="204" t="n"/>
      <c r="CK2419" s="208" t="n"/>
      <c r="CL2419" s="208" t="n"/>
      <c r="CM2419" s="208" t="n"/>
      <c r="CN2419" s="78" t="n"/>
      <c r="CO2419" s="209" t="n"/>
      <c r="CP2419" s="204" t="n"/>
      <c r="CQ2419" s="204" t="n"/>
      <c r="CR2419" s="204" t="n"/>
      <c r="CS2419" s="204" t="n"/>
      <c r="CT2419" s="204" t="n"/>
      <c r="CU2419" s="204" t="n"/>
      <c r="CV2419" s="204" t="n"/>
      <c r="CW2419" s="204" t="n"/>
    </row>
    <row r="2420">
      <c r="BF2420" s="78" t="n"/>
      <c r="BG2420" s="78" t="n"/>
      <c r="BH2420" s="78" t="n"/>
      <c r="BI2420" s="78" t="n"/>
      <c r="BJ2420" s="139" t="n"/>
      <c r="BK2420" s="204" t="n"/>
      <c r="BL2420" s="141" t="n"/>
      <c r="BM2420" s="205" t="n"/>
      <c r="BN2420" s="205" t="n"/>
      <c r="BO2420" s="206" t="n"/>
      <c r="BP2420" s="144" t="n"/>
      <c r="BQ2420" s="141" t="n"/>
      <c r="BR2420" s="207" t="n"/>
      <c r="BS2420" s="207" t="n"/>
      <c r="BT2420" s="207" t="n"/>
      <c r="BU2420" s="207" t="n"/>
      <c r="BV2420" s="208" t="n"/>
      <c r="BW2420" s="207" t="n"/>
      <c r="BX2420" s="207" t="n"/>
      <c r="BY2420" s="204" t="n"/>
      <c r="BZ2420" s="148" t="n"/>
      <c r="CA2420" s="204" t="n"/>
      <c r="CB2420" s="208" t="n"/>
      <c r="CC2420" s="139" t="n"/>
      <c r="CD2420" s="204" t="n"/>
      <c r="CE2420" s="204" t="n"/>
      <c r="CF2420" s="207" t="n"/>
      <c r="CG2420" s="208" t="n"/>
      <c r="CH2420" s="207" t="n"/>
      <c r="CI2420" s="208" t="n"/>
      <c r="CJ2420" s="204" t="n"/>
      <c r="CK2420" s="208" t="n"/>
      <c r="CL2420" s="208" t="n"/>
      <c r="CM2420" s="208" t="n"/>
      <c r="CN2420" s="78" t="n"/>
      <c r="CO2420" s="209" t="n"/>
      <c r="CP2420" s="204" t="n"/>
      <c r="CQ2420" s="204" t="n"/>
      <c r="CR2420" s="204" t="n"/>
      <c r="CS2420" s="204" t="n"/>
      <c r="CT2420" s="204" t="n"/>
      <c r="CU2420" s="204" t="n"/>
      <c r="CV2420" s="204" t="n"/>
      <c r="CW2420" s="204" t="n"/>
    </row>
    <row r="2421">
      <c r="BF2421" s="78" t="n"/>
      <c r="BG2421" s="78" t="n"/>
      <c r="BH2421" s="78" t="n"/>
      <c r="BI2421" s="78" t="n"/>
      <c r="BJ2421" s="139" t="n"/>
      <c r="BK2421" s="204" t="n"/>
      <c r="BL2421" s="141" t="n"/>
      <c r="BM2421" s="205" t="n"/>
      <c r="BN2421" s="205" t="n"/>
      <c r="BO2421" s="206" t="n"/>
      <c r="BP2421" s="144" t="n"/>
      <c r="BQ2421" s="141" t="n"/>
      <c r="BR2421" s="207" t="n"/>
      <c r="BS2421" s="207" t="n"/>
      <c r="BT2421" s="207" t="n"/>
      <c r="BU2421" s="207" t="n"/>
      <c r="BV2421" s="208" t="n"/>
      <c r="BW2421" s="207" t="n"/>
      <c r="BX2421" s="207" t="n"/>
      <c r="BY2421" s="204" t="n"/>
      <c r="BZ2421" s="148" t="n"/>
      <c r="CA2421" s="204" t="n"/>
      <c r="CB2421" s="208" t="n"/>
      <c r="CC2421" s="139" t="n"/>
      <c r="CD2421" s="204" t="n"/>
      <c r="CE2421" s="204" t="n"/>
      <c r="CF2421" s="207" t="n"/>
      <c r="CG2421" s="208" t="n"/>
      <c r="CH2421" s="207" t="n"/>
      <c r="CI2421" s="208" t="n"/>
      <c r="CJ2421" s="204" t="n"/>
      <c r="CK2421" s="208" t="n"/>
      <c r="CL2421" s="208" t="n"/>
      <c r="CM2421" s="208" t="n"/>
      <c r="CN2421" s="78" t="n"/>
      <c r="CO2421" s="209" t="n"/>
      <c r="CP2421" s="204" t="n"/>
      <c r="CQ2421" s="204" t="n"/>
      <c r="CR2421" s="204" t="n"/>
      <c r="CS2421" s="204" t="n"/>
      <c r="CT2421" s="204" t="n"/>
      <c r="CU2421" s="204" t="n"/>
      <c r="CV2421" s="204" t="n"/>
      <c r="CW2421" s="204" t="n"/>
    </row>
    <row r="2422">
      <c r="BF2422" s="78" t="n"/>
      <c r="BG2422" s="78" t="n"/>
      <c r="BH2422" s="78" t="n"/>
      <c r="BI2422" s="78" t="n"/>
      <c r="BJ2422" s="139" t="n"/>
      <c r="BK2422" s="204" t="n"/>
      <c r="BL2422" s="141" t="n"/>
      <c r="BM2422" s="205" t="n"/>
      <c r="BN2422" s="205" t="n"/>
      <c r="BO2422" s="206" t="n"/>
      <c r="BP2422" s="144" t="n"/>
      <c r="BQ2422" s="141" t="n"/>
      <c r="BR2422" s="207" t="n"/>
      <c r="BS2422" s="207" t="n"/>
      <c r="BT2422" s="207" t="n"/>
      <c r="BU2422" s="207" t="n"/>
      <c r="BV2422" s="208" t="n"/>
      <c r="BW2422" s="207" t="n"/>
      <c r="BX2422" s="207" t="n"/>
      <c r="BY2422" s="204" t="n"/>
      <c r="BZ2422" s="148" t="n"/>
      <c r="CA2422" s="204" t="n"/>
      <c r="CB2422" s="208" t="n"/>
      <c r="CC2422" s="139" t="n"/>
      <c r="CD2422" s="204" t="n"/>
      <c r="CE2422" s="204" t="n"/>
      <c r="CF2422" s="207" t="n"/>
      <c r="CG2422" s="208" t="n"/>
      <c r="CH2422" s="207" t="n"/>
      <c r="CI2422" s="208" t="n"/>
      <c r="CJ2422" s="204" t="n"/>
      <c r="CK2422" s="208" t="n"/>
      <c r="CL2422" s="208" t="n"/>
      <c r="CM2422" s="208" t="n"/>
      <c r="CN2422" s="78" t="n"/>
      <c r="CO2422" s="209" t="n"/>
      <c r="CP2422" s="204" t="n"/>
      <c r="CQ2422" s="204" t="n"/>
      <c r="CR2422" s="204" t="n"/>
      <c r="CS2422" s="204" t="n"/>
      <c r="CT2422" s="204" t="n"/>
      <c r="CU2422" s="204" t="n"/>
      <c r="CV2422" s="204" t="n"/>
      <c r="CW2422" s="204" t="n"/>
    </row>
    <row r="2423">
      <c r="BF2423" s="78" t="n"/>
      <c r="BG2423" s="78" t="n"/>
      <c r="BH2423" s="78" t="n"/>
      <c r="BI2423" s="78" t="n"/>
      <c r="BJ2423" s="139" t="n"/>
      <c r="BK2423" s="204" t="n"/>
      <c r="BL2423" s="141" t="n"/>
      <c r="BM2423" s="205" t="n"/>
      <c r="BN2423" s="205" t="n"/>
      <c r="BO2423" s="206" t="n"/>
      <c r="BP2423" s="144" t="n"/>
      <c r="BQ2423" s="141" t="n"/>
      <c r="BR2423" s="207" t="n"/>
      <c r="BS2423" s="207" t="n"/>
      <c r="BT2423" s="207" t="n"/>
      <c r="BU2423" s="207" t="n"/>
      <c r="BV2423" s="208" t="n"/>
      <c r="BW2423" s="207" t="n"/>
      <c r="BX2423" s="207" t="n"/>
      <c r="BY2423" s="204" t="n"/>
      <c r="BZ2423" s="148" t="n"/>
      <c r="CA2423" s="204" t="n"/>
      <c r="CB2423" s="208" t="n"/>
      <c r="CC2423" s="139" t="n"/>
      <c r="CD2423" s="204" t="n"/>
      <c r="CE2423" s="204" t="n"/>
      <c r="CF2423" s="207" t="n"/>
      <c r="CG2423" s="208" t="n"/>
      <c r="CH2423" s="207" t="n"/>
      <c r="CI2423" s="208" t="n"/>
      <c r="CJ2423" s="204" t="n"/>
      <c r="CK2423" s="208" t="n"/>
      <c r="CL2423" s="208" t="n"/>
      <c r="CM2423" s="208" t="n"/>
      <c r="CN2423" s="78" t="n"/>
      <c r="CO2423" s="209" t="n"/>
      <c r="CP2423" s="204" t="n"/>
      <c r="CQ2423" s="204" t="n"/>
      <c r="CR2423" s="204" t="n"/>
      <c r="CS2423" s="204" t="n"/>
      <c r="CT2423" s="204" t="n"/>
      <c r="CU2423" s="204" t="n"/>
      <c r="CV2423" s="204" t="n"/>
      <c r="CW2423" s="204" t="n"/>
    </row>
    <row r="2424">
      <c r="BF2424" s="78" t="n"/>
      <c r="BG2424" s="78" t="n"/>
      <c r="BH2424" s="78" t="n"/>
      <c r="BI2424" s="78" t="n"/>
      <c r="BJ2424" s="139" t="n"/>
      <c r="BK2424" s="204" t="n"/>
      <c r="BL2424" s="141" t="n"/>
      <c r="BM2424" s="205" t="n"/>
      <c r="BN2424" s="205" t="n"/>
      <c r="BO2424" s="206" t="n"/>
      <c r="BP2424" s="144" t="n"/>
      <c r="BQ2424" s="141" t="n"/>
      <c r="BR2424" s="207" t="n"/>
      <c r="BS2424" s="207" t="n"/>
      <c r="BT2424" s="207" t="n"/>
      <c r="BU2424" s="207" t="n"/>
      <c r="BV2424" s="208" t="n"/>
      <c r="BW2424" s="207" t="n"/>
      <c r="BX2424" s="207" t="n"/>
      <c r="BY2424" s="204" t="n"/>
      <c r="BZ2424" s="148" t="n"/>
      <c r="CA2424" s="204" t="n"/>
      <c r="CB2424" s="208" t="n"/>
      <c r="CC2424" s="139" t="n"/>
      <c r="CD2424" s="204" t="n"/>
      <c r="CE2424" s="204" t="n"/>
      <c r="CF2424" s="207" t="n"/>
      <c r="CG2424" s="208" t="n"/>
      <c r="CH2424" s="207" t="n"/>
      <c r="CI2424" s="208" t="n"/>
      <c r="CJ2424" s="204" t="n"/>
      <c r="CK2424" s="208" t="n"/>
      <c r="CL2424" s="208" t="n"/>
      <c r="CM2424" s="208" t="n"/>
      <c r="CN2424" s="78" t="n"/>
      <c r="CO2424" s="209" t="n"/>
      <c r="CP2424" s="204" t="n"/>
      <c r="CQ2424" s="204" t="n"/>
      <c r="CR2424" s="204" t="n"/>
      <c r="CS2424" s="204" t="n"/>
      <c r="CT2424" s="204" t="n"/>
      <c r="CU2424" s="204" t="n"/>
      <c r="CV2424" s="204" t="n"/>
      <c r="CW2424" s="204" t="n"/>
    </row>
    <row r="2425">
      <c r="BF2425" s="78" t="n"/>
      <c r="BG2425" s="78" t="n"/>
      <c r="BH2425" s="78" t="n"/>
      <c r="BI2425" s="78" t="n"/>
      <c r="BJ2425" s="139" t="n"/>
      <c r="BK2425" s="204" t="n"/>
      <c r="BL2425" s="141" t="n"/>
      <c r="BM2425" s="205" t="n"/>
      <c r="BN2425" s="205" t="n"/>
      <c r="BO2425" s="206" t="n"/>
      <c r="BP2425" s="144" t="n"/>
      <c r="BQ2425" s="141" t="n"/>
      <c r="BR2425" s="207" t="n"/>
      <c r="BS2425" s="207" t="n"/>
      <c r="BT2425" s="207" t="n"/>
      <c r="BU2425" s="207" t="n"/>
      <c r="BV2425" s="208" t="n"/>
      <c r="BW2425" s="207" t="n"/>
      <c r="BX2425" s="207" t="n"/>
      <c r="BY2425" s="204" t="n"/>
      <c r="BZ2425" s="148" t="n"/>
      <c r="CA2425" s="204" t="n"/>
      <c r="CB2425" s="208" t="n"/>
      <c r="CC2425" s="139" t="n"/>
      <c r="CD2425" s="204" t="n"/>
      <c r="CE2425" s="204" t="n"/>
      <c r="CF2425" s="207" t="n"/>
      <c r="CG2425" s="208" t="n"/>
      <c r="CH2425" s="207" t="n"/>
      <c r="CI2425" s="208" t="n"/>
      <c r="CJ2425" s="204" t="n"/>
      <c r="CK2425" s="208" t="n"/>
      <c r="CL2425" s="208" t="n"/>
      <c r="CM2425" s="208" t="n"/>
      <c r="CN2425" s="78" t="n"/>
      <c r="CO2425" s="209" t="n"/>
      <c r="CP2425" s="204" t="n"/>
      <c r="CQ2425" s="204" t="n"/>
      <c r="CR2425" s="204" t="n"/>
      <c r="CS2425" s="204" t="n"/>
      <c r="CT2425" s="204" t="n"/>
      <c r="CU2425" s="204" t="n"/>
      <c r="CV2425" s="204" t="n"/>
      <c r="CW2425" s="204" t="n"/>
    </row>
    <row r="2426">
      <c r="BF2426" s="78" t="n"/>
      <c r="BG2426" s="78" t="n"/>
      <c r="BH2426" s="78" t="n"/>
      <c r="BI2426" s="78" t="n"/>
      <c r="BJ2426" s="139" t="n"/>
      <c r="BK2426" s="204" t="n"/>
      <c r="BL2426" s="141" t="n"/>
      <c r="BM2426" s="205" t="n"/>
      <c r="BN2426" s="205" t="n"/>
      <c r="BO2426" s="206" t="n"/>
      <c r="BP2426" s="144" t="n"/>
      <c r="BQ2426" s="141" t="n"/>
      <c r="BR2426" s="207" t="n"/>
      <c r="BS2426" s="207" t="n"/>
      <c r="BT2426" s="207" t="n"/>
      <c r="BU2426" s="207" t="n"/>
      <c r="BV2426" s="208" t="n"/>
      <c r="BW2426" s="207" t="n"/>
      <c r="BX2426" s="207" t="n"/>
      <c r="BY2426" s="204" t="n"/>
      <c r="BZ2426" s="148" t="n"/>
      <c r="CA2426" s="204" t="n"/>
      <c r="CB2426" s="208" t="n"/>
      <c r="CC2426" s="139" t="n"/>
      <c r="CD2426" s="204" t="n"/>
      <c r="CE2426" s="204" t="n"/>
      <c r="CF2426" s="207" t="n"/>
      <c r="CG2426" s="208" t="n"/>
      <c r="CH2426" s="207" t="n"/>
      <c r="CI2426" s="208" t="n"/>
      <c r="CJ2426" s="204" t="n"/>
      <c r="CK2426" s="208" t="n"/>
      <c r="CL2426" s="208" t="n"/>
      <c r="CM2426" s="208" t="n"/>
      <c r="CN2426" s="78" t="n"/>
      <c r="CO2426" s="209" t="n"/>
      <c r="CP2426" s="204" t="n"/>
      <c r="CQ2426" s="204" t="n"/>
      <c r="CR2426" s="204" t="n"/>
      <c r="CS2426" s="204" t="n"/>
      <c r="CT2426" s="204" t="n"/>
      <c r="CU2426" s="204" t="n"/>
      <c r="CV2426" s="204" t="n"/>
      <c r="CW2426" s="204" t="n"/>
    </row>
    <row r="2427">
      <c r="BF2427" s="78" t="n"/>
      <c r="BG2427" s="78" t="n"/>
      <c r="BH2427" s="78" t="n"/>
      <c r="BI2427" s="78" t="n"/>
      <c r="BJ2427" s="139" t="n"/>
      <c r="BK2427" s="204" t="n"/>
      <c r="BL2427" s="141" t="n"/>
      <c r="BM2427" s="205" t="n"/>
      <c r="BN2427" s="205" t="n"/>
      <c r="BO2427" s="206" t="n"/>
      <c r="BP2427" s="144" t="n"/>
      <c r="BQ2427" s="141" t="n"/>
      <c r="BR2427" s="207" t="n"/>
      <c r="BS2427" s="207" t="n"/>
      <c r="BT2427" s="207" t="n"/>
      <c r="BU2427" s="207" t="n"/>
      <c r="BV2427" s="208" t="n"/>
      <c r="BW2427" s="207" t="n"/>
      <c r="BX2427" s="207" t="n"/>
      <c r="BY2427" s="204" t="n"/>
      <c r="BZ2427" s="148" t="n"/>
      <c r="CA2427" s="204" t="n"/>
      <c r="CB2427" s="208" t="n"/>
      <c r="CC2427" s="139" t="n"/>
      <c r="CD2427" s="204" t="n"/>
      <c r="CE2427" s="204" t="n"/>
      <c r="CF2427" s="207" t="n"/>
      <c r="CG2427" s="208" t="n"/>
      <c r="CH2427" s="207" t="n"/>
      <c r="CI2427" s="208" t="n"/>
      <c r="CJ2427" s="204" t="n"/>
      <c r="CK2427" s="208" t="n"/>
      <c r="CL2427" s="208" t="n"/>
      <c r="CM2427" s="208" t="n"/>
      <c r="CN2427" s="78" t="n"/>
      <c r="CO2427" s="209" t="n"/>
      <c r="CP2427" s="204" t="n"/>
      <c r="CQ2427" s="204" t="n"/>
      <c r="CR2427" s="204" t="n"/>
      <c r="CS2427" s="204" t="n"/>
      <c r="CT2427" s="204" t="n"/>
      <c r="CU2427" s="204" t="n"/>
      <c r="CV2427" s="204" t="n"/>
      <c r="CW2427" s="204" t="n"/>
    </row>
    <row r="2428">
      <c r="BF2428" s="78" t="n"/>
      <c r="BG2428" s="78" t="n"/>
      <c r="BH2428" s="78" t="n"/>
      <c r="BI2428" s="78" t="n"/>
      <c r="BJ2428" s="139" t="n"/>
      <c r="BK2428" s="204" t="n"/>
      <c r="BL2428" s="141" t="n"/>
      <c r="BM2428" s="205" t="n"/>
      <c r="BN2428" s="205" t="n"/>
      <c r="BO2428" s="206" t="n"/>
      <c r="BP2428" s="144" t="n"/>
      <c r="BQ2428" s="141" t="n"/>
      <c r="BR2428" s="207" t="n"/>
      <c r="BS2428" s="207" t="n"/>
      <c r="BT2428" s="207" t="n"/>
      <c r="BU2428" s="207" t="n"/>
      <c r="BV2428" s="208" t="n"/>
      <c r="BW2428" s="207" t="n"/>
      <c r="BX2428" s="207" t="n"/>
      <c r="BY2428" s="204" t="n"/>
      <c r="BZ2428" s="148" t="n"/>
      <c r="CA2428" s="204" t="n"/>
      <c r="CB2428" s="208" t="n"/>
      <c r="CC2428" s="139" t="n"/>
      <c r="CD2428" s="204" t="n"/>
      <c r="CE2428" s="204" t="n"/>
      <c r="CF2428" s="207" t="n"/>
      <c r="CG2428" s="208" t="n"/>
      <c r="CH2428" s="207" t="n"/>
      <c r="CI2428" s="208" t="n"/>
      <c r="CJ2428" s="204" t="n"/>
      <c r="CK2428" s="208" t="n"/>
      <c r="CL2428" s="208" t="n"/>
      <c r="CM2428" s="208" t="n"/>
      <c r="CN2428" s="78" t="n"/>
      <c r="CO2428" s="209" t="n"/>
      <c r="CP2428" s="204" t="n"/>
      <c r="CQ2428" s="204" t="n"/>
      <c r="CR2428" s="204" t="n"/>
      <c r="CS2428" s="204" t="n"/>
      <c r="CT2428" s="204" t="n"/>
      <c r="CU2428" s="204" t="n"/>
      <c r="CV2428" s="204" t="n"/>
      <c r="CW2428" s="204" t="n"/>
    </row>
    <row r="2429">
      <c r="BF2429" s="78" t="n"/>
      <c r="BG2429" s="78" t="n"/>
      <c r="BH2429" s="78" t="n"/>
      <c r="BI2429" s="78" t="n"/>
      <c r="BJ2429" s="139" t="n"/>
      <c r="BK2429" s="204" t="n"/>
      <c r="BL2429" s="141" t="n"/>
      <c r="BM2429" s="205" t="n"/>
      <c r="BN2429" s="205" t="n"/>
      <c r="BO2429" s="206" t="n"/>
      <c r="BP2429" s="144" t="n"/>
      <c r="BQ2429" s="141" t="n"/>
      <c r="BR2429" s="207" t="n"/>
      <c r="BS2429" s="207" t="n"/>
      <c r="BT2429" s="207" t="n"/>
      <c r="BU2429" s="207" t="n"/>
      <c r="BV2429" s="208" t="n"/>
      <c r="BW2429" s="207" t="n"/>
      <c r="BX2429" s="207" t="n"/>
      <c r="BY2429" s="204" t="n"/>
      <c r="BZ2429" s="148" t="n"/>
      <c r="CA2429" s="204" t="n"/>
      <c r="CB2429" s="208" t="n"/>
      <c r="CC2429" s="139" t="n"/>
      <c r="CD2429" s="204" t="n"/>
      <c r="CE2429" s="204" t="n"/>
      <c r="CF2429" s="207" t="n"/>
      <c r="CG2429" s="208" t="n"/>
      <c r="CH2429" s="207" t="n"/>
      <c r="CI2429" s="208" t="n"/>
      <c r="CJ2429" s="204" t="n"/>
      <c r="CK2429" s="208" t="n"/>
      <c r="CL2429" s="208" t="n"/>
      <c r="CM2429" s="208" t="n"/>
      <c r="CN2429" s="78" t="n"/>
      <c r="CO2429" s="209" t="n"/>
      <c r="CP2429" s="204" t="n"/>
      <c r="CQ2429" s="204" t="n"/>
      <c r="CR2429" s="204" t="n"/>
      <c r="CS2429" s="204" t="n"/>
      <c r="CT2429" s="204" t="n"/>
      <c r="CU2429" s="204" t="n"/>
      <c r="CV2429" s="204" t="n"/>
      <c r="CW2429" s="204" t="n"/>
    </row>
    <row r="2430">
      <c r="BF2430" s="78" t="n"/>
      <c r="BG2430" s="78" t="n"/>
      <c r="BH2430" s="78" t="n"/>
      <c r="BI2430" s="78" t="n"/>
      <c r="BJ2430" s="139" t="n"/>
      <c r="BK2430" s="204" t="n"/>
      <c r="BL2430" s="141" t="n"/>
      <c r="BM2430" s="205" t="n"/>
      <c r="BN2430" s="205" t="n"/>
      <c r="BO2430" s="206" t="n"/>
      <c r="BP2430" s="144" t="n"/>
      <c r="BQ2430" s="141" t="n"/>
      <c r="BR2430" s="207" t="n"/>
      <c r="BS2430" s="207" t="n"/>
      <c r="BT2430" s="207" t="n"/>
      <c r="BU2430" s="207" t="n"/>
      <c r="BV2430" s="208" t="n"/>
      <c r="BW2430" s="207" t="n"/>
      <c r="BX2430" s="207" t="n"/>
      <c r="BY2430" s="204" t="n"/>
      <c r="BZ2430" s="148" t="n"/>
      <c r="CA2430" s="204" t="n"/>
      <c r="CB2430" s="208" t="n"/>
      <c r="CC2430" s="139" t="n"/>
      <c r="CD2430" s="204" t="n"/>
      <c r="CE2430" s="204" t="n"/>
      <c r="CF2430" s="207" t="n"/>
      <c r="CG2430" s="208" t="n"/>
      <c r="CH2430" s="207" t="n"/>
      <c r="CI2430" s="208" t="n"/>
      <c r="CJ2430" s="204" t="n"/>
      <c r="CK2430" s="208" t="n"/>
      <c r="CL2430" s="208" t="n"/>
      <c r="CM2430" s="208" t="n"/>
      <c r="CN2430" s="78" t="n"/>
      <c r="CO2430" s="209" t="n"/>
      <c r="CP2430" s="204" t="n"/>
      <c r="CQ2430" s="204" t="n"/>
      <c r="CR2430" s="204" t="n"/>
      <c r="CS2430" s="204" t="n"/>
      <c r="CT2430" s="204" t="n"/>
      <c r="CU2430" s="204" t="n"/>
      <c r="CV2430" s="204" t="n"/>
      <c r="CW2430" s="204" t="n"/>
    </row>
    <row r="2431">
      <c r="BF2431" s="78" t="n"/>
      <c r="BG2431" s="78" t="n"/>
      <c r="BH2431" s="78" t="n"/>
      <c r="BI2431" s="78" t="n"/>
      <c r="BJ2431" s="139" t="n"/>
      <c r="BK2431" s="204" t="n"/>
      <c r="BL2431" s="141" t="n"/>
      <c r="BM2431" s="205" t="n"/>
      <c r="BN2431" s="205" t="n"/>
      <c r="BO2431" s="206" t="n"/>
      <c r="BP2431" s="144" t="n"/>
      <c r="BQ2431" s="141" t="n"/>
      <c r="BR2431" s="207" t="n"/>
      <c r="BS2431" s="207" t="n"/>
      <c r="BT2431" s="207" t="n"/>
      <c r="BU2431" s="207" t="n"/>
      <c r="BV2431" s="208" t="n"/>
      <c r="BW2431" s="207" t="n"/>
      <c r="BX2431" s="207" t="n"/>
      <c r="BY2431" s="204" t="n"/>
      <c r="BZ2431" s="148" t="n"/>
      <c r="CA2431" s="204" t="n"/>
      <c r="CB2431" s="208" t="n"/>
      <c r="CC2431" s="139" t="n"/>
      <c r="CD2431" s="204" t="n"/>
      <c r="CE2431" s="204" t="n"/>
      <c r="CF2431" s="207" t="n"/>
      <c r="CG2431" s="208" t="n"/>
      <c r="CH2431" s="207" t="n"/>
      <c r="CI2431" s="208" t="n"/>
      <c r="CJ2431" s="204" t="n"/>
      <c r="CK2431" s="208" t="n"/>
      <c r="CL2431" s="208" t="n"/>
      <c r="CM2431" s="208" t="n"/>
      <c r="CN2431" s="78" t="n"/>
      <c r="CO2431" s="209" t="n"/>
      <c r="CP2431" s="204" t="n"/>
      <c r="CQ2431" s="204" t="n"/>
      <c r="CR2431" s="204" t="n"/>
      <c r="CS2431" s="204" t="n"/>
      <c r="CT2431" s="204" t="n"/>
      <c r="CU2431" s="204" t="n"/>
      <c r="CV2431" s="204" t="n"/>
      <c r="CW2431" s="204" t="n"/>
    </row>
    <row r="2432">
      <c r="BF2432" s="78" t="n"/>
      <c r="BG2432" s="78" t="n"/>
      <c r="BH2432" s="78" t="n"/>
      <c r="BI2432" s="78" t="n"/>
      <c r="BJ2432" s="139" t="n"/>
      <c r="BK2432" s="204" t="n"/>
      <c r="BL2432" s="141" t="n"/>
      <c r="BM2432" s="205" t="n"/>
      <c r="BN2432" s="205" t="n"/>
      <c r="BO2432" s="206" t="n"/>
      <c r="BP2432" s="144" t="n"/>
      <c r="BQ2432" s="141" t="n"/>
      <c r="BR2432" s="207" t="n"/>
      <c r="BS2432" s="207" t="n"/>
      <c r="BT2432" s="207" t="n"/>
      <c r="BU2432" s="207" t="n"/>
      <c r="BV2432" s="208" t="n"/>
      <c r="BW2432" s="207" t="n"/>
      <c r="BX2432" s="207" t="n"/>
      <c r="BY2432" s="204" t="n"/>
      <c r="BZ2432" s="148" t="n"/>
      <c r="CA2432" s="204" t="n"/>
      <c r="CB2432" s="208" t="n"/>
      <c r="CC2432" s="139" t="n"/>
      <c r="CD2432" s="204" t="n"/>
      <c r="CE2432" s="204" t="n"/>
      <c r="CF2432" s="207" t="n"/>
      <c r="CG2432" s="208" t="n"/>
      <c r="CH2432" s="207" t="n"/>
      <c r="CI2432" s="208" t="n"/>
      <c r="CJ2432" s="204" t="n"/>
      <c r="CK2432" s="208" t="n"/>
      <c r="CL2432" s="208" t="n"/>
      <c r="CM2432" s="208" t="n"/>
      <c r="CN2432" s="78" t="n"/>
      <c r="CO2432" s="209" t="n"/>
      <c r="CP2432" s="204" t="n"/>
      <c r="CQ2432" s="204" t="n"/>
      <c r="CR2432" s="204" t="n"/>
      <c r="CS2432" s="204" t="n"/>
      <c r="CT2432" s="204" t="n"/>
      <c r="CU2432" s="204" t="n"/>
      <c r="CV2432" s="204" t="n"/>
      <c r="CW2432" s="204" t="n"/>
    </row>
    <row r="2433">
      <c r="BF2433" s="78" t="n"/>
      <c r="BG2433" s="78" t="n"/>
      <c r="BH2433" s="78" t="n"/>
      <c r="BI2433" s="78" t="n"/>
      <c r="BJ2433" s="139" t="n"/>
      <c r="BK2433" s="204" t="n"/>
      <c r="BL2433" s="141" t="n"/>
      <c r="BM2433" s="205" t="n"/>
      <c r="BN2433" s="205" t="n"/>
      <c r="BO2433" s="206" t="n"/>
      <c r="BP2433" s="144" t="n"/>
      <c r="BQ2433" s="141" t="n"/>
      <c r="BR2433" s="207" t="n"/>
      <c r="BS2433" s="207" t="n"/>
      <c r="BT2433" s="207" t="n"/>
      <c r="BU2433" s="207" t="n"/>
      <c r="BV2433" s="208" t="n"/>
      <c r="BW2433" s="207" t="n"/>
      <c r="BX2433" s="207" t="n"/>
      <c r="BY2433" s="204" t="n"/>
      <c r="BZ2433" s="148" t="n"/>
      <c r="CA2433" s="204" t="n"/>
      <c r="CB2433" s="208" t="n"/>
      <c r="CC2433" s="139" t="n"/>
      <c r="CD2433" s="204" t="n"/>
      <c r="CE2433" s="204" t="n"/>
      <c r="CF2433" s="207" t="n"/>
      <c r="CG2433" s="208" t="n"/>
      <c r="CH2433" s="207" t="n"/>
      <c r="CI2433" s="208" t="n"/>
      <c r="CJ2433" s="204" t="n"/>
      <c r="CK2433" s="208" t="n"/>
      <c r="CL2433" s="208" t="n"/>
      <c r="CM2433" s="208" t="n"/>
      <c r="CN2433" s="78" t="n"/>
      <c r="CO2433" s="209" t="n"/>
      <c r="CP2433" s="204" t="n"/>
      <c r="CQ2433" s="204" t="n"/>
      <c r="CR2433" s="204" t="n"/>
      <c r="CS2433" s="204" t="n"/>
      <c r="CT2433" s="204" t="n"/>
      <c r="CU2433" s="204" t="n"/>
      <c r="CV2433" s="204" t="n"/>
      <c r="CW2433" s="204" t="n"/>
    </row>
    <row r="2434">
      <c r="BF2434" s="78" t="n"/>
      <c r="BG2434" s="78" t="n"/>
      <c r="BH2434" s="78" t="n"/>
      <c r="BI2434" s="78" t="n"/>
      <c r="BJ2434" s="139" t="n"/>
      <c r="BK2434" s="204" t="n"/>
      <c r="BL2434" s="141" t="n"/>
      <c r="BM2434" s="205" t="n"/>
      <c r="BN2434" s="205" t="n"/>
      <c r="BO2434" s="206" t="n"/>
      <c r="BP2434" s="144" t="n"/>
      <c r="BQ2434" s="141" t="n"/>
      <c r="BR2434" s="207" t="n"/>
      <c r="BS2434" s="207" t="n"/>
      <c r="BT2434" s="207" t="n"/>
      <c r="BU2434" s="207" t="n"/>
      <c r="BV2434" s="208" t="n"/>
      <c r="BW2434" s="207" t="n"/>
      <c r="BX2434" s="207" t="n"/>
      <c r="BY2434" s="204" t="n"/>
      <c r="BZ2434" s="148" t="n"/>
      <c r="CA2434" s="204" t="n"/>
      <c r="CB2434" s="208" t="n"/>
      <c r="CC2434" s="139" t="n"/>
      <c r="CD2434" s="204" t="n"/>
      <c r="CE2434" s="204" t="n"/>
      <c r="CF2434" s="207" t="n"/>
      <c r="CG2434" s="208" t="n"/>
      <c r="CH2434" s="207" t="n"/>
      <c r="CI2434" s="208" t="n"/>
      <c r="CJ2434" s="204" t="n"/>
      <c r="CK2434" s="208" t="n"/>
      <c r="CL2434" s="208" t="n"/>
      <c r="CM2434" s="208" t="n"/>
      <c r="CN2434" s="78" t="n"/>
      <c r="CO2434" s="209" t="n"/>
      <c r="CP2434" s="204" t="n"/>
      <c r="CQ2434" s="204" t="n"/>
      <c r="CR2434" s="204" t="n"/>
      <c r="CS2434" s="204" t="n"/>
      <c r="CT2434" s="204" t="n"/>
      <c r="CU2434" s="204" t="n"/>
      <c r="CV2434" s="204" t="n"/>
      <c r="CW2434" s="204" t="n"/>
    </row>
    <row r="2435">
      <c r="BF2435" s="78" t="n"/>
      <c r="BG2435" s="78" t="n"/>
      <c r="BH2435" s="78" t="n"/>
      <c r="BI2435" s="78" t="n"/>
      <c r="BJ2435" s="139" t="n"/>
      <c r="BK2435" s="204" t="n"/>
      <c r="BL2435" s="141" t="n"/>
      <c r="BM2435" s="205" t="n"/>
      <c r="BN2435" s="205" t="n"/>
      <c r="BO2435" s="206" t="n"/>
      <c r="BP2435" s="144" t="n"/>
      <c r="BQ2435" s="141" t="n"/>
      <c r="BR2435" s="207" t="n"/>
      <c r="BS2435" s="207" t="n"/>
      <c r="BT2435" s="207" t="n"/>
      <c r="BU2435" s="207" t="n"/>
      <c r="BV2435" s="208" t="n"/>
      <c r="BW2435" s="207" t="n"/>
      <c r="BX2435" s="207" t="n"/>
      <c r="BY2435" s="204" t="n"/>
      <c r="BZ2435" s="148" t="n"/>
      <c r="CA2435" s="204" t="n"/>
      <c r="CB2435" s="208" t="n"/>
      <c r="CC2435" s="139" t="n"/>
      <c r="CD2435" s="204" t="n"/>
      <c r="CE2435" s="204" t="n"/>
      <c r="CF2435" s="207" t="n"/>
      <c r="CG2435" s="208" t="n"/>
      <c r="CH2435" s="207" t="n"/>
      <c r="CI2435" s="208" t="n"/>
      <c r="CJ2435" s="204" t="n"/>
      <c r="CK2435" s="208" t="n"/>
      <c r="CL2435" s="208" t="n"/>
      <c r="CM2435" s="208" t="n"/>
      <c r="CN2435" s="78" t="n"/>
      <c r="CO2435" s="209" t="n"/>
      <c r="CP2435" s="204" t="n"/>
      <c r="CQ2435" s="204" t="n"/>
      <c r="CR2435" s="204" t="n"/>
      <c r="CS2435" s="204" t="n"/>
      <c r="CT2435" s="204" t="n"/>
      <c r="CU2435" s="204" t="n"/>
      <c r="CV2435" s="204" t="n"/>
      <c r="CW2435" s="204" t="n"/>
    </row>
    <row r="2436">
      <c r="BF2436" s="78" t="n"/>
      <c r="BG2436" s="78" t="n"/>
      <c r="BH2436" s="78" t="n"/>
      <c r="BI2436" s="78" t="n"/>
      <c r="BJ2436" s="139" t="n"/>
      <c r="BK2436" s="204" t="n"/>
      <c r="BL2436" s="141" t="n"/>
      <c r="BM2436" s="205" t="n"/>
      <c r="BN2436" s="205" t="n"/>
      <c r="BO2436" s="206" t="n"/>
      <c r="BP2436" s="144" t="n"/>
      <c r="BQ2436" s="141" t="n"/>
      <c r="BR2436" s="207" t="n"/>
      <c r="BS2436" s="207" t="n"/>
      <c r="BT2436" s="207" t="n"/>
      <c r="BU2436" s="207" t="n"/>
      <c r="BV2436" s="208" t="n"/>
      <c r="BW2436" s="207" t="n"/>
      <c r="BX2436" s="207" t="n"/>
      <c r="BY2436" s="204" t="n"/>
      <c r="BZ2436" s="148" t="n"/>
      <c r="CA2436" s="204" t="n"/>
      <c r="CB2436" s="208" t="n"/>
      <c r="CC2436" s="139" t="n"/>
      <c r="CD2436" s="204" t="n"/>
      <c r="CE2436" s="204" t="n"/>
      <c r="CF2436" s="207" t="n"/>
      <c r="CG2436" s="208" t="n"/>
      <c r="CH2436" s="207" t="n"/>
      <c r="CI2436" s="208" t="n"/>
      <c r="CJ2436" s="204" t="n"/>
      <c r="CK2436" s="208" t="n"/>
      <c r="CL2436" s="208" t="n"/>
      <c r="CM2436" s="208" t="n"/>
      <c r="CN2436" s="78" t="n"/>
      <c r="CO2436" s="209" t="n"/>
      <c r="CP2436" s="204" t="n"/>
      <c r="CQ2436" s="204" t="n"/>
      <c r="CR2436" s="204" t="n"/>
      <c r="CS2436" s="204" t="n"/>
      <c r="CT2436" s="204" t="n"/>
      <c r="CU2436" s="204" t="n"/>
      <c r="CV2436" s="204" t="n"/>
      <c r="CW2436" s="204" t="n"/>
    </row>
    <row r="2437">
      <c r="BF2437" s="78" t="n"/>
      <c r="BG2437" s="78" t="n"/>
      <c r="BH2437" s="78" t="n"/>
      <c r="BI2437" s="78" t="n"/>
      <c r="BJ2437" s="139" t="n"/>
      <c r="BK2437" s="204" t="n"/>
      <c r="BL2437" s="141" t="n"/>
      <c r="BM2437" s="205" t="n"/>
      <c r="BN2437" s="205" t="n"/>
      <c r="BO2437" s="206" t="n"/>
      <c r="BP2437" s="144" t="n"/>
      <c r="BQ2437" s="141" t="n"/>
      <c r="BR2437" s="207" t="n"/>
      <c r="BS2437" s="207" t="n"/>
      <c r="BT2437" s="207" t="n"/>
      <c r="BU2437" s="207" t="n"/>
      <c r="BV2437" s="208" t="n"/>
      <c r="BW2437" s="207" t="n"/>
      <c r="BX2437" s="207" t="n"/>
      <c r="BY2437" s="204" t="n"/>
      <c r="BZ2437" s="148" t="n"/>
      <c r="CA2437" s="204" t="n"/>
      <c r="CB2437" s="208" t="n"/>
      <c r="CC2437" s="139" t="n"/>
      <c r="CD2437" s="204" t="n"/>
      <c r="CE2437" s="204" t="n"/>
      <c r="CF2437" s="207" t="n"/>
      <c r="CG2437" s="208" t="n"/>
      <c r="CH2437" s="207" t="n"/>
      <c r="CI2437" s="208" t="n"/>
      <c r="CJ2437" s="204" t="n"/>
      <c r="CK2437" s="208" t="n"/>
      <c r="CL2437" s="208" t="n"/>
      <c r="CM2437" s="208" t="n"/>
      <c r="CN2437" s="78" t="n"/>
      <c r="CO2437" s="209" t="n"/>
      <c r="CP2437" s="204" t="n"/>
      <c r="CQ2437" s="204" t="n"/>
      <c r="CR2437" s="204" t="n"/>
      <c r="CS2437" s="204" t="n"/>
      <c r="CT2437" s="204" t="n"/>
      <c r="CU2437" s="204" t="n"/>
      <c r="CV2437" s="204" t="n"/>
      <c r="CW2437" s="204" t="n"/>
    </row>
    <row r="2438">
      <c r="BF2438" s="78" t="n"/>
      <c r="BG2438" s="78" t="n"/>
      <c r="BH2438" s="78" t="n"/>
      <c r="BI2438" s="78" t="n"/>
      <c r="BJ2438" s="139" t="n"/>
      <c r="BK2438" s="204" t="n"/>
      <c r="BL2438" s="141" t="n"/>
      <c r="BM2438" s="205" t="n"/>
      <c r="BN2438" s="205" t="n"/>
      <c r="BO2438" s="206" t="n"/>
      <c r="BP2438" s="144" t="n"/>
      <c r="BQ2438" s="141" t="n"/>
      <c r="BR2438" s="207" t="n"/>
      <c r="BS2438" s="207" t="n"/>
      <c r="BT2438" s="207" t="n"/>
      <c r="BU2438" s="207" t="n"/>
      <c r="BV2438" s="208" t="n"/>
      <c r="BW2438" s="207" t="n"/>
      <c r="BX2438" s="207" t="n"/>
      <c r="BY2438" s="204" t="n"/>
      <c r="BZ2438" s="148" t="n"/>
      <c r="CA2438" s="204" t="n"/>
      <c r="CB2438" s="208" t="n"/>
      <c r="CC2438" s="139" t="n"/>
      <c r="CD2438" s="204" t="n"/>
      <c r="CE2438" s="204" t="n"/>
      <c r="CF2438" s="207" t="n"/>
      <c r="CG2438" s="208" t="n"/>
      <c r="CH2438" s="207" t="n"/>
      <c r="CI2438" s="208" t="n"/>
      <c r="CJ2438" s="204" t="n"/>
      <c r="CK2438" s="208" t="n"/>
      <c r="CL2438" s="208" t="n"/>
      <c r="CM2438" s="208" t="n"/>
      <c r="CN2438" s="78" t="n"/>
      <c r="CO2438" s="209" t="n"/>
      <c r="CP2438" s="204" t="n"/>
      <c r="CQ2438" s="204" t="n"/>
      <c r="CR2438" s="204" t="n"/>
      <c r="CS2438" s="204" t="n"/>
      <c r="CT2438" s="204" t="n"/>
      <c r="CU2438" s="204" t="n"/>
      <c r="CV2438" s="204" t="n"/>
      <c r="CW2438" s="204" t="n"/>
    </row>
    <row r="2439">
      <c r="BF2439" s="78" t="n"/>
      <c r="BG2439" s="78" t="n"/>
      <c r="BH2439" s="78" t="n"/>
      <c r="BI2439" s="78" t="n"/>
      <c r="BJ2439" s="139" t="n"/>
      <c r="BK2439" s="204" t="n"/>
      <c r="BL2439" s="141" t="n"/>
      <c r="BM2439" s="205" t="n"/>
      <c r="BN2439" s="205" t="n"/>
      <c r="BO2439" s="206" t="n"/>
      <c r="BP2439" s="144" t="n"/>
      <c r="BQ2439" s="141" t="n"/>
      <c r="BR2439" s="207" t="n"/>
      <c r="BS2439" s="207" t="n"/>
      <c r="BT2439" s="207" t="n"/>
      <c r="BU2439" s="207" t="n"/>
      <c r="BV2439" s="208" t="n"/>
      <c r="BW2439" s="207" t="n"/>
      <c r="BX2439" s="207" t="n"/>
      <c r="BY2439" s="204" t="n"/>
      <c r="BZ2439" s="148" t="n"/>
      <c r="CA2439" s="204" t="n"/>
      <c r="CB2439" s="208" t="n"/>
      <c r="CC2439" s="139" t="n"/>
      <c r="CD2439" s="204" t="n"/>
      <c r="CE2439" s="204" t="n"/>
      <c r="CF2439" s="207" t="n"/>
      <c r="CG2439" s="208" t="n"/>
      <c r="CH2439" s="207" t="n"/>
      <c r="CI2439" s="208" t="n"/>
      <c r="CJ2439" s="204" t="n"/>
      <c r="CK2439" s="208" t="n"/>
      <c r="CL2439" s="208" t="n"/>
      <c r="CM2439" s="208" t="n"/>
      <c r="CN2439" s="78" t="n"/>
      <c r="CO2439" s="209" t="n"/>
      <c r="CP2439" s="204" t="n"/>
      <c r="CQ2439" s="204" t="n"/>
      <c r="CR2439" s="204" t="n"/>
      <c r="CS2439" s="204" t="n"/>
      <c r="CT2439" s="204" t="n"/>
      <c r="CU2439" s="204" t="n"/>
      <c r="CV2439" s="204" t="n"/>
      <c r="CW2439" s="204" t="n"/>
    </row>
    <row r="2440">
      <c r="BF2440" s="78" t="n"/>
      <c r="BG2440" s="78" t="n"/>
      <c r="BH2440" s="78" t="n"/>
      <c r="BI2440" s="78" t="n"/>
      <c r="BJ2440" s="139" t="n"/>
      <c r="BK2440" s="204" t="n"/>
      <c r="BL2440" s="141" t="n"/>
      <c r="BM2440" s="205" t="n"/>
      <c r="BN2440" s="205" t="n"/>
      <c r="BO2440" s="206" t="n"/>
      <c r="BP2440" s="144" t="n"/>
      <c r="BQ2440" s="141" t="n"/>
      <c r="BR2440" s="207" t="n"/>
      <c r="BS2440" s="207" t="n"/>
      <c r="BT2440" s="207" t="n"/>
      <c r="BU2440" s="207" t="n"/>
      <c r="BV2440" s="208" t="n"/>
      <c r="BW2440" s="207" t="n"/>
      <c r="BX2440" s="207" t="n"/>
      <c r="BY2440" s="204" t="n"/>
      <c r="BZ2440" s="148" t="n"/>
      <c r="CA2440" s="204" t="n"/>
      <c r="CB2440" s="208" t="n"/>
      <c r="CC2440" s="139" t="n"/>
      <c r="CD2440" s="204" t="n"/>
      <c r="CE2440" s="204" t="n"/>
      <c r="CF2440" s="207" t="n"/>
      <c r="CG2440" s="208" t="n"/>
      <c r="CH2440" s="207" t="n"/>
      <c r="CI2440" s="208" t="n"/>
      <c r="CJ2440" s="204" t="n"/>
      <c r="CK2440" s="208" t="n"/>
      <c r="CL2440" s="208" t="n"/>
      <c r="CM2440" s="208" t="n"/>
      <c r="CN2440" s="78" t="n"/>
      <c r="CO2440" s="209" t="n"/>
      <c r="CP2440" s="204" t="n"/>
      <c r="CQ2440" s="204" t="n"/>
      <c r="CR2440" s="204" t="n"/>
      <c r="CS2440" s="204" t="n"/>
      <c r="CT2440" s="204" t="n"/>
      <c r="CU2440" s="204" t="n"/>
      <c r="CV2440" s="204" t="n"/>
      <c r="CW2440" s="204" t="n"/>
    </row>
    <row r="2441">
      <c r="BF2441" s="78" t="n"/>
      <c r="BG2441" s="78" t="n"/>
      <c r="BH2441" s="78" t="n"/>
      <c r="BI2441" s="78" t="n"/>
      <c r="BJ2441" s="139" t="n"/>
      <c r="BK2441" s="204" t="n"/>
      <c r="BL2441" s="141" t="n"/>
      <c r="BM2441" s="205" t="n"/>
      <c r="BN2441" s="205" t="n"/>
      <c r="BO2441" s="206" t="n"/>
      <c r="BP2441" s="144" t="n"/>
      <c r="BQ2441" s="141" t="n"/>
      <c r="BR2441" s="207" t="n"/>
      <c r="BS2441" s="207" t="n"/>
      <c r="BT2441" s="207" t="n"/>
      <c r="BU2441" s="207" t="n"/>
      <c r="BV2441" s="208" t="n"/>
      <c r="BW2441" s="207" t="n"/>
      <c r="BX2441" s="207" t="n"/>
      <c r="BY2441" s="204" t="n"/>
      <c r="BZ2441" s="148" t="n"/>
      <c r="CA2441" s="204" t="n"/>
      <c r="CB2441" s="208" t="n"/>
      <c r="CC2441" s="139" t="n"/>
      <c r="CD2441" s="204" t="n"/>
      <c r="CE2441" s="204" t="n"/>
      <c r="CF2441" s="207" t="n"/>
      <c r="CG2441" s="208" t="n"/>
      <c r="CH2441" s="207" t="n"/>
      <c r="CI2441" s="208" t="n"/>
      <c r="CJ2441" s="204" t="n"/>
      <c r="CK2441" s="208" t="n"/>
      <c r="CL2441" s="208" t="n"/>
      <c r="CM2441" s="208" t="n"/>
      <c r="CN2441" s="78" t="n"/>
      <c r="CO2441" s="209" t="n"/>
      <c r="CP2441" s="204" t="n"/>
      <c r="CQ2441" s="204" t="n"/>
      <c r="CR2441" s="204" t="n"/>
      <c r="CS2441" s="204" t="n"/>
      <c r="CT2441" s="204" t="n"/>
      <c r="CU2441" s="204" t="n"/>
      <c r="CV2441" s="204" t="n"/>
      <c r="CW2441" s="204" t="n"/>
    </row>
    <row r="2442">
      <c r="BF2442" s="78" t="n"/>
      <c r="BG2442" s="78" t="n"/>
      <c r="BH2442" s="78" t="n"/>
      <c r="BI2442" s="78" t="n"/>
      <c r="BJ2442" s="139" t="n"/>
      <c r="BK2442" s="204" t="n"/>
      <c r="BL2442" s="141" t="n"/>
      <c r="BM2442" s="205" t="n"/>
      <c r="BN2442" s="205" t="n"/>
      <c r="BO2442" s="206" t="n"/>
      <c r="BP2442" s="144" t="n"/>
      <c r="BQ2442" s="141" t="n"/>
      <c r="BR2442" s="207" t="n"/>
      <c r="BS2442" s="207" t="n"/>
      <c r="BT2442" s="207" t="n"/>
      <c r="BU2442" s="207" t="n"/>
      <c r="BV2442" s="208" t="n"/>
      <c r="BW2442" s="207" t="n"/>
      <c r="BX2442" s="207" t="n"/>
      <c r="BY2442" s="204" t="n"/>
      <c r="BZ2442" s="148" t="n"/>
      <c r="CA2442" s="204" t="n"/>
      <c r="CB2442" s="208" t="n"/>
      <c r="CC2442" s="139" t="n"/>
      <c r="CD2442" s="204" t="n"/>
      <c r="CE2442" s="204" t="n"/>
      <c r="CF2442" s="207" t="n"/>
      <c r="CG2442" s="208" t="n"/>
      <c r="CH2442" s="207" t="n"/>
      <c r="CI2442" s="208" t="n"/>
      <c r="CJ2442" s="204" t="n"/>
      <c r="CK2442" s="208" t="n"/>
      <c r="CL2442" s="208" t="n"/>
      <c r="CM2442" s="208" t="n"/>
      <c r="CN2442" s="78" t="n"/>
      <c r="CO2442" s="209" t="n"/>
      <c r="CP2442" s="204" t="n"/>
      <c r="CQ2442" s="204" t="n"/>
      <c r="CR2442" s="204" t="n"/>
      <c r="CS2442" s="204" t="n"/>
      <c r="CT2442" s="204" t="n"/>
      <c r="CU2442" s="204" t="n"/>
      <c r="CV2442" s="204" t="n"/>
      <c r="CW2442" s="204" t="n"/>
    </row>
    <row r="2443">
      <c r="BF2443" s="78" t="n"/>
      <c r="BG2443" s="78" t="n"/>
      <c r="BH2443" s="78" t="n"/>
      <c r="BI2443" s="78" t="n"/>
      <c r="BJ2443" s="139" t="n"/>
      <c r="BK2443" s="204" t="n"/>
      <c r="BL2443" s="141" t="n"/>
      <c r="BM2443" s="205" t="n"/>
      <c r="BN2443" s="205" t="n"/>
      <c r="BO2443" s="206" t="n"/>
      <c r="BP2443" s="144" t="n"/>
      <c r="BQ2443" s="141" t="n"/>
      <c r="BR2443" s="207" t="n"/>
      <c r="BS2443" s="207" t="n"/>
      <c r="BT2443" s="207" t="n"/>
      <c r="BU2443" s="207" t="n"/>
      <c r="BV2443" s="208" t="n"/>
      <c r="BW2443" s="207" t="n"/>
      <c r="BX2443" s="207" t="n"/>
      <c r="BY2443" s="204" t="n"/>
      <c r="BZ2443" s="148" t="n"/>
      <c r="CA2443" s="204" t="n"/>
      <c r="CB2443" s="208" t="n"/>
      <c r="CC2443" s="139" t="n"/>
      <c r="CD2443" s="204" t="n"/>
      <c r="CE2443" s="204" t="n"/>
      <c r="CF2443" s="207" t="n"/>
      <c r="CG2443" s="208" t="n"/>
      <c r="CH2443" s="207" t="n"/>
      <c r="CI2443" s="208" t="n"/>
      <c r="CJ2443" s="204" t="n"/>
      <c r="CK2443" s="208" t="n"/>
      <c r="CL2443" s="208" t="n"/>
      <c r="CM2443" s="208" t="n"/>
      <c r="CN2443" s="78" t="n"/>
      <c r="CO2443" s="209" t="n"/>
      <c r="CP2443" s="204" t="n"/>
      <c r="CQ2443" s="204" t="n"/>
      <c r="CR2443" s="204" t="n"/>
      <c r="CS2443" s="204" t="n"/>
      <c r="CT2443" s="204" t="n"/>
      <c r="CU2443" s="204" t="n"/>
      <c r="CV2443" s="204" t="n"/>
      <c r="CW2443" s="204" t="n"/>
    </row>
    <row r="2444">
      <c r="BF2444" s="78" t="n"/>
      <c r="BG2444" s="78" t="n"/>
      <c r="BH2444" s="78" t="n"/>
      <c r="BI2444" s="78" t="n"/>
      <c r="BJ2444" s="139" t="n"/>
      <c r="BK2444" s="204" t="n"/>
      <c r="BL2444" s="141" t="n"/>
      <c r="BM2444" s="205" t="n"/>
      <c r="BN2444" s="205" t="n"/>
      <c r="BO2444" s="206" t="n"/>
      <c r="BP2444" s="144" t="n"/>
      <c r="BQ2444" s="141" t="n"/>
      <c r="BR2444" s="207" t="n"/>
      <c r="BS2444" s="207" t="n"/>
      <c r="BT2444" s="207" t="n"/>
      <c r="BU2444" s="207" t="n"/>
      <c r="BV2444" s="208" t="n"/>
      <c r="BW2444" s="207" t="n"/>
      <c r="BX2444" s="207" t="n"/>
      <c r="BY2444" s="204" t="n"/>
      <c r="BZ2444" s="148" t="n"/>
      <c r="CA2444" s="204" t="n"/>
      <c r="CB2444" s="208" t="n"/>
      <c r="CC2444" s="139" t="n"/>
      <c r="CD2444" s="204" t="n"/>
      <c r="CE2444" s="204" t="n"/>
      <c r="CF2444" s="207" t="n"/>
      <c r="CG2444" s="208" t="n"/>
      <c r="CH2444" s="207" t="n"/>
      <c r="CI2444" s="208" t="n"/>
      <c r="CJ2444" s="204" t="n"/>
      <c r="CK2444" s="208" t="n"/>
      <c r="CL2444" s="208" t="n"/>
      <c r="CM2444" s="208" t="n"/>
      <c r="CN2444" s="78" t="n"/>
      <c r="CO2444" s="209" t="n"/>
      <c r="CP2444" s="204" t="n"/>
      <c r="CQ2444" s="204" t="n"/>
      <c r="CR2444" s="204" t="n"/>
      <c r="CS2444" s="204" t="n"/>
      <c r="CT2444" s="204" t="n"/>
      <c r="CU2444" s="204" t="n"/>
      <c r="CV2444" s="204" t="n"/>
      <c r="CW2444" s="204" t="n"/>
    </row>
    <row r="2445">
      <c r="BF2445" s="78" t="n"/>
      <c r="BG2445" s="78" t="n"/>
      <c r="BH2445" s="78" t="n"/>
      <c r="BI2445" s="78" t="n"/>
      <c r="BJ2445" s="139" t="n"/>
      <c r="BK2445" s="204" t="n"/>
      <c r="BL2445" s="141" t="n"/>
      <c r="BM2445" s="205" t="n"/>
      <c r="BN2445" s="205" t="n"/>
      <c r="BO2445" s="206" t="n"/>
      <c r="BP2445" s="144" t="n"/>
      <c r="BQ2445" s="141" t="n"/>
      <c r="BR2445" s="207" t="n"/>
      <c r="BS2445" s="207" t="n"/>
      <c r="BT2445" s="207" t="n"/>
      <c r="BU2445" s="207" t="n"/>
      <c r="BV2445" s="208" t="n"/>
      <c r="BW2445" s="207" t="n"/>
      <c r="BX2445" s="207" t="n"/>
      <c r="BY2445" s="204" t="n"/>
      <c r="BZ2445" s="148" t="n"/>
      <c r="CA2445" s="204" t="n"/>
      <c r="CB2445" s="208" t="n"/>
      <c r="CC2445" s="139" t="n"/>
      <c r="CD2445" s="204" t="n"/>
      <c r="CE2445" s="204" t="n"/>
      <c r="CF2445" s="207" t="n"/>
      <c r="CG2445" s="208" t="n"/>
      <c r="CH2445" s="207" t="n"/>
      <c r="CI2445" s="208" t="n"/>
      <c r="CJ2445" s="204" t="n"/>
      <c r="CK2445" s="208" t="n"/>
      <c r="CL2445" s="208" t="n"/>
      <c r="CM2445" s="208" t="n"/>
      <c r="CN2445" s="78" t="n"/>
      <c r="CO2445" s="209" t="n"/>
      <c r="CP2445" s="204" t="n"/>
      <c r="CQ2445" s="204" t="n"/>
      <c r="CR2445" s="204" t="n"/>
      <c r="CS2445" s="204" t="n"/>
      <c r="CT2445" s="204" t="n"/>
      <c r="CU2445" s="204" t="n"/>
      <c r="CV2445" s="204" t="n"/>
      <c r="CW2445" s="204" t="n"/>
    </row>
    <row r="2446">
      <c r="BF2446" s="78" t="n"/>
      <c r="BG2446" s="78" t="n"/>
      <c r="BH2446" s="78" t="n"/>
      <c r="BI2446" s="78" t="n"/>
      <c r="BJ2446" s="139" t="n"/>
      <c r="BK2446" s="204" t="n"/>
      <c r="BL2446" s="141" t="n"/>
      <c r="BM2446" s="205" t="n"/>
      <c r="BN2446" s="205" t="n"/>
      <c r="BO2446" s="206" t="n"/>
      <c r="BP2446" s="144" t="n"/>
      <c r="BQ2446" s="141" t="n"/>
      <c r="BR2446" s="207" t="n"/>
      <c r="BS2446" s="207" t="n"/>
      <c r="BT2446" s="207" t="n"/>
      <c r="BU2446" s="207" t="n"/>
      <c r="BV2446" s="208" t="n"/>
      <c r="BW2446" s="207" t="n"/>
      <c r="BX2446" s="207" t="n"/>
      <c r="BY2446" s="204" t="n"/>
      <c r="BZ2446" s="148" t="n"/>
      <c r="CA2446" s="204" t="n"/>
      <c r="CB2446" s="208" t="n"/>
      <c r="CC2446" s="139" t="n"/>
      <c r="CD2446" s="204" t="n"/>
      <c r="CE2446" s="204" t="n"/>
      <c r="CF2446" s="207" t="n"/>
      <c r="CG2446" s="208" t="n"/>
      <c r="CH2446" s="207" t="n"/>
      <c r="CI2446" s="208" t="n"/>
      <c r="CJ2446" s="204" t="n"/>
      <c r="CK2446" s="208" t="n"/>
      <c r="CL2446" s="208" t="n"/>
      <c r="CM2446" s="208" t="n"/>
      <c r="CN2446" s="78" t="n"/>
      <c r="CO2446" s="209" t="n"/>
      <c r="CP2446" s="204" t="n"/>
      <c r="CQ2446" s="204" t="n"/>
      <c r="CR2446" s="204" t="n"/>
      <c r="CS2446" s="204" t="n"/>
      <c r="CT2446" s="204" t="n"/>
      <c r="CU2446" s="204" t="n"/>
      <c r="CV2446" s="204" t="n"/>
      <c r="CW2446" s="204" t="n"/>
    </row>
    <row r="2447">
      <c r="BF2447" s="78" t="n"/>
      <c r="BG2447" s="78" t="n"/>
      <c r="BH2447" s="78" t="n"/>
      <c r="BI2447" s="78" t="n"/>
      <c r="BJ2447" s="139" t="n"/>
      <c r="BK2447" s="204" t="n"/>
      <c r="BL2447" s="141" t="n"/>
      <c r="BM2447" s="205" t="n"/>
      <c r="BN2447" s="205" t="n"/>
      <c r="BO2447" s="206" t="n"/>
      <c r="BP2447" s="144" t="n"/>
      <c r="BQ2447" s="141" t="n"/>
      <c r="BR2447" s="207" t="n"/>
      <c r="BS2447" s="207" t="n"/>
      <c r="BT2447" s="207" t="n"/>
      <c r="BU2447" s="207" t="n"/>
      <c r="BV2447" s="208" t="n"/>
      <c r="BW2447" s="207" t="n"/>
      <c r="BX2447" s="207" t="n"/>
      <c r="BY2447" s="204" t="n"/>
      <c r="BZ2447" s="148" t="n"/>
      <c r="CA2447" s="204" t="n"/>
      <c r="CB2447" s="208" t="n"/>
      <c r="CC2447" s="139" t="n"/>
      <c r="CD2447" s="204" t="n"/>
      <c r="CE2447" s="204" t="n"/>
      <c r="CF2447" s="207" t="n"/>
      <c r="CG2447" s="208" t="n"/>
      <c r="CH2447" s="207" t="n"/>
      <c r="CI2447" s="208" t="n"/>
      <c r="CJ2447" s="204" t="n"/>
      <c r="CK2447" s="208" t="n"/>
      <c r="CL2447" s="208" t="n"/>
      <c r="CM2447" s="208" t="n"/>
      <c r="CN2447" s="78" t="n"/>
      <c r="CO2447" s="209" t="n"/>
      <c r="CP2447" s="204" t="n"/>
      <c r="CQ2447" s="204" t="n"/>
      <c r="CR2447" s="204" t="n"/>
      <c r="CS2447" s="204" t="n"/>
      <c r="CT2447" s="204" t="n"/>
      <c r="CU2447" s="204" t="n"/>
      <c r="CV2447" s="204" t="n"/>
      <c r="CW2447" s="204" t="n"/>
    </row>
    <row r="2448">
      <c r="BF2448" s="78" t="n"/>
      <c r="BG2448" s="78" t="n"/>
      <c r="BH2448" s="78" t="n"/>
      <c r="BI2448" s="78" t="n"/>
      <c r="BJ2448" s="139" t="n"/>
      <c r="BK2448" s="204" t="n"/>
      <c r="BL2448" s="141" t="n"/>
      <c r="BM2448" s="205" t="n"/>
      <c r="BN2448" s="205" t="n"/>
      <c r="BO2448" s="206" t="n"/>
      <c r="BP2448" s="144" t="n"/>
      <c r="BQ2448" s="141" t="n"/>
      <c r="BR2448" s="207" t="n"/>
      <c r="BS2448" s="207" t="n"/>
      <c r="BT2448" s="207" t="n"/>
      <c r="BU2448" s="207" t="n"/>
      <c r="BV2448" s="208" t="n"/>
      <c r="BW2448" s="207" t="n"/>
      <c r="BX2448" s="207" t="n"/>
      <c r="BY2448" s="204" t="n"/>
      <c r="BZ2448" s="148" t="n"/>
      <c r="CA2448" s="204" t="n"/>
      <c r="CB2448" s="208" t="n"/>
      <c r="CC2448" s="139" t="n"/>
      <c r="CD2448" s="204" t="n"/>
      <c r="CE2448" s="204" t="n"/>
      <c r="CF2448" s="207" t="n"/>
      <c r="CG2448" s="208" t="n"/>
      <c r="CH2448" s="207" t="n"/>
      <c r="CI2448" s="208" t="n"/>
      <c r="CJ2448" s="204" t="n"/>
      <c r="CK2448" s="208" t="n"/>
      <c r="CL2448" s="208" t="n"/>
      <c r="CM2448" s="208" t="n"/>
      <c r="CN2448" s="78" t="n"/>
      <c r="CO2448" s="209" t="n"/>
      <c r="CP2448" s="204" t="n"/>
      <c r="CQ2448" s="204" t="n"/>
      <c r="CR2448" s="204" t="n"/>
      <c r="CS2448" s="204" t="n"/>
      <c r="CT2448" s="204" t="n"/>
      <c r="CU2448" s="204" t="n"/>
      <c r="CV2448" s="204" t="n"/>
      <c r="CW2448" s="204" t="n"/>
    </row>
    <row r="2449">
      <c r="BF2449" s="78" t="n"/>
      <c r="BG2449" s="78" t="n"/>
      <c r="BH2449" s="78" t="n"/>
      <c r="BI2449" s="78" t="n"/>
      <c r="BJ2449" s="139" t="n"/>
      <c r="BK2449" s="204" t="n"/>
      <c r="BL2449" s="141" t="n"/>
      <c r="BM2449" s="205" t="n"/>
      <c r="BN2449" s="205" t="n"/>
      <c r="BO2449" s="206" t="n"/>
      <c r="BP2449" s="144" t="n"/>
      <c r="BQ2449" s="141" t="n"/>
      <c r="BR2449" s="207" t="n"/>
      <c r="BS2449" s="207" t="n"/>
      <c r="BT2449" s="207" t="n"/>
      <c r="BU2449" s="207" t="n"/>
      <c r="BV2449" s="208" t="n"/>
      <c r="BW2449" s="207" t="n"/>
      <c r="BX2449" s="207" t="n"/>
      <c r="BY2449" s="204" t="n"/>
      <c r="BZ2449" s="148" t="n"/>
      <c r="CA2449" s="204" t="n"/>
      <c r="CB2449" s="208" t="n"/>
      <c r="CC2449" s="139" t="n"/>
      <c r="CD2449" s="204" t="n"/>
      <c r="CE2449" s="204" t="n"/>
      <c r="CF2449" s="207" t="n"/>
      <c r="CG2449" s="208" t="n"/>
      <c r="CH2449" s="207" t="n"/>
      <c r="CI2449" s="208" t="n"/>
      <c r="CJ2449" s="204" t="n"/>
      <c r="CK2449" s="208" t="n"/>
      <c r="CL2449" s="208" t="n"/>
      <c r="CM2449" s="208" t="n"/>
      <c r="CN2449" s="78" t="n"/>
      <c r="CO2449" s="209" t="n"/>
      <c r="CP2449" s="204" t="n"/>
      <c r="CQ2449" s="204" t="n"/>
      <c r="CR2449" s="204" t="n"/>
      <c r="CS2449" s="204" t="n"/>
      <c r="CT2449" s="204" t="n"/>
      <c r="CU2449" s="204" t="n"/>
      <c r="CV2449" s="204" t="n"/>
      <c r="CW2449" s="204" t="n"/>
    </row>
    <row r="2450">
      <c r="BF2450" s="78" t="n"/>
      <c r="BG2450" s="78" t="n"/>
      <c r="BH2450" s="78" t="n"/>
      <c r="BI2450" s="78" t="n"/>
      <c r="BJ2450" s="139" t="n"/>
      <c r="BK2450" s="204" t="n"/>
      <c r="BL2450" s="141" t="n"/>
      <c r="BM2450" s="205" t="n"/>
      <c r="BN2450" s="205" t="n"/>
      <c r="BO2450" s="206" t="n"/>
      <c r="BP2450" s="144" t="n"/>
      <c r="BQ2450" s="141" t="n"/>
      <c r="BR2450" s="207" t="n"/>
      <c r="BS2450" s="207" t="n"/>
      <c r="BT2450" s="207" t="n"/>
      <c r="BU2450" s="207" t="n"/>
      <c r="BV2450" s="208" t="n"/>
      <c r="BW2450" s="207" t="n"/>
      <c r="BX2450" s="207" t="n"/>
      <c r="BY2450" s="204" t="n"/>
      <c r="BZ2450" s="148" t="n"/>
      <c r="CA2450" s="204" t="n"/>
      <c r="CB2450" s="208" t="n"/>
      <c r="CC2450" s="139" t="n"/>
      <c r="CD2450" s="204" t="n"/>
      <c r="CE2450" s="204" t="n"/>
      <c r="CF2450" s="207" t="n"/>
      <c r="CG2450" s="208" t="n"/>
      <c r="CH2450" s="207" t="n"/>
      <c r="CI2450" s="208" t="n"/>
      <c r="CJ2450" s="204" t="n"/>
      <c r="CK2450" s="208" t="n"/>
      <c r="CL2450" s="208" t="n"/>
      <c r="CM2450" s="208" t="n"/>
      <c r="CN2450" s="78" t="n"/>
      <c r="CO2450" s="209" t="n"/>
      <c r="CP2450" s="204" t="n"/>
      <c r="CQ2450" s="204" t="n"/>
      <c r="CR2450" s="204" t="n"/>
      <c r="CS2450" s="204" t="n"/>
      <c r="CT2450" s="204" t="n"/>
      <c r="CU2450" s="204" t="n"/>
      <c r="CV2450" s="204" t="n"/>
      <c r="CW2450" s="204" t="n"/>
    </row>
    <row r="2451">
      <c r="BF2451" s="78" t="n"/>
      <c r="BG2451" s="78" t="n"/>
      <c r="BH2451" s="78" t="n"/>
      <c r="BI2451" s="78" t="n"/>
      <c r="BJ2451" s="139" t="n"/>
      <c r="BK2451" s="204" t="n"/>
      <c r="BL2451" s="141" t="n"/>
      <c r="BM2451" s="205" t="n"/>
      <c r="BN2451" s="205" t="n"/>
      <c r="BO2451" s="206" t="n"/>
      <c r="BP2451" s="144" t="n"/>
      <c r="BQ2451" s="141" t="n"/>
      <c r="BR2451" s="207" t="n"/>
      <c r="BS2451" s="207" t="n"/>
      <c r="BT2451" s="207" t="n"/>
      <c r="BU2451" s="207" t="n"/>
      <c r="BV2451" s="208" t="n"/>
      <c r="BW2451" s="207" t="n"/>
      <c r="BX2451" s="207" t="n"/>
      <c r="BY2451" s="204" t="n"/>
      <c r="BZ2451" s="148" t="n"/>
      <c r="CA2451" s="204" t="n"/>
      <c r="CB2451" s="208" t="n"/>
      <c r="CC2451" s="139" t="n"/>
      <c r="CD2451" s="204" t="n"/>
      <c r="CE2451" s="204" t="n"/>
      <c r="CF2451" s="207" t="n"/>
      <c r="CG2451" s="208" t="n"/>
      <c r="CH2451" s="207" t="n"/>
      <c r="CI2451" s="208" t="n"/>
      <c r="CJ2451" s="204" t="n"/>
      <c r="CK2451" s="208" t="n"/>
      <c r="CL2451" s="208" t="n"/>
      <c r="CM2451" s="208" t="n"/>
      <c r="CN2451" s="78" t="n"/>
      <c r="CO2451" s="209" t="n"/>
      <c r="CP2451" s="204" t="n"/>
      <c r="CQ2451" s="204" t="n"/>
      <c r="CR2451" s="204" t="n"/>
      <c r="CS2451" s="204" t="n"/>
      <c r="CT2451" s="204" t="n"/>
      <c r="CU2451" s="204" t="n"/>
      <c r="CV2451" s="204" t="n"/>
      <c r="CW2451" s="204" t="n"/>
    </row>
    <row r="2452">
      <c r="BF2452" s="78" t="n"/>
      <c r="BG2452" s="78" t="n"/>
      <c r="BH2452" s="78" t="n"/>
      <c r="BI2452" s="78" t="n"/>
      <c r="BJ2452" s="139" t="n"/>
      <c r="BK2452" s="204" t="n"/>
      <c r="BL2452" s="141" t="n"/>
      <c r="BM2452" s="205" t="n"/>
      <c r="BN2452" s="205" t="n"/>
      <c r="BO2452" s="206" t="n"/>
      <c r="BP2452" s="144" t="n"/>
      <c r="BQ2452" s="141" t="n"/>
      <c r="BR2452" s="207" t="n"/>
      <c r="BS2452" s="207" t="n"/>
      <c r="BT2452" s="207" t="n"/>
      <c r="BU2452" s="207" t="n"/>
      <c r="BV2452" s="208" t="n"/>
      <c r="BW2452" s="207" t="n"/>
      <c r="BX2452" s="207" t="n"/>
      <c r="BY2452" s="204" t="n"/>
      <c r="BZ2452" s="148" t="n"/>
      <c r="CA2452" s="204" t="n"/>
      <c r="CB2452" s="208" t="n"/>
      <c r="CC2452" s="139" t="n"/>
      <c r="CD2452" s="204" t="n"/>
      <c r="CE2452" s="204" t="n"/>
      <c r="CF2452" s="207" t="n"/>
      <c r="CG2452" s="208" t="n"/>
      <c r="CH2452" s="207" t="n"/>
      <c r="CI2452" s="208" t="n"/>
      <c r="CJ2452" s="204" t="n"/>
      <c r="CK2452" s="208" t="n"/>
      <c r="CL2452" s="208" t="n"/>
      <c r="CM2452" s="208" t="n"/>
      <c r="CN2452" s="78" t="n"/>
      <c r="CO2452" s="209" t="n"/>
      <c r="CP2452" s="204" t="n"/>
      <c r="CQ2452" s="204" t="n"/>
      <c r="CR2452" s="204" t="n"/>
      <c r="CS2452" s="204" t="n"/>
      <c r="CT2452" s="204" t="n"/>
      <c r="CU2452" s="204" t="n"/>
      <c r="CV2452" s="204" t="n"/>
      <c r="CW2452" s="204" t="n"/>
    </row>
    <row r="2453">
      <c r="BF2453" s="78" t="n"/>
      <c r="BG2453" s="78" t="n"/>
      <c r="BH2453" s="78" t="n"/>
      <c r="BI2453" s="78" t="n"/>
      <c r="BJ2453" s="139" t="n"/>
      <c r="BK2453" s="204" t="n"/>
      <c r="BL2453" s="141" t="n"/>
      <c r="BM2453" s="205" t="n"/>
      <c r="BN2453" s="205" t="n"/>
      <c r="BO2453" s="206" t="n"/>
      <c r="BP2453" s="144" t="n"/>
      <c r="BQ2453" s="141" t="n"/>
      <c r="BR2453" s="207" t="n"/>
      <c r="BS2453" s="207" t="n"/>
      <c r="BT2453" s="207" t="n"/>
      <c r="BU2453" s="207" t="n"/>
      <c r="BV2453" s="208" t="n"/>
      <c r="BW2453" s="207" t="n"/>
      <c r="BX2453" s="207" t="n"/>
      <c r="BY2453" s="204" t="n"/>
      <c r="BZ2453" s="148" t="n"/>
      <c r="CA2453" s="204" t="n"/>
      <c r="CB2453" s="208" t="n"/>
      <c r="CC2453" s="139" t="n"/>
      <c r="CD2453" s="204" t="n"/>
      <c r="CE2453" s="204" t="n"/>
      <c r="CF2453" s="207" t="n"/>
      <c r="CG2453" s="208" t="n"/>
      <c r="CH2453" s="207" t="n"/>
      <c r="CI2453" s="208" t="n"/>
      <c r="CJ2453" s="204" t="n"/>
      <c r="CK2453" s="208" t="n"/>
      <c r="CL2453" s="208" t="n"/>
      <c r="CM2453" s="208" t="n"/>
      <c r="CN2453" s="78" t="n"/>
      <c r="CO2453" s="209" t="n"/>
      <c r="CP2453" s="204" t="n"/>
      <c r="CQ2453" s="204" t="n"/>
      <c r="CR2453" s="204" t="n"/>
      <c r="CS2453" s="204" t="n"/>
      <c r="CT2453" s="204" t="n"/>
      <c r="CU2453" s="204" t="n"/>
      <c r="CV2453" s="204" t="n"/>
      <c r="CW2453" s="204" t="n"/>
    </row>
    <row r="2454">
      <c r="BF2454" s="78" t="n"/>
      <c r="BG2454" s="78" t="n"/>
      <c r="BH2454" s="78" t="n"/>
      <c r="BI2454" s="78" t="n"/>
      <c r="BJ2454" s="139" t="n"/>
      <c r="BK2454" s="204" t="n"/>
      <c r="BL2454" s="141" t="n"/>
      <c r="BM2454" s="205" t="n"/>
      <c r="BN2454" s="205" t="n"/>
      <c r="BO2454" s="206" t="n"/>
      <c r="BP2454" s="144" t="n"/>
      <c r="BQ2454" s="141" t="n"/>
      <c r="BR2454" s="207" t="n"/>
      <c r="BS2454" s="207" t="n"/>
      <c r="BT2454" s="207" t="n"/>
      <c r="BU2454" s="207" t="n"/>
      <c r="BV2454" s="208" t="n"/>
      <c r="BW2454" s="207" t="n"/>
      <c r="BX2454" s="207" t="n"/>
      <c r="BY2454" s="204" t="n"/>
      <c r="BZ2454" s="148" t="n"/>
      <c r="CA2454" s="204" t="n"/>
      <c r="CB2454" s="208" t="n"/>
      <c r="CC2454" s="139" t="n"/>
      <c r="CD2454" s="204" t="n"/>
      <c r="CE2454" s="204" t="n"/>
      <c r="CF2454" s="207" t="n"/>
      <c r="CG2454" s="208" t="n"/>
      <c r="CH2454" s="207" t="n"/>
      <c r="CI2454" s="208" t="n"/>
      <c r="CJ2454" s="204" t="n"/>
      <c r="CK2454" s="208" t="n"/>
      <c r="CL2454" s="208" t="n"/>
      <c r="CM2454" s="208" t="n"/>
      <c r="CN2454" s="78" t="n"/>
      <c r="CO2454" s="209" t="n"/>
      <c r="CP2454" s="204" t="n"/>
      <c r="CQ2454" s="204" t="n"/>
      <c r="CR2454" s="204" t="n"/>
      <c r="CS2454" s="204" t="n"/>
      <c r="CT2454" s="204" t="n"/>
      <c r="CU2454" s="204" t="n"/>
      <c r="CV2454" s="204" t="n"/>
      <c r="CW2454" s="204" t="n"/>
    </row>
    <row r="2455">
      <c r="BF2455" s="78" t="n"/>
      <c r="BG2455" s="78" t="n"/>
      <c r="BH2455" s="78" t="n"/>
      <c r="BI2455" s="78" t="n"/>
      <c r="BJ2455" s="139" t="n"/>
      <c r="BK2455" s="204" t="n"/>
      <c r="BL2455" s="141" t="n"/>
      <c r="BM2455" s="205" t="n"/>
      <c r="BN2455" s="205" t="n"/>
      <c r="BO2455" s="206" t="n"/>
      <c r="BP2455" s="144" t="n"/>
      <c r="BQ2455" s="141" t="n"/>
      <c r="BR2455" s="207" t="n"/>
      <c r="BS2455" s="207" t="n"/>
      <c r="BT2455" s="207" t="n"/>
      <c r="BU2455" s="207" t="n"/>
      <c r="BV2455" s="208" t="n"/>
      <c r="BW2455" s="207" t="n"/>
      <c r="BX2455" s="207" t="n"/>
      <c r="BY2455" s="204" t="n"/>
      <c r="BZ2455" s="148" t="n"/>
      <c r="CA2455" s="204" t="n"/>
      <c r="CB2455" s="208" t="n"/>
      <c r="CC2455" s="139" t="n"/>
      <c r="CD2455" s="204" t="n"/>
      <c r="CE2455" s="204" t="n"/>
      <c r="CF2455" s="207" t="n"/>
      <c r="CG2455" s="208" t="n"/>
      <c r="CH2455" s="207" t="n"/>
      <c r="CI2455" s="208" t="n"/>
      <c r="CJ2455" s="204" t="n"/>
      <c r="CK2455" s="208" t="n"/>
      <c r="CL2455" s="208" t="n"/>
      <c r="CM2455" s="208" t="n"/>
      <c r="CN2455" s="78" t="n"/>
      <c r="CO2455" s="209" t="n"/>
      <c r="CP2455" s="204" t="n"/>
      <c r="CQ2455" s="204" t="n"/>
      <c r="CR2455" s="204" t="n"/>
      <c r="CS2455" s="204" t="n"/>
      <c r="CT2455" s="204" t="n"/>
      <c r="CU2455" s="204" t="n"/>
      <c r="CV2455" s="204" t="n"/>
      <c r="CW2455" s="204" t="n"/>
    </row>
    <row r="2456">
      <c r="BF2456" s="78" t="n"/>
      <c r="BG2456" s="78" t="n"/>
      <c r="BH2456" s="78" t="n"/>
      <c r="BI2456" s="78" t="n"/>
      <c r="BJ2456" s="139" t="n"/>
      <c r="BK2456" s="204" t="n"/>
      <c r="BL2456" s="141" t="n"/>
      <c r="BM2456" s="205" t="n"/>
      <c r="BN2456" s="205" t="n"/>
      <c r="BO2456" s="206" t="n"/>
      <c r="BP2456" s="144" t="n"/>
      <c r="BQ2456" s="141" t="n"/>
      <c r="BR2456" s="207" t="n"/>
      <c r="BS2456" s="207" t="n"/>
      <c r="BT2456" s="207" t="n"/>
      <c r="BU2456" s="207" t="n"/>
      <c r="BV2456" s="208" t="n"/>
      <c r="BW2456" s="207" t="n"/>
      <c r="BX2456" s="207" t="n"/>
      <c r="BY2456" s="204" t="n"/>
      <c r="BZ2456" s="148" t="n"/>
      <c r="CA2456" s="204" t="n"/>
      <c r="CB2456" s="208" t="n"/>
      <c r="CC2456" s="139" t="n"/>
      <c r="CD2456" s="204" t="n"/>
      <c r="CE2456" s="204" t="n"/>
      <c r="CF2456" s="207" t="n"/>
      <c r="CG2456" s="208" t="n"/>
      <c r="CH2456" s="207" t="n"/>
      <c r="CI2456" s="208" t="n"/>
      <c r="CJ2456" s="204" t="n"/>
      <c r="CK2456" s="208" t="n"/>
      <c r="CL2456" s="208" t="n"/>
      <c r="CM2456" s="208" t="n"/>
      <c r="CN2456" s="78" t="n"/>
      <c r="CO2456" s="209" t="n"/>
      <c r="CP2456" s="204" t="n"/>
      <c r="CQ2456" s="204" t="n"/>
      <c r="CR2456" s="204" t="n"/>
      <c r="CS2456" s="204" t="n"/>
      <c r="CT2456" s="204" t="n"/>
      <c r="CU2456" s="204" t="n"/>
      <c r="CV2456" s="204" t="n"/>
      <c r="CW2456" s="204" t="n"/>
    </row>
    <row r="2457">
      <c r="BF2457" s="78" t="n"/>
      <c r="BG2457" s="78" t="n"/>
      <c r="BH2457" s="78" t="n"/>
      <c r="BI2457" s="78" t="n"/>
      <c r="BJ2457" s="139" t="n"/>
      <c r="BK2457" s="204" t="n"/>
      <c r="BL2457" s="141" t="n"/>
      <c r="BM2457" s="205" t="n"/>
      <c r="BN2457" s="205" t="n"/>
      <c r="BO2457" s="206" t="n"/>
      <c r="BP2457" s="144" t="n"/>
      <c r="BQ2457" s="141" t="n"/>
      <c r="BR2457" s="207" t="n"/>
      <c r="BS2457" s="207" t="n"/>
      <c r="BT2457" s="207" t="n"/>
      <c r="BU2457" s="207" t="n"/>
      <c r="BV2457" s="208" t="n"/>
      <c r="BW2457" s="207" t="n"/>
      <c r="BX2457" s="207" t="n"/>
      <c r="BY2457" s="204" t="n"/>
      <c r="BZ2457" s="148" t="n"/>
      <c r="CA2457" s="204" t="n"/>
      <c r="CB2457" s="208" t="n"/>
      <c r="CC2457" s="139" t="n"/>
      <c r="CD2457" s="204" t="n"/>
      <c r="CE2457" s="204" t="n"/>
      <c r="CF2457" s="207" t="n"/>
      <c r="CG2457" s="208" t="n"/>
      <c r="CH2457" s="207" t="n"/>
      <c r="CI2457" s="208" t="n"/>
      <c r="CJ2457" s="204" t="n"/>
      <c r="CK2457" s="208" t="n"/>
      <c r="CL2457" s="208" t="n"/>
      <c r="CM2457" s="208" t="n"/>
      <c r="CN2457" s="78" t="n"/>
      <c r="CO2457" s="209" t="n"/>
      <c r="CP2457" s="204" t="n"/>
      <c r="CQ2457" s="204" t="n"/>
      <c r="CR2457" s="204" t="n"/>
      <c r="CS2457" s="204" t="n"/>
      <c r="CT2457" s="204" t="n"/>
      <c r="CU2457" s="204" t="n"/>
      <c r="CV2457" s="204" t="n"/>
      <c r="CW2457" s="204" t="n"/>
    </row>
    <row r="2458">
      <c r="BF2458" s="78" t="n"/>
      <c r="BG2458" s="78" t="n"/>
      <c r="BH2458" s="78" t="n"/>
      <c r="BI2458" s="78" t="n"/>
      <c r="BJ2458" s="139" t="n"/>
      <c r="BK2458" s="204" t="n"/>
      <c r="BL2458" s="141" t="n"/>
      <c r="BM2458" s="205" t="n"/>
      <c r="BN2458" s="205" t="n"/>
      <c r="BO2458" s="206" t="n"/>
      <c r="BP2458" s="144" t="n"/>
      <c r="BQ2458" s="141" t="n"/>
      <c r="BR2458" s="207" t="n"/>
      <c r="BS2458" s="207" t="n"/>
      <c r="BT2458" s="207" t="n"/>
      <c r="BU2458" s="207" t="n"/>
      <c r="BV2458" s="208" t="n"/>
      <c r="BW2458" s="207" t="n"/>
      <c r="BX2458" s="207" t="n"/>
      <c r="BY2458" s="204" t="n"/>
      <c r="BZ2458" s="148" t="n"/>
      <c r="CA2458" s="204" t="n"/>
      <c r="CB2458" s="208" t="n"/>
      <c r="CC2458" s="139" t="n"/>
      <c r="CD2458" s="204" t="n"/>
      <c r="CE2458" s="204" t="n"/>
      <c r="CF2458" s="207" t="n"/>
      <c r="CG2458" s="208" t="n"/>
      <c r="CH2458" s="207" t="n"/>
      <c r="CI2458" s="208" t="n"/>
      <c r="CJ2458" s="204" t="n"/>
      <c r="CK2458" s="208" t="n"/>
      <c r="CL2458" s="208" t="n"/>
      <c r="CM2458" s="208" t="n"/>
      <c r="CN2458" s="78" t="n"/>
      <c r="CO2458" s="209" t="n"/>
      <c r="CP2458" s="204" t="n"/>
      <c r="CQ2458" s="204" t="n"/>
      <c r="CR2458" s="204" t="n"/>
      <c r="CS2458" s="204" t="n"/>
      <c r="CT2458" s="204" t="n"/>
      <c r="CU2458" s="204" t="n"/>
      <c r="CV2458" s="204" t="n"/>
      <c r="CW2458" s="204" t="n"/>
    </row>
    <row r="2459">
      <c r="BF2459" s="78" t="n"/>
      <c r="BG2459" s="78" t="n"/>
      <c r="BH2459" s="78" t="n"/>
      <c r="BI2459" s="78" t="n"/>
      <c r="BJ2459" s="139" t="n"/>
      <c r="BK2459" s="204" t="n"/>
      <c r="BL2459" s="141" t="n"/>
      <c r="BM2459" s="205" t="n"/>
      <c r="BN2459" s="205" t="n"/>
      <c r="BO2459" s="206" t="n"/>
      <c r="BP2459" s="144" t="n"/>
      <c r="BQ2459" s="141" t="n"/>
      <c r="BR2459" s="207" t="n"/>
      <c r="BS2459" s="207" t="n"/>
      <c r="BT2459" s="207" t="n"/>
      <c r="BU2459" s="207" t="n"/>
      <c r="BV2459" s="208" t="n"/>
      <c r="BW2459" s="207" t="n"/>
      <c r="BX2459" s="207" t="n"/>
      <c r="BY2459" s="204" t="n"/>
      <c r="BZ2459" s="148" t="n"/>
      <c r="CA2459" s="204" t="n"/>
      <c r="CB2459" s="208" t="n"/>
      <c r="CC2459" s="139" t="n"/>
      <c r="CD2459" s="204" t="n"/>
      <c r="CE2459" s="204" t="n"/>
      <c r="CF2459" s="207" t="n"/>
      <c r="CG2459" s="208" t="n"/>
      <c r="CH2459" s="207" t="n"/>
      <c r="CI2459" s="208" t="n"/>
      <c r="CJ2459" s="204" t="n"/>
      <c r="CK2459" s="208" t="n"/>
      <c r="CL2459" s="208" t="n"/>
      <c r="CM2459" s="208" t="n"/>
      <c r="CN2459" s="78" t="n"/>
      <c r="CO2459" s="209" t="n"/>
      <c r="CP2459" s="204" t="n"/>
      <c r="CQ2459" s="204" t="n"/>
      <c r="CR2459" s="204" t="n"/>
      <c r="CS2459" s="204" t="n"/>
      <c r="CT2459" s="204" t="n"/>
      <c r="CU2459" s="204" t="n"/>
      <c r="CV2459" s="204" t="n"/>
      <c r="CW2459" s="204" t="n"/>
    </row>
    <row r="2460">
      <c r="BF2460" s="78" t="n"/>
      <c r="BG2460" s="78" t="n"/>
      <c r="BH2460" s="78" t="n"/>
      <c r="BI2460" s="78" t="n"/>
      <c r="BJ2460" s="139" t="n"/>
      <c r="BK2460" s="204" t="n"/>
      <c r="BL2460" s="141" t="n"/>
      <c r="BM2460" s="205" t="n"/>
      <c r="BN2460" s="205" t="n"/>
      <c r="BO2460" s="206" t="n"/>
      <c r="BP2460" s="144" t="n"/>
      <c r="BQ2460" s="141" t="n"/>
      <c r="BR2460" s="207" t="n"/>
      <c r="BS2460" s="207" t="n"/>
      <c r="BT2460" s="207" t="n"/>
      <c r="BU2460" s="207" t="n"/>
      <c r="BV2460" s="208" t="n"/>
      <c r="BW2460" s="207" t="n"/>
      <c r="BX2460" s="207" t="n"/>
      <c r="BY2460" s="204" t="n"/>
      <c r="BZ2460" s="148" t="n"/>
      <c r="CA2460" s="204" t="n"/>
      <c r="CB2460" s="208" t="n"/>
      <c r="CC2460" s="139" t="n"/>
      <c r="CD2460" s="204" t="n"/>
      <c r="CE2460" s="204" t="n"/>
      <c r="CF2460" s="207" t="n"/>
      <c r="CG2460" s="208" t="n"/>
      <c r="CH2460" s="207" t="n"/>
      <c r="CI2460" s="208" t="n"/>
      <c r="CJ2460" s="204" t="n"/>
      <c r="CK2460" s="208" t="n"/>
      <c r="CL2460" s="208" t="n"/>
      <c r="CM2460" s="208" t="n"/>
      <c r="CN2460" s="78" t="n"/>
      <c r="CO2460" s="209" t="n"/>
      <c r="CP2460" s="204" t="n"/>
      <c r="CQ2460" s="204" t="n"/>
      <c r="CR2460" s="204" t="n"/>
      <c r="CS2460" s="204" t="n"/>
      <c r="CT2460" s="204" t="n"/>
      <c r="CU2460" s="204" t="n"/>
      <c r="CV2460" s="204" t="n"/>
      <c r="CW2460" s="204" t="n"/>
    </row>
    <row r="2461">
      <c r="AR2461" s="151" t="n"/>
      <c r="BF2461" s="78" t="n"/>
      <c r="BG2461" s="78" t="n"/>
      <c r="BH2461" s="78" t="n"/>
      <c r="BI2461" s="78" t="n"/>
      <c r="BJ2461" s="139" t="n"/>
      <c r="BK2461" s="204" t="n"/>
      <c r="BL2461" s="141" t="n"/>
      <c r="BM2461" s="205" t="n"/>
      <c r="BN2461" s="205" t="n"/>
      <c r="BO2461" s="206" t="n"/>
      <c r="BP2461" s="144" t="n"/>
      <c r="BQ2461" s="141" t="n"/>
      <c r="BR2461" s="207" t="n"/>
      <c r="BS2461" s="207" t="n"/>
      <c r="BT2461" s="207" t="n"/>
      <c r="BU2461" s="207" t="n"/>
      <c r="BV2461" s="208" t="n"/>
      <c r="BW2461" s="207" t="n"/>
      <c r="BX2461" s="207" t="n"/>
      <c r="BY2461" s="204" t="n"/>
      <c r="BZ2461" s="148" t="n"/>
      <c r="CA2461" s="204" t="n"/>
      <c r="CB2461" s="208" t="n"/>
      <c r="CC2461" s="139" t="n"/>
      <c r="CD2461" s="204" t="n"/>
      <c r="CE2461" s="204" t="n"/>
      <c r="CF2461" s="207" t="n"/>
      <c r="CG2461" s="208" t="n"/>
      <c r="CH2461" s="207" t="n"/>
      <c r="CI2461" s="208" t="n"/>
      <c r="CJ2461" s="204" t="n"/>
      <c r="CK2461" s="208" t="n"/>
      <c r="CL2461" s="208" t="n"/>
      <c r="CM2461" s="208" t="n"/>
      <c r="CN2461" s="78" t="n"/>
      <c r="CO2461" s="209" t="n"/>
      <c r="CP2461" s="204" t="n"/>
      <c r="CQ2461" s="204" t="n"/>
      <c r="CR2461" s="204" t="n"/>
      <c r="CS2461" s="204" t="n"/>
      <c r="CT2461" s="204" t="n"/>
      <c r="CU2461" s="204" t="n"/>
      <c r="CV2461" s="204" t="n"/>
      <c r="CW2461" s="204" t="n"/>
    </row>
    <row r="2462">
      <c r="BF2462" s="78" t="n"/>
      <c r="BG2462" s="78" t="n"/>
      <c r="BH2462" s="78" t="n"/>
      <c r="BI2462" s="78" t="n"/>
      <c r="BJ2462" s="139" t="n"/>
      <c r="BK2462" s="204" t="n"/>
      <c r="BL2462" s="141" t="n"/>
      <c r="BM2462" s="205" t="n"/>
      <c r="BN2462" s="205" t="n"/>
      <c r="BO2462" s="206" t="n"/>
      <c r="BP2462" s="144" t="n"/>
      <c r="BQ2462" s="141" t="n"/>
      <c r="BR2462" s="207" t="n"/>
      <c r="BS2462" s="207" t="n"/>
      <c r="BT2462" s="207" t="n"/>
      <c r="BU2462" s="207" t="n"/>
      <c r="BV2462" s="208" t="n"/>
      <c r="BW2462" s="207" t="n"/>
      <c r="BX2462" s="207" t="n"/>
      <c r="BY2462" s="204" t="n"/>
      <c r="BZ2462" s="148" t="n"/>
      <c r="CA2462" s="204" t="n"/>
      <c r="CB2462" s="208" t="n"/>
      <c r="CC2462" s="139" t="n"/>
      <c r="CD2462" s="204" t="n"/>
      <c r="CE2462" s="204" t="n"/>
      <c r="CF2462" s="207" t="n"/>
      <c r="CG2462" s="208" t="n"/>
      <c r="CH2462" s="207" t="n"/>
      <c r="CI2462" s="208" t="n"/>
      <c r="CJ2462" s="204" t="n"/>
      <c r="CK2462" s="208" t="n"/>
      <c r="CL2462" s="208" t="n"/>
      <c r="CM2462" s="208" t="n"/>
      <c r="CN2462" s="78" t="n"/>
      <c r="CO2462" s="209" t="n"/>
      <c r="CP2462" s="204" t="n"/>
      <c r="CQ2462" s="204" t="n"/>
      <c r="CR2462" s="204" t="n"/>
      <c r="CS2462" s="204" t="n"/>
      <c r="CT2462" s="204" t="n"/>
      <c r="CU2462" s="204" t="n"/>
      <c r="CV2462" s="204" t="n"/>
      <c r="CW2462" s="204" t="n"/>
    </row>
    <row r="2463">
      <c r="BF2463" s="78" t="n"/>
      <c r="BG2463" s="78" t="n"/>
      <c r="BH2463" s="78" t="n"/>
      <c r="BI2463" s="78" t="n"/>
      <c r="BJ2463" s="139" t="n"/>
      <c r="BK2463" s="204" t="n"/>
      <c r="BL2463" s="141" t="n"/>
      <c r="BM2463" s="205" t="n"/>
      <c r="BN2463" s="205" t="n"/>
      <c r="BO2463" s="206" t="n"/>
      <c r="BP2463" s="144" t="n"/>
      <c r="BQ2463" s="141" t="n"/>
      <c r="BR2463" s="207" t="n"/>
      <c r="BS2463" s="207" t="n"/>
      <c r="BT2463" s="207" t="n"/>
      <c r="BU2463" s="207" t="n"/>
      <c r="BV2463" s="208" t="n"/>
      <c r="BW2463" s="207" t="n"/>
      <c r="BX2463" s="207" t="n"/>
      <c r="BY2463" s="204" t="n"/>
      <c r="BZ2463" s="148" t="n"/>
      <c r="CA2463" s="204" t="n"/>
      <c r="CB2463" s="208" t="n"/>
      <c r="CC2463" s="139" t="n"/>
      <c r="CD2463" s="204" t="n"/>
      <c r="CE2463" s="204" t="n"/>
      <c r="CF2463" s="207" t="n"/>
      <c r="CG2463" s="208" t="n"/>
      <c r="CH2463" s="207" t="n"/>
      <c r="CI2463" s="208" t="n"/>
      <c r="CJ2463" s="204" t="n"/>
      <c r="CK2463" s="208" t="n"/>
      <c r="CL2463" s="208" t="n"/>
      <c r="CM2463" s="208" t="n"/>
      <c r="CN2463" s="78" t="n"/>
      <c r="CO2463" s="209" t="n"/>
      <c r="CP2463" s="204" t="n"/>
      <c r="CQ2463" s="204" t="n"/>
      <c r="CR2463" s="204" t="n"/>
      <c r="CS2463" s="204" t="n"/>
      <c r="CT2463" s="204" t="n"/>
      <c r="CU2463" s="204" t="n"/>
      <c r="CV2463" s="204" t="n"/>
      <c r="CW2463" s="204" t="n"/>
    </row>
    <row r="2464">
      <c r="BF2464" s="78" t="n"/>
      <c r="BG2464" s="78" t="n"/>
      <c r="BH2464" s="78" t="n"/>
      <c r="BI2464" s="78" t="n"/>
      <c r="BJ2464" s="139" t="n"/>
      <c r="BK2464" s="204" t="n"/>
      <c r="BL2464" s="141" t="n"/>
      <c r="BM2464" s="205" t="n"/>
      <c r="BN2464" s="205" t="n"/>
      <c r="BO2464" s="206" t="n"/>
      <c r="BP2464" s="144" t="n"/>
      <c r="BQ2464" s="141" t="n"/>
      <c r="BR2464" s="207" t="n"/>
      <c r="BS2464" s="207" t="n"/>
      <c r="BT2464" s="207" t="n"/>
      <c r="BU2464" s="207" t="n"/>
      <c r="BV2464" s="208" t="n"/>
      <c r="BW2464" s="207" t="n"/>
      <c r="BX2464" s="207" t="n"/>
      <c r="BY2464" s="204" t="n"/>
      <c r="BZ2464" s="148" t="n"/>
      <c r="CA2464" s="204" t="n"/>
      <c r="CB2464" s="208" t="n"/>
      <c r="CC2464" s="139" t="n"/>
      <c r="CD2464" s="204" t="n"/>
      <c r="CE2464" s="204" t="n"/>
      <c r="CF2464" s="207" t="n"/>
      <c r="CG2464" s="208" t="n"/>
      <c r="CH2464" s="207" t="n"/>
      <c r="CI2464" s="208" t="n"/>
      <c r="CJ2464" s="204" t="n"/>
      <c r="CK2464" s="208" t="n"/>
      <c r="CL2464" s="208" t="n"/>
      <c r="CM2464" s="208" t="n"/>
      <c r="CN2464" s="78" t="n"/>
      <c r="CO2464" s="209" t="n"/>
      <c r="CP2464" s="204" t="n"/>
      <c r="CQ2464" s="204" t="n"/>
      <c r="CR2464" s="204" t="n"/>
      <c r="CS2464" s="204" t="n"/>
      <c r="CT2464" s="204" t="n"/>
      <c r="CU2464" s="204" t="n"/>
      <c r="CV2464" s="204" t="n"/>
      <c r="CW2464" s="204" t="n"/>
    </row>
    <row r="2465">
      <c r="BF2465" s="78" t="n"/>
      <c r="BG2465" s="78" t="n"/>
      <c r="BH2465" s="78" t="n"/>
      <c r="BI2465" s="78" t="n"/>
      <c r="BJ2465" s="139" t="n"/>
      <c r="BK2465" s="204" t="n"/>
      <c r="BL2465" s="141" t="n"/>
      <c r="BM2465" s="205" t="n"/>
      <c r="BN2465" s="205" t="n"/>
      <c r="BO2465" s="206" t="n"/>
      <c r="BP2465" s="144" t="n"/>
      <c r="BQ2465" s="141" t="n"/>
      <c r="BR2465" s="207" t="n"/>
      <c r="BS2465" s="207" t="n"/>
      <c r="BT2465" s="207" t="n"/>
      <c r="BU2465" s="207" t="n"/>
      <c r="BV2465" s="208" t="n"/>
      <c r="BW2465" s="207" t="n"/>
      <c r="BX2465" s="207" t="n"/>
      <c r="BY2465" s="204" t="n"/>
      <c r="BZ2465" s="148" t="n"/>
      <c r="CA2465" s="204" t="n"/>
      <c r="CB2465" s="208" t="n"/>
      <c r="CC2465" s="139" t="n"/>
      <c r="CD2465" s="204" t="n"/>
      <c r="CE2465" s="204" t="n"/>
      <c r="CF2465" s="207" t="n"/>
      <c r="CG2465" s="208" t="n"/>
      <c r="CH2465" s="207" t="n"/>
      <c r="CI2465" s="208" t="n"/>
      <c r="CJ2465" s="204" t="n"/>
      <c r="CK2465" s="208" t="n"/>
      <c r="CL2465" s="208" t="n"/>
      <c r="CM2465" s="208" t="n"/>
      <c r="CN2465" s="78" t="n"/>
      <c r="CO2465" s="209" t="n"/>
      <c r="CP2465" s="204" t="n"/>
      <c r="CQ2465" s="204" t="n"/>
      <c r="CR2465" s="204" t="n"/>
      <c r="CS2465" s="204" t="n"/>
      <c r="CT2465" s="204" t="n"/>
      <c r="CU2465" s="204" t="n"/>
      <c r="CV2465" s="204" t="n"/>
      <c r="CW2465" s="204" t="n"/>
    </row>
    <row r="2466">
      <c r="BF2466" s="78" t="n"/>
      <c r="BG2466" s="78" t="n"/>
      <c r="BH2466" s="78" t="n"/>
      <c r="BI2466" s="78" t="n"/>
      <c r="BJ2466" s="139" t="n"/>
      <c r="BK2466" s="204" t="n"/>
      <c r="BL2466" s="141" t="n"/>
      <c r="BM2466" s="205" t="n"/>
      <c r="BN2466" s="205" t="n"/>
      <c r="BO2466" s="206" t="n"/>
      <c r="BP2466" s="144" t="n"/>
      <c r="BQ2466" s="141" t="n"/>
      <c r="BR2466" s="207" t="n"/>
      <c r="BS2466" s="207" t="n"/>
      <c r="BT2466" s="207" t="n"/>
      <c r="BU2466" s="207" t="n"/>
      <c r="BV2466" s="208" t="n"/>
      <c r="BW2466" s="207" t="n"/>
      <c r="BX2466" s="207" t="n"/>
      <c r="BY2466" s="204" t="n"/>
      <c r="BZ2466" s="148" t="n"/>
      <c r="CA2466" s="204" t="n"/>
      <c r="CB2466" s="208" t="n"/>
      <c r="CC2466" s="139" t="n"/>
      <c r="CD2466" s="204" t="n"/>
      <c r="CE2466" s="204" t="n"/>
      <c r="CF2466" s="207" t="n"/>
      <c r="CG2466" s="208" t="n"/>
      <c r="CH2466" s="207" t="n"/>
      <c r="CI2466" s="208" t="n"/>
      <c r="CJ2466" s="204" t="n"/>
      <c r="CK2466" s="208" t="n"/>
      <c r="CL2466" s="208" t="n"/>
      <c r="CM2466" s="208" t="n"/>
      <c r="CN2466" s="78" t="n"/>
      <c r="CO2466" s="209" t="n"/>
      <c r="CP2466" s="204" t="n"/>
      <c r="CQ2466" s="204" t="n"/>
      <c r="CR2466" s="204" t="n"/>
      <c r="CS2466" s="204" t="n"/>
      <c r="CT2466" s="204" t="n"/>
      <c r="CU2466" s="204" t="n"/>
      <c r="CV2466" s="204" t="n"/>
      <c r="CW2466" s="204" t="n"/>
    </row>
    <row r="2467">
      <c r="BF2467" s="78" t="n"/>
      <c r="BG2467" s="78" t="n"/>
      <c r="BH2467" s="78" t="n"/>
      <c r="BI2467" s="78" t="n"/>
      <c r="BJ2467" s="139" t="n"/>
      <c r="BK2467" s="204" t="n"/>
      <c r="BL2467" s="141" t="n"/>
      <c r="BM2467" s="205" t="n"/>
      <c r="BN2467" s="205" t="n"/>
      <c r="BO2467" s="206" t="n"/>
      <c r="BP2467" s="144" t="n"/>
      <c r="BQ2467" s="141" t="n"/>
      <c r="BR2467" s="207" t="n"/>
      <c r="BS2467" s="207" t="n"/>
      <c r="BT2467" s="207" t="n"/>
      <c r="BU2467" s="207" t="n"/>
      <c r="BV2467" s="208" t="n"/>
      <c r="BW2467" s="207" t="n"/>
      <c r="BX2467" s="207" t="n"/>
      <c r="BY2467" s="204" t="n"/>
      <c r="BZ2467" s="148" t="n"/>
      <c r="CA2467" s="204" t="n"/>
      <c r="CB2467" s="208" t="n"/>
      <c r="CC2467" s="139" t="n"/>
      <c r="CD2467" s="204" t="n"/>
      <c r="CE2467" s="204" t="n"/>
      <c r="CF2467" s="207" t="n"/>
      <c r="CG2467" s="208" t="n"/>
      <c r="CH2467" s="207" t="n"/>
      <c r="CI2467" s="208" t="n"/>
      <c r="CJ2467" s="204" t="n"/>
      <c r="CK2467" s="208" t="n"/>
      <c r="CL2467" s="208" t="n"/>
      <c r="CM2467" s="208" t="n"/>
      <c r="CN2467" s="78" t="n"/>
      <c r="CO2467" s="209" t="n"/>
      <c r="CP2467" s="204" t="n"/>
      <c r="CQ2467" s="204" t="n"/>
      <c r="CR2467" s="204" t="n"/>
      <c r="CS2467" s="204" t="n"/>
      <c r="CT2467" s="204" t="n"/>
      <c r="CU2467" s="204" t="n"/>
      <c r="CV2467" s="204" t="n"/>
      <c r="CW2467" s="204" t="n"/>
    </row>
    <row r="2468">
      <c r="BF2468" s="78" t="n"/>
      <c r="BG2468" s="78" t="n"/>
      <c r="BH2468" s="78" t="n"/>
      <c r="BI2468" s="78" t="n"/>
      <c r="BJ2468" s="139" t="n"/>
      <c r="BK2468" s="204" t="n"/>
      <c r="BL2468" s="141" t="n"/>
      <c r="BM2468" s="205" t="n"/>
      <c r="BN2468" s="205" t="n"/>
      <c r="BO2468" s="206" t="n"/>
      <c r="BP2468" s="144" t="n"/>
      <c r="BQ2468" s="141" t="n"/>
      <c r="BR2468" s="207" t="n"/>
      <c r="BS2468" s="207" t="n"/>
      <c r="BT2468" s="207" t="n"/>
      <c r="BU2468" s="207" t="n"/>
      <c r="BV2468" s="208" t="n"/>
      <c r="BW2468" s="207" t="n"/>
      <c r="BX2468" s="207" t="n"/>
      <c r="BY2468" s="204" t="n"/>
      <c r="BZ2468" s="148" t="n"/>
      <c r="CA2468" s="204" t="n"/>
      <c r="CB2468" s="208" t="n"/>
      <c r="CC2468" s="139" t="n"/>
      <c r="CD2468" s="204" t="n"/>
      <c r="CE2468" s="204" t="n"/>
      <c r="CF2468" s="207" t="n"/>
      <c r="CG2468" s="208" t="n"/>
      <c r="CH2468" s="207" t="n"/>
      <c r="CI2468" s="208" t="n"/>
      <c r="CJ2468" s="204" t="n"/>
      <c r="CK2468" s="208" t="n"/>
      <c r="CL2468" s="208" t="n"/>
      <c r="CM2468" s="208" t="n"/>
      <c r="CN2468" s="78" t="n"/>
      <c r="CO2468" s="209" t="n"/>
      <c r="CP2468" s="204" t="n"/>
      <c r="CQ2468" s="204" t="n"/>
      <c r="CR2468" s="204" t="n"/>
      <c r="CS2468" s="204" t="n"/>
      <c r="CT2468" s="204" t="n"/>
      <c r="CU2468" s="204" t="n"/>
      <c r="CV2468" s="204" t="n"/>
      <c r="CW2468" s="204" t="n"/>
    </row>
    <row r="2469">
      <c r="BF2469" s="78" t="n"/>
      <c r="BG2469" s="78" t="n"/>
      <c r="BH2469" s="78" t="n"/>
      <c r="BI2469" s="78" t="n"/>
      <c r="BJ2469" s="139" t="n"/>
      <c r="BK2469" s="204" t="n"/>
      <c r="BL2469" s="141" t="n"/>
      <c r="BM2469" s="205" t="n"/>
      <c r="BN2469" s="205" t="n"/>
      <c r="BO2469" s="206" t="n"/>
      <c r="BP2469" s="144" t="n"/>
      <c r="BQ2469" s="141" t="n"/>
      <c r="BR2469" s="207" t="n"/>
      <c r="BS2469" s="207" t="n"/>
      <c r="BT2469" s="207" t="n"/>
      <c r="BU2469" s="207" t="n"/>
      <c r="BV2469" s="208" t="n"/>
      <c r="BW2469" s="207" t="n"/>
      <c r="BX2469" s="207" t="n"/>
      <c r="BY2469" s="204" t="n"/>
      <c r="BZ2469" s="148" t="n"/>
      <c r="CA2469" s="204" t="n"/>
      <c r="CB2469" s="208" t="n"/>
      <c r="CC2469" s="139" t="n"/>
      <c r="CD2469" s="204" t="n"/>
      <c r="CE2469" s="204" t="n"/>
      <c r="CF2469" s="207" t="n"/>
      <c r="CG2469" s="208" t="n"/>
      <c r="CH2469" s="207" t="n"/>
      <c r="CI2469" s="208" t="n"/>
      <c r="CJ2469" s="204" t="n"/>
      <c r="CK2469" s="208" t="n"/>
      <c r="CL2469" s="208" t="n"/>
      <c r="CM2469" s="208" t="n"/>
      <c r="CN2469" s="78" t="n"/>
      <c r="CO2469" s="209" t="n"/>
      <c r="CP2469" s="204" t="n"/>
      <c r="CQ2469" s="204" t="n"/>
      <c r="CR2469" s="204" t="n"/>
      <c r="CS2469" s="204" t="n"/>
      <c r="CT2469" s="204" t="n"/>
      <c r="CU2469" s="204" t="n"/>
      <c r="CV2469" s="204" t="n"/>
      <c r="CW2469" s="204" t="n"/>
    </row>
    <row r="2470">
      <c r="BF2470" s="78" t="n"/>
      <c r="BG2470" s="78" t="n"/>
      <c r="BH2470" s="78" t="n"/>
      <c r="BI2470" s="78" t="n"/>
      <c r="BJ2470" s="139" t="n"/>
      <c r="BK2470" s="204" t="n"/>
      <c r="BL2470" s="141" t="n"/>
      <c r="BM2470" s="205" t="n"/>
      <c r="BN2470" s="205" t="n"/>
      <c r="BO2470" s="206" t="n"/>
      <c r="BP2470" s="144" t="n"/>
      <c r="BQ2470" s="141" t="n"/>
      <c r="BR2470" s="207" t="n"/>
      <c r="BS2470" s="207" t="n"/>
      <c r="BT2470" s="207" t="n"/>
      <c r="BU2470" s="207" t="n"/>
      <c r="BV2470" s="208" t="n"/>
      <c r="BW2470" s="207" t="n"/>
      <c r="BX2470" s="207" t="n"/>
      <c r="BY2470" s="204" t="n"/>
      <c r="BZ2470" s="148" t="n"/>
      <c r="CA2470" s="204" t="n"/>
      <c r="CB2470" s="208" t="n"/>
      <c r="CC2470" s="139" t="n"/>
      <c r="CD2470" s="204" t="n"/>
      <c r="CE2470" s="204" t="n"/>
      <c r="CF2470" s="207" t="n"/>
      <c r="CG2470" s="208" t="n"/>
      <c r="CH2470" s="207" t="n"/>
      <c r="CI2470" s="208" t="n"/>
      <c r="CJ2470" s="204" t="n"/>
      <c r="CK2470" s="208" t="n"/>
      <c r="CL2470" s="208" t="n"/>
      <c r="CM2470" s="208" t="n"/>
      <c r="CN2470" s="78" t="n"/>
      <c r="CO2470" s="209" t="n"/>
      <c r="CP2470" s="204" t="n"/>
      <c r="CQ2470" s="204" t="n"/>
      <c r="CR2470" s="204" t="n"/>
      <c r="CS2470" s="204" t="n"/>
      <c r="CT2470" s="204" t="n"/>
      <c r="CU2470" s="204" t="n"/>
      <c r="CV2470" s="204" t="n"/>
      <c r="CW2470" s="204" t="n"/>
    </row>
    <row r="2471">
      <c r="BF2471" s="78" t="n"/>
      <c r="BG2471" s="78" t="n"/>
      <c r="BH2471" s="78" t="n"/>
      <c r="BI2471" s="78" t="n"/>
      <c r="BJ2471" s="139" t="n"/>
      <c r="BK2471" s="204" t="n"/>
      <c r="BL2471" s="141" t="n"/>
      <c r="BM2471" s="205" t="n"/>
      <c r="BN2471" s="205" t="n"/>
      <c r="BO2471" s="206" t="n"/>
      <c r="BP2471" s="144" t="n"/>
      <c r="BQ2471" s="141" t="n"/>
      <c r="BR2471" s="207" t="n"/>
      <c r="BS2471" s="207" t="n"/>
      <c r="BT2471" s="207" t="n"/>
      <c r="BU2471" s="207" t="n"/>
      <c r="BV2471" s="208" t="n"/>
      <c r="BW2471" s="207" t="n"/>
      <c r="BX2471" s="207" t="n"/>
      <c r="BY2471" s="204" t="n"/>
      <c r="BZ2471" s="148" t="n"/>
      <c r="CA2471" s="204" t="n"/>
      <c r="CB2471" s="208" t="n"/>
      <c r="CC2471" s="139" t="n"/>
      <c r="CD2471" s="204" t="n"/>
      <c r="CE2471" s="204" t="n"/>
      <c r="CF2471" s="207" t="n"/>
      <c r="CG2471" s="208" t="n"/>
      <c r="CH2471" s="207" t="n"/>
      <c r="CI2471" s="208" t="n"/>
      <c r="CJ2471" s="204" t="n"/>
      <c r="CK2471" s="208" t="n"/>
      <c r="CL2471" s="208" t="n"/>
      <c r="CM2471" s="208" t="n"/>
      <c r="CN2471" s="78" t="n"/>
      <c r="CO2471" s="209" t="n"/>
      <c r="CP2471" s="204" t="n"/>
      <c r="CQ2471" s="204" t="n"/>
      <c r="CR2471" s="204" t="n"/>
      <c r="CS2471" s="204" t="n"/>
      <c r="CT2471" s="204" t="n"/>
      <c r="CU2471" s="204" t="n"/>
      <c r="CV2471" s="204" t="n"/>
      <c r="CW2471" s="204" t="n"/>
    </row>
    <row r="2472">
      <c r="BF2472" s="78" t="n"/>
      <c r="BG2472" s="78" t="n"/>
      <c r="BH2472" s="78" t="n"/>
      <c r="BI2472" s="78" t="n"/>
      <c r="BJ2472" s="139" t="n"/>
      <c r="BK2472" s="204" t="n"/>
      <c r="BL2472" s="141" t="n"/>
      <c r="BM2472" s="205" t="n"/>
      <c r="BN2472" s="205" t="n"/>
      <c r="BO2472" s="206" t="n"/>
      <c r="BP2472" s="144" t="n"/>
      <c r="BQ2472" s="141" t="n"/>
      <c r="BR2472" s="207" t="n"/>
      <c r="BS2472" s="207" t="n"/>
      <c r="BT2472" s="207" t="n"/>
      <c r="BU2472" s="207" t="n"/>
      <c r="BV2472" s="208" t="n"/>
      <c r="BW2472" s="207" t="n"/>
      <c r="BX2472" s="207" t="n"/>
      <c r="BY2472" s="204" t="n"/>
      <c r="BZ2472" s="148" t="n"/>
      <c r="CA2472" s="204" t="n"/>
      <c r="CB2472" s="208" t="n"/>
      <c r="CC2472" s="139" t="n"/>
      <c r="CD2472" s="204" t="n"/>
      <c r="CE2472" s="204" t="n"/>
      <c r="CF2472" s="207" t="n"/>
      <c r="CG2472" s="208" t="n"/>
      <c r="CH2472" s="207" t="n"/>
      <c r="CI2472" s="208" t="n"/>
      <c r="CJ2472" s="204" t="n"/>
      <c r="CK2472" s="208" t="n"/>
      <c r="CL2472" s="208" t="n"/>
      <c r="CM2472" s="208" t="n"/>
      <c r="CN2472" s="78" t="n"/>
      <c r="CO2472" s="209" t="n"/>
      <c r="CP2472" s="204" t="n"/>
      <c r="CQ2472" s="204" t="n"/>
      <c r="CR2472" s="204" t="n"/>
      <c r="CS2472" s="204" t="n"/>
      <c r="CT2472" s="204" t="n"/>
      <c r="CU2472" s="204" t="n"/>
      <c r="CV2472" s="204" t="n"/>
      <c r="CW2472" s="204" t="n"/>
    </row>
    <row r="2473">
      <c r="BF2473" s="78" t="n"/>
      <c r="BG2473" s="78" t="n"/>
      <c r="BH2473" s="78" t="n"/>
      <c r="BI2473" s="78" t="n"/>
      <c r="BJ2473" s="139" t="n"/>
      <c r="BK2473" s="204" t="n"/>
      <c r="BL2473" s="141" t="n"/>
      <c r="BM2473" s="205" t="n"/>
      <c r="BN2473" s="205" t="n"/>
      <c r="BO2473" s="206" t="n"/>
      <c r="BP2473" s="144" t="n"/>
      <c r="BQ2473" s="141" t="n"/>
      <c r="BR2473" s="207" t="n"/>
      <c r="BS2473" s="207" t="n"/>
      <c r="BT2473" s="207" t="n"/>
      <c r="BU2473" s="207" t="n"/>
      <c r="BV2473" s="208" t="n"/>
      <c r="BW2473" s="207" t="n"/>
      <c r="BX2473" s="207" t="n"/>
      <c r="BY2473" s="204" t="n"/>
      <c r="BZ2473" s="148" t="n"/>
      <c r="CA2473" s="204" t="n"/>
      <c r="CB2473" s="208" t="n"/>
      <c r="CC2473" s="139" t="n"/>
      <c r="CD2473" s="204" t="n"/>
      <c r="CE2473" s="204" t="n"/>
      <c r="CF2473" s="207" t="n"/>
      <c r="CG2473" s="208" t="n"/>
      <c r="CH2473" s="207" t="n"/>
      <c r="CI2473" s="208" t="n"/>
      <c r="CJ2473" s="204" t="n"/>
      <c r="CK2473" s="208" t="n"/>
      <c r="CL2473" s="208" t="n"/>
      <c r="CM2473" s="208" t="n"/>
      <c r="CN2473" s="78" t="n"/>
      <c r="CO2473" s="209" t="n"/>
      <c r="CP2473" s="204" t="n"/>
      <c r="CQ2473" s="204" t="n"/>
      <c r="CR2473" s="204" t="n"/>
      <c r="CS2473" s="204" t="n"/>
      <c r="CT2473" s="204" t="n"/>
      <c r="CU2473" s="204" t="n"/>
      <c r="CV2473" s="204" t="n"/>
      <c r="CW2473" s="204" t="n"/>
    </row>
    <row r="2474">
      <c r="BF2474" s="78" t="n"/>
      <c r="BG2474" s="78" t="n"/>
      <c r="BH2474" s="78" t="n"/>
      <c r="BI2474" s="78" t="n"/>
      <c r="BJ2474" s="139" t="n"/>
      <c r="BK2474" s="204" t="n"/>
      <c r="BL2474" s="141" t="n"/>
      <c r="BM2474" s="205" t="n"/>
      <c r="BN2474" s="205" t="n"/>
      <c r="BO2474" s="206" t="n"/>
      <c r="BP2474" s="144" t="n"/>
      <c r="BQ2474" s="141" t="n"/>
      <c r="BR2474" s="207" t="n"/>
      <c r="BS2474" s="207" t="n"/>
      <c r="BT2474" s="207" t="n"/>
      <c r="BU2474" s="207" t="n"/>
      <c r="BV2474" s="208" t="n"/>
      <c r="BW2474" s="207" t="n"/>
      <c r="BX2474" s="207" t="n"/>
      <c r="BY2474" s="204" t="n"/>
      <c r="BZ2474" s="148" t="n"/>
      <c r="CA2474" s="204" t="n"/>
      <c r="CB2474" s="208" t="n"/>
      <c r="CC2474" s="139" t="n"/>
      <c r="CD2474" s="204" t="n"/>
      <c r="CE2474" s="204" t="n"/>
      <c r="CF2474" s="207" t="n"/>
      <c r="CG2474" s="208" t="n"/>
      <c r="CH2474" s="207" t="n"/>
      <c r="CI2474" s="208" t="n"/>
      <c r="CJ2474" s="204" t="n"/>
      <c r="CK2474" s="208" t="n"/>
      <c r="CL2474" s="208" t="n"/>
      <c r="CM2474" s="208" t="n"/>
      <c r="CN2474" s="78" t="n"/>
      <c r="CO2474" s="209" t="n"/>
      <c r="CP2474" s="204" t="n"/>
      <c r="CQ2474" s="204" t="n"/>
      <c r="CR2474" s="204" t="n"/>
      <c r="CS2474" s="204" t="n"/>
      <c r="CT2474" s="204" t="n"/>
      <c r="CU2474" s="204" t="n"/>
      <c r="CV2474" s="204" t="n"/>
      <c r="CW2474" s="204" t="n"/>
    </row>
    <row r="2475">
      <c r="BF2475" s="78" t="n"/>
      <c r="BG2475" s="78" t="n"/>
      <c r="BH2475" s="78" t="n"/>
      <c r="BI2475" s="78" t="n"/>
      <c r="BJ2475" s="139" t="n"/>
      <c r="BK2475" s="204" t="n"/>
      <c r="BL2475" s="141" t="n"/>
      <c r="BM2475" s="205" t="n"/>
      <c r="BN2475" s="205" t="n"/>
      <c r="BO2475" s="206" t="n"/>
      <c r="BP2475" s="144" t="n"/>
      <c r="BQ2475" s="141" t="n"/>
      <c r="BR2475" s="207" t="n"/>
      <c r="BS2475" s="207" t="n"/>
      <c r="BT2475" s="207" t="n"/>
      <c r="BU2475" s="207" t="n"/>
      <c r="BV2475" s="208" t="n"/>
      <c r="BW2475" s="207" t="n"/>
      <c r="BX2475" s="207" t="n"/>
      <c r="BY2475" s="204" t="n"/>
      <c r="BZ2475" s="148" t="n"/>
      <c r="CA2475" s="204" t="n"/>
      <c r="CB2475" s="208" t="n"/>
      <c r="CC2475" s="139" t="n"/>
      <c r="CD2475" s="204" t="n"/>
      <c r="CE2475" s="204" t="n"/>
      <c r="CF2475" s="207" t="n"/>
      <c r="CG2475" s="208" t="n"/>
      <c r="CH2475" s="207" t="n"/>
      <c r="CI2475" s="208" t="n"/>
      <c r="CJ2475" s="204" t="n"/>
      <c r="CK2475" s="208" t="n"/>
      <c r="CL2475" s="208" t="n"/>
      <c r="CM2475" s="208" t="n"/>
      <c r="CN2475" s="78" t="n"/>
      <c r="CO2475" s="209" t="n"/>
      <c r="CP2475" s="204" t="n"/>
      <c r="CQ2475" s="204" t="n"/>
      <c r="CR2475" s="204" t="n"/>
      <c r="CS2475" s="204" t="n"/>
      <c r="CT2475" s="204" t="n"/>
      <c r="CU2475" s="204" t="n"/>
      <c r="CV2475" s="204" t="n"/>
      <c r="CW2475" s="204" t="n"/>
    </row>
    <row r="2476">
      <c r="BF2476" s="78" t="n"/>
      <c r="BG2476" s="78" t="n"/>
      <c r="BH2476" s="78" t="n"/>
      <c r="BI2476" s="78" t="n"/>
      <c r="BJ2476" s="139" t="n"/>
      <c r="BK2476" s="204" t="n"/>
      <c r="BL2476" s="141" t="n"/>
      <c r="BM2476" s="205" t="n"/>
      <c r="BN2476" s="205" t="n"/>
      <c r="BO2476" s="206" t="n"/>
      <c r="BP2476" s="144" t="n"/>
      <c r="BQ2476" s="141" t="n"/>
      <c r="BR2476" s="207" t="n"/>
      <c r="BS2476" s="207" t="n"/>
      <c r="BT2476" s="207" t="n"/>
      <c r="BU2476" s="207" t="n"/>
      <c r="BV2476" s="208" t="n"/>
      <c r="BW2476" s="207" t="n"/>
      <c r="BX2476" s="207" t="n"/>
      <c r="BY2476" s="204" t="n"/>
      <c r="BZ2476" s="148" t="n"/>
      <c r="CA2476" s="204" t="n"/>
      <c r="CB2476" s="208" t="n"/>
      <c r="CC2476" s="139" t="n"/>
      <c r="CD2476" s="204" t="n"/>
      <c r="CE2476" s="204" t="n"/>
      <c r="CF2476" s="207" t="n"/>
      <c r="CG2476" s="208" t="n"/>
      <c r="CH2476" s="207" t="n"/>
      <c r="CI2476" s="208" t="n"/>
      <c r="CJ2476" s="204" t="n"/>
      <c r="CK2476" s="208" t="n"/>
      <c r="CL2476" s="208" t="n"/>
      <c r="CM2476" s="208" t="n"/>
      <c r="CN2476" s="78" t="n"/>
      <c r="CO2476" s="209" t="n"/>
      <c r="CP2476" s="204" t="n"/>
      <c r="CQ2476" s="204" t="n"/>
      <c r="CR2476" s="204" t="n"/>
      <c r="CS2476" s="204" t="n"/>
      <c r="CT2476" s="204" t="n"/>
      <c r="CU2476" s="204" t="n"/>
      <c r="CV2476" s="204" t="n"/>
      <c r="CW2476" s="204" t="n"/>
    </row>
    <row r="2477">
      <c r="BF2477" s="78" t="n"/>
      <c r="BG2477" s="78" t="n"/>
      <c r="BH2477" s="78" t="n"/>
      <c r="BI2477" s="78" t="n"/>
      <c r="BJ2477" s="139" t="n"/>
      <c r="BK2477" s="204" t="n"/>
      <c r="BL2477" s="141" t="n"/>
      <c r="BM2477" s="205" t="n"/>
      <c r="BN2477" s="205" t="n"/>
      <c r="BO2477" s="206" t="n"/>
      <c r="BP2477" s="144" t="n"/>
      <c r="BQ2477" s="141" t="n"/>
      <c r="BR2477" s="207" t="n"/>
      <c r="BS2477" s="207" t="n"/>
      <c r="BT2477" s="207" t="n"/>
      <c r="BU2477" s="207" t="n"/>
      <c r="BV2477" s="208" t="n"/>
      <c r="BW2477" s="207" t="n"/>
      <c r="BX2477" s="207" t="n"/>
      <c r="BY2477" s="204" t="n"/>
      <c r="BZ2477" s="148" t="n"/>
      <c r="CA2477" s="204" t="n"/>
      <c r="CB2477" s="208" t="n"/>
      <c r="CC2477" s="139" t="n"/>
      <c r="CD2477" s="204" t="n"/>
      <c r="CE2477" s="204" t="n"/>
      <c r="CF2477" s="207" t="n"/>
      <c r="CG2477" s="208" t="n"/>
      <c r="CH2477" s="207" t="n"/>
      <c r="CI2477" s="208" t="n"/>
      <c r="CJ2477" s="204" t="n"/>
      <c r="CK2477" s="208" t="n"/>
      <c r="CL2477" s="208" t="n"/>
      <c r="CM2477" s="208" t="n"/>
      <c r="CN2477" s="78" t="n"/>
      <c r="CO2477" s="209" t="n"/>
      <c r="CP2477" s="204" t="n"/>
      <c r="CQ2477" s="204" t="n"/>
      <c r="CR2477" s="204" t="n"/>
      <c r="CS2477" s="204" t="n"/>
      <c r="CT2477" s="204" t="n"/>
      <c r="CU2477" s="204" t="n"/>
      <c r="CV2477" s="204" t="n"/>
      <c r="CW2477" s="204" t="n"/>
    </row>
    <row r="2478">
      <c r="BF2478" s="78" t="n"/>
      <c r="BG2478" s="78" t="n"/>
      <c r="BH2478" s="78" t="n"/>
      <c r="BI2478" s="78" t="n"/>
      <c r="BJ2478" s="139" t="n"/>
      <c r="BK2478" s="204" t="n"/>
      <c r="BL2478" s="141" t="n"/>
      <c r="BM2478" s="205" t="n"/>
      <c r="BN2478" s="205" t="n"/>
      <c r="BO2478" s="206" t="n"/>
      <c r="BP2478" s="144" t="n"/>
      <c r="BQ2478" s="141" t="n"/>
      <c r="BR2478" s="207" t="n"/>
      <c r="BS2478" s="207" t="n"/>
      <c r="BT2478" s="207" t="n"/>
      <c r="BU2478" s="207" t="n"/>
      <c r="BV2478" s="208" t="n"/>
      <c r="BW2478" s="207" t="n"/>
      <c r="BX2478" s="207" t="n"/>
      <c r="BY2478" s="204" t="n"/>
      <c r="BZ2478" s="148" t="n"/>
      <c r="CA2478" s="204" t="n"/>
      <c r="CB2478" s="208" t="n"/>
      <c r="CC2478" s="139" t="n"/>
      <c r="CD2478" s="204" t="n"/>
      <c r="CE2478" s="204" t="n"/>
      <c r="CF2478" s="207" t="n"/>
      <c r="CG2478" s="208" t="n"/>
      <c r="CH2478" s="207" t="n"/>
      <c r="CI2478" s="208" t="n"/>
      <c r="CJ2478" s="204" t="n"/>
      <c r="CK2478" s="208" t="n"/>
      <c r="CL2478" s="208" t="n"/>
      <c r="CM2478" s="208" t="n"/>
      <c r="CN2478" s="78" t="n"/>
      <c r="CO2478" s="209" t="n"/>
      <c r="CP2478" s="204" t="n"/>
      <c r="CQ2478" s="204" t="n"/>
      <c r="CR2478" s="204" t="n"/>
      <c r="CS2478" s="204" t="n"/>
      <c r="CT2478" s="204" t="n"/>
      <c r="CU2478" s="204" t="n"/>
      <c r="CV2478" s="204" t="n"/>
      <c r="CW2478" s="204" t="n"/>
    </row>
    <row r="2479">
      <c r="BF2479" s="78" t="n"/>
      <c r="BG2479" s="78" t="n"/>
      <c r="BH2479" s="78" t="n"/>
      <c r="BI2479" s="78" t="n"/>
      <c r="BJ2479" s="139" t="n"/>
      <c r="BK2479" s="204" t="n"/>
      <c r="BL2479" s="141" t="n"/>
      <c r="BM2479" s="205" t="n"/>
      <c r="BN2479" s="205" t="n"/>
      <c r="BO2479" s="206" t="n"/>
      <c r="BP2479" s="144" t="n"/>
      <c r="BQ2479" s="141" t="n"/>
      <c r="BR2479" s="207" t="n"/>
      <c r="BS2479" s="207" t="n"/>
      <c r="BT2479" s="207" t="n"/>
      <c r="BU2479" s="207" t="n"/>
      <c r="BV2479" s="208" t="n"/>
      <c r="BW2479" s="207" t="n"/>
      <c r="BX2479" s="207" t="n"/>
      <c r="BY2479" s="204" t="n"/>
      <c r="BZ2479" s="148" t="n"/>
      <c r="CA2479" s="204" t="n"/>
      <c r="CB2479" s="208" t="n"/>
      <c r="CC2479" s="139" t="n"/>
      <c r="CD2479" s="204" t="n"/>
      <c r="CE2479" s="204" t="n"/>
      <c r="CF2479" s="207" t="n"/>
      <c r="CG2479" s="208" t="n"/>
      <c r="CH2479" s="207" t="n"/>
      <c r="CI2479" s="208" t="n"/>
      <c r="CJ2479" s="204" t="n"/>
      <c r="CK2479" s="208" t="n"/>
      <c r="CL2479" s="208" t="n"/>
      <c r="CM2479" s="208" t="n"/>
      <c r="CN2479" s="78" t="n"/>
      <c r="CO2479" s="209" t="n"/>
      <c r="CP2479" s="204" t="n"/>
      <c r="CQ2479" s="204" t="n"/>
      <c r="CR2479" s="204" t="n"/>
      <c r="CS2479" s="204" t="n"/>
      <c r="CT2479" s="204" t="n"/>
      <c r="CU2479" s="204" t="n"/>
      <c r="CV2479" s="204" t="n"/>
      <c r="CW2479" s="204" t="n"/>
    </row>
    <row r="2480">
      <c r="BF2480" s="78" t="n"/>
      <c r="BG2480" s="78" t="n"/>
      <c r="BH2480" s="78" t="n"/>
      <c r="BI2480" s="78" t="n"/>
      <c r="BJ2480" s="139" t="n"/>
      <c r="BK2480" s="204" t="n"/>
      <c r="BL2480" s="141" t="n"/>
      <c r="BM2480" s="205" t="n"/>
      <c r="BN2480" s="205" t="n"/>
      <c r="BO2480" s="206" t="n"/>
      <c r="BP2480" s="144" t="n"/>
      <c r="BQ2480" s="141" t="n"/>
      <c r="BR2480" s="207" t="n"/>
      <c r="BS2480" s="207" t="n"/>
      <c r="BT2480" s="207" t="n"/>
      <c r="BU2480" s="207" t="n"/>
      <c r="BV2480" s="208" t="n"/>
      <c r="BW2480" s="207" t="n"/>
      <c r="BX2480" s="207" t="n"/>
      <c r="BY2480" s="204" t="n"/>
      <c r="BZ2480" s="148" t="n"/>
      <c r="CA2480" s="204" t="n"/>
      <c r="CB2480" s="208" t="n"/>
      <c r="CC2480" s="139" t="n"/>
      <c r="CD2480" s="204" t="n"/>
      <c r="CE2480" s="204" t="n"/>
      <c r="CF2480" s="207" t="n"/>
      <c r="CG2480" s="208" t="n"/>
      <c r="CH2480" s="207" t="n"/>
      <c r="CI2480" s="208" t="n"/>
      <c r="CJ2480" s="204" t="n"/>
      <c r="CK2480" s="208" t="n"/>
      <c r="CL2480" s="208" t="n"/>
      <c r="CM2480" s="208" t="n"/>
      <c r="CN2480" s="78" t="n"/>
      <c r="CO2480" s="209" t="n"/>
      <c r="CP2480" s="204" t="n"/>
      <c r="CQ2480" s="204" t="n"/>
      <c r="CR2480" s="204" t="n"/>
      <c r="CS2480" s="204" t="n"/>
      <c r="CT2480" s="204" t="n"/>
      <c r="CU2480" s="204" t="n"/>
      <c r="CV2480" s="204" t="n"/>
      <c r="CW2480" s="204" t="n"/>
    </row>
    <row r="2481">
      <c r="BF2481" s="78" t="n"/>
      <c r="BG2481" s="78" t="n"/>
      <c r="BH2481" s="78" t="n"/>
      <c r="BI2481" s="78" t="n"/>
      <c r="BJ2481" s="139" t="n"/>
      <c r="BK2481" s="204" t="n"/>
      <c r="BL2481" s="141" t="n"/>
      <c r="BM2481" s="205" t="n"/>
      <c r="BN2481" s="205" t="n"/>
      <c r="BO2481" s="206" t="n"/>
      <c r="BP2481" s="144" t="n"/>
      <c r="BQ2481" s="141" t="n"/>
      <c r="BR2481" s="207" t="n"/>
      <c r="BS2481" s="207" t="n"/>
      <c r="BT2481" s="207" t="n"/>
      <c r="BU2481" s="207" t="n"/>
      <c r="BV2481" s="208" t="n"/>
      <c r="BW2481" s="207" t="n"/>
      <c r="BX2481" s="207" t="n"/>
      <c r="BY2481" s="204" t="n"/>
      <c r="BZ2481" s="148" t="n"/>
      <c r="CA2481" s="204" t="n"/>
      <c r="CB2481" s="208" t="n"/>
      <c r="CC2481" s="139" t="n"/>
      <c r="CD2481" s="204" t="n"/>
      <c r="CE2481" s="204" t="n"/>
      <c r="CF2481" s="207" t="n"/>
      <c r="CG2481" s="208" t="n"/>
      <c r="CH2481" s="207" t="n"/>
      <c r="CI2481" s="208" t="n"/>
      <c r="CJ2481" s="204" t="n"/>
      <c r="CK2481" s="208" t="n"/>
      <c r="CL2481" s="208" t="n"/>
      <c r="CM2481" s="208" t="n"/>
      <c r="CN2481" s="78" t="n"/>
      <c r="CO2481" s="209" t="n"/>
      <c r="CP2481" s="204" t="n"/>
      <c r="CQ2481" s="204" t="n"/>
      <c r="CR2481" s="204" t="n"/>
      <c r="CS2481" s="204" t="n"/>
      <c r="CT2481" s="204" t="n"/>
      <c r="CU2481" s="204" t="n"/>
      <c r="CV2481" s="204" t="n"/>
      <c r="CW2481" s="204" t="n"/>
    </row>
    <row r="2482">
      <c r="BF2482" s="78" t="n"/>
      <c r="BG2482" s="78" t="n"/>
      <c r="BH2482" s="78" t="n"/>
      <c r="BI2482" s="78" t="n"/>
      <c r="BJ2482" s="139" t="n"/>
      <c r="BK2482" s="204" t="n"/>
      <c r="BL2482" s="141" t="n"/>
      <c r="BM2482" s="205" t="n"/>
      <c r="BN2482" s="205" t="n"/>
      <c r="BO2482" s="206" t="n"/>
      <c r="BP2482" s="144" t="n"/>
      <c r="BQ2482" s="141" t="n"/>
      <c r="BR2482" s="207" t="n"/>
      <c r="BS2482" s="207" t="n"/>
      <c r="BT2482" s="207" t="n"/>
      <c r="BU2482" s="207" t="n"/>
      <c r="BV2482" s="208" t="n"/>
      <c r="BW2482" s="207" t="n"/>
      <c r="BX2482" s="207" t="n"/>
      <c r="BY2482" s="204" t="n"/>
      <c r="BZ2482" s="148" t="n"/>
      <c r="CA2482" s="204" t="n"/>
      <c r="CB2482" s="208" t="n"/>
      <c r="CC2482" s="139" t="n"/>
      <c r="CD2482" s="204" t="n"/>
      <c r="CE2482" s="204" t="n"/>
      <c r="CF2482" s="207" t="n"/>
      <c r="CG2482" s="208" t="n"/>
      <c r="CH2482" s="207" t="n"/>
      <c r="CI2482" s="208" t="n"/>
      <c r="CJ2482" s="204" t="n"/>
      <c r="CK2482" s="208" t="n"/>
      <c r="CL2482" s="208" t="n"/>
      <c r="CM2482" s="208" t="n"/>
      <c r="CN2482" s="78" t="n"/>
      <c r="CO2482" s="209" t="n"/>
      <c r="CP2482" s="204" t="n"/>
      <c r="CQ2482" s="204" t="n"/>
      <c r="CR2482" s="204" t="n"/>
      <c r="CS2482" s="204" t="n"/>
      <c r="CT2482" s="204" t="n"/>
      <c r="CU2482" s="204" t="n"/>
      <c r="CV2482" s="204" t="n"/>
      <c r="CW2482" s="204" t="n"/>
    </row>
    <row r="2483">
      <c r="BF2483" s="78" t="n"/>
      <c r="BG2483" s="78" t="n"/>
      <c r="BH2483" s="78" t="n"/>
      <c r="BI2483" s="78" t="n"/>
      <c r="BJ2483" s="139" t="n"/>
      <c r="BK2483" s="204" t="n"/>
      <c r="BL2483" s="141" t="n"/>
      <c r="BM2483" s="205" t="n"/>
      <c r="BN2483" s="205" t="n"/>
      <c r="BO2483" s="206" t="n"/>
      <c r="BP2483" s="144" t="n"/>
      <c r="BQ2483" s="141" t="n"/>
      <c r="BR2483" s="207" t="n"/>
      <c r="BS2483" s="207" t="n"/>
      <c r="BT2483" s="207" t="n"/>
      <c r="BU2483" s="207" t="n"/>
      <c r="BV2483" s="208" t="n"/>
      <c r="BW2483" s="207" t="n"/>
      <c r="BX2483" s="207" t="n"/>
      <c r="BY2483" s="204" t="n"/>
      <c r="BZ2483" s="148" t="n"/>
      <c r="CA2483" s="204" t="n"/>
      <c r="CB2483" s="208" t="n"/>
      <c r="CC2483" s="139" t="n"/>
      <c r="CD2483" s="204" t="n"/>
      <c r="CE2483" s="204" t="n"/>
      <c r="CF2483" s="207" t="n"/>
      <c r="CG2483" s="208" t="n"/>
      <c r="CH2483" s="207" t="n"/>
      <c r="CI2483" s="208" t="n"/>
      <c r="CJ2483" s="204" t="n"/>
      <c r="CK2483" s="208" t="n"/>
      <c r="CL2483" s="208" t="n"/>
      <c r="CM2483" s="208" t="n"/>
      <c r="CN2483" s="78" t="n"/>
      <c r="CO2483" s="209" t="n"/>
      <c r="CP2483" s="204" t="n"/>
      <c r="CQ2483" s="204" t="n"/>
      <c r="CR2483" s="204" t="n"/>
      <c r="CS2483" s="204" t="n"/>
      <c r="CT2483" s="204" t="n"/>
      <c r="CU2483" s="204" t="n"/>
      <c r="CV2483" s="204" t="n"/>
      <c r="CW2483" s="204" t="n"/>
    </row>
    <row r="2484">
      <c r="BF2484" s="78" t="n"/>
      <c r="BG2484" s="78" t="n"/>
      <c r="BH2484" s="78" t="n"/>
      <c r="BI2484" s="78" t="n"/>
      <c r="BJ2484" s="139" t="n"/>
      <c r="BK2484" s="204" t="n"/>
      <c r="BL2484" s="141" t="n"/>
      <c r="BM2484" s="205" t="n"/>
      <c r="BN2484" s="205" t="n"/>
      <c r="BO2484" s="206" t="n"/>
      <c r="BP2484" s="144" t="n"/>
      <c r="BQ2484" s="141" t="n"/>
      <c r="BR2484" s="207" t="n"/>
      <c r="BS2484" s="207" t="n"/>
      <c r="BT2484" s="207" t="n"/>
      <c r="BU2484" s="207" t="n"/>
      <c r="BV2484" s="208" t="n"/>
      <c r="BW2484" s="207" t="n"/>
      <c r="BX2484" s="207" t="n"/>
      <c r="BY2484" s="204" t="n"/>
      <c r="BZ2484" s="148" t="n"/>
      <c r="CA2484" s="204" t="n"/>
      <c r="CB2484" s="208" t="n"/>
      <c r="CC2484" s="139" t="n"/>
      <c r="CD2484" s="204" t="n"/>
      <c r="CE2484" s="204" t="n"/>
      <c r="CF2484" s="207" t="n"/>
      <c r="CG2484" s="208" t="n"/>
      <c r="CH2484" s="207" t="n"/>
      <c r="CI2484" s="208" t="n"/>
      <c r="CJ2484" s="204" t="n"/>
      <c r="CK2484" s="208" t="n"/>
      <c r="CL2484" s="208" t="n"/>
      <c r="CM2484" s="208" t="n"/>
      <c r="CN2484" s="78" t="n"/>
      <c r="CO2484" s="209" t="n"/>
      <c r="CP2484" s="204" t="n"/>
      <c r="CQ2484" s="204" t="n"/>
      <c r="CR2484" s="204" t="n"/>
      <c r="CS2484" s="204" t="n"/>
      <c r="CT2484" s="204" t="n"/>
      <c r="CU2484" s="204" t="n"/>
      <c r="CV2484" s="204" t="n"/>
      <c r="CW2484" s="204" t="n"/>
    </row>
    <row r="2485">
      <c r="BF2485" s="78" t="n"/>
      <c r="BG2485" s="78" t="n"/>
      <c r="BH2485" s="78" t="n"/>
      <c r="BI2485" s="78" t="n"/>
      <c r="BJ2485" s="139" t="n"/>
      <c r="BK2485" s="204" t="n"/>
      <c r="BL2485" s="141" t="n"/>
      <c r="BM2485" s="205" t="n"/>
      <c r="BN2485" s="205" t="n"/>
      <c r="BO2485" s="206" t="n"/>
      <c r="BP2485" s="144" t="n"/>
      <c r="BQ2485" s="141" t="n"/>
      <c r="BR2485" s="207" t="n"/>
      <c r="BS2485" s="207" t="n"/>
      <c r="BT2485" s="207" t="n"/>
      <c r="BU2485" s="207" t="n"/>
      <c r="BV2485" s="208" t="n"/>
      <c r="BW2485" s="207" t="n"/>
      <c r="BX2485" s="207" t="n"/>
      <c r="BY2485" s="204" t="n"/>
      <c r="BZ2485" s="148" t="n"/>
      <c r="CA2485" s="204" t="n"/>
      <c r="CB2485" s="208" t="n"/>
      <c r="CC2485" s="139" t="n"/>
      <c r="CD2485" s="204" t="n"/>
      <c r="CE2485" s="204" t="n"/>
      <c r="CF2485" s="207" t="n"/>
      <c r="CG2485" s="208" t="n"/>
      <c r="CH2485" s="207" t="n"/>
      <c r="CI2485" s="208" t="n"/>
      <c r="CJ2485" s="204" t="n"/>
      <c r="CK2485" s="208" t="n"/>
      <c r="CL2485" s="208" t="n"/>
      <c r="CM2485" s="208" t="n"/>
      <c r="CN2485" s="78" t="n"/>
      <c r="CO2485" s="209" t="n"/>
      <c r="CP2485" s="204" t="n"/>
      <c r="CQ2485" s="204" t="n"/>
      <c r="CR2485" s="204" t="n"/>
      <c r="CS2485" s="204" t="n"/>
      <c r="CT2485" s="204" t="n"/>
      <c r="CU2485" s="204" t="n"/>
      <c r="CV2485" s="204" t="n"/>
      <c r="CW2485" s="204" t="n"/>
    </row>
    <row r="2486">
      <c r="BF2486" s="78" t="n"/>
      <c r="BG2486" s="78" t="n"/>
      <c r="BH2486" s="78" t="n"/>
      <c r="BI2486" s="78" t="n"/>
      <c r="BJ2486" s="139" t="n"/>
      <c r="BK2486" s="204" t="n"/>
      <c r="BL2486" s="141" t="n"/>
      <c r="BM2486" s="205" t="n"/>
      <c r="BN2486" s="205" t="n"/>
      <c r="BO2486" s="206" t="n"/>
      <c r="BP2486" s="144" t="n"/>
      <c r="BQ2486" s="141" t="n"/>
      <c r="BR2486" s="207" t="n"/>
      <c r="BS2486" s="207" t="n"/>
      <c r="BT2486" s="207" t="n"/>
      <c r="BU2486" s="207" t="n"/>
      <c r="BV2486" s="208" t="n"/>
      <c r="BW2486" s="207" t="n"/>
      <c r="BX2486" s="207" t="n"/>
      <c r="BY2486" s="204" t="n"/>
      <c r="BZ2486" s="148" t="n"/>
      <c r="CA2486" s="204" t="n"/>
      <c r="CB2486" s="208" t="n"/>
      <c r="CC2486" s="139" t="n"/>
      <c r="CD2486" s="204" t="n"/>
      <c r="CE2486" s="204" t="n"/>
      <c r="CF2486" s="207" t="n"/>
      <c r="CG2486" s="208" t="n"/>
      <c r="CH2486" s="207" t="n"/>
      <c r="CI2486" s="208" t="n"/>
      <c r="CJ2486" s="204" t="n"/>
      <c r="CK2486" s="208" t="n"/>
      <c r="CL2486" s="208" t="n"/>
      <c r="CM2486" s="208" t="n"/>
      <c r="CN2486" s="78" t="n"/>
      <c r="CO2486" s="209" t="n"/>
      <c r="CP2486" s="204" t="n"/>
      <c r="CQ2486" s="204" t="n"/>
      <c r="CR2486" s="204" t="n"/>
      <c r="CS2486" s="204" t="n"/>
      <c r="CT2486" s="204" t="n"/>
      <c r="CU2486" s="204" t="n"/>
      <c r="CV2486" s="204" t="n"/>
      <c r="CW2486" s="204" t="n"/>
    </row>
    <row r="2487">
      <c r="BF2487" s="78" t="n"/>
      <c r="BG2487" s="78" t="n"/>
      <c r="BH2487" s="78" t="n"/>
      <c r="BI2487" s="78" t="n"/>
      <c r="BJ2487" s="139" t="n"/>
      <c r="BK2487" s="204" t="n"/>
      <c r="BL2487" s="141" t="n"/>
      <c r="BM2487" s="205" t="n"/>
      <c r="BN2487" s="205" t="n"/>
      <c r="BO2487" s="206" t="n"/>
      <c r="BP2487" s="144" t="n"/>
      <c r="BQ2487" s="141" t="n"/>
      <c r="BR2487" s="207" t="n"/>
      <c r="BS2487" s="207" t="n"/>
      <c r="BT2487" s="207" t="n"/>
      <c r="BU2487" s="207" t="n"/>
      <c r="BV2487" s="208" t="n"/>
      <c r="BW2487" s="207" t="n"/>
      <c r="BX2487" s="207" t="n"/>
      <c r="BY2487" s="204" t="n"/>
      <c r="BZ2487" s="148" t="n"/>
      <c r="CA2487" s="204" t="n"/>
      <c r="CB2487" s="208" t="n"/>
      <c r="CC2487" s="139" t="n"/>
      <c r="CD2487" s="204" t="n"/>
      <c r="CE2487" s="204" t="n"/>
      <c r="CF2487" s="207" t="n"/>
      <c r="CG2487" s="208" t="n"/>
      <c r="CH2487" s="207" t="n"/>
      <c r="CI2487" s="208" t="n"/>
      <c r="CJ2487" s="204" t="n"/>
      <c r="CK2487" s="208" t="n"/>
      <c r="CL2487" s="208" t="n"/>
      <c r="CM2487" s="208" t="n"/>
      <c r="CN2487" s="78" t="n"/>
      <c r="CO2487" s="209" t="n"/>
      <c r="CP2487" s="204" t="n"/>
      <c r="CQ2487" s="204" t="n"/>
      <c r="CR2487" s="204" t="n"/>
      <c r="CS2487" s="204" t="n"/>
      <c r="CT2487" s="204" t="n"/>
      <c r="CU2487" s="204" t="n"/>
      <c r="CV2487" s="204" t="n"/>
      <c r="CW2487" s="204" t="n"/>
    </row>
    <row r="2488">
      <c r="BF2488" s="78" t="n"/>
      <c r="BG2488" s="78" t="n"/>
      <c r="BH2488" s="78" t="n"/>
      <c r="BI2488" s="78" t="n"/>
      <c r="BJ2488" s="139" t="n"/>
      <c r="BK2488" s="204" t="n"/>
      <c r="BL2488" s="141" t="n"/>
      <c r="BM2488" s="205" t="n"/>
      <c r="BN2488" s="205" t="n"/>
      <c r="BO2488" s="206" t="n"/>
      <c r="BP2488" s="144" t="n"/>
      <c r="BQ2488" s="141" t="n"/>
      <c r="BR2488" s="207" t="n"/>
      <c r="BS2488" s="207" t="n"/>
      <c r="BT2488" s="207" t="n"/>
      <c r="BU2488" s="207" t="n"/>
      <c r="BV2488" s="208" t="n"/>
      <c r="BW2488" s="207" t="n"/>
      <c r="BX2488" s="207" t="n"/>
      <c r="BY2488" s="204" t="n"/>
      <c r="BZ2488" s="148" t="n"/>
      <c r="CA2488" s="204" t="n"/>
      <c r="CB2488" s="208" t="n"/>
      <c r="CC2488" s="139" t="n"/>
      <c r="CD2488" s="204" t="n"/>
      <c r="CE2488" s="204" t="n"/>
      <c r="CF2488" s="207" t="n"/>
      <c r="CG2488" s="208" t="n"/>
      <c r="CH2488" s="207" t="n"/>
      <c r="CI2488" s="208" t="n"/>
      <c r="CJ2488" s="204" t="n"/>
      <c r="CK2488" s="208" t="n"/>
      <c r="CL2488" s="208" t="n"/>
      <c r="CM2488" s="208" t="n"/>
      <c r="CN2488" s="78" t="n"/>
      <c r="CO2488" s="209" t="n"/>
      <c r="CP2488" s="204" t="n"/>
      <c r="CQ2488" s="204" t="n"/>
      <c r="CR2488" s="204" t="n"/>
      <c r="CS2488" s="204" t="n"/>
      <c r="CT2488" s="204" t="n"/>
      <c r="CU2488" s="204" t="n"/>
      <c r="CV2488" s="204" t="n"/>
      <c r="CW2488" s="204" t="n"/>
    </row>
    <row r="2489">
      <c r="BF2489" s="78" t="n"/>
      <c r="BG2489" s="78" t="n"/>
      <c r="BH2489" s="78" t="n"/>
      <c r="BI2489" s="78" t="n"/>
      <c r="BJ2489" s="139" t="n"/>
      <c r="BK2489" s="204" t="n"/>
      <c r="BL2489" s="141" t="n"/>
      <c r="BM2489" s="205" t="n"/>
      <c r="BN2489" s="205" t="n"/>
      <c r="BO2489" s="206" t="n"/>
      <c r="BP2489" s="144" t="n"/>
      <c r="BQ2489" s="141" t="n"/>
      <c r="BR2489" s="207" t="n"/>
      <c r="BS2489" s="207" t="n"/>
      <c r="BT2489" s="207" t="n"/>
      <c r="BU2489" s="207" t="n"/>
      <c r="BV2489" s="208" t="n"/>
      <c r="BW2489" s="207" t="n"/>
      <c r="BX2489" s="207" t="n"/>
      <c r="BY2489" s="204" t="n"/>
      <c r="BZ2489" s="148" t="n"/>
      <c r="CA2489" s="204" t="n"/>
      <c r="CB2489" s="208" t="n"/>
      <c r="CC2489" s="139" t="n"/>
      <c r="CD2489" s="204" t="n"/>
      <c r="CE2489" s="204" t="n"/>
      <c r="CF2489" s="207" t="n"/>
      <c r="CG2489" s="208" t="n"/>
      <c r="CH2489" s="207" t="n"/>
      <c r="CI2489" s="208" t="n"/>
      <c r="CJ2489" s="204" t="n"/>
      <c r="CK2489" s="208" t="n"/>
      <c r="CL2489" s="208" t="n"/>
      <c r="CM2489" s="208" t="n"/>
      <c r="CN2489" s="78" t="n"/>
      <c r="CO2489" s="209" t="n"/>
      <c r="CP2489" s="204" t="n"/>
      <c r="CQ2489" s="204" t="n"/>
      <c r="CR2489" s="204" t="n"/>
      <c r="CS2489" s="204" t="n"/>
      <c r="CT2489" s="204" t="n"/>
      <c r="CU2489" s="204" t="n"/>
      <c r="CV2489" s="204" t="n"/>
      <c r="CW2489" s="204" t="n"/>
    </row>
    <row r="2490">
      <c r="BF2490" s="78" t="n"/>
      <c r="BG2490" s="78" t="n"/>
      <c r="BH2490" s="78" t="n"/>
      <c r="BI2490" s="78" t="n"/>
      <c r="BJ2490" s="139" t="n"/>
      <c r="BK2490" s="204" t="n"/>
      <c r="BL2490" s="141" t="n"/>
      <c r="BM2490" s="205" t="n"/>
      <c r="BN2490" s="205" t="n"/>
      <c r="BO2490" s="206" t="n"/>
      <c r="BP2490" s="144" t="n"/>
      <c r="BQ2490" s="141" t="n"/>
      <c r="BR2490" s="207" t="n"/>
      <c r="BS2490" s="207" t="n"/>
      <c r="BT2490" s="207" t="n"/>
      <c r="BU2490" s="207" t="n"/>
      <c r="BV2490" s="208" t="n"/>
      <c r="BW2490" s="207" t="n"/>
      <c r="BX2490" s="207" t="n"/>
      <c r="BY2490" s="204" t="n"/>
      <c r="BZ2490" s="148" t="n"/>
      <c r="CA2490" s="204" t="n"/>
      <c r="CB2490" s="208" t="n"/>
      <c r="CC2490" s="139" t="n"/>
      <c r="CD2490" s="204" t="n"/>
      <c r="CE2490" s="204" t="n"/>
      <c r="CF2490" s="207" t="n"/>
      <c r="CG2490" s="208" t="n"/>
      <c r="CH2490" s="207" t="n"/>
      <c r="CI2490" s="208" t="n"/>
      <c r="CJ2490" s="204" t="n"/>
      <c r="CK2490" s="208" t="n"/>
      <c r="CL2490" s="208" t="n"/>
      <c r="CM2490" s="208" t="n"/>
      <c r="CN2490" s="78" t="n"/>
      <c r="CO2490" s="209" t="n"/>
      <c r="CP2490" s="204" t="n"/>
      <c r="CQ2490" s="204" t="n"/>
      <c r="CR2490" s="204" t="n"/>
      <c r="CS2490" s="204" t="n"/>
      <c r="CT2490" s="204" t="n"/>
      <c r="CU2490" s="204" t="n"/>
      <c r="CV2490" s="204" t="n"/>
      <c r="CW2490" s="204" t="n"/>
    </row>
    <row r="2491">
      <c r="BF2491" s="78" t="n"/>
      <c r="BG2491" s="78" t="n"/>
      <c r="BH2491" s="78" t="n"/>
      <c r="BI2491" s="78" t="n"/>
      <c r="BJ2491" s="139" t="n"/>
      <c r="BK2491" s="204" t="n"/>
      <c r="BL2491" s="141" t="n"/>
      <c r="BM2491" s="205" t="n"/>
      <c r="BN2491" s="205" t="n"/>
      <c r="BO2491" s="206" t="n"/>
      <c r="BP2491" s="144" t="n"/>
      <c r="BQ2491" s="141" t="n"/>
      <c r="BR2491" s="207" t="n"/>
      <c r="BS2491" s="207" t="n"/>
      <c r="BT2491" s="207" t="n"/>
      <c r="BU2491" s="207" t="n"/>
      <c r="BV2491" s="208" t="n"/>
      <c r="BW2491" s="207" t="n"/>
      <c r="BX2491" s="207" t="n"/>
      <c r="BY2491" s="204" t="n"/>
      <c r="BZ2491" s="148" t="n"/>
      <c r="CA2491" s="204" t="n"/>
      <c r="CB2491" s="208" t="n"/>
      <c r="CC2491" s="139" t="n"/>
      <c r="CD2491" s="204" t="n"/>
      <c r="CE2491" s="204" t="n"/>
      <c r="CF2491" s="207" t="n"/>
      <c r="CG2491" s="208" t="n"/>
      <c r="CH2491" s="207" t="n"/>
      <c r="CI2491" s="208" t="n"/>
      <c r="CJ2491" s="204" t="n"/>
      <c r="CK2491" s="208" t="n"/>
      <c r="CL2491" s="208" t="n"/>
      <c r="CM2491" s="208" t="n"/>
      <c r="CN2491" s="78" t="n"/>
      <c r="CO2491" s="209" t="n"/>
      <c r="CP2491" s="204" t="n"/>
      <c r="CQ2491" s="204" t="n"/>
      <c r="CR2491" s="204" t="n"/>
      <c r="CS2491" s="204" t="n"/>
      <c r="CT2491" s="204" t="n"/>
      <c r="CU2491" s="204" t="n"/>
      <c r="CV2491" s="204" t="n"/>
      <c r="CW2491" s="204" t="n"/>
    </row>
    <row r="2492">
      <c r="BF2492" s="78" t="n"/>
      <c r="BG2492" s="78" t="n"/>
      <c r="BH2492" s="78" t="n"/>
      <c r="BI2492" s="78" t="n"/>
      <c r="BJ2492" s="139" t="n"/>
      <c r="BK2492" s="204" t="n"/>
      <c r="BL2492" s="141" t="n"/>
      <c r="BM2492" s="205" t="n"/>
      <c r="BN2492" s="205" t="n"/>
      <c r="BO2492" s="206" t="n"/>
      <c r="BP2492" s="144" t="n"/>
      <c r="BQ2492" s="141" t="n"/>
      <c r="BR2492" s="207" t="n"/>
      <c r="BS2492" s="207" t="n"/>
      <c r="BT2492" s="207" t="n"/>
      <c r="BU2492" s="207" t="n"/>
      <c r="BV2492" s="208" t="n"/>
      <c r="BW2492" s="207" t="n"/>
      <c r="BX2492" s="207" t="n"/>
      <c r="BY2492" s="204" t="n"/>
      <c r="BZ2492" s="148" t="n"/>
      <c r="CA2492" s="204" t="n"/>
      <c r="CB2492" s="208" t="n"/>
      <c r="CC2492" s="139" t="n"/>
      <c r="CD2492" s="204" t="n"/>
      <c r="CE2492" s="204" t="n"/>
      <c r="CF2492" s="207" t="n"/>
      <c r="CG2492" s="208" t="n"/>
      <c r="CH2492" s="207" t="n"/>
      <c r="CI2492" s="208" t="n"/>
      <c r="CJ2492" s="204" t="n"/>
      <c r="CK2492" s="208" t="n"/>
      <c r="CL2492" s="208" t="n"/>
      <c r="CM2492" s="208" t="n"/>
      <c r="CN2492" s="78" t="n"/>
      <c r="CO2492" s="209" t="n"/>
      <c r="CP2492" s="204" t="n"/>
      <c r="CQ2492" s="204" t="n"/>
      <c r="CR2492" s="204" t="n"/>
      <c r="CS2492" s="204" t="n"/>
      <c r="CT2492" s="204" t="n"/>
      <c r="CU2492" s="204" t="n"/>
      <c r="CV2492" s="204" t="n"/>
      <c r="CW2492" s="204" t="n"/>
    </row>
    <row r="2493">
      <c r="BF2493" s="78" t="n"/>
      <c r="BG2493" s="78" t="n"/>
      <c r="BH2493" s="78" t="n"/>
      <c r="BI2493" s="78" t="n"/>
      <c r="BJ2493" s="139" t="n"/>
      <c r="BK2493" s="204" t="n"/>
      <c r="BL2493" s="141" t="n"/>
      <c r="BM2493" s="205" t="n"/>
      <c r="BN2493" s="205" t="n"/>
      <c r="BO2493" s="206" t="n"/>
      <c r="BP2493" s="144" t="n"/>
      <c r="BQ2493" s="141" t="n"/>
      <c r="BR2493" s="207" t="n"/>
      <c r="BS2493" s="207" t="n"/>
      <c r="BT2493" s="207" t="n"/>
      <c r="BU2493" s="207" t="n"/>
      <c r="BV2493" s="208" t="n"/>
      <c r="BW2493" s="207" t="n"/>
      <c r="BX2493" s="207" t="n"/>
      <c r="BY2493" s="204" t="n"/>
      <c r="BZ2493" s="148" t="n"/>
      <c r="CA2493" s="204" t="n"/>
      <c r="CB2493" s="208" t="n"/>
      <c r="CC2493" s="139" t="n"/>
      <c r="CD2493" s="204" t="n"/>
      <c r="CE2493" s="204" t="n"/>
      <c r="CF2493" s="207" t="n"/>
      <c r="CG2493" s="208" t="n"/>
      <c r="CH2493" s="207" t="n"/>
      <c r="CI2493" s="208" t="n"/>
      <c r="CJ2493" s="204" t="n"/>
      <c r="CK2493" s="208" t="n"/>
      <c r="CL2493" s="208" t="n"/>
      <c r="CM2493" s="208" t="n"/>
      <c r="CN2493" s="78" t="n"/>
      <c r="CO2493" s="209" t="n"/>
      <c r="CP2493" s="204" t="n"/>
      <c r="CQ2493" s="204" t="n"/>
      <c r="CR2493" s="204" t="n"/>
      <c r="CS2493" s="204" t="n"/>
      <c r="CT2493" s="204" t="n"/>
      <c r="CU2493" s="204" t="n"/>
      <c r="CV2493" s="204" t="n"/>
      <c r="CW2493" s="204" t="n"/>
    </row>
    <row r="2494">
      <c r="BF2494" s="78" t="n"/>
      <c r="BG2494" s="78" t="n"/>
      <c r="BH2494" s="78" t="n"/>
      <c r="BI2494" s="78" t="n"/>
      <c r="BJ2494" s="139" t="n"/>
      <c r="BK2494" s="204" t="n"/>
      <c r="BL2494" s="141" t="n"/>
      <c r="BM2494" s="205" t="n"/>
      <c r="BN2494" s="205" t="n"/>
      <c r="BO2494" s="206" t="n"/>
      <c r="BP2494" s="144" t="n"/>
      <c r="BQ2494" s="141" t="n"/>
      <c r="BR2494" s="207" t="n"/>
      <c r="BS2494" s="207" t="n"/>
      <c r="BT2494" s="207" t="n"/>
      <c r="BU2494" s="207" t="n"/>
      <c r="BV2494" s="208" t="n"/>
      <c r="BW2494" s="207" t="n"/>
      <c r="BX2494" s="207" t="n"/>
      <c r="BY2494" s="204" t="n"/>
      <c r="BZ2494" s="148" t="n"/>
      <c r="CA2494" s="204" t="n"/>
      <c r="CB2494" s="208" t="n"/>
      <c r="CC2494" s="139" t="n"/>
      <c r="CD2494" s="204" t="n"/>
      <c r="CE2494" s="204" t="n"/>
      <c r="CF2494" s="207" t="n"/>
      <c r="CG2494" s="208" t="n"/>
      <c r="CH2494" s="207" t="n"/>
      <c r="CI2494" s="208" t="n"/>
      <c r="CJ2494" s="204" t="n"/>
      <c r="CK2494" s="208" t="n"/>
      <c r="CL2494" s="208" t="n"/>
      <c r="CM2494" s="208" t="n"/>
      <c r="CN2494" s="78" t="n"/>
      <c r="CO2494" s="209" t="n"/>
      <c r="CP2494" s="204" t="n"/>
      <c r="CQ2494" s="204" t="n"/>
      <c r="CR2494" s="204" t="n"/>
      <c r="CS2494" s="204" t="n"/>
      <c r="CT2494" s="204" t="n"/>
      <c r="CU2494" s="204" t="n"/>
      <c r="CV2494" s="204" t="n"/>
      <c r="CW2494" s="204" t="n"/>
    </row>
    <row r="2495">
      <c r="BF2495" s="78" t="n"/>
      <c r="BG2495" s="78" t="n"/>
      <c r="BH2495" s="78" t="n"/>
      <c r="BI2495" s="78" t="n"/>
      <c r="BJ2495" s="139" t="n"/>
      <c r="BK2495" s="204" t="n"/>
      <c r="BL2495" s="141" t="n"/>
      <c r="BM2495" s="205" t="n"/>
      <c r="BN2495" s="205" t="n"/>
      <c r="BO2495" s="206" t="n"/>
      <c r="BP2495" s="144" t="n"/>
      <c r="BQ2495" s="141" t="n"/>
      <c r="BR2495" s="207" t="n"/>
      <c r="BS2495" s="207" t="n"/>
      <c r="BT2495" s="207" t="n"/>
      <c r="BU2495" s="207" t="n"/>
      <c r="BV2495" s="208" t="n"/>
      <c r="BW2495" s="207" t="n"/>
      <c r="BX2495" s="207" t="n"/>
      <c r="BY2495" s="204" t="n"/>
      <c r="BZ2495" s="148" t="n"/>
      <c r="CA2495" s="204" t="n"/>
      <c r="CB2495" s="208" t="n"/>
      <c r="CC2495" s="139" t="n"/>
      <c r="CD2495" s="204" t="n"/>
      <c r="CE2495" s="204" t="n"/>
      <c r="CF2495" s="207" t="n"/>
      <c r="CG2495" s="208" t="n"/>
      <c r="CH2495" s="207" t="n"/>
      <c r="CI2495" s="208" t="n"/>
      <c r="CJ2495" s="204" t="n"/>
      <c r="CK2495" s="208" t="n"/>
      <c r="CL2495" s="208" t="n"/>
      <c r="CM2495" s="208" t="n"/>
      <c r="CN2495" s="78" t="n"/>
      <c r="CO2495" s="209" t="n"/>
      <c r="CP2495" s="204" t="n"/>
      <c r="CQ2495" s="204" t="n"/>
      <c r="CR2495" s="204" t="n"/>
      <c r="CS2495" s="204" t="n"/>
      <c r="CT2495" s="204" t="n"/>
      <c r="CU2495" s="204" t="n"/>
      <c r="CV2495" s="204" t="n"/>
      <c r="CW2495" s="204" t="n"/>
    </row>
    <row r="2496">
      <c r="BF2496" s="78" t="n"/>
      <c r="BG2496" s="78" t="n"/>
      <c r="BH2496" s="78" t="n"/>
      <c r="BI2496" s="78" t="n"/>
      <c r="BJ2496" s="139" t="n"/>
      <c r="BK2496" s="204" t="n"/>
      <c r="BL2496" s="141" t="n"/>
      <c r="BM2496" s="205" t="n"/>
      <c r="BN2496" s="205" t="n"/>
      <c r="BO2496" s="206" t="n"/>
      <c r="BP2496" s="144" t="n"/>
      <c r="BQ2496" s="141" t="n"/>
      <c r="BR2496" s="207" t="n"/>
      <c r="BS2496" s="207" t="n"/>
      <c r="BT2496" s="207" t="n"/>
      <c r="BU2496" s="207" t="n"/>
      <c r="BV2496" s="208" t="n"/>
      <c r="BW2496" s="207" t="n"/>
      <c r="BX2496" s="207" t="n"/>
      <c r="BY2496" s="204" t="n"/>
      <c r="BZ2496" s="148" t="n"/>
      <c r="CA2496" s="204" t="n"/>
      <c r="CB2496" s="208" t="n"/>
      <c r="CC2496" s="139" t="n"/>
      <c r="CD2496" s="204" t="n"/>
      <c r="CE2496" s="204" t="n"/>
      <c r="CF2496" s="207" t="n"/>
      <c r="CG2496" s="208" t="n"/>
      <c r="CH2496" s="207" t="n"/>
      <c r="CI2496" s="208" t="n"/>
      <c r="CJ2496" s="204" t="n"/>
      <c r="CK2496" s="208" t="n"/>
      <c r="CL2496" s="208" t="n"/>
      <c r="CM2496" s="208" t="n"/>
      <c r="CN2496" s="78" t="n"/>
      <c r="CO2496" s="209" t="n"/>
      <c r="CP2496" s="204" t="n"/>
      <c r="CQ2496" s="204" t="n"/>
      <c r="CR2496" s="204" t="n"/>
      <c r="CS2496" s="204" t="n"/>
      <c r="CT2496" s="204" t="n"/>
      <c r="CU2496" s="204" t="n"/>
      <c r="CV2496" s="204" t="n"/>
      <c r="CW2496" s="204" t="n"/>
    </row>
    <row r="2497">
      <c r="BF2497" s="78" t="n"/>
      <c r="BG2497" s="78" t="n"/>
      <c r="BH2497" s="78" t="n"/>
      <c r="BI2497" s="78" t="n"/>
      <c r="BJ2497" s="139" t="n"/>
      <c r="BK2497" s="204" t="n"/>
      <c r="BL2497" s="141" t="n"/>
      <c r="BM2497" s="205" t="n"/>
      <c r="BN2497" s="205" t="n"/>
      <c r="BO2497" s="206" t="n"/>
      <c r="BP2497" s="144" t="n"/>
      <c r="BQ2497" s="141" t="n"/>
      <c r="BR2497" s="207" t="n"/>
      <c r="BS2497" s="207" t="n"/>
      <c r="BT2497" s="207" t="n"/>
      <c r="BU2497" s="207" t="n"/>
      <c r="BV2497" s="208" t="n"/>
      <c r="BW2497" s="207" t="n"/>
      <c r="BX2497" s="207" t="n"/>
      <c r="BY2497" s="204" t="n"/>
      <c r="BZ2497" s="148" t="n"/>
      <c r="CA2497" s="204" t="n"/>
      <c r="CB2497" s="208" t="n"/>
      <c r="CC2497" s="139" t="n"/>
      <c r="CD2497" s="204" t="n"/>
      <c r="CE2497" s="204" t="n"/>
      <c r="CF2497" s="207" t="n"/>
      <c r="CG2497" s="208" t="n"/>
      <c r="CH2497" s="207" t="n"/>
      <c r="CI2497" s="208" t="n"/>
      <c r="CJ2497" s="204" t="n"/>
      <c r="CK2497" s="208" t="n"/>
      <c r="CL2497" s="208" t="n"/>
      <c r="CM2497" s="208" t="n"/>
      <c r="CN2497" s="78" t="n"/>
      <c r="CO2497" s="209" t="n"/>
      <c r="CP2497" s="204" t="n"/>
      <c r="CQ2497" s="204" t="n"/>
      <c r="CR2497" s="204" t="n"/>
      <c r="CS2497" s="204" t="n"/>
      <c r="CT2497" s="204" t="n"/>
      <c r="CU2497" s="204" t="n"/>
      <c r="CV2497" s="204" t="n"/>
      <c r="CW2497" s="204" t="n"/>
    </row>
    <row r="2498">
      <c r="BF2498" s="78" t="n"/>
      <c r="BG2498" s="78" t="n"/>
      <c r="BH2498" s="78" t="n"/>
      <c r="BI2498" s="78" t="n"/>
      <c r="BJ2498" s="139" t="n"/>
      <c r="BK2498" s="204" t="n"/>
      <c r="BL2498" s="141" t="n"/>
      <c r="BM2498" s="205" t="n"/>
      <c r="BN2498" s="205" t="n"/>
      <c r="BO2498" s="206" t="n"/>
      <c r="BP2498" s="144" t="n"/>
      <c r="BQ2498" s="141" t="n"/>
      <c r="BR2498" s="207" t="n"/>
      <c r="BS2498" s="207" t="n"/>
      <c r="BT2498" s="207" t="n"/>
      <c r="BU2498" s="207" t="n"/>
      <c r="BV2498" s="208" t="n"/>
      <c r="BW2498" s="207" t="n"/>
      <c r="BX2498" s="207" t="n"/>
      <c r="BY2498" s="204" t="n"/>
      <c r="BZ2498" s="148" t="n"/>
      <c r="CA2498" s="204" t="n"/>
      <c r="CB2498" s="208" t="n"/>
      <c r="CC2498" s="139" t="n"/>
      <c r="CD2498" s="204" t="n"/>
      <c r="CE2498" s="204" t="n"/>
      <c r="CF2498" s="207" t="n"/>
      <c r="CG2498" s="208" t="n"/>
      <c r="CH2498" s="207" t="n"/>
      <c r="CI2498" s="208" t="n"/>
      <c r="CJ2498" s="204" t="n"/>
      <c r="CK2498" s="208" t="n"/>
      <c r="CL2498" s="208" t="n"/>
      <c r="CM2498" s="208" t="n"/>
      <c r="CN2498" s="78" t="n"/>
      <c r="CO2498" s="209" t="n"/>
      <c r="CP2498" s="204" t="n"/>
      <c r="CQ2498" s="204" t="n"/>
      <c r="CR2498" s="204" t="n"/>
      <c r="CS2498" s="204" t="n"/>
      <c r="CT2498" s="204" t="n"/>
      <c r="CU2498" s="204" t="n"/>
      <c r="CV2498" s="204" t="n"/>
      <c r="CW2498" s="204" t="n"/>
    </row>
    <row r="2499">
      <c r="BF2499" s="78" t="n"/>
      <c r="BG2499" s="78" t="n"/>
      <c r="BH2499" s="78" t="n"/>
      <c r="BI2499" s="78" t="n"/>
      <c r="BJ2499" s="139" t="n"/>
      <c r="BK2499" s="204" t="n"/>
      <c r="BL2499" s="141" t="n"/>
      <c r="BM2499" s="205" t="n"/>
      <c r="BN2499" s="205" t="n"/>
      <c r="BO2499" s="206" t="n"/>
      <c r="BP2499" s="144" t="n"/>
      <c r="BQ2499" s="141" t="n"/>
      <c r="BR2499" s="207" t="n"/>
      <c r="BS2499" s="207" t="n"/>
      <c r="BT2499" s="207" t="n"/>
      <c r="BU2499" s="207" t="n"/>
      <c r="BV2499" s="208" t="n"/>
      <c r="BW2499" s="207" t="n"/>
      <c r="BX2499" s="207" t="n"/>
      <c r="BY2499" s="204" t="n"/>
      <c r="BZ2499" s="148" t="n"/>
      <c r="CA2499" s="204" t="n"/>
      <c r="CB2499" s="208" t="n"/>
      <c r="CC2499" s="139" t="n"/>
      <c r="CD2499" s="204" t="n"/>
      <c r="CE2499" s="204" t="n"/>
      <c r="CF2499" s="207" t="n"/>
      <c r="CG2499" s="208" t="n"/>
      <c r="CH2499" s="207" t="n"/>
      <c r="CI2499" s="208" t="n"/>
      <c r="CJ2499" s="204" t="n"/>
      <c r="CK2499" s="208" t="n"/>
      <c r="CL2499" s="208" t="n"/>
      <c r="CM2499" s="208" t="n"/>
      <c r="CN2499" s="78" t="n"/>
      <c r="CO2499" s="209" t="n"/>
      <c r="CP2499" s="204" t="n"/>
      <c r="CQ2499" s="204" t="n"/>
      <c r="CR2499" s="204" t="n"/>
      <c r="CS2499" s="204" t="n"/>
      <c r="CT2499" s="204" t="n"/>
      <c r="CU2499" s="204" t="n"/>
      <c r="CV2499" s="204" t="n"/>
      <c r="CW2499" s="204" t="n"/>
    </row>
    <row r="2500">
      <c r="BF2500" s="78" t="n"/>
      <c r="BG2500" s="78" t="n"/>
      <c r="BH2500" s="78" t="n"/>
      <c r="BI2500" s="78" t="n"/>
      <c r="BJ2500" s="139" t="n"/>
      <c r="BK2500" s="204" t="n"/>
      <c r="BL2500" s="141" t="n"/>
      <c r="BM2500" s="205" t="n"/>
      <c r="BN2500" s="205" t="n"/>
      <c r="BO2500" s="206" t="n"/>
      <c r="BP2500" s="144" t="n"/>
      <c r="BQ2500" s="141" t="n"/>
      <c r="BR2500" s="207" t="n"/>
      <c r="BS2500" s="207" t="n"/>
      <c r="BT2500" s="207" t="n"/>
      <c r="BU2500" s="207" t="n"/>
      <c r="BV2500" s="208" t="n"/>
      <c r="BW2500" s="207" t="n"/>
      <c r="BX2500" s="207" t="n"/>
      <c r="BY2500" s="204" t="n"/>
      <c r="BZ2500" s="148" t="n"/>
      <c r="CA2500" s="204" t="n"/>
      <c r="CB2500" s="208" t="n"/>
      <c r="CC2500" s="139" t="n"/>
      <c r="CD2500" s="204" t="n"/>
      <c r="CE2500" s="204" t="n"/>
      <c r="CF2500" s="207" t="n"/>
      <c r="CG2500" s="208" t="n"/>
      <c r="CH2500" s="207" t="n"/>
      <c r="CI2500" s="208" t="n"/>
      <c r="CJ2500" s="204" t="n"/>
      <c r="CK2500" s="208" t="n"/>
      <c r="CL2500" s="208" t="n"/>
      <c r="CM2500" s="208" t="n"/>
      <c r="CN2500" s="78" t="n"/>
      <c r="CO2500" s="209" t="n"/>
      <c r="CP2500" s="204" t="n"/>
      <c r="CQ2500" s="204" t="n"/>
      <c r="CR2500" s="204" t="n"/>
      <c r="CS2500" s="204" t="n"/>
      <c r="CT2500" s="204" t="n"/>
      <c r="CU2500" s="204" t="n"/>
      <c r="CV2500" s="204" t="n"/>
      <c r="CW2500" s="204" t="n"/>
    </row>
    <row r="2501">
      <c r="BF2501" s="78" t="n"/>
      <c r="BG2501" s="78" t="n"/>
      <c r="BH2501" s="78" t="n"/>
      <c r="BI2501" s="78" t="n"/>
      <c r="BJ2501" s="139" t="n"/>
      <c r="BK2501" s="204" t="n"/>
      <c r="BL2501" s="141" t="n"/>
      <c r="BM2501" s="205" t="n"/>
      <c r="BN2501" s="205" t="n"/>
      <c r="BO2501" s="206" t="n"/>
      <c r="BP2501" s="144" t="n"/>
      <c r="BQ2501" s="141" t="n"/>
      <c r="BR2501" s="207" t="n"/>
      <c r="BS2501" s="207" t="n"/>
      <c r="BT2501" s="207" t="n"/>
      <c r="BU2501" s="207" t="n"/>
      <c r="BV2501" s="208" t="n"/>
      <c r="BW2501" s="207" t="n"/>
      <c r="BX2501" s="207" t="n"/>
      <c r="BY2501" s="204" t="n"/>
      <c r="BZ2501" s="148" t="n"/>
      <c r="CA2501" s="204" t="n"/>
      <c r="CB2501" s="208" t="n"/>
      <c r="CC2501" s="139" t="n"/>
      <c r="CD2501" s="204" t="n"/>
      <c r="CE2501" s="204" t="n"/>
      <c r="CF2501" s="207" t="n"/>
      <c r="CG2501" s="208" t="n"/>
      <c r="CH2501" s="207" t="n"/>
      <c r="CI2501" s="208" t="n"/>
      <c r="CJ2501" s="204" t="n"/>
      <c r="CK2501" s="208" t="n"/>
      <c r="CL2501" s="208" t="n"/>
      <c r="CM2501" s="208" t="n"/>
      <c r="CN2501" s="78" t="n"/>
      <c r="CO2501" s="209" t="n"/>
      <c r="CP2501" s="204" t="n"/>
      <c r="CQ2501" s="204" t="n"/>
      <c r="CR2501" s="204" t="n"/>
      <c r="CS2501" s="204" t="n"/>
      <c r="CT2501" s="204" t="n"/>
      <c r="CU2501" s="204" t="n"/>
      <c r="CV2501" s="204" t="n"/>
      <c r="CW2501" s="204" t="n"/>
    </row>
    <row r="2502">
      <c r="BF2502" s="78" t="n"/>
      <c r="BG2502" s="78" t="n"/>
      <c r="BH2502" s="78" t="n"/>
      <c r="BI2502" s="78" t="n"/>
      <c r="BJ2502" s="139" t="n"/>
      <c r="BK2502" s="204" t="n"/>
      <c r="BL2502" s="141" t="n"/>
      <c r="BM2502" s="205" t="n"/>
      <c r="BN2502" s="205" t="n"/>
      <c r="BO2502" s="206" t="n"/>
      <c r="BP2502" s="144" t="n"/>
      <c r="BQ2502" s="141" t="n"/>
      <c r="BR2502" s="207" t="n"/>
      <c r="BS2502" s="207" t="n"/>
      <c r="BT2502" s="207" t="n"/>
      <c r="BU2502" s="207" t="n"/>
      <c r="BV2502" s="208" t="n"/>
      <c r="BW2502" s="207" t="n"/>
      <c r="BX2502" s="207" t="n"/>
      <c r="BY2502" s="204" t="n"/>
      <c r="BZ2502" s="148" t="n"/>
      <c r="CA2502" s="204" t="n"/>
      <c r="CB2502" s="208" t="n"/>
      <c r="CC2502" s="139" t="n"/>
      <c r="CD2502" s="204" t="n"/>
      <c r="CE2502" s="204" t="n"/>
      <c r="CF2502" s="207" t="n"/>
      <c r="CG2502" s="208" t="n"/>
      <c r="CH2502" s="207" t="n"/>
      <c r="CI2502" s="208" t="n"/>
      <c r="CJ2502" s="204" t="n"/>
      <c r="CK2502" s="208" t="n"/>
      <c r="CL2502" s="208" t="n"/>
      <c r="CM2502" s="208" t="n"/>
      <c r="CN2502" s="78" t="n"/>
      <c r="CO2502" s="209" t="n"/>
      <c r="CP2502" s="204" t="n"/>
      <c r="CQ2502" s="204" t="n"/>
      <c r="CR2502" s="204" t="n"/>
      <c r="CS2502" s="204" t="n"/>
      <c r="CT2502" s="204" t="n"/>
      <c r="CU2502" s="204" t="n"/>
      <c r="CV2502" s="204" t="n"/>
      <c r="CW2502" s="204" t="n"/>
    </row>
    <row r="2503">
      <c r="BF2503" s="78" t="n"/>
      <c r="BG2503" s="78" t="n"/>
      <c r="BH2503" s="78" t="n"/>
      <c r="BI2503" s="78" t="n"/>
      <c r="BJ2503" s="139" t="n"/>
      <c r="BK2503" s="204" t="n"/>
      <c r="BL2503" s="141" t="n"/>
      <c r="BM2503" s="205" t="n"/>
      <c r="BN2503" s="205" t="n"/>
      <c r="BO2503" s="206" t="n"/>
      <c r="BP2503" s="144" t="n"/>
      <c r="BQ2503" s="141" t="n"/>
      <c r="BR2503" s="207" t="n"/>
      <c r="BS2503" s="207" t="n"/>
      <c r="BT2503" s="207" t="n"/>
      <c r="BU2503" s="207" t="n"/>
      <c r="BV2503" s="208" t="n"/>
      <c r="BW2503" s="207" t="n"/>
      <c r="BX2503" s="207" t="n"/>
      <c r="BY2503" s="204" t="n"/>
      <c r="BZ2503" s="148" t="n"/>
      <c r="CA2503" s="204" t="n"/>
      <c r="CB2503" s="208" t="n"/>
      <c r="CC2503" s="139" t="n"/>
      <c r="CD2503" s="204" t="n"/>
      <c r="CE2503" s="204" t="n"/>
      <c r="CF2503" s="207" t="n"/>
      <c r="CG2503" s="208" t="n"/>
      <c r="CH2503" s="207" t="n"/>
      <c r="CI2503" s="208" t="n"/>
      <c r="CJ2503" s="204" t="n"/>
      <c r="CK2503" s="208" t="n"/>
      <c r="CL2503" s="208" t="n"/>
      <c r="CM2503" s="208" t="n"/>
      <c r="CN2503" s="78" t="n"/>
      <c r="CO2503" s="209" t="n"/>
      <c r="CP2503" s="204" t="n"/>
      <c r="CQ2503" s="204" t="n"/>
      <c r="CR2503" s="204" t="n"/>
      <c r="CS2503" s="204" t="n"/>
      <c r="CT2503" s="204" t="n"/>
      <c r="CU2503" s="204" t="n"/>
      <c r="CV2503" s="204" t="n"/>
      <c r="CW2503" s="204" t="n"/>
    </row>
    <row r="2504">
      <c r="BF2504" s="78" t="n"/>
      <c r="BG2504" s="78" t="n"/>
      <c r="BH2504" s="78" t="n"/>
      <c r="BI2504" s="78" t="n"/>
      <c r="BJ2504" s="139" t="n"/>
      <c r="BK2504" s="204" t="n"/>
      <c r="BL2504" s="141" t="n"/>
      <c r="BM2504" s="205" t="n"/>
      <c r="BN2504" s="205" t="n"/>
      <c r="BO2504" s="206" t="n"/>
      <c r="BP2504" s="144" t="n"/>
      <c r="BQ2504" s="141" t="n"/>
      <c r="BR2504" s="207" t="n"/>
      <c r="BS2504" s="207" t="n"/>
      <c r="BT2504" s="207" t="n"/>
      <c r="BU2504" s="207" t="n"/>
      <c r="BV2504" s="208" t="n"/>
      <c r="BW2504" s="207" t="n"/>
      <c r="BX2504" s="207" t="n"/>
      <c r="BY2504" s="204" t="n"/>
      <c r="BZ2504" s="148" t="n"/>
      <c r="CA2504" s="204" t="n"/>
      <c r="CB2504" s="208" t="n"/>
      <c r="CC2504" s="139" t="n"/>
      <c r="CD2504" s="204" t="n"/>
      <c r="CE2504" s="204" t="n"/>
      <c r="CF2504" s="207" t="n"/>
      <c r="CG2504" s="208" t="n"/>
      <c r="CH2504" s="207" t="n"/>
      <c r="CI2504" s="208" t="n"/>
      <c r="CJ2504" s="204" t="n"/>
      <c r="CK2504" s="208" t="n"/>
      <c r="CL2504" s="208" t="n"/>
      <c r="CM2504" s="208" t="n"/>
      <c r="CN2504" s="78" t="n"/>
      <c r="CO2504" s="209" t="n"/>
      <c r="CP2504" s="204" t="n"/>
      <c r="CQ2504" s="204" t="n"/>
      <c r="CR2504" s="204" t="n"/>
      <c r="CS2504" s="204" t="n"/>
      <c r="CT2504" s="204" t="n"/>
      <c r="CU2504" s="204" t="n"/>
      <c r="CV2504" s="204" t="n"/>
      <c r="CW2504" s="204" t="n"/>
    </row>
    <row r="2505">
      <c r="BF2505" s="78" t="n"/>
      <c r="BG2505" s="78" t="n"/>
      <c r="BH2505" s="78" t="n"/>
      <c r="BI2505" s="78" t="n"/>
      <c r="BJ2505" s="139" t="n"/>
      <c r="BK2505" s="204" t="n"/>
      <c r="BL2505" s="141" t="n"/>
      <c r="BM2505" s="205" t="n"/>
      <c r="BN2505" s="205" t="n"/>
      <c r="BO2505" s="206" t="n"/>
      <c r="BP2505" s="144" t="n"/>
      <c r="BQ2505" s="141" t="n"/>
      <c r="BR2505" s="207" t="n"/>
      <c r="BS2505" s="207" t="n"/>
      <c r="BT2505" s="207" t="n"/>
      <c r="BU2505" s="207" t="n"/>
      <c r="BV2505" s="208" t="n"/>
      <c r="BW2505" s="207" t="n"/>
      <c r="BX2505" s="207" t="n"/>
      <c r="BY2505" s="204" t="n"/>
      <c r="BZ2505" s="148" t="n"/>
      <c r="CA2505" s="204" t="n"/>
      <c r="CB2505" s="208" t="n"/>
      <c r="CC2505" s="139" t="n"/>
      <c r="CD2505" s="204" t="n"/>
      <c r="CE2505" s="204" t="n"/>
      <c r="CF2505" s="207" t="n"/>
      <c r="CG2505" s="208" t="n"/>
      <c r="CH2505" s="207" t="n"/>
      <c r="CI2505" s="208" t="n"/>
      <c r="CJ2505" s="204" t="n"/>
      <c r="CK2505" s="208" t="n"/>
      <c r="CL2505" s="208" t="n"/>
      <c r="CM2505" s="208" t="n"/>
      <c r="CN2505" s="78" t="n"/>
      <c r="CO2505" s="209" t="n"/>
      <c r="CP2505" s="204" t="n"/>
      <c r="CQ2505" s="204" t="n"/>
      <c r="CR2505" s="204" t="n"/>
      <c r="CS2505" s="204" t="n"/>
      <c r="CT2505" s="204" t="n"/>
      <c r="CU2505" s="204" t="n"/>
      <c r="CV2505" s="204" t="n"/>
      <c r="CW2505" s="204" t="n"/>
    </row>
    <row r="2506">
      <c r="BF2506" s="78" t="n"/>
      <c r="BG2506" s="78" t="n"/>
      <c r="BH2506" s="78" t="n"/>
      <c r="BI2506" s="78" t="n"/>
      <c r="BJ2506" s="139" t="n"/>
      <c r="BK2506" s="204" t="n"/>
      <c r="BL2506" s="141" t="n"/>
      <c r="BM2506" s="205" t="n"/>
      <c r="BN2506" s="205" t="n"/>
      <c r="BO2506" s="206" t="n"/>
      <c r="BP2506" s="144" t="n"/>
      <c r="BQ2506" s="141" t="n"/>
      <c r="BR2506" s="207" t="n"/>
      <c r="BS2506" s="207" t="n"/>
      <c r="BT2506" s="207" t="n"/>
      <c r="BU2506" s="207" t="n"/>
      <c r="BV2506" s="208" t="n"/>
      <c r="BW2506" s="207" t="n"/>
      <c r="BX2506" s="207" t="n"/>
      <c r="BY2506" s="204" t="n"/>
      <c r="BZ2506" s="148" t="n"/>
      <c r="CA2506" s="204" t="n"/>
      <c r="CB2506" s="208" t="n"/>
      <c r="CC2506" s="139" t="n"/>
      <c r="CD2506" s="204" t="n"/>
      <c r="CE2506" s="204" t="n"/>
      <c r="CF2506" s="207" t="n"/>
      <c r="CG2506" s="208" t="n"/>
      <c r="CH2506" s="207" t="n"/>
      <c r="CI2506" s="208" t="n"/>
      <c r="CJ2506" s="204" t="n"/>
      <c r="CK2506" s="208" t="n"/>
      <c r="CL2506" s="208" t="n"/>
      <c r="CM2506" s="208" t="n"/>
      <c r="CN2506" s="78" t="n"/>
      <c r="CO2506" s="209" t="n"/>
      <c r="CP2506" s="204" t="n"/>
      <c r="CQ2506" s="204" t="n"/>
      <c r="CR2506" s="204" t="n"/>
      <c r="CS2506" s="204" t="n"/>
      <c r="CT2506" s="204" t="n"/>
      <c r="CU2506" s="204" t="n"/>
      <c r="CV2506" s="204" t="n"/>
      <c r="CW2506" s="204" t="n"/>
    </row>
    <row r="2507">
      <c r="BF2507" s="78" t="n"/>
      <c r="BG2507" s="78" t="n"/>
      <c r="BH2507" s="78" t="n"/>
      <c r="BI2507" s="78" t="n"/>
      <c r="BJ2507" s="139" t="n"/>
      <c r="BK2507" s="204" t="n"/>
      <c r="BL2507" s="141" t="n"/>
      <c r="BM2507" s="205" t="n"/>
      <c r="BN2507" s="205" t="n"/>
      <c r="BO2507" s="206" t="n"/>
      <c r="BP2507" s="144" t="n"/>
      <c r="BQ2507" s="141" t="n"/>
      <c r="BR2507" s="207" t="n"/>
      <c r="BS2507" s="207" t="n"/>
      <c r="BT2507" s="207" t="n"/>
      <c r="BU2507" s="207" t="n"/>
      <c r="BV2507" s="208" t="n"/>
      <c r="BW2507" s="207" t="n"/>
      <c r="BX2507" s="207" t="n"/>
      <c r="BY2507" s="204" t="n"/>
      <c r="BZ2507" s="148" t="n"/>
      <c r="CA2507" s="204" t="n"/>
      <c r="CB2507" s="208" t="n"/>
      <c r="CC2507" s="139" t="n"/>
      <c r="CD2507" s="204" t="n"/>
      <c r="CE2507" s="204" t="n"/>
      <c r="CF2507" s="207" t="n"/>
      <c r="CG2507" s="208" t="n"/>
      <c r="CH2507" s="207" t="n"/>
      <c r="CI2507" s="208" t="n"/>
      <c r="CJ2507" s="204" t="n"/>
      <c r="CK2507" s="208" t="n"/>
      <c r="CL2507" s="208" t="n"/>
      <c r="CM2507" s="208" t="n"/>
      <c r="CN2507" s="78" t="n"/>
      <c r="CO2507" s="209" t="n"/>
      <c r="CP2507" s="204" t="n"/>
      <c r="CQ2507" s="204" t="n"/>
      <c r="CR2507" s="204" t="n"/>
      <c r="CS2507" s="204" t="n"/>
      <c r="CT2507" s="204" t="n"/>
      <c r="CU2507" s="204" t="n"/>
      <c r="CV2507" s="204" t="n"/>
      <c r="CW2507" s="204" t="n"/>
    </row>
    <row r="2508">
      <c r="BF2508" s="78" t="n"/>
      <c r="BG2508" s="78" t="n"/>
      <c r="BH2508" s="78" t="n"/>
      <c r="BI2508" s="78" t="n"/>
      <c r="BJ2508" s="139" t="n"/>
      <c r="BK2508" s="204" t="n"/>
      <c r="BL2508" s="141" t="n"/>
      <c r="BM2508" s="205" t="n"/>
      <c r="BN2508" s="205" t="n"/>
      <c r="BO2508" s="206" t="n"/>
      <c r="BP2508" s="144" t="n"/>
      <c r="BQ2508" s="141" t="n"/>
      <c r="BR2508" s="207" t="n"/>
      <c r="BS2508" s="207" t="n"/>
      <c r="BT2508" s="207" t="n"/>
      <c r="BU2508" s="207" t="n"/>
      <c r="BV2508" s="208" t="n"/>
      <c r="BW2508" s="207" t="n"/>
      <c r="BX2508" s="207" t="n"/>
      <c r="BY2508" s="204" t="n"/>
      <c r="BZ2508" s="148" t="n"/>
      <c r="CA2508" s="204" t="n"/>
      <c r="CB2508" s="208" t="n"/>
      <c r="CC2508" s="139" t="n"/>
      <c r="CD2508" s="204" t="n"/>
      <c r="CE2508" s="204" t="n"/>
      <c r="CF2508" s="207" t="n"/>
      <c r="CG2508" s="208" t="n"/>
      <c r="CH2508" s="207" t="n"/>
      <c r="CI2508" s="208" t="n"/>
      <c r="CJ2508" s="204" t="n"/>
      <c r="CK2508" s="208" t="n"/>
      <c r="CL2508" s="208" t="n"/>
      <c r="CM2508" s="208" t="n"/>
      <c r="CN2508" s="78" t="n"/>
      <c r="CO2508" s="209" t="n"/>
      <c r="CP2508" s="204" t="n"/>
      <c r="CQ2508" s="204" t="n"/>
      <c r="CR2508" s="204" t="n"/>
      <c r="CS2508" s="204" t="n"/>
      <c r="CT2508" s="204" t="n"/>
      <c r="CU2508" s="204" t="n"/>
      <c r="CV2508" s="204" t="n"/>
      <c r="CW2508" s="204" t="n"/>
    </row>
    <row r="2509">
      <c r="BF2509" s="78" t="n"/>
      <c r="BG2509" s="78" t="n"/>
      <c r="BH2509" s="78" t="n"/>
      <c r="BI2509" s="78" t="n"/>
      <c r="BJ2509" s="139" t="n"/>
      <c r="BK2509" s="204" t="n"/>
      <c r="BL2509" s="141" t="n"/>
      <c r="BM2509" s="205" t="n"/>
      <c r="BN2509" s="205" t="n"/>
      <c r="BO2509" s="206" t="n"/>
      <c r="BP2509" s="144" t="n"/>
      <c r="BQ2509" s="141" t="n"/>
      <c r="BR2509" s="207" t="n"/>
      <c r="BS2509" s="207" t="n"/>
      <c r="BT2509" s="207" t="n"/>
      <c r="BU2509" s="207" t="n"/>
      <c r="BV2509" s="208" t="n"/>
      <c r="BW2509" s="207" t="n"/>
      <c r="BX2509" s="207" t="n"/>
      <c r="BY2509" s="204" t="n"/>
      <c r="BZ2509" s="148" t="n"/>
      <c r="CA2509" s="204" t="n"/>
      <c r="CB2509" s="208" t="n"/>
      <c r="CC2509" s="139" t="n"/>
      <c r="CD2509" s="204" t="n"/>
      <c r="CE2509" s="204" t="n"/>
      <c r="CF2509" s="207" t="n"/>
      <c r="CG2509" s="208" t="n"/>
      <c r="CH2509" s="207" t="n"/>
      <c r="CI2509" s="208" t="n"/>
      <c r="CJ2509" s="204" t="n"/>
      <c r="CK2509" s="208" t="n"/>
      <c r="CL2509" s="208" t="n"/>
      <c r="CM2509" s="208" t="n"/>
      <c r="CN2509" s="78" t="n"/>
      <c r="CO2509" s="209" t="n"/>
      <c r="CP2509" s="204" t="n"/>
      <c r="CQ2509" s="204" t="n"/>
      <c r="CR2509" s="204" t="n"/>
      <c r="CS2509" s="204" t="n"/>
      <c r="CT2509" s="204" t="n"/>
      <c r="CU2509" s="204" t="n"/>
      <c r="CV2509" s="204" t="n"/>
      <c r="CW2509" s="204" t="n"/>
    </row>
    <row r="2510">
      <c r="BF2510" s="78" t="n"/>
      <c r="BG2510" s="78" t="n"/>
      <c r="BH2510" s="78" t="n"/>
      <c r="BI2510" s="78" t="n"/>
      <c r="BJ2510" s="139" t="n"/>
      <c r="BK2510" s="204" t="n"/>
      <c r="BL2510" s="141" t="n"/>
      <c r="BM2510" s="205" t="n"/>
      <c r="BN2510" s="205" t="n"/>
      <c r="BO2510" s="206" t="n"/>
      <c r="BP2510" s="144" t="n"/>
      <c r="BQ2510" s="141" t="n"/>
      <c r="BR2510" s="207" t="n"/>
      <c r="BS2510" s="207" t="n"/>
      <c r="BT2510" s="207" t="n"/>
      <c r="BU2510" s="207" t="n"/>
      <c r="BV2510" s="208" t="n"/>
      <c r="BW2510" s="207" t="n"/>
      <c r="BX2510" s="207" t="n"/>
      <c r="BY2510" s="204" t="n"/>
      <c r="BZ2510" s="148" t="n"/>
      <c r="CA2510" s="204" t="n"/>
      <c r="CB2510" s="208" t="n"/>
      <c r="CC2510" s="139" t="n"/>
      <c r="CD2510" s="204" t="n"/>
      <c r="CE2510" s="204" t="n"/>
      <c r="CF2510" s="207" t="n"/>
      <c r="CG2510" s="208" t="n"/>
      <c r="CH2510" s="207" t="n"/>
      <c r="CI2510" s="208" t="n"/>
      <c r="CJ2510" s="204" t="n"/>
      <c r="CK2510" s="208" t="n"/>
      <c r="CL2510" s="208" t="n"/>
      <c r="CM2510" s="208" t="n"/>
      <c r="CN2510" s="78" t="n"/>
      <c r="CO2510" s="209" t="n"/>
      <c r="CP2510" s="204" t="n"/>
      <c r="CQ2510" s="204" t="n"/>
      <c r="CR2510" s="204" t="n"/>
      <c r="CS2510" s="204" t="n"/>
      <c r="CT2510" s="204" t="n"/>
      <c r="CU2510" s="204" t="n"/>
      <c r="CV2510" s="204" t="n"/>
      <c r="CW2510" s="204" t="n"/>
    </row>
    <row r="2511">
      <c r="BF2511" s="78" t="n"/>
      <c r="BG2511" s="78" t="n"/>
      <c r="BH2511" s="78" t="n"/>
      <c r="BI2511" s="78" t="n"/>
      <c r="BJ2511" s="139" t="n"/>
      <c r="BK2511" s="204" t="n"/>
      <c r="BL2511" s="141" t="n"/>
      <c r="BM2511" s="205" t="n"/>
      <c r="BN2511" s="205" t="n"/>
      <c r="BO2511" s="206" t="n"/>
      <c r="BP2511" s="144" t="n"/>
      <c r="BQ2511" s="141" t="n"/>
      <c r="BR2511" s="207" t="n"/>
      <c r="BS2511" s="207" t="n"/>
      <c r="BT2511" s="207" t="n"/>
      <c r="BU2511" s="207" t="n"/>
      <c r="BV2511" s="208" t="n"/>
      <c r="BW2511" s="207" t="n"/>
      <c r="BX2511" s="207" t="n"/>
      <c r="BY2511" s="204" t="n"/>
      <c r="BZ2511" s="148" t="n"/>
      <c r="CA2511" s="204" t="n"/>
      <c r="CB2511" s="208" t="n"/>
      <c r="CC2511" s="139" t="n"/>
      <c r="CD2511" s="204" t="n"/>
      <c r="CE2511" s="204" t="n"/>
      <c r="CF2511" s="207" t="n"/>
      <c r="CG2511" s="208" t="n"/>
      <c r="CH2511" s="207" t="n"/>
      <c r="CI2511" s="208" t="n"/>
      <c r="CJ2511" s="204" t="n"/>
      <c r="CK2511" s="208" t="n"/>
      <c r="CL2511" s="208" t="n"/>
      <c r="CM2511" s="208" t="n"/>
      <c r="CN2511" s="78" t="n"/>
      <c r="CO2511" s="209" t="n"/>
      <c r="CP2511" s="204" t="n"/>
      <c r="CQ2511" s="204" t="n"/>
      <c r="CR2511" s="204" t="n"/>
      <c r="CS2511" s="204" t="n"/>
      <c r="CT2511" s="204" t="n"/>
      <c r="CU2511" s="204" t="n"/>
      <c r="CV2511" s="204" t="n"/>
      <c r="CW2511" s="204" t="n"/>
    </row>
    <row r="2512">
      <c r="BF2512" s="78" t="n"/>
      <c r="BG2512" s="78" t="n"/>
      <c r="BH2512" s="78" t="n"/>
      <c r="BI2512" s="78" t="n"/>
      <c r="BJ2512" s="139" t="n"/>
      <c r="BK2512" s="204" t="n"/>
      <c r="BL2512" s="141" t="n"/>
      <c r="BM2512" s="205" t="n"/>
      <c r="BN2512" s="205" t="n"/>
      <c r="BO2512" s="206" t="n"/>
      <c r="BP2512" s="144" t="n"/>
      <c r="BQ2512" s="141" t="n"/>
      <c r="BR2512" s="207" t="n"/>
      <c r="BS2512" s="207" t="n"/>
      <c r="BT2512" s="207" t="n"/>
      <c r="BU2512" s="207" t="n"/>
      <c r="BV2512" s="208" t="n"/>
      <c r="BW2512" s="207" t="n"/>
      <c r="BX2512" s="207" t="n"/>
      <c r="BY2512" s="204" t="n"/>
      <c r="BZ2512" s="148" t="n"/>
      <c r="CA2512" s="204" t="n"/>
      <c r="CB2512" s="208" t="n"/>
      <c r="CC2512" s="139" t="n"/>
      <c r="CD2512" s="204" t="n"/>
      <c r="CE2512" s="204" t="n"/>
      <c r="CF2512" s="207" t="n"/>
      <c r="CG2512" s="208" t="n"/>
      <c r="CH2512" s="207" t="n"/>
      <c r="CI2512" s="208" t="n"/>
      <c r="CJ2512" s="204" t="n"/>
      <c r="CK2512" s="208" t="n"/>
      <c r="CL2512" s="208" t="n"/>
      <c r="CM2512" s="208" t="n"/>
      <c r="CN2512" s="78" t="n"/>
      <c r="CO2512" s="209" t="n"/>
      <c r="CP2512" s="204" t="n"/>
      <c r="CQ2512" s="204" t="n"/>
      <c r="CR2512" s="204" t="n"/>
      <c r="CS2512" s="204" t="n"/>
      <c r="CT2512" s="204" t="n"/>
      <c r="CU2512" s="204" t="n"/>
      <c r="CV2512" s="204" t="n"/>
      <c r="CW2512" s="204" t="n"/>
    </row>
    <row r="2513">
      <c r="BF2513" s="78" t="n"/>
      <c r="BG2513" s="78" t="n"/>
      <c r="BH2513" s="78" t="n"/>
      <c r="BI2513" s="78" t="n"/>
      <c r="BJ2513" s="139" t="n"/>
      <c r="BK2513" s="204" t="n"/>
      <c r="BL2513" s="141" t="n"/>
      <c r="BM2513" s="205" t="n"/>
      <c r="BN2513" s="205" t="n"/>
      <c r="BO2513" s="206" t="n"/>
      <c r="BP2513" s="144" t="n"/>
      <c r="BQ2513" s="141" t="n"/>
      <c r="BR2513" s="207" t="n"/>
      <c r="BS2513" s="207" t="n"/>
      <c r="BT2513" s="207" t="n"/>
      <c r="BU2513" s="207" t="n"/>
      <c r="BV2513" s="208" t="n"/>
      <c r="BW2513" s="207" t="n"/>
      <c r="BX2513" s="207" t="n"/>
      <c r="BY2513" s="204" t="n"/>
      <c r="BZ2513" s="148" t="n"/>
      <c r="CA2513" s="204" t="n"/>
      <c r="CB2513" s="208" t="n"/>
      <c r="CC2513" s="139" t="n"/>
      <c r="CD2513" s="204" t="n"/>
      <c r="CE2513" s="204" t="n"/>
      <c r="CF2513" s="207" t="n"/>
      <c r="CG2513" s="208" t="n"/>
      <c r="CH2513" s="207" t="n"/>
      <c r="CI2513" s="208" t="n"/>
      <c r="CJ2513" s="204" t="n"/>
      <c r="CK2513" s="208" t="n"/>
      <c r="CL2513" s="208" t="n"/>
      <c r="CM2513" s="208" t="n"/>
      <c r="CN2513" s="78" t="n"/>
      <c r="CO2513" s="209" t="n"/>
      <c r="CP2513" s="204" t="n"/>
      <c r="CQ2513" s="204" t="n"/>
      <c r="CR2513" s="204" t="n"/>
      <c r="CS2513" s="204" t="n"/>
      <c r="CT2513" s="204" t="n"/>
      <c r="CU2513" s="204" t="n"/>
      <c r="CV2513" s="204" t="n"/>
      <c r="CW2513" s="204" t="n"/>
    </row>
    <row r="2514">
      <c r="BF2514" s="78" t="n"/>
      <c r="BG2514" s="78" t="n"/>
      <c r="BH2514" s="78" t="n"/>
      <c r="BI2514" s="78" t="n"/>
      <c r="BJ2514" s="139" t="n"/>
      <c r="BK2514" s="204" t="n"/>
      <c r="BL2514" s="141" t="n"/>
      <c r="BM2514" s="205" t="n"/>
      <c r="BN2514" s="205" t="n"/>
      <c r="BO2514" s="206" t="n"/>
      <c r="BP2514" s="144" t="n"/>
      <c r="BQ2514" s="141" t="n"/>
      <c r="BR2514" s="207" t="n"/>
      <c r="BS2514" s="207" t="n"/>
      <c r="BT2514" s="207" t="n"/>
      <c r="BU2514" s="207" t="n"/>
      <c r="BV2514" s="208" t="n"/>
      <c r="BW2514" s="207" t="n"/>
      <c r="BX2514" s="207" t="n"/>
      <c r="BY2514" s="204" t="n"/>
      <c r="BZ2514" s="148" t="n"/>
      <c r="CA2514" s="204" t="n"/>
      <c r="CB2514" s="208" t="n"/>
      <c r="CC2514" s="139" t="n"/>
      <c r="CD2514" s="204" t="n"/>
      <c r="CE2514" s="204" t="n"/>
      <c r="CF2514" s="207" t="n"/>
      <c r="CG2514" s="208" t="n"/>
      <c r="CH2514" s="207" t="n"/>
      <c r="CI2514" s="208" t="n"/>
      <c r="CJ2514" s="204" t="n"/>
      <c r="CK2514" s="208" t="n"/>
      <c r="CL2514" s="208" t="n"/>
      <c r="CM2514" s="208" t="n"/>
      <c r="CN2514" s="78" t="n"/>
      <c r="CO2514" s="209" t="n"/>
      <c r="CP2514" s="204" t="n"/>
      <c r="CQ2514" s="204" t="n"/>
      <c r="CR2514" s="204" t="n"/>
      <c r="CS2514" s="204" t="n"/>
      <c r="CT2514" s="204" t="n"/>
      <c r="CU2514" s="204" t="n"/>
      <c r="CV2514" s="204" t="n"/>
      <c r="CW2514" s="204" t="n"/>
    </row>
    <row r="2515">
      <c r="BF2515" s="78" t="n"/>
      <c r="BG2515" s="78" t="n"/>
      <c r="BH2515" s="78" t="n"/>
      <c r="BI2515" s="78" t="n"/>
      <c r="BJ2515" s="139" t="n"/>
      <c r="BK2515" s="204" t="n"/>
      <c r="BL2515" s="141" t="n"/>
      <c r="BM2515" s="205" t="n"/>
      <c r="BN2515" s="205" t="n"/>
      <c r="BO2515" s="206" t="n"/>
      <c r="BP2515" s="144" t="n"/>
      <c r="BQ2515" s="141" t="n"/>
      <c r="BR2515" s="207" t="n"/>
      <c r="BS2515" s="207" t="n"/>
      <c r="BT2515" s="207" t="n"/>
      <c r="BU2515" s="207" t="n"/>
      <c r="BV2515" s="208" t="n"/>
      <c r="BW2515" s="207" t="n"/>
      <c r="BX2515" s="207" t="n"/>
      <c r="BY2515" s="204" t="n"/>
      <c r="BZ2515" s="148" t="n"/>
      <c r="CA2515" s="204" t="n"/>
      <c r="CB2515" s="208" t="n"/>
      <c r="CC2515" s="139" t="n"/>
      <c r="CD2515" s="204" t="n"/>
      <c r="CE2515" s="204" t="n"/>
      <c r="CF2515" s="207" t="n"/>
      <c r="CG2515" s="208" t="n"/>
      <c r="CH2515" s="207" t="n"/>
      <c r="CI2515" s="208" t="n"/>
      <c r="CJ2515" s="204" t="n"/>
      <c r="CK2515" s="208" t="n"/>
      <c r="CL2515" s="208" t="n"/>
      <c r="CM2515" s="208" t="n"/>
      <c r="CN2515" s="78" t="n"/>
      <c r="CO2515" s="209" t="n"/>
      <c r="CP2515" s="204" t="n"/>
      <c r="CQ2515" s="204" t="n"/>
      <c r="CR2515" s="204" t="n"/>
      <c r="CS2515" s="204" t="n"/>
      <c r="CT2515" s="204" t="n"/>
      <c r="CU2515" s="204" t="n"/>
      <c r="CV2515" s="204" t="n"/>
      <c r="CW2515" s="204" t="n"/>
    </row>
    <row r="2516">
      <c r="BF2516" s="78" t="n"/>
      <c r="BG2516" s="78" t="n"/>
      <c r="BH2516" s="78" t="n"/>
      <c r="BI2516" s="78" t="n"/>
      <c r="BJ2516" s="139" t="n"/>
      <c r="BK2516" s="204" t="n"/>
      <c r="BL2516" s="141" t="n"/>
      <c r="BM2516" s="205" t="n"/>
      <c r="BN2516" s="205" t="n"/>
      <c r="BO2516" s="206" t="n"/>
      <c r="BP2516" s="144" t="n"/>
      <c r="BQ2516" s="141" t="n"/>
      <c r="BR2516" s="207" t="n"/>
      <c r="BS2516" s="207" t="n"/>
      <c r="BT2516" s="207" t="n"/>
      <c r="BU2516" s="207" t="n"/>
      <c r="BV2516" s="208" t="n"/>
      <c r="BW2516" s="207" t="n"/>
      <c r="BX2516" s="207" t="n"/>
      <c r="BY2516" s="204" t="n"/>
      <c r="BZ2516" s="148" t="n"/>
      <c r="CA2516" s="204" t="n"/>
      <c r="CB2516" s="208" t="n"/>
      <c r="CC2516" s="139" t="n"/>
      <c r="CD2516" s="204" t="n"/>
      <c r="CE2516" s="204" t="n"/>
      <c r="CF2516" s="207" t="n"/>
      <c r="CG2516" s="208" t="n"/>
      <c r="CH2516" s="207" t="n"/>
      <c r="CI2516" s="208" t="n"/>
      <c r="CJ2516" s="204" t="n"/>
      <c r="CK2516" s="208" t="n"/>
      <c r="CL2516" s="208" t="n"/>
      <c r="CM2516" s="208" t="n"/>
      <c r="CN2516" s="78" t="n"/>
      <c r="CO2516" s="209" t="n"/>
      <c r="CP2516" s="204" t="n"/>
      <c r="CQ2516" s="204" t="n"/>
      <c r="CR2516" s="204" t="n"/>
      <c r="CS2516" s="204" t="n"/>
      <c r="CT2516" s="204" t="n"/>
      <c r="CU2516" s="204" t="n"/>
      <c r="CV2516" s="204" t="n"/>
      <c r="CW2516" s="204" t="n"/>
    </row>
    <row r="2517">
      <c r="BF2517" s="78" t="n"/>
      <c r="BG2517" s="78" t="n"/>
      <c r="BH2517" s="78" t="n"/>
      <c r="BI2517" s="78" t="n"/>
      <c r="BJ2517" s="139" t="n"/>
      <c r="BK2517" s="204" t="n"/>
      <c r="BL2517" s="141" t="n"/>
      <c r="BM2517" s="205" t="n"/>
      <c r="BN2517" s="205" t="n"/>
      <c r="BO2517" s="206" t="n"/>
      <c r="BP2517" s="144" t="n"/>
      <c r="BQ2517" s="141" t="n"/>
      <c r="BR2517" s="207" t="n"/>
      <c r="BS2517" s="207" t="n"/>
      <c r="BT2517" s="207" t="n"/>
      <c r="BU2517" s="207" t="n"/>
      <c r="BV2517" s="208" t="n"/>
      <c r="BW2517" s="207" t="n"/>
      <c r="BX2517" s="207" t="n"/>
      <c r="BY2517" s="204" t="n"/>
      <c r="BZ2517" s="148" t="n"/>
      <c r="CA2517" s="204" t="n"/>
      <c r="CB2517" s="208" t="n"/>
      <c r="CC2517" s="139" t="n"/>
      <c r="CD2517" s="204" t="n"/>
      <c r="CE2517" s="204" t="n"/>
      <c r="CF2517" s="207" t="n"/>
      <c r="CG2517" s="208" t="n"/>
      <c r="CH2517" s="207" t="n"/>
      <c r="CI2517" s="208" t="n"/>
      <c r="CJ2517" s="204" t="n"/>
      <c r="CK2517" s="208" t="n"/>
      <c r="CL2517" s="208" t="n"/>
      <c r="CM2517" s="208" t="n"/>
      <c r="CN2517" s="78" t="n"/>
      <c r="CO2517" s="209" t="n"/>
      <c r="CP2517" s="204" t="n"/>
      <c r="CQ2517" s="204" t="n"/>
      <c r="CR2517" s="204" t="n"/>
      <c r="CS2517" s="204" t="n"/>
      <c r="CT2517" s="204" t="n"/>
      <c r="CU2517" s="204" t="n"/>
      <c r="CV2517" s="204" t="n"/>
      <c r="CW2517" s="204" t="n"/>
    </row>
    <row r="2518">
      <c r="BF2518" s="78" t="n"/>
      <c r="BG2518" s="78" t="n"/>
      <c r="BH2518" s="78" t="n"/>
      <c r="BI2518" s="78" t="n"/>
      <c r="BJ2518" s="139" t="n"/>
      <c r="BK2518" s="204" t="n"/>
      <c r="BL2518" s="141" t="n"/>
      <c r="BM2518" s="205" t="n"/>
      <c r="BN2518" s="205" t="n"/>
      <c r="BO2518" s="206" t="n"/>
      <c r="BP2518" s="144" t="n"/>
      <c r="BQ2518" s="141" t="n"/>
      <c r="BR2518" s="207" t="n"/>
      <c r="BS2518" s="207" t="n"/>
      <c r="BT2518" s="207" t="n"/>
      <c r="BU2518" s="207" t="n"/>
      <c r="BV2518" s="208" t="n"/>
      <c r="BW2518" s="207" t="n"/>
      <c r="BX2518" s="207" t="n"/>
      <c r="BY2518" s="204" t="n"/>
      <c r="BZ2518" s="148" t="n"/>
      <c r="CA2518" s="204" t="n"/>
      <c r="CB2518" s="208" t="n"/>
      <c r="CC2518" s="139" t="n"/>
      <c r="CD2518" s="204" t="n"/>
      <c r="CE2518" s="204" t="n"/>
      <c r="CF2518" s="207" t="n"/>
      <c r="CG2518" s="208" t="n"/>
      <c r="CH2518" s="207" t="n"/>
      <c r="CI2518" s="208" t="n"/>
      <c r="CJ2518" s="204" t="n"/>
      <c r="CK2518" s="208" t="n"/>
      <c r="CL2518" s="208" t="n"/>
      <c r="CM2518" s="208" t="n"/>
      <c r="CN2518" s="78" t="n"/>
      <c r="CO2518" s="209" t="n"/>
      <c r="CP2518" s="204" t="n"/>
      <c r="CQ2518" s="204" t="n"/>
      <c r="CR2518" s="204" t="n"/>
      <c r="CS2518" s="204" t="n"/>
      <c r="CT2518" s="204" t="n"/>
      <c r="CU2518" s="204" t="n"/>
      <c r="CV2518" s="204" t="n"/>
      <c r="CW2518" s="204" t="n"/>
    </row>
    <row r="2519">
      <c r="BF2519" s="78" t="n"/>
      <c r="BG2519" s="78" t="n"/>
      <c r="BH2519" s="78" t="n"/>
      <c r="BI2519" s="78" t="n"/>
      <c r="BJ2519" s="139" t="n"/>
      <c r="BK2519" s="204" t="n"/>
      <c r="BL2519" s="141" t="n"/>
      <c r="BM2519" s="205" t="n"/>
      <c r="BN2519" s="205" t="n"/>
      <c r="BO2519" s="206" t="n"/>
      <c r="BP2519" s="144" t="n"/>
      <c r="BQ2519" s="141" t="n"/>
      <c r="BR2519" s="207" t="n"/>
      <c r="BS2519" s="207" t="n"/>
      <c r="BT2519" s="207" t="n"/>
      <c r="BU2519" s="207" t="n"/>
      <c r="BV2519" s="208" t="n"/>
      <c r="BW2519" s="207" t="n"/>
      <c r="BX2519" s="207" t="n"/>
      <c r="BY2519" s="204" t="n"/>
      <c r="BZ2519" s="148" t="n"/>
      <c r="CA2519" s="204" t="n"/>
      <c r="CB2519" s="208" t="n"/>
      <c r="CC2519" s="139" t="n"/>
      <c r="CD2519" s="204" t="n"/>
      <c r="CE2519" s="204" t="n"/>
      <c r="CF2519" s="207" t="n"/>
      <c r="CG2519" s="208" t="n"/>
      <c r="CH2519" s="207" t="n"/>
      <c r="CI2519" s="208" t="n"/>
      <c r="CJ2519" s="204" t="n"/>
      <c r="CK2519" s="208" t="n"/>
      <c r="CL2519" s="208" t="n"/>
      <c r="CM2519" s="208" t="n"/>
      <c r="CN2519" s="78" t="n"/>
      <c r="CO2519" s="209" t="n"/>
      <c r="CP2519" s="204" t="n"/>
      <c r="CQ2519" s="204" t="n"/>
      <c r="CR2519" s="204" t="n"/>
      <c r="CS2519" s="204" t="n"/>
      <c r="CT2519" s="204" t="n"/>
      <c r="CU2519" s="204" t="n"/>
      <c r="CV2519" s="204" t="n"/>
      <c r="CW2519" s="204" t="n"/>
    </row>
    <row r="2520">
      <c r="BF2520" s="78" t="n"/>
      <c r="BG2520" s="78" t="n"/>
      <c r="BH2520" s="78" t="n"/>
      <c r="BI2520" s="78" t="n"/>
      <c r="BJ2520" s="139" t="n"/>
      <c r="BK2520" s="204" t="n"/>
      <c r="BL2520" s="141" t="n"/>
      <c r="BM2520" s="205" t="n"/>
      <c r="BN2520" s="205" t="n"/>
      <c r="BO2520" s="206" t="n"/>
      <c r="BP2520" s="144" t="n"/>
      <c r="BQ2520" s="141" t="n"/>
      <c r="BR2520" s="207" t="n"/>
      <c r="BS2520" s="207" t="n"/>
      <c r="BT2520" s="207" t="n"/>
      <c r="BU2520" s="207" t="n"/>
      <c r="BV2520" s="208" t="n"/>
      <c r="BW2520" s="207" t="n"/>
      <c r="BX2520" s="207" t="n"/>
      <c r="BY2520" s="204" t="n"/>
      <c r="BZ2520" s="148" t="n"/>
      <c r="CA2520" s="204" t="n"/>
      <c r="CB2520" s="208" t="n"/>
      <c r="CC2520" s="139" t="n"/>
      <c r="CD2520" s="204" t="n"/>
      <c r="CE2520" s="204" t="n"/>
      <c r="CF2520" s="207" t="n"/>
      <c r="CG2520" s="208" t="n"/>
      <c r="CH2520" s="207" t="n"/>
      <c r="CI2520" s="208" t="n"/>
      <c r="CJ2520" s="204" t="n"/>
      <c r="CK2520" s="208" t="n"/>
      <c r="CL2520" s="208" t="n"/>
      <c r="CM2520" s="208" t="n"/>
      <c r="CN2520" s="78" t="n"/>
      <c r="CO2520" s="209" t="n"/>
      <c r="CP2520" s="204" t="n"/>
      <c r="CQ2520" s="204" t="n"/>
      <c r="CR2520" s="204" t="n"/>
      <c r="CS2520" s="204" t="n"/>
      <c r="CT2520" s="204" t="n"/>
      <c r="CU2520" s="204" t="n"/>
      <c r="CV2520" s="204" t="n"/>
      <c r="CW2520" s="204" t="n"/>
    </row>
    <row r="2521">
      <c r="BF2521" s="78" t="n"/>
      <c r="BG2521" s="78" t="n"/>
      <c r="BH2521" s="78" t="n"/>
      <c r="BI2521" s="78" t="n"/>
      <c r="BJ2521" s="139" t="n"/>
      <c r="BK2521" s="204" t="n"/>
      <c r="BL2521" s="141" t="n"/>
      <c r="BM2521" s="205" t="n"/>
      <c r="BN2521" s="205" t="n"/>
      <c r="BO2521" s="206" t="n"/>
      <c r="BP2521" s="144" t="n"/>
      <c r="BQ2521" s="141" t="n"/>
      <c r="BR2521" s="207" t="n"/>
      <c r="BS2521" s="207" t="n"/>
      <c r="BT2521" s="207" t="n"/>
      <c r="BU2521" s="207" t="n"/>
      <c r="BV2521" s="208" t="n"/>
      <c r="BW2521" s="207" t="n"/>
      <c r="BX2521" s="207" t="n"/>
      <c r="BY2521" s="204" t="n"/>
      <c r="BZ2521" s="148" t="n"/>
      <c r="CA2521" s="204" t="n"/>
      <c r="CB2521" s="208" t="n"/>
      <c r="CC2521" s="139" t="n"/>
      <c r="CD2521" s="204" t="n"/>
      <c r="CE2521" s="204" t="n"/>
      <c r="CF2521" s="207" t="n"/>
      <c r="CG2521" s="208" t="n"/>
      <c r="CH2521" s="207" t="n"/>
      <c r="CI2521" s="208" t="n"/>
      <c r="CJ2521" s="204" t="n"/>
      <c r="CK2521" s="208" t="n"/>
      <c r="CL2521" s="208" t="n"/>
      <c r="CM2521" s="208" t="n"/>
      <c r="CN2521" s="78" t="n"/>
      <c r="CO2521" s="209" t="n"/>
      <c r="CP2521" s="204" t="n"/>
      <c r="CQ2521" s="204" t="n"/>
      <c r="CR2521" s="204" t="n"/>
      <c r="CS2521" s="204" t="n"/>
      <c r="CT2521" s="204" t="n"/>
      <c r="CU2521" s="204" t="n"/>
      <c r="CV2521" s="204" t="n"/>
      <c r="CW2521" s="204" t="n"/>
    </row>
    <row r="2522">
      <c r="BF2522" s="78" t="n"/>
      <c r="BG2522" s="78" t="n"/>
      <c r="BH2522" s="78" t="n"/>
      <c r="BI2522" s="78" t="n"/>
      <c r="BJ2522" s="139" t="n"/>
      <c r="BK2522" s="204" t="n"/>
      <c r="BL2522" s="141" t="n"/>
      <c r="BM2522" s="205" t="n"/>
      <c r="BN2522" s="205" t="n"/>
      <c r="BO2522" s="206" t="n"/>
      <c r="BP2522" s="144" t="n"/>
      <c r="BQ2522" s="141" t="n"/>
      <c r="BR2522" s="207" t="n"/>
      <c r="BS2522" s="207" t="n"/>
      <c r="BT2522" s="207" t="n"/>
      <c r="BU2522" s="207" t="n"/>
      <c r="BV2522" s="208" t="n"/>
      <c r="BW2522" s="207" t="n"/>
      <c r="BX2522" s="207" t="n"/>
      <c r="BY2522" s="204" t="n"/>
      <c r="BZ2522" s="148" t="n"/>
      <c r="CA2522" s="204" t="n"/>
      <c r="CB2522" s="208" t="n"/>
      <c r="CC2522" s="139" t="n"/>
      <c r="CD2522" s="204" t="n"/>
      <c r="CE2522" s="204" t="n"/>
      <c r="CF2522" s="207" t="n"/>
      <c r="CG2522" s="208" t="n"/>
      <c r="CH2522" s="207" t="n"/>
      <c r="CI2522" s="208" t="n"/>
      <c r="CJ2522" s="204" t="n"/>
      <c r="CK2522" s="208" t="n"/>
      <c r="CL2522" s="208" t="n"/>
      <c r="CM2522" s="208" t="n"/>
      <c r="CN2522" s="78" t="n"/>
      <c r="CO2522" s="209" t="n"/>
      <c r="CP2522" s="204" t="n"/>
      <c r="CQ2522" s="204" t="n"/>
      <c r="CR2522" s="204" t="n"/>
      <c r="CS2522" s="204" t="n"/>
      <c r="CT2522" s="204" t="n"/>
      <c r="CU2522" s="204" t="n"/>
      <c r="CV2522" s="204" t="n"/>
      <c r="CW2522" s="204" t="n"/>
    </row>
    <row r="2523">
      <c r="BF2523" s="78" t="n"/>
      <c r="BG2523" s="78" t="n"/>
      <c r="BH2523" s="78" t="n"/>
      <c r="BI2523" s="78" t="n"/>
      <c r="BJ2523" s="139" t="n"/>
      <c r="BK2523" s="204" t="n"/>
      <c r="BL2523" s="141" t="n"/>
      <c r="BM2523" s="205" t="n"/>
      <c r="BN2523" s="205" t="n"/>
      <c r="BO2523" s="206" t="n"/>
      <c r="BP2523" s="144" t="n"/>
      <c r="BQ2523" s="141" t="n"/>
      <c r="BR2523" s="207" t="n"/>
      <c r="BS2523" s="207" t="n"/>
      <c r="BT2523" s="207" t="n"/>
      <c r="BU2523" s="207" t="n"/>
      <c r="BV2523" s="208" t="n"/>
      <c r="BW2523" s="207" t="n"/>
      <c r="BX2523" s="207" t="n"/>
      <c r="BY2523" s="204" t="n"/>
      <c r="BZ2523" s="148" t="n"/>
      <c r="CA2523" s="204" t="n"/>
      <c r="CB2523" s="208" t="n"/>
      <c r="CC2523" s="139" t="n"/>
      <c r="CD2523" s="204" t="n"/>
      <c r="CE2523" s="204" t="n"/>
      <c r="CF2523" s="207" t="n"/>
      <c r="CG2523" s="208" t="n"/>
      <c r="CH2523" s="207" t="n"/>
      <c r="CI2523" s="208" t="n"/>
      <c r="CJ2523" s="204" t="n"/>
      <c r="CK2523" s="208" t="n"/>
      <c r="CL2523" s="208" t="n"/>
      <c r="CM2523" s="208" t="n"/>
      <c r="CN2523" s="78" t="n"/>
      <c r="CO2523" s="209" t="n"/>
      <c r="CP2523" s="204" t="n"/>
      <c r="CQ2523" s="204" t="n"/>
      <c r="CR2523" s="204" t="n"/>
      <c r="CS2523" s="204" t="n"/>
      <c r="CT2523" s="204" t="n"/>
      <c r="CU2523" s="204" t="n"/>
      <c r="CV2523" s="204" t="n"/>
      <c r="CW2523" s="204" t="n"/>
    </row>
    <row r="2524">
      <c r="BF2524" s="78" t="n"/>
      <c r="BG2524" s="78" t="n"/>
      <c r="BH2524" s="78" t="n"/>
      <c r="BI2524" s="78" t="n"/>
      <c r="BJ2524" s="139" t="n"/>
      <c r="BK2524" s="204" t="n"/>
      <c r="BL2524" s="141" t="n"/>
      <c r="BM2524" s="205" t="n"/>
      <c r="BN2524" s="205" t="n"/>
      <c r="BO2524" s="206" t="n"/>
      <c r="BP2524" s="144" t="n"/>
      <c r="BQ2524" s="141" t="n"/>
      <c r="BR2524" s="207" t="n"/>
      <c r="BS2524" s="207" t="n"/>
      <c r="BT2524" s="207" t="n"/>
      <c r="BU2524" s="207" t="n"/>
      <c r="BV2524" s="208" t="n"/>
      <c r="BW2524" s="207" t="n"/>
      <c r="BX2524" s="207" t="n"/>
      <c r="BY2524" s="204" t="n"/>
      <c r="BZ2524" s="148" t="n"/>
      <c r="CA2524" s="204" t="n"/>
      <c r="CB2524" s="208" t="n"/>
      <c r="CC2524" s="139" t="n"/>
      <c r="CD2524" s="204" t="n"/>
      <c r="CE2524" s="204" t="n"/>
      <c r="CF2524" s="207" t="n"/>
      <c r="CG2524" s="208" t="n"/>
      <c r="CH2524" s="207" t="n"/>
      <c r="CI2524" s="208" t="n"/>
      <c r="CJ2524" s="204" t="n"/>
      <c r="CK2524" s="208" t="n"/>
      <c r="CL2524" s="208" t="n"/>
      <c r="CM2524" s="208" t="n"/>
      <c r="CN2524" s="78" t="n"/>
      <c r="CO2524" s="209" t="n"/>
      <c r="CP2524" s="204" t="n"/>
      <c r="CQ2524" s="204" t="n"/>
      <c r="CR2524" s="204" t="n"/>
      <c r="CS2524" s="204" t="n"/>
      <c r="CT2524" s="204" t="n"/>
      <c r="CU2524" s="204" t="n"/>
      <c r="CV2524" s="204" t="n"/>
      <c r="CW2524" s="204" t="n"/>
    </row>
    <row r="2525">
      <c r="BF2525" s="78" t="n"/>
      <c r="BG2525" s="78" t="n"/>
      <c r="BH2525" s="78" t="n"/>
      <c r="BI2525" s="78" t="n"/>
      <c r="BJ2525" s="139" t="n"/>
      <c r="BK2525" s="204" t="n"/>
      <c r="BL2525" s="141" t="n"/>
      <c r="BM2525" s="205" t="n"/>
      <c r="BN2525" s="205" t="n"/>
      <c r="BO2525" s="206" t="n"/>
      <c r="BP2525" s="144" t="n"/>
      <c r="BQ2525" s="141" t="n"/>
      <c r="BR2525" s="207" t="n"/>
      <c r="BS2525" s="207" t="n"/>
      <c r="BT2525" s="207" t="n"/>
      <c r="BU2525" s="207" t="n"/>
      <c r="BV2525" s="208" t="n"/>
      <c r="BW2525" s="207" t="n"/>
      <c r="BX2525" s="207" t="n"/>
      <c r="BY2525" s="204" t="n"/>
      <c r="BZ2525" s="148" t="n"/>
      <c r="CA2525" s="204" t="n"/>
      <c r="CB2525" s="208" t="n"/>
      <c r="CC2525" s="139" t="n"/>
      <c r="CD2525" s="204" t="n"/>
      <c r="CE2525" s="204" t="n"/>
      <c r="CF2525" s="207" t="n"/>
      <c r="CG2525" s="208" t="n"/>
      <c r="CH2525" s="207" t="n"/>
      <c r="CI2525" s="208" t="n"/>
      <c r="CJ2525" s="204" t="n"/>
      <c r="CK2525" s="208" t="n"/>
      <c r="CL2525" s="208" t="n"/>
      <c r="CM2525" s="208" t="n"/>
      <c r="CN2525" s="78" t="n"/>
      <c r="CO2525" s="209" t="n"/>
      <c r="CP2525" s="204" t="n"/>
      <c r="CQ2525" s="204" t="n"/>
      <c r="CR2525" s="204" t="n"/>
      <c r="CS2525" s="204" t="n"/>
      <c r="CT2525" s="204" t="n"/>
      <c r="CU2525" s="204" t="n"/>
      <c r="CV2525" s="204" t="n"/>
      <c r="CW2525" s="204" t="n"/>
    </row>
    <row r="2526">
      <c r="BF2526" s="78" t="n"/>
      <c r="BG2526" s="78" t="n"/>
      <c r="BH2526" s="78" t="n"/>
      <c r="BI2526" s="78" t="n"/>
      <c r="BJ2526" s="139" t="n"/>
      <c r="BK2526" s="204" t="n"/>
      <c r="BL2526" s="141" t="n"/>
      <c r="BM2526" s="205" t="n"/>
      <c r="BN2526" s="205" t="n"/>
      <c r="BO2526" s="206" t="n"/>
      <c r="BP2526" s="144" t="n"/>
      <c r="BQ2526" s="141" t="n"/>
      <c r="BR2526" s="207" t="n"/>
      <c r="BS2526" s="207" t="n"/>
      <c r="BT2526" s="207" t="n"/>
      <c r="BU2526" s="207" t="n"/>
      <c r="BV2526" s="208" t="n"/>
      <c r="BW2526" s="207" t="n"/>
      <c r="BX2526" s="207" t="n"/>
      <c r="BY2526" s="204" t="n"/>
      <c r="BZ2526" s="148" t="n"/>
      <c r="CA2526" s="204" t="n"/>
      <c r="CB2526" s="208" t="n"/>
      <c r="CC2526" s="139" t="n"/>
      <c r="CD2526" s="204" t="n"/>
      <c r="CE2526" s="204" t="n"/>
      <c r="CF2526" s="207" t="n"/>
      <c r="CG2526" s="208" t="n"/>
      <c r="CH2526" s="207" t="n"/>
      <c r="CI2526" s="208" t="n"/>
      <c r="CJ2526" s="204" t="n"/>
      <c r="CK2526" s="208" t="n"/>
      <c r="CL2526" s="208" t="n"/>
      <c r="CM2526" s="208" t="n"/>
      <c r="CN2526" s="78" t="n"/>
      <c r="CO2526" s="209" t="n"/>
      <c r="CP2526" s="204" t="n"/>
      <c r="CQ2526" s="204" t="n"/>
      <c r="CR2526" s="204" t="n"/>
      <c r="CS2526" s="204" t="n"/>
      <c r="CT2526" s="204" t="n"/>
      <c r="CU2526" s="204" t="n"/>
      <c r="CV2526" s="204" t="n"/>
      <c r="CW2526" s="204" t="n"/>
    </row>
    <row r="2527">
      <c r="BF2527" s="78" t="n"/>
      <c r="BG2527" s="78" t="n"/>
      <c r="BH2527" s="78" t="n"/>
      <c r="BI2527" s="78" t="n"/>
      <c r="BJ2527" s="139" t="n"/>
      <c r="BK2527" s="204" t="n"/>
      <c r="BL2527" s="141" t="n"/>
      <c r="BM2527" s="205" t="n"/>
      <c r="BN2527" s="205" t="n"/>
      <c r="BO2527" s="206" t="n"/>
      <c r="BP2527" s="144" t="n"/>
      <c r="BQ2527" s="141" t="n"/>
      <c r="BR2527" s="207" t="n"/>
      <c r="BS2527" s="207" t="n"/>
      <c r="BT2527" s="207" t="n"/>
      <c r="BU2527" s="207" t="n"/>
      <c r="BV2527" s="208" t="n"/>
      <c r="BW2527" s="207" t="n"/>
      <c r="BX2527" s="207" t="n"/>
      <c r="BY2527" s="204" t="n"/>
      <c r="BZ2527" s="148" t="n"/>
      <c r="CA2527" s="204" t="n"/>
      <c r="CB2527" s="208" t="n"/>
      <c r="CC2527" s="139" t="n"/>
      <c r="CD2527" s="204" t="n"/>
      <c r="CE2527" s="204" t="n"/>
      <c r="CF2527" s="207" t="n"/>
      <c r="CG2527" s="208" t="n"/>
      <c r="CH2527" s="207" t="n"/>
      <c r="CI2527" s="208" t="n"/>
      <c r="CJ2527" s="204" t="n"/>
      <c r="CK2527" s="208" t="n"/>
      <c r="CL2527" s="208" t="n"/>
      <c r="CM2527" s="208" t="n"/>
      <c r="CN2527" s="78" t="n"/>
      <c r="CO2527" s="209" t="n"/>
      <c r="CP2527" s="204" t="n"/>
      <c r="CQ2527" s="204" t="n"/>
      <c r="CR2527" s="204" t="n"/>
      <c r="CS2527" s="204" t="n"/>
      <c r="CT2527" s="204" t="n"/>
      <c r="CU2527" s="204" t="n"/>
      <c r="CV2527" s="204" t="n"/>
      <c r="CW2527" s="204" t="n"/>
    </row>
    <row r="2528">
      <c r="BF2528" s="78" t="n"/>
      <c r="BG2528" s="78" t="n"/>
      <c r="BH2528" s="78" t="n"/>
      <c r="BI2528" s="78" t="n"/>
      <c r="BJ2528" s="139" t="n"/>
      <c r="BK2528" s="204" t="n"/>
      <c r="BL2528" s="141" t="n"/>
      <c r="BM2528" s="205" t="n"/>
      <c r="BN2528" s="205" t="n"/>
      <c r="BO2528" s="206" t="n"/>
      <c r="BP2528" s="144" t="n"/>
      <c r="BQ2528" s="141" t="n"/>
      <c r="BR2528" s="207" t="n"/>
      <c r="BS2528" s="207" t="n"/>
      <c r="BT2528" s="207" t="n"/>
      <c r="BU2528" s="207" t="n"/>
      <c r="BV2528" s="208" t="n"/>
      <c r="BW2528" s="207" t="n"/>
      <c r="BX2528" s="207" t="n"/>
      <c r="BY2528" s="204" t="n"/>
      <c r="BZ2528" s="148" t="n"/>
      <c r="CA2528" s="204" t="n"/>
      <c r="CB2528" s="208" t="n"/>
      <c r="CC2528" s="139" t="n"/>
      <c r="CD2528" s="204" t="n"/>
      <c r="CE2528" s="204" t="n"/>
      <c r="CF2528" s="207" t="n"/>
      <c r="CG2528" s="208" t="n"/>
      <c r="CH2528" s="207" t="n"/>
      <c r="CI2528" s="208" t="n"/>
      <c r="CJ2528" s="204" t="n"/>
      <c r="CK2528" s="208" t="n"/>
      <c r="CL2528" s="208" t="n"/>
      <c r="CM2528" s="208" t="n"/>
      <c r="CN2528" s="78" t="n"/>
      <c r="CO2528" s="209" t="n"/>
      <c r="CP2528" s="204" t="n"/>
      <c r="CQ2528" s="204" t="n"/>
      <c r="CR2528" s="204" t="n"/>
      <c r="CS2528" s="204" t="n"/>
      <c r="CT2528" s="204" t="n"/>
      <c r="CU2528" s="204" t="n"/>
      <c r="CV2528" s="204" t="n"/>
      <c r="CW2528" s="204" t="n"/>
    </row>
    <row r="2529">
      <c r="BF2529" s="78" t="n"/>
      <c r="BG2529" s="78" t="n"/>
      <c r="BH2529" s="78" t="n"/>
      <c r="BI2529" s="78" t="n"/>
      <c r="BJ2529" s="139" t="n"/>
      <c r="BK2529" s="204" t="n"/>
      <c r="BL2529" s="141" t="n"/>
      <c r="BM2529" s="205" t="n"/>
      <c r="BN2529" s="205" t="n"/>
      <c r="BO2529" s="206" t="n"/>
      <c r="BP2529" s="144" t="n"/>
      <c r="BQ2529" s="141" t="n"/>
      <c r="BR2529" s="207" t="n"/>
      <c r="BS2529" s="207" t="n"/>
      <c r="BT2529" s="207" t="n"/>
      <c r="BU2529" s="207" t="n"/>
      <c r="BV2529" s="208" t="n"/>
      <c r="BW2529" s="207" t="n"/>
      <c r="BX2529" s="207" t="n"/>
      <c r="BY2529" s="204" t="n"/>
      <c r="BZ2529" s="148" t="n"/>
      <c r="CA2529" s="204" t="n"/>
      <c r="CB2529" s="208" t="n"/>
      <c r="CC2529" s="139" t="n"/>
      <c r="CD2529" s="204" t="n"/>
      <c r="CE2529" s="204" t="n"/>
      <c r="CF2529" s="207" t="n"/>
      <c r="CG2529" s="208" t="n"/>
      <c r="CH2529" s="207" t="n"/>
      <c r="CI2529" s="208" t="n"/>
      <c r="CJ2529" s="204" t="n"/>
      <c r="CK2529" s="208" t="n"/>
      <c r="CL2529" s="208" t="n"/>
      <c r="CM2529" s="208" t="n"/>
      <c r="CN2529" s="78" t="n"/>
      <c r="CO2529" s="209" t="n"/>
      <c r="CP2529" s="204" t="n"/>
      <c r="CQ2529" s="204" t="n"/>
      <c r="CR2529" s="204" t="n"/>
      <c r="CS2529" s="204" t="n"/>
      <c r="CT2529" s="204" t="n"/>
      <c r="CU2529" s="204" t="n"/>
      <c r="CV2529" s="204" t="n"/>
      <c r="CW2529" s="204" t="n"/>
    </row>
    <row r="2530">
      <c r="BF2530" s="78" t="n"/>
      <c r="BG2530" s="78" t="n"/>
      <c r="BH2530" s="78" t="n"/>
      <c r="BI2530" s="78" t="n"/>
      <c r="BJ2530" s="139" t="n"/>
      <c r="BK2530" s="204" t="n"/>
      <c r="BL2530" s="141" t="n"/>
      <c r="BM2530" s="205" t="n"/>
      <c r="BN2530" s="205" t="n"/>
      <c r="BO2530" s="206" t="n"/>
      <c r="BP2530" s="144" t="n"/>
      <c r="BQ2530" s="141" t="n"/>
      <c r="BR2530" s="207" t="n"/>
      <c r="BS2530" s="207" t="n"/>
      <c r="BT2530" s="207" t="n"/>
      <c r="BU2530" s="207" t="n"/>
      <c r="BV2530" s="208" t="n"/>
      <c r="BW2530" s="207" t="n"/>
      <c r="BX2530" s="207" t="n"/>
      <c r="BY2530" s="204" t="n"/>
      <c r="BZ2530" s="148" t="n"/>
      <c r="CA2530" s="204" t="n"/>
      <c r="CB2530" s="208" t="n"/>
      <c r="CC2530" s="139" t="n"/>
      <c r="CD2530" s="204" t="n"/>
      <c r="CE2530" s="204" t="n"/>
      <c r="CF2530" s="207" t="n"/>
      <c r="CG2530" s="208" t="n"/>
      <c r="CH2530" s="207" t="n"/>
      <c r="CI2530" s="208" t="n"/>
      <c r="CJ2530" s="204" t="n"/>
      <c r="CK2530" s="208" t="n"/>
      <c r="CL2530" s="208" t="n"/>
      <c r="CM2530" s="208" t="n"/>
      <c r="CN2530" s="78" t="n"/>
      <c r="CO2530" s="209" t="n"/>
      <c r="CP2530" s="204" t="n"/>
      <c r="CQ2530" s="204" t="n"/>
      <c r="CR2530" s="204" t="n"/>
      <c r="CS2530" s="204" t="n"/>
      <c r="CT2530" s="204" t="n"/>
      <c r="CU2530" s="204" t="n"/>
      <c r="CV2530" s="204" t="n"/>
      <c r="CW2530" s="204" t="n"/>
    </row>
    <row r="2531">
      <c r="BF2531" s="78" t="n"/>
      <c r="BG2531" s="78" t="n"/>
      <c r="BH2531" s="78" t="n"/>
      <c r="BI2531" s="78" t="n"/>
      <c r="BJ2531" s="139" t="n"/>
      <c r="BK2531" s="204" t="n"/>
      <c r="BL2531" s="141" t="n"/>
      <c r="BM2531" s="205" t="n"/>
      <c r="BN2531" s="205" t="n"/>
      <c r="BO2531" s="206" t="n"/>
      <c r="BP2531" s="144" t="n"/>
      <c r="BQ2531" s="141" t="n"/>
      <c r="BR2531" s="207" t="n"/>
      <c r="BS2531" s="207" t="n"/>
      <c r="BT2531" s="207" t="n"/>
      <c r="BU2531" s="207" t="n"/>
      <c r="BV2531" s="208" t="n"/>
      <c r="BW2531" s="207" t="n"/>
      <c r="BX2531" s="207" t="n"/>
      <c r="BY2531" s="204" t="n"/>
      <c r="BZ2531" s="148" t="n"/>
      <c r="CA2531" s="204" t="n"/>
      <c r="CB2531" s="208" t="n"/>
      <c r="CC2531" s="139" t="n"/>
      <c r="CD2531" s="204" t="n"/>
      <c r="CE2531" s="204" t="n"/>
      <c r="CF2531" s="207" t="n"/>
      <c r="CG2531" s="208" t="n"/>
      <c r="CH2531" s="207" t="n"/>
      <c r="CI2531" s="208" t="n"/>
      <c r="CJ2531" s="204" t="n"/>
      <c r="CK2531" s="208" t="n"/>
      <c r="CL2531" s="208" t="n"/>
      <c r="CM2531" s="208" t="n"/>
      <c r="CN2531" s="78" t="n"/>
      <c r="CO2531" s="209" t="n"/>
      <c r="CP2531" s="204" t="n"/>
      <c r="CQ2531" s="204" t="n"/>
      <c r="CR2531" s="204" t="n"/>
      <c r="CS2531" s="204" t="n"/>
      <c r="CT2531" s="204" t="n"/>
      <c r="CU2531" s="204" t="n"/>
      <c r="CV2531" s="204" t="n"/>
      <c r="CW2531" s="204" t="n"/>
    </row>
    <row r="2532">
      <c r="BF2532" s="78" t="n"/>
      <c r="BG2532" s="78" t="n"/>
      <c r="BH2532" s="78" t="n"/>
      <c r="BI2532" s="78" t="n"/>
      <c r="BJ2532" s="139" t="n"/>
      <c r="BK2532" s="204" t="n"/>
      <c r="BL2532" s="141" t="n"/>
      <c r="BM2532" s="205" t="n"/>
      <c r="BN2532" s="205" t="n"/>
      <c r="BO2532" s="206" t="n"/>
      <c r="BP2532" s="144" t="n"/>
      <c r="BQ2532" s="141" t="n"/>
      <c r="BR2532" s="207" t="n"/>
      <c r="BS2532" s="207" t="n"/>
      <c r="BT2532" s="207" t="n"/>
      <c r="BU2532" s="207" t="n"/>
      <c r="BV2532" s="208" t="n"/>
      <c r="BW2532" s="207" t="n"/>
      <c r="BX2532" s="207" t="n"/>
      <c r="BY2532" s="204" t="n"/>
      <c r="BZ2532" s="148" t="n"/>
      <c r="CA2532" s="204" t="n"/>
      <c r="CB2532" s="208" t="n"/>
      <c r="CC2532" s="139" t="n"/>
      <c r="CD2532" s="204" t="n"/>
      <c r="CE2532" s="204" t="n"/>
      <c r="CF2532" s="207" t="n"/>
      <c r="CG2532" s="208" t="n"/>
      <c r="CH2532" s="207" t="n"/>
      <c r="CI2532" s="208" t="n"/>
      <c r="CJ2532" s="204" t="n"/>
      <c r="CK2532" s="208" t="n"/>
      <c r="CL2532" s="208" t="n"/>
      <c r="CM2532" s="208" t="n"/>
      <c r="CN2532" s="78" t="n"/>
      <c r="CO2532" s="209" t="n"/>
      <c r="CP2532" s="204" t="n"/>
      <c r="CQ2532" s="204" t="n"/>
      <c r="CR2532" s="204" t="n"/>
      <c r="CS2532" s="204" t="n"/>
      <c r="CT2532" s="204" t="n"/>
      <c r="CU2532" s="204" t="n"/>
      <c r="CV2532" s="204" t="n"/>
      <c r="CW2532" s="204" t="n"/>
    </row>
    <row r="2533">
      <c r="BF2533" s="78" t="n"/>
      <c r="BG2533" s="78" t="n"/>
      <c r="BH2533" s="78" t="n"/>
      <c r="BI2533" s="78" t="n"/>
      <c r="BJ2533" s="139" t="n"/>
      <c r="BK2533" s="204" t="n"/>
      <c r="BL2533" s="141" t="n"/>
      <c r="BM2533" s="205" t="n"/>
      <c r="BN2533" s="205" t="n"/>
      <c r="BO2533" s="206" t="n"/>
      <c r="BP2533" s="144" t="n"/>
      <c r="BQ2533" s="141" t="n"/>
      <c r="BR2533" s="207" t="n"/>
      <c r="BS2533" s="207" t="n"/>
      <c r="BT2533" s="207" t="n"/>
      <c r="BU2533" s="207" t="n"/>
      <c r="BV2533" s="208" t="n"/>
      <c r="BW2533" s="207" t="n"/>
      <c r="BX2533" s="207" t="n"/>
      <c r="BY2533" s="204" t="n"/>
      <c r="BZ2533" s="148" t="n"/>
      <c r="CA2533" s="204" t="n"/>
      <c r="CB2533" s="208" t="n"/>
      <c r="CC2533" s="139" t="n"/>
      <c r="CD2533" s="204" t="n"/>
      <c r="CE2533" s="204" t="n"/>
      <c r="CF2533" s="207" t="n"/>
      <c r="CG2533" s="208" t="n"/>
      <c r="CH2533" s="207" t="n"/>
      <c r="CI2533" s="208" t="n"/>
      <c r="CJ2533" s="204" t="n"/>
      <c r="CK2533" s="208" t="n"/>
      <c r="CL2533" s="208" t="n"/>
      <c r="CM2533" s="208" t="n"/>
      <c r="CN2533" s="78" t="n"/>
      <c r="CO2533" s="209" t="n"/>
      <c r="CP2533" s="204" t="n"/>
      <c r="CQ2533" s="204" t="n"/>
      <c r="CR2533" s="204" t="n"/>
      <c r="CS2533" s="204" t="n"/>
      <c r="CT2533" s="204" t="n"/>
      <c r="CU2533" s="204" t="n"/>
      <c r="CV2533" s="204" t="n"/>
      <c r="CW2533" s="204" t="n"/>
    </row>
    <row r="2534">
      <c r="BF2534" s="78" t="n"/>
      <c r="BG2534" s="78" t="n"/>
      <c r="BH2534" s="78" t="n"/>
      <c r="BI2534" s="78" t="n"/>
      <c r="BJ2534" s="139" t="n"/>
      <c r="BK2534" s="204" t="n"/>
      <c r="BL2534" s="141" t="n"/>
      <c r="BM2534" s="205" t="n"/>
      <c r="BN2534" s="205" t="n"/>
      <c r="BO2534" s="206" t="n"/>
      <c r="BP2534" s="144" t="n"/>
      <c r="BQ2534" s="141" t="n"/>
      <c r="BR2534" s="207" t="n"/>
      <c r="BS2534" s="207" t="n"/>
      <c r="BT2534" s="207" t="n"/>
      <c r="BU2534" s="207" t="n"/>
      <c r="BV2534" s="208" t="n"/>
      <c r="BW2534" s="207" t="n"/>
      <c r="BX2534" s="207" t="n"/>
      <c r="BY2534" s="204" t="n"/>
      <c r="BZ2534" s="148" t="n"/>
      <c r="CA2534" s="204" t="n"/>
      <c r="CB2534" s="208" t="n"/>
      <c r="CC2534" s="139" t="n"/>
      <c r="CD2534" s="204" t="n"/>
      <c r="CE2534" s="204" t="n"/>
      <c r="CF2534" s="207" t="n"/>
      <c r="CG2534" s="208" t="n"/>
      <c r="CH2534" s="207" t="n"/>
      <c r="CI2534" s="208" t="n"/>
      <c r="CJ2534" s="204" t="n"/>
      <c r="CK2534" s="208" t="n"/>
      <c r="CL2534" s="208" t="n"/>
      <c r="CM2534" s="208" t="n"/>
      <c r="CN2534" s="78" t="n"/>
      <c r="CO2534" s="209" t="n"/>
      <c r="CP2534" s="204" t="n"/>
      <c r="CQ2534" s="204" t="n"/>
      <c r="CR2534" s="204" t="n"/>
      <c r="CS2534" s="204" t="n"/>
      <c r="CT2534" s="204" t="n"/>
      <c r="CU2534" s="204" t="n"/>
      <c r="CV2534" s="204" t="n"/>
      <c r="CW2534" s="204" t="n"/>
    </row>
    <row r="2535">
      <c r="BF2535" s="78" t="n"/>
      <c r="BG2535" s="78" t="n"/>
      <c r="BH2535" s="78" t="n"/>
      <c r="BI2535" s="78" t="n"/>
      <c r="BJ2535" s="139" t="n"/>
      <c r="BK2535" s="204" t="n"/>
      <c r="BL2535" s="141" t="n"/>
      <c r="BM2535" s="205" t="n"/>
      <c r="BN2535" s="205" t="n"/>
      <c r="BO2535" s="206" t="n"/>
      <c r="BP2535" s="144" t="n"/>
      <c r="BQ2535" s="141" t="n"/>
      <c r="BR2535" s="207" t="n"/>
      <c r="BS2535" s="207" t="n"/>
      <c r="BT2535" s="207" t="n"/>
      <c r="BU2535" s="207" t="n"/>
      <c r="BV2535" s="208" t="n"/>
      <c r="BW2535" s="207" t="n"/>
      <c r="BX2535" s="207" t="n"/>
      <c r="BY2535" s="204" t="n"/>
      <c r="BZ2535" s="148" t="n"/>
      <c r="CA2535" s="204" t="n"/>
      <c r="CB2535" s="208" t="n"/>
      <c r="CC2535" s="139" t="n"/>
      <c r="CD2535" s="204" t="n"/>
      <c r="CE2535" s="204" t="n"/>
      <c r="CF2535" s="207" t="n"/>
      <c r="CG2535" s="208" t="n"/>
      <c r="CH2535" s="207" t="n"/>
      <c r="CI2535" s="208" t="n"/>
      <c r="CJ2535" s="204" t="n"/>
      <c r="CK2535" s="208" t="n"/>
      <c r="CL2535" s="208" t="n"/>
      <c r="CM2535" s="208" t="n"/>
      <c r="CN2535" s="78" t="n"/>
      <c r="CO2535" s="209" t="n"/>
      <c r="CP2535" s="204" t="n"/>
      <c r="CQ2535" s="204" t="n"/>
      <c r="CR2535" s="204" t="n"/>
      <c r="CS2535" s="204" t="n"/>
      <c r="CT2535" s="204" t="n"/>
      <c r="CU2535" s="204" t="n"/>
      <c r="CV2535" s="204" t="n"/>
      <c r="CW2535" s="204" t="n"/>
    </row>
    <row r="2536">
      <c r="BF2536" s="78" t="n"/>
      <c r="BG2536" s="78" t="n"/>
      <c r="BH2536" s="78" t="n"/>
      <c r="BI2536" s="78" t="n"/>
      <c r="BJ2536" s="139" t="n"/>
      <c r="BK2536" s="204" t="n"/>
      <c r="BL2536" s="141" t="n"/>
      <c r="BM2536" s="205" t="n"/>
      <c r="BN2536" s="205" t="n"/>
      <c r="BO2536" s="206" t="n"/>
      <c r="BP2536" s="144" t="n"/>
      <c r="BQ2536" s="141" t="n"/>
      <c r="BR2536" s="207" t="n"/>
      <c r="BS2536" s="207" t="n"/>
      <c r="BT2536" s="207" t="n"/>
      <c r="BU2536" s="207" t="n"/>
      <c r="BV2536" s="208" t="n"/>
      <c r="BW2536" s="207" t="n"/>
      <c r="BX2536" s="207" t="n"/>
      <c r="BY2536" s="204" t="n"/>
      <c r="BZ2536" s="148" t="n"/>
      <c r="CA2536" s="204" t="n"/>
      <c r="CB2536" s="208" t="n"/>
      <c r="CC2536" s="139" t="n"/>
      <c r="CD2536" s="204" t="n"/>
      <c r="CE2536" s="204" t="n"/>
      <c r="CF2536" s="207" t="n"/>
      <c r="CG2536" s="208" t="n"/>
      <c r="CH2536" s="207" t="n"/>
      <c r="CI2536" s="208" t="n"/>
      <c r="CJ2536" s="204" t="n"/>
      <c r="CK2536" s="208" t="n"/>
      <c r="CL2536" s="208" t="n"/>
      <c r="CM2536" s="208" t="n"/>
      <c r="CN2536" s="78" t="n"/>
      <c r="CO2536" s="209" t="n"/>
      <c r="CP2536" s="204" t="n"/>
      <c r="CQ2536" s="204" t="n"/>
      <c r="CR2536" s="204" t="n"/>
      <c r="CS2536" s="204" t="n"/>
      <c r="CT2536" s="204" t="n"/>
      <c r="CU2536" s="204" t="n"/>
      <c r="CV2536" s="204" t="n"/>
      <c r="CW2536" s="204" t="n"/>
    </row>
    <row r="2537">
      <c r="BF2537" s="78" t="n"/>
      <c r="BG2537" s="78" t="n"/>
      <c r="BH2537" s="78" t="n"/>
      <c r="BI2537" s="78" t="n"/>
      <c r="BJ2537" s="139" t="n"/>
      <c r="BK2537" s="204" t="n"/>
      <c r="BL2537" s="141" t="n"/>
      <c r="BM2537" s="205" t="n"/>
      <c r="BN2537" s="205" t="n"/>
      <c r="BO2537" s="206" t="n"/>
      <c r="BP2537" s="144" t="n"/>
      <c r="BQ2537" s="141" t="n"/>
      <c r="BR2537" s="207" t="n"/>
      <c r="BS2537" s="207" t="n"/>
      <c r="BT2537" s="207" t="n"/>
      <c r="BU2537" s="207" t="n"/>
      <c r="BV2537" s="208" t="n"/>
      <c r="BW2537" s="207" t="n"/>
      <c r="BX2537" s="207" t="n"/>
      <c r="BY2537" s="204" t="n"/>
      <c r="BZ2537" s="148" t="n"/>
      <c r="CA2537" s="204" t="n"/>
      <c r="CB2537" s="208" t="n"/>
      <c r="CC2537" s="139" t="n"/>
      <c r="CD2537" s="204" t="n"/>
      <c r="CE2537" s="204" t="n"/>
      <c r="CF2537" s="207" t="n"/>
      <c r="CG2537" s="208" t="n"/>
      <c r="CH2537" s="207" t="n"/>
      <c r="CI2537" s="208" t="n"/>
      <c r="CJ2537" s="204" t="n"/>
      <c r="CK2537" s="208" t="n"/>
      <c r="CL2537" s="208" t="n"/>
      <c r="CM2537" s="208" t="n"/>
      <c r="CN2537" s="78" t="n"/>
      <c r="CO2537" s="209" t="n"/>
      <c r="CP2537" s="204" t="n"/>
      <c r="CQ2537" s="204" t="n"/>
      <c r="CR2537" s="204" t="n"/>
      <c r="CS2537" s="204" t="n"/>
      <c r="CT2537" s="204" t="n"/>
      <c r="CU2537" s="204" t="n"/>
      <c r="CV2537" s="204" t="n"/>
      <c r="CW2537" s="204" t="n"/>
    </row>
    <row r="2538">
      <c r="BF2538" s="78" t="n"/>
      <c r="BG2538" s="78" t="n"/>
      <c r="BH2538" s="78" t="n"/>
      <c r="BI2538" s="78" t="n"/>
      <c r="BJ2538" s="139" t="n"/>
      <c r="BK2538" s="204" t="n"/>
      <c r="BL2538" s="141" t="n"/>
      <c r="BM2538" s="205" t="n"/>
      <c r="BN2538" s="205" t="n"/>
      <c r="BO2538" s="206" t="n"/>
      <c r="BP2538" s="144" t="n"/>
      <c r="BQ2538" s="141" t="n"/>
      <c r="BR2538" s="207" t="n"/>
      <c r="BS2538" s="207" t="n"/>
      <c r="BT2538" s="207" t="n"/>
      <c r="BU2538" s="207" t="n"/>
      <c r="BV2538" s="208" t="n"/>
      <c r="BW2538" s="207" t="n"/>
      <c r="BX2538" s="207" t="n"/>
      <c r="BY2538" s="204" t="n"/>
      <c r="BZ2538" s="148" t="n"/>
      <c r="CA2538" s="204" t="n"/>
      <c r="CB2538" s="208" t="n"/>
      <c r="CC2538" s="139" t="n"/>
      <c r="CD2538" s="204" t="n"/>
      <c r="CE2538" s="204" t="n"/>
      <c r="CF2538" s="207" t="n"/>
      <c r="CG2538" s="208" t="n"/>
      <c r="CH2538" s="207" t="n"/>
      <c r="CI2538" s="208" t="n"/>
      <c r="CJ2538" s="204" t="n"/>
      <c r="CK2538" s="208" t="n"/>
      <c r="CL2538" s="208" t="n"/>
      <c r="CM2538" s="208" t="n"/>
      <c r="CN2538" s="78" t="n"/>
      <c r="CO2538" s="209" t="n"/>
      <c r="CP2538" s="204" t="n"/>
      <c r="CQ2538" s="204" t="n"/>
      <c r="CR2538" s="204" t="n"/>
      <c r="CS2538" s="204" t="n"/>
      <c r="CT2538" s="204" t="n"/>
      <c r="CU2538" s="204" t="n"/>
      <c r="CV2538" s="204" t="n"/>
      <c r="CW2538" s="204" t="n"/>
    </row>
    <row r="2539">
      <c r="BF2539" s="78" t="n"/>
      <c r="BG2539" s="78" t="n"/>
      <c r="BH2539" s="78" t="n"/>
      <c r="BI2539" s="78" t="n"/>
      <c r="BJ2539" s="139" t="n"/>
      <c r="BK2539" s="204" t="n"/>
      <c r="BL2539" s="141" t="n"/>
      <c r="BM2539" s="205" t="n"/>
      <c r="BN2539" s="205" t="n"/>
      <c r="BO2539" s="206" t="n"/>
      <c r="BP2539" s="144" t="n"/>
      <c r="BQ2539" s="141" t="n"/>
      <c r="BR2539" s="207" t="n"/>
      <c r="BS2539" s="207" t="n"/>
      <c r="BT2539" s="207" t="n"/>
      <c r="BU2539" s="207" t="n"/>
      <c r="BV2539" s="208" t="n"/>
      <c r="BW2539" s="207" t="n"/>
      <c r="BX2539" s="207" t="n"/>
      <c r="BY2539" s="204" t="n"/>
      <c r="BZ2539" s="148" t="n"/>
      <c r="CA2539" s="204" t="n"/>
      <c r="CB2539" s="208" t="n"/>
      <c r="CC2539" s="139" t="n"/>
      <c r="CD2539" s="204" t="n"/>
      <c r="CE2539" s="204" t="n"/>
      <c r="CF2539" s="207" t="n"/>
      <c r="CG2539" s="208" t="n"/>
      <c r="CH2539" s="207" t="n"/>
      <c r="CI2539" s="208" t="n"/>
      <c r="CJ2539" s="204" t="n"/>
      <c r="CK2539" s="208" t="n"/>
      <c r="CL2539" s="208" t="n"/>
      <c r="CM2539" s="208" t="n"/>
      <c r="CN2539" s="78" t="n"/>
      <c r="CO2539" s="209" t="n"/>
      <c r="CP2539" s="204" t="n"/>
      <c r="CQ2539" s="204" t="n"/>
      <c r="CR2539" s="204" t="n"/>
      <c r="CS2539" s="204" t="n"/>
      <c r="CT2539" s="204" t="n"/>
      <c r="CU2539" s="204" t="n"/>
      <c r="CV2539" s="204" t="n"/>
      <c r="CW2539" s="204" t="n"/>
    </row>
    <row r="2540">
      <c r="BF2540" s="78" t="n"/>
      <c r="BG2540" s="78" t="n"/>
      <c r="BH2540" s="78" t="n"/>
      <c r="BI2540" s="78" t="n"/>
      <c r="BJ2540" s="139" t="n"/>
      <c r="BK2540" s="204" t="n"/>
      <c r="BL2540" s="141" t="n"/>
      <c r="BM2540" s="205" t="n"/>
      <c r="BN2540" s="205" t="n"/>
      <c r="BO2540" s="206" t="n"/>
      <c r="BP2540" s="144" t="n"/>
      <c r="BQ2540" s="141" t="n"/>
      <c r="BR2540" s="207" t="n"/>
      <c r="BS2540" s="207" t="n"/>
      <c r="BT2540" s="207" t="n"/>
      <c r="BU2540" s="207" t="n"/>
      <c r="BV2540" s="208" t="n"/>
      <c r="BW2540" s="207" t="n"/>
      <c r="BX2540" s="207" t="n"/>
      <c r="BY2540" s="204" t="n"/>
      <c r="BZ2540" s="148" t="n"/>
      <c r="CA2540" s="204" t="n"/>
      <c r="CB2540" s="208" t="n"/>
      <c r="CC2540" s="139" t="n"/>
      <c r="CD2540" s="204" t="n"/>
      <c r="CE2540" s="204" t="n"/>
      <c r="CF2540" s="207" t="n"/>
      <c r="CG2540" s="208" t="n"/>
      <c r="CH2540" s="207" t="n"/>
      <c r="CI2540" s="208" t="n"/>
      <c r="CJ2540" s="204" t="n"/>
      <c r="CK2540" s="208" t="n"/>
      <c r="CL2540" s="208" t="n"/>
      <c r="CM2540" s="208" t="n"/>
      <c r="CN2540" s="78" t="n"/>
      <c r="CO2540" s="209" t="n"/>
      <c r="CP2540" s="204" t="n"/>
      <c r="CQ2540" s="204" t="n"/>
      <c r="CR2540" s="204" t="n"/>
      <c r="CS2540" s="204" t="n"/>
      <c r="CT2540" s="204" t="n"/>
      <c r="CU2540" s="204" t="n"/>
      <c r="CV2540" s="204" t="n"/>
      <c r="CW2540" s="204" t="n"/>
    </row>
    <row r="2541">
      <c r="BF2541" s="78" t="n"/>
      <c r="BG2541" s="78" t="n"/>
      <c r="BH2541" s="78" t="n"/>
      <c r="BI2541" s="78" t="n"/>
      <c r="BJ2541" s="139" t="n"/>
      <c r="BK2541" s="204" t="n"/>
      <c r="BL2541" s="141" t="n"/>
      <c r="BM2541" s="205" t="n"/>
      <c r="BN2541" s="205" t="n"/>
      <c r="BO2541" s="206" t="n"/>
      <c r="BP2541" s="144" t="n"/>
      <c r="BQ2541" s="141" t="n"/>
      <c r="BR2541" s="207" t="n"/>
      <c r="BS2541" s="207" t="n"/>
      <c r="BT2541" s="207" t="n"/>
      <c r="BU2541" s="207" t="n"/>
      <c r="BV2541" s="208" t="n"/>
      <c r="BW2541" s="207" t="n"/>
      <c r="BX2541" s="207" t="n"/>
      <c r="BY2541" s="204" t="n"/>
      <c r="BZ2541" s="148" t="n"/>
      <c r="CA2541" s="204" t="n"/>
      <c r="CB2541" s="208" t="n"/>
      <c r="CC2541" s="139" t="n"/>
      <c r="CD2541" s="204" t="n"/>
      <c r="CE2541" s="204" t="n"/>
      <c r="CF2541" s="207" t="n"/>
      <c r="CG2541" s="208" t="n"/>
      <c r="CH2541" s="207" t="n"/>
      <c r="CI2541" s="208" t="n"/>
      <c r="CJ2541" s="204" t="n"/>
      <c r="CK2541" s="208" t="n"/>
      <c r="CL2541" s="208" t="n"/>
      <c r="CM2541" s="208" t="n"/>
      <c r="CN2541" s="78" t="n"/>
      <c r="CO2541" s="209" t="n"/>
      <c r="CP2541" s="204" t="n"/>
      <c r="CQ2541" s="204" t="n"/>
      <c r="CR2541" s="204" t="n"/>
      <c r="CS2541" s="204" t="n"/>
      <c r="CT2541" s="204" t="n"/>
      <c r="CU2541" s="204" t="n"/>
      <c r="CV2541" s="204" t="n"/>
      <c r="CW2541" s="204" t="n"/>
    </row>
    <row r="2542">
      <c r="BF2542" s="78" t="n"/>
      <c r="BG2542" s="78" t="n"/>
      <c r="BH2542" s="78" t="n"/>
      <c r="BI2542" s="78" t="n"/>
      <c r="BJ2542" s="139" t="n"/>
      <c r="BK2542" s="204" t="n"/>
      <c r="BL2542" s="141" t="n"/>
      <c r="BM2542" s="205" t="n"/>
      <c r="BN2542" s="205" t="n"/>
      <c r="BO2542" s="206" t="n"/>
      <c r="BP2542" s="144" t="n"/>
      <c r="BQ2542" s="141" t="n"/>
      <c r="BR2542" s="207" t="n"/>
      <c r="BS2542" s="207" t="n"/>
      <c r="BT2542" s="207" t="n"/>
      <c r="BU2542" s="207" t="n"/>
      <c r="BV2542" s="208" t="n"/>
      <c r="BW2542" s="207" t="n"/>
      <c r="BX2542" s="207" t="n"/>
      <c r="BY2542" s="204" t="n"/>
      <c r="BZ2542" s="148" t="n"/>
      <c r="CA2542" s="204" t="n"/>
      <c r="CB2542" s="208" t="n"/>
      <c r="CC2542" s="139" t="n"/>
      <c r="CD2542" s="204" t="n"/>
      <c r="CE2542" s="204" t="n"/>
      <c r="CF2542" s="207" t="n"/>
      <c r="CG2542" s="208" t="n"/>
      <c r="CH2542" s="207" t="n"/>
      <c r="CI2542" s="208" t="n"/>
      <c r="CJ2542" s="204" t="n"/>
      <c r="CK2542" s="208" t="n"/>
      <c r="CL2542" s="208" t="n"/>
      <c r="CM2542" s="208" t="n"/>
      <c r="CN2542" s="78" t="n"/>
      <c r="CO2542" s="209" t="n"/>
      <c r="CP2542" s="204" t="n"/>
      <c r="CQ2542" s="204" t="n"/>
      <c r="CR2542" s="204" t="n"/>
      <c r="CS2542" s="204" t="n"/>
      <c r="CT2542" s="204" t="n"/>
      <c r="CU2542" s="204" t="n"/>
      <c r="CV2542" s="204" t="n"/>
      <c r="CW2542" s="204" t="n"/>
    </row>
    <row r="2543">
      <c r="BF2543" s="78" t="n"/>
      <c r="BG2543" s="78" t="n"/>
      <c r="BH2543" s="78" t="n"/>
      <c r="BI2543" s="78" t="n"/>
      <c r="BJ2543" s="139" t="n"/>
      <c r="BK2543" s="204" t="n"/>
      <c r="BL2543" s="141" t="n"/>
      <c r="BM2543" s="205" t="n"/>
      <c r="BN2543" s="205" t="n"/>
      <c r="BO2543" s="206" t="n"/>
      <c r="BP2543" s="144" t="n"/>
      <c r="BQ2543" s="141" t="n"/>
      <c r="BR2543" s="207" t="n"/>
      <c r="BS2543" s="207" t="n"/>
      <c r="BT2543" s="207" t="n"/>
      <c r="BU2543" s="207" t="n"/>
      <c r="BV2543" s="208" t="n"/>
      <c r="BW2543" s="207" t="n"/>
      <c r="BX2543" s="207" t="n"/>
      <c r="BY2543" s="204" t="n"/>
      <c r="BZ2543" s="148" t="n"/>
      <c r="CA2543" s="204" t="n"/>
      <c r="CB2543" s="208" t="n"/>
      <c r="CC2543" s="139" t="n"/>
      <c r="CD2543" s="204" t="n"/>
      <c r="CE2543" s="204" t="n"/>
      <c r="CF2543" s="207" t="n"/>
      <c r="CG2543" s="208" t="n"/>
      <c r="CH2543" s="207" t="n"/>
      <c r="CI2543" s="208" t="n"/>
      <c r="CJ2543" s="204" t="n"/>
      <c r="CK2543" s="208" t="n"/>
      <c r="CL2543" s="208" t="n"/>
      <c r="CM2543" s="208" t="n"/>
      <c r="CN2543" s="78" t="n"/>
      <c r="CO2543" s="209" t="n"/>
      <c r="CP2543" s="204" t="n"/>
      <c r="CQ2543" s="204" t="n"/>
      <c r="CR2543" s="204" t="n"/>
      <c r="CS2543" s="204" t="n"/>
      <c r="CT2543" s="204" t="n"/>
      <c r="CU2543" s="204" t="n"/>
      <c r="CV2543" s="204" t="n"/>
      <c r="CW2543" s="204" t="n"/>
    </row>
    <row r="2544">
      <c r="BF2544" s="78" t="n"/>
      <c r="BG2544" s="78" t="n"/>
      <c r="BH2544" s="78" t="n"/>
      <c r="BI2544" s="78" t="n"/>
      <c r="BJ2544" s="139" t="n"/>
      <c r="BK2544" s="204" t="n"/>
      <c r="BL2544" s="141" t="n"/>
      <c r="BM2544" s="205" t="n"/>
      <c r="BN2544" s="205" t="n"/>
      <c r="BO2544" s="206" t="n"/>
      <c r="BP2544" s="144" t="n"/>
      <c r="BQ2544" s="141" t="n"/>
      <c r="BR2544" s="207" t="n"/>
      <c r="BS2544" s="207" t="n"/>
      <c r="BT2544" s="207" t="n"/>
      <c r="BU2544" s="207" t="n"/>
      <c r="BV2544" s="208" t="n"/>
      <c r="BW2544" s="207" t="n"/>
      <c r="BX2544" s="207" t="n"/>
      <c r="BY2544" s="204" t="n"/>
      <c r="BZ2544" s="148" t="n"/>
      <c r="CA2544" s="204" t="n"/>
      <c r="CB2544" s="208" t="n"/>
      <c r="CC2544" s="139" t="n"/>
      <c r="CD2544" s="204" t="n"/>
      <c r="CE2544" s="204" t="n"/>
      <c r="CF2544" s="207" t="n"/>
      <c r="CG2544" s="208" t="n"/>
      <c r="CH2544" s="207" t="n"/>
      <c r="CI2544" s="208" t="n"/>
      <c r="CJ2544" s="204" t="n"/>
      <c r="CK2544" s="208" t="n"/>
      <c r="CL2544" s="208" t="n"/>
      <c r="CM2544" s="208" t="n"/>
      <c r="CN2544" s="78" t="n"/>
      <c r="CO2544" s="209" t="n"/>
      <c r="CP2544" s="204" t="n"/>
      <c r="CQ2544" s="204" t="n"/>
      <c r="CR2544" s="204" t="n"/>
      <c r="CS2544" s="204" t="n"/>
      <c r="CT2544" s="204" t="n"/>
      <c r="CU2544" s="204" t="n"/>
      <c r="CV2544" s="204" t="n"/>
      <c r="CW2544" s="204" t="n"/>
    </row>
    <row r="2545">
      <c r="BF2545" s="78" t="n"/>
      <c r="BG2545" s="78" t="n"/>
      <c r="BH2545" s="78" t="n"/>
      <c r="BI2545" s="78" t="n"/>
      <c r="BJ2545" s="139" t="n"/>
      <c r="BK2545" s="204" t="n"/>
      <c r="BL2545" s="141" t="n"/>
      <c r="BM2545" s="205" t="n"/>
      <c r="BN2545" s="205" t="n"/>
      <c r="BO2545" s="206" t="n"/>
      <c r="BP2545" s="144" t="n"/>
      <c r="BQ2545" s="141" t="n"/>
      <c r="BR2545" s="207" t="n"/>
      <c r="BS2545" s="207" t="n"/>
      <c r="BT2545" s="207" t="n"/>
      <c r="BU2545" s="207" t="n"/>
      <c r="BV2545" s="208" t="n"/>
      <c r="BW2545" s="207" t="n"/>
      <c r="BX2545" s="207" t="n"/>
      <c r="BY2545" s="204" t="n"/>
      <c r="BZ2545" s="148" t="n"/>
      <c r="CA2545" s="204" t="n"/>
      <c r="CB2545" s="208" t="n"/>
      <c r="CC2545" s="139" t="n"/>
      <c r="CD2545" s="204" t="n"/>
      <c r="CE2545" s="204" t="n"/>
      <c r="CF2545" s="207" t="n"/>
      <c r="CG2545" s="208" t="n"/>
      <c r="CH2545" s="207" t="n"/>
      <c r="CI2545" s="208" t="n"/>
      <c r="CJ2545" s="204" t="n"/>
      <c r="CK2545" s="208" t="n"/>
      <c r="CL2545" s="208" t="n"/>
      <c r="CM2545" s="208" t="n"/>
      <c r="CN2545" s="78" t="n"/>
      <c r="CO2545" s="209" t="n"/>
      <c r="CP2545" s="204" t="n"/>
      <c r="CQ2545" s="204" t="n"/>
      <c r="CR2545" s="204" t="n"/>
      <c r="CS2545" s="204" t="n"/>
      <c r="CT2545" s="204" t="n"/>
      <c r="CU2545" s="204" t="n"/>
      <c r="CV2545" s="204" t="n"/>
      <c r="CW2545" s="204" t="n"/>
    </row>
    <row r="2546">
      <c r="BF2546" s="78" t="n"/>
      <c r="BG2546" s="78" t="n"/>
      <c r="BH2546" s="78" t="n"/>
      <c r="BI2546" s="78" t="n"/>
      <c r="BJ2546" s="139" t="n"/>
      <c r="BK2546" s="204" t="n"/>
      <c r="BL2546" s="141" t="n"/>
      <c r="BM2546" s="205" t="n"/>
      <c r="BN2546" s="205" t="n"/>
      <c r="BO2546" s="206" t="n"/>
      <c r="BP2546" s="144" t="n"/>
      <c r="BQ2546" s="141" t="n"/>
      <c r="BR2546" s="207" t="n"/>
      <c r="BS2546" s="207" t="n"/>
      <c r="BT2546" s="207" t="n"/>
      <c r="BU2546" s="207" t="n"/>
      <c r="BV2546" s="208" t="n"/>
      <c r="BW2546" s="207" t="n"/>
      <c r="BX2546" s="207" t="n"/>
      <c r="BY2546" s="204" t="n"/>
      <c r="BZ2546" s="148" t="n"/>
      <c r="CA2546" s="204" t="n"/>
      <c r="CB2546" s="208" t="n"/>
      <c r="CC2546" s="139" t="n"/>
      <c r="CD2546" s="204" t="n"/>
      <c r="CE2546" s="204" t="n"/>
      <c r="CF2546" s="207" t="n"/>
      <c r="CG2546" s="208" t="n"/>
      <c r="CH2546" s="207" t="n"/>
      <c r="CI2546" s="208" t="n"/>
      <c r="CJ2546" s="204" t="n"/>
      <c r="CK2546" s="208" t="n"/>
      <c r="CL2546" s="208" t="n"/>
      <c r="CM2546" s="208" t="n"/>
      <c r="CN2546" s="78" t="n"/>
      <c r="CO2546" s="209" t="n"/>
      <c r="CP2546" s="204" t="n"/>
      <c r="CQ2546" s="204" t="n"/>
      <c r="CR2546" s="204" t="n"/>
      <c r="CS2546" s="204" t="n"/>
      <c r="CT2546" s="204" t="n"/>
      <c r="CU2546" s="204" t="n"/>
      <c r="CV2546" s="204" t="n"/>
      <c r="CW2546" s="204" t="n"/>
    </row>
    <row r="2547">
      <c r="BF2547" s="78" t="n"/>
      <c r="BG2547" s="78" t="n"/>
      <c r="BH2547" s="78" t="n"/>
      <c r="BI2547" s="78" t="n"/>
      <c r="BJ2547" s="139" t="n"/>
      <c r="BK2547" s="204" t="n"/>
      <c r="BL2547" s="141" t="n"/>
      <c r="BM2547" s="205" t="n"/>
      <c r="BN2547" s="205" t="n"/>
      <c r="BO2547" s="206" t="n"/>
      <c r="BP2547" s="144" t="n"/>
      <c r="BQ2547" s="141" t="n"/>
      <c r="BR2547" s="207" t="n"/>
      <c r="BS2547" s="207" t="n"/>
      <c r="BT2547" s="207" t="n"/>
      <c r="BU2547" s="207" t="n"/>
      <c r="BV2547" s="208" t="n"/>
      <c r="BW2547" s="207" t="n"/>
      <c r="BX2547" s="207" t="n"/>
      <c r="BY2547" s="204" t="n"/>
      <c r="BZ2547" s="148" t="n"/>
      <c r="CA2547" s="204" t="n"/>
      <c r="CB2547" s="208" t="n"/>
      <c r="CC2547" s="139" t="n"/>
      <c r="CD2547" s="204" t="n"/>
      <c r="CE2547" s="204" t="n"/>
      <c r="CF2547" s="207" t="n"/>
      <c r="CG2547" s="208" t="n"/>
      <c r="CH2547" s="207" t="n"/>
      <c r="CI2547" s="208" t="n"/>
      <c r="CJ2547" s="204" t="n"/>
      <c r="CK2547" s="208" t="n"/>
      <c r="CL2547" s="208" t="n"/>
      <c r="CM2547" s="208" t="n"/>
      <c r="CN2547" s="78" t="n"/>
      <c r="CO2547" s="209" t="n"/>
      <c r="CP2547" s="204" t="n"/>
      <c r="CQ2547" s="204" t="n"/>
      <c r="CR2547" s="204" t="n"/>
      <c r="CS2547" s="204" t="n"/>
      <c r="CT2547" s="204" t="n"/>
      <c r="CU2547" s="204" t="n"/>
      <c r="CV2547" s="204" t="n"/>
      <c r="CW2547" s="204" t="n"/>
    </row>
    <row r="2548">
      <c r="BF2548" s="78" t="n"/>
      <c r="BG2548" s="78" t="n"/>
      <c r="BH2548" s="78" t="n"/>
      <c r="BI2548" s="78" t="n"/>
      <c r="BJ2548" s="139" t="n"/>
      <c r="BK2548" s="204" t="n"/>
      <c r="BL2548" s="141" t="n"/>
      <c r="BM2548" s="205" t="n"/>
      <c r="BN2548" s="205" t="n"/>
      <c r="BO2548" s="206" t="n"/>
      <c r="BP2548" s="144" t="n"/>
      <c r="BQ2548" s="141" t="n"/>
      <c r="BR2548" s="207" t="n"/>
      <c r="BS2548" s="207" t="n"/>
      <c r="BT2548" s="207" t="n"/>
      <c r="BU2548" s="207" t="n"/>
      <c r="BV2548" s="208" t="n"/>
      <c r="BW2548" s="207" t="n"/>
      <c r="BX2548" s="207" t="n"/>
      <c r="BY2548" s="204" t="n"/>
      <c r="BZ2548" s="148" t="n"/>
      <c r="CA2548" s="204" t="n"/>
      <c r="CB2548" s="208" t="n"/>
      <c r="CC2548" s="139" t="n"/>
      <c r="CD2548" s="204" t="n"/>
      <c r="CE2548" s="204" t="n"/>
      <c r="CF2548" s="207" t="n"/>
      <c r="CG2548" s="208" t="n"/>
      <c r="CH2548" s="207" t="n"/>
      <c r="CI2548" s="208" t="n"/>
      <c r="CJ2548" s="204" t="n"/>
      <c r="CK2548" s="208" t="n"/>
      <c r="CL2548" s="208" t="n"/>
      <c r="CM2548" s="208" t="n"/>
      <c r="CN2548" s="78" t="n"/>
      <c r="CO2548" s="209" t="n"/>
      <c r="CP2548" s="204" t="n"/>
      <c r="CQ2548" s="204" t="n"/>
      <c r="CR2548" s="204" t="n"/>
      <c r="CS2548" s="204" t="n"/>
      <c r="CT2548" s="204" t="n"/>
      <c r="CU2548" s="204" t="n"/>
      <c r="CV2548" s="204" t="n"/>
      <c r="CW2548" s="204" t="n"/>
    </row>
    <row r="2549">
      <c r="BF2549" s="78" t="n"/>
      <c r="BG2549" s="78" t="n"/>
      <c r="BH2549" s="78" t="n"/>
      <c r="BI2549" s="78" t="n"/>
      <c r="BJ2549" s="139" t="n"/>
      <c r="BK2549" s="204" t="n"/>
      <c r="BL2549" s="141" t="n"/>
      <c r="BM2549" s="205" t="n"/>
      <c r="BN2549" s="205" t="n"/>
      <c r="BO2549" s="206" t="n"/>
      <c r="BP2549" s="144" t="n"/>
      <c r="BQ2549" s="141" t="n"/>
      <c r="BR2549" s="207" t="n"/>
      <c r="BS2549" s="207" t="n"/>
      <c r="BT2549" s="207" t="n"/>
      <c r="BU2549" s="207" t="n"/>
      <c r="BV2549" s="208" t="n"/>
      <c r="BW2549" s="207" t="n"/>
      <c r="BX2549" s="207" t="n"/>
      <c r="BY2549" s="204" t="n"/>
      <c r="BZ2549" s="148" t="n"/>
      <c r="CA2549" s="204" t="n"/>
      <c r="CB2549" s="208" t="n"/>
      <c r="CC2549" s="139" t="n"/>
      <c r="CD2549" s="204" t="n"/>
      <c r="CE2549" s="204" t="n"/>
      <c r="CF2549" s="207" t="n"/>
      <c r="CG2549" s="208" t="n"/>
      <c r="CH2549" s="207" t="n"/>
      <c r="CI2549" s="208" t="n"/>
      <c r="CJ2549" s="204" t="n"/>
      <c r="CK2549" s="208" t="n"/>
      <c r="CL2549" s="208" t="n"/>
      <c r="CM2549" s="208" t="n"/>
      <c r="CN2549" s="78" t="n"/>
      <c r="CO2549" s="209" t="n"/>
      <c r="CP2549" s="204" t="n"/>
      <c r="CQ2549" s="204" t="n"/>
      <c r="CR2549" s="204" t="n"/>
      <c r="CS2549" s="204" t="n"/>
      <c r="CT2549" s="204" t="n"/>
      <c r="CU2549" s="204" t="n"/>
      <c r="CV2549" s="204" t="n"/>
      <c r="CW2549" s="204" t="n"/>
    </row>
    <row r="2550">
      <c r="BF2550" s="78" t="n"/>
      <c r="BG2550" s="78" t="n"/>
      <c r="BH2550" s="78" t="n"/>
      <c r="BI2550" s="78" t="n"/>
      <c r="BJ2550" s="139" t="n"/>
      <c r="BK2550" s="204" t="n"/>
      <c r="BL2550" s="141" t="n"/>
      <c r="BM2550" s="205" t="n"/>
      <c r="BN2550" s="205" t="n"/>
      <c r="BO2550" s="206" t="n"/>
      <c r="BP2550" s="144" t="n"/>
      <c r="BQ2550" s="141" t="n"/>
      <c r="BR2550" s="207" t="n"/>
      <c r="BS2550" s="207" t="n"/>
      <c r="BT2550" s="207" t="n"/>
      <c r="BU2550" s="207" t="n"/>
      <c r="BV2550" s="208" t="n"/>
      <c r="BW2550" s="207" t="n"/>
      <c r="BX2550" s="207" t="n"/>
      <c r="BY2550" s="204" t="n"/>
      <c r="BZ2550" s="148" t="n"/>
      <c r="CA2550" s="204" t="n"/>
      <c r="CB2550" s="208" t="n"/>
      <c r="CC2550" s="139" t="n"/>
      <c r="CD2550" s="204" t="n"/>
      <c r="CE2550" s="204" t="n"/>
      <c r="CF2550" s="207" t="n"/>
      <c r="CG2550" s="208" t="n"/>
      <c r="CH2550" s="207" t="n"/>
      <c r="CI2550" s="208" t="n"/>
      <c r="CJ2550" s="204" t="n"/>
      <c r="CK2550" s="208" t="n"/>
      <c r="CL2550" s="208" t="n"/>
      <c r="CM2550" s="208" t="n"/>
      <c r="CN2550" s="78" t="n"/>
      <c r="CO2550" s="209" t="n"/>
      <c r="CP2550" s="204" t="n"/>
      <c r="CQ2550" s="204" t="n"/>
      <c r="CR2550" s="204" t="n"/>
      <c r="CS2550" s="204" t="n"/>
      <c r="CT2550" s="204" t="n"/>
      <c r="CU2550" s="204" t="n"/>
      <c r="CV2550" s="204" t="n"/>
      <c r="CW2550" s="204" t="n"/>
    </row>
    <row r="2551">
      <c r="BF2551" s="78" t="n"/>
      <c r="BG2551" s="78" t="n"/>
      <c r="BH2551" s="78" t="n"/>
      <c r="BI2551" s="78" t="n"/>
      <c r="BJ2551" s="139" t="n"/>
      <c r="BK2551" s="204" t="n"/>
      <c r="BL2551" s="141" t="n"/>
      <c r="BM2551" s="205" t="n"/>
      <c r="BN2551" s="205" t="n"/>
      <c r="BO2551" s="206" t="n"/>
      <c r="BP2551" s="144" t="n"/>
      <c r="BQ2551" s="141" t="n"/>
      <c r="BR2551" s="207" t="n"/>
      <c r="BS2551" s="207" t="n"/>
      <c r="BT2551" s="207" t="n"/>
      <c r="BU2551" s="207" t="n"/>
      <c r="BV2551" s="208" t="n"/>
      <c r="BW2551" s="207" t="n"/>
      <c r="BX2551" s="207" t="n"/>
      <c r="BY2551" s="204" t="n"/>
      <c r="BZ2551" s="148" t="n"/>
      <c r="CA2551" s="204" t="n"/>
      <c r="CB2551" s="208" t="n"/>
      <c r="CC2551" s="139" t="n"/>
      <c r="CD2551" s="204" t="n"/>
      <c r="CE2551" s="204" t="n"/>
      <c r="CF2551" s="207" t="n"/>
      <c r="CG2551" s="208" t="n"/>
      <c r="CH2551" s="207" t="n"/>
      <c r="CI2551" s="208" t="n"/>
      <c r="CJ2551" s="204" t="n"/>
      <c r="CK2551" s="208" t="n"/>
      <c r="CL2551" s="208" t="n"/>
      <c r="CM2551" s="208" t="n"/>
      <c r="CN2551" s="78" t="n"/>
      <c r="CO2551" s="209" t="n"/>
      <c r="CP2551" s="204" t="n"/>
      <c r="CQ2551" s="204" t="n"/>
      <c r="CR2551" s="204" t="n"/>
      <c r="CS2551" s="204" t="n"/>
      <c r="CT2551" s="204" t="n"/>
      <c r="CU2551" s="204" t="n"/>
      <c r="CV2551" s="204" t="n"/>
      <c r="CW2551" s="204" t="n"/>
    </row>
    <row r="2552">
      <c r="BF2552" s="78" t="n"/>
      <c r="BG2552" s="78" t="n"/>
      <c r="BH2552" s="78" t="n"/>
      <c r="BI2552" s="78" t="n"/>
      <c r="BJ2552" s="139" t="n"/>
      <c r="BK2552" s="204" t="n"/>
      <c r="BL2552" s="141" t="n"/>
      <c r="BM2552" s="205" t="n"/>
      <c r="BN2552" s="205" t="n"/>
      <c r="BO2552" s="206" t="n"/>
      <c r="BP2552" s="144" t="n"/>
      <c r="BQ2552" s="141" t="n"/>
      <c r="BR2552" s="207" t="n"/>
      <c r="BS2552" s="207" t="n"/>
      <c r="BT2552" s="207" t="n"/>
      <c r="BU2552" s="207" t="n"/>
      <c r="BV2552" s="208" t="n"/>
      <c r="BW2552" s="207" t="n"/>
      <c r="BX2552" s="207" t="n"/>
      <c r="BY2552" s="204" t="n"/>
      <c r="BZ2552" s="148" t="n"/>
      <c r="CA2552" s="204" t="n"/>
      <c r="CB2552" s="208" t="n"/>
      <c r="CC2552" s="139" t="n"/>
      <c r="CD2552" s="204" t="n"/>
      <c r="CE2552" s="204" t="n"/>
      <c r="CF2552" s="207" t="n"/>
      <c r="CG2552" s="208" t="n"/>
      <c r="CH2552" s="207" t="n"/>
      <c r="CI2552" s="208" t="n"/>
      <c r="CJ2552" s="204" t="n"/>
      <c r="CK2552" s="208" t="n"/>
      <c r="CL2552" s="208" t="n"/>
      <c r="CM2552" s="208" t="n"/>
      <c r="CN2552" s="78" t="n"/>
      <c r="CO2552" s="209" t="n"/>
      <c r="CP2552" s="204" t="n"/>
      <c r="CQ2552" s="204" t="n"/>
      <c r="CR2552" s="204" t="n"/>
      <c r="CS2552" s="204" t="n"/>
      <c r="CT2552" s="204" t="n"/>
      <c r="CU2552" s="204" t="n"/>
      <c r="CV2552" s="204" t="n"/>
      <c r="CW2552" s="204" t="n"/>
    </row>
    <row r="2553">
      <c r="BF2553" s="78" t="n"/>
      <c r="BG2553" s="78" t="n"/>
      <c r="BH2553" s="78" t="n"/>
      <c r="BI2553" s="78" t="n"/>
      <c r="BJ2553" s="139" t="n"/>
      <c r="BK2553" s="204" t="n"/>
      <c r="BL2553" s="141" t="n"/>
      <c r="BM2553" s="205" t="n"/>
      <c r="BN2553" s="205" t="n"/>
      <c r="BO2553" s="206" t="n"/>
      <c r="BP2553" s="144" t="n"/>
      <c r="BQ2553" s="141" t="n"/>
      <c r="BR2553" s="207" t="n"/>
      <c r="BS2553" s="207" t="n"/>
      <c r="BT2553" s="207" t="n"/>
      <c r="BU2553" s="207" t="n"/>
      <c r="BV2553" s="208" t="n"/>
      <c r="BW2553" s="207" t="n"/>
      <c r="BX2553" s="207" t="n"/>
      <c r="BY2553" s="204" t="n"/>
      <c r="BZ2553" s="148" t="n"/>
      <c r="CA2553" s="204" t="n"/>
      <c r="CB2553" s="208" t="n"/>
      <c r="CC2553" s="139" t="n"/>
      <c r="CD2553" s="204" t="n"/>
      <c r="CE2553" s="204" t="n"/>
      <c r="CF2553" s="207" t="n"/>
      <c r="CG2553" s="208" t="n"/>
      <c r="CH2553" s="207" t="n"/>
      <c r="CI2553" s="208" t="n"/>
      <c r="CJ2553" s="204" t="n"/>
      <c r="CK2553" s="208" t="n"/>
      <c r="CL2553" s="208" t="n"/>
      <c r="CM2553" s="208" t="n"/>
      <c r="CN2553" s="78" t="n"/>
      <c r="CO2553" s="209" t="n"/>
      <c r="CP2553" s="204" t="n"/>
      <c r="CQ2553" s="204" t="n"/>
      <c r="CR2553" s="204" t="n"/>
      <c r="CS2553" s="204" t="n"/>
      <c r="CT2553" s="204" t="n"/>
      <c r="CU2553" s="204" t="n"/>
      <c r="CV2553" s="204" t="n"/>
      <c r="CW2553" s="204" t="n"/>
    </row>
    <row r="2554">
      <c r="BF2554" s="78" t="n"/>
      <c r="BG2554" s="78" t="n"/>
      <c r="BH2554" s="78" t="n"/>
      <c r="BI2554" s="78" t="n"/>
      <c r="BJ2554" s="139" t="n"/>
      <c r="BK2554" s="204" t="n"/>
      <c r="BL2554" s="141" t="n"/>
      <c r="BM2554" s="205" t="n"/>
      <c r="BN2554" s="205" t="n"/>
      <c r="BO2554" s="206" t="n"/>
      <c r="BP2554" s="144" t="n"/>
      <c r="BQ2554" s="141" t="n"/>
      <c r="BR2554" s="207" t="n"/>
      <c r="BS2554" s="207" t="n"/>
      <c r="BT2554" s="207" t="n"/>
      <c r="BU2554" s="207" t="n"/>
      <c r="BV2554" s="208" t="n"/>
      <c r="BW2554" s="207" t="n"/>
      <c r="BX2554" s="207" t="n"/>
      <c r="BY2554" s="204" t="n"/>
      <c r="BZ2554" s="148" t="n"/>
      <c r="CA2554" s="204" t="n"/>
      <c r="CB2554" s="208" t="n"/>
      <c r="CC2554" s="139" t="n"/>
      <c r="CD2554" s="204" t="n"/>
      <c r="CE2554" s="204" t="n"/>
      <c r="CF2554" s="207" t="n"/>
      <c r="CG2554" s="208" t="n"/>
      <c r="CH2554" s="207" t="n"/>
      <c r="CI2554" s="208" t="n"/>
      <c r="CJ2554" s="204" t="n"/>
      <c r="CK2554" s="208" t="n"/>
      <c r="CL2554" s="208" t="n"/>
      <c r="CM2554" s="208" t="n"/>
      <c r="CN2554" s="78" t="n"/>
      <c r="CO2554" s="209" t="n"/>
      <c r="CP2554" s="204" t="n"/>
      <c r="CQ2554" s="204" t="n"/>
      <c r="CR2554" s="204" t="n"/>
      <c r="CS2554" s="204" t="n"/>
      <c r="CT2554" s="204" t="n"/>
      <c r="CU2554" s="204" t="n"/>
      <c r="CV2554" s="204" t="n"/>
      <c r="CW2554" s="204" t="n"/>
    </row>
    <row r="2555">
      <c r="BF2555" s="78" t="n"/>
      <c r="BG2555" s="78" t="n"/>
      <c r="BH2555" s="78" t="n"/>
      <c r="BI2555" s="78" t="n"/>
      <c r="BJ2555" s="139" t="n"/>
      <c r="BK2555" s="204" t="n"/>
      <c r="BL2555" s="141" t="n"/>
      <c r="BM2555" s="205" t="n"/>
      <c r="BN2555" s="205" t="n"/>
      <c r="BO2555" s="206" t="n"/>
      <c r="BP2555" s="144" t="n"/>
      <c r="BQ2555" s="141" t="n"/>
      <c r="BR2555" s="207" t="n"/>
      <c r="BS2555" s="207" t="n"/>
      <c r="BT2555" s="207" t="n"/>
      <c r="BU2555" s="207" t="n"/>
      <c r="BV2555" s="208" t="n"/>
      <c r="BW2555" s="207" t="n"/>
      <c r="BX2555" s="207" t="n"/>
      <c r="BY2555" s="204" t="n"/>
      <c r="BZ2555" s="148" t="n"/>
      <c r="CA2555" s="204" t="n"/>
      <c r="CB2555" s="208" t="n"/>
      <c r="CC2555" s="139" t="n"/>
      <c r="CD2555" s="204" t="n"/>
      <c r="CE2555" s="204" t="n"/>
      <c r="CF2555" s="207" t="n"/>
      <c r="CG2555" s="208" t="n"/>
      <c r="CH2555" s="207" t="n"/>
      <c r="CI2555" s="208" t="n"/>
      <c r="CJ2555" s="204" t="n"/>
      <c r="CK2555" s="208" t="n"/>
      <c r="CL2555" s="208" t="n"/>
      <c r="CM2555" s="208" t="n"/>
      <c r="CN2555" s="78" t="n"/>
      <c r="CO2555" s="209" t="n"/>
      <c r="CP2555" s="204" t="n"/>
      <c r="CQ2555" s="204" t="n"/>
      <c r="CR2555" s="204" t="n"/>
      <c r="CS2555" s="204" t="n"/>
      <c r="CT2555" s="204" t="n"/>
      <c r="CU2555" s="204" t="n"/>
      <c r="CV2555" s="204" t="n"/>
      <c r="CW2555" s="204" t="n"/>
    </row>
    <row r="2556">
      <c r="BF2556" s="78" t="n"/>
      <c r="BG2556" s="78" t="n"/>
      <c r="BH2556" s="78" t="n"/>
      <c r="BI2556" s="78" t="n"/>
      <c r="BJ2556" s="139" t="n"/>
      <c r="BK2556" s="204" t="n"/>
      <c r="BL2556" s="141" t="n"/>
      <c r="BM2556" s="205" t="n"/>
      <c r="BN2556" s="205" t="n"/>
      <c r="BO2556" s="206" t="n"/>
      <c r="BP2556" s="144" t="n"/>
      <c r="BQ2556" s="141" t="n"/>
      <c r="BR2556" s="207" t="n"/>
      <c r="BS2556" s="207" t="n"/>
      <c r="BT2556" s="207" t="n"/>
      <c r="BU2556" s="207" t="n"/>
      <c r="BV2556" s="208" t="n"/>
      <c r="BW2556" s="207" t="n"/>
      <c r="BX2556" s="207" t="n"/>
      <c r="BY2556" s="204" t="n"/>
      <c r="BZ2556" s="148" t="n"/>
      <c r="CA2556" s="204" t="n"/>
      <c r="CB2556" s="208" t="n"/>
      <c r="CC2556" s="139" t="n"/>
      <c r="CD2556" s="204" t="n"/>
      <c r="CE2556" s="204" t="n"/>
      <c r="CF2556" s="207" t="n"/>
      <c r="CG2556" s="208" t="n"/>
      <c r="CH2556" s="207" t="n"/>
      <c r="CI2556" s="208" t="n"/>
      <c r="CJ2556" s="204" t="n"/>
      <c r="CK2556" s="208" t="n"/>
      <c r="CL2556" s="208" t="n"/>
      <c r="CM2556" s="208" t="n"/>
      <c r="CN2556" s="78" t="n"/>
      <c r="CO2556" s="209" t="n"/>
      <c r="CP2556" s="204" t="n"/>
      <c r="CQ2556" s="204" t="n"/>
      <c r="CR2556" s="204" t="n"/>
      <c r="CS2556" s="204" t="n"/>
      <c r="CT2556" s="204" t="n"/>
      <c r="CU2556" s="204" t="n"/>
      <c r="CV2556" s="204" t="n"/>
      <c r="CW2556" s="204" t="n"/>
    </row>
    <row r="2557">
      <c r="BF2557" s="78" t="n"/>
      <c r="BG2557" s="78" t="n"/>
      <c r="BH2557" s="78" t="n"/>
      <c r="BI2557" s="78" t="n"/>
      <c r="BJ2557" s="139" t="n"/>
      <c r="BK2557" s="204" t="n"/>
      <c r="BL2557" s="141" t="n"/>
      <c r="BM2557" s="205" t="n"/>
      <c r="BN2557" s="205" t="n"/>
      <c r="BO2557" s="206" t="n"/>
      <c r="BP2557" s="144" t="n"/>
      <c r="BQ2557" s="141" t="n"/>
      <c r="BR2557" s="207" t="n"/>
      <c r="BS2557" s="207" t="n"/>
      <c r="BT2557" s="207" t="n"/>
      <c r="BU2557" s="207" t="n"/>
      <c r="BV2557" s="208" t="n"/>
      <c r="BW2557" s="207" t="n"/>
      <c r="BX2557" s="207" t="n"/>
      <c r="BY2557" s="204" t="n"/>
      <c r="BZ2557" s="148" t="n"/>
      <c r="CA2557" s="204" t="n"/>
      <c r="CB2557" s="208" t="n"/>
      <c r="CC2557" s="139" t="n"/>
      <c r="CD2557" s="204" t="n"/>
      <c r="CE2557" s="204" t="n"/>
      <c r="CF2557" s="207" t="n"/>
      <c r="CG2557" s="208" t="n"/>
      <c r="CH2557" s="207" t="n"/>
      <c r="CI2557" s="208" t="n"/>
      <c r="CJ2557" s="204" t="n"/>
      <c r="CK2557" s="208" t="n"/>
      <c r="CL2557" s="208" t="n"/>
      <c r="CM2557" s="208" t="n"/>
      <c r="CN2557" s="78" t="n"/>
      <c r="CO2557" s="209" t="n"/>
      <c r="CP2557" s="204" t="n"/>
      <c r="CQ2557" s="204" t="n"/>
      <c r="CR2557" s="204" t="n"/>
      <c r="CS2557" s="204" t="n"/>
      <c r="CT2557" s="204" t="n"/>
      <c r="CU2557" s="204" t="n"/>
      <c r="CV2557" s="204" t="n"/>
      <c r="CW2557" s="204" t="n"/>
    </row>
    <row r="2558">
      <c r="BF2558" s="78" t="n"/>
      <c r="BG2558" s="78" t="n"/>
      <c r="BH2558" s="78" t="n"/>
      <c r="BI2558" s="78" t="n"/>
      <c r="BJ2558" s="139" t="n"/>
      <c r="BK2558" s="204" t="n"/>
      <c r="BL2558" s="141" t="n"/>
      <c r="BM2558" s="205" t="n"/>
      <c r="BN2558" s="205" t="n"/>
      <c r="BO2558" s="206" t="n"/>
      <c r="BP2558" s="144" t="n"/>
      <c r="BQ2558" s="141" t="n"/>
      <c r="BR2558" s="207" t="n"/>
      <c r="BS2558" s="207" t="n"/>
      <c r="BT2558" s="207" t="n"/>
      <c r="BU2558" s="207" t="n"/>
      <c r="BV2558" s="208" t="n"/>
      <c r="BW2558" s="207" t="n"/>
      <c r="BX2558" s="207" t="n"/>
      <c r="BY2558" s="204" t="n"/>
      <c r="BZ2558" s="148" t="n"/>
      <c r="CA2558" s="204" t="n"/>
      <c r="CB2558" s="208" t="n"/>
      <c r="CC2558" s="139" t="n"/>
      <c r="CD2558" s="204" t="n"/>
      <c r="CE2558" s="204" t="n"/>
      <c r="CF2558" s="207" t="n"/>
      <c r="CG2558" s="208" t="n"/>
      <c r="CH2558" s="207" t="n"/>
      <c r="CI2558" s="208" t="n"/>
      <c r="CJ2558" s="204" t="n"/>
      <c r="CK2558" s="208" t="n"/>
      <c r="CL2558" s="208" t="n"/>
      <c r="CM2558" s="208" t="n"/>
      <c r="CN2558" s="78" t="n"/>
      <c r="CO2558" s="209" t="n"/>
      <c r="CP2558" s="204" t="n"/>
      <c r="CQ2558" s="204" t="n"/>
      <c r="CR2558" s="204" t="n"/>
      <c r="CS2558" s="204" t="n"/>
      <c r="CT2558" s="204" t="n"/>
      <c r="CU2558" s="204" t="n"/>
      <c r="CV2558" s="204" t="n"/>
      <c r="CW2558" s="204" t="n"/>
    </row>
    <row r="2559">
      <c r="BF2559" s="78" t="n"/>
      <c r="BG2559" s="78" t="n"/>
      <c r="BH2559" s="78" t="n"/>
      <c r="BI2559" s="78" t="n"/>
      <c r="BJ2559" s="139" t="n"/>
      <c r="BK2559" s="204" t="n"/>
      <c r="BL2559" s="141" t="n"/>
      <c r="BM2559" s="205" t="n"/>
      <c r="BN2559" s="205" t="n"/>
      <c r="BO2559" s="206" t="n"/>
      <c r="BP2559" s="144" t="n"/>
      <c r="BQ2559" s="141" t="n"/>
      <c r="BR2559" s="207" t="n"/>
      <c r="BS2559" s="207" t="n"/>
      <c r="BT2559" s="207" t="n"/>
      <c r="BU2559" s="207" t="n"/>
      <c r="BV2559" s="208" t="n"/>
      <c r="BW2559" s="207" t="n"/>
      <c r="BX2559" s="207" t="n"/>
      <c r="BY2559" s="204" t="n"/>
      <c r="BZ2559" s="148" t="n"/>
      <c r="CA2559" s="204" t="n"/>
      <c r="CB2559" s="208" t="n"/>
      <c r="CC2559" s="139" t="n"/>
      <c r="CD2559" s="204" t="n"/>
      <c r="CE2559" s="204" t="n"/>
      <c r="CF2559" s="207" t="n"/>
      <c r="CG2559" s="208" t="n"/>
      <c r="CH2559" s="207" t="n"/>
      <c r="CI2559" s="208" t="n"/>
      <c r="CJ2559" s="204" t="n"/>
      <c r="CK2559" s="208" t="n"/>
      <c r="CL2559" s="208" t="n"/>
      <c r="CM2559" s="208" t="n"/>
      <c r="CN2559" s="78" t="n"/>
      <c r="CO2559" s="209" t="n"/>
      <c r="CP2559" s="204" t="n"/>
      <c r="CQ2559" s="204" t="n"/>
      <c r="CR2559" s="204" t="n"/>
      <c r="CS2559" s="204" t="n"/>
      <c r="CT2559" s="204" t="n"/>
      <c r="CU2559" s="204" t="n"/>
      <c r="CV2559" s="204" t="n"/>
      <c r="CW2559" s="204" t="n"/>
    </row>
    <row r="2560">
      <c r="BF2560" s="78" t="n"/>
      <c r="BG2560" s="78" t="n"/>
      <c r="BH2560" s="78" t="n"/>
      <c r="BI2560" s="78" t="n"/>
      <c r="BJ2560" s="139" t="n"/>
      <c r="BK2560" s="204" t="n"/>
      <c r="BL2560" s="141" t="n"/>
      <c r="BM2560" s="205" t="n"/>
      <c r="BN2560" s="205" t="n"/>
      <c r="BO2560" s="206" t="n"/>
      <c r="BP2560" s="144" t="n"/>
      <c r="BQ2560" s="141" t="n"/>
      <c r="BR2560" s="207" t="n"/>
      <c r="BS2560" s="207" t="n"/>
      <c r="BT2560" s="207" t="n"/>
      <c r="BU2560" s="207" t="n"/>
      <c r="BV2560" s="208" t="n"/>
      <c r="BW2560" s="207" t="n"/>
      <c r="BX2560" s="207" t="n"/>
      <c r="BY2560" s="204" t="n"/>
      <c r="BZ2560" s="148" t="n"/>
      <c r="CA2560" s="204" t="n"/>
      <c r="CB2560" s="208" t="n"/>
      <c r="CC2560" s="139" t="n"/>
      <c r="CD2560" s="204" t="n"/>
      <c r="CE2560" s="204" t="n"/>
      <c r="CF2560" s="207" t="n"/>
      <c r="CG2560" s="208" t="n"/>
      <c r="CH2560" s="207" t="n"/>
      <c r="CI2560" s="208" t="n"/>
      <c r="CJ2560" s="204" t="n"/>
      <c r="CK2560" s="208" t="n"/>
      <c r="CL2560" s="208" t="n"/>
      <c r="CM2560" s="208" t="n"/>
      <c r="CN2560" s="78" t="n"/>
      <c r="CO2560" s="209" t="n"/>
      <c r="CP2560" s="204" t="n"/>
      <c r="CQ2560" s="204" t="n"/>
      <c r="CR2560" s="204" t="n"/>
      <c r="CS2560" s="204" t="n"/>
      <c r="CT2560" s="204" t="n"/>
      <c r="CU2560" s="204" t="n"/>
      <c r="CV2560" s="204" t="n"/>
      <c r="CW2560" s="204" t="n"/>
    </row>
    <row r="2561">
      <c r="BF2561" s="78" t="n"/>
      <c r="BG2561" s="78" t="n"/>
      <c r="BH2561" s="78" t="n"/>
      <c r="BI2561" s="78" t="n"/>
      <c r="BJ2561" s="139" t="n"/>
      <c r="BK2561" s="204" t="n"/>
      <c r="BL2561" s="141" t="n"/>
      <c r="BM2561" s="205" t="n"/>
      <c r="BN2561" s="205" t="n"/>
      <c r="BO2561" s="206" t="n"/>
      <c r="BP2561" s="144" t="n"/>
      <c r="BQ2561" s="141" t="n"/>
      <c r="BR2561" s="207" t="n"/>
      <c r="BS2561" s="207" t="n"/>
      <c r="BT2561" s="207" t="n"/>
      <c r="BU2561" s="207" t="n"/>
      <c r="BV2561" s="208" t="n"/>
      <c r="BW2561" s="207" t="n"/>
      <c r="BX2561" s="207" t="n"/>
      <c r="BY2561" s="204" t="n"/>
      <c r="BZ2561" s="148" t="n"/>
      <c r="CA2561" s="204" t="n"/>
      <c r="CB2561" s="208" t="n"/>
      <c r="CC2561" s="139" t="n"/>
      <c r="CD2561" s="204" t="n"/>
      <c r="CE2561" s="204" t="n"/>
      <c r="CF2561" s="207" t="n"/>
      <c r="CG2561" s="208" t="n"/>
      <c r="CH2561" s="207" t="n"/>
      <c r="CI2561" s="208" t="n"/>
      <c r="CJ2561" s="204" t="n"/>
      <c r="CK2561" s="208" t="n"/>
      <c r="CL2561" s="208" t="n"/>
      <c r="CM2561" s="208" t="n"/>
      <c r="CN2561" s="78" t="n"/>
      <c r="CO2561" s="209" t="n"/>
      <c r="CP2561" s="204" t="n"/>
      <c r="CQ2561" s="204" t="n"/>
      <c r="CR2561" s="204" t="n"/>
      <c r="CS2561" s="204" t="n"/>
      <c r="CT2561" s="204" t="n"/>
      <c r="CU2561" s="204" t="n"/>
      <c r="CV2561" s="204" t="n"/>
      <c r="CW2561" s="204" t="n"/>
    </row>
    <row r="2562">
      <c r="BF2562" s="78" t="n"/>
      <c r="BG2562" s="78" t="n"/>
      <c r="BH2562" s="78" t="n"/>
      <c r="BI2562" s="78" t="n"/>
      <c r="BJ2562" s="139" t="n"/>
      <c r="BK2562" s="204" t="n"/>
      <c r="BL2562" s="141" t="n"/>
      <c r="BM2562" s="205" t="n"/>
      <c r="BN2562" s="205" t="n"/>
      <c r="BO2562" s="206" t="n"/>
      <c r="BP2562" s="144" t="n"/>
      <c r="BQ2562" s="141" t="n"/>
      <c r="BR2562" s="207" t="n"/>
      <c r="BS2562" s="207" t="n"/>
      <c r="BT2562" s="207" t="n"/>
      <c r="BU2562" s="207" t="n"/>
      <c r="BV2562" s="208" t="n"/>
      <c r="BW2562" s="207" t="n"/>
      <c r="BX2562" s="207" t="n"/>
      <c r="BY2562" s="204" t="n"/>
      <c r="BZ2562" s="148" t="n"/>
      <c r="CA2562" s="204" t="n"/>
      <c r="CB2562" s="208" t="n"/>
      <c r="CC2562" s="139" t="n"/>
      <c r="CD2562" s="204" t="n"/>
      <c r="CE2562" s="204" t="n"/>
      <c r="CF2562" s="207" t="n"/>
      <c r="CG2562" s="208" t="n"/>
      <c r="CH2562" s="207" t="n"/>
      <c r="CI2562" s="208" t="n"/>
      <c r="CJ2562" s="204" t="n"/>
      <c r="CK2562" s="208" t="n"/>
      <c r="CL2562" s="208" t="n"/>
      <c r="CM2562" s="208" t="n"/>
      <c r="CN2562" s="78" t="n"/>
      <c r="CO2562" s="209" t="n"/>
      <c r="CP2562" s="204" t="n"/>
      <c r="CQ2562" s="204" t="n"/>
      <c r="CR2562" s="204" t="n"/>
      <c r="CS2562" s="204" t="n"/>
      <c r="CT2562" s="204" t="n"/>
      <c r="CU2562" s="204" t="n"/>
      <c r="CV2562" s="204" t="n"/>
      <c r="CW2562" s="204" t="n"/>
    </row>
    <row r="2563">
      <c r="BF2563" s="78" t="n"/>
      <c r="BG2563" s="78" t="n"/>
      <c r="BH2563" s="78" t="n"/>
      <c r="BI2563" s="78" t="n"/>
      <c r="BJ2563" s="139" t="n"/>
      <c r="BK2563" s="204" t="n"/>
      <c r="BL2563" s="141" t="n"/>
      <c r="BM2563" s="205" t="n"/>
      <c r="BN2563" s="205" t="n"/>
      <c r="BO2563" s="206" t="n"/>
      <c r="BP2563" s="144" t="n"/>
      <c r="BQ2563" s="141" t="n"/>
      <c r="BR2563" s="207" t="n"/>
      <c r="BS2563" s="207" t="n"/>
      <c r="BT2563" s="207" t="n"/>
      <c r="BU2563" s="207" t="n"/>
      <c r="BV2563" s="208" t="n"/>
      <c r="BW2563" s="207" t="n"/>
      <c r="BX2563" s="207" t="n"/>
      <c r="BY2563" s="204" t="n"/>
      <c r="BZ2563" s="148" t="n"/>
      <c r="CA2563" s="204" t="n"/>
      <c r="CB2563" s="208" t="n"/>
      <c r="CC2563" s="139" t="n"/>
      <c r="CD2563" s="204" t="n"/>
      <c r="CE2563" s="204" t="n"/>
      <c r="CF2563" s="207" t="n"/>
      <c r="CG2563" s="208" t="n"/>
      <c r="CH2563" s="207" t="n"/>
      <c r="CI2563" s="208" t="n"/>
      <c r="CJ2563" s="204" t="n"/>
      <c r="CK2563" s="208" t="n"/>
      <c r="CL2563" s="208" t="n"/>
      <c r="CM2563" s="208" t="n"/>
      <c r="CN2563" s="78" t="n"/>
      <c r="CO2563" s="209" t="n"/>
      <c r="CP2563" s="204" t="n"/>
      <c r="CQ2563" s="204" t="n"/>
      <c r="CR2563" s="204" t="n"/>
      <c r="CS2563" s="204" t="n"/>
      <c r="CT2563" s="204" t="n"/>
      <c r="CU2563" s="204" t="n"/>
      <c r="CV2563" s="204" t="n"/>
      <c r="CW2563" s="204" t="n"/>
    </row>
    <row r="2564">
      <c r="BF2564" s="78" t="n"/>
      <c r="BG2564" s="78" t="n"/>
      <c r="BH2564" s="78" t="n"/>
      <c r="BI2564" s="78" t="n"/>
      <c r="BJ2564" s="139" t="n"/>
      <c r="BK2564" s="204" t="n"/>
      <c r="BL2564" s="141" t="n"/>
      <c r="BM2564" s="205" t="n"/>
      <c r="BN2564" s="205" t="n"/>
      <c r="BO2564" s="206" t="n"/>
      <c r="BP2564" s="144" t="n"/>
      <c r="BQ2564" s="141" t="n"/>
      <c r="BR2564" s="207" t="n"/>
      <c r="BS2564" s="207" t="n"/>
      <c r="BT2564" s="207" t="n"/>
      <c r="BU2564" s="207" t="n"/>
      <c r="BV2564" s="208" t="n"/>
      <c r="BW2564" s="207" t="n"/>
      <c r="BX2564" s="207" t="n"/>
      <c r="BY2564" s="204" t="n"/>
      <c r="BZ2564" s="148" t="n"/>
      <c r="CA2564" s="204" t="n"/>
      <c r="CB2564" s="208" t="n"/>
      <c r="CC2564" s="139" t="n"/>
      <c r="CD2564" s="204" t="n"/>
      <c r="CE2564" s="204" t="n"/>
      <c r="CF2564" s="207" t="n"/>
      <c r="CG2564" s="208" t="n"/>
      <c r="CH2564" s="207" t="n"/>
      <c r="CI2564" s="208" t="n"/>
      <c r="CJ2564" s="204" t="n"/>
      <c r="CK2564" s="208" t="n"/>
      <c r="CL2564" s="208" t="n"/>
      <c r="CM2564" s="208" t="n"/>
      <c r="CN2564" s="78" t="n"/>
      <c r="CO2564" s="209" t="n"/>
      <c r="CP2564" s="204" t="n"/>
      <c r="CQ2564" s="204" t="n"/>
      <c r="CR2564" s="204" t="n"/>
      <c r="CS2564" s="204" t="n"/>
      <c r="CT2564" s="204" t="n"/>
      <c r="CU2564" s="204" t="n"/>
      <c r="CV2564" s="204" t="n"/>
      <c r="CW2564" s="204" t="n"/>
    </row>
    <row r="2565">
      <c r="BF2565" s="78" t="n"/>
      <c r="BG2565" s="78" t="n"/>
      <c r="BH2565" s="78" t="n"/>
      <c r="BI2565" s="78" t="n"/>
      <c r="BJ2565" s="139" t="n"/>
      <c r="BK2565" s="204" t="n"/>
      <c r="BL2565" s="141" t="n"/>
      <c r="BM2565" s="205" t="n"/>
      <c r="BN2565" s="205" t="n"/>
      <c r="BO2565" s="206" t="n"/>
      <c r="BP2565" s="144" t="n"/>
      <c r="BQ2565" s="141" t="n"/>
      <c r="BR2565" s="207" t="n"/>
      <c r="BS2565" s="207" t="n"/>
      <c r="BT2565" s="207" t="n"/>
      <c r="BU2565" s="207" t="n"/>
      <c r="BV2565" s="208" t="n"/>
      <c r="BW2565" s="207" t="n"/>
      <c r="BX2565" s="207" t="n"/>
      <c r="BY2565" s="204" t="n"/>
      <c r="BZ2565" s="148" t="n"/>
      <c r="CA2565" s="204" t="n"/>
      <c r="CB2565" s="208" t="n"/>
      <c r="CC2565" s="139" t="n"/>
      <c r="CD2565" s="204" t="n"/>
      <c r="CE2565" s="204" t="n"/>
      <c r="CF2565" s="207" t="n"/>
      <c r="CG2565" s="208" t="n"/>
      <c r="CH2565" s="207" t="n"/>
      <c r="CI2565" s="208" t="n"/>
      <c r="CJ2565" s="204" t="n"/>
      <c r="CK2565" s="208" t="n"/>
      <c r="CL2565" s="208" t="n"/>
      <c r="CM2565" s="208" t="n"/>
      <c r="CN2565" s="78" t="n"/>
      <c r="CO2565" s="209" t="n"/>
      <c r="CP2565" s="204" t="n"/>
      <c r="CQ2565" s="204" t="n"/>
      <c r="CR2565" s="204" t="n"/>
      <c r="CS2565" s="204" t="n"/>
      <c r="CT2565" s="204" t="n"/>
      <c r="CU2565" s="204" t="n"/>
      <c r="CV2565" s="204" t="n"/>
      <c r="CW2565" s="204" t="n"/>
    </row>
    <row r="2566">
      <c r="AR2566" s="151" t="n"/>
      <c r="BF2566" s="78" t="n"/>
      <c r="BG2566" s="78" t="n"/>
      <c r="BH2566" s="78" t="n"/>
      <c r="BI2566" s="78" t="n"/>
      <c r="BJ2566" s="139" t="n"/>
      <c r="BK2566" s="204" t="n"/>
      <c r="BL2566" s="141" t="n"/>
      <c r="BM2566" s="205" t="n"/>
      <c r="BN2566" s="205" t="n"/>
      <c r="BO2566" s="206" t="n"/>
      <c r="BP2566" s="144" t="n"/>
      <c r="BQ2566" s="141" t="n"/>
      <c r="BR2566" s="207" t="n"/>
      <c r="BS2566" s="207" t="n"/>
      <c r="BT2566" s="207" t="n"/>
      <c r="BU2566" s="207" t="n"/>
      <c r="BV2566" s="208" t="n"/>
      <c r="BW2566" s="207" t="n"/>
      <c r="BX2566" s="207" t="n"/>
      <c r="BY2566" s="204" t="n"/>
      <c r="BZ2566" s="148" t="n"/>
      <c r="CA2566" s="204" t="n"/>
      <c r="CB2566" s="208" t="n"/>
      <c r="CC2566" s="139" t="n"/>
      <c r="CD2566" s="204" t="n"/>
      <c r="CE2566" s="204" t="n"/>
      <c r="CF2566" s="207" t="n"/>
      <c r="CG2566" s="208" t="n"/>
      <c r="CH2566" s="207" t="n"/>
      <c r="CI2566" s="208" t="n"/>
      <c r="CJ2566" s="204" t="n"/>
      <c r="CK2566" s="208" t="n"/>
      <c r="CL2566" s="208" t="n"/>
      <c r="CM2566" s="208" t="n"/>
      <c r="CN2566" s="78" t="n"/>
      <c r="CO2566" s="209" t="n"/>
      <c r="CP2566" s="204" t="n"/>
      <c r="CQ2566" s="204" t="n"/>
      <c r="CR2566" s="204" t="n"/>
      <c r="CS2566" s="204" t="n"/>
      <c r="CT2566" s="204" t="n"/>
      <c r="CU2566" s="204" t="n"/>
      <c r="CV2566" s="204" t="n"/>
      <c r="CW2566" s="204" t="n"/>
    </row>
    <row r="2567">
      <c r="AR2567" s="151" t="n"/>
      <c r="BF2567" s="78" t="n"/>
      <c r="BG2567" s="78" t="n"/>
      <c r="BH2567" s="78" t="n"/>
      <c r="BI2567" s="78" t="n"/>
      <c r="BJ2567" s="139" t="n"/>
      <c r="BK2567" s="204" t="n"/>
      <c r="BL2567" s="141" t="n"/>
      <c r="BM2567" s="205" t="n"/>
      <c r="BN2567" s="205" t="n"/>
      <c r="BO2567" s="206" t="n"/>
      <c r="BP2567" s="144" t="n"/>
      <c r="BQ2567" s="141" t="n"/>
      <c r="BR2567" s="207" t="n"/>
      <c r="BS2567" s="207" t="n"/>
      <c r="BT2567" s="207" t="n"/>
      <c r="BU2567" s="207" t="n"/>
      <c r="BV2567" s="208" t="n"/>
      <c r="BW2567" s="207" t="n"/>
      <c r="BX2567" s="207" t="n"/>
      <c r="BY2567" s="204" t="n"/>
      <c r="BZ2567" s="148" t="n"/>
      <c r="CA2567" s="204" t="n"/>
      <c r="CB2567" s="208" t="n"/>
      <c r="CC2567" s="139" t="n"/>
      <c r="CD2567" s="204" t="n"/>
      <c r="CE2567" s="204" t="n"/>
      <c r="CF2567" s="207" t="n"/>
      <c r="CG2567" s="208" t="n"/>
      <c r="CH2567" s="207" t="n"/>
      <c r="CI2567" s="208" t="n"/>
      <c r="CJ2567" s="204" t="n"/>
      <c r="CK2567" s="208" t="n"/>
      <c r="CL2567" s="208" t="n"/>
      <c r="CM2567" s="208" t="n"/>
      <c r="CN2567" s="78" t="n"/>
      <c r="CO2567" s="209" t="n"/>
      <c r="CP2567" s="204" t="n"/>
      <c r="CQ2567" s="204" t="n"/>
      <c r="CR2567" s="204" t="n"/>
      <c r="CS2567" s="204" t="n"/>
      <c r="CT2567" s="204" t="n"/>
      <c r="CU2567" s="204" t="n"/>
      <c r="CV2567" s="204" t="n"/>
      <c r="CW2567" s="204" t="n"/>
    </row>
    <row r="2568">
      <c r="BF2568" s="78" t="n"/>
      <c r="BG2568" s="78" t="n"/>
      <c r="BH2568" s="78" t="n"/>
      <c r="BI2568" s="78" t="n"/>
      <c r="BJ2568" s="139" t="n"/>
      <c r="BK2568" s="204" t="n"/>
      <c r="BL2568" s="141" t="n"/>
      <c r="BM2568" s="205" t="n"/>
      <c r="BN2568" s="205" t="n"/>
      <c r="BO2568" s="206" t="n"/>
      <c r="BP2568" s="144" t="n"/>
      <c r="BQ2568" s="141" t="n"/>
      <c r="BR2568" s="207" t="n"/>
      <c r="BS2568" s="207" t="n"/>
      <c r="BT2568" s="207" t="n"/>
      <c r="BU2568" s="207" t="n"/>
      <c r="BV2568" s="208" t="n"/>
      <c r="BW2568" s="207" t="n"/>
      <c r="BX2568" s="207" t="n"/>
      <c r="BY2568" s="204" t="n"/>
      <c r="BZ2568" s="148" t="n"/>
      <c r="CA2568" s="204" t="n"/>
      <c r="CB2568" s="208" t="n"/>
      <c r="CC2568" s="139" t="n"/>
      <c r="CD2568" s="204" t="n"/>
      <c r="CE2568" s="204" t="n"/>
      <c r="CF2568" s="207" t="n"/>
      <c r="CG2568" s="208" t="n"/>
      <c r="CH2568" s="207" t="n"/>
      <c r="CI2568" s="208" t="n"/>
      <c r="CJ2568" s="204" t="n"/>
      <c r="CK2568" s="208" t="n"/>
      <c r="CL2568" s="208" t="n"/>
      <c r="CM2568" s="208" t="n"/>
      <c r="CN2568" s="78" t="n"/>
      <c r="CO2568" s="209" t="n"/>
      <c r="CP2568" s="204" t="n"/>
      <c r="CQ2568" s="204" t="n"/>
      <c r="CR2568" s="204" t="n"/>
      <c r="CS2568" s="204" t="n"/>
      <c r="CT2568" s="204" t="n"/>
      <c r="CU2568" s="204" t="n"/>
      <c r="CV2568" s="204" t="n"/>
      <c r="CW2568" s="204" t="n"/>
    </row>
    <row r="2569">
      <c r="BF2569" s="78" t="n"/>
      <c r="BG2569" s="78" t="n"/>
      <c r="BH2569" s="78" t="n"/>
      <c r="BI2569" s="78" t="n"/>
      <c r="BJ2569" s="139" t="n"/>
      <c r="BK2569" s="204" t="n"/>
      <c r="BL2569" s="141" t="n"/>
      <c r="BM2569" s="205" t="n"/>
      <c r="BN2569" s="205" t="n"/>
      <c r="BO2569" s="206" t="n"/>
      <c r="BP2569" s="144" t="n"/>
      <c r="BQ2569" s="141" t="n"/>
      <c r="BR2569" s="207" t="n"/>
      <c r="BS2569" s="207" t="n"/>
      <c r="BT2569" s="207" t="n"/>
      <c r="BU2569" s="207" t="n"/>
      <c r="BV2569" s="208" t="n"/>
      <c r="BW2569" s="207" t="n"/>
      <c r="BX2569" s="207" t="n"/>
      <c r="BY2569" s="204" t="n"/>
      <c r="BZ2569" s="148" t="n"/>
      <c r="CA2569" s="204" t="n"/>
      <c r="CB2569" s="208" t="n"/>
      <c r="CC2569" s="139" t="n"/>
      <c r="CD2569" s="204" t="n"/>
      <c r="CE2569" s="204" t="n"/>
      <c r="CF2569" s="207" t="n"/>
      <c r="CG2569" s="208" t="n"/>
      <c r="CH2569" s="207" t="n"/>
      <c r="CI2569" s="208" t="n"/>
      <c r="CJ2569" s="204" t="n"/>
      <c r="CK2569" s="208" t="n"/>
      <c r="CL2569" s="208" t="n"/>
      <c r="CM2569" s="208" t="n"/>
      <c r="CN2569" s="78" t="n"/>
      <c r="CO2569" s="209" t="n"/>
      <c r="CP2569" s="204" t="n"/>
      <c r="CQ2569" s="204" t="n"/>
      <c r="CR2569" s="204" t="n"/>
      <c r="CS2569" s="204" t="n"/>
      <c r="CT2569" s="204" t="n"/>
      <c r="CU2569" s="204" t="n"/>
      <c r="CV2569" s="204" t="n"/>
      <c r="CW2569" s="204" t="n"/>
    </row>
    <row r="2570">
      <c r="BF2570" s="78" t="n"/>
      <c r="BG2570" s="78" t="n"/>
      <c r="BH2570" s="78" t="n"/>
      <c r="BI2570" s="78" t="n"/>
      <c r="BJ2570" s="139" t="n"/>
      <c r="BK2570" s="204" t="n"/>
      <c r="BL2570" s="141" t="n"/>
      <c r="BM2570" s="205" t="n"/>
      <c r="BN2570" s="205" t="n"/>
      <c r="BO2570" s="206" t="n"/>
      <c r="BP2570" s="144" t="n"/>
      <c r="BQ2570" s="141" t="n"/>
      <c r="BR2570" s="207" t="n"/>
      <c r="BS2570" s="207" t="n"/>
      <c r="BT2570" s="207" t="n"/>
      <c r="BU2570" s="207" t="n"/>
      <c r="BV2570" s="208" t="n"/>
      <c r="BW2570" s="207" t="n"/>
      <c r="BX2570" s="207" t="n"/>
      <c r="BY2570" s="204" t="n"/>
      <c r="BZ2570" s="148" t="n"/>
      <c r="CA2570" s="204" t="n"/>
      <c r="CB2570" s="208" t="n"/>
      <c r="CC2570" s="139" t="n"/>
      <c r="CD2570" s="204" t="n"/>
      <c r="CE2570" s="204" t="n"/>
      <c r="CF2570" s="207" t="n"/>
      <c r="CG2570" s="208" t="n"/>
      <c r="CH2570" s="207" t="n"/>
      <c r="CI2570" s="208" t="n"/>
      <c r="CJ2570" s="204" t="n"/>
      <c r="CK2570" s="208" t="n"/>
      <c r="CL2570" s="208" t="n"/>
      <c r="CM2570" s="208" t="n"/>
      <c r="CN2570" s="78" t="n"/>
      <c r="CO2570" s="209" t="n"/>
      <c r="CP2570" s="204" t="n"/>
      <c r="CQ2570" s="204" t="n"/>
      <c r="CR2570" s="204" t="n"/>
      <c r="CS2570" s="204" t="n"/>
      <c r="CT2570" s="204" t="n"/>
      <c r="CU2570" s="204" t="n"/>
      <c r="CV2570" s="204" t="n"/>
      <c r="CW2570" s="204" t="n"/>
    </row>
    <row r="2571">
      <c r="BF2571" s="78" t="n"/>
      <c r="BG2571" s="78" t="n"/>
      <c r="BH2571" s="78" t="n"/>
      <c r="BI2571" s="78" t="n"/>
      <c r="BJ2571" s="139" t="n"/>
      <c r="BK2571" s="204" t="n"/>
      <c r="BL2571" s="141" t="n"/>
      <c r="BM2571" s="205" t="n"/>
      <c r="BN2571" s="205" t="n"/>
      <c r="BO2571" s="206" t="n"/>
      <c r="BP2571" s="144" t="n"/>
      <c r="BQ2571" s="141" t="n"/>
      <c r="BR2571" s="207" t="n"/>
      <c r="BS2571" s="207" t="n"/>
      <c r="BT2571" s="207" t="n"/>
      <c r="BU2571" s="207" t="n"/>
      <c r="BV2571" s="208" t="n"/>
      <c r="BW2571" s="207" t="n"/>
      <c r="BX2571" s="207" t="n"/>
      <c r="BY2571" s="204" t="n"/>
      <c r="BZ2571" s="148" t="n"/>
      <c r="CA2571" s="204" t="n"/>
      <c r="CB2571" s="208" t="n"/>
      <c r="CC2571" s="139" t="n"/>
      <c r="CD2571" s="204" t="n"/>
      <c r="CE2571" s="204" t="n"/>
      <c r="CF2571" s="207" t="n"/>
      <c r="CG2571" s="208" t="n"/>
      <c r="CH2571" s="207" t="n"/>
      <c r="CI2571" s="208" t="n"/>
      <c r="CJ2571" s="204" t="n"/>
      <c r="CK2571" s="208" t="n"/>
      <c r="CL2571" s="208" t="n"/>
      <c r="CM2571" s="208" t="n"/>
      <c r="CN2571" s="78" t="n"/>
      <c r="CO2571" s="209" t="n"/>
      <c r="CP2571" s="204" t="n"/>
      <c r="CQ2571" s="204" t="n"/>
      <c r="CR2571" s="204" t="n"/>
      <c r="CS2571" s="204" t="n"/>
      <c r="CT2571" s="204" t="n"/>
      <c r="CU2571" s="204" t="n"/>
      <c r="CV2571" s="204" t="n"/>
      <c r="CW2571" s="204" t="n"/>
    </row>
    <row r="2572">
      <c r="BF2572" s="78" t="n"/>
      <c r="BG2572" s="78" t="n"/>
      <c r="BH2572" s="78" t="n"/>
      <c r="BI2572" s="78" t="n"/>
      <c r="BJ2572" s="139" t="n"/>
      <c r="BK2572" s="204" t="n"/>
      <c r="BL2572" s="141" t="n"/>
      <c r="BM2572" s="205" t="n"/>
      <c r="BN2572" s="205" t="n"/>
      <c r="BO2572" s="206" t="n"/>
      <c r="BP2572" s="144" t="n"/>
      <c r="BQ2572" s="141" t="n"/>
      <c r="BR2572" s="207" t="n"/>
      <c r="BS2572" s="207" t="n"/>
      <c r="BT2572" s="207" t="n"/>
      <c r="BU2572" s="207" t="n"/>
      <c r="BV2572" s="208" t="n"/>
      <c r="BW2572" s="207" t="n"/>
      <c r="BX2572" s="207" t="n"/>
      <c r="BY2572" s="204" t="n"/>
      <c r="BZ2572" s="148" t="n"/>
      <c r="CA2572" s="204" t="n"/>
      <c r="CB2572" s="208" t="n"/>
      <c r="CC2572" s="139" t="n"/>
      <c r="CD2572" s="204" t="n"/>
      <c r="CE2572" s="204" t="n"/>
      <c r="CF2572" s="207" t="n"/>
      <c r="CG2572" s="208" t="n"/>
      <c r="CH2572" s="207" t="n"/>
      <c r="CI2572" s="208" t="n"/>
      <c r="CJ2572" s="204" t="n"/>
      <c r="CK2572" s="208" t="n"/>
      <c r="CL2572" s="208" t="n"/>
      <c r="CM2572" s="208" t="n"/>
      <c r="CN2572" s="78" t="n"/>
      <c r="CO2572" s="209" t="n"/>
      <c r="CP2572" s="204" t="n"/>
      <c r="CQ2572" s="204" t="n"/>
      <c r="CR2572" s="204" t="n"/>
      <c r="CS2572" s="204" t="n"/>
      <c r="CT2572" s="204" t="n"/>
      <c r="CU2572" s="204" t="n"/>
      <c r="CV2572" s="204" t="n"/>
      <c r="CW2572" s="204" t="n"/>
    </row>
    <row r="2573">
      <c r="BF2573" s="78" t="n"/>
      <c r="BG2573" s="78" t="n"/>
      <c r="BH2573" s="78" t="n"/>
      <c r="BI2573" s="78" t="n"/>
      <c r="BJ2573" s="139" t="n"/>
      <c r="BK2573" s="204" t="n"/>
      <c r="BL2573" s="141" t="n"/>
      <c r="BM2573" s="205" t="n"/>
      <c r="BN2573" s="205" t="n"/>
      <c r="BO2573" s="206" t="n"/>
      <c r="BP2573" s="144" t="n"/>
      <c r="BQ2573" s="141" t="n"/>
      <c r="BR2573" s="207" t="n"/>
      <c r="BS2573" s="207" t="n"/>
      <c r="BT2573" s="207" t="n"/>
      <c r="BU2573" s="207" t="n"/>
      <c r="BV2573" s="208" t="n"/>
      <c r="BW2573" s="207" t="n"/>
      <c r="BX2573" s="207" t="n"/>
      <c r="BY2573" s="204" t="n"/>
      <c r="BZ2573" s="148" t="n"/>
      <c r="CA2573" s="204" t="n"/>
      <c r="CB2573" s="208" t="n"/>
      <c r="CC2573" s="139" t="n"/>
      <c r="CD2573" s="204" t="n"/>
      <c r="CE2573" s="204" t="n"/>
      <c r="CF2573" s="207" t="n"/>
      <c r="CG2573" s="208" t="n"/>
      <c r="CH2573" s="207" t="n"/>
      <c r="CI2573" s="208" t="n"/>
      <c r="CJ2573" s="204" t="n"/>
      <c r="CK2573" s="208" t="n"/>
      <c r="CL2573" s="208" t="n"/>
      <c r="CM2573" s="208" t="n"/>
      <c r="CN2573" s="78" t="n"/>
      <c r="CO2573" s="209" t="n"/>
      <c r="CP2573" s="204" t="n"/>
      <c r="CQ2573" s="204" t="n"/>
      <c r="CR2573" s="204" t="n"/>
      <c r="CS2573" s="204" t="n"/>
      <c r="CT2573" s="204" t="n"/>
      <c r="CU2573" s="204" t="n"/>
      <c r="CV2573" s="204" t="n"/>
      <c r="CW2573" s="204" t="n"/>
    </row>
    <row r="2574">
      <c r="BF2574" s="78" t="n"/>
      <c r="BG2574" s="78" t="n"/>
      <c r="BH2574" s="78" t="n"/>
      <c r="BI2574" s="78" t="n"/>
      <c r="BJ2574" s="139" t="n"/>
      <c r="BK2574" s="204" t="n"/>
      <c r="BL2574" s="141" t="n"/>
      <c r="BM2574" s="205" t="n"/>
      <c r="BN2574" s="205" t="n"/>
      <c r="BO2574" s="206" t="n"/>
      <c r="BP2574" s="144" t="n"/>
      <c r="BQ2574" s="141" t="n"/>
      <c r="BR2574" s="207" t="n"/>
      <c r="BS2574" s="207" t="n"/>
      <c r="BT2574" s="207" t="n"/>
      <c r="BU2574" s="207" t="n"/>
      <c r="BV2574" s="208" t="n"/>
      <c r="BW2574" s="207" t="n"/>
      <c r="BX2574" s="207" t="n"/>
      <c r="BY2574" s="204" t="n"/>
      <c r="BZ2574" s="148" t="n"/>
      <c r="CA2574" s="204" t="n"/>
      <c r="CB2574" s="208" t="n"/>
      <c r="CC2574" s="139" t="n"/>
      <c r="CD2574" s="204" t="n"/>
      <c r="CE2574" s="204" t="n"/>
      <c r="CF2574" s="207" t="n"/>
      <c r="CG2574" s="208" t="n"/>
      <c r="CH2574" s="207" t="n"/>
      <c r="CI2574" s="208" t="n"/>
      <c r="CJ2574" s="204" t="n"/>
      <c r="CK2574" s="208" t="n"/>
      <c r="CL2574" s="208" t="n"/>
      <c r="CM2574" s="208" t="n"/>
      <c r="CN2574" s="78" t="n"/>
      <c r="CO2574" s="209" t="n"/>
      <c r="CP2574" s="204" t="n"/>
      <c r="CQ2574" s="204" t="n"/>
      <c r="CR2574" s="204" t="n"/>
      <c r="CS2574" s="204" t="n"/>
      <c r="CT2574" s="204" t="n"/>
      <c r="CU2574" s="204" t="n"/>
      <c r="CV2574" s="204" t="n"/>
      <c r="CW2574" s="204" t="n"/>
    </row>
    <row r="2575">
      <c r="BF2575" s="78" t="n"/>
      <c r="BG2575" s="78" t="n"/>
      <c r="BH2575" s="78" t="n"/>
      <c r="BI2575" s="78" t="n"/>
      <c r="BJ2575" s="139" t="n"/>
      <c r="BK2575" s="204" t="n"/>
      <c r="BL2575" s="141" t="n"/>
      <c r="BM2575" s="205" t="n"/>
      <c r="BN2575" s="205" t="n"/>
      <c r="BO2575" s="206" t="n"/>
      <c r="BP2575" s="144" t="n"/>
      <c r="BQ2575" s="141" t="n"/>
      <c r="BR2575" s="207" t="n"/>
      <c r="BS2575" s="207" t="n"/>
      <c r="BT2575" s="207" t="n"/>
      <c r="BU2575" s="207" t="n"/>
      <c r="BV2575" s="208" t="n"/>
      <c r="BW2575" s="207" t="n"/>
      <c r="BX2575" s="207" t="n"/>
      <c r="BY2575" s="204" t="n"/>
      <c r="BZ2575" s="148" t="n"/>
      <c r="CA2575" s="204" t="n"/>
      <c r="CB2575" s="208" t="n"/>
      <c r="CC2575" s="139" t="n"/>
      <c r="CD2575" s="204" t="n"/>
      <c r="CE2575" s="204" t="n"/>
      <c r="CF2575" s="207" t="n"/>
      <c r="CG2575" s="208" t="n"/>
      <c r="CH2575" s="207" t="n"/>
      <c r="CI2575" s="208" t="n"/>
      <c r="CJ2575" s="204" t="n"/>
      <c r="CK2575" s="208" t="n"/>
      <c r="CL2575" s="208" t="n"/>
      <c r="CM2575" s="208" t="n"/>
      <c r="CN2575" s="78" t="n"/>
      <c r="CO2575" s="209" t="n"/>
      <c r="CP2575" s="204" t="n"/>
      <c r="CQ2575" s="204" t="n"/>
      <c r="CR2575" s="204" t="n"/>
      <c r="CS2575" s="204" t="n"/>
      <c r="CT2575" s="204" t="n"/>
      <c r="CU2575" s="204" t="n"/>
      <c r="CV2575" s="204" t="n"/>
      <c r="CW2575" s="204" t="n"/>
    </row>
    <row r="2576">
      <c r="BF2576" s="78" t="n"/>
      <c r="BG2576" s="78" t="n"/>
      <c r="BH2576" s="78" t="n"/>
      <c r="BI2576" s="78" t="n"/>
      <c r="BJ2576" s="139" t="n"/>
      <c r="BK2576" s="204" t="n"/>
      <c r="BL2576" s="141" t="n"/>
      <c r="BM2576" s="205" t="n"/>
      <c r="BN2576" s="205" t="n"/>
      <c r="BO2576" s="206" t="n"/>
      <c r="BP2576" s="144" t="n"/>
      <c r="BQ2576" s="141" t="n"/>
      <c r="BR2576" s="207" t="n"/>
      <c r="BS2576" s="207" t="n"/>
      <c r="BT2576" s="207" t="n"/>
      <c r="BU2576" s="207" t="n"/>
      <c r="BV2576" s="208" t="n"/>
      <c r="BW2576" s="207" t="n"/>
      <c r="BX2576" s="207" t="n"/>
      <c r="BY2576" s="204" t="n"/>
      <c r="BZ2576" s="148" t="n"/>
      <c r="CA2576" s="204" t="n"/>
      <c r="CB2576" s="208" t="n"/>
      <c r="CC2576" s="139" t="n"/>
      <c r="CD2576" s="204" t="n"/>
      <c r="CE2576" s="204" t="n"/>
      <c r="CF2576" s="207" t="n"/>
      <c r="CG2576" s="208" t="n"/>
      <c r="CH2576" s="207" t="n"/>
      <c r="CI2576" s="208" t="n"/>
      <c r="CJ2576" s="204" t="n"/>
      <c r="CK2576" s="208" t="n"/>
      <c r="CL2576" s="208" t="n"/>
      <c r="CM2576" s="208" t="n"/>
      <c r="CN2576" s="78" t="n"/>
      <c r="CO2576" s="209" t="n"/>
      <c r="CP2576" s="204" t="n"/>
      <c r="CQ2576" s="204" t="n"/>
      <c r="CR2576" s="204" t="n"/>
      <c r="CS2576" s="204" t="n"/>
      <c r="CT2576" s="204" t="n"/>
      <c r="CU2576" s="204" t="n"/>
      <c r="CV2576" s="204" t="n"/>
      <c r="CW2576" s="204" t="n"/>
    </row>
    <row r="2577">
      <c r="AR2577" s="151" t="n"/>
      <c r="BF2577" s="78" t="n"/>
      <c r="BG2577" s="78" t="n"/>
      <c r="BH2577" s="78" t="n"/>
      <c r="BI2577" s="78" t="n"/>
      <c r="BJ2577" s="139" t="n"/>
      <c r="BK2577" s="204" t="n"/>
      <c r="BL2577" s="141" t="n"/>
      <c r="BM2577" s="205" t="n"/>
      <c r="BN2577" s="205" t="n"/>
      <c r="BO2577" s="206" t="n"/>
      <c r="BP2577" s="144" t="n"/>
      <c r="BQ2577" s="141" t="n"/>
      <c r="BR2577" s="207" t="n"/>
      <c r="BS2577" s="207" t="n"/>
      <c r="BT2577" s="207" t="n"/>
      <c r="BU2577" s="207" t="n"/>
      <c r="BV2577" s="208" t="n"/>
      <c r="BW2577" s="207" t="n"/>
      <c r="BX2577" s="207" t="n"/>
      <c r="BY2577" s="204" t="n"/>
      <c r="BZ2577" s="148" t="n"/>
      <c r="CA2577" s="204" t="n"/>
      <c r="CB2577" s="208" t="n"/>
      <c r="CC2577" s="139" t="n"/>
      <c r="CD2577" s="204" t="n"/>
      <c r="CE2577" s="204" t="n"/>
      <c r="CF2577" s="207" t="n"/>
      <c r="CG2577" s="208" t="n"/>
      <c r="CH2577" s="207" t="n"/>
      <c r="CI2577" s="208" t="n"/>
      <c r="CJ2577" s="204" t="n"/>
      <c r="CK2577" s="208" t="n"/>
      <c r="CL2577" s="208" t="n"/>
      <c r="CM2577" s="208" t="n"/>
      <c r="CN2577" s="78" t="n"/>
      <c r="CO2577" s="209" t="n"/>
      <c r="CP2577" s="204" t="n"/>
      <c r="CQ2577" s="204" t="n"/>
      <c r="CR2577" s="204" t="n"/>
      <c r="CS2577" s="204" t="n"/>
      <c r="CT2577" s="204" t="n"/>
      <c r="CU2577" s="204" t="n"/>
      <c r="CV2577" s="204" t="n"/>
      <c r="CW2577" s="204" t="n"/>
    </row>
    <row r="2578">
      <c r="BF2578" s="78" t="n"/>
      <c r="BG2578" s="78" t="n"/>
      <c r="BH2578" s="78" t="n"/>
      <c r="BI2578" s="78" t="n"/>
      <c r="BJ2578" s="139" t="n"/>
      <c r="BK2578" s="204" t="n"/>
      <c r="BL2578" s="141" t="n"/>
      <c r="BM2578" s="205" t="n"/>
      <c r="BN2578" s="205" t="n"/>
      <c r="BO2578" s="206" t="n"/>
      <c r="BP2578" s="144" t="n"/>
      <c r="BQ2578" s="141" t="n"/>
      <c r="BR2578" s="207" t="n"/>
      <c r="BS2578" s="207" t="n"/>
      <c r="BT2578" s="207" t="n"/>
      <c r="BU2578" s="207" t="n"/>
      <c r="BV2578" s="208" t="n"/>
      <c r="BW2578" s="207" t="n"/>
      <c r="BX2578" s="207" t="n"/>
      <c r="BY2578" s="204" t="n"/>
      <c r="BZ2578" s="148" t="n"/>
      <c r="CA2578" s="204" t="n"/>
      <c r="CB2578" s="208" t="n"/>
      <c r="CC2578" s="139" t="n"/>
      <c r="CD2578" s="204" t="n"/>
      <c r="CE2578" s="204" t="n"/>
      <c r="CF2578" s="207" t="n"/>
      <c r="CG2578" s="208" t="n"/>
      <c r="CH2578" s="207" t="n"/>
      <c r="CI2578" s="208" t="n"/>
      <c r="CJ2578" s="204" t="n"/>
      <c r="CK2578" s="208" t="n"/>
      <c r="CL2578" s="208" t="n"/>
      <c r="CM2578" s="208" t="n"/>
      <c r="CN2578" s="78" t="n"/>
      <c r="CO2578" s="209" t="n"/>
      <c r="CP2578" s="204" t="n"/>
      <c r="CQ2578" s="204" t="n"/>
      <c r="CR2578" s="204" t="n"/>
      <c r="CS2578" s="204" t="n"/>
      <c r="CT2578" s="204" t="n"/>
      <c r="CU2578" s="204" t="n"/>
      <c r="CV2578" s="204" t="n"/>
      <c r="CW2578" s="204" t="n"/>
    </row>
    <row r="2579">
      <c r="BF2579" s="78" t="n"/>
      <c r="BG2579" s="78" t="n"/>
      <c r="BH2579" s="78" t="n"/>
      <c r="BI2579" s="78" t="n"/>
      <c r="BJ2579" s="139" t="n"/>
      <c r="BK2579" s="204" t="n"/>
      <c r="BL2579" s="141" t="n"/>
      <c r="BM2579" s="205" t="n"/>
      <c r="BN2579" s="205" t="n"/>
      <c r="BO2579" s="206" t="n"/>
      <c r="BP2579" s="144" t="n"/>
      <c r="BQ2579" s="141" t="n"/>
      <c r="BR2579" s="207" t="n"/>
      <c r="BS2579" s="207" t="n"/>
      <c r="BT2579" s="207" t="n"/>
      <c r="BU2579" s="207" t="n"/>
      <c r="BV2579" s="208" t="n"/>
      <c r="BW2579" s="207" t="n"/>
      <c r="BX2579" s="207" t="n"/>
      <c r="BY2579" s="204" t="n"/>
      <c r="BZ2579" s="148" t="n"/>
      <c r="CA2579" s="204" t="n"/>
      <c r="CB2579" s="208" t="n"/>
      <c r="CC2579" s="139" t="n"/>
      <c r="CD2579" s="204" t="n"/>
      <c r="CE2579" s="204" t="n"/>
      <c r="CF2579" s="207" t="n"/>
      <c r="CG2579" s="208" t="n"/>
      <c r="CH2579" s="207" t="n"/>
      <c r="CI2579" s="208" t="n"/>
      <c r="CJ2579" s="204" t="n"/>
      <c r="CK2579" s="208" t="n"/>
      <c r="CL2579" s="208" t="n"/>
      <c r="CM2579" s="208" t="n"/>
      <c r="CN2579" s="78" t="n"/>
      <c r="CO2579" s="209" t="n"/>
      <c r="CP2579" s="204" t="n"/>
      <c r="CQ2579" s="204" t="n"/>
      <c r="CR2579" s="204" t="n"/>
      <c r="CS2579" s="204" t="n"/>
      <c r="CT2579" s="204" t="n"/>
      <c r="CU2579" s="204" t="n"/>
      <c r="CV2579" s="204" t="n"/>
      <c r="CW2579" s="204" t="n"/>
    </row>
    <row r="2580">
      <c r="BF2580" s="78" t="n"/>
      <c r="BG2580" s="78" t="n"/>
      <c r="BH2580" s="78" t="n"/>
      <c r="BI2580" s="78" t="n"/>
      <c r="BJ2580" s="139" t="n"/>
      <c r="BK2580" s="204" t="n"/>
      <c r="BL2580" s="141" t="n"/>
      <c r="BM2580" s="205" t="n"/>
      <c r="BN2580" s="205" t="n"/>
      <c r="BO2580" s="206" t="n"/>
      <c r="BP2580" s="144" t="n"/>
      <c r="BQ2580" s="141" t="n"/>
      <c r="BR2580" s="207" t="n"/>
      <c r="BS2580" s="207" t="n"/>
      <c r="BT2580" s="207" t="n"/>
      <c r="BU2580" s="207" t="n"/>
      <c r="BV2580" s="208" t="n"/>
      <c r="BW2580" s="207" t="n"/>
      <c r="BX2580" s="207" t="n"/>
      <c r="BY2580" s="204" t="n"/>
      <c r="BZ2580" s="148" t="n"/>
      <c r="CA2580" s="204" t="n"/>
      <c r="CB2580" s="208" t="n"/>
      <c r="CC2580" s="139" t="n"/>
      <c r="CD2580" s="204" t="n"/>
      <c r="CE2580" s="204" t="n"/>
      <c r="CF2580" s="207" t="n"/>
      <c r="CG2580" s="208" t="n"/>
      <c r="CH2580" s="207" t="n"/>
      <c r="CI2580" s="208" t="n"/>
      <c r="CJ2580" s="204" t="n"/>
      <c r="CK2580" s="208" t="n"/>
      <c r="CL2580" s="208" t="n"/>
      <c r="CM2580" s="208" t="n"/>
      <c r="CN2580" s="78" t="n"/>
      <c r="CO2580" s="209" t="n"/>
      <c r="CP2580" s="204" t="n"/>
      <c r="CQ2580" s="204" t="n"/>
      <c r="CR2580" s="204" t="n"/>
      <c r="CS2580" s="204" t="n"/>
      <c r="CT2580" s="204" t="n"/>
      <c r="CU2580" s="204" t="n"/>
      <c r="CV2580" s="204" t="n"/>
      <c r="CW2580" s="204" t="n"/>
    </row>
    <row r="2581">
      <c r="BF2581" s="78" t="n"/>
      <c r="BG2581" s="78" t="n"/>
      <c r="BH2581" s="78" t="n"/>
      <c r="BI2581" s="78" t="n"/>
      <c r="BJ2581" s="139" t="n"/>
      <c r="BK2581" s="204" t="n"/>
      <c r="BL2581" s="141" t="n"/>
      <c r="BM2581" s="205" t="n"/>
      <c r="BN2581" s="205" t="n"/>
      <c r="BO2581" s="206" t="n"/>
      <c r="BP2581" s="144" t="n"/>
      <c r="BQ2581" s="141" t="n"/>
      <c r="BR2581" s="207" t="n"/>
      <c r="BS2581" s="207" t="n"/>
      <c r="BT2581" s="207" t="n"/>
      <c r="BU2581" s="207" t="n"/>
      <c r="BV2581" s="208" t="n"/>
      <c r="BW2581" s="207" t="n"/>
      <c r="BX2581" s="207" t="n"/>
      <c r="BY2581" s="204" t="n"/>
      <c r="BZ2581" s="148" t="n"/>
      <c r="CA2581" s="204" t="n"/>
      <c r="CB2581" s="208" t="n"/>
      <c r="CC2581" s="139" t="n"/>
      <c r="CD2581" s="204" t="n"/>
      <c r="CE2581" s="204" t="n"/>
      <c r="CF2581" s="207" t="n"/>
      <c r="CG2581" s="208" t="n"/>
      <c r="CH2581" s="207" t="n"/>
      <c r="CI2581" s="208" t="n"/>
      <c r="CJ2581" s="204" t="n"/>
      <c r="CK2581" s="208" t="n"/>
      <c r="CL2581" s="208" t="n"/>
      <c r="CM2581" s="208" t="n"/>
      <c r="CN2581" s="78" t="n"/>
      <c r="CO2581" s="209" t="n"/>
      <c r="CP2581" s="204" t="n"/>
      <c r="CQ2581" s="204" t="n"/>
      <c r="CR2581" s="204" t="n"/>
      <c r="CS2581" s="204" t="n"/>
      <c r="CT2581" s="204" t="n"/>
      <c r="CU2581" s="204" t="n"/>
      <c r="CV2581" s="204" t="n"/>
      <c r="CW2581" s="204" t="n"/>
    </row>
    <row r="2582">
      <c r="BF2582" s="78" t="n"/>
      <c r="BG2582" s="78" t="n"/>
      <c r="BH2582" s="78" t="n"/>
      <c r="BI2582" s="78" t="n"/>
      <c r="BJ2582" s="139" t="n"/>
      <c r="BK2582" s="204" t="n"/>
      <c r="BL2582" s="141" t="n"/>
      <c r="BM2582" s="205" t="n"/>
      <c r="BN2582" s="205" t="n"/>
      <c r="BO2582" s="206" t="n"/>
      <c r="BP2582" s="144" t="n"/>
      <c r="BQ2582" s="141" t="n"/>
      <c r="BR2582" s="207" t="n"/>
      <c r="BS2582" s="207" t="n"/>
      <c r="BT2582" s="207" t="n"/>
      <c r="BU2582" s="207" t="n"/>
      <c r="BV2582" s="208" t="n"/>
      <c r="BW2582" s="207" t="n"/>
      <c r="BX2582" s="207" t="n"/>
      <c r="BY2582" s="204" t="n"/>
      <c r="BZ2582" s="148" t="n"/>
      <c r="CA2582" s="204" t="n"/>
      <c r="CB2582" s="208" t="n"/>
      <c r="CC2582" s="139" t="n"/>
      <c r="CD2582" s="204" t="n"/>
      <c r="CE2582" s="204" t="n"/>
      <c r="CF2582" s="207" t="n"/>
      <c r="CG2582" s="208" t="n"/>
      <c r="CH2582" s="207" t="n"/>
      <c r="CI2582" s="208" t="n"/>
      <c r="CJ2582" s="204" t="n"/>
      <c r="CK2582" s="208" t="n"/>
      <c r="CL2582" s="208" t="n"/>
      <c r="CM2582" s="208" t="n"/>
      <c r="CN2582" s="78" t="n"/>
      <c r="CO2582" s="209" t="n"/>
      <c r="CP2582" s="204" t="n"/>
      <c r="CQ2582" s="204" t="n"/>
      <c r="CR2582" s="204" t="n"/>
      <c r="CS2582" s="204" t="n"/>
      <c r="CT2582" s="204" t="n"/>
      <c r="CU2582" s="204" t="n"/>
      <c r="CV2582" s="204" t="n"/>
      <c r="CW2582" s="204" t="n"/>
    </row>
    <row r="2583">
      <c r="BF2583" s="78" t="n"/>
      <c r="BG2583" s="78" t="n"/>
      <c r="BH2583" s="78" t="n"/>
      <c r="BI2583" s="78" t="n"/>
      <c r="BJ2583" s="139" t="n"/>
      <c r="BK2583" s="204" t="n"/>
      <c r="BL2583" s="141" t="n"/>
      <c r="BM2583" s="205" t="n"/>
      <c r="BN2583" s="205" t="n"/>
      <c r="BO2583" s="206" t="n"/>
      <c r="BP2583" s="144" t="n"/>
      <c r="BQ2583" s="141" t="n"/>
      <c r="BR2583" s="207" t="n"/>
      <c r="BS2583" s="207" t="n"/>
      <c r="BT2583" s="207" t="n"/>
      <c r="BU2583" s="207" t="n"/>
      <c r="BV2583" s="208" t="n"/>
      <c r="BW2583" s="207" t="n"/>
      <c r="BX2583" s="207" t="n"/>
      <c r="BY2583" s="204" t="n"/>
      <c r="BZ2583" s="148" t="n"/>
      <c r="CA2583" s="204" t="n"/>
      <c r="CB2583" s="208" t="n"/>
      <c r="CC2583" s="139" t="n"/>
      <c r="CD2583" s="204" t="n"/>
      <c r="CE2583" s="204" t="n"/>
      <c r="CF2583" s="207" t="n"/>
      <c r="CG2583" s="208" t="n"/>
      <c r="CH2583" s="207" t="n"/>
      <c r="CI2583" s="208" t="n"/>
      <c r="CJ2583" s="204" t="n"/>
      <c r="CK2583" s="208" t="n"/>
      <c r="CL2583" s="208" t="n"/>
      <c r="CM2583" s="208" t="n"/>
      <c r="CN2583" s="78" t="n"/>
      <c r="CO2583" s="209" t="n"/>
      <c r="CP2583" s="204" t="n"/>
      <c r="CQ2583" s="204" t="n"/>
      <c r="CR2583" s="204" t="n"/>
      <c r="CS2583" s="204" t="n"/>
      <c r="CT2583" s="204" t="n"/>
      <c r="CU2583" s="204" t="n"/>
      <c r="CV2583" s="204" t="n"/>
      <c r="CW2583" s="204" t="n"/>
    </row>
    <row r="2584">
      <c r="BF2584" s="78" t="n"/>
      <c r="BG2584" s="78" t="n"/>
      <c r="BH2584" s="78" t="n"/>
      <c r="BI2584" s="78" t="n"/>
      <c r="BJ2584" s="139" t="n"/>
      <c r="BK2584" s="204" t="n"/>
      <c r="BL2584" s="141" t="n"/>
      <c r="BM2584" s="205" t="n"/>
      <c r="BN2584" s="205" t="n"/>
      <c r="BO2584" s="206" t="n"/>
      <c r="BP2584" s="144" t="n"/>
      <c r="BQ2584" s="141" t="n"/>
      <c r="BR2584" s="207" t="n"/>
      <c r="BS2584" s="207" t="n"/>
      <c r="BT2584" s="207" t="n"/>
      <c r="BU2584" s="207" t="n"/>
      <c r="BV2584" s="208" t="n"/>
      <c r="BW2584" s="207" t="n"/>
      <c r="BX2584" s="207" t="n"/>
      <c r="BY2584" s="204" t="n"/>
      <c r="BZ2584" s="148" t="n"/>
      <c r="CA2584" s="204" t="n"/>
      <c r="CB2584" s="208" t="n"/>
      <c r="CC2584" s="139" t="n"/>
      <c r="CD2584" s="204" t="n"/>
      <c r="CE2584" s="204" t="n"/>
      <c r="CF2584" s="207" t="n"/>
      <c r="CG2584" s="208" t="n"/>
      <c r="CH2584" s="207" t="n"/>
      <c r="CI2584" s="208" t="n"/>
      <c r="CJ2584" s="204" t="n"/>
      <c r="CK2584" s="208" t="n"/>
      <c r="CL2584" s="208" t="n"/>
      <c r="CM2584" s="208" t="n"/>
      <c r="CN2584" s="78" t="n"/>
      <c r="CO2584" s="209" t="n"/>
      <c r="CP2584" s="204" t="n"/>
      <c r="CQ2584" s="204" t="n"/>
      <c r="CR2584" s="204" t="n"/>
      <c r="CS2584" s="204" t="n"/>
      <c r="CT2584" s="204" t="n"/>
      <c r="CU2584" s="204" t="n"/>
      <c r="CV2584" s="204" t="n"/>
      <c r="CW2584" s="204" t="n"/>
    </row>
    <row r="2585">
      <c r="BF2585" s="78" t="n"/>
      <c r="BG2585" s="78" t="n"/>
      <c r="BH2585" s="78" t="n"/>
      <c r="BI2585" s="78" t="n"/>
      <c r="BJ2585" s="139" t="n"/>
      <c r="BK2585" s="204" t="n"/>
      <c r="BL2585" s="141" t="n"/>
      <c r="BM2585" s="205" t="n"/>
      <c r="BN2585" s="205" t="n"/>
      <c r="BO2585" s="206" t="n"/>
      <c r="BP2585" s="144" t="n"/>
      <c r="BQ2585" s="141" t="n"/>
      <c r="BR2585" s="207" t="n"/>
      <c r="BS2585" s="207" t="n"/>
      <c r="BT2585" s="207" t="n"/>
      <c r="BU2585" s="207" t="n"/>
      <c r="BV2585" s="208" t="n"/>
      <c r="BW2585" s="207" t="n"/>
      <c r="BX2585" s="207" t="n"/>
      <c r="BY2585" s="204" t="n"/>
      <c r="BZ2585" s="148" t="n"/>
      <c r="CA2585" s="204" t="n"/>
      <c r="CB2585" s="208" t="n"/>
      <c r="CC2585" s="139" t="n"/>
      <c r="CD2585" s="204" t="n"/>
      <c r="CE2585" s="204" t="n"/>
      <c r="CF2585" s="207" t="n"/>
      <c r="CG2585" s="208" t="n"/>
      <c r="CH2585" s="207" t="n"/>
      <c r="CI2585" s="208" t="n"/>
      <c r="CJ2585" s="204" t="n"/>
      <c r="CK2585" s="208" t="n"/>
      <c r="CL2585" s="208" t="n"/>
      <c r="CM2585" s="208" t="n"/>
      <c r="CN2585" s="78" t="n"/>
      <c r="CO2585" s="209" t="n"/>
      <c r="CP2585" s="204" t="n"/>
      <c r="CQ2585" s="204" t="n"/>
      <c r="CR2585" s="204" t="n"/>
      <c r="CS2585" s="204" t="n"/>
      <c r="CT2585" s="204" t="n"/>
      <c r="CU2585" s="204" t="n"/>
      <c r="CV2585" s="204" t="n"/>
      <c r="CW2585" s="204" t="n"/>
    </row>
    <row r="2586">
      <c r="BF2586" s="78" t="n"/>
      <c r="BG2586" s="78" t="n"/>
      <c r="BH2586" s="78" t="n"/>
      <c r="BI2586" s="78" t="n"/>
      <c r="BJ2586" s="139" t="n"/>
      <c r="BK2586" s="204" t="n"/>
      <c r="BL2586" s="141" t="n"/>
      <c r="BM2586" s="205" t="n"/>
      <c r="BN2586" s="205" t="n"/>
      <c r="BO2586" s="206" t="n"/>
      <c r="BP2586" s="144" t="n"/>
      <c r="BQ2586" s="141" t="n"/>
      <c r="BR2586" s="207" t="n"/>
      <c r="BS2586" s="207" t="n"/>
      <c r="BT2586" s="207" t="n"/>
      <c r="BU2586" s="207" t="n"/>
      <c r="BV2586" s="208" t="n"/>
      <c r="BW2586" s="207" t="n"/>
      <c r="BX2586" s="207" t="n"/>
      <c r="BY2586" s="204" t="n"/>
      <c r="BZ2586" s="148" t="n"/>
      <c r="CA2586" s="204" t="n"/>
      <c r="CB2586" s="208" t="n"/>
      <c r="CC2586" s="139" t="n"/>
      <c r="CD2586" s="204" t="n"/>
      <c r="CE2586" s="204" t="n"/>
      <c r="CF2586" s="207" t="n"/>
      <c r="CG2586" s="208" t="n"/>
      <c r="CH2586" s="207" t="n"/>
      <c r="CI2586" s="208" t="n"/>
      <c r="CJ2586" s="204" t="n"/>
      <c r="CK2586" s="208" t="n"/>
      <c r="CL2586" s="208" t="n"/>
      <c r="CM2586" s="208" t="n"/>
      <c r="CN2586" s="78" t="n"/>
      <c r="CO2586" s="209" t="n"/>
      <c r="CP2586" s="204" t="n"/>
      <c r="CQ2586" s="204" t="n"/>
      <c r="CR2586" s="204" t="n"/>
      <c r="CS2586" s="204" t="n"/>
      <c r="CT2586" s="204" t="n"/>
      <c r="CU2586" s="204" t="n"/>
      <c r="CV2586" s="204" t="n"/>
      <c r="CW2586" s="204" t="n"/>
    </row>
    <row r="2587">
      <c r="BF2587" s="78" t="n"/>
      <c r="BG2587" s="78" t="n"/>
      <c r="BH2587" s="78" t="n"/>
      <c r="BI2587" s="78" t="n"/>
      <c r="BJ2587" s="139" t="n"/>
      <c r="BK2587" s="204" t="n"/>
      <c r="BL2587" s="141" t="n"/>
      <c r="BM2587" s="205" t="n"/>
      <c r="BN2587" s="205" t="n"/>
      <c r="BO2587" s="206" t="n"/>
      <c r="BP2587" s="144" t="n"/>
      <c r="BQ2587" s="141" t="n"/>
      <c r="BR2587" s="207" t="n"/>
      <c r="BS2587" s="207" t="n"/>
      <c r="BT2587" s="207" t="n"/>
      <c r="BU2587" s="207" t="n"/>
      <c r="BV2587" s="208" t="n"/>
      <c r="BW2587" s="207" t="n"/>
      <c r="BX2587" s="207" t="n"/>
      <c r="BY2587" s="204" t="n"/>
      <c r="BZ2587" s="148" t="n"/>
      <c r="CA2587" s="204" t="n"/>
      <c r="CB2587" s="208" t="n"/>
      <c r="CC2587" s="139" t="n"/>
      <c r="CD2587" s="204" t="n"/>
      <c r="CE2587" s="204" t="n"/>
      <c r="CF2587" s="207" t="n"/>
      <c r="CG2587" s="208" t="n"/>
      <c r="CH2587" s="207" t="n"/>
      <c r="CI2587" s="208" t="n"/>
      <c r="CJ2587" s="204" t="n"/>
      <c r="CK2587" s="208" t="n"/>
      <c r="CL2587" s="208" t="n"/>
      <c r="CM2587" s="208" t="n"/>
      <c r="CN2587" s="78" t="n"/>
      <c r="CO2587" s="209" t="n"/>
      <c r="CP2587" s="204" t="n"/>
      <c r="CQ2587" s="204" t="n"/>
      <c r="CR2587" s="204" t="n"/>
      <c r="CS2587" s="204" t="n"/>
      <c r="CT2587" s="204" t="n"/>
      <c r="CU2587" s="204" t="n"/>
      <c r="CV2587" s="204" t="n"/>
      <c r="CW2587" s="204" t="n"/>
    </row>
    <row r="2588">
      <c r="BF2588" s="78" t="n"/>
      <c r="BG2588" s="78" t="n"/>
      <c r="BH2588" s="78" t="n"/>
      <c r="BI2588" s="78" t="n"/>
      <c r="BJ2588" s="139" t="n"/>
      <c r="BK2588" s="204" t="n"/>
      <c r="BL2588" s="141" t="n"/>
      <c r="BM2588" s="205" t="n"/>
      <c r="BN2588" s="205" t="n"/>
      <c r="BO2588" s="206" t="n"/>
      <c r="BP2588" s="144" t="n"/>
      <c r="BQ2588" s="141" t="n"/>
      <c r="BR2588" s="207" t="n"/>
      <c r="BS2588" s="207" t="n"/>
      <c r="BT2588" s="207" t="n"/>
      <c r="BU2588" s="207" t="n"/>
      <c r="BV2588" s="208" t="n"/>
      <c r="BW2588" s="207" t="n"/>
      <c r="BX2588" s="207" t="n"/>
      <c r="BY2588" s="204" t="n"/>
      <c r="BZ2588" s="148" t="n"/>
      <c r="CA2588" s="204" t="n"/>
      <c r="CB2588" s="208" t="n"/>
      <c r="CC2588" s="139" t="n"/>
      <c r="CD2588" s="204" t="n"/>
      <c r="CE2588" s="204" t="n"/>
      <c r="CF2588" s="207" t="n"/>
      <c r="CG2588" s="208" t="n"/>
      <c r="CH2588" s="207" t="n"/>
      <c r="CI2588" s="208" t="n"/>
      <c r="CJ2588" s="204" t="n"/>
      <c r="CK2588" s="208" t="n"/>
      <c r="CL2588" s="208" t="n"/>
      <c r="CM2588" s="208" t="n"/>
      <c r="CN2588" s="78" t="n"/>
      <c r="CO2588" s="209" t="n"/>
      <c r="CP2588" s="204" t="n"/>
      <c r="CQ2588" s="204" t="n"/>
      <c r="CR2588" s="204" t="n"/>
      <c r="CS2588" s="204" t="n"/>
      <c r="CT2588" s="204" t="n"/>
      <c r="CU2588" s="204" t="n"/>
      <c r="CV2588" s="204" t="n"/>
      <c r="CW2588" s="204" t="n"/>
    </row>
    <row r="2589">
      <c r="BF2589" s="78" t="n"/>
      <c r="BG2589" s="78" t="n"/>
      <c r="BH2589" s="78" t="n"/>
      <c r="BI2589" s="78" t="n"/>
      <c r="BJ2589" s="139" t="n"/>
      <c r="BK2589" s="204" t="n"/>
      <c r="BL2589" s="141" t="n"/>
      <c r="BM2589" s="205" t="n"/>
      <c r="BN2589" s="205" t="n"/>
      <c r="BO2589" s="206" t="n"/>
      <c r="BP2589" s="144" t="n"/>
      <c r="BQ2589" s="141" t="n"/>
      <c r="BR2589" s="207" t="n"/>
      <c r="BS2589" s="207" t="n"/>
      <c r="BT2589" s="207" t="n"/>
      <c r="BU2589" s="207" t="n"/>
      <c r="BV2589" s="208" t="n"/>
      <c r="BW2589" s="207" t="n"/>
      <c r="BX2589" s="207" t="n"/>
      <c r="BY2589" s="204" t="n"/>
      <c r="BZ2589" s="148" t="n"/>
      <c r="CA2589" s="204" t="n"/>
      <c r="CB2589" s="208" t="n"/>
      <c r="CC2589" s="139" t="n"/>
      <c r="CD2589" s="204" t="n"/>
      <c r="CE2589" s="204" t="n"/>
      <c r="CF2589" s="207" t="n"/>
      <c r="CG2589" s="208" t="n"/>
      <c r="CH2589" s="207" t="n"/>
      <c r="CI2589" s="208" t="n"/>
      <c r="CJ2589" s="204" t="n"/>
      <c r="CK2589" s="208" t="n"/>
      <c r="CL2589" s="208" t="n"/>
      <c r="CM2589" s="208" t="n"/>
      <c r="CN2589" s="78" t="n"/>
      <c r="CO2589" s="209" t="n"/>
      <c r="CP2589" s="204" t="n"/>
      <c r="CQ2589" s="204" t="n"/>
      <c r="CR2589" s="204" t="n"/>
      <c r="CS2589" s="204" t="n"/>
      <c r="CT2589" s="204" t="n"/>
      <c r="CU2589" s="204" t="n"/>
      <c r="CV2589" s="204" t="n"/>
      <c r="CW2589" s="204" t="n"/>
    </row>
    <row r="2590">
      <c r="BF2590" s="78" t="n"/>
      <c r="BG2590" s="78" t="n"/>
      <c r="BH2590" s="78" t="n"/>
      <c r="BI2590" s="78" t="n"/>
      <c r="BJ2590" s="139" t="n"/>
      <c r="BK2590" s="204" t="n"/>
      <c r="BL2590" s="141" t="n"/>
      <c r="BM2590" s="205" t="n"/>
      <c r="BN2590" s="205" t="n"/>
      <c r="BO2590" s="206" t="n"/>
      <c r="BP2590" s="144" t="n"/>
      <c r="BQ2590" s="141" t="n"/>
      <c r="BR2590" s="207" t="n"/>
      <c r="BS2590" s="207" t="n"/>
      <c r="BT2590" s="207" t="n"/>
      <c r="BU2590" s="207" t="n"/>
      <c r="BV2590" s="208" t="n"/>
      <c r="BW2590" s="207" t="n"/>
      <c r="BX2590" s="207" t="n"/>
      <c r="BY2590" s="204" t="n"/>
      <c r="BZ2590" s="148" t="n"/>
      <c r="CA2590" s="204" t="n"/>
      <c r="CB2590" s="208" t="n"/>
      <c r="CC2590" s="139" t="n"/>
      <c r="CD2590" s="204" t="n"/>
      <c r="CE2590" s="204" t="n"/>
      <c r="CF2590" s="207" t="n"/>
      <c r="CG2590" s="208" t="n"/>
      <c r="CH2590" s="207" t="n"/>
      <c r="CI2590" s="208" t="n"/>
      <c r="CJ2590" s="204" t="n"/>
      <c r="CK2590" s="208" t="n"/>
      <c r="CL2590" s="208" t="n"/>
      <c r="CM2590" s="208" t="n"/>
      <c r="CN2590" s="78" t="n"/>
      <c r="CO2590" s="209" t="n"/>
      <c r="CP2590" s="204" t="n"/>
      <c r="CQ2590" s="204" t="n"/>
      <c r="CR2590" s="204" t="n"/>
      <c r="CS2590" s="204" t="n"/>
      <c r="CT2590" s="204" t="n"/>
      <c r="CU2590" s="204" t="n"/>
      <c r="CV2590" s="204" t="n"/>
      <c r="CW2590" s="204" t="n"/>
    </row>
    <row r="2591">
      <c r="BF2591" s="78" t="n"/>
      <c r="BG2591" s="78" t="n"/>
      <c r="BH2591" s="78" t="n"/>
      <c r="BI2591" s="78" t="n"/>
      <c r="BJ2591" s="139" t="n"/>
      <c r="BK2591" s="204" t="n"/>
      <c r="BL2591" s="141" t="n"/>
      <c r="BM2591" s="205" t="n"/>
      <c r="BN2591" s="205" t="n"/>
      <c r="BO2591" s="206" t="n"/>
      <c r="BP2591" s="144" t="n"/>
      <c r="BQ2591" s="141" t="n"/>
      <c r="BR2591" s="207" t="n"/>
      <c r="BS2591" s="207" t="n"/>
      <c r="BT2591" s="207" t="n"/>
      <c r="BU2591" s="207" t="n"/>
      <c r="BV2591" s="208" t="n"/>
      <c r="BW2591" s="207" t="n"/>
      <c r="BX2591" s="207" t="n"/>
      <c r="BY2591" s="204" t="n"/>
      <c r="BZ2591" s="148" t="n"/>
      <c r="CA2591" s="204" t="n"/>
      <c r="CB2591" s="208" t="n"/>
      <c r="CC2591" s="139" t="n"/>
      <c r="CD2591" s="204" t="n"/>
      <c r="CE2591" s="204" t="n"/>
      <c r="CF2591" s="207" t="n"/>
      <c r="CG2591" s="208" t="n"/>
      <c r="CH2591" s="207" t="n"/>
      <c r="CI2591" s="208" t="n"/>
      <c r="CJ2591" s="204" t="n"/>
      <c r="CK2591" s="208" t="n"/>
      <c r="CL2591" s="208" t="n"/>
      <c r="CM2591" s="208" t="n"/>
      <c r="CN2591" s="78" t="n"/>
      <c r="CO2591" s="209" t="n"/>
      <c r="CP2591" s="204" t="n"/>
      <c r="CQ2591" s="204" t="n"/>
      <c r="CR2591" s="204" t="n"/>
      <c r="CS2591" s="204" t="n"/>
      <c r="CT2591" s="204" t="n"/>
      <c r="CU2591" s="204" t="n"/>
      <c r="CV2591" s="204" t="n"/>
      <c r="CW2591" s="204" t="n"/>
    </row>
    <row r="2592">
      <c r="BF2592" s="78" t="n"/>
      <c r="BG2592" s="78" t="n"/>
      <c r="BH2592" s="78" t="n"/>
      <c r="BI2592" s="78" t="n"/>
      <c r="BJ2592" s="139" t="n"/>
      <c r="BK2592" s="204" t="n"/>
      <c r="BL2592" s="141" t="n"/>
      <c r="BM2592" s="205" t="n"/>
      <c r="BN2592" s="205" t="n"/>
      <c r="BO2592" s="206" t="n"/>
      <c r="BP2592" s="144" t="n"/>
      <c r="BQ2592" s="141" t="n"/>
      <c r="BR2592" s="207" t="n"/>
      <c r="BS2592" s="207" t="n"/>
      <c r="BT2592" s="207" t="n"/>
      <c r="BU2592" s="207" t="n"/>
      <c r="BV2592" s="208" t="n"/>
      <c r="BW2592" s="207" t="n"/>
      <c r="BX2592" s="207" t="n"/>
      <c r="BY2592" s="204" t="n"/>
      <c r="BZ2592" s="148" t="n"/>
      <c r="CA2592" s="204" t="n"/>
      <c r="CB2592" s="208" t="n"/>
      <c r="CC2592" s="139" t="n"/>
      <c r="CD2592" s="204" t="n"/>
      <c r="CE2592" s="204" t="n"/>
      <c r="CF2592" s="207" t="n"/>
      <c r="CG2592" s="208" t="n"/>
      <c r="CH2592" s="207" t="n"/>
      <c r="CI2592" s="208" t="n"/>
      <c r="CJ2592" s="204" t="n"/>
      <c r="CK2592" s="208" t="n"/>
      <c r="CL2592" s="208" t="n"/>
      <c r="CM2592" s="208" t="n"/>
      <c r="CN2592" s="78" t="n"/>
      <c r="CO2592" s="209" t="n"/>
      <c r="CP2592" s="204" t="n"/>
      <c r="CQ2592" s="204" t="n"/>
      <c r="CR2592" s="204" t="n"/>
      <c r="CS2592" s="204" t="n"/>
      <c r="CT2592" s="204" t="n"/>
      <c r="CU2592" s="204" t="n"/>
      <c r="CV2592" s="204" t="n"/>
      <c r="CW2592" s="204" t="n"/>
    </row>
    <row r="2593">
      <c r="BF2593" s="78" t="n"/>
      <c r="BG2593" s="78" t="n"/>
      <c r="BH2593" s="78" t="n"/>
      <c r="BI2593" s="78" t="n"/>
      <c r="BJ2593" s="139" t="n"/>
      <c r="BK2593" s="204" t="n"/>
      <c r="BL2593" s="141" t="n"/>
      <c r="BM2593" s="205" t="n"/>
      <c r="BN2593" s="205" t="n"/>
      <c r="BO2593" s="206" t="n"/>
      <c r="BP2593" s="144" t="n"/>
      <c r="BQ2593" s="141" t="n"/>
      <c r="BR2593" s="207" t="n"/>
      <c r="BS2593" s="207" t="n"/>
      <c r="BT2593" s="207" t="n"/>
      <c r="BU2593" s="207" t="n"/>
      <c r="BV2593" s="208" t="n"/>
      <c r="BW2593" s="207" t="n"/>
      <c r="BX2593" s="207" t="n"/>
      <c r="BY2593" s="204" t="n"/>
      <c r="BZ2593" s="148" t="n"/>
      <c r="CA2593" s="204" t="n"/>
      <c r="CB2593" s="208" t="n"/>
      <c r="CC2593" s="139" t="n"/>
      <c r="CD2593" s="204" t="n"/>
      <c r="CE2593" s="204" t="n"/>
      <c r="CF2593" s="207" t="n"/>
      <c r="CG2593" s="208" t="n"/>
      <c r="CH2593" s="207" t="n"/>
      <c r="CI2593" s="208" t="n"/>
      <c r="CJ2593" s="204" t="n"/>
      <c r="CK2593" s="208" t="n"/>
      <c r="CL2593" s="208" t="n"/>
      <c r="CM2593" s="208" t="n"/>
      <c r="CN2593" s="78" t="n"/>
      <c r="CO2593" s="209" t="n"/>
      <c r="CP2593" s="204" t="n"/>
      <c r="CQ2593" s="204" t="n"/>
      <c r="CR2593" s="204" t="n"/>
      <c r="CS2593" s="204" t="n"/>
      <c r="CT2593" s="204" t="n"/>
      <c r="CU2593" s="204" t="n"/>
      <c r="CV2593" s="204" t="n"/>
      <c r="CW2593" s="204" t="n"/>
    </row>
    <row r="2594">
      <c r="AR2594" s="151" t="n"/>
      <c r="BF2594" s="78" t="n"/>
      <c r="BG2594" s="78" t="n"/>
      <c r="BH2594" s="78" t="n"/>
      <c r="BI2594" s="78" t="n"/>
      <c r="BJ2594" s="139" t="n"/>
      <c r="BK2594" s="204" t="n"/>
      <c r="BL2594" s="141" t="n"/>
      <c r="BM2594" s="205" t="n"/>
      <c r="BN2594" s="205" t="n"/>
      <c r="BO2594" s="206" t="n"/>
      <c r="BP2594" s="144" t="n"/>
      <c r="BQ2594" s="141" t="n"/>
      <c r="BR2594" s="207" t="n"/>
      <c r="BS2594" s="207" t="n"/>
      <c r="BT2594" s="207" t="n"/>
      <c r="BU2594" s="207" t="n"/>
      <c r="BV2594" s="208" t="n"/>
      <c r="BW2594" s="207" t="n"/>
      <c r="BX2594" s="207" t="n"/>
      <c r="BY2594" s="204" t="n"/>
      <c r="BZ2594" s="148" t="n"/>
      <c r="CA2594" s="204" t="n"/>
      <c r="CB2594" s="208" t="n"/>
      <c r="CC2594" s="139" t="n"/>
      <c r="CD2594" s="204" t="n"/>
      <c r="CE2594" s="204" t="n"/>
      <c r="CF2594" s="207" t="n"/>
      <c r="CG2594" s="208" t="n"/>
      <c r="CH2594" s="207" t="n"/>
      <c r="CI2594" s="208" t="n"/>
      <c r="CJ2594" s="204" t="n"/>
      <c r="CK2594" s="208" t="n"/>
      <c r="CL2594" s="208" t="n"/>
      <c r="CM2594" s="208" t="n"/>
      <c r="CN2594" s="78" t="n"/>
      <c r="CO2594" s="209" t="n"/>
      <c r="CP2594" s="204" t="n"/>
      <c r="CQ2594" s="204" t="n"/>
      <c r="CR2594" s="204" t="n"/>
      <c r="CS2594" s="204" t="n"/>
      <c r="CT2594" s="204" t="n"/>
      <c r="CU2594" s="204" t="n"/>
      <c r="CV2594" s="204" t="n"/>
      <c r="CW2594" s="204" t="n"/>
    </row>
    <row r="2595">
      <c r="AR2595" s="151" t="n"/>
      <c r="BF2595" s="78" t="n"/>
      <c r="BG2595" s="78" t="n"/>
      <c r="BH2595" s="78" t="n"/>
      <c r="BI2595" s="78" t="n"/>
      <c r="BJ2595" s="139" t="n"/>
      <c r="BK2595" s="204" t="n"/>
      <c r="BL2595" s="141" t="n"/>
      <c r="BM2595" s="205" t="n"/>
      <c r="BN2595" s="205" t="n"/>
      <c r="BO2595" s="206" t="n"/>
      <c r="BP2595" s="144" t="n"/>
      <c r="BQ2595" s="141" t="n"/>
      <c r="BR2595" s="207" t="n"/>
      <c r="BS2595" s="207" t="n"/>
      <c r="BT2595" s="207" t="n"/>
      <c r="BU2595" s="207" t="n"/>
      <c r="BV2595" s="208" t="n"/>
      <c r="BW2595" s="207" t="n"/>
      <c r="BX2595" s="207" t="n"/>
      <c r="BY2595" s="204" t="n"/>
      <c r="BZ2595" s="148" t="n"/>
      <c r="CA2595" s="204" t="n"/>
      <c r="CB2595" s="208" t="n"/>
      <c r="CC2595" s="139" t="n"/>
      <c r="CD2595" s="204" t="n"/>
      <c r="CE2595" s="204" t="n"/>
      <c r="CF2595" s="207" t="n"/>
      <c r="CG2595" s="208" t="n"/>
      <c r="CH2595" s="207" t="n"/>
      <c r="CI2595" s="208" t="n"/>
      <c r="CJ2595" s="204" t="n"/>
      <c r="CK2595" s="208" t="n"/>
      <c r="CL2595" s="208" t="n"/>
      <c r="CM2595" s="208" t="n"/>
      <c r="CN2595" s="78" t="n"/>
      <c r="CO2595" s="209" t="n"/>
      <c r="CP2595" s="204" t="n"/>
      <c r="CQ2595" s="204" t="n"/>
      <c r="CR2595" s="204" t="n"/>
      <c r="CS2595" s="204" t="n"/>
      <c r="CT2595" s="204" t="n"/>
      <c r="CU2595" s="204" t="n"/>
      <c r="CV2595" s="204" t="n"/>
      <c r="CW2595" s="204" t="n"/>
    </row>
    <row r="2596">
      <c r="BF2596" s="78" t="n"/>
      <c r="BG2596" s="78" t="n"/>
      <c r="BH2596" s="78" t="n"/>
      <c r="BI2596" s="78" t="n"/>
      <c r="BJ2596" s="139" t="n"/>
      <c r="BK2596" s="204" t="n"/>
      <c r="BL2596" s="141" t="n"/>
      <c r="BM2596" s="205" t="n"/>
      <c r="BN2596" s="205" t="n"/>
      <c r="BO2596" s="206" t="n"/>
      <c r="BP2596" s="144" t="n"/>
      <c r="BQ2596" s="141" t="n"/>
      <c r="BR2596" s="207" t="n"/>
      <c r="BS2596" s="207" t="n"/>
      <c r="BT2596" s="207" t="n"/>
      <c r="BU2596" s="207" t="n"/>
      <c r="BV2596" s="208" t="n"/>
      <c r="BW2596" s="207" t="n"/>
      <c r="BX2596" s="207" t="n"/>
      <c r="BY2596" s="204" t="n"/>
      <c r="BZ2596" s="148" t="n"/>
      <c r="CA2596" s="204" t="n"/>
      <c r="CB2596" s="208" t="n"/>
      <c r="CC2596" s="139" t="n"/>
      <c r="CD2596" s="204" t="n"/>
      <c r="CE2596" s="204" t="n"/>
      <c r="CF2596" s="207" t="n"/>
      <c r="CG2596" s="208" t="n"/>
      <c r="CH2596" s="207" t="n"/>
      <c r="CI2596" s="208" t="n"/>
      <c r="CJ2596" s="204" t="n"/>
      <c r="CK2596" s="208" t="n"/>
      <c r="CL2596" s="208" t="n"/>
      <c r="CM2596" s="208" t="n"/>
      <c r="CN2596" s="78" t="n"/>
      <c r="CO2596" s="209" t="n"/>
      <c r="CP2596" s="204" t="n"/>
      <c r="CQ2596" s="204" t="n"/>
      <c r="CR2596" s="204" t="n"/>
      <c r="CS2596" s="204" t="n"/>
      <c r="CT2596" s="204" t="n"/>
      <c r="CU2596" s="204" t="n"/>
      <c r="CV2596" s="204" t="n"/>
      <c r="CW2596" s="204" t="n"/>
    </row>
    <row r="2597">
      <c r="BF2597" s="78" t="n"/>
      <c r="BG2597" s="78" t="n"/>
      <c r="BH2597" s="78" t="n"/>
      <c r="BI2597" s="78" t="n"/>
      <c r="BJ2597" s="139" t="n"/>
      <c r="BK2597" s="204" t="n"/>
      <c r="BL2597" s="141" t="n"/>
      <c r="BM2597" s="205" t="n"/>
      <c r="BN2597" s="205" t="n"/>
      <c r="BO2597" s="206" t="n"/>
      <c r="BP2597" s="144" t="n"/>
      <c r="BQ2597" s="141" t="n"/>
      <c r="BR2597" s="207" t="n"/>
      <c r="BS2597" s="207" t="n"/>
      <c r="BT2597" s="207" t="n"/>
      <c r="BU2597" s="207" t="n"/>
      <c r="BV2597" s="208" t="n"/>
      <c r="BW2597" s="207" t="n"/>
      <c r="BX2597" s="207" t="n"/>
      <c r="BY2597" s="204" t="n"/>
      <c r="BZ2597" s="148" t="n"/>
      <c r="CA2597" s="204" t="n"/>
      <c r="CB2597" s="208" t="n"/>
      <c r="CC2597" s="139" t="n"/>
      <c r="CD2597" s="204" t="n"/>
      <c r="CE2597" s="204" t="n"/>
      <c r="CF2597" s="207" t="n"/>
      <c r="CG2597" s="208" t="n"/>
      <c r="CH2597" s="207" t="n"/>
      <c r="CI2597" s="208" t="n"/>
      <c r="CJ2597" s="204" t="n"/>
      <c r="CK2597" s="208" t="n"/>
      <c r="CL2597" s="208" t="n"/>
      <c r="CM2597" s="208" t="n"/>
      <c r="CN2597" s="78" t="n"/>
      <c r="CO2597" s="209" t="n"/>
      <c r="CP2597" s="204" t="n"/>
      <c r="CQ2597" s="204" t="n"/>
      <c r="CR2597" s="204" t="n"/>
      <c r="CS2597" s="204" t="n"/>
      <c r="CT2597" s="204" t="n"/>
      <c r="CU2597" s="204" t="n"/>
      <c r="CV2597" s="204" t="n"/>
      <c r="CW2597" s="204" t="n"/>
    </row>
    <row r="2598">
      <c r="BF2598" s="78" t="n"/>
      <c r="BG2598" s="78" t="n"/>
      <c r="BH2598" s="78" t="n"/>
      <c r="BI2598" s="78" t="n"/>
      <c r="BJ2598" s="139" t="n"/>
      <c r="BK2598" s="204" t="n"/>
      <c r="BL2598" s="141" t="n"/>
      <c r="BM2598" s="205" t="n"/>
      <c r="BN2598" s="205" t="n"/>
      <c r="BO2598" s="206" t="n"/>
      <c r="BP2598" s="144" t="n"/>
      <c r="BQ2598" s="141" t="n"/>
      <c r="BR2598" s="207" t="n"/>
      <c r="BS2598" s="207" t="n"/>
      <c r="BT2598" s="207" t="n"/>
      <c r="BU2598" s="207" t="n"/>
      <c r="BV2598" s="208" t="n"/>
      <c r="BW2598" s="207" t="n"/>
      <c r="BX2598" s="207" t="n"/>
      <c r="BY2598" s="204" t="n"/>
      <c r="BZ2598" s="148" t="n"/>
      <c r="CA2598" s="204" t="n"/>
      <c r="CB2598" s="208" t="n"/>
      <c r="CC2598" s="139" t="n"/>
      <c r="CD2598" s="204" t="n"/>
      <c r="CE2598" s="204" t="n"/>
      <c r="CF2598" s="207" t="n"/>
      <c r="CG2598" s="208" t="n"/>
      <c r="CH2598" s="207" t="n"/>
      <c r="CI2598" s="208" t="n"/>
      <c r="CJ2598" s="204" t="n"/>
      <c r="CK2598" s="208" t="n"/>
      <c r="CL2598" s="208" t="n"/>
      <c r="CM2598" s="208" t="n"/>
      <c r="CN2598" s="78" t="n"/>
      <c r="CO2598" s="209" t="n"/>
      <c r="CP2598" s="204" t="n"/>
      <c r="CQ2598" s="204" t="n"/>
      <c r="CR2598" s="204" t="n"/>
      <c r="CS2598" s="204" t="n"/>
      <c r="CT2598" s="204" t="n"/>
      <c r="CU2598" s="204" t="n"/>
      <c r="CV2598" s="204" t="n"/>
      <c r="CW2598" s="204" t="n"/>
    </row>
    <row r="2599">
      <c r="BF2599" s="78" t="n"/>
      <c r="BG2599" s="78" t="n"/>
      <c r="BH2599" s="78" t="n"/>
      <c r="BI2599" s="78" t="n"/>
      <c r="BJ2599" s="139" t="n"/>
      <c r="BK2599" s="204" t="n"/>
      <c r="BL2599" s="141" t="n"/>
      <c r="BM2599" s="205" t="n"/>
      <c r="BN2599" s="205" t="n"/>
      <c r="BO2599" s="206" t="n"/>
      <c r="BP2599" s="144" t="n"/>
      <c r="BQ2599" s="141" t="n"/>
      <c r="BR2599" s="207" t="n"/>
      <c r="BS2599" s="207" t="n"/>
      <c r="BT2599" s="207" t="n"/>
      <c r="BU2599" s="207" t="n"/>
      <c r="BV2599" s="208" t="n"/>
      <c r="BW2599" s="207" t="n"/>
      <c r="BX2599" s="207" t="n"/>
      <c r="BY2599" s="204" t="n"/>
      <c r="BZ2599" s="148" t="n"/>
      <c r="CA2599" s="204" t="n"/>
      <c r="CB2599" s="208" t="n"/>
      <c r="CC2599" s="139" t="n"/>
      <c r="CD2599" s="204" t="n"/>
      <c r="CE2599" s="204" t="n"/>
      <c r="CF2599" s="207" t="n"/>
      <c r="CG2599" s="208" t="n"/>
      <c r="CH2599" s="207" t="n"/>
      <c r="CI2599" s="208" t="n"/>
      <c r="CJ2599" s="204" t="n"/>
      <c r="CK2599" s="208" t="n"/>
      <c r="CL2599" s="208" t="n"/>
      <c r="CM2599" s="208" t="n"/>
      <c r="CN2599" s="78" t="n"/>
      <c r="CO2599" s="209" t="n"/>
      <c r="CP2599" s="204" t="n"/>
      <c r="CQ2599" s="204" t="n"/>
      <c r="CR2599" s="204" t="n"/>
      <c r="CS2599" s="204" t="n"/>
      <c r="CT2599" s="204" t="n"/>
      <c r="CU2599" s="204" t="n"/>
      <c r="CV2599" s="204" t="n"/>
      <c r="CW2599" s="204" t="n"/>
    </row>
    <row r="2600">
      <c r="AR2600" s="151" t="n"/>
      <c r="BF2600" s="78" t="n"/>
      <c r="BG2600" s="78" t="n"/>
      <c r="BH2600" s="78" t="n"/>
      <c r="BI2600" s="78" t="n"/>
      <c r="BJ2600" s="139" t="n"/>
      <c r="BK2600" s="204" t="n"/>
      <c r="BL2600" s="141" t="n"/>
      <c r="BM2600" s="205" t="n"/>
      <c r="BN2600" s="205" t="n"/>
      <c r="BO2600" s="206" t="n"/>
      <c r="BP2600" s="144" t="n"/>
      <c r="BQ2600" s="141" t="n"/>
      <c r="BR2600" s="207" t="n"/>
      <c r="BS2600" s="207" t="n"/>
      <c r="BT2600" s="207" t="n"/>
      <c r="BU2600" s="207" t="n"/>
      <c r="BV2600" s="208" t="n"/>
      <c r="BW2600" s="207" t="n"/>
      <c r="BX2600" s="207" t="n"/>
      <c r="BY2600" s="204" t="n"/>
      <c r="BZ2600" s="148" t="n"/>
      <c r="CA2600" s="204" t="n"/>
      <c r="CB2600" s="208" t="n"/>
      <c r="CC2600" s="139" t="n"/>
      <c r="CD2600" s="204" t="n"/>
      <c r="CE2600" s="204" t="n"/>
      <c r="CF2600" s="207" t="n"/>
      <c r="CG2600" s="208" t="n"/>
      <c r="CH2600" s="207" t="n"/>
      <c r="CI2600" s="208" t="n"/>
      <c r="CJ2600" s="204" t="n"/>
      <c r="CK2600" s="208" t="n"/>
      <c r="CL2600" s="208" t="n"/>
      <c r="CM2600" s="208" t="n"/>
      <c r="CN2600" s="78" t="n"/>
      <c r="CO2600" s="209" t="n"/>
      <c r="CP2600" s="204" t="n"/>
      <c r="CQ2600" s="204" t="n"/>
      <c r="CR2600" s="204" t="n"/>
      <c r="CS2600" s="204" t="n"/>
      <c r="CT2600" s="204" t="n"/>
      <c r="CU2600" s="204" t="n"/>
      <c r="CV2600" s="204" t="n"/>
      <c r="CW2600" s="204" t="n"/>
    </row>
    <row r="2601">
      <c r="BF2601" s="78" t="n"/>
      <c r="BG2601" s="78" t="n"/>
      <c r="BH2601" s="78" t="n"/>
      <c r="BI2601" s="78" t="n"/>
      <c r="BJ2601" s="139" t="n"/>
      <c r="BK2601" s="204" t="n"/>
      <c r="BL2601" s="141" t="n"/>
      <c r="BM2601" s="205" t="n"/>
      <c r="BN2601" s="205" t="n"/>
      <c r="BO2601" s="206" t="n"/>
      <c r="BP2601" s="144" t="n"/>
      <c r="BQ2601" s="141" t="n"/>
      <c r="BR2601" s="207" t="n"/>
      <c r="BS2601" s="207" t="n"/>
      <c r="BT2601" s="207" t="n"/>
      <c r="BU2601" s="207" t="n"/>
      <c r="BV2601" s="208" t="n"/>
      <c r="BW2601" s="207" t="n"/>
      <c r="BX2601" s="207" t="n"/>
      <c r="BY2601" s="204" t="n"/>
      <c r="BZ2601" s="148" t="n"/>
      <c r="CA2601" s="204" t="n"/>
      <c r="CB2601" s="208" t="n"/>
      <c r="CC2601" s="139" t="n"/>
      <c r="CD2601" s="204" t="n"/>
      <c r="CE2601" s="204" t="n"/>
      <c r="CF2601" s="207" t="n"/>
      <c r="CG2601" s="208" t="n"/>
      <c r="CH2601" s="207" t="n"/>
      <c r="CI2601" s="208" t="n"/>
      <c r="CJ2601" s="204" t="n"/>
      <c r="CK2601" s="208" t="n"/>
      <c r="CL2601" s="208" t="n"/>
      <c r="CM2601" s="208" t="n"/>
      <c r="CN2601" s="78" t="n"/>
      <c r="CO2601" s="209" t="n"/>
      <c r="CP2601" s="204" t="n"/>
      <c r="CQ2601" s="204" t="n"/>
      <c r="CR2601" s="204" t="n"/>
      <c r="CS2601" s="204" t="n"/>
      <c r="CT2601" s="204" t="n"/>
      <c r="CU2601" s="204" t="n"/>
      <c r="CV2601" s="204" t="n"/>
      <c r="CW2601" s="204" t="n"/>
    </row>
    <row r="2602">
      <c r="BF2602" s="78" t="n"/>
      <c r="BG2602" s="78" t="n"/>
      <c r="BH2602" s="78" t="n"/>
      <c r="BI2602" s="78" t="n"/>
      <c r="BJ2602" s="139" t="n"/>
      <c r="BK2602" s="204" t="n"/>
      <c r="BL2602" s="141" t="n"/>
      <c r="BM2602" s="205" t="n"/>
      <c r="BN2602" s="205" t="n"/>
      <c r="BO2602" s="206" t="n"/>
      <c r="BP2602" s="144" t="n"/>
      <c r="BQ2602" s="141" t="n"/>
      <c r="BR2602" s="207" t="n"/>
      <c r="BS2602" s="207" t="n"/>
      <c r="BT2602" s="207" t="n"/>
      <c r="BU2602" s="207" t="n"/>
      <c r="BV2602" s="208" t="n"/>
      <c r="BW2602" s="207" t="n"/>
      <c r="BX2602" s="207" t="n"/>
      <c r="BY2602" s="204" t="n"/>
      <c r="BZ2602" s="148" t="n"/>
      <c r="CA2602" s="204" t="n"/>
      <c r="CB2602" s="208" t="n"/>
      <c r="CC2602" s="139" t="n"/>
      <c r="CD2602" s="204" t="n"/>
      <c r="CE2602" s="204" t="n"/>
      <c r="CF2602" s="207" t="n"/>
      <c r="CG2602" s="208" t="n"/>
      <c r="CH2602" s="207" t="n"/>
      <c r="CI2602" s="208" t="n"/>
      <c r="CJ2602" s="204" t="n"/>
      <c r="CK2602" s="208" t="n"/>
      <c r="CL2602" s="208" t="n"/>
      <c r="CM2602" s="208" t="n"/>
      <c r="CN2602" s="78" t="n"/>
      <c r="CO2602" s="209" t="n"/>
      <c r="CP2602" s="204" t="n"/>
      <c r="CQ2602" s="204" t="n"/>
      <c r="CR2602" s="204" t="n"/>
      <c r="CS2602" s="204" t="n"/>
      <c r="CT2602" s="204" t="n"/>
      <c r="CU2602" s="204" t="n"/>
      <c r="CV2602" s="204" t="n"/>
      <c r="CW2602" s="204" t="n"/>
    </row>
    <row r="2603">
      <c r="BF2603" s="78" t="n"/>
      <c r="BG2603" s="78" t="n"/>
      <c r="BH2603" s="78" t="n"/>
      <c r="BI2603" s="78" t="n"/>
      <c r="BJ2603" s="139" t="n"/>
      <c r="BK2603" s="204" t="n"/>
      <c r="BL2603" s="141" t="n"/>
      <c r="BM2603" s="205" t="n"/>
      <c r="BN2603" s="205" t="n"/>
      <c r="BO2603" s="206" t="n"/>
      <c r="BP2603" s="144" t="n"/>
      <c r="BQ2603" s="141" t="n"/>
      <c r="BR2603" s="207" t="n"/>
      <c r="BS2603" s="207" t="n"/>
      <c r="BT2603" s="207" t="n"/>
      <c r="BU2603" s="207" t="n"/>
      <c r="BV2603" s="208" t="n"/>
      <c r="BW2603" s="207" t="n"/>
      <c r="BX2603" s="207" t="n"/>
      <c r="BY2603" s="204" t="n"/>
      <c r="BZ2603" s="148" t="n"/>
      <c r="CA2603" s="204" t="n"/>
      <c r="CB2603" s="208" t="n"/>
      <c r="CC2603" s="139" t="n"/>
      <c r="CD2603" s="204" t="n"/>
      <c r="CE2603" s="204" t="n"/>
      <c r="CF2603" s="207" t="n"/>
      <c r="CG2603" s="208" t="n"/>
      <c r="CH2603" s="207" t="n"/>
      <c r="CI2603" s="208" t="n"/>
      <c r="CJ2603" s="204" t="n"/>
      <c r="CK2603" s="208" t="n"/>
      <c r="CL2603" s="208" t="n"/>
      <c r="CM2603" s="208" t="n"/>
      <c r="CN2603" s="78" t="n"/>
      <c r="CO2603" s="209" t="n"/>
      <c r="CP2603" s="204" t="n"/>
      <c r="CQ2603" s="204" t="n"/>
      <c r="CR2603" s="204" t="n"/>
      <c r="CS2603" s="204" t="n"/>
      <c r="CT2603" s="204" t="n"/>
      <c r="CU2603" s="204" t="n"/>
      <c r="CV2603" s="204" t="n"/>
      <c r="CW2603" s="204" t="n"/>
    </row>
    <row r="2604">
      <c r="BF2604" s="78" t="n"/>
      <c r="BG2604" s="78" t="n"/>
      <c r="BH2604" s="78" t="n"/>
      <c r="BI2604" s="78" t="n"/>
      <c r="BJ2604" s="139" t="n"/>
      <c r="BK2604" s="204" t="n"/>
      <c r="BL2604" s="141" t="n"/>
      <c r="BM2604" s="205" t="n"/>
      <c r="BN2604" s="205" t="n"/>
      <c r="BO2604" s="206" t="n"/>
      <c r="BP2604" s="144" t="n"/>
      <c r="BQ2604" s="141" t="n"/>
      <c r="BR2604" s="207" t="n"/>
      <c r="BS2604" s="207" t="n"/>
      <c r="BT2604" s="207" t="n"/>
      <c r="BU2604" s="207" t="n"/>
      <c r="BV2604" s="208" t="n"/>
      <c r="BW2604" s="207" t="n"/>
      <c r="BX2604" s="207" t="n"/>
      <c r="BY2604" s="204" t="n"/>
      <c r="BZ2604" s="148" t="n"/>
      <c r="CA2604" s="204" t="n"/>
      <c r="CB2604" s="208" t="n"/>
      <c r="CC2604" s="139" t="n"/>
      <c r="CD2604" s="204" t="n"/>
      <c r="CE2604" s="204" t="n"/>
      <c r="CF2604" s="207" t="n"/>
      <c r="CG2604" s="208" t="n"/>
      <c r="CH2604" s="207" t="n"/>
      <c r="CI2604" s="208" t="n"/>
      <c r="CJ2604" s="204" t="n"/>
      <c r="CK2604" s="208" t="n"/>
      <c r="CL2604" s="208" t="n"/>
      <c r="CM2604" s="208" t="n"/>
      <c r="CN2604" s="78" t="n"/>
      <c r="CO2604" s="209" t="n"/>
      <c r="CP2604" s="204" t="n"/>
      <c r="CQ2604" s="204" t="n"/>
      <c r="CR2604" s="204" t="n"/>
      <c r="CS2604" s="204" t="n"/>
      <c r="CT2604" s="204" t="n"/>
      <c r="CU2604" s="204" t="n"/>
      <c r="CV2604" s="204" t="n"/>
      <c r="CW2604" s="204" t="n"/>
    </row>
    <row r="2605">
      <c r="BF2605" s="78" t="n"/>
      <c r="BG2605" s="78" t="n"/>
      <c r="BH2605" s="78" t="n"/>
      <c r="BI2605" s="78" t="n"/>
      <c r="BJ2605" s="139" t="n"/>
      <c r="BK2605" s="204" t="n"/>
      <c r="BL2605" s="141" t="n"/>
      <c r="BM2605" s="205" t="n"/>
      <c r="BN2605" s="205" t="n"/>
      <c r="BO2605" s="206" t="n"/>
      <c r="BP2605" s="144" t="n"/>
      <c r="BQ2605" s="141" t="n"/>
      <c r="BR2605" s="207" t="n"/>
      <c r="BS2605" s="207" t="n"/>
      <c r="BT2605" s="207" t="n"/>
      <c r="BU2605" s="207" t="n"/>
      <c r="BV2605" s="208" t="n"/>
      <c r="BW2605" s="207" t="n"/>
      <c r="BX2605" s="207" t="n"/>
      <c r="BY2605" s="204" t="n"/>
      <c r="BZ2605" s="148" t="n"/>
      <c r="CA2605" s="204" t="n"/>
      <c r="CB2605" s="208" t="n"/>
      <c r="CC2605" s="139" t="n"/>
      <c r="CD2605" s="204" t="n"/>
      <c r="CE2605" s="204" t="n"/>
      <c r="CF2605" s="207" t="n"/>
      <c r="CG2605" s="208" t="n"/>
      <c r="CH2605" s="207" t="n"/>
      <c r="CI2605" s="208" t="n"/>
      <c r="CJ2605" s="204" t="n"/>
      <c r="CK2605" s="208" t="n"/>
      <c r="CL2605" s="208" t="n"/>
      <c r="CM2605" s="208" t="n"/>
      <c r="CN2605" s="78" t="n"/>
      <c r="CO2605" s="209" t="n"/>
      <c r="CP2605" s="204" t="n"/>
      <c r="CQ2605" s="204" t="n"/>
      <c r="CR2605" s="204" t="n"/>
      <c r="CS2605" s="204" t="n"/>
      <c r="CT2605" s="204" t="n"/>
      <c r="CU2605" s="204" t="n"/>
      <c r="CV2605" s="204" t="n"/>
      <c r="CW2605" s="204" t="n"/>
    </row>
    <row r="2606">
      <c r="BF2606" s="78" t="n"/>
      <c r="BG2606" s="78" t="n"/>
      <c r="BH2606" s="78" t="n"/>
      <c r="BI2606" s="78" t="n"/>
      <c r="BJ2606" s="139" t="n"/>
      <c r="BK2606" s="204" t="n"/>
      <c r="BL2606" s="141" t="n"/>
      <c r="BM2606" s="205" t="n"/>
      <c r="BN2606" s="205" t="n"/>
      <c r="BO2606" s="206" t="n"/>
      <c r="BP2606" s="144" t="n"/>
      <c r="BQ2606" s="141" t="n"/>
      <c r="BR2606" s="207" t="n"/>
      <c r="BS2606" s="207" t="n"/>
      <c r="BT2606" s="207" t="n"/>
      <c r="BU2606" s="207" t="n"/>
      <c r="BV2606" s="208" t="n"/>
      <c r="BW2606" s="207" t="n"/>
      <c r="BX2606" s="207" t="n"/>
      <c r="BY2606" s="204" t="n"/>
      <c r="BZ2606" s="148" t="n"/>
      <c r="CA2606" s="204" t="n"/>
      <c r="CB2606" s="208" t="n"/>
      <c r="CC2606" s="139" t="n"/>
      <c r="CD2606" s="204" t="n"/>
      <c r="CE2606" s="204" t="n"/>
      <c r="CF2606" s="207" t="n"/>
      <c r="CG2606" s="208" t="n"/>
      <c r="CH2606" s="207" t="n"/>
      <c r="CI2606" s="208" t="n"/>
      <c r="CJ2606" s="204" t="n"/>
      <c r="CK2606" s="208" t="n"/>
      <c r="CL2606" s="208" t="n"/>
      <c r="CM2606" s="208" t="n"/>
      <c r="CN2606" s="78" t="n"/>
      <c r="CO2606" s="209" t="n"/>
      <c r="CP2606" s="204" t="n"/>
      <c r="CQ2606" s="204" t="n"/>
      <c r="CR2606" s="204" t="n"/>
      <c r="CS2606" s="204" t="n"/>
      <c r="CT2606" s="204" t="n"/>
      <c r="CU2606" s="204" t="n"/>
      <c r="CV2606" s="204" t="n"/>
      <c r="CW2606" s="204" t="n"/>
    </row>
    <row r="2607">
      <c r="BF2607" s="78" t="n"/>
      <c r="BG2607" s="78" t="n"/>
      <c r="BH2607" s="78" t="n"/>
      <c r="BI2607" s="78" t="n"/>
      <c r="BJ2607" s="139" t="n"/>
      <c r="BK2607" s="204" t="n"/>
      <c r="BL2607" s="141" t="n"/>
      <c r="BM2607" s="205" t="n"/>
      <c r="BN2607" s="205" t="n"/>
      <c r="BO2607" s="206" t="n"/>
      <c r="BP2607" s="144" t="n"/>
      <c r="BQ2607" s="141" t="n"/>
      <c r="BR2607" s="207" t="n"/>
      <c r="BS2607" s="207" t="n"/>
      <c r="BT2607" s="207" t="n"/>
      <c r="BU2607" s="207" t="n"/>
      <c r="BV2607" s="208" t="n"/>
      <c r="BW2607" s="207" t="n"/>
      <c r="BX2607" s="207" t="n"/>
      <c r="BY2607" s="204" t="n"/>
      <c r="BZ2607" s="148" t="n"/>
      <c r="CA2607" s="204" t="n"/>
      <c r="CB2607" s="208" t="n"/>
      <c r="CC2607" s="139" t="n"/>
      <c r="CD2607" s="204" t="n"/>
      <c r="CE2607" s="204" t="n"/>
      <c r="CF2607" s="207" t="n"/>
      <c r="CG2607" s="208" t="n"/>
      <c r="CH2607" s="207" t="n"/>
      <c r="CI2607" s="208" t="n"/>
      <c r="CJ2607" s="204" t="n"/>
      <c r="CK2607" s="208" t="n"/>
      <c r="CL2607" s="208" t="n"/>
      <c r="CM2607" s="208" t="n"/>
      <c r="CN2607" s="78" t="n"/>
      <c r="CO2607" s="209" t="n"/>
      <c r="CP2607" s="204" t="n"/>
      <c r="CQ2607" s="204" t="n"/>
      <c r="CR2607" s="204" t="n"/>
      <c r="CS2607" s="204" t="n"/>
      <c r="CT2607" s="204" t="n"/>
      <c r="CU2607" s="204" t="n"/>
      <c r="CV2607" s="204" t="n"/>
      <c r="CW2607" s="204" t="n"/>
    </row>
    <row r="2608">
      <c r="BF2608" s="78" t="n"/>
      <c r="BG2608" s="78" t="n"/>
      <c r="BH2608" s="78" t="n"/>
      <c r="BI2608" s="78" t="n"/>
      <c r="BJ2608" s="139" t="n"/>
      <c r="BK2608" s="204" t="n"/>
      <c r="BL2608" s="141" t="n"/>
      <c r="BM2608" s="205" t="n"/>
      <c r="BN2608" s="205" t="n"/>
      <c r="BO2608" s="206" t="n"/>
      <c r="BP2608" s="144" t="n"/>
      <c r="BQ2608" s="141" t="n"/>
      <c r="BR2608" s="207" t="n"/>
      <c r="BS2608" s="207" t="n"/>
      <c r="BT2608" s="207" t="n"/>
      <c r="BU2608" s="207" t="n"/>
      <c r="BV2608" s="208" t="n"/>
      <c r="BW2608" s="207" t="n"/>
      <c r="BX2608" s="207" t="n"/>
      <c r="BY2608" s="204" t="n"/>
      <c r="BZ2608" s="148" t="n"/>
      <c r="CA2608" s="204" t="n"/>
      <c r="CB2608" s="208" t="n"/>
      <c r="CC2608" s="139" t="n"/>
      <c r="CD2608" s="204" t="n"/>
      <c r="CE2608" s="204" t="n"/>
      <c r="CF2608" s="207" t="n"/>
      <c r="CG2608" s="208" t="n"/>
      <c r="CH2608" s="207" t="n"/>
      <c r="CI2608" s="208" t="n"/>
      <c r="CJ2608" s="204" t="n"/>
      <c r="CK2608" s="208" t="n"/>
      <c r="CL2608" s="208" t="n"/>
      <c r="CM2608" s="208" t="n"/>
      <c r="CN2608" s="78" t="n"/>
      <c r="CO2608" s="209" t="n"/>
      <c r="CP2608" s="204" t="n"/>
      <c r="CQ2608" s="204" t="n"/>
      <c r="CR2608" s="204" t="n"/>
      <c r="CS2608" s="204" t="n"/>
      <c r="CT2608" s="204" t="n"/>
      <c r="CU2608" s="204" t="n"/>
      <c r="CV2608" s="204" t="n"/>
      <c r="CW2608" s="204" t="n"/>
    </row>
    <row r="2609">
      <c r="BF2609" s="78" t="n"/>
      <c r="BG2609" s="78" t="n"/>
      <c r="BH2609" s="78" t="n"/>
      <c r="BI2609" s="78" t="n"/>
      <c r="BJ2609" s="139" t="n"/>
      <c r="BK2609" s="204" t="n"/>
      <c r="BL2609" s="141" t="n"/>
      <c r="BM2609" s="205" t="n"/>
      <c r="BN2609" s="205" t="n"/>
      <c r="BO2609" s="206" t="n"/>
      <c r="BP2609" s="144" t="n"/>
      <c r="BQ2609" s="141" t="n"/>
      <c r="BR2609" s="207" t="n"/>
      <c r="BS2609" s="207" t="n"/>
      <c r="BT2609" s="207" t="n"/>
      <c r="BU2609" s="207" t="n"/>
      <c r="BV2609" s="208" t="n"/>
      <c r="BW2609" s="207" t="n"/>
      <c r="BX2609" s="207" t="n"/>
      <c r="BY2609" s="204" t="n"/>
      <c r="BZ2609" s="148" t="n"/>
      <c r="CA2609" s="204" t="n"/>
      <c r="CB2609" s="208" t="n"/>
      <c r="CC2609" s="139" t="n"/>
      <c r="CD2609" s="204" t="n"/>
      <c r="CE2609" s="204" t="n"/>
      <c r="CF2609" s="207" t="n"/>
      <c r="CG2609" s="208" t="n"/>
      <c r="CH2609" s="207" t="n"/>
      <c r="CI2609" s="208" t="n"/>
      <c r="CJ2609" s="204" t="n"/>
      <c r="CK2609" s="208" t="n"/>
      <c r="CL2609" s="208" t="n"/>
      <c r="CM2609" s="208" t="n"/>
      <c r="CN2609" s="78" t="n"/>
      <c r="CO2609" s="209" t="n"/>
      <c r="CP2609" s="204" t="n"/>
      <c r="CQ2609" s="204" t="n"/>
      <c r="CR2609" s="204" t="n"/>
      <c r="CS2609" s="204" t="n"/>
      <c r="CT2609" s="204" t="n"/>
      <c r="CU2609" s="204" t="n"/>
      <c r="CV2609" s="204" t="n"/>
      <c r="CW2609" s="204" t="n"/>
    </row>
    <row r="2610">
      <c r="BF2610" s="78" t="n"/>
      <c r="BG2610" s="78" t="n"/>
      <c r="BH2610" s="78" t="n"/>
      <c r="BI2610" s="78" t="n"/>
      <c r="BJ2610" s="139" t="n"/>
      <c r="BK2610" s="204" t="n"/>
      <c r="BL2610" s="141" t="n"/>
      <c r="BM2610" s="205" t="n"/>
      <c r="BN2610" s="205" t="n"/>
      <c r="BO2610" s="206" t="n"/>
      <c r="BP2610" s="144" t="n"/>
      <c r="BQ2610" s="141" t="n"/>
      <c r="BR2610" s="207" t="n"/>
      <c r="BS2610" s="207" t="n"/>
      <c r="BT2610" s="207" t="n"/>
      <c r="BU2610" s="207" t="n"/>
      <c r="BV2610" s="208" t="n"/>
      <c r="BW2610" s="207" t="n"/>
      <c r="BX2610" s="207" t="n"/>
      <c r="BY2610" s="204" t="n"/>
      <c r="BZ2610" s="148" t="n"/>
      <c r="CA2610" s="204" t="n"/>
      <c r="CB2610" s="208" t="n"/>
      <c r="CC2610" s="139" t="n"/>
      <c r="CD2610" s="204" t="n"/>
      <c r="CE2610" s="204" t="n"/>
      <c r="CF2610" s="207" t="n"/>
      <c r="CG2610" s="208" t="n"/>
      <c r="CH2610" s="207" t="n"/>
      <c r="CI2610" s="208" t="n"/>
      <c r="CJ2610" s="204" t="n"/>
      <c r="CK2610" s="208" t="n"/>
      <c r="CL2610" s="208" t="n"/>
      <c r="CM2610" s="208" t="n"/>
      <c r="CN2610" s="78" t="n"/>
      <c r="CO2610" s="209" t="n"/>
      <c r="CP2610" s="204" t="n"/>
      <c r="CQ2610" s="204" t="n"/>
      <c r="CR2610" s="204" t="n"/>
      <c r="CS2610" s="204" t="n"/>
      <c r="CT2610" s="204" t="n"/>
      <c r="CU2610" s="204" t="n"/>
      <c r="CV2610" s="204" t="n"/>
      <c r="CW2610" s="204" t="n"/>
    </row>
    <row r="2611">
      <c r="BF2611" s="78" t="n"/>
      <c r="BG2611" s="78" t="n"/>
      <c r="BH2611" s="78" t="n"/>
      <c r="BI2611" s="78" t="n"/>
      <c r="BJ2611" s="139" t="n"/>
      <c r="BK2611" s="204" t="n"/>
      <c r="BL2611" s="141" t="n"/>
      <c r="BM2611" s="205" t="n"/>
      <c r="BN2611" s="205" t="n"/>
      <c r="BO2611" s="206" t="n"/>
      <c r="BP2611" s="144" t="n"/>
      <c r="BQ2611" s="141" t="n"/>
      <c r="BR2611" s="207" t="n"/>
      <c r="BS2611" s="207" t="n"/>
      <c r="BT2611" s="207" t="n"/>
      <c r="BU2611" s="207" t="n"/>
      <c r="BV2611" s="208" t="n"/>
      <c r="BW2611" s="207" t="n"/>
      <c r="BX2611" s="207" t="n"/>
      <c r="BY2611" s="204" t="n"/>
      <c r="BZ2611" s="148" t="n"/>
      <c r="CA2611" s="204" t="n"/>
      <c r="CB2611" s="208" t="n"/>
      <c r="CC2611" s="139" t="n"/>
      <c r="CD2611" s="204" t="n"/>
      <c r="CE2611" s="204" t="n"/>
      <c r="CF2611" s="207" t="n"/>
      <c r="CG2611" s="208" t="n"/>
      <c r="CH2611" s="207" t="n"/>
      <c r="CI2611" s="208" t="n"/>
      <c r="CJ2611" s="204" t="n"/>
      <c r="CK2611" s="208" t="n"/>
      <c r="CL2611" s="208" t="n"/>
      <c r="CM2611" s="208" t="n"/>
      <c r="CN2611" s="78" t="n"/>
      <c r="CO2611" s="209" t="n"/>
      <c r="CP2611" s="204" t="n"/>
      <c r="CQ2611" s="204" t="n"/>
      <c r="CR2611" s="204" t="n"/>
      <c r="CS2611" s="204" t="n"/>
      <c r="CT2611" s="204" t="n"/>
      <c r="CU2611" s="204" t="n"/>
      <c r="CV2611" s="204" t="n"/>
      <c r="CW2611" s="204" t="n"/>
    </row>
    <row r="2612">
      <c r="BF2612" s="78" t="n"/>
      <c r="BG2612" s="78" t="n"/>
      <c r="BH2612" s="78" t="n"/>
      <c r="BI2612" s="78" t="n"/>
      <c r="BJ2612" s="139" t="n"/>
      <c r="BK2612" s="204" t="n"/>
      <c r="BL2612" s="141" t="n"/>
      <c r="BM2612" s="205" t="n"/>
      <c r="BN2612" s="205" t="n"/>
      <c r="BO2612" s="206" t="n"/>
      <c r="BP2612" s="144" t="n"/>
      <c r="BQ2612" s="141" t="n"/>
      <c r="BR2612" s="207" t="n"/>
      <c r="BS2612" s="207" t="n"/>
      <c r="BT2612" s="207" t="n"/>
      <c r="BU2612" s="207" t="n"/>
      <c r="BV2612" s="208" t="n"/>
      <c r="BW2612" s="207" t="n"/>
      <c r="BX2612" s="207" t="n"/>
      <c r="BY2612" s="204" t="n"/>
      <c r="BZ2612" s="148" t="n"/>
      <c r="CA2612" s="204" t="n"/>
      <c r="CB2612" s="208" t="n"/>
      <c r="CC2612" s="139" t="n"/>
      <c r="CD2612" s="204" t="n"/>
      <c r="CE2612" s="204" t="n"/>
      <c r="CF2612" s="207" t="n"/>
      <c r="CG2612" s="208" t="n"/>
      <c r="CH2612" s="207" t="n"/>
      <c r="CI2612" s="208" t="n"/>
      <c r="CJ2612" s="204" t="n"/>
      <c r="CK2612" s="208" t="n"/>
      <c r="CL2612" s="208" t="n"/>
      <c r="CM2612" s="208" t="n"/>
      <c r="CN2612" s="78" t="n"/>
      <c r="CO2612" s="209" t="n"/>
      <c r="CP2612" s="204" t="n"/>
      <c r="CQ2612" s="204" t="n"/>
      <c r="CR2612" s="204" t="n"/>
      <c r="CS2612" s="204" t="n"/>
      <c r="CT2612" s="204" t="n"/>
      <c r="CU2612" s="204" t="n"/>
      <c r="CV2612" s="204" t="n"/>
      <c r="CW2612" s="204" t="n"/>
    </row>
    <row r="2613">
      <c r="BF2613" s="78" t="n"/>
      <c r="BG2613" s="78" t="n"/>
      <c r="BH2613" s="78" t="n"/>
      <c r="BI2613" s="78" t="n"/>
      <c r="BJ2613" s="139" t="n"/>
      <c r="BK2613" s="204" t="n"/>
      <c r="BL2613" s="141" t="n"/>
      <c r="BM2613" s="205" t="n"/>
      <c r="BN2613" s="205" t="n"/>
      <c r="BO2613" s="206" t="n"/>
      <c r="BP2613" s="144" t="n"/>
      <c r="BQ2613" s="141" t="n"/>
      <c r="BR2613" s="207" t="n"/>
      <c r="BS2613" s="207" t="n"/>
      <c r="BT2613" s="207" t="n"/>
      <c r="BU2613" s="207" t="n"/>
      <c r="BV2613" s="208" t="n"/>
      <c r="BW2613" s="207" t="n"/>
      <c r="BX2613" s="207" t="n"/>
      <c r="BY2613" s="204" t="n"/>
      <c r="BZ2613" s="148" t="n"/>
      <c r="CA2613" s="204" t="n"/>
      <c r="CB2613" s="208" t="n"/>
      <c r="CC2613" s="139" t="n"/>
      <c r="CD2613" s="204" t="n"/>
      <c r="CE2613" s="204" t="n"/>
      <c r="CF2613" s="207" t="n"/>
      <c r="CG2613" s="208" t="n"/>
      <c r="CH2613" s="207" t="n"/>
      <c r="CI2613" s="208" t="n"/>
      <c r="CJ2613" s="204" t="n"/>
      <c r="CK2613" s="208" t="n"/>
      <c r="CL2613" s="208" t="n"/>
      <c r="CM2613" s="208" t="n"/>
      <c r="CN2613" s="78" t="n"/>
      <c r="CO2613" s="209" t="n"/>
      <c r="CP2613" s="204" t="n"/>
      <c r="CQ2613" s="204" t="n"/>
      <c r="CR2613" s="204" t="n"/>
      <c r="CS2613" s="204" t="n"/>
      <c r="CT2613" s="204" t="n"/>
      <c r="CU2613" s="204" t="n"/>
      <c r="CV2613" s="204" t="n"/>
      <c r="CW2613" s="204" t="n"/>
    </row>
    <row r="2614">
      <c r="BF2614" s="78" t="n"/>
      <c r="BG2614" s="78" t="n"/>
      <c r="BH2614" s="78" t="n"/>
      <c r="BI2614" s="78" t="n"/>
      <c r="BJ2614" s="139" t="n"/>
      <c r="BK2614" s="204" t="n"/>
      <c r="BL2614" s="141" t="n"/>
      <c r="BM2614" s="205" t="n"/>
      <c r="BN2614" s="205" t="n"/>
      <c r="BO2614" s="206" t="n"/>
      <c r="BP2614" s="144" t="n"/>
      <c r="BQ2614" s="141" t="n"/>
      <c r="BR2614" s="207" t="n"/>
      <c r="BS2614" s="207" t="n"/>
      <c r="BT2614" s="207" t="n"/>
      <c r="BU2614" s="207" t="n"/>
      <c r="BV2614" s="208" t="n"/>
      <c r="BW2614" s="207" t="n"/>
      <c r="BX2614" s="207" t="n"/>
      <c r="BY2614" s="204" t="n"/>
      <c r="BZ2614" s="148" t="n"/>
      <c r="CA2614" s="204" t="n"/>
      <c r="CB2614" s="208" t="n"/>
      <c r="CC2614" s="139" t="n"/>
      <c r="CD2614" s="204" t="n"/>
      <c r="CE2614" s="204" t="n"/>
      <c r="CF2614" s="207" t="n"/>
      <c r="CG2614" s="208" t="n"/>
      <c r="CH2614" s="207" t="n"/>
      <c r="CI2614" s="208" t="n"/>
      <c r="CJ2614" s="204" t="n"/>
      <c r="CK2614" s="208" t="n"/>
      <c r="CL2614" s="208" t="n"/>
      <c r="CM2614" s="208" t="n"/>
      <c r="CN2614" s="78" t="n"/>
      <c r="CO2614" s="209" t="n"/>
      <c r="CP2614" s="204" t="n"/>
      <c r="CQ2614" s="204" t="n"/>
      <c r="CR2614" s="204" t="n"/>
      <c r="CS2614" s="204" t="n"/>
      <c r="CT2614" s="204" t="n"/>
      <c r="CU2614" s="204" t="n"/>
      <c r="CV2614" s="204" t="n"/>
      <c r="CW2614" s="204" t="n"/>
    </row>
    <row r="2615">
      <c r="BF2615" s="78" t="n"/>
      <c r="BG2615" s="78" t="n"/>
      <c r="BH2615" s="78" t="n"/>
      <c r="BI2615" s="78" t="n"/>
      <c r="BJ2615" s="139" t="n"/>
      <c r="BK2615" s="204" t="n"/>
      <c r="BL2615" s="141" t="n"/>
      <c r="BM2615" s="205" t="n"/>
      <c r="BN2615" s="205" t="n"/>
      <c r="BO2615" s="206" t="n"/>
      <c r="BP2615" s="144" t="n"/>
      <c r="BQ2615" s="141" t="n"/>
      <c r="BR2615" s="207" t="n"/>
      <c r="BS2615" s="207" t="n"/>
      <c r="BT2615" s="207" t="n"/>
      <c r="BU2615" s="207" t="n"/>
      <c r="BV2615" s="208" t="n"/>
      <c r="BW2615" s="207" t="n"/>
      <c r="BX2615" s="207" t="n"/>
      <c r="BY2615" s="204" t="n"/>
      <c r="BZ2615" s="148" t="n"/>
      <c r="CA2615" s="204" t="n"/>
      <c r="CB2615" s="208" t="n"/>
      <c r="CC2615" s="139" t="n"/>
      <c r="CD2615" s="204" t="n"/>
      <c r="CE2615" s="204" t="n"/>
      <c r="CF2615" s="207" t="n"/>
      <c r="CG2615" s="208" t="n"/>
      <c r="CH2615" s="207" t="n"/>
      <c r="CI2615" s="208" t="n"/>
      <c r="CJ2615" s="204" t="n"/>
      <c r="CK2615" s="208" t="n"/>
      <c r="CL2615" s="208" t="n"/>
      <c r="CM2615" s="208" t="n"/>
      <c r="CN2615" s="78" t="n"/>
      <c r="CO2615" s="209" t="n"/>
      <c r="CP2615" s="204" t="n"/>
      <c r="CQ2615" s="204" t="n"/>
      <c r="CR2615" s="204" t="n"/>
      <c r="CS2615" s="204" t="n"/>
      <c r="CT2615" s="204" t="n"/>
      <c r="CU2615" s="204" t="n"/>
      <c r="CV2615" s="204" t="n"/>
      <c r="CW2615" s="204" t="n"/>
    </row>
    <row r="2616">
      <c r="BF2616" s="78" t="n"/>
      <c r="BG2616" s="78" t="n"/>
      <c r="BH2616" s="78" t="n"/>
      <c r="BI2616" s="78" t="n"/>
      <c r="BJ2616" s="139" t="n"/>
      <c r="BK2616" s="204" t="n"/>
      <c r="BL2616" s="141" t="n"/>
      <c r="BM2616" s="205" t="n"/>
      <c r="BN2616" s="205" t="n"/>
      <c r="BO2616" s="206" t="n"/>
      <c r="BP2616" s="144" t="n"/>
      <c r="BQ2616" s="141" t="n"/>
      <c r="BR2616" s="207" t="n"/>
      <c r="BS2616" s="207" t="n"/>
      <c r="BT2616" s="207" t="n"/>
      <c r="BU2616" s="207" t="n"/>
      <c r="BV2616" s="208" t="n"/>
      <c r="BW2616" s="207" t="n"/>
      <c r="BX2616" s="207" t="n"/>
      <c r="BY2616" s="204" t="n"/>
      <c r="BZ2616" s="148" t="n"/>
      <c r="CA2616" s="204" t="n"/>
      <c r="CB2616" s="208" t="n"/>
      <c r="CC2616" s="139" t="n"/>
      <c r="CD2616" s="204" t="n"/>
      <c r="CE2616" s="204" t="n"/>
      <c r="CF2616" s="207" t="n"/>
      <c r="CG2616" s="208" t="n"/>
      <c r="CH2616" s="207" t="n"/>
      <c r="CI2616" s="208" t="n"/>
      <c r="CJ2616" s="204" t="n"/>
      <c r="CK2616" s="208" t="n"/>
      <c r="CL2616" s="208" t="n"/>
      <c r="CM2616" s="208" t="n"/>
      <c r="CN2616" s="78" t="n"/>
      <c r="CO2616" s="209" t="n"/>
      <c r="CP2616" s="204" t="n"/>
      <c r="CQ2616" s="204" t="n"/>
      <c r="CR2616" s="204" t="n"/>
      <c r="CS2616" s="204" t="n"/>
      <c r="CT2616" s="204" t="n"/>
      <c r="CU2616" s="204" t="n"/>
      <c r="CV2616" s="204" t="n"/>
      <c r="CW2616" s="204" t="n"/>
    </row>
    <row r="2617">
      <c r="BF2617" s="78" t="n"/>
      <c r="BG2617" s="78" t="n"/>
      <c r="BH2617" s="78" t="n"/>
      <c r="BI2617" s="78" t="n"/>
      <c r="BJ2617" s="139" t="n"/>
      <c r="BK2617" s="204" t="n"/>
      <c r="BL2617" s="141" t="n"/>
      <c r="BM2617" s="205" t="n"/>
      <c r="BN2617" s="205" t="n"/>
      <c r="BO2617" s="206" t="n"/>
      <c r="BP2617" s="144" t="n"/>
      <c r="BQ2617" s="141" t="n"/>
      <c r="BR2617" s="207" t="n"/>
      <c r="BS2617" s="207" t="n"/>
      <c r="BT2617" s="207" t="n"/>
      <c r="BU2617" s="207" t="n"/>
      <c r="BV2617" s="208" t="n"/>
      <c r="BW2617" s="207" t="n"/>
      <c r="BX2617" s="207" t="n"/>
      <c r="BY2617" s="204" t="n"/>
      <c r="BZ2617" s="148" t="n"/>
      <c r="CA2617" s="204" t="n"/>
      <c r="CB2617" s="208" t="n"/>
      <c r="CC2617" s="139" t="n"/>
      <c r="CD2617" s="204" t="n"/>
      <c r="CE2617" s="204" t="n"/>
      <c r="CF2617" s="207" t="n"/>
      <c r="CG2617" s="208" t="n"/>
      <c r="CH2617" s="207" t="n"/>
      <c r="CI2617" s="208" t="n"/>
      <c r="CJ2617" s="204" t="n"/>
      <c r="CK2617" s="208" t="n"/>
      <c r="CL2617" s="208" t="n"/>
      <c r="CM2617" s="208" t="n"/>
      <c r="CN2617" s="78" t="n"/>
      <c r="CO2617" s="209" t="n"/>
      <c r="CP2617" s="204" t="n"/>
      <c r="CQ2617" s="204" t="n"/>
      <c r="CR2617" s="204" t="n"/>
      <c r="CS2617" s="204" t="n"/>
      <c r="CT2617" s="204" t="n"/>
      <c r="CU2617" s="204" t="n"/>
      <c r="CV2617" s="204" t="n"/>
      <c r="CW2617" s="204" t="n"/>
    </row>
    <row r="2618">
      <c r="BF2618" s="78" t="n"/>
      <c r="BG2618" s="78" t="n"/>
      <c r="BH2618" s="78" t="n"/>
      <c r="BI2618" s="78" t="n"/>
      <c r="BJ2618" s="139" t="n"/>
      <c r="BK2618" s="204" t="n"/>
      <c r="BL2618" s="141" t="n"/>
      <c r="BM2618" s="205" t="n"/>
      <c r="BN2618" s="205" t="n"/>
      <c r="BO2618" s="206" t="n"/>
      <c r="BP2618" s="144" t="n"/>
      <c r="BQ2618" s="141" t="n"/>
      <c r="BR2618" s="207" t="n"/>
      <c r="BS2618" s="207" t="n"/>
      <c r="BT2618" s="207" t="n"/>
      <c r="BU2618" s="207" t="n"/>
      <c r="BV2618" s="208" t="n"/>
      <c r="BW2618" s="207" t="n"/>
      <c r="BX2618" s="207" t="n"/>
      <c r="BY2618" s="204" t="n"/>
      <c r="BZ2618" s="148" t="n"/>
      <c r="CA2618" s="204" t="n"/>
      <c r="CB2618" s="208" t="n"/>
      <c r="CC2618" s="139" t="n"/>
      <c r="CD2618" s="204" t="n"/>
      <c r="CE2618" s="204" t="n"/>
      <c r="CF2618" s="207" t="n"/>
      <c r="CG2618" s="208" t="n"/>
      <c r="CH2618" s="207" t="n"/>
      <c r="CI2618" s="208" t="n"/>
      <c r="CJ2618" s="204" t="n"/>
      <c r="CK2618" s="208" t="n"/>
      <c r="CL2618" s="208" t="n"/>
      <c r="CM2618" s="208" t="n"/>
      <c r="CN2618" s="78" t="n"/>
      <c r="CO2618" s="209" t="n"/>
      <c r="CP2618" s="204" t="n"/>
      <c r="CQ2618" s="204" t="n"/>
      <c r="CR2618" s="204" t="n"/>
      <c r="CS2618" s="204" t="n"/>
      <c r="CT2618" s="204" t="n"/>
      <c r="CU2618" s="204" t="n"/>
      <c r="CV2618" s="204" t="n"/>
      <c r="CW2618" s="204" t="n"/>
    </row>
    <row r="2619">
      <c r="BF2619" s="78" t="n"/>
      <c r="BG2619" s="78" t="n"/>
      <c r="BH2619" s="78" t="n"/>
      <c r="BI2619" s="78" t="n"/>
      <c r="BJ2619" s="139" t="n"/>
      <c r="BK2619" s="204" t="n"/>
      <c r="BL2619" s="141" t="n"/>
      <c r="BM2619" s="205" t="n"/>
      <c r="BN2619" s="205" t="n"/>
      <c r="BO2619" s="206" t="n"/>
      <c r="BP2619" s="144" t="n"/>
      <c r="BQ2619" s="141" t="n"/>
      <c r="BR2619" s="207" t="n"/>
      <c r="BS2619" s="207" t="n"/>
      <c r="BT2619" s="207" t="n"/>
      <c r="BU2619" s="207" t="n"/>
      <c r="BV2619" s="208" t="n"/>
      <c r="BW2619" s="207" t="n"/>
      <c r="BX2619" s="207" t="n"/>
      <c r="BY2619" s="204" t="n"/>
      <c r="BZ2619" s="148" t="n"/>
      <c r="CA2619" s="204" t="n"/>
      <c r="CB2619" s="208" t="n"/>
      <c r="CC2619" s="139" t="n"/>
      <c r="CD2619" s="204" t="n"/>
      <c r="CE2619" s="204" t="n"/>
      <c r="CF2619" s="207" t="n"/>
      <c r="CG2619" s="208" t="n"/>
      <c r="CH2619" s="207" t="n"/>
      <c r="CI2619" s="208" t="n"/>
      <c r="CJ2619" s="204" t="n"/>
      <c r="CK2619" s="208" t="n"/>
      <c r="CL2619" s="208" t="n"/>
      <c r="CM2619" s="208" t="n"/>
      <c r="CN2619" s="78" t="n"/>
      <c r="CO2619" s="209" t="n"/>
      <c r="CP2619" s="204" t="n"/>
      <c r="CQ2619" s="204" t="n"/>
      <c r="CR2619" s="204" t="n"/>
      <c r="CS2619" s="204" t="n"/>
      <c r="CT2619" s="204" t="n"/>
      <c r="CU2619" s="204" t="n"/>
      <c r="CV2619" s="204" t="n"/>
      <c r="CW2619" s="204" t="n"/>
    </row>
    <row r="2620">
      <c r="BF2620" s="78" t="n"/>
      <c r="BG2620" s="78" t="n"/>
      <c r="BH2620" s="78" t="n"/>
      <c r="BI2620" s="78" t="n"/>
      <c r="BJ2620" s="139" t="n"/>
      <c r="BK2620" s="204" t="n"/>
      <c r="BL2620" s="141" t="n"/>
      <c r="BM2620" s="205" t="n"/>
      <c r="BN2620" s="205" t="n"/>
      <c r="BO2620" s="206" t="n"/>
      <c r="BP2620" s="144" t="n"/>
      <c r="BQ2620" s="141" t="n"/>
      <c r="BR2620" s="207" t="n"/>
      <c r="BS2620" s="207" t="n"/>
      <c r="BT2620" s="207" t="n"/>
      <c r="BU2620" s="207" t="n"/>
      <c r="BV2620" s="208" t="n"/>
      <c r="BW2620" s="207" t="n"/>
      <c r="BX2620" s="207" t="n"/>
      <c r="BY2620" s="204" t="n"/>
      <c r="BZ2620" s="148" t="n"/>
      <c r="CA2620" s="204" t="n"/>
      <c r="CB2620" s="208" t="n"/>
      <c r="CC2620" s="139" t="n"/>
      <c r="CD2620" s="204" t="n"/>
      <c r="CE2620" s="204" t="n"/>
      <c r="CF2620" s="207" t="n"/>
      <c r="CG2620" s="208" t="n"/>
      <c r="CH2620" s="207" t="n"/>
      <c r="CI2620" s="208" t="n"/>
      <c r="CJ2620" s="204" t="n"/>
      <c r="CK2620" s="208" t="n"/>
      <c r="CL2620" s="208" t="n"/>
      <c r="CM2620" s="208" t="n"/>
      <c r="CN2620" s="78" t="n"/>
      <c r="CO2620" s="209" t="n"/>
      <c r="CP2620" s="204" t="n"/>
      <c r="CQ2620" s="204" t="n"/>
      <c r="CR2620" s="204" t="n"/>
      <c r="CS2620" s="204" t="n"/>
      <c r="CT2620" s="204" t="n"/>
      <c r="CU2620" s="204" t="n"/>
      <c r="CV2620" s="204" t="n"/>
      <c r="CW2620" s="204" t="n"/>
    </row>
    <row r="2621">
      <c r="BF2621" s="78" t="n"/>
      <c r="BG2621" s="78" t="n"/>
      <c r="BH2621" s="78" t="n"/>
      <c r="BI2621" s="78" t="n"/>
      <c r="BJ2621" s="139" t="n"/>
      <c r="BK2621" s="204" t="n"/>
      <c r="BL2621" s="141" t="n"/>
      <c r="BM2621" s="205" t="n"/>
      <c r="BN2621" s="205" t="n"/>
      <c r="BO2621" s="206" t="n"/>
      <c r="BP2621" s="144" t="n"/>
      <c r="BQ2621" s="141" t="n"/>
      <c r="BR2621" s="207" t="n"/>
      <c r="BS2621" s="207" t="n"/>
      <c r="BT2621" s="207" t="n"/>
      <c r="BU2621" s="207" t="n"/>
      <c r="BV2621" s="208" t="n"/>
      <c r="BW2621" s="207" t="n"/>
      <c r="BX2621" s="207" t="n"/>
      <c r="BY2621" s="204" t="n"/>
      <c r="BZ2621" s="148" t="n"/>
      <c r="CA2621" s="204" t="n"/>
      <c r="CB2621" s="208" t="n"/>
      <c r="CC2621" s="139" t="n"/>
      <c r="CD2621" s="204" t="n"/>
      <c r="CE2621" s="204" t="n"/>
      <c r="CF2621" s="207" t="n"/>
      <c r="CG2621" s="208" t="n"/>
      <c r="CH2621" s="207" t="n"/>
      <c r="CI2621" s="208" t="n"/>
      <c r="CJ2621" s="204" t="n"/>
      <c r="CK2621" s="208" t="n"/>
      <c r="CL2621" s="208" t="n"/>
      <c r="CM2621" s="208" t="n"/>
      <c r="CN2621" s="78" t="n"/>
      <c r="CO2621" s="209" t="n"/>
      <c r="CP2621" s="204" t="n"/>
      <c r="CQ2621" s="204" t="n"/>
      <c r="CR2621" s="204" t="n"/>
      <c r="CS2621" s="204" t="n"/>
      <c r="CT2621" s="204" t="n"/>
      <c r="CU2621" s="204" t="n"/>
      <c r="CV2621" s="204" t="n"/>
      <c r="CW2621" s="204" t="n"/>
    </row>
    <row r="2622">
      <c r="BF2622" s="78" t="n"/>
      <c r="BG2622" s="78" t="n"/>
      <c r="BH2622" s="78" t="n"/>
      <c r="BI2622" s="78" t="n"/>
      <c r="BJ2622" s="139" t="n"/>
      <c r="BK2622" s="204" t="n"/>
      <c r="BL2622" s="141" t="n"/>
      <c r="BM2622" s="205" t="n"/>
      <c r="BN2622" s="205" t="n"/>
      <c r="BO2622" s="206" t="n"/>
      <c r="BP2622" s="144" t="n"/>
      <c r="BQ2622" s="141" t="n"/>
      <c r="BR2622" s="207" t="n"/>
      <c r="BS2622" s="207" t="n"/>
      <c r="BT2622" s="207" t="n"/>
      <c r="BU2622" s="207" t="n"/>
      <c r="BV2622" s="208" t="n"/>
      <c r="BW2622" s="207" t="n"/>
      <c r="BX2622" s="207" t="n"/>
      <c r="BY2622" s="204" t="n"/>
      <c r="BZ2622" s="148" t="n"/>
      <c r="CA2622" s="204" t="n"/>
      <c r="CB2622" s="208" t="n"/>
      <c r="CC2622" s="139" t="n"/>
      <c r="CD2622" s="204" t="n"/>
      <c r="CE2622" s="204" t="n"/>
      <c r="CF2622" s="207" t="n"/>
      <c r="CG2622" s="208" t="n"/>
      <c r="CH2622" s="207" t="n"/>
      <c r="CI2622" s="208" t="n"/>
      <c r="CJ2622" s="204" t="n"/>
      <c r="CK2622" s="208" t="n"/>
      <c r="CL2622" s="208" t="n"/>
      <c r="CM2622" s="208" t="n"/>
      <c r="CN2622" s="78" t="n"/>
      <c r="CO2622" s="209" t="n"/>
      <c r="CP2622" s="204" t="n"/>
      <c r="CQ2622" s="204" t="n"/>
      <c r="CR2622" s="204" t="n"/>
      <c r="CS2622" s="204" t="n"/>
      <c r="CT2622" s="204" t="n"/>
      <c r="CU2622" s="204" t="n"/>
      <c r="CV2622" s="204" t="n"/>
      <c r="CW2622" s="204" t="n"/>
    </row>
    <row r="2623">
      <c r="BF2623" s="78" t="n"/>
      <c r="BG2623" s="78" t="n"/>
      <c r="BH2623" s="78" t="n"/>
      <c r="BI2623" s="78" t="n"/>
      <c r="BJ2623" s="139" t="n"/>
      <c r="BK2623" s="204" t="n"/>
      <c r="BL2623" s="141" t="n"/>
      <c r="BM2623" s="205" t="n"/>
      <c r="BN2623" s="205" t="n"/>
      <c r="BO2623" s="206" t="n"/>
      <c r="BP2623" s="144" t="n"/>
      <c r="BQ2623" s="141" t="n"/>
      <c r="BR2623" s="207" t="n"/>
      <c r="BS2623" s="207" t="n"/>
      <c r="BT2623" s="207" t="n"/>
      <c r="BU2623" s="207" t="n"/>
      <c r="BV2623" s="208" t="n"/>
      <c r="BW2623" s="207" t="n"/>
      <c r="BX2623" s="207" t="n"/>
      <c r="BY2623" s="204" t="n"/>
      <c r="BZ2623" s="148" t="n"/>
      <c r="CA2623" s="204" t="n"/>
      <c r="CB2623" s="208" t="n"/>
      <c r="CC2623" s="139" t="n"/>
      <c r="CD2623" s="204" t="n"/>
      <c r="CE2623" s="204" t="n"/>
      <c r="CF2623" s="207" t="n"/>
      <c r="CG2623" s="208" t="n"/>
      <c r="CH2623" s="207" t="n"/>
      <c r="CI2623" s="208" t="n"/>
      <c r="CJ2623" s="204" t="n"/>
      <c r="CK2623" s="208" t="n"/>
      <c r="CL2623" s="208" t="n"/>
      <c r="CM2623" s="208" t="n"/>
      <c r="CN2623" s="78" t="n"/>
      <c r="CO2623" s="209" t="n"/>
      <c r="CP2623" s="204" t="n"/>
      <c r="CQ2623" s="204" t="n"/>
      <c r="CR2623" s="204" t="n"/>
      <c r="CS2623" s="204" t="n"/>
      <c r="CT2623" s="204" t="n"/>
      <c r="CU2623" s="204" t="n"/>
      <c r="CV2623" s="204" t="n"/>
      <c r="CW2623" s="204" t="n"/>
    </row>
    <row r="2624">
      <c r="BF2624" s="78" t="n"/>
      <c r="BG2624" s="78" t="n"/>
      <c r="BH2624" s="78" t="n"/>
      <c r="BI2624" s="78" t="n"/>
      <c r="BJ2624" s="139" t="n"/>
      <c r="BK2624" s="204" t="n"/>
      <c r="BL2624" s="141" t="n"/>
      <c r="BM2624" s="205" t="n"/>
      <c r="BN2624" s="205" t="n"/>
      <c r="BO2624" s="206" t="n"/>
      <c r="BP2624" s="144" t="n"/>
      <c r="BQ2624" s="141" t="n"/>
      <c r="BR2624" s="207" t="n"/>
      <c r="BS2624" s="207" t="n"/>
      <c r="BT2624" s="207" t="n"/>
      <c r="BU2624" s="207" t="n"/>
      <c r="BV2624" s="208" t="n"/>
      <c r="BW2624" s="207" t="n"/>
      <c r="BX2624" s="207" t="n"/>
      <c r="BY2624" s="204" t="n"/>
      <c r="BZ2624" s="148" t="n"/>
      <c r="CA2624" s="204" t="n"/>
      <c r="CB2624" s="208" t="n"/>
      <c r="CC2624" s="139" t="n"/>
      <c r="CD2624" s="204" t="n"/>
      <c r="CE2624" s="204" t="n"/>
      <c r="CF2624" s="207" t="n"/>
      <c r="CG2624" s="208" t="n"/>
      <c r="CH2624" s="207" t="n"/>
      <c r="CI2624" s="208" t="n"/>
      <c r="CJ2624" s="204" t="n"/>
      <c r="CK2624" s="208" t="n"/>
      <c r="CL2624" s="208" t="n"/>
      <c r="CM2624" s="208" t="n"/>
      <c r="CN2624" s="78" t="n"/>
      <c r="CO2624" s="209" t="n"/>
      <c r="CP2624" s="204" t="n"/>
      <c r="CQ2624" s="204" t="n"/>
      <c r="CR2624" s="204" t="n"/>
      <c r="CS2624" s="204" t="n"/>
      <c r="CT2624" s="204" t="n"/>
      <c r="CU2624" s="204" t="n"/>
      <c r="CV2624" s="204" t="n"/>
      <c r="CW2624" s="204" t="n"/>
    </row>
    <row r="2625">
      <c r="BF2625" s="78" t="n"/>
      <c r="BG2625" s="78" t="n"/>
      <c r="BH2625" s="78" t="n"/>
      <c r="BI2625" s="78" t="n"/>
      <c r="BJ2625" s="139" t="n"/>
      <c r="BK2625" s="204" t="n"/>
      <c r="BL2625" s="141" t="n"/>
      <c r="BM2625" s="205" t="n"/>
      <c r="BN2625" s="205" t="n"/>
      <c r="BO2625" s="206" t="n"/>
      <c r="BP2625" s="144" t="n"/>
      <c r="BQ2625" s="141" t="n"/>
      <c r="BR2625" s="207" t="n"/>
      <c r="BS2625" s="207" t="n"/>
      <c r="BT2625" s="207" t="n"/>
      <c r="BU2625" s="207" t="n"/>
      <c r="BV2625" s="208" t="n"/>
      <c r="BW2625" s="207" t="n"/>
      <c r="BX2625" s="207" t="n"/>
      <c r="BY2625" s="204" t="n"/>
      <c r="BZ2625" s="148" t="n"/>
      <c r="CA2625" s="204" t="n"/>
      <c r="CB2625" s="208" t="n"/>
      <c r="CC2625" s="139" t="n"/>
      <c r="CD2625" s="204" t="n"/>
      <c r="CE2625" s="204" t="n"/>
      <c r="CF2625" s="207" t="n"/>
      <c r="CG2625" s="208" t="n"/>
      <c r="CH2625" s="207" t="n"/>
      <c r="CI2625" s="208" t="n"/>
      <c r="CJ2625" s="204" t="n"/>
      <c r="CK2625" s="208" t="n"/>
      <c r="CL2625" s="208" t="n"/>
      <c r="CM2625" s="208" t="n"/>
      <c r="CN2625" s="78" t="n"/>
      <c r="CO2625" s="209" t="n"/>
      <c r="CP2625" s="204" t="n"/>
      <c r="CQ2625" s="204" t="n"/>
      <c r="CR2625" s="204" t="n"/>
      <c r="CS2625" s="204" t="n"/>
      <c r="CT2625" s="204" t="n"/>
      <c r="CU2625" s="204" t="n"/>
      <c r="CV2625" s="204" t="n"/>
      <c r="CW2625" s="204" t="n"/>
    </row>
    <row r="2626">
      <c r="BF2626" s="78" t="n"/>
      <c r="BG2626" s="78" t="n"/>
      <c r="BH2626" s="78" t="n"/>
      <c r="BI2626" s="78" t="n"/>
      <c r="BJ2626" s="139" t="n"/>
      <c r="BK2626" s="204" t="n"/>
      <c r="BL2626" s="141" t="n"/>
      <c r="BM2626" s="205" t="n"/>
      <c r="BN2626" s="205" t="n"/>
      <c r="BO2626" s="206" t="n"/>
      <c r="BP2626" s="144" t="n"/>
      <c r="BQ2626" s="141" t="n"/>
      <c r="BR2626" s="207" t="n"/>
      <c r="BS2626" s="207" t="n"/>
      <c r="BT2626" s="207" t="n"/>
      <c r="BU2626" s="207" t="n"/>
      <c r="BV2626" s="208" t="n"/>
      <c r="BW2626" s="207" t="n"/>
      <c r="BX2626" s="207" t="n"/>
      <c r="BY2626" s="204" t="n"/>
      <c r="BZ2626" s="148" t="n"/>
      <c r="CA2626" s="204" t="n"/>
      <c r="CB2626" s="208" t="n"/>
      <c r="CC2626" s="139" t="n"/>
      <c r="CD2626" s="204" t="n"/>
      <c r="CE2626" s="204" t="n"/>
      <c r="CF2626" s="207" t="n"/>
      <c r="CG2626" s="208" t="n"/>
      <c r="CH2626" s="207" t="n"/>
      <c r="CI2626" s="208" t="n"/>
      <c r="CJ2626" s="204" t="n"/>
      <c r="CK2626" s="208" t="n"/>
      <c r="CL2626" s="208" t="n"/>
      <c r="CM2626" s="208" t="n"/>
      <c r="CN2626" s="78" t="n"/>
      <c r="CO2626" s="209" t="n"/>
      <c r="CP2626" s="204" t="n"/>
      <c r="CQ2626" s="204" t="n"/>
      <c r="CR2626" s="204" t="n"/>
      <c r="CS2626" s="204" t="n"/>
      <c r="CT2626" s="204" t="n"/>
      <c r="CU2626" s="204" t="n"/>
      <c r="CV2626" s="204" t="n"/>
      <c r="CW2626" s="204" t="n"/>
    </row>
    <row r="2627">
      <c r="BF2627" s="78" t="n"/>
      <c r="BG2627" s="78" t="n"/>
      <c r="BH2627" s="78" t="n"/>
      <c r="BI2627" s="78" t="n"/>
      <c r="BJ2627" s="139" t="n"/>
      <c r="BK2627" s="204" t="n"/>
      <c r="BL2627" s="141" t="n"/>
      <c r="BM2627" s="205" t="n"/>
      <c r="BN2627" s="205" t="n"/>
      <c r="BO2627" s="206" t="n"/>
      <c r="BP2627" s="144" t="n"/>
      <c r="BQ2627" s="141" t="n"/>
      <c r="BR2627" s="207" t="n"/>
      <c r="BS2627" s="207" t="n"/>
      <c r="BT2627" s="207" t="n"/>
      <c r="BU2627" s="207" t="n"/>
      <c r="BV2627" s="208" t="n"/>
      <c r="BW2627" s="207" t="n"/>
      <c r="BX2627" s="207" t="n"/>
      <c r="BY2627" s="204" t="n"/>
      <c r="BZ2627" s="148" t="n"/>
      <c r="CA2627" s="204" t="n"/>
      <c r="CB2627" s="208" t="n"/>
      <c r="CC2627" s="139" t="n"/>
      <c r="CD2627" s="204" t="n"/>
      <c r="CE2627" s="204" t="n"/>
      <c r="CF2627" s="207" t="n"/>
      <c r="CG2627" s="208" t="n"/>
      <c r="CH2627" s="207" t="n"/>
      <c r="CI2627" s="208" t="n"/>
      <c r="CJ2627" s="204" t="n"/>
      <c r="CK2627" s="208" t="n"/>
      <c r="CL2627" s="208" t="n"/>
      <c r="CM2627" s="208" t="n"/>
      <c r="CN2627" s="78" t="n"/>
      <c r="CO2627" s="209" t="n"/>
      <c r="CP2627" s="204" t="n"/>
      <c r="CQ2627" s="204" t="n"/>
      <c r="CR2627" s="204" t="n"/>
      <c r="CS2627" s="204" t="n"/>
      <c r="CT2627" s="204" t="n"/>
      <c r="CU2627" s="204" t="n"/>
      <c r="CV2627" s="204" t="n"/>
      <c r="CW2627" s="204" t="n"/>
    </row>
    <row r="2628">
      <c r="BF2628" s="78" t="n"/>
      <c r="BG2628" s="78" t="n"/>
      <c r="BH2628" s="78" t="n"/>
      <c r="BI2628" s="78" t="n"/>
      <c r="BJ2628" s="139" t="n"/>
      <c r="BK2628" s="204" t="n"/>
      <c r="BL2628" s="141" t="n"/>
      <c r="BM2628" s="205" t="n"/>
      <c r="BN2628" s="205" t="n"/>
      <c r="BO2628" s="206" t="n"/>
      <c r="BP2628" s="144" t="n"/>
      <c r="BQ2628" s="141" t="n"/>
      <c r="BR2628" s="207" t="n"/>
      <c r="BS2628" s="207" t="n"/>
      <c r="BT2628" s="207" t="n"/>
      <c r="BU2628" s="207" t="n"/>
      <c r="BV2628" s="208" t="n"/>
      <c r="BW2628" s="207" t="n"/>
      <c r="BX2628" s="207" t="n"/>
      <c r="BY2628" s="204" t="n"/>
      <c r="BZ2628" s="148" t="n"/>
      <c r="CA2628" s="204" t="n"/>
      <c r="CB2628" s="208" t="n"/>
      <c r="CC2628" s="139" t="n"/>
      <c r="CD2628" s="204" t="n"/>
      <c r="CE2628" s="204" t="n"/>
      <c r="CF2628" s="207" t="n"/>
      <c r="CG2628" s="208" t="n"/>
      <c r="CH2628" s="207" t="n"/>
      <c r="CI2628" s="208" t="n"/>
      <c r="CJ2628" s="204" t="n"/>
      <c r="CK2628" s="208" t="n"/>
      <c r="CL2628" s="208" t="n"/>
      <c r="CM2628" s="208" t="n"/>
      <c r="CN2628" s="78" t="n"/>
      <c r="CO2628" s="209" t="n"/>
      <c r="CP2628" s="204" t="n"/>
      <c r="CQ2628" s="204" t="n"/>
      <c r="CR2628" s="204" t="n"/>
      <c r="CS2628" s="204" t="n"/>
      <c r="CT2628" s="204" t="n"/>
      <c r="CU2628" s="204" t="n"/>
      <c r="CV2628" s="204" t="n"/>
      <c r="CW2628" s="204" t="n"/>
    </row>
    <row r="2629">
      <c r="BF2629" s="78" t="n"/>
      <c r="BG2629" s="78" t="n"/>
      <c r="BH2629" s="78" t="n"/>
      <c r="BI2629" s="78" t="n"/>
      <c r="BJ2629" s="139" t="n"/>
      <c r="BK2629" s="204" t="n"/>
      <c r="BL2629" s="141" t="n"/>
      <c r="BM2629" s="205" t="n"/>
      <c r="BN2629" s="205" t="n"/>
      <c r="BO2629" s="206" t="n"/>
      <c r="BP2629" s="144" t="n"/>
      <c r="BQ2629" s="141" t="n"/>
      <c r="BR2629" s="207" t="n"/>
      <c r="BS2629" s="207" t="n"/>
      <c r="BT2629" s="207" t="n"/>
      <c r="BU2629" s="207" t="n"/>
      <c r="BV2629" s="208" t="n"/>
      <c r="BW2629" s="207" t="n"/>
      <c r="BX2629" s="207" t="n"/>
      <c r="BY2629" s="204" t="n"/>
      <c r="BZ2629" s="148" t="n"/>
      <c r="CA2629" s="204" t="n"/>
      <c r="CB2629" s="208" t="n"/>
      <c r="CC2629" s="139" t="n"/>
      <c r="CD2629" s="204" t="n"/>
      <c r="CE2629" s="204" t="n"/>
      <c r="CF2629" s="207" t="n"/>
      <c r="CG2629" s="208" t="n"/>
      <c r="CH2629" s="207" t="n"/>
      <c r="CI2629" s="208" t="n"/>
      <c r="CJ2629" s="204" t="n"/>
      <c r="CK2629" s="208" t="n"/>
      <c r="CL2629" s="208" t="n"/>
      <c r="CM2629" s="208" t="n"/>
      <c r="CN2629" s="78" t="n"/>
      <c r="CO2629" s="209" t="n"/>
      <c r="CP2629" s="204" t="n"/>
      <c r="CQ2629" s="204" t="n"/>
      <c r="CR2629" s="204" t="n"/>
      <c r="CS2629" s="204" t="n"/>
      <c r="CT2629" s="204" t="n"/>
      <c r="CU2629" s="204" t="n"/>
      <c r="CV2629" s="204" t="n"/>
      <c r="CW2629" s="204" t="n"/>
    </row>
    <row r="2630">
      <c r="BF2630" s="78" t="n"/>
      <c r="BG2630" s="78" t="n"/>
      <c r="BH2630" s="78" t="n"/>
      <c r="BI2630" s="78" t="n"/>
      <c r="BJ2630" s="139" t="n"/>
      <c r="BK2630" s="204" t="n"/>
      <c r="BL2630" s="141" t="n"/>
      <c r="BM2630" s="205" t="n"/>
      <c r="BN2630" s="205" t="n"/>
      <c r="BO2630" s="206" t="n"/>
      <c r="BP2630" s="144" t="n"/>
      <c r="BQ2630" s="141" t="n"/>
      <c r="BR2630" s="207" t="n"/>
      <c r="BS2630" s="207" t="n"/>
      <c r="BT2630" s="207" t="n"/>
      <c r="BU2630" s="207" t="n"/>
      <c r="BV2630" s="208" t="n"/>
      <c r="BW2630" s="207" t="n"/>
      <c r="BX2630" s="207" t="n"/>
      <c r="BY2630" s="204" t="n"/>
      <c r="BZ2630" s="148" t="n"/>
      <c r="CA2630" s="204" t="n"/>
      <c r="CB2630" s="208" t="n"/>
      <c r="CC2630" s="139" t="n"/>
      <c r="CD2630" s="204" t="n"/>
      <c r="CE2630" s="204" t="n"/>
      <c r="CF2630" s="207" t="n"/>
      <c r="CG2630" s="208" t="n"/>
      <c r="CH2630" s="207" t="n"/>
      <c r="CI2630" s="208" t="n"/>
      <c r="CJ2630" s="204" t="n"/>
      <c r="CK2630" s="208" t="n"/>
      <c r="CL2630" s="208" t="n"/>
      <c r="CM2630" s="208" t="n"/>
      <c r="CN2630" s="78" t="n"/>
      <c r="CO2630" s="209" t="n"/>
      <c r="CP2630" s="204" t="n"/>
      <c r="CQ2630" s="204" t="n"/>
      <c r="CR2630" s="204" t="n"/>
      <c r="CS2630" s="204" t="n"/>
      <c r="CT2630" s="204" t="n"/>
      <c r="CU2630" s="204" t="n"/>
      <c r="CV2630" s="204" t="n"/>
      <c r="CW2630" s="204" t="n"/>
    </row>
    <row r="2631">
      <c r="BF2631" s="78" t="n"/>
      <c r="BG2631" s="78" t="n"/>
      <c r="BH2631" s="78" t="n"/>
      <c r="BI2631" s="78" t="n"/>
      <c r="BJ2631" s="139" t="n"/>
      <c r="BK2631" s="204" t="n"/>
      <c r="BL2631" s="141" t="n"/>
      <c r="BM2631" s="205" t="n"/>
      <c r="BN2631" s="205" t="n"/>
      <c r="BO2631" s="206" t="n"/>
      <c r="BP2631" s="144" t="n"/>
      <c r="BQ2631" s="141" t="n"/>
      <c r="BR2631" s="207" t="n"/>
      <c r="BS2631" s="207" t="n"/>
      <c r="BT2631" s="207" t="n"/>
      <c r="BU2631" s="207" t="n"/>
      <c r="BV2631" s="208" t="n"/>
      <c r="BW2631" s="207" t="n"/>
      <c r="BX2631" s="207" t="n"/>
      <c r="BY2631" s="204" t="n"/>
      <c r="BZ2631" s="148" t="n"/>
      <c r="CA2631" s="204" t="n"/>
      <c r="CB2631" s="208" t="n"/>
      <c r="CC2631" s="139" t="n"/>
      <c r="CD2631" s="204" t="n"/>
      <c r="CE2631" s="204" t="n"/>
      <c r="CF2631" s="207" t="n"/>
      <c r="CG2631" s="208" t="n"/>
      <c r="CH2631" s="207" t="n"/>
      <c r="CI2631" s="208" t="n"/>
      <c r="CJ2631" s="204" t="n"/>
      <c r="CK2631" s="208" t="n"/>
      <c r="CL2631" s="208" t="n"/>
      <c r="CM2631" s="208" t="n"/>
      <c r="CN2631" s="78" t="n"/>
      <c r="CO2631" s="209" t="n"/>
      <c r="CP2631" s="204" t="n"/>
      <c r="CQ2631" s="204" t="n"/>
      <c r="CR2631" s="204" t="n"/>
      <c r="CS2631" s="204" t="n"/>
      <c r="CT2631" s="204" t="n"/>
      <c r="CU2631" s="204" t="n"/>
      <c r="CV2631" s="204" t="n"/>
      <c r="CW2631" s="204" t="n"/>
    </row>
    <row r="2632">
      <c r="BF2632" s="78" t="n"/>
      <c r="BG2632" s="78" t="n"/>
      <c r="BH2632" s="78" t="n"/>
      <c r="BI2632" s="78" t="n"/>
      <c r="BJ2632" s="139" t="n"/>
      <c r="BK2632" s="204" t="n"/>
      <c r="BL2632" s="141" t="n"/>
      <c r="BM2632" s="205" t="n"/>
      <c r="BN2632" s="205" t="n"/>
      <c r="BO2632" s="206" t="n"/>
      <c r="BP2632" s="144" t="n"/>
      <c r="BQ2632" s="141" t="n"/>
      <c r="BR2632" s="207" t="n"/>
      <c r="BS2632" s="207" t="n"/>
      <c r="BT2632" s="207" t="n"/>
      <c r="BU2632" s="207" t="n"/>
      <c r="BV2632" s="208" t="n"/>
      <c r="BW2632" s="207" t="n"/>
      <c r="BX2632" s="207" t="n"/>
      <c r="BY2632" s="204" t="n"/>
      <c r="BZ2632" s="148" t="n"/>
      <c r="CA2632" s="204" t="n"/>
      <c r="CB2632" s="208" t="n"/>
      <c r="CC2632" s="139" t="n"/>
      <c r="CD2632" s="204" t="n"/>
      <c r="CE2632" s="204" t="n"/>
      <c r="CF2632" s="207" t="n"/>
      <c r="CG2632" s="208" t="n"/>
      <c r="CH2632" s="207" t="n"/>
      <c r="CI2632" s="208" t="n"/>
      <c r="CJ2632" s="204" t="n"/>
      <c r="CK2632" s="208" t="n"/>
      <c r="CL2632" s="208" t="n"/>
      <c r="CM2632" s="208" t="n"/>
      <c r="CN2632" s="78" t="n"/>
      <c r="CO2632" s="209" t="n"/>
      <c r="CP2632" s="204" t="n"/>
      <c r="CQ2632" s="204" t="n"/>
      <c r="CR2632" s="204" t="n"/>
      <c r="CS2632" s="204" t="n"/>
      <c r="CT2632" s="204" t="n"/>
      <c r="CU2632" s="204" t="n"/>
      <c r="CV2632" s="204" t="n"/>
      <c r="CW2632" s="204" t="n"/>
    </row>
    <row r="2633">
      <c r="BF2633" s="78" t="n"/>
      <c r="BG2633" s="78" t="n"/>
      <c r="BH2633" s="78" t="n"/>
      <c r="BI2633" s="78" t="n"/>
      <c r="BJ2633" s="139" t="n"/>
      <c r="BK2633" s="204" t="n"/>
      <c r="BL2633" s="141" t="n"/>
      <c r="BM2633" s="205" t="n"/>
      <c r="BN2633" s="205" t="n"/>
      <c r="BO2633" s="206" t="n"/>
      <c r="BP2633" s="144" t="n"/>
      <c r="BQ2633" s="141" t="n"/>
      <c r="BR2633" s="207" t="n"/>
      <c r="BS2633" s="207" t="n"/>
      <c r="BT2633" s="207" t="n"/>
      <c r="BU2633" s="207" t="n"/>
      <c r="BV2633" s="208" t="n"/>
      <c r="BW2633" s="207" t="n"/>
      <c r="BX2633" s="207" t="n"/>
      <c r="BY2633" s="204" t="n"/>
      <c r="BZ2633" s="148" t="n"/>
      <c r="CA2633" s="204" t="n"/>
      <c r="CB2633" s="208" t="n"/>
      <c r="CC2633" s="139" t="n"/>
      <c r="CD2633" s="204" t="n"/>
      <c r="CE2633" s="204" t="n"/>
      <c r="CF2633" s="207" t="n"/>
      <c r="CG2633" s="208" t="n"/>
      <c r="CH2633" s="207" t="n"/>
      <c r="CI2633" s="208" t="n"/>
      <c r="CJ2633" s="204" t="n"/>
      <c r="CK2633" s="208" t="n"/>
      <c r="CL2633" s="208" t="n"/>
      <c r="CM2633" s="208" t="n"/>
      <c r="CN2633" s="78" t="n"/>
      <c r="CO2633" s="209" t="n"/>
      <c r="CP2633" s="204" t="n"/>
      <c r="CQ2633" s="204" t="n"/>
      <c r="CR2633" s="204" t="n"/>
      <c r="CS2633" s="204" t="n"/>
      <c r="CT2633" s="204" t="n"/>
      <c r="CU2633" s="204" t="n"/>
      <c r="CV2633" s="204" t="n"/>
      <c r="CW2633" s="204" t="n"/>
    </row>
    <row r="2634">
      <c r="BF2634" s="78" t="n"/>
      <c r="BG2634" s="78" t="n"/>
      <c r="BH2634" s="78" t="n"/>
      <c r="BI2634" s="78" t="n"/>
      <c r="BJ2634" s="139" t="n"/>
      <c r="BK2634" s="204" t="n"/>
      <c r="BL2634" s="141" t="n"/>
      <c r="BM2634" s="205" t="n"/>
      <c r="BN2634" s="205" t="n"/>
      <c r="BO2634" s="206" t="n"/>
      <c r="BP2634" s="144" t="n"/>
      <c r="BQ2634" s="141" t="n"/>
      <c r="BR2634" s="207" t="n"/>
      <c r="BS2634" s="207" t="n"/>
      <c r="BT2634" s="207" t="n"/>
      <c r="BU2634" s="207" t="n"/>
      <c r="BV2634" s="208" t="n"/>
      <c r="BW2634" s="207" t="n"/>
      <c r="BX2634" s="207" t="n"/>
      <c r="BY2634" s="204" t="n"/>
      <c r="BZ2634" s="148" t="n"/>
      <c r="CA2634" s="204" t="n"/>
      <c r="CB2634" s="208" t="n"/>
      <c r="CC2634" s="139" t="n"/>
      <c r="CD2634" s="204" t="n"/>
      <c r="CE2634" s="204" t="n"/>
      <c r="CF2634" s="207" t="n"/>
      <c r="CG2634" s="208" t="n"/>
      <c r="CH2634" s="207" t="n"/>
      <c r="CI2634" s="208" t="n"/>
      <c r="CJ2634" s="204" t="n"/>
      <c r="CK2634" s="208" t="n"/>
      <c r="CL2634" s="208" t="n"/>
      <c r="CM2634" s="208" t="n"/>
      <c r="CN2634" s="78" t="n"/>
      <c r="CO2634" s="209" t="n"/>
      <c r="CP2634" s="204" t="n"/>
      <c r="CQ2634" s="204" t="n"/>
      <c r="CR2634" s="204" t="n"/>
      <c r="CS2634" s="204" t="n"/>
      <c r="CT2634" s="204" t="n"/>
      <c r="CU2634" s="204" t="n"/>
      <c r="CV2634" s="204" t="n"/>
      <c r="CW2634" s="204" t="n"/>
    </row>
    <row r="2635">
      <c r="BF2635" s="78" t="n"/>
      <c r="BG2635" s="78" t="n"/>
      <c r="BH2635" s="78" t="n"/>
      <c r="BI2635" s="78" t="n"/>
      <c r="BJ2635" s="139" t="n"/>
      <c r="BK2635" s="204" t="n"/>
      <c r="BL2635" s="141" t="n"/>
      <c r="BM2635" s="205" t="n"/>
      <c r="BN2635" s="205" t="n"/>
      <c r="BO2635" s="206" t="n"/>
      <c r="BP2635" s="144" t="n"/>
      <c r="BQ2635" s="141" t="n"/>
      <c r="BR2635" s="207" t="n"/>
      <c r="BS2635" s="207" t="n"/>
      <c r="BT2635" s="207" t="n"/>
      <c r="BU2635" s="207" t="n"/>
      <c r="BV2635" s="208" t="n"/>
      <c r="BW2635" s="207" t="n"/>
      <c r="BX2635" s="207" t="n"/>
      <c r="BY2635" s="204" t="n"/>
      <c r="BZ2635" s="148" t="n"/>
      <c r="CA2635" s="204" t="n"/>
      <c r="CB2635" s="208" t="n"/>
      <c r="CC2635" s="139" t="n"/>
      <c r="CD2635" s="204" t="n"/>
      <c r="CE2635" s="204" t="n"/>
      <c r="CF2635" s="207" t="n"/>
      <c r="CG2635" s="208" t="n"/>
      <c r="CH2635" s="207" t="n"/>
      <c r="CI2635" s="208" t="n"/>
      <c r="CJ2635" s="204" t="n"/>
      <c r="CK2635" s="208" t="n"/>
      <c r="CL2635" s="208" t="n"/>
      <c r="CM2635" s="208" t="n"/>
      <c r="CN2635" s="78" t="n"/>
      <c r="CO2635" s="209" t="n"/>
      <c r="CP2635" s="204" t="n"/>
      <c r="CQ2635" s="204" t="n"/>
      <c r="CR2635" s="204" t="n"/>
      <c r="CS2635" s="204" t="n"/>
      <c r="CT2635" s="204" t="n"/>
      <c r="CU2635" s="204" t="n"/>
      <c r="CV2635" s="204" t="n"/>
      <c r="CW2635" s="204" t="n"/>
    </row>
    <row r="2636">
      <c r="BF2636" s="78" t="n"/>
      <c r="BG2636" s="78" t="n"/>
      <c r="BH2636" s="78" t="n"/>
      <c r="BI2636" s="78" t="n"/>
      <c r="BJ2636" s="139" t="n"/>
      <c r="BK2636" s="204" t="n"/>
      <c r="BL2636" s="141" t="n"/>
      <c r="BM2636" s="205" t="n"/>
      <c r="BN2636" s="205" t="n"/>
      <c r="BO2636" s="206" t="n"/>
      <c r="BP2636" s="144" t="n"/>
      <c r="BQ2636" s="141" t="n"/>
      <c r="BR2636" s="207" t="n"/>
      <c r="BS2636" s="207" t="n"/>
      <c r="BT2636" s="207" t="n"/>
      <c r="BU2636" s="207" t="n"/>
      <c r="BV2636" s="208" t="n"/>
      <c r="BW2636" s="207" t="n"/>
      <c r="BX2636" s="207" t="n"/>
      <c r="BY2636" s="204" t="n"/>
      <c r="BZ2636" s="148" t="n"/>
      <c r="CA2636" s="204" t="n"/>
      <c r="CB2636" s="208" t="n"/>
      <c r="CC2636" s="139" t="n"/>
      <c r="CD2636" s="204" t="n"/>
      <c r="CE2636" s="204" t="n"/>
      <c r="CF2636" s="207" t="n"/>
      <c r="CG2636" s="208" t="n"/>
      <c r="CH2636" s="207" t="n"/>
      <c r="CI2636" s="208" t="n"/>
      <c r="CJ2636" s="204" t="n"/>
      <c r="CK2636" s="208" t="n"/>
      <c r="CL2636" s="208" t="n"/>
      <c r="CM2636" s="208" t="n"/>
      <c r="CN2636" s="78" t="n"/>
      <c r="CO2636" s="209" t="n"/>
      <c r="CP2636" s="204" t="n"/>
      <c r="CQ2636" s="204" t="n"/>
      <c r="CR2636" s="204" t="n"/>
      <c r="CS2636" s="204" t="n"/>
      <c r="CT2636" s="204" t="n"/>
      <c r="CU2636" s="204" t="n"/>
      <c r="CV2636" s="204" t="n"/>
      <c r="CW2636" s="204" t="n"/>
    </row>
    <row r="2637">
      <c r="BF2637" s="78" t="n"/>
      <c r="BG2637" s="78" t="n"/>
      <c r="BH2637" s="78" t="n"/>
      <c r="BI2637" s="78" t="n"/>
      <c r="BJ2637" s="139" t="n"/>
      <c r="BK2637" s="204" t="n"/>
      <c r="BL2637" s="141" t="n"/>
      <c r="BM2637" s="205" t="n"/>
      <c r="BN2637" s="205" t="n"/>
      <c r="BO2637" s="206" t="n"/>
      <c r="BP2637" s="144" t="n"/>
      <c r="BQ2637" s="141" t="n"/>
      <c r="BR2637" s="207" t="n"/>
      <c r="BS2637" s="207" t="n"/>
      <c r="BT2637" s="207" t="n"/>
      <c r="BU2637" s="207" t="n"/>
      <c r="BV2637" s="208" t="n"/>
      <c r="BW2637" s="207" t="n"/>
      <c r="BX2637" s="207" t="n"/>
      <c r="BY2637" s="204" t="n"/>
      <c r="BZ2637" s="148" t="n"/>
      <c r="CA2637" s="204" t="n"/>
      <c r="CB2637" s="208" t="n"/>
      <c r="CC2637" s="139" t="n"/>
      <c r="CD2637" s="204" t="n"/>
      <c r="CE2637" s="204" t="n"/>
      <c r="CF2637" s="207" t="n"/>
      <c r="CG2637" s="208" t="n"/>
      <c r="CH2637" s="207" t="n"/>
      <c r="CI2637" s="208" t="n"/>
      <c r="CJ2637" s="204" t="n"/>
      <c r="CK2637" s="208" t="n"/>
      <c r="CL2637" s="208" t="n"/>
      <c r="CM2637" s="208" t="n"/>
      <c r="CN2637" s="78" t="n"/>
      <c r="CO2637" s="209" t="n"/>
      <c r="CP2637" s="204" t="n"/>
      <c r="CQ2637" s="204" t="n"/>
      <c r="CR2637" s="204" t="n"/>
      <c r="CS2637" s="204" t="n"/>
      <c r="CT2637" s="204" t="n"/>
      <c r="CU2637" s="204" t="n"/>
      <c r="CV2637" s="204" t="n"/>
      <c r="CW2637" s="204" t="n"/>
    </row>
    <row r="2638">
      <c r="BF2638" s="78" t="n"/>
      <c r="BG2638" s="78" t="n"/>
      <c r="BH2638" s="78" t="n"/>
      <c r="BI2638" s="78" t="n"/>
      <c r="BJ2638" s="139" t="n"/>
      <c r="BK2638" s="204" t="n"/>
      <c r="BL2638" s="141" t="n"/>
      <c r="BM2638" s="205" t="n"/>
      <c r="BN2638" s="205" t="n"/>
      <c r="BO2638" s="206" t="n"/>
      <c r="BP2638" s="144" t="n"/>
      <c r="BQ2638" s="141" t="n"/>
      <c r="BR2638" s="207" t="n"/>
      <c r="BS2638" s="207" t="n"/>
      <c r="BT2638" s="207" t="n"/>
      <c r="BU2638" s="207" t="n"/>
      <c r="BV2638" s="208" t="n"/>
      <c r="BW2638" s="207" t="n"/>
      <c r="BX2638" s="207" t="n"/>
      <c r="BY2638" s="204" t="n"/>
      <c r="BZ2638" s="148" t="n"/>
      <c r="CA2638" s="204" t="n"/>
      <c r="CB2638" s="208" t="n"/>
      <c r="CC2638" s="139" t="n"/>
      <c r="CD2638" s="204" t="n"/>
      <c r="CE2638" s="204" t="n"/>
      <c r="CF2638" s="207" t="n"/>
      <c r="CG2638" s="208" t="n"/>
      <c r="CH2638" s="207" t="n"/>
      <c r="CI2638" s="208" t="n"/>
      <c r="CJ2638" s="204" t="n"/>
      <c r="CK2638" s="208" t="n"/>
      <c r="CL2638" s="208" t="n"/>
      <c r="CM2638" s="208" t="n"/>
      <c r="CN2638" s="78" t="n"/>
      <c r="CO2638" s="209" t="n"/>
      <c r="CP2638" s="204" t="n"/>
      <c r="CQ2638" s="204" t="n"/>
      <c r="CR2638" s="204" t="n"/>
      <c r="CS2638" s="204" t="n"/>
      <c r="CT2638" s="204" t="n"/>
      <c r="CU2638" s="204" t="n"/>
      <c r="CV2638" s="204" t="n"/>
      <c r="CW2638" s="204" t="n"/>
    </row>
    <row r="2639">
      <c r="BF2639" s="78" t="n"/>
      <c r="BG2639" s="78" t="n"/>
      <c r="BH2639" s="78" t="n"/>
      <c r="BI2639" s="78" t="n"/>
      <c r="BJ2639" s="139" t="n"/>
      <c r="BK2639" s="204" t="n"/>
      <c r="BL2639" s="141" t="n"/>
      <c r="BM2639" s="205" t="n"/>
      <c r="BN2639" s="205" t="n"/>
      <c r="BO2639" s="206" t="n"/>
      <c r="BP2639" s="144" t="n"/>
      <c r="BQ2639" s="141" t="n"/>
      <c r="BR2639" s="207" t="n"/>
      <c r="BS2639" s="207" t="n"/>
      <c r="BT2639" s="207" t="n"/>
      <c r="BU2639" s="207" t="n"/>
      <c r="BV2639" s="208" t="n"/>
      <c r="BW2639" s="207" t="n"/>
      <c r="BX2639" s="207" t="n"/>
      <c r="BY2639" s="204" t="n"/>
      <c r="BZ2639" s="148" t="n"/>
      <c r="CA2639" s="204" t="n"/>
      <c r="CB2639" s="208" t="n"/>
      <c r="CC2639" s="139" t="n"/>
      <c r="CD2639" s="204" t="n"/>
      <c r="CE2639" s="204" t="n"/>
      <c r="CF2639" s="207" t="n"/>
      <c r="CG2639" s="208" t="n"/>
      <c r="CH2639" s="207" t="n"/>
      <c r="CI2639" s="208" t="n"/>
      <c r="CJ2639" s="204" t="n"/>
      <c r="CK2639" s="208" t="n"/>
      <c r="CL2639" s="208" t="n"/>
      <c r="CM2639" s="208" t="n"/>
      <c r="CN2639" s="78" t="n"/>
      <c r="CO2639" s="209" t="n"/>
      <c r="CP2639" s="204" t="n"/>
      <c r="CQ2639" s="204" t="n"/>
      <c r="CR2639" s="204" t="n"/>
      <c r="CS2639" s="204" t="n"/>
      <c r="CT2639" s="204" t="n"/>
      <c r="CU2639" s="204" t="n"/>
      <c r="CV2639" s="204" t="n"/>
      <c r="CW2639" s="204" t="n"/>
    </row>
    <row r="2640">
      <c r="BF2640" s="78" t="n"/>
      <c r="BG2640" s="78" t="n"/>
      <c r="BH2640" s="78" t="n"/>
      <c r="BI2640" s="78" t="n"/>
      <c r="BJ2640" s="139" t="n"/>
      <c r="BK2640" s="204" t="n"/>
      <c r="BL2640" s="141" t="n"/>
      <c r="BM2640" s="205" t="n"/>
      <c r="BN2640" s="205" t="n"/>
      <c r="BO2640" s="206" t="n"/>
      <c r="BP2640" s="144" t="n"/>
      <c r="BQ2640" s="141" t="n"/>
      <c r="BR2640" s="207" t="n"/>
      <c r="BS2640" s="207" t="n"/>
      <c r="BT2640" s="207" t="n"/>
      <c r="BU2640" s="207" t="n"/>
      <c r="BV2640" s="208" t="n"/>
      <c r="BW2640" s="207" t="n"/>
      <c r="BX2640" s="207" t="n"/>
      <c r="BY2640" s="204" t="n"/>
      <c r="BZ2640" s="148" t="n"/>
      <c r="CA2640" s="204" t="n"/>
      <c r="CB2640" s="208" t="n"/>
      <c r="CC2640" s="139" t="n"/>
      <c r="CD2640" s="204" t="n"/>
      <c r="CE2640" s="204" t="n"/>
      <c r="CF2640" s="207" t="n"/>
      <c r="CG2640" s="208" t="n"/>
      <c r="CH2640" s="207" t="n"/>
      <c r="CI2640" s="208" t="n"/>
      <c r="CJ2640" s="204" t="n"/>
      <c r="CK2640" s="208" t="n"/>
      <c r="CL2640" s="208" t="n"/>
      <c r="CM2640" s="208" t="n"/>
      <c r="CN2640" s="78" t="n"/>
      <c r="CO2640" s="209" t="n"/>
      <c r="CP2640" s="204" t="n"/>
      <c r="CQ2640" s="204" t="n"/>
      <c r="CR2640" s="204" t="n"/>
      <c r="CS2640" s="204" t="n"/>
      <c r="CT2640" s="204" t="n"/>
      <c r="CU2640" s="204" t="n"/>
      <c r="CV2640" s="204" t="n"/>
      <c r="CW2640" s="204" t="n"/>
    </row>
    <row r="2641">
      <c r="BF2641" s="78" t="n"/>
      <c r="BG2641" s="78" t="n"/>
      <c r="BH2641" s="78" t="n"/>
      <c r="BI2641" s="78" t="n"/>
      <c r="BJ2641" s="139" t="n"/>
      <c r="BK2641" s="204" t="n"/>
      <c r="BL2641" s="141" t="n"/>
      <c r="BM2641" s="205" t="n"/>
      <c r="BN2641" s="205" t="n"/>
      <c r="BO2641" s="206" t="n"/>
      <c r="BP2641" s="144" t="n"/>
      <c r="BQ2641" s="141" t="n"/>
      <c r="BR2641" s="207" t="n"/>
      <c r="BS2641" s="207" t="n"/>
      <c r="BT2641" s="207" t="n"/>
      <c r="BU2641" s="207" t="n"/>
      <c r="BV2641" s="208" t="n"/>
      <c r="BW2641" s="207" t="n"/>
      <c r="BX2641" s="207" t="n"/>
      <c r="BY2641" s="204" t="n"/>
      <c r="BZ2641" s="148" t="n"/>
      <c r="CA2641" s="204" t="n"/>
      <c r="CB2641" s="208" t="n"/>
      <c r="CC2641" s="139" t="n"/>
      <c r="CD2641" s="204" t="n"/>
      <c r="CE2641" s="204" t="n"/>
      <c r="CF2641" s="207" t="n"/>
      <c r="CG2641" s="208" t="n"/>
      <c r="CH2641" s="207" t="n"/>
      <c r="CI2641" s="208" t="n"/>
      <c r="CJ2641" s="204" t="n"/>
      <c r="CK2641" s="208" t="n"/>
      <c r="CL2641" s="208" t="n"/>
      <c r="CM2641" s="208" t="n"/>
      <c r="CN2641" s="78" t="n"/>
      <c r="CO2641" s="209" t="n"/>
      <c r="CP2641" s="204" t="n"/>
      <c r="CQ2641" s="204" t="n"/>
      <c r="CR2641" s="204" t="n"/>
      <c r="CS2641" s="204" t="n"/>
      <c r="CT2641" s="204" t="n"/>
      <c r="CU2641" s="204" t="n"/>
      <c r="CV2641" s="204" t="n"/>
      <c r="CW2641" s="204" t="n"/>
    </row>
    <row r="2642">
      <c r="BF2642" s="78" t="n"/>
      <c r="BG2642" s="78" t="n"/>
      <c r="BH2642" s="78" t="n"/>
      <c r="BI2642" s="78" t="n"/>
      <c r="BJ2642" s="139" t="n"/>
      <c r="BK2642" s="204" t="n"/>
      <c r="BL2642" s="141" t="n"/>
      <c r="BM2642" s="205" t="n"/>
      <c r="BN2642" s="205" t="n"/>
      <c r="BO2642" s="206" t="n"/>
      <c r="BP2642" s="144" t="n"/>
      <c r="BQ2642" s="141" t="n"/>
      <c r="BR2642" s="207" t="n"/>
      <c r="BS2642" s="207" t="n"/>
      <c r="BT2642" s="207" t="n"/>
      <c r="BU2642" s="207" t="n"/>
      <c r="BV2642" s="208" t="n"/>
      <c r="BW2642" s="207" t="n"/>
      <c r="BX2642" s="207" t="n"/>
      <c r="BY2642" s="204" t="n"/>
      <c r="BZ2642" s="148" t="n"/>
      <c r="CA2642" s="204" t="n"/>
      <c r="CB2642" s="208" t="n"/>
      <c r="CC2642" s="139" t="n"/>
      <c r="CD2642" s="204" t="n"/>
      <c r="CE2642" s="204" t="n"/>
      <c r="CF2642" s="207" t="n"/>
      <c r="CG2642" s="208" t="n"/>
      <c r="CH2642" s="207" t="n"/>
      <c r="CI2642" s="208" t="n"/>
      <c r="CJ2642" s="204" t="n"/>
      <c r="CK2642" s="208" t="n"/>
      <c r="CL2642" s="208" t="n"/>
      <c r="CM2642" s="208" t="n"/>
      <c r="CN2642" s="78" t="n"/>
      <c r="CO2642" s="209" t="n"/>
      <c r="CP2642" s="204" t="n"/>
      <c r="CQ2642" s="204" t="n"/>
      <c r="CR2642" s="204" t="n"/>
      <c r="CS2642" s="204" t="n"/>
      <c r="CT2642" s="204" t="n"/>
      <c r="CU2642" s="204" t="n"/>
      <c r="CV2642" s="204" t="n"/>
      <c r="CW2642" s="204" t="n"/>
    </row>
    <row r="2643">
      <c r="BF2643" s="78" t="n"/>
      <c r="BG2643" s="78" t="n"/>
      <c r="BH2643" s="78" t="n"/>
      <c r="BI2643" s="78" t="n"/>
      <c r="BJ2643" s="139" t="n"/>
      <c r="BK2643" s="204" t="n"/>
      <c r="BL2643" s="141" t="n"/>
      <c r="BM2643" s="205" t="n"/>
      <c r="BN2643" s="205" t="n"/>
      <c r="BO2643" s="206" t="n"/>
      <c r="BP2643" s="144" t="n"/>
      <c r="BQ2643" s="141" t="n"/>
      <c r="BR2643" s="207" t="n"/>
      <c r="BS2643" s="207" t="n"/>
      <c r="BT2643" s="207" t="n"/>
      <c r="BU2643" s="207" t="n"/>
      <c r="BV2643" s="208" t="n"/>
      <c r="BW2643" s="207" t="n"/>
      <c r="BX2643" s="207" t="n"/>
      <c r="BY2643" s="204" t="n"/>
      <c r="BZ2643" s="148" t="n"/>
      <c r="CA2643" s="204" t="n"/>
      <c r="CB2643" s="208" t="n"/>
      <c r="CC2643" s="139" t="n"/>
      <c r="CD2643" s="204" t="n"/>
      <c r="CE2643" s="204" t="n"/>
      <c r="CF2643" s="207" t="n"/>
      <c r="CG2643" s="208" t="n"/>
      <c r="CH2643" s="207" t="n"/>
      <c r="CI2643" s="208" t="n"/>
      <c r="CJ2643" s="204" t="n"/>
      <c r="CK2643" s="208" t="n"/>
      <c r="CL2643" s="208" t="n"/>
      <c r="CM2643" s="208" t="n"/>
      <c r="CN2643" s="78" t="n"/>
      <c r="CO2643" s="209" t="n"/>
      <c r="CP2643" s="204" t="n"/>
      <c r="CQ2643" s="204" t="n"/>
      <c r="CR2643" s="204" t="n"/>
      <c r="CS2643" s="204" t="n"/>
      <c r="CT2643" s="204" t="n"/>
      <c r="CU2643" s="204" t="n"/>
      <c r="CV2643" s="204" t="n"/>
      <c r="CW2643" s="204" t="n"/>
    </row>
    <row r="2644">
      <c r="BF2644" s="78" t="n"/>
      <c r="BG2644" s="78" t="n"/>
      <c r="BH2644" s="78" t="n"/>
      <c r="BI2644" s="78" t="n"/>
      <c r="BJ2644" s="139" t="n"/>
      <c r="BK2644" s="204" t="n"/>
      <c r="BL2644" s="141" t="n"/>
      <c r="BM2644" s="205" t="n"/>
      <c r="BN2644" s="205" t="n"/>
      <c r="BO2644" s="206" t="n"/>
      <c r="BP2644" s="144" t="n"/>
      <c r="BQ2644" s="141" t="n"/>
      <c r="BR2644" s="207" t="n"/>
      <c r="BS2644" s="207" t="n"/>
      <c r="BT2644" s="207" t="n"/>
      <c r="BU2644" s="207" t="n"/>
      <c r="BV2644" s="208" t="n"/>
      <c r="BW2644" s="207" t="n"/>
      <c r="BX2644" s="207" t="n"/>
      <c r="BY2644" s="204" t="n"/>
      <c r="BZ2644" s="148" t="n"/>
      <c r="CA2644" s="204" t="n"/>
      <c r="CB2644" s="208" t="n"/>
      <c r="CC2644" s="139" t="n"/>
      <c r="CD2644" s="204" t="n"/>
      <c r="CE2644" s="204" t="n"/>
      <c r="CF2644" s="207" t="n"/>
      <c r="CG2644" s="208" t="n"/>
      <c r="CH2644" s="207" t="n"/>
      <c r="CI2644" s="208" t="n"/>
      <c r="CJ2644" s="204" t="n"/>
      <c r="CK2644" s="208" t="n"/>
      <c r="CL2644" s="208" t="n"/>
      <c r="CM2644" s="208" t="n"/>
      <c r="CN2644" s="78" t="n"/>
      <c r="CO2644" s="209" t="n"/>
      <c r="CP2644" s="204" t="n"/>
      <c r="CQ2644" s="204" t="n"/>
      <c r="CR2644" s="204" t="n"/>
      <c r="CS2644" s="204" t="n"/>
      <c r="CT2644" s="204" t="n"/>
      <c r="CU2644" s="204" t="n"/>
      <c r="CV2644" s="204" t="n"/>
      <c r="CW2644" s="204" t="n"/>
    </row>
    <row r="2645">
      <c r="BF2645" s="78" t="n"/>
      <c r="BG2645" s="78" t="n"/>
      <c r="BH2645" s="78" t="n"/>
      <c r="BI2645" s="78" t="n"/>
      <c r="BJ2645" s="139" t="n"/>
      <c r="BK2645" s="204" t="n"/>
      <c r="BL2645" s="141" t="n"/>
      <c r="BM2645" s="205" t="n"/>
      <c r="BN2645" s="205" t="n"/>
      <c r="BO2645" s="206" t="n"/>
      <c r="BP2645" s="144" t="n"/>
      <c r="BQ2645" s="141" t="n"/>
      <c r="BR2645" s="207" t="n"/>
      <c r="BS2645" s="207" t="n"/>
      <c r="BT2645" s="207" t="n"/>
      <c r="BU2645" s="207" t="n"/>
      <c r="BV2645" s="208" t="n"/>
      <c r="BW2645" s="207" t="n"/>
      <c r="BX2645" s="207" t="n"/>
      <c r="BY2645" s="204" t="n"/>
      <c r="BZ2645" s="148" t="n"/>
      <c r="CA2645" s="204" t="n"/>
      <c r="CB2645" s="208" t="n"/>
      <c r="CC2645" s="139" t="n"/>
      <c r="CD2645" s="204" t="n"/>
      <c r="CE2645" s="204" t="n"/>
      <c r="CF2645" s="207" t="n"/>
      <c r="CG2645" s="208" t="n"/>
      <c r="CH2645" s="207" t="n"/>
      <c r="CI2645" s="208" t="n"/>
      <c r="CJ2645" s="204" t="n"/>
      <c r="CK2645" s="208" t="n"/>
      <c r="CL2645" s="208" t="n"/>
      <c r="CM2645" s="208" t="n"/>
      <c r="CN2645" s="78" t="n"/>
      <c r="CO2645" s="209" t="n"/>
      <c r="CP2645" s="204" t="n"/>
      <c r="CQ2645" s="204" t="n"/>
      <c r="CR2645" s="204" t="n"/>
      <c r="CS2645" s="204" t="n"/>
      <c r="CT2645" s="204" t="n"/>
      <c r="CU2645" s="204" t="n"/>
      <c r="CV2645" s="204" t="n"/>
      <c r="CW2645" s="204" t="n"/>
    </row>
    <row r="2646">
      <c r="BF2646" s="78" t="n"/>
      <c r="BG2646" s="78" t="n"/>
      <c r="BH2646" s="78" t="n"/>
      <c r="BI2646" s="78" t="n"/>
      <c r="BJ2646" s="139" t="n"/>
      <c r="BK2646" s="204" t="n"/>
      <c r="BL2646" s="141" t="n"/>
      <c r="BM2646" s="205" t="n"/>
      <c r="BN2646" s="205" t="n"/>
      <c r="BO2646" s="206" t="n"/>
      <c r="BP2646" s="144" t="n"/>
      <c r="BQ2646" s="141" t="n"/>
      <c r="BR2646" s="207" t="n"/>
      <c r="BS2646" s="207" t="n"/>
      <c r="BT2646" s="207" t="n"/>
      <c r="BU2646" s="207" t="n"/>
      <c r="BV2646" s="208" t="n"/>
      <c r="BW2646" s="207" t="n"/>
      <c r="BX2646" s="207" t="n"/>
      <c r="BY2646" s="204" t="n"/>
      <c r="BZ2646" s="148" t="n"/>
      <c r="CA2646" s="204" t="n"/>
      <c r="CB2646" s="208" t="n"/>
      <c r="CC2646" s="139" t="n"/>
      <c r="CD2646" s="204" t="n"/>
      <c r="CE2646" s="204" t="n"/>
      <c r="CF2646" s="207" t="n"/>
      <c r="CG2646" s="208" t="n"/>
      <c r="CH2646" s="207" t="n"/>
      <c r="CI2646" s="208" t="n"/>
      <c r="CJ2646" s="204" t="n"/>
      <c r="CK2646" s="208" t="n"/>
      <c r="CL2646" s="208" t="n"/>
      <c r="CM2646" s="208" t="n"/>
      <c r="CN2646" s="78" t="n"/>
      <c r="CO2646" s="209" t="n"/>
      <c r="CP2646" s="204" t="n"/>
      <c r="CQ2646" s="204" t="n"/>
      <c r="CR2646" s="204" t="n"/>
      <c r="CS2646" s="204" t="n"/>
      <c r="CT2646" s="204" t="n"/>
      <c r="CU2646" s="204" t="n"/>
      <c r="CV2646" s="204" t="n"/>
      <c r="CW2646" s="204" t="n"/>
    </row>
    <row r="2647">
      <c r="BF2647" s="78" t="n"/>
      <c r="BG2647" s="78" t="n"/>
      <c r="BH2647" s="78" t="n"/>
      <c r="BI2647" s="78" t="n"/>
      <c r="BJ2647" s="139" t="n"/>
      <c r="BK2647" s="204" t="n"/>
      <c r="BL2647" s="141" t="n"/>
      <c r="BM2647" s="205" t="n"/>
      <c r="BN2647" s="205" t="n"/>
      <c r="BO2647" s="206" t="n"/>
      <c r="BP2647" s="144" t="n"/>
      <c r="BQ2647" s="141" t="n"/>
      <c r="BR2647" s="207" t="n"/>
      <c r="BS2647" s="207" t="n"/>
      <c r="BT2647" s="207" t="n"/>
      <c r="BU2647" s="207" t="n"/>
      <c r="BV2647" s="208" t="n"/>
      <c r="BW2647" s="207" t="n"/>
      <c r="BX2647" s="207" t="n"/>
      <c r="BY2647" s="204" t="n"/>
      <c r="BZ2647" s="148" t="n"/>
      <c r="CA2647" s="204" t="n"/>
      <c r="CB2647" s="208" t="n"/>
      <c r="CC2647" s="139" t="n"/>
      <c r="CD2647" s="204" t="n"/>
      <c r="CE2647" s="204" t="n"/>
      <c r="CF2647" s="207" t="n"/>
      <c r="CG2647" s="208" t="n"/>
      <c r="CH2647" s="207" t="n"/>
      <c r="CI2647" s="208" t="n"/>
      <c r="CJ2647" s="204" t="n"/>
      <c r="CK2647" s="208" t="n"/>
      <c r="CL2647" s="208" t="n"/>
      <c r="CM2647" s="208" t="n"/>
      <c r="CN2647" s="78" t="n"/>
      <c r="CO2647" s="209" t="n"/>
      <c r="CP2647" s="204" t="n"/>
      <c r="CQ2647" s="204" t="n"/>
      <c r="CR2647" s="204" t="n"/>
      <c r="CS2647" s="204" t="n"/>
      <c r="CT2647" s="204" t="n"/>
      <c r="CU2647" s="204" t="n"/>
      <c r="CV2647" s="204" t="n"/>
      <c r="CW2647" s="204" t="n"/>
    </row>
    <row r="2648">
      <c r="BF2648" s="78" t="n"/>
      <c r="BG2648" s="78" t="n"/>
      <c r="BH2648" s="78" t="n"/>
      <c r="BI2648" s="78" t="n"/>
      <c r="BJ2648" s="139" t="n"/>
      <c r="BK2648" s="204" t="n"/>
      <c r="BL2648" s="141" t="n"/>
      <c r="BM2648" s="205" t="n"/>
      <c r="BN2648" s="205" t="n"/>
      <c r="BO2648" s="206" t="n"/>
      <c r="BP2648" s="144" t="n"/>
      <c r="BQ2648" s="141" t="n"/>
      <c r="BR2648" s="207" t="n"/>
      <c r="BS2648" s="207" t="n"/>
      <c r="BT2648" s="207" t="n"/>
      <c r="BU2648" s="207" t="n"/>
      <c r="BV2648" s="208" t="n"/>
      <c r="BW2648" s="207" t="n"/>
      <c r="BX2648" s="207" t="n"/>
      <c r="BY2648" s="204" t="n"/>
      <c r="BZ2648" s="148" t="n"/>
      <c r="CA2648" s="204" t="n"/>
      <c r="CB2648" s="208" t="n"/>
      <c r="CC2648" s="139" t="n"/>
      <c r="CD2648" s="204" t="n"/>
      <c r="CE2648" s="204" t="n"/>
      <c r="CF2648" s="207" t="n"/>
      <c r="CG2648" s="208" t="n"/>
      <c r="CH2648" s="207" t="n"/>
      <c r="CI2648" s="208" t="n"/>
      <c r="CJ2648" s="204" t="n"/>
      <c r="CK2648" s="208" t="n"/>
      <c r="CL2648" s="208" t="n"/>
      <c r="CM2648" s="208" t="n"/>
      <c r="CN2648" s="78" t="n"/>
      <c r="CO2648" s="209" t="n"/>
      <c r="CP2648" s="204" t="n"/>
      <c r="CQ2648" s="204" t="n"/>
      <c r="CR2648" s="204" t="n"/>
      <c r="CS2648" s="204" t="n"/>
      <c r="CT2648" s="204" t="n"/>
      <c r="CU2648" s="204" t="n"/>
      <c r="CV2648" s="204" t="n"/>
      <c r="CW2648" s="204" t="n"/>
    </row>
    <row r="2649">
      <c r="BF2649" s="78" t="n"/>
      <c r="BG2649" s="78" t="n"/>
      <c r="BH2649" s="78" t="n"/>
      <c r="BI2649" s="78" t="n"/>
      <c r="BJ2649" s="139" t="n"/>
      <c r="BK2649" s="204" t="n"/>
      <c r="BL2649" s="141" t="n"/>
      <c r="BM2649" s="205" t="n"/>
      <c r="BN2649" s="205" t="n"/>
      <c r="BO2649" s="206" t="n"/>
      <c r="BP2649" s="144" t="n"/>
      <c r="BQ2649" s="141" t="n"/>
      <c r="BR2649" s="207" t="n"/>
      <c r="BS2649" s="207" t="n"/>
      <c r="BT2649" s="207" t="n"/>
      <c r="BU2649" s="207" t="n"/>
      <c r="BV2649" s="208" t="n"/>
      <c r="BW2649" s="207" t="n"/>
      <c r="BX2649" s="207" t="n"/>
      <c r="BY2649" s="204" t="n"/>
      <c r="BZ2649" s="148" t="n"/>
      <c r="CA2649" s="204" t="n"/>
      <c r="CB2649" s="208" t="n"/>
      <c r="CC2649" s="139" t="n"/>
      <c r="CD2649" s="204" t="n"/>
      <c r="CE2649" s="204" t="n"/>
      <c r="CF2649" s="207" t="n"/>
      <c r="CG2649" s="208" t="n"/>
      <c r="CH2649" s="207" t="n"/>
      <c r="CI2649" s="208" t="n"/>
      <c r="CJ2649" s="204" t="n"/>
      <c r="CK2649" s="208" t="n"/>
      <c r="CL2649" s="208" t="n"/>
      <c r="CM2649" s="208" t="n"/>
      <c r="CN2649" s="78" t="n"/>
      <c r="CO2649" s="209" t="n"/>
      <c r="CP2649" s="204" t="n"/>
      <c r="CQ2649" s="204" t="n"/>
      <c r="CR2649" s="204" t="n"/>
      <c r="CS2649" s="204" t="n"/>
      <c r="CT2649" s="204" t="n"/>
      <c r="CU2649" s="204" t="n"/>
      <c r="CV2649" s="204" t="n"/>
      <c r="CW2649" s="204" t="n"/>
    </row>
    <row r="2650">
      <c r="BF2650" s="78" t="n"/>
      <c r="BG2650" s="78" t="n"/>
      <c r="BH2650" s="78" t="n"/>
      <c r="BI2650" s="78" t="n"/>
      <c r="BJ2650" s="139" t="n"/>
      <c r="BK2650" s="204" t="n"/>
      <c r="BL2650" s="141" t="n"/>
      <c r="BM2650" s="205" t="n"/>
      <c r="BN2650" s="205" t="n"/>
      <c r="BO2650" s="206" t="n"/>
      <c r="BP2650" s="144" t="n"/>
      <c r="BQ2650" s="141" t="n"/>
      <c r="BR2650" s="207" t="n"/>
      <c r="BS2650" s="207" t="n"/>
      <c r="BT2650" s="207" t="n"/>
      <c r="BU2650" s="207" t="n"/>
      <c r="BV2650" s="208" t="n"/>
      <c r="BW2650" s="207" t="n"/>
      <c r="BX2650" s="207" t="n"/>
      <c r="BY2650" s="204" t="n"/>
      <c r="BZ2650" s="148" t="n"/>
      <c r="CA2650" s="204" t="n"/>
      <c r="CB2650" s="208" t="n"/>
      <c r="CC2650" s="139" t="n"/>
      <c r="CD2650" s="204" t="n"/>
      <c r="CE2650" s="204" t="n"/>
      <c r="CF2650" s="207" t="n"/>
      <c r="CG2650" s="208" t="n"/>
      <c r="CH2650" s="207" t="n"/>
      <c r="CI2650" s="208" t="n"/>
      <c r="CJ2650" s="204" t="n"/>
      <c r="CK2650" s="208" t="n"/>
      <c r="CL2650" s="208" t="n"/>
      <c r="CM2650" s="208" t="n"/>
      <c r="CN2650" s="78" t="n"/>
      <c r="CO2650" s="209" t="n"/>
      <c r="CP2650" s="204" t="n"/>
      <c r="CQ2650" s="204" t="n"/>
      <c r="CR2650" s="204" t="n"/>
      <c r="CS2650" s="204" t="n"/>
      <c r="CT2650" s="204" t="n"/>
      <c r="CU2650" s="204" t="n"/>
      <c r="CV2650" s="204" t="n"/>
      <c r="CW2650" s="204" t="n"/>
    </row>
    <row r="2651">
      <c r="BF2651" s="78" t="n"/>
      <c r="BG2651" s="78" t="n"/>
      <c r="BH2651" s="78" t="n"/>
      <c r="BI2651" s="78" t="n"/>
      <c r="BJ2651" s="139" t="n"/>
      <c r="BK2651" s="204" t="n"/>
      <c r="BL2651" s="141" t="n"/>
      <c r="BM2651" s="205" t="n"/>
      <c r="BN2651" s="205" t="n"/>
      <c r="BO2651" s="206" t="n"/>
      <c r="BP2651" s="144" t="n"/>
      <c r="BQ2651" s="141" t="n"/>
      <c r="BR2651" s="207" t="n"/>
      <c r="BS2651" s="207" t="n"/>
      <c r="BT2651" s="207" t="n"/>
      <c r="BU2651" s="207" t="n"/>
      <c r="BV2651" s="208" t="n"/>
      <c r="BW2651" s="207" t="n"/>
      <c r="BX2651" s="207" t="n"/>
      <c r="BY2651" s="204" t="n"/>
      <c r="BZ2651" s="148" t="n"/>
      <c r="CA2651" s="204" t="n"/>
      <c r="CB2651" s="208" t="n"/>
      <c r="CC2651" s="139" t="n"/>
      <c r="CD2651" s="204" t="n"/>
      <c r="CE2651" s="204" t="n"/>
      <c r="CF2651" s="207" t="n"/>
      <c r="CG2651" s="208" t="n"/>
      <c r="CH2651" s="207" t="n"/>
      <c r="CI2651" s="208" t="n"/>
      <c r="CJ2651" s="204" t="n"/>
      <c r="CK2651" s="208" t="n"/>
      <c r="CL2651" s="208" t="n"/>
      <c r="CM2651" s="208" t="n"/>
      <c r="CN2651" s="78" t="n"/>
      <c r="CO2651" s="209" t="n"/>
      <c r="CP2651" s="204" t="n"/>
      <c r="CQ2651" s="204" t="n"/>
      <c r="CR2651" s="204" t="n"/>
      <c r="CS2651" s="204" t="n"/>
      <c r="CT2651" s="204" t="n"/>
      <c r="CU2651" s="204" t="n"/>
      <c r="CV2651" s="204" t="n"/>
      <c r="CW2651" s="204" t="n"/>
    </row>
    <row r="2652">
      <c r="AR2652" s="151" t="n"/>
      <c r="BF2652" s="78" t="n"/>
      <c r="BG2652" s="78" t="n"/>
      <c r="BH2652" s="78" t="n"/>
      <c r="BI2652" s="78" t="n"/>
      <c r="BJ2652" s="139" t="n"/>
      <c r="BK2652" s="204" t="n"/>
      <c r="BL2652" s="141" t="n"/>
      <c r="BM2652" s="205" t="n"/>
      <c r="BN2652" s="205" t="n"/>
      <c r="BO2652" s="206" t="n"/>
      <c r="BP2652" s="144" t="n"/>
      <c r="BQ2652" s="141" t="n"/>
      <c r="BR2652" s="207" t="n"/>
      <c r="BS2652" s="207" t="n"/>
      <c r="BT2652" s="207" t="n"/>
      <c r="BU2652" s="207" t="n"/>
      <c r="BV2652" s="208" t="n"/>
      <c r="BW2652" s="207" t="n"/>
      <c r="BX2652" s="207" t="n"/>
      <c r="BY2652" s="204" t="n"/>
      <c r="BZ2652" s="148" t="n"/>
      <c r="CA2652" s="204" t="n"/>
      <c r="CB2652" s="208" t="n"/>
      <c r="CC2652" s="139" t="n"/>
      <c r="CD2652" s="204" t="n"/>
      <c r="CE2652" s="204" t="n"/>
      <c r="CF2652" s="207" t="n"/>
      <c r="CG2652" s="208" t="n"/>
      <c r="CH2652" s="207" t="n"/>
      <c r="CI2652" s="208" t="n"/>
      <c r="CJ2652" s="204" t="n"/>
      <c r="CK2652" s="208" t="n"/>
      <c r="CL2652" s="208" t="n"/>
      <c r="CM2652" s="208" t="n"/>
      <c r="CN2652" s="78" t="n"/>
      <c r="CO2652" s="209" t="n"/>
      <c r="CP2652" s="204" t="n"/>
      <c r="CQ2652" s="204" t="n"/>
      <c r="CR2652" s="204" t="n"/>
      <c r="CS2652" s="204" t="n"/>
      <c r="CT2652" s="204" t="n"/>
      <c r="CU2652" s="204" t="n"/>
      <c r="CV2652" s="204" t="n"/>
      <c r="CW2652" s="204" t="n"/>
    </row>
    <row r="2653">
      <c r="AR2653" s="151" t="n"/>
      <c r="BF2653" s="78" t="n"/>
      <c r="BG2653" s="78" t="n"/>
      <c r="BH2653" s="78" t="n"/>
      <c r="BI2653" s="78" t="n"/>
      <c r="BJ2653" s="139" t="n"/>
      <c r="BK2653" s="204" t="n"/>
      <c r="BL2653" s="141" t="n"/>
      <c r="BM2653" s="205" t="n"/>
      <c r="BN2653" s="205" t="n"/>
      <c r="BO2653" s="206" t="n"/>
      <c r="BP2653" s="144" t="n"/>
      <c r="BQ2653" s="141" t="n"/>
      <c r="BR2653" s="207" t="n"/>
      <c r="BS2653" s="207" t="n"/>
      <c r="BT2653" s="207" t="n"/>
      <c r="BU2653" s="207" t="n"/>
      <c r="BV2653" s="208" t="n"/>
      <c r="BW2653" s="207" t="n"/>
      <c r="BX2653" s="207" t="n"/>
      <c r="BY2653" s="204" t="n"/>
      <c r="BZ2653" s="148" t="n"/>
      <c r="CA2653" s="204" t="n"/>
      <c r="CB2653" s="208" t="n"/>
      <c r="CC2653" s="139" t="n"/>
      <c r="CD2653" s="204" t="n"/>
      <c r="CE2653" s="204" t="n"/>
      <c r="CF2653" s="207" t="n"/>
      <c r="CG2653" s="208" t="n"/>
      <c r="CH2653" s="207" t="n"/>
      <c r="CI2653" s="208" t="n"/>
      <c r="CJ2653" s="204" t="n"/>
      <c r="CK2653" s="208" t="n"/>
      <c r="CL2653" s="208" t="n"/>
      <c r="CM2653" s="208" t="n"/>
      <c r="CN2653" s="78" t="n"/>
      <c r="CO2653" s="209" t="n"/>
      <c r="CP2653" s="204" t="n"/>
      <c r="CQ2653" s="204" t="n"/>
      <c r="CR2653" s="204" t="n"/>
      <c r="CS2653" s="204" t="n"/>
      <c r="CT2653" s="204" t="n"/>
      <c r="CU2653" s="204" t="n"/>
      <c r="CV2653" s="204" t="n"/>
      <c r="CW2653" s="204" t="n"/>
    </row>
    <row r="2654">
      <c r="BF2654" s="78" t="n"/>
      <c r="BG2654" s="78" t="n"/>
      <c r="BH2654" s="78" t="n"/>
      <c r="BI2654" s="78" t="n"/>
      <c r="BJ2654" s="139" t="n"/>
      <c r="BK2654" s="204" t="n"/>
      <c r="BL2654" s="141" t="n"/>
      <c r="BM2654" s="205" t="n"/>
      <c r="BN2654" s="205" t="n"/>
      <c r="BO2654" s="206" t="n"/>
      <c r="BP2654" s="144" t="n"/>
      <c r="BQ2654" s="141" t="n"/>
      <c r="BR2654" s="207" t="n"/>
      <c r="BS2654" s="207" t="n"/>
      <c r="BT2654" s="207" t="n"/>
      <c r="BU2654" s="207" t="n"/>
      <c r="BV2654" s="208" t="n"/>
      <c r="BW2654" s="207" t="n"/>
      <c r="BX2654" s="207" t="n"/>
      <c r="BY2654" s="204" t="n"/>
      <c r="BZ2654" s="148" t="n"/>
      <c r="CA2654" s="204" t="n"/>
      <c r="CB2654" s="208" t="n"/>
      <c r="CC2654" s="139" t="n"/>
      <c r="CD2654" s="204" t="n"/>
      <c r="CE2654" s="204" t="n"/>
      <c r="CF2654" s="207" t="n"/>
      <c r="CG2654" s="208" t="n"/>
      <c r="CH2654" s="207" t="n"/>
      <c r="CI2654" s="208" t="n"/>
      <c r="CJ2654" s="204" t="n"/>
      <c r="CK2654" s="208" t="n"/>
      <c r="CL2654" s="208" t="n"/>
      <c r="CM2654" s="208" t="n"/>
      <c r="CN2654" s="78" t="n"/>
      <c r="CO2654" s="209" t="n"/>
      <c r="CP2654" s="204" t="n"/>
      <c r="CQ2654" s="204" t="n"/>
      <c r="CR2654" s="204" t="n"/>
      <c r="CS2654" s="204" t="n"/>
      <c r="CT2654" s="204" t="n"/>
      <c r="CU2654" s="204" t="n"/>
      <c r="CV2654" s="204" t="n"/>
      <c r="CW2654" s="204" t="n"/>
    </row>
    <row r="2655">
      <c r="BF2655" s="78" t="n"/>
      <c r="BG2655" s="78" t="n"/>
      <c r="BH2655" s="78" t="n"/>
      <c r="BI2655" s="78" t="n"/>
      <c r="BJ2655" s="139" t="n"/>
      <c r="BK2655" s="204" t="n"/>
      <c r="BL2655" s="141" t="n"/>
      <c r="BM2655" s="205" t="n"/>
      <c r="BN2655" s="205" t="n"/>
      <c r="BO2655" s="206" t="n"/>
      <c r="BP2655" s="144" t="n"/>
      <c r="BQ2655" s="141" t="n"/>
      <c r="BR2655" s="207" t="n"/>
      <c r="BS2655" s="207" t="n"/>
      <c r="BT2655" s="207" t="n"/>
      <c r="BU2655" s="207" t="n"/>
      <c r="BV2655" s="208" t="n"/>
      <c r="BW2655" s="207" t="n"/>
      <c r="BX2655" s="207" t="n"/>
      <c r="BY2655" s="204" t="n"/>
      <c r="BZ2655" s="148" t="n"/>
      <c r="CA2655" s="204" t="n"/>
      <c r="CB2655" s="208" t="n"/>
      <c r="CC2655" s="139" t="n"/>
      <c r="CD2655" s="204" t="n"/>
      <c r="CE2655" s="204" t="n"/>
      <c r="CF2655" s="207" t="n"/>
      <c r="CG2655" s="208" t="n"/>
      <c r="CH2655" s="207" t="n"/>
      <c r="CI2655" s="208" t="n"/>
      <c r="CJ2655" s="204" t="n"/>
      <c r="CK2655" s="208" t="n"/>
      <c r="CL2655" s="208" t="n"/>
      <c r="CM2655" s="208" t="n"/>
      <c r="CN2655" s="78" t="n"/>
      <c r="CO2655" s="209" t="n"/>
      <c r="CP2655" s="204" t="n"/>
      <c r="CQ2655" s="204" t="n"/>
      <c r="CR2655" s="204" t="n"/>
      <c r="CS2655" s="204" t="n"/>
      <c r="CT2655" s="204" t="n"/>
      <c r="CU2655" s="204" t="n"/>
      <c r="CV2655" s="204" t="n"/>
      <c r="CW2655" s="204" t="n"/>
    </row>
    <row r="2656">
      <c r="AR2656" s="151" t="n"/>
      <c r="BF2656" s="78" t="n"/>
      <c r="BG2656" s="78" t="n"/>
      <c r="BH2656" s="78" t="n"/>
      <c r="BI2656" s="78" t="n"/>
      <c r="BJ2656" s="139" t="n"/>
      <c r="BK2656" s="204" t="n"/>
      <c r="BL2656" s="141" t="n"/>
      <c r="BM2656" s="205" t="n"/>
      <c r="BN2656" s="205" t="n"/>
      <c r="BO2656" s="206" t="n"/>
      <c r="BP2656" s="144" t="n"/>
      <c r="BQ2656" s="141" t="n"/>
      <c r="BR2656" s="207" t="n"/>
      <c r="BS2656" s="207" t="n"/>
      <c r="BT2656" s="207" t="n"/>
      <c r="BU2656" s="207" t="n"/>
      <c r="BV2656" s="208" t="n"/>
      <c r="BW2656" s="207" t="n"/>
      <c r="BX2656" s="207" t="n"/>
      <c r="BY2656" s="204" t="n"/>
      <c r="BZ2656" s="148" t="n"/>
      <c r="CA2656" s="204" t="n"/>
      <c r="CB2656" s="208" t="n"/>
      <c r="CC2656" s="139" t="n"/>
      <c r="CD2656" s="204" t="n"/>
      <c r="CE2656" s="204" t="n"/>
      <c r="CF2656" s="207" t="n"/>
      <c r="CG2656" s="208" t="n"/>
      <c r="CH2656" s="207" t="n"/>
      <c r="CI2656" s="208" t="n"/>
      <c r="CJ2656" s="204" t="n"/>
      <c r="CK2656" s="208" t="n"/>
      <c r="CL2656" s="208" t="n"/>
      <c r="CM2656" s="208" t="n"/>
      <c r="CN2656" s="78" t="n"/>
      <c r="CO2656" s="209" t="n"/>
      <c r="CP2656" s="204" t="n"/>
      <c r="CQ2656" s="204" t="n"/>
      <c r="CR2656" s="204" t="n"/>
      <c r="CS2656" s="204" t="n"/>
      <c r="CT2656" s="204" t="n"/>
      <c r="CU2656" s="204" t="n"/>
      <c r="CV2656" s="204" t="n"/>
      <c r="CW2656" s="204" t="n"/>
    </row>
    <row r="2657">
      <c r="BF2657" s="78" t="n"/>
      <c r="BG2657" s="78" t="n"/>
      <c r="BH2657" s="78" t="n"/>
      <c r="BI2657" s="78" t="n"/>
      <c r="BJ2657" s="139" t="n"/>
      <c r="BK2657" s="204" t="n"/>
      <c r="BL2657" s="141" t="n"/>
      <c r="BM2657" s="205" t="n"/>
      <c r="BN2657" s="205" t="n"/>
      <c r="BO2657" s="206" t="n"/>
      <c r="BP2657" s="144" t="n"/>
      <c r="BQ2657" s="141" t="n"/>
      <c r="BR2657" s="207" t="n"/>
      <c r="BS2657" s="207" t="n"/>
      <c r="BT2657" s="207" t="n"/>
      <c r="BU2657" s="207" t="n"/>
      <c r="BV2657" s="208" t="n"/>
      <c r="BW2657" s="207" t="n"/>
      <c r="BX2657" s="207" t="n"/>
      <c r="BY2657" s="204" t="n"/>
      <c r="BZ2657" s="148" t="n"/>
      <c r="CA2657" s="204" t="n"/>
      <c r="CB2657" s="208" t="n"/>
      <c r="CC2657" s="139" t="n"/>
      <c r="CD2657" s="204" t="n"/>
      <c r="CE2657" s="204" t="n"/>
      <c r="CF2657" s="207" t="n"/>
      <c r="CG2657" s="208" t="n"/>
      <c r="CH2657" s="207" t="n"/>
      <c r="CI2657" s="208" t="n"/>
      <c r="CJ2657" s="204" t="n"/>
      <c r="CK2657" s="208" t="n"/>
      <c r="CL2657" s="208" t="n"/>
      <c r="CM2657" s="208" t="n"/>
      <c r="CN2657" s="78" t="n"/>
      <c r="CO2657" s="209" t="n"/>
      <c r="CP2657" s="204" t="n"/>
      <c r="CQ2657" s="204" t="n"/>
      <c r="CR2657" s="204" t="n"/>
      <c r="CS2657" s="204" t="n"/>
      <c r="CT2657" s="204" t="n"/>
      <c r="CU2657" s="204" t="n"/>
      <c r="CV2657" s="204" t="n"/>
      <c r="CW2657" s="204" t="n"/>
    </row>
    <row r="2658">
      <c r="BF2658" s="78" t="n"/>
      <c r="BG2658" s="78" t="n"/>
      <c r="BH2658" s="78" t="n"/>
      <c r="BI2658" s="78" t="n"/>
      <c r="BJ2658" s="139" t="n"/>
      <c r="BK2658" s="204" t="n"/>
      <c r="BL2658" s="141" t="n"/>
      <c r="BM2658" s="205" t="n"/>
      <c r="BN2658" s="205" t="n"/>
      <c r="BO2658" s="206" t="n"/>
      <c r="BP2658" s="144" t="n"/>
      <c r="BQ2658" s="141" t="n"/>
      <c r="BR2658" s="207" t="n"/>
      <c r="BS2658" s="207" t="n"/>
      <c r="BT2658" s="207" t="n"/>
      <c r="BU2658" s="207" t="n"/>
      <c r="BV2658" s="208" t="n"/>
      <c r="BW2658" s="207" t="n"/>
      <c r="BX2658" s="207" t="n"/>
      <c r="BY2658" s="204" t="n"/>
      <c r="BZ2658" s="148" t="n"/>
      <c r="CA2658" s="204" t="n"/>
      <c r="CB2658" s="208" t="n"/>
      <c r="CC2658" s="139" t="n"/>
      <c r="CD2658" s="204" t="n"/>
      <c r="CE2658" s="204" t="n"/>
      <c r="CF2658" s="207" t="n"/>
      <c r="CG2658" s="208" t="n"/>
      <c r="CH2658" s="207" t="n"/>
      <c r="CI2658" s="208" t="n"/>
      <c r="CJ2658" s="204" t="n"/>
      <c r="CK2658" s="208" t="n"/>
      <c r="CL2658" s="208" t="n"/>
      <c r="CM2658" s="208" t="n"/>
      <c r="CN2658" s="78" t="n"/>
      <c r="CO2658" s="209" t="n"/>
      <c r="CP2658" s="204" t="n"/>
      <c r="CQ2658" s="204" t="n"/>
      <c r="CR2658" s="204" t="n"/>
      <c r="CS2658" s="204" t="n"/>
      <c r="CT2658" s="204" t="n"/>
      <c r="CU2658" s="204" t="n"/>
      <c r="CV2658" s="204" t="n"/>
      <c r="CW2658" s="204" t="n"/>
    </row>
    <row r="2659">
      <c r="BF2659" s="78" t="n"/>
      <c r="BG2659" s="78" t="n"/>
      <c r="BH2659" s="78" t="n"/>
      <c r="BI2659" s="78" t="n"/>
      <c r="BJ2659" s="139" t="n"/>
      <c r="BK2659" s="204" t="n"/>
      <c r="BL2659" s="141" t="n"/>
      <c r="BM2659" s="205" t="n"/>
      <c r="BN2659" s="205" t="n"/>
      <c r="BO2659" s="206" t="n"/>
      <c r="BP2659" s="144" t="n"/>
      <c r="BQ2659" s="141" t="n"/>
      <c r="BR2659" s="207" t="n"/>
      <c r="BS2659" s="207" t="n"/>
      <c r="BT2659" s="207" t="n"/>
      <c r="BU2659" s="207" t="n"/>
      <c r="BV2659" s="208" t="n"/>
      <c r="BW2659" s="207" t="n"/>
      <c r="BX2659" s="207" t="n"/>
      <c r="BY2659" s="204" t="n"/>
      <c r="BZ2659" s="148" t="n"/>
      <c r="CA2659" s="204" t="n"/>
      <c r="CB2659" s="208" t="n"/>
      <c r="CC2659" s="139" t="n"/>
      <c r="CD2659" s="204" t="n"/>
      <c r="CE2659" s="204" t="n"/>
      <c r="CF2659" s="207" t="n"/>
      <c r="CG2659" s="208" t="n"/>
      <c r="CH2659" s="207" t="n"/>
      <c r="CI2659" s="208" t="n"/>
      <c r="CJ2659" s="204" t="n"/>
      <c r="CK2659" s="208" t="n"/>
      <c r="CL2659" s="208" t="n"/>
      <c r="CM2659" s="208" t="n"/>
      <c r="CN2659" s="78" t="n"/>
      <c r="CO2659" s="209" t="n"/>
      <c r="CP2659" s="204" t="n"/>
      <c r="CQ2659" s="204" t="n"/>
      <c r="CR2659" s="204" t="n"/>
      <c r="CS2659" s="204" t="n"/>
      <c r="CT2659" s="204" t="n"/>
      <c r="CU2659" s="204" t="n"/>
      <c r="CV2659" s="204" t="n"/>
      <c r="CW2659" s="204" t="n"/>
    </row>
    <row r="2660">
      <c r="BF2660" s="78" t="n"/>
      <c r="BG2660" s="78" t="n"/>
      <c r="BH2660" s="78" t="n"/>
      <c r="BI2660" s="78" t="n"/>
      <c r="BJ2660" s="139" t="n"/>
      <c r="BK2660" s="204" t="n"/>
      <c r="BL2660" s="141" t="n"/>
      <c r="BM2660" s="205" t="n"/>
      <c r="BN2660" s="205" t="n"/>
      <c r="BO2660" s="206" t="n"/>
      <c r="BP2660" s="144" t="n"/>
      <c r="BQ2660" s="141" t="n"/>
      <c r="BR2660" s="207" t="n"/>
      <c r="BS2660" s="207" t="n"/>
      <c r="BT2660" s="207" t="n"/>
      <c r="BU2660" s="207" t="n"/>
      <c r="BV2660" s="208" t="n"/>
      <c r="BW2660" s="207" t="n"/>
      <c r="BX2660" s="207" t="n"/>
      <c r="BY2660" s="204" t="n"/>
      <c r="BZ2660" s="148" t="n"/>
      <c r="CA2660" s="204" t="n"/>
      <c r="CB2660" s="208" t="n"/>
      <c r="CC2660" s="139" t="n"/>
      <c r="CD2660" s="204" t="n"/>
      <c r="CE2660" s="204" t="n"/>
      <c r="CF2660" s="207" t="n"/>
      <c r="CG2660" s="208" t="n"/>
      <c r="CH2660" s="207" t="n"/>
      <c r="CI2660" s="208" t="n"/>
      <c r="CJ2660" s="204" t="n"/>
      <c r="CK2660" s="208" t="n"/>
      <c r="CL2660" s="208" t="n"/>
      <c r="CM2660" s="208" t="n"/>
      <c r="CN2660" s="78" t="n"/>
      <c r="CO2660" s="209" t="n"/>
      <c r="CP2660" s="204" t="n"/>
      <c r="CQ2660" s="204" t="n"/>
      <c r="CR2660" s="204" t="n"/>
      <c r="CS2660" s="204" t="n"/>
      <c r="CT2660" s="204" t="n"/>
      <c r="CU2660" s="204" t="n"/>
      <c r="CV2660" s="204" t="n"/>
      <c r="CW2660" s="204" t="n"/>
    </row>
    <row r="2661">
      <c r="BF2661" s="78" t="n"/>
      <c r="BG2661" s="78" t="n"/>
      <c r="BH2661" s="78" t="n"/>
      <c r="BI2661" s="78" t="n"/>
      <c r="BJ2661" s="139" t="n"/>
      <c r="BK2661" s="204" t="n"/>
      <c r="BL2661" s="141" t="n"/>
      <c r="BM2661" s="205" t="n"/>
      <c r="BN2661" s="205" t="n"/>
      <c r="BO2661" s="206" t="n"/>
      <c r="BP2661" s="144" t="n"/>
      <c r="BQ2661" s="141" t="n"/>
      <c r="BR2661" s="207" t="n"/>
      <c r="BS2661" s="207" t="n"/>
      <c r="BT2661" s="207" t="n"/>
      <c r="BU2661" s="207" t="n"/>
      <c r="BV2661" s="208" t="n"/>
      <c r="BW2661" s="207" t="n"/>
      <c r="BX2661" s="207" t="n"/>
      <c r="BY2661" s="204" t="n"/>
      <c r="BZ2661" s="148" t="n"/>
      <c r="CA2661" s="204" t="n"/>
      <c r="CB2661" s="208" t="n"/>
      <c r="CC2661" s="139" t="n"/>
      <c r="CD2661" s="204" t="n"/>
      <c r="CE2661" s="204" t="n"/>
      <c r="CF2661" s="207" t="n"/>
      <c r="CG2661" s="208" t="n"/>
      <c r="CH2661" s="207" t="n"/>
      <c r="CI2661" s="208" t="n"/>
      <c r="CJ2661" s="204" t="n"/>
      <c r="CK2661" s="208" t="n"/>
      <c r="CL2661" s="208" t="n"/>
      <c r="CM2661" s="208" t="n"/>
      <c r="CN2661" s="78" t="n"/>
      <c r="CO2661" s="209" t="n"/>
      <c r="CP2661" s="204" t="n"/>
      <c r="CQ2661" s="204" t="n"/>
      <c r="CR2661" s="204" t="n"/>
      <c r="CS2661" s="204" t="n"/>
      <c r="CT2661" s="204" t="n"/>
      <c r="CU2661" s="204" t="n"/>
      <c r="CV2661" s="204" t="n"/>
      <c r="CW2661" s="204" t="n"/>
    </row>
    <row r="2662">
      <c r="BF2662" s="78" t="n"/>
      <c r="BG2662" s="78" t="n"/>
      <c r="BH2662" s="78" t="n"/>
      <c r="BI2662" s="78" t="n"/>
      <c r="BJ2662" s="139" t="n"/>
      <c r="BK2662" s="204" t="n"/>
      <c r="BL2662" s="141" t="n"/>
      <c r="BM2662" s="205" t="n"/>
      <c r="BN2662" s="205" t="n"/>
      <c r="BO2662" s="206" t="n"/>
      <c r="BP2662" s="144" t="n"/>
      <c r="BQ2662" s="141" t="n"/>
      <c r="BR2662" s="207" t="n"/>
      <c r="BS2662" s="207" t="n"/>
      <c r="BT2662" s="207" t="n"/>
      <c r="BU2662" s="207" t="n"/>
      <c r="BV2662" s="208" t="n"/>
      <c r="BW2662" s="207" t="n"/>
      <c r="BX2662" s="207" t="n"/>
      <c r="BY2662" s="204" t="n"/>
      <c r="BZ2662" s="148" t="n"/>
      <c r="CA2662" s="204" t="n"/>
      <c r="CB2662" s="208" t="n"/>
      <c r="CC2662" s="139" t="n"/>
      <c r="CD2662" s="204" t="n"/>
      <c r="CE2662" s="204" t="n"/>
      <c r="CF2662" s="207" t="n"/>
      <c r="CG2662" s="208" t="n"/>
      <c r="CH2662" s="207" t="n"/>
      <c r="CI2662" s="208" t="n"/>
      <c r="CJ2662" s="204" t="n"/>
      <c r="CK2662" s="208" t="n"/>
      <c r="CL2662" s="208" t="n"/>
      <c r="CM2662" s="208" t="n"/>
      <c r="CN2662" s="78" t="n"/>
      <c r="CO2662" s="209" t="n"/>
      <c r="CP2662" s="204" t="n"/>
      <c r="CQ2662" s="204" t="n"/>
      <c r="CR2662" s="204" t="n"/>
      <c r="CS2662" s="204" t="n"/>
      <c r="CT2662" s="204" t="n"/>
      <c r="CU2662" s="204" t="n"/>
      <c r="CV2662" s="204" t="n"/>
      <c r="CW2662" s="204" t="n"/>
    </row>
    <row r="2663">
      <c r="BF2663" s="78" t="n"/>
      <c r="BG2663" s="78" t="n"/>
      <c r="BH2663" s="78" t="n"/>
      <c r="BI2663" s="78" t="n"/>
      <c r="BJ2663" s="139" t="n"/>
      <c r="BK2663" s="204" t="n"/>
      <c r="BL2663" s="141" t="n"/>
      <c r="BM2663" s="205" t="n"/>
      <c r="BN2663" s="205" t="n"/>
      <c r="BO2663" s="206" t="n"/>
      <c r="BP2663" s="144" t="n"/>
      <c r="BQ2663" s="141" t="n"/>
      <c r="BR2663" s="207" t="n"/>
      <c r="BS2663" s="207" t="n"/>
      <c r="BT2663" s="207" t="n"/>
      <c r="BU2663" s="207" t="n"/>
      <c r="BV2663" s="208" t="n"/>
      <c r="BW2663" s="207" t="n"/>
      <c r="BX2663" s="207" t="n"/>
      <c r="BY2663" s="204" t="n"/>
      <c r="BZ2663" s="148" t="n"/>
      <c r="CA2663" s="204" t="n"/>
      <c r="CB2663" s="208" t="n"/>
      <c r="CC2663" s="139" t="n"/>
      <c r="CD2663" s="204" t="n"/>
      <c r="CE2663" s="204" t="n"/>
      <c r="CF2663" s="207" t="n"/>
      <c r="CG2663" s="208" t="n"/>
      <c r="CH2663" s="207" t="n"/>
      <c r="CI2663" s="208" t="n"/>
      <c r="CJ2663" s="204" t="n"/>
      <c r="CK2663" s="208" t="n"/>
      <c r="CL2663" s="208" t="n"/>
      <c r="CM2663" s="208" t="n"/>
      <c r="CN2663" s="78" t="n"/>
      <c r="CO2663" s="209" t="n"/>
      <c r="CP2663" s="204" t="n"/>
      <c r="CQ2663" s="204" t="n"/>
      <c r="CR2663" s="204" t="n"/>
      <c r="CS2663" s="204" t="n"/>
      <c r="CT2663" s="204" t="n"/>
      <c r="CU2663" s="204" t="n"/>
      <c r="CV2663" s="204" t="n"/>
      <c r="CW2663" s="204" t="n"/>
    </row>
    <row r="2664">
      <c r="BF2664" s="78" t="n"/>
      <c r="BG2664" s="78" t="n"/>
      <c r="BH2664" s="78" t="n"/>
      <c r="BI2664" s="78" t="n"/>
      <c r="BJ2664" s="139" t="n"/>
      <c r="BK2664" s="204" t="n"/>
      <c r="BL2664" s="141" t="n"/>
      <c r="BM2664" s="205" t="n"/>
      <c r="BN2664" s="205" t="n"/>
      <c r="BO2664" s="206" t="n"/>
      <c r="BP2664" s="144" t="n"/>
      <c r="BQ2664" s="141" t="n"/>
      <c r="BR2664" s="207" t="n"/>
      <c r="BS2664" s="207" t="n"/>
      <c r="BT2664" s="207" t="n"/>
      <c r="BU2664" s="207" t="n"/>
      <c r="BV2664" s="208" t="n"/>
      <c r="BW2664" s="207" t="n"/>
      <c r="BX2664" s="207" t="n"/>
      <c r="BY2664" s="204" t="n"/>
      <c r="BZ2664" s="148" t="n"/>
      <c r="CA2664" s="204" t="n"/>
      <c r="CB2664" s="208" t="n"/>
      <c r="CC2664" s="139" t="n"/>
      <c r="CD2664" s="204" t="n"/>
      <c r="CE2664" s="204" t="n"/>
      <c r="CF2664" s="207" t="n"/>
      <c r="CG2664" s="208" t="n"/>
      <c r="CH2664" s="207" t="n"/>
      <c r="CI2664" s="208" t="n"/>
      <c r="CJ2664" s="204" t="n"/>
      <c r="CK2664" s="208" t="n"/>
      <c r="CL2664" s="208" t="n"/>
      <c r="CM2664" s="208" t="n"/>
      <c r="CN2664" s="78" t="n"/>
      <c r="CO2664" s="209" t="n"/>
      <c r="CP2664" s="204" t="n"/>
      <c r="CQ2664" s="204" t="n"/>
      <c r="CR2664" s="204" t="n"/>
      <c r="CS2664" s="204" t="n"/>
      <c r="CT2664" s="204" t="n"/>
      <c r="CU2664" s="204" t="n"/>
      <c r="CV2664" s="204" t="n"/>
      <c r="CW2664" s="204" t="n"/>
    </row>
    <row r="2665">
      <c r="BF2665" s="78" t="n"/>
      <c r="BG2665" s="78" t="n"/>
      <c r="BH2665" s="78" t="n"/>
      <c r="BI2665" s="78" t="n"/>
      <c r="BJ2665" s="139" t="n"/>
      <c r="BK2665" s="204" t="n"/>
      <c r="BL2665" s="141" t="n"/>
      <c r="BM2665" s="205" t="n"/>
      <c r="BN2665" s="205" t="n"/>
      <c r="BO2665" s="206" t="n"/>
      <c r="BP2665" s="144" t="n"/>
      <c r="BQ2665" s="141" t="n"/>
      <c r="BR2665" s="207" t="n"/>
      <c r="BS2665" s="207" t="n"/>
      <c r="BT2665" s="207" t="n"/>
      <c r="BU2665" s="207" t="n"/>
      <c r="BV2665" s="208" t="n"/>
      <c r="BW2665" s="207" t="n"/>
      <c r="BX2665" s="207" t="n"/>
      <c r="BY2665" s="204" t="n"/>
      <c r="BZ2665" s="148" t="n"/>
      <c r="CA2665" s="204" t="n"/>
      <c r="CB2665" s="208" t="n"/>
      <c r="CC2665" s="139" t="n"/>
      <c r="CD2665" s="204" t="n"/>
      <c r="CE2665" s="204" t="n"/>
      <c r="CF2665" s="207" t="n"/>
      <c r="CG2665" s="208" t="n"/>
      <c r="CH2665" s="207" t="n"/>
      <c r="CI2665" s="208" t="n"/>
      <c r="CJ2665" s="204" t="n"/>
      <c r="CK2665" s="208" t="n"/>
      <c r="CL2665" s="208" t="n"/>
      <c r="CM2665" s="208" t="n"/>
      <c r="CN2665" s="78" t="n"/>
      <c r="CO2665" s="209" t="n"/>
      <c r="CP2665" s="204" t="n"/>
      <c r="CQ2665" s="204" t="n"/>
      <c r="CR2665" s="204" t="n"/>
      <c r="CS2665" s="204" t="n"/>
      <c r="CT2665" s="204" t="n"/>
      <c r="CU2665" s="204" t="n"/>
      <c r="CV2665" s="204" t="n"/>
      <c r="CW2665" s="204" t="n"/>
    </row>
    <row r="2666">
      <c r="BF2666" s="78" t="n"/>
      <c r="BG2666" s="78" t="n"/>
      <c r="BH2666" s="78" t="n"/>
      <c r="BI2666" s="78" t="n"/>
      <c r="BJ2666" s="139" t="n"/>
      <c r="BK2666" s="204" t="n"/>
      <c r="BL2666" s="141" t="n"/>
      <c r="BM2666" s="205" t="n"/>
      <c r="BN2666" s="205" t="n"/>
      <c r="BO2666" s="206" t="n"/>
      <c r="BP2666" s="144" t="n"/>
      <c r="BQ2666" s="141" t="n"/>
      <c r="BR2666" s="207" t="n"/>
      <c r="BS2666" s="207" t="n"/>
      <c r="BT2666" s="207" t="n"/>
      <c r="BU2666" s="207" t="n"/>
      <c r="BV2666" s="208" t="n"/>
      <c r="BW2666" s="207" t="n"/>
      <c r="BX2666" s="207" t="n"/>
      <c r="BY2666" s="204" t="n"/>
      <c r="BZ2666" s="148" t="n"/>
      <c r="CA2666" s="204" t="n"/>
      <c r="CB2666" s="208" t="n"/>
      <c r="CC2666" s="139" t="n"/>
      <c r="CD2666" s="204" t="n"/>
      <c r="CE2666" s="204" t="n"/>
      <c r="CF2666" s="207" t="n"/>
      <c r="CG2666" s="208" t="n"/>
      <c r="CH2666" s="207" t="n"/>
      <c r="CI2666" s="208" t="n"/>
      <c r="CJ2666" s="204" t="n"/>
      <c r="CK2666" s="208" t="n"/>
      <c r="CL2666" s="208" t="n"/>
      <c r="CM2666" s="208" t="n"/>
      <c r="CN2666" s="78" t="n"/>
      <c r="CO2666" s="209" t="n"/>
      <c r="CP2666" s="204" t="n"/>
      <c r="CQ2666" s="204" t="n"/>
      <c r="CR2666" s="204" t="n"/>
      <c r="CS2666" s="204" t="n"/>
      <c r="CT2666" s="204" t="n"/>
      <c r="CU2666" s="204" t="n"/>
      <c r="CV2666" s="204" t="n"/>
      <c r="CW2666" s="204" t="n"/>
    </row>
    <row r="2667">
      <c r="BF2667" s="78" t="n"/>
      <c r="BG2667" s="78" t="n"/>
      <c r="BH2667" s="78" t="n"/>
      <c r="BI2667" s="78" t="n"/>
      <c r="BJ2667" s="139" t="n"/>
      <c r="BK2667" s="204" t="n"/>
      <c r="BL2667" s="141" t="n"/>
      <c r="BM2667" s="205" t="n"/>
      <c r="BN2667" s="205" t="n"/>
      <c r="BO2667" s="206" t="n"/>
      <c r="BP2667" s="144" t="n"/>
      <c r="BQ2667" s="141" t="n"/>
      <c r="BR2667" s="207" t="n"/>
      <c r="BS2667" s="207" t="n"/>
      <c r="BT2667" s="207" t="n"/>
      <c r="BU2667" s="207" t="n"/>
      <c r="BV2667" s="208" t="n"/>
      <c r="BW2667" s="207" t="n"/>
      <c r="BX2667" s="207" t="n"/>
      <c r="BY2667" s="204" t="n"/>
      <c r="BZ2667" s="148" t="n"/>
      <c r="CA2667" s="204" t="n"/>
      <c r="CB2667" s="208" t="n"/>
      <c r="CC2667" s="139" t="n"/>
      <c r="CD2667" s="204" t="n"/>
      <c r="CE2667" s="204" t="n"/>
      <c r="CF2667" s="207" t="n"/>
      <c r="CG2667" s="208" t="n"/>
      <c r="CH2667" s="207" t="n"/>
      <c r="CI2667" s="208" t="n"/>
      <c r="CJ2667" s="204" t="n"/>
      <c r="CK2667" s="208" t="n"/>
      <c r="CL2667" s="208" t="n"/>
      <c r="CM2667" s="208" t="n"/>
      <c r="CN2667" s="78" t="n"/>
      <c r="CO2667" s="209" t="n"/>
      <c r="CP2667" s="204" t="n"/>
      <c r="CQ2667" s="204" t="n"/>
      <c r="CR2667" s="204" t="n"/>
      <c r="CS2667" s="204" t="n"/>
      <c r="CT2667" s="204" t="n"/>
      <c r="CU2667" s="204" t="n"/>
      <c r="CV2667" s="204" t="n"/>
      <c r="CW2667" s="204" t="n"/>
    </row>
    <row r="2668">
      <c r="BF2668" s="78" t="n"/>
      <c r="BG2668" s="78" t="n"/>
      <c r="BH2668" s="78" t="n"/>
      <c r="BI2668" s="78" t="n"/>
      <c r="BJ2668" s="139" t="n"/>
      <c r="BK2668" s="204" t="n"/>
      <c r="BL2668" s="141" t="n"/>
      <c r="BM2668" s="205" t="n"/>
      <c r="BN2668" s="205" t="n"/>
      <c r="BO2668" s="206" t="n"/>
      <c r="BP2668" s="144" t="n"/>
      <c r="BQ2668" s="141" t="n"/>
      <c r="BR2668" s="207" t="n"/>
      <c r="BS2668" s="207" t="n"/>
      <c r="BT2668" s="207" t="n"/>
      <c r="BU2668" s="207" t="n"/>
      <c r="BV2668" s="208" t="n"/>
      <c r="BW2668" s="207" t="n"/>
      <c r="BX2668" s="207" t="n"/>
      <c r="BY2668" s="204" t="n"/>
      <c r="BZ2668" s="148" t="n"/>
      <c r="CA2668" s="204" t="n"/>
      <c r="CB2668" s="208" t="n"/>
      <c r="CC2668" s="139" t="n"/>
      <c r="CD2668" s="204" t="n"/>
      <c r="CE2668" s="204" t="n"/>
      <c r="CF2668" s="207" t="n"/>
      <c r="CG2668" s="208" t="n"/>
      <c r="CH2668" s="207" t="n"/>
      <c r="CI2668" s="208" t="n"/>
      <c r="CJ2668" s="204" t="n"/>
      <c r="CK2668" s="208" t="n"/>
      <c r="CL2668" s="208" t="n"/>
      <c r="CM2668" s="208" t="n"/>
      <c r="CN2668" s="78" t="n"/>
      <c r="CO2668" s="209" t="n"/>
      <c r="CP2668" s="204" t="n"/>
      <c r="CQ2668" s="204" t="n"/>
      <c r="CR2668" s="204" t="n"/>
      <c r="CS2668" s="204" t="n"/>
      <c r="CT2668" s="204" t="n"/>
      <c r="CU2668" s="204" t="n"/>
      <c r="CV2668" s="204" t="n"/>
      <c r="CW2668" s="204" t="n"/>
    </row>
    <row r="2669">
      <c r="BF2669" s="78" t="n"/>
      <c r="BG2669" s="78" t="n"/>
      <c r="BH2669" s="78" t="n"/>
      <c r="BI2669" s="78" t="n"/>
      <c r="BJ2669" s="139" t="n"/>
      <c r="BK2669" s="204" t="n"/>
      <c r="BL2669" s="141" t="n"/>
      <c r="BM2669" s="205" t="n"/>
      <c r="BN2669" s="205" t="n"/>
      <c r="BO2669" s="206" t="n"/>
      <c r="BP2669" s="144" t="n"/>
      <c r="BQ2669" s="141" t="n"/>
      <c r="BR2669" s="207" t="n"/>
      <c r="BS2669" s="207" t="n"/>
      <c r="BT2669" s="207" t="n"/>
      <c r="BU2669" s="207" t="n"/>
      <c r="BV2669" s="208" t="n"/>
      <c r="BW2669" s="207" t="n"/>
      <c r="BX2669" s="207" t="n"/>
      <c r="BY2669" s="204" t="n"/>
      <c r="BZ2669" s="148" t="n"/>
      <c r="CA2669" s="204" t="n"/>
      <c r="CB2669" s="208" t="n"/>
      <c r="CC2669" s="139" t="n"/>
      <c r="CD2669" s="204" t="n"/>
      <c r="CE2669" s="204" t="n"/>
      <c r="CF2669" s="207" t="n"/>
      <c r="CG2669" s="208" t="n"/>
      <c r="CH2669" s="207" t="n"/>
      <c r="CI2669" s="208" t="n"/>
      <c r="CJ2669" s="204" t="n"/>
      <c r="CK2669" s="208" t="n"/>
      <c r="CL2669" s="208" t="n"/>
      <c r="CM2669" s="208" t="n"/>
      <c r="CN2669" s="78" t="n"/>
      <c r="CO2669" s="209" t="n"/>
      <c r="CP2669" s="204" t="n"/>
      <c r="CQ2669" s="204" t="n"/>
      <c r="CR2669" s="204" t="n"/>
      <c r="CS2669" s="204" t="n"/>
      <c r="CT2669" s="204" t="n"/>
      <c r="CU2669" s="204" t="n"/>
      <c r="CV2669" s="204" t="n"/>
      <c r="CW2669" s="204" t="n"/>
    </row>
    <row r="2670">
      <c r="BF2670" s="78" t="n"/>
      <c r="BG2670" s="78" t="n"/>
      <c r="BH2670" s="78" t="n"/>
      <c r="BI2670" s="78" t="n"/>
      <c r="BJ2670" s="139" t="n"/>
      <c r="BK2670" s="204" t="n"/>
      <c r="BL2670" s="141" t="n"/>
      <c r="BM2670" s="205" t="n"/>
      <c r="BN2670" s="205" t="n"/>
      <c r="BO2670" s="206" t="n"/>
      <c r="BP2670" s="144" t="n"/>
      <c r="BQ2670" s="141" t="n"/>
      <c r="BR2670" s="207" t="n"/>
      <c r="BS2670" s="207" t="n"/>
      <c r="BT2670" s="207" t="n"/>
      <c r="BU2670" s="207" t="n"/>
      <c r="BV2670" s="208" t="n"/>
      <c r="BW2670" s="207" t="n"/>
      <c r="BX2670" s="207" t="n"/>
      <c r="BY2670" s="204" t="n"/>
      <c r="BZ2670" s="148" t="n"/>
      <c r="CA2670" s="204" t="n"/>
      <c r="CB2670" s="208" t="n"/>
      <c r="CC2670" s="139" t="n"/>
      <c r="CD2670" s="204" t="n"/>
      <c r="CE2670" s="204" t="n"/>
      <c r="CF2670" s="207" t="n"/>
      <c r="CG2670" s="208" t="n"/>
      <c r="CH2670" s="207" t="n"/>
      <c r="CI2670" s="208" t="n"/>
      <c r="CJ2670" s="204" t="n"/>
      <c r="CK2670" s="208" t="n"/>
      <c r="CL2670" s="208" t="n"/>
      <c r="CM2670" s="208" t="n"/>
      <c r="CN2670" s="78" t="n"/>
      <c r="CO2670" s="209" t="n"/>
      <c r="CP2670" s="204" t="n"/>
      <c r="CQ2670" s="204" t="n"/>
      <c r="CR2670" s="204" t="n"/>
      <c r="CS2670" s="204" t="n"/>
      <c r="CT2670" s="204" t="n"/>
      <c r="CU2670" s="204" t="n"/>
      <c r="CV2670" s="204" t="n"/>
      <c r="CW2670" s="204" t="n"/>
    </row>
    <row r="2671">
      <c r="BF2671" s="78" t="n"/>
      <c r="BG2671" s="78" t="n"/>
      <c r="BH2671" s="78" t="n"/>
      <c r="BI2671" s="78" t="n"/>
      <c r="BJ2671" s="139" t="n"/>
      <c r="BK2671" s="204" t="n"/>
      <c r="BL2671" s="141" t="n"/>
      <c r="BM2671" s="205" t="n"/>
      <c r="BN2671" s="205" t="n"/>
      <c r="BO2671" s="206" t="n"/>
      <c r="BP2671" s="144" t="n"/>
      <c r="BQ2671" s="141" t="n"/>
      <c r="BR2671" s="207" t="n"/>
      <c r="BS2671" s="207" t="n"/>
      <c r="BT2671" s="207" t="n"/>
      <c r="BU2671" s="207" t="n"/>
      <c r="BV2671" s="208" t="n"/>
      <c r="BW2671" s="207" t="n"/>
      <c r="BX2671" s="207" t="n"/>
      <c r="BY2671" s="204" t="n"/>
      <c r="BZ2671" s="148" t="n"/>
      <c r="CA2671" s="204" t="n"/>
      <c r="CB2671" s="208" t="n"/>
      <c r="CC2671" s="139" t="n"/>
      <c r="CD2671" s="204" t="n"/>
      <c r="CE2671" s="204" t="n"/>
      <c r="CF2671" s="207" t="n"/>
      <c r="CG2671" s="208" t="n"/>
      <c r="CH2671" s="207" t="n"/>
      <c r="CI2671" s="208" t="n"/>
      <c r="CJ2671" s="204" t="n"/>
      <c r="CK2671" s="208" t="n"/>
      <c r="CL2671" s="208" t="n"/>
      <c r="CM2671" s="208" t="n"/>
      <c r="CN2671" s="78" t="n"/>
      <c r="CO2671" s="209" t="n"/>
      <c r="CP2671" s="204" t="n"/>
      <c r="CQ2671" s="204" t="n"/>
      <c r="CR2671" s="204" t="n"/>
      <c r="CS2671" s="204" t="n"/>
      <c r="CT2671" s="204" t="n"/>
      <c r="CU2671" s="204" t="n"/>
      <c r="CV2671" s="204" t="n"/>
      <c r="CW2671" s="204" t="n"/>
    </row>
    <row r="2672">
      <c r="BF2672" s="78" t="n"/>
      <c r="BG2672" s="78" t="n"/>
      <c r="BH2672" s="78" t="n"/>
      <c r="BI2672" s="78" t="n"/>
      <c r="BJ2672" s="139" t="n"/>
      <c r="BK2672" s="204" t="n"/>
      <c r="BL2672" s="141" t="n"/>
      <c r="BM2672" s="205" t="n"/>
      <c r="BN2672" s="205" t="n"/>
      <c r="BO2672" s="206" t="n"/>
      <c r="BP2672" s="144" t="n"/>
      <c r="BQ2672" s="141" t="n"/>
      <c r="BR2672" s="207" t="n"/>
      <c r="BS2672" s="207" t="n"/>
      <c r="BT2672" s="207" t="n"/>
      <c r="BU2672" s="207" t="n"/>
      <c r="BV2672" s="208" t="n"/>
      <c r="BW2672" s="207" t="n"/>
      <c r="BX2672" s="207" t="n"/>
      <c r="BY2672" s="204" t="n"/>
      <c r="BZ2672" s="148" t="n"/>
      <c r="CA2672" s="204" t="n"/>
      <c r="CB2672" s="208" t="n"/>
      <c r="CC2672" s="139" t="n"/>
      <c r="CD2672" s="204" t="n"/>
      <c r="CE2672" s="204" t="n"/>
      <c r="CF2672" s="207" t="n"/>
      <c r="CG2672" s="208" t="n"/>
      <c r="CH2672" s="207" t="n"/>
      <c r="CI2672" s="208" t="n"/>
      <c r="CJ2672" s="204" t="n"/>
      <c r="CK2672" s="208" t="n"/>
      <c r="CL2672" s="208" t="n"/>
      <c r="CM2672" s="208" t="n"/>
      <c r="CN2672" s="78" t="n"/>
      <c r="CO2672" s="209" t="n"/>
      <c r="CP2672" s="204" t="n"/>
      <c r="CQ2672" s="204" t="n"/>
      <c r="CR2672" s="204" t="n"/>
      <c r="CS2672" s="204" t="n"/>
      <c r="CT2672" s="204" t="n"/>
      <c r="CU2672" s="204" t="n"/>
      <c r="CV2672" s="204" t="n"/>
      <c r="CW2672" s="204" t="n"/>
    </row>
    <row r="2673">
      <c r="BF2673" s="78" t="n"/>
      <c r="BG2673" s="78" t="n"/>
      <c r="BH2673" s="78" t="n"/>
      <c r="BI2673" s="78" t="n"/>
      <c r="BJ2673" s="139" t="n"/>
      <c r="BK2673" s="204" t="n"/>
      <c r="BL2673" s="141" t="n"/>
      <c r="BM2673" s="205" t="n"/>
      <c r="BN2673" s="205" t="n"/>
      <c r="BO2673" s="206" t="n"/>
      <c r="BP2673" s="144" t="n"/>
      <c r="BQ2673" s="141" t="n"/>
      <c r="BR2673" s="207" t="n"/>
      <c r="BS2673" s="207" t="n"/>
      <c r="BT2673" s="207" t="n"/>
      <c r="BU2673" s="207" t="n"/>
      <c r="BV2673" s="208" t="n"/>
      <c r="BW2673" s="207" t="n"/>
      <c r="BX2673" s="207" t="n"/>
      <c r="BY2673" s="204" t="n"/>
      <c r="BZ2673" s="148" t="n"/>
      <c r="CA2673" s="204" t="n"/>
      <c r="CB2673" s="208" t="n"/>
      <c r="CC2673" s="139" t="n"/>
      <c r="CD2673" s="204" t="n"/>
      <c r="CE2673" s="204" t="n"/>
      <c r="CF2673" s="207" t="n"/>
      <c r="CG2673" s="208" t="n"/>
      <c r="CH2673" s="207" t="n"/>
      <c r="CI2673" s="208" t="n"/>
      <c r="CJ2673" s="204" t="n"/>
      <c r="CK2673" s="208" t="n"/>
      <c r="CL2673" s="208" t="n"/>
      <c r="CM2673" s="208" t="n"/>
      <c r="CN2673" s="78" t="n"/>
      <c r="CO2673" s="209" t="n"/>
      <c r="CP2673" s="204" t="n"/>
      <c r="CQ2673" s="204" t="n"/>
      <c r="CR2673" s="204" t="n"/>
      <c r="CS2673" s="204" t="n"/>
      <c r="CT2673" s="204" t="n"/>
      <c r="CU2673" s="204" t="n"/>
      <c r="CV2673" s="204" t="n"/>
      <c r="CW2673" s="204" t="n"/>
    </row>
    <row r="2674">
      <c r="BF2674" s="78" t="n"/>
      <c r="BG2674" s="78" t="n"/>
      <c r="BH2674" s="78" t="n"/>
      <c r="BI2674" s="78" t="n"/>
      <c r="BJ2674" s="139" t="n"/>
      <c r="BK2674" s="204" t="n"/>
      <c r="BL2674" s="141" t="n"/>
      <c r="BM2674" s="205" t="n"/>
      <c r="BN2674" s="205" t="n"/>
      <c r="BO2674" s="206" t="n"/>
      <c r="BP2674" s="144" t="n"/>
      <c r="BQ2674" s="141" t="n"/>
      <c r="BR2674" s="207" t="n"/>
      <c r="BS2674" s="207" t="n"/>
      <c r="BT2674" s="207" t="n"/>
      <c r="BU2674" s="207" t="n"/>
      <c r="BV2674" s="208" t="n"/>
      <c r="BW2674" s="207" t="n"/>
      <c r="BX2674" s="207" t="n"/>
      <c r="BY2674" s="204" t="n"/>
      <c r="BZ2674" s="148" t="n"/>
      <c r="CA2674" s="204" t="n"/>
      <c r="CB2674" s="208" t="n"/>
      <c r="CC2674" s="139" t="n"/>
      <c r="CD2674" s="204" t="n"/>
      <c r="CE2674" s="204" t="n"/>
      <c r="CF2674" s="207" t="n"/>
      <c r="CG2674" s="208" t="n"/>
      <c r="CH2674" s="207" t="n"/>
      <c r="CI2674" s="208" t="n"/>
      <c r="CJ2674" s="204" t="n"/>
      <c r="CK2674" s="208" t="n"/>
      <c r="CL2674" s="208" t="n"/>
      <c r="CM2674" s="208" t="n"/>
      <c r="CN2674" s="78" t="n"/>
      <c r="CO2674" s="209" t="n"/>
      <c r="CP2674" s="204" t="n"/>
      <c r="CQ2674" s="204" t="n"/>
      <c r="CR2674" s="204" t="n"/>
      <c r="CS2674" s="204" t="n"/>
      <c r="CT2674" s="204" t="n"/>
      <c r="CU2674" s="204" t="n"/>
      <c r="CV2674" s="204" t="n"/>
      <c r="CW2674" s="204" t="n"/>
    </row>
    <row r="2675">
      <c r="BF2675" s="78" t="n"/>
      <c r="BG2675" s="78" t="n"/>
      <c r="BH2675" s="78" t="n"/>
      <c r="BI2675" s="78" t="n"/>
      <c r="BJ2675" s="139" t="n"/>
      <c r="BK2675" s="204" t="n"/>
      <c r="BL2675" s="141" t="n"/>
      <c r="BM2675" s="205" t="n"/>
      <c r="BN2675" s="205" t="n"/>
      <c r="BO2675" s="206" t="n"/>
      <c r="BP2675" s="144" t="n"/>
      <c r="BQ2675" s="141" t="n"/>
      <c r="BR2675" s="207" t="n"/>
      <c r="BS2675" s="207" t="n"/>
      <c r="BT2675" s="207" t="n"/>
      <c r="BU2675" s="207" t="n"/>
      <c r="BV2675" s="208" t="n"/>
      <c r="BW2675" s="207" t="n"/>
      <c r="BX2675" s="207" t="n"/>
      <c r="BY2675" s="204" t="n"/>
      <c r="BZ2675" s="148" t="n"/>
      <c r="CA2675" s="204" t="n"/>
      <c r="CB2675" s="208" t="n"/>
      <c r="CC2675" s="139" t="n"/>
      <c r="CD2675" s="204" t="n"/>
      <c r="CE2675" s="204" t="n"/>
      <c r="CF2675" s="207" t="n"/>
      <c r="CG2675" s="208" t="n"/>
      <c r="CH2675" s="207" t="n"/>
      <c r="CI2675" s="208" t="n"/>
      <c r="CJ2675" s="204" t="n"/>
      <c r="CK2675" s="208" t="n"/>
      <c r="CL2675" s="208" t="n"/>
      <c r="CM2675" s="208" t="n"/>
      <c r="CN2675" s="78" t="n"/>
      <c r="CO2675" s="209" t="n"/>
      <c r="CP2675" s="204" t="n"/>
      <c r="CQ2675" s="204" t="n"/>
      <c r="CR2675" s="204" t="n"/>
      <c r="CS2675" s="204" t="n"/>
      <c r="CT2675" s="204" t="n"/>
      <c r="CU2675" s="204" t="n"/>
      <c r="CV2675" s="204" t="n"/>
      <c r="CW2675" s="204" t="n"/>
    </row>
    <row r="2676">
      <c r="BF2676" s="78" t="n"/>
      <c r="BG2676" s="78" t="n"/>
      <c r="BH2676" s="78" t="n"/>
      <c r="BI2676" s="78" t="n"/>
      <c r="BJ2676" s="139" t="n"/>
      <c r="BK2676" s="204" t="n"/>
      <c r="BL2676" s="141" t="n"/>
      <c r="BM2676" s="205" t="n"/>
      <c r="BN2676" s="205" t="n"/>
      <c r="BO2676" s="206" t="n"/>
      <c r="BP2676" s="144" t="n"/>
      <c r="BQ2676" s="141" t="n"/>
      <c r="BR2676" s="207" t="n"/>
      <c r="BS2676" s="207" t="n"/>
      <c r="BT2676" s="207" t="n"/>
      <c r="BU2676" s="207" t="n"/>
      <c r="BV2676" s="208" t="n"/>
      <c r="BW2676" s="207" t="n"/>
      <c r="BX2676" s="207" t="n"/>
      <c r="BY2676" s="204" t="n"/>
      <c r="BZ2676" s="148" t="n"/>
      <c r="CA2676" s="204" t="n"/>
      <c r="CB2676" s="208" t="n"/>
      <c r="CC2676" s="139" t="n"/>
      <c r="CD2676" s="204" t="n"/>
      <c r="CE2676" s="204" t="n"/>
      <c r="CF2676" s="207" t="n"/>
      <c r="CG2676" s="208" t="n"/>
      <c r="CH2676" s="207" t="n"/>
      <c r="CI2676" s="208" t="n"/>
      <c r="CJ2676" s="204" t="n"/>
      <c r="CK2676" s="208" t="n"/>
      <c r="CL2676" s="208" t="n"/>
      <c r="CM2676" s="208" t="n"/>
      <c r="CN2676" s="78" t="n"/>
      <c r="CO2676" s="209" t="n"/>
      <c r="CP2676" s="204" t="n"/>
      <c r="CQ2676" s="204" t="n"/>
      <c r="CR2676" s="204" t="n"/>
      <c r="CS2676" s="204" t="n"/>
      <c r="CT2676" s="204" t="n"/>
      <c r="CU2676" s="204" t="n"/>
      <c r="CV2676" s="204" t="n"/>
      <c r="CW2676" s="204" t="n"/>
    </row>
    <row r="2677">
      <c r="BF2677" s="78" t="n"/>
      <c r="BG2677" s="78" t="n"/>
      <c r="BH2677" s="78" t="n"/>
      <c r="BI2677" s="78" t="n"/>
      <c r="BJ2677" s="139" t="n"/>
      <c r="BK2677" s="204" t="n"/>
      <c r="BL2677" s="141" t="n"/>
      <c r="BM2677" s="205" t="n"/>
      <c r="BN2677" s="205" t="n"/>
      <c r="BO2677" s="206" t="n"/>
      <c r="BP2677" s="144" t="n"/>
      <c r="BQ2677" s="141" t="n"/>
      <c r="BR2677" s="207" t="n"/>
      <c r="BS2677" s="207" t="n"/>
      <c r="BT2677" s="207" t="n"/>
      <c r="BU2677" s="207" t="n"/>
      <c r="BV2677" s="208" t="n"/>
      <c r="BW2677" s="207" t="n"/>
      <c r="BX2677" s="207" t="n"/>
      <c r="BY2677" s="204" t="n"/>
      <c r="BZ2677" s="148" t="n"/>
      <c r="CA2677" s="204" t="n"/>
      <c r="CB2677" s="208" t="n"/>
      <c r="CC2677" s="139" t="n"/>
      <c r="CD2677" s="204" t="n"/>
      <c r="CE2677" s="204" t="n"/>
      <c r="CF2677" s="207" t="n"/>
      <c r="CG2677" s="208" t="n"/>
      <c r="CH2677" s="207" t="n"/>
      <c r="CI2677" s="208" t="n"/>
      <c r="CJ2677" s="204" t="n"/>
      <c r="CK2677" s="208" t="n"/>
      <c r="CL2677" s="208" t="n"/>
      <c r="CM2677" s="208" t="n"/>
      <c r="CN2677" s="78" t="n"/>
      <c r="CO2677" s="209" t="n"/>
      <c r="CP2677" s="204" t="n"/>
      <c r="CQ2677" s="204" t="n"/>
      <c r="CR2677" s="204" t="n"/>
      <c r="CS2677" s="204" t="n"/>
      <c r="CT2677" s="204" t="n"/>
      <c r="CU2677" s="204" t="n"/>
      <c r="CV2677" s="204" t="n"/>
      <c r="CW2677" s="204" t="n"/>
    </row>
    <row r="2678">
      <c r="BF2678" s="78" t="n"/>
      <c r="BG2678" s="78" t="n"/>
      <c r="BH2678" s="78" t="n"/>
      <c r="BI2678" s="78" t="n"/>
      <c r="BJ2678" s="139" t="n"/>
      <c r="BK2678" s="204" t="n"/>
      <c r="BL2678" s="141" t="n"/>
      <c r="BM2678" s="205" t="n"/>
      <c r="BN2678" s="205" t="n"/>
      <c r="BO2678" s="206" t="n"/>
      <c r="BP2678" s="144" t="n"/>
      <c r="BQ2678" s="141" t="n"/>
      <c r="BR2678" s="207" t="n"/>
      <c r="BS2678" s="207" t="n"/>
      <c r="BT2678" s="207" t="n"/>
      <c r="BU2678" s="207" t="n"/>
      <c r="BV2678" s="208" t="n"/>
      <c r="BW2678" s="207" t="n"/>
      <c r="BX2678" s="207" t="n"/>
      <c r="BY2678" s="204" t="n"/>
      <c r="BZ2678" s="148" t="n"/>
      <c r="CA2678" s="204" t="n"/>
      <c r="CB2678" s="208" t="n"/>
      <c r="CC2678" s="139" t="n"/>
      <c r="CD2678" s="204" t="n"/>
      <c r="CE2678" s="204" t="n"/>
      <c r="CF2678" s="207" t="n"/>
      <c r="CG2678" s="208" t="n"/>
      <c r="CH2678" s="207" t="n"/>
      <c r="CI2678" s="208" t="n"/>
      <c r="CJ2678" s="204" t="n"/>
      <c r="CK2678" s="208" t="n"/>
      <c r="CL2678" s="208" t="n"/>
      <c r="CM2678" s="208" t="n"/>
      <c r="CN2678" s="78" t="n"/>
      <c r="CO2678" s="209" t="n"/>
      <c r="CP2678" s="204" t="n"/>
      <c r="CQ2678" s="204" t="n"/>
      <c r="CR2678" s="204" t="n"/>
      <c r="CS2678" s="204" t="n"/>
      <c r="CT2678" s="204" t="n"/>
      <c r="CU2678" s="204" t="n"/>
      <c r="CV2678" s="204" t="n"/>
      <c r="CW2678" s="204" t="n"/>
    </row>
    <row r="2679">
      <c r="BF2679" s="78" t="n"/>
      <c r="BG2679" s="78" t="n"/>
      <c r="BH2679" s="78" t="n"/>
      <c r="BI2679" s="78" t="n"/>
      <c r="BJ2679" s="139" t="n"/>
      <c r="BK2679" s="204" t="n"/>
      <c r="BL2679" s="141" t="n"/>
      <c r="BM2679" s="205" t="n"/>
      <c r="BN2679" s="205" t="n"/>
      <c r="BO2679" s="206" t="n"/>
      <c r="BP2679" s="144" t="n"/>
      <c r="BQ2679" s="141" t="n"/>
      <c r="BR2679" s="207" t="n"/>
      <c r="BS2679" s="207" t="n"/>
      <c r="BT2679" s="207" t="n"/>
      <c r="BU2679" s="207" t="n"/>
      <c r="BV2679" s="208" t="n"/>
      <c r="BW2679" s="207" t="n"/>
      <c r="BX2679" s="207" t="n"/>
      <c r="BY2679" s="204" t="n"/>
      <c r="BZ2679" s="148" t="n"/>
      <c r="CA2679" s="204" t="n"/>
      <c r="CB2679" s="208" t="n"/>
      <c r="CC2679" s="139" t="n"/>
      <c r="CD2679" s="204" t="n"/>
      <c r="CE2679" s="204" t="n"/>
      <c r="CF2679" s="207" t="n"/>
      <c r="CG2679" s="208" t="n"/>
      <c r="CH2679" s="207" t="n"/>
      <c r="CI2679" s="208" t="n"/>
      <c r="CJ2679" s="204" t="n"/>
      <c r="CK2679" s="208" t="n"/>
      <c r="CL2679" s="208" t="n"/>
      <c r="CM2679" s="208" t="n"/>
      <c r="CN2679" s="78" t="n"/>
      <c r="CO2679" s="209" t="n"/>
      <c r="CP2679" s="204" t="n"/>
      <c r="CQ2679" s="204" t="n"/>
      <c r="CR2679" s="204" t="n"/>
      <c r="CS2679" s="204" t="n"/>
      <c r="CT2679" s="204" t="n"/>
      <c r="CU2679" s="204" t="n"/>
      <c r="CV2679" s="204" t="n"/>
      <c r="CW2679" s="204" t="n"/>
    </row>
    <row r="2680">
      <c r="BF2680" s="78" t="n"/>
      <c r="BG2680" s="78" t="n"/>
      <c r="BH2680" s="78" t="n"/>
      <c r="BI2680" s="78" t="n"/>
      <c r="BJ2680" s="139" t="n"/>
      <c r="BK2680" s="204" t="n"/>
      <c r="BL2680" s="141" t="n"/>
      <c r="BM2680" s="205" t="n"/>
      <c r="BN2680" s="205" t="n"/>
      <c r="BO2680" s="206" t="n"/>
      <c r="BP2680" s="144" t="n"/>
      <c r="BQ2680" s="141" t="n"/>
      <c r="BR2680" s="207" t="n"/>
      <c r="BS2680" s="207" t="n"/>
      <c r="BT2680" s="207" t="n"/>
      <c r="BU2680" s="207" t="n"/>
      <c r="BV2680" s="208" t="n"/>
      <c r="BW2680" s="207" t="n"/>
      <c r="BX2680" s="207" t="n"/>
      <c r="BY2680" s="204" t="n"/>
      <c r="BZ2680" s="148" t="n"/>
      <c r="CA2680" s="204" t="n"/>
      <c r="CB2680" s="208" t="n"/>
      <c r="CC2680" s="139" t="n"/>
      <c r="CD2680" s="204" t="n"/>
      <c r="CE2680" s="204" t="n"/>
      <c r="CF2680" s="207" t="n"/>
      <c r="CG2680" s="208" t="n"/>
      <c r="CH2680" s="207" t="n"/>
      <c r="CI2680" s="208" t="n"/>
      <c r="CJ2680" s="204" t="n"/>
      <c r="CK2680" s="208" t="n"/>
      <c r="CL2680" s="208" t="n"/>
      <c r="CM2680" s="208" t="n"/>
      <c r="CN2680" s="78" t="n"/>
      <c r="CO2680" s="209" t="n"/>
      <c r="CP2680" s="204" t="n"/>
      <c r="CQ2680" s="204" t="n"/>
      <c r="CR2680" s="204" t="n"/>
      <c r="CS2680" s="204" t="n"/>
      <c r="CT2680" s="204" t="n"/>
      <c r="CU2680" s="204" t="n"/>
      <c r="CV2680" s="204" t="n"/>
      <c r="CW2680" s="204" t="n"/>
    </row>
    <row r="2681">
      <c r="BF2681" s="78" t="n"/>
      <c r="BG2681" s="78" t="n"/>
      <c r="BH2681" s="78" t="n"/>
      <c r="BI2681" s="78" t="n"/>
      <c r="BJ2681" s="139" t="n"/>
      <c r="BK2681" s="204" t="n"/>
      <c r="BL2681" s="141" t="n"/>
      <c r="BM2681" s="205" t="n"/>
      <c r="BN2681" s="205" t="n"/>
      <c r="BO2681" s="206" t="n"/>
      <c r="BP2681" s="144" t="n"/>
      <c r="BQ2681" s="141" t="n"/>
      <c r="BR2681" s="207" t="n"/>
      <c r="BS2681" s="207" t="n"/>
      <c r="BT2681" s="207" t="n"/>
      <c r="BU2681" s="207" t="n"/>
      <c r="BV2681" s="208" t="n"/>
      <c r="BW2681" s="207" t="n"/>
      <c r="BX2681" s="207" t="n"/>
      <c r="BY2681" s="204" t="n"/>
      <c r="BZ2681" s="148" t="n"/>
      <c r="CA2681" s="204" t="n"/>
      <c r="CB2681" s="208" t="n"/>
      <c r="CC2681" s="139" t="n"/>
      <c r="CD2681" s="204" t="n"/>
      <c r="CE2681" s="204" t="n"/>
      <c r="CF2681" s="207" t="n"/>
      <c r="CG2681" s="208" t="n"/>
      <c r="CH2681" s="207" t="n"/>
      <c r="CI2681" s="208" t="n"/>
      <c r="CJ2681" s="204" t="n"/>
      <c r="CK2681" s="208" t="n"/>
      <c r="CL2681" s="208" t="n"/>
      <c r="CM2681" s="208" t="n"/>
      <c r="CN2681" s="78" t="n"/>
      <c r="CO2681" s="209" t="n"/>
      <c r="CP2681" s="204" t="n"/>
      <c r="CQ2681" s="204" t="n"/>
      <c r="CR2681" s="204" t="n"/>
      <c r="CS2681" s="204" t="n"/>
      <c r="CT2681" s="204" t="n"/>
      <c r="CU2681" s="204" t="n"/>
      <c r="CV2681" s="204" t="n"/>
      <c r="CW2681" s="204" t="n"/>
    </row>
    <row r="2682">
      <c r="BF2682" s="78" t="n"/>
      <c r="BG2682" s="78" t="n"/>
      <c r="BH2682" s="78" t="n"/>
      <c r="BI2682" s="78" t="n"/>
      <c r="BJ2682" s="139" t="n"/>
      <c r="BK2682" s="204" t="n"/>
      <c r="BL2682" s="141" t="n"/>
      <c r="BM2682" s="205" t="n"/>
      <c r="BN2682" s="205" t="n"/>
      <c r="BO2682" s="206" t="n"/>
      <c r="BP2682" s="144" t="n"/>
      <c r="BQ2682" s="141" t="n"/>
      <c r="BR2682" s="207" t="n"/>
      <c r="BS2682" s="207" t="n"/>
      <c r="BT2682" s="207" t="n"/>
      <c r="BU2682" s="207" t="n"/>
      <c r="BV2682" s="208" t="n"/>
      <c r="BW2682" s="207" t="n"/>
      <c r="BX2682" s="207" t="n"/>
      <c r="BY2682" s="204" t="n"/>
      <c r="BZ2682" s="148" t="n"/>
      <c r="CA2682" s="204" t="n"/>
      <c r="CB2682" s="208" t="n"/>
      <c r="CC2682" s="139" t="n"/>
      <c r="CD2682" s="204" t="n"/>
      <c r="CE2682" s="204" t="n"/>
      <c r="CF2682" s="207" t="n"/>
      <c r="CG2682" s="208" t="n"/>
      <c r="CH2682" s="207" t="n"/>
      <c r="CI2682" s="208" t="n"/>
      <c r="CJ2682" s="204" t="n"/>
      <c r="CK2682" s="208" t="n"/>
      <c r="CL2682" s="208" t="n"/>
      <c r="CM2682" s="208" t="n"/>
      <c r="CN2682" s="78" t="n"/>
      <c r="CO2682" s="209" t="n"/>
      <c r="CP2682" s="204" t="n"/>
      <c r="CQ2682" s="204" t="n"/>
      <c r="CR2682" s="204" t="n"/>
      <c r="CS2682" s="204" t="n"/>
      <c r="CT2682" s="204" t="n"/>
      <c r="CU2682" s="204" t="n"/>
      <c r="CV2682" s="204" t="n"/>
      <c r="CW2682" s="204" t="n"/>
    </row>
    <row r="2683">
      <c r="BF2683" s="78" t="n"/>
      <c r="BG2683" s="78" t="n"/>
      <c r="BH2683" s="78" t="n"/>
      <c r="BI2683" s="78" t="n"/>
      <c r="BJ2683" s="139" t="n"/>
      <c r="BK2683" s="204" t="n"/>
      <c r="BL2683" s="141" t="n"/>
      <c r="BM2683" s="205" t="n"/>
      <c r="BN2683" s="205" t="n"/>
      <c r="BO2683" s="206" t="n"/>
      <c r="BP2683" s="144" t="n"/>
      <c r="BQ2683" s="141" t="n"/>
      <c r="BR2683" s="207" t="n"/>
      <c r="BS2683" s="207" t="n"/>
      <c r="BT2683" s="207" t="n"/>
      <c r="BU2683" s="207" t="n"/>
      <c r="BV2683" s="208" t="n"/>
      <c r="BW2683" s="207" t="n"/>
      <c r="BX2683" s="207" t="n"/>
      <c r="BY2683" s="204" t="n"/>
      <c r="BZ2683" s="148" t="n"/>
      <c r="CA2683" s="204" t="n"/>
      <c r="CB2683" s="208" t="n"/>
      <c r="CC2683" s="139" t="n"/>
      <c r="CD2683" s="204" t="n"/>
      <c r="CE2683" s="204" t="n"/>
      <c r="CF2683" s="207" t="n"/>
      <c r="CG2683" s="208" t="n"/>
      <c r="CH2683" s="207" t="n"/>
      <c r="CI2683" s="208" t="n"/>
      <c r="CJ2683" s="204" t="n"/>
      <c r="CK2683" s="208" t="n"/>
      <c r="CL2683" s="208" t="n"/>
      <c r="CM2683" s="208" t="n"/>
      <c r="CN2683" s="78" t="n"/>
      <c r="CO2683" s="209" t="n"/>
      <c r="CP2683" s="204" t="n"/>
      <c r="CQ2683" s="204" t="n"/>
      <c r="CR2683" s="204" t="n"/>
      <c r="CS2683" s="204" t="n"/>
      <c r="CT2683" s="204" t="n"/>
      <c r="CU2683" s="204" t="n"/>
      <c r="CV2683" s="204" t="n"/>
      <c r="CW2683" s="204" t="n"/>
    </row>
    <row r="2684">
      <c r="BF2684" s="78" t="n"/>
      <c r="BG2684" s="78" t="n"/>
      <c r="BH2684" s="78" t="n"/>
      <c r="BI2684" s="78" t="n"/>
      <c r="BJ2684" s="139" t="n"/>
      <c r="BK2684" s="204" t="n"/>
      <c r="BL2684" s="141" t="n"/>
      <c r="BM2684" s="205" t="n"/>
      <c r="BN2684" s="205" t="n"/>
      <c r="BO2684" s="206" t="n"/>
      <c r="BP2684" s="144" t="n"/>
      <c r="BQ2684" s="141" t="n"/>
      <c r="BR2684" s="207" t="n"/>
      <c r="BS2684" s="207" t="n"/>
      <c r="BT2684" s="207" t="n"/>
      <c r="BU2684" s="207" t="n"/>
      <c r="BV2684" s="208" t="n"/>
      <c r="BW2684" s="207" t="n"/>
      <c r="BX2684" s="207" t="n"/>
      <c r="BY2684" s="204" t="n"/>
      <c r="BZ2684" s="148" t="n"/>
      <c r="CA2684" s="204" t="n"/>
      <c r="CB2684" s="208" t="n"/>
      <c r="CC2684" s="139" t="n"/>
      <c r="CD2684" s="204" t="n"/>
      <c r="CE2684" s="204" t="n"/>
      <c r="CF2684" s="207" t="n"/>
      <c r="CG2684" s="208" t="n"/>
      <c r="CH2684" s="207" t="n"/>
      <c r="CI2684" s="208" t="n"/>
      <c r="CJ2684" s="204" t="n"/>
      <c r="CK2684" s="208" t="n"/>
      <c r="CL2684" s="208" t="n"/>
      <c r="CM2684" s="208" t="n"/>
      <c r="CN2684" s="78" t="n"/>
      <c r="CO2684" s="209" t="n"/>
      <c r="CP2684" s="204" t="n"/>
      <c r="CQ2684" s="204" t="n"/>
      <c r="CR2684" s="204" t="n"/>
      <c r="CS2684" s="204" t="n"/>
      <c r="CT2684" s="204" t="n"/>
      <c r="CU2684" s="204" t="n"/>
      <c r="CV2684" s="204" t="n"/>
      <c r="CW2684" s="204" t="n"/>
    </row>
    <row r="2685">
      <c r="BF2685" s="78" t="n"/>
      <c r="BG2685" s="78" t="n"/>
      <c r="BH2685" s="78" t="n"/>
      <c r="BI2685" s="78" t="n"/>
      <c r="BJ2685" s="139" t="n"/>
      <c r="BK2685" s="204" t="n"/>
      <c r="BL2685" s="141" t="n"/>
      <c r="BM2685" s="205" t="n"/>
      <c r="BN2685" s="205" t="n"/>
      <c r="BO2685" s="206" t="n"/>
      <c r="BP2685" s="144" t="n"/>
      <c r="BQ2685" s="141" t="n"/>
      <c r="BR2685" s="207" t="n"/>
      <c r="BS2685" s="207" t="n"/>
      <c r="BT2685" s="207" t="n"/>
      <c r="BU2685" s="207" t="n"/>
      <c r="BV2685" s="208" t="n"/>
      <c r="BW2685" s="207" t="n"/>
      <c r="BX2685" s="207" t="n"/>
      <c r="BY2685" s="204" t="n"/>
      <c r="BZ2685" s="148" t="n"/>
      <c r="CA2685" s="204" t="n"/>
      <c r="CB2685" s="208" t="n"/>
      <c r="CC2685" s="139" t="n"/>
      <c r="CD2685" s="204" t="n"/>
      <c r="CE2685" s="204" t="n"/>
      <c r="CF2685" s="207" t="n"/>
      <c r="CG2685" s="208" t="n"/>
      <c r="CH2685" s="207" t="n"/>
      <c r="CI2685" s="208" t="n"/>
      <c r="CJ2685" s="204" t="n"/>
      <c r="CK2685" s="208" t="n"/>
      <c r="CL2685" s="208" t="n"/>
      <c r="CM2685" s="208" t="n"/>
      <c r="CN2685" s="78" t="n"/>
      <c r="CO2685" s="209" t="n"/>
      <c r="CP2685" s="204" t="n"/>
      <c r="CQ2685" s="204" t="n"/>
      <c r="CR2685" s="204" t="n"/>
      <c r="CS2685" s="204" t="n"/>
      <c r="CT2685" s="204" t="n"/>
      <c r="CU2685" s="204" t="n"/>
      <c r="CV2685" s="204" t="n"/>
      <c r="CW2685" s="204" t="n"/>
    </row>
    <row r="2686">
      <c r="BF2686" s="78" t="n"/>
      <c r="BG2686" s="78" t="n"/>
      <c r="BH2686" s="78" t="n"/>
      <c r="BI2686" s="78" t="n"/>
      <c r="BJ2686" s="139" t="n"/>
      <c r="BK2686" s="204" t="n"/>
      <c r="BL2686" s="141" t="n"/>
      <c r="BM2686" s="205" t="n"/>
      <c r="BN2686" s="205" t="n"/>
      <c r="BO2686" s="206" t="n"/>
      <c r="BP2686" s="144" t="n"/>
      <c r="BQ2686" s="141" t="n"/>
      <c r="BR2686" s="207" t="n"/>
      <c r="BS2686" s="207" t="n"/>
      <c r="BT2686" s="207" t="n"/>
      <c r="BU2686" s="207" t="n"/>
      <c r="BV2686" s="208" t="n"/>
      <c r="BW2686" s="207" t="n"/>
      <c r="BX2686" s="207" t="n"/>
      <c r="BY2686" s="204" t="n"/>
      <c r="BZ2686" s="148" t="n"/>
      <c r="CA2686" s="204" t="n"/>
      <c r="CB2686" s="208" t="n"/>
      <c r="CC2686" s="139" t="n"/>
      <c r="CD2686" s="204" t="n"/>
      <c r="CE2686" s="204" t="n"/>
      <c r="CF2686" s="207" t="n"/>
      <c r="CG2686" s="208" t="n"/>
      <c r="CH2686" s="207" t="n"/>
      <c r="CI2686" s="208" t="n"/>
      <c r="CJ2686" s="204" t="n"/>
      <c r="CK2686" s="208" t="n"/>
      <c r="CL2686" s="208" t="n"/>
      <c r="CM2686" s="208" t="n"/>
      <c r="CN2686" s="78" t="n"/>
      <c r="CO2686" s="209" t="n"/>
      <c r="CP2686" s="204" t="n"/>
      <c r="CQ2686" s="204" t="n"/>
      <c r="CR2686" s="204" t="n"/>
      <c r="CS2686" s="204" t="n"/>
      <c r="CT2686" s="204" t="n"/>
      <c r="CU2686" s="204" t="n"/>
      <c r="CV2686" s="204" t="n"/>
      <c r="CW2686" s="204" t="n"/>
    </row>
    <row r="2687">
      <c r="BF2687" s="78" t="n"/>
      <c r="BG2687" s="78" t="n"/>
      <c r="BH2687" s="78" t="n"/>
      <c r="BI2687" s="78" t="n"/>
      <c r="BJ2687" s="139" t="n"/>
      <c r="BK2687" s="204" t="n"/>
      <c r="BL2687" s="141" t="n"/>
      <c r="BM2687" s="205" t="n"/>
      <c r="BN2687" s="205" t="n"/>
      <c r="BO2687" s="206" t="n"/>
      <c r="BP2687" s="144" t="n"/>
      <c r="BQ2687" s="141" t="n"/>
      <c r="BR2687" s="207" t="n"/>
      <c r="BS2687" s="207" t="n"/>
      <c r="BT2687" s="207" t="n"/>
      <c r="BU2687" s="207" t="n"/>
      <c r="BV2687" s="208" t="n"/>
      <c r="BW2687" s="207" t="n"/>
      <c r="BX2687" s="207" t="n"/>
      <c r="BY2687" s="204" t="n"/>
      <c r="BZ2687" s="148" t="n"/>
      <c r="CA2687" s="204" t="n"/>
      <c r="CB2687" s="208" t="n"/>
      <c r="CC2687" s="139" t="n"/>
      <c r="CD2687" s="204" t="n"/>
      <c r="CE2687" s="204" t="n"/>
      <c r="CF2687" s="207" t="n"/>
      <c r="CG2687" s="208" t="n"/>
      <c r="CH2687" s="207" t="n"/>
      <c r="CI2687" s="208" t="n"/>
      <c r="CJ2687" s="204" t="n"/>
      <c r="CK2687" s="208" t="n"/>
      <c r="CL2687" s="208" t="n"/>
      <c r="CM2687" s="208" t="n"/>
      <c r="CN2687" s="78" t="n"/>
      <c r="CO2687" s="209" t="n"/>
      <c r="CP2687" s="204" t="n"/>
      <c r="CQ2687" s="204" t="n"/>
      <c r="CR2687" s="204" t="n"/>
      <c r="CS2687" s="204" t="n"/>
      <c r="CT2687" s="204" t="n"/>
      <c r="CU2687" s="204" t="n"/>
      <c r="CV2687" s="204" t="n"/>
      <c r="CW2687" s="204" t="n"/>
    </row>
    <row r="2688">
      <c r="BF2688" s="78" t="n"/>
      <c r="BG2688" s="78" t="n"/>
      <c r="BH2688" s="78" t="n"/>
      <c r="BI2688" s="78" t="n"/>
      <c r="BJ2688" s="139" t="n"/>
      <c r="BK2688" s="204" t="n"/>
      <c r="BL2688" s="141" t="n"/>
      <c r="BM2688" s="205" t="n"/>
      <c r="BN2688" s="205" t="n"/>
      <c r="BO2688" s="206" t="n"/>
      <c r="BP2688" s="144" t="n"/>
      <c r="BQ2688" s="141" t="n"/>
      <c r="BR2688" s="207" t="n"/>
      <c r="BS2688" s="207" t="n"/>
      <c r="BT2688" s="207" t="n"/>
      <c r="BU2688" s="207" t="n"/>
      <c r="BV2688" s="208" t="n"/>
      <c r="BW2688" s="207" t="n"/>
      <c r="BX2688" s="207" t="n"/>
      <c r="BY2688" s="204" t="n"/>
      <c r="BZ2688" s="148" t="n"/>
      <c r="CA2688" s="204" t="n"/>
      <c r="CB2688" s="208" t="n"/>
      <c r="CC2688" s="139" t="n"/>
      <c r="CD2688" s="204" t="n"/>
      <c r="CE2688" s="204" t="n"/>
      <c r="CF2688" s="207" t="n"/>
      <c r="CG2688" s="208" t="n"/>
      <c r="CH2688" s="207" t="n"/>
      <c r="CI2688" s="208" t="n"/>
      <c r="CJ2688" s="204" t="n"/>
      <c r="CK2688" s="208" t="n"/>
      <c r="CL2688" s="208" t="n"/>
      <c r="CM2688" s="208" t="n"/>
      <c r="CN2688" s="78" t="n"/>
      <c r="CO2688" s="209" t="n"/>
      <c r="CP2688" s="204" t="n"/>
      <c r="CQ2688" s="204" t="n"/>
      <c r="CR2688" s="204" t="n"/>
      <c r="CS2688" s="204" t="n"/>
      <c r="CT2688" s="204" t="n"/>
      <c r="CU2688" s="204" t="n"/>
      <c r="CV2688" s="204" t="n"/>
      <c r="CW2688" s="204" t="n"/>
    </row>
    <row r="2689">
      <c r="BF2689" s="78" t="n"/>
      <c r="BG2689" s="78" t="n"/>
      <c r="BH2689" s="78" t="n"/>
      <c r="BI2689" s="78" t="n"/>
      <c r="BJ2689" s="139" t="n"/>
      <c r="BK2689" s="204" t="n"/>
      <c r="BL2689" s="141" t="n"/>
      <c r="BM2689" s="205" t="n"/>
      <c r="BN2689" s="205" t="n"/>
      <c r="BO2689" s="206" t="n"/>
      <c r="BP2689" s="144" t="n"/>
      <c r="BQ2689" s="141" t="n"/>
      <c r="BR2689" s="207" t="n"/>
      <c r="BS2689" s="207" t="n"/>
      <c r="BT2689" s="207" t="n"/>
      <c r="BU2689" s="207" t="n"/>
      <c r="BV2689" s="208" t="n"/>
      <c r="BW2689" s="207" t="n"/>
      <c r="BX2689" s="207" t="n"/>
      <c r="BY2689" s="204" t="n"/>
      <c r="BZ2689" s="148" t="n"/>
      <c r="CA2689" s="204" t="n"/>
      <c r="CB2689" s="208" t="n"/>
      <c r="CC2689" s="139" t="n"/>
      <c r="CD2689" s="204" t="n"/>
      <c r="CE2689" s="204" t="n"/>
      <c r="CF2689" s="207" t="n"/>
      <c r="CG2689" s="208" t="n"/>
      <c r="CH2689" s="207" t="n"/>
      <c r="CI2689" s="208" t="n"/>
      <c r="CJ2689" s="204" t="n"/>
      <c r="CK2689" s="208" t="n"/>
      <c r="CL2689" s="208" t="n"/>
      <c r="CM2689" s="208" t="n"/>
      <c r="CN2689" s="78" t="n"/>
      <c r="CO2689" s="209" t="n"/>
      <c r="CP2689" s="204" t="n"/>
      <c r="CQ2689" s="204" t="n"/>
      <c r="CR2689" s="204" t="n"/>
      <c r="CS2689" s="204" t="n"/>
      <c r="CT2689" s="204" t="n"/>
      <c r="CU2689" s="204" t="n"/>
      <c r="CV2689" s="204" t="n"/>
      <c r="CW2689" s="204" t="n"/>
    </row>
    <row r="2690">
      <c r="BF2690" s="78" t="n"/>
      <c r="BG2690" s="78" t="n"/>
      <c r="BH2690" s="78" t="n"/>
      <c r="BI2690" s="78" t="n"/>
      <c r="BJ2690" s="139" t="n"/>
      <c r="BK2690" s="204" t="n"/>
      <c r="BL2690" s="141" t="n"/>
      <c r="BM2690" s="205" t="n"/>
      <c r="BN2690" s="205" t="n"/>
      <c r="BO2690" s="206" t="n"/>
      <c r="BP2690" s="144" t="n"/>
      <c r="BQ2690" s="141" t="n"/>
      <c r="BR2690" s="207" t="n"/>
      <c r="BS2690" s="207" t="n"/>
      <c r="BT2690" s="207" t="n"/>
      <c r="BU2690" s="207" t="n"/>
      <c r="BV2690" s="208" t="n"/>
      <c r="BW2690" s="207" t="n"/>
      <c r="BX2690" s="207" t="n"/>
      <c r="BY2690" s="204" t="n"/>
      <c r="BZ2690" s="148" t="n"/>
      <c r="CA2690" s="204" t="n"/>
      <c r="CB2690" s="208" t="n"/>
      <c r="CC2690" s="139" t="n"/>
      <c r="CD2690" s="204" t="n"/>
      <c r="CE2690" s="204" t="n"/>
      <c r="CF2690" s="207" t="n"/>
      <c r="CG2690" s="208" t="n"/>
      <c r="CH2690" s="207" t="n"/>
      <c r="CI2690" s="208" t="n"/>
      <c r="CJ2690" s="204" t="n"/>
      <c r="CK2690" s="208" t="n"/>
      <c r="CL2690" s="208" t="n"/>
      <c r="CM2690" s="208" t="n"/>
      <c r="CN2690" s="78" t="n"/>
      <c r="CO2690" s="209" t="n"/>
      <c r="CP2690" s="204" t="n"/>
      <c r="CQ2690" s="204" t="n"/>
      <c r="CR2690" s="204" t="n"/>
      <c r="CS2690" s="204" t="n"/>
      <c r="CT2690" s="204" t="n"/>
      <c r="CU2690" s="204" t="n"/>
      <c r="CV2690" s="204" t="n"/>
      <c r="CW2690" s="204" t="n"/>
    </row>
    <row r="2691">
      <c r="BF2691" s="78" t="n"/>
      <c r="BG2691" s="78" t="n"/>
      <c r="BH2691" s="78" t="n"/>
      <c r="BI2691" s="78" t="n"/>
      <c r="BJ2691" s="139" t="n"/>
      <c r="BK2691" s="204" t="n"/>
      <c r="BL2691" s="141" t="n"/>
      <c r="BM2691" s="205" t="n"/>
      <c r="BN2691" s="205" t="n"/>
      <c r="BO2691" s="206" t="n"/>
      <c r="BP2691" s="144" t="n"/>
      <c r="BQ2691" s="141" t="n"/>
      <c r="BR2691" s="207" t="n"/>
      <c r="BS2691" s="207" t="n"/>
      <c r="BT2691" s="207" t="n"/>
      <c r="BU2691" s="207" t="n"/>
      <c r="BV2691" s="208" t="n"/>
      <c r="BW2691" s="207" t="n"/>
      <c r="BX2691" s="207" t="n"/>
      <c r="BY2691" s="204" t="n"/>
      <c r="BZ2691" s="148" t="n"/>
      <c r="CA2691" s="204" t="n"/>
      <c r="CB2691" s="208" t="n"/>
      <c r="CC2691" s="139" t="n"/>
      <c r="CD2691" s="204" t="n"/>
      <c r="CE2691" s="204" t="n"/>
      <c r="CF2691" s="207" t="n"/>
      <c r="CG2691" s="208" t="n"/>
      <c r="CH2691" s="207" t="n"/>
      <c r="CI2691" s="208" t="n"/>
      <c r="CJ2691" s="204" t="n"/>
      <c r="CK2691" s="208" t="n"/>
      <c r="CL2691" s="208" t="n"/>
      <c r="CM2691" s="208" t="n"/>
      <c r="CN2691" s="78" t="n"/>
      <c r="CO2691" s="209" t="n"/>
      <c r="CP2691" s="204" t="n"/>
      <c r="CQ2691" s="204" t="n"/>
      <c r="CR2691" s="204" t="n"/>
      <c r="CS2691" s="204" t="n"/>
      <c r="CT2691" s="204" t="n"/>
      <c r="CU2691" s="204" t="n"/>
      <c r="CV2691" s="204" t="n"/>
      <c r="CW2691" s="204" t="n"/>
    </row>
    <row r="2692">
      <c r="BF2692" s="78" t="n"/>
      <c r="BG2692" s="78" t="n"/>
      <c r="BH2692" s="78" t="n"/>
      <c r="BI2692" s="78" t="n"/>
      <c r="BJ2692" s="139" t="n"/>
      <c r="BK2692" s="204" t="n"/>
      <c r="BL2692" s="141" t="n"/>
      <c r="BM2692" s="205" t="n"/>
      <c r="BN2692" s="205" t="n"/>
      <c r="BO2692" s="206" t="n"/>
      <c r="BP2692" s="144" t="n"/>
      <c r="BQ2692" s="141" t="n"/>
      <c r="BR2692" s="207" t="n"/>
      <c r="BS2692" s="207" t="n"/>
      <c r="BT2692" s="207" t="n"/>
      <c r="BU2692" s="207" t="n"/>
      <c r="BV2692" s="208" t="n"/>
      <c r="BW2692" s="207" t="n"/>
      <c r="BX2692" s="207" t="n"/>
      <c r="BY2692" s="204" t="n"/>
      <c r="BZ2692" s="148" t="n"/>
      <c r="CA2692" s="204" t="n"/>
      <c r="CB2692" s="208" t="n"/>
      <c r="CC2692" s="139" t="n"/>
      <c r="CD2692" s="204" t="n"/>
      <c r="CE2692" s="204" t="n"/>
      <c r="CF2692" s="207" t="n"/>
      <c r="CG2692" s="208" t="n"/>
      <c r="CH2692" s="207" t="n"/>
      <c r="CI2692" s="208" t="n"/>
      <c r="CJ2692" s="204" t="n"/>
      <c r="CK2692" s="208" t="n"/>
      <c r="CL2692" s="208" t="n"/>
      <c r="CM2692" s="208" t="n"/>
      <c r="CN2692" s="78" t="n"/>
      <c r="CO2692" s="209" t="n"/>
      <c r="CP2692" s="204" t="n"/>
      <c r="CQ2692" s="204" t="n"/>
      <c r="CR2692" s="204" t="n"/>
      <c r="CS2692" s="204" t="n"/>
      <c r="CT2692" s="204" t="n"/>
      <c r="CU2692" s="204" t="n"/>
      <c r="CV2692" s="204" t="n"/>
      <c r="CW2692" s="204" t="n"/>
    </row>
    <row r="2693">
      <c r="BF2693" s="78" t="n"/>
      <c r="BG2693" s="78" t="n"/>
      <c r="BH2693" s="78" t="n"/>
      <c r="BI2693" s="78" t="n"/>
      <c r="BJ2693" s="139" t="n"/>
      <c r="BK2693" s="204" t="n"/>
      <c r="BL2693" s="141" t="n"/>
      <c r="BM2693" s="205" t="n"/>
      <c r="BN2693" s="205" t="n"/>
      <c r="BO2693" s="206" t="n"/>
      <c r="BP2693" s="144" t="n"/>
      <c r="BQ2693" s="141" t="n"/>
      <c r="BR2693" s="207" t="n"/>
      <c r="BS2693" s="207" t="n"/>
      <c r="BT2693" s="207" t="n"/>
      <c r="BU2693" s="207" t="n"/>
      <c r="BV2693" s="208" t="n"/>
      <c r="BW2693" s="207" t="n"/>
      <c r="BX2693" s="207" t="n"/>
      <c r="BY2693" s="204" t="n"/>
      <c r="BZ2693" s="148" t="n"/>
      <c r="CA2693" s="204" t="n"/>
      <c r="CB2693" s="208" t="n"/>
      <c r="CC2693" s="139" t="n"/>
      <c r="CD2693" s="204" t="n"/>
      <c r="CE2693" s="204" t="n"/>
      <c r="CF2693" s="207" t="n"/>
      <c r="CG2693" s="208" t="n"/>
      <c r="CH2693" s="207" t="n"/>
      <c r="CI2693" s="208" t="n"/>
      <c r="CJ2693" s="204" t="n"/>
      <c r="CK2693" s="208" t="n"/>
      <c r="CL2693" s="208" t="n"/>
      <c r="CM2693" s="208" t="n"/>
      <c r="CN2693" s="78" t="n"/>
      <c r="CO2693" s="209" t="n"/>
      <c r="CP2693" s="204" t="n"/>
      <c r="CQ2693" s="204" t="n"/>
      <c r="CR2693" s="204" t="n"/>
      <c r="CS2693" s="204" t="n"/>
      <c r="CT2693" s="204" t="n"/>
      <c r="CU2693" s="204" t="n"/>
      <c r="CV2693" s="204" t="n"/>
      <c r="CW2693" s="204" t="n"/>
    </row>
    <row r="2694">
      <c r="BF2694" s="78" t="n"/>
      <c r="BG2694" s="78" t="n"/>
      <c r="BH2694" s="78" t="n"/>
      <c r="BI2694" s="78" t="n"/>
      <c r="BJ2694" s="139" t="n"/>
      <c r="BK2694" s="204" t="n"/>
      <c r="BL2694" s="141" t="n"/>
      <c r="BM2694" s="205" t="n"/>
      <c r="BN2694" s="205" t="n"/>
      <c r="BO2694" s="206" t="n"/>
      <c r="BP2694" s="144" t="n"/>
      <c r="BQ2694" s="141" t="n"/>
      <c r="BR2694" s="207" t="n"/>
      <c r="BS2694" s="207" t="n"/>
      <c r="BT2694" s="207" t="n"/>
      <c r="BU2694" s="207" t="n"/>
      <c r="BV2694" s="208" t="n"/>
      <c r="BW2694" s="207" t="n"/>
      <c r="BX2694" s="207" t="n"/>
      <c r="BY2694" s="204" t="n"/>
      <c r="BZ2694" s="148" t="n"/>
      <c r="CA2694" s="204" t="n"/>
      <c r="CB2694" s="208" t="n"/>
      <c r="CC2694" s="139" t="n"/>
      <c r="CD2694" s="204" t="n"/>
      <c r="CE2694" s="204" t="n"/>
      <c r="CF2694" s="207" t="n"/>
      <c r="CG2694" s="208" t="n"/>
      <c r="CH2694" s="207" t="n"/>
      <c r="CI2694" s="208" t="n"/>
      <c r="CJ2694" s="204" t="n"/>
      <c r="CK2694" s="208" t="n"/>
      <c r="CL2694" s="208" t="n"/>
      <c r="CM2694" s="208" t="n"/>
      <c r="CN2694" s="78" t="n"/>
      <c r="CO2694" s="209" t="n"/>
      <c r="CP2694" s="204" t="n"/>
      <c r="CQ2694" s="204" t="n"/>
      <c r="CR2694" s="204" t="n"/>
      <c r="CS2694" s="204" t="n"/>
      <c r="CT2694" s="204" t="n"/>
      <c r="CU2694" s="204" t="n"/>
      <c r="CV2694" s="204" t="n"/>
      <c r="CW2694" s="204" t="n"/>
    </row>
    <row r="2695">
      <c r="BF2695" s="78" t="n"/>
      <c r="BG2695" s="78" t="n"/>
      <c r="BH2695" s="78" t="n"/>
      <c r="BI2695" s="78" t="n"/>
      <c r="BJ2695" s="139" t="n"/>
      <c r="BK2695" s="204" t="n"/>
      <c r="BL2695" s="141" t="n"/>
      <c r="BM2695" s="205" t="n"/>
      <c r="BN2695" s="205" t="n"/>
      <c r="BO2695" s="206" t="n"/>
      <c r="BP2695" s="144" t="n"/>
      <c r="BQ2695" s="141" t="n"/>
      <c r="BR2695" s="207" t="n"/>
      <c r="BS2695" s="207" t="n"/>
      <c r="BT2695" s="207" t="n"/>
      <c r="BU2695" s="207" t="n"/>
      <c r="BV2695" s="208" t="n"/>
      <c r="BW2695" s="207" t="n"/>
      <c r="BX2695" s="207" t="n"/>
      <c r="BY2695" s="204" t="n"/>
      <c r="BZ2695" s="148" t="n"/>
      <c r="CA2695" s="204" t="n"/>
      <c r="CB2695" s="208" t="n"/>
      <c r="CC2695" s="139" t="n"/>
      <c r="CD2695" s="204" t="n"/>
      <c r="CE2695" s="204" t="n"/>
      <c r="CF2695" s="207" t="n"/>
      <c r="CG2695" s="208" t="n"/>
      <c r="CH2695" s="207" t="n"/>
      <c r="CI2695" s="208" t="n"/>
      <c r="CJ2695" s="204" t="n"/>
      <c r="CK2695" s="208" t="n"/>
      <c r="CL2695" s="208" t="n"/>
      <c r="CM2695" s="208" t="n"/>
      <c r="CN2695" s="78" t="n"/>
      <c r="CO2695" s="209" t="n"/>
      <c r="CP2695" s="204" t="n"/>
      <c r="CQ2695" s="204" t="n"/>
      <c r="CR2695" s="204" t="n"/>
      <c r="CS2695" s="204" t="n"/>
      <c r="CT2695" s="204" t="n"/>
      <c r="CU2695" s="204" t="n"/>
      <c r="CV2695" s="204" t="n"/>
      <c r="CW2695" s="204" t="n"/>
    </row>
    <row r="2696">
      <c r="BF2696" s="78" t="n"/>
      <c r="BG2696" s="78" t="n"/>
      <c r="BH2696" s="78" t="n"/>
      <c r="BI2696" s="78" t="n"/>
      <c r="BJ2696" s="139" t="n"/>
      <c r="BK2696" s="204" t="n"/>
      <c r="BL2696" s="141" t="n"/>
      <c r="BM2696" s="205" t="n"/>
      <c r="BN2696" s="205" t="n"/>
      <c r="BO2696" s="206" t="n"/>
      <c r="BP2696" s="144" t="n"/>
      <c r="BQ2696" s="141" t="n"/>
      <c r="BR2696" s="207" t="n"/>
      <c r="BS2696" s="207" t="n"/>
      <c r="BT2696" s="207" t="n"/>
      <c r="BU2696" s="207" t="n"/>
      <c r="BV2696" s="208" t="n"/>
      <c r="BW2696" s="207" t="n"/>
      <c r="BX2696" s="207" t="n"/>
      <c r="BY2696" s="204" t="n"/>
      <c r="BZ2696" s="148" t="n"/>
      <c r="CA2696" s="204" t="n"/>
      <c r="CB2696" s="208" t="n"/>
      <c r="CC2696" s="139" t="n"/>
      <c r="CD2696" s="204" t="n"/>
      <c r="CE2696" s="204" t="n"/>
      <c r="CF2696" s="207" t="n"/>
      <c r="CG2696" s="208" t="n"/>
      <c r="CH2696" s="207" t="n"/>
      <c r="CI2696" s="208" t="n"/>
      <c r="CJ2696" s="204" t="n"/>
      <c r="CK2696" s="208" t="n"/>
      <c r="CL2696" s="208" t="n"/>
      <c r="CM2696" s="208" t="n"/>
      <c r="CN2696" s="78" t="n"/>
      <c r="CO2696" s="209" t="n"/>
      <c r="CP2696" s="204" t="n"/>
      <c r="CQ2696" s="204" t="n"/>
      <c r="CR2696" s="204" t="n"/>
      <c r="CS2696" s="204" t="n"/>
      <c r="CT2696" s="204" t="n"/>
      <c r="CU2696" s="204" t="n"/>
      <c r="CV2696" s="204" t="n"/>
      <c r="CW2696" s="204" t="n"/>
    </row>
    <row r="2697">
      <c r="BF2697" s="78" t="n"/>
      <c r="BG2697" s="78" t="n"/>
      <c r="BH2697" s="78" t="n"/>
      <c r="BI2697" s="78" t="n"/>
      <c r="BJ2697" s="139" t="n"/>
      <c r="BK2697" s="204" t="n"/>
      <c r="BL2697" s="141" t="n"/>
      <c r="BM2697" s="205" t="n"/>
      <c r="BN2697" s="205" t="n"/>
      <c r="BO2697" s="206" t="n"/>
      <c r="BP2697" s="144" t="n"/>
      <c r="BQ2697" s="141" t="n"/>
      <c r="BR2697" s="207" t="n"/>
      <c r="BS2697" s="207" t="n"/>
      <c r="BT2697" s="207" t="n"/>
      <c r="BU2697" s="207" t="n"/>
      <c r="BV2697" s="208" t="n"/>
      <c r="BW2697" s="207" t="n"/>
      <c r="BX2697" s="207" t="n"/>
      <c r="BY2697" s="204" t="n"/>
      <c r="BZ2697" s="148" t="n"/>
      <c r="CA2697" s="204" t="n"/>
      <c r="CB2697" s="208" t="n"/>
      <c r="CC2697" s="139" t="n"/>
      <c r="CD2697" s="204" t="n"/>
      <c r="CE2697" s="204" t="n"/>
      <c r="CF2697" s="207" t="n"/>
      <c r="CG2697" s="208" t="n"/>
      <c r="CH2697" s="207" t="n"/>
      <c r="CI2697" s="208" t="n"/>
      <c r="CJ2697" s="204" t="n"/>
      <c r="CK2697" s="208" t="n"/>
      <c r="CL2697" s="208" t="n"/>
      <c r="CM2697" s="208" t="n"/>
      <c r="CN2697" s="78" t="n"/>
      <c r="CO2697" s="209" t="n"/>
      <c r="CP2697" s="204" t="n"/>
      <c r="CQ2697" s="204" t="n"/>
      <c r="CR2697" s="204" t="n"/>
      <c r="CS2697" s="204" t="n"/>
      <c r="CT2697" s="204" t="n"/>
      <c r="CU2697" s="204" t="n"/>
      <c r="CV2697" s="204" t="n"/>
      <c r="CW2697" s="204" t="n"/>
    </row>
    <row r="2698">
      <c r="BF2698" s="78" t="n"/>
      <c r="BG2698" s="78" t="n"/>
      <c r="BH2698" s="78" t="n"/>
      <c r="BI2698" s="78" t="n"/>
      <c r="BJ2698" s="139" t="n"/>
      <c r="BK2698" s="204" t="n"/>
      <c r="BL2698" s="141" t="n"/>
      <c r="BM2698" s="205" t="n"/>
      <c r="BN2698" s="205" t="n"/>
      <c r="BO2698" s="206" t="n"/>
      <c r="BP2698" s="144" t="n"/>
      <c r="BQ2698" s="141" t="n"/>
      <c r="BR2698" s="207" t="n"/>
      <c r="BS2698" s="207" t="n"/>
      <c r="BT2698" s="207" t="n"/>
      <c r="BU2698" s="207" t="n"/>
      <c r="BV2698" s="208" t="n"/>
      <c r="BW2698" s="207" t="n"/>
      <c r="BX2698" s="207" t="n"/>
      <c r="BY2698" s="204" t="n"/>
      <c r="BZ2698" s="148" t="n"/>
      <c r="CA2698" s="204" t="n"/>
      <c r="CB2698" s="208" t="n"/>
      <c r="CC2698" s="139" t="n"/>
      <c r="CD2698" s="204" t="n"/>
      <c r="CE2698" s="204" t="n"/>
      <c r="CF2698" s="207" t="n"/>
      <c r="CG2698" s="208" t="n"/>
      <c r="CH2698" s="207" t="n"/>
      <c r="CI2698" s="208" t="n"/>
      <c r="CJ2698" s="204" t="n"/>
      <c r="CK2698" s="208" t="n"/>
      <c r="CL2698" s="208" t="n"/>
      <c r="CM2698" s="208" t="n"/>
      <c r="CN2698" s="78" t="n"/>
      <c r="CO2698" s="209" t="n"/>
      <c r="CP2698" s="204" t="n"/>
      <c r="CQ2698" s="204" t="n"/>
      <c r="CR2698" s="204" t="n"/>
      <c r="CS2698" s="204" t="n"/>
      <c r="CT2698" s="204" t="n"/>
      <c r="CU2698" s="204" t="n"/>
      <c r="CV2698" s="204" t="n"/>
      <c r="CW2698" s="204" t="n"/>
    </row>
    <row r="2699">
      <c r="BF2699" s="78" t="n"/>
      <c r="BG2699" s="78" t="n"/>
      <c r="BH2699" s="78" t="n"/>
      <c r="BI2699" s="78" t="n"/>
      <c r="BJ2699" s="139" t="n"/>
      <c r="BK2699" s="204" t="n"/>
      <c r="BL2699" s="141" t="n"/>
      <c r="BM2699" s="205" t="n"/>
      <c r="BN2699" s="205" t="n"/>
      <c r="BO2699" s="206" t="n"/>
      <c r="BP2699" s="144" t="n"/>
      <c r="BQ2699" s="141" t="n"/>
      <c r="BR2699" s="207" t="n"/>
      <c r="BS2699" s="207" t="n"/>
      <c r="BT2699" s="207" t="n"/>
      <c r="BU2699" s="207" t="n"/>
      <c r="BV2699" s="208" t="n"/>
      <c r="BW2699" s="207" t="n"/>
      <c r="BX2699" s="207" t="n"/>
      <c r="BY2699" s="204" t="n"/>
      <c r="BZ2699" s="148" t="n"/>
      <c r="CA2699" s="204" t="n"/>
      <c r="CB2699" s="208" t="n"/>
      <c r="CC2699" s="139" t="n"/>
      <c r="CD2699" s="204" t="n"/>
      <c r="CE2699" s="204" t="n"/>
      <c r="CF2699" s="207" t="n"/>
      <c r="CG2699" s="208" t="n"/>
      <c r="CH2699" s="207" t="n"/>
      <c r="CI2699" s="208" t="n"/>
      <c r="CJ2699" s="204" t="n"/>
      <c r="CK2699" s="208" t="n"/>
      <c r="CL2699" s="208" t="n"/>
      <c r="CM2699" s="208" t="n"/>
      <c r="CN2699" s="78" t="n"/>
      <c r="CO2699" s="209" t="n"/>
      <c r="CP2699" s="204" t="n"/>
      <c r="CQ2699" s="204" t="n"/>
      <c r="CR2699" s="204" t="n"/>
      <c r="CS2699" s="204" t="n"/>
      <c r="CT2699" s="204" t="n"/>
      <c r="CU2699" s="204" t="n"/>
      <c r="CV2699" s="204" t="n"/>
      <c r="CW2699" s="204" t="n"/>
    </row>
    <row r="2700">
      <c r="BF2700" s="78" t="n"/>
      <c r="BG2700" s="78" t="n"/>
      <c r="BH2700" s="78" t="n"/>
      <c r="BI2700" s="78" t="n"/>
      <c r="BJ2700" s="139" t="n"/>
      <c r="BK2700" s="204" t="n"/>
      <c r="BL2700" s="141" t="n"/>
      <c r="BM2700" s="205" t="n"/>
      <c r="BN2700" s="205" t="n"/>
      <c r="BO2700" s="206" t="n"/>
      <c r="BP2700" s="144" t="n"/>
      <c r="BQ2700" s="141" t="n"/>
      <c r="BR2700" s="207" t="n"/>
      <c r="BS2700" s="207" t="n"/>
      <c r="BT2700" s="207" t="n"/>
      <c r="BU2700" s="207" t="n"/>
      <c r="BV2700" s="208" t="n"/>
      <c r="BW2700" s="207" t="n"/>
      <c r="BX2700" s="207" t="n"/>
      <c r="BY2700" s="204" t="n"/>
      <c r="BZ2700" s="148" t="n"/>
      <c r="CA2700" s="204" t="n"/>
      <c r="CB2700" s="208" t="n"/>
      <c r="CC2700" s="139" t="n"/>
      <c r="CD2700" s="204" t="n"/>
      <c r="CE2700" s="204" t="n"/>
      <c r="CF2700" s="207" t="n"/>
      <c r="CG2700" s="208" t="n"/>
      <c r="CH2700" s="207" t="n"/>
      <c r="CI2700" s="208" t="n"/>
      <c r="CJ2700" s="204" t="n"/>
      <c r="CK2700" s="208" t="n"/>
      <c r="CL2700" s="208" t="n"/>
      <c r="CM2700" s="208" t="n"/>
      <c r="CN2700" s="78" t="n"/>
      <c r="CO2700" s="209" t="n"/>
      <c r="CP2700" s="204" t="n"/>
      <c r="CQ2700" s="204" t="n"/>
      <c r="CR2700" s="204" t="n"/>
      <c r="CS2700" s="204" t="n"/>
      <c r="CT2700" s="204" t="n"/>
      <c r="CU2700" s="204" t="n"/>
      <c r="CV2700" s="204" t="n"/>
      <c r="CW2700" s="204" t="n"/>
    </row>
    <row r="2701">
      <c r="BF2701" s="78" t="n"/>
      <c r="BG2701" s="78" t="n"/>
      <c r="BH2701" s="78" t="n"/>
      <c r="BI2701" s="78" t="n"/>
      <c r="BJ2701" s="139" t="n"/>
      <c r="BK2701" s="204" t="n"/>
      <c r="BL2701" s="141" t="n"/>
      <c r="BM2701" s="205" t="n"/>
      <c r="BN2701" s="205" t="n"/>
      <c r="BO2701" s="206" t="n"/>
      <c r="BP2701" s="144" t="n"/>
      <c r="BQ2701" s="141" t="n"/>
      <c r="BR2701" s="207" t="n"/>
      <c r="BS2701" s="207" t="n"/>
      <c r="BT2701" s="207" t="n"/>
      <c r="BU2701" s="207" t="n"/>
      <c r="BV2701" s="208" t="n"/>
      <c r="BW2701" s="207" t="n"/>
      <c r="BX2701" s="207" t="n"/>
      <c r="BY2701" s="204" t="n"/>
      <c r="BZ2701" s="148" t="n"/>
      <c r="CA2701" s="204" t="n"/>
      <c r="CB2701" s="208" t="n"/>
      <c r="CC2701" s="139" t="n"/>
      <c r="CD2701" s="204" t="n"/>
      <c r="CE2701" s="204" t="n"/>
      <c r="CF2701" s="207" t="n"/>
      <c r="CG2701" s="208" t="n"/>
      <c r="CH2701" s="207" t="n"/>
      <c r="CI2701" s="208" t="n"/>
      <c r="CJ2701" s="204" t="n"/>
      <c r="CK2701" s="208" t="n"/>
      <c r="CL2701" s="208" t="n"/>
      <c r="CM2701" s="208" t="n"/>
      <c r="CN2701" s="78" t="n"/>
      <c r="CO2701" s="209" t="n"/>
      <c r="CP2701" s="204" t="n"/>
      <c r="CQ2701" s="204" t="n"/>
      <c r="CR2701" s="204" t="n"/>
      <c r="CS2701" s="204" t="n"/>
      <c r="CT2701" s="204" t="n"/>
      <c r="CU2701" s="204" t="n"/>
      <c r="CV2701" s="204" t="n"/>
      <c r="CW2701" s="204" t="n"/>
    </row>
    <row r="2702">
      <c r="BF2702" s="78" t="n"/>
      <c r="BG2702" s="78" t="n"/>
      <c r="BH2702" s="78" t="n"/>
      <c r="BI2702" s="78" t="n"/>
      <c r="BJ2702" s="139" t="n"/>
      <c r="BK2702" s="204" t="n"/>
      <c r="BL2702" s="141" t="n"/>
      <c r="BM2702" s="205" t="n"/>
      <c r="BN2702" s="205" t="n"/>
      <c r="BO2702" s="206" t="n"/>
      <c r="BP2702" s="144" t="n"/>
      <c r="BQ2702" s="141" t="n"/>
      <c r="BR2702" s="207" t="n"/>
      <c r="BS2702" s="207" t="n"/>
      <c r="BT2702" s="207" t="n"/>
      <c r="BU2702" s="207" t="n"/>
      <c r="BV2702" s="208" t="n"/>
      <c r="BW2702" s="207" t="n"/>
      <c r="BX2702" s="207" t="n"/>
      <c r="BY2702" s="204" t="n"/>
      <c r="BZ2702" s="148" t="n"/>
      <c r="CA2702" s="204" t="n"/>
      <c r="CB2702" s="208" t="n"/>
      <c r="CC2702" s="139" t="n"/>
      <c r="CD2702" s="204" t="n"/>
      <c r="CE2702" s="204" t="n"/>
      <c r="CF2702" s="207" t="n"/>
      <c r="CG2702" s="208" t="n"/>
      <c r="CH2702" s="207" t="n"/>
      <c r="CI2702" s="208" t="n"/>
      <c r="CJ2702" s="204" t="n"/>
      <c r="CK2702" s="208" t="n"/>
      <c r="CL2702" s="208" t="n"/>
      <c r="CM2702" s="208" t="n"/>
      <c r="CN2702" s="78" t="n"/>
      <c r="CO2702" s="209" t="n"/>
      <c r="CP2702" s="204" t="n"/>
      <c r="CQ2702" s="204" t="n"/>
      <c r="CR2702" s="204" t="n"/>
      <c r="CS2702" s="204" t="n"/>
      <c r="CT2702" s="204" t="n"/>
      <c r="CU2702" s="204" t="n"/>
      <c r="CV2702" s="204" t="n"/>
      <c r="CW2702" s="204" t="n"/>
    </row>
    <row r="2703">
      <c r="BF2703" s="78" t="n"/>
      <c r="BG2703" s="78" t="n"/>
      <c r="BH2703" s="78" t="n"/>
      <c r="BI2703" s="78" t="n"/>
      <c r="BJ2703" s="139" t="n"/>
      <c r="BK2703" s="204" t="n"/>
      <c r="BL2703" s="141" t="n"/>
      <c r="BM2703" s="205" t="n"/>
      <c r="BN2703" s="205" t="n"/>
      <c r="BO2703" s="206" t="n"/>
      <c r="BP2703" s="144" t="n"/>
      <c r="BQ2703" s="141" t="n"/>
      <c r="BR2703" s="207" t="n"/>
      <c r="BS2703" s="207" t="n"/>
      <c r="BT2703" s="207" t="n"/>
      <c r="BU2703" s="207" t="n"/>
      <c r="BV2703" s="208" t="n"/>
      <c r="BW2703" s="207" t="n"/>
      <c r="BX2703" s="207" t="n"/>
      <c r="BY2703" s="204" t="n"/>
      <c r="BZ2703" s="148" t="n"/>
      <c r="CA2703" s="204" t="n"/>
      <c r="CB2703" s="208" t="n"/>
      <c r="CC2703" s="139" t="n"/>
      <c r="CD2703" s="204" t="n"/>
      <c r="CE2703" s="204" t="n"/>
      <c r="CF2703" s="207" t="n"/>
      <c r="CG2703" s="208" t="n"/>
      <c r="CH2703" s="207" t="n"/>
      <c r="CI2703" s="208" t="n"/>
      <c r="CJ2703" s="204" t="n"/>
      <c r="CK2703" s="208" t="n"/>
      <c r="CL2703" s="208" t="n"/>
      <c r="CM2703" s="208" t="n"/>
      <c r="CN2703" s="78" t="n"/>
      <c r="CO2703" s="209" t="n"/>
      <c r="CP2703" s="204" t="n"/>
      <c r="CQ2703" s="204" t="n"/>
      <c r="CR2703" s="204" t="n"/>
      <c r="CS2703" s="204" t="n"/>
      <c r="CT2703" s="204" t="n"/>
      <c r="CU2703" s="204" t="n"/>
      <c r="CV2703" s="204" t="n"/>
      <c r="CW2703" s="204" t="n"/>
    </row>
    <row r="2704">
      <c r="BF2704" s="78" t="n"/>
      <c r="BG2704" s="78" t="n"/>
      <c r="BH2704" s="78" t="n"/>
      <c r="BI2704" s="78" t="n"/>
      <c r="BJ2704" s="139" t="n"/>
      <c r="BK2704" s="204" t="n"/>
      <c r="BL2704" s="141" t="n"/>
      <c r="BM2704" s="205" t="n"/>
      <c r="BN2704" s="205" t="n"/>
      <c r="BO2704" s="206" t="n"/>
      <c r="BP2704" s="144" t="n"/>
      <c r="BQ2704" s="141" t="n"/>
      <c r="BR2704" s="207" t="n"/>
      <c r="BS2704" s="207" t="n"/>
      <c r="BT2704" s="207" t="n"/>
      <c r="BU2704" s="207" t="n"/>
      <c r="BV2704" s="208" t="n"/>
      <c r="BW2704" s="207" t="n"/>
      <c r="BX2704" s="207" t="n"/>
      <c r="BY2704" s="204" t="n"/>
      <c r="BZ2704" s="148" t="n"/>
      <c r="CA2704" s="204" t="n"/>
      <c r="CB2704" s="208" t="n"/>
      <c r="CC2704" s="139" t="n"/>
      <c r="CD2704" s="204" t="n"/>
      <c r="CE2704" s="204" t="n"/>
      <c r="CF2704" s="207" t="n"/>
      <c r="CG2704" s="208" t="n"/>
      <c r="CH2704" s="207" t="n"/>
      <c r="CI2704" s="208" t="n"/>
      <c r="CJ2704" s="204" t="n"/>
      <c r="CK2704" s="208" t="n"/>
      <c r="CL2704" s="208" t="n"/>
      <c r="CM2704" s="208" t="n"/>
      <c r="CN2704" s="78" t="n"/>
      <c r="CO2704" s="209" t="n"/>
      <c r="CP2704" s="204" t="n"/>
      <c r="CQ2704" s="204" t="n"/>
      <c r="CR2704" s="204" t="n"/>
      <c r="CS2704" s="204" t="n"/>
      <c r="CT2704" s="204" t="n"/>
      <c r="CU2704" s="204" t="n"/>
      <c r="CV2704" s="204" t="n"/>
      <c r="CW2704" s="204" t="n"/>
    </row>
    <row r="2705">
      <c r="BF2705" s="78" t="n"/>
      <c r="BG2705" s="78" t="n"/>
      <c r="BH2705" s="78" t="n"/>
      <c r="BI2705" s="78" t="n"/>
      <c r="BJ2705" s="139" t="n"/>
      <c r="BK2705" s="204" t="n"/>
      <c r="BL2705" s="141" t="n"/>
      <c r="BM2705" s="205" t="n"/>
      <c r="BN2705" s="205" t="n"/>
      <c r="BO2705" s="206" t="n"/>
      <c r="BP2705" s="144" t="n"/>
      <c r="BQ2705" s="141" t="n"/>
      <c r="BR2705" s="207" t="n"/>
      <c r="BS2705" s="207" t="n"/>
      <c r="BT2705" s="207" t="n"/>
      <c r="BU2705" s="207" t="n"/>
      <c r="BV2705" s="208" t="n"/>
      <c r="BW2705" s="207" t="n"/>
      <c r="BX2705" s="207" t="n"/>
      <c r="BY2705" s="204" t="n"/>
      <c r="BZ2705" s="148" t="n"/>
      <c r="CA2705" s="204" t="n"/>
      <c r="CB2705" s="208" t="n"/>
      <c r="CC2705" s="139" t="n"/>
      <c r="CD2705" s="204" t="n"/>
      <c r="CE2705" s="204" t="n"/>
      <c r="CF2705" s="207" t="n"/>
      <c r="CG2705" s="208" t="n"/>
      <c r="CH2705" s="207" t="n"/>
      <c r="CI2705" s="208" t="n"/>
      <c r="CJ2705" s="204" t="n"/>
      <c r="CK2705" s="208" t="n"/>
      <c r="CL2705" s="208" t="n"/>
      <c r="CM2705" s="208" t="n"/>
      <c r="CN2705" s="78" t="n"/>
      <c r="CO2705" s="209" t="n"/>
      <c r="CP2705" s="204" t="n"/>
      <c r="CQ2705" s="204" t="n"/>
      <c r="CR2705" s="204" t="n"/>
      <c r="CS2705" s="204" t="n"/>
      <c r="CT2705" s="204" t="n"/>
      <c r="CU2705" s="204" t="n"/>
      <c r="CV2705" s="204" t="n"/>
      <c r="CW2705" s="204" t="n"/>
    </row>
    <row r="2706">
      <c r="BF2706" s="78" t="n"/>
      <c r="BG2706" s="78" t="n"/>
      <c r="BH2706" s="78" t="n"/>
      <c r="BI2706" s="78" t="n"/>
      <c r="BJ2706" s="139" t="n"/>
      <c r="BK2706" s="204" t="n"/>
      <c r="BL2706" s="141" t="n"/>
      <c r="BM2706" s="205" t="n"/>
      <c r="BN2706" s="205" t="n"/>
      <c r="BO2706" s="206" t="n"/>
      <c r="BP2706" s="144" t="n"/>
      <c r="BQ2706" s="141" t="n"/>
      <c r="BR2706" s="207" t="n"/>
      <c r="BS2706" s="207" t="n"/>
      <c r="BT2706" s="207" t="n"/>
      <c r="BU2706" s="207" t="n"/>
      <c r="BV2706" s="208" t="n"/>
      <c r="BW2706" s="207" t="n"/>
      <c r="BX2706" s="207" t="n"/>
      <c r="BY2706" s="204" t="n"/>
      <c r="BZ2706" s="148" t="n"/>
      <c r="CA2706" s="204" t="n"/>
      <c r="CB2706" s="208" t="n"/>
      <c r="CC2706" s="139" t="n"/>
      <c r="CD2706" s="204" t="n"/>
      <c r="CE2706" s="204" t="n"/>
      <c r="CF2706" s="207" t="n"/>
      <c r="CG2706" s="208" t="n"/>
      <c r="CH2706" s="207" t="n"/>
      <c r="CI2706" s="208" t="n"/>
      <c r="CJ2706" s="204" t="n"/>
      <c r="CK2706" s="208" t="n"/>
      <c r="CL2706" s="208" t="n"/>
      <c r="CM2706" s="208" t="n"/>
      <c r="CN2706" s="78" t="n"/>
      <c r="CO2706" s="209" t="n"/>
      <c r="CP2706" s="204" t="n"/>
      <c r="CQ2706" s="204" t="n"/>
      <c r="CR2706" s="204" t="n"/>
      <c r="CS2706" s="204" t="n"/>
      <c r="CT2706" s="204" t="n"/>
      <c r="CU2706" s="204" t="n"/>
      <c r="CV2706" s="204" t="n"/>
      <c r="CW2706" s="204" t="n"/>
    </row>
    <row r="2707">
      <c r="BF2707" s="78" t="n"/>
      <c r="BG2707" s="78" t="n"/>
      <c r="BH2707" s="78" t="n"/>
      <c r="BI2707" s="78" t="n"/>
      <c r="BJ2707" s="139" t="n"/>
      <c r="BK2707" s="204" t="n"/>
      <c r="BL2707" s="141" t="n"/>
      <c r="BM2707" s="205" t="n"/>
      <c r="BN2707" s="205" t="n"/>
      <c r="BO2707" s="206" t="n"/>
      <c r="BP2707" s="144" t="n"/>
      <c r="BQ2707" s="141" t="n"/>
      <c r="BR2707" s="207" t="n"/>
      <c r="BS2707" s="207" t="n"/>
      <c r="BT2707" s="207" t="n"/>
      <c r="BU2707" s="207" t="n"/>
      <c r="BV2707" s="208" t="n"/>
      <c r="BW2707" s="207" t="n"/>
      <c r="BX2707" s="207" t="n"/>
      <c r="BY2707" s="204" t="n"/>
      <c r="BZ2707" s="148" t="n"/>
      <c r="CA2707" s="204" t="n"/>
      <c r="CB2707" s="208" t="n"/>
      <c r="CC2707" s="139" t="n"/>
      <c r="CD2707" s="204" t="n"/>
      <c r="CE2707" s="204" t="n"/>
      <c r="CF2707" s="207" t="n"/>
      <c r="CG2707" s="208" t="n"/>
      <c r="CH2707" s="207" t="n"/>
      <c r="CI2707" s="208" t="n"/>
      <c r="CJ2707" s="204" t="n"/>
      <c r="CK2707" s="208" t="n"/>
      <c r="CL2707" s="208" t="n"/>
      <c r="CM2707" s="208" t="n"/>
      <c r="CN2707" s="78" t="n"/>
      <c r="CO2707" s="209" t="n"/>
      <c r="CP2707" s="204" t="n"/>
      <c r="CQ2707" s="204" t="n"/>
      <c r="CR2707" s="204" t="n"/>
      <c r="CS2707" s="204" t="n"/>
      <c r="CT2707" s="204" t="n"/>
      <c r="CU2707" s="204" t="n"/>
      <c r="CV2707" s="204" t="n"/>
      <c r="CW2707" s="204" t="n"/>
    </row>
    <row r="2708">
      <c r="BF2708" s="78" t="n"/>
      <c r="BG2708" s="78" t="n"/>
      <c r="BH2708" s="78" t="n"/>
      <c r="BI2708" s="78" t="n"/>
      <c r="BJ2708" s="139" t="n"/>
      <c r="BK2708" s="204" t="n"/>
      <c r="BL2708" s="141" t="n"/>
      <c r="BM2708" s="205" t="n"/>
      <c r="BN2708" s="205" t="n"/>
      <c r="BO2708" s="206" t="n"/>
      <c r="BP2708" s="144" t="n"/>
      <c r="BQ2708" s="141" t="n"/>
      <c r="BR2708" s="207" t="n"/>
      <c r="BS2708" s="207" t="n"/>
      <c r="BT2708" s="207" t="n"/>
      <c r="BU2708" s="207" t="n"/>
      <c r="BV2708" s="208" t="n"/>
      <c r="BW2708" s="207" t="n"/>
      <c r="BX2708" s="207" t="n"/>
      <c r="BY2708" s="204" t="n"/>
      <c r="BZ2708" s="148" t="n"/>
      <c r="CA2708" s="204" t="n"/>
      <c r="CB2708" s="208" t="n"/>
      <c r="CC2708" s="139" t="n"/>
      <c r="CD2708" s="204" t="n"/>
      <c r="CE2708" s="204" t="n"/>
      <c r="CF2708" s="207" t="n"/>
      <c r="CG2708" s="208" t="n"/>
      <c r="CH2708" s="207" t="n"/>
      <c r="CI2708" s="208" t="n"/>
      <c r="CJ2708" s="204" t="n"/>
      <c r="CK2708" s="208" t="n"/>
      <c r="CL2708" s="208" t="n"/>
      <c r="CM2708" s="208" t="n"/>
      <c r="CN2708" s="78" t="n"/>
      <c r="CO2708" s="209" t="n"/>
      <c r="CP2708" s="204" t="n"/>
      <c r="CQ2708" s="204" t="n"/>
      <c r="CR2708" s="204" t="n"/>
      <c r="CS2708" s="204" t="n"/>
      <c r="CT2708" s="204" t="n"/>
      <c r="CU2708" s="204" t="n"/>
      <c r="CV2708" s="204" t="n"/>
      <c r="CW2708" s="204" t="n"/>
    </row>
    <row r="2709">
      <c r="BF2709" s="78" t="n"/>
      <c r="BG2709" s="78" t="n"/>
      <c r="BH2709" s="78" t="n"/>
      <c r="BI2709" s="78" t="n"/>
      <c r="BJ2709" s="139" t="n"/>
      <c r="BK2709" s="204" t="n"/>
      <c r="BL2709" s="141" t="n"/>
      <c r="BM2709" s="205" t="n"/>
      <c r="BN2709" s="205" t="n"/>
      <c r="BO2709" s="206" t="n"/>
      <c r="BP2709" s="144" t="n"/>
      <c r="BQ2709" s="141" t="n"/>
      <c r="BR2709" s="207" t="n"/>
      <c r="BS2709" s="207" t="n"/>
      <c r="BT2709" s="207" t="n"/>
      <c r="BU2709" s="207" t="n"/>
      <c r="BV2709" s="208" t="n"/>
      <c r="BW2709" s="207" t="n"/>
      <c r="BX2709" s="207" t="n"/>
      <c r="BY2709" s="204" t="n"/>
      <c r="BZ2709" s="148" t="n"/>
      <c r="CA2709" s="204" t="n"/>
      <c r="CB2709" s="208" t="n"/>
      <c r="CC2709" s="139" t="n"/>
      <c r="CD2709" s="204" t="n"/>
      <c r="CE2709" s="204" t="n"/>
      <c r="CF2709" s="207" t="n"/>
      <c r="CG2709" s="208" t="n"/>
      <c r="CH2709" s="207" t="n"/>
      <c r="CI2709" s="208" t="n"/>
      <c r="CJ2709" s="204" t="n"/>
      <c r="CK2709" s="208" t="n"/>
      <c r="CL2709" s="208" t="n"/>
      <c r="CM2709" s="208" t="n"/>
      <c r="CN2709" s="78" t="n"/>
      <c r="CO2709" s="209" t="n"/>
      <c r="CP2709" s="204" t="n"/>
      <c r="CQ2709" s="204" t="n"/>
      <c r="CR2709" s="204" t="n"/>
      <c r="CS2709" s="204" t="n"/>
      <c r="CT2709" s="204" t="n"/>
      <c r="CU2709" s="204" t="n"/>
      <c r="CV2709" s="204" t="n"/>
      <c r="CW2709" s="204" t="n"/>
    </row>
    <row r="2710">
      <c r="BF2710" s="78" t="n"/>
      <c r="BG2710" s="78" t="n"/>
      <c r="BH2710" s="78" t="n"/>
      <c r="BI2710" s="78" t="n"/>
      <c r="BJ2710" s="139" t="n"/>
      <c r="BK2710" s="204" t="n"/>
      <c r="BL2710" s="141" t="n"/>
      <c r="BM2710" s="205" t="n"/>
      <c r="BN2710" s="205" t="n"/>
      <c r="BO2710" s="206" t="n"/>
      <c r="BP2710" s="144" t="n"/>
      <c r="BQ2710" s="141" t="n"/>
      <c r="BR2710" s="207" t="n"/>
      <c r="BS2710" s="207" t="n"/>
      <c r="BT2710" s="207" t="n"/>
      <c r="BU2710" s="207" t="n"/>
      <c r="BV2710" s="208" t="n"/>
      <c r="BW2710" s="207" t="n"/>
      <c r="BX2710" s="207" t="n"/>
      <c r="BY2710" s="204" t="n"/>
      <c r="BZ2710" s="148" t="n"/>
      <c r="CA2710" s="204" t="n"/>
      <c r="CB2710" s="208" t="n"/>
      <c r="CC2710" s="139" t="n"/>
      <c r="CD2710" s="204" t="n"/>
      <c r="CE2710" s="204" t="n"/>
      <c r="CF2710" s="207" t="n"/>
      <c r="CG2710" s="208" t="n"/>
      <c r="CH2710" s="207" t="n"/>
      <c r="CI2710" s="208" t="n"/>
      <c r="CJ2710" s="204" t="n"/>
      <c r="CK2710" s="208" t="n"/>
      <c r="CL2710" s="208" t="n"/>
      <c r="CM2710" s="208" t="n"/>
      <c r="CN2710" s="78" t="n"/>
      <c r="CO2710" s="209" t="n"/>
      <c r="CP2710" s="204" t="n"/>
      <c r="CQ2710" s="204" t="n"/>
      <c r="CR2710" s="204" t="n"/>
      <c r="CS2710" s="204" t="n"/>
      <c r="CT2710" s="204" t="n"/>
      <c r="CU2710" s="204" t="n"/>
      <c r="CV2710" s="204" t="n"/>
      <c r="CW2710" s="204" t="n"/>
    </row>
    <row r="2711">
      <c r="BF2711" s="78" t="n"/>
      <c r="BG2711" s="78" t="n"/>
      <c r="BH2711" s="78" t="n"/>
      <c r="BI2711" s="78" t="n"/>
      <c r="BJ2711" s="139" t="n"/>
      <c r="BK2711" s="204" t="n"/>
      <c r="BL2711" s="141" t="n"/>
      <c r="BM2711" s="205" t="n"/>
      <c r="BN2711" s="205" t="n"/>
      <c r="BO2711" s="206" t="n"/>
      <c r="BP2711" s="144" t="n"/>
      <c r="BQ2711" s="141" t="n"/>
      <c r="BR2711" s="207" t="n"/>
      <c r="BS2711" s="207" t="n"/>
      <c r="BT2711" s="207" t="n"/>
      <c r="BU2711" s="207" t="n"/>
      <c r="BV2711" s="208" t="n"/>
      <c r="BW2711" s="207" t="n"/>
      <c r="BX2711" s="207" t="n"/>
      <c r="BY2711" s="204" t="n"/>
      <c r="BZ2711" s="148" t="n"/>
      <c r="CA2711" s="204" t="n"/>
      <c r="CB2711" s="208" t="n"/>
      <c r="CC2711" s="139" t="n"/>
      <c r="CD2711" s="204" t="n"/>
      <c r="CE2711" s="204" t="n"/>
      <c r="CF2711" s="207" t="n"/>
      <c r="CG2711" s="208" t="n"/>
      <c r="CH2711" s="207" t="n"/>
      <c r="CI2711" s="208" t="n"/>
      <c r="CJ2711" s="204" t="n"/>
      <c r="CK2711" s="208" t="n"/>
      <c r="CL2711" s="208" t="n"/>
      <c r="CM2711" s="208" t="n"/>
      <c r="CN2711" s="78" t="n"/>
      <c r="CO2711" s="209" t="n"/>
      <c r="CP2711" s="204" t="n"/>
      <c r="CQ2711" s="204" t="n"/>
      <c r="CR2711" s="204" t="n"/>
      <c r="CS2711" s="204" t="n"/>
      <c r="CT2711" s="204" t="n"/>
      <c r="CU2711" s="204" t="n"/>
      <c r="CV2711" s="204" t="n"/>
      <c r="CW2711" s="204" t="n"/>
    </row>
    <row r="2712">
      <c r="BF2712" s="78" t="n"/>
      <c r="BG2712" s="78" t="n"/>
      <c r="BH2712" s="78" t="n"/>
      <c r="BI2712" s="78" t="n"/>
      <c r="BJ2712" s="139" t="n"/>
      <c r="BK2712" s="204" t="n"/>
      <c r="BL2712" s="141" t="n"/>
      <c r="BM2712" s="205" t="n"/>
      <c r="BN2712" s="205" t="n"/>
      <c r="BO2712" s="206" t="n"/>
      <c r="BP2712" s="144" t="n"/>
      <c r="BQ2712" s="141" t="n"/>
      <c r="BR2712" s="207" t="n"/>
      <c r="BS2712" s="207" t="n"/>
      <c r="BT2712" s="207" t="n"/>
      <c r="BU2712" s="207" t="n"/>
      <c r="BV2712" s="208" t="n"/>
      <c r="BW2712" s="207" t="n"/>
      <c r="BX2712" s="207" t="n"/>
      <c r="BY2712" s="204" t="n"/>
      <c r="BZ2712" s="148" t="n"/>
      <c r="CA2712" s="204" t="n"/>
      <c r="CB2712" s="208" t="n"/>
      <c r="CC2712" s="139" t="n"/>
      <c r="CD2712" s="204" t="n"/>
      <c r="CE2712" s="204" t="n"/>
      <c r="CF2712" s="207" t="n"/>
      <c r="CG2712" s="208" t="n"/>
      <c r="CH2712" s="207" t="n"/>
      <c r="CI2712" s="208" t="n"/>
      <c r="CJ2712" s="204" t="n"/>
      <c r="CK2712" s="208" t="n"/>
      <c r="CL2712" s="208" t="n"/>
      <c r="CM2712" s="208" t="n"/>
      <c r="CN2712" s="78" t="n"/>
      <c r="CO2712" s="209" t="n"/>
      <c r="CP2712" s="204" t="n"/>
      <c r="CQ2712" s="204" t="n"/>
      <c r="CR2712" s="204" t="n"/>
      <c r="CS2712" s="204" t="n"/>
      <c r="CT2712" s="204" t="n"/>
      <c r="CU2712" s="204" t="n"/>
      <c r="CV2712" s="204" t="n"/>
      <c r="CW2712" s="204" t="n"/>
    </row>
    <row r="2713">
      <c r="BF2713" s="78" t="n"/>
      <c r="BG2713" s="78" t="n"/>
      <c r="BH2713" s="78" t="n"/>
      <c r="BI2713" s="78" t="n"/>
      <c r="BJ2713" s="139" t="n"/>
      <c r="BK2713" s="204" t="n"/>
      <c r="BL2713" s="141" t="n"/>
      <c r="BM2713" s="205" t="n"/>
      <c r="BN2713" s="205" t="n"/>
      <c r="BO2713" s="206" t="n"/>
      <c r="BP2713" s="144" t="n"/>
      <c r="BQ2713" s="141" t="n"/>
      <c r="BR2713" s="207" t="n"/>
      <c r="BS2713" s="207" t="n"/>
      <c r="BT2713" s="207" t="n"/>
      <c r="BU2713" s="207" t="n"/>
      <c r="BV2713" s="208" t="n"/>
      <c r="BW2713" s="207" t="n"/>
      <c r="BX2713" s="207" t="n"/>
      <c r="BY2713" s="204" t="n"/>
      <c r="BZ2713" s="148" t="n"/>
      <c r="CA2713" s="204" t="n"/>
      <c r="CB2713" s="208" t="n"/>
      <c r="CC2713" s="139" t="n"/>
      <c r="CD2713" s="204" t="n"/>
      <c r="CE2713" s="204" t="n"/>
      <c r="CF2713" s="207" t="n"/>
      <c r="CG2713" s="208" t="n"/>
      <c r="CH2713" s="207" t="n"/>
      <c r="CI2713" s="208" t="n"/>
      <c r="CJ2713" s="204" t="n"/>
      <c r="CK2713" s="208" t="n"/>
      <c r="CL2713" s="208" t="n"/>
      <c r="CM2713" s="208" t="n"/>
      <c r="CN2713" s="78" t="n"/>
      <c r="CO2713" s="209" t="n"/>
      <c r="CP2713" s="204" t="n"/>
      <c r="CQ2713" s="204" t="n"/>
      <c r="CR2713" s="204" t="n"/>
      <c r="CS2713" s="204" t="n"/>
      <c r="CT2713" s="204" t="n"/>
      <c r="CU2713" s="204" t="n"/>
      <c r="CV2713" s="204" t="n"/>
      <c r="CW2713" s="204" t="n"/>
    </row>
    <row r="2714">
      <c r="BF2714" s="78" t="n"/>
      <c r="BG2714" s="78" t="n"/>
      <c r="BH2714" s="78" t="n"/>
      <c r="BI2714" s="78" t="n"/>
      <c r="BJ2714" s="139" t="n"/>
      <c r="BK2714" s="204" t="n"/>
      <c r="BL2714" s="141" t="n"/>
      <c r="BM2714" s="205" t="n"/>
      <c r="BN2714" s="205" t="n"/>
      <c r="BO2714" s="206" t="n"/>
      <c r="BP2714" s="144" t="n"/>
      <c r="BQ2714" s="141" t="n"/>
      <c r="BR2714" s="207" t="n"/>
      <c r="BS2714" s="207" t="n"/>
      <c r="BT2714" s="207" t="n"/>
      <c r="BU2714" s="207" t="n"/>
      <c r="BV2714" s="208" t="n"/>
      <c r="BW2714" s="207" t="n"/>
      <c r="BX2714" s="207" t="n"/>
      <c r="BY2714" s="204" t="n"/>
      <c r="BZ2714" s="148" t="n"/>
      <c r="CA2714" s="204" t="n"/>
      <c r="CB2714" s="208" t="n"/>
      <c r="CC2714" s="139" t="n"/>
      <c r="CD2714" s="204" t="n"/>
      <c r="CE2714" s="204" t="n"/>
      <c r="CF2714" s="207" t="n"/>
      <c r="CG2714" s="208" t="n"/>
      <c r="CH2714" s="207" t="n"/>
      <c r="CI2714" s="208" t="n"/>
      <c r="CJ2714" s="204" t="n"/>
      <c r="CK2714" s="208" t="n"/>
      <c r="CL2714" s="208" t="n"/>
      <c r="CM2714" s="208" t="n"/>
      <c r="CN2714" s="78" t="n"/>
      <c r="CO2714" s="209" t="n"/>
      <c r="CP2714" s="204" t="n"/>
      <c r="CQ2714" s="204" t="n"/>
      <c r="CR2714" s="204" t="n"/>
      <c r="CS2714" s="204" t="n"/>
      <c r="CT2714" s="204" t="n"/>
      <c r="CU2714" s="204" t="n"/>
      <c r="CV2714" s="204" t="n"/>
      <c r="CW2714" s="204" t="n"/>
    </row>
    <row r="2715">
      <c r="BF2715" s="78" t="n"/>
      <c r="BG2715" s="78" t="n"/>
      <c r="BH2715" s="78" t="n"/>
      <c r="BI2715" s="78" t="n"/>
      <c r="BJ2715" s="139" t="n"/>
      <c r="BK2715" s="204" t="n"/>
      <c r="BL2715" s="141" t="n"/>
      <c r="BM2715" s="205" t="n"/>
      <c r="BN2715" s="205" t="n"/>
      <c r="BO2715" s="206" t="n"/>
      <c r="BP2715" s="144" t="n"/>
      <c r="BQ2715" s="141" t="n"/>
      <c r="BR2715" s="207" t="n"/>
      <c r="BS2715" s="207" t="n"/>
      <c r="BT2715" s="207" t="n"/>
      <c r="BU2715" s="207" t="n"/>
      <c r="BV2715" s="208" t="n"/>
      <c r="BW2715" s="207" t="n"/>
      <c r="BX2715" s="207" t="n"/>
      <c r="BY2715" s="204" t="n"/>
      <c r="BZ2715" s="148" t="n"/>
      <c r="CA2715" s="204" t="n"/>
      <c r="CB2715" s="208" t="n"/>
      <c r="CC2715" s="139" t="n"/>
      <c r="CD2715" s="204" t="n"/>
      <c r="CE2715" s="204" t="n"/>
      <c r="CF2715" s="207" t="n"/>
      <c r="CG2715" s="208" t="n"/>
      <c r="CH2715" s="207" t="n"/>
      <c r="CI2715" s="208" t="n"/>
      <c r="CJ2715" s="204" t="n"/>
      <c r="CK2715" s="208" t="n"/>
      <c r="CL2715" s="208" t="n"/>
      <c r="CM2715" s="208" t="n"/>
      <c r="CN2715" s="78" t="n"/>
      <c r="CO2715" s="209" t="n"/>
      <c r="CP2715" s="204" t="n"/>
      <c r="CQ2715" s="204" t="n"/>
      <c r="CR2715" s="204" t="n"/>
      <c r="CS2715" s="204" t="n"/>
      <c r="CT2715" s="204" t="n"/>
      <c r="CU2715" s="204" t="n"/>
      <c r="CV2715" s="204" t="n"/>
      <c r="CW2715" s="204" t="n"/>
    </row>
    <row r="2716">
      <c r="BF2716" s="78" t="n"/>
      <c r="BG2716" s="78" t="n"/>
      <c r="BH2716" s="78" t="n"/>
      <c r="BI2716" s="78" t="n"/>
      <c r="BJ2716" s="139" t="n"/>
      <c r="BK2716" s="204" t="n"/>
      <c r="BL2716" s="141" t="n"/>
      <c r="BM2716" s="205" t="n"/>
      <c r="BN2716" s="205" t="n"/>
      <c r="BO2716" s="206" t="n"/>
      <c r="BP2716" s="144" t="n"/>
      <c r="BQ2716" s="141" t="n"/>
      <c r="BR2716" s="207" t="n"/>
      <c r="BS2716" s="207" t="n"/>
      <c r="BT2716" s="207" t="n"/>
      <c r="BU2716" s="207" t="n"/>
      <c r="BV2716" s="208" t="n"/>
      <c r="BW2716" s="207" t="n"/>
      <c r="BX2716" s="207" t="n"/>
      <c r="BY2716" s="204" t="n"/>
      <c r="BZ2716" s="148" t="n"/>
      <c r="CA2716" s="204" t="n"/>
      <c r="CB2716" s="208" t="n"/>
      <c r="CC2716" s="139" t="n"/>
      <c r="CD2716" s="204" t="n"/>
      <c r="CE2716" s="204" t="n"/>
      <c r="CF2716" s="207" t="n"/>
      <c r="CG2716" s="208" t="n"/>
      <c r="CH2716" s="207" t="n"/>
      <c r="CI2716" s="208" t="n"/>
      <c r="CJ2716" s="204" t="n"/>
      <c r="CK2716" s="208" t="n"/>
      <c r="CL2716" s="208" t="n"/>
      <c r="CM2716" s="208" t="n"/>
      <c r="CN2716" s="78" t="n"/>
      <c r="CO2716" s="209" t="n"/>
      <c r="CP2716" s="204" t="n"/>
      <c r="CQ2716" s="204" t="n"/>
      <c r="CR2716" s="204" t="n"/>
      <c r="CS2716" s="204" t="n"/>
      <c r="CT2716" s="204" t="n"/>
      <c r="CU2716" s="204" t="n"/>
      <c r="CV2716" s="204" t="n"/>
      <c r="CW2716" s="204" t="n"/>
    </row>
    <row r="2717">
      <c r="BF2717" s="78" t="n"/>
      <c r="BG2717" s="78" t="n"/>
      <c r="BH2717" s="78" t="n"/>
      <c r="BI2717" s="78" t="n"/>
      <c r="BJ2717" s="139" t="n"/>
      <c r="BK2717" s="204" t="n"/>
      <c r="BL2717" s="141" t="n"/>
      <c r="BM2717" s="205" t="n"/>
      <c r="BN2717" s="205" t="n"/>
      <c r="BO2717" s="206" t="n"/>
      <c r="BP2717" s="144" t="n"/>
      <c r="BQ2717" s="141" t="n"/>
      <c r="BR2717" s="207" t="n"/>
      <c r="BS2717" s="207" t="n"/>
      <c r="BT2717" s="207" t="n"/>
      <c r="BU2717" s="207" t="n"/>
      <c r="BV2717" s="208" t="n"/>
      <c r="BW2717" s="207" t="n"/>
      <c r="BX2717" s="207" t="n"/>
      <c r="BY2717" s="204" t="n"/>
      <c r="BZ2717" s="148" t="n"/>
      <c r="CA2717" s="204" t="n"/>
      <c r="CB2717" s="208" t="n"/>
      <c r="CC2717" s="139" t="n"/>
      <c r="CD2717" s="204" t="n"/>
      <c r="CE2717" s="204" t="n"/>
      <c r="CF2717" s="207" t="n"/>
      <c r="CG2717" s="208" t="n"/>
      <c r="CH2717" s="207" t="n"/>
      <c r="CI2717" s="208" t="n"/>
      <c r="CJ2717" s="204" t="n"/>
      <c r="CK2717" s="208" t="n"/>
      <c r="CL2717" s="208" t="n"/>
      <c r="CM2717" s="208" t="n"/>
      <c r="CN2717" s="78" t="n"/>
      <c r="CO2717" s="209" t="n"/>
      <c r="CP2717" s="204" t="n"/>
      <c r="CQ2717" s="204" t="n"/>
      <c r="CR2717" s="204" t="n"/>
      <c r="CS2717" s="204" t="n"/>
      <c r="CT2717" s="204" t="n"/>
      <c r="CU2717" s="204" t="n"/>
      <c r="CV2717" s="204" t="n"/>
      <c r="CW2717" s="204" t="n"/>
    </row>
    <row r="2718">
      <c r="BF2718" s="78" t="n"/>
      <c r="BG2718" s="78" t="n"/>
      <c r="BH2718" s="78" t="n"/>
      <c r="BI2718" s="78" t="n"/>
      <c r="BJ2718" s="139" t="n"/>
      <c r="BK2718" s="204" t="n"/>
      <c r="BL2718" s="141" t="n"/>
      <c r="BM2718" s="205" t="n"/>
      <c r="BN2718" s="205" t="n"/>
      <c r="BO2718" s="206" t="n"/>
      <c r="BP2718" s="144" t="n"/>
      <c r="BQ2718" s="141" t="n"/>
      <c r="BR2718" s="207" t="n"/>
      <c r="BS2718" s="207" t="n"/>
      <c r="BT2718" s="207" t="n"/>
      <c r="BU2718" s="207" t="n"/>
      <c r="BV2718" s="208" t="n"/>
      <c r="BW2718" s="207" t="n"/>
      <c r="BX2718" s="207" t="n"/>
      <c r="BY2718" s="204" t="n"/>
      <c r="BZ2718" s="148" t="n"/>
      <c r="CA2718" s="204" t="n"/>
      <c r="CB2718" s="208" t="n"/>
      <c r="CC2718" s="139" t="n"/>
      <c r="CD2718" s="204" t="n"/>
      <c r="CE2718" s="204" t="n"/>
      <c r="CF2718" s="207" t="n"/>
      <c r="CG2718" s="208" t="n"/>
      <c r="CH2718" s="207" t="n"/>
      <c r="CI2718" s="208" t="n"/>
      <c r="CJ2718" s="204" t="n"/>
      <c r="CK2718" s="208" t="n"/>
      <c r="CL2718" s="208" t="n"/>
      <c r="CM2718" s="208" t="n"/>
      <c r="CN2718" s="78" t="n"/>
      <c r="CO2718" s="209" t="n"/>
      <c r="CP2718" s="204" t="n"/>
      <c r="CQ2718" s="204" t="n"/>
      <c r="CR2718" s="204" t="n"/>
      <c r="CS2718" s="204" t="n"/>
      <c r="CT2718" s="204" t="n"/>
      <c r="CU2718" s="204" t="n"/>
      <c r="CV2718" s="204" t="n"/>
      <c r="CW2718" s="204" t="n"/>
    </row>
    <row r="2719">
      <c r="BF2719" s="78" t="n"/>
      <c r="BG2719" s="78" t="n"/>
      <c r="BH2719" s="78" t="n"/>
      <c r="BI2719" s="78" t="n"/>
      <c r="BJ2719" s="139" t="n"/>
      <c r="BK2719" s="204" t="n"/>
      <c r="BL2719" s="141" t="n"/>
      <c r="BM2719" s="205" t="n"/>
      <c r="BN2719" s="205" t="n"/>
      <c r="BO2719" s="206" t="n"/>
      <c r="BP2719" s="144" t="n"/>
      <c r="BQ2719" s="141" t="n"/>
      <c r="BR2719" s="207" t="n"/>
      <c r="BS2719" s="207" t="n"/>
      <c r="BT2719" s="207" t="n"/>
      <c r="BU2719" s="207" t="n"/>
      <c r="BV2719" s="208" t="n"/>
      <c r="BW2719" s="207" t="n"/>
      <c r="BX2719" s="207" t="n"/>
      <c r="BY2719" s="204" t="n"/>
      <c r="BZ2719" s="148" t="n"/>
      <c r="CA2719" s="204" t="n"/>
      <c r="CB2719" s="208" t="n"/>
      <c r="CC2719" s="139" t="n"/>
      <c r="CD2719" s="204" t="n"/>
      <c r="CE2719" s="204" t="n"/>
      <c r="CF2719" s="207" t="n"/>
      <c r="CG2719" s="208" t="n"/>
      <c r="CH2719" s="207" t="n"/>
      <c r="CI2719" s="208" t="n"/>
      <c r="CJ2719" s="204" t="n"/>
      <c r="CK2719" s="208" t="n"/>
      <c r="CL2719" s="208" t="n"/>
      <c r="CM2719" s="208" t="n"/>
      <c r="CN2719" s="78" t="n"/>
      <c r="CO2719" s="209" t="n"/>
      <c r="CP2719" s="204" t="n"/>
      <c r="CQ2719" s="204" t="n"/>
      <c r="CR2719" s="204" t="n"/>
      <c r="CS2719" s="204" t="n"/>
      <c r="CT2719" s="204" t="n"/>
      <c r="CU2719" s="204" t="n"/>
      <c r="CV2719" s="204" t="n"/>
      <c r="CW2719" s="204" t="n"/>
    </row>
    <row r="2720">
      <c r="AR2720" s="151" t="n"/>
      <c r="BF2720" s="78" t="n"/>
      <c r="BG2720" s="78" t="n"/>
      <c r="BH2720" s="78" t="n"/>
      <c r="BI2720" s="78" t="n"/>
      <c r="BJ2720" s="139" t="n"/>
      <c r="BK2720" s="204" t="n"/>
      <c r="BL2720" s="141" t="n"/>
      <c r="BM2720" s="205" t="n"/>
      <c r="BN2720" s="205" t="n"/>
      <c r="BO2720" s="206" t="n"/>
      <c r="BP2720" s="144" t="n"/>
      <c r="BQ2720" s="141" t="n"/>
      <c r="BR2720" s="207" t="n"/>
      <c r="BS2720" s="207" t="n"/>
      <c r="BT2720" s="207" t="n"/>
      <c r="BU2720" s="207" t="n"/>
      <c r="BV2720" s="208" t="n"/>
      <c r="BW2720" s="207" t="n"/>
      <c r="BX2720" s="207" t="n"/>
      <c r="BY2720" s="204" t="n"/>
      <c r="BZ2720" s="148" t="n"/>
      <c r="CA2720" s="204" t="n"/>
      <c r="CB2720" s="208" t="n"/>
      <c r="CC2720" s="139" t="n"/>
      <c r="CD2720" s="204" t="n"/>
      <c r="CE2720" s="204" t="n"/>
      <c r="CF2720" s="207" t="n"/>
      <c r="CG2720" s="208" t="n"/>
      <c r="CH2720" s="207" t="n"/>
      <c r="CI2720" s="208" t="n"/>
      <c r="CJ2720" s="204" t="n"/>
      <c r="CK2720" s="208" t="n"/>
      <c r="CL2720" s="208" t="n"/>
      <c r="CM2720" s="208" t="n"/>
      <c r="CN2720" s="78" t="n"/>
      <c r="CO2720" s="209" t="n"/>
      <c r="CP2720" s="204" t="n"/>
      <c r="CQ2720" s="204" t="n"/>
      <c r="CR2720" s="204" t="n"/>
      <c r="CS2720" s="204" t="n"/>
      <c r="CT2720" s="204" t="n"/>
      <c r="CU2720" s="204" t="n"/>
      <c r="CV2720" s="204" t="n"/>
      <c r="CW2720" s="204" t="n"/>
    </row>
    <row r="2721">
      <c r="AR2721" s="151" t="n"/>
      <c r="BF2721" s="78" t="n"/>
      <c r="BG2721" s="78" t="n"/>
      <c r="BH2721" s="78" t="n"/>
      <c r="BI2721" s="78" t="n"/>
      <c r="BJ2721" s="139" t="n"/>
      <c r="BK2721" s="204" t="n"/>
      <c r="BL2721" s="141" t="n"/>
      <c r="BM2721" s="205" t="n"/>
      <c r="BN2721" s="205" t="n"/>
      <c r="BO2721" s="206" t="n"/>
      <c r="BP2721" s="144" t="n"/>
      <c r="BQ2721" s="141" t="n"/>
      <c r="BR2721" s="207" t="n"/>
      <c r="BS2721" s="207" t="n"/>
      <c r="BT2721" s="207" t="n"/>
      <c r="BU2721" s="207" t="n"/>
      <c r="BV2721" s="208" t="n"/>
      <c r="BW2721" s="207" t="n"/>
      <c r="BX2721" s="207" t="n"/>
      <c r="BY2721" s="204" t="n"/>
      <c r="BZ2721" s="148" t="n"/>
      <c r="CA2721" s="204" t="n"/>
      <c r="CB2721" s="208" t="n"/>
      <c r="CC2721" s="139" t="n"/>
      <c r="CD2721" s="204" t="n"/>
      <c r="CE2721" s="204" t="n"/>
      <c r="CF2721" s="207" t="n"/>
      <c r="CG2721" s="208" t="n"/>
      <c r="CH2721" s="207" t="n"/>
      <c r="CI2721" s="208" t="n"/>
      <c r="CJ2721" s="204" t="n"/>
      <c r="CK2721" s="208" t="n"/>
      <c r="CL2721" s="208" t="n"/>
      <c r="CM2721" s="208" t="n"/>
      <c r="CN2721" s="78" t="n"/>
      <c r="CO2721" s="209" t="n"/>
      <c r="CP2721" s="204" t="n"/>
      <c r="CQ2721" s="204" t="n"/>
      <c r="CR2721" s="204" t="n"/>
      <c r="CS2721" s="204" t="n"/>
      <c r="CT2721" s="204" t="n"/>
      <c r="CU2721" s="204" t="n"/>
      <c r="CV2721" s="204" t="n"/>
      <c r="CW2721" s="204" t="n"/>
    </row>
    <row r="2722">
      <c r="AR2722" s="151" t="n"/>
      <c r="BF2722" s="78" t="n"/>
      <c r="BG2722" s="78" t="n"/>
      <c r="BH2722" s="78" t="n"/>
      <c r="BI2722" s="78" t="n"/>
      <c r="BJ2722" s="139" t="n"/>
      <c r="BK2722" s="204" t="n"/>
      <c r="BL2722" s="141" t="n"/>
      <c r="BM2722" s="205" t="n"/>
      <c r="BN2722" s="205" t="n"/>
      <c r="BO2722" s="206" t="n"/>
      <c r="BP2722" s="144" t="n"/>
      <c r="BQ2722" s="141" t="n"/>
      <c r="BR2722" s="207" t="n"/>
      <c r="BS2722" s="207" t="n"/>
      <c r="BT2722" s="207" t="n"/>
      <c r="BU2722" s="207" t="n"/>
      <c r="BV2722" s="208" t="n"/>
      <c r="BW2722" s="207" t="n"/>
      <c r="BX2722" s="207" t="n"/>
      <c r="BY2722" s="204" t="n"/>
      <c r="BZ2722" s="148" t="n"/>
      <c r="CA2722" s="204" t="n"/>
      <c r="CB2722" s="208" t="n"/>
      <c r="CC2722" s="139" t="n"/>
      <c r="CD2722" s="204" t="n"/>
      <c r="CE2722" s="204" t="n"/>
      <c r="CF2722" s="207" t="n"/>
      <c r="CG2722" s="208" t="n"/>
      <c r="CH2722" s="207" t="n"/>
      <c r="CI2722" s="208" t="n"/>
      <c r="CJ2722" s="204" t="n"/>
      <c r="CK2722" s="208" t="n"/>
      <c r="CL2722" s="208" t="n"/>
      <c r="CM2722" s="208" t="n"/>
      <c r="CN2722" s="78" t="n"/>
      <c r="CO2722" s="209" t="n"/>
      <c r="CP2722" s="204" t="n"/>
      <c r="CQ2722" s="204" t="n"/>
      <c r="CR2722" s="204" t="n"/>
      <c r="CS2722" s="204" t="n"/>
      <c r="CT2722" s="204" t="n"/>
      <c r="CU2722" s="204" t="n"/>
      <c r="CV2722" s="204" t="n"/>
      <c r="CW2722" s="204" t="n"/>
    </row>
    <row r="2723">
      <c r="AR2723" s="151" t="n"/>
      <c r="BF2723" s="78" t="n"/>
      <c r="BG2723" s="78" t="n"/>
      <c r="BH2723" s="78" t="n"/>
      <c r="BI2723" s="78" t="n"/>
      <c r="BJ2723" s="139" t="n"/>
      <c r="BK2723" s="204" t="n"/>
      <c r="BL2723" s="141" t="n"/>
      <c r="BM2723" s="205" t="n"/>
      <c r="BN2723" s="205" t="n"/>
      <c r="BO2723" s="206" t="n"/>
      <c r="BP2723" s="144" t="n"/>
      <c r="BQ2723" s="141" t="n"/>
      <c r="BR2723" s="207" t="n"/>
      <c r="BS2723" s="207" t="n"/>
      <c r="BT2723" s="207" t="n"/>
      <c r="BU2723" s="207" t="n"/>
      <c r="BV2723" s="208" t="n"/>
      <c r="BW2723" s="207" t="n"/>
      <c r="BX2723" s="207" t="n"/>
      <c r="BY2723" s="204" t="n"/>
      <c r="BZ2723" s="148" t="n"/>
      <c r="CA2723" s="204" t="n"/>
      <c r="CB2723" s="208" t="n"/>
      <c r="CC2723" s="139" t="n"/>
      <c r="CD2723" s="204" t="n"/>
      <c r="CE2723" s="204" t="n"/>
      <c r="CF2723" s="207" t="n"/>
      <c r="CG2723" s="208" t="n"/>
      <c r="CH2723" s="207" t="n"/>
      <c r="CI2723" s="208" t="n"/>
      <c r="CJ2723" s="204" t="n"/>
      <c r="CK2723" s="208" t="n"/>
      <c r="CL2723" s="208" t="n"/>
      <c r="CM2723" s="208" t="n"/>
      <c r="CN2723" s="78" t="n"/>
      <c r="CO2723" s="209" t="n"/>
      <c r="CP2723" s="204" t="n"/>
      <c r="CQ2723" s="204" t="n"/>
      <c r="CR2723" s="204" t="n"/>
      <c r="CS2723" s="204" t="n"/>
      <c r="CT2723" s="204" t="n"/>
      <c r="CU2723" s="204" t="n"/>
      <c r="CV2723" s="204" t="n"/>
      <c r="CW2723" s="204" t="n"/>
    </row>
    <row r="2724">
      <c r="BF2724" s="78" t="n"/>
      <c r="BG2724" s="78" t="n"/>
      <c r="BH2724" s="78" t="n"/>
      <c r="BI2724" s="78" t="n"/>
      <c r="BJ2724" s="139" t="n"/>
      <c r="BK2724" s="204" t="n"/>
      <c r="BL2724" s="141" t="n"/>
      <c r="BM2724" s="205" t="n"/>
      <c r="BN2724" s="205" t="n"/>
      <c r="BO2724" s="206" t="n"/>
      <c r="BP2724" s="144" t="n"/>
      <c r="BQ2724" s="141" t="n"/>
      <c r="BR2724" s="207" t="n"/>
      <c r="BS2724" s="207" t="n"/>
      <c r="BT2724" s="207" t="n"/>
      <c r="BU2724" s="207" t="n"/>
      <c r="BV2724" s="208" t="n"/>
      <c r="BW2724" s="207" t="n"/>
      <c r="BX2724" s="207" t="n"/>
      <c r="BY2724" s="204" t="n"/>
      <c r="BZ2724" s="148" t="n"/>
      <c r="CA2724" s="204" t="n"/>
      <c r="CB2724" s="208" t="n"/>
      <c r="CC2724" s="139" t="n"/>
      <c r="CD2724" s="204" t="n"/>
      <c r="CE2724" s="204" t="n"/>
      <c r="CF2724" s="207" t="n"/>
      <c r="CG2724" s="208" t="n"/>
      <c r="CH2724" s="207" t="n"/>
      <c r="CI2724" s="208" t="n"/>
      <c r="CJ2724" s="204" t="n"/>
      <c r="CK2724" s="208" t="n"/>
      <c r="CL2724" s="208" t="n"/>
      <c r="CM2724" s="208" t="n"/>
      <c r="CN2724" s="78" t="n"/>
      <c r="CO2724" s="209" t="n"/>
      <c r="CP2724" s="204" t="n"/>
      <c r="CQ2724" s="204" t="n"/>
      <c r="CR2724" s="204" t="n"/>
      <c r="CS2724" s="204" t="n"/>
      <c r="CT2724" s="204" t="n"/>
      <c r="CU2724" s="204" t="n"/>
      <c r="CV2724" s="204" t="n"/>
      <c r="CW2724" s="204" t="n"/>
    </row>
    <row r="2725">
      <c r="BF2725" s="78" t="n"/>
      <c r="BG2725" s="78" t="n"/>
      <c r="BH2725" s="78" t="n"/>
      <c r="BI2725" s="78" t="n"/>
      <c r="BJ2725" s="139" t="n"/>
      <c r="BK2725" s="204" t="n"/>
      <c r="BL2725" s="141" t="n"/>
      <c r="BM2725" s="205" t="n"/>
      <c r="BN2725" s="205" t="n"/>
      <c r="BO2725" s="206" t="n"/>
      <c r="BP2725" s="144" t="n"/>
      <c r="BQ2725" s="141" t="n"/>
      <c r="BR2725" s="207" t="n"/>
      <c r="BS2725" s="207" t="n"/>
      <c r="BT2725" s="207" t="n"/>
      <c r="BU2725" s="207" t="n"/>
      <c r="BV2725" s="208" t="n"/>
      <c r="BW2725" s="207" t="n"/>
      <c r="BX2725" s="207" t="n"/>
      <c r="BY2725" s="204" t="n"/>
      <c r="BZ2725" s="148" t="n"/>
      <c r="CA2725" s="204" t="n"/>
      <c r="CB2725" s="208" t="n"/>
      <c r="CC2725" s="139" t="n"/>
      <c r="CD2725" s="204" t="n"/>
      <c r="CE2725" s="204" t="n"/>
      <c r="CF2725" s="207" t="n"/>
      <c r="CG2725" s="208" t="n"/>
      <c r="CH2725" s="207" t="n"/>
      <c r="CI2725" s="208" t="n"/>
      <c r="CJ2725" s="204" t="n"/>
      <c r="CK2725" s="208" t="n"/>
      <c r="CL2725" s="208" t="n"/>
      <c r="CM2725" s="208" t="n"/>
      <c r="CN2725" s="78" t="n"/>
      <c r="CO2725" s="209" t="n"/>
      <c r="CP2725" s="204" t="n"/>
      <c r="CQ2725" s="204" t="n"/>
      <c r="CR2725" s="204" t="n"/>
      <c r="CS2725" s="204" t="n"/>
      <c r="CT2725" s="204" t="n"/>
      <c r="CU2725" s="204" t="n"/>
      <c r="CV2725" s="204" t="n"/>
      <c r="CW2725" s="204" t="n"/>
    </row>
    <row r="2726">
      <c r="BF2726" s="78" t="n"/>
      <c r="BG2726" s="78" t="n"/>
      <c r="BH2726" s="78" t="n"/>
      <c r="BI2726" s="78" t="n"/>
      <c r="BJ2726" s="139" t="n"/>
      <c r="BK2726" s="204" t="n"/>
      <c r="BL2726" s="141" t="n"/>
      <c r="BM2726" s="205" t="n"/>
      <c r="BN2726" s="205" t="n"/>
      <c r="BO2726" s="206" t="n"/>
      <c r="BP2726" s="144" t="n"/>
      <c r="BQ2726" s="141" t="n"/>
      <c r="BR2726" s="207" t="n"/>
      <c r="BS2726" s="207" t="n"/>
      <c r="BT2726" s="207" t="n"/>
      <c r="BU2726" s="207" t="n"/>
      <c r="BV2726" s="208" t="n"/>
      <c r="BW2726" s="207" t="n"/>
      <c r="BX2726" s="207" t="n"/>
      <c r="BY2726" s="204" t="n"/>
      <c r="BZ2726" s="148" t="n"/>
      <c r="CA2726" s="204" t="n"/>
      <c r="CB2726" s="208" t="n"/>
      <c r="CC2726" s="139" t="n"/>
      <c r="CD2726" s="204" t="n"/>
      <c r="CE2726" s="204" t="n"/>
      <c r="CF2726" s="207" t="n"/>
      <c r="CG2726" s="208" t="n"/>
      <c r="CH2726" s="207" t="n"/>
      <c r="CI2726" s="208" t="n"/>
      <c r="CJ2726" s="204" t="n"/>
      <c r="CK2726" s="208" t="n"/>
      <c r="CL2726" s="208" t="n"/>
      <c r="CM2726" s="208" t="n"/>
      <c r="CN2726" s="78" t="n"/>
      <c r="CO2726" s="209" t="n"/>
      <c r="CP2726" s="204" t="n"/>
      <c r="CQ2726" s="204" t="n"/>
      <c r="CR2726" s="204" t="n"/>
      <c r="CS2726" s="204" t="n"/>
      <c r="CT2726" s="204" t="n"/>
      <c r="CU2726" s="204" t="n"/>
      <c r="CV2726" s="204" t="n"/>
      <c r="CW2726" s="204" t="n"/>
    </row>
    <row r="2727">
      <c r="BF2727" s="78" t="n"/>
      <c r="BG2727" s="78" t="n"/>
      <c r="BH2727" s="78" t="n"/>
      <c r="BI2727" s="78" t="n"/>
      <c r="BJ2727" s="139" t="n"/>
      <c r="BK2727" s="204" t="n"/>
      <c r="BL2727" s="141" t="n"/>
      <c r="BM2727" s="205" t="n"/>
      <c r="BN2727" s="205" t="n"/>
      <c r="BO2727" s="206" t="n"/>
      <c r="BP2727" s="144" t="n"/>
      <c r="BQ2727" s="141" t="n"/>
      <c r="BR2727" s="207" t="n"/>
      <c r="BS2727" s="207" t="n"/>
      <c r="BT2727" s="207" t="n"/>
      <c r="BU2727" s="207" t="n"/>
      <c r="BV2727" s="208" t="n"/>
      <c r="BW2727" s="207" t="n"/>
      <c r="BX2727" s="207" t="n"/>
      <c r="BY2727" s="204" t="n"/>
      <c r="BZ2727" s="148" t="n"/>
      <c r="CA2727" s="204" t="n"/>
      <c r="CB2727" s="208" t="n"/>
      <c r="CC2727" s="139" t="n"/>
      <c r="CD2727" s="204" t="n"/>
      <c r="CE2727" s="204" t="n"/>
      <c r="CF2727" s="207" t="n"/>
      <c r="CG2727" s="208" t="n"/>
      <c r="CH2727" s="207" t="n"/>
      <c r="CI2727" s="208" t="n"/>
      <c r="CJ2727" s="204" t="n"/>
      <c r="CK2727" s="208" t="n"/>
      <c r="CL2727" s="208" t="n"/>
      <c r="CM2727" s="208" t="n"/>
      <c r="CN2727" s="78" t="n"/>
      <c r="CO2727" s="209" t="n"/>
      <c r="CP2727" s="204" t="n"/>
      <c r="CQ2727" s="204" t="n"/>
      <c r="CR2727" s="204" t="n"/>
      <c r="CS2727" s="204" t="n"/>
      <c r="CT2727" s="204" t="n"/>
      <c r="CU2727" s="204" t="n"/>
      <c r="CV2727" s="204" t="n"/>
      <c r="CW2727" s="204" t="n"/>
    </row>
    <row r="2728">
      <c r="BF2728" s="78" t="n"/>
      <c r="BG2728" s="78" t="n"/>
      <c r="BH2728" s="78" t="n"/>
      <c r="BI2728" s="78" t="n"/>
      <c r="BJ2728" s="139" t="n"/>
      <c r="BK2728" s="204" t="n"/>
      <c r="BL2728" s="141" t="n"/>
      <c r="BM2728" s="205" t="n"/>
      <c r="BN2728" s="205" t="n"/>
      <c r="BO2728" s="206" t="n"/>
      <c r="BP2728" s="144" t="n"/>
      <c r="BQ2728" s="141" t="n"/>
      <c r="BR2728" s="207" t="n"/>
      <c r="BS2728" s="207" t="n"/>
      <c r="BT2728" s="207" t="n"/>
      <c r="BU2728" s="207" t="n"/>
      <c r="BV2728" s="208" t="n"/>
      <c r="BW2728" s="207" t="n"/>
      <c r="BX2728" s="207" t="n"/>
      <c r="BY2728" s="204" t="n"/>
      <c r="BZ2728" s="148" t="n"/>
      <c r="CA2728" s="204" t="n"/>
      <c r="CB2728" s="208" t="n"/>
      <c r="CC2728" s="139" t="n"/>
      <c r="CD2728" s="204" t="n"/>
      <c r="CE2728" s="204" t="n"/>
      <c r="CF2728" s="207" t="n"/>
      <c r="CG2728" s="208" t="n"/>
      <c r="CH2728" s="207" t="n"/>
      <c r="CI2728" s="208" t="n"/>
      <c r="CJ2728" s="204" t="n"/>
      <c r="CK2728" s="208" t="n"/>
      <c r="CL2728" s="208" t="n"/>
      <c r="CM2728" s="208" t="n"/>
      <c r="CN2728" s="78" t="n"/>
      <c r="CO2728" s="209" t="n"/>
      <c r="CP2728" s="204" t="n"/>
      <c r="CQ2728" s="204" t="n"/>
      <c r="CR2728" s="204" t="n"/>
      <c r="CS2728" s="204" t="n"/>
      <c r="CT2728" s="204" t="n"/>
      <c r="CU2728" s="204" t="n"/>
      <c r="CV2728" s="204" t="n"/>
      <c r="CW2728" s="204" t="n"/>
    </row>
    <row r="2729">
      <c r="BF2729" s="78" t="n"/>
      <c r="BG2729" s="78" t="n"/>
      <c r="BH2729" s="78" t="n"/>
      <c r="BI2729" s="78" t="n"/>
      <c r="BJ2729" s="139" t="n"/>
      <c r="BK2729" s="204" t="n"/>
      <c r="BL2729" s="141" t="n"/>
      <c r="BM2729" s="205" t="n"/>
      <c r="BN2729" s="205" t="n"/>
      <c r="BO2729" s="206" t="n"/>
      <c r="BP2729" s="144" t="n"/>
      <c r="BQ2729" s="141" t="n"/>
      <c r="BR2729" s="207" t="n"/>
      <c r="BS2729" s="207" t="n"/>
      <c r="BT2729" s="207" t="n"/>
      <c r="BU2729" s="207" t="n"/>
      <c r="BV2729" s="208" t="n"/>
      <c r="BW2729" s="207" t="n"/>
      <c r="BX2729" s="207" t="n"/>
      <c r="BY2729" s="204" t="n"/>
      <c r="BZ2729" s="148" t="n"/>
      <c r="CA2729" s="204" t="n"/>
      <c r="CB2729" s="208" t="n"/>
      <c r="CC2729" s="139" t="n"/>
      <c r="CD2729" s="204" t="n"/>
      <c r="CE2729" s="204" t="n"/>
      <c r="CF2729" s="207" t="n"/>
      <c r="CG2729" s="208" t="n"/>
      <c r="CH2729" s="207" t="n"/>
      <c r="CI2729" s="208" t="n"/>
      <c r="CJ2729" s="204" t="n"/>
      <c r="CK2729" s="208" t="n"/>
      <c r="CL2729" s="208" t="n"/>
      <c r="CM2729" s="208" t="n"/>
      <c r="CN2729" s="78" t="n"/>
      <c r="CO2729" s="209" t="n"/>
      <c r="CP2729" s="204" t="n"/>
      <c r="CQ2729" s="204" t="n"/>
      <c r="CR2729" s="204" t="n"/>
      <c r="CS2729" s="204" t="n"/>
      <c r="CT2729" s="204" t="n"/>
      <c r="CU2729" s="204" t="n"/>
      <c r="CV2729" s="204" t="n"/>
      <c r="CW2729" s="204" t="n"/>
    </row>
    <row r="2730">
      <c r="BF2730" s="78" t="n"/>
      <c r="BG2730" s="78" t="n"/>
      <c r="BH2730" s="78" t="n"/>
      <c r="BI2730" s="78" t="n"/>
      <c r="BJ2730" s="139" t="n"/>
      <c r="BK2730" s="204" t="n"/>
      <c r="BL2730" s="141" t="n"/>
      <c r="BM2730" s="205" t="n"/>
      <c r="BN2730" s="205" t="n"/>
      <c r="BO2730" s="206" t="n"/>
      <c r="BP2730" s="144" t="n"/>
      <c r="BQ2730" s="141" t="n"/>
      <c r="BR2730" s="207" t="n"/>
      <c r="BS2730" s="207" t="n"/>
      <c r="BT2730" s="207" t="n"/>
      <c r="BU2730" s="207" t="n"/>
      <c r="BV2730" s="208" t="n"/>
      <c r="BW2730" s="207" t="n"/>
      <c r="BX2730" s="207" t="n"/>
      <c r="BY2730" s="204" t="n"/>
      <c r="BZ2730" s="148" t="n"/>
      <c r="CA2730" s="204" t="n"/>
      <c r="CB2730" s="208" t="n"/>
      <c r="CC2730" s="139" t="n"/>
      <c r="CD2730" s="204" t="n"/>
      <c r="CE2730" s="204" t="n"/>
      <c r="CF2730" s="207" t="n"/>
      <c r="CG2730" s="208" t="n"/>
      <c r="CH2730" s="207" t="n"/>
      <c r="CI2730" s="208" t="n"/>
      <c r="CJ2730" s="204" t="n"/>
      <c r="CK2730" s="208" t="n"/>
      <c r="CL2730" s="208" t="n"/>
      <c r="CM2730" s="208" t="n"/>
      <c r="CN2730" s="78" t="n"/>
      <c r="CO2730" s="209" t="n"/>
      <c r="CP2730" s="204" t="n"/>
      <c r="CQ2730" s="204" t="n"/>
      <c r="CR2730" s="204" t="n"/>
      <c r="CS2730" s="204" t="n"/>
      <c r="CT2730" s="204" t="n"/>
      <c r="CU2730" s="204" t="n"/>
      <c r="CV2730" s="204" t="n"/>
      <c r="CW2730" s="204" t="n"/>
    </row>
    <row r="2731">
      <c r="AR2731" s="151" t="n"/>
      <c r="BF2731" s="78" t="n"/>
      <c r="BG2731" s="78" t="n"/>
      <c r="BH2731" s="78" t="n"/>
      <c r="BI2731" s="78" t="n"/>
      <c r="BJ2731" s="139" t="n"/>
      <c r="BK2731" s="204" t="n"/>
      <c r="BL2731" s="141" t="n"/>
      <c r="BM2731" s="205" t="n"/>
      <c r="BN2731" s="205" t="n"/>
      <c r="BO2731" s="206" t="n"/>
      <c r="BP2731" s="144" t="n"/>
      <c r="BQ2731" s="141" t="n"/>
      <c r="BR2731" s="207" t="n"/>
      <c r="BS2731" s="207" t="n"/>
      <c r="BT2731" s="207" t="n"/>
      <c r="BU2731" s="207" t="n"/>
      <c r="BV2731" s="208" t="n"/>
      <c r="BW2731" s="207" t="n"/>
      <c r="BX2731" s="207" t="n"/>
      <c r="BY2731" s="204" t="n"/>
      <c r="BZ2731" s="148" t="n"/>
      <c r="CA2731" s="204" t="n"/>
      <c r="CB2731" s="208" t="n"/>
      <c r="CC2731" s="139" t="n"/>
      <c r="CD2731" s="204" t="n"/>
      <c r="CE2731" s="204" t="n"/>
      <c r="CF2731" s="207" t="n"/>
      <c r="CG2731" s="208" t="n"/>
      <c r="CH2731" s="207" t="n"/>
      <c r="CI2731" s="208" t="n"/>
      <c r="CJ2731" s="204" t="n"/>
      <c r="CK2731" s="208" t="n"/>
      <c r="CL2731" s="208" t="n"/>
      <c r="CM2731" s="208" t="n"/>
      <c r="CN2731" s="78" t="n"/>
      <c r="CO2731" s="209" t="n"/>
      <c r="CP2731" s="204" t="n"/>
      <c r="CQ2731" s="204" t="n"/>
      <c r="CR2731" s="204" t="n"/>
      <c r="CS2731" s="204" t="n"/>
      <c r="CT2731" s="204" t="n"/>
      <c r="CU2731" s="204" t="n"/>
      <c r="CV2731" s="204" t="n"/>
      <c r="CW2731" s="204" t="n"/>
    </row>
    <row r="2732">
      <c r="BF2732" s="78" t="n"/>
      <c r="BG2732" s="78" t="n"/>
      <c r="BH2732" s="78" t="n"/>
      <c r="BI2732" s="78" t="n"/>
      <c r="BJ2732" s="139" t="n"/>
      <c r="BK2732" s="204" t="n"/>
      <c r="BL2732" s="141" t="n"/>
      <c r="BM2732" s="205" t="n"/>
      <c r="BN2732" s="205" t="n"/>
      <c r="BO2732" s="206" t="n"/>
      <c r="BP2732" s="144" t="n"/>
      <c r="BQ2732" s="141" t="n"/>
      <c r="BR2732" s="207" t="n"/>
      <c r="BS2732" s="207" t="n"/>
      <c r="BT2732" s="207" t="n"/>
      <c r="BU2732" s="207" t="n"/>
      <c r="BV2732" s="208" t="n"/>
      <c r="BW2732" s="207" t="n"/>
      <c r="BX2732" s="207" t="n"/>
      <c r="BY2732" s="204" t="n"/>
      <c r="BZ2732" s="148" t="n"/>
      <c r="CA2732" s="204" t="n"/>
      <c r="CB2732" s="208" t="n"/>
      <c r="CC2732" s="139" t="n"/>
      <c r="CD2732" s="204" t="n"/>
      <c r="CE2732" s="204" t="n"/>
      <c r="CF2732" s="207" t="n"/>
      <c r="CG2732" s="208" t="n"/>
      <c r="CH2732" s="207" t="n"/>
      <c r="CI2732" s="208" t="n"/>
      <c r="CJ2732" s="204" t="n"/>
      <c r="CK2732" s="208" t="n"/>
      <c r="CL2732" s="208" t="n"/>
      <c r="CM2732" s="208" t="n"/>
      <c r="CN2732" s="78" t="n"/>
      <c r="CO2732" s="209" t="n"/>
      <c r="CP2732" s="204" t="n"/>
      <c r="CQ2732" s="204" t="n"/>
      <c r="CR2732" s="204" t="n"/>
      <c r="CS2732" s="204" t="n"/>
      <c r="CT2732" s="204" t="n"/>
      <c r="CU2732" s="204" t="n"/>
      <c r="CV2732" s="204" t="n"/>
      <c r="CW2732" s="204" t="n"/>
    </row>
    <row r="2733">
      <c r="BF2733" s="78" t="n"/>
      <c r="BG2733" s="78" t="n"/>
      <c r="BH2733" s="78" t="n"/>
      <c r="BI2733" s="78" t="n"/>
      <c r="BJ2733" s="139" t="n"/>
      <c r="BK2733" s="204" t="n"/>
      <c r="BL2733" s="141" t="n"/>
      <c r="BM2733" s="205" t="n"/>
      <c r="BN2733" s="205" t="n"/>
      <c r="BO2733" s="206" t="n"/>
      <c r="BP2733" s="144" t="n"/>
      <c r="BQ2733" s="141" t="n"/>
      <c r="BR2733" s="207" t="n"/>
      <c r="BS2733" s="207" t="n"/>
      <c r="BT2733" s="207" t="n"/>
      <c r="BU2733" s="207" t="n"/>
      <c r="BV2733" s="208" t="n"/>
      <c r="BW2733" s="207" t="n"/>
      <c r="BX2733" s="207" t="n"/>
      <c r="BY2733" s="204" t="n"/>
      <c r="BZ2733" s="148" t="n"/>
      <c r="CA2733" s="204" t="n"/>
      <c r="CB2733" s="208" t="n"/>
      <c r="CC2733" s="139" t="n"/>
      <c r="CD2733" s="204" t="n"/>
      <c r="CE2733" s="204" t="n"/>
      <c r="CF2733" s="207" t="n"/>
      <c r="CG2733" s="208" t="n"/>
      <c r="CH2733" s="207" t="n"/>
      <c r="CI2733" s="208" t="n"/>
      <c r="CJ2733" s="204" t="n"/>
      <c r="CK2733" s="208" t="n"/>
      <c r="CL2733" s="208" t="n"/>
      <c r="CM2733" s="208" t="n"/>
      <c r="CN2733" s="78" t="n"/>
      <c r="CO2733" s="209" t="n"/>
      <c r="CP2733" s="204" t="n"/>
      <c r="CQ2733" s="204" t="n"/>
      <c r="CR2733" s="204" t="n"/>
      <c r="CS2733" s="204" t="n"/>
      <c r="CT2733" s="204" t="n"/>
      <c r="CU2733" s="204" t="n"/>
      <c r="CV2733" s="204" t="n"/>
      <c r="CW2733" s="204" t="n"/>
    </row>
    <row r="2734">
      <c r="BF2734" s="78" t="n"/>
      <c r="BG2734" s="78" t="n"/>
      <c r="BH2734" s="78" t="n"/>
      <c r="BI2734" s="78" t="n"/>
      <c r="BJ2734" s="139" t="n"/>
      <c r="BK2734" s="204" t="n"/>
      <c r="BL2734" s="141" t="n"/>
      <c r="BM2734" s="205" t="n"/>
      <c r="BN2734" s="205" t="n"/>
      <c r="BO2734" s="206" t="n"/>
      <c r="BP2734" s="144" t="n"/>
      <c r="BQ2734" s="141" t="n"/>
      <c r="BR2734" s="207" t="n"/>
      <c r="BS2734" s="207" t="n"/>
      <c r="BT2734" s="207" t="n"/>
      <c r="BU2734" s="207" t="n"/>
      <c r="BV2734" s="208" t="n"/>
      <c r="BW2734" s="207" t="n"/>
      <c r="BX2734" s="207" t="n"/>
      <c r="BY2734" s="204" t="n"/>
      <c r="BZ2734" s="148" t="n"/>
      <c r="CA2734" s="204" t="n"/>
      <c r="CB2734" s="208" t="n"/>
      <c r="CC2734" s="139" t="n"/>
      <c r="CD2734" s="204" t="n"/>
      <c r="CE2734" s="204" t="n"/>
      <c r="CF2734" s="207" t="n"/>
      <c r="CG2734" s="208" t="n"/>
      <c r="CH2734" s="207" t="n"/>
      <c r="CI2734" s="208" t="n"/>
      <c r="CJ2734" s="204" t="n"/>
      <c r="CK2734" s="208" t="n"/>
      <c r="CL2734" s="208" t="n"/>
      <c r="CM2734" s="208" t="n"/>
      <c r="CN2734" s="78" t="n"/>
      <c r="CO2734" s="209" t="n"/>
      <c r="CP2734" s="204" t="n"/>
      <c r="CQ2734" s="204" t="n"/>
      <c r="CR2734" s="204" t="n"/>
      <c r="CS2734" s="204" t="n"/>
      <c r="CT2734" s="204" t="n"/>
      <c r="CU2734" s="204" t="n"/>
      <c r="CV2734" s="204" t="n"/>
      <c r="CW2734" s="204" t="n"/>
    </row>
    <row r="2735">
      <c r="BF2735" s="78" t="n"/>
      <c r="BG2735" s="78" t="n"/>
      <c r="BH2735" s="78" t="n"/>
      <c r="BI2735" s="78" t="n"/>
      <c r="BJ2735" s="139" t="n"/>
      <c r="BK2735" s="204" t="n"/>
      <c r="BL2735" s="141" t="n"/>
      <c r="BM2735" s="205" t="n"/>
      <c r="BN2735" s="205" t="n"/>
      <c r="BO2735" s="206" t="n"/>
      <c r="BP2735" s="144" t="n"/>
      <c r="BQ2735" s="141" t="n"/>
      <c r="BR2735" s="207" t="n"/>
      <c r="BS2735" s="207" t="n"/>
      <c r="BT2735" s="207" t="n"/>
      <c r="BU2735" s="207" t="n"/>
      <c r="BV2735" s="208" t="n"/>
      <c r="BW2735" s="207" t="n"/>
      <c r="BX2735" s="207" t="n"/>
      <c r="BY2735" s="204" t="n"/>
      <c r="BZ2735" s="148" t="n"/>
      <c r="CA2735" s="204" t="n"/>
      <c r="CB2735" s="208" t="n"/>
      <c r="CC2735" s="139" t="n"/>
      <c r="CD2735" s="204" t="n"/>
      <c r="CE2735" s="204" t="n"/>
      <c r="CF2735" s="207" t="n"/>
      <c r="CG2735" s="208" t="n"/>
      <c r="CH2735" s="207" t="n"/>
      <c r="CI2735" s="208" t="n"/>
      <c r="CJ2735" s="204" t="n"/>
      <c r="CK2735" s="208" t="n"/>
      <c r="CL2735" s="208" t="n"/>
      <c r="CM2735" s="208" t="n"/>
      <c r="CN2735" s="78" t="n"/>
      <c r="CO2735" s="209" t="n"/>
      <c r="CP2735" s="204" t="n"/>
      <c r="CQ2735" s="204" t="n"/>
      <c r="CR2735" s="204" t="n"/>
      <c r="CS2735" s="204" t="n"/>
      <c r="CT2735" s="204" t="n"/>
      <c r="CU2735" s="204" t="n"/>
      <c r="CV2735" s="204" t="n"/>
      <c r="CW2735" s="204" t="n"/>
    </row>
    <row r="2736">
      <c r="BF2736" s="78" t="n"/>
      <c r="BG2736" s="78" t="n"/>
      <c r="BH2736" s="78" t="n"/>
      <c r="BI2736" s="78" t="n"/>
      <c r="BJ2736" s="139" t="n"/>
      <c r="BK2736" s="204" t="n"/>
      <c r="BL2736" s="141" t="n"/>
      <c r="BM2736" s="205" t="n"/>
      <c r="BN2736" s="205" t="n"/>
      <c r="BO2736" s="206" t="n"/>
      <c r="BP2736" s="144" t="n"/>
      <c r="BQ2736" s="141" t="n"/>
      <c r="BR2736" s="207" t="n"/>
      <c r="BS2736" s="207" t="n"/>
      <c r="BT2736" s="207" t="n"/>
      <c r="BU2736" s="207" t="n"/>
      <c r="BV2736" s="208" t="n"/>
      <c r="BW2736" s="207" t="n"/>
      <c r="BX2736" s="207" t="n"/>
      <c r="BY2736" s="204" t="n"/>
      <c r="BZ2736" s="148" t="n"/>
      <c r="CA2736" s="204" t="n"/>
      <c r="CB2736" s="208" t="n"/>
      <c r="CC2736" s="139" t="n"/>
      <c r="CD2736" s="204" t="n"/>
      <c r="CE2736" s="204" t="n"/>
      <c r="CF2736" s="207" t="n"/>
      <c r="CG2736" s="208" t="n"/>
      <c r="CH2736" s="207" t="n"/>
      <c r="CI2736" s="208" t="n"/>
      <c r="CJ2736" s="204" t="n"/>
      <c r="CK2736" s="208" t="n"/>
      <c r="CL2736" s="208" t="n"/>
      <c r="CM2736" s="208" t="n"/>
      <c r="CN2736" s="78" t="n"/>
      <c r="CO2736" s="209" t="n"/>
      <c r="CP2736" s="204" t="n"/>
      <c r="CQ2736" s="204" t="n"/>
      <c r="CR2736" s="204" t="n"/>
      <c r="CS2736" s="204" t="n"/>
      <c r="CT2736" s="204" t="n"/>
      <c r="CU2736" s="204" t="n"/>
      <c r="CV2736" s="204" t="n"/>
      <c r="CW2736" s="204" t="n"/>
    </row>
    <row r="2737">
      <c r="BF2737" s="78" t="n"/>
      <c r="BG2737" s="78" t="n"/>
      <c r="BH2737" s="78" t="n"/>
      <c r="BI2737" s="78" t="n"/>
      <c r="BJ2737" s="139" t="n"/>
      <c r="BK2737" s="204" t="n"/>
      <c r="BL2737" s="141" t="n"/>
      <c r="BM2737" s="205" t="n"/>
      <c r="BN2737" s="205" t="n"/>
      <c r="BO2737" s="206" t="n"/>
      <c r="BP2737" s="144" t="n"/>
      <c r="BQ2737" s="141" t="n"/>
      <c r="BR2737" s="207" t="n"/>
      <c r="BS2737" s="207" t="n"/>
      <c r="BT2737" s="207" t="n"/>
      <c r="BU2737" s="207" t="n"/>
      <c r="BV2737" s="208" t="n"/>
      <c r="BW2737" s="207" t="n"/>
      <c r="BX2737" s="207" t="n"/>
      <c r="BY2737" s="204" t="n"/>
      <c r="BZ2737" s="148" t="n"/>
      <c r="CA2737" s="204" t="n"/>
      <c r="CB2737" s="208" t="n"/>
      <c r="CC2737" s="139" t="n"/>
      <c r="CD2737" s="204" t="n"/>
      <c r="CE2737" s="204" t="n"/>
      <c r="CF2737" s="207" t="n"/>
      <c r="CG2737" s="208" t="n"/>
      <c r="CH2737" s="207" t="n"/>
      <c r="CI2737" s="208" t="n"/>
      <c r="CJ2737" s="204" t="n"/>
      <c r="CK2737" s="208" t="n"/>
      <c r="CL2737" s="208" t="n"/>
      <c r="CM2737" s="208" t="n"/>
      <c r="CN2737" s="78" t="n"/>
      <c r="CO2737" s="209" t="n"/>
      <c r="CP2737" s="204" t="n"/>
      <c r="CQ2737" s="204" t="n"/>
      <c r="CR2737" s="204" t="n"/>
      <c r="CS2737" s="204" t="n"/>
      <c r="CT2737" s="204" t="n"/>
      <c r="CU2737" s="204" t="n"/>
      <c r="CV2737" s="204" t="n"/>
      <c r="CW2737" s="204" t="n"/>
    </row>
    <row r="2738">
      <c r="BF2738" s="78" t="n"/>
      <c r="BG2738" s="78" t="n"/>
      <c r="BH2738" s="78" t="n"/>
      <c r="BI2738" s="78" t="n"/>
      <c r="BJ2738" s="139" t="n"/>
      <c r="BK2738" s="204" t="n"/>
      <c r="BL2738" s="141" t="n"/>
      <c r="BM2738" s="205" t="n"/>
      <c r="BN2738" s="205" t="n"/>
      <c r="BO2738" s="206" t="n"/>
      <c r="BP2738" s="144" t="n"/>
      <c r="BQ2738" s="141" t="n"/>
      <c r="BR2738" s="207" t="n"/>
      <c r="BS2738" s="207" t="n"/>
      <c r="BT2738" s="207" t="n"/>
      <c r="BU2738" s="207" t="n"/>
      <c r="BV2738" s="208" t="n"/>
      <c r="BW2738" s="207" t="n"/>
      <c r="BX2738" s="207" t="n"/>
      <c r="BY2738" s="204" t="n"/>
      <c r="BZ2738" s="148" t="n"/>
      <c r="CA2738" s="204" t="n"/>
      <c r="CB2738" s="208" t="n"/>
      <c r="CC2738" s="139" t="n"/>
      <c r="CD2738" s="204" t="n"/>
      <c r="CE2738" s="204" t="n"/>
      <c r="CF2738" s="207" t="n"/>
      <c r="CG2738" s="208" t="n"/>
      <c r="CH2738" s="207" t="n"/>
      <c r="CI2738" s="208" t="n"/>
      <c r="CJ2738" s="204" t="n"/>
      <c r="CK2738" s="208" t="n"/>
      <c r="CL2738" s="208" t="n"/>
      <c r="CM2738" s="208" t="n"/>
      <c r="CN2738" s="78" t="n"/>
      <c r="CO2738" s="209" t="n"/>
      <c r="CP2738" s="204" t="n"/>
      <c r="CQ2738" s="204" t="n"/>
      <c r="CR2738" s="204" t="n"/>
      <c r="CS2738" s="204" t="n"/>
      <c r="CT2738" s="204" t="n"/>
      <c r="CU2738" s="204" t="n"/>
      <c r="CV2738" s="204" t="n"/>
      <c r="CW2738" s="204" t="n"/>
    </row>
    <row r="2739">
      <c r="BF2739" s="78" t="n"/>
      <c r="BG2739" s="78" t="n"/>
      <c r="BH2739" s="78" t="n"/>
      <c r="BI2739" s="78" t="n"/>
      <c r="BJ2739" s="139" t="n"/>
      <c r="BK2739" s="204" t="n"/>
      <c r="BL2739" s="141" t="n"/>
      <c r="BM2739" s="205" t="n"/>
      <c r="BN2739" s="205" t="n"/>
      <c r="BO2739" s="206" t="n"/>
      <c r="BP2739" s="144" t="n"/>
      <c r="BQ2739" s="141" t="n"/>
      <c r="BR2739" s="207" t="n"/>
      <c r="BS2739" s="207" t="n"/>
      <c r="BT2739" s="207" t="n"/>
      <c r="BU2739" s="207" t="n"/>
      <c r="BV2739" s="208" t="n"/>
      <c r="BW2739" s="207" t="n"/>
      <c r="BX2739" s="207" t="n"/>
      <c r="BY2739" s="204" t="n"/>
      <c r="BZ2739" s="148" t="n"/>
      <c r="CA2739" s="204" t="n"/>
      <c r="CB2739" s="208" t="n"/>
      <c r="CC2739" s="139" t="n"/>
      <c r="CD2739" s="204" t="n"/>
      <c r="CE2739" s="204" t="n"/>
      <c r="CF2739" s="207" t="n"/>
      <c r="CG2739" s="208" t="n"/>
      <c r="CH2739" s="207" t="n"/>
      <c r="CI2739" s="208" t="n"/>
      <c r="CJ2739" s="204" t="n"/>
      <c r="CK2739" s="208" t="n"/>
      <c r="CL2739" s="208" t="n"/>
      <c r="CM2739" s="208" t="n"/>
      <c r="CN2739" s="78" t="n"/>
      <c r="CO2739" s="209" t="n"/>
      <c r="CP2739" s="204" t="n"/>
      <c r="CQ2739" s="204" t="n"/>
      <c r="CR2739" s="204" t="n"/>
      <c r="CS2739" s="204" t="n"/>
      <c r="CT2739" s="204" t="n"/>
      <c r="CU2739" s="204" t="n"/>
      <c r="CV2739" s="204" t="n"/>
      <c r="CW2739" s="204" t="n"/>
    </row>
    <row r="2740">
      <c r="BF2740" s="78" t="n"/>
      <c r="BG2740" s="78" t="n"/>
      <c r="BH2740" s="78" t="n"/>
      <c r="BI2740" s="78" t="n"/>
      <c r="BJ2740" s="139" t="n"/>
      <c r="BK2740" s="204" t="n"/>
      <c r="BL2740" s="141" t="n"/>
      <c r="BM2740" s="205" t="n"/>
      <c r="BN2740" s="205" t="n"/>
      <c r="BO2740" s="206" t="n"/>
      <c r="BP2740" s="144" t="n"/>
      <c r="BQ2740" s="141" t="n"/>
      <c r="BR2740" s="207" t="n"/>
      <c r="BS2740" s="207" t="n"/>
      <c r="BT2740" s="207" t="n"/>
      <c r="BU2740" s="207" t="n"/>
      <c r="BV2740" s="208" t="n"/>
      <c r="BW2740" s="207" t="n"/>
      <c r="BX2740" s="207" t="n"/>
      <c r="BY2740" s="204" t="n"/>
      <c r="BZ2740" s="148" t="n"/>
      <c r="CA2740" s="204" t="n"/>
      <c r="CB2740" s="208" t="n"/>
      <c r="CC2740" s="139" t="n"/>
      <c r="CD2740" s="204" t="n"/>
      <c r="CE2740" s="204" t="n"/>
      <c r="CF2740" s="207" t="n"/>
      <c r="CG2740" s="208" t="n"/>
      <c r="CH2740" s="207" t="n"/>
      <c r="CI2740" s="208" t="n"/>
      <c r="CJ2740" s="204" t="n"/>
      <c r="CK2740" s="208" t="n"/>
      <c r="CL2740" s="208" t="n"/>
      <c r="CM2740" s="208" t="n"/>
      <c r="CN2740" s="78" t="n"/>
      <c r="CO2740" s="209" t="n"/>
      <c r="CP2740" s="204" t="n"/>
      <c r="CQ2740" s="204" t="n"/>
      <c r="CR2740" s="204" t="n"/>
      <c r="CS2740" s="204" t="n"/>
      <c r="CT2740" s="204" t="n"/>
      <c r="CU2740" s="204" t="n"/>
      <c r="CV2740" s="204" t="n"/>
      <c r="CW2740" s="204" t="n"/>
    </row>
    <row r="2741">
      <c r="BF2741" s="78" t="n"/>
      <c r="BG2741" s="78" t="n"/>
      <c r="BH2741" s="78" t="n"/>
      <c r="BI2741" s="78" t="n"/>
      <c r="BJ2741" s="139" t="n"/>
      <c r="BK2741" s="204" t="n"/>
      <c r="BL2741" s="141" t="n"/>
      <c r="BM2741" s="205" t="n"/>
      <c r="BN2741" s="205" t="n"/>
      <c r="BO2741" s="206" t="n"/>
      <c r="BP2741" s="144" t="n"/>
      <c r="BQ2741" s="141" t="n"/>
      <c r="BR2741" s="207" t="n"/>
      <c r="BS2741" s="207" t="n"/>
      <c r="BT2741" s="207" t="n"/>
      <c r="BU2741" s="207" t="n"/>
      <c r="BV2741" s="208" t="n"/>
      <c r="BW2741" s="207" t="n"/>
      <c r="BX2741" s="207" t="n"/>
      <c r="BY2741" s="204" t="n"/>
      <c r="BZ2741" s="148" t="n"/>
      <c r="CA2741" s="204" t="n"/>
      <c r="CB2741" s="208" t="n"/>
      <c r="CC2741" s="139" t="n"/>
      <c r="CD2741" s="204" t="n"/>
      <c r="CE2741" s="204" t="n"/>
      <c r="CF2741" s="207" t="n"/>
      <c r="CG2741" s="208" t="n"/>
      <c r="CH2741" s="207" t="n"/>
      <c r="CI2741" s="208" t="n"/>
      <c r="CJ2741" s="204" t="n"/>
      <c r="CK2741" s="208" t="n"/>
      <c r="CL2741" s="208" t="n"/>
      <c r="CM2741" s="208" t="n"/>
      <c r="CN2741" s="78" t="n"/>
      <c r="CO2741" s="209" t="n"/>
      <c r="CP2741" s="204" t="n"/>
      <c r="CQ2741" s="204" t="n"/>
      <c r="CR2741" s="204" t="n"/>
      <c r="CS2741" s="204" t="n"/>
      <c r="CT2741" s="204" t="n"/>
      <c r="CU2741" s="204" t="n"/>
      <c r="CV2741" s="204" t="n"/>
      <c r="CW2741" s="204" t="n"/>
    </row>
    <row r="2742">
      <c r="BF2742" s="78" t="n"/>
      <c r="BG2742" s="78" t="n"/>
      <c r="BH2742" s="78" t="n"/>
      <c r="BI2742" s="78" t="n"/>
      <c r="BJ2742" s="139" t="n"/>
      <c r="BK2742" s="204" t="n"/>
      <c r="BL2742" s="141" t="n"/>
      <c r="BM2742" s="205" t="n"/>
      <c r="BN2742" s="205" t="n"/>
      <c r="BO2742" s="206" t="n"/>
      <c r="BP2742" s="144" t="n"/>
      <c r="BQ2742" s="141" t="n"/>
      <c r="BR2742" s="207" t="n"/>
      <c r="BS2742" s="207" t="n"/>
      <c r="BT2742" s="207" t="n"/>
      <c r="BU2742" s="207" t="n"/>
      <c r="BV2742" s="208" t="n"/>
      <c r="BW2742" s="207" t="n"/>
      <c r="BX2742" s="207" t="n"/>
      <c r="BY2742" s="204" t="n"/>
      <c r="BZ2742" s="148" t="n"/>
      <c r="CA2742" s="204" t="n"/>
      <c r="CB2742" s="208" t="n"/>
      <c r="CC2742" s="139" t="n"/>
      <c r="CD2742" s="204" t="n"/>
      <c r="CE2742" s="204" t="n"/>
      <c r="CF2742" s="207" t="n"/>
      <c r="CG2742" s="208" t="n"/>
      <c r="CH2742" s="207" t="n"/>
      <c r="CI2742" s="208" t="n"/>
      <c r="CJ2742" s="204" t="n"/>
      <c r="CK2742" s="208" t="n"/>
      <c r="CL2742" s="208" t="n"/>
      <c r="CM2742" s="208" t="n"/>
      <c r="CN2742" s="78" t="n"/>
      <c r="CO2742" s="209" t="n"/>
      <c r="CP2742" s="204" t="n"/>
      <c r="CQ2742" s="204" t="n"/>
      <c r="CR2742" s="204" t="n"/>
      <c r="CS2742" s="204" t="n"/>
      <c r="CT2742" s="204" t="n"/>
      <c r="CU2742" s="204" t="n"/>
      <c r="CV2742" s="204" t="n"/>
      <c r="CW2742" s="204" t="n"/>
    </row>
    <row r="2743">
      <c r="BF2743" s="78" t="n"/>
      <c r="BG2743" s="78" t="n"/>
      <c r="BH2743" s="78" t="n"/>
      <c r="BI2743" s="78" t="n"/>
      <c r="BJ2743" s="139" t="n"/>
      <c r="BK2743" s="204" t="n"/>
      <c r="BL2743" s="141" t="n"/>
      <c r="BM2743" s="205" t="n"/>
      <c r="BN2743" s="205" t="n"/>
      <c r="BO2743" s="206" t="n"/>
      <c r="BP2743" s="144" t="n"/>
      <c r="BQ2743" s="141" t="n"/>
      <c r="BR2743" s="207" t="n"/>
      <c r="BS2743" s="207" t="n"/>
      <c r="BT2743" s="207" t="n"/>
      <c r="BU2743" s="207" t="n"/>
      <c r="BV2743" s="208" t="n"/>
      <c r="BW2743" s="207" t="n"/>
      <c r="BX2743" s="207" t="n"/>
      <c r="BY2743" s="204" t="n"/>
      <c r="BZ2743" s="148" t="n"/>
      <c r="CA2743" s="204" t="n"/>
      <c r="CB2743" s="208" t="n"/>
      <c r="CC2743" s="139" t="n"/>
      <c r="CD2743" s="204" t="n"/>
      <c r="CE2743" s="204" t="n"/>
      <c r="CF2743" s="207" t="n"/>
      <c r="CG2743" s="208" t="n"/>
      <c r="CH2743" s="207" t="n"/>
      <c r="CI2743" s="208" t="n"/>
      <c r="CJ2743" s="204" t="n"/>
      <c r="CK2743" s="208" t="n"/>
      <c r="CL2743" s="208" t="n"/>
      <c r="CM2743" s="208" t="n"/>
      <c r="CN2743" s="78" t="n"/>
      <c r="CO2743" s="209" t="n"/>
      <c r="CP2743" s="204" t="n"/>
      <c r="CQ2743" s="204" t="n"/>
      <c r="CR2743" s="204" t="n"/>
      <c r="CS2743" s="204" t="n"/>
      <c r="CT2743" s="204" t="n"/>
      <c r="CU2743" s="204" t="n"/>
      <c r="CV2743" s="204" t="n"/>
      <c r="CW2743" s="204" t="n"/>
    </row>
    <row r="2744">
      <c r="BF2744" s="78" t="n"/>
      <c r="BG2744" s="78" t="n"/>
      <c r="BH2744" s="78" t="n"/>
      <c r="BI2744" s="78" t="n"/>
      <c r="BJ2744" s="139" t="n"/>
      <c r="BK2744" s="204" t="n"/>
      <c r="BL2744" s="141" t="n"/>
      <c r="BM2744" s="205" t="n"/>
      <c r="BN2744" s="205" t="n"/>
      <c r="BO2744" s="206" t="n"/>
      <c r="BP2744" s="144" t="n"/>
      <c r="BQ2744" s="141" t="n"/>
      <c r="BR2744" s="207" t="n"/>
      <c r="BS2744" s="207" t="n"/>
      <c r="BT2744" s="207" t="n"/>
      <c r="BU2744" s="207" t="n"/>
      <c r="BV2744" s="208" t="n"/>
      <c r="BW2744" s="207" t="n"/>
      <c r="BX2744" s="207" t="n"/>
      <c r="BY2744" s="204" t="n"/>
      <c r="BZ2744" s="148" t="n"/>
      <c r="CA2744" s="204" t="n"/>
      <c r="CB2744" s="208" t="n"/>
      <c r="CC2744" s="139" t="n"/>
      <c r="CD2744" s="204" t="n"/>
      <c r="CE2744" s="204" t="n"/>
      <c r="CF2744" s="207" t="n"/>
      <c r="CG2744" s="208" t="n"/>
      <c r="CH2744" s="207" t="n"/>
      <c r="CI2744" s="208" t="n"/>
      <c r="CJ2744" s="204" t="n"/>
      <c r="CK2744" s="208" t="n"/>
      <c r="CL2744" s="208" t="n"/>
      <c r="CM2744" s="208" t="n"/>
      <c r="CN2744" s="78" t="n"/>
      <c r="CO2744" s="209" t="n"/>
      <c r="CP2744" s="204" t="n"/>
      <c r="CQ2744" s="204" t="n"/>
      <c r="CR2744" s="204" t="n"/>
      <c r="CS2744" s="204" t="n"/>
      <c r="CT2744" s="204" t="n"/>
      <c r="CU2744" s="204" t="n"/>
      <c r="CV2744" s="204" t="n"/>
      <c r="CW2744" s="204" t="n"/>
    </row>
    <row r="2745">
      <c r="BF2745" s="78" t="n"/>
      <c r="BG2745" s="78" t="n"/>
      <c r="BH2745" s="78" t="n"/>
      <c r="BI2745" s="78" t="n"/>
      <c r="BJ2745" s="139" t="n"/>
      <c r="BK2745" s="204" t="n"/>
      <c r="BL2745" s="141" t="n"/>
      <c r="BM2745" s="205" t="n"/>
      <c r="BN2745" s="205" t="n"/>
      <c r="BO2745" s="206" t="n"/>
      <c r="BP2745" s="144" t="n"/>
      <c r="BQ2745" s="141" t="n"/>
      <c r="BR2745" s="207" t="n"/>
      <c r="BS2745" s="207" t="n"/>
      <c r="BT2745" s="207" t="n"/>
      <c r="BU2745" s="207" t="n"/>
      <c r="BV2745" s="208" t="n"/>
      <c r="BW2745" s="207" t="n"/>
      <c r="BX2745" s="207" t="n"/>
      <c r="BY2745" s="204" t="n"/>
      <c r="BZ2745" s="148" t="n"/>
      <c r="CA2745" s="204" t="n"/>
      <c r="CB2745" s="208" t="n"/>
      <c r="CC2745" s="139" t="n"/>
      <c r="CD2745" s="204" t="n"/>
      <c r="CE2745" s="204" t="n"/>
      <c r="CF2745" s="207" t="n"/>
      <c r="CG2745" s="208" t="n"/>
      <c r="CH2745" s="207" t="n"/>
      <c r="CI2745" s="208" t="n"/>
      <c r="CJ2745" s="204" t="n"/>
      <c r="CK2745" s="208" t="n"/>
      <c r="CL2745" s="208" t="n"/>
      <c r="CM2745" s="208" t="n"/>
      <c r="CN2745" s="78" t="n"/>
      <c r="CO2745" s="209" t="n"/>
      <c r="CP2745" s="204" t="n"/>
      <c r="CQ2745" s="204" t="n"/>
      <c r="CR2745" s="204" t="n"/>
      <c r="CS2745" s="204" t="n"/>
      <c r="CT2745" s="204" t="n"/>
      <c r="CU2745" s="204" t="n"/>
      <c r="CV2745" s="204" t="n"/>
      <c r="CW2745" s="204" t="n"/>
    </row>
    <row r="2746">
      <c r="BF2746" s="78" t="n"/>
      <c r="BG2746" s="78" t="n"/>
      <c r="BH2746" s="78" t="n"/>
      <c r="BI2746" s="78" t="n"/>
      <c r="BJ2746" s="139" t="n"/>
      <c r="BK2746" s="204" t="n"/>
      <c r="BL2746" s="141" t="n"/>
      <c r="BM2746" s="205" t="n"/>
      <c r="BN2746" s="205" t="n"/>
      <c r="BO2746" s="206" t="n"/>
      <c r="BP2746" s="144" t="n"/>
      <c r="BQ2746" s="141" t="n"/>
      <c r="BR2746" s="207" t="n"/>
      <c r="BS2746" s="207" t="n"/>
      <c r="BT2746" s="207" t="n"/>
      <c r="BU2746" s="207" t="n"/>
      <c r="BV2746" s="208" t="n"/>
      <c r="BW2746" s="207" t="n"/>
      <c r="BX2746" s="207" t="n"/>
      <c r="BY2746" s="204" t="n"/>
      <c r="BZ2746" s="148" t="n"/>
      <c r="CA2746" s="204" t="n"/>
      <c r="CB2746" s="208" t="n"/>
      <c r="CC2746" s="139" t="n"/>
      <c r="CD2746" s="204" t="n"/>
      <c r="CE2746" s="204" t="n"/>
      <c r="CF2746" s="207" t="n"/>
      <c r="CG2746" s="208" t="n"/>
      <c r="CH2746" s="207" t="n"/>
      <c r="CI2746" s="208" t="n"/>
      <c r="CJ2746" s="204" t="n"/>
      <c r="CK2746" s="208" t="n"/>
      <c r="CL2746" s="208" t="n"/>
      <c r="CM2746" s="208" t="n"/>
      <c r="CN2746" s="78" t="n"/>
      <c r="CO2746" s="209" t="n"/>
      <c r="CP2746" s="204" t="n"/>
      <c r="CQ2746" s="204" t="n"/>
      <c r="CR2746" s="204" t="n"/>
      <c r="CS2746" s="204" t="n"/>
      <c r="CT2746" s="204" t="n"/>
      <c r="CU2746" s="204" t="n"/>
      <c r="CV2746" s="204" t="n"/>
      <c r="CW2746" s="204" t="n"/>
    </row>
    <row r="2747">
      <c r="BF2747" s="78" t="n"/>
      <c r="BG2747" s="78" t="n"/>
      <c r="BH2747" s="78" t="n"/>
      <c r="BI2747" s="78" t="n"/>
      <c r="BJ2747" s="139" t="n"/>
      <c r="BK2747" s="204" t="n"/>
      <c r="BL2747" s="141" t="n"/>
      <c r="BM2747" s="205" t="n"/>
      <c r="BN2747" s="205" t="n"/>
      <c r="BO2747" s="206" t="n"/>
      <c r="BP2747" s="144" t="n"/>
      <c r="BQ2747" s="141" t="n"/>
      <c r="BR2747" s="207" t="n"/>
      <c r="BS2747" s="207" t="n"/>
      <c r="BT2747" s="207" t="n"/>
      <c r="BU2747" s="207" t="n"/>
      <c r="BV2747" s="208" t="n"/>
      <c r="BW2747" s="207" t="n"/>
      <c r="BX2747" s="207" t="n"/>
      <c r="BY2747" s="204" t="n"/>
      <c r="BZ2747" s="148" t="n"/>
      <c r="CA2747" s="204" t="n"/>
      <c r="CB2747" s="208" t="n"/>
      <c r="CC2747" s="139" t="n"/>
      <c r="CD2747" s="204" t="n"/>
      <c r="CE2747" s="204" t="n"/>
      <c r="CF2747" s="207" t="n"/>
      <c r="CG2747" s="208" t="n"/>
      <c r="CH2747" s="207" t="n"/>
      <c r="CI2747" s="208" t="n"/>
      <c r="CJ2747" s="204" t="n"/>
      <c r="CK2747" s="208" t="n"/>
      <c r="CL2747" s="208" t="n"/>
      <c r="CM2747" s="208" t="n"/>
      <c r="CN2747" s="78" t="n"/>
      <c r="CO2747" s="209" t="n"/>
      <c r="CP2747" s="204" t="n"/>
      <c r="CQ2747" s="204" t="n"/>
      <c r="CR2747" s="204" t="n"/>
      <c r="CS2747" s="204" t="n"/>
      <c r="CT2747" s="204" t="n"/>
      <c r="CU2747" s="204" t="n"/>
      <c r="CV2747" s="204" t="n"/>
      <c r="CW2747" s="204" t="n"/>
    </row>
    <row r="2748">
      <c r="BF2748" s="78" t="n"/>
      <c r="BG2748" s="78" t="n"/>
      <c r="BH2748" s="78" t="n"/>
      <c r="BI2748" s="78" t="n"/>
      <c r="BJ2748" s="139" t="n"/>
      <c r="BK2748" s="204" t="n"/>
      <c r="BL2748" s="141" t="n"/>
      <c r="BM2748" s="205" t="n"/>
      <c r="BN2748" s="205" t="n"/>
      <c r="BO2748" s="206" t="n"/>
      <c r="BP2748" s="144" t="n"/>
      <c r="BQ2748" s="141" t="n"/>
      <c r="BR2748" s="207" t="n"/>
      <c r="BS2748" s="207" t="n"/>
      <c r="BT2748" s="207" t="n"/>
      <c r="BU2748" s="207" t="n"/>
      <c r="BV2748" s="208" t="n"/>
      <c r="BW2748" s="207" t="n"/>
      <c r="BX2748" s="207" t="n"/>
      <c r="BY2748" s="204" t="n"/>
      <c r="BZ2748" s="148" t="n"/>
      <c r="CA2748" s="204" t="n"/>
      <c r="CB2748" s="208" t="n"/>
      <c r="CC2748" s="139" t="n"/>
      <c r="CD2748" s="204" t="n"/>
      <c r="CE2748" s="204" t="n"/>
      <c r="CF2748" s="207" t="n"/>
      <c r="CG2748" s="208" t="n"/>
      <c r="CH2748" s="207" t="n"/>
      <c r="CI2748" s="208" t="n"/>
      <c r="CJ2748" s="204" t="n"/>
      <c r="CK2748" s="208" t="n"/>
      <c r="CL2748" s="208" t="n"/>
      <c r="CM2748" s="208" t="n"/>
      <c r="CN2748" s="78" t="n"/>
      <c r="CO2748" s="209" t="n"/>
      <c r="CP2748" s="204" t="n"/>
      <c r="CQ2748" s="204" t="n"/>
      <c r="CR2748" s="204" t="n"/>
      <c r="CS2748" s="204" t="n"/>
      <c r="CT2748" s="204" t="n"/>
      <c r="CU2748" s="204" t="n"/>
      <c r="CV2748" s="204" t="n"/>
      <c r="CW2748" s="204" t="n"/>
    </row>
    <row r="2749">
      <c r="BF2749" s="78" t="n"/>
      <c r="BG2749" s="78" t="n"/>
      <c r="BH2749" s="78" t="n"/>
      <c r="BI2749" s="78" t="n"/>
      <c r="BJ2749" s="139" t="n"/>
      <c r="BK2749" s="204" t="n"/>
      <c r="BL2749" s="141" t="n"/>
      <c r="BM2749" s="205" t="n"/>
      <c r="BN2749" s="205" t="n"/>
      <c r="BO2749" s="206" t="n"/>
      <c r="BP2749" s="144" t="n"/>
      <c r="BQ2749" s="141" t="n"/>
      <c r="BR2749" s="207" t="n"/>
      <c r="BS2749" s="207" t="n"/>
      <c r="BT2749" s="207" t="n"/>
      <c r="BU2749" s="207" t="n"/>
      <c r="BV2749" s="208" t="n"/>
      <c r="BW2749" s="207" t="n"/>
      <c r="BX2749" s="207" t="n"/>
      <c r="BY2749" s="204" t="n"/>
      <c r="BZ2749" s="148" t="n"/>
      <c r="CA2749" s="204" t="n"/>
      <c r="CB2749" s="208" t="n"/>
      <c r="CC2749" s="139" t="n"/>
      <c r="CD2749" s="204" t="n"/>
      <c r="CE2749" s="204" t="n"/>
      <c r="CF2749" s="207" t="n"/>
      <c r="CG2749" s="208" t="n"/>
      <c r="CH2749" s="207" t="n"/>
      <c r="CI2749" s="208" t="n"/>
      <c r="CJ2749" s="204" t="n"/>
      <c r="CK2749" s="208" t="n"/>
      <c r="CL2749" s="208" t="n"/>
      <c r="CM2749" s="208" t="n"/>
      <c r="CN2749" s="78" t="n"/>
      <c r="CO2749" s="209" t="n"/>
      <c r="CP2749" s="204" t="n"/>
      <c r="CQ2749" s="204" t="n"/>
      <c r="CR2749" s="204" t="n"/>
      <c r="CS2749" s="204" t="n"/>
      <c r="CT2749" s="204" t="n"/>
      <c r="CU2749" s="204" t="n"/>
      <c r="CV2749" s="204" t="n"/>
      <c r="CW2749" s="204" t="n"/>
    </row>
    <row r="2750">
      <c r="BF2750" s="78" t="n"/>
      <c r="BG2750" s="78" t="n"/>
      <c r="BH2750" s="78" t="n"/>
      <c r="BI2750" s="78" t="n"/>
      <c r="BJ2750" s="139" t="n"/>
      <c r="BK2750" s="204" t="n"/>
      <c r="BL2750" s="141" t="n"/>
      <c r="BM2750" s="205" t="n"/>
      <c r="BN2750" s="205" t="n"/>
      <c r="BO2750" s="206" t="n"/>
      <c r="BP2750" s="144" t="n"/>
      <c r="BQ2750" s="141" t="n"/>
      <c r="BR2750" s="207" t="n"/>
      <c r="BS2750" s="207" t="n"/>
      <c r="BT2750" s="207" t="n"/>
      <c r="BU2750" s="207" t="n"/>
      <c r="BV2750" s="208" t="n"/>
      <c r="BW2750" s="207" t="n"/>
      <c r="BX2750" s="207" t="n"/>
      <c r="BY2750" s="204" t="n"/>
      <c r="BZ2750" s="148" t="n"/>
      <c r="CA2750" s="204" t="n"/>
      <c r="CB2750" s="208" t="n"/>
      <c r="CC2750" s="139" t="n"/>
      <c r="CD2750" s="204" t="n"/>
      <c r="CE2750" s="204" t="n"/>
      <c r="CF2750" s="207" t="n"/>
      <c r="CG2750" s="208" t="n"/>
      <c r="CH2750" s="207" t="n"/>
      <c r="CI2750" s="208" t="n"/>
      <c r="CJ2750" s="204" t="n"/>
      <c r="CK2750" s="208" t="n"/>
      <c r="CL2750" s="208" t="n"/>
      <c r="CM2750" s="208" t="n"/>
      <c r="CN2750" s="78" t="n"/>
      <c r="CO2750" s="209" t="n"/>
      <c r="CP2750" s="204" t="n"/>
      <c r="CQ2750" s="204" t="n"/>
      <c r="CR2750" s="204" t="n"/>
      <c r="CS2750" s="204" t="n"/>
      <c r="CT2750" s="204" t="n"/>
      <c r="CU2750" s="204" t="n"/>
      <c r="CV2750" s="204" t="n"/>
      <c r="CW2750" s="204" t="n"/>
    </row>
    <row r="2751">
      <c r="BF2751" s="78" t="n"/>
      <c r="BG2751" s="78" t="n"/>
      <c r="BH2751" s="78" t="n"/>
      <c r="BI2751" s="78" t="n"/>
      <c r="BJ2751" s="139" t="n"/>
      <c r="BK2751" s="204" t="n"/>
      <c r="BL2751" s="141" t="n"/>
      <c r="BM2751" s="205" t="n"/>
      <c r="BN2751" s="205" t="n"/>
      <c r="BO2751" s="206" t="n"/>
      <c r="BP2751" s="144" t="n"/>
      <c r="BQ2751" s="141" t="n"/>
      <c r="BR2751" s="207" t="n"/>
      <c r="BS2751" s="207" t="n"/>
      <c r="BT2751" s="207" t="n"/>
      <c r="BU2751" s="207" t="n"/>
      <c r="BV2751" s="208" t="n"/>
      <c r="BW2751" s="207" t="n"/>
      <c r="BX2751" s="207" t="n"/>
      <c r="BY2751" s="204" t="n"/>
      <c r="BZ2751" s="148" t="n"/>
      <c r="CA2751" s="204" t="n"/>
      <c r="CB2751" s="208" t="n"/>
      <c r="CC2751" s="139" t="n"/>
      <c r="CD2751" s="204" t="n"/>
      <c r="CE2751" s="204" t="n"/>
      <c r="CF2751" s="207" t="n"/>
      <c r="CG2751" s="208" t="n"/>
      <c r="CH2751" s="207" t="n"/>
      <c r="CI2751" s="208" t="n"/>
      <c r="CJ2751" s="204" t="n"/>
      <c r="CK2751" s="208" t="n"/>
      <c r="CL2751" s="208" t="n"/>
      <c r="CM2751" s="208" t="n"/>
      <c r="CN2751" s="78" t="n"/>
      <c r="CO2751" s="209" t="n"/>
      <c r="CP2751" s="204" t="n"/>
      <c r="CQ2751" s="204" t="n"/>
      <c r="CR2751" s="204" t="n"/>
      <c r="CS2751" s="204" t="n"/>
      <c r="CT2751" s="204" t="n"/>
      <c r="CU2751" s="204" t="n"/>
      <c r="CV2751" s="204" t="n"/>
      <c r="CW2751" s="204" t="n"/>
    </row>
    <row r="2752">
      <c r="BF2752" s="78" t="n"/>
      <c r="BG2752" s="78" t="n"/>
      <c r="BH2752" s="78" t="n"/>
      <c r="BI2752" s="78" t="n"/>
      <c r="BJ2752" s="139" t="n"/>
      <c r="BK2752" s="204" t="n"/>
      <c r="BL2752" s="141" t="n"/>
      <c r="BM2752" s="205" t="n"/>
      <c r="BN2752" s="205" t="n"/>
      <c r="BO2752" s="206" t="n"/>
      <c r="BP2752" s="144" t="n"/>
      <c r="BQ2752" s="141" t="n"/>
      <c r="BR2752" s="207" t="n"/>
      <c r="BS2752" s="207" t="n"/>
      <c r="BT2752" s="207" t="n"/>
      <c r="BU2752" s="207" t="n"/>
      <c r="BV2752" s="208" t="n"/>
      <c r="BW2752" s="207" t="n"/>
      <c r="BX2752" s="207" t="n"/>
      <c r="BY2752" s="204" t="n"/>
      <c r="BZ2752" s="148" t="n"/>
      <c r="CA2752" s="204" t="n"/>
      <c r="CB2752" s="208" t="n"/>
      <c r="CC2752" s="139" t="n"/>
      <c r="CD2752" s="204" t="n"/>
      <c r="CE2752" s="204" t="n"/>
      <c r="CF2752" s="207" t="n"/>
      <c r="CG2752" s="208" t="n"/>
      <c r="CH2752" s="207" t="n"/>
      <c r="CI2752" s="208" t="n"/>
      <c r="CJ2752" s="204" t="n"/>
      <c r="CK2752" s="208" t="n"/>
      <c r="CL2752" s="208" t="n"/>
      <c r="CM2752" s="208" t="n"/>
      <c r="CN2752" s="78" t="n"/>
      <c r="CO2752" s="209" t="n"/>
      <c r="CP2752" s="204" t="n"/>
      <c r="CQ2752" s="204" t="n"/>
      <c r="CR2752" s="204" t="n"/>
      <c r="CS2752" s="204" t="n"/>
      <c r="CT2752" s="204" t="n"/>
      <c r="CU2752" s="204" t="n"/>
      <c r="CV2752" s="204" t="n"/>
      <c r="CW2752" s="204" t="n"/>
    </row>
    <row r="2753">
      <c r="BF2753" s="78" t="n"/>
      <c r="BG2753" s="78" t="n"/>
      <c r="BH2753" s="78" t="n"/>
      <c r="BI2753" s="78" t="n"/>
      <c r="BJ2753" s="139" t="n"/>
      <c r="BK2753" s="204" t="n"/>
      <c r="BL2753" s="141" t="n"/>
      <c r="BM2753" s="205" t="n"/>
      <c r="BN2753" s="205" t="n"/>
      <c r="BO2753" s="206" t="n"/>
      <c r="BP2753" s="144" t="n"/>
      <c r="BQ2753" s="141" t="n"/>
      <c r="BR2753" s="207" t="n"/>
      <c r="BS2753" s="207" t="n"/>
      <c r="BT2753" s="207" t="n"/>
      <c r="BU2753" s="207" t="n"/>
      <c r="BV2753" s="208" t="n"/>
      <c r="BW2753" s="207" t="n"/>
      <c r="BX2753" s="207" t="n"/>
      <c r="BY2753" s="204" t="n"/>
      <c r="BZ2753" s="148" t="n"/>
      <c r="CA2753" s="204" t="n"/>
      <c r="CB2753" s="208" t="n"/>
      <c r="CC2753" s="139" t="n"/>
      <c r="CD2753" s="204" t="n"/>
      <c r="CE2753" s="204" t="n"/>
      <c r="CF2753" s="207" t="n"/>
      <c r="CG2753" s="208" t="n"/>
      <c r="CH2753" s="207" t="n"/>
      <c r="CI2753" s="208" t="n"/>
      <c r="CJ2753" s="204" t="n"/>
      <c r="CK2753" s="208" t="n"/>
      <c r="CL2753" s="208" t="n"/>
      <c r="CM2753" s="208" t="n"/>
      <c r="CN2753" s="78" t="n"/>
      <c r="CO2753" s="209" t="n"/>
      <c r="CP2753" s="204" t="n"/>
      <c r="CQ2753" s="204" t="n"/>
      <c r="CR2753" s="204" t="n"/>
      <c r="CS2753" s="204" t="n"/>
      <c r="CT2753" s="204" t="n"/>
      <c r="CU2753" s="204" t="n"/>
      <c r="CV2753" s="204" t="n"/>
      <c r="CW2753" s="204" t="n"/>
    </row>
    <row r="2754">
      <c r="BF2754" s="78" t="n"/>
      <c r="BG2754" s="78" t="n"/>
      <c r="BH2754" s="78" t="n"/>
      <c r="BI2754" s="78" t="n"/>
      <c r="BJ2754" s="139" t="n"/>
      <c r="BK2754" s="204" t="n"/>
      <c r="BL2754" s="141" t="n"/>
      <c r="BM2754" s="205" t="n"/>
      <c r="BN2754" s="205" t="n"/>
      <c r="BO2754" s="206" t="n"/>
      <c r="BP2754" s="144" t="n"/>
      <c r="BQ2754" s="141" t="n"/>
      <c r="BR2754" s="207" t="n"/>
      <c r="BS2754" s="207" t="n"/>
      <c r="BT2754" s="207" t="n"/>
      <c r="BU2754" s="207" t="n"/>
      <c r="BV2754" s="208" t="n"/>
      <c r="BW2754" s="207" t="n"/>
      <c r="BX2754" s="207" t="n"/>
      <c r="BY2754" s="204" t="n"/>
      <c r="BZ2754" s="148" t="n"/>
      <c r="CA2754" s="204" t="n"/>
      <c r="CB2754" s="208" t="n"/>
      <c r="CC2754" s="139" t="n"/>
      <c r="CD2754" s="204" t="n"/>
      <c r="CE2754" s="204" t="n"/>
      <c r="CF2754" s="207" t="n"/>
      <c r="CG2754" s="208" t="n"/>
      <c r="CH2754" s="207" t="n"/>
      <c r="CI2754" s="208" t="n"/>
      <c r="CJ2754" s="204" t="n"/>
      <c r="CK2754" s="208" t="n"/>
      <c r="CL2754" s="208" t="n"/>
      <c r="CM2754" s="208" t="n"/>
      <c r="CN2754" s="78" t="n"/>
      <c r="CO2754" s="209" t="n"/>
      <c r="CP2754" s="204" t="n"/>
      <c r="CQ2754" s="204" t="n"/>
      <c r="CR2754" s="204" t="n"/>
      <c r="CS2754" s="204" t="n"/>
      <c r="CT2754" s="204" t="n"/>
      <c r="CU2754" s="204" t="n"/>
      <c r="CV2754" s="204" t="n"/>
      <c r="CW2754" s="204" t="n"/>
    </row>
    <row r="2755">
      <c r="BF2755" s="78" t="n"/>
      <c r="BG2755" s="78" t="n"/>
      <c r="BH2755" s="78" t="n"/>
      <c r="BI2755" s="78" t="n"/>
      <c r="BJ2755" s="139" t="n"/>
      <c r="BK2755" s="204" t="n"/>
      <c r="BL2755" s="141" t="n"/>
      <c r="BM2755" s="205" t="n"/>
      <c r="BN2755" s="205" t="n"/>
      <c r="BO2755" s="206" t="n"/>
      <c r="BP2755" s="144" t="n"/>
      <c r="BQ2755" s="141" t="n"/>
      <c r="BR2755" s="207" t="n"/>
      <c r="BS2755" s="207" t="n"/>
      <c r="BT2755" s="207" t="n"/>
      <c r="BU2755" s="207" t="n"/>
      <c r="BV2755" s="208" t="n"/>
      <c r="BW2755" s="207" t="n"/>
      <c r="BX2755" s="207" t="n"/>
      <c r="BY2755" s="204" t="n"/>
      <c r="BZ2755" s="148" t="n"/>
      <c r="CA2755" s="204" t="n"/>
      <c r="CB2755" s="208" t="n"/>
      <c r="CC2755" s="139" t="n"/>
      <c r="CD2755" s="204" t="n"/>
      <c r="CE2755" s="204" t="n"/>
      <c r="CF2755" s="207" t="n"/>
      <c r="CG2755" s="208" t="n"/>
      <c r="CH2755" s="207" t="n"/>
      <c r="CI2755" s="208" t="n"/>
      <c r="CJ2755" s="204" t="n"/>
      <c r="CK2755" s="208" t="n"/>
      <c r="CL2755" s="208" t="n"/>
      <c r="CM2755" s="208" t="n"/>
      <c r="CN2755" s="78" t="n"/>
      <c r="CO2755" s="209" t="n"/>
      <c r="CP2755" s="204" t="n"/>
      <c r="CQ2755" s="204" t="n"/>
      <c r="CR2755" s="204" t="n"/>
      <c r="CS2755" s="204" t="n"/>
      <c r="CT2755" s="204" t="n"/>
      <c r="CU2755" s="204" t="n"/>
      <c r="CV2755" s="204" t="n"/>
      <c r="CW2755" s="204" t="n"/>
    </row>
    <row r="2756">
      <c r="BF2756" s="78" t="n"/>
      <c r="BG2756" s="78" t="n"/>
      <c r="BH2756" s="78" t="n"/>
      <c r="BI2756" s="78" t="n"/>
      <c r="BJ2756" s="139" t="n"/>
      <c r="BK2756" s="204" t="n"/>
      <c r="BL2756" s="141" t="n"/>
      <c r="BM2756" s="205" t="n"/>
      <c r="BN2756" s="205" t="n"/>
      <c r="BO2756" s="206" t="n"/>
      <c r="BP2756" s="144" t="n"/>
      <c r="BQ2756" s="141" t="n"/>
      <c r="BR2756" s="207" t="n"/>
      <c r="BS2756" s="207" t="n"/>
      <c r="BT2756" s="207" t="n"/>
      <c r="BU2756" s="207" t="n"/>
      <c r="BV2756" s="208" t="n"/>
      <c r="BW2756" s="207" t="n"/>
      <c r="BX2756" s="207" t="n"/>
      <c r="BY2756" s="204" t="n"/>
      <c r="BZ2756" s="148" t="n"/>
      <c r="CA2756" s="204" t="n"/>
      <c r="CB2756" s="208" t="n"/>
      <c r="CC2756" s="139" t="n"/>
      <c r="CD2756" s="204" t="n"/>
      <c r="CE2756" s="204" t="n"/>
      <c r="CF2756" s="207" t="n"/>
      <c r="CG2756" s="208" t="n"/>
      <c r="CH2756" s="207" t="n"/>
      <c r="CI2756" s="208" t="n"/>
      <c r="CJ2756" s="204" t="n"/>
      <c r="CK2756" s="208" t="n"/>
      <c r="CL2756" s="208" t="n"/>
      <c r="CM2756" s="208" t="n"/>
      <c r="CN2756" s="78" t="n"/>
      <c r="CO2756" s="209" t="n"/>
      <c r="CP2756" s="204" t="n"/>
      <c r="CQ2756" s="204" t="n"/>
      <c r="CR2756" s="204" t="n"/>
      <c r="CS2756" s="204" t="n"/>
      <c r="CT2756" s="204" t="n"/>
      <c r="CU2756" s="204" t="n"/>
      <c r="CV2756" s="204" t="n"/>
      <c r="CW2756" s="204" t="n"/>
    </row>
    <row r="2757">
      <c r="BF2757" s="78" t="n"/>
      <c r="BG2757" s="78" t="n"/>
      <c r="BH2757" s="78" t="n"/>
      <c r="BI2757" s="78" t="n"/>
      <c r="BJ2757" s="139" t="n"/>
      <c r="BK2757" s="204" t="n"/>
      <c r="BL2757" s="141" t="n"/>
      <c r="BM2757" s="205" t="n"/>
      <c r="BN2757" s="205" t="n"/>
      <c r="BO2757" s="206" t="n"/>
      <c r="BP2757" s="144" t="n"/>
      <c r="BQ2757" s="141" t="n"/>
      <c r="BR2757" s="207" t="n"/>
      <c r="BS2757" s="207" t="n"/>
      <c r="BT2757" s="207" t="n"/>
      <c r="BU2757" s="207" t="n"/>
      <c r="BV2757" s="208" t="n"/>
      <c r="BW2757" s="207" t="n"/>
      <c r="BX2757" s="207" t="n"/>
      <c r="BY2757" s="204" t="n"/>
      <c r="BZ2757" s="148" t="n"/>
      <c r="CA2757" s="204" t="n"/>
      <c r="CB2757" s="208" t="n"/>
      <c r="CC2757" s="139" t="n"/>
      <c r="CD2757" s="204" t="n"/>
      <c r="CE2757" s="204" t="n"/>
      <c r="CF2757" s="207" t="n"/>
      <c r="CG2757" s="208" t="n"/>
      <c r="CH2757" s="207" t="n"/>
      <c r="CI2757" s="208" t="n"/>
      <c r="CJ2757" s="204" t="n"/>
      <c r="CK2757" s="208" t="n"/>
      <c r="CL2757" s="208" t="n"/>
      <c r="CM2757" s="208" t="n"/>
      <c r="CN2757" s="78" t="n"/>
      <c r="CO2757" s="209" t="n"/>
      <c r="CP2757" s="204" t="n"/>
      <c r="CQ2757" s="204" t="n"/>
      <c r="CR2757" s="204" t="n"/>
      <c r="CS2757" s="204" t="n"/>
      <c r="CT2757" s="204" t="n"/>
      <c r="CU2757" s="204" t="n"/>
      <c r="CV2757" s="204" t="n"/>
      <c r="CW2757" s="204" t="n"/>
    </row>
    <row r="2758">
      <c r="BF2758" s="78" t="n"/>
      <c r="BG2758" s="78" t="n"/>
      <c r="BH2758" s="78" t="n"/>
      <c r="BI2758" s="78" t="n"/>
      <c r="BJ2758" s="139" t="n"/>
      <c r="BK2758" s="204" t="n"/>
      <c r="BL2758" s="141" t="n"/>
      <c r="BM2758" s="205" t="n"/>
      <c r="BN2758" s="205" t="n"/>
      <c r="BO2758" s="206" t="n"/>
      <c r="BP2758" s="144" t="n"/>
      <c r="BQ2758" s="141" t="n"/>
      <c r="BR2758" s="207" t="n"/>
      <c r="BS2758" s="207" t="n"/>
      <c r="BT2758" s="207" t="n"/>
      <c r="BU2758" s="207" t="n"/>
      <c r="BV2758" s="208" t="n"/>
      <c r="BW2758" s="207" t="n"/>
      <c r="BX2758" s="207" t="n"/>
      <c r="BY2758" s="204" t="n"/>
      <c r="BZ2758" s="148" t="n"/>
      <c r="CA2758" s="204" t="n"/>
      <c r="CB2758" s="208" t="n"/>
      <c r="CC2758" s="139" t="n"/>
      <c r="CD2758" s="204" t="n"/>
      <c r="CE2758" s="204" t="n"/>
      <c r="CF2758" s="207" t="n"/>
      <c r="CG2758" s="208" t="n"/>
      <c r="CH2758" s="207" t="n"/>
      <c r="CI2758" s="208" t="n"/>
      <c r="CJ2758" s="204" t="n"/>
      <c r="CK2758" s="208" t="n"/>
      <c r="CL2758" s="208" t="n"/>
      <c r="CM2758" s="208" t="n"/>
      <c r="CN2758" s="78" t="n"/>
      <c r="CO2758" s="209" t="n"/>
      <c r="CP2758" s="204" t="n"/>
      <c r="CQ2758" s="204" t="n"/>
      <c r="CR2758" s="204" t="n"/>
      <c r="CS2758" s="204" t="n"/>
      <c r="CT2758" s="204" t="n"/>
      <c r="CU2758" s="204" t="n"/>
      <c r="CV2758" s="204" t="n"/>
      <c r="CW2758" s="204" t="n"/>
    </row>
    <row r="2759">
      <c r="BF2759" s="78" t="n"/>
      <c r="BG2759" s="78" t="n"/>
      <c r="BH2759" s="78" t="n"/>
      <c r="BI2759" s="78" t="n"/>
      <c r="BJ2759" s="139" t="n"/>
      <c r="BK2759" s="204" t="n"/>
      <c r="BL2759" s="141" t="n"/>
      <c r="BM2759" s="205" t="n"/>
      <c r="BN2759" s="205" t="n"/>
      <c r="BO2759" s="206" t="n"/>
      <c r="BP2759" s="144" t="n"/>
      <c r="BQ2759" s="141" t="n"/>
      <c r="BR2759" s="207" t="n"/>
      <c r="BS2759" s="207" t="n"/>
      <c r="BT2759" s="207" t="n"/>
      <c r="BU2759" s="207" t="n"/>
      <c r="BV2759" s="208" t="n"/>
      <c r="BW2759" s="207" t="n"/>
      <c r="BX2759" s="207" t="n"/>
      <c r="BY2759" s="204" t="n"/>
      <c r="BZ2759" s="148" t="n"/>
      <c r="CA2759" s="204" t="n"/>
      <c r="CB2759" s="208" t="n"/>
      <c r="CC2759" s="139" t="n"/>
      <c r="CD2759" s="204" t="n"/>
      <c r="CE2759" s="204" t="n"/>
      <c r="CF2759" s="207" t="n"/>
      <c r="CG2759" s="208" t="n"/>
      <c r="CH2759" s="207" t="n"/>
      <c r="CI2759" s="208" t="n"/>
      <c r="CJ2759" s="204" t="n"/>
      <c r="CK2759" s="208" t="n"/>
      <c r="CL2759" s="208" t="n"/>
      <c r="CM2759" s="208" t="n"/>
      <c r="CN2759" s="78" t="n"/>
      <c r="CO2759" s="209" t="n"/>
      <c r="CP2759" s="204" t="n"/>
      <c r="CQ2759" s="204" t="n"/>
      <c r="CR2759" s="204" t="n"/>
      <c r="CS2759" s="204" t="n"/>
      <c r="CT2759" s="204" t="n"/>
      <c r="CU2759" s="204" t="n"/>
      <c r="CV2759" s="204" t="n"/>
      <c r="CW2759" s="204" t="n"/>
    </row>
    <row r="2760">
      <c r="BF2760" s="78" t="n"/>
      <c r="BG2760" s="78" t="n"/>
      <c r="BH2760" s="78" t="n"/>
      <c r="BI2760" s="78" t="n"/>
      <c r="BJ2760" s="139" t="n"/>
      <c r="BK2760" s="204" t="n"/>
      <c r="BL2760" s="141" t="n"/>
      <c r="BM2760" s="205" t="n"/>
      <c r="BN2760" s="205" t="n"/>
      <c r="BO2760" s="206" t="n"/>
      <c r="BP2760" s="144" t="n"/>
      <c r="BQ2760" s="141" t="n"/>
      <c r="BR2760" s="207" t="n"/>
      <c r="BS2760" s="207" t="n"/>
      <c r="BT2760" s="207" t="n"/>
      <c r="BU2760" s="207" t="n"/>
      <c r="BV2760" s="208" t="n"/>
      <c r="BW2760" s="207" t="n"/>
      <c r="BX2760" s="207" t="n"/>
      <c r="BY2760" s="204" t="n"/>
      <c r="BZ2760" s="148" t="n"/>
      <c r="CA2760" s="204" t="n"/>
      <c r="CB2760" s="208" t="n"/>
      <c r="CC2760" s="139" t="n"/>
      <c r="CD2760" s="204" t="n"/>
      <c r="CE2760" s="204" t="n"/>
      <c r="CF2760" s="207" t="n"/>
      <c r="CG2760" s="208" t="n"/>
      <c r="CH2760" s="207" t="n"/>
      <c r="CI2760" s="208" t="n"/>
      <c r="CJ2760" s="204" t="n"/>
      <c r="CK2760" s="208" t="n"/>
      <c r="CL2760" s="208" t="n"/>
      <c r="CM2760" s="208" t="n"/>
      <c r="CN2760" s="78" t="n"/>
      <c r="CO2760" s="209" t="n"/>
      <c r="CP2760" s="204" t="n"/>
      <c r="CQ2760" s="204" t="n"/>
      <c r="CR2760" s="204" t="n"/>
      <c r="CS2760" s="204" t="n"/>
      <c r="CT2760" s="204" t="n"/>
      <c r="CU2760" s="204" t="n"/>
      <c r="CV2760" s="204" t="n"/>
      <c r="CW2760" s="204" t="n"/>
    </row>
    <row r="2761">
      <c r="BF2761" s="78" t="n"/>
      <c r="BG2761" s="78" t="n"/>
      <c r="BH2761" s="78" t="n"/>
      <c r="BI2761" s="78" t="n"/>
      <c r="BJ2761" s="139" t="n"/>
      <c r="BK2761" s="204" t="n"/>
      <c r="BL2761" s="141" t="n"/>
      <c r="BM2761" s="205" t="n"/>
      <c r="BN2761" s="205" t="n"/>
      <c r="BO2761" s="206" t="n"/>
      <c r="BP2761" s="144" t="n"/>
      <c r="BQ2761" s="141" t="n"/>
      <c r="BR2761" s="207" t="n"/>
      <c r="BS2761" s="207" t="n"/>
      <c r="BT2761" s="207" t="n"/>
      <c r="BU2761" s="207" t="n"/>
      <c r="BV2761" s="208" t="n"/>
      <c r="BW2761" s="207" t="n"/>
      <c r="BX2761" s="207" t="n"/>
      <c r="BY2761" s="204" t="n"/>
      <c r="BZ2761" s="148" t="n"/>
      <c r="CA2761" s="204" t="n"/>
      <c r="CB2761" s="208" t="n"/>
      <c r="CC2761" s="139" t="n"/>
      <c r="CD2761" s="204" t="n"/>
      <c r="CE2761" s="204" t="n"/>
      <c r="CF2761" s="207" t="n"/>
      <c r="CG2761" s="208" t="n"/>
      <c r="CH2761" s="207" t="n"/>
      <c r="CI2761" s="208" t="n"/>
      <c r="CJ2761" s="204" t="n"/>
      <c r="CK2761" s="208" t="n"/>
      <c r="CL2761" s="208" t="n"/>
      <c r="CM2761" s="208" t="n"/>
      <c r="CN2761" s="78" t="n"/>
      <c r="CO2761" s="209" t="n"/>
      <c r="CP2761" s="204" t="n"/>
      <c r="CQ2761" s="204" t="n"/>
      <c r="CR2761" s="204" t="n"/>
      <c r="CS2761" s="204" t="n"/>
      <c r="CT2761" s="204" t="n"/>
      <c r="CU2761" s="204" t="n"/>
      <c r="CV2761" s="204" t="n"/>
      <c r="CW2761" s="204" t="n"/>
    </row>
    <row r="2762">
      <c r="BF2762" s="78" t="n"/>
      <c r="BG2762" s="78" t="n"/>
      <c r="BH2762" s="78" t="n"/>
      <c r="BI2762" s="78" t="n"/>
      <c r="BJ2762" s="139" t="n"/>
      <c r="BK2762" s="204" t="n"/>
      <c r="BL2762" s="141" t="n"/>
      <c r="BM2762" s="205" t="n"/>
      <c r="BN2762" s="205" t="n"/>
      <c r="BO2762" s="206" t="n"/>
      <c r="BP2762" s="144" t="n"/>
      <c r="BQ2762" s="141" t="n"/>
      <c r="BR2762" s="207" t="n"/>
      <c r="BS2762" s="207" t="n"/>
      <c r="BT2762" s="207" t="n"/>
      <c r="BU2762" s="207" t="n"/>
      <c r="BV2762" s="208" t="n"/>
      <c r="BW2762" s="207" t="n"/>
      <c r="BX2762" s="207" t="n"/>
      <c r="BY2762" s="204" t="n"/>
      <c r="BZ2762" s="148" t="n"/>
      <c r="CA2762" s="204" t="n"/>
      <c r="CB2762" s="208" t="n"/>
      <c r="CC2762" s="139" t="n"/>
      <c r="CD2762" s="204" t="n"/>
      <c r="CE2762" s="204" t="n"/>
      <c r="CF2762" s="207" t="n"/>
      <c r="CG2762" s="208" t="n"/>
      <c r="CH2762" s="207" t="n"/>
      <c r="CI2762" s="208" t="n"/>
      <c r="CJ2762" s="204" t="n"/>
      <c r="CK2762" s="208" t="n"/>
      <c r="CL2762" s="208" t="n"/>
      <c r="CM2762" s="208" t="n"/>
      <c r="CN2762" s="78" t="n"/>
      <c r="CO2762" s="209" t="n"/>
      <c r="CP2762" s="204" t="n"/>
      <c r="CQ2762" s="204" t="n"/>
      <c r="CR2762" s="204" t="n"/>
      <c r="CS2762" s="204" t="n"/>
      <c r="CT2762" s="204" t="n"/>
      <c r="CU2762" s="204" t="n"/>
      <c r="CV2762" s="204" t="n"/>
      <c r="CW2762" s="204" t="n"/>
    </row>
    <row r="2763">
      <c r="BF2763" s="78" t="n"/>
      <c r="BG2763" s="78" t="n"/>
      <c r="BH2763" s="78" t="n"/>
      <c r="BI2763" s="78" t="n"/>
      <c r="BJ2763" s="139" t="n"/>
      <c r="BK2763" s="204" t="n"/>
      <c r="BL2763" s="141" t="n"/>
      <c r="BM2763" s="205" t="n"/>
      <c r="BN2763" s="205" t="n"/>
      <c r="BO2763" s="206" t="n"/>
      <c r="BP2763" s="144" t="n"/>
      <c r="BQ2763" s="141" t="n"/>
      <c r="BR2763" s="207" t="n"/>
      <c r="BS2763" s="207" t="n"/>
      <c r="BT2763" s="207" t="n"/>
      <c r="BU2763" s="207" t="n"/>
      <c r="BV2763" s="208" t="n"/>
      <c r="BW2763" s="207" t="n"/>
      <c r="BX2763" s="207" t="n"/>
      <c r="BY2763" s="204" t="n"/>
      <c r="BZ2763" s="148" t="n"/>
      <c r="CA2763" s="204" t="n"/>
      <c r="CB2763" s="208" t="n"/>
      <c r="CC2763" s="139" t="n"/>
      <c r="CD2763" s="204" t="n"/>
      <c r="CE2763" s="204" t="n"/>
      <c r="CF2763" s="207" t="n"/>
      <c r="CG2763" s="208" t="n"/>
      <c r="CH2763" s="207" t="n"/>
      <c r="CI2763" s="208" t="n"/>
      <c r="CJ2763" s="204" t="n"/>
      <c r="CK2763" s="208" t="n"/>
      <c r="CL2763" s="208" t="n"/>
      <c r="CM2763" s="208" t="n"/>
      <c r="CN2763" s="78" t="n"/>
      <c r="CO2763" s="209" t="n"/>
      <c r="CP2763" s="204" t="n"/>
      <c r="CQ2763" s="204" t="n"/>
      <c r="CR2763" s="204" t="n"/>
      <c r="CS2763" s="204" t="n"/>
      <c r="CT2763" s="204" t="n"/>
      <c r="CU2763" s="204" t="n"/>
      <c r="CV2763" s="204" t="n"/>
      <c r="CW2763" s="204" t="n"/>
    </row>
    <row r="2764">
      <c r="BF2764" s="78" t="n"/>
      <c r="BG2764" s="78" t="n"/>
      <c r="BH2764" s="78" t="n"/>
      <c r="BI2764" s="78" t="n"/>
      <c r="BJ2764" s="139" t="n"/>
      <c r="BK2764" s="204" t="n"/>
      <c r="BL2764" s="141" t="n"/>
      <c r="BM2764" s="205" t="n"/>
      <c r="BN2764" s="205" t="n"/>
      <c r="BO2764" s="206" t="n"/>
      <c r="BP2764" s="144" t="n"/>
      <c r="BQ2764" s="141" t="n"/>
      <c r="BR2764" s="207" t="n"/>
      <c r="BS2764" s="207" t="n"/>
      <c r="BT2764" s="207" t="n"/>
      <c r="BU2764" s="207" t="n"/>
      <c r="BV2764" s="208" t="n"/>
      <c r="BW2764" s="207" t="n"/>
      <c r="BX2764" s="207" t="n"/>
      <c r="BY2764" s="204" t="n"/>
      <c r="BZ2764" s="148" t="n"/>
      <c r="CA2764" s="204" t="n"/>
      <c r="CB2764" s="208" t="n"/>
      <c r="CC2764" s="139" t="n"/>
      <c r="CD2764" s="204" t="n"/>
      <c r="CE2764" s="204" t="n"/>
      <c r="CF2764" s="207" t="n"/>
      <c r="CG2764" s="208" t="n"/>
      <c r="CH2764" s="207" t="n"/>
      <c r="CI2764" s="208" t="n"/>
      <c r="CJ2764" s="204" t="n"/>
      <c r="CK2764" s="208" t="n"/>
      <c r="CL2764" s="208" t="n"/>
      <c r="CM2764" s="208" t="n"/>
      <c r="CN2764" s="78" t="n"/>
      <c r="CO2764" s="209" t="n"/>
      <c r="CP2764" s="204" t="n"/>
      <c r="CQ2764" s="204" t="n"/>
      <c r="CR2764" s="204" t="n"/>
      <c r="CS2764" s="204" t="n"/>
      <c r="CT2764" s="204" t="n"/>
      <c r="CU2764" s="204" t="n"/>
      <c r="CV2764" s="204" t="n"/>
      <c r="CW2764" s="204" t="n"/>
    </row>
    <row r="2765">
      <c r="BF2765" s="78" t="n"/>
      <c r="BG2765" s="78" t="n"/>
      <c r="BH2765" s="78" t="n"/>
      <c r="BI2765" s="78" t="n"/>
      <c r="BJ2765" s="139" t="n"/>
      <c r="BK2765" s="204" t="n"/>
      <c r="BL2765" s="141" t="n"/>
      <c r="BM2765" s="205" t="n"/>
      <c r="BN2765" s="205" t="n"/>
      <c r="BO2765" s="206" t="n"/>
      <c r="BP2765" s="144" t="n"/>
      <c r="BQ2765" s="141" t="n"/>
      <c r="BR2765" s="207" t="n"/>
      <c r="BS2765" s="207" t="n"/>
      <c r="BT2765" s="207" t="n"/>
      <c r="BU2765" s="207" t="n"/>
      <c r="BV2765" s="208" t="n"/>
      <c r="BW2765" s="207" t="n"/>
      <c r="BX2765" s="207" t="n"/>
      <c r="BY2765" s="204" t="n"/>
      <c r="BZ2765" s="148" t="n"/>
      <c r="CA2765" s="204" t="n"/>
      <c r="CB2765" s="208" t="n"/>
      <c r="CC2765" s="139" t="n"/>
      <c r="CD2765" s="204" t="n"/>
      <c r="CE2765" s="204" t="n"/>
      <c r="CF2765" s="207" t="n"/>
      <c r="CG2765" s="208" t="n"/>
      <c r="CH2765" s="207" t="n"/>
      <c r="CI2765" s="208" t="n"/>
      <c r="CJ2765" s="204" t="n"/>
      <c r="CK2765" s="208" t="n"/>
      <c r="CL2765" s="208" t="n"/>
      <c r="CM2765" s="208" t="n"/>
      <c r="CN2765" s="78" t="n"/>
      <c r="CO2765" s="209" t="n"/>
      <c r="CP2765" s="204" t="n"/>
      <c r="CQ2765" s="204" t="n"/>
      <c r="CR2765" s="204" t="n"/>
      <c r="CS2765" s="204" t="n"/>
      <c r="CT2765" s="204" t="n"/>
      <c r="CU2765" s="204" t="n"/>
      <c r="CV2765" s="204" t="n"/>
      <c r="CW2765" s="204" t="n"/>
    </row>
    <row r="2766">
      <c r="BF2766" s="78" t="n"/>
      <c r="BG2766" s="78" t="n"/>
      <c r="BH2766" s="78" t="n"/>
      <c r="BI2766" s="78" t="n"/>
      <c r="BJ2766" s="139" t="n"/>
      <c r="BK2766" s="204" t="n"/>
      <c r="BL2766" s="141" t="n"/>
      <c r="BM2766" s="205" t="n"/>
      <c r="BN2766" s="205" t="n"/>
      <c r="BO2766" s="206" t="n"/>
      <c r="BP2766" s="144" t="n"/>
      <c r="BQ2766" s="141" t="n"/>
      <c r="BR2766" s="207" t="n"/>
      <c r="BS2766" s="207" t="n"/>
      <c r="BT2766" s="207" t="n"/>
      <c r="BU2766" s="207" t="n"/>
      <c r="BV2766" s="208" t="n"/>
      <c r="BW2766" s="207" t="n"/>
      <c r="BX2766" s="207" t="n"/>
      <c r="BY2766" s="204" t="n"/>
      <c r="BZ2766" s="148" t="n"/>
      <c r="CA2766" s="204" t="n"/>
      <c r="CB2766" s="208" t="n"/>
      <c r="CC2766" s="139" t="n"/>
      <c r="CD2766" s="204" t="n"/>
      <c r="CE2766" s="204" t="n"/>
      <c r="CF2766" s="207" t="n"/>
      <c r="CG2766" s="208" t="n"/>
      <c r="CH2766" s="207" t="n"/>
      <c r="CI2766" s="208" t="n"/>
      <c r="CJ2766" s="204" t="n"/>
      <c r="CK2766" s="208" t="n"/>
      <c r="CL2766" s="208" t="n"/>
      <c r="CM2766" s="208" t="n"/>
      <c r="CN2766" s="78" t="n"/>
      <c r="CO2766" s="209" t="n"/>
      <c r="CP2766" s="204" t="n"/>
      <c r="CQ2766" s="204" t="n"/>
      <c r="CR2766" s="204" t="n"/>
      <c r="CS2766" s="204" t="n"/>
      <c r="CT2766" s="204" t="n"/>
      <c r="CU2766" s="204" t="n"/>
      <c r="CV2766" s="204" t="n"/>
      <c r="CW2766" s="204" t="n"/>
    </row>
    <row r="2767">
      <c r="BF2767" s="78" t="n"/>
      <c r="BG2767" s="78" t="n"/>
      <c r="BH2767" s="78" t="n"/>
      <c r="BI2767" s="78" t="n"/>
      <c r="BJ2767" s="139" t="n"/>
      <c r="BK2767" s="204" t="n"/>
      <c r="BL2767" s="141" t="n"/>
      <c r="BM2767" s="205" t="n"/>
      <c r="BN2767" s="205" t="n"/>
      <c r="BO2767" s="206" t="n"/>
      <c r="BP2767" s="144" t="n"/>
      <c r="BQ2767" s="141" t="n"/>
      <c r="BR2767" s="207" t="n"/>
      <c r="BS2767" s="207" t="n"/>
      <c r="BT2767" s="207" t="n"/>
      <c r="BU2767" s="207" t="n"/>
      <c r="BV2767" s="208" t="n"/>
      <c r="BW2767" s="207" t="n"/>
      <c r="BX2767" s="207" t="n"/>
      <c r="BY2767" s="204" t="n"/>
      <c r="BZ2767" s="148" t="n"/>
      <c r="CA2767" s="204" t="n"/>
      <c r="CB2767" s="208" t="n"/>
      <c r="CC2767" s="139" t="n"/>
      <c r="CD2767" s="204" t="n"/>
      <c r="CE2767" s="204" t="n"/>
      <c r="CF2767" s="207" t="n"/>
      <c r="CG2767" s="208" t="n"/>
      <c r="CH2767" s="207" t="n"/>
      <c r="CI2767" s="208" t="n"/>
      <c r="CJ2767" s="204" t="n"/>
      <c r="CK2767" s="208" t="n"/>
      <c r="CL2767" s="208" t="n"/>
      <c r="CM2767" s="208" t="n"/>
      <c r="CN2767" s="78" t="n"/>
      <c r="CO2767" s="209" t="n"/>
      <c r="CP2767" s="204" t="n"/>
      <c r="CQ2767" s="204" t="n"/>
      <c r="CR2767" s="204" t="n"/>
      <c r="CS2767" s="204" t="n"/>
      <c r="CT2767" s="204" t="n"/>
      <c r="CU2767" s="204" t="n"/>
      <c r="CV2767" s="204" t="n"/>
      <c r="CW2767" s="204" t="n"/>
    </row>
    <row r="2768">
      <c r="BF2768" s="78" t="n"/>
      <c r="BG2768" s="78" t="n"/>
      <c r="BH2768" s="78" t="n"/>
      <c r="BI2768" s="78" t="n"/>
      <c r="BJ2768" s="139" t="n"/>
      <c r="BK2768" s="204" t="n"/>
      <c r="BL2768" s="141" t="n"/>
      <c r="BM2768" s="205" t="n"/>
      <c r="BN2768" s="205" t="n"/>
      <c r="BO2768" s="206" t="n"/>
      <c r="BP2768" s="144" t="n"/>
      <c r="BQ2768" s="141" t="n"/>
      <c r="BR2768" s="207" t="n"/>
      <c r="BS2768" s="207" t="n"/>
      <c r="BT2768" s="207" t="n"/>
      <c r="BU2768" s="207" t="n"/>
      <c r="BV2768" s="208" t="n"/>
      <c r="BW2768" s="207" t="n"/>
      <c r="BX2768" s="207" t="n"/>
      <c r="BY2768" s="204" t="n"/>
      <c r="BZ2768" s="148" t="n"/>
      <c r="CA2768" s="204" t="n"/>
      <c r="CB2768" s="208" t="n"/>
      <c r="CC2768" s="139" t="n"/>
      <c r="CD2768" s="204" t="n"/>
      <c r="CE2768" s="204" t="n"/>
      <c r="CF2768" s="207" t="n"/>
      <c r="CG2768" s="208" t="n"/>
      <c r="CH2768" s="207" t="n"/>
      <c r="CI2768" s="208" t="n"/>
      <c r="CJ2768" s="204" t="n"/>
      <c r="CK2768" s="208" t="n"/>
      <c r="CL2768" s="208" t="n"/>
      <c r="CM2768" s="208" t="n"/>
      <c r="CN2768" s="78" t="n"/>
      <c r="CO2768" s="209" t="n"/>
      <c r="CP2768" s="204" t="n"/>
      <c r="CQ2768" s="204" t="n"/>
      <c r="CR2768" s="204" t="n"/>
      <c r="CS2768" s="204" t="n"/>
      <c r="CT2768" s="204" t="n"/>
      <c r="CU2768" s="204" t="n"/>
      <c r="CV2768" s="204" t="n"/>
      <c r="CW2768" s="204" t="n"/>
    </row>
    <row r="2769">
      <c r="BF2769" s="78" t="n"/>
      <c r="BG2769" s="78" t="n"/>
      <c r="BH2769" s="78" t="n"/>
      <c r="BI2769" s="78" t="n"/>
      <c r="BJ2769" s="139" t="n"/>
      <c r="BK2769" s="204" t="n"/>
      <c r="BL2769" s="141" t="n"/>
      <c r="BM2769" s="205" t="n"/>
      <c r="BN2769" s="205" t="n"/>
      <c r="BO2769" s="206" t="n"/>
      <c r="BP2769" s="144" t="n"/>
      <c r="BQ2769" s="141" t="n"/>
      <c r="BR2769" s="207" t="n"/>
      <c r="BS2769" s="207" t="n"/>
      <c r="BT2769" s="207" t="n"/>
      <c r="BU2769" s="207" t="n"/>
      <c r="BV2769" s="208" t="n"/>
      <c r="BW2769" s="207" t="n"/>
      <c r="BX2769" s="207" t="n"/>
      <c r="BY2769" s="204" t="n"/>
      <c r="BZ2769" s="148" t="n"/>
      <c r="CA2769" s="204" t="n"/>
      <c r="CB2769" s="208" t="n"/>
      <c r="CC2769" s="139" t="n"/>
      <c r="CD2769" s="204" t="n"/>
      <c r="CE2769" s="204" t="n"/>
      <c r="CF2769" s="207" t="n"/>
      <c r="CG2769" s="208" t="n"/>
      <c r="CH2769" s="207" t="n"/>
      <c r="CI2769" s="208" t="n"/>
      <c r="CJ2769" s="204" t="n"/>
      <c r="CK2769" s="208" t="n"/>
      <c r="CL2769" s="208" t="n"/>
      <c r="CM2769" s="208" t="n"/>
      <c r="CN2769" s="78" t="n"/>
      <c r="CO2769" s="209" t="n"/>
      <c r="CP2769" s="204" t="n"/>
      <c r="CQ2769" s="204" t="n"/>
      <c r="CR2769" s="204" t="n"/>
      <c r="CS2769" s="204" t="n"/>
      <c r="CT2769" s="204" t="n"/>
      <c r="CU2769" s="204" t="n"/>
      <c r="CV2769" s="204" t="n"/>
      <c r="CW2769" s="204" t="n"/>
    </row>
    <row r="2770">
      <c r="BF2770" s="78" t="n"/>
      <c r="BG2770" s="78" t="n"/>
      <c r="BH2770" s="78" t="n"/>
      <c r="BI2770" s="78" t="n"/>
      <c r="BJ2770" s="139" t="n"/>
      <c r="BK2770" s="204" t="n"/>
      <c r="BL2770" s="141" t="n"/>
      <c r="BM2770" s="205" t="n"/>
      <c r="BN2770" s="205" t="n"/>
      <c r="BO2770" s="206" t="n"/>
      <c r="BP2770" s="144" t="n"/>
      <c r="BQ2770" s="141" t="n"/>
      <c r="BR2770" s="207" t="n"/>
      <c r="BS2770" s="207" t="n"/>
      <c r="BT2770" s="207" t="n"/>
      <c r="BU2770" s="207" t="n"/>
      <c r="BV2770" s="208" t="n"/>
      <c r="BW2770" s="207" t="n"/>
      <c r="BX2770" s="207" t="n"/>
      <c r="BY2770" s="204" t="n"/>
      <c r="BZ2770" s="148" t="n"/>
      <c r="CA2770" s="204" t="n"/>
      <c r="CB2770" s="208" t="n"/>
      <c r="CC2770" s="139" t="n"/>
      <c r="CD2770" s="204" t="n"/>
      <c r="CE2770" s="204" t="n"/>
      <c r="CF2770" s="207" t="n"/>
      <c r="CG2770" s="208" t="n"/>
      <c r="CH2770" s="207" t="n"/>
      <c r="CI2770" s="208" t="n"/>
      <c r="CJ2770" s="204" t="n"/>
      <c r="CK2770" s="208" t="n"/>
      <c r="CL2770" s="208" t="n"/>
      <c r="CM2770" s="208" t="n"/>
      <c r="CN2770" s="78" t="n"/>
      <c r="CO2770" s="209" t="n"/>
      <c r="CP2770" s="204" t="n"/>
      <c r="CQ2770" s="204" t="n"/>
      <c r="CR2770" s="204" t="n"/>
      <c r="CS2770" s="204" t="n"/>
      <c r="CT2770" s="204" t="n"/>
      <c r="CU2770" s="204" t="n"/>
      <c r="CV2770" s="204" t="n"/>
      <c r="CW2770" s="204" t="n"/>
    </row>
    <row r="2771">
      <c r="BF2771" s="78" t="n"/>
      <c r="BG2771" s="78" t="n"/>
      <c r="BH2771" s="78" t="n"/>
      <c r="BI2771" s="78" t="n"/>
      <c r="BJ2771" s="139" t="n"/>
      <c r="BK2771" s="204" t="n"/>
      <c r="BL2771" s="141" t="n"/>
      <c r="BM2771" s="205" t="n"/>
      <c r="BN2771" s="205" t="n"/>
      <c r="BO2771" s="206" t="n"/>
      <c r="BP2771" s="144" t="n"/>
      <c r="BQ2771" s="141" t="n"/>
      <c r="BR2771" s="207" t="n"/>
      <c r="BS2771" s="207" t="n"/>
      <c r="BT2771" s="207" t="n"/>
      <c r="BU2771" s="207" t="n"/>
      <c r="BV2771" s="208" t="n"/>
      <c r="BW2771" s="207" t="n"/>
      <c r="BX2771" s="207" t="n"/>
      <c r="BY2771" s="204" t="n"/>
      <c r="BZ2771" s="148" t="n"/>
      <c r="CA2771" s="204" t="n"/>
      <c r="CB2771" s="208" t="n"/>
      <c r="CC2771" s="139" t="n"/>
      <c r="CD2771" s="204" t="n"/>
      <c r="CE2771" s="204" t="n"/>
      <c r="CF2771" s="207" t="n"/>
      <c r="CG2771" s="208" t="n"/>
      <c r="CH2771" s="207" t="n"/>
      <c r="CI2771" s="208" t="n"/>
      <c r="CJ2771" s="204" t="n"/>
      <c r="CK2771" s="208" t="n"/>
      <c r="CL2771" s="208" t="n"/>
      <c r="CM2771" s="208" t="n"/>
      <c r="CN2771" s="78" t="n"/>
      <c r="CO2771" s="209" t="n"/>
      <c r="CP2771" s="204" t="n"/>
      <c r="CQ2771" s="204" t="n"/>
      <c r="CR2771" s="204" t="n"/>
      <c r="CS2771" s="204" t="n"/>
      <c r="CT2771" s="204" t="n"/>
      <c r="CU2771" s="204" t="n"/>
      <c r="CV2771" s="204" t="n"/>
      <c r="CW2771" s="204" t="n"/>
    </row>
    <row r="2772">
      <c r="BF2772" s="78" t="n"/>
      <c r="BG2772" s="78" t="n"/>
      <c r="BH2772" s="78" t="n"/>
      <c r="BI2772" s="78" t="n"/>
      <c r="BJ2772" s="139" t="n"/>
      <c r="BK2772" s="204" t="n"/>
      <c r="BL2772" s="141" t="n"/>
      <c r="BM2772" s="205" t="n"/>
      <c r="BN2772" s="205" t="n"/>
      <c r="BO2772" s="206" t="n"/>
      <c r="BP2772" s="144" t="n"/>
      <c r="BQ2772" s="141" t="n"/>
      <c r="BR2772" s="207" t="n"/>
      <c r="BS2772" s="207" t="n"/>
      <c r="BT2772" s="207" t="n"/>
      <c r="BU2772" s="207" t="n"/>
      <c r="BV2772" s="208" t="n"/>
      <c r="BW2772" s="207" t="n"/>
      <c r="BX2772" s="207" t="n"/>
      <c r="BY2772" s="204" t="n"/>
      <c r="BZ2772" s="148" t="n"/>
      <c r="CA2772" s="204" t="n"/>
      <c r="CB2772" s="208" t="n"/>
      <c r="CC2772" s="139" t="n"/>
      <c r="CD2772" s="204" t="n"/>
      <c r="CE2772" s="204" t="n"/>
      <c r="CF2772" s="207" t="n"/>
      <c r="CG2772" s="208" t="n"/>
      <c r="CH2772" s="207" t="n"/>
      <c r="CI2772" s="208" t="n"/>
      <c r="CJ2772" s="204" t="n"/>
      <c r="CK2772" s="208" t="n"/>
      <c r="CL2772" s="208" t="n"/>
      <c r="CM2772" s="208" t="n"/>
      <c r="CN2772" s="78" t="n"/>
      <c r="CO2772" s="209" t="n"/>
      <c r="CP2772" s="204" t="n"/>
      <c r="CQ2772" s="204" t="n"/>
      <c r="CR2772" s="204" t="n"/>
      <c r="CS2772" s="204" t="n"/>
      <c r="CT2772" s="204" t="n"/>
      <c r="CU2772" s="204" t="n"/>
      <c r="CV2772" s="204" t="n"/>
      <c r="CW2772" s="204" t="n"/>
    </row>
    <row r="2773">
      <c r="BF2773" s="78" t="n"/>
      <c r="BG2773" s="78" t="n"/>
      <c r="BH2773" s="78" t="n"/>
      <c r="BI2773" s="78" t="n"/>
      <c r="BJ2773" s="139" t="n"/>
      <c r="BK2773" s="204" t="n"/>
      <c r="BL2773" s="141" t="n"/>
      <c r="BM2773" s="205" t="n"/>
      <c r="BN2773" s="205" t="n"/>
      <c r="BO2773" s="206" t="n"/>
      <c r="BP2773" s="144" t="n"/>
      <c r="BQ2773" s="141" t="n"/>
      <c r="BR2773" s="207" t="n"/>
      <c r="BS2773" s="207" t="n"/>
      <c r="BT2773" s="207" t="n"/>
      <c r="BU2773" s="207" t="n"/>
      <c r="BV2773" s="208" t="n"/>
      <c r="BW2773" s="207" t="n"/>
      <c r="BX2773" s="207" t="n"/>
      <c r="BY2773" s="204" t="n"/>
      <c r="BZ2773" s="148" t="n"/>
      <c r="CA2773" s="204" t="n"/>
      <c r="CB2773" s="208" t="n"/>
      <c r="CC2773" s="139" t="n"/>
      <c r="CD2773" s="204" t="n"/>
      <c r="CE2773" s="204" t="n"/>
      <c r="CF2773" s="207" t="n"/>
      <c r="CG2773" s="208" t="n"/>
      <c r="CH2773" s="207" t="n"/>
      <c r="CI2773" s="208" t="n"/>
      <c r="CJ2773" s="204" t="n"/>
      <c r="CK2773" s="208" t="n"/>
      <c r="CL2773" s="208" t="n"/>
      <c r="CM2773" s="208" t="n"/>
      <c r="CN2773" s="78" t="n"/>
      <c r="CO2773" s="209" t="n"/>
      <c r="CP2773" s="204" t="n"/>
      <c r="CQ2773" s="204" t="n"/>
      <c r="CR2773" s="204" t="n"/>
      <c r="CS2773" s="204" t="n"/>
      <c r="CT2773" s="204" t="n"/>
      <c r="CU2773" s="204" t="n"/>
      <c r="CV2773" s="204" t="n"/>
      <c r="CW2773" s="204" t="n"/>
    </row>
    <row r="2774">
      <c r="BF2774" s="78" t="n"/>
      <c r="BG2774" s="78" t="n"/>
      <c r="BH2774" s="78" t="n"/>
      <c r="BI2774" s="78" t="n"/>
      <c r="BJ2774" s="139" t="n"/>
      <c r="BK2774" s="204" t="n"/>
      <c r="BL2774" s="141" t="n"/>
      <c r="BM2774" s="205" t="n"/>
      <c r="BN2774" s="205" t="n"/>
      <c r="BO2774" s="206" t="n"/>
      <c r="BP2774" s="144" t="n"/>
      <c r="BQ2774" s="141" t="n"/>
      <c r="BR2774" s="207" t="n"/>
      <c r="BS2774" s="207" t="n"/>
      <c r="BT2774" s="207" t="n"/>
      <c r="BU2774" s="207" t="n"/>
      <c r="BV2774" s="208" t="n"/>
      <c r="BW2774" s="207" t="n"/>
      <c r="BX2774" s="207" t="n"/>
      <c r="BY2774" s="204" t="n"/>
      <c r="BZ2774" s="148" t="n"/>
      <c r="CA2774" s="204" t="n"/>
      <c r="CB2774" s="208" t="n"/>
      <c r="CC2774" s="139" t="n"/>
      <c r="CD2774" s="204" t="n"/>
      <c r="CE2774" s="204" t="n"/>
      <c r="CF2774" s="207" t="n"/>
      <c r="CG2774" s="208" t="n"/>
      <c r="CH2774" s="207" t="n"/>
      <c r="CI2774" s="208" t="n"/>
      <c r="CJ2774" s="204" t="n"/>
      <c r="CK2774" s="208" t="n"/>
      <c r="CL2774" s="208" t="n"/>
      <c r="CM2774" s="208" t="n"/>
      <c r="CN2774" s="78" t="n"/>
      <c r="CO2774" s="209" t="n"/>
      <c r="CP2774" s="204" t="n"/>
      <c r="CQ2774" s="204" t="n"/>
      <c r="CR2774" s="204" t="n"/>
      <c r="CS2774" s="204" t="n"/>
      <c r="CT2774" s="204" t="n"/>
      <c r="CU2774" s="204" t="n"/>
      <c r="CV2774" s="204" t="n"/>
      <c r="CW2774" s="204" t="n"/>
    </row>
    <row r="2775">
      <c r="BF2775" s="78" t="n"/>
      <c r="BG2775" s="78" t="n"/>
      <c r="BH2775" s="78" t="n"/>
      <c r="BI2775" s="78" t="n"/>
      <c r="BJ2775" s="139" t="n"/>
      <c r="BK2775" s="204" t="n"/>
      <c r="BL2775" s="141" t="n"/>
      <c r="BM2775" s="205" t="n"/>
      <c r="BN2775" s="205" t="n"/>
      <c r="BO2775" s="206" t="n"/>
      <c r="BP2775" s="144" t="n"/>
      <c r="BQ2775" s="141" t="n"/>
      <c r="BR2775" s="207" t="n"/>
      <c r="BS2775" s="207" t="n"/>
      <c r="BT2775" s="207" t="n"/>
      <c r="BU2775" s="207" t="n"/>
      <c r="BV2775" s="208" t="n"/>
      <c r="BW2775" s="207" t="n"/>
      <c r="BX2775" s="207" t="n"/>
      <c r="BY2775" s="204" t="n"/>
      <c r="BZ2775" s="148" t="n"/>
      <c r="CA2775" s="204" t="n"/>
      <c r="CB2775" s="208" t="n"/>
      <c r="CC2775" s="139" t="n"/>
      <c r="CD2775" s="204" t="n"/>
      <c r="CE2775" s="204" t="n"/>
      <c r="CF2775" s="207" t="n"/>
      <c r="CG2775" s="208" t="n"/>
      <c r="CH2775" s="207" t="n"/>
      <c r="CI2775" s="208" t="n"/>
      <c r="CJ2775" s="204" t="n"/>
      <c r="CK2775" s="208" t="n"/>
      <c r="CL2775" s="208" t="n"/>
      <c r="CM2775" s="208" t="n"/>
      <c r="CN2775" s="78" t="n"/>
      <c r="CO2775" s="209" t="n"/>
      <c r="CP2775" s="204" t="n"/>
      <c r="CQ2775" s="204" t="n"/>
      <c r="CR2775" s="204" t="n"/>
      <c r="CS2775" s="204" t="n"/>
      <c r="CT2775" s="204" t="n"/>
      <c r="CU2775" s="204" t="n"/>
      <c r="CV2775" s="204" t="n"/>
      <c r="CW2775" s="204" t="n"/>
    </row>
    <row r="2776">
      <c r="BF2776" s="78" t="n"/>
      <c r="BG2776" s="78" t="n"/>
      <c r="BH2776" s="78" t="n"/>
      <c r="BI2776" s="78" t="n"/>
      <c r="BJ2776" s="139" t="n"/>
      <c r="BK2776" s="204" t="n"/>
      <c r="BL2776" s="141" t="n"/>
      <c r="BM2776" s="205" t="n"/>
      <c r="BN2776" s="205" t="n"/>
      <c r="BO2776" s="206" t="n"/>
      <c r="BP2776" s="144" t="n"/>
      <c r="BQ2776" s="141" t="n"/>
      <c r="BR2776" s="207" t="n"/>
      <c r="BS2776" s="207" t="n"/>
      <c r="BT2776" s="207" t="n"/>
      <c r="BU2776" s="207" t="n"/>
      <c r="BV2776" s="208" t="n"/>
      <c r="BW2776" s="207" t="n"/>
      <c r="BX2776" s="207" t="n"/>
      <c r="BY2776" s="204" t="n"/>
      <c r="BZ2776" s="148" t="n"/>
      <c r="CA2776" s="204" t="n"/>
      <c r="CB2776" s="208" t="n"/>
      <c r="CC2776" s="139" t="n"/>
      <c r="CD2776" s="204" t="n"/>
      <c r="CE2776" s="204" t="n"/>
      <c r="CF2776" s="207" t="n"/>
      <c r="CG2776" s="208" t="n"/>
      <c r="CH2776" s="207" t="n"/>
      <c r="CI2776" s="208" t="n"/>
      <c r="CJ2776" s="204" t="n"/>
      <c r="CK2776" s="208" t="n"/>
      <c r="CL2776" s="208" t="n"/>
      <c r="CM2776" s="208" t="n"/>
      <c r="CN2776" s="78" t="n"/>
      <c r="CO2776" s="209" t="n"/>
      <c r="CP2776" s="204" t="n"/>
      <c r="CQ2776" s="204" t="n"/>
      <c r="CR2776" s="204" t="n"/>
      <c r="CS2776" s="204" t="n"/>
      <c r="CT2776" s="204" t="n"/>
      <c r="CU2776" s="204" t="n"/>
      <c r="CV2776" s="204" t="n"/>
      <c r="CW2776" s="204" t="n"/>
    </row>
    <row r="2777">
      <c r="BF2777" s="78" t="n"/>
      <c r="BG2777" s="78" t="n"/>
      <c r="BH2777" s="78" t="n"/>
      <c r="BI2777" s="78" t="n"/>
      <c r="BJ2777" s="139" t="n"/>
      <c r="BK2777" s="204" t="n"/>
      <c r="BL2777" s="141" t="n"/>
      <c r="BM2777" s="205" t="n"/>
      <c r="BN2777" s="205" t="n"/>
      <c r="BO2777" s="206" t="n"/>
      <c r="BP2777" s="144" t="n"/>
      <c r="BQ2777" s="141" t="n"/>
      <c r="BR2777" s="207" t="n"/>
      <c r="BS2777" s="207" t="n"/>
      <c r="BT2777" s="207" t="n"/>
      <c r="BU2777" s="207" t="n"/>
      <c r="BV2777" s="208" t="n"/>
      <c r="BW2777" s="207" t="n"/>
      <c r="BX2777" s="207" t="n"/>
      <c r="BY2777" s="204" t="n"/>
      <c r="BZ2777" s="148" t="n"/>
      <c r="CA2777" s="204" t="n"/>
      <c r="CB2777" s="208" t="n"/>
      <c r="CC2777" s="139" t="n"/>
      <c r="CD2777" s="204" t="n"/>
      <c r="CE2777" s="204" t="n"/>
      <c r="CF2777" s="207" t="n"/>
      <c r="CG2777" s="208" t="n"/>
      <c r="CH2777" s="207" t="n"/>
      <c r="CI2777" s="208" t="n"/>
      <c r="CJ2777" s="204" t="n"/>
      <c r="CK2777" s="208" t="n"/>
      <c r="CL2777" s="208" t="n"/>
      <c r="CM2777" s="208" t="n"/>
      <c r="CN2777" s="78" t="n"/>
      <c r="CO2777" s="209" t="n"/>
      <c r="CP2777" s="204" t="n"/>
      <c r="CQ2777" s="204" t="n"/>
      <c r="CR2777" s="204" t="n"/>
      <c r="CS2777" s="204" t="n"/>
      <c r="CT2777" s="204" t="n"/>
      <c r="CU2777" s="204" t="n"/>
      <c r="CV2777" s="204" t="n"/>
      <c r="CW2777" s="204" t="n"/>
    </row>
    <row r="2778">
      <c r="BF2778" s="78" t="n"/>
      <c r="BG2778" s="78" t="n"/>
      <c r="BH2778" s="78" t="n"/>
      <c r="BI2778" s="78" t="n"/>
      <c r="BJ2778" s="139" t="n"/>
      <c r="BK2778" s="204" t="n"/>
      <c r="BL2778" s="141" t="n"/>
      <c r="BM2778" s="205" t="n"/>
      <c r="BN2778" s="205" t="n"/>
      <c r="BO2778" s="206" t="n"/>
      <c r="BP2778" s="144" t="n"/>
      <c r="BQ2778" s="141" t="n"/>
      <c r="BR2778" s="207" t="n"/>
      <c r="BS2778" s="207" t="n"/>
      <c r="BT2778" s="207" t="n"/>
      <c r="BU2778" s="207" t="n"/>
      <c r="BV2778" s="208" t="n"/>
      <c r="BW2778" s="207" t="n"/>
      <c r="BX2778" s="207" t="n"/>
      <c r="BY2778" s="204" t="n"/>
      <c r="BZ2778" s="148" t="n"/>
      <c r="CA2778" s="204" t="n"/>
      <c r="CB2778" s="208" t="n"/>
      <c r="CC2778" s="139" t="n"/>
      <c r="CD2778" s="204" t="n"/>
      <c r="CE2778" s="204" t="n"/>
      <c r="CF2778" s="207" t="n"/>
      <c r="CG2778" s="208" t="n"/>
      <c r="CH2778" s="207" t="n"/>
      <c r="CI2778" s="208" t="n"/>
      <c r="CJ2778" s="204" t="n"/>
      <c r="CK2778" s="208" t="n"/>
      <c r="CL2778" s="208" t="n"/>
      <c r="CM2778" s="208" t="n"/>
      <c r="CN2778" s="78" t="n"/>
      <c r="CO2778" s="209" t="n"/>
      <c r="CP2778" s="204" t="n"/>
      <c r="CQ2778" s="204" t="n"/>
      <c r="CR2778" s="204" t="n"/>
      <c r="CS2778" s="204" t="n"/>
      <c r="CT2778" s="204" t="n"/>
      <c r="CU2778" s="204" t="n"/>
      <c r="CV2778" s="204" t="n"/>
      <c r="CW2778" s="204" t="n"/>
    </row>
    <row r="2779">
      <c r="BF2779" s="78" t="n"/>
      <c r="BG2779" s="78" t="n"/>
      <c r="BH2779" s="78" t="n"/>
      <c r="BI2779" s="78" t="n"/>
      <c r="BJ2779" s="139" t="n"/>
      <c r="BK2779" s="204" t="n"/>
      <c r="BL2779" s="141" t="n"/>
      <c r="BM2779" s="205" t="n"/>
      <c r="BN2779" s="205" t="n"/>
      <c r="BO2779" s="206" t="n"/>
      <c r="BP2779" s="144" t="n"/>
      <c r="BQ2779" s="141" t="n"/>
      <c r="BR2779" s="207" t="n"/>
      <c r="BS2779" s="207" t="n"/>
      <c r="BT2779" s="207" t="n"/>
      <c r="BU2779" s="207" t="n"/>
      <c r="BV2779" s="208" t="n"/>
      <c r="BW2779" s="207" t="n"/>
      <c r="BX2779" s="207" t="n"/>
      <c r="BY2779" s="204" t="n"/>
      <c r="BZ2779" s="148" t="n"/>
      <c r="CA2779" s="204" t="n"/>
      <c r="CB2779" s="208" t="n"/>
      <c r="CC2779" s="139" t="n"/>
      <c r="CD2779" s="204" t="n"/>
      <c r="CE2779" s="204" t="n"/>
      <c r="CF2779" s="207" t="n"/>
      <c r="CG2779" s="208" t="n"/>
      <c r="CH2779" s="207" t="n"/>
      <c r="CI2779" s="208" t="n"/>
      <c r="CJ2779" s="204" t="n"/>
      <c r="CK2779" s="208" t="n"/>
      <c r="CL2779" s="208" t="n"/>
      <c r="CM2779" s="208" t="n"/>
      <c r="CN2779" s="78" t="n"/>
      <c r="CO2779" s="209" t="n"/>
      <c r="CP2779" s="204" t="n"/>
      <c r="CQ2779" s="204" t="n"/>
      <c r="CR2779" s="204" t="n"/>
      <c r="CS2779" s="204" t="n"/>
      <c r="CT2779" s="204" t="n"/>
      <c r="CU2779" s="204" t="n"/>
      <c r="CV2779" s="204" t="n"/>
      <c r="CW2779" s="204" t="n"/>
    </row>
    <row r="2780">
      <c r="BF2780" s="78" t="n"/>
      <c r="BG2780" s="78" t="n"/>
      <c r="BH2780" s="78" t="n"/>
      <c r="BI2780" s="78" t="n"/>
      <c r="BJ2780" s="139" t="n"/>
      <c r="BK2780" s="204" t="n"/>
      <c r="BL2780" s="141" t="n"/>
      <c r="BM2780" s="205" t="n"/>
      <c r="BN2780" s="205" t="n"/>
      <c r="BO2780" s="206" t="n"/>
      <c r="BP2780" s="144" t="n"/>
      <c r="BQ2780" s="141" t="n"/>
      <c r="BR2780" s="207" t="n"/>
      <c r="BS2780" s="207" t="n"/>
      <c r="BT2780" s="207" t="n"/>
      <c r="BU2780" s="207" t="n"/>
      <c r="BV2780" s="208" t="n"/>
      <c r="BW2780" s="207" t="n"/>
      <c r="BX2780" s="207" t="n"/>
      <c r="BY2780" s="204" t="n"/>
      <c r="BZ2780" s="148" t="n"/>
      <c r="CA2780" s="204" t="n"/>
      <c r="CB2780" s="208" t="n"/>
      <c r="CC2780" s="139" t="n"/>
      <c r="CD2780" s="204" t="n"/>
      <c r="CE2780" s="204" t="n"/>
      <c r="CF2780" s="207" t="n"/>
      <c r="CG2780" s="208" t="n"/>
      <c r="CH2780" s="207" t="n"/>
      <c r="CI2780" s="208" t="n"/>
      <c r="CJ2780" s="204" t="n"/>
      <c r="CK2780" s="208" t="n"/>
      <c r="CL2780" s="208" t="n"/>
      <c r="CM2780" s="208" t="n"/>
      <c r="CN2780" s="78" t="n"/>
      <c r="CO2780" s="209" t="n"/>
      <c r="CP2780" s="204" t="n"/>
      <c r="CQ2780" s="204" t="n"/>
      <c r="CR2780" s="204" t="n"/>
      <c r="CS2780" s="204" t="n"/>
      <c r="CT2780" s="204" t="n"/>
      <c r="CU2780" s="204" t="n"/>
      <c r="CV2780" s="204" t="n"/>
      <c r="CW2780" s="204" t="n"/>
    </row>
    <row r="2781">
      <c r="BF2781" s="78" t="n"/>
      <c r="BG2781" s="78" t="n"/>
      <c r="BH2781" s="78" t="n"/>
      <c r="BI2781" s="78" t="n"/>
      <c r="BJ2781" s="139" t="n"/>
      <c r="BK2781" s="204" t="n"/>
      <c r="BL2781" s="141" t="n"/>
      <c r="BM2781" s="205" t="n"/>
      <c r="BN2781" s="205" t="n"/>
      <c r="BO2781" s="206" t="n"/>
      <c r="BP2781" s="144" t="n"/>
      <c r="BQ2781" s="141" t="n"/>
      <c r="BR2781" s="207" t="n"/>
      <c r="BS2781" s="207" t="n"/>
      <c r="BT2781" s="207" t="n"/>
      <c r="BU2781" s="207" t="n"/>
      <c r="BV2781" s="208" t="n"/>
      <c r="BW2781" s="207" t="n"/>
      <c r="BX2781" s="207" t="n"/>
      <c r="BY2781" s="204" t="n"/>
      <c r="BZ2781" s="148" t="n"/>
      <c r="CA2781" s="204" t="n"/>
      <c r="CB2781" s="208" t="n"/>
      <c r="CC2781" s="139" t="n"/>
      <c r="CD2781" s="204" t="n"/>
      <c r="CE2781" s="204" t="n"/>
      <c r="CF2781" s="207" t="n"/>
      <c r="CG2781" s="208" t="n"/>
      <c r="CH2781" s="207" t="n"/>
      <c r="CI2781" s="208" t="n"/>
      <c r="CJ2781" s="204" t="n"/>
      <c r="CK2781" s="208" t="n"/>
      <c r="CL2781" s="208" t="n"/>
      <c r="CM2781" s="208" t="n"/>
      <c r="CN2781" s="78" t="n"/>
      <c r="CO2781" s="209" t="n"/>
      <c r="CP2781" s="204" t="n"/>
      <c r="CQ2781" s="204" t="n"/>
      <c r="CR2781" s="204" t="n"/>
      <c r="CS2781" s="204" t="n"/>
      <c r="CT2781" s="204" t="n"/>
      <c r="CU2781" s="204" t="n"/>
      <c r="CV2781" s="204" t="n"/>
      <c r="CW2781" s="204" t="n"/>
    </row>
    <row r="2782">
      <c r="BF2782" s="78" t="n"/>
      <c r="BG2782" s="78" t="n"/>
      <c r="BH2782" s="78" t="n"/>
      <c r="BI2782" s="78" t="n"/>
      <c r="BJ2782" s="139" t="n"/>
      <c r="BK2782" s="204" t="n"/>
      <c r="BL2782" s="141" t="n"/>
      <c r="BM2782" s="205" t="n"/>
      <c r="BN2782" s="205" t="n"/>
      <c r="BO2782" s="206" t="n"/>
      <c r="BP2782" s="144" t="n"/>
      <c r="BQ2782" s="141" t="n"/>
      <c r="BR2782" s="207" t="n"/>
      <c r="BS2782" s="207" t="n"/>
      <c r="BT2782" s="207" t="n"/>
      <c r="BU2782" s="207" t="n"/>
      <c r="BV2782" s="208" t="n"/>
      <c r="BW2782" s="207" t="n"/>
      <c r="BX2782" s="207" t="n"/>
      <c r="BY2782" s="204" t="n"/>
      <c r="BZ2782" s="148" t="n"/>
      <c r="CA2782" s="204" t="n"/>
      <c r="CB2782" s="208" t="n"/>
      <c r="CC2782" s="139" t="n"/>
      <c r="CD2782" s="204" t="n"/>
      <c r="CE2782" s="204" t="n"/>
      <c r="CF2782" s="207" t="n"/>
      <c r="CG2782" s="208" t="n"/>
      <c r="CH2782" s="207" t="n"/>
      <c r="CI2782" s="208" t="n"/>
      <c r="CJ2782" s="204" t="n"/>
      <c r="CK2782" s="208" t="n"/>
      <c r="CL2782" s="208" t="n"/>
      <c r="CM2782" s="208" t="n"/>
      <c r="CN2782" s="78" t="n"/>
      <c r="CO2782" s="209" t="n"/>
      <c r="CP2782" s="204" t="n"/>
      <c r="CQ2782" s="204" t="n"/>
      <c r="CR2782" s="204" t="n"/>
      <c r="CS2782" s="204" t="n"/>
      <c r="CT2782" s="204" t="n"/>
      <c r="CU2782" s="204" t="n"/>
      <c r="CV2782" s="204" t="n"/>
      <c r="CW2782" s="204" t="n"/>
    </row>
    <row r="2783">
      <c r="BF2783" s="78" t="n"/>
      <c r="BG2783" s="78" t="n"/>
      <c r="BH2783" s="78" t="n"/>
      <c r="BI2783" s="78" t="n"/>
      <c r="BJ2783" s="139" t="n"/>
      <c r="BK2783" s="204" t="n"/>
      <c r="BL2783" s="141" t="n"/>
      <c r="BM2783" s="205" t="n"/>
      <c r="BN2783" s="205" t="n"/>
      <c r="BO2783" s="206" t="n"/>
      <c r="BP2783" s="144" t="n"/>
      <c r="BQ2783" s="141" t="n"/>
      <c r="BR2783" s="207" t="n"/>
      <c r="BS2783" s="207" t="n"/>
      <c r="BT2783" s="207" t="n"/>
      <c r="BU2783" s="207" t="n"/>
      <c r="BV2783" s="208" t="n"/>
      <c r="BW2783" s="207" t="n"/>
      <c r="BX2783" s="207" t="n"/>
      <c r="BY2783" s="204" t="n"/>
      <c r="BZ2783" s="148" t="n"/>
      <c r="CA2783" s="204" t="n"/>
      <c r="CB2783" s="208" t="n"/>
      <c r="CC2783" s="139" t="n"/>
      <c r="CD2783" s="204" t="n"/>
      <c r="CE2783" s="204" t="n"/>
      <c r="CF2783" s="207" t="n"/>
      <c r="CG2783" s="208" t="n"/>
      <c r="CH2783" s="207" t="n"/>
      <c r="CI2783" s="208" t="n"/>
      <c r="CJ2783" s="204" t="n"/>
      <c r="CK2783" s="208" t="n"/>
      <c r="CL2783" s="208" t="n"/>
      <c r="CM2783" s="208" t="n"/>
      <c r="CN2783" s="78" t="n"/>
      <c r="CO2783" s="209" t="n"/>
      <c r="CP2783" s="204" t="n"/>
      <c r="CQ2783" s="204" t="n"/>
      <c r="CR2783" s="204" t="n"/>
      <c r="CS2783" s="204" t="n"/>
      <c r="CT2783" s="204" t="n"/>
      <c r="CU2783" s="204" t="n"/>
      <c r="CV2783" s="204" t="n"/>
      <c r="CW2783" s="204" t="n"/>
    </row>
    <row r="2784">
      <c r="BF2784" s="78" t="n"/>
      <c r="BG2784" s="78" t="n"/>
      <c r="BH2784" s="78" t="n"/>
      <c r="BI2784" s="78" t="n"/>
      <c r="BJ2784" s="139" t="n"/>
      <c r="BK2784" s="204" t="n"/>
      <c r="BL2784" s="141" t="n"/>
      <c r="BM2784" s="205" t="n"/>
      <c r="BN2784" s="205" t="n"/>
      <c r="BO2784" s="206" t="n"/>
      <c r="BP2784" s="144" t="n"/>
      <c r="BQ2784" s="141" t="n"/>
      <c r="BR2784" s="207" t="n"/>
      <c r="BS2784" s="207" t="n"/>
      <c r="BT2784" s="207" t="n"/>
      <c r="BU2784" s="207" t="n"/>
      <c r="BV2784" s="208" t="n"/>
      <c r="BW2784" s="207" t="n"/>
      <c r="BX2784" s="207" t="n"/>
      <c r="BY2784" s="204" t="n"/>
      <c r="BZ2784" s="148" t="n"/>
      <c r="CA2784" s="204" t="n"/>
      <c r="CB2784" s="208" t="n"/>
      <c r="CC2784" s="139" t="n"/>
      <c r="CD2784" s="204" t="n"/>
      <c r="CE2784" s="204" t="n"/>
      <c r="CF2784" s="207" t="n"/>
      <c r="CG2784" s="208" t="n"/>
      <c r="CH2784" s="207" t="n"/>
      <c r="CI2784" s="208" t="n"/>
      <c r="CJ2784" s="204" t="n"/>
      <c r="CK2784" s="208" t="n"/>
      <c r="CL2784" s="208" t="n"/>
      <c r="CM2784" s="208" t="n"/>
      <c r="CN2784" s="78" t="n"/>
      <c r="CO2784" s="209" t="n"/>
      <c r="CP2784" s="204" t="n"/>
      <c r="CQ2784" s="204" t="n"/>
      <c r="CR2784" s="204" t="n"/>
      <c r="CS2784" s="204" t="n"/>
      <c r="CT2784" s="204" t="n"/>
      <c r="CU2784" s="204" t="n"/>
      <c r="CV2784" s="204" t="n"/>
      <c r="CW2784" s="204" t="n"/>
    </row>
    <row r="2785">
      <c r="BF2785" s="78" t="n"/>
      <c r="BG2785" s="78" t="n"/>
      <c r="BH2785" s="78" t="n"/>
      <c r="BI2785" s="78" t="n"/>
      <c r="BJ2785" s="139" t="n"/>
      <c r="BK2785" s="204" t="n"/>
      <c r="BL2785" s="141" t="n"/>
      <c r="BM2785" s="205" t="n"/>
      <c r="BN2785" s="205" t="n"/>
      <c r="BO2785" s="206" t="n"/>
      <c r="BP2785" s="144" t="n"/>
      <c r="BQ2785" s="141" t="n"/>
      <c r="BR2785" s="207" t="n"/>
      <c r="BS2785" s="207" t="n"/>
      <c r="BT2785" s="207" t="n"/>
      <c r="BU2785" s="207" t="n"/>
      <c r="BV2785" s="208" t="n"/>
      <c r="BW2785" s="207" t="n"/>
      <c r="BX2785" s="207" t="n"/>
      <c r="BY2785" s="204" t="n"/>
      <c r="BZ2785" s="148" t="n"/>
      <c r="CA2785" s="204" t="n"/>
      <c r="CB2785" s="208" t="n"/>
      <c r="CC2785" s="139" t="n"/>
      <c r="CD2785" s="204" t="n"/>
      <c r="CE2785" s="204" t="n"/>
      <c r="CF2785" s="207" t="n"/>
      <c r="CG2785" s="208" t="n"/>
      <c r="CH2785" s="207" t="n"/>
      <c r="CI2785" s="208" t="n"/>
      <c r="CJ2785" s="204" t="n"/>
      <c r="CK2785" s="208" t="n"/>
      <c r="CL2785" s="208" t="n"/>
      <c r="CM2785" s="208" t="n"/>
      <c r="CN2785" s="78" t="n"/>
      <c r="CO2785" s="209" t="n"/>
      <c r="CP2785" s="204" t="n"/>
      <c r="CQ2785" s="204" t="n"/>
      <c r="CR2785" s="204" t="n"/>
      <c r="CS2785" s="204" t="n"/>
      <c r="CT2785" s="204" t="n"/>
      <c r="CU2785" s="204" t="n"/>
      <c r="CV2785" s="204" t="n"/>
      <c r="CW2785" s="204" t="n"/>
    </row>
    <row r="2786">
      <c r="BF2786" s="78" t="n"/>
      <c r="BG2786" s="78" t="n"/>
      <c r="BH2786" s="78" t="n"/>
      <c r="BI2786" s="78" t="n"/>
      <c r="BJ2786" s="139" t="n"/>
      <c r="BK2786" s="204" t="n"/>
      <c r="BL2786" s="141" t="n"/>
      <c r="BM2786" s="205" t="n"/>
      <c r="BN2786" s="205" t="n"/>
      <c r="BO2786" s="206" t="n"/>
      <c r="BP2786" s="144" t="n"/>
      <c r="BQ2786" s="141" t="n"/>
      <c r="BR2786" s="207" t="n"/>
      <c r="BS2786" s="207" t="n"/>
      <c r="BT2786" s="207" t="n"/>
      <c r="BU2786" s="207" t="n"/>
      <c r="BV2786" s="208" t="n"/>
      <c r="BW2786" s="207" t="n"/>
      <c r="BX2786" s="207" t="n"/>
      <c r="BY2786" s="204" t="n"/>
      <c r="BZ2786" s="148" t="n"/>
      <c r="CA2786" s="204" t="n"/>
      <c r="CB2786" s="208" t="n"/>
      <c r="CC2786" s="139" t="n"/>
      <c r="CD2786" s="204" t="n"/>
      <c r="CE2786" s="204" t="n"/>
      <c r="CF2786" s="207" t="n"/>
      <c r="CG2786" s="208" t="n"/>
      <c r="CH2786" s="207" t="n"/>
      <c r="CI2786" s="208" t="n"/>
      <c r="CJ2786" s="204" t="n"/>
      <c r="CK2786" s="208" t="n"/>
      <c r="CL2786" s="208" t="n"/>
      <c r="CM2786" s="208" t="n"/>
      <c r="CN2786" s="78" t="n"/>
      <c r="CO2786" s="209" t="n"/>
      <c r="CP2786" s="204" t="n"/>
      <c r="CQ2786" s="204" t="n"/>
      <c r="CR2786" s="204" t="n"/>
      <c r="CS2786" s="204" t="n"/>
      <c r="CT2786" s="204" t="n"/>
      <c r="CU2786" s="204" t="n"/>
      <c r="CV2786" s="204" t="n"/>
      <c r="CW2786" s="204" t="n"/>
    </row>
    <row r="2787">
      <c r="BF2787" s="78" t="n"/>
      <c r="BG2787" s="78" t="n"/>
      <c r="BH2787" s="78" t="n"/>
      <c r="BI2787" s="78" t="n"/>
      <c r="BJ2787" s="139" t="n"/>
      <c r="BK2787" s="204" t="n"/>
      <c r="BL2787" s="141" t="n"/>
      <c r="BM2787" s="205" t="n"/>
      <c r="BN2787" s="205" t="n"/>
      <c r="BO2787" s="206" t="n"/>
      <c r="BP2787" s="144" t="n"/>
      <c r="BQ2787" s="141" t="n"/>
      <c r="BR2787" s="207" t="n"/>
      <c r="BS2787" s="207" t="n"/>
      <c r="BT2787" s="207" t="n"/>
      <c r="BU2787" s="207" t="n"/>
      <c r="BV2787" s="208" t="n"/>
      <c r="BW2787" s="207" t="n"/>
      <c r="BX2787" s="207" t="n"/>
      <c r="BY2787" s="204" t="n"/>
      <c r="BZ2787" s="148" t="n"/>
      <c r="CA2787" s="204" t="n"/>
      <c r="CB2787" s="208" t="n"/>
      <c r="CC2787" s="139" t="n"/>
      <c r="CD2787" s="204" t="n"/>
      <c r="CE2787" s="204" t="n"/>
      <c r="CF2787" s="207" t="n"/>
      <c r="CG2787" s="208" t="n"/>
      <c r="CH2787" s="207" t="n"/>
      <c r="CI2787" s="208" t="n"/>
      <c r="CJ2787" s="204" t="n"/>
      <c r="CK2787" s="208" t="n"/>
      <c r="CL2787" s="208" t="n"/>
      <c r="CM2787" s="208" t="n"/>
      <c r="CN2787" s="78" t="n"/>
      <c r="CO2787" s="209" t="n"/>
      <c r="CP2787" s="204" t="n"/>
      <c r="CQ2787" s="204" t="n"/>
      <c r="CR2787" s="204" t="n"/>
      <c r="CS2787" s="204" t="n"/>
      <c r="CT2787" s="204" t="n"/>
      <c r="CU2787" s="204" t="n"/>
      <c r="CV2787" s="204" t="n"/>
      <c r="CW2787" s="204" t="n"/>
    </row>
    <row r="2788">
      <c r="BF2788" s="78" t="n"/>
      <c r="BG2788" s="78" t="n"/>
      <c r="BH2788" s="78" t="n"/>
      <c r="BI2788" s="78" t="n"/>
      <c r="BJ2788" s="139" t="n"/>
      <c r="BK2788" s="204" t="n"/>
      <c r="BL2788" s="141" t="n"/>
      <c r="BM2788" s="205" t="n"/>
      <c r="BN2788" s="205" t="n"/>
      <c r="BO2788" s="206" t="n"/>
      <c r="BP2788" s="144" t="n"/>
      <c r="BQ2788" s="141" t="n"/>
      <c r="BR2788" s="207" t="n"/>
      <c r="BS2788" s="207" t="n"/>
      <c r="BT2788" s="207" t="n"/>
      <c r="BU2788" s="207" t="n"/>
      <c r="BV2788" s="208" t="n"/>
      <c r="BW2788" s="207" t="n"/>
      <c r="BX2788" s="207" t="n"/>
      <c r="BY2788" s="204" t="n"/>
      <c r="BZ2788" s="148" t="n"/>
      <c r="CA2788" s="204" t="n"/>
      <c r="CB2788" s="208" t="n"/>
      <c r="CC2788" s="139" t="n"/>
      <c r="CD2788" s="204" t="n"/>
      <c r="CE2788" s="204" t="n"/>
      <c r="CF2788" s="207" t="n"/>
      <c r="CG2788" s="208" t="n"/>
      <c r="CH2788" s="207" t="n"/>
      <c r="CI2788" s="208" t="n"/>
      <c r="CJ2788" s="204" t="n"/>
      <c r="CK2788" s="208" t="n"/>
      <c r="CL2788" s="208" t="n"/>
      <c r="CM2788" s="208" t="n"/>
      <c r="CN2788" s="78" t="n"/>
      <c r="CO2788" s="209" t="n"/>
      <c r="CP2788" s="204" t="n"/>
      <c r="CQ2788" s="204" t="n"/>
      <c r="CR2788" s="204" t="n"/>
      <c r="CS2788" s="204" t="n"/>
      <c r="CT2788" s="204" t="n"/>
      <c r="CU2788" s="204" t="n"/>
      <c r="CV2788" s="204" t="n"/>
      <c r="CW2788" s="204" t="n"/>
    </row>
    <row r="2789">
      <c r="BF2789" s="78" t="n"/>
      <c r="BG2789" s="78" t="n"/>
      <c r="BH2789" s="78" t="n"/>
      <c r="BI2789" s="78" t="n"/>
      <c r="BJ2789" s="139" t="n"/>
      <c r="BK2789" s="204" t="n"/>
      <c r="BL2789" s="141" t="n"/>
      <c r="BM2789" s="205" t="n"/>
      <c r="BN2789" s="205" t="n"/>
      <c r="BO2789" s="206" t="n"/>
      <c r="BP2789" s="144" t="n"/>
      <c r="BQ2789" s="141" t="n"/>
      <c r="BR2789" s="207" t="n"/>
      <c r="BS2789" s="207" t="n"/>
      <c r="BT2789" s="207" t="n"/>
      <c r="BU2789" s="207" t="n"/>
      <c r="BV2789" s="208" t="n"/>
      <c r="BW2789" s="207" t="n"/>
      <c r="BX2789" s="207" t="n"/>
      <c r="BY2789" s="204" t="n"/>
      <c r="BZ2789" s="148" t="n"/>
      <c r="CA2789" s="204" t="n"/>
      <c r="CB2789" s="208" t="n"/>
      <c r="CC2789" s="139" t="n"/>
      <c r="CD2789" s="204" t="n"/>
      <c r="CE2789" s="204" t="n"/>
      <c r="CF2789" s="207" t="n"/>
      <c r="CG2789" s="208" t="n"/>
      <c r="CH2789" s="207" t="n"/>
      <c r="CI2789" s="208" t="n"/>
      <c r="CJ2789" s="204" t="n"/>
      <c r="CK2789" s="208" t="n"/>
      <c r="CL2789" s="208" t="n"/>
      <c r="CM2789" s="208" t="n"/>
      <c r="CN2789" s="78" t="n"/>
      <c r="CO2789" s="209" t="n"/>
      <c r="CP2789" s="204" t="n"/>
      <c r="CQ2789" s="204" t="n"/>
      <c r="CR2789" s="204" t="n"/>
      <c r="CS2789" s="204" t="n"/>
      <c r="CT2789" s="204" t="n"/>
      <c r="CU2789" s="204" t="n"/>
      <c r="CV2789" s="204" t="n"/>
      <c r="CW2789" s="204" t="n"/>
    </row>
    <row r="2790">
      <c r="BF2790" s="78" t="n"/>
      <c r="BG2790" s="78" t="n"/>
      <c r="BH2790" s="78" t="n"/>
      <c r="BI2790" s="78" t="n"/>
      <c r="BJ2790" s="139" t="n"/>
      <c r="BK2790" s="204" t="n"/>
      <c r="BL2790" s="141" t="n"/>
      <c r="BM2790" s="205" t="n"/>
      <c r="BN2790" s="205" t="n"/>
      <c r="BO2790" s="206" t="n"/>
      <c r="BP2790" s="144" t="n"/>
      <c r="BQ2790" s="141" t="n"/>
      <c r="BR2790" s="207" t="n"/>
      <c r="BS2790" s="207" t="n"/>
      <c r="BT2790" s="207" t="n"/>
      <c r="BU2790" s="207" t="n"/>
      <c r="BV2790" s="208" t="n"/>
      <c r="BW2790" s="207" t="n"/>
      <c r="BX2790" s="207" t="n"/>
      <c r="BY2790" s="204" t="n"/>
      <c r="BZ2790" s="148" t="n"/>
      <c r="CA2790" s="204" t="n"/>
      <c r="CB2790" s="208" t="n"/>
      <c r="CC2790" s="139" t="n"/>
      <c r="CD2790" s="204" t="n"/>
      <c r="CE2790" s="204" t="n"/>
      <c r="CF2790" s="207" t="n"/>
      <c r="CG2790" s="208" t="n"/>
      <c r="CH2790" s="207" t="n"/>
      <c r="CI2790" s="208" t="n"/>
      <c r="CJ2790" s="204" t="n"/>
      <c r="CK2790" s="208" t="n"/>
      <c r="CL2790" s="208" t="n"/>
      <c r="CM2790" s="208" t="n"/>
      <c r="CN2790" s="78" t="n"/>
      <c r="CO2790" s="209" t="n"/>
      <c r="CP2790" s="204" t="n"/>
      <c r="CQ2790" s="204" t="n"/>
      <c r="CR2790" s="204" t="n"/>
      <c r="CS2790" s="204" t="n"/>
      <c r="CT2790" s="204" t="n"/>
      <c r="CU2790" s="204" t="n"/>
      <c r="CV2790" s="204" t="n"/>
      <c r="CW2790" s="204" t="n"/>
    </row>
    <row r="2791">
      <c r="BF2791" s="78" t="n"/>
      <c r="BG2791" s="78" t="n"/>
      <c r="BH2791" s="78" t="n"/>
      <c r="BI2791" s="78" t="n"/>
      <c r="BJ2791" s="139" t="n"/>
      <c r="BK2791" s="204" t="n"/>
      <c r="BL2791" s="141" t="n"/>
      <c r="BM2791" s="205" t="n"/>
      <c r="BN2791" s="205" t="n"/>
      <c r="BO2791" s="206" t="n"/>
      <c r="BP2791" s="144" t="n"/>
      <c r="BQ2791" s="141" t="n"/>
      <c r="BR2791" s="207" t="n"/>
      <c r="BS2791" s="207" t="n"/>
      <c r="BT2791" s="207" t="n"/>
      <c r="BU2791" s="207" t="n"/>
      <c r="BV2791" s="208" t="n"/>
      <c r="BW2791" s="207" t="n"/>
      <c r="BX2791" s="207" t="n"/>
      <c r="BY2791" s="204" t="n"/>
      <c r="BZ2791" s="148" t="n"/>
      <c r="CA2791" s="204" t="n"/>
      <c r="CB2791" s="208" t="n"/>
      <c r="CC2791" s="139" t="n"/>
      <c r="CD2791" s="204" t="n"/>
      <c r="CE2791" s="204" t="n"/>
      <c r="CF2791" s="207" t="n"/>
      <c r="CG2791" s="208" t="n"/>
      <c r="CH2791" s="207" t="n"/>
      <c r="CI2791" s="208" t="n"/>
      <c r="CJ2791" s="204" t="n"/>
      <c r="CK2791" s="208" t="n"/>
      <c r="CL2791" s="208" t="n"/>
      <c r="CM2791" s="208" t="n"/>
      <c r="CN2791" s="78" t="n"/>
      <c r="CO2791" s="209" t="n"/>
      <c r="CP2791" s="204" t="n"/>
      <c r="CQ2791" s="204" t="n"/>
      <c r="CR2791" s="204" t="n"/>
      <c r="CS2791" s="204" t="n"/>
      <c r="CT2791" s="204" t="n"/>
      <c r="CU2791" s="204" t="n"/>
      <c r="CV2791" s="204" t="n"/>
      <c r="CW2791" s="204" t="n"/>
    </row>
    <row r="2792">
      <c r="BF2792" s="78" t="n"/>
      <c r="BG2792" s="78" t="n"/>
      <c r="BH2792" s="78" t="n"/>
      <c r="BI2792" s="78" t="n"/>
      <c r="BJ2792" s="139" t="n"/>
      <c r="BK2792" s="204" t="n"/>
      <c r="BL2792" s="141" t="n"/>
      <c r="BM2792" s="205" t="n"/>
      <c r="BN2792" s="205" t="n"/>
      <c r="BO2792" s="206" t="n"/>
      <c r="BP2792" s="144" t="n"/>
      <c r="BQ2792" s="141" t="n"/>
      <c r="BR2792" s="207" t="n"/>
      <c r="BS2792" s="207" t="n"/>
      <c r="BT2792" s="207" t="n"/>
      <c r="BU2792" s="207" t="n"/>
      <c r="BV2792" s="208" t="n"/>
      <c r="BW2792" s="207" t="n"/>
      <c r="BX2792" s="207" t="n"/>
      <c r="BY2792" s="204" t="n"/>
      <c r="BZ2792" s="148" t="n"/>
      <c r="CA2792" s="204" t="n"/>
      <c r="CB2792" s="208" t="n"/>
      <c r="CC2792" s="139" t="n"/>
      <c r="CD2792" s="204" t="n"/>
      <c r="CE2792" s="204" t="n"/>
      <c r="CF2792" s="207" t="n"/>
      <c r="CG2792" s="208" t="n"/>
      <c r="CH2792" s="207" t="n"/>
      <c r="CI2792" s="208" t="n"/>
      <c r="CJ2792" s="204" t="n"/>
      <c r="CK2792" s="208" t="n"/>
      <c r="CL2792" s="208" t="n"/>
      <c r="CM2792" s="208" t="n"/>
      <c r="CN2792" s="78" t="n"/>
      <c r="CO2792" s="209" t="n"/>
      <c r="CP2792" s="204" t="n"/>
      <c r="CQ2792" s="204" t="n"/>
      <c r="CR2792" s="204" t="n"/>
      <c r="CS2792" s="204" t="n"/>
      <c r="CT2792" s="204" t="n"/>
      <c r="CU2792" s="204" t="n"/>
      <c r="CV2792" s="204" t="n"/>
      <c r="CW2792" s="204" t="n"/>
    </row>
    <row r="2793">
      <c r="BF2793" s="78" t="n"/>
      <c r="BG2793" s="78" t="n"/>
      <c r="BH2793" s="78" t="n"/>
      <c r="BI2793" s="78" t="n"/>
      <c r="BJ2793" s="139" t="n"/>
      <c r="BK2793" s="204" t="n"/>
      <c r="BL2793" s="141" t="n"/>
      <c r="BM2793" s="205" t="n"/>
      <c r="BN2793" s="205" t="n"/>
      <c r="BO2793" s="206" t="n"/>
      <c r="BP2793" s="144" t="n"/>
      <c r="BQ2793" s="141" t="n"/>
      <c r="BR2793" s="207" t="n"/>
      <c r="BS2793" s="207" t="n"/>
      <c r="BT2793" s="207" t="n"/>
      <c r="BU2793" s="207" t="n"/>
      <c r="BV2793" s="208" t="n"/>
      <c r="BW2793" s="207" t="n"/>
      <c r="BX2793" s="207" t="n"/>
      <c r="BY2793" s="204" t="n"/>
      <c r="BZ2793" s="148" t="n"/>
      <c r="CA2793" s="204" t="n"/>
      <c r="CB2793" s="208" t="n"/>
      <c r="CC2793" s="139" t="n"/>
      <c r="CD2793" s="204" t="n"/>
      <c r="CE2793" s="204" t="n"/>
      <c r="CF2793" s="207" t="n"/>
      <c r="CG2793" s="208" t="n"/>
      <c r="CH2793" s="207" t="n"/>
      <c r="CI2793" s="208" t="n"/>
      <c r="CJ2793" s="204" t="n"/>
      <c r="CK2793" s="208" t="n"/>
      <c r="CL2793" s="208" t="n"/>
      <c r="CM2793" s="208" t="n"/>
      <c r="CN2793" s="78" t="n"/>
      <c r="CO2793" s="209" t="n"/>
      <c r="CP2793" s="204" t="n"/>
      <c r="CQ2793" s="204" t="n"/>
      <c r="CR2793" s="204" t="n"/>
      <c r="CS2793" s="204" t="n"/>
      <c r="CT2793" s="204" t="n"/>
      <c r="CU2793" s="204" t="n"/>
      <c r="CV2793" s="204" t="n"/>
      <c r="CW2793" s="204" t="n"/>
    </row>
    <row r="2794">
      <c r="BF2794" s="78" t="n"/>
      <c r="BG2794" s="78" t="n"/>
      <c r="BH2794" s="78" t="n"/>
      <c r="BI2794" s="78" t="n"/>
      <c r="BJ2794" s="139" t="n"/>
      <c r="BK2794" s="204" t="n"/>
      <c r="BL2794" s="141" t="n"/>
      <c r="BM2794" s="205" t="n"/>
      <c r="BN2794" s="205" t="n"/>
      <c r="BO2794" s="206" t="n"/>
      <c r="BP2794" s="144" t="n"/>
      <c r="BQ2794" s="141" t="n"/>
      <c r="BR2794" s="207" t="n"/>
      <c r="BS2794" s="207" t="n"/>
      <c r="BT2794" s="207" t="n"/>
      <c r="BU2794" s="207" t="n"/>
      <c r="BV2794" s="208" t="n"/>
      <c r="BW2794" s="207" t="n"/>
      <c r="BX2794" s="207" t="n"/>
      <c r="BY2794" s="204" t="n"/>
      <c r="BZ2794" s="148" t="n"/>
      <c r="CA2794" s="204" t="n"/>
      <c r="CB2794" s="208" t="n"/>
      <c r="CC2794" s="139" t="n"/>
      <c r="CD2794" s="204" t="n"/>
      <c r="CE2794" s="204" t="n"/>
      <c r="CF2794" s="207" t="n"/>
      <c r="CG2794" s="208" t="n"/>
      <c r="CH2794" s="207" t="n"/>
      <c r="CI2794" s="208" t="n"/>
      <c r="CJ2794" s="204" t="n"/>
      <c r="CK2794" s="208" t="n"/>
      <c r="CL2794" s="208" t="n"/>
      <c r="CM2794" s="208" t="n"/>
      <c r="CN2794" s="78" t="n"/>
      <c r="CO2794" s="209" t="n"/>
      <c r="CP2794" s="204" t="n"/>
      <c r="CQ2794" s="204" t="n"/>
      <c r="CR2794" s="204" t="n"/>
      <c r="CS2794" s="204" t="n"/>
      <c r="CT2794" s="204" t="n"/>
      <c r="CU2794" s="204" t="n"/>
      <c r="CV2794" s="204" t="n"/>
      <c r="CW2794" s="204" t="n"/>
    </row>
    <row r="2795">
      <c r="BF2795" s="78" t="n"/>
      <c r="BG2795" s="78" t="n"/>
      <c r="BH2795" s="78" t="n"/>
      <c r="BI2795" s="78" t="n"/>
      <c r="BJ2795" s="139" t="n"/>
      <c r="BK2795" s="204" t="n"/>
      <c r="BL2795" s="141" t="n"/>
      <c r="BM2795" s="205" t="n"/>
      <c r="BN2795" s="205" t="n"/>
      <c r="BO2795" s="206" t="n"/>
      <c r="BP2795" s="144" t="n"/>
      <c r="BQ2795" s="141" t="n"/>
      <c r="BR2795" s="207" t="n"/>
      <c r="BS2795" s="207" t="n"/>
      <c r="BT2795" s="207" t="n"/>
      <c r="BU2795" s="207" t="n"/>
      <c r="BV2795" s="208" t="n"/>
      <c r="BW2795" s="207" t="n"/>
      <c r="BX2795" s="207" t="n"/>
      <c r="BY2795" s="204" t="n"/>
      <c r="BZ2795" s="148" t="n"/>
      <c r="CA2795" s="204" t="n"/>
      <c r="CB2795" s="208" t="n"/>
      <c r="CC2795" s="139" t="n"/>
      <c r="CD2795" s="204" t="n"/>
      <c r="CE2795" s="204" t="n"/>
      <c r="CF2795" s="207" t="n"/>
      <c r="CG2795" s="208" t="n"/>
      <c r="CH2795" s="207" t="n"/>
      <c r="CI2795" s="208" t="n"/>
      <c r="CJ2795" s="204" t="n"/>
      <c r="CK2795" s="208" t="n"/>
      <c r="CL2795" s="208" t="n"/>
      <c r="CM2795" s="208" t="n"/>
      <c r="CN2795" s="78" t="n"/>
      <c r="CO2795" s="209" t="n"/>
      <c r="CP2795" s="204" t="n"/>
      <c r="CQ2795" s="204" t="n"/>
      <c r="CR2795" s="204" t="n"/>
      <c r="CS2795" s="204" t="n"/>
      <c r="CT2795" s="204" t="n"/>
      <c r="CU2795" s="204" t="n"/>
      <c r="CV2795" s="204" t="n"/>
      <c r="CW2795" s="204" t="n"/>
    </row>
    <row r="2796">
      <c r="BF2796" s="78" t="n"/>
      <c r="BG2796" s="78" t="n"/>
      <c r="BH2796" s="78" t="n"/>
      <c r="BI2796" s="78" t="n"/>
      <c r="BJ2796" s="139" t="n"/>
      <c r="BK2796" s="204" t="n"/>
      <c r="BL2796" s="141" t="n"/>
      <c r="BM2796" s="205" t="n"/>
      <c r="BN2796" s="205" t="n"/>
      <c r="BO2796" s="206" t="n"/>
      <c r="BP2796" s="144" t="n"/>
      <c r="BQ2796" s="141" t="n"/>
      <c r="BR2796" s="207" t="n"/>
      <c r="BS2796" s="207" t="n"/>
      <c r="BT2796" s="207" t="n"/>
      <c r="BU2796" s="207" t="n"/>
      <c r="BV2796" s="208" t="n"/>
      <c r="BW2796" s="207" t="n"/>
      <c r="BX2796" s="207" t="n"/>
      <c r="BY2796" s="204" t="n"/>
      <c r="BZ2796" s="148" t="n"/>
      <c r="CA2796" s="204" t="n"/>
      <c r="CB2796" s="208" t="n"/>
      <c r="CC2796" s="139" t="n"/>
      <c r="CD2796" s="204" t="n"/>
      <c r="CE2796" s="204" t="n"/>
      <c r="CF2796" s="207" t="n"/>
      <c r="CG2796" s="208" t="n"/>
      <c r="CH2796" s="207" t="n"/>
      <c r="CI2796" s="208" t="n"/>
      <c r="CJ2796" s="204" t="n"/>
      <c r="CK2796" s="208" t="n"/>
      <c r="CL2796" s="208" t="n"/>
      <c r="CM2796" s="208" t="n"/>
      <c r="CN2796" s="78" t="n"/>
      <c r="CO2796" s="209" t="n"/>
      <c r="CP2796" s="204" t="n"/>
      <c r="CQ2796" s="204" t="n"/>
      <c r="CR2796" s="204" t="n"/>
      <c r="CS2796" s="204" t="n"/>
      <c r="CT2796" s="204" t="n"/>
      <c r="CU2796" s="204" t="n"/>
      <c r="CV2796" s="204" t="n"/>
      <c r="CW2796" s="204" t="n"/>
    </row>
    <row r="2797">
      <c r="BF2797" s="78" t="n"/>
      <c r="BG2797" s="78" t="n"/>
      <c r="BH2797" s="78" t="n"/>
      <c r="BI2797" s="78" t="n"/>
      <c r="BJ2797" s="139" t="n"/>
      <c r="BK2797" s="204" t="n"/>
      <c r="BL2797" s="141" t="n"/>
      <c r="BM2797" s="205" t="n"/>
      <c r="BN2797" s="205" t="n"/>
      <c r="BO2797" s="206" t="n"/>
      <c r="BP2797" s="144" t="n"/>
      <c r="BQ2797" s="141" t="n"/>
      <c r="BR2797" s="207" t="n"/>
      <c r="BS2797" s="207" t="n"/>
      <c r="BT2797" s="207" t="n"/>
      <c r="BU2797" s="207" t="n"/>
      <c r="BV2797" s="208" t="n"/>
      <c r="BW2797" s="207" t="n"/>
      <c r="BX2797" s="207" t="n"/>
      <c r="BY2797" s="204" t="n"/>
      <c r="BZ2797" s="148" t="n"/>
      <c r="CA2797" s="204" t="n"/>
      <c r="CB2797" s="208" t="n"/>
      <c r="CC2797" s="139" t="n"/>
      <c r="CD2797" s="204" t="n"/>
      <c r="CE2797" s="204" t="n"/>
      <c r="CF2797" s="207" t="n"/>
      <c r="CG2797" s="208" t="n"/>
      <c r="CH2797" s="207" t="n"/>
      <c r="CI2797" s="208" t="n"/>
      <c r="CJ2797" s="204" t="n"/>
      <c r="CK2797" s="208" t="n"/>
      <c r="CL2797" s="208" t="n"/>
      <c r="CM2797" s="208" t="n"/>
      <c r="CN2797" s="78" t="n"/>
      <c r="CO2797" s="209" t="n"/>
      <c r="CP2797" s="204" t="n"/>
      <c r="CQ2797" s="204" t="n"/>
      <c r="CR2797" s="204" t="n"/>
      <c r="CS2797" s="204" t="n"/>
      <c r="CT2797" s="204" t="n"/>
      <c r="CU2797" s="204" t="n"/>
      <c r="CV2797" s="204" t="n"/>
      <c r="CW2797" s="204" t="n"/>
    </row>
    <row r="2798">
      <c r="BF2798" s="78" t="n"/>
      <c r="BG2798" s="78" t="n"/>
      <c r="BH2798" s="78" t="n"/>
      <c r="BI2798" s="78" t="n"/>
      <c r="BJ2798" s="139" t="n"/>
      <c r="BK2798" s="204" t="n"/>
      <c r="BL2798" s="141" t="n"/>
      <c r="BM2798" s="205" t="n"/>
      <c r="BN2798" s="205" t="n"/>
      <c r="BO2798" s="206" t="n"/>
      <c r="BP2798" s="144" t="n"/>
      <c r="BQ2798" s="141" t="n"/>
      <c r="BR2798" s="207" t="n"/>
      <c r="BS2798" s="207" t="n"/>
      <c r="BT2798" s="207" t="n"/>
      <c r="BU2798" s="207" t="n"/>
      <c r="BV2798" s="208" t="n"/>
      <c r="BW2798" s="207" t="n"/>
      <c r="BX2798" s="207" t="n"/>
      <c r="BY2798" s="204" t="n"/>
      <c r="BZ2798" s="148" t="n"/>
      <c r="CA2798" s="204" t="n"/>
      <c r="CB2798" s="208" t="n"/>
      <c r="CC2798" s="139" t="n"/>
      <c r="CD2798" s="204" t="n"/>
      <c r="CE2798" s="204" t="n"/>
      <c r="CF2798" s="207" t="n"/>
      <c r="CG2798" s="208" t="n"/>
      <c r="CH2798" s="207" t="n"/>
      <c r="CI2798" s="208" t="n"/>
      <c r="CJ2798" s="204" t="n"/>
      <c r="CK2798" s="208" t="n"/>
      <c r="CL2798" s="208" t="n"/>
      <c r="CM2798" s="208" t="n"/>
      <c r="CN2798" s="78" t="n"/>
      <c r="CO2798" s="209" t="n"/>
      <c r="CP2798" s="204" t="n"/>
      <c r="CQ2798" s="204" t="n"/>
      <c r="CR2798" s="204" t="n"/>
      <c r="CS2798" s="204" t="n"/>
      <c r="CT2798" s="204" t="n"/>
      <c r="CU2798" s="204" t="n"/>
      <c r="CV2798" s="204" t="n"/>
      <c r="CW2798" s="204" t="n"/>
    </row>
    <row r="2799">
      <c r="AR2799" s="151" t="n"/>
      <c r="BF2799" s="78" t="n"/>
      <c r="BG2799" s="78" t="n"/>
      <c r="BH2799" s="78" t="n"/>
      <c r="BI2799" s="78" t="n"/>
      <c r="BJ2799" s="139" t="n"/>
      <c r="BK2799" s="204" t="n"/>
      <c r="BL2799" s="141" t="n"/>
      <c r="BM2799" s="205" t="n"/>
      <c r="BN2799" s="205" t="n"/>
      <c r="BO2799" s="206" t="n"/>
      <c r="BP2799" s="144" t="n"/>
      <c r="BQ2799" s="141" t="n"/>
      <c r="BR2799" s="207" t="n"/>
      <c r="BS2799" s="207" t="n"/>
      <c r="BT2799" s="207" t="n"/>
      <c r="BU2799" s="207" t="n"/>
      <c r="BV2799" s="208" t="n"/>
      <c r="BW2799" s="207" t="n"/>
      <c r="BX2799" s="207" t="n"/>
      <c r="BY2799" s="204" t="n"/>
      <c r="BZ2799" s="148" t="n"/>
      <c r="CA2799" s="204" t="n"/>
      <c r="CB2799" s="208" t="n"/>
      <c r="CC2799" s="139" t="n"/>
      <c r="CD2799" s="204" t="n"/>
      <c r="CE2799" s="204" t="n"/>
      <c r="CF2799" s="207" t="n"/>
      <c r="CG2799" s="208" t="n"/>
      <c r="CH2799" s="207" t="n"/>
      <c r="CI2799" s="208" t="n"/>
      <c r="CJ2799" s="204" t="n"/>
      <c r="CK2799" s="208" t="n"/>
      <c r="CL2799" s="208" t="n"/>
      <c r="CM2799" s="208" t="n"/>
      <c r="CN2799" s="78" t="n"/>
      <c r="CO2799" s="209" t="n"/>
      <c r="CP2799" s="204" t="n"/>
      <c r="CQ2799" s="204" t="n"/>
      <c r="CR2799" s="204" t="n"/>
      <c r="CS2799" s="204" t="n"/>
      <c r="CT2799" s="204" t="n"/>
      <c r="CU2799" s="204" t="n"/>
      <c r="CV2799" s="204" t="n"/>
      <c r="CW2799" s="204" t="n"/>
    </row>
    <row r="2800">
      <c r="BF2800" s="78" t="n"/>
      <c r="BG2800" s="78" t="n"/>
      <c r="BH2800" s="78" t="n"/>
      <c r="BI2800" s="78" t="n"/>
      <c r="BJ2800" s="139" t="n"/>
      <c r="BK2800" s="204" t="n"/>
      <c r="BL2800" s="141" t="n"/>
      <c r="BM2800" s="205" t="n"/>
      <c r="BN2800" s="205" t="n"/>
      <c r="BO2800" s="206" t="n"/>
      <c r="BP2800" s="144" t="n"/>
      <c r="BQ2800" s="141" t="n"/>
      <c r="BR2800" s="207" t="n"/>
      <c r="BS2800" s="207" t="n"/>
      <c r="BT2800" s="207" t="n"/>
      <c r="BU2800" s="207" t="n"/>
      <c r="BV2800" s="208" t="n"/>
      <c r="BW2800" s="207" t="n"/>
      <c r="BX2800" s="207" t="n"/>
      <c r="BY2800" s="204" t="n"/>
      <c r="BZ2800" s="148" t="n"/>
      <c r="CA2800" s="204" t="n"/>
      <c r="CB2800" s="208" t="n"/>
      <c r="CC2800" s="139" t="n"/>
      <c r="CD2800" s="204" t="n"/>
      <c r="CE2800" s="204" t="n"/>
      <c r="CF2800" s="207" t="n"/>
      <c r="CG2800" s="208" t="n"/>
      <c r="CH2800" s="207" t="n"/>
      <c r="CI2800" s="208" t="n"/>
      <c r="CJ2800" s="204" t="n"/>
      <c r="CK2800" s="208" t="n"/>
      <c r="CL2800" s="208" t="n"/>
      <c r="CM2800" s="208" t="n"/>
      <c r="CN2800" s="78" t="n"/>
      <c r="CO2800" s="209" t="n"/>
      <c r="CP2800" s="204" t="n"/>
      <c r="CQ2800" s="204" t="n"/>
      <c r="CR2800" s="204" t="n"/>
      <c r="CS2800" s="204" t="n"/>
      <c r="CT2800" s="204" t="n"/>
      <c r="CU2800" s="204" t="n"/>
      <c r="CV2800" s="204" t="n"/>
      <c r="CW2800" s="204" t="n"/>
    </row>
    <row r="2801">
      <c r="BF2801" s="78" t="n"/>
      <c r="BG2801" s="78" t="n"/>
      <c r="BH2801" s="78" t="n"/>
      <c r="BI2801" s="78" t="n"/>
      <c r="BJ2801" s="139" t="n"/>
      <c r="BK2801" s="204" t="n"/>
      <c r="BL2801" s="141" t="n"/>
      <c r="BM2801" s="205" t="n"/>
      <c r="BN2801" s="205" t="n"/>
      <c r="BO2801" s="206" t="n"/>
      <c r="BP2801" s="144" t="n"/>
      <c r="BQ2801" s="141" t="n"/>
      <c r="BR2801" s="207" t="n"/>
      <c r="BS2801" s="207" t="n"/>
      <c r="BT2801" s="207" t="n"/>
      <c r="BU2801" s="207" t="n"/>
      <c r="BV2801" s="208" t="n"/>
      <c r="BW2801" s="207" t="n"/>
      <c r="BX2801" s="207" t="n"/>
      <c r="BY2801" s="204" t="n"/>
      <c r="BZ2801" s="148" t="n"/>
      <c r="CA2801" s="204" t="n"/>
      <c r="CB2801" s="208" t="n"/>
      <c r="CC2801" s="139" t="n"/>
      <c r="CD2801" s="204" t="n"/>
      <c r="CE2801" s="204" t="n"/>
      <c r="CF2801" s="207" t="n"/>
      <c r="CG2801" s="208" t="n"/>
      <c r="CH2801" s="207" t="n"/>
      <c r="CI2801" s="208" t="n"/>
      <c r="CJ2801" s="204" t="n"/>
      <c r="CK2801" s="208" t="n"/>
      <c r="CL2801" s="208" t="n"/>
      <c r="CM2801" s="208" t="n"/>
      <c r="CN2801" s="78" t="n"/>
      <c r="CO2801" s="209" t="n"/>
      <c r="CP2801" s="204" t="n"/>
      <c r="CQ2801" s="204" t="n"/>
      <c r="CR2801" s="204" t="n"/>
      <c r="CS2801" s="204" t="n"/>
      <c r="CT2801" s="204" t="n"/>
      <c r="CU2801" s="204" t="n"/>
      <c r="CV2801" s="204" t="n"/>
      <c r="CW2801" s="204" t="n"/>
    </row>
    <row r="2802">
      <c r="BF2802" s="78" t="n"/>
      <c r="BG2802" s="78" t="n"/>
      <c r="BH2802" s="78" t="n"/>
      <c r="BI2802" s="78" t="n"/>
      <c r="BJ2802" s="139" t="n"/>
      <c r="BK2802" s="204" t="n"/>
      <c r="BL2802" s="141" t="n"/>
      <c r="BM2802" s="205" t="n"/>
      <c r="BN2802" s="205" t="n"/>
      <c r="BO2802" s="206" t="n"/>
      <c r="BP2802" s="144" t="n"/>
      <c r="BQ2802" s="141" t="n"/>
      <c r="BR2802" s="207" t="n"/>
      <c r="BS2802" s="207" t="n"/>
      <c r="BT2802" s="207" t="n"/>
      <c r="BU2802" s="207" t="n"/>
      <c r="BV2802" s="208" t="n"/>
      <c r="BW2802" s="207" t="n"/>
      <c r="BX2802" s="207" t="n"/>
      <c r="BY2802" s="204" t="n"/>
      <c r="BZ2802" s="148" t="n"/>
      <c r="CA2802" s="204" t="n"/>
      <c r="CB2802" s="208" t="n"/>
      <c r="CC2802" s="139" t="n"/>
      <c r="CD2802" s="204" t="n"/>
      <c r="CE2802" s="204" t="n"/>
      <c r="CF2802" s="207" t="n"/>
      <c r="CG2802" s="208" t="n"/>
      <c r="CH2802" s="207" t="n"/>
      <c r="CI2802" s="208" t="n"/>
      <c r="CJ2802" s="204" t="n"/>
      <c r="CK2802" s="208" t="n"/>
      <c r="CL2802" s="208" t="n"/>
      <c r="CM2802" s="208" t="n"/>
      <c r="CN2802" s="78" t="n"/>
      <c r="CO2802" s="209" t="n"/>
      <c r="CP2802" s="204" t="n"/>
      <c r="CQ2802" s="204" t="n"/>
      <c r="CR2802" s="204" t="n"/>
      <c r="CS2802" s="204" t="n"/>
      <c r="CT2802" s="204" t="n"/>
      <c r="CU2802" s="204" t="n"/>
      <c r="CV2802" s="204" t="n"/>
      <c r="CW2802" s="204" t="n"/>
    </row>
    <row r="2803">
      <c r="BF2803" s="78" t="n"/>
      <c r="BG2803" s="78" t="n"/>
      <c r="BH2803" s="78" t="n"/>
      <c r="BI2803" s="78" t="n"/>
      <c r="BJ2803" s="139" t="n"/>
      <c r="BK2803" s="204" t="n"/>
      <c r="BL2803" s="141" t="n"/>
      <c r="BM2803" s="205" t="n"/>
      <c r="BN2803" s="205" t="n"/>
      <c r="BO2803" s="206" t="n"/>
      <c r="BP2803" s="144" t="n"/>
      <c r="BQ2803" s="141" t="n"/>
      <c r="BR2803" s="207" t="n"/>
      <c r="BS2803" s="207" t="n"/>
      <c r="BT2803" s="207" t="n"/>
      <c r="BU2803" s="207" t="n"/>
      <c r="BV2803" s="208" t="n"/>
      <c r="BW2803" s="207" t="n"/>
      <c r="BX2803" s="207" t="n"/>
      <c r="BY2803" s="204" t="n"/>
      <c r="BZ2803" s="148" t="n"/>
      <c r="CA2803" s="204" t="n"/>
      <c r="CB2803" s="208" t="n"/>
      <c r="CC2803" s="139" t="n"/>
      <c r="CD2803" s="204" t="n"/>
      <c r="CE2803" s="204" t="n"/>
      <c r="CF2803" s="207" t="n"/>
      <c r="CG2803" s="208" t="n"/>
      <c r="CH2803" s="207" t="n"/>
      <c r="CI2803" s="208" t="n"/>
      <c r="CJ2803" s="204" t="n"/>
      <c r="CK2803" s="208" t="n"/>
      <c r="CL2803" s="208" t="n"/>
      <c r="CM2803" s="208" t="n"/>
      <c r="CN2803" s="78" t="n"/>
      <c r="CO2803" s="209" t="n"/>
      <c r="CP2803" s="204" t="n"/>
      <c r="CQ2803" s="204" t="n"/>
      <c r="CR2803" s="204" t="n"/>
      <c r="CS2803" s="204" t="n"/>
      <c r="CT2803" s="204" t="n"/>
      <c r="CU2803" s="204" t="n"/>
      <c r="CV2803" s="204" t="n"/>
      <c r="CW2803" s="204" t="n"/>
    </row>
    <row r="2804">
      <c r="BF2804" s="78" t="n"/>
      <c r="BG2804" s="78" t="n"/>
      <c r="BH2804" s="78" t="n"/>
      <c r="BI2804" s="78" t="n"/>
      <c r="BJ2804" s="139" t="n"/>
      <c r="BK2804" s="204" t="n"/>
      <c r="BL2804" s="141" t="n"/>
      <c r="BM2804" s="205" t="n"/>
      <c r="BN2804" s="205" t="n"/>
      <c r="BO2804" s="206" t="n"/>
      <c r="BP2804" s="144" t="n"/>
      <c r="BQ2804" s="141" t="n"/>
      <c r="BR2804" s="207" t="n"/>
      <c r="BS2804" s="207" t="n"/>
      <c r="BT2804" s="207" t="n"/>
      <c r="BU2804" s="207" t="n"/>
      <c r="BV2804" s="208" t="n"/>
      <c r="BW2804" s="207" t="n"/>
      <c r="BX2804" s="207" t="n"/>
      <c r="BY2804" s="204" t="n"/>
      <c r="BZ2804" s="148" t="n"/>
      <c r="CA2804" s="204" t="n"/>
      <c r="CB2804" s="208" t="n"/>
      <c r="CC2804" s="139" t="n"/>
      <c r="CD2804" s="204" t="n"/>
      <c r="CE2804" s="204" t="n"/>
      <c r="CF2804" s="207" t="n"/>
      <c r="CG2804" s="208" t="n"/>
      <c r="CH2804" s="207" t="n"/>
      <c r="CI2804" s="208" t="n"/>
      <c r="CJ2804" s="204" t="n"/>
      <c r="CK2804" s="208" t="n"/>
      <c r="CL2804" s="208" t="n"/>
      <c r="CM2804" s="208" t="n"/>
      <c r="CN2804" s="78" t="n"/>
      <c r="CO2804" s="209" t="n"/>
      <c r="CP2804" s="204" t="n"/>
      <c r="CQ2804" s="204" t="n"/>
      <c r="CR2804" s="204" t="n"/>
      <c r="CS2804" s="204" t="n"/>
      <c r="CT2804" s="204" t="n"/>
      <c r="CU2804" s="204" t="n"/>
      <c r="CV2804" s="204" t="n"/>
      <c r="CW2804" s="204" t="n"/>
    </row>
    <row r="2805">
      <c r="BF2805" s="78" t="n"/>
      <c r="BG2805" s="78" t="n"/>
      <c r="BH2805" s="78" t="n"/>
      <c r="BI2805" s="78" t="n"/>
      <c r="BJ2805" s="139" t="n"/>
      <c r="BK2805" s="204" t="n"/>
      <c r="BL2805" s="141" t="n"/>
      <c r="BM2805" s="205" t="n"/>
      <c r="BN2805" s="205" t="n"/>
      <c r="BO2805" s="206" t="n"/>
      <c r="BP2805" s="144" t="n"/>
      <c r="BQ2805" s="141" t="n"/>
      <c r="BR2805" s="207" t="n"/>
      <c r="BS2805" s="207" t="n"/>
      <c r="BT2805" s="207" t="n"/>
      <c r="BU2805" s="207" t="n"/>
      <c r="BV2805" s="208" t="n"/>
      <c r="BW2805" s="207" t="n"/>
      <c r="BX2805" s="207" t="n"/>
      <c r="BY2805" s="204" t="n"/>
      <c r="BZ2805" s="148" t="n"/>
      <c r="CA2805" s="204" t="n"/>
      <c r="CB2805" s="208" t="n"/>
      <c r="CC2805" s="139" t="n"/>
      <c r="CD2805" s="204" t="n"/>
      <c r="CE2805" s="204" t="n"/>
      <c r="CF2805" s="207" t="n"/>
      <c r="CG2805" s="208" t="n"/>
      <c r="CH2805" s="207" t="n"/>
      <c r="CI2805" s="208" t="n"/>
      <c r="CJ2805" s="204" t="n"/>
      <c r="CK2805" s="208" t="n"/>
      <c r="CL2805" s="208" t="n"/>
      <c r="CM2805" s="208" t="n"/>
      <c r="CN2805" s="78" t="n"/>
      <c r="CO2805" s="209" t="n"/>
      <c r="CP2805" s="204" t="n"/>
      <c r="CQ2805" s="204" t="n"/>
      <c r="CR2805" s="204" t="n"/>
      <c r="CS2805" s="204" t="n"/>
      <c r="CT2805" s="204" t="n"/>
      <c r="CU2805" s="204" t="n"/>
      <c r="CV2805" s="204" t="n"/>
      <c r="CW2805" s="204" t="n"/>
    </row>
    <row r="2806">
      <c r="BF2806" s="78" t="n"/>
      <c r="BG2806" s="78" t="n"/>
      <c r="BH2806" s="78" t="n"/>
      <c r="BI2806" s="78" t="n"/>
      <c r="BJ2806" s="139" t="n"/>
      <c r="BK2806" s="204" t="n"/>
      <c r="BL2806" s="141" t="n"/>
      <c r="BM2806" s="205" t="n"/>
      <c r="BN2806" s="205" t="n"/>
      <c r="BO2806" s="206" t="n"/>
      <c r="BP2806" s="144" t="n"/>
      <c r="BQ2806" s="141" t="n"/>
      <c r="BR2806" s="207" t="n"/>
      <c r="BS2806" s="207" t="n"/>
      <c r="BT2806" s="207" t="n"/>
      <c r="BU2806" s="207" t="n"/>
      <c r="BV2806" s="208" t="n"/>
      <c r="BW2806" s="207" t="n"/>
      <c r="BX2806" s="207" t="n"/>
      <c r="BY2806" s="204" t="n"/>
      <c r="BZ2806" s="148" t="n"/>
      <c r="CA2806" s="204" t="n"/>
      <c r="CB2806" s="208" t="n"/>
      <c r="CC2806" s="139" t="n"/>
      <c r="CD2806" s="204" t="n"/>
      <c r="CE2806" s="204" t="n"/>
      <c r="CF2806" s="207" t="n"/>
      <c r="CG2806" s="208" t="n"/>
      <c r="CH2806" s="207" t="n"/>
      <c r="CI2806" s="208" t="n"/>
      <c r="CJ2806" s="204" t="n"/>
      <c r="CK2806" s="208" t="n"/>
      <c r="CL2806" s="208" t="n"/>
      <c r="CM2806" s="208" t="n"/>
      <c r="CN2806" s="78" t="n"/>
      <c r="CO2806" s="209" t="n"/>
      <c r="CP2806" s="204" t="n"/>
      <c r="CQ2806" s="204" t="n"/>
      <c r="CR2806" s="204" t="n"/>
      <c r="CS2806" s="204" t="n"/>
      <c r="CT2806" s="204" t="n"/>
      <c r="CU2806" s="204" t="n"/>
      <c r="CV2806" s="204" t="n"/>
      <c r="CW2806" s="204" t="n"/>
    </row>
    <row r="2807">
      <c r="BF2807" s="78" t="n"/>
      <c r="BG2807" s="78" t="n"/>
      <c r="BH2807" s="78" t="n"/>
      <c r="BI2807" s="78" t="n"/>
      <c r="BJ2807" s="139" t="n"/>
      <c r="BK2807" s="204" t="n"/>
      <c r="BL2807" s="141" t="n"/>
      <c r="BM2807" s="205" t="n"/>
      <c r="BN2807" s="205" t="n"/>
      <c r="BO2807" s="206" t="n"/>
      <c r="BP2807" s="144" t="n"/>
      <c r="BQ2807" s="141" t="n"/>
      <c r="BR2807" s="207" t="n"/>
      <c r="BS2807" s="207" t="n"/>
      <c r="BT2807" s="207" t="n"/>
      <c r="BU2807" s="207" t="n"/>
      <c r="BV2807" s="208" t="n"/>
      <c r="BW2807" s="207" t="n"/>
      <c r="BX2807" s="207" t="n"/>
      <c r="BY2807" s="204" t="n"/>
      <c r="BZ2807" s="148" t="n"/>
      <c r="CA2807" s="204" t="n"/>
      <c r="CB2807" s="208" t="n"/>
      <c r="CC2807" s="139" t="n"/>
      <c r="CD2807" s="204" t="n"/>
      <c r="CE2807" s="204" t="n"/>
      <c r="CF2807" s="207" t="n"/>
      <c r="CG2807" s="208" t="n"/>
      <c r="CH2807" s="207" t="n"/>
      <c r="CI2807" s="208" t="n"/>
      <c r="CJ2807" s="204" t="n"/>
      <c r="CK2807" s="208" t="n"/>
      <c r="CL2807" s="208" t="n"/>
      <c r="CM2807" s="208" t="n"/>
      <c r="CN2807" s="78" t="n"/>
      <c r="CO2807" s="209" t="n"/>
      <c r="CP2807" s="204" t="n"/>
      <c r="CQ2807" s="204" t="n"/>
      <c r="CR2807" s="204" t="n"/>
      <c r="CS2807" s="204" t="n"/>
      <c r="CT2807" s="204" t="n"/>
      <c r="CU2807" s="204" t="n"/>
      <c r="CV2807" s="204" t="n"/>
      <c r="CW2807" s="204" t="n"/>
    </row>
    <row r="2808">
      <c r="BF2808" s="78" t="n"/>
      <c r="BG2808" s="78" t="n"/>
      <c r="BH2808" s="78" t="n"/>
      <c r="BI2808" s="78" t="n"/>
      <c r="BJ2808" s="139" t="n"/>
      <c r="BK2808" s="204" t="n"/>
      <c r="BL2808" s="141" t="n"/>
      <c r="BM2808" s="205" t="n"/>
      <c r="BN2808" s="205" t="n"/>
      <c r="BO2808" s="206" t="n"/>
      <c r="BP2808" s="144" t="n"/>
      <c r="BQ2808" s="141" t="n"/>
      <c r="BR2808" s="207" t="n"/>
      <c r="BS2808" s="207" t="n"/>
      <c r="BT2808" s="207" t="n"/>
      <c r="BU2808" s="207" t="n"/>
      <c r="BV2808" s="208" t="n"/>
      <c r="BW2808" s="207" t="n"/>
      <c r="BX2808" s="207" t="n"/>
      <c r="BY2808" s="204" t="n"/>
      <c r="BZ2808" s="148" t="n"/>
      <c r="CA2808" s="204" t="n"/>
      <c r="CB2808" s="208" t="n"/>
      <c r="CC2808" s="139" t="n"/>
      <c r="CD2808" s="204" t="n"/>
      <c r="CE2808" s="204" t="n"/>
      <c r="CF2808" s="207" t="n"/>
      <c r="CG2808" s="208" t="n"/>
      <c r="CH2808" s="207" t="n"/>
      <c r="CI2808" s="208" t="n"/>
      <c r="CJ2808" s="204" t="n"/>
      <c r="CK2808" s="208" t="n"/>
      <c r="CL2808" s="208" t="n"/>
      <c r="CM2808" s="208" t="n"/>
      <c r="CN2808" s="78" t="n"/>
      <c r="CO2808" s="209" t="n"/>
      <c r="CP2808" s="204" t="n"/>
      <c r="CQ2808" s="204" t="n"/>
      <c r="CR2808" s="204" t="n"/>
      <c r="CS2808" s="204" t="n"/>
      <c r="CT2808" s="204" t="n"/>
      <c r="CU2808" s="204" t="n"/>
      <c r="CV2808" s="204" t="n"/>
      <c r="CW2808" s="204" t="n"/>
    </row>
    <row r="2809">
      <c r="BF2809" s="78" t="n"/>
      <c r="BG2809" s="78" t="n"/>
      <c r="BH2809" s="78" t="n"/>
      <c r="BI2809" s="78" t="n"/>
      <c r="BJ2809" s="139" t="n"/>
      <c r="BK2809" s="204" t="n"/>
      <c r="BL2809" s="141" t="n"/>
      <c r="BM2809" s="205" t="n"/>
      <c r="BN2809" s="205" t="n"/>
      <c r="BO2809" s="206" t="n"/>
      <c r="BP2809" s="144" t="n"/>
      <c r="BQ2809" s="141" t="n"/>
      <c r="BR2809" s="207" t="n"/>
      <c r="BS2809" s="207" t="n"/>
      <c r="BT2809" s="207" t="n"/>
      <c r="BU2809" s="207" t="n"/>
      <c r="BV2809" s="208" t="n"/>
      <c r="BW2809" s="207" t="n"/>
      <c r="BX2809" s="207" t="n"/>
      <c r="BY2809" s="204" t="n"/>
      <c r="BZ2809" s="148" t="n"/>
      <c r="CA2809" s="204" t="n"/>
      <c r="CB2809" s="208" t="n"/>
      <c r="CC2809" s="139" t="n"/>
      <c r="CD2809" s="204" t="n"/>
      <c r="CE2809" s="204" t="n"/>
      <c r="CF2809" s="207" t="n"/>
      <c r="CG2809" s="208" t="n"/>
      <c r="CH2809" s="207" t="n"/>
      <c r="CI2809" s="208" t="n"/>
      <c r="CJ2809" s="204" t="n"/>
      <c r="CK2809" s="208" t="n"/>
      <c r="CL2809" s="208" t="n"/>
      <c r="CM2809" s="208" t="n"/>
      <c r="CN2809" s="78" t="n"/>
      <c r="CO2809" s="209" t="n"/>
      <c r="CP2809" s="204" t="n"/>
      <c r="CQ2809" s="204" t="n"/>
      <c r="CR2809" s="204" t="n"/>
      <c r="CS2809" s="204" t="n"/>
      <c r="CT2809" s="204" t="n"/>
      <c r="CU2809" s="204" t="n"/>
      <c r="CV2809" s="204" t="n"/>
      <c r="CW2809" s="204" t="n"/>
    </row>
    <row r="2810">
      <c r="BF2810" s="78" t="n"/>
      <c r="BG2810" s="78" t="n"/>
      <c r="BH2810" s="78" t="n"/>
      <c r="BI2810" s="78" t="n"/>
      <c r="BJ2810" s="139" t="n"/>
      <c r="BK2810" s="204" t="n"/>
      <c r="BL2810" s="141" t="n"/>
      <c r="BM2810" s="205" t="n"/>
      <c r="BN2810" s="205" t="n"/>
      <c r="BO2810" s="206" t="n"/>
      <c r="BP2810" s="144" t="n"/>
      <c r="BQ2810" s="141" t="n"/>
      <c r="BR2810" s="207" t="n"/>
      <c r="BS2810" s="207" t="n"/>
      <c r="BT2810" s="207" t="n"/>
      <c r="BU2810" s="207" t="n"/>
      <c r="BV2810" s="208" t="n"/>
      <c r="BW2810" s="207" t="n"/>
      <c r="BX2810" s="207" t="n"/>
      <c r="BY2810" s="204" t="n"/>
      <c r="BZ2810" s="148" t="n"/>
      <c r="CA2810" s="204" t="n"/>
      <c r="CB2810" s="208" t="n"/>
      <c r="CC2810" s="139" t="n"/>
      <c r="CD2810" s="204" t="n"/>
      <c r="CE2810" s="204" t="n"/>
      <c r="CF2810" s="207" t="n"/>
      <c r="CG2810" s="208" t="n"/>
      <c r="CH2810" s="207" t="n"/>
      <c r="CI2810" s="208" t="n"/>
      <c r="CJ2810" s="204" t="n"/>
      <c r="CK2810" s="208" t="n"/>
      <c r="CL2810" s="208" t="n"/>
      <c r="CM2810" s="208" t="n"/>
      <c r="CN2810" s="78" t="n"/>
      <c r="CO2810" s="209" t="n"/>
      <c r="CP2810" s="204" t="n"/>
      <c r="CQ2810" s="204" t="n"/>
      <c r="CR2810" s="204" t="n"/>
      <c r="CS2810" s="204" t="n"/>
      <c r="CT2810" s="204" t="n"/>
      <c r="CU2810" s="204" t="n"/>
      <c r="CV2810" s="204" t="n"/>
      <c r="CW2810" s="204" t="n"/>
    </row>
    <row r="2811">
      <c r="BF2811" s="78" t="n"/>
      <c r="BG2811" s="78" t="n"/>
      <c r="BH2811" s="78" t="n"/>
      <c r="BI2811" s="78" t="n"/>
      <c r="BJ2811" s="139" t="n"/>
      <c r="BK2811" s="204" t="n"/>
      <c r="BL2811" s="141" t="n"/>
      <c r="BM2811" s="205" t="n"/>
      <c r="BN2811" s="205" t="n"/>
      <c r="BO2811" s="206" t="n"/>
      <c r="BP2811" s="144" t="n"/>
      <c r="BQ2811" s="141" t="n"/>
      <c r="BR2811" s="207" t="n"/>
      <c r="BS2811" s="207" t="n"/>
      <c r="BT2811" s="207" t="n"/>
      <c r="BU2811" s="207" t="n"/>
      <c r="BV2811" s="208" t="n"/>
      <c r="BW2811" s="207" t="n"/>
      <c r="BX2811" s="207" t="n"/>
      <c r="BY2811" s="204" t="n"/>
      <c r="BZ2811" s="148" t="n"/>
      <c r="CA2811" s="204" t="n"/>
      <c r="CB2811" s="208" t="n"/>
      <c r="CC2811" s="139" t="n"/>
      <c r="CD2811" s="204" t="n"/>
      <c r="CE2811" s="204" t="n"/>
      <c r="CF2811" s="207" t="n"/>
      <c r="CG2811" s="208" t="n"/>
      <c r="CH2811" s="207" t="n"/>
      <c r="CI2811" s="208" t="n"/>
      <c r="CJ2811" s="204" t="n"/>
      <c r="CK2811" s="208" t="n"/>
      <c r="CL2811" s="208" t="n"/>
      <c r="CM2811" s="208" t="n"/>
      <c r="CN2811" s="78" t="n"/>
      <c r="CO2811" s="209" t="n"/>
      <c r="CP2811" s="204" t="n"/>
      <c r="CQ2811" s="204" t="n"/>
      <c r="CR2811" s="204" t="n"/>
      <c r="CS2811" s="204" t="n"/>
      <c r="CT2811" s="204" t="n"/>
      <c r="CU2811" s="204" t="n"/>
      <c r="CV2811" s="204" t="n"/>
      <c r="CW2811" s="204" t="n"/>
    </row>
    <row r="2812">
      <c r="BF2812" s="78" t="n"/>
      <c r="BG2812" s="78" t="n"/>
      <c r="BH2812" s="78" t="n"/>
      <c r="BI2812" s="78" t="n"/>
      <c r="BJ2812" s="139" t="n"/>
      <c r="BK2812" s="204" t="n"/>
      <c r="BL2812" s="141" t="n"/>
      <c r="BM2812" s="205" t="n"/>
      <c r="BN2812" s="205" t="n"/>
      <c r="BO2812" s="206" t="n"/>
      <c r="BP2812" s="144" t="n"/>
      <c r="BQ2812" s="141" t="n"/>
      <c r="BR2812" s="207" t="n"/>
      <c r="BS2812" s="207" t="n"/>
      <c r="BT2812" s="207" t="n"/>
      <c r="BU2812" s="207" t="n"/>
      <c r="BV2812" s="208" t="n"/>
      <c r="BW2812" s="207" t="n"/>
      <c r="BX2812" s="207" t="n"/>
      <c r="BY2812" s="204" t="n"/>
      <c r="BZ2812" s="148" t="n"/>
      <c r="CA2812" s="204" t="n"/>
      <c r="CB2812" s="208" t="n"/>
      <c r="CC2812" s="139" t="n"/>
      <c r="CD2812" s="204" t="n"/>
      <c r="CE2812" s="204" t="n"/>
      <c r="CF2812" s="207" t="n"/>
      <c r="CG2812" s="208" t="n"/>
      <c r="CH2812" s="207" t="n"/>
      <c r="CI2812" s="208" t="n"/>
      <c r="CJ2812" s="204" t="n"/>
      <c r="CK2812" s="208" t="n"/>
      <c r="CL2812" s="208" t="n"/>
      <c r="CM2812" s="208" t="n"/>
      <c r="CN2812" s="78" t="n"/>
      <c r="CO2812" s="209" t="n"/>
      <c r="CP2812" s="204" t="n"/>
      <c r="CQ2812" s="204" t="n"/>
      <c r="CR2812" s="204" t="n"/>
      <c r="CS2812" s="204" t="n"/>
      <c r="CT2812" s="204" t="n"/>
      <c r="CU2812" s="204" t="n"/>
      <c r="CV2812" s="204" t="n"/>
      <c r="CW2812" s="204" t="n"/>
    </row>
    <row r="2813">
      <c r="BF2813" s="78" t="n"/>
      <c r="BG2813" s="78" t="n"/>
      <c r="BH2813" s="78" t="n"/>
      <c r="BI2813" s="78" t="n"/>
      <c r="BJ2813" s="139" t="n"/>
      <c r="BK2813" s="204" t="n"/>
      <c r="BL2813" s="141" t="n"/>
      <c r="BM2813" s="205" t="n"/>
      <c r="BN2813" s="205" t="n"/>
      <c r="BO2813" s="206" t="n"/>
      <c r="BP2813" s="144" t="n"/>
      <c r="BQ2813" s="141" t="n"/>
      <c r="BR2813" s="207" t="n"/>
      <c r="BS2813" s="207" t="n"/>
      <c r="BT2813" s="207" t="n"/>
      <c r="BU2813" s="207" t="n"/>
      <c r="BV2813" s="208" t="n"/>
      <c r="BW2813" s="207" t="n"/>
      <c r="BX2813" s="207" t="n"/>
      <c r="BY2813" s="204" t="n"/>
      <c r="BZ2813" s="148" t="n"/>
      <c r="CA2813" s="204" t="n"/>
      <c r="CB2813" s="208" t="n"/>
      <c r="CC2813" s="139" t="n"/>
      <c r="CD2813" s="204" t="n"/>
      <c r="CE2813" s="204" t="n"/>
      <c r="CF2813" s="207" t="n"/>
      <c r="CG2813" s="208" t="n"/>
      <c r="CH2813" s="207" t="n"/>
      <c r="CI2813" s="208" t="n"/>
      <c r="CJ2813" s="204" t="n"/>
      <c r="CK2813" s="208" t="n"/>
      <c r="CL2813" s="208" t="n"/>
      <c r="CM2813" s="208" t="n"/>
      <c r="CN2813" s="78" t="n"/>
      <c r="CO2813" s="209" t="n"/>
      <c r="CP2813" s="204" t="n"/>
      <c r="CQ2813" s="204" t="n"/>
      <c r="CR2813" s="204" t="n"/>
      <c r="CS2813" s="204" t="n"/>
      <c r="CT2813" s="204" t="n"/>
      <c r="CU2813" s="204" t="n"/>
      <c r="CV2813" s="204" t="n"/>
      <c r="CW2813" s="204" t="n"/>
    </row>
    <row r="2814">
      <c r="BF2814" s="78" t="n"/>
      <c r="BG2814" s="78" t="n"/>
      <c r="BH2814" s="78" t="n"/>
      <c r="BI2814" s="78" t="n"/>
      <c r="BJ2814" s="139" t="n"/>
      <c r="BK2814" s="204" t="n"/>
      <c r="BL2814" s="141" t="n"/>
      <c r="BM2814" s="205" t="n"/>
      <c r="BN2814" s="205" t="n"/>
      <c r="BO2814" s="206" t="n"/>
      <c r="BP2814" s="144" t="n"/>
      <c r="BQ2814" s="141" t="n"/>
      <c r="BR2814" s="207" t="n"/>
      <c r="BS2814" s="207" t="n"/>
      <c r="BT2814" s="207" t="n"/>
      <c r="BU2814" s="207" t="n"/>
      <c r="BV2814" s="208" t="n"/>
      <c r="BW2814" s="207" t="n"/>
      <c r="BX2814" s="207" t="n"/>
      <c r="BY2814" s="204" t="n"/>
      <c r="BZ2814" s="148" t="n"/>
      <c r="CA2814" s="204" t="n"/>
      <c r="CB2814" s="208" t="n"/>
      <c r="CC2814" s="139" t="n"/>
      <c r="CD2814" s="204" t="n"/>
      <c r="CE2814" s="204" t="n"/>
      <c r="CF2814" s="207" t="n"/>
      <c r="CG2814" s="208" t="n"/>
      <c r="CH2814" s="207" t="n"/>
      <c r="CI2814" s="208" t="n"/>
      <c r="CJ2814" s="204" t="n"/>
      <c r="CK2814" s="208" t="n"/>
      <c r="CL2814" s="208" t="n"/>
      <c r="CM2814" s="208" t="n"/>
      <c r="CN2814" s="78" t="n"/>
      <c r="CO2814" s="209" t="n"/>
      <c r="CP2814" s="204" t="n"/>
      <c r="CQ2814" s="204" t="n"/>
      <c r="CR2814" s="204" t="n"/>
      <c r="CS2814" s="204" t="n"/>
      <c r="CT2814" s="204" t="n"/>
      <c r="CU2814" s="204" t="n"/>
      <c r="CV2814" s="204" t="n"/>
      <c r="CW2814" s="204" t="n"/>
    </row>
    <row r="2815">
      <c r="BF2815" s="78" t="n"/>
      <c r="BG2815" s="78" t="n"/>
      <c r="BH2815" s="78" t="n"/>
      <c r="BI2815" s="78" t="n"/>
      <c r="BJ2815" s="139" t="n"/>
      <c r="BK2815" s="204" t="n"/>
      <c r="BL2815" s="141" t="n"/>
      <c r="BM2815" s="205" t="n"/>
      <c r="BN2815" s="205" t="n"/>
      <c r="BO2815" s="206" t="n"/>
      <c r="BP2815" s="144" t="n"/>
      <c r="BQ2815" s="141" t="n"/>
      <c r="BR2815" s="207" t="n"/>
      <c r="BS2815" s="207" t="n"/>
      <c r="BT2815" s="207" t="n"/>
      <c r="BU2815" s="207" t="n"/>
      <c r="BV2815" s="208" t="n"/>
      <c r="BW2815" s="207" t="n"/>
      <c r="BX2815" s="207" t="n"/>
      <c r="BY2815" s="204" t="n"/>
      <c r="BZ2815" s="148" t="n"/>
      <c r="CA2815" s="204" t="n"/>
      <c r="CB2815" s="208" t="n"/>
      <c r="CC2815" s="139" t="n"/>
      <c r="CD2815" s="204" t="n"/>
      <c r="CE2815" s="204" t="n"/>
      <c r="CF2815" s="207" t="n"/>
      <c r="CG2815" s="208" t="n"/>
      <c r="CH2815" s="207" t="n"/>
      <c r="CI2815" s="208" t="n"/>
      <c r="CJ2815" s="204" t="n"/>
      <c r="CK2815" s="208" t="n"/>
      <c r="CL2815" s="208" t="n"/>
      <c r="CM2815" s="208" t="n"/>
      <c r="CN2815" s="78" t="n"/>
      <c r="CO2815" s="209" t="n"/>
      <c r="CP2815" s="204" t="n"/>
      <c r="CQ2815" s="204" t="n"/>
      <c r="CR2815" s="204" t="n"/>
      <c r="CS2815" s="204" t="n"/>
      <c r="CT2815" s="204" t="n"/>
      <c r="CU2815" s="204" t="n"/>
      <c r="CV2815" s="204" t="n"/>
      <c r="CW2815" s="204" t="n"/>
    </row>
    <row r="2816">
      <c r="BF2816" s="78" t="n"/>
      <c r="BG2816" s="78" t="n"/>
      <c r="BH2816" s="78" t="n"/>
      <c r="BI2816" s="78" t="n"/>
      <c r="BJ2816" s="139" t="n"/>
      <c r="BK2816" s="204" t="n"/>
      <c r="BL2816" s="141" t="n"/>
      <c r="BM2816" s="205" t="n"/>
      <c r="BN2816" s="205" t="n"/>
      <c r="BO2816" s="206" t="n"/>
      <c r="BP2816" s="144" t="n"/>
      <c r="BQ2816" s="141" t="n"/>
      <c r="BR2816" s="207" t="n"/>
      <c r="BS2816" s="207" t="n"/>
      <c r="BT2816" s="207" t="n"/>
      <c r="BU2816" s="207" t="n"/>
      <c r="BV2816" s="208" t="n"/>
      <c r="BW2816" s="207" t="n"/>
      <c r="BX2816" s="207" t="n"/>
      <c r="BY2816" s="204" t="n"/>
      <c r="BZ2816" s="148" t="n"/>
      <c r="CA2816" s="204" t="n"/>
      <c r="CB2816" s="208" t="n"/>
      <c r="CC2816" s="139" t="n"/>
      <c r="CD2816" s="204" t="n"/>
      <c r="CE2816" s="204" t="n"/>
      <c r="CF2816" s="207" t="n"/>
      <c r="CG2816" s="208" t="n"/>
      <c r="CH2816" s="207" t="n"/>
      <c r="CI2816" s="208" t="n"/>
      <c r="CJ2816" s="204" t="n"/>
      <c r="CK2816" s="208" t="n"/>
      <c r="CL2816" s="208" t="n"/>
      <c r="CM2816" s="208" t="n"/>
      <c r="CN2816" s="78" t="n"/>
      <c r="CO2816" s="209" t="n"/>
      <c r="CP2816" s="204" t="n"/>
      <c r="CQ2816" s="204" t="n"/>
      <c r="CR2816" s="204" t="n"/>
      <c r="CS2816" s="204" t="n"/>
      <c r="CT2816" s="204" t="n"/>
      <c r="CU2816" s="204" t="n"/>
      <c r="CV2816" s="204" t="n"/>
      <c r="CW2816" s="204" t="n"/>
    </row>
    <row r="2817">
      <c r="BF2817" s="78" t="n"/>
      <c r="BG2817" s="78" t="n"/>
      <c r="BH2817" s="78" t="n"/>
      <c r="BI2817" s="78" t="n"/>
      <c r="BJ2817" s="139" t="n"/>
      <c r="BK2817" s="204" t="n"/>
      <c r="BL2817" s="141" t="n"/>
      <c r="BM2817" s="205" t="n"/>
      <c r="BN2817" s="205" t="n"/>
      <c r="BO2817" s="206" t="n"/>
      <c r="BP2817" s="144" t="n"/>
      <c r="BQ2817" s="141" t="n"/>
      <c r="BR2817" s="207" t="n"/>
      <c r="BS2817" s="207" t="n"/>
      <c r="BT2817" s="207" t="n"/>
      <c r="BU2817" s="207" t="n"/>
      <c r="BV2817" s="208" t="n"/>
      <c r="BW2817" s="207" t="n"/>
      <c r="BX2817" s="207" t="n"/>
      <c r="BY2817" s="204" t="n"/>
      <c r="BZ2817" s="148" t="n"/>
      <c r="CA2817" s="204" t="n"/>
      <c r="CB2817" s="208" t="n"/>
      <c r="CC2817" s="139" t="n"/>
      <c r="CD2817" s="204" t="n"/>
      <c r="CE2817" s="204" t="n"/>
      <c r="CF2817" s="207" t="n"/>
      <c r="CG2817" s="208" t="n"/>
      <c r="CH2817" s="207" t="n"/>
      <c r="CI2817" s="208" t="n"/>
      <c r="CJ2817" s="204" t="n"/>
      <c r="CK2817" s="208" t="n"/>
      <c r="CL2817" s="208" t="n"/>
      <c r="CM2817" s="208" t="n"/>
      <c r="CN2817" s="78" t="n"/>
      <c r="CO2817" s="209" t="n"/>
      <c r="CP2817" s="204" t="n"/>
      <c r="CQ2817" s="204" t="n"/>
      <c r="CR2817" s="204" t="n"/>
      <c r="CS2817" s="204" t="n"/>
      <c r="CT2817" s="204" t="n"/>
      <c r="CU2817" s="204" t="n"/>
      <c r="CV2817" s="204" t="n"/>
      <c r="CW2817" s="204" t="n"/>
    </row>
    <row r="2818">
      <c r="BF2818" s="78" t="n"/>
      <c r="BG2818" s="78" t="n"/>
      <c r="BH2818" s="78" t="n"/>
      <c r="BI2818" s="78" t="n"/>
      <c r="BJ2818" s="139" t="n"/>
      <c r="BK2818" s="204" t="n"/>
      <c r="BL2818" s="141" t="n"/>
      <c r="BM2818" s="205" t="n"/>
      <c r="BN2818" s="205" t="n"/>
      <c r="BO2818" s="206" t="n"/>
      <c r="BP2818" s="144" t="n"/>
      <c r="BQ2818" s="141" t="n"/>
      <c r="BR2818" s="207" t="n"/>
      <c r="BS2818" s="207" t="n"/>
      <c r="BT2818" s="207" t="n"/>
      <c r="BU2818" s="207" t="n"/>
      <c r="BV2818" s="208" t="n"/>
      <c r="BW2818" s="207" t="n"/>
      <c r="BX2818" s="207" t="n"/>
      <c r="BY2818" s="204" t="n"/>
      <c r="BZ2818" s="148" t="n"/>
      <c r="CA2818" s="204" t="n"/>
      <c r="CB2818" s="208" t="n"/>
      <c r="CC2818" s="139" t="n"/>
      <c r="CD2818" s="204" t="n"/>
      <c r="CE2818" s="204" t="n"/>
      <c r="CF2818" s="207" t="n"/>
      <c r="CG2818" s="208" t="n"/>
      <c r="CH2818" s="207" t="n"/>
      <c r="CI2818" s="208" t="n"/>
      <c r="CJ2818" s="204" t="n"/>
      <c r="CK2818" s="208" t="n"/>
      <c r="CL2818" s="208" t="n"/>
      <c r="CM2818" s="208" t="n"/>
      <c r="CN2818" s="78" t="n"/>
      <c r="CO2818" s="209" t="n"/>
      <c r="CP2818" s="204" t="n"/>
      <c r="CQ2818" s="204" t="n"/>
      <c r="CR2818" s="204" t="n"/>
      <c r="CS2818" s="204" t="n"/>
      <c r="CT2818" s="204" t="n"/>
      <c r="CU2818" s="204" t="n"/>
      <c r="CV2818" s="204" t="n"/>
      <c r="CW2818" s="204" t="n"/>
    </row>
    <row r="2819">
      <c r="BF2819" s="78" t="n"/>
      <c r="BG2819" s="78" t="n"/>
      <c r="BH2819" s="78" t="n"/>
      <c r="BI2819" s="78" t="n"/>
      <c r="BJ2819" s="139" t="n"/>
      <c r="BK2819" s="204" t="n"/>
      <c r="BL2819" s="141" t="n"/>
      <c r="BM2819" s="205" t="n"/>
      <c r="BN2819" s="205" t="n"/>
      <c r="BO2819" s="206" t="n"/>
      <c r="BP2819" s="144" t="n"/>
      <c r="BQ2819" s="141" t="n"/>
      <c r="BR2819" s="207" t="n"/>
      <c r="BS2819" s="207" t="n"/>
      <c r="BT2819" s="207" t="n"/>
      <c r="BU2819" s="207" t="n"/>
      <c r="BV2819" s="208" t="n"/>
      <c r="BW2819" s="207" t="n"/>
      <c r="BX2819" s="207" t="n"/>
      <c r="BY2819" s="204" t="n"/>
      <c r="BZ2819" s="148" t="n"/>
      <c r="CA2819" s="204" t="n"/>
      <c r="CB2819" s="208" t="n"/>
      <c r="CC2819" s="139" t="n"/>
      <c r="CD2819" s="204" t="n"/>
      <c r="CE2819" s="204" t="n"/>
      <c r="CF2819" s="207" t="n"/>
      <c r="CG2819" s="208" t="n"/>
      <c r="CH2819" s="207" t="n"/>
      <c r="CI2819" s="208" t="n"/>
      <c r="CJ2819" s="204" t="n"/>
      <c r="CK2819" s="208" t="n"/>
      <c r="CL2819" s="208" t="n"/>
      <c r="CM2819" s="208" t="n"/>
      <c r="CN2819" s="78" t="n"/>
      <c r="CO2819" s="209" t="n"/>
      <c r="CP2819" s="204" t="n"/>
      <c r="CQ2819" s="204" t="n"/>
      <c r="CR2819" s="204" t="n"/>
      <c r="CS2819" s="204" t="n"/>
      <c r="CT2819" s="204" t="n"/>
      <c r="CU2819" s="204" t="n"/>
      <c r="CV2819" s="204" t="n"/>
      <c r="CW2819" s="204" t="n"/>
    </row>
    <row r="2820">
      <c r="BF2820" s="78" t="n"/>
      <c r="BG2820" s="78" t="n"/>
      <c r="BH2820" s="78" t="n"/>
      <c r="BI2820" s="78" t="n"/>
      <c r="BJ2820" s="139" t="n"/>
      <c r="BK2820" s="204" t="n"/>
      <c r="BL2820" s="141" t="n"/>
      <c r="BM2820" s="205" t="n"/>
      <c r="BN2820" s="205" t="n"/>
      <c r="BO2820" s="206" t="n"/>
      <c r="BP2820" s="144" t="n"/>
      <c r="BQ2820" s="141" t="n"/>
      <c r="BR2820" s="207" t="n"/>
      <c r="BS2820" s="207" t="n"/>
      <c r="BT2820" s="207" t="n"/>
      <c r="BU2820" s="207" t="n"/>
      <c r="BV2820" s="208" t="n"/>
      <c r="BW2820" s="207" t="n"/>
      <c r="BX2820" s="207" t="n"/>
      <c r="BY2820" s="204" t="n"/>
      <c r="BZ2820" s="148" t="n"/>
      <c r="CA2820" s="204" t="n"/>
      <c r="CB2820" s="208" t="n"/>
      <c r="CC2820" s="139" t="n"/>
      <c r="CD2820" s="204" t="n"/>
      <c r="CE2820" s="204" t="n"/>
      <c r="CF2820" s="207" t="n"/>
      <c r="CG2820" s="208" t="n"/>
      <c r="CH2820" s="207" t="n"/>
      <c r="CI2820" s="208" t="n"/>
      <c r="CJ2820" s="204" t="n"/>
      <c r="CK2820" s="208" t="n"/>
      <c r="CL2820" s="208" t="n"/>
      <c r="CM2820" s="208" t="n"/>
      <c r="CN2820" s="78" t="n"/>
      <c r="CO2820" s="209" t="n"/>
      <c r="CP2820" s="204" t="n"/>
      <c r="CQ2820" s="204" t="n"/>
      <c r="CR2820" s="204" t="n"/>
      <c r="CS2820" s="204" t="n"/>
      <c r="CT2820" s="204" t="n"/>
      <c r="CU2820" s="204" t="n"/>
      <c r="CV2820" s="204" t="n"/>
      <c r="CW2820" s="204" t="n"/>
    </row>
    <row r="2821">
      <c r="BF2821" s="78" t="n"/>
      <c r="BG2821" s="78" t="n"/>
      <c r="BH2821" s="78" t="n"/>
      <c r="BI2821" s="78" t="n"/>
      <c r="BJ2821" s="139" t="n"/>
      <c r="BK2821" s="204" t="n"/>
      <c r="BL2821" s="141" t="n"/>
      <c r="BM2821" s="205" t="n"/>
      <c r="BN2821" s="205" t="n"/>
      <c r="BO2821" s="206" t="n"/>
      <c r="BP2821" s="144" t="n"/>
      <c r="BQ2821" s="141" t="n"/>
      <c r="BR2821" s="207" t="n"/>
      <c r="BS2821" s="207" t="n"/>
      <c r="BT2821" s="207" t="n"/>
      <c r="BU2821" s="207" t="n"/>
      <c r="BV2821" s="208" t="n"/>
      <c r="BW2821" s="207" t="n"/>
      <c r="BX2821" s="207" t="n"/>
      <c r="BY2821" s="204" t="n"/>
      <c r="BZ2821" s="148" t="n"/>
      <c r="CA2821" s="204" t="n"/>
      <c r="CB2821" s="208" t="n"/>
      <c r="CC2821" s="139" t="n"/>
      <c r="CD2821" s="204" t="n"/>
      <c r="CE2821" s="204" t="n"/>
      <c r="CF2821" s="207" t="n"/>
      <c r="CG2821" s="208" t="n"/>
      <c r="CH2821" s="207" t="n"/>
      <c r="CI2821" s="208" t="n"/>
      <c r="CJ2821" s="204" t="n"/>
      <c r="CK2821" s="208" t="n"/>
      <c r="CL2821" s="208" t="n"/>
      <c r="CM2821" s="208" t="n"/>
      <c r="CN2821" s="78" t="n"/>
      <c r="CO2821" s="209" t="n"/>
      <c r="CP2821" s="204" t="n"/>
      <c r="CQ2821" s="204" t="n"/>
      <c r="CR2821" s="204" t="n"/>
      <c r="CS2821" s="204" t="n"/>
      <c r="CT2821" s="204" t="n"/>
      <c r="CU2821" s="204" t="n"/>
      <c r="CV2821" s="204" t="n"/>
      <c r="CW2821" s="204" t="n"/>
    </row>
    <row r="2822">
      <c r="BF2822" s="78" t="n"/>
      <c r="BG2822" s="78" t="n"/>
      <c r="BH2822" s="78" t="n"/>
      <c r="BI2822" s="78" t="n"/>
      <c r="BJ2822" s="139" t="n"/>
      <c r="BK2822" s="204" t="n"/>
      <c r="BL2822" s="141" t="n"/>
      <c r="BM2822" s="205" t="n"/>
      <c r="BN2822" s="205" t="n"/>
      <c r="BO2822" s="206" t="n"/>
      <c r="BP2822" s="144" t="n"/>
      <c r="BQ2822" s="141" t="n"/>
      <c r="BR2822" s="207" t="n"/>
      <c r="BS2822" s="207" t="n"/>
      <c r="BT2822" s="207" t="n"/>
      <c r="BU2822" s="207" t="n"/>
      <c r="BV2822" s="208" t="n"/>
      <c r="BW2822" s="207" t="n"/>
      <c r="BX2822" s="207" t="n"/>
      <c r="BY2822" s="204" t="n"/>
      <c r="BZ2822" s="148" t="n"/>
      <c r="CA2822" s="204" t="n"/>
      <c r="CB2822" s="208" t="n"/>
      <c r="CC2822" s="139" t="n"/>
      <c r="CD2822" s="204" t="n"/>
      <c r="CE2822" s="204" t="n"/>
      <c r="CF2822" s="207" t="n"/>
      <c r="CG2822" s="208" t="n"/>
      <c r="CH2822" s="207" t="n"/>
      <c r="CI2822" s="208" t="n"/>
      <c r="CJ2822" s="204" t="n"/>
      <c r="CK2822" s="208" t="n"/>
      <c r="CL2822" s="208" t="n"/>
      <c r="CM2822" s="208" t="n"/>
      <c r="CN2822" s="78" t="n"/>
      <c r="CO2822" s="209" t="n"/>
      <c r="CP2822" s="204" t="n"/>
      <c r="CQ2822" s="204" t="n"/>
      <c r="CR2822" s="204" t="n"/>
      <c r="CS2822" s="204" t="n"/>
      <c r="CT2822" s="204" t="n"/>
      <c r="CU2822" s="204" t="n"/>
      <c r="CV2822" s="204" t="n"/>
      <c r="CW2822" s="204" t="n"/>
    </row>
    <row r="2823">
      <c r="BF2823" s="78" t="n"/>
      <c r="BG2823" s="78" t="n"/>
      <c r="BH2823" s="78" t="n"/>
      <c r="BI2823" s="78" t="n"/>
      <c r="BJ2823" s="139" t="n"/>
      <c r="BK2823" s="204" t="n"/>
      <c r="BL2823" s="141" t="n"/>
      <c r="BM2823" s="205" t="n"/>
      <c r="BN2823" s="205" t="n"/>
      <c r="BO2823" s="206" t="n"/>
      <c r="BP2823" s="144" t="n"/>
      <c r="BQ2823" s="141" t="n"/>
      <c r="BR2823" s="207" t="n"/>
      <c r="BS2823" s="207" t="n"/>
      <c r="BT2823" s="207" t="n"/>
      <c r="BU2823" s="207" t="n"/>
      <c r="BV2823" s="208" t="n"/>
      <c r="BW2823" s="207" t="n"/>
      <c r="BX2823" s="207" t="n"/>
      <c r="BY2823" s="204" t="n"/>
      <c r="BZ2823" s="148" t="n"/>
      <c r="CA2823" s="204" t="n"/>
      <c r="CB2823" s="208" t="n"/>
      <c r="CC2823" s="139" t="n"/>
      <c r="CD2823" s="204" t="n"/>
      <c r="CE2823" s="204" t="n"/>
      <c r="CF2823" s="207" t="n"/>
      <c r="CG2823" s="208" t="n"/>
      <c r="CH2823" s="207" t="n"/>
      <c r="CI2823" s="208" t="n"/>
      <c r="CJ2823" s="204" t="n"/>
      <c r="CK2823" s="208" t="n"/>
      <c r="CL2823" s="208" t="n"/>
      <c r="CM2823" s="208" t="n"/>
      <c r="CN2823" s="78" t="n"/>
      <c r="CO2823" s="209" t="n"/>
      <c r="CP2823" s="204" t="n"/>
      <c r="CQ2823" s="204" t="n"/>
      <c r="CR2823" s="204" t="n"/>
      <c r="CS2823" s="204" t="n"/>
      <c r="CT2823" s="204" t="n"/>
      <c r="CU2823" s="204" t="n"/>
      <c r="CV2823" s="204" t="n"/>
      <c r="CW2823" s="204" t="n"/>
    </row>
    <row r="2824">
      <c r="BF2824" s="78" t="n"/>
      <c r="BG2824" s="78" t="n"/>
      <c r="BH2824" s="78" t="n"/>
      <c r="BI2824" s="78" t="n"/>
      <c r="BJ2824" s="139" t="n"/>
      <c r="BK2824" s="204" t="n"/>
      <c r="BL2824" s="141" t="n"/>
      <c r="BM2824" s="205" t="n"/>
      <c r="BN2824" s="205" t="n"/>
      <c r="BO2824" s="206" t="n"/>
      <c r="BP2824" s="144" t="n"/>
      <c r="BQ2824" s="141" t="n"/>
      <c r="BR2824" s="207" t="n"/>
      <c r="BS2824" s="207" t="n"/>
      <c r="BT2824" s="207" t="n"/>
      <c r="BU2824" s="207" t="n"/>
      <c r="BV2824" s="208" t="n"/>
      <c r="BW2824" s="207" t="n"/>
      <c r="BX2824" s="207" t="n"/>
      <c r="BY2824" s="204" t="n"/>
      <c r="BZ2824" s="148" t="n"/>
      <c r="CA2824" s="204" t="n"/>
      <c r="CB2824" s="208" t="n"/>
      <c r="CC2824" s="139" t="n"/>
      <c r="CD2824" s="204" t="n"/>
      <c r="CE2824" s="204" t="n"/>
      <c r="CF2824" s="207" t="n"/>
      <c r="CG2824" s="208" t="n"/>
      <c r="CH2824" s="207" t="n"/>
      <c r="CI2824" s="208" t="n"/>
      <c r="CJ2824" s="204" t="n"/>
      <c r="CK2824" s="208" t="n"/>
      <c r="CL2824" s="208" t="n"/>
      <c r="CM2824" s="208" t="n"/>
      <c r="CN2824" s="78" t="n"/>
      <c r="CO2824" s="209" t="n"/>
      <c r="CP2824" s="204" t="n"/>
      <c r="CQ2824" s="204" t="n"/>
      <c r="CR2824" s="204" t="n"/>
      <c r="CS2824" s="204" t="n"/>
      <c r="CT2824" s="204" t="n"/>
      <c r="CU2824" s="204" t="n"/>
      <c r="CV2824" s="204" t="n"/>
      <c r="CW2824" s="204" t="n"/>
    </row>
    <row r="2825">
      <c r="BF2825" s="78" t="n"/>
      <c r="BG2825" s="78" t="n"/>
      <c r="BH2825" s="78" t="n"/>
      <c r="BI2825" s="78" t="n"/>
      <c r="BJ2825" s="139" t="n"/>
      <c r="BK2825" s="204" t="n"/>
      <c r="BL2825" s="141" t="n"/>
      <c r="BM2825" s="205" t="n"/>
      <c r="BN2825" s="205" t="n"/>
      <c r="BO2825" s="206" t="n"/>
      <c r="BP2825" s="144" t="n"/>
      <c r="BQ2825" s="141" t="n"/>
      <c r="BR2825" s="207" t="n"/>
      <c r="BS2825" s="207" t="n"/>
      <c r="BT2825" s="207" t="n"/>
      <c r="BU2825" s="207" t="n"/>
      <c r="BV2825" s="208" t="n"/>
      <c r="BW2825" s="207" t="n"/>
      <c r="BX2825" s="207" t="n"/>
      <c r="BY2825" s="204" t="n"/>
      <c r="BZ2825" s="148" t="n"/>
      <c r="CA2825" s="204" t="n"/>
      <c r="CB2825" s="208" t="n"/>
      <c r="CC2825" s="139" t="n"/>
      <c r="CD2825" s="204" t="n"/>
      <c r="CE2825" s="204" t="n"/>
      <c r="CF2825" s="207" t="n"/>
      <c r="CG2825" s="208" t="n"/>
      <c r="CH2825" s="207" t="n"/>
      <c r="CI2825" s="208" t="n"/>
      <c r="CJ2825" s="204" t="n"/>
      <c r="CK2825" s="208" t="n"/>
      <c r="CL2825" s="208" t="n"/>
      <c r="CM2825" s="208" t="n"/>
      <c r="CN2825" s="78" t="n"/>
      <c r="CO2825" s="209" t="n"/>
      <c r="CP2825" s="204" t="n"/>
      <c r="CQ2825" s="204" t="n"/>
      <c r="CR2825" s="204" t="n"/>
      <c r="CS2825" s="204" t="n"/>
      <c r="CT2825" s="204" t="n"/>
      <c r="CU2825" s="204" t="n"/>
      <c r="CV2825" s="204" t="n"/>
      <c r="CW2825" s="204" t="n"/>
    </row>
    <row r="2826">
      <c r="BF2826" s="78" t="n"/>
      <c r="BG2826" s="78" t="n"/>
      <c r="BH2826" s="78" t="n"/>
      <c r="BI2826" s="78" t="n"/>
      <c r="BJ2826" s="139" t="n"/>
      <c r="BK2826" s="204" t="n"/>
      <c r="BL2826" s="141" t="n"/>
      <c r="BM2826" s="205" t="n"/>
      <c r="BN2826" s="205" t="n"/>
      <c r="BO2826" s="206" t="n"/>
      <c r="BP2826" s="144" t="n"/>
      <c r="BQ2826" s="141" t="n"/>
      <c r="BR2826" s="207" t="n"/>
      <c r="BS2826" s="207" t="n"/>
      <c r="BT2826" s="207" t="n"/>
      <c r="BU2826" s="207" t="n"/>
      <c r="BV2826" s="208" t="n"/>
      <c r="BW2826" s="207" t="n"/>
      <c r="BX2826" s="207" t="n"/>
      <c r="BY2826" s="204" t="n"/>
      <c r="BZ2826" s="148" t="n"/>
      <c r="CA2826" s="204" t="n"/>
      <c r="CB2826" s="208" t="n"/>
      <c r="CC2826" s="139" t="n"/>
      <c r="CD2826" s="204" t="n"/>
      <c r="CE2826" s="204" t="n"/>
      <c r="CF2826" s="207" t="n"/>
      <c r="CG2826" s="208" t="n"/>
      <c r="CH2826" s="207" t="n"/>
      <c r="CI2826" s="208" t="n"/>
      <c r="CJ2826" s="204" t="n"/>
      <c r="CK2826" s="208" t="n"/>
      <c r="CL2826" s="208" t="n"/>
      <c r="CM2826" s="208" t="n"/>
      <c r="CN2826" s="78" t="n"/>
      <c r="CO2826" s="209" t="n"/>
      <c r="CP2826" s="204" t="n"/>
      <c r="CQ2826" s="204" t="n"/>
      <c r="CR2826" s="204" t="n"/>
      <c r="CS2826" s="204" t="n"/>
      <c r="CT2826" s="204" t="n"/>
      <c r="CU2826" s="204" t="n"/>
      <c r="CV2826" s="204" t="n"/>
      <c r="CW2826" s="204" t="n"/>
    </row>
    <row r="2827">
      <c r="BF2827" s="78" t="n"/>
      <c r="BG2827" s="78" t="n"/>
      <c r="BH2827" s="78" t="n"/>
      <c r="BI2827" s="78" t="n"/>
      <c r="BJ2827" s="139" t="n"/>
      <c r="BK2827" s="204" t="n"/>
      <c r="BL2827" s="141" t="n"/>
      <c r="BM2827" s="205" t="n"/>
      <c r="BN2827" s="205" t="n"/>
      <c r="BO2827" s="206" t="n"/>
      <c r="BP2827" s="144" t="n"/>
      <c r="BQ2827" s="141" t="n"/>
      <c r="BR2827" s="207" t="n"/>
      <c r="BS2827" s="207" t="n"/>
      <c r="BT2827" s="207" t="n"/>
      <c r="BU2827" s="207" t="n"/>
      <c r="BV2827" s="208" t="n"/>
      <c r="BW2827" s="207" t="n"/>
      <c r="BX2827" s="207" t="n"/>
      <c r="BY2827" s="204" t="n"/>
      <c r="BZ2827" s="148" t="n"/>
      <c r="CA2827" s="204" t="n"/>
      <c r="CB2827" s="208" t="n"/>
      <c r="CC2827" s="139" t="n"/>
      <c r="CD2827" s="204" t="n"/>
      <c r="CE2827" s="204" t="n"/>
      <c r="CF2827" s="207" t="n"/>
      <c r="CG2827" s="208" t="n"/>
      <c r="CH2827" s="207" t="n"/>
      <c r="CI2827" s="208" t="n"/>
      <c r="CJ2827" s="204" t="n"/>
      <c r="CK2827" s="208" t="n"/>
      <c r="CL2827" s="208" t="n"/>
      <c r="CM2827" s="208" t="n"/>
      <c r="CN2827" s="78" t="n"/>
      <c r="CO2827" s="209" t="n"/>
      <c r="CP2827" s="204" t="n"/>
      <c r="CQ2827" s="204" t="n"/>
      <c r="CR2827" s="204" t="n"/>
      <c r="CS2827" s="204" t="n"/>
      <c r="CT2827" s="204" t="n"/>
      <c r="CU2827" s="204" t="n"/>
      <c r="CV2827" s="204" t="n"/>
      <c r="CW2827" s="204" t="n"/>
    </row>
    <row r="2828">
      <c r="BF2828" s="78" t="n"/>
      <c r="BG2828" s="78" t="n"/>
      <c r="BH2828" s="78" t="n"/>
      <c r="BI2828" s="78" t="n"/>
      <c r="BJ2828" s="139" t="n"/>
      <c r="BK2828" s="204" t="n"/>
      <c r="BL2828" s="141" t="n"/>
      <c r="BM2828" s="205" t="n"/>
      <c r="BN2828" s="205" t="n"/>
      <c r="BO2828" s="206" t="n"/>
      <c r="BP2828" s="144" t="n"/>
      <c r="BQ2828" s="141" t="n"/>
      <c r="BR2828" s="207" t="n"/>
      <c r="BS2828" s="207" t="n"/>
      <c r="BT2828" s="207" t="n"/>
      <c r="BU2828" s="207" t="n"/>
      <c r="BV2828" s="208" t="n"/>
      <c r="BW2828" s="207" t="n"/>
      <c r="BX2828" s="207" t="n"/>
      <c r="BY2828" s="204" t="n"/>
      <c r="BZ2828" s="148" t="n"/>
      <c r="CA2828" s="204" t="n"/>
      <c r="CB2828" s="208" t="n"/>
      <c r="CC2828" s="139" t="n"/>
      <c r="CD2828" s="204" t="n"/>
      <c r="CE2828" s="204" t="n"/>
      <c r="CF2828" s="207" t="n"/>
      <c r="CG2828" s="208" t="n"/>
      <c r="CH2828" s="207" t="n"/>
      <c r="CI2828" s="208" t="n"/>
      <c r="CJ2828" s="204" t="n"/>
      <c r="CK2828" s="208" t="n"/>
      <c r="CL2828" s="208" t="n"/>
      <c r="CM2828" s="208" t="n"/>
      <c r="CN2828" s="78" t="n"/>
      <c r="CO2828" s="209" t="n"/>
      <c r="CP2828" s="204" t="n"/>
      <c r="CQ2828" s="204" t="n"/>
      <c r="CR2828" s="204" t="n"/>
      <c r="CS2828" s="204" t="n"/>
      <c r="CT2828" s="204" t="n"/>
      <c r="CU2828" s="204" t="n"/>
      <c r="CV2828" s="204" t="n"/>
      <c r="CW2828" s="204" t="n"/>
    </row>
    <row r="2829">
      <c r="BF2829" s="78" t="n"/>
      <c r="BG2829" s="78" t="n"/>
      <c r="BH2829" s="78" t="n"/>
      <c r="BI2829" s="78" t="n"/>
      <c r="BJ2829" s="139" t="n"/>
      <c r="BK2829" s="204" t="n"/>
      <c r="BL2829" s="141" t="n"/>
      <c r="BM2829" s="205" t="n"/>
      <c r="BN2829" s="205" t="n"/>
      <c r="BO2829" s="206" t="n"/>
      <c r="BP2829" s="144" t="n"/>
      <c r="BQ2829" s="141" t="n"/>
      <c r="BR2829" s="207" t="n"/>
      <c r="BS2829" s="207" t="n"/>
      <c r="BT2829" s="207" t="n"/>
      <c r="BU2829" s="207" t="n"/>
      <c r="BV2829" s="208" t="n"/>
      <c r="BW2829" s="207" t="n"/>
      <c r="BX2829" s="207" t="n"/>
      <c r="BY2829" s="204" t="n"/>
      <c r="BZ2829" s="148" t="n"/>
      <c r="CA2829" s="204" t="n"/>
      <c r="CB2829" s="208" t="n"/>
      <c r="CC2829" s="139" t="n"/>
      <c r="CD2829" s="204" t="n"/>
      <c r="CE2829" s="204" t="n"/>
      <c r="CF2829" s="207" t="n"/>
      <c r="CG2829" s="208" t="n"/>
      <c r="CH2829" s="207" t="n"/>
      <c r="CI2829" s="208" t="n"/>
      <c r="CJ2829" s="204" t="n"/>
      <c r="CK2829" s="208" t="n"/>
      <c r="CL2829" s="208" t="n"/>
      <c r="CM2829" s="208" t="n"/>
      <c r="CN2829" s="78" t="n"/>
      <c r="CO2829" s="209" t="n"/>
      <c r="CP2829" s="204" t="n"/>
      <c r="CQ2829" s="204" t="n"/>
      <c r="CR2829" s="204" t="n"/>
      <c r="CS2829" s="204" t="n"/>
      <c r="CT2829" s="204" t="n"/>
      <c r="CU2829" s="204" t="n"/>
      <c r="CV2829" s="204" t="n"/>
      <c r="CW2829" s="204" t="n"/>
    </row>
    <row r="2830">
      <c r="BF2830" s="78" t="n"/>
      <c r="BG2830" s="78" t="n"/>
      <c r="BH2830" s="78" t="n"/>
      <c r="BI2830" s="78" t="n"/>
      <c r="BJ2830" s="139" t="n"/>
      <c r="BK2830" s="204" t="n"/>
      <c r="BL2830" s="141" t="n"/>
      <c r="BM2830" s="205" t="n"/>
      <c r="BN2830" s="205" t="n"/>
      <c r="BO2830" s="206" t="n"/>
      <c r="BP2830" s="144" t="n"/>
      <c r="BQ2830" s="141" t="n"/>
      <c r="BR2830" s="207" t="n"/>
      <c r="BS2830" s="207" t="n"/>
      <c r="BT2830" s="207" t="n"/>
      <c r="BU2830" s="207" t="n"/>
      <c r="BV2830" s="208" t="n"/>
      <c r="BW2830" s="207" t="n"/>
      <c r="BX2830" s="207" t="n"/>
      <c r="BY2830" s="204" t="n"/>
      <c r="BZ2830" s="148" t="n"/>
      <c r="CA2830" s="204" t="n"/>
      <c r="CB2830" s="208" t="n"/>
      <c r="CC2830" s="139" t="n"/>
      <c r="CD2830" s="204" t="n"/>
      <c r="CE2830" s="204" t="n"/>
      <c r="CF2830" s="207" t="n"/>
      <c r="CG2830" s="208" t="n"/>
      <c r="CH2830" s="207" t="n"/>
      <c r="CI2830" s="208" t="n"/>
      <c r="CJ2830" s="204" t="n"/>
      <c r="CK2830" s="208" t="n"/>
      <c r="CL2830" s="208" t="n"/>
      <c r="CM2830" s="208" t="n"/>
      <c r="CN2830" s="78" t="n"/>
      <c r="CO2830" s="209" t="n"/>
      <c r="CP2830" s="204" t="n"/>
      <c r="CQ2830" s="204" t="n"/>
      <c r="CR2830" s="204" t="n"/>
      <c r="CS2830" s="204" t="n"/>
      <c r="CT2830" s="204" t="n"/>
      <c r="CU2830" s="204" t="n"/>
      <c r="CV2830" s="204" t="n"/>
      <c r="CW2830" s="204" t="n"/>
    </row>
    <row r="2831">
      <c r="BF2831" s="78" t="n"/>
      <c r="BG2831" s="78" t="n"/>
      <c r="BH2831" s="78" t="n"/>
      <c r="BI2831" s="78" t="n"/>
      <c r="BJ2831" s="139" t="n"/>
      <c r="BK2831" s="204" t="n"/>
      <c r="BL2831" s="141" t="n"/>
      <c r="BM2831" s="205" t="n"/>
      <c r="BN2831" s="205" t="n"/>
      <c r="BO2831" s="206" t="n"/>
      <c r="BP2831" s="144" t="n"/>
      <c r="BQ2831" s="141" t="n"/>
      <c r="BR2831" s="207" t="n"/>
      <c r="BS2831" s="207" t="n"/>
      <c r="BT2831" s="207" t="n"/>
      <c r="BU2831" s="207" t="n"/>
      <c r="BV2831" s="208" t="n"/>
      <c r="BW2831" s="207" t="n"/>
      <c r="BX2831" s="207" t="n"/>
      <c r="BY2831" s="204" t="n"/>
      <c r="BZ2831" s="148" t="n"/>
      <c r="CA2831" s="204" t="n"/>
      <c r="CB2831" s="208" t="n"/>
      <c r="CC2831" s="139" t="n"/>
      <c r="CD2831" s="204" t="n"/>
      <c r="CE2831" s="204" t="n"/>
      <c r="CF2831" s="207" t="n"/>
      <c r="CG2831" s="208" t="n"/>
      <c r="CH2831" s="207" t="n"/>
      <c r="CI2831" s="208" t="n"/>
      <c r="CJ2831" s="204" t="n"/>
      <c r="CK2831" s="208" t="n"/>
      <c r="CL2831" s="208" t="n"/>
      <c r="CM2831" s="208" t="n"/>
      <c r="CN2831" s="78" t="n"/>
      <c r="CO2831" s="209" t="n"/>
      <c r="CP2831" s="204" t="n"/>
      <c r="CQ2831" s="204" t="n"/>
      <c r="CR2831" s="204" t="n"/>
      <c r="CS2831" s="204" t="n"/>
      <c r="CT2831" s="204" t="n"/>
      <c r="CU2831" s="204" t="n"/>
      <c r="CV2831" s="204" t="n"/>
      <c r="CW2831" s="204" t="n"/>
    </row>
    <row r="2832">
      <c r="BF2832" s="78" t="n"/>
      <c r="BG2832" s="78" t="n"/>
      <c r="BH2832" s="78" t="n"/>
      <c r="BI2832" s="78" t="n"/>
      <c r="BJ2832" s="139" t="n"/>
      <c r="BK2832" s="204" t="n"/>
      <c r="BL2832" s="141" t="n"/>
      <c r="BM2832" s="205" t="n"/>
      <c r="BN2832" s="205" t="n"/>
      <c r="BO2832" s="206" t="n"/>
      <c r="BP2832" s="144" t="n"/>
      <c r="BQ2832" s="141" t="n"/>
      <c r="BR2832" s="207" t="n"/>
      <c r="BS2832" s="207" t="n"/>
      <c r="BT2832" s="207" t="n"/>
      <c r="BU2832" s="207" t="n"/>
      <c r="BV2832" s="208" t="n"/>
      <c r="BW2832" s="207" t="n"/>
      <c r="BX2832" s="207" t="n"/>
      <c r="BY2832" s="204" t="n"/>
      <c r="BZ2832" s="148" t="n"/>
      <c r="CA2832" s="204" t="n"/>
      <c r="CB2832" s="208" t="n"/>
      <c r="CC2832" s="139" t="n"/>
      <c r="CD2832" s="204" t="n"/>
      <c r="CE2832" s="204" t="n"/>
      <c r="CF2832" s="207" t="n"/>
      <c r="CG2832" s="208" t="n"/>
      <c r="CH2832" s="207" t="n"/>
      <c r="CI2832" s="208" t="n"/>
      <c r="CJ2832" s="204" t="n"/>
      <c r="CK2832" s="208" t="n"/>
      <c r="CL2832" s="208" t="n"/>
      <c r="CM2832" s="208" t="n"/>
      <c r="CN2832" s="78" t="n"/>
      <c r="CO2832" s="209" t="n"/>
      <c r="CP2832" s="204" t="n"/>
      <c r="CQ2832" s="204" t="n"/>
      <c r="CR2832" s="204" t="n"/>
      <c r="CS2832" s="204" t="n"/>
      <c r="CT2832" s="204" t="n"/>
      <c r="CU2832" s="204" t="n"/>
      <c r="CV2832" s="204" t="n"/>
      <c r="CW2832" s="204" t="n"/>
    </row>
    <row r="2833">
      <c r="BF2833" s="78" t="n"/>
      <c r="BG2833" s="78" t="n"/>
      <c r="BH2833" s="78" t="n"/>
      <c r="BI2833" s="78" t="n"/>
      <c r="BJ2833" s="139" t="n"/>
      <c r="BK2833" s="204" t="n"/>
      <c r="BL2833" s="141" t="n"/>
      <c r="BM2833" s="205" t="n"/>
      <c r="BN2833" s="205" t="n"/>
      <c r="BO2833" s="206" t="n"/>
      <c r="BP2833" s="144" t="n"/>
      <c r="BQ2833" s="141" t="n"/>
      <c r="BR2833" s="207" t="n"/>
      <c r="BS2833" s="207" t="n"/>
      <c r="BT2833" s="207" t="n"/>
      <c r="BU2833" s="207" t="n"/>
      <c r="BV2833" s="208" t="n"/>
      <c r="BW2833" s="207" t="n"/>
      <c r="BX2833" s="207" t="n"/>
      <c r="BY2833" s="204" t="n"/>
      <c r="BZ2833" s="148" t="n"/>
      <c r="CA2833" s="204" t="n"/>
      <c r="CB2833" s="208" t="n"/>
      <c r="CC2833" s="139" t="n"/>
      <c r="CD2833" s="204" t="n"/>
      <c r="CE2833" s="204" t="n"/>
      <c r="CF2833" s="207" t="n"/>
      <c r="CG2833" s="208" t="n"/>
      <c r="CH2833" s="207" t="n"/>
      <c r="CI2833" s="208" t="n"/>
      <c r="CJ2833" s="204" t="n"/>
      <c r="CK2833" s="208" t="n"/>
      <c r="CL2833" s="208" t="n"/>
      <c r="CM2833" s="208" t="n"/>
      <c r="CN2833" s="78" t="n"/>
      <c r="CO2833" s="209" t="n"/>
      <c r="CP2833" s="204" t="n"/>
      <c r="CQ2833" s="204" t="n"/>
      <c r="CR2833" s="204" t="n"/>
      <c r="CS2833" s="204" t="n"/>
      <c r="CT2833" s="204" t="n"/>
      <c r="CU2833" s="204" t="n"/>
      <c r="CV2833" s="204" t="n"/>
      <c r="CW2833" s="204" t="n"/>
    </row>
    <row r="2834">
      <c r="BF2834" s="78" t="n"/>
      <c r="BG2834" s="78" t="n"/>
      <c r="BH2834" s="78" t="n"/>
      <c r="BI2834" s="78" t="n"/>
      <c r="BJ2834" s="139" t="n"/>
      <c r="BK2834" s="204" t="n"/>
      <c r="BL2834" s="141" t="n"/>
      <c r="BM2834" s="205" t="n"/>
      <c r="BN2834" s="205" t="n"/>
      <c r="BO2834" s="206" t="n"/>
      <c r="BP2834" s="144" t="n"/>
      <c r="BQ2834" s="141" t="n"/>
      <c r="BR2834" s="207" t="n"/>
      <c r="BS2834" s="207" t="n"/>
      <c r="BT2834" s="207" t="n"/>
      <c r="BU2834" s="207" t="n"/>
      <c r="BV2834" s="208" t="n"/>
      <c r="BW2834" s="207" t="n"/>
      <c r="BX2834" s="207" t="n"/>
      <c r="BY2834" s="204" t="n"/>
      <c r="BZ2834" s="148" t="n"/>
      <c r="CA2834" s="204" t="n"/>
      <c r="CB2834" s="208" t="n"/>
      <c r="CC2834" s="139" t="n"/>
      <c r="CD2834" s="204" t="n"/>
      <c r="CE2834" s="204" t="n"/>
      <c r="CF2834" s="207" t="n"/>
      <c r="CG2834" s="208" t="n"/>
      <c r="CH2834" s="207" t="n"/>
      <c r="CI2834" s="208" t="n"/>
      <c r="CJ2834" s="204" t="n"/>
      <c r="CK2834" s="208" t="n"/>
      <c r="CL2834" s="208" t="n"/>
      <c r="CM2834" s="208" t="n"/>
      <c r="CN2834" s="78" t="n"/>
      <c r="CO2834" s="209" t="n"/>
      <c r="CP2834" s="204" t="n"/>
      <c r="CQ2834" s="204" t="n"/>
      <c r="CR2834" s="204" t="n"/>
      <c r="CS2834" s="204" t="n"/>
      <c r="CT2834" s="204" t="n"/>
      <c r="CU2834" s="204" t="n"/>
      <c r="CV2834" s="204" t="n"/>
      <c r="CW2834" s="204" t="n"/>
    </row>
    <row r="2835">
      <c r="BF2835" s="78" t="n"/>
      <c r="BG2835" s="78" t="n"/>
      <c r="BH2835" s="78" t="n"/>
      <c r="BI2835" s="78" t="n"/>
      <c r="BJ2835" s="139" t="n"/>
      <c r="BK2835" s="204" t="n"/>
      <c r="BL2835" s="141" t="n"/>
      <c r="BM2835" s="205" t="n"/>
      <c r="BN2835" s="205" t="n"/>
      <c r="BO2835" s="206" t="n"/>
      <c r="BP2835" s="144" t="n"/>
      <c r="BQ2835" s="141" t="n"/>
      <c r="BR2835" s="207" t="n"/>
      <c r="BS2835" s="207" t="n"/>
      <c r="BT2835" s="207" t="n"/>
      <c r="BU2835" s="207" t="n"/>
      <c r="BV2835" s="208" t="n"/>
      <c r="BW2835" s="207" t="n"/>
      <c r="BX2835" s="207" t="n"/>
      <c r="BY2835" s="204" t="n"/>
      <c r="BZ2835" s="148" t="n"/>
      <c r="CA2835" s="204" t="n"/>
      <c r="CB2835" s="208" t="n"/>
      <c r="CC2835" s="139" t="n"/>
      <c r="CD2835" s="204" t="n"/>
      <c r="CE2835" s="204" t="n"/>
      <c r="CF2835" s="207" t="n"/>
      <c r="CG2835" s="208" t="n"/>
      <c r="CH2835" s="207" t="n"/>
      <c r="CI2835" s="208" t="n"/>
      <c r="CJ2835" s="204" t="n"/>
      <c r="CK2835" s="208" t="n"/>
      <c r="CL2835" s="208" t="n"/>
      <c r="CM2835" s="208" t="n"/>
      <c r="CN2835" s="78" t="n"/>
      <c r="CO2835" s="209" t="n"/>
      <c r="CP2835" s="204" t="n"/>
      <c r="CQ2835" s="204" t="n"/>
      <c r="CR2835" s="204" t="n"/>
      <c r="CS2835" s="204" t="n"/>
      <c r="CT2835" s="204" t="n"/>
      <c r="CU2835" s="204" t="n"/>
      <c r="CV2835" s="204" t="n"/>
      <c r="CW2835" s="204" t="n"/>
    </row>
    <row r="2836">
      <c r="BF2836" s="78" t="n"/>
      <c r="BG2836" s="78" t="n"/>
      <c r="BH2836" s="78" t="n"/>
      <c r="BI2836" s="78" t="n"/>
      <c r="BJ2836" s="139" t="n"/>
      <c r="BK2836" s="204" t="n"/>
      <c r="BL2836" s="141" t="n"/>
      <c r="BM2836" s="205" t="n"/>
      <c r="BN2836" s="205" t="n"/>
      <c r="BO2836" s="206" t="n"/>
      <c r="BP2836" s="144" t="n"/>
      <c r="BQ2836" s="141" t="n"/>
      <c r="BR2836" s="207" t="n"/>
      <c r="BS2836" s="207" t="n"/>
      <c r="BT2836" s="207" t="n"/>
      <c r="BU2836" s="207" t="n"/>
      <c r="BV2836" s="208" t="n"/>
      <c r="BW2836" s="207" t="n"/>
      <c r="BX2836" s="207" t="n"/>
      <c r="BY2836" s="204" t="n"/>
      <c r="BZ2836" s="148" t="n"/>
      <c r="CA2836" s="204" t="n"/>
      <c r="CB2836" s="208" t="n"/>
      <c r="CC2836" s="139" t="n"/>
      <c r="CD2836" s="204" t="n"/>
      <c r="CE2836" s="204" t="n"/>
      <c r="CF2836" s="207" t="n"/>
      <c r="CG2836" s="208" t="n"/>
      <c r="CH2836" s="207" t="n"/>
      <c r="CI2836" s="208" t="n"/>
      <c r="CJ2836" s="204" t="n"/>
      <c r="CK2836" s="208" t="n"/>
      <c r="CL2836" s="208" t="n"/>
      <c r="CM2836" s="208" t="n"/>
      <c r="CN2836" s="78" t="n"/>
      <c r="CO2836" s="209" t="n"/>
      <c r="CP2836" s="204" t="n"/>
      <c r="CQ2836" s="204" t="n"/>
      <c r="CR2836" s="204" t="n"/>
      <c r="CS2836" s="204" t="n"/>
      <c r="CT2836" s="204" t="n"/>
      <c r="CU2836" s="204" t="n"/>
      <c r="CV2836" s="204" t="n"/>
      <c r="CW2836" s="204" t="n"/>
    </row>
    <row r="2837">
      <c r="BF2837" s="78" t="n"/>
      <c r="BG2837" s="78" t="n"/>
      <c r="BH2837" s="78" t="n"/>
      <c r="BI2837" s="78" t="n"/>
      <c r="BJ2837" s="139" t="n"/>
      <c r="BK2837" s="204" t="n"/>
      <c r="BL2837" s="141" t="n"/>
      <c r="BM2837" s="205" t="n"/>
      <c r="BN2837" s="205" t="n"/>
      <c r="BO2837" s="206" t="n"/>
      <c r="BP2837" s="144" t="n"/>
      <c r="BQ2837" s="141" t="n"/>
      <c r="BR2837" s="207" t="n"/>
      <c r="BS2837" s="207" t="n"/>
      <c r="BT2837" s="207" t="n"/>
      <c r="BU2837" s="207" t="n"/>
      <c r="BV2837" s="208" t="n"/>
      <c r="BW2837" s="207" t="n"/>
      <c r="BX2837" s="207" t="n"/>
      <c r="BY2837" s="204" t="n"/>
      <c r="BZ2837" s="148" t="n"/>
      <c r="CA2837" s="204" t="n"/>
      <c r="CB2837" s="208" t="n"/>
      <c r="CC2837" s="139" t="n"/>
      <c r="CD2837" s="204" t="n"/>
      <c r="CE2837" s="204" t="n"/>
      <c r="CF2837" s="207" t="n"/>
      <c r="CG2837" s="208" t="n"/>
      <c r="CH2837" s="207" t="n"/>
      <c r="CI2837" s="208" t="n"/>
      <c r="CJ2837" s="204" t="n"/>
      <c r="CK2837" s="208" t="n"/>
      <c r="CL2837" s="208" t="n"/>
      <c r="CM2837" s="208" t="n"/>
      <c r="CN2837" s="78" t="n"/>
      <c r="CO2837" s="209" t="n"/>
      <c r="CP2837" s="204" t="n"/>
      <c r="CQ2837" s="204" t="n"/>
      <c r="CR2837" s="204" t="n"/>
      <c r="CS2837" s="204" t="n"/>
      <c r="CT2837" s="204" t="n"/>
      <c r="CU2837" s="204" t="n"/>
      <c r="CV2837" s="204" t="n"/>
      <c r="CW2837" s="204" t="n"/>
    </row>
    <row r="2838">
      <c r="BF2838" s="78" t="n"/>
      <c r="BG2838" s="78" t="n"/>
      <c r="BH2838" s="78" t="n"/>
      <c r="BI2838" s="78" t="n"/>
      <c r="BJ2838" s="139" t="n"/>
      <c r="BK2838" s="204" t="n"/>
      <c r="BL2838" s="141" t="n"/>
      <c r="BM2838" s="205" t="n"/>
      <c r="BN2838" s="205" t="n"/>
      <c r="BO2838" s="206" t="n"/>
      <c r="BP2838" s="144" t="n"/>
      <c r="BQ2838" s="141" t="n"/>
      <c r="BR2838" s="207" t="n"/>
      <c r="BS2838" s="207" t="n"/>
      <c r="BT2838" s="207" t="n"/>
      <c r="BU2838" s="207" t="n"/>
      <c r="BV2838" s="208" t="n"/>
      <c r="BW2838" s="207" t="n"/>
      <c r="BX2838" s="207" t="n"/>
      <c r="BY2838" s="204" t="n"/>
      <c r="BZ2838" s="148" t="n"/>
      <c r="CA2838" s="204" t="n"/>
      <c r="CB2838" s="208" t="n"/>
      <c r="CC2838" s="139" t="n"/>
      <c r="CD2838" s="204" t="n"/>
      <c r="CE2838" s="204" t="n"/>
      <c r="CF2838" s="207" t="n"/>
      <c r="CG2838" s="208" t="n"/>
      <c r="CH2838" s="207" t="n"/>
      <c r="CI2838" s="208" t="n"/>
      <c r="CJ2838" s="204" t="n"/>
      <c r="CK2838" s="208" t="n"/>
      <c r="CL2838" s="208" t="n"/>
      <c r="CM2838" s="208" t="n"/>
      <c r="CN2838" s="78" t="n"/>
      <c r="CO2838" s="209" t="n"/>
      <c r="CP2838" s="204" t="n"/>
      <c r="CQ2838" s="204" t="n"/>
      <c r="CR2838" s="204" t="n"/>
      <c r="CS2838" s="204" t="n"/>
      <c r="CT2838" s="204" t="n"/>
      <c r="CU2838" s="204" t="n"/>
      <c r="CV2838" s="204" t="n"/>
      <c r="CW2838" s="204" t="n"/>
    </row>
    <row r="2839">
      <c r="BF2839" s="78" t="n"/>
      <c r="BG2839" s="78" t="n"/>
      <c r="BH2839" s="78" t="n"/>
      <c r="BI2839" s="78" t="n"/>
      <c r="BJ2839" s="139" t="n"/>
      <c r="BK2839" s="204" t="n"/>
      <c r="BL2839" s="141" t="n"/>
      <c r="BM2839" s="205" t="n"/>
      <c r="BN2839" s="205" t="n"/>
      <c r="BO2839" s="206" t="n"/>
      <c r="BP2839" s="144" t="n"/>
      <c r="BQ2839" s="141" t="n"/>
      <c r="BR2839" s="207" t="n"/>
      <c r="BS2839" s="207" t="n"/>
      <c r="BT2839" s="207" t="n"/>
      <c r="BU2839" s="207" t="n"/>
      <c r="BV2839" s="208" t="n"/>
      <c r="BW2839" s="207" t="n"/>
      <c r="BX2839" s="207" t="n"/>
      <c r="BY2839" s="204" t="n"/>
      <c r="BZ2839" s="148" t="n"/>
      <c r="CA2839" s="204" t="n"/>
      <c r="CB2839" s="208" t="n"/>
      <c r="CC2839" s="139" t="n"/>
      <c r="CD2839" s="204" t="n"/>
      <c r="CE2839" s="204" t="n"/>
      <c r="CF2839" s="207" t="n"/>
      <c r="CG2839" s="208" t="n"/>
      <c r="CH2839" s="207" t="n"/>
      <c r="CI2839" s="208" t="n"/>
      <c r="CJ2839" s="204" t="n"/>
      <c r="CK2839" s="208" t="n"/>
      <c r="CL2839" s="208" t="n"/>
      <c r="CM2839" s="208" t="n"/>
      <c r="CN2839" s="78" t="n"/>
      <c r="CO2839" s="209" t="n"/>
      <c r="CP2839" s="204" t="n"/>
      <c r="CQ2839" s="204" t="n"/>
      <c r="CR2839" s="204" t="n"/>
      <c r="CS2839" s="204" t="n"/>
      <c r="CT2839" s="204" t="n"/>
      <c r="CU2839" s="204" t="n"/>
      <c r="CV2839" s="204" t="n"/>
      <c r="CW2839" s="204" t="n"/>
    </row>
    <row r="2840">
      <c r="BF2840" s="78" t="n"/>
      <c r="BG2840" s="78" t="n"/>
      <c r="BH2840" s="78" t="n"/>
      <c r="BI2840" s="78" t="n"/>
      <c r="BJ2840" s="139" t="n"/>
      <c r="BK2840" s="204" t="n"/>
      <c r="BL2840" s="141" t="n"/>
      <c r="BM2840" s="205" t="n"/>
      <c r="BN2840" s="205" t="n"/>
      <c r="BO2840" s="206" t="n"/>
      <c r="BP2840" s="144" t="n"/>
      <c r="BQ2840" s="141" t="n"/>
      <c r="BR2840" s="207" t="n"/>
      <c r="BS2840" s="207" t="n"/>
      <c r="BT2840" s="207" t="n"/>
      <c r="BU2840" s="207" t="n"/>
      <c r="BV2840" s="208" t="n"/>
      <c r="BW2840" s="207" t="n"/>
      <c r="BX2840" s="207" t="n"/>
      <c r="BY2840" s="204" t="n"/>
      <c r="BZ2840" s="148" t="n"/>
      <c r="CA2840" s="204" t="n"/>
      <c r="CB2840" s="208" t="n"/>
      <c r="CC2840" s="139" t="n"/>
      <c r="CD2840" s="204" t="n"/>
      <c r="CE2840" s="204" t="n"/>
      <c r="CF2840" s="207" t="n"/>
      <c r="CG2840" s="208" t="n"/>
      <c r="CH2840" s="207" t="n"/>
      <c r="CI2840" s="208" t="n"/>
      <c r="CJ2840" s="204" t="n"/>
      <c r="CK2840" s="208" t="n"/>
      <c r="CL2840" s="208" t="n"/>
      <c r="CM2840" s="208" t="n"/>
      <c r="CN2840" s="78" t="n"/>
      <c r="CO2840" s="209" t="n"/>
      <c r="CP2840" s="204" t="n"/>
      <c r="CQ2840" s="204" t="n"/>
      <c r="CR2840" s="204" t="n"/>
      <c r="CS2840" s="204" t="n"/>
      <c r="CT2840" s="204" t="n"/>
      <c r="CU2840" s="204" t="n"/>
      <c r="CV2840" s="204" t="n"/>
      <c r="CW2840" s="204" t="n"/>
    </row>
    <row r="2841">
      <c r="BF2841" s="78" t="n"/>
      <c r="BG2841" s="78" t="n"/>
      <c r="BH2841" s="78" t="n"/>
      <c r="BI2841" s="78" t="n"/>
      <c r="BJ2841" s="139" t="n"/>
      <c r="BK2841" s="204" t="n"/>
      <c r="BL2841" s="141" t="n"/>
      <c r="BM2841" s="205" t="n"/>
      <c r="BN2841" s="205" t="n"/>
      <c r="BO2841" s="206" t="n"/>
      <c r="BP2841" s="144" t="n"/>
      <c r="BQ2841" s="141" t="n"/>
      <c r="BR2841" s="207" t="n"/>
      <c r="BS2841" s="207" t="n"/>
      <c r="BT2841" s="207" t="n"/>
      <c r="BU2841" s="207" t="n"/>
      <c r="BV2841" s="208" t="n"/>
      <c r="BW2841" s="207" t="n"/>
      <c r="BX2841" s="207" t="n"/>
      <c r="BY2841" s="204" t="n"/>
      <c r="BZ2841" s="148" t="n"/>
      <c r="CA2841" s="204" t="n"/>
      <c r="CB2841" s="208" t="n"/>
      <c r="CC2841" s="139" t="n"/>
      <c r="CD2841" s="204" t="n"/>
      <c r="CE2841" s="204" t="n"/>
      <c r="CF2841" s="207" t="n"/>
      <c r="CG2841" s="208" t="n"/>
      <c r="CH2841" s="207" t="n"/>
      <c r="CI2841" s="208" t="n"/>
      <c r="CJ2841" s="204" t="n"/>
      <c r="CK2841" s="208" t="n"/>
      <c r="CL2841" s="208" t="n"/>
      <c r="CM2841" s="208" t="n"/>
      <c r="CN2841" s="78" t="n"/>
      <c r="CO2841" s="209" t="n"/>
      <c r="CP2841" s="204" t="n"/>
      <c r="CQ2841" s="204" t="n"/>
      <c r="CR2841" s="204" t="n"/>
      <c r="CS2841" s="204" t="n"/>
      <c r="CT2841" s="204" t="n"/>
      <c r="CU2841" s="204" t="n"/>
      <c r="CV2841" s="204" t="n"/>
      <c r="CW2841" s="204" t="n"/>
    </row>
    <row r="2842">
      <c r="BF2842" s="78" t="n"/>
      <c r="BG2842" s="78" t="n"/>
      <c r="BH2842" s="78" t="n"/>
      <c r="BI2842" s="78" t="n"/>
      <c r="BJ2842" s="139" t="n"/>
      <c r="BK2842" s="204" t="n"/>
      <c r="BL2842" s="141" t="n"/>
      <c r="BM2842" s="205" t="n"/>
      <c r="BN2842" s="205" t="n"/>
      <c r="BO2842" s="206" t="n"/>
      <c r="BP2842" s="144" t="n"/>
      <c r="BQ2842" s="141" t="n"/>
      <c r="BR2842" s="207" t="n"/>
      <c r="BS2842" s="207" t="n"/>
      <c r="BT2842" s="207" t="n"/>
      <c r="BU2842" s="207" t="n"/>
      <c r="BV2842" s="208" t="n"/>
      <c r="BW2842" s="207" t="n"/>
      <c r="BX2842" s="207" t="n"/>
      <c r="BY2842" s="204" t="n"/>
      <c r="BZ2842" s="148" t="n"/>
      <c r="CA2842" s="204" t="n"/>
      <c r="CB2842" s="208" t="n"/>
      <c r="CC2842" s="139" t="n"/>
      <c r="CD2842" s="204" t="n"/>
      <c r="CE2842" s="204" t="n"/>
      <c r="CF2842" s="207" t="n"/>
      <c r="CG2842" s="208" t="n"/>
      <c r="CH2842" s="207" t="n"/>
      <c r="CI2842" s="208" t="n"/>
      <c r="CJ2842" s="204" t="n"/>
      <c r="CK2842" s="208" t="n"/>
      <c r="CL2842" s="208" t="n"/>
      <c r="CM2842" s="208" t="n"/>
      <c r="CN2842" s="78" t="n"/>
      <c r="CO2842" s="209" t="n"/>
      <c r="CP2842" s="204" t="n"/>
      <c r="CQ2842" s="204" t="n"/>
      <c r="CR2842" s="204" t="n"/>
      <c r="CS2842" s="204" t="n"/>
      <c r="CT2842" s="204" t="n"/>
      <c r="CU2842" s="204" t="n"/>
      <c r="CV2842" s="204" t="n"/>
      <c r="CW2842" s="204" t="n"/>
    </row>
    <row r="2843">
      <c r="BF2843" s="78" t="n"/>
      <c r="BG2843" s="78" t="n"/>
      <c r="BH2843" s="78" t="n"/>
      <c r="BI2843" s="78" t="n"/>
      <c r="BJ2843" s="139" t="n"/>
      <c r="BK2843" s="204" t="n"/>
      <c r="BL2843" s="141" t="n"/>
      <c r="BM2843" s="205" t="n"/>
      <c r="BN2843" s="205" t="n"/>
      <c r="BO2843" s="206" t="n"/>
      <c r="BP2843" s="144" t="n"/>
      <c r="BQ2843" s="141" t="n"/>
      <c r="BR2843" s="207" t="n"/>
      <c r="BS2843" s="207" t="n"/>
      <c r="BT2843" s="207" t="n"/>
      <c r="BU2843" s="207" t="n"/>
      <c r="BV2843" s="208" t="n"/>
      <c r="BW2843" s="207" t="n"/>
      <c r="BX2843" s="207" t="n"/>
      <c r="BY2843" s="204" t="n"/>
      <c r="BZ2843" s="148" t="n"/>
      <c r="CA2843" s="204" t="n"/>
      <c r="CB2843" s="208" t="n"/>
      <c r="CC2843" s="139" t="n"/>
      <c r="CD2843" s="204" t="n"/>
      <c r="CE2843" s="204" t="n"/>
      <c r="CF2843" s="207" t="n"/>
      <c r="CG2843" s="208" t="n"/>
      <c r="CH2843" s="207" t="n"/>
      <c r="CI2843" s="208" t="n"/>
      <c r="CJ2843" s="204" t="n"/>
      <c r="CK2843" s="208" t="n"/>
      <c r="CL2843" s="208" t="n"/>
      <c r="CM2843" s="208" t="n"/>
      <c r="CN2843" s="78" t="n"/>
      <c r="CO2843" s="209" t="n"/>
      <c r="CP2843" s="204" t="n"/>
      <c r="CQ2843" s="204" t="n"/>
      <c r="CR2843" s="204" t="n"/>
      <c r="CS2843" s="204" t="n"/>
      <c r="CT2843" s="204" t="n"/>
      <c r="CU2843" s="204" t="n"/>
      <c r="CV2843" s="204" t="n"/>
      <c r="CW2843" s="204" t="n"/>
    </row>
    <row r="2844">
      <c r="BF2844" s="78" t="n"/>
      <c r="BG2844" s="78" t="n"/>
      <c r="BH2844" s="78" t="n"/>
      <c r="BI2844" s="78" t="n"/>
      <c r="BJ2844" s="139" t="n"/>
      <c r="BK2844" s="204" t="n"/>
      <c r="BL2844" s="141" t="n"/>
      <c r="BM2844" s="205" t="n"/>
      <c r="BN2844" s="205" t="n"/>
      <c r="BO2844" s="206" t="n"/>
      <c r="BP2844" s="144" t="n"/>
      <c r="BQ2844" s="141" t="n"/>
      <c r="BR2844" s="207" t="n"/>
      <c r="BS2844" s="207" t="n"/>
      <c r="BT2844" s="207" t="n"/>
      <c r="BU2844" s="207" t="n"/>
      <c r="BV2844" s="208" t="n"/>
      <c r="BW2844" s="207" t="n"/>
      <c r="BX2844" s="207" t="n"/>
      <c r="BY2844" s="204" t="n"/>
      <c r="BZ2844" s="148" t="n"/>
      <c r="CA2844" s="204" t="n"/>
      <c r="CB2844" s="208" t="n"/>
      <c r="CC2844" s="139" t="n"/>
      <c r="CD2844" s="204" t="n"/>
      <c r="CE2844" s="204" t="n"/>
      <c r="CF2844" s="207" t="n"/>
      <c r="CG2844" s="208" t="n"/>
      <c r="CH2844" s="207" t="n"/>
      <c r="CI2844" s="208" t="n"/>
      <c r="CJ2844" s="204" t="n"/>
      <c r="CK2844" s="208" t="n"/>
      <c r="CL2844" s="208" t="n"/>
      <c r="CM2844" s="208" t="n"/>
      <c r="CN2844" s="78" t="n"/>
      <c r="CO2844" s="209" t="n"/>
      <c r="CP2844" s="204" t="n"/>
      <c r="CQ2844" s="204" t="n"/>
      <c r="CR2844" s="204" t="n"/>
      <c r="CS2844" s="204" t="n"/>
      <c r="CT2844" s="204" t="n"/>
      <c r="CU2844" s="204" t="n"/>
      <c r="CV2844" s="204" t="n"/>
      <c r="CW2844" s="204" t="n"/>
    </row>
    <row r="2845">
      <c r="BF2845" s="78" t="n"/>
      <c r="BG2845" s="78" t="n"/>
      <c r="BH2845" s="78" t="n"/>
      <c r="BI2845" s="78" t="n"/>
      <c r="BJ2845" s="139" t="n"/>
      <c r="BK2845" s="204" t="n"/>
      <c r="BL2845" s="141" t="n"/>
      <c r="BM2845" s="205" t="n"/>
      <c r="BN2845" s="205" t="n"/>
      <c r="BO2845" s="206" t="n"/>
      <c r="BP2845" s="144" t="n"/>
      <c r="BQ2845" s="141" t="n"/>
      <c r="BR2845" s="207" t="n"/>
      <c r="BS2845" s="207" t="n"/>
      <c r="BT2845" s="207" t="n"/>
      <c r="BU2845" s="207" t="n"/>
      <c r="BV2845" s="208" t="n"/>
      <c r="BW2845" s="207" t="n"/>
      <c r="BX2845" s="207" t="n"/>
      <c r="BY2845" s="204" t="n"/>
      <c r="BZ2845" s="148" t="n"/>
      <c r="CA2845" s="204" t="n"/>
      <c r="CB2845" s="208" t="n"/>
      <c r="CC2845" s="139" t="n"/>
      <c r="CD2845" s="204" t="n"/>
      <c r="CE2845" s="204" t="n"/>
      <c r="CF2845" s="207" t="n"/>
      <c r="CG2845" s="208" t="n"/>
      <c r="CH2845" s="207" t="n"/>
      <c r="CI2845" s="208" t="n"/>
      <c r="CJ2845" s="204" t="n"/>
      <c r="CK2845" s="208" t="n"/>
      <c r="CL2845" s="208" t="n"/>
      <c r="CM2845" s="208" t="n"/>
      <c r="CN2845" s="78" t="n"/>
      <c r="CO2845" s="209" t="n"/>
      <c r="CP2845" s="204" t="n"/>
      <c r="CQ2845" s="204" t="n"/>
      <c r="CR2845" s="204" t="n"/>
      <c r="CS2845" s="204" t="n"/>
      <c r="CT2845" s="204" t="n"/>
      <c r="CU2845" s="204" t="n"/>
      <c r="CV2845" s="204" t="n"/>
      <c r="CW2845" s="204" t="n"/>
    </row>
    <row r="2846">
      <c r="BF2846" s="78" t="n"/>
      <c r="BG2846" s="78" t="n"/>
      <c r="BH2846" s="78" t="n"/>
      <c r="BI2846" s="78" t="n"/>
      <c r="BJ2846" s="139" t="n"/>
      <c r="BK2846" s="204" t="n"/>
      <c r="BL2846" s="141" t="n"/>
      <c r="BM2846" s="205" t="n"/>
      <c r="BN2846" s="205" t="n"/>
      <c r="BO2846" s="206" t="n"/>
      <c r="BP2846" s="144" t="n"/>
      <c r="BQ2846" s="141" t="n"/>
      <c r="BR2846" s="207" t="n"/>
      <c r="BS2846" s="207" t="n"/>
      <c r="BT2846" s="207" t="n"/>
      <c r="BU2846" s="207" t="n"/>
      <c r="BV2846" s="208" t="n"/>
      <c r="BW2846" s="207" t="n"/>
      <c r="BX2846" s="207" t="n"/>
      <c r="BY2846" s="204" t="n"/>
      <c r="BZ2846" s="148" t="n"/>
      <c r="CA2846" s="204" t="n"/>
      <c r="CB2846" s="208" t="n"/>
      <c r="CC2846" s="139" t="n"/>
      <c r="CD2846" s="204" t="n"/>
      <c r="CE2846" s="204" t="n"/>
      <c r="CF2846" s="207" t="n"/>
      <c r="CG2846" s="208" t="n"/>
      <c r="CH2846" s="207" t="n"/>
      <c r="CI2846" s="208" t="n"/>
      <c r="CJ2846" s="204" t="n"/>
      <c r="CK2846" s="208" t="n"/>
      <c r="CL2846" s="208" t="n"/>
      <c r="CM2846" s="208" t="n"/>
      <c r="CN2846" s="78" t="n"/>
      <c r="CO2846" s="209" t="n"/>
      <c r="CP2846" s="204" t="n"/>
      <c r="CQ2846" s="204" t="n"/>
      <c r="CR2846" s="204" t="n"/>
      <c r="CS2846" s="204" t="n"/>
      <c r="CT2846" s="204" t="n"/>
      <c r="CU2846" s="204" t="n"/>
      <c r="CV2846" s="204" t="n"/>
      <c r="CW2846" s="204" t="n"/>
    </row>
    <row r="2847">
      <c r="BF2847" s="78" t="n"/>
      <c r="BG2847" s="78" t="n"/>
      <c r="BH2847" s="78" t="n"/>
      <c r="BI2847" s="78" t="n"/>
      <c r="BJ2847" s="139" t="n"/>
      <c r="BK2847" s="204" t="n"/>
      <c r="BL2847" s="141" t="n"/>
      <c r="BM2847" s="205" t="n"/>
      <c r="BN2847" s="205" t="n"/>
      <c r="BO2847" s="206" t="n"/>
      <c r="BP2847" s="144" t="n"/>
      <c r="BQ2847" s="141" t="n"/>
      <c r="BR2847" s="207" t="n"/>
      <c r="BS2847" s="207" t="n"/>
      <c r="BT2847" s="207" t="n"/>
      <c r="BU2847" s="207" t="n"/>
      <c r="BV2847" s="208" t="n"/>
      <c r="BW2847" s="207" t="n"/>
      <c r="BX2847" s="207" t="n"/>
      <c r="BY2847" s="204" t="n"/>
      <c r="BZ2847" s="148" t="n"/>
      <c r="CA2847" s="204" t="n"/>
      <c r="CB2847" s="208" t="n"/>
      <c r="CC2847" s="139" t="n"/>
      <c r="CD2847" s="204" t="n"/>
      <c r="CE2847" s="204" t="n"/>
      <c r="CF2847" s="207" t="n"/>
      <c r="CG2847" s="208" t="n"/>
      <c r="CH2847" s="207" t="n"/>
      <c r="CI2847" s="208" t="n"/>
      <c r="CJ2847" s="204" t="n"/>
      <c r="CK2847" s="208" t="n"/>
      <c r="CL2847" s="208" t="n"/>
      <c r="CM2847" s="208" t="n"/>
      <c r="CN2847" s="78" t="n"/>
      <c r="CO2847" s="209" t="n"/>
      <c r="CP2847" s="204" t="n"/>
      <c r="CQ2847" s="204" t="n"/>
      <c r="CR2847" s="204" t="n"/>
      <c r="CS2847" s="204" t="n"/>
      <c r="CT2847" s="204" t="n"/>
      <c r="CU2847" s="204" t="n"/>
      <c r="CV2847" s="204" t="n"/>
      <c r="CW2847" s="204" t="n"/>
    </row>
    <row r="2848">
      <c r="AR2848" s="151" t="n"/>
      <c r="BF2848" s="78" t="n"/>
      <c r="BG2848" s="78" t="n"/>
      <c r="BH2848" s="78" t="n"/>
      <c r="BI2848" s="78" t="n"/>
      <c r="BJ2848" s="139" t="n"/>
      <c r="BK2848" s="204" t="n"/>
      <c r="BL2848" s="141" t="n"/>
      <c r="BM2848" s="205" t="n"/>
      <c r="BN2848" s="205" t="n"/>
      <c r="BO2848" s="206" t="n"/>
      <c r="BP2848" s="144" t="n"/>
      <c r="BQ2848" s="141" t="n"/>
      <c r="BR2848" s="207" t="n"/>
      <c r="BS2848" s="207" t="n"/>
      <c r="BT2848" s="207" t="n"/>
      <c r="BU2848" s="207" t="n"/>
      <c r="BV2848" s="208" t="n"/>
      <c r="BW2848" s="207" t="n"/>
      <c r="BX2848" s="207" t="n"/>
      <c r="BY2848" s="204" t="n"/>
      <c r="BZ2848" s="148" t="n"/>
      <c r="CA2848" s="204" t="n"/>
      <c r="CB2848" s="208" t="n"/>
      <c r="CC2848" s="139" t="n"/>
      <c r="CD2848" s="204" t="n"/>
      <c r="CE2848" s="204" t="n"/>
      <c r="CF2848" s="207" t="n"/>
      <c r="CG2848" s="208" t="n"/>
      <c r="CH2848" s="207" t="n"/>
      <c r="CI2848" s="208" t="n"/>
      <c r="CJ2848" s="204" t="n"/>
      <c r="CK2848" s="208" t="n"/>
      <c r="CL2848" s="208" t="n"/>
      <c r="CM2848" s="208" t="n"/>
      <c r="CN2848" s="78" t="n"/>
      <c r="CO2848" s="209" t="n"/>
      <c r="CP2848" s="204" t="n"/>
      <c r="CQ2848" s="204" t="n"/>
      <c r="CR2848" s="204" t="n"/>
      <c r="CS2848" s="204" t="n"/>
      <c r="CT2848" s="204" t="n"/>
      <c r="CU2848" s="204" t="n"/>
      <c r="CV2848" s="204" t="n"/>
      <c r="CW2848" s="204" t="n"/>
    </row>
    <row r="2849">
      <c r="BF2849" s="78" t="n"/>
      <c r="BG2849" s="78" t="n"/>
      <c r="BH2849" s="78" t="n"/>
      <c r="BI2849" s="78" t="n"/>
      <c r="BJ2849" s="139" t="n"/>
      <c r="BK2849" s="204" t="n"/>
      <c r="BL2849" s="141" t="n"/>
      <c r="BM2849" s="205" t="n"/>
      <c r="BN2849" s="205" t="n"/>
      <c r="BO2849" s="206" t="n"/>
      <c r="BP2849" s="144" t="n"/>
      <c r="BQ2849" s="141" t="n"/>
      <c r="BR2849" s="207" t="n"/>
      <c r="BS2849" s="207" t="n"/>
      <c r="BT2849" s="207" t="n"/>
      <c r="BU2849" s="207" t="n"/>
      <c r="BV2849" s="208" t="n"/>
      <c r="BW2849" s="207" t="n"/>
      <c r="BX2849" s="207" t="n"/>
      <c r="BY2849" s="204" t="n"/>
      <c r="BZ2849" s="148" t="n"/>
      <c r="CA2849" s="204" t="n"/>
      <c r="CB2849" s="208" t="n"/>
      <c r="CC2849" s="139" t="n"/>
      <c r="CD2849" s="204" t="n"/>
      <c r="CE2849" s="204" t="n"/>
      <c r="CF2849" s="207" t="n"/>
      <c r="CG2849" s="208" t="n"/>
      <c r="CH2849" s="207" t="n"/>
      <c r="CI2849" s="208" t="n"/>
      <c r="CJ2849" s="204" t="n"/>
      <c r="CK2849" s="208" t="n"/>
      <c r="CL2849" s="208" t="n"/>
      <c r="CM2849" s="208" t="n"/>
      <c r="CN2849" s="78" t="n"/>
      <c r="CO2849" s="209" t="n"/>
      <c r="CP2849" s="204" t="n"/>
      <c r="CQ2849" s="204" t="n"/>
      <c r="CR2849" s="204" t="n"/>
      <c r="CS2849" s="204" t="n"/>
      <c r="CT2849" s="204" t="n"/>
      <c r="CU2849" s="204" t="n"/>
      <c r="CV2849" s="204" t="n"/>
      <c r="CW2849" s="204" t="n"/>
    </row>
    <row r="2850">
      <c r="BF2850" s="78" t="n"/>
      <c r="BG2850" s="78" t="n"/>
      <c r="BH2850" s="78" t="n"/>
      <c r="BI2850" s="78" t="n"/>
      <c r="BJ2850" s="139" t="n"/>
      <c r="BK2850" s="204" t="n"/>
      <c r="BL2850" s="141" t="n"/>
      <c r="BM2850" s="205" t="n"/>
      <c r="BN2850" s="205" t="n"/>
      <c r="BO2850" s="206" t="n"/>
      <c r="BP2850" s="144" t="n"/>
      <c r="BQ2850" s="141" t="n"/>
      <c r="BR2850" s="207" t="n"/>
      <c r="BS2850" s="207" t="n"/>
      <c r="BT2850" s="207" t="n"/>
      <c r="BU2850" s="207" t="n"/>
      <c r="BV2850" s="208" t="n"/>
      <c r="BW2850" s="207" t="n"/>
      <c r="BX2850" s="207" t="n"/>
      <c r="BY2850" s="204" t="n"/>
      <c r="BZ2850" s="148" t="n"/>
      <c r="CA2850" s="204" t="n"/>
      <c r="CB2850" s="208" t="n"/>
      <c r="CC2850" s="139" t="n"/>
      <c r="CD2850" s="204" t="n"/>
      <c r="CE2850" s="204" t="n"/>
      <c r="CF2850" s="207" t="n"/>
      <c r="CG2850" s="208" t="n"/>
      <c r="CH2850" s="207" t="n"/>
      <c r="CI2850" s="208" t="n"/>
      <c r="CJ2850" s="204" t="n"/>
      <c r="CK2850" s="208" t="n"/>
      <c r="CL2850" s="208" t="n"/>
      <c r="CM2850" s="208" t="n"/>
      <c r="CN2850" s="78" t="n"/>
      <c r="CO2850" s="209" t="n"/>
      <c r="CP2850" s="204" t="n"/>
      <c r="CQ2850" s="204" t="n"/>
      <c r="CR2850" s="204" t="n"/>
      <c r="CS2850" s="204" t="n"/>
      <c r="CT2850" s="204" t="n"/>
      <c r="CU2850" s="204" t="n"/>
      <c r="CV2850" s="204" t="n"/>
      <c r="CW2850" s="204" t="n"/>
    </row>
    <row r="2851">
      <c r="BF2851" s="78" t="n"/>
      <c r="BG2851" s="78" t="n"/>
      <c r="BH2851" s="78" t="n"/>
      <c r="BI2851" s="78" t="n"/>
      <c r="BJ2851" s="139" t="n"/>
      <c r="BK2851" s="204" t="n"/>
      <c r="BL2851" s="141" t="n"/>
      <c r="BM2851" s="205" t="n"/>
      <c r="BN2851" s="205" t="n"/>
      <c r="BO2851" s="206" t="n"/>
      <c r="BP2851" s="144" t="n"/>
      <c r="BQ2851" s="141" t="n"/>
      <c r="BR2851" s="207" t="n"/>
      <c r="BS2851" s="207" t="n"/>
      <c r="BT2851" s="207" t="n"/>
      <c r="BU2851" s="207" t="n"/>
      <c r="BV2851" s="208" t="n"/>
      <c r="BW2851" s="207" t="n"/>
      <c r="BX2851" s="207" t="n"/>
      <c r="BY2851" s="204" t="n"/>
      <c r="BZ2851" s="148" t="n"/>
      <c r="CA2851" s="204" t="n"/>
      <c r="CB2851" s="208" t="n"/>
      <c r="CC2851" s="139" t="n"/>
      <c r="CD2851" s="204" t="n"/>
      <c r="CE2851" s="204" t="n"/>
      <c r="CF2851" s="207" t="n"/>
      <c r="CG2851" s="208" t="n"/>
      <c r="CH2851" s="207" t="n"/>
      <c r="CI2851" s="208" t="n"/>
      <c r="CJ2851" s="204" t="n"/>
      <c r="CK2851" s="208" t="n"/>
      <c r="CL2851" s="208" t="n"/>
      <c r="CM2851" s="208" t="n"/>
      <c r="CN2851" s="78" t="n"/>
      <c r="CO2851" s="209" t="n"/>
      <c r="CP2851" s="204" t="n"/>
      <c r="CQ2851" s="204" t="n"/>
      <c r="CR2851" s="204" t="n"/>
      <c r="CS2851" s="204" t="n"/>
      <c r="CT2851" s="204" t="n"/>
      <c r="CU2851" s="204" t="n"/>
      <c r="CV2851" s="204" t="n"/>
      <c r="CW2851" s="204" t="n"/>
    </row>
    <row r="2852">
      <c r="BF2852" s="78" t="n"/>
      <c r="BG2852" s="78" t="n"/>
      <c r="BH2852" s="78" t="n"/>
      <c r="BI2852" s="78" t="n"/>
      <c r="BJ2852" s="139" t="n"/>
      <c r="BK2852" s="204" t="n"/>
      <c r="BL2852" s="141" t="n"/>
      <c r="BM2852" s="205" t="n"/>
      <c r="BN2852" s="205" t="n"/>
      <c r="BO2852" s="206" t="n"/>
      <c r="BP2852" s="144" t="n"/>
      <c r="BQ2852" s="141" t="n"/>
      <c r="BR2852" s="207" t="n"/>
      <c r="BS2852" s="207" t="n"/>
      <c r="BT2852" s="207" t="n"/>
      <c r="BU2852" s="207" t="n"/>
      <c r="BV2852" s="208" t="n"/>
      <c r="BW2852" s="207" t="n"/>
      <c r="BX2852" s="207" t="n"/>
      <c r="BY2852" s="204" t="n"/>
      <c r="BZ2852" s="148" t="n"/>
      <c r="CA2852" s="204" t="n"/>
      <c r="CB2852" s="208" t="n"/>
      <c r="CC2852" s="139" t="n"/>
      <c r="CD2852" s="204" t="n"/>
      <c r="CE2852" s="204" t="n"/>
      <c r="CF2852" s="207" t="n"/>
      <c r="CG2852" s="208" t="n"/>
      <c r="CH2852" s="207" t="n"/>
      <c r="CI2852" s="208" t="n"/>
      <c r="CJ2852" s="204" t="n"/>
      <c r="CK2852" s="208" t="n"/>
      <c r="CL2852" s="208" t="n"/>
      <c r="CM2852" s="208" t="n"/>
      <c r="CN2852" s="78" t="n"/>
      <c r="CO2852" s="209" t="n"/>
      <c r="CP2852" s="204" t="n"/>
      <c r="CQ2852" s="204" t="n"/>
      <c r="CR2852" s="204" t="n"/>
      <c r="CS2852" s="204" t="n"/>
      <c r="CT2852" s="204" t="n"/>
      <c r="CU2852" s="204" t="n"/>
      <c r="CV2852" s="204" t="n"/>
      <c r="CW2852" s="204" t="n"/>
    </row>
    <row r="2853">
      <c r="BF2853" s="78" t="n"/>
      <c r="BG2853" s="78" t="n"/>
      <c r="BH2853" s="78" t="n"/>
      <c r="BI2853" s="78" t="n"/>
      <c r="BJ2853" s="139" t="n"/>
      <c r="BK2853" s="204" t="n"/>
      <c r="BL2853" s="141" t="n"/>
      <c r="BM2853" s="205" t="n"/>
      <c r="BN2853" s="205" t="n"/>
      <c r="BO2853" s="206" t="n"/>
      <c r="BP2853" s="144" t="n"/>
      <c r="BQ2853" s="141" t="n"/>
      <c r="BR2853" s="207" t="n"/>
      <c r="BS2853" s="207" t="n"/>
      <c r="BT2853" s="207" t="n"/>
      <c r="BU2853" s="207" t="n"/>
      <c r="BV2853" s="208" t="n"/>
      <c r="BW2853" s="207" t="n"/>
      <c r="BX2853" s="207" t="n"/>
      <c r="BY2853" s="204" t="n"/>
      <c r="BZ2853" s="148" t="n"/>
      <c r="CA2853" s="204" t="n"/>
      <c r="CB2853" s="208" t="n"/>
      <c r="CC2853" s="139" t="n"/>
      <c r="CD2853" s="204" t="n"/>
      <c r="CE2853" s="204" t="n"/>
      <c r="CF2853" s="207" t="n"/>
      <c r="CG2853" s="208" t="n"/>
      <c r="CH2853" s="207" t="n"/>
      <c r="CI2853" s="208" t="n"/>
      <c r="CJ2853" s="204" t="n"/>
      <c r="CK2853" s="208" t="n"/>
      <c r="CL2853" s="208" t="n"/>
      <c r="CM2853" s="208" t="n"/>
      <c r="CN2853" s="78" t="n"/>
      <c r="CO2853" s="209" t="n"/>
      <c r="CP2853" s="204" t="n"/>
      <c r="CQ2853" s="204" t="n"/>
      <c r="CR2853" s="204" t="n"/>
      <c r="CS2853" s="204" t="n"/>
      <c r="CT2853" s="204" t="n"/>
      <c r="CU2853" s="204" t="n"/>
      <c r="CV2853" s="204" t="n"/>
      <c r="CW2853" s="204" t="n"/>
    </row>
    <row r="2854">
      <c r="BF2854" s="78" t="n"/>
      <c r="BG2854" s="78" t="n"/>
      <c r="BH2854" s="78" t="n"/>
      <c r="BI2854" s="78" t="n"/>
      <c r="BJ2854" s="139" t="n"/>
      <c r="BK2854" s="204" t="n"/>
      <c r="BL2854" s="141" t="n"/>
      <c r="BM2854" s="205" t="n"/>
      <c r="BN2854" s="205" t="n"/>
      <c r="BO2854" s="206" t="n"/>
      <c r="BP2854" s="144" t="n"/>
      <c r="BQ2854" s="141" t="n"/>
      <c r="BR2854" s="207" t="n"/>
      <c r="BS2854" s="207" t="n"/>
      <c r="BT2854" s="207" t="n"/>
      <c r="BU2854" s="207" t="n"/>
      <c r="BV2854" s="208" t="n"/>
      <c r="BW2854" s="207" t="n"/>
      <c r="BX2854" s="207" t="n"/>
      <c r="BY2854" s="204" t="n"/>
      <c r="BZ2854" s="148" t="n"/>
      <c r="CA2854" s="204" t="n"/>
      <c r="CB2854" s="208" t="n"/>
      <c r="CC2854" s="139" t="n"/>
      <c r="CD2854" s="204" t="n"/>
      <c r="CE2854" s="204" t="n"/>
      <c r="CF2854" s="207" t="n"/>
      <c r="CG2854" s="208" t="n"/>
      <c r="CH2854" s="207" t="n"/>
      <c r="CI2854" s="208" t="n"/>
      <c r="CJ2854" s="204" t="n"/>
      <c r="CK2854" s="208" t="n"/>
      <c r="CL2854" s="208" t="n"/>
      <c r="CM2854" s="208" t="n"/>
      <c r="CN2854" s="78" t="n"/>
      <c r="CO2854" s="209" t="n"/>
      <c r="CP2854" s="204" t="n"/>
      <c r="CQ2854" s="204" t="n"/>
      <c r="CR2854" s="204" t="n"/>
      <c r="CS2854" s="204" t="n"/>
      <c r="CT2854" s="204" t="n"/>
      <c r="CU2854" s="204" t="n"/>
      <c r="CV2854" s="204" t="n"/>
      <c r="CW2854" s="204" t="n"/>
    </row>
    <row r="2855">
      <c r="BF2855" s="78" t="n"/>
      <c r="BG2855" s="78" t="n"/>
      <c r="BH2855" s="78" t="n"/>
      <c r="BI2855" s="78" t="n"/>
      <c r="BJ2855" s="139" t="n"/>
      <c r="BK2855" s="204" t="n"/>
      <c r="BL2855" s="141" t="n"/>
      <c r="BM2855" s="205" t="n"/>
      <c r="BN2855" s="205" t="n"/>
      <c r="BO2855" s="206" t="n"/>
      <c r="BP2855" s="144" t="n"/>
      <c r="BQ2855" s="141" t="n"/>
      <c r="BR2855" s="207" t="n"/>
      <c r="BS2855" s="207" t="n"/>
      <c r="BT2855" s="207" t="n"/>
      <c r="BU2855" s="207" t="n"/>
      <c r="BV2855" s="208" t="n"/>
      <c r="BW2855" s="207" t="n"/>
      <c r="BX2855" s="207" t="n"/>
      <c r="BY2855" s="204" t="n"/>
      <c r="BZ2855" s="148" t="n"/>
      <c r="CA2855" s="204" t="n"/>
      <c r="CB2855" s="208" t="n"/>
      <c r="CC2855" s="139" t="n"/>
      <c r="CD2855" s="204" t="n"/>
      <c r="CE2855" s="204" t="n"/>
      <c r="CF2855" s="207" t="n"/>
      <c r="CG2855" s="208" t="n"/>
      <c r="CH2855" s="207" t="n"/>
      <c r="CI2855" s="208" t="n"/>
      <c r="CJ2855" s="204" t="n"/>
      <c r="CK2855" s="208" t="n"/>
      <c r="CL2855" s="208" t="n"/>
      <c r="CM2855" s="208" t="n"/>
      <c r="CN2855" s="78" t="n"/>
      <c r="CO2855" s="209" t="n"/>
      <c r="CP2855" s="204" t="n"/>
      <c r="CQ2855" s="204" t="n"/>
      <c r="CR2855" s="204" t="n"/>
      <c r="CS2855" s="204" t="n"/>
      <c r="CT2855" s="204" t="n"/>
      <c r="CU2855" s="204" t="n"/>
      <c r="CV2855" s="204" t="n"/>
      <c r="CW2855" s="204" t="n"/>
    </row>
    <row r="2856">
      <c r="BF2856" s="78" t="n"/>
      <c r="BG2856" s="78" t="n"/>
      <c r="BH2856" s="78" t="n"/>
      <c r="BI2856" s="78" t="n"/>
      <c r="BJ2856" s="139" t="n"/>
      <c r="BK2856" s="204" t="n"/>
      <c r="BL2856" s="141" t="n"/>
      <c r="BM2856" s="205" t="n"/>
      <c r="BN2856" s="205" t="n"/>
      <c r="BO2856" s="206" t="n"/>
      <c r="BP2856" s="144" t="n"/>
      <c r="BQ2856" s="141" t="n"/>
      <c r="BR2856" s="207" t="n"/>
      <c r="BS2856" s="207" t="n"/>
      <c r="BT2856" s="207" t="n"/>
      <c r="BU2856" s="207" t="n"/>
      <c r="BV2856" s="208" t="n"/>
      <c r="BW2856" s="207" t="n"/>
      <c r="BX2856" s="207" t="n"/>
      <c r="BY2856" s="204" t="n"/>
      <c r="BZ2856" s="148" t="n"/>
      <c r="CA2856" s="204" t="n"/>
      <c r="CB2856" s="208" t="n"/>
      <c r="CC2856" s="139" t="n"/>
      <c r="CD2856" s="204" t="n"/>
      <c r="CE2856" s="204" t="n"/>
      <c r="CF2856" s="207" t="n"/>
      <c r="CG2856" s="208" t="n"/>
      <c r="CH2856" s="207" t="n"/>
      <c r="CI2856" s="208" t="n"/>
      <c r="CJ2856" s="204" t="n"/>
      <c r="CK2856" s="208" t="n"/>
      <c r="CL2856" s="208" t="n"/>
      <c r="CM2856" s="208" t="n"/>
      <c r="CN2856" s="78" t="n"/>
      <c r="CO2856" s="209" t="n"/>
      <c r="CP2856" s="204" t="n"/>
      <c r="CQ2856" s="204" t="n"/>
      <c r="CR2856" s="204" t="n"/>
      <c r="CS2856" s="204" t="n"/>
      <c r="CT2856" s="204" t="n"/>
      <c r="CU2856" s="204" t="n"/>
      <c r="CV2856" s="204" t="n"/>
      <c r="CW2856" s="204" t="n"/>
    </row>
    <row r="2857">
      <c r="BF2857" s="78" t="n"/>
      <c r="BG2857" s="78" t="n"/>
      <c r="BH2857" s="78" t="n"/>
      <c r="BI2857" s="78" t="n"/>
      <c r="BJ2857" s="139" t="n"/>
      <c r="BK2857" s="204" t="n"/>
      <c r="BL2857" s="141" t="n"/>
      <c r="BM2857" s="205" t="n"/>
      <c r="BN2857" s="205" t="n"/>
      <c r="BO2857" s="206" t="n"/>
      <c r="BP2857" s="144" t="n"/>
      <c r="BQ2857" s="141" t="n"/>
      <c r="BR2857" s="207" t="n"/>
      <c r="BS2857" s="207" t="n"/>
      <c r="BT2857" s="207" t="n"/>
      <c r="BU2857" s="207" t="n"/>
      <c r="BV2857" s="208" t="n"/>
      <c r="BW2857" s="207" t="n"/>
      <c r="BX2857" s="207" t="n"/>
      <c r="BY2857" s="204" t="n"/>
      <c r="BZ2857" s="148" t="n"/>
      <c r="CA2857" s="204" t="n"/>
      <c r="CB2857" s="208" t="n"/>
      <c r="CC2857" s="139" t="n"/>
      <c r="CD2857" s="204" t="n"/>
      <c r="CE2857" s="204" t="n"/>
      <c r="CF2857" s="207" t="n"/>
      <c r="CG2857" s="208" t="n"/>
      <c r="CH2857" s="207" t="n"/>
      <c r="CI2857" s="208" t="n"/>
      <c r="CJ2857" s="204" t="n"/>
      <c r="CK2857" s="208" t="n"/>
      <c r="CL2857" s="208" t="n"/>
      <c r="CM2857" s="208" t="n"/>
      <c r="CN2857" s="78" t="n"/>
      <c r="CO2857" s="209" t="n"/>
      <c r="CP2857" s="204" t="n"/>
      <c r="CQ2857" s="204" t="n"/>
      <c r="CR2857" s="204" t="n"/>
      <c r="CS2857" s="204" t="n"/>
      <c r="CT2857" s="204" t="n"/>
      <c r="CU2857" s="204" t="n"/>
      <c r="CV2857" s="204" t="n"/>
      <c r="CW2857" s="204" t="n"/>
    </row>
    <row r="2858">
      <c r="BF2858" s="78" t="n"/>
      <c r="BG2858" s="78" t="n"/>
      <c r="BH2858" s="78" t="n"/>
      <c r="BI2858" s="78" t="n"/>
      <c r="BJ2858" s="139" t="n"/>
      <c r="BK2858" s="204" t="n"/>
      <c r="BL2858" s="141" t="n"/>
      <c r="BM2858" s="205" t="n"/>
      <c r="BN2858" s="205" t="n"/>
      <c r="BO2858" s="206" t="n"/>
      <c r="BP2858" s="144" t="n"/>
      <c r="BQ2858" s="141" t="n"/>
      <c r="BR2858" s="207" t="n"/>
      <c r="BS2858" s="207" t="n"/>
      <c r="BT2858" s="207" t="n"/>
      <c r="BU2858" s="207" t="n"/>
      <c r="BV2858" s="208" t="n"/>
      <c r="BW2858" s="207" t="n"/>
      <c r="BX2858" s="207" t="n"/>
      <c r="BY2858" s="204" t="n"/>
      <c r="BZ2858" s="148" t="n"/>
      <c r="CA2858" s="204" t="n"/>
      <c r="CB2858" s="208" t="n"/>
      <c r="CC2858" s="139" t="n"/>
      <c r="CD2858" s="204" t="n"/>
      <c r="CE2858" s="204" t="n"/>
      <c r="CF2858" s="207" t="n"/>
      <c r="CG2858" s="208" t="n"/>
      <c r="CH2858" s="207" t="n"/>
      <c r="CI2858" s="208" t="n"/>
      <c r="CJ2858" s="204" t="n"/>
      <c r="CK2858" s="208" t="n"/>
      <c r="CL2858" s="208" t="n"/>
      <c r="CM2858" s="208" t="n"/>
      <c r="CN2858" s="78" t="n"/>
      <c r="CO2858" s="209" t="n"/>
      <c r="CP2858" s="204" t="n"/>
      <c r="CQ2858" s="204" t="n"/>
      <c r="CR2858" s="204" t="n"/>
      <c r="CS2858" s="204" t="n"/>
      <c r="CT2858" s="204" t="n"/>
      <c r="CU2858" s="204" t="n"/>
      <c r="CV2858" s="204" t="n"/>
      <c r="CW2858" s="204" t="n"/>
    </row>
    <row r="2859">
      <c r="BF2859" s="78" t="n"/>
      <c r="BG2859" s="78" t="n"/>
      <c r="BH2859" s="78" t="n"/>
      <c r="BI2859" s="78" t="n"/>
      <c r="BJ2859" s="139" t="n"/>
      <c r="BK2859" s="204" t="n"/>
      <c r="BL2859" s="141" t="n"/>
      <c r="BM2859" s="205" t="n"/>
      <c r="BN2859" s="205" t="n"/>
      <c r="BO2859" s="206" t="n"/>
      <c r="BP2859" s="144" t="n"/>
      <c r="BQ2859" s="141" t="n"/>
      <c r="BR2859" s="207" t="n"/>
      <c r="BS2859" s="207" t="n"/>
      <c r="BT2859" s="207" t="n"/>
      <c r="BU2859" s="207" t="n"/>
      <c r="BV2859" s="208" t="n"/>
      <c r="BW2859" s="207" t="n"/>
      <c r="BX2859" s="207" t="n"/>
      <c r="BY2859" s="204" t="n"/>
      <c r="BZ2859" s="148" t="n"/>
      <c r="CA2859" s="204" t="n"/>
      <c r="CB2859" s="208" t="n"/>
      <c r="CC2859" s="139" t="n"/>
      <c r="CD2859" s="204" t="n"/>
      <c r="CE2859" s="204" t="n"/>
      <c r="CF2859" s="207" t="n"/>
      <c r="CG2859" s="208" t="n"/>
      <c r="CH2859" s="207" t="n"/>
      <c r="CI2859" s="208" t="n"/>
      <c r="CJ2859" s="204" t="n"/>
      <c r="CK2859" s="208" t="n"/>
      <c r="CL2859" s="208" t="n"/>
      <c r="CM2859" s="208" t="n"/>
      <c r="CN2859" s="78" t="n"/>
      <c r="CO2859" s="209" t="n"/>
      <c r="CP2859" s="204" t="n"/>
      <c r="CQ2859" s="204" t="n"/>
      <c r="CR2859" s="204" t="n"/>
      <c r="CS2859" s="204" t="n"/>
      <c r="CT2859" s="204" t="n"/>
      <c r="CU2859" s="204" t="n"/>
      <c r="CV2859" s="204" t="n"/>
      <c r="CW2859" s="204" t="n"/>
    </row>
    <row r="2860">
      <c r="BF2860" s="78" t="n"/>
      <c r="BG2860" s="78" t="n"/>
      <c r="BH2860" s="78" t="n"/>
      <c r="BI2860" s="78" t="n"/>
      <c r="BJ2860" s="139" t="n"/>
      <c r="BK2860" s="204" t="n"/>
      <c r="BL2860" s="141" t="n"/>
      <c r="BM2860" s="205" t="n"/>
      <c r="BN2860" s="205" t="n"/>
      <c r="BO2860" s="206" t="n"/>
      <c r="BP2860" s="144" t="n"/>
      <c r="BQ2860" s="141" t="n"/>
      <c r="BR2860" s="207" t="n"/>
      <c r="BS2860" s="207" t="n"/>
      <c r="BT2860" s="207" t="n"/>
      <c r="BU2860" s="207" t="n"/>
      <c r="BV2860" s="208" t="n"/>
      <c r="BW2860" s="207" t="n"/>
      <c r="BX2860" s="207" t="n"/>
      <c r="BY2860" s="204" t="n"/>
      <c r="BZ2860" s="148" t="n"/>
      <c r="CA2860" s="204" t="n"/>
      <c r="CB2860" s="208" t="n"/>
      <c r="CC2860" s="139" t="n"/>
      <c r="CD2860" s="204" t="n"/>
      <c r="CE2860" s="204" t="n"/>
      <c r="CF2860" s="207" t="n"/>
      <c r="CG2860" s="208" t="n"/>
      <c r="CH2860" s="207" t="n"/>
      <c r="CI2860" s="208" t="n"/>
      <c r="CJ2860" s="204" t="n"/>
      <c r="CK2860" s="208" t="n"/>
      <c r="CL2860" s="208" t="n"/>
      <c r="CM2860" s="208" t="n"/>
      <c r="CN2860" s="78" t="n"/>
      <c r="CO2860" s="209" t="n"/>
      <c r="CP2860" s="204" t="n"/>
      <c r="CQ2860" s="204" t="n"/>
      <c r="CR2860" s="204" t="n"/>
      <c r="CS2860" s="204" t="n"/>
      <c r="CT2860" s="204" t="n"/>
      <c r="CU2860" s="204" t="n"/>
      <c r="CV2860" s="204" t="n"/>
      <c r="CW2860" s="204" t="n"/>
    </row>
    <row r="2861">
      <c r="BF2861" s="78" t="n"/>
      <c r="BG2861" s="78" t="n"/>
      <c r="BH2861" s="78" t="n"/>
      <c r="BI2861" s="78" t="n"/>
      <c r="BJ2861" s="139" t="n"/>
      <c r="BK2861" s="204" t="n"/>
      <c r="BL2861" s="141" t="n"/>
      <c r="BM2861" s="205" t="n"/>
      <c r="BN2861" s="205" t="n"/>
      <c r="BO2861" s="206" t="n"/>
      <c r="BP2861" s="144" t="n"/>
      <c r="BQ2861" s="141" t="n"/>
      <c r="BR2861" s="207" t="n"/>
      <c r="BS2861" s="207" t="n"/>
      <c r="BT2861" s="207" t="n"/>
      <c r="BU2861" s="207" t="n"/>
      <c r="BV2861" s="208" t="n"/>
      <c r="BW2861" s="207" t="n"/>
      <c r="BX2861" s="207" t="n"/>
      <c r="BY2861" s="204" t="n"/>
      <c r="BZ2861" s="148" t="n"/>
      <c r="CA2861" s="204" t="n"/>
      <c r="CB2861" s="208" t="n"/>
      <c r="CC2861" s="139" t="n"/>
      <c r="CD2861" s="204" t="n"/>
      <c r="CE2861" s="204" t="n"/>
      <c r="CF2861" s="207" t="n"/>
      <c r="CG2861" s="208" t="n"/>
      <c r="CH2861" s="207" t="n"/>
      <c r="CI2861" s="208" t="n"/>
      <c r="CJ2861" s="204" t="n"/>
      <c r="CK2861" s="208" t="n"/>
      <c r="CL2861" s="208" t="n"/>
      <c r="CM2861" s="208" t="n"/>
      <c r="CN2861" s="78" t="n"/>
      <c r="CO2861" s="209" t="n"/>
      <c r="CP2861" s="204" t="n"/>
      <c r="CQ2861" s="204" t="n"/>
      <c r="CR2861" s="204" t="n"/>
      <c r="CS2861" s="204" t="n"/>
      <c r="CT2861" s="204" t="n"/>
      <c r="CU2861" s="204" t="n"/>
      <c r="CV2861" s="204" t="n"/>
      <c r="CW2861" s="204" t="n"/>
    </row>
    <row r="2862">
      <c r="BF2862" s="78" t="n"/>
      <c r="BG2862" s="78" t="n"/>
      <c r="BH2862" s="78" t="n"/>
      <c r="BI2862" s="78" t="n"/>
      <c r="BJ2862" s="139" t="n"/>
      <c r="BK2862" s="204" t="n"/>
      <c r="BL2862" s="141" t="n"/>
      <c r="BM2862" s="205" t="n"/>
      <c r="BN2862" s="205" t="n"/>
      <c r="BO2862" s="206" t="n"/>
      <c r="BP2862" s="144" t="n"/>
      <c r="BQ2862" s="141" t="n"/>
      <c r="BR2862" s="207" t="n"/>
      <c r="BS2862" s="207" t="n"/>
      <c r="BT2862" s="207" t="n"/>
      <c r="BU2862" s="207" t="n"/>
      <c r="BV2862" s="208" t="n"/>
      <c r="BW2862" s="207" t="n"/>
      <c r="BX2862" s="207" t="n"/>
      <c r="BY2862" s="204" t="n"/>
      <c r="BZ2862" s="148" t="n"/>
      <c r="CA2862" s="204" t="n"/>
      <c r="CB2862" s="208" t="n"/>
      <c r="CC2862" s="139" t="n"/>
      <c r="CD2862" s="204" t="n"/>
      <c r="CE2862" s="204" t="n"/>
      <c r="CF2862" s="207" t="n"/>
      <c r="CG2862" s="208" t="n"/>
      <c r="CH2862" s="207" t="n"/>
      <c r="CI2862" s="208" t="n"/>
      <c r="CJ2862" s="204" t="n"/>
      <c r="CK2862" s="208" t="n"/>
      <c r="CL2862" s="208" t="n"/>
      <c r="CM2862" s="208" t="n"/>
      <c r="CN2862" s="78" t="n"/>
      <c r="CO2862" s="209" t="n"/>
      <c r="CP2862" s="204" t="n"/>
      <c r="CQ2862" s="204" t="n"/>
      <c r="CR2862" s="204" t="n"/>
      <c r="CS2862" s="204" t="n"/>
      <c r="CT2862" s="204" t="n"/>
      <c r="CU2862" s="204" t="n"/>
      <c r="CV2862" s="204" t="n"/>
      <c r="CW2862" s="204" t="n"/>
    </row>
    <row r="2863">
      <c r="BF2863" s="78" t="n"/>
      <c r="BG2863" s="78" t="n"/>
      <c r="BH2863" s="78" t="n"/>
      <c r="BI2863" s="78" t="n"/>
      <c r="BJ2863" s="139" t="n"/>
      <c r="BK2863" s="204" t="n"/>
      <c r="BL2863" s="141" t="n"/>
      <c r="BM2863" s="205" t="n"/>
      <c r="BN2863" s="205" t="n"/>
      <c r="BO2863" s="206" t="n"/>
      <c r="BP2863" s="144" t="n"/>
      <c r="BQ2863" s="141" t="n"/>
      <c r="BR2863" s="207" t="n"/>
      <c r="BS2863" s="207" t="n"/>
      <c r="BT2863" s="207" t="n"/>
      <c r="BU2863" s="207" t="n"/>
      <c r="BV2863" s="208" t="n"/>
      <c r="BW2863" s="207" t="n"/>
      <c r="BX2863" s="207" t="n"/>
      <c r="BY2863" s="204" t="n"/>
      <c r="BZ2863" s="148" t="n"/>
      <c r="CA2863" s="204" t="n"/>
      <c r="CB2863" s="208" t="n"/>
      <c r="CC2863" s="139" t="n"/>
      <c r="CD2863" s="204" t="n"/>
      <c r="CE2863" s="204" t="n"/>
      <c r="CF2863" s="207" t="n"/>
      <c r="CG2863" s="208" t="n"/>
      <c r="CH2863" s="207" t="n"/>
      <c r="CI2863" s="208" t="n"/>
      <c r="CJ2863" s="204" t="n"/>
      <c r="CK2863" s="208" t="n"/>
      <c r="CL2863" s="208" t="n"/>
      <c r="CM2863" s="208" t="n"/>
      <c r="CN2863" s="78" t="n"/>
      <c r="CO2863" s="209" t="n"/>
      <c r="CP2863" s="204" t="n"/>
      <c r="CQ2863" s="204" t="n"/>
      <c r="CR2863" s="204" t="n"/>
      <c r="CS2863" s="204" t="n"/>
      <c r="CT2863" s="204" t="n"/>
      <c r="CU2863" s="204" t="n"/>
      <c r="CV2863" s="204" t="n"/>
      <c r="CW2863" s="204" t="n"/>
    </row>
    <row r="2864">
      <c r="BF2864" s="78" t="n"/>
      <c r="BG2864" s="78" t="n"/>
      <c r="BH2864" s="78" t="n"/>
      <c r="BI2864" s="78" t="n"/>
      <c r="BJ2864" s="139" t="n"/>
      <c r="BK2864" s="204" t="n"/>
      <c r="BL2864" s="141" t="n"/>
      <c r="BM2864" s="205" t="n"/>
      <c r="BN2864" s="205" t="n"/>
      <c r="BO2864" s="206" t="n"/>
      <c r="BP2864" s="144" t="n"/>
      <c r="BQ2864" s="141" t="n"/>
      <c r="BR2864" s="207" t="n"/>
      <c r="BS2864" s="207" t="n"/>
      <c r="BT2864" s="207" t="n"/>
      <c r="BU2864" s="207" t="n"/>
      <c r="BV2864" s="208" t="n"/>
      <c r="BW2864" s="207" t="n"/>
      <c r="BX2864" s="207" t="n"/>
      <c r="BY2864" s="204" t="n"/>
      <c r="BZ2864" s="148" t="n"/>
      <c r="CA2864" s="204" t="n"/>
      <c r="CB2864" s="208" t="n"/>
      <c r="CC2864" s="139" t="n"/>
      <c r="CD2864" s="204" t="n"/>
      <c r="CE2864" s="204" t="n"/>
      <c r="CF2864" s="207" t="n"/>
      <c r="CG2864" s="208" t="n"/>
      <c r="CH2864" s="207" t="n"/>
      <c r="CI2864" s="208" t="n"/>
      <c r="CJ2864" s="204" t="n"/>
      <c r="CK2864" s="208" t="n"/>
      <c r="CL2864" s="208" t="n"/>
      <c r="CM2864" s="208" t="n"/>
      <c r="CN2864" s="78" t="n"/>
      <c r="CO2864" s="209" t="n"/>
      <c r="CP2864" s="204" t="n"/>
      <c r="CQ2864" s="204" t="n"/>
      <c r="CR2864" s="204" t="n"/>
      <c r="CS2864" s="204" t="n"/>
      <c r="CT2864" s="204" t="n"/>
      <c r="CU2864" s="204" t="n"/>
      <c r="CV2864" s="204" t="n"/>
      <c r="CW2864" s="204" t="n"/>
    </row>
    <row r="2865">
      <c r="BF2865" s="78" t="n"/>
      <c r="BG2865" s="78" t="n"/>
      <c r="BH2865" s="78" t="n"/>
      <c r="BI2865" s="78" t="n"/>
      <c r="BJ2865" s="139" t="n"/>
      <c r="BK2865" s="204" t="n"/>
      <c r="BL2865" s="141" t="n"/>
      <c r="BM2865" s="205" t="n"/>
      <c r="BN2865" s="205" t="n"/>
      <c r="BO2865" s="206" t="n"/>
      <c r="BP2865" s="144" t="n"/>
      <c r="BQ2865" s="141" t="n"/>
      <c r="BR2865" s="207" t="n"/>
      <c r="BS2865" s="207" t="n"/>
      <c r="BT2865" s="207" t="n"/>
      <c r="BU2865" s="207" t="n"/>
      <c r="BV2865" s="208" t="n"/>
      <c r="BW2865" s="207" t="n"/>
      <c r="BX2865" s="207" t="n"/>
      <c r="BY2865" s="204" t="n"/>
      <c r="BZ2865" s="148" t="n"/>
      <c r="CA2865" s="204" t="n"/>
      <c r="CB2865" s="208" t="n"/>
      <c r="CC2865" s="139" t="n"/>
      <c r="CD2865" s="204" t="n"/>
      <c r="CE2865" s="204" t="n"/>
      <c r="CF2865" s="207" t="n"/>
      <c r="CG2865" s="208" t="n"/>
      <c r="CH2865" s="207" t="n"/>
      <c r="CI2865" s="208" t="n"/>
      <c r="CJ2865" s="204" t="n"/>
      <c r="CK2865" s="208" t="n"/>
      <c r="CL2865" s="208" t="n"/>
      <c r="CM2865" s="208" t="n"/>
      <c r="CN2865" s="78" t="n"/>
      <c r="CO2865" s="209" t="n"/>
      <c r="CP2865" s="204" t="n"/>
      <c r="CQ2865" s="204" t="n"/>
      <c r="CR2865" s="204" t="n"/>
      <c r="CS2865" s="204" t="n"/>
      <c r="CT2865" s="204" t="n"/>
      <c r="CU2865" s="204" t="n"/>
      <c r="CV2865" s="204" t="n"/>
      <c r="CW2865" s="204" t="n"/>
    </row>
    <row r="2866">
      <c r="BF2866" s="78" t="n"/>
      <c r="BG2866" s="78" t="n"/>
      <c r="BH2866" s="78" t="n"/>
      <c r="BI2866" s="78" t="n"/>
      <c r="BJ2866" s="139" t="n"/>
      <c r="BK2866" s="204" t="n"/>
      <c r="BL2866" s="141" t="n"/>
      <c r="BM2866" s="205" t="n"/>
      <c r="BN2866" s="205" t="n"/>
      <c r="BO2866" s="206" t="n"/>
      <c r="BP2866" s="144" t="n"/>
      <c r="BQ2866" s="141" t="n"/>
      <c r="BR2866" s="207" t="n"/>
      <c r="BS2866" s="207" t="n"/>
      <c r="BT2866" s="207" t="n"/>
      <c r="BU2866" s="207" t="n"/>
      <c r="BV2866" s="208" t="n"/>
      <c r="BW2866" s="207" t="n"/>
      <c r="BX2866" s="207" t="n"/>
      <c r="BY2866" s="204" t="n"/>
      <c r="BZ2866" s="148" t="n"/>
      <c r="CA2866" s="204" t="n"/>
      <c r="CB2866" s="208" t="n"/>
      <c r="CC2866" s="139" t="n"/>
      <c r="CD2866" s="204" t="n"/>
      <c r="CE2866" s="204" t="n"/>
      <c r="CF2866" s="207" t="n"/>
      <c r="CG2866" s="208" t="n"/>
      <c r="CH2866" s="207" t="n"/>
      <c r="CI2866" s="208" t="n"/>
      <c r="CJ2866" s="204" t="n"/>
      <c r="CK2866" s="208" t="n"/>
      <c r="CL2866" s="208" t="n"/>
      <c r="CM2866" s="208" t="n"/>
      <c r="CN2866" s="78" t="n"/>
      <c r="CO2866" s="209" t="n"/>
      <c r="CP2866" s="204" t="n"/>
      <c r="CQ2866" s="204" t="n"/>
      <c r="CR2866" s="204" t="n"/>
      <c r="CS2866" s="204" t="n"/>
      <c r="CT2866" s="204" t="n"/>
      <c r="CU2866" s="204" t="n"/>
      <c r="CV2866" s="204" t="n"/>
      <c r="CW2866" s="204" t="n"/>
    </row>
    <row r="2867">
      <c r="BF2867" s="78" t="n"/>
      <c r="BG2867" s="78" t="n"/>
      <c r="BH2867" s="78" t="n"/>
      <c r="BI2867" s="78" t="n"/>
      <c r="BJ2867" s="139" t="n"/>
      <c r="BK2867" s="204" t="n"/>
      <c r="BL2867" s="141" t="n"/>
      <c r="BM2867" s="205" t="n"/>
      <c r="BN2867" s="205" t="n"/>
      <c r="BO2867" s="206" t="n"/>
      <c r="BP2867" s="144" t="n"/>
      <c r="BQ2867" s="141" t="n"/>
      <c r="BR2867" s="207" t="n"/>
      <c r="BS2867" s="207" t="n"/>
      <c r="BT2867" s="207" t="n"/>
      <c r="BU2867" s="207" t="n"/>
      <c r="BV2867" s="208" t="n"/>
      <c r="BW2867" s="207" t="n"/>
      <c r="BX2867" s="207" t="n"/>
      <c r="BY2867" s="204" t="n"/>
      <c r="BZ2867" s="148" t="n"/>
      <c r="CA2867" s="204" t="n"/>
      <c r="CB2867" s="208" t="n"/>
      <c r="CC2867" s="139" t="n"/>
      <c r="CD2867" s="204" t="n"/>
      <c r="CE2867" s="204" t="n"/>
      <c r="CF2867" s="207" t="n"/>
      <c r="CG2867" s="208" t="n"/>
      <c r="CH2867" s="207" t="n"/>
      <c r="CI2867" s="208" t="n"/>
      <c r="CJ2867" s="204" t="n"/>
      <c r="CK2867" s="208" t="n"/>
      <c r="CL2867" s="208" t="n"/>
      <c r="CM2867" s="208" t="n"/>
      <c r="CN2867" s="78" t="n"/>
      <c r="CO2867" s="209" t="n"/>
      <c r="CP2867" s="204" t="n"/>
      <c r="CQ2867" s="204" t="n"/>
      <c r="CR2867" s="204" t="n"/>
      <c r="CS2867" s="204" t="n"/>
      <c r="CT2867" s="204" t="n"/>
      <c r="CU2867" s="204" t="n"/>
      <c r="CV2867" s="204" t="n"/>
      <c r="CW2867" s="204" t="n"/>
    </row>
    <row r="2868">
      <c r="BF2868" s="78" t="n"/>
      <c r="BG2868" s="78" t="n"/>
      <c r="BH2868" s="78" t="n"/>
      <c r="BI2868" s="78" t="n"/>
      <c r="BJ2868" s="139" t="n"/>
      <c r="BK2868" s="204" t="n"/>
      <c r="BL2868" s="141" t="n"/>
      <c r="BM2868" s="205" t="n"/>
      <c r="BN2868" s="205" t="n"/>
      <c r="BO2868" s="206" t="n"/>
      <c r="BP2868" s="144" t="n"/>
      <c r="BQ2868" s="141" t="n"/>
      <c r="BR2868" s="207" t="n"/>
      <c r="BS2868" s="207" t="n"/>
      <c r="BT2868" s="207" t="n"/>
      <c r="BU2868" s="207" t="n"/>
      <c r="BV2868" s="208" t="n"/>
      <c r="BW2868" s="207" t="n"/>
      <c r="BX2868" s="207" t="n"/>
      <c r="BY2868" s="204" t="n"/>
      <c r="BZ2868" s="148" t="n"/>
      <c r="CA2868" s="204" t="n"/>
      <c r="CB2868" s="208" t="n"/>
      <c r="CC2868" s="139" t="n"/>
      <c r="CD2868" s="204" t="n"/>
      <c r="CE2868" s="204" t="n"/>
      <c r="CF2868" s="207" t="n"/>
      <c r="CG2868" s="208" t="n"/>
      <c r="CH2868" s="207" t="n"/>
      <c r="CI2868" s="208" t="n"/>
      <c r="CJ2868" s="204" t="n"/>
      <c r="CK2868" s="208" t="n"/>
      <c r="CL2868" s="208" t="n"/>
      <c r="CM2868" s="208" t="n"/>
      <c r="CN2868" s="78" t="n"/>
      <c r="CO2868" s="209" t="n"/>
      <c r="CP2868" s="204" t="n"/>
      <c r="CQ2868" s="204" t="n"/>
      <c r="CR2868" s="204" t="n"/>
      <c r="CS2868" s="204" t="n"/>
      <c r="CT2868" s="204" t="n"/>
      <c r="CU2868" s="204" t="n"/>
      <c r="CV2868" s="204" t="n"/>
      <c r="CW2868" s="204" t="n"/>
    </row>
    <row r="2869">
      <c r="BF2869" s="78" t="n"/>
      <c r="BG2869" s="78" t="n"/>
      <c r="BH2869" s="78" t="n"/>
      <c r="BI2869" s="78" t="n"/>
      <c r="BJ2869" s="139" t="n"/>
      <c r="BK2869" s="204" t="n"/>
      <c r="BL2869" s="141" t="n"/>
      <c r="BM2869" s="205" t="n"/>
      <c r="BN2869" s="205" t="n"/>
      <c r="BO2869" s="206" t="n"/>
      <c r="BP2869" s="144" t="n"/>
      <c r="BQ2869" s="141" t="n"/>
      <c r="BR2869" s="207" t="n"/>
      <c r="BS2869" s="207" t="n"/>
      <c r="BT2869" s="207" t="n"/>
      <c r="BU2869" s="207" t="n"/>
      <c r="BV2869" s="208" t="n"/>
      <c r="BW2869" s="207" t="n"/>
      <c r="BX2869" s="207" t="n"/>
      <c r="BY2869" s="204" t="n"/>
      <c r="BZ2869" s="148" t="n"/>
      <c r="CA2869" s="204" t="n"/>
      <c r="CB2869" s="208" t="n"/>
      <c r="CC2869" s="139" t="n"/>
      <c r="CD2869" s="204" t="n"/>
      <c r="CE2869" s="204" t="n"/>
      <c r="CF2869" s="207" t="n"/>
      <c r="CG2869" s="208" t="n"/>
      <c r="CH2869" s="207" t="n"/>
      <c r="CI2869" s="208" t="n"/>
      <c r="CJ2869" s="204" t="n"/>
      <c r="CK2869" s="208" t="n"/>
      <c r="CL2869" s="208" t="n"/>
      <c r="CM2869" s="208" t="n"/>
      <c r="CN2869" s="78" t="n"/>
      <c r="CO2869" s="209" t="n"/>
      <c r="CP2869" s="204" t="n"/>
      <c r="CQ2869" s="204" t="n"/>
      <c r="CR2869" s="204" t="n"/>
      <c r="CS2869" s="204" t="n"/>
      <c r="CT2869" s="204" t="n"/>
      <c r="CU2869" s="204" t="n"/>
      <c r="CV2869" s="204" t="n"/>
      <c r="CW2869" s="204" t="n"/>
    </row>
    <row r="2870">
      <c r="BF2870" s="78" t="n"/>
      <c r="BG2870" s="78" t="n"/>
      <c r="BH2870" s="78" t="n"/>
      <c r="BI2870" s="78" t="n"/>
      <c r="BJ2870" s="139" t="n"/>
      <c r="BK2870" s="204" t="n"/>
      <c r="BL2870" s="141" t="n"/>
      <c r="BM2870" s="205" t="n"/>
      <c r="BN2870" s="205" t="n"/>
      <c r="BO2870" s="206" t="n"/>
      <c r="BP2870" s="144" t="n"/>
      <c r="BQ2870" s="141" t="n"/>
      <c r="BR2870" s="207" t="n"/>
      <c r="BS2870" s="207" t="n"/>
      <c r="BT2870" s="207" t="n"/>
      <c r="BU2870" s="207" t="n"/>
      <c r="BV2870" s="208" t="n"/>
      <c r="BW2870" s="207" t="n"/>
      <c r="BX2870" s="207" t="n"/>
      <c r="BY2870" s="204" t="n"/>
      <c r="BZ2870" s="148" t="n"/>
      <c r="CA2870" s="204" t="n"/>
      <c r="CB2870" s="208" t="n"/>
      <c r="CC2870" s="139" t="n"/>
      <c r="CD2870" s="204" t="n"/>
      <c r="CE2870" s="204" t="n"/>
      <c r="CF2870" s="207" t="n"/>
      <c r="CG2870" s="208" t="n"/>
      <c r="CH2870" s="207" t="n"/>
      <c r="CI2870" s="208" t="n"/>
      <c r="CJ2870" s="204" t="n"/>
      <c r="CK2870" s="208" t="n"/>
      <c r="CL2870" s="208" t="n"/>
      <c r="CM2870" s="208" t="n"/>
      <c r="CN2870" s="78" t="n"/>
      <c r="CO2870" s="209" t="n"/>
      <c r="CP2870" s="204" t="n"/>
      <c r="CQ2870" s="204" t="n"/>
      <c r="CR2870" s="204" t="n"/>
      <c r="CS2870" s="204" t="n"/>
      <c r="CT2870" s="204" t="n"/>
      <c r="CU2870" s="204" t="n"/>
      <c r="CV2870" s="204" t="n"/>
      <c r="CW2870" s="204" t="n"/>
    </row>
    <row r="2871">
      <c r="BF2871" s="78" t="n"/>
      <c r="BG2871" s="78" t="n"/>
      <c r="BH2871" s="78" t="n"/>
      <c r="BI2871" s="78" t="n"/>
      <c r="BJ2871" s="139" t="n"/>
      <c r="BK2871" s="204" t="n"/>
      <c r="BL2871" s="141" t="n"/>
      <c r="BM2871" s="205" t="n"/>
      <c r="BN2871" s="205" t="n"/>
      <c r="BO2871" s="206" t="n"/>
      <c r="BP2871" s="144" t="n"/>
      <c r="BQ2871" s="141" t="n"/>
      <c r="BR2871" s="207" t="n"/>
      <c r="BS2871" s="207" t="n"/>
      <c r="BT2871" s="207" t="n"/>
      <c r="BU2871" s="207" t="n"/>
      <c r="BV2871" s="208" t="n"/>
      <c r="BW2871" s="207" t="n"/>
      <c r="BX2871" s="207" t="n"/>
      <c r="BY2871" s="204" t="n"/>
      <c r="BZ2871" s="148" t="n"/>
      <c r="CA2871" s="204" t="n"/>
      <c r="CB2871" s="208" t="n"/>
      <c r="CC2871" s="139" t="n"/>
      <c r="CD2871" s="204" t="n"/>
      <c r="CE2871" s="204" t="n"/>
      <c r="CF2871" s="207" t="n"/>
      <c r="CG2871" s="208" t="n"/>
      <c r="CH2871" s="207" t="n"/>
      <c r="CI2871" s="208" t="n"/>
      <c r="CJ2871" s="204" t="n"/>
      <c r="CK2871" s="208" t="n"/>
      <c r="CL2871" s="208" t="n"/>
      <c r="CM2871" s="208" t="n"/>
      <c r="CN2871" s="78" t="n"/>
      <c r="CO2871" s="209" t="n"/>
      <c r="CP2871" s="204" t="n"/>
      <c r="CQ2871" s="204" t="n"/>
      <c r="CR2871" s="204" t="n"/>
      <c r="CS2871" s="204" t="n"/>
      <c r="CT2871" s="204" t="n"/>
      <c r="CU2871" s="204" t="n"/>
      <c r="CV2871" s="204" t="n"/>
      <c r="CW2871" s="204" t="n"/>
    </row>
    <row r="2872">
      <c r="BF2872" s="78" t="n"/>
      <c r="BG2872" s="78" t="n"/>
      <c r="BH2872" s="78" t="n"/>
      <c r="BI2872" s="78" t="n"/>
      <c r="BJ2872" s="139" t="n"/>
      <c r="BK2872" s="204" t="n"/>
      <c r="BL2872" s="141" t="n"/>
      <c r="BM2872" s="205" t="n"/>
      <c r="BN2872" s="205" t="n"/>
      <c r="BO2872" s="206" t="n"/>
      <c r="BP2872" s="144" t="n"/>
      <c r="BQ2872" s="141" t="n"/>
      <c r="BR2872" s="207" t="n"/>
      <c r="BS2872" s="207" t="n"/>
      <c r="BT2872" s="207" t="n"/>
      <c r="BU2872" s="207" t="n"/>
      <c r="BV2872" s="208" t="n"/>
      <c r="BW2872" s="207" t="n"/>
      <c r="BX2872" s="207" t="n"/>
      <c r="BY2872" s="204" t="n"/>
      <c r="BZ2872" s="148" t="n"/>
      <c r="CA2872" s="204" t="n"/>
      <c r="CB2872" s="208" t="n"/>
      <c r="CC2872" s="139" t="n"/>
      <c r="CD2872" s="204" t="n"/>
      <c r="CE2872" s="204" t="n"/>
      <c r="CF2872" s="207" t="n"/>
      <c r="CG2872" s="208" t="n"/>
      <c r="CH2872" s="207" t="n"/>
      <c r="CI2872" s="208" t="n"/>
      <c r="CJ2872" s="204" t="n"/>
      <c r="CK2872" s="208" t="n"/>
      <c r="CL2872" s="208" t="n"/>
      <c r="CM2872" s="208" t="n"/>
      <c r="CN2872" s="78" t="n"/>
      <c r="CO2872" s="209" t="n"/>
      <c r="CP2872" s="204" t="n"/>
      <c r="CQ2872" s="204" t="n"/>
      <c r="CR2872" s="204" t="n"/>
      <c r="CS2872" s="204" t="n"/>
      <c r="CT2872" s="204" t="n"/>
      <c r="CU2872" s="204" t="n"/>
      <c r="CV2872" s="204" t="n"/>
      <c r="CW2872" s="204" t="n"/>
    </row>
    <row r="2873">
      <c r="BF2873" s="78" t="n"/>
      <c r="BG2873" s="78" t="n"/>
      <c r="BH2873" s="78" t="n"/>
      <c r="BI2873" s="78" t="n"/>
      <c r="BJ2873" s="139" t="n"/>
      <c r="BK2873" s="204" t="n"/>
      <c r="BL2873" s="141" t="n"/>
      <c r="BM2873" s="205" t="n"/>
      <c r="BN2873" s="205" t="n"/>
      <c r="BO2873" s="206" t="n"/>
      <c r="BP2873" s="144" t="n"/>
      <c r="BQ2873" s="141" t="n"/>
      <c r="BR2873" s="207" t="n"/>
      <c r="BS2873" s="207" t="n"/>
      <c r="BT2873" s="207" t="n"/>
      <c r="BU2873" s="207" t="n"/>
      <c r="BV2873" s="208" t="n"/>
      <c r="BW2873" s="207" t="n"/>
      <c r="BX2873" s="207" t="n"/>
      <c r="BY2873" s="204" t="n"/>
      <c r="BZ2873" s="148" t="n"/>
      <c r="CA2873" s="204" t="n"/>
      <c r="CB2873" s="208" t="n"/>
      <c r="CC2873" s="139" t="n"/>
      <c r="CD2873" s="204" t="n"/>
      <c r="CE2873" s="204" t="n"/>
      <c r="CF2873" s="207" t="n"/>
      <c r="CG2873" s="208" t="n"/>
      <c r="CH2873" s="207" t="n"/>
      <c r="CI2873" s="208" t="n"/>
      <c r="CJ2873" s="204" t="n"/>
      <c r="CK2873" s="208" t="n"/>
      <c r="CL2873" s="208" t="n"/>
      <c r="CM2873" s="208" t="n"/>
      <c r="CN2873" s="78" t="n"/>
      <c r="CO2873" s="209" t="n"/>
      <c r="CP2873" s="204" t="n"/>
      <c r="CQ2873" s="204" t="n"/>
      <c r="CR2873" s="204" t="n"/>
      <c r="CS2873" s="204" t="n"/>
      <c r="CT2873" s="204" t="n"/>
      <c r="CU2873" s="204" t="n"/>
      <c r="CV2873" s="204" t="n"/>
      <c r="CW2873" s="204" t="n"/>
    </row>
    <row r="2874">
      <c r="BF2874" s="78" t="n"/>
      <c r="BG2874" s="78" t="n"/>
      <c r="BH2874" s="78" t="n"/>
      <c r="BI2874" s="78" t="n"/>
      <c r="BJ2874" s="139" t="n"/>
      <c r="BK2874" s="204" t="n"/>
      <c r="BL2874" s="141" t="n"/>
      <c r="BM2874" s="205" t="n"/>
      <c r="BN2874" s="205" t="n"/>
      <c r="BO2874" s="206" t="n"/>
      <c r="BP2874" s="144" t="n"/>
      <c r="BQ2874" s="141" t="n"/>
      <c r="BR2874" s="207" t="n"/>
      <c r="BS2874" s="207" t="n"/>
      <c r="BT2874" s="207" t="n"/>
      <c r="BU2874" s="207" t="n"/>
      <c r="BV2874" s="208" t="n"/>
      <c r="BW2874" s="207" t="n"/>
      <c r="BX2874" s="207" t="n"/>
      <c r="BY2874" s="204" t="n"/>
      <c r="BZ2874" s="148" t="n"/>
      <c r="CA2874" s="204" t="n"/>
      <c r="CB2874" s="208" t="n"/>
      <c r="CC2874" s="139" t="n"/>
      <c r="CD2874" s="204" t="n"/>
      <c r="CE2874" s="204" t="n"/>
      <c r="CF2874" s="207" t="n"/>
      <c r="CG2874" s="208" t="n"/>
      <c r="CH2874" s="207" t="n"/>
      <c r="CI2874" s="208" t="n"/>
      <c r="CJ2874" s="204" t="n"/>
      <c r="CK2874" s="208" t="n"/>
      <c r="CL2874" s="208" t="n"/>
      <c r="CM2874" s="208" t="n"/>
      <c r="CN2874" s="78" t="n"/>
      <c r="CO2874" s="209" t="n"/>
      <c r="CP2874" s="204" t="n"/>
      <c r="CQ2874" s="204" t="n"/>
      <c r="CR2874" s="204" t="n"/>
      <c r="CS2874" s="204" t="n"/>
      <c r="CT2874" s="204" t="n"/>
      <c r="CU2874" s="204" t="n"/>
      <c r="CV2874" s="204" t="n"/>
      <c r="CW2874" s="204" t="n"/>
    </row>
    <row r="2875">
      <c r="BF2875" s="78" t="n"/>
      <c r="BG2875" s="78" t="n"/>
      <c r="BH2875" s="78" t="n"/>
      <c r="BI2875" s="78" t="n"/>
      <c r="BJ2875" s="139" t="n"/>
      <c r="BK2875" s="204" t="n"/>
      <c r="BL2875" s="141" t="n"/>
      <c r="BM2875" s="205" t="n"/>
      <c r="BN2875" s="205" t="n"/>
      <c r="BO2875" s="206" t="n"/>
      <c r="BP2875" s="144" t="n"/>
      <c r="BQ2875" s="141" t="n"/>
      <c r="BR2875" s="207" t="n"/>
      <c r="BS2875" s="207" t="n"/>
      <c r="BT2875" s="207" t="n"/>
      <c r="BU2875" s="207" t="n"/>
      <c r="BV2875" s="208" t="n"/>
      <c r="BW2875" s="207" t="n"/>
      <c r="BX2875" s="207" t="n"/>
      <c r="BY2875" s="204" t="n"/>
      <c r="BZ2875" s="148" t="n"/>
      <c r="CA2875" s="204" t="n"/>
      <c r="CB2875" s="208" t="n"/>
      <c r="CC2875" s="139" t="n"/>
      <c r="CD2875" s="204" t="n"/>
      <c r="CE2875" s="204" t="n"/>
      <c r="CF2875" s="207" t="n"/>
      <c r="CG2875" s="208" t="n"/>
      <c r="CH2875" s="207" t="n"/>
      <c r="CI2875" s="208" t="n"/>
      <c r="CJ2875" s="204" t="n"/>
      <c r="CK2875" s="208" t="n"/>
      <c r="CL2875" s="208" t="n"/>
      <c r="CM2875" s="208" t="n"/>
      <c r="CN2875" s="78" t="n"/>
      <c r="CO2875" s="209" t="n"/>
      <c r="CP2875" s="204" t="n"/>
      <c r="CQ2875" s="204" t="n"/>
      <c r="CR2875" s="204" t="n"/>
      <c r="CS2875" s="204" t="n"/>
      <c r="CT2875" s="204" t="n"/>
      <c r="CU2875" s="204" t="n"/>
      <c r="CV2875" s="204" t="n"/>
      <c r="CW2875" s="204" t="n"/>
    </row>
    <row r="2876">
      <c r="BF2876" s="78" t="n"/>
      <c r="BG2876" s="78" t="n"/>
      <c r="BH2876" s="78" t="n"/>
      <c r="BI2876" s="78" t="n"/>
      <c r="BJ2876" s="139" t="n"/>
      <c r="BK2876" s="204" t="n"/>
      <c r="BL2876" s="141" t="n"/>
      <c r="BM2876" s="205" t="n"/>
      <c r="BN2876" s="205" t="n"/>
      <c r="BO2876" s="206" t="n"/>
      <c r="BP2876" s="144" t="n"/>
      <c r="BQ2876" s="141" t="n"/>
      <c r="BR2876" s="207" t="n"/>
      <c r="BS2876" s="207" t="n"/>
      <c r="BT2876" s="207" t="n"/>
      <c r="BU2876" s="207" t="n"/>
      <c r="BV2876" s="208" t="n"/>
      <c r="BW2876" s="207" t="n"/>
      <c r="BX2876" s="207" t="n"/>
      <c r="BY2876" s="204" t="n"/>
      <c r="BZ2876" s="148" t="n"/>
      <c r="CA2876" s="204" t="n"/>
      <c r="CB2876" s="208" t="n"/>
      <c r="CC2876" s="139" t="n"/>
      <c r="CD2876" s="204" t="n"/>
      <c r="CE2876" s="204" t="n"/>
      <c r="CF2876" s="207" t="n"/>
      <c r="CG2876" s="208" t="n"/>
      <c r="CH2876" s="207" t="n"/>
      <c r="CI2876" s="208" t="n"/>
      <c r="CJ2876" s="204" t="n"/>
      <c r="CK2876" s="208" t="n"/>
      <c r="CL2876" s="208" t="n"/>
      <c r="CM2876" s="208" t="n"/>
      <c r="CN2876" s="78" t="n"/>
      <c r="CO2876" s="209" t="n"/>
      <c r="CP2876" s="204" t="n"/>
      <c r="CQ2876" s="204" t="n"/>
      <c r="CR2876" s="204" t="n"/>
      <c r="CS2876" s="204" t="n"/>
      <c r="CT2876" s="204" t="n"/>
      <c r="CU2876" s="204" t="n"/>
      <c r="CV2876" s="204" t="n"/>
      <c r="CW2876" s="204" t="n"/>
    </row>
    <row r="2877">
      <c r="BF2877" s="78" t="n"/>
      <c r="BG2877" s="78" t="n"/>
      <c r="BH2877" s="78" t="n"/>
      <c r="BI2877" s="78" t="n"/>
      <c r="BJ2877" s="139" t="n"/>
      <c r="BK2877" s="204" t="n"/>
      <c r="BL2877" s="141" t="n"/>
      <c r="BM2877" s="205" t="n"/>
      <c r="BN2877" s="205" t="n"/>
      <c r="BO2877" s="206" t="n"/>
      <c r="BP2877" s="144" t="n"/>
      <c r="BQ2877" s="141" t="n"/>
      <c r="BR2877" s="207" t="n"/>
      <c r="BS2877" s="207" t="n"/>
      <c r="BT2877" s="207" t="n"/>
      <c r="BU2877" s="207" t="n"/>
      <c r="BV2877" s="208" t="n"/>
      <c r="BW2877" s="207" t="n"/>
      <c r="BX2877" s="207" t="n"/>
      <c r="BY2877" s="204" t="n"/>
      <c r="BZ2877" s="148" t="n"/>
      <c r="CA2877" s="204" t="n"/>
      <c r="CB2877" s="208" t="n"/>
      <c r="CC2877" s="139" t="n"/>
      <c r="CD2877" s="204" t="n"/>
      <c r="CE2877" s="204" t="n"/>
      <c r="CF2877" s="207" t="n"/>
      <c r="CG2877" s="208" t="n"/>
      <c r="CH2877" s="207" t="n"/>
      <c r="CI2877" s="208" t="n"/>
      <c r="CJ2877" s="204" t="n"/>
      <c r="CK2877" s="208" t="n"/>
      <c r="CL2877" s="208" t="n"/>
      <c r="CM2877" s="208" t="n"/>
      <c r="CN2877" s="78" t="n"/>
      <c r="CO2877" s="209" t="n"/>
      <c r="CP2877" s="204" t="n"/>
      <c r="CQ2877" s="204" t="n"/>
      <c r="CR2877" s="204" t="n"/>
      <c r="CS2877" s="204" t="n"/>
      <c r="CT2877" s="204" t="n"/>
      <c r="CU2877" s="204" t="n"/>
      <c r="CV2877" s="204" t="n"/>
      <c r="CW2877" s="204" t="n"/>
    </row>
    <row r="2878">
      <c r="BF2878" s="78" t="n"/>
      <c r="BG2878" s="78" t="n"/>
      <c r="BH2878" s="78" t="n"/>
      <c r="BI2878" s="78" t="n"/>
      <c r="BJ2878" s="139" t="n"/>
      <c r="BK2878" s="204" t="n"/>
      <c r="BL2878" s="141" t="n"/>
      <c r="BM2878" s="205" t="n"/>
      <c r="BN2878" s="205" t="n"/>
      <c r="BO2878" s="206" t="n"/>
      <c r="BP2878" s="144" t="n"/>
      <c r="BQ2878" s="141" t="n"/>
      <c r="BR2878" s="207" t="n"/>
      <c r="BS2878" s="207" t="n"/>
      <c r="BT2878" s="207" t="n"/>
      <c r="BU2878" s="207" t="n"/>
      <c r="BV2878" s="208" t="n"/>
      <c r="BW2878" s="207" t="n"/>
      <c r="BX2878" s="207" t="n"/>
      <c r="BY2878" s="204" t="n"/>
      <c r="BZ2878" s="148" t="n"/>
      <c r="CA2878" s="204" t="n"/>
      <c r="CB2878" s="208" t="n"/>
      <c r="CC2878" s="139" t="n"/>
      <c r="CD2878" s="204" t="n"/>
      <c r="CE2878" s="204" t="n"/>
      <c r="CF2878" s="207" t="n"/>
      <c r="CG2878" s="208" t="n"/>
      <c r="CH2878" s="207" t="n"/>
      <c r="CI2878" s="208" t="n"/>
      <c r="CJ2878" s="204" t="n"/>
      <c r="CK2878" s="208" t="n"/>
      <c r="CL2878" s="208" t="n"/>
      <c r="CM2878" s="208" t="n"/>
      <c r="CN2878" s="78" t="n"/>
      <c r="CO2878" s="209" t="n"/>
      <c r="CP2878" s="204" t="n"/>
      <c r="CQ2878" s="204" t="n"/>
      <c r="CR2878" s="204" t="n"/>
      <c r="CS2878" s="204" t="n"/>
      <c r="CT2878" s="204" t="n"/>
      <c r="CU2878" s="204" t="n"/>
      <c r="CV2878" s="204" t="n"/>
      <c r="CW2878" s="204" t="n"/>
    </row>
    <row r="2879">
      <c r="BF2879" s="78" t="n"/>
      <c r="BG2879" s="78" t="n"/>
      <c r="BH2879" s="78" t="n"/>
      <c r="BI2879" s="78" t="n"/>
      <c r="BJ2879" s="139" t="n"/>
      <c r="BK2879" s="204" t="n"/>
      <c r="BL2879" s="141" t="n"/>
      <c r="BM2879" s="205" t="n"/>
      <c r="BN2879" s="205" t="n"/>
      <c r="BO2879" s="206" t="n"/>
      <c r="BP2879" s="144" t="n"/>
      <c r="BQ2879" s="141" t="n"/>
      <c r="BR2879" s="207" t="n"/>
      <c r="BS2879" s="207" t="n"/>
      <c r="BT2879" s="207" t="n"/>
      <c r="BU2879" s="207" t="n"/>
      <c r="BV2879" s="208" t="n"/>
      <c r="BW2879" s="207" t="n"/>
      <c r="BX2879" s="207" t="n"/>
      <c r="BY2879" s="204" t="n"/>
      <c r="BZ2879" s="148" t="n"/>
      <c r="CA2879" s="204" t="n"/>
      <c r="CB2879" s="208" t="n"/>
      <c r="CC2879" s="139" t="n"/>
      <c r="CD2879" s="204" t="n"/>
      <c r="CE2879" s="204" t="n"/>
      <c r="CF2879" s="207" t="n"/>
      <c r="CG2879" s="208" t="n"/>
      <c r="CH2879" s="207" t="n"/>
      <c r="CI2879" s="208" t="n"/>
      <c r="CJ2879" s="204" t="n"/>
      <c r="CK2879" s="208" t="n"/>
      <c r="CL2879" s="208" t="n"/>
      <c r="CM2879" s="208" t="n"/>
      <c r="CN2879" s="78" t="n"/>
      <c r="CO2879" s="209" t="n"/>
      <c r="CP2879" s="204" t="n"/>
      <c r="CQ2879" s="204" t="n"/>
      <c r="CR2879" s="204" t="n"/>
      <c r="CS2879" s="204" t="n"/>
      <c r="CT2879" s="204" t="n"/>
      <c r="CU2879" s="204" t="n"/>
      <c r="CV2879" s="204" t="n"/>
      <c r="CW2879" s="204" t="n"/>
    </row>
    <row r="2880">
      <c r="BF2880" s="78" t="n"/>
      <c r="BG2880" s="78" t="n"/>
      <c r="BH2880" s="78" t="n"/>
      <c r="BI2880" s="78" t="n"/>
      <c r="BJ2880" s="139" t="n"/>
      <c r="BK2880" s="204" t="n"/>
      <c r="BL2880" s="141" t="n"/>
      <c r="BM2880" s="205" t="n"/>
      <c r="BN2880" s="205" t="n"/>
      <c r="BO2880" s="206" t="n"/>
      <c r="BP2880" s="144" t="n"/>
      <c r="BQ2880" s="141" t="n"/>
      <c r="BR2880" s="207" t="n"/>
      <c r="BS2880" s="207" t="n"/>
      <c r="BT2880" s="207" t="n"/>
      <c r="BU2880" s="207" t="n"/>
      <c r="BV2880" s="208" t="n"/>
      <c r="BW2880" s="207" t="n"/>
      <c r="BX2880" s="207" t="n"/>
      <c r="BY2880" s="204" t="n"/>
      <c r="BZ2880" s="148" t="n"/>
      <c r="CA2880" s="204" t="n"/>
      <c r="CB2880" s="208" t="n"/>
      <c r="CC2880" s="139" t="n"/>
      <c r="CD2880" s="204" t="n"/>
      <c r="CE2880" s="204" t="n"/>
      <c r="CF2880" s="207" t="n"/>
      <c r="CG2880" s="208" t="n"/>
      <c r="CH2880" s="207" t="n"/>
      <c r="CI2880" s="208" t="n"/>
      <c r="CJ2880" s="204" t="n"/>
      <c r="CK2880" s="208" t="n"/>
      <c r="CL2880" s="208" t="n"/>
      <c r="CM2880" s="208" t="n"/>
      <c r="CN2880" s="78" t="n"/>
      <c r="CO2880" s="209" t="n"/>
      <c r="CP2880" s="204" t="n"/>
      <c r="CQ2880" s="204" t="n"/>
      <c r="CR2880" s="204" t="n"/>
      <c r="CS2880" s="204" t="n"/>
      <c r="CT2880" s="204" t="n"/>
      <c r="CU2880" s="204" t="n"/>
      <c r="CV2880" s="204" t="n"/>
      <c r="CW2880" s="204" t="n"/>
    </row>
    <row r="2881">
      <c r="BF2881" s="78" t="n"/>
      <c r="BG2881" s="78" t="n"/>
      <c r="BH2881" s="78" t="n"/>
      <c r="BI2881" s="78" t="n"/>
      <c r="BJ2881" s="139" t="n"/>
      <c r="BK2881" s="204" t="n"/>
      <c r="BL2881" s="141" t="n"/>
      <c r="BM2881" s="205" t="n"/>
      <c r="BN2881" s="205" t="n"/>
      <c r="BO2881" s="206" t="n"/>
      <c r="BP2881" s="144" t="n"/>
      <c r="BQ2881" s="141" t="n"/>
      <c r="BR2881" s="207" t="n"/>
      <c r="BS2881" s="207" t="n"/>
      <c r="BT2881" s="207" t="n"/>
      <c r="BU2881" s="207" t="n"/>
      <c r="BV2881" s="208" t="n"/>
      <c r="BW2881" s="207" t="n"/>
      <c r="BX2881" s="207" t="n"/>
      <c r="BY2881" s="204" t="n"/>
      <c r="BZ2881" s="148" t="n"/>
      <c r="CA2881" s="204" t="n"/>
      <c r="CB2881" s="208" t="n"/>
      <c r="CC2881" s="139" t="n"/>
      <c r="CD2881" s="204" t="n"/>
      <c r="CE2881" s="204" t="n"/>
      <c r="CF2881" s="207" t="n"/>
      <c r="CG2881" s="208" t="n"/>
      <c r="CH2881" s="207" t="n"/>
      <c r="CI2881" s="208" t="n"/>
      <c r="CJ2881" s="204" t="n"/>
      <c r="CK2881" s="208" t="n"/>
      <c r="CL2881" s="208" t="n"/>
      <c r="CM2881" s="208" t="n"/>
      <c r="CN2881" s="78" t="n"/>
      <c r="CO2881" s="209" t="n"/>
      <c r="CP2881" s="204" t="n"/>
      <c r="CQ2881" s="204" t="n"/>
      <c r="CR2881" s="204" t="n"/>
      <c r="CS2881" s="204" t="n"/>
      <c r="CT2881" s="204" t="n"/>
      <c r="CU2881" s="204" t="n"/>
      <c r="CV2881" s="204" t="n"/>
      <c r="CW2881" s="204" t="n"/>
    </row>
    <row r="2882">
      <c r="BF2882" s="78" t="n"/>
      <c r="BG2882" s="78" t="n"/>
      <c r="BH2882" s="78" t="n"/>
      <c r="BI2882" s="78" t="n"/>
      <c r="BJ2882" s="139" t="n"/>
      <c r="BK2882" s="204" t="n"/>
      <c r="BL2882" s="141" t="n"/>
      <c r="BM2882" s="205" t="n"/>
      <c r="BN2882" s="205" t="n"/>
      <c r="BO2882" s="206" t="n"/>
      <c r="BP2882" s="144" t="n"/>
      <c r="BQ2882" s="141" t="n"/>
      <c r="BR2882" s="207" t="n"/>
      <c r="BS2882" s="207" t="n"/>
      <c r="BT2882" s="207" t="n"/>
      <c r="BU2882" s="207" t="n"/>
      <c r="BV2882" s="208" t="n"/>
      <c r="BW2882" s="207" t="n"/>
      <c r="BX2882" s="207" t="n"/>
      <c r="BY2882" s="204" t="n"/>
      <c r="BZ2882" s="148" t="n"/>
      <c r="CA2882" s="204" t="n"/>
      <c r="CB2882" s="208" t="n"/>
      <c r="CC2882" s="139" t="n"/>
      <c r="CD2882" s="204" t="n"/>
      <c r="CE2882" s="204" t="n"/>
      <c r="CF2882" s="207" t="n"/>
      <c r="CG2882" s="208" t="n"/>
      <c r="CH2882" s="207" t="n"/>
      <c r="CI2882" s="208" t="n"/>
      <c r="CJ2882" s="204" t="n"/>
      <c r="CK2882" s="208" t="n"/>
      <c r="CL2882" s="208" t="n"/>
      <c r="CM2882" s="208" t="n"/>
      <c r="CN2882" s="78" t="n"/>
      <c r="CO2882" s="209" t="n"/>
      <c r="CP2882" s="204" t="n"/>
      <c r="CQ2882" s="204" t="n"/>
      <c r="CR2882" s="204" t="n"/>
      <c r="CS2882" s="204" t="n"/>
      <c r="CT2882" s="204" t="n"/>
      <c r="CU2882" s="204" t="n"/>
      <c r="CV2882" s="204" t="n"/>
      <c r="CW2882" s="204" t="n"/>
    </row>
    <row r="2883">
      <c r="BF2883" s="78" t="n"/>
      <c r="BG2883" s="78" t="n"/>
      <c r="BH2883" s="78" t="n"/>
      <c r="BI2883" s="78" t="n"/>
      <c r="BJ2883" s="139" t="n"/>
      <c r="BK2883" s="204" t="n"/>
      <c r="BL2883" s="141" t="n"/>
      <c r="BM2883" s="205" t="n"/>
      <c r="BN2883" s="205" t="n"/>
      <c r="BO2883" s="206" t="n"/>
      <c r="BP2883" s="144" t="n"/>
      <c r="BQ2883" s="141" t="n"/>
      <c r="BR2883" s="207" t="n"/>
      <c r="BS2883" s="207" t="n"/>
      <c r="BT2883" s="207" t="n"/>
      <c r="BU2883" s="207" t="n"/>
      <c r="BV2883" s="208" t="n"/>
      <c r="BW2883" s="207" t="n"/>
      <c r="BX2883" s="207" t="n"/>
      <c r="BY2883" s="204" t="n"/>
      <c r="BZ2883" s="148" t="n"/>
      <c r="CA2883" s="204" t="n"/>
      <c r="CB2883" s="208" t="n"/>
      <c r="CC2883" s="139" t="n"/>
      <c r="CD2883" s="204" t="n"/>
      <c r="CE2883" s="204" t="n"/>
      <c r="CF2883" s="207" t="n"/>
      <c r="CG2883" s="208" t="n"/>
      <c r="CH2883" s="207" t="n"/>
      <c r="CI2883" s="208" t="n"/>
      <c r="CJ2883" s="204" t="n"/>
      <c r="CK2883" s="208" t="n"/>
      <c r="CL2883" s="208" t="n"/>
      <c r="CM2883" s="208" t="n"/>
      <c r="CN2883" s="78" t="n"/>
      <c r="CO2883" s="209" t="n"/>
      <c r="CP2883" s="204" t="n"/>
      <c r="CQ2883" s="204" t="n"/>
      <c r="CR2883" s="204" t="n"/>
      <c r="CS2883" s="204" t="n"/>
      <c r="CT2883" s="204" t="n"/>
      <c r="CU2883" s="204" t="n"/>
      <c r="CV2883" s="204" t="n"/>
      <c r="CW2883" s="204" t="n"/>
    </row>
    <row r="2884">
      <c r="BF2884" s="78" t="n"/>
      <c r="BG2884" s="78" t="n"/>
      <c r="BH2884" s="78" t="n"/>
      <c r="BI2884" s="78" t="n"/>
      <c r="BJ2884" s="139" t="n"/>
      <c r="BK2884" s="204" t="n"/>
      <c r="BL2884" s="141" t="n"/>
      <c r="BM2884" s="205" t="n"/>
      <c r="BN2884" s="205" t="n"/>
      <c r="BO2884" s="206" t="n"/>
      <c r="BP2884" s="144" t="n"/>
      <c r="BQ2884" s="141" t="n"/>
      <c r="BR2884" s="207" t="n"/>
      <c r="BS2884" s="207" t="n"/>
      <c r="BT2884" s="207" t="n"/>
      <c r="BU2884" s="207" t="n"/>
      <c r="BV2884" s="208" t="n"/>
      <c r="BW2884" s="207" t="n"/>
      <c r="BX2884" s="207" t="n"/>
      <c r="BY2884" s="204" t="n"/>
      <c r="BZ2884" s="148" t="n"/>
      <c r="CA2884" s="204" t="n"/>
      <c r="CB2884" s="208" t="n"/>
      <c r="CC2884" s="139" t="n"/>
      <c r="CD2884" s="204" t="n"/>
      <c r="CE2884" s="204" t="n"/>
      <c r="CF2884" s="207" t="n"/>
      <c r="CG2884" s="208" t="n"/>
      <c r="CH2884" s="207" t="n"/>
      <c r="CI2884" s="208" t="n"/>
      <c r="CJ2884" s="204" t="n"/>
      <c r="CK2884" s="208" t="n"/>
      <c r="CL2884" s="208" t="n"/>
      <c r="CM2884" s="208" t="n"/>
      <c r="CN2884" s="78" t="n"/>
      <c r="CO2884" s="209" t="n"/>
      <c r="CP2884" s="204" t="n"/>
      <c r="CQ2884" s="204" t="n"/>
      <c r="CR2884" s="204" t="n"/>
      <c r="CS2884" s="204" t="n"/>
      <c r="CT2884" s="204" t="n"/>
      <c r="CU2884" s="204" t="n"/>
      <c r="CV2884" s="204" t="n"/>
      <c r="CW2884" s="204" t="n"/>
    </row>
    <row r="2885">
      <c r="BF2885" s="78" t="n"/>
      <c r="BG2885" s="78" t="n"/>
      <c r="BH2885" s="78" t="n"/>
      <c r="BI2885" s="78" t="n"/>
      <c r="BJ2885" s="139" t="n"/>
      <c r="BK2885" s="204" t="n"/>
      <c r="BL2885" s="141" t="n"/>
      <c r="BM2885" s="205" t="n"/>
      <c r="BN2885" s="205" t="n"/>
      <c r="BO2885" s="206" t="n"/>
      <c r="BP2885" s="144" t="n"/>
      <c r="BQ2885" s="141" t="n"/>
      <c r="BR2885" s="207" t="n"/>
      <c r="BS2885" s="207" t="n"/>
      <c r="BT2885" s="207" t="n"/>
      <c r="BU2885" s="207" t="n"/>
      <c r="BV2885" s="208" t="n"/>
      <c r="BW2885" s="207" t="n"/>
      <c r="BX2885" s="207" t="n"/>
      <c r="BY2885" s="204" t="n"/>
      <c r="BZ2885" s="148" t="n"/>
      <c r="CA2885" s="204" t="n"/>
      <c r="CB2885" s="208" t="n"/>
      <c r="CC2885" s="139" t="n"/>
      <c r="CD2885" s="204" t="n"/>
      <c r="CE2885" s="204" t="n"/>
      <c r="CF2885" s="207" t="n"/>
      <c r="CG2885" s="208" t="n"/>
      <c r="CH2885" s="207" t="n"/>
      <c r="CI2885" s="208" t="n"/>
      <c r="CJ2885" s="204" t="n"/>
      <c r="CK2885" s="208" t="n"/>
      <c r="CL2885" s="208" t="n"/>
      <c r="CM2885" s="208" t="n"/>
      <c r="CN2885" s="78" t="n"/>
      <c r="CO2885" s="209" t="n"/>
      <c r="CP2885" s="204" t="n"/>
      <c r="CQ2885" s="204" t="n"/>
      <c r="CR2885" s="204" t="n"/>
      <c r="CS2885" s="204" t="n"/>
      <c r="CT2885" s="204" t="n"/>
      <c r="CU2885" s="204" t="n"/>
      <c r="CV2885" s="204" t="n"/>
      <c r="CW2885" s="204" t="n"/>
    </row>
    <row r="2886">
      <c r="BF2886" s="78" t="n"/>
      <c r="BG2886" s="78" t="n"/>
      <c r="BH2886" s="78" t="n"/>
      <c r="BI2886" s="78" t="n"/>
      <c r="BJ2886" s="139" t="n"/>
      <c r="BK2886" s="204" t="n"/>
      <c r="BL2886" s="141" t="n"/>
      <c r="BM2886" s="205" t="n"/>
      <c r="BN2886" s="205" t="n"/>
      <c r="BO2886" s="206" t="n"/>
      <c r="BP2886" s="144" t="n"/>
      <c r="BQ2886" s="141" t="n"/>
      <c r="BR2886" s="207" t="n"/>
      <c r="BS2886" s="207" t="n"/>
      <c r="BT2886" s="207" t="n"/>
      <c r="BU2886" s="207" t="n"/>
      <c r="BV2886" s="208" t="n"/>
      <c r="BW2886" s="207" t="n"/>
      <c r="BX2886" s="207" t="n"/>
      <c r="BY2886" s="204" t="n"/>
      <c r="BZ2886" s="148" t="n"/>
      <c r="CA2886" s="204" t="n"/>
      <c r="CB2886" s="208" t="n"/>
      <c r="CC2886" s="139" t="n"/>
      <c r="CD2886" s="204" t="n"/>
      <c r="CE2886" s="204" t="n"/>
      <c r="CF2886" s="207" t="n"/>
      <c r="CG2886" s="208" t="n"/>
      <c r="CH2886" s="207" t="n"/>
      <c r="CI2886" s="208" t="n"/>
      <c r="CJ2886" s="204" t="n"/>
      <c r="CK2886" s="208" t="n"/>
      <c r="CL2886" s="208" t="n"/>
      <c r="CM2886" s="208" t="n"/>
      <c r="CN2886" s="78" t="n"/>
      <c r="CO2886" s="209" t="n"/>
      <c r="CP2886" s="204" t="n"/>
      <c r="CQ2886" s="204" t="n"/>
      <c r="CR2886" s="204" t="n"/>
      <c r="CS2886" s="204" t="n"/>
      <c r="CT2886" s="204" t="n"/>
      <c r="CU2886" s="204" t="n"/>
      <c r="CV2886" s="204" t="n"/>
      <c r="CW2886" s="204" t="n"/>
    </row>
    <row r="2887">
      <c r="BF2887" s="78" t="n"/>
      <c r="BG2887" s="78" t="n"/>
      <c r="BH2887" s="78" t="n"/>
      <c r="BI2887" s="78" t="n"/>
      <c r="BJ2887" s="139" t="n"/>
      <c r="BK2887" s="204" t="n"/>
      <c r="BL2887" s="141" t="n"/>
      <c r="BM2887" s="205" t="n"/>
      <c r="BN2887" s="205" t="n"/>
      <c r="BO2887" s="206" t="n"/>
      <c r="BP2887" s="144" t="n"/>
      <c r="BQ2887" s="141" t="n"/>
      <c r="BR2887" s="207" t="n"/>
      <c r="BS2887" s="207" t="n"/>
      <c r="BT2887" s="207" t="n"/>
      <c r="BU2887" s="207" t="n"/>
      <c r="BV2887" s="208" t="n"/>
      <c r="BW2887" s="207" t="n"/>
      <c r="BX2887" s="207" t="n"/>
      <c r="BY2887" s="204" t="n"/>
      <c r="BZ2887" s="148" t="n"/>
      <c r="CA2887" s="204" t="n"/>
      <c r="CB2887" s="208" t="n"/>
      <c r="CC2887" s="139" t="n"/>
      <c r="CD2887" s="204" t="n"/>
      <c r="CE2887" s="204" t="n"/>
      <c r="CF2887" s="207" t="n"/>
      <c r="CG2887" s="208" t="n"/>
      <c r="CH2887" s="207" t="n"/>
      <c r="CI2887" s="208" t="n"/>
      <c r="CJ2887" s="204" t="n"/>
      <c r="CK2887" s="208" t="n"/>
      <c r="CL2887" s="208" t="n"/>
      <c r="CM2887" s="208" t="n"/>
      <c r="CN2887" s="78" t="n"/>
      <c r="CO2887" s="209" t="n"/>
      <c r="CP2887" s="204" t="n"/>
      <c r="CQ2887" s="204" t="n"/>
      <c r="CR2887" s="204" t="n"/>
      <c r="CS2887" s="204" t="n"/>
      <c r="CT2887" s="204" t="n"/>
      <c r="CU2887" s="204" t="n"/>
      <c r="CV2887" s="204" t="n"/>
      <c r="CW2887" s="204" t="n"/>
    </row>
    <row r="2888">
      <c r="BF2888" s="78" t="n"/>
      <c r="BG2888" s="78" t="n"/>
      <c r="BH2888" s="78" t="n"/>
      <c r="BI2888" s="78" t="n"/>
      <c r="BJ2888" s="139" t="n"/>
      <c r="BK2888" s="204" t="n"/>
      <c r="BL2888" s="141" t="n"/>
      <c r="BM2888" s="205" t="n"/>
      <c r="BN2888" s="205" t="n"/>
      <c r="BO2888" s="206" t="n"/>
      <c r="BP2888" s="144" t="n"/>
      <c r="BQ2888" s="141" t="n"/>
      <c r="BR2888" s="207" t="n"/>
      <c r="BS2888" s="207" t="n"/>
      <c r="BT2888" s="207" t="n"/>
      <c r="BU2888" s="207" t="n"/>
      <c r="BV2888" s="208" t="n"/>
      <c r="BW2888" s="207" t="n"/>
      <c r="BX2888" s="207" t="n"/>
      <c r="BY2888" s="204" t="n"/>
      <c r="BZ2888" s="148" t="n"/>
      <c r="CA2888" s="204" t="n"/>
      <c r="CB2888" s="208" t="n"/>
      <c r="CC2888" s="139" t="n"/>
      <c r="CD2888" s="204" t="n"/>
      <c r="CE2888" s="204" t="n"/>
      <c r="CF2888" s="207" t="n"/>
      <c r="CG2888" s="208" t="n"/>
      <c r="CH2888" s="207" t="n"/>
      <c r="CI2888" s="208" t="n"/>
      <c r="CJ2888" s="204" t="n"/>
      <c r="CK2888" s="208" t="n"/>
      <c r="CL2888" s="208" t="n"/>
      <c r="CM2888" s="208" t="n"/>
      <c r="CN2888" s="78" t="n"/>
      <c r="CO2888" s="209" t="n"/>
      <c r="CP2888" s="204" t="n"/>
      <c r="CQ2888" s="204" t="n"/>
      <c r="CR2888" s="204" t="n"/>
      <c r="CS2888" s="204" t="n"/>
      <c r="CT2888" s="204" t="n"/>
      <c r="CU2888" s="204" t="n"/>
      <c r="CV2888" s="204" t="n"/>
      <c r="CW2888" s="204" t="n"/>
    </row>
    <row r="2889">
      <c r="BF2889" s="78" t="n"/>
      <c r="BG2889" s="78" t="n"/>
      <c r="BH2889" s="78" t="n"/>
      <c r="BI2889" s="78" t="n"/>
      <c r="BJ2889" s="139" t="n"/>
      <c r="BK2889" s="204" t="n"/>
      <c r="BL2889" s="141" t="n"/>
      <c r="BM2889" s="205" t="n"/>
      <c r="BN2889" s="205" t="n"/>
      <c r="BO2889" s="206" t="n"/>
      <c r="BP2889" s="144" t="n"/>
      <c r="BQ2889" s="141" t="n"/>
      <c r="BR2889" s="207" t="n"/>
      <c r="BS2889" s="207" t="n"/>
      <c r="BT2889" s="207" t="n"/>
      <c r="BU2889" s="207" t="n"/>
      <c r="BV2889" s="208" t="n"/>
      <c r="BW2889" s="207" t="n"/>
      <c r="BX2889" s="207" t="n"/>
      <c r="BY2889" s="204" t="n"/>
      <c r="BZ2889" s="148" t="n"/>
      <c r="CA2889" s="204" t="n"/>
      <c r="CB2889" s="208" t="n"/>
      <c r="CC2889" s="139" t="n"/>
      <c r="CD2889" s="204" t="n"/>
      <c r="CE2889" s="204" t="n"/>
      <c r="CF2889" s="207" t="n"/>
      <c r="CG2889" s="208" t="n"/>
      <c r="CH2889" s="207" t="n"/>
      <c r="CI2889" s="208" t="n"/>
      <c r="CJ2889" s="204" t="n"/>
      <c r="CK2889" s="208" t="n"/>
      <c r="CL2889" s="208" t="n"/>
      <c r="CM2889" s="208" t="n"/>
      <c r="CN2889" s="78" t="n"/>
      <c r="CO2889" s="209" t="n"/>
      <c r="CP2889" s="204" t="n"/>
      <c r="CQ2889" s="204" t="n"/>
      <c r="CR2889" s="204" t="n"/>
      <c r="CS2889" s="204" t="n"/>
      <c r="CT2889" s="204" t="n"/>
      <c r="CU2889" s="204" t="n"/>
      <c r="CV2889" s="204" t="n"/>
      <c r="CW2889" s="204" t="n"/>
    </row>
    <row r="2890">
      <c r="BF2890" s="78" t="n"/>
      <c r="BG2890" s="78" t="n"/>
      <c r="BH2890" s="78" t="n"/>
      <c r="BI2890" s="78" t="n"/>
      <c r="BJ2890" s="139" t="n"/>
      <c r="BK2890" s="204" t="n"/>
      <c r="BL2890" s="141" t="n"/>
      <c r="BM2890" s="205" t="n"/>
      <c r="BN2890" s="205" t="n"/>
      <c r="BO2890" s="206" t="n"/>
      <c r="BP2890" s="144" t="n"/>
      <c r="BQ2890" s="141" t="n"/>
      <c r="BR2890" s="207" t="n"/>
      <c r="BS2890" s="207" t="n"/>
      <c r="BT2890" s="207" t="n"/>
      <c r="BU2890" s="207" t="n"/>
      <c r="BV2890" s="208" t="n"/>
      <c r="BW2890" s="207" t="n"/>
      <c r="BX2890" s="207" t="n"/>
      <c r="BY2890" s="204" t="n"/>
      <c r="BZ2890" s="148" t="n"/>
      <c r="CA2890" s="204" t="n"/>
      <c r="CB2890" s="208" t="n"/>
      <c r="CC2890" s="139" t="n"/>
      <c r="CD2890" s="204" t="n"/>
      <c r="CE2890" s="204" t="n"/>
      <c r="CF2890" s="207" t="n"/>
      <c r="CG2890" s="208" t="n"/>
      <c r="CH2890" s="207" t="n"/>
      <c r="CI2890" s="208" t="n"/>
      <c r="CJ2890" s="204" t="n"/>
      <c r="CK2890" s="208" t="n"/>
      <c r="CL2890" s="208" t="n"/>
      <c r="CM2890" s="208" t="n"/>
      <c r="CN2890" s="78" t="n"/>
      <c r="CO2890" s="209" t="n"/>
      <c r="CP2890" s="204" t="n"/>
      <c r="CQ2890" s="204" t="n"/>
      <c r="CR2890" s="204" t="n"/>
      <c r="CS2890" s="204" t="n"/>
      <c r="CT2890" s="204" t="n"/>
      <c r="CU2890" s="204" t="n"/>
      <c r="CV2890" s="204" t="n"/>
      <c r="CW2890" s="204" t="n"/>
    </row>
    <row r="2891">
      <c r="BF2891" s="78" t="n"/>
      <c r="BG2891" s="78" t="n"/>
      <c r="BH2891" s="78" t="n"/>
      <c r="BI2891" s="78" t="n"/>
      <c r="BJ2891" s="139" t="n"/>
      <c r="BK2891" s="204" t="n"/>
      <c r="BL2891" s="141" t="n"/>
      <c r="BM2891" s="205" t="n"/>
      <c r="BN2891" s="205" t="n"/>
      <c r="BO2891" s="206" t="n"/>
      <c r="BP2891" s="144" t="n"/>
      <c r="BQ2891" s="141" t="n"/>
      <c r="BR2891" s="207" t="n"/>
      <c r="BS2891" s="207" t="n"/>
      <c r="BT2891" s="207" t="n"/>
      <c r="BU2891" s="207" t="n"/>
      <c r="BV2891" s="208" t="n"/>
      <c r="BW2891" s="207" t="n"/>
      <c r="BX2891" s="207" t="n"/>
      <c r="BY2891" s="204" t="n"/>
      <c r="BZ2891" s="148" t="n"/>
      <c r="CA2891" s="204" t="n"/>
      <c r="CB2891" s="208" t="n"/>
      <c r="CC2891" s="139" t="n"/>
      <c r="CD2891" s="204" t="n"/>
      <c r="CE2891" s="204" t="n"/>
      <c r="CF2891" s="207" t="n"/>
      <c r="CG2891" s="208" t="n"/>
      <c r="CH2891" s="207" t="n"/>
      <c r="CI2891" s="208" t="n"/>
      <c r="CJ2891" s="204" t="n"/>
      <c r="CK2891" s="208" t="n"/>
      <c r="CL2891" s="208" t="n"/>
      <c r="CM2891" s="208" t="n"/>
      <c r="CN2891" s="78" t="n"/>
      <c r="CO2891" s="209" t="n"/>
      <c r="CP2891" s="204" t="n"/>
      <c r="CQ2891" s="204" t="n"/>
      <c r="CR2891" s="204" t="n"/>
      <c r="CS2891" s="204" t="n"/>
      <c r="CT2891" s="204" t="n"/>
      <c r="CU2891" s="204" t="n"/>
      <c r="CV2891" s="204" t="n"/>
      <c r="CW2891" s="204" t="n"/>
    </row>
    <row r="2892">
      <c r="BF2892" s="78" t="n"/>
      <c r="BG2892" s="78" t="n"/>
      <c r="BH2892" s="78" t="n"/>
      <c r="BI2892" s="78" t="n"/>
      <c r="BJ2892" s="139" t="n"/>
      <c r="BK2892" s="204" t="n"/>
      <c r="BL2892" s="141" t="n"/>
      <c r="BM2892" s="205" t="n"/>
      <c r="BN2892" s="205" t="n"/>
      <c r="BO2892" s="206" t="n"/>
      <c r="BP2892" s="144" t="n"/>
      <c r="BQ2892" s="141" t="n"/>
      <c r="BR2892" s="207" t="n"/>
      <c r="BS2892" s="207" t="n"/>
      <c r="BT2892" s="207" t="n"/>
      <c r="BU2892" s="207" t="n"/>
      <c r="BV2892" s="208" t="n"/>
      <c r="BW2892" s="207" t="n"/>
      <c r="BX2892" s="207" t="n"/>
      <c r="BY2892" s="204" t="n"/>
      <c r="BZ2892" s="148" t="n"/>
      <c r="CA2892" s="204" t="n"/>
      <c r="CB2892" s="208" t="n"/>
      <c r="CC2892" s="139" t="n"/>
      <c r="CD2892" s="204" t="n"/>
      <c r="CE2892" s="204" t="n"/>
      <c r="CF2892" s="207" t="n"/>
      <c r="CG2892" s="208" t="n"/>
      <c r="CH2892" s="207" t="n"/>
      <c r="CI2892" s="208" t="n"/>
      <c r="CJ2892" s="204" t="n"/>
      <c r="CK2892" s="208" t="n"/>
      <c r="CL2892" s="208" t="n"/>
      <c r="CM2892" s="208" t="n"/>
      <c r="CN2892" s="78" t="n"/>
      <c r="CO2892" s="209" t="n"/>
      <c r="CP2892" s="204" t="n"/>
      <c r="CQ2892" s="204" t="n"/>
      <c r="CR2892" s="204" t="n"/>
      <c r="CS2892" s="204" t="n"/>
      <c r="CT2892" s="204" t="n"/>
      <c r="CU2892" s="204" t="n"/>
      <c r="CV2892" s="204" t="n"/>
      <c r="CW2892" s="204" t="n"/>
    </row>
    <row r="2893">
      <c r="BF2893" s="78" t="n"/>
      <c r="BG2893" s="78" t="n"/>
      <c r="BH2893" s="78" t="n"/>
      <c r="BI2893" s="78" t="n"/>
      <c r="BJ2893" s="139" t="n"/>
      <c r="BK2893" s="204" t="n"/>
      <c r="BL2893" s="141" t="n"/>
      <c r="BM2893" s="205" t="n"/>
      <c r="BN2893" s="205" t="n"/>
      <c r="BO2893" s="206" t="n"/>
      <c r="BP2893" s="144" t="n"/>
      <c r="BQ2893" s="141" t="n"/>
      <c r="BR2893" s="207" t="n"/>
      <c r="BS2893" s="207" t="n"/>
      <c r="BT2893" s="207" t="n"/>
      <c r="BU2893" s="207" t="n"/>
      <c r="BV2893" s="208" t="n"/>
      <c r="BW2893" s="207" t="n"/>
      <c r="BX2893" s="207" t="n"/>
      <c r="BY2893" s="204" t="n"/>
      <c r="BZ2893" s="148" t="n"/>
      <c r="CA2893" s="204" t="n"/>
      <c r="CB2893" s="208" t="n"/>
      <c r="CC2893" s="139" t="n"/>
      <c r="CD2893" s="204" t="n"/>
      <c r="CE2893" s="204" t="n"/>
      <c r="CF2893" s="207" t="n"/>
      <c r="CG2893" s="208" t="n"/>
      <c r="CH2893" s="207" t="n"/>
      <c r="CI2893" s="208" t="n"/>
      <c r="CJ2893" s="204" t="n"/>
      <c r="CK2893" s="208" t="n"/>
      <c r="CL2893" s="208" t="n"/>
      <c r="CM2893" s="208" t="n"/>
      <c r="CN2893" s="78" t="n"/>
      <c r="CO2893" s="209" t="n"/>
      <c r="CP2893" s="204" t="n"/>
      <c r="CQ2893" s="204" t="n"/>
      <c r="CR2893" s="204" t="n"/>
      <c r="CS2893" s="204" t="n"/>
      <c r="CT2893" s="204" t="n"/>
      <c r="CU2893" s="204" t="n"/>
      <c r="CV2893" s="204" t="n"/>
      <c r="CW2893" s="204" t="n"/>
    </row>
    <row r="2894">
      <c r="BF2894" s="78" t="n"/>
      <c r="BG2894" s="78" t="n"/>
      <c r="BH2894" s="78" t="n"/>
      <c r="BI2894" s="78" t="n"/>
      <c r="BJ2894" s="139" t="n"/>
      <c r="BK2894" s="204" t="n"/>
      <c r="BL2894" s="141" t="n"/>
      <c r="BM2894" s="205" t="n"/>
      <c r="BN2894" s="205" t="n"/>
      <c r="BO2894" s="206" t="n"/>
      <c r="BP2894" s="144" t="n"/>
      <c r="BQ2894" s="141" t="n"/>
      <c r="BR2894" s="207" t="n"/>
      <c r="BS2894" s="207" t="n"/>
      <c r="BT2894" s="207" t="n"/>
      <c r="BU2894" s="207" t="n"/>
      <c r="BV2894" s="208" t="n"/>
      <c r="BW2894" s="207" t="n"/>
      <c r="BX2894" s="207" t="n"/>
      <c r="BY2894" s="204" t="n"/>
      <c r="BZ2894" s="148" t="n"/>
      <c r="CA2894" s="204" t="n"/>
      <c r="CB2894" s="208" t="n"/>
      <c r="CC2894" s="139" t="n"/>
      <c r="CD2894" s="204" t="n"/>
      <c r="CE2894" s="204" t="n"/>
      <c r="CF2894" s="207" t="n"/>
      <c r="CG2894" s="208" t="n"/>
      <c r="CH2894" s="207" t="n"/>
      <c r="CI2894" s="208" t="n"/>
      <c r="CJ2894" s="204" t="n"/>
      <c r="CK2894" s="208" t="n"/>
      <c r="CL2894" s="208" t="n"/>
      <c r="CM2894" s="208" t="n"/>
      <c r="CN2894" s="78" t="n"/>
      <c r="CO2894" s="209" t="n"/>
      <c r="CP2894" s="204" t="n"/>
      <c r="CQ2894" s="204" t="n"/>
      <c r="CR2894" s="204" t="n"/>
      <c r="CS2894" s="204" t="n"/>
      <c r="CT2894" s="204" t="n"/>
      <c r="CU2894" s="204" t="n"/>
      <c r="CV2894" s="204" t="n"/>
      <c r="CW2894" s="204" t="n"/>
    </row>
    <row r="2895">
      <c r="BF2895" s="78" t="n"/>
      <c r="BG2895" s="78" t="n"/>
      <c r="BH2895" s="78" t="n"/>
      <c r="BI2895" s="78" t="n"/>
      <c r="BJ2895" s="139" t="n"/>
      <c r="BK2895" s="204" t="n"/>
      <c r="BL2895" s="141" t="n"/>
      <c r="BM2895" s="205" t="n"/>
      <c r="BN2895" s="205" t="n"/>
      <c r="BO2895" s="206" t="n"/>
      <c r="BP2895" s="144" t="n"/>
      <c r="BQ2895" s="141" t="n"/>
      <c r="BR2895" s="207" t="n"/>
      <c r="BS2895" s="207" t="n"/>
      <c r="BT2895" s="207" t="n"/>
      <c r="BU2895" s="207" t="n"/>
      <c r="BV2895" s="208" t="n"/>
      <c r="BW2895" s="207" t="n"/>
      <c r="BX2895" s="207" t="n"/>
      <c r="BY2895" s="204" t="n"/>
      <c r="BZ2895" s="148" t="n"/>
      <c r="CA2895" s="204" t="n"/>
      <c r="CB2895" s="208" t="n"/>
      <c r="CC2895" s="139" t="n"/>
      <c r="CD2895" s="204" t="n"/>
      <c r="CE2895" s="204" t="n"/>
      <c r="CF2895" s="207" t="n"/>
      <c r="CG2895" s="208" t="n"/>
      <c r="CH2895" s="207" t="n"/>
      <c r="CI2895" s="208" t="n"/>
      <c r="CJ2895" s="204" t="n"/>
      <c r="CK2895" s="208" t="n"/>
      <c r="CL2895" s="208" t="n"/>
      <c r="CM2895" s="208" t="n"/>
      <c r="CN2895" s="78" t="n"/>
      <c r="CO2895" s="209" t="n"/>
      <c r="CP2895" s="204" t="n"/>
      <c r="CQ2895" s="204" t="n"/>
      <c r="CR2895" s="204" t="n"/>
      <c r="CS2895" s="204" t="n"/>
      <c r="CT2895" s="204" t="n"/>
      <c r="CU2895" s="204" t="n"/>
      <c r="CV2895" s="204" t="n"/>
      <c r="CW2895" s="204" t="n"/>
    </row>
    <row r="2896">
      <c r="BF2896" s="78" t="n"/>
      <c r="BG2896" s="78" t="n"/>
      <c r="BH2896" s="78" t="n"/>
      <c r="BI2896" s="78" t="n"/>
      <c r="BJ2896" s="139" t="n"/>
      <c r="BK2896" s="204" t="n"/>
      <c r="BL2896" s="141" t="n"/>
      <c r="BM2896" s="205" t="n"/>
      <c r="BN2896" s="205" t="n"/>
      <c r="BO2896" s="206" t="n"/>
      <c r="BP2896" s="144" t="n"/>
      <c r="BQ2896" s="141" t="n"/>
      <c r="BR2896" s="207" t="n"/>
      <c r="BS2896" s="207" t="n"/>
      <c r="BT2896" s="207" t="n"/>
      <c r="BU2896" s="207" t="n"/>
      <c r="BV2896" s="208" t="n"/>
      <c r="BW2896" s="207" t="n"/>
      <c r="BX2896" s="207" t="n"/>
      <c r="BY2896" s="204" t="n"/>
      <c r="BZ2896" s="148" t="n"/>
      <c r="CA2896" s="204" t="n"/>
      <c r="CB2896" s="208" t="n"/>
      <c r="CC2896" s="139" t="n"/>
      <c r="CD2896" s="204" t="n"/>
      <c r="CE2896" s="204" t="n"/>
      <c r="CF2896" s="207" t="n"/>
      <c r="CG2896" s="208" t="n"/>
      <c r="CH2896" s="207" t="n"/>
      <c r="CI2896" s="208" t="n"/>
      <c r="CJ2896" s="204" t="n"/>
      <c r="CK2896" s="208" t="n"/>
      <c r="CL2896" s="208" t="n"/>
      <c r="CM2896" s="208" t="n"/>
      <c r="CN2896" s="78" t="n"/>
      <c r="CO2896" s="209" t="n"/>
      <c r="CP2896" s="204" t="n"/>
      <c r="CQ2896" s="204" t="n"/>
      <c r="CR2896" s="204" t="n"/>
      <c r="CS2896" s="204" t="n"/>
      <c r="CT2896" s="204" t="n"/>
      <c r="CU2896" s="204" t="n"/>
      <c r="CV2896" s="204" t="n"/>
      <c r="CW2896" s="204" t="n"/>
    </row>
    <row r="2897">
      <c r="BF2897" s="78" t="n"/>
      <c r="BG2897" s="78" t="n"/>
      <c r="BH2897" s="78" t="n"/>
      <c r="BI2897" s="78" t="n"/>
      <c r="BJ2897" s="139" t="n"/>
      <c r="BK2897" s="204" t="n"/>
      <c r="BL2897" s="141" t="n"/>
      <c r="BM2897" s="205" t="n"/>
      <c r="BN2897" s="205" t="n"/>
      <c r="BO2897" s="206" t="n"/>
      <c r="BP2897" s="144" t="n"/>
      <c r="BQ2897" s="141" t="n"/>
      <c r="BR2897" s="207" t="n"/>
      <c r="BS2897" s="207" t="n"/>
      <c r="BT2897" s="207" t="n"/>
      <c r="BU2897" s="207" t="n"/>
      <c r="BV2897" s="208" t="n"/>
      <c r="BW2897" s="207" t="n"/>
      <c r="BX2897" s="207" t="n"/>
      <c r="BY2897" s="204" t="n"/>
      <c r="BZ2897" s="148" t="n"/>
      <c r="CA2897" s="204" t="n"/>
      <c r="CB2897" s="208" t="n"/>
      <c r="CC2897" s="139" t="n"/>
      <c r="CD2897" s="204" t="n"/>
      <c r="CE2897" s="204" t="n"/>
      <c r="CF2897" s="207" t="n"/>
      <c r="CG2897" s="208" t="n"/>
      <c r="CH2897" s="207" t="n"/>
      <c r="CI2897" s="208" t="n"/>
      <c r="CJ2897" s="204" t="n"/>
      <c r="CK2897" s="208" t="n"/>
      <c r="CL2897" s="208" t="n"/>
      <c r="CM2897" s="208" t="n"/>
      <c r="CN2897" s="78" t="n"/>
      <c r="CO2897" s="209" t="n"/>
      <c r="CP2897" s="204" t="n"/>
      <c r="CQ2897" s="204" t="n"/>
      <c r="CR2897" s="204" t="n"/>
      <c r="CS2897" s="204" t="n"/>
      <c r="CT2897" s="204" t="n"/>
      <c r="CU2897" s="204" t="n"/>
      <c r="CV2897" s="204" t="n"/>
      <c r="CW2897" s="204" t="n"/>
    </row>
    <row r="2898">
      <c r="BF2898" s="78" t="n"/>
      <c r="BG2898" s="78" t="n"/>
      <c r="BH2898" s="78" t="n"/>
      <c r="BI2898" s="78" t="n"/>
      <c r="BJ2898" s="139" t="n"/>
      <c r="BK2898" s="204" t="n"/>
      <c r="BL2898" s="141" t="n"/>
      <c r="BM2898" s="205" t="n"/>
      <c r="BN2898" s="205" t="n"/>
      <c r="BO2898" s="206" t="n"/>
      <c r="BP2898" s="144" t="n"/>
      <c r="BQ2898" s="141" t="n"/>
      <c r="BR2898" s="207" t="n"/>
      <c r="BS2898" s="207" t="n"/>
      <c r="BT2898" s="207" t="n"/>
      <c r="BU2898" s="207" t="n"/>
      <c r="BV2898" s="208" t="n"/>
      <c r="BW2898" s="207" t="n"/>
      <c r="BX2898" s="207" t="n"/>
      <c r="BY2898" s="204" t="n"/>
      <c r="BZ2898" s="148" t="n"/>
      <c r="CA2898" s="204" t="n"/>
      <c r="CB2898" s="208" t="n"/>
      <c r="CC2898" s="139" t="n"/>
      <c r="CD2898" s="204" t="n"/>
      <c r="CE2898" s="204" t="n"/>
      <c r="CF2898" s="207" t="n"/>
      <c r="CG2898" s="208" t="n"/>
      <c r="CH2898" s="207" t="n"/>
      <c r="CI2898" s="208" t="n"/>
      <c r="CJ2898" s="204" t="n"/>
      <c r="CK2898" s="208" t="n"/>
      <c r="CL2898" s="208" t="n"/>
      <c r="CM2898" s="208" t="n"/>
      <c r="CN2898" s="78" t="n"/>
      <c r="CO2898" s="209" t="n"/>
      <c r="CP2898" s="204" t="n"/>
      <c r="CQ2898" s="204" t="n"/>
      <c r="CR2898" s="204" t="n"/>
      <c r="CS2898" s="204" t="n"/>
      <c r="CT2898" s="204" t="n"/>
      <c r="CU2898" s="204" t="n"/>
      <c r="CV2898" s="204" t="n"/>
      <c r="CW2898" s="204" t="n"/>
    </row>
    <row r="2899">
      <c r="BF2899" s="78" t="n"/>
      <c r="BG2899" s="78" t="n"/>
      <c r="BH2899" s="78" t="n"/>
      <c r="BI2899" s="78" t="n"/>
      <c r="BJ2899" s="139" t="n"/>
      <c r="BK2899" s="204" t="n"/>
      <c r="BL2899" s="141" t="n"/>
      <c r="BM2899" s="205" t="n"/>
      <c r="BN2899" s="205" t="n"/>
      <c r="BO2899" s="206" t="n"/>
      <c r="BP2899" s="144" t="n"/>
      <c r="BQ2899" s="141" t="n"/>
      <c r="BR2899" s="207" t="n"/>
      <c r="BS2899" s="207" t="n"/>
      <c r="BT2899" s="207" t="n"/>
      <c r="BU2899" s="207" t="n"/>
      <c r="BV2899" s="208" t="n"/>
      <c r="BW2899" s="207" t="n"/>
      <c r="BX2899" s="207" t="n"/>
      <c r="BY2899" s="204" t="n"/>
      <c r="BZ2899" s="148" t="n"/>
      <c r="CA2899" s="204" t="n"/>
      <c r="CB2899" s="208" t="n"/>
      <c r="CC2899" s="139" t="n"/>
      <c r="CD2899" s="204" t="n"/>
      <c r="CE2899" s="204" t="n"/>
      <c r="CF2899" s="207" t="n"/>
      <c r="CG2899" s="208" t="n"/>
      <c r="CH2899" s="207" t="n"/>
      <c r="CI2899" s="208" t="n"/>
      <c r="CJ2899" s="204" t="n"/>
      <c r="CK2899" s="208" t="n"/>
      <c r="CL2899" s="208" t="n"/>
      <c r="CM2899" s="208" t="n"/>
      <c r="CN2899" s="78" t="n"/>
      <c r="CO2899" s="209" t="n"/>
      <c r="CP2899" s="204" t="n"/>
      <c r="CQ2899" s="204" t="n"/>
      <c r="CR2899" s="204" t="n"/>
      <c r="CS2899" s="204" t="n"/>
      <c r="CT2899" s="204" t="n"/>
      <c r="CU2899" s="204" t="n"/>
      <c r="CV2899" s="204" t="n"/>
      <c r="CW2899" s="204" t="n"/>
    </row>
    <row r="2900">
      <c r="BF2900" s="78" t="n"/>
      <c r="BG2900" s="78" t="n"/>
      <c r="BH2900" s="78" t="n"/>
      <c r="BI2900" s="78" t="n"/>
      <c r="BJ2900" s="139" t="n"/>
      <c r="BK2900" s="204" t="n"/>
      <c r="BL2900" s="141" t="n"/>
      <c r="BM2900" s="205" t="n"/>
      <c r="BN2900" s="205" t="n"/>
      <c r="BO2900" s="206" t="n"/>
      <c r="BP2900" s="144" t="n"/>
      <c r="BQ2900" s="141" t="n"/>
      <c r="BR2900" s="207" t="n"/>
      <c r="BS2900" s="207" t="n"/>
      <c r="BT2900" s="207" t="n"/>
      <c r="BU2900" s="207" t="n"/>
      <c r="BV2900" s="208" t="n"/>
      <c r="BW2900" s="207" t="n"/>
      <c r="BX2900" s="207" t="n"/>
      <c r="BY2900" s="204" t="n"/>
      <c r="BZ2900" s="148" t="n"/>
      <c r="CA2900" s="204" t="n"/>
      <c r="CB2900" s="208" t="n"/>
      <c r="CC2900" s="139" t="n"/>
      <c r="CD2900" s="204" t="n"/>
      <c r="CE2900" s="204" t="n"/>
      <c r="CF2900" s="207" t="n"/>
      <c r="CG2900" s="208" t="n"/>
      <c r="CH2900" s="207" t="n"/>
      <c r="CI2900" s="208" t="n"/>
      <c r="CJ2900" s="204" t="n"/>
      <c r="CK2900" s="208" t="n"/>
      <c r="CL2900" s="208" t="n"/>
      <c r="CM2900" s="208" t="n"/>
      <c r="CN2900" s="78" t="n"/>
      <c r="CO2900" s="209" t="n"/>
      <c r="CP2900" s="204" t="n"/>
      <c r="CQ2900" s="204" t="n"/>
      <c r="CR2900" s="204" t="n"/>
      <c r="CS2900" s="204" t="n"/>
      <c r="CT2900" s="204" t="n"/>
      <c r="CU2900" s="204" t="n"/>
      <c r="CV2900" s="204" t="n"/>
      <c r="CW2900" s="204" t="n"/>
    </row>
    <row r="2901">
      <c r="BF2901" s="78" t="n"/>
      <c r="BG2901" s="78" t="n"/>
      <c r="BH2901" s="78" t="n"/>
      <c r="BI2901" s="78" t="n"/>
      <c r="BJ2901" s="139" t="n"/>
      <c r="BK2901" s="204" t="n"/>
      <c r="BL2901" s="141" t="n"/>
      <c r="BM2901" s="205" t="n"/>
      <c r="BN2901" s="205" t="n"/>
      <c r="BO2901" s="206" t="n"/>
      <c r="BP2901" s="144" t="n"/>
      <c r="BQ2901" s="141" t="n"/>
      <c r="BR2901" s="207" t="n"/>
      <c r="BS2901" s="207" t="n"/>
      <c r="BT2901" s="207" t="n"/>
      <c r="BU2901" s="207" t="n"/>
      <c r="BV2901" s="208" t="n"/>
      <c r="BW2901" s="207" t="n"/>
      <c r="BX2901" s="207" t="n"/>
      <c r="BY2901" s="204" t="n"/>
      <c r="BZ2901" s="148" t="n"/>
      <c r="CA2901" s="204" t="n"/>
      <c r="CB2901" s="208" t="n"/>
      <c r="CC2901" s="139" t="n"/>
      <c r="CD2901" s="204" t="n"/>
      <c r="CE2901" s="204" t="n"/>
      <c r="CF2901" s="207" t="n"/>
      <c r="CG2901" s="208" t="n"/>
      <c r="CH2901" s="207" t="n"/>
      <c r="CI2901" s="208" t="n"/>
      <c r="CJ2901" s="204" t="n"/>
      <c r="CK2901" s="208" t="n"/>
      <c r="CL2901" s="208" t="n"/>
      <c r="CM2901" s="208" t="n"/>
      <c r="CN2901" s="78" t="n"/>
      <c r="CO2901" s="209" t="n"/>
      <c r="CP2901" s="204" t="n"/>
      <c r="CQ2901" s="204" t="n"/>
      <c r="CR2901" s="204" t="n"/>
      <c r="CS2901" s="204" t="n"/>
      <c r="CT2901" s="204" t="n"/>
      <c r="CU2901" s="204" t="n"/>
      <c r="CV2901" s="204" t="n"/>
      <c r="CW2901" s="204" t="n"/>
    </row>
    <row r="2902">
      <c r="BF2902" s="78" t="n"/>
      <c r="BG2902" s="78" t="n"/>
      <c r="BH2902" s="78" t="n"/>
      <c r="BI2902" s="78" t="n"/>
      <c r="BJ2902" s="139" t="n"/>
      <c r="BK2902" s="204" t="n"/>
      <c r="BL2902" s="141" t="n"/>
      <c r="BM2902" s="205" t="n"/>
      <c r="BN2902" s="205" t="n"/>
      <c r="BO2902" s="206" t="n"/>
      <c r="BP2902" s="144" t="n"/>
      <c r="BQ2902" s="141" t="n"/>
      <c r="BR2902" s="207" t="n"/>
      <c r="BS2902" s="207" t="n"/>
      <c r="BT2902" s="207" t="n"/>
      <c r="BU2902" s="207" t="n"/>
      <c r="BV2902" s="208" t="n"/>
      <c r="BW2902" s="207" t="n"/>
      <c r="BX2902" s="207" t="n"/>
      <c r="BY2902" s="204" t="n"/>
      <c r="BZ2902" s="148" t="n"/>
      <c r="CA2902" s="204" t="n"/>
      <c r="CB2902" s="208" t="n"/>
      <c r="CC2902" s="139" t="n"/>
      <c r="CD2902" s="204" t="n"/>
      <c r="CE2902" s="204" t="n"/>
      <c r="CF2902" s="207" t="n"/>
      <c r="CG2902" s="208" t="n"/>
      <c r="CH2902" s="207" t="n"/>
      <c r="CI2902" s="208" t="n"/>
      <c r="CJ2902" s="204" t="n"/>
      <c r="CK2902" s="208" t="n"/>
      <c r="CL2902" s="208" t="n"/>
      <c r="CM2902" s="208" t="n"/>
      <c r="CN2902" s="78" t="n"/>
      <c r="CO2902" s="209" t="n"/>
      <c r="CP2902" s="204" t="n"/>
      <c r="CQ2902" s="204" t="n"/>
      <c r="CR2902" s="204" t="n"/>
      <c r="CS2902" s="204" t="n"/>
      <c r="CT2902" s="204" t="n"/>
      <c r="CU2902" s="204" t="n"/>
      <c r="CV2902" s="204" t="n"/>
      <c r="CW2902" s="204" t="n"/>
    </row>
    <row r="2903">
      <c r="BF2903" s="78" t="n"/>
      <c r="BG2903" s="78" t="n"/>
      <c r="BH2903" s="78" t="n"/>
      <c r="BI2903" s="78" t="n"/>
      <c r="BJ2903" s="139" t="n"/>
      <c r="BK2903" s="204" t="n"/>
      <c r="BL2903" s="141" t="n"/>
      <c r="BM2903" s="205" t="n"/>
      <c r="BN2903" s="205" t="n"/>
      <c r="BO2903" s="206" t="n"/>
      <c r="BP2903" s="144" t="n"/>
      <c r="BQ2903" s="141" t="n"/>
      <c r="BR2903" s="207" t="n"/>
      <c r="BS2903" s="207" t="n"/>
      <c r="BT2903" s="207" t="n"/>
      <c r="BU2903" s="207" t="n"/>
      <c r="BV2903" s="208" t="n"/>
      <c r="BW2903" s="207" t="n"/>
      <c r="BX2903" s="207" t="n"/>
      <c r="BY2903" s="204" t="n"/>
      <c r="BZ2903" s="148" t="n"/>
      <c r="CA2903" s="204" t="n"/>
      <c r="CB2903" s="208" t="n"/>
      <c r="CC2903" s="139" t="n"/>
      <c r="CD2903" s="204" t="n"/>
      <c r="CE2903" s="204" t="n"/>
      <c r="CF2903" s="207" t="n"/>
      <c r="CG2903" s="208" t="n"/>
      <c r="CH2903" s="207" t="n"/>
      <c r="CI2903" s="208" t="n"/>
      <c r="CJ2903" s="204" t="n"/>
      <c r="CK2903" s="208" t="n"/>
      <c r="CL2903" s="208" t="n"/>
      <c r="CM2903" s="208" t="n"/>
      <c r="CN2903" s="78" t="n"/>
      <c r="CO2903" s="209" t="n"/>
      <c r="CP2903" s="204" t="n"/>
      <c r="CQ2903" s="204" t="n"/>
      <c r="CR2903" s="204" t="n"/>
      <c r="CS2903" s="204" t="n"/>
      <c r="CT2903" s="204" t="n"/>
      <c r="CU2903" s="204" t="n"/>
      <c r="CV2903" s="204" t="n"/>
      <c r="CW2903" s="204" t="n"/>
    </row>
    <row r="2904">
      <c r="BF2904" s="78" t="n"/>
      <c r="BG2904" s="78" t="n"/>
      <c r="BH2904" s="78" t="n"/>
      <c r="BI2904" s="78" t="n"/>
      <c r="BJ2904" s="139" t="n"/>
      <c r="BK2904" s="204" t="n"/>
      <c r="BL2904" s="141" t="n"/>
      <c r="BM2904" s="205" t="n"/>
      <c r="BN2904" s="205" t="n"/>
      <c r="BO2904" s="206" t="n"/>
      <c r="BP2904" s="144" t="n"/>
      <c r="BQ2904" s="141" t="n"/>
      <c r="BR2904" s="207" t="n"/>
      <c r="BS2904" s="207" t="n"/>
      <c r="BT2904" s="207" t="n"/>
      <c r="BU2904" s="207" t="n"/>
      <c r="BV2904" s="208" t="n"/>
      <c r="BW2904" s="207" t="n"/>
      <c r="BX2904" s="207" t="n"/>
      <c r="BY2904" s="204" t="n"/>
      <c r="BZ2904" s="148" t="n"/>
      <c r="CA2904" s="204" t="n"/>
      <c r="CB2904" s="208" t="n"/>
      <c r="CC2904" s="139" t="n"/>
      <c r="CD2904" s="204" t="n"/>
      <c r="CE2904" s="204" t="n"/>
      <c r="CF2904" s="207" t="n"/>
      <c r="CG2904" s="208" t="n"/>
      <c r="CH2904" s="207" t="n"/>
      <c r="CI2904" s="208" t="n"/>
      <c r="CJ2904" s="204" t="n"/>
      <c r="CK2904" s="208" t="n"/>
      <c r="CL2904" s="208" t="n"/>
      <c r="CM2904" s="208" t="n"/>
      <c r="CN2904" s="78" t="n"/>
      <c r="CO2904" s="209" t="n"/>
      <c r="CP2904" s="204" t="n"/>
      <c r="CQ2904" s="204" t="n"/>
      <c r="CR2904" s="204" t="n"/>
      <c r="CS2904" s="204" t="n"/>
      <c r="CT2904" s="204" t="n"/>
      <c r="CU2904" s="204" t="n"/>
      <c r="CV2904" s="204" t="n"/>
      <c r="CW2904" s="204" t="n"/>
    </row>
    <row r="2905">
      <c r="BF2905" s="78" t="n"/>
      <c r="BG2905" s="78" t="n"/>
      <c r="BH2905" s="78" t="n"/>
      <c r="BI2905" s="78" t="n"/>
      <c r="BJ2905" s="139" t="n"/>
      <c r="BK2905" s="204" t="n"/>
      <c r="BL2905" s="141" t="n"/>
      <c r="BM2905" s="205" t="n"/>
      <c r="BN2905" s="205" t="n"/>
      <c r="BO2905" s="206" t="n"/>
      <c r="BP2905" s="144" t="n"/>
      <c r="BQ2905" s="141" t="n"/>
      <c r="BR2905" s="207" t="n"/>
      <c r="BS2905" s="207" t="n"/>
      <c r="BT2905" s="207" t="n"/>
      <c r="BU2905" s="207" t="n"/>
      <c r="BV2905" s="208" t="n"/>
      <c r="BW2905" s="207" t="n"/>
      <c r="BX2905" s="207" t="n"/>
      <c r="BY2905" s="204" t="n"/>
      <c r="BZ2905" s="148" t="n"/>
      <c r="CA2905" s="204" t="n"/>
      <c r="CB2905" s="208" t="n"/>
      <c r="CC2905" s="139" t="n"/>
      <c r="CD2905" s="204" t="n"/>
      <c r="CE2905" s="204" t="n"/>
      <c r="CF2905" s="207" t="n"/>
      <c r="CG2905" s="208" t="n"/>
      <c r="CH2905" s="207" t="n"/>
      <c r="CI2905" s="208" t="n"/>
      <c r="CJ2905" s="204" t="n"/>
      <c r="CK2905" s="208" t="n"/>
      <c r="CL2905" s="208" t="n"/>
      <c r="CM2905" s="208" t="n"/>
      <c r="CN2905" s="78" t="n"/>
      <c r="CO2905" s="209" t="n"/>
      <c r="CP2905" s="204" t="n"/>
      <c r="CQ2905" s="204" t="n"/>
      <c r="CR2905" s="204" t="n"/>
      <c r="CS2905" s="204" t="n"/>
      <c r="CT2905" s="204" t="n"/>
      <c r="CU2905" s="204" t="n"/>
      <c r="CV2905" s="204" t="n"/>
      <c r="CW2905" s="204" t="n"/>
    </row>
    <row r="2906">
      <c r="BF2906" s="78" t="n"/>
      <c r="BG2906" s="78" t="n"/>
      <c r="BH2906" s="78" t="n"/>
      <c r="BI2906" s="78" t="n"/>
      <c r="BJ2906" s="139" t="n"/>
      <c r="BK2906" s="204" t="n"/>
      <c r="BL2906" s="141" t="n"/>
      <c r="BM2906" s="205" t="n"/>
      <c r="BN2906" s="205" t="n"/>
      <c r="BO2906" s="206" t="n"/>
      <c r="BP2906" s="144" t="n"/>
      <c r="BQ2906" s="141" t="n"/>
      <c r="BR2906" s="207" t="n"/>
      <c r="BS2906" s="207" t="n"/>
      <c r="BT2906" s="207" t="n"/>
      <c r="BU2906" s="207" t="n"/>
      <c r="BV2906" s="208" t="n"/>
      <c r="BW2906" s="207" t="n"/>
      <c r="BX2906" s="207" t="n"/>
      <c r="BY2906" s="204" t="n"/>
      <c r="BZ2906" s="148" t="n"/>
      <c r="CA2906" s="204" t="n"/>
      <c r="CB2906" s="208" t="n"/>
      <c r="CC2906" s="139" t="n"/>
      <c r="CD2906" s="204" t="n"/>
      <c r="CE2906" s="204" t="n"/>
      <c r="CF2906" s="207" t="n"/>
      <c r="CG2906" s="208" t="n"/>
      <c r="CH2906" s="207" t="n"/>
      <c r="CI2906" s="208" t="n"/>
      <c r="CJ2906" s="204" t="n"/>
      <c r="CK2906" s="208" t="n"/>
      <c r="CL2906" s="208" t="n"/>
      <c r="CM2906" s="208" t="n"/>
      <c r="CN2906" s="78" t="n"/>
      <c r="CO2906" s="209" t="n"/>
      <c r="CP2906" s="204" t="n"/>
      <c r="CQ2906" s="204" t="n"/>
      <c r="CR2906" s="204" t="n"/>
      <c r="CS2906" s="204" t="n"/>
      <c r="CT2906" s="204" t="n"/>
      <c r="CU2906" s="204" t="n"/>
      <c r="CV2906" s="204" t="n"/>
      <c r="CW2906" s="204" t="n"/>
    </row>
    <row r="2907">
      <c r="BF2907" s="78" t="n"/>
      <c r="BG2907" s="78" t="n"/>
      <c r="BH2907" s="78" t="n"/>
      <c r="BI2907" s="78" t="n"/>
      <c r="BJ2907" s="139" t="n"/>
      <c r="BK2907" s="204" t="n"/>
      <c r="BL2907" s="141" t="n"/>
      <c r="BM2907" s="205" t="n"/>
      <c r="BN2907" s="205" t="n"/>
      <c r="BO2907" s="206" t="n"/>
      <c r="BP2907" s="144" t="n"/>
      <c r="BQ2907" s="141" t="n"/>
      <c r="BR2907" s="207" t="n"/>
      <c r="BS2907" s="207" t="n"/>
      <c r="BT2907" s="207" t="n"/>
      <c r="BU2907" s="207" t="n"/>
      <c r="BV2907" s="208" t="n"/>
      <c r="BW2907" s="207" t="n"/>
      <c r="BX2907" s="207" t="n"/>
      <c r="BY2907" s="204" t="n"/>
      <c r="BZ2907" s="148" t="n"/>
      <c r="CA2907" s="204" t="n"/>
      <c r="CB2907" s="208" t="n"/>
      <c r="CC2907" s="139" t="n"/>
      <c r="CD2907" s="204" t="n"/>
      <c r="CE2907" s="204" t="n"/>
      <c r="CF2907" s="207" t="n"/>
      <c r="CG2907" s="208" t="n"/>
      <c r="CH2907" s="207" t="n"/>
      <c r="CI2907" s="208" t="n"/>
      <c r="CJ2907" s="204" t="n"/>
      <c r="CK2907" s="208" t="n"/>
      <c r="CL2907" s="208" t="n"/>
      <c r="CM2907" s="208" t="n"/>
      <c r="CN2907" s="78" t="n"/>
      <c r="CO2907" s="209" t="n"/>
      <c r="CP2907" s="204" t="n"/>
      <c r="CQ2907" s="204" t="n"/>
      <c r="CR2907" s="204" t="n"/>
      <c r="CS2907" s="204" t="n"/>
      <c r="CT2907" s="204" t="n"/>
      <c r="CU2907" s="204" t="n"/>
      <c r="CV2907" s="204" t="n"/>
      <c r="CW2907" s="204" t="n"/>
    </row>
    <row r="2908">
      <c r="BF2908" s="78" t="n"/>
      <c r="BG2908" s="78" t="n"/>
      <c r="BH2908" s="78" t="n"/>
      <c r="BI2908" s="78" t="n"/>
      <c r="BJ2908" s="139" t="n"/>
      <c r="BK2908" s="204" t="n"/>
      <c r="BL2908" s="141" t="n"/>
      <c r="BM2908" s="205" t="n"/>
      <c r="BN2908" s="205" t="n"/>
      <c r="BO2908" s="206" t="n"/>
      <c r="BP2908" s="144" t="n"/>
      <c r="BQ2908" s="141" t="n"/>
      <c r="BR2908" s="207" t="n"/>
      <c r="BS2908" s="207" t="n"/>
      <c r="BT2908" s="207" t="n"/>
      <c r="BU2908" s="207" t="n"/>
      <c r="BV2908" s="208" t="n"/>
      <c r="BW2908" s="207" t="n"/>
      <c r="BX2908" s="207" t="n"/>
      <c r="BY2908" s="204" t="n"/>
      <c r="BZ2908" s="148" t="n"/>
      <c r="CA2908" s="204" t="n"/>
      <c r="CB2908" s="208" t="n"/>
      <c r="CC2908" s="139" t="n"/>
      <c r="CD2908" s="204" t="n"/>
      <c r="CE2908" s="204" t="n"/>
      <c r="CF2908" s="207" t="n"/>
      <c r="CG2908" s="208" t="n"/>
      <c r="CH2908" s="207" t="n"/>
      <c r="CI2908" s="208" t="n"/>
      <c r="CJ2908" s="204" t="n"/>
      <c r="CK2908" s="208" t="n"/>
      <c r="CL2908" s="208" t="n"/>
      <c r="CM2908" s="208" t="n"/>
      <c r="CN2908" s="78" t="n"/>
      <c r="CO2908" s="209" t="n"/>
      <c r="CP2908" s="204" t="n"/>
      <c r="CQ2908" s="204" t="n"/>
      <c r="CR2908" s="204" t="n"/>
      <c r="CS2908" s="204" t="n"/>
      <c r="CT2908" s="204" t="n"/>
      <c r="CU2908" s="204" t="n"/>
      <c r="CV2908" s="204" t="n"/>
      <c r="CW2908" s="204" t="n"/>
    </row>
    <row r="2909">
      <c r="BF2909" s="78" t="n"/>
      <c r="BG2909" s="78" t="n"/>
      <c r="BH2909" s="78" t="n"/>
      <c r="BI2909" s="78" t="n"/>
      <c r="BJ2909" s="139" t="n"/>
      <c r="BK2909" s="204" t="n"/>
      <c r="BL2909" s="141" t="n"/>
      <c r="BM2909" s="205" t="n"/>
      <c r="BN2909" s="205" t="n"/>
      <c r="BO2909" s="206" t="n"/>
      <c r="BP2909" s="144" t="n"/>
      <c r="BQ2909" s="141" t="n"/>
      <c r="BR2909" s="207" t="n"/>
      <c r="BS2909" s="207" t="n"/>
      <c r="BT2909" s="207" t="n"/>
      <c r="BU2909" s="207" t="n"/>
      <c r="BV2909" s="208" t="n"/>
      <c r="BW2909" s="207" t="n"/>
      <c r="BX2909" s="207" t="n"/>
      <c r="BY2909" s="204" t="n"/>
      <c r="BZ2909" s="148" t="n"/>
      <c r="CA2909" s="204" t="n"/>
      <c r="CB2909" s="208" t="n"/>
      <c r="CC2909" s="139" t="n"/>
      <c r="CD2909" s="204" t="n"/>
      <c r="CE2909" s="204" t="n"/>
      <c r="CF2909" s="207" t="n"/>
      <c r="CG2909" s="208" t="n"/>
      <c r="CH2909" s="207" t="n"/>
      <c r="CI2909" s="208" t="n"/>
      <c r="CJ2909" s="204" t="n"/>
      <c r="CK2909" s="208" t="n"/>
      <c r="CL2909" s="208" t="n"/>
      <c r="CM2909" s="208" t="n"/>
      <c r="CN2909" s="78" t="n"/>
      <c r="CO2909" s="209" t="n"/>
      <c r="CP2909" s="204" t="n"/>
      <c r="CQ2909" s="204" t="n"/>
      <c r="CR2909" s="204" t="n"/>
      <c r="CS2909" s="204" t="n"/>
      <c r="CT2909" s="204" t="n"/>
      <c r="CU2909" s="204" t="n"/>
      <c r="CV2909" s="204" t="n"/>
      <c r="CW2909" s="204" t="n"/>
    </row>
    <row r="2910">
      <c r="BF2910" s="78" t="n"/>
      <c r="BG2910" s="78" t="n"/>
      <c r="BH2910" s="78" t="n"/>
      <c r="BI2910" s="78" t="n"/>
      <c r="BJ2910" s="139" t="n"/>
      <c r="BK2910" s="204" t="n"/>
      <c r="BL2910" s="141" t="n"/>
      <c r="BM2910" s="205" t="n"/>
      <c r="BN2910" s="205" t="n"/>
      <c r="BO2910" s="206" t="n"/>
      <c r="BP2910" s="144" t="n"/>
      <c r="BQ2910" s="141" t="n"/>
      <c r="BR2910" s="207" t="n"/>
      <c r="BS2910" s="207" t="n"/>
      <c r="BT2910" s="207" t="n"/>
      <c r="BU2910" s="207" t="n"/>
      <c r="BV2910" s="208" t="n"/>
      <c r="BW2910" s="207" t="n"/>
      <c r="BX2910" s="207" t="n"/>
      <c r="BY2910" s="204" t="n"/>
      <c r="BZ2910" s="148" t="n"/>
      <c r="CA2910" s="204" t="n"/>
      <c r="CB2910" s="208" t="n"/>
      <c r="CC2910" s="139" t="n"/>
      <c r="CD2910" s="204" t="n"/>
      <c r="CE2910" s="204" t="n"/>
      <c r="CF2910" s="207" t="n"/>
      <c r="CG2910" s="208" t="n"/>
      <c r="CH2910" s="207" t="n"/>
      <c r="CI2910" s="208" t="n"/>
      <c r="CJ2910" s="204" t="n"/>
      <c r="CK2910" s="208" t="n"/>
      <c r="CL2910" s="208" t="n"/>
      <c r="CM2910" s="208" t="n"/>
      <c r="CN2910" s="78" t="n"/>
      <c r="CO2910" s="209" t="n"/>
      <c r="CP2910" s="204" t="n"/>
      <c r="CQ2910" s="204" t="n"/>
      <c r="CR2910" s="204" t="n"/>
      <c r="CS2910" s="204" t="n"/>
      <c r="CT2910" s="204" t="n"/>
      <c r="CU2910" s="204" t="n"/>
      <c r="CV2910" s="204" t="n"/>
      <c r="CW2910" s="204" t="n"/>
    </row>
    <row r="2911">
      <c r="BF2911" s="78" t="n"/>
      <c r="BG2911" s="78" t="n"/>
      <c r="BH2911" s="78" t="n"/>
      <c r="BI2911" s="78" t="n"/>
      <c r="BJ2911" s="139" t="n"/>
      <c r="BK2911" s="204" t="n"/>
      <c r="BL2911" s="141" t="n"/>
      <c r="BM2911" s="205" t="n"/>
      <c r="BN2911" s="205" t="n"/>
      <c r="BO2911" s="206" t="n"/>
      <c r="BP2911" s="144" t="n"/>
      <c r="BQ2911" s="141" t="n"/>
      <c r="BR2911" s="207" t="n"/>
      <c r="BS2911" s="207" t="n"/>
      <c r="BT2911" s="207" t="n"/>
      <c r="BU2911" s="207" t="n"/>
      <c r="BV2911" s="208" t="n"/>
      <c r="BW2911" s="207" t="n"/>
      <c r="BX2911" s="207" t="n"/>
      <c r="BY2911" s="204" t="n"/>
      <c r="BZ2911" s="148" t="n"/>
      <c r="CA2911" s="204" t="n"/>
      <c r="CB2911" s="208" t="n"/>
      <c r="CC2911" s="139" t="n"/>
      <c r="CD2911" s="204" t="n"/>
      <c r="CE2911" s="204" t="n"/>
      <c r="CF2911" s="207" t="n"/>
      <c r="CG2911" s="208" t="n"/>
      <c r="CH2911" s="207" t="n"/>
      <c r="CI2911" s="208" t="n"/>
      <c r="CJ2911" s="204" t="n"/>
      <c r="CK2911" s="208" t="n"/>
      <c r="CL2911" s="208" t="n"/>
      <c r="CM2911" s="208" t="n"/>
      <c r="CN2911" s="78" t="n"/>
      <c r="CO2911" s="209" t="n"/>
      <c r="CP2911" s="204" t="n"/>
      <c r="CQ2911" s="204" t="n"/>
      <c r="CR2911" s="204" t="n"/>
      <c r="CS2911" s="204" t="n"/>
      <c r="CT2911" s="204" t="n"/>
      <c r="CU2911" s="204" t="n"/>
      <c r="CV2911" s="204" t="n"/>
      <c r="CW2911" s="204" t="n"/>
    </row>
    <row r="2912">
      <c r="BF2912" s="78" t="n"/>
      <c r="BG2912" s="78" t="n"/>
      <c r="BH2912" s="78" t="n"/>
      <c r="BI2912" s="78" t="n"/>
      <c r="BJ2912" s="139" t="n"/>
      <c r="BK2912" s="204" t="n"/>
      <c r="BL2912" s="141" t="n"/>
      <c r="BM2912" s="205" t="n"/>
      <c r="BN2912" s="205" t="n"/>
      <c r="BO2912" s="206" t="n"/>
      <c r="BP2912" s="144" t="n"/>
      <c r="BQ2912" s="141" t="n"/>
      <c r="BR2912" s="207" t="n"/>
      <c r="BS2912" s="207" t="n"/>
      <c r="BT2912" s="207" t="n"/>
      <c r="BU2912" s="207" t="n"/>
      <c r="BV2912" s="208" t="n"/>
      <c r="BW2912" s="207" t="n"/>
      <c r="BX2912" s="207" t="n"/>
      <c r="BY2912" s="204" t="n"/>
      <c r="BZ2912" s="148" t="n"/>
      <c r="CA2912" s="204" t="n"/>
      <c r="CB2912" s="208" t="n"/>
      <c r="CC2912" s="139" t="n"/>
      <c r="CD2912" s="204" t="n"/>
      <c r="CE2912" s="204" t="n"/>
      <c r="CF2912" s="207" t="n"/>
      <c r="CG2912" s="208" t="n"/>
      <c r="CH2912" s="207" t="n"/>
      <c r="CI2912" s="208" t="n"/>
      <c r="CJ2912" s="204" t="n"/>
      <c r="CK2912" s="208" t="n"/>
      <c r="CL2912" s="208" t="n"/>
      <c r="CM2912" s="208" t="n"/>
      <c r="CN2912" s="78" t="n"/>
      <c r="CO2912" s="209" t="n"/>
      <c r="CP2912" s="204" t="n"/>
      <c r="CQ2912" s="204" t="n"/>
      <c r="CR2912" s="204" t="n"/>
      <c r="CS2912" s="204" t="n"/>
      <c r="CT2912" s="204" t="n"/>
      <c r="CU2912" s="204" t="n"/>
      <c r="CV2912" s="204" t="n"/>
      <c r="CW2912" s="204" t="n"/>
    </row>
    <row r="2913">
      <c r="BF2913" s="78" t="n"/>
      <c r="BG2913" s="78" t="n"/>
      <c r="BH2913" s="78" t="n"/>
      <c r="BI2913" s="78" t="n"/>
      <c r="BJ2913" s="139" t="n"/>
      <c r="BK2913" s="204" t="n"/>
      <c r="BL2913" s="141" t="n"/>
      <c r="BM2913" s="205" t="n"/>
      <c r="BN2913" s="205" t="n"/>
      <c r="BO2913" s="206" t="n"/>
      <c r="BP2913" s="144" t="n"/>
      <c r="BQ2913" s="141" t="n"/>
      <c r="BR2913" s="207" t="n"/>
      <c r="BS2913" s="207" t="n"/>
      <c r="BT2913" s="207" t="n"/>
      <c r="BU2913" s="207" t="n"/>
      <c r="BV2913" s="208" t="n"/>
      <c r="BW2913" s="207" t="n"/>
      <c r="BX2913" s="207" t="n"/>
      <c r="BY2913" s="204" t="n"/>
      <c r="BZ2913" s="148" t="n"/>
      <c r="CA2913" s="204" t="n"/>
      <c r="CB2913" s="208" t="n"/>
      <c r="CC2913" s="139" t="n"/>
      <c r="CD2913" s="204" t="n"/>
      <c r="CE2913" s="204" t="n"/>
      <c r="CF2913" s="207" t="n"/>
      <c r="CG2913" s="208" t="n"/>
      <c r="CH2913" s="207" t="n"/>
      <c r="CI2913" s="208" t="n"/>
      <c r="CJ2913" s="204" t="n"/>
      <c r="CK2913" s="208" t="n"/>
      <c r="CL2913" s="208" t="n"/>
      <c r="CM2913" s="208" t="n"/>
      <c r="CN2913" s="78" t="n"/>
      <c r="CO2913" s="209" t="n"/>
      <c r="CP2913" s="204" t="n"/>
      <c r="CQ2913" s="204" t="n"/>
      <c r="CR2913" s="204" t="n"/>
      <c r="CS2913" s="204" t="n"/>
      <c r="CT2913" s="204" t="n"/>
      <c r="CU2913" s="204" t="n"/>
      <c r="CV2913" s="204" t="n"/>
      <c r="CW2913" s="204" t="n"/>
    </row>
    <row r="2914">
      <c r="BF2914" s="78" t="n"/>
      <c r="BG2914" s="78" t="n"/>
      <c r="BH2914" s="78" t="n"/>
      <c r="BI2914" s="78" t="n"/>
      <c r="BJ2914" s="139" t="n"/>
      <c r="BK2914" s="204" t="n"/>
      <c r="BL2914" s="141" t="n"/>
      <c r="BM2914" s="205" t="n"/>
      <c r="BN2914" s="205" t="n"/>
      <c r="BO2914" s="206" t="n"/>
      <c r="BP2914" s="144" t="n"/>
      <c r="BQ2914" s="141" t="n"/>
      <c r="BR2914" s="207" t="n"/>
      <c r="BS2914" s="207" t="n"/>
      <c r="BT2914" s="207" t="n"/>
      <c r="BU2914" s="207" t="n"/>
      <c r="BV2914" s="208" t="n"/>
      <c r="BW2914" s="207" t="n"/>
      <c r="BX2914" s="207" t="n"/>
      <c r="BY2914" s="204" t="n"/>
      <c r="BZ2914" s="148" t="n"/>
      <c r="CA2914" s="204" t="n"/>
      <c r="CB2914" s="208" t="n"/>
      <c r="CC2914" s="139" t="n"/>
      <c r="CD2914" s="204" t="n"/>
      <c r="CE2914" s="204" t="n"/>
      <c r="CF2914" s="207" t="n"/>
      <c r="CG2914" s="208" t="n"/>
      <c r="CH2914" s="207" t="n"/>
      <c r="CI2914" s="208" t="n"/>
      <c r="CJ2914" s="204" t="n"/>
      <c r="CK2914" s="208" t="n"/>
      <c r="CL2914" s="208" t="n"/>
      <c r="CM2914" s="208" t="n"/>
      <c r="CN2914" s="78" t="n"/>
      <c r="CO2914" s="209" t="n"/>
      <c r="CP2914" s="204" t="n"/>
      <c r="CQ2914" s="204" t="n"/>
      <c r="CR2914" s="204" t="n"/>
      <c r="CS2914" s="204" t="n"/>
      <c r="CT2914" s="204" t="n"/>
      <c r="CU2914" s="204" t="n"/>
      <c r="CV2914" s="204" t="n"/>
      <c r="CW2914" s="204" t="n"/>
    </row>
    <row r="2915">
      <c r="BF2915" s="78" t="n"/>
      <c r="BG2915" s="78" t="n"/>
      <c r="BH2915" s="78" t="n"/>
      <c r="BI2915" s="78" t="n"/>
      <c r="BJ2915" s="139" t="n"/>
      <c r="BK2915" s="204" t="n"/>
      <c r="BL2915" s="141" t="n"/>
      <c r="BM2915" s="205" t="n"/>
      <c r="BN2915" s="205" t="n"/>
      <c r="BO2915" s="206" t="n"/>
      <c r="BP2915" s="144" t="n"/>
      <c r="BQ2915" s="141" t="n"/>
      <c r="BR2915" s="207" t="n"/>
      <c r="BS2915" s="207" t="n"/>
      <c r="BT2915" s="207" t="n"/>
      <c r="BU2915" s="207" t="n"/>
      <c r="BV2915" s="208" t="n"/>
      <c r="BW2915" s="207" t="n"/>
      <c r="BX2915" s="207" t="n"/>
      <c r="BY2915" s="204" t="n"/>
      <c r="BZ2915" s="148" t="n"/>
      <c r="CA2915" s="204" t="n"/>
      <c r="CB2915" s="208" t="n"/>
      <c r="CC2915" s="139" t="n"/>
      <c r="CD2915" s="204" t="n"/>
      <c r="CE2915" s="204" t="n"/>
      <c r="CF2915" s="207" t="n"/>
      <c r="CG2915" s="208" t="n"/>
      <c r="CH2915" s="207" t="n"/>
      <c r="CI2915" s="208" t="n"/>
      <c r="CJ2915" s="204" t="n"/>
      <c r="CK2915" s="208" t="n"/>
      <c r="CL2915" s="208" t="n"/>
      <c r="CM2915" s="208" t="n"/>
      <c r="CN2915" s="78" t="n"/>
      <c r="CO2915" s="209" t="n"/>
      <c r="CP2915" s="204" t="n"/>
      <c r="CQ2915" s="204" t="n"/>
      <c r="CR2915" s="204" t="n"/>
      <c r="CS2915" s="204" t="n"/>
      <c r="CT2915" s="204" t="n"/>
      <c r="CU2915" s="204" t="n"/>
      <c r="CV2915" s="204" t="n"/>
      <c r="CW2915" s="204" t="n"/>
    </row>
    <row r="2916">
      <c r="BF2916" s="78" t="n"/>
      <c r="BG2916" s="78" t="n"/>
      <c r="BH2916" s="78" t="n"/>
      <c r="BI2916" s="78" t="n"/>
      <c r="BJ2916" s="139" t="n"/>
      <c r="BK2916" s="204" t="n"/>
      <c r="BL2916" s="141" t="n"/>
      <c r="BM2916" s="205" t="n"/>
      <c r="BN2916" s="205" t="n"/>
      <c r="BO2916" s="206" t="n"/>
      <c r="BP2916" s="144" t="n"/>
      <c r="BQ2916" s="141" t="n"/>
      <c r="BR2916" s="207" t="n"/>
      <c r="BS2916" s="207" t="n"/>
      <c r="BT2916" s="207" t="n"/>
      <c r="BU2916" s="207" t="n"/>
      <c r="BV2916" s="208" t="n"/>
      <c r="BW2916" s="207" t="n"/>
      <c r="BX2916" s="207" t="n"/>
      <c r="BY2916" s="204" t="n"/>
      <c r="BZ2916" s="148" t="n"/>
      <c r="CA2916" s="204" t="n"/>
      <c r="CB2916" s="208" t="n"/>
      <c r="CC2916" s="139" t="n"/>
      <c r="CD2916" s="204" t="n"/>
      <c r="CE2916" s="204" t="n"/>
      <c r="CF2916" s="207" t="n"/>
      <c r="CG2916" s="208" t="n"/>
      <c r="CH2916" s="207" t="n"/>
      <c r="CI2916" s="208" t="n"/>
      <c r="CJ2916" s="204" t="n"/>
      <c r="CK2916" s="208" t="n"/>
      <c r="CL2916" s="208" t="n"/>
      <c r="CM2916" s="208" t="n"/>
      <c r="CN2916" s="78" t="n"/>
      <c r="CO2916" s="209" t="n"/>
      <c r="CP2916" s="204" t="n"/>
      <c r="CQ2916" s="204" t="n"/>
      <c r="CR2916" s="204" t="n"/>
      <c r="CS2916" s="204" t="n"/>
      <c r="CT2916" s="204" t="n"/>
      <c r="CU2916" s="204" t="n"/>
      <c r="CV2916" s="204" t="n"/>
      <c r="CW2916" s="204" t="n"/>
    </row>
    <row r="2917">
      <c r="BF2917" s="78" t="n"/>
      <c r="BG2917" s="78" t="n"/>
      <c r="BH2917" s="78" t="n"/>
      <c r="BI2917" s="78" t="n"/>
      <c r="BJ2917" s="139" t="n"/>
      <c r="BK2917" s="204" t="n"/>
      <c r="BL2917" s="141" t="n"/>
      <c r="BM2917" s="205" t="n"/>
      <c r="BN2917" s="205" t="n"/>
      <c r="BO2917" s="206" t="n"/>
      <c r="BP2917" s="144" t="n"/>
      <c r="BQ2917" s="141" t="n"/>
      <c r="BR2917" s="207" t="n"/>
      <c r="BS2917" s="207" t="n"/>
      <c r="BT2917" s="207" t="n"/>
      <c r="BU2917" s="207" t="n"/>
      <c r="BV2917" s="208" t="n"/>
      <c r="BW2917" s="207" t="n"/>
      <c r="BX2917" s="207" t="n"/>
      <c r="BY2917" s="204" t="n"/>
      <c r="BZ2917" s="148" t="n"/>
      <c r="CA2917" s="204" t="n"/>
      <c r="CB2917" s="208" t="n"/>
      <c r="CC2917" s="139" t="n"/>
      <c r="CD2917" s="204" t="n"/>
      <c r="CE2917" s="204" t="n"/>
      <c r="CF2917" s="207" t="n"/>
      <c r="CG2917" s="208" t="n"/>
      <c r="CH2917" s="207" t="n"/>
      <c r="CI2917" s="208" t="n"/>
      <c r="CJ2917" s="204" t="n"/>
      <c r="CK2917" s="208" t="n"/>
      <c r="CL2917" s="208" t="n"/>
      <c r="CM2917" s="208" t="n"/>
      <c r="CN2917" s="78" t="n"/>
      <c r="CO2917" s="209" t="n"/>
      <c r="CP2917" s="204" t="n"/>
      <c r="CQ2917" s="204" t="n"/>
      <c r="CR2917" s="204" t="n"/>
      <c r="CS2917" s="204" t="n"/>
      <c r="CT2917" s="204" t="n"/>
      <c r="CU2917" s="204" t="n"/>
      <c r="CV2917" s="204" t="n"/>
      <c r="CW2917" s="204" t="n"/>
    </row>
    <row r="2918">
      <c r="BF2918" s="78" t="n"/>
      <c r="BG2918" s="78" t="n"/>
      <c r="BH2918" s="78" t="n"/>
      <c r="BI2918" s="78" t="n"/>
      <c r="BJ2918" s="139" t="n"/>
      <c r="BK2918" s="204" t="n"/>
      <c r="BL2918" s="141" t="n"/>
      <c r="BM2918" s="205" t="n"/>
      <c r="BN2918" s="205" t="n"/>
      <c r="BO2918" s="206" t="n"/>
      <c r="BP2918" s="144" t="n"/>
      <c r="BQ2918" s="141" t="n"/>
      <c r="BR2918" s="207" t="n"/>
      <c r="BS2918" s="207" t="n"/>
      <c r="BT2918" s="207" t="n"/>
      <c r="BU2918" s="207" t="n"/>
      <c r="BV2918" s="208" t="n"/>
      <c r="BW2918" s="207" t="n"/>
      <c r="BX2918" s="207" t="n"/>
      <c r="BY2918" s="204" t="n"/>
      <c r="BZ2918" s="148" t="n"/>
      <c r="CA2918" s="204" t="n"/>
      <c r="CB2918" s="208" t="n"/>
      <c r="CC2918" s="139" t="n"/>
      <c r="CD2918" s="204" t="n"/>
      <c r="CE2918" s="204" t="n"/>
      <c r="CF2918" s="207" t="n"/>
      <c r="CG2918" s="208" t="n"/>
      <c r="CH2918" s="207" t="n"/>
      <c r="CI2918" s="208" t="n"/>
      <c r="CJ2918" s="204" t="n"/>
      <c r="CK2918" s="208" t="n"/>
      <c r="CL2918" s="208" t="n"/>
      <c r="CM2918" s="208" t="n"/>
      <c r="CN2918" s="78" t="n"/>
      <c r="CO2918" s="209" t="n"/>
      <c r="CP2918" s="204" t="n"/>
      <c r="CQ2918" s="204" t="n"/>
      <c r="CR2918" s="204" t="n"/>
      <c r="CS2918" s="204" t="n"/>
      <c r="CT2918" s="204" t="n"/>
      <c r="CU2918" s="204" t="n"/>
      <c r="CV2918" s="204" t="n"/>
      <c r="CW2918" s="204" t="n"/>
    </row>
    <row r="2919">
      <c r="BF2919" s="78" t="n"/>
      <c r="BG2919" s="78" t="n"/>
      <c r="BH2919" s="78" t="n"/>
      <c r="BI2919" s="78" t="n"/>
      <c r="BJ2919" s="139" t="n"/>
      <c r="BK2919" s="204" t="n"/>
      <c r="BL2919" s="141" t="n"/>
      <c r="BM2919" s="205" t="n"/>
      <c r="BN2919" s="205" t="n"/>
      <c r="BO2919" s="206" t="n"/>
      <c r="BP2919" s="144" t="n"/>
      <c r="BQ2919" s="141" t="n"/>
      <c r="BR2919" s="207" t="n"/>
      <c r="BS2919" s="207" t="n"/>
      <c r="BT2919" s="207" t="n"/>
      <c r="BU2919" s="207" t="n"/>
      <c r="BV2919" s="208" t="n"/>
      <c r="BW2919" s="207" t="n"/>
      <c r="BX2919" s="207" t="n"/>
      <c r="BY2919" s="204" t="n"/>
      <c r="BZ2919" s="148" t="n"/>
      <c r="CA2919" s="204" t="n"/>
      <c r="CB2919" s="208" t="n"/>
      <c r="CC2919" s="139" t="n"/>
      <c r="CD2919" s="204" t="n"/>
      <c r="CE2919" s="204" t="n"/>
      <c r="CF2919" s="207" t="n"/>
      <c r="CG2919" s="208" t="n"/>
      <c r="CH2919" s="207" t="n"/>
      <c r="CI2919" s="208" t="n"/>
      <c r="CJ2919" s="204" t="n"/>
      <c r="CK2919" s="208" t="n"/>
      <c r="CL2919" s="208" t="n"/>
      <c r="CM2919" s="208" t="n"/>
      <c r="CN2919" s="78" t="n"/>
      <c r="CO2919" s="209" t="n"/>
      <c r="CP2919" s="204" t="n"/>
      <c r="CQ2919" s="204" t="n"/>
      <c r="CR2919" s="204" t="n"/>
      <c r="CS2919" s="204" t="n"/>
      <c r="CT2919" s="204" t="n"/>
      <c r="CU2919" s="204" t="n"/>
      <c r="CV2919" s="204" t="n"/>
      <c r="CW2919" s="204" t="n"/>
    </row>
    <row r="2920">
      <c r="BF2920" s="78" t="n"/>
      <c r="BG2920" s="78" t="n"/>
      <c r="BH2920" s="78" t="n"/>
      <c r="BI2920" s="78" t="n"/>
      <c r="BJ2920" s="139" t="n"/>
      <c r="BK2920" s="204" t="n"/>
      <c r="BL2920" s="141" t="n"/>
      <c r="BM2920" s="205" t="n"/>
      <c r="BN2920" s="205" t="n"/>
      <c r="BO2920" s="206" t="n"/>
      <c r="BP2920" s="144" t="n"/>
      <c r="BQ2920" s="141" t="n"/>
      <c r="BR2920" s="207" t="n"/>
      <c r="BS2920" s="207" t="n"/>
      <c r="BT2920" s="207" t="n"/>
      <c r="BU2920" s="207" t="n"/>
      <c r="BV2920" s="208" t="n"/>
      <c r="BW2920" s="207" t="n"/>
      <c r="BX2920" s="207" t="n"/>
      <c r="BY2920" s="204" t="n"/>
      <c r="BZ2920" s="148" t="n"/>
      <c r="CA2920" s="204" t="n"/>
      <c r="CB2920" s="208" t="n"/>
      <c r="CC2920" s="139" t="n"/>
      <c r="CD2920" s="204" t="n"/>
      <c r="CE2920" s="204" t="n"/>
      <c r="CF2920" s="207" t="n"/>
      <c r="CG2920" s="208" t="n"/>
      <c r="CH2920" s="207" t="n"/>
      <c r="CI2920" s="208" t="n"/>
      <c r="CJ2920" s="204" t="n"/>
      <c r="CK2920" s="208" t="n"/>
      <c r="CL2920" s="208" t="n"/>
      <c r="CM2920" s="208" t="n"/>
      <c r="CN2920" s="78" t="n"/>
      <c r="CO2920" s="209" t="n"/>
      <c r="CP2920" s="204" t="n"/>
      <c r="CQ2920" s="204" t="n"/>
      <c r="CR2920" s="204" t="n"/>
      <c r="CS2920" s="204" t="n"/>
      <c r="CT2920" s="204" t="n"/>
      <c r="CU2920" s="204" t="n"/>
      <c r="CV2920" s="204" t="n"/>
      <c r="CW2920" s="204" t="n"/>
    </row>
    <row r="2921">
      <c r="BF2921" s="78" t="n"/>
      <c r="BG2921" s="78" t="n"/>
      <c r="BH2921" s="78" t="n"/>
      <c r="BI2921" s="78" t="n"/>
      <c r="BJ2921" s="139" t="n"/>
      <c r="BK2921" s="204" t="n"/>
      <c r="BL2921" s="141" t="n"/>
      <c r="BM2921" s="205" t="n"/>
      <c r="BN2921" s="205" t="n"/>
      <c r="BO2921" s="206" t="n"/>
      <c r="BP2921" s="144" t="n"/>
      <c r="BQ2921" s="141" t="n"/>
      <c r="BR2921" s="207" t="n"/>
      <c r="BS2921" s="207" t="n"/>
      <c r="BT2921" s="207" t="n"/>
      <c r="BU2921" s="207" t="n"/>
      <c r="BV2921" s="208" t="n"/>
      <c r="BW2921" s="207" t="n"/>
      <c r="BX2921" s="207" t="n"/>
      <c r="BY2921" s="204" t="n"/>
      <c r="BZ2921" s="148" t="n"/>
      <c r="CA2921" s="204" t="n"/>
      <c r="CB2921" s="208" t="n"/>
      <c r="CC2921" s="139" t="n"/>
      <c r="CD2921" s="204" t="n"/>
      <c r="CE2921" s="204" t="n"/>
      <c r="CF2921" s="207" t="n"/>
      <c r="CG2921" s="208" t="n"/>
      <c r="CH2921" s="207" t="n"/>
      <c r="CI2921" s="208" t="n"/>
      <c r="CJ2921" s="204" t="n"/>
      <c r="CK2921" s="208" t="n"/>
      <c r="CL2921" s="208" t="n"/>
      <c r="CM2921" s="208" t="n"/>
      <c r="CN2921" s="78" t="n"/>
      <c r="CO2921" s="209" t="n"/>
      <c r="CP2921" s="204" t="n"/>
      <c r="CQ2921" s="204" t="n"/>
      <c r="CR2921" s="204" t="n"/>
      <c r="CS2921" s="204" t="n"/>
      <c r="CT2921" s="204" t="n"/>
      <c r="CU2921" s="204" t="n"/>
      <c r="CV2921" s="204" t="n"/>
      <c r="CW2921" s="204" t="n"/>
    </row>
    <row r="2922">
      <c r="BF2922" s="78" t="n"/>
      <c r="BG2922" s="78" t="n"/>
      <c r="BH2922" s="78" t="n"/>
      <c r="BI2922" s="78" t="n"/>
      <c r="BJ2922" s="139" t="n"/>
      <c r="BK2922" s="204" t="n"/>
      <c r="BL2922" s="141" t="n"/>
      <c r="BM2922" s="205" t="n"/>
      <c r="BN2922" s="205" t="n"/>
      <c r="BO2922" s="206" t="n"/>
      <c r="BP2922" s="144" t="n"/>
      <c r="BQ2922" s="141" t="n"/>
      <c r="BR2922" s="207" t="n"/>
      <c r="BS2922" s="207" t="n"/>
      <c r="BT2922" s="207" t="n"/>
      <c r="BU2922" s="207" t="n"/>
      <c r="BV2922" s="208" t="n"/>
      <c r="BW2922" s="207" t="n"/>
      <c r="BX2922" s="207" t="n"/>
      <c r="BY2922" s="204" t="n"/>
      <c r="BZ2922" s="148" t="n"/>
      <c r="CA2922" s="204" t="n"/>
      <c r="CB2922" s="208" t="n"/>
      <c r="CC2922" s="139" t="n"/>
      <c r="CD2922" s="204" t="n"/>
      <c r="CE2922" s="204" t="n"/>
      <c r="CF2922" s="207" t="n"/>
      <c r="CG2922" s="208" t="n"/>
      <c r="CH2922" s="207" t="n"/>
      <c r="CI2922" s="208" t="n"/>
      <c r="CJ2922" s="204" t="n"/>
      <c r="CK2922" s="208" t="n"/>
      <c r="CL2922" s="208" t="n"/>
      <c r="CM2922" s="208" t="n"/>
      <c r="CN2922" s="78" t="n"/>
      <c r="CO2922" s="209" t="n"/>
      <c r="CP2922" s="204" t="n"/>
      <c r="CQ2922" s="204" t="n"/>
      <c r="CR2922" s="204" t="n"/>
      <c r="CS2922" s="204" t="n"/>
      <c r="CT2922" s="204" t="n"/>
      <c r="CU2922" s="204" t="n"/>
      <c r="CV2922" s="204" t="n"/>
      <c r="CW2922" s="204" t="n"/>
    </row>
    <row r="2923">
      <c r="BF2923" s="78" t="n"/>
      <c r="BG2923" s="78" t="n"/>
      <c r="BH2923" s="78" t="n"/>
      <c r="BI2923" s="78" t="n"/>
      <c r="BJ2923" s="139" t="n"/>
      <c r="BK2923" s="204" t="n"/>
      <c r="BL2923" s="141" t="n"/>
      <c r="BM2923" s="205" t="n"/>
      <c r="BN2923" s="205" t="n"/>
      <c r="BO2923" s="206" t="n"/>
      <c r="BP2923" s="144" t="n"/>
      <c r="BQ2923" s="141" t="n"/>
      <c r="BR2923" s="207" t="n"/>
      <c r="BS2923" s="207" t="n"/>
      <c r="BT2923" s="207" t="n"/>
      <c r="BU2923" s="207" t="n"/>
      <c r="BV2923" s="208" t="n"/>
      <c r="BW2923" s="207" t="n"/>
      <c r="BX2923" s="207" t="n"/>
      <c r="BY2923" s="204" t="n"/>
      <c r="BZ2923" s="148" t="n"/>
      <c r="CA2923" s="204" t="n"/>
      <c r="CB2923" s="208" t="n"/>
      <c r="CC2923" s="139" t="n"/>
      <c r="CD2923" s="204" t="n"/>
      <c r="CE2923" s="204" t="n"/>
      <c r="CF2923" s="207" t="n"/>
      <c r="CG2923" s="208" t="n"/>
      <c r="CH2923" s="207" t="n"/>
      <c r="CI2923" s="208" t="n"/>
      <c r="CJ2923" s="204" t="n"/>
      <c r="CK2923" s="208" t="n"/>
      <c r="CL2923" s="208" t="n"/>
      <c r="CM2923" s="208" t="n"/>
      <c r="CN2923" s="78" t="n"/>
      <c r="CO2923" s="209" t="n"/>
      <c r="CP2923" s="204" t="n"/>
      <c r="CQ2923" s="204" t="n"/>
      <c r="CR2923" s="204" t="n"/>
      <c r="CS2923" s="204" t="n"/>
      <c r="CT2923" s="204" t="n"/>
      <c r="CU2923" s="204" t="n"/>
      <c r="CV2923" s="204" t="n"/>
      <c r="CW2923" s="204" t="n"/>
    </row>
    <row r="2924">
      <c r="BF2924" s="78" t="n"/>
      <c r="BG2924" s="78" t="n"/>
      <c r="BH2924" s="78" t="n"/>
      <c r="BI2924" s="78" t="n"/>
      <c r="BJ2924" s="139" t="n"/>
      <c r="BK2924" s="204" t="n"/>
      <c r="BL2924" s="141" t="n"/>
      <c r="BM2924" s="205" t="n"/>
      <c r="BN2924" s="205" t="n"/>
      <c r="BO2924" s="206" t="n"/>
      <c r="BP2924" s="144" t="n"/>
      <c r="BQ2924" s="141" t="n"/>
      <c r="BR2924" s="207" t="n"/>
      <c r="BS2924" s="207" t="n"/>
      <c r="BT2924" s="207" t="n"/>
      <c r="BU2924" s="207" t="n"/>
      <c r="BV2924" s="208" t="n"/>
      <c r="BW2924" s="207" t="n"/>
      <c r="BX2924" s="207" t="n"/>
      <c r="BY2924" s="204" t="n"/>
      <c r="BZ2924" s="148" t="n"/>
      <c r="CA2924" s="204" t="n"/>
      <c r="CB2924" s="208" t="n"/>
      <c r="CC2924" s="139" t="n"/>
      <c r="CD2924" s="204" t="n"/>
      <c r="CE2924" s="204" t="n"/>
      <c r="CF2924" s="207" t="n"/>
      <c r="CG2924" s="208" t="n"/>
      <c r="CH2924" s="207" t="n"/>
      <c r="CI2924" s="208" t="n"/>
      <c r="CJ2924" s="204" t="n"/>
      <c r="CK2924" s="208" t="n"/>
      <c r="CL2924" s="208" t="n"/>
      <c r="CM2924" s="208" t="n"/>
      <c r="CN2924" s="78" t="n"/>
      <c r="CO2924" s="209" t="n"/>
      <c r="CP2924" s="204" t="n"/>
      <c r="CQ2924" s="204" t="n"/>
      <c r="CR2924" s="204" t="n"/>
      <c r="CS2924" s="204" t="n"/>
      <c r="CT2924" s="204" t="n"/>
      <c r="CU2924" s="204" t="n"/>
      <c r="CV2924" s="204" t="n"/>
      <c r="CW2924" s="204" t="n"/>
    </row>
    <row r="2925">
      <c r="BF2925" s="78" t="n"/>
      <c r="BG2925" s="78" t="n"/>
      <c r="BH2925" s="78" t="n"/>
      <c r="BI2925" s="78" t="n"/>
      <c r="BJ2925" s="139" t="n"/>
      <c r="BK2925" s="204" t="n"/>
      <c r="BL2925" s="141" t="n"/>
      <c r="BM2925" s="205" t="n"/>
      <c r="BN2925" s="205" t="n"/>
      <c r="BO2925" s="206" t="n"/>
      <c r="BP2925" s="144" t="n"/>
      <c r="BQ2925" s="141" t="n"/>
      <c r="BR2925" s="207" t="n"/>
      <c r="BS2925" s="207" t="n"/>
      <c r="BT2925" s="207" t="n"/>
      <c r="BU2925" s="207" t="n"/>
      <c r="BV2925" s="208" t="n"/>
      <c r="BW2925" s="207" t="n"/>
      <c r="BX2925" s="207" t="n"/>
      <c r="BY2925" s="204" t="n"/>
      <c r="BZ2925" s="148" t="n"/>
      <c r="CA2925" s="204" t="n"/>
      <c r="CB2925" s="208" t="n"/>
      <c r="CC2925" s="139" t="n"/>
      <c r="CD2925" s="204" t="n"/>
      <c r="CE2925" s="204" t="n"/>
      <c r="CF2925" s="207" t="n"/>
      <c r="CG2925" s="208" t="n"/>
      <c r="CH2925" s="207" t="n"/>
      <c r="CI2925" s="208" t="n"/>
      <c r="CJ2925" s="204" t="n"/>
      <c r="CK2925" s="208" t="n"/>
      <c r="CL2925" s="208" t="n"/>
      <c r="CM2925" s="208" t="n"/>
      <c r="CN2925" s="78" t="n"/>
      <c r="CO2925" s="209" t="n"/>
      <c r="CP2925" s="204" t="n"/>
      <c r="CQ2925" s="204" t="n"/>
      <c r="CR2925" s="204" t="n"/>
      <c r="CS2925" s="204" t="n"/>
      <c r="CT2925" s="204" t="n"/>
      <c r="CU2925" s="204" t="n"/>
      <c r="CV2925" s="204" t="n"/>
      <c r="CW2925" s="204" t="n"/>
    </row>
    <row r="2926">
      <c r="BF2926" s="78" t="n"/>
      <c r="BG2926" s="78" t="n"/>
      <c r="BH2926" s="78" t="n"/>
      <c r="BI2926" s="78" t="n"/>
      <c r="BJ2926" s="139" t="n"/>
      <c r="BK2926" s="204" t="n"/>
      <c r="BL2926" s="141" t="n"/>
      <c r="BM2926" s="205" t="n"/>
      <c r="BN2926" s="205" t="n"/>
      <c r="BO2926" s="206" t="n"/>
      <c r="BP2926" s="144" t="n"/>
      <c r="BQ2926" s="141" t="n"/>
      <c r="BR2926" s="207" t="n"/>
      <c r="BS2926" s="207" t="n"/>
      <c r="BT2926" s="207" t="n"/>
      <c r="BU2926" s="207" t="n"/>
      <c r="BV2926" s="208" t="n"/>
      <c r="BW2926" s="207" t="n"/>
      <c r="BX2926" s="207" t="n"/>
      <c r="BY2926" s="204" t="n"/>
      <c r="BZ2926" s="148" t="n"/>
      <c r="CA2926" s="204" t="n"/>
      <c r="CB2926" s="208" t="n"/>
      <c r="CC2926" s="139" t="n"/>
      <c r="CD2926" s="204" t="n"/>
      <c r="CE2926" s="204" t="n"/>
      <c r="CF2926" s="207" t="n"/>
      <c r="CG2926" s="208" t="n"/>
      <c r="CH2926" s="207" t="n"/>
      <c r="CI2926" s="208" t="n"/>
      <c r="CJ2926" s="204" t="n"/>
      <c r="CK2926" s="208" t="n"/>
      <c r="CL2926" s="208" t="n"/>
      <c r="CM2926" s="208" t="n"/>
      <c r="CN2926" s="78" t="n"/>
      <c r="CO2926" s="209" t="n"/>
      <c r="CP2926" s="204" t="n"/>
      <c r="CQ2926" s="204" t="n"/>
      <c r="CR2926" s="204" t="n"/>
      <c r="CS2926" s="204" t="n"/>
      <c r="CT2926" s="204" t="n"/>
      <c r="CU2926" s="204" t="n"/>
      <c r="CV2926" s="204" t="n"/>
      <c r="CW2926" s="204" t="n"/>
    </row>
    <row r="2927">
      <c r="BF2927" s="78" t="n"/>
      <c r="BG2927" s="78" t="n"/>
      <c r="BH2927" s="78" t="n"/>
      <c r="BI2927" s="78" t="n"/>
      <c r="BJ2927" s="139" t="n"/>
      <c r="BK2927" s="204" t="n"/>
      <c r="BL2927" s="141" t="n"/>
      <c r="BM2927" s="205" t="n"/>
      <c r="BN2927" s="205" t="n"/>
      <c r="BO2927" s="206" t="n"/>
      <c r="BP2927" s="144" t="n"/>
      <c r="BQ2927" s="141" t="n"/>
      <c r="BR2927" s="207" t="n"/>
      <c r="BS2927" s="207" t="n"/>
      <c r="BT2927" s="207" t="n"/>
      <c r="BU2927" s="207" t="n"/>
      <c r="BV2927" s="208" t="n"/>
      <c r="BW2927" s="207" t="n"/>
      <c r="BX2927" s="207" t="n"/>
      <c r="BY2927" s="204" t="n"/>
      <c r="BZ2927" s="148" t="n"/>
      <c r="CA2927" s="204" t="n"/>
      <c r="CB2927" s="208" t="n"/>
      <c r="CC2927" s="139" t="n"/>
      <c r="CD2927" s="204" t="n"/>
      <c r="CE2927" s="204" t="n"/>
      <c r="CF2927" s="207" t="n"/>
      <c r="CG2927" s="208" t="n"/>
      <c r="CH2927" s="207" t="n"/>
      <c r="CI2927" s="208" t="n"/>
      <c r="CJ2927" s="204" t="n"/>
      <c r="CK2927" s="208" t="n"/>
      <c r="CL2927" s="208" t="n"/>
      <c r="CM2927" s="208" t="n"/>
      <c r="CN2927" s="78" t="n"/>
      <c r="CO2927" s="209" t="n"/>
      <c r="CP2927" s="204" t="n"/>
      <c r="CQ2927" s="204" t="n"/>
      <c r="CR2927" s="204" t="n"/>
      <c r="CS2927" s="204" t="n"/>
      <c r="CT2927" s="204" t="n"/>
      <c r="CU2927" s="204" t="n"/>
      <c r="CV2927" s="204" t="n"/>
      <c r="CW2927" s="204" t="n"/>
    </row>
    <row r="2928">
      <c r="BF2928" s="78" t="n"/>
      <c r="BG2928" s="78" t="n"/>
      <c r="BH2928" s="78" t="n"/>
      <c r="BI2928" s="78" t="n"/>
      <c r="BJ2928" s="139" t="n"/>
      <c r="BK2928" s="204" t="n"/>
      <c r="BL2928" s="141" t="n"/>
      <c r="BM2928" s="205" t="n"/>
      <c r="BN2928" s="205" t="n"/>
      <c r="BO2928" s="206" t="n"/>
      <c r="BP2928" s="144" t="n"/>
      <c r="BQ2928" s="141" t="n"/>
      <c r="BR2928" s="207" t="n"/>
      <c r="BS2928" s="207" t="n"/>
      <c r="BT2928" s="207" t="n"/>
      <c r="BU2928" s="207" t="n"/>
      <c r="BV2928" s="208" t="n"/>
      <c r="BW2928" s="207" t="n"/>
      <c r="BX2928" s="207" t="n"/>
      <c r="BY2928" s="204" t="n"/>
      <c r="BZ2928" s="148" t="n"/>
      <c r="CA2928" s="204" t="n"/>
      <c r="CB2928" s="208" t="n"/>
      <c r="CC2928" s="139" t="n"/>
      <c r="CD2928" s="204" t="n"/>
      <c r="CE2928" s="204" t="n"/>
      <c r="CF2928" s="207" t="n"/>
      <c r="CG2928" s="208" t="n"/>
      <c r="CH2928" s="207" t="n"/>
      <c r="CI2928" s="208" t="n"/>
      <c r="CJ2928" s="204" t="n"/>
      <c r="CK2928" s="208" t="n"/>
      <c r="CL2928" s="208" t="n"/>
      <c r="CM2928" s="208" t="n"/>
      <c r="CN2928" s="78" t="n"/>
      <c r="CO2928" s="209" t="n"/>
      <c r="CP2928" s="204" t="n"/>
      <c r="CQ2928" s="204" t="n"/>
      <c r="CR2928" s="204" t="n"/>
      <c r="CS2928" s="204" t="n"/>
      <c r="CT2928" s="204" t="n"/>
      <c r="CU2928" s="204" t="n"/>
      <c r="CV2928" s="204" t="n"/>
      <c r="CW2928" s="204" t="n"/>
    </row>
    <row r="2929">
      <c r="BF2929" s="78" t="n"/>
      <c r="BG2929" s="78" t="n"/>
      <c r="BH2929" s="78" t="n"/>
      <c r="BI2929" s="78" t="n"/>
      <c r="BJ2929" s="139" t="n"/>
      <c r="BK2929" s="204" t="n"/>
      <c r="BL2929" s="141" t="n"/>
      <c r="BM2929" s="205" t="n"/>
      <c r="BN2929" s="205" t="n"/>
      <c r="BO2929" s="206" t="n"/>
      <c r="BP2929" s="144" t="n"/>
      <c r="BQ2929" s="141" t="n"/>
      <c r="BR2929" s="207" t="n"/>
      <c r="BS2929" s="207" t="n"/>
      <c r="BT2929" s="207" t="n"/>
      <c r="BU2929" s="207" t="n"/>
      <c r="BV2929" s="208" t="n"/>
      <c r="BW2929" s="207" t="n"/>
      <c r="BX2929" s="207" t="n"/>
      <c r="BY2929" s="204" t="n"/>
      <c r="BZ2929" s="148" t="n"/>
      <c r="CA2929" s="204" t="n"/>
      <c r="CB2929" s="208" t="n"/>
      <c r="CC2929" s="139" t="n"/>
      <c r="CD2929" s="204" t="n"/>
      <c r="CE2929" s="204" t="n"/>
      <c r="CF2929" s="207" t="n"/>
      <c r="CG2929" s="208" t="n"/>
      <c r="CH2929" s="207" t="n"/>
      <c r="CI2929" s="208" t="n"/>
      <c r="CJ2929" s="204" t="n"/>
      <c r="CK2929" s="208" t="n"/>
      <c r="CL2929" s="208" t="n"/>
      <c r="CM2929" s="208" t="n"/>
      <c r="CN2929" s="78" t="n"/>
      <c r="CO2929" s="209" t="n"/>
      <c r="CP2929" s="204" t="n"/>
      <c r="CQ2929" s="204" t="n"/>
      <c r="CR2929" s="204" t="n"/>
      <c r="CS2929" s="204" t="n"/>
      <c r="CT2929" s="204" t="n"/>
      <c r="CU2929" s="204" t="n"/>
      <c r="CV2929" s="204" t="n"/>
      <c r="CW2929" s="204" t="n"/>
    </row>
    <row r="2930">
      <c r="BF2930" s="78" t="n"/>
      <c r="BG2930" s="78" t="n"/>
      <c r="BH2930" s="78" t="n"/>
      <c r="BI2930" s="78" t="n"/>
      <c r="BJ2930" s="139" t="n"/>
      <c r="BK2930" s="204" t="n"/>
      <c r="BL2930" s="141" t="n"/>
      <c r="BM2930" s="205" t="n"/>
      <c r="BN2930" s="205" t="n"/>
      <c r="BO2930" s="206" t="n"/>
      <c r="BP2930" s="144" t="n"/>
      <c r="BQ2930" s="141" t="n"/>
      <c r="BR2930" s="207" t="n"/>
      <c r="BS2930" s="207" t="n"/>
      <c r="BT2930" s="207" t="n"/>
      <c r="BU2930" s="207" t="n"/>
      <c r="BV2930" s="208" t="n"/>
      <c r="BW2930" s="207" t="n"/>
      <c r="BX2930" s="207" t="n"/>
      <c r="BY2930" s="204" t="n"/>
      <c r="BZ2930" s="148" t="n"/>
      <c r="CA2930" s="204" t="n"/>
      <c r="CB2930" s="208" t="n"/>
      <c r="CC2930" s="139" t="n"/>
      <c r="CD2930" s="204" t="n"/>
      <c r="CE2930" s="204" t="n"/>
      <c r="CF2930" s="207" t="n"/>
      <c r="CG2930" s="208" t="n"/>
      <c r="CH2930" s="207" t="n"/>
      <c r="CI2930" s="208" t="n"/>
      <c r="CJ2930" s="204" t="n"/>
      <c r="CK2930" s="208" t="n"/>
      <c r="CL2930" s="208" t="n"/>
      <c r="CM2930" s="208" t="n"/>
      <c r="CN2930" s="78" t="n"/>
      <c r="CO2930" s="209" t="n"/>
      <c r="CP2930" s="204" t="n"/>
      <c r="CQ2930" s="204" t="n"/>
      <c r="CR2930" s="204" t="n"/>
      <c r="CS2930" s="204" t="n"/>
      <c r="CT2930" s="204" t="n"/>
      <c r="CU2930" s="204" t="n"/>
      <c r="CV2930" s="204" t="n"/>
      <c r="CW2930" s="204" t="n"/>
    </row>
    <row r="2931">
      <c r="BF2931" s="78" t="n"/>
      <c r="BG2931" s="78" t="n"/>
      <c r="BH2931" s="78" t="n"/>
      <c r="BI2931" s="78" t="n"/>
      <c r="BJ2931" s="139" t="n"/>
      <c r="BK2931" s="204" t="n"/>
      <c r="BL2931" s="141" t="n"/>
      <c r="BM2931" s="205" t="n"/>
      <c r="BN2931" s="205" t="n"/>
      <c r="BO2931" s="206" t="n"/>
      <c r="BP2931" s="144" t="n"/>
      <c r="BQ2931" s="141" t="n"/>
      <c r="BR2931" s="207" t="n"/>
      <c r="BS2931" s="207" t="n"/>
      <c r="BT2931" s="207" t="n"/>
      <c r="BU2931" s="207" t="n"/>
      <c r="BV2931" s="208" t="n"/>
      <c r="BW2931" s="207" t="n"/>
      <c r="BX2931" s="207" t="n"/>
      <c r="BY2931" s="204" t="n"/>
      <c r="BZ2931" s="148" t="n"/>
      <c r="CA2931" s="204" t="n"/>
      <c r="CB2931" s="208" t="n"/>
      <c r="CC2931" s="139" t="n"/>
      <c r="CD2931" s="204" t="n"/>
      <c r="CE2931" s="204" t="n"/>
      <c r="CF2931" s="207" t="n"/>
      <c r="CG2931" s="208" t="n"/>
      <c r="CH2931" s="207" t="n"/>
      <c r="CI2931" s="208" t="n"/>
      <c r="CJ2931" s="204" t="n"/>
      <c r="CK2931" s="208" t="n"/>
      <c r="CL2931" s="208" t="n"/>
      <c r="CM2931" s="208" t="n"/>
      <c r="CN2931" s="78" t="n"/>
      <c r="CO2931" s="209" t="n"/>
      <c r="CP2931" s="204" t="n"/>
      <c r="CQ2931" s="204" t="n"/>
      <c r="CR2931" s="204" t="n"/>
      <c r="CS2931" s="204" t="n"/>
      <c r="CT2931" s="204" t="n"/>
      <c r="CU2931" s="204" t="n"/>
      <c r="CV2931" s="204" t="n"/>
      <c r="CW2931" s="204" t="n"/>
    </row>
    <row r="2932">
      <c r="BF2932" s="78" t="n"/>
      <c r="BG2932" s="78" t="n"/>
      <c r="BH2932" s="78" t="n"/>
      <c r="BI2932" s="78" t="n"/>
      <c r="BJ2932" s="139" t="n"/>
      <c r="BK2932" s="204" t="n"/>
      <c r="BL2932" s="141" t="n"/>
      <c r="BM2932" s="205" t="n"/>
      <c r="BN2932" s="205" t="n"/>
      <c r="BO2932" s="206" t="n"/>
      <c r="BP2932" s="144" t="n"/>
      <c r="BQ2932" s="141" t="n"/>
      <c r="BR2932" s="207" t="n"/>
      <c r="BS2932" s="207" t="n"/>
      <c r="BT2932" s="207" t="n"/>
      <c r="BU2932" s="207" t="n"/>
      <c r="BV2932" s="208" t="n"/>
      <c r="BW2932" s="207" t="n"/>
      <c r="BX2932" s="207" t="n"/>
      <c r="BY2932" s="204" t="n"/>
      <c r="BZ2932" s="148" t="n"/>
      <c r="CA2932" s="204" t="n"/>
      <c r="CB2932" s="208" t="n"/>
      <c r="CC2932" s="139" t="n"/>
      <c r="CD2932" s="204" t="n"/>
      <c r="CE2932" s="204" t="n"/>
      <c r="CF2932" s="207" t="n"/>
      <c r="CG2932" s="208" t="n"/>
      <c r="CH2932" s="207" t="n"/>
      <c r="CI2932" s="208" t="n"/>
      <c r="CJ2932" s="204" t="n"/>
      <c r="CK2932" s="208" t="n"/>
      <c r="CL2932" s="208" t="n"/>
      <c r="CM2932" s="208" t="n"/>
      <c r="CN2932" s="78" t="n"/>
      <c r="CO2932" s="209" t="n"/>
      <c r="CP2932" s="204" t="n"/>
      <c r="CQ2932" s="204" t="n"/>
      <c r="CR2932" s="204" t="n"/>
      <c r="CS2932" s="204" t="n"/>
      <c r="CT2932" s="204" t="n"/>
      <c r="CU2932" s="204" t="n"/>
      <c r="CV2932" s="204" t="n"/>
      <c r="CW2932" s="204" t="n"/>
    </row>
    <row r="2933">
      <c r="BF2933" s="78" t="n"/>
      <c r="BG2933" s="78" t="n"/>
      <c r="BH2933" s="78" t="n"/>
      <c r="BI2933" s="78" t="n"/>
      <c r="BJ2933" s="139" t="n"/>
      <c r="BK2933" s="204" t="n"/>
      <c r="BL2933" s="141" t="n"/>
      <c r="BM2933" s="205" t="n"/>
      <c r="BN2933" s="205" t="n"/>
      <c r="BO2933" s="206" t="n"/>
      <c r="BP2933" s="144" t="n"/>
      <c r="BQ2933" s="141" t="n"/>
      <c r="BR2933" s="207" t="n"/>
      <c r="BS2933" s="207" t="n"/>
      <c r="BT2933" s="207" t="n"/>
      <c r="BU2933" s="207" t="n"/>
      <c r="BV2933" s="208" t="n"/>
      <c r="BW2933" s="207" t="n"/>
      <c r="BX2933" s="207" t="n"/>
      <c r="BY2933" s="204" t="n"/>
      <c r="BZ2933" s="148" t="n"/>
      <c r="CA2933" s="204" t="n"/>
      <c r="CB2933" s="208" t="n"/>
      <c r="CC2933" s="139" t="n"/>
      <c r="CD2933" s="204" t="n"/>
      <c r="CE2933" s="204" t="n"/>
      <c r="CF2933" s="207" t="n"/>
      <c r="CG2933" s="208" t="n"/>
      <c r="CH2933" s="207" t="n"/>
      <c r="CI2933" s="208" t="n"/>
      <c r="CJ2933" s="204" t="n"/>
      <c r="CK2933" s="208" t="n"/>
      <c r="CL2933" s="208" t="n"/>
      <c r="CM2933" s="208" t="n"/>
      <c r="CN2933" s="78" t="n"/>
      <c r="CO2933" s="209" t="n"/>
      <c r="CP2933" s="204" t="n"/>
      <c r="CQ2933" s="204" t="n"/>
      <c r="CR2933" s="204" t="n"/>
      <c r="CS2933" s="204" t="n"/>
      <c r="CT2933" s="204" t="n"/>
      <c r="CU2933" s="204" t="n"/>
      <c r="CV2933" s="204" t="n"/>
      <c r="CW2933" s="204" t="n"/>
    </row>
    <row r="2934">
      <c r="BF2934" s="78" t="n"/>
      <c r="BG2934" s="78" t="n"/>
      <c r="BH2934" s="78" t="n"/>
      <c r="BI2934" s="78" t="n"/>
      <c r="BJ2934" s="139" t="n"/>
      <c r="BK2934" s="204" t="n"/>
      <c r="BL2934" s="141" t="n"/>
      <c r="BM2934" s="205" t="n"/>
      <c r="BN2934" s="205" t="n"/>
      <c r="BO2934" s="206" t="n"/>
      <c r="BP2934" s="144" t="n"/>
      <c r="BQ2934" s="141" t="n"/>
      <c r="BR2934" s="207" t="n"/>
      <c r="BS2934" s="207" t="n"/>
      <c r="BT2934" s="207" t="n"/>
      <c r="BU2934" s="207" t="n"/>
      <c r="BV2934" s="208" t="n"/>
      <c r="BW2934" s="207" t="n"/>
      <c r="BX2934" s="207" t="n"/>
      <c r="BY2934" s="204" t="n"/>
      <c r="BZ2934" s="148" t="n"/>
      <c r="CA2934" s="204" t="n"/>
      <c r="CB2934" s="208" t="n"/>
      <c r="CC2934" s="139" t="n"/>
      <c r="CD2934" s="204" t="n"/>
      <c r="CE2934" s="204" t="n"/>
      <c r="CF2934" s="207" t="n"/>
      <c r="CG2934" s="208" t="n"/>
      <c r="CH2934" s="207" t="n"/>
      <c r="CI2934" s="208" t="n"/>
      <c r="CJ2934" s="204" t="n"/>
      <c r="CK2934" s="208" t="n"/>
      <c r="CL2934" s="208" t="n"/>
      <c r="CM2934" s="208" t="n"/>
      <c r="CN2934" s="78" t="n"/>
      <c r="CO2934" s="209" t="n"/>
      <c r="CP2934" s="204" t="n"/>
      <c r="CQ2934" s="204" t="n"/>
      <c r="CR2934" s="204" t="n"/>
      <c r="CS2934" s="204" t="n"/>
      <c r="CT2934" s="204" t="n"/>
      <c r="CU2934" s="204" t="n"/>
      <c r="CV2934" s="204" t="n"/>
      <c r="CW2934" s="204" t="n"/>
    </row>
    <row r="2935">
      <c r="BF2935" s="78" t="n"/>
      <c r="BG2935" s="78" t="n"/>
      <c r="BH2935" s="78" t="n"/>
      <c r="BI2935" s="78" t="n"/>
      <c r="BJ2935" s="139" t="n"/>
      <c r="BK2935" s="204" t="n"/>
      <c r="BL2935" s="141" t="n"/>
      <c r="BM2935" s="205" t="n"/>
      <c r="BN2935" s="205" t="n"/>
      <c r="BO2935" s="206" t="n"/>
      <c r="BP2935" s="144" t="n"/>
      <c r="BQ2935" s="141" t="n"/>
      <c r="BR2935" s="207" t="n"/>
      <c r="BS2935" s="207" t="n"/>
      <c r="BT2935" s="207" t="n"/>
      <c r="BU2935" s="207" t="n"/>
      <c r="BV2935" s="208" t="n"/>
      <c r="BW2935" s="207" t="n"/>
      <c r="BX2935" s="207" t="n"/>
      <c r="BY2935" s="204" t="n"/>
      <c r="BZ2935" s="148" t="n"/>
      <c r="CA2935" s="204" t="n"/>
      <c r="CB2935" s="208" t="n"/>
      <c r="CC2935" s="139" t="n"/>
      <c r="CD2935" s="204" t="n"/>
      <c r="CE2935" s="204" t="n"/>
      <c r="CF2935" s="207" t="n"/>
      <c r="CG2935" s="208" t="n"/>
      <c r="CH2935" s="207" t="n"/>
      <c r="CI2935" s="208" t="n"/>
      <c r="CJ2935" s="204" t="n"/>
      <c r="CK2935" s="208" t="n"/>
      <c r="CL2935" s="208" t="n"/>
      <c r="CM2935" s="208" t="n"/>
      <c r="CN2935" s="78" t="n"/>
      <c r="CO2935" s="209" t="n"/>
      <c r="CP2935" s="204" t="n"/>
      <c r="CQ2935" s="204" t="n"/>
      <c r="CR2935" s="204" t="n"/>
      <c r="CS2935" s="204" t="n"/>
      <c r="CT2935" s="204" t="n"/>
      <c r="CU2935" s="204" t="n"/>
      <c r="CV2935" s="204" t="n"/>
      <c r="CW2935" s="204" t="n"/>
    </row>
    <row r="2936">
      <c r="BF2936" s="78" t="n"/>
      <c r="BG2936" s="78" t="n"/>
      <c r="BH2936" s="78" t="n"/>
      <c r="BI2936" s="78" t="n"/>
      <c r="BJ2936" s="139" t="n"/>
      <c r="BK2936" s="204" t="n"/>
      <c r="BL2936" s="141" t="n"/>
      <c r="BM2936" s="205" t="n"/>
      <c r="BN2936" s="205" t="n"/>
      <c r="BO2936" s="206" t="n"/>
      <c r="BP2936" s="144" t="n"/>
      <c r="BQ2936" s="141" t="n"/>
      <c r="BR2936" s="207" t="n"/>
      <c r="BS2936" s="207" t="n"/>
      <c r="BT2936" s="207" t="n"/>
      <c r="BU2936" s="207" t="n"/>
      <c r="BV2936" s="208" t="n"/>
      <c r="BW2936" s="207" t="n"/>
      <c r="BX2936" s="207" t="n"/>
      <c r="BY2936" s="204" t="n"/>
      <c r="BZ2936" s="148" t="n"/>
      <c r="CA2936" s="204" t="n"/>
      <c r="CB2936" s="208" t="n"/>
      <c r="CC2936" s="139" t="n"/>
      <c r="CD2936" s="204" t="n"/>
      <c r="CE2936" s="204" t="n"/>
      <c r="CF2936" s="207" t="n"/>
      <c r="CG2936" s="208" t="n"/>
      <c r="CH2936" s="207" t="n"/>
      <c r="CI2936" s="208" t="n"/>
      <c r="CJ2936" s="204" t="n"/>
      <c r="CK2936" s="208" t="n"/>
      <c r="CL2936" s="208" t="n"/>
      <c r="CM2936" s="208" t="n"/>
      <c r="CN2936" s="78" t="n"/>
      <c r="CO2936" s="209" t="n"/>
      <c r="CP2936" s="204" t="n"/>
      <c r="CQ2936" s="204" t="n"/>
      <c r="CR2936" s="204" t="n"/>
      <c r="CS2936" s="204" t="n"/>
      <c r="CT2936" s="204" t="n"/>
      <c r="CU2936" s="204" t="n"/>
      <c r="CV2936" s="204" t="n"/>
      <c r="CW2936" s="204" t="n"/>
    </row>
    <row r="2937">
      <c r="BF2937" s="78" t="n"/>
      <c r="BG2937" s="78" t="n"/>
      <c r="BH2937" s="78" t="n"/>
      <c r="BI2937" s="78" t="n"/>
      <c r="BJ2937" s="139" t="n"/>
      <c r="BK2937" s="204" t="n"/>
      <c r="BL2937" s="141" t="n"/>
      <c r="BM2937" s="205" t="n"/>
      <c r="BN2937" s="205" t="n"/>
      <c r="BO2937" s="206" t="n"/>
      <c r="BP2937" s="144" t="n"/>
      <c r="BQ2937" s="141" t="n"/>
      <c r="BR2937" s="207" t="n"/>
      <c r="BS2937" s="207" t="n"/>
      <c r="BT2937" s="207" t="n"/>
      <c r="BU2937" s="207" t="n"/>
      <c r="BV2937" s="208" t="n"/>
      <c r="BW2937" s="207" t="n"/>
      <c r="BX2937" s="207" t="n"/>
      <c r="BY2937" s="204" t="n"/>
      <c r="BZ2937" s="148" t="n"/>
      <c r="CA2937" s="204" t="n"/>
      <c r="CB2937" s="208" t="n"/>
      <c r="CC2937" s="139" t="n"/>
      <c r="CD2937" s="204" t="n"/>
      <c r="CE2937" s="204" t="n"/>
      <c r="CF2937" s="207" t="n"/>
      <c r="CG2937" s="208" t="n"/>
      <c r="CH2937" s="207" t="n"/>
      <c r="CI2937" s="208" t="n"/>
      <c r="CJ2937" s="204" t="n"/>
      <c r="CK2937" s="208" t="n"/>
      <c r="CL2937" s="208" t="n"/>
      <c r="CM2937" s="208" t="n"/>
      <c r="CN2937" s="78" t="n"/>
      <c r="CO2937" s="209" t="n"/>
      <c r="CP2937" s="204" t="n"/>
      <c r="CQ2937" s="204" t="n"/>
      <c r="CR2937" s="204" t="n"/>
      <c r="CS2937" s="204" t="n"/>
      <c r="CT2937" s="204" t="n"/>
      <c r="CU2937" s="204" t="n"/>
      <c r="CV2937" s="204" t="n"/>
      <c r="CW2937" s="204" t="n"/>
    </row>
    <row r="2938">
      <c r="BF2938" s="78" t="n"/>
      <c r="BG2938" s="78" t="n"/>
      <c r="BH2938" s="78" t="n"/>
      <c r="BI2938" s="78" t="n"/>
      <c r="BJ2938" s="139" t="n"/>
      <c r="BK2938" s="204" t="n"/>
      <c r="BL2938" s="141" t="n"/>
      <c r="BM2938" s="205" t="n"/>
      <c r="BN2938" s="205" t="n"/>
      <c r="BO2938" s="206" t="n"/>
      <c r="BP2938" s="144" t="n"/>
      <c r="BQ2938" s="141" t="n"/>
      <c r="BR2938" s="207" t="n"/>
      <c r="BS2938" s="207" t="n"/>
      <c r="BT2938" s="207" t="n"/>
      <c r="BU2938" s="207" t="n"/>
      <c r="BV2938" s="208" t="n"/>
      <c r="BW2938" s="207" t="n"/>
      <c r="BX2938" s="207" t="n"/>
      <c r="BY2938" s="204" t="n"/>
      <c r="BZ2938" s="148" t="n"/>
      <c r="CA2938" s="204" t="n"/>
      <c r="CB2938" s="208" t="n"/>
      <c r="CC2938" s="139" t="n"/>
      <c r="CD2938" s="204" t="n"/>
      <c r="CE2938" s="204" t="n"/>
      <c r="CF2938" s="207" t="n"/>
      <c r="CG2938" s="208" t="n"/>
      <c r="CH2938" s="207" t="n"/>
      <c r="CI2938" s="208" t="n"/>
      <c r="CJ2938" s="204" t="n"/>
      <c r="CK2938" s="208" t="n"/>
      <c r="CL2938" s="208" t="n"/>
      <c r="CM2938" s="208" t="n"/>
      <c r="CN2938" s="78" t="n"/>
      <c r="CO2938" s="209" t="n"/>
      <c r="CP2938" s="204" t="n"/>
      <c r="CQ2938" s="204" t="n"/>
      <c r="CR2938" s="204" t="n"/>
      <c r="CS2938" s="204" t="n"/>
      <c r="CT2938" s="204" t="n"/>
      <c r="CU2938" s="204" t="n"/>
      <c r="CV2938" s="204" t="n"/>
      <c r="CW2938" s="204" t="n"/>
    </row>
    <row r="2939">
      <c r="BF2939" s="78" t="n"/>
      <c r="BG2939" s="78" t="n"/>
      <c r="BH2939" s="78" t="n"/>
      <c r="BI2939" s="78" t="n"/>
      <c r="BJ2939" s="139" t="n"/>
      <c r="BK2939" s="204" t="n"/>
      <c r="BL2939" s="141" t="n"/>
      <c r="BM2939" s="205" t="n"/>
      <c r="BN2939" s="205" t="n"/>
      <c r="BO2939" s="206" t="n"/>
      <c r="BP2939" s="144" t="n"/>
      <c r="BQ2939" s="141" t="n"/>
      <c r="BR2939" s="207" t="n"/>
      <c r="BS2939" s="207" t="n"/>
      <c r="BT2939" s="207" t="n"/>
      <c r="BU2939" s="207" t="n"/>
      <c r="BV2939" s="208" t="n"/>
      <c r="BW2939" s="207" t="n"/>
      <c r="BX2939" s="207" t="n"/>
      <c r="BY2939" s="204" t="n"/>
      <c r="BZ2939" s="148" t="n"/>
      <c r="CA2939" s="204" t="n"/>
      <c r="CB2939" s="208" t="n"/>
      <c r="CC2939" s="139" t="n"/>
      <c r="CD2939" s="204" t="n"/>
      <c r="CE2939" s="204" t="n"/>
      <c r="CF2939" s="207" t="n"/>
      <c r="CG2939" s="208" t="n"/>
      <c r="CH2939" s="207" t="n"/>
      <c r="CI2939" s="208" t="n"/>
      <c r="CJ2939" s="204" t="n"/>
      <c r="CK2939" s="208" t="n"/>
      <c r="CL2939" s="208" t="n"/>
      <c r="CM2939" s="208" t="n"/>
      <c r="CN2939" s="78" t="n"/>
      <c r="CO2939" s="209" t="n"/>
      <c r="CP2939" s="204" t="n"/>
      <c r="CQ2939" s="204" t="n"/>
      <c r="CR2939" s="204" t="n"/>
      <c r="CS2939" s="204" t="n"/>
      <c r="CT2939" s="204" t="n"/>
      <c r="CU2939" s="204" t="n"/>
      <c r="CV2939" s="204" t="n"/>
      <c r="CW2939" s="204" t="n"/>
    </row>
    <row r="2940">
      <c r="BF2940" s="78" t="n"/>
      <c r="BG2940" s="78" t="n"/>
      <c r="BH2940" s="78" t="n"/>
      <c r="BI2940" s="78" t="n"/>
      <c r="BJ2940" s="139" t="n"/>
      <c r="BK2940" s="204" t="n"/>
      <c r="BL2940" s="141" t="n"/>
      <c r="BM2940" s="205" t="n"/>
      <c r="BN2940" s="205" t="n"/>
      <c r="BO2940" s="206" t="n"/>
      <c r="BP2940" s="144" t="n"/>
      <c r="BQ2940" s="141" t="n"/>
      <c r="BR2940" s="207" t="n"/>
      <c r="BS2940" s="207" t="n"/>
      <c r="BT2940" s="207" t="n"/>
      <c r="BU2940" s="207" t="n"/>
      <c r="BV2940" s="208" t="n"/>
      <c r="BW2940" s="207" t="n"/>
      <c r="BX2940" s="207" t="n"/>
      <c r="BY2940" s="204" t="n"/>
      <c r="BZ2940" s="148" t="n"/>
      <c r="CA2940" s="204" t="n"/>
      <c r="CB2940" s="208" t="n"/>
      <c r="CC2940" s="139" t="n"/>
      <c r="CD2940" s="204" t="n"/>
      <c r="CE2940" s="204" t="n"/>
      <c r="CF2940" s="207" t="n"/>
      <c r="CG2940" s="208" t="n"/>
      <c r="CH2940" s="207" t="n"/>
      <c r="CI2940" s="208" t="n"/>
      <c r="CJ2940" s="204" t="n"/>
      <c r="CK2940" s="208" t="n"/>
      <c r="CL2940" s="208" t="n"/>
      <c r="CM2940" s="208" t="n"/>
      <c r="CN2940" s="78" t="n"/>
      <c r="CO2940" s="209" t="n"/>
      <c r="CP2940" s="204" t="n"/>
      <c r="CQ2940" s="204" t="n"/>
      <c r="CR2940" s="204" t="n"/>
      <c r="CS2940" s="204" t="n"/>
      <c r="CT2940" s="204" t="n"/>
      <c r="CU2940" s="204" t="n"/>
      <c r="CV2940" s="204" t="n"/>
      <c r="CW2940" s="204" t="n"/>
    </row>
    <row r="2941">
      <c r="BF2941" s="78" t="n"/>
      <c r="BG2941" s="78" t="n"/>
      <c r="BH2941" s="78" t="n"/>
      <c r="BI2941" s="78" t="n"/>
      <c r="BJ2941" s="139" t="n"/>
      <c r="BK2941" s="204" t="n"/>
      <c r="BL2941" s="141" t="n"/>
      <c r="BM2941" s="205" t="n"/>
      <c r="BN2941" s="205" t="n"/>
      <c r="BO2941" s="206" t="n"/>
      <c r="BP2941" s="144" t="n"/>
      <c r="BQ2941" s="141" t="n"/>
      <c r="BR2941" s="207" t="n"/>
      <c r="BS2941" s="207" t="n"/>
      <c r="BT2941" s="207" t="n"/>
      <c r="BU2941" s="207" t="n"/>
      <c r="BV2941" s="208" t="n"/>
      <c r="BW2941" s="207" t="n"/>
      <c r="BX2941" s="207" t="n"/>
      <c r="BY2941" s="204" t="n"/>
      <c r="BZ2941" s="148" t="n"/>
      <c r="CA2941" s="204" t="n"/>
      <c r="CB2941" s="208" t="n"/>
      <c r="CC2941" s="139" t="n"/>
      <c r="CD2941" s="204" t="n"/>
      <c r="CE2941" s="204" t="n"/>
      <c r="CF2941" s="207" t="n"/>
      <c r="CG2941" s="208" t="n"/>
      <c r="CH2941" s="207" t="n"/>
      <c r="CI2941" s="208" t="n"/>
      <c r="CJ2941" s="204" t="n"/>
      <c r="CK2941" s="208" t="n"/>
      <c r="CL2941" s="208" t="n"/>
      <c r="CM2941" s="208" t="n"/>
      <c r="CN2941" s="78" t="n"/>
      <c r="CO2941" s="209" t="n"/>
      <c r="CP2941" s="204" t="n"/>
      <c r="CQ2941" s="204" t="n"/>
      <c r="CR2941" s="204" t="n"/>
      <c r="CS2941" s="204" t="n"/>
      <c r="CT2941" s="204" t="n"/>
      <c r="CU2941" s="204" t="n"/>
      <c r="CV2941" s="204" t="n"/>
      <c r="CW2941" s="204" t="n"/>
    </row>
    <row r="2942">
      <c r="BF2942" s="78" t="n"/>
      <c r="BG2942" s="78" t="n"/>
      <c r="BH2942" s="78" t="n"/>
      <c r="BI2942" s="78" t="n"/>
      <c r="BJ2942" s="139" t="n"/>
      <c r="BK2942" s="204" t="n"/>
      <c r="BL2942" s="141" t="n"/>
      <c r="BM2942" s="205" t="n"/>
      <c r="BN2942" s="205" t="n"/>
      <c r="BO2942" s="206" t="n"/>
      <c r="BP2942" s="144" t="n"/>
      <c r="BQ2942" s="141" t="n"/>
      <c r="BR2942" s="207" t="n"/>
      <c r="BS2942" s="207" t="n"/>
      <c r="BT2942" s="207" t="n"/>
      <c r="BU2942" s="207" t="n"/>
      <c r="BV2942" s="208" t="n"/>
      <c r="BW2942" s="207" t="n"/>
      <c r="BX2942" s="207" t="n"/>
      <c r="BY2942" s="204" t="n"/>
      <c r="BZ2942" s="148" t="n"/>
      <c r="CA2942" s="204" t="n"/>
      <c r="CB2942" s="208" t="n"/>
      <c r="CC2942" s="139" t="n"/>
      <c r="CD2942" s="204" t="n"/>
      <c r="CE2942" s="204" t="n"/>
      <c r="CF2942" s="207" t="n"/>
      <c r="CG2942" s="208" t="n"/>
      <c r="CH2942" s="207" t="n"/>
      <c r="CI2942" s="208" t="n"/>
      <c r="CJ2942" s="204" t="n"/>
      <c r="CK2942" s="208" t="n"/>
      <c r="CL2942" s="208" t="n"/>
      <c r="CM2942" s="208" t="n"/>
      <c r="CN2942" s="78" t="n"/>
      <c r="CO2942" s="209" t="n"/>
      <c r="CP2942" s="204" t="n"/>
      <c r="CQ2942" s="204" t="n"/>
      <c r="CR2942" s="204" t="n"/>
      <c r="CS2942" s="204" t="n"/>
      <c r="CT2942" s="204" t="n"/>
      <c r="CU2942" s="204" t="n"/>
      <c r="CV2942" s="204" t="n"/>
      <c r="CW2942" s="204" t="n"/>
    </row>
    <row r="2943">
      <c r="BF2943" s="78" t="n"/>
      <c r="BG2943" s="78" t="n"/>
      <c r="BH2943" s="78" t="n"/>
      <c r="BI2943" s="78" t="n"/>
      <c r="BJ2943" s="139" t="n"/>
      <c r="BK2943" s="204" t="n"/>
      <c r="BL2943" s="141" t="n"/>
      <c r="BM2943" s="205" t="n"/>
      <c r="BN2943" s="205" t="n"/>
      <c r="BO2943" s="206" t="n"/>
      <c r="BP2943" s="144" t="n"/>
      <c r="BQ2943" s="141" t="n"/>
      <c r="BR2943" s="207" t="n"/>
      <c r="BS2943" s="207" t="n"/>
      <c r="BT2943" s="207" t="n"/>
      <c r="BU2943" s="207" t="n"/>
      <c r="BV2943" s="208" t="n"/>
      <c r="BW2943" s="207" t="n"/>
      <c r="BX2943" s="207" t="n"/>
      <c r="BY2943" s="204" t="n"/>
      <c r="BZ2943" s="148" t="n"/>
      <c r="CA2943" s="204" t="n"/>
      <c r="CB2943" s="208" t="n"/>
      <c r="CC2943" s="139" t="n"/>
      <c r="CD2943" s="204" t="n"/>
      <c r="CE2943" s="204" t="n"/>
      <c r="CF2943" s="207" t="n"/>
      <c r="CG2943" s="208" t="n"/>
      <c r="CH2943" s="207" t="n"/>
      <c r="CI2943" s="208" t="n"/>
      <c r="CJ2943" s="204" t="n"/>
      <c r="CK2943" s="208" t="n"/>
      <c r="CL2943" s="208" t="n"/>
      <c r="CM2943" s="208" t="n"/>
      <c r="CN2943" s="78" t="n"/>
      <c r="CO2943" s="209" t="n"/>
      <c r="CP2943" s="204" t="n"/>
      <c r="CQ2943" s="204" t="n"/>
      <c r="CR2943" s="204" t="n"/>
      <c r="CS2943" s="204" t="n"/>
      <c r="CT2943" s="204" t="n"/>
      <c r="CU2943" s="204" t="n"/>
      <c r="CV2943" s="204" t="n"/>
      <c r="CW2943" s="204" t="n"/>
    </row>
    <row r="2944">
      <c r="BF2944" s="78" t="n"/>
      <c r="BG2944" s="78" t="n"/>
      <c r="BH2944" s="78" t="n"/>
      <c r="BI2944" s="78" t="n"/>
      <c r="BJ2944" s="139" t="n"/>
      <c r="BK2944" s="204" t="n"/>
      <c r="BL2944" s="141" t="n"/>
      <c r="BM2944" s="205" t="n"/>
      <c r="BN2944" s="205" t="n"/>
      <c r="BO2944" s="206" t="n"/>
      <c r="BP2944" s="144" t="n"/>
      <c r="BQ2944" s="141" t="n"/>
      <c r="BR2944" s="207" t="n"/>
      <c r="BS2944" s="207" t="n"/>
      <c r="BT2944" s="207" t="n"/>
      <c r="BU2944" s="207" t="n"/>
      <c r="BV2944" s="208" t="n"/>
      <c r="BW2944" s="207" t="n"/>
      <c r="BX2944" s="207" t="n"/>
      <c r="BY2944" s="204" t="n"/>
      <c r="BZ2944" s="148" t="n"/>
      <c r="CA2944" s="204" t="n"/>
      <c r="CB2944" s="208" t="n"/>
      <c r="CC2944" s="139" t="n"/>
      <c r="CD2944" s="204" t="n"/>
      <c r="CE2944" s="204" t="n"/>
      <c r="CF2944" s="207" t="n"/>
      <c r="CG2944" s="208" t="n"/>
      <c r="CH2944" s="207" t="n"/>
      <c r="CI2944" s="208" t="n"/>
      <c r="CJ2944" s="204" t="n"/>
      <c r="CK2944" s="208" t="n"/>
      <c r="CL2944" s="208" t="n"/>
      <c r="CM2944" s="208" t="n"/>
      <c r="CN2944" s="78" t="n"/>
      <c r="CO2944" s="209" t="n"/>
      <c r="CP2944" s="204" t="n"/>
      <c r="CQ2944" s="204" t="n"/>
      <c r="CR2944" s="204" t="n"/>
      <c r="CS2944" s="204" t="n"/>
      <c r="CT2944" s="204" t="n"/>
      <c r="CU2944" s="204" t="n"/>
      <c r="CV2944" s="204" t="n"/>
      <c r="CW2944" s="204" t="n"/>
    </row>
    <row r="2945">
      <c r="BF2945" s="78" t="n"/>
      <c r="BG2945" s="78" t="n"/>
      <c r="BH2945" s="78" t="n"/>
      <c r="BI2945" s="78" t="n"/>
      <c r="BJ2945" s="139" t="n"/>
      <c r="BK2945" s="204" t="n"/>
      <c r="BL2945" s="141" t="n"/>
      <c r="BM2945" s="205" t="n"/>
      <c r="BN2945" s="205" t="n"/>
      <c r="BO2945" s="206" t="n"/>
      <c r="BP2945" s="144" t="n"/>
      <c r="BQ2945" s="141" t="n"/>
      <c r="BR2945" s="207" t="n"/>
      <c r="BS2945" s="207" t="n"/>
      <c r="BT2945" s="207" t="n"/>
      <c r="BU2945" s="207" t="n"/>
      <c r="BV2945" s="208" t="n"/>
      <c r="BW2945" s="207" t="n"/>
      <c r="BX2945" s="207" t="n"/>
      <c r="BY2945" s="204" t="n"/>
      <c r="BZ2945" s="148" t="n"/>
      <c r="CA2945" s="204" t="n"/>
      <c r="CB2945" s="208" t="n"/>
      <c r="CC2945" s="139" t="n"/>
      <c r="CD2945" s="204" t="n"/>
      <c r="CE2945" s="204" t="n"/>
      <c r="CF2945" s="207" t="n"/>
      <c r="CG2945" s="208" t="n"/>
      <c r="CH2945" s="207" t="n"/>
      <c r="CI2945" s="208" t="n"/>
      <c r="CJ2945" s="204" t="n"/>
      <c r="CK2945" s="208" t="n"/>
      <c r="CL2945" s="208" t="n"/>
      <c r="CM2945" s="208" t="n"/>
      <c r="CN2945" s="78" t="n"/>
      <c r="CO2945" s="209" t="n"/>
      <c r="CP2945" s="204" t="n"/>
      <c r="CQ2945" s="204" t="n"/>
      <c r="CR2945" s="204" t="n"/>
      <c r="CS2945" s="204" t="n"/>
      <c r="CT2945" s="204" t="n"/>
      <c r="CU2945" s="204" t="n"/>
      <c r="CV2945" s="204" t="n"/>
      <c r="CW2945" s="204" t="n"/>
    </row>
    <row r="2946">
      <c r="BF2946" s="78" t="n"/>
      <c r="BG2946" s="78" t="n"/>
      <c r="BH2946" s="78" t="n"/>
      <c r="BI2946" s="78" t="n"/>
      <c r="BJ2946" s="139" t="n"/>
      <c r="BK2946" s="204" t="n"/>
      <c r="BL2946" s="141" t="n"/>
      <c r="BM2946" s="205" t="n"/>
      <c r="BN2946" s="205" t="n"/>
      <c r="BO2946" s="206" t="n"/>
      <c r="BP2946" s="144" t="n"/>
      <c r="BQ2946" s="141" t="n"/>
      <c r="BR2946" s="207" t="n"/>
      <c r="BS2946" s="207" t="n"/>
      <c r="BT2946" s="207" t="n"/>
      <c r="BU2946" s="207" t="n"/>
      <c r="BV2946" s="208" t="n"/>
      <c r="BW2946" s="207" t="n"/>
      <c r="BX2946" s="207" t="n"/>
      <c r="BY2946" s="204" t="n"/>
      <c r="BZ2946" s="148" t="n"/>
      <c r="CA2946" s="204" t="n"/>
      <c r="CB2946" s="208" t="n"/>
      <c r="CC2946" s="139" t="n"/>
      <c r="CD2946" s="204" t="n"/>
      <c r="CE2946" s="204" t="n"/>
      <c r="CF2946" s="207" t="n"/>
      <c r="CG2946" s="208" t="n"/>
      <c r="CH2946" s="207" t="n"/>
      <c r="CI2946" s="208" t="n"/>
      <c r="CJ2946" s="204" t="n"/>
      <c r="CK2946" s="208" t="n"/>
      <c r="CL2946" s="208" t="n"/>
      <c r="CM2946" s="208" t="n"/>
      <c r="CN2946" s="78" t="n"/>
      <c r="CO2946" s="209" t="n"/>
      <c r="CP2946" s="204" t="n"/>
      <c r="CQ2946" s="204" t="n"/>
      <c r="CR2946" s="204" t="n"/>
      <c r="CS2946" s="204" t="n"/>
      <c r="CT2946" s="204" t="n"/>
      <c r="CU2946" s="204" t="n"/>
      <c r="CV2946" s="204" t="n"/>
      <c r="CW2946" s="204" t="n"/>
    </row>
    <row r="2947">
      <c r="BF2947" s="78" t="n"/>
      <c r="BG2947" s="78" t="n"/>
      <c r="BH2947" s="78" t="n"/>
      <c r="BI2947" s="78" t="n"/>
      <c r="BJ2947" s="139" t="n"/>
      <c r="BK2947" s="204" t="n"/>
      <c r="BL2947" s="141" t="n"/>
      <c r="BM2947" s="205" t="n"/>
      <c r="BN2947" s="205" t="n"/>
      <c r="BO2947" s="206" t="n"/>
      <c r="BP2947" s="144" t="n"/>
      <c r="BQ2947" s="141" t="n"/>
      <c r="BR2947" s="207" t="n"/>
      <c r="BS2947" s="207" t="n"/>
      <c r="BT2947" s="207" t="n"/>
      <c r="BU2947" s="207" t="n"/>
      <c r="BV2947" s="208" t="n"/>
      <c r="BW2947" s="207" t="n"/>
      <c r="BX2947" s="207" t="n"/>
      <c r="BY2947" s="204" t="n"/>
      <c r="BZ2947" s="148" t="n"/>
      <c r="CA2947" s="204" t="n"/>
      <c r="CB2947" s="208" t="n"/>
      <c r="CC2947" s="139" t="n"/>
      <c r="CD2947" s="204" t="n"/>
      <c r="CE2947" s="204" t="n"/>
      <c r="CF2947" s="207" t="n"/>
      <c r="CG2947" s="208" t="n"/>
      <c r="CH2947" s="207" t="n"/>
      <c r="CI2947" s="208" t="n"/>
      <c r="CJ2947" s="204" t="n"/>
      <c r="CK2947" s="208" t="n"/>
      <c r="CL2947" s="208" t="n"/>
      <c r="CM2947" s="208" t="n"/>
      <c r="CN2947" s="78" t="n"/>
      <c r="CO2947" s="209" t="n"/>
      <c r="CP2947" s="204" t="n"/>
      <c r="CQ2947" s="204" t="n"/>
      <c r="CR2947" s="204" t="n"/>
      <c r="CS2947" s="204" t="n"/>
      <c r="CT2947" s="204" t="n"/>
      <c r="CU2947" s="204" t="n"/>
      <c r="CV2947" s="204" t="n"/>
      <c r="CW2947" s="204" t="n"/>
    </row>
    <row r="2948">
      <c r="BF2948" s="78" t="n"/>
      <c r="BG2948" s="78" t="n"/>
      <c r="BH2948" s="78" t="n"/>
      <c r="BI2948" s="78" t="n"/>
      <c r="BJ2948" s="139" t="n"/>
      <c r="BK2948" s="204" t="n"/>
      <c r="BL2948" s="141" t="n"/>
      <c r="BM2948" s="205" t="n"/>
      <c r="BN2948" s="205" t="n"/>
      <c r="BO2948" s="206" t="n"/>
      <c r="BP2948" s="144" t="n"/>
      <c r="BQ2948" s="141" t="n"/>
      <c r="BR2948" s="207" t="n"/>
      <c r="BS2948" s="207" t="n"/>
      <c r="BT2948" s="207" t="n"/>
      <c r="BU2948" s="207" t="n"/>
      <c r="BV2948" s="208" t="n"/>
      <c r="BW2948" s="207" t="n"/>
      <c r="BX2948" s="207" t="n"/>
      <c r="BY2948" s="204" t="n"/>
      <c r="BZ2948" s="148" t="n"/>
      <c r="CA2948" s="204" t="n"/>
      <c r="CB2948" s="208" t="n"/>
      <c r="CC2948" s="139" t="n"/>
      <c r="CD2948" s="204" t="n"/>
      <c r="CE2948" s="204" t="n"/>
      <c r="CF2948" s="207" t="n"/>
      <c r="CG2948" s="208" t="n"/>
      <c r="CH2948" s="207" t="n"/>
      <c r="CI2948" s="208" t="n"/>
      <c r="CJ2948" s="204" t="n"/>
      <c r="CK2948" s="208" t="n"/>
      <c r="CL2948" s="208" t="n"/>
      <c r="CM2948" s="208" t="n"/>
      <c r="CN2948" s="78" t="n"/>
      <c r="CO2948" s="209" t="n"/>
      <c r="CP2948" s="204" t="n"/>
      <c r="CQ2948" s="204" t="n"/>
      <c r="CR2948" s="204" t="n"/>
      <c r="CS2948" s="204" t="n"/>
      <c r="CT2948" s="204" t="n"/>
      <c r="CU2948" s="204" t="n"/>
      <c r="CV2948" s="204" t="n"/>
      <c r="CW2948" s="204" t="n"/>
    </row>
    <row r="2949">
      <c r="BF2949" s="78" t="n"/>
      <c r="BG2949" s="78" t="n"/>
      <c r="BH2949" s="78" t="n"/>
      <c r="BI2949" s="78" t="n"/>
      <c r="BJ2949" s="139" t="n"/>
      <c r="BK2949" s="204" t="n"/>
      <c r="BL2949" s="141" t="n"/>
      <c r="BM2949" s="205" t="n"/>
      <c r="BN2949" s="205" t="n"/>
      <c r="BO2949" s="206" t="n"/>
      <c r="BP2949" s="144" t="n"/>
      <c r="BQ2949" s="141" t="n"/>
      <c r="BR2949" s="207" t="n"/>
      <c r="BS2949" s="207" t="n"/>
      <c r="BT2949" s="207" t="n"/>
      <c r="BU2949" s="207" t="n"/>
      <c r="BV2949" s="208" t="n"/>
      <c r="BW2949" s="207" t="n"/>
      <c r="BX2949" s="207" t="n"/>
      <c r="BY2949" s="204" t="n"/>
      <c r="BZ2949" s="148" t="n"/>
      <c r="CA2949" s="204" t="n"/>
      <c r="CB2949" s="208" t="n"/>
      <c r="CC2949" s="139" t="n"/>
      <c r="CD2949" s="204" t="n"/>
      <c r="CE2949" s="204" t="n"/>
      <c r="CF2949" s="207" t="n"/>
      <c r="CG2949" s="208" t="n"/>
      <c r="CH2949" s="207" t="n"/>
      <c r="CI2949" s="208" t="n"/>
      <c r="CJ2949" s="204" t="n"/>
      <c r="CK2949" s="208" t="n"/>
      <c r="CL2949" s="208" t="n"/>
      <c r="CM2949" s="208" t="n"/>
      <c r="CN2949" s="78" t="n"/>
      <c r="CO2949" s="209" t="n"/>
      <c r="CP2949" s="204" t="n"/>
      <c r="CQ2949" s="204" t="n"/>
      <c r="CR2949" s="204" t="n"/>
      <c r="CS2949" s="204" t="n"/>
      <c r="CT2949" s="204" t="n"/>
      <c r="CU2949" s="204" t="n"/>
      <c r="CV2949" s="204" t="n"/>
      <c r="CW2949" s="204" t="n"/>
    </row>
    <row r="2950">
      <c r="BF2950" s="78" t="n"/>
      <c r="BG2950" s="78" t="n"/>
      <c r="BH2950" s="78" t="n"/>
      <c r="BI2950" s="78" t="n"/>
      <c r="BJ2950" s="139" t="n"/>
      <c r="BK2950" s="204" t="n"/>
      <c r="BL2950" s="141" t="n"/>
      <c r="BM2950" s="205" t="n"/>
      <c r="BN2950" s="205" t="n"/>
      <c r="BO2950" s="206" t="n"/>
      <c r="BP2950" s="144" t="n"/>
      <c r="BQ2950" s="141" t="n"/>
      <c r="BR2950" s="207" t="n"/>
      <c r="BS2950" s="207" t="n"/>
      <c r="BT2950" s="207" t="n"/>
      <c r="BU2950" s="207" t="n"/>
      <c r="BV2950" s="208" t="n"/>
      <c r="BW2950" s="207" t="n"/>
      <c r="BX2950" s="207" t="n"/>
      <c r="BY2950" s="204" t="n"/>
      <c r="BZ2950" s="148" t="n"/>
      <c r="CA2950" s="204" t="n"/>
      <c r="CB2950" s="208" t="n"/>
      <c r="CC2950" s="139" t="n"/>
      <c r="CD2950" s="204" t="n"/>
      <c r="CE2950" s="204" t="n"/>
      <c r="CF2950" s="207" t="n"/>
      <c r="CG2950" s="208" t="n"/>
      <c r="CH2950" s="207" t="n"/>
      <c r="CI2950" s="208" t="n"/>
      <c r="CJ2950" s="204" t="n"/>
      <c r="CK2950" s="208" t="n"/>
      <c r="CL2950" s="208" t="n"/>
      <c r="CM2950" s="208" t="n"/>
      <c r="CN2950" s="78" t="n"/>
      <c r="CO2950" s="209" t="n"/>
      <c r="CP2950" s="204" t="n"/>
      <c r="CQ2950" s="204" t="n"/>
      <c r="CR2950" s="204" t="n"/>
      <c r="CS2950" s="204" t="n"/>
      <c r="CT2950" s="204" t="n"/>
      <c r="CU2950" s="204" t="n"/>
      <c r="CV2950" s="204" t="n"/>
      <c r="CW2950" s="204" t="n"/>
    </row>
    <row r="2951">
      <c r="BF2951" s="78" t="n"/>
      <c r="BG2951" s="78" t="n"/>
      <c r="BH2951" s="78" t="n"/>
      <c r="BI2951" s="78" t="n"/>
      <c r="BJ2951" s="139" t="n"/>
      <c r="BK2951" s="204" t="n"/>
      <c r="BL2951" s="141" t="n"/>
      <c r="BM2951" s="205" t="n"/>
      <c r="BN2951" s="205" t="n"/>
      <c r="BO2951" s="206" t="n"/>
      <c r="BP2951" s="144" t="n"/>
      <c r="BQ2951" s="141" t="n"/>
      <c r="BR2951" s="207" t="n"/>
      <c r="BS2951" s="207" t="n"/>
      <c r="BT2951" s="207" t="n"/>
      <c r="BU2951" s="207" t="n"/>
      <c r="BV2951" s="208" t="n"/>
      <c r="BW2951" s="207" t="n"/>
      <c r="BX2951" s="207" t="n"/>
      <c r="BY2951" s="204" t="n"/>
      <c r="BZ2951" s="148" t="n"/>
      <c r="CA2951" s="204" t="n"/>
      <c r="CB2951" s="208" t="n"/>
      <c r="CC2951" s="139" t="n"/>
      <c r="CD2951" s="204" t="n"/>
      <c r="CE2951" s="204" t="n"/>
      <c r="CF2951" s="207" t="n"/>
      <c r="CG2951" s="208" t="n"/>
      <c r="CH2951" s="207" t="n"/>
      <c r="CI2951" s="208" t="n"/>
      <c r="CJ2951" s="204" t="n"/>
      <c r="CK2951" s="208" t="n"/>
      <c r="CL2951" s="208" t="n"/>
      <c r="CM2951" s="208" t="n"/>
      <c r="CN2951" s="78" t="n"/>
      <c r="CO2951" s="209" t="n"/>
      <c r="CP2951" s="204" t="n"/>
      <c r="CQ2951" s="204" t="n"/>
      <c r="CR2951" s="204" t="n"/>
      <c r="CS2951" s="204" t="n"/>
      <c r="CT2951" s="204" t="n"/>
      <c r="CU2951" s="204" t="n"/>
      <c r="CV2951" s="204" t="n"/>
      <c r="CW2951" s="204" t="n"/>
    </row>
    <row r="2952">
      <c r="BF2952" s="78" t="n"/>
      <c r="BG2952" s="78" t="n"/>
      <c r="BH2952" s="78" t="n"/>
      <c r="BI2952" s="78" t="n"/>
      <c r="BJ2952" s="139" t="n"/>
      <c r="BK2952" s="204" t="n"/>
      <c r="BL2952" s="141" t="n"/>
      <c r="BM2952" s="205" t="n"/>
      <c r="BN2952" s="205" t="n"/>
      <c r="BO2952" s="206" t="n"/>
      <c r="BP2952" s="144" t="n"/>
      <c r="BQ2952" s="141" t="n"/>
      <c r="BR2952" s="207" t="n"/>
      <c r="BS2952" s="207" t="n"/>
      <c r="BT2952" s="207" t="n"/>
      <c r="BU2952" s="207" t="n"/>
      <c r="BV2952" s="208" t="n"/>
      <c r="BW2952" s="207" t="n"/>
      <c r="BX2952" s="207" t="n"/>
      <c r="BY2952" s="204" t="n"/>
      <c r="BZ2952" s="148" t="n"/>
      <c r="CA2952" s="204" t="n"/>
      <c r="CB2952" s="208" t="n"/>
      <c r="CC2952" s="139" t="n"/>
      <c r="CD2952" s="204" t="n"/>
      <c r="CE2952" s="204" t="n"/>
      <c r="CF2952" s="207" t="n"/>
      <c r="CG2952" s="208" t="n"/>
      <c r="CH2952" s="207" t="n"/>
      <c r="CI2952" s="208" t="n"/>
      <c r="CJ2952" s="204" t="n"/>
      <c r="CK2952" s="208" t="n"/>
      <c r="CL2952" s="208" t="n"/>
      <c r="CM2952" s="208" t="n"/>
      <c r="CN2952" s="78" t="n"/>
      <c r="CO2952" s="209" t="n"/>
      <c r="CP2952" s="204" t="n"/>
      <c r="CQ2952" s="204" t="n"/>
      <c r="CR2952" s="204" t="n"/>
      <c r="CS2952" s="204" t="n"/>
      <c r="CT2952" s="204" t="n"/>
      <c r="CU2952" s="204" t="n"/>
      <c r="CV2952" s="204" t="n"/>
      <c r="CW2952" s="204" t="n"/>
    </row>
    <row r="2953">
      <c r="BF2953" s="78" t="n"/>
      <c r="BG2953" s="78" t="n"/>
      <c r="BH2953" s="78" t="n"/>
      <c r="BI2953" s="78" t="n"/>
      <c r="BJ2953" s="139" t="n"/>
      <c r="BK2953" s="204" t="n"/>
      <c r="BL2953" s="141" t="n"/>
      <c r="BM2953" s="205" t="n"/>
      <c r="BN2953" s="205" t="n"/>
      <c r="BO2953" s="206" t="n"/>
      <c r="BP2953" s="144" t="n"/>
      <c r="BQ2953" s="141" t="n"/>
      <c r="BR2953" s="207" t="n"/>
      <c r="BS2953" s="207" t="n"/>
      <c r="BT2953" s="207" t="n"/>
      <c r="BU2953" s="207" t="n"/>
      <c r="BV2953" s="208" t="n"/>
      <c r="BW2953" s="207" t="n"/>
      <c r="BX2953" s="207" t="n"/>
      <c r="BY2953" s="204" t="n"/>
      <c r="BZ2953" s="148" t="n"/>
      <c r="CA2953" s="204" t="n"/>
      <c r="CB2953" s="208" t="n"/>
      <c r="CC2953" s="139" t="n"/>
      <c r="CD2953" s="204" t="n"/>
      <c r="CE2953" s="204" t="n"/>
      <c r="CF2953" s="207" t="n"/>
      <c r="CG2953" s="208" t="n"/>
      <c r="CH2953" s="207" t="n"/>
      <c r="CI2953" s="208" t="n"/>
      <c r="CJ2953" s="204" t="n"/>
      <c r="CK2953" s="208" t="n"/>
      <c r="CL2953" s="208" t="n"/>
      <c r="CM2953" s="208" t="n"/>
      <c r="CN2953" s="78" t="n"/>
      <c r="CO2953" s="209" t="n"/>
      <c r="CP2953" s="204" t="n"/>
      <c r="CQ2953" s="204" t="n"/>
      <c r="CR2953" s="204" t="n"/>
      <c r="CS2953" s="204" t="n"/>
      <c r="CT2953" s="204" t="n"/>
      <c r="CU2953" s="204" t="n"/>
      <c r="CV2953" s="204" t="n"/>
      <c r="CW2953" s="204" t="n"/>
    </row>
    <row r="2954">
      <c r="BF2954" s="78" t="n"/>
      <c r="BG2954" s="78" t="n"/>
      <c r="BH2954" s="78" t="n"/>
      <c r="BI2954" s="78" t="n"/>
      <c r="BJ2954" s="139" t="n"/>
      <c r="BK2954" s="204" t="n"/>
      <c r="BL2954" s="141" t="n"/>
      <c r="BM2954" s="205" t="n"/>
      <c r="BN2954" s="205" t="n"/>
      <c r="BO2954" s="206" t="n"/>
      <c r="BP2954" s="144" t="n"/>
      <c r="BQ2954" s="141" t="n"/>
      <c r="BR2954" s="207" t="n"/>
      <c r="BS2954" s="207" t="n"/>
      <c r="BT2954" s="207" t="n"/>
      <c r="BU2954" s="207" t="n"/>
      <c r="BV2954" s="208" t="n"/>
      <c r="BW2954" s="207" t="n"/>
      <c r="BX2954" s="207" t="n"/>
      <c r="BY2954" s="204" t="n"/>
      <c r="BZ2954" s="148" t="n"/>
      <c r="CA2954" s="204" t="n"/>
      <c r="CB2954" s="208" t="n"/>
      <c r="CC2954" s="139" t="n"/>
      <c r="CD2954" s="204" t="n"/>
      <c r="CE2954" s="204" t="n"/>
      <c r="CF2954" s="207" t="n"/>
      <c r="CG2954" s="208" t="n"/>
      <c r="CH2954" s="207" t="n"/>
      <c r="CI2954" s="208" t="n"/>
      <c r="CJ2954" s="204" t="n"/>
      <c r="CK2954" s="208" t="n"/>
      <c r="CL2954" s="208" t="n"/>
      <c r="CM2954" s="208" t="n"/>
      <c r="CN2954" s="78" t="n"/>
      <c r="CO2954" s="209" t="n"/>
      <c r="CP2954" s="204" t="n"/>
      <c r="CQ2954" s="204" t="n"/>
      <c r="CR2954" s="204" t="n"/>
      <c r="CS2954" s="204" t="n"/>
      <c r="CT2954" s="204" t="n"/>
      <c r="CU2954" s="204" t="n"/>
      <c r="CV2954" s="204" t="n"/>
      <c r="CW2954" s="204" t="n"/>
    </row>
    <row r="2955">
      <c r="BF2955" s="78" t="n"/>
      <c r="BG2955" s="78" t="n"/>
      <c r="BH2955" s="78" t="n"/>
      <c r="BI2955" s="78" t="n"/>
      <c r="BJ2955" s="139" t="n"/>
      <c r="BK2955" s="204" t="n"/>
      <c r="BL2955" s="141" t="n"/>
      <c r="BM2955" s="205" t="n"/>
      <c r="BN2955" s="205" t="n"/>
      <c r="BO2955" s="206" t="n"/>
      <c r="BP2955" s="144" t="n"/>
      <c r="BQ2955" s="141" t="n"/>
      <c r="BR2955" s="207" t="n"/>
      <c r="BS2955" s="207" t="n"/>
      <c r="BT2955" s="207" t="n"/>
      <c r="BU2955" s="207" t="n"/>
      <c r="BV2955" s="208" t="n"/>
      <c r="BW2955" s="207" t="n"/>
      <c r="BX2955" s="207" t="n"/>
      <c r="BY2955" s="204" t="n"/>
      <c r="BZ2955" s="148" t="n"/>
      <c r="CA2955" s="204" t="n"/>
      <c r="CB2955" s="208" t="n"/>
      <c r="CC2955" s="139" t="n"/>
      <c r="CD2955" s="204" t="n"/>
      <c r="CE2955" s="204" t="n"/>
      <c r="CF2955" s="207" t="n"/>
      <c r="CG2955" s="208" t="n"/>
      <c r="CH2955" s="207" t="n"/>
      <c r="CI2955" s="208" t="n"/>
      <c r="CJ2955" s="204" t="n"/>
      <c r="CK2955" s="208" t="n"/>
      <c r="CL2955" s="208" t="n"/>
      <c r="CM2955" s="208" t="n"/>
      <c r="CN2955" s="78" t="n"/>
      <c r="CO2955" s="209" t="n"/>
      <c r="CP2955" s="204" t="n"/>
      <c r="CQ2955" s="204" t="n"/>
      <c r="CR2955" s="204" t="n"/>
      <c r="CS2955" s="204" t="n"/>
      <c r="CT2955" s="204" t="n"/>
      <c r="CU2955" s="204" t="n"/>
      <c r="CV2955" s="204" t="n"/>
      <c r="CW2955" s="204" t="n"/>
    </row>
    <row r="2956">
      <c r="BF2956" s="78" t="n"/>
      <c r="BG2956" s="78" t="n"/>
      <c r="BH2956" s="78" t="n"/>
      <c r="BI2956" s="78" t="n"/>
      <c r="BJ2956" s="139" t="n"/>
      <c r="BK2956" s="204" t="n"/>
      <c r="BL2956" s="141" t="n"/>
      <c r="BM2956" s="205" t="n"/>
      <c r="BN2956" s="205" t="n"/>
      <c r="BO2956" s="206" t="n"/>
      <c r="BP2956" s="144" t="n"/>
      <c r="BQ2956" s="141" t="n"/>
      <c r="BR2956" s="207" t="n"/>
      <c r="BS2956" s="207" t="n"/>
      <c r="BT2956" s="207" t="n"/>
      <c r="BU2956" s="207" t="n"/>
      <c r="BV2956" s="208" t="n"/>
      <c r="BW2956" s="207" t="n"/>
      <c r="BX2956" s="207" t="n"/>
      <c r="BY2956" s="204" t="n"/>
      <c r="BZ2956" s="148" t="n"/>
      <c r="CA2956" s="204" t="n"/>
      <c r="CB2956" s="208" t="n"/>
      <c r="CC2956" s="139" t="n"/>
      <c r="CD2956" s="204" t="n"/>
      <c r="CE2956" s="204" t="n"/>
      <c r="CF2956" s="207" t="n"/>
      <c r="CG2956" s="208" t="n"/>
      <c r="CH2956" s="207" t="n"/>
      <c r="CI2956" s="208" t="n"/>
      <c r="CJ2956" s="204" t="n"/>
      <c r="CK2956" s="208" t="n"/>
      <c r="CL2956" s="208" t="n"/>
      <c r="CM2956" s="208" t="n"/>
      <c r="CN2956" s="78" t="n"/>
      <c r="CO2956" s="209" t="n"/>
      <c r="CP2956" s="204" t="n"/>
      <c r="CQ2956" s="204" t="n"/>
      <c r="CR2956" s="204" t="n"/>
      <c r="CS2956" s="204" t="n"/>
      <c r="CT2956" s="204" t="n"/>
      <c r="CU2956" s="204" t="n"/>
      <c r="CV2956" s="204" t="n"/>
      <c r="CW2956" s="204" t="n"/>
    </row>
    <row r="2957">
      <c r="BF2957" s="78" t="n"/>
      <c r="BG2957" s="78" t="n"/>
      <c r="BH2957" s="78" t="n"/>
      <c r="BI2957" s="78" t="n"/>
      <c r="BJ2957" s="139" t="n"/>
      <c r="BK2957" s="204" t="n"/>
      <c r="BL2957" s="141" t="n"/>
      <c r="BM2957" s="205" t="n"/>
      <c r="BN2957" s="205" t="n"/>
      <c r="BO2957" s="206" t="n"/>
      <c r="BP2957" s="144" t="n"/>
      <c r="BQ2957" s="141" t="n"/>
      <c r="BR2957" s="207" t="n"/>
      <c r="BS2957" s="207" t="n"/>
      <c r="BT2957" s="207" t="n"/>
      <c r="BU2957" s="207" t="n"/>
      <c r="BV2957" s="208" t="n"/>
      <c r="BW2957" s="207" t="n"/>
      <c r="BX2957" s="207" t="n"/>
      <c r="BY2957" s="204" t="n"/>
      <c r="BZ2957" s="148" t="n"/>
      <c r="CA2957" s="204" t="n"/>
      <c r="CB2957" s="208" t="n"/>
      <c r="CC2957" s="139" t="n"/>
      <c r="CD2957" s="204" t="n"/>
      <c r="CE2957" s="204" t="n"/>
      <c r="CF2957" s="207" t="n"/>
      <c r="CG2957" s="208" t="n"/>
      <c r="CH2957" s="207" t="n"/>
      <c r="CI2957" s="208" t="n"/>
      <c r="CJ2957" s="204" t="n"/>
      <c r="CK2957" s="208" t="n"/>
      <c r="CL2957" s="208" t="n"/>
      <c r="CM2957" s="208" t="n"/>
      <c r="CN2957" s="78" t="n"/>
      <c r="CO2957" s="209" t="n"/>
      <c r="CP2957" s="204" t="n"/>
      <c r="CQ2957" s="204" t="n"/>
      <c r="CR2957" s="204" t="n"/>
      <c r="CS2957" s="204" t="n"/>
      <c r="CT2957" s="204" t="n"/>
      <c r="CU2957" s="204" t="n"/>
      <c r="CV2957" s="204" t="n"/>
      <c r="CW2957" s="204" t="n"/>
    </row>
    <row r="2958">
      <c r="BF2958" s="78" t="n"/>
      <c r="BG2958" s="78" t="n"/>
      <c r="BH2958" s="78" t="n"/>
      <c r="BI2958" s="78" t="n"/>
      <c r="BJ2958" s="139" t="n"/>
      <c r="BK2958" s="204" t="n"/>
      <c r="BL2958" s="141" t="n"/>
      <c r="BM2958" s="205" t="n"/>
      <c r="BN2958" s="205" t="n"/>
      <c r="BO2958" s="206" t="n"/>
      <c r="BP2958" s="144" t="n"/>
      <c r="BQ2958" s="141" t="n"/>
      <c r="BR2958" s="207" t="n"/>
      <c r="BS2958" s="207" t="n"/>
      <c r="BT2958" s="207" t="n"/>
      <c r="BU2958" s="207" t="n"/>
      <c r="BV2958" s="208" t="n"/>
      <c r="BW2958" s="207" t="n"/>
      <c r="BX2958" s="207" t="n"/>
      <c r="BY2958" s="204" t="n"/>
      <c r="BZ2958" s="148" t="n"/>
      <c r="CA2958" s="204" t="n"/>
      <c r="CB2958" s="208" t="n"/>
      <c r="CC2958" s="139" t="n"/>
      <c r="CD2958" s="204" t="n"/>
      <c r="CE2958" s="204" t="n"/>
      <c r="CF2958" s="207" t="n"/>
      <c r="CG2958" s="208" t="n"/>
      <c r="CH2958" s="207" t="n"/>
      <c r="CI2958" s="208" t="n"/>
      <c r="CJ2958" s="204" t="n"/>
      <c r="CK2958" s="208" t="n"/>
      <c r="CL2958" s="208" t="n"/>
      <c r="CM2958" s="208" t="n"/>
      <c r="CN2958" s="78" t="n"/>
      <c r="CO2958" s="209" t="n"/>
      <c r="CP2958" s="204" t="n"/>
      <c r="CQ2958" s="204" t="n"/>
      <c r="CR2958" s="204" t="n"/>
      <c r="CS2958" s="204" t="n"/>
      <c r="CT2958" s="204" t="n"/>
      <c r="CU2958" s="204" t="n"/>
      <c r="CV2958" s="204" t="n"/>
      <c r="CW2958" s="204" t="n"/>
    </row>
    <row r="2959">
      <c r="BF2959" s="78" t="n"/>
      <c r="BG2959" s="78" t="n"/>
      <c r="BH2959" s="78" t="n"/>
      <c r="BI2959" s="78" t="n"/>
      <c r="BJ2959" s="139" t="n"/>
      <c r="BK2959" s="204" t="n"/>
      <c r="BL2959" s="141" t="n"/>
      <c r="BM2959" s="205" t="n"/>
      <c r="BN2959" s="205" t="n"/>
      <c r="BO2959" s="206" t="n"/>
      <c r="BP2959" s="144" t="n"/>
      <c r="BQ2959" s="141" t="n"/>
      <c r="BR2959" s="207" t="n"/>
      <c r="BS2959" s="207" t="n"/>
      <c r="BT2959" s="207" t="n"/>
      <c r="BU2959" s="207" t="n"/>
      <c r="BV2959" s="208" t="n"/>
      <c r="BW2959" s="207" t="n"/>
      <c r="BX2959" s="207" t="n"/>
      <c r="BY2959" s="204" t="n"/>
      <c r="BZ2959" s="148" t="n"/>
      <c r="CA2959" s="204" t="n"/>
      <c r="CB2959" s="208" t="n"/>
      <c r="CC2959" s="139" t="n"/>
      <c r="CD2959" s="204" t="n"/>
      <c r="CE2959" s="204" t="n"/>
      <c r="CF2959" s="207" t="n"/>
      <c r="CG2959" s="208" t="n"/>
      <c r="CH2959" s="207" t="n"/>
      <c r="CI2959" s="208" t="n"/>
      <c r="CJ2959" s="204" t="n"/>
      <c r="CK2959" s="208" t="n"/>
      <c r="CL2959" s="208" t="n"/>
      <c r="CM2959" s="208" t="n"/>
      <c r="CN2959" s="78" t="n"/>
      <c r="CO2959" s="209" t="n"/>
      <c r="CP2959" s="204" t="n"/>
      <c r="CQ2959" s="204" t="n"/>
      <c r="CR2959" s="204" t="n"/>
      <c r="CS2959" s="204" t="n"/>
      <c r="CT2959" s="204" t="n"/>
      <c r="CU2959" s="204" t="n"/>
      <c r="CV2959" s="204" t="n"/>
      <c r="CW2959" s="204" t="n"/>
    </row>
    <row r="2960">
      <c r="BF2960" s="78" t="n"/>
      <c r="BG2960" s="78" t="n"/>
      <c r="BH2960" s="78" t="n"/>
      <c r="BI2960" s="78" t="n"/>
      <c r="BJ2960" s="139" t="n"/>
      <c r="BK2960" s="204" t="n"/>
      <c r="BL2960" s="141" t="n"/>
      <c r="BM2960" s="205" t="n"/>
      <c r="BN2960" s="205" t="n"/>
      <c r="BO2960" s="206" t="n"/>
      <c r="BP2960" s="144" t="n"/>
      <c r="BQ2960" s="141" t="n"/>
      <c r="BR2960" s="207" t="n"/>
      <c r="BS2960" s="207" t="n"/>
      <c r="BT2960" s="207" t="n"/>
      <c r="BU2960" s="207" t="n"/>
      <c r="BV2960" s="208" t="n"/>
      <c r="BW2960" s="207" t="n"/>
      <c r="BX2960" s="207" t="n"/>
      <c r="BY2960" s="204" t="n"/>
      <c r="BZ2960" s="148" t="n"/>
      <c r="CA2960" s="204" t="n"/>
      <c r="CB2960" s="208" t="n"/>
      <c r="CC2960" s="139" t="n"/>
      <c r="CD2960" s="204" t="n"/>
      <c r="CE2960" s="204" t="n"/>
      <c r="CF2960" s="207" t="n"/>
      <c r="CG2960" s="208" t="n"/>
      <c r="CH2960" s="207" t="n"/>
      <c r="CI2960" s="208" t="n"/>
      <c r="CJ2960" s="204" t="n"/>
      <c r="CK2960" s="208" t="n"/>
      <c r="CL2960" s="208" t="n"/>
      <c r="CM2960" s="208" t="n"/>
      <c r="CN2960" s="78" t="n"/>
      <c r="CO2960" s="209" t="n"/>
      <c r="CP2960" s="204" t="n"/>
      <c r="CQ2960" s="204" t="n"/>
      <c r="CR2960" s="204" t="n"/>
      <c r="CS2960" s="204" t="n"/>
      <c r="CT2960" s="204" t="n"/>
      <c r="CU2960" s="204" t="n"/>
      <c r="CV2960" s="204" t="n"/>
      <c r="CW2960" s="204" t="n"/>
    </row>
    <row r="2961">
      <c r="BF2961" s="78" t="n"/>
      <c r="BG2961" s="78" t="n"/>
      <c r="BH2961" s="78" t="n"/>
      <c r="BI2961" s="78" t="n"/>
      <c r="BJ2961" s="139" t="n"/>
      <c r="BK2961" s="204" t="n"/>
      <c r="BL2961" s="141" t="n"/>
      <c r="BM2961" s="205" t="n"/>
      <c r="BN2961" s="205" t="n"/>
      <c r="BO2961" s="206" t="n"/>
      <c r="BP2961" s="144" t="n"/>
      <c r="BQ2961" s="141" t="n"/>
      <c r="BR2961" s="207" t="n"/>
      <c r="BS2961" s="207" t="n"/>
      <c r="BT2961" s="207" t="n"/>
      <c r="BU2961" s="207" t="n"/>
      <c r="BV2961" s="208" t="n"/>
      <c r="BW2961" s="207" t="n"/>
      <c r="BX2961" s="207" t="n"/>
      <c r="BY2961" s="204" t="n"/>
      <c r="BZ2961" s="148" t="n"/>
      <c r="CA2961" s="204" t="n"/>
      <c r="CB2961" s="208" t="n"/>
      <c r="CC2961" s="139" t="n"/>
      <c r="CD2961" s="204" t="n"/>
      <c r="CE2961" s="204" t="n"/>
      <c r="CF2961" s="207" t="n"/>
      <c r="CG2961" s="208" t="n"/>
      <c r="CH2961" s="207" t="n"/>
      <c r="CI2961" s="208" t="n"/>
      <c r="CJ2961" s="204" t="n"/>
      <c r="CK2961" s="208" t="n"/>
      <c r="CL2961" s="208" t="n"/>
      <c r="CM2961" s="208" t="n"/>
      <c r="CN2961" s="78" t="n"/>
      <c r="CO2961" s="209" t="n"/>
      <c r="CP2961" s="204" t="n"/>
      <c r="CQ2961" s="204" t="n"/>
      <c r="CR2961" s="204" t="n"/>
      <c r="CS2961" s="204" t="n"/>
      <c r="CT2961" s="204" t="n"/>
      <c r="CU2961" s="204" t="n"/>
      <c r="CV2961" s="204" t="n"/>
      <c r="CW2961" s="204" t="n"/>
    </row>
    <row r="2962">
      <c r="BF2962" s="78" t="n"/>
      <c r="BG2962" s="78" t="n"/>
      <c r="BH2962" s="78" t="n"/>
      <c r="BI2962" s="78" t="n"/>
      <c r="BJ2962" s="139" t="n"/>
      <c r="BK2962" s="204" t="n"/>
      <c r="BL2962" s="141" t="n"/>
      <c r="BM2962" s="205" t="n"/>
      <c r="BN2962" s="205" t="n"/>
      <c r="BO2962" s="206" t="n"/>
      <c r="BP2962" s="144" t="n"/>
      <c r="BQ2962" s="141" t="n"/>
      <c r="BR2962" s="207" t="n"/>
      <c r="BS2962" s="207" t="n"/>
      <c r="BT2962" s="207" t="n"/>
      <c r="BU2962" s="207" t="n"/>
      <c r="BV2962" s="208" t="n"/>
      <c r="BW2962" s="207" t="n"/>
      <c r="BX2962" s="207" t="n"/>
      <c r="BY2962" s="204" t="n"/>
      <c r="BZ2962" s="148" t="n"/>
      <c r="CA2962" s="204" t="n"/>
      <c r="CB2962" s="208" t="n"/>
      <c r="CC2962" s="139" t="n"/>
      <c r="CD2962" s="204" t="n"/>
      <c r="CE2962" s="204" t="n"/>
      <c r="CF2962" s="207" t="n"/>
      <c r="CG2962" s="208" t="n"/>
      <c r="CH2962" s="207" t="n"/>
      <c r="CI2962" s="208" t="n"/>
      <c r="CJ2962" s="204" t="n"/>
      <c r="CK2962" s="208" t="n"/>
      <c r="CL2962" s="208" t="n"/>
      <c r="CM2962" s="208" t="n"/>
      <c r="CN2962" s="78" t="n"/>
      <c r="CO2962" s="209" t="n"/>
      <c r="CP2962" s="204" t="n"/>
      <c r="CQ2962" s="204" t="n"/>
      <c r="CR2962" s="204" t="n"/>
      <c r="CS2962" s="204" t="n"/>
      <c r="CT2962" s="204" t="n"/>
      <c r="CU2962" s="204" t="n"/>
      <c r="CV2962" s="204" t="n"/>
      <c r="CW2962" s="204" t="n"/>
    </row>
    <row r="2963">
      <c r="BF2963" s="78" t="n"/>
      <c r="BG2963" s="78" t="n"/>
      <c r="BH2963" s="78" t="n"/>
      <c r="BI2963" s="78" t="n"/>
      <c r="BJ2963" s="139" t="n"/>
      <c r="BK2963" s="204" t="n"/>
      <c r="BL2963" s="141" t="n"/>
      <c r="BM2963" s="205" t="n"/>
      <c r="BN2963" s="205" t="n"/>
      <c r="BO2963" s="206" t="n"/>
      <c r="BP2963" s="144" t="n"/>
      <c r="BQ2963" s="141" t="n"/>
      <c r="BR2963" s="207" t="n"/>
      <c r="BS2963" s="207" t="n"/>
      <c r="BT2963" s="207" t="n"/>
      <c r="BU2963" s="207" t="n"/>
      <c r="BV2963" s="208" t="n"/>
      <c r="BW2963" s="207" t="n"/>
      <c r="BX2963" s="207" t="n"/>
      <c r="BY2963" s="204" t="n"/>
      <c r="BZ2963" s="148" t="n"/>
      <c r="CA2963" s="204" t="n"/>
      <c r="CB2963" s="208" t="n"/>
      <c r="CC2963" s="139" t="n"/>
      <c r="CD2963" s="204" t="n"/>
      <c r="CE2963" s="204" t="n"/>
      <c r="CF2963" s="207" t="n"/>
      <c r="CG2963" s="208" t="n"/>
      <c r="CH2963" s="207" t="n"/>
      <c r="CI2963" s="208" t="n"/>
      <c r="CJ2963" s="204" t="n"/>
      <c r="CK2963" s="208" t="n"/>
      <c r="CL2963" s="208" t="n"/>
      <c r="CM2963" s="208" t="n"/>
      <c r="CN2963" s="78" t="n"/>
      <c r="CO2963" s="209" t="n"/>
      <c r="CP2963" s="204" t="n"/>
      <c r="CQ2963" s="204" t="n"/>
      <c r="CR2963" s="204" t="n"/>
      <c r="CS2963" s="204" t="n"/>
      <c r="CT2963" s="204" t="n"/>
      <c r="CU2963" s="204" t="n"/>
      <c r="CV2963" s="204" t="n"/>
      <c r="CW2963" s="204" t="n"/>
    </row>
    <row r="2964">
      <c r="BF2964" s="78" t="n"/>
      <c r="BG2964" s="78" t="n"/>
      <c r="BH2964" s="78" t="n"/>
      <c r="BI2964" s="78" t="n"/>
      <c r="BJ2964" s="139" t="n"/>
      <c r="BK2964" s="204" t="n"/>
      <c r="BL2964" s="141" t="n"/>
      <c r="BM2964" s="205" t="n"/>
      <c r="BN2964" s="205" t="n"/>
      <c r="BO2964" s="206" t="n"/>
      <c r="BP2964" s="144" t="n"/>
      <c r="BQ2964" s="141" t="n"/>
      <c r="BR2964" s="207" t="n"/>
      <c r="BS2964" s="207" t="n"/>
      <c r="BT2964" s="207" t="n"/>
      <c r="BU2964" s="207" t="n"/>
      <c r="BV2964" s="208" t="n"/>
      <c r="BW2964" s="207" t="n"/>
      <c r="BX2964" s="207" t="n"/>
      <c r="BY2964" s="204" t="n"/>
      <c r="BZ2964" s="148" t="n"/>
      <c r="CA2964" s="204" t="n"/>
      <c r="CB2964" s="208" t="n"/>
      <c r="CC2964" s="139" t="n"/>
      <c r="CD2964" s="204" t="n"/>
      <c r="CE2964" s="204" t="n"/>
      <c r="CF2964" s="207" t="n"/>
      <c r="CG2964" s="208" t="n"/>
      <c r="CH2964" s="207" t="n"/>
      <c r="CI2964" s="208" t="n"/>
      <c r="CJ2964" s="204" t="n"/>
      <c r="CK2964" s="208" t="n"/>
      <c r="CL2964" s="208" t="n"/>
      <c r="CM2964" s="208" t="n"/>
      <c r="CN2964" s="78" t="n"/>
      <c r="CO2964" s="209" t="n"/>
      <c r="CP2964" s="204" t="n"/>
      <c r="CQ2964" s="204" t="n"/>
      <c r="CR2964" s="204" t="n"/>
      <c r="CS2964" s="204" t="n"/>
      <c r="CT2964" s="204" t="n"/>
      <c r="CU2964" s="204" t="n"/>
      <c r="CV2964" s="204" t="n"/>
      <c r="CW2964" s="204" t="n"/>
    </row>
    <row r="2965">
      <c r="BF2965" s="78" t="n"/>
      <c r="BG2965" s="78" t="n"/>
      <c r="BH2965" s="78" t="n"/>
      <c r="BI2965" s="78" t="n"/>
      <c r="BJ2965" s="139" t="n"/>
      <c r="BK2965" s="204" t="n"/>
      <c r="BL2965" s="141" t="n"/>
      <c r="BM2965" s="205" t="n"/>
      <c r="BN2965" s="205" t="n"/>
      <c r="BO2965" s="206" t="n"/>
      <c r="BP2965" s="144" t="n"/>
      <c r="BQ2965" s="141" t="n"/>
      <c r="BR2965" s="207" t="n"/>
      <c r="BS2965" s="207" t="n"/>
      <c r="BT2965" s="207" t="n"/>
      <c r="BU2965" s="207" t="n"/>
      <c r="BV2965" s="208" t="n"/>
      <c r="BW2965" s="207" t="n"/>
      <c r="BX2965" s="207" t="n"/>
      <c r="BY2965" s="204" t="n"/>
      <c r="BZ2965" s="148" t="n"/>
      <c r="CA2965" s="204" t="n"/>
      <c r="CB2965" s="208" t="n"/>
      <c r="CC2965" s="139" t="n"/>
      <c r="CD2965" s="204" t="n"/>
      <c r="CE2965" s="204" t="n"/>
      <c r="CF2965" s="207" t="n"/>
      <c r="CG2965" s="208" t="n"/>
      <c r="CH2965" s="207" t="n"/>
      <c r="CI2965" s="208" t="n"/>
      <c r="CJ2965" s="204" t="n"/>
      <c r="CK2965" s="208" t="n"/>
      <c r="CL2965" s="208" t="n"/>
      <c r="CM2965" s="208" t="n"/>
      <c r="CN2965" s="78" t="n"/>
      <c r="CO2965" s="209" t="n"/>
      <c r="CP2965" s="204" t="n"/>
      <c r="CQ2965" s="204" t="n"/>
      <c r="CR2965" s="204" t="n"/>
      <c r="CS2965" s="204" t="n"/>
      <c r="CT2965" s="204" t="n"/>
      <c r="CU2965" s="204" t="n"/>
      <c r="CV2965" s="204" t="n"/>
      <c r="CW2965" s="204" t="n"/>
    </row>
    <row r="2966">
      <c r="BF2966" s="78" t="n"/>
      <c r="BG2966" s="78" t="n"/>
      <c r="BH2966" s="78" t="n"/>
      <c r="BI2966" s="78" t="n"/>
      <c r="BJ2966" s="139" t="n"/>
      <c r="BK2966" s="204" t="n"/>
      <c r="BL2966" s="141" t="n"/>
      <c r="BM2966" s="205" t="n"/>
      <c r="BN2966" s="205" t="n"/>
      <c r="BO2966" s="206" t="n"/>
      <c r="BP2966" s="144" t="n"/>
      <c r="BQ2966" s="141" t="n"/>
      <c r="BR2966" s="207" t="n"/>
      <c r="BS2966" s="207" t="n"/>
      <c r="BT2966" s="207" t="n"/>
      <c r="BU2966" s="207" t="n"/>
      <c r="BV2966" s="208" t="n"/>
      <c r="BW2966" s="207" t="n"/>
      <c r="BX2966" s="207" t="n"/>
      <c r="BY2966" s="204" t="n"/>
      <c r="BZ2966" s="148" t="n"/>
      <c r="CA2966" s="204" t="n"/>
      <c r="CB2966" s="208" t="n"/>
      <c r="CC2966" s="139" t="n"/>
      <c r="CD2966" s="204" t="n"/>
      <c r="CE2966" s="204" t="n"/>
      <c r="CF2966" s="207" t="n"/>
      <c r="CG2966" s="208" t="n"/>
      <c r="CH2966" s="207" t="n"/>
      <c r="CI2966" s="208" t="n"/>
      <c r="CJ2966" s="204" t="n"/>
      <c r="CK2966" s="208" t="n"/>
      <c r="CL2966" s="208" t="n"/>
      <c r="CM2966" s="208" t="n"/>
      <c r="CN2966" s="78" t="n"/>
      <c r="CO2966" s="209" t="n"/>
      <c r="CP2966" s="204" t="n"/>
      <c r="CQ2966" s="204" t="n"/>
      <c r="CR2966" s="204" t="n"/>
      <c r="CS2966" s="204" t="n"/>
      <c r="CT2966" s="204" t="n"/>
      <c r="CU2966" s="204" t="n"/>
      <c r="CV2966" s="204" t="n"/>
      <c r="CW2966" s="204" t="n"/>
    </row>
    <row r="2967">
      <c r="BF2967" s="78" t="n"/>
      <c r="BG2967" s="78" t="n"/>
      <c r="BH2967" s="78" t="n"/>
      <c r="BI2967" s="78" t="n"/>
      <c r="BJ2967" s="139" t="n"/>
      <c r="BK2967" s="204" t="n"/>
      <c r="BL2967" s="141" t="n"/>
      <c r="BM2967" s="205" t="n"/>
      <c r="BN2967" s="205" t="n"/>
      <c r="BO2967" s="206" t="n"/>
      <c r="BP2967" s="144" t="n"/>
      <c r="BQ2967" s="141" t="n"/>
      <c r="BR2967" s="207" t="n"/>
      <c r="BS2967" s="207" t="n"/>
      <c r="BT2967" s="207" t="n"/>
      <c r="BU2967" s="207" t="n"/>
      <c r="BV2967" s="208" t="n"/>
      <c r="BW2967" s="207" t="n"/>
      <c r="BX2967" s="207" t="n"/>
      <c r="BY2967" s="204" t="n"/>
      <c r="BZ2967" s="148" t="n"/>
      <c r="CA2967" s="204" t="n"/>
      <c r="CB2967" s="208" t="n"/>
      <c r="CC2967" s="139" t="n"/>
      <c r="CD2967" s="204" t="n"/>
      <c r="CE2967" s="204" t="n"/>
      <c r="CF2967" s="207" t="n"/>
      <c r="CG2967" s="208" t="n"/>
      <c r="CH2967" s="207" t="n"/>
      <c r="CI2967" s="208" t="n"/>
      <c r="CJ2967" s="204" t="n"/>
      <c r="CK2967" s="208" t="n"/>
      <c r="CL2967" s="208" t="n"/>
      <c r="CM2967" s="208" t="n"/>
      <c r="CN2967" s="78" t="n"/>
      <c r="CO2967" s="209" t="n"/>
      <c r="CP2967" s="204" t="n"/>
      <c r="CQ2967" s="204" t="n"/>
      <c r="CR2967" s="204" t="n"/>
      <c r="CS2967" s="204" t="n"/>
      <c r="CT2967" s="204" t="n"/>
      <c r="CU2967" s="204" t="n"/>
      <c r="CV2967" s="204" t="n"/>
      <c r="CW2967" s="204" t="n"/>
    </row>
    <row r="2968">
      <c r="BF2968" s="78" t="n"/>
      <c r="BG2968" s="78" t="n"/>
      <c r="BH2968" s="78" t="n"/>
      <c r="BI2968" s="78" t="n"/>
      <c r="BJ2968" s="139" t="n"/>
      <c r="BK2968" s="204" t="n"/>
      <c r="BL2968" s="141" t="n"/>
      <c r="BM2968" s="205" t="n"/>
      <c r="BN2968" s="205" t="n"/>
      <c r="BO2968" s="206" t="n"/>
      <c r="BP2968" s="144" t="n"/>
      <c r="BQ2968" s="141" t="n"/>
      <c r="BR2968" s="207" t="n"/>
      <c r="BS2968" s="207" t="n"/>
      <c r="BT2968" s="207" t="n"/>
      <c r="BU2968" s="207" t="n"/>
      <c r="BV2968" s="208" t="n"/>
      <c r="BW2968" s="207" t="n"/>
      <c r="BX2968" s="207" t="n"/>
      <c r="BY2968" s="204" t="n"/>
      <c r="BZ2968" s="148" t="n"/>
      <c r="CA2968" s="204" t="n"/>
      <c r="CB2968" s="208" t="n"/>
      <c r="CC2968" s="139" t="n"/>
      <c r="CD2968" s="204" t="n"/>
      <c r="CE2968" s="204" t="n"/>
      <c r="CF2968" s="207" t="n"/>
      <c r="CG2968" s="208" t="n"/>
      <c r="CH2968" s="207" t="n"/>
      <c r="CI2968" s="208" t="n"/>
      <c r="CJ2968" s="204" t="n"/>
      <c r="CK2968" s="208" t="n"/>
      <c r="CL2968" s="208" t="n"/>
      <c r="CM2968" s="208" t="n"/>
      <c r="CN2968" s="78" t="n"/>
      <c r="CO2968" s="209" t="n"/>
      <c r="CP2968" s="204" t="n"/>
      <c r="CQ2968" s="204" t="n"/>
      <c r="CR2968" s="204" t="n"/>
      <c r="CS2968" s="204" t="n"/>
      <c r="CT2968" s="204" t="n"/>
      <c r="CU2968" s="204" t="n"/>
      <c r="CV2968" s="204" t="n"/>
      <c r="CW2968" s="204" t="n"/>
    </row>
    <row r="2969">
      <c r="BF2969" s="78" t="n"/>
      <c r="BG2969" s="78" t="n"/>
      <c r="BH2969" s="78" t="n"/>
      <c r="BI2969" s="78" t="n"/>
      <c r="BJ2969" s="139" t="n"/>
      <c r="BK2969" s="204" t="n"/>
      <c r="BL2969" s="141" t="n"/>
      <c r="BM2969" s="205" t="n"/>
      <c r="BN2969" s="205" t="n"/>
      <c r="BO2969" s="206" t="n"/>
      <c r="BP2969" s="144" t="n"/>
      <c r="BQ2969" s="141" t="n"/>
      <c r="BR2969" s="207" t="n"/>
      <c r="BS2969" s="207" t="n"/>
      <c r="BT2969" s="207" t="n"/>
      <c r="BU2969" s="207" t="n"/>
      <c r="BV2969" s="208" t="n"/>
      <c r="BW2969" s="207" t="n"/>
      <c r="BX2969" s="207" t="n"/>
      <c r="BY2969" s="204" t="n"/>
      <c r="BZ2969" s="148" t="n"/>
      <c r="CA2969" s="204" t="n"/>
      <c r="CB2969" s="208" t="n"/>
      <c r="CC2969" s="139" t="n"/>
      <c r="CD2969" s="204" t="n"/>
      <c r="CE2969" s="204" t="n"/>
      <c r="CF2969" s="207" t="n"/>
      <c r="CG2969" s="208" t="n"/>
      <c r="CH2969" s="207" t="n"/>
      <c r="CI2969" s="208" t="n"/>
      <c r="CJ2969" s="204" t="n"/>
      <c r="CK2969" s="208" t="n"/>
      <c r="CL2969" s="208" t="n"/>
      <c r="CM2969" s="208" t="n"/>
      <c r="CN2969" s="78" t="n"/>
      <c r="CO2969" s="209" t="n"/>
      <c r="CP2969" s="204" t="n"/>
      <c r="CQ2969" s="204" t="n"/>
      <c r="CR2969" s="204" t="n"/>
      <c r="CS2969" s="204" t="n"/>
      <c r="CT2969" s="204" t="n"/>
      <c r="CU2969" s="204" t="n"/>
      <c r="CV2969" s="204" t="n"/>
      <c r="CW2969" s="204" t="n"/>
    </row>
    <row r="2970">
      <c r="BF2970" s="78" t="n"/>
      <c r="BG2970" s="78" t="n"/>
      <c r="BH2970" s="78" t="n"/>
      <c r="BI2970" s="78" t="n"/>
      <c r="BJ2970" s="139" t="n"/>
      <c r="BK2970" s="204" t="n"/>
      <c r="BL2970" s="141" t="n"/>
      <c r="BM2970" s="205" t="n"/>
      <c r="BN2970" s="205" t="n"/>
      <c r="BO2970" s="206" t="n"/>
      <c r="BP2970" s="144" t="n"/>
      <c r="BQ2970" s="141" t="n"/>
      <c r="BR2970" s="207" t="n"/>
      <c r="BS2970" s="207" t="n"/>
      <c r="BT2970" s="207" t="n"/>
      <c r="BU2970" s="207" t="n"/>
      <c r="BV2970" s="208" t="n"/>
      <c r="BW2970" s="207" t="n"/>
      <c r="BX2970" s="207" t="n"/>
      <c r="BY2970" s="204" t="n"/>
      <c r="BZ2970" s="148" t="n"/>
      <c r="CA2970" s="204" t="n"/>
      <c r="CB2970" s="208" t="n"/>
      <c r="CC2970" s="139" t="n"/>
      <c r="CD2970" s="204" t="n"/>
      <c r="CE2970" s="204" t="n"/>
      <c r="CF2970" s="207" t="n"/>
      <c r="CG2970" s="208" t="n"/>
      <c r="CH2970" s="207" t="n"/>
      <c r="CI2970" s="208" t="n"/>
      <c r="CJ2970" s="204" t="n"/>
      <c r="CK2970" s="208" t="n"/>
      <c r="CL2970" s="208" t="n"/>
      <c r="CM2970" s="208" t="n"/>
      <c r="CN2970" s="78" t="n"/>
      <c r="CO2970" s="209" t="n"/>
      <c r="CP2970" s="204" t="n"/>
      <c r="CQ2970" s="204" t="n"/>
      <c r="CR2970" s="204" t="n"/>
      <c r="CS2970" s="204" t="n"/>
      <c r="CT2970" s="204" t="n"/>
      <c r="CU2970" s="204" t="n"/>
      <c r="CV2970" s="204" t="n"/>
      <c r="CW2970" s="204" t="n"/>
    </row>
    <row r="2971">
      <c r="BF2971" s="78" t="n"/>
      <c r="BG2971" s="78" t="n"/>
      <c r="BH2971" s="78" t="n"/>
      <c r="BI2971" s="78" t="n"/>
      <c r="BJ2971" s="139" t="n"/>
      <c r="BK2971" s="204" t="n"/>
      <c r="BL2971" s="141" t="n"/>
      <c r="BM2971" s="205" t="n"/>
      <c r="BN2971" s="205" t="n"/>
      <c r="BO2971" s="206" t="n"/>
      <c r="BP2971" s="144" t="n"/>
      <c r="BQ2971" s="141" t="n"/>
      <c r="BR2971" s="207" t="n"/>
      <c r="BS2971" s="207" t="n"/>
      <c r="BT2971" s="207" t="n"/>
      <c r="BU2971" s="207" t="n"/>
      <c r="BV2971" s="208" t="n"/>
      <c r="BW2971" s="207" t="n"/>
      <c r="BX2971" s="207" t="n"/>
      <c r="BY2971" s="204" t="n"/>
      <c r="BZ2971" s="148" t="n"/>
      <c r="CA2971" s="204" t="n"/>
      <c r="CB2971" s="208" t="n"/>
      <c r="CC2971" s="139" t="n"/>
      <c r="CD2971" s="204" t="n"/>
      <c r="CE2971" s="204" t="n"/>
      <c r="CF2971" s="207" t="n"/>
      <c r="CG2971" s="208" t="n"/>
      <c r="CH2971" s="207" t="n"/>
      <c r="CI2971" s="208" t="n"/>
      <c r="CJ2971" s="204" t="n"/>
      <c r="CK2971" s="208" t="n"/>
      <c r="CL2971" s="208" t="n"/>
      <c r="CM2971" s="208" t="n"/>
      <c r="CN2971" s="78" t="n"/>
      <c r="CO2971" s="209" t="n"/>
      <c r="CP2971" s="204" t="n"/>
      <c r="CQ2971" s="204" t="n"/>
      <c r="CR2971" s="204" t="n"/>
      <c r="CS2971" s="204" t="n"/>
      <c r="CT2971" s="204" t="n"/>
      <c r="CU2971" s="204" t="n"/>
      <c r="CV2971" s="204" t="n"/>
      <c r="CW2971" s="204" t="n"/>
    </row>
    <row r="2972">
      <c r="BF2972" s="78" t="n"/>
      <c r="BG2972" s="78" t="n"/>
      <c r="BH2972" s="78" t="n"/>
      <c r="BI2972" s="78" t="n"/>
      <c r="BJ2972" s="139" t="n"/>
      <c r="BK2972" s="204" t="n"/>
      <c r="BL2972" s="141" t="n"/>
      <c r="BM2972" s="205" t="n"/>
      <c r="BN2972" s="205" t="n"/>
      <c r="BO2972" s="206" t="n"/>
      <c r="BP2972" s="144" t="n"/>
      <c r="BQ2972" s="141" t="n"/>
      <c r="BR2972" s="207" t="n"/>
      <c r="BS2972" s="207" t="n"/>
      <c r="BT2972" s="207" t="n"/>
      <c r="BU2972" s="207" t="n"/>
      <c r="BV2972" s="208" t="n"/>
      <c r="BW2972" s="207" t="n"/>
      <c r="BX2972" s="207" t="n"/>
      <c r="BY2972" s="204" t="n"/>
      <c r="BZ2972" s="148" t="n"/>
      <c r="CA2972" s="204" t="n"/>
      <c r="CB2972" s="208" t="n"/>
      <c r="CC2972" s="139" t="n"/>
      <c r="CD2972" s="204" t="n"/>
      <c r="CE2972" s="204" t="n"/>
      <c r="CF2972" s="207" t="n"/>
      <c r="CG2972" s="208" t="n"/>
      <c r="CH2972" s="207" t="n"/>
      <c r="CI2972" s="208" t="n"/>
      <c r="CJ2972" s="204" t="n"/>
      <c r="CK2972" s="208" t="n"/>
      <c r="CL2972" s="208" t="n"/>
      <c r="CM2972" s="208" t="n"/>
      <c r="CN2972" s="78" t="n"/>
      <c r="CO2972" s="209" t="n"/>
      <c r="CP2972" s="204" t="n"/>
      <c r="CQ2972" s="204" t="n"/>
      <c r="CR2972" s="204" t="n"/>
      <c r="CS2972" s="204" t="n"/>
      <c r="CT2972" s="204" t="n"/>
      <c r="CU2972" s="204" t="n"/>
      <c r="CV2972" s="204" t="n"/>
      <c r="CW2972" s="204" t="n"/>
    </row>
    <row r="2973">
      <c r="BF2973" s="78" t="n"/>
      <c r="BG2973" s="78" t="n"/>
      <c r="BH2973" s="78" t="n"/>
      <c r="BI2973" s="78" t="n"/>
      <c r="BJ2973" s="139" t="n"/>
      <c r="BK2973" s="204" t="n"/>
      <c r="BL2973" s="141" t="n"/>
      <c r="BM2973" s="205" t="n"/>
      <c r="BN2973" s="205" t="n"/>
      <c r="BO2973" s="206" t="n"/>
      <c r="BP2973" s="144" t="n"/>
      <c r="BQ2973" s="141" t="n"/>
      <c r="BR2973" s="207" t="n"/>
      <c r="BS2973" s="207" t="n"/>
      <c r="BT2973" s="207" t="n"/>
      <c r="BU2973" s="207" t="n"/>
      <c r="BV2973" s="208" t="n"/>
      <c r="BW2973" s="207" t="n"/>
      <c r="BX2973" s="207" t="n"/>
      <c r="BY2973" s="204" t="n"/>
      <c r="BZ2973" s="148" t="n"/>
      <c r="CA2973" s="204" t="n"/>
      <c r="CB2973" s="208" t="n"/>
      <c r="CC2973" s="139" t="n"/>
      <c r="CD2973" s="204" t="n"/>
      <c r="CE2973" s="204" t="n"/>
      <c r="CF2973" s="207" t="n"/>
      <c r="CG2973" s="208" t="n"/>
      <c r="CH2973" s="207" t="n"/>
      <c r="CI2973" s="208" t="n"/>
      <c r="CJ2973" s="204" t="n"/>
      <c r="CK2973" s="208" t="n"/>
      <c r="CL2973" s="208" t="n"/>
      <c r="CM2973" s="208" t="n"/>
      <c r="CN2973" s="78" t="n"/>
      <c r="CO2973" s="209" t="n"/>
      <c r="CP2973" s="204" t="n"/>
      <c r="CQ2973" s="204" t="n"/>
      <c r="CR2973" s="204" t="n"/>
      <c r="CS2973" s="204" t="n"/>
      <c r="CT2973" s="204" t="n"/>
      <c r="CU2973" s="204" t="n"/>
      <c r="CV2973" s="204" t="n"/>
      <c r="CW2973" s="204" t="n"/>
    </row>
    <row r="2974">
      <c r="BF2974" s="78" t="n"/>
      <c r="BG2974" s="78" t="n"/>
      <c r="BH2974" s="78" t="n"/>
      <c r="BI2974" s="78" t="n"/>
      <c r="BJ2974" s="139" t="n"/>
      <c r="BK2974" s="204" t="n"/>
      <c r="BL2974" s="141" t="n"/>
      <c r="BM2974" s="205" t="n"/>
      <c r="BN2974" s="205" t="n"/>
      <c r="BO2974" s="206" t="n"/>
      <c r="BP2974" s="144" t="n"/>
      <c r="BQ2974" s="141" t="n"/>
      <c r="BR2974" s="207" t="n"/>
      <c r="BS2974" s="207" t="n"/>
      <c r="BT2974" s="207" t="n"/>
      <c r="BU2974" s="207" t="n"/>
      <c r="BV2974" s="208" t="n"/>
      <c r="BW2974" s="207" t="n"/>
      <c r="BX2974" s="207" t="n"/>
      <c r="BY2974" s="204" t="n"/>
      <c r="BZ2974" s="148" t="n"/>
      <c r="CA2974" s="204" t="n"/>
      <c r="CB2974" s="208" t="n"/>
      <c r="CC2974" s="139" t="n"/>
      <c r="CD2974" s="204" t="n"/>
      <c r="CE2974" s="204" t="n"/>
      <c r="CF2974" s="207" t="n"/>
      <c r="CG2974" s="208" t="n"/>
      <c r="CH2974" s="207" t="n"/>
      <c r="CI2974" s="208" t="n"/>
      <c r="CJ2974" s="204" t="n"/>
      <c r="CK2974" s="208" t="n"/>
      <c r="CL2974" s="208" t="n"/>
      <c r="CM2974" s="208" t="n"/>
      <c r="CN2974" s="78" t="n"/>
      <c r="CO2974" s="209" t="n"/>
      <c r="CP2974" s="204" t="n"/>
      <c r="CQ2974" s="204" t="n"/>
      <c r="CR2974" s="204" t="n"/>
      <c r="CS2974" s="204" t="n"/>
      <c r="CT2974" s="204" t="n"/>
      <c r="CU2974" s="204" t="n"/>
      <c r="CV2974" s="204" t="n"/>
      <c r="CW2974" s="204" t="n"/>
    </row>
    <row r="2975">
      <c r="BF2975" s="78" t="n"/>
      <c r="BG2975" s="78" t="n"/>
      <c r="BH2975" s="78" t="n"/>
      <c r="BI2975" s="78" t="n"/>
      <c r="BJ2975" s="139" t="n"/>
      <c r="BK2975" s="204" t="n"/>
      <c r="BL2975" s="141" t="n"/>
      <c r="BM2975" s="205" t="n"/>
      <c r="BN2975" s="205" t="n"/>
      <c r="BO2975" s="206" t="n"/>
      <c r="BP2975" s="144" t="n"/>
      <c r="BQ2975" s="141" t="n"/>
      <c r="BR2975" s="207" t="n"/>
      <c r="BS2975" s="207" t="n"/>
      <c r="BT2975" s="207" t="n"/>
      <c r="BU2975" s="207" t="n"/>
      <c r="BV2975" s="208" t="n"/>
      <c r="BW2975" s="207" t="n"/>
      <c r="BX2975" s="207" t="n"/>
      <c r="BY2975" s="204" t="n"/>
      <c r="BZ2975" s="148" t="n"/>
      <c r="CA2975" s="204" t="n"/>
      <c r="CB2975" s="208" t="n"/>
      <c r="CC2975" s="139" t="n"/>
      <c r="CD2975" s="204" t="n"/>
      <c r="CE2975" s="204" t="n"/>
      <c r="CF2975" s="207" t="n"/>
      <c r="CG2975" s="208" t="n"/>
      <c r="CH2975" s="207" t="n"/>
      <c r="CI2975" s="208" t="n"/>
      <c r="CJ2975" s="204" t="n"/>
      <c r="CK2975" s="208" t="n"/>
      <c r="CL2975" s="208" t="n"/>
      <c r="CM2975" s="208" t="n"/>
      <c r="CN2975" s="78" t="n"/>
      <c r="CO2975" s="209" t="n"/>
      <c r="CP2975" s="204" t="n"/>
      <c r="CQ2975" s="204" t="n"/>
      <c r="CR2975" s="204" t="n"/>
      <c r="CS2975" s="204" t="n"/>
      <c r="CT2975" s="204" t="n"/>
      <c r="CU2975" s="204" t="n"/>
      <c r="CV2975" s="204" t="n"/>
      <c r="CW2975" s="204" t="n"/>
    </row>
    <row r="2976">
      <c r="BF2976" s="78" t="n"/>
      <c r="BG2976" s="78" t="n"/>
      <c r="BH2976" s="78" t="n"/>
      <c r="BI2976" s="78" t="n"/>
      <c r="BJ2976" s="139" t="n"/>
      <c r="BK2976" s="204" t="n"/>
      <c r="BL2976" s="141" t="n"/>
      <c r="BM2976" s="205" t="n"/>
      <c r="BN2976" s="205" t="n"/>
      <c r="BO2976" s="206" t="n"/>
      <c r="BP2976" s="144" t="n"/>
      <c r="BQ2976" s="141" t="n"/>
      <c r="BR2976" s="207" t="n"/>
      <c r="BS2976" s="207" t="n"/>
      <c r="BT2976" s="207" t="n"/>
      <c r="BU2976" s="207" t="n"/>
      <c r="BV2976" s="208" t="n"/>
      <c r="BW2976" s="207" t="n"/>
      <c r="BX2976" s="207" t="n"/>
      <c r="BY2976" s="204" t="n"/>
      <c r="BZ2976" s="148" t="n"/>
      <c r="CA2976" s="204" t="n"/>
      <c r="CB2976" s="208" t="n"/>
      <c r="CC2976" s="139" t="n"/>
      <c r="CD2976" s="204" t="n"/>
      <c r="CE2976" s="204" t="n"/>
      <c r="CF2976" s="207" t="n"/>
      <c r="CG2976" s="208" t="n"/>
      <c r="CH2976" s="207" t="n"/>
      <c r="CI2976" s="208" t="n"/>
      <c r="CJ2976" s="204" t="n"/>
      <c r="CK2976" s="208" t="n"/>
      <c r="CL2976" s="208" t="n"/>
      <c r="CM2976" s="208" t="n"/>
      <c r="CN2976" s="78" t="n"/>
      <c r="CO2976" s="209" t="n"/>
      <c r="CP2976" s="204" t="n"/>
      <c r="CQ2976" s="204" t="n"/>
      <c r="CR2976" s="204" t="n"/>
      <c r="CS2976" s="204" t="n"/>
      <c r="CT2976" s="204" t="n"/>
      <c r="CU2976" s="204" t="n"/>
      <c r="CV2976" s="204" t="n"/>
      <c r="CW2976" s="204" t="n"/>
    </row>
    <row r="2977">
      <c r="BF2977" s="78" t="n"/>
      <c r="BG2977" s="78" t="n"/>
      <c r="BH2977" s="78" t="n"/>
      <c r="BI2977" s="78" t="n"/>
      <c r="BJ2977" s="139" t="n"/>
      <c r="BK2977" s="204" t="n"/>
      <c r="BL2977" s="141" t="n"/>
      <c r="BM2977" s="205" t="n"/>
      <c r="BN2977" s="205" t="n"/>
      <c r="BO2977" s="206" t="n"/>
      <c r="BP2977" s="144" t="n"/>
      <c r="BQ2977" s="141" t="n"/>
      <c r="BR2977" s="207" t="n"/>
      <c r="BS2977" s="207" t="n"/>
      <c r="BT2977" s="207" t="n"/>
      <c r="BU2977" s="207" t="n"/>
      <c r="BV2977" s="208" t="n"/>
      <c r="BW2977" s="207" t="n"/>
      <c r="BX2977" s="207" t="n"/>
      <c r="BY2977" s="204" t="n"/>
      <c r="BZ2977" s="148" t="n"/>
      <c r="CA2977" s="204" t="n"/>
      <c r="CB2977" s="208" t="n"/>
      <c r="CC2977" s="139" t="n"/>
      <c r="CD2977" s="204" t="n"/>
      <c r="CE2977" s="204" t="n"/>
      <c r="CF2977" s="207" t="n"/>
      <c r="CG2977" s="208" t="n"/>
      <c r="CH2977" s="207" t="n"/>
      <c r="CI2977" s="208" t="n"/>
      <c r="CJ2977" s="204" t="n"/>
      <c r="CK2977" s="208" t="n"/>
      <c r="CL2977" s="208" t="n"/>
      <c r="CM2977" s="208" t="n"/>
      <c r="CN2977" s="78" t="n"/>
      <c r="CO2977" s="209" t="n"/>
      <c r="CP2977" s="204" t="n"/>
      <c r="CQ2977" s="204" t="n"/>
      <c r="CR2977" s="204" t="n"/>
      <c r="CS2977" s="204" t="n"/>
      <c r="CT2977" s="204" t="n"/>
      <c r="CU2977" s="204" t="n"/>
      <c r="CV2977" s="204" t="n"/>
      <c r="CW2977" s="204" t="n"/>
    </row>
    <row r="2978">
      <c r="BF2978" s="78" t="n"/>
      <c r="BG2978" s="78" t="n"/>
      <c r="BH2978" s="78" t="n"/>
      <c r="BI2978" s="78" t="n"/>
      <c r="BJ2978" s="139" t="n"/>
      <c r="BK2978" s="204" t="n"/>
      <c r="BL2978" s="141" t="n"/>
      <c r="BM2978" s="205" t="n"/>
      <c r="BN2978" s="205" t="n"/>
      <c r="BO2978" s="206" t="n"/>
      <c r="BP2978" s="144" t="n"/>
      <c r="BQ2978" s="141" t="n"/>
      <c r="BR2978" s="207" t="n"/>
      <c r="BS2978" s="207" t="n"/>
      <c r="BT2978" s="207" t="n"/>
      <c r="BU2978" s="207" t="n"/>
      <c r="BV2978" s="208" t="n"/>
      <c r="BW2978" s="207" t="n"/>
      <c r="BX2978" s="207" t="n"/>
      <c r="BY2978" s="204" t="n"/>
      <c r="BZ2978" s="148" t="n"/>
      <c r="CA2978" s="204" t="n"/>
      <c r="CB2978" s="208" t="n"/>
      <c r="CC2978" s="139" t="n"/>
      <c r="CD2978" s="204" t="n"/>
      <c r="CE2978" s="204" t="n"/>
      <c r="CF2978" s="207" t="n"/>
      <c r="CG2978" s="208" t="n"/>
      <c r="CH2978" s="207" t="n"/>
      <c r="CI2978" s="208" t="n"/>
      <c r="CJ2978" s="204" t="n"/>
      <c r="CK2978" s="208" t="n"/>
      <c r="CL2978" s="208" t="n"/>
      <c r="CM2978" s="208" t="n"/>
      <c r="CN2978" s="78" t="n"/>
      <c r="CO2978" s="209" t="n"/>
      <c r="CP2978" s="204" t="n"/>
      <c r="CQ2978" s="204" t="n"/>
      <c r="CR2978" s="204" t="n"/>
      <c r="CS2978" s="204" t="n"/>
      <c r="CT2978" s="204" t="n"/>
      <c r="CU2978" s="204" t="n"/>
      <c r="CV2978" s="204" t="n"/>
      <c r="CW2978" s="204" t="n"/>
    </row>
    <row r="2979">
      <c r="BF2979" s="78" t="n"/>
      <c r="BG2979" s="78" t="n"/>
      <c r="BH2979" s="78" t="n"/>
      <c r="BI2979" s="78" t="n"/>
      <c r="BJ2979" s="139" t="n"/>
      <c r="BK2979" s="204" t="n"/>
      <c r="BL2979" s="141" t="n"/>
      <c r="BM2979" s="205" t="n"/>
      <c r="BN2979" s="205" t="n"/>
      <c r="BO2979" s="206" t="n"/>
      <c r="BP2979" s="144" t="n"/>
      <c r="BQ2979" s="141" t="n"/>
      <c r="BR2979" s="207" t="n"/>
      <c r="BS2979" s="207" t="n"/>
      <c r="BT2979" s="207" t="n"/>
      <c r="BU2979" s="207" t="n"/>
      <c r="BV2979" s="208" t="n"/>
      <c r="BW2979" s="207" t="n"/>
      <c r="BX2979" s="207" t="n"/>
      <c r="BY2979" s="204" t="n"/>
      <c r="BZ2979" s="148" t="n"/>
      <c r="CA2979" s="204" t="n"/>
      <c r="CB2979" s="208" t="n"/>
      <c r="CC2979" s="139" t="n"/>
      <c r="CD2979" s="204" t="n"/>
      <c r="CE2979" s="204" t="n"/>
      <c r="CF2979" s="207" t="n"/>
      <c r="CG2979" s="208" t="n"/>
      <c r="CH2979" s="207" t="n"/>
      <c r="CI2979" s="208" t="n"/>
      <c r="CJ2979" s="204" t="n"/>
      <c r="CK2979" s="208" t="n"/>
      <c r="CL2979" s="208" t="n"/>
      <c r="CM2979" s="208" t="n"/>
      <c r="CN2979" s="78" t="n"/>
      <c r="CO2979" s="209" t="n"/>
      <c r="CP2979" s="204" t="n"/>
      <c r="CQ2979" s="204" t="n"/>
      <c r="CR2979" s="204" t="n"/>
      <c r="CS2979" s="204" t="n"/>
      <c r="CT2979" s="204" t="n"/>
      <c r="CU2979" s="204" t="n"/>
      <c r="CV2979" s="204" t="n"/>
      <c r="CW2979" s="204" t="n"/>
    </row>
    <row r="2980">
      <c r="BF2980" s="78" t="n"/>
      <c r="BG2980" s="78" t="n"/>
      <c r="BH2980" s="78" t="n"/>
      <c r="BI2980" s="78" t="n"/>
      <c r="BJ2980" s="139" t="n"/>
      <c r="BK2980" s="204" t="n"/>
      <c r="BL2980" s="141" t="n"/>
      <c r="BM2980" s="205" t="n"/>
      <c r="BN2980" s="205" t="n"/>
      <c r="BO2980" s="206" t="n"/>
      <c r="BP2980" s="144" t="n"/>
      <c r="BQ2980" s="141" t="n"/>
      <c r="BR2980" s="207" t="n"/>
      <c r="BS2980" s="207" t="n"/>
      <c r="BT2980" s="207" t="n"/>
      <c r="BU2980" s="207" t="n"/>
      <c r="BV2980" s="208" t="n"/>
      <c r="BW2980" s="207" t="n"/>
      <c r="BX2980" s="207" t="n"/>
      <c r="BY2980" s="204" t="n"/>
      <c r="BZ2980" s="148" t="n"/>
      <c r="CA2980" s="204" t="n"/>
      <c r="CB2980" s="208" t="n"/>
      <c r="CC2980" s="139" t="n"/>
      <c r="CD2980" s="204" t="n"/>
      <c r="CE2980" s="204" t="n"/>
      <c r="CF2980" s="207" t="n"/>
      <c r="CG2980" s="208" t="n"/>
      <c r="CH2980" s="207" t="n"/>
      <c r="CI2980" s="208" t="n"/>
      <c r="CJ2980" s="204" t="n"/>
      <c r="CK2980" s="208" t="n"/>
      <c r="CL2980" s="208" t="n"/>
      <c r="CM2980" s="208" t="n"/>
      <c r="CN2980" s="78" t="n"/>
      <c r="CO2980" s="209" t="n"/>
      <c r="CP2980" s="204" t="n"/>
      <c r="CQ2980" s="204" t="n"/>
      <c r="CR2980" s="204" t="n"/>
      <c r="CS2980" s="204" t="n"/>
      <c r="CT2980" s="204" t="n"/>
      <c r="CU2980" s="204" t="n"/>
      <c r="CV2980" s="204" t="n"/>
      <c r="CW2980" s="204" t="n"/>
    </row>
    <row r="2981">
      <c r="BF2981" s="78" t="n"/>
      <c r="BG2981" s="78" t="n"/>
      <c r="BH2981" s="78" t="n"/>
      <c r="BI2981" s="78" t="n"/>
      <c r="BJ2981" s="139" t="n"/>
      <c r="BK2981" s="204" t="n"/>
      <c r="BL2981" s="141" t="n"/>
      <c r="BM2981" s="205" t="n"/>
      <c r="BN2981" s="205" t="n"/>
      <c r="BO2981" s="206" t="n"/>
      <c r="BP2981" s="144" t="n"/>
      <c r="BQ2981" s="141" t="n"/>
      <c r="BR2981" s="207" t="n"/>
      <c r="BS2981" s="207" t="n"/>
      <c r="BT2981" s="207" t="n"/>
      <c r="BU2981" s="207" t="n"/>
      <c r="BV2981" s="208" t="n"/>
      <c r="BW2981" s="207" t="n"/>
      <c r="BX2981" s="207" t="n"/>
      <c r="BY2981" s="204" t="n"/>
      <c r="BZ2981" s="148" t="n"/>
      <c r="CA2981" s="204" t="n"/>
      <c r="CB2981" s="208" t="n"/>
      <c r="CC2981" s="139" t="n"/>
      <c r="CD2981" s="204" t="n"/>
      <c r="CE2981" s="204" t="n"/>
      <c r="CF2981" s="207" t="n"/>
      <c r="CG2981" s="208" t="n"/>
      <c r="CH2981" s="207" t="n"/>
      <c r="CI2981" s="208" t="n"/>
      <c r="CJ2981" s="204" t="n"/>
      <c r="CK2981" s="208" t="n"/>
      <c r="CL2981" s="208" t="n"/>
      <c r="CM2981" s="208" t="n"/>
      <c r="CN2981" s="78" t="n"/>
      <c r="CO2981" s="209" t="n"/>
      <c r="CP2981" s="204" t="n"/>
      <c r="CQ2981" s="204" t="n"/>
      <c r="CR2981" s="204" t="n"/>
      <c r="CS2981" s="204" t="n"/>
      <c r="CT2981" s="204" t="n"/>
      <c r="CU2981" s="204" t="n"/>
      <c r="CV2981" s="204" t="n"/>
      <c r="CW2981" s="204" t="n"/>
    </row>
    <row r="2982">
      <c r="BF2982" s="78" t="n"/>
      <c r="BG2982" s="78" t="n"/>
      <c r="BH2982" s="78" t="n"/>
      <c r="BI2982" s="78" t="n"/>
      <c r="BJ2982" s="139" t="n"/>
      <c r="BK2982" s="204" t="n"/>
      <c r="BL2982" s="141" t="n"/>
      <c r="BM2982" s="205" t="n"/>
      <c r="BN2982" s="205" t="n"/>
      <c r="BO2982" s="206" t="n"/>
      <c r="BP2982" s="144" t="n"/>
      <c r="BQ2982" s="141" t="n"/>
      <c r="BR2982" s="207" t="n"/>
      <c r="BS2982" s="207" t="n"/>
      <c r="BT2982" s="207" t="n"/>
      <c r="BU2982" s="207" t="n"/>
      <c r="BV2982" s="208" t="n"/>
      <c r="BW2982" s="207" t="n"/>
      <c r="BX2982" s="207" t="n"/>
      <c r="BY2982" s="204" t="n"/>
      <c r="BZ2982" s="148" t="n"/>
      <c r="CA2982" s="204" t="n"/>
      <c r="CB2982" s="208" t="n"/>
      <c r="CC2982" s="139" t="n"/>
      <c r="CD2982" s="204" t="n"/>
      <c r="CE2982" s="204" t="n"/>
      <c r="CF2982" s="207" t="n"/>
      <c r="CG2982" s="208" t="n"/>
      <c r="CH2982" s="207" t="n"/>
      <c r="CI2982" s="208" t="n"/>
      <c r="CJ2982" s="204" t="n"/>
      <c r="CK2982" s="208" t="n"/>
      <c r="CL2982" s="208" t="n"/>
      <c r="CM2982" s="208" t="n"/>
      <c r="CN2982" s="78" t="n"/>
      <c r="CO2982" s="209" t="n"/>
      <c r="CP2982" s="204" t="n"/>
      <c r="CQ2982" s="204" t="n"/>
      <c r="CR2982" s="204" t="n"/>
      <c r="CS2982" s="204" t="n"/>
      <c r="CT2982" s="204" t="n"/>
      <c r="CU2982" s="204" t="n"/>
      <c r="CV2982" s="204" t="n"/>
      <c r="CW2982" s="204" t="n"/>
    </row>
    <row r="2983">
      <c r="BF2983" s="78" t="n"/>
      <c r="BG2983" s="78" t="n"/>
      <c r="BH2983" s="78" t="n"/>
      <c r="BI2983" s="78" t="n"/>
      <c r="BJ2983" s="139" t="n"/>
      <c r="BK2983" s="204" t="n"/>
      <c r="BL2983" s="141" t="n"/>
      <c r="BM2983" s="205" t="n"/>
      <c r="BN2983" s="205" t="n"/>
      <c r="BO2983" s="206" t="n"/>
      <c r="BP2983" s="144" t="n"/>
      <c r="BQ2983" s="141" t="n"/>
      <c r="BR2983" s="207" t="n"/>
      <c r="BS2983" s="207" t="n"/>
      <c r="BT2983" s="207" t="n"/>
      <c r="BU2983" s="207" t="n"/>
      <c r="BV2983" s="208" t="n"/>
      <c r="BW2983" s="207" t="n"/>
      <c r="BX2983" s="207" t="n"/>
      <c r="BY2983" s="204" t="n"/>
      <c r="BZ2983" s="148" t="n"/>
      <c r="CA2983" s="204" t="n"/>
      <c r="CB2983" s="208" t="n"/>
      <c r="CC2983" s="139" t="n"/>
      <c r="CD2983" s="204" t="n"/>
      <c r="CE2983" s="204" t="n"/>
      <c r="CF2983" s="207" t="n"/>
      <c r="CG2983" s="208" t="n"/>
      <c r="CH2983" s="207" t="n"/>
      <c r="CI2983" s="208" t="n"/>
      <c r="CJ2983" s="204" t="n"/>
      <c r="CK2983" s="208" t="n"/>
      <c r="CL2983" s="208" t="n"/>
      <c r="CM2983" s="208" t="n"/>
      <c r="CN2983" s="78" t="n"/>
      <c r="CO2983" s="209" t="n"/>
      <c r="CP2983" s="204" t="n"/>
      <c r="CQ2983" s="204" t="n"/>
      <c r="CR2983" s="204" t="n"/>
      <c r="CS2983" s="204" t="n"/>
      <c r="CT2983" s="204" t="n"/>
      <c r="CU2983" s="204" t="n"/>
      <c r="CV2983" s="204" t="n"/>
      <c r="CW2983" s="204" t="n"/>
    </row>
    <row r="2984">
      <c r="AR2984" s="151" t="n"/>
      <c r="BF2984" s="78" t="n"/>
      <c r="BG2984" s="78" t="n"/>
      <c r="BH2984" s="78" t="n"/>
      <c r="BI2984" s="78" t="n"/>
      <c r="BJ2984" s="139" t="n"/>
      <c r="BK2984" s="204" t="n"/>
      <c r="BL2984" s="141" t="n"/>
      <c r="BM2984" s="205" t="n"/>
      <c r="BN2984" s="205" t="n"/>
      <c r="BO2984" s="206" t="n"/>
      <c r="BP2984" s="144" t="n"/>
      <c r="BQ2984" s="141" t="n"/>
      <c r="BR2984" s="207" t="n"/>
      <c r="BS2984" s="207" t="n"/>
      <c r="BT2984" s="207" t="n"/>
      <c r="BU2984" s="207" t="n"/>
      <c r="BV2984" s="208" t="n"/>
      <c r="BW2984" s="207" t="n"/>
      <c r="BX2984" s="207" t="n"/>
      <c r="BY2984" s="204" t="n"/>
      <c r="BZ2984" s="148" t="n"/>
      <c r="CA2984" s="204" t="n"/>
      <c r="CB2984" s="208" t="n"/>
      <c r="CC2984" s="139" t="n"/>
      <c r="CD2984" s="204" t="n"/>
      <c r="CE2984" s="204" t="n"/>
      <c r="CF2984" s="207" t="n"/>
      <c r="CG2984" s="208" t="n"/>
      <c r="CH2984" s="207" t="n"/>
      <c r="CI2984" s="208" t="n"/>
      <c r="CJ2984" s="204" t="n"/>
      <c r="CK2984" s="208" t="n"/>
      <c r="CL2984" s="208" t="n"/>
      <c r="CM2984" s="208" t="n"/>
      <c r="CN2984" s="78" t="n"/>
      <c r="CO2984" s="209" t="n"/>
      <c r="CP2984" s="204" t="n"/>
      <c r="CQ2984" s="204" t="n"/>
      <c r="CR2984" s="204" t="n"/>
      <c r="CS2984" s="204" t="n"/>
      <c r="CT2984" s="204" t="n"/>
      <c r="CU2984" s="204" t="n"/>
      <c r="CV2984" s="204" t="n"/>
      <c r="CW2984" s="204" t="n"/>
    </row>
    <row r="2985">
      <c r="AR2985" s="151" t="n"/>
      <c r="BF2985" s="78" t="n"/>
      <c r="BG2985" s="78" t="n"/>
      <c r="BH2985" s="78" t="n"/>
      <c r="BI2985" s="78" t="n"/>
      <c r="BJ2985" s="139" t="n"/>
      <c r="BK2985" s="204" t="n"/>
      <c r="BL2985" s="141" t="n"/>
      <c r="BM2985" s="205" t="n"/>
      <c r="BN2985" s="205" t="n"/>
      <c r="BO2985" s="206" t="n"/>
      <c r="BP2985" s="144" t="n"/>
      <c r="BQ2985" s="141" t="n"/>
      <c r="BR2985" s="207" t="n"/>
      <c r="BS2985" s="207" t="n"/>
      <c r="BT2985" s="207" t="n"/>
      <c r="BU2985" s="207" t="n"/>
      <c r="BV2985" s="208" t="n"/>
      <c r="BW2985" s="207" t="n"/>
      <c r="BX2985" s="207" t="n"/>
      <c r="BY2985" s="204" t="n"/>
      <c r="BZ2985" s="148" t="n"/>
      <c r="CA2985" s="204" t="n"/>
      <c r="CB2985" s="208" t="n"/>
      <c r="CC2985" s="139" t="n"/>
      <c r="CD2985" s="204" t="n"/>
      <c r="CE2985" s="204" t="n"/>
      <c r="CF2985" s="207" t="n"/>
      <c r="CG2985" s="208" t="n"/>
      <c r="CH2985" s="207" t="n"/>
      <c r="CI2985" s="208" t="n"/>
      <c r="CJ2985" s="204" t="n"/>
      <c r="CK2985" s="208" t="n"/>
      <c r="CL2985" s="208" t="n"/>
      <c r="CM2985" s="208" t="n"/>
      <c r="CN2985" s="78" t="n"/>
      <c r="CO2985" s="209" t="n"/>
      <c r="CP2985" s="204" t="n"/>
      <c r="CQ2985" s="204" t="n"/>
      <c r="CR2985" s="204" t="n"/>
      <c r="CS2985" s="204" t="n"/>
      <c r="CT2985" s="204" t="n"/>
      <c r="CU2985" s="204" t="n"/>
      <c r="CV2985" s="204" t="n"/>
      <c r="CW2985" s="204" t="n"/>
    </row>
    <row r="2986">
      <c r="AR2986" s="151" t="n"/>
      <c r="BF2986" s="78" t="n"/>
      <c r="BG2986" s="78" t="n"/>
      <c r="BH2986" s="78" t="n"/>
      <c r="BI2986" s="78" t="n"/>
      <c r="BJ2986" s="139" t="n"/>
      <c r="BK2986" s="204" t="n"/>
      <c r="BL2986" s="141" t="n"/>
      <c r="BM2986" s="205" t="n"/>
      <c r="BN2986" s="205" t="n"/>
      <c r="BO2986" s="206" t="n"/>
      <c r="BP2986" s="144" t="n"/>
      <c r="BQ2986" s="141" t="n"/>
      <c r="BR2986" s="207" t="n"/>
      <c r="BS2986" s="207" t="n"/>
      <c r="BT2986" s="207" t="n"/>
      <c r="BU2986" s="207" t="n"/>
      <c r="BV2986" s="208" t="n"/>
      <c r="BW2986" s="207" t="n"/>
      <c r="BX2986" s="207" t="n"/>
      <c r="BY2986" s="204" t="n"/>
      <c r="BZ2986" s="148" t="n"/>
      <c r="CA2986" s="204" t="n"/>
      <c r="CB2986" s="208" t="n"/>
      <c r="CC2986" s="139" t="n"/>
      <c r="CD2986" s="204" t="n"/>
      <c r="CE2986" s="204" t="n"/>
      <c r="CF2986" s="207" t="n"/>
      <c r="CG2986" s="208" t="n"/>
      <c r="CH2986" s="207" t="n"/>
      <c r="CI2986" s="208" t="n"/>
      <c r="CJ2986" s="204" t="n"/>
      <c r="CK2986" s="208" t="n"/>
      <c r="CL2986" s="208" t="n"/>
      <c r="CM2986" s="208" t="n"/>
      <c r="CN2986" s="78" t="n"/>
      <c r="CO2986" s="209" t="n"/>
      <c r="CP2986" s="204" t="n"/>
      <c r="CQ2986" s="204" t="n"/>
      <c r="CR2986" s="204" t="n"/>
      <c r="CS2986" s="204" t="n"/>
      <c r="CT2986" s="204" t="n"/>
      <c r="CU2986" s="204" t="n"/>
      <c r="CV2986" s="204" t="n"/>
      <c r="CW2986" s="204" t="n"/>
    </row>
    <row r="2987">
      <c r="AR2987" s="151" t="n"/>
      <c r="BF2987" s="78" t="n"/>
      <c r="BG2987" s="78" t="n"/>
      <c r="BH2987" s="78" t="n"/>
      <c r="BI2987" s="78" t="n"/>
      <c r="BJ2987" s="139" t="n"/>
      <c r="BK2987" s="204" t="n"/>
      <c r="BL2987" s="141" t="n"/>
      <c r="BM2987" s="205" t="n"/>
      <c r="BN2987" s="205" t="n"/>
      <c r="BO2987" s="206" t="n"/>
      <c r="BP2987" s="144" t="n"/>
      <c r="BQ2987" s="141" t="n"/>
      <c r="BR2987" s="207" t="n"/>
      <c r="BS2987" s="207" t="n"/>
      <c r="BT2987" s="207" t="n"/>
      <c r="BU2987" s="207" t="n"/>
      <c r="BV2987" s="208" t="n"/>
      <c r="BW2987" s="207" t="n"/>
      <c r="BX2987" s="207" t="n"/>
      <c r="BY2987" s="204" t="n"/>
      <c r="BZ2987" s="148" t="n"/>
      <c r="CA2987" s="204" t="n"/>
      <c r="CB2987" s="208" t="n"/>
      <c r="CC2987" s="139" t="n"/>
      <c r="CD2987" s="204" t="n"/>
      <c r="CE2987" s="204" t="n"/>
      <c r="CF2987" s="207" t="n"/>
      <c r="CG2987" s="208" t="n"/>
      <c r="CH2987" s="207" t="n"/>
      <c r="CI2987" s="208" t="n"/>
      <c r="CJ2987" s="204" t="n"/>
      <c r="CK2987" s="208" t="n"/>
      <c r="CL2987" s="208" t="n"/>
      <c r="CM2987" s="208" t="n"/>
      <c r="CN2987" s="78" t="n"/>
      <c r="CO2987" s="209" t="n"/>
      <c r="CP2987" s="204" t="n"/>
      <c r="CQ2987" s="204" t="n"/>
      <c r="CR2987" s="204" t="n"/>
      <c r="CS2987" s="204" t="n"/>
      <c r="CT2987" s="204" t="n"/>
      <c r="CU2987" s="204" t="n"/>
      <c r="CV2987" s="204" t="n"/>
      <c r="CW2987" s="204" t="n"/>
    </row>
    <row r="2988">
      <c r="BF2988" s="78" t="n"/>
      <c r="BG2988" s="78" t="n"/>
      <c r="BH2988" s="78" t="n"/>
      <c r="BI2988" s="78" t="n"/>
      <c r="BJ2988" s="139" t="n"/>
      <c r="BK2988" s="204" t="n"/>
      <c r="BL2988" s="141" t="n"/>
      <c r="BM2988" s="205" t="n"/>
      <c r="BN2988" s="205" t="n"/>
      <c r="BO2988" s="206" t="n"/>
      <c r="BP2988" s="144" t="n"/>
      <c r="BQ2988" s="141" t="n"/>
      <c r="BR2988" s="207" t="n"/>
      <c r="BS2988" s="207" t="n"/>
      <c r="BT2988" s="207" t="n"/>
      <c r="BU2988" s="207" t="n"/>
      <c r="BV2988" s="208" t="n"/>
      <c r="BW2988" s="207" t="n"/>
      <c r="BX2988" s="207" t="n"/>
      <c r="BY2988" s="204" t="n"/>
      <c r="BZ2988" s="148" t="n"/>
      <c r="CA2988" s="204" t="n"/>
      <c r="CB2988" s="208" t="n"/>
      <c r="CC2988" s="139" t="n"/>
      <c r="CD2988" s="204" t="n"/>
      <c r="CE2988" s="204" t="n"/>
      <c r="CF2988" s="207" t="n"/>
      <c r="CG2988" s="208" t="n"/>
      <c r="CH2988" s="207" t="n"/>
      <c r="CI2988" s="208" t="n"/>
      <c r="CJ2988" s="204" t="n"/>
      <c r="CK2988" s="208" t="n"/>
      <c r="CL2988" s="208" t="n"/>
      <c r="CM2988" s="208" t="n"/>
      <c r="CN2988" s="78" t="n"/>
      <c r="CO2988" s="209" t="n"/>
      <c r="CP2988" s="204" t="n"/>
      <c r="CQ2988" s="204" t="n"/>
      <c r="CR2988" s="204" t="n"/>
      <c r="CS2988" s="204" t="n"/>
      <c r="CT2988" s="204" t="n"/>
      <c r="CU2988" s="204" t="n"/>
      <c r="CV2988" s="204" t="n"/>
      <c r="CW2988" s="204" t="n"/>
    </row>
    <row r="2989">
      <c r="BF2989" s="78" t="n"/>
      <c r="BG2989" s="78" t="n"/>
      <c r="BH2989" s="78" t="n"/>
      <c r="BI2989" s="78" t="n"/>
      <c r="BJ2989" s="139" t="n"/>
      <c r="BK2989" s="204" t="n"/>
      <c r="BL2989" s="141" t="n"/>
      <c r="BM2989" s="205" t="n"/>
      <c r="BN2989" s="205" t="n"/>
      <c r="BO2989" s="206" t="n"/>
      <c r="BP2989" s="144" t="n"/>
      <c r="BQ2989" s="141" t="n"/>
      <c r="BR2989" s="207" t="n"/>
      <c r="BS2989" s="207" t="n"/>
      <c r="BT2989" s="207" t="n"/>
      <c r="BU2989" s="207" t="n"/>
      <c r="BV2989" s="208" t="n"/>
      <c r="BW2989" s="207" t="n"/>
      <c r="BX2989" s="207" t="n"/>
      <c r="BY2989" s="204" t="n"/>
      <c r="BZ2989" s="148" t="n"/>
      <c r="CA2989" s="204" t="n"/>
      <c r="CB2989" s="208" t="n"/>
      <c r="CC2989" s="139" t="n"/>
      <c r="CD2989" s="204" t="n"/>
      <c r="CE2989" s="204" t="n"/>
      <c r="CF2989" s="207" t="n"/>
      <c r="CG2989" s="208" t="n"/>
      <c r="CH2989" s="207" t="n"/>
      <c r="CI2989" s="208" t="n"/>
      <c r="CJ2989" s="204" t="n"/>
      <c r="CK2989" s="208" t="n"/>
      <c r="CL2989" s="208" t="n"/>
      <c r="CM2989" s="208" t="n"/>
      <c r="CN2989" s="78" t="n"/>
      <c r="CO2989" s="209" t="n"/>
      <c r="CP2989" s="204" t="n"/>
      <c r="CQ2989" s="204" t="n"/>
      <c r="CR2989" s="204" t="n"/>
      <c r="CS2989" s="204" t="n"/>
      <c r="CT2989" s="204" t="n"/>
      <c r="CU2989" s="204" t="n"/>
      <c r="CV2989" s="204" t="n"/>
      <c r="CW2989" s="204" t="n"/>
    </row>
    <row r="2990">
      <c r="BF2990" s="78" t="n"/>
      <c r="BG2990" s="78" t="n"/>
      <c r="BH2990" s="78" t="n"/>
      <c r="BI2990" s="78" t="n"/>
      <c r="BJ2990" s="139" t="n"/>
      <c r="BK2990" s="204" t="n"/>
      <c r="BL2990" s="141" t="n"/>
      <c r="BM2990" s="205" t="n"/>
      <c r="BN2990" s="205" t="n"/>
      <c r="BO2990" s="206" t="n"/>
      <c r="BP2990" s="144" t="n"/>
      <c r="BQ2990" s="141" t="n"/>
      <c r="BR2990" s="207" t="n"/>
      <c r="BS2990" s="207" t="n"/>
      <c r="BT2990" s="207" t="n"/>
      <c r="BU2990" s="207" t="n"/>
      <c r="BV2990" s="208" t="n"/>
      <c r="BW2990" s="207" t="n"/>
      <c r="BX2990" s="207" t="n"/>
      <c r="BY2990" s="204" t="n"/>
      <c r="BZ2990" s="148" t="n"/>
      <c r="CA2990" s="204" t="n"/>
      <c r="CB2990" s="208" t="n"/>
      <c r="CC2990" s="139" t="n"/>
      <c r="CD2990" s="204" t="n"/>
      <c r="CE2990" s="204" t="n"/>
      <c r="CF2990" s="207" t="n"/>
      <c r="CG2990" s="208" t="n"/>
      <c r="CH2990" s="207" t="n"/>
      <c r="CI2990" s="208" t="n"/>
      <c r="CJ2990" s="204" t="n"/>
      <c r="CK2990" s="208" t="n"/>
      <c r="CL2990" s="208" t="n"/>
      <c r="CM2990" s="208" t="n"/>
      <c r="CN2990" s="78" t="n"/>
      <c r="CO2990" s="209" t="n"/>
      <c r="CP2990" s="204" t="n"/>
      <c r="CQ2990" s="204" t="n"/>
      <c r="CR2990" s="204" t="n"/>
      <c r="CS2990" s="204" t="n"/>
      <c r="CT2990" s="204" t="n"/>
      <c r="CU2990" s="204" t="n"/>
      <c r="CV2990" s="204" t="n"/>
      <c r="CW2990" s="204" t="n"/>
    </row>
    <row r="2991">
      <c r="AR2991" s="151" t="n"/>
      <c r="BF2991" s="78" t="n"/>
      <c r="BG2991" s="78" t="n"/>
      <c r="BH2991" s="78" t="n"/>
      <c r="BI2991" s="78" t="n"/>
      <c r="BJ2991" s="139" t="n"/>
      <c r="BK2991" s="204" t="n"/>
      <c r="BL2991" s="141" t="n"/>
      <c r="BM2991" s="205" t="n"/>
      <c r="BN2991" s="205" t="n"/>
      <c r="BO2991" s="206" t="n"/>
      <c r="BP2991" s="144" t="n"/>
      <c r="BQ2991" s="141" t="n"/>
      <c r="BR2991" s="207" t="n"/>
      <c r="BS2991" s="207" t="n"/>
      <c r="BT2991" s="207" t="n"/>
      <c r="BU2991" s="207" t="n"/>
      <c r="BV2991" s="208" t="n"/>
      <c r="BW2991" s="207" t="n"/>
      <c r="BX2991" s="207" t="n"/>
      <c r="BY2991" s="204" t="n"/>
      <c r="BZ2991" s="148" t="n"/>
      <c r="CA2991" s="204" t="n"/>
      <c r="CB2991" s="208" t="n"/>
      <c r="CC2991" s="139" t="n"/>
      <c r="CD2991" s="204" t="n"/>
      <c r="CE2991" s="204" t="n"/>
      <c r="CF2991" s="207" t="n"/>
      <c r="CG2991" s="208" t="n"/>
      <c r="CH2991" s="207" t="n"/>
      <c r="CI2991" s="208" t="n"/>
      <c r="CJ2991" s="204" t="n"/>
      <c r="CK2991" s="208" t="n"/>
      <c r="CL2991" s="208" t="n"/>
      <c r="CM2991" s="208" t="n"/>
      <c r="CN2991" s="78" t="n"/>
      <c r="CO2991" s="209" t="n"/>
      <c r="CP2991" s="204" t="n"/>
      <c r="CQ2991" s="204" t="n"/>
      <c r="CR2991" s="204" t="n"/>
      <c r="CS2991" s="204" t="n"/>
      <c r="CT2991" s="204" t="n"/>
      <c r="CU2991" s="204" t="n"/>
      <c r="CV2991" s="204" t="n"/>
      <c r="CW2991" s="204" t="n"/>
    </row>
    <row r="2992">
      <c r="BF2992" s="78" t="n"/>
      <c r="BG2992" s="78" t="n"/>
      <c r="BH2992" s="78" t="n"/>
      <c r="BI2992" s="78" t="n"/>
      <c r="BJ2992" s="139" t="n"/>
      <c r="BK2992" s="204" t="n"/>
      <c r="BL2992" s="141" t="n"/>
      <c r="BM2992" s="205" t="n"/>
      <c r="BN2992" s="205" t="n"/>
      <c r="BO2992" s="206" t="n"/>
      <c r="BP2992" s="144" t="n"/>
      <c r="BQ2992" s="141" t="n"/>
      <c r="BR2992" s="207" t="n"/>
      <c r="BS2992" s="207" t="n"/>
      <c r="BT2992" s="207" t="n"/>
      <c r="BU2992" s="207" t="n"/>
      <c r="BV2992" s="208" t="n"/>
      <c r="BW2992" s="207" t="n"/>
      <c r="BX2992" s="207" t="n"/>
      <c r="BY2992" s="204" t="n"/>
      <c r="BZ2992" s="148" t="n"/>
      <c r="CA2992" s="204" t="n"/>
      <c r="CB2992" s="208" t="n"/>
      <c r="CC2992" s="139" t="n"/>
      <c r="CD2992" s="204" t="n"/>
      <c r="CE2992" s="204" t="n"/>
      <c r="CF2992" s="207" t="n"/>
      <c r="CG2992" s="208" t="n"/>
      <c r="CH2992" s="207" t="n"/>
      <c r="CI2992" s="208" t="n"/>
      <c r="CJ2992" s="204" t="n"/>
      <c r="CK2992" s="208" t="n"/>
      <c r="CL2992" s="208" t="n"/>
      <c r="CM2992" s="208" t="n"/>
      <c r="CN2992" s="78" t="n"/>
      <c r="CO2992" s="209" t="n"/>
      <c r="CP2992" s="204" t="n"/>
      <c r="CQ2992" s="204" t="n"/>
      <c r="CR2992" s="204" t="n"/>
      <c r="CS2992" s="204" t="n"/>
      <c r="CT2992" s="204" t="n"/>
      <c r="CU2992" s="204" t="n"/>
      <c r="CV2992" s="204" t="n"/>
      <c r="CW2992" s="204" t="n"/>
    </row>
    <row r="2993">
      <c r="BF2993" s="78" t="n"/>
      <c r="BG2993" s="78" t="n"/>
      <c r="BH2993" s="78" t="n"/>
      <c r="BI2993" s="78" t="n"/>
      <c r="BJ2993" s="139" t="n"/>
      <c r="BK2993" s="204" t="n"/>
      <c r="BL2993" s="141" t="n"/>
      <c r="BM2993" s="205" t="n"/>
      <c r="BN2993" s="205" t="n"/>
      <c r="BO2993" s="206" t="n"/>
      <c r="BP2993" s="144" t="n"/>
      <c r="BQ2993" s="141" t="n"/>
      <c r="BR2993" s="207" t="n"/>
      <c r="BS2993" s="207" t="n"/>
      <c r="BT2993" s="207" t="n"/>
      <c r="BU2993" s="207" t="n"/>
      <c r="BV2993" s="208" t="n"/>
      <c r="BW2993" s="207" t="n"/>
      <c r="BX2993" s="207" t="n"/>
      <c r="BY2993" s="204" t="n"/>
      <c r="BZ2993" s="148" t="n"/>
      <c r="CA2993" s="204" t="n"/>
      <c r="CB2993" s="208" t="n"/>
      <c r="CC2993" s="139" t="n"/>
      <c r="CD2993" s="204" t="n"/>
      <c r="CE2993" s="204" t="n"/>
      <c r="CF2993" s="207" t="n"/>
      <c r="CG2993" s="208" t="n"/>
      <c r="CH2993" s="207" t="n"/>
      <c r="CI2993" s="208" t="n"/>
      <c r="CJ2993" s="204" t="n"/>
      <c r="CK2993" s="208" t="n"/>
      <c r="CL2993" s="208" t="n"/>
      <c r="CM2993" s="208" t="n"/>
      <c r="CN2993" s="78" t="n"/>
      <c r="CO2993" s="209" t="n"/>
      <c r="CP2993" s="204" t="n"/>
      <c r="CQ2993" s="204" t="n"/>
      <c r="CR2993" s="204" t="n"/>
      <c r="CS2993" s="204" t="n"/>
      <c r="CT2993" s="204" t="n"/>
      <c r="CU2993" s="204" t="n"/>
      <c r="CV2993" s="204" t="n"/>
      <c r="CW2993" s="204" t="n"/>
    </row>
    <row r="2994">
      <c r="BF2994" s="78" t="n"/>
      <c r="BG2994" s="78" t="n"/>
      <c r="BH2994" s="78" t="n"/>
      <c r="BI2994" s="78" t="n"/>
      <c r="BJ2994" s="139" t="n"/>
      <c r="BK2994" s="204" t="n"/>
      <c r="BL2994" s="141" t="n"/>
      <c r="BM2994" s="205" t="n"/>
      <c r="BN2994" s="205" t="n"/>
      <c r="BO2994" s="206" t="n"/>
      <c r="BP2994" s="144" t="n"/>
      <c r="BQ2994" s="141" t="n"/>
      <c r="BR2994" s="207" t="n"/>
      <c r="BS2994" s="207" t="n"/>
      <c r="BT2994" s="207" t="n"/>
      <c r="BU2994" s="207" t="n"/>
      <c r="BV2994" s="208" t="n"/>
      <c r="BW2994" s="207" t="n"/>
      <c r="BX2994" s="207" t="n"/>
      <c r="BY2994" s="204" t="n"/>
      <c r="BZ2994" s="148" t="n"/>
      <c r="CA2994" s="204" t="n"/>
      <c r="CB2994" s="208" t="n"/>
      <c r="CC2994" s="139" t="n"/>
      <c r="CD2994" s="204" t="n"/>
      <c r="CE2994" s="204" t="n"/>
      <c r="CF2994" s="207" t="n"/>
      <c r="CG2994" s="208" t="n"/>
      <c r="CH2994" s="207" t="n"/>
      <c r="CI2994" s="208" t="n"/>
      <c r="CJ2994" s="204" t="n"/>
      <c r="CK2994" s="208" t="n"/>
      <c r="CL2994" s="208" t="n"/>
      <c r="CM2994" s="208" t="n"/>
      <c r="CN2994" s="78" t="n"/>
      <c r="CO2994" s="209" t="n"/>
      <c r="CP2994" s="204" t="n"/>
      <c r="CQ2994" s="204" t="n"/>
      <c r="CR2994" s="204" t="n"/>
      <c r="CS2994" s="204" t="n"/>
      <c r="CT2994" s="204" t="n"/>
      <c r="CU2994" s="204" t="n"/>
      <c r="CV2994" s="204" t="n"/>
      <c r="CW2994" s="204" t="n"/>
    </row>
    <row r="2995">
      <c r="BF2995" s="78" t="n"/>
      <c r="BG2995" s="78" t="n"/>
      <c r="BH2995" s="78" t="n"/>
      <c r="BI2995" s="78" t="n"/>
      <c r="BJ2995" s="139" t="n"/>
      <c r="BK2995" s="204" t="n"/>
      <c r="BL2995" s="141" t="n"/>
      <c r="BM2995" s="205" t="n"/>
      <c r="BN2995" s="205" t="n"/>
      <c r="BO2995" s="206" t="n"/>
      <c r="BP2995" s="144" t="n"/>
      <c r="BQ2995" s="141" t="n"/>
      <c r="BR2995" s="207" t="n"/>
      <c r="BS2995" s="207" t="n"/>
      <c r="BT2995" s="207" t="n"/>
      <c r="BU2995" s="207" t="n"/>
      <c r="BV2995" s="208" t="n"/>
      <c r="BW2995" s="207" t="n"/>
      <c r="BX2995" s="207" t="n"/>
      <c r="BY2995" s="204" t="n"/>
      <c r="BZ2995" s="148" t="n"/>
      <c r="CA2995" s="204" t="n"/>
      <c r="CB2995" s="208" t="n"/>
      <c r="CC2995" s="139" t="n"/>
      <c r="CD2995" s="204" t="n"/>
      <c r="CE2995" s="204" t="n"/>
      <c r="CF2995" s="207" t="n"/>
      <c r="CG2995" s="208" t="n"/>
      <c r="CH2995" s="207" t="n"/>
      <c r="CI2995" s="208" t="n"/>
      <c r="CJ2995" s="204" t="n"/>
      <c r="CK2995" s="208" t="n"/>
      <c r="CL2995" s="208" t="n"/>
      <c r="CM2995" s="208" t="n"/>
      <c r="CN2995" s="78" t="n"/>
      <c r="CO2995" s="209" t="n"/>
      <c r="CP2995" s="204" t="n"/>
      <c r="CQ2995" s="204" t="n"/>
      <c r="CR2995" s="204" t="n"/>
      <c r="CS2995" s="204" t="n"/>
      <c r="CT2995" s="204" t="n"/>
      <c r="CU2995" s="204" t="n"/>
      <c r="CV2995" s="204" t="n"/>
      <c r="CW2995" s="204" t="n"/>
    </row>
    <row r="2996">
      <c r="BF2996" s="78" t="n"/>
      <c r="BG2996" s="78" t="n"/>
      <c r="BH2996" s="78" t="n"/>
      <c r="BI2996" s="78" t="n"/>
      <c r="BJ2996" s="139" t="n"/>
      <c r="BK2996" s="204" t="n"/>
      <c r="BL2996" s="141" t="n"/>
      <c r="BM2996" s="205" t="n"/>
      <c r="BN2996" s="205" t="n"/>
      <c r="BO2996" s="206" t="n"/>
      <c r="BP2996" s="144" t="n"/>
      <c r="BQ2996" s="141" t="n"/>
      <c r="BR2996" s="207" t="n"/>
      <c r="BS2996" s="207" t="n"/>
      <c r="BT2996" s="207" t="n"/>
      <c r="BU2996" s="207" t="n"/>
      <c r="BV2996" s="208" t="n"/>
      <c r="BW2996" s="207" t="n"/>
      <c r="BX2996" s="207" t="n"/>
      <c r="BY2996" s="204" t="n"/>
      <c r="BZ2996" s="148" t="n"/>
      <c r="CA2996" s="204" t="n"/>
      <c r="CB2996" s="208" t="n"/>
      <c r="CC2996" s="139" t="n"/>
      <c r="CD2996" s="204" t="n"/>
      <c r="CE2996" s="204" t="n"/>
      <c r="CF2996" s="207" t="n"/>
      <c r="CG2996" s="208" t="n"/>
      <c r="CH2996" s="207" t="n"/>
      <c r="CI2996" s="208" t="n"/>
      <c r="CJ2996" s="204" t="n"/>
      <c r="CK2996" s="208" t="n"/>
      <c r="CL2996" s="208" t="n"/>
      <c r="CM2996" s="208" t="n"/>
      <c r="CN2996" s="78" t="n"/>
      <c r="CO2996" s="209" t="n"/>
      <c r="CP2996" s="204" t="n"/>
      <c r="CQ2996" s="204" t="n"/>
      <c r="CR2996" s="204" t="n"/>
      <c r="CS2996" s="204" t="n"/>
      <c r="CT2996" s="204" t="n"/>
      <c r="CU2996" s="204" t="n"/>
      <c r="CV2996" s="204" t="n"/>
      <c r="CW2996" s="204" t="n"/>
    </row>
    <row r="2997">
      <c r="BF2997" s="78" t="n"/>
      <c r="BG2997" s="78" t="n"/>
      <c r="BH2997" s="78" t="n"/>
      <c r="BI2997" s="78" t="n"/>
      <c r="BJ2997" s="139" t="n"/>
      <c r="BK2997" s="204" t="n"/>
      <c r="BL2997" s="141" t="n"/>
      <c r="BM2997" s="205" t="n"/>
      <c r="BN2997" s="205" t="n"/>
      <c r="BO2997" s="206" t="n"/>
      <c r="BP2997" s="144" t="n"/>
      <c r="BQ2997" s="141" t="n"/>
      <c r="BR2997" s="207" t="n"/>
      <c r="BS2997" s="207" t="n"/>
      <c r="BT2997" s="207" t="n"/>
      <c r="BU2997" s="207" t="n"/>
      <c r="BV2997" s="208" t="n"/>
      <c r="BW2997" s="207" t="n"/>
      <c r="BX2997" s="207" t="n"/>
      <c r="BY2997" s="204" t="n"/>
      <c r="BZ2997" s="148" t="n"/>
      <c r="CA2997" s="204" t="n"/>
      <c r="CB2997" s="208" t="n"/>
      <c r="CC2997" s="139" t="n"/>
      <c r="CD2997" s="204" t="n"/>
      <c r="CE2997" s="204" t="n"/>
      <c r="CF2997" s="207" t="n"/>
      <c r="CG2997" s="208" t="n"/>
      <c r="CH2997" s="207" t="n"/>
      <c r="CI2997" s="208" t="n"/>
      <c r="CJ2997" s="204" t="n"/>
      <c r="CK2997" s="208" t="n"/>
      <c r="CL2997" s="208" t="n"/>
      <c r="CM2997" s="208" t="n"/>
      <c r="CN2997" s="78" t="n"/>
      <c r="CO2997" s="209" t="n"/>
      <c r="CP2997" s="204" t="n"/>
      <c r="CQ2997" s="204" t="n"/>
      <c r="CR2997" s="204" t="n"/>
      <c r="CS2997" s="204" t="n"/>
      <c r="CT2997" s="204" t="n"/>
      <c r="CU2997" s="204" t="n"/>
      <c r="CV2997" s="204" t="n"/>
      <c r="CW2997" s="204" t="n"/>
    </row>
    <row r="2998">
      <c r="BF2998" s="78" t="n"/>
      <c r="BG2998" s="78" t="n"/>
      <c r="BH2998" s="78" t="n"/>
      <c r="BI2998" s="78" t="n"/>
      <c r="BJ2998" s="139" t="n"/>
      <c r="BK2998" s="204" t="n"/>
      <c r="BL2998" s="141" t="n"/>
      <c r="BM2998" s="205" t="n"/>
      <c r="BN2998" s="205" t="n"/>
      <c r="BO2998" s="206" t="n"/>
      <c r="BP2998" s="144" t="n"/>
      <c r="BQ2998" s="141" t="n"/>
      <c r="BR2998" s="207" t="n"/>
      <c r="BS2998" s="207" t="n"/>
      <c r="BT2998" s="207" t="n"/>
      <c r="BU2998" s="207" t="n"/>
      <c r="BV2998" s="208" t="n"/>
      <c r="BW2998" s="207" t="n"/>
      <c r="BX2998" s="207" t="n"/>
      <c r="BY2998" s="204" t="n"/>
      <c r="BZ2998" s="148" t="n"/>
      <c r="CA2998" s="204" t="n"/>
      <c r="CB2998" s="208" t="n"/>
      <c r="CC2998" s="139" t="n"/>
      <c r="CD2998" s="204" t="n"/>
      <c r="CE2998" s="204" t="n"/>
      <c r="CF2998" s="207" t="n"/>
      <c r="CG2998" s="208" t="n"/>
      <c r="CH2998" s="207" t="n"/>
      <c r="CI2998" s="208" t="n"/>
      <c r="CJ2998" s="204" t="n"/>
      <c r="CK2998" s="208" t="n"/>
      <c r="CL2998" s="208" t="n"/>
      <c r="CM2998" s="208" t="n"/>
      <c r="CN2998" s="78" t="n"/>
      <c r="CO2998" s="209" t="n"/>
      <c r="CP2998" s="204" t="n"/>
      <c r="CQ2998" s="204" t="n"/>
      <c r="CR2998" s="204" t="n"/>
      <c r="CS2998" s="204" t="n"/>
      <c r="CT2998" s="204" t="n"/>
      <c r="CU2998" s="204" t="n"/>
      <c r="CV2998" s="204" t="n"/>
      <c r="CW2998" s="204" t="n"/>
    </row>
    <row r="2999">
      <c r="BF2999" s="78" t="n"/>
      <c r="BG2999" s="78" t="n"/>
      <c r="BH2999" s="78" t="n"/>
      <c r="BI2999" s="78" t="n"/>
      <c r="BJ2999" s="139" t="n"/>
      <c r="BK2999" s="204" t="n"/>
      <c r="BL2999" s="141" t="n"/>
      <c r="BM2999" s="205" t="n"/>
      <c r="BN2999" s="205" t="n"/>
      <c r="BO2999" s="206" t="n"/>
      <c r="BP2999" s="144" t="n"/>
      <c r="BQ2999" s="141" t="n"/>
      <c r="BR2999" s="207" t="n"/>
      <c r="BS2999" s="207" t="n"/>
      <c r="BT2999" s="207" t="n"/>
      <c r="BU2999" s="207" t="n"/>
      <c r="BV2999" s="208" t="n"/>
      <c r="BW2999" s="207" t="n"/>
      <c r="BX2999" s="207" t="n"/>
      <c r="BY2999" s="204" t="n"/>
      <c r="BZ2999" s="148" t="n"/>
      <c r="CA2999" s="204" t="n"/>
      <c r="CB2999" s="208" t="n"/>
      <c r="CC2999" s="139" t="n"/>
      <c r="CD2999" s="204" t="n"/>
      <c r="CE2999" s="204" t="n"/>
      <c r="CF2999" s="207" t="n"/>
      <c r="CG2999" s="208" t="n"/>
      <c r="CH2999" s="207" t="n"/>
      <c r="CI2999" s="208" t="n"/>
      <c r="CJ2999" s="204" t="n"/>
      <c r="CK2999" s="208" t="n"/>
      <c r="CL2999" s="208" t="n"/>
      <c r="CM2999" s="208" t="n"/>
      <c r="CN2999" s="78" t="n"/>
      <c r="CO2999" s="209" t="n"/>
      <c r="CP2999" s="204" t="n"/>
      <c r="CQ2999" s="204" t="n"/>
      <c r="CR2999" s="204" t="n"/>
      <c r="CS2999" s="204" t="n"/>
      <c r="CT2999" s="204" t="n"/>
      <c r="CU2999" s="204" t="n"/>
      <c r="CV2999" s="204" t="n"/>
      <c r="CW2999" s="204" t="n"/>
    </row>
    <row r="3000">
      <c r="BF3000" s="78" t="n"/>
      <c r="BG3000" s="78" t="n"/>
      <c r="BH3000" s="78" t="n"/>
      <c r="BI3000" s="78" t="n"/>
      <c r="BJ3000" s="139" t="n"/>
      <c r="BK3000" s="204" t="n"/>
      <c r="BL3000" s="141" t="n"/>
      <c r="BM3000" s="205" t="n"/>
      <c r="BN3000" s="205" t="n"/>
      <c r="BO3000" s="206" t="n"/>
      <c r="BP3000" s="144" t="n"/>
      <c r="BQ3000" s="141" t="n"/>
      <c r="BR3000" s="207" t="n"/>
      <c r="BS3000" s="207" t="n"/>
      <c r="BT3000" s="207" t="n"/>
      <c r="BU3000" s="207" t="n"/>
      <c r="BV3000" s="208" t="n"/>
      <c r="BW3000" s="207" t="n"/>
      <c r="BX3000" s="207" t="n"/>
      <c r="BY3000" s="204" t="n"/>
      <c r="BZ3000" s="148" t="n"/>
      <c r="CA3000" s="204" t="n"/>
      <c r="CB3000" s="208" t="n"/>
      <c r="CC3000" s="139" t="n"/>
      <c r="CD3000" s="204" t="n"/>
      <c r="CE3000" s="204" t="n"/>
      <c r="CF3000" s="207" t="n"/>
      <c r="CG3000" s="208" t="n"/>
      <c r="CH3000" s="207" t="n"/>
      <c r="CI3000" s="208" t="n"/>
      <c r="CJ3000" s="204" t="n"/>
      <c r="CK3000" s="208" t="n"/>
      <c r="CL3000" s="208" t="n"/>
      <c r="CM3000" s="208" t="n"/>
      <c r="CN3000" s="78" t="n"/>
      <c r="CO3000" s="209" t="n"/>
      <c r="CP3000" s="204" t="n"/>
      <c r="CQ3000" s="204" t="n"/>
      <c r="CR3000" s="204" t="n"/>
      <c r="CS3000" s="204" t="n"/>
      <c r="CT3000" s="204" t="n"/>
      <c r="CU3000" s="204" t="n"/>
      <c r="CV3000" s="204" t="n"/>
      <c r="CW3000" s="204" t="n"/>
    </row>
    <row r="3001">
      <c r="BF3001" s="78" t="n"/>
      <c r="BG3001" s="78" t="n"/>
      <c r="BH3001" s="78" t="n"/>
      <c r="BI3001" s="78" t="n"/>
      <c r="BJ3001" s="139" t="n"/>
      <c r="BK3001" s="204" t="n"/>
      <c r="BL3001" s="141" t="n"/>
      <c r="BM3001" s="205" t="n"/>
      <c r="BN3001" s="205" t="n"/>
      <c r="BO3001" s="206" t="n"/>
      <c r="BP3001" s="144" t="n"/>
      <c r="BQ3001" s="141" t="n"/>
      <c r="BR3001" s="207" t="n"/>
      <c r="BS3001" s="207" t="n"/>
      <c r="BT3001" s="207" t="n"/>
      <c r="BU3001" s="207" t="n"/>
      <c r="BV3001" s="208" t="n"/>
      <c r="BW3001" s="207" t="n"/>
      <c r="BX3001" s="207" t="n"/>
      <c r="BY3001" s="204" t="n"/>
      <c r="BZ3001" s="148" t="n"/>
      <c r="CA3001" s="204" t="n"/>
      <c r="CB3001" s="208" t="n"/>
      <c r="CC3001" s="139" t="n"/>
      <c r="CD3001" s="204" t="n"/>
      <c r="CE3001" s="204" t="n"/>
      <c r="CF3001" s="207" t="n"/>
      <c r="CG3001" s="208" t="n"/>
      <c r="CH3001" s="207" t="n"/>
      <c r="CI3001" s="208" t="n"/>
      <c r="CJ3001" s="204" t="n"/>
      <c r="CK3001" s="208" t="n"/>
      <c r="CL3001" s="208" t="n"/>
      <c r="CM3001" s="208" t="n"/>
      <c r="CN3001" s="78" t="n"/>
      <c r="CO3001" s="209" t="n"/>
      <c r="CP3001" s="204" t="n"/>
      <c r="CQ3001" s="204" t="n"/>
      <c r="CR3001" s="204" t="n"/>
      <c r="CS3001" s="204" t="n"/>
      <c r="CT3001" s="204" t="n"/>
      <c r="CU3001" s="204" t="n"/>
      <c r="CV3001" s="204" t="n"/>
      <c r="CW3001" s="204" t="n"/>
    </row>
    <row r="3002">
      <c r="BF3002" s="78" t="n"/>
      <c r="BG3002" s="78" t="n"/>
      <c r="BH3002" s="78" t="n"/>
      <c r="BI3002" s="78" t="n"/>
      <c r="BJ3002" s="139" t="n"/>
      <c r="BK3002" s="204" t="n"/>
      <c r="BL3002" s="141" t="n"/>
      <c r="BM3002" s="205" t="n"/>
      <c r="BN3002" s="205" t="n"/>
      <c r="BO3002" s="206" t="n"/>
      <c r="BP3002" s="144" t="n"/>
      <c r="BQ3002" s="141" t="n"/>
      <c r="BR3002" s="207" t="n"/>
      <c r="BS3002" s="207" t="n"/>
      <c r="BT3002" s="207" t="n"/>
      <c r="BU3002" s="207" t="n"/>
      <c r="BV3002" s="208" t="n"/>
      <c r="BW3002" s="207" t="n"/>
      <c r="BX3002" s="207" t="n"/>
      <c r="BY3002" s="204" t="n"/>
      <c r="BZ3002" s="148" t="n"/>
      <c r="CA3002" s="204" t="n"/>
      <c r="CB3002" s="208" t="n"/>
      <c r="CC3002" s="139" t="n"/>
      <c r="CD3002" s="204" t="n"/>
      <c r="CE3002" s="204" t="n"/>
      <c r="CF3002" s="207" t="n"/>
      <c r="CG3002" s="208" t="n"/>
      <c r="CH3002" s="207" t="n"/>
      <c r="CI3002" s="208" t="n"/>
      <c r="CJ3002" s="204" t="n"/>
      <c r="CK3002" s="208" t="n"/>
      <c r="CL3002" s="208" t="n"/>
      <c r="CM3002" s="208" t="n"/>
      <c r="CN3002" s="78" t="n"/>
      <c r="CO3002" s="209" t="n"/>
      <c r="CP3002" s="204" t="n"/>
      <c r="CQ3002" s="204" t="n"/>
      <c r="CR3002" s="204" t="n"/>
      <c r="CS3002" s="204" t="n"/>
      <c r="CT3002" s="204" t="n"/>
      <c r="CU3002" s="204" t="n"/>
      <c r="CV3002" s="204" t="n"/>
      <c r="CW3002" s="204" t="n"/>
    </row>
    <row r="3003">
      <c r="BF3003" s="78" t="n"/>
      <c r="BG3003" s="78" t="n"/>
      <c r="BH3003" s="78" t="n"/>
      <c r="BI3003" s="78" t="n"/>
      <c r="BJ3003" s="139" t="n"/>
      <c r="BK3003" s="204" t="n"/>
      <c r="BL3003" s="141" t="n"/>
      <c r="BM3003" s="205" t="n"/>
      <c r="BN3003" s="205" t="n"/>
      <c r="BO3003" s="206" t="n"/>
      <c r="BP3003" s="144" t="n"/>
      <c r="BQ3003" s="141" t="n"/>
      <c r="BR3003" s="207" t="n"/>
      <c r="BS3003" s="207" t="n"/>
      <c r="BT3003" s="207" t="n"/>
      <c r="BU3003" s="207" t="n"/>
      <c r="BV3003" s="208" t="n"/>
      <c r="BW3003" s="207" t="n"/>
      <c r="BX3003" s="207" t="n"/>
      <c r="BY3003" s="204" t="n"/>
      <c r="BZ3003" s="148" t="n"/>
      <c r="CA3003" s="204" t="n"/>
      <c r="CB3003" s="208" t="n"/>
      <c r="CC3003" s="139" t="n"/>
      <c r="CD3003" s="204" t="n"/>
      <c r="CE3003" s="204" t="n"/>
      <c r="CF3003" s="207" t="n"/>
      <c r="CG3003" s="208" t="n"/>
      <c r="CH3003" s="207" t="n"/>
      <c r="CI3003" s="208" t="n"/>
      <c r="CJ3003" s="204" t="n"/>
      <c r="CK3003" s="208" t="n"/>
      <c r="CL3003" s="208" t="n"/>
      <c r="CM3003" s="208" t="n"/>
      <c r="CN3003" s="78" t="n"/>
      <c r="CO3003" s="209" t="n"/>
      <c r="CP3003" s="204" t="n"/>
      <c r="CQ3003" s="204" t="n"/>
      <c r="CR3003" s="204" t="n"/>
      <c r="CS3003" s="204" t="n"/>
      <c r="CT3003" s="204" t="n"/>
      <c r="CU3003" s="204" t="n"/>
      <c r="CV3003" s="204" t="n"/>
      <c r="CW3003" s="204" t="n"/>
    </row>
    <row r="3004">
      <c r="BF3004" s="78" t="n"/>
      <c r="BG3004" s="78" t="n"/>
      <c r="BH3004" s="78" t="n"/>
      <c r="BI3004" s="78" t="n"/>
      <c r="BJ3004" s="139" t="n"/>
      <c r="BK3004" s="204" t="n"/>
      <c r="BL3004" s="141" t="n"/>
      <c r="BM3004" s="205" t="n"/>
      <c r="BN3004" s="205" t="n"/>
      <c r="BO3004" s="206" t="n"/>
      <c r="BP3004" s="144" t="n"/>
      <c r="BQ3004" s="141" t="n"/>
      <c r="BR3004" s="207" t="n"/>
      <c r="BS3004" s="207" t="n"/>
      <c r="BT3004" s="207" t="n"/>
      <c r="BU3004" s="207" t="n"/>
      <c r="BV3004" s="208" t="n"/>
      <c r="BW3004" s="207" t="n"/>
      <c r="BX3004" s="207" t="n"/>
      <c r="BY3004" s="204" t="n"/>
      <c r="BZ3004" s="148" t="n"/>
      <c r="CA3004" s="204" t="n"/>
      <c r="CB3004" s="208" t="n"/>
      <c r="CC3004" s="139" t="n"/>
      <c r="CD3004" s="204" t="n"/>
      <c r="CE3004" s="204" t="n"/>
      <c r="CF3004" s="207" t="n"/>
      <c r="CG3004" s="208" t="n"/>
      <c r="CH3004" s="207" t="n"/>
      <c r="CI3004" s="208" t="n"/>
      <c r="CJ3004" s="204" t="n"/>
      <c r="CK3004" s="208" t="n"/>
      <c r="CL3004" s="208" t="n"/>
      <c r="CM3004" s="208" t="n"/>
      <c r="CN3004" s="78" t="n"/>
      <c r="CO3004" s="209" t="n"/>
      <c r="CP3004" s="204" t="n"/>
      <c r="CQ3004" s="204" t="n"/>
      <c r="CR3004" s="204" t="n"/>
      <c r="CS3004" s="204" t="n"/>
      <c r="CT3004" s="204" t="n"/>
      <c r="CU3004" s="204" t="n"/>
      <c r="CV3004" s="204" t="n"/>
      <c r="CW3004" s="204" t="n"/>
    </row>
    <row r="3005">
      <c r="BF3005" s="78" t="n"/>
      <c r="BG3005" s="78" t="n"/>
      <c r="BH3005" s="78" t="n"/>
      <c r="BI3005" s="78" t="n"/>
      <c r="BJ3005" s="139" t="n"/>
      <c r="BK3005" s="204" t="n"/>
      <c r="BL3005" s="141" t="n"/>
      <c r="BM3005" s="205" t="n"/>
      <c r="BN3005" s="205" t="n"/>
      <c r="BO3005" s="206" t="n"/>
      <c r="BP3005" s="144" t="n"/>
      <c r="BQ3005" s="141" t="n"/>
      <c r="BR3005" s="207" t="n"/>
      <c r="BS3005" s="207" t="n"/>
      <c r="BT3005" s="207" t="n"/>
      <c r="BU3005" s="207" t="n"/>
      <c r="BV3005" s="208" t="n"/>
      <c r="BW3005" s="207" t="n"/>
      <c r="BX3005" s="207" t="n"/>
      <c r="BY3005" s="204" t="n"/>
      <c r="BZ3005" s="148" t="n"/>
      <c r="CA3005" s="204" t="n"/>
      <c r="CB3005" s="208" t="n"/>
      <c r="CC3005" s="139" t="n"/>
      <c r="CD3005" s="204" t="n"/>
      <c r="CE3005" s="204" t="n"/>
      <c r="CF3005" s="207" t="n"/>
      <c r="CG3005" s="208" t="n"/>
      <c r="CH3005" s="207" t="n"/>
      <c r="CI3005" s="208" t="n"/>
      <c r="CJ3005" s="204" t="n"/>
      <c r="CK3005" s="208" t="n"/>
      <c r="CL3005" s="208" t="n"/>
      <c r="CM3005" s="208" t="n"/>
      <c r="CN3005" s="78" t="n"/>
      <c r="CO3005" s="209" t="n"/>
      <c r="CP3005" s="204" t="n"/>
      <c r="CQ3005" s="204" t="n"/>
      <c r="CR3005" s="204" t="n"/>
      <c r="CS3005" s="204" t="n"/>
      <c r="CT3005" s="204" t="n"/>
      <c r="CU3005" s="204" t="n"/>
      <c r="CV3005" s="204" t="n"/>
      <c r="CW3005" s="204" t="n"/>
    </row>
    <row r="3006">
      <c r="BF3006" s="78" t="n"/>
      <c r="BG3006" s="78" t="n"/>
      <c r="BH3006" s="78" t="n"/>
      <c r="BI3006" s="78" t="n"/>
      <c r="BJ3006" s="139" t="n"/>
      <c r="BK3006" s="204" t="n"/>
      <c r="BL3006" s="141" t="n"/>
      <c r="BM3006" s="205" t="n"/>
      <c r="BN3006" s="205" t="n"/>
      <c r="BO3006" s="206" t="n"/>
      <c r="BP3006" s="144" t="n"/>
      <c r="BQ3006" s="141" t="n"/>
      <c r="BR3006" s="207" t="n"/>
      <c r="BS3006" s="207" t="n"/>
      <c r="BT3006" s="207" t="n"/>
      <c r="BU3006" s="207" t="n"/>
      <c r="BV3006" s="208" t="n"/>
      <c r="BW3006" s="207" t="n"/>
      <c r="BX3006" s="207" t="n"/>
      <c r="BY3006" s="204" t="n"/>
      <c r="BZ3006" s="148" t="n"/>
      <c r="CA3006" s="204" t="n"/>
      <c r="CB3006" s="208" t="n"/>
      <c r="CC3006" s="139" t="n"/>
      <c r="CD3006" s="204" t="n"/>
      <c r="CE3006" s="204" t="n"/>
      <c r="CF3006" s="207" t="n"/>
      <c r="CG3006" s="208" t="n"/>
      <c r="CH3006" s="207" t="n"/>
      <c r="CI3006" s="208" t="n"/>
      <c r="CJ3006" s="204" t="n"/>
      <c r="CK3006" s="208" t="n"/>
      <c r="CL3006" s="208" t="n"/>
      <c r="CM3006" s="208" t="n"/>
      <c r="CN3006" s="78" t="n"/>
      <c r="CO3006" s="209" t="n"/>
      <c r="CP3006" s="204" t="n"/>
      <c r="CQ3006" s="204" t="n"/>
      <c r="CR3006" s="204" t="n"/>
      <c r="CS3006" s="204" t="n"/>
      <c r="CT3006" s="204" t="n"/>
      <c r="CU3006" s="204" t="n"/>
      <c r="CV3006" s="204" t="n"/>
      <c r="CW3006" s="204" t="n"/>
    </row>
    <row r="3007">
      <c r="BF3007" s="78" t="n"/>
      <c r="BG3007" s="78" t="n"/>
      <c r="BH3007" s="78" t="n"/>
      <c r="BI3007" s="78" t="n"/>
      <c r="BJ3007" s="139" t="n"/>
      <c r="BK3007" s="204" t="n"/>
      <c r="BL3007" s="141" t="n"/>
      <c r="BM3007" s="205" t="n"/>
      <c r="BN3007" s="205" t="n"/>
      <c r="BO3007" s="206" t="n"/>
      <c r="BP3007" s="144" t="n"/>
      <c r="BQ3007" s="141" t="n"/>
      <c r="BR3007" s="207" t="n"/>
      <c r="BS3007" s="207" t="n"/>
      <c r="BT3007" s="207" t="n"/>
      <c r="BU3007" s="207" t="n"/>
      <c r="BV3007" s="208" t="n"/>
      <c r="BW3007" s="207" t="n"/>
      <c r="BX3007" s="207" t="n"/>
      <c r="BY3007" s="204" t="n"/>
      <c r="BZ3007" s="148" t="n"/>
      <c r="CA3007" s="204" t="n"/>
      <c r="CB3007" s="208" t="n"/>
      <c r="CC3007" s="139" t="n"/>
      <c r="CD3007" s="204" t="n"/>
      <c r="CE3007" s="204" t="n"/>
      <c r="CF3007" s="207" t="n"/>
      <c r="CG3007" s="208" t="n"/>
      <c r="CH3007" s="207" t="n"/>
      <c r="CI3007" s="208" t="n"/>
      <c r="CJ3007" s="204" t="n"/>
      <c r="CK3007" s="208" t="n"/>
      <c r="CL3007" s="208" t="n"/>
      <c r="CM3007" s="208" t="n"/>
      <c r="CN3007" s="78" t="n"/>
      <c r="CO3007" s="209" t="n"/>
      <c r="CP3007" s="204" t="n"/>
      <c r="CQ3007" s="204" t="n"/>
      <c r="CR3007" s="204" t="n"/>
      <c r="CS3007" s="204" t="n"/>
      <c r="CT3007" s="204" t="n"/>
      <c r="CU3007" s="204" t="n"/>
      <c r="CV3007" s="204" t="n"/>
      <c r="CW3007" s="204" t="n"/>
    </row>
    <row r="3008">
      <c r="BF3008" s="78" t="n"/>
      <c r="BG3008" s="78" t="n"/>
      <c r="BH3008" s="78" t="n"/>
      <c r="BI3008" s="78" t="n"/>
      <c r="BJ3008" s="139" t="n"/>
      <c r="BK3008" s="204" t="n"/>
      <c r="BL3008" s="141" t="n"/>
      <c r="BM3008" s="205" t="n"/>
      <c r="BN3008" s="205" t="n"/>
      <c r="BO3008" s="206" t="n"/>
      <c r="BP3008" s="144" t="n"/>
      <c r="BQ3008" s="141" t="n"/>
      <c r="BR3008" s="207" t="n"/>
      <c r="BS3008" s="207" t="n"/>
      <c r="BT3008" s="207" t="n"/>
      <c r="BU3008" s="207" t="n"/>
      <c r="BV3008" s="208" t="n"/>
      <c r="BW3008" s="207" t="n"/>
      <c r="BX3008" s="207" t="n"/>
      <c r="BY3008" s="204" t="n"/>
      <c r="BZ3008" s="148" t="n"/>
      <c r="CA3008" s="204" t="n"/>
      <c r="CB3008" s="208" t="n"/>
      <c r="CC3008" s="139" t="n"/>
      <c r="CD3008" s="204" t="n"/>
      <c r="CE3008" s="204" t="n"/>
      <c r="CF3008" s="207" t="n"/>
      <c r="CG3008" s="208" t="n"/>
      <c r="CH3008" s="207" t="n"/>
      <c r="CI3008" s="208" t="n"/>
      <c r="CJ3008" s="204" t="n"/>
      <c r="CK3008" s="208" t="n"/>
      <c r="CL3008" s="208" t="n"/>
      <c r="CM3008" s="208" t="n"/>
      <c r="CN3008" s="78" t="n"/>
      <c r="CO3008" s="209" t="n"/>
      <c r="CP3008" s="204" t="n"/>
      <c r="CQ3008" s="204" t="n"/>
      <c r="CR3008" s="204" t="n"/>
      <c r="CS3008" s="204" t="n"/>
      <c r="CT3008" s="204" t="n"/>
      <c r="CU3008" s="204" t="n"/>
      <c r="CV3008" s="204" t="n"/>
      <c r="CW3008" s="204" t="n"/>
    </row>
    <row r="3009">
      <c r="BF3009" s="78" t="n"/>
      <c r="BG3009" s="78" t="n"/>
      <c r="BH3009" s="78" t="n"/>
      <c r="BI3009" s="78" t="n"/>
      <c r="BJ3009" s="139" t="n"/>
      <c r="BK3009" s="204" t="n"/>
      <c r="BL3009" s="141" t="n"/>
      <c r="BM3009" s="205" t="n"/>
      <c r="BN3009" s="205" t="n"/>
      <c r="BO3009" s="206" t="n"/>
      <c r="BP3009" s="144" t="n"/>
      <c r="BQ3009" s="141" t="n"/>
      <c r="BR3009" s="207" t="n"/>
      <c r="BS3009" s="207" t="n"/>
      <c r="BT3009" s="207" t="n"/>
      <c r="BU3009" s="207" t="n"/>
      <c r="BV3009" s="208" t="n"/>
      <c r="BW3009" s="207" t="n"/>
      <c r="BX3009" s="207" t="n"/>
      <c r="BY3009" s="204" t="n"/>
      <c r="BZ3009" s="148" t="n"/>
      <c r="CA3009" s="204" t="n"/>
      <c r="CB3009" s="208" t="n"/>
      <c r="CC3009" s="139" t="n"/>
      <c r="CD3009" s="204" t="n"/>
      <c r="CE3009" s="204" t="n"/>
      <c r="CF3009" s="207" t="n"/>
      <c r="CG3009" s="208" t="n"/>
      <c r="CH3009" s="207" t="n"/>
      <c r="CI3009" s="208" t="n"/>
      <c r="CJ3009" s="204" t="n"/>
      <c r="CK3009" s="208" t="n"/>
      <c r="CL3009" s="208" t="n"/>
      <c r="CM3009" s="208" t="n"/>
      <c r="CN3009" s="78" t="n"/>
      <c r="CO3009" s="209" t="n"/>
      <c r="CP3009" s="204" t="n"/>
      <c r="CQ3009" s="204" t="n"/>
      <c r="CR3009" s="204" t="n"/>
      <c r="CS3009" s="204" t="n"/>
      <c r="CT3009" s="204" t="n"/>
      <c r="CU3009" s="204" t="n"/>
      <c r="CV3009" s="204" t="n"/>
      <c r="CW3009" s="204" t="n"/>
    </row>
    <row r="3010">
      <c r="BF3010" s="78" t="n"/>
      <c r="BG3010" s="78" t="n"/>
      <c r="BH3010" s="78" t="n"/>
      <c r="BI3010" s="78" t="n"/>
      <c r="BJ3010" s="139" t="n"/>
      <c r="BK3010" s="204" t="n"/>
      <c r="BL3010" s="141" t="n"/>
      <c r="BM3010" s="205" t="n"/>
      <c r="BN3010" s="205" t="n"/>
      <c r="BO3010" s="206" t="n"/>
      <c r="BP3010" s="144" t="n"/>
      <c r="BQ3010" s="141" t="n"/>
      <c r="BR3010" s="207" t="n"/>
      <c r="BS3010" s="207" t="n"/>
      <c r="BT3010" s="207" t="n"/>
      <c r="BU3010" s="207" t="n"/>
      <c r="BV3010" s="208" t="n"/>
      <c r="BW3010" s="207" t="n"/>
      <c r="BX3010" s="207" t="n"/>
      <c r="BY3010" s="204" t="n"/>
      <c r="BZ3010" s="148" t="n"/>
      <c r="CA3010" s="204" t="n"/>
      <c r="CB3010" s="208" t="n"/>
      <c r="CC3010" s="139" t="n"/>
      <c r="CD3010" s="204" t="n"/>
      <c r="CE3010" s="204" t="n"/>
      <c r="CF3010" s="207" t="n"/>
      <c r="CG3010" s="208" t="n"/>
      <c r="CH3010" s="207" t="n"/>
      <c r="CI3010" s="208" t="n"/>
      <c r="CJ3010" s="204" t="n"/>
      <c r="CK3010" s="208" t="n"/>
      <c r="CL3010" s="208" t="n"/>
      <c r="CM3010" s="208" t="n"/>
      <c r="CN3010" s="78" t="n"/>
      <c r="CO3010" s="209" t="n"/>
      <c r="CP3010" s="204" t="n"/>
      <c r="CQ3010" s="204" t="n"/>
      <c r="CR3010" s="204" t="n"/>
      <c r="CS3010" s="204" t="n"/>
      <c r="CT3010" s="204" t="n"/>
      <c r="CU3010" s="204" t="n"/>
      <c r="CV3010" s="204" t="n"/>
      <c r="CW3010" s="204" t="n"/>
    </row>
    <row r="3011">
      <c r="BF3011" s="78" t="n"/>
      <c r="BG3011" s="78" t="n"/>
      <c r="BH3011" s="78" t="n"/>
      <c r="BI3011" s="78" t="n"/>
      <c r="BJ3011" s="139" t="n"/>
      <c r="BK3011" s="204" t="n"/>
      <c r="BL3011" s="141" t="n"/>
      <c r="BM3011" s="205" t="n"/>
      <c r="BN3011" s="205" t="n"/>
      <c r="BO3011" s="206" t="n"/>
      <c r="BP3011" s="144" t="n"/>
      <c r="BQ3011" s="141" t="n"/>
      <c r="BR3011" s="207" t="n"/>
      <c r="BS3011" s="207" t="n"/>
      <c r="BT3011" s="207" t="n"/>
      <c r="BU3011" s="207" t="n"/>
      <c r="BV3011" s="208" t="n"/>
      <c r="BW3011" s="207" t="n"/>
      <c r="BX3011" s="207" t="n"/>
      <c r="BY3011" s="204" t="n"/>
      <c r="BZ3011" s="148" t="n"/>
      <c r="CA3011" s="204" t="n"/>
      <c r="CB3011" s="208" t="n"/>
      <c r="CC3011" s="139" t="n"/>
      <c r="CD3011" s="204" t="n"/>
      <c r="CE3011" s="204" t="n"/>
      <c r="CF3011" s="207" t="n"/>
      <c r="CG3011" s="208" t="n"/>
      <c r="CH3011" s="207" t="n"/>
      <c r="CI3011" s="208" t="n"/>
      <c r="CJ3011" s="204" t="n"/>
      <c r="CK3011" s="208" t="n"/>
      <c r="CL3011" s="208" t="n"/>
      <c r="CM3011" s="208" t="n"/>
      <c r="CN3011" s="78" t="n"/>
      <c r="CO3011" s="209" t="n"/>
      <c r="CP3011" s="204" t="n"/>
      <c r="CQ3011" s="204" t="n"/>
      <c r="CR3011" s="204" t="n"/>
      <c r="CS3011" s="204" t="n"/>
      <c r="CT3011" s="204" t="n"/>
      <c r="CU3011" s="204" t="n"/>
      <c r="CV3011" s="204" t="n"/>
      <c r="CW3011" s="204" t="n"/>
    </row>
    <row r="3012">
      <c r="BF3012" s="78" t="n"/>
      <c r="BG3012" s="78" t="n"/>
      <c r="BH3012" s="78" t="n"/>
      <c r="BI3012" s="78" t="n"/>
      <c r="BJ3012" s="139" t="n"/>
      <c r="BK3012" s="204" t="n"/>
      <c r="BL3012" s="141" t="n"/>
      <c r="BM3012" s="205" t="n"/>
      <c r="BN3012" s="205" t="n"/>
      <c r="BO3012" s="206" t="n"/>
      <c r="BP3012" s="144" t="n"/>
      <c r="BQ3012" s="141" t="n"/>
      <c r="BR3012" s="207" t="n"/>
      <c r="BS3012" s="207" t="n"/>
      <c r="BT3012" s="207" t="n"/>
      <c r="BU3012" s="207" t="n"/>
      <c r="BV3012" s="208" t="n"/>
      <c r="BW3012" s="207" t="n"/>
      <c r="BX3012" s="207" t="n"/>
      <c r="BY3012" s="204" t="n"/>
      <c r="BZ3012" s="148" t="n"/>
      <c r="CA3012" s="204" t="n"/>
      <c r="CB3012" s="208" t="n"/>
      <c r="CC3012" s="139" t="n"/>
      <c r="CD3012" s="204" t="n"/>
      <c r="CE3012" s="204" t="n"/>
      <c r="CF3012" s="207" t="n"/>
      <c r="CG3012" s="208" t="n"/>
      <c r="CH3012" s="207" t="n"/>
      <c r="CI3012" s="208" t="n"/>
      <c r="CJ3012" s="204" t="n"/>
      <c r="CK3012" s="208" t="n"/>
      <c r="CL3012" s="208" t="n"/>
      <c r="CM3012" s="208" t="n"/>
      <c r="CN3012" s="78" t="n"/>
      <c r="CO3012" s="209" t="n"/>
      <c r="CP3012" s="204" t="n"/>
      <c r="CQ3012" s="204" t="n"/>
      <c r="CR3012" s="204" t="n"/>
      <c r="CS3012" s="204" t="n"/>
      <c r="CT3012" s="204" t="n"/>
      <c r="CU3012" s="204" t="n"/>
      <c r="CV3012" s="204" t="n"/>
      <c r="CW3012" s="204" t="n"/>
    </row>
    <row r="3013">
      <c r="BF3013" s="78" t="n"/>
      <c r="BG3013" s="78" t="n"/>
      <c r="BH3013" s="78" t="n"/>
      <c r="BI3013" s="78" t="n"/>
      <c r="BJ3013" s="139" t="n"/>
      <c r="BK3013" s="204" t="n"/>
      <c r="BL3013" s="141" t="n"/>
      <c r="BM3013" s="205" t="n"/>
      <c r="BN3013" s="205" t="n"/>
      <c r="BO3013" s="206" t="n"/>
      <c r="BP3013" s="144" t="n"/>
      <c r="BQ3013" s="141" t="n"/>
      <c r="BR3013" s="207" t="n"/>
      <c r="BS3013" s="207" t="n"/>
      <c r="BT3013" s="207" t="n"/>
      <c r="BU3013" s="207" t="n"/>
      <c r="BV3013" s="208" t="n"/>
      <c r="BW3013" s="207" t="n"/>
      <c r="BX3013" s="207" t="n"/>
      <c r="BY3013" s="204" t="n"/>
      <c r="BZ3013" s="148" t="n"/>
      <c r="CA3013" s="204" t="n"/>
      <c r="CB3013" s="208" t="n"/>
      <c r="CC3013" s="139" t="n"/>
      <c r="CD3013" s="204" t="n"/>
      <c r="CE3013" s="204" t="n"/>
      <c r="CF3013" s="207" t="n"/>
      <c r="CG3013" s="208" t="n"/>
      <c r="CH3013" s="207" t="n"/>
      <c r="CI3013" s="208" t="n"/>
      <c r="CJ3013" s="204" t="n"/>
      <c r="CK3013" s="208" t="n"/>
      <c r="CL3013" s="208" t="n"/>
      <c r="CM3013" s="208" t="n"/>
      <c r="CN3013" s="78" t="n"/>
      <c r="CO3013" s="209" t="n"/>
      <c r="CP3013" s="204" t="n"/>
      <c r="CQ3013" s="204" t="n"/>
      <c r="CR3013" s="204" t="n"/>
      <c r="CS3013" s="204" t="n"/>
      <c r="CT3013" s="204" t="n"/>
      <c r="CU3013" s="204" t="n"/>
      <c r="CV3013" s="204" t="n"/>
      <c r="CW3013" s="204" t="n"/>
    </row>
    <row r="3014">
      <c r="BF3014" s="78" t="n"/>
      <c r="BG3014" s="78" t="n"/>
      <c r="BH3014" s="78" t="n"/>
      <c r="BI3014" s="78" t="n"/>
      <c r="BJ3014" s="139" t="n"/>
      <c r="BK3014" s="204" t="n"/>
      <c r="BL3014" s="141" t="n"/>
      <c r="BM3014" s="205" t="n"/>
      <c r="BN3014" s="205" t="n"/>
      <c r="BO3014" s="206" t="n"/>
      <c r="BP3014" s="144" t="n"/>
      <c r="BQ3014" s="141" t="n"/>
      <c r="BR3014" s="207" t="n"/>
      <c r="BS3014" s="207" t="n"/>
      <c r="BT3014" s="207" t="n"/>
      <c r="BU3014" s="207" t="n"/>
      <c r="BV3014" s="208" t="n"/>
      <c r="BW3014" s="207" t="n"/>
      <c r="BX3014" s="207" t="n"/>
      <c r="BY3014" s="204" t="n"/>
      <c r="BZ3014" s="148" t="n"/>
      <c r="CA3014" s="204" t="n"/>
      <c r="CB3014" s="208" t="n"/>
      <c r="CC3014" s="139" t="n"/>
      <c r="CD3014" s="204" t="n"/>
      <c r="CE3014" s="204" t="n"/>
      <c r="CF3014" s="207" t="n"/>
      <c r="CG3014" s="208" t="n"/>
      <c r="CH3014" s="207" t="n"/>
      <c r="CI3014" s="208" t="n"/>
      <c r="CJ3014" s="204" t="n"/>
      <c r="CK3014" s="208" t="n"/>
      <c r="CL3014" s="208" t="n"/>
      <c r="CM3014" s="208" t="n"/>
      <c r="CN3014" s="78" t="n"/>
      <c r="CO3014" s="209" t="n"/>
      <c r="CP3014" s="204" t="n"/>
      <c r="CQ3014" s="204" t="n"/>
      <c r="CR3014" s="204" t="n"/>
      <c r="CS3014" s="204" t="n"/>
      <c r="CT3014" s="204" t="n"/>
      <c r="CU3014" s="204" t="n"/>
      <c r="CV3014" s="204" t="n"/>
      <c r="CW3014" s="204" t="n"/>
    </row>
    <row r="3015">
      <c r="BF3015" s="78" t="n"/>
      <c r="BG3015" s="78" t="n"/>
      <c r="BH3015" s="78" t="n"/>
      <c r="BI3015" s="78" t="n"/>
      <c r="BJ3015" s="139" t="n"/>
      <c r="BK3015" s="204" t="n"/>
      <c r="BL3015" s="141" t="n"/>
      <c r="BM3015" s="205" t="n"/>
      <c r="BN3015" s="205" t="n"/>
      <c r="BO3015" s="206" t="n"/>
      <c r="BP3015" s="144" t="n"/>
      <c r="BQ3015" s="141" t="n"/>
      <c r="BR3015" s="207" t="n"/>
      <c r="BS3015" s="207" t="n"/>
      <c r="BT3015" s="207" t="n"/>
      <c r="BU3015" s="207" t="n"/>
      <c r="BV3015" s="208" t="n"/>
      <c r="BW3015" s="207" t="n"/>
      <c r="BX3015" s="207" t="n"/>
      <c r="BY3015" s="204" t="n"/>
      <c r="BZ3015" s="148" t="n"/>
      <c r="CA3015" s="204" t="n"/>
      <c r="CB3015" s="208" t="n"/>
      <c r="CC3015" s="139" t="n"/>
      <c r="CD3015" s="204" t="n"/>
      <c r="CE3015" s="204" t="n"/>
      <c r="CF3015" s="207" t="n"/>
      <c r="CG3015" s="208" t="n"/>
      <c r="CH3015" s="207" t="n"/>
      <c r="CI3015" s="208" t="n"/>
      <c r="CJ3015" s="204" t="n"/>
      <c r="CK3015" s="208" t="n"/>
      <c r="CL3015" s="208" t="n"/>
      <c r="CM3015" s="208" t="n"/>
      <c r="CN3015" s="78" t="n"/>
      <c r="CO3015" s="209" t="n"/>
      <c r="CP3015" s="204" t="n"/>
      <c r="CQ3015" s="204" t="n"/>
      <c r="CR3015" s="204" t="n"/>
      <c r="CS3015" s="204" t="n"/>
      <c r="CT3015" s="204" t="n"/>
      <c r="CU3015" s="204" t="n"/>
      <c r="CV3015" s="204" t="n"/>
      <c r="CW3015" s="204" t="n"/>
    </row>
    <row r="3016">
      <c r="BF3016" s="78" t="n"/>
      <c r="BG3016" s="78" t="n"/>
      <c r="BH3016" s="78" t="n"/>
      <c r="BI3016" s="78" t="n"/>
      <c r="BJ3016" s="139" t="n"/>
      <c r="BK3016" s="204" t="n"/>
      <c r="BL3016" s="141" t="n"/>
      <c r="BM3016" s="205" t="n"/>
      <c r="BN3016" s="205" t="n"/>
      <c r="BO3016" s="206" t="n"/>
      <c r="BP3016" s="144" t="n"/>
      <c r="BQ3016" s="141" t="n"/>
      <c r="BR3016" s="207" t="n"/>
      <c r="BS3016" s="207" t="n"/>
      <c r="BT3016" s="207" t="n"/>
      <c r="BU3016" s="207" t="n"/>
      <c r="BV3016" s="208" t="n"/>
      <c r="BW3016" s="207" t="n"/>
      <c r="BX3016" s="207" t="n"/>
      <c r="BY3016" s="204" t="n"/>
      <c r="BZ3016" s="148" t="n"/>
      <c r="CA3016" s="204" t="n"/>
      <c r="CB3016" s="208" t="n"/>
      <c r="CC3016" s="139" t="n"/>
      <c r="CD3016" s="204" t="n"/>
      <c r="CE3016" s="204" t="n"/>
      <c r="CF3016" s="207" t="n"/>
      <c r="CG3016" s="208" t="n"/>
      <c r="CH3016" s="207" t="n"/>
      <c r="CI3016" s="208" t="n"/>
      <c r="CJ3016" s="204" t="n"/>
      <c r="CK3016" s="208" t="n"/>
      <c r="CL3016" s="208" t="n"/>
      <c r="CM3016" s="208" t="n"/>
      <c r="CN3016" s="78" t="n"/>
      <c r="CO3016" s="209" t="n"/>
      <c r="CP3016" s="204" t="n"/>
      <c r="CQ3016" s="204" t="n"/>
      <c r="CR3016" s="204" t="n"/>
      <c r="CS3016" s="204" t="n"/>
      <c r="CT3016" s="204" t="n"/>
      <c r="CU3016" s="204" t="n"/>
      <c r="CV3016" s="204" t="n"/>
      <c r="CW3016" s="204" t="n"/>
    </row>
    <row r="3017">
      <c r="BF3017" s="78" t="n"/>
      <c r="BG3017" s="78" t="n"/>
      <c r="BH3017" s="78" t="n"/>
      <c r="BI3017" s="78" t="n"/>
      <c r="BJ3017" s="139" t="n"/>
      <c r="BK3017" s="204" t="n"/>
      <c r="BL3017" s="141" t="n"/>
      <c r="BM3017" s="205" t="n"/>
      <c r="BN3017" s="205" t="n"/>
      <c r="BO3017" s="206" t="n"/>
      <c r="BP3017" s="144" t="n"/>
      <c r="BQ3017" s="141" t="n"/>
      <c r="BR3017" s="207" t="n"/>
      <c r="BS3017" s="207" t="n"/>
      <c r="BT3017" s="207" t="n"/>
      <c r="BU3017" s="207" t="n"/>
      <c r="BV3017" s="208" t="n"/>
      <c r="BW3017" s="207" t="n"/>
      <c r="BX3017" s="207" t="n"/>
      <c r="BY3017" s="204" t="n"/>
      <c r="BZ3017" s="148" t="n"/>
      <c r="CA3017" s="204" t="n"/>
      <c r="CB3017" s="208" t="n"/>
      <c r="CC3017" s="139" t="n"/>
      <c r="CD3017" s="204" t="n"/>
      <c r="CE3017" s="204" t="n"/>
      <c r="CF3017" s="207" t="n"/>
      <c r="CG3017" s="208" t="n"/>
      <c r="CH3017" s="207" t="n"/>
      <c r="CI3017" s="208" t="n"/>
      <c r="CJ3017" s="204" t="n"/>
      <c r="CK3017" s="208" t="n"/>
      <c r="CL3017" s="208" t="n"/>
      <c r="CM3017" s="208" t="n"/>
      <c r="CN3017" s="78" t="n"/>
      <c r="CO3017" s="209" t="n"/>
      <c r="CP3017" s="204" t="n"/>
      <c r="CQ3017" s="204" t="n"/>
      <c r="CR3017" s="204" t="n"/>
      <c r="CS3017" s="204" t="n"/>
      <c r="CT3017" s="204" t="n"/>
      <c r="CU3017" s="204" t="n"/>
      <c r="CV3017" s="204" t="n"/>
      <c r="CW3017" s="204" t="n"/>
    </row>
    <row r="3018">
      <c r="BF3018" s="78" t="n"/>
      <c r="BG3018" s="78" t="n"/>
      <c r="BH3018" s="78" t="n"/>
      <c r="BI3018" s="78" t="n"/>
      <c r="BJ3018" s="139" t="n"/>
      <c r="BK3018" s="204" t="n"/>
      <c r="BL3018" s="141" t="n"/>
      <c r="BM3018" s="205" t="n"/>
      <c r="BN3018" s="205" t="n"/>
      <c r="BO3018" s="206" t="n"/>
      <c r="BP3018" s="144" t="n"/>
      <c r="BQ3018" s="141" t="n"/>
      <c r="BR3018" s="207" t="n"/>
      <c r="BS3018" s="207" t="n"/>
      <c r="BT3018" s="207" t="n"/>
      <c r="BU3018" s="207" t="n"/>
      <c r="BV3018" s="208" t="n"/>
      <c r="BW3018" s="207" t="n"/>
      <c r="BX3018" s="207" t="n"/>
      <c r="BY3018" s="204" t="n"/>
      <c r="BZ3018" s="148" t="n"/>
      <c r="CA3018" s="204" t="n"/>
      <c r="CB3018" s="208" t="n"/>
      <c r="CC3018" s="139" t="n"/>
      <c r="CD3018" s="204" t="n"/>
      <c r="CE3018" s="204" t="n"/>
      <c r="CF3018" s="207" t="n"/>
      <c r="CG3018" s="208" t="n"/>
      <c r="CH3018" s="207" t="n"/>
      <c r="CI3018" s="208" t="n"/>
      <c r="CJ3018" s="204" t="n"/>
      <c r="CK3018" s="208" t="n"/>
      <c r="CL3018" s="208" t="n"/>
      <c r="CM3018" s="208" t="n"/>
      <c r="CN3018" s="78" t="n"/>
      <c r="CO3018" s="209" t="n"/>
      <c r="CP3018" s="204" t="n"/>
      <c r="CQ3018" s="204" t="n"/>
      <c r="CR3018" s="204" t="n"/>
      <c r="CS3018" s="204" t="n"/>
      <c r="CT3018" s="204" t="n"/>
      <c r="CU3018" s="204" t="n"/>
      <c r="CV3018" s="204" t="n"/>
      <c r="CW3018" s="204" t="n"/>
    </row>
    <row r="3019">
      <c r="BF3019" s="78" t="n"/>
      <c r="BG3019" s="78" t="n"/>
      <c r="BH3019" s="78" t="n"/>
      <c r="BI3019" s="78" t="n"/>
      <c r="BJ3019" s="139" t="n"/>
      <c r="BK3019" s="204" t="n"/>
      <c r="BL3019" s="141" t="n"/>
      <c r="BM3019" s="205" t="n"/>
      <c r="BN3019" s="205" t="n"/>
      <c r="BO3019" s="206" t="n"/>
      <c r="BP3019" s="144" t="n"/>
      <c r="BQ3019" s="141" t="n"/>
      <c r="BR3019" s="207" t="n"/>
      <c r="BS3019" s="207" t="n"/>
      <c r="BT3019" s="207" t="n"/>
      <c r="BU3019" s="207" t="n"/>
      <c r="BV3019" s="208" t="n"/>
      <c r="BW3019" s="207" t="n"/>
      <c r="BX3019" s="207" t="n"/>
      <c r="BY3019" s="204" t="n"/>
      <c r="BZ3019" s="148" t="n"/>
      <c r="CA3019" s="204" t="n"/>
      <c r="CB3019" s="208" t="n"/>
      <c r="CC3019" s="139" t="n"/>
      <c r="CD3019" s="204" t="n"/>
      <c r="CE3019" s="204" t="n"/>
      <c r="CF3019" s="207" t="n"/>
      <c r="CG3019" s="208" t="n"/>
      <c r="CH3019" s="207" t="n"/>
      <c r="CI3019" s="208" t="n"/>
      <c r="CJ3019" s="204" t="n"/>
      <c r="CK3019" s="208" t="n"/>
      <c r="CL3019" s="208" t="n"/>
      <c r="CM3019" s="208" t="n"/>
      <c r="CN3019" s="78" t="n"/>
      <c r="CO3019" s="209" t="n"/>
      <c r="CP3019" s="204" t="n"/>
      <c r="CQ3019" s="204" t="n"/>
      <c r="CR3019" s="204" t="n"/>
      <c r="CS3019" s="204" t="n"/>
      <c r="CT3019" s="204" t="n"/>
      <c r="CU3019" s="204" t="n"/>
      <c r="CV3019" s="204" t="n"/>
      <c r="CW3019" s="204" t="n"/>
    </row>
    <row r="3020">
      <c r="BF3020" s="78" t="n"/>
      <c r="BG3020" s="78" t="n"/>
      <c r="BH3020" s="78" t="n"/>
      <c r="BI3020" s="78" t="n"/>
      <c r="BJ3020" s="139" t="n"/>
      <c r="BK3020" s="204" t="n"/>
      <c r="BL3020" s="141" t="n"/>
      <c r="BM3020" s="205" t="n"/>
      <c r="BN3020" s="205" t="n"/>
      <c r="BO3020" s="206" t="n"/>
      <c r="BP3020" s="144" t="n"/>
      <c r="BQ3020" s="141" t="n"/>
      <c r="BR3020" s="207" t="n"/>
      <c r="BS3020" s="207" t="n"/>
      <c r="BT3020" s="207" t="n"/>
      <c r="BU3020" s="207" t="n"/>
      <c r="BV3020" s="208" t="n"/>
      <c r="BW3020" s="207" t="n"/>
      <c r="BX3020" s="207" t="n"/>
      <c r="BY3020" s="204" t="n"/>
      <c r="BZ3020" s="148" t="n"/>
      <c r="CA3020" s="204" t="n"/>
      <c r="CB3020" s="208" t="n"/>
      <c r="CC3020" s="139" t="n"/>
      <c r="CD3020" s="204" t="n"/>
      <c r="CE3020" s="204" t="n"/>
      <c r="CF3020" s="207" t="n"/>
      <c r="CG3020" s="208" t="n"/>
      <c r="CH3020" s="207" t="n"/>
      <c r="CI3020" s="208" t="n"/>
      <c r="CJ3020" s="204" t="n"/>
      <c r="CK3020" s="208" t="n"/>
      <c r="CL3020" s="208" t="n"/>
      <c r="CM3020" s="208" t="n"/>
      <c r="CN3020" s="78" t="n"/>
      <c r="CO3020" s="209" t="n"/>
      <c r="CP3020" s="204" t="n"/>
      <c r="CQ3020" s="204" t="n"/>
      <c r="CR3020" s="204" t="n"/>
      <c r="CS3020" s="204" t="n"/>
      <c r="CT3020" s="204" t="n"/>
      <c r="CU3020" s="204" t="n"/>
      <c r="CV3020" s="204" t="n"/>
      <c r="CW3020" s="204" t="n"/>
    </row>
    <row r="3021">
      <c r="BF3021" s="78" t="n"/>
      <c r="BG3021" s="78" t="n"/>
      <c r="BH3021" s="78" t="n"/>
      <c r="BI3021" s="78" t="n"/>
      <c r="BJ3021" s="139" t="n"/>
      <c r="BK3021" s="204" t="n"/>
      <c r="BL3021" s="141" t="n"/>
      <c r="BM3021" s="205" t="n"/>
      <c r="BN3021" s="205" t="n"/>
      <c r="BO3021" s="206" t="n"/>
      <c r="BP3021" s="144" t="n"/>
      <c r="BQ3021" s="141" t="n"/>
      <c r="BR3021" s="207" t="n"/>
      <c r="BS3021" s="207" t="n"/>
      <c r="BT3021" s="207" t="n"/>
      <c r="BU3021" s="207" t="n"/>
      <c r="BV3021" s="208" t="n"/>
      <c r="BW3021" s="207" t="n"/>
      <c r="BX3021" s="207" t="n"/>
      <c r="BY3021" s="204" t="n"/>
      <c r="BZ3021" s="148" t="n"/>
      <c r="CA3021" s="204" t="n"/>
      <c r="CB3021" s="208" t="n"/>
      <c r="CC3021" s="139" t="n"/>
      <c r="CD3021" s="204" t="n"/>
      <c r="CE3021" s="204" t="n"/>
      <c r="CF3021" s="207" t="n"/>
      <c r="CG3021" s="208" t="n"/>
      <c r="CH3021" s="207" t="n"/>
      <c r="CI3021" s="208" t="n"/>
      <c r="CJ3021" s="204" t="n"/>
      <c r="CK3021" s="208" t="n"/>
      <c r="CL3021" s="208" t="n"/>
      <c r="CM3021" s="208" t="n"/>
      <c r="CN3021" s="78" t="n"/>
      <c r="CO3021" s="209" t="n"/>
      <c r="CP3021" s="204" t="n"/>
      <c r="CQ3021" s="204" t="n"/>
      <c r="CR3021" s="204" t="n"/>
      <c r="CS3021" s="204" t="n"/>
      <c r="CT3021" s="204" t="n"/>
      <c r="CU3021" s="204" t="n"/>
      <c r="CV3021" s="204" t="n"/>
      <c r="CW3021" s="204" t="n"/>
    </row>
    <row r="3022">
      <c r="BF3022" s="78" t="n"/>
      <c r="BG3022" s="78" t="n"/>
      <c r="BH3022" s="78" t="n"/>
      <c r="BI3022" s="78" t="n"/>
      <c r="BJ3022" s="139" t="n"/>
      <c r="BK3022" s="204" t="n"/>
      <c r="BL3022" s="141" t="n"/>
      <c r="BM3022" s="205" t="n"/>
      <c r="BN3022" s="205" t="n"/>
      <c r="BO3022" s="206" t="n"/>
      <c r="BP3022" s="144" t="n"/>
      <c r="BQ3022" s="141" t="n"/>
      <c r="BR3022" s="207" t="n"/>
      <c r="BS3022" s="207" t="n"/>
      <c r="BT3022" s="207" t="n"/>
      <c r="BU3022" s="207" t="n"/>
      <c r="BV3022" s="208" t="n"/>
      <c r="BW3022" s="207" t="n"/>
      <c r="BX3022" s="207" t="n"/>
      <c r="BY3022" s="204" t="n"/>
      <c r="BZ3022" s="148" t="n"/>
      <c r="CA3022" s="204" t="n"/>
      <c r="CB3022" s="208" t="n"/>
      <c r="CC3022" s="139" t="n"/>
      <c r="CD3022" s="204" t="n"/>
      <c r="CE3022" s="204" t="n"/>
      <c r="CF3022" s="207" t="n"/>
      <c r="CG3022" s="208" t="n"/>
      <c r="CH3022" s="207" t="n"/>
      <c r="CI3022" s="208" t="n"/>
      <c r="CJ3022" s="204" t="n"/>
      <c r="CK3022" s="208" t="n"/>
      <c r="CL3022" s="208" t="n"/>
      <c r="CM3022" s="208" t="n"/>
      <c r="CN3022" s="78" t="n"/>
      <c r="CO3022" s="209" t="n"/>
      <c r="CP3022" s="204" t="n"/>
      <c r="CQ3022" s="204" t="n"/>
      <c r="CR3022" s="204" t="n"/>
      <c r="CS3022" s="204" t="n"/>
      <c r="CT3022" s="204" t="n"/>
      <c r="CU3022" s="204" t="n"/>
      <c r="CV3022" s="204" t="n"/>
      <c r="CW3022" s="204" t="n"/>
    </row>
    <row r="3023">
      <c r="BF3023" s="78" t="n"/>
      <c r="BG3023" s="78" t="n"/>
      <c r="BH3023" s="78" t="n"/>
      <c r="BI3023" s="78" t="n"/>
      <c r="BJ3023" s="139" t="n"/>
      <c r="BK3023" s="204" t="n"/>
      <c r="BL3023" s="141" t="n"/>
      <c r="BM3023" s="205" t="n"/>
      <c r="BN3023" s="205" t="n"/>
      <c r="BO3023" s="206" t="n"/>
      <c r="BP3023" s="144" t="n"/>
      <c r="BQ3023" s="141" t="n"/>
      <c r="BR3023" s="207" t="n"/>
      <c r="BS3023" s="207" t="n"/>
      <c r="BT3023" s="207" t="n"/>
      <c r="BU3023" s="207" t="n"/>
      <c r="BV3023" s="208" t="n"/>
      <c r="BW3023" s="207" t="n"/>
      <c r="BX3023" s="207" t="n"/>
      <c r="BY3023" s="204" t="n"/>
      <c r="BZ3023" s="148" t="n"/>
      <c r="CA3023" s="204" t="n"/>
      <c r="CB3023" s="208" t="n"/>
      <c r="CC3023" s="139" t="n"/>
      <c r="CD3023" s="204" t="n"/>
      <c r="CE3023" s="204" t="n"/>
      <c r="CF3023" s="207" t="n"/>
      <c r="CG3023" s="208" t="n"/>
      <c r="CH3023" s="207" t="n"/>
      <c r="CI3023" s="208" t="n"/>
      <c r="CJ3023" s="204" t="n"/>
      <c r="CK3023" s="208" t="n"/>
      <c r="CL3023" s="208" t="n"/>
      <c r="CM3023" s="208" t="n"/>
      <c r="CN3023" s="78" t="n"/>
      <c r="CO3023" s="209" t="n"/>
      <c r="CP3023" s="204" t="n"/>
      <c r="CQ3023" s="204" t="n"/>
      <c r="CR3023" s="204" t="n"/>
      <c r="CS3023" s="204" t="n"/>
      <c r="CT3023" s="204" t="n"/>
      <c r="CU3023" s="204" t="n"/>
      <c r="CV3023" s="204" t="n"/>
      <c r="CW3023" s="204" t="n"/>
    </row>
    <row r="3024">
      <c r="BF3024" s="78" t="n"/>
      <c r="BG3024" s="78" t="n"/>
      <c r="BH3024" s="78" t="n"/>
      <c r="BI3024" s="78" t="n"/>
      <c r="BJ3024" s="139" t="n"/>
      <c r="BK3024" s="204" t="n"/>
      <c r="BL3024" s="141" t="n"/>
      <c r="BM3024" s="205" t="n"/>
      <c r="BN3024" s="205" t="n"/>
      <c r="BO3024" s="206" t="n"/>
      <c r="BP3024" s="144" t="n"/>
      <c r="BQ3024" s="141" t="n"/>
      <c r="BR3024" s="207" t="n"/>
      <c r="BS3024" s="207" t="n"/>
      <c r="BT3024" s="207" t="n"/>
      <c r="BU3024" s="207" t="n"/>
      <c r="BV3024" s="208" t="n"/>
      <c r="BW3024" s="207" t="n"/>
      <c r="BX3024" s="207" t="n"/>
      <c r="BY3024" s="204" t="n"/>
      <c r="BZ3024" s="148" t="n"/>
      <c r="CA3024" s="204" t="n"/>
      <c r="CB3024" s="208" t="n"/>
      <c r="CC3024" s="139" t="n"/>
      <c r="CD3024" s="204" t="n"/>
      <c r="CE3024" s="204" t="n"/>
      <c r="CF3024" s="207" t="n"/>
      <c r="CG3024" s="208" t="n"/>
      <c r="CH3024" s="207" t="n"/>
      <c r="CI3024" s="208" t="n"/>
      <c r="CJ3024" s="204" t="n"/>
      <c r="CK3024" s="208" t="n"/>
      <c r="CL3024" s="208" t="n"/>
      <c r="CM3024" s="208" t="n"/>
      <c r="CN3024" s="78" t="n"/>
      <c r="CO3024" s="209" t="n"/>
      <c r="CP3024" s="204" t="n"/>
      <c r="CQ3024" s="204" t="n"/>
      <c r="CR3024" s="204" t="n"/>
      <c r="CS3024" s="204" t="n"/>
      <c r="CT3024" s="204" t="n"/>
      <c r="CU3024" s="204" t="n"/>
      <c r="CV3024" s="204" t="n"/>
      <c r="CW3024" s="204" t="n"/>
    </row>
    <row r="3025">
      <c r="BF3025" s="78" t="n"/>
      <c r="BG3025" s="78" t="n"/>
      <c r="BH3025" s="78" t="n"/>
      <c r="BI3025" s="78" t="n"/>
      <c r="BJ3025" s="139" t="n"/>
      <c r="BK3025" s="204" t="n"/>
      <c r="BL3025" s="141" t="n"/>
      <c r="BM3025" s="205" t="n"/>
      <c r="BN3025" s="205" t="n"/>
      <c r="BO3025" s="206" t="n"/>
      <c r="BP3025" s="144" t="n"/>
      <c r="BQ3025" s="141" t="n"/>
      <c r="BR3025" s="207" t="n"/>
      <c r="BS3025" s="207" t="n"/>
      <c r="BT3025" s="207" t="n"/>
      <c r="BU3025" s="207" t="n"/>
      <c r="BV3025" s="208" t="n"/>
      <c r="BW3025" s="207" t="n"/>
      <c r="BX3025" s="207" t="n"/>
      <c r="BY3025" s="204" t="n"/>
      <c r="BZ3025" s="148" t="n"/>
      <c r="CA3025" s="204" t="n"/>
      <c r="CB3025" s="208" t="n"/>
      <c r="CC3025" s="139" t="n"/>
      <c r="CD3025" s="204" t="n"/>
      <c r="CE3025" s="204" t="n"/>
      <c r="CF3025" s="207" t="n"/>
      <c r="CG3025" s="208" t="n"/>
      <c r="CH3025" s="207" t="n"/>
      <c r="CI3025" s="208" t="n"/>
      <c r="CJ3025" s="204" t="n"/>
      <c r="CK3025" s="208" t="n"/>
      <c r="CL3025" s="208" t="n"/>
      <c r="CM3025" s="208" t="n"/>
      <c r="CN3025" s="78" t="n"/>
      <c r="CO3025" s="209" t="n"/>
      <c r="CP3025" s="204" t="n"/>
      <c r="CQ3025" s="204" t="n"/>
      <c r="CR3025" s="204" t="n"/>
      <c r="CS3025" s="204" t="n"/>
      <c r="CT3025" s="204" t="n"/>
      <c r="CU3025" s="204" t="n"/>
      <c r="CV3025" s="204" t="n"/>
      <c r="CW3025" s="204" t="n"/>
    </row>
    <row r="3026">
      <c r="BF3026" s="78" t="n"/>
      <c r="BG3026" s="78" t="n"/>
      <c r="BH3026" s="78" t="n"/>
      <c r="BI3026" s="78" t="n"/>
      <c r="BJ3026" s="139" t="n"/>
      <c r="BK3026" s="204" t="n"/>
      <c r="BL3026" s="141" t="n"/>
      <c r="BM3026" s="205" t="n"/>
      <c r="BN3026" s="205" t="n"/>
      <c r="BO3026" s="206" t="n"/>
      <c r="BP3026" s="144" t="n"/>
      <c r="BQ3026" s="141" t="n"/>
      <c r="BR3026" s="207" t="n"/>
      <c r="BS3026" s="207" t="n"/>
      <c r="BT3026" s="207" t="n"/>
      <c r="BU3026" s="207" t="n"/>
      <c r="BV3026" s="208" t="n"/>
      <c r="BW3026" s="207" t="n"/>
      <c r="BX3026" s="207" t="n"/>
      <c r="BY3026" s="204" t="n"/>
      <c r="BZ3026" s="148" t="n"/>
      <c r="CA3026" s="204" t="n"/>
      <c r="CB3026" s="208" t="n"/>
      <c r="CC3026" s="139" t="n"/>
      <c r="CD3026" s="204" t="n"/>
      <c r="CE3026" s="204" t="n"/>
      <c r="CF3026" s="207" t="n"/>
      <c r="CG3026" s="208" t="n"/>
      <c r="CH3026" s="207" t="n"/>
      <c r="CI3026" s="208" t="n"/>
      <c r="CJ3026" s="204" t="n"/>
      <c r="CK3026" s="208" t="n"/>
      <c r="CL3026" s="208" t="n"/>
      <c r="CM3026" s="208" t="n"/>
      <c r="CN3026" s="78" t="n"/>
      <c r="CO3026" s="209" t="n"/>
      <c r="CP3026" s="204" t="n"/>
      <c r="CQ3026" s="204" t="n"/>
      <c r="CR3026" s="204" t="n"/>
      <c r="CS3026" s="204" t="n"/>
      <c r="CT3026" s="204" t="n"/>
      <c r="CU3026" s="204" t="n"/>
      <c r="CV3026" s="204" t="n"/>
      <c r="CW3026" s="204" t="n"/>
    </row>
    <row r="3027">
      <c r="BF3027" s="78" t="n"/>
      <c r="BG3027" s="78" t="n"/>
      <c r="BH3027" s="78" t="n"/>
      <c r="BI3027" s="78" t="n"/>
      <c r="BJ3027" s="139" t="n"/>
      <c r="BK3027" s="204" t="n"/>
      <c r="BL3027" s="141" t="n"/>
      <c r="BM3027" s="205" t="n"/>
      <c r="BN3027" s="205" t="n"/>
      <c r="BO3027" s="206" t="n"/>
      <c r="BP3027" s="144" t="n"/>
      <c r="BQ3027" s="141" t="n"/>
      <c r="BR3027" s="207" t="n"/>
      <c r="BS3027" s="207" t="n"/>
      <c r="BT3027" s="207" t="n"/>
      <c r="BU3027" s="207" t="n"/>
      <c r="BV3027" s="208" t="n"/>
      <c r="BW3027" s="207" t="n"/>
      <c r="BX3027" s="207" t="n"/>
      <c r="BY3027" s="204" t="n"/>
      <c r="BZ3027" s="148" t="n"/>
      <c r="CA3027" s="204" t="n"/>
      <c r="CB3027" s="208" t="n"/>
      <c r="CC3027" s="139" t="n"/>
      <c r="CD3027" s="204" t="n"/>
      <c r="CE3027" s="204" t="n"/>
      <c r="CF3027" s="207" t="n"/>
      <c r="CG3027" s="208" t="n"/>
      <c r="CH3027" s="207" t="n"/>
      <c r="CI3027" s="208" t="n"/>
      <c r="CJ3027" s="204" t="n"/>
      <c r="CK3027" s="208" t="n"/>
      <c r="CL3027" s="208" t="n"/>
      <c r="CM3027" s="208" t="n"/>
      <c r="CN3027" s="78" t="n"/>
      <c r="CO3027" s="209" t="n"/>
      <c r="CP3027" s="204" t="n"/>
      <c r="CQ3027" s="204" t="n"/>
      <c r="CR3027" s="204" t="n"/>
      <c r="CS3027" s="204" t="n"/>
      <c r="CT3027" s="204" t="n"/>
      <c r="CU3027" s="204" t="n"/>
      <c r="CV3027" s="204" t="n"/>
      <c r="CW3027" s="204" t="n"/>
    </row>
    <row r="3028">
      <c r="BF3028" s="78" t="n"/>
      <c r="BG3028" s="78" t="n"/>
      <c r="BH3028" s="78" t="n"/>
      <c r="BI3028" s="78" t="n"/>
      <c r="BJ3028" s="139" t="n"/>
      <c r="BK3028" s="204" t="n"/>
      <c r="BL3028" s="141" t="n"/>
      <c r="BM3028" s="205" t="n"/>
      <c r="BN3028" s="205" t="n"/>
      <c r="BO3028" s="206" t="n"/>
      <c r="BP3028" s="144" t="n"/>
      <c r="BQ3028" s="141" t="n"/>
      <c r="BR3028" s="207" t="n"/>
      <c r="BS3028" s="207" t="n"/>
      <c r="BT3028" s="207" t="n"/>
      <c r="BU3028" s="207" t="n"/>
      <c r="BV3028" s="208" t="n"/>
      <c r="BW3028" s="207" t="n"/>
      <c r="BX3028" s="207" t="n"/>
      <c r="BY3028" s="204" t="n"/>
      <c r="BZ3028" s="148" t="n"/>
      <c r="CA3028" s="204" t="n"/>
      <c r="CB3028" s="208" t="n"/>
      <c r="CC3028" s="139" t="n"/>
      <c r="CD3028" s="204" t="n"/>
      <c r="CE3028" s="204" t="n"/>
      <c r="CF3028" s="207" t="n"/>
      <c r="CG3028" s="208" t="n"/>
      <c r="CH3028" s="207" t="n"/>
      <c r="CI3028" s="208" t="n"/>
      <c r="CJ3028" s="204" t="n"/>
      <c r="CK3028" s="208" t="n"/>
      <c r="CL3028" s="208" t="n"/>
      <c r="CM3028" s="208" t="n"/>
      <c r="CN3028" s="78" t="n"/>
      <c r="CO3028" s="209" t="n"/>
      <c r="CP3028" s="204" t="n"/>
      <c r="CQ3028" s="204" t="n"/>
      <c r="CR3028" s="204" t="n"/>
      <c r="CS3028" s="204" t="n"/>
      <c r="CT3028" s="204" t="n"/>
      <c r="CU3028" s="204" t="n"/>
      <c r="CV3028" s="204" t="n"/>
      <c r="CW3028" s="204" t="n"/>
    </row>
    <row r="3029">
      <c r="BF3029" s="78" t="n"/>
      <c r="BG3029" s="78" t="n"/>
      <c r="BH3029" s="78" t="n"/>
      <c r="BI3029" s="78" t="n"/>
      <c r="BJ3029" s="139" t="n"/>
      <c r="BK3029" s="204" t="n"/>
      <c r="BL3029" s="141" t="n"/>
      <c r="BM3029" s="205" t="n"/>
      <c r="BN3029" s="205" t="n"/>
      <c r="BO3029" s="206" t="n"/>
      <c r="BP3029" s="144" t="n"/>
      <c r="BQ3029" s="141" t="n"/>
      <c r="BR3029" s="207" t="n"/>
      <c r="BS3029" s="207" t="n"/>
      <c r="BT3029" s="207" t="n"/>
      <c r="BU3029" s="207" t="n"/>
      <c r="BV3029" s="208" t="n"/>
      <c r="BW3029" s="207" t="n"/>
      <c r="BX3029" s="207" t="n"/>
      <c r="BY3029" s="204" t="n"/>
      <c r="BZ3029" s="148" t="n"/>
      <c r="CA3029" s="204" t="n"/>
      <c r="CB3029" s="208" t="n"/>
      <c r="CC3029" s="139" t="n"/>
      <c r="CD3029" s="204" t="n"/>
      <c r="CE3029" s="204" t="n"/>
      <c r="CF3029" s="207" t="n"/>
      <c r="CG3029" s="208" t="n"/>
      <c r="CH3029" s="207" t="n"/>
      <c r="CI3029" s="208" t="n"/>
      <c r="CJ3029" s="204" t="n"/>
      <c r="CK3029" s="208" t="n"/>
      <c r="CL3029" s="208" t="n"/>
      <c r="CM3029" s="208" t="n"/>
      <c r="CN3029" s="78" t="n"/>
      <c r="CO3029" s="209" t="n"/>
      <c r="CP3029" s="204" t="n"/>
      <c r="CQ3029" s="204" t="n"/>
      <c r="CR3029" s="204" t="n"/>
      <c r="CS3029" s="204" t="n"/>
      <c r="CT3029" s="204" t="n"/>
      <c r="CU3029" s="204" t="n"/>
      <c r="CV3029" s="204" t="n"/>
      <c r="CW3029" s="204" t="n"/>
    </row>
    <row r="3030">
      <c r="BF3030" s="78" t="n"/>
      <c r="BG3030" s="78" t="n"/>
      <c r="BH3030" s="78" t="n"/>
      <c r="BI3030" s="78" t="n"/>
      <c r="BJ3030" s="139" t="n"/>
      <c r="BK3030" s="204" t="n"/>
      <c r="BL3030" s="141" t="n"/>
      <c r="BM3030" s="205" t="n"/>
      <c r="BN3030" s="205" t="n"/>
      <c r="BO3030" s="206" t="n"/>
      <c r="BP3030" s="144" t="n"/>
      <c r="BQ3030" s="141" t="n"/>
      <c r="BR3030" s="207" t="n"/>
      <c r="BS3030" s="207" t="n"/>
      <c r="BT3030" s="207" t="n"/>
      <c r="BU3030" s="207" t="n"/>
      <c r="BV3030" s="208" t="n"/>
      <c r="BW3030" s="207" t="n"/>
      <c r="BX3030" s="207" t="n"/>
      <c r="BY3030" s="204" t="n"/>
      <c r="BZ3030" s="148" t="n"/>
      <c r="CA3030" s="204" t="n"/>
      <c r="CB3030" s="208" t="n"/>
      <c r="CC3030" s="139" t="n"/>
      <c r="CD3030" s="204" t="n"/>
      <c r="CE3030" s="204" t="n"/>
      <c r="CF3030" s="207" t="n"/>
      <c r="CG3030" s="208" t="n"/>
      <c r="CH3030" s="207" t="n"/>
      <c r="CI3030" s="208" t="n"/>
      <c r="CJ3030" s="204" t="n"/>
      <c r="CK3030" s="208" t="n"/>
      <c r="CL3030" s="208" t="n"/>
      <c r="CM3030" s="208" t="n"/>
      <c r="CN3030" s="78" t="n"/>
      <c r="CO3030" s="209" t="n"/>
      <c r="CP3030" s="204" t="n"/>
      <c r="CQ3030" s="204" t="n"/>
      <c r="CR3030" s="204" t="n"/>
      <c r="CS3030" s="204" t="n"/>
      <c r="CT3030" s="204" t="n"/>
      <c r="CU3030" s="204" t="n"/>
      <c r="CV3030" s="204" t="n"/>
      <c r="CW3030" s="204" t="n"/>
    </row>
    <row r="3031">
      <c r="BF3031" s="78" t="n"/>
      <c r="BG3031" s="78" t="n"/>
      <c r="BH3031" s="78" t="n"/>
      <c r="BI3031" s="78" t="n"/>
      <c r="BJ3031" s="139" t="n"/>
      <c r="BK3031" s="204" t="n"/>
      <c r="BL3031" s="141" t="n"/>
      <c r="BM3031" s="205" t="n"/>
      <c r="BN3031" s="205" t="n"/>
      <c r="BO3031" s="206" t="n"/>
      <c r="BP3031" s="144" t="n"/>
      <c r="BQ3031" s="141" t="n"/>
      <c r="BR3031" s="207" t="n"/>
      <c r="BS3031" s="207" t="n"/>
      <c r="BT3031" s="207" t="n"/>
      <c r="BU3031" s="207" t="n"/>
      <c r="BV3031" s="208" t="n"/>
      <c r="BW3031" s="207" t="n"/>
      <c r="BX3031" s="207" t="n"/>
      <c r="BY3031" s="204" t="n"/>
      <c r="BZ3031" s="148" t="n"/>
      <c r="CA3031" s="204" t="n"/>
      <c r="CB3031" s="208" t="n"/>
      <c r="CC3031" s="139" t="n"/>
      <c r="CD3031" s="204" t="n"/>
      <c r="CE3031" s="204" t="n"/>
      <c r="CF3031" s="207" t="n"/>
      <c r="CG3031" s="208" t="n"/>
      <c r="CH3031" s="207" t="n"/>
      <c r="CI3031" s="208" t="n"/>
      <c r="CJ3031" s="204" t="n"/>
      <c r="CK3031" s="208" t="n"/>
      <c r="CL3031" s="208" t="n"/>
      <c r="CM3031" s="208" t="n"/>
      <c r="CN3031" s="78" t="n"/>
      <c r="CO3031" s="209" t="n"/>
      <c r="CP3031" s="204" t="n"/>
      <c r="CQ3031" s="204" t="n"/>
      <c r="CR3031" s="204" t="n"/>
      <c r="CS3031" s="204" t="n"/>
      <c r="CT3031" s="204" t="n"/>
      <c r="CU3031" s="204" t="n"/>
      <c r="CV3031" s="204" t="n"/>
      <c r="CW3031" s="204" t="n"/>
    </row>
    <row r="3032">
      <c r="BF3032" s="78" t="n"/>
      <c r="BG3032" s="78" t="n"/>
      <c r="BH3032" s="78" t="n"/>
      <c r="BI3032" s="78" t="n"/>
      <c r="BJ3032" s="139" t="n"/>
      <c r="BK3032" s="204" t="n"/>
      <c r="BL3032" s="141" t="n"/>
      <c r="BM3032" s="205" t="n"/>
      <c r="BN3032" s="205" t="n"/>
      <c r="BO3032" s="206" t="n"/>
      <c r="BP3032" s="144" t="n"/>
      <c r="BQ3032" s="141" t="n"/>
      <c r="BR3032" s="207" t="n"/>
      <c r="BS3032" s="207" t="n"/>
      <c r="BT3032" s="207" t="n"/>
      <c r="BU3032" s="207" t="n"/>
      <c r="BV3032" s="208" t="n"/>
      <c r="BW3032" s="207" t="n"/>
      <c r="BX3032" s="207" t="n"/>
      <c r="BY3032" s="204" t="n"/>
      <c r="BZ3032" s="148" t="n"/>
      <c r="CA3032" s="204" t="n"/>
      <c r="CB3032" s="208" t="n"/>
      <c r="CC3032" s="139" t="n"/>
      <c r="CD3032" s="204" t="n"/>
      <c r="CE3032" s="204" t="n"/>
      <c r="CF3032" s="207" t="n"/>
      <c r="CG3032" s="208" t="n"/>
      <c r="CH3032" s="207" t="n"/>
      <c r="CI3032" s="208" t="n"/>
      <c r="CJ3032" s="204" t="n"/>
      <c r="CK3032" s="208" t="n"/>
      <c r="CL3032" s="208" t="n"/>
      <c r="CM3032" s="208" t="n"/>
      <c r="CN3032" s="78" t="n"/>
      <c r="CO3032" s="209" t="n"/>
      <c r="CP3032" s="204" t="n"/>
      <c r="CQ3032" s="204" t="n"/>
      <c r="CR3032" s="204" t="n"/>
      <c r="CS3032" s="204" t="n"/>
      <c r="CT3032" s="204" t="n"/>
      <c r="CU3032" s="204" t="n"/>
      <c r="CV3032" s="204" t="n"/>
      <c r="CW3032" s="204" t="n"/>
    </row>
    <row r="3033">
      <c r="BF3033" s="78" t="n"/>
      <c r="BG3033" s="78" t="n"/>
      <c r="BH3033" s="78" t="n"/>
      <c r="BI3033" s="78" t="n"/>
      <c r="BJ3033" s="139" t="n"/>
      <c r="BK3033" s="204" t="n"/>
      <c r="BL3033" s="141" t="n"/>
      <c r="BM3033" s="205" t="n"/>
      <c r="BN3033" s="205" t="n"/>
      <c r="BO3033" s="206" t="n"/>
      <c r="BP3033" s="144" t="n"/>
      <c r="BQ3033" s="141" t="n"/>
      <c r="BR3033" s="207" t="n"/>
      <c r="BS3033" s="207" t="n"/>
      <c r="BT3033" s="207" t="n"/>
      <c r="BU3033" s="207" t="n"/>
      <c r="BV3033" s="208" t="n"/>
      <c r="BW3033" s="207" t="n"/>
      <c r="BX3033" s="207" t="n"/>
      <c r="BY3033" s="204" t="n"/>
      <c r="BZ3033" s="148" t="n"/>
      <c r="CA3033" s="204" t="n"/>
      <c r="CB3033" s="208" t="n"/>
      <c r="CC3033" s="139" t="n"/>
      <c r="CD3033" s="204" t="n"/>
      <c r="CE3033" s="204" t="n"/>
      <c r="CF3033" s="207" t="n"/>
      <c r="CG3033" s="208" t="n"/>
      <c r="CH3033" s="207" t="n"/>
      <c r="CI3033" s="208" t="n"/>
      <c r="CJ3033" s="204" t="n"/>
      <c r="CK3033" s="208" t="n"/>
      <c r="CL3033" s="208" t="n"/>
      <c r="CM3033" s="208" t="n"/>
      <c r="CN3033" s="78" t="n"/>
      <c r="CO3033" s="209" t="n"/>
      <c r="CP3033" s="204" t="n"/>
      <c r="CQ3033" s="204" t="n"/>
      <c r="CR3033" s="204" t="n"/>
      <c r="CS3033" s="204" t="n"/>
      <c r="CT3033" s="204" t="n"/>
      <c r="CU3033" s="204" t="n"/>
      <c r="CV3033" s="204" t="n"/>
      <c r="CW3033" s="204" t="n"/>
    </row>
    <row r="3034">
      <c r="BF3034" s="78" t="n"/>
      <c r="BG3034" s="78" t="n"/>
      <c r="BH3034" s="78" t="n"/>
      <c r="BI3034" s="78" t="n"/>
      <c r="BJ3034" s="139" t="n"/>
      <c r="BK3034" s="204" t="n"/>
      <c r="BL3034" s="141" t="n"/>
      <c r="BM3034" s="205" t="n"/>
      <c r="BN3034" s="205" t="n"/>
      <c r="BO3034" s="206" t="n"/>
      <c r="BP3034" s="144" t="n"/>
      <c r="BQ3034" s="141" t="n"/>
      <c r="BR3034" s="207" t="n"/>
      <c r="BS3034" s="207" t="n"/>
      <c r="BT3034" s="207" t="n"/>
      <c r="BU3034" s="207" t="n"/>
      <c r="BV3034" s="208" t="n"/>
      <c r="BW3034" s="207" t="n"/>
      <c r="BX3034" s="207" t="n"/>
      <c r="BY3034" s="204" t="n"/>
      <c r="BZ3034" s="148" t="n"/>
      <c r="CA3034" s="204" t="n"/>
      <c r="CB3034" s="208" t="n"/>
      <c r="CC3034" s="139" t="n"/>
      <c r="CD3034" s="204" t="n"/>
      <c r="CE3034" s="204" t="n"/>
      <c r="CF3034" s="207" t="n"/>
      <c r="CG3034" s="208" t="n"/>
      <c r="CH3034" s="207" t="n"/>
      <c r="CI3034" s="208" t="n"/>
      <c r="CJ3034" s="204" t="n"/>
      <c r="CK3034" s="208" t="n"/>
      <c r="CL3034" s="208" t="n"/>
      <c r="CM3034" s="208" t="n"/>
      <c r="CN3034" s="78" t="n"/>
      <c r="CO3034" s="209" t="n"/>
      <c r="CP3034" s="204" t="n"/>
      <c r="CQ3034" s="204" t="n"/>
      <c r="CR3034" s="204" t="n"/>
      <c r="CS3034" s="204" t="n"/>
      <c r="CT3034" s="204" t="n"/>
      <c r="CU3034" s="204" t="n"/>
      <c r="CV3034" s="204" t="n"/>
      <c r="CW3034" s="204" t="n"/>
    </row>
    <row r="3035">
      <c r="BF3035" s="78" t="n"/>
      <c r="BG3035" s="78" t="n"/>
      <c r="BH3035" s="78" t="n"/>
      <c r="BI3035" s="78" t="n"/>
      <c r="BJ3035" s="139" t="n"/>
      <c r="BK3035" s="204" t="n"/>
      <c r="BL3035" s="141" t="n"/>
      <c r="BM3035" s="205" t="n"/>
      <c r="BN3035" s="205" t="n"/>
      <c r="BO3035" s="206" t="n"/>
      <c r="BP3035" s="144" t="n"/>
      <c r="BQ3035" s="141" t="n"/>
      <c r="BR3035" s="207" t="n"/>
      <c r="BS3035" s="207" t="n"/>
      <c r="BT3035" s="207" t="n"/>
      <c r="BU3035" s="207" t="n"/>
      <c r="BV3035" s="208" t="n"/>
      <c r="BW3035" s="207" t="n"/>
      <c r="BX3035" s="207" t="n"/>
      <c r="BY3035" s="204" t="n"/>
      <c r="BZ3035" s="148" t="n"/>
      <c r="CA3035" s="204" t="n"/>
      <c r="CB3035" s="208" t="n"/>
      <c r="CC3035" s="139" t="n"/>
      <c r="CD3035" s="204" t="n"/>
      <c r="CE3035" s="204" t="n"/>
      <c r="CF3035" s="207" t="n"/>
      <c r="CG3035" s="208" t="n"/>
      <c r="CH3035" s="207" t="n"/>
      <c r="CI3035" s="208" t="n"/>
      <c r="CJ3035" s="204" t="n"/>
      <c r="CK3035" s="208" t="n"/>
      <c r="CL3035" s="208" t="n"/>
      <c r="CM3035" s="208" t="n"/>
      <c r="CN3035" s="78" t="n"/>
      <c r="CO3035" s="209" t="n"/>
      <c r="CP3035" s="204" t="n"/>
      <c r="CQ3035" s="204" t="n"/>
      <c r="CR3035" s="204" t="n"/>
      <c r="CS3035" s="204" t="n"/>
      <c r="CT3035" s="204" t="n"/>
      <c r="CU3035" s="204" t="n"/>
      <c r="CV3035" s="204" t="n"/>
      <c r="CW3035" s="204" t="n"/>
    </row>
    <row r="3036">
      <c r="AR3036" s="151" t="n"/>
      <c r="BF3036" s="78" t="n"/>
      <c r="BG3036" s="78" t="n"/>
      <c r="BH3036" s="78" t="n"/>
      <c r="BI3036" s="78" t="n"/>
      <c r="BJ3036" s="139" t="n"/>
      <c r="BK3036" s="204" t="n"/>
      <c r="BL3036" s="141" t="n"/>
      <c r="BM3036" s="205" t="n"/>
      <c r="BN3036" s="205" t="n"/>
      <c r="BO3036" s="206" t="n"/>
      <c r="BP3036" s="144" t="n"/>
      <c r="BQ3036" s="141" t="n"/>
      <c r="BR3036" s="207" t="n"/>
      <c r="BS3036" s="207" t="n"/>
      <c r="BT3036" s="207" t="n"/>
      <c r="BU3036" s="207" t="n"/>
      <c r="BV3036" s="208" t="n"/>
      <c r="BW3036" s="207" t="n"/>
      <c r="BX3036" s="207" t="n"/>
      <c r="BY3036" s="204" t="n"/>
      <c r="BZ3036" s="148" t="n"/>
      <c r="CA3036" s="204" t="n"/>
      <c r="CB3036" s="208" t="n"/>
      <c r="CC3036" s="139" t="n"/>
      <c r="CD3036" s="204" t="n"/>
      <c r="CE3036" s="204" t="n"/>
      <c r="CF3036" s="207" t="n"/>
      <c r="CG3036" s="208" t="n"/>
      <c r="CH3036" s="207" t="n"/>
      <c r="CI3036" s="208" t="n"/>
      <c r="CJ3036" s="204" t="n"/>
      <c r="CK3036" s="208" t="n"/>
      <c r="CL3036" s="208" t="n"/>
      <c r="CM3036" s="208" t="n"/>
      <c r="CN3036" s="78" t="n"/>
      <c r="CO3036" s="209" t="n"/>
      <c r="CP3036" s="204" t="n"/>
      <c r="CQ3036" s="204" t="n"/>
      <c r="CR3036" s="204" t="n"/>
      <c r="CS3036" s="204" t="n"/>
      <c r="CT3036" s="204" t="n"/>
      <c r="CU3036" s="204" t="n"/>
      <c r="CV3036" s="204" t="n"/>
      <c r="CW3036" s="204" t="n"/>
    </row>
    <row r="3037">
      <c r="BF3037" s="78" t="n"/>
      <c r="BG3037" s="78" t="n"/>
      <c r="BH3037" s="78" t="n"/>
      <c r="BI3037" s="78" t="n"/>
      <c r="BJ3037" s="139" t="n"/>
      <c r="BK3037" s="204" t="n"/>
      <c r="BL3037" s="141" t="n"/>
      <c r="BM3037" s="205" t="n"/>
      <c r="BN3037" s="205" t="n"/>
      <c r="BO3037" s="206" t="n"/>
      <c r="BP3037" s="144" t="n"/>
      <c r="BQ3037" s="141" t="n"/>
      <c r="BR3037" s="207" t="n"/>
      <c r="BS3037" s="207" t="n"/>
      <c r="BT3037" s="207" t="n"/>
      <c r="BU3037" s="207" t="n"/>
      <c r="BV3037" s="208" t="n"/>
      <c r="BW3037" s="207" t="n"/>
      <c r="BX3037" s="207" t="n"/>
      <c r="BY3037" s="204" t="n"/>
      <c r="BZ3037" s="148" t="n"/>
      <c r="CA3037" s="204" t="n"/>
      <c r="CB3037" s="208" t="n"/>
      <c r="CC3037" s="139" t="n"/>
      <c r="CD3037" s="204" t="n"/>
      <c r="CE3037" s="204" t="n"/>
      <c r="CF3037" s="207" t="n"/>
      <c r="CG3037" s="208" t="n"/>
      <c r="CH3037" s="207" t="n"/>
      <c r="CI3037" s="208" t="n"/>
      <c r="CJ3037" s="204" t="n"/>
      <c r="CK3037" s="208" t="n"/>
      <c r="CL3037" s="208" t="n"/>
      <c r="CM3037" s="208" t="n"/>
      <c r="CN3037" s="78" t="n"/>
      <c r="CO3037" s="209" t="n"/>
      <c r="CP3037" s="204" t="n"/>
      <c r="CQ3037" s="204" t="n"/>
      <c r="CR3037" s="204" t="n"/>
      <c r="CS3037" s="204" t="n"/>
      <c r="CT3037" s="204" t="n"/>
      <c r="CU3037" s="204" t="n"/>
      <c r="CV3037" s="204" t="n"/>
      <c r="CW3037" s="204" t="n"/>
    </row>
    <row r="3038">
      <c r="BF3038" s="78" t="n"/>
      <c r="BG3038" s="78" t="n"/>
      <c r="BH3038" s="78" t="n"/>
      <c r="BI3038" s="78" t="n"/>
      <c r="BJ3038" s="139" t="n"/>
      <c r="BK3038" s="204" t="n"/>
      <c r="BL3038" s="141" t="n"/>
      <c r="BM3038" s="205" t="n"/>
      <c r="BN3038" s="205" t="n"/>
      <c r="BO3038" s="206" t="n"/>
      <c r="BP3038" s="144" t="n"/>
      <c r="BQ3038" s="141" t="n"/>
      <c r="BR3038" s="207" t="n"/>
      <c r="BS3038" s="207" t="n"/>
      <c r="BT3038" s="207" t="n"/>
      <c r="BU3038" s="207" t="n"/>
      <c r="BV3038" s="208" t="n"/>
      <c r="BW3038" s="207" t="n"/>
      <c r="BX3038" s="207" t="n"/>
      <c r="BY3038" s="204" t="n"/>
      <c r="BZ3038" s="148" t="n"/>
      <c r="CA3038" s="204" t="n"/>
      <c r="CB3038" s="208" t="n"/>
      <c r="CC3038" s="139" t="n"/>
      <c r="CD3038" s="204" t="n"/>
      <c r="CE3038" s="204" t="n"/>
      <c r="CF3038" s="207" t="n"/>
      <c r="CG3038" s="208" t="n"/>
      <c r="CH3038" s="207" t="n"/>
      <c r="CI3038" s="208" t="n"/>
      <c r="CJ3038" s="204" t="n"/>
      <c r="CK3038" s="208" t="n"/>
      <c r="CL3038" s="208" t="n"/>
      <c r="CM3038" s="208" t="n"/>
      <c r="CN3038" s="78" t="n"/>
      <c r="CO3038" s="209" t="n"/>
      <c r="CP3038" s="204" t="n"/>
      <c r="CQ3038" s="204" t="n"/>
      <c r="CR3038" s="204" t="n"/>
      <c r="CS3038" s="204" t="n"/>
      <c r="CT3038" s="204" t="n"/>
      <c r="CU3038" s="204" t="n"/>
      <c r="CV3038" s="204" t="n"/>
      <c r="CW3038" s="204" t="n"/>
    </row>
    <row r="3039">
      <c r="BF3039" s="78" t="n"/>
      <c r="BG3039" s="78" t="n"/>
      <c r="BH3039" s="78" t="n"/>
      <c r="BI3039" s="78" t="n"/>
      <c r="BJ3039" s="139" t="n"/>
      <c r="BK3039" s="204" t="n"/>
      <c r="BL3039" s="141" t="n"/>
      <c r="BM3039" s="205" t="n"/>
      <c r="BN3039" s="205" t="n"/>
      <c r="BO3039" s="206" t="n"/>
      <c r="BP3039" s="144" t="n"/>
      <c r="BQ3039" s="141" t="n"/>
      <c r="BR3039" s="207" t="n"/>
      <c r="BS3039" s="207" t="n"/>
      <c r="BT3039" s="207" t="n"/>
      <c r="BU3039" s="207" t="n"/>
      <c r="BV3039" s="208" t="n"/>
      <c r="BW3039" s="207" t="n"/>
      <c r="BX3039" s="207" t="n"/>
      <c r="BY3039" s="204" t="n"/>
      <c r="BZ3039" s="148" t="n"/>
      <c r="CA3039" s="204" t="n"/>
      <c r="CB3039" s="208" t="n"/>
      <c r="CC3039" s="139" t="n"/>
      <c r="CD3039" s="204" t="n"/>
      <c r="CE3039" s="204" t="n"/>
      <c r="CF3039" s="207" t="n"/>
      <c r="CG3039" s="208" t="n"/>
      <c r="CH3039" s="207" t="n"/>
      <c r="CI3039" s="208" t="n"/>
      <c r="CJ3039" s="204" t="n"/>
      <c r="CK3039" s="208" t="n"/>
      <c r="CL3039" s="208" t="n"/>
      <c r="CM3039" s="208" t="n"/>
      <c r="CN3039" s="78" t="n"/>
      <c r="CO3039" s="209" t="n"/>
      <c r="CP3039" s="204" t="n"/>
      <c r="CQ3039" s="204" t="n"/>
      <c r="CR3039" s="204" t="n"/>
      <c r="CS3039" s="204" t="n"/>
      <c r="CT3039" s="204" t="n"/>
      <c r="CU3039" s="204" t="n"/>
      <c r="CV3039" s="204" t="n"/>
      <c r="CW3039" s="204" t="n"/>
    </row>
    <row r="3040">
      <c r="BF3040" s="78" t="n"/>
      <c r="BG3040" s="78" t="n"/>
      <c r="BH3040" s="78" t="n"/>
      <c r="BI3040" s="78" t="n"/>
      <c r="BJ3040" s="139" t="n"/>
      <c r="BK3040" s="204" t="n"/>
      <c r="BL3040" s="141" t="n"/>
      <c r="BM3040" s="205" t="n"/>
      <c r="BN3040" s="205" t="n"/>
      <c r="BO3040" s="206" t="n"/>
      <c r="BP3040" s="144" t="n"/>
      <c r="BQ3040" s="141" t="n"/>
      <c r="BR3040" s="207" t="n"/>
      <c r="BS3040" s="207" t="n"/>
      <c r="BT3040" s="207" t="n"/>
      <c r="BU3040" s="207" t="n"/>
      <c r="BV3040" s="208" t="n"/>
      <c r="BW3040" s="207" t="n"/>
      <c r="BX3040" s="207" t="n"/>
      <c r="BY3040" s="204" t="n"/>
      <c r="BZ3040" s="148" t="n"/>
      <c r="CA3040" s="204" t="n"/>
      <c r="CB3040" s="208" t="n"/>
      <c r="CC3040" s="139" t="n"/>
      <c r="CD3040" s="204" t="n"/>
      <c r="CE3040" s="204" t="n"/>
      <c r="CF3040" s="207" t="n"/>
      <c r="CG3040" s="208" t="n"/>
      <c r="CH3040" s="207" t="n"/>
      <c r="CI3040" s="208" t="n"/>
      <c r="CJ3040" s="204" t="n"/>
      <c r="CK3040" s="208" t="n"/>
      <c r="CL3040" s="208" t="n"/>
      <c r="CM3040" s="208" t="n"/>
      <c r="CN3040" s="78" t="n"/>
      <c r="CO3040" s="209" t="n"/>
      <c r="CP3040" s="204" t="n"/>
      <c r="CQ3040" s="204" t="n"/>
      <c r="CR3040" s="204" t="n"/>
      <c r="CS3040" s="204" t="n"/>
      <c r="CT3040" s="204" t="n"/>
      <c r="CU3040" s="204" t="n"/>
      <c r="CV3040" s="204" t="n"/>
      <c r="CW3040" s="204" t="n"/>
    </row>
    <row r="3041">
      <c r="BF3041" s="78" t="n"/>
      <c r="BG3041" s="78" t="n"/>
      <c r="BH3041" s="78" t="n"/>
      <c r="BI3041" s="78" t="n"/>
      <c r="BJ3041" s="139" t="n"/>
      <c r="BK3041" s="204" t="n"/>
      <c r="BL3041" s="141" t="n"/>
      <c r="BM3041" s="205" t="n"/>
      <c r="BN3041" s="205" t="n"/>
      <c r="BO3041" s="206" t="n"/>
      <c r="BP3041" s="144" t="n"/>
      <c r="BQ3041" s="141" t="n"/>
      <c r="BR3041" s="207" t="n"/>
      <c r="BS3041" s="207" t="n"/>
      <c r="BT3041" s="207" t="n"/>
      <c r="BU3041" s="207" t="n"/>
      <c r="BV3041" s="208" t="n"/>
      <c r="BW3041" s="207" t="n"/>
      <c r="BX3041" s="207" t="n"/>
      <c r="BY3041" s="204" t="n"/>
      <c r="BZ3041" s="148" t="n"/>
      <c r="CA3041" s="204" t="n"/>
      <c r="CB3041" s="208" t="n"/>
      <c r="CC3041" s="139" t="n"/>
      <c r="CD3041" s="204" t="n"/>
      <c r="CE3041" s="204" t="n"/>
      <c r="CF3041" s="207" t="n"/>
      <c r="CG3041" s="208" t="n"/>
      <c r="CH3041" s="207" t="n"/>
      <c r="CI3041" s="208" t="n"/>
      <c r="CJ3041" s="204" t="n"/>
      <c r="CK3041" s="208" t="n"/>
      <c r="CL3041" s="208" t="n"/>
      <c r="CM3041" s="208" t="n"/>
      <c r="CN3041" s="78" t="n"/>
      <c r="CO3041" s="209" t="n"/>
      <c r="CP3041" s="204" t="n"/>
      <c r="CQ3041" s="204" t="n"/>
      <c r="CR3041" s="204" t="n"/>
      <c r="CS3041" s="204" t="n"/>
      <c r="CT3041" s="204" t="n"/>
      <c r="CU3041" s="204" t="n"/>
      <c r="CV3041" s="204" t="n"/>
      <c r="CW3041" s="204" t="n"/>
    </row>
    <row r="3042">
      <c r="BF3042" s="78" t="n"/>
      <c r="BG3042" s="78" t="n"/>
      <c r="BH3042" s="78" t="n"/>
      <c r="BI3042" s="78" t="n"/>
      <c r="BJ3042" s="139" t="n"/>
      <c r="BK3042" s="204" t="n"/>
      <c r="BL3042" s="141" t="n"/>
      <c r="BM3042" s="205" t="n"/>
      <c r="BN3042" s="205" t="n"/>
      <c r="BO3042" s="206" t="n"/>
      <c r="BP3042" s="144" t="n"/>
      <c r="BQ3042" s="141" t="n"/>
      <c r="BR3042" s="207" t="n"/>
      <c r="BS3042" s="207" t="n"/>
      <c r="BT3042" s="207" t="n"/>
      <c r="BU3042" s="207" t="n"/>
      <c r="BV3042" s="208" t="n"/>
      <c r="BW3042" s="207" t="n"/>
      <c r="BX3042" s="207" t="n"/>
      <c r="BY3042" s="204" t="n"/>
      <c r="BZ3042" s="148" t="n"/>
      <c r="CA3042" s="204" t="n"/>
      <c r="CB3042" s="208" t="n"/>
      <c r="CC3042" s="139" t="n"/>
      <c r="CD3042" s="204" t="n"/>
      <c r="CE3042" s="204" t="n"/>
      <c r="CF3042" s="207" t="n"/>
      <c r="CG3042" s="208" t="n"/>
      <c r="CH3042" s="207" t="n"/>
      <c r="CI3042" s="208" t="n"/>
      <c r="CJ3042" s="204" t="n"/>
      <c r="CK3042" s="208" t="n"/>
      <c r="CL3042" s="208" t="n"/>
      <c r="CM3042" s="208" t="n"/>
      <c r="CN3042" s="78" t="n"/>
      <c r="CO3042" s="209" t="n"/>
      <c r="CP3042" s="204" t="n"/>
      <c r="CQ3042" s="204" t="n"/>
      <c r="CR3042" s="204" t="n"/>
      <c r="CS3042" s="204" t="n"/>
      <c r="CT3042" s="204" t="n"/>
      <c r="CU3042" s="204" t="n"/>
      <c r="CV3042" s="204" t="n"/>
      <c r="CW3042" s="204" t="n"/>
    </row>
    <row r="3043">
      <c r="BF3043" s="78" t="n"/>
      <c r="BG3043" s="78" t="n"/>
      <c r="BH3043" s="78" t="n"/>
      <c r="BI3043" s="78" t="n"/>
      <c r="BJ3043" s="139" t="n"/>
      <c r="BK3043" s="204" t="n"/>
      <c r="BL3043" s="141" t="n"/>
      <c r="BM3043" s="205" t="n"/>
      <c r="BN3043" s="205" t="n"/>
      <c r="BO3043" s="206" t="n"/>
      <c r="BP3043" s="144" t="n"/>
      <c r="BQ3043" s="141" t="n"/>
      <c r="BR3043" s="207" t="n"/>
      <c r="BS3043" s="207" t="n"/>
      <c r="BT3043" s="207" t="n"/>
      <c r="BU3043" s="207" t="n"/>
      <c r="BV3043" s="208" t="n"/>
      <c r="BW3043" s="207" t="n"/>
      <c r="BX3043" s="207" t="n"/>
      <c r="BY3043" s="204" t="n"/>
      <c r="BZ3043" s="148" t="n"/>
      <c r="CA3043" s="204" t="n"/>
      <c r="CB3043" s="208" t="n"/>
      <c r="CC3043" s="139" t="n"/>
      <c r="CD3043" s="204" t="n"/>
      <c r="CE3043" s="204" t="n"/>
      <c r="CF3043" s="207" t="n"/>
      <c r="CG3043" s="208" t="n"/>
      <c r="CH3043" s="207" t="n"/>
      <c r="CI3043" s="208" t="n"/>
      <c r="CJ3043" s="204" t="n"/>
      <c r="CK3043" s="208" t="n"/>
      <c r="CL3043" s="208" t="n"/>
      <c r="CM3043" s="208" t="n"/>
      <c r="CN3043" s="78" t="n"/>
      <c r="CO3043" s="209" t="n"/>
      <c r="CP3043" s="204" t="n"/>
      <c r="CQ3043" s="204" t="n"/>
      <c r="CR3043" s="204" t="n"/>
      <c r="CS3043" s="204" t="n"/>
      <c r="CT3043" s="204" t="n"/>
      <c r="CU3043" s="204" t="n"/>
      <c r="CV3043" s="204" t="n"/>
      <c r="CW3043" s="204" t="n"/>
    </row>
    <row r="3044">
      <c r="BF3044" s="78" t="n"/>
      <c r="BG3044" s="78" t="n"/>
      <c r="BH3044" s="78" t="n"/>
      <c r="BI3044" s="78" t="n"/>
      <c r="BJ3044" s="139" t="n"/>
      <c r="BK3044" s="204" t="n"/>
      <c r="BL3044" s="141" t="n"/>
      <c r="BM3044" s="205" t="n"/>
      <c r="BN3044" s="205" t="n"/>
      <c r="BO3044" s="206" t="n"/>
      <c r="BP3044" s="144" t="n"/>
      <c r="BQ3044" s="141" t="n"/>
      <c r="BR3044" s="207" t="n"/>
      <c r="BS3044" s="207" t="n"/>
      <c r="BT3044" s="207" t="n"/>
      <c r="BU3044" s="207" t="n"/>
      <c r="BV3044" s="208" t="n"/>
      <c r="BW3044" s="207" t="n"/>
      <c r="BX3044" s="207" t="n"/>
      <c r="BY3044" s="204" t="n"/>
      <c r="BZ3044" s="148" t="n"/>
      <c r="CA3044" s="204" t="n"/>
      <c r="CB3044" s="208" t="n"/>
      <c r="CC3044" s="139" t="n"/>
      <c r="CD3044" s="204" t="n"/>
      <c r="CE3044" s="204" t="n"/>
      <c r="CF3044" s="207" t="n"/>
      <c r="CG3044" s="208" t="n"/>
      <c r="CH3044" s="207" t="n"/>
      <c r="CI3044" s="208" t="n"/>
      <c r="CJ3044" s="204" t="n"/>
      <c r="CK3044" s="208" t="n"/>
      <c r="CL3044" s="208" t="n"/>
      <c r="CM3044" s="208" t="n"/>
      <c r="CN3044" s="78" t="n"/>
      <c r="CO3044" s="209" t="n"/>
      <c r="CP3044" s="204" t="n"/>
      <c r="CQ3044" s="204" t="n"/>
      <c r="CR3044" s="204" t="n"/>
      <c r="CS3044" s="204" t="n"/>
      <c r="CT3044" s="204" t="n"/>
      <c r="CU3044" s="204" t="n"/>
      <c r="CV3044" s="204" t="n"/>
      <c r="CW3044" s="204" t="n"/>
    </row>
    <row r="3045">
      <c r="BF3045" s="78" t="n"/>
      <c r="BG3045" s="78" t="n"/>
      <c r="BH3045" s="78" t="n"/>
      <c r="BI3045" s="78" t="n"/>
      <c r="BJ3045" s="139" t="n"/>
      <c r="BK3045" s="204" t="n"/>
      <c r="BL3045" s="141" t="n"/>
      <c r="BM3045" s="205" t="n"/>
      <c r="BN3045" s="205" t="n"/>
      <c r="BO3045" s="206" t="n"/>
      <c r="BP3045" s="144" t="n"/>
      <c r="BQ3045" s="141" t="n"/>
      <c r="BR3045" s="207" t="n"/>
      <c r="BS3045" s="207" t="n"/>
      <c r="BT3045" s="207" t="n"/>
      <c r="BU3045" s="207" t="n"/>
      <c r="BV3045" s="208" t="n"/>
      <c r="BW3045" s="207" t="n"/>
      <c r="BX3045" s="207" t="n"/>
      <c r="BY3045" s="204" t="n"/>
      <c r="BZ3045" s="148" t="n"/>
      <c r="CA3045" s="204" t="n"/>
      <c r="CB3045" s="208" t="n"/>
      <c r="CC3045" s="139" t="n"/>
      <c r="CD3045" s="204" t="n"/>
      <c r="CE3045" s="204" t="n"/>
      <c r="CF3045" s="207" t="n"/>
      <c r="CG3045" s="208" t="n"/>
      <c r="CH3045" s="207" t="n"/>
      <c r="CI3045" s="208" t="n"/>
      <c r="CJ3045" s="204" t="n"/>
      <c r="CK3045" s="208" t="n"/>
      <c r="CL3045" s="208" t="n"/>
      <c r="CM3045" s="208" t="n"/>
      <c r="CN3045" s="78" t="n"/>
      <c r="CO3045" s="209" t="n"/>
      <c r="CP3045" s="204" t="n"/>
      <c r="CQ3045" s="204" t="n"/>
      <c r="CR3045" s="204" t="n"/>
      <c r="CS3045" s="204" t="n"/>
      <c r="CT3045" s="204" t="n"/>
      <c r="CU3045" s="204" t="n"/>
      <c r="CV3045" s="204" t="n"/>
      <c r="CW3045" s="204" t="n"/>
    </row>
    <row r="3046">
      <c r="BF3046" s="78" t="n"/>
      <c r="BG3046" s="78" t="n"/>
      <c r="BH3046" s="78" t="n"/>
      <c r="BI3046" s="78" t="n"/>
      <c r="BJ3046" s="139" t="n"/>
      <c r="BK3046" s="204" t="n"/>
      <c r="BL3046" s="141" t="n"/>
      <c r="BM3046" s="205" t="n"/>
      <c r="BN3046" s="205" t="n"/>
      <c r="BO3046" s="206" t="n"/>
      <c r="BP3046" s="144" t="n"/>
      <c r="BQ3046" s="141" t="n"/>
      <c r="BR3046" s="207" t="n"/>
      <c r="BS3046" s="207" t="n"/>
      <c r="BT3046" s="207" t="n"/>
      <c r="BU3046" s="207" t="n"/>
      <c r="BV3046" s="208" t="n"/>
      <c r="BW3046" s="207" t="n"/>
      <c r="BX3046" s="207" t="n"/>
      <c r="BY3046" s="204" t="n"/>
      <c r="BZ3046" s="148" t="n"/>
      <c r="CA3046" s="204" t="n"/>
      <c r="CB3046" s="208" t="n"/>
      <c r="CC3046" s="139" t="n"/>
      <c r="CD3046" s="204" t="n"/>
      <c r="CE3046" s="204" t="n"/>
      <c r="CF3046" s="207" t="n"/>
      <c r="CG3046" s="208" t="n"/>
      <c r="CH3046" s="207" t="n"/>
      <c r="CI3046" s="208" t="n"/>
      <c r="CJ3046" s="204" t="n"/>
      <c r="CK3046" s="208" t="n"/>
      <c r="CL3046" s="208" t="n"/>
      <c r="CM3046" s="208" t="n"/>
      <c r="CN3046" s="78" t="n"/>
      <c r="CO3046" s="209" t="n"/>
      <c r="CP3046" s="204" t="n"/>
      <c r="CQ3046" s="204" t="n"/>
      <c r="CR3046" s="204" t="n"/>
      <c r="CS3046" s="204" t="n"/>
      <c r="CT3046" s="204" t="n"/>
      <c r="CU3046" s="204" t="n"/>
      <c r="CV3046" s="204" t="n"/>
      <c r="CW3046" s="204" t="n"/>
    </row>
    <row r="3047">
      <c r="BF3047" s="78" t="n"/>
      <c r="BG3047" s="78" t="n"/>
      <c r="BH3047" s="78" t="n"/>
      <c r="BI3047" s="78" t="n"/>
      <c r="BJ3047" s="139" t="n"/>
      <c r="BK3047" s="204" t="n"/>
      <c r="BL3047" s="141" t="n"/>
      <c r="BM3047" s="205" t="n"/>
      <c r="BN3047" s="205" t="n"/>
      <c r="BO3047" s="206" t="n"/>
      <c r="BP3047" s="144" t="n"/>
      <c r="BQ3047" s="141" t="n"/>
      <c r="BR3047" s="207" t="n"/>
      <c r="BS3047" s="207" t="n"/>
      <c r="BT3047" s="207" t="n"/>
      <c r="BU3047" s="207" t="n"/>
      <c r="BV3047" s="208" t="n"/>
      <c r="BW3047" s="207" t="n"/>
      <c r="BX3047" s="207" t="n"/>
      <c r="BY3047" s="204" t="n"/>
      <c r="BZ3047" s="148" t="n"/>
      <c r="CA3047" s="204" t="n"/>
      <c r="CB3047" s="208" t="n"/>
      <c r="CC3047" s="139" t="n"/>
      <c r="CD3047" s="204" t="n"/>
      <c r="CE3047" s="204" t="n"/>
      <c r="CF3047" s="207" t="n"/>
      <c r="CG3047" s="208" t="n"/>
      <c r="CH3047" s="207" t="n"/>
      <c r="CI3047" s="208" t="n"/>
      <c r="CJ3047" s="204" t="n"/>
      <c r="CK3047" s="208" t="n"/>
      <c r="CL3047" s="208" t="n"/>
      <c r="CM3047" s="208" t="n"/>
      <c r="CN3047" s="78" t="n"/>
      <c r="CO3047" s="209" t="n"/>
      <c r="CP3047" s="204" t="n"/>
      <c r="CQ3047" s="204" t="n"/>
      <c r="CR3047" s="204" t="n"/>
      <c r="CS3047" s="204" t="n"/>
      <c r="CT3047" s="204" t="n"/>
      <c r="CU3047" s="204" t="n"/>
      <c r="CV3047" s="204" t="n"/>
      <c r="CW3047" s="204" t="n"/>
    </row>
    <row r="3048">
      <c r="BF3048" s="78" t="n"/>
      <c r="BG3048" s="78" t="n"/>
      <c r="BH3048" s="78" t="n"/>
      <c r="BI3048" s="78" t="n"/>
      <c r="BJ3048" s="139" t="n"/>
      <c r="BK3048" s="204" t="n"/>
      <c r="BL3048" s="141" t="n"/>
      <c r="BM3048" s="205" t="n"/>
      <c r="BN3048" s="205" t="n"/>
      <c r="BO3048" s="206" t="n"/>
      <c r="BP3048" s="144" t="n"/>
      <c r="BQ3048" s="141" t="n"/>
      <c r="BR3048" s="207" t="n"/>
      <c r="BS3048" s="207" t="n"/>
      <c r="BT3048" s="207" t="n"/>
      <c r="BU3048" s="207" t="n"/>
      <c r="BV3048" s="208" t="n"/>
      <c r="BW3048" s="207" t="n"/>
      <c r="BX3048" s="207" t="n"/>
      <c r="BY3048" s="204" t="n"/>
      <c r="BZ3048" s="148" t="n"/>
      <c r="CA3048" s="204" t="n"/>
      <c r="CB3048" s="208" t="n"/>
      <c r="CC3048" s="139" t="n"/>
      <c r="CD3048" s="204" t="n"/>
      <c r="CE3048" s="204" t="n"/>
      <c r="CF3048" s="207" t="n"/>
      <c r="CG3048" s="208" t="n"/>
      <c r="CH3048" s="207" t="n"/>
      <c r="CI3048" s="208" t="n"/>
      <c r="CJ3048" s="204" t="n"/>
      <c r="CK3048" s="208" t="n"/>
      <c r="CL3048" s="208" t="n"/>
      <c r="CM3048" s="208" t="n"/>
      <c r="CN3048" s="78" t="n"/>
      <c r="CO3048" s="209" t="n"/>
      <c r="CP3048" s="204" t="n"/>
      <c r="CQ3048" s="204" t="n"/>
      <c r="CR3048" s="204" t="n"/>
      <c r="CS3048" s="204" t="n"/>
      <c r="CT3048" s="204" t="n"/>
      <c r="CU3048" s="204" t="n"/>
      <c r="CV3048" s="204" t="n"/>
      <c r="CW3048" s="204" t="n"/>
    </row>
    <row r="3049">
      <c r="BF3049" s="78" t="n"/>
      <c r="BG3049" s="78" t="n"/>
      <c r="BH3049" s="78" t="n"/>
      <c r="BI3049" s="78" t="n"/>
      <c r="BJ3049" s="139" t="n"/>
      <c r="BK3049" s="204" t="n"/>
      <c r="BL3049" s="141" t="n"/>
      <c r="BM3049" s="205" t="n"/>
      <c r="BN3049" s="205" t="n"/>
      <c r="BO3049" s="206" t="n"/>
      <c r="BP3049" s="144" t="n"/>
      <c r="BQ3049" s="141" t="n"/>
      <c r="BR3049" s="207" t="n"/>
      <c r="BS3049" s="207" t="n"/>
      <c r="BT3049" s="207" t="n"/>
      <c r="BU3049" s="207" t="n"/>
      <c r="BV3049" s="208" t="n"/>
      <c r="BW3049" s="207" t="n"/>
      <c r="BX3049" s="207" t="n"/>
      <c r="BY3049" s="204" t="n"/>
      <c r="BZ3049" s="148" t="n"/>
      <c r="CA3049" s="204" t="n"/>
      <c r="CB3049" s="208" t="n"/>
      <c r="CC3049" s="139" t="n"/>
      <c r="CD3049" s="204" t="n"/>
      <c r="CE3049" s="204" t="n"/>
      <c r="CF3049" s="207" t="n"/>
      <c r="CG3049" s="208" t="n"/>
      <c r="CH3049" s="207" t="n"/>
      <c r="CI3049" s="208" t="n"/>
      <c r="CJ3049" s="204" t="n"/>
      <c r="CK3049" s="208" t="n"/>
      <c r="CL3049" s="208" t="n"/>
      <c r="CM3049" s="208" t="n"/>
      <c r="CN3049" s="78" t="n"/>
      <c r="CO3049" s="209" t="n"/>
      <c r="CP3049" s="204" t="n"/>
      <c r="CQ3049" s="204" t="n"/>
      <c r="CR3049" s="204" t="n"/>
      <c r="CS3049" s="204" t="n"/>
      <c r="CT3049" s="204" t="n"/>
      <c r="CU3049" s="204" t="n"/>
      <c r="CV3049" s="204" t="n"/>
      <c r="CW3049" s="204" t="n"/>
    </row>
    <row r="3050">
      <c r="BF3050" s="78" t="n"/>
      <c r="BG3050" s="78" t="n"/>
      <c r="BH3050" s="78" t="n"/>
      <c r="BI3050" s="78" t="n"/>
      <c r="BJ3050" s="139" t="n"/>
      <c r="BK3050" s="204" t="n"/>
      <c r="BL3050" s="141" t="n"/>
      <c r="BM3050" s="205" t="n"/>
      <c r="BN3050" s="205" t="n"/>
      <c r="BO3050" s="206" t="n"/>
      <c r="BP3050" s="144" t="n"/>
      <c r="BQ3050" s="141" t="n"/>
      <c r="BR3050" s="207" t="n"/>
      <c r="BS3050" s="207" t="n"/>
      <c r="BT3050" s="207" t="n"/>
      <c r="BU3050" s="207" t="n"/>
      <c r="BV3050" s="208" t="n"/>
      <c r="BW3050" s="207" t="n"/>
      <c r="BX3050" s="207" t="n"/>
      <c r="BY3050" s="204" t="n"/>
      <c r="BZ3050" s="148" t="n"/>
      <c r="CA3050" s="204" t="n"/>
      <c r="CB3050" s="208" t="n"/>
      <c r="CC3050" s="139" t="n"/>
      <c r="CD3050" s="204" t="n"/>
      <c r="CE3050" s="204" t="n"/>
      <c r="CF3050" s="207" t="n"/>
      <c r="CG3050" s="208" t="n"/>
      <c r="CH3050" s="207" t="n"/>
      <c r="CI3050" s="208" t="n"/>
      <c r="CJ3050" s="204" t="n"/>
      <c r="CK3050" s="208" t="n"/>
      <c r="CL3050" s="208" t="n"/>
      <c r="CM3050" s="208" t="n"/>
      <c r="CN3050" s="78" t="n"/>
      <c r="CO3050" s="209" t="n"/>
      <c r="CP3050" s="204" t="n"/>
      <c r="CQ3050" s="204" t="n"/>
      <c r="CR3050" s="204" t="n"/>
      <c r="CS3050" s="204" t="n"/>
      <c r="CT3050" s="204" t="n"/>
      <c r="CU3050" s="204" t="n"/>
      <c r="CV3050" s="204" t="n"/>
      <c r="CW3050" s="204" t="n"/>
    </row>
    <row r="3051">
      <c r="BF3051" s="78" t="n"/>
      <c r="BG3051" s="78" t="n"/>
      <c r="BH3051" s="78" t="n"/>
      <c r="BI3051" s="78" t="n"/>
      <c r="BJ3051" s="139" t="n"/>
      <c r="BK3051" s="204" t="n"/>
      <c r="BL3051" s="141" t="n"/>
      <c r="BM3051" s="205" t="n"/>
      <c r="BN3051" s="205" t="n"/>
      <c r="BO3051" s="206" t="n"/>
      <c r="BP3051" s="144" t="n"/>
      <c r="BQ3051" s="141" t="n"/>
      <c r="BR3051" s="207" t="n"/>
      <c r="BS3051" s="207" t="n"/>
      <c r="BT3051" s="207" t="n"/>
      <c r="BU3051" s="207" t="n"/>
      <c r="BV3051" s="208" t="n"/>
      <c r="BW3051" s="207" t="n"/>
      <c r="BX3051" s="207" t="n"/>
      <c r="BY3051" s="204" t="n"/>
      <c r="BZ3051" s="148" t="n"/>
      <c r="CA3051" s="204" t="n"/>
      <c r="CB3051" s="208" t="n"/>
      <c r="CC3051" s="139" t="n"/>
      <c r="CD3051" s="204" t="n"/>
      <c r="CE3051" s="204" t="n"/>
      <c r="CF3051" s="207" t="n"/>
      <c r="CG3051" s="208" t="n"/>
      <c r="CH3051" s="207" t="n"/>
      <c r="CI3051" s="208" t="n"/>
      <c r="CJ3051" s="204" t="n"/>
      <c r="CK3051" s="208" t="n"/>
      <c r="CL3051" s="208" t="n"/>
      <c r="CM3051" s="208" t="n"/>
      <c r="CN3051" s="78" t="n"/>
      <c r="CO3051" s="209" t="n"/>
      <c r="CP3051" s="204" t="n"/>
      <c r="CQ3051" s="204" t="n"/>
      <c r="CR3051" s="204" t="n"/>
      <c r="CS3051" s="204" t="n"/>
      <c r="CT3051" s="204" t="n"/>
      <c r="CU3051" s="204" t="n"/>
      <c r="CV3051" s="204" t="n"/>
      <c r="CW3051" s="204" t="n"/>
    </row>
    <row r="3052">
      <c r="BF3052" s="78" t="n"/>
      <c r="BG3052" s="78" t="n"/>
      <c r="BH3052" s="78" t="n"/>
      <c r="BI3052" s="78" t="n"/>
      <c r="BJ3052" s="139" t="n"/>
      <c r="BK3052" s="204" t="n"/>
      <c r="BL3052" s="141" t="n"/>
      <c r="BM3052" s="205" t="n"/>
      <c r="BN3052" s="205" t="n"/>
      <c r="BO3052" s="206" t="n"/>
      <c r="BP3052" s="144" t="n"/>
      <c r="BQ3052" s="141" t="n"/>
      <c r="BR3052" s="207" t="n"/>
      <c r="BS3052" s="207" t="n"/>
      <c r="BT3052" s="207" t="n"/>
      <c r="BU3052" s="207" t="n"/>
      <c r="BV3052" s="208" t="n"/>
      <c r="BW3052" s="207" t="n"/>
      <c r="BX3052" s="207" t="n"/>
      <c r="BY3052" s="204" t="n"/>
      <c r="BZ3052" s="148" t="n"/>
      <c r="CA3052" s="204" t="n"/>
      <c r="CB3052" s="208" t="n"/>
      <c r="CC3052" s="139" t="n"/>
      <c r="CD3052" s="204" t="n"/>
      <c r="CE3052" s="204" t="n"/>
      <c r="CF3052" s="207" t="n"/>
      <c r="CG3052" s="208" t="n"/>
      <c r="CH3052" s="207" t="n"/>
      <c r="CI3052" s="208" t="n"/>
      <c r="CJ3052" s="204" t="n"/>
      <c r="CK3052" s="208" t="n"/>
      <c r="CL3052" s="208" t="n"/>
      <c r="CM3052" s="208" t="n"/>
      <c r="CN3052" s="78" t="n"/>
      <c r="CO3052" s="209" t="n"/>
      <c r="CP3052" s="204" t="n"/>
      <c r="CQ3052" s="204" t="n"/>
      <c r="CR3052" s="204" t="n"/>
      <c r="CS3052" s="204" t="n"/>
      <c r="CT3052" s="204" t="n"/>
      <c r="CU3052" s="204" t="n"/>
      <c r="CV3052" s="204" t="n"/>
      <c r="CW3052" s="204" t="n"/>
    </row>
    <row r="3053">
      <c r="BF3053" s="78" t="n"/>
      <c r="BG3053" s="78" t="n"/>
      <c r="BH3053" s="78" t="n"/>
      <c r="BI3053" s="78" t="n"/>
      <c r="BJ3053" s="139" t="n"/>
      <c r="BK3053" s="204" t="n"/>
      <c r="BL3053" s="141" t="n"/>
      <c r="BM3053" s="205" t="n"/>
      <c r="BN3053" s="205" t="n"/>
      <c r="BO3053" s="206" t="n"/>
      <c r="BP3053" s="144" t="n"/>
      <c r="BQ3053" s="141" t="n"/>
      <c r="BR3053" s="207" t="n"/>
      <c r="BS3053" s="207" t="n"/>
      <c r="BT3053" s="207" t="n"/>
      <c r="BU3053" s="207" t="n"/>
      <c r="BV3053" s="208" t="n"/>
      <c r="BW3053" s="207" t="n"/>
      <c r="BX3053" s="207" t="n"/>
      <c r="BY3053" s="204" t="n"/>
      <c r="BZ3053" s="148" t="n"/>
      <c r="CA3053" s="204" t="n"/>
      <c r="CB3053" s="208" t="n"/>
      <c r="CC3053" s="139" t="n"/>
      <c r="CD3053" s="204" t="n"/>
      <c r="CE3053" s="204" t="n"/>
      <c r="CF3053" s="207" t="n"/>
      <c r="CG3053" s="208" t="n"/>
      <c r="CH3053" s="207" t="n"/>
      <c r="CI3053" s="208" t="n"/>
      <c r="CJ3053" s="204" t="n"/>
      <c r="CK3053" s="208" t="n"/>
      <c r="CL3053" s="208" t="n"/>
      <c r="CM3053" s="208" t="n"/>
      <c r="CN3053" s="78" t="n"/>
      <c r="CO3053" s="209" t="n"/>
      <c r="CP3053" s="204" t="n"/>
      <c r="CQ3053" s="204" t="n"/>
      <c r="CR3053" s="204" t="n"/>
      <c r="CS3053" s="204" t="n"/>
      <c r="CT3053" s="204" t="n"/>
      <c r="CU3053" s="204" t="n"/>
      <c r="CV3053" s="204" t="n"/>
      <c r="CW3053" s="204" t="n"/>
    </row>
    <row r="3054">
      <c r="BF3054" s="78" t="n"/>
      <c r="BG3054" s="78" t="n"/>
      <c r="BH3054" s="78" t="n"/>
      <c r="BI3054" s="78" t="n"/>
      <c r="BJ3054" s="139" t="n"/>
      <c r="BK3054" s="204" t="n"/>
      <c r="BL3054" s="141" t="n"/>
      <c r="BM3054" s="205" t="n"/>
      <c r="BN3054" s="205" t="n"/>
      <c r="BO3054" s="206" t="n"/>
      <c r="BP3054" s="144" t="n"/>
      <c r="BQ3054" s="141" t="n"/>
      <c r="BR3054" s="207" t="n"/>
      <c r="BS3054" s="207" t="n"/>
      <c r="BT3054" s="207" t="n"/>
      <c r="BU3054" s="207" t="n"/>
      <c r="BV3054" s="208" t="n"/>
      <c r="BW3054" s="207" t="n"/>
      <c r="BX3054" s="207" t="n"/>
      <c r="BY3054" s="204" t="n"/>
      <c r="BZ3054" s="148" t="n"/>
      <c r="CA3054" s="204" t="n"/>
      <c r="CB3054" s="208" t="n"/>
      <c r="CC3054" s="139" t="n"/>
      <c r="CD3054" s="204" t="n"/>
      <c r="CE3054" s="204" t="n"/>
      <c r="CF3054" s="207" t="n"/>
      <c r="CG3054" s="208" t="n"/>
      <c r="CH3054" s="207" t="n"/>
      <c r="CI3054" s="208" t="n"/>
      <c r="CJ3054" s="204" t="n"/>
      <c r="CK3054" s="208" t="n"/>
      <c r="CL3054" s="208" t="n"/>
      <c r="CM3054" s="208" t="n"/>
      <c r="CN3054" s="78" t="n"/>
      <c r="CO3054" s="209" t="n"/>
      <c r="CP3054" s="204" t="n"/>
      <c r="CQ3054" s="204" t="n"/>
      <c r="CR3054" s="204" t="n"/>
      <c r="CS3054" s="204" t="n"/>
      <c r="CT3054" s="204" t="n"/>
      <c r="CU3054" s="204" t="n"/>
      <c r="CV3054" s="204" t="n"/>
      <c r="CW3054" s="204" t="n"/>
    </row>
    <row r="3055">
      <c r="BF3055" s="78" t="n"/>
      <c r="BG3055" s="78" t="n"/>
      <c r="BH3055" s="78" t="n"/>
      <c r="BI3055" s="78" t="n"/>
      <c r="BJ3055" s="139" t="n"/>
      <c r="BK3055" s="204" t="n"/>
      <c r="BL3055" s="141" t="n"/>
      <c r="BM3055" s="205" t="n"/>
      <c r="BN3055" s="205" t="n"/>
      <c r="BO3055" s="206" t="n"/>
      <c r="BP3055" s="144" t="n"/>
      <c r="BQ3055" s="141" t="n"/>
      <c r="BR3055" s="207" t="n"/>
      <c r="BS3055" s="207" t="n"/>
      <c r="BT3055" s="207" t="n"/>
      <c r="BU3055" s="207" t="n"/>
      <c r="BV3055" s="208" t="n"/>
      <c r="BW3055" s="207" t="n"/>
      <c r="BX3055" s="207" t="n"/>
      <c r="BY3055" s="204" t="n"/>
      <c r="BZ3055" s="148" t="n"/>
      <c r="CA3055" s="204" t="n"/>
      <c r="CB3055" s="208" t="n"/>
      <c r="CC3055" s="139" t="n"/>
      <c r="CD3055" s="204" t="n"/>
      <c r="CE3055" s="204" t="n"/>
      <c r="CF3055" s="207" t="n"/>
      <c r="CG3055" s="208" t="n"/>
      <c r="CH3055" s="207" t="n"/>
      <c r="CI3055" s="208" t="n"/>
      <c r="CJ3055" s="204" t="n"/>
      <c r="CK3055" s="208" t="n"/>
      <c r="CL3055" s="208" t="n"/>
      <c r="CM3055" s="208" t="n"/>
      <c r="CN3055" s="78" t="n"/>
      <c r="CO3055" s="209" t="n"/>
      <c r="CP3055" s="204" t="n"/>
      <c r="CQ3055" s="204" t="n"/>
      <c r="CR3055" s="204" t="n"/>
      <c r="CS3055" s="204" t="n"/>
      <c r="CT3055" s="204" t="n"/>
      <c r="CU3055" s="204" t="n"/>
      <c r="CV3055" s="204" t="n"/>
      <c r="CW3055" s="204" t="n"/>
    </row>
    <row r="3056">
      <c r="BF3056" s="78" t="n"/>
      <c r="BG3056" s="78" t="n"/>
      <c r="BH3056" s="78" t="n"/>
      <c r="BI3056" s="78" t="n"/>
      <c r="BJ3056" s="139" t="n"/>
      <c r="BK3056" s="204" t="n"/>
      <c r="BL3056" s="141" t="n"/>
      <c r="BM3056" s="205" t="n"/>
      <c r="BN3056" s="205" t="n"/>
      <c r="BO3056" s="206" t="n"/>
      <c r="BP3056" s="144" t="n"/>
      <c r="BQ3056" s="141" t="n"/>
      <c r="BR3056" s="207" t="n"/>
      <c r="BS3056" s="207" t="n"/>
      <c r="BT3056" s="207" t="n"/>
      <c r="BU3056" s="207" t="n"/>
      <c r="BV3056" s="208" t="n"/>
      <c r="BW3056" s="207" t="n"/>
      <c r="BX3056" s="207" t="n"/>
      <c r="BY3056" s="204" t="n"/>
      <c r="BZ3056" s="148" t="n"/>
      <c r="CA3056" s="204" t="n"/>
      <c r="CB3056" s="208" t="n"/>
      <c r="CC3056" s="139" t="n"/>
      <c r="CD3056" s="204" t="n"/>
      <c r="CE3056" s="204" t="n"/>
      <c r="CF3056" s="207" t="n"/>
      <c r="CG3056" s="208" t="n"/>
      <c r="CH3056" s="207" t="n"/>
      <c r="CI3056" s="208" t="n"/>
      <c r="CJ3056" s="204" t="n"/>
      <c r="CK3056" s="208" t="n"/>
      <c r="CL3056" s="208" t="n"/>
      <c r="CM3056" s="208" t="n"/>
      <c r="CN3056" s="78" t="n"/>
      <c r="CO3056" s="209" t="n"/>
      <c r="CP3056" s="204" t="n"/>
      <c r="CQ3056" s="204" t="n"/>
      <c r="CR3056" s="204" t="n"/>
      <c r="CS3056" s="204" t="n"/>
      <c r="CT3056" s="204" t="n"/>
      <c r="CU3056" s="204" t="n"/>
      <c r="CV3056" s="204" t="n"/>
      <c r="CW3056" s="204" t="n"/>
    </row>
    <row r="3057">
      <c r="BF3057" s="78" t="n"/>
      <c r="BG3057" s="78" t="n"/>
      <c r="BH3057" s="78" t="n"/>
      <c r="BI3057" s="78" t="n"/>
      <c r="BJ3057" s="139" t="n"/>
      <c r="BK3057" s="204" t="n"/>
      <c r="BL3057" s="141" t="n"/>
      <c r="BM3057" s="205" t="n"/>
      <c r="BN3057" s="205" t="n"/>
      <c r="BO3057" s="206" t="n"/>
      <c r="BP3057" s="144" t="n"/>
      <c r="BQ3057" s="141" t="n"/>
      <c r="BR3057" s="207" t="n"/>
      <c r="BS3057" s="207" t="n"/>
      <c r="BT3057" s="207" t="n"/>
      <c r="BU3057" s="207" t="n"/>
      <c r="BV3057" s="208" t="n"/>
      <c r="BW3057" s="207" t="n"/>
      <c r="BX3057" s="207" t="n"/>
      <c r="BY3057" s="204" t="n"/>
      <c r="BZ3057" s="148" t="n"/>
      <c r="CA3057" s="204" t="n"/>
      <c r="CB3057" s="208" t="n"/>
      <c r="CC3057" s="139" t="n"/>
      <c r="CD3057" s="204" t="n"/>
      <c r="CE3057" s="204" t="n"/>
      <c r="CF3057" s="207" t="n"/>
      <c r="CG3057" s="208" t="n"/>
      <c r="CH3057" s="207" t="n"/>
      <c r="CI3057" s="208" t="n"/>
      <c r="CJ3057" s="204" t="n"/>
      <c r="CK3057" s="208" t="n"/>
      <c r="CL3057" s="208" t="n"/>
      <c r="CM3057" s="208" t="n"/>
      <c r="CN3057" s="78" t="n"/>
      <c r="CO3057" s="209" t="n"/>
      <c r="CP3057" s="204" t="n"/>
      <c r="CQ3057" s="204" t="n"/>
      <c r="CR3057" s="204" t="n"/>
      <c r="CS3057" s="204" t="n"/>
      <c r="CT3057" s="204" t="n"/>
      <c r="CU3057" s="204" t="n"/>
      <c r="CV3057" s="204" t="n"/>
      <c r="CW3057" s="204" t="n"/>
    </row>
    <row r="3058">
      <c r="BF3058" s="78" t="n"/>
      <c r="BG3058" s="78" t="n"/>
      <c r="BH3058" s="78" t="n"/>
      <c r="BI3058" s="78" t="n"/>
      <c r="BJ3058" s="139" t="n"/>
      <c r="BK3058" s="204" t="n"/>
      <c r="BL3058" s="141" t="n"/>
      <c r="BM3058" s="205" t="n"/>
      <c r="BN3058" s="205" t="n"/>
      <c r="BO3058" s="206" t="n"/>
      <c r="BP3058" s="144" t="n"/>
      <c r="BQ3058" s="141" t="n"/>
      <c r="BR3058" s="207" t="n"/>
      <c r="BS3058" s="207" t="n"/>
      <c r="BT3058" s="207" t="n"/>
      <c r="BU3058" s="207" t="n"/>
      <c r="BV3058" s="208" t="n"/>
      <c r="BW3058" s="207" t="n"/>
      <c r="BX3058" s="207" t="n"/>
      <c r="BY3058" s="204" t="n"/>
      <c r="BZ3058" s="148" t="n"/>
      <c r="CA3058" s="204" t="n"/>
      <c r="CB3058" s="208" t="n"/>
      <c r="CC3058" s="139" t="n"/>
      <c r="CD3058" s="204" t="n"/>
      <c r="CE3058" s="204" t="n"/>
      <c r="CF3058" s="207" t="n"/>
      <c r="CG3058" s="208" t="n"/>
      <c r="CH3058" s="207" t="n"/>
      <c r="CI3058" s="208" t="n"/>
      <c r="CJ3058" s="204" t="n"/>
      <c r="CK3058" s="208" t="n"/>
      <c r="CL3058" s="208" t="n"/>
      <c r="CM3058" s="208" t="n"/>
      <c r="CN3058" s="78" t="n"/>
      <c r="CO3058" s="209" t="n"/>
      <c r="CP3058" s="204" t="n"/>
      <c r="CQ3058" s="204" t="n"/>
      <c r="CR3058" s="204" t="n"/>
      <c r="CS3058" s="204" t="n"/>
      <c r="CT3058" s="204" t="n"/>
      <c r="CU3058" s="204" t="n"/>
      <c r="CV3058" s="204" t="n"/>
      <c r="CW3058" s="204" t="n"/>
    </row>
    <row r="3059">
      <c r="BF3059" s="78" t="n"/>
      <c r="BG3059" s="78" t="n"/>
      <c r="BH3059" s="78" t="n"/>
      <c r="BI3059" s="78" t="n"/>
      <c r="BJ3059" s="139" t="n"/>
      <c r="BK3059" s="204" t="n"/>
      <c r="BL3059" s="141" t="n"/>
      <c r="BM3059" s="205" t="n"/>
      <c r="BN3059" s="205" t="n"/>
      <c r="BO3059" s="206" t="n"/>
      <c r="BP3059" s="144" t="n"/>
      <c r="BQ3059" s="141" t="n"/>
      <c r="BR3059" s="207" t="n"/>
      <c r="BS3059" s="207" t="n"/>
      <c r="BT3059" s="207" t="n"/>
      <c r="BU3059" s="207" t="n"/>
      <c r="BV3059" s="208" t="n"/>
      <c r="BW3059" s="207" t="n"/>
      <c r="BX3059" s="207" t="n"/>
      <c r="BY3059" s="204" t="n"/>
      <c r="BZ3059" s="148" t="n"/>
      <c r="CA3059" s="204" t="n"/>
      <c r="CB3059" s="208" t="n"/>
      <c r="CC3059" s="139" t="n"/>
      <c r="CD3059" s="204" t="n"/>
      <c r="CE3059" s="204" t="n"/>
      <c r="CF3059" s="207" t="n"/>
      <c r="CG3059" s="208" t="n"/>
      <c r="CH3059" s="207" t="n"/>
      <c r="CI3059" s="208" t="n"/>
      <c r="CJ3059" s="204" t="n"/>
      <c r="CK3059" s="208" t="n"/>
      <c r="CL3059" s="208" t="n"/>
      <c r="CM3059" s="208" t="n"/>
      <c r="CN3059" s="78" t="n"/>
      <c r="CO3059" s="209" t="n"/>
      <c r="CP3059" s="204" t="n"/>
      <c r="CQ3059" s="204" t="n"/>
      <c r="CR3059" s="204" t="n"/>
      <c r="CS3059" s="204" t="n"/>
      <c r="CT3059" s="204" t="n"/>
      <c r="CU3059" s="204" t="n"/>
      <c r="CV3059" s="204" t="n"/>
      <c r="CW3059" s="204" t="n"/>
    </row>
    <row r="3060">
      <c r="BF3060" s="78" t="n"/>
      <c r="BG3060" s="78" t="n"/>
      <c r="BH3060" s="78" t="n"/>
      <c r="BI3060" s="78" t="n"/>
      <c r="BJ3060" s="139" t="n"/>
      <c r="BK3060" s="204" t="n"/>
      <c r="BL3060" s="141" t="n"/>
      <c r="BM3060" s="205" t="n"/>
      <c r="BN3060" s="205" t="n"/>
      <c r="BO3060" s="206" t="n"/>
      <c r="BP3060" s="144" t="n"/>
      <c r="BQ3060" s="141" t="n"/>
      <c r="BR3060" s="207" t="n"/>
      <c r="BS3060" s="207" t="n"/>
      <c r="BT3060" s="207" t="n"/>
      <c r="BU3060" s="207" t="n"/>
      <c r="BV3060" s="208" t="n"/>
      <c r="BW3060" s="207" t="n"/>
      <c r="BX3060" s="207" t="n"/>
      <c r="BY3060" s="204" t="n"/>
      <c r="BZ3060" s="148" t="n"/>
      <c r="CA3060" s="204" t="n"/>
      <c r="CB3060" s="208" t="n"/>
      <c r="CC3060" s="139" t="n"/>
      <c r="CD3060" s="204" t="n"/>
      <c r="CE3060" s="204" t="n"/>
      <c r="CF3060" s="207" t="n"/>
      <c r="CG3060" s="208" t="n"/>
      <c r="CH3060" s="207" t="n"/>
      <c r="CI3060" s="208" t="n"/>
      <c r="CJ3060" s="204" t="n"/>
      <c r="CK3060" s="208" t="n"/>
      <c r="CL3060" s="208" t="n"/>
      <c r="CM3060" s="208" t="n"/>
      <c r="CN3060" s="78" t="n"/>
      <c r="CO3060" s="209" t="n"/>
      <c r="CP3060" s="204" t="n"/>
      <c r="CQ3060" s="204" t="n"/>
      <c r="CR3060" s="204" t="n"/>
      <c r="CS3060" s="204" t="n"/>
      <c r="CT3060" s="204" t="n"/>
      <c r="CU3060" s="204" t="n"/>
      <c r="CV3060" s="204" t="n"/>
      <c r="CW3060" s="204" t="n"/>
    </row>
    <row r="3061">
      <c r="BF3061" s="78" t="n"/>
      <c r="BG3061" s="78" t="n"/>
      <c r="BH3061" s="78" t="n"/>
      <c r="BI3061" s="78" t="n"/>
      <c r="BJ3061" s="139" t="n"/>
      <c r="BK3061" s="204" t="n"/>
      <c r="BL3061" s="141" t="n"/>
      <c r="BM3061" s="205" t="n"/>
      <c r="BN3061" s="205" t="n"/>
      <c r="BO3061" s="206" t="n"/>
      <c r="BP3061" s="144" t="n"/>
      <c r="BQ3061" s="141" t="n"/>
      <c r="BR3061" s="207" t="n"/>
      <c r="BS3061" s="207" t="n"/>
      <c r="BT3061" s="207" t="n"/>
      <c r="BU3061" s="207" t="n"/>
      <c r="BV3061" s="208" t="n"/>
      <c r="BW3061" s="207" t="n"/>
      <c r="BX3061" s="207" t="n"/>
      <c r="BY3061" s="204" t="n"/>
      <c r="BZ3061" s="148" t="n"/>
      <c r="CA3061" s="204" t="n"/>
      <c r="CB3061" s="208" t="n"/>
      <c r="CC3061" s="139" t="n"/>
      <c r="CD3061" s="204" t="n"/>
      <c r="CE3061" s="204" t="n"/>
      <c r="CF3061" s="207" t="n"/>
      <c r="CG3061" s="208" t="n"/>
      <c r="CH3061" s="207" t="n"/>
      <c r="CI3061" s="208" t="n"/>
      <c r="CJ3061" s="204" t="n"/>
      <c r="CK3061" s="208" t="n"/>
      <c r="CL3061" s="208" t="n"/>
      <c r="CM3061" s="208" t="n"/>
      <c r="CN3061" s="78" t="n"/>
      <c r="CO3061" s="209" t="n"/>
      <c r="CP3061" s="204" t="n"/>
      <c r="CQ3061" s="204" t="n"/>
      <c r="CR3061" s="204" t="n"/>
      <c r="CS3061" s="204" t="n"/>
      <c r="CT3061" s="204" t="n"/>
      <c r="CU3061" s="204" t="n"/>
      <c r="CV3061" s="204" t="n"/>
      <c r="CW3061" s="204" t="n"/>
    </row>
    <row r="3062">
      <c r="BF3062" s="78" t="n"/>
      <c r="BG3062" s="78" t="n"/>
      <c r="BH3062" s="78" t="n"/>
      <c r="BI3062" s="78" t="n"/>
      <c r="BJ3062" s="139" t="n"/>
      <c r="BK3062" s="204" t="n"/>
      <c r="BL3062" s="141" t="n"/>
      <c r="BM3062" s="205" t="n"/>
      <c r="BN3062" s="205" t="n"/>
      <c r="BO3062" s="206" t="n"/>
      <c r="BP3062" s="144" t="n"/>
      <c r="BQ3062" s="141" t="n"/>
      <c r="BR3062" s="207" t="n"/>
      <c r="BS3062" s="207" t="n"/>
      <c r="BT3062" s="207" t="n"/>
      <c r="BU3062" s="207" t="n"/>
      <c r="BV3062" s="208" t="n"/>
      <c r="BW3062" s="207" t="n"/>
      <c r="BX3062" s="207" t="n"/>
      <c r="BY3062" s="204" t="n"/>
      <c r="BZ3062" s="148" t="n"/>
      <c r="CA3062" s="204" t="n"/>
      <c r="CB3062" s="208" t="n"/>
      <c r="CC3062" s="139" t="n"/>
      <c r="CD3062" s="204" t="n"/>
      <c r="CE3062" s="204" t="n"/>
      <c r="CF3062" s="207" t="n"/>
      <c r="CG3062" s="208" t="n"/>
      <c r="CH3062" s="207" t="n"/>
      <c r="CI3062" s="208" t="n"/>
      <c r="CJ3062" s="204" t="n"/>
      <c r="CK3062" s="208" t="n"/>
      <c r="CL3062" s="208" t="n"/>
      <c r="CM3062" s="208" t="n"/>
      <c r="CN3062" s="78" t="n"/>
      <c r="CO3062" s="209" t="n"/>
      <c r="CP3062" s="204" t="n"/>
      <c r="CQ3062" s="204" t="n"/>
      <c r="CR3062" s="204" t="n"/>
      <c r="CS3062" s="204" t="n"/>
      <c r="CT3062" s="204" t="n"/>
      <c r="CU3062" s="204" t="n"/>
      <c r="CV3062" s="204" t="n"/>
      <c r="CW3062" s="204" t="n"/>
    </row>
    <row r="3063">
      <c r="BF3063" s="78" t="n"/>
      <c r="BG3063" s="78" t="n"/>
      <c r="BH3063" s="78" t="n"/>
      <c r="BI3063" s="78" t="n"/>
      <c r="BJ3063" s="139" t="n"/>
      <c r="BK3063" s="204" t="n"/>
      <c r="BL3063" s="141" t="n"/>
      <c r="BM3063" s="205" t="n"/>
      <c r="BN3063" s="205" t="n"/>
      <c r="BO3063" s="206" t="n"/>
      <c r="BP3063" s="144" t="n"/>
      <c r="BQ3063" s="141" t="n"/>
      <c r="BR3063" s="207" t="n"/>
      <c r="BS3063" s="207" t="n"/>
      <c r="BT3063" s="207" t="n"/>
      <c r="BU3063" s="207" t="n"/>
      <c r="BV3063" s="208" t="n"/>
      <c r="BW3063" s="207" t="n"/>
      <c r="BX3063" s="207" t="n"/>
      <c r="BY3063" s="204" t="n"/>
      <c r="BZ3063" s="148" t="n"/>
      <c r="CA3063" s="204" t="n"/>
      <c r="CB3063" s="208" t="n"/>
      <c r="CC3063" s="139" t="n"/>
      <c r="CD3063" s="204" t="n"/>
      <c r="CE3063" s="204" t="n"/>
      <c r="CF3063" s="207" t="n"/>
      <c r="CG3063" s="208" t="n"/>
      <c r="CH3063" s="207" t="n"/>
      <c r="CI3063" s="208" t="n"/>
      <c r="CJ3063" s="204" t="n"/>
      <c r="CK3063" s="208" t="n"/>
      <c r="CL3063" s="208" t="n"/>
      <c r="CM3063" s="208" t="n"/>
      <c r="CN3063" s="78" t="n"/>
      <c r="CO3063" s="209" t="n"/>
      <c r="CP3063" s="204" t="n"/>
      <c r="CQ3063" s="204" t="n"/>
      <c r="CR3063" s="204" t="n"/>
      <c r="CS3063" s="204" t="n"/>
      <c r="CT3063" s="204" t="n"/>
      <c r="CU3063" s="204" t="n"/>
      <c r="CV3063" s="204" t="n"/>
      <c r="CW3063" s="204" t="n"/>
    </row>
    <row r="3064">
      <c r="BF3064" s="78" t="n"/>
      <c r="BG3064" s="78" t="n"/>
      <c r="BH3064" s="78" t="n"/>
      <c r="BI3064" s="78" t="n"/>
      <c r="BJ3064" s="139" t="n"/>
      <c r="BK3064" s="204" t="n"/>
      <c r="BL3064" s="141" t="n"/>
      <c r="BM3064" s="205" t="n"/>
      <c r="BN3064" s="205" t="n"/>
      <c r="BO3064" s="206" t="n"/>
      <c r="BP3064" s="144" t="n"/>
      <c r="BQ3064" s="141" t="n"/>
      <c r="BR3064" s="207" t="n"/>
      <c r="BS3064" s="207" t="n"/>
      <c r="BT3064" s="207" t="n"/>
      <c r="BU3064" s="207" t="n"/>
      <c r="BV3064" s="208" t="n"/>
      <c r="BW3064" s="207" t="n"/>
      <c r="BX3064" s="207" t="n"/>
      <c r="BY3064" s="204" t="n"/>
      <c r="BZ3064" s="148" t="n"/>
      <c r="CA3064" s="204" t="n"/>
      <c r="CB3064" s="208" t="n"/>
      <c r="CC3064" s="139" t="n"/>
      <c r="CD3064" s="204" t="n"/>
      <c r="CE3064" s="204" t="n"/>
      <c r="CF3064" s="207" t="n"/>
      <c r="CG3064" s="208" t="n"/>
      <c r="CH3064" s="207" t="n"/>
      <c r="CI3064" s="208" t="n"/>
      <c r="CJ3064" s="204" t="n"/>
      <c r="CK3064" s="208" t="n"/>
      <c r="CL3064" s="208" t="n"/>
      <c r="CM3064" s="208" t="n"/>
      <c r="CN3064" s="78" t="n"/>
      <c r="CO3064" s="209" t="n"/>
      <c r="CP3064" s="204" t="n"/>
      <c r="CQ3064" s="204" t="n"/>
      <c r="CR3064" s="204" t="n"/>
      <c r="CS3064" s="204" t="n"/>
      <c r="CT3064" s="204" t="n"/>
      <c r="CU3064" s="204" t="n"/>
      <c r="CV3064" s="204" t="n"/>
      <c r="CW3064" s="204" t="n"/>
    </row>
    <row r="3065">
      <c r="BF3065" s="78" t="n"/>
      <c r="BG3065" s="78" t="n"/>
      <c r="BH3065" s="78" t="n"/>
      <c r="BI3065" s="78" t="n"/>
      <c r="BJ3065" s="139" t="n"/>
      <c r="BK3065" s="204" t="n"/>
      <c r="BL3065" s="141" t="n"/>
      <c r="BM3065" s="205" t="n"/>
      <c r="BN3065" s="205" t="n"/>
      <c r="BO3065" s="206" t="n"/>
      <c r="BP3065" s="144" t="n"/>
      <c r="BQ3065" s="141" t="n"/>
      <c r="BR3065" s="207" t="n"/>
      <c r="BS3065" s="207" t="n"/>
      <c r="BT3065" s="207" t="n"/>
      <c r="BU3065" s="207" t="n"/>
      <c r="BV3065" s="208" t="n"/>
      <c r="BW3065" s="207" t="n"/>
      <c r="BX3065" s="207" t="n"/>
      <c r="BY3065" s="204" t="n"/>
      <c r="BZ3065" s="148" t="n"/>
      <c r="CA3065" s="204" t="n"/>
      <c r="CB3065" s="208" t="n"/>
      <c r="CC3065" s="139" t="n"/>
      <c r="CD3065" s="204" t="n"/>
      <c r="CE3065" s="204" t="n"/>
      <c r="CF3065" s="207" t="n"/>
      <c r="CG3065" s="208" t="n"/>
      <c r="CH3065" s="207" t="n"/>
      <c r="CI3065" s="208" t="n"/>
      <c r="CJ3065" s="204" t="n"/>
      <c r="CK3065" s="208" t="n"/>
      <c r="CL3065" s="208" t="n"/>
      <c r="CM3065" s="208" t="n"/>
      <c r="CN3065" s="78" t="n"/>
      <c r="CO3065" s="209" t="n"/>
      <c r="CP3065" s="204" t="n"/>
      <c r="CQ3065" s="204" t="n"/>
      <c r="CR3065" s="204" t="n"/>
      <c r="CS3065" s="204" t="n"/>
      <c r="CT3065" s="204" t="n"/>
      <c r="CU3065" s="204" t="n"/>
      <c r="CV3065" s="204" t="n"/>
      <c r="CW3065" s="204" t="n"/>
    </row>
    <row r="3066">
      <c r="BF3066" s="78" t="n"/>
      <c r="BG3066" s="78" t="n"/>
      <c r="BH3066" s="78" t="n"/>
      <c r="BI3066" s="78" t="n"/>
      <c r="BJ3066" s="139" t="n"/>
      <c r="BK3066" s="204" t="n"/>
      <c r="BL3066" s="141" t="n"/>
      <c r="BM3066" s="205" t="n"/>
      <c r="BN3066" s="205" t="n"/>
      <c r="BO3066" s="206" t="n"/>
      <c r="BP3066" s="144" t="n"/>
      <c r="BQ3066" s="141" t="n"/>
      <c r="BR3066" s="207" t="n"/>
      <c r="BS3066" s="207" t="n"/>
      <c r="BT3066" s="207" t="n"/>
      <c r="BU3066" s="207" t="n"/>
      <c r="BV3066" s="208" t="n"/>
      <c r="BW3066" s="207" t="n"/>
      <c r="BX3066" s="207" t="n"/>
      <c r="BY3066" s="204" t="n"/>
      <c r="BZ3066" s="148" t="n"/>
      <c r="CA3066" s="204" t="n"/>
      <c r="CB3066" s="208" t="n"/>
      <c r="CC3066" s="139" t="n"/>
      <c r="CD3066" s="204" t="n"/>
      <c r="CE3066" s="204" t="n"/>
      <c r="CF3066" s="207" t="n"/>
      <c r="CG3066" s="208" t="n"/>
      <c r="CH3066" s="207" t="n"/>
      <c r="CI3066" s="208" t="n"/>
      <c r="CJ3066" s="204" t="n"/>
      <c r="CK3066" s="208" t="n"/>
      <c r="CL3066" s="208" t="n"/>
      <c r="CM3066" s="208" t="n"/>
      <c r="CN3066" s="78" t="n"/>
      <c r="CO3066" s="209" t="n"/>
      <c r="CP3066" s="204" t="n"/>
      <c r="CQ3066" s="204" t="n"/>
      <c r="CR3066" s="204" t="n"/>
      <c r="CS3066" s="204" t="n"/>
      <c r="CT3066" s="204" t="n"/>
      <c r="CU3066" s="204" t="n"/>
      <c r="CV3066" s="204" t="n"/>
      <c r="CW3066" s="204" t="n"/>
    </row>
    <row r="3067">
      <c r="BF3067" s="78" t="n"/>
      <c r="BG3067" s="78" t="n"/>
      <c r="BH3067" s="78" t="n"/>
      <c r="BI3067" s="78" t="n"/>
      <c r="BJ3067" s="139" t="n"/>
      <c r="BK3067" s="204" t="n"/>
      <c r="BL3067" s="141" t="n"/>
      <c r="BM3067" s="205" t="n"/>
      <c r="BN3067" s="205" t="n"/>
      <c r="BO3067" s="206" t="n"/>
      <c r="BP3067" s="144" t="n"/>
      <c r="BQ3067" s="141" t="n"/>
      <c r="BR3067" s="207" t="n"/>
      <c r="BS3067" s="207" t="n"/>
      <c r="BT3067" s="207" t="n"/>
      <c r="BU3067" s="207" t="n"/>
      <c r="BV3067" s="208" t="n"/>
      <c r="BW3067" s="207" t="n"/>
      <c r="BX3067" s="207" t="n"/>
      <c r="BY3067" s="204" t="n"/>
      <c r="BZ3067" s="148" t="n"/>
      <c r="CA3067" s="204" t="n"/>
      <c r="CB3067" s="208" t="n"/>
      <c r="CC3067" s="139" t="n"/>
      <c r="CD3067" s="204" t="n"/>
      <c r="CE3067" s="204" t="n"/>
      <c r="CF3067" s="207" t="n"/>
      <c r="CG3067" s="208" t="n"/>
      <c r="CH3067" s="207" t="n"/>
      <c r="CI3067" s="208" t="n"/>
      <c r="CJ3067" s="204" t="n"/>
      <c r="CK3067" s="208" t="n"/>
      <c r="CL3067" s="208" t="n"/>
      <c r="CM3067" s="208" t="n"/>
      <c r="CN3067" s="78" t="n"/>
      <c r="CO3067" s="209" t="n"/>
      <c r="CP3067" s="204" t="n"/>
      <c r="CQ3067" s="204" t="n"/>
      <c r="CR3067" s="204" t="n"/>
      <c r="CS3067" s="204" t="n"/>
      <c r="CT3067" s="204" t="n"/>
      <c r="CU3067" s="204" t="n"/>
      <c r="CV3067" s="204" t="n"/>
      <c r="CW3067" s="204" t="n"/>
    </row>
    <row r="3068">
      <c r="BF3068" s="78" t="n"/>
      <c r="BG3068" s="78" t="n"/>
      <c r="BH3068" s="78" t="n"/>
      <c r="BI3068" s="78" t="n"/>
      <c r="BJ3068" s="139" t="n"/>
      <c r="BK3068" s="204" t="n"/>
      <c r="BL3068" s="141" t="n"/>
      <c r="BM3068" s="205" t="n"/>
      <c r="BN3068" s="205" t="n"/>
      <c r="BO3068" s="206" t="n"/>
      <c r="BP3068" s="144" t="n"/>
      <c r="BQ3068" s="141" t="n"/>
      <c r="BR3068" s="207" t="n"/>
      <c r="BS3068" s="207" t="n"/>
      <c r="BT3068" s="207" t="n"/>
      <c r="BU3068" s="207" t="n"/>
      <c r="BV3068" s="208" t="n"/>
      <c r="BW3068" s="207" t="n"/>
      <c r="BX3068" s="207" t="n"/>
      <c r="BY3068" s="204" t="n"/>
      <c r="BZ3068" s="148" t="n"/>
      <c r="CA3068" s="204" t="n"/>
      <c r="CB3068" s="208" t="n"/>
      <c r="CC3068" s="139" t="n"/>
      <c r="CD3068" s="204" t="n"/>
      <c r="CE3068" s="204" t="n"/>
      <c r="CF3068" s="207" t="n"/>
      <c r="CG3068" s="208" t="n"/>
      <c r="CH3068" s="207" t="n"/>
      <c r="CI3068" s="208" t="n"/>
      <c r="CJ3068" s="204" t="n"/>
      <c r="CK3068" s="208" t="n"/>
      <c r="CL3068" s="208" t="n"/>
      <c r="CM3068" s="208" t="n"/>
      <c r="CN3068" s="78" t="n"/>
      <c r="CO3068" s="209" t="n"/>
      <c r="CP3068" s="204" t="n"/>
      <c r="CQ3068" s="204" t="n"/>
      <c r="CR3068" s="204" t="n"/>
      <c r="CS3068" s="204" t="n"/>
      <c r="CT3068" s="204" t="n"/>
      <c r="CU3068" s="204" t="n"/>
      <c r="CV3068" s="204" t="n"/>
      <c r="CW3068" s="204" t="n"/>
    </row>
    <row r="3069">
      <c r="BF3069" s="78" t="n"/>
      <c r="BG3069" s="78" t="n"/>
      <c r="BH3069" s="78" t="n"/>
      <c r="BI3069" s="78" t="n"/>
      <c r="BJ3069" s="139" t="n"/>
      <c r="BK3069" s="204" t="n"/>
      <c r="BL3069" s="141" t="n"/>
      <c r="BM3069" s="205" t="n"/>
      <c r="BN3069" s="205" t="n"/>
      <c r="BO3069" s="206" t="n"/>
      <c r="BP3069" s="144" t="n"/>
      <c r="BQ3069" s="141" t="n"/>
      <c r="BR3069" s="207" t="n"/>
      <c r="BS3069" s="207" t="n"/>
      <c r="BT3069" s="207" t="n"/>
      <c r="BU3069" s="207" t="n"/>
      <c r="BV3069" s="208" t="n"/>
      <c r="BW3069" s="207" t="n"/>
      <c r="BX3069" s="207" t="n"/>
      <c r="BY3069" s="204" t="n"/>
      <c r="BZ3069" s="148" t="n"/>
      <c r="CA3069" s="204" t="n"/>
      <c r="CB3069" s="208" t="n"/>
      <c r="CC3069" s="139" t="n"/>
      <c r="CD3069" s="204" t="n"/>
      <c r="CE3069" s="204" t="n"/>
      <c r="CF3069" s="207" t="n"/>
      <c r="CG3069" s="208" t="n"/>
      <c r="CH3069" s="207" t="n"/>
      <c r="CI3069" s="208" t="n"/>
      <c r="CJ3069" s="204" t="n"/>
      <c r="CK3069" s="208" t="n"/>
      <c r="CL3069" s="208" t="n"/>
      <c r="CM3069" s="208" t="n"/>
      <c r="CN3069" s="78" t="n"/>
      <c r="CO3069" s="209" t="n"/>
      <c r="CP3069" s="204" t="n"/>
      <c r="CQ3069" s="204" t="n"/>
      <c r="CR3069" s="204" t="n"/>
      <c r="CS3069" s="204" t="n"/>
      <c r="CT3069" s="204" t="n"/>
      <c r="CU3069" s="204" t="n"/>
      <c r="CV3069" s="204" t="n"/>
      <c r="CW3069" s="204" t="n"/>
    </row>
    <row r="3070">
      <c r="BF3070" s="78" t="n"/>
      <c r="BG3070" s="78" t="n"/>
      <c r="BH3070" s="78" t="n"/>
      <c r="BI3070" s="78" t="n"/>
      <c r="BJ3070" s="139" t="n"/>
      <c r="BK3070" s="204" t="n"/>
      <c r="BL3070" s="141" t="n"/>
      <c r="BM3070" s="205" t="n"/>
      <c r="BN3070" s="205" t="n"/>
      <c r="BO3070" s="206" t="n"/>
      <c r="BP3070" s="144" t="n"/>
      <c r="BQ3070" s="141" t="n"/>
      <c r="BR3070" s="207" t="n"/>
      <c r="BS3070" s="207" t="n"/>
      <c r="BT3070" s="207" t="n"/>
      <c r="BU3070" s="207" t="n"/>
      <c r="BV3070" s="208" t="n"/>
      <c r="BW3070" s="207" t="n"/>
      <c r="BX3070" s="207" t="n"/>
      <c r="BY3070" s="204" t="n"/>
      <c r="BZ3070" s="148" t="n"/>
      <c r="CA3070" s="204" t="n"/>
      <c r="CB3070" s="208" t="n"/>
      <c r="CC3070" s="139" t="n"/>
      <c r="CD3070" s="204" t="n"/>
      <c r="CE3070" s="204" t="n"/>
      <c r="CF3070" s="207" t="n"/>
      <c r="CG3070" s="208" t="n"/>
      <c r="CH3070" s="207" t="n"/>
      <c r="CI3070" s="208" t="n"/>
      <c r="CJ3070" s="204" t="n"/>
      <c r="CK3070" s="208" t="n"/>
      <c r="CL3070" s="208" t="n"/>
      <c r="CM3070" s="208" t="n"/>
      <c r="CN3070" s="78" t="n"/>
      <c r="CO3070" s="209" t="n"/>
      <c r="CP3070" s="204" t="n"/>
      <c r="CQ3070" s="204" t="n"/>
      <c r="CR3070" s="204" t="n"/>
      <c r="CS3070" s="204" t="n"/>
      <c r="CT3070" s="204" t="n"/>
      <c r="CU3070" s="204" t="n"/>
      <c r="CV3070" s="204" t="n"/>
      <c r="CW3070" s="204" t="n"/>
    </row>
    <row r="3071">
      <c r="BF3071" s="78" t="n"/>
      <c r="BG3071" s="78" t="n"/>
      <c r="BH3071" s="78" t="n"/>
      <c r="BI3071" s="78" t="n"/>
      <c r="BJ3071" s="139" t="n"/>
      <c r="BK3071" s="204" t="n"/>
      <c r="BL3071" s="141" t="n"/>
      <c r="BM3071" s="205" t="n"/>
      <c r="BN3071" s="205" t="n"/>
      <c r="BO3071" s="206" t="n"/>
      <c r="BP3071" s="144" t="n"/>
      <c r="BQ3071" s="141" t="n"/>
      <c r="BR3071" s="207" t="n"/>
      <c r="BS3071" s="207" t="n"/>
      <c r="BT3071" s="207" t="n"/>
      <c r="BU3071" s="207" t="n"/>
      <c r="BV3071" s="208" t="n"/>
      <c r="BW3071" s="207" t="n"/>
      <c r="BX3071" s="207" t="n"/>
      <c r="BY3071" s="204" t="n"/>
      <c r="BZ3071" s="148" t="n"/>
      <c r="CA3071" s="204" t="n"/>
      <c r="CB3071" s="208" t="n"/>
      <c r="CC3071" s="139" t="n"/>
      <c r="CD3071" s="204" t="n"/>
      <c r="CE3071" s="204" t="n"/>
      <c r="CF3071" s="207" t="n"/>
      <c r="CG3071" s="208" t="n"/>
      <c r="CH3071" s="207" t="n"/>
      <c r="CI3071" s="208" t="n"/>
      <c r="CJ3071" s="204" t="n"/>
      <c r="CK3071" s="208" t="n"/>
      <c r="CL3071" s="208" t="n"/>
      <c r="CM3071" s="208" t="n"/>
      <c r="CN3071" s="78" t="n"/>
      <c r="CO3071" s="209" t="n"/>
      <c r="CP3071" s="204" t="n"/>
      <c r="CQ3071" s="204" t="n"/>
      <c r="CR3071" s="204" t="n"/>
      <c r="CS3071" s="204" t="n"/>
      <c r="CT3071" s="204" t="n"/>
      <c r="CU3071" s="204" t="n"/>
      <c r="CV3071" s="204" t="n"/>
      <c r="CW3071" s="204" t="n"/>
    </row>
    <row r="3072">
      <c r="BF3072" s="78" t="n"/>
      <c r="BG3072" s="78" t="n"/>
      <c r="BH3072" s="78" t="n"/>
      <c r="BI3072" s="78" t="n"/>
      <c r="BJ3072" s="139" t="n"/>
      <c r="BK3072" s="204" t="n"/>
      <c r="BL3072" s="141" t="n"/>
      <c r="BM3072" s="205" t="n"/>
      <c r="BN3072" s="205" t="n"/>
      <c r="BO3072" s="206" t="n"/>
      <c r="BP3072" s="144" t="n"/>
      <c r="BQ3072" s="141" t="n"/>
      <c r="BR3072" s="207" t="n"/>
      <c r="BS3072" s="207" t="n"/>
      <c r="BT3072" s="207" t="n"/>
      <c r="BU3072" s="207" t="n"/>
      <c r="BV3072" s="208" t="n"/>
      <c r="BW3072" s="207" t="n"/>
      <c r="BX3072" s="207" t="n"/>
      <c r="BY3072" s="204" t="n"/>
      <c r="BZ3072" s="148" t="n"/>
      <c r="CA3072" s="204" t="n"/>
      <c r="CB3072" s="208" t="n"/>
      <c r="CC3072" s="139" t="n"/>
      <c r="CD3072" s="204" t="n"/>
      <c r="CE3072" s="204" t="n"/>
      <c r="CF3072" s="207" t="n"/>
      <c r="CG3072" s="208" t="n"/>
      <c r="CH3072" s="207" t="n"/>
      <c r="CI3072" s="208" t="n"/>
      <c r="CJ3072" s="204" t="n"/>
      <c r="CK3072" s="208" t="n"/>
      <c r="CL3072" s="208" t="n"/>
      <c r="CM3072" s="208" t="n"/>
      <c r="CN3072" s="78" t="n"/>
      <c r="CO3072" s="209" t="n"/>
      <c r="CP3072" s="204" t="n"/>
      <c r="CQ3072" s="204" t="n"/>
      <c r="CR3072" s="204" t="n"/>
      <c r="CS3072" s="204" t="n"/>
      <c r="CT3072" s="204" t="n"/>
      <c r="CU3072" s="204" t="n"/>
      <c r="CV3072" s="204" t="n"/>
      <c r="CW3072" s="204" t="n"/>
    </row>
    <row r="3073">
      <c r="BF3073" s="78" t="n"/>
      <c r="BG3073" s="78" t="n"/>
      <c r="BH3073" s="78" t="n"/>
      <c r="BI3073" s="78" t="n"/>
      <c r="BJ3073" s="139" t="n"/>
      <c r="BK3073" s="204" t="n"/>
      <c r="BL3073" s="141" t="n"/>
      <c r="BM3073" s="205" t="n"/>
      <c r="BN3073" s="205" t="n"/>
      <c r="BO3073" s="206" t="n"/>
      <c r="BP3073" s="144" t="n"/>
      <c r="BQ3073" s="141" t="n"/>
      <c r="BR3073" s="207" t="n"/>
      <c r="BS3073" s="207" t="n"/>
      <c r="BT3073" s="207" t="n"/>
      <c r="BU3073" s="207" t="n"/>
      <c r="BV3073" s="208" t="n"/>
      <c r="BW3073" s="207" t="n"/>
      <c r="BX3073" s="207" t="n"/>
      <c r="BY3073" s="204" t="n"/>
      <c r="BZ3073" s="148" t="n"/>
      <c r="CA3073" s="204" t="n"/>
      <c r="CB3073" s="208" t="n"/>
      <c r="CC3073" s="139" t="n"/>
      <c r="CD3073" s="204" t="n"/>
      <c r="CE3073" s="204" t="n"/>
      <c r="CF3073" s="207" t="n"/>
      <c r="CG3073" s="208" t="n"/>
      <c r="CH3073" s="207" t="n"/>
      <c r="CI3073" s="208" t="n"/>
      <c r="CJ3073" s="204" t="n"/>
      <c r="CK3073" s="208" t="n"/>
      <c r="CL3073" s="208" t="n"/>
      <c r="CM3073" s="208" t="n"/>
      <c r="CN3073" s="78" t="n"/>
      <c r="CO3073" s="209" t="n"/>
      <c r="CP3073" s="204" t="n"/>
      <c r="CQ3073" s="204" t="n"/>
      <c r="CR3073" s="204" t="n"/>
      <c r="CS3073" s="204" t="n"/>
      <c r="CT3073" s="204" t="n"/>
      <c r="CU3073" s="204" t="n"/>
      <c r="CV3073" s="204" t="n"/>
      <c r="CW3073" s="204" t="n"/>
    </row>
    <row r="3074">
      <c r="BF3074" s="78" t="n"/>
      <c r="BG3074" s="78" t="n"/>
      <c r="BH3074" s="78" t="n"/>
      <c r="BI3074" s="78" t="n"/>
      <c r="BJ3074" s="139" t="n"/>
      <c r="BK3074" s="204" t="n"/>
      <c r="BL3074" s="141" t="n"/>
      <c r="BM3074" s="205" t="n"/>
      <c r="BN3074" s="205" t="n"/>
      <c r="BO3074" s="206" t="n"/>
      <c r="BP3074" s="144" t="n"/>
      <c r="BQ3074" s="141" t="n"/>
      <c r="BR3074" s="207" t="n"/>
      <c r="BS3074" s="207" t="n"/>
      <c r="BT3074" s="207" t="n"/>
      <c r="BU3074" s="207" t="n"/>
      <c r="BV3074" s="208" t="n"/>
      <c r="BW3074" s="207" t="n"/>
      <c r="BX3074" s="207" t="n"/>
      <c r="BY3074" s="204" t="n"/>
      <c r="BZ3074" s="148" t="n"/>
      <c r="CA3074" s="204" t="n"/>
      <c r="CB3074" s="208" t="n"/>
      <c r="CC3074" s="139" t="n"/>
      <c r="CD3074" s="204" t="n"/>
      <c r="CE3074" s="204" t="n"/>
      <c r="CF3074" s="207" t="n"/>
      <c r="CG3074" s="208" t="n"/>
      <c r="CH3074" s="207" t="n"/>
      <c r="CI3074" s="208" t="n"/>
      <c r="CJ3074" s="204" t="n"/>
      <c r="CK3074" s="208" t="n"/>
      <c r="CL3074" s="208" t="n"/>
      <c r="CM3074" s="208" t="n"/>
      <c r="CN3074" s="78" t="n"/>
      <c r="CO3074" s="209" t="n"/>
      <c r="CP3074" s="204" t="n"/>
      <c r="CQ3074" s="204" t="n"/>
      <c r="CR3074" s="204" t="n"/>
      <c r="CS3074" s="204" t="n"/>
      <c r="CT3074" s="204" t="n"/>
      <c r="CU3074" s="204" t="n"/>
      <c r="CV3074" s="204" t="n"/>
      <c r="CW3074" s="204" t="n"/>
    </row>
    <row r="3075">
      <c r="BF3075" s="78" t="n"/>
      <c r="BG3075" s="78" t="n"/>
      <c r="BH3075" s="78" t="n"/>
      <c r="BI3075" s="78" t="n"/>
      <c r="BJ3075" s="139" t="n"/>
      <c r="BK3075" s="204" t="n"/>
      <c r="BL3075" s="141" t="n"/>
      <c r="BM3075" s="205" t="n"/>
      <c r="BN3075" s="205" t="n"/>
      <c r="BO3075" s="206" t="n"/>
      <c r="BP3075" s="144" t="n"/>
      <c r="BQ3075" s="141" t="n"/>
      <c r="BR3075" s="207" t="n"/>
      <c r="BS3075" s="207" t="n"/>
      <c r="BT3075" s="207" t="n"/>
      <c r="BU3075" s="207" t="n"/>
      <c r="BV3075" s="208" t="n"/>
      <c r="BW3075" s="207" t="n"/>
      <c r="BX3075" s="207" t="n"/>
      <c r="BY3075" s="204" t="n"/>
      <c r="BZ3075" s="148" t="n"/>
      <c r="CA3075" s="204" t="n"/>
      <c r="CB3075" s="208" t="n"/>
      <c r="CC3075" s="139" t="n"/>
      <c r="CD3075" s="204" t="n"/>
      <c r="CE3075" s="204" t="n"/>
      <c r="CF3075" s="207" t="n"/>
      <c r="CG3075" s="208" t="n"/>
      <c r="CH3075" s="207" t="n"/>
      <c r="CI3075" s="208" t="n"/>
      <c r="CJ3075" s="204" t="n"/>
      <c r="CK3075" s="208" t="n"/>
      <c r="CL3075" s="208" t="n"/>
      <c r="CM3075" s="208" t="n"/>
      <c r="CN3075" s="78" t="n"/>
      <c r="CO3075" s="209" t="n"/>
      <c r="CP3075" s="204" t="n"/>
      <c r="CQ3075" s="204" t="n"/>
      <c r="CR3075" s="204" t="n"/>
      <c r="CS3075" s="204" t="n"/>
      <c r="CT3075" s="204" t="n"/>
      <c r="CU3075" s="204" t="n"/>
      <c r="CV3075" s="204" t="n"/>
      <c r="CW3075" s="204" t="n"/>
    </row>
    <row r="3076">
      <c r="BF3076" s="78" t="n"/>
      <c r="BG3076" s="78" t="n"/>
      <c r="BH3076" s="78" t="n"/>
      <c r="BI3076" s="78" t="n"/>
      <c r="BJ3076" s="139" t="n"/>
      <c r="BK3076" s="204" t="n"/>
      <c r="BL3076" s="141" t="n"/>
      <c r="BM3076" s="205" t="n"/>
      <c r="BN3076" s="205" t="n"/>
      <c r="BO3076" s="206" t="n"/>
      <c r="BP3076" s="144" t="n"/>
      <c r="BQ3076" s="141" t="n"/>
      <c r="BR3076" s="207" t="n"/>
      <c r="BS3076" s="207" t="n"/>
      <c r="BT3076" s="207" t="n"/>
      <c r="BU3076" s="207" t="n"/>
      <c r="BV3076" s="208" t="n"/>
      <c r="BW3076" s="207" t="n"/>
      <c r="BX3076" s="207" t="n"/>
      <c r="BY3076" s="204" t="n"/>
      <c r="BZ3076" s="148" t="n"/>
      <c r="CA3076" s="204" t="n"/>
      <c r="CB3076" s="208" t="n"/>
      <c r="CC3076" s="139" t="n"/>
      <c r="CD3076" s="204" t="n"/>
      <c r="CE3076" s="204" t="n"/>
      <c r="CF3076" s="207" t="n"/>
      <c r="CG3076" s="208" t="n"/>
      <c r="CH3076" s="207" t="n"/>
      <c r="CI3076" s="208" t="n"/>
      <c r="CJ3076" s="204" t="n"/>
      <c r="CK3076" s="208" t="n"/>
      <c r="CL3076" s="208" t="n"/>
      <c r="CM3076" s="208" t="n"/>
      <c r="CN3076" s="78" t="n"/>
      <c r="CO3076" s="209" t="n"/>
      <c r="CP3076" s="204" t="n"/>
      <c r="CQ3076" s="204" t="n"/>
      <c r="CR3076" s="204" t="n"/>
      <c r="CS3076" s="204" t="n"/>
      <c r="CT3076" s="204" t="n"/>
      <c r="CU3076" s="204" t="n"/>
      <c r="CV3076" s="204" t="n"/>
      <c r="CW3076" s="204" t="n"/>
    </row>
    <row r="3077">
      <c r="BF3077" s="78" t="n"/>
      <c r="BG3077" s="78" t="n"/>
      <c r="BH3077" s="78" t="n"/>
      <c r="BI3077" s="78" t="n"/>
      <c r="BJ3077" s="139" t="n"/>
      <c r="BK3077" s="204" t="n"/>
      <c r="BL3077" s="141" t="n"/>
      <c r="BM3077" s="205" t="n"/>
      <c r="BN3077" s="205" t="n"/>
      <c r="BO3077" s="206" t="n"/>
      <c r="BP3077" s="144" t="n"/>
      <c r="BQ3077" s="141" t="n"/>
      <c r="BR3077" s="207" t="n"/>
      <c r="BS3077" s="207" t="n"/>
      <c r="BT3077" s="207" t="n"/>
      <c r="BU3077" s="207" t="n"/>
      <c r="BV3077" s="208" t="n"/>
      <c r="BW3077" s="207" t="n"/>
      <c r="BX3077" s="207" t="n"/>
      <c r="BY3077" s="204" t="n"/>
      <c r="BZ3077" s="148" t="n"/>
      <c r="CA3077" s="204" t="n"/>
      <c r="CB3077" s="208" t="n"/>
      <c r="CC3077" s="139" t="n"/>
      <c r="CD3077" s="204" t="n"/>
      <c r="CE3077" s="204" t="n"/>
      <c r="CF3077" s="207" t="n"/>
      <c r="CG3077" s="208" t="n"/>
      <c r="CH3077" s="207" t="n"/>
      <c r="CI3077" s="208" t="n"/>
      <c r="CJ3077" s="204" t="n"/>
      <c r="CK3077" s="208" t="n"/>
      <c r="CL3077" s="208" t="n"/>
      <c r="CM3077" s="208" t="n"/>
      <c r="CN3077" s="78" t="n"/>
      <c r="CO3077" s="209" t="n"/>
      <c r="CP3077" s="204" t="n"/>
      <c r="CQ3077" s="204" t="n"/>
      <c r="CR3077" s="204" t="n"/>
      <c r="CS3077" s="204" t="n"/>
      <c r="CT3077" s="204" t="n"/>
      <c r="CU3077" s="204" t="n"/>
      <c r="CV3077" s="204" t="n"/>
      <c r="CW3077" s="204" t="n"/>
    </row>
    <row r="3078">
      <c r="BF3078" s="78" t="n"/>
      <c r="BG3078" s="78" t="n"/>
      <c r="BH3078" s="78" t="n"/>
      <c r="BI3078" s="78" t="n"/>
      <c r="BJ3078" s="139" t="n"/>
      <c r="BK3078" s="204" t="n"/>
      <c r="BL3078" s="141" t="n"/>
      <c r="BM3078" s="205" t="n"/>
      <c r="BN3078" s="205" t="n"/>
      <c r="BO3078" s="206" t="n"/>
      <c r="BP3078" s="144" t="n"/>
      <c r="BQ3078" s="141" t="n"/>
      <c r="BR3078" s="207" t="n"/>
      <c r="BS3078" s="207" t="n"/>
      <c r="BT3078" s="207" t="n"/>
      <c r="BU3078" s="207" t="n"/>
      <c r="BV3078" s="208" t="n"/>
      <c r="BW3078" s="207" t="n"/>
      <c r="BX3078" s="207" t="n"/>
      <c r="BY3078" s="204" t="n"/>
      <c r="BZ3078" s="148" t="n"/>
      <c r="CA3078" s="204" t="n"/>
      <c r="CB3078" s="208" t="n"/>
      <c r="CC3078" s="139" t="n"/>
      <c r="CD3078" s="204" t="n"/>
      <c r="CE3078" s="204" t="n"/>
      <c r="CF3078" s="207" t="n"/>
      <c r="CG3078" s="208" t="n"/>
      <c r="CH3078" s="207" t="n"/>
      <c r="CI3078" s="208" t="n"/>
      <c r="CJ3078" s="204" t="n"/>
      <c r="CK3078" s="208" t="n"/>
      <c r="CL3078" s="208" t="n"/>
      <c r="CM3078" s="208" t="n"/>
      <c r="CN3078" s="78" t="n"/>
      <c r="CO3078" s="209" t="n"/>
      <c r="CP3078" s="204" t="n"/>
      <c r="CQ3078" s="204" t="n"/>
      <c r="CR3078" s="204" t="n"/>
      <c r="CS3078" s="204" t="n"/>
      <c r="CT3078" s="204" t="n"/>
      <c r="CU3078" s="204" t="n"/>
      <c r="CV3078" s="204" t="n"/>
      <c r="CW3078" s="204" t="n"/>
    </row>
    <row r="3079">
      <c r="BF3079" s="78" t="n"/>
      <c r="BG3079" s="78" t="n"/>
      <c r="BH3079" s="78" t="n"/>
      <c r="BI3079" s="78" t="n"/>
      <c r="BJ3079" s="139" t="n"/>
      <c r="BK3079" s="204" t="n"/>
      <c r="BL3079" s="141" t="n"/>
      <c r="BM3079" s="205" t="n"/>
      <c r="BN3079" s="205" t="n"/>
      <c r="BO3079" s="206" t="n"/>
      <c r="BP3079" s="144" t="n"/>
      <c r="BQ3079" s="141" t="n"/>
      <c r="BR3079" s="207" t="n"/>
      <c r="BS3079" s="207" t="n"/>
      <c r="BT3079" s="207" t="n"/>
      <c r="BU3079" s="207" t="n"/>
      <c r="BV3079" s="208" t="n"/>
      <c r="BW3079" s="207" t="n"/>
      <c r="BX3079" s="207" t="n"/>
      <c r="BY3079" s="204" t="n"/>
      <c r="BZ3079" s="148" t="n"/>
      <c r="CA3079" s="204" t="n"/>
      <c r="CB3079" s="208" t="n"/>
      <c r="CC3079" s="139" t="n"/>
      <c r="CD3079" s="204" t="n"/>
      <c r="CE3079" s="204" t="n"/>
      <c r="CF3079" s="207" t="n"/>
      <c r="CG3079" s="208" t="n"/>
      <c r="CH3079" s="207" t="n"/>
      <c r="CI3079" s="208" t="n"/>
      <c r="CJ3079" s="204" t="n"/>
      <c r="CK3079" s="208" t="n"/>
      <c r="CL3079" s="208" t="n"/>
      <c r="CM3079" s="208" t="n"/>
      <c r="CN3079" s="78" t="n"/>
      <c r="CO3079" s="209" t="n"/>
      <c r="CP3079" s="204" t="n"/>
      <c r="CQ3079" s="204" t="n"/>
      <c r="CR3079" s="204" t="n"/>
      <c r="CS3079" s="204" t="n"/>
      <c r="CT3079" s="204" t="n"/>
      <c r="CU3079" s="204" t="n"/>
      <c r="CV3079" s="204" t="n"/>
      <c r="CW3079" s="204" t="n"/>
    </row>
    <row r="3080">
      <c r="BF3080" s="78" t="n"/>
      <c r="BG3080" s="78" t="n"/>
      <c r="BH3080" s="78" t="n"/>
      <c r="BI3080" s="78" t="n"/>
      <c r="BJ3080" s="139" t="n"/>
      <c r="BK3080" s="204" t="n"/>
      <c r="BL3080" s="141" t="n"/>
      <c r="BM3080" s="205" t="n"/>
      <c r="BN3080" s="205" t="n"/>
      <c r="BO3080" s="206" t="n"/>
      <c r="BP3080" s="144" t="n"/>
      <c r="BQ3080" s="141" t="n"/>
      <c r="BR3080" s="207" t="n"/>
      <c r="BS3080" s="207" t="n"/>
      <c r="BT3080" s="207" t="n"/>
      <c r="BU3080" s="207" t="n"/>
      <c r="BV3080" s="208" t="n"/>
      <c r="BW3080" s="207" t="n"/>
      <c r="BX3080" s="207" t="n"/>
      <c r="BY3080" s="204" t="n"/>
      <c r="BZ3080" s="148" t="n"/>
      <c r="CA3080" s="204" t="n"/>
      <c r="CB3080" s="208" t="n"/>
      <c r="CC3080" s="139" t="n"/>
      <c r="CD3080" s="204" t="n"/>
      <c r="CE3080" s="204" t="n"/>
      <c r="CF3080" s="207" t="n"/>
      <c r="CG3080" s="208" t="n"/>
      <c r="CH3080" s="207" t="n"/>
      <c r="CI3080" s="208" t="n"/>
      <c r="CJ3080" s="204" t="n"/>
      <c r="CK3080" s="208" t="n"/>
      <c r="CL3080" s="208" t="n"/>
      <c r="CM3080" s="208" t="n"/>
      <c r="CN3080" s="78" t="n"/>
      <c r="CO3080" s="209" t="n"/>
      <c r="CP3080" s="204" t="n"/>
      <c r="CQ3080" s="204" t="n"/>
      <c r="CR3080" s="204" t="n"/>
      <c r="CS3080" s="204" t="n"/>
      <c r="CT3080" s="204" t="n"/>
      <c r="CU3080" s="204" t="n"/>
      <c r="CV3080" s="204" t="n"/>
      <c r="CW3080" s="204" t="n"/>
    </row>
    <row r="3081">
      <c r="BF3081" s="78" t="n"/>
      <c r="BG3081" s="78" t="n"/>
      <c r="BH3081" s="78" t="n"/>
      <c r="BI3081" s="78" t="n"/>
      <c r="BJ3081" s="139" t="n"/>
      <c r="BK3081" s="204" t="n"/>
      <c r="BL3081" s="141" t="n"/>
      <c r="BM3081" s="205" t="n"/>
      <c r="BN3081" s="205" t="n"/>
      <c r="BO3081" s="206" t="n"/>
      <c r="BP3081" s="144" t="n"/>
      <c r="BQ3081" s="141" t="n"/>
      <c r="BR3081" s="207" t="n"/>
      <c r="BS3081" s="207" t="n"/>
      <c r="BT3081" s="207" t="n"/>
      <c r="BU3081" s="207" t="n"/>
      <c r="BV3081" s="208" t="n"/>
      <c r="BW3081" s="207" t="n"/>
      <c r="BX3081" s="207" t="n"/>
      <c r="BY3081" s="204" t="n"/>
      <c r="BZ3081" s="148" t="n"/>
      <c r="CA3081" s="204" t="n"/>
      <c r="CB3081" s="208" t="n"/>
      <c r="CC3081" s="139" t="n"/>
      <c r="CD3081" s="204" t="n"/>
      <c r="CE3081" s="204" t="n"/>
      <c r="CF3081" s="207" t="n"/>
      <c r="CG3081" s="208" t="n"/>
      <c r="CH3081" s="207" t="n"/>
      <c r="CI3081" s="208" t="n"/>
      <c r="CJ3081" s="204" t="n"/>
      <c r="CK3081" s="208" t="n"/>
      <c r="CL3081" s="208" t="n"/>
      <c r="CM3081" s="208" t="n"/>
      <c r="CN3081" s="78" t="n"/>
      <c r="CO3081" s="209" t="n"/>
      <c r="CP3081" s="204" t="n"/>
      <c r="CQ3081" s="204" t="n"/>
      <c r="CR3081" s="204" t="n"/>
      <c r="CS3081" s="204" t="n"/>
      <c r="CT3081" s="204" t="n"/>
      <c r="CU3081" s="204" t="n"/>
      <c r="CV3081" s="204" t="n"/>
      <c r="CW3081" s="204" t="n"/>
    </row>
    <row r="3082">
      <c r="BF3082" s="78" t="n"/>
      <c r="BG3082" s="78" t="n"/>
      <c r="BH3082" s="78" t="n"/>
      <c r="BI3082" s="78" t="n"/>
      <c r="BJ3082" s="139" t="n"/>
      <c r="BK3082" s="204" t="n"/>
      <c r="BL3082" s="141" t="n"/>
      <c r="BM3082" s="205" t="n"/>
      <c r="BN3082" s="205" t="n"/>
      <c r="BO3082" s="206" t="n"/>
      <c r="BP3082" s="144" t="n"/>
      <c r="BQ3082" s="141" t="n"/>
      <c r="BR3082" s="207" t="n"/>
      <c r="BS3082" s="207" t="n"/>
      <c r="BT3082" s="207" t="n"/>
      <c r="BU3082" s="207" t="n"/>
      <c r="BV3082" s="208" t="n"/>
      <c r="BW3082" s="207" t="n"/>
      <c r="BX3082" s="207" t="n"/>
      <c r="BY3082" s="204" t="n"/>
      <c r="BZ3082" s="148" t="n"/>
      <c r="CA3082" s="204" t="n"/>
      <c r="CB3082" s="208" t="n"/>
      <c r="CC3082" s="139" t="n"/>
      <c r="CD3082" s="204" t="n"/>
      <c r="CE3082" s="204" t="n"/>
      <c r="CF3082" s="207" t="n"/>
      <c r="CG3082" s="208" t="n"/>
      <c r="CH3082" s="207" t="n"/>
      <c r="CI3082" s="208" t="n"/>
      <c r="CJ3082" s="204" t="n"/>
      <c r="CK3082" s="208" t="n"/>
      <c r="CL3082" s="208" t="n"/>
      <c r="CM3082" s="208" t="n"/>
      <c r="CN3082" s="78" t="n"/>
      <c r="CO3082" s="209" t="n"/>
      <c r="CP3082" s="204" t="n"/>
      <c r="CQ3082" s="204" t="n"/>
      <c r="CR3082" s="204" t="n"/>
      <c r="CS3082" s="204" t="n"/>
      <c r="CT3082" s="204" t="n"/>
      <c r="CU3082" s="204" t="n"/>
      <c r="CV3082" s="204" t="n"/>
      <c r="CW3082" s="204" t="n"/>
    </row>
    <row r="3083">
      <c r="BF3083" s="78" t="n"/>
      <c r="BG3083" s="78" t="n"/>
      <c r="BH3083" s="78" t="n"/>
      <c r="BI3083" s="78" t="n"/>
      <c r="BJ3083" s="139" t="n"/>
      <c r="BK3083" s="204" t="n"/>
      <c r="BL3083" s="141" t="n"/>
      <c r="BM3083" s="205" t="n"/>
      <c r="BN3083" s="205" t="n"/>
      <c r="BO3083" s="206" t="n"/>
      <c r="BP3083" s="144" t="n"/>
      <c r="BQ3083" s="141" t="n"/>
      <c r="BR3083" s="207" t="n"/>
      <c r="BS3083" s="207" t="n"/>
      <c r="BT3083" s="207" t="n"/>
      <c r="BU3083" s="207" t="n"/>
      <c r="BV3083" s="208" t="n"/>
      <c r="BW3083" s="207" t="n"/>
      <c r="BX3083" s="207" t="n"/>
      <c r="BY3083" s="204" t="n"/>
      <c r="BZ3083" s="148" t="n"/>
      <c r="CA3083" s="204" t="n"/>
      <c r="CB3083" s="208" t="n"/>
      <c r="CC3083" s="139" t="n"/>
      <c r="CD3083" s="204" t="n"/>
      <c r="CE3083" s="204" t="n"/>
      <c r="CF3083" s="207" t="n"/>
      <c r="CG3083" s="208" t="n"/>
      <c r="CH3083" s="207" t="n"/>
      <c r="CI3083" s="208" t="n"/>
      <c r="CJ3083" s="204" t="n"/>
      <c r="CK3083" s="208" t="n"/>
      <c r="CL3083" s="208" t="n"/>
      <c r="CM3083" s="208" t="n"/>
      <c r="CN3083" s="78" t="n"/>
      <c r="CO3083" s="209" t="n"/>
      <c r="CP3083" s="204" t="n"/>
      <c r="CQ3083" s="204" t="n"/>
      <c r="CR3083" s="204" t="n"/>
      <c r="CS3083" s="204" t="n"/>
      <c r="CT3083" s="204" t="n"/>
      <c r="CU3083" s="204" t="n"/>
      <c r="CV3083" s="204" t="n"/>
      <c r="CW3083" s="204" t="n"/>
    </row>
    <row r="3084">
      <c r="BF3084" s="78" t="n"/>
      <c r="BG3084" s="78" t="n"/>
      <c r="BH3084" s="78" t="n"/>
      <c r="BI3084" s="78" t="n"/>
      <c r="BJ3084" s="139" t="n"/>
      <c r="BK3084" s="204" t="n"/>
      <c r="BL3084" s="141" t="n"/>
      <c r="BM3084" s="205" t="n"/>
      <c r="BN3084" s="205" t="n"/>
      <c r="BO3084" s="206" t="n"/>
      <c r="BP3084" s="144" t="n"/>
      <c r="BQ3084" s="141" t="n"/>
      <c r="BR3084" s="207" t="n"/>
      <c r="BS3084" s="207" t="n"/>
      <c r="BT3084" s="207" t="n"/>
      <c r="BU3084" s="207" t="n"/>
      <c r="BV3084" s="208" t="n"/>
      <c r="BW3084" s="207" t="n"/>
      <c r="BX3084" s="207" t="n"/>
      <c r="BY3084" s="204" t="n"/>
      <c r="BZ3084" s="148" t="n"/>
      <c r="CA3084" s="204" t="n"/>
      <c r="CB3084" s="208" t="n"/>
      <c r="CC3084" s="139" t="n"/>
      <c r="CD3084" s="204" t="n"/>
      <c r="CE3084" s="204" t="n"/>
      <c r="CF3084" s="207" t="n"/>
      <c r="CG3084" s="208" t="n"/>
      <c r="CH3084" s="207" t="n"/>
      <c r="CI3084" s="208" t="n"/>
      <c r="CJ3084" s="204" t="n"/>
      <c r="CK3084" s="208" t="n"/>
      <c r="CL3084" s="208" t="n"/>
      <c r="CM3084" s="208" t="n"/>
      <c r="CN3084" s="78" t="n"/>
      <c r="CO3084" s="209" t="n"/>
      <c r="CP3084" s="204" t="n"/>
      <c r="CQ3084" s="204" t="n"/>
      <c r="CR3084" s="204" t="n"/>
      <c r="CS3084" s="204" t="n"/>
      <c r="CT3084" s="204" t="n"/>
      <c r="CU3084" s="204" t="n"/>
      <c r="CV3084" s="204" t="n"/>
      <c r="CW3084" s="204" t="n"/>
    </row>
    <row r="3085">
      <c r="BF3085" s="78" t="n"/>
      <c r="BG3085" s="78" t="n"/>
      <c r="BH3085" s="78" t="n"/>
      <c r="BI3085" s="78" t="n"/>
      <c r="BJ3085" s="139" t="n"/>
      <c r="BK3085" s="204" t="n"/>
      <c r="BL3085" s="141" t="n"/>
      <c r="BM3085" s="205" t="n"/>
      <c r="BN3085" s="205" t="n"/>
      <c r="BO3085" s="206" t="n"/>
      <c r="BP3085" s="144" t="n"/>
      <c r="BQ3085" s="141" t="n"/>
      <c r="BR3085" s="207" t="n"/>
      <c r="BS3085" s="207" t="n"/>
      <c r="BT3085" s="207" t="n"/>
      <c r="BU3085" s="207" t="n"/>
      <c r="BV3085" s="208" t="n"/>
      <c r="BW3085" s="207" t="n"/>
      <c r="BX3085" s="207" t="n"/>
      <c r="BY3085" s="204" t="n"/>
      <c r="BZ3085" s="148" t="n"/>
      <c r="CA3085" s="204" t="n"/>
      <c r="CB3085" s="208" t="n"/>
      <c r="CC3085" s="139" t="n"/>
      <c r="CD3085" s="204" t="n"/>
      <c r="CE3085" s="204" t="n"/>
      <c r="CF3085" s="207" t="n"/>
      <c r="CG3085" s="208" t="n"/>
      <c r="CH3085" s="207" t="n"/>
      <c r="CI3085" s="208" t="n"/>
      <c r="CJ3085" s="204" t="n"/>
      <c r="CK3085" s="208" t="n"/>
      <c r="CL3085" s="208" t="n"/>
      <c r="CM3085" s="208" t="n"/>
      <c r="CN3085" s="78" t="n"/>
      <c r="CO3085" s="209" t="n"/>
      <c r="CP3085" s="204" t="n"/>
      <c r="CQ3085" s="204" t="n"/>
      <c r="CR3085" s="204" t="n"/>
      <c r="CS3085" s="204" t="n"/>
      <c r="CT3085" s="204" t="n"/>
      <c r="CU3085" s="204" t="n"/>
      <c r="CV3085" s="204" t="n"/>
      <c r="CW3085" s="204" t="n"/>
    </row>
    <row r="3086">
      <c r="BF3086" s="78" t="n"/>
      <c r="BG3086" s="78" t="n"/>
      <c r="BH3086" s="78" t="n"/>
      <c r="BI3086" s="78" t="n"/>
      <c r="BJ3086" s="139" t="n"/>
      <c r="BK3086" s="204" t="n"/>
      <c r="BL3086" s="141" t="n"/>
      <c r="BM3086" s="205" t="n"/>
      <c r="BN3086" s="205" t="n"/>
      <c r="BO3086" s="206" t="n"/>
      <c r="BP3086" s="144" t="n"/>
      <c r="BQ3086" s="141" t="n"/>
      <c r="BR3086" s="207" t="n"/>
      <c r="BS3086" s="207" t="n"/>
      <c r="BT3086" s="207" t="n"/>
      <c r="BU3086" s="207" t="n"/>
      <c r="BV3086" s="208" t="n"/>
      <c r="BW3086" s="207" t="n"/>
      <c r="BX3086" s="207" t="n"/>
      <c r="BY3086" s="204" t="n"/>
      <c r="BZ3086" s="148" t="n"/>
      <c r="CA3086" s="204" t="n"/>
      <c r="CB3086" s="208" t="n"/>
      <c r="CC3086" s="139" t="n"/>
      <c r="CD3086" s="204" t="n"/>
      <c r="CE3086" s="204" t="n"/>
      <c r="CF3086" s="207" t="n"/>
      <c r="CG3086" s="208" t="n"/>
      <c r="CH3086" s="207" t="n"/>
      <c r="CI3086" s="208" t="n"/>
      <c r="CJ3086" s="204" t="n"/>
      <c r="CK3086" s="208" t="n"/>
      <c r="CL3086" s="208" t="n"/>
      <c r="CM3086" s="208" t="n"/>
      <c r="CN3086" s="78" t="n"/>
      <c r="CO3086" s="209" t="n"/>
      <c r="CP3086" s="204" t="n"/>
      <c r="CQ3086" s="204" t="n"/>
      <c r="CR3086" s="204" t="n"/>
      <c r="CS3086" s="204" t="n"/>
      <c r="CT3086" s="204" t="n"/>
      <c r="CU3086" s="204" t="n"/>
      <c r="CV3086" s="204" t="n"/>
      <c r="CW3086" s="204" t="n"/>
    </row>
    <row r="3087">
      <c r="BF3087" s="78" t="n"/>
      <c r="BG3087" s="78" t="n"/>
      <c r="BH3087" s="78" t="n"/>
      <c r="BI3087" s="78" t="n"/>
      <c r="BJ3087" s="139" t="n"/>
      <c r="BK3087" s="204" t="n"/>
      <c r="BL3087" s="141" t="n"/>
      <c r="BM3087" s="205" t="n"/>
      <c r="BN3087" s="205" t="n"/>
      <c r="BO3087" s="206" t="n"/>
      <c r="BP3087" s="144" t="n"/>
      <c r="BQ3087" s="141" t="n"/>
      <c r="BR3087" s="207" t="n"/>
      <c r="BS3087" s="207" t="n"/>
      <c r="BT3087" s="207" t="n"/>
      <c r="BU3087" s="207" t="n"/>
      <c r="BV3087" s="208" t="n"/>
      <c r="BW3087" s="207" t="n"/>
      <c r="BX3087" s="207" t="n"/>
      <c r="BY3087" s="204" t="n"/>
      <c r="BZ3087" s="148" t="n"/>
      <c r="CA3087" s="204" t="n"/>
      <c r="CB3087" s="208" t="n"/>
      <c r="CC3087" s="139" t="n"/>
      <c r="CD3087" s="204" t="n"/>
      <c r="CE3087" s="204" t="n"/>
      <c r="CF3087" s="207" t="n"/>
      <c r="CG3087" s="208" t="n"/>
      <c r="CH3087" s="207" t="n"/>
      <c r="CI3087" s="208" t="n"/>
      <c r="CJ3087" s="204" t="n"/>
      <c r="CK3087" s="208" t="n"/>
      <c r="CL3087" s="208" t="n"/>
      <c r="CM3087" s="208" t="n"/>
      <c r="CN3087" s="78" t="n"/>
      <c r="CO3087" s="209" t="n"/>
      <c r="CP3087" s="204" t="n"/>
      <c r="CQ3087" s="204" t="n"/>
      <c r="CR3087" s="204" t="n"/>
      <c r="CS3087" s="204" t="n"/>
      <c r="CT3087" s="204" t="n"/>
      <c r="CU3087" s="204" t="n"/>
      <c r="CV3087" s="204" t="n"/>
      <c r="CW3087" s="204" t="n"/>
    </row>
    <row r="3088">
      <c r="BF3088" s="78" t="n"/>
      <c r="BG3088" s="78" t="n"/>
      <c r="BH3088" s="78" t="n"/>
      <c r="BI3088" s="78" t="n"/>
      <c r="BJ3088" s="139" t="n"/>
      <c r="BK3088" s="204" t="n"/>
      <c r="BL3088" s="141" t="n"/>
      <c r="BM3088" s="205" t="n"/>
      <c r="BN3088" s="205" t="n"/>
      <c r="BO3088" s="206" t="n"/>
      <c r="BP3088" s="144" t="n"/>
      <c r="BQ3088" s="141" t="n"/>
      <c r="BR3088" s="207" t="n"/>
      <c r="BS3088" s="207" t="n"/>
      <c r="BT3088" s="207" t="n"/>
      <c r="BU3088" s="207" t="n"/>
      <c r="BV3088" s="208" t="n"/>
      <c r="BW3088" s="207" t="n"/>
      <c r="BX3088" s="207" t="n"/>
      <c r="BY3088" s="204" t="n"/>
      <c r="BZ3088" s="148" t="n"/>
      <c r="CA3088" s="204" t="n"/>
      <c r="CB3088" s="208" t="n"/>
      <c r="CC3088" s="139" t="n"/>
      <c r="CD3088" s="204" t="n"/>
      <c r="CE3088" s="204" t="n"/>
      <c r="CF3088" s="207" t="n"/>
      <c r="CG3088" s="208" t="n"/>
      <c r="CH3088" s="207" t="n"/>
      <c r="CI3088" s="208" t="n"/>
      <c r="CJ3088" s="204" t="n"/>
      <c r="CK3088" s="208" t="n"/>
      <c r="CL3088" s="208" t="n"/>
      <c r="CM3088" s="208" t="n"/>
      <c r="CN3088" s="78" t="n"/>
      <c r="CO3088" s="209" t="n"/>
      <c r="CP3088" s="204" t="n"/>
      <c r="CQ3088" s="204" t="n"/>
      <c r="CR3088" s="204" t="n"/>
      <c r="CS3088" s="204" t="n"/>
      <c r="CT3088" s="204" t="n"/>
      <c r="CU3088" s="204" t="n"/>
      <c r="CV3088" s="204" t="n"/>
      <c r="CW3088" s="204" t="n"/>
    </row>
    <row r="3089">
      <c r="BF3089" s="78" t="n"/>
      <c r="BG3089" s="78" t="n"/>
      <c r="BH3089" s="78" t="n"/>
      <c r="BI3089" s="78" t="n"/>
      <c r="BJ3089" s="139" t="n"/>
      <c r="BK3089" s="204" t="n"/>
      <c r="BL3089" s="141" t="n"/>
      <c r="BM3089" s="205" t="n"/>
      <c r="BN3089" s="205" t="n"/>
      <c r="BO3089" s="206" t="n"/>
      <c r="BP3089" s="144" t="n"/>
      <c r="BQ3089" s="141" t="n"/>
      <c r="BR3089" s="207" t="n"/>
      <c r="BS3089" s="207" t="n"/>
      <c r="BT3089" s="207" t="n"/>
      <c r="BU3089" s="207" t="n"/>
      <c r="BV3089" s="208" t="n"/>
      <c r="BW3089" s="207" t="n"/>
      <c r="BX3089" s="207" t="n"/>
      <c r="BY3089" s="204" t="n"/>
      <c r="BZ3089" s="148" t="n"/>
      <c r="CA3089" s="204" t="n"/>
      <c r="CB3089" s="208" t="n"/>
      <c r="CC3089" s="139" t="n"/>
      <c r="CD3089" s="204" t="n"/>
      <c r="CE3089" s="204" t="n"/>
      <c r="CF3089" s="207" t="n"/>
      <c r="CG3089" s="208" t="n"/>
      <c r="CH3089" s="207" t="n"/>
      <c r="CI3089" s="208" t="n"/>
      <c r="CJ3089" s="204" t="n"/>
      <c r="CK3089" s="208" t="n"/>
      <c r="CL3089" s="208" t="n"/>
      <c r="CM3089" s="208" t="n"/>
      <c r="CN3089" s="78" t="n"/>
      <c r="CO3089" s="209" t="n"/>
      <c r="CP3089" s="204" t="n"/>
      <c r="CQ3089" s="204" t="n"/>
      <c r="CR3089" s="204" t="n"/>
      <c r="CS3089" s="204" t="n"/>
      <c r="CT3089" s="204" t="n"/>
      <c r="CU3089" s="204" t="n"/>
      <c r="CV3089" s="204" t="n"/>
      <c r="CW3089" s="204" t="n"/>
    </row>
    <row r="3090">
      <c r="BF3090" s="78" t="n"/>
      <c r="BG3090" s="78" t="n"/>
      <c r="BH3090" s="78" t="n"/>
      <c r="BI3090" s="78" t="n"/>
      <c r="BJ3090" s="139" t="n"/>
      <c r="BK3090" s="204" t="n"/>
      <c r="BL3090" s="141" t="n"/>
      <c r="BM3090" s="205" t="n"/>
      <c r="BN3090" s="205" t="n"/>
      <c r="BO3090" s="206" t="n"/>
      <c r="BP3090" s="144" t="n"/>
      <c r="BQ3090" s="141" t="n"/>
      <c r="BR3090" s="207" t="n"/>
      <c r="BS3090" s="207" t="n"/>
      <c r="BT3090" s="207" t="n"/>
      <c r="BU3090" s="207" t="n"/>
      <c r="BV3090" s="208" t="n"/>
      <c r="BW3090" s="207" t="n"/>
      <c r="BX3090" s="207" t="n"/>
      <c r="BY3090" s="204" t="n"/>
      <c r="BZ3090" s="148" t="n"/>
      <c r="CA3090" s="204" t="n"/>
      <c r="CB3090" s="208" t="n"/>
      <c r="CC3090" s="139" t="n"/>
      <c r="CD3090" s="204" t="n"/>
      <c r="CE3090" s="204" t="n"/>
      <c r="CF3090" s="207" t="n"/>
      <c r="CG3090" s="208" t="n"/>
      <c r="CH3090" s="207" t="n"/>
      <c r="CI3090" s="208" t="n"/>
      <c r="CJ3090" s="204" t="n"/>
      <c r="CK3090" s="208" t="n"/>
      <c r="CL3090" s="208" t="n"/>
      <c r="CM3090" s="208" t="n"/>
      <c r="CN3090" s="78" t="n"/>
      <c r="CO3090" s="209" t="n"/>
      <c r="CP3090" s="204" t="n"/>
      <c r="CQ3090" s="204" t="n"/>
      <c r="CR3090" s="204" t="n"/>
      <c r="CS3090" s="204" t="n"/>
      <c r="CT3090" s="204" t="n"/>
      <c r="CU3090" s="204" t="n"/>
      <c r="CV3090" s="204" t="n"/>
      <c r="CW3090" s="204" t="n"/>
    </row>
    <row r="3091">
      <c r="BF3091" s="78" t="n"/>
      <c r="BG3091" s="78" t="n"/>
      <c r="BH3091" s="78" t="n"/>
      <c r="BI3091" s="78" t="n"/>
      <c r="BJ3091" s="139" t="n"/>
      <c r="BK3091" s="204" t="n"/>
      <c r="BL3091" s="141" t="n"/>
      <c r="BM3091" s="205" t="n"/>
      <c r="BN3091" s="205" t="n"/>
      <c r="BO3091" s="206" t="n"/>
      <c r="BP3091" s="144" t="n"/>
      <c r="BQ3091" s="141" t="n"/>
      <c r="BR3091" s="207" t="n"/>
      <c r="BS3091" s="207" t="n"/>
      <c r="BT3091" s="207" t="n"/>
      <c r="BU3091" s="207" t="n"/>
      <c r="BV3091" s="208" t="n"/>
      <c r="BW3091" s="207" t="n"/>
      <c r="BX3091" s="207" t="n"/>
      <c r="BY3091" s="204" t="n"/>
      <c r="BZ3091" s="148" t="n"/>
      <c r="CA3091" s="204" t="n"/>
      <c r="CB3091" s="208" t="n"/>
      <c r="CC3091" s="139" t="n"/>
      <c r="CD3091" s="204" t="n"/>
      <c r="CE3091" s="204" t="n"/>
      <c r="CF3091" s="207" t="n"/>
      <c r="CG3091" s="208" t="n"/>
      <c r="CH3091" s="207" t="n"/>
      <c r="CI3091" s="208" t="n"/>
      <c r="CJ3091" s="204" t="n"/>
      <c r="CK3091" s="208" t="n"/>
      <c r="CL3091" s="208" t="n"/>
      <c r="CM3091" s="208" t="n"/>
      <c r="CN3091" s="78" t="n"/>
      <c r="CO3091" s="209" t="n"/>
      <c r="CP3091" s="204" t="n"/>
      <c r="CQ3091" s="204" t="n"/>
      <c r="CR3091" s="204" t="n"/>
      <c r="CS3091" s="204" t="n"/>
      <c r="CT3091" s="204" t="n"/>
      <c r="CU3091" s="204" t="n"/>
      <c r="CV3091" s="204" t="n"/>
      <c r="CW3091" s="204" t="n"/>
    </row>
    <row r="3092">
      <c r="BF3092" s="78" t="n"/>
      <c r="BG3092" s="78" t="n"/>
      <c r="BH3092" s="78" t="n"/>
      <c r="BI3092" s="78" t="n"/>
      <c r="BJ3092" s="139" t="n"/>
      <c r="BK3092" s="204" t="n"/>
      <c r="BL3092" s="141" t="n"/>
      <c r="BM3092" s="205" t="n"/>
      <c r="BN3092" s="205" t="n"/>
      <c r="BO3092" s="206" t="n"/>
      <c r="BP3092" s="144" t="n"/>
      <c r="BQ3092" s="141" t="n"/>
      <c r="BR3092" s="207" t="n"/>
      <c r="BS3092" s="207" t="n"/>
      <c r="BT3092" s="207" t="n"/>
      <c r="BU3092" s="207" t="n"/>
      <c r="BV3092" s="208" t="n"/>
      <c r="BW3092" s="207" t="n"/>
      <c r="BX3092" s="207" t="n"/>
      <c r="BY3092" s="204" t="n"/>
      <c r="BZ3092" s="148" t="n"/>
      <c r="CA3092" s="204" t="n"/>
      <c r="CB3092" s="208" t="n"/>
      <c r="CC3092" s="139" t="n"/>
      <c r="CD3092" s="204" t="n"/>
      <c r="CE3092" s="204" t="n"/>
      <c r="CF3092" s="207" t="n"/>
      <c r="CG3092" s="208" t="n"/>
      <c r="CH3092" s="207" t="n"/>
      <c r="CI3092" s="208" t="n"/>
      <c r="CJ3092" s="204" t="n"/>
      <c r="CK3092" s="208" t="n"/>
      <c r="CL3092" s="208" t="n"/>
      <c r="CM3092" s="208" t="n"/>
      <c r="CN3092" s="78" t="n"/>
      <c r="CO3092" s="209" t="n"/>
      <c r="CP3092" s="204" t="n"/>
      <c r="CQ3092" s="204" t="n"/>
      <c r="CR3092" s="204" t="n"/>
      <c r="CS3092" s="204" t="n"/>
      <c r="CT3092" s="204" t="n"/>
      <c r="CU3092" s="204" t="n"/>
      <c r="CV3092" s="204" t="n"/>
      <c r="CW3092" s="204" t="n"/>
    </row>
    <row r="3093">
      <c r="BF3093" s="78" t="n"/>
      <c r="BG3093" s="78" t="n"/>
      <c r="BH3093" s="78" t="n"/>
      <c r="BI3093" s="78" t="n"/>
      <c r="BJ3093" s="139" t="n"/>
      <c r="BK3093" s="204" t="n"/>
      <c r="BL3093" s="141" t="n"/>
      <c r="BM3093" s="205" t="n"/>
      <c r="BN3093" s="205" t="n"/>
      <c r="BO3093" s="206" t="n"/>
      <c r="BP3093" s="144" t="n"/>
      <c r="BQ3093" s="141" t="n"/>
      <c r="BR3093" s="207" t="n"/>
      <c r="BS3093" s="207" t="n"/>
      <c r="BT3093" s="207" t="n"/>
      <c r="BU3093" s="207" t="n"/>
      <c r="BV3093" s="208" t="n"/>
      <c r="BW3093" s="207" t="n"/>
      <c r="BX3093" s="207" t="n"/>
      <c r="BY3093" s="204" t="n"/>
      <c r="BZ3093" s="148" t="n"/>
      <c r="CA3093" s="204" t="n"/>
      <c r="CB3093" s="208" t="n"/>
      <c r="CC3093" s="139" t="n"/>
      <c r="CD3093" s="204" t="n"/>
      <c r="CE3093" s="204" t="n"/>
      <c r="CF3093" s="207" t="n"/>
      <c r="CG3093" s="208" t="n"/>
      <c r="CH3093" s="207" t="n"/>
      <c r="CI3093" s="208" t="n"/>
      <c r="CJ3093" s="204" t="n"/>
      <c r="CK3093" s="208" t="n"/>
      <c r="CL3093" s="208" t="n"/>
      <c r="CM3093" s="208" t="n"/>
      <c r="CN3093" s="78" t="n"/>
      <c r="CO3093" s="209" t="n"/>
      <c r="CP3093" s="204" t="n"/>
      <c r="CQ3093" s="204" t="n"/>
      <c r="CR3093" s="204" t="n"/>
      <c r="CS3093" s="204" t="n"/>
      <c r="CT3093" s="204" t="n"/>
      <c r="CU3093" s="204" t="n"/>
      <c r="CV3093" s="204" t="n"/>
      <c r="CW3093" s="204" t="n"/>
    </row>
    <row r="3094">
      <c r="BF3094" s="78" t="n"/>
      <c r="BG3094" s="78" t="n"/>
      <c r="BH3094" s="78" t="n"/>
      <c r="BI3094" s="78" t="n"/>
      <c r="BJ3094" s="139" t="n"/>
      <c r="BK3094" s="204" t="n"/>
      <c r="BL3094" s="141" t="n"/>
      <c r="BM3094" s="205" t="n"/>
      <c r="BN3094" s="205" t="n"/>
      <c r="BO3094" s="206" t="n"/>
      <c r="BP3094" s="144" t="n"/>
      <c r="BQ3094" s="141" t="n"/>
      <c r="BR3094" s="207" t="n"/>
      <c r="BS3094" s="207" t="n"/>
      <c r="BT3094" s="207" t="n"/>
      <c r="BU3094" s="207" t="n"/>
      <c r="BV3094" s="208" t="n"/>
      <c r="BW3094" s="207" t="n"/>
      <c r="BX3094" s="207" t="n"/>
      <c r="BY3094" s="204" t="n"/>
      <c r="BZ3094" s="148" t="n"/>
      <c r="CA3094" s="204" t="n"/>
      <c r="CB3094" s="208" t="n"/>
      <c r="CC3094" s="139" t="n"/>
      <c r="CD3094" s="204" t="n"/>
      <c r="CE3094" s="204" t="n"/>
      <c r="CF3094" s="207" t="n"/>
      <c r="CG3094" s="208" t="n"/>
      <c r="CH3094" s="207" t="n"/>
      <c r="CI3094" s="208" t="n"/>
      <c r="CJ3094" s="204" t="n"/>
      <c r="CK3094" s="208" t="n"/>
      <c r="CL3094" s="208" t="n"/>
      <c r="CM3094" s="208" t="n"/>
      <c r="CN3094" s="78" t="n"/>
      <c r="CO3094" s="209" t="n"/>
      <c r="CP3094" s="204" t="n"/>
      <c r="CQ3094" s="204" t="n"/>
      <c r="CR3094" s="204" t="n"/>
      <c r="CS3094" s="204" t="n"/>
      <c r="CT3094" s="204" t="n"/>
      <c r="CU3094" s="204" t="n"/>
      <c r="CV3094" s="204" t="n"/>
      <c r="CW3094" s="204" t="n"/>
    </row>
    <row r="3095">
      <c r="BF3095" s="78" t="n"/>
      <c r="BG3095" s="78" t="n"/>
      <c r="BH3095" s="78" t="n"/>
      <c r="BI3095" s="78" t="n"/>
      <c r="BJ3095" s="139" t="n"/>
      <c r="BK3095" s="204" t="n"/>
      <c r="BL3095" s="141" t="n"/>
      <c r="BM3095" s="205" t="n"/>
      <c r="BN3095" s="205" t="n"/>
      <c r="BO3095" s="206" t="n"/>
      <c r="BP3095" s="144" t="n"/>
      <c r="BQ3095" s="141" t="n"/>
      <c r="BR3095" s="207" t="n"/>
      <c r="BS3095" s="207" t="n"/>
      <c r="BT3095" s="207" t="n"/>
      <c r="BU3095" s="207" t="n"/>
      <c r="BV3095" s="208" t="n"/>
      <c r="BW3095" s="207" t="n"/>
      <c r="BX3095" s="207" t="n"/>
      <c r="BY3095" s="204" t="n"/>
      <c r="BZ3095" s="148" t="n"/>
      <c r="CA3095" s="204" t="n"/>
      <c r="CB3095" s="208" t="n"/>
      <c r="CC3095" s="139" t="n"/>
      <c r="CD3095" s="204" t="n"/>
      <c r="CE3095" s="204" t="n"/>
      <c r="CF3095" s="207" t="n"/>
      <c r="CG3095" s="208" t="n"/>
      <c r="CH3095" s="207" t="n"/>
      <c r="CI3095" s="208" t="n"/>
      <c r="CJ3095" s="204" t="n"/>
      <c r="CK3095" s="208" t="n"/>
      <c r="CL3095" s="208" t="n"/>
      <c r="CM3095" s="208" t="n"/>
      <c r="CN3095" s="78" t="n"/>
      <c r="CO3095" s="209" t="n"/>
      <c r="CP3095" s="204" t="n"/>
      <c r="CQ3095" s="204" t="n"/>
      <c r="CR3095" s="204" t="n"/>
      <c r="CS3095" s="204" t="n"/>
      <c r="CT3095" s="204" t="n"/>
      <c r="CU3095" s="204" t="n"/>
      <c r="CV3095" s="204" t="n"/>
      <c r="CW3095" s="204" t="n"/>
    </row>
    <row r="3096">
      <c r="BF3096" s="78" t="n"/>
      <c r="BG3096" s="78" t="n"/>
      <c r="BH3096" s="78" t="n"/>
      <c r="BI3096" s="78" t="n"/>
      <c r="BJ3096" s="139" t="n"/>
      <c r="BK3096" s="204" t="n"/>
      <c r="BL3096" s="141" t="n"/>
      <c r="BM3096" s="205" t="n"/>
      <c r="BN3096" s="205" t="n"/>
      <c r="BO3096" s="206" t="n"/>
      <c r="BP3096" s="144" t="n"/>
      <c r="BQ3096" s="141" t="n"/>
      <c r="BR3096" s="207" t="n"/>
      <c r="BS3096" s="207" t="n"/>
      <c r="BT3096" s="207" t="n"/>
      <c r="BU3096" s="207" t="n"/>
      <c r="BV3096" s="208" t="n"/>
      <c r="BW3096" s="207" t="n"/>
      <c r="BX3096" s="207" t="n"/>
      <c r="BY3096" s="204" t="n"/>
      <c r="BZ3096" s="148" t="n"/>
      <c r="CA3096" s="204" t="n"/>
      <c r="CB3096" s="208" t="n"/>
      <c r="CC3096" s="139" t="n"/>
      <c r="CD3096" s="204" t="n"/>
      <c r="CE3096" s="204" t="n"/>
      <c r="CF3096" s="207" t="n"/>
      <c r="CG3096" s="208" t="n"/>
      <c r="CH3096" s="207" t="n"/>
      <c r="CI3096" s="208" t="n"/>
      <c r="CJ3096" s="204" t="n"/>
      <c r="CK3096" s="208" t="n"/>
      <c r="CL3096" s="208" t="n"/>
      <c r="CM3096" s="208" t="n"/>
      <c r="CN3096" s="78" t="n"/>
      <c r="CO3096" s="209" t="n"/>
      <c r="CP3096" s="204" t="n"/>
      <c r="CQ3096" s="204" t="n"/>
      <c r="CR3096" s="204" t="n"/>
      <c r="CS3096" s="204" t="n"/>
      <c r="CT3096" s="204" t="n"/>
      <c r="CU3096" s="204" t="n"/>
      <c r="CV3096" s="204" t="n"/>
      <c r="CW3096" s="204" t="n"/>
    </row>
    <row r="3097">
      <c r="BF3097" s="78" t="n"/>
      <c r="BG3097" s="78" t="n"/>
      <c r="BH3097" s="78" t="n"/>
      <c r="BI3097" s="78" t="n"/>
      <c r="BJ3097" s="139" t="n"/>
      <c r="BK3097" s="204" t="n"/>
      <c r="BL3097" s="141" t="n"/>
      <c r="BM3097" s="205" t="n"/>
      <c r="BN3097" s="205" t="n"/>
      <c r="BO3097" s="206" t="n"/>
      <c r="BP3097" s="144" t="n"/>
      <c r="BQ3097" s="141" t="n"/>
      <c r="BR3097" s="207" t="n"/>
      <c r="BS3097" s="207" t="n"/>
      <c r="BT3097" s="207" t="n"/>
      <c r="BU3097" s="207" t="n"/>
      <c r="BV3097" s="208" t="n"/>
      <c r="BW3097" s="207" t="n"/>
      <c r="BX3097" s="207" t="n"/>
      <c r="BY3097" s="204" t="n"/>
      <c r="BZ3097" s="148" t="n"/>
      <c r="CA3097" s="204" t="n"/>
      <c r="CB3097" s="208" t="n"/>
      <c r="CC3097" s="139" t="n"/>
      <c r="CD3097" s="204" t="n"/>
      <c r="CE3097" s="204" t="n"/>
      <c r="CF3097" s="207" t="n"/>
      <c r="CG3097" s="208" t="n"/>
      <c r="CH3097" s="207" t="n"/>
      <c r="CI3097" s="208" t="n"/>
      <c r="CJ3097" s="204" t="n"/>
      <c r="CK3097" s="208" t="n"/>
      <c r="CL3097" s="208" t="n"/>
      <c r="CM3097" s="208" t="n"/>
      <c r="CN3097" s="78" t="n"/>
      <c r="CO3097" s="209" t="n"/>
      <c r="CP3097" s="204" t="n"/>
      <c r="CQ3097" s="204" t="n"/>
      <c r="CR3097" s="204" t="n"/>
      <c r="CS3097" s="204" t="n"/>
      <c r="CT3097" s="204" t="n"/>
      <c r="CU3097" s="204" t="n"/>
      <c r="CV3097" s="204" t="n"/>
      <c r="CW3097" s="204" t="n"/>
    </row>
    <row r="3098">
      <c r="BF3098" s="78" t="n"/>
      <c r="BG3098" s="78" t="n"/>
      <c r="BH3098" s="78" t="n"/>
      <c r="BI3098" s="78" t="n"/>
      <c r="BJ3098" s="139" t="n"/>
      <c r="BK3098" s="204" t="n"/>
      <c r="BL3098" s="141" t="n"/>
      <c r="BM3098" s="205" t="n"/>
      <c r="BN3098" s="205" t="n"/>
      <c r="BO3098" s="206" t="n"/>
      <c r="BP3098" s="144" t="n"/>
      <c r="BQ3098" s="141" t="n"/>
      <c r="BR3098" s="207" t="n"/>
      <c r="BS3098" s="207" t="n"/>
      <c r="BT3098" s="207" t="n"/>
      <c r="BU3098" s="207" t="n"/>
      <c r="BV3098" s="208" t="n"/>
      <c r="BW3098" s="207" t="n"/>
      <c r="BX3098" s="207" t="n"/>
      <c r="BY3098" s="204" t="n"/>
      <c r="BZ3098" s="148" t="n"/>
      <c r="CA3098" s="204" t="n"/>
      <c r="CB3098" s="208" t="n"/>
      <c r="CC3098" s="139" t="n"/>
      <c r="CD3098" s="204" t="n"/>
      <c r="CE3098" s="204" t="n"/>
      <c r="CF3098" s="207" t="n"/>
      <c r="CG3098" s="208" t="n"/>
      <c r="CH3098" s="207" t="n"/>
      <c r="CI3098" s="208" t="n"/>
      <c r="CJ3098" s="204" t="n"/>
      <c r="CK3098" s="208" t="n"/>
      <c r="CL3098" s="208" t="n"/>
      <c r="CM3098" s="208" t="n"/>
      <c r="CN3098" s="78" t="n"/>
      <c r="CO3098" s="209" t="n"/>
      <c r="CP3098" s="204" t="n"/>
      <c r="CQ3098" s="204" t="n"/>
      <c r="CR3098" s="204" t="n"/>
      <c r="CS3098" s="204" t="n"/>
      <c r="CT3098" s="204" t="n"/>
      <c r="CU3098" s="204" t="n"/>
      <c r="CV3098" s="204" t="n"/>
      <c r="CW3098" s="204" t="n"/>
    </row>
    <row r="3099">
      <c r="BF3099" s="78" t="n"/>
      <c r="BG3099" s="78" t="n"/>
      <c r="BH3099" s="78" t="n"/>
      <c r="BI3099" s="78" t="n"/>
      <c r="BJ3099" s="139" t="n"/>
      <c r="BK3099" s="204" t="n"/>
      <c r="BL3099" s="141" t="n"/>
      <c r="BM3099" s="205" t="n"/>
      <c r="BN3099" s="205" t="n"/>
      <c r="BO3099" s="206" t="n"/>
      <c r="BP3099" s="144" t="n"/>
      <c r="BQ3099" s="141" t="n"/>
      <c r="BR3099" s="207" t="n"/>
      <c r="BS3099" s="207" t="n"/>
      <c r="BT3099" s="207" t="n"/>
      <c r="BU3099" s="207" t="n"/>
      <c r="BV3099" s="208" t="n"/>
      <c r="BW3099" s="207" t="n"/>
      <c r="BX3099" s="207" t="n"/>
      <c r="BY3099" s="204" t="n"/>
      <c r="BZ3099" s="148" t="n"/>
      <c r="CA3099" s="204" t="n"/>
      <c r="CB3099" s="208" t="n"/>
      <c r="CC3099" s="139" t="n"/>
      <c r="CD3099" s="204" t="n"/>
      <c r="CE3099" s="204" t="n"/>
      <c r="CF3099" s="207" t="n"/>
      <c r="CG3099" s="208" t="n"/>
      <c r="CH3099" s="207" t="n"/>
      <c r="CI3099" s="208" t="n"/>
      <c r="CJ3099" s="204" t="n"/>
      <c r="CK3099" s="208" t="n"/>
      <c r="CL3099" s="208" t="n"/>
      <c r="CM3099" s="208" t="n"/>
      <c r="CN3099" s="78" t="n"/>
      <c r="CO3099" s="209" t="n"/>
      <c r="CP3099" s="204" t="n"/>
      <c r="CQ3099" s="204" t="n"/>
      <c r="CR3099" s="204" t="n"/>
      <c r="CS3099" s="204" t="n"/>
      <c r="CT3099" s="204" t="n"/>
      <c r="CU3099" s="204" t="n"/>
      <c r="CV3099" s="204" t="n"/>
      <c r="CW3099" s="204" t="n"/>
    </row>
    <row r="3100">
      <c r="BF3100" s="78" t="n"/>
      <c r="BG3100" s="78" t="n"/>
      <c r="BH3100" s="78" t="n"/>
      <c r="BI3100" s="78" t="n"/>
      <c r="BJ3100" s="139" t="n"/>
      <c r="BK3100" s="204" t="n"/>
      <c r="BL3100" s="141" t="n"/>
      <c r="BM3100" s="205" t="n"/>
      <c r="BN3100" s="205" t="n"/>
      <c r="BO3100" s="206" t="n"/>
      <c r="BP3100" s="144" t="n"/>
      <c r="BQ3100" s="141" t="n"/>
      <c r="BR3100" s="207" t="n"/>
      <c r="BS3100" s="207" t="n"/>
      <c r="BT3100" s="207" t="n"/>
      <c r="BU3100" s="207" t="n"/>
      <c r="BV3100" s="208" t="n"/>
      <c r="BW3100" s="207" t="n"/>
      <c r="BX3100" s="207" t="n"/>
      <c r="BY3100" s="204" t="n"/>
      <c r="BZ3100" s="148" t="n"/>
      <c r="CA3100" s="204" t="n"/>
      <c r="CB3100" s="208" t="n"/>
      <c r="CC3100" s="139" t="n"/>
      <c r="CD3100" s="204" t="n"/>
      <c r="CE3100" s="204" t="n"/>
      <c r="CF3100" s="207" t="n"/>
      <c r="CG3100" s="208" t="n"/>
      <c r="CH3100" s="207" t="n"/>
      <c r="CI3100" s="208" t="n"/>
      <c r="CJ3100" s="204" t="n"/>
      <c r="CK3100" s="208" t="n"/>
      <c r="CL3100" s="208" t="n"/>
      <c r="CM3100" s="208" t="n"/>
      <c r="CN3100" s="78" t="n"/>
      <c r="CO3100" s="209" t="n"/>
      <c r="CP3100" s="204" t="n"/>
      <c r="CQ3100" s="204" t="n"/>
      <c r="CR3100" s="204" t="n"/>
      <c r="CS3100" s="204" t="n"/>
      <c r="CT3100" s="204" t="n"/>
      <c r="CU3100" s="204" t="n"/>
      <c r="CV3100" s="204" t="n"/>
      <c r="CW3100" s="204" t="n"/>
    </row>
    <row r="3101">
      <c r="BF3101" s="78" t="n"/>
      <c r="BG3101" s="78" t="n"/>
      <c r="BH3101" s="78" t="n"/>
      <c r="BI3101" s="78" t="n"/>
      <c r="BJ3101" s="139" t="n"/>
      <c r="BK3101" s="204" t="n"/>
      <c r="BL3101" s="141" t="n"/>
      <c r="BM3101" s="205" t="n"/>
      <c r="BN3101" s="205" t="n"/>
      <c r="BO3101" s="206" t="n"/>
      <c r="BP3101" s="144" t="n"/>
      <c r="BQ3101" s="141" t="n"/>
      <c r="BR3101" s="207" t="n"/>
      <c r="BS3101" s="207" t="n"/>
      <c r="BT3101" s="207" t="n"/>
      <c r="BU3101" s="207" t="n"/>
      <c r="BV3101" s="208" t="n"/>
      <c r="BW3101" s="207" t="n"/>
      <c r="BX3101" s="207" t="n"/>
      <c r="BY3101" s="204" t="n"/>
      <c r="BZ3101" s="148" t="n"/>
      <c r="CA3101" s="204" t="n"/>
      <c r="CB3101" s="208" t="n"/>
      <c r="CC3101" s="139" t="n"/>
      <c r="CD3101" s="204" t="n"/>
      <c r="CE3101" s="204" t="n"/>
      <c r="CF3101" s="207" t="n"/>
      <c r="CG3101" s="208" t="n"/>
      <c r="CH3101" s="207" t="n"/>
      <c r="CI3101" s="208" t="n"/>
      <c r="CJ3101" s="204" t="n"/>
      <c r="CK3101" s="208" t="n"/>
      <c r="CL3101" s="208" t="n"/>
      <c r="CM3101" s="208" t="n"/>
      <c r="CN3101" s="78" t="n"/>
      <c r="CO3101" s="209" t="n"/>
      <c r="CP3101" s="204" t="n"/>
      <c r="CQ3101" s="204" t="n"/>
      <c r="CR3101" s="204" t="n"/>
      <c r="CS3101" s="204" t="n"/>
      <c r="CT3101" s="204" t="n"/>
      <c r="CU3101" s="204" t="n"/>
      <c r="CV3101" s="204" t="n"/>
      <c r="CW3101" s="204" t="n"/>
    </row>
    <row r="3102">
      <c r="BF3102" s="78" t="n"/>
      <c r="BG3102" s="78" t="n"/>
      <c r="BH3102" s="78" t="n"/>
      <c r="BI3102" s="78" t="n"/>
      <c r="BJ3102" s="139" t="n"/>
      <c r="BK3102" s="204" t="n"/>
      <c r="BL3102" s="141" t="n"/>
      <c r="BM3102" s="205" t="n"/>
      <c r="BN3102" s="205" t="n"/>
      <c r="BO3102" s="206" t="n"/>
      <c r="BP3102" s="144" t="n"/>
      <c r="BQ3102" s="141" t="n"/>
      <c r="BR3102" s="207" t="n"/>
      <c r="BS3102" s="207" t="n"/>
      <c r="BT3102" s="207" t="n"/>
      <c r="BU3102" s="207" t="n"/>
      <c r="BV3102" s="208" t="n"/>
      <c r="BW3102" s="207" t="n"/>
      <c r="BX3102" s="207" t="n"/>
      <c r="BY3102" s="204" t="n"/>
      <c r="BZ3102" s="148" t="n"/>
      <c r="CA3102" s="204" t="n"/>
      <c r="CB3102" s="208" t="n"/>
      <c r="CC3102" s="139" t="n"/>
      <c r="CD3102" s="204" t="n"/>
      <c r="CE3102" s="204" t="n"/>
      <c r="CF3102" s="207" t="n"/>
      <c r="CG3102" s="208" t="n"/>
      <c r="CH3102" s="207" t="n"/>
      <c r="CI3102" s="208" t="n"/>
      <c r="CJ3102" s="204" t="n"/>
      <c r="CK3102" s="208" t="n"/>
      <c r="CL3102" s="208" t="n"/>
      <c r="CM3102" s="208" t="n"/>
      <c r="CN3102" s="78" t="n"/>
      <c r="CO3102" s="209" t="n"/>
      <c r="CP3102" s="204" t="n"/>
      <c r="CQ3102" s="204" t="n"/>
      <c r="CR3102" s="204" t="n"/>
      <c r="CS3102" s="204" t="n"/>
      <c r="CT3102" s="204" t="n"/>
      <c r="CU3102" s="204" t="n"/>
      <c r="CV3102" s="204" t="n"/>
      <c r="CW3102" s="204" t="n"/>
    </row>
    <row r="3103">
      <c r="BF3103" s="78" t="n"/>
      <c r="BG3103" s="78" t="n"/>
      <c r="BH3103" s="78" t="n"/>
      <c r="BI3103" s="78" t="n"/>
      <c r="BJ3103" s="139" t="n"/>
      <c r="BK3103" s="204" t="n"/>
      <c r="BL3103" s="141" t="n"/>
      <c r="BM3103" s="205" t="n"/>
      <c r="BN3103" s="205" t="n"/>
      <c r="BO3103" s="206" t="n"/>
      <c r="BP3103" s="144" t="n"/>
      <c r="BQ3103" s="141" t="n"/>
      <c r="BR3103" s="207" t="n"/>
      <c r="BS3103" s="207" t="n"/>
      <c r="BT3103" s="207" t="n"/>
      <c r="BU3103" s="207" t="n"/>
      <c r="BV3103" s="208" t="n"/>
      <c r="BW3103" s="207" t="n"/>
      <c r="BX3103" s="207" t="n"/>
      <c r="BY3103" s="204" t="n"/>
      <c r="BZ3103" s="148" t="n"/>
      <c r="CA3103" s="204" t="n"/>
      <c r="CB3103" s="208" t="n"/>
      <c r="CC3103" s="139" t="n"/>
      <c r="CD3103" s="204" t="n"/>
      <c r="CE3103" s="204" t="n"/>
      <c r="CF3103" s="207" t="n"/>
      <c r="CG3103" s="208" t="n"/>
      <c r="CH3103" s="207" t="n"/>
      <c r="CI3103" s="208" t="n"/>
      <c r="CJ3103" s="204" t="n"/>
      <c r="CK3103" s="208" t="n"/>
      <c r="CL3103" s="208" t="n"/>
      <c r="CM3103" s="208" t="n"/>
      <c r="CN3103" s="78" t="n"/>
      <c r="CO3103" s="209" t="n"/>
      <c r="CP3103" s="204" t="n"/>
      <c r="CQ3103" s="204" t="n"/>
      <c r="CR3103" s="204" t="n"/>
      <c r="CS3103" s="204" t="n"/>
      <c r="CT3103" s="204" t="n"/>
      <c r="CU3103" s="204" t="n"/>
      <c r="CV3103" s="204" t="n"/>
      <c r="CW3103" s="204" t="n"/>
    </row>
    <row r="3104">
      <c r="BF3104" s="78" t="n"/>
      <c r="BG3104" s="78" t="n"/>
      <c r="BH3104" s="78" t="n"/>
      <c r="BI3104" s="78" t="n"/>
      <c r="BJ3104" s="139" t="n"/>
      <c r="BK3104" s="204" t="n"/>
      <c r="BL3104" s="141" t="n"/>
      <c r="BM3104" s="205" t="n"/>
      <c r="BN3104" s="205" t="n"/>
      <c r="BO3104" s="206" t="n"/>
      <c r="BP3104" s="144" t="n"/>
      <c r="BQ3104" s="141" t="n"/>
      <c r="BR3104" s="207" t="n"/>
      <c r="BS3104" s="207" t="n"/>
      <c r="BT3104" s="207" t="n"/>
      <c r="BU3104" s="207" t="n"/>
      <c r="BV3104" s="208" t="n"/>
      <c r="BW3104" s="207" t="n"/>
      <c r="BX3104" s="207" t="n"/>
      <c r="BY3104" s="204" t="n"/>
      <c r="BZ3104" s="148" t="n"/>
      <c r="CA3104" s="204" t="n"/>
      <c r="CB3104" s="208" t="n"/>
      <c r="CC3104" s="139" t="n"/>
      <c r="CD3104" s="204" t="n"/>
      <c r="CE3104" s="204" t="n"/>
      <c r="CF3104" s="207" t="n"/>
      <c r="CG3104" s="208" t="n"/>
      <c r="CH3104" s="207" t="n"/>
      <c r="CI3104" s="208" t="n"/>
      <c r="CJ3104" s="204" t="n"/>
      <c r="CK3104" s="208" t="n"/>
      <c r="CL3104" s="208" t="n"/>
      <c r="CM3104" s="208" t="n"/>
      <c r="CN3104" s="78" t="n"/>
      <c r="CO3104" s="209" t="n"/>
      <c r="CP3104" s="204" t="n"/>
      <c r="CQ3104" s="204" t="n"/>
      <c r="CR3104" s="204" t="n"/>
      <c r="CS3104" s="204" t="n"/>
      <c r="CT3104" s="204" t="n"/>
      <c r="CU3104" s="204" t="n"/>
      <c r="CV3104" s="204" t="n"/>
      <c r="CW3104" s="204" t="n"/>
    </row>
    <row r="3105">
      <c r="BF3105" s="78" t="n"/>
      <c r="BG3105" s="78" t="n"/>
      <c r="BH3105" s="78" t="n"/>
      <c r="BI3105" s="78" t="n"/>
      <c r="BJ3105" s="139" t="n"/>
      <c r="BK3105" s="204" t="n"/>
      <c r="BL3105" s="141" t="n"/>
      <c r="BM3105" s="205" t="n"/>
      <c r="BN3105" s="205" t="n"/>
      <c r="BO3105" s="206" t="n"/>
      <c r="BP3105" s="144" t="n"/>
      <c r="BQ3105" s="141" t="n"/>
      <c r="BR3105" s="207" t="n"/>
      <c r="BS3105" s="207" t="n"/>
      <c r="BT3105" s="207" t="n"/>
      <c r="BU3105" s="207" t="n"/>
      <c r="BV3105" s="208" t="n"/>
      <c r="BW3105" s="207" t="n"/>
      <c r="BX3105" s="207" t="n"/>
      <c r="BY3105" s="204" t="n"/>
      <c r="BZ3105" s="148" t="n"/>
      <c r="CA3105" s="204" t="n"/>
      <c r="CB3105" s="208" t="n"/>
      <c r="CC3105" s="139" t="n"/>
      <c r="CD3105" s="204" t="n"/>
      <c r="CE3105" s="204" t="n"/>
      <c r="CF3105" s="207" t="n"/>
      <c r="CG3105" s="208" t="n"/>
      <c r="CH3105" s="207" t="n"/>
      <c r="CI3105" s="208" t="n"/>
      <c r="CJ3105" s="204" t="n"/>
      <c r="CK3105" s="208" t="n"/>
      <c r="CL3105" s="208" t="n"/>
      <c r="CM3105" s="208" t="n"/>
      <c r="CN3105" s="78" t="n"/>
      <c r="CO3105" s="209" t="n"/>
      <c r="CP3105" s="204" t="n"/>
      <c r="CQ3105" s="204" t="n"/>
      <c r="CR3105" s="204" t="n"/>
      <c r="CS3105" s="204" t="n"/>
      <c r="CT3105" s="204" t="n"/>
      <c r="CU3105" s="204" t="n"/>
      <c r="CV3105" s="204" t="n"/>
      <c r="CW3105" s="204" t="n"/>
    </row>
    <row r="3106">
      <c r="BF3106" s="78" t="n"/>
      <c r="BG3106" s="78" t="n"/>
      <c r="BH3106" s="78" t="n"/>
      <c r="BI3106" s="78" t="n"/>
      <c r="BJ3106" s="139" t="n"/>
      <c r="BK3106" s="204" t="n"/>
      <c r="BL3106" s="141" t="n"/>
      <c r="BM3106" s="205" t="n"/>
      <c r="BN3106" s="205" t="n"/>
      <c r="BO3106" s="206" t="n"/>
      <c r="BP3106" s="144" t="n"/>
      <c r="BQ3106" s="141" t="n"/>
      <c r="BR3106" s="207" t="n"/>
      <c r="BS3106" s="207" t="n"/>
      <c r="BT3106" s="207" t="n"/>
      <c r="BU3106" s="207" t="n"/>
      <c r="BV3106" s="208" t="n"/>
      <c r="BW3106" s="207" t="n"/>
      <c r="BX3106" s="207" t="n"/>
      <c r="BY3106" s="204" t="n"/>
      <c r="BZ3106" s="148" t="n"/>
      <c r="CA3106" s="204" t="n"/>
      <c r="CB3106" s="208" t="n"/>
      <c r="CC3106" s="139" t="n"/>
      <c r="CD3106" s="204" t="n"/>
      <c r="CE3106" s="204" t="n"/>
      <c r="CF3106" s="207" t="n"/>
      <c r="CG3106" s="208" t="n"/>
      <c r="CH3106" s="207" t="n"/>
      <c r="CI3106" s="208" t="n"/>
      <c r="CJ3106" s="204" t="n"/>
      <c r="CK3106" s="208" t="n"/>
      <c r="CL3106" s="208" t="n"/>
      <c r="CM3106" s="208" t="n"/>
      <c r="CN3106" s="78" t="n"/>
      <c r="CO3106" s="209" t="n"/>
      <c r="CP3106" s="204" t="n"/>
      <c r="CQ3106" s="204" t="n"/>
      <c r="CR3106" s="204" t="n"/>
      <c r="CS3106" s="204" t="n"/>
      <c r="CT3106" s="204" t="n"/>
      <c r="CU3106" s="204" t="n"/>
      <c r="CV3106" s="204" t="n"/>
      <c r="CW3106" s="204" t="n"/>
    </row>
    <row r="3107">
      <c r="BF3107" s="78" t="n"/>
      <c r="BG3107" s="78" t="n"/>
      <c r="BH3107" s="78" t="n"/>
      <c r="BI3107" s="78" t="n"/>
      <c r="BJ3107" s="139" t="n"/>
      <c r="BK3107" s="204" t="n"/>
      <c r="BL3107" s="141" t="n"/>
      <c r="BM3107" s="205" t="n"/>
      <c r="BN3107" s="205" t="n"/>
      <c r="BO3107" s="206" t="n"/>
      <c r="BP3107" s="144" t="n"/>
      <c r="BQ3107" s="141" t="n"/>
      <c r="BR3107" s="207" t="n"/>
      <c r="BS3107" s="207" t="n"/>
      <c r="BT3107" s="207" t="n"/>
      <c r="BU3107" s="207" t="n"/>
      <c r="BV3107" s="208" t="n"/>
      <c r="BW3107" s="207" t="n"/>
      <c r="BX3107" s="207" t="n"/>
      <c r="BY3107" s="204" t="n"/>
      <c r="BZ3107" s="148" t="n"/>
      <c r="CA3107" s="204" t="n"/>
      <c r="CB3107" s="208" t="n"/>
      <c r="CC3107" s="139" t="n"/>
      <c r="CD3107" s="204" t="n"/>
      <c r="CE3107" s="204" t="n"/>
      <c r="CF3107" s="207" t="n"/>
      <c r="CG3107" s="208" t="n"/>
      <c r="CH3107" s="207" t="n"/>
      <c r="CI3107" s="208" t="n"/>
      <c r="CJ3107" s="204" t="n"/>
      <c r="CK3107" s="208" t="n"/>
      <c r="CL3107" s="208" t="n"/>
      <c r="CM3107" s="208" t="n"/>
      <c r="CN3107" s="78" t="n"/>
      <c r="CO3107" s="209" t="n"/>
      <c r="CP3107" s="204" t="n"/>
      <c r="CQ3107" s="204" t="n"/>
      <c r="CR3107" s="204" t="n"/>
      <c r="CS3107" s="204" t="n"/>
      <c r="CT3107" s="204" t="n"/>
      <c r="CU3107" s="204" t="n"/>
      <c r="CV3107" s="204" t="n"/>
      <c r="CW3107" s="204" t="n"/>
    </row>
    <row r="3108">
      <c r="BF3108" s="78" t="n"/>
      <c r="BG3108" s="78" t="n"/>
      <c r="BH3108" s="78" t="n"/>
      <c r="BI3108" s="78" t="n"/>
      <c r="BJ3108" s="139" t="n"/>
      <c r="BK3108" s="204" t="n"/>
      <c r="BL3108" s="141" t="n"/>
      <c r="BM3108" s="205" t="n"/>
      <c r="BN3108" s="205" t="n"/>
      <c r="BO3108" s="206" t="n"/>
      <c r="BP3108" s="144" t="n"/>
      <c r="BQ3108" s="141" t="n"/>
      <c r="BR3108" s="207" t="n"/>
      <c r="BS3108" s="207" t="n"/>
      <c r="BT3108" s="207" t="n"/>
      <c r="BU3108" s="207" t="n"/>
      <c r="BV3108" s="208" t="n"/>
      <c r="BW3108" s="207" t="n"/>
      <c r="BX3108" s="207" t="n"/>
      <c r="BY3108" s="204" t="n"/>
      <c r="BZ3108" s="148" t="n"/>
      <c r="CA3108" s="204" t="n"/>
      <c r="CB3108" s="208" t="n"/>
      <c r="CC3108" s="139" t="n"/>
      <c r="CD3108" s="204" t="n"/>
      <c r="CE3108" s="204" t="n"/>
      <c r="CF3108" s="207" t="n"/>
      <c r="CG3108" s="208" t="n"/>
      <c r="CH3108" s="207" t="n"/>
      <c r="CI3108" s="208" t="n"/>
      <c r="CJ3108" s="204" t="n"/>
      <c r="CK3108" s="208" t="n"/>
      <c r="CL3108" s="208" t="n"/>
      <c r="CM3108" s="208" t="n"/>
      <c r="CN3108" s="78" t="n"/>
      <c r="CO3108" s="209" t="n"/>
      <c r="CP3108" s="204" t="n"/>
      <c r="CQ3108" s="204" t="n"/>
      <c r="CR3108" s="204" t="n"/>
      <c r="CS3108" s="204" t="n"/>
      <c r="CT3108" s="204" t="n"/>
      <c r="CU3108" s="204" t="n"/>
      <c r="CV3108" s="204" t="n"/>
      <c r="CW3108" s="204" t="n"/>
    </row>
    <row r="3109">
      <c r="BF3109" s="78" t="n"/>
      <c r="BG3109" s="78" t="n"/>
      <c r="BH3109" s="78" t="n"/>
      <c r="BI3109" s="78" t="n"/>
      <c r="BJ3109" s="139" t="n"/>
      <c r="BK3109" s="204" t="n"/>
      <c r="BL3109" s="141" t="n"/>
      <c r="BM3109" s="205" t="n"/>
      <c r="BN3109" s="205" t="n"/>
      <c r="BO3109" s="206" t="n"/>
      <c r="BP3109" s="144" t="n"/>
      <c r="BQ3109" s="141" t="n"/>
      <c r="BR3109" s="207" t="n"/>
      <c r="BS3109" s="207" t="n"/>
      <c r="BT3109" s="207" t="n"/>
      <c r="BU3109" s="207" t="n"/>
      <c r="BV3109" s="208" t="n"/>
      <c r="BW3109" s="207" t="n"/>
      <c r="BX3109" s="207" t="n"/>
      <c r="BY3109" s="204" t="n"/>
      <c r="BZ3109" s="148" t="n"/>
      <c r="CA3109" s="204" t="n"/>
      <c r="CB3109" s="208" t="n"/>
      <c r="CC3109" s="139" t="n"/>
      <c r="CD3109" s="204" t="n"/>
      <c r="CE3109" s="204" t="n"/>
      <c r="CF3109" s="207" t="n"/>
      <c r="CG3109" s="208" t="n"/>
      <c r="CH3109" s="207" t="n"/>
      <c r="CI3109" s="208" t="n"/>
      <c r="CJ3109" s="204" t="n"/>
      <c r="CK3109" s="208" t="n"/>
      <c r="CL3109" s="208" t="n"/>
      <c r="CM3109" s="208" t="n"/>
      <c r="CN3109" s="78" t="n"/>
      <c r="CO3109" s="209" t="n"/>
      <c r="CP3109" s="204" t="n"/>
      <c r="CQ3109" s="204" t="n"/>
      <c r="CR3109" s="204" t="n"/>
      <c r="CS3109" s="204" t="n"/>
      <c r="CT3109" s="204" t="n"/>
      <c r="CU3109" s="204" t="n"/>
      <c r="CV3109" s="204" t="n"/>
      <c r="CW3109" s="204" t="n"/>
    </row>
    <row r="3110">
      <c r="BF3110" s="78" t="n"/>
      <c r="BG3110" s="78" t="n"/>
      <c r="BH3110" s="78" t="n"/>
      <c r="BI3110" s="78" t="n"/>
      <c r="BJ3110" s="139" t="n"/>
      <c r="BK3110" s="204" t="n"/>
      <c r="BL3110" s="141" t="n"/>
      <c r="BM3110" s="205" t="n"/>
      <c r="BN3110" s="205" t="n"/>
      <c r="BO3110" s="206" t="n"/>
      <c r="BP3110" s="144" t="n"/>
      <c r="BQ3110" s="141" t="n"/>
      <c r="BR3110" s="207" t="n"/>
      <c r="BS3110" s="207" t="n"/>
      <c r="BT3110" s="207" t="n"/>
      <c r="BU3110" s="207" t="n"/>
      <c r="BV3110" s="208" t="n"/>
      <c r="BW3110" s="207" t="n"/>
      <c r="BX3110" s="207" t="n"/>
      <c r="BY3110" s="204" t="n"/>
      <c r="BZ3110" s="148" t="n"/>
      <c r="CA3110" s="204" t="n"/>
      <c r="CB3110" s="208" t="n"/>
      <c r="CC3110" s="139" t="n"/>
      <c r="CD3110" s="204" t="n"/>
      <c r="CE3110" s="204" t="n"/>
      <c r="CF3110" s="207" t="n"/>
      <c r="CG3110" s="208" t="n"/>
      <c r="CH3110" s="207" t="n"/>
      <c r="CI3110" s="208" t="n"/>
      <c r="CJ3110" s="204" t="n"/>
      <c r="CK3110" s="208" t="n"/>
      <c r="CL3110" s="208" t="n"/>
      <c r="CM3110" s="208" t="n"/>
      <c r="CN3110" s="78" t="n"/>
      <c r="CO3110" s="209" t="n"/>
      <c r="CP3110" s="204" t="n"/>
      <c r="CQ3110" s="204" t="n"/>
      <c r="CR3110" s="204" t="n"/>
      <c r="CS3110" s="204" t="n"/>
      <c r="CT3110" s="204" t="n"/>
      <c r="CU3110" s="204" t="n"/>
      <c r="CV3110" s="204" t="n"/>
      <c r="CW3110" s="204" t="n"/>
    </row>
    <row r="3111">
      <c r="BF3111" s="78" t="n"/>
      <c r="BG3111" s="78" t="n"/>
      <c r="BH3111" s="78" t="n"/>
      <c r="BI3111" s="78" t="n"/>
      <c r="BJ3111" s="139" t="n"/>
      <c r="BK3111" s="204" t="n"/>
      <c r="BL3111" s="141" t="n"/>
      <c r="BM3111" s="205" t="n"/>
      <c r="BN3111" s="205" t="n"/>
      <c r="BO3111" s="206" t="n"/>
      <c r="BP3111" s="144" t="n"/>
      <c r="BQ3111" s="141" t="n"/>
      <c r="BR3111" s="207" t="n"/>
      <c r="BS3111" s="207" t="n"/>
      <c r="BT3111" s="207" t="n"/>
      <c r="BU3111" s="207" t="n"/>
      <c r="BV3111" s="208" t="n"/>
      <c r="BW3111" s="207" t="n"/>
      <c r="BX3111" s="207" t="n"/>
      <c r="BY3111" s="204" t="n"/>
      <c r="BZ3111" s="148" t="n"/>
      <c r="CA3111" s="204" t="n"/>
      <c r="CB3111" s="208" t="n"/>
      <c r="CC3111" s="139" t="n"/>
      <c r="CD3111" s="204" t="n"/>
      <c r="CE3111" s="204" t="n"/>
      <c r="CF3111" s="207" t="n"/>
      <c r="CG3111" s="208" t="n"/>
      <c r="CH3111" s="207" t="n"/>
      <c r="CI3111" s="208" t="n"/>
      <c r="CJ3111" s="204" t="n"/>
      <c r="CK3111" s="208" t="n"/>
      <c r="CL3111" s="208" t="n"/>
      <c r="CM3111" s="208" t="n"/>
      <c r="CN3111" s="78" t="n"/>
      <c r="CO3111" s="209" t="n"/>
      <c r="CP3111" s="204" t="n"/>
      <c r="CQ3111" s="204" t="n"/>
      <c r="CR3111" s="204" t="n"/>
      <c r="CS3111" s="204" t="n"/>
      <c r="CT3111" s="204" t="n"/>
      <c r="CU3111" s="204" t="n"/>
      <c r="CV3111" s="204" t="n"/>
      <c r="CW3111" s="204" t="n"/>
    </row>
    <row r="3112">
      <c r="BF3112" s="78" t="n"/>
      <c r="BG3112" s="78" t="n"/>
      <c r="BH3112" s="78" t="n"/>
      <c r="BI3112" s="78" t="n"/>
      <c r="BJ3112" s="139" t="n"/>
      <c r="BK3112" s="204" t="n"/>
      <c r="BL3112" s="141" t="n"/>
      <c r="BM3112" s="205" t="n"/>
      <c r="BN3112" s="205" t="n"/>
      <c r="BO3112" s="206" t="n"/>
      <c r="BP3112" s="144" t="n"/>
      <c r="BQ3112" s="141" t="n"/>
      <c r="BR3112" s="207" t="n"/>
      <c r="BS3112" s="207" t="n"/>
      <c r="BT3112" s="207" t="n"/>
      <c r="BU3112" s="207" t="n"/>
      <c r="BV3112" s="208" t="n"/>
      <c r="BW3112" s="207" t="n"/>
      <c r="BX3112" s="207" t="n"/>
      <c r="BY3112" s="204" t="n"/>
      <c r="BZ3112" s="148" t="n"/>
      <c r="CA3112" s="204" t="n"/>
      <c r="CB3112" s="208" t="n"/>
      <c r="CC3112" s="139" t="n"/>
      <c r="CD3112" s="204" t="n"/>
      <c r="CE3112" s="204" t="n"/>
      <c r="CF3112" s="207" t="n"/>
      <c r="CG3112" s="208" t="n"/>
      <c r="CH3112" s="207" t="n"/>
      <c r="CI3112" s="208" t="n"/>
      <c r="CJ3112" s="204" t="n"/>
      <c r="CK3112" s="208" t="n"/>
      <c r="CL3112" s="208" t="n"/>
      <c r="CM3112" s="208" t="n"/>
      <c r="CN3112" s="78" t="n"/>
      <c r="CO3112" s="209" t="n"/>
      <c r="CP3112" s="204" t="n"/>
      <c r="CQ3112" s="204" t="n"/>
      <c r="CR3112" s="204" t="n"/>
      <c r="CS3112" s="204" t="n"/>
      <c r="CT3112" s="204" t="n"/>
      <c r="CU3112" s="204" t="n"/>
      <c r="CV3112" s="204" t="n"/>
      <c r="CW3112" s="204" t="n"/>
    </row>
    <row r="3113">
      <c r="BF3113" s="78" t="n"/>
      <c r="BG3113" s="78" t="n"/>
      <c r="BH3113" s="78" t="n"/>
      <c r="BI3113" s="78" t="n"/>
      <c r="BJ3113" s="139" t="n"/>
      <c r="BK3113" s="204" t="n"/>
      <c r="BL3113" s="141" t="n"/>
      <c r="BM3113" s="205" t="n"/>
      <c r="BN3113" s="205" t="n"/>
      <c r="BO3113" s="206" t="n"/>
      <c r="BP3113" s="144" t="n"/>
      <c r="BQ3113" s="141" t="n"/>
      <c r="BR3113" s="207" t="n"/>
      <c r="BS3113" s="207" t="n"/>
      <c r="BT3113" s="207" t="n"/>
      <c r="BU3113" s="207" t="n"/>
      <c r="BV3113" s="208" t="n"/>
      <c r="BW3113" s="207" t="n"/>
      <c r="BX3113" s="207" t="n"/>
      <c r="BY3113" s="204" t="n"/>
      <c r="BZ3113" s="148" t="n"/>
      <c r="CA3113" s="204" t="n"/>
      <c r="CB3113" s="208" t="n"/>
      <c r="CC3113" s="139" t="n"/>
      <c r="CD3113" s="204" t="n"/>
      <c r="CE3113" s="204" t="n"/>
      <c r="CF3113" s="207" t="n"/>
      <c r="CG3113" s="208" t="n"/>
      <c r="CH3113" s="207" t="n"/>
      <c r="CI3113" s="208" t="n"/>
      <c r="CJ3113" s="204" t="n"/>
      <c r="CK3113" s="208" t="n"/>
      <c r="CL3113" s="208" t="n"/>
      <c r="CM3113" s="208" t="n"/>
      <c r="CN3113" s="78" t="n"/>
      <c r="CO3113" s="209" t="n"/>
      <c r="CP3113" s="204" t="n"/>
      <c r="CQ3113" s="204" t="n"/>
      <c r="CR3113" s="204" t="n"/>
      <c r="CS3113" s="204" t="n"/>
      <c r="CT3113" s="204" t="n"/>
      <c r="CU3113" s="204" t="n"/>
      <c r="CV3113" s="204" t="n"/>
      <c r="CW3113" s="204" t="n"/>
    </row>
    <row r="3114">
      <c r="AR3114" s="151" t="n"/>
      <c r="BF3114" s="78" t="n"/>
      <c r="BG3114" s="78" t="n"/>
      <c r="BH3114" s="78" t="n"/>
      <c r="BI3114" s="78" t="n"/>
      <c r="BJ3114" s="139" t="n"/>
      <c r="BK3114" s="204" t="n"/>
      <c r="BL3114" s="141" t="n"/>
      <c r="BM3114" s="205" t="n"/>
      <c r="BN3114" s="205" t="n"/>
      <c r="BO3114" s="206" t="n"/>
      <c r="BP3114" s="144" t="n"/>
      <c r="BQ3114" s="141" t="n"/>
      <c r="BR3114" s="207" t="n"/>
      <c r="BS3114" s="207" t="n"/>
      <c r="BT3114" s="207" t="n"/>
      <c r="BU3114" s="207" t="n"/>
      <c r="BV3114" s="208" t="n"/>
      <c r="BW3114" s="207" t="n"/>
      <c r="BX3114" s="207" t="n"/>
      <c r="BY3114" s="204" t="n"/>
      <c r="BZ3114" s="148" t="n"/>
      <c r="CA3114" s="204" t="n"/>
      <c r="CB3114" s="208" t="n"/>
      <c r="CC3114" s="139" t="n"/>
      <c r="CD3114" s="204" t="n"/>
      <c r="CE3114" s="204" t="n"/>
      <c r="CF3114" s="207" t="n"/>
      <c r="CG3114" s="208" t="n"/>
      <c r="CH3114" s="207" t="n"/>
      <c r="CI3114" s="208" t="n"/>
      <c r="CJ3114" s="204" t="n"/>
      <c r="CK3114" s="208" t="n"/>
      <c r="CL3114" s="208" t="n"/>
      <c r="CM3114" s="208" t="n"/>
      <c r="CN3114" s="78" t="n"/>
      <c r="CO3114" s="209" t="n"/>
      <c r="CP3114" s="204" t="n"/>
      <c r="CQ3114" s="204" t="n"/>
      <c r="CR3114" s="204" t="n"/>
      <c r="CS3114" s="204" t="n"/>
      <c r="CT3114" s="204" t="n"/>
      <c r="CU3114" s="204" t="n"/>
      <c r="CV3114" s="204" t="n"/>
      <c r="CW3114" s="204" t="n"/>
    </row>
    <row r="3115">
      <c r="AR3115" s="151" t="n"/>
      <c r="BF3115" s="78" t="n"/>
      <c r="BG3115" s="78" t="n"/>
      <c r="BH3115" s="78" t="n"/>
      <c r="BI3115" s="78" t="n"/>
      <c r="BJ3115" s="139" t="n"/>
      <c r="BK3115" s="204" t="n"/>
      <c r="BL3115" s="141" t="n"/>
      <c r="BM3115" s="205" t="n"/>
      <c r="BN3115" s="205" t="n"/>
      <c r="BO3115" s="206" t="n"/>
      <c r="BP3115" s="144" t="n"/>
      <c r="BQ3115" s="141" t="n"/>
      <c r="BR3115" s="207" t="n"/>
      <c r="BS3115" s="207" t="n"/>
      <c r="BT3115" s="207" t="n"/>
      <c r="BU3115" s="207" t="n"/>
      <c r="BV3115" s="208" t="n"/>
      <c r="BW3115" s="207" t="n"/>
      <c r="BX3115" s="207" t="n"/>
      <c r="BY3115" s="204" t="n"/>
      <c r="BZ3115" s="148" t="n"/>
      <c r="CA3115" s="204" t="n"/>
      <c r="CB3115" s="208" t="n"/>
      <c r="CC3115" s="139" t="n"/>
      <c r="CD3115" s="204" t="n"/>
      <c r="CE3115" s="204" t="n"/>
      <c r="CF3115" s="207" t="n"/>
      <c r="CG3115" s="208" t="n"/>
      <c r="CH3115" s="207" t="n"/>
      <c r="CI3115" s="208" t="n"/>
      <c r="CJ3115" s="204" t="n"/>
      <c r="CK3115" s="208" t="n"/>
      <c r="CL3115" s="208" t="n"/>
      <c r="CM3115" s="208" t="n"/>
      <c r="CN3115" s="78" t="n"/>
      <c r="CO3115" s="209" t="n"/>
      <c r="CP3115" s="204" t="n"/>
      <c r="CQ3115" s="204" t="n"/>
      <c r="CR3115" s="204" t="n"/>
      <c r="CS3115" s="204" t="n"/>
      <c r="CT3115" s="204" t="n"/>
      <c r="CU3115" s="204" t="n"/>
      <c r="CV3115" s="204" t="n"/>
      <c r="CW3115" s="204" t="n"/>
    </row>
    <row r="3116">
      <c r="AR3116" s="151" t="n"/>
      <c r="BF3116" s="78" t="n"/>
      <c r="BG3116" s="78" t="n"/>
      <c r="BH3116" s="78" t="n"/>
      <c r="BI3116" s="78" t="n"/>
      <c r="BJ3116" s="139" t="n"/>
      <c r="BK3116" s="204" t="n"/>
      <c r="BL3116" s="141" t="n"/>
      <c r="BM3116" s="205" t="n"/>
      <c r="BN3116" s="205" t="n"/>
      <c r="BO3116" s="206" t="n"/>
      <c r="BP3116" s="144" t="n"/>
      <c r="BQ3116" s="141" t="n"/>
      <c r="BR3116" s="207" t="n"/>
      <c r="BS3116" s="207" t="n"/>
      <c r="BT3116" s="207" t="n"/>
      <c r="BU3116" s="207" t="n"/>
      <c r="BV3116" s="208" t="n"/>
      <c r="BW3116" s="207" t="n"/>
      <c r="BX3116" s="207" t="n"/>
      <c r="BY3116" s="204" t="n"/>
      <c r="BZ3116" s="148" t="n"/>
      <c r="CA3116" s="204" t="n"/>
      <c r="CB3116" s="208" t="n"/>
      <c r="CC3116" s="139" t="n"/>
      <c r="CD3116" s="204" t="n"/>
      <c r="CE3116" s="204" t="n"/>
      <c r="CF3116" s="207" t="n"/>
      <c r="CG3116" s="208" t="n"/>
      <c r="CH3116" s="207" t="n"/>
      <c r="CI3116" s="208" t="n"/>
      <c r="CJ3116" s="204" t="n"/>
      <c r="CK3116" s="208" t="n"/>
      <c r="CL3116" s="208" t="n"/>
      <c r="CM3116" s="208" t="n"/>
      <c r="CN3116" s="78" t="n"/>
      <c r="CO3116" s="209" t="n"/>
      <c r="CP3116" s="204" t="n"/>
      <c r="CQ3116" s="204" t="n"/>
      <c r="CR3116" s="204" t="n"/>
      <c r="CS3116" s="204" t="n"/>
      <c r="CT3116" s="204" t="n"/>
      <c r="CU3116" s="204" t="n"/>
      <c r="CV3116" s="204" t="n"/>
      <c r="CW3116" s="204" t="n"/>
    </row>
    <row r="3117">
      <c r="AR3117" s="151" t="n"/>
      <c r="BF3117" s="78" t="n"/>
      <c r="BG3117" s="78" t="n"/>
      <c r="BH3117" s="78" t="n"/>
      <c r="BI3117" s="78" t="n"/>
      <c r="BJ3117" s="139" t="n"/>
      <c r="BK3117" s="204" t="n"/>
      <c r="BL3117" s="141" t="n"/>
      <c r="BM3117" s="205" t="n"/>
      <c r="BN3117" s="205" t="n"/>
      <c r="BO3117" s="206" t="n"/>
      <c r="BP3117" s="144" t="n"/>
      <c r="BQ3117" s="141" t="n"/>
      <c r="BR3117" s="207" t="n"/>
      <c r="BS3117" s="207" t="n"/>
      <c r="BT3117" s="207" t="n"/>
      <c r="BU3117" s="207" t="n"/>
      <c r="BV3117" s="208" t="n"/>
      <c r="BW3117" s="207" t="n"/>
      <c r="BX3117" s="207" t="n"/>
      <c r="BY3117" s="204" t="n"/>
      <c r="BZ3117" s="148" t="n"/>
      <c r="CA3117" s="204" t="n"/>
      <c r="CB3117" s="208" t="n"/>
      <c r="CC3117" s="139" t="n"/>
      <c r="CD3117" s="204" t="n"/>
      <c r="CE3117" s="204" t="n"/>
      <c r="CF3117" s="207" t="n"/>
      <c r="CG3117" s="208" t="n"/>
      <c r="CH3117" s="207" t="n"/>
      <c r="CI3117" s="208" t="n"/>
      <c r="CJ3117" s="204" t="n"/>
      <c r="CK3117" s="208" t="n"/>
      <c r="CL3117" s="208" t="n"/>
      <c r="CM3117" s="208" t="n"/>
      <c r="CN3117" s="78" t="n"/>
      <c r="CO3117" s="209" t="n"/>
      <c r="CP3117" s="204" t="n"/>
      <c r="CQ3117" s="204" t="n"/>
      <c r="CR3117" s="204" t="n"/>
      <c r="CS3117" s="204" t="n"/>
      <c r="CT3117" s="204" t="n"/>
      <c r="CU3117" s="204" t="n"/>
      <c r="CV3117" s="204" t="n"/>
      <c r="CW3117" s="204" t="n"/>
    </row>
    <row r="3118">
      <c r="AR3118" s="151" t="n"/>
      <c r="BF3118" s="78" t="n"/>
      <c r="BG3118" s="78" t="n"/>
      <c r="BH3118" s="78" t="n"/>
      <c r="BI3118" s="78" t="n"/>
      <c r="BJ3118" s="139" t="n"/>
      <c r="BK3118" s="204" t="n"/>
      <c r="BL3118" s="141" t="n"/>
      <c r="BM3118" s="205" t="n"/>
      <c r="BN3118" s="205" t="n"/>
      <c r="BO3118" s="206" t="n"/>
      <c r="BP3118" s="144" t="n"/>
      <c r="BQ3118" s="141" t="n"/>
      <c r="BR3118" s="207" t="n"/>
      <c r="BS3118" s="207" t="n"/>
      <c r="BT3118" s="207" t="n"/>
      <c r="BU3118" s="207" t="n"/>
      <c r="BV3118" s="208" t="n"/>
      <c r="BW3118" s="207" t="n"/>
      <c r="BX3118" s="207" t="n"/>
      <c r="BY3118" s="204" t="n"/>
      <c r="BZ3118" s="148" t="n"/>
      <c r="CA3118" s="204" t="n"/>
      <c r="CB3118" s="208" t="n"/>
      <c r="CC3118" s="139" t="n"/>
      <c r="CD3118" s="204" t="n"/>
      <c r="CE3118" s="204" t="n"/>
      <c r="CF3118" s="207" t="n"/>
      <c r="CG3118" s="208" t="n"/>
      <c r="CH3118" s="207" t="n"/>
      <c r="CI3118" s="208" t="n"/>
      <c r="CJ3118" s="204" t="n"/>
      <c r="CK3118" s="208" t="n"/>
      <c r="CL3118" s="208" t="n"/>
      <c r="CM3118" s="208" t="n"/>
      <c r="CN3118" s="78" t="n"/>
      <c r="CO3118" s="209" t="n"/>
      <c r="CP3118" s="204" t="n"/>
      <c r="CQ3118" s="204" t="n"/>
      <c r="CR3118" s="204" t="n"/>
      <c r="CS3118" s="204" t="n"/>
      <c r="CT3118" s="204" t="n"/>
      <c r="CU3118" s="204" t="n"/>
      <c r="CV3118" s="204" t="n"/>
      <c r="CW3118" s="204" t="n"/>
    </row>
    <row r="3119">
      <c r="BF3119" s="78" t="n"/>
      <c r="BG3119" s="78" t="n"/>
      <c r="BH3119" s="78" t="n"/>
      <c r="BI3119" s="78" t="n"/>
      <c r="BJ3119" s="139" t="n"/>
      <c r="BK3119" s="204" t="n"/>
      <c r="BL3119" s="141" t="n"/>
      <c r="BM3119" s="205" t="n"/>
      <c r="BN3119" s="205" t="n"/>
      <c r="BO3119" s="206" t="n"/>
      <c r="BP3119" s="144" t="n"/>
      <c r="BQ3119" s="141" t="n"/>
      <c r="BR3119" s="207" t="n"/>
      <c r="BS3119" s="207" t="n"/>
      <c r="BT3119" s="207" t="n"/>
      <c r="BU3119" s="207" t="n"/>
      <c r="BV3119" s="208" t="n"/>
      <c r="BW3119" s="207" t="n"/>
      <c r="BX3119" s="207" t="n"/>
      <c r="BY3119" s="204" t="n"/>
      <c r="BZ3119" s="148" t="n"/>
      <c r="CA3119" s="204" t="n"/>
      <c r="CB3119" s="208" t="n"/>
      <c r="CC3119" s="139" t="n"/>
      <c r="CD3119" s="204" t="n"/>
      <c r="CE3119" s="204" t="n"/>
      <c r="CF3119" s="207" t="n"/>
      <c r="CG3119" s="208" t="n"/>
      <c r="CH3119" s="207" t="n"/>
      <c r="CI3119" s="208" t="n"/>
      <c r="CJ3119" s="204" t="n"/>
      <c r="CK3119" s="208" t="n"/>
      <c r="CL3119" s="208" t="n"/>
      <c r="CM3119" s="208" t="n"/>
      <c r="CN3119" s="78" t="n"/>
      <c r="CO3119" s="209" t="n"/>
      <c r="CP3119" s="204" t="n"/>
      <c r="CQ3119" s="204" t="n"/>
      <c r="CR3119" s="204" t="n"/>
      <c r="CS3119" s="204" t="n"/>
      <c r="CT3119" s="204" t="n"/>
      <c r="CU3119" s="204" t="n"/>
      <c r="CV3119" s="204" t="n"/>
      <c r="CW3119" s="204" t="n"/>
    </row>
    <row r="3120">
      <c r="BF3120" s="78" t="n"/>
      <c r="BG3120" s="78" t="n"/>
      <c r="BH3120" s="78" t="n"/>
      <c r="BI3120" s="78" t="n"/>
      <c r="BJ3120" s="139" t="n"/>
      <c r="BK3120" s="204" t="n"/>
      <c r="BL3120" s="141" t="n"/>
      <c r="BM3120" s="205" t="n"/>
      <c r="BN3120" s="205" t="n"/>
      <c r="BO3120" s="206" t="n"/>
      <c r="BP3120" s="144" t="n"/>
      <c r="BQ3120" s="141" t="n"/>
      <c r="BR3120" s="207" t="n"/>
      <c r="BS3120" s="207" t="n"/>
      <c r="BT3120" s="207" t="n"/>
      <c r="BU3120" s="207" t="n"/>
      <c r="BV3120" s="208" t="n"/>
      <c r="BW3120" s="207" t="n"/>
      <c r="BX3120" s="207" t="n"/>
      <c r="BY3120" s="204" t="n"/>
      <c r="BZ3120" s="148" t="n"/>
      <c r="CA3120" s="204" t="n"/>
      <c r="CB3120" s="208" t="n"/>
      <c r="CC3120" s="139" t="n"/>
      <c r="CD3120" s="204" t="n"/>
      <c r="CE3120" s="204" t="n"/>
      <c r="CF3120" s="207" t="n"/>
      <c r="CG3120" s="208" t="n"/>
      <c r="CH3120" s="207" t="n"/>
      <c r="CI3120" s="208" t="n"/>
      <c r="CJ3120" s="204" t="n"/>
      <c r="CK3120" s="208" t="n"/>
      <c r="CL3120" s="208" t="n"/>
      <c r="CM3120" s="208" t="n"/>
      <c r="CN3120" s="78" t="n"/>
      <c r="CO3120" s="209" t="n"/>
      <c r="CP3120" s="204" t="n"/>
      <c r="CQ3120" s="204" t="n"/>
      <c r="CR3120" s="204" t="n"/>
      <c r="CS3120" s="204" t="n"/>
      <c r="CT3120" s="204" t="n"/>
      <c r="CU3120" s="204" t="n"/>
      <c r="CV3120" s="204" t="n"/>
      <c r="CW3120" s="204" t="n"/>
    </row>
    <row r="3121">
      <c r="BF3121" s="78" t="n"/>
      <c r="BG3121" s="78" t="n"/>
      <c r="BH3121" s="78" t="n"/>
      <c r="BI3121" s="78" t="n"/>
      <c r="BJ3121" s="139" t="n"/>
      <c r="BK3121" s="204" t="n"/>
      <c r="BL3121" s="141" t="n"/>
      <c r="BM3121" s="205" t="n"/>
      <c r="BN3121" s="205" t="n"/>
      <c r="BO3121" s="206" t="n"/>
      <c r="BP3121" s="144" t="n"/>
      <c r="BQ3121" s="141" t="n"/>
      <c r="BR3121" s="207" t="n"/>
      <c r="BS3121" s="207" t="n"/>
      <c r="BT3121" s="207" t="n"/>
      <c r="BU3121" s="207" t="n"/>
      <c r="BV3121" s="208" t="n"/>
      <c r="BW3121" s="207" t="n"/>
      <c r="BX3121" s="207" t="n"/>
      <c r="BY3121" s="204" t="n"/>
      <c r="BZ3121" s="148" t="n"/>
      <c r="CA3121" s="204" t="n"/>
      <c r="CB3121" s="208" t="n"/>
      <c r="CC3121" s="139" t="n"/>
      <c r="CD3121" s="204" t="n"/>
      <c r="CE3121" s="204" t="n"/>
      <c r="CF3121" s="207" t="n"/>
      <c r="CG3121" s="208" t="n"/>
      <c r="CH3121" s="207" t="n"/>
      <c r="CI3121" s="208" t="n"/>
      <c r="CJ3121" s="204" t="n"/>
      <c r="CK3121" s="208" t="n"/>
      <c r="CL3121" s="208" t="n"/>
      <c r="CM3121" s="208" t="n"/>
      <c r="CN3121" s="78" t="n"/>
      <c r="CO3121" s="209" t="n"/>
      <c r="CP3121" s="204" t="n"/>
      <c r="CQ3121" s="204" t="n"/>
      <c r="CR3121" s="204" t="n"/>
      <c r="CS3121" s="204" t="n"/>
      <c r="CT3121" s="204" t="n"/>
      <c r="CU3121" s="204" t="n"/>
      <c r="CV3121" s="204" t="n"/>
      <c r="CW3121" s="204" t="n"/>
    </row>
    <row r="3122">
      <c r="BF3122" s="78" t="n"/>
      <c r="BG3122" s="78" t="n"/>
      <c r="BH3122" s="78" t="n"/>
      <c r="BI3122" s="78" t="n"/>
      <c r="BJ3122" s="139" t="n"/>
      <c r="BK3122" s="204" t="n"/>
      <c r="BL3122" s="141" t="n"/>
      <c r="BM3122" s="205" t="n"/>
      <c r="BN3122" s="205" t="n"/>
      <c r="BO3122" s="206" t="n"/>
      <c r="BP3122" s="144" t="n"/>
      <c r="BQ3122" s="141" t="n"/>
      <c r="BR3122" s="207" t="n"/>
      <c r="BS3122" s="207" t="n"/>
      <c r="BT3122" s="207" t="n"/>
      <c r="BU3122" s="207" t="n"/>
      <c r="BV3122" s="208" t="n"/>
      <c r="BW3122" s="207" t="n"/>
      <c r="BX3122" s="207" t="n"/>
      <c r="BY3122" s="204" t="n"/>
      <c r="BZ3122" s="148" t="n"/>
      <c r="CA3122" s="204" t="n"/>
      <c r="CB3122" s="208" t="n"/>
      <c r="CC3122" s="139" t="n"/>
      <c r="CD3122" s="204" t="n"/>
      <c r="CE3122" s="204" t="n"/>
      <c r="CF3122" s="207" t="n"/>
      <c r="CG3122" s="208" t="n"/>
      <c r="CH3122" s="207" t="n"/>
      <c r="CI3122" s="208" t="n"/>
      <c r="CJ3122" s="204" t="n"/>
      <c r="CK3122" s="208" t="n"/>
      <c r="CL3122" s="208" t="n"/>
      <c r="CM3122" s="208" t="n"/>
      <c r="CN3122" s="78" t="n"/>
      <c r="CO3122" s="209" t="n"/>
      <c r="CP3122" s="204" t="n"/>
      <c r="CQ3122" s="204" t="n"/>
      <c r="CR3122" s="204" t="n"/>
      <c r="CS3122" s="204" t="n"/>
      <c r="CT3122" s="204" t="n"/>
      <c r="CU3122" s="204" t="n"/>
      <c r="CV3122" s="204" t="n"/>
      <c r="CW3122" s="204" t="n"/>
    </row>
    <row r="3123">
      <c r="BF3123" s="78" t="n"/>
      <c r="BG3123" s="78" t="n"/>
      <c r="BH3123" s="78" t="n"/>
      <c r="BI3123" s="78" t="n"/>
      <c r="BJ3123" s="139" t="n"/>
      <c r="BK3123" s="204" t="n"/>
      <c r="BL3123" s="141" t="n"/>
      <c r="BM3123" s="205" t="n"/>
      <c r="BN3123" s="205" t="n"/>
      <c r="BO3123" s="206" t="n"/>
      <c r="BP3123" s="144" t="n"/>
      <c r="BQ3123" s="141" t="n"/>
      <c r="BR3123" s="207" t="n"/>
      <c r="BS3123" s="207" t="n"/>
      <c r="BT3123" s="207" t="n"/>
      <c r="BU3123" s="207" t="n"/>
      <c r="BV3123" s="208" t="n"/>
      <c r="BW3123" s="207" t="n"/>
      <c r="BX3123" s="207" t="n"/>
      <c r="BY3123" s="204" t="n"/>
      <c r="BZ3123" s="148" t="n"/>
      <c r="CA3123" s="204" t="n"/>
      <c r="CB3123" s="208" t="n"/>
      <c r="CC3123" s="139" t="n"/>
      <c r="CD3123" s="204" t="n"/>
      <c r="CE3123" s="204" t="n"/>
      <c r="CF3123" s="207" t="n"/>
      <c r="CG3123" s="208" t="n"/>
      <c r="CH3123" s="207" t="n"/>
      <c r="CI3123" s="208" t="n"/>
      <c r="CJ3123" s="204" t="n"/>
      <c r="CK3123" s="208" t="n"/>
      <c r="CL3123" s="208" t="n"/>
      <c r="CM3123" s="208" t="n"/>
      <c r="CN3123" s="78" t="n"/>
      <c r="CO3123" s="209" t="n"/>
      <c r="CP3123" s="204" t="n"/>
      <c r="CQ3123" s="204" t="n"/>
      <c r="CR3123" s="204" t="n"/>
      <c r="CS3123" s="204" t="n"/>
      <c r="CT3123" s="204" t="n"/>
      <c r="CU3123" s="204" t="n"/>
      <c r="CV3123" s="204" t="n"/>
      <c r="CW3123" s="204" t="n"/>
    </row>
    <row r="3124">
      <c r="BF3124" s="78" t="n"/>
      <c r="BG3124" s="78" t="n"/>
      <c r="BH3124" s="78" t="n"/>
      <c r="BI3124" s="78" t="n"/>
      <c r="BJ3124" s="139" t="n"/>
      <c r="BK3124" s="204" t="n"/>
      <c r="BL3124" s="141" t="n"/>
      <c r="BM3124" s="205" t="n"/>
      <c r="BN3124" s="205" t="n"/>
      <c r="BO3124" s="206" t="n"/>
      <c r="BP3124" s="144" t="n"/>
      <c r="BQ3124" s="141" t="n"/>
      <c r="BR3124" s="207" t="n"/>
      <c r="BS3124" s="207" t="n"/>
      <c r="BT3124" s="207" t="n"/>
      <c r="BU3124" s="207" t="n"/>
      <c r="BV3124" s="208" t="n"/>
      <c r="BW3124" s="207" t="n"/>
      <c r="BX3124" s="207" t="n"/>
      <c r="BY3124" s="204" t="n"/>
      <c r="BZ3124" s="148" t="n"/>
      <c r="CA3124" s="204" t="n"/>
      <c r="CB3124" s="208" t="n"/>
      <c r="CC3124" s="139" t="n"/>
      <c r="CD3124" s="204" t="n"/>
      <c r="CE3124" s="204" t="n"/>
      <c r="CF3124" s="207" t="n"/>
      <c r="CG3124" s="208" t="n"/>
      <c r="CH3124" s="207" t="n"/>
      <c r="CI3124" s="208" t="n"/>
      <c r="CJ3124" s="204" t="n"/>
      <c r="CK3124" s="208" t="n"/>
      <c r="CL3124" s="208" t="n"/>
      <c r="CM3124" s="208" t="n"/>
      <c r="CN3124" s="78" t="n"/>
      <c r="CO3124" s="209" t="n"/>
      <c r="CP3124" s="204" t="n"/>
      <c r="CQ3124" s="204" t="n"/>
      <c r="CR3124" s="204" t="n"/>
      <c r="CS3124" s="204" t="n"/>
      <c r="CT3124" s="204" t="n"/>
      <c r="CU3124" s="204" t="n"/>
      <c r="CV3124" s="204" t="n"/>
      <c r="CW3124" s="204" t="n"/>
    </row>
    <row r="3125">
      <c r="BF3125" s="78" t="n"/>
      <c r="BG3125" s="78" t="n"/>
      <c r="BH3125" s="78" t="n"/>
      <c r="BI3125" s="78" t="n"/>
      <c r="BJ3125" s="139" t="n"/>
      <c r="BK3125" s="204" t="n"/>
      <c r="BL3125" s="141" t="n"/>
      <c r="BM3125" s="205" t="n"/>
      <c r="BN3125" s="205" t="n"/>
      <c r="BO3125" s="206" t="n"/>
      <c r="BP3125" s="144" t="n"/>
      <c r="BQ3125" s="141" t="n"/>
      <c r="BR3125" s="207" t="n"/>
      <c r="BS3125" s="207" t="n"/>
      <c r="BT3125" s="207" t="n"/>
      <c r="BU3125" s="207" t="n"/>
      <c r="BV3125" s="208" t="n"/>
      <c r="BW3125" s="207" t="n"/>
      <c r="BX3125" s="207" t="n"/>
      <c r="BY3125" s="204" t="n"/>
      <c r="BZ3125" s="148" t="n"/>
      <c r="CA3125" s="204" t="n"/>
      <c r="CB3125" s="208" t="n"/>
      <c r="CC3125" s="139" t="n"/>
      <c r="CD3125" s="204" t="n"/>
      <c r="CE3125" s="204" t="n"/>
      <c r="CF3125" s="207" t="n"/>
      <c r="CG3125" s="208" t="n"/>
      <c r="CH3125" s="207" t="n"/>
      <c r="CI3125" s="208" t="n"/>
      <c r="CJ3125" s="204" t="n"/>
      <c r="CK3125" s="208" t="n"/>
      <c r="CL3125" s="208" t="n"/>
      <c r="CM3125" s="208" t="n"/>
      <c r="CN3125" s="78" t="n"/>
      <c r="CO3125" s="209" t="n"/>
      <c r="CP3125" s="204" t="n"/>
      <c r="CQ3125" s="204" t="n"/>
      <c r="CR3125" s="204" t="n"/>
      <c r="CS3125" s="204" t="n"/>
      <c r="CT3125" s="204" t="n"/>
      <c r="CU3125" s="204" t="n"/>
      <c r="CV3125" s="204" t="n"/>
      <c r="CW3125" s="204" t="n"/>
    </row>
    <row r="3126">
      <c r="BF3126" s="78" t="n"/>
      <c r="BG3126" s="78" t="n"/>
      <c r="BH3126" s="78" t="n"/>
      <c r="BI3126" s="78" t="n"/>
      <c r="BJ3126" s="139" t="n"/>
      <c r="BK3126" s="204" t="n"/>
      <c r="BL3126" s="141" t="n"/>
      <c r="BM3126" s="205" t="n"/>
      <c r="BN3126" s="205" t="n"/>
      <c r="BO3126" s="206" t="n"/>
      <c r="BP3126" s="144" t="n"/>
      <c r="BQ3126" s="141" t="n"/>
      <c r="BR3126" s="207" t="n"/>
      <c r="BS3126" s="207" t="n"/>
      <c r="BT3126" s="207" t="n"/>
      <c r="BU3126" s="207" t="n"/>
      <c r="BV3126" s="208" t="n"/>
      <c r="BW3126" s="207" t="n"/>
      <c r="BX3126" s="207" t="n"/>
      <c r="BY3126" s="204" t="n"/>
      <c r="BZ3126" s="148" t="n"/>
      <c r="CA3126" s="204" t="n"/>
      <c r="CB3126" s="208" t="n"/>
      <c r="CC3126" s="139" t="n"/>
      <c r="CD3126" s="204" t="n"/>
      <c r="CE3126" s="204" t="n"/>
      <c r="CF3126" s="207" t="n"/>
      <c r="CG3126" s="208" t="n"/>
      <c r="CH3126" s="207" t="n"/>
      <c r="CI3126" s="208" t="n"/>
      <c r="CJ3126" s="204" t="n"/>
      <c r="CK3126" s="208" t="n"/>
      <c r="CL3126" s="208" t="n"/>
      <c r="CM3126" s="208" t="n"/>
      <c r="CN3126" s="78" t="n"/>
      <c r="CO3126" s="209" t="n"/>
      <c r="CP3126" s="204" t="n"/>
      <c r="CQ3126" s="204" t="n"/>
      <c r="CR3126" s="204" t="n"/>
      <c r="CS3126" s="204" t="n"/>
      <c r="CT3126" s="204" t="n"/>
      <c r="CU3126" s="204" t="n"/>
      <c r="CV3126" s="204" t="n"/>
      <c r="CW3126" s="204" t="n"/>
    </row>
    <row r="3127">
      <c r="BF3127" s="78" t="n"/>
      <c r="BG3127" s="78" t="n"/>
      <c r="BH3127" s="78" t="n"/>
      <c r="BI3127" s="78" t="n"/>
      <c r="BJ3127" s="139" t="n"/>
      <c r="BK3127" s="204" t="n"/>
      <c r="BL3127" s="141" t="n"/>
      <c r="BM3127" s="205" t="n"/>
      <c r="BN3127" s="205" t="n"/>
      <c r="BO3127" s="206" t="n"/>
      <c r="BP3127" s="144" t="n"/>
      <c r="BQ3127" s="141" t="n"/>
      <c r="BR3127" s="207" t="n"/>
      <c r="BS3127" s="207" t="n"/>
      <c r="BT3127" s="207" t="n"/>
      <c r="BU3127" s="207" t="n"/>
      <c r="BV3127" s="208" t="n"/>
      <c r="BW3127" s="207" t="n"/>
      <c r="BX3127" s="207" t="n"/>
      <c r="BY3127" s="204" t="n"/>
      <c r="BZ3127" s="148" t="n"/>
      <c r="CA3127" s="204" t="n"/>
      <c r="CB3127" s="208" t="n"/>
      <c r="CC3127" s="139" t="n"/>
      <c r="CD3127" s="204" t="n"/>
      <c r="CE3127" s="204" t="n"/>
      <c r="CF3127" s="207" t="n"/>
      <c r="CG3127" s="208" t="n"/>
      <c r="CH3127" s="207" t="n"/>
      <c r="CI3127" s="208" t="n"/>
      <c r="CJ3127" s="204" t="n"/>
      <c r="CK3127" s="208" t="n"/>
      <c r="CL3127" s="208" t="n"/>
      <c r="CM3127" s="208" t="n"/>
      <c r="CN3127" s="78" t="n"/>
      <c r="CO3127" s="209" t="n"/>
      <c r="CP3127" s="204" t="n"/>
      <c r="CQ3127" s="204" t="n"/>
      <c r="CR3127" s="204" t="n"/>
      <c r="CS3127" s="204" t="n"/>
      <c r="CT3127" s="204" t="n"/>
      <c r="CU3127" s="204" t="n"/>
      <c r="CV3127" s="204" t="n"/>
      <c r="CW3127" s="204" t="n"/>
    </row>
    <row r="3128">
      <c r="BF3128" s="78" t="n"/>
      <c r="BG3128" s="78" t="n"/>
      <c r="BH3128" s="78" t="n"/>
      <c r="BI3128" s="78" t="n"/>
      <c r="BJ3128" s="139" t="n"/>
      <c r="BK3128" s="204" t="n"/>
      <c r="BL3128" s="141" t="n"/>
      <c r="BM3128" s="205" t="n"/>
      <c r="BN3128" s="205" t="n"/>
      <c r="BO3128" s="206" t="n"/>
      <c r="BP3128" s="144" t="n"/>
      <c r="BQ3128" s="141" t="n"/>
      <c r="BR3128" s="207" t="n"/>
      <c r="BS3128" s="207" t="n"/>
      <c r="BT3128" s="207" t="n"/>
      <c r="BU3128" s="207" t="n"/>
      <c r="BV3128" s="208" t="n"/>
      <c r="BW3128" s="207" t="n"/>
      <c r="BX3128" s="207" t="n"/>
      <c r="BY3128" s="204" t="n"/>
      <c r="BZ3128" s="148" t="n"/>
      <c r="CA3128" s="204" t="n"/>
      <c r="CB3128" s="208" t="n"/>
      <c r="CC3128" s="139" t="n"/>
      <c r="CD3128" s="204" t="n"/>
      <c r="CE3128" s="204" t="n"/>
      <c r="CF3128" s="207" t="n"/>
      <c r="CG3128" s="208" t="n"/>
      <c r="CH3128" s="207" t="n"/>
      <c r="CI3128" s="208" t="n"/>
      <c r="CJ3128" s="204" t="n"/>
      <c r="CK3128" s="208" t="n"/>
      <c r="CL3128" s="208" t="n"/>
      <c r="CM3128" s="208" t="n"/>
      <c r="CN3128" s="78" t="n"/>
      <c r="CO3128" s="209" t="n"/>
      <c r="CP3128" s="204" t="n"/>
      <c r="CQ3128" s="204" t="n"/>
      <c r="CR3128" s="204" t="n"/>
      <c r="CS3128" s="204" t="n"/>
      <c r="CT3128" s="204" t="n"/>
      <c r="CU3128" s="204" t="n"/>
      <c r="CV3128" s="204" t="n"/>
      <c r="CW3128" s="204" t="n"/>
    </row>
    <row r="3129">
      <c r="BF3129" s="78" t="n"/>
      <c r="BG3129" s="78" t="n"/>
      <c r="BH3129" s="78" t="n"/>
      <c r="BI3129" s="78" t="n"/>
      <c r="BJ3129" s="139" t="n"/>
      <c r="BK3129" s="204" t="n"/>
      <c r="BL3129" s="141" t="n"/>
      <c r="BM3129" s="205" t="n"/>
      <c r="BN3129" s="205" t="n"/>
      <c r="BO3129" s="206" t="n"/>
      <c r="BP3129" s="144" t="n"/>
      <c r="BQ3129" s="141" t="n"/>
      <c r="BR3129" s="207" t="n"/>
      <c r="BS3129" s="207" t="n"/>
      <c r="BT3129" s="207" t="n"/>
      <c r="BU3129" s="207" t="n"/>
      <c r="BV3129" s="208" t="n"/>
      <c r="BW3129" s="207" t="n"/>
      <c r="BX3129" s="207" t="n"/>
      <c r="BY3129" s="204" t="n"/>
      <c r="BZ3129" s="148" t="n"/>
      <c r="CA3129" s="204" t="n"/>
      <c r="CB3129" s="208" t="n"/>
      <c r="CC3129" s="139" t="n"/>
      <c r="CD3129" s="204" t="n"/>
      <c r="CE3129" s="204" t="n"/>
      <c r="CF3129" s="207" t="n"/>
      <c r="CG3129" s="208" t="n"/>
      <c r="CH3129" s="207" t="n"/>
      <c r="CI3129" s="208" t="n"/>
      <c r="CJ3129" s="204" t="n"/>
      <c r="CK3129" s="208" t="n"/>
      <c r="CL3129" s="208" t="n"/>
      <c r="CM3129" s="208" t="n"/>
      <c r="CN3129" s="78" t="n"/>
      <c r="CO3129" s="209" t="n"/>
      <c r="CP3129" s="204" t="n"/>
      <c r="CQ3129" s="204" t="n"/>
      <c r="CR3129" s="204" t="n"/>
      <c r="CS3129" s="204" t="n"/>
      <c r="CT3129" s="204" t="n"/>
      <c r="CU3129" s="204" t="n"/>
      <c r="CV3129" s="204" t="n"/>
      <c r="CW3129" s="204" t="n"/>
    </row>
    <row r="3130">
      <c r="BF3130" s="78" t="n"/>
      <c r="BG3130" s="78" t="n"/>
      <c r="BH3130" s="78" t="n"/>
      <c r="BI3130" s="78" t="n"/>
      <c r="BJ3130" s="139" t="n"/>
      <c r="BK3130" s="204" t="n"/>
      <c r="BL3130" s="141" t="n"/>
      <c r="BM3130" s="205" t="n"/>
      <c r="BN3130" s="205" t="n"/>
      <c r="BO3130" s="206" t="n"/>
      <c r="BP3130" s="144" t="n"/>
      <c r="BQ3130" s="141" t="n"/>
      <c r="BR3130" s="207" t="n"/>
      <c r="BS3130" s="207" t="n"/>
      <c r="BT3130" s="207" t="n"/>
      <c r="BU3130" s="207" t="n"/>
      <c r="BV3130" s="208" t="n"/>
      <c r="BW3130" s="207" t="n"/>
      <c r="BX3130" s="207" t="n"/>
      <c r="BY3130" s="204" t="n"/>
      <c r="BZ3130" s="148" t="n"/>
      <c r="CA3130" s="204" t="n"/>
      <c r="CB3130" s="208" t="n"/>
      <c r="CC3130" s="139" t="n"/>
      <c r="CD3130" s="204" t="n"/>
      <c r="CE3130" s="204" t="n"/>
      <c r="CF3130" s="207" t="n"/>
      <c r="CG3130" s="208" t="n"/>
      <c r="CH3130" s="207" t="n"/>
      <c r="CI3130" s="208" t="n"/>
      <c r="CJ3130" s="204" t="n"/>
      <c r="CK3130" s="208" t="n"/>
      <c r="CL3130" s="208" t="n"/>
      <c r="CM3130" s="208" t="n"/>
      <c r="CN3130" s="78" t="n"/>
      <c r="CO3130" s="209" t="n"/>
      <c r="CP3130" s="204" t="n"/>
      <c r="CQ3130" s="204" t="n"/>
      <c r="CR3130" s="204" t="n"/>
      <c r="CS3130" s="204" t="n"/>
      <c r="CT3130" s="204" t="n"/>
      <c r="CU3130" s="204" t="n"/>
      <c r="CV3130" s="204" t="n"/>
      <c r="CW3130" s="204" t="n"/>
    </row>
    <row r="3131">
      <c r="BF3131" s="78" t="n"/>
      <c r="BG3131" s="78" t="n"/>
      <c r="BH3131" s="78" t="n"/>
      <c r="BI3131" s="78" t="n"/>
      <c r="BJ3131" s="139" t="n"/>
      <c r="BK3131" s="204" t="n"/>
      <c r="BL3131" s="141" t="n"/>
      <c r="BM3131" s="205" t="n"/>
      <c r="BN3131" s="205" t="n"/>
      <c r="BO3131" s="206" t="n"/>
      <c r="BP3131" s="144" t="n"/>
      <c r="BQ3131" s="141" t="n"/>
      <c r="BR3131" s="207" t="n"/>
      <c r="BS3131" s="207" t="n"/>
      <c r="BT3131" s="207" t="n"/>
      <c r="BU3131" s="207" t="n"/>
      <c r="BV3131" s="208" t="n"/>
      <c r="BW3131" s="207" t="n"/>
      <c r="BX3131" s="207" t="n"/>
      <c r="BY3131" s="204" t="n"/>
      <c r="BZ3131" s="148" t="n"/>
      <c r="CA3131" s="204" t="n"/>
      <c r="CB3131" s="208" t="n"/>
      <c r="CC3131" s="139" t="n"/>
      <c r="CD3131" s="204" t="n"/>
      <c r="CE3131" s="204" t="n"/>
      <c r="CF3131" s="207" t="n"/>
      <c r="CG3131" s="208" t="n"/>
      <c r="CH3131" s="207" t="n"/>
      <c r="CI3131" s="208" t="n"/>
      <c r="CJ3131" s="204" t="n"/>
      <c r="CK3131" s="208" t="n"/>
      <c r="CL3131" s="208" t="n"/>
      <c r="CM3131" s="208" t="n"/>
      <c r="CN3131" s="78" t="n"/>
      <c r="CO3131" s="209" t="n"/>
      <c r="CP3131" s="204" t="n"/>
      <c r="CQ3131" s="204" t="n"/>
      <c r="CR3131" s="204" t="n"/>
      <c r="CS3131" s="204" t="n"/>
      <c r="CT3131" s="204" t="n"/>
      <c r="CU3131" s="204" t="n"/>
      <c r="CV3131" s="204" t="n"/>
      <c r="CW3131" s="204" t="n"/>
    </row>
    <row r="3132">
      <c r="BF3132" s="78" t="n"/>
      <c r="BG3132" s="78" t="n"/>
      <c r="BH3132" s="78" t="n"/>
      <c r="BI3132" s="78" t="n"/>
      <c r="BJ3132" s="139" t="n"/>
      <c r="BK3132" s="204" t="n"/>
      <c r="BL3132" s="141" t="n"/>
      <c r="BM3132" s="205" t="n"/>
      <c r="BN3132" s="205" t="n"/>
      <c r="BO3132" s="206" t="n"/>
      <c r="BP3132" s="144" t="n"/>
      <c r="BQ3132" s="141" t="n"/>
      <c r="BR3132" s="207" t="n"/>
      <c r="BS3132" s="207" t="n"/>
      <c r="BT3132" s="207" t="n"/>
      <c r="BU3132" s="207" t="n"/>
      <c r="BV3132" s="208" t="n"/>
      <c r="BW3132" s="207" t="n"/>
      <c r="BX3132" s="207" t="n"/>
      <c r="BY3132" s="204" t="n"/>
      <c r="BZ3132" s="148" t="n"/>
      <c r="CA3132" s="204" t="n"/>
      <c r="CB3132" s="208" t="n"/>
      <c r="CC3132" s="139" t="n"/>
      <c r="CD3132" s="204" t="n"/>
      <c r="CE3132" s="204" t="n"/>
      <c r="CF3132" s="207" t="n"/>
      <c r="CG3132" s="208" t="n"/>
      <c r="CH3132" s="207" t="n"/>
      <c r="CI3132" s="208" t="n"/>
      <c r="CJ3132" s="204" t="n"/>
      <c r="CK3132" s="208" t="n"/>
      <c r="CL3132" s="208" t="n"/>
      <c r="CM3132" s="208" t="n"/>
      <c r="CN3132" s="78" t="n"/>
      <c r="CO3132" s="209" t="n"/>
      <c r="CP3132" s="204" t="n"/>
      <c r="CQ3132" s="204" t="n"/>
      <c r="CR3132" s="204" t="n"/>
      <c r="CS3132" s="204" t="n"/>
      <c r="CT3132" s="204" t="n"/>
      <c r="CU3132" s="204" t="n"/>
      <c r="CV3132" s="204" t="n"/>
      <c r="CW3132" s="204" t="n"/>
    </row>
    <row r="3133">
      <c r="AR3133" s="151" t="n"/>
      <c r="BF3133" s="78" t="n"/>
      <c r="BG3133" s="78" t="n"/>
      <c r="BH3133" s="78" t="n"/>
      <c r="BI3133" s="78" t="n"/>
      <c r="BJ3133" s="139" t="n"/>
      <c r="BK3133" s="204" t="n"/>
      <c r="BL3133" s="141" t="n"/>
      <c r="BM3133" s="205" t="n"/>
      <c r="BN3133" s="205" t="n"/>
      <c r="BO3133" s="206" t="n"/>
      <c r="BP3133" s="144" t="n"/>
      <c r="BQ3133" s="141" t="n"/>
      <c r="BR3133" s="207" t="n"/>
      <c r="BS3133" s="207" t="n"/>
      <c r="BT3133" s="207" t="n"/>
      <c r="BU3133" s="207" t="n"/>
      <c r="BV3133" s="208" t="n"/>
      <c r="BW3133" s="207" t="n"/>
      <c r="BX3133" s="207" t="n"/>
      <c r="BY3133" s="204" t="n"/>
      <c r="BZ3133" s="148" t="n"/>
      <c r="CA3133" s="204" t="n"/>
      <c r="CB3133" s="208" t="n"/>
      <c r="CC3133" s="139" t="n"/>
      <c r="CD3133" s="204" t="n"/>
      <c r="CE3133" s="204" t="n"/>
      <c r="CF3133" s="207" t="n"/>
      <c r="CG3133" s="208" t="n"/>
      <c r="CH3133" s="207" t="n"/>
      <c r="CI3133" s="208" t="n"/>
      <c r="CJ3133" s="204" t="n"/>
      <c r="CK3133" s="208" t="n"/>
      <c r="CL3133" s="208" t="n"/>
      <c r="CM3133" s="208" t="n"/>
      <c r="CN3133" s="78" t="n"/>
      <c r="CO3133" s="209" t="n"/>
      <c r="CP3133" s="204" t="n"/>
      <c r="CQ3133" s="204" t="n"/>
      <c r="CR3133" s="204" t="n"/>
      <c r="CS3133" s="204" t="n"/>
      <c r="CT3133" s="204" t="n"/>
      <c r="CU3133" s="204" t="n"/>
      <c r="CV3133" s="204" t="n"/>
      <c r="CW3133" s="204" t="n"/>
    </row>
    <row r="3134">
      <c r="BF3134" s="78" t="n"/>
      <c r="BG3134" s="78" t="n"/>
      <c r="BH3134" s="78" t="n"/>
      <c r="BI3134" s="78" t="n"/>
      <c r="BJ3134" s="139" t="n"/>
      <c r="BK3134" s="204" t="n"/>
      <c r="BL3134" s="141" t="n"/>
      <c r="BM3134" s="205" t="n"/>
      <c r="BN3134" s="205" t="n"/>
      <c r="BO3134" s="206" t="n"/>
      <c r="BP3134" s="144" t="n"/>
      <c r="BQ3134" s="141" t="n"/>
      <c r="BR3134" s="207" t="n"/>
      <c r="BS3134" s="207" t="n"/>
      <c r="BT3134" s="207" t="n"/>
      <c r="BU3134" s="207" t="n"/>
      <c r="BV3134" s="208" t="n"/>
      <c r="BW3134" s="207" t="n"/>
      <c r="BX3134" s="207" t="n"/>
      <c r="BY3134" s="204" t="n"/>
      <c r="BZ3134" s="148" t="n"/>
      <c r="CA3134" s="204" t="n"/>
      <c r="CB3134" s="208" t="n"/>
      <c r="CC3134" s="139" t="n"/>
      <c r="CD3134" s="204" t="n"/>
      <c r="CE3134" s="204" t="n"/>
      <c r="CF3134" s="207" t="n"/>
      <c r="CG3134" s="208" t="n"/>
      <c r="CH3134" s="207" t="n"/>
      <c r="CI3134" s="208" t="n"/>
      <c r="CJ3134" s="204" t="n"/>
      <c r="CK3134" s="208" t="n"/>
      <c r="CL3134" s="208" t="n"/>
      <c r="CM3134" s="208" t="n"/>
      <c r="CN3134" s="78" t="n"/>
      <c r="CO3134" s="209" t="n"/>
      <c r="CP3134" s="204" t="n"/>
      <c r="CQ3134" s="204" t="n"/>
      <c r="CR3134" s="204" t="n"/>
      <c r="CS3134" s="204" t="n"/>
      <c r="CT3134" s="204" t="n"/>
      <c r="CU3134" s="204" t="n"/>
      <c r="CV3134" s="204" t="n"/>
      <c r="CW3134" s="204" t="n"/>
    </row>
    <row r="3135">
      <c r="BF3135" s="78" t="n"/>
      <c r="BG3135" s="78" t="n"/>
      <c r="BH3135" s="78" t="n"/>
      <c r="BI3135" s="78" t="n"/>
      <c r="BJ3135" s="139" t="n"/>
      <c r="BK3135" s="204" t="n"/>
      <c r="BL3135" s="141" t="n"/>
      <c r="BM3135" s="205" t="n"/>
      <c r="BN3135" s="205" t="n"/>
      <c r="BO3135" s="206" t="n"/>
      <c r="BP3135" s="144" t="n"/>
      <c r="BQ3135" s="141" t="n"/>
      <c r="BR3135" s="207" t="n"/>
      <c r="BS3135" s="207" t="n"/>
      <c r="BT3135" s="207" t="n"/>
      <c r="BU3135" s="207" t="n"/>
      <c r="BV3135" s="208" t="n"/>
      <c r="BW3135" s="207" t="n"/>
      <c r="BX3135" s="207" t="n"/>
      <c r="BY3135" s="204" t="n"/>
      <c r="BZ3135" s="148" t="n"/>
      <c r="CA3135" s="204" t="n"/>
      <c r="CB3135" s="208" t="n"/>
      <c r="CC3135" s="139" t="n"/>
      <c r="CD3135" s="204" t="n"/>
      <c r="CE3135" s="204" t="n"/>
      <c r="CF3135" s="207" t="n"/>
      <c r="CG3135" s="208" t="n"/>
      <c r="CH3135" s="207" t="n"/>
      <c r="CI3135" s="208" t="n"/>
      <c r="CJ3135" s="204" t="n"/>
      <c r="CK3135" s="208" t="n"/>
      <c r="CL3135" s="208" t="n"/>
      <c r="CM3135" s="208" t="n"/>
      <c r="CN3135" s="78" t="n"/>
      <c r="CO3135" s="209" t="n"/>
      <c r="CP3135" s="204" t="n"/>
      <c r="CQ3135" s="204" t="n"/>
      <c r="CR3135" s="204" t="n"/>
      <c r="CS3135" s="204" t="n"/>
      <c r="CT3135" s="204" t="n"/>
      <c r="CU3135" s="204" t="n"/>
      <c r="CV3135" s="204" t="n"/>
      <c r="CW3135" s="204" t="n"/>
    </row>
    <row r="3136">
      <c r="AR3136" s="151" t="n"/>
      <c r="BF3136" s="78" t="n"/>
      <c r="BG3136" s="78" t="n"/>
      <c r="BH3136" s="78" t="n"/>
      <c r="BI3136" s="78" t="n"/>
      <c r="BJ3136" s="139" t="n"/>
      <c r="BK3136" s="204" t="n"/>
      <c r="BL3136" s="141" t="n"/>
      <c r="BM3136" s="205" t="n"/>
      <c r="BN3136" s="205" t="n"/>
      <c r="BO3136" s="206" t="n"/>
      <c r="BP3136" s="144" t="n"/>
      <c r="BQ3136" s="141" t="n"/>
      <c r="BR3136" s="207" t="n"/>
      <c r="BS3136" s="207" t="n"/>
      <c r="BT3136" s="207" t="n"/>
      <c r="BU3136" s="207" t="n"/>
      <c r="BV3136" s="208" t="n"/>
      <c r="BW3136" s="207" t="n"/>
      <c r="BX3136" s="207" t="n"/>
      <c r="BY3136" s="204" t="n"/>
      <c r="BZ3136" s="148" t="n"/>
      <c r="CA3136" s="204" t="n"/>
      <c r="CB3136" s="208" t="n"/>
      <c r="CC3136" s="139" t="n"/>
      <c r="CD3136" s="204" t="n"/>
      <c r="CE3136" s="204" t="n"/>
      <c r="CF3136" s="207" t="n"/>
      <c r="CG3136" s="208" t="n"/>
      <c r="CH3136" s="207" t="n"/>
      <c r="CI3136" s="208" t="n"/>
      <c r="CJ3136" s="204" t="n"/>
      <c r="CK3136" s="208" t="n"/>
      <c r="CL3136" s="208" t="n"/>
      <c r="CM3136" s="208" t="n"/>
      <c r="CN3136" s="78" t="n"/>
      <c r="CO3136" s="209" t="n"/>
      <c r="CP3136" s="204" t="n"/>
      <c r="CQ3136" s="204" t="n"/>
      <c r="CR3136" s="204" t="n"/>
      <c r="CS3136" s="204" t="n"/>
      <c r="CT3136" s="204" t="n"/>
      <c r="CU3136" s="204" t="n"/>
      <c r="CV3136" s="204" t="n"/>
      <c r="CW3136" s="204" t="n"/>
    </row>
    <row r="3137">
      <c r="AR3137" s="151" t="n"/>
      <c r="BF3137" s="78" t="n"/>
      <c r="BG3137" s="78" t="n"/>
      <c r="BH3137" s="78" t="n"/>
      <c r="BI3137" s="78" t="n"/>
      <c r="BJ3137" s="139" t="n"/>
      <c r="BK3137" s="204" t="n"/>
      <c r="BL3137" s="141" t="n"/>
      <c r="BM3137" s="205" t="n"/>
      <c r="BN3137" s="205" t="n"/>
      <c r="BO3137" s="206" t="n"/>
      <c r="BP3137" s="144" t="n"/>
      <c r="BQ3137" s="141" t="n"/>
      <c r="BR3137" s="207" t="n"/>
      <c r="BS3137" s="207" t="n"/>
      <c r="BT3137" s="207" t="n"/>
      <c r="BU3137" s="207" t="n"/>
      <c r="BV3137" s="208" t="n"/>
      <c r="BW3137" s="207" t="n"/>
      <c r="BX3137" s="207" t="n"/>
      <c r="BY3137" s="204" t="n"/>
      <c r="BZ3137" s="148" t="n"/>
      <c r="CA3137" s="204" t="n"/>
      <c r="CB3137" s="208" t="n"/>
      <c r="CC3137" s="139" t="n"/>
      <c r="CD3137" s="204" t="n"/>
      <c r="CE3137" s="204" t="n"/>
      <c r="CF3137" s="207" t="n"/>
      <c r="CG3137" s="208" t="n"/>
      <c r="CH3137" s="207" t="n"/>
      <c r="CI3137" s="208" t="n"/>
      <c r="CJ3137" s="204" t="n"/>
      <c r="CK3137" s="208" t="n"/>
      <c r="CL3137" s="208" t="n"/>
      <c r="CM3137" s="208" t="n"/>
      <c r="CN3137" s="78" t="n"/>
      <c r="CO3137" s="209" t="n"/>
      <c r="CP3137" s="204" t="n"/>
      <c r="CQ3137" s="204" t="n"/>
      <c r="CR3137" s="204" t="n"/>
      <c r="CS3137" s="204" t="n"/>
      <c r="CT3137" s="204" t="n"/>
      <c r="CU3137" s="204" t="n"/>
      <c r="CV3137" s="204" t="n"/>
      <c r="CW3137" s="204" t="n"/>
    </row>
    <row r="3138">
      <c r="BF3138" s="78" t="n"/>
      <c r="BG3138" s="78" t="n"/>
      <c r="BH3138" s="78" t="n"/>
      <c r="BI3138" s="78" t="n"/>
      <c r="BJ3138" s="139" t="n"/>
      <c r="BK3138" s="204" t="n"/>
      <c r="BL3138" s="141" t="n"/>
      <c r="BM3138" s="205" t="n"/>
      <c r="BN3138" s="205" t="n"/>
      <c r="BO3138" s="206" t="n"/>
      <c r="BP3138" s="144" t="n"/>
      <c r="BQ3138" s="141" t="n"/>
      <c r="BR3138" s="207" t="n"/>
      <c r="BS3138" s="207" t="n"/>
      <c r="BT3138" s="207" t="n"/>
      <c r="BU3138" s="207" t="n"/>
      <c r="BV3138" s="208" t="n"/>
      <c r="BW3138" s="207" t="n"/>
      <c r="BX3138" s="207" t="n"/>
      <c r="BY3138" s="204" t="n"/>
      <c r="BZ3138" s="148" t="n"/>
      <c r="CA3138" s="204" t="n"/>
      <c r="CB3138" s="208" t="n"/>
      <c r="CC3138" s="139" t="n"/>
      <c r="CD3138" s="204" t="n"/>
      <c r="CE3138" s="204" t="n"/>
      <c r="CF3138" s="207" t="n"/>
      <c r="CG3138" s="208" t="n"/>
      <c r="CH3138" s="207" t="n"/>
      <c r="CI3138" s="208" t="n"/>
      <c r="CJ3138" s="204" t="n"/>
      <c r="CK3138" s="208" t="n"/>
      <c r="CL3138" s="208" t="n"/>
      <c r="CM3138" s="208" t="n"/>
      <c r="CN3138" s="78" t="n"/>
      <c r="CO3138" s="209" t="n"/>
      <c r="CP3138" s="204" t="n"/>
      <c r="CQ3138" s="204" t="n"/>
      <c r="CR3138" s="204" t="n"/>
      <c r="CS3138" s="204" t="n"/>
      <c r="CT3138" s="204" t="n"/>
      <c r="CU3138" s="204" t="n"/>
      <c r="CV3138" s="204" t="n"/>
      <c r="CW3138" s="204" t="n"/>
    </row>
    <row r="3139">
      <c r="BF3139" s="78" t="n"/>
      <c r="BG3139" s="78" t="n"/>
      <c r="BH3139" s="78" t="n"/>
      <c r="BI3139" s="78" t="n"/>
      <c r="BJ3139" s="139" t="n"/>
      <c r="BK3139" s="204" t="n"/>
      <c r="BL3139" s="141" t="n"/>
      <c r="BM3139" s="205" t="n"/>
      <c r="BN3139" s="205" t="n"/>
      <c r="BO3139" s="206" t="n"/>
      <c r="BP3139" s="144" t="n"/>
      <c r="BQ3139" s="141" t="n"/>
      <c r="BR3139" s="207" t="n"/>
      <c r="BS3139" s="207" t="n"/>
      <c r="BT3139" s="207" t="n"/>
      <c r="BU3139" s="207" t="n"/>
      <c r="BV3139" s="208" t="n"/>
      <c r="BW3139" s="207" t="n"/>
      <c r="BX3139" s="207" t="n"/>
      <c r="BY3139" s="204" t="n"/>
      <c r="BZ3139" s="148" t="n"/>
      <c r="CA3139" s="204" t="n"/>
      <c r="CB3139" s="208" t="n"/>
      <c r="CC3139" s="139" t="n"/>
      <c r="CD3139" s="204" t="n"/>
      <c r="CE3139" s="204" t="n"/>
      <c r="CF3139" s="207" t="n"/>
      <c r="CG3139" s="208" t="n"/>
      <c r="CH3139" s="207" t="n"/>
      <c r="CI3139" s="208" t="n"/>
      <c r="CJ3139" s="204" t="n"/>
      <c r="CK3139" s="208" t="n"/>
      <c r="CL3139" s="208" t="n"/>
      <c r="CM3139" s="208" t="n"/>
      <c r="CN3139" s="78" t="n"/>
      <c r="CO3139" s="209" t="n"/>
      <c r="CP3139" s="204" t="n"/>
      <c r="CQ3139" s="204" t="n"/>
      <c r="CR3139" s="204" t="n"/>
      <c r="CS3139" s="204" t="n"/>
      <c r="CT3139" s="204" t="n"/>
      <c r="CU3139" s="204" t="n"/>
      <c r="CV3139" s="204" t="n"/>
      <c r="CW3139" s="204" t="n"/>
    </row>
    <row r="3140">
      <c r="BF3140" s="78" t="n"/>
      <c r="BG3140" s="78" t="n"/>
      <c r="BH3140" s="78" t="n"/>
      <c r="BI3140" s="78" t="n"/>
      <c r="BJ3140" s="139" t="n"/>
      <c r="BK3140" s="204" t="n"/>
      <c r="BL3140" s="141" t="n"/>
      <c r="BM3140" s="205" t="n"/>
      <c r="BN3140" s="205" t="n"/>
      <c r="BO3140" s="206" t="n"/>
      <c r="BP3140" s="144" t="n"/>
      <c r="BQ3140" s="141" t="n"/>
      <c r="BR3140" s="207" t="n"/>
      <c r="BS3140" s="207" t="n"/>
      <c r="BT3140" s="207" t="n"/>
      <c r="BU3140" s="207" t="n"/>
      <c r="BV3140" s="208" t="n"/>
      <c r="BW3140" s="207" t="n"/>
      <c r="BX3140" s="207" t="n"/>
      <c r="BY3140" s="204" t="n"/>
      <c r="BZ3140" s="148" t="n"/>
      <c r="CA3140" s="204" t="n"/>
      <c r="CB3140" s="208" t="n"/>
      <c r="CC3140" s="139" t="n"/>
      <c r="CD3140" s="204" t="n"/>
      <c r="CE3140" s="204" t="n"/>
      <c r="CF3140" s="207" t="n"/>
      <c r="CG3140" s="208" t="n"/>
      <c r="CH3140" s="207" t="n"/>
      <c r="CI3140" s="208" t="n"/>
      <c r="CJ3140" s="204" t="n"/>
      <c r="CK3140" s="208" t="n"/>
      <c r="CL3140" s="208" t="n"/>
      <c r="CM3140" s="208" t="n"/>
      <c r="CN3140" s="78" t="n"/>
      <c r="CO3140" s="209" t="n"/>
      <c r="CP3140" s="204" t="n"/>
      <c r="CQ3140" s="204" t="n"/>
      <c r="CR3140" s="204" t="n"/>
      <c r="CS3140" s="204" t="n"/>
      <c r="CT3140" s="204" t="n"/>
      <c r="CU3140" s="204" t="n"/>
      <c r="CV3140" s="204" t="n"/>
      <c r="CW3140" s="204" t="n"/>
    </row>
    <row r="3141">
      <c r="BF3141" s="78" t="n"/>
      <c r="BG3141" s="78" t="n"/>
      <c r="BH3141" s="78" t="n"/>
      <c r="BI3141" s="78" t="n"/>
      <c r="BJ3141" s="139" t="n"/>
      <c r="BK3141" s="204" t="n"/>
      <c r="BL3141" s="141" t="n"/>
      <c r="BM3141" s="205" t="n"/>
      <c r="BN3141" s="205" t="n"/>
      <c r="BO3141" s="206" t="n"/>
      <c r="BP3141" s="144" t="n"/>
      <c r="BQ3141" s="141" t="n"/>
      <c r="BR3141" s="207" t="n"/>
      <c r="BS3141" s="207" t="n"/>
      <c r="BT3141" s="207" t="n"/>
      <c r="BU3141" s="207" t="n"/>
      <c r="BV3141" s="208" t="n"/>
      <c r="BW3141" s="207" t="n"/>
      <c r="BX3141" s="207" t="n"/>
      <c r="BY3141" s="204" t="n"/>
      <c r="BZ3141" s="148" t="n"/>
      <c r="CA3141" s="204" t="n"/>
      <c r="CB3141" s="208" t="n"/>
      <c r="CC3141" s="139" t="n"/>
      <c r="CD3141" s="204" t="n"/>
      <c r="CE3141" s="204" t="n"/>
      <c r="CF3141" s="207" t="n"/>
      <c r="CG3141" s="208" t="n"/>
      <c r="CH3141" s="207" t="n"/>
      <c r="CI3141" s="208" t="n"/>
      <c r="CJ3141" s="204" t="n"/>
      <c r="CK3141" s="208" t="n"/>
      <c r="CL3141" s="208" t="n"/>
      <c r="CM3141" s="208" t="n"/>
      <c r="CN3141" s="78" t="n"/>
      <c r="CO3141" s="209" t="n"/>
      <c r="CP3141" s="204" t="n"/>
      <c r="CQ3141" s="204" t="n"/>
      <c r="CR3141" s="204" t="n"/>
      <c r="CS3141" s="204" t="n"/>
      <c r="CT3141" s="204" t="n"/>
      <c r="CU3141" s="204" t="n"/>
      <c r="CV3141" s="204" t="n"/>
      <c r="CW3141" s="204" t="n"/>
    </row>
    <row r="3142">
      <c r="AR3142" s="151" t="n"/>
      <c r="BF3142" s="78" t="n"/>
      <c r="BG3142" s="78" t="n"/>
      <c r="BH3142" s="78" t="n"/>
      <c r="BI3142" s="78" t="n"/>
      <c r="BJ3142" s="139" t="n"/>
      <c r="BK3142" s="204" t="n"/>
      <c r="BL3142" s="141" t="n"/>
      <c r="BM3142" s="205" t="n"/>
      <c r="BN3142" s="205" t="n"/>
      <c r="BO3142" s="206" t="n"/>
      <c r="BP3142" s="144" t="n"/>
      <c r="BQ3142" s="141" t="n"/>
      <c r="BR3142" s="207" t="n"/>
      <c r="BS3142" s="207" t="n"/>
      <c r="BT3142" s="207" t="n"/>
      <c r="BU3142" s="207" t="n"/>
      <c r="BV3142" s="208" t="n"/>
      <c r="BW3142" s="207" t="n"/>
      <c r="BX3142" s="207" t="n"/>
      <c r="BY3142" s="204" t="n"/>
      <c r="BZ3142" s="148" t="n"/>
      <c r="CA3142" s="204" t="n"/>
      <c r="CB3142" s="208" t="n"/>
      <c r="CC3142" s="139" t="n"/>
      <c r="CD3142" s="204" t="n"/>
      <c r="CE3142" s="204" t="n"/>
      <c r="CF3142" s="207" t="n"/>
      <c r="CG3142" s="208" t="n"/>
      <c r="CH3142" s="207" t="n"/>
      <c r="CI3142" s="208" t="n"/>
      <c r="CJ3142" s="204" t="n"/>
      <c r="CK3142" s="208" t="n"/>
      <c r="CL3142" s="208" t="n"/>
      <c r="CM3142" s="208" t="n"/>
      <c r="CN3142" s="78" t="n"/>
      <c r="CO3142" s="209" t="n"/>
      <c r="CP3142" s="204" t="n"/>
      <c r="CQ3142" s="204" t="n"/>
      <c r="CR3142" s="204" t="n"/>
      <c r="CS3142" s="204" t="n"/>
      <c r="CT3142" s="204" t="n"/>
      <c r="CU3142" s="204" t="n"/>
      <c r="CV3142" s="204" t="n"/>
      <c r="CW3142" s="204" t="n"/>
    </row>
    <row r="3143">
      <c r="BF3143" s="78" t="n"/>
      <c r="BG3143" s="78" t="n"/>
      <c r="BH3143" s="78" t="n"/>
      <c r="BI3143" s="78" t="n"/>
      <c r="BJ3143" s="139" t="n"/>
      <c r="BK3143" s="204" t="n"/>
      <c r="BL3143" s="141" t="n"/>
      <c r="BM3143" s="205" t="n"/>
      <c r="BN3143" s="205" t="n"/>
      <c r="BO3143" s="206" t="n"/>
      <c r="BP3143" s="144" t="n"/>
      <c r="BQ3143" s="141" t="n"/>
      <c r="BR3143" s="207" t="n"/>
      <c r="BS3143" s="207" t="n"/>
      <c r="BT3143" s="207" t="n"/>
      <c r="BU3143" s="207" t="n"/>
      <c r="BV3143" s="208" t="n"/>
      <c r="BW3143" s="207" t="n"/>
      <c r="BX3143" s="207" t="n"/>
      <c r="BY3143" s="204" t="n"/>
      <c r="BZ3143" s="148" t="n"/>
      <c r="CA3143" s="204" t="n"/>
      <c r="CB3143" s="208" t="n"/>
      <c r="CC3143" s="139" t="n"/>
      <c r="CD3143" s="204" t="n"/>
      <c r="CE3143" s="204" t="n"/>
      <c r="CF3143" s="207" t="n"/>
      <c r="CG3143" s="208" t="n"/>
      <c r="CH3143" s="207" t="n"/>
      <c r="CI3143" s="208" t="n"/>
      <c r="CJ3143" s="204" t="n"/>
      <c r="CK3143" s="208" t="n"/>
      <c r="CL3143" s="208" t="n"/>
      <c r="CM3143" s="208" t="n"/>
      <c r="CN3143" s="78" t="n"/>
      <c r="CO3143" s="209" t="n"/>
      <c r="CP3143" s="204" t="n"/>
      <c r="CQ3143" s="204" t="n"/>
      <c r="CR3143" s="204" t="n"/>
      <c r="CS3143" s="204" t="n"/>
      <c r="CT3143" s="204" t="n"/>
      <c r="CU3143" s="204" t="n"/>
      <c r="CV3143" s="204" t="n"/>
      <c r="CW3143" s="204" t="n"/>
    </row>
    <row r="3144">
      <c r="BF3144" s="78" t="n"/>
      <c r="BG3144" s="78" t="n"/>
      <c r="BH3144" s="78" t="n"/>
      <c r="BI3144" s="78" t="n"/>
      <c r="BJ3144" s="139" t="n"/>
      <c r="BK3144" s="204" t="n"/>
      <c r="BL3144" s="141" t="n"/>
      <c r="BM3144" s="205" t="n"/>
      <c r="BN3144" s="205" t="n"/>
      <c r="BO3144" s="206" t="n"/>
      <c r="BP3144" s="144" t="n"/>
      <c r="BQ3144" s="141" t="n"/>
      <c r="BR3144" s="207" t="n"/>
      <c r="BS3144" s="207" t="n"/>
      <c r="BT3144" s="207" t="n"/>
      <c r="BU3144" s="207" t="n"/>
      <c r="BV3144" s="208" t="n"/>
      <c r="BW3144" s="207" t="n"/>
      <c r="BX3144" s="207" t="n"/>
      <c r="BY3144" s="204" t="n"/>
      <c r="BZ3144" s="148" t="n"/>
      <c r="CA3144" s="204" t="n"/>
      <c r="CB3144" s="208" t="n"/>
      <c r="CC3144" s="139" t="n"/>
      <c r="CD3144" s="204" t="n"/>
      <c r="CE3144" s="204" t="n"/>
      <c r="CF3144" s="207" t="n"/>
      <c r="CG3144" s="208" t="n"/>
      <c r="CH3144" s="207" t="n"/>
      <c r="CI3144" s="208" t="n"/>
      <c r="CJ3144" s="204" t="n"/>
      <c r="CK3144" s="208" t="n"/>
      <c r="CL3144" s="208" t="n"/>
      <c r="CM3144" s="208" t="n"/>
      <c r="CN3144" s="78" t="n"/>
      <c r="CO3144" s="209" t="n"/>
      <c r="CP3144" s="204" t="n"/>
      <c r="CQ3144" s="204" t="n"/>
      <c r="CR3144" s="204" t="n"/>
      <c r="CS3144" s="204" t="n"/>
      <c r="CT3144" s="204" t="n"/>
      <c r="CU3144" s="204" t="n"/>
      <c r="CV3144" s="204" t="n"/>
      <c r="CW3144" s="204" t="n"/>
    </row>
    <row r="3145">
      <c r="BF3145" s="78" t="n"/>
      <c r="BG3145" s="78" t="n"/>
      <c r="BH3145" s="78" t="n"/>
      <c r="BI3145" s="78" t="n"/>
      <c r="BJ3145" s="139" t="n"/>
      <c r="BK3145" s="204" t="n"/>
      <c r="BL3145" s="141" t="n"/>
      <c r="BM3145" s="205" t="n"/>
      <c r="BN3145" s="205" t="n"/>
      <c r="BO3145" s="206" t="n"/>
      <c r="BP3145" s="144" t="n"/>
      <c r="BQ3145" s="141" t="n"/>
      <c r="BR3145" s="207" t="n"/>
      <c r="BS3145" s="207" t="n"/>
      <c r="BT3145" s="207" t="n"/>
      <c r="BU3145" s="207" t="n"/>
      <c r="BV3145" s="208" t="n"/>
      <c r="BW3145" s="207" t="n"/>
      <c r="BX3145" s="207" t="n"/>
      <c r="BY3145" s="204" t="n"/>
      <c r="BZ3145" s="148" t="n"/>
      <c r="CA3145" s="204" t="n"/>
      <c r="CB3145" s="208" t="n"/>
      <c r="CC3145" s="139" t="n"/>
      <c r="CD3145" s="204" t="n"/>
      <c r="CE3145" s="204" t="n"/>
      <c r="CF3145" s="207" t="n"/>
      <c r="CG3145" s="208" t="n"/>
      <c r="CH3145" s="207" t="n"/>
      <c r="CI3145" s="208" t="n"/>
      <c r="CJ3145" s="204" t="n"/>
      <c r="CK3145" s="208" t="n"/>
      <c r="CL3145" s="208" t="n"/>
      <c r="CM3145" s="208" t="n"/>
      <c r="CN3145" s="78" t="n"/>
      <c r="CO3145" s="209" t="n"/>
      <c r="CP3145" s="204" t="n"/>
      <c r="CQ3145" s="204" t="n"/>
      <c r="CR3145" s="204" t="n"/>
      <c r="CS3145" s="204" t="n"/>
      <c r="CT3145" s="204" t="n"/>
      <c r="CU3145" s="204" t="n"/>
      <c r="CV3145" s="204" t="n"/>
      <c r="CW3145" s="204" t="n"/>
    </row>
    <row r="3146">
      <c r="BF3146" s="78" t="n"/>
      <c r="BG3146" s="78" t="n"/>
      <c r="BH3146" s="78" t="n"/>
      <c r="BI3146" s="78" t="n"/>
      <c r="BJ3146" s="139" t="n"/>
      <c r="BK3146" s="204" t="n"/>
      <c r="BL3146" s="141" t="n"/>
      <c r="BM3146" s="205" t="n"/>
      <c r="BN3146" s="205" t="n"/>
      <c r="BO3146" s="206" t="n"/>
      <c r="BP3146" s="144" t="n"/>
      <c r="BQ3146" s="141" t="n"/>
      <c r="BR3146" s="207" t="n"/>
      <c r="BS3146" s="207" t="n"/>
      <c r="BT3146" s="207" t="n"/>
      <c r="BU3146" s="207" t="n"/>
      <c r="BV3146" s="208" t="n"/>
      <c r="BW3146" s="207" t="n"/>
      <c r="BX3146" s="207" t="n"/>
      <c r="BY3146" s="204" t="n"/>
      <c r="BZ3146" s="148" t="n"/>
      <c r="CA3146" s="204" t="n"/>
      <c r="CB3146" s="208" t="n"/>
      <c r="CC3146" s="139" t="n"/>
      <c r="CD3146" s="204" t="n"/>
      <c r="CE3146" s="204" t="n"/>
      <c r="CF3146" s="207" t="n"/>
      <c r="CG3146" s="208" t="n"/>
      <c r="CH3146" s="207" t="n"/>
      <c r="CI3146" s="208" t="n"/>
      <c r="CJ3146" s="204" t="n"/>
      <c r="CK3146" s="208" t="n"/>
      <c r="CL3146" s="208" t="n"/>
      <c r="CM3146" s="208" t="n"/>
      <c r="CN3146" s="78" t="n"/>
      <c r="CO3146" s="209" t="n"/>
      <c r="CP3146" s="204" t="n"/>
      <c r="CQ3146" s="204" t="n"/>
      <c r="CR3146" s="204" t="n"/>
      <c r="CS3146" s="204" t="n"/>
      <c r="CT3146" s="204" t="n"/>
      <c r="CU3146" s="204" t="n"/>
      <c r="CV3146" s="204" t="n"/>
      <c r="CW3146" s="204" t="n"/>
    </row>
    <row r="3147">
      <c r="BF3147" s="78" t="n"/>
      <c r="BG3147" s="78" t="n"/>
      <c r="BH3147" s="78" t="n"/>
      <c r="BI3147" s="78" t="n"/>
      <c r="BJ3147" s="139" t="n"/>
      <c r="BK3147" s="204" t="n"/>
      <c r="BL3147" s="141" t="n"/>
      <c r="BM3147" s="205" t="n"/>
      <c r="BN3147" s="205" t="n"/>
      <c r="BO3147" s="206" t="n"/>
      <c r="BP3147" s="144" t="n"/>
      <c r="BQ3147" s="141" t="n"/>
      <c r="BR3147" s="207" t="n"/>
      <c r="BS3147" s="207" t="n"/>
      <c r="BT3147" s="207" t="n"/>
      <c r="BU3147" s="207" t="n"/>
      <c r="BV3147" s="208" t="n"/>
      <c r="BW3147" s="207" t="n"/>
      <c r="BX3147" s="207" t="n"/>
      <c r="BY3147" s="204" t="n"/>
      <c r="BZ3147" s="148" t="n"/>
      <c r="CA3147" s="204" t="n"/>
      <c r="CB3147" s="208" t="n"/>
      <c r="CC3147" s="139" t="n"/>
      <c r="CD3147" s="204" t="n"/>
      <c r="CE3147" s="204" t="n"/>
      <c r="CF3147" s="207" t="n"/>
      <c r="CG3147" s="208" t="n"/>
      <c r="CH3147" s="207" t="n"/>
      <c r="CI3147" s="208" t="n"/>
      <c r="CJ3147" s="204" t="n"/>
      <c r="CK3147" s="208" t="n"/>
      <c r="CL3147" s="208" t="n"/>
      <c r="CM3147" s="208" t="n"/>
      <c r="CN3147" s="78" t="n"/>
      <c r="CO3147" s="209" t="n"/>
      <c r="CP3147" s="204" t="n"/>
      <c r="CQ3147" s="204" t="n"/>
      <c r="CR3147" s="204" t="n"/>
      <c r="CS3147" s="204" t="n"/>
      <c r="CT3147" s="204" t="n"/>
      <c r="CU3147" s="204" t="n"/>
      <c r="CV3147" s="204" t="n"/>
      <c r="CW3147" s="204" t="n"/>
    </row>
    <row r="3148">
      <c r="BF3148" s="78" t="n"/>
      <c r="BG3148" s="78" t="n"/>
      <c r="BH3148" s="78" t="n"/>
      <c r="BI3148" s="78" t="n"/>
      <c r="BJ3148" s="139" t="n"/>
      <c r="BK3148" s="204" t="n"/>
      <c r="BL3148" s="141" t="n"/>
      <c r="BM3148" s="205" t="n"/>
      <c r="BN3148" s="205" t="n"/>
      <c r="BO3148" s="206" t="n"/>
      <c r="BP3148" s="144" t="n"/>
      <c r="BQ3148" s="141" t="n"/>
      <c r="BR3148" s="207" t="n"/>
      <c r="BS3148" s="207" t="n"/>
      <c r="BT3148" s="207" t="n"/>
      <c r="BU3148" s="207" t="n"/>
      <c r="BV3148" s="208" t="n"/>
      <c r="BW3148" s="207" t="n"/>
      <c r="BX3148" s="207" t="n"/>
      <c r="BY3148" s="204" t="n"/>
      <c r="BZ3148" s="148" t="n"/>
      <c r="CA3148" s="204" t="n"/>
      <c r="CB3148" s="208" t="n"/>
      <c r="CC3148" s="139" t="n"/>
      <c r="CD3148" s="204" t="n"/>
      <c r="CE3148" s="204" t="n"/>
      <c r="CF3148" s="207" t="n"/>
      <c r="CG3148" s="208" t="n"/>
      <c r="CH3148" s="207" t="n"/>
      <c r="CI3148" s="208" t="n"/>
      <c r="CJ3148" s="204" t="n"/>
      <c r="CK3148" s="208" t="n"/>
      <c r="CL3148" s="208" t="n"/>
      <c r="CM3148" s="208" t="n"/>
      <c r="CN3148" s="78" t="n"/>
      <c r="CO3148" s="209" t="n"/>
      <c r="CP3148" s="204" t="n"/>
      <c r="CQ3148" s="204" t="n"/>
      <c r="CR3148" s="204" t="n"/>
      <c r="CS3148" s="204" t="n"/>
      <c r="CT3148" s="204" t="n"/>
      <c r="CU3148" s="204" t="n"/>
      <c r="CV3148" s="204" t="n"/>
      <c r="CW3148" s="204" t="n"/>
    </row>
    <row r="3149">
      <c r="BF3149" s="78" t="n"/>
      <c r="BG3149" s="78" t="n"/>
      <c r="BH3149" s="78" t="n"/>
      <c r="BI3149" s="78" t="n"/>
      <c r="BJ3149" s="139" t="n"/>
      <c r="BK3149" s="204" t="n"/>
      <c r="BL3149" s="141" t="n"/>
      <c r="BM3149" s="205" t="n"/>
      <c r="BN3149" s="205" t="n"/>
      <c r="BO3149" s="206" t="n"/>
      <c r="BP3149" s="144" t="n"/>
      <c r="BQ3149" s="141" t="n"/>
      <c r="BR3149" s="207" t="n"/>
      <c r="BS3149" s="207" t="n"/>
      <c r="BT3149" s="207" t="n"/>
      <c r="BU3149" s="207" t="n"/>
      <c r="BV3149" s="208" t="n"/>
      <c r="BW3149" s="207" t="n"/>
      <c r="BX3149" s="207" t="n"/>
      <c r="BY3149" s="204" t="n"/>
      <c r="BZ3149" s="148" t="n"/>
      <c r="CA3149" s="204" t="n"/>
      <c r="CB3149" s="208" t="n"/>
      <c r="CC3149" s="139" t="n"/>
      <c r="CD3149" s="204" t="n"/>
      <c r="CE3149" s="204" t="n"/>
      <c r="CF3149" s="207" t="n"/>
      <c r="CG3149" s="208" t="n"/>
      <c r="CH3149" s="207" t="n"/>
      <c r="CI3149" s="208" t="n"/>
      <c r="CJ3149" s="204" t="n"/>
      <c r="CK3149" s="208" t="n"/>
      <c r="CL3149" s="208" t="n"/>
      <c r="CM3149" s="208" t="n"/>
      <c r="CN3149" s="78" t="n"/>
      <c r="CO3149" s="209" t="n"/>
      <c r="CP3149" s="204" t="n"/>
      <c r="CQ3149" s="204" t="n"/>
      <c r="CR3149" s="204" t="n"/>
      <c r="CS3149" s="204" t="n"/>
      <c r="CT3149" s="204" t="n"/>
      <c r="CU3149" s="204" t="n"/>
      <c r="CV3149" s="204" t="n"/>
      <c r="CW3149" s="204" t="n"/>
    </row>
    <row r="3150">
      <c r="BF3150" s="78" t="n"/>
      <c r="BG3150" s="78" t="n"/>
      <c r="BH3150" s="78" t="n"/>
      <c r="BI3150" s="78" t="n"/>
      <c r="BJ3150" s="139" t="n"/>
      <c r="BK3150" s="204" t="n"/>
      <c r="BL3150" s="141" t="n"/>
      <c r="BM3150" s="205" t="n"/>
      <c r="BN3150" s="205" t="n"/>
      <c r="BO3150" s="206" t="n"/>
      <c r="BP3150" s="144" t="n"/>
      <c r="BQ3150" s="141" t="n"/>
      <c r="BR3150" s="207" t="n"/>
      <c r="BS3150" s="207" t="n"/>
      <c r="BT3150" s="207" t="n"/>
      <c r="BU3150" s="207" t="n"/>
      <c r="BV3150" s="208" t="n"/>
      <c r="BW3150" s="207" t="n"/>
      <c r="BX3150" s="207" t="n"/>
      <c r="BY3150" s="204" t="n"/>
      <c r="BZ3150" s="148" t="n"/>
      <c r="CA3150" s="204" t="n"/>
      <c r="CB3150" s="208" t="n"/>
      <c r="CC3150" s="139" t="n"/>
      <c r="CD3150" s="204" t="n"/>
      <c r="CE3150" s="204" t="n"/>
      <c r="CF3150" s="207" t="n"/>
      <c r="CG3150" s="208" t="n"/>
      <c r="CH3150" s="207" t="n"/>
      <c r="CI3150" s="208" t="n"/>
      <c r="CJ3150" s="204" t="n"/>
      <c r="CK3150" s="208" t="n"/>
      <c r="CL3150" s="208" t="n"/>
      <c r="CM3150" s="208" t="n"/>
      <c r="CN3150" s="78" t="n"/>
      <c r="CO3150" s="209" t="n"/>
      <c r="CP3150" s="204" t="n"/>
      <c r="CQ3150" s="204" t="n"/>
      <c r="CR3150" s="204" t="n"/>
      <c r="CS3150" s="204" t="n"/>
      <c r="CT3150" s="204" t="n"/>
      <c r="CU3150" s="204" t="n"/>
      <c r="CV3150" s="204" t="n"/>
      <c r="CW3150" s="204" t="n"/>
    </row>
    <row r="3151">
      <c r="BF3151" s="78" t="n"/>
      <c r="BG3151" s="78" t="n"/>
      <c r="BH3151" s="78" t="n"/>
      <c r="BI3151" s="78" t="n"/>
      <c r="BJ3151" s="139" t="n"/>
      <c r="BK3151" s="204" t="n"/>
      <c r="BL3151" s="141" t="n"/>
      <c r="BM3151" s="205" t="n"/>
      <c r="BN3151" s="205" t="n"/>
      <c r="BO3151" s="206" t="n"/>
      <c r="BP3151" s="144" t="n"/>
      <c r="BQ3151" s="141" t="n"/>
      <c r="BR3151" s="207" t="n"/>
      <c r="BS3151" s="207" t="n"/>
      <c r="BT3151" s="207" t="n"/>
      <c r="BU3151" s="207" t="n"/>
      <c r="BV3151" s="208" t="n"/>
      <c r="BW3151" s="207" t="n"/>
      <c r="BX3151" s="207" t="n"/>
      <c r="BY3151" s="204" t="n"/>
      <c r="BZ3151" s="148" t="n"/>
      <c r="CA3151" s="204" t="n"/>
      <c r="CB3151" s="208" t="n"/>
      <c r="CC3151" s="139" t="n"/>
      <c r="CD3151" s="204" t="n"/>
      <c r="CE3151" s="204" t="n"/>
      <c r="CF3151" s="207" t="n"/>
      <c r="CG3151" s="208" t="n"/>
      <c r="CH3151" s="207" t="n"/>
      <c r="CI3151" s="208" t="n"/>
      <c r="CJ3151" s="204" t="n"/>
      <c r="CK3151" s="208" t="n"/>
      <c r="CL3151" s="208" t="n"/>
      <c r="CM3151" s="208" t="n"/>
      <c r="CN3151" s="78" t="n"/>
      <c r="CO3151" s="209" t="n"/>
      <c r="CP3151" s="204" t="n"/>
      <c r="CQ3151" s="204" t="n"/>
      <c r="CR3151" s="204" t="n"/>
      <c r="CS3151" s="204" t="n"/>
      <c r="CT3151" s="204" t="n"/>
      <c r="CU3151" s="204" t="n"/>
      <c r="CV3151" s="204" t="n"/>
      <c r="CW3151" s="204" t="n"/>
    </row>
    <row r="3152">
      <c r="BF3152" s="78" t="n"/>
      <c r="BG3152" s="78" t="n"/>
      <c r="BH3152" s="78" t="n"/>
      <c r="BI3152" s="78" t="n"/>
      <c r="BJ3152" s="139" t="n"/>
      <c r="BK3152" s="204" t="n"/>
      <c r="BL3152" s="141" t="n"/>
      <c r="BM3152" s="205" t="n"/>
      <c r="BN3152" s="205" t="n"/>
      <c r="BO3152" s="206" t="n"/>
      <c r="BP3152" s="144" t="n"/>
      <c r="BQ3152" s="141" t="n"/>
      <c r="BR3152" s="207" t="n"/>
      <c r="BS3152" s="207" t="n"/>
      <c r="BT3152" s="207" t="n"/>
      <c r="BU3152" s="207" t="n"/>
      <c r="BV3152" s="208" t="n"/>
      <c r="BW3152" s="207" t="n"/>
      <c r="BX3152" s="207" t="n"/>
      <c r="BY3152" s="204" t="n"/>
      <c r="BZ3152" s="148" t="n"/>
      <c r="CA3152" s="204" t="n"/>
      <c r="CB3152" s="208" t="n"/>
      <c r="CC3152" s="139" t="n"/>
      <c r="CD3152" s="204" t="n"/>
      <c r="CE3152" s="204" t="n"/>
      <c r="CF3152" s="207" t="n"/>
      <c r="CG3152" s="208" t="n"/>
      <c r="CH3152" s="207" t="n"/>
      <c r="CI3152" s="208" t="n"/>
      <c r="CJ3152" s="204" t="n"/>
      <c r="CK3152" s="208" t="n"/>
      <c r="CL3152" s="208" t="n"/>
      <c r="CM3152" s="208" t="n"/>
      <c r="CN3152" s="78" t="n"/>
      <c r="CO3152" s="209" t="n"/>
      <c r="CP3152" s="204" t="n"/>
      <c r="CQ3152" s="204" t="n"/>
      <c r="CR3152" s="204" t="n"/>
      <c r="CS3152" s="204" t="n"/>
      <c r="CT3152" s="204" t="n"/>
      <c r="CU3152" s="204" t="n"/>
      <c r="CV3152" s="204" t="n"/>
      <c r="CW3152" s="204" t="n"/>
    </row>
    <row r="3153">
      <c r="BF3153" s="78" t="n"/>
      <c r="BG3153" s="78" t="n"/>
      <c r="BH3153" s="78" t="n"/>
      <c r="BI3153" s="78" t="n"/>
      <c r="BJ3153" s="139" t="n"/>
      <c r="BK3153" s="204" t="n"/>
      <c r="BL3153" s="141" t="n"/>
      <c r="BM3153" s="205" t="n"/>
      <c r="BN3153" s="205" t="n"/>
      <c r="BO3153" s="206" t="n"/>
      <c r="BP3153" s="144" t="n"/>
      <c r="BQ3153" s="141" t="n"/>
      <c r="BR3153" s="207" t="n"/>
      <c r="BS3153" s="207" t="n"/>
      <c r="BT3153" s="207" t="n"/>
      <c r="BU3153" s="207" t="n"/>
      <c r="BV3153" s="208" t="n"/>
      <c r="BW3153" s="207" t="n"/>
      <c r="BX3153" s="207" t="n"/>
      <c r="BY3153" s="204" t="n"/>
      <c r="BZ3153" s="148" t="n"/>
      <c r="CA3153" s="204" t="n"/>
      <c r="CB3153" s="208" t="n"/>
      <c r="CC3153" s="139" t="n"/>
      <c r="CD3153" s="204" t="n"/>
      <c r="CE3153" s="204" t="n"/>
      <c r="CF3153" s="207" t="n"/>
      <c r="CG3153" s="208" t="n"/>
      <c r="CH3153" s="207" t="n"/>
      <c r="CI3153" s="208" t="n"/>
      <c r="CJ3153" s="204" t="n"/>
      <c r="CK3153" s="208" t="n"/>
      <c r="CL3153" s="208" t="n"/>
      <c r="CM3153" s="208" t="n"/>
      <c r="CN3153" s="78" t="n"/>
      <c r="CO3153" s="209" t="n"/>
      <c r="CP3153" s="204" t="n"/>
      <c r="CQ3153" s="204" t="n"/>
      <c r="CR3153" s="204" t="n"/>
      <c r="CS3153" s="204" t="n"/>
      <c r="CT3153" s="204" t="n"/>
      <c r="CU3153" s="204" t="n"/>
      <c r="CV3153" s="204" t="n"/>
      <c r="CW3153" s="204" t="n"/>
    </row>
    <row r="3154">
      <c r="BF3154" s="78" t="n"/>
      <c r="BG3154" s="78" t="n"/>
      <c r="BH3154" s="78" t="n"/>
      <c r="BI3154" s="78" t="n"/>
      <c r="BJ3154" s="139" t="n"/>
      <c r="BK3154" s="204" t="n"/>
      <c r="BL3154" s="141" t="n"/>
      <c r="BM3154" s="205" t="n"/>
      <c r="BN3154" s="205" t="n"/>
      <c r="BO3154" s="206" t="n"/>
      <c r="BP3154" s="144" t="n"/>
      <c r="BQ3154" s="141" t="n"/>
      <c r="BR3154" s="207" t="n"/>
      <c r="BS3154" s="207" t="n"/>
      <c r="BT3154" s="207" t="n"/>
      <c r="BU3154" s="207" t="n"/>
      <c r="BV3154" s="208" t="n"/>
      <c r="BW3154" s="207" t="n"/>
      <c r="BX3154" s="207" t="n"/>
      <c r="BY3154" s="204" t="n"/>
      <c r="BZ3154" s="148" t="n"/>
      <c r="CA3154" s="204" t="n"/>
      <c r="CB3154" s="208" t="n"/>
      <c r="CC3154" s="139" t="n"/>
      <c r="CD3154" s="204" t="n"/>
      <c r="CE3154" s="204" t="n"/>
      <c r="CF3154" s="207" t="n"/>
      <c r="CG3154" s="208" t="n"/>
      <c r="CH3154" s="207" t="n"/>
      <c r="CI3154" s="208" t="n"/>
      <c r="CJ3154" s="204" t="n"/>
      <c r="CK3154" s="208" t="n"/>
      <c r="CL3154" s="208" t="n"/>
      <c r="CM3154" s="208" t="n"/>
      <c r="CN3154" s="78" t="n"/>
      <c r="CO3154" s="209" t="n"/>
      <c r="CP3154" s="204" t="n"/>
      <c r="CQ3154" s="204" t="n"/>
      <c r="CR3154" s="204" t="n"/>
      <c r="CS3154" s="204" t="n"/>
      <c r="CT3154" s="204" t="n"/>
      <c r="CU3154" s="204" t="n"/>
      <c r="CV3154" s="204" t="n"/>
      <c r="CW3154" s="204" t="n"/>
    </row>
    <row r="3155">
      <c r="BF3155" s="78" t="n"/>
      <c r="BG3155" s="78" t="n"/>
      <c r="BH3155" s="78" t="n"/>
      <c r="BI3155" s="78" t="n"/>
      <c r="BJ3155" s="139" t="n"/>
      <c r="BK3155" s="204" t="n"/>
      <c r="BL3155" s="141" t="n"/>
      <c r="BM3155" s="205" t="n"/>
      <c r="BN3155" s="205" t="n"/>
      <c r="BO3155" s="206" t="n"/>
      <c r="BP3155" s="144" t="n"/>
      <c r="BQ3155" s="141" t="n"/>
      <c r="BR3155" s="207" t="n"/>
      <c r="BS3155" s="207" t="n"/>
      <c r="BT3155" s="207" t="n"/>
      <c r="BU3155" s="207" t="n"/>
      <c r="BV3155" s="208" t="n"/>
      <c r="BW3155" s="207" t="n"/>
      <c r="BX3155" s="207" t="n"/>
      <c r="BY3155" s="204" t="n"/>
      <c r="BZ3155" s="148" t="n"/>
      <c r="CA3155" s="204" t="n"/>
      <c r="CB3155" s="208" t="n"/>
      <c r="CC3155" s="139" t="n"/>
      <c r="CD3155" s="204" t="n"/>
      <c r="CE3155" s="204" t="n"/>
      <c r="CF3155" s="207" t="n"/>
      <c r="CG3155" s="208" t="n"/>
      <c r="CH3155" s="207" t="n"/>
      <c r="CI3155" s="208" t="n"/>
      <c r="CJ3155" s="204" t="n"/>
      <c r="CK3155" s="208" t="n"/>
      <c r="CL3155" s="208" t="n"/>
      <c r="CM3155" s="208" t="n"/>
      <c r="CN3155" s="78" t="n"/>
      <c r="CO3155" s="209" t="n"/>
      <c r="CP3155" s="204" t="n"/>
      <c r="CQ3155" s="204" t="n"/>
      <c r="CR3155" s="204" t="n"/>
      <c r="CS3155" s="204" t="n"/>
      <c r="CT3155" s="204" t="n"/>
      <c r="CU3155" s="204" t="n"/>
      <c r="CV3155" s="204" t="n"/>
      <c r="CW3155" s="204" t="n"/>
    </row>
    <row r="3156">
      <c r="BF3156" s="78" t="n"/>
      <c r="BG3156" s="78" t="n"/>
      <c r="BH3156" s="78" t="n"/>
      <c r="BI3156" s="78" t="n"/>
      <c r="BJ3156" s="139" t="n"/>
      <c r="BK3156" s="204" t="n"/>
      <c r="BL3156" s="141" t="n"/>
      <c r="BM3156" s="205" t="n"/>
      <c r="BN3156" s="205" t="n"/>
      <c r="BO3156" s="206" t="n"/>
      <c r="BP3156" s="144" t="n"/>
      <c r="BQ3156" s="141" t="n"/>
      <c r="BR3156" s="207" t="n"/>
      <c r="BS3156" s="207" t="n"/>
      <c r="BT3156" s="207" t="n"/>
      <c r="BU3156" s="207" t="n"/>
      <c r="BV3156" s="208" t="n"/>
      <c r="BW3156" s="207" t="n"/>
      <c r="BX3156" s="207" t="n"/>
      <c r="BY3156" s="204" t="n"/>
      <c r="BZ3156" s="148" t="n"/>
      <c r="CA3156" s="204" t="n"/>
      <c r="CB3156" s="208" t="n"/>
      <c r="CC3156" s="139" t="n"/>
      <c r="CD3156" s="204" t="n"/>
      <c r="CE3156" s="204" t="n"/>
      <c r="CF3156" s="207" t="n"/>
      <c r="CG3156" s="208" t="n"/>
      <c r="CH3156" s="207" t="n"/>
      <c r="CI3156" s="208" t="n"/>
      <c r="CJ3156" s="204" t="n"/>
      <c r="CK3156" s="208" t="n"/>
      <c r="CL3156" s="208" t="n"/>
      <c r="CM3156" s="208" t="n"/>
      <c r="CN3156" s="78" t="n"/>
      <c r="CO3156" s="209" t="n"/>
      <c r="CP3156" s="204" t="n"/>
      <c r="CQ3156" s="204" t="n"/>
      <c r="CR3156" s="204" t="n"/>
      <c r="CS3156" s="204" t="n"/>
      <c r="CT3156" s="204" t="n"/>
      <c r="CU3156" s="204" t="n"/>
      <c r="CV3156" s="204" t="n"/>
      <c r="CW3156" s="204" t="n"/>
    </row>
    <row r="3157">
      <c r="BF3157" s="78" t="n"/>
      <c r="BG3157" s="78" t="n"/>
      <c r="BH3157" s="78" t="n"/>
      <c r="BI3157" s="78" t="n"/>
      <c r="BJ3157" s="139" t="n"/>
      <c r="BK3157" s="204" t="n"/>
      <c r="BL3157" s="141" t="n"/>
      <c r="BM3157" s="205" t="n"/>
      <c r="BN3157" s="205" t="n"/>
      <c r="BO3157" s="206" t="n"/>
      <c r="BP3157" s="144" t="n"/>
      <c r="BQ3157" s="141" t="n"/>
      <c r="BR3157" s="207" t="n"/>
      <c r="BS3157" s="207" t="n"/>
      <c r="BT3157" s="207" t="n"/>
      <c r="BU3157" s="207" t="n"/>
      <c r="BV3157" s="208" t="n"/>
      <c r="BW3157" s="207" t="n"/>
      <c r="BX3157" s="207" t="n"/>
      <c r="BY3157" s="204" t="n"/>
      <c r="BZ3157" s="148" t="n"/>
      <c r="CA3157" s="204" t="n"/>
      <c r="CB3157" s="208" t="n"/>
      <c r="CC3157" s="139" t="n"/>
      <c r="CD3157" s="204" t="n"/>
      <c r="CE3157" s="204" t="n"/>
      <c r="CF3157" s="207" t="n"/>
      <c r="CG3157" s="208" t="n"/>
      <c r="CH3157" s="207" t="n"/>
      <c r="CI3157" s="208" t="n"/>
      <c r="CJ3157" s="204" t="n"/>
      <c r="CK3157" s="208" t="n"/>
      <c r="CL3157" s="208" t="n"/>
      <c r="CM3157" s="208" t="n"/>
      <c r="CN3157" s="78" t="n"/>
      <c r="CO3157" s="209" t="n"/>
      <c r="CP3157" s="204" t="n"/>
      <c r="CQ3157" s="204" t="n"/>
      <c r="CR3157" s="204" t="n"/>
      <c r="CS3157" s="204" t="n"/>
      <c r="CT3157" s="204" t="n"/>
      <c r="CU3157" s="204" t="n"/>
      <c r="CV3157" s="204" t="n"/>
      <c r="CW3157" s="204" t="n"/>
    </row>
    <row r="3158">
      <c r="BF3158" s="78" t="n"/>
      <c r="BG3158" s="78" t="n"/>
      <c r="BH3158" s="78" t="n"/>
      <c r="BI3158" s="78" t="n"/>
      <c r="BJ3158" s="139" t="n"/>
      <c r="BK3158" s="204" t="n"/>
      <c r="BL3158" s="141" t="n"/>
      <c r="BM3158" s="205" t="n"/>
      <c r="BN3158" s="205" t="n"/>
      <c r="BO3158" s="206" t="n"/>
      <c r="BP3158" s="144" t="n"/>
      <c r="BQ3158" s="141" t="n"/>
      <c r="BR3158" s="207" t="n"/>
      <c r="BS3158" s="207" t="n"/>
      <c r="BT3158" s="207" t="n"/>
      <c r="BU3158" s="207" t="n"/>
      <c r="BV3158" s="208" t="n"/>
      <c r="BW3158" s="207" t="n"/>
      <c r="BX3158" s="207" t="n"/>
      <c r="BY3158" s="204" t="n"/>
      <c r="BZ3158" s="148" t="n"/>
      <c r="CA3158" s="204" t="n"/>
      <c r="CB3158" s="208" t="n"/>
      <c r="CC3158" s="139" t="n"/>
      <c r="CD3158" s="204" t="n"/>
      <c r="CE3158" s="204" t="n"/>
      <c r="CF3158" s="207" t="n"/>
      <c r="CG3158" s="208" t="n"/>
      <c r="CH3158" s="207" t="n"/>
      <c r="CI3158" s="208" t="n"/>
      <c r="CJ3158" s="204" t="n"/>
      <c r="CK3158" s="208" t="n"/>
      <c r="CL3158" s="208" t="n"/>
      <c r="CM3158" s="208" t="n"/>
      <c r="CN3158" s="78" t="n"/>
      <c r="CO3158" s="209" t="n"/>
      <c r="CP3158" s="204" t="n"/>
      <c r="CQ3158" s="204" t="n"/>
      <c r="CR3158" s="204" t="n"/>
      <c r="CS3158" s="204" t="n"/>
      <c r="CT3158" s="204" t="n"/>
      <c r="CU3158" s="204" t="n"/>
      <c r="CV3158" s="204" t="n"/>
      <c r="CW3158" s="204" t="n"/>
    </row>
    <row r="3159">
      <c r="BF3159" s="78" t="n"/>
      <c r="BG3159" s="78" t="n"/>
      <c r="BH3159" s="78" t="n"/>
      <c r="BI3159" s="78" t="n"/>
      <c r="BJ3159" s="139" t="n"/>
      <c r="BK3159" s="204" t="n"/>
      <c r="BL3159" s="141" t="n"/>
      <c r="BM3159" s="205" t="n"/>
      <c r="BN3159" s="205" t="n"/>
      <c r="BO3159" s="206" t="n"/>
      <c r="BP3159" s="144" t="n"/>
      <c r="BQ3159" s="141" t="n"/>
      <c r="BR3159" s="207" t="n"/>
      <c r="BS3159" s="207" t="n"/>
      <c r="BT3159" s="207" t="n"/>
      <c r="BU3159" s="207" t="n"/>
      <c r="BV3159" s="208" t="n"/>
      <c r="BW3159" s="207" t="n"/>
      <c r="BX3159" s="207" t="n"/>
      <c r="BY3159" s="204" t="n"/>
      <c r="BZ3159" s="148" t="n"/>
      <c r="CA3159" s="204" t="n"/>
      <c r="CB3159" s="208" t="n"/>
      <c r="CC3159" s="139" t="n"/>
      <c r="CD3159" s="204" t="n"/>
      <c r="CE3159" s="204" t="n"/>
      <c r="CF3159" s="207" t="n"/>
      <c r="CG3159" s="208" t="n"/>
      <c r="CH3159" s="207" t="n"/>
      <c r="CI3159" s="208" t="n"/>
      <c r="CJ3159" s="204" t="n"/>
      <c r="CK3159" s="208" t="n"/>
      <c r="CL3159" s="208" t="n"/>
      <c r="CM3159" s="208" t="n"/>
      <c r="CN3159" s="78" t="n"/>
      <c r="CO3159" s="209" t="n"/>
      <c r="CP3159" s="204" t="n"/>
      <c r="CQ3159" s="204" t="n"/>
      <c r="CR3159" s="204" t="n"/>
      <c r="CS3159" s="204" t="n"/>
      <c r="CT3159" s="204" t="n"/>
      <c r="CU3159" s="204" t="n"/>
      <c r="CV3159" s="204" t="n"/>
      <c r="CW3159" s="204" t="n"/>
    </row>
    <row r="3160">
      <c r="BF3160" s="78" t="n"/>
      <c r="BG3160" s="78" t="n"/>
      <c r="BH3160" s="78" t="n"/>
      <c r="BI3160" s="78" t="n"/>
      <c r="BJ3160" s="139" t="n"/>
      <c r="BK3160" s="204" t="n"/>
      <c r="BL3160" s="141" t="n"/>
      <c r="BM3160" s="205" t="n"/>
      <c r="BN3160" s="205" t="n"/>
      <c r="BO3160" s="206" t="n"/>
      <c r="BP3160" s="144" t="n"/>
      <c r="BQ3160" s="141" t="n"/>
      <c r="BR3160" s="207" t="n"/>
      <c r="BS3160" s="207" t="n"/>
      <c r="BT3160" s="207" t="n"/>
      <c r="BU3160" s="207" t="n"/>
      <c r="BV3160" s="208" t="n"/>
      <c r="BW3160" s="207" t="n"/>
      <c r="BX3160" s="207" t="n"/>
      <c r="BY3160" s="204" t="n"/>
      <c r="BZ3160" s="148" t="n"/>
      <c r="CA3160" s="204" t="n"/>
      <c r="CB3160" s="208" t="n"/>
      <c r="CC3160" s="139" t="n"/>
      <c r="CD3160" s="204" t="n"/>
      <c r="CE3160" s="204" t="n"/>
      <c r="CF3160" s="207" t="n"/>
      <c r="CG3160" s="208" t="n"/>
      <c r="CH3160" s="207" t="n"/>
      <c r="CI3160" s="208" t="n"/>
      <c r="CJ3160" s="204" t="n"/>
      <c r="CK3160" s="208" t="n"/>
      <c r="CL3160" s="208" t="n"/>
      <c r="CM3160" s="208" t="n"/>
      <c r="CN3160" s="78" t="n"/>
      <c r="CO3160" s="209" t="n"/>
      <c r="CP3160" s="204" t="n"/>
      <c r="CQ3160" s="204" t="n"/>
      <c r="CR3160" s="204" t="n"/>
      <c r="CS3160" s="204" t="n"/>
      <c r="CT3160" s="204" t="n"/>
      <c r="CU3160" s="204" t="n"/>
      <c r="CV3160" s="204" t="n"/>
      <c r="CW3160" s="204" t="n"/>
    </row>
    <row r="3161">
      <c r="BF3161" s="78" t="n"/>
      <c r="BG3161" s="78" t="n"/>
      <c r="BH3161" s="78" t="n"/>
      <c r="BI3161" s="78" t="n"/>
      <c r="BJ3161" s="139" t="n"/>
      <c r="BK3161" s="204" t="n"/>
      <c r="BL3161" s="141" t="n"/>
      <c r="BM3161" s="205" t="n"/>
      <c r="BN3161" s="205" t="n"/>
      <c r="BO3161" s="206" t="n"/>
      <c r="BP3161" s="144" t="n"/>
      <c r="BQ3161" s="141" t="n"/>
      <c r="BR3161" s="207" t="n"/>
      <c r="BS3161" s="207" t="n"/>
      <c r="BT3161" s="207" t="n"/>
      <c r="BU3161" s="207" t="n"/>
      <c r="BV3161" s="208" t="n"/>
      <c r="BW3161" s="207" t="n"/>
      <c r="BX3161" s="207" t="n"/>
      <c r="BY3161" s="204" t="n"/>
      <c r="BZ3161" s="148" t="n"/>
      <c r="CA3161" s="204" t="n"/>
      <c r="CB3161" s="208" t="n"/>
      <c r="CC3161" s="139" t="n"/>
      <c r="CD3161" s="204" t="n"/>
      <c r="CE3161" s="204" t="n"/>
      <c r="CF3161" s="207" t="n"/>
      <c r="CG3161" s="208" t="n"/>
      <c r="CH3161" s="207" t="n"/>
      <c r="CI3161" s="208" t="n"/>
      <c r="CJ3161" s="204" t="n"/>
      <c r="CK3161" s="208" t="n"/>
      <c r="CL3161" s="208" t="n"/>
      <c r="CM3161" s="208" t="n"/>
      <c r="CN3161" s="78" t="n"/>
      <c r="CO3161" s="209" t="n"/>
      <c r="CP3161" s="204" t="n"/>
      <c r="CQ3161" s="204" t="n"/>
      <c r="CR3161" s="204" t="n"/>
      <c r="CS3161" s="204" t="n"/>
      <c r="CT3161" s="204" t="n"/>
      <c r="CU3161" s="204" t="n"/>
      <c r="CV3161" s="204" t="n"/>
      <c r="CW3161" s="204" t="n"/>
    </row>
    <row r="3162">
      <c r="BF3162" s="78" t="n"/>
      <c r="BG3162" s="78" t="n"/>
      <c r="BH3162" s="78" t="n"/>
      <c r="BI3162" s="78" t="n"/>
      <c r="BJ3162" s="139" t="n"/>
      <c r="BK3162" s="204" t="n"/>
      <c r="BL3162" s="141" t="n"/>
      <c r="BM3162" s="205" t="n"/>
      <c r="BN3162" s="205" t="n"/>
      <c r="BO3162" s="206" t="n"/>
      <c r="BP3162" s="144" t="n"/>
      <c r="BQ3162" s="141" t="n"/>
      <c r="BR3162" s="207" t="n"/>
      <c r="BS3162" s="207" t="n"/>
      <c r="BT3162" s="207" t="n"/>
      <c r="BU3162" s="207" t="n"/>
      <c r="BV3162" s="208" t="n"/>
      <c r="BW3162" s="207" t="n"/>
      <c r="BX3162" s="207" t="n"/>
      <c r="BY3162" s="204" t="n"/>
      <c r="BZ3162" s="148" t="n"/>
      <c r="CA3162" s="204" t="n"/>
      <c r="CB3162" s="208" t="n"/>
      <c r="CC3162" s="139" t="n"/>
      <c r="CD3162" s="204" t="n"/>
      <c r="CE3162" s="204" t="n"/>
      <c r="CF3162" s="207" t="n"/>
      <c r="CG3162" s="208" t="n"/>
      <c r="CH3162" s="207" t="n"/>
      <c r="CI3162" s="208" t="n"/>
      <c r="CJ3162" s="204" t="n"/>
      <c r="CK3162" s="208" t="n"/>
      <c r="CL3162" s="208" t="n"/>
      <c r="CM3162" s="208" t="n"/>
      <c r="CN3162" s="78" t="n"/>
      <c r="CO3162" s="209" t="n"/>
      <c r="CP3162" s="204" t="n"/>
      <c r="CQ3162" s="204" t="n"/>
      <c r="CR3162" s="204" t="n"/>
      <c r="CS3162" s="204" t="n"/>
      <c r="CT3162" s="204" t="n"/>
      <c r="CU3162" s="204" t="n"/>
      <c r="CV3162" s="204" t="n"/>
      <c r="CW3162" s="204" t="n"/>
    </row>
    <row r="3163">
      <c r="BF3163" s="78" t="n"/>
      <c r="BG3163" s="78" t="n"/>
      <c r="BH3163" s="78" t="n"/>
      <c r="BI3163" s="78" t="n"/>
      <c r="BJ3163" s="139" t="n"/>
      <c r="BK3163" s="204" t="n"/>
      <c r="BL3163" s="141" t="n"/>
      <c r="BM3163" s="205" t="n"/>
      <c r="BN3163" s="205" t="n"/>
      <c r="BO3163" s="206" t="n"/>
      <c r="BP3163" s="144" t="n"/>
      <c r="BQ3163" s="141" t="n"/>
      <c r="BR3163" s="207" t="n"/>
      <c r="BS3163" s="207" t="n"/>
      <c r="BT3163" s="207" t="n"/>
      <c r="BU3163" s="207" t="n"/>
      <c r="BV3163" s="208" t="n"/>
      <c r="BW3163" s="207" t="n"/>
      <c r="BX3163" s="207" t="n"/>
      <c r="BY3163" s="204" t="n"/>
      <c r="BZ3163" s="148" t="n"/>
      <c r="CA3163" s="204" t="n"/>
      <c r="CB3163" s="208" t="n"/>
      <c r="CC3163" s="139" t="n"/>
      <c r="CD3163" s="204" t="n"/>
      <c r="CE3163" s="204" t="n"/>
      <c r="CF3163" s="207" t="n"/>
      <c r="CG3163" s="208" t="n"/>
      <c r="CH3163" s="207" t="n"/>
      <c r="CI3163" s="208" t="n"/>
      <c r="CJ3163" s="204" t="n"/>
      <c r="CK3163" s="208" t="n"/>
      <c r="CL3163" s="208" t="n"/>
      <c r="CM3163" s="208" t="n"/>
      <c r="CN3163" s="78" t="n"/>
      <c r="CO3163" s="209" t="n"/>
      <c r="CP3163" s="204" t="n"/>
      <c r="CQ3163" s="204" t="n"/>
      <c r="CR3163" s="204" t="n"/>
      <c r="CS3163" s="204" t="n"/>
      <c r="CT3163" s="204" t="n"/>
      <c r="CU3163" s="204" t="n"/>
      <c r="CV3163" s="204" t="n"/>
      <c r="CW3163" s="204" t="n"/>
    </row>
    <row r="3164">
      <c r="BF3164" s="78" t="n"/>
      <c r="BG3164" s="78" t="n"/>
      <c r="BH3164" s="78" t="n"/>
      <c r="BI3164" s="78" t="n"/>
      <c r="BJ3164" s="139" t="n"/>
      <c r="BK3164" s="204" t="n"/>
      <c r="BL3164" s="141" t="n"/>
      <c r="BM3164" s="205" t="n"/>
      <c r="BN3164" s="205" t="n"/>
      <c r="BO3164" s="206" t="n"/>
      <c r="BP3164" s="144" t="n"/>
      <c r="BQ3164" s="141" t="n"/>
      <c r="BR3164" s="207" t="n"/>
      <c r="BS3164" s="207" t="n"/>
      <c r="BT3164" s="207" t="n"/>
      <c r="BU3164" s="207" t="n"/>
      <c r="BV3164" s="208" t="n"/>
      <c r="BW3164" s="207" t="n"/>
      <c r="BX3164" s="207" t="n"/>
      <c r="BY3164" s="204" t="n"/>
      <c r="BZ3164" s="148" t="n"/>
      <c r="CA3164" s="204" t="n"/>
      <c r="CB3164" s="208" t="n"/>
      <c r="CC3164" s="139" t="n"/>
      <c r="CD3164" s="204" t="n"/>
      <c r="CE3164" s="204" t="n"/>
      <c r="CF3164" s="207" t="n"/>
      <c r="CG3164" s="208" t="n"/>
      <c r="CH3164" s="207" t="n"/>
      <c r="CI3164" s="208" t="n"/>
      <c r="CJ3164" s="204" t="n"/>
      <c r="CK3164" s="208" t="n"/>
      <c r="CL3164" s="208" t="n"/>
      <c r="CM3164" s="208" t="n"/>
      <c r="CN3164" s="78" t="n"/>
      <c r="CO3164" s="209" t="n"/>
      <c r="CP3164" s="204" t="n"/>
      <c r="CQ3164" s="204" t="n"/>
      <c r="CR3164" s="204" t="n"/>
      <c r="CS3164" s="204" t="n"/>
      <c r="CT3164" s="204" t="n"/>
      <c r="CU3164" s="204" t="n"/>
      <c r="CV3164" s="204" t="n"/>
      <c r="CW3164" s="204" t="n"/>
    </row>
    <row r="3165">
      <c r="BF3165" s="78" t="n"/>
      <c r="BG3165" s="78" t="n"/>
      <c r="BH3165" s="78" t="n"/>
      <c r="BI3165" s="78" t="n"/>
      <c r="BJ3165" s="139" t="n"/>
      <c r="BK3165" s="204" t="n"/>
      <c r="BL3165" s="141" t="n"/>
      <c r="BM3165" s="205" t="n"/>
      <c r="BN3165" s="205" t="n"/>
      <c r="BO3165" s="206" t="n"/>
      <c r="BP3165" s="144" t="n"/>
      <c r="BQ3165" s="141" t="n"/>
      <c r="BR3165" s="207" t="n"/>
      <c r="BS3165" s="207" t="n"/>
      <c r="BT3165" s="207" t="n"/>
      <c r="BU3165" s="207" t="n"/>
      <c r="BV3165" s="208" t="n"/>
      <c r="BW3165" s="207" t="n"/>
      <c r="BX3165" s="207" t="n"/>
      <c r="BY3165" s="204" t="n"/>
      <c r="BZ3165" s="148" t="n"/>
      <c r="CA3165" s="204" t="n"/>
      <c r="CB3165" s="208" t="n"/>
      <c r="CC3165" s="139" t="n"/>
      <c r="CD3165" s="204" t="n"/>
      <c r="CE3165" s="204" t="n"/>
      <c r="CF3165" s="207" t="n"/>
      <c r="CG3165" s="208" t="n"/>
      <c r="CH3165" s="207" t="n"/>
      <c r="CI3165" s="208" t="n"/>
      <c r="CJ3165" s="204" t="n"/>
      <c r="CK3165" s="208" t="n"/>
      <c r="CL3165" s="208" t="n"/>
      <c r="CM3165" s="208" t="n"/>
      <c r="CN3165" s="78" t="n"/>
      <c r="CO3165" s="209" t="n"/>
      <c r="CP3165" s="204" t="n"/>
      <c r="CQ3165" s="204" t="n"/>
      <c r="CR3165" s="204" t="n"/>
      <c r="CS3165" s="204" t="n"/>
      <c r="CT3165" s="204" t="n"/>
      <c r="CU3165" s="204" t="n"/>
      <c r="CV3165" s="204" t="n"/>
      <c r="CW3165" s="204" t="n"/>
    </row>
    <row r="3166">
      <c r="BF3166" s="78" t="n"/>
      <c r="BG3166" s="78" t="n"/>
      <c r="BH3166" s="78" t="n"/>
      <c r="BI3166" s="78" t="n"/>
      <c r="BJ3166" s="139" t="n"/>
      <c r="BK3166" s="204" t="n"/>
      <c r="BL3166" s="141" t="n"/>
      <c r="BM3166" s="205" t="n"/>
      <c r="BN3166" s="205" t="n"/>
      <c r="BO3166" s="206" t="n"/>
      <c r="BP3166" s="144" t="n"/>
      <c r="BQ3166" s="141" t="n"/>
      <c r="BR3166" s="207" t="n"/>
      <c r="BS3166" s="207" t="n"/>
      <c r="BT3166" s="207" t="n"/>
      <c r="BU3166" s="207" t="n"/>
      <c r="BV3166" s="208" t="n"/>
      <c r="BW3166" s="207" t="n"/>
      <c r="BX3166" s="207" t="n"/>
      <c r="BY3166" s="204" t="n"/>
      <c r="BZ3166" s="148" t="n"/>
      <c r="CA3166" s="204" t="n"/>
      <c r="CB3166" s="208" t="n"/>
      <c r="CC3166" s="139" t="n"/>
      <c r="CD3166" s="204" t="n"/>
      <c r="CE3166" s="204" t="n"/>
      <c r="CF3166" s="207" t="n"/>
      <c r="CG3166" s="208" t="n"/>
      <c r="CH3166" s="207" t="n"/>
      <c r="CI3166" s="208" t="n"/>
      <c r="CJ3166" s="204" t="n"/>
      <c r="CK3166" s="208" t="n"/>
      <c r="CL3166" s="208" t="n"/>
      <c r="CM3166" s="208" t="n"/>
      <c r="CN3166" s="78" t="n"/>
      <c r="CO3166" s="209" t="n"/>
      <c r="CP3166" s="204" t="n"/>
      <c r="CQ3166" s="204" t="n"/>
      <c r="CR3166" s="204" t="n"/>
      <c r="CS3166" s="204" t="n"/>
      <c r="CT3166" s="204" t="n"/>
      <c r="CU3166" s="204" t="n"/>
      <c r="CV3166" s="204" t="n"/>
      <c r="CW3166" s="204" t="n"/>
    </row>
    <row r="3167">
      <c r="BF3167" s="78" t="n"/>
      <c r="BG3167" s="78" t="n"/>
      <c r="BH3167" s="78" t="n"/>
      <c r="BI3167" s="78" t="n"/>
      <c r="BJ3167" s="139" t="n"/>
      <c r="BK3167" s="204" t="n"/>
      <c r="BL3167" s="141" t="n"/>
      <c r="BM3167" s="205" t="n"/>
      <c r="BN3167" s="205" t="n"/>
      <c r="BO3167" s="206" t="n"/>
      <c r="BP3167" s="144" t="n"/>
      <c r="BQ3167" s="141" t="n"/>
      <c r="BR3167" s="207" t="n"/>
      <c r="BS3167" s="207" t="n"/>
      <c r="BT3167" s="207" t="n"/>
      <c r="BU3167" s="207" t="n"/>
      <c r="BV3167" s="208" t="n"/>
      <c r="BW3167" s="207" t="n"/>
      <c r="BX3167" s="207" t="n"/>
      <c r="BY3167" s="204" t="n"/>
      <c r="BZ3167" s="148" t="n"/>
      <c r="CA3167" s="204" t="n"/>
      <c r="CB3167" s="208" t="n"/>
      <c r="CC3167" s="139" t="n"/>
      <c r="CD3167" s="204" t="n"/>
      <c r="CE3167" s="204" t="n"/>
      <c r="CF3167" s="207" t="n"/>
      <c r="CG3167" s="208" t="n"/>
      <c r="CH3167" s="207" t="n"/>
      <c r="CI3167" s="208" t="n"/>
      <c r="CJ3167" s="204" t="n"/>
      <c r="CK3167" s="208" t="n"/>
      <c r="CL3167" s="208" t="n"/>
      <c r="CM3167" s="208" t="n"/>
      <c r="CN3167" s="78" t="n"/>
      <c r="CO3167" s="209" t="n"/>
      <c r="CP3167" s="204" t="n"/>
      <c r="CQ3167" s="204" t="n"/>
      <c r="CR3167" s="204" t="n"/>
      <c r="CS3167" s="204" t="n"/>
      <c r="CT3167" s="204" t="n"/>
      <c r="CU3167" s="204" t="n"/>
      <c r="CV3167" s="204" t="n"/>
      <c r="CW3167" s="204" t="n"/>
    </row>
    <row r="3168">
      <c r="BF3168" s="78" t="n"/>
      <c r="BG3168" s="78" t="n"/>
      <c r="BH3168" s="78" t="n"/>
      <c r="BI3168" s="78" t="n"/>
      <c r="BJ3168" s="139" t="n"/>
      <c r="BK3168" s="204" t="n"/>
      <c r="BL3168" s="141" t="n"/>
      <c r="BM3168" s="205" t="n"/>
      <c r="BN3168" s="205" t="n"/>
      <c r="BO3168" s="206" t="n"/>
      <c r="BP3168" s="144" t="n"/>
      <c r="BQ3168" s="141" t="n"/>
      <c r="BR3168" s="207" t="n"/>
      <c r="BS3168" s="207" t="n"/>
      <c r="BT3168" s="207" t="n"/>
      <c r="BU3168" s="207" t="n"/>
      <c r="BV3168" s="208" t="n"/>
      <c r="BW3168" s="207" t="n"/>
      <c r="BX3168" s="207" t="n"/>
      <c r="BY3168" s="204" t="n"/>
      <c r="BZ3168" s="148" t="n"/>
      <c r="CA3168" s="204" t="n"/>
      <c r="CB3168" s="208" t="n"/>
      <c r="CC3168" s="139" t="n"/>
      <c r="CD3168" s="204" t="n"/>
      <c r="CE3168" s="204" t="n"/>
      <c r="CF3168" s="207" t="n"/>
      <c r="CG3168" s="208" t="n"/>
      <c r="CH3168" s="207" t="n"/>
      <c r="CI3168" s="208" t="n"/>
      <c r="CJ3168" s="204" t="n"/>
      <c r="CK3168" s="208" t="n"/>
      <c r="CL3168" s="208" t="n"/>
      <c r="CM3168" s="208" t="n"/>
      <c r="CN3168" s="78" t="n"/>
      <c r="CO3168" s="209" t="n"/>
      <c r="CP3168" s="204" t="n"/>
      <c r="CQ3168" s="204" t="n"/>
      <c r="CR3168" s="204" t="n"/>
      <c r="CS3168" s="204" t="n"/>
      <c r="CT3168" s="204" t="n"/>
      <c r="CU3168" s="204" t="n"/>
      <c r="CV3168" s="204" t="n"/>
      <c r="CW3168" s="204" t="n"/>
    </row>
    <row r="3169">
      <c r="BF3169" s="78" t="n"/>
      <c r="BG3169" s="78" t="n"/>
      <c r="BH3169" s="78" t="n"/>
      <c r="BI3169" s="78" t="n"/>
      <c r="BJ3169" s="139" t="n"/>
      <c r="BK3169" s="204" t="n"/>
      <c r="BL3169" s="141" t="n"/>
      <c r="BM3169" s="205" t="n"/>
      <c r="BN3169" s="205" t="n"/>
      <c r="BO3169" s="206" t="n"/>
      <c r="BP3169" s="144" t="n"/>
      <c r="BQ3169" s="141" t="n"/>
      <c r="BR3169" s="207" t="n"/>
      <c r="BS3169" s="207" t="n"/>
      <c r="BT3169" s="207" t="n"/>
      <c r="BU3169" s="207" t="n"/>
      <c r="BV3169" s="208" t="n"/>
      <c r="BW3169" s="207" t="n"/>
      <c r="BX3169" s="207" t="n"/>
      <c r="BY3169" s="204" t="n"/>
      <c r="BZ3169" s="148" t="n"/>
      <c r="CA3169" s="204" t="n"/>
      <c r="CB3169" s="208" t="n"/>
      <c r="CC3169" s="139" t="n"/>
      <c r="CD3169" s="204" t="n"/>
      <c r="CE3169" s="204" t="n"/>
      <c r="CF3169" s="207" t="n"/>
      <c r="CG3169" s="208" t="n"/>
      <c r="CH3169" s="207" t="n"/>
      <c r="CI3169" s="208" t="n"/>
      <c r="CJ3169" s="204" t="n"/>
      <c r="CK3169" s="208" t="n"/>
      <c r="CL3169" s="208" t="n"/>
      <c r="CM3169" s="208" t="n"/>
      <c r="CN3169" s="78" t="n"/>
      <c r="CO3169" s="209" t="n"/>
      <c r="CP3169" s="204" t="n"/>
      <c r="CQ3169" s="204" t="n"/>
      <c r="CR3169" s="204" t="n"/>
      <c r="CS3169" s="204" t="n"/>
      <c r="CT3169" s="204" t="n"/>
      <c r="CU3169" s="204" t="n"/>
      <c r="CV3169" s="204" t="n"/>
      <c r="CW3169" s="204" t="n"/>
    </row>
    <row r="3170">
      <c r="BF3170" s="78" t="n"/>
      <c r="BG3170" s="78" t="n"/>
      <c r="BH3170" s="78" t="n"/>
      <c r="BI3170" s="78" t="n"/>
      <c r="BJ3170" s="139" t="n"/>
      <c r="BK3170" s="204" t="n"/>
      <c r="BL3170" s="141" t="n"/>
      <c r="BM3170" s="205" t="n"/>
      <c r="BN3170" s="205" t="n"/>
      <c r="BO3170" s="206" t="n"/>
      <c r="BP3170" s="144" t="n"/>
      <c r="BQ3170" s="141" t="n"/>
      <c r="BR3170" s="207" t="n"/>
      <c r="BS3170" s="207" t="n"/>
      <c r="BT3170" s="207" t="n"/>
      <c r="BU3170" s="207" t="n"/>
      <c r="BV3170" s="208" t="n"/>
      <c r="BW3170" s="207" t="n"/>
      <c r="BX3170" s="207" t="n"/>
      <c r="BY3170" s="204" t="n"/>
      <c r="BZ3170" s="148" t="n"/>
      <c r="CA3170" s="204" t="n"/>
      <c r="CB3170" s="208" t="n"/>
      <c r="CC3170" s="139" t="n"/>
      <c r="CD3170" s="204" t="n"/>
      <c r="CE3170" s="204" t="n"/>
      <c r="CF3170" s="207" t="n"/>
      <c r="CG3170" s="208" t="n"/>
      <c r="CH3170" s="207" t="n"/>
      <c r="CI3170" s="208" t="n"/>
      <c r="CJ3170" s="204" t="n"/>
      <c r="CK3170" s="208" t="n"/>
      <c r="CL3170" s="208" t="n"/>
      <c r="CM3170" s="208" t="n"/>
      <c r="CN3170" s="78" t="n"/>
      <c r="CO3170" s="209" t="n"/>
      <c r="CP3170" s="204" t="n"/>
      <c r="CQ3170" s="204" t="n"/>
      <c r="CR3170" s="204" t="n"/>
      <c r="CS3170" s="204" t="n"/>
      <c r="CT3170" s="204" t="n"/>
      <c r="CU3170" s="204" t="n"/>
      <c r="CV3170" s="204" t="n"/>
      <c r="CW3170" s="204" t="n"/>
    </row>
    <row r="3171">
      <c r="BF3171" s="78" t="n"/>
      <c r="BG3171" s="78" t="n"/>
      <c r="BH3171" s="78" t="n"/>
      <c r="BI3171" s="78" t="n"/>
      <c r="BJ3171" s="139" t="n"/>
      <c r="BK3171" s="204" t="n"/>
      <c r="BL3171" s="141" t="n"/>
      <c r="BM3171" s="205" t="n"/>
      <c r="BN3171" s="205" t="n"/>
      <c r="BO3171" s="206" t="n"/>
      <c r="BP3171" s="144" t="n"/>
      <c r="BQ3171" s="141" t="n"/>
      <c r="BR3171" s="207" t="n"/>
      <c r="BS3171" s="207" t="n"/>
      <c r="BT3171" s="207" t="n"/>
      <c r="BU3171" s="207" t="n"/>
      <c r="BV3171" s="208" t="n"/>
      <c r="BW3171" s="207" t="n"/>
      <c r="BX3171" s="207" t="n"/>
      <c r="BY3171" s="204" t="n"/>
      <c r="BZ3171" s="148" t="n"/>
      <c r="CA3171" s="204" t="n"/>
      <c r="CB3171" s="208" t="n"/>
      <c r="CC3171" s="139" t="n"/>
      <c r="CD3171" s="204" t="n"/>
      <c r="CE3171" s="204" t="n"/>
      <c r="CF3171" s="207" t="n"/>
      <c r="CG3171" s="208" t="n"/>
      <c r="CH3171" s="207" t="n"/>
      <c r="CI3171" s="208" t="n"/>
      <c r="CJ3171" s="204" t="n"/>
      <c r="CK3171" s="208" t="n"/>
      <c r="CL3171" s="208" t="n"/>
      <c r="CM3171" s="208" t="n"/>
      <c r="CN3171" s="78" t="n"/>
      <c r="CO3171" s="209" t="n"/>
      <c r="CP3171" s="204" t="n"/>
      <c r="CQ3171" s="204" t="n"/>
      <c r="CR3171" s="204" t="n"/>
      <c r="CS3171" s="204" t="n"/>
      <c r="CT3171" s="204" t="n"/>
      <c r="CU3171" s="204" t="n"/>
      <c r="CV3171" s="204" t="n"/>
      <c r="CW3171" s="204" t="n"/>
    </row>
    <row r="3172">
      <c r="BF3172" s="78" t="n"/>
      <c r="BG3172" s="78" t="n"/>
      <c r="BH3172" s="78" t="n"/>
      <c r="BI3172" s="78" t="n"/>
      <c r="BJ3172" s="139" t="n"/>
      <c r="BK3172" s="204" t="n"/>
      <c r="BL3172" s="141" t="n"/>
      <c r="BM3172" s="205" t="n"/>
      <c r="BN3172" s="205" t="n"/>
      <c r="BO3172" s="206" t="n"/>
      <c r="BP3172" s="144" t="n"/>
      <c r="BQ3172" s="141" t="n"/>
      <c r="BR3172" s="207" t="n"/>
      <c r="BS3172" s="207" t="n"/>
      <c r="BT3172" s="207" t="n"/>
      <c r="BU3172" s="207" t="n"/>
      <c r="BV3172" s="208" t="n"/>
      <c r="BW3172" s="207" t="n"/>
      <c r="BX3172" s="207" t="n"/>
      <c r="BY3172" s="204" t="n"/>
      <c r="BZ3172" s="148" t="n"/>
      <c r="CA3172" s="204" t="n"/>
      <c r="CB3172" s="208" t="n"/>
      <c r="CC3172" s="139" t="n"/>
      <c r="CD3172" s="204" t="n"/>
      <c r="CE3172" s="204" t="n"/>
      <c r="CF3172" s="207" t="n"/>
      <c r="CG3172" s="208" t="n"/>
      <c r="CH3172" s="207" t="n"/>
      <c r="CI3172" s="208" t="n"/>
      <c r="CJ3172" s="204" t="n"/>
      <c r="CK3172" s="208" t="n"/>
      <c r="CL3172" s="208" t="n"/>
      <c r="CM3172" s="208" t="n"/>
      <c r="CN3172" s="78" t="n"/>
      <c r="CO3172" s="209" t="n"/>
      <c r="CP3172" s="204" t="n"/>
      <c r="CQ3172" s="204" t="n"/>
      <c r="CR3172" s="204" t="n"/>
      <c r="CS3172" s="204" t="n"/>
      <c r="CT3172" s="204" t="n"/>
      <c r="CU3172" s="204" t="n"/>
      <c r="CV3172" s="204" t="n"/>
      <c r="CW3172" s="204" t="n"/>
    </row>
    <row r="3173">
      <c r="BF3173" s="78" t="n"/>
      <c r="BG3173" s="78" t="n"/>
      <c r="BH3173" s="78" t="n"/>
      <c r="BI3173" s="78" t="n"/>
      <c r="BJ3173" s="139" t="n"/>
      <c r="BK3173" s="204" t="n"/>
      <c r="BL3173" s="141" t="n"/>
      <c r="BM3173" s="205" t="n"/>
      <c r="BN3173" s="205" t="n"/>
      <c r="BO3173" s="206" t="n"/>
      <c r="BP3173" s="144" t="n"/>
      <c r="BQ3173" s="141" t="n"/>
      <c r="BR3173" s="207" t="n"/>
      <c r="BS3173" s="207" t="n"/>
      <c r="BT3173" s="207" t="n"/>
      <c r="BU3173" s="207" t="n"/>
      <c r="BV3173" s="208" t="n"/>
      <c r="BW3173" s="207" t="n"/>
      <c r="BX3173" s="207" t="n"/>
      <c r="BY3173" s="204" t="n"/>
      <c r="BZ3173" s="148" t="n"/>
      <c r="CA3173" s="204" t="n"/>
      <c r="CB3173" s="208" t="n"/>
      <c r="CC3173" s="139" t="n"/>
      <c r="CD3173" s="204" t="n"/>
      <c r="CE3173" s="204" t="n"/>
      <c r="CF3173" s="207" t="n"/>
      <c r="CG3173" s="208" t="n"/>
      <c r="CH3173" s="207" t="n"/>
      <c r="CI3173" s="208" t="n"/>
      <c r="CJ3173" s="204" t="n"/>
      <c r="CK3173" s="208" t="n"/>
      <c r="CL3173" s="208" t="n"/>
      <c r="CM3173" s="208" t="n"/>
      <c r="CN3173" s="78" t="n"/>
      <c r="CO3173" s="209" t="n"/>
      <c r="CP3173" s="204" t="n"/>
      <c r="CQ3173" s="204" t="n"/>
      <c r="CR3173" s="204" t="n"/>
      <c r="CS3173" s="204" t="n"/>
      <c r="CT3173" s="204" t="n"/>
      <c r="CU3173" s="204" t="n"/>
      <c r="CV3173" s="204" t="n"/>
      <c r="CW3173" s="204" t="n"/>
    </row>
    <row r="3174">
      <c r="BF3174" s="78" t="n"/>
      <c r="BG3174" s="78" t="n"/>
      <c r="BH3174" s="78" t="n"/>
      <c r="BI3174" s="78" t="n"/>
      <c r="BJ3174" s="139" t="n"/>
      <c r="BK3174" s="204" t="n"/>
      <c r="BL3174" s="141" t="n"/>
      <c r="BM3174" s="205" t="n"/>
      <c r="BN3174" s="205" t="n"/>
      <c r="BO3174" s="206" t="n"/>
      <c r="BP3174" s="144" t="n"/>
      <c r="BQ3174" s="141" t="n"/>
      <c r="BR3174" s="207" t="n"/>
      <c r="BS3174" s="207" t="n"/>
      <c r="BT3174" s="207" t="n"/>
      <c r="BU3174" s="207" t="n"/>
      <c r="BV3174" s="208" t="n"/>
      <c r="BW3174" s="207" t="n"/>
      <c r="BX3174" s="207" t="n"/>
      <c r="BY3174" s="204" t="n"/>
      <c r="BZ3174" s="148" t="n"/>
      <c r="CA3174" s="204" t="n"/>
      <c r="CB3174" s="208" t="n"/>
      <c r="CC3174" s="139" t="n"/>
      <c r="CD3174" s="204" t="n"/>
      <c r="CE3174" s="204" t="n"/>
      <c r="CF3174" s="207" t="n"/>
      <c r="CG3174" s="208" t="n"/>
      <c r="CH3174" s="207" t="n"/>
      <c r="CI3174" s="208" t="n"/>
      <c r="CJ3174" s="204" t="n"/>
      <c r="CK3174" s="208" t="n"/>
      <c r="CL3174" s="208" t="n"/>
      <c r="CM3174" s="208" t="n"/>
      <c r="CN3174" s="78" t="n"/>
      <c r="CO3174" s="209" t="n"/>
      <c r="CP3174" s="204" t="n"/>
      <c r="CQ3174" s="204" t="n"/>
      <c r="CR3174" s="204" t="n"/>
      <c r="CS3174" s="204" t="n"/>
      <c r="CT3174" s="204" t="n"/>
      <c r="CU3174" s="204" t="n"/>
      <c r="CV3174" s="204" t="n"/>
      <c r="CW3174" s="204" t="n"/>
    </row>
    <row r="3175">
      <c r="BF3175" s="78" t="n"/>
      <c r="BG3175" s="78" t="n"/>
      <c r="BH3175" s="78" t="n"/>
      <c r="BI3175" s="78" t="n"/>
      <c r="BJ3175" s="139" t="n"/>
      <c r="BK3175" s="204" t="n"/>
      <c r="BL3175" s="141" t="n"/>
      <c r="BM3175" s="205" t="n"/>
      <c r="BN3175" s="205" t="n"/>
      <c r="BO3175" s="206" t="n"/>
      <c r="BP3175" s="144" t="n"/>
      <c r="BQ3175" s="141" t="n"/>
      <c r="BR3175" s="207" t="n"/>
      <c r="BS3175" s="207" t="n"/>
      <c r="BT3175" s="207" t="n"/>
      <c r="BU3175" s="207" t="n"/>
      <c r="BV3175" s="208" t="n"/>
      <c r="BW3175" s="207" t="n"/>
      <c r="BX3175" s="207" t="n"/>
      <c r="BY3175" s="204" t="n"/>
      <c r="BZ3175" s="148" t="n"/>
      <c r="CA3175" s="204" t="n"/>
      <c r="CB3175" s="208" t="n"/>
      <c r="CC3175" s="139" t="n"/>
      <c r="CD3175" s="204" t="n"/>
      <c r="CE3175" s="204" t="n"/>
      <c r="CF3175" s="207" t="n"/>
      <c r="CG3175" s="208" t="n"/>
      <c r="CH3175" s="207" t="n"/>
      <c r="CI3175" s="208" t="n"/>
      <c r="CJ3175" s="204" t="n"/>
      <c r="CK3175" s="208" t="n"/>
      <c r="CL3175" s="208" t="n"/>
      <c r="CM3175" s="208" t="n"/>
      <c r="CN3175" s="78" t="n"/>
      <c r="CO3175" s="209" t="n"/>
      <c r="CP3175" s="204" t="n"/>
      <c r="CQ3175" s="204" t="n"/>
      <c r="CR3175" s="204" t="n"/>
      <c r="CS3175" s="204" t="n"/>
      <c r="CT3175" s="204" t="n"/>
      <c r="CU3175" s="204" t="n"/>
      <c r="CV3175" s="204" t="n"/>
      <c r="CW3175" s="204" t="n"/>
    </row>
    <row r="3176">
      <c r="BF3176" s="78" t="n"/>
      <c r="BG3176" s="78" t="n"/>
      <c r="BH3176" s="78" t="n"/>
      <c r="BI3176" s="78" t="n"/>
      <c r="BJ3176" s="139" t="n"/>
      <c r="BK3176" s="204" t="n"/>
      <c r="BL3176" s="141" t="n"/>
      <c r="BM3176" s="205" t="n"/>
      <c r="BN3176" s="205" t="n"/>
      <c r="BO3176" s="206" t="n"/>
      <c r="BP3176" s="144" t="n"/>
      <c r="BQ3176" s="141" t="n"/>
      <c r="BR3176" s="207" t="n"/>
      <c r="BS3176" s="207" t="n"/>
      <c r="BT3176" s="207" t="n"/>
      <c r="BU3176" s="207" t="n"/>
      <c r="BV3176" s="208" t="n"/>
      <c r="BW3176" s="207" t="n"/>
      <c r="BX3176" s="207" t="n"/>
      <c r="BY3176" s="204" t="n"/>
      <c r="BZ3176" s="148" t="n"/>
      <c r="CA3176" s="204" t="n"/>
      <c r="CB3176" s="208" t="n"/>
      <c r="CC3176" s="139" t="n"/>
      <c r="CD3176" s="204" t="n"/>
      <c r="CE3176" s="204" t="n"/>
      <c r="CF3176" s="207" t="n"/>
      <c r="CG3176" s="208" t="n"/>
      <c r="CH3176" s="207" t="n"/>
      <c r="CI3176" s="208" t="n"/>
      <c r="CJ3176" s="204" t="n"/>
      <c r="CK3176" s="208" t="n"/>
      <c r="CL3176" s="208" t="n"/>
      <c r="CM3176" s="208" t="n"/>
      <c r="CN3176" s="78" t="n"/>
      <c r="CO3176" s="209" t="n"/>
      <c r="CP3176" s="204" t="n"/>
      <c r="CQ3176" s="204" t="n"/>
      <c r="CR3176" s="204" t="n"/>
      <c r="CS3176" s="204" t="n"/>
      <c r="CT3176" s="204" t="n"/>
      <c r="CU3176" s="204" t="n"/>
      <c r="CV3176" s="204" t="n"/>
      <c r="CW3176" s="204" t="n"/>
    </row>
    <row r="3177">
      <c r="BF3177" s="78" t="n"/>
      <c r="BG3177" s="78" t="n"/>
      <c r="BH3177" s="78" t="n"/>
      <c r="BI3177" s="78" t="n"/>
      <c r="BJ3177" s="139" t="n"/>
      <c r="BK3177" s="204" t="n"/>
      <c r="BL3177" s="141" t="n"/>
      <c r="BM3177" s="205" t="n"/>
      <c r="BN3177" s="205" t="n"/>
      <c r="BO3177" s="206" t="n"/>
      <c r="BP3177" s="144" t="n"/>
      <c r="BQ3177" s="141" t="n"/>
      <c r="BR3177" s="207" t="n"/>
      <c r="BS3177" s="207" t="n"/>
      <c r="BT3177" s="207" t="n"/>
      <c r="BU3177" s="207" t="n"/>
      <c r="BV3177" s="208" t="n"/>
      <c r="BW3177" s="207" t="n"/>
      <c r="BX3177" s="207" t="n"/>
      <c r="BY3177" s="204" t="n"/>
      <c r="BZ3177" s="148" t="n"/>
      <c r="CA3177" s="204" t="n"/>
      <c r="CB3177" s="208" t="n"/>
      <c r="CC3177" s="139" t="n"/>
      <c r="CD3177" s="204" t="n"/>
      <c r="CE3177" s="204" t="n"/>
      <c r="CF3177" s="207" t="n"/>
      <c r="CG3177" s="208" t="n"/>
      <c r="CH3177" s="207" t="n"/>
      <c r="CI3177" s="208" t="n"/>
      <c r="CJ3177" s="204" t="n"/>
      <c r="CK3177" s="208" t="n"/>
      <c r="CL3177" s="208" t="n"/>
      <c r="CM3177" s="208" t="n"/>
      <c r="CN3177" s="78" t="n"/>
      <c r="CO3177" s="209" t="n"/>
      <c r="CP3177" s="204" t="n"/>
      <c r="CQ3177" s="204" t="n"/>
      <c r="CR3177" s="204" t="n"/>
      <c r="CS3177" s="204" t="n"/>
      <c r="CT3177" s="204" t="n"/>
      <c r="CU3177" s="204" t="n"/>
      <c r="CV3177" s="204" t="n"/>
      <c r="CW3177" s="204" t="n"/>
    </row>
    <row r="3178">
      <c r="BF3178" s="78" t="n"/>
      <c r="BG3178" s="78" t="n"/>
      <c r="BH3178" s="78" t="n"/>
      <c r="BI3178" s="78" t="n"/>
      <c r="BJ3178" s="139" t="n"/>
      <c r="BK3178" s="204" t="n"/>
      <c r="BL3178" s="141" t="n"/>
      <c r="BM3178" s="205" t="n"/>
      <c r="BN3178" s="205" t="n"/>
      <c r="BO3178" s="206" t="n"/>
      <c r="BP3178" s="144" t="n"/>
      <c r="BQ3178" s="141" t="n"/>
      <c r="BR3178" s="207" t="n"/>
      <c r="BS3178" s="207" t="n"/>
      <c r="BT3178" s="207" t="n"/>
      <c r="BU3178" s="207" t="n"/>
      <c r="BV3178" s="208" t="n"/>
      <c r="BW3178" s="207" t="n"/>
      <c r="BX3178" s="207" t="n"/>
      <c r="BY3178" s="204" t="n"/>
      <c r="BZ3178" s="148" t="n"/>
      <c r="CA3178" s="204" t="n"/>
      <c r="CB3178" s="208" t="n"/>
      <c r="CC3178" s="139" t="n"/>
      <c r="CD3178" s="204" t="n"/>
      <c r="CE3178" s="204" t="n"/>
      <c r="CF3178" s="207" t="n"/>
      <c r="CG3178" s="208" t="n"/>
      <c r="CH3178" s="207" t="n"/>
      <c r="CI3178" s="208" t="n"/>
      <c r="CJ3178" s="204" t="n"/>
      <c r="CK3178" s="208" t="n"/>
      <c r="CL3178" s="208" t="n"/>
      <c r="CM3178" s="208" t="n"/>
      <c r="CN3178" s="78" t="n"/>
      <c r="CO3178" s="209" t="n"/>
      <c r="CP3178" s="204" t="n"/>
      <c r="CQ3178" s="204" t="n"/>
      <c r="CR3178" s="204" t="n"/>
      <c r="CS3178" s="204" t="n"/>
      <c r="CT3178" s="204" t="n"/>
      <c r="CU3178" s="204" t="n"/>
      <c r="CV3178" s="204" t="n"/>
      <c r="CW3178" s="204" t="n"/>
    </row>
    <row r="3179">
      <c r="BF3179" s="78" t="n"/>
      <c r="BG3179" s="78" t="n"/>
      <c r="BH3179" s="78" t="n"/>
      <c r="BI3179" s="78" t="n"/>
      <c r="BJ3179" s="139" t="n"/>
      <c r="BK3179" s="204" t="n"/>
      <c r="BL3179" s="141" t="n"/>
      <c r="BM3179" s="205" t="n"/>
      <c r="BN3179" s="205" t="n"/>
      <c r="BO3179" s="206" t="n"/>
      <c r="BP3179" s="144" t="n"/>
      <c r="BQ3179" s="141" t="n"/>
      <c r="BR3179" s="207" t="n"/>
      <c r="BS3179" s="207" t="n"/>
      <c r="BT3179" s="207" t="n"/>
      <c r="BU3179" s="207" t="n"/>
      <c r="BV3179" s="208" t="n"/>
      <c r="BW3179" s="207" t="n"/>
      <c r="BX3179" s="207" t="n"/>
      <c r="BY3179" s="204" t="n"/>
      <c r="BZ3179" s="148" t="n"/>
      <c r="CA3179" s="204" t="n"/>
      <c r="CB3179" s="208" t="n"/>
      <c r="CC3179" s="139" t="n"/>
      <c r="CD3179" s="204" t="n"/>
      <c r="CE3179" s="204" t="n"/>
      <c r="CF3179" s="207" t="n"/>
      <c r="CG3179" s="208" t="n"/>
      <c r="CH3179" s="207" t="n"/>
      <c r="CI3179" s="208" t="n"/>
      <c r="CJ3179" s="204" t="n"/>
      <c r="CK3179" s="208" t="n"/>
      <c r="CL3179" s="208" t="n"/>
      <c r="CM3179" s="208" t="n"/>
      <c r="CN3179" s="78" t="n"/>
      <c r="CO3179" s="209" t="n"/>
      <c r="CP3179" s="204" t="n"/>
      <c r="CQ3179" s="204" t="n"/>
      <c r="CR3179" s="204" t="n"/>
      <c r="CS3179" s="204" t="n"/>
      <c r="CT3179" s="204" t="n"/>
      <c r="CU3179" s="204" t="n"/>
      <c r="CV3179" s="204" t="n"/>
      <c r="CW3179" s="204" t="n"/>
    </row>
    <row r="3180">
      <c r="BF3180" s="78" t="n"/>
      <c r="BG3180" s="78" t="n"/>
      <c r="BH3180" s="78" t="n"/>
      <c r="BI3180" s="78" t="n"/>
      <c r="BJ3180" s="139" t="n"/>
      <c r="BK3180" s="204" t="n"/>
      <c r="BL3180" s="141" t="n"/>
      <c r="BM3180" s="205" t="n"/>
      <c r="BN3180" s="205" t="n"/>
      <c r="BO3180" s="206" t="n"/>
      <c r="BP3180" s="144" t="n"/>
      <c r="BQ3180" s="141" t="n"/>
      <c r="BR3180" s="207" t="n"/>
      <c r="BS3180" s="207" t="n"/>
      <c r="BT3180" s="207" t="n"/>
      <c r="BU3180" s="207" t="n"/>
      <c r="BV3180" s="208" t="n"/>
      <c r="BW3180" s="207" t="n"/>
      <c r="BX3180" s="207" t="n"/>
      <c r="BY3180" s="204" t="n"/>
      <c r="BZ3180" s="148" t="n"/>
      <c r="CA3180" s="204" t="n"/>
      <c r="CB3180" s="208" t="n"/>
      <c r="CC3180" s="139" t="n"/>
      <c r="CD3180" s="204" t="n"/>
      <c r="CE3180" s="204" t="n"/>
      <c r="CF3180" s="207" t="n"/>
      <c r="CG3180" s="208" t="n"/>
      <c r="CH3180" s="207" t="n"/>
      <c r="CI3180" s="208" t="n"/>
      <c r="CJ3180" s="204" t="n"/>
      <c r="CK3180" s="208" t="n"/>
      <c r="CL3180" s="208" t="n"/>
      <c r="CM3180" s="208" t="n"/>
      <c r="CN3180" s="78" t="n"/>
      <c r="CO3180" s="209" t="n"/>
      <c r="CP3180" s="204" t="n"/>
      <c r="CQ3180" s="204" t="n"/>
      <c r="CR3180" s="204" t="n"/>
      <c r="CS3180" s="204" t="n"/>
      <c r="CT3180" s="204" t="n"/>
      <c r="CU3180" s="204" t="n"/>
      <c r="CV3180" s="204" t="n"/>
      <c r="CW3180" s="204" t="n"/>
    </row>
    <row r="3181">
      <c r="BF3181" s="78" t="n"/>
      <c r="BG3181" s="78" t="n"/>
      <c r="BH3181" s="78" t="n"/>
      <c r="BI3181" s="78" t="n"/>
      <c r="BJ3181" s="139" t="n"/>
      <c r="BK3181" s="204" t="n"/>
      <c r="BL3181" s="141" t="n"/>
      <c r="BM3181" s="205" t="n"/>
      <c r="BN3181" s="205" t="n"/>
      <c r="BO3181" s="206" t="n"/>
      <c r="BP3181" s="144" t="n"/>
      <c r="BQ3181" s="141" t="n"/>
      <c r="BR3181" s="207" t="n"/>
      <c r="BS3181" s="207" t="n"/>
      <c r="BT3181" s="207" t="n"/>
      <c r="BU3181" s="207" t="n"/>
      <c r="BV3181" s="208" t="n"/>
      <c r="BW3181" s="207" t="n"/>
      <c r="BX3181" s="207" t="n"/>
      <c r="BY3181" s="204" t="n"/>
      <c r="BZ3181" s="148" t="n"/>
      <c r="CA3181" s="204" t="n"/>
      <c r="CB3181" s="208" t="n"/>
      <c r="CC3181" s="139" t="n"/>
      <c r="CD3181" s="204" t="n"/>
      <c r="CE3181" s="204" t="n"/>
      <c r="CF3181" s="207" t="n"/>
      <c r="CG3181" s="208" t="n"/>
      <c r="CH3181" s="207" t="n"/>
      <c r="CI3181" s="208" t="n"/>
      <c r="CJ3181" s="204" t="n"/>
      <c r="CK3181" s="208" t="n"/>
      <c r="CL3181" s="208" t="n"/>
      <c r="CM3181" s="208" t="n"/>
      <c r="CN3181" s="78" t="n"/>
      <c r="CO3181" s="209" t="n"/>
      <c r="CP3181" s="204" t="n"/>
      <c r="CQ3181" s="204" t="n"/>
      <c r="CR3181" s="204" t="n"/>
      <c r="CS3181" s="204" t="n"/>
      <c r="CT3181" s="204" t="n"/>
      <c r="CU3181" s="204" t="n"/>
      <c r="CV3181" s="204" t="n"/>
      <c r="CW3181" s="204" t="n"/>
    </row>
    <row r="3182">
      <c r="BF3182" s="78" t="n"/>
      <c r="BG3182" s="78" t="n"/>
      <c r="BH3182" s="78" t="n"/>
      <c r="BI3182" s="78" t="n"/>
      <c r="BJ3182" s="139" t="n"/>
      <c r="BK3182" s="204" t="n"/>
      <c r="BL3182" s="141" t="n"/>
      <c r="BM3182" s="205" t="n"/>
      <c r="BN3182" s="205" t="n"/>
      <c r="BO3182" s="206" t="n"/>
      <c r="BP3182" s="144" t="n"/>
      <c r="BQ3182" s="141" t="n"/>
      <c r="BR3182" s="207" t="n"/>
      <c r="BS3182" s="207" t="n"/>
      <c r="BT3182" s="207" t="n"/>
      <c r="BU3182" s="207" t="n"/>
      <c r="BV3182" s="208" t="n"/>
      <c r="BW3182" s="207" t="n"/>
      <c r="BX3182" s="207" t="n"/>
      <c r="BY3182" s="204" t="n"/>
      <c r="BZ3182" s="148" t="n"/>
      <c r="CA3182" s="204" t="n"/>
      <c r="CB3182" s="208" t="n"/>
      <c r="CC3182" s="139" t="n"/>
      <c r="CD3182" s="204" t="n"/>
      <c r="CE3182" s="204" t="n"/>
      <c r="CF3182" s="207" t="n"/>
      <c r="CG3182" s="208" t="n"/>
      <c r="CH3182" s="207" t="n"/>
      <c r="CI3182" s="208" t="n"/>
      <c r="CJ3182" s="204" t="n"/>
      <c r="CK3182" s="208" t="n"/>
      <c r="CL3182" s="208" t="n"/>
      <c r="CM3182" s="208" t="n"/>
      <c r="CN3182" s="78" t="n"/>
      <c r="CO3182" s="209" t="n"/>
      <c r="CP3182" s="204" t="n"/>
      <c r="CQ3182" s="204" t="n"/>
      <c r="CR3182" s="204" t="n"/>
      <c r="CS3182" s="204" t="n"/>
      <c r="CT3182" s="204" t="n"/>
      <c r="CU3182" s="204" t="n"/>
      <c r="CV3182" s="204" t="n"/>
      <c r="CW3182" s="204" t="n"/>
    </row>
    <row r="3183">
      <c r="BF3183" s="78" t="n"/>
      <c r="BG3183" s="78" t="n"/>
      <c r="BH3183" s="78" t="n"/>
      <c r="BI3183" s="78" t="n"/>
      <c r="BJ3183" s="139" t="n"/>
      <c r="BK3183" s="204" t="n"/>
      <c r="BL3183" s="141" t="n"/>
      <c r="BM3183" s="205" t="n"/>
      <c r="BN3183" s="205" t="n"/>
      <c r="BO3183" s="206" t="n"/>
      <c r="BP3183" s="144" t="n"/>
      <c r="BQ3183" s="141" t="n"/>
      <c r="BR3183" s="207" t="n"/>
      <c r="BS3183" s="207" t="n"/>
      <c r="BT3183" s="207" t="n"/>
      <c r="BU3183" s="207" t="n"/>
      <c r="BV3183" s="208" t="n"/>
      <c r="BW3183" s="207" t="n"/>
      <c r="BX3183" s="207" t="n"/>
      <c r="BY3183" s="204" t="n"/>
      <c r="BZ3183" s="148" t="n"/>
      <c r="CA3183" s="204" t="n"/>
      <c r="CB3183" s="208" t="n"/>
      <c r="CC3183" s="139" t="n"/>
      <c r="CD3183" s="204" t="n"/>
      <c r="CE3183" s="204" t="n"/>
      <c r="CF3183" s="207" t="n"/>
      <c r="CG3183" s="208" t="n"/>
      <c r="CH3183" s="207" t="n"/>
      <c r="CI3183" s="208" t="n"/>
      <c r="CJ3183" s="204" t="n"/>
      <c r="CK3183" s="208" t="n"/>
      <c r="CL3183" s="208" t="n"/>
      <c r="CM3183" s="208" t="n"/>
      <c r="CN3183" s="78" t="n"/>
      <c r="CO3183" s="209" t="n"/>
      <c r="CP3183" s="204" t="n"/>
      <c r="CQ3183" s="204" t="n"/>
      <c r="CR3183" s="204" t="n"/>
      <c r="CS3183" s="204" t="n"/>
      <c r="CT3183" s="204" t="n"/>
      <c r="CU3183" s="204" t="n"/>
      <c r="CV3183" s="204" t="n"/>
      <c r="CW3183" s="204" t="n"/>
    </row>
    <row r="3184">
      <c r="BF3184" s="78" t="n"/>
      <c r="BG3184" s="78" t="n"/>
      <c r="BH3184" s="78" t="n"/>
      <c r="BI3184" s="78" t="n"/>
      <c r="BJ3184" s="139" t="n"/>
      <c r="BK3184" s="204" t="n"/>
      <c r="BL3184" s="141" t="n"/>
      <c r="BM3184" s="205" t="n"/>
      <c r="BN3184" s="205" t="n"/>
      <c r="BO3184" s="206" t="n"/>
      <c r="BP3184" s="144" t="n"/>
      <c r="BQ3184" s="141" t="n"/>
      <c r="BR3184" s="207" t="n"/>
      <c r="BS3184" s="207" t="n"/>
      <c r="BT3184" s="207" t="n"/>
      <c r="BU3184" s="207" t="n"/>
      <c r="BV3184" s="208" t="n"/>
      <c r="BW3184" s="207" t="n"/>
      <c r="BX3184" s="207" t="n"/>
      <c r="BY3184" s="204" t="n"/>
      <c r="BZ3184" s="148" t="n"/>
      <c r="CA3184" s="204" t="n"/>
      <c r="CB3184" s="208" t="n"/>
      <c r="CC3184" s="139" t="n"/>
      <c r="CD3184" s="204" t="n"/>
      <c r="CE3184" s="204" t="n"/>
      <c r="CF3184" s="207" t="n"/>
      <c r="CG3184" s="208" t="n"/>
      <c r="CH3184" s="207" t="n"/>
      <c r="CI3184" s="208" t="n"/>
      <c r="CJ3184" s="204" t="n"/>
      <c r="CK3184" s="208" t="n"/>
      <c r="CL3184" s="208" t="n"/>
      <c r="CM3184" s="208" t="n"/>
      <c r="CN3184" s="78" t="n"/>
      <c r="CO3184" s="209" t="n"/>
      <c r="CP3184" s="204" t="n"/>
      <c r="CQ3184" s="204" t="n"/>
      <c r="CR3184" s="204" t="n"/>
      <c r="CS3184" s="204" t="n"/>
      <c r="CT3184" s="204" t="n"/>
      <c r="CU3184" s="204" t="n"/>
      <c r="CV3184" s="204" t="n"/>
      <c r="CW3184" s="204" t="n"/>
    </row>
    <row r="3185">
      <c r="BF3185" s="78" t="n"/>
      <c r="BG3185" s="78" t="n"/>
      <c r="BH3185" s="78" t="n"/>
      <c r="BI3185" s="78" t="n"/>
      <c r="BJ3185" s="139" t="n"/>
      <c r="BK3185" s="204" t="n"/>
      <c r="BL3185" s="141" t="n"/>
      <c r="BM3185" s="205" t="n"/>
      <c r="BN3185" s="205" t="n"/>
      <c r="BO3185" s="206" t="n"/>
      <c r="BP3185" s="144" t="n"/>
      <c r="BQ3185" s="141" t="n"/>
      <c r="BR3185" s="207" t="n"/>
      <c r="BS3185" s="207" t="n"/>
      <c r="BT3185" s="207" t="n"/>
      <c r="BU3185" s="207" t="n"/>
      <c r="BV3185" s="208" t="n"/>
      <c r="BW3185" s="207" t="n"/>
      <c r="BX3185" s="207" t="n"/>
      <c r="BY3185" s="204" t="n"/>
      <c r="BZ3185" s="148" t="n"/>
      <c r="CA3185" s="204" t="n"/>
      <c r="CB3185" s="208" t="n"/>
      <c r="CC3185" s="139" t="n"/>
      <c r="CD3185" s="204" t="n"/>
      <c r="CE3185" s="204" t="n"/>
      <c r="CF3185" s="207" t="n"/>
      <c r="CG3185" s="208" t="n"/>
      <c r="CH3185" s="207" t="n"/>
      <c r="CI3185" s="208" t="n"/>
      <c r="CJ3185" s="204" t="n"/>
      <c r="CK3185" s="208" t="n"/>
      <c r="CL3185" s="208" t="n"/>
      <c r="CM3185" s="208" t="n"/>
      <c r="CN3185" s="78" t="n"/>
      <c r="CO3185" s="209" t="n"/>
      <c r="CP3185" s="204" t="n"/>
      <c r="CQ3185" s="204" t="n"/>
      <c r="CR3185" s="204" t="n"/>
      <c r="CS3185" s="204" t="n"/>
      <c r="CT3185" s="204" t="n"/>
      <c r="CU3185" s="204" t="n"/>
      <c r="CV3185" s="204" t="n"/>
      <c r="CW3185" s="204" t="n"/>
    </row>
    <row r="3186">
      <c r="BF3186" s="78" t="n"/>
      <c r="BG3186" s="78" t="n"/>
      <c r="BH3186" s="78" t="n"/>
      <c r="BI3186" s="78" t="n"/>
      <c r="BJ3186" s="139" t="n"/>
      <c r="BK3186" s="204" t="n"/>
      <c r="BL3186" s="141" t="n"/>
      <c r="BM3186" s="205" t="n"/>
      <c r="BN3186" s="205" t="n"/>
      <c r="BO3186" s="206" t="n"/>
      <c r="BP3186" s="144" t="n"/>
      <c r="BQ3186" s="141" t="n"/>
      <c r="BR3186" s="207" t="n"/>
      <c r="BS3186" s="207" t="n"/>
      <c r="BT3186" s="207" t="n"/>
      <c r="BU3186" s="207" t="n"/>
      <c r="BV3186" s="208" t="n"/>
      <c r="BW3186" s="207" t="n"/>
      <c r="BX3186" s="207" t="n"/>
      <c r="BY3186" s="204" t="n"/>
      <c r="BZ3186" s="148" t="n"/>
      <c r="CA3186" s="204" t="n"/>
      <c r="CB3186" s="208" t="n"/>
      <c r="CC3186" s="139" t="n"/>
      <c r="CD3186" s="204" t="n"/>
      <c r="CE3186" s="204" t="n"/>
      <c r="CF3186" s="207" t="n"/>
      <c r="CG3186" s="208" t="n"/>
      <c r="CH3186" s="207" t="n"/>
      <c r="CI3186" s="208" t="n"/>
      <c r="CJ3186" s="204" t="n"/>
      <c r="CK3186" s="208" t="n"/>
      <c r="CL3186" s="208" t="n"/>
      <c r="CM3186" s="208" t="n"/>
      <c r="CN3186" s="78" t="n"/>
      <c r="CO3186" s="209" t="n"/>
      <c r="CP3186" s="204" t="n"/>
      <c r="CQ3186" s="204" t="n"/>
      <c r="CR3186" s="204" t="n"/>
      <c r="CS3186" s="204" t="n"/>
      <c r="CT3186" s="204" t="n"/>
      <c r="CU3186" s="204" t="n"/>
      <c r="CV3186" s="204" t="n"/>
      <c r="CW3186" s="204" t="n"/>
    </row>
    <row r="3187">
      <c r="BF3187" s="78" t="n"/>
      <c r="BG3187" s="78" t="n"/>
      <c r="BH3187" s="78" t="n"/>
      <c r="BI3187" s="78" t="n"/>
      <c r="BJ3187" s="139" t="n"/>
      <c r="BK3187" s="204" t="n"/>
      <c r="BL3187" s="141" t="n"/>
      <c r="BM3187" s="205" t="n"/>
      <c r="BN3187" s="205" t="n"/>
      <c r="BO3187" s="206" t="n"/>
      <c r="BP3187" s="144" t="n"/>
      <c r="BQ3187" s="141" t="n"/>
      <c r="BR3187" s="207" t="n"/>
      <c r="BS3187" s="207" t="n"/>
      <c r="BT3187" s="207" t="n"/>
      <c r="BU3187" s="207" t="n"/>
      <c r="BV3187" s="208" t="n"/>
      <c r="BW3187" s="207" t="n"/>
      <c r="BX3187" s="207" t="n"/>
      <c r="BY3187" s="204" t="n"/>
      <c r="BZ3187" s="148" t="n"/>
      <c r="CA3187" s="204" t="n"/>
      <c r="CB3187" s="208" t="n"/>
      <c r="CC3187" s="139" t="n"/>
      <c r="CD3187" s="204" t="n"/>
      <c r="CE3187" s="204" t="n"/>
      <c r="CF3187" s="207" t="n"/>
      <c r="CG3187" s="208" t="n"/>
      <c r="CH3187" s="207" t="n"/>
      <c r="CI3187" s="208" t="n"/>
      <c r="CJ3187" s="204" t="n"/>
      <c r="CK3187" s="208" t="n"/>
      <c r="CL3187" s="208" t="n"/>
      <c r="CM3187" s="208" t="n"/>
      <c r="CN3187" s="78" t="n"/>
      <c r="CO3187" s="209" t="n"/>
      <c r="CP3187" s="204" t="n"/>
      <c r="CQ3187" s="204" t="n"/>
      <c r="CR3187" s="204" t="n"/>
      <c r="CS3187" s="204" t="n"/>
      <c r="CT3187" s="204" t="n"/>
      <c r="CU3187" s="204" t="n"/>
      <c r="CV3187" s="204" t="n"/>
      <c r="CW3187" s="204" t="n"/>
    </row>
    <row r="3188">
      <c r="BF3188" s="78" t="n"/>
      <c r="BG3188" s="78" t="n"/>
      <c r="BH3188" s="78" t="n"/>
      <c r="BI3188" s="78" t="n"/>
      <c r="BJ3188" s="139" t="n"/>
      <c r="BK3188" s="204" t="n"/>
      <c r="BL3188" s="141" t="n"/>
      <c r="BM3188" s="205" t="n"/>
      <c r="BN3188" s="205" t="n"/>
      <c r="BO3188" s="206" t="n"/>
      <c r="BP3188" s="144" t="n"/>
      <c r="BQ3188" s="141" t="n"/>
      <c r="BR3188" s="207" t="n"/>
      <c r="BS3188" s="207" t="n"/>
      <c r="BT3188" s="207" t="n"/>
      <c r="BU3188" s="207" t="n"/>
      <c r="BV3188" s="208" t="n"/>
      <c r="BW3188" s="207" t="n"/>
      <c r="BX3188" s="207" t="n"/>
      <c r="BY3188" s="204" t="n"/>
      <c r="BZ3188" s="148" t="n"/>
      <c r="CA3188" s="204" t="n"/>
      <c r="CB3188" s="208" t="n"/>
      <c r="CC3188" s="139" t="n"/>
      <c r="CD3188" s="204" t="n"/>
      <c r="CE3188" s="204" t="n"/>
      <c r="CF3188" s="207" t="n"/>
      <c r="CG3188" s="208" t="n"/>
      <c r="CH3188" s="207" t="n"/>
      <c r="CI3188" s="208" t="n"/>
      <c r="CJ3188" s="204" t="n"/>
      <c r="CK3188" s="208" t="n"/>
      <c r="CL3188" s="208" t="n"/>
      <c r="CM3188" s="208" t="n"/>
      <c r="CN3188" s="78" t="n"/>
      <c r="CO3188" s="209" t="n"/>
      <c r="CP3188" s="204" t="n"/>
      <c r="CQ3188" s="204" t="n"/>
      <c r="CR3188" s="204" t="n"/>
      <c r="CS3188" s="204" t="n"/>
      <c r="CT3188" s="204" t="n"/>
      <c r="CU3188" s="204" t="n"/>
      <c r="CV3188" s="204" t="n"/>
      <c r="CW3188" s="204" t="n"/>
    </row>
    <row r="3189">
      <c r="BF3189" s="78" t="n"/>
      <c r="BG3189" s="78" t="n"/>
      <c r="BH3189" s="78" t="n"/>
      <c r="BI3189" s="78" t="n"/>
      <c r="BJ3189" s="139" t="n"/>
      <c r="BK3189" s="204" t="n"/>
      <c r="BL3189" s="141" t="n"/>
      <c r="BM3189" s="205" t="n"/>
      <c r="BN3189" s="205" t="n"/>
      <c r="BO3189" s="206" t="n"/>
      <c r="BP3189" s="144" t="n"/>
      <c r="BQ3189" s="141" t="n"/>
      <c r="BR3189" s="207" t="n"/>
      <c r="BS3189" s="207" t="n"/>
      <c r="BT3189" s="207" t="n"/>
      <c r="BU3189" s="207" t="n"/>
      <c r="BV3189" s="208" t="n"/>
      <c r="BW3189" s="207" t="n"/>
      <c r="BX3189" s="207" t="n"/>
      <c r="BY3189" s="204" t="n"/>
      <c r="BZ3189" s="148" t="n"/>
      <c r="CA3189" s="204" t="n"/>
      <c r="CB3189" s="208" t="n"/>
      <c r="CC3189" s="139" t="n"/>
      <c r="CD3189" s="204" t="n"/>
      <c r="CE3189" s="204" t="n"/>
      <c r="CF3189" s="207" t="n"/>
      <c r="CG3189" s="208" t="n"/>
      <c r="CH3189" s="207" t="n"/>
      <c r="CI3189" s="208" t="n"/>
      <c r="CJ3189" s="204" t="n"/>
      <c r="CK3189" s="208" t="n"/>
      <c r="CL3189" s="208" t="n"/>
      <c r="CM3189" s="208" t="n"/>
      <c r="CN3189" s="78" t="n"/>
      <c r="CO3189" s="209" t="n"/>
      <c r="CP3189" s="204" t="n"/>
      <c r="CQ3189" s="204" t="n"/>
      <c r="CR3189" s="204" t="n"/>
      <c r="CS3189" s="204" t="n"/>
      <c r="CT3189" s="204" t="n"/>
      <c r="CU3189" s="204" t="n"/>
      <c r="CV3189" s="204" t="n"/>
      <c r="CW3189" s="204" t="n"/>
    </row>
    <row r="3190">
      <c r="BF3190" s="78" t="n"/>
      <c r="BG3190" s="78" t="n"/>
      <c r="BH3190" s="78" t="n"/>
      <c r="BI3190" s="78" t="n"/>
      <c r="BJ3190" s="139" t="n"/>
      <c r="BK3190" s="204" t="n"/>
      <c r="BL3190" s="141" t="n"/>
      <c r="BM3190" s="205" t="n"/>
      <c r="BN3190" s="205" t="n"/>
      <c r="BO3190" s="206" t="n"/>
      <c r="BP3190" s="144" t="n"/>
      <c r="BQ3190" s="141" t="n"/>
      <c r="BR3190" s="207" t="n"/>
      <c r="BS3190" s="207" t="n"/>
      <c r="BT3190" s="207" t="n"/>
      <c r="BU3190" s="207" t="n"/>
      <c r="BV3190" s="208" t="n"/>
      <c r="BW3190" s="207" t="n"/>
      <c r="BX3190" s="207" t="n"/>
      <c r="BY3190" s="204" t="n"/>
      <c r="BZ3190" s="148" t="n"/>
      <c r="CA3190" s="204" t="n"/>
      <c r="CB3190" s="208" t="n"/>
      <c r="CC3190" s="139" t="n"/>
      <c r="CD3190" s="204" t="n"/>
      <c r="CE3190" s="204" t="n"/>
      <c r="CF3190" s="207" t="n"/>
      <c r="CG3190" s="208" t="n"/>
      <c r="CH3190" s="207" t="n"/>
      <c r="CI3190" s="208" t="n"/>
      <c r="CJ3190" s="204" t="n"/>
      <c r="CK3190" s="208" t="n"/>
      <c r="CL3190" s="208" t="n"/>
      <c r="CM3190" s="208" t="n"/>
      <c r="CN3190" s="78" t="n"/>
      <c r="CO3190" s="209" t="n"/>
      <c r="CP3190" s="204" t="n"/>
      <c r="CQ3190" s="204" t="n"/>
      <c r="CR3190" s="204" t="n"/>
      <c r="CS3190" s="204" t="n"/>
      <c r="CT3190" s="204" t="n"/>
      <c r="CU3190" s="204" t="n"/>
      <c r="CV3190" s="204" t="n"/>
      <c r="CW3190" s="204" t="n"/>
    </row>
    <row r="3191">
      <c r="BF3191" s="78" t="n"/>
      <c r="BG3191" s="78" t="n"/>
      <c r="BH3191" s="78" t="n"/>
      <c r="BI3191" s="78" t="n"/>
      <c r="BJ3191" s="139" t="n"/>
      <c r="BK3191" s="204" t="n"/>
      <c r="BL3191" s="141" t="n"/>
      <c r="BM3191" s="205" t="n"/>
      <c r="BN3191" s="205" t="n"/>
      <c r="BO3191" s="206" t="n"/>
      <c r="BP3191" s="144" t="n"/>
      <c r="BQ3191" s="141" t="n"/>
      <c r="BR3191" s="207" t="n"/>
      <c r="BS3191" s="207" t="n"/>
      <c r="BT3191" s="207" t="n"/>
      <c r="BU3191" s="207" t="n"/>
      <c r="BV3191" s="208" t="n"/>
      <c r="BW3191" s="207" t="n"/>
      <c r="BX3191" s="207" t="n"/>
      <c r="BY3191" s="204" t="n"/>
      <c r="BZ3191" s="148" t="n"/>
      <c r="CA3191" s="204" t="n"/>
      <c r="CB3191" s="208" t="n"/>
      <c r="CC3191" s="139" t="n"/>
      <c r="CD3191" s="204" t="n"/>
      <c r="CE3191" s="204" t="n"/>
      <c r="CF3191" s="207" t="n"/>
      <c r="CG3191" s="208" t="n"/>
      <c r="CH3191" s="207" t="n"/>
      <c r="CI3191" s="208" t="n"/>
      <c r="CJ3191" s="204" t="n"/>
      <c r="CK3191" s="208" t="n"/>
      <c r="CL3191" s="208" t="n"/>
      <c r="CM3191" s="208" t="n"/>
      <c r="CN3191" s="78" t="n"/>
      <c r="CO3191" s="209" t="n"/>
      <c r="CP3191" s="204" t="n"/>
      <c r="CQ3191" s="204" t="n"/>
      <c r="CR3191" s="204" t="n"/>
      <c r="CS3191" s="204" t="n"/>
      <c r="CT3191" s="204" t="n"/>
      <c r="CU3191" s="204" t="n"/>
      <c r="CV3191" s="204" t="n"/>
      <c r="CW3191" s="204" t="n"/>
    </row>
    <row r="3192">
      <c r="BF3192" s="78" t="n"/>
      <c r="BG3192" s="78" t="n"/>
      <c r="BH3192" s="78" t="n"/>
      <c r="BI3192" s="78" t="n"/>
      <c r="BJ3192" s="139" t="n"/>
      <c r="BK3192" s="204" t="n"/>
      <c r="BL3192" s="141" t="n"/>
      <c r="BM3192" s="205" t="n"/>
      <c r="BN3192" s="205" t="n"/>
      <c r="BO3192" s="206" t="n"/>
      <c r="BP3192" s="144" t="n"/>
      <c r="BQ3192" s="141" t="n"/>
      <c r="BR3192" s="207" t="n"/>
      <c r="BS3192" s="207" t="n"/>
      <c r="BT3192" s="207" t="n"/>
      <c r="BU3192" s="207" t="n"/>
      <c r="BV3192" s="208" t="n"/>
      <c r="BW3192" s="207" t="n"/>
      <c r="BX3192" s="207" t="n"/>
      <c r="BY3192" s="204" t="n"/>
      <c r="BZ3192" s="148" t="n"/>
      <c r="CA3192" s="204" t="n"/>
      <c r="CB3192" s="208" t="n"/>
      <c r="CC3192" s="139" t="n"/>
      <c r="CD3192" s="204" t="n"/>
      <c r="CE3192" s="204" t="n"/>
      <c r="CF3192" s="207" t="n"/>
      <c r="CG3192" s="208" t="n"/>
      <c r="CH3192" s="207" t="n"/>
      <c r="CI3192" s="208" t="n"/>
      <c r="CJ3192" s="204" t="n"/>
      <c r="CK3192" s="208" t="n"/>
      <c r="CL3192" s="208" t="n"/>
      <c r="CM3192" s="208" t="n"/>
      <c r="CN3192" s="78" t="n"/>
      <c r="CO3192" s="209" t="n"/>
      <c r="CP3192" s="204" t="n"/>
      <c r="CQ3192" s="204" t="n"/>
      <c r="CR3192" s="204" t="n"/>
      <c r="CS3192" s="204" t="n"/>
      <c r="CT3192" s="204" t="n"/>
      <c r="CU3192" s="204" t="n"/>
      <c r="CV3192" s="204" t="n"/>
      <c r="CW3192" s="204" t="n"/>
    </row>
    <row r="3193">
      <c r="BF3193" s="78" t="n"/>
      <c r="BG3193" s="78" t="n"/>
      <c r="BH3193" s="78" t="n"/>
      <c r="BI3193" s="78" t="n"/>
      <c r="BJ3193" s="139" t="n"/>
      <c r="BK3193" s="204" t="n"/>
      <c r="BL3193" s="141" t="n"/>
      <c r="BM3193" s="205" t="n"/>
      <c r="BN3193" s="205" t="n"/>
      <c r="BO3193" s="206" t="n"/>
      <c r="BP3193" s="144" t="n"/>
      <c r="BQ3193" s="141" t="n"/>
      <c r="BR3193" s="207" t="n"/>
      <c r="BS3193" s="207" t="n"/>
      <c r="BT3193" s="207" t="n"/>
      <c r="BU3193" s="207" t="n"/>
      <c r="BV3193" s="208" t="n"/>
      <c r="BW3193" s="207" t="n"/>
      <c r="BX3193" s="207" t="n"/>
      <c r="BY3193" s="204" t="n"/>
      <c r="BZ3193" s="148" t="n"/>
      <c r="CA3193" s="204" t="n"/>
      <c r="CB3193" s="208" t="n"/>
      <c r="CC3193" s="139" t="n"/>
      <c r="CD3193" s="204" t="n"/>
      <c r="CE3193" s="204" t="n"/>
      <c r="CF3193" s="207" t="n"/>
      <c r="CG3193" s="208" t="n"/>
      <c r="CH3193" s="207" t="n"/>
      <c r="CI3193" s="208" t="n"/>
      <c r="CJ3193" s="204" t="n"/>
      <c r="CK3193" s="208" t="n"/>
      <c r="CL3193" s="208" t="n"/>
      <c r="CM3193" s="208" t="n"/>
      <c r="CN3193" s="78" t="n"/>
      <c r="CO3193" s="209" t="n"/>
      <c r="CP3193" s="204" t="n"/>
      <c r="CQ3193" s="204" t="n"/>
      <c r="CR3193" s="204" t="n"/>
      <c r="CS3193" s="204" t="n"/>
      <c r="CT3193" s="204" t="n"/>
      <c r="CU3193" s="204" t="n"/>
      <c r="CV3193" s="204" t="n"/>
      <c r="CW3193" s="204" t="n"/>
    </row>
    <row r="3194">
      <c r="BF3194" s="78" t="n"/>
      <c r="BG3194" s="78" t="n"/>
      <c r="BH3194" s="78" t="n"/>
      <c r="BI3194" s="78" t="n"/>
      <c r="BJ3194" s="139" t="n"/>
      <c r="BK3194" s="204" t="n"/>
      <c r="BL3194" s="141" t="n"/>
      <c r="BM3194" s="205" t="n"/>
      <c r="BN3194" s="205" t="n"/>
      <c r="BO3194" s="206" t="n"/>
      <c r="BP3194" s="144" t="n"/>
      <c r="BQ3194" s="141" t="n"/>
      <c r="BR3194" s="207" t="n"/>
      <c r="BS3194" s="207" t="n"/>
      <c r="BT3194" s="207" t="n"/>
      <c r="BU3194" s="207" t="n"/>
      <c r="BV3194" s="208" t="n"/>
      <c r="BW3194" s="207" t="n"/>
      <c r="BX3194" s="207" t="n"/>
      <c r="BY3194" s="204" t="n"/>
      <c r="BZ3194" s="148" t="n"/>
      <c r="CA3194" s="204" t="n"/>
      <c r="CB3194" s="208" t="n"/>
      <c r="CC3194" s="139" t="n"/>
      <c r="CD3194" s="204" t="n"/>
      <c r="CE3194" s="204" t="n"/>
      <c r="CF3194" s="207" t="n"/>
      <c r="CG3194" s="208" t="n"/>
      <c r="CH3194" s="207" t="n"/>
      <c r="CI3194" s="208" t="n"/>
      <c r="CJ3194" s="204" t="n"/>
      <c r="CK3194" s="208" t="n"/>
      <c r="CL3194" s="208" t="n"/>
      <c r="CM3194" s="208" t="n"/>
      <c r="CN3194" s="78" t="n"/>
      <c r="CO3194" s="209" t="n"/>
      <c r="CP3194" s="204" t="n"/>
      <c r="CQ3194" s="204" t="n"/>
      <c r="CR3194" s="204" t="n"/>
      <c r="CS3194" s="204" t="n"/>
      <c r="CT3194" s="204" t="n"/>
      <c r="CU3194" s="204" t="n"/>
      <c r="CV3194" s="204" t="n"/>
      <c r="CW3194" s="204" t="n"/>
    </row>
    <row r="3195">
      <c r="BF3195" s="78" t="n"/>
      <c r="BG3195" s="78" t="n"/>
      <c r="BH3195" s="78" t="n"/>
      <c r="BI3195" s="78" t="n"/>
      <c r="BJ3195" s="139" t="n"/>
      <c r="BK3195" s="204" t="n"/>
      <c r="BL3195" s="141" t="n"/>
      <c r="BM3195" s="205" t="n"/>
      <c r="BN3195" s="205" t="n"/>
      <c r="BO3195" s="206" t="n"/>
      <c r="BP3195" s="144" t="n"/>
      <c r="BQ3195" s="141" t="n"/>
      <c r="BR3195" s="207" t="n"/>
      <c r="BS3195" s="207" t="n"/>
      <c r="BT3195" s="207" t="n"/>
      <c r="BU3195" s="207" t="n"/>
      <c r="BV3195" s="208" t="n"/>
      <c r="BW3195" s="207" t="n"/>
      <c r="BX3195" s="207" t="n"/>
      <c r="BY3195" s="204" t="n"/>
      <c r="BZ3195" s="148" t="n"/>
      <c r="CA3195" s="204" t="n"/>
      <c r="CB3195" s="208" t="n"/>
      <c r="CC3195" s="139" t="n"/>
      <c r="CD3195" s="204" t="n"/>
      <c r="CE3195" s="204" t="n"/>
      <c r="CF3195" s="207" t="n"/>
      <c r="CG3195" s="208" t="n"/>
      <c r="CH3195" s="207" t="n"/>
      <c r="CI3195" s="208" t="n"/>
      <c r="CJ3195" s="204" t="n"/>
      <c r="CK3195" s="208" t="n"/>
      <c r="CL3195" s="208" t="n"/>
      <c r="CM3195" s="208" t="n"/>
      <c r="CN3195" s="78" t="n"/>
      <c r="CO3195" s="209" t="n"/>
      <c r="CP3195" s="204" t="n"/>
      <c r="CQ3195" s="204" t="n"/>
      <c r="CR3195" s="204" t="n"/>
      <c r="CS3195" s="204" t="n"/>
      <c r="CT3195" s="204" t="n"/>
      <c r="CU3195" s="204" t="n"/>
      <c r="CV3195" s="204" t="n"/>
      <c r="CW3195" s="204" t="n"/>
    </row>
    <row r="3196">
      <c r="BF3196" s="78" t="n"/>
      <c r="BG3196" s="78" t="n"/>
      <c r="BH3196" s="78" t="n"/>
      <c r="BI3196" s="78" t="n"/>
      <c r="BJ3196" s="139" t="n"/>
      <c r="BK3196" s="204" t="n"/>
      <c r="BL3196" s="141" t="n"/>
      <c r="BM3196" s="205" t="n"/>
      <c r="BN3196" s="205" t="n"/>
      <c r="BO3196" s="206" t="n"/>
      <c r="BP3196" s="144" t="n"/>
      <c r="BQ3196" s="141" t="n"/>
      <c r="BR3196" s="207" t="n"/>
      <c r="BS3196" s="207" t="n"/>
      <c r="BT3196" s="207" t="n"/>
      <c r="BU3196" s="207" t="n"/>
      <c r="BV3196" s="208" t="n"/>
      <c r="BW3196" s="207" t="n"/>
      <c r="BX3196" s="207" t="n"/>
      <c r="BY3196" s="204" t="n"/>
      <c r="BZ3196" s="148" t="n"/>
      <c r="CA3196" s="204" t="n"/>
      <c r="CB3196" s="208" t="n"/>
      <c r="CC3196" s="139" t="n"/>
      <c r="CD3196" s="204" t="n"/>
      <c r="CE3196" s="204" t="n"/>
      <c r="CF3196" s="207" t="n"/>
      <c r="CG3196" s="208" t="n"/>
      <c r="CH3196" s="207" t="n"/>
      <c r="CI3196" s="208" t="n"/>
      <c r="CJ3196" s="204" t="n"/>
      <c r="CK3196" s="208" t="n"/>
      <c r="CL3196" s="208" t="n"/>
      <c r="CM3196" s="208" t="n"/>
      <c r="CN3196" s="78" t="n"/>
      <c r="CO3196" s="209" t="n"/>
      <c r="CP3196" s="204" t="n"/>
      <c r="CQ3196" s="204" t="n"/>
      <c r="CR3196" s="204" t="n"/>
      <c r="CS3196" s="204" t="n"/>
      <c r="CT3196" s="204" t="n"/>
      <c r="CU3196" s="204" t="n"/>
      <c r="CV3196" s="204" t="n"/>
      <c r="CW3196" s="204" t="n"/>
    </row>
    <row r="3197">
      <c r="BF3197" s="78" t="n"/>
      <c r="BG3197" s="78" t="n"/>
      <c r="BH3197" s="78" t="n"/>
      <c r="BI3197" s="78" t="n"/>
      <c r="BJ3197" s="139" t="n"/>
      <c r="BK3197" s="204" t="n"/>
      <c r="BL3197" s="141" t="n"/>
      <c r="BM3197" s="205" t="n"/>
      <c r="BN3197" s="205" t="n"/>
      <c r="BO3197" s="206" t="n"/>
      <c r="BP3197" s="144" t="n"/>
      <c r="BQ3197" s="141" t="n"/>
      <c r="BR3197" s="207" t="n"/>
      <c r="BS3197" s="207" t="n"/>
      <c r="BT3197" s="207" t="n"/>
      <c r="BU3197" s="207" t="n"/>
      <c r="BV3197" s="208" t="n"/>
      <c r="BW3197" s="207" t="n"/>
      <c r="BX3197" s="207" t="n"/>
      <c r="BY3197" s="204" t="n"/>
      <c r="BZ3197" s="148" t="n"/>
      <c r="CA3197" s="204" t="n"/>
      <c r="CB3197" s="208" t="n"/>
      <c r="CC3197" s="139" t="n"/>
      <c r="CD3197" s="204" t="n"/>
      <c r="CE3197" s="204" t="n"/>
      <c r="CF3197" s="207" t="n"/>
      <c r="CG3197" s="208" t="n"/>
      <c r="CH3197" s="207" t="n"/>
      <c r="CI3197" s="208" t="n"/>
      <c r="CJ3197" s="204" t="n"/>
      <c r="CK3197" s="208" t="n"/>
      <c r="CL3197" s="208" t="n"/>
      <c r="CM3197" s="208" t="n"/>
      <c r="CN3197" s="78" t="n"/>
      <c r="CO3197" s="209" t="n"/>
      <c r="CP3197" s="204" t="n"/>
      <c r="CQ3197" s="204" t="n"/>
      <c r="CR3197" s="204" t="n"/>
      <c r="CS3197" s="204" t="n"/>
      <c r="CT3197" s="204" t="n"/>
      <c r="CU3197" s="204" t="n"/>
      <c r="CV3197" s="204" t="n"/>
      <c r="CW3197" s="204" t="n"/>
    </row>
    <row r="3198">
      <c r="BF3198" s="78" t="n"/>
      <c r="BG3198" s="78" t="n"/>
      <c r="BH3198" s="78" t="n"/>
      <c r="BI3198" s="78" t="n"/>
      <c r="BJ3198" s="139" t="n"/>
      <c r="BK3198" s="204" t="n"/>
      <c r="BL3198" s="141" t="n"/>
      <c r="BM3198" s="205" t="n"/>
      <c r="BN3198" s="205" t="n"/>
      <c r="BO3198" s="206" t="n"/>
      <c r="BP3198" s="144" t="n"/>
      <c r="BQ3198" s="141" t="n"/>
      <c r="BR3198" s="207" t="n"/>
      <c r="BS3198" s="207" t="n"/>
      <c r="BT3198" s="207" t="n"/>
      <c r="BU3198" s="207" t="n"/>
      <c r="BV3198" s="208" t="n"/>
      <c r="BW3198" s="207" t="n"/>
      <c r="BX3198" s="207" t="n"/>
      <c r="BY3198" s="204" t="n"/>
      <c r="BZ3198" s="148" t="n"/>
      <c r="CA3198" s="204" t="n"/>
      <c r="CB3198" s="208" t="n"/>
      <c r="CC3198" s="139" t="n"/>
      <c r="CD3198" s="204" t="n"/>
      <c r="CE3198" s="204" t="n"/>
      <c r="CF3198" s="207" t="n"/>
      <c r="CG3198" s="208" t="n"/>
      <c r="CH3198" s="207" t="n"/>
      <c r="CI3198" s="208" t="n"/>
      <c r="CJ3198" s="204" t="n"/>
      <c r="CK3198" s="208" t="n"/>
      <c r="CL3198" s="208" t="n"/>
      <c r="CM3198" s="208" t="n"/>
      <c r="CN3198" s="78" t="n"/>
      <c r="CO3198" s="209" t="n"/>
      <c r="CP3198" s="204" t="n"/>
      <c r="CQ3198" s="204" t="n"/>
      <c r="CR3198" s="204" t="n"/>
      <c r="CS3198" s="204" t="n"/>
      <c r="CT3198" s="204" t="n"/>
      <c r="CU3198" s="204" t="n"/>
      <c r="CV3198" s="204" t="n"/>
      <c r="CW3198" s="204" t="n"/>
    </row>
    <row r="3199">
      <c r="BF3199" s="78" t="n"/>
      <c r="BG3199" s="78" t="n"/>
      <c r="BH3199" s="78" t="n"/>
      <c r="BI3199" s="78" t="n"/>
      <c r="BJ3199" s="139" t="n"/>
      <c r="BK3199" s="204" t="n"/>
      <c r="BL3199" s="141" t="n"/>
      <c r="BM3199" s="205" t="n"/>
      <c r="BN3199" s="205" t="n"/>
      <c r="BO3199" s="206" t="n"/>
      <c r="BP3199" s="144" t="n"/>
      <c r="BQ3199" s="141" t="n"/>
      <c r="BR3199" s="207" t="n"/>
      <c r="BS3199" s="207" t="n"/>
      <c r="BT3199" s="207" t="n"/>
      <c r="BU3199" s="207" t="n"/>
      <c r="BV3199" s="208" t="n"/>
      <c r="BW3199" s="207" t="n"/>
      <c r="BX3199" s="207" t="n"/>
      <c r="BY3199" s="204" t="n"/>
      <c r="BZ3199" s="148" t="n"/>
      <c r="CA3199" s="204" t="n"/>
      <c r="CB3199" s="208" t="n"/>
      <c r="CC3199" s="139" t="n"/>
      <c r="CD3199" s="204" t="n"/>
      <c r="CE3199" s="204" t="n"/>
      <c r="CF3199" s="207" t="n"/>
      <c r="CG3199" s="208" t="n"/>
      <c r="CH3199" s="207" t="n"/>
      <c r="CI3199" s="208" t="n"/>
      <c r="CJ3199" s="204" t="n"/>
      <c r="CK3199" s="208" t="n"/>
      <c r="CL3199" s="208" t="n"/>
      <c r="CM3199" s="208" t="n"/>
      <c r="CN3199" s="78" t="n"/>
      <c r="CO3199" s="209" t="n"/>
      <c r="CP3199" s="204" t="n"/>
      <c r="CQ3199" s="204" t="n"/>
      <c r="CR3199" s="204" t="n"/>
      <c r="CS3199" s="204" t="n"/>
      <c r="CT3199" s="204" t="n"/>
      <c r="CU3199" s="204" t="n"/>
      <c r="CV3199" s="204" t="n"/>
      <c r="CW3199" s="204" t="n"/>
    </row>
    <row r="3200">
      <c r="BF3200" s="78" t="n"/>
      <c r="BG3200" s="78" t="n"/>
      <c r="BH3200" s="78" t="n"/>
      <c r="BI3200" s="78" t="n"/>
      <c r="BJ3200" s="139" t="n"/>
      <c r="BK3200" s="204" t="n"/>
      <c r="BL3200" s="141" t="n"/>
      <c r="BM3200" s="205" t="n"/>
      <c r="BN3200" s="205" t="n"/>
      <c r="BO3200" s="206" t="n"/>
      <c r="BP3200" s="144" t="n"/>
      <c r="BQ3200" s="141" t="n"/>
      <c r="BR3200" s="207" t="n"/>
      <c r="BS3200" s="207" t="n"/>
      <c r="BT3200" s="207" t="n"/>
      <c r="BU3200" s="207" t="n"/>
      <c r="BV3200" s="208" t="n"/>
      <c r="BW3200" s="207" t="n"/>
      <c r="BX3200" s="207" t="n"/>
      <c r="BY3200" s="204" t="n"/>
      <c r="BZ3200" s="148" t="n"/>
      <c r="CA3200" s="204" t="n"/>
      <c r="CB3200" s="208" t="n"/>
      <c r="CC3200" s="139" t="n"/>
      <c r="CD3200" s="204" t="n"/>
      <c r="CE3200" s="204" t="n"/>
      <c r="CF3200" s="207" t="n"/>
      <c r="CG3200" s="208" t="n"/>
      <c r="CH3200" s="207" t="n"/>
      <c r="CI3200" s="208" t="n"/>
      <c r="CJ3200" s="204" t="n"/>
      <c r="CK3200" s="208" t="n"/>
      <c r="CL3200" s="208" t="n"/>
      <c r="CM3200" s="208" t="n"/>
      <c r="CN3200" s="78" t="n"/>
      <c r="CO3200" s="209" t="n"/>
      <c r="CP3200" s="204" t="n"/>
      <c r="CQ3200" s="204" t="n"/>
      <c r="CR3200" s="204" t="n"/>
      <c r="CS3200" s="204" t="n"/>
      <c r="CT3200" s="204" t="n"/>
      <c r="CU3200" s="204" t="n"/>
      <c r="CV3200" s="204" t="n"/>
      <c r="CW3200" s="204" t="n"/>
    </row>
    <row r="3201">
      <c r="BF3201" s="78" t="n"/>
      <c r="BG3201" s="78" t="n"/>
      <c r="BH3201" s="78" t="n"/>
      <c r="BI3201" s="78" t="n"/>
      <c r="BJ3201" s="139" t="n"/>
      <c r="BK3201" s="204" t="n"/>
      <c r="BL3201" s="141" t="n"/>
      <c r="BM3201" s="205" t="n"/>
      <c r="BN3201" s="205" t="n"/>
      <c r="BO3201" s="206" t="n"/>
      <c r="BP3201" s="144" t="n"/>
      <c r="BQ3201" s="141" t="n"/>
      <c r="BR3201" s="207" t="n"/>
      <c r="BS3201" s="207" t="n"/>
      <c r="BT3201" s="207" t="n"/>
      <c r="BU3201" s="207" t="n"/>
      <c r="BV3201" s="208" t="n"/>
      <c r="BW3201" s="207" t="n"/>
      <c r="BX3201" s="207" t="n"/>
      <c r="BY3201" s="204" t="n"/>
      <c r="BZ3201" s="148" t="n"/>
      <c r="CA3201" s="204" t="n"/>
      <c r="CB3201" s="208" t="n"/>
      <c r="CC3201" s="139" t="n"/>
      <c r="CD3201" s="204" t="n"/>
      <c r="CE3201" s="204" t="n"/>
      <c r="CF3201" s="207" t="n"/>
      <c r="CG3201" s="208" t="n"/>
      <c r="CH3201" s="207" t="n"/>
      <c r="CI3201" s="208" t="n"/>
      <c r="CJ3201" s="204" t="n"/>
      <c r="CK3201" s="208" t="n"/>
      <c r="CL3201" s="208" t="n"/>
      <c r="CM3201" s="208" t="n"/>
      <c r="CN3201" s="78" t="n"/>
      <c r="CO3201" s="209" t="n"/>
      <c r="CP3201" s="204" t="n"/>
      <c r="CQ3201" s="204" t="n"/>
      <c r="CR3201" s="204" t="n"/>
      <c r="CS3201" s="204" t="n"/>
      <c r="CT3201" s="204" t="n"/>
      <c r="CU3201" s="204" t="n"/>
      <c r="CV3201" s="204" t="n"/>
      <c r="CW3201" s="204" t="n"/>
    </row>
    <row r="3202">
      <c r="BF3202" s="78" t="n"/>
      <c r="BG3202" s="78" t="n"/>
      <c r="BH3202" s="78" t="n"/>
      <c r="BI3202" s="78" t="n"/>
      <c r="BJ3202" s="139" t="n"/>
      <c r="BK3202" s="204" t="n"/>
      <c r="BL3202" s="141" t="n"/>
      <c r="BM3202" s="205" t="n"/>
      <c r="BN3202" s="205" t="n"/>
      <c r="BO3202" s="206" t="n"/>
      <c r="BP3202" s="144" t="n"/>
      <c r="BQ3202" s="141" t="n"/>
      <c r="BR3202" s="207" t="n"/>
      <c r="BS3202" s="207" t="n"/>
      <c r="BT3202" s="207" t="n"/>
      <c r="BU3202" s="207" t="n"/>
      <c r="BV3202" s="208" t="n"/>
      <c r="BW3202" s="207" t="n"/>
      <c r="BX3202" s="207" t="n"/>
      <c r="BY3202" s="204" t="n"/>
      <c r="BZ3202" s="148" t="n"/>
      <c r="CA3202" s="204" t="n"/>
      <c r="CB3202" s="208" t="n"/>
      <c r="CC3202" s="139" t="n"/>
      <c r="CD3202" s="204" t="n"/>
      <c r="CE3202" s="204" t="n"/>
      <c r="CF3202" s="207" t="n"/>
      <c r="CG3202" s="208" t="n"/>
      <c r="CH3202" s="207" t="n"/>
      <c r="CI3202" s="208" t="n"/>
      <c r="CJ3202" s="204" t="n"/>
      <c r="CK3202" s="208" t="n"/>
      <c r="CL3202" s="208" t="n"/>
      <c r="CM3202" s="208" t="n"/>
      <c r="CN3202" s="78" t="n"/>
      <c r="CO3202" s="209" t="n"/>
      <c r="CP3202" s="204" t="n"/>
      <c r="CQ3202" s="204" t="n"/>
      <c r="CR3202" s="204" t="n"/>
      <c r="CS3202" s="204" t="n"/>
      <c r="CT3202" s="204" t="n"/>
      <c r="CU3202" s="204" t="n"/>
      <c r="CV3202" s="204" t="n"/>
      <c r="CW3202" s="204" t="n"/>
    </row>
    <row r="3203">
      <c r="BF3203" s="78" t="n"/>
      <c r="BG3203" s="78" t="n"/>
      <c r="BH3203" s="78" t="n"/>
      <c r="BI3203" s="78" t="n"/>
      <c r="BJ3203" s="139" t="n"/>
      <c r="BK3203" s="204" t="n"/>
      <c r="BL3203" s="141" t="n"/>
      <c r="BM3203" s="205" t="n"/>
      <c r="BN3203" s="205" t="n"/>
      <c r="BO3203" s="206" t="n"/>
      <c r="BP3203" s="144" t="n"/>
      <c r="BQ3203" s="141" t="n"/>
      <c r="BR3203" s="207" t="n"/>
      <c r="BS3203" s="207" t="n"/>
      <c r="BT3203" s="207" t="n"/>
      <c r="BU3203" s="207" t="n"/>
      <c r="BV3203" s="208" t="n"/>
      <c r="BW3203" s="207" t="n"/>
      <c r="BX3203" s="207" t="n"/>
      <c r="BY3203" s="204" t="n"/>
      <c r="BZ3203" s="148" t="n"/>
      <c r="CA3203" s="204" t="n"/>
      <c r="CB3203" s="208" t="n"/>
      <c r="CC3203" s="139" t="n"/>
      <c r="CD3203" s="204" t="n"/>
      <c r="CE3203" s="204" t="n"/>
      <c r="CF3203" s="207" t="n"/>
      <c r="CG3203" s="208" t="n"/>
      <c r="CH3203" s="207" t="n"/>
      <c r="CI3203" s="208" t="n"/>
      <c r="CJ3203" s="204" t="n"/>
      <c r="CK3203" s="208" t="n"/>
      <c r="CL3203" s="208" t="n"/>
      <c r="CM3203" s="208" t="n"/>
      <c r="CN3203" s="78" t="n"/>
      <c r="CO3203" s="209" t="n"/>
      <c r="CP3203" s="204" t="n"/>
      <c r="CQ3203" s="204" t="n"/>
      <c r="CR3203" s="204" t="n"/>
      <c r="CS3203" s="204" t="n"/>
      <c r="CT3203" s="204" t="n"/>
      <c r="CU3203" s="204" t="n"/>
      <c r="CV3203" s="204" t="n"/>
      <c r="CW3203" s="204" t="n"/>
    </row>
    <row r="3204">
      <c r="BF3204" s="78" t="n"/>
      <c r="BG3204" s="78" t="n"/>
      <c r="BH3204" s="78" t="n"/>
      <c r="BI3204" s="78" t="n"/>
      <c r="BJ3204" s="139" t="n"/>
      <c r="BK3204" s="204" t="n"/>
      <c r="BL3204" s="141" t="n"/>
      <c r="BM3204" s="205" t="n"/>
      <c r="BN3204" s="205" t="n"/>
      <c r="BO3204" s="206" t="n"/>
      <c r="BP3204" s="144" t="n"/>
      <c r="BQ3204" s="141" t="n"/>
      <c r="BR3204" s="207" t="n"/>
      <c r="BS3204" s="207" t="n"/>
      <c r="BT3204" s="207" t="n"/>
      <c r="BU3204" s="207" t="n"/>
      <c r="BV3204" s="208" t="n"/>
      <c r="BW3204" s="207" t="n"/>
      <c r="BX3204" s="207" t="n"/>
      <c r="BY3204" s="204" t="n"/>
      <c r="BZ3204" s="148" t="n"/>
      <c r="CA3204" s="204" t="n"/>
      <c r="CB3204" s="208" t="n"/>
      <c r="CC3204" s="139" t="n"/>
      <c r="CD3204" s="204" t="n"/>
      <c r="CE3204" s="204" t="n"/>
      <c r="CF3204" s="207" t="n"/>
      <c r="CG3204" s="208" t="n"/>
      <c r="CH3204" s="207" t="n"/>
      <c r="CI3204" s="208" t="n"/>
      <c r="CJ3204" s="204" t="n"/>
      <c r="CK3204" s="208" t="n"/>
      <c r="CL3204" s="208" t="n"/>
      <c r="CM3204" s="208" t="n"/>
      <c r="CN3204" s="78" t="n"/>
      <c r="CO3204" s="209" t="n"/>
      <c r="CP3204" s="204" t="n"/>
      <c r="CQ3204" s="204" t="n"/>
      <c r="CR3204" s="204" t="n"/>
      <c r="CS3204" s="204" t="n"/>
      <c r="CT3204" s="204" t="n"/>
      <c r="CU3204" s="204" t="n"/>
      <c r="CV3204" s="204" t="n"/>
      <c r="CW3204" s="204" t="n"/>
    </row>
    <row r="3205">
      <c r="BF3205" s="78" t="n"/>
      <c r="BG3205" s="78" t="n"/>
      <c r="BH3205" s="78" t="n"/>
      <c r="BI3205" s="78" t="n"/>
      <c r="BJ3205" s="139" t="n"/>
      <c r="BK3205" s="204" t="n"/>
      <c r="BL3205" s="141" t="n"/>
      <c r="BM3205" s="205" t="n"/>
      <c r="BN3205" s="205" t="n"/>
      <c r="BO3205" s="206" t="n"/>
      <c r="BP3205" s="144" t="n"/>
      <c r="BQ3205" s="141" t="n"/>
      <c r="BR3205" s="207" t="n"/>
      <c r="BS3205" s="207" t="n"/>
      <c r="BT3205" s="207" t="n"/>
      <c r="BU3205" s="207" t="n"/>
      <c r="BV3205" s="208" t="n"/>
      <c r="BW3205" s="207" t="n"/>
      <c r="BX3205" s="207" t="n"/>
      <c r="BY3205" s="204" t="n"/>
      <c r="BZ3205" s="148" t="n"/>
      <c r="CA3205" s="204" t="n"/>
      <c r="CB3205" s="208" t="n"/>
      <c r="CC3205" s="139" t="n"/>
      <c r="CD3205" s="204" t="n"/>
      <c r="CE3205" s="204" t="n"/>
      <c r="CF3205" s="207" t="n"/>
      <c r="CG3205" s="208" t="n"/>
      <c r="CH3205" s="207" t="n"/>
      <c r="CI3205" s="208" t="n"/>
      <c r="CJ3205" s="204" t="n"/>
      <c r="CK3205" s="208" t="n"/>
      <c r="CL3205" s="208" t="n"/>
      <c r="CM3205" s="208" t="n"/>
      <c r="CN3205" s="78" t="n"/>
      <c r="CO3205" s="209" t="n"/>
      <c r="CP3205" s="204" t="n"/>
      <c r="CQ3205" s="204" t="n"/>
      <c r="CR3205" s="204" t="n"/>
      <c r="CS3205" s="204" t="n"/>
      <c r="CT3205" s="204" t="n"/>
      <c r="CU3205" s="204" t="n"/>
      <c r="CV3205" s="204" t="n"/>
      <c r="CW3205" s="204" t="n"/>
    </row>
    <row r="3206">
      <c r="BF3206" s="78" t="n"/>
      <c r="BG3206" s="78" t="n"/>
      <c r="BH3206" s="78" t="n"/>
      <c r="BI3206" s="78" t="n"/>
      <c r="BJ3206" s="139" t="n"/>
      <c r="BK3206" s="204" t="n"/>
      <c r="BL3206" s="141" t="n"/>
      <c r="BM3206" s="205" t="n"/>
      <c r="BN3206" s="205" t="n"/>
      <c r="BO3206" s="206" t="n"/>
      <c r="BP3206" s="144" t="n"/>
      <c r="BQ3206" s="141" t="n"/>
      <c r="BR3206" s="207" t="n"/>
      <c r="BS3206" s="207" t="n"/>
      <c r="BT3206" s="207" t="n"/>
      <c r="BU3206" s="207" t="n"/>
      <c r="BV3206" s="208" t="n"/>
      <c r="BW3206" s="207" t="n"/>
      <c r="BX3206" s="207" t="n"/>
      <c r="BY3206" s="204" t="n"/>
      <c r="BZ3206" s="148" t="n"/>
      <c r="CA3206" s="204" t="n"/>
      <c r="CB3206" s="208" t="n"/>
      <c r="CC3206" s="139" t="n"/>
      <c r="CD3206" s="204" t="n"/>
      <c r="CE3206" s="204" t="n"/>
      <c r="CF3206" s="207" t="n"/>
      <c r="CG3206" s="208" t="n"/>
      <c r="CH3206" s="207" t="n"/>
      <c r="CI3206" s="208" t="n"/>
      <c r="CJ3206" s="204" t="n"/>
      <c r="CK3206" s="208" t="n"/>
      <c r="CL3206" s="208" t="n"/>
      <c r="CM3206" s="208" t="n"/>
      <c r="CN3206" s="78" t="n"/>
      <c r="CO3206" s="209" t="n"/>
      <c r="CP3206" s="204" t="n"/>
      <c r="CQ3206" s="204" t="n"/>
      <c r="CR3206" s="204" t="n"/>
      <c r="CS3206" s="204" t="n"/>
      <c r="CT3206" s="204" t="n"/>
      <c r="CU3206" s="204" t="n"/>
      <c r="CV3206" s="204" t="n"/>
      <c r="CW3206" s="204" t="n"/>
    </row>
    <row r="3207">
      <c r="BF3207" s="78" t="n"/>
      <c r="BG3207" s="78" t="n"/>
      <c r="BH3207" s="78" t="n"/>
      <c r="BI3207" s="78" t="n"/>
      <c r="BJ3207" s="139" t="n"/>
      <c r="BK3207" s="204" t="n"/>
      <c r="BL3207" s="141" t="n"/>
      <c r="BM3207" s="205" t="n"/>
      <c r="BN3207" s="205" t="n"/>
      <c r="BO3207" s="206" t="n"/>
      <c r="BP3207" s="144" t="n"/>
      <c r="BQ3207" s="141" t="n"/>
      <c r="BR3207" s="207" t="n"/>
      <c r="BS3207" s="207" t="n"/>
      <c r="BT3207" s="207" t="n"/>
      <c r="BU3207" s="207" t="n"/>
      <c r="BV3207" s="208" t="n"/>
      <c r="BW3207" s="207" t="n"/>
      <c r="BX3207" s="207" t="n"/>
      <c r="BY3207" s="204" t="n"/>
      <c r="BZ3207" s="148" t="n"/>
      <c r="CA3207" s="204" t="n"/>
      <c r="CB3207" s="208" t="n"/>
      <c r="CC3207" s="139" t="n"/>
      <c r="CD3207" s="204" t="n"/>
      <c r="CE3207" s="204" t="n"/>
      <c r="CF3207" s="207" t="n"/>
      <c r="CG3207" s="208" t="n"/>
      <c r="CH3207" s="207" t="n"/>
      <c r="CI3207" s="208" t="n"/>
      <c r="CJ3207" s="204" t="n"/>
      <c r="CK3207" s="208" t="n"/>
      <c r="CL3207" s="208" t="n"/>
      <c r="CM3207" s="208" t="n"/>
      <c r="CN3207" s="78" t="n"/>
      <c r="CO3207" s="209" t="n"/>
      <c r="CP3207" s="204" t="n"/>
      <c r="CQ3207" s="204" t="n"/>
      <c r="CR3207" s="204" t="n"/>
      <c r="CS3207" s="204" t="n"/>
      <c r="CT3207" s="204" t="n"/>
      <c r="CU3207" s="204" t="n"/>
      <c r="CV3207" s="204" t="n"/>
      <c r="CW3207" s="204" t="n"/>
    </row>
    <row r="3208">
      <c r="BF3208" s="78" t="n"/>
      <c r="BG3208" s="78" t="n"/>
      <c r="BH3208" s="78" t="n"/>
      <c r="BI3208" s="78" t="n"/>
      <c r="BJ3208" s="139" t="n"/>
      <c r="BK3208" s="204" t="n"/>
      <c r="BL3208" s="141" t="n"/>
      <c r="BM3208" s="205" t="n"/>
      <c r="BN3208" s="205" t="n"/>
      <c r="BO3208" s="206" t="n"/>
      <c r="BP3208" s="144" t="n"/>
      <c r="BQ3208" s="141" t="n"/>
      <c r="BR3208" s="207" t="n"/>
      <c r="BS3208" s="207" t="n"/>
      <c r="BT3208" s="207" t="n"/>
      <c r="BU3208" s="207" t="n"/>
      <c r="BV3208" s="208" t="n"/>
      <c r="BW3208" s="207" t="n"/>
      <c r="BX3208" s="207" t="n"/>
      <c r="BY3208" s="204" t="n"/>
      <c r="BZ3208" s="148" t="n"/>
      <c r="CA3208" s="204" t="n"/>
      <c r="CB3208" s="208" t="n"/>
      <c r="CC3208" s="139" t="n"/>
      <c r="CD3208" s="204" t="n"/>
      <c r="CE3208" s="204" t="n"/>
      <c r="CF3208" s="207" t="n"/>
      <c r="CG3208" s="208" t="n"/>
      <c r="CH3208" s="207" t="n"/>
      <c r="CI3208" s="208" t="n"/>
      <c r="CJ3208" s="204" t="n"/>
      <c r="CK3208" s="208" t="n"/>
      <c r="CL3208" s="208" t="n"/>
      <c r="CM3208" s="208" t="n"/>
      <c r="CN3208" s="78" t="n"/>
      <c r="CO3208" s="209" t="n"/>
      <c r="CP3208" s="204" t="n"/>
      <c r="CQ3208" s="204" t="n"/>
      <c r="CR3208" s="204" t="n"/>
      <c r="CS3208" s="204" t="n"/>
      <c r="CT3208" s="204" t="n"/>
      <c r="CU3208" s="204" t="n"/>
      <c r="CV3208" s="204" t="n"/>
      <c r="CW3208" s="204" t="n"/>
    </row>
    <row r="3209">
      <c r="BF3209" s="78" t="n"/>
      <c r="BG3209" s="78" t="n"/>
      <c r="BH3209" s="78" t="n"/>
      <c r="BI3209" s="78" t="n"/>
      <c r="BJ3209" s="139" t="n"/>
      <c r="BK3209" s="204" t="n"/>
      <c r="BL3209" s="141" t="n"/>
      <c r="BM3209" s="205" t="n"/>
      <c r="BN3209" s="205" t="n"/>
      <c r="BO3209" s="206" t="n"/>
      <c r="BP3209" s="144" t="n"/>
      <c r="BQ3209" s="141" t="n"/>
      <c r="BR3209" s="207" t="n"/>
      <c r="BS3209" s="207" t="n"/>
      <c r="BT3209" s="207" t="n"/>
      <c r="BU3209" s="207" t="n"/>
      <c r="BV3209" s="208" t="n"/>
      <c r="BW3209" s="207" t="n"/>
      <c r="BX3209" s="207" t="n"/>
      <c r="BY3209" s="204" t="n"/>
      <c r="BZ3209" s="148" t="n"/>
      <c r="CA3209" s="204" t="n"/>
      <c r="CB3209" s="208" t="n"/>
      <c r="CC3209" s="139" t="n"/>
      <c r="CD3209" s="204" t="n"/>
      <c r="CE3209" s="204" t="n"/>
      <c r="CF3209" s="207" t="n"/>
      <c r="CG3209" s="208" t="n"/>
      <c r="CH3209" s="207" t="n"/>
      <c r="CI3209" s="208" t="n"/>
      <c r="CJ3209" s="204" t="n"/>
      <c r="CK3209" s="208" t="n"/>
      <c r="CL3209" s="208" t="n"/>
      <c r="CM3209" s="208" t="n"/>
      <c r="CN3209" s="78" t="n"/>
      <c r="CO3209" s="209" t="n"/>
      <c r="CP3209" s="204" t="n"/>
      <c r="CQ3209" s="204" t="n"/>
      <c r="CR3209" s="204" t="n"/>
      <c r="CS3209" s="204" t="n"/>
      <c r="CT3209" s="204" t="n"/>
      <c r="CU3209" s="204" t="n"/>
      <c r="CV3209" s="204" t="n"/>
      <c r="CW3209" s="204" t="n"/>
    </row>
    <row r="3210">
      <c r="BF3210" s="78" t="n"/>
      <c r="BG3210" s="78" t="n"/>
      <c r="BH3210" s="78" t="n"/>
      <c r="BI3210" s="78" t="n"/>
      <c r="BJ3210" s="139" t="n"/>
      <c r="BK3210" s="204" t="n"/>
      <c r="BL3210" s="141" t="n"/>
      <c r="BM3210" s="205" t="n"/>
      <c r="BN3210" s="205" t="n"/>
      <c r="BO3210" s="206" t="n"/>
      <c r="BP3210" s="144" t="n"/>
      <c r="BQ3210" s="141" t="n"/>
      <c r="BR3210" s="207" t="n"/>
      <c r="BS3210" s="207" t="n"/>
      <c r="BT3210" s="207" t="n"/>
      <c r="BU3210" s="207" t="n"/>
      <c r="BV3210" s="208" t="n"/>
      <c r="BW3210" s="207" t="n"/>
      <c r="BX3210" s="207" t="n"/>
      <c r="BY3210" s="204" t="n"/>
      <c r="BZ3210" s="148" t="n"/>
      <c r="CA3210" s="204" t="n"/>
      <c r="CB3210" s="208" t="n"/>
      <c r="CC3210" s="139" t="n"/>
      <c r="CD3210" s="204" t="n"/>
      <c r="CE3210" s="204" t="n"/>
      <c r="CF3210" s="207" t="n"/>
      <c r="CG3210" s="208" t="n"/>
      <c r="CH3210" s="207" t="n"/>
      <c r="CI3210" s="208" t="n"/>
      <c r="CJ3210" s="204" t="n"/>
      <c r="CK3210" s="208" t="n"/>
      <c r="CL3210" s="208" t="n"/>
      <c r="CM3210" s="208" t="n"/>
      <c r="CN3210" s="78" t="n"/>
      <c r="CO3210" s="209" t="n"/>
      <c r="CP3210" s="204" t="n"/>
      <c r="CQ3210" s="204" t="n"/>
      <c r="CR3210" s="204" t="n"/>
      <c r="CS3210" s="204" t="n"/>
      <c r="CT3210" s="204" t="n"/>
      <c r="CU3210" s="204" t="n"/>
      <c r="CV3210" s="204" t="n"/>
      <c r="CW3210" s="204" t="n"/>
    </row>
    <row r="3211">
      <c r="BF3211" s="78" t="n"/>
      <c r="BG3211" s="78" t="n"/>
      <c r="BH3211" s="78" t="n"/>
      <c r="BI3211" s="78" t="n"/>
      <c r="BJ3211" s="139" t="n"/>
      <c r="BK3211" s="204" t="n"/>
      <c r="BL3211" s="141" t="n"/>
      <c r="BM3211" s="205" t="n"/>
      <c r="BN3211" s="205" t="n"/>
      <c r="BO3211" s="206" t="n"/>
      <c r="BP3211" s="144" t="n"/>
      <c r="BQ3211" s="141" t="n"/>
      <c r="BR3211" s="207" t="n"/>
      <c r="BS3211" s="207" t="n"/>
      <c r="BT3211" s="207" t="n"/>
      <c r="BU3211" s="207" t="n"/>
      <c r="BV3211" s="208" t="n"/>
      <c r="BW3211" s="207" t="n"/>
      <c r="BX3211" s="207" t="n"/>
      <c r="BY3211" s="204" t="n"/>
      <c r="BZ3211" s="148" t="n"/>
      <c r="CA3211" s="204" t="n"/>
      <c r="CB3211" s="208" t="n"/>
      <c r="CC3211" s="139" t="n"/>
      <c r="CD3211" s="204" t="n"/>
      <c r="CE3211" s="204" t="n"/>
      <c r="CF3211" s="207" t="n"/>
      <c r="CG3211" s="208" t="n"/>
      <c r="CH3211" s="207" t="n"/>
      <c r="CI3211" s="208" t="n"/>
      <c r="CJ3211" s="204" t="n"/>
      <c r="CK3211" s="208" t="n"/>
      <c r="CL3211" s="208" t="n"/>
      <c r="CM3211" s="208" t="n"/>
      <c r="CN3211" s="78" t="n"/>
      <c r="CO3211" s="209" t="n"/>
      <c r="CP3211" s="204" t="n"/>
      <c r="CQ3211" s="204" t="n"/>
      <c r="CR3211" s="204" t="n"/>
      <c r="CS3211" s="204" t="n"/>
      <c r="CT3211" s="204" t="n"/>
      <c r="CU3211" s="204" t="n"/>
      <c r="CV3211" s="204" t="n"/>
      <c r="CW3211" s="204" t="n"/>
    </row>
    <row r="3212">
      <c r="BF3212" s="78" t="n"/>
      <c r="BG3212" s="78" t="n"/>
      <c r="BH3212" s="78" t="n"/>
      <c r="BI3212" s="78" t="n"/>
      <c r="BJ3212" s="139" t="n"/>
      <c r="BK3212" s="204" t="n"/>
      <c r="BL3212" s="141" t="n"/>
      <c r="BM3212" s="205" t="n"/>
      <c r="BN3212" s="205" t="n"/>
      <c r="BO3212" s="206" t="n"/>
      <c r="BP3212" s="144" t="n"/>
      <c r="BQ3212" s="141" t="n"/>
      <c r="BR3212" s="207" t="n"/>
      <c r="BS3212" s="207" t="n"/>
      <c r="BT3212" s="207" t="n"/>
      <c r="BU3212" s="207" t="n"/>
      <c r="BV3212" s="208" t="n"/>
      <c r="BW3212" s="207" t="n"/>
      <c r="BX3212" s="207" t="n"/>
      <c r="BY3212" s="204" t="n"/>
      <c r="BZ3212" s="148" t="n"/>
      <c r="CA3212" s="204" t="n"/>
      <c r="CB3212" s="208" t="n"/>
      <c r="CC3212" s="139" t="n"/>
      <c r="CD3212" s="204" t="n"/>
      <c r="CE3212" s="204" t="n"/>
      <c r="CF3212" s="207" t="n"/>
      <c r="CG3212" s="208" t="n"/>
      <c r="CH3212" s="207" t="n"/>
      <c r="CI3212" s="208" t="n"/>
      <c r="CJ3212" s="204" t="n"/>
      <c r="CK3212" s="208" t="n"/>
      <c r="CL3212" s="208" t="n"/>
      <c r="CM3212" s="208" t="n"/>
      <c r="CN3212" s="78" t="n"/>
      <c r="CO3212" s="209" t="n"/>
      <c r="CP3212" s="204" t="n"/>
      <c r="CQ3212" s="204" t="n"/>
      <c r="CR3212" s="204" t="n"/>
      <c r="CS3212" s="204" t="n"/>
      <c r="CT3212" s="204" t="n"/>
      <c r="CU3212" s="204" t="n"/>
      <c r="CV3212" s="204" t="n"/>
      <c r="CW3212" s="204" t="n"/>
    </row>
    <row r="3213">
      <c r="BF3213" s="78" t="n"/>
      <c r="BG3213" s="78" t="n"/>
      <c r="BH3213" s="78" t="n"/>
      <c r="BI3213" s="78" t="n"/>
      <c r="BJ3213" s="139" t="n"/>
      <c r="BK3213" s="204" t="n"/>
      <c r="BL3213" s="141" t="n"/>
      <c r="BM3213" s="205" t="n"/>
      <c r="BN3213" s="205" t="n"/>
      <c r="BO3213" s="206" t="n"/>
      <c r="BP3213" s="144" t="n"/>
      <c r="BQ3213" s="141" t="n"/>
      <c r="BR3213" s="207" t="n"/>
      <c r="BS3213" s="207" t="n"/>
      <c r="BT3213" s="207" t="n"/>
      <c r="BU3213" s="207" t="n"/>
      <c r="BV3213" s="208" t="n"/>
      <c r="BW3213" s="207" t="n"/>
      <c r="BX3213" s="207" t="n"/>
      <c r="BY3213" s="204" t="n"/>
      <c r="BZ3213" s="148" t="n"/>
      <c r="CA3213" s="204" t="n"/>
      <c r="CB3213" s="208" t="n"/>
      <c r="CC3213" s="139" t="n"/>
      <c r="CD3213" s="204" t="n"/>
      <c r="CE3213" s="204" t="n"/>
      <c r="CF3213" s="207" t="n"/>
      <c r="CG3213" s="208" t="n"/>
      <c r="CH3213" s="207" t="n"/>
      <c r="CI3213" s="208" t="n"/>
      <c r="CJ3213" s="204" t="n"/>
      <c r="CK3213" s="208" t="n"/>
      <c r="CL3213" s="208" t="n"/>
      <c r="CM3213" s="208" t="n"/>
      <c r="CN3213" s="78" t="n"/>
      <c r="CO3213" s="209" t="n"/>
      <c r="CP3213" s="204" t="n"/>
      <c r="CQ3213" s="204" t="n"/>
      <c r="CR3213" s="204" t="n"/>
      <c r="CS3213" s="204" t="n"/>
      <c r="CT3213" s="204" t="n"/>
      <c r="CU3213" s="204" t="n"/>
      <c r="CV3213" s="204" t="n"/>
      <c r="CW3213" s="204" t="n"/>
    </row>
    <row r="3214">
      <c r="BF3214" s="78" t="n"/>
      <c r="BG3214" s="78" t="n"/>
      <c r="BH3214" s="78" t="n"/>
      <c r="BI3214" s="78" t="n"/>
      <c r="BJ3214" s="139" t="n"/>
      <c r="BK3214" s="204" t="n"/>
      <c r="BL3214" s="141" t="n"/>
      <c r="BM3214" s="205" t="n"/>
      <c r="BN3214" s="205" t="n"/>
      <c r="BO3214" s="206" t="n"/>
      <c r="BP3214" s="144" t="n"/>
      <c r="BQ3214" s="141" t="n"/>
      <c r="BR3214" s="207" t="n"/>
      <c r="BS3214" s="207" t="n"/>
      <c r="BT3214" s="207" t="n"/>
      <c r="BU3214" s="207" t="n"/>
      <c r="BV3214" s="208" t="n"/>
      <c r="BW3214" s="207" t="n"/>
      <c r="BX3214" s="207" t="n"/>
      <c r="BY3214" s="204" t="n"/>
      <c r="BZ3214" s="148" t="n"/>
      <c r="CA3214" s="204" t="n"/>
      <c r="CB3214" s="208" t="n"/>
      <c r="CC3214" s="139" t="n"/>
      <c r="CD3214" s="204" t="n"/>
      <c r="CE3214" s="204" t="n"/>
      <c r="CF3214" s="207" t="n"/>
      <c r="CG3214" s="208" t="n"/>
      <c r="CH3214" s="207" t="n"/>
      <c r="CI3214" s="208" t="n"/>
      <c r="CJ3214" s="204" t="n"/>
      <c r="CK3214" s="208" t="n"/>
      <c r="CL3214" s="208" t="n"/>
      <c r="CM3214" s="208" t="n"/>
      <c r="CN3214" s="78" t="n"/>
      <c r="CO3214" s="209" t="n"/>
      <c r="CP3214" s="204" t="n"/>
      <c r="CQ3214" s="204" t="n"/>
      <c r="CR3214" s="204" t="n"/>
      <c r="CS3214" s="204" t="n"/>
      <c r="CT3214" s="204" t="n"/>
      <c r="CU3214" s="204" t="n"/>
      <c r="CV3214" s="204" t="n"/>
      <c r="CW3214" s="204" t="n"/>
    </row>
    <row r="3215">
      <c r="BF3215" s="78" t="n"/>
      <c r="BG3215" s="78" t="n"/>
      <c r="BH3215" s="78" t="n"/>
      <c r="BI3215" s="78" t="n"/>
      <c r="BJ3215" s="139" t="n"/>
      <c r="BK3215" s="204" t="n"/>
      <c r="BL3215" s="141" t="n"/>
      <c r="BM3215" s="205" t="n"/>
      <c r="BN3215" s="205" t="n"/>
      <c r="BO3215" s="206" t="n"/>
      <c r="BP3215" s="144" t="n"/>
      <c r="BQ3215" s="141" t="n"/>
      <c r="BR3215" s="207" t="n"/>
      <c r="BS3215" s="207" t="n"/>
      <c r="BT3215" s="207" t="n"/>
      <c r="BU3215" s="207" t="n"/>
      <c r="BV3215" s="208" t="n"/>
      <c r="BW3215" s="207" t="n"/>
      <c r="BX3215" s="207" t="n"/>
      <c r="BY3215" s="204" t="n"/>
      <c r="BZ3215" s="148" t="n"/>
      <c r="CA3215" s="204" t="n"/>
      <c r="CB3215" s="208" t="n"/>
      <c r="CC3215" s="139" t="n"/>
      <c r="CD3215" s="204" t="n"/>
      <c r="CE3215" s="204" t="n"/>
      <c r="CF3215" s="207" t="n"/>
      <c r="CG3215" s="208" t="n"/>
      <c r="CH3215" s="207" t="n"/>
      <c r="CI3215" s="208" t="n"/>
      <c r="CJ3215" s="204" t="n"/>
      <c r="CK3215" s="208" t="n"/>
      <c r="CL3215" s="208" t="n"/>
      <c r="CM3215" s="208" t="n"/>
      <c r="CN3215" s="78" t="n"/>
      <c r="CO3215" s="209" t="n"/>
      <c r="CP3215" s="204" t="n"/>
      <c r="CQ3215" s="204" t="n"/>
      <c r="CR3215" s="204" t="n"/>
      <c r="CS3215" s="204" t="n"/>
      <c r="CT3215" s="204" t="n"/>
      <c r="CU3215" s="204" t="n"/>
      <c r="CV3215" s="204" t="n"/>
      <c r="CW3215" s="204" t="n"/>
    </row>
    <row r="3216">
      <c r="BF3216" s="78" t="n"/>
      <c r="BG3216" s="78" t="n"/>
      <c r="BH3216" s="78" t="n"/>
      <c r="BI3216" s="78" t="n"/>
      <c r="BJ3216" s="139" t="n"/>
      <c r="BK3216" s="204" t="n"/>
      <c r="BL3216" s="141" t="n"/>
      <c r="BM3216" s="205" t="n"/>
      <c r="BN3216" s="205" t="n"/>
      <c r="BO3216" s="206" t="n"/>
      <c r="BP3216" s="144" t="n"/>
      <c r="BQ3216" s="141" t="n"/>
      <c r="BR3216" s="207" t="n"/>
      <c r="BS3216" s="207" t="n"/>
      <c r="BT3216" s="207" t="n"/>
      <c r="BU3216" s="207" t="n"/>
      <c r="BV3216" s="208" t="n"/>
      <c r="BW3216" s="207" t="n"/>
      <c r="BX3216" s="207" t="n"/>
      <c r="BY3216" s="204" t="n"/>
      <c r="BZ3216" s="148" t="n"/>
      <c r="CA3216" s="204" t="n"/>
      <c r="CB3216" s="208" t="n"/>
      <c r="CC3216" s="139" t="n"/>
      <c r="CD3216" s="204" t="n"/>
      <c r="CE3216" s="204" t="n"/>
      <c r="CF3216" s="207" t="n"/>
      <c r="CG3216" s="208" t="n"/>
      <c r="CH3216" s="207" t="n"/>
      <c r="CI3216" s="208" t="n"/>
      <c r="CJ3216" s="204" t="n"/>
      <c r="CK3216" s="208" t="n"/>
      <c r="CL3216" s="208" t="n"/>
      <c r="CM3216" s="208" t="n"/>
      <c r="CN3216" s="78" t="n"/>
      <c r="CO3216" s="209" t="n"/>
      <c r="CP3216" s="204" t="n"/>
      <c r="CQ3216" s="204" t="n"/>
      <c r="CR3216" s="204" t="n"/>
      <c r="CS3216" s="204" t="n"/>
      <c r="CT3216" s="204" t="n"/>
      <c r="CU3216" s="204" t="n"/>
      <c r="CV3216" s="204" t="n"/>
      <c r="CW3216" s="204" t="n"/>
    </row>
    <row r="3217">
      <c r="BF3217" s="78" t="n"/>
      <c r="BG3217" s="78" t="n"/>
      <c r="BH3217" s="78" t="n"/>
      <c r="BI3217" s="78" t="n"/>
      <c r="BJ3217" s="139" t="n"/>
      <c r="BK3217" s="204" t="n"/>
      <c r="BL3217" s="141" t="n"/>
      <c r="BM3217" s="205" t="n"/>
      <c r="BN3217" s="205" t="n"/>
      <c r="BO3217" s="206" t="n"/>
      <c r="BP3217" s="144" t="n"/>
      <c r="BQ3217" s="141" t="n"/>
      <c r="BR3217" s="207" t="n"/>
      <c r="BS3217" s="207" t="n"/>
      <c r="BT3217" s="207" t="n"/>
      <c r="BU3217" s="207" t="n"/>
      <c r="BV3217" s="208" t="n"/>
      <c r="BW3217" s="207" t="n"/>
      <c r="BX3217" s="207" t="n"/>
      <c r="BY3217" s="204" t="n"/>
      <c r="BZ3217" s="148" t="n"/>
      <c r="CA3217" s="204" t="n"/>
      <c r="CB3217" s="208" t="n"/>
      <c r="CC3217" s="139" t="n"/>
      <c r="CD3217" s="204" t="n"/>
      <c r="CE3217" s="204" t="n"/>
      <c r="CF3217" s="207" t="n"/>
      <c r="CG3217" s="208" t="n"/>
      <c r="CH3217" s="207" t="n"/>
      <c r="CI3217" s="208" t="n"/>
      <c r="CJ3217" s="204" t="n"/>
      <c r="CK3217" s="208" t="n"/>
      <c r="CL3217" s="208" t="n"/>
      <c r="CM3217" s="208" t="n"/>
      <c r="CN3217" s="78" t="n"/>
      <c r="CO3217" s="209" t="n"/>
      <c r="CP3217" s="204" t="n"/>
      <c r="CQ3217" s="204" t="n"/>
      <c r="CR3217" s="204" t="n"/>
      <c r="CS3217" s="204" t="n"/>
      <c r="CT3217" s="204" t="n"/>
      <c r="CU3217" s="204" t="n"/>
      <c r="CV3217" s="204" t="n"/>
      <c r="CW3217" s="204" t="n"/>
    </row>
    <row r="3218">
      <c r="BF3218" s="78" t="n"/>
      <c r="BG3218" s="78" t="n"/>
      <c r="BH3218" s="78" t="n"/>
      <c r="BI3218" s="78" t="n"/>
      <c r="BJ3218" s="139" t="n"/>
      <c r="BK3218" s="204" t="n"/>
      <c r="BL3218" s="141" t="n"/>
      <c r="BM3218" s="205" t="n"/>
      <c r="BN3218" s="205" t="n"/>
      <c r="BO3218" s="206" t="n"/>
      <c r="BP3218" s="144" t="n"/>
      <c r="BQ3218" s="141" t="n"/>
      <c r="BR3218" s="207" t="n"/>
      <c r="BS3218" s="207" t="n"/>
      <c r="BT3218" s="207" t="n"/>
      <c r="BU3218" s="207" t="n"/>
      <c r="BV3218" s="208" t="n"/>
      <c r="BW3218" s="207" t="n"/>
      <c r="BX3218" s="207" t="n"/>
      <c r="BY3218" s="204" t="n"/>
      <c r="BZ3218" s="148" t="n"/>
      <c r="CA3218" s="204" t="n"/>
      <c r="CB3218" s="208" t="n"/>
      <c r="CC3218" s="139" t="n"/>
      <c r="CD3218" s="204" t="n"/>
      <c r="CE3218" s="204" t="n"/>
      <c r="CF3218" s="207" t="n"/>
      <c r="CG3218" s="208" t="n"/>
      <c r="CH3218" s="207" t="n"/>
      <c r="CI3218" s="208" t="n"/>
      <c r="CJ3218" s="204" t="n"/>
      <c r="CK3218" s="208" t="n"/>
      <c r="CL3218" s="208" t="n"/>
      <c r="CM3218" s="208" t="n"/>
      <c r="CN3218" s="78" t="n"/>
      <c r="CO3218" s="209" t="n"/>
      <c r="CP3218" s="204" t="n"/>
      <c r="CQ3218" s="204" t="n"/>
      <c r="CR3218" s="204" t="n"/>
      <c r="CS3218" s="204" t="n"/>
      <c r="CT3218" s="204" t="n"/>
      <c r="CU3218" s="204" t="n"/>
      <c r="CV3218" s="204" t="n"/>
      <c r="CW3218" s="204" t="n"/>
    </row>
    <row r="3219">
      <c r="BF3219" s="78" t="n"/>
      <c r="BG3219" s="78" t="n"/>
      <c r="BH3219" s="78" t="n"/>
      <c r="BI3219" s="78" t="n"/>
      <c r="BJ3219" s="139" t="n"/>
      <c r="BK3219" s="204" t="n"/>
      <c r="BL3219" s="141" t="n"/>
      <c r="BM3219" s="205" t="n"/>
      <c r="BN3219" s="205" t="n"/>
      <c r="BO3219" s="206" t="n"/>
      <c r="BP3219" s="144" t="n"/>
      <c r="BQ3219" s="141" t="n"/>
      <c r="BR3219" s="207" t="n"/>
      <c r="BS3219" s="207" t="n"/>
      <c r="BT3219" s="207" t="n"/>
      <c r="BU3219" s="207" t="n"/>
      <c r="BV3219" s="208" t="n"/>
      <c r="BW3219" s="207" t="n"/>
      <c r="BX3219" s="207" t="n"/>
      <c r="BY3219" s="204" t="n"/>
      <c r="BZ3219" s="148" t="n"/>
      <c r="CA3219" s="204" t="n"/>
      <c r="CB3219" s="208" t="n"/>
      <c r="CC3219" s="139" t="n"/>
      <c r="CD3219" s="204" t="n"/>
      <c r="CE3219" s="204" t="n"/>
      <c r="CF3219" s="207" t="n"/>
      <c r="CG3219" s="208" t="n"/>
      <c r="CH3219" s="207" t="n"/>
      <c r="CI3219" s="208" t="n"/>
      <c r="CJ3219" s="204" t="n"/>
      <c r="CK3219" s="208" t="n"/>
      <c r="CL3219" s="208" t="n"/>
      <c r="CM3219" s="208" t="n"/>
      <c r="CN3219" s="78" t="n"/>
      <c r="CO3219" s="209" t="n"/>
      <c r="CP3219" s="204" t="n"/>
      <c r="CQ3219" s="204" t="n"/>
      <c r="CR3219" s="204" t="n"/>
      <c r="CS3219" s="204" t="n"/>
      <c r="CT3219" s="204" t="n"/>
      <c r="CU3219" s="204" t="n"/>
      <c r="CV3219" s="204" t="n"/>
      <c r="CW3219" s="204" t="n"/>
    </row>
    <row r="3220">
      <c r="BF3220" s="78" t="n"/>
      <c r="BG3220" s="78" t="n"/>
      <c r="BH3220" s="78" t="n"/>
      <c r="BI3220" s="78" t="n"/>
      <c r="BJ3220" s="139" t="n"/>
      <c r="BK3220" s="204" t="n"/>
      <c r="BL3220" s="141" t="n"/>
      <c r="BM3220" s="205" t="n"/>
      <c r="BN3220" s="205" t="n"/>
      <c r="BO3220" s="206" t="n"/>
      <c r="BP3220" s="144" t="n"/>
      <c r="BQ3220" s="141" t="n"/>
      <c r="BR3220" s="207" t="n"/>
      <c r="BS3220" s="207" t="n"/>
      <c r="BT3220" s="207" t="n"/>
      <c r="BU3220" s="207" t="n"/>
      <c r="BV3220" s="208" t="n"/>
      <c r="BW3220" s="207" t="n"/>
      <c r="BX3220" s="207" t="n"/>
      <c r="BY3220" s="204" t="n"/>
      <c r="BZ3220" s="148" t="n"/>
      <c r="CA3220" s="204" t="n"/>
      <c r="CB3220" s="208" t="n"/>
      <c r="CC3220" s="139" t="n"/>
      <c r="CD3220" s="204" t="n"/>
      <c r="CE3220" s="204" t="n"/>
      <c r="CF3220" s="207" t="n"/>
      <c r="CG3220" s="208" t="n"/>
      <c r="CH3220" s="207" t="n"/>
      <c r="CI3220" s="208" t="n"/>
      <c r="CJ3220" s="204" t="n"/>
      <c r="CK3220" s="208" t="n"/>
      <c r="CL3220" s="208" t="n"/>
      <c r="CM3220" s="208" t="n"/>
      <c r="CN3220" s="78" t="n"/>
      <c r="CO3220" s="209" t="n"/>
      <c r="CP3220" s="204" t="n"/>
      <c r="CQ3220" s="204" t="n"/>
      <c r="CR3220" s="204" t="n"/>
      <c r="CS3220" s="204" t="n"/>
      <c r="CT3220" s="204" t="n"/>
      <c r="CU3220" s="204" t="n"/>
      <c r="CV3220" s="204" t="n"/>
      <c r="CW3220" s="204" t="n"/>
    </row>
    <row r="3221">
      <c r="BF3221" s="78" t="n"/>
      <c r="BG3221" s="78" t="n"/>
      <c r="BH3221" s="78" t="n"/>
      <c r="BI3221" s="78" t="n"/>
      <c r="BJ3221" s="139" t="n"/>
      <c r="BK3221" s="204" t="n"/>
      <c r="BL3221" s="141" t="n"/>
      <c r="BM3221" s="205" t="n"/>
      <c r="BN3221" s="205" t="n"/>
      <c r="BO3221" s="206" t="n"/>
      <c r="BP3221" s="144" t="n"/>
      <c r="BQ3221" s="141" t="n"/>
      <c r="BR3221" s="207" t="n"/>
      <c r="BS3221" s="207" t="n"/>
      <c r="BT3221" s="207" t="n"/>
      <c r="BU3221" s="207" t="n"/>
      <c r="BV3221" s="208" t="n"/>
      <c r="BW3221" s="207" t="n"/>
      <c r="BX3221" s="207" t="n"/>
      <c r="BY3221" s="204" t="n"/>
      <c r="BZ3221" s="148" t="n"/>
      <c r="CA3221" s="204" t="n"/>
      <c r="CB3221" s="208" t="n"/>
      <c r="CC3221" s="139" t="n"/>
      <c r="CD3221" s="204" t="n"/>
      <c r="CE3221" s="204" t="n"/>
      <c r="CF3221" s="207" t="n"/>
      <c r="CG3221" s="208" t="n"/>
      <c r="CH3221" s="207" t="n"/>
      <c r="CI3221" s="208" t="n"/>
      <c r="CJ3221" s="204" t="n"/>
      <c r="CK3221" s="208" t="n"/>
      <c r="CL3221" s="208" t="n"/>
      <c r="CM3221" s="208" t="n"/>
      <c r="CN3221" s="78" t="n"/>
      <c r="CO3221" s="209" t="n"/>
      <c r="CP3221" s="204" t="n"/>
      <c r="CQ3221" s="204" t="n"/>
      <c r="CR3221" s="204" t="n"/>
      <c r="CS3221" s="204" t="n"/>
      <c r="CT3221" s="204" t="n"/>
      <c r="CU3221" s="204" t="n"/>
      <c r="CV3221" s="204" t="n"/>
      <c r="CW3221" s="204" t="n"/>
    </row>
    <row r="3222">
      <c r="BF3222" s="78" t="n"/>
      <c r="BG3222" s="78" t="n"/>
      <c r="BH3222" s="78" t="n"/>
      <c r="BI3222" s="78" t="n"/>
      <c r="BJ3222" s="139" t="n"/>
      <c r="BK3222" s="204" t="n"/>
      <c r="BL3222" s="141" t="n"/>
      <c r="BM3222" s="205" t="n"/>
      <c r="BN3222" s="205" t="n"/>
      <c r="BO3222" s="206" t="n"/>
      <c r="BP3222" s="144" t="n"/>
      <c r="BQ3222" s="141" t="n"/>
      <c r="BR3222" s="207" t="n"/>
      <c r="BS3222" s="207" t="n"/>
      <c r="BT3222" s="207" t="n"/>
      <c r="BU3222" s="207" t="n"/>
      <c r="BV3222" s="208" t="n"/>
      <c r="BW3222" s="207" t="n"/>
      <c r="BX3222" s="207" t="n"/>
      <c r="BY3222" s="204" t="n"/>
      <c r="BZ3222" s="148" t="n"/>
      <c r="CA3222" s="204" t="n"/>
      <c r="CB3222" s="208" t="n"/>
      <c r="CC3222" s="139" t="n"/>
      <c r="CD3222" s="204" t="n"/>
      <c r="CE3222" s="204" t="n"/>
      <c r="CF3222" s="207" t="n"/>
      <c r="CG3222" s="208" t="n"/>
      <c r="CH3222" s="207" t="n"/>
      <c r="CI3222" s="208" t="n"/>
      <c r="CJ3222" s="204" t="n"/>
      <c r="CK3222" s="208" t="n"/>
      <c r="CL3222" s="208" t="n"/>
      <c r="CM3222" s="208" t="n"/>
      <c r="CN3222" s="78" t="n"/>
      <c r="CO3222" s="209" t="n"/>
      <c r="CP3222" s="204" t="n"/>
      <c r="CQ3222" s="204" t="n"/>
      <c r="CR3222" s="204" t="n"/>
      <c r="CS3222" s="204" t="n"/>
      <c r="CT3222" s="204" t="n"/>
      <c r="CU3222" s="204" t="n"/>
      <c r="CV3222" s="204" t="n"/>
      <c r="CW3222" s="204" t="n"/>
    </row>
    <row r="3223">
      <c r="BF3223" s="78" t="n"/>
      <c r="BG3223" s="78" t="n"/>
      <c r="BH3223" s="78" t="n"/>
      <c r="BI3223" s="78" t="n"/>
      <c r="BJ3223" s="139" t="n"/>
      <c r="BK3223" s="204" t="n"/>
      <c r="BL3223" s="141" t="n"/>
      <c r="BM3223" s="205" t="n"/>
      <c r="BN3223" s="205" t="n"/>
      <c r="BO3223" s="206" t="n"/>
      <c r="BP3223" s="144" t="n"/>
      <c r="BQ3223" s="141" t="n"/>
      <c r="BR3223" s="207" t="n"/>
      <c r="BS3223" s="207" t="n"/>
      <c r="BT3223" s="207" t="n"/>
      <c r="BU3223" s="207" t="n"/>
      <c r="BV3223" s="208" t="n"/>
      <c r="BW3223" s="207" t="n"/>
      <c r="BX3223" s="207" t="n"/>
      <c r="BY3223" s="204" t="n"/>
      <c r="BZ3223" s="148" t="n"/>
      <c r="CA3223" s="204" t="n"/>
      <c r="CB3223" s="208" t="n"/>
      <c r="CC3223" s="139" t="n"/>
      <c r="CD3223" s="204" t="n"/>
      <c r="CE3223" s="204" t="n"/>
      <c r="CF3223" s="207" t="n"/>
      <c r="CG3223" s="208" t="n"/>
      <c r="CH3223" s="207" t="n"/>
      <c r="CI3223" s="208" t="n"/>
      <c r="CJ3223" s="204" t="n"/>
      <c r="CK3223" s="208" t="n"/>
      <c r="CL3223" s="208" t="n"/>
      <c r="CM3223" s="208" t="n"/>
      <c r="CN3223" s="78" t="n"/>
      <c r="CO3223" s="209" t="n"/>
      <c r="CP3223" s="204" t="n"/>
      <c r="CQ3223" s="204" t="n"/>
      <c r="CR3223" s="204" t="n"/>
      <c r="CS3223" s="204" t="n"/>
      <c r="CT3223" s="204" t="n"/>
      <c r="CU3223" s="204" t="n"/>
      <c r="CV3223" s="204" t="n"/>
      <c r="CW3223" s="204" t="n"/>
    </row>
    <row r="3224">
      <c r="BF3224" s="78" t="n"/>
      <c r="BG3224" s="78" t="n"/>
      <c r="BH3224" s="78" t="n"/>
      <c r="BI3224" s="78" t="n"/>
      <c r="BJ3224" s="139" t="n"/>
      <c r="BK3224" s="204" t="n"/>
      <c r="BL3224" s="141" t="n"/>
      <c r="BM3224" s="205" t="n"/>
      <c r="BN3224" s="205" t="n"/>
      <c r="BO3224" s="206" t="n"/>
      <c r="BP3224" s="144" t="n"/>
      <c r="BQ3224" s="141" t="n"/>
      <c r="BR3224" s="207" t="n"/>
      <c r="BS3224" s="207" t="n"/>
      <c r="BT3224" s="207" t="n"/>
      <c r="BU3224" s="207" t="n"/>
      <c r="BV3224" s="208" t="n"/>
      <c r="BW3224" s="207" t="n"/>
      <c r="BX3224" s="207" t="n"/>
      <c r="BY3224" s="204" t="n"/>
      <c r="BZ3224" s="148" t="n"/>
      <c r="CA3224" s="204" t="n"/>
      <c r="CB3224" s="208" t="n"/>
      <c r="CC3224" s="139" t="n"/>
      <c r="CD3224" s="204" t="n"/>
      <c r="CE3224" s="204" t="n"/>
      <c r="CF3224" s="207" t="n"/>
      <c r="CG3224" s="208" t="n"/>
      <c r="CH3224" s="207" t="n"/>
      <c r="CI3224" s="208" t="n"/>
      <c r="CJ3224" s="204" t="n"/>
      <c r="CK3224" s="208" t="n"/>
      <c r="CL3224" s="208" t="n"/>
      <c r="CM3224" s="208" t="n"/>
      <c r="CN3224" s="78" t="n"/>
      <c r="CO3224" s="209" t="n"/>
      <c r="CP3224" s="204" t="n"/>
      <c r="CQ3224" s="204" t="n"/>
      <c r="CR3224" s="204" t="n"/>
      <c r="CS3224" s="204" t="n"/>
      <c r="CT3224" s="204" t="n"/>
      <c r="CU3224" s="204" t="n"/>
      <c r="CV3224" s="204" t="n"/>
      <c r="CW3224" s="204" t="n"/>
    </row>
    <row r="3225">
      <c r="BF3225" s="78" t="n"/>
      <c r="BG3225" s="78" t="n"/>
      <c r="BH3225" s="78" t="n"/>
      <c r="BI3225" s="78" t="n"/>
      <c r="BJ3225" s="139" t="n"/>
      <c r="BK3225" s="204" t="n"/>
      <c r="BL3225" s="141" t="n"/>
      <c r="BM3225" s="205" t="n"/>
      <c r="BN3225" s="205" t="n"/>
      <c r="BO3225" s="206" t="n"/>
      <c r="BP3225" s="144" t="n"/>
      <c r="BQ3225" s="141" t="n"/>
      <c r="BR3225" s="207" t="n"/>
      <c r="BS3225" s="207" t="n"/>
      <c r="BT3225" s="207" t="n"/>
      <c r="BU3225" s="207" t="n"/>
      <c r="BV3225" s="208" t="n"/>
      <c r="BW3225" s="207" t="n"/>
      <c r="BX3225" s="207" t="n"/>
      <c r="BY3225" s="204" t="n"/>
      <c r="BZ3225" s="148" t="n"/>
      <c r="CA3225" s="204" t="n"/>
      <c r="CB3225" s="208" t="n"/>
      <c r="CC3225" s="139" t="n"/>
      <c r="CD3225" s="204" t="n"/>
      <c r="CE3225" s="204" t="n"/>
      <c r="CF3225" s="207" t="n"/>
      <c r="CG3225" s="208" t="n"/>
      <c r="CH3225" s="207" t="n"/>
      <c r="CI3225" s="208" t="n"/>
      <c r="CJ3225" s="204" t="n"/>
      <c r="CK3225" s="208" t="n"/>
      <c r="CL3225" s="208" t="n"/>
      <c r="CM3225" s="208" t="n"/>
      <c r="CN3225" s="78" t="n"/>
      <c r="CO3225" s="209" t="n"/>
      <c r="CP3225" s="204" t="n"/>
      <c r="CQ3225" s="204" t="n"/>
      <c r="CR3225" s="204" t="n"/>
      <c r="CS3225" s="204" t="n"/>
      <c r="CT3225" s="204" t="n"/>
      <c r="CU3225" s="204" t="n"/>
      <c r="CV3225" s="204" t="n"/>
      <c r="CW3225" s="204" t="n"/>
    </row>
    <row r="3226">
      <c r="BF3226" s="78" t="n"/>
      <c r="BG3226" s="78" t="n"/>
      <c r="BH3226" s="78" t="n"/>
      <c r="BI3226" s="78" t="n"/>
      <c r="BJ3226" s="139" t="n"/>
      <c r="BK3226" s="204" t="n"/>
      <c r="BL3226" s="141" t="n"/>
      <c r="BM3226" s="205" t="n"/>
      <c r="BN3226" s="205" t="n"/>
      <c r="BO3226" s="206" t="n"/>
      <c r="BP3226" s="144" t="n"/>
      <c r="BQ3226" s="141" t="n"/>
      <c r="BR3226" s="207" t="n"/>
      <c r="BS3226" s="207" t="n"/>
      <c r="BT3226" s="207" t="n"/>
      <c r="BU3226" s="207" t="n"/>
      <c r="BV3226" s="208" t="n"/>
      <c r="BW3226" s="207" t="n"/>
      <c r="BX3226" s="207" t="n"/>
      <c r="BY3226" s="204" t="n"/>
      <c r="BZ3226" s="148" t="n"/>
      <c r="CA3226" s="204" t="n"/>
      <c r="CB3226" s="208" t="n"/>
      <c r="CC3226" s="139" t="n"/>
      <c r="CD3226" s="204" t="n"/>
      <c r="CE3226" s="204" t="n"/>
      <c r="CF3226" s="207" t="n"/>
      <c r="CG3226" s="208" t="n"/>
      <c r="CH3226" s="207" t="n"/>
      <c r="CI3226" s="208" t="n"/>
      <c r="CJ3226" s="204" t="n"/>
      <c r="CK3226" s="208" t="n"/>
      <c r="CL3226" s="208" t="n"/>
      <c r="CM3226" s="208" t="n"/>
      <c r="CN3226" s="78" t="n"/>
      <c r="CO3226" s="209" t="n"/>
      <c r="CP3226" s="204" t="n"/>
      <c r="CQ3226" s="204" t="n"/>
      <c r="CR3226" s="204" t="n"/>
      <c r="CS3226" s="204" t="n"/>
      <c r="CT3226" s="204" t="n"/>
      <c r="CU3226" s="204" t="n"/>
      <c r="CV3226" s="204" t="n"/>
      <c r="CW3226" s="204" t="n"/>
    </row>
    <row r="3227">
      <c r="BF3227" s="78" t="n"/>
      <c r="BG3227" s="78" t="n"/>
      <c r="BH3227" s="78" t="n"/>
      <c r="BI3227" s="78" t="n"/>
      <c r="BJ3227" s="139" t="n"/>
      <c r="BK3227" s="204" t="n"/>
      <c r="BL3227" s="141" t="n"/>
      <c r="BM3227" s="205" t="n"/>
      <c r="BN3227" s="205" t="n"/>
      <c r="BO3227" s="206" t="n"/>
      <c r="BP3227" s="144" t="n"/>
      <c r="BQ3227" s="141" t="n"/>
      <c r="BR3227" s="207" t="n"/>
      <c r="BS3227" s="207" t="n"/>
      <c r="BT3227" s="207" t="n"/>
      <c r="BU3227" s="207" t="n"/>
      <c r="BV3227" s="208" t="n"/>
      <c r="BW3227" s="207" t="n"/>
      <c r="BX3227" s="207" t="n"/>
      <c r="BY3227" s="204" t="n"/>
      <c r="BZ3227" s="148" t="n"/>
      <c r="CA3227" s="204" t="n"/>
      <c r="CB3227" s="208" t="n"/>
      <c r="CC3227" s="139" t="n"/>
      <c r="CD3227" s="204" t="n"/>
      <c r="CE3227" s="204" t="n"/>
      <c r="CF3227" s="207" t="n"/>
      <c r="CG3227" s="208" t="n"/>
      <c r="CH3227" s="207" t="n"/>
      <c r="CI3227" s="208" t="n"/>
      <c r="CJ3227" s="204" t="n"/>
      <c r="CK3227" s="208" t="n"/>
      <c r="CL3227" s="208" t="n"/>
      <c r="CM3227" s="208" t="n"/>
      <c r="CN3227" s="78" t="n"/>
      <c r="CO3227" s="209" t="n"/>
      <c r="CP3227" s="204" t="n"/>
      <c r="CQ3227" s="204" t="n"/>
      <c r="CR3227" s="204" t="n"/>
      <c r="CS3227" s="204" t="n"/>
      <c r="CT3227" s="204" t="n"/>
      <c r="CU3227" s="204" t="n"/>
      <c r="CV3227" s="204" t="n"/>
      <c r="CW3227" s="204" t="n"/>
    </row>
    <row r="3228">
      <c r="BF3228" s="78" t="n"/>
      <c r="BG3228" s="78" t="n"/>
      <c r="BH3228" s="78" t="n"/>
      <c r="BI3228" s="78" t="n"/>
      <c r="BJ3228" s="139" t="n"/>
      <c r="BK3228" s="204" t="n"/>
      <c r="BL3228" s="141" t="n"/>
      <c r="BM3228" s="205" t="n"/>
      <c r="BN3228" s="205" t="n"/>
      <c r="BO3228" s="206" t="n"/>
      <c r="BP3228" s="144" t="n"/>
      <c r="BQ3228" s="141" t="n"/>
      <c r="BR3228" s="207" t="n"/>
      <c r="BS3228" s="207" t="n"/>
      <c r="BT3228" s="207" t="n"/>
      <c r="BU3228" s="207" t="n"/>
      <c r="BV3228" s="208" t="n"/>
      <c r="BW3228" s="207" t="n"/>
      <c r="BX3228" s="207" t="n"/>
      <c r="BY3228" s="204" t="n"/>
      <c r="BZ3228" s="148" t="n"/>
      <c r="CA3228" s="204" t="n"/>
      <c r="CB3228" s="208" t="n"/>
      <c r="CC3228" s="139" t="n"/>
      <c r="CD3228" s="204" t="n"/>
      <c r="CE3228" s="204" t="n"/>
      <c r="CF3228" s="207" t="n"/>
      <c r="CG3228" s="208" t="n"/>
      <c r="CH3228" s="207" t="n"/>
      <c r="CI3228" s="208" t="n"/>
      <c r="CJ3228" s="204" t="n"/>
      <c r="CK3228" s="208" t="n"/>
      <c r="CL3228" s="208" t="n"/>
      <c r="CM3228" s="208" t="n"/>
      <c r="CN3228" s="78" t="n"/>
      <c r="CO3228" s="209" t="n"/>
      <c r="CP3228" s="204" t="n"/>
      <c r="CQ3228" s="204" t="n"/>
      <c r="CR3228" s="204" t="n"/>
      <c r="CS3228" s="204" t="n"/>
      <c r="CT3228" s="204" t="n"/>
      <c r="CU3228" s="204" t="n"/>
      <c r="CV3228" s="204" t="n"/>
      <c r="CW3228" s="204" t="n"/>
    </row>
    <row r="3229">
      <c r="BF3229" s="78" t="n"/>
      <c r="BG3229" s="78" t="n"/>
      <c r="BH3229" s="78" t="n"/>
      <c r="BI3229" s="78" t="n"/>
      <c r="BJ3229" s="139" t="n"/>
      <c r="BK3229" s="204" t="n"/>
      <c r="BL3229" s="141" t="n"/>
      <c r="BM3229" s="205" t="n"/>
      <c r="BN3229" s="205" t="n"/>
      <c r="BO3229" s="206" t="n"/>
      <c r="BP3229" s="144" t="n"/>
      <c r="BQ3229" s="141" t="n"/>
      <c r="BR3229" s="207" t="n"/>
      <c r="BS3229" s="207" t="n"/>
      <c r="BT3229" s="207" t="n"/>
      <c r="BU3229" s="207" t="n"/>
      <c r="BV3229" s="208" t="n"/>
      <c r="BW3229" s="207" t="n"/>
      <c r="BX3229" s="207" t="n"/>
      <c r="BY3229" s="204" t="n"/>
      <c r="BZ3229" s="148" t="n"/>
      <c r="CA3229" s="204" t="n"/>
      <c r="CB3229" s="208" t="n"/>
      <c r="CC3229" s="139" t="n"/>
      <c r="CD3229" s="204" t="n"/>
      <c r="CE3229" s="204" t="n"/>
      <c r="CF3229" s="207" t="n"/>
      <c r="CG3229" s="208" t="n"/>
      <c r="CH3229" s="207" t="n"/>
      <c r="CI3229" s="208" t="n"/>
      <c r="CJ3229" s="204" t="n"/>
      <c r="CK3229" s="208" t="n"/>
      <c r="CL3229" s="208" t="n"/>
      <c r="CM3229" s="208" t="n"/>
      <c r="CN3229" s="78" t="n"/>
      <c r="CO3229" s="209" t="n"/>
      <c r="CP3229" s="204" t="n"/>
      <c r="CQ3229" s="204" t="n"/>
      <c r="CR3229" s="204" t="n"/>
      <c r="CS3229" s="204" t="n"/>
      <c r="CT3229" s="204" t="n"/>
      <c r="CU3229" s="204" t="n"/>
      <c r="CV3229" s="204" t="n"/>
      <c r="CW3229" s="204" t="n"/>
    </row>
    <row r="3230">
      <c r="BF3230" s="78" t="n"/>
      <c r="BG3230" s="78" t="n"/>
      <c r="BH3230" s="78" t="n"/>
      <c r="BI3230" s="78" t="n"/>
      <c r="BJ3230" s="139" t="n"/>
      <c r="BK3230" s="204" t="n"/>
      <c r="BL3230" s="141" t="n"/>
      <c r="BM3230" s="205" t="n"/>
      <c r="BN3230" s="205" t="n"/>
      <c r="BO3230" s="206" t="n"/>
      <c r="BP3230" s="144" t="n"/>
      <c r="BQ3230" s="141" t="n"/>
      <c r="BR3230" s="207" t="n"/>
      <c r="BS3230" s="207" t="n"/>
      <c r="BT3230" s="207" t="n"/>
      <c r="BU3230" s="207" t="n"/>
      <c r="BV3230" s="208" t="n"/>
      <c r="BW3230" s="207" t="n"/>
      <c r="BX3230" s="207" t="n"/>
      <c r="BY3230" s="204" t="n"/>
      <c r="BZ3230" s="148" t="n"/>
      <c r="CA3230" s="204" t="n"/>
      <c r="CB3230" s="208" t="n"/>
      <c r="CC3230" s="139" t="n"/>
      <c r="CD3230" s="204" t="n"/>
      <c r="CE3230" s="204" t="n"/>
      <c r="CF3230" s="207" t="n"/>
      <c r="CG3230" s="208" t="n"/>
      <c r="CH3230" s="207" t="n"/>
      <c r="CI3230" s="208" t="n"/>
      <c r="CJ3230" s="204" t="n"/>
      <c r="CK3230" s="208" t="n"/>
      <c r="CL3230" s="208" t="n"/>
      <c r="CM3230" s="208" t="n"/>
      <c r="CN3230" s="78" t="n"/>
      <c r="CO3230" s="209" t="n"/>
      <c r="CP3230" s="204" t="n"/>
      <c r="CQ3230" s="204" t="n"/>
      <c r="CR3230" s="204" t="n"/>
      <c r="CS3230" s="204" t="n"/>
      <c r="CT3230" s="204" t="n"/>
      <c r="CU3230" s="204" t="n"/>
      <c r="CV3230" s="204" t="n"/>
      <c r="CW3230" s="204" t="n"/>
    </row>
    <row r="3231">
      <c r="BF3231" s="78" t="n"/>
      <c r="BG3231" s="78" t="n"/>
      <c r="BH3231" s="78" t="n"/>
      <c r="BI3231" s="78" t="n"/>
      <c r="BJ3231" s="139" t="n"/>
      <c r="BK3231" s="204" t="n"/>
      <c r="BL3231" s="141" t="n"/>
      <c r="BM3231" s="205" t="n"/>
      <c r="BN3231" s="205" t="n"/>
      <c r="BO3231" s="206" t="n"/>
      <c r="BP3231" s="144" t="n"/>
      <c r="BQ3231" s="141" t="n"/>
      <c r="BR3231" s="207" t="n"/>
      <c r="BS3231" s="207" t="n"/>
      <c r="BT3231" s="207" t="n"/>
      <c r="BU3231" s="207" t="n"/>
      <c r="BV3231" s="208" t="n"/>
      <c r="BW3231" s="207" t="n"/>
      <c r="BX3231" s="207" t="n"/>
      <c r="BY3231" s="204" t="n"/>
      <c r="BZ3231" s="148" t="n"/>
      <c r="CA3231" s="204" t="n"/>
      <c r="CB3231" s="208" t="n"/>
      <c r="CC3231" s="139" t="n"/>
      <c r="CD3231" s="204" t="n"/>
      <c r="CE3231" s="204" t="n"/>
      <c r="CF3231" s="207" t="n"/>
      <c r="CG3231" s="208" t="n"/>
      <c r="CH3231" s="207" t="n"/>
      <c r="CI3231" s="208" t="n"/>
      <c r="CJ3231" s="204" t="n"/>
      <c r="CK3231" s="208" t="n"/>
      <c r="CL3231" s="208" t="n"/>
      <c r="CM3231" s="208" t="n"/>
      <c r="CN3231" s="78" t="n"/>
      <c r="CO3231" s="209" t="n"/>
      <c r="CP3231" s="204" t="n"/>
      <c r="CQ3231" s="204" t="n"/>
      <c r="CR3231" s="204" t="n"/>
      <c r="CS3231" s="204" t="n"/>
      <c r="CT3231" s="204" t="n"/>
      <c r="CU3231" s="204" t="n"/>
      <c r="CV3231" s="204" t="n"/>
      <c r="CW3231" s="204" t="n"/>
    </row>
    <row r="3232">
      <c r="BF3232" s="78" t="n"/>
      <c r="BG3232" s="78" t="n"/>
      <c r="BH3232" s="78" t="n"/>
      <c r="BI3232" s="78" t="n"/>
      <c r="BJ3232" s="139" t="n"/>
      <c r="BK3232" s="204" t="n"/>
      <c r="BL3232" s="141" t="n"/>
      <c r="BM3232" s="205" t="n"/>
      <c r="BN3232" s="205" t="n"/>
      <c r="BO3232" s="206" t="n"/>
      <c r="BP3232" s="144" t="n"/>
      <c r="BQ3232" s="141" t="n"/>
      <c r="BR3232" s="207" t="n"/>
      <c r="BS3232" s="207" t="n"/>
      <c r="BT3232" s="207" t="n"/>
      <c r="BU3232" s="207" t="n"/>
      <c r="BV3232" s="208" t="n"/>
      <c r="BW3232" s="207" t="n"/>
      <c r="BX3232" s="207" t="n"/>
      <c r="BY3232" s="204" t="n"/>
      <c r="BZ3232" s="148" t="n"/>
      <c r="CA3232" s="204" t="n"/>
      <c r="CB3232" s="208" t="n"/>
      <c r="CC3232" s="139" t="n"/>
      <c r="CD3232" s="204" t="n"/>
      <c r="CE3232" s="204" t="n"/>
      <c r="CF3232" s="207" t="n"/>
      <c r="CG3232" s="208" t="n"/>
      <c r="CH3232" s="207" t="n"/>
      <c r="CI3232" s="208" t="n"/>
      <c r="CJ3232" s="204" t="n"/>
      <c r="CK3232" s="208" t="n"/>
      <c r="CL3232" s="208" t="n"/>
      <c r="CM3232" s="208" t="n"/>
      <c r="CN3232" s="78" t="n"/>
      <c r="CO3232" s="209" t="n"/>
      <c r="CP3232" s="204" t="n"/>
      <c r="CQ3232" s="204" t="n"/>
      <c r="CR3232" s="204" t="n"/>
      <c r="CS3232" s="204" t="n"/>
      <c r="CT3232" s="204" t="n"/>
      <c r="CU3232" s="204" t="n"/>
      <c r="CV3232" s="204" t="n"/>
      <c r="CW3232" s="204" t="n"/>
    </row>
    <row r="3233">
      <c r="BF3233" s="78" t="n"/>
      <c r="BG3233" s="78" t="n"/>
      <c r="BH3233" s="78" t="n"/>
      <c r="BI3233" s="78" t="n"/>
      <c r="BJ3233" s="139" t="n"/>
      <c r="BK3233" s="204" t="n"/>
      <c r="BL3233" s="141" t="n"/>
      <c r="BM3233" s="205" t="n"/>
      <c r="BN3233" s="205" t="n"/>
      <c r="BO3233" s="206" t="n"/>
      <c r="BP3233" s="144" t="n"/>
      <c r="BQ3233" s="141" t="n"/>
      <c r="BR3233" s="207" t="n"/>
      <c r="BS3233" s="207" t="n"/>
      <c r="BT3233" s="207" t="n"/>
      <c r="BU3233" s="207" t="n"/>
      <c r="BV3233" s="208" t="n"/>
      <c r="BW3233" s="207" t="n"/>
      <c r="BX3233" s="207" t="n"/>
      <c r="BY3233" s="204" t="n"/>
      <c r="BZ3233" s="148" t="n"/>
      <c r="CA3233" s="204" t="n"/>
      <c r="CB3233" s="208" t="n"/>
      <c r="CC3233" s="139" t="n"/>
      <c r="CD3233" s="204" t="n"/>
      <c r="CE3233" s="204" t="n"/>
      <c r="CF3233" s="207" t="n"/>
      <c r="CG3233" s="208" t="n"/>
      <c r="CH3233" s="207" t="n"/>
      <c r="CI3233" s="208" t="n"/>
      <c r="CJ3233" s="204" t="n"/>
      <c r="CK3233" s="208" t="n"/>
      <c r="CL3233" s="208" t="n"/>
      <c r="CM3233" s="208" t="n"/>
      <c r="CN3233" s="78" t="n"/>
      <c r="CO3233" s="209" t="n"/>
      <c r="CP3233" s="204" t="n"/>
      <c r="CQ3233" s="204" t="n"/>
      <c r="CR3233" s="204" t="n"/>
      <c r="CS3233" s="204" t="n"/>
      <c r="CT3233" s="204" t="n"/>
      <c r="CU3233" s="204" t="n"/>
      <c r="CV3233" s="204" t="n"/>
      <c r="CW3233" s="204" t="n"/>
    </row>
    <row r="3234">
      <c r="BF3234" s="78" t="n"/>
      <c r="BG3234" s="78" t="n"/>
      <c r="BH3234" s="78" t="n"/>
      <c r="BI3234" s="78" t="n"/>
      <c r="BJ3234" s="139" t="n"/>
      <c r="BK3234" s="204" t="n"/>
      <c r="BL3234" s="141" t="n"/>
      <c r="BM3234" s="205" t="n"/>
      <c r="BN3234" s="205" t="n"/>
      <c r="BO3234" s="206" t="n"/>
      <c r="BP3234" s="144" t="n"/>
      <c r="BQ3234" s="141" t="n"/>
      <c r="BR3234" s="207" t="n"/>
      <c r="BS3234" s="207" t="n"/>
      <c r="BT3234" s="207" t="n"/>
      <c r="BU3234" s="207" t="n"/>
      <c r="BV3234" s="208" t="n"/>
      <c r="BW3234" s="207" t="n"/>
      <c r="BX3234" s="207" t="n"/>
      <c r="BY3234" s="204" t="n"/>
      <c r="BZ3234" s="148" t="n"/>
      <c r="CA3234" s="204" t="n"/>
      <c r="CB3234" s="208" t="n"/>
      <c r="CC3234" s="139" t="n"/>
      <c r="CD3234" s="204" t="n"/>
      <c r="CE3234" s="204" t="n"/>
      <c r="CF3234" s="207" t="n"/>
      <c r="CG3234" s="208" t="n"/>
      <c r="CH3234" s="207" t="n"/>
      <c r="CI3234" s="208" t="n"/>
      <c r="CJ3234" s="204" t="n"/>
      <c r="CK3234" s="208" t="n"/>
      <c r="CL3234" s="208" t="n"/>
      <c r="CM3234" s="208" t="n"/>
      <c r="CN3234" s="78" t="n"/>
      <c r="CO3234" s="209" t="n"/>
      <c r="CP3234" s="204" t="n"/>
      <c r="CQ3234" s="204" t="n"/>
      <c r="CR3234" s="204" t="n"/>
      <c r="CS3234" s="204" t="n"/>
      <c r="CT3234" s="204" t="n"/>
      <c r="CU3234" s="204" t="n"/>
      <c r="CV3234" s="204" t="n"/>
      <c r="CW3234" s="204" t="n"/>
    </row>
    <row r="3235">
      <c r="BF3235" s="78" t="n"/>
      <c r="BG3235" s="78" t="n"/>
      <c r="BH3235" s="78" t="n"/>
      <c r="BI3235" s="78" t="n"/>
      <c r="BJ3235" s="139" t="n"/>
      <c r="BK3235" s="204" t="n"/>
      <c r="BL3235" s="141" t="n"/>
      <c r="BM3235" s="205" t="n"/>
      <c r="BN3235" s="205" t="n"/>
      <c r="BO3235" s="206" t="n"/>
      <c r="BP3235" s="144" t="n"/>
      <c r="BQ3235" s="141" t="n"/>
      <c r="BR3235" s="207" t="n"/>
      <c r="BS3235" s="207" t="n"/>
      <c r="BT3235" s="207" t="n"/>
      <c r="BU3235" s="207" t="n"/>
      <c r="BV3235" s="208" t="n"/>
      <c r="BW3235" s="207" t="n"/>
      <c r="BX3235" s="207" t="n"/>
      <c r="BY3235" s="204" t="n"/>
      <c r="BZ3235" s="148" t="n"/>
      <c r="CA3235" s="204" t="n"/>
      <c r="CB3235" s="208" t="n"/>
      <c r="CC3235" s="139" t="n"/>
      <c r="CD3235" s="204" t="n"/>
      <c r="CE3235" s="204" t="n"/>
      <c r="CF3235" s="207" t="n"/>
      <c r="CG3235" s="208" t="n"/>
      <c r="CH3235" s="207" t="n"/>
      <c r="CI3235" s="208" t="n"/>
      <c r="CJ3235" s="204" t="n"/>
      <c r="CK3235" s="208" t="n"/>
      <c r="CL3235" s="208" t="n"/>
      <c r="CM3235" s="208" t="n"/>
      <c r="CN3235" s="78" t="n"/>
      <c r="CO3235" s="209" t="n"/>
      <c r="CP3235" s="204" t="n"/>
      <c r="CQ3235" s="204" t="n"/>
      <c r="CR3235" s="204" t="n"/>
      <c r="CS3235" s="204" t="n"/>
      <c r="CT3235" s="204" t="n"/>
      <c r="CU3235" s="204" t="n"/>
      <c r="CV3235" s="204" t="n"/>
      <c r="CW3235" s="204" t="n"/>
    </row>
    <row r="3236">
      <c r="BF3236" s="78" t="n"/>
      <c r="BG3236" s="78" t="n"/>
      <c r="BH3236" s="78" t="n"/>
      <c r="BI3236" s="78" t="n"/>
      <c r="BJ3236" s="139" t="n"/>
      <c r="BK3236" s="204" t="n"/>
      <c r="BL3236" s="141" t="n"/>
      <c r="BM3236" s="205" t="n"/>
      <c r="BN3236" s="205" t="n"/>
      <c r="BO3236" s="206" t="n"/>
      <c r="BP3236" s="144" t="n"/>
      <c r="BQ3236" s="141" t="n"/>
      <c r="BR3236" s="207" t="n"/>
      <c r="BS3236" s="207" t="n"/>
      <c r="BT3236" s="207" t="n"/>
      <c r="BU3236" s="207" t="n"/>
      <c r="BV3236" s="208" t="n"/>
      <c r="BW3236" s="207" t="n"/>
      <c r="BX3236" s="207" t="n"/>
      <c r="BY3236" s="204" t="n"/>
      <c r="BZ3236" s="148" t="n"/>
      <c r="CA3236" s="204" t="n"/>
      <c r="CB3236" s="208" t="n"/>
      <c r="CC3236" s="139" t="n"/>
      <c r="CD3236" s="204" t="n"/>
      <c r="CE3236" s="204" t="n"/>
      <c r="CF3236" s="207" t="n"/>
      <c r="CG3236" s="208" t="n"/>
      <c r="CH3236" s="207" t="n"/>
      <c r="CI3236" s="208" t="n"/>
      <c r="CJ3236" s="204" t="n"/>
      <c r="CK3236" s="208" t="n"/>
      <c r="CL3236" s="208" t="n"/>
      <c r="CM3236" s="208" t="n"/>
      <c r="CN3236" s="78" t="n"/>
      <c r="CO3236" s="209" t="n"/>
      <c r="CP3236" s="204" t="n"/>
      <c r="CQ3236" s="204" t="n"/>
      <c r="CR3236" s="204" t="n"/>
      <c r="CS3236" s="204" t="n"/>
      <c r="CT3236" s="204" t="n"/>
      <c r="CU3236" s="204" t="n"/>
      <c r="CV3236" s="204" t="n"/>
      <c r="CW3236" s="204" t="n"/>
    </row>
    <row r="3237">
      <c r="BF3237" s="78" t="n"/>
      <c r="BG3237" s="78" t="n"/>
      <c r="BH3237" s="78" t="n"/>
      <c r="BI3237" s="78" t="n"/>
      <c r="BJ3237" s="139" t="n"/>
      <c r="BK3237" s="204" t="n"/>
      <c r="BL3237" s="141" t="n"/>
      <c r="BM3237" s="205" t="n"/>
      <c r="BN3237" s="205" t="n"/>
      <c r="BO3237" s="206" t="n"/>
      <c r="BP3237" s="144" t="n"/>
      <c r="BQ3237" s="141" t="n"/>
      <c r="BR3237" s="207" t="n"/>
      <c r="BS3237" s="207" t="n"/>
      <c r="BT3237" s="207" t="n"/>
      <c r="BU3237" s="207" t="n"/>
      <c r="BV3237" s="208" t="n"/>
      <c r="BW3237" s="207" t="n"/>
      <c r="BX3237" s="207" t="n"/>
      <c r="BY3237" s="204" t="n"/>
      <c r="BZ3237" s="148" t="n"/>
      <c r="CA3237" s="204" t="n"/>
      <c r="CB3237" s="208" t="n"/>
      <c r="CC3237" s="139" t="n"/>
      <c r="CD3237" s="204" t="n"/>
      <c r="CE3237" s="204" t="n"/>
      <c r="CF3237" s="207" t="n"/>
      <c r="CG3237" s="208" t="n"/>
      <c r="CH3237" s="207" t="n"/>
      <c r="CI3237" s="208" t="n"/>
      <c r="CJ3237" s="204" t="n"/>
      <c r="CK3237" s="208" t="n"/>
      <c r="CL3237" s="208" t="n"/>
      <c r="CM3237" s="208" t="n"/>
      <c r="CN3237" s="78" t="n"/>
      <c r="CO3237" s="209" t="n"/>
      <c r="CP3237" s="204" t="n"/>
      <c r="CQ3237" s="204" t="n"/>
      <c r="CR3237" s="204" t="n"/>
      <c r="CS3237" s="204" t="n"/>
      <c r="CT3237" s="204" t="n"/>
      <c r="CU3237" s="204" t="n"/>
      <c r="CV3237" s="204" t="n"/>
      <c r="CW3237" s="204" t="n"/>
    </row>
    <row r="3238">
      <c r="BF3238" s="78" t="n"/>
      <c r="BG3238" s="78" t="n"/>
      <c r="BH3238" s="78" t="n"/>
      <c r="BI3238" s="78" t="n"/>
      <c r="BJ3238" s="139" t="n"/>
      <c r="BK3238" s="204" t="n"/>
      <c r="BL3238" s="141" t="n"/>
      <c r="BM3238" s="205" t="n"/>
      <c r="BN3238" s="205" t="n"/>
      <c r="BO3238" s="206" t="n"/>
      <c r="BP3238" s="144" t="n"/>
      <c r="BQ3238" s="141" t="n"/>
      <c r="BR3238" s="207" t="n"/>
      <c r="BS3238" s="207" t="n"/>
      <c r="BT3238" s="207" t="n"/>
      <c r="BU3238" s="207" t="n"/>
      <c r="BV3238" s="208" t="n"/>
      <c r="BW3238" s="207" t="n"/>
      <c r="BX3238" s="207" t="n"/>
      <c r="BY3238" s="204" t="n"/>
      <c r="BZ3238" s="148" t="n"/>
      <c r="CA3238" s="204" t="n"/>
      <c r="CB3238" s="208" t="n"/>
      <c r="CC3238" s="139" t="n"/>
      <c r="CD3238" s="204" t="n"/>
      <c r="CE3238" s="204" t="n"/>
      <c r="CF3238" s="207" t="n"/>
      <c r="CG3238" s="208" t="n"/>
      <c r="CH3238" s="207" t="n"/>
      <c r="CI3238" s="208" t="n"/>
      <c r="CJ3238" s="204" t="n"/>
      <c r="CK3238" s="208" t="n"/>
      <c r="CL3238" s="208" t="n"/>
      <c r="CM3238" s="208" t="n"/>
      <c r="CN3238" s="78" t="n"/>
      <c r="CO3238" s="209" t="n"/>
      <c r="CP3238" s="204" t="n"/>
      <c r="CQ3238" s="204" t="n"/>
      <c r="CR3238" s="204" t="n"/>
      <c r="CS3238" s="204" t="n"/>
      <c r="CT3238" s="204" t="n"/>
      <c r="CU3238" s="204" t="n"/>
      <c r="CV3238" s="204" t="n"/>
      <c r="CW3238" s="204" t="n"/>
    </row>
    <row r="3239">
      <c r="BF3239" s="78" t="n"/>
      <c r="BG3239" s="78" t="n"/>
      <c r="BH3239" s="78" t="n"/>
      <c r="BI3239" s="78" t="n"/>
      <c r="BJ3239" s="139" t="n"/>
      <c r="BK3239" s="204" t="n"/>
      <c r="BL3239" s="141" t="n"/>
      <c r="BM3239" s="205" t="n"/>
      <c r="BN3239" s="205" t="n"/>
      <c r="BO3239" s="206" t="n"/>
      <c r="BP3239" s="144" t="n"/>
      <c r="BQ3239" s="141" t="n"/>
      <c r="BR3239" s="207" t="n"/>
      <c r="BS3239" s="207" t="n"/>
      <c r="BT3239" s="207" t="n"/>
      <c r="BU3239" s="207" t="n"/>
      <c r="BV3239" s="208" t="n"/>
      <c r="BW3239" s="207" t="n"/>
      <c r="BX3239" s="207" t="n"/>
      <c r="BY3239" s="204" t="n"/>
      <c r="BZ3239" s="148" t="n"/>
      <c r="CA3239" s="204" t="n"/>
      <c r="CB3239" s="208" t="n"/>
      <c r="CC3239" s="139" t="n"/>
      <c r="CD3239" s="204" t="n"/>
      <c r="CE3239" s="204" t="n"/>
      <c r="CF3239" s="207" t="n"/>
      <c r="CG3239" s="208" t="n"/>
      <c r="CH3239" s="207" t="n"/>
      <c r="CI3239" s="208" t="n"/>
      <c r="CJ3239" s="204" t="n"/>
      <c r="CK3239" s="208" t="n"/>
      <c r="CL3239" s="208" t="n"/>
      <c r="CM3239" s="208" t="n"/>
      <c r="CN3239" s="78" t="n"/>
      <c r="CO3239" s="209" t="n"/>
      <c r="CP3239" s="204" t="n"/>
      <c r="CQ3239" s="204" t="n"/>
      <c r="CR3239" s="204" t="n"/>
      <c r="CS3239" s="204" t="n"/>
      <c r="CT3239" s="204" t="n"/>
      <c r="CU3239" s="204" t="n"/>
      <c r="CV3239" s="204" t="n"/>
      <c r="CW3239" s="204" t="n"/>
    </row>
    <row r="3240">
      <c r="BF3240" s="78" t="n"/>
      <c r="BG3240" s="78" t="n"/>
      <c r="BH3240" s="78" t="n"/>
      <c r="BI3240" s="78" t="n"/>
      <c r="BJ3240" s="139" t="n"/>
      <c r="BK3240" s="204" t="n"/>
      <c r="BL3240" s="141" t="n"/>
      <c r="BM3240" s="205" t="n"/>
      <c r="BN3240" s="205" t="n"/>
      <c r="BO3240" s="206" t="n"/>
      <c r="BP3240" s="144" t="n"/>
      <c r="BQ3240" s="141" t="n"/>
      <c r="BR3240" s="207" t="n"/>
      <c r="BS3240" s="207" t="n"/>
      <c r="BT3240" s="207" t="n"/>
      <c r="BU3240" s="207" t="n"/>
      <c r="BV3240" s="208" t="n"/>
      <c r="BW3240" s="207" t="n"/>
      <c r="BX3240" s="207" t="n"/>
      <c r="BY3240" s="204" t="n"/>
      <c r="BZ3240" s="148" t="n"/>
      <c r="CA3240" s="204" t="n"/>
      <c r="CB3240" s="208" t="n"/>
      <c r="CC3240" s="139" t="n"/>
      <c r="CD3240" s="204" t="n"/>
      <c r="CE3240" s="204" t="n"/>
      <c r="CF3240" s="207" t="n"/>
      <c r="CG3240" s="208" t="n"/>
      <c r="CH3240" s="207" t="n"/>
      <c r="CI3240" s="208" t="n"/>
      <c r="CJ3240" s="204" t="n"/>
      <c r="CK3240" s="208" t="n"/>
      <c r="CL3240" s="208" t="n"/>
      <c r="CM3240" s="208" t="n"/>
      <c r="CN3240" s="78" t="n"/>
      <c r="CO3240" s="209" t="n"/>
      <c r="CP3240" s="204" t="n"/>
      <c r="CQ3240" s="204" t="n"/>
      <c r="CR3240" s="204" t="n"/>
      <c r="CS3240" s="204" t="n"/>
      <c r="CT3240" s="204" t="n"/>
      <c r="CU3240" s="204" t="n"/>
      <c r="CV3240" s="204" t="n"/>
      <c r="CW3240" s="204" t="n"/>
    </row>
    <row r="3241">
      <c r="BF3241" s="78" t="n"/>
      <c r="BG3241" s="78" t="n"/>
      <c r="BH3241" s="78" t="n"/>
      <c r="BI3241" s="78" t="n"/>
      <c r="BJ3241" s="139" t="n"/>
      <c r="BK3241" s="204" t="n"/>
      <c r="BL3241" s="141" t="n"/>
      <c r="BM3241" s="205" t="n"/>
      <c r="BN3241" s="205" t="n"/>
      <c r="BO3241" s="206" t="n"/>
      <c r="BP3241" s="144" t="n"/>
      <c r="BQ3241" s="141" t="n"/>
      <c r="BR3241" s="207" t="n"/>
      <c r="BS3241" s="207" t="n"/>
      <c r="BT3241" s="207" t="n"/>
      <c r="BU3241" s="207" t="n"/>
      <c r="BV3241" s="208" t="n"/>
      <c r="BW3241" s="207" t="n"/>
      <c r="BX3241" s="207" t="n"/>
      <c r="BY3241" s="204" t="n"/>
      <c r="BZ3241" s="148" t="n"/>
      <c r="CA3241" s="204" t="n"/>
      <c r="CB3241" s="208" t="n"/>
      <c r="CC3241" s="139" t="n"/>
      <c r="CD3241" s="204" t="n"/>
      <c r="CE3241" s="204" t="n"/>
      <c r="CF3241" s="207" t="n"/>
      <c r="CG3241" s="208" t="n"/>
      <c r="CH3241" s="207" t="n"/>
      <c r="CI3241" s="208" t="n"/>
      <c r="CJ3241" s="204" t="n"/>
      <c r="CK3241" s="208" t="n"/>
      <c r="CL3241" s="208" t="n"/>
      <c r="CM3241" s="208" t="n"/>
      <c r="CN3241" s="78" t="n"/>
      <c r="CO3241" s="209" t="n"/>
      <c r="CP3241" s="204" t="n"/>
      <c r="CQ3241" s="204" t="n"/>
      <c r="CR3241" s="204" t="n"/>
      <c r="CS3241" s="204" t="n"/>
      <c r="CT3241" s="204" t="n"/>
      <c r="CU3241" s="204" t="n"/>
      <c r="CV3241" s="204" t="n"/>
      <c r="CW3241" s="204" t="n"/>
    </row>
    <row r="3242">
      <c r="BF3242" s="78" t="n"/>
      <c r="BG3242" s="78" t="n"/>
      <c r="BH3242" s="78" t="n"/>
      <c r="BI3242" s="78" t="n"/>
      <c r="BJ3242" s="139" t="n"/>
      <c r="BK3242" s="204" t="n"/>
      <c r="BL3242" s="141" t="n"/>
      <c r="BM3242" s="205" t="n"/>
      <c r="BN3242" s="205" t="n"/>
      <c r="BO3242" s="206" t="n"/>
      <c r="BP3242" s="144" t="n"/>
      <c r="BQ3242" s="141" t="n"/>
      <c r="BR3242" s="207" t="n"/>
      <c r="BS3242" s="207" t="n"/>
      <c r="BT3242" s="207" t="n"/>
      <c r="BU3242" s="207" t="n"/>
      <c r="BV3242" s="208" t="n"/>
      <c r="BW3242" s="207" t="n"/>
      <c r="BX3242" s="207" t="n"/>
      <c r="BY3242" s="204" t="n"/>
      <c r="BZ3242" s="148" t="n"/>
      <c r="CA3242" s="204" t="n"/>
      <c r="CB3242" s="208" t="n"/>
      <c r="CC3242" s="139" t="n"/>
      <c r="CD3242" s="204" t="n"/>
      <c r="CE3242" s="204" t="n"/>
      <c r="CF3242" s="207" t="n"/>
      <c r="CG3242" s="208" t="n"/>
      <c r="CH3242" s="207" t="n"/>
      <c r="CI3242" s="208" t="n"/>
      <c r="CJ3242" s="204" t="n"/>
      <c r="CK3242" s="208" t="n"/>
      <c r="CL3242" s="208" t="n"/>
      <c r="CM3242" s="208" t="n"/>
      <c r="CN3242" s="78" t="n"/>
      <c r="CO3242" s="209" t="n"/>
      <c r="CP3242" s="204" t="n"/>
      <c r="CQ3242" s="204" t="n"/>
      <c r="CR3242" s="204" t="n"/>
      <c r="CS3242" s="204" t="n"/>
      <c r="CT3242" s="204" t="n"/>
      <c r="CU3242" s="204" t="n"/>
      <c r="CV3242" s="204" t="n"/>
      <c r="CW3242" s="204" t="n"/>
    </row>
    <row r="3243">
      <c r="BF3243" s="78" t="n"/>
      <c r="BG3243" s="78" t="n"/>
      <c r="BH3243" s="78" t="n"/>
      <c r="BI3243" s="78" t="n"/>
      <c r="BJ3243" s="139" t="n"/>
      <c r="BK3243" s="204" t="n"/>
      <c r="BL3243" s="141" t="n"/>
      <c r="BM3243" s="205" t="n"/>
      <c r="BN3243" s="205" t="n"/>
      <c r="BO3243" s="206" t="n"/>
      <c r="BP3243" s="144" t="n"/>
      <c r="BQ3243" s="141" t="n"/>
      <c r="BR3243" s="207" t="n"/>
      <c r="BS3243" s="207" t="n"/>
      <c r="BT3243" s="207" t="n"/>
      <c r="BU3243" s="207" t="n"/>
      <c r="BV3243" s="208" t="n"/>
      <c r="BW3243" s="207" t="n"/>
      <c r="BX3243" s="207" t="n"/>
      <c r="BY3243" s="204" t="n"/>
      <c r="BZ3243" s="148" t="n"/>
      <c r="CA3243" s="204" t="n"/>
      <c r="CB3243" s="208" t="n"/>
      <c r="CC3243" s="139" t="n"/>
      <c r="CD3243" s="204" t="n"/>
      <c r="CE3243" s="204" t="n"/>
      <c r="CF3243" s="207" t="n"/>
      <c r="CG3243" s="208" t="n"/>
      <c r="CH3243" s="207" t="n"/>
      <c r="CI3243" s="208" t="n"/>
      <c r="CJ3243" s="204" t="n"/>
      <c r="CK3243" s="208" t="n"/>
      <c r="CL3243" s="208" t="n"/>
      <c r="CM3243" s="208" t="n"/>
      <c r="CN3243" s="78" t="n"/>
      <c r="CO3243" s="209" t="n"/>
      <c r="CP3243" s="204" t="n"/>
      <c r="CQ3243" s="204" t="n"/>
      <c r="CR3243" s="204" t="n"/>
      <c r="CS3243" s="204" t="n"/>
      <c r="CT3243" s="204" t="n"/>
      <c r="CU3243" s="204" t="n"/>
      <c r="CV3243" s="204" t="n"/>
      <c r="CW3243" s="204" t="n"/>
    </row>
    <row r="3244">
      <c r="BF3244" s="78" t="n"/>
      <c r="BG3244" s="78" t="n"/>
      <c r="BH3244" s="78" t="n"/>
      <c r="BI3244" s="78" t="n"/>
      <c r="BJ3244" s="139" t="n"/>
      <c r="BK3244" s="204" t="n"/>
      <c r="BL3244" s="141" t="n"/>
      <c r="BM3244" s="205" t="n"/>
      <c r="BN3244" s="205" t="n"/>
      <c r="BO3244" s="206" t="n"/>
      <c r="BP3244" s="144" t="n"/>
      <c r="BQ3244" s="141" t="n"/>
      <c r="BR3244" s="207" t="n"/>
      <c r="BS3244" s="207" t="n"/>
      <c r="BT3244" s="207" t="n"/>
      <c r="BU3244" s="207" t="n"/>
      <c r="BV3244" s="208" t="n"/>
      <c r="BW3244" s="207" t="n"/>
      <c r="BX3244" s="207" t="n"/>
      <c r="BY3244" s="204" t="n"/>
      <c r="BZ3244" s="148" t="n"/>
      <c r="CA3244" s="204" t="n"/>
      <c r="CB3244" s="208" t="n"/>
      <c r="CC3244" s="139" t="n"/>
      <c r="CD3244" s="204" t="n"/>
      <c r="CE3244" s="204" t="n"/>
      <c r="CF3244" s="207" t="n"/>
      <c r="CG3244" s="208" t="n"/>
      <c r="CH3244" s="207" t="n"/>
      <c r="CI3244" s="208" t="n"/>
      <c r="CJ3244" s="204" t="n"/>
      <c r="CK3244" s="208" t="n"/>
      <c r="CL3244" s="208" t="n"/>
      <c r="CM3244" s="208" t="n"/>
      <c r="CN3244" s="78" t="n"/>
      <c r="CO3244" s="209" t="n"/>
      <c r="CP3244" s="204" t="n"/>
      <c r="CQ3244" s="204" t="n"/>
      <c r="CR3244" s="204" t="n"/>
      <c r="CS3244" s="204" t="n"/>
      <c r="CT3244" s="204" t="n"/>
      <c r="CU3244" s="204" t="n"/>
      <c r="CV3244" s="204" t="n"/>
      <c r="CW3244" s="204" t="n"/>
    </row>
    <row r="3245">
      <c r="BF3245" s="78" t="n"/>
      <c r="BG3245" s="78" t="n"/>
      <c r="BH3245" s="78" t="n"/>
      <c r="BI3245" s="78" t="n"/>
      <c r="BJ3245" s="139" t="n"/>
      <c r="BK3245" s="204" t="n"/>
      <c r="BL3245" s="141" t="n"/>
      <c r="BM3245" s="205" t="n"/>
      <c r="BN3245" s="205" t="n"/>
      <c r="BO3245" s="206" t="n"/>
      <c r="BP3245" s="144" t="n"/>
      <c r="BQ3245" s="141" t="n"/>
      <c r="BR3245" s="207" t="n"/>
      <c r="BS3245" s="207" t="n"/>
      <c r="BT3245" s="207" t="n"/>
      <c r="BU3245" s="207" t="n"/>
      <c r="BV3245" s="208" t="n"/>
      <c r="BW3245" s="207" t="n"/>
      <c r="BX3245" s="207" t="n"/>
      <c r="BY3245" s="204" t="n"/>
      <c r="BZ3245" s="148" t="n"/>
      <c r="CA3245" s="204" t="n"/>
      <c r="CB3245" s="208" t="n"/>
      <c r="CC3245" s="139" t="n"/>
      <c r="CD3245" s="204" t="n"/>
      <c r="CE3245" s="204" t="n"/>
      <c r="CF3245" s="207" t="n"/>
      <c r="CG3245" s="208" t="n"/>
      <c r="CH3245" s="207" t="n"/>
      <c r="CI3245" s="208" t="n"/>
      <c r="CJ3245" s="204" t="n"/>
      <c r="CK3245" s="208" t="n"/>
      <c r="CL3245" s="208" t="n"/>
      <c r="CM3245" s="208" t="n"/>
      <c r="CN3245" s="78" t="n"/>
      <c r="CO3245" s="209" t="n"/>
      <c r="CP3245" s="204" t="n"/>
      <c r="CQ3245" s="204" t="n"/>
      <c r="CR3245" s="204" t="n"/>
      <c r="CS3245" s="204" t="n"/>
      <c r="CT3245" s="204" t="n"/>
      <c r="CU3245" s="204" t="n"/>
      <c r="CV3245" s="204" t="n"/>
      <c r="CW3245" s="204" t="n"/>
    </row>
    <row r="3246">
      <c r="BF3246" s="78" t="n"/>
      <c r="BG3246" s="78" t="n"/>
      <c r="BH3246" s="78" t="n"/>
      <c r="BI3246" s="78" t="n"/>
      <c r="BJ3246" s="139" t="n"/>
      <c r="BK3246" s="204" t="n"/>
      <c r="BL3246" s="141" t="n"/>
      <c r="BM3246" s="205" t="n"/>
      <c r="BN3246" s="205" t="n"/>
      <c r="BO3246" s="206" t="n"/>
      <c r="BP3246" s="144" t="n"/>
      <c r="BQ3246" s="141" t="n"/>
      <c r="BR3246" s="207" t="n"/>
      <c r="BS3246" s="207" t="n"/>
      <c r="BT3246" s="207" t="n"/>
      <c r="BU3246" s="207" t="n"/>
      <c r="BV3246" s="208" t="n"/>
      <c r="BW3246" s="207" t="n"/>
      <c r="BX3246" s="207" t="n"/>
      <c r="BY3246" s="204" t="n"/>
      <c r="BZ3246" s="148" t="n"/>
      <c r="CA3246" s="204" t="n"/>
      <c r="CB3246" s="208" t="n"/>
      <c r="CC3246" s="139" t="n"/>
      <c r="CD3246" s="204" t="n"/>
      <c r="CE3246" s="204" t="n"/>
      <c r="CF3246" s="207" t="n"/>
      <c r="CG3246" s="208" t="n"/>
      <c r="CH3246" s="207" t="n"/>
      <c r="CI3246" s="208" t="n"/>
      <c r="CJ3246" s="204" t="n"/>
      <c r="CK3246" s="208" t="n"/>
      <c r="CL3246" s="208" t="n"/>
      <c r="CM3246" s="208" t="n"/>
      <c r="CN3246" s="78" t="n"/>
      <c r="CO3246" s="209" t="n"/>
      <c r="CP3246" s="204" t="n"/>
      <c r="CQ3246" s="204" t="n"/>
      <c r="CR3246" s="204" t="n"/>
      <c r="CS3246" s="204" t="n"/>
      <c r="CT3246" s="204" t="n"/>
      <c r="CU3246" s="204" t="n"/>
      <c r="CV3246" s="204" t="n"/>
      <c r="CW3246" s="204" t="n"/>
    </row>
    <row r="3247">
      <c r="BF3247" s="78" t="n"/>
      <c r="BG3247" s="78" t="n"/>
      <c r="BH3247" s="78" t="n"/>
      <c r="BI3247" s="78" t="n"/>
      <c r="BJ3247" s="139" t="n"/>
      <c r="BK3247" s="204" t="n"/>
      <c r="BL3247" s="141" t="n"/>
      <c r="BM3247" s="205" t="n"/>
      <c r="BN3247" s="205" t="n"/>
      <c r="BO3247" s="206" t="n"/>
      <c r="BP3247" s="144" t="n"/>
      <c r="BQ3247" s="141" t="n"/>
      <c r="BR3247" s="207" t="n"/>
      <c r="BS3247" s="207" t="n"/>
      <c r="BT3247" s="207" t="n"/>
      <c r="BU3247" s="207" t="n"/>
      <c r="BV3247" s="208" t="n"/>
      <c r="BW3247" s="207" t="n"/>
      <c r="BX3247" s="207" t="n"/>
      <c r="BY3247" s="204" t="n"/>
      <c r="BZ3247" s="148" t="n"/>
      <c r="CA3247" s="204" t="n"/>
      <c r="CB3247" s="208" t="n"/>
      <c r="CC3247" s="139" t="n"/>
      <c r="CD3247" s="204" t="n"/>
      <c r="CE3247" s="204" t="n"/>
      <c r="CF3247" s="207" t="n"/>
      <c r="CG3247" s="208" t="n"/>
      <c r="CH3247" s="207" t="n"/>
      <c r="CI3247" s="208" t="n"/>
      <c r="CJ3247" s="204" t="n"/>
      <c r="CK3247" s="208" t="n"/>
      <c r="CL3247" s="208" t="n"/>
      <c r="CM3247" s="208" t="n"/>
      <c r="CN3247" s="78" t="n"/>
      <c r="CO3247" s="209" t="n"/>
      <c r="CP3247" s="204" t="n"/>
      <c r="CQ3247" s="204" t="n"/>
      <c r="CR3247" s="204" t="n"/>
      <c r="CS3247" s="204" t="n"/>
      <c r="CT3247" s="204" t="n"/>
      <c r="CU3247" s="204" t="n"/>
      <c r="CV3247" s="204" t="n"/>
      <c r="CW3247" s="204" t="n"/>
    </row>
    <row r="3248">
      <c r="BF3248" s="78" t="n"/>
      <c r="BG3248" s="78" t="n"/>
      <c r="BH3248" s="78" t="n"/>
      <c r="BI3248" s="78" t="n"/>
      <c r="BJ3248" s="139" t="n"/>
      <c r="BK3248" s="204" t="n"/>
      <c r="BL3248" s="141" t="n"/>
      <c r="BM3248" s="205" t="n"/>
      <c r="BN3248" s="205" t="n"/>
      <c r="BO3248" s="206" t="n"/>
      <c r="BP3248" s="144" t="n"/>
      <c r="BQ3248" s="141" t="n"/>
      <c r="BR3248" s="207" t="n"/>
      <c r="BS3248" s="207" t="n"/>
      <c r="BT3248" s="207" t="n"/>
      <c r="BU3248" s="207" t="n"/>
      <c r="BV3248" s="208" t="n"/>
      <c r="BW3248" s="207" t="n"/>
      <c r="BX3248" s="207" t="n"/>
      <c r="BY3248" s="204" t="n"/>
      <c r="BZ3248" s="148" t="n"/>
      <c r="CA3248" s="204" t="n"/>
      <c r="CB3248" s="208" t="n"/>
      <c r="CC3248" s="139" t="n"/>
      <c r="CD3248" s="204" t="n"/>
      <c r="CE3248" s="204" t="n"/>
      <c r="CF3248" s="207" t="n"/>
      <c r="CG3248" s="208" t="n"/>
      <c r="CH3248" s="207" t="n"/>
      <c r="CI3248" s="208" t="n"/>
      <c r="CJ3248" s="204" t="n"/>
      <c r="CK3248" s="208" t="n"/>
      <c r="CL3248" s="208" t="n"/>
      <c r="CM3248" s="208" t="n"/>
      <c r="CN3248" s="78" t="n"/>
      <c r="CO3248" s="209" t="n"/>
      <c r="CP3248" s="204" t="n"/>
      <c r="CQ3248" s="204" t="n"/>
      <c r="CR3248" s="204" t="n"/>
      <c r="CS3248" s="204" t="n"/>
      <c r="CT3248" s="204" t="n"/>
      <c r="CU3248" s="204" t="n"/>
      <c r="CV3248" s="204" t="n"/>
      <c r="CW3248" s="204" t="n"/>
    </row>
    <row r="3249">
      <c r="BF3249" s="78" t="n"/>
      <c r="BG3249" s="78" t="n"/>
      <c r="BH3249" s="78" t="n"/>
      <c r="BI3249" s="78" t="n"/>
      <c r="BJ3249" s="139" t="n"/>
      <c r="BK3249" s="204" t="n"/>
      <c r="BL3249" s="141" t="n"/>
      <c r="BM3249" s="205" t="n"/>
      <c r="BN3249" s="205" t="n"/>
      <c r="BO3249" s="206" t="n"/>
      <c r="BP3249" s="144" t="n"/>
      <c r="BQ3249" s="141" t="n"/>
      <c r="BR3249" s="207" t="n"/>
      <c r="BS3249" s="207" t="n"/>
      <c r="BT3249" s="207" t="n"/>
      <c r="BU3249" s="207" t="n"/>
      <c r="BV3249" s="208" t="n"/>
      <c r="BW3249" s="207" t="n"/>
      <c r="BX3249" s="207" t="n"/>
      <c r="BY3249" s="204" t="n"/>
      <c r="BZ3249" s="148" t="n"/>
      <c r="CA3249" s="204" t="n"/>
      <c r="CB3249" s="208" t="n"/>
      <c r="CC3249" s="139" t="n"/>
      <c r="CD3249" s="204" t="n"/>
      <c r="CE3249" s="204" t="n"/>
      <c r="CF3249" s="207" t="n"/>
      <c r="CG3249" s="208" t="n"/>
      <c r="CH3249" s="207" t="n"/>
      <c r="CI3249" s="208" t="n"/>
      <c r="CJ3249" s="204" t="n"/>
      <c r="CK3249" s="208" t="n"/>
      <c r="CL3249" s="208" t="n"/>
      <c r="CM3249" s="208" t="n"/>
      <c r="CN3249" s="78" t="n"/>
      <c r="CO3249" s="209" t="n"/>
      <c r="CP3249" s="204" t="n"/>
      <c r="CQ3249" s="204" t="n"/>
      <c r="CR3249" s="204" t="n"/>
      <c r="CS3249" s="204" t="n"/>
      <c r="CT3249" s="204" t="n"/>
      <c r="CU3249" s="204" t="n"/>
      <c r="CV3249" s="204" t="n"/>
      <c r="CW3249" s="204" t="n"/>
    </row>
    <row r="3250">
      <c r="BF3250" s="78" t="n"/>
      <c r="BG3250" s="78" t="n"/>
      <c r="BH3250" s="78" t="n"/>
      <c r="BI3250" s="78" t="n"/>
      <c r="BJ3250" s="139" t="n"/>
      <c r="BK3250" s="204" t="n"/>
      <c r="BL3250" s="141" t="n"/>
      <c r="BM3250" s="205" t="n"/>
      <c r="BN3250" s="205" t="n"/>
      <c r="BO3250" s="206" t="n"/>
      <c r="BP3250" s="144" t="n"/>
      <c r="BQ3250" s="141" t="n"/>
      <c r="BR3250" s="207" t="n"/>
      <c r="BS3250" s="207" t="n"/>
      <c r="BT3250" s="207" t="n"/>
      <c r="BU3250" s="207" t="n"/>
      <c r="BV3250" s="208" t="n"/>
      <c r="BW3250" s="207" t="n"/>
      <c r="BX3250" s="207" t="n"/>
      <c r="BY3250" s="204" t="n"/>
      <c r="BZ3250" s="148" t="n"/>
      <c r="CA3250" s="204" t="n"/>
      <c r="CB3250" s="208" t="n"/>
      <c r="CC3250" s="139" t="n"/>
      <c r="CD3250" s="204" t="n"/>
      <c r="CE3250" s="204" t="n"/>
      <c r="CF3250" s="207" t="n"/>
      <c r="CG3250" s="208" t="n"/>
      <c r="CH3250" s="207" t="n"/>
      <c r="CI3250" s="208" t="n"/>
      <c r="CJ3250" s="204" t="n"/>
      <c r="CK3250" s="208" t="n"/>
      <c r="CL3250" s="208" t="n"/>
      <c r="CM3250" s="208" t="n"/>
      <c r="CN3250" s="78" t="n"/>
      <c r="CO3250" s="209" t="n"/>
      <c r="CP3250" s="204" t="n"/>
      <c r="CQ3250" s="204" t="n"/>
      <c r="CR3250" s="204" t="n"/>
      <c r="CS3250" s="204" t="n"/>
      <c r="CT3250" s="204" t="n"/>
      <c r="CU3250" s="204" t="n"/>
      <c r="CV3250" s="204" t="n"/>
      <c r="CW3250" s="204" t="n"/>
    </row>
    <row r="3251">
      <c r="BF3251" s="78" t="n"/>
      <c r="BG3251" s="78" t="n"/>
      <c r="BH3251" s="78" t="n"/>
      <c r="BI3251" s="78" t="n"/>
      <c r="BJ3251" s="139" t="n"/>
      <c r="BK3251" s="204" t="n"/>
      <c r="BL3251" s="141" t="n"/>
      <c r="BM3251" s="205" t="n"/>
      <c r="BN3251" s="205" t="n"/>
      <c r="BO3251" s="206" t="n"/>
      <c r="BP3251" s="144" t="n"/>
      <c r="BQ3251" s="141" t="n"/>
      <c r="BR3251" s="207" t="n"/>
      <c r="BS3251" s="207" t="n"/>
      <c r="BT3251" s="207" t="n"/>
      <c r="BU3251" s="207" t="n"/>
      <c r="BV3251" s="208" t="n"/>
      <c r="BW3251" s="207" t="n"/>
      <c r="BX3251" s="207" t="n"/>
      <c r="BY3251" s="204" t="n"/>
      <c r="BZ3251" s="148" t="n"/>
      <c r="CA3251" s="204" t="n"/>
      <c r="CB3251" s="208" t="n"/>
      <c r="CC3251" s="139" t="n"/>
      <c r="CD3251" s="204" t="n"/>
      <c r="CE3251" s="204" t="n"/>
      <c r="CF3251" s="207" t="n"/>
      <c r="CG3251" s="208" t="n"/>
      <c r="CH3251" s="207" t="n"/>
      <c r="CI3251" s="208" t="n"/>
      <c r="CJ3251" s="204" t="n"/>
      <c r="CK3251" s="208" t="n"/>
      <c r="CL3251" s="208" t="n"/>
      <c r="CM3251" s="208" t="n"/>
      <c r="CN3251" s="78" t="n"/>
      <c r="CO3251" s="209" t="n"/>
      <c r="CP3251" s="204" t="n"/>
      <c r="CQ3251" s="204" t="n"/>
      <c r="CR3251" s="204" t="n"/>
      <c r="CS3251" s="204" t="n"/>
      <c r="CT3251" s="204" t="n"/>
      <c r="CU3251" s="204" t="n"/>
      <c r="CV3251" s="204" t="n"/>
      <c r="CW3251" s="204" t="n"/>
    </row>
    <row r="3252">
      <c r="BF3252" s="78" t="n"/>
      <c r="BG3252" s="78" t="n"/>
      <c r="BH3252" s="78" t="n"/>
      <c r="BI3252" s="78" t="n"/>
      <c r="BJ3252" s="139" t="n"/>
      <c r="BK3252" s="204" t="n"/>
      <c r="BL3252" s="141" t="n"/>
      <c r="BM3252" s="205" t="n"/>
      <c r="BN3252" s="205" t="n"/>
      <c r="BO3252" s="206" t="n"/>
      <c r="BP3252" s="144" t="n"/>
      <c r="BQ3252" s="141" t="n"/>
      <c r="BR3252" s="207" t="n"/>
      <c r="BS3252" s="207" t="n"/>
      <c r="BT3252" s="207" t="n"/>
      <c r="BU3252" s="207" t="n"/>
      <c r="BV3252" s="208" t="n"/>
      <c r="BW3252" s="207" t="n"/>
      <c r="BX3252" s="207" t="n"/>
      <c r="BY3252" s="204" t="n"/>
      <c r="BZ3252" s="148" t="n"/>
      <c r="CA3252" s="204" t="n"/>
      <c r="CB3252" s="208" t="n"/>
      <c r="CC3252" s="139" t="n"/>
      <c r="CD3252" s="204" t="n"/>
      <c r="CE3252" s="204" t="n"/>
      <c r="CF3252" s="207" t="n"/>
      <c r="CG3252" s="208" t="n"/>
      <c r="CH3252" s="207" t="n"/>
      <c r="CI3252" s="208" t="n"/>
      <c r="CJ3252" s="204" t="n"/>
      <c r="CK3252" s="208" t="n"/>
      <c r="CL3252" s="208" t="n"/>
      <c r="CM3252" s="208" t="n"/>
      <c r="CN3252" s="78" t="n"/>
      <c r="CO3252" s="209" t="n"/>
      <c r="CP3252" s="204" t="n"/>
      <c r="CQ3252" s="204" t="n"/>
      <c r="CR3252" s="204" t="n"/>
      <c r="CS3252" s="204" t="n"/>
      <c r="CT3252" s="204" t="n"/>
      <c r="CU3252" s="204" t="n"/>
      <c r="CV3252" s="204" t="n"/>
      <c r="CW3252" s="204" t="n"/>
    </row>
    <row r="3253">
      <c r="BF3253" s="78" t="n"/>
      <c r="BG3253" s="78" t="n"/>
      <c r="BH3253" s="78" t="n"/>
      <c r="BI3253" s="78" t="n"/>
      <c r="BJ3253" s="139" t="n"/>
      <c r="BK3253" s="204" t="n"/>
      <c r="BL3253" s="141" t="n"/>
      <c r="BM3253" s="205" t="n"/>
      <c r="BN3253" s="205" t="n"/>
      <c r="BO3253" s="206" t="n"/>
      <c r="BP3253" s="144" t="n"/>
      <c r="BQ3253" s="141" t="n"/>
      <c r="BR3253" s="207" t="n"/>
      <c r="BS3253" s="207" t="n"/>
      <c r="BT3253" s="207" t="n"/>
      <c r="BU3253" s="207" t="n"/>
      <c r="BV3253" s="208" t="n"/>
      <c r="BW3253" s="207" t="n"/>
      <c r="BX3253" s="207" t="n"/>
      <c r="BY3253" s="204" t="n"/>
      <c r="BZ3253" s="148" t="n"/>
      <c r="CA3253" s="204" t="n"/>
      <c r="CB3253" s="208" t="n"/>
      <c r="CC3253" s="139" t="n"/>
      <c r="CD3253" s="204" t="n"/>
      <c r="CE3253" s="204" t="n"/>
      <c r="CF3253" s="207" t="n"/>
      <c r="CG3253" s="208" t="n"/>
      <c r="CH3253" s="207" t="n"/>
      <c r="CI3253" s="208" t="n"/>
      <c r="CJ3253" s="204" t="n"/>
      <c r="CK3253" s="208" t="n"/>
      <c r="CL3253" s="208" t="n"/>
      <c r="CM3253" s="208" t="n"/>
      <c r="CN3253" s="78" t="n"/>
      <c r="CO3253" s="209" t="n"/>
      <c r="CP3253" s="204" t="n"/>
      <c r="CQ3253" s="204" t="n"/>
      <c r="CR3253" s="204" t="n"/>
      <c r="CS3253" s="204" t="n"/>
      <c r="CT3253" s="204" t="n"/>
      <c r="CU3253" s="204" t="n"/>
      <c r="CV3253" s="204" t="n"/>
      <c r="CW3253" s="204" t="n"/>
    </row>
    <row r="3254">
      <c r="AR3254" s="151" t="n"/>
      <c r="BF3254" s="78" t="n"/>
      <c r="BG3254" s="78" t="n"/>
      <c r="BH3254" s="78" t="n"/>
      <c r="BI3254" s="78" t="n"/>
      <c r="BJ3254" s="139" t="n"/>
      <c r="BK3254" s="204" t="n"/>
      <c r="BL3254" s="141" t="n"/>
      <c r="BM3254" s="205" t="n"/>
      <c r="BN3254" s="205" t="n"/>
      <c r="BO3254" s="206" t="n"/>
      <c r="BP3254" s="144" t="n"/>
      <c r="BQ3254" s="141" t="n"/>
      <c r="BR3254" s="207" t="n"/>
      <c r="BS3254" s="207" t="n"/>
      <c r="BT3254" s="207" t="n"/>
      <c r="BU3254" s="207" t="n"/>
      <c r="BV3254" s="208" t="n"/>
      <c r="BW3254" s="207" t="n"/>
      <c r="BX3254" s="207" t="n"/>
      <c r="BY3254" s="204" t="n"/>
      <c r="BZ3254" s="148" t="n"/>
      <c r="CA3254" s="204" t="n"/>
      <c r="CB3254" s="208" t="n"/>
      <c r="CC3254" s="139" t="n"/>
      <c r="CD3254" s="204" t="n"/>
      <c r="CE3254" s="204" t="n"/>
      <c r="CF3254" s="207" t="n"/>
      <c r="CG3254" s="208" t="n"/>
      <c r="CH3254" s="207" t="n"/>
      <c r="CI3254" s="208" t="n"/>
      <c r="CJ3254" s="204" t="n"/>
      <c r="CK3254" s="208" t="n"/>
      <c r="CL3254" s="208" t="n"/>
      <c r="CM3254" s="208" t="n"/>
      <c r="CN3254" s="78" t="n"/>
      <c r="CO3254" s="209" t="n"/>
      <c r="CP3254" s="204" t="n"/>
      <c r="CQ3254" s="204" t="n"/>
      <c r="CR3254" s="204" t="n"/>
      <c r="CS3254" s="204" t="n"/>
      <c r="CT3254" s="204" t="n"/>
      <c r="CU3254" s="204" t="n"/>
      <c r="CV3254" s="204" t="n"/>
      <c r="CW3254" s="204" t="n"/>
    </row>
    <row r="3255">
      <c r="AR3255" s="151" t="n"/>
      <c r="BF3255" s="78" t="n"/>
      <c r="BG3255" s="78" t="n"/>
      <c r="BH3255" s="78" t="n"/>
      <c r="BI3255" s="78" t="n"/>
      <c r="BJ3255" s="139" t="n"/>
      <c r="BK3255" s="204" t="n"/>
      <c r="BL3255" s="141" t="n"/>
      <c r="BM3255" s="205" t="n"/>
      <c r="BN3255" s="205" t="n"/>
      <c r="BO3255" s="206" t="n"/>
      <c r="BP3255" s="144" t="n"/>
      <c r="BQ3255" s="141" t="n"/>
      <c r="BR3255" s="207" t="n"/>
      <c r="BS3255" s="207" t="n"/>
      <c r="BT3255" s="207" t="n"/>
      <c r="BU3255" s="207" t="n"/>
      <c r="BV3255" s="208" t="n"/>
      <c r="BW3255" s="207" t="n"/>
      <c r="BX3255" s="207" t="n"/>
      <c r="BY3255" s="204" t="n"/>
      <c r="BZ3255" s="148" t="n"/>
      <c r="CA3255" s="204" t="n"/>
      <c r="CB3255" s="208" t="n"/>
      <c r="CC3255" s="139" t="n"/>
      <c r="CD3255" s="204" t="n"/>
      <c r="CE3255" s="204" t="n"/>
      <c r="CF3255" s="207" t="n"/>
      <c r="CG3255" s="208" t="n"/>
      <c r="CH3255" s="207" t="n"/>
      <c r="CI3255" s="208" t="n"/>
      <c r="CJ3255" s="204" t="n"/>
      <c r="CK3255" s="208" t="n"/>
      <c r="CL3255" s="208" t="n"/>
      <c r="CM3255" s="208" t="n"/>
      <c r="CN3255" s="78" t="n"/>
      <c r="CO3255" s="209" t="n"/>
      <c r="CP3255" s="204" t="n"/>
      <c r="CQ3255" s="204" t="n"/>
      <c r="CR3255" s="204" t="n"/>
      <c r="CS3255" s="204" t="n"/>
      <c r="CT3255" s="204" t="n"/>
      <c r="CU3255" s="204" t="n"/>
      <c r="CV3255" s="204" t="n"/>
      <c r="CW3255" s="204" t="n"/>
    </row>
    <row r="3256">
      <c r="BF3256" s="78" t="n"/>
      <c r="BG3256" s="78" t="n"/>
      <c r="BH3256" s="78" t="n"/>
      <c r="BI3256" s="78" t="n"/>
      <c r="BJ3256" s="139" t="n"/>
      <c r="BK3256" s="204" t="n"/>
      <c r="BL3256" s="141" t="n"/>
      <c r="BM3256" s="205" t="n"/>
      <c r="BN3256" s="205" t="n"/>
      <c r="BO3256" s="206" t="n"/>
      <c r="BP3256" s="144" t="n"/>
      <c r="BQ3256" s="141" t="n"/>
      <c r="BR3256" s="207" t="n"/>
      <c r="BS3256" s="207" t="n"/>
      <c r="BT3256" s="207" t="n"/>
      <c r="BU3256" s="207" t="n"/>
      <c r="BV3256" s="208" t="n"/>
      <c r="BW3256" s="207" t="n"/>
      <c r="BX3256" s="207" t="n"/>
      <c r="BY3256" s="204" t="n"/>
      <c r="BZ3256" s="148" t="n"/>
      <c r="CA3256" s="204" t="n"/>
      <c r="CB3256" s="208" t="n"/>
      <c r="CC3256" s="139" t="n"/>
      <c r="CD3256" s="204" t="n"/>
      <c r="CE3256" s="204" t="n"/>
      <c r="CF3256" s="207" t="n"/>
      <c r="CG3256" s="208" t="n"/>
      <c r="CH3256" s="207" t="n"/>
      <c r="CI3256" s="208" t="n"/>
      <c r="CJ3256" s="204" t="n"/>
      <c r="CK3256" s="208" t="n"/>
      <c r="CL3256" s="208" t="n"/>
      <c r="CM3256" s="208" t="n"/>
      <c r="CN3256" s="78" t="n"/>
      <c r="CO3256" s="209" t="n"/>
      <c r="CP3256" s="204" t="n"/>
      <c r="CQ3256" s="204" t="n"/>
      <c r="CR3256" s="204" t="n"/>
      <c r="CS3256" s="204" t="n"/>
      <c r="CT3256" s="204" t="n"/>
      <c r="CU3256" s="204" t="n"/>
      <c r="CV3256" s="204" t="n"/>
      <c r="CW3256" s="204" t="n"/>
    </row>
    <row r="3257">
      <c r="BF3257" s="78" t="n"/>
      <c r="BG3257" s="78" t="n"/>
      <c r="BH3257" s="78" t="n"/>
      <c r="BI3257" s="78" t="n"/>
      <c r="BJ3257" s="139" t="n"/>
      <c r="BK3257" s="204" t="n"/>
      <c r="BL3257" s="141" t="n"/>
      <c r="BM3257" s="205" t="n"/>
      <c r="BN3257" s="205" t="n"/>
      <c r="BO3257" s="206" t="n"/>
      <c r="BP3257" s="144" t="n"/>
      <c r="BQ3257" s="141" t="n"/>
      <c r="BR3257" s="207" t="n"/>
      <c r="BS3257" s="207" t="n"/>
      <c r="BT3257" s="207" t="n"/>
      <c r="BU3257" s="207" t="n"/>
      <c r="BV3257" s="208" t="n"/>
      <c r="BW3257" s="207" t="n"/>
      <c r="BX3257" s="207" t="n"/>
      <c r="BY3257" s="204" t="n"/>
      <c r="BZ3257" s="148" t="n"/>
      <c r="CA3257" s="204" t="n"/>
      <c r="CB3257" s="208" t="n"/>
      <c r="CC3257" s="139" t="n"/>
      <c r="CD3257" s="204" t="n"/>
      <c r="CE3257" s="204" t="n"/>
      <c r="CF3257" s="207" t="n"/>
      <c r="CG3257" s="208" t="n"/>
      <c r="CH3257" s="207" t="n"/>
      <c r="CI3257" s="208" t="n"/>
      <c r="CJ3257" s="204" t="n"/>
      <c r="CK3257" s="208" t="n"/>
      <c r="CL3257" s="208" t="n"/>
      <c r="CM3257" s="208" t="n"/>
      <c r="CN3257" s="78" t="n"/>
      <c r="CO3257" s="209" t="n"/>
      <c r="CP3257" s="204" t="n"/>
      <c r="CQ3257" s="204" t="n"/>
      <c r="CR3257" s="204" t="n"/>
      <c r="CS3257" s="204" t="n"/>
      <c r="CT3257" s="204" t="n"/>
      <c r="CU3257" s="204" t="n"/>
      <c r="CV3257" s="204" t="n"/>
      <c r="CW3257" s="204" t="n"/>
    </row>
    <row r="3258">
      <c r="BF3258" s="78" t="n"/>
      <c r="BG3258" s="78" t="n"/>
      <c r="BH3258" s="78" t="n"/>
      <c r="BI3258" s="78" t="n"/>
      <c r="BJ3258" s="139" t="n"/>
      <c r="BK3258" s="204" t="n"/>
      <c r="BL3258" s="141" t="n"/>
      <c r="BM3258" s="205" t="n"/>
      <c r="BN3258" s="205" t="n"/>
      <c r="BO3258" s="206" t="n"/>
      <c r="BP3258" s="144" t="n"/>
      <c r="BQ3258" s="141" t="n"/>
      <c r="BR3258" s="207" t="n"/>
      <c r="BS3258" s="207" t="n"/>
      <c r="BT3258" s="207" t="n"/>
      <c r="BU3258" s="207" t="n"/>
      <c r="BV3258" s="208" t="n"/>
      <c r="BW3258" s="207" t="n"/>
      <c r="BX3258" s="207" t="n"/>
      <c r="BY3258" s="204" t="n"/>
      <c r="BZ3258" s="148" t="n"/>
      <c r="CA3258" s="204" t="n"/>
      <c r="CB3258" s="208" t="n"/>
      <c r="CC3258" s="139" t="n"/>
      <c r="CD3258" s="204" t="n"/>
      <c r="CE3258" s="204" t="n"/>
      <c r="CF3258" s="207" t="n"/>
      <c r="CG3258" s="208" t="n"/>
      <c r="CH3258" s="207" t="n"/>
      <c r="CI3258" s="208" t="n"/>
      <c r="CJ3258" s="204" t="n"/>
      <c r="CK3258" s="208" t="n"/>
      <c r="CL3258" s="208" t="n"/>
      <c r="CM3258" s="208" t="n"/>
      <c r="CN3258" s="78" t="n"/>
      <c r="CO3258" s="209" t="n"/>
      <c r="CP3258" s="204" t="n"/>
      <c r="CQ3258" s="204" t="n"/>
      <c r="CR3258" s="204" t="n"/>
      <c r="CS3258" s="204" t="n"/>
      <c r="CT3258" s="204" t="n"/>
      <c r="CU3258" s="204" t="n"/>
      <c r="CV3258" s="204" t="n"/>
      <c r="CW3258" s="204" t="n"/>
    </row>
    <row r="3259">
      <c r="BF3259" s="78" t="n"/>
      <c r="BG3259" s="78" t="n"/>
      <c r="BH3259" s="78" t="n"/>
      <c r="BI3259" s="78" t="n"/>
      <c r="BJ3259" s="139" t="n"/>
      <c r="BK3259" s="204" t="n"/>
      <c r="BL3259" s="141" t="n"/>
      <c r="BM3259" s="205" t="n"/>
      <c r="BN3259" s="205" t="n"/>
      <c r="BO3259" s="206" t="n"/>
      <c r="BP3259" s="144" t="n"/>
      <c r="BQ3259" s="141" t="n"/>
      <c r="BR3259" s="207" t="n"/>
      <c r="BS3259" s="207" t="n"/>
      <c r="BT3259" s="207" t="n"/>
      <c r="BU3259" s="207" t="n"/>
      <c r="BV3259" s="208" t="n"/>
      <c r="BW3259" s="207" t="n"/>
      <c r="BX3259" s="207" t="n"/>
      <c r="BY3259" s="204" t="n"/>
      <c r="BZ3259" s="148" t="n"/>
      <c r="CA3259" s="204" t="n"/>
      <c r="CB3259" s="208" t="n"/>
      <c r="CC3259" s="139" t="n"/>
      <c r="CD3259" s="204" t="n"/>
      <c r="CE3259" s="204" t="n"/>
      <c r="CF3259" s="207" t="n"/>
      <c r="CG3259" s="208" t="n"/>
      <c r="CH3259" s="207" t="n"/>
      <c r="CI3259" s="208" t="n"/>
      <c r="CJ3259" s="204" t="n"/>
      <c r="CK3259" s="208" t="n"/>
      <c r="CL3259" s="208" t="n"/>
      <c r="CM3259" s="208" t="n"/>
      <c r="CN3259" s="78" t="n"/>
      <c r="CO3259" s="209" t="n"/>
      <c r="CP3259" s="204" t="n"/>
      <c r="CQ3259" s="204" t="n"/>
      <c r="CR3259" s="204" t="n"/>
      <c r="CS3259" s="204" t="n"/>
      <c r="CT3259" s="204" t="n"/>
      <c r="CU3259" s="204" t="n"/>
      <c r="CV3259" s="204" t="n"/>
      <c r="CW3259" s="204" t="n"/>
    </row>
    <row r="3260">
      <c r="BF3260" s="78" t="n"/>
      <c r="BG3260" s="78" t="n"/>
      <c r="BH3260" s="78" t="n"/>
      <c r="BI3260" s="78" t="n"/>
      <c r="BJ3260" s="139" t="n"/>
      <c r="BK3260" s="204" t="n"/>
      <c r="BL3260" s="141" t="n"/>
      <c r="BM3260" s="205" t="n"/>
      <c r="BN3260" s="205" t="n"/>
      <c r="BO3260" s="206" t="n"/>
      <c r="BP3260" s="144" t="n"/>
      <c r="BQ3260" s="141" t="n"/>
      <c r="BR3260" s="207" t="n"/>
      <c r="BS3260" s="207" t="n"/>
      <c r="BT3260" s="207" t="n"/>
      <c r="BU3260" s="207" t="n"/>
      <c r="BV3260" s="208" t="n"/>
      <c r="BW3260" s="207" t="n"/>
      <c r="BX3260" s="207" t="n"/>
      <c r="BY3260" s="204" t="n"/>
      <c r="BZ3260" s="148" t="n"/>
      <c r="CA3260" s="204" t="n"/>
      <c r="CB3260" s="208" t="n"/>
      <c r="CC3260" s="139" t="n"/>
      <c r="CD3260" s="204" t="n"/>
      <c r="CE3260" s="204" t="n"/>
      <c r="CF3260" s="207" t="n"/>
      <c r="CG3260" s="208" t="n"/>
      <c r="CH3260" s="207" t="n"/>
      <c r="CI3260" s="208" t="n"/>
      <c r="CJ3260" s="204" t="n"/>
      <c r="CK3260" s="208" t="n"/>
      <c r="CL3260" s="208" t="n"/>
      <c r="CM3260" s="208" t="n"/>
      <c r="CN3260" s="78" t="n"/>
      <c r="CO3260" s="209" t="n"/>
      <c r="CP3260" s="204" t="n"/>
      <c r="CQ3260" s="204" t="n"/>
      <c r="CR3260" s="204" t="n"/>
      <c r="CS3260" s="204" t="n"/>
      <c r="CT3260" s="204" t="n"/>
      <c r="CU3260" s="204" t="n"/>
      <c r="CV3260" s="204" t="n"/>
      <c r="CW3260" s="204" t="n"/>
    </row>
    <row r="3261">
      <c r="BF3261" s="78" t="n"/>
      <c r="BG3261" s="78" t="n"/>
      <c r="BH3261" s="78" t="n"/>
      <c r="BI3261" s="78" t="n"/>
      <c r="BJ3261" s="139" t="n"/>
      <c r="BK3261" s="204" t="n"/>
      <c r="BL3261" s="141" t="n"/>
      <c r="BM3261" s="205" t="n"/>
      <c r="BN3261" s="205" t="n"/>
      <c r="BO3261" s="206" t="n"/>
      <c r="BP3261" s="144" t="n"/>
      <c r="BQ3261" s="141" t="n"/>
      <c r="BR3261" s="207" t="n"/>
      <c r="BS3261" s="207" t="n"/>
      <c r="BT3261" s="207" t="n"/>
      <c r="BU3261" s="207" t="n"/>
      <c r="BV3261" s="208" t="n"/>
      <c r="BW3261" s="207" t="n"/>
      <c r="BX3261" s="207" t="n"/>
      <c r="BY3261" s="204" t="n"/>
      <c r="BZ3261" s="148" t="n"/>
      <c r="CA3261" s="204" t="n"/>
      <c r="CB3261" s="208" t="n"/>
      <c r="CC3261" s="139" t="n"/>
      <c r="CD3261" s="204" t="n"/>
      <c r="CE3261" s="204" t="n"/>
      <c r="CF3261" s="207" t="n"/>
      <c r="CG3261" s="208" t="n"/>
      <c r="CH3261" s="207" t="n"/>
      <c r="CI3261" s="208" t="n"/>
      <c r="CJ3261" s="204" t="n"/>
      <c r="CK3261" s="208" t="n"/>
      <c r="CL3261" s="208" t="n"/>
      <c r="CM3261" s="208" t="n"/>
      <c r="CN3261" s="78" t="n"/>
      <c r="CO3261" s="209" t="n"/>
      <c r="CP3261" s="204" t="n"/>
      <c r="CQ3261" s="204" t="n"/>
      <c r="CR3261" s="204" t="n"/>
      <c r="CS3261" s="204" t="n"/>
      <c r="CT3261" s="204" t="n"/>
      <c r="CU3261" s="204" t="n"/>
      <c r="CV3261" s="204" t="n"/>
      <c r="CW3261" s="204" t="n"/>
    </row>
    <row r="3262">
      <c r="BF3262" s="78" t="n"/>
      <c r="BG3262" s="78" t="n"/>
      <c r="BH3262" s="78" t="n"/>
      <c r="BI3262" s="78" t="n"/>
      <c r="BJ3262" s="139" t="n"/>
      <c r="BK3262" s="204" t="n"/>
      <c r="BL3262" s="141" t="n"/>
      <c r="BM3262" s="205" t="n"/>
      <c r="BN3262" s="205" t="n"/>
      <c r="BO3262" s="206" t="n"/>
      <c r="BP3262" s="144" t="n"/>
      <c r="BQ3262" s="141" t="n"/>
      <c r="BR3262" s="207" t="n"/>
      <c r="BS3262" s="207" t="n"/>
      <c r="BT3262" s="207" t="n"/>
      <c r="BU3262" s="207" t="n"/>
      <c r="BV3262" s="208" t="n"/>
      <c r="BW3262" s="207" t="n"/>
      <c r="BX3262" s="207" t="n"/>
      <c r="BY3262" s="204" t="n"/>
      <c r="BZ3262" s="148" t="n"/>
      <c r="CA3262" s="204" t="n"/>
      <c r="CB3262" s="208" t="n"/>
      <c r="CC3262" s="139" t="n"/>
      <c r="CD3262" s="204" t="n"/>
      <c r="CE3262" s="204" t="n"/>
      <c r="CF3262" s="207" t="n"/>
      <c r="CG3262" s="208" t="n"/>
      <c r="CH3262" s="207" t="n"/>
      <c r="CI3262" s="208" t="n"/>
      <c r="CJ3262" s="204" t="n"/>
      <c r="CK3262" s="208" t="n"/>
      <c r="CL3262" s="208" t="n"/>
      <c r="CM3262" s="208" t="n"/>
      <c r="CN3262" s="78" t="n"/>
      <c r="CO3262" s="209" t="n"/>
      <c r="CP3262" s="204" t="n"/>
      <c r="CQ3262" s="204" t="n"/>
      <c r="CR3262" s="204" t="n"/>
      <c r="CS3262" s="204" t="n"/>
      <c r="CT3262" s="204" t="n"/>
      <c r="CU3262" s="204" t="n"/>
      <c r="CV3262" s="204" t="n"/>
      <c r="CW3262" s="204" t="n"/>
    </row>
    <row r="3263">
      <c r="BF3263" s="78" t="n"/>
      <c r="BG3263" s="78" t="n"/>
      <c r="BH3263" s="78" t="n"/>
      <c r="BI3263" s="78" t="n"/>
      <c r="BJ3263" s="139" t="n"/>
      <c r="BK3263" s="204" t="n"/>
      <c r="BL3263" s="141" t="n"/>
      <c r="BM3263" s="205" t="n"/>
      <c r="BN3263" s="205" t="n"/>
      <c r="BO3263" s="206" t="n"/>
      <c r="BP3263" s="144" t="n"/>
      <c r="BQ3263" s="141" t="n"/>
      <c r="BR3263" s="207" t="n"/>
      <c r="BS3263" s="207" t="n"/>
      <c r="BT3263" s="207" t="n"/>
      <c r="BU3263" s="207" t="n"/>
      <c r="BV3263" s="208" t="n"/>
      <c r="BW3263" s="207" t="n"/>
      <c r="BX3263" s="207" t="n"/>
      <c r="BY3263" s="204" t="n"/>
      <c r="BZ3263" s="148" t="n"/>
      <c r="CA3263" s="204" t="n"/>
      <c r="CB3263" s="208" t="n"/>
      <c r="CC3263" s="139" t="n"/>
      <c r="CD3263" s="204" t="n"/>
      <c r="CE3263" s="204" t="n"/>
      <c r="CF3263" s="207" t="n"/>
      <c r="CG3263" s="208" t="n"/>
      <c r="CH3263" s="207" t="n"/>
      <c r="CI3263" s="208" t="n"/>
      <c r="CJ3263" s="204" t="n"/>
      <c r="CK3263" s="208" t="n"/>
      <c r="CL3263" s="208" t="n"/>
      <c r="CM3263" s="208" t="n"/>
      <c r="CN3263" s="78" t="n"/>
      <c r="CO3263" s="209" t="n"/>
      <c r="CP3263" s="204" t="n"/>
      <c r="CQ3263" s="204" t="n"/>
      <c r="CR3263" s="204" t="n"/>
      <c r="CS3263" s="204" t="n"/>
      <c r="CT3263" s="204" t="n"/>
      <c r="CU3263" s="204" t="n"/>
      <c r="CV3263" s="204" t="n"/>
      <c r="CW3263" s="204" t="n"/>
    </row>
    <row r="3264">
      <c r="BF3264" s="78" t="n"/>
      <c r="BG3264" s="78" t="n"/>
      <c r="BH3264" s="78" t="n"/>
      <c r="BI3264" s="78" t="n"/>
      <c r="BJ3264" s="139" t="n"/>
      <c r="BK3264" s="204" t="n"/>
      <c r="BL3264" s="141" t="n"/>
      <c r="BM3264" s="205" t="n"/>
      <c r="BN3264" s="205" t="n"/>
      <c r="BO3264" s="206" t="n"/>
      <c r="BP3264" s="144" t="n"/>
      <c r="BQ3264" s="141" t="n"/>
      <c r="BR3264" s="207" t="n"/>
      <c r="BS3264" s="207" t="n"/>
      <c r="BT3264" s="207" t="n"/>
      <c r="BU3264" s="207" t="n"/>
      <c r="BV3264" s="208" t="n"/>
      <c r="BW3264" s="207" t="n"/>
      <c r="BX3264" s="207" t="n"/>
      <c r="BY3264" s="204" t="n"/>
      <c r="BZ3264" s="148" t="n"/>
      <c r="CA3264" s="204" t="n"/>
      <c r="CB3264" s="208" t="n"/>
      <c r="CC3264" s="139" t="n"/>
      <c r="CD3264" s="204" t="n"/>
      <c r="CE3264" s="204" t="n"/>
      <c r="CF3264" s="207" t="n"/>
      <c r="CG3264" s="208" t="n"/>
      <c r="CH3264" s="207" t="n"/>
      <c r="CI3264" s="208" t="n"/>
      <c r="CJ3264" s="204" t="n"/>
      <c r="CK3264" s="208" t="n"/>
      <c r="CL3264" s="208" t="n"/>
      <c r="CM3264" s="208" t="n"/>
      <c r="CN3264" s="78" t="n"/>
      <c r="CO3264" s="209" t="n"/>
      <c r="CP3264" s="204" t="n"/>
      <c r="CQ3264" s="204" t="n"/>
      <c r="CR3264" s="204" t="n"/>
      <c r="CS3264" s="204" t="n"/>
      <c r="CT3264" s="204" t="n"/>
      <c r="CU3264" s="204" t="n"/>
      <c r="CV3264" s="204" t="n"/>
      <c r="CW3264" s="204" t="n"/>
    </row>
    <row r="3265">
      <c r="BF3265" s="78" t="n"/>
      <c r="BG3265" s="78" t="n"/>
      <c r="BH3265" s="78" t="n"/>
      <c r="BI3265" s="78" t="n"/>
      <c r="BJ3265" s="139" t="n"/>
      <c r="BK3265" s="204" t="n"/>
      <c r="BL3265" s="141" t="n"/>
      <c r="BM3265" s="205" t="n"/>
      <c r="BN3265" s="205" t="n"/>
      <c r="BO3265" s="206" t="n"/>
      <c r="BP3265" s="144" t="n"/>
      <c r="BQ3265" s="141" t="n"/>
      <c r="BR3265" s="207" t="n"/>
      <c r="BS3265" s="207" t="n"/>
      <c r="BT3265" s="207" t="n"/>
      <c r="BU3265" s="207" t="n"/>
      <c r="BV3265" s="208" t="n"/>
      <c r="BW3265" s="207" t="n"/>
      <c r="BX3265" s="207" t="n"/>
      <c r="BY3265" s="204" t="n"/>
      <c r="BZ3265" s="148" t="n"/>
      <c r="CA3265" s="204" t="n"/>
      <c r="CB3265" s="208" t="n"/>
      <c r="CC3265" s="139" t="n"/>
      <c r="CD3265" s="204" t="n"/>
      <c r="CE3265" s="204" t="n"/>
      <c r="CF3265" s="207" t="n"/>
      <c r="CG3265" s="208" t="n"/>
      <c r="CH3265" s="207" t="n"/>
      <c r="CI3265" s="208" t="n"/>
      <c r="CJ3265" s="204" t="n"/>
      <c r="CK3265" s="208" t="n"/>
      <c r="CL3265" s="208" t="n"/>
      <c r="CM3265" s="208" t="n"/>
      <c r="CN3265" s="78" t="n"/>
      <c r="CO3265" s="209" t="n"/>
      <c r="CP3265" s="204" t="n"/>
      <c r="CQ3265" s="204" t="n"/>
      <c r="CR3265" s="204" t="n"/>
      <c r="CS3265" s="204" t="n"/>
      <c r="CT3265" s="204" t="n"/>
      <c r="CU3265" s="204" t="n"/>
      <c r="CV3265" s="204" t="n"/>
      <c r="CW3265" s="204" t="n"/>
    </row>
    <row r="3266">
      <c r="BF3266" s="78" t="n"/>
      <c r="BG3266" s="78" t="n"/>
      <c r="BH3266" s="78" t="n"/>
      <c r="BI3266" s="78" t="n"/>
      <c r="BJ3266" s="139" t="n"/>
      <c r="BK3266" s="204" t="n"/>
      <c r="BL3266" s="141" t="n"/>
      <c r="BM3266" s="205" t="n"/>
      <c r="BN3266" s="205" t="n"/>
      <c r="BO3266" s="206" t="n"/>
      <c r="BP3266" s="144" t="n"/>
      <c r="BQ3266" s="141" t="n"/>
      <c r="BR3266" s="207" t="n"/>
      <c r="BS3266" s="207" t="n"/>
      <c r="BT3266" s="207" t="n"/>
      <c r="BU3266" s="207" t="n"/>
      <c r="BV3266" s="208" t="n"/>
      <c r="BW3266" s="207" t="n"/>
      <c r="BX3266" s="207" t="n"/>
      <c r="BY3266" s="204" t="n"/>
      <c r="BZ3266" s="148" t="n"/>
      <c r="CA3266" s="204" t="n"/>
      <c r="CB3266" s="208" t="n"/>
      <c r="CC3266" s="139" t="n"/>
      <c r="CD3266" s="204" t="n"/>
      <c r="CE3266" s="204" t="n"/>
      <c r="CF3266" s="207" t="n"/>
      <c r="CG3266" s="208" t="n"/>
      <c r="CH3266" s="207" t="n"/>
      <c r="CI3266" s="208" t="n"/>
      <c r="CJ3266" s="204" t="n"/>
      <c r="CK3266" s="208" t="n"/>
      <c r="CL3266" s="208" t="n"/>
      <c r="CM3266" s="208" t="n"/>
      <c r="CN3266" s="78" t="n"/>
      <c r="CO3266" s="209" t="n"/>
      <c r="CP3266" s="204" t="n"/>
      <c r="CQ3266" s="204" t="n"/>
      <c r="CR3266" s="204" t="n"/>
      <c r="CS3266" s="204" t="n"/>
      <c r="CT3266" s="204" t="n"/>
      <c r="CU3266" s="204" t="n"/>
      <c r="CV3266" s="204" t="n"/>
      <c r="CW3266" s="204" t="n"/>
    </row>
    <row r="3267">
      <c r="BF3267" s="78" t="n"/>
      <c r="BG3267" s="78" t="n"/>
      <c r="BH3267" s="78" t="n"/>
      <c r="BI3267" s="78" t="n"/>
      <c r="BJ3267" s="139" t="n"/>
      <c r="BK3267" s="204" t="n"/>
      <c r="BL3267" s="141" t="n"/>
      <c r="BM3267" s="205" t="n"/>
      <c r="BN3267" s="205" t="n"/>
      <c r="BO3267" s="206" t="n"/>
      <c r="BP3267" s="144" t="n"/>
      <c r="BQ3267" s="141" t="n"/>
      <c r="BR3267" s="207" t="n"/>
      <c r="BS3267" s="207" t="n"/>
      <c r="BT3267" s="207" t="n"/>
      <c r="BU3267" s="207" t="n"/>
      <c r="BV3267" s="208" t="n"/>
      <c r="BW3267" s="207" t="n"/>
      <c r="BX3267" s="207" t="n"/>
      <c r="BY3267" s="204" t="n"/>
      <c r="BZ3267" s="148" t="n"/>
      <c r="CA3267" s="204" t="n"/>
      <c r="CB3267" s="208" t="n"/>
      <c r="CC3267" s="139" t="n"/>
      <c r="CD3267" s="204" t="n"/>
      <c r="CE3267" s="204" t="n"/>
      <c r="CF3267" s="207" t="n"/>
      <c r="CG3267" s="208" t="n"/>
      <c r="CH3267" s="207" t="n"/>
      <c r="CI3267" s="208" t="n"/>
      <c r="CJ3267" s="204" t="n"/>
      <c r="CK3267" s="208" t="n"/>
      <c r="CL3267" s="208" t="n"/>
      <c r="CM3267" s="208" t="n"/>
      <c r="CN3267" s="78" t="n"/>
      <c r="CO3267" s="209" t="n"/>
      <c r="CP3267" s="204" t="n"/>
      <c r="CQ3267" s="204" t="n"/>
      <c r="CR3267" s="204" t="n"/>
      <c r="CS3267" s="204" t="n"/>
      <c r="CT3267" s="204" t="n"/>
      <c r="CU3267" s="204" t="n"/>
      <c r="CV3267" s="204" t="n"/>
      <c r="CW3267" s="204" t="n"/>
    </row>
    <row r="3268">
      <c r="BF3268" s="78" t="n"/>
      <c r="BG3268" s="78" t="n"/>
      <c r="BH3268" s="78" t="n"/>
      <c r="BI3268" s="78" t="n"/>
      <c r="BJ3268" s="139" t="n"/>
      <c r="BK3268" s="204" t="n"/>
      <c r="BL3268" s="141" t="n"/>
      <c r="BM3268" s="205" t="n"/>
      <c r="BN3268" s="205" t="n"/>
      <c r="BO3268" s="206" t="n"/>
      <c r="BP3268" s="144" t="n"/>
      <c r="BQ3268" s="141" t="n"/>
      <c r="BR3268" s="207" t="n"/>
      <c r="BS3268" s="207" t="n"/>
      <c r="BT3268" s="207" t="n"/>
      <c r="BU3268" s="207" t="n"/>
      <c r="BV3268" s="208" t="n"/>
      <c r="BW3268" s="207" t="n"/>
      <c r="BX3268" s="207" t="n"/>
      <c r="BY3268" s="204" t="n"/>
      <c r="BZ3268" s="148" t="n"/>
      <c r="CA3268" s="204" t="n"/>
      <c r="CB3268" s="208" t="n"/>
      <c r="CC3268" s="139" t="n"/>
      <c r="CD3268" s="204" t="n"/>
      <c r="CE3268" s="204" t="n"/>
      <c r="CF3268" s="207" t="n"/>
      <c r="CG3268" s="208" t="n"/>
      <c r="CH3268" s="207" t="n"/>
      <c r="CI3268" s="208" t="n"/>
      <c r="CJ3268" s="204" t="n"/>
      <c r="CK3268" s="208" t="n"/>
      <c r="CL3268" s="208" t="n"/>
      <c r="CM3268" s="208" t="n"/>
      <c r="CN3268" s="78" t="n"/>
      <c r="CO3268" s="209" t="n"/>
      <c r="CP3268" s="204" t="n"/>
      <c r="CQ3268" s="204" t="n"/>
      <c r="CR3268" s="204" t="n"/>
      <c r="CS3268" s="204" t="n"/>
      <c r="CT3268" s="204" t="n"/>
      <c r="CU3268" s="204" t="n"/>
      <c r="CV3268" s="204" t="n"/>
      <c r="CW3268" s="204" t="n"/>
    </row>
    <row r="3269">
      <c r="BF3269" s="78" t="n"/>
      <c r="BG3269" s="78" t="n"/>
      <c r="BH3269" s="78" t="n"/>
      <c r="BI3269" s="78" t="n"/>
      <c r="BJ3269" s="139" t="n"/>
      <c r="BK3269" s="204" t="n"/>
      <c r="BL3269" s="141" t="n"/>
      <c r="BM3269" s="205" t="n"/>
      <c r="BN3269" s="205" t="n"/>
      <c r="BO3269" s="206" t="n"/>
      <c r="BP3269" s="144" t="n"/>
      <c r="BQ3269" s="141" t="n"/>
      <c r="BR3269" s="207" t="n"/>
      <c r="BS3269" s="207" t="n"/>
      <c r="BT3269" s="207" t="n"/>
      <c r="BU3269" s="207" t="n"/>
      <c r="BV3269" s="208" t="n"/>
      <c r="BW3269" s="207" t="n"/>
      <c r="BX3269" s="207" t="n"/>
      <c r="BY3269" s="204" t="n"/>
      <c r="BZ3269" s="148" t="n"/>
      <c r="CA3269" s="204" t="n"/>
      <c r="CB3269" s="208" t="n"/>
      <c r="CC3269" s="139" t="n"/>
      <c r="CD3269" s="204" t="n"/>
      <c r="CE3269" s="204" t="n"/>
      <c r="CF3269" s="207" t="n"/>
      <c r="CG3269" s="208" t="n"/>
      <c r="CH3269" s="207" t="n"/>
      <c r="CI3269" s="208" t="n"/>
      <c r="CJ3269" s="204" t="n"/>
      <c r="CK3269" s="208" t="n"/>
      <c r="CL3269" s="208" t="n"/>
      <c r="CM3269" s="208" t="n"/>
      <c r="CN3269" s="78" t="n"/>
      <c r="CO3269" s="209" t="n"/>
      <c r="CP3269" s="204" t="n"/>
      <c r="CQ3269" s="204" t="n"/>
      <c r="CR3269" s="204" t="n"/>
      <c r="CS3269" s="204" t="n"/>
      <c r="CT3269" s="204" t="n"/>
      <c r="CU3269" s="204" t="n"/>
      <c r="CV3269" s="204" t="n"/>
      <c r="CW3269" s="204" t="n"/>
    </row>
    <row r="3270">
      <c r="BF3270" s="78" t="n"/>
      <c r="BG3270" s="78" t="n"/>
      <c r="BH3270" s="78" t="n"/>
      <c r="BI3270" s="78" t="n"/>
      <c r="BJ3270" s="139" t="n"/>
      <c r="BK3270" s="204" t="n"/>
      <c r="BL3270" s="141" t="n"/>
      <c r="BM3270" s="205" t="n"/>
      <c r="BN3270" s="205" t="n"/>
      <c r="BO3270" s="206" t="n"/>
      <c r="BP3270" s="144" t="n"/>
      <c r="BQ3270" s="141" t="n"/>
      <c r="BR3270" s="207" t="n"/>
      <c r="BS3270" s="207" t="n"/>
      <c r="BT3270" s="207" t="n"/>
      <c r="BU3270" s="207" t="n"/>
      <c r="BV3270" s="208" t="n"/>
      <c r="BW3270" s="207" t="n"/>
      <c r="BX3270" s="207" t="n"/>
      <c r="BY3270" s="204" t="n"/>
      <c r="BZ3270" s="148" t="n"/>
      <c r="CA3270" s="204" t="n"/>
      <c r="CB3270" s="208" t="n"/>
      <c r="CC3270" s="139" t="n"/>
      <c r="CD3270" s="204" t="n"/>
      <c r="CE3270" s="204" t="n"/>
      <c r="CF3270" s="207" t="n"/>
      <c r="CG3270" s="208" t="n"/>
      <c r="CH3270" s="207" t="n"/>
      <c r="CI3270" s="208" t="n"/>
      <c r="CJ3270" s="204" t="n"/>
      <c r="CK3270" s="208" t="n"/>
      <c r="CL3270" s="208" t="n"/>
      <c r="CM3270" s="208" t="n"/>
      <c r="CN3270" s="78" t="n"/>
      <c r="CO3270" s="209" t="n"/>
      <c r="CP3270" s="204" t="n"/>
      <c r="CQ3270" s="204" t="n"/>
      <c r="CR3270" s="204" t="n"/>
      <c r="CS3270" s="204" t="n"/>
      <c r="CT3270" s="204" t="n"/>
      <c r="CU3270" s="204" t="n"/>
      <c r="CV3270" s="204" t="n"/>
      <c r="CW3270" s="204" t="n"/>
    </row>
    <row r="3271">
      <c r="BF3271" s="78" t="n"/>
      <c r="BG3271" s="78" t="n"/>
      <c r="BH3271" s="78" t="n"/>
      <c r="BI3271" s="78" t="n"/>
      <c r="BJ3271" s="139" t="n"/>
      <c r="BK3271" s="204" t="n"/>
      <c r="BL3271" s="141" t="n"/>
      <c r="BM3271" s="205" t="n"/>
      <c r="BN3271" s="205" t="n"/>
      <c r="BO3271" s="206" t="n"/>
      <c r="BP3271" s="144" t="n"/>
      <c r="BQ3271" s="141" t="n"/>
      <c r="BR3271" s="207" t="n"/>
      <c r="BS3271" s="207" t="n"/>
      <c r="BT3271" s="207" t="n"/>
      <c r="BU3271" s="207" t="n"/>
      <c r="BV3271" s="208" t="n"/>
      <c r="BW3271" s="207" t="n"/>
      <c r="BX3271" s="207" t="n"/>
      <c r="BY3271" s="204" t="n"/>
      <c r="BZ3271" s="148" t="n"/>
      <c r="CA3271" s="204" t="n"/>
      <c r="CB3271" s="208" t="n"/>
      <c r="CC3271" s="139" t="n"/>
      <c r="CD3271" s="204" t="n"/>
      <c r="CE3271" s="204" t="n"/>
      <c r="CF3271" s="207" t="n"/>
      <c r="CG3271" s="208" t="n"/>
      <c r="CH3271" s="207" t="n"/>
      <c r="CI3271" s="208" t="n"/>
      <c r="CJ3271" s="204" t="n"/>
      <c r="CK3271" s="208" t="n"/>
      <c r="CL3271" s="208" t="n"/>
      <c r="CM3271" s="208" t="n"/>
      <c r="CN3271" s="78" t="n"/>
      <c r="CO3271" s="209" t="n"/>
      <c r="CP3271" s="204" t="n"/>
      <c r="CQ3271" s="204" t="n"/>
      <c r="CR3271" s="204" t="n"/>
      <c r="CS3271" s="204" t="n"/>
      <c r="CT3271" s="204" t="n"/>
      <c r="CU3271" s="204" t="n"/>
      <c r="CV3271" s="204" t="n"/>
      <c r="CW3271" s="204" t="n"/>
    </row>
    <row r="3272">
      <c r="BF3272" s="78" t="n"/>
      <c r="BG3272" s="78" t="n"/>
      <c r="BH3272" s="78" t="n"/>
      <c r="BI3272" s="78" t="n"/>
      <c r="BJ3272" s="139" t="n"/>
      <c r="BK3272" s="204" t="n"/>
      <c r="BL3272" s="141" t="n"/>
      <c r="BM3272" s="205" t="n"/>
      <c r="BN3272" s="205" t="n"/>
      <c r="BO3272" s="206" t="n"/>
      <c r="BP3272" s="144" t="n"/>
      <c r="BQ3272" s="141" t="n"/>
      <c r="BR3272" s="207" t="n"/>
      <c r="BS3272" s="207" t="n"/>
      <c r="BT3272" s="207" t="n"/>
      <c r="BU3272" s="207" t="n"/>
      <c r="BV3272" s="208" t="n"/>
      <c r="BW3272" s="207" t="n"/>
      <c r="BX3272" s="207" t="n"/>
      <c r="BY3272" s="204" t="n"/>
      <c r="BZ3272" s="148" t="n"/>
      <c r="CA3272" s="204" t="n"/>
      <c r="CB3272" s="208" t="n"/>
      <c r="CC3272" s="139" t="n"/>
      <c r="CD3272" s="204" t="n"/>
      <c r="CE3272" s="204" t="n"/>
      <c r="CF3272" s="207" t="n"/>
      <c r="CG3272" s="208" t="n"/>
      <c r="CH3272" s="207" t="n"/>
      <c r="CI3272" s="208" t="n"/>
      <c r="CJ3272" s="204" t="n"/>
      <c r="CK3272" s="208" t="n"/>
      <c r="CL3272" s="208" t="n"/>
      <c r="CM3272" s="208" t="n"/>
      <c r="CN3272" s="78" t="n"/>
      <c r="CO3272" s="209" t="n"/>
      <c r="CP3272" s="204" t="n"/>
      <c r="CQ3272" s="204" t="n"/>
      <c r="CR3272" s="204" t="n"/>
      <c r="CS3272" s="204" t="n"/>
      <c r="CT3272" s="204" t="n"/>
      <c r="CU3272" s="204" t="n"/>
      <c r="CV3272" s="204" t="n"/>
      <c r="CW3272" s="204" t="n"/>
    </row>
    <row r="3273">
      <c r="BF3273" s="78" t="n"/>
      <c r="BG3273" s="78" t="n"/>
      <c r="BH3273" s="78" t="n"/>
      <c r="BI3273" s="78" t="n"/>
      <c r="BJ3273" s="139" t="n"/>
      <c r="BK3273" s="204" t="n"/>
      <c r="BL3273" s="141" t="n"/>
      <c r="BM3273" s="205" t="n"/>
      <c r="BN3273" s="205" t="n"/>
      <c r="BO3273" s="206" t="n"/>
      <c r="BP3273" s="144" t="n"/>
      <c r="BQ3273" s="141" t="n"/>
      <c r="BR3273" s="207" t="n"/>
      <c r="BS3273" s="207" t="n"/>
      <c r="BT3273" s="207" t="n"/>
      <c r="BU3273" s="207" t="n"/>
      <c r="BV3273" s="208" t="n"/>
      <c r="BW3273" s="207" t="n"/>
      <c r="BX3273" s="207" t="n"/>
      <c r="BY3273" s="204" t="n"/>
      <c r="BZ3273" s="148" t="n"/>
      <c r="CA3273" s="204" t="n"/>
      <c r="CB3273" s="208" t="n"/>
      <c r="CC3273" s="139" t="n"/>
      <c r="CD3273" s="204" t="n"/>
      <c r="CE3273" s="204" t="n"/>
      <c r="CF3273" s="207" t="n"/>
      <c r="CG3273" s="208" t="n"/>
      <c r="CH3273" s="207" t="n"/>
      <c r="CI3273" s="208" t="n"/>
      <c r="CJ3273" s="204" t="n"/>
      <c r="CK3273" s="208" t="n"/>
      <c r="CL3273" s="208" t="n"/>
      <c r="CM3273" s="208" t="n"/>
      <c r="CN3273" s="78" t="n"/>
      <c r="CO3273" s="209" t="n"/>
      <c r="CP3273" s="204" t="n"/>
      <c r="CQ3273" s="204" t="n"/>
      <c r="CR3273" s="204" t="n"/>
      <c r="CS3273" s="204" t="n"/>
      <c r="CT3273" s="204" t="n"/>
      <c r="CU3273" s="204" t="n"/>
      <c r="CV3273" s="204" t="n"/>
      <c r="CW3273" s="204" t="n"/>
    </row>
    <row r="3274">
      <c r="BF3274" s="78" t="n"/>
      <c r="BG3274" s="78" t="n"/>
      <c r="BH3274" s="78" t="n"/>
      <c r="BI3274" s="78" t="n"/>
      <c r="BJ3274" s="139" t="n"/>
      <c r="BK3274" s="204" t="n"/>
      <c r="BL3274" s="141" t="n"/>
      <c r="BM3274" s="205" t="n"/>
      <c r="BN3274" s="205" t="n"/>
      <c r="BO3274" s="206" t="n"/>
      <c r="BP3274" s="144" t="n"/>
      <c r="BQ3274" s="141" t="n"/>
      <c r="BR3274" s="207" t="n"/>
      <c r="BS3274" s="207" t="n"/>
      <c r="BT3274" s="207" t="n"/>
      <c r="BU3274" s="207" t="n"/>
      <c r="BV3274" s="208" t="n"/>
      <c r="BW3274" s="207" t="n"/>
      <c r="BX3274" s="207" t="n"/>
      <c r="BY3274" s="204" t="n"/>
      <c r="BZ3274" s="148" t="n"/>
      <c r="CA3274" s="204" t="n"/>
      <c r="CB3274" s="208" t="n"/>
      <c r="CC3274" s="139" t="n"/>
      <c r="CD3274" s="204" t="n"/>
      <c r="CE3274" s="204" t="n"/>
      <c r="CF3274" s="207" t="n"/>
      <c r="CG3274" s="208" t="n"/>
      <c r="CH3274" s="207" t="n"/>
      <c r="CI3274" s="208" t="n"/>
      <c r="CJ3274" s="204" t="n"/>
      <c r="CK3274" s="208" t="n"/>
      <c r="CL3274" s="208" t="n"/>
      <c r="CM3274" s="208" t="n"/>
      <c r="CN3274" s="78" t="n"/>
      <c r="CO3274" s="209" t="n"/>
      <c r="CP3274" s="204" t="n"/>
      <c r="CQ3274" s="204" t="n"/>
      <c r="CR3274" s="204" t="n"/>
      <c r="CS3274" s="204" t="n"/>
      <c r="CT3274" s="204" t="n"/>
      <c r="CU3274" s="204" t="n"/>
      <c r="CV3274" s="204" t="n"/>
      <c r="CW3274" s="204" t="n"/>
    </row>
    <row r="3275">
      <c r="BF3275" s="78" t="n"/>
      <c r="BG3275" s="78" t="n"/>
      <c r="BH3275" s="78" t="n"/>
      <c r="BI3275" s="78" t="n"/>
      <c r="BJ3275" s="139" t="n"/>
      <c r="BK3275" s="204" t="n"/>
      <c r="BL3275" s="141" t="n"/>
      <c r="BM3275" s="205" t="n"/>
      <c r="BN3275" s="205" t="n"/>
      <c r="BO3275" s="206" t="n"/>
      <c r="BP3275" s="144" t="n"/>
      <c r="BQ3275" s="141" t="n"/>
      <c r="BR3275" s="207" t="n"/>
      <c r="BS3275" s="207" t="n"/>
      <c r="BT3275" s="207" t="n"/>
      <c r="BU3275" s="207" t="n"/>
      <c r="BV3275" s="208" t="n"/>
      <c r="BW3275" s="207" t="n"/>
      <c r="BX3275" s="207" t="n"/>
      <c r="BY3275" s="204" t="n"/>
      <c r="BZ3275" s="148" t="n"/>
      <c r="CA3275" s="204" t="n"/>
      <c r="CB3275" s="208" t="n"/>
      <c r="CC3275" s="139" t="n"/>
      <c r="CD3275" s="204" t="n"/>
      <c r="CE3275" s="204" t="n"/>
      <c r="CF3275" s="207" t="n"/>
      <c r="CG3275" s="208" t="n"/>
      <c r="CH3275" s="207" t="n"/>
      <c r="CI3275" s="208" t="n"/>
      <c r="CJ3275" s="204" t="n"/>
      <c r="CK3275" s="208" t="n"/>
      <c r="CL3275" s="208" t="n"/>
      <c r="CM3275" s="208" t="n"/>
      <c r="CN3275" s="78" t="n"/>
      <c r="CO3275" s="209" t="n"/>
      <c r="CP3275" s="204" t="n"/>
      <c r="CQ3275" s="204" t="n"/>
      <c r="CR3275" s="204" t="n"/>
      <c r="CS3275" s="204" t="n"/>
      <c r="CT3275" s="204" t="n"/>
      <c r="CU3275" s="204" t="n"/>
      <c r="CV3275" s="204" t="n"/>
      <c r="CW3275" s="204" t="n"/>
    </row>
    <row r="3276">
      <c r="BF3276" s="78" t="n"/>
      <c r="BG3276" s="78" t="n"/>
      <c r="BH3276" s="78" t="n"/>
      <c r="BI3276" s="78" t="n"/>
      <c r="BJ3276" s="139" t="n"/>
      <c r="BK3276" s="204" t="n"/>
      <c r="BL3276" s="141" t="n"/>
      <c r="BM3276" s="205" t="n"/>
      <c r="BN3276" s="205" t="n"/>
      <c r="BO3276" s="206" t="n"/>
      <c r="BP3276" s="144" t="n"/>
      <c r="BQ3276" s="141" t="n"/>
      <c r="BR3276" s="207" t="n"/>
      <c r="BS3276" s="207" t="n"/>
      <c r="BT3276" s="207" t="n"/>
      <c r="BU3276" s="207" t="n"/>
      <c r="BV3276" s="208" t="n"/>
      <c r="BW3276" s="207" t="n"/>
      <c r="BX3276" s="207" t="n"/>
      <c r="BY3276" s="204" t="n"/>
      <c r="BZ3276" s="148" t="n"/>
      <c r="CA3276" s="204" t="n"/>
      <c r="CB3276" s="208" t="n"/>
      <c r="CC3276" s="139" t="n"/>
      <c r="CD3276" s="204" t="n"/>
      <c r="CE3276" s="204" t="n"/>
      <c r="CF3276" s="207" t="n"/>
      <c r="CG3276" s="208" t="n"/>
      <c r="CH3276" s="207" t="n"/>
      <c r="CI3276" s="208" t="n"/>
      <c r="CJ3276" s="204" t="n"/>
      <c r="CK3276" s="208" t="n"/>
      <c r="CL3276" s="208" t="n"/>
      <c r="CM3276" s="208" t="n"/>
      <c r="CN3276" s="78" t="n"/>
      <c r="CO3276" s="209" t="n"/>
      <c r="CP3276" s="204" t="n"/>
      <c r="CQ3276" s="204" t="n"/>
      <c r="CR3276" s="204" t="n"/>
      <c r="CS3276" s="204" t="n"/>
      <c r="CT3276" s="204" t="n"/>
      <c r="CU3276" s="204" t="n"/>
      <c r="CV3276" s="204" t="n"/>
      <c r="CW3276" s="204" t="n"/>
    </row>
    <row r="3277">
      <c r="BF3277" s="78" t="n"/>
      <c r="BG3277" s="78" t="n"/>
      <c r="BH3277" s="78" t="n"/>
      <c r="BI3277" s="78" t="n"/>
      <c r="BJ3277" s="139" t="n"/>
      <c r="BK3277" s="204" t="n"/>
      <c r="BL3277" s="141" t="n"/>
      <c r="BM3277" s="205" t="n"/>
      <c r="BN3277" s="205" t="n"/>
      <c r="BO3277" s="206" t="n"/>
      <c r="BP3277" s="144" t="n"/>
      <c r="BQ3277" s="141" t="n"/>
      <c r="BR3277" s="207" t="n"/>
      <c r="BS3277" s="207" t="n"/>
      <c r="BT3277" s="207" t="n"/>
      <c r="BU3277" s="207" t="n"/>
      <c r="BV3277" s="208" t="n"/>
      <c r="BW3277" s="207" t="n"/>
      <c r="BX3277" s="207" t="n"/>
      <c r="BY3277" s="204" t="n"/>
      <c r="BZ3277" s="148" t="n"/>
      <c r="CA3277" s="204" t="n"/>
      <c r="CB3277" s="208" t="n"/>
      <c r="CC3277" s="139" t="n"/>
      <c r="CD3277" s="204" t="n"/>
      <c r="CE3277" s="204" t="n"/>
      <c r="CF3277" s="207" t="n"/>
      <c r="CG3277" s="208" t="n"/>
      <c r="CH3277" s="207" t="n"/>
      <c r="CI3277" s="208" t="n"/>
      <c r="CJ3277" s="204" t="n"/>
      <c r="CK3277" s="208" t="n"/>
      <c r="CL3277" s="208" t="n"/>
      <c r="CM3277" s="208" t="n"/>
      <c r="CN3277" s="78" t="n"/>
      <c r="CO3277" s="209" t="n"/>
      <c r="CP3277" s="204" t="n"/>
      <c r="CQ3277" s="204" t="n"/>
      <c r="CR3277" s="204" t="n"/>
      <c r="CS3277" s="204" t="n"/>
      <c r="CT3277" s="204" t="n"/>
      <c r="CU3277" s="204" t="n"/>
      <c r="CV3277" s="204" t="n"/>
      <c r="CW3277" s="204" t="n"/>
    </row>
    <row r="3278">
      <c r="BF3278" s="78" t="n"/>
      <c r="BG3278" s="78" t="n"/>
      <c r="BH3278" s="78" t="n"/>
      <c r="BI3278" s="78" t="n"/>
      <c r="BJ3278" s="139" t="n"/>
      <c r="BK3278" s="204" t="n"/>
      <c r="BL3278" s="141" t="n"/>
      <c r="BM3278" s="205" t="n"/>
      <c r="BN3278" s="205" t="n"/>
      <c r="BO3278" s="206" t="n"/>
      <c r="BP3278" s="144" t="n"/>
      <c r="BQ3278" s="141" t="n"/>
      <c r="BR3278" s="207" t="n"/>
      <c r="BS3278" s="207" t="n"/>
      <c r="BT3278" s="207" t="n"/>
      <c r="BU3278" s="207" t="n"/>
      <c r="BV3278" s="208" t="n"/>
      <c r="BW3278" s="207" t="n"/>
      <c r="BX3278" s="207" t="n"/>
      <c r="BY3278" s="204" t="n"/>
      <c r="BZ3278" s="148" t="n"/>
      <c r="CA3278" s="204" t="n"/>
      <c r="CB3278" s="208" t="n"/>
      <c r="CC3278" s="139" t="n"/>
      <c r="CD3278" s="204" t="n"/>
      <c r="CE3278" s="204" t="n"/>
      <c r="CF3278" s="207" t="n"/>
      <c r="CG3278" s="208" t="n"/>
      <c r="CH3278" s="207" t="n"/>
      <c r="CI3278" s="208" t="n"/>
      <c r="CJ3278" s="204" t="n"/>
      <c r="CK3278" s="208" t="n"/>
      <c r="CL3278" s="208" t="n"/>
      <c r="CM3278" s="208" t="n"/>
      <c r="CN3278" s="78" t="n"/>
      <c r="CO3278" s="209" t="n"/>
      <c r="CP3278" s="204" t="n"/>
      <c r="CQ3278" s="204" t="n"/>
      <c r="CR3278" s="204" t="n"/>
      <c r="CS3278" s="204" t="n"/>
      <c r="CT3278" s="204" t="n"/>
      <c r="CU3278" s="204" t="n"/>
      <c r="CV3278" s="204" t="n"/>
      <c r="CW3278" s="204" t="n"/>
    </row>
    <row r="3279">
      <c r="BF3279" s="78" t="n"/>
      <c r="BG3279" s="78" t="n"/>
      <c r="BH3279" s="78" t="n"/>
      <c r="BI3279" s="78" t="n"/>
      <c r="BJ3279" s="139" t="n"/>
      <c r="BK3279" s="204" t="n"/>
      <c r="BL3279" s="141" t="n"/>
      <c r="BM3279" s="205" t="n"/>
      <c r="BN3279" s="205" t="n"/>
      <c r="BO3279" s="206" t="n"/>
      <c r="BP3279" s="144" t="n"/>
      <c r="BQ3279" s="141" t="n"/>
      <c r="BR3279" s="207" t="n"/>
      <c r="BS3279" s="207" t="n"/>
      <c r="BT3279" s="207" t="n"/>
      <c r="BU3279" s="207" t="n"/>
      <c r="BV3279" s="208" t="n"/>
      <c r="BW3279" s="207" t="n"/>
      <c r="BX3279" s="207" t="n"/>
      <c r="BY3279" s="204" t="n"/>
      <c r="BZ3279" s="148" t="n"/>
      <c r="CA3279" s="204" t="n"/>
      <c r="CB3279" s="208" t="n"/>
      <c r="CC3279" s="139" t="n"/>
      <c r="CD3279" s="204" t="n"/>
      <c r="CE3279" s="204" t="n"/>
      <c r="CF3279" s="207" t="n"/>
      <c r="CG3279" s="208" t="n"/>
      <c r="CH3279" s="207" t="n"/>
      <c r="CI3279" s="208" t="n"/>
      <c r="CJ3279" s="204" t="n"/>
      <c r="CK3279" s="208" t="n"/>
      <c r="CL3279" s="208" t="n"/>
      <c r="CM3279" s="208" t="n"/>
      <c r="CN3279" s="78" t="n"/>
      <c r="CO3279" s="209" t="n"/>
      <c r="CP3279" s="204" t="n"/>
      <c r="CQ3279" s="204" t="n"/>
      <c r="CR3279" s="204" t="n"/>
      <c r="CS3279" s="204" t="n"/>
      <c r="CT3279" s="204" t="n"/>
      <c r="CU3279" s="204" t="n"/>
      <c r="CV3279" s="204" t="n"/>
      <c r="CW3279" s="204" t="n"/>
    </row>
    <row r="3280">
      <c r="BF3280" s="78" t="n"/>
      <c r="BG3280" s="78" t="n"/>
      <c r="BH3280" s="78" t="n"/>
      <c r="BI3280" s="78" t="n"/>
      <c r="BJ3280" s="139" t="n"/>
      <c r="BK3280" s="204" t="n"/>
      <c r="BL3280" s="141" t="n"/>
      <c r="BM3280" s="205" t="n"/>
      <c r="BN3280" s="205" t="n"/>
      <c r="BO3280" s="206" t="n"/>
      <c r="BP3280" s="144" t="n"/>
      <c r="BQ3280" s="141" t="n"/>
      <c r="BR3280" s="207" t="n"/>
      <c r="BS3280" s="207" t="n"/>
      <c r="BT3280" s="207" t="n"/>
      <c r="BU3280" s="207" t="n"/>
      <c r="BV3280" s="208" t="n"/>
      <c r="BW3280" s="207" t="n"/>
      <c r="BX3280" s="207" t="n"/>
      <c r="BY3280" s="204" t="n"/>
      <c r="BZ3280" s="148" t="n"/>
      <c r="CA3280" s="204" t="n"/>
      <c r="CB3280" s="208" t="n"/>
      <c r="CC3280" s="139" t="n"/>
      <c r="CD3280" s="204" t="n"/>
      <c r="CE3280" s="204" t="n"/>
      <c r="CF3280" s="207" t="n"/>
      <c r="CG3280" s="208" t="n"/>
      <c r="CH3280" s="207" t="n"/>
      <c r="CI3280" s="208" t="n"/>
      <c r="CJ3280" s="204" t="n"/>
      <c r="CK3280" s="208" t="n"/>
      <c r="CL3280" s="208" t="n"/>
      <c r="CM3280" s="208" t="n"/>
      <c r="CN3280" s="78" t="n"/>
      <c r="CO3280" s="209" t="n"/>
      <c r="CP3280" s="204" t="n"/>
      <c r="CQ3280" s="204" t="n"/>
      <c r="CR3280" s="204" t="n"/>
      <c r="CS3280" s="204" t="n"/>
      <c r="CT3280" s="204" t="n"/>
      <c r="CU3280" s="204" t="n"/>
      <c r="CV3280" s="204" t="n"/>
      <c r="CW3280" s="204" t="n"/>
    </row>
    <row r="3281">
      <c r="BF3281" s="78" t="n"/>
      <c r="BG3281" s="78" t="n"/>
      <c r="BH3281" s="78" t="n"/>
      <c r="BI3281" s="78" t="n"/>
      <c r="BJ3281" s="139" t="n"/>
      <c r="BK3281" s="204" t="n"/>
      <c r="BL3281" s="141" t="n"/>
      <c r="BM3281" s="205" t="n"/>
      <c r="BN3281" s="205" t="n"/>
      <c r="BO3281" s="206" t="n"/>
      <c r="BP3281" s="144" t="n"/>
      <c r="BQ3281" s="141" t="n"/>
      <c r="BR3281" s="207" t="n"/>
      <c r="BS3281" s="207" t="n"/>
      <c r="BT3281" s="207" t="n"/>
      <c r="BU3281" s="207" t="n"/>
      <c r="BV3281" s="208" t="n"/>
      <c r="BW3281" s="207" t="n"/>
      <c r="BX3281" s="207" t="n"/>
      <c r="BY3281" s="204" t="n"/>
      <c r="BZ3281" s="148" t="n"/>
      <c r="CA3281" s="204" t="n"/>
      <c r="CB3281" s="208" t="n"/>
      <c r="CC3281" s="139" t="n"/>
      <c r="CD3281" s="204" t="n"/>
      <c r="CE3281" s="204" t="n"/>
      <c r="CF3281" s="207" t="n"/>
      <c r="CG3281" s="208" t="n"/>
      <c r="CH3281" s="207" t="n"/>
      <c r="CI3281" s="208" t="n"/>
      <c r="CJ3281" s="204" t="n"/>
      <c r="CK3281" s="208" t="n"/>
      <c r="CL3281" s="208" t="n"/>
      <c r="CM3281" s="208" t="n"/>
      <c r="CN3281" s="78" t="n"/>
      <c r="CO3281" s="209" t="n"/>
      <c r="CP3281" s="204" t="n"/>
      <c r="CQ3281" s="204" t="n"/>
      <c r="CR3281" s="204" t="n"/>
      <c r="CS3281" s="204" t="n"/>
      <c r="CT3281" s="204" t="n"/>
      <c r="CU3281" s="204" t="n"/>
      <c r="CV3281" s="204" t="n"/>
      <c r="CW3281" s="204" t="n"/>
    </row>
    <row r="3282">
      <c r="BF3282" s="78" t="n"/>
      <c r="BG3282" s="78" t="n"/>
      <c r="BH3282" s="78" t="n"/>
      <c r="BI3282" s="78" t="n"/>
      <c r="BJ3282" s="139" t="n"/>
      <c r="BK3282" s="204" t="n"/>
      <c r="BL3282" s="141" t="n"/>
      <c r="BM3282" s="205" t="n"/>
      <c r="BN3282" s="205" t="n"/>
      <c r="BO3282" s="206" t="n"/>
      <c r="BP3282" s="144" t="n"/>
      <c r="BQ3282" s="141" t="n"/>
      <c r="BR3282" s="207" t="n"/>
      <c r="BS3282" s="207" t="n"/>
      <c r="BT3282" s="207" t="n"/>
      <c r="BU3282" s="207" t="n"/>
      <c r="BV3282" s="208" t="n"/>
      <c r="BW3282" s="207" t="n"/>
      <c r="BX3282" s="207" t="n"/>
      <c r="BY3282" s="204" t="n"/>
      <c r="BZ3282" s="148" t="n"/>
      <c r="CA3282" s="204" t="n"/>
      <c r="CB3282" s="208" t="n"/>
      <c r="CC3282" s="139" t="n"/>
      <c r="CD3282" s="204" t="n"/>
      <c r="CE3282" s="204" t="n"/>
      <c r="CF3282" s="207" t="n"/>
      <c r="CG3282" s="208" t="n"/>
      <c r="CH3282" s="207" t="n"/>
      <c r="CI3282" s="208" t="n"/>
      <c r="CJ3282" s="204" t="n"/>
      <c r="CK3282" s="208" t="n"/>
      <c r="CL3282" s="208" t="n"/>
      <c r="CM3282" s="208" t="n"/>
      <c r="CN3282" s="78" t="n"/>
      <c r="CO3282" s="209" t="n"/>
      <c r="CP3282" s="204" t="n"/>
      <c r="CQ3282" s="204" t="n"/>
      <c r="CR3282" s="204" t="n"/>
      <c r="CS3282" s="204" t="n"/>
      <c r="CT3282" s="204" t="n"/>
      <c r="CU3282" s="204" t="n"/>
      <c r="CV3282" s="204" t="n"/>
      <c r="CW3282" s="204" t="n"/>
    </row>
    <row r="3283">
      <c r="BF3283" s="78" t="n"/>
      <c r="BG3283" s="78" t="n"/>
      <c r="BH3283" s="78" t="n"/>
      <c r="BI3283" s="78" t="n"/>
      <c r="BJ3283" s="139" t="n"/>
      <c r="BK3283" s="204" t="n"/>
      <c r="BL3283" s="141" t="n"/>
      <c r="BM3283" s="205" t="n"/>
      <c r="BN3283" s="205" t="n"/>
      <c r="BO3283" s="206" t="n"/>
      <c r="BP3283" s="144" t="n"/>
      <c r="BQ3283" s="141" t="n"/>
      <c r="BR3283" s="207" t="n"/>
      <c r="BS3283" s="207" t="n"/>
      <c r="BT3283" s="207" t="n"/>
      <c r="BU3283" s="207" t="n"/>
      <c r="BV3283" s="208" t="n"/>
      <c r="BW3283" s="207" t="n"/>
      <c r="BX3283" s="207" t="n"/>
      <c r="BY3283" s="204" t="n"/>
      <c r="BZ3283" s="148" t="n"/>
      <c r="CA3283" s="204" t="n"/>
      <c r="CB3283" s="208" t="n"/>
      <c r="CC3283" s="139" t="n"/>
      <c r="CD3283" s="204" t="n"/>
      <c r="CE3283" s="204" t="n"/>
      <c r="CF3283" s="207" t="n"/>
      <c r="CG3283" s="208" t="n"/>
      <c r="CH3283" s="207" t="n"/>
      <c r="CI3283" s="208" t="n"/>
      <c r="CJ3283" s="204" t="n"/>
      <c r="CK3283" s="208" t="n"/>
      <c r="CL3283" s="208" t="n"/>
      <c r="CM3283" s="208" t="n"/>
      <c r="CN3283" s="78" t="n"/>
      <c r="CO3283" s="209" t="n"/>
      <c r="CP3283" s="204" t="n"/>
      <c r="CQ3283" s="204" t="n"/>
      <c r="CR3283" s="204" t="n"/>
      <c r="CS3283" s="204" t="n"/>
      <c r="CT3283" s="204" t="n"/>
      <c r="CU3283" s="204" t="n"/>
      <c r="CV3283" s="204" t="n"/>
      <c r="CW3283" s="204" t="n"/>
    </row>
    <row r="3284">
      <c r="BF3284" s="78" t="n"/>
      <c r="BG3284" s="78" t="n"/>
      <c r="BH3284" s="78" t="n"/>
      <c r="BI3284" s="78" t="n"/>
      <c r="BJ3284" s="139" t="n"/>
      <c r="BK3284" s="204" t="n"/>
      <c r="BL3284" s="141" t="n"/>
      <c r="BM3284" s="205" t="n"/>
      <c r="BN3284" s="205" t="n"/>
      <c r="BO3284" s="206" t="n"/>
      <c r="BP3284" s="144" t="n"/>
      <c r="BQ3284" s="141" t="n"/>
      <c r="BR3284" s="207" t="n"/>
      <c r="BS3284" s="207" t="n"/>
      <c r="BT3284" s="207" t="n"/>
      <c r="BU3284" s="207" t="n"/>
      <c r="BV3284" s="208" t="n"/>
      <c r="BW3284" s="207" t="n"/>
      <c r="BX3284" s="207" t="n"/>
      <c r="BY3284" s="204" t="n"/>
      <c r="BZ3284" s="148" t="n"/>
      <c r="CA3284" s="204" t="n"/>
      <c r="CB3284" s="208" t="n"/>
      <c r="CC3284" s="139" t="n"/>
      <c r="CD3284" s="204" t="n"/>
      <c r="CE3284" s="204" t="n"/>
      <c r="CF3284" s="207" t="n"/>
      <c r="CG3284" s="208" t="n"/>
      <c r="CH3284" s="207" t="n"/>
      <c r="CI3284" s="208" t="n"/>
      <c r="CJ3284" s="204" t="n"/>
      <c r="CK3284" s="208" t="n"/>
      <c r="CL3284" s="208" t="n"/>
      <c r="CM3284" s="208" t="n"/>
      <c r="CN3284" s="78" t="n"/>
      <c r="CO3284" s="209" t="n"/>
      <c r="CP3284" s="204" t="n"/>
      <c r="CQ3284" s="204" t="n"/>
      <c r="CR3284" s="204" t="n"/>
      <c r="CS3284" s="204" t="n"/>
      <c r="CT3284" s="204" t="n"/>
      <c r="CU3284" s="204" t="n"/>
      <c r="CV3284" s="204" t="n"/>
      <c r="CW3284" s="204" t="n"/>
    </row>
    <row r="3285">
      <c r="BF3285" s="78" t="n"/>
      <c r="BG3285" s="78" t="n"/>
      <c r="BH3285" s="78" t="n"/>
      <c r="BI3285" s="78" t="n"/>
      <c r="BJ3285" s="139" t="n"/>
      <c r="BK3285" s="204" t="n"/>
      <c r="BL3285" s="141" t="n"/>
      <c r="BM3285" s="205" t="n"/>
      <c r="BN3285" s="205" t="n"/>
      <c r="BO3285" s="206" t="n"/>
      <c r="BP3285" s="144" t="n"/>
      <c r="BQ3285" s="141" t="n"/>
      <c r="BR3285" s="207" t="n"/>
      <c r="BS3285" s="207" t="n"/>
      <c r="BT3285" s="207" t="n"/>
      <c r="BU3285" s="207" t="n"/>
      <c r="BV3285" s="208" t="n"/>
      <c r="BW3285" s="207" t="n"/>
      <c r="BX3285" s="207" t="n"/>
      <c r="BY3285" s="204" t="n"/>
      <c r="BZ3285" s="148" t="n"/>
      <c r="CA3285" s="204" t="n"/>
      <c r="CB3285" s="208" t="n"/>
      <c r="CC3285" s="139" t="n"/>
      <c r="CD3285" s="204" t="n"/>
      <c r="CE3285" s="204" t="n"/>
      <c r="CF3285" s="207" t="n"/>
      <c r="CG3285" s="208" t="n"/>
      <c r="CH3285" s="207" t="n"/>
      <c r="CI3285" s="208" t="n"/>
      <c r="CJ3285" s="204" t="n"/>
      <c r="CK3285" s="208" t="n"/>
      <c r="CL3285" s="208" t="n"/>
      <c r="CM3285" s="208" t="n"/>
      <c r="CN3285" s="78" t="n"/>
      <c r="CO3285" s="209" t="n"/>
      <c r="CP3285" s="204" t="n"/>
      <c r="CQ3285" s="204" t="n"/>
      <c r="CR3285" s="204" t="n"/>
      <c r="CS3285" s="204" t="n"/>
      <c r="CT3285" s="204" t="n"/>
      <c r="CU3285" s="204" t="n"/>
      <c r="CV3285" s="204" t="n"/>
      <c r="CW3285" s="204" t="n"/>
    </row>
    <row r="3286">
      <c r="BF3286" s="78" t="n"/>
      <c r="BG3286" s="78" t="n"/>
      <c r="BH3286" s="78" t="n"/>
      <c r="BI3286" s="78" t="n"/>
      <c r="BJ3286" s="139" t="n"/>
      <c r="BK3286" s="204" t="n"/>
      <c r="BL3286" s="141" t="n"/>
      <c r="BM3286" s="205" t="n"/>
      <c r="BN3286" s="205" t="n"/>
      <c r="BO3286" s="206" t="n"/>
      <c r="BP3286" s="144" t="n"/>
      <c r="BQ3286" s="141" t="n"/>
      <c r="BR3286" s="207" t="n"/>
      <c r="BS3286" s="207" t="n"/>
      <c r="BT3286" s="207" t="n"/>
      <c r="BU3286" s="207" t="n"/>
      <c r="BV3286" s="208" t="n"/>
      <c r="BW3286" s="207" t="n"/>
      <c r="BX3286" s="207" t="n"/>
      <c r="BY3286" s="204" t="n"/>
      <c r="BZ3286" s="148" t="n"/>
      <c r="CA3286" s="204" t="n"/>
      <c r="CB3286" s="208" t="n"/>
      <c r="CC3286" s="139" t="n"/>
      <c r="CD3286" s="204" t="n"/>
      <c r="CE3286" s="204" t="n"/>
      <c r="CF3286" s="207" t="n"/>
      <c r="CG3286" s="208" t="n"/>
      <c r="CH3286" s="207" t="n"/>
      <c r="CI3286" s="208" t="n"/>
      <c r="CJ3286" s="204" t="n"/>
      <c r="CK3286" s="208" t="n"/>
      <c r="CL3286" s="208" t="n"/>
      <c r="CM3286" s="208" t="n"/>
      <c r="CN3286" s="78" t="n"/>
      <c r="CO3286" s="209" t="n"/>
      <c r="CP3286" s="204" t="n"/>
      <c r="CQ3286" s="204" t="n"/>
      <c r="CR3286" s="204" t="n"/>
      <c r="CS3286" s="204" t="n"/>
      <c r="CT3286" s="204" t="n"/>
      <c r="CU3286" s="204" t="n"/>
      <c r="CV3286" s="204" t="n"/>
      <c r="CW3286" s="204" t="n"/>
    </row>
    <row r="3287">
      <c r="BF3287" s="78" t="n"/>
      <c r="BG3287" s="78" t="n"/>
      <c r="BH3287" s="78" t="n"/>
      <c r="BI3287" s="78" t="n"/>
      <c r="BJ3287" s="139" t="n"/>
      <c r="BK3287" s="204" t="n"/>
      <c r="BL3287" s="141" t="n"/>
      <c r="BM3287" s="205" t="n"/>
      <c r="BN3287" s="205" t="n"/>
      <c r="BO3287" s="206" t="n"/>
      <c r="BP3287" s="144" t="n"/>
      <c r="BQ3287" s="141" t="n"/>
      <c r="BR3287" s="207" t="n"/>
      <c r="BS3287" s="207" t="n"/>
      <c r="BT3287" s="207" t="n"/>
      <c r="BU3287" s="207" t="n"/>
      <c r="BV3287" s="208" t="n"/>
      <c r="BW3287" s="207" t="n"/>
      <c r="BX3287" s="207" t="n"/>
      <c r="BY3287" s="204" t="n"/>
      <c r="BZ3287" s="148" t="n"/>
      <c r="CA3287" s="204" t="n"/>
      <c r="CB3287" s="208" t="n"/>
      <c r="CC3287" s="139" t="n"/>
      <c r="CD3287" s="204" t="n"/>
      <c r="CE3287" s="204" t="n"/>
      <c r="CF3287" s="207" t="n"/>
      <c r="CG3287" s="208" t="n"/>
      <c r="CH3287" s="207" t="n"/>
      <c r="CI3287" s="208" t="n"/>
      <c r="CJ3287" s="204" t="n"/>
      <c r="CK3287" s="208" t="n"/>
      <c r="CL3287" s="208" t="n"/>
      <c r="CM3287" s="208" t="n"/>
      <c r="CN3287" s="78" t="n"/>
      <c r="CO3287" s="209" t="n"/>
      <c r="CP3287" s="204" t="n"/>
      <c r="CQ3287" s="204" t="n"/>
      <c r="CR3287" s="204" t="n"/>
      <c r="CS3287" s="204" t="n"/>
      <c r="CT3287" s="204" t="n"/>
      <c r="CU3287" s="204" t="n"/>
      <c r="CV3287" s="204" t="n"/>
      <c r="CW3287" s="204" t="n"/>
    </row>
    <row r="3288">
      <c r="BF3288" s="78" t="n"/>
      <c r="BG3288" s="78" t="n"/>
      <c r="BH3288" s="78" t="n"/>
      <c r="BI3288" s="78" t="n"/>
      <c r="BJ3288" s="139" t="n"/>
      <c r="BK3288" s="204" t="n"/>
      <c r="BL3288" s="141" t="n"/>
      <c r="BM3288" s="205" t="n"/>
      <c r="BN3288" s="205" t="n"/>
      <c r="BO3288" s="206" t="n"/>
      <c r="BP3288" s="144" t="n"/>
      <c r="BQ3288" s="141" t="n"/>
      <c r="BR3288" s="207" t="n"/>
      <c r="BS3288" s="207" t="n"/>
      <c r="BT3288" s="207" t="n"/>
      <c r="BU3288" s="207" t="n"/>
      <c r="BV3288" s="208" t="n"/>
      <c r="BW3288" s="207" t="n"/>
      <c r="BX3288" s="207" t="n"/>
      <c r="BY3288" s="204" t="n"/>
      <c r="BZ3288" s="148" t="n"/>
      <c r="CA3288" s="204" t="n"/>
      <c r="CB3288" s="208" t="n"/>
      <c r="CC3288" s="139" t="n"/>
      <c r="CD3288" s="204" t="n"/>
      <c r="CE3288" s="204" t="n"/>
      <c r="CF3288" s="207" t="n"/>
      <c r="CG3288" s="208" t="n"/>
      <c r="CH3288" s="207" t="n"/>
      <c r="CI3288" s="208" t="n"/>
      <c r="CJ3288" s="204" t="n"/>
      <c r="CK3288" s="208" t="n"/>
      <c r="CL3288" s="208" t="n"/>
      <c r="CM3288" s="208" t="n"/>
      <c r="CN3288" s="78" t="n"/>
      <c r="CO3288" s="209" t="n"/>
      <c r="CP3288" s="204" t="n"/>
      <c r="CQ3288" s="204" t="n"/>
      <c r="CR3288" s="204" t="n"/>
      <c r="CS3288" s="204" t="n"/>
      <c r="CT3288" s="204" t="n"/>
      <c r="CU3288" s="204" t="n"/>
      <c r="CV3288" s="204" t="n"/>
      <c r="CW3288" s="204" t="n"/>
    </row>
    <row r="3289">
      <c r="BF3289" s="78" t="n"/>
      <c r="BG3289" s="78" t="n"/>
      <c r="BH3289" s="78" t="n"/>
      <c r="BI3289" s="78" t="n"/>
      <c r="BJ3289" s="139" t="n"/>
      <c r="BK3289" s="204" t="n"/>
      <c r="BL3289" s="141" t="n"/>
      <c r="BM3289" s="205" t="n"/>
      <c r="BN3289" s="205" t="n"/>
      <c r="BO3289" s="206" t="n"/>
      <c r="BP3289" s="144" t="n"/>
      <c r="BQ3289" s="141" t="n"/>
      <c r="BR3289" s="207" t="n"/>
      <c r="BS3289" s="207" t="n"/>
      <c r="BT3289" s="207" t="n"/>
      <c r="BU3289" s="207" t="n"/>
      <c r="BV3289" s="208" t="n"/>
      <c r="BW3289" s="207" t="n"/>
      <c r="BX3289" s="207" t="n"/>
      <c r="BY3289" s="204" t="n"/>
      <c r="BZ3289" s="148" t="n"/>
      <c r="CA3289" s="204" t="n"/>
      <c r="CB3289" s="208" t="n"/>
      <c r="CC3289" s="139" t="n"/>
      <c r="CD3289" s="204" t="n"/>
      <c r="CE3289" s="204" t="n"/>
      <c r="CF3289" s="207" t="n"/>
      <c r="CG3289" s="208" t="n"/>
      <c r="CH3289" s="207" t="n"/>
      <c r="CI3289" s="208" t="n"/>
      <c r="CJ3289" s="204" t="n"/>
      <c r="CK3289" s="208" t="n"/>
      <c r="CL3289" s="208" t="n"/>
      <c r="CM3289" s="208" t="n"/>
      <c r="CN3289" s="78" t="n"/>
      <c r="CO3289" s="209" t="n"/>
      <c r="CP3289" s="204" t="n"/>
      <c r="CQ3289" s="204" t="n"/>
      <c r="CR3289" s="204" t="n"/>
      <c r="CS3289" s="204" t="n"/>
      <c r="CT3289" s="204" t="n"/>
      <c r="CU3289" s="204" t="n"/>
      <c r="CV3289" s="204" t="n"/>
      <c r="CW3289" s="204" t="n"/>
    </row>
    <row r="3290">
      <c r="BF3290" s="78" t="n"/>
      <c r="BG3290" s="78" t="n"/>
      <c r="BH3290" s="78" t="n"/>
      <c r="BI3290" s="78" t="n"/>
      <c r="BJ3290" s="139" t="n"/>
      <c r="BK3290" s="204" t="n"/>
      <c r="BL3290" s="141" t="n"/>
      <c r="BM3290" s="205" t="n"/>
      <c r="BN3290" s="205" t="n"/>
      <c r="BO3290" s="206" t="n"/>
      <c r="BP3290" s="144" t="n"/>
      <c r="BQ3290" s="141" t="n"/>
      <c r="BR3290" s="207" t="n"/>
      <c r="BS3290" s="207" t="n"/>
      <c r="BT3290" s="207" t="n"/>
      <c r="BU3290" s="207" t="n"/>
      <c r="BV3290" s="208" t="n"/>
      <c r="BW3290" s="207" t="n"/>
      <c r="BX3290" s="207" t="n"/>
      <c r="BY3290" s="204" t="n"/>
      <c r="BZ3290" s="148" t="n"/>
      <c r="CA3290" s="204" t="n"/>
      <c r="CB3290" s="208" t="n"/>
      <c r="CC3290" s="139" t="n"/>
      <c r="CD3290" s="204" t="n"/>
      <c r="CE3290" s="204" t="n"/>
      <c r="CF3290" s="207" t="n"/>
      <c r="CG3290" s="208" t="n"/>
      <c r="CH3290" s="207" t="n"/>
      <c r="CI3290" s="208" t="n"/>
      <c r="CJ3290" s="204" t="n"/>
      <c r="CK3290" s="208" t="n"/>
      <c r="CL3290" s="208" t="n"/>
      <c r="CM3290" s="208" t="n"/>
      <c r="CN3290" s="78" t="n"/>
      <c r="CO3290" s="209" t="n"/>
      <c r="CP3290" s="204" t="n"/>
      <c r="CQ3290" s="204" t="n"/>
      <c r="CR3290" s="204" t="n"/>
      <c r="CS3290" s="204" t="n"/>
      <c r="CT3290" s="204" t="n"/>
      <c r="CU3290" s="204" t="n"/>
      <c r="CV3290" s="204" t="n"/>
      <c r="CW3290" s="204" t="n"/>
    </row>
    <row r="3291">
      <c r="BF3291" s="78" t="n"/>
      <c r="BG3291" s="78" t="n"/>
      <c r="BH3291" s="78" t="n"/>
      <c r="BI3291" s="78" t="n"/>
      <c r="BJ3291" s="139" t="n"/>
      <c r="BK3291" s="204" t="n"/>
      <c r="BL3291" s="141" t="n"/>
      <c r="BM3291" s="205" t="n"/>
      <c r="BN3291" s="205" t="n"/>
      <c r="BO3291" s="206" t="n"/>
      <c r="BP3291" s="144" t="n"/>
      <c r="BQ3291" s="141" t="n"/>
      <c r="BR3291" s="207" t="n"/>
      <c r="BS3291" s="207" t="n"/>
      <c r="BT3291" s="207" t="n"/>
      <c r="BU3291" s="207" t="n"/>
      <c r="BV3291" s="208" t="n"/>
      <c r="BW3291" s="207" t="n"/>
      <c r="BX3291" s="207" t="n"/>
      <c r="BY3291" s="204" t="n"/>
      <c r="BZ3291" s="148" t="n"/>
      <c r="CA3291" s="204" t="n"/>
      <c r="CB3291" s="208" t="n"/>
      <c r="CC3291" s="139" t="n"/>
      <c r="CD3291" s="204" t="n"/>
      <c r="CE3291" s="204" t="n"/>
      <c r="CF3291" s="207" t="n"/>
      <c r="CG3291" s="208" t="n"/>
      <c r="CH3291" s="207" t="n"/>
      <c r="CI3291" s="208" t="n"/>
      <c r="CJ3291" s="204" t="n"/>
      <c r="CK3291" s="208" t="n"/>
      <c r="CL3291" s="208" t="n"/>
      <c r="CM3291" s="208" t="n"/>
      <c r="CN3291" s="78" t="n"/>
      <c r="CO3291" s="209" t="n"/>
      <c r="CP3291" s="204" t="n"/>
      <c r="CQ3291" s="204" t="n"/>
      <c r="CR3291" s="204" t="n"/>
      <c r="CS3291" s="204" t="n"/>
      <c r="CT3291" s="204" t="n"/>
      <c r="CU3291" s="204" t="n"/>
      <c r="CV3291" s="204" t="n"/>
      <c r="CW3291" s="204" t="n"/>
    </row>
    <row r="3292">
      <c r="BF3292" s="78" t="n"/>
      <c r="BG3292" s="78" t="n"/>
      <c r="BH3292" s="78" t="n"/>
      <c r="BI3292" s="78" t="n"/>
      <c r="BJ3292" s="139" t="n"/>
      <c r="BK3292" s="204" t="n"/>
      <c r="BL3292" s="141" t="n"/>
      <c r="BM3292" s="205" t="n"/>
      <c r="BN3292" s="205" t="n"/>
      <c r="BO3292" s="206" t="n"/>
      <c r="BP3292" s="144" t="n"/>
      <c r="BQ3292" s="141" t="n"/>
      <c r="BR3292" s="207" t="n"/>
      <c r="BS3292" s="207" t="n"/>
      <c r="BT3292" s="207" t="n"/>
      <c r="BU3292" s="207" t="n"/>
      <c r="BV3292" s="208" t="n"/>
      <c r="BW3292" s="207" t="n"/>
      <c r="BX3292" s="207" t="n"/>
      <c r="BY3292" s="204" t="n"/>
      <c r="BZ3292" s="148" t="n"/>
      <c r="CA3292" s="204" t="n"/>
      <c r="CB3292" s="208" t="n"/>
      <c r="CC3292" s="139" t="n"/>
      <c r="CD3292" s="204" t="n"/>
      <c r="CE3292" s="204" t="n"/>
      <c r="CF3292" s="207" t="n"/>
      <c r="CG3292" s="208" t="n"/>
      <c r="CH3292" s="207" t="n"/>
      <c r="CI3292" s="208" t="n"/>
      <c r="CJ3292" s="204" t="n"/>
      <c r="CK3292" s="208" t="n"/>
      <c r="CL3292" s="208" t="n"/>
      <c r="CM3292" s="208" t="n"/>
      <c r="CN3292" s="78" t="n"/>
      <c r="CO3292" s="209" t="n"/>
      <c r="CP3292" s="204" t="n"/>
      <c r="CQ3292" s="204" t="n"/>
      <c r="CR3292" s="204" t="n"/>
      <c r="CS3292" s="204" t="n"/>
      <c r="CT3292" s="204" t="n"/>
      <c r="CU3292" s="204" t="n"/>
      <c r="CV3292" s="204" t="n"/>
      <c r="CW3292" s="204" t="n"/>
    </row>
    <row r="3293">
      <c r="BF3293" s="78" t="n"/>
      <c r="BG3293" s="78" t="n"/>
      <c r="BH3293" s="78" t="n"/>
      <c r="BI3293" s="78" t="n"/>
      <c r="BJ3293" s="139" t="n"/>
      <c r="BK3293" s="204" t="n"/>
      <c r="BL3293" s="141" t="n"/>
      <c r="BM3293" s="205" t="n"/>
      <c r="BN3293" s="205" t="n"/>
      <c r="BO3293" s="206" t="n"/>
      <c r="BP3293" s="144" t="n"/>
      <c r="BQ3293" s="141" t="n"/>
      <c r="BR3293" s="207" t="n"/>
      <c r="BS3293" s="207" t="n"/>
      <c r="BT3293" s="207" t="n"/>
      <c r="BU3293" s="207" t="n"/>
      <c r="BV3293" s="208" t="n"/>
      <c r="BW3293" s="207" t="n"/>
      <c r="BX3293" s="207" t="n"/>
      <c r="BY3293" s="204" t="n"/>
      <c r="BZ3293" s="148" t="n"/>
      <c r="CA3293" s="204" t="n"/>
      <c r="CB3293" s="208" t="n"/>
      <c r="CC3293" s="139" t="n"/>
      <c r="CD3293" s="204" t="n"/>
      <c r="CE3293" s="204" t="n"/>
      <c r="CF3293" s="207" t="n"/>
      <c r="CG3293" s="208" t="n"/>
      <c r="CH3293" s="207" t="n"/>
      <c r="CI3293" s="208" t="n"/>
      <c r="CJ3293" s="204" t="n"/>
      <c r="CK3293" s="208" t="n"/>
      <c r="CL3293" s="208" t="n"/>
      <c r="CM3293" s="208" t="n"/>
      <c r="CN3293" s="78" t="n"/>
      <c r="CO3293" s="209" t="n"/>
      <c r="CP3293" s="204" t="n"/>
      <c r="CQ3293" s="204" t="n"/>
      <c r="CR3293" s="204" t="n"/>
      <c r="CS3293" s="204" t="n"/>
      <c r="CT3293" s="204" t="n"/>
      <c r="CU3293" s="204" t="n"/>
      <c r="CV3293" s="204" t="n"/>
      <c r="CW3293" s="204" t="n"/>
    </row>
    <row r="3294">
      <c r="BF3294" s="78" t="n"/>
      <c r="BG3294" s="78" t="n"/>
      <c r="BH3294" s="78" t="n"/>
      <c r="BI3294" s="78" t="n"/>
      <c r="BJ3294" s="139" t="n"/>
      <c r="BK3294" s="204" t="n"/>
      <c r="BL3294" s="141" t="n"/>
      <c r="BM3294" s="205" t="n"/>
      <c r="BN3294" s="205" t="n"/>
      <c r="BO3294" s="206" t="n"/>
      <c r="BP3294" s="144" t="n"/>
      <c r="BQ3294" s="141" t="n"/>
      <c r="BR3294" s="207" t="n"/>
      <c r="BS3294" s="207" t="n"/>
      <c r="BT3294" s="207" t="n"/>
      <c r="BU3294" s="207" t="n"/>
      <c r="BV3294" s="208" t="n"/>
      <c r="BW3294" s="207" t="n"/>
      <c r="BX3294" s="207" t="n"/>
      <c r="BY3294" s="204" t="n"/>
      <c r="BZ3294" s="148" t="n"/>
      <c r="CA3294" s="204" t="n"/>
      <c r="CB3294" s="208" t="n"/>
      <c r="CC3294" s="139" t="n"/>
      <c r="CD3294" s="204" t="n"/>
      <c r="CE3294" s="204" t="n"/>
      <c r="CF3294" s="207" t="n"/>
      <c r="CG3294" s="208" t="n"/>
      <c r="CH3294" s="207" t="n"/>
      <c r="CI3294" s="208" t="n"/>
      <c r="CJ3294" s="204" t="n"/>
      <c r="CK3294" s="208" t="n"/>
      <c r="CL3294" s="208" t="n"/>
      <c r="CM3294" s="208" t="n"/>
      <c r="CN3294" s="78" t="n"/>
      <c r="CO3294" s="209" t="n"/>
      <c r="CP3294" s="204" t="n"/>
      <c r="CQ3294" s="204" t="n"/>
      <c r="CR3294" s="204" t="n"/>
      <c r="CS3294" s="204" t="n"/>
      <c r="CT3294" s="204" t="n"/>
      <c r="CU3294" s="204" t="n"/>
      <c r="CV3294" s="204" t="n"/>
      <c r="CW3294" s="204" t="n"/>
    </row>
    <row r="3295">
      <c r="BF3295" s="78" t="n"/>
      <c r="BG3295" s="78" t="n"/>
      <c r="BH3295" s="78" t="n"/>
      <c r="BI3295" s="78" t="n"/>
      <c r="BJ3295" s="139" t="n"/>
      <c r="BK3295" s="204" t="n"/>
      <c r="BL3295" s="141" t="n"/>
      <c r="BM3295" s="205" t="n"/>
      <c r="BN3295" s="205" t="n"/>
      <c r="BO3295" s="206" t="n"/>
      <c r="BP3295" s="144" t="n"/>
      <c r="BQ3295" s="141" t="n"/>
      <c r="BR3295" s="207" t="n"/>
      <c r="BS3295" s="207" t="n"/>
      <c r="BT3295" s="207" t="n"/>
      <c r="BU3295" s="207" t="n"/>
      <c r="BV3295" s="208" t="n"/>
      <c r="BW3295" s="207" t="n"/>
      <c r="BX3295" s="207" t="n"/>
      <c r="BY3295" s="204" t="n"/>
      <c r="BZ3295" s="148" t="n"/>
      <c r="CA3295" s="204" t="n"/>
      <c r="CB3295" s="208" t="n"/>
      <c r="CC3295" s="139" t="n"/>
      <c r="CD3295" s="204" t="n"/>
      <c r="CE3295" s="204" t="n"/>
      <c r="CF3295" s="207" t="n"/>
      <c r="CG3295" s="208" t="n"/>
      <c r="CH3295" s="207" t="n"/>
      <c r="CI3295" s="208" t="n"/>
      <c r="CJ3295" s="204" t="n"/>
      <c r="CK3295" s="208" t="n"/>
      <c r="CL3295" s="208" t="n"/>
      <c r="CM3295" s="208" t="n"/>
      <c r="CN3295" s="78" t="n"/>
      <c r="CO3295" s="209" t="n"/>
      <c r="CP3295" s="204" t="n"/>
      <c r="CQ3295" s="204" t="n"/>
      <c r="CR3295" s="204" t="n"/>
      <c r="CS3295" s="204" t="n"/>
      <c r="CT3295" s="204" t="n"/>
      <c r="CU3295" s="204" t="n"/>
      <c r="CV3295" s="204" t="n"/>
      <c r="CW3295" s="204" t="n"/>
    </row>
    <row r="3296">
      <c r="BF3296" s="78" t="n"/>
      <c r="BG3296" s="78" t="n"/>
      <c r="BH3296" s="78" t="n"/>
      <c r="BI3296" s="78" t="n"/>
      <c r="BJ3296" s="139" t="n"/>
      <c r="BK3296" s="204" t="n"/>
      <c r="BL3296" s="141" t="n"/>
      <c r="BM3296" s="205" t="n"/>
      <c r="BN3296" s="205" t="n"/>
      <c r="BO3296" s="206" t="n"/>
      <c r="BP3296" s="144" t="n"/>
      <c r="BQ3296" s="141" t="n"/>
      <c r="BR3296" s="207" t="n"/>
      <c r="BS3296" s="207" t="n"/>
      <c r="BT3296" s="207" t="n"/>
      <c r="BU3296" s="207" t="n"/>
      <c r="BV3296" s="208" t="n"/>
      <c r="BW3296" s="207" t="n"/>
      <c r="BX3296" s="207" t="n"/>
      <c r="BY3296" s="204" t="n"/>
      <c r="BZ3296" s="148" t="n"/>
      <c r="CA3296" s="204" t="n"/>
      <c r="CB3296" s="208" t="n"/>
      <c r="CC3296" s="139" t="n"/>
      <c r="CD3296" s="204" t="n"/>
      <c r="CE3296" s="204" t="n"/>
      <c r="CF3296" s="207" t="n"/>
      <c r="CG3296" s="208" t="n"/>
      <c r="CH3296" s="207" t="n"/>
      <c r="CI3296" s="208" t="n"/>
      <c r="CJ3296" s="204" t="n"/>
      <c r="CK3296" s="208" t="n"/>
      <c r="CL3296" s="208" t="n"/>
      <c r="CM3296" s="208" t="n"/>
      <c r="CN3296" s="78" t="n"/>
      <c r="CO3296" s="209" t="n"/>
      <c r="CP3296" s="204" t="n"/>
      <c r="CQ3296" s="204" t="n"/>
      <c r="CR3296" s="204" t="n"/>
      <c r="CS3296" s="204" t="n"/>
      <c r="CT3296" s="204" t="n"/>
      <c r="CU3296" s="204" t="n"/>
      <c r="CV3296" s="204" t="n"/>
      <c r="CW3296" s="204" t="n"/>
    </row>
    <row r="3297">
      <c r="BF3297" s="78" t="n"/>
      <c r="BG3297" s="78" t="n"/>
      <c r="BH3297" s="78" t="n"/>
      <c r="BI3297" s="78" t="n"/>
      <c r="BJ3297" s="139" t="n"/>
      <c r="BK3297" s="204" t="n"/>
      <c r="BL3297" s="141" t="n"/>
      <c r="BM3297" s="205" t="n"/>
      <c r="BN3297" s="205" t="n"/>
      <c r="BO3297" s="206" t="n"/>
      <c r="BP3297" s="144" t="n"/>
      <c r="BQ3297" s="141" t="n"/>
      <c r="BR3297" s="207" t="n"/>
      <c r="BS3297" s="207" t="n"/>
      <c r="BT3297" s="207" t="n"/>
      <c r="BU3297" s="207" t="n"/>
      <c r="BV3297" s="208" t="n"/>
      <c r="BW3297" s="207" t="n"/>
      <c r="BX3297" s="207" t="n"/>
      <c r="BY3297" s="204" t="n"/>
      <c r="BZ3297" s="148" t="n"/>
      <c r="CA3297" s="204" t="n"/>
      <c r="CB3297" s="208" t="n"/>
      <c r="CC3297" s="139" t="n"/>
      <c r="CD3297" s="204" t="n"/>
      <c r="CE3297" s="204" t="n"/>
      <c r="CF3297" s="207" t="n"/>
      <c r="CG3297" s="208" t="n"/>
      <c r="CH3297" s="207" t="n"/>
      <c r="CI3297" s="208" t="n"/>
      <c r="CJ3297" s="204" t="n"/>
      <c r="CK3297" s="208" t="n"/>
      <c r="CL3297" s="208" t="n"/>
      <c r="CM3297" s="208" t="n"/>
      <c r="CN3297" s="78" t="n"/>
      <c r="CO3297" s="209" t="n"/>
      <c r="CP3297" s="204" t="n"/>
      <c r="CQ3297" s="204" t="n"/>
      <c r="CR3297" s="204" t="n"/>
      <c r="CS3297" s="204" t="n"/>
      <c r="CT3297" s="204" t="n"/>
      <c r="CU3297" s="204" t="n"/>
      <c r="CV3297" s="204" t="n"/>
      <c r="CW3297" s="204" t="n"/>
    </row>
    <row r="3298">
      <c r="BF3298" s="78" t="n"/>
      <c r="BG3298" s="78" t="n"/>
      <c r="BH3298" s="78" t="n"/>
      <c r="BI3298" s="78" t="n"/>
      <c r="BJ3298" s="139" t="n"/>
      <c r="BK3298" s="204" t="n"/>
      <c r="BL3298" s="141" t="n"/>
      <c r="BM3298" s="205" t="n"/>
      <c r="BN3298" s="205" t="n"/>
      <c r="BO3298" s="206" t="n"/>
      <c r="BP3298" s="144" t="n"/>
      <c r="BQ3298" s="141" t="n"/>
      <c r="BR3298" s="207" t="n"/>
      <c r="BS3298" s="207" t="n"/>
      <c r="BT3298" s="207" t="n"/>
      <c r="BU3298" s="207" t="n"/>
      <c r="BV3298" s="208" t="n"/>
      <c r="BW3298" s="207" t="n"/>
      <c r="BX3298" s="207" t="n"/>
      <c r="BY3298" s="204" t="n"/>
      <c r="BZ3298" s="148" t="n"/>
      <c r="CA3298" s="204" t="n"/>
      <c r="CB3298" s="208" t="n"/>
      <c r="CC3298" s="139" t="n"/>
      <c r="CD3298" s="204" t="n"/>
      <c r="CE3298" s="204" t="n"/>
      <c r="CF3298" s="207" t="n"/>
      <c r="CG3298" s="208" t="n"/>
      <c r="CH3298" s="207" t="n"/>
      <c r="CI3298" s="208" t="n"/>
      <c r="CJ3298" s="204" t="n"/>
      <c r="CK3298" s="208" t="n"/>
      <c r="CL3298" s="208" t="n"/>
      <c r="CM3298" s="208" t="n"/>
      <c r="CN3298" s="78" t="n"/>
      <c r="CO3298" s="209" t="n"/>
      <c r="CP3298" s="204" t="n"/>
      <c r="CQ3298" s="204" t="n"/>
      <c r="CR3298" s="204" t="n"/>
      <c r="CS3298" s="204" t="n"/>
      <c r="CT3298" s="204" t="n"/>
      <c r="CU3298" s="204" t="n"/>
      <c r="CV3298" s="204" t="n"/>
      <c r="CW3298" s="204" t="n"/>
    </row>
    <row r="3299">
      <c r="BF3299" s="78" t="n"/>
      <c r="BG3299" s="78" t="n"/>
      <c r="BH3299" s="78" t="n"/>
      <c r="BI3299" s="78" t="n"/>
      <c r="BJ3299" s="139" t="n"/>
      <c r="BK3299" s="204" t="n"/>
      <c r="BL3299" s="141" t="n"/>
      <c r="BM3299" s="205" t="n"/>
      <c r="BN3299" s="205" t="n"/>
      <c r="BO3299" s="206" t="n"/>
      <c r="BP3299" s="144" t="n"/>
      <c r="BQ3299" s="141" t="n"/>
      <c r="BR3299" s="207" t="n"/>
      <c r="BS3299" s="207" t="n"/>
      <c r="BT3299" s="207" t="n"/>
      <c r="BU3299" s="207" t="n"/>
      <c r="BV3299" s="208" t="n"/>
      <c r="BW3299" s="207" t="n"/>
      <c r="BX3299" s="207" t="n"/>
      <c r="BY3299" s="204" t="n"/>
      <c r="BZ3299" s="148" t="n"/>
      <c r="CA3299" s="204" t="n"/>
      <c r="CB3299" s="208" t="n"/>
      <c r="CC3299" s="139" t="n"/>
      <c r="CD3299" s="204" t="n"/>
      <c r="CE3299" s="204" t="n"/>
      <c r="CF3299" s="207" t="n"/>
      <c r="CG3299" s="208" t="n"/>
      <c r="CH3299" s="207" t="n"/>
      <c r="CI3299" s="208" t="n"/>
      <c r="CJ3299" s="204" t="n"/>
      <c r="CK3299" s="208" t="n"/>
      <c r="CL3299" s="208" t="n"/>
      <c r="CM3299" s="208" t="n"/>
      <c r="CN3299" s="78" t="n"/>
      <c r="CO3299" s="209" t="n"/>
      <c r="CP3299" s="204" t="n"/>
      <c r="CQ3299" s="204" t="n"/>
      <c r="CR3299" s="204" t="n"/>
      <c r="CS3299" s="204" t="n"/>
      <c r="CT3299" s="204" t="n"/>
      <c r="CU3299" s="204" t="n"/>
      <c r="CV3299" s="204" t="n"/>
      <c r="CW3299" s="204" t="n"/>
    </row>
    <row r="3300">
      <c r="BF3300" s="78" t="n"/>
      <c r="BG3300" s="78" t="n"/>
      <c r="BH3300" s="78" t="n"/>
      <c r="BI3300" s="78" t="n"/>
      <c r="BJ3300" s="139" t="n"/>
      <c r="BK3300" s="204" t="n"/>
      <c r="BL3300" s="141" t="n"/>
      <c r="BM3300" s="205" t="n"/>
      <c r="BN3300" s="205" t="n"/>
      <c r="BO3300" s="206" t="n"/>
      <c r="BP3300" s="144" t="n"/>
      <c r="BQ3300" s="141" t="n"/>
      <c r="BR3300" s="207" t="n"/>
      <c r="BS3300" s="207" t="n"/>
      <c r="BT3300" s="207" t="n"/>
      <c r="BU3300" s="207" t="n"/>
      <c r="BV3300" s="208" t="n"/>
      <c r="BW3300" s="207" t="n"/>
      <c r="BX3300" s="207" t="n"/>
      <c r="BY3300" s="204" t="n"/>
      <c r="BZ3300" s="148" t="n"/>
      <c r="CA3300" s="204" t="n"/>
      <c r="CB3300" s="208" t="n"/>
      <c r="CC3300" s="139" t="n"/>
      <c r="CD3300" s="204" t="n"/>
      <c r="CE3300" s="204" t="n"/>
      <c r="CF3300" s="207" t="n"/>
      <c r="CG3300" s="208" t="n"/>
      <c r="CH3300" s="207" t="n"/>
      <c r="CI3300" s="208" t="n"/>
      <c r="CJ3300" s="204" t="n"/>
      <c r="CK3300" s="208" t="n"/>
      <c r="CL3300" s="208" t="n"/>
      <c r="CM3300" s="208" t="n"/>
      <c r="CN3300" s="78" t="n"/>
      <c r="CO3300" s="209" t="n"/>
      <c r="CP3300" s="204" t="n"/>
      <c r="CQ3300" s="204" t="n"/>
      <c r="CR3300" s="204" t="n"/>
      <c r="CS3300" s="204" t="n"/>
      <c r="CT3300" s="204" t="n"/>
      <c r="CU3300" s="204" t="n"/>
      <c r="CV3300" s="204" t="n"/>
      <c r="CW3300" s="204" t="n"/>
    </row>
    <row r="3301">
      <c r="BF3301" s="78" t="n"/>
      <c r="BG3301" s="78" t="n"/>
      <c r="BH3301" s="78" t="n"/>
      <c r="BI3301" s="78" t="n"/>
      <c r="BJ3301" s="139" t="n"/>
      <c r="BK3301" s="204" t="n"/>
      <c r="BL3301" s="141" t="n"/>
      <c r="BM3301" s="205" t="n"/>
      <c r="BN3301" s="205" t="n"/>
      <c r="BO3301" s="206" t="n"/>
      <c r="BP3301" s="144" t="n"/>
      <c r="BQ3301" s="141" t="n"/>
      <c r="BR3301" s="207" t="n"/>
      <c r="BS3301" s="207" t="n"/>
      <c r="BT3301" s="207" t="n"/>
      <c r="BU3301" s="207" t="n"/>
      <c r="BV3301" s="208" t="n"/>
      <c r="BW3301" s="207" t="n"/>
      <c r="BX3301" s="207" t="n"/>
      <c r="BY3301" s="204" t="n"/>
      <c r="BZ3301" s="148" t="n"/>
      <c r="CA3301" s="204" t="n"/>
      <c r="CB3301" s="208" t="n"/>
      <c r="CC3301" s="139" t="n"/>
      <c r="CD3301" s="204" t="n"/>
      <c r="CE3301" s="204" t="n"/>
      <c r="CF3301" s="207" t="n"/>
      <c r="CG3301" s="208" t="n"/>
      <c r="CH3301" s="207" t="n"/>
      <c r="CI3301" s="208" t="n"/>
      <c r="CJ3301" s="204" t="n"/>
      <c r="CK3301" s="208" t="n"/>
      <c r="CL3301" s="208" t="n"/>
      <c r="CM3301" s="208" t="n"/>
      <c r="CN3301" s="78" t="n"/>
      <c r="CO3301" s="209" t="n"/>
      <c r="CP3301" s="204" t="n"/>
      <c r="CQ3301" s="204" t="n"/>
      <c r="CR3301" s="204" t="n"/>
      <c r="CS3301" s="204" t="n"/>
      <c r="CT3301" s="204" t="n"/>
      <c r="CU3301" s="204" t="n"/>
      <c r="CV3301" s="204" t="n"/>
      <c r="CW3301" s="204" t="n"/>
    </row>
    <row r="3302">
      <c r="BF3302" s="78" t="n"/>
      <c r="BG3302" s="78" t="n"/>
      <c r="BH3302" s="78" t="n"/>
      <c r="BI3302" s="78" t="n"/>
      <c r="BJ3302" s="139" t="n"/>
      <c r="BK3302" s="204" t="n"/>
      <c r="BL3302" s="141" t="n"/>
      <c r="BM3302" s="205" t="n"/>
      <c r="BN3302" s="205" t="n"/>
      <c r="BO3302" s="206" t="n"/>
      <c r="BP3302" s="144" t="n"/>
      <c r="BQ3302" s="141" t="n"/>
      <c r="BR3302" s="207" t="n"/>
      <c r="BS3302" s="207" t="n"/>
      <c r="BT3302" s="207" t="n"/>
      <c r="BU3302" s="207" t="n"/>
      <c r="BV3302" s="208" t="n"/>
      <c r="BW3302" s="207" t="n"/>
      <c r="BX3302" s="207" t="n"/>
      <c r="BY3302" s="204" t="n"/>
      <c r="BZ3302" s="148" t="n"/>
      <c r="CA3302" s="204" t="n"/>
      <c r="CB3302" s="208" t="n"/>
      <c r="CC3302" s="139" t="n"/>
      <c r="CD3302" s="204" t="n"/>
      <c r="CE3302" s="204" t="n"/>
      <c r="CF3302" s="207" t="n"/>
      <c r="CG3302" s="208" t="n"/>
      <c r="CH3302" s="207" t="n"/>
      <c r="CI3302" s="208" t="n"/>
      <c r="CJ3302" s="204" t="n"/>
      <c r="CK3302" s="208" t="n"/>
      <c r="CL3302" s="208" t="n"/>
      <c r="CM3302" s="208" t="n"/>
      <c r="CN3302" s="78" t="n"/>
      <c r="CO3302" s="209" t="n"/>
      <c r="CP3302" s="204" t="n"/>
      <c r="CQ3302" s="204" t="n"/>
      <c r="CR3302" s="204" t="n"/>
      <c r="CS3302" s="204" t="n"/>
      <c r="CT3302" s="204" t="n"/>
      <c r="CU3302" s="204" t="n"/>
      <c r="CV3302" s="204" t="n"/>
      <c r="CW3302" s="204" t="n"/>
    </row>
    <row r="3303">
      <c r="BF3303" s="78" t="n"/>
      <c r="BG3303" s="78" t="n"/>
      <c r="BH3303" s="78" t="n"/>
      <c r="BI3303" s="78" t="n"/>
      <c r="BJ3303" s="139" t="n"/>
      <c r="BK3303" s="204" t="n"/>
      <c r="BL3303" s="141" t="n"/>
      <c r="BM3303" s="205" t="n"/>
      <c r="BN3303" s="205" t="n"/>
      <c r="BO3303" s="206" t="n"/>
      <c r="BP3303" s="144" t="n"/>
      <c r="BQ3303" s="141" t="n"/>
      <c r="BR3303" s="207" t="n"/>
      <c r="BS3303" s="207" t="n"/>
      <c r="BT3303" s="207" t="n"/>
      <c r="BU3303" s="207" t="n"/>
      <c r="BV3303" s="208" t="n"/>
      <c r="BW3303" s="207" t="n"/>
      <c r="BX3303" s="207" t="n"/>
      <c r="BY3303" s="204" t="n"/>
      <c r="BZ3303" s="148" t="n"/>
      <c r="CA3303" s="204" t="n"/>
      <c r="CB3303" s="208" t="n"/>
      <c r="CC3303" s="139" t="n"/>
      <c r="CD3303" s="204" t="n"/>
      <c r="CE3303" s="204" t="n"/>
      <c r="CF3303" s="207" t="n"/>
      <c r="CG3303" s="208" t="n"/>
      <c r="CH3303" s="207" t="n"/>
      <c r="CI3303" s="208" t="n"/>
      <c r="CJ3303" s="204" t="n"/>
      <c r="CK3303" s="208" t="n"/>
      <c r="CL3303" s="208" t="n"/>
      <c r="CM3303" s="208" t="n"/>
      <c r="CN3303" s="78" t="n"/>
      <c r="CO3303" s="209" t="n"/>
      <c r="CP3303" s="204" t="n"/>
      <c r="CQ3303" s="204" t="n"/>
      <c r="CR3303" s="204" t="n"/>
      <c r="CS3303" s="204" t="n"/>
      <c r="CT3303" s="204" t="n"/>
      <c r="CU3303" s="204" t="n"/>
      <c r="CV3303" s="204" t="n"/>
      <c r="CW3303" s="204" t="n"/>
    </row>
    <row r="3304">
      <c r="BF3304" s="78" t="n"/>
      <c r="BG3304" s="78" t="n"/>
      <c r="BH3304" s="78" t="n"/>
      <c r="BI3304" s="78" t="n"/>
      <c r="BJ3304" s="139" t="n"/>
      <c r="BK3304" s="204" t="n"/>
      <c r="BL3304" s="141" t="n"/>
      <c r="BM3304" s="205" t="n"/>
      <c r="BN3304" s="205" t="n"/>
      <c r="BO3304" s="206" t="n"/>
      <c r="BP3304" s="144" t="n"/>
      <c r="BQ3304" s="141" t="n"/>
      <c r="BR3304" s="207" t="n"/>
      <c r="BS3304" s="207" t="n"/>
      <c r="BT3304" s="207" t="n"/>
      <c r="BU3304" s="207" t="n"/>
      <c r="BV3304" s="208" t="n"/>
      <c r="BW3304" s="207" t="n"/>
      <c r="BX3304" s="207" t="n"/>
      <c r="BY3304" s="204" t="n"/>
      <c r="BZ3304" s="148" t="n"/>
      <c r="CA3304" s="204" t="n"/>
      <c r="CB3304" s="208" t="n"/>
      <c r="CC3304" s="139" t="n"/>
      <c r="CD3304" s="204" t="n"/>
      <c r="CE3304" s="204" t="n"/>
      <c r="CF3304" s="207" t="n"/>
      <c r="CG3304" s="208" t="n"/>
      <c r="CH3304" s="207" t="n"/>
      <c r="CI3304" s="208" t="n"/>
      <c r="CJ3304" s="204" t="n"/>
      <c r="CK3304" s="208" t="n"/>
      <c r="CL3304" s="208" t="n"/>
      <c r="CM3304" s="208" t="n"/>
      <c r="CN3304" s="78" t="n"/>
      <c r="CO3304" s="209" t="n"/>
      <c r="CP3304" s="204" t="n"/>
      <c r="CQ3304" s="204" t="n"/>
      <c r="CR3304" s="204" t="n"/>
      <c r="CS3304" s="204" t="n"/>
      <c r="CT3304" s="204" t="n"/>
      <c r="CU3304" s="204" t="n"/>
      <c r="CV3304" s="204" t="n"/>
      <c r="CW3304" s="204" t="n"/>
    </row>
    <row r="3305">
      <c r="BF3305" s="78" t="n"/>
      <c r="BG3305" s="78" t="n"/>
      <c r="BH3305" s="78" t="n"/>
      <c r="BI3305" s="78" t="n"/>
      <c r="BJ3305" s="139" t="n"/>
      <c r="BK3305" s="204" t="n"/>
      <c r="BL3305" s="141" t="n"/>
      <c r="BM3305" s="205" t="n"/>
      <c r="BN3305" s="205" t="n"/>
      <c r="BO3305" s="206" t="n"/>
      <c r="BP3305" s="144" t="n"/>
      <c r="BQ3305" s="141" t="n"/>
      <c r="BR3305" s="207" t="n"/>
      <c r="BS3305" s="207" t="n"/>
      <c r="BT3305" s="207" t="n"/>
      <c r="BU3305" s="207" t="n"/>
      <c r="BV3305" s="208" t="n"/>
      <c r="BW3305" s="207" t="n"/>
      <c r="BX3305" s="207" t="n"/>
      <c r="BY3305" s="204" t="n"/>
      <c r="BZ3305" s="148" t="n"/>
      <c r="CA3305" s="204" t="n"/>
      <c r="CB3305" s="208" t="n"/>
      <c r="CC3305" s="139" t="n"/>
      <c r="CD3305" s="204" t="n"/>
      <c r="CE3305" s="204" t="n"/>
      <c r="CF3305" s="207" t="n"/>
      <c r="CG3305" s="208" t="n"/>
      <c r="CH3305" s="207" t="n"/>
      <c r="CI3305" s="208" t="n"/>
      <c r="CJ3305" s="204" t="n"/>
      <c r="CK3305" s="208" t="n"/>
      <c r="CL3305" s="208" t="n"/>
      <c r="CM3305" s="208" t="n"/>
      <c r="CN3305" s="78" t="n"/>
      <c r="CO3305" s="209" t="n"/>
      <c r="CP3305" s="204" t="n"/>
      <c r="CQ3305" s="204" t="n"/>
      <c r="CR3305" s="204" t="n"/>
      <c r="CS3305" s="204" t="n"/>
      <c r="CT3305" s="204" t="n"/>
      <c r="CU3305" s="204" t="n"/>
      <c r="CV3305" s="204" t="n"/>
      <c r="CW3305" s="204" t="n"/>
    </row>
    <row r="3306">
      <c r="BF3306" s="78" t="n"/>
      <c r="BG3306" s="78" t="n"/>
      <c r="BH3306" s="78" t="n"/>
      <c r="BI3306" s="78" t="n"/>
      <c r="BJ3306" s="139" t="n"/>
      <c r="BK3306" s="204" t="n"/>
      <c r="BL3306" s="141" t="n"/>
      <c r="BM3306" s="205" t="n"/>
      <c r="BN3306" s="205" t="n"/>
      <c r="BO3306" s="206" t="n"/>
      <c r="BP3306" s="144" t="n"/>
      <c r="BQ3306" s="141" t="n"/>
      <c r="BR3306" s="207" t="n"/>
      <c r="BS3306" s="207" t="n"/>
      <c r="BT3306" s="207" t="n"/>
      <c r="BU3306" s="207" t="n"/>
      <c r="BV3306" s="208" t="n"/>
      <c r="BW3306" s="207" t="n"/>
      <c r="BX3306" s="207" t="n"/>
      <c r="BY3306" s="204" t="n"/>
      <c r="BZ3306" s="148" t="n"/>
      <c r="CA3306" s="204" t="n"/>
      <c r="CB3306" s="208" t="n"/>
      <c r="CC3306" s="139" t="n"/>
      <c r="CD3306" s="204" t="n"/>
      <c r="CE3306" s="204" t="n"/>
      <c r="CF3306" s="207" t="n"/>
      <c r="CG3306" s="208" t="n"/>
      <c r="CH3306" s="207" t="n"/>
      <c r="CI3306" s="208" t="n"/>
      <c r="CJ3306" s="204" t="n"/>
      <c r="CK3306" s="208" t="n"/>
      <c r="CL3306" s="208" t="n"/>
      <c r="CM3306" s="208" t="n"/>
      <c r="CN3306" s="78" t="n"/>
      <c r="CO3306" s="209" t="n"/>
      <c r="CP3306" s="204" t="n"/>
      <c r="CQ3306" s="204" t="n"/>
      <c r="CR3306" s="204" t="n"/>
      <c r="CS3306" s="204" t="n"/>
      <c r="CT3306" s="204" t="n"/>
      <c r="CU3306" s="204" t="n"/>
      <c r="CV3306" s="204" t="n"/>
      <c r="CW3306" s="204" t="n"/>
    </row>
    <row r="3307">
      <c r="BF3307" s="78" t="n"/>
      <c r="BG3307" s="78" t="n"/>
      <c r="BH3307" s="78" t="n"/>
      <c r="BI3307" s="78" t="n"/>
      <c r="BJ3307" s="139" t="n"/>
      <c r="BK3307" s="204" t="n"/>
      <c r="BL3307" s="141" t="n"/>
      <c r="BM3307" s="205" t="n"/>
      <c r="BN3307" s="205" t="n"/>
      <c r="BO3307" s="206" t="n"/>
      <c r="BP3307" s="144" t="n"/>
      <c r="BQ3307" s="141" t="n"/>
      <c r="BR3307" s="207" t="n"/>
      <c r="BS3307" s="207" t="n"/>
      <c r="BT3307" s="207" t="n"/>
      <c r="BU3307" s="207" t="n"/>
      <c r="BV3307" s="208" t="n"/>
      <c r="BW3307" s="207" t="n"/>
      <c r="BX3307" s="207" t="n"/>
      <c r="BY3307" s="204" t="n"/>
      <c r="BZ3307" s="148" t="n"/>
      <c r="CA3307" s="204" t="n"/>
      <c r="CB3307" s="208" t="n"/>
      <c r="CC3307" s="139" t="n"/>
      <c r="CD3307" s="204" t="n"/>
      <c r="CE3307" s="204" t="n"/>
      <c r="CF3307" s="207" t="n"/>
      <c r="CG3307" s="208" t="n"/>
      <c r="CH3307" s="207" t="n"/>
      <c r="CI3307" s="208" t="n"/>
      <c r="CJ3307" s="204" t="n"/>
      <c r="CK3307" s="208" t="n"/>
      <c r="CL3307" s="208" t="n"/>
      <c r="CM3307" s="208" t="n"/>
      <c r="CN3307" s="78" t="n"/>
      <c r="CO3307" s="209" t="n"/>
      <c r="CP3307" s="204" t="n"/>
      <c r="CQ3307" s="204" t="n"/>
      <c r="CR3307" s="204" t="n"/>
      <c r="CS3307" s="204" t="n"/>
      <c r="CT3307" s="204" t="n"/>
      <c r="CU3307" s="204" t="n"/>
      <c r="CV3307" s="204" t="n"/>
      <c r="CW3307" s="204" t="n"/>
    </row>
    <row r="3308">
      <c r="BF3308" s="78" t="n"/>
      <c r="BG3308" s="78" t="n"/>
      <c r="BH3308" s="78" t="n"/>
      <c r="BI3308" s="78" t="n"/>
      <c r="BJ3308" s="139" t="n"/>
      <c r="BK3308" s="204" t="n"/>
      <c r="BL3308" s="141" t="n"/>
      <c r="BM3308" s="205" t="n"/>
      <c r="BN3308" s="205" t="n"/>
      <c r="BO3308" s="206" t="n"/>
      <c r="BP3308" s="144" t="n"/>
      <c r="BQ3308" s="141" t="n"/>
      <c r="BR3308" s="207" t="n"/>
      <c r="BS3308" s="207" t="n"/>
      <c r="BT3308" s="207" t="n"/>
      <c r="BU3308" s="207" t="n"/>
      <c r="BV3308" s="208" t="n"/>
      <c r="BW3308" s="207" t="n"/>
      <c r="BX3308" s="207" t="n"/>
      <c r="BY3308" s="204" t="n"/>
      <c r="BZ3308" s="148" t="n"/>
      <c r="CA3308" s="204" t="n"/>
      <c r="CB3308" s="208" t="n"/>
      <c r="CC3308" s="139" t="n"/>
      <c r="CD3308" s="204" t="n"/>
      <c r="CE3308" s="204" t="n"/>
      <c r="CF3308" s="207" t="n"/>
      <c r="CG3308" s="208" t="n"/>
      <c r="CH3308" s="207" t="n"/>
      <c r="CI3308" s="208" t="n"/>
      <c r="CJ3308" s="204" t="n"/>
      <c r="CK3308" s="208" t="n"/>
      <c r="CL3308" s="208" t="n"/>
      <c r="CM3308" s="208" t="n"/>
      <c r="CN3308" s="78" t="n"/>
      <c r="CO3308" s="209" t="n"/>
      <c r="CP3308" s="204" t="n"/>
      <c r="CQ3308" s="204" t="n"/>
      <c r="CR3308" s="204" t="n"/>
      <c r="CS3308" s="204" t="n"/>
      <c r="CT3308" s="204" t="n"/>
      <c r="CU3308" s="204" t="n"/>
      <c r="CV3308" s="204" t="n"/>
      <c r="CW3308" s="204" t="n"/>
    </row>
    <row r="3309">
      <c r="BF3309" s="78" t="n"/>
      <c r="BG3309" s="78" t="n"/>
      <c r="BH3309" s="78" t="n"/>
      <c r="BI3309" s="78" t="n"/>
      <c r="BJ3309" s="139" t="n"/>
      <c r="BK3309" s="204" t="n"/>
      <c r="BL3309" s="141" t="n"/>
      <c r="BM3309" s="205" t="n"/>
      <c r="BN3309" s="205" t="n"/>
      <c r="BO3309" s="206" t="n"/>
      <c r="BP3309" s="144" t="n"/>
      <c r="BQ3309" s="141" t="n"/>
      <c r="BR3309" s="207" t="n"/>
      <c r="BS3309" s="207" t="n"/>
      <c r="BT3309" s="207" t="n"/>
      <c r="BU3309" s="207" t="n"/>
      <c r="BV3309" s="208" t="n"/>
      <c r="BW3309" s="207" t="n"/>
      <c r="BX3309" s="207" t="n"/>
      <c r="BY3309" s="204" t="n"/>
      <c r="BZ3309" s="148" t="n"/>
      <c r="CA3309" s="204" t="n"/>
      <c r="CB3309" s="208" t="n"/>
      <c r="CC3309" s="139" t="n"/>
      <c r="CD3309" s="204" t="n"/>
      <c r="CE3309" s="204" t="n"/>
      <c r="CF3309" s="207" t="n"/>
      <c r="CG3309" s="208" t="n"/>
      <c r="CH3309" s="207" t="n"/>
      <c r="CI3309" s="208" t="n"/>
      <c r="CJ3309" s="204" t="n"/>
      <c r="CK3309" s="208" t="n"/>
      <c r="CL3309" s="208" t="n"/>
      <c r="CM3309" s="208" t="n"/>
      <c r="CN3309" s="78" t="n"/>
      <c r="CO3309" s="209" t="n"/>
      <c r="CP3309" s="204" t="n"/>
      <c r="CQ3309" s="204" t="n"/>
      <c r="CR3309" s="204" t="n"/>
      <c r="CS3309" s="204" t="n"/>
      <c r="CT3309" s="204" t="n"/>
      <c r="CU3309" s="204" t="n"/>
      <c r="CV3309" s="204" t="n"/>
      <c r="CW3309" s="204" t="n"/>
    </row>
    <row r="3310">
      <c r="BF3310" s="78" t="n"/>
      <c r="BG3310" s="78" t="n"/>
      <c r="BH3310" s="78" t="n"/>
      <c r="BI3310" s="78" t="n"/>
      <c r="BJ3310" s="139" t="n"/>
      <c r="BK3310" s="204" t="n"/>
      <c r="BL3310" s="141" t="n"/>
      <c r="BM3310" s="205" t="n"/>
      <c r="BN3310" s="205" t="n"/>
      <c r="BO3310" s="206" t="n"/>
      <c r="BP3310" s="144" t="n"/>
      <c r="BQ3310" s="141" t="n"/>
      <c r="BR3310" s="207" t="n"/>
      <c r="BS3310" s="207" t="n"/>
      <c r="BT3310" s="207" t="n"/>
      <c r="BU3310" s="207" t="n"/>
      <c r="BV3310" s="208" t="n"/>
      <c r="BW3310" s="207" t="n"/>
      <c r="BX3310" s="207" t="n"/>
      <c r="BY3310" s="204" t="n"/>
      <c r="BZ3310" s="148" t="n"/>
      <c r="CA3310" s="204" t="n"/>
      <c r="CB3310" s="208" t="n"/>
      <c r="CC3310" s="139" t="n"/>
      <c r="CD3310" s="204" t="n"/>
      <c r="CE3310" s="204" t="n"/>
      <c r="CF3310" s="207" t="n"/>
      <c r="CG3310" s="208" t="n"/>
      <c r="CH3310" s="207" t="n"/>
      <c r="CI3310" s="208" t="n"/>
      <c r="CJ3310" s="204" t="n"/>
      <c r="CK3310" s="208" t="n"/>
      <c r="CL3310" s="208" t="n"/>
      <c r="CM3310" s="208" t="n"/>
      <c r="CN3310" s="78" t="n"/>
      <c r="CO3310" s="209" t="n"/>
      <c r="CP3310" s="204" t="n"/>
      <c r="CQ3310" s="204" t="n"/>
      <c r="CR3310" s="204" t="n"/>
      <c r="CS3310" s="204" t="n"/>
      <c r="CT3310" s="204" t="n"/>
      <c r="CU3310" s="204" t="n"/>
      <c r="CV3310" s="204" t="n"/>
      <c r="CW3310" s="204" t="n"/>
    </row>
    <row r="3311">
      <c r="BF3311" s="78" t="n"/>
      <c r="BG3311" s="78" t="n"/>
      <c r="BH3311" s="78" t="n"/>
      <c r="BI3311" s="78" t="n"/>
      <c r="BJ3311" s="139" t="n"/>
      <c r="BK3311" s="204" t="n"/>
      <c r="BL3311" s="141" t="n"/>
      <c r="BM3311" s="205" t="n"/>
      <c r="BN3311" s="205" t="n"/>
      <c r="BO3311" s="206" t="n"/>
      <c r="BP3311" s="144" t="n"/>
      <c r="BQ3311" s="141" t="n"/>
      <c r="BR3311" s="207" t="n"/>
      <c r="BS3311" s="207" t="n"/>
      <c r="BT3311" s="207" t="n"/>
      <c r="BU3311" s="207" t="n"/>
      <c r="BV3311" s="208" t="n"/>
      <c r="BW3311" s="207" t="n"/>
      <c r="BX3311" s="207" t="n"/>
      <c r="BY3311" s="204" t="n"/>
      <c r="BZ3311" s="148" t="n"/>
      <c r="CA3311" s="204" t="n"/>
      <c r="CB3311" s="208" t="n"/>
      <c r="CC3311" s="139" t="n"/>
      <c r="CD3311" s="204" t="n"/>
      <c r="CE3311" s="204" t="n"/>
      <c r="CF3311" s="207" t="n"/>
      <c r="CG3311" s="208" t="n"/>
      <c r="CH3311" s="207" t="n"/>
      <c r="CI3311" s="208" t="n"/>
      <c r="CJ3311" s="204" t="n"/>
      <c r="CK3311" s="208" t="n"/>
      <c r="CL3311" s="208" t="n"/>
      <c r="CM3311" s="208" t="n"/>
      <c r="CN3311" s="78" t="n"/>
      <c r="CO3311" s="209" t="n"/>
      <c r="CP3311" s="204" t="n"/>
      <c r="CQ3311" s="204" t="n"/>
      <c r="CR3311" s="204" t="n"/>
      <c r="CS3311" s="204" t="n"/>
      <c r="CT3311" s="204" t="n"/>
      <c r="CU3311" s="204" t="n"/>
      <c r="CV3311" s="204" t="n"/>
      <c r="CW3311" s="204" t="n"/>
    </row>
    <row r="3312">
      <c r="BF3312" s="78" t="n"/>
      <c r="BG3312" s="78" t="n"/>
      <c r="BH3312" s="78" t="n"/>
      <c r="BI3312" s="78" t="n"/>
      <c r="BJ3312" s="139" t="n"/>
      <c r="BK3312" s="204" t="n"/>
      <c r="BL3312" s="141" t="n"/>
      <c r="BM3312" s="205" t="n"/>
      <c r="BN3312" s="205" t="n"/>
      <c r="BO3312" s="206" t="n"/>
      <c r="BP3312" s="144" t="n"/>
      <c r="BQ3312" s="141" t="n"/>
      <c r="BR3312" s="207" t="n"/>
      <c r="BS3312" s="207" t="n"/>
      <c r="BT3312" s="207" t="n"/>
      <c r="BU3312" s="207" t="n"/>
      <c r="BV3312" s="208" t="n"/>
      <c r="BW3312" s="207" t="n"/>
      <c r="BX3312" s="207" t="n"/>
      <c r="BY3312" s="204" t="n"/>
      <c r="BZ3312" s="148" t="n"/>
      <c r="CA3312" s="204" t="n"/>
      <c r="CB3312" s="208" t="n"/>
      <c r="CC3312" s="139" t="n"/>
      <c r="CD3312" s="204" t="n"/>
      <c r="CE3312" s="204" t="n"/>
      <c r="CF3312" s="207" t="n"/>
      <c r="CG3312" s="208" t="n"/>
      <c r="CH3312" s="207" t="n"/>
      <c r="CI3312" s="208" t="n"/>
      <c r="CJ3312" s="204" t="n"/>
      <c r="CK3312" s="208" t="n"/>
      <c r="CL3312" s="208" t="n"/>
      <c r="CM3312" s="208" t="n"/>
      <c r="CN3312" s="78" t="n"/>
      <c r="CO3312" s="209" t="n"/>
      <c r="CP3312" s="204" t="n"/>
      <c r="CQ3312" s="204" t="n"/>
      <c r="CR3312" s="204" t="n"/>
      <c r="CS3312" s="204" t="n"/>
      <c r="CT3312" s="204" t="n"/>
      <c r="CU3312" s="204" t="n"/>
      <c r="CV3312" s="204" t="n"/>
      <c r="CW3312" s="204" t="n"/>
    </row>
    <row r="3313">
      <c r="BF3313" s="78" t="n"/>
      <c r="BG3313" s="78" t="n"/>
      <c r="BH3313" s="78" t="n"/>
      <c r="BI3313" s="78" t="n"/>
      <c r="BJ3313" s="139" t="n"/>
      <c r="BK3313" s="204" t="n"/>
      <c r="BL3313" s="141" t="n"/>
      <c r="BM3313" s="205" t="n"/>
      <c r="BN3313" s="205" t="n"/>
      <c r="BO3313" s="206" t="n"/>
      <c r="BP3313" s="144" t="n"/>
      <c r="BQ3313" s="141" t="n"/>
      <c r="BR3313" s="207" t="n"/>
      <c r="BS3313" s="207" t="n"/>
      <c r="BT3313" s="207" t="n"/>
      <c r="BU3313" s="207" t="n"/>
      <c r="BV3313" s="208" t="n"/>
      <c r="BW3313" s="207" t="n"/>
      <c r="BX3313" s="207" t="n"/>
      <c r="BY3313" s="204" t="n"/>
      <c r="BZ3313" s="148" t="n"/>
      <c r="CA3313" s="204" t="n"/>
      <c r="CB3313" s="208" t="n"/>
      <c r="CC3313" s="139" t="n"/>
      <c r="CD3313" s="204" t="n"/>
      <c r="CE3313" s="204" t="n"/>
      <c r="CF3313" s="207" t="n"/>
      <c r="CG3313" s="208" t="n"/>
      <c r="CH3313" s="207" t="n"/>
      <c r="CI3313" s="208" t="n"/>
      <c r="CJ3313" s="204" t="n"/>
      <c r="CK3313" s="208" t="n"/>
      <c r="CL3313" s="208" t="n"/>
      <c r="CM3313" s="208" t="n"/>
      <c r="CN3313" s="78" t="n"/>
      <c r="CO3313" s="209" t="n"/>
      <c r="CP3313" s="204" t="n"/>
      <c r="CQ3313" s="204" t="n"/>
      <c r="CR3313" s="204" t="n"/>
      <c r="CS3313" s="204" t="n"/>
      <c r="CT3313" s="204" t="n"/>
      <c r="CU3313" s="204" t="n"/>
      <c r="CV3313" s="204" t="n"/>
      <c r="CW3313" s="204" t="n"/>
    </row>
    <row r="3314">
      <c r="BF3314" s="78" t="n"/>
      <c r="BG3314" s="78" t="n"/>
      <c r="BH3314" s="78" t="n"/>
      <c r="BI3314" s="78" t="n"/>
      <c r="BJ3314" s="139" t="n"/>
      <c r="BK3314" s="204" t="n"/>
      <c r="BL3314" s="141" t="n"/>
      <c r="BM3314" s="205" t="n"/>
      <c r="BN3314" s="205" t="n"/>
      <c r="BO3314" s="206" t="n"/>
      <c r="BP3314" s="144" t="n"/>
      <c r="BQ3314" s="141" t="n"/>
      <c r="BR3314" s="207" t="n"/>
      <c r="BS3314" s="207" t="n"/>
      <c r="BT3314" s="207" t="n"/>
      <c r="BU3314" s="207" t="n"/>
      <c r="BV3314" s="208" t="n"/>
      <c r="BW3314" s="207" t="n"/>
      <c r="BX3314" s="207" t="n"/>
      <c r="BY3314" s="204" t="n"/>
      <c r="BZ3314" s="148" t="n"/>
      <c r="CA3314" s="204" t="n"/>
      <c r="CB3314" s="208" t="n"/>
      <c r="CC3314" s="139" t="n"/>
      <c r="CD3314" s="204" t="n"/>
      <c r="CE3314" s="204" t="n"/>
      <c r="CF3314" s="207" t="n"/>
      <c r="CG3314" s="208" t="n"/>
      <c r="CH3314" s="207" t="n"/>
      <c r="CI3314" s="208" t="n"/>
      <c r="CJ3314" s="204" t="n"/>
      <c r="CK3314" s="208" t="n"/>
      <c r="CL3314" s="208" t="n"/>
      <c r="CM3314" s="208" t="n"/>
      <c r="CN3314" s="78" t="n"/>
      <c r="CO3314" s="209" t="n"/>
      <c r="CP3314" s="204" t="n"/>
      <c r="CQ3314" s="204" t="n"/>
      <c r="CR3314" s="204" t="n"/>
      <c r="CS3314" s="204" t="n"/>
      <c r="CT3314" s="204" t="n"/>
      <c r="CU3314" s="204" t="n"/>
      <c r="CV3314" s="204" t="n"/>
      <c r="CW3314" s="204" t="n"/>
    </row>
    <row r="3315">
      <c r="BF3315" s="78" t="n"/>
      <c r="BG3315" s="78" t="n"/>
      <c r="BH3315" s="78" t="n"/>
      <c r="BI3315" s="78" t="n"/>
      <c r="BJ3315" s="139" t="n"/>
      <c r="BK3315" s="204" t="n"/>
      <c r="BL3315" s="141" t="n"/>
      <c r="BM3315" s="205" t="n"/>
      <c r="BN3315" s="205" t="n"/>
      <c r="BO3315" s="206" t="n"/>
      <c r="BP3315" s="144" t="n"/>
      <c r="BQ3315" s="141" t="n"/>
      <c r="BR3315" s="207" t="n"/>
      <c r="BS3315" s="207" t="n"/>
      <c r="BT3315" s="207" t="n"/>
      <c r="BU3315" s="207" t="n"/>
      <c r="BV3315" s="208" t="n"/>
      <c r="BW3315" s="207" t="n"/>
      <c r="BX3315" s="207" t="n"/>
      <c r="BY3315" s="204" t="n"/>
      <c r="BZ3315" s="148" t="n"/>
      <c r="CA3315" s="204" t="n"/>
      <c r="CB3315" s="208" t="n"/>
      <c r="CC3315" s="139" t="n"/>
      <c r="CD3315" s="204" t="n"/>
      <c r="CE3315" s="204" t="n"/>
      <c r="CF3315" s="207" t="n"/>
      <c r="CG3315" s="208" t="n"/>
      <c r="CH3315" s="207" t="n"/>
      <c r="CI3315" s="208" t="n"/>
      <c r="CJ3315" s="204" t="n"/>
      <c r="CK3315" s="208" t="n"/>
      <c r="CL3315" s="208" t="n"/>
      <c r="CM3315" s="208" t="n"/>
      <c r="CN3315" s="78" t="n"/>
      <c r="CO3315" s="209" t="n"/>
      <c r="CP3315" s="204" t="n"/>
      <c r="CQ3315" s="204" t="n"/>
      <c r="CR3315" s="204" t="n"/>
      <c r="CS3315" s="204" t="n"/>
      <c r="CT3315" s="204" t="n"/>
      <c r="CU3315" s="204" t="n"/>
      <c r="CV3315" s="204" t="n"/>
      <c r="CW3315" s="204" t="n"/>
    </row>
    <row r="3316">
      <c r="BF3316" s="78" t="n"/>
      <c r="BG3316" s="78" t="n"/>
      <c r="BH3316" s="78" t="n"/>
      <c r="BI3316" s="78" t="n"/>
      <c r="BJ3316" s="139" t="n"/>
      <c r="BK3316" s="204" t="n"/>
      <c r="BL3316" s="141" t="n"/>
      <c r="BM3316" s="205" t="n"/>
      <c r="BN3316" s="205" t="n"/>
      <c r="BO3316" s="206" t="n"/>
      <c r="BP3316" s="144" t="n"/>
      <c r="BQ3316" s="141" t="n"/>
      <c r="BR3316" s="207" t="n"/>
      <c r="BS3316" s="207" t="n"/>
      <c r="BT3316" s="207" t="n"/>
      <c r="BU3316" s="207" t="n"/>
      <c r="BV3316" s="208" t="n"/>
      <c r="BW3316" s="207" t="n"/>
      <c r="BX3316" s="207" t="n"/>
      <c r="BY3316" s="204" t="n"/>
      <c r="BZ3316" s="148" t="n"/>
      <c r="CA3316" s="204" t="n"/>
      <c r="CB3316" s="208" t="n"/>
      <c r="CC3316" s="139" t="n"/>
      <c r="CD3316" s="204" t="n"/>
      <c r="CE3316" s="204" t="n"/>
      <c r="CF3316" s="207" t="n"/>
      <c r="CG3316" s="208" t="n"/>
      <c r="CH3316" s="207" t="n"/>
      <c r="CI3316" s="208" t="n"/>
      <c r="CJ3316" s="204" t="n"/>
      <c r="CK3316" s="208" t="n"/>
      <c r="CL3316" s="208" t="n"/>
      <c r="CM3316" s="208" t="n"/>
      <c r="CN3316" s="78" t="n"/>
      <c r="CO3316" s="209" t="n"/>
      <c r="CP3316" s="204" t="n"/>
      <c r="CQ3316" s="204" t="n"/>
      <c r="CR3316" s="204" t="n"/>
      <c r="CS3316" s="204" t="n"/>
      <c r="CT3316" s="204" t="n"/>
      <c r="CU3316" s="204" t="n"/>
      <c r="CV3316" s="204" t="n"/>
      <c r="CW3316" s="204" t="n"/>
    </row>
    <row r="3317">
      <c r="BF3317" s="78" t="n"/>
      <c r="BG3317" s="78" t="n"/>
      <c r="BH3317" s="78" t="n"/>
      <c r="BI3317" s="78" t="n"/>
      <c r="BJ3317" s="139" t="n"/>
      <c r="BK3317" s="204" t="n"/>
      <c r="BL3317" s="141" t="n"/>
      <c r="BM3317" s="205" t="n"/>
      <c r="BN3317" s="205" t="n"/>
      <c r="BO3317" s="206" t="n"/>
      <c r="BP3317" s="144" t="n"/>
      <c r="BQ3317" s="141" t="n"/>
      <c r="BR3317" s="207" t="n"/>
      <c r="BS3317" s="207" t="n"/>
      <c r="BT3317" s="207" t="n"/>
      <c r="BU3317" s="207" t="n"/>
      <c r="BV3317" s="208" t="n"/>
      <c r="BW3317" s="207" t="n"/>
      <c r="BX3317" s="207" t="n"/>
      <c r="BY3317" s="204" t="n"/>
      <c r="BZ3317" s="148" t="n"/>
      <c r="CA3317" s="204" t="n"/>
      <c r="CB3317" s="208" t="n"/>
      <c r="CC3317" s="139" t="n"/>
      <c r="CD3317" s="204" t="n"/>
      <c r="CE3317" s="204" t="n"/>
      <c r="CF3317" s="207" t="n"/>
      <c r="CG3317" s="208" t="n"/>
      <c r="CH3317" s="207" t="n"/>
      <c r="CI3317" s="208" t="n"/>
      <c r="CJ3317" s="204" t="n"/>
      <c r="CK3317" s="208" t="n"/>
      <c r="CL3317" s="208" t="n"/>
      <c r="CM3317" s="208" t="n"/>
      <c r="CN3317" s="78" t="n"/>
      <c r="CO3317" s="209" t="n"/>
      <c r="CP3317" s="204" t="n"/>
      <c r="CQ3317" s="204" t="n"/>
      <c r="CR3317" s="204" t="n"/>
      <c r="CS3317" s="204" t="n"/>
      <c r="CT3317" s="204" t="n"/>
      <c r="CU3317" s="204" t="n"/>
      <c r="CV3317" s="204" t="n"/>
      <c r="CW3317" s="204" t="n"/>
    </row>
    <row r="3318">
      <c r="BF3318" s="78" t="n"/>
      <c r="BG3318" s="78" t="n"/>
      <c r="BH3318" s="78" t="n"/>
      <c r="BI3318" s="78" t="n"/>
      <c r="BJ3318" s="139" t="n"/>
      <c r="BK3318" s="204" t="n"/>
      <c r="BL3318" s="141" t="n"/>
      <c r="BM3318" s="205" t="n"/>
      <c r="BN3318" s="205" t="n"/>
      <c r="BO3318" s="206" t="n"/>
      <c r="BP3318" s="144" t="n"/>
      <c r="BQ3318" s="141" t="n"/>
      <c r="BR3318" s="207" t="n"/>
      <c r="BS3318" s="207" t="n"/>
      <c r="BT3318" s="207" t="n"/>
      <c r="BU3318" s="207" t="n"/>
      <c r="BV3318" s="208" t="n"/>
      <c r="BW3318" s="207" t="n"/>
      <c r="BX3318" s="207" t="n"/>
      <c r="BY3318" s="204" t="n"/>
      <c r="BZ3318" s="148" t="n"/>
      <c r="CA3318" s="204" t="n"/>
      <c r="CB3318" s="208" t="n"/>
      <c r="CC3318" s="139" t="n"/>
      <c r="CD3318" s="204" t="n"/>
      <c r="CE3318" s="204" t="n"/>
      <c r="CF3318" s="207" t="n"/>
      <c r="CG3318" s="208" t="n"/>
      <c r="CH3318" s="207" t="n"/>
      <c r="CI3318" s="208" t="n"/>
      <c r="CJ3318" s="204" t="n"/>
      <c r="CK3318" s="208" t="n"/>
      <c r="CL3318" s="208" t="n"/>
      <c r="CM3318" s="208" t="n"/>
      <c r="CN3318" s="78" t="n"/>
      <c r="CO3318" s="209" t="n"/>
      <c r="CP3318" s="204" t="n"/>
      <c r="CQ3318" s="204" t="n"/>
      <c r="CR3318" s="204" t="n"/>
      <c r="CS3318" s="204" t="n"/>
      <c r="CT3318" s="204" t="n"/>
      <c r="CU3318" s="204" t="n"/>
      <c r="CV3318" s="204" t="n"/>
      <c r="CW3318" s="204" t="n"/>
    </row>
    <row r="3319">
      <c r="BF3319" s="78" t="n"/>
      <c r="BG3319" s="78" t="n"/>
      <c r="BH3319" s="78" t="n"/>
      <c r="BI3319" s="78" t="n"/>
      <c r="BJ3319" s="139" t="n"/>
      <c r="BK3319" s="204" t="n"/>
      <c r="BL3319" s="141" t="n"/>
      <c r="BM3319" s="205" t="n"/>
      <c r="BN3319" s="205" t="n"/>
      <c r="BO3319" s="206" t="n"/>
      <c r="BP3319" s="144" t="n"/>
      <c r="BQ3319" s="141" t="n"/>
      <c r="BR3319" s="207" t="n"/>
      <c r="BS3319" s="207" t="n"/>
      <c r="BT3319" s="207" t="n"/>
      <c r="BU3319" s="207" t="n"/>
      <c r="BV3319" s="208" t="n"/>
      <c r="BW3319" s="207" t="n"/>
      <c r="BX3319" s="207" t="n"/>
      <c r="BY3319" s="204" t="n"/>
      <c r="BZ3319" s="148" t="n"/>
      <c r="CA3319" s="204" t="n"/>
      <c r="CB3319" s="208" t="n"/>
      <c r="CC3319" s="139" t="n"/>
      <c r="CD3319" s="204" t="n"/>
      <c r="CE3319" s="204" t="n"/>
      <c r="CF3319" s="207" t="n"/>
      <c r="CG3319" s="208" t="n"/>
      <c r="CH3319" s="207" t="n"/>
      <c r="CI3319" s="208" t="n"/>
      <c r="CJ3319" s="204" t="n"/>
      <c r="CK3319" s="208" t="n"/>
      <c r="CL3319" s="208" t="n"/>
      <c r="CM3319" s="208" t="n"/>
      <c r="CN3319" s="78" t="n"/>
      <c r="CO3319" s="209" t="n"/>
      <c r="CP3319" s="204" t="n"/>
      <c r="CQ3319" s="204" t="n"/>
      <c r="CR3319" s="204" t="n"/>
      <c r="CS3319" s="204" t="n"/>
      <c r="CT3319" s="204" t="n"/>
      <c r="CU3319" s="204" t="n"/>
      <c r="CV3319" s="204" t="n"/>
      <c r="CW3319" s="204" t="n"/>
    </row>
    <row r="3320">
      <c r="BF3320" s="78" t="n"/>
      <c r="BG3320" s="78" t="n"/>
      <c r="BH3320" s="78" t="n"/>
      <c r="BI3320" s="78" t="n"/>
      <c r="BJ3320" s="139" t="n"/>
      <c r="BK3320" s="204" t="n"/>
      <c r="BL3320" s="141" t="n"/>
      <c r="BM3320" s="205" t="n"/>
      <c r="BN3320" s="205" t="n"/>
      <c r="BO3320" s="206" t="n"/>
      <c r="BP3320" s="144" t="n"/>
      <c r="BQ3320" s="141" t="n"/>
      <c r="BR3320" s="207" t="n"/>
      <c r="BS3320" s="207" t="n"/>
      <c r="BT3320" s="207" t="n"/>
      <c r="BU3320" s="207" t="n"/>
      <c r="BV3320" s="208" t="n"/>
      <c r="BW3320" s="207" t="n"/>
      <c r="BX3320" s="207" t="n"/>
      <c r="BY3320" s="204" t="n"/>
      <c r="BZ3320" s="148" t="n"/>
      <c r="CA3320" s="204" t="n"/>
      <c r="CB3320" s="208" t="n"/>
      <c r="CC3320" s="139" t="n"/>
      <c r="CD3320" s="204" t="n"/>
      <c r="CE3320" s="204" t="n"/>
      <c r="CF3320" s="207" t="n"/>
      <c r="CG3320" s="208" t="n"/>
      <c r="CH3320" s="207" t="n"/>
      <c r="CI3320" s="208" t="n"/>
      <c r="CJ3320" s="204" t="n"/>
      <c r="CK3320" s="208" t="n"/>
      <c r="CL3320" s="208" t="n"/>
      <c r="CM3320" s="208" t="n"/>
      <c r="CN3320" s="78" t="n"/>
      <c r="CO3320" s="209" t="n"/>
      <c r="CP3320" s="204" t="n"/>
      <c r="CQ3320" s="204" t="n"/>
      <c r="CR3320" s="204" t="n"/>
      <c r="CS3320" s="204" t="n"/>
      <c r="CT3320" s="204" t="n"/>
      <c r="CU3320" s="204" t="n"/>
      <c r="CV3320" s="204" t="n"/>
      <c r="CW3320" s="204" t="n"/>
    </row>
    <row r="3321">
      <c r="BF3321" s="78" t="n"/>
      <c r="BG3321" s="78" t="n"/>
      <c r="BH3321" s="78" t="n"/>
      <c r="BI3321" s="78" t="n"/>
      <c r="BJ3321" s="139" t="n"/>
      <c r="BK3321" s="204" t="n"/>
      <c r="BL3321" s="141" t="n"/>
      <c r="BM3321" s="205" t="n"/>
      <c r="BN3321" s="205" t="n"/>
      <c r="BO3321" s="206" t="n"/>
      <c r="BP3321" s="144" t="n"/>
      <c r="BQ3321" s="141" t="n"/>
      <c r="BR3321" s="207" t="n"/>
      <c r="BS3321" s="207" t="n"/>
      <c r="BT3321" s="207" t="n"/>
      <c r="BU3321" s="207" t="n"/>
      <c r="BV3321" s="208" t="n"/>
      <c r="BW3321" s="207" t="n"/>
      <c r="BX3321" s="207" t="n"/>
      <c r="BY3321" s="204" t="n"/>
      <c r="BZ3321" s="148" t="n"/>
      <c r="CA3321" s="204" t="n"/>
      <c r="CB3321" s="208" t="n"/>
      <c r="CC3321" s="139" t="n"/>
      <c r="CD3321" s="204" t="n"/>
      <c r="CE3321" s="204" t="n"/>
      <c r="CF3321" s="207" t="n"/>
      <c r="CG3321" s="208" t="n"/>
      <c r="CH3321" s="207" t="n"/>
      <c r="CI3321" s="208" t="n"/>
      <c r="CJ3321" s="204" t="n"/>
      <c r="CK3321" s="208" t="n"/>
      <c r="CL3321" s="208" t="n"/>
      <c r="CM3321" s="208" t="n"/>
      <c r="CN3321" s="78" t="n"/>
      <c r="CO3321" s="209" t="n"/>
      <c r="CP3321" s="204" t="n"/>
      <c r="CQ3321" s="204" t="n"/>
      <c r="CR3321" s="204" t="n"/>
      <c r="CS3321" s="204" t="n"/>
      <c r="CT3321" s="204" t="n"/>
      <c r="CU3321" s="204" t="n"/>
      <c r="CV3321" s="204" t="n"/>
      <c r="CW3321" s="204" t="n"/>
    </row>
    <row r="3322">
      <c r="BF3322" s="78" t="n"/>
      <c r="BG3322" s="78" t="n"/>
      <c r="BH3322" s="78" t="n"/>
      <c r="BI3322" s="78" t="n"/>
      <c r="BJ3322" s="139" t="n"/>
      <c r="BK3322" s="204" t="n"/>
      <c r="BL3322" s="141" t="n"/>
      <c r="BM3322" s="205" t="n"/>
      <c r="BN3322" s="205" t="n"/>
      <c r="BO3322" s="206" t="n"/>
      <c r="BP3322" s="144" t="n"/>
      <c r="BQ3322" s="141" t="n"/>
      <c r="BR3322" s="207" t="n"/>
      <c r="BS3322" s="207" t="n"/>
      <c r="BT3322" s="207" t="n"/>
      <c r="BU3322" s="207" t="n"/>
      <c r="BV3322" s="208" t="n"/>
      <c r="BW3322" s="207" t="n"/>
      <c r="BX3322" s="207" t="n"/>
      <c r="BY3322" s="204" t="n"/>
      <c r="BZ3322" s="148" t="n"/>
      <c r="CA3322" s="204" t="n"/>
      <c r="CB3322" s="208" t="n"/>
      <c r="CC3322" s="139" t="n"/>
      <c r="CD3322" s="204" t="n"/>
      <c r="CE3322" s="204" t="n"/>
      <c r="CF3322" s="207" t="n"/>
      <c r="CG3322" s="208" t="n"/>
      <c r="CH3322" s="207" t="n"/>
      <c r="CI3322" s="208" t="n"/>
      <c r="CJ3322" s="204" t="n"/>
      <c r="CK3322" s="208" t="n"/>
      <c r="CL3322" s="208" t="n"/>
      <c r="CM3322" s="208" t="n"/>
      <c r="CN3322" s="78" t="n"/>
      <c r="CO3322" s="209" t="n"/>
      <c r="CP3322" s="204" t="n"/>
      <c r="CQ3322" s="204" t="n"/>
      <c r="CR3322" s="204" t="n"/>
      <c r="CS3322" s="204" t="n"/>
      <c r="CT3322" s="204" t="n"/>
      <c r="CU3322" s="204" t="n"/>
      <c r="CV3322" s="204" t="n"/>
      <c r="CW3322" s="204" t="n"/>
    </row>
    <row r="3323">
      <c r="BF3323" s="78" t="n"/>
      <c r="BG3323" s="78" t="n"/>
      <c r="BH3323" s="78" t="n"/>
      <c r="BI3323" s="78" t="n"/>
      <c r="BJ3323" s="139" t="n"/>
      <c r="BK3323" s="204" t="n"/>
      <c r="BL3323" s="141" t="n"/>
      <c r="BM3323" s="205" t="n"/>
      <c r="BN3323" s="205" t="n"/>
      <c r="BO3323" s="206" t="n"/>
      <c r="BP3323" s="144" t="n"/>
      <c r="BQ3323" s="141" t="n"/>
      <c r="BR3323" s="207" t="n"/>
      <c r="BS3323" s="207" t="n"/>
      <c r="BT3323" s="207" t="n"/>
      <c r="BU3323" s="207" t="n"/>
      <c r="BV3323" s="208" t="n"/>
      <c r="BW3323" s="207" t="n"/>
      <c r="BX3323" s="207" t="n"/>
      <c r="BY3323" s="204" t="n"/>
      <c r="BZ3323" s="148" t="n"/>
      <c r="CA3323" s="204" t="n"/>
      <c r="CB3323" s="208" t="n"/>
      <c r="CC3323" s="139" t="n"/>
      <c r="CD3323" s="204" t="n"/>
      <c r="CE3323" s="204" t="n"/>
      <c r="CF3323" s="207" t="n"/>
      <c r="CG3323" s="208" t="n"/>
      <c r="CH3323" s="207" t="n"/>
      <c r="CI3323" s="208" t="n"/>
      <c r="CJ3323" s="204" t="n"/>
      <c r="CK3323" s="208" t="n"/>
      <c r="CL3323" s="208" t="n"/>
      <c r="CM3323" s="208" t="n"/>
      <c r="CN3323" s="78" t="n"/>
      <c r="CO3323" s="209" t="n"/>
      <c r="CP3323" s="204" t="n"/>
      <c r="CQ3323" s="204" t="n"/>
      <c r="CR3323" s="204" t="n"/>
      <c r="CS3323" s="204" t="n"/>
      <c r="CT3323" s="204" t="n"/>
      <c r="CU3323" s="204" t="n"/>
      <c r="CV3323" s="204" t="n"/>
      <c r="CW3323" s="204" t="n"/>
    </row>
    <row r="3324">
      <c r="BF3324" s="78" t="n"/>
      <c r="BG3324" s="78" t="n"/>
      <c r="BH3324" s="78" t="n"/>
      <c r="BI3324" s="78" t="n"/>
      <c r="BJ3324" s="139" t="n"/>
      <c r="BK3324" s="204" t="n"/>
      <c r="BL3324" s="141" t="n"/>
      <c r="BM3324" s="205" t="n"/>
      <c r="BN3324" s="205" t="n"/>
      <c r="BO3324" s="206" t="n"/>
      <c r="BP3324" s="144" t="n"/>
      <c r="BQ3324" s="141" t="n"/>
      <c r="BR3324" s="207" t="n"/>
      <c r="BS3324" s="207" t="n"/>
      <c r="BT3324" s="207" t="n"/>
      <c r="BU3324" s="207" t="n"/>
      <c r="BV3324" s="208" t="n"/>
      <c r="BW3324" s="207" t="n"/>
      <c r="BX3324" s="207" t="n"/>
      <c r="BY3324" s="204" t="n"/>
      <c r="BZ3324" s="148" t="n"/>
      <c r="CA3324" s="204" t="n"/>
      <c r="CB3324" s="208" t="n"/>
      <c r="CC3324" s="139" t="n"/>
      <c r="CD3324" s="204" t="n"/>
      <c r="CE3324" s="204" t="n"/>
      <c r="CF3324" s="207" t="n"/>
      <c r="CG3324" s="208" t="n"/>
      <c r="CH3324" s="207" t="n"/>
      <c r="CI3324" s="208" t="n"/>
      <c r="CJ3324" s="204" t="n"/>
      <c r="CK3324" s="208" t="n"/>
      <c r="CL3324" s="208" t="n"/>
      <c r="CM3324" s="208" t="n"/>
      <c r="CN3324" s="78" t="n"/>
      <c r="CO3324" s="209" t="n"/>
      <c r="CP3324" s="204" t="n"/>
      <c r="CQ3324" s="204" t="n"/>
      <c r="CR3324" s="204" t="n"/>
      <c r="CS3324" s="204" t="n"/>
      <c r="CT3324" s="204" t="n"/>
      <c r="CU3324" s="204" t="n"/>
      <c r="CV3324" s="204" t="n"/>
      <c r="CW3324" s="204" t="n"/>
    </row>
    <row r="3325">
      <c r="BF3325" s="78" t="n"/>
      <c r="BG3325" s="78" t="n"/>
      <c r="BH3325" s="78" t="n"/>
      <c r="BI3325" s="78" t="n"/>
      <c r="BJ3325" s="139" t="n"/>
      <c r="BK3325" s="204" t="n"/>
      <c r="BL3325" s="141" t="n"/>
      <c r="BM3325" s="205" t="n"/>
      <c r="BN3325" s="205" t="n"/>
      <c r="BO3325" s="206" t="n"/>
      <c r="BP3325" s="144" t="n"/>
      <c r="BQ3325" s="141" t="n"/>
      <c r="BR3325" s="207" t="n"/>
      <c r="BS3325" s="207" t="n"/>
      <c r="BT3325" s="207" t="n"/>
      <c r="BU3325" s="207" t="n"/>
      <c r="BV3325" s="208" t="n"/>
      <c r="BW3325" s="207" t="n"/>
      <c r="BX3325" s="207" t="n"/>
      <c r="BY3325" s="204" t="n"/>
      <c r="BZ3325" s="148" t="n"/>
      <c r="CA3325" s="204" t="n"/>
      <c r="CB3325" s="208" t="n"/>
      <c r="CC3325" s="139" t="n"/>
      <c r="CD3325" s="204" t="n"/>
      <c r="CE3325" s="204" t="n"/>
      <c r="CF3325" s="207" t="n"/>
      <c r="CG3325" s="208" t="n"/>
      <c r="CH3325" s="207" t="n"/>
      <c r="CI3325" s="208" t="n"/>
      <c r="CJ3325" s="204" t="n"/>
      <c r="CK3325" s="208" t="n"/>
      <c r="CL3325" s="208" t="n"/>
      <c r="CM3325" s="208" t="n"/>
      <c r="CN3325" s="78" t="n"/>
      <c r="CO3325" s="209" t="n"/>
      <c r="CP3325" s="204" t="n"/>
      <c r="CQ3325" s="204" t="n"/>
      <c r="CR3325" s="204" t="n"/>
      <c r="CS3325" s="204" t="n"/>
      <c r="CT3325" s="204" t="n"/>
      <c r="CU3325" s="204" t="n"/>
      <c r="CV3325" s="204" t="n"/>
      <c r="CW3325" s="204" t="n"/>
    </row>
    <row r="3326">
      <c r="BF3326" s="78" t="n"/>
      <c r="BG3326" s="78" t="n"/>
      <c r="BH3326" s="78" t="n"/>
      <c r="BI3326" s="78" t="n"/>
      <c r="BJ3326" s="139" t="n"/>
      <c r="BK3326" s="204" t="n"/>
      <c r="BL3326" s="141" t="n"/>
      <c r="BM3326" s="205" t="n"/>
      <c r="BN3326" s="205" t="n"/>
      <c r="BO3326" s="206" t="n"/>
      <c r="BP3326" s="144" t="n"/>
      <c r="BQ3326" s="141" t="n"/>
      <c r="BR3326" s="207" t="n"/>
      <c r="BS3326" s="207" t="n"/>
      <c r="BT3326" s="207" t="n"/>
      <c r="BU3326" s="207" t="n"/>
      <c r="BV3326" s="208" t="n"/>
      <c r="BW3326" s="207" t="n"/>
      <c r="BX3326" s="207" t="n"/>
      <c r="BY3326" s="204" t="n"/>
      <c r="BZ3326" s="148" t="n"/>
      <c r="CA3326" s="204" t="n"/>
      <c r="CB3326" s="208" t="n"/>
      <c r="CC3326" s="139" t="n"/>
      <c r="CD3326" s="204" t="n"/>
      <c r="CE3326" s="204" t="n"/>
      <c r="CF3326" s="207" t="n"/>
      <c r="CG3326" s="208" t="n"/>
      <c r="CH3326" s="207" t="n"/>
      <c r="CI3326" s="208" t="n"/>
      <c r="CJ3326" s="204" t="n"/>
      <c r="CK3326" s="208" t="n"/>
      <c r="CL3326" s="208" t="n"/>
      <c r="CM3326" s="208" t="n"/>
      <c r="CN3326" s="78" t="n"/>
      <c r="CO3326" s="209" t="n"/>
      <c r="CP3326" s="204" t="n"/>
      <c r="CQ3326" s="204" t="n"/>
      <c r="CR3326" s="204" t="n"/>
      <c r="CS3326" s="204" t="n"/>
      <c r="CT3326" s="204" t="n"/>
      <c r="CU3326" s="204" t="n"/>
      <c r="CV3326" s="204" t="n"/>
      <c r="CW3326" s="204" t="n"/>
    </row>
    <row r="3327">
      <c r="BF3327" s="78" t="n"/>
      <c r="BG3327" s="78" t="n"/>
      <c r="BH3327" s="78" t="n"/>
      <c r="BI3327" s="78" t="n"/>
      <c r="BJ3327" s="139" t="n"/>
      <c r="BK3327" s="204" t="n"/>
      <c r="BL3327" s="141" t="n"/>
      <c r="BM3327" s="205" t="n"/>
      <c r="BN3327" s="205" t="n"/>
      <c r="BO3327" s="206" t="n"/>
      <c r="BP3327" s="144" t="n"/>
      <c r="BQ3327" s="141" t="n"/>
      <c r="BR3327" s="207" t="n"/>
      <c r="BS3327" s="207" t="n"/>
      <c r="BT3327" s="207" t="n"/>
      <c r="BU3327" s="207" t="n"/>
      <c r="BV3327" s="208" t="n"/>
      <c r="BW3327" s="207" t="n"/>
      <c r="BX3327" s="207" t="n"/>
      <c r="BY3327" s="204" t="n"/>
      <c r="BZ3327" s="148" t="n"/>
      <c r="CA3327" s="204" t="n"/>
      <c r="CB3327" s="208" t="n"/>
      <c r="CC3327" s="139" t="n"/>
      <c r="CD3327" s="204" t="n"/>
      <c r="CE3327" s="204" t="n"/>
      <c r="CF3327" s="207" t="n"/>
      <c r="CG3327" s="208" t="n"/>
      <c r="CH3327" s="207" t="n"/>
      <c r="CI3327" s="208" t="n"/>
      <c r="CJ3327" s="204" t="n"/>
      <c r="CK3327" s="208" t="n"/>
      <c r="CL3327" s="208" t="n"/>
      <c r="CM3327" s="208" t="n"/>
      <c r="CN3327" s="78" t="n"/>
      <c r="CO3327" s="209" t="n"/>
      <c r="CP3327" s="204" t="n"/>
      <c r="CQ3327" s="204" t="n"/>
      <c r="CR3327" s="204" t="n"/>
      <c r="CS3327" s="204" t="n"/>
      <c r="CT3327" s="204" t="n"/>
      <c r="CU3327" s="204" t="n"/>
      <c r="CV3327" s="204" t="n"/>
      <c r="CW3327" s="204" t="n"/>
    </row>
    <row r="3328">
      <c r="BF3328" s="78" t="n"/>
      <c r="BG3328" s="78" t="n"/>
      <c r="BH3328" s="78" t="n"/>
      <c r="BI3328" s="78" t="n"/>
      <c r="BJ3328" s="139" t="n"/>
      <c r="BK3328" s="204" t="n"/>
      <c r="BL3328" s="141" t="n"/>
      <c r="BM3328" s="205" t="n"/>
      <c r="BN3328" s="205" t="n"/>
      <c r="BO3328" s="206" t="n"/>
      <c r="BP3328" s="144" t="n"/>
      <c r="BQ3328" s="141" t="n"/>
      <c r="BR3328" s="207" t="n"/>
      <c r="BS3328" s="207" t="n"/>
      <c r="BT3328" s="207" t="n"/>
      <c r="BU3328" s="207" t="n"/>
      <c r="BV3328" s="208" t="n"/>
      <c r="BW3328" s="207" t="n"/>
      <c r="BX3328" s="207" t="n"/>
      <c r="BY3328" s="204" t="n"/>
      <c r="BZ3328" s="148" t="n"/>
      <c r="CA3328" s="204" t="n"/>
      <c r="CB3328" s="208" t="n"/>
      <c r="CC3328" s="139" t="n"/>
      <c r="CD3328" s="204" t="n"/>
      <c r="CE3328" s="204" t="n"/>
      <c r="CF3328" s="207" t="n"/>
      <c r="CG3328" s="208" t="n"/>
      <c r="CH3328" s="207" t="n"/>
      <c r="CI3328" s="208" t="n"/>
      <c r="CJ3328" s="204" t="n"/>
      <c r="CK3328" s="208" t="n"/>
      <c r="CL3328" s="208" t="n"/>
      <c r="CM3328" s="208" t="n"/>
      <c r="CN3328" s="78" t="n"/>
      <c r="CO3328" s="209" t="n"/>
      <c r="CP3328" s="204" t="n"/>
      <c r="CQ3328" s="204" t="n"/>
      <c r="CR3328" s="204" t="n"/>
      <c r="CS3328" s="204" t="n"/>
      <c r="CT3328" s="204" t="n"/>
      <c r="CU3328" s="204" t="n"/>
      <c r="CV3328" s="204" t="n"/>
      <c r="CW3328" s="204" t="n"/>
    </row>
    <row r="3329">
      <c r="BF3329" s="78" t="n"/>
      <c r="BG3329" s="78" t="n"/>
      <c r="BH3329" s="78" t="n"/>
      <c r="BI3329" s="78" t="n"/>
      <c r="BJ3329" s="139" t="n"/>
      <c r="BK3329" s="204" t="n"/>
      <c r="BL3329" s="141" t="n"/>
      <c r="BM3329" s="205" t="n"/>
      <c r="BN3329" s="205" t="n"/>
      <c r="BO3329" s="206" t="n"/>
      <c r="BP3329" s="144" t="n"/>
      <c r="BQ3329" s="141" t="n"/>
      <c r="BR3329" s="207" t="n"/>
      <c r="BS3329" s="207" t="n"/>
      <c r="BT3329" s="207" t="n"/>
      <c r="BU3329" s="207" t="n"/>
      <c r="BV3329" s="208" t="n"/>
      <c r="BW3329" s="207" t="n"/>
      <c r="BX3329" s="207" t="n"/>
      <c r="BY3329" s="204" t="n"/>
      <c r="BZ3329" s="148" t="n"/>
      <c r="CA3329" s="204" t="n"/>
      <c r="CB3329" s="208" t="n"/>
      <c r="CC3329" s="139" t="n"/>
      <c r="CD3329" s="204" t="n"/>
      <c r="CE3329" s="204" t="n"/>
      <c r="CF3329" s="207" t="n"/>
      <c r="CG3329" s="208" t="n"/>
      <c r="CH3329" s="207" t="n"/>
      <c r="CI3329" s="208" t="n"/>
      <c r="CJ3329" s="204" t="n"/>
      <c r="CK3329" s="208" t="n"/>
      <c r="CL3329" s="208" t="n"/>
      <c r="CM3329" s="208" t="n"/>
      <c r="CN3329" s="78" t="n"/>
      <c r="CO3329" s="209" t="n"/>
      <c r="CP3329" s="204" t="n"/>
      <c r="CQ3329" s="204" t="n"/>
      <c r="CR3329" s="204" t="n"/>
      <c r="CS3329" s="204" t="n"/>
      <c r="CT3329" s="204" t="n"/>
      <c r="CU3329" s="204" t="n"/>
      <c r="CV3329" s="204" t="n"/>
      <c r="CW3329" s="204" t="n"/>
    </row>
    <row r="3330">
      <c r="BF3330" s="78" t="n"/>
      <c r="BG3330" s="78" t="n"/>
      <c r="BH3330" s="78" t="n"/>
      <c r="BI3330" s="78" t="n"/>
      <c r="BJ3330" s="139" t="n"/>
      <c r="BK3330" s="204" t="n"/>
      <c r="BL3330" s="141" t="n"/>
      <c r="BM3330" s="205" t="n"/>
      <c r="BN3330" s="205" t="n"/>
      <c r="BO3330" s="206" t="n"/>
      <c r="BP3330" s="144" t="n"/>
      <c r="BQ3330" s="141" t="n"/>
      <c r="BR3330" s="207" t="n"/>
      <c r="BS3330" s="207" t="n"/>
      <c r="BT3330" s="207" t="n"/>
      <c r="BU3330" s="207" t="n"/>
      <c r="BV3330" s="208" t="n"/>
      <c r="BW3330" s="207" t="n"/>
      <c r="BX3330" s="207" t="n"/>
      <c r="BY3330" s="204" t="n"/>
      <c r="BZ3330" s="148" t="n"/>
      <c r="CA3330" s="204" t="n"/>
      <c r="CB3330" s="208" t="n"/>
      <c r="CC3330" s="139" t="n"/>
      <c r="CD3330" s="204" t="n"/>
      <c r="CE3330" s="204" t="n"/>
      <c r="CF3330" s="207" t="n"/>
      <c r="CG3330" s="208" t="n"/>
      <c r="CH3330" s="207" t="n"/>
      <c r="CI3330" s="208" t="n"/>
      <c r="CJ3330" s="204" t="n"/>
      <c r="CK3330" s="208" t="n"/>
      <c r="CL3330" s="208" t="n"/>
      <c r="CM3330" s="208" t="n"/>
      <c r="CN3330" s="78" t="n"/>
      <c r="CO3330" s="209" t="n"/>
      <c r="CP3330" s="204" t="n"/>
      <c r="CQ3330" s="204" t="n"/>
      <c r="CR3330" s="204" t="n"/>
      <c r="CS3330" s="204" t="n"/>
      <c r="CT3330" s="204" t="n"/>
      <c r="CU3330" s="204" t="n"/>
      <c r="CV3330" s="204" t="n"/>
      <c r="CW3330" s="204" t="n"/>
    </row>
    <row r="3331">
      <c r="BF3331" s="78" t="n"/>
      <c r="BG3331" s="78" t="n"/>
      <c r="BH3331" s="78" t="n"/>
      <c r="BI3331" s="78" t="n"/>
      <c r="BJ3331" s="139" t="n"/>
      <c r="BK3331" s="204" t="n"/>
      <c r="BL3331" s="141" t="n"/>
      <c r="BM3331" s="205" t="n"/>
      <c r="BN3331" s="205" t="n"/>
      <c r="BO3331" s="206" t="n"/>
      <c r="BP3331" s="144" t="n"/>
      <c r="BQ3331" s="141" t="n"/>
      <c r="BR3331" s="207" t="n"/>
      <c r="BS3331" s="207" t="n"/>
      <c r="BT3331" s="207" t="n"/>
      <c r="BU3331" s="207" t="n"/>
      <c r="BV3331" s="208" t="n"/>
      <c r="BW3331" s="207" t="n"/>
      <c r="BX3331" s="207" t="n"/>
      <c r="BY3331" s="204" t="n"/>
      <c r="BZ3331" s="148" t="n"/>
      <c r="CA3331" s="204" t="n"/>
      <c r="CB3331" s="208" t="n"/>
      <c r="CC3331" s="139" t="n"/>
      <c r="CD3331" s="204" t="n"/>
      <c r="CE3331" s="204" t="n"/>
      <c r="CF3331" s="207" t="n"/>
      <c r="CG3331" s="208" t="n"/>
      <c r="CH3331" s="207" t="n"/>
      <c r="CI3331" s="208" t="n"/>
      <c r="CJ3331" s="204" t="n"/>
      <c r="CK3331" s="208" t="n"/>
      <c r="CL3331" s="208" t="n"/>
      <c r="CM3331" s="208" t="n"/>
      <c r="CN3331" s="78" t="n"/>
      <c r="CO3331" s="209" t="n"/>
      <c r="CP3331" s="204" t="n"/>
      <c r="CQ3331" s="204" t="n"/>
      <c r="CR3331" s="204" t="n"/>
      <c r="CS3331" s="204" t="n"/>
      <c r="CT3331" s="204" t="n"/>
      <c r="CU3331" s="204" t="n"/>
      <c r="CV3331" s="204" t="n"/>
      <c r="CW3331" s="204" t="n"/>
    </row>
    <row r="3332">
      <c r="BF3332" s="78" t="n"/>
      <c r="BG3332" s="78" t="n"/>
      <c r="BH3332" s="78" t="n"/>
      <c r="BI3332" s="78" t="n"/>
      <c r="BJ3332" s="139" t="n"/>
      <c r="BK3332" s="204" t="n"/>
      <c r="BL3332" s="141" t="n"/>
      <c r="BM3332" s="205" t="n"/>
      <c r="BN3332" s="205" t="n"/>
      <c r="BO3332" s="206" t="n"/>
      <c r="BP3332" s="144" t="n"/>
      <c r="BQ3332" s="141" t="n"/>
      <c r="BR3332" s="207" t="n"/>
      <c r="BS3332" s="207" t="n"/>
      <c r="BT3332" s="207" t="n"/>
      <c r="BU3332" s="207" t="n"/>
      <c r="BV3332" s="208" t="n"/>
      <c r="BW3332" s="207" t="n"/>
      <c r="BX3332" s="207" t="n"/>
      <c r="BY3332" s="204" t="n"/>
      <c r="BZ3332" s="148" t="n"/>
      <c r="CA3332" s="204" t="n"/>
      <c r="CB3332" s="208" t="n"/>
      <c r="CC3332" s="139" t="n"/>
      <c r="CD3332" s="204" t="n"/>
      <c r="CE3332" s="204" t="n"/>
      <c r="CF3332" s="207" t="n"/>
      <c r="CG3332" s="208" t="n"/>
      <c r="CH3332" s="207" t="n"/>
      <c r="CI3332" s="208" t="n"/>
      <c r="CJ3332" s="204" t="n"/>
      <c r="CK3332" s="208" t="n"/>
      <c r="CL3332" s="208" t="n"/>
      <c r="CM3332" s="208" t="n"/>
      <c r="CN3332" s="78" t="n"/>
      <c r="CO3332" s="209" t="n"/>
      <c r="CP3332" s="204" t="n"/>
      <c r="CQ3332" s="204" t="n"/>
      <c r="CR3332" s="204" t="n"/>
      <c r="CS3332" s="204" t="n"/>
      <c r="CT3332" s="204" t="n"/>
      <c r="CU3332" s="204" t="n"/>
      <c r="CV3332" s="204" t="n"/>
      <c r="CW3332" s="204" t="n"/>
    </row>
    <row r="3333">
      <c r="BF3333" s="78" t="n"/>
      <c r="BG3333" s="78" t="n"/>
      <c r="BH3333" s="78" t="n"/>
      <c r="BI3333" s="78" t="n"/>
      <c r="BJ3333" s="139" t="n"/>
      <c r="BK3333" s="204" t="n"/>
      <c r="BL3333" s="141" t="n"/>
      <c r="BM3333" s="205" t="n"/>
      <c r="BN3333" s="205" t="n"/>
      <c r="BO3333" s="206" t="n"/>
      <c r="BP3333" s="144" t="n"/>
      <c r="BQ3333" s="141" t="n"/>
      <c r="BR3333" s="207" t="n"/>
      <c r="BS3333" s="207" t="n"/>
      <c r="BT3333" s="207" t="n"/>
      <c r="BU3333" s="207" t="n"/>
      <c r="BV3333" s="208" t="n"/>
      <c r="BW3333" s="207" t="n"/>
      <c r="BX3333" s="207" t="n"/>
      <c r="BY3333" s="204" t="n"/>
      <c r="BZ3333" s="148" t="n"/>
      <c r="CA3333" s="204" t="n"/>
      <c r="CB3333" s="208" t="n"/>
      <c r="CC3333" s="139" t="n"/>
      <c r="CD3333" s="204" t="n"/>
      <c r="CE3333" s="204" t="n"/>
      <c r="CF3333" s="207" t="n"/>
      <c r="CG3333" s="208" t="n"/>
      <c r="CH3333" s="207" t="n"/>
      <c r="CI3333" s="208" t="n"/>
      <c r="CJ3333" s="204" t="n"/>
      <c r="CK3333" s="208" t="n"/>
      <c r="CL3333" s="208" t="n"/>
      <c r="CM3333" s="208" t="n"/>
      <c r="CN3333" s="78" t="n"/>
      <c r="CO3333" s="209" t="n"/>
      <c r="CP3333" s="204" t="n"/>
      <c r="CQ3333" s="204" t="n"/>
      <c r="CR3333" s="204" t="n"/>
      <c r="CS3333" s="204" t="n"/>
      <c r="CT3333" s="204" t="n"/>
      <c r="CU3333" s="204" t="n"/>
      <c r="CV3333" s="204" t="n"/>
      <c r="CW3333" s="204" t="n"/>
    </row>
    <row r="3334">
      <c r="BF3334" s="78" t="n"/>
      <c r="BG3334" s="78" t="n"/>
      <c r="BH3334" s="78" t="n"/>
      <c r="BI3334" s="78" t="n"/>
      <c r="BJ3334" s="139" t="n"/>
      <c r="BK3334" s="204" t="n"/>
      <c r="BL3334" s="141" t="n"/>
      <c r="BM3334" s="205" t="n"/>
      <c r="BN3334" s="205" t="n"/>
      <c r="BO3334" s="206" t="n"/>
      <c r="BP3334" s="144" t="n"/>
      <c r="BQ3334" s="141" t="n"/>
      <c r="BR3334" s="207" t="n"/>
      <c r="BS3334" s="207" t="n"/>
      <c r="BT3334" s="207" t="n"/>
      <c r="BU3334" s="207" t="n"/>
      <c r="BV3334" s="208" t="n"/>
      <c r="BW3334" s="207" t="n"/>
      <c r="BX3334" s="207" t="n"/>
      <c r="BY3334" s="204" t="n"/>
      <c r="BZ3334" s="148" t="n"/>
      <c r="CA3334" s="204" t="n"/>
      <c r="CB3334" s="208" t="n"/>
      <c r="CC3334" s="139" t="n"/>
      <c r="CD3334" s="204" t="n"/>
      <c r="CE3334" s="204" t="n"/>
      <c r="CF3334" s="207" t="n"/>
      <c r="CG3334" s="208" t="n"/>
      <c r="CH3334" s="207" t="n"/>
      <c r="CI3334" s="208" t="n"/>
      <c r="CJ3334" s="204" t="n"/>
      <c r="CK3334" s="208" t="n"/>
      <c r="CL3334" s="208" t="n"/>
      <c r="CM3334" s="208" t="n"/>
      <c r="CN3334" s="78" t="n"/>
      <c r="CO3334" s="209" t="n"/>
      <c r="CP3334" s="204" t="n"/>
      <c r="CQ3334" s="204" t="n"/>
      <c r="CR3334" s="204" t="n"/>
      <c r="CS3334" s="204" t="n"/>
      <c r="CT3334" s="204" t="n"/>
      <c r="CU3334" s="204" t="n"/>
      <c r="CV3334" s="204" t="n"/>
      <c r="CW3334" s="204" t="n"/>
    </row>
    <row r="3335">
      <c r="BF3335" s="78" t="n"/>
      <c r="BG3335" s="78" t="n"/>
      <c r="BH3335" s="78" t="n"/>
      <c r="BI3335" s="78" t="n"/>
      <c r="BJ3335" s="139" t="n"/>
      <c r="BK3335" s="204" t="n"/>
      <c r="BL3335" s="141" t="n"/>
      <c r="BM3335" s="205" t="n"/>
      <c r="BN3335" s="205" t="n"/>
      <c r="BO3335" s="206" t="n"/>
      <c r="BP3335" s="144" t="n"/>
      <c r="BQ3335" s="141" t="n"/>
      <c r="BR3335" s="207" t="n"/>
      <c r="BS3335" s="207" t="n"/>
      <c r="BT3335" s="207" t="n"/>
      <c r="BU3335" s="207" t="n"/>
      <c r="BV3335" s="208" t="n"/>
      <c r="BW3335" s="207" t="n"/>
      <c r="BX3335" s="207" t="n"/>
      <c r="BY3335" s="204" t="n"/>
      <c r="BZ3335" s="148" t="n"/>
      <c r="CA3335" s="204" t="n"/>
      <c r="CB3335" s="208" t="n"/>
      <c r="CC3335" s="139" t="n"/>
      <c r="CD3335" s="204" t="n"/>
      <c r="CE3335" s="204" t="n"/>
      <c r="CF3335" s="207" t="n"/>
      <c r="CG3335" s="208" t="n"/>
      <c r="CH3335" s="207" t="n"/>
      <c r="CI3335" s="208" t="n"/>
      <c r="CJ3335" s="204" t="n"/>
      <c r="CK3335" s="208" t="n"/>
      <c r="CL3335" s="208" t="n"/>
      <c r="CM3335" s="208" t="n"/>
      <c r="CN3335" s="78" t="n"/>
      <c r="CO3335" s="209" t="n"/>
      <c r="CP3335" s="204" t="n"/>
      <c r="CQ3335" s="204" t="n"/>
      <c r="CR3335" s="204" t="n"/>
      <c r="CS3335" s="204" t="n"/>
      <c r="CT3335" s="204" t="n"/>
      <c r="CU3335" s="204" t="n"/>
      <c r="CV3335" s="204" t="n"/>
      <c r="CW3335" s="204" t="n"/>
    </row>
    <row r="3336">
      <c r="BF3336" s="78" t="n"/>
      <c r="BG3336" s="78" t="n"/>
      <c r="BH3336" s="78" t="n"/>
      <c r="BI3336" s="78" t="n"/>
      <c r="BJ3336" s="139" t="n"/>
      <c r="BK3336" s="204" t="n"/>
      <c r="BL3336" s="141" t="n"/>
      <c r="BM3336" s="205" t="n"/>
      <c r="BN3336" s="205" t="n"/>
      <c r="BO3336" s="206" t="n"/>
      <c r="BP3336" s="144" t="n"/>
      <c r="BQ3336" s="141" t="n"/>
      <c r="BR3336" s="207" t="n"/>
      <c r="BS3336" s="207" t="n"/>
      <c r="BT3336" s="207" t="n"/>
      <c r="BU3336" s="207" t="n"/>
      <c r="BV3336" s="208" t="n"/>
      <c r="BW3336" s="207" t="n"/>
      <c r="BX3336" s="207" t="n"/>
      <c r="BY3336" s="204" t="n"/>
      <c r="BZ3336" s="148" t="n"/>
      <c r="CA3336" s="204" t="n"/>
      <c r="CB3336" s="208" t="n"/>
      <c r="CC3336" s="139" t="n"/>
      <c r="CD3336" s="204" t="n"/>
      <c r="CE3336" s="204" t="n"/>
      <c r="CF3336" s="207" t="n"/>
      <c r="CG3336" s="208" t="n"/>
      <c r="CH3336" s="207" t="n"/>
      <c r="CI3336" s="208" t="n"/>
      <c r="CJ3336" s="204" t="n"/>
      <c r="CK3336" s="208" t="n"/>
      <c r="CL3336" s="208" t="n"/>
      <c r="CM3336" s="208" t="n"/>
      <c r="CN3336" s="78" t="n"/>
      <c r="CO3336" s="209" t="n"/>
      <c r="CP3336" s="204" t="n"/>
      <c r="CQ3336" s="204" t="n"/>
      <c r="CR3336" s="204" t="n"/>
      <c r="CS3336" s="204" t="n"/>
      <c r="CT3336" s="204" t="n"/>
      <c r="CU3336" s="204" t="n"/>
      <c r="CV3336" s="204" t="n"/>
      <c r="CW3336" s="204" t="n"/>
    </row>
    <row r="3337">
      <c r="BF3337" s="78" t="n"/>
      <c r="BG3337" s="78" t="n"/>
      <c r="BH3337" s="78" t="n"/>
      <c r="BI3337" s="78" t="n"/>
      <c r="BJ3337" s="139" t="n"/>
      <c r="BK3337" s="204" t="n"/>
      <c r="BL3337" s="141" t="n"/>
      <c r="BM3337" s="205" t="n"/>
      <c r="BN3337" s="205" t="n"/>
      <c r="BO3337" s="206" t="n"/>
      <c r="BP3337" s="144" t="n"/>
      <c r="BQ3337" s="141" t="n"/>
      <c r="BR3337" s="207" t="n"/>
      <c r="BS3337" s="207" t="n"/>
      <c r="BT3337" s="207" t="n"/>
      <c r="BU3337" s="207" t="n"/>
      <c r="BV3337" s="208" t="n"/>
      <c r="BW3337" s="207" t="n"/>
      <c r="BX3337" s="207" t="n"/>
      <c r="BY3337" s="204" t="n"/>
      <c r="BZ3337" s="148" t="n"/>
      <c r="CA3337" s="204" t="n"/>
      <c r="CB3337" s="208" t="n"/>
      <c r="CC3337" s="139" t="n"/>
      <c r="CD3337" s="204" t="n"/>
      <c r="CE3337" s="204" t="n"/>
      <c r="CF3337" s="207" t="n"/>
      <c r="CG3337" s="208" t="n"/>
      <c r="CH3337" s="207" t="n"/>
      <c r="CI3337" s="208" t="n"/>
      <c r="CJ3337" s="204" t="n"/>
      <c r="CK3337" s="208" t="n"/>
      <c r="CL3337" s="208" t="n"/>
      <c r="CM3337" s="208" t="n"/>
      <c r="CN3337" s="78" t="n"/>
      <c r="CO3337" s="209" t="n"/>
      <c r="CP3337" s="204" t="n"/>
      <c r="CQ3337" s="204" t="n"/>
      <c r="CR3337" s="204" t="n"/>
      <c r="CS3337" s="204" t="n"/>
      <c r="CT3337" s="204" t="n"/>
      <c r="CU3337" s="204" t="n"/>
      <c r="CV3337" s="204" t="n"/>
      <c r="CW3337" s="204" t="n"/>
    </row>
    <row r="3338">
      <c r="BF3338" s="78" t="n"/>
      <c r="BG3338" s="78" t="n"/>
      <c r="BH3338" s="78" t="n"/>
      <c r="BI3338" s="78" t="n"/>
      <c r="BJ3338" s="139" t="n"/>
      <c r="BK3338" s="204" t="n"/>
      <c r="BL3338" s="141" t="n"/>
      <c r="BM3338" s="205" t="n"/>
      <c r="BN3338" s="205" t="n"/>
      <c r="BO3338" s="206" t="n"/>
      <c r="BP3338" s="144" t="n"/>
      <c r="BQ3338" s="141" t="n"/>
      <c r="BR3338" s="207" t="n"/>
      <c r="BS3338" s="207" t="n"/>
      <c r="BT3338" s="207" t="n"/>
      <c r="BU3338" s="207" t="n"/>
      <c r="BV3338" s="208" t="n"/>
      <c r="BW3338" s="207" t="n"/>
      <c r="BX3338" s="207" t="n"/>
      <c r="BY3338" s="204" t="n"/>
      <c r="BZ3338" s="148" t="n"/>
      <c r="CA3338" s="204" t="n"/>
      <c r="CB3338" s="208" t="n"/>
      <c r="CC3338" s="139" t="n"/>
      <c r="CD3338" s="204" t="n"/>
      <c r="CE3338" s="204" t="n"/>
      <c r="CF3338" s="207" t="n"/>
      <c r="CG3338" s="208" t="n"/>
      <c r="CH3338" s="207" t="n"/>
      <c r="CI3338" s="208" t="n"/>
      <c r="CJ3338" s="204" t="n"/>
      <c r="CK3338" s="208" t="n"/>
      <c r="CL3338" s="208" t="n"/>
      <c r="CM3338" s="208" t="n"/>
      <c r="CN3338" s="78" t="n"/>
      <c r="CO3338" s="209" t="n"/>
      <c r="CP3338" s="204" t="n"/>
      <c r="CQ3338" s="204" t="n"/>
      <c r="CR3338" s="204" t="n"/>
      <c r="CS3338" s="204" t="n"/>
      <c r="CT3338" s="204" t="n"/>
      <c r="CU3338" s="204" t="n"/>
      <c r="CV3338" s="204" t="n"/>
      <c r="CW3338" s="204" t="n"/>
    </row>
    <row r="3339">
      <c r="BF3339" s="78" t="n"/>
      <c r="BG3339" s="78" t="n"/>
      <c r="BH3339" s="78" t="n"/>
      <c r="BI3339" s="78" t="n"/>
      <c r="BJ3339" s="139" t="n"/>
      <c r="BK3339" s="204" t="n"/>
      <c r="BL3339" s="141" t="n"/>
      <c r="BM3339" s="205" t="n"/>
      <c r="BN3339" s="205" t="n"/>
      <c r="BO3339" s="206" t="n"/>
      <c r="BP3339" s="144" t="n"/>
      <c r="BQ3339" s="141" t="n"/>
      <c r="BR3339" s="207" t="n"/>
      <c r="BS3339" s="207" t="n"/>
      <c r="BT3339" s="207" t="n"/>
      <c r="BU3339" s="207" t="n"/>
      <c r="BV3339" s="208" t="n"/>
      <c r="BW3339" s="207" t="n"/>
      <c r="BX3339" s="207" t="n"/>
      <c r="BY3339" s="204" t="n"/>
      <c r="BZ3339" s="148" t="n"/>
      <c r="CA3339" s="204" t="n"/>
      <c r="CB3339" s="208" t="n"/>
      <c r="CC3339" s="139" t="n"/>
      <c r="CD3339" s="204" t="n"/>
      <c r="CE3339" s="204" t="n"/>
      <c r="CF3339" s="207" t="n"/>
      <c r="CG3339" s="208" t="n"/>
      <c r="CH3339" s="207" t="n"/>
      <c r="CI3339" s="208" t="n"/>
      <c r="CJ3339" s="204" t="n"/>
      <c r="CK3339" s="208" t="n"/>
      <c r="CL3339" s="208" t="n"/>
      <c r="CM3339" s="208" t="n"/>
      <c r="CN3339" s="78" t="n"/>
      <c r="CO3339" s="209" t="n"/>
      <c r="CP3339" s="204" t="n"/>
      <c r="CQ3339" s="204" t="n"/>
      <c r="CR3339" s="204" t="n"/>
      <c r="CS3339" s="204" t="n"/>
      <c r="CT3339" s="204" t="n"/>
      <c r="CU3339" s="204" t="n"/>
      <c r="CV3339" s="204" t="n"/>
      <c r="CW3339" s="204" t="n"/>
    </row>
    <row r="3340">
      <c r="BF3340" s="78" t="n"/>
      <c r="BG3340" s="78" t="n"/>
      <c r="BH3340" s="78" t="n"/>
      <c r="BI3340" s="78" t="n"/>
      <c r="BJ3340" s="139" t="n"/>
      <c r="BK3340" s="204" t="n"/>
      <c r="BL3340" s="141" t="n"/>
      <c r="BM3340" s="205" t="n"/>
      <c r="BN3340" s="205" t="n"/>
      <c r="BO3340" s="206" t="n"/>
      <c r="BP3340" s="144" t="n"/>
      <c r="BQ3340" s="141" t="n"/>
      <c r="BR3340" s="207" t="n"/>
      <c r="BS3340" s="207" t="n"/>
      <c r="BT3340" s="207" t="n"/>
      <c r="BU3340" s="207" t="n"/>
      <c r="BV3340" s="208" t="n"/>
      <c r="BW3340" s="207" t="n"/>
      <c r="BX3340" s="207" t="n"/>
      <c r="BY3340" s="204" t="n"/>
      <c r="BZ3340" s="148" t="n"/>
      <c r="CA3340" s="204" t="n"/>
      <c r="CB3340" s="208" t="n"/>
      <c r="CC3340" s="139" t="n"/>
      <c r="CD3340" s="204" t="n"/>
      <c r="CE3340" s="204" t="n"/>
      <c r="CF3340" s="207" t="n"/>
      <c r="CG3340" s="208" t="n"/>
      <c r="CH3340" s="207" t="n"/>
      <c r="CI3340" s="208" t="n"/>
      <c r="CJ3340" s="204" t="n"/>
      <c r="CK3340" s="208" t="n"/>
      <c r="CL3340" s="208" t="n"/>
      <c r="CM3340" s="208" t="n"/>
      <c r="CN3340" s="78" t="n"/>
      <c r="CO3340" s="209" t="n"/>
      <c r="CP3340" s="204" t="n"/>
      <c r="CQ3340" s="204" t="n"/>
      <c r="CR3340" s="204" t="n"/>
      <c r="CS3340" s="204" t="n"/>
      <c r="CT3340" s="204" t="n"/>
      <c r="CU3340" s="204" t="n"/>
      <c r="CV3340" s="204" t="n"/>
      <c r="CW3340" s="204" t="n"/>
    </row>
    <row r="3341">
      <c r="BF3341" s="78" t="n"/>
      <c r="BG3341" s="78" t="n"/>
      <c r="BH3341" s="78" t="n"/>
      <c r="BI3341" s="78" t="n"/>
      <c r="BJ3341" s="139" t="n"/>
      <c r="BK3341" s="204" t="n"/>
      <c r="BL3341" s="141" t="n"/>
      <c r="BM3341" s="205" t="n"/>
      <c r="BN3341" s="205" t="n"/>
      <c r="BO3341" s="206" t="n"/>
      <c r="BP3341" s="144" t="n"/>
      <c r="BQ3341" s="141" t="n"/>
      <c r="BR3341" s="207" t="n"/>
      <c r="BS3341" s="207" t="n"/>
      <c r="BT3341" s="207" t="n"/>
      <c r="BU3341" s="207" t="n"/>
      <c r="BV3341" s="208" t="n"/>
      <c r="BW3341" s="207" t="n"/>
      <c r="BX3341" s="207" t="n"/>
      <c r="BY3341" s="204" t="n"/>
      <c r="BZ3341" s="148" t="n"/>
      <c r="CA3341" s="204" t="n"/>
      <c r="CB3341" s="208" t="n"/>
      <c r="CC3341" s="139" t="n"/>
      <c r="CD3341" s="204" t="n"/>
      <c r="CE3341" s="204" t="n"/>
      <c r="CF3341" s="207" t="n"/>
      <c r="CG3341" s="208" t="n"/>
      <c r="CH3341" s="207" t="n"/>
      <c r="CI3341" s="208" t="n"/>
      <c r="CJ3341" s="204" t="n"/>
      <c r="CK3341" s="208" t="n"/>
      <c r="CL3341" s="208" t="n"/>
      <c r="CM3341" s="208" t="n"/>
      <c r="CN3341" s="78" t="n"/>
      <c r="CO3341" s="209" t="n"/>
      <c r="CP3341" s="204" t="n"/>
      <c r="CQ3341" s="204" t="n"/>
      <c r="CR3341" s="204" t="n"/>
      <c r="CS3341" s="204" t="n"/>
      <c r="CT3341" s="204" t="n"/>
      <c r="CU3341" s="204" t="n"/>
      <c r="CV3341" s="204" t="n"/>
      <c r="CW3341" s="204" t="n"/>
    </row>
    <row r="3342">
      <c r="BF3342" s="78" t="n"/>
      <c r="BG3342" s="78" t="n"/>
      <c r="BH3342" s="78" t="n"/>
      <c r="BI3342" s="78" t="n"/>
      <c r="BJ3342" s="139" t="n"/>
      <c r="BK3342" s="204" t="n"/>
      <c r="BL3342" s="141" t="n"/>
      <c r="BM3342" s="205" t="n"/>
      <c r="BN3342" s="205" t="n"/>
      <c r="BO3342" s="206" t="n"/>
      <c r="BP3342" s="144" t="n"/>
      <c r="BQ3342" s="141" t="n"/>
      <c r="BR3342" s="207" t="n"/>
      <c r="BS3342" s="207" t="n"/>
      <c r="BT3342" s="207" t="n"/>
      <c r="BU3342" s="207" t="n"/>
      <c r="BV3342" s="208" t="n"/>
      <c r="BW3342" s="207" t="n"/>
      <c r="BX3342" s="207" t="n"/>
      <c r="BY3342" s="204" t="n"/>
      <c r="BZ3342" s="148" t="n"/>
      <c r="CA3342" s="204" t="n"/>
      <c r="CB3342" s="208" t="n"/>
      <c r="CC3342" s="139" t="n"/>
      <c r="CD3342" s="204" t="n"/>
      <c r="CE3342" s="204" t="n"/>
      <c r="CF3342" s="207" t="n"/>
      <c r="CG3342" s="208" t="n"/>
      <c r="CH3342" s="207" t="n"/>
      <c r="CI3342" s="208" t="n"/>
      <c r="CJ3342" s="204" t="n"/>
      <c r="CK3342" s="208" t="n"/>
      <c r="CL3342" s="208" t="n"/>
      <c r="CM3342" s="208" t="n"/>
      <c r="CN3342" s="78" t="n"/>
      <c r="CO3342" s="209" t="n"/>
      <c r="CP3342" s="204" t="n"/>
      <c r="CQ3342" s="204" t="n"/>
      <c r="CR3342" s="204" t="n"/>
      <c r="CS3342" s="204" t="n"/>
      <c r="CT3342" s="204" t="n"/>
      <c r="CU3342" s="204" t="n"/>
      <c r="CV3342" s="204" t="n"/>
      <c r="CW3342" s="204" t="n"/>
    </row>
    <row r="3343">
      <c r="BF3343" s="78" t="n"/>
      <c r="BG3343" s="78" t="n"/>
      <c r="BH3343" s="78" t="n"/>
      <c r="BI3343" s="78" t="n"/>
      <c r="BJ3343" s="139" t="n"/>
      <c r="BK3343" s="204" t="n"/>
      <c r="BL3343" s="141" t="n"/>
      <c r="BM3343" s="205" t="n"/>
      <c r="BN3343" s="205" t="n"/>
      <c r="BO3343" s="206" t="n"/>
      <c r="BP3343" s="144" t="n"/>
      <c r="BQ3343" s="141" t="n"/>
      <c r="BR3343" s="207" t="n"/>
      <c r="BS3343" s="207" t="n"/>
      <c r="BT3343" s="207" t="n"/>
      <c r="BU3343" s="207" t="n"/>
      <c r="BV3343" s="208" t="n"/>
      <c r="BW3343" s="207" t="n"/>
      <c r="BX3343" s="207" t="n"/>
      <c r="BY3343" s="204" t="n"/>
      <c r="BZ3343" s="148" t="n"/>
      <c r="CA3343" s="204" t="n"/>
      <c r="CB3343" s="208" t="n"/>
      <c r="CC3343" s="139" t="n"/>
      <c r="CD3343" s="204" t="n"/>
      <c r="CE3343" s="204" t="n"/>
      <c r="CF3343" s="207" t="n"/>
      <c r="CG3343" s="208" t="n"/>
      <c r="CH3343" s="207" t="n"/>
      <c r="CI3343" s="208" t="n"/>
      <c r="CJ3343" s="204" t="n"/>
      <c r="CK3343" s="208" t="n"/>
      <c r="CL3343" s="208" t="n"/>
      <c r="CM3343" s="208" t="n"/>
      <c r="CN3343" s="78" t="n"/>
      <c r="CO3343" s="209" t="n"/>
      <c r="CP3343" s="204" t="n"/>
      <c r="CQ3343" s="204" t="n"/>
      <c r="CR3343" s="204" t="n"/>
      <c r="CS3343" s="204" t="n"/>
      <c r="CT3343" s="204" t="n"/>
      <c r="CU3343" s="204" t="n"/>
      <c r="CV3343" s="204" t="n"/>
      <c r="CW3343" s="204" t="n"/>
    </row>
    <row r="3344">
      <c r="BF3344" s="78" t="n"/>
      <c r="BG3344" s="78" t="n"/>
      <c r="BH3344" s="78" t="n"/>
      <c r="BI3344" s="78" t="n"/>
      <c r="BJ3344" s="139" t="n"/>
      <c r="BK3344" s="204" t="n"/>
      <c r="BL3344" s="141" t="n"/>
      <c r="BM3344" s="205" t="n"/>
      <c r="BN3344" s="205" t="n"/>
      <c r="BO3344" s="206" t="n"/>
      <c r="BP3344" s="144" t="n"/>
      <c r="BQ3344" s="141" t="n"/>
      <c r="BR3344" s="207" t="n"/>
      <c r="BS3344" s="207" t="n"/>
      <c r="BT3344" s="207" t="n"/>
      <c r="BU3344" s="207" t="n"/>
      <c r="BV3344" s="208" t="n"/>
      <c r="BW3344" s="207" t="n"/>
      <c r="BX3344" s="207" t="n"/>
      <c r="BY3344" s="204" t="n"/>
      <c r="BZ3344" s="148" t="n"/>
      <c r="CA3344" s="204" t="n"/>
      <c r="CB3344" s="208" t="n"/>
      <c r="CC3344" s="139" t="n"/>
      <c r="CD3344" s="204" t="n"/>
      <c r="CE3344" s="204" t="n"/>
      <c r="CF3344" s="207" t="n"/>
      <c r="CG3344" s="208" t="n"/>
      <c r="CH3344" s="207" t="n"/>
      <c r="CI3344" s="208" t="n"/>
      <c r="CJ3344" s="204" t="n"/>
      <c r="CK3344" s="208" t="n"/>
      <c r="CL3344" s="208" t="n"/>
      <c r="CM3344" s="208" t="n"/>
      <c r="CN3344" s="78" t="n"/>
      <c r="CO3344" s="209" t="n"/>
      <c r="CP3344" s="204" t="n"/>
      <c r="CQ3344" s="204" t="n"/>
      <c r="CR3344" s="204" t="n"/>
      <c r="CS3344" s="204" t="n"/>
      <c r="CT3344" s="204" t="n"/>
      <c r="CU3344" s="204" t="n"/>
      <c r="CV3344" s="204" t="n"/>
      <c r="CW3344" s="204" t="n"/>
    </row>
    <row r="3345">
      <c r="BF3345" s="78" t="n"/>
      <c r="BG3345" s="78" t="n"/>
      <c r="BH3345" s="78" t="n"/>
      <c r="BI3345" s="78" t="n"/>
      <c r="BJ3345" s="139" t="n"/>
      <c r="BK3345" s="204" t="n"/>
      <c r="BL3345" s="141" t="n"/>
      <c r="BM3345" s="205" t="n"/>
      <c r="BN3345" s="205" t="n"/>
      <c r="BO3345" s="206" t="n"/>
      <c r="BP3345" s="144" t="n"/>
      <c r="BQ3345" s="141" t="n"/>
      <c r="BR3345" s="207" t="n"/>
      <c r="BS3345" s="207" t="n"/>
      <c r="BT3345" s="207" t="n"/>
      <c r="BU3345" s="207" t="n"/>
      <c r="BV3345" s="208" t="n"/>
      <c r="BW3345" s="207" t="n"/>
      <c r="BX3345" s="207" t="n"/>
      <c r="BY3345" s="204" t="n"/>
      <c r="BZ3345" s="148" t="n"/>
      <c r="CA3345" s="204" t="n"/>
      <c r="CB3345" s="208" t="n"/>
      <c r="CC3345" s="139" t="n"/>
      <c r="CD3345" s="204" t="n"/>
      <c r="CE3345" s="204" t="n"/>
      <c r="CF3345" s="207" t="n"/>
      <c r="CG3345" s="208" t="n"/>
      <c r="CH3345" s="207" t="n"/>
      <c r="CI3345" s="208" t="n"/>
      <c r="CJ3345" s="204" t="n"/>
      <c r="CK3345" s="208" t="n"/>
      <c r="CL3345" s="208" t="n"/>
      <c r="CM3345" s="208" t="n"/>
      <c r="CN3345" s="78" t="n"/>
      <c r="CO3345" s="209" t="n"/>
      <c r="CP3345" s="204" t="n"/>
      <c r="CQ3345" s="204" t="n"/>
      <c r="CR3345" s="204" t="n"/>
      <c r="CS3345" s="204" t="n"/>
      <c r="CT3345" s="204" t="n"/>
      <c r="CU3345" s="204" t="n"/>
      <c r="CV3345" s="204" t="n"/>
      <c r="CW3345" s="204" t="n"/>
    </row>
    <row r="3346">
      <c r="BF3346" s="78" t="n"/>
      <c r="BG3346" s="78" t="n"/>
      <c r="BH3346" s="78" t="n"/>
      <c r="BI3346" s="78" t="n"/>
      <c r="BJ3346" s="139" t="n"/>
      <c r="BK3346" s="204" t="n"/>
      <c r="BL3346" s="141" t="n"/>
      <c r="BM3346" s="205" t="n"/>
      <c r="BN3346" s="205" t="n"/>
      <c r="BO3346" s="206" t="n"/>
      <c r="BP3346" s="144" t="n"/>
      <c r="BQ3346" s="141" t="n"/>
      <c r="BR3346" s="207" t="n"/>
      <c r="BS3346" s="207" t="n"/>
      <c r="BT3346" s="207" t="n"/>
      <c r="BU3346" s="207" t="n"/>
      <c r="BV3346" s="208" t="n"/>
      <c r="BW3346" s="207" t="n"/>
      <c r="BX3346" s="207" t="n"/>
      <c r="BY3346" s="204" t="n"/>
      <c r="BZ3346" s="148" t="n"/>
      <c r="CA3346" s="204" t="n"/>
      <c r="CB3346" s="208" t="n"/>
      <c r="CC3346" s="139" t="n"/>
      <c r="CD3346" s="204" t="n"/>
      <c r="CE3346" s="204" t="n"/>
      <c r="CF3346" s="207" t="n"/>
      <c r="CG3346" s="208" t="n"/>
      <c r="CH3346" s="207" t="n"/>
      <c r="CI3346" s="208" t="n"/>
      <c r="CJ3346" s="204" t="n"/>
      <c r="CK3346" s="208" t="n"/>
      <c r="CL3346" s="208" t="n"/>
      <c r="CM3346" s="208" t="n"/>
      <c r="CN3346" s="78" t="n"/>
      <c r="CO3346" s="209" t="n"/>
      <c r="CP3346" s="204" t="n"/>
      <c r="CQ3346" s="204" t="n"/>
      <c r="CR3346" s="204" t="n"/>
      <c r="CS3346" s="204" t="n"/>
      <c r="CT3346" s="204" t="n"/>
      <c r="CU3346" s="204" t="n"/>
      <c r="CV3346" s="204" t="n"/>
      <c r="CW3346" s="204" t="n"/>
    </row>
    <row r="3347">
      <c r="BF3347" s="78" t="n"/>
      <c r="BG3347" s="78" t="n"/>
      <c r="BH3347" s="78" t="n"/>
      <c r="BI3347" s="78" t="n"/>
      <c r="BJ3347" s="139" t="n"/>
      <c r="BK3347" s="204" t="n"/>
      <c r="BL3347" s="141" t="n"/>
      <c r="BM3347" s="205" t="n"/>
      <c r="BN3347" s="205" t="n"/>
      <c r="BO3347" s="206" t="n"/>
      <c r="BP3347" s="144" t="n"/>
      <c r="BQ3347" s="141" t="n"/>
      <c r="BR3347" s="207" t="n"/>
      <c r="BS3347" s="207" t="n"/>
      <c r="BT3347" s="207" t="n"/>
      <c r="BU3347" s="207" t="n"/>
      <c r="BV3347" s="208" t="n"/>
      <c r="BW3347" s="207" t="n"/>
      <c r="BX3347" s="207" t="n"/>
      <c r="BY3347" s="204" t="n"/>
      <c r="BZ3347" s="148" t="n"/>
      <c r="CA3347" s="204" t="n"/>
      <c r="CB3347" s="208" t="n"/>
      <c r="CC3347" s="139" t="n"/>
      <c r="CD3347" s="204" t="n"/>
      <c r="CE3347" s="204" t="n"/>
      <c r="CF3347" s="207" t="n"/>
      <c r="CG3347" s="208" t="n"/>
      <c r="CH3347" s="207" t="n"/>
      <c r="CI3347" s="208" t="n"/>
      <c r="CJ3347" s="204" t="n"/>
      <c r="CK3347" s="208" t="n"/>
      <c r="CL3347" s="208" t="n"/>
      <c r="CM3347" s="208" t="n"/>
      <c r="CN3347" s="78" t="n"/>
      <c r="CO3347" s="209" t="n"/>
      <c r="CP3347" s="204" t="n"/>
      <c r="CQ3347" s="204" t="n"/>
      <c r="CR3347" s="204" t="n"/>
      <c r="CS3347" s="204" t="n"/>
      <c r="CT3347" s="204" t="n"/>
      <c r="CU3347" s="204" t="n"/>
      <c r="CV3347" s="204" t="n"/>
      <c r="CW3347" s="204" t="n"/>
    </row>
    <row r="3348">
      <c r="BF3348" s="78" t="n"/>
      <c r="BG3348" s="78" t="n"/>
      <c r="BH3348" s="78" t="n"/>
      <c r="BI3348" s="78" t="n"/>
      <c r="BJ3348" s="139" t="n"/>
      <c r="BK3348" s="204" t="n"/>
      <c r="BL3348" s="141" t="n"/>
      <c r="BM3348" s="205" t="n"/>
      <c r="BN3348" s="205" t="n"/>
      <c r="BO3348" s="206" t="n"/>
      <c r="BP3348" s="144" t="n"/>
      <c r="BQ3348" s="141" t="n"/>
      <c r="BR3348" s="207" t="n"/>
      <c r="BS3348" s="207" t="n"/>
      <c r="BT3348" s="207" t="n"/>
      <c r="BU3348" s="207" t="n"/>
      <c r="BV3348" s="208" t="n"/>
      <c r="BW3348" s="207" t="n"/>
      <c r="BX3348" s="207" t="n"/>
      <c r="BY3348" s="204" t="n"/>
      <c r="BZ3348" s="148" t="n"/>
      <c r="CA3348" s="204" t="n"/>
      <c r="CB3348" s="208" t="n"/>
      <c r="CC3348" s="139" t="n"/>
      <c r="CD3348" s="204" t="n"/>
      <c r="CE3348" s="204" t="n"/>
      <c r="CF3348" s="207" t="n"/>
      <c r="CG3348" s="208" t="n"/>
      <c r="CH3348" s="207" t="n"/>
      <c r="CI3348" s="208" t="n"/>
      <c r="CJ3348" s="204" t="n"/>
      <c r="CK3348" s="208" t="n"/>
      <c r="CL3348" s="208" t="n"/>
      <c r="CM3348" s="208" t="n"/>
      <c r="CN3348" s="78" t="n"/>
      <c r="CO3348" s="209" t="n"/>
      <c r="CP3348" s="204" t="n"/>
      <c r="CQ3348" s="204" t="n"/>
      <c r="CR3348" s="204" t="n"/>
      <c r="CS3348" s="204" t="n"/>
      <c r="CT3348" s="204" t="n"/>
      <c r="CU3348" s="204" t="n"/>
      <c r="CV3348" s="204" t="n"/>
      <c r="CW3348" s="204" t="n"/>
    </row>
    <row r="3349">
      <c r="BF3349" s="78" t="n"/>
      <c r="BG3349" s="78" t="n"/>
      <c r="BH3349" s="78" t="n"/>
      <c r="BI3349" s="78" t="n"/>
      <c r="BJ3349" s="139" t="n"/>
      <c r="BK3349" s="204" t="n"/>
      <c r="BL3349" s="141" t="n"/>
      <c r="BM3349" s="205" t="n"/>
      <c r="BN3349" s="205" t="n"/>
      <c r="BO3349" s="206" t="n"/>
      <c r="BP3349" s="144" t="n"/>
      <c r="BQ3349" s="141" t="n"/>
      <c r="BR3349" s="207" t="n"/>
      <c r="BS3349" s="207" t="n"/>
      <c r="BT3349" s="207" t="n"/>
      <c r="BU3349" s="207" t="n"/>
      <c r="BV3349" s="208" t="n"/>
      <c r="BW3349" s="207" t="n"/>
      <c r="BX3349" s="207" t="n"/>
      <c r="BY3349" s="204" t="n"/>
      <c r="BZ3349" s="148" t="n"/>
      <c r="CA3349" s="204" t="n"/>
      <c r="CB3349" s="208" t="n"/>
      <c r="CC3349" s="139" t="n"/>
      <c r="CD3349" s="204" t="n"/>
      <c r="CE3349" s="204" t="n"/>
      <c r="CF3349" s="207" t="n"/>
      <c r="CG3349" s="208" t="n"/>
      <c r="CH3349" s="207" t="n"/>
      <c r="CI3349" s="208" t="n"/>
      <c r="CJ3349" s="204" t="n"/>
      <c r="CK3349" s="208" t="n"/>
      <c r="CL3349" s="208" t="n"/>
      <c r="CM3349" s="208" t="n"/>
      <c r="CN3349" s="78" t="n"/>
      <c r="CO3349" s="209" t="n"/>
      <c r="CP3349" s="204" t="n"/>
      <c r="CQ3349" s="204" t="n"/>
      <c r="CR3349" s="204" t="n"/>
      <c r="CS3349" s="204" t="n"/>
      <c r="CT3349" s="204" t="n"/>
      <c r="CU3349" s="204" t="n"/>
      <c r="CV3349" s="204" t="n"/>
      <c r="CW3349" s="204" t="n"/>
    </row>
    <row r="3350">
      <c r="BF3350" s="78" t="n"/>
      <c r="BG3350" s="78" t="n"/>
      <c r="BH3350" s="78" t="n"/>
      <c r="BI3350" s="78" t="n"/>
      <c r="BJ3350" s="139" t="n"/>
      <c r="BK3350" s="204" t="n"/>
      <c r="BL3350" s="141" t="n"/>
      <c r="BM3350" s="205" t="n"/>
      <c r="BN3350" s="205" t="n"/>
      <c r="BO3350" s="206" t="n"/>
      <c r="BP3350" s="144" t="n"/>
      <c r="BQ3350" s="141" t="n"/>
      <c r="BR3350" s="207" t="n"/>
      <c r="BS3350" s="207" t="n"/>
      <c r="BT3350" s="207" t="n"/>
      <c r="BU3350" s="207" t="n"/>
      <c r="BV3350" s="208" t="n"/>
      <c r="BW3350" s="207" t="n"/>
      <c r="BX3350" s="207" t="n"/>
      <c r="BY3350" s="204" t="n"/>
      <c r="BZ3350" s="148" t="n"/>
      <c r="CA3350" s="204" t="n"/>
      <c r="CB3350" s="208" t="n"/>
      <c r="CC3350" s="139" t="n"/>
      <c r="CD3350" s="204" t="n"/>
      <c r="CE3350" s="204" t="n"/>
      <c r="CF3350" s="207" t="n"/>
      <c r="CG3350" s="208" t="n"/>
      <c r="CH3350" s="207" t="n"/>
      <c r="CI3350" s="208" t="n"/>
      <c r="CJ3350" s="204" t="n"/>
      <c r="CK3350" s="208" t="n"/>
      <c r="CL3350" s="208" t="n"/>
      <c r="CM3350" s="208" t="n"/>
      <c r="CN3350" s="78" t="n"/>
      <c r="CO3350" s="209" t="n"/>
      <c r="CP3350" s="204" t="n"/>
      <c r="CQ3350" s="204" t="n"/>
      <c r="CR3350" s="204" t="n"/>
      <c r="CS3350" s="204" t="n"/>
      <c r="CT3350" s="204" t="n"/>
      <c r="CU3350" s="204" t="n"/>
      <c r="CV3350" s="204" t="n"/>
      <c r="CW3350" s="204" t="n"/>
    </row>
    <row r="3351">
      <c r="BF3351" s="78" t="n"/>
      <c r="BG3351" s="78" t="n"/>
      <c r="BH3351" s="78" t="n"/>
      <c r="BI3351" s="78" t="n"/>
      <c r="BJ3351" s="139" t="n"/>
      <c r="BK3351" s="204" t="n"/>
      <c r="BL3351" s="141" t="n"/>
      <c r="BM3351" s="205" t="n"/>
      <c r="BN3351" s="205" t="n"/>
      <c r="BO3351" s="206" t="n"/>
      <c r="BP3351" s="144" t="n"/>
      <c r="BQ3351" s="141" t="n"/>
      <c r="BR3351" s="207" t="n"/>
      <c r="BS3351" s="207" t="n"/>
      <c r="BT3351" s="207" t="n"/>
      <c r="BU3351" s="207" t="n"/>
      <c r="BV3351" s="208" t="n"/>
      <c r="BW3351" s="207" t="n"/>
      <c r="BX3351" s="207" t="n"/>
      <c r="BY3351" s="204" t="n"/>
      <c r="BZ3351" s="148" t="n"/>
      <c r="CA3351" s="204" t="n"/>
      <c r="CB3351" s="208" t="n"/>
      <c r="CC3351" s="139" t="n"/>
      <c r="CD3351" s="204" t="n"/>
      <c r="CE3351" s="204" t="n"/>
      <c r="CF3351" s="207" t="n"/>
      <c r="CG3351" s="208" t="n"/>
      <c r="CH3351" s="207" t="n"/>
      <c r="CI3351" s="208" t="n"/>
      <c r="CJ3351" s="204" t="n"/>
      <c r="CK3351" s="208" t="n"/>
      <c r="CL3351" s="208" t="n"/>
      <c r="CM3351" s="208" t="n"/>
      <c r="CN3351" s="78" t="n"/>
      <c r="CO3351" s="209" t="n"/>
      <c r="CP3351" s="204" t="n"/>
      <c r="CQ3351" s="204" t="n"/>
      <c r="CR3351" s="204" t="n"/>
      <c r="CS3351" s="204" t="n"/>
      <c r="CT3351" s="204" t="n"/>
      <c r="CU3351" s="204" t="n"/>
      <c r="CV3351" s="204" t="n"/>
      <c r="CW3351" s="204" t="n"/>
    </row>
    <row r="3352">
      <c r="BF3352" s="78" t="n"/>
      <c r="BG3352" s="78" t="n"/>
      <c r="BH3352" s="78" t="n"/>
      <c r="BI3352" s="78" t="n"/>
      <c r="BJ3352" s="139" t="n"/>
      <c r="BK3352" s="204" t="n"/>
      <c r="BL3352" s="141" t="n"/>
      <c r="BM3352" s="205" t="n"/>
      <c r="BN3352" s="205" t="n"/>
      <c r="BO3352" s="206" t="n"/>
      <c r="BP3352" s="144" t="n"/>
      <c r="BQ3352" s="141" t="n"/>
      <c r="BR3352" s="207" t="n"/>
      <c r="BS3352" s="207" t="n"/>
      <c r="BT3352" s="207" t="n"/>
      <c r="BU3352" s="207" t="n"/>
      <c r="BV3352" s="208" t="n"/>
      <c r="BW3352" s="207" t="n"/>
      <c r="BX3352" s="207" t="n"/>
      <c r="BY3352" s="204" t="n"/>
      <c r="BZ3352" s="148" t="n"/>
      <c r="CA3352" s="204" t="n"/>
      <c r="CB3352" s="208" t="n"/>
      <c r="CC3352" s="139" t="n"/>
      <c r="CD3352" s="204" t="n"/>
      <c r="CE3352" s="204" t="n"/>
      <c r="CF3352" s="207" t="n"/>
      <c r="CG3352" s="208" t="n"/>
      <c r="CH3352" s="207" t="n"/>
      <c r="CI3352" s="208" t="n"/>
      <c r="CJ3352" s="204" t="n"/>
      <c r="CK3352" s="208" t="n"/>
      <c r="CL3352" s="208" t="n"/>
      <c r="CM3352" s="208" t="n"/>
      <c r="CN3352" s="78" t="n"/>
      <c r="CO3352" s="209" t="n"/>
      <c r="CP3352" s="204" t="n"/>
      <c r="CQ3352" s="204" t="n"/>
      <c r="CR3352" s="204" t="n"/>
      <c r="CS3352" s="204" t="n"/>
      <c r="CT3352" s="204" t="n"/>
      <c r="CU3352" s="204" t="n"/>
      <c r="CV3352" s="204" t="n"/>
      <c r="CW3352" s="204" t="n"/>
    </row>
    <row r="3353">
      <c r="BF3353" s="78" t="n"/>
      <c r="BG3353" s="78" t="n"/>
      <c r="BH3353" s="78" t="n"/>
      <c r="BI3353" s="78" t="n"/>
      <c r="BJ3353" s="139" t="n"/>
      <c r="BK3353" s="204" t="n"/>
      <c r="BL3353" s="141" t="n"/>
      <c r="BM3353" s="205" t="n"/>
      <c r="BN3353" s="205" t="n"/>
      <c r="BO3353" s="206" t="n"/>
      <c r="BP3353" s="144" t="n"/>
      <c r="BQ3353" s="141" t="n"/>
      <c r="BR3353" s="207" t="n"/>
      <c r="BS3353" s="207" t="n"/>
      <c r="BT3353" s="207" t="n"/>
      <c r="BU3353" s="207" t="n"/>
      <c r="BV3353" s="208" t="n"/>
      <c r="BW3353" s="207" t="n"/>
      <c r="BX3353" s="207" t="n"/>
      <c r="BY3353" s="204" t="n"/>
      <c r="BZ3353" s="148" t="n"/>
      <c r="CA3353" s="204" t="n"/>
      <c r="CB3353" s="208" t="n"/>
      <c r="CC3353" s="139" t="n"/>
      <c r="CD3353" s="204" t="n"/>
      <c r="CE3353" s="204" t="n"/>
      <c r="CF3353" s="207" t="n"/>
      <c r="CG3353" s="208" t="n"/>
      <c r="CH3353" s="207" t="n"/>
      <c r="CI3353" s="208" t="n"/>
      <c r="CJ3353" s="204" t="n"/>
      <c r="CK3353" s="208" t="n"/>
      <c r="CL3353" s="208" t="n"/>
      <c r="CM3353" s="208" t="n"/>
      <c r="CN3353" s="78" t="n"/>
      <c r="CO3353" s="209" t="n"/>
      <c r="CP3353" s="204" t="n"/>
      <c r="CQ3353" s="204" t="n"/>
      <c r="CR3353" s="204" t="n"/>
      <c r="CS3353" s="204" t="n"/>
      <c r="CT3353" s="204" t="n"/>
      <c r="CU3353" s="204" t="n"/>
      <c r="CV3353" s="204" t="n"/>
      <c r="CW3353" s="204" t="n"/>
    </row>
    <row r="3354">
      <c r="BF3354" s="78" t="n"/>
      <c r="BG3354" s="78" t="n"/>
      <c r="BH3354" s="78" t="n"/>
      <c r="BI3354" s="78" t="n"/>
      <c r="BJ3354" s="139" t="n"/>
      <c r="BK3354" s="204" t="n"/>
      <c r="BL3354" s="141" t="n"/>
      <c r="BM3354" s="205" t="n"/>
      <c r="BN3354" s="205" t="n"/>
      <c r="BO3354" s="206" t="n"/>
      <c r="BP3354" s="144" t="n"/>
      <c r="BQ3354" s="141" t="n"/>
      <c r="BR3354" s="207" t="n"/>
      <c r="BS3354" s="207" t="n"/>
      <c r="BT3354" s="207" t="n"/>
      <c r="BU3354" s="207" t="n"/>
      <c r="BV3354" s="208" t="n"/>
      <c r="BW3354" s="207" t="n"/>
      <c r="BX3354" s="207" t="n"/>
      <c r="BY3354" s="204" t="n"/>
      <c r="BZ3354" s="148" t="n"/>
      <c r="CA3354" s="204" t="n"/>
      <c r="CB3354" s="208" t="n"/>
      <c r="CC3354" s="139" t="n"/>
      <c r="CD3354" s="204" t="n"/>
      <c r="CE3354" s="204" t="n"/>
      <c r="CF3354" s="207" t="n"/>
      <c r="CG3354" s="208" t="n"/>
      <c r="CH3354" s="207" t="n"/>
      <c r="CI3354" s="208" t="n"/>
      <c r="CJ3354" s="204" t="n"/>
      <c r="CK3354" s="208" t="n"/>
      <c r="CL3354" s="208" t="n"/>
      <c r="CM3354" s="208" t="n"/>
      <c r="CN3354" s="78" t="n"/>
      <c r="CO3354" s="209" t="n"/>
      <c r="CP3354" s="204" t="n"/>
      <c r="CQ3354" s="204" t="n"/>
      <c r="CR3354" s="204" t="n"/>
      <c r="CS3354" s="204" t="n"/>
      <c r="CT3354" s="204" t="n"/>
      <c r="CU3354" s="204" t="n"/>
      <c r="CV3354" s="204" t="n"/>
      <c r="CW3354" s="204" t="n"/>
    </row>
    <row r="3355">
      <c r="BF3355" s="78" t="n"/>
      <c r="BG3355" s="78" t="n"/>
      <c r="BH3355" s="78" t="n"/>
      <c r="BI3355" s="78" t="n"/>
      <c r="BJ3355" s="139" t="n"/>
      <c r="BK3355" s="204" t="n"/>
      <c r="BL3355" s="141" t="n"/>
      <c r="BM3355" s="205" t="n"/>
      <c r="BN3355" s="205" t="n"/>
      <c r="BO3355" s="206" t="n"/>
      <c r="BP3355" s="144" t="n"/>
      <c r="BQ3355" s="141" t="n"/>
      <c r="BR3355" s="207" t="n"/>
      <c r="BS3355" s="207" t="n"/>
      <c r="BT3355" s="207" t="n"/>
      <c r="BU3355" s="207" t="n"/>
      <c r="BV3355" s="208" t="n"/>
      <c r="BW3355" s="207" t="n"/>
      <c r="BX3355" s="207" t="n"/>
      <c r="BY3355" s="204" t="n"/>
      <c r="BZ3355" s="148" t="n"/>
      <c r="CA3355" s="204" t="n"/>
      <c r="CB3355" s="208" t="n"/>
      <c r="CC3355" s="139" t="n"/>
      <c r="CD3355" s="204" t="n"/>
      <c r="CE3355" s="204" t="n"/>
      <c r="CF3355" s="207" t="n"/>
      <c r="CG3355" s="208" t="n"/>
      <c r="CH3355" s="207" t="n"/>
      <c r="CI3355" s="208" t="n"/>
      <c r="CJ3355" s="204" t="n"/>
      <c r="CK3355" s="208" t="n"/>
      <c r="CL3355" s="208" t="n"/>
      <c r="CM3355" s="208" t="n"/>
      <c r="CN3355" s="78" t="n"/>
      <c r="CO3355" s="209" t="n"/>
      <c r="CP3355" s="204" t="n"/>
      <c r="CQ3355" s="204" t="n"/>
      <c r="CR3355" s="204" t="n"/>
      <c r="CS3355" s="204" t="n"/>
      <c r="CT3355" s="204" t="n"/>
      <c r="CU3355" s="204" t="n"/>
      <c r="CV3355" s="204" t="n"/>
      <c r="CW3355" s="204" t="n"/>
    </row>
    <row r="3356">
      <c r="BF3356" s="78" t="n"/>
      <c r="BG3356" s="78" t="n"/>
      <c r="BH3356" s="78" t="n"/>
      <c r="BI3356" s="78" t="n"/>
      <c r="BJ3356" s="139" t="n"/>
      <c r="BK3356" s="204" t="n"/>
      <c r="BL3356" s="141" t="n"/>
      <c r="BM3356" s="205" t="n"/>
      <c r="BN3356" s="205" t="n"/>
      <c r="BO3356" s="206" t="n"/>
      <c r="BP3356" s="144" t="n"/>
      <c r="BQ3356" s="141" t="n"/>
      <c r="BR3356" s="207" t="n"/>
      <c r="BS3356" s="207" t="n"/>
      <c r="BT3356" s="207" t="n"/>
      <c r="BU3356" s="207" t="n"/>
      <c r="BV3356" s="208" t="n"/>
      <c r="BW3356" s="207" t="n"/>
      <c r="BX3356" s="207" t="n"/>
      <c r="BY3356" s="204" t="n"/>
      <c r="BZ3356" s="148" t="n"/>
      <c r="CA3356" s="204" t="n"/>
      <c r="CB3356" s="208" t="n"/>
      <c r="CC3356" s="139" t="n"/>
      <c r="CD3356" s="204" t="n"/>
      <c r="CE3356" s="204" t="n"/>
      <c r="CF3356" s="207" t="n"/>
      <c r="CG3356" s="208" t="n"/>
      <c r="CH3356" s="207" t="n"/>
      <c r="CI3356" s="208" t="n"/>
      <c r="CJ3356" s="204" t="n"/>
      <c r="CK3356" s="208" t="n"/>
      <c r="CL3356" s="208" t="n"/>
      <c r="CM3356" s="208" t="n"/>
      <c r="CN3356" s="78" t="n"/>
      <c r="CO3356" s="209" t="n"/>
      <c r="CP3356" s="204" t="n"/>
      <c r="CQ3356" s="204" t="n"/>
      <c r="CR3356" s="204" t="n"/>
      <c r="CS3356" s="204" t="n"/>
      <c r="CT3356" s="204" t="n"/>
      <c r="CU3356" s="204" t="n"/>
      <c r="CV3356" s="204" t="n"/>
      <c r="CW3356" s="204" t="n"/>
    </row>
    <row r="3357">
      <c r="BF3357" s="78" t="n"/>
      <c r="BG3357" s="78" t="n"/>
      <c r="BH3357" s="78" t="n"/>
      <c r="BI3357" s="78" t="n"/>
      <c r="BJ3357" s="139" t="n"/>
      <c r="BK3357" s="204" t="n"/>
      <c r="BL3357" s="141" t="n"/>
      <c r="BM3357" s="205" t="n"/>
      <c r="BN3357" s="205" t="n"/>
      <c r="BO3357" s="206" t="n"/>
      <c r="BP3357" s="144" t="n"/>
      <c r="BQ3357" s="141" t="n"/>
      <c r="BR3357" s="207" t="n"/>
      <c r="BS3357" s="207" t="n"/>
      <c r="BT3357" s="207" t="n"/>
      <c r="BU3357" s="207" t="n"/>
      <c r="BV3357" s="208" t="n"/>
      <c r="BW3357" s="207" t="n"/>
      <c r="BX3357" s="207" t="n"/>
      <c r="BY3357" s="204" t="n"/>
      <c r="BZ3357" s="148" t="n"/>
      <c r="CA3357" s="204" t="n"/>
      <c r="CB3357" s="208" t="n"/>
      <c r="CC3357" s="139" t="n"/>
      <c r="CD3357" s="204" t="n"/>
      <c r="CE3357" s="204" t="n"/>
      <c r="CF3357" s="207" t="n"/>
      <c r="CG3357" s="208" t="n"/>
      <c r="CH3357" s="207" t="n"/>
      <c r="CI3357" s="208" t="n"/>
      <c r="CJ3357" s="204" t="n"/>
      <c r="CK3357" s="208" t="n"/>
      <c r="CL3357" s="208" t="n"/>
      <c r="CM3357" s="208" t="n"/>
      <c r="CN3357" s="78" t="n"/>
      <c r="CO3357" s="209" t="n"/>
      <c r="CP3357" s="204" t="n"/>
      <c r="CQ3357" s="204" t="n"/>
      <c r="CR3357" s="204" t="n"/>
      <c r="CS3357" s="204" t="n"/>
      <c r="CT3357" s="204" t="n"/>
      <c r="CU3357" s="204" t="n"/>
      <c r="CV3357" s="204" t="n"/>
      <c r="CW3357" s="204" t="n"/>
    </row>
    <row r="3358">
      <c r="BF3358" s="78" t="n"/>
      <c r="BG3358" s="78" t="n"/>
      <c r="BH3358" s="78" t="n"/>
      <c r="BI3358" s="78" t="n"/>
      <c r="BJ3358" s="139" t="n"/>
      <c r="BK3358" s="204" t="n"/>
      <c r="BL3358" s="141" t="n"/>
      <c r="BM3358" s="205" t="n"/>
      <c r="BN3358" s="205" t="n"/>
      <c r="BO3358" s="206" t="n"/>
      <c r="BP3358" s="144" t="n"/>
      <c r="BQ3358" s="141" t="n"/>
      <c r="BR3358" s="207" t="n"/>
      <c r="BS3358" s="207" t="n"/>
      <c r="BT3358" s="207" t="n"/>
      <c r="BU3358" s="207" t="n"/>
      <c r="BV3358" s="208" t="n"/>
      <c r="BW3358" s="207" t="n"/>
      <c r="BX3358" s="207" t="n"/>
      <c r="BY3358" s="204" t="n"/>
      <c r="BZ3358" s="148" t="n"/>
      <c r="CA3358" s="204" t="n"/>
      <c r="CB3358" s="208" t="n"/>
      <c r="CC3358" s="139" t="n"/>
      <c r="CD3358" s="204" t="n"/>
      <c r="CE3358" s="204" t="n"/>
      <c r="CF3358" s="207" t="n"/>
      <c r="CG3358" s="208" t="n"/>
      <c r="CH3358" s="207" t="n"/>
      <c r="CI3358" s="208" t="n"/>
      <c r="CJ3358" s="204" t="n"/>
      <c r="CK3358" s="208" t="n"/>
      <c r="CL3358" s="208" t="n"/>
      <c r="CM3358" s="208" t="n"/>
      <c r="CN3358" s="78" t="n"/>
      <c r="CO3358" s="209" t="n"/>
      <c r="CP3358" s="204" t="n"/>
      <c r="CQ3358" s="204" t="n"/>
      <c r="CR3358" s="204" t="n"/>
      <c r="CS3358" s="204" t="n"/>
      <c r="CT3358" s="204" t="n"/>
      <c r="CU3358" s="204" t="n"/>
      <c r="CV3358" s="204" t="n"/>
      <c r="CW3358" s="204" t="n"/>
    </row>
    <row r="3359">
      <c r="AR3359" s="151" t="n"/>
      <c r="BF3359" s="78" t="n"/>
      <c r="BG3359" s="78" t="n"/>
      <c r="BH3359" s="78" t="n"/>
      <c r="BI3359" s="78" t="n"/>
      <c r="BJ3359" s="139" t="n"/>
      <c r="BK3359" s="204" t="n"/>
      <c r="BL3359" s="141" t="n"/>
      <c r="BM3359" s="205" t="n"/>
      <c r="BN3359" s="205" t="n"/>
      <c r="BO3359" s="206" t="n"/>
      <c r="BP3359" s="144" t="n"/>
      <c r="BQ3359" s="141" t="n"/>
      <c r="BR3359" s="207" t="n"/>
      <c r="BS3359" s="207" t="n"/>
      <c r="BT3359" s="207" t="n"/>
      <c r="BU3359" s="207" t="n"/>
      <c r="BV3359" s="208" t="n"/>
      <c r="BW3359" s="207" t="n"/>
      <c r="BX3359" s="207" t="n"/>
      <c r="BY3359" s="204" t="n"/>
      <c r="BZ3359" s="148" t="n"/>
      <c r="CA3359" s="204" t="n"/>
      <c r="CB3359" s="208" t="n"/>
      <c r="CC3359" s="139" t="n"/>
      <c r="CD3359" s="204" t="n"/>
      <c r="CE3359" s="204" t="n"/>
      <c r="CF3359" s="207" t="n"/>
      <c r="CG3359" s="208" t="n"/>
      <c r="CH3359" s="207" t="n"/>
      <c r="CI3359" s="208" t="n"/>
      <c r="CJ3359" s="204" t="n"/>
      <c r="CK3359" s="208" t="n"/>
      <c r="CL3359" s="208" t="n"/>
      <c r="CM3359" s="208" t="n"/>
      <c r="CN3359" s="78" t="n"/>
      <c r="CO3359" s="209" t="n"/>
      <c r="CP3359" s="204" t="n"/>
      <c r="CQ3359" s="204" t="n"/>
      <c r="CR3359" s="204" t="n"/>
      <c r="CS3359" s="204" t="n"/>
      <c r="CT3359" s="204" t="n"/>
      <c r="CU3359" s="204" t="n"/>
      <c r="CV3359" s="204" t="n"/>
      <c r="CW3359" s="204" t="n"/>
    </row>
    <row r="3360">
      <c r="BF3360" s="78" t="n"/>
      <c r="BG3360" s="78" t="n"/>
      <c r="BH3360" s="78" t="n"/>
      <c r="BI3360" s="78" t="n"/>
      <c r="BJ3360" s="139" t="n"/>
      <c r="BK3360" s="204" t="n"/>
      <c r="BL3360" s="141" t="n"/>
      <c r="BM3360" s="205" t="n"/>
      <c r="BN3360" s="205" t="n"/>
      <c r="BO3360" s="206" t="n"/>
      <c r="BP3360" s="144" t="n"/>
      <c r="BQ3360" s="141" t="n"/>
      <c r="BR3360" s="207" t="n"/>
      <c r="BS3360" s="207" t="n"/>
      <c r="BT3360" s="207" t="n"/>
      <c r="BU3360" s="207" t="n"/>
      <c r="BV3360" s="208" t="n"/>
      <c r="BW3360" s="207" t="n"/>
      <c r="BX3360" s="207" t="n"/>
      <c r="BY3360" s="204" t="n"/>
      <c r="BZ3360" s="148" t="n"/>
      <c r="CA3360" s="204" t="n"/>
      <c r="CB3360" s="208" t="n"/>
      <c r="CC3360" s="139" t="n"/>
      <c r="CD3360" s="204" t="n"/>
      <c r="CE3360" s="204" t="n"/>
      <c r="CF3360" s="207" t="n"/>
      <c r="CG3360" s="208" t="n"/>
      <c r="CH3360" s="207" t="n"/>
      <c r="CI3360" s="208" t="n"/>
      <c r="CJ3360" s="204" t="n"/>
      <c r="CK3360" s="208" t="n"/>
      <c r="CL3360" s="208" t="n"/>
      <c r="CM3360" s="208" t="n"/>
      <c r="CN3360" s="78" t="n"/>
      <c r="CO3360" s="209" t="n"/>
      <c r="CP3360" s="204" t="n"/>
      <c r="CQ3360" s="204" t="n"/>
      <c r="CR3360" s="204" t="n"/>
      <c r="CS3360" s="204" t="n"/>
      <c r="CT3360" s="204" t="n"/>
      <c r="CU3360" s="204" t="n"/>
      <c r="CV3360" s="204" t="n"/>
      <c r="CW3360" s="204" t="n"/>
    </row>
    <row r="3361">
      <c r="BF3361" s="78" t="n"/>
      <c r="BG3361" s="78" t="n"/>
      <c r="BH3361" s="78" t="n"/>
      <c r="BI3361" s="78" t="n"/>
      <c r="BJ3361" s="139" t="n"/>
      <c r="BK3361" s="204" t="n"/>
      <c r="BL3361" s="141" t="n"/>
      <c r="BM3361" s="205" t="n"/>
      <c r="BN3361" s="205" t="n"/>
      <c r="BO3361" s="206" t="n"/>
      <c r="BP3361" s="144" t="n"/>
      <c r="BQ3361" s="141" t="n"/>
      <c r="BR3361" s="207" t="n"/>
      <c r="BS3361" s="207" t="n"/>
      <c r="BT3361" s="207" t="n"/>
      <c r="BU3361" s="207" t="n"/>
      <c r="BV3361" s="208" t="n"/>
      <c r="BW3361" s="207" t="n"/>
      <c r="BX3361" s="207" t="n"/>
      <c r="BY3361" s="204" t="n"/>
      <c r="BZ3361" s="148" t="n"/>
      <c r="CA3361" s="204" t="n"/>
      <c r="CB3361" s="208" t="n"/>
      <c r="CC3361" s="139" t="n"/>
      <c r="CD3361" s="204" t="n"/>
      <c r="CE3361" s="204" t="n"/>
      <c r="CF3361" s="207" t="n"/>
      <c r="CG3361" s="208" t="n"/>
      <c r="CH3361" s="207" t="n"/>
      <c r="CI3361" s="208" t="n"/>
      <c r="CJ3361" s="204" t="n"/>
      <c r="CK3361" s="208" t="n"/>
      <c r="CL3361" s="208" t="n"/>
      <c r="CM3361" s="208" t="n"/>
      <c r="CN3361" s="78" t="n"/>
      <c r="CO3361" s="209" t="n"/>
      <c r="CP3361" s="204" t="n"/>
      <c r="CQ3361" s="204" t="n"/>
      <c r="CR3361" s="204" t="n"/>
      <c r="CS3361" s="204" t="n"/>
      <c r="CT3361" s="204" t="n"/>
      <c r="CU3361" s="204" t="n"/>
      <c r="CV3361" s="204" t="n"/>
      <c r="CW3361" s="204" t="n"/>
    </row>
    <row r="3362">
      <c r="BF3362" s="78" t="n"/>
      <c r="BG3362" s="78" t="n"/>
      <c r="BH3362" s="78" t="n"/>
      <c r="BI3362" s="78" t="n"/>
      <c r="BJ3362" s="139" t="n"/>
      <c r="BK3362" s="204" t="n"/>
      <c r="BL3362" s="141" t="n"/>
      <c r="BM3362" s="205" t="n"/>
      <c r="BN3362" s="205" t="n"/>
      <c r="BO3362" s="206" t="n"/>
      <c r="BP3362" s="144" t="n"/>
      <c r="BQ3362" s="141" t="n"/>
      <c r="BR3362" s="207" t="n"/>
      <c r="BS3362" s="207" t="n"/>
      <c r="BT3362" s="207" t="n"/>
      <c r="BU3362" s="207" t="n"/>
      <c r="BV3362" s="208" t="n"/>
      <c r="BW3362" s="207" t="n"/>
      <c r="BX3362" s="207" t="n"/>
      <c r="BY3362" s="204" t="n"/>
      <c r="BZ3362" s="148" t="n"/>
      <c r="CA3362" s="204" t="n"/>
      <c r="CB3362" s="208" t="n"/>
      <c r="CC3362" s="139" t="n"/>
      <c r="CD3362" s="204" t="n"/>
      <c r="CE3362" s="204" t="n"/>
      <c r="CF3362" s="207" t="n"/>
      <c r="CG3362" s="208" t="n"/>
      <c r="CH3362" s="207" t="n"/>
      <c r="CI3362" s="208" t="n"/>
      <c r="CJ3362" s="204" t="n"/>
      <c r="CK3362" s="208" t="n"/>
      <c r="CL3362" s="208" t="n"/>
      <c r="CM3362" s="208" t="n"/>
      <c r="CN3362" s="78" t="n"/>
      <c r="CO3362" s="209" t="n"/>
      <c r="CP3362" s="204" t="n"/>
      <c r="CQ3362" s="204" t="n"/>
      <c r="CR3362" s="204" t="n"/>
      <c r="CS3362" s="204" t="n"/>
      <c r="CT3362" s="204" t="n"/>
      <c r="CU3362" s="204" t="n"/>
      <c r="CV3362" s="204" t="n"/>
      <c r="CW3362" s="204" t="n"/>
    </row>
    <row r="3363">
      <c r="AR3363" s="151" t="n"/>
      <c r="BF3363" s="78" t="n"/>
      <c r="BG3363" s="78" t="n"/>
      <c r="BH3363" s="78" t="n"/>
      <c r="BI3363" s="78" t="n"/>
      <c r="BJ3363" s="139" t="n"/>
      <c r="BK3363" s="204" t="n"/>
      <c r="BL3363" s="141" t="n"/>
      <c r="BM3363" s="205" t="n"/>
      <c r="BN3363" s="205" t="n"/>
      <c r="BO3363" s="206" t="n"/>
      <c r="BP3363" s="144" t="n"/>
      <c r="BQ3363" s="141" t="n"/>
      <c r="BR3363" s="207" t="n"/>
      <c r="BS3363" s="207" t="n"/>
      <c r="BT3363" s="207" t="n"/>
      <c r="BU3363" s="207" t="n"/>
      <c r="BV3363" s="208" t="n"/>
      <c r="BW3363" s="207" t="n"/>
      <c r="BX3363" s="207" t="n"/>
      <c r="BY3363" s="204" t="n"/>
      <c r="BZ3363" s="148" t="n"/>
      <c r="CA3363" s="204" t="n"/>
      <c r="CB3363" s="208" t="n"/>
      <c r="CC3363" s="139" t="n"/>
      <c r="CD3363" s="204" t="n"/>
      <c r="CE3363" s="204" t="n"/>
      <c r="CF3363" s="207" t="n"/>
      <c r="CG3363" s="208" t="n"/>
      <c r="CH3363" s="207" t="n"/>
      <c r="CI3363" s="208" t="n"/>
      <c r="CJ3363" s="204" t="n"/>
      <c r="CK3363" s="208" t="n"/>
      <c r="CL3363" s="208" t="n"/>
      <c r="CM3363" s="208" t="n"/>
      <c r="CN3363" s="78" t="n"/>
      <c r="CO3363" s="209" t="n"/>
      <c r="CP3363" s="204" t="n"/>
      <c r="CQ3363" s="204" t="n"/>
      <c r="CR3363" s="204" t="n"/>
      <c r="CS3363" s="204" t="n"/>
      <c r="CT3363" s="204" t="n"/>
      <c r="CU3363" s="204" t="n"/>
      <c r="CV3363" s="204" t="n"/>
      <c r="CW3363" s="204" t="n"/>
    </row>
    <row r="3364">
      <c r="BF3364" s="78" t="n"/>
      <c r="BG3364" s="78" t="n"/>
      <c r="BH3364" s="78" t="n"/>
      <c r="BI3364" s="78" t="n"/>
      <c r="BJ3364" s="139" t="n"/>
      <c r="BK3364" s="204" t="n"/>
      <c r="BL3364" s="141" t="n"/>
      <c r="BM3364" s="205" t="n"/>
      <c r="BN3364" s="205" t="n"/>
      <c r="BO3364" s="206" t="n"/>
      <c r="BP3364" s="144" t="n"/>
      <c r="BQ3364" s="141" t="n"/>
      <c r="BR3364" s="207" t="n"/>
      <c r="BS3364" s="207" t="n"/>
      <c r="BT3364" s="207" t="n"/>
      <c r="BU3364" s="207" t="n"/>
      <c r="BV3364" s="208" t="n"/>
      <c r="BW3364" s="207" t="n"/>
      <c r="BX3364" s="207" t="n"/>
      <c r="BY3364" s="204" t="n"/>
      <c r="BZ3364" s="148" t="n"/>
      <c r="CA3364" s="204" t="n"/>
      <c r="CB3364" s="208" t="n"/>
      <c r="CC3364" s="139" t="n"/>
      <c r="CD3364" s="204" t="n"/>
      <c r="CE3364" s="204" t="n"/>
      <c r="CF3364" s="207" t="n"/>
      <c r="CG3364" s="208" t="n"/>
      <c r="CH3364" s="207" t="n"/>
      <c r="CI3364" s="208" t="n"/>
      <c r="CJ3364" s="204" t="n"/>
      <c r="CK3364" s="208" t="n"/>
      <c r="CL3364" s="208" t="n"/>
      <c r="CM3364" s="208" t="n"/>
      <c r="CN3364" s="78" t="n"/>
      <c r="CO3364" s="209" t="n"/>
      <c r="CP3364" s="204" t="n"/>
      <c r="CQ3364" s="204" t="n"/>
      <c r="CR3364" s="204" t="n"/>
      <c r="CS3364" s="204" t="n"/>
      <c r="CT3364" s="204" t="n"/>
      <c r="CU3364" s="204" t="n"/>
      <c r="CV3364" s="204" t="n"/>
      <c r="CW3364" s="204" t="n"/>
    </row>
    <row r="3365">
      <c r="BF3365" s="78" t="n"/>
      <c r="BG3365" s="78" t="n"/>
      <c r="BH3365" s="78" t="n"/>
      <c r="BI3365" s="78" t="n"/>
      <c r="BJ3365" s="139" t="n"/>
      <c r="BK3365" s="204" t="n"/>
      <c r="BL3365" s="141" t="n"/>
      <c r="BM3365" s="205" t="n"/>
      <c r="BN3365" s="205" t="n"/>
      <c r="BO3365" s="206" t="n"/>
      <c r="BP3365" s="144" t="n"/>
      <c r="BQ3365" s="141" t="n"/>
      <c r="BR3365" s="207" t="n"/>
      <c r="BS3365" s="207" t="n"/>
      <c r="BT3365" s="207" t="n"/>
      <c r="BU3365" s="207" t="n"/>
      <c r="BV3365" s="208" t="n"/>
      <c r="BW3365" s="207" t="n"/>
      <c r="BX3365" s="207" t="n"/>
      <c r="BY3365" s="204" t="n"/>
      <c r="BZ3365" s="148" t="n"/>
      <c r="CA3365" s="204" t="n"/>
      <c r="CB3365" s="208" t="n"/>
      <c r="CC3365" s="139" t="n"/>
      <c r="CD3365" s="204" t="n"/>
      <c r="CE3365" s="204" t="n"/>
      <c r="CF3365" s="207" t="n"/>
      <c r="CG3365" s="208" t="n"/>
      <c r="CH3365" s="207" t="n"/>
      <c r="CI3365" s="208" t="n"/>
      <c r="CJ3365" s="204" t="n"/>
      <c r="CK3365" s="208" t="n"/>
      <c r="CL3365" s="208" t="n"/>
      <c r="CM3365" s="208" t="n"/>
      <c r="CN3365" s="78" t="n"/>
      <c r="CO3365" s="209" t="n"/>
      <c r="CP3365" s="204" t="n"/>
      <c r="CQ3365" s="204" t="n"/>
      <c r="CR3365" s="204" t="n"/>
      <c r="CS3365" s="204" t="n"/>
      <c r="CT3365" s="204" t="n"/>
      <c r="CU3365" s="204" t="n"/>
      <c r="CV3365" s="204" t="n"/>
      <c r="CW3365" s="204" t="n"/>
    </row>
    <row r="3366">
      <c r="BF3366" s="78" t="n"/>
      <c r="BG3366" s="78" t="n"/>
      <c r="BH3366" s="78" t="n"/>
      <c r="BI3366" s="78" t="n"/>
      <c r="BJ3366" s="139" t="n"/>
      <c r="BK3366" s="204" t="n"/>
      <c r="BL3366" s="141" t="n"/>
      <c r="BM3366" s="205" t="n"/>
      <c r="BN3366" s="205" t="n"/>
      <c r="BO3366" s="206" t="n"/>
      <c r="BP3366" s="144" t="n"/>
      <c r="BQ3366" s="141" t="n"/>
      <c r="BR3366" s="207" t="n"/>
      <c r="BS3366" s="207" t="n"/>
      <c r="BT3366" s="207" t="n"/>
      <c r="BU3366" s="207" t="n"/>
      <c r="BV3366" s="208" t="n"/>
      <c r="BW3366" s="207" t="n"/>
      <c r="BX3366" s="207" t="n"/>
      <c r="BY3366" s="204" t="n"/>
      <c r="BZ3366" s="148" t="n"/>
      <c r="CA3366" s="204" t="n"/>
      <c r="CB3366" s="208" t="n"/>
      <c r="CC3366" s="139" t="n"/>
      <c r="CD3366" s="204" t="n"/>
      <c r="CE3366" s="204" t="n"/>
      <c r="CF3366" s="207" t="n"/>
      <c r="CG3366" s="208" t="n"/>
      <c r="CH3366" s="207" t="n"/>
      <c r="CI3366" s="208" t="n"/>
      <c r="CJ3366" s="204" t="n"/>
      <c r="CK3366" s="208" t="n"/>
      <c r="CL3366" s="208" t="n"/>
      <c r="CM3366" s="208" t="n"/>
      <c r="CN3366" s="78" t="n"/>
      <c r="CO3366" s="209" t="n"/>
      <c r="CP3366" s="204" t="n"/>
      <c r="CQ3366" s="204" t="n"/>
      <c r="CR3366" s="204" t="n"/>
      <c r="CS3366" s="204" t="n"/>
      <c r="CT3366" s="204" t="n"/>
      <c r="CU3366" s="204" t="n"/>
      <c r="CV3366" s="204" t="n"/>
      <c r="CW3366" s="204" t="n"/>
    </row>
    <row r="3367">
      <c r="BF3367" s="78" t="n"/>
      <c r="BG3367" s="78" t="n"/>
      <c r="BH3367" s="78" t="n"/>
      <c r="BI3367" s="78" t="n"/>
      <c r="BJ3367" s="139" t="n"/>
      <c r="BK3367" s="204" t="n"/>
      <c r="BL3367" s="141" t="n"/>
      <c r="BM3367" s="205" t="n"/>
      <c r="BN3367" s="205" t="n"/>
      <c r="BO3367" s="206" t="n"/>
      <c r="BP3367" s="144" t="n"/>
      <c r="BQ3367" s="141" t="n"/>
      <c r="BR3367" s="207" t="n"/>
      <c r="BS3367" s="207" t="n"/>
      <c r="BT3367" s="207" t="n"/>
      <c r="BU3367" s="207" t="n"/>
      <c r="BV3367" s="208" t="n"/>
      <c r="BW3367" s="207" t="n"/>
      <c r="BX3367" s="207" t="n"/>
      <c r="BY3367" s="204" t="n"/>
      <c r="BZ3367" s="148" t="n"/>
      <c r="CA3367" s="204" t="n"/>
      <c r="CB3367" s="208" t="n"/>
      <c r="CC3367" s="139" t="n"/>
      <c r="CD3367" s="204" t="n"/>
      <c r="CE3367" s="204" t="n"/>
      <c r="CF3367" s="207" t="n"/>
      <c r="CG3367" s="208" t="n"/>
      <c r="CH3367" s="207" t="n"/>
      <c r="CI3367" s="208" t="n"/>
      <c r="CJ3367" s="204" t="n"/>
      <c r="CK3367" s="208" t="n"/>
      <c r="CL3367" s="208" t="n"/>
      <c r="CM3367" s="208" t="n"/>
      <c r="CN3367" s="78" t="n"/>
      <c r="CO3367" s="209" t="n"/>
      <c r="CP3367" s="204" t="n"/>
      <c r="CQ3367" s="204" t="n"/>
      <c r="CR3367" s="204" t="n"/>
      <c r="CS3367" s="204" t="n"/>
      <c r="CT3367" s="204" t="n"/>
      <c r="CU3367" s="204" t="n"/>
      <c r="CV3367" s="204" t="n"/>
      <c r="CW3367" s="204" t="n"/>
    </row>
    <row r="3368">
      <c r="BF3368" s="78" t="n"/>
      <c r="BG3368" s="78" t="n"/>
      <c r="BH3368" s="78" t="n"/>
      <c r="BI3368" s="78" t="n"/>
      <c r="BJ3368" s="139" t="n"/>
      <c r="BK3368" s="204" t="n"/>
      <c r="BL3368" s="141" t="n"/>
      <c r="BM3368" s="205" t="n"/>
      <c r="BN3368" s="205" t="n"/>
      <c r="BO3368" s="206" t="n"/>
      <c r="BP3368" s="144" t="n"/>
      <c r="BQ3368" s="141" t="n"/>
      <c r="BR3368" s="207" t="n"/>
      <c r="BS3368" s="207" t="n"/>
      <c r="BT3368" s="207" t="n"/>
      <c r="BU3368" s="207" t="n"/>
      <c r="BV3368" s="208" t="n"/>
      <c r="BW3368" s="207" t="n"/>
      <c r="BX3368" s="207" t="n"/>
      <c r="BY3368" s="204" t="n"/>
      <c r="BZ3368" s="148" t="n"/>
      <c r="CA3368" s="204" t="n"/>
      <c r="CB3368" s="208" t="n"/>
      <c r="CC3368" s="139" t="n"/>
      <c r="CD3368" s="204" t="n"/>
      <c r="CE3368" s="204" t="n"/>
      <c r="CF3368" s="207" t="n"/>
      <c r="CG3368" s="208" t="n"/>
      <c r="CH3368" s="207" t="n"/>
      <c r="CI3368" s="208" t="n"/>
      <c r="CJ3368" s="204" t="n"/>
      <c r="CK3368" s="208" t="n"/>
      <c r="CL3368" s="208" t="n"/>
      <c r="CM3368" s="208" t="n"/>
      <c r="CN3368" s="78" t="n"/>
      <c r="CO3368" s="209" t="n"/>
      <c r="CP3368" s="204" t="n"/>
      <c r="CQ3368" s="204" t="n"/>
      <c r="CR3368" s="204" t="n"/>
      <c r="CS3368" s="204" t="n"/>
      <c r="CT3368" s="204" t="n"/>
      <c r="CU3368" s="204" t="n"/>
      <c r="CV3368" s="204" t="n"/>
      <c r="CW3368" s="204" t="n"/>
    </row>
    <row r="3369">
      <c r="BF3369" s="78" t="n"/>
      <c r="BG3369" s="78" t="n"/>
      <c r="BH3369" s="78" t="n"/>
      <c r="BI3369" s="78" t="n"/>
      <c r="BJ3369" s="139" t="n"/>
      <c r="BK3369" s="204" t="n"/>
      <c r="BL3369" s="141" t="n"/>
      <c r="BM3369" s="205" t="n"/>
      <c r="BN3369" s="205" t="n"/>
      <c r="BO3369" s="206" t="n"/>
      <c r="BP3369" s="144" t="n"/>
      <c r="BQ3369" s="141" t="n"/>
      <c r="BR3369" s="207" t="n"/>
      <c r="BS3369" s="207" t="n"/>
      <c r="BT3369" s="207" t="n"/>
      <c r="BU3369" s="207" t="n"/>
      <c r="BV3369" s="208" t="n"/>
      <c r="BW3369" s="207" t="n"/>
      <c r="BX3369" s="207" t="n"/>
      <c r="BY3369" s="204" t="n"/>
      <c r="BZ3369" s="148" t="n"/>
      <c r="CA3369" s="204" t="n"/>
      <c r="CB3369" s="208" t="n"/>
      <c r="CC3369" s="139" t="n"/>
      <c r="CD3369" s="204" t="n"/>
      <c r="CE3369" s="204" t="n"/>
      <c r="CF3369" s="207" t="n"/>
      <c r="CG3369" s="208" t="n"/>
      <c r="CH3369" s="207" t="n"/>
      <c r="CI3369" s="208" t="n"/>
      <c r="CJ3369" s="204" t="n"/>
      <c r="CK3369" s="208" t="n"/>
      <c r="CL3369" s="208" t="n"/>
      <c r="CM3369" s="208" t="n"/>
      <c r="CN3369" s="78" t="n"/>
      <c r="CO3369" s="209" t="n"/>
      <c r="CP3369" s="204" t="n"/>
      <c r="CQ3369" s="204" t="n"/>
      <c r="CR3369" s="204" t="n"/>
      <c r="CS3369" s="204" t="n"/>
      <c r="CT3369" s="204" t="n"/>
      <c r="CU3369" s="204" t="n"/>
      <c r="CV3369" s="204" t="n"/>
      <c r="CW3369" s="204" t="n"/>
    </row>
    <row r="3370">
      <c r="BF3370" s="78" t="n"/>
      <c r="BG3370" s="78" t="n"/>
      <c r="BH3370" s="78" t="n"/>
      <c r="BI3370" s="78" t="n"/>
      <c r="BJ3370" s="139" t="n"/>
      <c r="BK3370" s="204" t="n"/>
      <c r="BL3370" s="141" t="n"/>
      <c r="BM3370" s="205" t="n"/>
      <c r="BN3370" s="205" t="n"/>
      <c r="BO3370" s="206" t="n"/>
      <c r="BP3370" s="144" t="n"/>
      <c r="BQ3370" s="141" t="n"/>
      <c r="BR3370" s="207" t="n"/>
      <c r="BS3370" s="207" t="n"/>
      <c r="BT3370" s="207" t="n"/>
      <c r="BU3370" s="207" t="n"/>
      <c r="BV3370" s="208" t="n"/>
      <c r="BW3370" s="207" t="n"/>
      <c r="BX3370" s="207" t="n"/>
      <c r="BY3370" s="204" t="n"/>
      <c r="BZ3370" s="148" t="n"/>
      <c r="CA3370" s="204" t="n"/>
      <c r="CB3370" s="208" t="n"/>
      <c r="CC3370" s="139" t="n"/>
      <c r="CD3370" s="204" t="n"/>
      <c r="CE3370" s="204" t="n"/>
      <c r="CF3370" s="207" t="n"/>
      <c r="CG3370" s="208" t="n"/>
      <c r="CH3370" s="207" t="n"/>
      <c r="CI3370" s="208" t="n"/>
      <c r="CJ3370" s="204" t="n"/>
      <c r="CK3370" s="208" t="n"/>
      <c r="CL3370" s="208" t="n"/>
      <c r="CM3370" s="208" t="n"/>
      <c r="CN3370" s="78" t="n"/>
      <c r="CO3370" s="209" t="n"/>
      <c r="CP3370" s="204" t="n"/>
      <c r="CQ3370" s="204" t="n"/>
      <c r="CR3370" s="204" t="n"/>
      <c r="CS3370" s="204" t="n"/>
      <c r="CT3370" s="204" t="n"/>
      <c r="CU3370" s="204" t="n"/>
      <c r="CV3370" s="204" t="n"/>
      <c r="CW3370" s="204" t="n"/>
    </row>
    <row r="3371">
      <c r="BF3371" s="78" t="n"/>
      <c r="BG3371" s="78" t="n"/>
      <c r="BH3371" s="78" t="n"/>
      <c r="BI3371" s="78" t="n"/>
      <c r="BJ3371" s="139" t="n"/>
      <c r="BK3371" s="204" t="n"/>
      <c r="BL3371" s="141" t="n"/>
      <c r="BM3371" s="205" t="n"/>
      <c r="BN3371" s="205" t="n"/>
      <c r="BO3371" s="206" t="n"/>
      <c r="BP3371" s="144" t="n"/>
      <c r="BQ3371" s="141" t="n"/>
      <c r="BR3371" s="207" t="n"/>
      <c r="BS3371" s="207" t="n"/>
      <c r="BT3371" s="207" t="n"/>
      <c r="BU3371" s="207" t="n"/>
      <c r="BV3371" s="208" t="n"/>
      <c r="BW3371" s="207" t="n"/>
      <c r="BX3371" s="207" t="n"/>
      <c r="BY3371" s="204" t="n"/>
      <c r="BZ3371" s="148" t="n"/>
      <c r="CA3371" s="204" t="n"/>
      <c r="CB3371" s="208" t="n"/>
      <c r="CC3371" s="139" t="n"/>
      <c r="CD3371" s="204" t="n"/>
      <c r="CE3371" s="204" t="n"/>
      <c r="CF3371" s="207" t="n"/>
      <c r="CG3371" s="208" t="n"/>
      <c r="CH3371" s="207" t="n"/>
      <c r="CI3371" s="208" t="n"/>
      <c r="CJ3371" s="204" t="n"/>
      <c r="CK3371" s="208" t="n"/>
      <c r="CL3371" s="208" t="n"/>
      <c r="CM3371" s="208" t="n"/>
      <c r="CN3371" s="78" t="n"/>
      <c r="CO3371" s="209" t="n"/>
      <c r="CP3371" s="204" t="n"/>
      <c r="CQ3371" s="204" t="n"/>
      <c r="CR3371" s="204" t="n"/>
      <c r="CS3371" s="204" t="n"/>
      <c r="CT3371" s="204" t="n"/>
      <c r="CU3371" s="204" t="n"/>
      <c r="CV3371" s="204" t="n"/>
      <c r="CW3371" s="204" t="n"/>
    </row>
    <row r="3372">
      <c r="BF3372" s="78" t="n"/>
      <c r="BG3372" s="78" t="n"/>
      <c r="BH3372" s="78" t="n"/>
      <c r="BI3372" s="78" t="n"/>
      <c r="BJ3372" s="139" t="n"/>
      <c r="BK3372" s="204" t="n"/>
      <c r="BL3372" s="141" t="n"/>
      <c r="BM3372" s="205" t="n"/>
      <c r="BN3372" s="205" t="n"/>
      <c r="BO3372" s="206" t="n"/>
      <c r="BP3372" s="144" t="n"/>
      <c r="BQ3372" s="141" t="n"/>
      <c r="BR3372" s="207" t="n"/>
      <c r="BS3372" s="207" t="n"/>
      <c r="BT3372" s="207" t="n"/>
      <c r="BU3372" s="207" t="n"/>
      <c r="BV3372" s="208" t="n"/>
      <c r="BW3372" s="207" t="n"/>
      <c r="BX3372" s="207" t="n"/>
      <c r="BY3372" s="204" t="n"/>
      <c r="BZ3372" s="148" t="n"/>
      <c r="CA3372" s="204" t="n"/>
      <c r="CB3372" s="208" t="n"/>
      <c r="CC3372" s="139" t="n"/>
      <c r="CD3372" s="204" t="n"/>
      <c r="CE3372" s="204" t="n"/>
      <c r="CF3372" s="207" t="n"/>
      <c r="CG3372" s="208" t="n"/>
      <c r="CH3372" s="207" t="n"/>
      <c r="CI3372" s="208" t="n"/>
      <c r="CJ3372" s="204" t="n"/>
      <c r="CK3372" s="208" t="n"/>
      <c r="CL3372" s="208" t="n"/>
      <c r="CM3372" s="208" t="n"/>
      <c r="CN3372" s="78" t="n"/>
      <c r="CO3372" s="209" t="n"/>
      <c r="CP3372" s="204" t="n"/>
      <c r="CQ3372" s="204" t="n"/>
      <c r="CR3372" s="204" t="n"/>
      <c r="CS3372" s="204" t="n"/>
      <c r="CT3372" s="204" t="n"/>
      <c r="CU3372" s="204" t="n"/>
      <c r="CV3372" s="204" t="n"/>
      <c r="CW3372" s="204" t="n"/>
    </row>
    <row r="3373">
      <c r="BF3373" s="78" t="n"/>
      <c r="BG3373" s="78" t="n"/>
      <c r="BH3373" s="78" t="n"/>
      <c r="BI3373" s="78" t="n"/>
      <c r="BJ3373" s="139" t="n"/>
      <c r="BK3373" s="204" t="n"/>
      <c r="BL3373" s="141" t="n"/>
      <c r="BM3373" s="205" t="n"/>
      <c r="BN3373" s="205" t="n"/>
      <c r="BO3373" s="206" t="n"/>
      <c r="BP3373" s="144" t="n"/>
      <c r="BQ3373" s="141" t="n"/>
      <c r="BR3373" s="207" t="n"/>
      <c r="BS3373" s="207" t="n"/>
      <c r="BT3373" s="207" t="n"/>
      <c r="BU3373" s="207" t="n"/>
      <c r="BV3373" s="208" t="n"/>
      <c r="BW3373" s="207" t="n"/>
      <c r="BX3373" s="207" t="n"/>
      <c r="BY3373" s="204" t="n"/>
      <c r="BZ3373" s="148" t="n"/>
      <c r="CA3373" s="204" t="n"/>
      <c r="CB3373" s="208" t="n"/>
      <c r="CC3373" s="139" t="n"/>
      <c r="CD3373" s="204" t="n"/>
      <c r="CE3373" s="204" t="n"/>
      <c r="CF3373" s="207" t="n"/>
      <c r="CG3373" s="208" t="n"/>
      <c r="CH3373" s="207" t="n"/>
      <c r="CI3373" s="208" t="n"/>
      <c r="CJ3373" s="204" t="n"/>
      <c r="CK3373" s="208" t="n"/>
      <c r="CL3373" s="208" t="n"/>
      <c r="CM3373" s="208" t="n"/>
      <c r="CN3373" s="78" t="n"/>
      <c r="CO3373" s="209" t="n"/>
      <c r="CP3373" s="204" t="n"/>
      <c r="CQ3373" s="204" t="n"/>
      <c r="CR3373" s="204" t="n"/>
      <c r="CS3373" s="204" t="n"/>
      <c r="CT3373" s="204" t="n"/>
      <c r="CU3373" s="204" t="n"/>
      <c r="CV3373" s="204" t="n"/>
      <c r="CW3373" s="204" t="n"/>
    </row>
    <row r="3374">
      <c r="BF3374" s="78" t="n"/>
      <c r="BG3374" s="78" t="n"/>
      <c r="BH3374" s="78" t="n"/>
      <c r="BI3374" s="78" t="n"/>
      <c r="BJ3374" s="139" t="n"/>
      <c r="BK3374" s="204" t="n"/>
      <c r="BL3374" s="141" t="n"/>
      <c r="BM3374" s="205" t="n"/>
      <c r="BN3374" s="205" t="n"/>
      <c r="BO3374" s="206" t="n"/>
      <c r="BP3374" s="144" t="n"/>
      <c r="BQ3374" s="141" t="n"/>
      <c r="BR3374" s="207" t="n"/>
      <c r="BS3374" s="207" t="n"/>
      <c r="BT3374" s="207" t="n"/>
      <c r="BU3374" s="207" t="n"/>
      <c r="BV3374" s="208" t="n"/>
      <c r="BW3374" s="207" t="n"/>
      <c r="BX3374" s="207" t="n"/>
      <c r="BY3374" s="204" t="n"/>
      <c r="BZ3374" s="148" t="n"/>
      <c r="CA3374" s="204" t="n"/>
      <c r="CB3374" s="208" t="n"/>
      <c r="CC3374" s="139" t="n"/>
      <c r="CD3374" s="204" t="n"/>
      <c r="CE3374" s="204" t="n"/>
      <c r="CF3374" s="207" t="n"/>
      <c r="CG3374" s="208" t="n"/>
      <c r="CH3374" s="207" t="n"/>
      <c r="CI3374" s="208" t="n"/>
      <c r="CJ3374" s="204" t="n"/>
      <c r="CK3374" s="208" t="n"/>
      <c r="CL3374" s="208" t="n"/>
      <c r="CM3374" s="208" t="n"/>
      <c r="CN3374" s="78" t="n"/>
      <c r="CO3374" s="209" t="n"/>
      <c r="CP3374" s="204" t="n"/>
      <c r="CQ3374" s="204" t="n"/>
      <c r="CR3374" s="204" t="n"/>
      <c r="CS3374" s="204" t="n"/>
      <c r="CT3374" s="204" t="n"/>
      <c r="CU3374" s="204" t="n"/>
      <c r="CV3374" s="204" t="n"/>
      <c r="CW3374" s="204" t="n"/>
    </row>
    <row r="3375">
      <c r="BF3375" s="78" t="n"/>
      <c r="BG3375" s="78" t="n"/>
      <c r="BH3375" s="78" t="n"/>
      <c r="BI3375" s="78" t="n"/>
      <c r="BJ3375" s="139" t="n"/>
      <c r="BK3375" s="204" t="n"/>
      <c r="BL3375" s="141" t="n"/>
      <c r="BM3375" s="205" t="n"/>
      <c r="BN3375" s="205" t="n"/>
      <c r="BO3375" s="206" t="n"/>
      <c r="BP3375" s="144" t="n"/>
      <c r="BQ3375" s="141" t="n"/>
      <c r="BR3375" s="207" t="n"/>
      <c r="BS3375" s="207" t="n"/>
      <c r="BT3375" s="207" t="n"/>
      <c r="BU3375" s="207" t="n"/>
      <c r="BV3375" s="208" t="n"/>
      <c r="BW3375" s="207" t="n"/>
      <c r="BX3375" s="207" t="n"/>
      <c r="BY3375" s="204" t="n"/>
      <c r="BZ3375" s="148" t="n"/>
      <c r="CA3375" s="204" t="n"/>
      <c r="CB3375" s="208" t="n"/>
      <c r="CC3375" s="139" t="n"/>
      <c r="CD3375" s="204" t="n"/>
      <c r="CE3375" s="204" t="n"/>
      <c r="CF3375" s="207" t="n"/>
      <c r="CG3375" s="208" t="n"/>
      <c r="CH3375" s="207" t="n"/>
      <c r="CI3375" s="208" t="n"/>
      <c r="CJ3375" s="204" t="n"/>
      <c r="CK3375" s="208" t="n"/>
      <c r="CL3375" s="208" t="n"/>
      <c r="CM3375" s="208" t="n"/>
      <c r="CN3375" s="78" t="n"/>
      <c r="CO3375" s="209" t="n"/>
      <c r="CP3375" s="204" t="n"/>
      <c r="CQ3375" s="204" t="n"/>
      <c r="CR3375" s="204" t="n"/>
      <c r="CS3375" s="204" t="n"/>
      <c r="CT3375" s="204" t="n"/>
      <c r="CU3375" s="204" t="n"/>
      <c r="CV3375" s="204" t="n"/>
      <c r="CW3375" s="204" t="n"/>
    </row>
    <row r="3376">
      <c r="AR3376" s="151" t="n"/>
      <c r="BF3376" s="78" t="n"/>
      <c r="BG3376" s="78" t="n"/>
      <c r="BH3376" s="78" t="n"/>
      <c r="BI3376" s="78" t="n"/>
      <c r="BJ3376" s="139" t="n"/>
      <c r="BK3376" s="204" t="n"/>
      <c r="BL3376" s="141" t="n"/>
      <c r="BM3376" s="205" t="n"/>
      <c r="BN3376" s="205" t="n"/>
      <c r="BO3376" s="206" t="n"/>
      <c r="BP3376" s="144" t="n"/>
      <c r="BQ3376" s="141" t="n"/>
      <c r="BR3376" s="207" t="n"/>
      <c r="BS3376" s="207" t="n"/>
      <c r="BT3376" s="207" t="n"/>
      <c r="BU3376" s="207" t="n"/>
      <c r="BV3376" s="208" t="n"/>
      <c r="BW3376" s="207" t="n"/>
      <c r="BX3376" s="207" t="n"/>
      <c r="BY3376" s="204" t="n"/>
      <c r="BZ3376" s="148" t="n"/>
      <c r="CA3376" s="204" t="n"/>
      <c r="CB3376" s="208" t="n"/>
      <c r="CC3376" s="139" t="n"/>
      <c r="CD3376" s="204" t="n"/>
      <c r="CE3376" s="204" t="n"/>
      <c r="CF3376" s="207" t="n"/>
      <c r="CG3376" s="208" t="n"/>
      <c r="CH3376" s="207" t="n"/>
      <c r="CI3376" s="208" t="n"/>
      <c r="CJ3376" s="204" t="n"/>
      <c r="CK3376" s="208" t="n"/>
      <c r="CL3376" s="208" t="n"/>
      <c r="CM3376" s="208" t="n"/>
      <c r="CN3376" s="78" t="n"/>
      <c r="CO3376" s="209" t="n"/>
      <c r="CP3376" s="204" t="n"/>
      <c r="CQ3376" s="204" t="n"/>
      <c r="CR3376" s="204" t="n"/>
      <c r="CS3376" s="204" t="n"/>
      <c r="CT3376" s="204" t="n"/>
      <c r="CU3376" s="204" t="n"/>
      <c r="CV3376" s="204" t="n"/>
      <c r="CW3376" s="204" t="n"/>
    </row>
    <row r="3377">
      <c r="BF3377" s="78" t="n"/>
      <c r="BG3377" s="78" t="n"/>
      <c r="BH3377" s="78" t="n"/>
      <c r="BI3377" s="78" t="n"/>
      <c r="BJ3377" s="139" t="n"/>
      <c r="BK3377" s="204" t="n"/>
      <c r="BL3377" s="141" t="n"/>
      <c r="BM3377" s="205" t="n"/>
      <c r="BN3377" s="205" t="n"/>
      <c r="BO3377" s="206" t="n"/>
      <c r="BP3377" s="144" t="n"/>
      <c r="BQ3377" s="141" t="n"/>
      <c r="BR3377" s="207" t="n"/>
      <c r="BS3377" s="207" t="n"/>
      <c r="BT3377" s="207" t="n"/>
      <c r="BU3377" s="207" t="n"/>
      <c r="BV3377" s="208" t="n"/>
      <c r="BW3377" s="207" t="n"/>
      <c r="BX3377" s="207" t="n"/>
      <c r="BY3377" s="204" t="n"/>
      <c r="BZ3377" s="148" t="n"/>
      <c r="CA3377" s="204" t="n"/>
      <c r="CB3377" s="208" t="n"/>
      <c r="CC3377" s="139" t="n"/>
      <c r="CD3377" s="204" t="n"/>
      <c r="CE3377" s="204" t="n"/>
      <c r="CF3377" s="207" t="n"/>
      <c r="CG3377" s="208" t="n"/>
      <c r="CH3377" s="207" t="n"/>
      <c r="CI3377" s="208" t="n"/>
      <c r="CJ3377" s="204" t="n"/>
      <c r="CK3377" s="208" t="n"/>
      <c r="CL3377" s="208" t="n"/>
      <c r="CM3377" s="208" t="n"/>
      <c r="CN3377" s="78" t="n"/>
      <c r="CO3377" s="209" t="n"/>
      <c r="CP3377" s="204" t="n"/>
      <c r="CQ3377" s="204" t="n"/>
      <c r="CR3377" s="204" t="n"/>
      <c r="CS3377" s="204" t="n"/>
      <c r="CT3377" s="204" t="n"/>
      <c r="CU3377" s="204" t="n"/>
      <c r="CV3377" s="204" t="n"/>
      <c r="CW3377" s="204" t="n"/>
    </row>
    <row r="3378">
      <c r="BF3378" s="78" t="n"/>
      <c r="BG3378" s="78" t="n"/>
      <c r="BH3378" s="78" t="n"/>
      <c r="BI3378" s="78" t="n"/>
      <c r="BJ3378" s="139" t="n"/>
      <c r="BK3378" s="204" t="n"/>
      <c r="BL3378" s="141" t="n"/>
      <c r="BM3378" s="205" t="n"/>
      <c r="BN3378" s="205" t="n"/>
      <c r="BO3378" s="206" t="n"/>
      <c r="BP3378" s="144" t="n"/>
      <c r="BQ3378" s="141" t="n"/>
      <c r="BR3378" s="207" t="n"/>
      <c r="BS3378" s="207" t="n"/>
      <c r="BT3378" s="207" t="n"/>
      <c r="BU3378" s="207" t="n"/>
      <c r="BV3378" s="208" t="n"/>
      <c r="BW3378" s="207" t="n"/>
      <c r="BX3378" s="207" t="n"/>
      <c r="BY3378" s="204" t="n"/>
      <c r="BZ3378" s="148" t="n"/>
      <c r="CA3378" s="204" t="n"/>
      <c r="CB3378" s="208" t="n"/>
      <c r="CC3378" s="139" t="n"/>
      <c r="CD3378" s="204" t="n"/>
      <c r="CE3378" s="204" t="n"/>
      <c r="CF3378" s="207" t="n"/>
      <c r="CG3378" s="208" t="n"/>
      <c r="CH3378" s="207" t="n"/>
      <c r="CI3378" s="208" t="n"/>
      <c r="CJ3378" s="204" t="n"/>
      <c r="CK3378" s="208" t="n"/>
      <c r="CL3378" s="208" t="n"/>
      <c r="CM3378" s="208" t="n"/>
      <c r="CN3378" s="78" t="n"/>
      <c r="CO3378" s="209" t="n"/>
      <c r="CP3378" s="204" t="n"/>
      <c r="CQ3378" s="204" t="n"/>
      <c r="CR3378" s="204" t="n"/>
      <c r="CS3378" s="204" t="n"/>
      <c r="CT3378" s="204" t="n"/>
      <c r="CU3378" s="204" t="n"/>
      <c r="CV3378" s="204" t="n"/>
      <c r="CW3378" s="204" t="n"/>
    </row>
    <row r="3379">
      <c r="BF3379" s="78" t="n"/>
      <c r="BG3379" s="78" t="n"/>
      <c r="BH3379" s="78" t="n"/>
      <c r="BI3379" s="78" t="n"/>
      <c r="BJ3379" s="139" t="n"/>
      <c r="BK3379" s="204" t="n"/>
      <c r="BL3379" s="141" t="n"/>
      <c r="BM3379" s="205" t="n"/>
      <c r="BN3379" s="205" t="n"/>
      <c r="BO3379" s="206" t="n"/>
      <c r="BP3379" s="144" t="n"/>
      <c r="BQ3379" s="141" t="n"/>
      <c r="BR3379" s="207" t="n"/>
      <c r="BS3379" s="207" t="n"/>
      <c r="BT3379" s="207" t="n"/>
      <c r="BU3379" s="207" t="n"/>
      <c r="BV3379" s="208" t="n"/>
      <c r="BW3379" s="207" t="n"/>
      <c r="BX3379" s="207" t="n"/>
      <c r="BY3379" s="204" t="n"/>
      <c r="BZ3379" s="148" t="n"/>
      <c r="CA3379" s="204" t="n"/>
      <c r="CB3379" s="208" t="n"/>
      <c r="CC3379" s="139" t="n"/>
      <c r="CD3379" s="204" t="n"/>
      <c r="CE3379" s="204" t="n"/>
      <c r="CF3379" s="207" t="n"/>
      <c r="CG3379" s="208" t="n"/>
      <c r="CH3379" s="207" t="n"/>
      <c r="CI3379" s="208" t="n"/>
      <c r="CJ3379" s="204" t="n"/>
      <c r="CK3379" s="208" t="n"/>
      <c r="CL3379" s="208" t="n"/>
      <c r="CM3379" s="208" t="n"/>
      <c r="CN3379" s="78" t="n"/>
      <c r="CO3379" s="209" t="n"/>
      <c r="CP3379" s="204" t="n"/>
      <c r="CQ3379" s="204" t="n"/>
      <c r="CR3379" s="204" t="n"/>
      <c r="CS3379" s="204" t="n"/>
      <c r="CT3379" s="204" t="n"/>
      <c r="CU3379" s="204" t="n"/>
      <c r="CV3379" s="204" t="n"/>
      <c r="CW3379" s="204" t="n"/>
    </row>
    <row r="3380">
      <c r="BF3380" s="78" t="n"/>
      <c r="BG3380" s="78" t="n"/>
      <c r="BH3380" s="78" t="n"/>
      <c r="BI3380" s="78" t="n"/>
      <c r="BJ3380" s="139" t="n"/>
      <c r="BK3380" s="204" t="n"/>
      <c r="BL3380" s="141" t="n"/>
      <c r="BM3380" s="205" t="n"/>
      <c r="BN3380" s="205" t="n"/>
      <c r="BO3380" s="206" t="n"/>
      <c r="BP3380" s="144" t="n"/>
      <c r="BQ3380" s="141" t="n"/>
      <c r="BR3380" s="207" t="n"/>
      <c r="BS3380" s="207" t="n"/>
      <c r="BT3380" s="207" t="n"/>
      <c r="BU3380" s="207" t="n"/>
      <c r="BV3380" s="208" t="n"/>
      <c r="BW3380" s="207" t="n"/>
      <c r="BX3380" s="207" t="n"/>
      <c r="BY3380" s="204" t="n"/>
      <c r="BZ3380" s="148" t="n"/>
      <c r="CA3380" s="204" t="n"/>
      <c r="CB3380" s="208" t="n"/>
      <c r="CC3380" s="139" t="n"/>
      <c r="CD3380" s="204" t="n"/>
      <c r="CE3380" s="204" t="n"/>
      <c r="CF3380" s="207" t="n"/>
      <c r="CG3380" s="208" t="n"/>
      <c r="CH3380" s="207" t="n"/>
      <c r="CI3380" s="208" t="n"/>
      <c r="CJ3380" s="204" t="n"/>
      <c r="CK3380" s="208" t="n"/>
      <c r="CL3380" s="208" t="n"/>
      <c r="CM3380" s="208" t="n"/>
      <c r="CN3380" s="78" t="n"/>
      <c r="CO3380" s="209" t="n"/>
      <c r="CP3380" s="204" t="n"/>
      <c r="CQ3380" s="204" t="n"/>
      <c r="CR3380" s="204" t="n"/>
      <c r="CS3380" s="204" t="n"/>
      <c r="CT3380" s="204" t="n"/>
      <c r="CU3380" s="204" t="n"/>
      <c r="CV3380" s="204" t="n"/>
      <c r="CW3380" s="204" t="n"/>
    </row>
    <row r="3381">
      <c r="BF3381" s="78" t="n"/>
      <c r="BG3381" s="78" t="n"/>
      <c r="BH3381" s="78" t="n"/>
      <c r="BI3381" s="78" t="n"/>
      <c r="BJ3381" s="139" t="n"/>
      <c r="BK3381" s="204" t="n"/>
      <c r="BL3381" s="141" t="n"/>
      <c r="BM3381" s="205" t="n"/>
      <c r="BN3381" s="205" t="n"/>
      <c r="BO3381" s="206" t="n"/>
      <c r="BP3381" s="144" t="n"/>
      <c r="BQ3381" s="141" t="n"/>
      <c r="BR3381" s="207" t="n"/>
      <c r="BS3381" s="207" t="n"/>
      <c r="BT3381" s="207" t="n"/>
      <c r="BU3381" s="207" t="n"/>
      <c r="BV3381" s="208" t="n"/>
      <c r="BW3381" s="207" t="n"/>
      <c r="BX3381" s="207" t="n"/>
      <c r="BY3381" s="204" t="n"/>
      <c r="BZ3381" s="148" t="n"/>
      <c r="CA3381" s="204" t="n"/>
      <c r="CB3381" s="208" t="n"/>
      <c r="CC3381" s="139" t="n"/>
      <c r="CD3381" s="204" t="n"/>
      <c r="CE3381" s="204" t="n"/>
      <c r="CF3381" s="207" t="n"/>
      <c r="CG3381" s="208" t="n"/>
      <c r="CH3381" s="207" t="n"/>
      <c r="CI3381" s="208" t="n"/>
      <c r="CJ3381" s="204" t="n"/>
      <c r="CK3381" s="208" t="n"/>
      <c r="CL3381" s="208" t="n"/>
      <c r="CM3381" s="208" t="n"/>
      <c r="CN3381" s="78" t="n"/>
      <c r="CO3381" s="209" t="n"/>
      <c r="CP3381" s="204" t="n"/>
      <c r="CQ3381" s="204" t="n"/>
      <c r="CR3381" s="204" t="n"/>
      <c r="CS3381" s="204" t="n"/>
      <c r="CT3381" s="204" t="n"/>
      <c r="CU3381" s="204" t="n"/>
      <c r="CV3381" s="204" t="n"/>
      <c r="CW3381" s="204" t="n"/>
    </row>
    <row r="3382">
      <c r="BF3382" s="78" t="n"/>
      <c r="BG3382" s="78" t="n"/>
      <c r="BH3382" s="78" t="n"/>
      <c r="BI3382" s="78" t="n"/>
      <c r="BJ3382" s="139" t="n"/>
      <c r="BK3382" s="204" t="n"/>
      <c r="BL3382" s="141" t="n"/>
      <c r="BM3382" s="205" t="n"/>
      <c r="BN3382" s="205" t="n"/>
      <c r="BO3382" s="206" t="n"/>
      <c r="BP3382" s="144" t="n"/>
      <c r="BQ3382" s="141" t="n"/>
      <c r="BR3382" s="207" t="n"/>
      <c r="BS3382" s="207" t="n"/>
      <c r="BT3382" s="207" t="n"/>
      <c r="BU3382" s="207" t="n"/>
      <c r="BV3382" s="208" t="n"/>
      <c r="BW3382" s="207" t="n"/>
      <c r="BX3382" s="207" t="n"/>
      <c r="BY3382" s="204" t="n"/>
      <c r="BZ3382" s="148" t="n"/>
      <c r="CA3382" s="204" t="n"/>
      <c r="CB3382" s="208" t="n"/>
      <c r="CC3382" s="139" t="n"/>
      <c r="CD3382" s="204" t="n"/>
      <c r="CE3382" s="204" t="n"/>
      <c r="CF3382" s="207" t="n"/>
      <c r="CG3382" s="208" t="n"/>
      <c r="CH3382" s="207" t="n"/>
      <c r="CI3382" s="208" t="n"/>
      <c r="CJ3382" s="204" t="n"/>
      <c r="CK3382" s="208" t="n"/>
      <c r="CL3382" s="208" t="n"/>
      <c r="CM3382" s="208" t="n"/>
      <c r="CN3382" s="78" t="n"/>
      <c r="CO3382" s="209" t="n"/>
      <c r="CP3382" s="204" t="n"/>
      <c r="CQ3382" s="204" t="n"/>
      <c r="CR3382" s="204" t="n"/>
      <c r="CS3382" s="204" t="n"/>
      <c r="CT3382" s="204" t="n"/>
      <c r="CU3382" s="204" t="n"/>
      <c r="CV3382" s="204" t="n"/>
      <c r="CW3382" s="204" t="n"/>
    </row>
    <row r="3383">
      <c r="BF3383" s="78" t="n"/>
      <c r="BG3383" s="78" t="n"/>
      <c r="BH3383" s="78" t="n"/>
      <c r="BI3383" s="78" t="n"/>
      <c r="BJ3383" s="139" t="n"/>
      <c r="BK3383" s="204" t="n"/>
      <c r="BL3383" s="141" t="n"/>
      <c r="BM3383" s="205" t="n"/>
      <c r="BN3383" s="205" t="n"/>
      <c r="BO3383" s="206" t="n"/>
      <c r="BP3383" s="144" t="n"/>
      <c r="BQ3383" s="141" t="n"/>
      <c r="BR3383" s="207" t="n"/>
      <c r="BS3383" s="207" t="n"/>
      <c r="BT3383" s="207" t="n"/>
      <c r="BU3383" s="207" t="n"/>
      <c r="BV3383" s="208" t="n"/>
      <c r="BW3383" s="207" t="n"/>
      <c r="BX3383" s="207" t="n"/>
      <c r="BY3383" s="204" t="n"/>
      <c r="BZ3383" s="148" t="n"/>
      <c r="CA3383" s="204" t="n"/>
      <c r="CB3383" s="208" t="n"/>
      <c r="CC3383" s="139" t="n"/>
      <c r="CD3383" s="204" t="n"/>
      <c r="CE3383" s="204" t="n"/>
      <c r="CF3383" s="207" t="n"/>
      <c r="CG3383" s="208" t="n"/>
      <c r="CH3383" s="207" t="n"/>
      <c r="CI3383" s="208" t="n"/>
      <c r="CJ3383" s="204" t="n"/>
      <c r="CK3383" s="208" t="n"/>
      <c r="CL3383" s="208" t="n"/>
      <c r="CM3383" s="208" t="n"/>
      <c r="CN3383" s="78" t="n"/>
      <c r="CO3383" s="209" t="n"/>
      <c r="CP3383" s="204" t="n"/>
      <c r="CQ3383" s="204" t="n"/>
      <c r="CR3383" s="204" t="n"/>
      <c r="CS3383" s="204" t="n"/>
      <c r="CT3383" s="204" t="n"/>
      <c r="CU3383" s="204" t="n"/>
      <c r="CV3383" s="204" t="n"/>
      <c r="CW3383" s="204" t="n"/>
    </row>
    <row r="3384">
      <c r="BF3384" s="78" t="n"/>
      <c r="BG3384" s="78" t="n"/>
      <c r="BH3384" s="78" t="n"/>
      <c r="BI3384" s="78" t="n"/>
      <c r="BJ3384" s="139" t="n"/>
      <c r="BK3384" s="204" t="n"/>
      <c r="BL3384" s="141" t="n"/>
      <c r="BM3384" s="205" t="n"/>
      <c r="BN3384" s="205" t="n"/>
      <c r="BO3384" s="206" t="n"/>
      <c r="BP3384" s="144" t="n"/>
      <c r="BQ3384" s="141" t="n"/>
      <c r="BR3384" s="207" t="n"/>
      <c r="BS3384" s="207" t="n"/>
      <c r="BT3384" s="207" t="n"/>
      <c r="BU3384" s="207" t="n"/>
      <c r="BV3384" s="208" t="n"/>
      <c r="BW3384" s="207" t="n"/>
      <c r="BX3384" s="207" t="n"/>
      <c r="BY3384" s="204" t="n"/>
      <c r="BZ3384" s="148" t="n"/>
      <c r="CA3384" s="204" t="n"/>
      <c r="CB3384" s="208" t="n"/>
      <c r="CC3384" s="139" t="n"/>
      <c r="CD3384" s="204" t="n"/>
      <c r="CE3384" s="204" t="n"/>
      <c r="CF3384" s="207" t="n"/>
      <c r="CG3384" s="208" t="n"/>
      <c r="CH3384" s="207" t="n"/>
      <c r="CI3384" s="208" t="n"/>
      <c r="CJ3384" s="204" t="n"/>
      <c r="CK3384" s="208" t="n"/>
      <c r="CL3384" s="208" t="n"/>
      <c r="CM3384" s="208" t="n"/>
      <c r="CN3384" s="78" t="n"/>
      <c r="CO3384" s="209" t="n"/>
      <c r="CP3384" s="204" t="n"/>
      <c r="CQ3384" s="204" t="n"/>
      <c r="CR3384" s="204" t="n"/>
      <c r="CS3384" s="204" t="n"/>
      <c r="CT3384" s="204" t="n"/>
      <c r="CU3384" s="204" t="n"/>
      <c r="CV3384" s="204" t="n"/>
      <c r="CW3384" s="204" t="n"/>
    </row>
    <row r="3385">
      <c r="BF3385" s="78" t="n"/>
      <c r="BG3385" s="78" t="n"/>
      <c r="BH3385" s="78" t="n"/>
      <c r="BI3385" s="78" t="n"/>
      <c r="BJ3385" s="139" t="n"/>
      <c r="BK3385" s="204" t="n"/>
      <c r="BL3385" s="141" t="n"/>
      <c r="BM3385" s="205" t="n"/>
      <c r="BN3385" s="205" t="n"/>
      <c r="BO3385" s="206" t="n"/>
      <c r="BP3385" s="144" t="n"/>
      <c r="BQ3385" s="141" t="n"/>
      <c r="BR3385" s="207" t="n"/>
      <c r="BS3385" s="207" t="n"/>
      <c r="BT3385" s="207" t="n"/>
      <c r="BU3385" s="207" t="n"/>
      <c r="BV3385" s="208" t="n"/>
      <c r="BW3385" s="207" t="n"/>
      <c r="BX3385" s="207" t="n"/>
      <c r="BY3385" s="204" t="n"/>
      <c r="BZ3385" s="148" t="n"/>
      <c r="CA3385" s="204" t="n"/>
      <c r="CB3385" s="208" t="n"/>
      <c r="CC3385" s="139" t="n"/>
      <c r="CD3385" s="204" t="n"/>
      <c r="CE3385" s="204" t="n"/>
      <c r="CF3385" s="207" t="n"/>
      <c r="CG3385" s="208" t="n"/>
      <c r="CH3385" s="207" t="n"/>
      <c r="CI3385" s="208" t="n"/>
      <c r="CJ3385" s="204" t="n"/>
      <c r="CK3385" s="208" t="n"/>
      <c r="CL3385" s="208" t="n"/>
      <c r="CM3385" s="208" t="n"/>
      <c r="CN3385" s="78" t="n"/>
      <c r="CO3385" s="209" t="n"/>
      <c r="CP3385" s="204" t="n"/>
      <c r="CQ3385" s="204" t="n"/>
      <c r="CR3385" s="204" t="n"/>
      <c r="CS3385" s="204" t="n"/>
      <c r="CT3385" s="204" t="n"/>
      <c r="CU3385" s="204" t="n"/>
      <c r="CV3385" s="204" t="n"/>
      <c r="CW3385" s="204" t="n"/>
    </row>
    <row r="3386">
      <c r="BF3386" s="78" t="n"/>
      <c r="BG3386" s="78" t="n"/>
      <c r="BH3386" s="78" t="n"/>
      <c r="BI3386" s="78" t="n"/>
      <c r="BJ3386" s="139" t="n"/>
      <c r="BK3386" s="204" t="n"/>
      <c r="BL3386" s="141" t="n"/>
      <c r="BM3386" s="205" t="n"/>
      <c r="BN3386" s="205" t="n"/>
      <c r="BO3386" s="206" t="n"/>
      <c r="BP3386" s="144" t="n"/>
      <c r="BQ3386" s="141" t="n"/>
      <c r="BR3386" s="207" t="n"/>
      <c r="BS3386" s="207" t="n"/>
      <c r="BT3386" s="207" t="n"/>
      <c r="BU3386" s="207" t="n"/>
      <c r="BV3386" s="208" t="n"/>
      <c r="BW3386" s="207" t="n"/>
      <c r="BX3386" s="207" t="n"/>
      <c r="BY3386" s="204" t="n"/>
      <c r="BZ3386" s="148" t="n"/>
      <c r="CA3386" s="204" t="n"/>
      <c r="CB3386" s="208" t="n"/>
      <c r="CC3386" s="139" t="n"/>
      <c r="CD3386" s="204" t="n"/>
      <c r="CE3386" s="204" t="n"/>
      <c r="CF3386" s="207" t="n"/>
      <c r="CG3386" s="208" t="n"/>
      <c r="CH3386" s="207" t="n"/>
      <c r="CI3386" s="208" t="n"/>
      <c r="CJ3386" s="204" t="n"/>
      <c r="CK3386" s="208" t="n"/>
      <c r="CL3386" s="208" t="n"/>
      <c r="CM3386" s="208" t="n"/>
      <c r="CN3386" s="78" t="n"/>
      <c r="CO3386" s="209" t="n"/>
      <c r="CP3386" s="204" t="n"/>
      <c r="CQ3386" s="204" t="n"/>
      <c r="CR3386" s="204" t="n"/>
      <c r="CS3386" s="204" t="n"/>
      <c r="CT3386" s="204" t="n"/>
      <c r="CU3386" s="204" t="n"/>
      <c r="CV3386" s="204" t="n"/>
      <c r="CW3386" s="204" t="n"/>
    </row>
    <row r="3387">
      <c r="AR3387" s="151" t="n"/>
      <c r="BF3387" s="78" t="n"/>
      <c r="BG3387" s="78" t="n"/>
      <c r="BH3387" s="78" t="n"/>
      <c r="BI3387" s="78" t="n"/>
      <c r="BJ3387" s="139" t="n"/>
      <c r="BK3387" s="204" t="n"/>
      <c r="BL3387" s="141" t="n"/>
      <c r="BM3387" s="205" t="n"/>
      <c r="BN3387" s="205" t="n"/>
      <c r="BO3387" s="206" t="n"/>
      <c r="BP3387" s="144" t="n"/>
      <c r="BQ3387" s="141" t="n"/>
      <c r="BR3387" s="207" t="n"/>
      <c r="BS3387" s="207" t="n"/>
      <c r="BT3387" s="207" t="n"/>
      <c r="BU3387" s="207" t="n"/>
      <c r="BV3387" s="208" t="n"/>
      <c r="BW3387" s="207" t="n"/>
      <c r="BX3387" s="207" t="n"/>
      <c r="BY3387" s="204" t="n"/>
      <c r="BZ3387" s="148" t="n"/>
      <c r="CA3387" s="204" t="n"/>
      <c r="CB3387" s="208" t="n"/>
      <c r="CC3387" s="139" t="n"/>
      <c r="CD3387" s="204" t="n"/>
      <c r="CE3387" s="204" t="n"/>
      <c r="CF3387" s="207" t="n"/>
      <c r="CG3387" s="208" t="n"/>
      <c r="CH3387" s="207" t="n"/>
      <c r="CI3387" s="208" t="n"/>
      <c r="CJ3387" s="204" t="n"/>
      <c r="CK3387" s="208" t="n"/>
      <c r="CL3387" s="208" t="n"/>
      <c r="CM3387" s="208" t="n"/>
      <c r="CN3387" s="78" t="n"/>
      <c r="CO3387" s="209" t="n"/>
      <c r="CP3387" s="204" t="n"/>
      <c r="CQ3387" s="204" t="n"/>
      <c r="CR3387" s="204" t="n"/>
      <c r="CS3387" s="204" t="n"/>
      <c r="CT3387" s="204" t="n"/>
      <c r="CU3387" s="204" t="n"/>
      <c r="CV3387" s="204" t="n"/>
      <c r="CW3387" s="204" t="n"/>
    </row>
    <row r="3388">
      <c r="AR3388" s="151" t="n"/>
      <c r="BF3388" s="78" t="n"/>
      <c r="BG3388" s="78" t="n"/>
      <c r="BH3388" s="78" t="n"/>
      <c r="BI3388" s="78" t="n"/>
      <c r="BJ3388" s="139" t="n"/>
      <c r="BK3388" s="204" t="n"/>
      <c r="BL3388" s="141" t="n"/>
      <c r="BM3388" s="205" t="n"/>
      <c r="BN3388" s="205" t="n"/>
      <c r="BO3388" s="206" t="n"/>
      <c r="BP3388" s="144" t="n"/>
      <c r="BQ3388" s="141" t="n"/>
      <c r="BR3388" s="207" t="n"/>
      <c r="BS3388" s="207" t="n"/>
      <c r="BT3388" s="207" t="n"/>
      <c r="BU3388" s="207" t="n"/>
      <c r="BV3388" s="208" t="n"/>
      <c r="BW3388" s="207" t="n"/>
      <c r="BX3388" s="207" t="n"/>
      <c r="BY3388" s="204" t="n"/>
      <c r="BZ3388" s="148" t="n"/>
      <c r="CA3388" s="204" t="n"/>
      <c r="CB3388" s="208" t="n"/>
      <c r="CC3388" s="139" t="n"/>
      <c r="CD3388" s="204" t="n"/>
      <c r="CE3388" s="204" t="n"/>
      <c r="CF3388" s="207" t="n"/>
      <c r="CG3388" s="208" t="n"/>
      <c r="CH3388" s="207" t="n"/>
      <c r="CI3388" s="208" t="n"/>
      <c r="CJ3388" s="204" t="n"/>
      <c r="CK3388" s="208" t="n"/>
      <c r="CL3388" s="208" t="n"/>
      <c r="CM3388" s="208" t="n"/>
      <c r="CN3388" s="78" t="n"/>
      <c r="CO3388" s="209" t="n"/>
      <c r="CP3388" s="204" t="n"/>
      <c r="CQ3388" s="204" t="n"/>
      <c r="CR3388" s="204" t="n"/>
      <c r="CS3388" s="204" t="n"/>
      <c r="CT3388" s="204" t="n"/>
      <c r="CU3388" s="204" t="n"/>
      <c r="CV3388" s="204" t="n"/>
      <c r="CW3388" s="204" t="n"/>
    </row>
    <row r="3389">
      <c r="AR3389" s="151" t="n"/>
      <c r="BF3389" s="78" t="n"/>
      <c r="BG3389" s="78" t="n"/>
      <c r="BH3389" s="78" t="n"/>
      <c r="BI3389" s="78" t="n"/>
      <c r="BJ3389" s="139" t="n"/>
      <c r="BK3389" s="204" t="n"/>
      <c r="BL3389" s="141" t="n"/>
      <c r="BM3389" s="205" t="n"/>
      <c r="BN3389" s="205" t="n"/>
      <c r="BO3389" s="206" t="n"/>
      <c r="BP3389" s="144" t="n"/>
      <c r="BQ3389" s="141" t="n"/>
      <c r="BR3389" s="207" t="n"/>
      <c r="BS3389" s="207" t="n"/>
      <c r="BT3389" s="207" t="n"/>
      <c r="BU3389" s="207" t="n"/>
      <c r="BV3389" s="208" t="n"/>
      <c r="BW3389" s="207" t="n"/>
      <c r="BX3389" s="207" t="n"/>
      <c r="BY3389" s="204" t="n"/>
      <c r="BZ3389" s="148" t="n"/>
      <c r="CA3389" s="204" t="n"/>
      <c r="CB3389" s="208" t="n"/>
      <c r="CC3389" s="139" t="n"/>
      <c r="CD3389" s="204" t="n"/>
      <c r="CE3389" s="204" t="n"/>
      <c r="CF3389" s="207" t="n"/>
      <c r="CG3389" s="208" t="n"/>
      <c r="CH3389" s="207" t="n"/>
      <c r="CI3389" s="208" t="n"/>
      <c r="CJ3389" s="204" t="n"/>
      <c r="CK3389" s="208" t="n"/>
      <c r="CL3389" s="208" t="n"/>
      <c r="CM3389" s="208" t="n"/>
      <c r="CN3389" s="78" t="n"/>
      <c r="CO3389" s="209" t="n"/>
      <c r="CP3389" s="204" t="n"/>
      <c r="CQ3389" s="204" t="n"/>
      <c r="CR3389" s="204" t="n"/>
      <c r="CS3389" s="204" t="n"/>
      <c r="CT3389" s="204" t="n"/>
      <c r="CU3389" s="204" t="n"/>
      <c r="CV3389" s="204" t="n"/>
      <c r="CW3389" s="204" t="n"/>
    </row>
    <row r="3390">
      <c r="BF3390" s="78" t="n"/>
      <c r="BG3390" s="78" t="n"/>
      <c r="BH3390" s="78" t="n"/>
      <c r="BI3390" s="78" t="n"/>
      <c r="BJ3390" s="139" t="n"/>
      <c r="BK3390" s="204" t="n"/>
      <c r="BL3390" s="141" t="n"/>
      <c r="BM3390" s="205" t="n"/>
      <c r="BN3390" s="205" t="n"/>
      <c r="BO3390" s="206" t="n"/>
      <c r="BP3390" s="144" t="n"/>
      <c r="BQ3390" s="141" t="n"/>
      <c r="BR3390" s="207" t="n"/>
      <c r="BS3390" s="207" t="n"/>
      <c r="BT3390" s="207" t="n"/>
      <c r="BU3390" s="207" t="n"/>
      <c r="BV3390" s="208" t="n"/>
      <c r="BW3390" s="207" t="n"/>
      <c r="BX3390" s="207" t="n"/>
      <c r="BY3390" s="204" t="n"/>
      <c r="BZ3390" s="148" t="n"/>
      <c r="CA3390" s="204" t="n"/>
      <c r="CB3390" s="208" t="n"/>
      <c r="CC3390" s="139" t="n"/>
      <c r="CD3390" s="204" t="n"/>
      <c r="CE3390" s="204" t="n"/>
      <c r="CF3390" s="207" t="n"/>
      <c r="CG3390" s="208" t="n"/>
      <c r="CH3390" s="207" t="n"/>
      <c r="CI3390" s="208" t="n"/>
      <c r="CJ3390" s="204" t="n"/>
      <c r="CK3390" s="208" t="n"/>
      <c r="CL3390" s="208" t="n"/>
      <c r="CM3390" s="208" t="n"/>
      <c r="CN3390" s="78" t="n"/>
      <c r="CO3390" s="209" t="n"/>
      <c r="CP3390" s="204" t="n"/>
      <c r="CQ3390" s="204" t="n"/>
      <c r="CR3390" s="204" t="n"/>
      <c r="CS3390" s="204" t="n"/>
      <c r="CT3390" s="204" t="n"/>
      <c r="CU3390" s="204" t="n"/>
      <c r="CV3390" s="204" t="n"/>
      <c r="CW3390" s="204" t="n"/>
    </row>
    <row r="3391">
      <c r="AR3391" s="151" t="n"/>
      <c r="BF3391" s="78" t="n"/>
      <c r="BG3391" s="78" t="n"/>
      <c r="BH3391" s="78" t="n"/>
      <c r="BI3391" s="78" t="n"/>
      <c r="BJ3391" s="139" t="n"/>
      <c r="BK3391" s="204" t="n"/>
      <c r="BL3391" s="141" t="n"/>
      <c r="BM3391" s="205" t="n"/>
      <c r="BN3391" s="205" t="n"/>
      <c r="BO3391" s="206" t="n"/>
      <c r="BP3391" s="144" t="n"/>
      <c r="BQ3391" s="141" t="n"/>
      <c r="BR3391" s="207" t="n"/>
      <c r="BS3391" s="207" t="n"/>
      <c r="BT3391" s="207" t="n"/>
      <c r="BU3391" s="207" t="n"/>
      <c r="BV3391" s="208" t="n"/>
      <c r="BW3391" s="207" t="n"/>
      <c r="BX3391" s="207" t="n"/>
      <c r="BY3391" s="204" t="n"/>
      <c r="BZ3391" s="148" t="n"/>
      <c r="CA3391" s="204" t="n"/>
      <c r="CB3391" s="208" t="n"/>
      <c r="CC3391" s="139" t="n"/>
      <c r="CD3391" s="204" t="n"/>
      <c r="CE3391" s="204" t="n"/>
      <c r="CF3391" s="207" t="n"/>
      <c r="CG3391" s="208" t="n"/>
      <c r="CH3391" s="207" t="n"/>
      <c r="CI3391" s="208" t="n"/>
      <c r="CJ3391" s="204" t="n"/>
      <c r="CK3391" s="208" t="n"/>
      <c r="CL3391" s="208" t="n"/>
      <c r="CM3391" s="208" t="n"/>
      <c r="CN3391" s="78" t="n"/>
      <c r="CO3391" s="209" t="n"/>
      <c r="CP3391" s="204" t="n"/>
      <c r="CQ3391" s="204" t="n"/>
      <c r="CR3391" s="204" t="n"/>
      <c r="CS3391" s="204" t="n"/>
      <c r="CT3391" s="204" t="n"/>
      <c r="CU3391" s="204" t="n"/>
      <c r="CV3391" s="204" t="n"/>
      <c r="CW3391" s="204" t="n"/>
    </row>
    <row r="3392">
      <c r="BF3392" s="78" t="n"/>
      <c r="BG3392" s="78" t="n"/>
      <c r="BH3392" s="78" t="n"/>
      <c r="BI3392" s="78" t="n"/>
      <c r="BJ3392" s="139" t="n"/>
      <c r="BK3392" s="204" t="n"/>
      <c r="BL3392" s="141" t="n"/>
      <c r="BM3392" s="205" t="n"/>
      <c r="BN3392" s="205" t="n"/>
      <c r="BO3392" s="206" t="n"/>
      <c r="BP3392" s="144" t="n"/>
      <c r="BQ3392" s="141" t="n"/>
      <c r="BR3392" s="207" t="n"/>
      <c r="BS3392" s="207" t="n"/>
      <c r="BT3392" s="207" t="n"/>
      <c r="BU3392" s="207" t="n"/>
      <c r="BV3392" s="208" t="n"/>
      <c r="BW3392" s="207" t="n"/>
      <c r="BX3392" s="207" t="n"/>
      <c r="BY3392" s="204" t="n"/>
      <c r="BZ3392" s="148" t="n"/>
      <c r="CA3392" s="204" t="n"/>
      <c r="CB3392" s="208" t="n"/>
      <c r="CC3392" s="139" t="n"/>
      <c r="CD3392" s="204" t="n"/>
      <c r="CE3392" s="204" t="n"/>
      <c r="CF3392" s="207" t="n"/>
      <c r="CG3392" s="208" t="n"/>
      <c r="CH3392" s="207" t="n"/>
      <c r="CI3392" s="208" t="n"/>
      <c r="CJ3392" s="204" t="n"/>
      <c r="CK3392" s="208" t="n"/>
      <c r="CL3392" s="208" t="n"/>
      <c r="CM3392" s="208" t="n"/>
      <c r="CN3392" s="78" t="n"/>
      <c r="CO3392" s="209" t="n"/>
      <c r="CP3392" s="204" t="n"/>
      <c r="CQ3392" s="204" t="n"/>
      <c r="CR3392" s="204" t="n"/>
      <c r="CS3392" s="204" t="n"/>
      <c r="CT3392" s="204" t="n"/>
      <c r="CU3392" s="204" t="n"/>
      <c r="CV3392" s="204" t="n"/>
      <c r="CW3392" s="204" t="n"/>
    </row>
    <row r="3393">
      <c r="BF3393" s="78" t="n"/>
      <c r="BG3393" s="78" t="n"/>
      <c r="BH3393" s="78" t="n"/>
      <c r="BI3393" s="78" t="n"/>
      <c r="BJ3393" s="139" t="n"/>
      <c r="BK3393" s="204" t="n"/>
      <c r="BL3393" s="141" t="n"/>
      <c r="BM3393" s="205" t="n"/>
      <c r="BN3393" s="205" t="n"/>
      <c r="BO3393" s="206" t="n"/>
      <c r="BP3393" s="144" t="n"/>
      <c r="BQ3393" s="141" t="n"/>
      <c r="BR3393" s="207" t="n"/>
      <c r="BS3393" s="207" t="n"/>
      <c r="BT3393" s="207" t="n"/>
      <c r="BU3393" s="207" t="n"/>
      <c r="BV3393" s="208" t="n"/>
      <c r="BW3393" s="207" t="n"/>
      <c r="BX3393" s="207" t="n"/>
      <c r="BY3393" s="204" t="n"/>
      <c r="BZ3393" s="148" t="n"/>
      <c r="CA3393" s="204" t="n"/>
      <c r="CB3393" s="208" t="n"/>
      <c r="CC3393" s="139" t="n"/>
      <c r="CD3393" s="204" t="n"/>
      <c r="CE3393" s="204" t="n"/>
      <c r="CF3393" s="207" t="n"/>
      <c r="CG3393" s="208" t="n"/>
      <c r="CH3393" s="207" t="n"/>
      <c r="CI3393" s="208" t="n"/>
      <c r="CJ3393" s="204" t="n"/>
      <c r="CK3393" s="208" t="n"/>
      <c r="CL3393" s="208" t="n"/>
      <c r="CM3393" s="208" t="n"/>
      <c r="CN3393" s="78" t="n"/>
      <c r="CO3393" s="209" t="n"/>
      <c r="CP3393" s="204" t="n"/>
      <c r="CQ3393" s="204" t="n"/>
      <c r="CR3393" s="204" t="n"/>
      <c r="CS3393" s="204" t="n"/>
      <c r="CT3393" s="204" t="n"/>
      <c r="CU3393" s="204" t="n"/>
      <c r="CV3393" s="204" t="n"/>
      <c r="CW3393" s="204" t="n"/>
    </row>
    <row r="3394">
      <c r="AR3394" s="151" t="n"/>
      <c r="BF3394" s="78" t="n"/>
      <c r="BG3394" s="78" t="n"/>
      <c r="BH3394" s="78" t="n"/>
      <c r="BI3394" s="78" t="n"/>
      <c r="BJ3394" s="139" t="n"/>
      <c r="BK3394" s="204" t="n"/>
      <c r="BL3394" s="141" t="n"/>
      <c r="BM3394" s="205" t="n"/>
      <c r="BN3394" s="205" t="n"/>
      <c r="BO3394" s="206" t="n"/>
      <c r="BP3394" s="144" t="n"/>
      <c r="BQ3394" s="141" t="n"/>
      <c r="BR3394" s="207" t="n"/>
      <c r="BS3394" s="207" t="n"/>
      <c r="BT3394" s="207" t="n"/>
      <c r="BU3394" s="207" t="n"/>
      <c r="BV3394" s="208" t="n"/>
      <c r="BW3394" s="207" t="n"/>
      <c r="BX3394" s="207" t="n"/>
      <c r="BY3394" s="204" t="n"/>
      <c r="BZ3394" s="148" t="n"/>
      <c r="CA3394" s="204" t="n"/>
      <c r="CB3394" s="208" t="n"/>
      <c r="CC3394" s="139" t="n"/>
      <c r="CD3394" s="204" t="n"/>
      <c r="CE3394" s="204" t="n"/>
      <c r="CF3394" s="207" t="n"/>
      <c r="CG3394" s="208" t="n"/>
      <c r="CH3394" s="207" t="n"/>
      <c r="CI3394" s="208" t="n"/>
      <c r="CJ3394" s="204" t="n"/>
      <c r="CK3394" s="208" t="n"/>
      <c r="CL3394" s="208" t="n"/>
      <c r="CM3394" s="208" t="n"/>
      <c r="CN3394" s="78" t="n"/>
      <c r="CO3394" s="209" t="n"/>
      <c r="CP3394" s="204" t="n"/>
      <c r="CQ3394" s="204" t="n"/>
      <c r="CR3394" s="204" t="n"/>
      <c r="CS3394" s="204" t="n"/>
      <c r="CT3394" s="204" t="n"/>
      <c r="CU3394" s="204" t="n"/>
      <c r="CV3394" s="204" t="n"/>
      <c r="CW3394" s="204" t="n"/>
    </row>
    <row r="3395">
      <c r="BF3395" s="78" t="n"/>
      <c r="BG3395" s="78" t="n"/>
      <c r="BH3395" s="78" t="n"/>
      <c r="BI3395" s="78" t="n"/>
      <c r="BJ3395" s="139" t="n"/>
      <c r="BK3395" s="204" t="n"/>
      <c r="BL3395" s="141" t="n"/>
      <c r="BM3395" s="205" t="n"/>
      <c r="BN3395" s="205" t="n"/>
      <c r="BO3395" s="206" t="n"/>
      <c r="BP3395" s="144" t="n"/>
      <c r="BQ3395" s="141" t="n"/>
      <c r="BR3395" s="207" t="n"/>
      <c r="BS3395" s="207" t="n"/>
      <c r="BT3395" s="207" t="n"/>
      <c r="BU3395" s="207" t="n"/>
      <c r="BV3395" s="208" t="n"/>
      <c r="BW3395" s="207" t="n"/>
      <c r="BX3395" s="207" t="n"/>
      <c r="BY3395" s="204" t="n"/>
      <c r="BZ3395" s="148" t="n"/>
      <c r="CA3395" s="204" t="n"/>
      <c r="CB3395" s="208" t="n"/>
      <c r="CC3395" s="139" t="n"/>
      <c r="CD3395" s="204" t="n"/>
      <c r="CE3395" s="204" t="n"/>
      <c r="CF3395" s="207" t="n"/>
      <c r="CG3395" s="208" t="n"/>
      <c r="CH3395" s="207" t="n"/>
      <c r="CI3395" s="208" t="n"/>
      <c r="CJ3395" s="204" t="n"/>
      <c r="CK3395" s="208" t="n"/>
      <c r="CL3395" s="208" t="n"/>
      <c r="CM3395" s="208" t="n"/>
      <c r="CN3395" s="78" t="n"/>
      <c r="CO3395" s="209" t="n"/>
      <c r="CP3395" s="204" t="n"/>
      <c r="CQ3395" s="204" t="n"/>
      <c r="CR3395" s="204" t="n"/>
      <c r="CS3395" s="204" t="n"/>
      <c r="CT3395" s="204" t="n"/>
      <c r="CU3395" s="204" t="n"/>
      <c r="CV3395" s="204" t="n"/>
      <c r="CW3395" s="204" t="n"/>
    </row>
    <row r="3396">
      <c r="BF3396" s="78" t="n"/>
      <c r="BG3396" s="78" t="n"/>
      <c r="BH3396" s="78" t="n"/>
      <c r="BI3396" s="78" t="n"/>
      <c r="BJ3396" s="139" t="n"/>
      <c r="BK3396" s="204" t="n"/>
      <c r="BL3396" s="141" t="n"/>
      <c r="BM3396" s="205" t="n"/>
      <c r="BN3396" s="205" t="n"/>
      <c r="BO3396" s="206" t="n"/>
      <c r="BP3396" s="144" t="n"/>
      <c r="BQ3396" s="141" t="n"/>
      <c r="BR3396" s="207" t="n"/>
      <c r="BS3396" s="207" t="n"/>
      <c r="BT3396" s="207" t="n"/>
      <c r="BU3396" s="207" t="n"/>
      <c r="BV3396" s="208" t="n"/>
      <c r="BW3396" s="207" t="n"/>
      <c r="BX3396" s="207" t="n"/>
      <c r="BY3396" s="204" t="n"/>
      <c r="BZ3396" s="148" t="n"/>
      <c r="CA3396" s="204" t="n"/>
      <c r="CB3396" s="208" t="n"/>
      <c r="CC3396" s="139" t="n"/>
      <c r="CD3396" s="204" t="n"/>
      <c r="CE3396" s="204" t="n"/>
      <c r="CF3396" s="207" t="n"/>
      <c r="CG3396" s="208" t="n"/>
      <c r="CH3396" s="207" t="n"/>
      <c r="CI3396" s="208" t="n"/>
      <c r="CJ3396" s="204" t="n"/>
      <c r="CK3396" s="208" t="n"/>
      <c r="CL3396" s="208" t="n"/>
      <c r="CM3396" s="208" t="n"/>
      <c r="CN3396" s="78" t="n"/>
      <c r="CO3396" s="209" t="n"/>
      <c r="CP3396" s="204" t="n"/>
      <c r="CQ3396" s="204" t="n"/>
      <c r="CR3396" s="204" t="n"/>
      <c r="CS3396" s="204" t="n"/>
      <c r="CT3396" s="204" t="n"/>
      <c r="CU3396" s="204" t="n"/>
      <c r="CV3396" s="204" t="n"/>
      <c r="CW3396" s="204" t="n"/>
    </row>
    <row r="3397">
      <c r="BF3397" s="78" t="n"/>
      <c r="BG3397" s="78" t="n"/>
      <c r="BH3397" s="78" t="n"/>
      <c r="BI3397" s="78" t="n"/>
      <c r="BJ3397" s="139" t="n"/>
      <c r="BK3397" s="204" t="n"/>
      <c r="BL3397" s="141" t="n"/>
      <c r="BM3397" s="205" t="n"/>
      <c r="BN3397" s="205" t="n"/>
      <c r="BO3397" s="206" t="n"/>
      <c r="BP3397" s="144" t="n"/>
      <c r="BQ3397" s="141" t="n"/>
      <c r="BR3397" s="207" t="n"/>
      <c r="BS3397" s="207" t="n"/>
      <c r="BT3397" s="207" t="n"/>
      <c r="BU3397" s="207" t="n"/>
      <c r="BV3397" s="208" t="n"/>
      <c r="BW3397" s="207" t="n"/>
      <c r="BX3397" s="207" t="n"/>
      <c r="BY3397" s="204" t="n"/>
      <c r="BZ3397" s="148" t="n"/>
      <c r="CA3397" s="204" t="n"/>
      <c r="CB3397" s="208" t="n"/>
      <c r="CC3397" s="139" t="n"/>
      <c r="CD3397" s="204" t="n"/>
      <c r="CE3397" s="204" t="n"/>
      <c r="CF3397" s="207" t="n"/>
      <c r="CG3397" s="208" t="n"/>
      <c r="CH3397" s="207" t="n"/>
      <c r="CI3397" s="208" t="n"/>
      <c r="CJ3397" s="204" t="n"/>
      <c r="CK3397" s="208" t="n"/>
      <c r="CL3397" s="208" t="n"/>
      <c r="CM3397" s="208" t="n"/>
      <c r="CN3397" s="78" t="n"/>
      <c r="CO3397" s="209" t="n"/>
      <c r="CP3397" s="204" t="n"/>
      <c r="CQ3397" s="204" t="n"/>
      <c r="CR3397" s="204" t="n"/>
      <c r="CS3397" s="204" t="n"/>
      <c r="CT3397" s="204" t="n"/>
      <c r="CU3397" s="204" t="n"/>
      <c r="CV3397" s="204" t="n"/>
      <c r="CW3397" s="204" t="n"/>
    </row>
    <row r="3398">
      <c r="BF3398" s="78" t="n"/>
      <c r="BG3398" s="78" t="n"/>
      <c r="BH3398" s="78" t="n"/>
      <c r="BI3398" s="78" t="n"/>
      <c r="BJ3398" s="139" t="n"/>
      <c r="BK3398" s="204" t="n"/>
      <c r="BL3398" s="141" t="n"/>
      <c r="BM3398" s="205" t="n"/>
      <c r="BN3398" s="205" t="n"/>
      <c r="BO3398" s="206" t="n"/>
      <c r="BP3398" s="144" t="n"/>
      <c r="BQ3398" s="141" t="n"/>
      <c r="BR3398" s="207" t="n"/>
      <c r="BS3398" s="207" t="n"/>
      <c r="BT3398" s="207" t="n"/>
      <c r="BU3398" s="207" t="n"/>
      <c r="BV3398" s="208" t="n"/>
      <c r="BW3398" s="207" t="n"/>
      <c r="BX3398" s="207" t="n"/>
      <c r="BY3398" s="204" t="n"/>
      <c r="BZ3398" s="148" t="n"/>
      <c r="CA3398" s="204" t="n"/>
      <c r="CB3398" s="208" t="n"/>
      <c r="CC3398" s="139" t="n"/>
      <c r="CD3398" s="204" t="n"/>
      <c r="CE3398" s="204" t="n"/>
      <c r="CF3398" s="207" t="n"/>
      <c r="CG3398" s="208" t="n"/>
      <c r="CH3398" s="207" t="n"/>
      <c r="CI3398" s="208" t="n"/>
      <c r="CJ3398" s="204" t="n"/>
      <c r="CK3398" s="208" t="n"/>
      <c r="CL3398" s="208" t="n"/>
      <c r="CM3398" s="208" t="n"/>
      <c r="CN3398" s="78" t="n"/>
      <c r="CO3398" s="209" t="n"/>
      <c r="CP3398" s="204" t="n"/>
      <c r="CQ3398" s="204" t="n"/>
      <c r="CR3398" s="204" t="n"/>
      <c r="CS3398" s="204" t="n"/>
      <c r="CT3398" s="204" t="n"/>
      <c r="CU3398" s="204" t="n"/>
      <c r="CV3398" s="204" t="n"/>
      <c r="CW3398" s="204" t="n"/>
    </row>
    <row r="3399">
      <c r="AR3399" s="151" t="n"/>
      <c r="BF3399" s="78" t="n"/>
      <c r="BG3399" s="78" t="n"/>
      <c r="BH3399" s="78" t="n"/>
      <c r="BI3399" s="78" t="n"/>
      <c r="BJ3399" s="139" t="n"/>
      <c r="BK3399" s="204" t="n"/>
      <c r="BL3399" s="141" t="n"/>
      <c r="BM3399" s="205" t="n"/>
      <c r="BN3399" s="205" t="n"/>
      <c r="BO3399" s="206" t="n"/>
      <c r="BP3399" s="144" t="n"/>
      <c r="BQ3399" s="141" t="n"/>
      <c r="BR3399" s="207" t="n"/>
      <c r="BS3399" s="207" t="n"/>
      <c r="BT3399" s="207" t="n"/>
      <c r="BU3399" s="207" t="n"/>
      <c r="BV3399" s="208" t="n"/>
      <c r="BW3399" s="207" t="n"/>
      <c r="BX3399" s="207" t="n"/>
      <c r="BY3399" s="204" t="n"/>
      <c r="BZ3399" s="148" t="n"/>
      <c r="CA3399" s="204" t="n"/>
      <c r="CB3399" s="208" t="n"/>
      <c r="CC3399" s="139" t="n"/>
      <c r="CD3399" s="204" t="n"/>
      <c r="CE3399" s="204" t="n"/>
      <c r="CF3399" s="207" t="n"/>
      <c r="CG3399" s="208" t="n"/>
      <c r="CH3399" s="207" t="n"/>
      <c r="CI3399" s="208" t="n"/>
      <c r="CJ3399" s="204" t="n"/>
      <c r="CK3399" s="208" t="n"/>
      <c r="CL3399" s="208" t="n"/>
      <c r="CM3399" s="208" t="n"/>
      <c r="CN3399" s="78" t="n"/>
      <c r="CO3399" s="209" t="n"/>
      <c r="CP3399" s="204" t="n"/>
      <c r="CQ3399" s="204" t="n"/>
      <c r="CR3399" s="204" t="n"/>
      <c r="CS3399" s="204" t="n"/>
      <c r="CT3399" s="204" t="n"/>
      <c r="CU3399" s="204" t="n"/>
      <c r="CV3399" s="204" t="n"/>
      <c r="CW3399" s="204" t="n"/>
    </row>
    <row r="3400">
      <c r="AR3400" s="151" t="n"/>
      <c r="BF3400" s="78" t="n"/>
      <c r="BG3400" s="78" t="n"/>
      <c r="BH3400" s="78" t="n"/>
      <c r="BI3400" s="78" t="n"/>
      <c r="BJ3400" s="139" t="n"/>
      <c r="BK3400" s="204" t="n"/>
      <c r="BL3400" s="141" t="n"/>
      <c r="BM3400" s="205" t="n"/>
      <c r="BN3400" s="205" t="n"/>
      <c r="BO3400" s="206" t="n"/>
      <c r="BP3400" s="144" t="n"/>
      <c r="BQ3400" s="141" t="n"/>
      <c r="BR3400" s="207" t="n"/>
      <c r="BS3400" s="207" t="n"/>
      <c r="BT3400" s="207" t="n"/>
      <c r="BU3400" s="207" t="n"/>
      <c r="BV3400" s="208" t="n"/>
      <c r="BW3400" s="207" t="n"/>
      <c r="BX3400" s="207" t="n"/>
      <c r="BY3400" s="204" t="n"/>
      <c r="BZ3400" s="148" t="n"/>
      <c r="CA3400" s="204" t="n"/>
      <c r="CB3400" s="208" t="n"/>
      <c r="CC3400" s="139" t="n"/>
      <c r="CD3400" s="204" t="n"/>
      <c r="CE3400" s="204" t="n"/>
      <c r="CF3400" s="207" t="n"/>
      <c r="CG3400" s="208" t="n"/>
      <c r="CH3400" s="207" t="n"/>
      <c r="CI3400" s="208" t="n"/>
      <c r="CJ3400" s="204" t="n"/>
      <c r="CK3400" s="208" t="n"/>
      <c r="CL3400" s="208" t="n"/>
      <c r="CM3400" s="208" t="n"/>
      <c r="CN3400" s="78" t="n"/>
      <c r="CO3400" s="209" t="n"/>
      <c r="CP3400" s="204" t="n"/>
      <c r="CQ3400" s="204" t="n"/>
      <c r="CR3400" s="204" t="n"/>
      <c r="CS3400" s="204" t="n"/>
      <c r="CT3400" s="204" t="n"/>
      <c r="CU3400" s="204" t="n"/>
      <c r="CV3400" s="204" t="n"/>
      <c r="CW3400" s="204" t="n"/>
    </row>
    <row r="3401">
      <c r="BF3401" s="78" t="n"/>
      <c r="BG3401" s="78" t="n"/>
      <c r="BH3401" s="78" t="n"/>
      <c r="BI3401" s="78" t="n"/>
      <c r="BJ3401" s="139" t="n"/>
      <c r="BK3401" s="204" t="n"/>
      <c r="BL3401" s="141" t="n"/>
      <c r="BM3401" s="205" t="n"/>
      <c r="BN3401" s="205" t="n"/>
      <c r="BO3401" s="206" t="n"/>
      <c r="BP3401" s="144" t="n"/>
      <c r="BQ3401" s="141" t="n"/>
      <c r="BR3401" s="207" t="n"/>
      <c r="BS3401" s="207" t="n"/>
      <c r="BT3401" s="207" t="n"/>
      <c r="BU3401" s="207" t="n"/>
      <c r="BV3401" s="208" t="n"/>
      <c r="BW3401" s="207" t="n"/>
      <c r="BX3401" s="207" t="n"/>
      <c r="BY3401" s="204" t="n"/>
      <c r="BZ3401" s="148" t="n"/>
      <c r="CA3401" s="204" t="n"/>
      <c r="CB3401" s="208" t="n"/>
      <c r="CC3401" s="139" t="n"/>
      <c r="CD3401" s="204" t="n"/>
      <c r="CE3401" s="204" t="n"/>
      <c r="CF3401" s="207" t="n"/>
      <c r="CG3401" s="208" t="n"/>
      <c r="CH3401" s="207" t="n"/>
      <c r="CI3401" s="208" t="n"/>
      <c r="CJ3401" s="204" t="n"/>
      <c r="CK3401" s="208" t="n"/>
      <c r="CL3401" s="208" t="n"/>
      <c r="CM3401" s="208" t="n"/>
      <c r="CN3401" s="78" t="n"/>
      <c r="CO3401" s="209" t="n"/>
      <c r="CP3401" s="204" t="n"/>
      <c r="CQ3401" s="204" t="n"/>
      <c r="CR3401" s="204" t="n"/>
      <c r="CS3401" s="204" t="n"/>
      <c r="CT3401" s="204" t="n"/>
      <c r="CU3401" s="204" t="n"/>
      <c r="CV3401" s="204" t="n"/>
      <c r="CW3401" s="204" t="n"/>
    </row>
    <row r="3402">
      <c r="BF3402" s="78" t="n"/>
      <c r="BG3402" s="78" t="n"/>
      <c r="BH3402" s="78" t="n"/>
      <c r="BI3402" s="78" t="n"/>
      <c r="BJ3402" s="139" t="n"/>
      <c r="BK3402" s="204" t="n"/>
      <c r="BL3402" s="141" t="n"/>
      <c r="BM3402" s="205" t="n"/>
      <c r="BN3402" s="205" t="n"/>
      <c r="BO3402" s="206" t="n"/>
      <c r="BP3402" s="144" t="n"/>
      <c r="BQ3402" s="141" t="n"/>
      <c r="BR3402" s="207" t="n"/>
      <c r="BS3402" s="207" t="n"/>
      <c r="BT3402" s="207" t="n"/>
      <c r="BU3402" s="207" t="n"/>
      <c r="BV3402" s="208" t="n"/>
      <c r="BW3402" s="207" t="n"/>
      <c r="BX3402" s="207" t="n"/>
      <c r="BY3402" s="204" t="n"/>
      <c r="BZ3402" s="148" t="n"/>
      <c r="CA3402" s="204" t="n"/>
      <c r="CB3402" s="208" t="n"/>
      <c r="CC3402" s="139" t="n"/>
      <c r="CD3402" s="204" t="n"/>
      <c r="CE3402" s="204" t="n"/>
      <c r="CF3402" s="207" t="n"/>
      <c r="CG3402" s="208" t="n"/>
      <c r="CH3402" s="207" t="n"/>
      <c r="CI3402" s="208" t="n"/>
      <c r="CJ3402" s="204" t="n"/>
      <c r="CK3402" s="208" t="n"/>
      <c r="CL3402" s="208" t="n"/>
      <c r="CM3402" s="208" t="n"/>
      <c r="CN3402" s="78" t="n"/>
      <c r="CO3402" s="209" t="n"/>
      <c r="CP3402" s="204" t="n"/>
      <c r="CQ3402" s="204" t="n"/>
      <c r="CR3402" s="204" t="n"/>
      <c r="CS3402" s="204" t="n"/>
      <c r="CT3402" s="204" t="n"/>
      <c r="CU3402" s="204" t="n"/>
      <c r="CV3402" s="204" t="n"/>
      <c r="CW3402" s="204" t="n"/>
    </row>
    <row r="3403">
      <c r="BF3403" s="78" t="n"/>
      <c r="BG3403" s="78" t="n"/>
      <c r="BH3403" s="78" t="n"/>
      <c r="BI3403" s="78" t="n"/>
      <c r="BJ3403" s="139" t="n"/>
      <c r="BK3403" s="204" t="n"/>
      <c r="BL3403" s="141" t="n"/>
      <c r="BM3403" s="205" t="n"/>
      <c r="BN3403" s="205" t="n"/>
      <c r="BO3403" s="206" t="n"/>
      <c r="BP3403" s="144" t="n"/>
      <c r="BQ3403" s="141" t="n"/>
      <c r="BR3403" s="207" t="n"/>
      <c r="BS3403" s="207" t="n"/>
      <c r="BT3403" s="207" t="n"/>
      <c r="BU3403" s="207" t="n"/>
      <c r="BV3403" s="208" t="n"/>
      <c r="BW3403" s="207" t="n"/>
      <c r="BX3403" s="207" t="n"/>
      <c r="BY3403" s="204" t="n"/>
      <c r="BZ3403" s="148" t="n"/>
      <c r="CA3403" s="204" t="n"/>
      <c r="CB3403" s="208" t="n"/>
      <c r="CC3403" s="139" t="n"/>
      <c r="CD3403" s="204" t="n"/>
      <c r="CE3403" s="204" t="n"/>
      <c r="CF3403" s="207" t="n"/>
      <c r="CG3403" s="208" t="n"/>
      <c r="CH3403" s="207" t="n"/>
      <c r="CI3403" s="208" t="n"/>
      <c r="CJ3403" s="204" t="n"/>
      <c r="CK3403" s="208" t="n"/>
      <c r="CL3403" s="208" t="n"/>
      <c r="CM3403" s="208" t="n"/>
      <c r="CN3403" s="78" t="n"/>
      <c r="CO3403" s="209" t="n"/>
      <c r="CP3403" s="204" t="n"/>
      <c r="CQ3403" s="204" t="n"/>
      <c r="CR3403" s="204" t="n"/>
      <c r="CS3403" s="204" t="n"/>
      <c r="CT3403" s="204" t="n"/>
      <c r="CU3403" s="204" t="n"/>
      <c r="CV3403" s="204" t="n"/>
      <c r="CW3403" s="204" t="n"/>
    </row>
    <row r="3404">
      <c r="BF3404" s="78" t="n"/>
      <c r="BG3404" s="78" t="n"/>
      <c r="BH3404" s="78" t="n"/>
      <c r="BI3404" s="78" t="n"/>
      <c r="BJ3404" s="139" t="n"/>
      <c r="BK3404" s="204" t="n"/>
      <c r="BL3404" s="141" t="n"/>
      <c r="BM3404" s="205" t="n"/>
      <c r="BN3404" s="205" t="n"/>
      <c r="BO3404" s="206" t="n"/>
      <c r="BP3404" s="144" t="n"/>
      <c r="BQ3404" s="141" t="n"/>
      <c r="BR3404" s="207" t="n"/>
      <c r="BS3404" s="207" t="n"/>
      <c r="BT3404" s="207" t="n"/>
      <c r="BU3404" s="207" t="n"/>
      <c r="BV3404" s="208" t="n"/>
      <c r="BW3404" s="207" t="n"/>
      <c r="BX3404" s="207" t="n"/>
      <c r="BY3404" s="204" t="n"/>
      <c r="BZ3404" s="148" t="n"/>
      <c r="CA3404" s="204" t="n"/>
      <c r="CB3404" s="208" t="n"/>
      <c r="CC3404" s="139" t="n"/>
      <c r="CD3404" s="204" t="n"/>
      <c r="CE3404" s="204" t="n"/>
      <c r="CF3404" s="207" t="n"/>
      <c r="CG3404" s="208" t="n"/>
      <c r="CH3404" s="207" t="n"/>
      <c r="CI3404" s="208" t="n"/>
      <c r="CJ3404" s="204" t="n"/>
      <c r="CK3404" s="208" t="n"/>
      <c r="CL3404" s="208" t="n"/>
      <c r="CM3404" s="208" t="n"/>
      <c r="CN3404" s="78" t="n"/>
      <c r="CO3404" s="209" t="n"/>
      <c r="CP3404" s="204" t="n"/>
      <c r="CQ3404" s="204" t="n"/>
      <c r="CR3404" s="204" t="n"/>
      <c r="CS3404" s="204" t="n"/>
      <c r="CT3404" s="204" t="n"/>
      <c r="CU3404" s="204" t="n"/>
      <c r="CV3404" s="204" t="n"/>
      <c r="CW3404" s="204" t="n"/>
    </row>
    <row r="3405">
      <c r="BF3405" s="78" t="n"/>
      <c r="BG3405" s="78" t="n"/>
      <c r="BH3405" s="78" t="n"/>
      <c r="BI3405" s="78" t="n"/>
      <c r="BJ3405" s="139" t="n"/>
      <c r="BK3405" s="204" t="n"/>
      <c r="BL3405" s="141" t="n"/>
      <c r="BM3405" s="205" t="n"/>
      <c r="BN3405" s="205" t="n"/>
      <c r="BO3405" s="206" t="n"/>
      <c r="BP3405" s="144" t="n"/>
      <c r="BQ3405" s="141" t="n"/>
      <c r="BR3405" s="207" t="n"/>
      <c r="BS3405" s="207" t="n"/>
      <c r="BT3405" s="207" t="n"/>
      <c r="BU3405" s="207" t="n"/>
      <c r="BV3405" s="208" t="n"/>
      <c r="BW3405" s="207" t="n"/>
      <c r="BX3405" s="207" t="n"/>
      <c r="BY3405" s="204" t="n"/>
      <c r="BZ3405" s="148" t="n"/>
      <c r="CA3405" s="204" t="n"/>
      <c r="CB3405" s="208" t="n"/>
      <c r="CC3405" s="139" t="n"/>
      <c r="CD3405" s="204" t="n"/>
      <c r="CE3405" s="204" t="n"/>
      <c r="CF3405" s="207" t="n"/>
      <c r="CG3405" s="208" t="n"/>
      <c r="CH3405" s="207" t="n"/>
      <c r="CI3405" s="208" t="n"/>
      <c r="CJ3405" s="204" t="n"/>
      <c r="CK3405" s="208" t="n"/>
      <c r="CL3405" s="208" t="n"/>
      <c r="CM3405" s="208" t="n"/>
      <c r="CN3405" s="78" t="n"/>
      <c r="CO3405" s="209" t="n"/>
      <c r="CP3405" s="204" t="n"/>
      <c r="CQ3405" s="204" t="n"/>
      <c r="CR3405" s="204" t="n"/>
      <c r="CS3405" s="204" t="n"/>
      <c r="CT3405" s="204" t="n"/>
      <c r="CU3405" s="204" t="n"/>
      <c r="CV3405" s="204" t="n"/>
      <c r="CW3405" s="204" t="n"/>
    </row>
    <row r="3406">
      <c r="AR3406" s="151" t="n"/>
      <c r="BF3406" s="78" t="n"/>
      <c r="BG3406" s="78" t="n"/>
      <c r="BH3406" s="78" t="n"/>
      <c r="BI3406" s="78" t="n"/>
      <c r="BJ3406" s="139" t="n"/>
      <c r="BK3406" s="204" t="n"/>
      <c r="BL3406" s="141" t="n"/>
      <c r="BM3406" s="205" t="n"/>
      <c r="BN3406" s="205" t="n"/>
      <c r="BO3406" s="206" t="n"/>
      <c r="BP3406" s="144" t="n"/>
      <c r="BQ3406" s="141" t="n"/>
      <c r="BR3406" s="207" t="n"/>
      <c r="BS3406" s="207" t="n"/>
      <c r="BT3406" s="207" t="n"/>
      <c r="BU3406" s="207" t="n"/>
      <c r="BV3406" s="208" t="n"/>
      <c r="BW3406" s="207" t="n"/>
      <c r="BX3406" s="207" t="n"/>
      <c r="BY3406" s="204" t="n"/>
      <c r="BZ3406" s="148" t="n"/>
      <c r="CA3406" s="204" t="n"/>
      <c r="CB3406" s="208" t="n"/>
      <c r="CC3406" s="139" t="n"/>
      <c r="CD3406" s="204" t="n"/>
      <c r="CE3406" s="204" t="n"/>
      <c r="CF3406" s="207" t="n"/>
      <c r="CG3406" s="208" t="n"/>
      <c r="CH3406" s="207" t="n"/>
      <c r="CI3406" s="208" t="n"/>
      <c r="CJ3406" s="204" t="n"/>
      <c r="CK3406" s="208" t="n"/>
      <c r="CL3406" s="208" t="n"/>
      <c r="CM3406" s="208" t="n"/>
      <c r="CN3406" s="78" t="n"/>
      <c r="CO3406" s="209" t="n"/>
      <c r="CP3406" s="204" t="n"/>
      <c r="CQ3406" s="204" t="n"/>
      <c r="CR3406" s="204" t="n"/>
      <c r="CS3406" s="204" t="n"/>
      <c r="CT3406" s="204" t="n"/>
      <c r="CU3406" s="204" t="n"/>
      <c r="CV3406" s="204" t="n"/>
      <c r="CW3406" s="204" t="n"/>
    </row>
    <row r="3407">
      <c r="AR3407" s="151" t="n"/>
      <c r="BF3407" s="78" t="n"/>
      <c r="BG3407" s="78" t="n"/>
      <c r="BH3407" s="78" t="n"/>
      <c r="BI3407" s="78" t="n"/>
      <c r="BJ3407" s="139" t="n"/>
      <c r="BK3407" s="204" t="n"/>
      <c r="BL3407" s="141" t="n"/>
      <c r="BM3407" s="205" t="n"/>
      <c r="BN3407" s="205" t="n"/>
      <c r="BO3407" s="206" t="n"/>
      <c r="BP3407" s="144" t="n"/>
      <c r="BQ3407" s="141" t="n"/>
      <c r="BR3407" s="207" t="n"/>
      <c r="BS3407" s="207" t="n"/>
      <c r="BT3407" s="207" t="n"/>
      <c r="BU3407" s="207" t="n"/>
      <c r="BV3407" s="208" t="n"/>
      <c r="BW3407" s="207" t="n"/>
      <c r="BX3407" s="207" t="n"/>
      <c r="BY3407" s="204" t="n"/>
      <c r="BZ3407" s="148" t="n"/>
      <c r="CA3407" s="204" t="n"/>
      <c r="CB3407" s="208" t="n"/>
      <c r="CC3407" s="139" t="n"/>
      <c r="CD3407" s="204" t="n"/>
      <c r="CE3407" s="204" t="n"/>
      <c r="CF3407" s="207" t="n"/>
      <c r="CG3407" s="208" t="n"/>
      <c r="CH3407" s="207" t="n"/>
      <c r="CI3407" s="208" t="n"/>
      <c r="CJ3407" s="204" t="n"/>
      <c r="CK3407" s="208" t="n"/>
      <c r="CL3407" s="208" t="n"/>
      <c r="CM3407" s="208" t="n"/>
      <c r="CN3407" s="78" t="n"/>
      <c r="CO3407" s="209" t="n"/>
      <c r="CP3407" s="204" t="n"/>
      <c r="CQ3407" s="204" t="n"/>
      <c r="CR3407" s="204" t="n"/>
      <c r="CS3407" s="204" t="n"/>
      <c r="CT3407" s="204" t="n"/>
      <c r="CU3407" s="204" t="n"/>
      <c r="CV3407" s="204" t="n"/>
      <c r="CW3407" s="204" t="n"/>
    </row>
    <row r="3408">
      <c r="AR3408" s="151" t="n"/>
      <c r="BF3408" s="78" t="n"/>
      <c r="BG3408" s="78" t="n"/>
      <c r="BH3408" s="78" t="n"/>
      <c r="BI3408" s="78" t="n"/>
      <c r="BJ3408" s="139" t="n"/>
      <c r="BK3408" s="204" t="n"/>
      <c r="BL3408" s="141" t="n"/>
      <c r="BM3408" s="205" t="n"/>
      <c r="BN3408" s="205" t="n"/>
      <c r="BO3408" s="206" t="n"/>
      <c r="BP3408" s="144" t="n"/>
      <c r="BQ3408" s="141" t="n"/>
      <c r="BR3408" s="207" t="n"/>
      <c r="BS3408" s="207" t="n"/>
      <c r="BT3408" s="207" t="n"/>
      <c r="BU3408" s="207" t="n"/>
      <c r="BV3408" s="208" t="n"/>
      <c r="BW3408" s="207" t="n"/>
      <c r="BX3408" s="207" t="n"/>
      <c r="BY3408" s="204" t="n"/>
      <c r="BZ3408" s="148" t="n"/>
      <c r="CA3408" s="204" t="n"/>
      <c r="CB3408" s="208" t="n"/>
      <c r="CC3408" s="139" t="n"/>
      <c r="CD3408" s="204" t="n"/>
      <c r="CE3408" s="204" t="n"/>
      <c r="CF3408" s="207" t="n"/>
      <c r="CG3408" s="208" t="n"/>
      <c r="CH3408" s="207" t="n"/>
      <c r="CI3408" s="208" t="n"/>
      <c r="CJ3408" s="204" t="n"/>
      <c r="CK3408" s="208" t="n"/>
      <c r="CL3408" s="208" t="n"/>
      <c r="CM3408" s="208" t="n"/>
      <c r="CN3408" s="78" t="n"/>
      <c r="CO3408" s="209" t="n"/>
      <c r="CP3408" s="204" t="n"/>
      <c r="CQ3408" s="204" t="n"/>
      <c r="CR3408" s="204" t="n"/>
      <c r="CS3408" s="204" t="n"/>
      <c r="CT3408" s="204" t="n"/>
      <c r="CU3408" s="204" t="n"/>
      <c r="CV3408" s="204" t="n"/>
      <c r="CW3408" s="204" t="n"/>
    </row>
    <row r="3409">
      <c r="AR3409" s="151" t="n"/>
      <c r="BF3409" s="78" t="n"/>
      <c r="BG3409" s="78" t="n"/>
      <c r="BH3409" s="78" t="n"/>
      <c r="BI3409" s="78" t="n"/>
      <c r="BJ3409" s="139" t="n"/>
      <c r="BK3409" s="204" t="n"/>
      <c r="BL3409" s="141" t="n"/>
      <c r="BM3409" s="205" t="n"/>
      <c r="BN3409" s="205" t="n"/>
      <c r="BO3409" s="206" t="n"/>
      <c r="BP3409" s="144" t="n"/>
      <c r="BQ3409" s="141" t="n"/>
      <c r="BR3409" s="207" t="n"/>
      <c r="BS3409" s="207" t="n"/>
      <c r="BT3409" s="207" t="n"/>
      <c r="BU3409" s="207" t="n"/>
      <c r="BV3409" s="208" t="n"/>
      <c r="BW3409" s="207" t="n"/>
      <c r="BX3409" s="207" t="n"/>
      <c r="BY3409" s="204" t="n"/>
      <c r="BZ3409" s="148" t="n"/>
      <c r="CA3409" s="204" t="n"/>
      <c r="CB3409" s="208" t="n"/>
      <c r="CC3409" s="139" t="n"/>
      <c r="CD3409" s="204" t="n"/>
      <c r="CE3409" s="204" t="n"/>
      <c r="CF3409" s="207" t="n"/>
      <c r="CG3409" s="208" t="n"/>
      <c r="CH3409" s="207" t="n"/>
      <c r="CI3409" s="208" t="n"/>
      <c r="CJ3409" s="204" t="n"/>
      <c r="CK3409" s="208" t="n"/>
      <c r="CL3409" s="208" t="n"/>
      <c r="CM3409" s="208" t="n"/>
      <c r="CN3409" s="78" t="n"/>
      <c r="CO3409" s="209" t="n"/>
      <c r="CP3409" s="204" t="n"/>
      <c r="CQ3409" s="204" t="n"/>
      <c r="CR3409" s="204" t="n"/>
      <c r="CS3409" s="204" t="n"/>
      <c r="CT3409" s="204" t="n"/>
      <c r="CU3409" s="204" t="n"/>
      <c r="CV3409" s="204" t="n"/>
      <c r="CW3409" s="204" t="n"/>
    </row>
    <row r="3410">
      <c r="AR3410" s="151" t="n"/>
      <c r="BF3410" s="78" t="n"/>
      <c r="BG3410" s="78" t="n"/>
      <c r="BH3410" s="78" t="n"/>
      <c r="BI3410" s="78" t="n"/>
      <c r="BJ3410" s="139" t="n"/>
      <c r="BK3410" s="204" t="n"/>
      <c r="BL3410" s="141" t="n"/>
      <c r="BM3410" s="205" t="n"/>
      <c r="BN3410" s="205" t="n"/>
      <c r="BO3410" s="206" t="n"/>
      <c r="BP3410" s="144" t="n"/>
      <c r="BQ3410" s="141" t="n"/>
      <c r="BR3410" s="207" t="n"/>
      <c r="BS3410" s="207" t="n"/>
      <c r="BT3410" s="207" t="n"/>
      <c r="BU3410" s="207" t="n"/>
      <c r="BV3410" s="208" t="n"/>
      <c r="BW3410" s="207" t="n"/>
      <c r="BX3410" s="207" t="n"/>
      <c r="BY3410" s="204" t="n"/>
      <c r="BZ3410" s="148" t="n"/>
      <c r="CA3410" s="204" t="n"/>
      <c r="CB3410" s="208" t="n"/>
      <c r="CC3410" s="139" t="n"/>
      <c r="CD3410" s="204" t="n"/>
      <c r="CE3410" s="204" t="n"/>
      <c r="CF3410" s="207" t="n"/>
      <c r="CG3410" s="208" t="n"/>
      <c r="CH3410" s="207" t="n"/>
      <c r="CI3410" s="208" t="n"/>
      <c r="CJ3410" s="204" t="n"/>
      <c r="CK3410" s="208" t="n"/>
      <c r="CL3410" s="208" t="n"/>
      <c r="CM3410" s="208" t="n"/>
      <c r="CN3410" s="78" t="n"/>
      <c r="CO3410" s="209" t="n"/>
      <c r="CP3410" s="204" t="n"/>
      <c r="CQ3410" s="204" t="n"/>
      <c r="CR3410" s="204" t="n"/>
      <c r="CS3410" s="204" t="n"/>
      <c r="CT3410" s="204" t="n"/>
      <c r="CU3410" s="204" t="n"/>
      <c r="CV3410" s="204" t="n"/>
      <c r="CW3410" s="204" t="n"/>
    </row>
    <row r="3411">
      <c r="AR3411" s="151" t="n"/>
      <c r="BF3411" s="78" t="n"/>
      <c r="BG3411" s="78" t="n"/>
      <c r="BH3411" s="78" t="n"/>
      <c r="BI3411" s="78" t="n"/>
      <c r="BJ3411" s="139" t="n"/>
      <c r="BK3411" s="204" t="n"/>
      <c r="BL3411" s="141" t="n"/>
      <c r="BM3411" s="205" t="n"/>
      <c r="BN3411" s="205" t="n"/>
      <c r="BO3411" s="206" t="n"/>
      <c r="BP3411" s="144" t="n"/>
      <c r="BQ3411" s="141" t="n"/>
      <c r="BR3411" s="207" t="n"/>
      <c r="BS3411" s="207" t="n"/>
      <c r="BT3411" s="207" t="n"/>
      <c r="BU3411" s="207" t="n"/>
      <c r="BV3411" s="208" t="n"/>
      <c r="BW3411" s="207" t="n"/>
      <c r="BX3411" s="207" t="n"/>
      <c r="BY3411" s="204" t="n"/>
      <c r="BZ3411" s="148" t="n"/>
      <c r="CA3411" s="204" t="n"/>
      <c r="CB3411" s="208" t="n"/>
      <c r="CC3411" s="139" t="n"/>
      <c r="CD3411" s="204" t="n"/>
      <c r="CE3411" s="204" t="n"/>
      <c r="CF3411" s="207" t="n"/>
      <c r="CG3411" s="208" t="n"/>
      <c r="CH3411" s="207" t="n"/>
      <c r="CI3411" s="208" t="n"/>
      <c r="CJ3411" s="204" t="n"/>
      <c r="CK3411" s="208" t="n"/>
      <c r="CL3411" s="208" t="n"/>
      <c r="CM3411" s="208" t="n"/>
      <c r="CN3411" s="78" t="n"/>
      <c r="CO3411" s="209" t="n"/>
      <c r="CP3411" s="204" t="n"/>
      <c r="CQ3411" s="204" t="n"/>
      <c r="CR3411" s="204" t="n"/>
      <c r="CS3411" s="204" t="n"/>
      <c r="CT3411" s="204" t="n"/>
      <c r="CU3411" s="204" t="n"/>
      <c r="CV3411" s="204" t="n"/>
      <c r="CW3411" s="204" t="n"/>
    </row>
    <row r="3412">
      <c r="AR3412" s="151" t="n"/>
      <c r="BF3412" s="78" t="n"/>
      <c r="BG3412" s="78" t="n"/>
      <c r="BH3412" s="78" t="n"/>
      <c r="BI3412" s="78" t="n"/>
      <c r="BJ3412" s="139" t="n"/>
      <c r="BK3412" s="204" t="n"/>
      <c r="BL3412" s="141" t="n"/>
      <c r="BM3412" s="205" t="n"/>
      <c r="BN3412" s="205" t="n"/>
      <c r="BO3412" s="206" t="n"/>
      <c r="BP3412" s="144" t="n"/>
      <c r="BQ3412" s="141" t="n"/>
      <c r="BR3412" s="207" t="n"/>
      <c r="BS3412" s="207" t="n"/>
      <c r="BT3412" s="207" t="n"/>
      <c r="BU3412" s="207" t="n"/>
      <c r="BV3412" s="208" t="n"/>
      <c r="BW3412" s="207" t="n"/>
      <c r="BX3412" s="207" t="n"/>
      <c r="BY3412" s="204" t="n"/>
      <c r="BZ3412" s="148" t="n"/>
      <c r="CA3412" s="204" t="n"/>
      <c r="CB3412" s="208" t="n"/>
      <c r="CC3412" s="139" t="n"/>
      <c r="CD3412" s="204" t="n"/>
      <c r="CE3412" s="204" t="n"/>
      <c r="CF3412" s="207" t="n"/>
      <c r="CG3412" s="208" t="n"/>
      <c r="CH3412" s="207" t="n"/>
      <c r="CI3412" s="208" t="n"/>
      <c r="CJ3412" s="204" t="n"/>
      <c r="CK3412" s="208" t="n"/>
      <c r="CL3412" s="208" t="n"/>
      <c r="CM3412" s="208" t="n"/>
      <c r="CN3412" s="78" t="n"/>
      <c r="CO3412" s="209" t="n"/>
      <c r="CP3412" s="204" t="n"/>
      <c r="CQ3412" s="204" t="n"/>
      <c r="CR3412" s="204" t="n"/>
      <c r="CS3412" s="204" t="n"/>
      <c r="CT3412" s="204" t="n"/>
      <c r="CU3412" s="204" t="n"/>
      <c r="CV3412" s="204" t="n"/>
      <c r="CW3412" s="204" t="n"/>
    </row>
    <row r="3413">
      <c r="BF3413" s="78" t="n"/>
      <c r="BG3413" s="78" t="n"/>
      <c r="BH3413" s="78" t="n"/>
      <c r="BI3413" s="78" t="n"/>
      <c r="BJ3413" s="139" t="n"/>
      <c r="BK3413" s="204" t="n"/>
      <c r="BL3413" s="141" t="n"/>
      <c r="BM3413" s="205" t="n"/>
      <c r="BN3413" s="205" t="n"/>
      <c r="BO3413" s="206" t="n"/>
      <c r="BP3413" s="144" t="n"/>
      <c r="BQ3413" s="141" t="n"/>
      <c r="BR3413" s="207" t="n"/>
      <c r="BS3413" s="207" t="n"/>
      <c r="BT3413" s="207" t="n"/>
      <c r="BU3413" s="207" t="n"/>
      <c r="BV3413" s="208" t="n"/>
      <c r="BW3413" s="207" t="n"/>
      <c r="BX3413" s="207" t="n"/>
      <c r="BY3413" s="204" t="n"/>
      <c r="BZ3413" s="148" t="n"/>
      <c r="CA3413" s="204" t="n"/>
      <c r="CB3413" s="208" t="n"/>
      <c r="CC3413" s="139" t="n"/>
      <c r="CD3413" s="204" t="n"/>
      <c r="CE3413" s="204" t="n"/>
      <c r="CF3413" s="207" t="n"/>
      <c r="CG3413" s="208" t="n"/>
      <c r="CH3413" s="207" t="n"/>
      <c r="CI3413" s="208" t="n"/>
      <c r="CJ3413" s="204" t="n"/>
      <c r="CK3413" s="208" t="n"/>
      <c r="CL3413" s="208" t="n"/>
      <c r="CM3413" s="208" t="n"/>
      <c r="CN3413" s="78" t="n"/>
      <c r="CO3413" s="209" t="n"/>
      <c r="CP3413" s="204" t="n"/>
      <c r="CQ3413" s="204" t="n"/>
      <c r="CR3413" s="204" t="n"/>
      <c r="CS3413" s="204" t="n"/>
      <c r="CT3413" s="204" t="n"/>
      <c r="CU3413" s="204" t="n"/>
      <c r="CV3413" s="204" t="n"/>
      <c r="CW3413" s="204" t="n"/>
    </row>
    <row r="3414">
      <c r="AR3414" s="151" t="n"/>
      <c r="BF3414" s="78" t="n"/>
      <c r="BG3414" s="78" t="n"/>
      <c r="BH3414" s="78" t="n"/>
      <c r="BI3414" s="78" t="n"/>
      <c r="BJ3414" s="139" t="n"/>
      <c r="BK3414" s="204" t="n"/>
      <c r="BL3414" s="141" t="n"/>
      <c r="BM3414" s="205" t="n"/>
      <c r="BN3414" s="205" t="n"/>
      <c r="BO3414" s="206" t="n"/>
      <c r="BP3414" s="144" t="n"/>
      <c r="BQ3414" s="141" t="n"/>
      <c r="BR3414" s="207" t="n"/>
      <c r="BS3414" s="207" t="n"/>
      <c r="BT3414" s="207" t="n"/>
      <c r="BU3414" s="207" t="n"/>
      <c r="BV3414" s="208" t="n"/>
      <c r="BW3414" s="207" t="n"/>
      <c r="BX3414" s="207" t="n"/>
      <c r="BY3414" s="204" t="n"/>
      <c r="BZ3414" s="148" t="n"/>
      <c r="CA3414" s="204" t="n"/>
      <c r="CB3414" s="208" t="n"/>
      <c r="CC3414" s="139" t="n"/>
      <c r="CD3414" s="204" t="n"/>
      <c r="CE3414" s="204" t="n"/>
      <c r="CF3414" s="207" t="n"/>
      <c r="CG3414" s="208" t="n"/>
      <c r="CH3414" s="207" t="n"/>
      <c r="CI3414" s="208" t="n"/>
      <c r="CJ3414" s="204" t="n"/>
      <c r="CK3414" s="208" t="n"/>
      <c r="CL3414" s="208" t="n"/>
      <c r="CM3414" s="208" t="n"/>
      <c r="CN3414" s="78" t="n"/>
      <c r="CO3414" s="209" t="n"/>
      <c r="CP3414" s="204" t="n"/>
      <c r="CQ3414" s="204" t="n"/>
      <c r="CR3414" s="204" t="n"/>
      <c r="CS3414" s="204" t="n"/>
      <c r="CT3414" s="204" t="n"/>
      <c r="CU3414" s="204" t="n"/>
      <c r="CV3414" s="204" t="n"/>
      <c r="CW3414" s="204" t="n"/>
    </row>
    <row r="3415">
      <c r="BF3415" s="78" t="n"/>
      <c r="BG3415" s="78" t="n"/>
      <c r="BH3415" s="78" t="n"/>
      <c r="BI3415" s="78" t="n"/>
      <c r="BJ3415" s="139" t="n"/>
      <c r="BK3415" s="204" t="n"/>
      <c r="BL3415" s="141" t="n"/>
      <c r="BM3415" s="205" t="n"/>
      <c r="BN3415" s="205" t="n"/>
      <c r="BO3415" s="206" t="n"/>
      <c r="BP3415" s="144" t="n"/>
      <c r="BQ3415" s="141" t="n"/>
      <c r="BR3415" s="207" t="n"/>
      <c r="BS3415" s="207" t="n"/>
      <c r="BT3415" s="207" t="n"/>
      <c r="BU3415" s="207" t="n"/>
      <c r="BV3415" s="208" t="n"/>
      <c r="BW3415" s="207" t="n"/>
      <c r="BX3415" s="207" t="n"/>
      <c r="BY3415" s="204" t="n"/>
      <c r="BZ3415" s="148" t="n"/>
      <c r="CA3415" s="204" t="n"/>
      <c r="CB3415" s="208" t="n"/>
      <c r="CC3415" s="139" t="n"/>
      <c r="CD3415" s="204" t="n"/>
      <c r="CE3415" s="204" t="n"/>
      <c r="CF3415" s="207" t="n"/>
      <c r="CG3415" s="208" t="n"/>
      <c r="CH3415" s="207" t="n"/>
      <c r="CI3415" s="208" t="n"/>
      <c r="CJ3415" s="204" t="n"/>
      <c r="CK3415" s="208" t="n"/>
      <c r="CL3415" s="208" t="n"/>
      <c r="CM3415" s="208" t="n"/>
      <c r="CN3415" s="78" t="n"/>
      <c r="CO3415" s="209" t="n"/>
      <c r="CP3415" s="204" t="n"/>
      <c r="CQ3415" s="204" t="n"/>
      <c r="CR3415" s="204" t="n"/>
      <c r="CS3415" s="204" t="n"/>
      <c r="CT3415" s="204" t="n"/>
      <c r="CU3415" s="204" t="n"/>
      <c r="CV3415" s="204" t="n"/>
      <c r="CW3415" s="204" t="n"/>
    </row>
    <row r="3416">
      <c r="BF3416" s="78" t="n"/>
      <c r="BG3416" s="78" t="n"/>
      <c r="BH3416" s="78" t="n"/>
      <c r="BI3416" s="78" t="n"/>
      <c r="BJ3416" s="139" t="n"/>
      <c r="BK3416" s="204" t="n"/>
      <c r="BL3416" s="141" t="n"/>
      <c r="BM3416" s="205" t="n"/>
      <c r="BN3416" s="205" t="n"/>
      <c r="BO3416" s="206" t="n"/>
      <c r="BP3416" s="144" t="n"/>
      <c r="BQ3416" s="141" t="n"/>
      <c r="BR3416" s="207" t="n"/>
      <c r="BS3416" s="207" t="n"/>
      <c r="BT3416" s="207" t="n"/>
      <c r="BU3416" s="207" t="n"/>
      <c r="BV3416" s="208" t="n"/>
      <c r="BW3416" s="207" t="n"/>
      <c r="BX3416" s="207" t="n"/>
      <c r="BY3416" s="204" t="n"/>
      <c r="BZ3416" s="148" t="n"/>
      <c r="CA3416" s="204" t="n"/>
      <c r="CB3416" s="208" t="n"/>
      <c r="CC3416" s="139" t="n"/>
      <c r="CD3416" s="204" t="n"/>
      <c r="CE3416" s="204" t="n"/>
      <c r="CF3416" s="207" t="n"/>
      <c r="CG3416" s="208" t="n"/>
      <c r="CH3416" s="207" t="n"/>
      <c r="CI3416" s="208" t="n"/>
      <c r="CJ3416" s="204" t="n"/>
      <c r="CK3416" s="208" t="n"/>
      <c r="CL3416" s="208" t="n"/>
      <c r="CM3416" s="208" t="n"/>
      <c r="CN3416" s="78" t="n"/>
      <c r="CO3416" s="209" t="n"/>
      <c r="CP3416" s="204" t="n"/>
      <c r="CQ3416" s="204" t="n"/>
      <c r="CR3416" s="204" t="n"/>
      <c r="CS3416" s="204" t="n"/>
      <c r="CT3416" s="204" t="n"/>
      <c r="CU3416" s="204" t="n"/>
      <c r="CV3416" s="204" t="n"/>
      <c r="CW3416" s="204" t="n"/>
    </row>
    <row r="3417">
      <c r="AR3417" s="151" t="n"/>
      <c r="BF3417" s="78" t="n"/>
      <c r="BG3417" s="78" t="n"/>
      <c r="BH3417" s="78" t="n"/>
      <c r="BI3417" s="78" t="n"/>
      <c r="BJ3417" s="139" t="n"/>
      <c r="BK3417" s="204" t="n"/>
      <c r="BL3417" s="141" t="n"/>
      <c r="BM3417" s="205" t="n"/>
      <c r="BN3417" s="205" t="n"/>
      <c r="BO3417" s="206" t="n"/>
      <c r="BP3417" s="144" t="n"/>
      <c r="BQ3417" s="141" t="n"/>
      <c r="BR3417" s="207" t="n"/>
      <c r="BS3417" s="207" t="n"/>
      <c r="BT3417" s="207" t="n"/>
      <c r="BU3417" s="207" t="n"/>
      <c r="BV3417" s="208" t="n"/>
      <c r="BW3417" s="207" t="n"/>
      <c r="BX3417" s="207" t="n"/>
      <c r="BY3417" s="204" t="n"/>
      <c r="BZ3417" s="148" t="n"/>
      <c r="CA3417" s="204" t="n"/>
      <c r="CB3417" s="208" t="n"/>
      <c r="CC3417" s="139" t="n"/>
      <c r="CD3417" s="204" t="n"/>
      <c r="CE3417" s="204" t="n"/>
      <c r="CF3417" s="207" t="n"/>
      <c r="CG3417" s="208" t="n"/>
      <c r="CH3417" s="207" t="n"/>
      <c r="CI3417" s="208" t="n"/>
      <c r="CJ3417" s="204" t="n"/>
      <c r="CK3417" s="208" t="n"/>
      <c r="CL3417" s="208" t="n"/>
      <c r="CM3417" s="208" t="n"/>
      <c r="CN3417" s="78" t="n"/>
      <c r="CO3417" s="209" t="n"/>
      <c r="CP3417" s="204" t="n"/>
      <c r="CQ3417" s="204" t="n"/>
      <c r="CR3417" s="204" t="n"/>
      <c r="CS3417" s="204" t="n"/>
      <c r="CT3417" s="204" t="n"/>
      <c r="CU3417" s="204" t="n"/>
      <c r="CV3417" s="204" t="n"/>
      <c r="CW3417" s="204" t="n"/>
    </row>
    <row r="3418">
      <c r="BF3418" s="78" t="n"/>
      <c r="BG3418" s="78" t="n"/>
      <c r="BH3418" s="78" t="n"/>
      <c r="BI3418" s="78" t="n"/>
      <c r="BJ3418" s="139" t="n"/>
      <c r="BK3418" s="204" t="n"/>
      <c r="BL3418" s="141" t="n"/>
      <c r="BM3418" s="205" t="n"/>
      <c r="BN3418" s="205" t="n"/>
      <c r="BO3418" s="206" t="n"/>
      <c r="BP3418" s="144" t="n"/>
      <c r="BQ3418" s="141" t="n"/>
      <c r="BR3418" s="207" t="n"/>
      <c r="BS3418" s="207" t="n"/>
      <c r="BT3418" s="207" t="n"/>
      <c r="BU3418" s="207" t="n"/>
      <c r="BV3418" s="208" t="n"/>
      <c r="BW3418" s="207" t="n"/>
      <c r="BX3418" s="207" t="n"/>
      <c r="BY3418" s="204" t="n"/>
      <c r="BZ3418" s="148" t="n"/>
      <c r="CA3418" s="204" t="n"/>
      <c r="CB3418" s="208" t="n"/>
      <c r="CC3418" s="139" t="n"/>
      <c r="CD3418" s="204" t="n"/>
      <c r="CE3418" s="204" t="n"/>
      <c r="CF3418" s="207" t="n"/>
      <c r="CG3418" s="208" t="n"/>
      <c r="CH3418" s="207" t="n"/>
      <c r="CI3418" s="208" t="n"/>
      <c r="CJ3418" s="204" t="n"/>
      <c r="CK3418" s="208" t="n"/>
      <c r="CL3418" s="208" t="n"/>
      <c r="CM3418" s="208" t="n"/>
      <c r="CN3418" s="78" t="n"/>
      <c r="CO3418" s="209" t="n"/>
      <c r="CP3418" s="204" t="n"/>
      <c r="CQ3418" s="204" t="n"/>
      <c r="CR3418" s="204" t="n"/>
      <c r="CS3418" s="204" t="n"/>
      <c r="CT3418" s="204" t="n"/>
      <c r="CU3418" s="204" t="n"/>
      <c r="CV3418" s="204" t="n"/>
      <c r="CW3418" s="204" t="n"/>
    </row>
    <row r="3419">
      <c r="BF3419" s="78" t="n"/>
      <c r="BG3419" s="78" t="n"/>
      <c r="BH3419" s="78" t="n"/>
      <c r="BI3419" s="78" t="n"/>
      <c r="BJ3419" s="139" t="n"/>
      <c r="BK3419" s="204" t="n"/>
      <c r="BL3419" s="141" t="n"/>
      <c r="BM3419" s="205" t="n"/>
      <c r="BN3419" s="205" t="n"/>
      <c r="BO3419" s="206" t="n"/>
      <c r="BP3419" s="144" t="n"/>
      <c r="BQ3419" s="141" t="n"/>
      <c r="BR3419" s="207" t="n"/>
      <c r="BS3419" s="207" t="n"/>
      <c r="BT3419" s="207" t="n"/>
      <c r="BU3419" s="207" t="n"/>
      <c r="BV3419" s="208" t="n"/>
      <c r="BW3419" s="207" t="n"/>
      <c r="BX3419" s="207" t="n"/>
      <c r="BY3419" s="204" t="n"/>
      <c r="BZ3419" s="148" t="n"/>
      <c r="CA3419" s="204" t="n"/>
      <c r="CB3419" s="208" t="n"/>
      <c r="CC3419" s="139" t="n"/>
      <c r="CD3419" s="204" t="n"/>
      <c r="CE3419" s="204" t="n"/>
      <c r="CF3419" s="207" t="n"/>
      <c r="CG3419" s="208" t="n"/>
      <c r="CH3419" s="207" t="n"/>
      <c r="CI3419" s="208" t="n"/>
      <c r="CJ3419" s="204" t="n"/>
      <c r="CK3419" s="208" t="n"/>
      <c r="CL3419" s="208" t="n"/>
      <c r="CM3419" s="208" t="n"/>
      <c r="CN3419" s="78" t="n"/>
      <c r="CO3419" s="209" t="n"/>
      <c r="CP3419" s="204" t="n"/>
      <c r="CQ3419" s="204" t="n"/>
      <c r="CR3419" s="204" t="n"/>
      <c r="CS3419" s="204" t="n"/>
      <c r="CT3419" s="204" t="n"/>
      <c r="CU3419" s="204" t="n"/>
      <c r="CV3419" s="204" t="n"/>
      <c r="CW3419" s="204" t="n"/>
    </row>
    <row r="3420">
      <c r="AR3420" s="151" t="n"/>
      <c r="BF3420" s="78" t="n"/>
      <c r="BG3420" s="78" t="n"/>
      <c r="BH3420" s="78" t="n"/>
      <c r="BI3420" s="78" t="n"/>
      <c r="BJ3420" s="139" t="n"/>
      <c r="BK3420" s="204" t="n"/>
      <c r="BL3420" s="141" t="n"/>
      <c r="BM3420" s="205" t="n"/>
      <c r="BN3420" s="205" t="n"/>
      <c r="BO3420" s="206" t="n"/>
      <c r="BP3420" s="144" t="n"/>
      <c r="BQ3420" s="141" t="n"/>
      <c r="BR3420" s="207" t="n"/>
      <c r="BS3420" s="207" t="n"/>
      <c r="BT3420" s="207" t="n"/>
      <c r="BU3420" s="207" t="n"/>
      <c r="BV3420" s="208" t="n"/>
      <c r="BW3420" s="207" t="n"/>
      <c r="BX3420" s="207" t="n"/>
      <c r="BY3420" s="204" t="n"/>
      <c r="BZ3420" s="148" t="n"/>
      <c r="CA3420" s="204" t="n"/>
      <c r="CB3420" s="208" t="n"/>
      <c r="CC3420" s="139" t="n"/>
      <c r="CD3420" s="204" t="n"/>
      <c r="CE3420" s="204" t="n"/>
      <c r="CF3420" s="207" t="n"/>
      <c r="CG3420" s="208" t="n"/>
      <c r="CH3420" s="207" t="n"/>
      <c r="CI3420" s="208" t="n"/>
      <c r="CJ3420" s="204" t="n"/>
      <c r="CK3420" s="208" t="n"/>
      <c r="CL3420" s="208" t="n"/>
      <c r="CM3420" s="208" t="n"/>
      <c r="CN3420" s="78" t="n"/>
      <c r="CO3420" s="209" t="n"/>
      <c r="CP3420" s="204" t="n"/>
      <c r="CQ3420" s="204" t="n"/>
      <c r="CR3420" s="204" t="n"/>
      <c r="CS3420" s="204" t="n"/>
      <c r="CT3420" s="204" t="n"/>
      <c r="CU3420" s="204" t="n"/>
      <c r="CV3420" s="204" t="n"/>
      <c r="CW3420" s="204" t="n"/>
    </row>
    <row r="3421">
      <c r="BF3421" s="78" t="n"/>
      <c r="BG3421" s="78" t="n"/>
      <c r="BH3421" s="78" t="n"/>
      <c r="BI3421" s="78" t="n"/>
      <c r="BJ3421" s="139" t="n"/>
      <c r="BK3421" s="204" t="n"/>
      <c r="BL3421" s="141" t="n"/>
      <c r="BM3421" s="205" t="n"/>
      <c r="BN3421" s="205" t="n"/>
      <c r="BO3421" s="206" t="n"/>
      <c r="BP3421" s="144" t="n"/>
      <c r="BQ3421" s="141" t="n"/>
      <c r="BR3421" s="207" t="n"/>
      <c r="BS3421" s="207" t="n"/>
      <c r="BT3421" s="207" t="n"/>
      <c r="BU3421" s="207" t="n"/>
      <c r="BV3421" s="208" t="n"/>
      <c r="BW3421" s="207" t="n"/>
      <c r="BX3421" s="207" t="n"/>
      <c r="BY3421" s="204" t="n"/>
      <c r="BZ3421" s="148" t="n"/>
      <c r="CA3421" s="204" t="n"/>
      <c r="CB3421" s="208" t="n"/>
      <c r="CC3421" s="139" t="n"/>
      <c r="CD3421" s="204" t="n"/>
      <c r="CE3421" s="204" t="n"/>
      <c r="CF3421" s="207" t="n"/>
      <c r="CG3421" s="208" t="n"/>
      <c r="CH3421" s="207" t="n"/>
      <c r="CI3421" s="208" t="n"/>
      <c r="CJ3421" s="204" t="n"/>
      <c r="CK3421" s="208" t="n"/>
      <c r="CL3421" s="208" t="n"/>
      <c r="CM3421" s="208" t="n"/>
      <c r="CN3421" s="78" t="n"/>
      <c r="CO3421" s="209" t="n"/>
      <c r="CP3421" s="204" t="n"/>
      <c r="CQ3421" s="204" t="n"/>
      <c r="CR3421" s="204" t="n"/>
      <c r="CS3421" s="204" t="n"/>
      <c r="CT3421" s="204" t="n"/>
      <c r="CU3421" s="204" t="n"/>
      <c r="CV3421" s="204" t="n"/>
      <c r="CW3421" s="204" t="n"/>
    </row>
    <row r="3422">
      <c r="BF3422" s="78" t="n"/>
      <c r="BG3422" s="78" t="n"/>
      <c r="BH3422" s="78" t="n"/>
      <c r="BI3422" s="78" t="n"/>
      <c r="BJ3422" s="139" t="n"/>
      <c r="BK3422" s="204" t="n"/>
      <c r="BL3422" s="141" t="n"/>
      <c r="BM3422" s="205" t="n"/>
      <c r="BN3422" s="205" t="n"/>
      <c r="BO3422" s="206" t="n"/>
      <c r="BP3422" s="144" t="n"/>
      <c r="BQ3422" s="141" t="n"/>
      <c r="BR3422" s="207" t="n"/>
      <c r="BS3422" s="207" t="n"/>
      <c r="BT3422" s="207" t="n"/>
      <c r="BU3422" s="207" t="n"/>
      <c r="BV3422" s="208" t="n"/>
      <c r="BW3422" s="207" t="n"/>
      <c r="BX3422" s="207" t="n"/>
      <c r="BY3422" s="204" t="n"/>
      <c r="BZ3422" s="148" t="n"/>
      <c r="CA3422" s="204" t="n"/>
      <c r="CB3422" s="208" t="n"/>
      <c r="CC3422" s="139" t="n"/>
      <c r="CD3422" s="204" t="n"/>
      <c r="CE3422" s="204" t="n"/>
      <c r="CF3422" s="207" t="n"/>
      <c r="CG3422" s="208" t="n"/>
      <c r="CH3422" s="207" t="n"/>
      <c r="CI3422" s="208" t="n"/>
      <c r="CJ3422" s="204" t="n"/>
      <c r="CK3422" s="208" t="n"/>
      <c r="CL3422" s="208" t="n"/>
      <c r="CM3422" s="208" t="n"/>
      <c r="CN3422" s="78" t="n"/>
      <c r="CO3422" s="209" t="n"/>
      <c r="CP3422" s="204" t="n"/>
      <c r="CQ3422" s="204" t="n"/>
      <c r="CR3422" s="204" t="n"/>
      <c r="CS3422" s="204" t="n"/>
      <c r="CT3422" s="204" t="n"/>
      <c r="CU3422" s="204" t="n"/>
      <c r="CV3422" s="204" t="n"/>
      <c r="CW3422" s="204" t="n"/>
    </row>
    <row r="3423">
      <c r="AR3423" s="151" t="n"/>
      <c r="BF3423" s="78" t="n"/>
      <c r="BG3423" s="78" t="n"/>
      <c r="BH3423" s="78" t="n"/>
      <c r="BI3423" s="78" t="n"/>
      <c r="BJ3423" s="139" t="n"/>
      <c r="BK3423" s="204" t="n"/>
      <c r="BL3423" s="141" t="n"/>
      <c r="BM3423" s="205" t="n"/>
      <c r="BN3423" s="205" t="n"/>
      <c r="BO3423" s="206" t="n"/>
      <c r="BP3423" s="144" t="n"/>
      <c r="BQ3423" s="141" t="n"/>
      <c r="BR3423" s="207" t="n"/>
      <c r="BS3423" s="207" t="n"/>
      <c r="BT3423" s="207" t="n"/>
      <c r="BU3423" s="207" t="n"/>
      <c r="BV3423" s="208" t="n"/>
      <c r="BW3423" s="207" t="n"/>
      <c r="BX3423" s="207" t="n"/>
      <c r="BY3423" s="204" t="n"/>
      <c r="BZ3423" s="148" t="n"/>
      <c r="CA3423" s="204" t="n"/>
      <c r="CB3423" s="208" t="n"/>
      <c r="CC3423" s="139" t="n"/>
      <c r="CD3423" s="204" t="n"/>
      <c r="CE3423" s="204" t="n"/>
      <c r="CF3423" s="207" t="n"/>
      <c r="CG3423" s="208" t="n"/>
      <c r="CH3423" s="207" t="n"/>
      <c r="CI3423" s="208" t="n"/>
      <c r="CJ3423" s="204" t="n"/>
      <c r="CK3423" s="208" t="n"/>
      <c r="CL3423" s="208" t="n"/>
      <c r="CM3423" s="208" t="n"/>
      <c r="CN3423" s="78" t="n"/>
      <c r="CO3423" s="209" t="n"/>
      <c r="CP3423" s="204" t="n"/>
      <c r="CQ3423" s="204" t="n"/>
      <c r="CR3423" s="204" t="n"/>
      <c r="CS3423" s="204" t="n"/>
      <c r="CT3423" s="204" t="n"/>
      <c r="CU3423" s="204" t="n"/>
      <c r="CV3423" s="204" t="n"/>
      <c r="CW3423" s="204" t="n"/>
    </row>
    <row r="3424">
      <c r="AR3424" s="151" t="n"/>
      <c r="BF3424" s="78" t="n"/>
      <c r="BG3424" s="78" t="n"/>
      <c r="BH3424" s="78" t="n"/>
      <c r="BI3424" s="78" t="n"/>
      <c r="BJ3424" s="139" t="n"/>
      <c r="BK3424" s="204" t="n"/>
      <c r="BL3424" s="141" t="n"/>
      <c r="BM3424" s="205" t="n"/>
      <c r="BN3424" s="205" t="n"/>
      <c r="BO3424" s="206" t="n"/>
      <c r="BP3424" s="144" t="n"/>
      <c r="BQ3424" s="141" t="n"/>
      <c r="BR3424" s="207" t="n"/>
      <c r="BS3424" s="207" t="n"/>
      <c r="BT3424" s="207" t="n"/>
      <c r="BU3424" s="207" t="n"/>
      <c r="BV3424" s="208" t="n"/>
      <c r="BW3424" s="207" t="n"/>
      <c r="BX3424" s="207" t="n"/>
      <c r="BY3424" s="204" t="n"/>
      <c r="BZ3424" s="148" t="n"/>
      <c r="CA3424" s="204" t="n"/>
      <c r="CB3424" s="208" t="n"/>
      <c r="CC3424" s="139" t="n"/>
      <c r="CD3424" s="204" t="n"/>
      <c r="CE3424" s="204" t="n"/>
      <c r="CF3424" s="207" t="n"/>
      <c r="CG3424" s="208" t="n"/>
      <c r="CH3424" s="207" t="n"/>
      <c r="CI3424" s="208" t="n"/>
      <c r="CJ3424" s="204" t="n"/>
      <c r="CK3424" s="208" t="n"/>
      <c r="CL3424" s="208" t="n"/>
      <c r="CM3424" s="208" t="n"/>
      <c r="CN3424" s="78" t="n"/>
      <c r="CO3424" s="209" t="n"/>
      <c r="CP3424" s="204" t="n"/>
      <c r="CQ3424" s="204" t="n"/>
      <c r="CR3424" s="204" t="n"/>
      <c r="CS3424" s="204" t="n"/>
      <c r="CT3424" s="204" t="n"/>
      <c r="CU3424" s="204" t="n"/>
      <c r="CV3424" s="204" t="n"/>
      <c r="CW3424" s="204" t="n"/>
    </row>
    <row r="3425">
      <c r="AR3425" s="151" t="n"/>
      <c r="BF3425" s="78" t="n"/>
      <c r="BG3425" s="78" t="n"/>
      <c r="BH3425" s="78" t="n"/>
      <c r="BI3425" s="78" t="n"/>
      <c r="BJ3425" s="139" t="n"/>
      <c r="BK3425" s="204" t="n"/>
      <c r="BL3425" s="141" t="n"/>
      <c r="BM3425" s="205" t="n"/>
      <c r="BN3425" s="205" t="n"/>
      <c r="BO3425" s="206" t="n"/>
      <c r="BP3425" s="144" t="n"/>
      <c r="BQ3425" s="141" t="n"/>
      <c r="BR3425" s="207" t="n"/>
      <c r="BS3425" s="207" t="n"/>
      <c r="BT3425" s="207" t="n"/>
      <c r="BU3425" s="207" t="n"/>
      <c r="BV3425" s="208" t="n"/>
      <c r="BW3425" s="207" t="n"/>
      <c r="BX3425" s="207" t="n"/>
      <c r="BY3425" s="204" t="n"/>
      <c r="BZ3425" s="148" t="n"/>
      <c r="CA3425" s="204" t="n"/>
      <c r="CB3425" s="208" t="n"/>
      <c r="CC3425" s="139" t="n"/>
      <c r="CD3425" s="204" t="n"/>
      <c r="CE3425" s="204" t="n"/>
      <c r="CF3425" s="207" t="n"/>
      <c r="CG3425" s="208" t="n"/>
      <c r="CH3425" s="207" t="n"/>
      <c r="CI3425" s="208" t="n"/>
      <c r="CJ3425" s="204" t="n"/>
      <c r="CK3425" s="208" t="n"/>
      <c r="CL3425" s="208" t="n"/>
      <c r="CM3425" s="208" t="n"/>
      <c r="CN3425" s="78" t="n"/>
      <c r="CO3425" s="209" t="n"/>
      <c r="CP3425" s="204" t="n"/>
      <c r="CQ3425" s="204" t="n"/>
      <c r="CR3425" s="204" t="n"/>
      <c r="CS3425" s="204" t="n"/>
      <c r="CT3425" s="204" t="n"/>
      <c r="CU3425" s="204" t="n"/>
      <c r="CV3425" s="204" t="n"/>
      <c r="CW3425" s="204" t="n"/>
    </row>
    <row r="3426">
      <c r="AR3426" s="151" t="n"/>
      <c r="BF3426" s="78" t="n"/>
      <c r="BG3426" s="78" t="n"/>
      <c r="BH3426" s="78" t="n"/>
      <c r="BI3426" s="78" t="n"/>
      <c r="BJ3426" s="139" t="n"/>
      <c r="BK3426" s="204" t="n"/>
      <c r="BL3426" s="141" t="n"/>
      <c r="BM3426" s="205" t="n"/>
      <c r="BN3426" s="205" t="n"/>
      <c r="BO3426" s="206" t="n"/>
      <c r="BP3426" s="144" t="n"/>
      <c r="BQ3426" s="141" t="n"/>
      <c r="BR3426" s="207" t="n"/>
      <c r="BS3426" s="207" t="n"/>
      <c r="BT3426" s="207" t="n"/>
      <c r="BU3426" s="207" t="n"/>
      <c r="BV3426" s="208" t="n"/>
      <c r="BW3426" s="207" t="n"/>
      <c r="BX3426" s="207" t="n"/>
      <c r="BY3426" s="204" t="n"/>
      <c r="BZ3426" s="148" t="n"/>
      <c r="CA3426" s="204" t="n"/>
      <c r="CB3426" s="208" t="n"/>
      <c r="CC3426" s="139" t="n"/>
      <c r="CD3426" s="204" t="n"/>
      <c r="CE3426" s="204" t="n"/>
      <c r="CF3426" s="207" t="n"/>
      <c r="CG3426" s="208" t="n"/>
      <c r="CH3426" s="207" t="n"/>
      <c r="CI3426" s="208" t="n"/>
      <c r="CJ3426" s="204" t="n"/>
      <c r="CK3426" s="208" t="n"/>
      <c r="CL3426" s="208" t="n"/>
      <c r="CM3426" s="208" t="n"/>
      <c r="CN3426" s="78" t="n"/>
      <c r="CO3426" s="209" t="n"/>
      <c r="CP3426" s="204" t="n"/>
      <c r="CQ3426" s="204" t="n"/>
      <c r="CR3426" s="204" t="n"/>
      <c r="CS3426" s="204" t="n"/>
      <c r="CT3426" s="204" t="n"/>
      <c r="CU3426" s="204" t="n"/>
      <c r="CV3426" s="204" t="n"/>
      <c r="CW3426" s="204" t="n"/>
    </row>
    <row r="3427">
      <c r="AR3427" s="151" t="n"/>
      <c r="BF3427" s="78" t="n"/>
      <c r="BG3427" s="78" t="n"/>
      <c r="BH3427" s="78" t="n"/>
      <c r="BI3427" s="78" t="n"/>
      <c r="BJ3427" s="139" t="n"/>
      <c r="BK3427" s="204" t="n"/>
      <c r="BL3427" s="141" t="n"/>
      <c r="BM3427" s="205" t="n"/>
      <c r="BN3427" s="205" t="n"/>
      <c r="BO3427" s="206" t="n"/>
      <c r="BP3427" s="144" t="n"/>
      <c r="BQ3427" s="141" t="n"/>
      <c r="BR3427" s="207" t="n"/>
      <c r="BS3427" s="207" t="n"/>
      <c r="BT3427" s="207" t="n"/>
      <c r="BU3427" s="207" t="n"/>
      <c r="BV3427" s="208" t="n"/>
      <c r="BW3427" s="207" t="n"/>
      <c r="BX3427" s="207" t="n"/>
      <c r="BY3427" s="204" t="n"/>
      <c r="BZ3427" s="148" t="n"/>
      <c r="CA3427" s="204" t="n"/>
      <c r="CB3427" s="208" t="n"/>
      <c r="CC3427" s="139" t="n"/>
      <c r="CD3427" s="204" t="n"/>
      <c r="CE3427" s="204" t="n"/>
      <c r="CF3427" s="207" t="n"/>
      <c r="CG3427" s="208" t="n"/>
      <c r="CH3427" s="207" t="n"/>
      <c r="CI3427" s="208" t="n"/>
      <c r="CJ3427" s="204" t="n"/>
      <c r="CK3427" s="208" t="n"/>
      <c r="CL3427" s="208" t="n"/>
      <c r="CM3427" s="208" t="n"/>
      <c r="CN3427" s="78" t="n"/>
      <c r="CO3427" s="209" t="n"/>
      <c r="CP3427" s="204" t="n"/>
      <c r="CQ3427" s="204" t="n"/>
      <c r="CR3427" s="204" t="n"/>
      <c r="CS3427" s="204" t="n"/>
      <c r="CT3427" s="204" t="n"/>
      <c r="CU3427" s="204" t="n"/>
      <c r="CV3427" s="204" t="n"/>
      <c r="CW3427" s="204" t="n"/>
    </row>
    <row r="3428">
      <c r="BF3428" s="78" t="n"/>
      <c r="BG3428" s="78" t="n"/>
      <c r="BH3428" s="78" t="n"/>
      <c r="BI3428" s="78" t="n"/>
      <c r="BJ3428" s="139" t="n"/>
      <c r="BK3428" s="204" t="n"/>
      <c r="BL3428" s="141" t="n"/>
      <c r="BM3428" s="205" t="n"/>
      <c r="BN3428" s="205" t="n"/>
      <c r="BO3428" s="206" t="n"/>
      <c r="BP3428" s="144" t="n"/>
      <c r="BQ3428" s="141" t="n"/>
      <c r="BR3428" s="207" t="n"/>
      <c r="BS3428" s="207" t="n"/>
      <c r="BT3428" s="207" t="n"/>
      <c r="BU3428" s="207" t="n"/>
      <c r="BV3428" s="208" t="n"/>
      <c r="BW3428" s="207" t="n"/>
      <c r="BX3428" s="207" t="n"/>
      <c r="BY3428" s="204" t="n"/>
      <c r="BZ3428" s="148" t="n"/>
      <c r="CA3428" s="204" t="n"/>
      <c r="CB3428" s="208" t="n"/>
      <c r="CC3428" s="139" t="n"/>
      <c r="CD3428" s="204" t="n"/>
      <c r="CE3428" s="204" t="n"/>
      <c r="CF3428" s="207" t="n"/>
      <c r="CG3428" s="208" t="n"/>
      <c r="CH3428" s="207" t="n"/>
      <c r="CI3428" s="208" t="n"/>
      <c r="CJ3428" s="204" t="n"/>
      <c r="CK3428" s="208" t="n"/>
      <c r="CL3428" s="208" t="n"/>
      <c r="CM3428" s="208" t="n"/>
      <c r="CN3428" s="78" t="n"/>
      <c r="CO3428" s="209" t="n"/>
      <c r="CP3428" s="204" t="n"/>
      <c r="CQ3428" s="204" t="n"/>
      <c r="CR3428" s="204" t="n"/>
      <c r="CS3428" s="204" t="n"/>
      <c r="CT3428" s="204" t="n"/>
      <c r="CU3428" s="204" t="n"/>
      <c r="CV3428" s="204" t="n"/>
      <c r="CW3428" s="204" t="n"/>
    </row>
    <row r="3429">
      <c r="BF3429" s="78" t="n"/>
      <c r="BG3429" s="78" t="n"/>
      <c r="BH3429" s="78" t="n"/>
      <c r="BI3429" s="78" t="n"/>
      <c r="BJ3429" s="139" t="n"/>
      <c r="BK3429" s="204" t="n"/>
      <c r="BL3429" s="141" t="n"/>
      <c r="BM3429" s="205" t="n"/>
      <c r="BN3429" s="205" t="n"/>
      <c r="BO3429" s="206" t="n"/>
      <c r="BP3429" s="144" t="n"/>
      <c r="BQ3429" s="141" t="n"/>
      <c r="BR3429" s="207" t="n"/>
      <c r="BS3429" s="207" t="n"/>
      <c r="BT3429" s="207" t="n"/>
      <c r="BU3429" s="207" t="n"/>
      <c r="BV3429" s="208" t="n"/>
      <c r="BW3429" s="207" t="n"/>
      <c r="BX3429" s="207" t="n"/>
      <c r="BY3429" s="204" t="n"/>
      <c r="BZ3429" s="148" t="n"/>
      <c r="CA3429" s="204" t="n"/>
      <c r="CB3429" s="208" t="n"/>
      <c r="CC3429" s="139" t="n"/>
      <c r="CD3429" s="204" t="n"/>
      <c r="CE3429" s="204" t="n"/>
      <c r="CF3429" s="207" t="n"/>
      <c r="CG3429" s="208" t="n"/>
      <c r="CH3429" s="207" t="n"/>
      <c r="CI3429" s="208" t="n"/>
      <c r="CJ3429" s="204" t="n"/>
      <c r="CK3429" s="208" t="n"/>
      <c r="CL3429" s="208" t="n"/>
      <c r="CM3429" s="208" t="n"/>
      <c r="CN3429" s="78" t="n"/>
      <c r="CO3429" s="209" t="n"/>
      <c r="CP3429" s="204" t="n"/>
      <c r="CQ3429" s="204" t="n"/>
      <c r="CR3429" s="204" t="n"/>
      <c r="CS3429" s="204" t="n"/>
      <c r="CT3429" s="204" t="n"/>
      <c r="CU3429" s="204" t="n"/>
      <c r="CV3429" s="204" t="n"/>
      <c r="CW3429" s="204" t="n"/>
    </row>
    <row r="3430">
      <c r="BF3430" s="78" t="n"/>
      <c r="BG3430" s="78" t="n"/>
      <c r="BH3430" s="78" t="n"/>
      <c r="BI3430" s="78" t="n"/>
      <c r="BJ3430" s="139" t="n"/>
      <c r="BK3430" s="204" t="n"/>
      <c r="BL3430" s="141" t="n"/>
      <c r="BM3430" s="205" t="n"/>
      <c r="BN3430" s="205" t="n"/>
      <c r="BO3430" s="206" t="n"/>
      <c r="BP3430" s="144" t="n"/>
      <c r="BQ3430" s="141" t="n"/>
      <c r="BR3430" s="207" t="n"/>
      <c r="BS3430" s="207" t="n"/>
      <c r="BT3430" s="207" t="n"/>
      <c r="BU3430" s="207" t="n"/>
      <c r="BV3430" s="208" t="n"/>
      <c r="BW3430" s="207" t="n"/>
      <c r="BX3430" s="207" t="n"/>
      <c r="BY3430" s="204" t="n"/>
      <c r="BZ3430" s="148" t="n"/>
      <c r="CA3430" s="204" t="n"/>
      <c r="CB3430" s="208" t="n"/>
      <c r="CC3430" s="139" t="n"/>
      <c r="CD3430" s="204" t="n"/>
      <c r="CE3430" s="204" t="n"/>
      <c r="CF3430" s="207" t="n"/>
      <c r="CG3430" s="208" t="n"/>
      <c r="CH3430" s="207" t="n"/>
      <c r="CI3430" s="208" t="n"/>
      <c r="CJ3430" s="204" t="n"/>
      <c r="CK3430" s="208" t="n"/>
      <c r="CL3430" s="208" t="n"/>
      <c r="CM3430" s="208" t="n"/>
      <c r="CN3430" s="78" t="n"/>
      <c r="CO3430" s="209" t="n"/>
      <c r="CP3430" s="204" t="n"/>
      <c r="CQ3430" s="204" t="n"/>
      <c r="CR3430" s="204" t="n"/>
      <c r="CS3430" s="204" t="n"/>
      <c r="CT3430" s="204" t="n"/>
      <c r="CU3430" s="204" t="n"/>
      <c r="CV3430" s="204" t="n"/>
      <c r="CW3430" s="204" t="n"/>
    </row>
    <row r="3431">
      <c r="BF3431" s="78" t="n"/>
      <c r="BG3431" s="78" t="n"/>
      <c r="BH3431" s="78" t="n"/>
      <c r="BI3431" s="78" t="n"/>
      <c r="BJ3431" s="139" t="n"/>
      <c r="BK3431" s="204" t="n"/>
      <c r="BL3431" s="141" t="n"/>
      <c r="BM3431" s="205" t="n"/>
      <c r="BN3431" s="205" t="n"/>
      <c r="BO3431" s="206" t="n"/>
      <c r="BP3431" s="144" t="n"/>
      <c r="BQ3431" s="141" t="n"/>
      <c r="BR3431" s="207" t="n"/>
      <c r="BS3431" s="207" t="n"/>
      <c r="BT3431" s="207" t="n"/>
      <c r="BU3431" s="207" t="n"/>
      <c r="BV3431" s="208" t="n"/>
      <c r="BW3431" s="207" t="n"/>
      <c r="BX3431" s="207" t="n"/>
      <c r="BY3431" s="204" t="n"/>
      <c r="BZ3431" s="148" t="n"/>
      <c r="CA3431" s="204" t="n"/>
      <c r="CB3431" s="208" t="n"/>
      <c r="CC3431" s="139" t="n"/>
      <c r="CD3431" s="204" t="n"/>
      <c r="CE3431" s="204" t="n"/>
      <c r="CF3431" s="207" t="n"/>
      <c r="CG3431" s="208" t="n"/>
      <c r="CH3431" s="207" t="n"/>
      <c r="CI3431" s="208" t="n"/>
      <c r="CJ3431" s="204" t="n"/>
      <c r="CK3431" s="208" t="n"/>
      <c r="CL3431" s="208" t="n"/>
      <c r="CM3431" s="208" t="n"/>
      <c r="CN3431" s="78" t="n"/>
      <c r="CO3431" s="209" t="n"/>
      <c r="CP3431" s="204" t="n"/>
      <c r="CQ3431" s="204" t="n"/>
      <c r="CR3431" s="204" t="n"/>
      <c r="CS3431" s="204" t="n"/>
      <c r="CT3431" s="204" t="n"/>
      <c r="CU3431" s="204" t="n"/>
      <c r="CV3431" s="204" t="n"/>
      <c r="CW3431" s="204" t="n"/>
    </row>
    <row r="3432">
      <c r="BF3432" s="78" t="n"/>
      <c r="BG3432" s="78" t="n"/>
      <c r="BH3432" s="78" t="n"/>
      <c r="BI3432" s="78" t="n"/>
      <c r="BJ3432" s="139" t="n"/>
      <c r="BK3432" s="204" t="n"/>
      <c r="BL3432" s="141" t="n"/>
      <c r="BM3432" s="205" t="n"/>
      <c r="BN3432" s="205" t="n"/>
      <c r="BO3432" s="206" t="n"/>
      <c r="BP3432" s="144" t="n"/>
      <c r="BQ3432" s="141" t="n"/>
      <c r="BR3432" s="207" t="n"/>
      <c r="BS3432" s="207" t="n"/>
      <c r="BT3432" s="207" t="n"/>
      <c r="BU3432" s="207" t="n"/>
      <c r="BV3432" s="208" t="n"/>
      <c r="BW3432" s="207" t="n"/>
      <c r="BX3432" s="207" t="n"/>
      <c r="BY3432" s="204" t="n"/>
      <c r="BZ3432" s="148" t="n"/>
      <c r="CA3432" s="204" t="n"/>
      <c r="CB3432" s="208" t="n"/>
      <c r="CC3432" s="139" t="n"/>
      <c r="CD3432" s="204" t="n"/>
      <c r="CE3432" s="204" t="n"/>
      <c r="CF3432" s="207" t="n"/>
      <c r="CG3432" s="208" t="n"/>
      <c r="CH3432" s="207" t="n"/>
      <c r="CI3432" s="208" t="n"/>
      <c r="CJ3432" s="204" t="n"/>
      <c r="CK3432" s="208" t="n"/>
      <c r="CL3432" s="208" t="n"/>
      <c r="CM3432" s="208" t="n"/>
      <c r="CN3432" s="78" t="n"/>
      <c r="CO3432" s="209" t="n"/>
      <c r="CP3432" s="204" t="n"/>
      <c r="CQ3432" s="204" t="n"/>
      <c r="CR3432" s="204" t="n"/>
      <c r="CS3432" s="204" t="n"/>
      <c r="CT3432" s="204" t="n"/>
      <c r="CU3432" s="204" t="n"/>
      <c r="CV3432" s="204" t="n"/>
      <c r="CW3432" s="204" t="n"/>
    </row>
    <row r="3433">
      <c r="BF3433" s="78" t="n"/>
      <c r="BG3433" s="78" t="n"/>
      <c r="BH3433" s="78" t="n"/>
      <c r="BI3433" s="78" t="n"/>
      <c r="BJ3433" s="139" t="n"/>
      <c r="BK3433" s="204" t="n"/>
      <c r="BL3433" s="141" t="n"/>
      <c r="BM3433" s="205" t="n"/>
      <c r="BN3433" s="205" t="n"/>
      <c r="BO3433" s="206" t="n"/>
      <c r="BP3433" s="144" t="n"/>
      <c r="BQ3433" s="141" t="n"/>
      <c r="BR3433" s="207" t="n"/>
      <c r="BS3433" s="207" t="n"/>
      <c r="BT3433" s="207" t="n"/>
      <c r="BU3433" s="207" t="n"/>
      <c r="BV3433" s="208" t="n"/>
      <c r="BW3433" s="207" t="n"/>
      <c r="BX3433" s="207" t="n"/>
      <c r="BY3433" s="204" t="n"/>
      <c r="BZ3433" s="148" t="n"/>
      <c r="CA3433" s="204" t="n"/>
      <c r="CB3433" s="208" t="n"/>
      <c r="CC3433" s="139" t="n"/>
      <c r="CD3433" s="204" t="n"/>
      <c r="CE3433" s="204" t="n"/>
      <c r="CF3433" s="207" t="n"/>
      <c r="CG3433" s="208" t="n"/>
      <c r="CH3433" s="207" t="n"/>
      <c r="CI3433" s="208" t="n"/>
      <c r="CJ3433" s="204" t="n"/>
      <c r="CK3433" s="208" t="n"/>
      <c r="CL3433" s="208" t="n"/>
      <c r="CM3433" s="208" t="n"/>
      <c r="CN3433" s="78" t="n"/>
      <c r="CO3433" s="209" t="n"/>
      <c r="CP3433" s="204" t="n"/>
      <c r="CQ3433" s="204" t="n"/>
      <c r="CR3433" s="204" t="n"/>
      <c r="CS3433" s="204" t="n"/>
      <c r="CT3433" s="204" t="n"/>
      <c r="CU3433" s="204" t="n"/>
      <c r="CV3433" s="204" t="n"/>
      <c r="CW3433" s="204" t="n"/>
    </row>
    <row r="3434">
      <c r="BF3434" s="78" t="n"/>
      <c r="BG3434" s="78" t="n"/>
      <c r="BH3434" s="78" t="n"/>
      <c r="BI3434" s="78" t="n"/>
      <c r="BJ3434" s="139" t="n"/>
      <c r="BK3434" s="204" t="n"/>
      <c r="BL3434" s="141" t="n"/>
      <c r="BM3434" s="205" t="n"/>
      <c r="BN3434" s="205" t="n"/>
      <c r="BO3434" s="206" t="n"/>
      <c r="BP3434" s="144" t="n"/>
      <c r="BQ3434" s="141" t="n"/>
      <c r="BR3434" s="207" t="n"/>
      <c r="BS3434" s="207" t="n"/>
      <c r="BT3434" s="207" t="n"/>
      <c r="BU3434" s="207" t="n"/>
      <c r="BV3434" s="208" t="n"/>
      <c r="BW3434" s="207" t="n"/>
      <c r="BX3434" s="207" t="n"/>
      <c r="BY3434" s="204" t="n"/>
      <c r="BZ3434" s="148" t="n"/>
      <c r="CA3434" s="204" t="n"/>
      <c r="CB3434" s="208" t="n"/>
      <c r="CC3434" s="139" t="n"/>
      <c r="CD3434" s="204" t="n"/>
      <c r="CE3434" s="204" t="n"/>
      <c r="CF3434" s="207" t="n"/>
      <c r="CG3434" s="208" t="n"/>
      <c r="CH3434" s="207" t="n"/>
      <c r="CI3434" s="208" t="n"/>
      <c r="CJ3434" s="204" t="n"/>
      <c r="CK3434" s="208" t="n"/>
      <c r="CL3434" s="208" t="n"/>
      <c r="CM3434" s="208" t="n"/>
      <c r="CN3434" s="78" t="n"/>
      <c r="CO3434" s="209" t="n"/>
      <c r="CP3434" s="204" t="n"/>
      <c r="CQ3434" s="204" t="n"/>
      <c r="CR3434" s="204" t="n"/>
      <c r="CS3434" s="204" t="n"/>
      <c r="CT3434" s="204" t="n"/>
      <c r="CU3434" s="204" t="n"/>
      <c r="CV3434" s="204" t="n"/>
      <c r="CW3434" s="204" t="n"/>
    </row>
    <row r="3435">
      <c r="BF3435" s="78" t="n"/>
      <c r="BG3435" s="78" t="n"/>
      <c r="BH3435" s="78" t="n"/>
      <c r="BI3435" s="78" t="n"/>
      <c r="BJ3435" s="139" t="n"/>
      <c r="BK3435" s="204" t="n"/>
      <c r="BL3435" s="141" t="n"/>
      <c r="BM3435" s="205" t="n"/>
      <c r="BN3435" s="205" t="n"/>
      <c r="BO3435" s="206" t="n"/>
      <c r="BP3435" s="144" t="n"/>
      <c r="BQ3435" s="141" t="n"/>
      <c r="BR3435" s="207" t="n"/>
      <c r="BS3435" s="207" t="n"/>
      <c r="BT3435" s="207" t="n"/>
      <c r="BU3435" s="207" t="n"/>
      <c r="BV3435" s="208" t="n"/>
      <c r="BW3435" s="207" t="n"/>
      <c r="BX3435" s="207" t="n"/>
      <c r="BY3435" s="204" t="n"/>
      <c r="BZ3435" s="148" t="n"/>
      <c r="CA3435" s="204" t="n"/>
      <c r="CB3435" s="208" t="n"/>
      <c r="CC3435" s="139" t="n"/>
      <c r="CD3435" s="204" t="n"/>
      <c r="CE3435" s="204" t="n"/>
      <c r="CF3435" s="207" t="n"/>
      <c r="CG3435" s="208" t="n"/>
      <c r="CH3435" s="207" t="n"/>
      <c r="CI3435" s="208" t="n"/>
      <c r="CJ3435" s="204" t="n"/>
      <c r="CK3435" s="208" t="n"/>
      <c r="CL3435" s="208" t="n"/>
      <c r="CM3435" s="208" t="n"/>
      <c r="CN3435" s="78" t="n"/>
      <c r="CO3435" s="209" t="n"/>
      <c r="CP3435" s="204" t="n"/>
      <c r="CQ3435" s="204" t="n"/>
      <c r="CR3435" s="204" t="n"/>
      <c r="CS3435" s="204" t="n"/>
      <c r="CT3435" s="204" t="n"/>
      <c r="CU3435" s="204" t="n"/>
      <c r="CV3435" s="204" t="n"/>
      <c r="CW3435" s="204" t="n"/>
    </row>
    <row r="3436">
      <c r="BF3436" s="78" t="n"/>
      <c r="BG3436" s="78" t="n"/>
      <c r="BH3436" s="78" t="n"/>
      <c r="BI3436" s="78" t="n"/>
      <c r="BJ3436" s="139" t="n"/>
      <c r="BK3436" s="204" t="n"/>
      <c r="BL3436" s="141" t="n"/>
      <c r="BM3436" s="205" t="n"/>
      <c r="BN3436" s="205" t="n"/>
      <c r="BO3436" s="206" t="n"/>
      <c r="BP3436" s="144" t="n"/>
      <c r="BQ3436" s="141" t="n"/>
      <c r="BR3436" s="207" t="n"/>
      <c r="BS3436" s="207" t="n"/>
      <c r="BT3436" s="207" t="n"/>
      <c r="BU3436" s="207" t="n"/>
      <c r="BV3436" s="208" t="n"/>
      <c r="BW3436" s="207" t="n"/>
      <c r="BX3436" s="207" t="n"/>
      <c r="BY3436" s="204" t="n"/>
      <c r="BZ3436" s="148" t="n"/>
      <c r="CA3436" s="204" t="n"/>
      <c r="CB3436" s="208" t="n"/>
      <c r="CC3436" s="139" t="n"/>
      <c r="CD3436" s="204" t="n"/>
      <c r="CE3436" s="204" t="n"/>
      <c r="CF3436" s="207" t="n"/>
      <c r="CG3436" s="208" t="n"/>
      <c r="CH3436" s="207" t="n"/>
      <c r="CI3436" s="208" t="n"/>
      <c r="CJ3436" s="204" t="n"/>
      <c r="CK3436" s="208" t="n"/>
      <c r="CL3436" s="208" t="n"/>
      <c r="CM3436" s="208" t="n"/>
      <c r="CN3436" s="78" t="n"/>
      <c r="CO3436" s="209" t="n"/>
      <c r="CP3436" s="204" t="n"/>
      <c r="CQ3436" s="204" t="n"/>
      <c r="CR3436" s="204" t="n"/>
      <c r="CS3436" s="204" t="n"/>
      <c r="CT3436" s="204" t="n"/>
      <c r="CU3436" s="204" t="n"/>
      <c r="CV3436" s="204" t="n"/>
      <c r="CW3436" s="204" t="n"/>
    </row>
    <row r="3437">
      <c r="BF3437" s="78" t="n"/>
      <c r="BG3437" s="78" t="n"/>
      <c r="BH3437" s="78" t="n"/>
      <c r="BI3437" s="78" t="n"/>
      <c r="BJ3437" s="139" t="n"/>
      <c r="BK3437" s="204" t="n"/>
      <c r="BL3437" s="141" t="n"/>
      <c r="BM3437" s="205" t="n"/>
      <c r="BN3437" s="205" t="n"/>
      <c r="BO3437" s="206" t="n"/>
      <c r="BP3437" s="144" t="n"/>
      <c r="BQ3437" s="141" t="n"/>
      <c r="BR3437" s="207" t="n"/>
      <c r="BS3437" s="207" t="n"/>
      <c r="BT3437" s="207" t="n"/>
      <c r="BU3437" s="207" t="n"/>
      <c r="BV3437" s="208" t="n"/>
      <c r="BW3437" s="207" t="n"/>
      <c r="BX3437" s="207" t="n"/>
      <c r="BY3437" s="204" t="n"/>
      <c r="BZ3437" s="148" t="n"/>
      <c r="CA3437" s="204" t="n"/>
      <c r="CB3437" s="208" t="n"/>
      <c r="CC3437" s="139" t="n"/>
      <c r="CD3437" s="204" t="n"/>
      <c r="CE3437" s="204" t="n"/>
      <c r="CF3437" s="207" t="n"/>
      <c r="CG3437" s="208" t="n"/>
      <c r="CH3437" s="207" t="n"/>
      <c r="CI3437" s="208" t="n"/>
      <c r="CJ3437" s="204" t="n"/>
      <c r="CK3437" s="208" t="n"/>
      <c r="CL3437" s="208" t="n"/>
      <c r="CM3437" s="208" t="n"/>
      <c r="CN3437" s="78" t="n"/>
      <c r="CO3437" s="209" t="n"/>
      <c r="CP3437" s="204" t="n"/>
      <c r="CQ3437" s="204" t="n"/>
      <c r="CR3437" s="204" t="n"/>
      <c r="CS3437" s="204" t="n"/>
      <c r="CT3437" s="204" t="n"/>
      <c r="CU3437" s="204" t="n"/>
      <c r="CV3437" s="204" t="n"/>
      <c r="CW3437" s="204" t="n"/>
    </row>
    <row r="3438">
      <c r="BF3438" s="78" t="n"/>
      <c r="BG3438" s="78" t="n"/>
      <c r="BH3438" s="78" t="n"/>
      <c r="BI3438" s="78" t="n"/>
      <c r="BJ3438" s="139" t="n"/>
      <c r="BK3438" s="204" t="n"/>
      <c r="BL3438" s="141" t="n"/>
      <c r="BM3438" s="205" t="n"/>
      <c r="BN3438" s="205" t="n"/>
      <c r="BO3438" s="206" t="n"/>
      <c r="BP3438" s="144" t="n"/>
      <c r="BQ3438" s="141" t="n"/>
      <c r="BR3438" s="207" t="n"/>
      <c r="BS3438" s="207" t="n"/>
      <c r="BT3438" s="207" t="n"/>
      <c r="BU3438" s="207" t="n"/>
      <c r="BV3438" s="208" t="n"/>
      <c r="BW3438" s="207" t="n"/>
      <c r="BX3438" s="207" t="n"/>
      <c r="BY3438" s="204" t="n"/>
      <c r="BZ3438" s="148" t="n"/>
      <c r="CA3438" s="204" t="n"/>
      <c r="CB3438" s="208" t="n"/>
      <c r="CC3438" s="139" t="n"/>
      <c r="CD3438" s="204" t="n"/>
      <c r="CE3438" s="204" t="n"/>
      <c r="CF3438" s="207" t="n"/>
      <c r="CG3438" s="208" t="n"/>
      <c r="CH3438" s="207" t="n"/>
      <c r="CI3438" s="208" t="n"/>
      <c r="CJ3438" s="204" t="n"/>
      <c r="CK3438" s="208" t="n"/>
      <c r="CL3438" s="208" t="n"/>
      <c r="CM3438" s="208" t="n"/>
      <c r="CN3438" s="78" t="n"/>
      <c r="CO3438" s="209" t="n"/>
      <c r="CP3438" s="204" t="n"/>
      <c r="CQ3438" s="204" t="n"/>
      <c r="CR3438" s="204" t="n"/>
      <c r="CS3438" s="204" t="n"/>
      <c r="CT3438" s="204" t="n"/>
      <c r="CU3438" s="204" t="n"/>
      <c r="CV3438" s="204" t="n"/>
      <c r="CW3438" s="204" t="n"/>
    </row>
    <row r="3439">
      <c r="BF3439" s="78" t="n"/>
      <c r="BG3439" s="78" t="n"/>
      <c r="BH3439" s="78" t="n"/>
      <c r="BI3439" s="78" t="n"/>
      <c r="BJ3439" s="139" t="n"/>
      <c r="BK3439" s="204" t="n"/>
      <c r="BL3439" s="141" t="n"/>
      <c r="BM3439" s="205" t="n"/>
      <c r="BN3439" s="205" t="n"/>
      <c r="BO3439" s="206" t="n"/>
      <c r="BP3439" s="144" t="n"/>
      <c r="BQ3439" s="141" t="n"/>
      <c r="BR3439" s="207" t="n"/>
      <c r="BS3439" s="207" t="n"/>
      <c r="BT3439" s="207" t="n"/>
      <c r="BU3439" s="207" t="n"/>
      <c r="BV3439" s="208" t="n"/>
      <c r="BW3439" s="207" t="n"/>
      <c r="BX3439" s="207" t="n"/>
      <c r="BY3439" s="204" t="n"/>
      <c r="BZ3439" s="148" t="n"/>
      <c r="CA3439" s="204" t="n"/>
      <c r="CB3439" s="208" t="n"/>
      <c r="CC3439" s="139" t="n"/>
      <c r="CD3439" s="204" t="n"/>
      <c r="CE3439" s="204" t="n"/>
      <c r="CF3439" s="207" t="n"/>
      <c r="CG3439" s="208" t="n"/>
      <c r="CH3439" s="207" t="n"/>
      <c r="CI3439" s="208" t="n"/>
      <c r="CJ3439" s="204" t="n"/>
      <c r="CK3439" s="208" t="n"/>
      <c r="CL3439" s="208" t="n"/>
      <c r="CM3439" s="208" t="n"/>
      <c r="CN3439" s="78" t="n"/>
      <c r="CO3439" s="209" t="n"/>
      <c r="CP3439" s="204" t="n"/>
      <c r="CQ3439" s="204" t="n"/>
      <c r="CR3439" s="204" t="n"/>
      <c r="CS3439" s="204" t="n"/>
      <c r="CT3439" s="204" t="n"/>
      <c r="CU3439" s="204" t="n"/>
      <c r="CV3439" s="204" t="n"/>
      <c r="CW3439" s="204" t="n"/>
    </row>
    <row r="3440">
      <c r="BF3440" s="78" t="n"/>
      <c r="BG3440" s="78" t="n"/>
      <c r="BH3440" s="78" t="n"/>
      <c r="BI3440" s="78" t="n"/>
      <c r="BJ3440" s="139" t="n"/>
      <c r="BK3440" s="204" t="n"/>
      <c r="BL3440" s="141" t="n"/>
      <c r="BM3440" s="205" t="n"/>
      <c r="BN3440" s="205" t="n"/>
      <c r="BO3440" s="206" t="n"/>
      <c r="BP3440" s="144" t="n"/>
      <c r="BQ3440" s="141" t="n"/>
      <c r="BR3440" s="207" t="n"/>
      <c r="BS3440" s="207" t="n"/>
      <c r="BT3440" s="207" t="n"/>
      <c r="BU3440" s="207" t="n"/>
      <c r="BV3440" s="208" t="n"/>
      <c r="BW3440" s="207" t="n"/>
      <c r="BX3440" s="207" t="n"/>
      <c r="BY3440" s="204" t="n"/>
      <c r="BZ3440" s="148" t="n"/>
      <c r="CA3440" s="204" t="n"/>
      <c r="CB3440" s="208" t="n"/>
      <c r="CC3440" s="139" t="n"/>
      <c r="CD3440" s="204" t="n"/>
      <c r="CE3440" s="204" t="n"/>
      <c r="CF3440" s="207" t="n"/>
      <c r="CG3440" s="208" t="n"/>
      <c r="CH3440" s="207" t="n"/>
      <c r="CI3440" s="208" t="n"/>
      <c r="CJ3440" s="204" t="n"/>
      <c r="CK3440" s="208" t="n"/>
      <c r="CL3440" s="208" t="n"/>
      <c r="CM3440" s="208" t="n"/>
      <c r="CN3440" s="78" t="n"/>
      <c r="CO3440" s="209" t="n"/>
      <c r="CP3440" s="204" t="n"/>
      <c r="CQ3440" s="204" t="n"/>
      <c r="CR3440" s="204" t="n"/>
      <c r="CS3440" s="204" t="n"/>
      <c r="CT3440" s="204" t="n"/>
      <c r="CU3440" s="204" t="n"/>
      <c r="CV3440" s="204" t="n"/>
      <c r="CW3440" s="204" t="n"/>
    </row>
    <row r="3441">
      <c r="BF3441" s="78" t="n"/>
      <c r="BG3441" s="78" t="n"/>
      <c r="BH3441" s="78" t="n"/>
      <c r="BI3441" s="78" t="n"/>
      <c r="BJ3441" s="139" t="n"/>
      <c r="BK3441" s="204" t="n"/>
      <c r="BL3441" s="141" t="n"/>
      <c r="BM3441" s="205" t="n"/>
      <c r="BN3441" s="205" t="n"/>
      <c r="BO3441" s="206" t="n"/>
      <c r="BP3441" s="144" t="n"/>
      <c r="BQ3441" s="141" t="n"/>
      <c r="BR3441" s="207" t="n"/>
      <c r="BS3441" s="207" t="n"/>
      <c r="BT3441" s="207" t="n"/>
      <c r="BU3441" s="207" t="n"/>
      <c r="BV3441" s="208" t="n"/>
      <c r="BW3441" s="207" t="n"/>
      <c r="BX3441" s="207" t="n"/>
      <c r="BY3441" s="204" t="n"/>
      <c r="BZ3441" s="148" t="n"/>
      <c r="CA3441" s="204" t="n"/>
      <c r="CB3441" s="208" t="n"/>
      <c r="CC3441" s="139" t="n"/>
      <c r="CD3441" s="204" t="n"/>
      <c r="CE3441" s="204" t="n"/>
      <c r="CF3441" s="207" t="n"/>
      <c r="CG3441" s="208" t="n"/>
      <c r="CH3441" s="207" t="n"/>
      <c r="CI3441" s="208" t="n"/>
      <c r="CJ3441" s="204" t="n"/>
      <c r="CK3441" s="208" t="n"/>
      <c r="CL3441" s="208" t="n"/>
      <c r="CM3441" s="208" t="n"/>
      <c r="CN3441" s="78" t="n"/>
      <c r="CO3441" s="209" t="n"/>
      <c r="CP3441" s="204" t="n"/>
      <c r="CQ3441" s="204" t="n"/>
      <c r="CR3441" s="204" t="n"/>
      <c r="CS3441" s="204" t="n"/>
      <c r="CT3441" s="204" t="n"/>
      <c r="CU3441" s="204" t="n"/>
      <c r="CV3441" s="204" t="n"/>
      <c r="CW3441" s="204" t="n"/>
    </row>
    <row r="3442">
      <c r="BF3442" s="78" t="n"/>
      <c r="BG3442" s="78" t="n"/>
      <c r="BH3442" s="78" t="n"/>
      <c r="BI3442" s="78" t="n"/>
      <c r="BJ3442" s="139" t="n"/>
      <c r="BK3442" s="204" t="n"/>
      <c r="BL3442" s="141" t="n"/>
      <c r="BM3442" s="205" t="n"/>
      <c r="BN3442" s="205" t="n"/>
      <c r="BO3442" s="206" t="n"/>
      <c r="BP3442" s="144" t="n"/>
      <c r="BQ3442" s="141" t="n"/>
      <c r="BR3442" s="207" t="n"/>
      <c r="BS3442" s="207" t="n"/>
      <c r="BT3442" s="207" t="n"/>
      <c r="BU3442" s="207" t="n"/>
      <c r="BV3442" s="208" t="n"/>
      <c r="BW3442" s="207" t="n"/>
      <c r="BX3442" s="207" t="n"/>
      <c r="BY3442" s="204" t="n"/>
      <c r="BZ3442" s="148" t="n"/>
      <c r="CA3442" s="204" t="n"/>
      <c r="CB3442" s="208" t="n"/>
      <c r="CC3442" s="139" t="n"/>
      <c r="CD3442" s="204" t="n"/>
      <c r="CE3442" s="204" t="n"/>
      <c r="CF3442" s="207" t="n"/>
      <c r="CG3442" s="208" t="n"/>
      <c r="CH3442" s="207" t="n"/>
      <c r="CI3442" s="208" t="n"/>
      <c r="CJ3442" s="204" t="n"/>
      <c r="CK3442" s="208" t="n"/>
      <c r="CL3442" s="208" t="n"/>
      <c r="CM3442" s="208" t="n"/>
      <c r="CN3442" s="78" t="n"/>
      <c r="CO3442" s="209" t="n"/>
      <c r="CP3442" s="204" t="n"/>
      <c r="CQ3442" s="204" t="n"/>
      <c r="CR3442" s="204" t="n"/>
      <c r="CS3442" s="204" t="n"/>
      <c r="CT3442" s="204" t="n"/>
      <c r="CU3442" s="204" t="n"/>
      <c r="CV3442" s="204" t="n"/>
      <c r="CW3442" s="204" t="n"/>
    </row>
    <row r="3443">
      <c r="BF3443" s="78" t="n"/>
      <c r="BG3443" s="78" t="n"/>
      <c r="BH3443" s="78" t="n"/>
      <c r="BI3443" s="78" t="n"/>
      <c r="BJ3443" s="139" t="n"/>
      <c r="BK3443" s="204" t="n"/>
      <c r="BL3443" s="141" t="n"/>
      <c r="BM3443" s="205" t="n"/>
      <c r="BN3443" s="205" t="n"/>
      <c r="BO3443" s="206" t="n"/>
      <c r="BP3443" s="144" t="n"/>
      <c r="BQ3443" s="141" t="n"/>
      <c r="BR3443" s="207" t="n"/>
      <c r="BS3443" s="207" t="n"/>
      <c r="BT3443" s="207" t="n"/>
      <c r="BU3443" s="207" t="n"/>
      <c r="BV3443" s="208" t="n"/>
      <c r="BW3443" s="207" t="n"/>
      <c r="BX3443" s="207" t="n"/>
      <c r="BY3443" s="204" t="n"/>
      <c r="BZ3443" s="148" t="n"/>
      <c r="CA3443" s="204" t="n"/>
      <c r="CB3443" s="208" t="n"/>
      <c r="CC3443" s="139" t="n"/>
      <c r="CD3443" s="204" t="n"/>
      <c r="CE3443" s="204" t="n"/>
      <c r="CF3443" s="207" t="n"/>
      <c r="CG3443" s="208" t="n"/>
      <c r="CH3443" s="207" t="n"/>
      <c r="CI3443" s="208" t="n"/>
      <c r="CJ3443" s="204" t="n"/>
      <c r="CK3443" s="208" t="n"/>
      <c r="CL3443" s="208" t="n"/>
      <c r="CM3443" s="208" t="n"/>
      <c r="CN3443" s="78" t="n"/>
      <c r="CO3443" s="209" t="n"/>
      <c r="CP3443" s="204" t="n"/>
      <c r="CQ3443" s="204" t="n"/>
      <c r="CR3443" s="204" t="n"/>
      <c r="CS3443" s="204" t="n"/>
      <c r="CT3443" s="204" t="n"/>
      <c r="CU3443" s="204" t="n"/>
      <c r="CV3443" s="204" t="n"/>
      <c r="CW3443" s="204" t="n"/>
    </row>
    <row r="3444">
      <c r="BF3444" s="78" t="n"/>
      <c r="BG3444" s="78" t="n"/>
      <c r="BH3444" s="78" t="n"/>
      <c r="BI3444" s="78" t="n"/>
      <c r="BJ3444" s="139" t="n"/>
      <c r="BK3444" s="204" t="n"/>
      <c r="BL3444" s="141" t="n"/>
      <c r="BM3444" s="205" t="n"/>
      <c r="BN3444" s="205" t="n"/>
      <c r="BO3444" s="206" t="n"/>
      <c r="BP3444" s="144" t="n"/>
      <c r="BQ3444" s="141" t="n"/>
      <c r="BR3444" s="207" t="n"/>
      <c r="BS3444" s="207" t="n"/>
      <c r="BT3444" s="207" t="n"/>
      <c r="BU3444" s="207" t="n"/>
      <c r="BV3444" s="208" t="n"/>
      <c r="BW3444" s="207" t="n"/>
      <c r="BX3444" s="207" t="n"/>
      <c r="BY3444" s="204" t="n"/>
      <c r="BZ3444" s="148" t="n"/>
      <c r="CA3444" s="204" t="n"/>
      <c r="CB3444" s="208" t="n"/>
      <c r="CC3444" s="139" t="n"/>
      <c r="CD3444" s="204" t="n"/>
      <c r="CE3444" s="204" t="n"/>
      <c r="CF3444" s="207" t="n"/>
      <c r="CG3444" s="208" t="n"/>
      <c r="CH3444" s="207" t="n"/>
      <c r="CI3444" s="208" t="n"/>
      <c r="CJ3444" s="204" t="n"/>
      <c r="CK3444" s="208" t="n"/>
      <c r="CL3444" s="208" t="n"/>
      <c r="CM3444" s="208" t="n"/>
      <c r="CN3444" s="78" t="n"/>
      <c r="CO3444" s="209" t="n"/>
      <c r="CP3444" s="204" t="n"/>
      <c r="CQ3444" s="204" t="n"/>
      <c r="CR3444" s="204" t="n"/>
      <c r="CS3444" s="204" t="n"/>
      <c r="CT3444" s="204" t="n"/>
      <c r="CU3444" s="204" t="n"/>
      <c r="CV3444" s="204" t="n"/>
      <c r="CW3444" s="204" t="n"/>
    </row>
    <row r="3445">
      <c r="BF3445" s="78" t="n"/>
      <c r="BG3445" s="78" t="n"/>
      <c r="BH3445" s="78" t="n"/>
      <c r="BI3445" s="78" t="n"/>
      <c r="BJ3445" s="139" t="n"/>
      <c r="BK3445" s="204" t="n"/>
      <c r="BL3445" s="141" t="n"/>
      <c r="BM3445" s="205" t="n"/>
      <c r="BN3445" s="205" t="n"/>
      <c r="BO3445" s="206" t="n"/>
      <c r="BP3445" s="144" t="n"/>
      <c r="BQ3445" s="141" t="n"/>
      <c r="BR3445" s="207" t="n"/>
      <c r="BS3445" s="207" t="n"/>
      <c r="BT3445" s="207" t="n"/>
      <c r="BU3445" s="207" t="n"/>
      <c r="BV3445" s="208" t="n"/>
      <c r="BW3445" s="207" t="n"/>
      <c r="BX3445" s="207" t="n"/>
      <c r="BY3445" s="204" t="n"/>
      <c r="BZ3445" s="148" t="n"/>
      <c r="CA3445" s="204" t="n"/>
      <c r="CB3445" s="208" t="n"/>
      <c r="CC3445" s="139" t="n"/>
      <c r="CD3445" s="204" t="n"/>
      <c r="CE3445" s="204" t="n"/>
      <c r="CF3445" s="207" t="n"/>
      <c r="CG3445" s="208" t="n"/>
      <c r="CH3445" s="207" t="n"/>
      <c r="CI3445" s="208" t="n"/>
      <c r="CJ3445" s="204" t="n"/>
      <c r="CK3445" s="208" t="n"/>
      <c r="CL3445" s="208" t="n"/>
      <c r="CM3445" s="208" t="n"/>
      <c r="CN3445" s="78" t="n"/>
      <c r="CO3445" s="209" t="n"/>
      <c r="CP3445" s="204" t="n"/>
      <c r="CQ3445" s="204" t="n"/>
      <c r="CR3445" s="204" t="n"/>
      <c r="CS3445" s="204" t="n"/>
      <c r="CT3445" s="204" t="n"/>
      <c r="CU3445" s="204" t="n"/>
      <c r="CV3445" s="204" t="n"/>
      <c r="CW3445" s="204" t="n"/>
    </row>
    <row r="3446">
      <c r="BF3446" s="78" t="n"/>
      <c r="BG3446" s="78" t="n"/>
      <c r="BH3446" s="78" t="n"/>
      <c r="BI3446" s="78" t="n"/>
      <c r="BJ3446" s="139" t="n"/>
      <c r="BK3446" s="204" t="n"/>
      <c r="BL3446" s="141" t="n"/>
      <c r="BM3446" s="205" t="n"/>
      <c r="BN3446" s="205" t="n"/>
      <c r="BO3446" s="206" t="n"/>
      <c r="BP3446" s="144" t="n"/>
      <c r="BQ3446" s="141" t="n"/>
      <c r="BR3446" s="207" t="n"/>
      <c r="BS3446" s="207" t="n"/>
      <c r="BT3446" s="207" t="n"/>
      <c r="BU3446" s="207" t="n"/>
      <c r="BV3446" s="208" t="n"/>
      <c r="BW3446" s="207" t="n"/>
      <c r="BX3446" s="207" t="n"/>
      <c r="BY3446" s="204" t="n"/>
      <c r="BZ3446" s="148" t="n"/>
      <c r="CA3446" s="204" t="n"/>
      <c r="CB3446" s="208" t="n"/>
      <c r="CC3446" s="139" t="n"/>
      <c r="CD3446" s="204" t="n"/>
      <c r="CE3446" s="204" t="n"/>
      <c r="CF3446" s="207" t="n"/>
      <c r="CG3446" s="208" t="n"/>
      <c r="CH3446" s="207" t="n"/>
      <c r="CI3446" s="208" t="n"/>
      <c r="CJ3446" s="204" t="n"/>
      <c r="CK3446" s="208" t="n"/>
      <c r="CL3446" s="208" t="n"/>
      <c r="CM3446" s="208" t="n"/>
      <c r="CN3446" s="78" t="n"/>
      <c r="CO3446" s="209" t="n"/>
      <c r="CP3446" s="204" t="n"/>
      <c r="CQ3446" s="204" t="n"/>
      <c r="CR3446" s="204" t="n"/>
      <c r="CS3446" s="204" t="n"/>
      <c r="CT3446" s="204" t="n"/>
      <c r="CU3446" s="204" t="n"/>
      <c r="CV3446" s="204" t="n"/>
      <c r="CW3446" s="204" t="n"/>
    </row>
    <row r="3447">
      <c r="BF3447" s="78" t="n"/>
      <c r="BG3447" s="78" t="n"/>
      <c r="BH3447" s="78" t="n"/>
      <c r="BI3447" s="78" t="n"/>
      <c r="BJ3447" s="139" t="n"/>
      <c r="BK3447" s="204" t="n"/>
      <c r="BL3447" s="141" t="n"/>
      <c r="BM3447" s="205" t="n"/>
      <c r="BN3447" s="205" t="n"/>
      <c r="BO3447" s="206" t="n"/>
      <c r="BP3447" s="144" t="n"/>
      <c r="BQ3447" s="141" t="n"/>
      <c r="BR3447" s="207" t="n"/>
      <c r="BS3447" s="207" t="n"/>
      <c r="BT3447" s="207" t="n"/>
      <c r="BU3447" s="207" t="n"/>
      <c r="BV3447" s="208" t="n"/>
      <c r="BW3447" s="207" t="n"/>
      <c r="BX3447" s="207" t="n"/>
      <c r="BY3447" s="204" t="n"/>
      <c r="BZ3447" s="148" t="n"/>
      <c r="CA3447" s="204" t="n"/>
      <c r="CB3447" s="208" t="n"/>
      <c r="CC3447" s="139" t="n"/>
      <c r="CD3447" s="204" t="n"/>
      <c r="CE3447" s="204" t="n"/>
      <c r="CF3447" s="207" t="n"/>
      <c r="CG3447" s="208" t="n"/>
      <c r="CH3447" s="207" t="n"/>
      <c r="CI3447" s="208" t="n"/>
      <c r="CJ3447" s="204" t="n"/>
      <c r="CK3447" s="208" t="n"/>
      <c r="CL3447" s="208" t="n"/>
      <c r="CM3447" s="208" t="n"/>
      <c r="CN3447" s="78" t="n"/>
      <c r="CO3447" s="209" t="n"/>
      <c r="CP3447" s="204" t="n"/>
      <c r="CQ3447" s="204" t="n"/>
      <c r="CR3447" s="204" t="n"/>
      <c r="CS3447" s="204" t="n"/>
      <c r="CT3447" s="204" t="n"/>
      <c r="CU3447" s="204" t="n"/>
      <c r="CV3447" s="204" t="n"/>
      <c r="CW3447" s="204" t="n"/>
    </row>
    <row r="3448">
      <c r="BF3448" s="78" t="n"/>
      <c r="BG3448" s="78" t="n"/>
      <c r="BH3448" s="78" t="n"/>
      <c r="BI3448" s="78" t="n"/>
      <c r="BJ3448" s="139" t="n"/>
      <c r="BK3448" s="204" t="n"/>
      <c r="BL3448" s="141" t="n"/>
      <c r="BM3448" s="205" t="n"/>
      <c r="BN3448" s="205" t="n"/>
      <c r="BO3448" s="206" t="n"/>
      <c r="BP3448" s="144" t="n"/>
      <c r="BQ3448" s="141" t="n"/>
      <c r="BR3448" s="207" t="n"/>
      <c r="BS3448" s="207" t="n"/>
      <c r="BT3448" s="207" t="n"/>
      <c r="BU3448" s="207" t="n"/>
      <c r="BV3448" s="208" t="n"/>
      <c r="BW3448" s="207" t="n"/>
      <c r="BX3448" s="207" t="n"/>
      <c r="BY3448" s="204" t="n"/>
      <c r="BZ3448" s="148" t="n"/>
      <c r="CA3448" s="204" t="n"/>
      <c r="CB3448" s="208" t="n"/>
      <c r="CC3448" s="139" t="n"/>
      <c r="CD3448" s="204" t="n"/>
      <c r="CE3448" s="204" t="n"/>
      <c r="CF3448" s="207" t="n"/>
      <c r="CG3448" s="208" t="n"/>
      <c r="CH3448" s="207" t="n"/>
      <c r="CI3448" s="208" t="n"/>
      <c r="CJ3448" s="204" t="n"/>
      <c r="CK3448" s="208" t="n"/>
      <c r="CL3448" s="208" t="n"/>
      <c r="CM3448" s="208" t="n"/>
      <c r="CN3448" s="78" t="n"/>
      <c r="CO3448" s="209" t="n"/>
      <c r="CP3448" s="204" t="n"/>
      <c r="CQ3448" s="204" t="n"/>
      <c r="CR3448" s="204" t="n"/>
      <c r="CS3448" s="204" t="n"/>
      <c r="CT3448" s="204" t="n"/>
      <c r="CU3448" s="204" t="n"/>
      <c r="CV3448" s="204" t="n"/>
      <c r="CW3448" s="204" t="n"/>
    </row>
    <row r="3449">
      <c r="BF3449" s="78" t="n"/>
      <c r="BG3449" s="78" t="n"/>
      <c r="BH3449" s="78" t="n"/>
      <c r="BI3449" s="78" t="n"/>
      <c r="BJ3449" s="139" t="n"/>
      <c r="BK3449" s="204" t="n"/>
      <c r="BL3449" s="141" t="n"/>
      <c r="BM3449" s="205" t="n"/>
      <c r="BN3449" s="205" t="n"/>
      <c r="BO3449" s="206" t="n"/>
      <c r="BP3449" s="144" t="n"/>
      <c r="BQ3449" s="141" t="n"/>
      <c r="BR3449" s="207" t="n"/>
      <c r="BS3449" s="207" t="n"/>
      <c r="BT3449" s="207" t="n"/>
      <c r="BU3449" s="207" t="n"/>
      <c r="BV3449" s="208" t="n"/>
      <c r="BW3449" s="207" t="n"/>
      <c r="BX3449" s="207" t="n"/>
      <c r="BY3449" s="204" t="n"/>
      <c r="BZ3449" s="148" t="n"/>
      <c r="CA3449" s="204" t="n"/>
      <c r="CB3449" s="208" t="n"/>
      <c r="CC3449" s="139" t="n"/>
      <c r="CD3449" s="204" t="n"/>
      <c r="CE3449" s="204" t="n"/>
      <c r="CF3449" s="207" t="n"/>
      <c r="CG3449" s="208" t="n"/>
      <c r="CH3449" s="207" t="n"/>
      <c r="CI3449" s="208" t="n"/>
      <c r="CJ3449" s="204" t="n"/>
      <c r="CK3449" s="208" t="n"/>
      <c r="CL3449" s="208" t="n"/>
      <c r="CM3449" s="208" t="n"/>
      <c r="CN3449" s="78" t="n"/>
      <c r="CO3449" s="209" t="n"/>
      <c r="CP3449" s="204" t="n"/>
      <c r="CQ3449" s="204" t="n"/>
      <c r="CR3449" s="204" t="n"/>
      <c r="CS3449" s="204" t="n"/>
      <c r="CT3449" s="204" t="n"/>
      <c r="CU3449" s="204" t="n"/>
      <c r="CV3449" s="204" t="n"/>
      <c r="CW3449" s="204" t="n"/>
    </row>
    <row r="3450">
      <c r="BF3450" s="78" t="n"/>
      <c r="BG3450" s="78" t="n"/>
      <c r="BH3450" s="78" t="n"/>
      <c r="BI3450" s="78" t="n"/>
      <c r="BJ3450" s="139" t="n"/>
      <c r="BK3450" s="204" t="n"/>
      <c r="BL3450" s="141" t="n"/>
      <c r="BM3450" s="205" t="n"/>
      <c r="BN3450" s="205" t="n"/>
      <c r="BO3450" s="206" t="n"/>
      <c r="BP3450" s="144" t="n"/>
      <c r="BQ3450" s="141" t="n"/>
      <c r="BR3450" s="207" t="n"/>
      <c r="BS3450" s="207" t="n"/>
      <c r="BT3450" s="207" t="n"/>
      <c r="BU3450" s="207" t="n"/>
      <c r="BV3450" s="208" t="n"/>
      <c r="BW3450" s="207" t="n"/>
      <c r="BX3450" s="207" t="n"/>
      <c r="BY3450" s="204" t="n"/>
      <c r="BZ3450" s="148" t="n"/>
      <c r="CA3450" s="204" t="n"/>
      <c r="CB3450" s="208" t="n"/>
      <c r="CC3450" s="139" t="n"/>
      <c r="CD3450" s="204" t="n"/>
      <c r="CE3450" s="204" t="n"/>
      <c r="CF3450" s="207" t="n"/>
      <c r="CG3450" s="208" t="n"/>
      <c r="CH3450" s="207" t="n"/>
      <c r="CI3450" s="208" t="n"/>
      <c r="CJ3450" s="204" t="n"/>
      <c r="CK3450" s="208" t="n"/>
      <c r="CL3450" s="208" t="n"/>
      <c r="CM3450" s="208" t="n"/>
      <c r="CN3450" s="78" t="n"/>
      <c r="CO3450" s="209" t="n"/>
      <c r="CP3450" s="204" t="n"/>
      <c r="CQ3450" s="204" t="n"/>
      <c r="CR3450" s="204" t="n"/>
      <c r="CS3450" s="204" t="n"/>
      <c r="CT3450" s="204" t="n"/>
      <c r="CU3450" s="204" t="n"/>
      <c r="CV3450" s="204" t="n"/>
      <c r="CW3450" s="204" t="n"/>
    </row>
    <row r="3451">
      <c r="BF3451" s="78" t="n"/>
      <c r="BG3451" s="78" t="n"/>
      <c r="BH3451" s="78" t="n"/>
      <c r="BI3451" s="78" t="n"/>
      <c r="BJ3451" s="139" t="n"/>
      <c r="BK3451" s="204" t="n"/>
      <c r="BL3451" s="141" t="n"/>
      <c r="BM3451" s="205" t="n"/>
      <c r="BN3451" s="205" t="n"/>
      <c r="BO3451" s="206" t="n"/>
      <c r="BP3451" s="144" t="n"/>
      <c r="BQ3451" s="141" t="n"/>
      <c r="BR3451" s="207" t="n"/>
      <c r="BS3451" s="207" t="n"/>
      <c r="BT3451" s="207" t="n"/>
      <c r="BU3451" s="207" t="n"/>
      <c r="BV3451" s="208" t="n"/>
      <c r="BW3451" s="207" t="n"/>
      <c r="BX3451" s="207" t="n"/>
      <c r="BY3451" s="204" t="n"/>
      <c r="BZ3451" s="148" t="n"/>
      <c r="CA3451" s="204" t="n"/>
      <c r="CB3451" s="208" t="n"/>
      <c r="CC3451" s="139" t="n"/>
      <c r="CD3451" s="204" t="n"/>
      <c r="CE3451" s="204" t="n"/>
      <c r="CF3451" s="207" t="n"/>
      <c r="CG3451" s="208" t="n"/>
      <c r="CH3451" s="207" t="n"/>
      <c r="CI3451" s="208" t="n"/>
      <c r="CJ3451" s="204" t="n"/>
      <c r="CK3451" s="208" t="n"/>
      <c r="CL3451" s="208" t="n"/>
      <c r="CM3451" s="208" t="n"/>
      <c r="CN3451" s="78" t="n"/>
      <c r="CO3451" s="209" t="n"/>
      <c r="CP3451" s="204" t="n"/>
      <c r="CQ3451" s="204" t="n"/>
      <c r="CR3451" s="204" t="n"/>
      <c r="CS3451" s="204" t="n"/>
      <c r="CT3451" s="204" t="n"/>
      <c r="CU3451" s="204" t="n"/>
      <c r="CV3451" s="204" t="n"/>
      <c r="CW3451" s="204" t="n"/>
    </row>
    <row r="3452">
      <c r="BF3452" s="78" t="n"/>
      <c r="BG3452" s="78" t="n"/>
      <c r="BH3452" s="78" t="n"/>
      <c r="BI3452" s="78" t="n"/>
      <c r="BJ3452" s="139" t="n"/>
      <c r="BK3452" s="204" t="n"/>
      <c r="BL3452" s="141" t="n"/>
      <c r="BM3452" s="205" t="n"/>
      <c r="BN3452" s="205" t="n"/>
      <c r="BO3452" s="206" t="n"/>
      <c r="BP3452" s="144" t="n"/>
      <c r="BQ3452" s="141" t="n"/>
      <c r="BR3452" s="207" t="n"/>
      <c r="BS3452" s="207" t="n"/>
      <c r="BT3452" s="207" t="n"/>
      <c r="BU3452" s="207" t="n"/>
      <c r="BV3452" s="208" t="n"/>
      <c r="BW3452" s="207" t="n"/>
      <c r="BX3452" s="207" t="n"/>
      <c r="BY3452" s="204" t="n"/>
      <c r="BZ3452" s="148" t="n"/>
      <c r="CA3452" s="204" t="n"/>
      <c r="CB3452" s="208" t="n"/>
      <c r="CC3452" s="139" t="n"/>
      <c r="CD3452" s="204" t="n"/>
      <c r="CE3452" s="204" t="n"/>
      <c r="CF3452" s="207" t="n"/>
      <c r="CG3452" s="208" t="n"/>
      <c r="CH3452" s="207" t="n"/>
      <c r="CI3452" s="208" t="n"/>
      <c r="CJ3452" s="204" t="n"/>
      <c r="CK3452" s="208" t="n"/>
      <c r="CL3452" s="208" t="n"/>
      <c r="CM3452" s="208" t="n"/>
      <c r="CN3452" s="78" t="n"/>
      <c r="CO3452" s="209" t="n"/>
      <c r="CP3452" s="204" t="n"/>
      <c r="CQ3452" s="204" t="n"/>
      <c r="CR3452" s="204" t="n"/>
      <c r="CS3452" s="204" t="n"/>
      <c r="CT3452" s="204" t="n"/>
      <c r="CU3452" s="204" t="n"/>
      <c r="CV3452" s="204" t="n"/>
      <c r="CW3452" s="204" t="n"/>
    </row>
    <row r="3453">
      <c r="BF3453" s="78" t="n"/>
      <c r="BG3453" s="78" t="n"/>
      <c r="BH3453" s="78" t="n"/>
      <c r="BI3453" s="78" t="n"/>
      <c r="BJ3453" s="139" t="n"/>
      <c r="BK3453" s="204" t="n"/>
      <c r="BL3453" s="141" t="n"/>
      <c r="BM3453" s="205" t="n"/>
      <c r="BN3453" s="205" t="n"/>
      <c r="BO3453" s="206" t="n"/>
      <c r="BP3453" s="144" t="n"/>
      <c r="BQ3453" s="141" t="n"/>
      <c r="BR3453" s="207" t="n"/>
      <c r="BS3453" s="207" t="n"/>
      <c r="BT3453" s="207" t="n"/>
      <c r="BU3453" s="207" t="n"/>
      <c r="BV3453" s="208" t="n"/>
      <c r="BW3453" s="207" t="n"/>
      <c r="BX3453" s="207" t="n"/>
      <c r="BY3453" s="204" t="n"/>
      <c r="BZ3453" s="148" t="n"/>
      <c r="CA3453" s="204" t="n"/>
      <c r="CB3453" s="208" t="n"/>
      <c r="CC3453" s="139" t="n"/>
      <c r="CD3453" s="204" t="n"/>
      <c r="CE3453" s="204" t="n"/>
      <c r="CF3453" s="207" t="n"/>
      <c r="CG3453" s="208" t="n"/>
      <c r="CH3453" s="207" t="n"/>
      <c r="CI3453" s="208" t="n"/>
      <c r="CJ3453" s="204" t="n"/>
      <c r="CK3453" s="208" t="n"/>
      <c r="CL3453" s="208" t="n"/>
      <c r="CM3453" s="208" t="n"/>
      <c r="CN3453" s="78" t="n"/>
      <c r="CO3453" s="209" t="n"/>
      <c r="CP3453" s="204" t="n"/>
      <c r="CQ3453" s="204" t="n"/>
      <c r="CR3453" s="204" t="n"/>
      <c r="CS3453" s="204" t="n"/>
      <c r="CT3453" s="204" t="n"/>
      <c r="CU3453" s="204" t="n"/>
      <c r="CV3453" s="204" t="n"/>
      <c r="CW3453" s="204" t="n"/>
    </row>
    <row r="3454">
      <c r="BF3454" s="78" t="n"/>
      <c r="BG3454" s="78" t="n"/>
      <c r="BH3454" s="78" t="n"/>
      <c r="BI3454" s="78" t="n"/>
      <c r="BJ3454" s="139" t="n"/>
      <c r="BK3454" s="204" t="n"/>
      <c r="BL3454" s="141" t="n"/>
      <c r="BM3454" s="205" t="n"/>
      <c r="BN3454" s="205" t="n"/>
      <c r="BO3454" s="206" t="n"/>
      <c r="BP3454" s="144" t="n"/>
      <c r="BQ3454" s="141" t="n"/>
      <c r="BR3454" s="207" t="n"/>
      <c r="BS3454" s="207" t="n"/>
      <c r="BT3454" s="207" t="n"/>
      <c r="BU3454" s="207" t="n"/>
      <c r="BV3454" s="208" t="n"/>
      <c r="BW3454" s="207" t="n"/>
      <c r="BX3454" s="207" t="n"/>
      <c r="BY3454" s="204" t="n"/>
      <c r="BZ3454" s="148" t="n"/>
      <c r="CA3454" s="204" t="n"/>
      <c r="CB3454" s="208" t="n"/>
      <c r="CC3454" s="139" t="n"/>
      <c r="CD3454" s="204" t="n"/>
      <c r="CE3454" s="204" t="n"/>
      <c r="CF3454" s="207" t="n"/>
      <c r="CG3454" s="208" t="n"/>
      <c r="CH3454" s="207" t="n"/>
      <c r="CI3454" s="208" t="n"/>
      <c r="CJ3454" s="204" t="n"/>
      <c r="CK3454" s="208" t="n"/>
      <c r="CL3454" s="208" t="n"/>
      <c r="CM3454" s="208" t="n"/>
      <c r="CN3454" s="78" t="n"/>
      <c r="CO3454" s="209" t="n"/>
      <c r="CP3454" s="204" t="n"/>
      <c r="CQ3454" s="204" t="n"/>
      <c r="CR3454" s="204" t="n"/>
      <c r="CS3454" s="204" t="n"/>
      <c r="CT3454" s="204" t="n"/>
      <c r="CU3454" s="204" t="n"/>
      <c r="CV3454" s="204" t="n"/>
      <c r="CW3454" s="204" t="n"/>
    </row>
    <row r="3455">
      <c r="BF3455" s="78" t="n"/>
      <c r="BG3455" s="78" t="n"/>
      <c r="BH3455" s="78" t="n"/>
      <c r="BI3455" s="78" t="n"/>
      <c r="BJ3455" s="139" t="n"/>
      <c r="BK3455" s="204" t="n"/>
      <c r="BL3455" s="141" t="n"/>
      <c r="BM3455" s="205" t="n"/>
      <c r="BN3455" s="205" t="n"/>
      <c r="BO3455" s="206" t="n"/>
      <c r="BP3455" s="144" t="n"/>
      <c r="BQ3455" s="141" t="n"/>
      <c r="BR3455" s="207" t="n"/>
      <c r="BS3455" s="207" t="n"/>
      <c r="BT3455" s="207" t="n"/>
      <c r="BU3455" s="207" t="n"/>
      <c r="BV3455" s="208" t="n"/>
      <c r="BW3455" s="207" t="n"/>
      <c r="BX3455" s="207" t="n"/>
      <c r="BY3455" s="204" t="n"/>
      <c r="BZ3455" s="148" t="n"/>
      <c r="CA3455" s="204" t="n"/>
      <c r="CB3455" s="208" t="n"/>
      <c r="CC3455" s="139" t="n"/>
      <c r="CD3455" s="204" t="n"/>
      <c r="CE3455" s="204" t="n"/>
      <c r="CF3455" s="207" t="n"/>
      <c r="CG3455" s="208" t="n"/>
      <c r="CH3455" s="207" t="n"/>
      <c r="CI3455" s="208" t="n"/>
      <c r="CJ3455" s="204" t="n"/>
      <c r="CK3455" s="208" t="n"/>
      <c r="CL3455" s="208" t="n"/>
      <c r="CM3455" s="208" t="n"/>
      <c r="CN3455" s="78" t="n"/>
      <c r="CO3455" s="209" t="n"/>
      <c r="CP3455" s="204" t="n"/>
      <c r="CQ3455" s="204" t="n"/>
      <c r="CR3455" s="204" t="n"/>
      <c r="CS3455" s="204" t="n"/>
      <c r="CT3455" s="204" t="n"/>
      <c r="CU3455" s="204" t="n"/>
      <c r="CV3455" s="204" t="n"/>
      <c r="CW3455" s="204" t="n"/>
    </row>
    <row r="3456">
      <c r="BF3456" s="78" t="n"/>
      <c r="BG3456" s="78" t="n"/>
      <c r="BH3456" s="78" t="n"/>
      <c r="BI3456" s="78" t="n"/>
      <c r="BJ3456" s="139" t="n"/>
      <c r="BK3456" s="204" t="n"/>
      <c r="BL3456" s="141" t="n"/>
      <c r="BM3456" s="205" t="n"/>
      <c r="BN3456" s="205" t="n"/>
      <c r="BO3456" s="206" t="n"/>
      <c r="BP3456" s="144" t="n"/>
      <c r="BQ3456" s="141" t="n"/>
      <c r="BR3456" s="207" t="n"/>
      <c r="BS3456" s="207" t="n"/>
      <c r="BT3456" s="207" t="n"/>
      <c r="BU3456" s="207" t="n"/>
      <c r="BV3456" s="208" t="n"/>
      <c r="BW3456" s="207" t="n"/>
      <c r="BX3456" s="207" t="n"/>
      <c r="BY3456" s="204" t="n"/>
      <c r="BZ3456" s="148" t="n"/>
      <c r="CA3456" s="204" t="n"/>
      <c r="CB3456" s="208" t="n"/>
      <c r="CC3456" s="139" t="n"/>
      <c r="CD3456" s="204" t="n"/>
      <c r="CE3456" s="204" t="n"/>
      <c r="CF3456" s="207" t="n"/>
      <c r="CG3456" s="208" t="n"/>
      <c r="CH3456" s="207" t="n"/>
      <c r="CI3456" s="208" t="n"/>
      <c r="CJ3456" s="204" t="n"/>
      <c r="CK3456" s="208" t="n"/>
      <c r="CL3456" s="208" t="n"/>
      <c r="CM3456" s="208" t="n"/>
      <c r="CN3456" s="78" t="n"/>
      <c r="CO3456" s="209" t="n"/>
      <c r="CP3456" s="204" t="n"/>
      <c r="CQ3456" s="204" t="n"/>
      <c r="CR3456" s="204" t="n"/>
      <c r="CS3456" s="204" t="n"/>
      <c r="CT3456" s="204" t="n"/>
      <c r="CU3456" s="204" t="n"/>
      <c r="CV3456" s="204" t="n"/>
      <c r="CW3456" s="204" t="n"/>
    </row>
    <row r="3457">
      <c r="BF3457" s="78" t="n"/>
      <c r="BG3457" s="78" t="n"/>
      <c r="BH3457" s="78" t="n"/>
      <c r="BI3457" s="78" t="n"/>
      <c r="BJ3457" s="139" t="n"/>
      <c r="BK3457" s="204" t="n"/>
      <c r="BL3457" s="141" t="n"/>
      <c r="BM3457" s="205" t="n"/>
      <c r="BN3457" s="205" t="n"/>
      <c r="BO3457" s="206" t="n"/>
      <c r="BP3457" s="144" t="n"/>
      <c r="BQ3457" s="141" t="n"/>
      <c r="BR3457" s="207" t="n"/>
      <c r="BS3457" s="207" t="n"/>
      <c r="BT3457" s="207" t="n"/>
      <c r="BU3457" s="207" t="n"/>
      <c r="BV3457" s="208" t="n"/>
      <c r="BW3457" s="207" t="n"/>
      <c r="BX3457" s="207" t="n"/>
      <c r="BY3457" s="204" t="n"/>
      <c r="BZ3457" s="148" t="n"/>
      <c r="CA3457" s="204" t="n"/>
      <c r="CB3457" s="208" t="n"/>
      <c r="CC3457" s="139" t="n"/>
      <c r="CD3457" s="204" t="n"/>
      <c r="CE3457" s="204" t="n"/>
      <c r="CF3457" s="207" t="n"/>
      <c r="CG3457" s="208" t="n"/>
      <c r="CH3457" s="207" t="n"/>
      <c r="CI3457" s="208" t="n"/>
      <c r="CJ3457" s="204" t="n"/>
      <c r="CK3457" s="208" t="n"/>
      <c r="CL3457" s="208" t="n"/>
      <c r="CM3457" s="208" t="n"/>
      <c r="CN3457" s="78" t="n"/>
      <c r="CO3457" s="209" t="n"/>
      <c r="CP3457" s="204" t="n"/>
      <c r="CQ3457" s="204" t="n"/>
      <c r="CR3457" s="204" t="n"/>
      <c r="CS3457" s="204" t="n"/>
      <c r="CT3457" s="204" t="n"/>
      <c r="CU3457" s="204" t="n"/>
      <c r="CV3457" s="204" t="n"/>
      <c r="CW3457" s="204" t="n"/>
    </row>
    <row r="3458">
      <c r="BF3458" s="78" t="n"/>
      <c r="BG3458" s="78" t="n"/>
      <c r="BH3458" s="78" t="n"/>
      <c r="BI3458" s="78" t="n"/>
      <c r="BJ3458" s="139" t="n"/>
      <c r="BK3458" s="204" t="n"/>
      <c r="BL3458" s="141" t="n"/>
      <c r="BM3458" s="205" t="n"/>
      <c r="BN3458" s="205" t="n"/>
      <c r="BO3458" s="206" t="n"/>
      <c r="BP3458" s="144" t="n"/>
      <c r="BQ3458" s="141" t="n"/>
      <c r="BR3458" s="207" t="n"/>
      <c r="BS3458" s="207" t="n"/>
      <c r="BT3458" s="207" t="n"/>
      <c r="BU3458" s="207" t="n"/>
      <c r="BV3458" s="208" t="n"/>
      <c r="BW3458" s="207" t="n"/>
      <c r="BX3458" s="207" t="n"/>
      <c r="BY3458" s="204" t="n"/>
      <c r="BZ3458" s="148" t="n"/>
      <c r="CA3458" s="204" t="n"/>
      <c r="CB3458" s="208" t="n"/>
      <c r="CC3458" s="139" t="n"/>
      <c r="CD3458" s="204" t="n"/>
      <c r="CE3458" s="204" t="n"/>
      <c r="CF3458" s="207" t="n"/>
      <c r="CG3458" s="208" t="n"/>
      <c r="CH3458" s="207" t="n"/>
      <c r="CI3458" s="208" t="n"/>
      <c r="CJ3458" s="204" t="n"/>
      <c r="CK3458" s="208" t="n"/>
      <c r="CL3458" s="208" t="n"/>
      <c r="CM3458" s="208" t="n"/>
      <c r="CN3458" s="78" t="n"/>
      <c r="CO3458" s="209" t="n"/>
      <c r="CP3458" s="204" t="n"/>
      <c r="CQ3458" s="204" t="n"/>
      <c r="CR3458" s="204" t="n"/>
      <c r="CS3458" s="204" t="n"/>
      <c r="CT3458" s="204" t="n"/>
      <c r="CU3458" s="204" t="n"/>
      <c r="CV3458" s="204" t="n"/>
      <c r="CW3458" s="204" t="n"/>
    </row>
    <row r="3459">
      <c r="BF3459" s="78" t="n"/>
      <c r="BG3459" s="78" t="n"/>
      <c r="BH3459" s="78" t="n"/>
      <c r="BI3459" s="78" t="n"/>
      <c r="BJ3459" s="139" t="n"/>
      <c r="BK3459" s="204" t="n"/>
      <c r="BL3459" s="141" t="n"/>
      <c r="BM3459" s="205" t="n"/>
      <c r="BN3459" s="205" t="n"/>
      <c r="BO3459" s="206" t="n"/>
      <c r="BP3459" s="144" t="n"/>
      <c r="BQ3459" s="141" t="n"/>
      <c r="BR3459" s="207" t="n"/>
      <c r="BS3459" s="207" t="n"/>
      <c r="BT3459" s="207" t="n"/>
      <c r="BU3459" s="207" t="n"/>
      <c r="BV3459" s="208" t="n"/>
      <c r="BW3459" s="207" t="n"/>
      <c r="BX3459" s="207" t="n"/>
      <c r="BY3459" s="204" t="n"/>
      <c r="BZ3459" s="148" t="n"/>
      <c r="CA3459" s="204" t="n"/>
      <c r="CB3459" s="208" t="n"/>
      <c r="CC3459" s="139" t="n"/>
      <c r="CD3459" s="204" t="n"/>
      <c r="CE3459" s="204" t="n"/>
      <c r="CF3459" s="207" t="n"/>
      <c r="CG3459" s="208" t="n"/>
      <c r="CH3459" s="207" t="n"/>
      <c r="CI3459" s="208" t="n"/>
      <c r="CJ3459" s="204" t="n"/>
      <c r="CK3459" s="208" t="n"/>
      <c r="CL3459" s="208" t="n"/>
      <c r="CM3459" s="208" t="n"/>
      <c r="CN3459" s="78" t="n"/>
      <c r="CO3459" s="209" t="n"/>
      <c r="CP3459" s="204" t="n"/>
      <c r="CQ3459" s="204" t="n"/>
      <c r="CR3459" s="204" t="n"/>
      <c r="CS3459" s="204" t="n"/>
      <c r="CT3459" s="204" t="n"/>
      <c r="CU3459" s="204" t="n"/>
      <c r="CV3459" s="204" t="n"/>
      <c r="CW3459" s="204" t="n"/>
    </row>
    <row r="3460">
      <c r="BF3460" s="78" t="n"/>
      <c r="BG3460" s="78" t="n"/>
      <c r="BH3460" s="78" t="n"/>
      <c r="BI3460" s="78" t="n"/>
      <c r="BJ3460" s="139" t="n"/>
      <c r="BK3460" s="204" t="n"/>
      <c r="BL3460" s="141" t="n"/>
      <c r="BM3460" s="205" t="n"/>
      <c r="BN3460" s="205" t="n"/>
      <c r="BO3460" s="206" t="n"/>
      <c r="BP3460" s="144" t="n"/>
      <c r="BQ3460" s="141" t="n"/>
      <c r="BR3460" s="207" t="n"/>
      <c r="BS3460" s="207" t="n"/>
      <c r="BT3460" s="207" t="n"/>
      <c r="BU3460" s="207" t="n"/>
      <c r="BV3460" s="208" t="n"/>
      <c r="BW3460" s="207" t="n"/>
      <c r="BX3460" s="207" t="n"/>
      <c r="BY3460" s="204" t="n"/>
      <c r="BZ3460" s="148" t="n"/>
      <c r="CA3460" s="204" t="n"/>
      <c r="CB3460" s="208" t="n"/>
      <c r="CC3460" s="139" t="n"/>
      <c r="CD3460" s="204" t="n"/>
      <c r="CE3460" s="204" t="n"/>
      <c r="CF3460" s="207" t="n"/>
      <c r="CG3460" s="208" t="n"/>
      <c r="CH3460" s="207" t="n"/>
      <c r="CI3460" s="208" t="n"/>
      <c r="CJ3460" s="204" t="n"/>
      <c r="CK3460" s="208" t="n"/>
      <c r="CL3460" s="208" t="n"/>
      <c r="CM3460" s="208" t="n"/>
      <c r="CN3460" s="78" t="n"/>
      <c r="CO3460" s="209" t="n"/>
      <c r="CP3460" s="204" t="n"/>
      <c r="CQ3460" s="204" t="n"/>
      <c r="CR3460" s="204" t="n"/>
      <c r="CS3460" s="204" t="n"/>
      <c r="CT3460" s="204" t="n"/>
      <c r="CU3460" s="204" t="n"/>
      <c r="CV3460" s="204" t="n"/>
      <c r="CW3460" s="204" t="n"/>
    </row>
    <row r="3461">
      <c r="BF3461" s="78" t="n"/>
      <c r="BG3461" s="78" t="n"/>
      <c r="BH3461" s="78" t="n"/>
      <c r="BI3461" s="78" t="n"/>
      <c r="BJ3461" s="139" t="n"/>
      <c r="BK3461" s="204" t="n"/>
      <c r="BL3461" s="141" t="n"/>
      <c r="BM3461" s="205" t="n"/>
      <c r="BN3461" s="205" t="n"/>
      <c r="BO3461" s="206" t="n"/>
      <c r="BP3461" s="144" t="n"/>
      <c r="BQ3461" s="141" t="n"/>
      <c r="BR3461" s="207" t="n"/>
      <c r="BS3461" s="207" t="n"/>
      <c r="BT3461" s="207" t="n"/>
      <c r="BU3461" s="207" t="n"/>
      <c r="BV3461" s="208" t="n"/>
      <c r="BW3461" s="207" t="n"/>
      <c r="BX3461" s="207" t="n"/>
      <c r="BY3461" s="204" t="n"/>
      <c r="BZ3461" s="148" t="n"/>
      <c r="CA3461" s="204" t="n"/>
      <c r="CB3461" s="208" t="n"/>
      <c r="CC3461" s="139" t="n"/>
      <c r="CD3461" s="204" t="n"/>
      <c r="CE3461" s="204" t="n"/>
      <c r="CF3461" s="207" t="n"/>
      <c r="CG3461" s="208" t="n"/>
      <c r="CH3461" s="207" t="n"/>
      <c r="CI3461" s="208" t="n"/>
      <c r="CJ3461" s="204" t="n"/>
      <c r="CK3461" s="208" t="n"/>
      <c r="CL3461" s="208" t="n"/>
      <c r="CM3461" s="208" t="n"/>
      <c r="CN3461" s="78" t="n"/>
      <c r="CO3461" s="209" t="n"/>
      <c r="CP3461" s="204" t="n"/>
      <c r="CQ3461" s="204" t="n"/>
      <c r="CR3461" s="204" t="n"/>
      <c r="CS3461" s="204" t="n"/>
      <c r="CT3461" s="204" t="n"/>
      <c r="CU3461" s="204" t="n"/>
      <c r="CV3461" s="204" t="n"/>
      <c r="CW3461" s="204" t="n"/>
    </row>
    <row r="3462">
      <c r="BF3462" s="78" t="n"/>
      <c r="BG3462" s="78" t="n"/>
      <c r="BH3462" s="78" t="n"/>
      <c r="BI3462" s="78" t="n"/>
      <c r="BJ3462" s="139" t="n"/>
      <c r="BK3462" s="204" t="n"/>
      <c r="BL3462" s="141" t="n"/>
      <c r="BM3462" s="205" t="n"/>
      <c r="BN3462" s="205" t="n"/>
      <c r="BO3462" s="206" t="n"/>
      <c r="BP3462" s="144" t="n"/>
      <c r="BQ3462" s="141" t="n"/>
      <c r="BR3462" s="207" t="n"/>
      <c r="BS3462" s="207" t="n"/>
      <c r="BT3462" s="207" t="n"/>
      <c r="BU3462" s="207" t="n"/>
      <c r="BV3462" s="208" t="n"/>
      <c r="BW3462" s="207" t="n"/>
      <c r="BX3462" s="207" t="n"/>
      <c r="BY3462" s="204" t="n"/>
      <c r="BZ3462" s="148" t="n"/>
      <c r="CA3462" s="204" t="n"/>
      <c r="CB3462" s="208" t="n"/>
      <c r="CC3462" s="139" t="n"/>
      <c r="CD3462" s="204" t="n"/>
      <c r="CE3462" s="204" t="n"/>
      <c r="CF3462" s="207" t="n"/>
      <c r="CG3462" s="208" t="n"/>
      <c r="CH3462" s="207" t="n"/>
      <c r="CI3462" s="208" t="n"/>
      <c r="CJ3462" s="204" t="n"/>
      <c r="CK3462" s="208" t="n"/>
      <c r="CL3462" s="208" t="n"/>
      <c r="CM3462" s="208" t="n"/>
      <c r="CN3462" s="78" t="n"/>
      <c r="CO3462" s="209" t="n"/>
      <c r="CP3462" s="204" t="n"/>
      <c r="CQ3462" s="204" t="n"/>
      <c r="CR3462" s="204" t="n"/>
      <c r="CS3462" s="204" t="n"/>
      <c r="CT3462" s="204" t="n"/>
      <c r="CU3462" s="204" t="n"/>
      <c r="CV3462" s="204" t="n"/>
      <c r="CW3462" s="204" t="n"/>
    </row>
    <row r="3463">
      <c r="BF3463" s="78" t="n"/>
      <c r="BG3463" s="78" t="n"/>
      <c r="BH3463" s="78" t="n"/>
      <c r="BI3463" s="78" t="n"/>
      <c r="BJ3463" s="139" t="n"/>
      <c r="BK3463" s="204" t="n"/>
      <c r="BL3463" s="141" t="n"/>
      <c r="BM3463" s="205" t="n"/>
      <c r="BN3463" s="205" t="n"/>
      <c r="BO3463" s="206" t="n"/>
      <c r="BP3463" s="144" t="n"/>
      <c r="BQ3463" s="141" t="n"/>
      <c r="BR3463" s="207" t="n"/>
      <c r="BS3463" s="207" t="n"/>
      <c r="BT3463" s="207" t="n"/>
      <c r="BU3463" s="207" t="n"/>
      <c r="BV3463" s="208" t="n"/>
      <c r="BW3463" s="207" t="n"/>
      <c r="BX3463" s="207" t="n"/>
      <c r="BY3463" s="204" t="n"/>
      <c r="BZ3463" s="148" t="n"/>
      <c r="CA3463" s="204" t="n"/>
      <c r="CB3463" s="208" t="n"/>
      <c r="CC3463" s="139" t="n"/>
      <c r="CD3463" s="204" t="n"/>
      <c r="CE3463" s="204" t="n"/>
      <c r="CF3463" s="207" t="n"/>
      <c r="CG3463" s="208" t="n"/>
      <c r="CH3463" s="207" t="n"/>
      <c r="CI3463" s="208" t="n"/>
      <c r="CJ3463" s="204" t="n"/>
      <c r="CK3463" s="208" t="n"/>
      <c r="CL3463" s="208" t="n"/>
      <c r="CM3463" s="208" t="n"/>
      <c r="CN3463" s="78" t="n"/>
      <c r="CO3463" s="209" t="n"/>
      <c r="CP3463" s="204" t="n"/>
      <c r="CQ3463" s="204" t="n"/>
      <c r="CR3463" s="204" t="n"/>
      <c r="CS3463" s="204" t="n"/>
      <c r="CT3463" s="204" t="n"/>
      <c r="CU3463" s="204" t="n"/>
      <c r="CV3463" s="204" t="n"/>
      <c r="CW3463" s="204" t="n"/>
    </row>
    <row r="3464">
      <c r="BF3464" s="78" t="n"/>
      <c r="BG3464" s="78" t="n"/>
      <c r="BH3464" s="78" t="n"/>
      <c r="BI3464" s="78" t="n"/>
      <c r="BJ3464" s="139" t="n"/>
      <c r="BK3464" s="204" t="n"/>
      <c r="BL3464" s="141" t="n"/>
      <c r="BM3464" s="205" t="n"/>
      <c r="BN3464" s="205" t="n"/>
      <c r="BO3464" s="206" t="n"/>
      <c r="BP3464" s="144" t="n"/>
      <c r="BQ3464" s="141" t="n"/>
      <c r="BR3464" s="207" t="n"/>
      <c r="BS3464" s="207" t="n"/>
      <c r="BT3464" s="207" t="n"/>
      <c r="BU3464" s="207" t="n"/>
      <c r="BV3464" s="208" t="n"/>
      <c r="BW3464" s="207" t="n"/>
      <c r="BX3464" s="207" t="n"/>
      <c r="BY3464" s="204" t="n"/>
      <c r="BZ3464" s="148" t="n"/>
      <c r="CA3464" s="204" t="n"/>
      <c r="CB3464" s="208" t="n"/>
      <c r="CC3464" s="139" t="n"/>
      <c r="CD3464" s="204" t="n"/>
      <c r="CE3464" s="204" t="n"/>
      <c r="CF3464" s="207" t="n"/>
      <c r="CG3464" s="208" t="n"/>
      <c r="CH3464" s="207" t="n"/>
      <c r="CI3464" s="208" t="n"/>
      <c r="CJ3464" s="204" t="n"/>
      <c r="CK3464" s="208" t="n"/>
      <c r="CL3464" s="208" t="n"/>
      <c r="CM3464" s="208" t="n"/>
      <c r="CN3464" s="78" t="n"/>
      <c r="CO3464" s="209" t="n"/>
      <c r="CP3464" s="204" t="n"/>
      <c r="CQ3464" s="204" t="n"/>
      <c r="CR3464" s="204" t="n"/>
      <c r="CS3464" s="204" t="n"/>
      <c r="CT3464" s="204" t="n"/>
      <c r="CU3464" s="204" t="n"/>
      <c r="CV3464" s="204" t="n"/>
      <c r="CW3464" s="204" t="n"/>
    </row>
    <row r="3465">
      <c r="BF3465" s="78" t="n"/>
      <c r="BG3465" s="78" t="n"/>
      <c r="BH3465" s="78" t="n"/>
      <c r="BI3465" s="78" t="n"/>
      <c r="BJ3465" s="139" t="n"/>
      <c r="BK3465" s="204" t="n"/>
      <c r="BL3465" s="141" t="n"/>
      <c r="BM3465" s="205" t="n"/>
      <c r="BN3465" s="205" t="n"/>
      <c r="BO3465" s="206" t="n"/>
      <c r="BP3465" s="144" t="n"/>
      <c r="BQ3465" s="141" t="n"/>
      <c r="BR3465" s="207" t="n"/>
      <c r="BS3465" s="207" t="n"/>
      <c r="BT3465" s="207" t="n"/>
      <c r="BU3465" s="207" t="n"/>
      <c r="BV3465" s="208" t="n"/>
      <c r="BW3465" s="207" t="n"/>
      <c r="BX3465" s="207" t="n"/>
      <c r="BY3465" s="204" t="n"/>
      <c r="BZ3465" s="148" t="n"/>
      <c r="CA3465" s="204" t="n"/>
      <c r="CB3465" s="208" t="n"/>
      <c r="CC3465" s="139" t="n"/>
      <c r="CD3465" s="204" t="n"/>
      <c r="CE3465" s="204" t="n"/>
      <c r="CF3465" s="207" t="n"/>
      <c r="CG3465" s="208" t="n"/>
      <c r="CH3465" s="207" t="n"/>
      <c r="CI3465" s="208" t="n"/>
      <c r="CJ3465" s="204" t="n"/>
      <c r="CK3465" s="208" t="n"/>
      <c r="CL3465" s="208" t="n"/>
      <c r="CM3465" s="208" t="n"/>
      <c r="CN3465" s="78" t="n"/>
      <c r="CO3465" s="209" t="n"/>
      <c r="CP3465" s="204" t="n"/>
      <c r="CQ3465" s="204" t="n"/>
      <c r="CR3465" s="204" t="n"/>
      <c r="CS3465" s="204" t="n"/>
      <c r="CT3465" s="204" t="n"/>
      <c r="CU3465" s="204" t="n"/>
      <c r="CV3465" s="204" t="n"/>
      <c r="CW3465" s="204" t="n"/>
    </row>
    <row r="3466">
      <c r="BF3466" s="78" t="n"/>
      <c r="BG3466" s="78" t="n"/>
      <c r="BH3466" s="78" t="n"/>
      <c r="BI3466" s="78" t="n"/>
      <c r="BJ3466" s="139" t="n"/>
      <c r="BK3466" s="204" t="n"/>
      <c r="BL3466" s="141" t="n"/>
      <c r="BM3466" s="205" t="n"/>
      <c r="BN3466" s="205" t="n"/>
      <c r="BO3466" s="206" t="n"/>
      <c r="BP3466" s="144" t="n"/>
      <c r="BQ3466" s="141" t="n"/>
      <c r="BR3466" s="207" t="n"/>
      <c r="BS3466" s="207" t="n"/>
      <c r="BT3466" s="207" t="n"/>
      <c r="BU3466" s="207" t="n"/>
      <c r="BV3466" s="208" t="n"/>
      <c r="BW3466" s="207" t="n"/>
      <c r="BX3466" s="207" t="n"/>
      <c r="BY3466" s="204" t="n"/>
      <c r="BZ3466" s="148" t="n"/>
      <c r="CA3466" s="204" t="n"/>
      <c r="CB3466" s="208" t="n"/>
      <c r="CC3466" s="139" t="n"/>
      <c r="CD3466" s="204" t="n"/>
      <c r="CE3466" s="204" t="n"/>
      <c r="CF3466" s="207" t="n"/>
      <c r="CG3466" s="208" t="n"/>
      <c r="CH3466" s="207" t="n"/>
      <c r="CI3466" s="208" t="n"/>
      <c r="CJ3466" s="204" t="n"/>
      <c r="CK3466" s="208" t="n"/>
      <c r="CL3466" s="208" t="n"/>
      <c r="CM3466" s="208" t="n"/>
      <c r="CN3466" s="78" t="n"/>
      <c r="CO3466" s="209" t="n"/>
      <c r="CP3466" s="204" t="n"/>
      <c r="CQ3466" s="204" t="n"/>
      <c r="CR3466" s="204" t="n"/>
      <c r="CS3466" s="204" t="n"/>
      <c r="CT3466" s="204" t="n"/>
      <c r="CU3466" s="204" t="n"/>
      <c r="CV3466" s="204" t="n"/>
      <c r="CW3466" s="204" t="n"/>
    </row>
    <row r="3467">
      <c r="BF3467" s="78" t="n"/>
      <c r="BG3467" s="78" t="n"/>
      <c r="BH3467" s="78" t="n"/>
      <c r="BI3467" s="78" t="n"/>
      <c r="BJ3467" s="139" t="n"/>
      <c r="BK3467" s="204" t="n"/>
      <c r="BL3467" s="141" t="n"/>
      <c r="BM3467" s="205" t="n"/>
      <c r="BN3467" s="205" t="n"/>
      <c r="BO3467" s="206" t="n"/>
      <c r="BP3467" s="144" t="n"/>
      <c r="BQ3467" s="141" t="n"/>
      <c r="BR3467" s="207" t="n"/>
      <c r="BS3467" s="207" t="n"/>
      <c r="BT3467" s="207" t="n"/>
      <c r="BU3467" s="207" t="n"/>
      <c r="BV3467" s="208" t="n"/>
      <c r="BW3467" s="207" t="n"/>
      <c r="BX3467" s="207" t="n"/>
      <c r="BY3467" s="204" t="n"/>
      <c r="BZ3467" s="148" t="n"/>
      <c r="CA3467" s="204" t="n"/>
      <c r="CB3467" s="208" t="n"/>
      <c r="CC3467" s="139" t="n"/>
      <c r="CD3467" s="204" t="n"/>
      <c r="CE3467" s="204" t="n"/>
      <c r="CF3467" s="207" t="n"/>
      <c r="CG3467" s="208" t="n"/>
      <c r="CH3467" s="207" t="n"/>
      <c r="CI3467" s="208" t="n"/>
      <c r="CJ3467" s="204" t="n"/>
      <c r="CK3467" s="208" t="n"/>
      <c r="CL3467" s="208" t="n"/>
      <c r="CM3467" s="208" t="n"/>
      <c r="CN3467" s="78" t="n"/>
      <c r="CO3467" s="209" t="n"/>
      <c r="CP3467" s="204" t="n"/>
      <c r="CQ3467" s="204" t="n"/>
      <c r="CR3467" s="204" t="n"/>
      <c r="CS3467" s="204" t="n"/>
      <c r="CT3467" s="204" t="n"/>
      <c r="CU3467" s="204" t="n"/>
      <c r="CV3467" s="204" t="n"/>
      <c r="CW3467" s="204" t="n"/>
    </row>
    <row r="3468">
      <c r="BF3468" s="78" t="n"/>
      <c r="BG3468" s="78" t="n"/>
      <c r="BH3468" s="78" t="n"/>
      <c r="BI3468" s="78" t="n"/>
      <c r="BJ3468" s="139" t="n"/>
      <c r="BK3468" s="204" t="n"/>
      <c r="BL3468" s="141" t="n"/>
      <c r="BM3468" s="205" t="n"/>
      <c r="BN3468" s="205" t="n"/>
      <c r="BO3468" s="206" t="n"/>
      <c r="BP3468" s="144" t="n"/>
      <c r="BQ3468" s="141" t="n"/>
      <c r="BR3468" s="207" t="n"/>
      <c r="BS3468" s="207" t="n"/>
      <c r="BT3468" s="207" t="n"/>
      <c r="BU3468" s="207" t="n"/>
      <c r="BV3468" s="208" t="n"/>
      <c r="BW3468" s="207" t="n"/>
      <c r="BX3468" s="207" t="n"/>
      <c r="BY3468" s="204" t="n"/>
      <c r="BZ3468" s="148" t="n"/>
      <c r="CA3468" s="204" t="n"/>
      <c r="CB3468" s="208" t="n"/>
      <c r="CC3468" s="139" t="n"/>
      <c r="CD3468" s="204" t="n"/>
      <c r="CE3468" s="204" t="n"/>
      <c r="CF3468" s="207" t="n"/>
      <c r="CG3468" s="208" t="n"/>
      <c r="CH3468" s="207" t="n"/>
      <c r="CI3468" s="208" t="n"/>
      <c r="CJ3468" s="204" t="n"/>
      <c r="CK3468" s="208" t="n"/>
      <c r="CL3468" s="208" t="n"/>
      <c r="CM3468" s="208" t="n"/>
      <c r="CN3468" s="78" t="n"/>
      <c r="CO3468" s="209" t="n"/>
      <c r="CP3468" s="204" t="n"/>
      <c r="CQ3468" s="204" t="n"/>
      <c r="CR3468" s="204" t="n"/>
      <c r="CS3468" s="204" t="n"/>
      <c r="CT3468" s="204" t="n"/>
      <c r="CU3468" s="204" t="n"/>
      <c r="CV3468" s="204" t="n"/>
      <c r="CW3468" s="204" t="n"/>
    </row>
    <row r="3469">
      <c r="BF3469" s="78" t="n"/>
      <c r="BG3469" s="78" t="n"/>
      <c r="BH3469" s="78" t="n"/>
      <c r="BI3469" s="78" t="n"/>
      <c r="BJ3469" s="139" t="n"/>
      <c r="BK3469" s="204" t="n"/>
      <c r="BL3469" s="141" t="n"/>
      <c r="BM3469" s="205" t="n"/>
      <c r="BN3469" s="205" t="n"/>
      <c r="BO3469" s="206" t="n"/>
      <c r="BP3469" s="144" t="n"/>
      <c r="BQ3469" s="141" t="n"/>
      <c r="BR3469" s="207" t="n"/>
      <c r="BS3469" s="207" t="n"/>
      <c r="BT3469" s="207" t="n"/>
      <c r="BU3469" s="207" t="n"/>
      <c r="BV3469" s="208" t="n"/>
      <c r="BW3469" s="207" t="n"/>
      <c r="BX3469" s="207" t="n"/>
      <c r="BY3469" s="204" t="n"/>
      <c r="BZ3469" s="148" t="n"/>
      <c r="CA3469" s="204" t="n"/>
      <c r="CB3469" s="208" t="n"/>
      <c r="CC3469" s="139" t="n"/>
      <c r="CD3469" s="204" t="n"/>
      <c r="CE3469" s="204" t="n"/>
      <c r="CF3469" s="207" t="n"/>
      <c r="CG3469" s="208" t="n"/>
      <c r="CH3469" s="207" t="n"/>
      <c r="CI3469" s="208" t="n"/>
      <c r="CJ3469" s="204" t="n"/>
      <c r="CK3469" s="208" t="n"/>
      <c r="CL3469" s="208" t="n"/>
      <c r="CM3469" s="208" t="n"/>
      <c r="CN3469" s="78" t="n"/>
      <c r="CO3469" s="209" t="n"/>
      <c r="CP3469" s="204" t="n"/>
      <c r="CQ3469" s="204" t="n"/>
      <c r="CR3469" s="204" t="n"/>
      <c r="CS3469" s="204" t="n"/>
      <c r="CT3469" s="204" t="n"/>
      <c r="CU3469" s="204" t="n"/>
      <c r="CV3469" s="204" t="n"/>
      <c r="CW3469" s="204" t="n"/>
    </row>
    <row r="3470">
      <c r="BF3470" s="78" t="n"/>
      <c r="BG3470" s="78" t="n"/>
      <c r="BH3470" s="78" t="n"/>
      <c r="BI3470" s="78" t="n"/>
      <c r="BJ3470" s="139" t="n"/>
      <c r="BK3470" s="204" t="n"/>
      <c r="BL3470" s="141" t="n"/>
      <c r="BM3470" s="205" t="n"/>
      <c r="BN3470" s="205" t="n"/>
      <c r="BO3470" s="206" t="n"/>
      <c r="BP3470" s="144" t="n"/>
      <c r="BQ3470" s="141" t="n"/>
      <c r="BR3470" s="207" t="n"/>
      <c r="BS3470" s="207" t="n"/>
      <c r="BT3470" s="207" t="n"/>
      <c r="BU3470" s="207" t="n"/>
      <c r="BV3470" s="208" t="n"/>
      <c r="BW3470" s="207" t="n"/>
      <c r="BX3470" s="207" t="n"/>
      <c r="BY3470" s="204" t="n"/>
      <c r="BZ3470" s="148" t="n"/>
      <c r="CA3470" s="204" t="n"/>
      <c r="CB3470" s="208" t="n"/>
      <c r="CC3470" s="139" t="n"/>
      <c r="CD3470" s="204" t="n"/>
      <c r="CE3470" s="204" t="n"/>
      <c r="CF3470" s="207" t="n"/>
      <c r="CG3470" s="208" t="n"/>
      <c r="CH3470" s="207" t="n"/>
      <c r="CI3470" s="208" t="n"/>
      <c r="CJ3470" s="204" t="n"/>
      <c r="CK3470" s="208" t="n"/>
      <c r="CL3470" s="208" t="n"/>
      <c r="CM3470" s="208" t="n"/>
      <c r="CN3470" s="78" t="n"/>
      <c r="CO3470" s="209" t="n"/>
      <c r="CP3470" s="204" t="n"/>
      <c r="CQ3470" s="204" t="n"/>
      <c r="CR3470" s="204" t="n"/>
      <c r="CS3470" s="204" t="n"/>
      <c r="CT3470" s="204" t="n"/>
      <c r="CU3470" s="204" t="n"/>
      <c r="CV3470" s="204" t="n"/>
      <c r="CW3470" s="204" t="n"/>
    </row>
    <row r="3471">
      <c r="BF3471" s="78" t="n"/>
      <c r="BG3471" s="78" t="n"/>
      <c r="BH3471" s="78" t="n"/>
      <c r="BI3471" s="78" t="n"/>
      <c r="BJ3471" s="139" t="n"/>
      <c r="BK3471" s="204" t="n"/>
      <c r="BL3471" s="141" t="n"/>
      <c r="BM3471" s="205" t="n"/>
      <c r="BN3471" s="205" t="n"/>
      <c r="BO3471" s="206" t="n"/>
      <c r="BP3471" s="144" t="n"/>
      <c r="BQ3471" s="141" t="n"/>
      <c r="BR3471" s="207" t="n"/>
      <c r="BS3471" s="207" t="n"/>
      <c r="BT3471" s="207" t="n"/>
      <c r="BU3471" s="207" t="n"/>
      <c r="BV3471" s="208" t="n"/>
      <c r="BW3471" s="207" t="n"/>
      <c r="BX3471" s="207" t="n"/>
      <c r="BY3471" s="204" t="n"/>
      <c r="BZ3471" s="148" t="n"/>
      <c r="CA3471" s="204" t="n"/>
      <c r="CB3471" s="208" t="n"/>
      <c r="CC3471" s="139" t="n"/>
      <c r="CD3471" s="204" t="n"/>
      <c r="CE3471" s="204" t="n"/>
      <c r="CF3471" s="207" t="n"/>
      <c r="CG3471" s="208" t="n"/>
      <c r="CH3471" s="207" t="n"/>
      <c r="CI3471" s="208" t="n"/>
      <c r="CJ3471" s="204" t="n"/>
      <c r="CK3471" s="208" t="n"/>
      <c r="CL3471" s="208" t="n"/>
      <c r="CM3471" s="208" t="n"/>
      <c r="CN3471" s="78" t="n"/>
      <c r="CO3471" s="209" t="n"/>
      <c r="CP3471" s="204" t="n"/>
      <c r="CQ3471" s="204" t="n"/>
      <c r="CR3471" s="204" t="n"/>
      <c r="CS3471" s="204" t="n"/>
      <c r="CT3471" s="204" t="n"/>
      <c r="CU3471" s="204" t="n"/>
      <c r="CV3471" s="204" t="n"/>
      <c r="CW3471" s="204" t="n"/>
    </row>
    <row r="3472">
      <c r="BF3472" s="78" t="n"/>
      <c r="BG3472" s="78" t="n"/>
      <c r="BH3472" s="78" t="n"/>
      <c r="BI3472" s="78" t="n"/>
      <c r="BJ3472" s="139" t="n"/>
      <c r="BK3472" s="204" t="n"/>
      <c r="BL3472" s="141" t="n"/>
      <c r="BM3472" s="205" t="n"/>
      <c r="BN3472" s="205" t="n"/>
      <c r="BO3472" s="206" t="n"/>
      <c r="BP3472" s="144" t="n"/>
      <c r="BQ3472" s="141" t="n"/>
      <c r="BR3472" s="207" t="n"/>
      <c r="BS3472" s="207" t="n"/>
      <c r="BT3472" s="207" t="n"/>
      <c r="BU3472" s="207" t="n"/>
      <c r="BV3472" s="208" t="n"/>
      <c r="BW3472" s="207" t="n"/>
      <c r="BX3472" s="207" t="n"/>
      <c r="BY3472" s="204" t="n"/>
      <c r="BZ3472" s="148" t="n"/>
      <c r="CA3472" s="204" t="n"/>
      <c r="CB3472" s="208" t="n"/>
      <c r="CC3472" s="139" t="n"/>
      <c r="CD3472" s="204" t="n"/>
      <c r="CE3472" s="204" t="n"/>
      <c r="CF3472" s="207" t="n"/>
      <c r="CG3472" s="208" t="n"/>
      <c r="CH3472" s="207" t="n"/>
      <c r="CI3472" s="208" t="n"/>
      <c r="CJ3472" s="204" t="n"/>
      <c r="CK3472" s="208" t="n"/>
      <c r="CL3472" s="208" t="n"/>
      <c r="CM3472" s="208" t="n"/>
      <c r="CN3472" s="78" t="n"/>
      <c r="CO3472" s="209" t="n"/>
      <c r="CP3472" s="204" t="n"/>
      <c r="CQ3472" s="204" t="n"/>
      <c r="CR3472" s="204" t="n"/>
      <c r="CS3472" s="204" t="n"/>
      <c r="CT3472" s="204" t="n"/>
      <c r="CU3472" s="204" t="n"/>
      <c r="CV3472" s="204" t="n"/>
      <c r="CW3472" s="204" t="n"/>
    </row>
    <row r="3473">
      <c r="BF3473" s="78" t="n"/>
      <c r="BG3473" s="78" t="n"/>
      <c r="BH3473" s="78" t="n"/>
      <c r="BI3473" s="78" t="n"/>
      <c r="BJ3473" s="139" t="n"/>
      <c r="BK3473" s="204" t="n"/>
      <c r="BL3473" s="141" t="n"/>
      <c r="BM3473" s="205" t="n"/>
      <c r="BN3473" s="205" t="n"/>
      <c r="BO3473" s="206" t="n"/>
      <c r="BP3473" s="144" t="n"/>
      <c r="BQ3473" s="141" t="n"/>
      <c r="BR3473" s="207" t="n"/>
      <c r="BS3473" s="207" t="n"/>
      <c r="BT3473" s="207" t="n"/>
      <c r="BU3473" s="207" t="n"/>
      <c r="BV3473" s="208" t="n"/>
      <c r="BW3473" s="207" t="n"/>
      <c r="BX3473" s="207" t="n"/>
      <c r="BY3473" s="204" t="n"/>
      <c r="BZ3473" s="148" t="n"/>
      <c r="CA3473" s="204" t="n"/>
      <c r="CB3473" s="208" t="n"/>
      <c r="CC3473" s="139" t="n"/>
      <c r="CD3473" s="204" t="n"/>
      <c r="CE3473" s="204" t="n"/>
      <c r="CF3473" s="207" t="n"/>
      <c r="CG3473" s="208" t="n"/>
      <c r="CH3473" s="207" t="n"/>
      <c r="CI3473" s="208" t="n"/>
      <c r="CJ3473" s="204" t="n"/>
      <c r="CK3473" s="208" t="n"/>
      <c r="CL3473" s="208" t="n"/>
      <c r="CM3473" s="208" t="n"/>
      <c r="CN3473" s="78" t="n"/>
      <c r="CO3473" s="209" t="n"/>
      <c r="CP3473" s="204" t="n"/>
      <c r="CQ3473" s="204" t="n"/>
      <c r="CR3473" s="204" t="n"/>
      <c r="CS3473" s="204" t="n"/>
      <c r="CT3473" s="204" t="n"/>
      <c r="CU3473" s="204" t="n"/>
      <c r="CV3473" s="204" t="n"/>
      <c r="CW3473" s="204" t="n"/>
    </row>
    <row r="3474">
      <c r="BF3474" s="78" t="n"/>
      <c r="BG3474" s="78" t="n"/>
      <c r="BH3474" s="78" t="n"/>
      <c r="BI3474" s="78" t="n"/>
      <c r="BJ3474" s="139" t="n"/>
      <c r="BK3474" s="204" t="n"/>
      <c r="BL3474" s="141" t="n"/>
      <c r="BM3474" s="205" t="n"/>
      <c r="BN3474" s="205" t="n"/>
      <c r="BO3474" s="206" t="n"/>
      <c r="BP3474" s="144" t="n"/>
      <c r="BQ3474" s="141" t="n"/>
      <c r="BR3474" s="207" t="n"/>
      <c r="BS3474" s="207" t="n"/>
      <c r="BT3474" s="207" t="n"/>
      <c r="BU3474" s="207" t="n"/>
      <c r="BV3474" s="208" t="n"/>
      <c r="BW3474" s="207" t="n"/>
      <c r="BX3474" s="207" t="n"/>
      <c r="BY3474" s="204" t="n"/>
      <c r="BZ3474" s="148" t="n"/>
      <c r="CA3474" s="204" t="n"/>
      <c r="CB3474" s="208" t="n"/>
      <c r="CC3474" s="139" t="n"/>
      <c r="CD3474" s="204" t="n"/>
      <c r="CE3474" s="204" t="n"/>
      <c r="CF3474" s="207" t="n"/>
      <c r="CG3474" s="208" t="n"/>
      <c r="CH3474" s="207" t="n"/>
      <c r="CI3474" s="208" t="n"/>
      <c r="CJ3474" s="204" t="n"/>
      <c r="CK3474" s="208" t="n"/>
      <c r="CL3474" s="208" t="n"/>
      <c r="CM3474" s="208" t="n"/>
      <c r="CN3474" s="78" t="n"/>
      <c r="CO3474" s="209" t="n"/>
      <c r="CP3474" s="204" t="n"/>
      <c r="CQ3474" s="204" t="n"/>
      <c r="CR3474" s="204" t="n"/>
      <c r="CS3474" s="204" t="n"/>
      <c r="CT3474" s="204" t="n"/>
      <c r="CU3474" s="204" t="n"/>
      <c r="CV3474" s="204" t="n"/>
      <c r="CW3474" s="204" t="n"/>
    </row>
    <row r="3475">
      <c r="BF3475" s="78" t="n"/>
      <c r="BG3475" s="78" t="n"/>
      <c r="BH3475" s="78" t="n"/>
      <c r="BI3475" s="78" t="n"/>
      <c r="BJ3475" s="139" t="n"/>
      <c r="BK3475" s="204" t="n"/>
      <c r="BL3475" s="141" t="n"/>
      <c r="BM3475" s="205" t="n"/>
      <c r="BN3475" s="205" t="n"/>
      <c r="BO3475" s="206" t="n"/>
      <c r="BP3475" s="144" t="n"/>
      <c r="BQ3475" s="141" t="n"/>
      <c r="BR3475" s="207" t="n"/>
      <c r="BS3475" s="207" t="n"/>
      <c r="BT3475" s="207" t="n"/>
      <c r="BU3475" s="207" t="n"/>
      <c r="BV3475" s="208" t="n"/>
      <c r="BW3475" s="207" t="n"/>
      <c r="BX3475" s="207" t="n"/>
      <c r="BY3475" s="204" t="n"/>
      <c r="BZ3475" s="148" t="n"/>
      <c r="CA3475" s="204" t="n"/>
      <c r="CB3475" s="208" t="n"/>
      <c r="CC3475" s="139" t="n"/>
      <c r="CD3475" s="204" t="n"/>
      <c r="CE3475" s="204" t="n"/>
      <c r="CF3475" s="207" t="n"/>
      <c r="CG3475" s="208" t="n"/>
      <c r="CH3475" s="207" t="n"/>
      <c r="CI3475" s="208" t="n"/>
      <c r="CJ3475" s="204" t="n"/>
      <c r="CK3475" s="208" t="n"/>
      <c r="CL3475" s="208" t="n"/>
      <c r="CM3475" s="208" t="n"/>
      <c r="CN3475" s="78" t="n"/>
      <c r="CO3475" s="209" t="n"/>
      <c r="CP3475" s="204" t="n"/>
      <c r="CQ3475" s="204" t="n"/>
      <c r="CR3475" s="204" t="n"/>
      <c r="CS3475" s="204" t="n"/>
      <c r="CT3475" s="204" t="n"/>
      <c r="CU3475" s="204" t="n"/>
      <c r="CV3475" s="204" t="n"/>
      <c r="CW3475" s="204" t="n"/>
    </row>
    <row r="3476">
      <c r="BF3476" s="78" t="n"/>
      <c r="BG3476" s="78" t="n"/>
      <c r="BH3476" s="78" t="n"/>
      <c r="BI3476" s="78" t="n"/>
      <c r="BJ3476" s="139" t="n"/>
      <c r="BK3476" s="204" t="n"/>
      <c r="BL3476" s="141" t="n"/>
      <c r="BM3476" s="205" t="n"/>
      <c r="BN3476" s="205" t="n"/>
      <c r="BO3476" s="206" t="n"/>
      <c r="BP3476" s="144" t="n"/>
      <c r="BQ3476" s="141" t="n"/>
      <c r="BR3476" s="207" t="n"/>
      <c r="BS3476" s="207" t="n"/>
      <c r="BT3476" s="207" t="n"/>
      <c r="BU3476" s="207" t="n"/>
      <c r="BV3476" s="208" t="n"/>
      <c r="BW3476" s="207" t="n"/>
      <c r="BX3476" s="207" t="n"/>
      <c r="BY3476" s="204" t="n"/>
      <c r="BZ3476" s="148" t="n"/>
      <c r="CA3476" s="204" t="n"/>
      <c r="CB3476" s="208" t="n"/>
      <c r="CC3476" s="139" t="n"/>
      <c r="CD3476" s="204" t="n"/>
      <c r="CE3476" s="204" t="n"/>
      <c r="CF3476" s="207" t="n"/>
      <c r="CG3476" s="208" t="n"/>
      <c r="CH3476" s="207" t="n"/>
      <c r="CI3476" s="208" t="n"/>
      <c r="CJ3476" s="204" t="n"/>
      <c r="CK3476" s="208" t="n"/>
      <c r="CL3476" s="208" t="n"/>
      <c r="CM3476" s="208" t="n"/>
      <c r="CN3476" s="78" t="n"/>
      <c r="CO3476" s="209" t="n"/>
      <c r="CP3476" s="204" t="n"/>
      <c r="CQ3476" s="204" t="n"/>
      <c r="CR3476" s="204" t="n"/>
      <c r="CS3476" s="204" t="n"/>
      <c r="CT3476" s="204" t="n"/>
      <c r="CU3476" s="204" t="n"/>
      <c r="CV3476" s="204" t="n"/>
      <c r="CW3476" s="204" t="n"/>
    </row>
    <row r="3477">
      <c r="BF3477" s="78" t="n"/>
      <c r="BG3477" s="78" t="n"/>
      <c r="BH3477" s="78" t="n"/>
      <c r="BI3477" s="78" t="n"/>
      <c r="BJ3477" s="139" t="n"/>
      <c r="BK3477" s="204" t="n"/>
      <c r="BL3477" s="141" t="n"/>
      <c r="BM3477" s="205" t="n"/>
      <c r="BN3477" s="205" t="n"/>
      <c r="BO3477" s="206" t="n"/>
      <c r="BP3477" s="144" t="n"/>
      <c r="BQ3477" s="141" t="n"/>
      <c r="BR3477" s="207" t="n"/>
      <c r="BS3477" s="207" t="n"/>
      <c r="BT3477" s="207" t="n"/>
      <c r="BU3477" s="207" t="n"/>
      <c r="BV3477" s="208" t="n"/>
      <c r="BW3477" s="207" t="n"/>
      <c r="BX3477" s="207" t="n"/>
      <c r="BY3477" s="204" t="n"/>
      <c r="BZ3477" s="148" t="n"/>
      <c r="CA3477" s="204" t="n"/>
      <c r="CB3477" s="208" t="n"/>
      <c r="CC3477" s="139" t="n"/>
      <c r="CD3477" s="204" t="n"/>
      <c r="CE3477" s="204" t="n"/>
      <c r="CF3477" s="207" t="n"/>
      <c r="CG3477" s="208" t="n"/>
      <c r="CH3477" s="207" t="n"/>
      <c r="CI3477" s="208" t="n"/>
      <c r="CJ3477" s="204" t="n"/>
      <c r="CK3477" s="208" t="n"/>
      <c r="CL3477" s="208" t="n"/>
      <c r="CM3477" s="208" t="n"/>
      <c r="CN3477" s="78" t="n"/>
      <c r="CO3477" s="209" t="n"/>
      <c r="CP3477" s="204" t="n"/>
      <c r="CQ3477" s="204" t="n"/>
      <c r="CR3477" s="204" t="n"/>
      <c r="CS3477" s="204" t="n"/>
      <c r="CT3477" s="204" t="n"/>
      <c r="CU3477" s="204" t="n"/>
      <c r="CV3477" s="204" t="n"/>
      <c r="CW3477" s="204" t="n"/>
    </row>
    <row r="3478">
      <c r="BF3478" s="78" t="n"/>
      <c r="BG3478" s="78" t="n"/>
      <c r="BH3478" s="78" t="n"/>
      <c r="BI3478" s="78" t="n"/>
      <c r="BJ3478" s="139" t="n"/>
      <c r="BK3478" s="204" t="n"/>
      <c r="BL3478" s="141" t="n"/>
      <c r="BM3478" s="205" t="n"/>
      <c r="BN3478" s="205" t="n"/>
      <c r="BO3478" s="206" t="n"/>
      <c r="BP3478" s="144" t="n"/>
      <c r="BQ3478" s="141" t="n"/>
      <c r="BR3478" s="207" t="n"/>
      <c r="BS3478" s="207" t="n"/>
      <c r="BT3478" s="207" t="n"/>
      <c r="BU3478" s="207" t="n"/>
      <c r="BV3478" s="208" t="n"/>
      <c r="BW3478" s="207" t="n"/>
      <c r="BX3478" s="207" t="n"/>
      <c r="BY3478" s="204" t="n"/>
      <c r="BZ3478" s="148" t="n"/>
      <c r="CA3478" s="204" t="n"/>
      <c r="CB3478" s="208" t="n"/>
      <c r="CC3478" s="139" t="n"/>
      <c r="CD3478" s="204" t="n"/>
      <c r="CE3478" s="204" t="n"/>
      <c r="CF3478" s="207" t="n"/>
      <c r="CG3478" s="208" t="n"/>
      <c r="CH3478" s="207" t="n"/>
      <c r="CI3478" s="208" t="n"/>
      <c r="CJ3478" s="204" t="n"/>
      <c r="CK3478" s="208" t="n"/>
      <c r="CL3478" s="208" t="n"/>
      <c r="CM3478" s="208" t="n"/>
      <c r="CN3478" s="78" t="n"/>
      <c r="CO3478" s="209" t="n"/>
      <c r="CP3478" s="204" t="n"/>
      <c r="CQ3478" s="204" t="n"/>
      <c r="CR3478" s="204" t="n"/>
      <c r="CS3478" s="204" t="n"/>
      <c r="CT3478" s="204" t="n"/>
      <c r="CU3478" s="204" t="n"/>
      <c r="CV3478" s="204" t="n"/>
      <c r="CW3478" s="204" t="n"/>
    </row>
    <row r="3479">
      <c r="BF3479" s="78" t="n"/>
      <c r="BG3479" s="78" t="n"/>
      <c r="BH3479" s="78" t="n"/>
      <c r="BI3479" s="78" t="n"/>
      <c r="BJ3479" s="139" t="n"/>
      <c r="BK3479" s="204" t="n"/>
      <c r="BL3479" s="141" t="n"/>
      <c r="BM3479" s="205" t="n"/>
      <c r="BN3479" s="205" t="n"/>
      <c r="BO3479" s="206" t="n"/>
      <c r="BP3479" s="144" t="n"/>
      <c r="BQ3479" s="141" t="n"/>
      <c r="BR3479" s="207" t="n"/>
      <c r="BS3479" s="207" t="n"/>
      <c r="BT3479" s="207" t="n"/>
      <c r="BU3479" s="207" t="n"/>
      <c r="BV3479" s="208" t="n"/>
      <c r="BW3479" s="207" t="n"/>
      <c r="BX3479" s="207" t="n"/>
      <c r="BY3479" s="204" t="n"/>
      <c r="BZ3479" s="148" t="n"/>
      <c r="CA3479" s="204" t="n"/>
      <c r="CB3479" s="208" t="n"/>
      <c r="CC3479" s="139" t="n"/>
      <c r="CD3479" s="204" t="n"/>
      <c r="CE3479" s="204" t="n"/>
      <c r="CF3479" s="207" t="n"/>
      <c r="CG3479" s="208" t="n"/>
      <c r="CH3479" s="207" t="n"/>
      <c r="CI3479" s="208" t="n"/>
      <c r="CJ3479" s="204" t="n"/>
      <c r="CK3479" s="208" t="n"/>
      <c r="CL3479" s="208" t="n"/>
      <c r="CM3479" s="208" t="n"/>
      <c r="CN3479" s="78" t="n"/>
      <c r="CO3479" s="209" t="n"/>
      <c r="CP3479" s="204" t="n"/>
      <c r="CQ3479" s="204" t="n"/>
      <c r="CR3479" s="204" t="n"/>
      <c r="CS3479" s="204" t="n"/>
      <c r="CT3479" s="204" t="n"/>
      <c r="CU3479" s="204" t="n"/>
      <c r="CV3479" s="204" t="n"/>
      <c r="CW3479" s="204" t="n"/>
    </row>
    <row r="3480">
      <c r="BF3480" s="78" t="n"/>
      <c r="BG3480" s="78" t="n"/>
      <c r="BH3480" s="78" t="n"/>
      <c r="BI3480" s="78" t="n"/>
      <c r="BJ3480" s="139" t="n"/>
      <c r="BK3480" s="204" t="n"/>
      <c r="BL3480" s="141" t="n"/>
      <c r="BM3480" s="205" t="n"/>
      <c r="BN3480" s="205" t="n"/>
      <c r="BO3480" s="206" t="n"/>
      <c r="BP3480" s="144" t="n"/>
      <c r="BQ3480" s="141" t="n"/>
      <c r="BR3480" s="207" t="n"/>
      <c r="BS3480" s="207" t="n"/>
      <c r="BT3480" s="207" t="n"/>
      <c r="BU3480" s="207" t="n"/>
      <c r="BV3480" s="208" t="n"/>
      <c r="BW3480" s="207" t="n"/>
      <c r="BX3480" s="207" t="n"/>
      <c r="BY3480" s="204" t="n"/>
      <c r="BZ3480" s="148" t="n"/>
      <c r="CA3480" s="204" t="n"/>
      <c r="CB3480" s="208" t="n"/>
      <c r="CC3480" s="139" t="n"/>
      <c r="CD3480" s="204" t="n"/>
      <c r="CE3480" s="204" t="n"/>
      <c r="CF3480" s="207" t="n"/>
      <c r="CG3480" s="208" t="n"/>
      <c r="CH3480" s="207" t="n"/>
      <c r="CI3480" s="208" t="n"/>
      <c r="CJ3480" s="204" t="n"/>
      <c r="CK3480" s="208" t="n"/>
      <c r="CL3480" s="208" t="n"/>
      <c r="CM3480" s="208" t="n"/>
      <c r="CN3480" s="78" t="n"/>
      <c r="CO3480" s="209" t="n"/>
      <c r="CP3480" s="204" t="n"/>
      <c r="CQ3480" s="204" t="n"/>
      <c r="CR3480" s="204" t="n"/>
      <c r="CS3480" s="204" t="n"/>
      <c r="CT3480" s="204" t="n"/>
      <c r="CU3480" s="204" t="n"/>
      <c r="CV3480" s="204" t="n"/>
      <c r="CW3480" s="204" t="n"/>
    </row>
    <row r="3481">
      <c r="BF3481" s="78" t="n"/>
      <c r="BG3481" s="78" t="n"/>
      <c r="BH3481" s="78" t="n"/>
      <c r="BI3481" s="78" t="n"/>
      <c r="BJ3481" s="139" t="n"/>
      <c r="BK3481" s="204" t="n"/>
      <c r="BL3481" s="141" t="n"/>
      <c r="BM3481" s="205" t="n"/>
      <c r="BN3481" s="205" t="n"/>
      <c r="BO3481" s="206" t="n"/>
      <c r="BP3481" s="144" t="n"/>
      <c r="BQ3481" s="141" t="n"/>
      <c r="BR3481" s="207" t="n"/>
      <c r="BS3481" s="207" t="n"/>
      <c r="BT3481" s="207" t="n"/>
      <c r="BU3481" s="207" t="n"/>
      <c r="BV3481" s="208" t="n"/>
      <c r="BW3481" s="207" t="n"/>
      <c r="BX3481" s="207" t="n"/>
      <c r="BY3481" s="204" t="n"/>
      <c r="BZ3481" s="148" t="n"/>
      <c r="CA3481" s="204" t="n"/>
      <c r="CB3481" s="208" t="n"/>
      <c r="CC3481" s="139" t="n"/>
      <c r="CD3481" s="204" t="n"/>
      <c r="CE3481" s="204" t="n"/>
      <c r="CF3481" s="207" t="n"/>
      <c r="CG3481" s="208" t="n"/>
      <c r="CH3481" s="207" t="n"/>
      <c r="CI3481" s="208" t="n"/>
      <c r="CJ3481" s="204" t="n"/>
      <c r="CK3481" s="208" t="n"/>
      <c r="CL3481" s="208" t="n"/>
      <c r="CM3481" s="208" t="n"/>
      <c r="CN3481" s="78" t="n"/>
      <c r="CO3481" s="209" t="n"/>
      <c r="CP3481" s="204" t="n"/>
      <c r="CQ3481" s="204" t="n"/>
      <c r="CR3481" s="204" t="n"/>
      <c r="CS3481" s="204" t="n"/>
      <c r="CT3481" s="204" t="n"/>
      <c r="CU3481" s="204" t="n"/>
      <c r="CV3481" s="204" t="n"/>
      <c r="CW3481" s="204" t="n"/>
    </row>
    <row r="3482">
      <c r="BF3482" s="78" t="n"/>
      <c r="BG3482" s="78" t="n"/>
      <c r="BH3482" s="78" t="n"/>
      <c r="BI3482" s="78" t="n"/>
      <c r="BJ3482" s="139" t="n"/>
      <c r="BK3482" s="204" t="n"/>
      <c r="BL3482" s="141" t="n"/>
      <c r="BM3482" s="205" t="n"/>
      <c r="BN3482" s="205" t="n"/>
      <c r="BO3482" s="206" t="n"/>
      <c r="BP3482" s="144" t="n"/>
      <c r="BQ3482" s="141" t="n"/>
      <c r="BR3482" s="207" t="n"/>
      <c r="BS3482" s="207" t="n"/>
      <c r="BT3482" s="207" t="n"/>
      <c r="BU3482" s="207" t="n"/>
      <c r="BV3482" s="208" t="n"/>
      <c r="BW3482" s="207" t="n"/>
      <c r="BX3482" s="207" t="n"/>
      <c r="BY3482" s="204" t="n"/>
      <c r="BZ3482" s="148" t="n"/>
      <c r="CA3482" s="204" t="n"/>
      <c r="CB3482" s="208" t="n"/>
      <c r="CC3482" s="139" t="n"/>
      <c r="CD3482" s="204" t="n"/>
      <c r="CE3482" s="204" t="n"/>
      <c r="CF3482" s="207" t="n"/>
      <c r="CG3482" s="208" t="n"/>
      <c r="CH3482" s="207" t="n"/>
      <c r="CI3482" s="208" t="n"/>
      <c r="CJ3482" s="204" t="n"/>
      <c r="CK3482" s="208" t="n"/>
      <c r="CL3482" s="208" t="n"/>
      <c r="CM3482" s="208" t="n"/>
      <c r="CN3482" s="78" t="n"/>
      <c r="CO3482" s="209" t="n"/>
      <c r="CP3482" s="204" t="n"/>
      <c r="CQ3482" s="204" t="n"/>
      <c r="CR3482" s="204" t="n"/>
      <c r="CS3482" s="204" t="n"/>
      <c r="CT3482" s="204" t="n"/>
      <c r="CU3482" s="204" t="n"/>
      <c r="CV3482" s="204" t="n"/>
      <c r="CW3482" s="204" t="n"/>
    </row>
    <row r="3483">
      <c r="BF3483" s="78" t="n"/>
      <c r="BG3483" s="78" t="n"/>
      <c r="BH3483" s="78" t="n"/>
      <c r="BI3483" s="78" t="n"/>
      <c r="BJ3483" s="139" t="n"/>
      <c r="BK3483" s="204" t="n"/>
      <c r="BL3483" s="141" t="n"/>
      <c r="BM3483" s="205" t="n"/>
      <c r="BN3483" s="205" t="n"/>
      <c r="BO3483" s="206" t="n"/>
      <c r="BP3483" s="144" t="n"/>
      <c r="BQ3483" s="141" t="n"/>
      <c r="BR3483" s="207" t="n"/>
      <c r="BS3483" s="207" t="n"/>
      <c r="BT3483" s="207" t="n"/>
      <c r="BU3483" s="207" t="n"/>
      <c r="BV3483" s="208" t="n"/>
      <c r="BW3483" s="207" t="n"/>
      <c r="BX3483" s="207" t="n"/>
      <c r="BY3483" s="204" t="n"/>
      <c r="BZ3483" s="148" t="n"/>
      <c r="CA3483" s="204" t="n"/>
      <c r="CB3483" s="208" t="n"/>
      <c r="CC3483" s="139" t="n"/>
      <c r="CD3483" s="204" t="n"/>
      <c r="CE3483" s="204" t="n"/>
      <c r="CF3483" s="207" t="n"/>
      <c r="CG3483" s="208" t="n"/>
      <c r="CH3483" s="207" t="n"/>
      <c r="CI3483" s="208" t="n"/>
      <c r="CJ3483" s="204" t="n"/>
      <c r="CK3483" s="208" t="n"/>
      <c r="CL3483" s="208" t="n"/>
      <c r="CM3483" s="208" t="n"/>
      <c r="CN3483" s="78" t="n"/>
      <c r="CO3483" s="209" t="n"/>
      <c r="CP3483" s="204" t="n"/>
      <c r="CQ3483" s="204" t="n"/>
      <c r="CR3483" s="204" t="n"/>
      <c r="CS3483" s="204" t="n"/>
      <c r="CT3483" s="204" t="n"/>
      <c r="CU3483" s="204" t="n"/>
      <c r="CV3483" s="204" t="n"/>
      <c r="CW3483" s="204" t="n"/>
    </row>
    <row r="3484">
      <c r="BF3484" s="78" t="n"/>
      <c r="BG3484" s="78" t="n"/>
      <c r="BH3484" s="78" t="n"/>
      <c r="BI3484" s="78" t="n"/>
      <c r="BJ3484" s="139" t="n"/>
      <c r="BK3484" s="204" t="n"/>
      <c r="BL3484" s="141" t="n"/>
      <c r="BM3484" s="205" t="n"/>
      <c r="BN3484" s="205" t="n"/>
      <c r="BO3484" s="206" t="n"/>
      <c r="BP3484" s="144" t="n"/>
      <c r="BQ3484" s="141" t="n"/>
      <c r="BR3484" s="207" t="n"/>
      <c r="BS3484" s="207" t="n"/>
      <c r="BT3484" s="207" t="n"/>
      <c r="BU3484" s="207" t="n"/>
      <c r="BV3484" s="208" t="n"/>
      <c r="BW3484" s="207" t="n"/>
      <c r="BX3484" s="207" t="n"/>
      <c r="BY3484" s="204" t="n"/>
      <c r="BZ3484" s="148" t="n"/>
      <c r="CA3484" s="204" t="n"/>
      <c r="CB3484" s="208" t="n"/>
      <c r="CC3484" s="139" t="n"/>
      <c r="CD3484" s="204" t="n"/>
      <c r="CE3484" s="204" t="n"/>
      <c r="CF3484" s="207" t="n"/>
      <c r="CG3484" s="208" t="n"/>
      <c r="CH3484" s="207" t="n"/>
      <c r="CI3484" s="208" t="n"/>
      <c r="CJ3484" s="204" t="n"/>
      <c r="CK3484" s="208" t="n"/>
      <c r="CL3484" s="208" t="n"/>
      <c r="CM3484" s="208" t="n"/>
      <c r="CN3484" s="78" t="n"/>
      <c r="CO3484" s="209" t="n"/>
      <c r="CP3484" s="204" t="n"/>
      <c r="CQ3484" s="204" t="n"/>
      <c r="CR3484" s="204" t="n"/>
      <c r="CS3484" s="204" t="n"/>
      <c r="CT3484" s="204" t="n"/>
      <c r="CU3484" s="204" t="n"/>
      <c r="CV3484" s="204" t="n"/>
      <c r="CW3484" s="204" t="n"/>
    </row>
    <row r="3485">
      <c r="BF3485" s="78" t="n"/>
      <c r="BG3485" s="78" t="n"/>
      <c r="BH3485" s="78" t="n"/>
      <c r="BI3485" s="78" t="n"/>
      <c r="BJ3485" s="139" t="n"/>
      <c r="BK3485" s="204" t="n"/>
      <c r="BL3485" s="141" t="n"/>
      <c r="BM3485" s="205" t="n"/>
      <c r="BN3485" s="205" t="n"/>
      <c r="BO3485" s="206" t="n"/>
      <c r="BP3485" s="144" t="n"/>
      <c r="BQ3485" s="141" t="n"/>
      <c r="BR3485" s="207" t="n"/>
      <c r="BS3485" s="207" t="n"/>
      <c r="BT3485" s="207" t="n"/>
      <c r="BU3485" s="207" t="n"/>
      <c r="BV3485" s="208" t="n"/>
      <c r="BW3485" s="207" t="n"/>
      <c r="BX3485" s="207" t="n"/>
      <c r="BY3485" s="204" t="n"/>
      <c r="BZ3485" s="148" t="n"/>
      <c r="CA3485" s="204" t="n"/>
      <c r="CB3485" s="208" t="n"/>
      <c r="CC3485" s="139" t="n"/>
      <c r="CD3485" s="204" t="n"/>
      <c r="CE3485" s="204" t="n"/>
      <c r="CF3485" s="207" t="n"/>
      <c r="CG3485" s="208" t="n"/>
      <c r="CH3485" s="207" t="n"/>
      <c r="CI3485" s="208" t="n"/>
      <c r="CJ3485" s="204" t="n"/>
      <c r="CK3485" s="208" t="n"/>
      <c r="CL3485" s="208" t="n"/>
      <c r="CM3485" s="208" t="n"/>
      <c r="CN3485" s="78" t="n"/>
      <c r="CO3485" s="209" t="n"/>
      <c r="CP3485" s="204" t="n"/>
      <c r="CQ3485" s="204" t="n"/>
      <c r="CR3485" s="204" t="n"/>
      <c r="CS3485" s="204" t="n"/>
      <c r="CT3485" s="204" t="n"/>
      <c r="CU3485" s="204" t="n"/>
      <c r="CV3485" s="204" t="n"/>
      <c r="CW3485" s="204" t="n"/>
    </row>
    <row r="3486">
      <c r="BF3486" s="78" t="n"/>
      <c r="BG3486" s="78" t="n"/>
      <c r="BH3486" s="78" t="n"/>
      <c r="BI3486" s="78" t="n"/>
      <c r="BJ3486" s="139" t="n"/>
      <c r="BK3486" s="204" t="n"/>
      <c r="BL3486" s="141" t="n"/>
      <c r="BM3486" s="205" t="n"/>
      <c r="BN3486" s="205" t="n"/>
      <c r="BO3486" s="206" t="n"/>
      <c r="BP3486" s="144" t="n"/>
      <c r="BQ3486" s="141" t="n"/>
      <c r="BR3486" s="207" t="n"/>
      <c r="BS3486" s="207" t="n"/>
      <c r="BT3486" s="207" t="n"/>
      <c r="BU3486" s="207" t="n"/>
      <c r="BV3486" s="208" t="n"/>
      <c r="BW3486" s="207" t="n"/>
      <c r="BX3486" s="207" t="n"/>
      <c r="BY3486" s="204" t="n"/>
      <c r="BZ3486" s="148" t="n"/>
      <c r="CA3486" s="204" t="n"/>
      <c r="CB3486" s="208" t="n"/>
      <c r="CC3486" s="139" t="n"/>
      <c r="CD3486" s="204" t="n"/>
      <c r="CE3486" s="204" t="n"/>
      <c r="CF3486" s="207" t="n"/>
      <c r="CG3486" s="208" t="n"/>
      <c r="CH3486" s="207" t="n"/>
      <c r="CI3486" s="208" t="n"/>
      <c r="CJ3486" s="204" t="n"/>
      <c r="CK3486" s="208" t="n"/>
      <c r="CL3486" s="208" t="n"/>
      <c r="CM3486" s="208" t="n"/>
      <c r="CN3486" s="78" t="n"/>
      <c r="CO3486" s="209" t="n"/>
      <c r="CP3486" s="204" t="n"/>
      <c r="CQ3486" s="204" t="n"/>
      <c r="CR3486" s="204" t="n"/>
      <c r="CS3486" s="204" t="n"/>
      <c r="CT3486" s="204" t="n"/>
      <c r="CU3486" s="204" t="n"/>
      <c r="CV3486" s="204" t="n"/>
      <c r="CW3486" s="204" t="n"/>
    </row>
    <row r="3487">
      <c r="BF3487" s="78" t="n"/>
      <c r="BG3487" s="78" t="n"/>
      <c r="BH3487" s="78" t="n"/>
      <c r="BI3487" s="78" t="n"/>
      <c r="BJ3487" s="139" t="n"/>
      <c r="BK3487" s="204" t="n"/>
      <c r="BL3487" s="141" t="n"/>
      <c r="BM3487" s="205" t="n"/>
      <c r="BN3487" s="205" t="n"/>
      <c r="BO3487" s="206" t="n"/>
      <c r="BP3487" s="144" t="n"/>
      <c r="BQ3487" s="141" t="n"/>
      <c r="BR3487" s="207" t="n"/>
      <c r="BS3487" s="207" t="n"/>
      <c r="BT3487" s="207" t="n"/>
      <c r="BU3487" s="207" t="n"/>
      <c r="BV3487" s="208" t="n"/>
      <c r="BW3487" s="207" t="n"/>
      <c r="BX3487" s="207" t="n"/>
      <c r="BY3487" s="204" t="n"/>
      <c r="BZ3487" s="148" t="n"/>
      <c r="CA3487" s="204" t="n"/>
      <c r="CB3487" s="208" t="n"/>
      <c r="CC3487" s="139" t="n"/>
      <c r="CD3487" s="204" t="n"/>
      <c r="CE3487" s="204" t="n"/>
      <c r="CF3487" s="207" t="n"/>
      <c r="CG3487" s="208" t="n"/>
      <c r="CH3487" s="207" t="n"/>
      <c r="CI3487" s="208" t="n"/>
      <c r="CJ3487" s="204" t="n"/>
      <c r="CK3487" s="208" t="n"/>
      <c r="CL3487" s="208" t="n"/>
      <c r="CM3487" s="208" t="n"/>
      <c r="CN3487" s="78" t="n"/>
      <c r="CO3487" s="209" t="n"/>
      <c r="CP3487" s="204" t="n"/>
      <c r="CQ3487" s="204" t="n"/>
      <c r="CR3487" s="204" t="n"/>
      <c r="CS3487" s="204" t="n"/>
      <c r="CT3487" s="204" t="n"/>
      <c r="CU3487" s="204" t="n"/>
      <c r="CV3487" s="204" t="n"/>
      <c r="CW3487" s="204" t="n"/>
    </row>
    <row r="3488">
      <c r="BF3488" s="78" t="n"/>
      <c r="BG3488" s="78" t="n"/>
      <c r="BH3488" s="78" t="n"/>
      <c r="BI3488" s="78" t="n"/>
      <c r="BJ3488" s="139" t="n"/>
      <c r="BK3488" s="204" t="n"/>
      <c r="BL3488" s="141" t="n"/>
      <c r="BM3488" s="205" t="n"/>
      <c r="BN3488" s="205" t="n"/>
      <c r="BO3488" s="206" t="n"/>
      <c r="BP3488" s="144" t="n"/>
      <c r="BQ3488" s="141" t="n"/>
      <c r="BR3488" s="207" t="n"/>
      <c r="BS3488" s="207" t="n"/>
      <c r="BT3488" s="207" t="n"/>
      <c r="BU3488" s="207" t="n"/>
      <c r="BV3488" s="208" t="n"/>
      <c r="BW3488" s="207" t="n"/>
      <c r="BX3488" s="207" t="n"/>
      <c r="BY3488" s="204" t="n"/>
      <c r="BZ3488" s="148" t="n"/>
      <c r="CA3488" s="204" t="n"/>
      <c r="CB3488" s="208" t="n"/>
      <c r="CC3488" s="139" t="n"/>
      <c r="CD3488" s="204" t="n"/>
      <c r="CE3488" s="204" t="n"/>
      <c r="CF3488" s="207" t="n"/>
      <c r="CG3488" s="208" t="n"/>
      <c r="CH3488" s="207" t="n"/>
      <c r="CI3488" s="208" t="n"/>
      <c r="CJ3488" s="204" t="n"/>
      <c r="CK3488" s="208" t="n"/>
      <c r="CL3488" s="208" t="n"/>
      <c r="CM3488" s="208" t="n"/>
      <c r="CN3488" s="78" t="n"/>
      <c r="CO3488" s="209" t="n"/>
      <c r="CP3488" s="204" t="n"/>
      <c r="CQ3488" s="204" t="n"/>
      <c r="CR3488" s="204" t="n"/>
      <c r="CS3488" s="204" t="n"/>
      <c r="CT3488" s="204" t="n"/>
      <c r="CU3488" s="204" t="n"/>
      <c r="CV3488" s="204" t="n"/>
      <c r="CW3488" s="204" t="n"/>
    </row>
    <row r="3489">
      <c r="BF3489" s="78" t="n"/>
      <c r="BG3489" s="78" t="n"/>
      <c r="BH3489" s="78" t="n"/>
      <c r="BI3489" s="78" t="n"/>
      <c r="BJ3489" s="139" t="n"/>
      <c r="BK3489" s="204" t="n"/>
      <c r="BL3489" s="141" t="n"/>
      <c r="BM3489" s="205" t="n"/>
      <c r="BN3489" s="205" t="n"/>
      <c r="BO3489" s="206" t="n"/>
      <c r="BP3489" s="144" t="n"/>
      <c r="BQ3489" s="141" t="n"/>
      <c r="BR3489" s="207" t="n"/>
      <c r="BS3489" s="207" t="n"/>
      <c r="BT3489" s="207" t="n"/>
      <c r="BU3489" s="207" t="n"/>
      <c r="BV3489" s="208" t="n"/>
      <c r="BW3489" s="207" t="n"/>
      <c r="BX3489" s="207" t="n"/>
      <c r="BY3489" s="204" t="n"/>
      <c r="BZ3489" s="148" t="n"/>
      <c r="CA3489" s="204" t="n"/>
      <c r="CB3489" s="208" t="n"/>
      <c r="CC3489" s="139" t="n"/>
      <c r="CD3489" s="204" t="n"/>
      <c r="CE3489" s="204" t="n"/>
      <c r="CF3489" s="207" t="n"/>
      <c r="CG3489" s="208" t="n"/>
      <c r="CH3489" s="207" t="n"/>
      <c r="CI3489" s="208" t="n"/>
      <c r="CJ3489" s="204" t="n"/>
      <c r="CK3489" s="208" t="n"/>
      <c r="CL3489" s="208" t="n"/>
      <c r="CM3489" s="208" t="n"/>
      <c r="CN3489" s="78" t="n"/>
      <c r="CO3489" s="209" t="n"/>
      <c r="CP3489" s="204" t="n"/>
      <c r="CQ3489" s="204" t="n"/>
      <c r="CR3489" s="204" t="n"/>
      <c r="CS3489" s="204" t="n"/>
      <c r="CT3489" s="204" t="n"/>
      <c r="CU3489" s="204" t="n"/>
      <c r="CV3489" s="204" t="n"/>
      <c r="CW3489" s="204" t="n"/>
    </row>
    <row r="3490">
      <c r="BF3490" s="78" t="n"/>
      <c r="BG3490" s="78" t="n"/>
      <c r="BH3490" s="78" t="n"/>
      <c r="BI3490" s="78" t="n"/>
      <c r="BJ3490" s="139" t="n"/>
      <c r="BK3490" s="204" t="n"/>
      <c r="BL3490" s="141" t="n"/>
      <c r="BM3490" s="205" t="n"/>
      <c r="BN3490" s="205" t="n"/>
      <c r="BO3490" s="206" t="n"/>
      <c r="BP3490" s="144" t="n"/>
      <c r="BQ3490" s="141" t="n"/>
      <c r="BR3490" s="207" t="n"/>
      <c r="BS3490" s="207" t="n"/>
      <c r="BT3490" s="207" t="n"/>
      <c r="BU3490" s="207" t="n"/>
      <c r="BV3490" s="208" t="n"/>
      <c r="BW3490" s="207" t="n"/>
      <c r="BX3490" s="207" t="n"/>
      <c r="BY3490" s="204" t="n"/>
      <c r="BZ3490" s="148" t="n"/>
      <c r="CA3490" s="204" t="n"/>
      <c r="CB3490" s="208" t="n"/>
      <c r="CC3490" s="139" t="n"/>
      <c r="CD3490" s="204" t="n"/>
      <c r="CE3490" s="204" t="n"/>
      <c r="CF3490" s="207" t="n"/>
      <c r="CG3490" s="208" t="n"/>
      <c r="CH3490" s="207" t="n"/>
      <c r="CI3490" s="208" t="n"/>
      <c r="CJ3490" s="204" t="n"/>
      <c r="CK3490" s="208" t="n"/>
      <c r="CL3490" s="208" t="n"/>
      <c r="CM3490" s="208" t="n"/>
      <c r="CN3490" s="78" t="n"/>
      <c r="CO3490" s="209" t="n"/>
      <c r="CP3490" s="204" t="n"/>
      <c r="CQ3490" s="204" t="n"/>
      <c r="CR3490" s="204" t="n"/>
      <c r="CS3490" s="204" t="n"/>
      <c r="CT3490" s="204" t="n"/>
      <c r="CU3490" s="204" t="n"/>
      <c r="CV3490" s="204" t="n"/>
      <c r="CW3490" s="204" t="n"/>
    </row>
    <row r="3491">
      <c r="BF3491" s="78" t="n"/>
      <c r="BG3491" s="78" t="n"/>
      <c r="BH3491" s="78" t="n"/>
      <c r="BI3491" s="78" t="n"/>
      <c r="BJ3491" s="139" t="n"/>
      <c r="BK3491" s="204" t="n"/>
      <c r="BL3491" s="141" t="n"/>
      <c r="BM3491" s="205" t="n"/>
      <c r="BN3491" s="205" t="n"/>
      <c r="BO3491" s="206" t="n"/>
      <c r="BP3491" s="144" t="n"/>
      <c r="BQ3491" s="141" t="n"/>
      <c r="BR3491" s="207" t="n"/>
      <c r="BS3491" s="207" t="n"/>
      <c r="BT3491" s="207" t="n"/>
      <c r="BU3491" s="207" t="n"/>
      <c r="BV3491" s="208" t="n"/>
      <c r="BW3491" s="207" t="n"/>
      <c r="BX3491" s="207" t="n"/>
      <c r="BY3491" s="204" t="n"/>
      <c r="BZ3491" s="148" t="n"/>
      <c r="CA3491" s="204" t="n"/>
      <c r="CB3491" s="208" t="n"/>
      <c r="CC3491" s="139" t="n"/>
      <c r="CD3491" s="204" t="n"/>
      <c r="CE3491" s="204" t="n"/>
      <c r="CF3491" s="207" t="n"/>
      <c r="CG3491" s="208" t="n"/>
      <c r="CH3491" s="207" t="n"/>
      <c r="CI3491" s="208" t="n"/>
      <c r="CJ3491" s="204" t="n"/>
      <c r="CK3491" s="208" t="n"/>
      <c r="CL3491" s="208" t="n"/>
      <c r="CM3491" s="208" t="n"/>
      <c r="CN3491" s="78" t="n"/>
      <c r="CO3491" s="209" t="n"/>
      <c r="CP3491" s="204" t="n"/>
      <c r="CQ3491" s="204" t="n"/>
      <c r="CR3491" s="204" t="n"/>
      <c r="CS3491" s="204" t="n"/>
      <c r="CT3491" s="204" t="n"/>
      <c r="CU3491" s="204" t="n"/>
      <c r="CV3491" s="204" t="n"/>
      <c r="CW3491" s="204" t="n"/>
    </row>
    <row r="3492">
      <c r="BF3492" s="78" t="n"/>
      <c r="BG3492" s="78" t="n"/>
      <c r="BH3492" s="78" t="n"/>
      <c r="BI3492" s="78" t="n"/>
      <c r="BJ3492" s="139" t="n"/>
      <c r="BK3492" s="204" t="n"/>
      <c r="BL3492" s="141" t="n"/>
      <c r="BM3492" s="205" t="n"/>
      <c r="BN3492" s="205" t="n"/>
      <c r="BO3492" s="206" t="n"/>
      <c r="BP3492" s="144" t="n"/>
      <c r="BQ3492" s="141" t="n"/>
      <c r="BR3492" s="207" t="n"/>
      <c r="BS3492" s="207" t="n"/>
      <c r="BT3492" s="207" t="n"/>
      <c r="BU3492" s="207" t="n"/>
      <c r="BV3492" s="208" t="n"/>
      <c r="BW3492" s="207" t="n"/>
      <c r="BX3492" s="207" t="n"/>
      <c r="BY3492" s="204" t="n"/>
      <c r="BZ3492" s="148" t="n"/>
      <c r="CA3492" s="204" t="n"/>
      <c r="CB3492" s="208" t="n"/>
      <c r="CC3492" s="139" t="n"/>
      <c r="CD3492" s="204" t="n"/>
      <c r="CE3492" s="204" t="n"/>
      <c r="CF3492" s="207" t="n"/>
      <c r="CG3492" s="208" t="n"/>
      <c r="CH3492" s="207" t="n"/>
      <c r="CI3492" s="208" t="n"/>
      <c r="CJ3492" s="204" t="n"/>
      <c r="CK3492" s="208" t="n"/>
      <c r="CL3492" s="208" t="n"/>
      <c r="CM3492" s="208" t="n"/>
      <c r="CN3492" s="78" t="n"/>
      <c r="CO3492" s="209" t="n"/>
      <c r="CP3492" s="204" t="n"/>
      <c r="CQ3492" s="204" t="n"/>
      <c r="CR3492" s="204" t="n"/>
      <c r="CS3492" s="204" t="n"/>
      <c r="CT3492" s="204" t="n"/>
      <c r="CU3492" s="204" t="n"/>
      <c r="CV3492" s="204" t="n"/>
      <c r="CW3492" s="204" t="n"/>
    </row>
    <row r="3493">
      <c r="BF3493" s="78" t="n"/>
      <c r="BG3493" s="78" t="n"/>
      <c r="BH3493" s="78" t="n"/>
      <c r="BI3493" s="78" t="n"/>
      <c r="BJ3493" s="139" t="n"/>
      <c r="BK3493" s="204" t="n"/>
      <c r="BL3493" s="141" t="n"/>
      <c r="BM3493" s="205" t="n"/>
      <c r="BN3493" s="205" t="n"/>
      <c r="BO3493" s="206" t="n"/>
      <c r="BP3493" s="144" t="n"/>
      <c r="BQ3493" s="141" t="n"/>
      <c r="BR3493" s="207" t="n"/>
      <c r="BS3493" s="207" t="n"/>
      <c r="BT3493" s="207" t="n"/>
      <c r="BU3493" s="207" t="n"/>
      <c r="BV3493" s="208" t="n"/>
      <c r="BW3493" s="207" t="n"/>
      <c r="BX3493" s="207" t="n"/>
      <c r="BY3493" s="204" t="n"/>
      <c r="BZ3493" s="148" t="n"/>
      <c r="CA3493" s="204" t="n"/>
      <c r="CB3493" s="208" t="n"/>
      <c r="CC3493" s="139" t="n"/>
      <c r="CD3493" s="204" t="n"/>
      <c r="CE3493" s="204" t="n"/>
      <c r="CF3493" s="207" t="n"/>
      <c r="CG3493" s="208" t="n"/>
      <c r="CH3493" s="207" t="n"/>
      <c r="CI3493" s="208" t="n"/>
      <c r="CJ3493" s="204" t="n"/>
      <c r="CK3493" s="208" t="n"/>
      <c r="CL3493" s="208" t="n"/>
      <c r="CM3493" s="208" t="n"/>
      <c r="CN3493" s="78" t="n"/>
      <c r="CO3493" s="209" t="n"/>
      <c r="CP3493" s="204" t="n"/>
      <c r="CQ3493" s="204" t="n"/>
      <c r="CR3493" s="204" t="n"/>
      <c r="CS3493" s="204" t="n"/>
      <c r="CT3493" s="204" t="n"/>
      <c r="CU3493" s="204" t="n"/>
      <c r="CV3493" s="204" t="n"/>
      <c r="CW3493" s="204" t="n"/>
    </row>
    <row r="3494">
      <c r="BF3494" s="78" t="n"/>
      <c r="BG3494" s="78" t="n"/>
      <c r="BH3494" s="78" t="n"/>
      <c r="BI3494" s="78" t="n"/>
      <c r="BJ3494" s="139" t="n"/>
      <c r="BK3494" s="204" t="n"/>
      <c r="BL3494" s="141" t="n"/>
      <c r="BM3494" s="205" t="n"/>
      <c r="BN3494" s="205" t="n"/>
      <c r="BO3494" s="206" t="n"/>
      <c r="BP3494" s="144" t="n"/>
      <c r="BQ3494" s="141" t="n"/>
      <c r="BR3494" s="207" t="n"/>
      <c r="BS3494" s="207" t="n"/>
      <c r="BT3494" s="207" t="n"/>
      <c r="BU3494" s="207" t="n"/>
      <c r="BV3494" s="208" t="n"/>
      <c r="BW3494" s="207" t="n"/>
      <c r="BX3494" s="207" t="n"/>
      <c r="BY3494" s="204" t="n"/>
      <c r="BZ3494" s="148" t="n"/>
      <c r="CA3494" s="204" t="n"/>
      <c r="CB3494" s="208" t="n"/>
      <c r="CC3494" s="139" t="n"/>
      <c r="CD3494" s="204" t="n"/>
      <c r="CE3494" s="204" t="n"/>
      <c r="CF3494" s="207" t="n"/>
      <c r="CG3494" s="208" t="n"/>
      <c r="CH3494" s="207" t="n"/>
      <c r="CI3494" s="208" t="n"/>
      <c r="CJ3494" s="204" t="n"/>
      <c r="CK3494" s="208" t="n"/>
      <c r="CL3494" s="208" t="n"/>
      <c r="CM3494" s="208" t="n"/>
      <c r="CN3494" s="78" t="n"/>
      <c r="CO3494" s="209" t="n"/>
      <c r="CP3494" s="204" t="n"/>
      <c r="CQ3494" s="204" t="n"/>
      <c r="CR3494" s="204" t="n"/>
      <c r="CS3494" s="204" t="n"/>
      <c r="CT3494" s="204" t="n"/>
      <c r="CU3494" s="204" t="n"/>
      <c r="CV3494" s="204" t="n"/>
      <c r="CW3494" s="204" t="n"/>
    </row>
    <row r="3495">
      <c r="BF3495" s="78" t="n"/>
      <c r="BG3495" s="78" t="n"/>
      <c r="BH3495" s="78" t="n"/>
      <c r="BI3495" s="78" t="n"/>
      <c r="BJ3495" s="139" t="n"/>
      <c r="BK3495" s="204" t="n"/>
      <c r="BL3495" s="141" t="n"/>
      <c r="BM3495" s="205" t="n"/>
      <c r="BN3495" s="205" t="n"/>
      <c r="BO3495" s="206" t="n"/>
      <c r="BP3495" s="144" t="n"/>
      <c r="BQ3495" s="141" t="n"/>
      <c r="BR3495" s="207" t="n"/>
      <c r="BS3495" s="207" t="n"/>
      <c r="BT3495" s="207" t="n"/>
      <c r="BU3495" s="207" t="n"/>
      <c r="BV3495" s="208" t="n"/>
      <c r="BW3495" s="207" t="n"/>
      <c r="BX3495" s="207" t="n"/>
      <c r="BY3495" s="204" t="n"/>
      <c r="BZ3495" s="148" t="n"/>
      <c r="CA3495" s="204" t="n"/>
      <c r="CB3495" s="208" t="n"/>
      <c r="CC3495" s="139" t="n"/>
      <c r="CD3495" s="204" t="n"/>
      <c r="CE3495" s="204" t="n"/>
      <c r="CF3495" s="207" t="n"/>
      <c r="CG3495" s="208" t="n"/>
      <c r="CH3495" s="207" t="n"/>
      <c r="CI3495" s="208" t="n"/>
      <c r="CJ3495" s="204" t="n"/>
      <c r="CK3495" s="208" t="n"/>
      <c r="CL3495" s="208" t="n"/>
      <c r="CM3495" s="208" t="n"/>
      <c r="CN3495" s="78" t="n"/>
      <c r="CO3495" s="209" t="n"/>
      <c r="CP3495" s="204" t="n"/>
      <c r="CQ3495" s="204" t="n"/>
      <c r="CR3495" s="204" t="n"/>
      <c r="CS3495" s="204" t="n"/>
      <c r="CT3495" s="204" t="n"/>
      <c r="CU3495" s="204" t="n"/>
      <c r="CV3495" s="204" t="n"/>
      <c r="CW3495" s="204" t="n"/>
    </row>
    <row r="3496">
      <c r="BF3496" s="78" t="n"/>
      <c r="BG3496" s="78" t="n"/>
      <c r="BH3496" s="78" t="n"/>
      <c r="BI3496" s="78" t="n"/>
      <c r="BJ3496" s="139" t="n"/>
      <c r="BK3496" s="204" t="n"/>
      <c r="BL3496" s="141" t="n"/>
      <c r="BM3496" s="205" t="n"/>
      <c r="BN3496" s="205" t="n"/>
      <c r="BO3496" s="206" t="n"/>
      <c r="BP3496" s="144" t="n"/>
      <c r="BQ3496" s="141" t="n"/>
      <c r="BR3496" s="207" t="n"/>
      <c r="BS3496" s="207" t="n"/>
      <c r="BT3496" s="207" t="n"/>
      <c r="BU3496" s="207" t="n"/>
      <c r="BV3496" s="208" t="n"/>
      <c r="BW3496" s="207" t="n"/>
      <c r="BX3496" s="207" t="n"/>
      <c r="BY3496" s="204" t="n"/>
      <c r="BZ3496" s="148" t="n"/>
      <c r="CA3496" s="204" t="n"/>
      <c r="CB3496" s="208" t="n"/>
      <c r="CC3496" s="139" t="n"/>
      <c r="CD3496" s="204" t="n"/>
      <c r="CE3496" s="204" t="n"/>
      <c r="CF3496" s="207" t="n"/>
      <c r="CG3496" s="208" t="n"/>
      <c r="CH3496" s="207" t="n"/>
      <c r="CI3496" s="208" t="n"/>
      <c r="CJ3496" s="204" t="n"/>
      <c r="CK3496" s="208" t="n"/>
      <c r="CL3496" s="208" t="n"/>
      <c r="CM3496" s="208" t="n"/>
      <c r="CN3496" s="78" t="n"/>
      <c r="CO3496" s="209" t="n"/>
      <c r="CP3496" s="204" t="n"/>
      <c r="CQ3496" s="204" t="n"/>
      <c r="CR3496" s="204" t="n"/>
      <c r="CS3496" s="204" t="n"/>
      <c r="CT3496" s="204" t="n"/>
      <c r="CU3496" s="204" t="n"/>
      <c r="CV3496" s="204" t="n"/>
      <c r="CW3496" s="204" t="n"/>
    </row>
    <row r="3497">
      <c r="BF3497" s="78" t="n"/>
      <c r="BG3497" s="78" t="n"/>
      <c r="BH3497" s="78" t="n"/>
      <c r="BI3497" s="78" t="n"/>
      <c r="BJ3497" s="139" t="n"/>
      <c r="BK3497" s="204" t="n"/>
      <c r="BL3497" s="141" t="n"/>
      <c r="BM3497" s="205" t="n"/>
      <c r="BN3497" s="205" t="n"/>
      <c r="BO3497" s="206" t="n"/>
      <c r="BP3497" s="144" t="n"/>
      <c r="BQ3497" s="141" t="n"/>
      <c r="BR3497" s="207" t="n"/>
      <c r="BS3497" s="207" t="n"/>
      <c r="BT3497" s="207" t="n"/>
      <c r="BU3497" s="207" t="n"/>
      <c r="BV3497" s="208" t="n"/>
      <c r="BW3497" s="207" t="n"/>
      <c r="BX3497" s="207" t="n"/>
      <c r="BY3497" s="204" t="n"/>
      <c r="BZ3497" s="148" t="n"/>
      <c r="CA3497" s="204" t="n"/>
      <c r="CB3497" s="208" t="n"/>
      <c r="CC3497" s="139" t="n"/>
      <c r="CD3497" s="204" t="n"/>
      <c r="CE3497" s="204" t="n"/>
      <c r="CF3497" s="207" t="n"/>
      <c r="CG3497" s="208" t="n"/>
      <c r="CH3497" s="207" t="n"/>
      <c r="CI3497" s="208" t="n"/>
      <c r="CJ3497" s="204" t="n"/>
      <c r="CK3497" s="208" t="n"/>
      <c r="CL3497" s="208" t="n"/>
      <c r="CM3497" s="208" t="n"/>
      <c r="CN3497" s="78" t="n"/>
      <c r="CO3497" s="209" t="n"/>
      <c r="CP3497" s="204" t="n"/>
      <c r="CQ3497" s="204" t="n"/>
      <c r="CR3497" s="204" t="n"/>
      <c r="CS3497" s="204" t="n"/>
      <c r="CT3497" s="204" t="n"/>
      <c r="CU3497" s="204" t="n"/>
      <c r="CV3497" s="204" t="n"/>
      <c r="CW3497" s="204" t="n"/>
    </row>
    <row r="3498">
      <c r="BF3498" s="78" t="n"/>
      <c r="BG3498" s="78" t="n"/>
      <c r="BH3498" s="78" t="n"/>
      <c r="BI3498" s="78" t="n"/>
      <c r="BJ3498" s="139" t="n"/>
      <c r="BK3498" s="204" t="n"/>
      <c r="BL3498" s="141" t="n"/>
      <c r="BM3498" s="205" t="n"/>
      <c r="BN3498" s="205" t="n"/>
      <c r="BO3498" s="206" t="n"/>
      <c r="BP3498" s="144" t="n"/>
      <c r="BQ3498" s="141" t="n"/>
      <c r="BR3498" s="207" t="n"/>
      <c r="BS3498" s="207" t="n"/>
      <c r="BT3498" s="207" t="n"/>
      <c r="BU3498" s="207" t="n"/>
      <c r="BV3498" s="208" t="n"/>
      <c r="BW3498" s="207" t="n"/>
      <c r="BX3498" s="207" t="n"/>
      <c r="BY3498" s="204" t="n"/>
      <c r="BZ3498" s="148" t="n"/>
      <c r="CA3498" s="204" t="n"/>
      <c r="CB3498" s="208" t="n"/>
      <c r="CC3498" s="139" t="n"/>
      <c r="CD3498" s="204" t="n"/>
      <c r="CE3498" s="204" t="n"/>
      <c r="CF3498" s="207" t="n"/>
      <c r="CG3498" s="208" t="n"/>
      <c r="CH3498" s="207" t="n"/>
      <c r="CI3498" s="208" t="n"/>
      <c r="CJ3498" s="204" t="n"/>
      <c r="CK3498" s="208" t="n"/>
      <c r="CL3498" s="208" t="n"/>
      <c r="CM3498" s="208" t="n"/>
      <c r="CN3498" s="78" t="n"/>
      <c r="CO3498" s="209" t="n"/>
      <c r="CP3498" s="204" t="n"/>
      <c r="CQ3498" s="204" t="n"/>
      <c r="CR3498" s="204" t="n"/>
      <c r="CS3498" s="204" t="n"/>
      <c r="CT3498" s="204" t="n"/>
      <c r="CU3498" s="204" t="n"/>
      <c r="CV3498" s="204" t="n"/>
      <c r="CW3498" s="204" t="n"/>
    </row>
    <row r="3499">
      <c r="BF3499" s="78" t="n"/>
      <c r="BG3499" s="78" t="n"/>
      <c r="BH3499" s="78" t="n"/>
      <c r="BI3499" s="78" t="n"/>
      <c r="BJ3499" s="139" t="n"/>
      <c r="BK3499" s="204" t="n"/>
      <c r="BL3499" s="141" t="n"/>
      <c r="BM3499" s="205" t="n"/>
      <c r="BN3499" s="205" t="n"/>
      <c r="BO3499" s="206" t="n"/>
      <c r="BP3499" s="144" t="n"/>
      <c r="BQ3499" s="141" t="n"/>
      <c r="BR3499" s="207" t="n"/>
      <c r="BS3499" s="207" t="n"/>
      <c r="BT3499" s="207" t="n"/>
      <c r="BU3499" s="207" t="n"/>
      <c r="BV3499" s="208" t="n"/>
      <c r="BW3499" s="207" t="n"/>
      <c r="BX3499" s="207" t="n"/>
      <c r="BY3499" s="204" t="n"/>
      <c r="BZ3499" s="148" t="n"/>
      <c r="CA3499" s="204" t="n"/>
      <c r="CB3499" s="208" t="n"/>
      <c r="CC3499" s="139" t="n"/>
      <c r="CD3499" s="204" t="n"/>
      <c r="CE3499" s="204" t="n"/>
      <c r="CF3499" s="207" t="n"/>
      <c r="CG3499" s="208" t="n"/>
      <c r="CH3499" s="207" t="n"/>
      <c r="CI3499" s="208" t="n"/>
      <c r="CJ3499" s="204" t="n"/>
      <c r="CK3499" s="208" t="n"/>
      <c r="CL3499" s="208" t="n"/>
      <c r="CM3499" s="208" t="n"/>
      <c r="CN3499" s="78" t="n"/>
      <c r="CO3499" s="209" t="n"/>
      <c r="CP3499" s="204" t="n"/>
      <c r="CQ3499" s="204" t="n"/>
      <c r="CR3499" s="204" t="n"/>
      <c r="CS3499" s="204" t="n"/>
      <c r="CT3499" s="204" t="n"/>
      <c r="CU3499" s="204" t="n"/>
      <c r="CV3499" s="204" t="n"/>
      <c r="CW3499" s="204" t="n"/>
    </row>
    <row r="3500">
      <c r="BF3500" s="78" t="n"/>
      <c r="BG3500" s="78" t="n"/>
      <c r="BH3500" s="78" t="n"/>
      <c r="BI3500" s="78" t="n"/>
      <c r="BJ3500" s="139" t="n"/>
      <c r="BK3500" s="204" t="n"/>
      <c r="BL3500" s="141" t="n"/>
      <c r="BM3500" s="205" t="n"/>
      <c r="BN3500" s="205" t="n"/>
      <c r="BO3500" s="206" t="n"/>
      <c r="BP3500" s="144" t="n"/>
      <c r="BQ3500" s="141" t="n"/>
      <c r="BR3500" s="207" t="n"/>
      <c r="BS3500" s="207" t="n"/>
      <c r="BT3500" s="207" t="n"/>
      <c r="BU3500" s="207" t="n"/>
      <c r="BV3500" s="208" t="n"/>
      <c r="BW3500" s="207" t="n"/>
      <c r="BX3500" s="207" t="n"/>
      <c r="BY3500" s="204" t="n"/>
      <c r="BZ3500" s="148" t="n"/>
      <c r="CA3500" s="204" t="n"/>
      <c r="CB3500" s="208" t="n"/>
      <c r="CC3500" s="139" t="n"/>
      <c r="CD3500" s="204" t="n"/>
      <c r="CE3500" s="204" t="n"/>
      <c r="CF3500" s="207" t="n"/>
      <c r="CG3500" s="208" t="n"/>
      <c r="CH3500" s="207" t="n"/>
      <c r="CI3500" s="208" t="n"/>
      <c r="CJ3500" s="204" t="n"/>
      <c r="CK3500" s="208" t="n"/>
      <c r="CL3500" s="208" t="n"/>
      <c r="CM3500" s="208" t="n"/>
      <c r="CN3500" s="78" t="n"/>
      <c r="CO3500" s="209" t="n"/>
      <c r="CP3500" s="204" t="n"/>
      <c r="CQ3500" s="204" t="n"/>
      <c r="CR3500" s="204" t="n"/>
      <c r="CS3500" s="204" t="n"/>
      <c r="CT3500" s="204" t="n"/>
      <c r="CU3500" s="204" t="n"/>
      <c r="CV3500" s="204" t="n"/>
      <c r="CW3500" s="204" t="n"/>
    </row>
    <row r="3501">
      <c r="BF3501" s="78" t="n"/>
      <c r="BG3501" s="78" t="n"/>
      <c r="BH3501" s="78" t="n"/>
      <c r="BI3501" s="78" t="n"/>
      <c r="BJ3501" s="139" t="n"/>
      <c r="BK3501" s="204" t="n"/>
      <c r="BL3501" s="141" t="n"/>
      <c r="BM3501" s="205" t="n"/>
      <c r="BN3501" s="205" t="n"/>
      <c r="BO3501" s="206" t="n"/>
      <c r="BP3501" s="144" t="n"/>
      <c r="BQ3501" s="141" t="n"/>
      <c r="BR3501" s="207" t="n"/>
      <c r="BS3501" s="207" t="n"/>
      <c r="BT3501" s="207" t="n"/>
      <c r="BU3501" s="207" t="n"/>
      <c r="BV3501" s="208" t="n"/>
      <c r="BW3501" s="207" t="n"/>
      <c r="BX3501" s="207" t="n"/>
      <c r="BY3501" s="204" t="n"/>
      <c r="BZ3501" s="148" t="n"/>
      <c r="CA3501" s="204" t="n"/>
      <c r="CB3501" s="208" t="n"/>
      <c r="CC3501" s="139" t="n"/>
      <c r="CD3501" s="204" t="n"/>
      <c r="CE3501" s="204" t="n"/>
      <c r="CF3501" s="207" t="n"/>
      <c r="CG3501" s="208" t="n"/>
      <c r="CH3501" s="207" t="n"/>
      <c r="CI3501" s="208" t="n"/>
      <c r="CJ3501" s="204" t="n"/>
      <c r="CK3501" s="208" t="n"/>
      <c r="CL3501" s="208" t="n"/>
      <c r="CM3501" s="208" t="n"/>
      <c r="CN3501" s="78" t="n"/>
      <c r="CO3501" s="209" t="n"/>
      <c r="CP3501" s="204" t="n"/>
      <c r="CQ3501" s="204" t="n"/>
      <c r="CR3501" s="204" t="n"/>
      <c r="CS3501" s="204" t="n"/>
      <c r="CT3501" s="204" t="n"/>
      <c r="CU3501" s="204" t="n"/>
      <c r="CV3501" s="204" t="n"/>
      <c r="CW3501" s="204" t="n"/>
    </row>
    <row r="3502">
      <c r="BF3502" s="78" t="n"/>
      <c r="BG3502" s="78" t="n"/>
      <c r="BH3502" s="78" t="n"/>
      <c r="BI3502" s="78" t="n"/>
      <c r="BJ3502" s="139" t="n"/>
      <c r="BK3502" s="204" t="n"/>
      <c r="BL3502" s="141" t="n"/>
      <c r="BM3502" s="205" t="n"/>
      <c r="BN3502" s="205" t="n"/>
      <c r="BO3502" s="206" t="n"/>
      <c r="BP3502" s="144" t="n"/>
      <c r="BQ3502" s="141" t="n"/>
      <c r="BR3502" s="207" t="n"/>
      <c r="BS3502" s="207" t="n"/>
      <c r="BT3502" s="207" t="n"/>
      <c r="BU3502" s="207" t="n"/>
      <c r="BV3502" s="208" t="n"/>
      <c r="BW3502" s="207" t="n"/>
      <c r="BX3502" s="207" t="n"/>
      <c r="BY3502" s="204" t="n"/>
      <c r="BZ3502" s="148" t="n"/>
      <c r="CA3502" s="204" t="n"/>
      <c r="CB3502" s="208" t="n"/>
      <c r="CC3502" s="139" t="n"/>
      <c r="CD3502" s="204" t="n"/>
      <c r="CE3502" s="204" t="n"/>
      <c r="CF3502" s="207" t="n"/>
      <c r="CG3502" s="208" t="n"/>
      <c r="CH3502" s="207" t="n"/>
      <c r="CI3502" s="208" t="n"/>
      <c r="CJ3502" s="204" t="n"/>
      <c r="CK3502" s="208" t="n"/>
      <c r="CL3502" s="208" t="n"/>
      <c r="CM3502" s="208" t="n"/>
      <c r="CN3502" s="78" t="n"/>
      <c r="CO3502" s="209" t="n"/>
      <c r="CP3502" s="204" t="n"/>
      <c r="CQ3502" s="204" t="n"/>
      <c r="CR3502" s="204" t="n"/>
      <c r="CS3502" s="204" t="n"/>
      <c r="CT3502" s="204" t="n"/>
      <c r="CU3502" s="204" t="n"/>
      <c r="CV3502" s="204" t="n"/>
      <c r="CW3502" s="204" t="n"/>
    </row>
    <row r="3503">
      <c r="BF3503" s="78" t="n"/>
      <c r="BG3503" s="78" t="n"/>
      <c r="BH3503" s="78" t="n"/>
      <c r="BI3503" s="78" t="n"/>
      <c r="BJ3503" s="139" t="n"/>
      <c r="BK3503" s="204" t="n"/>
      <c r="BL3503" s="141" t="n"/>
      <c r="BM3503" s="205" t="n"/>
      <c r="BN3503" s="205" t="n"/>
      <c r="BO3503" s="206" t="n"/>
      <c r="BP3503" s="144" t="n"/>
      <c r="BQ3503" s="141" t="n"/>
      <c r="BR3503" s="207" t="n"/>
      <c r="BS3503" s="207" t="n"/>
      <c r="BT3503" s="207" t="n"/>
      <c r="BU3503" s="207" t="n"/>
      <c r="BV3503" s="208" t="n"/>
      <c r="BW3503" s="207" t="n"/>
      <c r="BX3503" s="207" t="n"/>
      <c r="BY3503" s="204" t="n"/>
      <c r="BZ3503" s="148" t="n"/>
      <c r="CA3503" s="204" t="n"/>
      <c r="CB3503" s="208" t="n"/>
      <c r="CC3503" s="139" t="n"/>
      <c r="CD3503" s="204" t="n"/>
      <c r="CE3503" s="204" t="n"/>
      <c r="CF3503" s="207" t="n"/>
      <c r="CG3503" s="208" t="n"/>
      <c r="CH3503" s="207" t="n"/>
      <c r="CI3503" s="208" t="n"/>
      <c r="CJ3503" s="204" t="n"/>
      <c r="CK3503" s="208" t="n"/>
      <c r="CL3503" s="208" t="n"/>
      <c r="CM3503" s="208" t="n"/>
      <c r="CN3503" s="78" t="n"/>
      <c r="CO3503" s="209" t="n"/>
      <c r="CP3503" s="204" t="n"/>
      <c r="CQ3503" s="204" t="n"/>
      <c r="CR3503" s="204" t="n"/>
      <c r="CS3503" s="204" t="n"/>
      <c r="CT3503" s="204" t="n"/>
      <c r="CU3503" s="204" t="n"/>
      <c r="CV3503" s="204" t="n"/>
      <c r="CW3503" s="204" t="n"/>
    </row>
    <row r="3504">
      <c r="BF3504" s="78" t="n"/>
      <c r="BG3504" s="78" t="n"/>
      <c r="BH3504" s="78" t="n"/>
      <c r="BI3504" s="78" t="n"/>
      <c r="BJ3504" s="139" t="n"/>
      <c r="BK3504" s="204" t="n"/>
      <c r="BL3504" s="141" t="n"/>
      <c r="BM3504" s="205" t="n"/>
      <c r="BN3504" s="205" t="n"/>
      <c r="BO3504" s="206" t="n"/>
      <c r="BP3504" s="144" t="n"/>
      <c r="BQ3504" s="141" t="n"/>
      <c r="BR3504" s="207" t="n"/>
      <c r="BS3504" s="207" t="n"/>
      <c r="BT3504" s="207" t="n"/>
      <c r="BU3504" s="207" t="n"/>
      <c r="BV3504" s="208" t="n"/>
      <c r="BW3504" s="207" t="n"/>
      <c r="BX3504" s="207" t="n"/>
      <c r="BY3504" s="204" t="n"/>
      <c r="BZ3504" s="148" t="n"/>
      <c r="CA3504" s="204" t="n"/>
      <c r="CB3504" s="208" t="n"/>
      <c r="CC3504" s="139" t="n"/>
      <c r="CD3504" s="204" t="n"/>
      <c r="CE3504" s="204" t="n"/>
      <c r="CF3504" s="207" t="n"/>
      <c r="CG3504" s="208" t="n"/>
      <c r="CH3504" s="207" t="n"/>
      <c r="CI3504" s="208" t="n"/>
      <c r="CJ3504" s="204" t="n"/>
      <c r="CK3504" s="208" t="n"/>
      <c r="CL3504" s="208" t="n"/>
      <c r="CM3504" s="208" t="n"/>
      <c r="CN3504" s="78" t="n"/>
      <c r="CO3504" s="209" t="n"/>
      <c r="CP3504" s="204" t="n"/>
      <c r="CQ3504" s="204" t="n"/>
      <c r="CR3504" s="204" t="n"/>
      <c r="CS3504" s="204" t="n"/>
      <c r="CT3504" s="204" t="n"/>
      <c r="CU3504" s="204" t="n"/>
      <c r="CV3504" s="204" t="n"/>
      <c r="CW3504" s="204" t="n"/>
    </row>
    <row r="3505">
      <c r="BF3505" s="78" t="n"/>
      <c r="BG3505" s="78" t="n"/>
      <c r="BH3505" s="78" t="n"/>
      <c r="BI3505" s="78" t="n"/>
      <c r="BJ3505" s="139" t="n"/>
      <c r="BK3505" s="204" t="n"/>
      <c r="BL3505" s="141" t="n"/>
      <c r="BM3505" s="205" t="n"/>
      <c r="BN3505" s="205" t="n"/>
      <c r="BO3505" s="206" t="n"/>
      <c r="BP3505" s="144" t="n"/>
      <c r="BQ3505" s="141" t="n"/>
      <c r="BR3505" s="207" t="n"/>
      <c r="BS3505" s="207" t="n"/>
      <c r="BT3505" s="207" t="n"/>
      <c r="BU3505" s="207" t="n"/>
      <c r="BV3505" s="208" t="n"/>
      <c r="BW3505" s="207" t="n"/>
      <c r="BX3505" s="207" t="n"/>
      <c r="BY3505" s="204" t="n"/>
      <c r="BZ3505" s="148" t="n"/>
      <c r="CA3505" s="204" t="n"/>
      <c r="CB3505" s="208" t="n"/>
      <c r="CC3505" s="139" t="n"/>
      <c r="CD3505" s="204" t="n"/>
      <c r="CE3505" s="204" t="n"/>
      <c r="CF3505" s="207" t="n"/>
      <c r="CG3505" s="208" t="n"/>
      <c r="CH3505" s="207" t="n"/>
      <c r="CI3505" s="208" t="n"/>
      <c r="CJ3505" s="204" t="n"/>
      <c r="CK3505" s="208" t="n"/>
      <c r="CL3505" s="208" t="n"/>
      <c r="CM3505" s="208" t="n"/>
      <c r="CN3505" s="78" t="n"/>
      <c r="CO3505" s="209" t="n"/>
      <c r="CP3505" s="204" t="n"/>
      <c r="CQ3505" s="204" t="n"/>
      <c r="CR3505" s="204" t="n"/>
      <c r="CS3505" s="204" t="n"/>
      <c r="CT3505" s="204" t="n"/>
      <c r="CU3505" s="204" t="n"/>
      <c r="CV3505" s="204" t="n"/>
      <c r="CW3505" s="204" t="n"/>
    </row>
    <row r="3506">
      <c r="BF3506" s="78" t="n"/>
      <c r="BG3506" s="78" t="n"/>
      <c r="BH3506" s="78" t="n"/>
      <c r="BI3506" s="78" t="n"/>
      <c r="BJ3506" s="139" t="n"/>
      <c r="BK3506" s="204" t="n"/>
      <c r="BL3506" s="141" t="n"/>
      <c r="BM3506" s="205" t="n"/>
      <c r="BN3506" s="205" t="n"/>
      <c r="BO3506" s="206" t="n"/>
      <c r="BP3506" s="144" t="n"/>
      <c r="BQ3506" s="141" t="n"/>
      <c r="BR3506" s="207" t="n"/>
      <c r="BS3506" s="207" t="n"/>
      <c r="BT3506" s="207" t="n"/>
      <c r="BU3506" s="207" t="n"/>
      <c r="BV3506" s="208" t="n"/>
      <c r="BW3506" s="207" t="n"/>
      <c r="BX3506" s="207" t="n"/>
      <c r="BY3506" s="204" t="n"/>
      <c r="BZ3506" s="148" t="n"/>
      <c r="CA3506" s="204" t="n"/>
      <c r="CB3506" s="208" t="n"/>
      <c r="CC3506" s="139" t="n"/>
      <c r="CD3506" s="204" t="n"/>
      <c r="CE3506" s="204" t="n"/>
      <c r="CF3506" s="207" t="n"/>
      <c r="CG3506" s="208" t="n"/>
      <c r="CH3506" s="207" t="n"/>
      <c r="CI3506" s="208" t="n"/>
      <c r="CJ3506" s="204" t="n"/>
      <c r="CK3506" s="208" t="n"/>
      <c r="CL3506" s="208" t="n"/>
      <c r="CM3506" s="208" t="n"/>
      <c r="CN3506" s="78" t="n"/>
      <c r="CO3506" s="209" t="n"/>
      <c r="CP3506" s="204" t="n"/>
      <c r="CQ3506" s="204" t="n"/>
      <c r="CR3506" s="204" t="n"/>
      <c r="CS3506" s="204" t="n"/>
      <c r="CT3506" s="204" t="n"/>
      <c r="CU3506" s="204" t="n"/>
      <c r="CV3506" s="204" t="n"/>
      <c r="CW3506" s="204" t="n"/>
    </row>
    <row r="3507">
      <c r="BF3507" s="78" t="n"/>
      <c r="BG3507" s="78" t="n"/>
      <c r="BH3507" s="78" t="n"/>
      <c r="BI3507" s="78" t="n"/>
      <c r="BJ3507" s="139" t="n"/>
      <c r="BK3507" s="204" t="n"/>
      <c r="BL3507" s="141" t="n"/>
      <c r="BM3507" s="205" t="n"/>
      <c r="BN3507" s="205" t="n"/>
      <c r="BO3507" s="206" t="n"/>
      <c r="BP3507" s="144" t="n"/>
      <c r="BQ3507" s="141" t="n"/>
      <c r="BR3507" s="207" t="n"/>
      <c r="BS3507" s="207" t="n"/>
      <c r="BT3507" s="207" t="n"/>
      <c r="BU3507" s="207" t="n"/>
      <c r="BV3507" s="208" t="n"/>
      <c r="BW3507" s="207" t="n"/>
      <c r="BX3507" s="207" t="n"/>
      <c r="BY3507" s="204" t="n"/>
      <c r="BZ3507" s="148" t="n"/>
      <c r="CA3507" s="204" t="n"/>
      <c r="CB3507" s="208" t="n"/>
      <c r="CC3507" s="139" t="n"/>
      <c r="CD3507" s="204" t="n"/>
      <c r="CE3507" s="204" t="n"/>
      <c r="CF3507" s="207" t="n"/>
      <c r="CG3507" s="208" t="n"/>
      <c r="CH3507" s="207" t="n"/>
      <c r="CI3507" s="208" t="n"/>
      <c r="CJ3507" s="204" t="n"/>
      <c r="CK3507" s="208" t="n"/>
      <c r="CL3507" s="208" t="n"/>
      <c r="CM3507" s="208" t="n"/>
      <c r="CN3507" s="78" t="n"/>
      <c r="CO3507" s="209" t="n"/>
      <c r="CP3507" s="204" t="n"/>
      <c r="CQ3507" s="204" t="n"/>
      <c r="CR3507" s="204" t="n"/>
      <c r="CS3507" s="204" t="n"/>
      <c r="CT3507" s="204" t="n"/>
      <c r="CU3507" s="204" t="n"/>
      <c r="CV3507" s="204" t="n"/>
      <c r="CW3507" s="204" t="n"/>
    </row>
    <row r="3508">
      <c r="BF3508" s="78" t="n"/>
      <c r="BG3508" s="78" t="n"/>
      <c r="BH3508" s="78" t="n"/>
      <c r="BI3508" s="78" t="n"/>
      <c r="BJ3508" s="139" t="n"/>
      <c r="BK3508" s="204" t="n"/>
      <c r="BL3508" s="141" t="n"/>
      <c r="BM3508" s="205" t="n"/>
      <c r="BN3508" s="205" t="n"/>
      <c r="BO3508" s="206" t="n"/>
      <c r="BP3508" s="144" t="n"/>
      <c r="BQ3508" s="141" t="n"/>
      <c r="BR3508" s="207" t="n"/>
      <c r="BS3508" s="207" t="n"/>
      <c r="BT3508" s="207" t="n"/>
      <c r="BU3508" s="207" t="n"/>
      <c r="BV3508" s="208" t="n"/>
      <c r="BW3508" s="207" t="n"/>
      <c r="BX3508" s="207" t="n"/>
      <c r="BY3508" s="204" t="n"/>
      <c r="BZ3508" s="148" t="n"/>
      <c r="CA3508" s="204" t="n"/>
      <c r="CB3508" s="208" t="n"/>
      <c r="CC3508" s="139" t="n"/>
      <c r="CD3508" s="204" t="n"/>
      <c r="CE3508" s="204" t="n"/>
      <c r="CF3508" s="207" t="n"/>
      <c r="CG3508" s="208" t="n"/>
      <c r="CH3508" s="207" t="n"/>
      <c r="CI3508" s="208" t="n"/>
      <c r="CJ3508" s="204" t="n"/>
      <c r="CK3508" s="208" t="n"/>
      <c r="CL3508" s="208" t="n"/>
      <c r="CM3508" s="208" t="n"/>
      <c r="CN3508" s="78" t="n"/>
      <c r="CO3508" s="209" t="n"/>
      <c r="CP3508" s="204" t="n"/>
      <c r="CQ3508" s="204" t="n"/>
      <c r="CR3508" s="204" t="n"/>
      <c r="CS3508" s="204" t="n"/>
      <c r="CT3508" s="204" t="n"/>
      <c r="CU3508" s="204" t="n"/>
      <c r="CV3508" s="204" t="n"/>
      <c r="CW3508" s="204" t="n"/>
    </row>
    <row r="3509">
      <c r="BF3509" s="78" t="n"/>
      <c r="BG3509" s="78" t="n"/>
      <c r="BH3509" s="78" t="n"/>
      <c r="BI3509" s="78" t="n"/>
      <c r="BJ3509" s="139" t="n"/>
      <c r="BK3509" s="204" t="n"/>
      <c r="BL3509" s="141" t="n"/>
      <c r="BM3509" s="205" t="n"/>
      <c r="BN3509" s="205" t="n"/>
      <c r="BO3509" s="206" t="n"/>
      <c r="BP3509" s="144" t="n"/>
      <c r="BQ3509" s="141" t="n"/>
      <c r="BR3509" s="207" t="n"/>
      <c r="BS3509" s="207" t="n"/>
      <c r="BT3509" s="207" t="n"/>
      <c r="BU3509" s="207" t="n"/>
      <c r="BV3509" s="208" t="n"/>
      <c r="BW3509" s="207" t="n"/>
      <c r="BX3509" s="207" t="n"/>
      <c r="BY3509" s="204" t="n"/>
      <c r="BZ3509" s="148" t="n"/>
      <c r="CA3509" s="204" t="n"/>
      <c r="CB3509" s="208" t="n"/>
      <c r="CC3509" s="139" t="n"/>
      <c r="CD3509" s="204" t="n"/>
      <c r="CE3509" s="204" t="n"/>
      <c r="CF3509" s="207" t="n"/>
      <c r="CG3509" s="208" t="n"/>
      <c r="CH3509" s="207" t="n"/>
      <c r="CI3509" s="208" t="n"/>
      <c r="CJ3509" s="204" t="n"/>
      <c r="CK3509" s="208" t="n"/>
      <c r="CL3509" s="208" t="n"/>
      <c r="CM3509" s="208" t="n"/>
      <c r="CN3509" s="78" t="n"/>
      <c r="CO3509" s="209" t="n"/>
      <c r="CP3509" s="204" t="n"/>
      <c r="CQ3509" s="204" t="n"/>
      <c r="CR3509" s="204" t="n"/>
      <c r="CS3509" s="204" t="n"/>
      <c r="CT3509" s="204" t="n"/>
      <c r="CU3509" s="204" t="n"/>
      <c r="CV3509" s="204" t="n"/>
      <c r="CW3509" s="204" t="n"/>
    </row>
    <row r="3510">
      <c r="BF3510" s="78" t="n"/>
      <c r="BG3510" s="78" t="n"/>
      <c r="BH3510" s="78" t="n"/>
      <c r="BI3510" s="78" t="n"/>
      <c r="BJ3510" s="139" t="n"/>
      <c r="BK3510" s="204" t="n"/>
      <c r="BL3510" s="141" t="n"/>
      <c r="BM3510" s="205" t="n"/>
      <c r="BN3510" s="205" t="n"/>
      <c r="BO3510" s="206" t="n"/>
      <c r="BP3510" s="144" t="n"/>
      <c r="BQ3510" s="141" t="n"/>
      <c r="BR3510" s="207" t="n"/>
      <c r="BS3510" s="207" t="n"/>
      <c r="BT3510" s="207" t="n"/>
      <c r="BU3510" s="207" t="n"/>
      <c r="BV3510" s="208" t="n"/>
      <c r="BW3510" s="207" t="n"/>
      <c r="BX3510" s="207" t="n"/>
      <c r="BY3510" s="204" t="n"/>
      <c r="BZ3510" s="148" t="n"/>
      <c r="CA3510" s="204" t="n"/>
      <c r="CB3510" s="208" t="n"/>
      <c r="CC3510" s="139" t="n"/>
      <c r="CD3510" s="204" t="n"/>
      <c r="CE3510" s="204" t="n"/>
      <c r="CF3510" s="207" t="n"/>
      <c r="CG3510" s="208" t="n"/>
      <c r="CH3510" s="207" t="n"/>
      <c r="CI3510" s="208" t="n"/>
      <c r="CJ3510" s="204" t="n"/>
      <c r="CK3510" s="208" t="n"/>
      <c r="CL3510" s="208" t="n"/>
      <c r="CM3510" s="208" t="n"/>
      <c r="CN3510" s="78" t="n"/>
      <c r="CO3510" s="209" t="n"/>
      <c r="CP3510" s="204" t="n"/>
      <c r="CQ3510" s="204" t="n"/>
      <c r="CR3510" s="204" t="n"/>
      <c r="CS3510" s="204" t="n"/>
      <c r="CT3510" s="204" t="n"/>
      <c r="CU3510" s="204" t="n"/>
      <c r="CV3510" s="204" t="n"/>
      <c r="CW3510" s="204" t="n"/>
    </row>
    <row r="3511">
      <c r="BF3511" s="78" t="n"/>
      <c r="BG3511" s="78" t="n"/>
      <c r="BH3511" s="78" t="n"/>
      <c r="BI3511" s="78" t="n"/>
      <c r="BJ3511" s="139" t="n"/>
      <c r="BK3511" s="204" t="n"/>
      <c r="BL3511" s="141" t="n"/>
      <c r="BM3511" s="205" t="n"/>
      <c r="BN3511" s="205" t="n"/>
      <c r="BO3511" s="206" t="n"/>
      <c r="BP3511" s="144" t="n"/>
      <c r="BQ3511" s="141" t="n"/>
      <c r="BR3511" s="207" t="n"/>
      <c r="BS3511" s="207" t="n"/>
      <c r="BT3511" s="207" t="n"/>
      <c r="BU3511" s="207" t="n"/>
      <c r="BV3511" s="208" t="n"/>
      <c r="BW3511" s="207" t="n"/>
      <c r="BX3511" s="207" t="n"/>
      <c r="BY3511" s="204" t="n"/>
      <c r="BZ3511" s="148" t="n"/>
      <c r="CA3511" s="204" t="n"/>
      <c r="CB3511" s="208" t="n"/>
      <c r="CC3511" s="139" t="n"/>
      <c r="CD3511" s="204" t="n"/>
      <c r="CE3511" s="204" t="n"/>
      <c r="CF3511" s="207" t="n"/>
      <c r="CG3511" s="208" t="n"/>
      <c r="CH3511" s="207" t="n"/>
      <c r="CI3511" s="208" t="n"/>
      <c r="CJ3511" s="204" t="n"/>
      <c r="CK3511" s="208" t="n"/>
      <c r="CL3511" s="208" t="n"/>
      <c r="CM3511" s="208" t="n"/>
      <c r="CN3511" s="78" t="n"/>
      <c r="CO3511" s="209" t="n"/>
      <c r="CP3511" s="204" t="n"/>
      <c r="CQ3511" s="204" t="n"/>
      <c r="CR3511" s="204" t="n"/>
      <c r="CS3511" s="204" t="n"/>
      <c r="CT3511" s="204" t="n"/>
      <c r="CU3511" s="204" t="n"/>
      <c r="CV3511" s="204" t="n"/>
      <c r="CW3511" s="204" t="n"/>
    </row>
    <row r="3512">
      <c r="BF3512" s="78" t="n"/>
      <c r="BG3512" s="78" t="n"/>
      <c r="BH3512" s="78" t="n"/>
      <c r="BI3512" s="78" t="n"/>
      <c r="BJ3512" s="139" t="n"/>
      <c r="BK3512" s="204" t="n"/>
      <c r="BL3512" s="141" t="n"/>
      <c r="BM3512" s="205" t="n"/>
      <c r="BN3512" s="205" t="n"/>
      <c r="BO3512" s="206" t="n"/>
      <c r="BP3512" s="144" t="n"/>
      <c r="BQ3512" s="141" t="n"/>
      <c r="BR3512" s="207" t="n"/>
      <c r="BS3512" s="207" t="n"/>
      <c r="BT3512" s="207" t="n"/>
      <c r="BU3512" s="207" t="n"/>
      <c r="BV3512" s="208" t="n"/>
      <c r="BW3512" s="207" t="n"/>
      <c r="BX3512" s="207" t="n"/>
      <c r="BY3512" s="204" t="n"/>
      <c r="BZ3512" s="148" t="n"/>
      <c r="CA3512" s="204" t="n"/>
      <c r="CB3512" s="208" t="n"/>
      <c r="CC3512" s="139" t="n"/>
      <c r="CD3512" s="204" t="n"/>
      <c r="CE3512" s="204" t="n"/>
      <c r="CF3512" s="207" t="n"/>
      <c r="CG3512" s="208" t="n"/>
      <c r="CH3512" s="207" t="n"/>
      <c r="CI3512" s="208" t="n"/>
      <c r="CJ3512" s="204" t="n"/>
      <c r="CK3512" s="208" t="n"/>
      <c r="CL3512" s="208" t="n"/>
      <c r="CM3512" s="208" t="n"/>
      <c r="CN3512" s="78" t="n"/>
      <c r="CO3512" s="209" t="n"/>
      <c r="CP3512" s="204" t="n"/>
      <c r="CQ3512" s="204" t="n"/>
      <c r="CR3512" s="204" t="n"/>
      <c r="CS3512" s="204" t="n"/>
      <c r="CT3512" s="204" t="n"/>
      <c r="CU3512" s="204" t="n"/>
      <c r="CV3512" s="204" t="n"/>
      <c r="CW3512" s="204" t="n"/>
    </row>
    <row r="3513">
      <c r="BF3513" s="78" t="n"/>
      <c r="BG3513" s="78" t="n"/>
      <c r="BH3513" s="78" t="n"/>
      <c r="BI3513" s="78" t="n"/>
      <c r="BJ3513" s="139" t="n"/>
      <c r="BK3513" s="204" t="n"/>
      <c r="BL3513" s="141" t="n"/>
      <c r="BM3513" s="205" t="n"/>
      <c r="BN3513" s="205" t="n"/>
      <c r="BO3513" s="206" t="n"/>
      <c r="BP3513" s="144" t="n"/>
      <c r="BQ3513" s="141" t="n"/>
      <c r="BR3513" s="207" t="n"/>
      <c r="BS3513" s="207" t="n"/>
      <c r="BT3513" s="207" t="n"/>
      <c r="BU3513" s="207" t="n"/>
      <c r="BV3513" s="208" t="n"/>
      <c r="BW3513" s="207" t="n"/>
      <c r="BX3513" s="207" t="n"/>
      <c r="BY3513" s="204" t="n"/>
      <c r="BZ3513" s="148" t="n"/>
      <c r="CA3513" s="204" t="n"/>
      <c r="CB3513" s="208" t="n"/>
      <c r="CC3513" s="139" t="n"/>
      <c r="CD3513" s="204" t="n"/>
      <c r="CE3513" s="204" t="n"/>
      <c r="CF3513" s="207" t="n"/>
      <c r="CG3513" s="208" t="n"/>
      <c r="CH3513" s="207" t="n"/>
      <c r="CI3513" s="208" t="n"/>
      <c r="CJ3513" s="204" t="n"/>
      <c r="CK3513" s="208" t="n"/>
      <c r="CL3513" s="208" t="n"/>
      <c r="CM3513" s="208" t="n"/>
      <c r="CN3513" s="78" t="n"/>
      <c r="CO3513" s="209" t="n"/>
      <c r="CP3513" s="204" t="n"/>
      <c r="CQ3513" s="204" t="n"/>
      <c r="CR3513" s="204" t="n"/>
      <c r="CS3513" s="204" t="n"/>
      <c r="CT3513" s="204" t="n"/>
      <c r="CU3513" s="204" t="n"/>
      <c r="CV3513" s="204" t="n"/>
      <c r="CW3513" s="204" t="n"/>
    </row>
    <row r="3514">
      <c r="BF3514" s="78" t="n"/>
      <c r="BG3514" s="78" t="n"/>
      <c r="BH3514" s="78" t="n"/>
      <c r="BI3514" s="78" t="n"/>
      <c r="BJ3514" s="139" t="n"/>
      <c r="BK3514" s="204" t="n"/>
      <c r="BL3514" s="141" t="n"/>
      <c r="BM3514" s="205" t="n"/>
      <c r="BN3514" s="205" t="n"/>
      <c r="BO3514" s="206" t="n"/>
      <c r="BP3514" s="144" t="n"/>
      <c r="BQ3514" s="141" t="n"/>
      <c r="BR3514" s="207" t="n"/>
      <c r="BS3514" s="207" t="n"/>
      <c r="BT3514" s="207" t="n"/>
      <c r="BU3514" s="207" t="n"/>
      <c r="BV3514" s="208" t="n"/>
      <c r="BW3514" s="207" t="n"/>
      <c r="BX3514" s="207" t="n"/>
      <c r="BY3514" s="204" t="n"/>
      <c r="BZ3514" s="148" t="n"/>
      <c r="CA3514" s="204" t="n"/>
      <c r="CB3514" s="208" t="n"/>
      <c r="CC3514" s="139" t="n"/>
      <c r="CD3514" s="204" t="n"/>
      <c r="CE3514" s="204" t="n"/>
      <c r="CF3514" s="207" t="n"/>
      <c r="CG3514" s="208" t="n"/>
      <c r="CH3514" s="207" t="n"/>
      <c r="CI3514" s="208" t="n"/>
      <c r="CJ3514" s="204" t="n"/>
      <c r="CK3514" s="208" t="n"/>
      <c r="CL3514" s="208" t="n"/>
      <c r="CM3514" s="208" t="n"/>
      <c r="CN3514" s="78" t="n"/>
      <c r="CO3514" s="209" t="n"/>
      <c r="CP3514" s="204" t="n"/>
      <c r="CQ3514" s="204" t="n"/>
      <c r="CR3514" s="204" t="n"/>
      <c r="CS3514" s="204" t="n"/>
      <c r="CT3514" s="204" t="n"/>
      <c r="CU3514" s="204" t="n"/>
      <c r="CV3514" s="204" t="n"/>
      <c r="CW3514" s="204" t="n"/>
    </row>
    <row r="3515">
      <c r="BF3515" s="78" t="n"/>
      <c r="BG3515" s="78" t="n"/>
      <c r="BH3515" s="78" t="n"/>
      <c r="BI3515" s="78" t="n"/>
      <c r="BJ3515" s="139" t="n"/>
      <c r="BK3515" s="204" t="n"/>
      <c r="BL3515" s="141" t="n"/>
      <c r="BM3515" s="205" t="n"/>
      <c r="BN3515" s="205" t="n"/>
      <c r="BO3515" s="206" t="n"/>
      <c r="BP3515" s="144" t="n"/>
      <c r="BQ3515" s="141" t="n"/>
      <c r="BR3515" s="207" t="n"/>
      <c r="BS3515" s="207" t="n"/>
      <c r="BT3515" s="207" t="n"/>
      <c r="BU3515" s="207" t="n"/>
      <c r="BV3515" s="208" t="n"/>
      <c r="BW3515" s="207" t="n"/>
      <c r="BX3515" s="207" t="n"/>
      <c r="BY3515" s="204" t="n"/>
      <c r="BZ3515" s="148" t="n"/>
      <c r="CA3515" s="204" t="n"/>
      <c r="CB3515" s="208" t="n"/>
      <c r="CC3515" s="139" t="n"/>
      <c r="CD3515" s="204" t="n"/>
      <c r="CE3515" s="204" t="n"/>
      <c r="CF3515" s="207" t="n"/>
      <c r="CG3515" s="208" t="n"/>
      <c r="CH3515" s="207" t="n"/>
      <c r="CI3515" s="208" t="n"/>
      <c r="CJ3515" s="204" t="n"/>
      <c r="CK3515" s="208" t="n"/>
      <c r="CL3515" s="208" t="n"/>
      <c r="CM3515" s="208" t="n"/>
      <c r="CN3515" s="78" t="n"/>
      <c r="CO3515" s="209" t="n"/>
      <c r="CP3515" s="204" t="n"/>
      <c r="CQ3515" s="204" t="n"/>
      <c r="CR3515" s="204" t="n"/>
      <c r="CS3515" s="204" t="n"/>
      <c r="CT3515" s="204" t="n"/>
      <c r="CU3515" s="204" t="n"/>
      <c r="CV3515" s="204" t="n"/>
      <c r="CW3515" s="204" t="n"/>
    </row>
    <row r="3516">
      <c r="BF3516" s="78" t="n"/>
      <c r="BG3516" s="78" t="n"/>
      <c r="BH3516" s="78" t="n"/>
      <c r="BI3516" s="78" t="n"/>
      <c r="BJ3516" s="139" t="n"/>
      <c r="BK3516" s="204" t="n"/>
      <c r="BL3516" s="141" t="n"/>
      <c r="BM3516" s="205" t="n"/>
      <c r="BN3516" s="205" t="n"/>
      <c r="BO3516" s="206" t="n"/>
      <c r="BP3516" s="144" t="n"/>
      <c r="BQ3516" s="141" t="n"/>
      <c r="BR3516" s="207" t="n"/>
      <c r="BS3516" s="207" t="n"/>
      <c r="BT3516" s="207" t="n"/>
      <c r="BU3516" s="207" t="n"/>
      <c r="BV3516" s="208" t="n"/>
      <c r="BW3516" s="207" t="n"/>
      <c r="BX3516" s="207" t="n"/>
      <c r="BY3516" s="204" t="n"/>
      <c r="BZ3516" s="148" t="n"/>
      <c r="CA3516" s="204" t="n"/>
      <c r="CB3516" s="208" t="n"/>
      <c r="CC3516" s="139" t="n"/>
      <c r="CD3516" s="204" t="n"/>
      <c r="CE3516" s="204" t="n"/>
      <c r="CF3516" s="207" t="n"/>
      <c r="CG3516" s="208" t="n"/>
      <c r="CH3516" s="207" t="n"/>
      <c r="CI3516" s="208" t="n"/>
      <c r="CJ3516" s="204" t="n"/>
      <c r="CK3516" s="208" t="n"/>
      <c r="CL3516" s="208" t="n"/>
      <c r="CM3516" s="208" t="n"/>
      <c r="CN3516" s="78" t="n"/>
      <c r="CO3516" s="209" t="n"/>
      <c r="CP3516" s="204" t="n"/>
      <c r="CQ3516" s="204" t="n"/>
      <c r="CR3516" s="204" t="n"/>
      <c r="CS3516" s="204" t="n"/>
      <c r="CT3516" s="204" t="n"/>
      <c r="CU3516" s="204" t="n"/>
      <c r="CV3516" s="204" t="n"/>
      <c r="CW3516" s="204" t="n"/>
    </row>
    <row r="3517">
      <c r="BF3517" s="78" t="n"/>
      <c r="BG3517" s="78" t="n"/>
      <c r="BH3517" s="78" t="n"/>
      <c r="BI3517" s="78" t="n"/>
      <c r="BJ3517" s="139" t="n"/>
      <c r="BK3517" s="204" t="n"/>
      <c r="BL3517" s="141" t="n"/>
      <c r="BM3517" s="205" t="n"/>
      <c r="BN3517" s="205" t="n"/>
      <c r="BO3517" s="206" t="n"/>
      <c r="BP3517" s="144" t="n"/>
      <c r="BQ3517" s="141" t="n"/>
      <c r="BR3517" s="207" t="n"/>
      <c r="BS3517" s="207" t="n"/>
      <c r="BT3517" s="207" t="n"/>
      <c r="BU3517" s="207" t="n"/>
      <c r="BV3517" s="208" t="n"/>
      <c r="BW3517" s="207" t="n"/>
      <c r="BX3517" s="207" t="n"/>
      <c r="BY3517" s="204" t="n"/>
      <c r="BZ3517" s="148" t="n"/>
      <c r="CA3517" s="204" t="n"/>
      <c r="CB3517" s="208" t="n"/>
      <c r="CC3517" s="139" t="n"/>
      <c r="CD3517" s="204" t="n"/>
      <c r="CE3517" s="204" t="n"/>
      <c r="CF3517" s="207" t="n"/>
      <c r="CG3517" s="208" t="n"/>
      <c r="CH3517" s="207" t="n"/>
      <c r="CI3517" s="208" t="n"/>
      <c r="CJ3517" s="204" t="n"/>
      <c r="CK3517" s="208" t="n"/>
      <c r="CL3517" s="208" t="n"/>
      <c r="CM3517" s="208" t="n"/>
      <c r="CN3517" s="78" t="n"/>
      <c r="CO3517" s="209" t="n"/>
      <c r="CP3517" s="204" t="n"/>
      <c r="CQ3517" s="204" t="n"/>
      <c r="CR3517" s="204" t="n"/>
      <c r="CS3517" s="204" t="n"/>
      <c r="CT3517" s="204" t="n"/>
      <c r="CU3517" s="204" t="n"/>
      <c r="CV3517" s="204" t="n"/>
      <c r="CW3517" s="204" t="n"/>
    </row>
    <row r="3518">
      <c r="BF3518" s="78" t="n"/>
      <c r="BG3518" s="78" t="n"/>
      <c r="BH3518" s="78" t="n"/>
      <c r="BI3518" s="78" t="n"/>
      <c r="BJ3518" s="139" t="n"/>
      <c r="BK3518" s="204" t="n"/>
      <c r="BL3518" s="141" t="n"/>
      <c r="BM3518" s="205" t="n"/>
      <c r="BN3518" s="205" t="n"/>
      <c r="BO3518" s="206" t="n"/>
      <c r="BP3518" s="144" t="n"/>
      <c r="BQ3518" s="141" t="n"/>
      <c r="BR3518" s="207" t="n"/>
      <c r="BS3518" s="207" t="n"/>
      <c r="BT3518" s="207" t="n"/>
      <c r="BU3518" s="207" t="n"/>
      <c r="BV3518" s="208" t="n"/>
      <c r="BW3518" s="207" t="n"/>
      <c r="BX3518" s="207" t="n"/>
      <c r="BY3518" s="204" t="n"/>
      <c r="BZ3518" s="148" t="n"/>
      <c r="CA3518" s="204" t="n"/>
      <c r="CB3518" s="208" t="n"/>
      <c r="CC3518" s="139" t="n"/>
      <c r="CD3518" s="204" t="n"/>
      <c r="CE3518" s="204" t="n"/>
      <c r="CF3518" s="207" t="n"/>
      <c r="CG3518" s="208" t="n"/>
      <c r="CH3518" s="207" t="n"/>
      <c r="CI3518" s="208" t="n"/>
      <c r="CJ3518" s="204" t="n"/>
      <c r="CK3518" s="208" t="n"/>
      <c r="CL3518" s="208" t="n"/>
      <c r="CM3518" s="208" t="n"/>
      <c r="CN3518" s="78" t="n"/>
      <c r="CO3518" s="209" t="n"/>
      <c r="CP3518" s="204" t="n"/>
      <c r="CQ3518" s="204" t="n"/>
      <c r="CR3518" s="204" t="n"/>
      <c r="CS3518" s="204" t="n"/>
      <c r="CT3518" s="204" t="n"/>
      <c r="CU3518" s="204" t="n"/>
      <c r="CV3518" s="204" t="n"/>
      <c r="CW3518" s="204" t="n"/>
    </row>
    <row r="3519">
      <c r="BF3519" s="78" t="n"/>
      <c r="BG3519" s="78" t="n"/>
      <c r="BH3519" s="78" t="n"/>
      <c r="BI3519" s="78" t="n"/>
      <c r="BJ3519" s="139" t="n"/>
      <c r="BK3519" s="204" t="n"/>
      <c r="BL3519" s="141" t="n"/>
      <c r="BM3519" s="205" t="n"/>
      <c r="BN3519" s="205" t="n"/>
      <c r="BO3519" s="206" t="n"/>
      <c r="BP3519" s="144" t="n"/>
      <c r="BQ3519" s="141" t="n"/>
      <c r="BR3519" s="207" t="n"/>
      <c r="BS3519" s="207" t="n"/>
      <c r="BT3519" s="207" t="n"/>
      <c r="BU3519" s="207" t="n"/>
      <c r="BV3519" s="208" t="n"/>
      <c r="BW3519" s="207" t="n"/>
      <c r="BX3519" s="207" t="n"/>
      <c r="BY3519" s="204" t="n"/>
      <c r="BZ3519" s="148" t="n"/>
      <c r="CA3519" s="204" t="n"/>
      <c r="CB3519" s="208" t="n"/>
      <c r="CC3519" s="139" t="n"/>
      <c r="CD3519" s="204" t="n"/>
      <c r="CE3519" s="204" t="n"/>
      <c r="CF3519" s="207" t="n"/>
      <c r="CG3519" s="208" t="n"/>
      <c r="CH3519" s="207" t="n"/>
      <c r="CI3519" s="208" t="n"/>
      <c r="CJ3519" s="204" t="n"/>
      <c r="CK3519" s="208" t="n"/>
      <c r="CL3519" s="208" t="n"/>
      <c r="CM3519" s="208" t="n"/>
      <c r="CN3519" s="78" t="n"/>
      <c r="CO3519" s="209" t="n"/>
      <c r="CP3519" s="204" t="n"/>
      <c r="CQ3519" s="204" t="n"/>
      <c r="CR3519" s="204" t="n"/>
      <c r="CS3519" s="204" t="n"/>
      <c r="CT3519" s="204" t="n"/>
      <c r="CU3519" s="204" t="n"/>
      <c r="CV3519" s="204" t="n"/>
      <c r="CW3519" s="204" t="n"/>
    </row>
    <row r="3520">
      <c r="BF3520" s="78" t="n"/>
      <c r="BG3520" s="78" t="n"/>
      <c r="BH3520" s="78" t="n"/>
      <c r="BI3520" s="78" t="n"/>
      <c r="BJ3520" s="139" t="n"/>
      <c r="BK3520" s="204" t="n"/>
      <c r="BL3520" s="141" t="n"/>
      <c r="BM3520" s="205" t="n"/>
      <c r="BN3520" s="205" t="n"/>
      <c r="BO3520" s="206" t="n"/>
      <c r="BP3520" s="144" t="n"/>
      <c r="BQ3520" s="141" t="n"/>
      <c r="BR3520" s="207" t="n"/>
      <c r="BS3520" s="207" t="n"/>
      <c r="BT3520" s="207" t="n"/>
      <c r="BU3520" s="207" t="n"/>
      <c r="BV3520" s="208" t="n"/>
      <c r="BW3520" s="207" t="n"/>
      <c r="BX3520" s="207" t="n"/>
      <c r="BY3520" s="204" t="n"/>
      <c r="BZ3520" s="148" t="n"/>
      <c r="CA3520" s="204" t="n"/>
      <c r="CB3520" s="208" t="n"/>
      <c r="CC3520" s="139" t="n"/>
      <c r="CD3520" s="204" t="n"/>
      <c r="CE3520" s="204" t="n"/>
      <c r="CF3520" s="207" t="n"/>
      <c r="CG3520" s="208" t="n"/>
      <c r="CH3520" s="207" t="n"/>
      <c r="CI3520" s="208" t="n"/>
      <c r="CJ3520" s="204" t="n"/>
      <c r="CK3520" s="208" t="n"/>
      <c r="CL3520" s="208" t="n"/>
      <c r="CM3520" s="208" t="n"/>
      <c r="CN3520" s="78" t="n"/>
      <c r="CO3520" s="209" t="n"/>
      <c r="CP3520" s="204" t="n"/>
      <c r="CQ3520" s="204" t="n"/>
      <c r="CR3520" s="204" t="n"/>
      <c r="CS3520" s="204" t="n"/>
      <c r="CT3520" s="204" t="n"/>
      <c r="CU3520" s="204" t="n"/>
      <c r="CV3520" s="204" t="n"/>
      <c r="CW3520" s="204" t="n"/>
    </row>
    <row r="3521">
      <c r="BF3521" s="78" t="n"/>
      <c r="BG3521" s="78" t="n"/>
      <c r="BH3521" s="78" t="n"/>
      <c r="BI3521" s="78" t="n"/>
      <c r="BJ3521" s="139" t="n"/>
      <c r="BK3521" s="204" t="n"/>
      <c r="BL3521" s="141" t="n"/>
      <c r="BM3521" s="205" t="n"/>
      <c r="BN3521" s="205" t="n"/>
      <c r="BO3521" s="206" t="n"/>
      <c r="BP3521" s="144" t="n"/>
      <c r="BQ3521" s="141" t="n"/>
      <c r="BR3521" s="207" t="n"/>
      <c r="BS3521" s="207" t="n"/>
      <c r="BT3521" s="207" t="n"/>
      <c r="BU3521" s="207" t="n"/>
      <c r="BV3521" s="208" t="n"/>
      <c r="BW3521" s="207" t="n"/>
      <c r="BX3521" s="207" t="n"/>
      <c r="BY3521" s="204" t="n"/>
      <c r="BZ3521" s="148" t="n"/>
      <c r="CA3521" s="204" t="n"/>
      <c r="CB3521" s="208" t="n"/>
      <c r="CC3521" s="139" t="n"/>
      <c r="CD3521" s="204" t="n"/>
      <c r="CE3521" s="204" t="n"/>
      <c r="CF3521" s="207" t="n"/>
      <c r="CG3521" s="208" t="n"/>
      <c r="CH3521" s="207" t="n"/>
      <c r="CI3521" s="208" t="n"/>
      <c r="CJ3521" s="204" t="n"/>
      <c r="CK3521" s="208" t="n"/>
      <c r="CL3521" s="208" t="n"/>
      <c r="CM3521" s="208" t="n"/>
      <c r="CN3521" s="78" t="n"/>
      <c r="CO3521" s="209" t="n"/>
      <c r="CP3521" s="204" t="n"/>
      <c r="CQ3521" s="204" t="n"/>
      <c r="CR3521" s="204" t="n"/>
      <c r="CS3521" s="204" t="n"/>
      <c r="CT3521" s="204" t="n"/>
      <c r="CU3521" s="204" t="n"/>
      <c r="CV3521" s="204" t="n"/>
      <c r="CW3521" s="204" t="n"/>
    </row>
    <row r="3522">
      <c r="BF3522" s="78" t="n"/>
      <c r="BG3522" s="78" t="n"/>
      <c r="BH3522" s="78" t="n"/>
      <c r="BI3522" s="78" t="n"/>
      <c r="BJ3522" s="139" t="n"/>
      <c r="BK3522" s="204" t="n"/>
      <c r="BL3522" s="141" t="n"/>
      <c r="BM3522" s="205" t="n"/>
      <c r="BN3522" s="205" t="n"/>
      <c r="BO3522" s="206" t="n"/>
      <c r="BP3522" s="144" t="n"/>
      <c r="BQ3522" s="141" t="n"/>
      <c r="BR3522" s="207" t="n"/>
      <c r="BS3522" s="207" t="n"/>
      <c r="BT3522" s="207" t="n"/>
      <c r="BU3522" s="207" t="n"/>
      <c r="BV3522" s="208" t="n"/>
      <c r="BW3522" s="207" t="n"/>
      <c r="BX3522" s="207" t="n"/>
      <c r="BY3522" s="204" t="n"/>
      <c r="BZ3522" s="148" t="n"/>
      <c r="CA3522" s="204" t="n"/>
      <c r="CB3522" s="208" t="n"/>
      <c r="CC3522" s="139" t="n"/>
      <c r="CD3522" s="204" t="n"/>
      <c r="CE3522" s="204" t="n"/>
      <c r="CF3522" s="207" t="n"/>
      <c r="CG3522" s="208" t="n"/>
      <c r="CH3522" s="207" t="n"/>
      <c r="CI3522" s="208" t="n"/>
      <c r="CJ3522" s="204" t="n"/>
      <c r="CK3522" s="208" t="n"/>
      <c r="CL3522" s="208" t="n"/>
      <c r="CM3522" s="208" t="n"/>
      <c r="CN3522" s="78" t="n"/>
      <c r="CO3522" s="209" t="n"/>
      <c r="CP3522" s="204" t="n"/>
      <c r="CQ3522" s="204" t="n"/>
      <c r="CR3522" s="204" t="n"/>
      <c r="CS3522" s="204" t="n"/>
      <c r="CT3522" s="204" t="n"/>
      <c r="CU3522" s="204" t="n"/>
      <c r="CV3522" s="204" t="n"/>
      <c r="CW3522" s="204" t="n"/>
    </row>
    <row r="3523">
      <c r="BF3523" s="78" t="n"/>
      <c r="BG3523" s="78" t="n"/>
      <c r="BH3523" s="78" t="n"/>
      <c r="BI3523" s="78" t="n"/>
      <c r="BJ3523" s="139" t="n"/>
      <c r="BK3523" s="204" t="n"/>
      <c r="BL3523" s="141" t="n"/>
      <c r="BM3523" s="205" t="n"/>
      <c r="BN3523" s="205" t="n"/>
      <c r="BO3523" s="206" t="n"/>
      <c r="BP3523" s="144" t="n"/>
      <c r="BQ3523" s="141" t="n"/>
      <c r="BR3523" s="207" t="n"/>
      <c r="BS3523" s="207" t="n"/>
      <c r="BT3523" s="207" t="n"/>
      <c r="BU3523" s="207" t="n"/>
      <c r="BV3523" s="208" t="n"/>
      <c r="BW3523" s="207" t="n"/>
      <c r="BX3523" s="207" t="n"/>
      <c r="BY3523" s="204" t="n"/>
      <c r="BZ3523" s="148" t="n"/>
      <c r="CA3523" s="204" t="n"/>
      <c r="CB3523" s="208" t="n"/>
      <c r="CC3523" s="139" t="n"/>
      <c r="CD3523" s="204" t="n"/>
      <c r="CE3523" s="204" t="n"/>
      <c r="CF3523" s="207" t="n"/>
      <c r="CG3523" s="208" t="n"/>
      <c r="CH3523" s="207" t="n"/>
      <c r="CI3523" s="208" t="n"/>
      <c r="CJ3523" s="204" t="n"/>
      <c r="CK3523" s="208" t="n"/>
      <c r="CL3523" s="208" t="n"/>
      <c r="CM3523" s="208" t="n"/>
      <c r="CN3523" s="78" t="n"/>
      <c r="CO3523" s="209" t="n"/>
      <c r="CP3523" s="204" t="n"/>
      <c r="CQ3523" s="204" t="n"/>
      <c r="CR3523" s="204" t="n"/>
      <c r="CS3523" s="204" t="n"/>
      <c r="CT3523" s="204" t="n"/>
      <c r="CU3523" s="204" t="n"/>
      <c r="CV3523" s="204" t="n"/>
      <c r="CW3523" s="204" t="n"/>
    </row>
    <row r="3524">
      <c r="BF3524" s="78" t="n"/>
      <c r="BG3524" s="78" t="n"/>
      <c r="BH3524" s="78" t="n"/>
      <c r="BI3524" s="78" t="n"/>
      <c r="BJ3524" s="139" t="n"/>
      <c r="BK3524" s="204" t="n"/>
      <c r="BL3524" s="141" t="n"/>
      <c r="BM3524" s="205" t="n"/>
      <c r="BN3524" s="205" t="n"/>
      <c r="BO3524" s="206" t="n"/>
      <c r="BP3524" s="144" t="n"/>
      <c r="BQ3524" s="141" t="n"/>
      <c r="BR3524" s="207" t="n"/>
      <c r="BS3524" s="207" t="n"/>
      <c r="BT3524" s="207" t="n"/>
      <c r="BU3524" s="207" t="n"/>
      <c r="BV3524" s="208" t="n"/>
      <c r="BW3524" s="207" t="n"/>
      <c r="BX3524" s="207" t="n"/>
      <c r="BY3524" s="204" t="n"/>
      <c r="BZ3524" s="148" t="n"/>
      <c r="CA3524" s="204" t="n"/>
      <c r="CB3524" s="208" t="n"/>
      <c r="CC3524" s="139" t="n"/>
      <c r="CD3524" s="204" t="n"/>
      <c r="CE3524" s="204" t="n"/>
      <c r="CF3524" s="207" t="n"/>
      <c r="CG3524" s="208" t="n"/>
      <c r="CH3524" s="207" t="n"/>
      <c r="CI3524" s="208" t="n"/>
      <c r="CJ3524" s="204" t="n"/>
      <c r="CK3524" s="208" t="n"/>
      <c r="CL3524" s="208" t="n"/>
      <c r="CM3524" s="208" t="n"/>
      <c r="CN3524" s="78" t="n"/>
      <c r="CO3524" s="209" t="n"/>
      <c r="CP3524" s="204" t="n"/>
      <c r="CQ3524" s="204" t="n"/>
      <c r="CR3524" s="204" t="n"/>
      <c r="CS3524" s="204" t="n"/>
      <c r="CT3524" s="204" t="n"/>
      <c r="CU3524" s="204" t="n"/>
      <c r="CV3524" s="204" t="n"/>
      <c r="CW3524" s="204" t="n"/>
    </row>
    <row r="3525">
      <c r="BF3525" s="78" t="n"/>
      <c r="BG3525" s="78" t="n"/>
      <c r="BH3525" s="78" t="n"/>
      <c r="BI3525" s="78" t="n"/>
      <c r="BJ3525" s="139" t="n"/>
      <c r="BK3525" s="204" t="n"/>
      <c r="BL3525" s="141" t="n"/>
      <c r="BM3525" s="205" t="n"/>
      <c r="BN3525" s="205" t="n"/>
      <c r="BO3525" s="206" t="n"/>
      <c r="BP3525" s="144" t="n"/>
      <c r="BQ3525" s="141" t="n"/>
      <c r="BR3525" s="207" t="n"/>
      <c r="BS3525" s="207" t="n"/>
      <c r="BT3525" s="207" t="n"/>
      <c r="BU3525" s="207" t="n"/>
      <c r="BV3525" s="208" t="n"/>
      <c r="BW3525" s="207" t="n"/>
      <c r="BX3525" s="207" t="n"/>
      <c r="BY3525" s="204" t="n"/>
      <c r="BZ3525" s="148" t="n"/>
      <c r="CA3525" s="204" t="n"/>
      <c r="CB3525" s="208" t="n"/>
      <c r="CC3525" s="139" t="n"/>
      <c r="CD3525" s="204" t="n"/>
      <c r="CE3525" s="204" t="n"/>
      <c r="CF3525" s="207" t="n"/>
      <c r="CG3525" s="208" t="n"/>
      <c r="CH3525" s="207" t="n"/>
      <c r="CI3525" s="208" t="n"/>
      <c r="CJ3525" s="204" t="n"/>
      <c r="CK3525" s="208" t="n"/>
      <c r="CL3525" s="208" t="n"/>
      <c r="CM3525" s="208" t="n"/>
      <c r="CN3525" s="78" t="n"/>
      <c r="CO3525" s="209" t="n"/>
      <c r="CP3525" s="204" t="n"/>
      <c r="CQ3525" s="204" t="n"/>
      <c r="CR3525" s="204" t="n"/>
      <c r="CS3525" s="204" t="n"/>
      <c r="CT3525" s="204" t="n"/>
      <c r="CU3525" s="204" t="n"/>
      <c r="CV3525" s="204" t="n"/>
      <c r="CW3525" s="204" t="n"/>
    </row>
    <row r="3526">
      <c r="BF3526" s="78" t="n"/>
      <c r="BG3526" s="78" t="n"/>
      <c r="BH3526" s="78" t="n"/>
      <c r="BI3526" s="78" t="n"/>
      <c r="BJ3526" s="139" t="n"/>
      <c r="BK3526" s="204" t="n"/>
      <c r="BL3526" s="141" t="n"/>
      <c r="BM3526" s="205" t="n"/>
      <c r="BN3526" s="205" t="n"/>
      <c r="BO3526" s="206" t="n"/>
      <c r="BP3526" s="144" t="n"/>
      <c r="BQ3526" s="141" t="n"/>
      <c r="BR3526" s="207" t="n"/>
      <c r="BS3526" s="207" t="n"/>
      <c r="BT3526" s="207" t="n"/>
      <c r="BU3526" s="207" t="n"/>
      <c r="BV3526" s="208" t="n"/>
      <c r="BW3526" s="207" t="n"/>
      <c r="BX3526" s="207" t="n"/>
      <c r="BY3526" s="204" t="n"/>
      <c r="BZ3526" s="148" t="n"/>
      <c r="CA3526" s="204" t="n"/>
      <c r="CB3526" s="208" t="n"/>
      <c r="CC3526" s="139" t="n"/>
      <c r="CD3526" s="204" t="n"/>
      <c r="CE3526" s="204" t="n"/>
      <c r="CF3526" s="207" t="n"/>
      <c r="CG3526" s="208" t="n"/>
      <c r="CH3526" s="207" t="n"/>
      <c r="CI3526" s="208" t="n"/>
      <c r="CJ3526" s="204" t="n"/>
      <c r="CK3526" s="208" t="n"/>
      <c r="CL3526" s="208" t="n"/>
      <c r="CM3526" s="208" t="n"/>
      <c r="CN3526" s="78" t="n"/>
      <c r="CO3526" s="209" t="n"/>
      <c r="CP3526" s="204" t="n"/>
      <c r="CQ3526" s="204" t="n"/>
      <c r="CR3526" s="204" t="n"/>
      <c r="CS3526" s="204" t="n"/>
      <c r="CT3526" s="204" t="n"/>
      <c r="CU3526" s="204" t="n"/>
      <c r="CV3526" s="204" t="n"/>
      <c r="CW3526" s="204" t="n"/>
    </row>
    <row r="3527">
      <c r="BF3527" s="78" t="n"/>
      <c r="BG3527" s="78" t="n"/>
      <c r="BH3527" s="78" t="n"/>
      <c r="BI3527" s="78" t="n"/>
      <c r="BJ3527" s="139" t="n"/>
      <c r="BK3527" s="204" t="n"/>
      <c r="BL3527" s="141" t="n"/>
      <c r="BM3527" s="205" t="n"/>
      <c r="BN3527" s="205" t="n"/>
      <c r="BO3527" s="206" t="n"/>
      <c r="BP3527" s="144" t="n"/>
      <c r="BQ3527" s="141" t="n"/>
      <c r="BR3527" s="207" t="n"/>
      <c r="BS3527" s="207" t="n"/>
      <c r="BT3527" s="207" t="n"/>
      <c r="BU3527" s="207" t="n"/>
      <c r="BV3527" s="208" t="n"/>
      <c r="BW3527" s="207" t="n"/>
      <c r="BX3527" s="207" t="n"/>
      <c r="BY3527" s="204" t="n"/>
      <c r="BZ3527" s="148" t="n"/>
      <c r="CA3527" s="204" t="n"/>
      <c r="CB3527" s="208" t="n"/>
      <c r="CC3527" s="139" t="n"/>
      <c r="CD3527" s="204" t="n"/>
      <c r="CE3527" s="204" t="n"/>
      <c r="CF3527" s="207" t="n"/>
      <c r="CG3527" s="208" t="n"/>
      <c r="CH3527" s="207" t="n"/>
      <c r="CI3527" s="208" t="n"/>
      <c r="CJ3527" s="204" t="n"/>
      <c r="CK3527" s="208" t="n"/>
      <c r="CL3527" s="208" t="n"/>
      <c r="CM3527" s="208" t="n"/>
      <c r="CN3527" s="78" t="n"/>
      <c r="CO3527" s="209" t="n"/>
      <c r="CP3527" s="204" t="n"/>
      <c r="CQ3527" s="204" t="n"/>
      <c r="CR3527" s="204" t="n"/>
      <c r="CS3527" s="204" t="n"/>
      <c r="CT3527" s="204" t="n"/>
      <c r="CU3527" s="204" t="n"/>
      <c r="CV3527" s="204" t="n"/>
      <c r="CW3527" s="204" t="n"/>
    </row>
    <row r="3528">
      <c r="BF3528" s="78" t="n"/>
      <c r="BG3528" s="78" t="n"/>
      <c r="BH3528" s="78" t="n"/>
      <c r="BI3528" s="78" t="n"/>
      <c r="BJ3528" s="139" t="n"/>
      <c r="BK3528" s="204" t="n"/>
      <c r="BL3528" s="141" t="n"/>
      <c r="BM3528" s="205" t="n"/>
      <c r="BN3528" s="205" t="n"/>
      <c r="BO3528" s="206" t="n"/>
      <c r="BP3528" s="144" t="n"/>
      <c r="BQ3528" s="141" t="n"/>
      <c r="BR3528" s="207" t="n"/>
      <c r="BS3528" s="207" t="n"/>
      <c r="BT3528" s="207" t="n"/>
      <c r="BU3528" s="207" t="n"/>
      <c r="BV3528" s="208" t="n"/>
      <c r="BW3528" s="207" t="n"/>
      <c r="BX3528" s="207" t="n"/>
      <c r="BY3528" s="204" t="n"/>
      <c r="BZ3528" s="148" t="n"/>
      <c r="CA3528" s="204" t="n"/>
      <c r="CB3528" s="208" t="n"/>
      <c r="CC3528" s="139" t="n"/>
      <c r="CD3528" s="204" t="n"/>
      <c r="CE3528" s="204" t="n"/>
      <c r="CF3528" s="207" t="n"/>
      <c r="CG3528" s="208" t="n"/>
      <c r="CH3528" s="207" t="n"/>
      <c r="CI3528" s="208" t="n"/>
      <c r="CJ3528" s="204" t="n"/>
      <c r="CK3528" s="208" t="n"/>
      <c r="CL3528" s="208" t="n"/>
      <c r="CM3528" s="208" t="n"/>
      <c r="CN3528" s="78" t="n"/>
      <c r="CO3528" s="209" t="n"/>
      <c r="CP3528" s="204" t="n"/>
      <c r="CQ3528" s="204" t="n"/>
      <c r="CR3528" s="204" t="n"/>
      <c r="CS3528" s="204" t="n"/>
      <c r="CT3528" s="204" t="n"/>
      <c r="CU3528" s="204" t="n"/>
      <c r="CV3528" s="204" t="n"/>
      <c r="CW3528" s="204" t="n"/>
    </row>
    <row r="3529">
      <c r="BF3529" s="78" t="n"/>
      <c r="BG3529" s="78" t="n"/>
      <c r="BH3529" s="78" t="n"/>
      <c r="BI3529" s="78" t="n"/>
      <c r="BJ3529" s="139" t="n"/>
      <c r="BK3529" s="204" t="n"/>
      <c r="BL3529" s="141" t="n"/>
      <c r="BM3529" s="205" t="n"/>
      <c r="BN3529" s="205" t="n"/>
      <c r="BO3529" s="206" t="n"/>
      <c r="BP3529" s="144" t="n"/>
      <c r="BQ3529" s="141" t="n"/>
      <c r="BR3529" s="207" t="n"/>
      <c r="BS3529" s="207" t="n"/>
      <c r="BT3529" s="207" t="n"/>
      <c r="BU3529" s="207" t="n"/>
      <c r="BV3529" s="208" t="n"/>
      <c r="BW3529" s="207" t="n"/>
      <c r="BX3529" s="207" t="n"/>
      <c r="BY3529" s="204" t="n"/>
      <c r="BZ3529" s="148" t="n"/>
      <c r="CA3529" s="204" t="n"/>
      <c r="CB3529" s="208" t="n"/>
      <c r="CC3529" s="139" t="n"/>
      <c r="CD3529" s="204" t="n"/>
      <c r="CE3529" s="204" t="n"/>
      <c r="CF3529" s="207" t="n"/>
      <c r="CG3529" s="208" t="n"/>
      <c r="CH3529" s="207" t="n"/>
      <c r="CI3529" s="208" t="n"/>
      <c r="CJ3529" s="204" t="n"/>
      <c r="CK3529" s="208" t="n"/>
      <c r="CL3529" s="208" t="n"/>
      <c r="CM3529" s="208" t="n"/>
      <c r="CN3529" s="78" t="n"/>
      <c r="CO3529" s="209" t="n"/>
      <c r="CP3529" s="204" t="n"/>
      <c r="CQ3529" s="204" t="n"/>
      <c r="CR3529" s="204" t="n"/>
      <c r="CS3529" s="204" t="n"/>
      <c r="CT3529" s="204" t="n"/>
      <c r="CU3529" s="204" t="n"/>
      <c r="CV3529" s="204" t="n"/>
      <c r="CW3529" s="204" t="n"/>
    </row>
    <row r="3530">
      <c r="BF3530" s="78" t="n"/>
      <c r="BG3530" s="78" t="n"/>
      <c r="BH3530" s="78" t="n"/>
      <c r="BI3530" s="78" t="n"/>
      <c r="BJ3530" s="139" t="n"/>
      <c r="BK3530" s="204" t="n"/>
      <c r="BL3530" s="141" t="n"/>
      <c r="BM3530" s="205" t="n"/>
      <c r="BN3530" s="205" t="n"/>
      <c r="BO3530" s="206" t="n"/>
      <c r="BP3530" s="144" t="n"/>
      <c r="BQ3530" s="141" t="n"/>
      <c r="BR3530" s="207" t="n"/>
      <c r="BS3530" s="207" t="n"/>
      <c r="BT3530" s="207" t="n"/>
      <c r="BU3530" s="207" t="n"/>
      <c r="BV3530" s="208" t="n"/>
      <c r="BW3530" s="207" t="n"/>
      <c r="BX3530" s="207" t="n"/>
      <c r="BY3530" s="204" t="n"/>
      <c r="BZ3530" s="148" t="n"/>
      <c r="CA3530" s="204" t="n"/>
      <c r="CB3530" s="208" t="n"/>
      <c r="CC3530" s="139" t="n"/>
      <c r="CD3530" s="204" t="n"/>
      <c r="CE3530" s="204" t="n"/>
      <c r="CF3530" s="207" t="n"/>
      <c r="CG3530" s="208" t="n"/>
      <c r="CH3530" s="207" t="n"/>
      <c r="CI3530" s="208" t="n"/>
      <c r="CJ3530" s="204" t="n"/>
      <c r="CK3530" s="208" t="n"/>
      <c r="CL3530" s="208" t="n"/>
      <c r="CM3530" s="208" t="n"/>
      <c r="CN3530" s="78" t="n"/>
      <c r="CO3530" s="209" t="n"/>
      <c r="CP3530" s="204" t="n"/>
      <c r="CQ3530" s="204" t="n"/>
      <c r="CR3530" s="204" t="n"/>
      <c r="CS3530" s="204" t="n"/>
      <c r="CT3530" s="204" t="n"/>
      <c r="CU3530" s="204" t="n"/>
      <c r="CV3530" s="204" t="n"/>
      <c r="CW3530" s="204" t="n"/>
    </row>
    <row r="3531">
      <c r="BF3531" s="78" t="n"/>
      <c r="BG3531" s="78" t="n"/>
      <c r="BH3531" s="78" t="n"/>
      <c r="BI3531" s="78" t="n"/>
      <c r="BJ3531" s="139" t="n"/>
      <c r="BK3531" s="204" t="n"/>
      <c r="BL3531" s="141" t="n"/>
      <c r="BM3531" s="205" t="n"/>
      <c r="BN3531" s="205" t="n"/>
      <c r="BO3531" s="206" t="n"/>
      <c r="BP3531" s="144" t="n"/>
      <c r="BQ3531" s="141" t="n"/>
      <c r="BR3531" s="207" t="n"/>
      <c r="BS3531" s="207" t="n"/>
      <c r="BT3531" s="207" t="n"/>
      <c r="BU3531" s="207" t="n"/>
      <c r="BV3531" s="208" t="n"/>
      <c r="BW3531" s="207" t="n"/>
      <c r="BX3531" s="207" t="n"/>
      <c r="BY3531" s="204" t="n"/>
      <c r="BZ3531" s="148" t="n"/>
      <c r="CA3531" s="204" t="n"/>
      <c r="CB3531" s="208" t="n"/>
      <c r="CC3531" s="139" t="n"/>
      <c r="CD3531" s="204" t="n"/>
      <c r="CE3531" s="204" t="n"/>
      <c r="CF3531" s="207" t="n"/>
      <c r="CG3531" s="208" t="n"/>
      <c r="CH3531" s="207" t="n"/>
      <c r="CI3531" s="208" t="n"/>
      <c r="CJ3531" s="204" t="n"/>
      <c r="CK3531" s="208" t="n"/>
      <c r="CL3531" s="208" t="n"/>
      <c r="CM3531" s="208" t="n"/>
      <c r="CN3531" s="78" t="n"/>
      <c r="CO3531" s="209" t="n"/>
      <c r="CP3531" s="204" t="n"/>
      <c r="CQ3531" s="204" t="n"/>
      <c r="CR3531" s="204" t="n"/>
      <c r="CS3531" s="204" t="n"/>
      <c r="CT3531" s="204" t="n"/>
      <c r="CU3531" s="204" t="n"/>
      <c r="CV3531" s="204" t="n"/>
      <c r="CW3531" s="204" t="n"/>
    </row>
    <row r="3532">
      <c r="BF3532" s="78" t="n"/>
      <c r="BG3532" s="78" t="n"/>
      <c r="BH3532" s="78" t="n"/>
      <c r="BI3532" s="78" t="n"/>
      <c r="BJ3532" s="139" t="n"/>
      <c r="BK3532" s="204" t="n"/>
      <c r="BL3532" s="141" t="n"/>
      <c r="BM3532" s="205" t="n"/>
      <c r="BN3532" s="205" t="n"/>
      <c r="BO3532" s="206" t="n"/>
      <c r="BP3532" s="144" t="n"/>
      <c r="BQ3532" s="141" t="n"/>
      <c r="BR3532" s="207" t="n"/>
      <c r="BS3532" s="207" t="n"/>
      <c r="BT3532" s="207" t="n"/>
      <c r="BU3532" s="207" t="n"/>
      <c r="BV3532" s="208" t="n"/>
      <c r="BW3532" s="207" t="n"/>
      <c r="BX3532" s="207" t="n"/>
      <c r="BY3532" s="204" t="n"/>
      <c r="BZ3532" s="148" t="n"/>
      <c r="CA3532" s="204" t="n"/>
      <c r="CB3532" s="208" t="n"/>
      <c r="CC3532" s="139" t="n"/>
      <c r="CD3532" s="204" t="n"/>
      <c r="CE3532" s="204" t="n"/>
      <c r="CF3532" s="207" t="n"/>
      <c r="CG3532" s="208" t="n"/>
      <c r="CH3532" s="207" t="n"/>
      <c r="CI3532" s="208" t="n"/>
      <c r="CJ3532" s="204" t="n"/>
      <c r="CK3532" s="208" t="n"/>
      <c r="CL3532" s="208" t="n"/>
      <c r="CM3532" s="208" t="n"/>
      <c r="CN3532" s="78" t="n"/>
      <c r="CO3532" s="209" t="n"/>
      <c r="CP3532" s="204" t="n"/>
      <c r="CQ3532" s="204" t="n"/>
      <c r="CR3532" s="204" t="n"/>
      <c r="CS3532" s="204" t="n"/>
      <c r="CT3532" s="204" t="n"/>
      <c r="CU3532" s="204" t="n"/>
      <c r="CV3532" s="204" t="n"/>
      <c r="CW3532" s="204" t="n"/>
    </row>
    <row r="3533">
      <c r="BF3533" s="78" t="n"/>
      <c r="BG3533" s="78" t="n"/>
      <c r="BH3533" s="78" t="n"/>
      <c r="BI3533" s="78" t="n"/>
      <c r="BJ3533" s="139" t="n"/>
      <c r="BK3533" s="204" t="n"/>
      <c r="BL3533" s="141" t="n"/>
      <c r="BM3533" s="205" t="n"/>
      <c r="BN3533" s="205" t="n"/>
      <c r="BO3533" s="206" t="n"/>
      <c r="BP3533" s="144" t="n"/>
      <c r="BQ3533" s="141" t="n"/>
      <c r="BR3533" s="207" t="n"/>
      <c r="BS3533" s="207" t="n"/>
      <c r="BT3533" s="207" t="n"/>
      <c r="BU3533" s="207" t="n"/>
      <c r="BV3533" s="208" t="n"/>
      <c r="BW3533" s="207" t="n"/>
      <c r="BX3533" s="207" t="n"/>
      <c r="BY3533" s="204" t="n"/>
      <c r="BZ3533" s="148" t="n"/>
      <c r="CA3533" s="204" t="n"/>
      <c r="CB3533" s="208" t="n"/>
      <c r="CC3533" s="139" t="n"/>
      <c r="CD3533" s="204" t="n"/>
      <c r="CE3533" s="204" t="n"/>
      <c r="CF3533" s="207" t="n"/>
      <c r="CG3533" s="208" t="n"/>
      <c r="CH3533" s="207" t="n"/>
      <c r="CI3533" s="208" t="n"/>
      <c r="CJ3533" s="204" t="n"/>
      <c r="CK3533" s="208" t="n"/>
      <c r="CL3533" s="208" t="n"/>
      <c r="CM3533" s="208" t="n"/>
      <c r="CN3533" s="78" t="n"/>
      <c r="CO3533" s="209" t="n"/>
      <c r="CP3533" s="204" t="n"/>
      <c r="CQ3533" s="204" t="n"/>
      <c r="CR3533" s="204" t="n"/>
      <c r="CS3533" s="204" t="n"/>
      <c r="CT3533" s="204" t="n"/>
      <c r="CU3533" s="204" t="n"/>
      <c r="CV3533" s="204" t="n"/>
      <c r="CW3533" s="204" t="n"/>
    </row>
    <row r="3534">
      <c r="BF3534" s="78" t="n"/>
      <c r="BG3534" s="78" t="n"/>
      <c r="BH3534" s="78" t="n"/>
      <c r="BI3534" s="78" t="n"/>
      <c r="BJ3534" s="139" t="n"/>
      <c r="BK3534" s="204" t="n"/>
      <c r="BL3534" s="141" t="n"/>
      <c r="BM3534" s="205" t="n"/>
      <c r="BN3534" s="205" t="n"/>
      <c r="BO3534" s="206" t="n"/>
      <c r="BP3534" s="144" t="n"/>
      <c r="BQ3534" s="141" t="n"/>
      <c r="BR3534" s="207" t="n"/>
      <c r="BS3534" s="207" t="n"/>
      <c r="BT3534" s="207" t="n"/>
      <c r="BU3534" s="207" t="n"/>
      <c r="BV3534" s="208" t="n"/>
      <c r="BW3534" s="207" t="n"/>
      <c r="BX3534" s="207" t="n"/>
      <c r="BY3534" s="204" t="n"/>
      <c r="BZ3534" s="148" t="n"/>
      <c r="CA3534" s="204" t="n"/>
      <c r="CB3534" s="208" t="n"/>
      <c r="CC3534" s="139" t="n"/>
      <c r="CD3534" s="204" t="n"/>
      <c r="CE3534" s="204" t="n"/>
      <c r="CF3534" s="207" t="n"/>
      <c r="CG3534" s="208" t="n"/>
      <c r="CH3534" s="207" t="n"/>
      <c r="CI3534" s="208" t="n"/>
      <c r="CJ3534" s="204" t="n"/>
      <c r="CK3534" s="208" t="n"/>
      <c r="CL3534" s="208" t="n"/>
      <c r="CM3534" s="208" t="n"/>
      <c r="CN3534" s="78" t="n"/>
      <c r="CO3534" s="209" t="n"/>
      <c r="CP3534" s="204" t="n"/>
      <c r="CQ3534" s="204" t="n"/>
      <c r="CR3534" s="204" t="n"/>
      <c r="CS3534" s="204" t="n"/>
      <c r="CT3534" s="204" t="n"/>
      <c r="CU3534" s="204" t="n"/>
      <c r="CV3534" s="204" t="n"/>
      <c r="CW3534" s="204" t="n"/>
    </row>
    <row r="3535">
      <c r="BF3535" s="78" t="n"/>
      <c r="BG3535" s="78" t="n"/>
      <c r="BH3535" s="78" t="n"/>
      <c r="BI3535" s="78" t="n"/>
      <c r="BJ3535" s="139" t="n"/>
      <c r="BK3535" s="204" t="n"/>
      <c r="BL3535" s="141" t="n"/>
      <c r="BM3535" s="205" t="n"/>
      <c r="BN3535" s="205" t="n"/>
      <c r="BO3535" s="206" t="n"/>
      <c r="BP3535" s="144" t="n"/>
      <c r="BQ3535" s="141" t="n"/>
      <c r="BR3535" s="207" t="n"/>
      <c r="BS3535" s="207" t="n"/>
      <c r="BT3535" s="207" t="n"/>
      <c r="BU3535" s="207" t="n"/>
      <c r="BV3535" s="208" t="n"/>
      <c r="BW3535" s="207" t="n"/>
      <c r="BX3535" s="207" t="n"/>
      <c r="BY3535" s="204" t="n"/>
      <c r="BZ3535" s="148" t="n"/>
      <c r="CA3535" s="204" t="n"/>
      <c r="CB3535" s="208" t="n"/>
      <c r="CC3535" s="139" t="n"/>
      <c r="CD3535" s="204" t="n"/>
      <c r="CE3535" s="204" t="n"/>
      <c r="CF3535" s="207" t="n"/>
      <c r="CG3535" s="208" t="n"/>
      <c r="CH3535" s="207" t="n"/>
      <c r="CI3535" s="208" t="n"/>
      <c r="CJ3535" s="204" t="n"/>
      <c r="CK3535" s="208" t="n"/>
      <c r="CL3535" s="208" t="n"/>
      <c r="CM3535" s="208" t="n"/>
      <c r="CN3535" s="78" t="n"/>
      <c r="CO3535" s="209" t="n"/>
      <c r="CP3535" s="204" t="n"/>
      <c r="CQ3535" s="204" t="n"/>
      <c r="CR3535" s="204" t="n"/>
      <c r="CS3535" s="204" t="n"/>
      <c r="CT3535" s="204" t="n"/>
      <c r="CU3535" s="204" t="n"/>
      <c r="CV3535" s="204" t="n"/>
      <c r="CW3535" s="204" t="n"/>
    </row>
    <row r="3536">
      <c r="BF3536" s="78" t="n"/>
      <c r="BG3536" s="78" t="n"/>
      <c r="BH3536" s="78" t="n"/>
      <c r="BI3536" s="78" t="n"/>
      <c r="BJ3536" s="139" t="n"/>
      <c r="BK3536" s="204" t="n"/>
      <c r="BL3536" s="141" t="n"/>
      <c r="BM3536" s="205" t="n"/>
      <c r="BN3536" s="205" t="n"/>
      <c r="BO3536" s="206" t="n"/>
      <c r="BP3536" s="144" t="n"/>
      <c r="BQ3536" s="141" t="n"/>
      <c r="BR3536" s="207" t="n"/>
      <c r="BS3536" s="207" t="n"/>
      <c r="BT3536" s="207" t="n"/>
      <c r="BU3536" s="207" t="n"/>
      <c r="BV3536" s="208" t="n"/>
      <c r="BW3536" s="207" t="n"/>
      <c r="BX3536" s="207" t="n"/>
      <c r="BY3536" s="204" t="n"/>
      <c r="BZ3536" s="148" t="n"/>
      <c r="CA3536" s="204" t="n"/>
      <c r="CB3536" s="208" t="n"/>
      <c r="CC3536" s="139" t="n"/>
      <c r="CD3536" s="204" t="n"/>
      <c r="CE3536" s="204" t="n"/>
      <c r="CF3536" s="207" t="n"/>
      <c r="CG3536" s="208" t="n"/>
      <c r="CH3536" s="207" t="n"/>
      <c r="CI3536" s="208" t="n"/>
      <c r="CJ3536" s="204" t="n"/>
      <c r="CK3536" s="208" t="n"/>
      <c r="CL3536" s="208" t="n"/>
      <c r="CM3536" s="208" t="n"/>
      <c r="CN3536" s="78" t="n"/>
      <c r="CO3536" s="209" t="n"/>
      <c r="CP3536" s="204" t="n"/>
      <c r="CQ3536" s="204" t="n"/>
      <c r="CR3536" s="204" t="n"/>
      <c r="CS3536" s="204" t="n"/>
      <c r="CT3536" s="204" t="n"/>
      <c r="CU3536" s="204" t="n"/>
      <c r="CV3536" s="204" t="n"/>
      <c r="CW3536" s="204" t="n"/>
    </row>
    <row r="3537">
      <c r="BF3537" s="78" t="n"/>
      <c r="BG3537" s="78" t="n"/>
      <c r="BH3537" s="78" t="n"/>
      <c r="BI3537" s="78" t="n"/>
      <c r="BJ3537" s="139" t="n"/>
      <c r="BK3537" s="204" t="n"/>
      <c r="BL3537" s="141" t="n"/>
      <c r="BM3537" s="205" t="n"/>
      <c r="BN3537" s="205" t="n"/>
      <c r="BO3537" s="206" t="n"/>
      <c r="BP3537" s="144" t="n"/>
      <c r="BQ3537" s="141" t="n"/>
      <c r="BR3537" s="207" t="n"/>
      <c r="BS3537" s="207" t="n"/>
      <c r="BT3537" s="207" t="n"/>
      <c r="BU3537" s="207" t="n"/>
      <c r="BV3537" s="208" t="n"/>
      <c r="BW3537" s="207" t="n"/>
      <c r="BX3537" s="207" t="n"/>
      <c r="BY3537" s="204" t="n"/>
      <c r="BZ3537" s="148" t="n"/>
      <c r="CA3537" s="204" t="n"/>
      <c r="CB3537" s="208" t="n"/>
      <c r="CC3537" s="139" t="n"/>
      <c r="CD3537" s="204" t="n"/>
      <c r="CE3537" s="204" t="n"/>
      <c r="CF3537" s="207" t="n"/>
      <c r="CG3537" s="208" t="n"/>
      <c r="CH3537" s="207" t="n"/>
      <c r="CI3537" s="208" t="n"/>
      <c r="CJ3537" s="204" t="n"/>
      <c r="CK3537" s="208" t="n"/>
      <c r="CL3537" s="208" t="n"/>
      <c r="CM3537" s="208" t="n"/>
      <c r="CN3537" s="78" t="n"/>
      <c r="CO3537" s="209" t="n"/>
      <c r="CP3537" s="204" t="n"/>
      <c r="CQ3537" s="204" t="n"/>
      <c r="CR3537" s="204" t="n"/>
      <c r="CS3537" s="204" t="n"/>
      <c r="CT3537" s="204" t="n"/>
      <c r="CU3537" s="204" t="n"/>
      <c r="CV3537" s="204" t="n"/>
      <c r="CW3537" s="204" t="n"/>
    </row>
    <row r="3538">
      <c r="BF3538" s="78" t="n"/>
      <c r="BG3538" s="78" t="n"/>
      <c r="BH3538" s="78" t="n"/>
      <c r="BI3538" s="78" t="n"/>
      <c r="BJ3538" s="139" t="n"/>
      <c r="BK3538" s="204" t="n"/>
      <c r="BL3538" s="141" t="n"/>
      <c r="BM3538" s="205" t="n"/>
      <c r="BN3538" s="205" t="n"/>
      <c r="BO3538" s="206" t="n"/>
      <c r="BP3538" s="144" t="n"/>
      <c r="BQ3538" s="141" t="n"/>
      <c r="BR3538" s="207" t="n"/>
      <c r="BS3538" s="207" t="n"/>
      <c r="BT3538" s="207" t="n"/>
      <c r="BU3538" s="207" t="n"/>
      <c r="BV3538" s="208" t="n"/>
      <c r="BW3538" s="207" t="n"/>
      <c r="BX3538" s="207" t="n"/>
      <c r="BY3538" s="204" t="n"/>
      <c r="BZ3538" s="148" t="n"/>
      <c r="CA3538" s="204" t="n"/>
      <c r="CB3538" s="208" t="n"/>
      <c r="CC3538" s="139" t="n"/>
      <c r="CD3538" s="204" t="n"/>
      <c r="CE3538" s="204" t="n"/>
      <c r="CF3538" s="207" t="n"/>
      <c r="CG3538" s="208" t="n"/>
      <c r="CH3538" s="207" t="n"/>
      <c r="CI3538" s="208" t="n"/>
      <c r="CJ3538" s="204" t="n"/>
      <c r="CK3538" s="208" t="n"/>
      <c r="CL3538" s="208" t="n"/>
      <c r="CM3538" s="208" t="n"/>
      <c r="CN3538" s="78" t="n"/>
      <c r="CO3538" s="209" t="n"/>
      <c r="CP3538" s="204" t="n"/>
      <c r="CQ3538" s="204" t="n"/>
      <c r="CR3538" s="204" t="n"/>
      <c r="CS3538" s="204" t="n"/>
      <c r="CT3538" s="204" t="n"/>
      <c r="CU3538" s="204" t="n"/>
      <c r="CV3538" s="204" t="n"/>
      <c r="CW3538" s="204" t="n"/>
    </row>
    <row r="3539">
      <c r="BF3539" s="78" t="n"/>
      <c r="BG3539" s="78" t="n"/>
      <c r="BH3539" s="78" t="n"/>
      <c r="BI3539" s="78" t="n"/>
      <c r="BJ3539" s="139" t="n"/>
      <c r="BK3539" s="204" t="n"/>
      <c r="BL3539" s="141" t="n"/>
      <c r="BM3539" s="205" t="n"/>
      <c r="BN3539" s="205" t="n"/>
      <c r="BO3539" s="206" t="n"/>
      <c r="BP3539" s="144" t="n"/>
      <c r="BQ3539" s="141" t="n"/>
      <c r="BR3539" s="207" t="n"/>
      <c r="BS3539" s="207" t="n"/>
      <c r="BT3539" s="207" t="n"/>
      <c r="BU3539" s="207" t="n"/>
      <c r="BV3539" s="208" t="n"/>
      <c r="BW3539" s="207" t="n"/>
      <c r="BX3539" s="207" t="n"/>
      <c r="BY3539" s="204" t="n"/>
      <c r="BZ3539" s="148" t="n"/>
      <c r="CA3539" s="204" t="n"/>
      <c r="CB3539" s="208" t="n"/>
      <c r="CC3539" s="139" t="n"/>
      <c r="CD3539" s="204" t="n"/>
      <c r="CE3539" s="204" t="n"/>
      <c r="CF3539" s="207" t="n"/>
      <c r="CG3539" s="208" t="n"/>
      <c r="CH3539" s="207" t="n"/>
      <c r="CI3539" s="208" t="n"/>
      <c r="CJ3539" s="204" t="n"/>
      <c r="CK3539" s="208" t="n"/>
      <c r="CL3539" s="208" t="n"/>
      <c r="CM3539" s="208" t="n"/>
      <c r="CN3539" s="78" t="n"/>
      <c r="CO3539" s="209" t="n"/>
      <c r="CP3539" s="204" t="n"/>
      <c r="CQ3539" s="204" t="n"/>
      <c r="CR3539" s="204" t="n"/>
      <c r="CS3539" s="204" t="n"/>
      <c r="CT3539" s="204" t="n"/>
      <c r="CU3539" s="204" t="n"/>
      <c r="CV3539" s="204" t="n"/>
      <c r="CW3539" s="204" t="n"/>
    </row>
    <row r="3540">
      <c r="BF3540" s="78" t="n"/>
      <c r="BG3540" s="78" t="n"/>
      <c r="BH3540" s="78" t="n"/>
      <c r="BI3540" s="78" t="n"/>
      <c r="BJ3540" s="139" t="n"/>
      <c r="BK3540" s="204" t="n"/>
      <c r="BL3540" s="141" t="n"/>
      <c r="BM3540" s="205" t="n"/>
      <c r="BN3540" s="205" t="n"/>
      <c r="BO3540" s="206" t="n"/>
      <c r="BP3540" s="144" t="n"/>
      <c r="BQ3540" s="141" t="n"/>
      <c r="BR3540" s="207" t="n"/>
      <c r="BS3540" s="207" t="n"/>
      <c r="BT3540" s="207" t="n"/>
      <c r="BU3540" s="207" t="n"/>
      <c r="BV3540" s="208" t="n"/>
      <c r="BW3540" s="207" t="n"/>
      <c r="BX3540" s="207" t="n"/>
      <c r="BY3540" s="204" t="n"/>
      <c r="BZ3540" s="148" t="n"/>
      <c r="CA3540" s="204" t="n"/>
      <c r="CB3540" s="208" t="n"/>
      <c r="CC3540" s="139" t="n"/>
      <c r="CD3540" s="204" t="n"/>
      <c r="CE3540" s="204" t="n"/>
      <c r="CF3540" s="207" t="n"/>
      <c r="CG3540" s="208" t="n"/>
      <c r="CH3540" s="207" t="n"/>
      <c r="CI3540" s="208" t="n"/>
      <c r="CJ3540" s="204" t="n"/>
      <c r="CK3540" s="208" t="n"/>
      <c r="CL3540" s="208" t="n"/>
      <c r="CM3540" s="208" t="n"/>
      <c r="CN3540" s="78" t="n"/>
      <c r="CO3540" s="209" t="n"/>
      <c r="CP3540" s="204" t="n"/>
      <c r="CQ3540" s="204" t="n"/>
      <c r="CR3540" s="204" t="n"/>
      <c r="CS3540" s="204" t="n"/>
      <c r="CT3540" s="204" t="n"/>
      <c r="CU3540" s="204" t="n"/>
      <c r="CV3540" s="204" t="n"/>
      <c r="CW3540" s="204" t="n"/>
    </row>
    <row r="3541">
      <c r="BF3541" s="78" t="n"/>
      <c r="BG3541" s="78" t="n"/>
      <c r="BH3541" s="78" t="n"/>
      <c r="BI3541" s="78" t="n"/>
      <c r="BJ3541" s="139" t="n"/>
      <c r="BK3541" s="204" t="n"/>
      <c r="BL3541" s="141" t="n"/>
      <c r="BM3541" s="205" t="n"/>
      <c r="BN3541" s="205" t="n"/>
      <c r="BO3541" s="206" t="n"/>
      <c r="BP3541" s="144" t="n"/>
      <c r="BQ3541" s="141" t="n"/>
      <c r="BR3541" s="207" t="n"/>
      <c r="BS3541" s="207" t="n"/>
      <c r="BT3541" s="207" t="n"/>
      <c r="BU3541" s="207" t="n"/>
      <c r="BV3541" s="208" t="n"/>
      <c r="BW3541" s="207" t="n"/>
      <c r="BX3541" s="207" t="n"/>
      <c r="BY3541" s="204" t="n"/>
      <c r="BZ3541" s="148" t="n"/>
      <c r="CA3541" s="204" t="n"/>
      <c r="CB3541" s="208" t="n"/>
      <c r="CC3541" s="139" t="n"/>
      <c r="CD3541" s="204" t="n"/>
      <c r="CE3541" s="204" t="n"/>
      <c r="CF3541" s="207" t="n"/>
      <c r="CG3541" s="208" t="n"/>
      <c r="CH3541" s="207" t="n"/>
      <c r="CI3541" s="208" t="n"/>
      <c r="CJ3541" s="204" t="n"/>
      <c r="CK3541" s="208" t="n"/>
      <c r="CL3541" s="208" t="n"/>
      <c r="CM3541" s="208" t="n"/>
      <c r="CN3541" s="78" t="n"/>
      <c r="CO3541" s="209" t="n"/>
      <c r="CP3541" s="204" t="n"/>
      <c r="CQ3541" s="204" t="n"/>
      <c r="CR3541" s="204" t="n"/>
      <c r="CS3541" s="204" t="n"/>
      <c r="CT3541" s="204" t="n"/>
      <c r="CU3541" s="204" t="n"/>
      <c r="CV3541" s="204" t="n"/>
      <c r="CW3541" s="204" t="n"/>
    </row>
    <row r="3542">
      <c r="BF3542" s="78" t="n"/>
      <c r="BG3542" s="78" t="n"/>
      <c r="BH3542" s="78" t="n"/>
      <c r="BI3542" s="78" t="n"/>
      <c r="BJ3542" s="139" t="n"/>
      <c r="BK3542" s="204" t="n"/>
      <c r="BL3542" s="141" t="n"/>
      <c r="BM3542" s="205" t="n"/>
      <c r="BN3542" s="205" t="n"/>
      <c r="BO3542" s="206" t="n"/>
      <c r="BP3542" s="144" t="n"/>
      <c r="BQ3542" s="141" t="n"/>
      <c r="BR3542" s="207" t="n"/>
      <c r="BS3542" s="207" t="n"/>
      <c r="BT3542" s="207" t="n"/>
      <c r="BU3542" s="207" t="n"/>
      <c r="BV3542" s="208" t="n"/>
      <c r="BW3542" s="207" t="n"/>
      <c r="BX3542" s="207" t="n"/>
      <c r="BY3542" s="204" t="n"/>
      <c r="BZ3542" s="148" t="n"/>
      <c r="CA3542" s="204" t="n"/>
      <c r="CB3542" s="208" t="n"/>
      <c r="CC3542" s="139" t="n"/>
      <c r="CD3542" s="204" t="n"/>
      <c r="CE3542" s="204" t="n"/>
      <c r="CF3542" s="207" t="n"/>
      <c r="CG3542" s="208" t="n"/>
      <c r="CH3542" s="207" t="n"/>
      <c r="CI3542" s="208" t="n"/>
      <c r="CJ3542" s="204" t="n"/>
      <c r="CK3542" s="208" t="n"/>
      <c r="CL3542" s="208" t="n"/>
      <c r="CM3542" s="208" t="n"/>
      <c r="CN3542" s="78" t="n"/>
      <c r="CO3542" s="209" t="n"/>
      <c r="CP3542" s="204" t="n"/>
      <c r="CQ3542" s="204" t="n"/>
      <c r="CR3542" s="204" t="n"/>
      <c r="CS3542" s="204" t="n"/>
      <c r="CT3542" s="204" t="n"/>
      <c r="CU3542" s="204" t="n"/>
      <c r="CV3542" s="204" t="n"/>
      <c r="CW3542" s="204" t="n"/>
    </row>
    <row r="3543">
      <c r="BF3543" s="78" t="n"/>
      <c r="BG3543" s="78" t="n"/>
      <c r="BH3543" s="78" t="n"/>
      <c r="BI3543" s="78" t="n"/>
      <c r="BJ3543" s="139" t="n"/>
      <c r="BK3543" s="204" t="n"/>
      <c r="BL3543" s="141" t="n"/>
      <c r="BM3543" s="205" t="n"/>
      <c r="BN3543" s="205" t="n"/>
      <c r="BO3543" s="206" t="n"/>
      <c r="BP3543" s="144" t="n"/>
      <c r="BQ3543" s="141" t="n"/>
      <c r="BR3543" s="207" t="n"/>
      <c r="BS3543" s="207" t="n"/>
      <c r="BT3543" s="207" t="n"/>
      <c r="BU3543" s="207" t="n"/>
      <c r="BV3543" s="208" t="n"/>
      <c r="BW3543" s="207" t="n"/>
      <c r="BX3543" s="207" t="n"/>
      <c r="BY3543" s="204" t="n"/>
      <c r="BZ3543" s="148" t="n"/>
      <c r="CA3543" s="204" t="n"/>
      <c r="CB3543" s="208" t="n"/>
      <c r="CC3543" s="139" t="n"/>
      <c r="CD3543" s="204" t="n"/>
      <c r="CE3543" s="204" t="n"/>
      <c r="CF3543" s="207" t="n"/>
      <c r="CG3543" s="208" t="n"/>
      <c r="CH3543" s="207" t="n"/>
      <c r="CI3543" s="208" t="n"/>
      <c r="CJ3543" s="204" t="n"/>
      <c r="CK3543" s="208" t="n"/>
      <c r="CL3543" s="208" t="n"/>
      <c r="CM3543" s="208" t="n"/>
      <c r="CN3543" s="78" t="n"/>
      <c r="CO3543" s="209" t="n"/>
      <c r="CP3543" s="204" t="n"/>
      <c r="CQ3543" s="204" t="n"/>
      <c r="CR3543" s="204" t="n"/>
      <c r="CS3543" s="204" t="n"/>
      <c r="CT3543" s="204" t="n"/>
      <c r="CU3543" s="204" t="n"/>
      <c r="CV3543" s="204" t="n"/>
      <c r="CW3543" s="204" t="n"/>
    </row>
    <row r="3544">
      <c r="BF3544" s="78" t="n"/>
      <c r="BG3544" s="78" t="n"/>
      <c r="BH3544" s="78" t="n"/>
      <c r="BI3544" s="78" t="n"/>
      <c r="BJ3544" s="139" t="n"/>
      <c r="BK3544" s="204" t="n"/>
      <c r="BL3544" s="141" t="n"/>
      <c r="BM3544" s="205" t="n"/>
      <c r="BN3544" s="205" t="n"/>
      <c r="BO3544" s="206" t="n"/>
      <c r="BP3544" s="144" t="n"/>
      <c r="BQ3544" s="141" t="n"/>
      <c r="BR3544" s="207" t="n"/>
      <c r="BS3544" s="207" t="n"/>
      <c r="BT3544" s="207" t="n"/>
      <c r="BU3544" s="207" t="n"/>
      <c r="BV3544" s="208" t="n"/>
      <c r="BW3544" s="207" t="n"/>
      <c r="BX3544" s="207" t="n"/>
      <c r="BY3544" s="204" t="n"/>
      <c r="BZ3544" s="148" t="n"/>
      <c r="CA3544" s="204" t="n"/>
      <c r="CB3544" s="208" t="n"/>
      <c r="CC3544" s="139" t="n"/>
      <c r="CD3544" s="204" t="n"/>
      <c r="CE3544" s="204" t="n"/>
      <c r="CF3544" s="207" t="n"/>
      <c r="CG3544" s="208" t="n"/>
      <c r="CH3544" s="207" t="n"/>
      <c r="CI3544" s="208" t="n"/>
      <c r="CJ3544" s="204" t="n"/>
      <c r="CK3544" s="208" t="n"/>
      <c r="CL3544" s="208" t="n"/>
      <c r="CM3544" s="208" t="n"/>
      <c r="CN3544" s="78" t="n"/>
      <c r="CO3544" s="209" t="n"/>
      <c r="CP3544" s="204" t="n"/>
      <c r="CQ3544" s="204" t="n"/>
      <c r="CR3544" s="204" t="n"/>
      <c r="CS3544" s="204" t="n"/>
      <c r="CT3544" s="204" t="n"/>
      <c r="CU3544" s="204" t="n"/>
      <c r="CV3544" s="204" t="n"/>
      <c r="CW3544" s="204" t="n"/>
    </row>
    <row r="3545">
      <c r="BF3545" s="78" t="n"/>
      <c r="BG3545" s="78" t="n"/>
      <c r="BH3545" s="78" t="n"/>
      <c r="BI3545" s="78" t="n"/>
      <c r="BJ3545" s="139" t="n"/>
      <c r="BK3545" s="204" t="n"/>
      <c r="BL3545" s="141" t="n"/>
      <c r="BM3545" s="205" t="n"/>
      <c r="BN3545" s="205" t="n"/>
      <c r="BO3545" s="206" t="n"/>
      <c r="BP3545" s="144" t="n"/>
      <c r="BQ3545" s="141" t="n"/>
      <c r="BR3545" s="207" t="n"/>
      <c r="BS3545" s="207" t="n"/>
      <c r="BT3545" s="207" t="n"/>
      <c r="BU3545" s="207" t="n"/>
      <c r="BV3545" s="208" t="n"/>
      <c r="BW3545" s="207" t="n"/>
      <c r="BX3545" s="207" t="n"/>
      <c r="BY3545" s="204" t="n"/>
      <c r="BZ3545" s="148" t="n"/>
      <c r="CA3545" s="204" t="n"/>
      <c r="CB3545" s="208" t="n"/>
      <c r="CC3545" s="139" t="n"/>
      <c r="CD3545" s="204" t="n"/>
      <c r="CE3545" s="204" t="n"/>
      <c r="CF3545" s="207" t="n"/>
      <c r="CG3545" s="208" t="n"/>
      <c r="CH3545" s="207" t="n"/>
      <c r="CI3545" s="208" t="n"/>
      <c r="CJ3545" s="204" t="n"/>
      <c r="CK3545" s="208" t="n"/>
      <c r="CL3545" s="208" t="n"/>
      <c r="CM3545" s="208" t="n"/>
      <c r="CN3545" s="78" t="n"/>
      <c r="CO3545" s="209" t="n"/>
      <c r="CP3545" s="204" t="n"/>
      <c r="CQ3545" s="204" t="n"/>
      <c r="CR3545" s="204" t="n"/>
      <c r="CS3545" s="204" t="n"/>
      <c r="CT3545" s="204" t="n"/>
      <c r="CU3545" s="204" t="n"/>
      <c r="CV3545" s="204" t="n"/>
      <c r="CW3545" s="204" t="n"/>
    </row>
    <row r="3546">
      <c r="BF3546" s="78" t="n"/>
      <c r="BG3546" s="78" t="n"/>
      <c r="BH3546" s="78" t="n"/>
      <c r="BI3546" s="78" t="n"/>
      <c r="BJ3546" s="139" t="n"/>
      <c r="BK3546" s="204" t="n"/>
      <c r="BL3546" s="141" t="n"/>
      <c r="BM3546" s="205" t="n"/>
      <c r="BN3546" s="205" t="n"/>
      <c r="BO3546" s="206" t="n"/>
      <c r="BP3546" s="144" t="n"/>
      <c r="BQ3546" s="141" t="n"/>
      <c r="BR3546" s="207" t="n"/>
      <c r="BS3546" s="207" t="n"/>
      <c r="BT3546" s="207" t="n"/>
      <c r="BU3546" s="207" t="n"/>
      <c r="BV3546" s="208" t="n"/>
      <c r="BW3546" s="207" t="n"/>
      <c r="BX3546" s="207" t="n"/>
      <c r="BY3546" s="204" t="n"/>
      <c r="BZ3546" s="148" t="n"/>
      <c r="CA3546" s="204" t="n"/>
      <c r="CB3546" s="208" t="n"/>
      <c r="CC3546" s="139" t="n"/>
      <c r="CD3546" s="204" t="n"/>
      <c r="CE3546" s="204" t="n"/>
      <c r="CF3546" s="207" t="n"/>
      <c r="CG3546" s="208" t="n"/>
      <c r="CH3546" s="207" t="n"/>
      <c r="CI3546" s="208" t="n"/>
      <c r="CJ3546" s="204" t="n"/>
      <c r="CK3546" s="208" t="n"/>
      <c r="CL3546" s="208" t="n"/>
      <c r="CM3546" s="208" t="n"/>
      <c r="CN3546" s="78" t="n"/>
      <c r="CO3546" s="209" t="n"/>
      <c r="CP3546" s="204" t="n"/>
      <c r="CQ3546" s="204" t="n"/>
      <c r="CR3546" s="204" t="n"/>
      <c r="CS3546" s="204" t="n"/>
      <c r="CT3546" s="204" t="n"/>
      <c r="CU3546" s="204" t="n"/>
      <c r="CV3546" s="204" t="n"/>
      <c r="CW3546" s="204" t="n"/>
    </row>
    <row r="3547">
      <c r="BF3547" s="78" t="n"/>
      <c r="BG3547" s="78" t="n"/>
      <c r="BH3547" s="78" t="n"/>
      <c r="BI3547" s="78" t="n"/>
      <c r="BJ3547" s="139" t="n"/>
      <c r="BK3547" s="204" t="n"/>
      <c r="BL3547" s="141" t="n"/>
      <c r="BM3547" s="205" t="n"/>
      <c r="BN3547" s="205" t="n"/>
      <c r="BO3547" s="206" t="n"/>
      <c r="BP3547" s="144" t="n"/>
      <c r="BQ3547" s="141" t="n"/>
      <c r="BR3547" s="207" t="n"/>
      <c r="BS3547" s="207" t="n"/>
      <c r="BT3547" s="207" t="n"/>
      <c r="BU3547" s="207" t="n"/>
      <c r="BV3547" s="208" t="n"/>
      <c r="BW3547" s="207" t="n"/>
      <c r="BX3547" s="207" t="n"/>
      <c r="BY3547" s="204" t="n"/>
      <c r="BZ3547" s="148" t="n"/>
      <c r="CA3547" s="204" t="n"/>
      <c r="CB3547" s="208" t="n"/>
      <c r="CC3547" s="139" t="n"/>
      <c r="CD3547" s="204" t="n"/>
      <c r="CE3547" s="204" t="n"/>
      <c r="CF3547" s="207" t="n"/>
      <c r="CG3547" s="208" t="n"/>
      <c r="CH3547" s="207" t="n"/>
      <c r="CI3547" s="208" t="n"/>
      <c r="CJ3547" s="204" t="n"/>
      <c r="CK3547" s="208" t="n"/>
      <c r="CL3547" s="208" t="n"/>
      <c r="CM3547" s="208" t="n"/>
      <c r="CN3547" s="78" t="n"/>
      <c r="CO3547" s="209" t="n"/>
      <c r="CP3547" s="204" t="n"/>
      <c r="CQ3547" s="204" t="n"/>
      <c r="CR3547" s="204" t="n"/>
      <c r="CS3547" s="204" t="n"/>
      <c r="CT3547" s="204" t="n"/>
      <c r="CU3547" s="204" t="n"/>
      <c r="CV3547" s="204" t="n"/>
      <c r="CW3547" s="204" t="n"/>
    </row>
    <row r="3548">
      <c r="BF3548" s="78" t="n"/>
      <c r="BG3548" s="78" t="n"/>
      <c r="BH3548" s="78" t="n"/>
      <c r="BI3548" s="78" t="n"/>
      <c r="BJ3548" s="139" t="n"/>
      <c r="BK3548" s="204" t="n"/>
      <c r="BL3548" s="141" t="n"/>
      <c r="BM3548" s="205" t="n"/>
      <c r="BN3548" s="205" t="n"/>
      <c r="BO3548" s="206" t="n"/>
      <c r="BP3548" s="144" t="n"/>
      <c r="BQ3548" s="141" t="n"/>
      <c r="BR3548" s="207" t="n"/>
      <c r="BS3548" s="207" t="n"/>
      <c r="BT3548" s="207" t="n"/>
      <c r="BU3548" s="207" t="n"/>
      <c r="BV3548" s="208" t="n"/>
      <c r="BW3548" s="207" t="n"/>
      <c r="BX3548" s="207" t="n"/>
      <c r="BY3548" s="204" t="n"/>
      <c r="BZ3548" s="148" t="n"/>
      <c r="CA3548" s="204" t="n"/>
      <c r="CB3548" s="208" t="n"/>
      <c r="CC3548" s="139" t="n"/>
      <c r="CD3548" s="204" t="n"/>
      <c r="CE3548" s="204" t="n"/>
      <c r="CF3548" s="207" t="n"/>
      <c r="CG3548" s="208" t="n"/>
      <c r="CH3548" s="207" t="n"/>
      <c r="CI3548" s="208" t="n"/>
      <c r="CJ3548" s="204" t="n"/>
      <c r="CK3548" s="208" t="n"/>
      <c r="CL3548" s="208" t="n"/>
      <c r="CM3548" s="208" t="n"/>
      <c r="CN3548" s="78" t="n"/>
      <c r="CO3548" s="209" t="n"/>
      <c r="CP3548" s="204" t="n"/>
      <c r="CQ3548" s="204" t="n"/>
      <c r="CR3548" s="204" t="n"/>
      <c r="CS3548" s="204" t="n"/>
      <c r="CT3548" s="204" t="n"/>
      <c r="CU3548" s="204" t="n"/>
      <c r="CV3548" s="204" t="n"/>
      <c r="CW3548" s="204" t="n"/>
    </row>
    <row r="3549">
      <c r="BF3549" s="78" t="n"/>
      <c r="BG3549" s="78" t="n"/>
      <c r="BH3549" s="78" t="n"/>
      <c r="BI3549" s="78" t="n"/>
      <c r="BJ3549" s="139" t="n"/>
      <c r="BK3549" s="204" t="n"/>
      <c r="BL3549" s="141" t="n"/>
      <c r="BM3549" s="205" t="n"/>
      <c r="BN3549" s="205" t="n"/>
      <c r="BO3549" s="206" t="n"/>
      <c r="BP3549" s="144" t="n"/>
      <c r="BQ3549" s="141" t="n"/>
      <c r="BR3549" s="207" t="n"/>
      <c r="BS3549" s="207" t="n"/>
      <c r="BT3549" s="207" t="n"/>
      <c r="BU3549" s="207" t="n"/>
      <c r="BV3549" s="208" t="n"/>
      <c r="BW3549" s="207" t="n"/>
      <c r="BX3549" s="207" t="n"/>
      <c r="BY3549" s="204" t="n"/>
      <c r="BZ3549" s="148" t="n"/>
      <c r="CA3549" s="204" t="n"/>
      <c r="CB3549" s="208" t="n"/>
      <c r="CC3549" s="139" t="n"/>
      <c r="CD3549" s="204" t="n"/>
      <c r="CE3549" s="204" t="n"/>
      <c r="CF3549" s="207" t="n"/>
      <c r="CG3549" s="208" t="n"/>
      <c r="CH3549" s="207" t="n"/>
      <c r="CI3549" s="208" t="n"/>
      <c r="CJ3549" s="204" t="n"/>
      <c r="CK3549" s="208" t="n"/>
      <c r="CL3549" s="208" t="n"/>
      <c r="CM3549" s="208" t="n"/>
      <c r="CN3549" s="78" t="n"/>
      <c r="CO3549" s="209" t="n"/>
      <c r="CP3549" s="204" t="n"/>
      <c r="CQ3549" s="204" t="n"/>
      <c r="CR3549" s="204" t="n"/>
      <c r="CS3549" s="204" t="n"/>
      <c r="CT3549" s="204" t="n"/>
      <c r="CU3549" s="204" t="n"/>
      <c r="CV3549" s="204" t="n"/>
      <c r="CW3549" s="204" t="n"/>
    </row>
    <row r="3550">
      <c r="BF3550" s="78" t="n"/>
      <c r="BG3550" s="78" t="n"/>
      <c r="BH3550" s="78" t="n"/>
      <c r="BI3550" s="78" t="n"/>
      <c r="BJ3550" s="139" t="n"/>
      <c r="BK3550" s="204" t="n"/>
      <c r="BL3550" s="141" t="n"/>
      <c r="BM3550" s="205" t="n"/>
      <c r="BN3550" s="205" t="n"/>
      <c r="BO3550" s="206" t="n"/>
      <c r="BP3550" s="144" t="n"/>
      <c r="BQ3550" s="141" t="n"/>
      <c r="BR3550" s="207" t="n"/>
      <c r="BS3550" s="207" t="n"/>
      <c r="BT3550" s="207" t="n"/>
      <c r="BU3550" s="207" t="n"/>
      <c r="BV3550" s="208" t="n"/>
      <c r="BW3550" s="207" t="n"/>
      <c r="BX3550" s="207" t="n"/>
      <c r="BY3550" s="204" t="n"/>
      <c r="BZ3550" s="148" t="n"/>
      <c r="CA3550" s="204" t="n"/>
      <c r="CB3550" s="208" t="n"/>
      <c r="CC3550" s="139" t="n"/>
      <c r="CD3550" s="204" t="n"/>
      <c r="CE3550" s="204" t="n"/>
      <c r="CF3550" s="207" t="n"/>
      <c r="CG3550" s="208" t="n"/>
      <c r="CH3550" s="207" t="n"/>
      <c r="CI3550" s="208" t="n"/>
      <c r="CJ3550" s="204" t="n"/>
      <c r="CK3550" s="208" t="n"/>
      <c r="CL3550" s="208" t="n"/>
      <c r="CM3550" s="208" t="n"/>
      <c r="CN3550" s="78" t="n"/>
      <c r="CO3550" s="209" t="n"/>
      <c r="CP3550" s="204" t="n"/>
      <c r="CQ3550" s="204" t="n"/>
      <c r="CR3550" s="204" t="n"/>
      <c r="CS3550" s="204" t="n"/>
      <c r="CT3550" s="204" t="n"/>
      <c r="CU3550" s="204" t="n"/>
      <c r="CV3550" s="204" t="n"/>
      <c r="CW3550" s="204" t="n"/>
    </row>
    <row r="3551">
      <c r="BF3551" s="78" t="n"/>
      <c r="BG3551" s="78" t="n"/>
      <c r="BH3551" s="78" t="n"/>
      <c r="BI3551" s="78" t="n"/>
      <c r="BJ3551" s="139" t="n"/>
      <c r="BK3551" s="204" t="n"/>
      <c r="BL3551" s="141" t="n"/>
      <c r="BM3551" s="205" t="n"/>
      <c r="BN3551" s="205" t="n"/>
      <c r="BO3551" s="206" t="n"/>
      <c r="BP3551" s="144" t="n"/>
      <c r="BQ3551" s="141" t="n"/>
      <c r="BR3551" s="207" t="n"/>
      <c r="BS3551" s="207" t="n"/>
      <c r="BT3551" s="207" t="n"/>
      <c r="BU3551" s="207" t="n"/>
      <c r="BV3551" s="208" t="n"/>
      <c r="BW3551" s="207" t="n"/>
      <c r="BX3551" s="207" t="n"/>
      <c r="BY3551" s="204" t="n"/>
      <c r="BZ3551" s="148" t="n"/>
      <c r="CA3551" s="204" t="n"/>
      <c r="CB3551" s="208" t="n"/>
      <c r="CC3551" s="139" t="n"/>
      <c r="CD3551" s="204" t="n"/>
      <c r="CE3551" s="204" t="n"/>
      <c r="CF3551" s="207" t="n"/>
      <c r="CG3551" s="208" t="n"/>
      <c r="CH3551" s="207" t="n"/>
      <c r="CI3551" s="208" t="n"/>
      <c r="CJ3551" s="204" t="n"/>
      <c r="CK3551" s="208" t="n"/>
      <c r="CL3551" s="208" t="n"/>
      <c r="CM3551" s="208" t="n"/>
      <c r="CN3551" s="78" t="n"/>
      <c r="CO3551" s="209" t="n"/>
      <c r="CP3551" s="204" t="n"/>
      <c r="CQ3551" s="204" t="n"/>
      <c r="CR3551" s="204" t="n"/>
      <c r="CS3551" s="204" t="n"/>
      <c r="CT3551" s="204" t="n"/>
      <c r="CU3551" s="204" t="n"/>
      <c r="CV3551" s="204" t="n"/>
      <c r="CW3551" s="204" t="n"/>
    </row>
    <row r="3552">
      <c r="BF3552" s="78" t="n"/>
      <c r="BG3552" s="78" t="n"/>
      <c r="BH3552" s="78" t="n"/>
      <c r="BI3552" s="78" t="n"/>
      <c r="BJ3552" s="139" t="n"/>
      <c r="BK3552" s="204" t="n"/>
      <c r="BL3552" s="141" t="n"/>
      <c r="BM3552" s="205" t="n"/>
      <c r="BN3552" s="205" t="n"/>
      <c r="BO3552" s="206" t="n"/>
      <c r="BP3552" s="144" t="n"/>
      <c r="BQ3552" s="141" t="n"/>
      <c r="BR3552" s="207" t="n"/>
      <c r="BS3552" s="207" t="n"/>
      <c r="BT3552" s="207" t="n"/>
      <c r="BU3552" s="207" t="n"/>
      <c r="BV3552" s="208" t="n"/>
      <c r="BW3552" s="207" t="n"/>
      <c r="BX3552" s="207" t="n"/>
      <c r="BY3552" s="204" t="n"/>
      <c r="BZ3552" s="148" t="n"/>
      <c r="CA3552" s="204" t="n"/>
      <c r="CB3552" s="208" t="n"/>
      <c r="CC3552" s="139" t="n"/>
      <c r="CD3552" s="204" t="n"/>
      <c r="CE3552" s="204" t="n"/>
      <c r="CF3552" s="207" t="n"/>
      <c r="CG3552" s="208" t="n"/>
      <c r="CH3552" s="207" t="n"/>
      <c r="CI3552" s="208" t="n"/>
      <c r="CJ3552" s="204" t="n"/>
      <c r="CK3552" s="208" t="n"/>
      <c r="CL3552" s="208" t="n"/>
      <c r="CM3552" s="208" t="n"/>
      <c r="CN3552" s="78" t="n"/>
      <c r="CO3552" s="209" t="n"/>
      <c r="CP3552" s="204" t="n"/>
      <c r="CQ3552" s="204" t="n"/>
      <c r="CR3552" s="204" t="n"/>
      <c r="CS3552" s="204" t="n"/>
      <c r="CT3552" s="204" t="n"/>
      <c r="CU3552" s="204" t="n"/>
      <c r="CV3552" s="204" t="n"/>
      <c r="CW3552" s="204" t="n"/>
    </row>
    <row r="3553">
      <c r="BF3553" s="78" t="n"/>
      <c r="BG3553" s="78" t="n"/>
      <c r="BH3553" s="78" t="n"/>
      <c r="BI3553" s="78" t="n"/>
      <c r="BJ3553" s="139" t="n"/>
      <c r="BK3553" s="204" t="n"/>
      <c r="BL3553" s="141" t="n"/>
      <c r="BM3553" s="205" t="n"/>
      <c r="BN3553" s="205" t="n"/>
      <c r="BO3553" s="206" t="n"/>
      <c r="BP3553" s="144" t="n"/>
      <c r="BQ3553" s="141" t="n"/>
      <c r="BR3553" s="207" t="n"/>
      <c r="BS3553" s="207" t="n"/>
      <c r="BT3553" s="207" t="n"/>
      <c r="BU3553" s="207" t="n"/>
      <c r="BV3553" s="208" t="n"/>
      <c r="BW3553" s="207" t="n"/>
      <c r="BX3553" s="207" t="n"/>
      <c r="BY3553" s="204" t="n"/>
      <c r="BZ3553" s="148" t="n"/>
      <c r="CA3553" s="204" t="n"/>
      <c r="CB3553" s="208" t="n"/>
      <c r="CC3553" s="139" t="n"/>
      <c r="CD3553" s="204" t="n"/>
      <c r="CE3553" s="204" t="n"/>
      <c r="CF3553" s="207" t="n"/>
      <c r="CG3553" s="208" t="n"/>
      <c r="CH3553" s="207" t="n"/>
      <c r="CI3553" s="208" t="n"/>
      <c r="CJ3553" s="204" t="n"/>
      <c r="CK3553" s="208" t="n"/>
      <c r="CL3553" s="208" t="n"/>
      <c r="CM3553" s="208" t="n"/>
      <c r="CN3553" s="78" t="n"/>
      <c r="CO3553" s="209" t="n"/>
      <c r="CP3553" s="204" t="n"/>
      <c r="CQ3553" s="204" t="n"/>
      <c r="CR3553" s="204" t="n"/>
      <c r="CS3553" s="204" t="n"/>
      <c r="CT3553" s="204" t="n"/>
      <c r="CU3553" s="204" t="n"/>
      <c r="CV3553" s="204" t="n"/>
      <c r="CW3553" s="204" t="n"/>
    </row>
    <row r="3554">
      <c r="BF3554" s="78" t="n"/>
      <c r="BG3554" s="78" t="n"/>
      <c r="BH3554" s="78" t="n"/>
      <c r="BI3554" s="78" t="n"/>
      <c r="BJ3554" s="139" t="n"/>
      <c r="BK3554" s="204" t="n"/>
      <c r="BL3554" s="141" t="n"/>
      <c r="BM3554" s="205" t="n"/>
      <c r="BN3554" s="205" t="n"/>
      <c r="BO3554" s="206" t="n"/>
      <c r="BP3554" s="144" t="n"/>
      <c r="BQ3554" s="141" t="n"/>
      <c r="BR3554" s="207" t="n"/>
      <c r="BS3554" s="207" t="n"/>
      <c r="BT3554" s="207" t="n"/>
      <c r="BU3554" s="207" t="n"/>
      <c r="BV3554" s="208" t="n"/>
      <c r="BW3554" s="207" t="n"/>
      <c r="BX3554" s="207" t="n"/>
      <c r="BY3554" s="204" t="n"/>
      <c r="BZ3554" s="148" t="n"/>
      <c r="CA3554" s="204" t="n"/>
      <c r="CB3554" s="208" t="n"/>
      <c r="CC3554" s="139" t="n"/>
      <c r="CD3554" s="204" t="n"/>
      <c r="CE3554" s="204" t="n"/>
      <c r="CF3554" s="207" t="n"/>
      <c r="CG3554" s="208" t="n"/>
      <c r="CH3554" s="207" t="n"/>
      <c r="CI3554" s="208" t="n"/>
      <c r="CJ3554" s="204" t="n"/>
      <c r="CK3554" s="208" t="n"/>
      <c r="CL3554" s="208" t="n"/>
      <c r="CM3554" s="208" t="n"/>
      <c r="CN3554" s="78" t="n"/>
      <c r="CO3554" s="209" t="n"/>
      <c r="CP3554" s="204" t="n"/>
      <c r="CQ3554" s="204" t="n"/>
      <c r="CR3554" s="204" t="n"/>
      <c r="CS3554" s="204" t="n"/>
      <c r="CT3554" s="204" t="n"/>
      <c r="CU3554" s="204" t="n"/>
      <c r="CV3554" s="204" t="n"/>
      <c r="CW3554" s="204" t="n"/>
    </row>
    <row r="3555">
      <c r="BF3555" s="78" t="n"/>
      <c r="BG3555" s="78" t="n"/>
      <c r="BH3555" s="78" t="n"/>
      <c r="BI3555" s="78" t="n"/>
      <c r="BJ3555" s="139" t="n"/>
      <c r="BK3555" s="204" t="n"/>
      <c r="BL3555" s="141" t="n"/>
      <c r="BM3555" s="205" t="n"/>
      <c r="BN3555" s="205" t="n"/>
      <c r="BO3555" s="206" t="n"/>
      <c r="BP3555" s="144" t="n"/>
      <c r="BQ3555" s="141" t="n"/>
      <c r="BR3555" s="207" t="n"/>
      <c r="BS3555" s="207" t="n"/>
      <c r="BT3555" s="207" t="n"/>
      <c r="BU3555" s="207" t="n"/>
      <c r="BV3555" s="208" t="n"/>
      <c r="BW3555" s="207" t="n"/>
      <c r="BX3555" s="207" t="n"/>
      <c r="BY3555" s="204" t="n"/>
      <c r="BZ3555" s="148" t="n"/>
      <c r="CA3555" s="204" t="n"/>
      <c r="CB3555" s="208" t="n"/>
      <c r="CC3555" s="139" t="n"/>
      <c r="CD3555" s="204" t="n"/>
      <c r="CE3555" s="204" t="n"/>
      <c r="CF3555" s="207" t="n"/>
      <c r="CG3555" s="208" t="n"/>
      <c r="CH3555" s="207" t="n"/>
      <c r="CI3555" s="208" t="n"/>
      <c r="CJ3555" s="204" t="n"/>
      <c r="CK3555" s="208" t="n"/>
      <c r="CL3555" s="208" t="n"/>
      <c r="CM3555" s="208" t="n"/>
      <c r="CN3555" s="78" t="n"/>
      <c r="CO3555" s="209" t="n"/>
      <c r="CP3555" s="204" t="n"/>
      <c r="CQ3555" s="204" t="n"/>
      <c r="CR3555" s="204" t="n"/>
      <c r="CS3555" s="204" t="n"/>
      <c r="CT3555" s="204" t="n"/>
      <c r="CU3555" s="204" t="n"/>
      <c r="CV3555" s="204" t="n"/>
      <c r="CW3555" s="204" t="n"/>
    </row>
    <row r="3556">
      <c r="BF3556" s="78" t="n"/>
      <c r="BG3556" s="78" t="n"/>
      <c r="BH3556" s="78" t="n"/>
      <c r="BI3556" s="78" t="n"/>
      <c r="BJ3556" s="139" t="n"/>
      <c r="BK3556" s="204" t="n"/>
      <c r="BL3556" s="141" t="n"/>
      <c r="BM3556" s="205" t="n"/>
      <c r="BN3556" s="205" t="n"/>
      <c r="BO3556" s="206" t="n"/>
      <c r="BP3556" s="144" t="n"/>
      <c r="BQ3556" s="141" t="n"/>
      <c r="BR3556" s="207" t="n"/>
      <c r="BS3556" s="207" t="n"/>
      <c r="BT3556" s="207" t="n"/>
      <c r="BU3556" s="207" t="n"/>
      <c r="BV3556" s="208" t="n"/>
      <c r="BW3556" s="207" t="n"/>
      <c r="BX3556" s="207" t="n"/>
      <c r="BY3556" s="204" t="n"/>
      <c r="BZ3556" s="148" t="n"/>
      <c r="CA3556" s="204" t="n"/>
      <c r="CB3556" s="208" t="n"/>
      <c r="CC3556" s="139" t="n"/>
      <c r="CD3556" s="204" t="n"/>
      <c r="CE3556" s="204" t="n"/>
      <c r="CF3556" s="207" t="n"/>
      <c r="CG3556" s="208" t="n"/>
      <c r="CH3556" s="207" t="n"/>
      <c r="CI3556" s="208" t="n"/>
      <c r="CJ3556" s="204" t="n"/>
      <c r="CK3556" s="208" t="n"/>
      <c r="CL3556" s="208" t="n"/>
      <c r="CM3556" s="208" t="n"/>
      <c r="CN3556" s="78" t="n"/>
      <c r="CO3556" s="209" t="n"/>
      <c r="CP3556" s="204" t="n"/>
      <c r="CQ3556" s="204" t="n"/>
      <c r="CR3556" s="204" t="n"/>
      <c r="CS3556" s="204" t="n"/>
      <c r="CT3556" s="204" t="n"/>
      <c r="CU3556" s="204" t="n"/>
      <c r="CV3556" s="204" t="n"/>
      <c r="CW3556" s="204" t="n"/>
    </row>
    <row r="3557">
      <c r="BF3557" s="78" t="n"/>
      <c r="BG3557" s="78" t="n"/>
      <c r="BH3557" s="78" t="n"/>
      <c r="BI3557" s="78" t="n"/>
      <c r="BJ3557" s="139" t="n"/>
      <c r="BK3557" s="204" t="n"/>
      <c r="BL3557" s="141" t="n"/>
      <c r="BM3557" s="205" t="n"/>
      <c r="BN3557" s="205" t="n"/>
      <c r="BO3557" s="206" t="n"/>
      <c r="BP3557" s="144" t="n"/>
      <c r="BQ3557" s="141" t="n"/>
      <c r="BR3557" s="207" t="n"/>
      <c r="BS3557" s="207" t="n"/>
      <c r="BT3557" s="207" t="n"/>
      <c r="BU3557" s="207" t="n"/>
      <c r="BV3557" s="208" t="n"/>
      <c r="BW3557" s="207" t="n"/>
      <c r="BX3557" s="207" t="n"/>
      <c r="BY3557" s="204" t="n"/>
      <c r="BZ3557" s="148" t="n"/>
      <c r="CA3557" s="204" t="n"/>
      <c r="CB3557" s="208" t="n"/>
      <c r="CC3557" s="139" t="n"/>
      <c r="CD3557" s="204" t="n"/>
      <c r="CE3557" s="204" t="n"/>
      <c r="CF3557" s="207" t="n"/>
      <c r="CG3557" s="208" t="n"/>
      <c r="CH3557" s="207" t="n"/>
      <c r="CI3557" s="208" t="n"/>
      <c r="CJ3557" s="204" t="n"/>
      <c r="CK3557" s="208" t="n"/>
      <c r="CL3557" s="208" t="n"/>
      <c r="CM3557" s="208" t="n"/>
      <c r="CN3557" s="78" t="n"/>
      <c r="CO3557" s="209" t="n"/>
      <c r="CP3557" s="204" t="n"/>
      <c r="CQ3557" s="204" t="n"/>
      <c r="CR3557" s="204" t="n"/>
      <c r="CS3557" s="204" t="n"/>
      <c r="CT3557" s="204" t="n"/>
      <c r="CU3557" s="204" t="n"/>
      <c r="CV3557" s="204" t="n"/>
      <c r="CW3557" s="204" t="n"/>
    </row>
    <row r="3558">
      <c r="BF3558" s="78" t="n"/>
      <c r="BG3558" s="78" t="n"/>
      <c r="BH3558" s="78" t="n"/>
      <c r="BI3558" s="78" t="n"/>
      <c r="BJ3558" s="139" t="n"/>
      <c r="BK3558" s="204" t="n"/>
      <c r="BL3558" s="141" t="n"/>
      <c r="BM3558" s="205" t="n"/>
      <c r="BN3558" s="205" t="n"/>
      <c r="BO3558" s="206" t="n"/>
      <c r="BP3558" s="144" t="n"/>
      <c r="BQ3558" s="141" t="n"/>
      <c r="BR3558" s="207" t="n"/>
      <c r="BS3558" s="207" t="n"/>
      <c r="BT3558" s="207" t="n"/>
      <c r="BU3558" s="207" t="n"/>
      <c r="BV3558" s="208" t="n"/>
      <c r="BW3558" s="207" t="n"/>
      <c r="BX3558" s="207" t="n"/>
      <c r="BY3558" s="204" t="n"/>
      <c r="BZ3558" s="148" t="n"/>
      <c r="CA3558" s="204" t="n"/>
      <c r="CB3558" s="208" t="n"/>
      <c r="CC3558" s="139" t="n"/>
      <c r="CD3558" s="204" t="n"/>
      <c r="CE3558" s="204" t="n"/>
      <c r="CF3558" s="207" t="n"/>
      <c r="CG3558" s="208" t="n"/>
      <c r="CH3558" s="207" t="n"/>
      <c r="CI3558" s="208" t="n"/>
      <c r="CJ3558" s="204" t="n"/>
      <c r="CK3558" s="208" t="n"/>
      <c r="CL3558" s="208" t="n"/>
      <c r="CM3558" s="208" t="n"/>
      <c r="CN3558" s="78" t="n"/>
      <c r="CO3558" s="209" t="n"/>
      <c r="CP3558" s="204" t="n"/>
      <c r="CQ3558" s="204" t="n"/>
      <c r="CR3558" s="204" t="n"/>
      <c r="CS3558" s="204" t="n"/>
      <c r="CT3558" s="204" t="n"/>
      <c r="CU3558" s="204" t="n"/>
      <c r="CV3558" s="204" t="n"/>
      <c r="CW3558" s="204" t="n"/>
    </row>
    <row r="3559">
      <c r="BF3559" s="78" t="n"/>
      <c r="BG3559" s="78" t="n"/>
      <c r="BH3559" s="78" t="n"/>
      <c r="BI3559" s="78" t="n"/>
      <c r="BJ3559" s="139" t="n"/>
      <c r="BK3559" s="204" t="n"/>
      <c r="BL3559" s="141" t="n"/>
      <c r="BM3559" s="205" t="n"/>
      <c r="BN3559" s="205" t="n"/>
      <c r="BO3559" s="206" t="n"/>
      <c r="BP3559" s="144" t="n"/>
      <c r="BQ3559" s="141" t="n"/>
      <c r="BR3559" s="207" t="n"/>
      <c r="BS3559" s="207" t="n"/>
      <c r="BT3559" s="207" t="n"/>
      <c r="BU3559" s="207" t="n"/>
      <c r="BV3559" s="208" t="n"/>
      <c r="BW3559" s="207" t="n"/>
      <c r="BX3559" s="207" t="n"/>
      <c r="BY3559" s="204" t="n"/>
      <c r="BZ3559" s="148" t="n"/>
      <c r="CA3559" s="204" t="n"/>
      <c r="CB3559" s="208" t="n"/>
      <c r="CC3559" s="139" t="n"/>
      <c r="CD3559" s="204" t="n"/>
      <c r="CE3559" s="204" t="n"/>
      <c r="CF3559" s="207" t="n"/>
      <c r="CG3559" s="208" t="n"/>
      <c r="CH3559" s="207" t="n"/>
      <c r="CI3559" s="208" t="n"/>
      <c r="CJ3559" s="204" t="n"/>
      <c r="CK3559" s="208" t="n"/>
      <c r="CL3559" s="208" t="n"/>
      <c r="CM3559" s="208" t="n"/>
      <c r="CN3559" s="78" t="n"/>
      <c r="CO3559" s="209" t="n"/>
      <c r="CP3559" s="204" t="n"/>
      <c r="CQ3559" s="204" t="n"/>
      <c r="CR3559" s="204" t="n"/>
      <c r="CS3559" s="204" t="n"/>
      <c r="CT3559" s="204" t="n"/>
      <c r="CU3559" s="204" t="n"/>
      <c r="CV3559" s="204" t="n"/>
      <c r="CW3559" s="204" t="n"/>
    </row>
    <row r="3560">
      <c r="BF3560" s="78" t="n"/>
      <c r="BG3560" s="78" t="n"/>
      <c r="BH3560" s="78" t="n"/>
      <c r="BI3560" s="78" t="n"/>
      <c r="BJ3560" s="139" t="n"/>
      <c r="BK3560" s="204" t="n"/>
      <c r="BL3560" s="141" t="n"/>
      <c r="BM3560" s="205" t="n"/>
      <c r="BN3560" s="205" t="n"/>
      <c r="BO3560" s="206" t="n"/>
      <c r="BP3560" s="144" t="n"/>
      <c r="BQ3560" s="141" t="n"/>
      <c r="BR3560" s="207" t="n"/>
      <c r="BS3560" s="207" t="n"/>
      <c r="BT3560" s="207" t="n"/>
      <c r="BU3560" s="207" t="n"/>
      <c r="BV3560" s="208" t="n"/>
      <c r="BW3560" s="207" t="n"/>
      <c r="BX3560" s="207" t="n"/>
      <c r="BY3560" s="204" t="n"/>
      <c r="BZ3560" s="148" t="n"/>
      <c r="CA3560" s="204" t="n"/>
      <c r="CB3560" s="208" t="n"/>
      <c r="CC3560" s="139" t="n"/>
      <c r="CD3560" s="204" t="n"/>
      <c r="CE3560" s="204" t="n"/>
      <c r="CF3560" s="207" t="n"/>
      <c r="CG3560" s="208" t="n"/>
      <c r="CH3560" s="207" t="n"/>
      <c r="CI3560" s="208" t="n"/>
      <c r="CJ3560" s="204" t="n"/>
      <c r="CK3560" s="208" t="n"/>
      <c r="CL3560" s="208" t="n"/>
      <c r="CM3560" s="208" t="n"/>
      <c r="CN3560" s="78" t="n"/>
      <c r="CO3560" s="209" t="n"/>
      <c r="CP3560" s="204" t="n"/>
      <c r="CQ3560" s="204" t="n"/>
      <c r="CR3560" s="204" t="n"/>
      <c r="CS3560" s="204" t="n"/>
      <c r="CT3560" s="204" t="n"/>
      <c r="CU3560" s="204" t="n"/>
      <c r="CV3560" s="204" t="n"/>
      <c r="CW3560" s="204" t="n"/>
    </row>
    <row r="3561">
      <c r="BF3561" s="78" t="n"/>
      <c r="BG3561" s="78" t="n"/>
      <c r="BH3561" s="78" t="n"/>
      <c r="BI3561" s="78" t="n"/>
      <c r="BJ3561" s="139" t="n"/>
      <c r="BK3561" s="204" t="n"/>
      <c r="BL3561" s="141" t="n"/>
      <c r="BM3561" s="205" t="n"/>
      <c r="BN3561" s="205" t="n"/>
      <c r="BO3561" s="206" t="n"/>
      <c r="BP3561" s="144" t="n"/>
      <c r="BQ3561" s="141" t="n"/>
      <c r="BR3561" s="207" t="n"/>
      <c r="BS3561" s="207" t="n"/>
      <c r="BT3561" s="207" t="n"/>
      <c r="BU3561" s="207" t="n"/>
      <c r="BV3561" s="208" t="n"/>
      <c r="BW3561" s="207" t="n"/>
      <c r="BX3561" s="207" t="n"/>
      <c r="BY3561" s="204" t="n"/>
      <c r="BZ3561" s="148" t="n"/>
      <c r="CA3561" s="204" t="n"/>
      <c r="CB3561" s="208" t="n"/>
      <c r="CC3561" s="139" t="n"/>
      <c r="CD3561" s="204" t="n"/>
      <c r="CE3561" s="204" t="n"/>
      <c r="CF3561" s="207" t="n"/>
      <c r="CG3561" s="208" t="n"/>
      <c r="CH3561" s="207" t="n"/>
      <c r="CI3561" s="208" t="n"/>
      <c r="CJ3561" s="204" t="n"/>
      <c r="CK3561" s="208" t="n"/>
      <c r="CL3561" s="208" t="n"/>
      <c r="CM3561" s="208" t="n"/>
      <c r="CN3561" s="78" t="n"/>
      <c r="CO3561" s="209" t="n"/>
      <c r="CP3561" s="204" t="n"/>
      <c r="CQ3561" s="204" t="n"/>
      <c r="CR3561" s="204" t="n"/>
      <c r="CS3561" s="204" t="n"/>
      <c r="CT3561" s="204" t="n"/>
      <c r="CU3561" s="204" t="n"/>
      <c r="CV3561" s="204" t="n"/>
      <c r="CW3561" s="204" t="n"/>
    </row>
    <row r="3562">
      <c r="BF3562" s="78" t="n"/>
      <c r="BG3562" s="78" t="n"/>
      <c r="BH3562" s="78" t="n"/>
      <c r="BI3562" s="78" t="n"/>
      <c r="BJ3562" s="139" t="n"/>
      <c r="BK3562" s="204" t="n"/>
      <c r="BL3562" s="141" t="n"/>
      <c r="BM3562" s="205" t="n"/>
      <c r="BN3562" s="205" t="n"/>
      <c r="BO3562" s="206" t="n"/>
      <c r="BP3562" s="144" t="n"/>
      <c r="BQ3562" s="141" t="n"/>
      <c r="BR3562" s="207" t="n"/>
      <c r="BS3562" s="207" t="n"/>
      <c r="BT3562" s="207" t="n"/>
      <c r="BU3562" s="207" t="n"/>
      <c r="BV3562" s="208" t="n"/>
      <c r="BW3562" s="207" t="n"/>
      <c r="BX3562" s="207" t="n"/>
      <c r="BY3562" s="204" t="n"/>
      <c r="BZ3562" s="148" t="n"/>
      <c r="CA3562" s="204" t="n"/>
      <c r="CB3562" s="208" t="n"/>
      <c r="CC3562" s="139" t="n"/>
      <c r="CD3562" s="204" t="n"/>
      <c r="CE3562" s="204" t="n"/>
      <c r="CF3562" s="207" t="n"/>
      <c r="CG3562" s="208" t="n"/>
      <c r="CH3562" s="207" t="n"/>
      <c r="CI3562" s="208" t="n"/>
      <c r="CJ3562" s="204" t="n"/>
      <c r="CK3562" s="208" t="n"/>
      <c r="CL3562" s="208" t="n"/>
      <c r="CM3562" s="208" t="n"/>
      <c r="CN3562" s="78" t="n"/>
      <c r="CO3562" s="209" t="n"/>
      <c r="CP3562" s="204" t="n"/>
      <c r="CQ3562" s="204" t="n"/>
      <c r="CR3562" s="204" t="n"/>
      <c r="CS3562" s="204" t="n"/>
      <c r="CT3562" s="204" t="n"/>
      <c r="CU3562" s="204" t="n"/>
      <c r="CV3562" s="204" t="n"/>
      <c r="CW3562" s="204" t="n"/>
    </row>
    <row r="3563">
      <c r="BF3563" s="78" t="n"/>
      <c r="BG3563" s="78" t="n"/>
      <c r="BH3563" s="78" t="n"/>
      <c r="BI3563" s="78" t="n"/>
      <c r="BJ3563" s="139" t="n"/>
      <c r="BK3563" s="204" t="n"/>
      <c r="BL3563" s="141" t="n"/>
      <c r="BM3563" s="205" t="n"/>
      <c r="BN3563" s="205" t="n"/>
      <c r="BO3563" s="206" t="n"/>
      <c r="BP3563" s="144" t="n"/>
      <c r="BQ3563" s="141" t="n"/>
      <c r="BR3563" s="207" t="n"/>
      <c r="BS3563" s="207" t="n"/>
      <c r="BT3563" s="207" t="n"/>
      <c r="BU3563" s="207" t="n"/>
      <c r="BV3563" s="208" t="n"/>
      <c r="BW3563" s="207" t="n"/>
      <c r="BX3563" s="207" t="n"/>
      <c r="BY3563" s="204" t="n"/>
      <c r="BZ3563" s="148" t="n"/>
      <c r="CA3563" s="204" t="n"/>
      <c r="CB3563" s="208" t="n"/>
      <c r="CC3563" s="139" t="n"/>
      <c r="CD3563" s="204" t="n"/>
      <c r="CE3563" s="204" t="n"/>
      <c r="CF3563" s="207" t="n"/>
      <c r="CG3563" s="208" t="n"/>
      <c r="CH3563" s="207" t="n"/>
      <c r="CI3563" s="208" t="n"/>
      <c r="CJ3563" s="204" t="n"/>
      <c r="CK3563" s="208" t="n"/>
      <c r="CL3563" s="208" t="n"/>
      <c r="CM3563" s="208" t="n"/>
      <c r="CN3563" s="78" t="n"/>
      <c r="CO3563" s="209" t="n"/>
      <c r="CP3563" s="204" t="n"/>
      <c r="CQ3563" s="204" t="n"/>
      <c r="CR3563" s="204" t="n"/>
      <c r="CS3563" s="204" t="n"/>
      <c r="CT3563" s="204" t="n"/>
      <c r="CU3563" s="204" t="n"/>
      <c r="CV3563" s="204" t="n"/>
      <c r="CW3563" s="204" t="n"/>
    </row>
    <row r="3564">
      <c r="BF3564" s="78" t="n"/>
      <c r="BG3564" s="78" t="n"/>
      <c r="BH3564" s="78" t="n"/>
      <c r="BI3564" s="78" t="n"/>
      <c r="BJ3564" s="139" t="n"/>
      <c r="BK3564" s="204" t="n"/>
      <c r="BL3564" s="141" t="n"/>
      <c r="BM3564" s="205" t="n"/>
      <c r="BN3564" s="205" t="n"/>
      <c r="BO3564" s="206" t="n"/>
      <c r="BP3564" s="144" t="n"/>
      <c r="BQ3564" s="141" t="n"/>
      <c r="BR3564" s="207" t="n"/>
      <c r="BS3564" s="207" t="n"/>
      <c r="BT3564" s="207" t="n"/>
      <c r="BU3564" s="207" t="n"/>
      <c r="BV3564" s="208" t="n"/>
      <c r="BW3564" s="207" t="n"/>
      <c r="BX3564" s="207" t="n"/>
      <c r="BY3564" s="204" t="n"/>
      <c r="BZ3564" s="148" t="n"/>
      <c r="CA3564" s="204" t="n"/>
      <c r="CB3564" s="208" t="n"/>
      <c r="CC3564" s="139" t="n"/>
      <c r="CD3564" s="204" t="n"/>
      <c r="CE3564" s="204" t="n"/>
      <c r="CF3564" s="207" t="n"/>
      <c r="CG3564" s="208" t="n"/>
      <c r="CH3564" s="207" t="n"/>
      <c r="CI3564" s="208" t="n"/>
      <c r="CJ3564" s="204" t="n"/>
      <c r="CK3564" s="208" t="n"/>
      <c r="CL3564" s="208" t="n"/>
      <c r="CM3564" s="208" t="n"/>
      <c r="CN3564" s="78" t="n"/>
      <c r="CO3564" s="209" t="n"/>
      <c r="CP3564" s="204" t="n"/>
      <c r="CQ3564" s="204" t="n"/>
      <c r="CR3564" s="204" t="n"/>
      <c r="CS3564" s="204" t="n"/>
      <c r="CT3564" s="204" t="n"/>
      <c r="CU3564" s="204" t="n"/>
      <c r="CV3564" s="204" t="n"/>
      <c r="CW3564" s="204" t="n"/>
    </row>
    <row r="3565">
      <c r="BF3565" s="78" t="n"/>
      <c r="BG3565" s="78" t="n"/>
      <c r="BH3565" s="78" t="n"/>
      <c r="BI3565" s="78" t="n"/>
      <c r="BJ3565" s="139" t="n"/>
      <c r="BK3565" s="204" t="n"/>
      <c r="BL3565" s="141" t="n"/>
      <c r="BM3565" s="205" t="n"/>
      <c r="BN3565" s="205" t="n"/>
      <c r="BO3565" s="206" t="n"/>
      <c r="BP3565" s="144" t="n"/>
      <c r="BQ3565" s="141" t="n"/>
      <c r="BR3565" s="207" t="n"/>
      <c r="BS3565" s="207" t="n"/>
      <c r="BT3565" s="207" t="n"/>
      <c r="BU3565" s="207" t="n"/>
      <c r="BV3565" s="208" t="n"/>
      <c r="BW3565" s="207" t="n"/>
      <c r="BX3565" s="207" t="n"/>
      <c r="BY3565" s="204" t="n"/>
      <c r="BZ3565" s="148" t="n"/>
      <c r="CA3565" s="204" t="n"/>
      <c r="CB3565" s="208" t="n"/>
      <c r="CC3565" s="139" t="n"/>
      <c r="CD3565" s="204" t="n"/>
      <c r="CE3565" s="204" t="n"/>
      <c r="CF3565" s="207" t="n"/>
      <c r="CG3565" s="208" t="n"/>
      <c r="CH3565" s="207" t="n"/>
      <c r="CI3565" s="208" t="n"/>
      <c r="CJ3565" s="204" t="n"/>
      <c r="CK3565" s="208" t="n"/>
      <c r="CL3565" s="208" t="n"/>
      <c r="CM3565" s="208" t="n"/>
      <c r="CN3565" s="78" t="n"/>
      <c r="CO3565" s="209" t="n"/>
      <c r="CP3565" s="204" t="n"/>
      <c r="CQ3565" s="204" t="n"/>
      <c r="CR3565" s="204" t="n"/>
      <c r="CS3565" s="204" t="n"/>
      <c r="CT3565" s="204" t="n"/>
      <c r="CU3565" s="204" t="n"/>
      <c r="CV3565" s="204" t="n"/>
      <c r="CW3565" s="204" t="n"/>
    </row>
    <row r="3566">
      <c r="BF3566" s="78" t="n"/>
      <c r="BG3566" s="78" t="n"/>
      <c r="BH3566" s="78" t="n"/>
      <c r="BI3566" s="78" t="n"/>
      <c r="BJ3566" s="139" t="n"/>
      <c r="BK3566" s="204" t="n"/>
      <c r="BL3566" s="141" t="n"/>
      <c r="BM3566" s="205" t="n"/>
      <c r="BN3566" s="205" t="n"/>
      <c r="BO3566" s="206" t="n"/>
      <c r="BP3566" s="144" t="n"/>
      <c r="BQ3566" s="141" t="n"/>
      <c r="BR3566" s="207" t="n"/>
      <c r="BS3566" s="207" t="n"/>
      <c r="BT3566" s="207" t="n"/>
      <c r="BU3566" s="207" t="n"/>
      <c r="BV3566" s="208" t="n"/>
      <c r="BW3566" s="207" t="n"/>
      <c r="BX3566" s="207" t="n"/>
      <c r="BY3566" s="204" t="n"/>
      <c r="BZ3566" s="148" t="n"/>
      <c r="CA3566" s="204" t="n"/>
      <c r="CB3566" s="208" t="n"/>
      <c r="CC3566" s="139" t="n"/>
      <c r="CD3566" s="204" t="n"/>
      <c r="CE3566" s="204" t="n"/>
      <c r="CF3566" s="207" t="n"/>
      <c r="CG3566" s="208" t="n"/>
      <c r="CH3566" s="207" t="n"/>
      <c r="CI3566" s="208" t="n"/>
      <c r="CJ3566" s="204" t="n"/>
      <c r="CK3566" s="208" t="n"/>
      <c r="CL3566" s="208" t="n"/>
      <c r="CM3566" s="208" t="n"/>
      <c r="CN3566" s="78" t="n"/>
      <c r="CO3566" s="209" t="n"/>
      <c r="CP3566" s="204" t="n"/>
      <c r="CQ3566" s="204" t="n"/>
      <c r="CR3566" s="204" t="n"/>
      <c r="CS3566" s="204" t="n"/>
      <c r="CT3566" s="204" t="n"/>
      <c r="CU3566" s="204" t="n"/>
      <c r="CV3566" s="204" t="n"/>
      <c r="CW3566" s="204" t="n"/>
    </row>
    <row r="3567">
      <c r="BF3567" s="78" t="n"/>
      <c r="BG3567" s="78" t="n"/>
      <c r="BH3567" s="78" t="n"/>
      <c r="BI3567" s="78" t="n"/>
      <c r="BJ3567" s="139" t="n"/>
      <c r="BK3567" s="204" t="n"/>
      <c r="BL3567" s="141" t="n"/>
      <c r="BM3567" s="205" t="n"/>
      <c r="BN3567" s="205" t="n"/>
      <c r="BO3567" s="206" t="n"/>
      <c r="BP3567" s="144" t="n"/>
      <c r="BQ3567" s="141" t="n"/>
      <c r="BR3567" s="207" t="n"/>
      <c r="BS3567" s="207" t="n"/>
      <c r="BT3567" s="207" t="n"/>
      <c r="BU3567" s="207" t="n"/>
      <c r="BV3567" s="208" t="n"/>
      <c r="BW3567" s="207" t="n"/>
      <c r="BX3567" s="207" t="n"/>
      <c r="BY3567" s="204" t="n"/>
      <c r="BZ3567" s="148" t="n"/>
      <c r="CA3567" s="204" t="n"/>
      <c r="CB3567" s="208" t="n"/>
      <c r="CC3567" s="139" t="n"/>
      <c r="CD3567" s="204" t="n"/>
      <c r="CE3567" s="204" t="n"/>
      <c r="CF3567" s="207" t="n"/>
      <c r="CG3567" s="208" t="n"/>
      <c r="CH3567" s="207" t="n"/>
      <c r="CI3567" s="208" t="n"/>
      <c r="CJ3567" s="204" t="n"/>
      <c r="CK3567" s="208" t="n"/>
      <c r="CL3567" s="208" t="n"/>
      <c r="CM3567" s="208" t="n"/>
      <c r="CN3567" s="78" t="n"/>
      <c r="CO3567" s="209" t="n"/>
      <c r="CP3567" s="204" t="n"/>
      <c r="CQ3567" s="204" t="n"/>
      <c r="CR3567" s="204" t="n"/>
      <c r="CS3567" s="204" t="n"/>
      <c r="CT3567" s="204" t="n"/>
      <c r="CU3567" s="204" t="n"/>
      <c r="CV3567" s="204" t="n"/>
      <c r="CW3567" s="204" t="n"/>
    </row>
    <row r="3568">
      <c r="BF3568" s="78" t="n"/>
      <c r="BG3568" s="78" t="n"/>
      <c r="BH3568" s="78" t="n"/>
      <c r="BI3568" s="78" t="n"/>
      <c r="BJ3568" s="139" t="n"/>
      <c r="BK3568" s="204" t="n"/>
      <c r="BL3568" s="141" t="n"/>
      <c r="BM3568" s="205" t="n"/>
      <c r="BN3568" s="205" t="n"/>
      <c r="BO3568" s="206" t="n"/>
      <c r="BP3568" s="144" t="n"/>
      <c r="BQ3568" s="141" t="n"/>
      <c r="BR3568" s="207" t="n"/>
      <c r="BS3568" s="207" t="n"/>
      <c r="BT3568" s="207" t="n"/>
      <c r="BU3568" s="207" t="n"/>
      <c r="BV3568" s="208" t="n"/>
      <c r="BW3568" s="207" t="n"/>
      <c r="BX3568" s="207" t="n"/>
      <c r="BY3568" s="204" t="n"/>
      <c r="BZ3568" s="148" t="n"/>
      <c r="CA3568" s="204" t="n"/>
      <c r="CB3568" s="208" t="n"/>
      <c r="CC3568" s="139" t="n"/>
      <c r="CD3568" s="204" t="n"/>
      <c r="CE3568" s="204" t="n"/>
      <c r="CF3568" s="207" t="n"/>
      <c r="CG3568" s="208" t="n"/>
      <c r="CH3568" s="207" t="n"/>
      <c r="CI3568" s="208" t="n"/>
      <c r="CJ3568" s="204" t="n"/>
      <c r="CK3568" s="208" t="n"/>
      <c r="CL3568" s="208" t="n"/>
      <c r="CM3568" s="208" t="n"/>
      <c r="CN3568" s="78" t="n"/>
      <c r="CO3568" s="209" t="n"/>
      <c r="CP3568" s="204" t="n"/>
      <c r="CQ3568" s="204" t="n"/>
      <c r="CR3568" s="204" t="n"/>
      <c r="CS3568" s="204" t="n"/>
      <c r="CT3568" s="204" t="n"/>
      <c r="CU3568" s="204" t="n"/>
      <c r="CV3568" s="204" t="n"/>
      <c r="CW3568" s="204" t="n"/>
    </row>
    <row r="3569">
      <c r="BF3569" s="78" t="n"/>
      <c r="BG3569" s="78" t="n"/>
      <c r="BH3569" s="78" t="n"/>
      <c r="BI3569" s="78" t="n"/>
      <c r="BJ3569" s="139" t="n"/>
      <c r="BK3569" s="204" t="n"/>
      <c r="BL3569" s="141" t="n"/>
      <c r="BM3569" s="205" t="n"/>
      <c r="BN3569" s="205" t="n"/>
      <c r="BO3569" s="206" t="n"/>
      <c r="BP3569" s="144" t="n"/>
      <c r="BQ3569" s="141" t="n"/>
      <c r="BR3569" s="207" t="n"/>
      <c r="BS3569" s="207" t="n"/>
      <c r="BT3569" s="207" t="n"/>
      <c r="BU3569" s="207" t="n"/>
      <c r="BV3569" s="208" t="n"/>
      <c r="BW3569" s="207" t="n"/>
      <c r="BX3569" s="207" t="n"/>
      <c r="BY3569" s="204" t="n"/>
      <c r="BZ3569" s="148" t="n"/>
      <c r="CA3569" s="204" t="n"/>
      <c r="CB3569" s="208" t="n"/>
      <c r="CC3569" s="139" t="n"/>
      <c r="CD3569" s="204" t="n"/>
      <c r="CE3569" s="204" t="n"/>
      <c r="CF3569" s="207" t="n"/>
      <c r="CG3569" s="208" t="n"/>
      <c r="CH3569" s="207" t="n"/>
      <c r="CI3569" s="208" t="n"/>
      <c r="CJ3569" s="204" t="n"/>
      <c r="CK3569" s="208" t="n"/>
      <c r="CL3569" s="208" t="n"/>
      <c r="CM3569" s="208" t="n"/>
      <c r="CN3569" s="78" t="n"/>
      <c r="CO3569" s="209" t="n"/>
      <c r="CP3569" s="204" t="n"/>
      <c r="CQ3569" s="204" t="n"/>
      <c r="CR3569" s="204" t="n"/>
      <c r="CS3569" s="204" t="n"/>
      <c r="CT3569" s="204" t="n"/>
      <c r="CU3569" s="204" t="n"/>
      <c r="CV3569" s="204" t="n"/>
      <c r="CW3569" s="204" t="n"/>
    </row>
    <row r="3570">
      <c r="BF3570" s="78" t="n"/>
      <c r="BG3570" s="78" t="n"/>
      <c r="BH3570" s="78" t="n"/>
      <c r="BI3570" s="78" t="n"/>
      <c r="BJ3570" s="139" t="n"/>
      <c r="BK3570" s="204" t="n"/>
      <c r="BL3570" s="141" t="n"/>
      <c r="BM3570" s="205" t="n"/>
      <c r="BN3570" s="205" t="n"/>
      <c r="BO3570" s="206" t="n"/>
      <c r="BP3570" s="144" t="n"/>
      <c r="BQ3570" s="141" t="n"/>
      <c r="BR3570" s="207" t="n"/>
      <c r="BS3570" s="207" t="n"/>
      <c r="BT3570" s="207" t="n"/>
      <c r="BU3570" s="207" t="n"/>
      <c r="BV3570" s="208" t="n"/>
      <c r="BW3570" s="207" t="n"/>
      <c r="BX3570" s="207" t="n"/>
      <c r="BY3570" s="204" t="n"/>
      <c r="BZ3570" s="148" t="n"/>
      <c r="CA3570" s="204" t="n"/>
      <c r="CB3570" s="208" t="n"/>
      <c r="CC3570" s="139" t="n"/>
      <c r="CD3570" s="204" t="n"/>
      <c r="CE3570" s="204" t="n"/>
      <c r="CF3570" s="207" t="n"/>
      <c r="CG3570" s="208" t="n"/>
      <c r="CH3570" s="207" t="n"/>
      <c r="CI3570" s="208" t="n"/>
      <c r="CJ3570" s="204" t="n"/>
      <c r="CK3570" s="208" t="n"/>
      <c r="CL3570" s="208" t="n"/>
      <c r="CM3570" s="208" t="n"/>
      <c r="CN3570" s="78" t="n"/>
      <c r="CO3570" s="209" t="n"/>
      <c r="CP3570" s="204" t="n"/>
      <c r="CQ3570" s="204" t="n"/>
      <c r="CR3570" s="204" t="n"/>
      <c r="CS3570" s="204" t="n"/>
      <c r="CT3570" s="204" t="n"/>
      <c r="CU3570" s="204" t="n"/>
      <c r="CV3570" s="204" t="n"/>
      <c r="CW3570" s="204" t="n"/>
    </row>
    <row r="3571">
      <c r="BF3571" s="78" t="n"/>
      <c r="BG3571" s="78" t="n"/>
      <c r="BH3571" s="78" t="n"/>
      <c r="BI3571" s="78" t="n"/>
      <c r="BJ3571" s="139" t="n"/>
      <c r="BK3571" s="204" t="n"/>
      <c r="BL3571" s="141" t="n"/>
      <c r="BM3571" s="205" t="n"/>
      <c r="BN3571" s="205" t="n"/>
      <c r="BO3571" s="206" t="n"/>
      <c r="BP3571" s="144" t="n"/>
      <c r="BQ3571" s="141" t="n"/>
      <c r="BR3571" s="207" t="n"/>
      <c r="BS3571" s="207" t="n"/>
      <c r="BT3571" s="207" t="n"/>
      <c r="BU3571" s="207" t="n"/>
      <c r="BV3571" s="208" t="n"/>
      <c r="BW3571" s="207" t="n"/>
      <c r="BX3571" s="207" t="n"/>
      <c r="BY3571" s="204" t="n"/>
      <c r="BZ3571" s="148" t="n"/>
      <c r="CA3571" s="204" t="n"/>
      <c r="CB3571" s="208" t="n"/>
      <c r="CC3571" s="139" t="n"/>
      <c r="CD3571" s="204" t="n"/>
      <c r="CE3571" s="204" t="n"/>
      <c r="CF3571" s="207" t="n"/>
      <c r="CG3571" s="208" t="n"/>
      <c r="CH3571" s="207" t="n"/>
      <c r="CI3571" s="208" t="n"/>
      <c r="CJ3571" s="204" t="n"/>
      <c r="CK3571" s="208" t="n"/>
      <c r="CL3571" s="208" t="n"/>
      <c r="CM3571" s="208" t="n"/>
      <c r="CN3571" s="78" t="n"/>
      <c r="CO3571" s="209" t="n"/>
      <c r="CP3571" s="204" t="n"/>
      <c r="CQ3571" s="204" t="n"/>
      <c r="CR3571" s="204" t="n"/>
      <c r="CS3571" s="204" t="n"/>
      <c r="CT3571" s="204" t="n"/>
      <c r="CU3571" s="204" t="n"/>
      <c r="CV3571" s="204" t="n"/>
      <c r="CW3571" s="204" t="n"/>
    </row>
    <row r="3572">
      <c r="BF3572" s="78" t="n"/>
      <c r="BG3572" s="78" t="n"/>
      <c r="BH3572" s="78" t="n"/>
      <c r="BI3572" s="78" t="n"/>
      <c r="BJ3572" s="139" t="n"/>
      <c r="BK3572" s="204" t="n"/>
      <c r="BL3572" s="141" t="n"/>
      <c r="BM3572" s="205" t="n"/>
      <c r="BN3572" s="205" t="n"/>
      <c r="BO3572" s="206" t="n"/>
      <c r="BP3572" s="144" t="n"/>
      <c r="BQ3572" s="141" t="n"/>
      <c r="BR3572" s="207" t="n"/>
      <c r="BS3572" s="207" t="n"/>
      <c r="BT3572" s="207" t="n"/>
      <c r="BU3572" s="207" t="n"/>
      <c r="BV3572" s="208" t="n"/>
      <c r="BW3572" s="207" t="n"/>
      <c r="BX3572" s="207" t="n"/>
      <c r="BY3572" s="204" t="n"/>
      <c r="BZ3572" s="148" t="n"/>
      <c r="CA3572" s="204" t="n"/>
      <c r="CB3572" s="208" t="n"/>
      <c r="CC3572" s="139" t="n"/>
      <c r="CD3572" s="204" t="n"/>
      <c r="CE3572" s="204" t="n"/>
      <c r="CF3572" s="207" t="n"/>
      <c r="CG3572" s="208" t="n"/>
      <c r="CH3572" s="207" t="n"/>
      <c r="CI3572" s="208" t="n"/>
      <c r="CJ3572" s="204" t="n"/>
      <c r="CK3572" s="208" t="n"/>
      <c r="CL3572" s="208" t="n"/>
      <c r="CM3572" s="208" t="n"/>
      <c r="CN3572" s="78" t="n"/>
      <c r="CO3572" s="209" t="n"/>
      <c r="CP3572" s="204" t="n"/>
      <c r="CQ3572" s="204" t="n"/>
      <c r="CR3572" s="204" t="n"/>
      <c r="CS3572" s="204" t="n"/>
      <c r="CT3572" s="204" t="n"/>
      <c r="CU3572" s="204" t="n"/>
      <c r="CV3572" s="204" t="n"/>
      <c r="CW3572" s="204" t="n"/>
    </row>
    <row r="3573">
      <c r="BF3573" s="78" t="n"/>
      <c r="BG3573" s="78" t="n"/>
      <c r="BH3573" s="78" t="n"/>
      <c r="BI3573" s="78" t="n"/>
      <c r="BJ3573" s="139" t="n"/>
      <c r="BK3573" s="204" t="n"/>
      <c r="BL3573" s="141" t="n"/>
      <c r="BM3573" s="205" t="n"/>
      <c r="BN3573" s="205" t="n"/>
      <c r="BO3573" s="206" t="n"/>
      <c r="BP3573" s="144" t="n"/>
      <c r="BQ3573" s="141" t="n"/>
      <c r="BR3573" s="207" t="n"/>
      <c r="BS3573" s="207" t="n"/>
      <c r="BT3573" s="207" t="n"/>
      <c r="BU3573" s="207" t="n"/>
      <c r="BV3573" s="208" t="n"/>
      <c r="BW3573" s="207" t="n"/>
      <c r="BX3573" s="207" t="n"/>
      <c r="BY3573" s="204" t="n"/>
      <c r="BZ3573" s="148" t="n"/>
      <c r="CA3573" s="204" t="n"/>
      <c r="CB3573" s="208" t="n"/>
      <c r="CC3573" s="139" t="n"/>
      <c r="CD3573" s="204" t="n"/>
      <c r="CE3573" s="204" t="n"/>
      <c r="CF3573" s="207" t="n"/>
      <c r="CG3573" s="208" t="n"/>
      <c r="CH3573" s="207" t="n"/>
      <c r="CI3573" s="208" t="n"/>
      <c r="CJ3573" s="204" t="n"/>
      <c r="CK3573" s="208" t="n"/>
      <c r="CL3573" s="208" t="n"/>
      <c r="CM3573" s="208" t="n"/>
      <c r="CN3573" s="78" t="n"/>
      <c r="CO3573" s="209" t="n"/>
      <c r="CP3573" s="204" t="n"/>
      <c r="CQ3573" s="204" t="n"/>
      <c r="CR3573" s="204" t="n"/>
      <c r="CS3573" s="204" t="n"/>
      <c r="CT3573" s="204" t="n"/>
      <c r="CU3573" s="204" t="n"/>
      <c r="CV3573" s="204" t="n"/>
      <c r="CW3573" s="204" t="n"/>
    </row>
    <row r="3574">
      <c r="BF3574" s="78" t="n"/>
      <c r="BG3574" s="78" t="n"/>
      <c r="BH3574" s="78" t="n"/>
      <c r="BI3574" s="78" t="n"/>
      <c r="BJ3574" s="139" t="n"/>
      <c r="BK3574" s="204" t="n"/>
      <c r="BL3574" s="141" t="n"/>
      <c r="BM3574" s="205" t="n"/>
      <c r="BN3574" s="205" t="n"/>
      <c r="BO3574" s="206" t="n"/>
      <c r="BP3574" s="144" t="n"/>
      <c r="BQ3574" s="141" t="n"/>
      <c r="BR3574" s="207" t="n"/>
      <c r="BS3574" s="207" t="n"/>
      <c r="BT3574" s="207" t="n"/>
      <c r="BU3574" s="207" t="n"/>
      <c r="BV3574" s="208" t="n"/>
      <c r="BW3574" s="207" t="n"/>
      <c r="BX3574" s="207" t="n"/>
      <c r="BY3574" s="204" t="n"/>
      <c r="BZ3574" s="148" t="n"/>
      <c r="CA3574" s="204" t="n"/>
      <c r="CB3574" s="208" t="n"/>
      <c r="CC3574" s="139" t="n"/>
      <c r="CD3574" s="204" t="n"/>
      <c r="CE3574" s="204" t="n"/>
      <c r="CF3574" s="207" t="n"/>
      <c r="CG3574" s="208" t="n"/>
      <c r="CH3574" s="207" t="n"/>
      <c r="CI3574" s="208" t="n"/>
      <c r="CJ3574" s="204" t="n"/>
      <c r="CK3574" s="208" t="n"/>
      <c r="CL3574" s="208" t="n"/>
      <c r="CM3574" s="208" t="n"/>
      <c r="CN3574" s="78" t="n"/>
      <c r="CO3574" s="209" t="n"/>
      <c r="CP3574" s="204" t="n"/>
      <c r="CQ3574" s="204" t="n"/>
      <c r="CR3574" s="204" t="n"/>
      <c r="CS3574" s="204" t="n"/>
      <c r="CT3574" s="204" t="n"/>
      <c r="CU3574" s="204" t="n"/>
      <c r="CV3574" s="204" t="n"/>
      <c r="CW3574" s="204" t="n"/>
    </row>
    <row r="3575">
      <c r="BF3575" s="78" t="n"/>
      <c r="BG3575" s="78" t="n"/>
      <c r="BH3575" s="78" t="n"/>
      <c r="BI3575" s="78" t="n"/>
      <c r="BJ3575" s="139" t="n"/>
      <c r="BK3575" s="204" t="n"/>
      <c r="BL3575" s="141" t="n"/>
      <c r="BM3575" s="205" t="n"/>
      <c r="BN3575" s="205" t="n"/>
      <c r="BO3575" s="206" t="n"/>
      <c r="BP3575" s="144" t="n"/>
      <c r="BQ3575" s="141" t="n"/>
      <c r="BR3575" s="207" t="n"/>
      <c r="BS3575" s="207" t="n"/>
      <c r="BT3575" s="207" t="n"/>
      <c r="BU3575" s="207" t="n"/>
      <c r="BV3575" s="208" t="n"/>
      <c r="BW3575" s="207" t="n"/>
      <c r="BX3575" s="207" t="n"/>
      <c r="BY3575" s="204" t="n"/>
      <c r="BZ3575" s="148" t="n"/>
      <c r="CA3575" s="204" t="n"/>
      <c r="CB3575" s="208" t="n"/>
      <c r="CC3575" s="139" t="n"/>
      <c r="CD3575" s="204" t="n"/>
      <c r="CE3575" s="204" t="n"/>
      <c r="CF3575" s="207" t="n"/>
      <c r="CG3575" s="208" t="n"/>
      <c r="CH3575" s="207" t="n"/>
      <c r="CI3575" s="208" t="n"/>
      <c r="CJ3575" s="204" t="n"/>
      <c r="CK3575" s="208" t="n"/>
      <c r="CL3575" s="208" t="n"/>
      <c r="CM3575" s="208" t="n"/>
      <c r="CN3575" s="78" t="n"/>
      <c r="CO3575" s="209" t="n"/>
      <c r="CP3575" s="204" t="n"/>
      <c r="CQ3575" s="204" t="n"/>
      <c r="CR3575" s="204" t="n"/>
      <c r="CS3575" s="204" t="n"/>
      <c r="CT3575" s="204" t="n"/>
      <c r="CU3575" s="204" t="n"/>
      <c r="CV3575" s="204" t="n"/>
      <c r="CW3575" s="204" t="n"/>
    </row>
    <row r="3576">
      <c r="BF3576" s="78" t="n"/>
      <c r="BG3576" s="78" t="n"/>
      <c r="BH3576" s="78" t="n"/>
      <c r="BI3576" s="78" t="n"/>
      <c r="BJ3576" s="139" t="n"/>
      <c r="BK3576" s="204" t="n"/>
      <c r="BL3576" s="141" t="n"/>
      <c r="BM3576" s="205" t="n"/>
      <c r="BN3576" s="205" t="n"/>
      <c r="BO3576" s="206" t="n"/>
      <c r="BP3576" s="144" t="n"/>
      <c r="BQ3576" s="141" t="n"/>
      <c r="BR3576" s="207" t="n"/>
      <c r="BS3576" s="207" t="n"/>
      <c r="BT3576" s="207" t="n"/>
      <c r="BU3576" s="207" t="n"/>
      <c r="BV3576" s="208" t="n"/>
      <c r="BW3576" s="207" t="n"/>
      <c r="BX3576" s="207" t="n"/>
      <c r="BY3576" s="204" t="n"/>
      <c r="BZ3576" s="148" t="n"/>
      <c r="CA3576" s="204" t="n"/>
      <c r="CB3576" s="208" t="n"/>
      <c r="CC3576" s="139" t="n"/>
      <c r="CD3576" s="204" t="n"/>
      <c r="CE3576" s="204" t="n"/>
      <c r="CF3576" s="207" t="n"/>
      <c r="CG3576" s="208" t="n"/>
      <c r="CH3576" s="207" t="n"/>
      <c r="CI3576" s="208" t="n"/>
      <c r="CJ3576" s="204" t="n"/>
      <c r="CK3576" s="208" t="n"/>
      <c r="CL3576" s="208" t="n"/>
      <c r="CM3576" s="208" t="n"/>
      <c r="CN3576" s="78" t="n"/>
      <c r="CO3576" s="209" t="n"/>
      <c r="CP3576" s="204" t="n"/>
      <c r="CQ3576" s="204" t="n"/>
      <c r="CR3576" s="204" t="n"/>
      <c r="CS3576" s="204" t="n"/>
      <c r="CT3576" s="204" t="n"/>
      <c r="CU3576" s="204" t="n"/>
      <c r="CV3576" s="204" t="n"/>
      <c r="CW3576" s="204" t="n"/>
    </row>
    <row r="3577">
      <c r="BF3577" s="78" t="n"/>
      <c r="BG3577" s="78" t="n"/>
      <c r="BH3577" s="78" t="n"/>
      <c r="BI3577" s="78" t="n"/>
      <c r="BJ3577" s="139" t="n"/>
      <c r="BK3577" s="204" t="n"/>
      <c r="BL3577" s="141" t="n"/>
      <c r="BM3577" s="205" t="n"/>
      <c r="BN3577" s="205" t="n"/>
      <c r="BO3577" s="206" t="n"/>
      <c r="BP3577" s="144" t="n"/>
      <c r="BQ3577" s="141" t="n"/>
      <c r="BR3577" s="207" t="n"/>
      <c r="BS3577" s="207" t="n"/>
      <c r="BT3577" s="207" t="n"/>
      <c r="BU3577" s="207" t="n"/>
      <c r="BV3577" s="208" t="n"/>
      <c r="BW3577" s="207" t="n"/>
      <c r="BX3577" s="207" t="n"/>
      <c r="BY3577" s="204" t="n"/>
      <c r="BZ3577" s="148" t="n"/>
      <c r="CA3577" s="204" t="n"/>
      <c r="CB3577" s="208" t="n"/>
      <c r="CC3577" s="139" t="n"/>
      <c r="CD3577" s="204" t="n"/>
      <c r="CE3577" s="204" t="n"/>
      <c r="CF3577" s="207" t="n"/>
      <c r="CG3577" s="208" t="n"/>
      <c r="CH3577" s="207" t="n"/>
      <c r="CI3577" s="208" t="n"/>
      <c r="CJ3577" s="204" t="n"/>
      <c r="CK3577" s="208" t="n"/>
      <c r="CL3577" s="208" t="n"/>
      <c r="CM3577" s="208" t="n"/>
      <c r="CN3577" s="78" t="n"/>
      <c r="CO3577" s="209" t="n"/>
      <c r="CP3577" s="204" t="n"/>
      <c r="CQ3577" s="204" t="n"/>
      <c r="CR3577" s="204" t="n"/>
      <c r="CS3577" s="204" t="n"/>
      <c r="CT3577" s="204" t="n"/>
      <c r="CU3577" s="204" t="n"/>
      <c r="CV3577" s="204" t="n"/>
      <c r="CW3577" s="204" t="n"/>
    </row>
    <row r="3578">
      <c r="BF3578" s="78" t="n"/>
      <c r="BG3578" s="78" t="n"/>
      <c r="BH3578" s="78" t="n"/>
      <c r="BI3578" s="78" t="n"/>
      <c r="BJ3578" s="139" t="n"/>
      <c r="BK3578" s="204" t="n"/>
      <c r="BL3578" s="141" t="n"/>
      <c r="BM3578" s="205" t="n"/>
      <c r="BN3578" s="205" t="n"/>
      <c r="BO3578" s="206" t="n"/>
      <c r="BP3578" s="144" t="n"/>
      <c r="BQ3578" s="141" t="n"/>
      <c r="BR3578" s="207" t="n"/>
      <c r="BS3578" s="207" t="n"/>
      <c r="BT3578" s="207" t="n"/>
      <c r="BU3578" s="207" t="n"/>
      <c r="BV3578" s="208" t="n"/>
      <c r="BW3578" s="207" t="n"/>
      <c r="BX3578" s="207" t="n"/>
      <c r="BY3578" s="204" t="n"/>
      <c r="BZ3578" s="148" t="n"/>
      <c r="CA3578" s="204" t="n"/>
      <c r="CB3578" s="208" t="n"/>
      <c r="CC3578" s="139" t="n"/>
      <c r="CD3578" s="204" t="n"/>
      <c r="CE3578" s="204" t="n"/>
      <c r="CF3578" s="207" t="n"/>
      <c r="CG3578" s="208" t="n"/>
      <c r="CH3578" s="207" t="n"/>
      <c r="CI3578" s="208" t="n"/>
      <c r="CJ3578" s="204" t="n"/>
      <c r="CK3578" s="208" t="n"/>
      <c r="CL3578" s="208" t="n"/>
      <c r="CM3578" s="208" t="n"/>
      <c r="CN3578" s="78" t="n"/>
      <c r="CO3578" s="209" t="n"/>
      <c r="CP3578" s="204" t="n"/>
      <c r="CQ3578" s="204" t="n"/>
      <c r="CR3578" s="204" t="n"/>
      <c r="CS3578" s="204" t="n"/>
      <c r="CT3578" s="204" t="n"/>
      <c r="CU3578" s="204" t="n"/>
      <c r="CV3578" s="204" t="n"/>
      <c r="CW3578" s="204" t="n"/>
    </row>
    <row r="3579">
      <c r="BF3579" s="78" t="n"/>
      <c r="BG3579" s="78" t="n"/>
      <c r="BH3579" s="78" t="n"/>
      <c r="BI3579" s="78" t="n"/>
      <c r="BJ3579" s="139" t="n"/>
      <c r="BK3579" s="204" t="n"/>
      <c r="BL3579" s="141" t="n"/>
      <c r="BM3579" s="205" t="n"/>
      <c r="BN3579" s="205" t="n"/>
      <c r="BO3579" s="206" t="n"/>
      <c r="BP3579" s="144" t="n"/>
      <c r="BQ3579" s="141" t="n"/>
      <c r="BR3579" s="207" t="n"/>
      <c r="BS3579" s="207" t="n"/>
      <c r="BT3579" s="207" t="n"/>
      <c r="BU3579" s="207" t="n"/>
      <c r="BV3579" s="208" t="n"/>
      <c r="BW3579" s="207" t="n"/>
      <c r="BX3579" s="207" t="n"/>
      <c r="BY3579" s="204" t="n"/>
      <c r="BZ3579" s="148" t="n"/>
      <c r="CA3579" s="204" t="n"/>
      <c r="CB3579" s="208" t="n"/>
      <c r="CC3579" s="139" t="n"/>
      <c r="CD3579" s="204" t="n"/>
      <c r="CE3579" s="204" t="n"/>
      <c r="CF3579" s="207" t="n"/>
      <c r="CG3579" s="208" t="n"/>
      <c r="CH3579" s="207" t="n"/>
      <c r="CI3579" s="208" t="n"/>
      <c r="CJ3579" s="204" t="n"/>
      <c r="CK3579" s="208" t="n"/>
      <c r="CL3579" s="208" t="n"/>
      <c r="CM3579" s="208" t="n"/>
      <c r="CN3579" s="78" t="n"/>
      <c r="CO3579" s="209" t="n"/>
      <c r="CP3579" s="204" t="n"/>
      <c r="CQ3579" s="204" t="n"/>
      <c r="CR3579" s="204" t="n"/>
      <c r="CS3579" s="204" t="n"/>
      <c r="CT3579" s="204" t="n"/>
      <c r="CU3579" s="204" t="n"/>
      <c r="CV3579" s="204" t="n"/>
      <c r="CW3579" s="204" t="n"/>
    </row>
    <row r="3580">
      <c r="BF3580" s="78" t="n"/>
      <c r="BG3580" s="78" t="n"/>
      <c r="BH3580" s="78" t="n"/>
      <c r="BI3580" s="78" t="n"/>
      <c r="BJ3580" s="139" t="n"/>
      <c r="BK3580" s="204" t="n"/>
      <c r="BL3580" s="141" t="n"/>
      <c r="BM3580" s="205" t="n"/>
      <c r="BN3580" s="205" t="n"/>
      <c r="BO3580" s="206" t="n"/>
      <c r="BP3580" s="144" t="n"/>
      <c r="BQ3580" s="141" t="n"/>
      <c r="BR3580" s="207" t="n"/>
      <c r="BS3580" s="207" t="n"/>
      <c r="BT3580" s="207" t="n"/>
      <c r="BU3580" s="207" t="n"/>
      <c r="BV3580" s="208" t="n"/>
      <c r="BW3580" s="207" t="n"/>
      <c r="BX3580" s="207" t="n"/>
      <c r="BY3580" s="204" t="n"/>
      <c r="BZ3580" s="148" t="n"/>
      <c r="CA3580" s="204" t="n"/>
      <c r="CB3580" s="208" t="n"/>
      <c r="CC3580" s="139" t="n"/>
      <c r="CD3580" s="204" t="n"/>
      <c r="CE3580" s="204" t="n"/>
      <c r="CF3580" s="207" t="n"/>
      <c r="CG3580" s="208" t="n"/>
      <c r="CH3580" s="207" t="n"/>
      <c r="CI3580" s="208" t="n"/>
      <c r="CJ3580" s="204" t="n"/>
      <c r="CK3580" s="208" t="n"/>
      <c r="CL3580" s="208" t="n"/>
      <c r="CM3580" s="208" t="n"/>
      <c r="CN3580" s="78" t="n"/>
      <c r="CO3580" s="209" t="n"/>
      <c r="CP3580" s="204" t="n"/>
      <c r="CQ3580" s="204" t="n"/>
      <c r="CR3580" s="204" t="n"/>
      <c r="CS3580" s="204" t="n"/>
      <c r="CT3580" s="204" t="n"/>
      <c r="CU3580" s="204" t="n"/>
      <c r="CV3580" s="204" t="n"/>
      <c r="CW3580" s="204" t="n"/>
    </row>
    <row r="3581">
      <c r="BF3581" s="78" t="n"/>
      <c r="BG3581" s="78" t="n"/>
      <c r="BH3581" s="78" t="n"/>
      <c r="BI3581" s="78" t="n"/>
      <c r="BJ3581" s="139" t="n"/>
      <c r="BK3581" s="204" t="n"/>
      <c r="BL3581" s="141" t="n"/>
      <c r="BM3581" s="205" t="n"/>
      <c r="BN3581" s="205" t="n"/>
      <c r="BO3581" s="206" t="n"/>
      <c r="BP3581" s="144" t="n"/>
      <c r="BQ3581" s="141" t="n"/>
      <c r="BR3581" s="207" t="n"/>
      <c r="BS3581" s="207" t="n"/>
      <c r="BT3581" s="207" t="n"/>
      <c r="BU3581" s="207" t="n"/>
      <c r="BV3581" s="208" t="n"/>
      <c r="BW3581" s="207" t="n"/>
      <c r="BX3581" s="207" t="n"/>
      <c r="BY3581" s="204" t="n"/>
      <c r="BZ3581" s="148" t="n"/>
      <c r="CA3581" s="204" t="n"/>
      <c r="CB3581" s="208" t="n"/>
      <c r="CC3581" s="139" t="n"/>
      <c r="CD3581" s="204" t="n"/>
      <c r="CE3581" s="204" t="n"/>
      <c r="CF3581" s="207" t="n"/>
      <c r="CG3581" s="208" t="n"/>
      <c r="CH3581" s="207" t="n"/>
      <c r="CI3581" s="208" t="n"/>
      <c r="CJ3581" s="204" t="n"/>
      <c r="CK3581" s="208" t="n"/>
      <c r="CL3581" s="208" t="n"/>
      <c r="CM3581" s="208" t="n"/>
      <c r="CN3581" s="78" t="n"/>
      <c r="CO3581" s="209" t="n"/>
      <c r="CP3581" s="204" t="n"/>
      <c r="CQ3581" s="204" t="n"/>
      <c r="CR3581" s="204" t="n"/>
      <c r="CS3581" s="204" t="n"/>
      <c r="CT3581" s="204" t="n"/>
      <c r="CU3581" s="204" t="n"/>
      <c r="CV3581" s="204" t="n"/>
      <c r="CW3581" s="204" t="n"/>
    </row>
    <row r="3582">
      <c r="BF3582" s="78" t="n"/>
      <c r="BG3582" s="78" t="n"/>
      <c r="BH3582" s="78" t="n"/>
      <c r="BI3582" s="78" t="n"/>
      <c r="BJ3582" s="139" t="n"/>
      <c r="BK3582" s="204" t="n"/>
      <c r="BL3582" s="141" t="n"/>
      <c r="BM3582" s="205" t="n"/>
      <c r="BN3582" s="205" t="n"/>
      <c r="BO3582" s="206" t="n"/>
      <c r="BP3582" s="144" t="n"/>
      <c r="BQ3582" s="141" t="n"/>
      <c r="BR3582" s="207" t="n"/>
      <c r="BS3582" s="207" t="n"/>
      <c r="BT3582" s="207" t="n"/>
      <c r="BU3582" s="207" t="n"/>
      <c r="BV3582" s="208" t="n"/>
      <c r="BW3582" s="207" t="n"/>
      <c r="BX3582" s="207" t="n"/>
      <c r="BY3582" s="204" t="n"/>
      <c r="BZ3582" s="148" t="n"/>
      <c r="CA3582" s="204" t="n"/>
      <c r="CB3582" s="208" t="n"/>
      <c r="CC3582" s="139" t="n"/>
      <c r="CD3582" s="204" t="n"/>
      <c r="CE3582" s="204" t="n"/>
      <c r="CF3582" s="207" t="n"/>
      <c r="CG3582" s="208" t="n"/>
      <c r="CH3582" s="207" t="n"/>
      <c r="CI3582" s="208" t="n"/>
      <c r="CJ3582" s="204" t="n"/>
      <c r="CK3582" s="208" t="n"/>
      <c r="CL3582" s="208" t="n"/>
      <c r="CM3582" s="208" t="n"/>
      <c r="CN3582" s="78" t="n"/>
      <c r="CO3582" s="209" t="n"/>
      <c r="CP3582" s="204" t="n"/>
      <c r="CQ3582" s="204" t="n"/>
      <c r="CR3582" s="204" t="n"/>
      <c r="CS3582" s="204" t="n"/>
      <c r="CT3582" s="204" t="n"/>
      <c r="CU3582" s="204" t="n"/>
      <c r="CV3582" s="204" t="n"/>
      <c r="CW3582" s="204" t="n"/>
    </row>
    <row r="3583">
      <c r="BF3583" s="78" t="n"/>
      <c r="BG3583" s="78" t="n"/>
      <c r="BH3583" s="78" t="n"/>
      <c r="BI3583" s="78" t="n"/>
      <c r="BJ3583" s="139" t="n"/>
      <c r="BK3583" s="204" t="n"/>
      <c r="BL3583" s="141" t="n"/>
      <c r="BM3583" s="205" t="n"/>
      <c r="BN3583" s="205" t="n"/>
      <c r="BO3583" s="206" t="n"/>
      <c r="BP3583" s="144" t="n"/>
      <c r="BQ3583" s="141" t="n"/>
      <c r="BR3583" s="207" t="n"/>
      <c r="BS3583" s="207" t="n"/>
      <c r="BT3583" s="207" t="n"/>
      <c r="BU3583" s="207" t="n"/>
      <c r="BV3583" s="208" t="n"/>
      <c r="BW3583" s="207" t="n"/>
      <c r="BX3583" s="207" t="n"/>
      <c r="BY3583" s="204" t="n"/>
      <c r="BZ3583" s="148" t="n"/>
      <c r="CA3583" s="204" t="n"/>
      <c r="CB3583" s="208" t="n"/>
      <c r="CC3583" s="139" t="n"/>
      <c r="CD3583" s="204" t="n"/>
      <c r="CE3583" s="204" t="n"/>
      <c r="CF3583" s="207" t="n"/>
      <c r="CG3583" s="208" t="n"/>
      <c r="CH3583" s="207" t="n"/>
      <c r="CI3583" s="208" t="n"/>
      <c r="CJ3583" s="204" t="n"/>
      <c r="CK3583" s="208" t="n"/>
      <c r="CL3583" s="208" t="n"/>
      <c r="CM3583" s="208" t="n"/>
      <c r="CN3583" s="78" t="n"/>
      <c r="CO3583" s="209" t="n"/>
      <c r="CP3583" s="204" t="n"/>
      <c r="CQ3583" s="204" t="n"/>
      <c r="CR3583" s="204" t="n"/>
      <c r="CS3583" s="204" t="n"/>
      <c r="CT3583" s="204" t="n"/>
      <c r="CU3583" s="204" t="n"/>
      <c r="CV3583" s="204" t="n"/>
      <c r="CW3583" s="204" t="n"/>
    </row>
    <row r="3584">
      <c r="BF3584" s="78" t="n"/>
      <c r="BG3584" s="78" t="n"/>
      <c r="BH3584" s="78" t="n"/>
      <c r="BI3584" s="78" t="n"/>
      <c r="BJ3584" s="139" t="n"/>
      <c r="BK3584" s="204" t="n"/>
      <c r="BL3584" s="141" t="n"/>
      <c r="BM3584" s="205" t="n"/>
      <c r="BN3584" s="205" t="n"/>
      <c r="BO3584" s="206" t="n"/>
      <c r="BP3584" s="144" t="n"/>
      <c r="BQ3584" s="141" t="n"/>
      <c r="BR3584" s="207" t="n"/>
      <c r="BS3584" s="207" t="n"/>
      <c r="BT3584" s="207" t="n"/>
      <c r="BU3584" s="207" t="n"/>
      <c r="BV3584" s="208" t="n"/>
      <c r="BW3584" s="207" t="n"/>
      <c r="BX3584" s="207" t="n"/>
      <c r="BY3584" s="204" t="n"/>
      <c r="BZ3584" s="148" t="n"/>
      <c r="CA3584" s="204" t="n"/>
      <c r="CB3584" s="208" t="n"/>
      <c r="CC3584" s="139" t="n"/>
      <c r="CD3584" s="204" t="n"/>
      <c r="CE3584" s="204" t="n"/>
      <c r="CF3584" s="207" t="n"/>
      <c r="CG3584" s="208" t="n"/>
      <c r="CH3584" s="207" t="n"/>
      <c r="CI3584" s="208" t="n"/>
      <c r="CJ3584" s="204" t="n"/>
      <c r="CK3584" s="208" t="n"/>
      <c r="CL3584" s="208" t="n"/>
      <c r="CM3584" s="208" t="n"/>
      <c r="CN3584" s="78" t="n"/>
      <c r="CO3584" s="209" t="n"/>
      <c r="CP3584" s="204" t="n"/>
      <c r="CQ3584" s="204" t="n"/>
      <c r="CR3584" s="204" t="n"/>
      <c r="CS3584" s="204" t="n"/>
      <c r="CT3584" s="204" t="n"/>
      <c r="CU3584" s="204" t="n"/>
      <c r="CV3584" s="204" t="n"/>
      <c r="CW3584" s="204" t="n"/>
    </row>
    <row r="3585">
      <c r="BF3585" s="78" t="n"/>
      <c r="BG3585" s="78" t="n"/>
      <c r="BH3585" s="78" t="n"/>
      <c r="BI3585" s="78" t="n"/>
      <c r="BJ3585" s="139" t="n"/>
      <c r="BK3585" s="204" t="n"/>
      <c r="BL3585" s="141" t="n"/>
      <c r="BM3585" s="205" t="n"/>
      <c r="BN3585" s="205" t="n"/>
      <c r="BO3585" s="206" t="n"/>
      <c r="BP3585" s="144" t="n"/>
      <c r="BQ3585" s="141" t="n"/>
      <c r="BR3585" s="207" t="n"/>
      <c r="BS3585" s="207" t="n"/>
      <c r="BT3585" s="207" t="n"/>
      <c r="BU3585" s="207" t="n"/>
      <c r="BV3585" s="208" t="n"/>
      <c r="BW3585" s="207" t="n"/>
      <c r="BX3585" s="207" t="n"/>
      <c r="BY3585" s="204" t="n"/>
      <c r="BZ3585" s="148" t="n"/>
      <c r="CA3585" s="204" t="n"/>
      <c r="CB3585" s="208" t="n"/>
      <c r="CC3585" s="139" t="n"/>
      <c r="CD3585" s="204" t="n"/>
      <c r="CE3585" s="204" t="n"/>
      <c r="CF3585" s="207" t="n"/>
      <c r="CG3585" s="208" t="n"/>
      <c r="CH3585" s="207" t="n"/>
      <c r="CI3585" s="208" t="n"/>
      <c r="CJ3585" s="204" t="n"/>
      <c r="CK3585" s="208" t="n"/>
      <c r="CL3585" s="208" t="n"/>
      <c r="CM3585" s="208" t="n"/>
      <c r="CN3585" s="78" t="n"/>
      <c r="CO3585" s="209" t="n"/>
      <c r="CP3585" s="204" t="n"/>
      <c r="CQ3585" s="204" t="n"/>
      <c r="CR3585" s="204" t="n"/>
      <c r="CS3585" s="204" t="n"/>
      <c r="CT3585" s="204" t="n"/>
      <c r="CU3585" s="204" t="n"/>
      <c r="CV3585" s="204" t="n"/>
      <c r="CW3585" s="204" t="n"/>
    </row>
    <row r="3586">
      <c r="BF3586" s="78" t="n"/>
      <c r="BG3586" s="78" t="n"/>
      <c r="BH3586" s="78" t="n"/>
      <c r="BI3586" s="78" t="n"/>
      <c r="BJ3586" s="139" t="n"/>
      <c r="BK3586" s="204" t="n"/>
      <c r="BL3586" s="141" t="n"/>
      <c r="BM3586" s="205" t="n"/>
      <c r="BN3586" s="205" t="n"/>
      <c r="BO3586" s="206" t="n"/>
      <c r="BP3586" s="144" t="n"/>
      <c r="BQ3586" s="141" t="n"/>
      <c r="BR3586" s="207" t="n"/>
      <c r="BS3586" s="207" t="n"/>
      <c r="BT3586" s="207" t="n"/>
      <c r="BU3586" s="207" t="n"/>
      <c r="BV3586" s="208" t="n"/>
      <c r="BW3586" s="207" t="n"/>
      <c r="BX3586" s="207" t="n"/>
      <c r="BY3586" s="204" t="n"/>
      <c r="BZ3586" s="148" t="n"/>
      <c r="CA3586" s="204" t="n"/>
      <c r="CB3586" s="208" t="n"/>
      <c r="CC3586" s="139" t="n"/>
      <c r="CD3586" s="204" t="n"/>
      <c r="CE3586" s="204" t="n"/>
      <c r="CF3586" s="207" t="n"/>
      <c r="CG3586" s="208" t="n"/>
      <c r="CH3586" s="207" t="n"/>
      <c r="CI3586" s="208" t="n"/>
      <c r="CJ3586" s="204" t="n"/>
      <c r="CK3586" s="208" t="n"/>
      <c r="CL3586" s="208" t="n"/>
      <c r="CM3586" s="208" t="n"/>
      <c r="CN3586" s="78" t="n"/>
      <c r="CO3586" s="209" t="n"/>
      <c r="CP3586" s="204" t="n"/>
      <c r="CQ3586" s="204" t="n"/>
      <c r="CR3586" s="204" t="n"/>
      <c r="CS3586" s="204" t="n"/>
      <c r="CT3586" s="204" t="n"/>
      <c r="CU3586" s="204" t="n"/>
      <c r="CV3586" s="204" t="n"/>
      <c r="CW3586" s="204" t="n"/>
    </row>
    <row r="3587">
      <c r="BF3587" s="78" t="n"/>
      <c r="BG3587" s="78" t="n"/>
      <c r="BH3587" s="78" t="n"/>
      <c r="BI3587" s="78" t="n"/>
      <c r="BJ3587" s="139" t="n"/>
      <c r="BK3587" s="204" t="n"/>
      <c r="BL3587" s="141" t="n"/>
      <c r="BM3587" s="205" t="n"/>
      <c r="BN3587" s="205" t="n"/>
      <c r="BO3587" s="206" t="n"/>
      <c r="BP3587" s="144" t="n"/>
      <c r="BQ3587" s="141" t="n"/>
      <c r="BR3587" s="207" t="n"/>
      <c r="BS3587" s="207" t="n"/>
      <c r="BT3587" s="207" t="n"/>
      <c r="BU3587" s="207" t="n"/>
      <c r="BV3587" s="208" t="n"/>
      <c r="BW3587" s="207" t="n"/>
      <c r="BX3587" s="207" t="n"/>
      <c r="BY3587" s="204" t="n"/>
      <c r="BZ3587" s="148" t="n"/>
      <c r="CA3587" s="204" t="n"/>
      <c r="CB3587" s="208" t="n"/>
      <c r="CC3587" s="139" t="n"/>
      <c r="CD3587" s="204" t="n"/>
      <c r="CE3587" s="204" t="n"/>
      <c r="CF3587" s="207" t="n"/>
      <c r="CG3587" s="208" t="n"/>
      <c r="CH3587" s="207" t="n"/>
      <c r="CI3587" s="208" t="n"/>
      <c r="CJ3587" s="204" t="n"/>
      <c r="CK3587" s="208" t="n"/>
      <c r="CL3587" s="208" t="n"/>
      <c r="CM3587" s="208" t="n"/>
      <c r="CN3587" s="78" t="n"/>
      <c r="CO3587" s="209" t="n"/>
      <c r="CP3587" s="204" t="n"/>
      <c r="CQ3587" s="204" t="n"/>
      <c r="CR3587" s="204" t="n"/>
      <c r="CS3587" s="204" t="n"/>
      <c r="CT3587" s="204" t="n"/>
      <c r="CU3587" s="204" t="n"/>
      <c r="CV3587" s="204" t="n"/>
      <c r="CW3587" s="204" t="n"/>
    </row>
    <row r="3588">
      <c r="BF3588" s="78" t="n"/>
      <c r="BG3588" s="78" t="n"/>
      <c r="BH3588" s="78" t="n"/>
      <c r="BI3588" s="78" t="n"/>
      <c r="BJ3588" s="139" t="n"/>
      <c r="BK3588" s="204" t="n"/>
      <c r="BL3588" s="141" t="n"/>
      <c r="BM3588" s="205" t="n"/>
      <c r="BN3588" s="205" t="n"/>
      <c r="BO3588" s="206" t="n"/>
      <c r="BP3588" s="144" t="n"/>
      <c r="BQ3588" s="141" t="n"/>
      <c r="BR3588" s="207" t="n"/>
      <c r="BS3588" s="207" t="n"/>
      <c r="BT3588" s="207" t="n"/>
      <c r="BU3588" s="207" t="n"/>
      <c r="BV3588" s="208" t="n"/>
      <c r="BW3588" s="207" t="n"/>
      <c r="BX3588" s="207" t="n"/>
      <c r="BY3588" s="204" t="n"/>
      <c r="BZ3588" s="148" t="n"/>
      <c r="CA3588" s="204" t="n"/>
      <c r="CB3588" s="208" t="n"/>
      <c r="CC3588" s="139" t="n"/>
      <c r="CD3588" s="204" t="n"/>
      <c r="CE3588" s="204" t="n"/>
      <c r="CF3588" s="207" t="n"/>
      <c r="CG3588" s="208" t="n"/>
      <c r="CH3588" s="207" t="n"/>
      <c r="CI3588" s="208" t="n"/>
      <c r="CJ3588" s="204" t="n"/>
      <c r="CK3588" s="208" t="n"/>
      <c r="CL3588" s="208" t="n"/>
      <c r="CM3588" s="208" t="n"/>
      <c r="CN3588" s="78" t="n"/>
      <c r="CO3588" s="209" t="n"/>
      <c r="CP3588" s="204" t="n"/>
      <c r="CQ3588" s="204" t="n"/>
      <c r="CR3588" s="204" t="n"/>
      <c r="CS3588" s="204" t="n"/>
      <c r="CT3588" s="204" t="n"/>
      <c r="CU3588" s="204" t="n"/>
      <c r="CV3588" s="204" t="n"/>
      <c r="CW3588" s="204" t="n"/>
    </row>
    <row r="3589">
      <c r="BF3589" s="78" t="n"/>
      <c r="BG3589" s="78" t="n"/>
      <c r="BH3589" s="78" t="n"/>
      <c r="BI3589" s="78" t="n"/>
      <c r="BJ3589" s="139" t="n"/>
      <c r="BK3589" s="204" t="n"/>
      <c r="BL3589" s="141" t="n"/>
      <c r="BM3589" s="205" t="n"/>
      <c r="BN3589" s="205" t="n"/>
      <c r="BO3589" s="206" t="n"/>
      <c r="BP3589" s="144" t="n"/>
      <c r="BQ3589" s="141" t="n"/>
      <c r="BR3589" s="207" t="n"/>
      <c r="BS3589" s="207" t="n"/>
      <c r="BT3589" s="207" t="n"/>
      <c r="BU3589" s="207" t="n"/>
      <c r="BV3589" s="208" t="n"/>
      <c r="BW3589" s="207" t="n"/>
      <c r="BX3589" s="207" t="n"/>
      <c r="BY3589" s="204" t="n"/>
      <c r="BZ3589" s="148" t="n"/>
      <c r="CA3589" s="204" t="n"/>
      <c r="CB3589" s="208" t="n"/>
      <c r="CC3589" s="139" t="n"/>
      <c r="CD3589" s="204" t="n"/>
      <c r="CE3589" s="204" t="n"/>
      <c r="CF3589" s="207" t="n"/>
      <c r="CG3589" s="208" t="n"/>
      <c r="CH3589" s="207" t="n"/>
      <c r="CI3589" s="208" t="n"/>
      <c r="CJ3589" s="204" t="n"/>
      <c r="CK3589" s="208" t="n"/>
      <c r="CL3589" s="208" t="n"/>
      <c r="CM3589" s="208" t="n"/>
      <c r="CN3589" s="78" t="n"/>
      <c r="CO3589" s="209" t="n"/>
      <c r="CP3589" s="204" t="n"/>
      <c r="CQ3589" s="204" t="n"/>
      <c r="CR3589" s="204" t="n"/>
      <c r="CS3589" s="204" t="n"/>
      <c r="CT3589" s="204" t="n"/>
      <c r="CU3589" s="204" t="n"/>
      <c r="CV3589" s="204" t="n"/>
      <c r="CW3589" s="204" t="n"/>
    </row>
    <row r="3590">
      <c r="BF3590" s="78" t="n"/>
      <c r="BG3590" s="78" t="n"/>
      <c r="BH3590" s="78" t="n"/>
      <c r="BI3590" s="78" t="n"/>
      <c r="BJ3590" s="139" t="n"/>
      <c r="BK3590" s="204" t="n"/>
      <c r="BL3590" s="141" t="n"/>
      <c r="BM3590" s="205" t="n"/>
      <c r="BN3590" s="205" t="n"/>
      <c r="BO3590" s="206" t="n"/>
      <c r="BP3590" s="144" t="n"/>
      <c r="BQ3590" s="141" t="n"/>
      <c r="BR3590" s="207" t="n"/>
      <c r="BS3590" s="207" t="n"/>
      <c r="BT3590" s="207" t="n"/>
      <c r="BU3590" s="207" t="n"/>
      <c r="BV3590" s="208" t="n"/>
      <c r="BW3590" s="207" t="n"/>
      <c r="BX3590" s="207" t="n"/>
      <c r="BY3590" s="204" t="n"/>
      <c r="BZ3590" s="148" t="n"/>
      <c r="CA3590" s="204" t="n"/>
      <c r="CB3590" s="208" t="n"/>
      <c r="CC3590" s="139" t="n"/>
      <c r="CD3590" s="204" t="n"/>
      <c r="CE3590" s="204" t="n"/>
      <c r="CF3590" s="207" t="n"/>
      <c r="CG3590" s="208" t="n"/>
      <c r="CH3590" s="207" t="n"/>
      <c r="CI3590" s="208" t="n"/>
      <c r="CJ3590" s="204" t="n"/>
      <c r="CK3590" s="208" t="n"/>
      <c r="CL3590" s="208" t="n"/>
      <c r="CM3590" s="208" t="n"/>
      <c r="CN3590" s="78" t="n"/>
      <c r="CO3590" s="209" t="n"/>
      <c r="CP3590" s="204" t="n"/>
      <c r="CQ3590" s="204" t="n"/>
      <c r="CR3590" s="204" t="n"/>
      <c r="CS3590" s="204" t="n"/>
      <c r="CT3590" s="204" t="n"/>
      <c r="CU3590" s="204" t="n"/>
      <c r="CV3590" s="204" t="n"/>
      <c r="CW3590" s="204" t="n"/>
    </row>
    <row r="3591">
      <c r="BF3591" s="78" t="n"/>
      <c r="BG3591" s="78" t="n"/>
      <c r="BH3591" s="78" t="n"/>
      <c r="BI3591" s="78" t="n"/>
      <c r="BJ3591" s="139" t="n"/>
      <c r="BK3591" s="204" t="n"/>
      <c r="BL3591" s="141" t="n"/>
      <c r="BM3591" s="205" t="n"/>
      <c r="BN3591" s="205" t="n"/>
      <c r="BO3591" s="206" t="n"/>
      <c r="BP3591" s="144" t="n"/>
      <c r="BQ3591" s="141" t="n"/>
      <c r="BR3591" s="207" t="n"/>
      <c r="BS3591" s="207" t="n"/>
      <c r="BT3591" s="207" t="n"/>
      <c r="BU3591" s="207" t="n"/>
      <c r="BV3591" s="208" t="n"/>
      <c r="BW3591" s="207" t="n"/>
      <c r="BX3591" s="207" t="n"/>
      <c r="BY3591" s="204" t="n"/>
      <c r="BZ3591" s="148" t="n"/>
      <c r="CA3591" s="204" t="n"/>
      <c r="CB3591" s="208" t="n"/>
      <c r="CC3591" s="139" t="n"/>
      <c r="CD3591" s="204" t="n"/>
      <c r="CE3591" s="204" t="n"/>
      <c r="CF3591" s="207" t="n"/>
      <c r="CG3591" s="208" t="n"/>
      <c r="CH3591" s="207" t="n"/>
      <c r="CI3591" s="208" t="n"/>
      <c r="CJ3591" s="204" t="n"/>
      <c r="CK3591" s="208" t="n"/>
      <c r="CL3591" s="208" t="n"/>
      <c r="CM3591" s="208" t="n"/>
      <c r="CN3591" s="78" t="n"/>
      <c r="CO3591" s="209" t="n"/>
      <c r="CP3591" s="204" t="n"/>
      <c r="CQ3591" s="204" t="n"/>
      <c r="CR3591" s="204" t="n"/>
      <c r="CS3591" s="204" t="n"/>
      <c r="CT3591" s="204" t="n"/>
      <c r="CU3591" s="204" t="n"/>
      <c r="CV3591" s="204" t="n"/>
      <c r="CW3591" s="204" t="n"/>
    </row>
    <row r="3592">
      <c r="BF3592" s="78" t="n"/>
      <c r="BG3592" s="78" t="n"/>
      <c r="BH3592" s="78" t="n"/>
      <c r="BI3592" s="78" t="n"/>
      <c r="BJ3592" s="139" t="n"/>
      <c r="BK3592" s="204" t="n"/>
      <c r="BL3592" s="141" t="n"/>
      <c r="BM3592" s="205" t="n"/>
      <c r="BN3592" s="205" t="n"/>
      <c r="BO3592" s="206" t="n"/>
      <c r="BP3592" s="144" t="n"/>
      <c r="BQ3592" s="141" t="n"/>
      <c r="BR3592" s="207" t="n"/>
      <c r="BS3592" s="207" t="n"/>
      <c r="BT3592" s="207" t="n"/>
      <c r="BU3592" s="207" t="n"/>
      <c r="BV3592" s="208" t="n"/>
      <c r="BW3592" s="207" t="n"/>
      <c r="BX3592" s="207" t="n"/>
      <c r="BY3592" s="204" t="n"/>
      <c r="BZ3592" s="148" t="n"/>
      <c r="CA3592" s="204" t="n"/>
      <c r="CB3592" s="208" t="n"/>
      <c r="CC3592" s="139" t="n"/>
      <c r="CD3592" s="204" t="n"/>
      <c r="CE3592" s="204" t="n"/>
      <c r="CF3592" s="207" t="n"/>
      <c r="CG3592" s="208" t="n"/>
      <c r="CH3592" s="207" t="n"/>
      <c r="CI3592" s="208" t="n"/>
      <c r="CJ3592" s="204" t="n"/>
      <c r="CK3592" s="208" t="n"/>
      <c r="CL3592" s="208" t="n"/>
      <c r="CM3592" s="208" t="n"/>
      <c r="CN3592" s="78" t="n"/>
      <c r="CO3592" s="209" t="n"/>
      <c r="CP3592" s="204" t="n"/>
      <c r="CQ3592" s="204" t="n"/>
      <c r="CR3592" s="204" t="n"/>
      <c r="CS3592" s="204" t="n"/>
      <c r="CT3592" s="204" t="n"/>
      <c r="CU3592" s="204" t="n"/>
      <c r="CV3592" s="204" t="n"/>
      <c r="CW3592" s="204" t="n"/>
    </row>
    <row r="3593">
      <c r="BF3593" s="78" t="n"/>
      <c r="BG3593" s="78" t="n"/>
      <c r="BH3593" s="78" t="n"/>
      <c r="BI3593" s="78" t="n"/>
      <c r="BJ3593" s="139" t="n"/>
      <c r="BK3593" s="204" t="n"/>
      <c r="BL3593" s="141" t="n"/>
      <c r="BM3593" s="205" t="n"/>
      <c r="BN3593" s="205" t="n"/>
      <c r="BO3593" s="206" t="n"/>
      <c r="BP3593" s="144" t="n"/>
      <c r="BQ3593" s="141" t="n"/>
      <c r="BR3593" s="207" t="n"/>
      <c r="BS3593" s="207" t="n"/>
      <c r="BT3593" s="207" t="n"/>
      <c r="BU3593" s="207" t="n"/>
      <c r="BV3593" s="208" t="n"/>
      <c r="BW3593" s="207" t="n"/>
      <c r="BX3593" s="207" t="n"/>
      <c r="BY3593" s="204" t="n"/>
      <c r="BZ3593" s="148" t="n"/>
      <c r="CA3593" s="204" t="n"/>
      <c r="CB3593" s="208" t="n"/>
      <c r="CC3593" s="139" t="n"/>
      <c r="CD3593" s="204" t="n"/>
      <c r="CE3593" s="204" t="n"/>
      <c r="CF3593" s="207" t="n"/>
      <c r="CG3593" s="208" t="n"/>
      <c r="CH3593" s="207" t="n"/>
      <c r="CI3593" s="208" t="n"/>
      <c r="CJ3593" s="204" t="n"/>
      <c r="CK3593" s="208" t="n"/>
      <c r="CL3593" s="208" t="n"/>
      <c r="CM3593" s="208" t="n"/>
      <c r="CN3593" s="78" t="n"/>
      <c r="CO3593" s="209" t="n"/>
      <c r="CP3593" s="204" t="n"/>
      <c r="CQ3593" s="204" t="n"/>
      <c r="CR3593" s="204" t="n"/>
      <c r="CS3593" s="204" t="n"/>
      <c r="CT3593" s="204" t="n"/>
      <c r="CU3593" s="204" t="n"/>
      <c r="CV3593" s="204" t="n"/>
      <c r="CW3593" s="204" t="n"/>
    </row>
    <row r="3594">
      <c r="BF3594" s="78" t="n"/>
      <c r="BG3594" s="78" t="n"/>
      <c r="BH3594" s="78" t="n"/>
      <c r="BI3594" s="78" t="n"/>
      <c r="BJ3594" s="139" t="n"/>
      <c r="BK3594" s="204" t="n"/>
      <c r="BL3594" s="141" t="n"/>
      <c r="BM3594" s="205" t="n"/>
      <c r="BN3594" s="205" t="n"/>
      <c r="BO3594" s="206" t="n"/>
      <c r="BP3594" s="144" t="n"/>
      <c r="BQ3594" s="141" t="n"/>
      <c r="BR3594" s="207" t="n"/>
      <c r="BS3594" s="207" t="n"/>
      <c r="BT3594" s="207" t="n"/>
      <c r="BU3594" s="207" t="n"/>
      <c r="BV3594" s="208" t="n"/>
      <c r="BW3594" s="207" t="n"/>
      <c r="BX3594" s="207" t="n"/>
      <c r="BY3594" s="204" t="n"/>
      <c r="BZ3594" s="148" t="n"/>
      <c r="CA3594" s="204" t="n"/>
      <c r="CB3594" s="208" t="n"/>
      <c r="CC3594" s="139" t="n"/>
      <c r="CD3594" s="204" t="n"/>
      <c r="CE3594" s="204" t="n"/>
      <c r="CF3594" s="207" t="n"/>
      <c r="CG3594" s="208" t="n"/>
      <c r="CH3594" s="207" t="n"/>
      <c r="CI3594" s="208" t="n"/>
      <c r="CJ3594" s="204" t="n"/>
      <c r="CK3594" s="208" t="n"/>
      <c r="CL3594" s="208" t="n"/>
      <c r="CM3594" s="208" t="n"/>
      <c r="CN3594" s="78" t="n"/>
      <c r="CO3594" s="209" t="n"/>
      <c r="CP3594" s="204" t="n"/>
      <c r="CQ3594" s="204" t="n"/>
      <c r="CR3594" s="204" t="n"/>
      <c r="CS3594" s="204" t="n"/>
      <c r="CT3594" s="204" t="n"/>
      <c r="CU3594" s="204" t="n"/>
      <c r="CV3594" s="204" t="n"/>
      <c r="CW3594" s="204" t="n"/>
    </row>
    <row r="3595">
      <c r="BF3595" s="78" t="n"/>
      <c r="BG3595" s="78" t="n"/>
      <c r="BH3595" s="78" t="n"/>
      <c r="BI3595" s="78" t="n"/>
      <c r="BJ3595" s="139" t="n"/>
      <c r="BK3595" s="204" t="n"/>
      <c r="BL3595" s="141" t="n"/>
      <c r="BM3595" s="205" t="n"/>
      <c r="BN3595" s="205" t="n"/>
      <c r="BO3595" s="206" t="n"/>
      <c r="BP3595" s="144" t="n"/>
      <c r="BQ3595" s="141" t="n"/>
      <c r="BR3595" s="207" t="n"/>
      <c r="BS3595" s="207" t="n"/>
      <c r="BT3595" s="207" t="n"/>
      <c r="BU3595" s="207" t="n"/>
      <c r="BV3595" s="208" t="n"/>
      <c r="BW3595" s="207" t="n"/>
      <c r="BX3595" s="207" t="n"/>
      <c r="BY3595" s="204" t="n"/>
      <c r="BZ3595" s="148" t="n"/>
      <c r="CA3595" s="204" t="n"/>
      <c r="CB3595" s="208" t="n"/>
      <c r="CC3595" s="139" t="n"/>
      <c r="CD3595" s="204" t="n"/>
      <c r="CE3595" s="204" t="n"/>
      <c r="CF3595" s="207" t="n"/>
      <c r="CG3595" s="208" t="n"/>
      <c r="CH3595" s="207" t="n"/>
      <c r="CI3595" s="208" t="n"/>
      <c r="CJ3595" s="204" t="n"/>
      <c r="CK3595" s="208" t="n"/>
      <c r="CL3595" s="208" t="n"/>
      <c r="CM3595" s="208" t="n"/>
      <c r="CN3595" s="78" t="n"/>
      <c r="CO3595" s="209" t="n"/>
      <c r="CP3595" s="204" t="n"/>
      <c r="CQ3595" s="204" t="n"/>
      <c r="CR3595" s="204" t="n"/>
      <c r="CS3595" s="204" t="n"/>
      <c r="CT3595" s="204" t="n"/>
      <c r="CU3595" s="204" t="n"/>
      <c r="CV3595" s="204" t="n"/>
      <c r="CW3595" s="204" t="n"/>
    </row>
    <row r="3596">
      <c r="BF3596" s="78" t="n"/>
      <c r="BG3596" s="78" t="n"/>
      <c r="BH3596" s="78" t="n"/>
      <c r="BI3596" s="78" t="n"/>
      <c r="BJ3596" s="139" t="n"/>
      <c r="BK3596" s="204" t="n"/>
      <c r="BL3596" s="141" t="n"/>
      <c r="BM3596" s="205" t="n"/>
      <c r="BN3596" s="205" t="n"/>
      <c r="BO3596" s="206" t="n"/>
      <c r="BP3596" s="144" t="n"/>
      <c r="BQ3596" s="141" t="n"/>
      <c r="BR3596" s="207" t="n"/>
      <c r="BS3596" s="207" t="n"/>
      <c r="BT3596" s="207" t="n"/>
      <c r="BU3596" s="207" t="n"/>
      <c r="BV3596" s="208" t="n"/>
      <c r="BW3596" s="207" t="n"/>
      <c r="BX3596" s="207" t="n"/>
      <c r="BY3596" s="204" t="n"/>
      <c r="BZ3596" s="148" t="n"/>
      <c r="CA3596" s="204" t="n"/>
      <c r="CB3596" s="208" t="n"/>
      <c r="CC3596" s="139" t="n"/>
      <c r="CD3596" s="204" t="n"/>
      <c r="CE3596" s="204" t="n"/>
      <c r="CF3596" s="207" t="n"/>
      <c r="CG3596" s="208" t="n"/>
      <c r="CH3596" s="207" t="n"/>
      <c r="CI3596" s="208" t="n"/>
      <c r="CJ3596" s="204" t="n"/>
      <c r="CK3596" s="208" t="n"/>
      <c r="CL3596" s="208" t="n"/>
      <c r="CM3596" s="208" t="n"/>
      <c r="CN3596" s="78" t="n"/>
      <c r="CO3596" s="209" t="n"/>
      <c r="CP3596" s="204" t="n"/>
      <c r="CQ3596" s="204" t="n"/>
      <c r="CR3596" s="204" t="n"/>
      <c r="CS3596" s="204" t="n"/>
      <c r="CT3596" s="204" t="n"/>
      <c r="CU3596" s="204" t="n"/>
      <c r="CV3596" s="204" t="n"/>
      <c r="CW3596" s="204" t="n"/>
    </row>
    <row r="3597">
      <c r="BF3597" s="78" t="n"/>
      <c r="BG3597" s="78" t="n"/>
      <c r="BH3597" s="78" t="n"/>
      <c r="BI3597" s="78" t="n"/>
      <c r="BJ3597" s="139" t="n"/>
      <c r="BK3597" s="204" t="n"/>
      <c r="BL3597" s="141" t="n"/>
      <c r="BM3597" s="205" t="n"/>
      <c r="BN3597" s="205" t="n"/>
      <c r="BO3597" s="206" t="n"/>
      <c r="BP3597" s="144" t="n"/>
      <c r="BQ3597" s="141" t="n"/>
      <c r="BR3597" s="207" t="n"/>
      <c r="BS3597" s="207" t="n"/>
      <c r="BT3597" s="207" t="n"/>
      <c r="BU3597" s="207" t="n"/>
      <c r="BV3597" s="208" t="n"/>
      <c r="BW3597" s="207" t="n"/>
      <c r="BX3597" s="207" t="n"/>
      <c r="BY3597" s="204" t="n"/>
      <c r="BZ3597" s="148" t="n"/>
      <c r="CA3597" s="204" t="n"/>
      <c r="CB3597" s="208" t="n"/>
      <c r="CC3597" s="139" t="n"/>
      <c r="CD3597" s="204" t="n"/>
      <c r="CE3597" s="204" t="n"/>
      <c r="CF3597" s="207" t="n"/>
      <c r="CG3597" s="208" t="n"/>
      <c r="CH3597" s="207" t="n"/>
      <c r="CI3597" s="208" t="n"/>
      <c r="CJ3597" s="204" t="n"/>
      <c r="CK3597" s="208" t="n"/>
      <c r="CL3597" s="208" t="n"/>
      <c r="CM3597" s="208" t="n"/>
      <c r="CN3597" s="78" t="n"/>
      <c r="CO3597" s="209" t="n"/>
      <c r="CP3597" s="204" t="n"/>
      <c r="CQ3597" s="204" t="n"/>
      <c r="CR3597" s="204" t="n"/>
      <c r="CS3597" s="204" t="n"/>
      <c r="CT3597" s="204" t="n"/>
      <c r="CU3597" s="204" t="n"/>
      <c r="CV3597" s="204" t="n"/>
      <c r="CW3597" s="204" t="n"/>
    </row>
    <row r="3598">
      <c r="BF3598" s="78" t="n"/>
      <c r="BG3598" s="78" t="n"/>
      <c r="BH3598" s="78" t="n"/>
      <c r="BI3598" s="78" t="n"/>
      <c r="BJ3598" s="139" t="n"/>
      <c r="BK3598" s="204" t="n"/>
      <c r="BL3598" s="141" t="n"/>
      <c r="BM3598" s="205" t="n"/>
      <c r="BN3598" s="205" t="n"/>
      <c r="BO3598" s="206" t="n"/>
      <c r="BP3598" s="144" t="n"/>
      <c r="BQ3598" s="141" t="n"/>
      <c r="BR3598" s="207" t="n"/>
      <c r="BS3598" s="207" t="n"/>
      <c r="BT3598" s="207" t="n"/>
      <c r="BU3598" s="207" t="n"/>
      <c r="BV3598" s="208" t="n"/>
      <c r="BW3598" s="207" t="n"/>
      <c r="BX3598" s="207" t="n"/>
      <c r="BY3598" s="204" t="n"/>
      <c r="BZ3598" s="148" t="n"/>
      <c r="CA3598" s="204" t="n"/>
      <c r="CB3598" s="208" t="n"/>
      <c r="CC3598" s="139" t="n"/>
      <c r="CD3598" s="204" t="n"/>
      <c r="CE3598" s="204" t="n"/>
      <c r="CF3598" s="207" t="n"/>
      <c r="CG3598" s="208" t="n"/>
      <c r="CH3598" s="207" t="n"/>
      <c r="CI3598" s="208" t="n"/>
      <c r="CJ3598" s="204" t="n"/>
      <c r="CK3598" s="208" t="n"/>
      <c r="CL3598" s="208" t="n"/>
      <c r="CM3598" s="208" t="n"/>
      <c r="CN3598" s="78" t="n"/>
      <c r="CO3598" s="209" t="n"/>
      <c r="CP3598" s="204" t="n"/>
      <c r="CQ3598" s="204" t="n"/>
      <c r="CR3598" s="204" t="n"/>
      <c r="CS3598" s="204" t="n"/>
      <c r="CT3598" s="204" t="n"/>
      <c r="CU3598" s="204" t="n"/>
      <c r="CV3598" s="204" t="n"/>
      <c r="CW3598" s="204" t="n"/>
    </row>
    <row r="3599">
      <c r="BF3599" s="78" t="n"/>
      <c r="BG3599" s="78" t="n"/>
      <c r="BH3599" s="78" t="n"/>
      <c r="BI3599" s="78" t="n"/>
      <c r="BJ3599" s="139" t="n"/>
      <c r="BK3599" s="204" t="n"/>
      <c r="BL3599" s="141" t="n"/>
      <c r="BM3599" s="205" t="n"/>
      <c r="BN3599" s="205" t="n"/>
      <c r="BO3599" s="206" t="n"/>
      <c r="BP3599" s="144" t="n"/>
      <c r="BQ3599" s="141" t="n"/>
      <c r="BR3599" s="207" t="n"/>
      <c r="BS3599" s="207" t="n"/>
      <c r="BT3599" s="207" t="n"/>
      <c r="BU3599" s="207" t="n"/>
      <c r="BV3599" s="208" t="n"/>
      <c r="BW3599" s="207" t="n"/>
      <c r="BX3599" s="207" t="n"/>
      <c r="BY3599" s="204" t="n"/>
      <c r="BZ3599" s="148" t="n"/>
      <c r="CA3599" s="204" t="n"/>
      <c r="CB3599" s="208" t="n"/>
      <c r="CC3599" s="139" t="n"/>
      <c r="CD3599" s="204" t="n"/>
      <c r="CE3599" s="204" t="n"/>
      <c r="CF3599" s="207" t="n"/>
      <c r="CG3599" s="208" t="n"/>
      <c r="CH3599" s="207" t="n"/>
      <c r="CI3599" s="208" t="n"/>
      <c r="CJ3599" s="204" t="n"/>
      <c r="CK3599" s="208" t="n"/>
      <c r="CL3599" s="208" t="n"/>
      <c r="CM3599" s="208" t="n"/>
      <c r="CN3599" s="78" t="n"/>
      <c r="CO3599" s="209" t="n"/>
      <c r="CP3599" s="204" t="n"/>
      <c r="CQ3599" s="204" t="n"/>
      <c r="CR3599" s="204" t="n"/>
      <c r="CS3599" s="204" t="n"/>
      <c r="CT3599" s="204" t="n"/>
      <c r="CU3599" s="204" t="n"/>
      <c r="CV3599" s="204" t="n"/>
      <c r="CW3599" s="204" t="n"/>
    </row>
    <row r="3600">
      <c r="BF3600" s="78" t="n"/>
      <c r="BG3600" s="78" t="n"/>
      <c r="BH3600" s="78" t="n"/>
      <c r="BI3600" s="78" t="n"/>
      <c r="BJ3600" s="139" t="n"/>
      <c r="BK3600" s="204" t="n"/>
      <c r="BL3600" s="141" t="n"/>
      <c r="BM3600" s="205" t="n"/>
      <c r="BN3600" s="205" t="n"/>
      <c r="BO3600" s="206" t="n"/>
      <c r="BP3600" s="144" t="n"/>
      <c r="BQ3600" s="141" t="n"/>
      <c r="BR3600" s="207" t="n"/>
      <c r="BS3600" s="207" t="n"/>
      <c r="BT3600" s="207" t="n"/>
      <c r="BU3600" s="207" t="n"/>
      <c r="BV3600" s="208" t="n"/>
      <c r="BW3600" s="207" t="n"/>
      <c r="BX3600" s="207" t="n"/>
      <c r="BY3600" s="204" t="n"/>
      <c r="BZ3600" s="148" t="n"/>
      <c r="CA3600" s="204" t="n"/>
      <c r="CB3600" s="208" t="n"/>
      <c r="CC3600" s="139" t="n"/>
      <c r="CD3600" s="204" t="n"/>
      <c r="CE3600" s="204" t="n"/>
      <c r="CF3600" s="207" t="n"/>
      <c r="CG3600" s="208" t="n"/>
      <c r="CH3600" s="207" t="n"/>
      <c r="CI3600" s="208" t="n"/>
      <c r="CJ3600" s="204" t="n"/>
      <c r="CK3600" s="208" t="n"/>
      <c r="CL3600" s="208" t="n"/>
      <c r="CM3600" s="208" t="n"/>
      <c r="CN3600" s="78" t="n"/>
      <c r="CO3600" s="209" t="n"/>
      <c r="CP3600" s="204" t="n"/>
      <c r="CQ3600" s="204" t="n"/>
      <c r="CR3600" s="204" t="n"/>
      <c r="CS3600" s="204" t="n"/>
      <c r="CT3600" s="204" t="n"/>
      <c r="CU3600" s="204" t="n"/>
      <c r="CV3600" s="204" t="n"/>
      <c r="CW3600" s="204" t="n"/>
    </row>
    <row r="3601">
      <c r="BF3601" s="78" t="n"/>
      <c r="BG3601" s="78" t="n"/>
      <c r="BH3601" s="78" t="n"/>
      <c r="BI3601" s="78" t="n"/>
      <c r="BJ3601" s="139" t="n"/>
      <c r="BK3601" s="204" t="n"/>
      <c r="BL3601" s="141" t="n"/>
      <c r="BM3601" s="205" t="n"/>
      <c r="BN3601" s="205" t="n"/>
      <c r="BO3601" s="206" t="n"/>
      <c r="BP3601" s="144" t="n"/>
      <c r="BQ3601" s="141" t="n"/>
      <c r="BR3601" s="207" t="n"/>
      <c r="BS3601" s="207" t="n"/>
      <c r="BT3601" s="207" t="n"/>
      <c r="BU3601" s="207" t="n"/>
      <c r="BV3601" s="208" t="n"/>
      <c r="BW3601" s="207" t="n"/>
      <c r="BX3601" s="207" t="n"/>
      <c r="BY3601" s="204" t="n"/>
      <c r="BZ3601" s="148" t="n"/>
      <c r="CA3601" s="204" t="n"/>
      <c r="CB3601" s="208" t="n"/>
      <c r="CC3601" s="139" t="n"/>
      <c r="CD3601" s="204" t="n"/>
      <c r="CE3601" s="204" t="n"/>
      <c r="CF3601" s="207" t="n"/>
      <c r="CG3601" s="208" t="n"/>
      <c r="CH3601" s="207" t="n"/>
      <c r="CI3601" s="208" t="n"/>
      <c r="CJ3601" s="204" t="n"/>
      <c r="CK3601" s="208" t="n"/>
      <c r="CL3601" s="208" t="n"/>
      <c r="CM3601" s="208" t="n"/>
      <c r="CN3601" s="78" t="n"/>
      <c r="CO3601" s="209" t="n"/>
      <c r="CP3601" s="204" t="n"/>
      <c r="CQ3601" s="204" t="n"/>
      <c r="CR3601" s="204" t="n"/>
      <c r="CS3601" s="204" t="n"/>
      <c r="CT3601" s="204" t="n"/>
      <c r="CU3601" s="204" t="n"/>
      <c r="CV3601" s="204" t="n"/>
      <c r="CW3601" s="204" t="n"/>
    </row>
    <row r="3602">
      <c r="BF3602" s="78" t="n"/>
      <c r="BG3602" s="78" t="n"/>
      <c r="BH3602" s="78" t="n"/>
      <c r="BI3602" s="78" t="n"/>
      <c r="BJ3602" s="139" t="n"/>
      <c r="BK3602" s="204" t="n"/>
      <c r="BL3602" s="141" t="n"/>
      <c r="BM3602" s="205" t="n"/>
      <c r="BN3602" s="205" t="n"/>
      <c r="BO3602" s="206" t="n"/>
      <c r="BP3602" s="144" t="n"/>
      <c r="BQ3602" s="141" t="n"/>
      <c r="BR3602" s="207" t="n"/>
      <c r="BS3602" s="207" t="n"/>
      <c r="BT3602" s="207" t="n"/>
      <c r="BU3602" s="207" t="n"/>
      <c r="BV3602" s="208" t="n"/>
      <c r="BW3602" s="207" t="n"/>
      <c r="BX3602" s="207" t="n"/>
      <c r="BY3602" s="204" t="n"/>
      <c r="BZ3602" s="148" t="n"/>
      <c r="CA3602" s="204" t="n"/>
      <c r="CB3602" s="208" t="n"/>
      <c r="CC3602" s="139" t="n"/>
      <c r="CD3602" s="204" t="n"/>
      <c r="CE3602" s="204" t="n"/>
      <c r="CF3602" s="207" t="n"/>
      <c r="CG3602" s="208" t="n"/>
      <c r="CH3602" s="207" t="n"/>
      <c r="CI3602" s="208" t="n"/>
      <c r="CJ3602" s="204" t="n"/>
      <c r="CK3602" s="208" t="n"/>
      <c r="CL3602" s="208" t="n"/>
      <c r="CM3602" s="208" t="n"/>
      <c r="CN3602" s="78" t="n"/>
      <c r="CO3602" s="209" t="n"/>
      <c r="CP3602" s="204" t="n"/>
      <c r="CQ3602" s="204" t="n"/>
      <c r="CR3602" s="204" t="n"/>
      <c r="CS3602" s="204" t="n"/>
      <c r="CT3602" s="204" t="n"/>
      <c r="CU3602" s="204" t="n"/>
      <c r="CV3602" s="204" t="n"/>
      <c r="CW3602" s="204" t="n"/>
    </row>
    <row r="3603">
      <c r="BF3603" s="78" t="n"/>
      <c r="BG3603" s="78" t="n"/>
      <c r="BH3603" s="78" t="n"/>
      <c r="BI3603" s="78" t="n"/>
      <c r="BJ3603" s="139" t="n"/>
      <c r="BK3603" s="204" t="n"/>
      <c r="BL3603" s="141" t="n"/>
      <c r="BM3603" s="205" t="n"/>
      <c r="BN3603" s="205" t="n"/>
      <c r="BO3603" s="206" t="n"/>
      <c r="BP3603" s="144" t="n"/>
      <c r="BQ3603" s="141" t="n"/>
      <c r="BR3603" s="207" t="n"/>
      <c r="BS3603" s="207" t="n"/>
      <c r="BT3603" s="207" t="n"/>
      <c r="BU3603" s="207" t="n"/>
      <c r="BV3603" s="208" t="n"/>
      <c r="BW3603" s="207" t="n"/>
      <c r="BX3603" s="207" t="n"/>
      <c r="BY3603" s="204" t="n"/>
      <c r="BZ3603" s="148" t="n"/>
      <c r="CA3603" s="204" t="n"/>
      <c r="CB3603" s="208" t="n"/>
      <c r="CC3603" s="139" t="n"/>
      <c r="CD3603" s="204" t="n"/>
      <c r="CE3603" s="204" t="n"/>
      <c r="CF3603" s="207" t="n"/>
      <c r="CG3603" s="208" t="n"/>
      <c r="CH3603" s="207" t="n"/>
      <c r="CI3603" s="208" t="n"/>
      <c r="CJ3603" s="204" t="n"/>
      <c r="CK3603" s="208" t="n"/>
      <c r="CL3603" s="208" t="n"/>
      <c r="CM3603" s="208" t="n"/>
      <c r="CN3603" s="78" t="n"/>
      <c r="CO3603" s="209" t="n"/>
      <c r="CP3603" s="204" t="n"/>
      <c r="CQ3603" s="204" t="n"/>
      <c r="CR3603" s="204" t="n"/>
      <c r="CS3603" s="204" t="n"/>
      <c r="CT3603" s="204" t="n"/>
      <c r="CU3603" s="204" t="n"/>
      <c r="CV3603" s="204" t="n"/>
      <c r="CW3603" s="204" t="n"/>
    </row>
    <row r="3604">
      <c r="BF3604" s="78" t="n"/>
      <c r="BG3604" s="78" t="n"/>
      <c r="BH3604" s="78" t="n"/>
      <c r="BI3604" s="78" t="n"/>
      <c r="BJ3604" s="139" t="n"/>
      <c r="BK3604" s="204" t="n"/>
      <c r="BL3604" s="141" t="n"/>
      <c r="BM3604" s="205" t="n"/>
      <c r="BN3604" s="205" t="n"/>
      <c r="BO3604" s="206" t="n"/>
      <c r="BP3604" s="144" t="n"/>
      <c r="BQ3604" s="141" t="n"/>
      <c r="BR3604" s="207" t="n"/>
      <c r="BS3604" s="207" t="n"/>
      <c r="BT3604" s="207" t="n"/>
      <c r="BU3604" s="207" t="n"/>
      <c r="BV3604" s="208" t="n"/>
      <c r="BW3604" s="207" t="n"/>
      <c r="BX3604" s="207" t="n"/>
      <c r="BY3604" s="204" t="n"/>
      <c r="BZ3604" s="148" t="n"/>
      <c r="CA3604" s="204" t="n"/>
      <c r="CB3604" s="208" t="n"/>
      <c r="CC3604" s="139" t="n"/>
      <c r="CD3604" s="204" t="n"/>
      <c r="CE3604" s="204" t="n"/>
      <c r="CF3604" s="207" t="n"/>
      <c r="CG3604" s="208" t="n"/>
      <c r="CH3604" s="207" t="n"/>
      <c r="CI3604" s="208" t="n"/>
      <c r="CJ3604" s="204" t="n"/>
      <c r="CK3604" s="208" t="n"/>
      <c r="CL3604" s="208" t="n"/>
      <c r="CM3604" s="208" t="n"/>
      <c r="CN3604" s="78" t="n"/>
      <c r="CO3604" s="209" t="n"/>
      <c r="CP3604" s="204" t="n"/>
      <c r="CQ3604" s="204" t="n"/>
      <c r="CR3604" s="204" t="n"/>
      <c r="CS3604" s="204" t="n"/>
      <c r="CT3604" s="204" t="n"/>
      <c r="CU3604" s="204" t="n"/>
      <c r="CV3604" s="204" t="n"/>
      <c r="CW3604" s="204" t="n"/>
    </row>
    <row r="3605">
      <c r="BF3605" s="78" t="n"/>
      <c r="BG3605" s="78" t="n"/>
      <c r="BH3605" s="78" t="n"/>
      <c r="BI3605" s="78" t="n"/>
      <c r="BJ3605" s="139" t="n"/>
      <c r="BK3605" s="204" t="n"/>
      <c r="BL3605" s="141" t="n"/>
      <c r="BM3605" s="205" t="n"/>
      <c r="BN3605" s="205" t="n"/>
      <c r="BO3605" s="206" t="n"/>
      <c r="BP3605" s="144" t="n"/>
      <c r="BQ3605" s="141" t="n"/>
      <c r="BR3605" s="207" t="n"/>
      <c r="BS3605" s="207" t="n"/>
      <c r="BT3605" s="207" t="n"/>
      <c r="BU3605" s="207" t="n"/>
      <c r="BV3605" s="208" t="n"/>
      <c r="BW3605" s="207" t="n"/>
      <c r="BX3605" s="207" t="n"/>
      <c r="BY3605" s="204" t="n"/>
      <c r="BZ3605" s="148" t="n"/>
      <c r="CA3605" s="204" t="n"/>
      <c r="CB3605" s="208" t="n"/>
      <c r="CC3605" s="139" t="n"/>
      <c r="CD3605" s="204" t="n"/>
      <c r="CE3605" s="204" t="n"/>
      <c r="CF3605" s="207" t="n"/>
      <c r="CG3605" s="208" t="n"/>
      <c r="CH3605" s="207" t="n"/>
      <c r="CI3605" s="208" t="n"/>
      <c r="CJ3605" s="204" t="n"/>
      <c r="CK3605" s="208" t="n"/>
      <c r="CL3605" s="208" t="n"/>
      <c r="CM3605" s="208" t="n"/>
      <c r="CN3605" s="78" t="n"/>
      <c r="CO3605" s="209" t="n"/>
      <c r="CP3605" s="204" t="n"/>
      <c r="CQ3605" s="204" t="n"/>
      <c r="CR3605" s="204" t="n"/>
      <c r="CS3605" s="204" t="n"/>
      <c r="CT3605" s="204" t="n"/>
      <c r="CU3605" s="204" t="n"/>
      <c r="CV3605" s="204" t="n"/>
      <c r="CW3605" s="204" t="n"/>
    </row>
    <row r="3606">
      <c r="BF3606" s="78" t="n"/>
      <c r="BG3606" s="78" t="n"/>
      <c r="BH3606" s="78" t="n"/>
      <c r="BI3606" s="78" t="n"/>
      <c r="BJ3606" s="139" t="n"/>
      <c r="BK3606" s="204" t="n"/>
      <c r="BL3606" s="141" t="n"/>
      <c r="BM3606" s="205" t="n"/>
      <c r="BN3606" s="205" t="n"/>
      <c r="BO3606" s="206" t="n"/>
      <c r="BP3606" s="144" t="n"/>
      <c r="BQ3606" s="141" t="n"/>
      <c r="BR3606" s="207" t="n"/>
      <c r="BS3606" s="207" t="n"/>
      <c r="BT3606" s="207" t="n"/>
      <c r="BU3606" s="207" t="n"/>
      <c r="BV3606" s="208" t="n"/>
      <c r="BW3606" s="207" t="n"/>
      <c r="BX3606" s="207" t="n"/>
      <c r="BY3606" s="204" t="n"/>
      <c r="BZ3606" s="148" t="n"/>
      <c r="CA3606" s="204" t="n"/>
      <c r="CB3606" s="208" t="n"/>
      <c r="CC3606" s="139" t="n"/>
      <c r="CD3606" s="204" t="n"/>
      <c r="CE3606" s="204" t="n"/>
      <c r="CF3606" s="207" t="n"/>
      <c r="CG3606" s="208" t="n"/>
      <c r="CH3606" s="207" t="n"/>
      <c r="CI3606" s="208" t="n"/>
      <c r="CJ3606" s="204" t="n"/>
      <c r="CK3606" s="208" t="n"/>
      <c r="CL3606" s="208" t="n"/>
      <c r="CM3606" s="208" t="n"/>
      <c r="CN3606" s="78" t="n"/>
      <c r="CO3606" s="209" t="n"/>
      <c r="CP3606" s="204" t="n"/>
      <c r="CQ3606" s="204" t="n"/>
      <c r="CR3606" s="204" t="n"/>
      <c r="CS3606" s="204" t="n"/>
      <c r="CT3606" s="204" t="n"/>
      <c r="CU3606" s="204" t="n"/>
      <c r="CV3606" s="204" t="n"/>
      <c r="CW3606" s="204" t="n"/>
    </row>
    <row r="3607">
      <c r="BF3607" s="78" t="n"/>
      <c r="BG3607" s="78" t="n"/>
      <c r="BH3607" s="78" t="n"/>
      <c r="BI3607" s="78" t="n"/>
      <c r="BJ3607" s="139" t="n"/>
      <c r="BK3607" s="204" t="n"/>
      <c r="BL3607" s="141" t="n"/>
      <c r="BM3607" s="205" t="n"/>
      <c r="BN3607" s="205" t="n"/>
      <c r="BO3607" s="206" t="n"/>
      <c r="BP3607" s="144" t="n"/>
      <c r="BQ3607" s="141" t="n"/>
      <c r="BR3607" s="207" t="n"/>
      <c r="BS3607" s="207" t="n"/>
      <c r="BT3607" s="207" t="n"/>
      <c r="BU3607" s="207" t="n"/>
      <c r="BV3607" s="208" t="n"/>
      <c r="BW3607" s="207" t="n"/>
      <c r="BX3607" s="207" t="n"/>
      <c r="BY3607" s="204" t="n"/>
      <c r="BZ3607" s="148" t="n"/>
      <c r="CA3607" s="204" t="n"/>
      <c r="CB3607" s="208" t="n"/>
      <c r="CC3607" s="139" t="n"/>
      <c r="CD3607" s="204" t="n"/>
      <c r="CE3607" s="204" t="n"/>
      <c r="CF3607" s="207" t="n"/>
      <c r="CG3607" s="208" t="n"/>
      <c r="CH3607" s="207" t="n"/>
      <c r="CI3607" s="208" t="n"/>
      <c r="CJ3607" s="204" t="n"/>
      <c r="CK3607" s="208" t="n"/>
      <c r="CL3607" s="208" t="n"/>
      <c r="CM3607" s="208" t="n"/>
      <c r="CN3607" s="78" t="n"/>
      <c r="CO3607" s="209" t="n"/>
      <c r="CP3607" s="204" t="n"/>
      <c r="CQ3607" s="204" t="n"/>
      <c r="CR3607" s="204" t="n"/>
      <c r="CS3607" s="204" t="n"/>
      <c r="CT3607" s="204" t="n"/>
      <c r="CU3607" s="204" t="n"/>
      <c r="CV3607" s="204" t="n"/>
      <c r="CW3607" s="204" t="n"/>
    </row>
    <row r="3608">
      <c r="BF3608" s="78" t="n"/>
      <c r="BG3608" s="78" t="n"/>
      <c r="BH3608" s="78" t="n"/>
      <c r="BI3608" s="78" t="n"/>
      <c r="BJ3608" s="139" t="n"/>
      <c r="BK3608" s="204" t="n"/>
      <c r="BL3608" s="141" t="n"/>
      <c r="BM3608" s="205" t="n"/>
      <c r="BN3608" s="205" t="n"/>
      <c r="BO3608" s="206" t="n"/>
      <c r="BP3608" s="144" t="n"/>
      <c r="BQ3608" s="141" t="n"/>
      <c r="BR3608" s="207" t="n"/>
      <c r="BS3608" s="207" t="n"/>
      <c r="BT3608" s="207" t="n"/>
      <c r="BU3608" s="207" t="n"/>
      <c r="BV3608" s="208" t="n"/>
      <c r="BW3608" s="207" t="n"/>
      <c r="BX3608" s="207" t="n"/>
      <c r="BY3608" s="204" t="n"/>
      <c r="BZ3608" s="148" t="n"/>
      <c r="CA3608" s="204" t="n"/>
      <c r="CB3608" s="208" t="n"/>
      <c r="CC3608" s="139" t="n"/>
      <c r="CD3608" s="204" t="n"/>
      <c r="CE3608" s="204" t="n"/>
      <c r="CF3608" s="207" t="n"/>
      <c r="CG3608" s="208" t="n"/>
      <c r="CH3608" s="207" t="n"/>
      <c r="CI3608" s="208" t="n"/>
      <c r="CJ3608" s="204" t="n"/>
      <c r="CK3608" s="208" t="n"/>
      <c r="CL3608" s="208" t="n"/>
      <c r="CM3608" s="208" t="n"/>
      <c r="CN3608" s="78" t="n"/>
      <c r="CO3608" s="209" t="n"/>
      <c r="CP3608" s="204" t="n"/>
      <c r="CQ3608" s="204" t="n"/>
      <c r="CR3608" s="204" t="n"/>
      <c r="CS3608" s="204" t="n"/>
      <c r="CT3608" s="204" t="n"/>
      <c r="CU3608" s="204" t="n"/>
      <c r="CV3608" s="204" t="n"/>
      <c r="CW3608" s="204" t="n"/>
    </row>
    <row r="3609">
      <c r="BF3609" s="78" t="n"/>
      <c r="BG3609" s="78" t="n"/>
      <c r="BH3609" s="78" t="n"/>
      <c r="BI3609" s="78" t="n"/>
      <c r="BJ3609" s="139" t="n"/>
      <c r="BK3609" s="204" t="n"/>
      <c r="BL3609" s="141" t="n"/>
      <c r="BM3609" s="205" t="n"/>
      <c r="BN3609" s="205" t="n"/>
      <c r="BO3609" s="206" t="n"/>
      <c r="BP3609" s="144" t="n"/>
      <c r="BQ3609" s="141" t="n"/>
      <c r="BR3609" s="207" t="n"/>
      <c r="BS3609" s="207" t="n"/>
      <c r="BT3609" s="207" t="n"/>
      <c r="BU3609" s="207" t="n"/>
      <c r="BV3609" s="208" t="n"/>
      <c r="BW3609" s="207" t="n"/>
      <c r="BX3609" s="207" t="n"/>
      <c r="BY3609" s="204" t="n"/>
      <c r="BZ3609" s="148" t="n"/>
      <c r="CA3609" s="204" t="n"/>
      <c r="CB3609" s="208" t="n"/>
      <c r="CC3609" s="139" t="n"/>
      <c r="CD3609" s="204" t="n"/>
      <c r="CE3609" s="204" t="n"/>
      <c r="CF3609" s="207" t="n"/>
      <c r="CG3609" s="208" t="n"/>
      <c r="CH3609" s="207" t="n"/>
      <c r="CI3609" s="208" t="n"/>
      <c r="CJ3609" s="204" t="n"/>
      <c r="CK3609" s="208" t="n"/>
      <c r="CL3609" s="208" t="n"/>
      <c r="CM3609" s="208" t="n"/>
      <c r="CN3609" s="78" t="n"/>
      <c r="CO3609" s="209" t="n"/>
      <c r="CP3609" s="204" t="n"/>
      <c r="CQ3609" s="204" t="n"/>
      <c r="CR3609" s="204" t="n"/>
      <c r="CS3609" s="204" t="n"/>
      <c r="CT3609" s="204" t="n"/>
      <c r="CU3609" s="204" t="n"/>
      <c r="CV3609" s="204" t="n"/>
      <c r="CW3609" s="204" t="n"/>
    </row>
    <row r="3610">
      <c r="BF3610" s="78" t="n"/>
      <c r="BG3610" s="78" t="n"/>
      <c r="BH3610" s="78" t="n"/>
      <c r="BI3610" s="78" t="n"/>
      <c r="BJ3610" s="139" t="n"/>
      <c r="BK3610" s="204" t="n"/>
      <c r="BL3610" s="141" t="n"/>
      <c r="BM3610" s="205" t="n"/>
      <c r="BN3610" s="205" t="n"/>
      <c r="BO3610" s="206" t="n"/>
      <c r="BP3610" s="144" t="n"/>
      <c r="BQ3610" s="141" t="n"/>
      <c r="BR3610" s="207" t="n"/>
      <c r="BS3610" s="207" t="n"/>
      <c r="BT3610" s="207" t="n"/>
      <c r="BU3610" s="207" t="n"/>
      <c r="BV3610" s="208" t="n"/>
      <c r="BW3610" s="207" t="n"/>
      <c r="BX3610" s="207" t="n"/>
      <c r="BY3610" s="204" t="n"/>
      <c r="BZ3610" s="148" t="n"/>
      <c r="CA3610" s="204" t="n"/>
      <c r="CB3610" s="208" t="n"/>
      <c r="CC3610" s="139" t="n"/>
      <c r="CD3610" s="204" t="n"/>
      <c r="CE3610" s="204" t="n"/>
      <c r="CF3610" s="207" t="n"/>
      <c r="CG3610" s="208" t="n"/>
      <c r="CH3610" s="207" t="n"/>
      <c r="CI3610" s="208" t="n"/>
      <c r="CJ3610" s="204" t="n"/>
      <c r="CK3610" s="208" t="n"/>
      <c r="CL3610" s="208" t="n"/>
      <c r="CM3610" s="208" t="n"/>
      <c r="CN3610" s="78" t="n"/>
      <c r="CO3610" s="209" t="n"/>
      <c r="CP3610" s="204" t="n"/>
      <c r="CQ3610" s="204" t="n"/>
      <c r="CR3610" s="204" t="n"/>
      <c r="CS3610" s="204" t="n"/>
      <c r="CT3610" s="204" t="n"/>
      <c r="CU3610" s="204" t="n"/>
      <c r="CV3610" s="204" t="n"/>
      <c r="CW3610" s="204" t="n"/>
    </row>
    <row r="3611">
      <c r="BF3611" s="78" t="n"/>
      <c r="BG3611" s="78" t="n"/>
      <c r="BH3611" s="78" t="n"/>
      <c r="BI3611" s="78" t="n"/>
      <c r="BJ3611" s="139" t="n"/>
      <c r="BK3611" s="204" t="n"/>
      <c r="BL3611" s="141" t="n"/>
      <c r="BM3611" s="205" t="n"/>
      <c r="BN3611" s="205" t="n"/>
      <c r="BO3611" s="206" t="n"/>
      <c r="BP3611" s="144" t="n"/>
      <c r="BQ3611" s="141" t="n"/>
      <c r="BR3611" s="207" t="n"/>
      <c r="BS3611" s="207" t="n"/>
      <c r="BT3611" s="207" t="n"/>
      <c r="BU3611" s="207" t="n"/>
      <c r="BV3611" s="208" t="n"/>
      <c r="BW3611" s="207" t="n"/>
      <c r="BX3611" s="207" t="n"/>
      <c r="BY3611" s="204" t="n"/>
      <c r="BZ3611" s="148" t="n"/>
      <c r="CA3611" s="204" t="n"/>
      <c r="CB3611" s="208" t="n"/>
      <c r="CC3611" s="139" t="n"/>
      <c r="CD3611" s="204" t="n"/>
      <c r="CE3611" s="204" t="n"/>
      <c r="CF3611" s="207" t="n"/>
      <c r="CG3611" s="208" t="n"/>
      <c r="CH3611" s="207" t="n"/>
      <c r="CI3611" s="208" t="n"/>
      <c r="CJ3611" s="204" t="n"/>
      <c r="CK3611" s="208" t="n"/>
      <c r="CL3611" s="208" t="n"/>
      <c r="CM3611" s="208" t="n"/>
      <c r="CN3611" s="78" t="n"/>
      <c r="CO3611" s="209" t="n"/>
      <c r="CP3611" s="204" t="n"/>
      <c r="CQ3611" s="204" t="n"/>
      <c r="CR3611" s="204" t="n"/>
      <c r="CS3611" s="204" t="n"/>
      <c r="CT3611" s="204" t="n"/>
      <c r="CU3611" s="204" t="n"/>
      <c r="CV3611" s="204" t="n"/>
      <c r="CW3611" s="204" t="n"/>
    </row>
    <row r="3612">
      <c r="BF3612" s="78" t="n"/>
      <c r="BG3612" s="78" t="n"/>
      <c r="BH3612" s="78" t="n"/>
      <c r="BI3612" s="78" t="n"/>
      <c r="BJ3612" s="139" t="n"/>
      <c r="BK3612" s="204" t="n"/>
      <c r="BL3612" s="141" t="n"/>
      <c r="BM3612" s="205" t="n"/>
      <c r="BN3612" s="205" t="n"/>
      <c r="BO3612" s="206" t="n"/>
      <c r="BP3612" s="144" t="n"/>
      <c r="BQ3612" s="141" t="n"/>
      <c r="BR3612" s="207" t="n"/>
      <c r="BS3612" s="207" t="n"/>
      <c r="BT3612" s="207" t="n"/>
      <c r="BU3612" s="207" t="n"/>
      <c r="BV3612" s="208" t="n"/>
      <c r="BW3612" s="207" t="n"/>
      <c r="BX3612" s="207" t="n"/>
      <c r="BY3612" s="204" t="n"/>
      <c r="BZ3612" s="148" t="n"/>
      <c r="CA3612" s="204" t="n"/>
      <c r="CB3612" s="208" t="n"/>
      <c r="CC3612" s="139" t="n"/>
      <c r="CD3612" s="204" t="n"/>
      <c r="CE3612" s="204" t="n"/>
      <c r="CF3612" s="207" t="n"/>
      <c r="CG3612" s="208" t="n"/>
      <c r="CH3612" s="207" t="n"/>
      <c r="CI3612" s="208" t="n"/>
      <c r="CJ3612" s="204" t="n"/>
      <c r="CK3612" s="208" t="n"/>
      <c r="CL3612" s="208" t="n"/>
      <c r="CM3612" s="208" t="n"/>
      <c r="CN3612" s="78" t="n"/>
      <c r="CO3612" s="209" t="n"/>
      <c r="CP3612" s="204" t="n"/>
      <c r="CQ3612" s="204" t="n"/>
      <c r="CR3612" s="204" t="n"/>
      <c r="CS3612" s="204" t="n"/>
      <c r="CT3612" s="204" t="n"/>
      <c r="CU3612" s="204" t="n"/>
      <c r="CV3612" s="204" t="n"/>
      <c r="CW3612" s="204" t="n"/>
    </row>
    <row r="3613">
      <c r="BF3613" s="78" t="n"/>
      <c r="BG3613" s="78" t="n"/>
      <c r="BH3613" s="78" t="n"/>
      <c r="BI3613" s="78" t="n"/>
      <c r="BJ3613" s="139" t="n"/>
      <c r="BK3613" s="204" t="n"/>
      <c r="BL3613" s="141" t="n"/>
      <c r="BM3613" s="205" t="n"/>
      <c r="BN3613" s="205" t="n"/>
      <c r="BO3613" s="206" t="n"/>
      <c r="BP3613" s="144" t="n"/>
      <c r="BQ3613" s="141" t="n"/>
      <c r="BR3613" s="207" t="n"/>
      <c r="BS3613" s="207" t="n"/>
      <c r="BT3613" s="207" t="n"/>
      <c r="BU3613" s="207" t="n"/>
      <c r="BV3613" s="208" t="n"/>
      <c r="BW3613" s="207" t="n"/>
      <c r="BX3613" s="207" t="n"/>
      <c r="BY3613" s="204" t="n"/>
      <c r="BZ3613" s="148" t="n"/>
      <c r="CA3613" s="204" t="n"/>
      <c r="CB3613" s="208" t="n"/>
      <c r="CC3613" s="139" t="n"/>
      <c r="CD3613" s="204" t="n"/>
      <c r="CE3613" s="204" t="n"/>
      <c r="CF3613" s="207" t="n"/>
      <c r="CG3613" s="208" t="n"/>
      <c r="CH3613" s="207" t="n"/>
      <c r="CI3613" s="208" t="n"/>
      <c r="CJ3613" s="204" t="n"/>
      <c r="CK3613" s="208" t="n"/>
      <c r="CL3613" s="208" t="n"/>
      <c r="CM3613" s="208" t="n"/>
      <c r="CN3613" s="78" t="n"/>
      <c r="CO3613" s="209" t="n"/>
      <c r="CP3613" s="204" t="n"/>
      <c r="CQ3613" s="204" t="n"/>
      <c r="CR3613" s="204" t="n"/>
      <c r="CS3613" s="204" t="n"/>
      <c r="CT3613" s="204" t="n"/>
      <c r="CU3613" s="204" t="n"/>
      <c r="CV3613" s="204" t="n"/>
      <c r="CW3613" s="204" t="n"/>
    </row>
    <row r="3614">
      <c r="BF3614" s="78" t="n"/>
      <c r="BG3614" s="78" t="n"/>
      <c r="BH3614" s="78" t="n"/>
      <c r="BI3614" s="78" t="n"/>
      <c r="BJ3614" s="139" t="n"/>
      <c r="BK3614" s="204" t="n"/>
      <c r="BL3614" s="141" t="n"/>
      <c r="BM3614" s="205" t="n"/>
      <c r="BN3614" s="205" t="n"/>
      <c r="BO3614" s="206" t="n"/>
      <c r="BP3614" s="144" t="n"/>
      <c r="BQ3614" s="141" t="n"/>
      <c r="BR3614" s="207" t="n"/>
      <c r="BS3614" s="207" t="n"/>
      <c r="BT3614" s="207" t="n"/>
      <c r="BU3614" s="207" t="n"/>
      <c r="BV3614" s="208" t="n"/>
      <c r="BW3614" s="207" t="n"/>
      <c r="BX3614" s="207" t="n"/>
      <c r="BY3614" s="204" t="n"/>
      <c r="BZ3614" s="148" t="n"/>
      <c r="CA3614" s="204" t="n"/>
      <c r="CB3614" s="208" t="n"/>
      <c r="CC3614" s="139" t="n"/>
      <c r="CD3614" s="204" t="n"/>
      <c r="CE3614" s="204" t="n"/>
      <c r="CF3614" s="207" t="n"/>
      <c r="CG3614" s="208" t="n"/>
      <c r="CH3614" s="207" t="n"/>
      <c r="CI3614" s="208" t="n"/>
      <c r="CJ3614" s="204" t="n"/>
      <c r="CK3614" s="208" t="n"/>
      <c r="CL3614" s="208" t="n"/>
      <c r="CM3614" s="208" t="n"/>
      <c r="CN3614" s="78" t="n"/>
      <c r="CO3614" s="209" t="n"/>
      <c r="CP3614" s="204" t="n"/>
      <c r="CQ3614" s="204" t="n"/>
      <c r="CR3614" s="204" t="n"/>
      <c r="CS3614" s="204" t="n"/>
      <c r="CT3614" s="204" t="n"/>
      <c r="CU3614" s="204" t="n"/>
      <c r="CV3614" s="204" t="n"/>
      <c r="CW3614" s="204" t="n"/>
    </row>
    <row r="3615">
      <c r="BF3615" s="78" t="n"/>
      <c r="BG3615" s="78" t="n"/>
      <c r="BH3615" s="78" t="n"/>
      <c r="BI3615" s="78" t="n"/>
      <c r="BJ3615" s="139" t="n"/>
      <c r="BK3615" s="204" t="n"/>
      <c r="BL3615" s="141" t="n"/>
      <c r="BM3615" s="205" t="n"/>
      <c r="BN3615" s="205" t="n"/>
      <c r="BO3615" s="206" t="n"/>
      <c r="BP3615" s="144" t="n"/>
      <c r="BQ3615" s="141" t="n"/>
      <c r="BR3615" s="207" t="n"/>
      <c r="BS3615" s="207" t="n"/>
      <c r="BT3615" s="207" t="n"/>
      <c r="BU3615" s="207" t="n"/>
      <c r="BV3615" s="208" t="n"/>
      <c r="BW3615" s="207" t="n"/>
      <c r="BX3615" s="207" t="n"/>
      <c r="BY3615" s="204" t="n"/>
      <c r="BZ3615" s="148" t="n"/>
      <c r="CA3615" s="204" t="n"/>
      <c r="CB3615" s="208" t="n"/>
      <c r="CC3615" s="139" t="n"/>
      <c r="CD3615" s="204" t="n"/>
      <c r="CE3615" s="204" t="n"/>
      <c r="CF3615" s="207" t="n"/>
      <c r="CG3615" s="208" t="n"/>
      <c r="CH3615" s="207" t="n"/>
      <c r="CI3615" s="208" t="n"/>
      <c r="CJ3615" s="204" t="n"/>
      <c r="CK3615" s="208" t="n"/>
      <c r="CL3615" s="208" t="n"/>
      <c r="CM3615" s="208" t="n"/>
      <c r="CN3615" s="78" t="n"/>
      <c r="CO3615" s="209" t="n"/>
      <c r="CP3615" s="204" t="n"/>
      <c r="CQ3615" s="204" t="n"/>
      <c r="CR3615" s="204" t="n"/>
      <c r="CS3615" s="204" t="n"/>
      <c r="CT3615" s="204" t="n"/>
      <c r="CU3615" s="204" t="n"/>
      <c r="CV3615" s="204" t="n"/>
      <c r="CW3615" s="204" t="n"/>
    </row>
    <row r="3616">
      <c r="BF3616" s="78" t="n"/>
      <c r="BG3616" s="78" t="n"/>
      <c r="BH3616" s="78" t="n"/>
      <c r="BI3616" s="78" t="n"/>
      <c r="BJ3616" s="139" t="n"/>
      <c r="BK3616" s="204" t="n"/>
      <c r="BL3616" s="141" t="n"/>
      <c r="BM3616" s="205" t="n"/>
      <c r="BN3616" s="205" t="n"/>
      <c r="BO3616" s="206" t="n"/>
      <c r="BP3616" s="144" t="n"/>
      <c r="BQ3616" s="141" t="n"/>
      <c r="BR3616" s="207" t="n"/>
      <c r="BS3616" s="207" t="n"/>
      <c r="BT3616" s="207" t="n"/>
      <c r="BU3616" s="207" t="n"/>
      <c r="BV3616" s="208" t="n"/>
      <c r="BW3616" s="207" t="n"/>
      <c r="BX3616" s="207" t="n"/>
      <c r="BY3616" s="204" t="n"/>
      <c r="BZ3616" s="148" t="n"/>
      <c r="CA3616" s="204" t="n"/>
      <c r="CB3616" s="208" t="n"/>
      <c r="CC3616" s="139" t="n"/>
      <c r="CD3616" s="204" t="n"/>
      <c r="CE3616" s="204" t="n"/>
      <c r="CF3616" s="207" t="n"/>
      <c r="CG3616" s="208" t="n"/>
      <c r="CH3616" s="207" t="n"/>
      <c r="CI3616" s="208" t="n"/>
      <c r="CJ3616" s="204" t="n"/>
      <c r="CK3616" s="208" t="n"/>
      <c r="CL3616" s="208" t="n"/>
      <c r="CM3616" s="208" t="n"/>
      <c r="CN3616" s="78" t="n"/>
      <c r="CO3616" s="209" t="n"/>
      <c r="CP3616" s="204" t="n"/>
      <c r="CQ3616" s="204" t="n"/>
      <c r="CR3616" s="204" t="n"/>
      <c r="CS3616" s="204" t="n"/>
      <c r="CT3616" s="204" t="n"/>
      <c r="CU3616" s="204" t="n"/>
      <c r="CV3616" s="204" t="n"/>
      <c r="CW3616" s="204" t="n"/>
    </row>
    <row r="3617">
      <c r="BF3617" s="78" t="n"/>
      <c r="BG3617" s="78" t="n"/>
      <c r="BH3617" s="78" t="n"/>
      <c r="BI3617" s="78" t="n"/>
      <c r="BJ3617" s="139" t="n"/>
      <c r="BK3617" s="204" t="n"/>
      <c r="BL3617" s="141" t="n"/>
      <c r="BM3617" s="205" t="n"/>
      <c r="BN3617" s="205" t="n"/>
      <c r="BO3617" s="206" t="n"/>
      <c r="BP3617" s="144" t="n"/>
      <c r="BQ3617" s="141" t="n"/>
      <c r="BR3617" s="207" t="n"/>
      <c r="BS3617" s="207" t="n"/>
      <c r="BT3617" s="207" t="n"/>
      <c r="BU3617" s="207" t="n"/>
      <c r="BV3617" s="208" t="n"/>
      <c r="BW3617" s="207" t="n"/>
      <c r="BX3617" s="207" t="n"/>
      <c r="BY3617" s="204" t="n"/>
      <c r="BZ3617" s="148" t="n"/>
      <c r="CA3617" s="204" t="n"/>
      <c r="CB3617" s="208" t="n"/>
      <c r="CC3617" s="139" t="n"/>
      <c r="CD3617" s="204" t="n"/>
      <c r="CE3617" s="204" t="n"/>
      <c r="CF3617" s="207" t="n"/>
      <c r="CG3617" s="208" t="n"/>
      <c r="CH3617" s="207" t="n"/>
      <c r="CI3617" s="208" t="n"/>
      <c r="CJ3617" s="204" t="n"/>
      <c r="CK3617" s="208" t="n"/>
      <c r="CL3617" s="208" t="n"/>
      <c r="CM3617" s="208" t="n"/>
      <c r="CN3617" s="78" t="n"/>
      <c r="CO3617" s="209" t="n"/>
      <c r="CP3617" s="204" t="n"/>
      <c r="CQ3617" s="204" t="n"/>
      <c r="CR3617" s="204" t="n"/>
      <c r="CS3617" s="204" t="n"/>
      <c r="CT3617" s="204" t="n"/>
      <c r="CU3617" s="204" t="n"/>
      <c r="CV3617" s="204" t="n"/>
      <c r="CW3617" s="204" t="n"/>
    </row>
    <row r="3618">
      <c r="BF3618" s="78" t="n"/>
      <c r="BG3618" s="78" t="n"/>
      <c r="BH3618" s="78" t="n"/>
      <c r="BI3618" s="78" t="n"/>
      <c r="BJ3618" s="139" t="n"/>
      <c r="BK3618" s="204" t="n"/>
      <c r="BL3618" s="141" t="n"/>
      <c r="BM3618" s="205" t="n"/>
      <c r="BN3618" s="205" t="n"/>
      <c r="BO3618" s="206" t="n"/>
      <c r="BP3618" s="144" t="n"/>
      <c r="BQ3618" s="141" t="n"/>
      <c r="BR3618" s="207" t="n"/>
      <c r="BS3618" s="207" t="n"/>
      <c r="BT3618" s="207" t="n"/>
      <c r="BU3618" s="207" t="n"/>
      <c r="BV3618" s="208" t="n"/>
      <c r="BW3618" s="207" t="n"/>
      <c r="BX3618" s="207" t="n"/>
      <c r="BY3618" s="204" t="n"/>
      <c r="BZ3618" s="148" t="n"/>
      <c r="CA3618" s="204" t="n"/>
      <c r="CB3618" s="208" t="n"/>
      <c r="CC3618" s="139" t="n"/>
      <c r="CD3618" s="204" t="n"/>
      <c r="CE3618" s="204" t="n"/>
      <c r="CF3618" s="207" t="n"/>
      <c r="CG3618" s="208" t="n"/>
      <c r="CH3618" s="207" t="n"/>
      <c r="CI3618" s="208" t="n"/>
      <c r="CJ3618" s="204" t="n"/>
      <c r="CK3618" s="208" t="n"/>
      <c r="CL3618" s="208" t="n"/>
      <c r="CM3618" s="208" t="n"/>
      <c r="CN3618" s="78" t="n"/>
      <c r="CO3618" s="209" t="n"/>
      <c r="CP3618" s="204" t="n"/>
      <c r="CQ3618" s="204" t="n"/>
      <c r="CR3618" s="204" t="n"/>
      <c r="CS3618" s="204" t="n"/>
      <c r="CT3618" s="204" t="n"/>
      <c r="CU3618" s="204" t="n"/>
      <c r="CV3618" s="204" t="n"/>
      <c r="CW3618" s="204" t="n"/>
    </row>
    <row r="3619">
      <c r="BF3619" s="78" t="n"/>
      <c r="BG3619" s="78" t="n"/>
      <c r="BH3619" s="78" t="n"/>
      <c r="BI3619" s="78" t="n"/>
      <c r="BJ3619" s="139" t="n"/>
      <c r="BK3619" s="204" t="n"/>
      <c r="BL3619" s="141" t="n"/>
      <c r="BM3619" s="205" t="n"/>
      <c r="BN3619" s="205" t="n"/>
      <c r="BO3619" s="206" t="n"/>
      <c r="BP3619" s="144" t="n"/>
      <c r="BQ3619" s="141" t="n"/>
      <c r="BR3619" s="207" t="n"/>
      <c r="BS3619" s="207" t="n"/>
      <c r="BT3619" s="207" t="n"/>
      <c r="BU3619" s="207" t="n"/>
      <c r="BV3619" s="208" t="n"/>
      <c r="BW3619" s="207" t="n"/>
      <c r="BX3619" s="207" t="n"/>
      <c r="BY3619" s="204" t="n"/>
      <c r="BZ3619" s="148" t="n"/>
      <c r="CA3619" s="204" t="n"/>
      <c r="CB3619" s="208" t="n"/>
      <c r="CC3619" s="139" t="n"/>
      <c r="CD3619" s="204" t="n"/>
      <c r="CE3619" s="204" t="n"/>
      <c r="CF3619" s="207" t="n"/>
      <c r="CG3619" s="208" t="n"/>
      <c r="CH3619" s="207" t="n"/>
      <c r="CI3619" s="208" t="n"/>
      <c r="CJ3619" s="204" t="n"/>
      <c r="CK3619" s="208" t="n"/>
      <c r="CL3619" s="208" t="n"/>
      <c r="CM3619" s="208" t="n"/>
      <c r="CN3619" s="78" t="n"/>
      <c r="CO3619" s="209" t="n"/>
      <c r="CP3619" s="204" t="n"/>
      <c r="CQ3619" s="204" t="n"/>
      <c r="CR3619" s="204" t="n"/>
      <c r="CS3619" s="204" t="n"/>
      <c r="CT3619" s="204" t="n"/>
      <c r="CU3619" s="204" t="n"/>
      <c r="CV3619" s="204" t="n"/>
      <c r="CW3619" s="204" t="n"/>
    </row>
    <row r="3620">
      <c r="BF3620" s="78" t="n"/>
      <c r="BG3620" s="78" t="n"/>
      <c r="BH3620" s="78" t="n"/>
      <c r="BI3620" s="78" t="n"/>
      <c r="BJ3620" s="139" t="n"/>
      <c r="BK3620" s="204" t="n"/>
      <c r="BL3620" s="141" t="n"/>
      <c r="BM3620" s="205" t="n"/>
      <c r="BN3620" s="205" t="n"/>
      <c r="BO3620" s="206" t="n"/>
      <c r="BP3620" s="144" t="n"/>
      <c r="BQ3620" s="141" t="n"/>
      <c r="BR3620" s="207" t="n"/>
      <c r="BS3620" s="207" t="n"/>
      <c r="BT3620" s="207" t="n"/>
      <c r="BU3620" s="207" t="n"/>
      <c r="BV3620" s="208" t="n"/>
      <c r="BW3620" s="207" t="n"/>
      <c r="BX3620" s="207" t="n"/>
      <c r="BY3620" s="204" t="n"/>
      <c r="BZ3620" s="148" t="n"/>
      <c r="CA3620" s="204" t="n"/>
      <c r="CB3620" s="208" t="n"/>
      <c r="CC3620" s="139" t="n"/>
      <c r="CD3620" s="204" t="n"/>
      <c r="CE3620" s="204" t="n"/>
      <c r="CF3620" s="207" t="n"/>
      <c r="CG3620" s="208" t="n"/>
      <c r="CH3620" s="207" t="n"/>
      <c r="CI3620" s="208" t="n"/>
      <c r="CJ3620" s="204" t="n"/>
      <c r="CK3620" s="208" t="n"/>
      <c r="CL3620" s="208" t="n"/>
      <c r="CM3620" s="208" t="n"/>
      <c r="CN3620" s="78" t="n"/>
      <c r="CO3620" s="209" t="n"/>
      <c r="CP3620" s="204" t="n"/>
      <c r="CQ3620" s="204" t="n"/>
      <c r="CR3620" s="204" t="n"/>
      <c r="CS3620" s="204" t="n"/>
      <c r="CT3620" s="204" t="n"/>
      <c r="CU3620" s="204" t="n"/>
      <c r="CV3620" s="204" t="n"/>
      <c r="CW3620" s="204" t="n"/>
    </row>
    <row r="3621">
      <c r="BF3621" s="78" t="n"/>
      <c r="BG3621" s="78" t="n"/>
      <c r="BH3621" s="78" t="n"/>
      <c r="BI3621" s="78" t="n"/>
      <c r="BJ3621" s="139" t="n"/>
      <c r="BK3621" s="204" t="n"/>
      <c r="BL3621" s="141" t="n"/>
      <c r="BM3621" s="205" t="n"/>
      <c r="BN3621" s="205" t="n"/>
      <c r="BO3621" s="206" t="n"/>
      <c r="BP3621" s="144" t="n"/>
      <c r="BQ3621" s="141" t="n"/>
      <c r="BR3621" s="207" t="n"/>
      <c r="BS3621" s="207" t="n"/>
      <c r="BT3621" s="207" t="n"/>
      <c r="BU3621" s="207" t="n"/>
      <c r="BV3621" s="208" t="n"/>
      <c r="BW3621" s="207" t="n"/>
      <c r="BX3621" s="207" t="n"/>
      <c r="BY3621" s="204" t="n"/>
      <c r="BZ3621" s="148" t="n"/>
      <c r="CA3621" s="204" t="n"/>
      <c r="CB3621" s="208" t="n"/>
      <c r="CC3621" s="139" t="n"/>
      <c r="CD3621" s="204" t="n"/>
      <c r="CE3621" s="204" t="n"/>
      <c r="CF3621" s="207" t="n"/>
      <c r="CG3621" s="208" t="n"/>
      <c r="CH3621" s="207" t="n"/>
      <c r="CI3621" s="208" t="n"/>
      <c r="CJ3621" s="204" t="n"/>
      <c r="CK3621" s="208" t="n"/>
      <c r="CL3621" s="208" t="n"/>
      <c r="CM3621" s="208" t="n"/>
      <c r="CN3621" s="78" t="n"/>
      <c r="CO3621" s="209" t="n"/>
      <c r="CP3621" s="204" t="n"/>
      <c r="CQ3621" s="204" t="n"/>
      <c r="CR3621" s="204" t="n"/>
      <c r="CS3621" s="204" t="n"/>
      <c r="CT3621" s="204" t="n"/>
      <c r="CU3621" s="204" t="n"/>
      <c r="CV3621" s="204" t="n"/>
      <c r="CW3621" s="204" t="n"/>
    </row>
    <row r="3622">
      <c r="BF3622" s="78" t="n"/>
      <c r="BG3622" s="78" t="n"/>
      <c r="BH3622" s="78" t="n"/>
      <c r="BI3622" s="78" t="n"/>
      <c r="BJ3622" s="139" t="n"/>
      <c r="BK3622" s="204" t="n"/>
      <c r="BL3622" s="141" t="n"/>
      <c r="BM3622" s="205" t="n"/>
      <c r="BN3622" s="205" t="n"/>
      <c r="BO3622" s="206" t="n"/>
      <c r="BP3622" s="144" t="n"/>
      <c r="BQ3622" s="141" t="n"/>
      <c r="BR3622" s="207" t="n"/>
      <c r="BS3622" s="207" t="n"/>
      <c r="BT3622" s="207" t="n"/>
      <c r="BU3622" s="207" t="n"/>
      <c r="BV3622" s="208" t="n"/>
      <c r="BW3622" s="207" t="n"/>
      <c r="BX3622" s="207" t="n"/>
      <c r="BY3622" s="204" t="n"/>
      <c r="BZ3622" s="148" t="n"/>
      <c r="CA3622" s="204" t="n"/>
      <c r="CB3622" s="208" t="n"/>
      <c r="CC3622" s="139" t="n"/>
      <c r="CD3622" s="204" t="n"/>
      <c r="CE3622" s="204" t="n"/>
      <c r="CF3622" s="207" t="n"/>
      <c r="CG3622" s="208" t="n"/>
      <c r="CH3622" s="207" t="n"/>
      <c r="CI3622" s="208" t="n"/>
      <c r="CJ3622" s="204" t="n"/>
      <c r="CK3622" s="208" t="n"/>
      <c r="CL3622" s="208" t="n"/>
      <c r="CM3622" s="208" t="n"/>
      <c r="CN3622" s="78" t="n"/>
      <c r="CO3622" s="209" t="n"/>
      <c r="CP3622" s="204" t="n"/>
      <c r="CQ3622" s="204" t="n"/>
      <c r="CR3622" s="204" t="n"/>
      <c r="CS3622" s="204" t="n"/>
      <c r="CT3622" s="204" t="n"/>
      <c r="CU3622" s="204" t="n"/>
      <c r="CV3622" s="204" t="n"/>
      <c r="CW3622" s="204" t="n"/>
    </row>
    <row r="3623">
      <c r="BF3623" s="78" t="n"/>
      <c r="BG3623" s="78" t="n"/>
      <c r="BH3623" s="78" t="n"/>
      <c r="BI3623" s="78" t="n"/>
      <c r="BJ3623" s="139" t="n"/>
      <c r="BK3623" s="204" t="n"/>
      <c r="BL3623" s="141" t="n"/>
      <c r="BM3623" s="205" t="n"/>
      <c r="BN3623" s="205" t="n"/>
      <c r="BO3623" s="206" t="n"/>
      <c r="BP3623" s="144" t="n"/>
      <c r="BQ3623" s="141" t="n"/>
      <c r="BR3623" s="207" t="n"/>
      <c r="BS3623" s="207" t="n"/>
      <c r="BT3623" s="207" t="n"/>
      <c r="BU3623" s="207" t="n"/>
      <c r="BV3623" s="208" t="n"/>
      <c r="BW3623" s="207" t="n"/>
      <c r="BX3623" s="207" t="n"/>
      <c r="BY3623" s="204" t="n"/>
      <c r="BZ3623" s="148" t="n"/>
      <c r="CA3623" s="204" t="n"/>
      <c r="CB3623" s="208" t="n"/>
      <c r="CC3623" s="139" t="n"/>
      <c r="CD3623" s="204" t="n"/>
      <c r="CE3623" s="204" t="n"/>
      <c r="CF3623" s="207" t="n"/>
      <c r="CG3623" s="208" t="n"/>
      <c r="CH3623" s="207" t="n"/>
      <c r="CI3623" s="208" t="n"/>
      <c r="CJ3623" s="204" t="n"/>
      <c r="CK3623" s="208" t="n"/>
      <c r="CL3623" s="208" t="n"/>
      <c r="CM3623" s="208" t="n"/>
      <c r="CN3623" s="78" t="n"/>
      <c r="CO3623" s="209" t="n"/>
      <c r="CP3623" s="204" t="n"/>
      <c r="CQ3623" s="204" t="n"/>
      <c r="CR3623" s="204" t="n"/>
      <c r="CS3623" s="204" t="n"/>
      <c r="CT3623" s="204" t="n"/>
      <c r="CU3623" s="204" t="n"/>
      <c r="CV3623" s="204" t="n"/>
      <c r="CW3623" s="204" t="n"/>
    </row>
    <row r="3624">
      <c r="BF3624" s="78" t="n"/>
      <c r="BG3624" s="78" t="n"/>
      <c r="BH3624" s="78" t="n"/>
      <c r="BI3624" s="78" t="n"/>
      <c r="BJ3624" s="139" t="n"/>
      <c r="BK3624" s="204" t="n"/>
      <c r="BL3624" s="141" t="n"/>
      <c r="BM3624" s="205" t="n"/>
      <c r="BN3624" s="205" t="n"/>
      <c r="BO3624" s="206" t="n"/>
      <c r="BP3624" s="144" t="n"/>
      <c r="BQ3624" s="141" t="n"/>
      <c r="BR3624" s="207" t="n"/>
      <c r="BS3624" s="207" t="n"/>
      <c r="BT3624" s="207" t="n"/>
      <c r="BU3624" s="207" t="n"/>
      <c r="BV3624" s="208" t="n"/>
      <c r="BW3624" s="207" t="n"/>
      <c r="BX3624" s="207" t="n"/>
      <c r="BY3624" s="204" t="n"/>
      <c r="BZ3624" s="148" t="n"/>
      <c r="CA3624" s="204" t="n"/>
      <c r="CB3624" s="208" t="n"/>
      <c r="CC3624" s="139" t="n"/>
      <c r="CD3624" s="204" t="n"/>
      <c r="CE3624" s="204" t="n"/>
      <c r="CF3624" s="207" t="n"/>
      <c r="CG3624" s="208" t="n"/>
      <c r="CH3624" s="207" t="n"/>
      <c r="CI3624" s="208" t="n"/>
      <c r="CJ3624" s="204" t="n"/>
      <c r="CK3624" s="208" t="n"/>
      <c r="CL3624" s="208" t="n"/>
      <c r="CM3624" s="208" t="n"/>
      <c r="CN3624" s="78" t="n"/>
      <c r="CO3624" s="209" t="n"/>
      <c r="CP3624" s="204" t="n"/>
      <c r="CQ3624" s="204" t="n"/>
      <c r="CR3624" s="204" t="n"/>
      <c r="CS3624" s="204" t="n"/>
      <c r="CT3624" s="204" t="n"/>
      <c r="CU3624" s="204" t="n"/>
      <c r="CV3624" s="204" t="n"/>
      <c r="CW3624" s="204" t="n"/>
    </row>
    <row r="3625">
      <c r="BF3625" s="78" t="n"/>
      <c r="BG3625" s="78" t="n"/>
      <c r="BH3625" s="78" t="n"/>
      <c r="BI3625" s="78" t="n"/>
      <c r="BJ3625" s="139" t="n"/>
      <c r="BK3625" s="204" t="n"/>
      <c r="BL3625" s="141" t="n"/>
      <c r="BM3625" s="205" t="n"/>
      <c r="BN3625" s="205" t="n"/>
      <c r="BO3625" s="206" t="n"/>
      <c r="BP3625" s="144" t="n"/>
      <c r="BQ3625" s="141" t="n"/>
      <c r="BR3625" s="207" t="n"/>
      <c r="BS3625" s="207" t="n"/>
      <c r="BT3625" s="207" t="n"/>
      <c r="BU3625" s="207" t="n"/>
      <c r="BV3625" s="208" t="n"/>
      <c r="BW3625" s="207" t="n"/>
      <c r="BX3625" s="207" t="n"/>
      <c r="BY3625" s="204" t="n"/>
      <c r="BZ3625" s="148" t="n"/>
      <c r="CA3625" s="204" t="n"/>
      <c r="CB3625" s="208" t="n"/>
      <c r="CC3625" s="139" t="n"/>
      <c r="CD3625" s="204" t="n"/>
      <c r="CE3625" s="204" t="n"/>
      <c r="CF3625" s="207" t="n"/>
      <c r="CG3625" s="208" t="n"/>
      <c r="CH3625" s="207" t="n"/>
      <c r="CI3625" s="208" t="n"/>
      <c r="CJ3625" s="204" t="n"/>
      <c r="CK3625" s="208" t="n"/>
      <c r="CL3625" s="208" t="n"/>
      <c r="CM3625" s="208" t="n"/>
      <c r="CN3625" s="78" t="n"/>
      <c r="CO3625" s="209" t="n"/>
      <c r="CP3625" s="204" t="n"/>
      <c r="CQ3625" s="204" t="n"/>
      <c r="CR3625" s="204" t="n"/>
      <c r="CS3625" s="204" t="n"/>
      <c r="CT3625" s="204" t="n"/>
      <c r="CU3625" s="204" t="n"/>
      <c r="CV3625" s="204" t="n"/>
      <c r="CW3625" s="204" t="n"/>
    </row>
    <row r="3626">
      <c r="BF3626" s="78" t="n"/>
      <c r="BG3626" s="78" t="n"/>
      <c r="BH3626" s="78" t="n"/>
      <c r="BI3626" s="78" t="n"/>
      <c r="BJ3626" s="139" t="n"/>
      <c r="BK3626" s="204" t="n"/>
      <c r="BL3626" s="141" t="n"/>
      <c r="BM3626" s="205" t="n"/>
      <c r="BN3626" s="205" t="n"/>
      <c r="BO3626" s="206" t="n"/>
      <c r="BP3626" s="144" t="n"/>
      <c r="BQ3626" s="141" t="n"/>
      <c r="BR3626" s="207" t="n"/>
      <c r="BS3626" s="207" t="n"/>
      <c r="BT3626" s="207" t="n"/>
      <c r="BU3626" s="207" t="n"/>
      <c r="BV3626" s="208" t="n"/>
      <c r="BW3626" s="207" t="n"/>
      <c r="BX3626" s="207" t="n"/>
      <c r="BY3626" s="204" t="n"/>
      <c r="BZ3626" s="148" t="n"/>
      <c r="CA3626" s="204" t="n"/>
      <c r="CB3626" s="208" t="n"/>
      <c r="CC3626" s="139" t="n"/>
      <c r="CD3626" s="204" t="n"/>
      <c r="CE3626" s="204" t="n"/>
      <c r="CF3626" s="207" t="n"/>
      <c r="CG3626" s="208" t="n"/>
      <c r="CH3626" s="207" t="n"/>
      <c r="CI3626" s="208" t="n"/>
      <c r="CJ3626" s="204" t="n"/>
      <c r="CK3626" s="208" t="n"/>
      <c r="CL3626" s="208" t="n"/>
      <c r="CM3626" s="208" t="n"/>
      <c r="CN3626" s="78" t="n"/>
      <c r="CO3626" s="209" t="n"/>
      <c r="CP3626" s="204" t="n"/>
      <c r="CQ3626" s="204" t="n"/>
      <c r="CR3626" s="204" t="n"/>
      <c r="CS3626" s="204" t="n"/>
      <c r="CT3626" s="204" t="n"/>
      <c r="CU3626" s="204" t="n"/>
      <c r="CV3626" s="204" t="n"/>
      <c r="CW3626" s="204" t="n"/>
    </row>
    <row r="3627">
      <c r="BF3627" s="78" t="n"/>
      <c r="BG3627" s="78" t="n"/>
      <c r="BH3627" s="78" t="n"/>
      <c r="BI3627" s="78" t="n"/>
      <c r="BJ3627" s="139" t="n"/>
      <c r="BK3627" s="204" t="n"/>
      <c r="BL3627" s="141" t="n"/>
      <c r="BM3627" s="205" t="n"/>
      <c r="BN3627" s="205" t="n"/>
      <c r="BO3627" s="206" t="n"/>
      <c r="BP3627" s="144" t="n"/>
      <c r="BQ3627" s="141" t="n"/>
      <c r="BR3627" s="207" t="n"/>
      <c r="BS3627" s="207" t="n"/>
      <c r="BT3627" s="207" t="n"/>
      <c r="BU3627" s="207" t="n"/>
      <c r="BV3627" s="208" t="n"/>
      <c r="BW3627" s="207" t="n"/>
      <c r="BX3627" s="207" t="n"/>
      <c r="BY3627" s="204" t="n"/>
      <c r="BZ3627" s="148" t="n"/>
      <c r="CA3627" s="204" t="n"/>
      <c r="CB3627" s="208" t="n"/>
      <c r="CC3627" s="139" t="n"/>
      <c r="CD3627" s="204" t="n"/>
      <c r="CE3627" s="204" t="n"/>
      <c r="CF3627" s="207" t="n"/>
      <c r="CG3627" s="208" t="n"/>
      <c r="CH3627" s="207" t="n"/>
      <c r="CI3627" s="208" t="n"/>
      <c r="CJ3627" s="204" t="n"/>
      <c r="CK3627" s="208" t="n"/>
      <c r="CL3627" s="208" t="n"/>
      <c r="CM3627" s="208" t="n"/>
      <c r="CN3627" s="78" t="n"/>
      <c r="CO3627" s="209" t="n"/>
      <c r="CP3627" s="204" t="n"/>
      <c r="CQ3627" s="204" t="n"/>
      <c r="CR3627" s="204" t="n"/>
      <c r="CS3627" s="204" t="n"/>
      <c r="CT3627" s="204" t="n"/>
      <c r="CU3627" s="204" t="n"/>
      <c r="CV3627" s="204" t="n"/>
      <c r="CW3627" s="204" t="n"/>
    </row>
    <row r="3628">
      <c r="BF3628" s="78" t="n"/>
      <c r="BG3628" s="78" t="n"/>
      <c r="BH3628" s="78" t="n"/>
      <c r="BI3628" s="78" t="n"/>
      <c r="BJ3628" s="139" t="n"/>
      <c r="BK3628" s="204" t="n"/>
      <c r="BL3628" s="141" t="n"/>
      <c r="BM3628" s="205" t="n"/>
      <c r="BN3628" s="205" t="n"/>
      <c r="BO3628" s="206" t="n"/>
      <c r="BP3628" s="144" t="n"/>
      <c r="BQ3628" s="141" t="n"/>
      <c r="BR3628" s="207" t="n"/>
      <c r="BS3628" s="207" t="n"/>
      <c r="BT3628" s="207" t="n"/>
      <c r="BU3628" s="207" t="n"/>
      <c r="BV3628" s="208" t="n"/>
      <c r="BW3628" s="207" t="n"/>
      <c r="BX3628" s="207" t="n"/>
      <c r="BY3628" s="204" t="n"/>
      <c r="BZ3628" s="148" t="n"/>
      <c r="CA3628" s="204" t="n"/>
      <c r="CB3628" s="208" t="n"/>
      <c r="CC3628" s="139" t="n"/>
      <c r="CD3628" s="204" t="n"/>
      <c r="CE3628" s="204" t="n"/>
      <c r="CF3628" s="207" t="n"/>
      <c r="CG3628" s="208" t="n"/>
      <c r="CH3628" s="207" t="n"/>
      <c r="CI3628" s="208" t="n"/>
      <c r="CJ3628" s="204" t="n"/>
      <c r="CK3628" s="208" t="n"/>
      <c r="CL3628" s="208" t="n"/>
      <c r="CM3628" s="208" t="n"/>
      <c r="CN3628" s="78" t="n"/>
      <c r="CO3628" s="209" t="n"/>
      <c r="CP3628" s="204" t="n"/>
      <c r="CQ3628" s="204" t="n"/>
      <c r="CR3628" s="204" t="n"/>
      <c r="CS3628" s="204" t="n"/>
      <c r="CT3628" s="204" t="n"/>
      <c r="CU3628" s="204" t="n"/>
      <c r="CV3628" s="204" t="n"/>
      <c r="CW3628" s="204" t="n"/>
    </row>
    <row r="3629">
      <c r="BF3629" s="78" t="n"/>
      <c r="BG3629" s="78" t="n"/>
      <c r="BH3629" s="78" t="n"/>
      <c r="BI3629" s="78" t="n"/>
      <c r="BJ3629" s="139" t="n"/>
      <c r="BK3629" s="204" t="n"/>
      <c r="BL3629" s="141" t="n"/>
      <c r="BM3629" s="205" t="n"/>
      <c r="BN3629" s="205" t="n"/>
      <c r="BO3629" s="206" t="n"/>
      <c r="BP3629" s="144" t="n"/>
      <c r="BQ3629" s="141" t="n"/>
      <c r="BR3629" s="207" t="n"/>
      <c r="BS3629" s="207" t="n"/>
      <c r="BT3629" s="207" t="n"/>
      <c r="BU3629" s="207" t="n"/>
      <c r="BV3629" s="208" t="n"/>
      <c r="BW3629" s="207" t="n"/>
      <c r="BX3629" s="207" t="n"/>
      <c r="BY3629" s="204" t="n"/>
      <c r="BZ3629" s="148" t="n"/>
      <c r="CA3629" s="204" t="n"/>
      <c r="CB3629" s="208" t="n"/>
      <c r="CC3629" s="139" t="n"/>
      <c r="CD3629" s="204" t="n"/>
      <c r="CE3629" s="204" t="n"/>
      <c r="CF3629" s="207" t="n"/>
      <c r="CG3629" s="208" t="n"/>
      <c r="CH3629" s="207" t="n"/>
      <c r="CI3629" s="208" t="n"/>
      <c r="CJ3629" s="204" t="n"/>
      <c r="CK3629" s="208" t="n"/>
      <c r="CL3629" s="208" t="n"/>
      <c r="CM3629" s="208" t="n"/>
      <c r="CN3629" s="78" t="n"/>
      <c r="CO3629" s="209" t="n"/>
      <c r="CP3629" s="204" t="n"/>
      <c r="CQ3629" s="204" t="n"/>
      <c r="CR3629" s="204" t="n"/>
      <c r="CS3629" s="204" t="n"/>
      <c r="CT3629" s="204" t="n"/>
      <c r="CU3629" s="204" t="n"/>
      <c r="CV3629" s="204" t="n"/>
      <c r="CW3629" s="204" t="n"/>
    </row>
    <row r="3630">
      <c r="BF3630" s="78" t="n"/>
      <c r="BG3630" s="78" t="n"/>
      <c r="BH3630" s="78" t="n"/>
      <c r="BI3630" s="78" t="n"/>
      <c r="BJ3630" s="139" t="n"/>
      <c r="BK3630" s="204" t="n"/>
      <c r="BL3630" s="141" t="n"/>
      <c r="BM3630" s="205" t="n"/>
      <c r="BN3630" s="205" t="n"/>
      <c r="BO3630" s="206" t="n"/>
      <c r="BP3630" s="144" t="n"/>
      <c r="BQ3630" s="141" t="n"/>
      <c r="BR3630" s="207" t="n"/>
      <c r="BS3630" s="207" t="n"/>
      <c r="BT3630" s="207" t="n"/>
      <c r="BU3630" s="207" t="n"/>
      <c r="BV3630" s="208" t="n"/>
      <c r="BW3630" s="207" t="n"/>
      <c r="BX3630" s="207" t="n"/>
      <c r="BY3630" s="204" t="n"/>
      <c r="BZ3630" s="148" t="n"/>
      <c r="CA3630" s="204" t="n"/>
      <c r="CB3630" s="208" t="n"/>
      <c r="CC3630" s="139" t="n"/>
      <c r="CD3630" s="204" t="n"/>
      <c r="CE3630" s="204" t="n"/>
      <c r="CF3630" s="207" t="n"/>
      <c r="CG3630" s="208" t="n"/>
      <c r="CH3630" s="207" t="n"/>
      <c r="CI3630" s="208" t="n"/>
      <c r="CJ3630" s="204" t="n"/>
      <c r="CK3630" s="208" t="n"/>
      <c r="CL3630" s="208" t="n"/>
      <c r="CM3630" s="208" t="n"/>
      <c r="CN3630" s="78" t="n"/>
      <c r="CO3630" s="209" t="n"/>
      <c r="CP3630" s="204" t="n"/>
      <c r="CQ3630" s="204" t="n"/>
      <c r="CR3630" s="204" t="n"/>
      <c r="CS3630" s="204" t="n"/>
      <c r="CT3630" s="204" t="n"/>
      <c r="CU3630" s="204" t="n"/>
      <c r="CV3630" s="204" t="n"/>
      <c r="CW3630" s="204" t="n"/>
    </row>
    <row r="3631">
      <c r="BF3631" s="78" t="n"/>
      <c r="BG3631" s="78" t="n"/>
      <c r="BH3631" s="78" t="n"/>
      <c r="BI3631" s="78" t="n"/>
      <c r="BJ3631" s="139" t="n"/>
      <c r="BK3631" s="204" t="n"/>
      <c r="BL3631" s="141" t="n"/>
      <c r="BM3631" s="205" t="n"/>
      <c r="BN3631" s="205" t="n"/>
      <c r="BO3631" s="206" t="n"/>
      <c r="BP3631" s="144" t="n"/>
      <c r="BQ3631" s="141" t="n"/>
      <c r="BR3631" s="207" t="n"/>
      <c r="BS3631" s="207" t="n"/>
      <c r="BT3631" s="207" t="n"/>
      <c r="BU3631" s="207" t="n"/>
      <c r="BV3631" s="208" t="n"/>
      <c r="BW3631" s="207" t="n"/>
      <c r="BX3631" s="207" t="n"/>
      <c r="BY3631" s="204" t="n"/>
      <c r="BZ3631" s="148" t="n"/>
      <c r="CA3631" s="204" t="n"/>
      <c r="CB3631" s="208" t="n"/>
      <c r="CC3631" s="139" t="n"/>
      <c r="CD3631" s="204" t="n"/>
      <c r="CE3631" s="204" t="n"/>
      <c r="CF3631" s="207" t="n"/>
      <c r="CG3631" s="208" t="n"/>
      <c r="CH3631" s="207" t="n"/>
      <c r="CI3631" s="208" t="n"/>
      <c r="CJ3631" s="204" t="n"/>
      <c r="CK3631" s="208" t="n"/>
      <c r="CL3631" s="208" t="n"/>
      <c r="CM3631" s="208" t="n"/>
      <c r="CN3631" s="78" t="n"/>
      <c r="CO3631" s="209" t="n"/>
      <c r="CP3631" s="204" t="n"/>
      <c r="CQ3631" s="204" t="n"/>
      <c r="CR3631" s="204" t="n"/>
      <c r="CS3631" s="204" t="n"/>
      <c r="CT3631" s="204" t="n"/>
      <c r="CU3631" s="204" t="n"/>
      <c r="CV3631" s="204" t="n"/>
      <c r="CW3631" s="204" t="n"/>
    </row>
    <row r="3632">
      <c r="BF3632" s="78" t="n"/>
      <c r="BG3632" s="78" t="n"/>
      <c r="BH3632" s="78" t="n"/>
      <c r="BI3632" s="78" t="n"/>
      <c r="BJ3632" s="139" t="n"/>
      <c r="BK3632" s="204" t="n"/>
      <c r="BL3632" s="141" t="n"/>
      <c r="BM3632" s="205" t="n"/>
      <c r="BN3632" s="205" t="n"/>
      <c r="BO3632" s="206" t="n"/>
      <c r="BP3632" s="144" t="n"/>
      <c r="BQ3632" s="141" t="n"/>
      <c r="BR3632" s="207" t="n"/>
      <c r="BS3632" s="207" t="n"/>
      <c r="BT3632" s="207" t="n"/>
      <c r="BU3632" s="207" t="n"/>
      <c r="BV3632" s="208" t="n"/>
      <c r="BW3632" s="207" t="n"/>
      <c r="BX3632" s="207" t="n"/>
      <c r="BY3632" s="204" t="n"/>
      <c r="BZ3632" s="148" t="n"/>
      <c r="CA3632" s="204" t="n"/>
      <c r="CB3632" s="208" t="n"/>
      <c r="CC3632" s="139" t="n"/>
      <c r="CD3632" s="204" t="n"/>
      <c r="CE3632" s="204" t="n"/>
      <c r="CF3632" s="207" t="n"/>
      <c r="CG3632" s="208" t="n"/>
      <c r="CH3632" s="207" t="n"/>
      <c r="CI3632" s="208" t="n"/>
      <c r="CJ3632" s="204" t="n"/>
      <c r="CK3632" s="208" t="n"/>
      <c r="CL3632" s="208" t="n"/>
      <c r="CM3632" s="208" t="n"/>
      <c r="CN3632" s="78" t="n"/>
      <c r="CO3632" s="209" t="n"/>
      <c r="CP3632" s="204" t="n"/>
      <c r="CQ3632" s="204" t="n"/>
      <c r="CR3632" s="204" t="n"/>
      <c r="CS3632" s="204" t="n"/>
      <c r="CT3632" s="204" t="n"/>
      <c r="CU3632" s="204" t="n"/>
      <c r="CV3632" s="204" t="n"/>
      <c r="CW3632" s="204" t="n"/>
    </row>
    <row r="3633">
      <c r="BF3633" s="78" t="n"/>
      <c r="BG3633" s="78" t="n"/>
      <c r="BH3633" s="78" t="n"/>
      <c r="BI3633" s="78" t="n"/>
      <c r="BJ3633" s="139" t="n"/>
      <c r="BK3633" s="204" t="n"/>
      <c r="BL3633" s="141" t="n"/>
      <c r="BM3633" s="205" t="n"/>
      <c r="BN3633" s="205" t="n"/>
      <c r="BO3633" s="206" t="n"/>
      <c r="BP3633" s="144" t="n"/>
      <c r="BQ3633" s="141" t="n"/>
      <c r="BR3633" s="207" t="n"/>
      <c r="BS3633" s="207" t="n"/>
      <c r="BT3633" s="207" t="n"/>
      <c r="BU3633" s="207" t="n"/>
      <c r="BV3633" s="208" t="n"/>
      <c r="BW3633" s="207" t="n"/>
      <c r="BX3633" s="207" t="n"/>
      <c r="BY3633" s="204" t="n"/>
      <c r="BZ3633" s="148" t="n"/>
      <c r="CA3633" s="204" t="n"/>
      <c r="CB3633" s="208" t="n"/>
      <c r="CC3633" s="139" t="n"/>
      <c r="CD3633" s="204" t="n"/>
      <c r="CE3633" s="204" t="n"/>
      <c r="CF3633" s="207" t="n"/>
      <c r="CG3633" s="208" t="n"/>
      <c r="CH3633" s="207" t="n"/>
      <c r="CI3633" s="208" t="n"/>
      <c r="CJ3633" s="204" t="n"/>
      <c r="CK3633" s="208" t="n"/>
      <c r="CL3633" s="208" t="n"/>
      <c r="CM3633" s="208" t="n"/>
      <c r="CN3633" s="78" t="n"/>
      <c r="CO3633" s="209" t="n"/>
      <c r="CP3633" s="204" t="n"/>
      <c r="CQ3633" s="204" t="n"/>
      <c r="CR3633" s="204" t="n"/>
      <c r="CS3633" s="204" t="n"/>
      <c r="CT3633" s="204" t="n"/>
      <c r="CU3633" s="204" t="n"/>
      <c r="CV3633" s="204" t="n"/>
      <c r="CW3633" s="204" t="n"/>
    </row>
    <row r="3634">
      <c r="BF3634" s="78" t="n"/>
      <c r="BG3634" s="78" t="n"/>
      <c r="BH3634" s="78" t="n"/>
      <c r="BI3634" s="78" t="n"/>
      <c r="BJ3634" s="139" t="n"/>
      <c r="BK3634" s="204" t="n"/>
      <c r="BL3634" s="141" t="n"/>
      <c r="BM3634" s="205" t="n"/>
      <c r="BN3634" s="205" t="n"/>
      <c r="BO3634" s="206" t="n"/>
      <c r="BP3634" s="144" t="n"/>
      <c r="BQ3634" s="141" t="n"/>
      <c r="BR3634" s="207" t="n"/>
      <c r="BS3634" s="207" t="n"/>
      <c r="BT3634" s="207" t="n"/>
      <c r="BU3634" s="207" t="n"/>
      <c r="BV3634" s="208" t="n"/>
      <c r="BW3634" s="207" t="n"/>
      <c r="BX3634" s="207" t="n"/>
      <c r="BY3634" s="204" t="n"/>
      <c r="BZ3634" s="148" t="n"/>
      <c r="CA3634" s="204" t="n"/>
      <c r="CB3634" s="208" t="n"/>
      <c r="CC3634" s="139" t="n"/>
      <c r="CD3634" s="204" t="n"/>
      <c r="CE3634" s="204" t="n"/>
      <c r="CF3634" s="207" t="n"/>
      <c r="CG3634" s="208" t="n"/>
      <c r="CH3634" s="207" t="n"/>
      <c r="CI3634" s="208" t="n"/>
      <c r="CJ3634" s="204" t="n"/>
      <c r="CK3634" s="208" t="n"/>
      <c r="CL3634" s="208" t="n"/>
      <c r="CM3634" s="208" t="n"/>
      <c r="CN3634" s="78" t="n"/>
      <c r="CO3634" s="209" t="n"/>
      <c r="CP3634" s="204" t="n"/>
      <c r="CQ3634" s="204" t="n"/>
      <c r="CR3634" s="204" t="n"/>
      <c r="CS3634" s="204" t="n"/>
      <c r="CT3634" s="204" t="n"/>
      <c r="CU3634" s="204" t="n"/>
      <c r="CV3634" s="204" t="n"/>
      <c r="CW3634" s="204" t="n"/>
    </row>
    <row r="3635">
      <c r="BF3635" s="78" t="n"/>
      <c r="BG3635" s="78" t="n"/>
      <c r="BH3635" s="78" t="n"/>
      <c r="BI3635" s="78" t="n"/>
      <c r="BJ3635" s="139" t="n"/>
      <c r="BK3635" s="204" t="n"/>
      <c r="BL3635" s="141" t="n"/>
      <c r="BM3635" s="205" t="n"/>
      <c r="BN3635" s="205" t="n"/>
      <c r="BO3635" s="206" t="n"/>
      <c r="BP3635" s="144" t="n"/>
      <c r="BQ3635" s="141" t="n"/>
      <c r="BR3635" s="207" t="n"/>
      <c r="BS3635" s="207" t="n"/>
      <c r="BT3635" s="207" t="n"/>
      <c r="BU3635" s="207" t="n"/>
      <c r="BV3635" s="208" t="n"/>
      <c r="BW3635" s="207" t="n"/>
      <c r="BX3635" s="207" t="n"/>
      <c r="BY3635" s="204" t="n"/>
      <c r="BZ3635" s="148" t="n"/>
      <c r="CA3635" s="204" t="n"/>
      <c r="CB3635" s="208" t="n"/>
      <c r="CC3635" s="139" t="n"/>
      <c r="CD3635" s="204" t="n"/>
      <c r="CE3635" s="204" t="n"/>
      <c r="CF3635" s="207" t="n"/>
      <c r="CG3635" s="208" t="n"/>
      <c r="CH3635" s="207" t="n"/>
      <c r="CI3635" s="208" t="n"/>
      <c r="CJ3635" s="204" t="n"/>
      <c r="CK3635" s="208" t="n"/>
      <c r="CL3635" s="208" t="n"/>
      <c r="CM3635" s="208" t="n"/>
      <c r="CN3635" s="78" t="n"/>
      <c r="CO3635" s="209" t="n"/>
      <c r="CP3635" s="204" t="n"/>
      <c r="CQ3635" s="204" t="n"/>
      <c r="CR3635" s="204" t="n"/>
      <c r="CS3635" s="204" t="n"/>
      <c r="CT3635" s="204" t="n"/>
      <c r="CU3635" s="204" t="n"/>
      <c r="CV3635" s="204" t="n"/>
      <c r="CW3635" s="204" t="n"/>
    </row>
    <row r="3636">
      <c r="BF3636" s="78" t="n"/>
      <c r="BG3636" s="78" t="n"/>
      <c r="BH3636" s="78" t="n"/>
      <c r="BI3636" s="78" t="n"/>
      <c r="BJ3636" s="139" t="n"/>
      <c r="BK3636" s="204" t="n"/>
      <c r="BL3636" s="141" t="n"/>
      <c r="BM3636" s="205" t="n"/>
      <c r="BN3636" s="205" t="n"/>
      <c r="BO3636" s="206" t="n"/>
      <c r="BP3636" s="144" t="n"/>
      <c r="BQ3636" s="141" t="n"/>
      <c r="BR3636" s="207" t="n"/>
      <c r="BS3636" s="207" t="n"/>
      <c r="BT3636" s="207" t="n"/>
      <c r="BU3636" s="207" t="n"/>
      <c r="BV3636" s="208" t="n"/>
      <c r="BW3636" s="207" t="n"/>
      <c r="BX3636" s="207" t="n"/>
      <c r="BY3636" s="204" t="n"/>
      <c r="BZ3636" s="148" t="n"/>
      <c r="CA3636" s="204" t="n"/>
      <c r="CB3636" s="208" t="n"/>
      <c r="CC3636" s="139" t="n"/>
      <c r="CD3636" s="204" t="n"/>
      <c r="CE3636" s="204" t="n"/>
      <c r="CF3636" s="207" t="n"/>
      <c r="CG3636" s="208" t="n"/>
      <c r="CH3636" s="207" t="n"/>
      <c r="CI3636" s="208" t="n"/>
      <c r="CJ3636" s="204" t="n"/>
      <c r="CK3636" s="208" t="n"/>
      <c r="CL3636" s="208" t="n"/>
      <c r="CM3636" s="208" t="n"/>
      <c r="CN3636" s="78" t="n"/>
      <c r="CO3636" s="209" t="n"/>
      <c r="CP3636" s="204" t="n"/>
      <c r="CQ3636" s="204" t="n"/>
      <c r="CR3636" s="204" t="n"/>
      <c r="CS3636" s="204" t="n"/>
      <c r="CT3636" s="204" t="n"/>
      <c r="CU3636" s="204" t="n"/>
      <c r="CV3636" s="204" t="n"/>
      <c r="CW3636" s="204" t="n"/>
    </row>
    <row r="3637">
      <c r="BF3637" s="78" t="n"/>
      <c r="BG3637" s="78" t="n"/>
      <c r="BH3637" s="78" t="n"/>
      <c r="BI3637" s="78" t="n"/>
      <c r="BJ3637" s="139" t="n"/>
      <c r="BK3637" s="204" t="n"/>
      <c r="BL3637" s="141" t="n"/>
      <c r="BM3637" s="205" t="n"/>
      <c r="BN3637" s="205" t="n"/>
      <c r="BO3637" s="206" t="n"/>
      <c r="BP3637" s="144" t="n"/>
      <c r="BQ3637" s="141" t="n"/>
      <c r="BR3637" s="207" t="n"/>
      <c r="BS3637" s="207" t="n"/>
      <c r="BT3637" s="207" t="n"/>
      <c r="BU3637" s="207" t="n"/>
      <c r="BV3637" s="208" t="n"/>
      <c r="BW3637" s="207" t="n"/>
      <c r="BX3637" s="207" t="n"/>
      <c r="BY3637" s="204" t="n"/>
      <c r="BZ3637" s="148" t="n"/>
      <c r="CA3637" s="204" t="n"/>
      <c r="CB3637" s="208" t="n"/>
      <c r="CC3637" s="139" t="n"/>
      <c r="CD3637" s="204" t="n"/>
      <c r="CE3637" s="204" t="n"/>
      <c r="CF3637" s="207" t="n"/>
      <c r="CG3637" s="208" t="n"/>
      <c r="CH3637" s="207" t="n"/>
      <c r="CI3637" s="208" t="n"/>
      <c r="CJ3637" s="204" t="n"/>
      <c r="CK3637" s="208" t="n"/>
      <c r="CL3637" s="208" t="n"/>
      <c r="CM3637" s="208" t="n"/>
      <c r="CN3637" s="78" t="n"/>
      <c r="CO3637" s="209" t="n"/>
      <c r="CP3637" s="204" t="n"/>
      <c r="CQ3637" s="204" t="n"/>
      <c r="CR3637" s="204" t="n"/>
      <c r="CS3637" s="204" t="n"/>
      <c r="CT3637" s="204" t="n"/>
      <c r="CU3637" s="204" t="n"/>
      <c r="CV3637" s="204" t="n"/>
      <c r="CW3637" s="204" t="n"/>
    </row>
    <row r="3638">
      <c r="BF3638" s="78" t="n"/>
      <c r="BG3638" s="78" t="n"/>
      <c r="BH3638" s="78" t="n"/>
      <c r="BI3638" s="78" t="n"/>
      <c r="BJ3638" s="139" t="n"/>
      <c r="BK3638" s="204" t="n"/>
      <c r="BL3638" s="141" t="n"/>
      <c r="BM3638" s="205" t="n"/>
      <c r="BN3638" s="205" t="n"/>
      <c r="BO3638" s="206" t="n"/>
      <c r="BP3638" s="144" t="n"/>
      <c r="BQ3638" s="141" t="n"/>
      <c r="BR3638" s="207" t="n"/>
      <c r="BS3638" s="207" t="n"/>
      <c r="BT3638" s="207" t="n"/>
      <c r="BU3638" s="207" t="n"/>
      <c r="BV3638" s="208" t="n"/>
      <c r="BW3638" s="207" t="n"/>
      <c r="BX3638" s="207" t="n"/>
      <c r="BY3638" s="204" t="n"/>
      <c r="BZ3638" s="148" t="n"/>
      <c r="CA3638" s="204" t="n"/>
      <c r="CB3638" s="208" t="n"/>
      <c r="CC3638" s="139" t="n"/>
      <c r="CD3638" s="204" t="n"/>
      <c r="CE3638" s="204" t="n"/>
      <c r="CF3638" s="207" t="n"/>
      <c r="CG3638" s="208" t="n"/>
      <c r="CH3638" s="207" t="n"/>
      <c r="CI3638" s="208" t="n"/>
      <c r="CJ3638" s="204" t="n"/>
      <c r="CK3638" s="208" t="n"/>
      <c r="CL3638" s="208" t="n"/>
      <c r="CM3638" s="208" t="n"/>
      <c r="CN3638" s="78" t="n"/>
      <c r="CO3638" s="209" t="n"/>
      <c r="CP3638" s="204" t="n"/>
      <c r="CQ3638" s="204" t="n"/>
      <c r="CR3638" s="204" t="n"/>
      <c r="CS3638" s="204" t="n"/>
      <c r="CT3638" s="204" t="n"/>
      <c r="CU3638" s="204" t="n"/>
      <c r="CV3638" s="204" t="n"/>
      <c r="CW3638" s="204" t="n"/>
    </row>
    <row r="3639">
      <c r="BF3639" s="78" t="n"/>
      <c r="BG3639" s="78" t="n"/>
      <c r="BH3639" s="78" t="n"/>
      <c r="BI3639" s="78" t="n"/>
      <c r="BJ3639" s="139" t="n"/>
      <c r="BK3639" s="204" t="n"/>
      <c r="BL3639" s="141" t="n"/>
      <c r="BM3639" s="205" t="n"/>
      <c r="BN3639" s="205" t="n"/>
      <c r="BO3639" s="206" t="n"/>
      <c r="BP3639" s="144" t="n"/>
      <c r="BQ3639" s="141" t="n"/>
      <c r="BR3639" s="207" t="n"/>
      <c r="BS3639" s="207" t="n"/>
      <c r="BT3639" s="207" t="n"/>
      <c r="BU3639" s="207" t="n"/>
      <c r="BV3639" s="208" t="n"/>
      <c r="BW3639" s="207" t="n"/>
      <c r="BX3639" s="207" t="n"/>
      <c r="BY3639" s="204" t="n"/>
      <c r="BZ3639" s="148" t="n"/>
      <c r="CA3639" s="204" t="n"/>
      <c r="CB3639" s="208" t="n"/>
      <c r="CC3639" s="139" t="n"/>
      <c r="CD3639" s="204" t="n"/>
      <c r="CE3639" s="204" t="n"/>
      <c r="CF3639" s="207" t="n"/>
      <c r="CG3639" s="208" t="n"/>
      <c r="CH3639" s="207" t="n"/>
      <c r="CI3639" s="208" t="n"/>
      <c r="CJ3639" s="204" t="n"/>
      <c r="CK3639" s="208" t="n"/>
      <c r="CL3639" s="208" t="n"/>
      <c r="CM3639" s="208" t="n"/>
      <c r="CN3639" s="78" t="n"/>
      <c r="CO3639" s="209" t="n"/>
      <c r="CP3639" s="204" t="n"/>
      <c r="CQ3639" s="204" t="n"/>
      <c r="CR3639" s="204" t="n"/>
      <c r="CS3639" s="204" t="n"/>
      <c r="CT3639" s="204" t="n"/>
      <c r="CU3639" s="204" t="n"/>
      <c r="CV3639" s="204" t="n"/>
      <c r="CW3639" s="204" t="n"/>
    </row>
    <row r="3640">
      <c r="BF3640" s="78" t="n"/>
      <c r="BG3640" s="78" t="n"/>
      <c r="BH3640" s="78" t="n"/>
      <c r="BI3640" s="78" t="n"/>
      <c r="BJ3640" s="139" t="n"/>
      <c r="BK3640" s="204" t="n"/>
      <c r="BL3640" s="141" t="n"/>
      <c r="BM3640" s="205" t="n"/>
      <c r="BN3640" s="205" t="n"/>
      <c r="BO3640" s="206" t="n"/>
      <c r="BP3640" s="144" t="n"/>
      <c r="BQ3640" s="141" t="n"/>
      <c r="BR3640" s="207" t="n"/>
      <c r="BS3640" s="207" t="n"/>
      <c r="BT3640" s="207" t="n"/>
      <c r="BU3640" s="207" t="n"/>
      <c r="BV3640" s="208" t="n"/>
      <c r="BW3640" s="207" t="n"/>
      <c r="BX3640" s="207" t="n"/>
      <c r="BY3640" s="204" t="n"/>
      <c r="BZ3640" s="148" t="n"/>
      <c r="CA3640" s="204" t="n"/>
      <c r="CB3640" s="208" t="n"/>
      <c r="CC3640" s="139" t="n"/>
      <c r="CD3640" s="204" t="n"/>
      <c r="CE3640" s="204" t="n"/>
      <c r="CF3640" s="207" t="n"/>
      <c r="CG3640" s="208" t="n"/>
      <c r="CH3640" s="207" t="n"/>
      <c r="CI3640" s="208" t="n"/>
      <c r="CJ3640" s="204" t="n"/>
      <c r="CK3640" s="208" t="n"/>
      <c r="CL3640" s="208" t="n"/>
      <c r="CM3640" s="208" t="n"/>
      <c r="CN3640" s="78" t="n"/>
      <c r="CO3640" s="209" t="n"/>
      <c r="CP3640" s="204" t="n"/>
      <c r="CQ3640" s="204" t="n"/>
      <c r="CR3640" s="204" t="n"/>
      <c r="CS3640" s="204" t="n"/>
      <c r="CT3640" s="204" t="n"/>
      <c r="CU3640" s="204" t="n"/>
      <c r="CV3640" s="204" t="n"/>
      <c r="CW3640" s="204" t="n"/>
    </row>
    <row r="3641">
      <c r="BF3641" s="78" t="n"/>
      <c r="BG3641" s="78" t="n"/>
      <c r="BH3641" s="78" t="n"/>
      <c r="BI3641" s="78" t="n"/>
      <c r="BJ3641" s="139" t="n"/>
      <c r="BK3641" s="204" t="n"/>
      <c r="BL3641" s="141" t="n"/>
      <c r="BM3641" s="205" t="n"/>
      <c r="BN3641" s="205" t="n"/>
      <c r="BO3641" s="206" t="n"/>
      <c r="BP3641" s="144" t="n"/>
      <c r="BQ3641" s="141" t="n"/>
      <c r="BR3641" s="207" t="n"/>
      <c r="BS3641" s="207" t="n"/>
      <c r="BT3641" s="207" t="n"/>
      <c r="BU3641" s="207" t="n"/>
      <c r="BV3641" s="208" t="n"/>
      <c r="BW3641" s="207" t="n"/>
      <c r="BX3641" s="207" t="n"/>
      <c r="BY3641" s="204" t="n"/>
      <c r="BZ3641" s="148" t="n"/>
      <c r="CA3641" s="204" t="n"/>
      <c r="CB3641" s="208" t="n"/>
      <c r="CC3641" s="139" t="n"/>
      <c r="CD3641" s="204" t="n"/>
      <c r="CE3641" s="204" t="n"/>
      <c r="CF3641" s="207" t="n"/>
      <c r="CG3641" s="208" t="n"/>
      <c r="CH3641" s="207" t="n"/>
      <c r="CI3641" s="208" t="n"/>
      <c r="CJ3641" s="204" t="n"/>
      <c r="CK3641" s="208" t="n"/>
      <c r="CL3641" s="208" t="n"/>
      <c r="CM3641" s="208" t="n"/>
      <c r="CN3641" s="78" t="n"/>
      <c r="CO3641" s="209" t="n"/>
      <c r="CP3641" s="204" t="n"/>
      <c r="CQ3641" s="204" t="n"/>
      <c r="CR3641" s="204" t="n"/>
      <c r="CS3641" s="204" t="n"/>
      <c r="CT3641" s="204" t="n"/>
      <c r="CU3641" s="204" t="n"/>
      <c r="CV3641" s="204" t="n"/>
      <c r="CW3641" s="204" t="n"/>
    </row>
    <row r="3642">
      <c r="BF3642" s="78" t="n"/>
      <c r="BG3642" s="78" t="n"/>
      <c r="BH3642" s="78" t="n"/>
      <c r="BI3642" s="78" t="n"/>
      <c r="BJ3642" s="139" t="n"/>
      <c r="BK3642" s="204" t="n"/>
      <c r="BL3642" s="141" t="n"/>
      <c r="BM3642" s="205" t="n"/>
      <c r="BN3642" s="205" t="n"/>
      <c r="BO3642" s="206" t="n"/>
      <c r="BP3642" s="144" t="n"/>
      <c r="BQ3642" s="141" t="n"/>
      <c r="BR3642" s="207" t="n"/>
      <c r="BS3642" s="207" t="n"/>
      <c r="BT3642" s="207" t="n"/>
      <c r="BU3642" s="207" t="n"/>
      <c r="BV3642" s="208" t="n"/>
      <c r="BW3642" s="207" t="n"/>
      <c r="BX3642" s="207" t="n"/>
      <c r="BY3642" s="204" t="n"/>
      <c r="BZ3642" s="148" t="n"/>
      <c r="CA3642" s="204" t="n"/>
      <c r="CB3642" s="208" t="n"/>
      <c r="CC3642" s="139" t="n"/>
      <c r="CD3642" s="204" t="n"/>
      <c r="CE3642" s="204" t="n"/>
      <c r="CF3642" s="207" t="n"/>
      <c r="CG3642" s="208" t="n"/>
      <c r="CH3642" s="207" t="n"/>
      <c r="CI3642" s="208" t="n"/>
      <c r="CJ3642" s="204" t="n"/>
      <c r="CK3642" s="208" t="n"/>
      <c r="CL3642" s="208" t="n"/>
      <c r="CM3642" s="208" t="n"/>
      <c r="CN3642" s="78" t="n"/>
      <c r="CO3642" s="209" t="n"/>
      <c r="CP3642" s="204" t="n"/>
      <c r="CQ3642" s="204" t="n"/>
      <c r="CR3642" s="204" t="n"/>
      <c r="CS3642" s="204" t="n"/>
      <c r="CT3642" s="204" t="n"/>
      <c r="CU3642" s="204" t="n"/>
      <c r="CV3642" s="204" t="n"/>
      <c r="CW3642" s="204" t="n"/>
    </row>
    <row r="3643">
      <c r="BF3643" s="78" t="n"/>
      <c r="BG3643" s="78" t="n"/>
      <c r="BH3643" s="78" t="n"/>
      <c r="BI3643" s="78" t="n"/>
      <c r="BJ3643" s="139" t="n"/>
      <c r="BK3643" s="204" t="n"/>
      <c r="BL3643" s="141" t="n"/>
      <c r="BM3643" s="205" t="n"/>
      <c r="BN3643" s="205" t="n"/>
      <c r="BO3643" s="206" t="n"/>
      <c r="BP3643" s="144" t="n"/>
      <c r="BQ3643" s="141" t="n"/>
      <c r="BR3643" s="207" t="n"/>
      <c r="BS3643" s="207" t="n"/>
      <c r="BT3643" s="207" t="n"/>
      <c r="BU3643" s="207" t="n"/>
      <c r="BV3643" s="208" t="n"/>
      <c r="BW3643" s="207" t="n"/>
      <c r="BX3643" s="207" t="n"/>
      <c r="BY3643" s="204" t="n"/>
      <c r="BZ3643" s="148" t="n"/>
      <c r="CA3643" s="204" t="n"/>
      <c r="CB3643" s="208" t="n"/>
      <c r="CC3643" s="139" t="n"/>
      <c r="CD3643" s="204" t="n"/>
      <c r="CE3643" s="204" t="n"/>
      <c r="CF3643" s="207" t="n"/>
      <c r="CG3643" s="208" t="n"/>
      <c r="CH3643" s="207" t="n"/>
      <c r="CI3643" s="208" t="n"/>
      <c r="CJ3643" s="204" t="n"/>
      <c r="CK3643" s="208" t="n"/>
      <c r="CL3643" s="208" t="n"/>
      <c r="CM3643" s="208" t="n"/>
      <c r="CN3643" s="78" t="n"/>
      <c r="CO3643" s="209" t="n"/>
      <c r="CP3643" s="204" t="n"/>
      <c r="CQ3643" s="204" t="n"/>
      <c r="CR3643" s="204" t="n"/>
      <c r="CS3643" s="204" t="n"/>
      <c r="CT3643" s="204" t="n"/>
      <c r="CU3643" s="204" t="n"/>
      <c r="CV3643" s="204" t="n"/>
      <c r="CW3643" s="204" t="n"/>
    </row>
    <row r="3644">
      <c r="BF3644" s="78" t="n"/>
      <c r="BG3644" s="78" t="n"/>
      <c r="BH3644" s="78" t="n"/>
      <c r="BI3644" s="78" t="n"/>
      <c r="BJ3644" s="139" t="n"/>
      <c r="BK3644" s="204" t="n"/>
      <c r="BL3644" s="141" t="n"/>
      <c r="BM3644" s="205" t="n"/>
      <c r="BN3644" s="205" t="n"/>
      <c r="BO3644" s="206" t="n"/>
      <c r="BP3644" s="144" t="n"/>
      <c r="BQ3644" s="141" t="n"/>
      <c r="BR3644" s="207" t="n"/>
      <c r="BS3644" s="207" t="n"/>
      <c r="BT3644" s="207" t="n"/>
      <c r="BU3644" s="207" t="n"/>
      <c r="BV3644" s="208" t="n"/>
      <c r="BW3644" s="207" t="n"/>
      <c r="BX3644" s="207" t="n"/>
      <c r="BY3644" s="204" t="n"/>
      <c r="BZ3644" s="148" t="n"/>
      <c r="CA3644" s="204" t="n"/>
      <c r="CB3644" s="208" t="n"/>
      <c r="CC3644" s="139" t="n"/>
      <c r="CD3644" s="204" t="n"/>
      <c r="CE3644" s="204" t="n"/>
      <c r="CF3644" s="207" t="n"/>
      <c r="CG3644" s="208" t="n"/>
      <c r="CH3644" s="207" t="n"/>
      <c r="CI3644" s="208" t="n"/>
      <c r="CJ3644" s="204" t="n"/>
      <c r="CK3644" s="208" t="n"/>
      <c r="CL3644" s="208" t="n"/>
      <c r="CM3644" s="208" t="n"/>
      <c r="CN3644" s="78" t="n"/>
      <c r="CO3644" s="209" t="n"/>
      <c r="CP3644" s="204" t="n"/>
      <c r="CQ3644" s="204" t="n"/>
      <c r="CR3644" s="204" t="n"/>
      <c r="CS3644" s="204" t="n"/>
      <c r="CT3644" s="204" t="n"/>
      <c r="CU3644" s="204" t="n"/>
      <c r="CV3644" s="204" t="n"/>
      <c r="CW3644" s="204" t="n"/>
    </row>
    <row r="3645">
      <c r="BF3645" s="78" t="n"/>
      <c r="BG3645" s="78" t="n"/>
      <c r="BH3645" s="78" t="n"/>
      <c r="BI3645" s="78" t="n"/>
      <c r="BJ3645" s="139" t="n"/>
      <c r="BK3645" s="204" t="n"/>
      <c r="BL3645" s="141" t="n"/>
      <c r="BM3645" s="205" t="n"/>
      <c r="BN3645" s="205" t="n"/>
      <c r="BO3645" s="206" t="n"/>
      <c r="BP3645" s="144" t="n"/>
      <c r="BQ3645" s="141" t="n"/>
      <c r="BR3645" s="207" t="n"/>
      <c r="BS3645" s="207" t="n"/>
      <c r="BT3645" s="207" t="n"/>
      <c r="BU3645" s="207" t="n"/>
      <c r="BV3645" s="208" t="n"/>
      <c r="BW3645" s="207" t="n"/>
      <c r="BX3645" s="207" t="n"/>
      <c r="BY3645" s="204" t="n"/>
      <c r="BZ3645" s="148" t="n"/>
      <c r="CA3645" s="204" t="n"/>
      <c r="CB3645" s="208" t="n"/>
      <c r="CC3645" s="139" t="n"/>
      <c r="CD3645" s="204" t="n"/>
      <c r="CE3645" s="204" t="n"/>
      <c r="CF3645" s="207" t="n"/>
      <c r="CG3645" s="208" t="n"/>
      <c r="CH3645" s="207" t="n"/>
      <c r="CI3645" s="208" t="n"/>
      <c r="CJ3645" s="204" t="n"/>
      <c r="CK3645" s="208" t="n"/>
      <c r="CL3645" s="208" t="n"/>
      <c r="CM3645" s="208" t="n"/>
      <c r="CN3645" s="78" t="n"/>
      <c r="CO3645" s="209" t="n"/>
      <c r="CP3645" s="204" t="n"/>
      <c r="CQ3645" s="204" t="n"/>
      <c r="CR3645" s="204" t="n"/>
      <c r="CS3645" s="204" t="n"/>
      <c r="CT3645" s="204" t="n"/>
      <c r="CU3645" s="204" t="n"/>
      <c r="CV3645" s="204" t="n"/>
      <c r="CW3645" s="204" t="n"/>
    </row>
    <row r="3646">
      <c r="BF3646" s="78" t="n"/>
      <c r="BG3646" s="78" t="n"/>
      <c r="BH3646" s="78" t="n"/>
      <c r="BI3646" s="78" t="n"/>
      <c r="BJ3646" s="139" t="n"/>
      <c r="BK3646" s="204" t="n"/>
      <c r="BL3646" s="141" t="n"/>
      <c r="BM3646" s="205" t="n"/>
      <c r="BN3646" s="205" t="n"/>
      <c r="BO3646" s="206" t="n"/>
      <c r="BP3646" s="144" t="n"/>
      <c r="BQ3646" s="141" t="n"/>
      <c r="BR3646" s="207" t="n"/>
      <c r="BS3646" s="207" t="n"/>
      <c r="BT3646" s="207" t="n"/>
      <c r="BU3646" s="207" t="n"/>
      <c r="BV3646" s="208" t="n"/>
      <c r="BW3646" s="207" t="n"/>
      <c r="BX3646" s="207" t="n"/>
      <c r="BY3646" s="204" t="n"/>
      <c r="BZ3646" s="148" t="n"/>
      <c r="CA3646" s="204" t="n"/>
      <c r="CB3646" s="208" t="n"/>
      <c r="CC3646" s="139" t="n"/>
      <c r="CD3646" s="204" t="n"/>
      <c r="CE3646" s="204" t="n"/>
      <c r="CF3646" s="207" t="n"/>
      <c r="CG3646" s="208" t="n"/>
      <c r="CH3646" s="207" t="n"/>
      <c r="CI3646" s="208" t="n"/>
      <c r="CJ3646" s="204" t="n"/>
      <c r="CK3646" s="208" t="n"/>
      <c r="CL3646" s="208" t="n"/>
      <c r="CM3646" s="208" t="n"/>
      <c r="CN3646" s="78" t="n"/>
      <c r="CO3646" s="209" t="n"/>
      <c r="CP3646" s="204" t="n"/>
      <c r="CQ3646" s="204" t="n"/>
      <c r="CR3646" s="204" t="n"/>
      <c r="CS3646" s="204" t="n"/>
      <c r="CT3646" s="204" t="n"/>
      <c r="CU3646" s="204" t="n"/>
      <c r="CV3646" s="204" t="n"/>
      <c r="CW3646" s="204" t="n"/>
    </row>
    <row r="3647">
      <c r="BF3647" s="78" t="n"/>
      <c r="BG3647" s="78" t="n"/>
      <c r="BH3647" s="78" t="n"/>
      <c r="BI3647" s="78" t="n"/>
      <c r="BJ3647" s="139" t="n"/>
      <c r="BK3647" s="204" t="n"/>
      <c r="BL3647" s="141" t="n"/>
      <c r="BM3647" s="205" t="n"/>
      <c r="BN3647" s="205" t="n"/>
      <c r="BO3647" s="206" t="n"/>
      <c r="BP3647" s="144" t="n"/>
      <c r="BQ3647" s="141" t="n"/>
      <c r="BR3647" s="207" t="n"/>
      <c r="BS3647" s="207" t="n"/>
      <c r="BT3647" s="207" t="n"/>
      <c r="BU3647" s="207" t="n"/>
      <c r="BV3647" s="208" t="n"/>
      <c r="BW3647" s="207" t="n"/>
      <c r="BX3647" s="207" t="n"/>
      <c r="BY3647" s="204" t="n"/>
      <c r="BZ3647" s="148" t="n"/>
      <c r="CA3647" s="204" t="n"/>
      <c r="CB3647" s="208" t="n"/>
      <c r="CC3647" s="139" t="n"/>
      <c r="CD3647" s="204" t="n"/>
      <c r="CE3647" s="204" t="n"/>
      <c r="CF3647" s="207" t="n"/>
      <c r="CG3647" s="208" t="n"/>
      <c r="CH3647" s="207" t="n"/>
      <c r="CI3647" s="208" t="n"/>
      <c r="CJ3647" s="204" t="n"/>
      <c r="CK3647" s="208" t="n"/>
      <c r="CL3647" s="208" t="n"/>
      <c r="CM3647" s="208" t="n"/>
      <c r="CN3647" s="78" t="n"/>
      <c r="CO3647" s="209" t="n"/>
      <c r="CP3647" s="204" t="n"/>
      <c r="CQ3647" s="204" t="n"/>
      <c r="CR3647" s="204" t="n"/>
      <c r="CS3647" s="204" t="n"/>
      <c r="CT3647" s="204" t="n"/>
      <c r="CU3647" s="204" t="n"/>
      <c r="CV3647" s="204" t="n"/>
      <c r="CW3647" s="204" t="n"/>
    </row>
    <row r="3648">
      <c r="BF3648" s="78" t="n"/>
      <c r="BG3648" s="78" t="n"/>
      <c r="BH3648" s="78" t="n"/>
      <c r="BI3648" s="78" t="n"/>
      <c r="BJ3648" s="139" t="n"/>
      <c r="BK3648" s="204" t="n"/>
      <c r="BL3648" s="141" t="n"/>
      <c r="BM3648" s="205" t="n"/>
      <c r="BN3648" s="205" t="n"/>
      <c r="BO3648" s="206" t="n"/>
      <c r="BP3648" s="144" t="n"/>
      <c r="BQ3648" s="141" t="n"/>
      <c r="BR3648" s="207" t="n"/>
      <c r="BS3648" s="207" t="n"/>
      <c r="BT3648" s="207" t="n"/>
      <c r="BU3648" s="207" t="n"/>
      <c r="BV3648" s="208" t="n"/>
      <c r="BW3648" s="207" t="n"/>
      <c r="BX3648" s="207" t="n"/>
      <c r="BY3648" s="204" t="n"/>
      <c r="BZ3648" s="148" t="n"/>
      <c r="CA3648" s="204" t="n"/>
      <c r="CB3648" s="208" t="n"/>
      <c r="CC3648" s="139" t="n"/>
      <c r="CD3648" s="204" t="n"/>
      <c r="CE3648" s="204" t="n"/>
      <c r="CF3648" s="207" t="n"/>
      <c r="CG3648" s="208" t="n"/>
      <c r="CH3648" s="207" t="n"/>
      <c r="CI3648" s="208" t="n"/>
      <c r="CJ3648" s="204" t="n"/>
      <c r="CK3648" s="208" t="n"/>
      <c r="CL3648" s="208" t="n"/>
      <c r="CM3648" s="208" t="n"/>
      <c r="CN3648" s="78" t="n"/>
      <c r="CO3648" s="209" t="n"/>
      <c r="CP3648" s="204" t="n"/>
      <c r="CQ3648" s="204" t="n"/>
      <c r="CR3648" s="204" t="n"/>
      <c r="CS3648" s="204" t="n"/>
      <c r="CT3648" s="204" t="n"/>
      <c r="CU3648" s="204" t="n"/>
      <c r="CV3648" s="204" t="n"/>
      <c r="CW3648" s="204" t="n"/>
    </row>
    <row r="3649">
      <c r="BF3649" s="78" t="n"/>
      <c r="BG3649" s="78" t="n"/>
      <c r="BH3649" s="78" t="n"/>
      <c r="BI3649" s="78" t="n"/>
      <c r="BJ3649" s="139" t="n"/>
      <c r="BK3649" s="204" t="n"/>
      <c r="BL3649" s="141" t="n"/>
      <c r="BM3649" s="205" t="n"/>
      <c r="BN3649" s="205" t="n"/>
      <c r="BO3649" s="206" t="n"/>
      <c r="BP3649" s="144" t="n"/>
      <c r="BQ3649" s="141" t="n"/>
      <c r="BR3649" s="207" t="n"/>
      <c r="BS3649" s="207" t="n"/>
      <c r="BT3649" s="207" t="n"/>
      <c r="BU3649" s="207" t="n"/>
      <c r="BV3649" s="208" t="n"/>
      <c r="BW3649" s="207" t="n"/>
      <c r="BX3649" s="207" t="n"/>
      <c r="BY3649" s="204" t="n"/>
      <c r="BZ3649" s="148" t="n"/>
      <c r="CA3649" s="204" t="n"/>
      <c r="CB3649" s="208" t="n"/>
      <c r="CC3649" s="139" t="n"/>
      <c r="CD3649" s="204" t="n"/>
      <c r="CE3649" s="204" t="n"/>
      <c r="CF3649" s="207" t="n"/>
      <c r="CG3649" s="208" t="n"/>
      <c r="CH3649" s="207" t="n"/>
      <c r="CI3649" s="208" t="n"/>
      <c r="CJ3649" s="204" t="n"/>
      <c r="CK3649" s="208" t="n"/>
      <c r="CL3649" s="208" t="n"/>
      <c r="CM3649" s="208" t="n"/>
      <c r="CN3649" s="78" t="n"/>
      <c r="CO3649" s="209" t="n"/>
      <c r="CP3649" s="204" t="n"/>
      <c r="CQ3649" s="204" t="n"/>
      <c r="CR3649" s="204" t="n"/>
      <c r="CS3649" s="204" t="n"/>
      <c r="CT3649" s="204" t="n"/>
      <c r="CU3649" s="204" t="n"/>
      <c r="CV3649" s="204" t="n"/>
      <c r="CW3649" s="204" t="n"/>
    </row>
    <row r="3650">
      <c r="BF3650" s="78" t="n"/>
      <c r="BG3650" s="78" t="n"/>
      <c r="BH3650" s="78" t="n"/>
      <c r="BI3650" s="78" t="n"/>
      <c r="BJ3650" s="139" t="n"/>
      <c r="BK3650" s="204" t="n"/>
      <c r="BL3650" s="141" t="n"/>
      <c r="BM3650" s="205" t="n"/>
      <c r="BN3650" s="205" t="n"/>
      <c r="BO3650" s="206" t="n"/>
      <c r="BP3650" s="144" t="n"/>
      <c r="BQ3650" s="141" t="n"/>
      <c r="BR3650" s="207" t="n"/>
      <c r="BS3650" s="207" t="n"/>
      <c r="BT3650" s="207" t="n"/>
      <c r="BU3650" s="207" t="n"/>
      <c r="BV3650" s="208" t="n"/>
      <c r="BW3650" s="207" t="n"/>
      <c r="BX3650" s="207" t="n"/>
      <c r="BY3650" s="204" t="n"/>
      <c r="BZ3650" s="148" t="n"/>
      <c r="CA3650" s="204" t="n"/>
      <c r="CB3650" s="208" t="n"/>
      <c r="CC3650" s="139" t="n"/>
      <c r="CD3650" s="204" t="n"/>
      <c r="CE3650" s="204" t="n"/>
      <c r="CF3650" s="207" t="n"/>
      <c r="CG3650" s="208" t="n"/>
      <c r="CH3650" s="207" t="n"/>
      <c r="CI3650" s="208" t="n"/>
      <c r="CJ3650" s="204" t="n"/>
      <c r="CK3650" s="208" t="n"/>
      <c r="CL3650" s="208" t="n"/>
      <c r="CM3650" s="208" t="n"/>
      <c r="CN3650" s="78" t="n"/>
      <c r="CO3650" s="209" t="n"/>
      <c r="CP3650" s="204" t="n"/>
      <c r="CQ3650" s="204" t="n"/>
      <c r="CR3650" s="204" t="n"/>
      <c r="CS3650" s="204" t="n"/>
      <c r="CT3650" s="204" t="n"/>
      <c r="CU3650" s="204" t="n"/>
      <c r="CV3650" s="204" t="n"/>
      <c r="CW3650" s="204" t="n"/>
    </row>
    <row r="3651">
      <c r="BF3651" s="78" t="n"/>
      <c r="BG3651" s="78" t="n"/>
      <c r="BH3651" s="78" t="n"/>
      <c r="BI3651" s="78" t="n"/>
      <c r="BJ3651" s="139" t="n"/>
      <c r="BK3651" s="204" t="n"/>
      <c r="BL3651" s="141" t="n"/>
      <c r="BM3651" s="205" t="n"/>
      <c r="BN3651" s="205" t="n"/>
      <c r="BO3651" s="206" t="n"/>
      <c r="BP3651" s="144" t="n"/>
      <c r="BQ3651" s="141" t="n"/>
      <c r="BR3651" s="207" t="n"/>
      <c r="BS3651" s="207" t="n"/>
      <c r="BT3651" s="207" t="n"/>
      <c r="BU3651" s="207" t="n"/>
      <c r="BV3651" s="208" t="n"/>
      <c r="BW3651" s="207" t="n"/>
      <c r="BX3651" s="207" t="n"/>
      <c r="BY3651" s="204" t="n"/>
      <c r="BZ3651" s="148" t="n"/>
      <c r="CA3651" s="204" t="n"/>
      <c r="CB3651" s="208" t="n"/>
      <c r="CC3651" s="139" t="n"/>
      <c r="CD3651" s="204" t="n"/>
      <c r="CE3651" s="204" t="n"/>
      <c r="CF3651" s="207" t="n"/>
      <c r="CG3651" s="208" t="n"/>
      <c r="CH3651" s="207" t="n"/>
      <c r="CI3651" s="208" t="n"/>
      <c r="CJ3651" s="204" t="n"/>
      <c r="CK3651" s="208" t="n"/>
      <c r="CL3651" s="208" t="n"/>
      <c r="CM3651" s="208" t="n"/>
      <c r="CN3651" s="78" t="n"/>
      <c r="CO3651" s="209" t="n"/>
      <c r="CP3651" s="204" t="n"/>
      <c r="CQ3651" s="204" t="n"/>
      <c r="CR3651" s="204" t="n"/>
      <c r="CS3651" s="204" t="n"/>
      <c r="CT3651" s="204" t="n"/>
      <c r="CU3651" s="204" t="n"/>
      <c r="CV3651" s="204" t="n"/>
      <c r="CW3651" s="204" t="n"/>
    </row>
    <row r="3652">
      <c r="BF3652" s="78" t="n"/>
      <c r="BG3652" s="78" t="n"/>
      <c r="BH3652" s="78" t="n"/>
      <c r="BI3652" s="78" t="n"/>
      <c r="BJ3652" s="139" t="n"/>
      <c r="BK3652" s="204" t="n"/>
      <c r="BL3652" s="141" t="n"/>
      <c r="BM3652" s="205" t="n"/>
      <c r="BN3652" s="205" t="n"/>
      <c r="BO3652" s="206" t="n"/>
      <c r="BP3652" s="144" t="n"/>
      <c r="BQ3652" s="141" t="n"/>
      <c r="BR3652" s="207" t="n"/>
      <c r="BS3652" s="207" t="n"/>
      <c r="BT3652" s="207" t="n"/>
      <c r="BU3652" s="207" t="n"/>
      <c r="BV3652" s="208" t="n"/>
      <c r="BW3652" s="207" t="n"/>
      <c r="BX3652" s="207" t="n"/>
      <c r="BY3652" s="204" t="n"/>
      <c r="BZ3652" s="148" t="n"/>
      <c r="CA3652" s="204" t="n"/>
      <c r="CB3652" s="208" t="n"/>
      <c r="CC3652" s="139" t="n"/>
      <c r="CD3652" s="204" t="n"/>
      <c r="CE3652" s="204" t="n"/>
      <c r="CF3652" s="207" t="n"/>
      <c r="CG3652" s="208" t="n"/>
      <c r="CH3652" s="207" t="n"/>
      <c r="CI3652" s="208" t="n"/>
      <c r="CJ3652" s="204" t="n"/>
      <c r="CK3652" s="208" t="n"/>
      <c r="CL3652" s="208" t="n"/>
      <c r="CM3652" s="208" t="n"/>
      <c r="CN3652" s="78" t="n"/>
      <c r="CO3652" s="209" t="n"/>
      <c r="CP3652" s="204" t="n"/>
      <c r="CQ3652" s="204" t="n"/>
      <c r="CR3652" s="204" t="n"/>
      <c r="CS3652" s="204" t="n"/>
      <c r="CT3652" s="204" t="n"/>
      <c r="CU3652" s="204" t="n"/>
      <c r="CV3652" s="204" t="n"/>
      <c r="CW3652" s="204" t="n"/>
    </row>
    <row r="3653">
      <c r="BF3653" s="78" t="n"/>
      <c r="BG3653" s="78" t="n"/>
      <c r="BH3653" s="78" t="n"/>
      <c r="BI3653" s="78" t="n"/>
      <c r="BJ3653" s="139" t="n"/>
      <c r="BK3653" s="204" t="n"/>
      <c r="BL3653" s="141" t="n"/>
      <c r="BM3653" s="205" t="n"/>
      <c r="BN3653" s="205" t="n"/>
      <c r="BO3653" s="206" t="n"/>
      <c r="BP3653" s="144" t="n"/>
      <c r="BQ3653" s="141" t="n"/>
      <c r="BR3653" s="207" t="n"/>
      <c r="BS3653" s="207" t="n"/>
      <c r="BT3653" s="207" t="n"/>
      <c r="BU3653" s="207" t="n"/>
      <c r="BV3653" s="208" t="n"/>
      <c r="BW3653" s="207" t="n"/>
      <c r="BX3653" s="207" t="n"/>
      <c r="BY3653" s="204" t="n"/>
      <c r="BZ3653" s="148" t="n"/>
      <c r="CA3653" s="204" t="n"/>
      <c r="CB3653" s="208" t="n"/>
      <c r="CC3653" s="139" t="n"/>
      <c r="CD3653" s="204" t="n"/>
      <c r="CE3653" s="204" t="n"/>
      <c r="CF3653" s="207" t="n"/>
      <c r="CG3653" s="208" t="n"/>
      <c r="CH3653" s="207" t="n"/>
      <c r="CI3653" s="208" t="n"/>
      <c r="CJ3653" s="204" t="n"/>
      <c r="CK3653" s="208" t="n"/>
      <c r="CL3653" s="208" t="n"/>
      <c r="CM3653" s="208" t="n"/>
      <c r="CN3653" s="78" t="n"/>
      <c r="CO3653" s="209" t="n"/>
      <c r="CP3653" s="204" t="n"/>
      <c r="CQ3653" s="204" t="n"/>
      <c r="CR3653" s="204" t="n"/>
      <c r="CS3653" s="204" t="n"/>
      <c r="CT3653" s="204" t="n"/>
      <c r="CU3653" s="204" t="n"/>
      <c r="CV3653" s="204" t="n"/>
      <c r="CW3653" s="204" t="n"/>
    </row>
    <row r="3654">
      <c r="BF3654" s="78" t="n"/>
      <c r="BG3654" s="78" t="n"/>
      <c r="BH3654" s="78" t="n"/>
      <c r="BI3654" s="78" t="n"/>
      <c r="BJ3654" s="139" t="n"/>
      <c r="BK3654" s="204" t="n"/>
      <c r="BL3654" s="141" t="n"/>
      <c r="BM3654" s="205" t="n"/>
      <c r="BN3654" s="205" t="n"/>
      <c r="BO3654" s="206" t="n"/>
      <c r="BP3654" s="144" t="n"/>
      <c r="BQ3654" s="141" t="n"/>
      <c r="BR3654" s="207" t="n"/>
      <c r="BS3654" s="207" t="n"/>
      <c r="BT3654" s="207" t="n"/>
      <c r="BU3654" s="207" t="n"/>
      <c r="BV3654" s="208" t="n"/>
      <c r="BW3654" s="207" t="n"/>
      <c r="BX3654" s="207" t="n"/>
      <c r="BY3654" s="204" t="n"/>
      <c r="BZ3654" s="148" t="n"/>
      <c r="CA3654" s="204" t="n"/>
      <c r="CB3654" s="208" t="n"/>
      <c r="CC3654" s="139" t="n"/>
      <c r="CD3654" s="204" t="n"/>
      <c r="CE3654" s="204" t="n"/>
      <c r="CF3654" s="207" t="n"/>
      <c r="CG3654" s="208" t="n"/>
      <c r="CH3654" s="207" t="n"/>
      <c r="CI3654" s="208" t="n"/>
      <c r="CJ3654" s="204" t="n"/>
      <c r="CK3654" s="208" t="n"/>
      <c r="CL3654" s="208" t="n"/>
      <c r="CM3654" s="208" t="n"/>
      <c r="CN3654" s="78" t="n"/>
      <c r="CO3654" s="209" t="n"/>
      <c r="CP3654" s="204" t="n"/>
      <c r="CQ3654" s="204" t="n"/>
      <c r="CR3654" s="204" t="n"/>
      <c r="CS3654" s="204" t="n"/>
      <c r="CT3654" s="204" t="n"/>
      <c r="CU3654" s="204" t="n"/>
      <c r="CV3654" s="204" t="n"/>
      <c r="CW3654" s="204" t="n"/>
    </row>
    <row r="3655">
      <c r="BF3655" s="78" t="n"/>
      <c r="BG3655" s="78" t="n"/>
      <c r="BH3655" s="78" t="n"/>
      <c r="BI3655" s="78" t="n"/>
      <c r="BJ3655" s="139" t="n"/>
      <c r="BK3655" s="204" t="n"/>
      <c r="BL3655" s="141" t="n"/>
      <c r="BM3655" s="205" t="n"/>
      <c r="BN3655" s="205" t="n"/>
      <c r="BO3655" s="206" t="n"/>
      <c r="BP3655" s="144" t="n"/>
      <c r="BQ3655" s="141" t="n"/>
      <c r="BR3655" s="207" t="n"/>
      <c r="BS3655" s="207" t="n"/>
      <c r="BT3655" s="207" t="n"/>
      <c r="BU3655" s="207" t="n"/>
      <c r="BV3655" s="208" t="n"/>
      <c r="BW3655" s="207" t="n"/>
      <c r="BX3655" s="207" t="n"/>
      <c r="BY3655" s="204" t="n"/>
      <c r="BZ3655" s="148" t="n"/>
      <c r="CA3655" s="204" t="n"/>
      <c r="CB3655" s="208" t="n"/>
      <c r="CC3655" s="139" t="n"/>
      <c r="CD3655" s="204" t="n"/>
      <c r="CE3655" s="204" t="n"/>
      <c r="CF3655" s="207" t="n"/>
      <c r="CG3655" s="208" t="n"/>
      <c r="CH3655" s="207" t="n"/>
      <c r="CI3655" s="208" t="n"/>
      <c r="CJ3655" s="204" t="n"/>
      <c r="CK3655" s="208" t="n"/>
      <c r="CL3655" s="208" t="n"/>
      <c r="CM3655" s="208" t="n"/>
      <c r="CN3655" s="78" t="n"/>
      <c r="CO3655" s="209" t="n"/>
      <c r="CP3655" s="204" t="n"/>
      <c r="CQ3655" s="204" t="n"/>
      <c r="CR3655" s="204" t="n"/>
      <c r="CS3655" s="204" t="n"/>
      <c r="CT3655" s="204" t="n"/>
      <c r="CU3655" s="204" t="n"/>
      <c r="CV3655" s="204" t="n"/>
      <c r="CW3655" s="204" t="n"/>
    </row>
    <row r="3656">
      <c r="BF3656" s="78" t="n"/>
      <c r="BG3656" s="78" t="n"/>
      <c r="BH3656" s="78" t="n"/>
      <c r="BI3656" s="78" t="n"/>
      <c r="BJ3656" s="139" t="n"/>
      <c r="BK3656" s="204" t="n"/>
      <c r="BL3656" s="141" t="n"/>
      <c r="BM3656" s="205" t="n"/>
      <c r="BN3656" s="205" t="n"/>
      <c r="BO3656" s="206" t="n"/>
      <c r="BP3656" s="144" t="n"/>
      <c r="BQ3656" s="141" t="n"/>
      <c r="BR3656" s="207" t="n"/>
      <c r="BS3656" s="207" t="n"/>
      <c r="BT3656" s="207" t="n"/>
      <c r="BU3656" s="207" t="n"/>
      <c r="BV3656" s="208" t="n"/>
      <c r="BW3656" s="207" t="n"/>
      <c r="BX3656" s="207" t="n"/>
      <c r="BY3656" s="204" t="n"/>
      <c r="BZ3656" s="148" t="n"/>
      <c r="CA3656" s="204" t="n"/>
      <c r="CB3656" s="208" t="n"/>
      <c r="CC3656" s="139" t="n"/>
      <c r="CD3656" s="204" t="n"/>
      <c r="CE3656" s="204" t="n"/>
      <c r="CF3656" s="207" t="n"/>
      <c r="CG3656" s="208" t="n"/>
      <c r="CH3656" s="207" t="n"/>
      <c r="CI3656" s="208" t="n"/>
      <c r="CJ3656" s="204" t="n"/>
      <c r="CK3656" s="208" t="n"/>
      <c r="CL3656" s="208" t="n"/>
      <c r="CM3656" s="208" t="n"/>
      <c r="CN3656" s="78" t="n"/>
      <c r="CO3656" s="209" t="n"/>
      <c r="CP3656" s="204" t="n"/>
      <c r="CQ3656" s="204" t="n"/>
      <c r="CR3656" s="204" t="n"/>
      <c r="CS3656" s="204" t="n"/>
      <c r="CT3656" s="204" t="n"/>
      <c r="CU3656" s="204" t="n"/>
      <c r="CV3656" s="204" t="n"/>
      <c r="CW3656" s="204" t="n"/>
    </row>
    <row r="3657">
      <c r="BF3657" s="78" t="n"/>
      <c r="BG3657" s="78" t="n"/>
      <c r="BH3657" s="78" t="n"/>
      <c r="BI3657" s="78" t="n"/>
      <c r="BJ3657" s="139" t="n"/>
      <c r="BK3657" s="204" t="n"/>
      <c r="BL3657" s="141" t="n"/>
      <c r="BM3657" s="205" t="n"/>
      <c r="BN3657" s="205" t="n"/>
      <c r="BO3657" s="206" t="n"/>
      <c r="BP3657" s="144" t="n"/>
      <c r="BQ3657" s="141" t="n"/>
      <c r="BR3657" s="207" t="n"/>
      <c r="BS3657" s="207" t="n"/>
      <c r="BT3657" s="207" t="n"/>
      <c r="BU3657" s="207" t="n"/>
      <c r="BV3657" s="208" t="n"/>
      <c r="BW3657" s="207" t="n"/>
      <c r="BX3657" s="207" t="n"/>
      <c r="BY3657" s="204" t="n"/>
      <c r="BZ3657" s="148" t="n"/>
      <c r="CA3657" s="204" t="n"/>
      <c r="CB3657" s="208" t="n"/>
      <c r="CC3657" s="139" t="n"/>
      <c r="CD3657" s="204" t="n"/>
      <c r="CE3657" s="204" t="n"/>
      <c r="CF3657" s="207" t="n"/>
      <c r="CG3657" s="208" t="n"/>
      <c r="CH3657" s="207" t="n"/>
      <c r="CI3657" s="208" t="n"/>
      <c r="CJ3657" s="204" t="n"/>
      <c r="CK3657" s="208" t="n"/>
      <c r="CL3657" s="208" t="n"/>
      <c r="CM3657" s="208" t="n"/>
      <c r="CN3657" s="78" t="n"/>
      <c r="CO3657" s="209" t="n"/>
      <c r="CP3657" s="204" t="n"/>
      <c r="CQ3657" s="204" t="n"/>
      <c r="CR3657" s="204" t="n"/>
      <c r="CS3657" s="204" t="n"/>
      <c r="CT3657" s="204" t="n"/>
      <c r="CU3657" s="204" t="n"/>
      <c r="CV3657" s="204" t="n"/>
      <c r="CW3657" s="204" t="n"/>
    </row>
    <row r="3658">
      <c r="BF3658" s="78" t="n"/>
      <c r="BG3658" s="78" t="n"/>
      <c r="BH3658" s="78" t="n"/>
      <c r="BI3658" s="78" t="n"/>
      <c r="BJ3658" s="139" t="n"/>
      <c r="BK3658" s="204" t="n"/>
      <c r="BL3658" s="141" t="n"/>
      <c r="BM3658" s="205" t="n"/>
      <c r="BN3658" s="205" t="n"/>
      <c r="BO3658" s="206" t="n"/>
      <c r="BP3658" s="144" t="n"/>
      <c r="BQ3658" s="141" t="n"/>
      <c r="BR3658" s="207" t="n"/>
      <c r="BS3658" s="207" t="n"/>
      <c r="BT3658" s="207" t="n"/>
      <c r="BU3658" s="207" t="n"/>
      <c r="BV3658" s="208" t="n"/>
      <c r="BW3658" s="207" t="n"/>
      <c r="BX3658" s="207" t="n"/>
      <c r="BY3658" s="204" t="n"/>
      <c r="BZ3658" s="148" t="n"/>
      <c r="CA3658" s="204" t="n"/>
      <c r="CB3658" s="208" t="n"/>
      <c r="CC3658" s="139" t="n"/>
      <c r="CD3658" s="204" t="n"/>
      <c r="CE3658" s="204" t="n"/>
      <c r="CF3658" s="207" t="n"/>
      <c r="CG3658" s="208" t="n"/>
      <c r="CH3658" s="207" t="n"/>
      <c r="CI3658" s="208" t="n"/>
      <c r="CJ3658" s="204" t="n"/>
      <c r="CK3658" s="208" t="n"/>
      <c r="CL3658" s="208" t="n"/>
      <c r="CM3658" s="208" t="n"/>
      <c r="CN3658" s="78" t="n"/>
      <c r="CO3658" s="209" t="n"/>
      <c r="CP3658" s="204" t="n"/>
      <c r="CQ3658" s="204" t="n"/>
      <c r="CR3658" s="204" t="n"/>
      <c r="CS3658" s="204" t="n"/>
      <c r="CT3658" s="204" t="n"/>
      <c r="CU3658" s="204" t="n"/>
      <c r="CV3658" s="204" t="n"/>
      <c r="CW3658" s="204" t="n"/>
    </row>
    <row r="3659">
      <c r="BF3659" s="78" t="n"/>
      <c r="BG3659" s="78" t="n"/>
      <c r="BH3659" s="78" t="n"/>
      <c r="BI3659" s="78" t="n"/>
      <c r="BJ3659" s="139" t="n"/>
      <c r="BK3659" s="204" t="n"/>
      <c r="BL3659" s="141" t="n"/>
      <c r="BM3659" s="205" t="n"/>
      <c r="BN3659" s="205" t="n"/>
      <c r="BO3659" s="206" t="n"/>
      <c r="BP3659" s="144" t="n"/>
      <c r="BQ3659" s="141" t="n"/>
      <c r="BR3659" s="207" t="n"/>
      <c r="BS3659" s="207" t="n"/>
      <c r="BT3659" s="207" t="n"/>
      <c r="BU3659" s="207" t="n"/>
      <c r="BV3659" s="208" t="n"/>
      <c r="BW3659" s="207" t="n"/>
      <c r="BX3659" s="207" t="n"/>
      <c r="BY3659" s="204" t="n"/>
      <c r="BZ3659" s="148" t="n"/>
      <c r="CA3659" s="204" t="n"/>
      <c r="CB3659" s="208" t="n"/>
      <c r="CC3659" s="139" t="n"/>
      <c r="CD3659" s="204" t="n"/>
      <c r="CE3659" s="204" t="n"/>
      <c r="CF3659" s="207" t="n"/>
      <c r="CG3659" s="208" t="n"/>
      <c r="CH3659" s="207" t="n"/>
      <c r="CI3659" s="208" t="n"/>
      <c r="CJ3659" s="204" t="n"/>
      <c r="CK3659" s="208" t="n"/>
      <c r="CL3659" s="208" t="n"/>
      <c r="CM3659" s="208" t="n"/>
      <c r="CN3659" s="78" t="n"/>
      <c r="CO3659" s="209" t="n"/>
      <c r="CP3659" s="204" t="n"/>
      <c r="CQ3659" s="204" t="n"/>
      <c r="CR3659" s="204" t="n"/>
      <c r="CS3659" s="204" t="n"/>
      <c r="CT3659" s="204" t="n"/>
      <c r="CU3659" s="204" t="n"/>
      <c r="CV3659" s="204" t="n"/>
      <c r="CW3659" s="204" t="n"/>
    </row>
    <row r="3660">
      <c r="BF3660" s="78" t="n"/>
      <c r="BG3660" s="78" t="n"/>
      <c r="BH3660" s="78" t="n"/>
      <c r="BI3660" s="78" t="n"/>
      <c r="BJ3660" s="139" t="n"/>
      <c r="BK3660" s="204" t="n"/>
      <c r="BL3660" s="141" t="n"/>
      <c r="BM3660" s="205" t="n"/>
      <c r="BN3660" s="205" t="n"/>
      <c r="BO3660" s="206" t="n"/>
      <c r="BP3660" s="144" t="n"/>
      <c r="BQ3660" s="141" t="n"/>
      <c r="BR3660" s="207" t="n"/>
      <c r="BS3660" s="207" t="n"/>
      <c r="BT3660" s="207" t="n"/>
      <c r="BU3660" s="207" t="n"/>
      <c r="BV3660" s="208" t="n"/>
      <c r="BW3660" s="207" t="n"/>
      <c r="BX3660" s="207" t="n"/>
      <c r="BY3660" s="204" t="n"/>
      <c r="BZ3660" s="148" t="n"/>
      <c r="CA3660" s="204" t="n"/>
      <c r="CB3660" s="208" t="n"/>
      <c r="CC3660" s="139" t="n"/>
      <c r="CD3660" s="204" t="n"/>
      <c r="CE3660" s="204" t="n"/>
      <c r="CF3660" s="207" t="n"/>
      <c r="CG3660" s="208" t="n"/>
      <c r="CH3660" s="207" t="n"/>
      <c r="CI3660" s="208" t="n"/>
      <c r="CJ3660" s="204" t="n"/>
      <c r="CK3660" s="208" t="n"/>
      <c r="CL3660" s="208" t="n"/>
      <c r="CM3660" s="208" t="n"/>
      <c r="CN3660" s="78" t="n"/>
      <c r="CO3660" s="209" t="n"/>
      <c r="CP3660" s="204" t="n"/>
      <c r="CQ3660" s="204" t="n"/>
      <c r="CR3660" s="204" t="n"/>
      <c r="CS3660" s="204" t="n"/>
      <c r="CT3660" s="204" t="n"/>
      <c r="CU3660" s="204" t="n"/>
      <c r="CV3660" s="204" t="n"/>
      <c r="CW3660" s="204" t="n"/>
    </row>
    <row r="3661">
      <c r="BF3661" s="78" t="n"/>
      <c r="BG3661" s="78" t="n"/>
      <c r="BH3661" s="78" t="n"/>
      <c r="BI3661" s="78" t="n"/>
      <c r="BJ3661" s="139" t="n"/>
      <c r="BK3661" s="204" t="n"/>
      <c r="BL3661" s="141" t="n"/>
      <c r="BM3661" s="205" t="n"/>
      <c r="BN3661" s="205" t="n"/>
      <c r="BO3661" s="206" t="n"/>
      <c r="BP3661" s="144" t="n"/>
      <c r="BQ3661" s="141" t="n"/>
      <c r="BR3661" s="207" t="n"/>
      <c r="BS3661" s="207" t="n"/>
      <c r="BT3661" s="207" t="n"/>
      <c r="BU3661" s="207" t="n"/>
      <c r="BV3661" s="208" t="n"/>
      <c r="BW3661" s="207" t="n"/>
      <c r="BX3661" s="207" t="n"/>
      <c r="BY3661" s="204" t="n"/>
      <c r="BZ3661" s="148" t="n"/>
      <c r="CA3661" s="204" t="n"/>
      <c r="CB3661" s="208" t="n"/>
      <c r="CC3661" s="139" t="n"/>
      <c r="CD3661" s="204" t="n"/>
      <c r="CE3661" s="204" t="n"/>
      <c r="CF3661" s="207" t="n"/>
      <c r="CG3661" s="208" t="n"/>
      <c r="CH3661" s="207" t="n"/>
      <c r="CI3661" s="208" t="n"/>
      <c r="CJ3661" s="204" t="n"/>
      <c r="CK3661" s="208" t="n"/>
      <c r="CL3661" s="208" t="n"/>
      <c r="CM3661" s="208" t="n"/>
      <c r="CN3661" s="78" t="n"/>
      <c r="CO3661" s="209" t="n"/>
      <c r="CP3661" s="204" t="n"/>
      <c r="CQ3661" s="204" t="n"/>
      <c r="CR3661" s="204" t="n"/>
      <c r="CS3661" s="204" t="n"/>
      <c r="CT3661" s="204" t="n"/>
      <c r="CU3661" s="204" t="n"/>
      <c r="CV3661" s="204" t="n"/>
      <c r="CW3661" s="204" t="n"/>
    </row>
    <row r="3662">
      <c r="BF3662" s="78" t="n"/>
      <c r="BG3662" s="78" t="n"/>
      <c r="BH3662" s="78" t="n"/>
      <c r="BI3662" s="78" t="n"/>
      <c r="BJ3662" s="139" t="n"/>
      <c r="BK3662" s="204" t="n"/>
      <c r="BL3662" s="141" t="n"/>
      <c r="BM3662" s="205" t="n"/>
      <c r="BN3662" s="205" t="n"/>
      <c r="BO3662" s="206" t="n"/>
      <c r="BP3662" s="144" t="n"/>
      <c r="BQ3662" s="141" t="n"/>
      <c r="BR3662" s="207" t="n"/>
      <c r="BS3662" s="207" t="n"/>
      <c r="BT3662" s="207" t="n"/>
      <c r="BU3662" s="207" t="n"/>
      <c r="BV3662" s="208" t="n"/>
      <c r="BW3662" s="207" t="n"/>
      <c r="BX3662" s="207" t="n"/>
      <c r="BY3662" s="204" t="n"/>
      <c r="BZ3662" s="148" t="n"/>
      <c r="CA3662" s="204" t="n"/>
      <c r="CB3662" s="208" t="n"/>
      <c r="CC3662" s="139" t="n"/>
      <c r="CD3662" s="204" t="n"/>
      <c r="CE3662" s="204" t="n"/>
      <c r="CF3662" s="207" t="n"/>
      <c r="CG3662" s="208" t="n"/>
      <c r="CH3662" s="207" t="n"/>
      <c r="CI3662" s="208" t="n"/>
      <c r="CJ3662" s="204" t="n"/>
      <c r="CK3662" s="208" t="n"/>
      <c r="CL3662" s="208" t="n"/>
      <c r="CM3662" s="208" t="n"/>
      <c r="CN3662" s="78" t="n"/>
      <c r="CO3662" s="209" t="n"/>
      <c r="CP3662" s="204" t="n"/>
      <c r="CQ3662" s="204" t="n"/>
      <c r="CR3662" s="204" t="n"/>
      <c r="CS3662" s="204" t="n"/>
      <c r="CT3662" s="204" t="n"/>
      <c r="CU3662" s="204" t="n"/>
      <c r="CV3662" s="204" t="n"/>
      <c r="CW3662" s="204" t="n"/>
    </row>
    <row r="3663">
      <c r="BF3663" s="78" t="n"/>
      <c r="BG3663" s="78" t="n"/>
      <c r="BH3663" s="78" t="n"/>
      <c r="BI3663" s="78" t="n"/>
      <c r="BJ3663" s="139" t="n"/>
      <c r="BK3663" s="204" t="n"/>
      <c r="BL3663" s="141" t="n"/>
      <c r="BM3663" s="205" t="n"/>
      <c r="BN3663" s="205" t="n"/>
      <c r="BO3663" s="206" t="n"/>
      <c r="BP3663" s="144" t="n"/>
      <c r="BQ3663" s="141" t="n"/>
      <c r="BR3663" s="207" t="n"/>
      <c r="BS3663" s="207" t="n"/>
      <c r="BT3663" s="207" t="n"/>
      <c r="BU3663" s="207" t="n"/>
      <c r="BV3663" s="208" t="n"/>
      <c r="BW3663" s="207" t="n"/>
      <c r="BX3663" s="207" t="n"/>
      <c r="BY3663" s="204" t="n"/>
      <c r="BZ3663" s="148" t="n"/>
      <c r="CA3663" s="204" t="n"/>
      <c r="CB3663" s="208" t="n"/>
      <c r="CC3663" s="139" t="n"/>
      <c r="CD3663" s="204" t="n"/>
      <c r="CE3663" s="204" t="n"/>
      <c r="CF3663" s="207" t="n"/>
      <c r="CG3663" s="208" t="n"/>
      <c r="CH3663" s="207" t="n"/>
      <c r="CI3663" s="208" t="n"/>
      <c r="CJ3663" s="204" t="n"/>
      <c r="CK3663" s="208" t="n"/>
      <c r="CL3663" s="208" t="n"/>
      <c r="CM3663" s="208" t="n"/>
      <c r="CN3663" s="78" t="n"/>
      <c r="CO3663" s="209" t="n"/>
      <c r="CP3663" s="204" t="n"/>
      <c r="CQ3663" s="204" t="n"/>
      <c r="CR3663" s="204" t="n"/>
      <c r="CS3663" s="204" t="n"/>
      <c r="CT3663" s="204" t="n"/>
      <c r="CU3663" s="204" t="n"/>
      <c r="CV3663" s="204" t="n"/>
      <c r="CW3663" s="204" t="n"/>
    </row>
    <row r="3664">
      <c r="BF3664" s="78" t="n"/>
      <c r="BG3664" s="78" t="n"/>
      <c r="BH3664" s="78" t="n"/>
      <c r="BI3664" s="78" t="n"/>
      <c r="BJ3664" s="139" t="n"/>
      <c r="BK3664" s="204" t="n"/>
      <c r="BL3664" s="141" t="n"/>
      <c r="BM3664" s="205" t="n"/>
      <c r="BN3664" s="205" t="n"/>
      <c r="BO3664" s="206" t="n"/>
      <c r="BP3664" s="144" t="n"/>
      <c r="BQ3664" s="141" t="n"/>
      <c r="BR3664" s="207" t="n"/>
      <c r="BS3664" s="207" t="n"/>
      <c r="BT3664" s="207" t="n"/>
      <c r="BU3664" s="207" t="n"/>
      <c r="BV3664" s="208" t="n"/>
      <c r="BW3664" s="207" t="n"/>
      <c r="BX3664" s="207" t="n"/>
      <c r="BY3664" s="204" t="n"/>
      <c r="BZ3664" s="148" t="n"/>
      <c r="CA3664" s="204" t="n"/>
      <c r="CB3664" s="208" t="n"/>
      <c r="CC3664" s="139" t="n"/>
      <c r="CD3664" s="204" t="n"/>
      <c r="CE3664" s="204" t="n"/>
      <c r="CF3664" s="207" t="n"/>
      <c r="CG3664" s="208" t="n"/>
      <c r="CH3664" s="207" t="n"/>
      <c r="CI3664" s="208" t="n"/>
      <c r="CJ3664" s="204" t="n"/>
      <c r="CK3664" s="208" t="n"/>
      <c r="CL3664" s="208" t="n"/>
      <c r="CM3664" s="208" t="n"/>
      <c r="CN3664" s="78" t="n"/>
      <c r="CO3664" s="209" t="n"/>
      <c r="CP3664" s="204" t="n"/>
      <c r="CQ3664" s="204" t="n"/>
      <c r="CR3664" s="204" t="n"/>
      <c r="CS3664" s="204" t="n"/>
      <c r="CT3664" s="204" t="n"/>
      <c r="CU3664" s="204" t="n"/>
      <c r="CV3664" s="204" t="n"/>
      <c r="CW3664" s="204" t="n"/>
    </row>
    <row r="3665">
      <c r="BF3665" s="78" t="n"/>
      <c r="BG3665" s="78" t="n"/>
      <c r="BH3665" s="78" t="n"/>
      <c r="BI3665" s="78" t="n"/>
      <c r="BJ3665" s="139" t="n"/>
      <c r="BK3665" s="204" t="n"/>
      <c r="BL3665" s="141" t="n"/>
      <c r="BM3665" s="205" t="n"/>
      <c r="BN3665" s="205" t="n"/>
      <c r="BO3665" s="206" t="n"/>
      <c r="BP3665" s="144" t="n"/>
      <c r="BQ3665" s="141" t="n"/>
      <c r="BR3665" s="207" t="n"/>
      <c r="BS3665" s="207" t="n"/>
      <c r="BT3665" s="207" t="n"/>
      <c r="BU3665" s="207" t="n"/>
      <c r="BV3665" s="208" t="n"/>
      <c r="BW3665" s="207" t="n"/>
      <c r="BX3665" s="207" t="n"/>
      <c r="BY3665" s="204" t="n"/>
      <c r="BZ3665" s="148" t="n"/>
      <c r="CA3665" s="204" t="n"/>
      <c r="CB3665" s="208" t="n"/>
      <c r="CC3665" s="139" t="n"/>
      <c r="CD3665" s="204" t="n"/>
      <c r="CE3665" s="204" t="n"/>
      <c r="CF3665" s="207" t="n"/>
      <c r="CG3665" s="208" t="n"/>
      <c r="CH3665" s="207" t="n"/>
      <c r="CI3665" s="208" t="n"/>
      <c r="CJ3665" s="204" t="n"/>
      <c r="CK3665" s="208" t="n"/>
      <c r="CL3665" s="208" t="n"/>
      <c r="CM3665" s="208" t="n"/>
      <c r="CN3665" s="78" t="n"/>
      <c r="CO3665" s="209" t="n"/>
      <c r="CP3665" s="204" t="n"/>
      <c r="CQ3665" s="204" t="n"/>
      <c r="CR3665" s="204" t="n"/>
      <c r="CS3665" s="204" t="n"/>
      <c r="CT3665" s="204" t="n"/>
      <c r="CU3665" s="204" t="n"/>
      <c r="CV3665" s="204" t="n"/>
      <c r="CW3665" s="204" t="n"/>
    </row>
    <row r="3666">
      <c r="BF3666" s="78" t="n"/>
      <c r="BG3666" s="78" t="n"/>
      <c r="BH3666" s="78" t="n"/>
      <c r="BI3666" s="78" t="n"/>
      <c r="BJ3666" s="139" t="n"/>
      <c r="BK3666" s="204" t="n"/>
      <c r="BL3666" s="141" t="n"/>
      <c r="BM3666" s="205" t="n"/>
      <c r="BN3666" s="205" t="n"/>
      <c r="BO3666" s="206" t="n"/>
      <c r="BP3666" s="144" t="n"/>
      <c r="BQ3666" s="141" t="n"/>
      <c r="BR3666" s="207" t="n"/>
      <c r="BS3666" s="207" t="n"/>
      <c r="BT3666" s="207" t="n"/>
      <c r="BU3666" s="207" t="n"/>
      <c r="BV3666" s="208" t="n"/>
      <c r="BW3666" s="207" t="n"/>
      <c r="BX3666" s="207" t="n"/>
      <c r="BY3666" s="204" t="n"/>
      <c r="BZ3666" s="148" t="n"/>
      <c r="CA3666" s="204" t="n"/>
      <c r="CB3666" s="208" t="n"/>
      <c r="CC3666" s="139" t="n"/>
      <c r="CD3666" s="204" t="n"/>
      <c r="CE3666" s="204" t="n"/>
      <c r="CF3666" s="207" t="n"/>
      <c r="CG3666" s="208" t="n"/>
      <c r="CH3666" s="207" t="n"/>
      <c r="CI3666" s="208" t="n"/>
      <c r="CJ3666" s="204" t="n"/>
      <c r="CK3666" s="208" t="n"/>
      <c r="CL3666" s="208" t="n"/>
      <c r="CM3666" s="208" t="n"/>
      <c r="CN3666" s="78" t="n"/>
      <c r="CO3666" s="209" t="n"/>
      <c r="CP3666" s="204" t="n"/>
      <c r="CQ3666" s="204" t="n"/>
      <c r="CR3666" s="204" t="n"/>
      <c r="CS3666" s="204" t="n"/>
      <c r="CT3666" s="204" t="n"/>
      <c r="CU3666" s="204" t="n"/>
      <c r="CV3666" s="204" t="n"/>
      <c r="CW3666" s="204" t="n"/>
    </row>
    <row r="3667">
      <c r="BF3667" s="78" t="n"/>
      <c r="BG3667" s="78" t="n"/>
      <c r="BH3667" s="78" t="n"/>
      <c r="BI3667" s="78" t="n"/>
      <c r="BJ3667" s="139" t="n"/>
      <c r="BK3667" s="204" t="n"/>
      <c r="BL3667" s="141" t="n"/>
      <c r="BM3667" s="205" t="n"/>
      <c r="BN3667" s="205" t="n"/>
      <c r="BO3667" s="206" t="n"/>
      <c r="BP3667" s="144" t="n"/>
      <c r="BQ3667" s="141" t="n"/>
      <c r="BR3667" s="207" t="n"/>
      <c r="BS3667" s="207" t="n"/>
      <c r="BT3667" s="207" t="n"/>
      <c r="BU3667" s="207" t="n"/>
      <c r="BV3667" s="208" t="n"/>
      <c r="BW3667" s="207" t="n"/>
      <c r="BX3667" s="207" t="n"/>
      <c r="BY3667" s="204" t="n"/>
      <c r="BZ3667" s="148" t="n"/>
      <c r="CA3667" s="204" t="n"/>
      <c r="CB3667" s="208" t="n"/>
      <c r="CC3667" s="139" t="n"/>
      <c r="CD3667" s="204" t="n"/>
      <c r="CE3667" s="204" t="n"/>
      <c r="CF3667" s="207" t="n"/>
      <c r="CG3667" s="208" t="n"/>
      <c r="CH3667" s="207" t="n"/>
      <c r="CI3667" s="208" t="n"/>
      <c r="CJ3667" s="204" t="n"/>
      <c r="CK3667" s="208" t="n"/>
      <c r="CL3667" s="208" t="n"/>
      <c r="CM3667" s="208" t="n"/>
      <c r="CN3667" s="78" t="n"/>
      <c r="CO3667" s="209" t="n"/>
      <c r="CP3667" s="204" t="n"/>
      <c r="CQ3667" s="204" t="n"/>
      <c r="CR3667" s="204" t="n"/>
      <c r="CS3667" s="204" t="n"/>
      <c r="CT3667" s="204" t="n"/>
      <c r="CU3667" s="204" t="n"/>
      <c r="CV3667" s="204" t="n"/>
      <c r="CW3667" s="204" t="n"/>
    </row>
    <row r="3668">
      <c r="BF3668" s="78" t="n"/>
      <c r="BG3668" s="78" t="n"/>
      <c r="BH3668" s="78" t="n"/>
      <c r="BI3668" s="78" t="n"/>
      <c r="BJ3668" s="139" t="n"/>
      <c r="BK3668" s="204" t="n"/>
      <c r="BL3668" s="141" t="n"/>
      <c r="BM3668" s="205" t="n"/>
      <c r="BN3668" s="205" t="n"/>
      <c r="BO3668" s="206" t="n"/>
      <c r="BP3668" s="144" t="n"/>
      <c r="BQ3668" s="141" t="n"/>
      <c r="BR3668" s="207" t="n"/>
      <c r="BS3668" s="207" t="n"/>
      <c r="BT3668" s="207" t="n"/>
      <c r="BU3668" s="207" t="n"/>
      <c r="BV3668" s="208" t="n"/>
      <c r="BW3668" s="207" t="n"/>
      <c r="BX3668" s="207" t="n"/>
      <c r="BY3668" s="204" t="n"/>
      <c r="BZ3668" s="148" t="n"/>
      <c r="CA3668" s="204" t="n"/>
      <c r="CB3668" s="208" t="n"/>
      <c r="CC3668" s="139" t="n"/>
      <c r="CD3668" s="204" t="n"/>
      <c r="CE3668" s="204" t="n"/>
      <c r="CF3668" s="207" t="n"/>
      <c r="CG3668" s="208" t="n"/>
      <c r="CH3668" s="207" t="n"/>
      <c r="CI3668" s="208" t="n"/>
      <c r="CJ3668" s="204" t="n"/>
      <c r="CK3668" s="208" t="n"/>
      <c r="CL3668" s="208" t="n"/>
      <c r="CM3668" s="208" t="n"/>
      <c r="CN3668" s="78" t="n"/>
      <c r="CO3668" s="209" t="n"/>
      <c r="CP3668" s="204" t="n"/>
      <c r="CQ3668" s="204" t="n"/>
      <c r="CR3668" s="204" t="n"/>
      <c r="CS3668" s="204" t="n"/>
      <c r="CT3668" s="204" t="n"/>
      <c r="CU3668" s="204" t="n"/>
      <c r="CV3668" s="204" t="n"/>
      <c r="CW3668" s="204" t="n"/>
    </row>
    <row r="3669">
      <c r="BF3669" s="78" t="n"/>
      <c r="BG3669" s="78" t="n"/>
      <c r="BH3669" s="78" t="n"/>
      <c r="BI3669" s="78" t="n"/>
      <c r="BJ3669" s="139" t="n"/>
      <c r="BK3669" s="204" t="n"/>
      <c r="BL3669" s="141" t="n"/>
      <c r="BM3669" s="205" t="n"/>
      <c r="BN3669" s="205" t="n"/>
      <c r="BO3669" s="206" t="n"/>
      <c r="BP3669" s="144" t="n"/>
      <c r="BQ3669" s="141" t="n"/>
      <c r="BR3669" s="207" t="n"/>
      <c r="BS3669" s="207" t="n"/>
      <c r="BT3669" s="207" t="n"/>
      <c r="BU3669" s="207" t="n"/>
      <c r="BV3669" s="208" t="n"/>
      <c r="BW3669" s="207" t="n"/>
      <c r="BX3669" s="207" t="n"/>
      <c r="BY3669" s="204" t="n"/>
      <c r="BZ3669" s="148" t="n"/>
      <c r="CA3669" s="204" t="n"/>
      <c r="CB3669" s="208" t="n"/>
      <c r="CC3669" s="139" t="n"/>
      <c r="CD3669" s="204" t="n"/>
      <c r="CE3669" s="204" t="n"/>
      <c r="CF3669" s="207" t="n"/>
      <c r="CG3669" s="208" t="n"/>
      <c r="CH3669" s="207" t="n"/>
      <c r="CI3669" s="208" t="n"/>
      <c r="CJ3669" s="204" t="n"/>
      <c r="CK3669" s="208" t="n"/>
      <c r="CL3669" s="208" t="n"/>
      <c r="CM3669" s="208" t="n"/>
      <c r="CN3669" s="78" t="n"/>
      <c r="CO3669" s="209" t="n"/>
      <c r="CP3669" s="204" t="n"/>
      <c r="CQ3669" s="204" t="n"/>
      <c r="CR3669" s="204" t="n"/>
      <c r="CS3669" s="204" t="n"/>
      <c r="CT3669" s="204" t="n"/>
      <c r="CU3669" s="204" t="n"/>
      <c r="CV3669" s="204" t="n"/>
      <c r="CW3669" s="204" t="n"/>
    </row>
    <row r="3670">
      <c r="BF3670" s="78" t="n"/>
      <c r="BG3670" s="78" t="n"/>
      <c r="BH3670" s="78" t="n"/>
      <c r="BI3670" s="78" t="n"/>
      <c r="BJ3670" s="139" t="n"/>
      <c r="BK3670" s="204" t="n"/>
      <c r="BL3670" s="141" t="n"/>
      <c r="BM3670" s="205" t="n"/>
      <c r="BN3670" s="205" t="n"/>
      <c r="BO3670" s="206" t="n"/>
      <c r="BP3670" s="144" t="n"/>
      <c r="BQ3670" s="141" t="n"/>
      <c r="BR3670" s="207" t="n"/>
      <c r="BS3670" s="207" t="n"/>
      <c r="BT3670" s="207" t="n"/>
      <c r="BU3670" s="207" t="n"/>
      <c r="BV3670" s="208" t="n"/>
      <c r="BW3670" s="207" t="n"/>
      <c r="BX3670" s="207" t="n"/>
      <c r="BY3670" s="204" t="n"/>
      <c r="BZ3670" s="148" t="n"/>
      <c r="CA3670" s="204" t="n"/>
      <c r="CB3670" s="208" t="n"/>
      <c r="CC3670" s="139" t="n"/>
      <c r="CD3670" s="204" t="n"/>
      <c r="CE3670" s="204" t="n"/>
      <c r="CF3670" s="207" t="n"/>
      <c r="CG3670" s="208" t="n"/>
      <c r="CH3670" s="207" t="n"/>
      <c r="CI3670" s="208" t="n"/>
      <c r="CJ3670" s="204" t="n"/>
      <c r="CK3670" s="208" t="n"/>
      <c r="CL3670" s="208" t="n"/>
      <c r="CM3670" s="208" t="n"/>
      <c r="CN3670" s="78" t="n"/>
      <c r="CO3670" s="209" t="n"/>
      <c r="CP3670" s="204" t="n"/>
      <c r="CQ3670" s="204" t="n"/>
      <c r="CR3670" s="204" t="n"/>
      <c r="CS3670" s="204" t="n"/>
      <c r="CT3670" s="204" t="n"/>
      <c r="CU3670" s="204" t="n"/>
      <c r="CV3670" s="204" t="n"/>
      <c r="CW3670" s="204" t="n"/>
    </row>
    <row r="3671">
      <c r="BF3671" s="78" t="n"/>
      <c r="BG3671" s="78" t="n"/>
      <c r="BH3671" s="78" t="n"/>
      <c r="BI3671" s="78" t="n"/>
      <c r="BJ3671" s="139" t="n"/>
      <c r="BK3671" s="204" t="n"/>
      <c r="BL3671" s="141" t="n"/>
      <c r="BM3671" s="205" t="n"/>
      <c r="BN3671" s="205" t="n"/>
      <c r="BO3671" s="206" t="n"/>
      <c r="BP3671" s="144" t="n"/>
      <c r="BQ3671" s="141" t="n"/>
      <c r="BR3671" s="207" t="n"/>
      <c r="BS3671" s="207" t="n"/>
      <c r="BT3671" s="207" t="n"/>
      <c r="BU3671" s="207" t="n"/>
      <c r="BV3671" s="208" t="n"/>
      <c r="BW3671" s="207" t="n"/>
      <c r="BX3671" s="207" t="n"/>
      <c r="BY3671" s="204" t="n"/>
      <c r="BZ3671" s="148" t="n"/>
      <c r="CA3671" s="204" t="n"/>
      <c r="CB3671" s="208" t="n"/>
      <c r="CC3671" s="139" t="n"/>
      <c r="CD3671" s="204" t="n"/>
      <c r="CE3671" s="204" t="n"/>
      <c r="CF3671" s="207" t="n"/>
      <c r="CG3671" s="208" t="n"/>
      <c r="CH3671" s="207" t="n"/>
      <c r="CI3671" s="208" t="n"/>
      <c r="CJ3671" s="204" t="n"/>
      <c r="CK3671" s="208" t="n"/>
      <c r="CL3671" s="208" t="n"/>
      <c r="CM3671" s="208" t="n"/>
      <c r="CN3671" s="78" t="n"/>
      <c r="CO3671" s="209" t="n"/>
      <c r="CP3671" s="204" t="n"/>
      <c r="CQ3671" s="204" t="n"/>
      <c r="CR3671" s="204" t="n"/>
      <c r="CS3671" s="204" t="n"/>
      <c r="CT3671" s="204" t="n"/>
      <c r="CU3671" s="204" t="n"/>
      <c r="CV3671" s="204" t="n"/>
      <c r="CW3671" s="204" t="n"/>
    </row>
    <row r="3672">
      <c r="BF3672" s="78" t="n"/>
      <c r="BG3672" s="78" t="n"/>
      <c r="BH3672" s="78" t="n"/>
      <c r="BI3672" s="78" t="n"/>
      <c r="BJ3672" s="139" t="n"/>
      <c r="BK3672" s="204" t="n"/>
      <c r="BL3672" s="141" t="n"/>
      <c r="BM3672" s="205" t="n"/>
      <c r="BN3672" s="205" t="n"/>
      <c r="BO3672" s="206" t="n"/>
      <c r="BP3672" s="144" t="n"/>
      <c r="BQ3672" s="141" t="n"/>
      <c r="BR3672" s="207" t="n"/>
      <c r="BS3672" s="207" t="n"/>
      <c r="BT3672" s="207" t="n"/>
      <c r="BU3672" s="207" t="n"/>
      <c r="BV3672" s="208" t="n"/>
      <c r="BW3672" s="207" t="n"/>
      <c r="BX3672" s="207" t="n"/>
      <c r="BY3672" s="204" t="n"/>
      <c r="BZ3672" s="148" t="n"/>
      <c r="CA3672" s="204" t="n"/>
      <c r="CB3672" s="208" t="n"/>
      <c r="CC3672" s="139" t="n"/>
      <c r="CD3672" s="204" t="n"/>
      <c r="CE3672" s="204" t="n"/>
      <c r="CF3672" s="207" t="n"/>
      <c r="CG3672" s="208" t="n"/>
      <c r="CH3672" s="207" t="n"/>
      <c r="CI3672" s="208" t="n"/>
      <c r="CJ3672" s="204" t="n"/>
      <c r="CK3672" s="208" t="n"/>
      <c r="CL3672" s="208" t="n"/>
      <c r="CM3672" s="208" t="n"/>
      <c r="CN3672" s="78" t="n"/>
      <c r="CO3672" s="209" t="n"/>
      <c r="CP3672" s="204" t="n"/>
      <c r="CQ3672" s="204" t="n"/>
      <c r="CR3672" s="204" t="n"/>
      <c r="CS3672" s="204" t="n"/>
      <c r="CT3672" s="204" t="n"/>
      <c r="CU3672" s="204" t="n"/>
      <c r="CV3672" s="204" t="n"/>
      <c r="CW3672" s="204" t="n"/>
    </row>
    <row r="3673">
      <c r="BF3673" s="78" t="n"/>
      <c r="BG3673" s="78" t="n"/>
      <c r="BH3673" s="78" t="n"/>
      <c r="BI3673" s="78" t="n"/>
      <c r="BJ3673" s="139" t="n"/>
      <c r="BK3673" s="204" t="n"/>
      <c r="BL3673" s="141" t="n"/>
      <c r="BM3673" s="205" t="n"/>
      <c r="BN3673" s="205" t="n"/>
      <c r="BO3673" s="206" t="n"/>
      <c r="BP3673" s="144" t="n"/>
      <c r="BQ3673" s="141" t="n"/>
      <c r="BR3673" s="207" t="n"/>
      <c r="BS3673" s="207" t="n"/>
      <c r="BT3673" s="207" t="n"/>
      <c r="BU3673" s="207" t="n"/>
      <c r="BV3673" s="208" t="n"/>
      <c r="BW3673" s="207" t="n"/>
      <c r="BX3673" s="207" t="n"/>
      <c r="BY3673" s="204" t="n"/>
      <c r="BZ3673" s="148" t="n"/>
      <c r="CA3673" s="204" t="n"/>
      <c r="CB3673" s="208" t="n"/>
      <c r="CC3673" s="139" t="n"/>
      <c r="CD3673" s="204" t="n"/>
      <c r="CE3673" s="204" t="n"/>
      <c r="CF3673" s="207" t="n"/>
      <c r="CG3673" s="208" t="n"/>
      <c r="CH3673" s="207" t="n"/>
      <c r="CI3673" s="208" t="n"/>
      <c r="CJ3673" s="204" t="n"/>
      <c r="CK3673" s="208" t="n"/>
      <c r="CL3673" s="208" t="n"/>
      <c r="CM3673" s="208" t="n"/>
      <c r="CN3673" s="78" t="n"/>
      <c r="CO3673" s="209" t="n"/>
      <c r="CP3673" s="204" t="n"/>
      <c r="CQ3673" s="204" t="n"/>
      <c r="CR3673" s="204" t="n"/>
      <c r="CS3673" s="204" t="n"/>
      <c r="CT3673" s="204" t="n"/>
      <c r="CU3673" s="204" t="n"/>
      <c r="CV3673" s="204" t="n"/>
      <c r="CW3673" s="204" t="n"/>
    </row>
    <row r="3674">
      <c r="BF3674" s="78" t="n"/>
      <c r="BG3674" s="78" t="n"/>
      <c r="BH3674" s="78" t="n"/>
      <c r="BI3674" s="78" t="n"/>
      <c r="BJ3674" s="139" t="n"/>
      <c r="BK3674" s="204" t="n"/>
      <c r="BL3674" s="141" t="n"/>
      <c r="BM3674" s="205" t="n"/>
      <c r="BN3674" s="205" t="n"/>
      <c r="BO3674" s="206" t="n"/>
      <c r="BP3674" s="144" t="n"/>
      <c r="BQ3674" s="141" t="n"/>
      <c r="BR3674" s="207" t="n"/>
      <c r="BS3674" s="207" t="n"/>
      <c r="BT3674" s="207" t="n"/>
      <c r="BU3674" s="207" t="n"/>
      <c r="BV3674" s="208" t="n"/>
      <c r="BW3674" s="207" t="n"/>
      <c r="BX3674" s="207" t="n"/>
      <c r="BY3674" s="204" t="n"/>
      <c r="BZ3674" s="148" t="n"/>
      <c r="CA3674" s="204" t="n"/>
      <c r="CB3674" s="208" t="n"/>
      <c r="CC3674" s="139" t="n"/>
      <c r="CD3674" s="204" t="n"/>
      <c r="CE3674" s="204" t="n"/>
      <c r="CF3674" s="207" t="n"/>
      <c r="CG3674" s="208" t="n"/>
      <c r="CH3674" s="207" t="n"/>
      <c r="CI3674" s="208" t="n"/>
      <c r="CJ3674" s="204" t="n"/>
      <c r="CK3674" s="208" t="n"/>
      <c r="CL3674" s="208" t="n"/>
      <c r="CM3674" s="208" t="n"/>
      <c r="CN3674" s="78" t="n"/>
      <c r="CO3674" s="209" t="n"/>
      <c r="CP3674" s="204" t="n"/>
      <c r="CQ3674" s="204" t="n"/>
      <c r="CR3674" s="204" t="n"/>
      <c r="CS3674" s="204" t="n"/>
      <c r="CT3674" s="204" t="n"/>
      <c r="CU3674" s="204" t="n"/>
      <c r="CV3674" s="204" t="n"/>
      <c r="CW3674" s="204" t="n"/>
    </row>
    <row r="3675">
      <c r="BF3675" s="78" t="n"/>
      <c r="BG3675" s="78" t="n"/>
      <c r="BH3675" s="78" t="n"/>
      <c r="BI3675" s="78" t="n"/>
      <c r="BJ3675" s="139" t="n"/>
      <c r="BK3675" s="204" t="n"/>
      <c r="BL3675" s="141" t="n"/>
      <c r="BM3675" s="205" t="n"/>
      <c r="BN3675" s="205" t="n"/>
      <c r="BO3675" s="206" t="n"/>
      <c r="BP3675" s="144" t="n"/>
      <c r="BQ3675" s="141" t="n"/>
      <c r="BR3675" s="207" t="n"/>
      <c r="BS3675" s="207" t="n"/>
      <c r="BT3675" s="207" t="n"/>
      <c r="BU3675" s="207" t="n"/>
      <c r="BV3675" s="208" t="n"/>
      <c r="BW3675" s="207" t="n"/>
      <c r="BX3675" s="207" t="n"/>
      <c r="BY3675" s="204" t="n"/>
      <c r="BZ3675" s="148" t="n"/>
      <c r="CA3675" s="204" t="n"/>
      <c r="CB3675" s="208" t="n"/>
      <c r="CC3675" s="139" t="n"/>
      <c r="CD3675" s="204" t="n"/>
      <c r="CE3675" s="204" t="n"/>
      <c r="CF3675" s="207" t="n"/>
      <c r="CG3675" s="208" t="n"/>
      <c r="CH3675" s="207" t="n"/>
      <c r="CI3675" s="208" t="n"/>
      <c r="CJ3675" s="204" t="n"/>
      <c r="CK3675" s="208" t="n"/>
      <c r="CL3675" s="208" t="n"/>
      <c r="CM3675" s="208" t="n"/>
      <c r="CN3675" s="78" t="n"/>
      <c r="CO3675" s="209" t="n"/>
      <c r="CP3675" s="204" t="n"/>
      <c r="CQ3675" s="204" t="n"/>
      <c r="CR3675" s="204" t="n"/>
      <c r="CS3675" s="204" t="n"/>
      <c r="CT3675" s="204" t="n"/>
      <c r="CU3675" s="204" t="n"/>
      <c r="CV3675" s="204" t="n"/>
      <c r="CW3675" s="204" t="n"/>
    </row>
    <row r="3676">
      <c r="BF3676" s="78" t="n"/>
      <c r="BG3676" s="78" t="n"/>
      <c r="BH3676" s="78" t="n"/>
      <c r="BI3676" s="78" t="n"/>
      <c r="BJ3676" s="139" t="n"/>
      <c r="BK3676" s="204" t="n"/>
      <c r="BL3676" s="141" t="n"/>
      <c r="BM3676" s="205" t="n"/>
      <c r="BN3676" s="205" t="n"/>
      <c r="BO3676" s="206" t="n"/>
      <c r="BP3676" s="144" t="n"/>
      <c r="BQ3676" s="141" t="n"/>
      <c r="BR3676" s="207" t="n"/>
      <c r="BS3676" s="207" t="n"/>
      <c r="BT3676" s="207" t="n"/>
      <c r="BU3676" s="207" t="n"/>
      <c r="BV3676" s="208" t="n"/>
      <c r="BW3676" s="207" t="n"/>
      <c r="BX3676" s="207" t="n"/>
      <c r="BY3676" s="204" t="n"/>
      <c r="BZ3676" s="148" t="n"/>
      <c r="CA3676" s="204" t="n"/>
      <c r="CB3676" s="208" t="n"/>
      <c r="CC3676" s="139" t="n"/>
      <c r="CD3676" s="204" t="n"/>
      <c r="CE3676" s="204" t="n"/>
      <c r="CF3676" s="207" t="n"/>
      <c r="CG3676" s="208" t="n"/>
      <c r="CH3676" s="207" t="n"/>
      <c r="CI3676" s="208" t="n"/>
      <c r="CJ3676" s="204" t="n"/>
      <c r="CK3676" s="208" t="n"/>
      <c r="CL3676" s="208" t="n"/>
      <c r="CM3676" s="208" t="n"/>
      <c r="CN3676" s="78" t="n"/>
      <c r="CO3676" s="209" t="n"/>
      <c r="CP3676" s="204" t="n"/>
      <c r="CQ3676" s="204" t="n"/>
      <c r="CR3676" s="204" t="n"/>
      <c r="CS3676" s="204" t="n"/>
      <c r="CT3676" s="204" t="n"/>
      <c r="CU3676" s="204" t="n"/>
      <c r="CV3676" s="204" t="n"/>
      <c r="CW3676" s="204" t="n"/>
    </row>
    <row r="3677">
      <c r="BF3677" s="78" t="n"/>
      <c r="BG3677" s="78" t="n"/>
      <c r="BH3677" s="78" t="n"/>
      <c r="BI3677" s="78" t="n"/>
      <c r="BJ3677" s="139" t="n"/>
      <c r="BK3677" s="204" t="n"/>
      <c r="BL3677" s="141" t="n"/>
      <c r="BM3677" s="205" t="n"/>
      <c r="BN3677" s="205" t="n"/>
      <c r="BO3677" s="206" t="n"/>
      <c r="BP3677" s="144" t="n"/>
      <c r="BQ3677" s="141" t="n"/>
      <c r="BR3677" s="207" t="n"/>
      <c r="BS3677" s="207" t="n"/>
      <c r="BT3677" s="207" t="n"/>
      <c r="BU3677" s="207" t="n"/>
      <c r="BV3677" s="208" t="n"/>
      <c r="BW3677" s="207" t="n"/>
      <c r="BX3677" s="207" t="n"/>
      <c r="BY3677" s="204" t="n"/>
      <c r="BZ3677" s="148" t="n"/>
      <c r="CA3677" s="204" t="n"/>
      <c r="CB3677" s="208" t="n"/>
      <c r="CC3677" s="139" t="n"/>
      <c r="CD3677" s="204" t="n"/>
      <c r="CE3677" s="204" t="n"/>
      <c r="CF3677" s="207" t="n"/>
      <c r="CG3677" s="208" t="n"/>
      <c r="CH3677" s="207" t="n"/>
      <c r="CI3677" s="208" t="n"/>
      <c r="CJ3677" s="204" t="n"/>
      <c r="CK3677" s="208" t="n"/>
      <c r="CL3677" s="208" t="n"/>
      <c r="CM3677" s="208" t="n"/>
      <c r="CN3677" s="78" t="n"/>
      <c r="CO3677" s="209" t="n"/>
      <c r="CP3677" s="204" t="n"/>
      <c r="CQ3677" s="204" t="n"/>
      <c r="CR3677" s="204" t="n"/>
      <c r="CS3677" s="204" t="n"/>
      <c r="CT3677" s="204" t="n"/>
      <c r="CU3677" s="204" t="n"/>
      <c r="CV3677" s="204" t="n"/>
      <c r="CW3677" s="204" t="n"/>
    </row>
    <row r="3678">
      <c r="BF3678" s="78" t="n"/>
      <c r="BG3678" s="78" t="n"/>
      <c r="BH3678" s="78" t="n"/>
      <c r="BI3678" s="78" t="n"/>
      <c r="BJ3678" s="139" t="n"/>
      <c r="BK3678" s="204" t="n"/>
      <c r="BL3678" s="141" t="n"/>
      <c r="BM3678" s="205" t="n"/>
      <c r="BN3678" s="205" t="n"/>
      <c r="BO3678" s="206" t="n"/>
      <c r="BP3678" s="144" t="n"/>
      <c r="BQ3678" s="141" t="n"/>
      <c r="BR3678" s="207" t="n"/>
      <c r="BS3678" s="207" t="n"/>
      <c r="BT3678" s="207" t="n"/>
      <c r="BU3678" s="207" t="n"/>
      <c r="BV3678" s="208" t="n"/>
      <c r="BW3678" s="207" t="n"/>
      <c r="BX3678" s="207" t="n"/>
      <c r="BY3678" s="204" t="n"/>
      <c r="BZ3678" s="148" t="n"/>
      <c r="CA3678" s="204" t="n"/>
      <c r="CB3678" s="208" t="n"/>
      <c r="CC3678" s="139" t="n"/>
      <c r="CD3678" s="204" t="n"/>
      <c r="CE3678" s="204" t="n"/>
      <c r="CF3678" s="207" t="n"/>
      <c r="CG3678" s="208" t="n"/>
      <c r="CH3678" s="207" t="n"/>
      <c r="CI3678" s="208" t="n"/>
      <c r="CJ3678" s="204" t="n"/>
      <c r="CK3678" s="208" t="n"/>
      <c r="CL3678" s="208" t="n"/>
      <c r="CM3678" s="208" t="n"/>
      <c r="CN3678" s="78" t="n"/>
      <c r="CO3678" s="209" t="n"/>
      <c r="CP3678" s="204" t="n"/>
      <c r="CQ3678" s="204" t="n"/>
      <c r="CR3678" s="204" t="n"/>
      <c r="CS3678" s="204" t="n"/>
      <c r="CT3678" s="204" t="n"/>
      <c r="CU3678" s="204" t="n"/>
      <c r="CV3678" s="204" t="n"/>
      <c r="CW3678" s="204" t="n"/>
    </row>
    <row r="3679">
      <c r="BF3679" s="78" t="n"/>
      <c r="BG3679" s="78" t="n"/>
      <c r="BH3679" s="78" t="n"/>
      <c r="BI3679" s="78" t="n"/>
      <c r="BJ3679" s="139" t="n"/>
      <c r="BK3679" s="204" t="n"/>
      <c r="BL3679" s="141" t="n"/>
      <c r="BM3679" s="205" t="n"/>
      <c r="BN3679" s="205" t="n"/>
      <c r="BO3679" s="206" t="n"/>
      <c r="BP3679" s="144" t="n"/>
      <c r="BQ3679" s="141" t="n"/>
      <c r="BR3679" s="207" t="n"/>
      <c r="BS3679" s="207" t="n"/>
      <c r="BT3679" s="207" t="n"/>
      <c r="BU3679" s="207" t="n"/>
      <c r="BV3679" s="208" t="n"/>
      <c r="BW3679" s="207" t="n"/>
      <c r="BX3679" s="207" t="n"/>
      <c r="BY3679" s="204" t="n"/>
      <c r="BZ3679" s="148" t="n"/>
      <c r="CA3679" s="204" t="n"/>
      <c r="CB3679" s="208" t="n"/>
      <c r="CC3679" s="139" t="n"/>
      <c r="CD3679" s="204" t="n"/>
      <c r="CE3679" s="204" t="n"/>
      <c r="CF3679" s="207" t="n"/>
      <c r="CG3679" s="208" t="n"/>
      <c r="CH3679" s="207" t="n"/>
      <c r="CI3679" s="208" t="n"/>
      <c r="CJ3679" s="204" t="n"/>
      <c r="CK3679" s="208" t="n"/>
      <c r="CL3679" s="208" t="n"/>
      <c r="CM3679" s="208" t="n"/>
      <c r="CN3679" s="78" t="n"/>
      <c r="CO3679" s="209" t="n"/>
      <c r="CP3679" s="204" t="n"/>
      <c r="CQ3679" s="204" t="n"/>
      <c r="CR3679" s="204" t="n"/>
      <c r="CS3679" s="204" t="n"/>
      <c r="CT3679" s="204" t="n"/>
      <c r="CU3679" s="204" t="n"/>
      <c r="CV3679" s="204" t="n"/>
      <c r="CW3679" s="204" t="n"/>
    </row>
    <row r="3680">
      <c r="BF3680" s="78" t="n"/>
      <c r="BG3680" s="78" t="n"/>
      <c r="BH3680" s="78" t="n"/>
      <c r="BI3680" s="78" t="n"/>
      <c r="BJ3680" s="139" t="n"/>
      <c r="BK3680" s="204" t="n"/>
      <c r="BL3680" s="141" t="n"/>
      <c r="BM3680" s="205" t="n"/>
      <c r="BN3680" s="205" t="n"/>
      <c r="BO3680" s="206" t="n"/>
      <c r="BP3680" s="144" t="n"/>
      <c r="BQ3680" s="141" t="n"/>
      <c r="BR3680" s="207" t="n"/>
      <c r="BS3680" s="207" t="n"/>
      <c r="BT3680" s="207" t="n"/>
      <c r="BU3680" s="207" t="n"/>
      <c r="BV3680" s="208" t="n"/>
      <c r="BW3680" s="207" t="n"/>
      <c r="BX3680" s="207" t="n"/>
      <c r="BY3680" s="204" t="n"/>
      <c r="BZ3680" s="148" t="n"/>
      <c r="CA3680" s="204" t="n"/>
      <c r="CB3680" s="208" t="n"/>
      <c r="CC3680" s="139" t="n"/>
      <c r="CD3680" s="204" t="n"/>
      <c r="CE3680" s="204" t="n"/>
      <c r="CF3680" s="207" t="n"/>
      <c r="CG3680" s="208" t="n"/>
      <c r="CH3680" s="207" t="n"/>
      <c r="CI3680" s="208" t="n"/>
      <c r="CJ3680" s="204" t="n"/>
      <c r="CK3680" s="208" t="n"/>
      <c r="CL3680" s="208" t="n"/>
      <c r="CM3680" s="208" t="n"/>
      <c r="CN3680" s="78" t="n"/>
      <c r="CO3680" s="209" t="n"/>
      <c r="CP3680" s="204" t="n"/>
      <c r="CQ3680" s="204" t="n"/>
      <c r="CR3680" s="204" t="n"/>
      <c r="CS3680" s="204" t="n"/>
      <c r="CT3680" s="204" t="n"/>
      <c r="CU3680" s="204" t="n"/>
      <c r="CV3680" s="204" t="n"/>
      <c r="CW3680" s="204" t="n"/>
    </row>
    <row r="3681">
      <c r="BF3681" s="78" t="n"/>
      <c r="BG3681" s="78" t="n"/>
      <c r="BH3681" s="78" t="n"/>
      <c r="BI3681" s="78" t="n"/>
      <c r="BJ3681" s="139" t="n"/>
      <c r="BK3681" s="204" t="n"/>
      <c r="BL3681" s="141" t="n"/>
      <c r="BM3681" s="205" t="n"/>
      <c r="BN3681" s="205" t="n"/>
      <c r="BO3681" s="206" t="n"/>
      <c r="BP3681" s="144" t="n"/>
      <c r="BQ3681" s="141" t="n"/>
      <c r="BR3681" s="207" t="n"/>
      <c r="BS3681" s="207" t="n"/>
      <c r="BT3681" s="207" t="n"/>
      <c r="BU3681" s="207" t="n"/>
      <c r="BV3681" s="208" t="n"/>
      <c r="BW3681" s="207" t="n"/>
      <c r="BX3681" s="207" t="n"/>
      <c r="BY3681" s="204" t="n"/>
      <c r="BZ3681" s="148" t="n"/>
      <c r="CA3681" s="204" t="n"/>
      <c r="CB3681" s="208" t="n"/>
      <c r="CC3681" s="139" t="n"/>
      <c r="CD3681" s="204" t="n"/>
      <c r="CE3681" s="204" t="n"/>
      <c r="CF3681" s="207" t="n"/>
      <c r="CG3681" s="208" t="n"/>
      <c r="CH3681" s="207" t="n"/>
      <c r="CI3681" s="208" t="n"/>
      <c r="CJ3681" s="204" t="n"/>
      <c r="CK3681" s="208" t="n"/>
      <c r="CL3681" s="208" t="n"/>
      <c r="CM3681" s="208" t="n"/>
      <c r="CN3681" s="78" t="n"/>
      <c r="CO3681" s="209" t="n"/>
      <c r="CP3681" s="204" t="n"/>
      <c r="CQ3681" s="204" t="n"/>
      <c r="CR3681" s="204" t="n"/>
      <c r="CS3681" s="204" t="n"/>
      <c r="CT3681" s="204" t="n"/>
      <c r="CU3681" s="204" t="n"/>
      <c r="CV3681" s="204" t="n"/>
      <c r="CW3681" s="204" t="n"/>
    </row>
    <row r="3682">
      <c r="BF3682" s="78" t="n"/>
      <c r="BG3682" s="78" t="n"/>
      <c r="BH3682" s="78" t="n"/>
      <c r="BI3682" s="78" t="n"/>
      <c r="BJ3682" s="139" t="n"/>
      <c r="BK3682" s="204" t="n"/>
      <c r="BL3682" s="141" t="n"/>
      <c r="BM3682" s="205" t="n"/>
      <c r="BN3682" s="205" t="n"/>
      <c r="BO3682" s="206" t="n"/>
      <c r="BP3682" s="144" t="n"/>
      <c r="BQ3682" s="141" t="n"/>
      <c r="BR3682" s="207" t="n"/>
      <c r="BS3682" s="207" t="n"/>
      <c r="BT3682" s="207" t="n"/>
      <c r="BU3682" s="207" t="n"/>
      <c r="BV3682" s="208" t="n"/>
      <c r="BW3682" s="207" t="n"/>
      <c r="BX3682" s="207" t="n"/>
      <c r="BY3682" s="204" t="n"/>
      <c r="BZ3682" s="148" t="n"/>
      <c r="CA3682" s="204" t="n"/>
      <c r="CB3682" s="208" t="n"/>
      <c r="CC3682" s="139" t="n"/>
      <c r="CD3682" s="204" t="n"/>
      <c r="CE3682" s="204" t="n"/>
      <c r="CF3682" s="207" t="n"/>
      <c r="CG3682" s="208" t="n"/>
      <c r="CH3682" s="207" t="n"/>
      <c r="CI3682" s="208" t="n"/>
      <c r="CJ3682" s="204" t="n"/>
      <c r="CK3682" s="208" t="n"/>
      <c r="CL3682" s="208" t="n"/>
      <c r="CM3682" s="208" t="n"/>
      <c r="CN3682" s="78" t="n"/>
      <c r="CO3682" s="209" t="n"/>
      <c r="CP3682" s="204" t="n"/>
      <c r="CQ3682" s="204" t="n"/>
      <c r="CR3682" s="204" t="n"/>
      <c r="CS3682" s="204" t="n"/>
      <c r="CT3682" s="204" t="n"/>
      <c r="CU3682" s="204" t="n"/>
      <c r="CV3682" s="204" t="n"/>
      <c r="CW3682" s="204" t="n"/>
    </row>
    <row r="3683">
      <c r="BF3683" s="78" t="n"/>
      <c r="BG3683" s="78" t="n"/>
      <c r="BH3683" s="78" t="n"/>
      <c r="BI3683" s="78" t="n"/>
      <c r="BJ3683" s="139" t="n"/>
      <c r="BK3683" s="204" t="n"/>
      <c r="BL3683" s="141" t="n"/>
      <c r="BM3683" s="205" t="n"/>
      <c r="BN3683" s="205" t="n"/>
      <c r="BO3683" s="206" t="n"/>
      <c r="BP3683" s="144" t="n"/>
      <c r="BQ3683" s="141" t="n"/>
      <c r="BR3683" s="207" t="n"/>
      <c r="BS3683" s="207" t="n"/>
      <c r="BT3683" s="207" t="n"/>
      <c r="BU3683" s="207" t="n"/>
      <c r="BV3683" s="208" t="n"/>
      <c r="BW3683" s="207" t="n"/>
      <c r="BX3683" s="207" t="n"/>
      <c r="BY3683" s="204" t="n"/>
      <c r="BZ3683" s="148" t="n"/>
      <c r="CA3683" s="204" t="n"/>
      <c r="CB3683" s="208" t="n"/>
      <c r="CC3683" s="139" t="n"/>
      <c r="CD3683" s="204" t="n"/>
      <c r="CE3683" s="204" t="n"/>
      <c r="CF3683" s="207" t="n"/>
      <c r="CG3683" s="208" t="n"/>
      <c r="CH3683" s="207" t="n"/>
      <c r="CI3683" s="208" t="n"/>
      <c r="CJ3683" s="204" t="n"/>
      <c r="CK3683" s="208" t="n"/>
      <c r="CL3683" s="208" t="n"/>
      <c r="CM3683" s="208" t="n"/>
      <c r="CN3683" s="78" t="n"/>
      <c r="CO3683" s="209" t="n"/>
      <c r="CP3683" s="204" t="n"/>
      <c r="CQ3683" s="204" t="n"/>
      <c r="CR3683" s="204" t="n"/>
      <c r="CS3683" s="204" t="n"/>
      <c r="CT3683" s="204" t="n"/>
      <c r="CU3683" s="204" t="n"/>
      <c r="CV3683" s="204" t="n"/>
      <c r="CW3683" s="204" t="n"/>
    </row>
    <row r="3684">
      <c r="BF3684" s="78" t="n"/>
      <c r="BG3684" s="78" t="n"/>
      <c r="BH3684" s="78" t="n"/>
      <c r="BI3684" s="78" t="n"/>
      <c r="BJ3684" s="139" t="n"/>
      <c r="BK3684" s="204" t="n"/>
      <c r="BL3684" s="141" t="n"/>
      <c r="BM3684" s="205" t="n"/>
      <c r="BN3684" s="205" t="n"/>
      <c r="BO3684" s="206" t="n"/>
      <c r="BP3684" s="144" t="n"/>
      <c r="BQ3684" s="141" t="n"/>
      <c r="BR3684" s="207" t="n"/>
      <c r="BS3684" s="207" t="n"/>
      <c r="BT3684" s="207" t="n"/>
      <c r="BU3684" s="207" t="n"/>
      <c r="BV3684" s="208" t="n"/>
      <c r="BW3684" s="207" t="n"/>
      <c r="BX3684" s="207" t="n"/>
      <c r="BY3684" s="204" t="n"/>
      <c r="BZ3684" s="148" t="n"/>
      <c r="CA3684" s="204" t="n"/>
      <c r="CB3684" s="208" t="n"/>
      <c r="CC3684" s="139" t="n"/>
      <c r="CD3684" s="204" t="n"/>
      <c r="CE3684" s="204" t="n"/>
      <c r="CF3684" s="207" t="n"/>
      <c r="CG3684" s="208" t="n"/>
      <c r="CH3684" s="207" t="n"/>
      <c r="CI3684" s="208" t="n"/>
      <c r="CJ3684" s="204" t="n"/>
      <c r="CK3684" s="208" t="n"/>
      <c r="CL3684" s="208" t="n"/>
      <c r="CM3684" s="208" t="n"/>
      <c r="CN3684" s="78" t="n"/>
      <c r="CO3684" s="209" t="n"/>
      <c r="CP3684" s="204" t="n"/>
      <c r="CQ3684" s="204" t="n"/>
      <c r="CR3684" s="204" t="n"/>
      <c r="CS3684" s="204" t="n"/>
      <c r="CT3684" s="204" t="n"/>
      <c r="CU3684" s="204" t="n"/>
      <c r="CV3684" s="204" t="n"/>
      <c r="CW3684" s="204" t="n"/>
    </row>
    <row r="3685">
      <c r="BF3685" s="78" t="n"/>
      <c r="BG3685" s="78" t="n"/>
      <c r="BH3685" s="78" t="n"/>
      <c r="BI3685" s="78" t="n"/>
      <c r="BJ3685" s="139" t="n"/>
      <c r="BK3685" s="204" t="n"/>
      <c r="BL3685" s="141" t="n"/>
      <c r="BM3685" s="205" t="n"/>
      <c r="BN3685" s="205" t="n"/>
      <c r="BO3685" s="206" t="n"/>
      <c r="BP3685" s="144" t="n"/>
      <c r="BQ3685" s="141" t="n"/>
      <c r="BR3685" s="207" t="n"/>
      <c r="BS3685" s="207" t="n"/>
      <c r="BT3685" s="207" t="n"/>
      <c r="BU3685" s="207" t="n"/>
      <c r="BV3685" s="208" t="n"/>
      <c r="BW3685" s="207" t="n"/>
      <c r="BX3685" s="207" t="n"/>
      <c r="BY3685" s="204" t="n"/>
      <c r="BZ3685" s="148" t="n"/>
      <c r="CA3685" s="204" t="n"/>
      <c r="CB3685" s="208" t="n"/>
      <c r="CC3685" s="139" t="n"/>
      <c r="CD3685" s="204" t="n"/>
      <c r="CE3685" s="204" t="n"/>
      <c r="CF3685" s="207" t="n"/>
      <c r="CG3685" s="208" t="n"/>
      <c r="CH3685" s="207" t="n"/>
      <c r="CI3685" s="208" t="n"/>
      <c r="CJ3685" s="204" t="n"/>
      <c r="CK3685" s="208" t="n"/>
      <c r="CL3685" s="208" t="n"/>
      <c r="CM3685" s="208" t="n"/>
      <c r="CN3685" s="78" t="n"/>
      <c r="CO3685" s="209" t="n"/>
      <c r="CP3685" s="204" t="n"/>
      <c r="CQ3685" s="204" t="n"/>
      <c r="CR3685" s="204" t="n"/>
      <c r="CS3685" s="204" t="n"/>
      <c r="CT3685" s="204" t="n"/>
      <c r="CU3685" s="204" t="n"/>
      <c r="CV3685" s="204" t="n"/>
      <c r="CW3685" s="204" t="n"/>
    </row>
    <row r="3686">
      <c r="BF3686" s="78" t="n"/>
      <c r="BG3686" s="78" t="n"/>
      <c r="BH3686" s="78" t="n"/>
      <c r="BI3686" s="78" t="n"/>
      <c r="BJ3686" s="139" t="n"/>
      <c r="BK3686" s="204" t="n"/>
      <c r="BL3686" s="141" t="n"/>
      <c r="BM3686" s="205" t="n"/>
      <c r="BN3686" s="205" t="n"/>
      <c r="BO3686" s="206" t="n"/>
      <c r="BP3686" s="144" t="n"/>
      <c r="BQ3686" s="141" t="n"/>
      <c r="BR3686" s="207" t="n"/>
      <c r="BS3686" s="207" t="n"/>
      <c r="BT3686" s="207" t="n"/>
      <c r="BU3686" s="207" t="n"/>
      <c r="BV3686" s="208" t="n"/>
      <c r="BW3686" s="207" t="n"/>
      <c r="BX3686" s="207" t="n"/>
      <c r="BY3686" s="204" t="n"/>
      <c r="BZ3686" s="148" t="n"/>
      <c r="CA3686" s="204" t="n"/>
      <c r="CB3686" s="208" t="n"/>
      <c r="CC3686" s="139" t="n"/>
      <c r="CD3686" s="204" t="n"/>
      <c r="CE3686" s="204" t="n"/>
      <c r="CF3686" s="207" t="n"/>
      <c r="CG3686" s="208" t="n"/>
      <c r="CH3686" s="207" t="n"/>
      <c r="CI3686" s="208" t="n"/>
      <c r="CJ3686" s="204" t="n"/>
      <c r="CK3686" s="208" t="n"/>
      <c r="CL3686" s="208" t="n"/>
      <c r="CM3686" s="208" t="n"/>
      <c r="CN3686" s="78" t="n"/>
      <c r="CO3686" s="209" t="n"/>
      <c r="CP3686" s="204" t="n"/>
      <c r="CQ3686" s="204" t="n"/>
      <c r="CR3686" s="204" t="n"/>
      <c r="CS3686" s="204" t="n"/>
      <c r="CT3686" s="204" t="n"/>
      <c r="CU3686" s="204" t="n"/>
      <c r="CV3686" s="204" t="n"/>
      <c r="CW3686" s="204" t="n"/>
    </row>
    <row r="3687">
      <c r="BF3687" s="78" t="n"/>
      <c r="BG3687" s="78" t="n"/>
      <c r="BH3687" s="78" t="n"/>
      <c r="BI3687" s="78" t="n"/>
      <c r="BJ3687" s="139" t="n"/>
      <c r="BK3687" s="204" t="n"/>
      <c r="BL3687" s="141" t="n"/>
      <c r="BM3687" s="205" t="n"/>
      <c r="BN3687" s="205" t="n"/>
      <c r="BO3687" s="206" t="n"/>
      <c r="BP3687" s="144" t="n"/>
      <c r="BQ3687" s="141" t="n"/>
      <c r="BR3687" s="207" t="n"/>
      <c r="BS3687" s="207" t="n"/>
      <c r="BT3687" s="207" t="n"/>
      <c r="BU3687" s="207" t="n"/>
      <c r="BV3687" s="208" t="n"/>
      <c r="BW3687" s="207" t="n"/>
      <c r="BX3687" s="207" t="n"/>
      <c r="BY3687" s="204" t="n"/>
      <c r="BZ3687" s="148" t="n"/>
      <c r="CA3687" s="204" t="n"/>
      <c r="CB3687" s="208" t="n"/>
      <c r="CC3687" s="139" t="n"/>
      <c r="CD3687" s="204" t="n"/>
      <c r="CE3687" s="204" t="n"/>
      <c r="CF3687" s="207" t="n"/>
      <c r="CG3687" s="208" t="n"/>
      <c r="CH3687" s="207" t="n"/>
      <c r="CI3687" s="208" t="n"/>
      <c r="CJ3687" s="204" t="n"/>
      <c r="CK3687" s="208" t="n"/>
      <c r="CL3687" s="208" t="n"/>
      <c r="CM3687" s="208" t="n"/>
      <c r="CN3687" s="78" t="n"/>
      <c r="CO3687" s="209" t="n"/>
      <c r="CP3687" s="204" t="n"/>
      <c r="CQ3687" s="204" t="n"/>
      <c r="CR3687" s="204" t="n"/>
      <c r="CS3687" s="204" t="n"/>
      <c r="CT3687" s="204" t="n"/>
      <c r="CU3687" s="204" t="n"/>
      <c r="CV3687" s="204" t="n"/>
      <c r="CW3687" s="204" t="n"/>
    </row>
    <row r="3688">
      <c r="BF3688" s="78" t="n"/>
      <c r="BG3688" s="78" t="n"/>
      <c r="BH3688" s="78" t="n"/>
      <c r="BI3688" s="78" t="n"/>
      <c r="BJ3688" s="139" t="n"/>
      <c r="BK3688" s="204" t="n"/>
      <c r="BL3688" s="141" t="n"/>
      <c r="BM3688" s="205" t="n"/>
      <c r="BN3688" s="205" t="n"/>
      <c r="BO3688" s="206" t="n"/>
      <c r="BP3688" s="144" t="n"/>
      <c r="BQ3688" s="141" t="n"/>
      <c r="BR3688" s="207" t="n"/>
      <c r="BS3688" s="207" t="n"/>
      <c r="BT3688" s="207" t="n"/>
      <c r="BU3688" s="207" t="n"/>
      <c r="BV3688" s="208" t="n"/>
      <c r="BW3688" s="207" t="n"/>
      <c r="BX3688" s="207" t="n"/>
      <c r="BY3688" s="204" t="n"/>
      <c r="BZ3688" s="148" t="n"/>
      <c r="CA3688" s="204" t="n"/>
      <c r="CB3688" s="208" t="n"/>
      <c r="CC3688" s="139" t="n"/>
      <c r="CD3688" s="204" t="n"/>
      <c r="CE3688" s="204" t="n"/>
      <c r="CF3688" s="207" t="n"/>
      <c r="CG3688" s="208" t="n"/>
      <c r="CH3688" s="207" t="n"/>
      <c r="CI3688" s="208" t="n"/>
      <c r="CJ3688" s="204" t="n"/>
      <c r="CK3688" s="208" t="n"/>
      <c r="CL3688" s="208" t="n"/>
      <c r="CM3688" s="208" t="n"/>
      <c r="CN3688" s="78" t="n"/>
      <c r="CO3688" s="209" t="n"/>
      <c r="CP3688" s="204" t="n"/>
      <c r="CQ3688" s="204" t="n"/>
      <c r="CR3688" s="204" t="n"/>
      <c r="CS3688" s="204" t="n"/>
      <c r="CT3688" s="204" t="n"/>
      <c r="CU3688" s="204" t="n"/>
      <c r="CV3688" s="204" t="n"/>
      <c r="CW3688" s="204" t="n"/>
    </row>
    <row r="3689">
      <c r="BF3689" s="78" t="n"/>
      <c r="BG3689" s="78" t="n"/>
      <c r="BH3689" s="78" t="n"/>
      <c r="BI3689" s="78" t="n"/>
      <c r="BJ3689" s="139" t="n"/>
      <c r="BK3689" s="204" t="n"/>
      <c r="BL3689" s="141" t="n"/>
      <c r="BM3689" s="205" t="n"/>
      <c r="BN3689" s="205" t="n"/>
      <c r="BO3689" s="206" t="n"/>
      <c r="BP3689" s="144" t="n"/>
      <c r="BQ3689" s="141" t="n"/>
      <c r="BR3689" s="207" t="n"/>
      <c r="BS3689" s="207" t="n"/>
      <c r="BT3689" s="207" t="n"/>
      <c r="BU3689" s="207" t="n"/>
      <c r="BV3689" s="208" t="n"/>
      <c r="BW3689" s="207" t="n"/>
      <c r="BX3689" s="207" t="n"/>
      <c r="BY3689" s="204" t="n"/>
      <c r="BZ3689" s="148" t="n"/>
      <c r="CA3689" s="204" t="n"/>
      <c r="CB3689" s="208" t="n"/>
      <c r="CC3689" s="139" t="n"/>
      <c r="CD3689" s="204" t="n"/>
      <c r="CE3689" s="204" t="n"/>
      <c r="CF3689" s="207" t="n"/>
      <c r="CG3689" s="208" t="n"/>
      <c r="CH3689" s="207" t="n"/>
      <c r="CI3689" s="208" t="n"/>
      <c r="CJ3689" s="204" t="n"/>
      <c r="CK3689" s="208" t="n"/>
      <c r="CL3689" s="208" t="n"/>
      <c r="CM3689" s="208" t="n"/>
      <c r="CN3689" s="78" t="n"/>
      <c r="CO3689" s="209" t="n"/>
      <c r="CP3689" s="204" t="n"/>
      <c r="CQ3689" s="204" t="n"/>
      <c r="CR3689" s="204" t="n"/>
      <c r="CS3689" s="204" t="n"/>
      <c r="CT3689" s="204" t="n"/>
      <c r="CU3689" s="204" t="n"/>
      <c r="CV3689" s="204" t="n"/>
      <c r="CW3689" s="204" t="n"/>
    </row>
    <row r="3690">
      <c r="BF3690" s="78" t="n"/>
      <c r="BG3690" s="78" t="n"/>
      <c r="BH3690" s="78" t="n"/>
      <c r="BI3690" s="78" t="n"/>
      <c r="BJ3690" s="139" t="n"/>
      <c r="BK3690" s="204" t="n"/>
      <c r="BL3690" s="141" t="n"/>
      <c r="BM3690" s="205" t="n"/>
      <c r="BN3690" s="205" t="n"/>
      <c r="BO3690" s="206" t="n"/>
      <c r="BP3690" s="144" t="n"/>
      <c r="BQ3690" s="141" t="n"/>
      <c r="BR3690" s="207" t="n"/>
      <c r="BS3690" s="207" t="n"/>
      <c r="BT3690" s="207" t="n"/>
      <c r="BU3690" s="207" t="n"/>
      <c r="BV3690" s="208" t="n"/>
      <c r="BW3690" s="207" t="n"/>
      <c r="BX3690" s="207" t="n"/>
      <c r="BY3690" s="204" t="n"/>
      <c r="BZ3690" s="148" t="n"/>
      <c r="CA3690" s="204" t="n"/>
      <c r="CB3690" s="208" t="n"/>
      <c r="CC3690" s="139" t="n"/>
      <c r="CD3690" s="204" t="n"/>
      <c r="CE3690" s="204" t="n"/>
      <c r="CF3690" s="207" t="n"/>
      <c r="CG3690" s="208" t="n"/>
      <c r="CH3690" s="207" t="n"/>
      <c r="CI3690" s="208" t="n"/>
      <c r="CJ3690" s="204" t="n"/>
      <c r="CK3690" s="208" t="n"/>
      <c r="CL3690" s="208" t="n"/>
      <c r="CM3690" s="208" t="n"/>
      <c r="CN3690" s="78" t="n"/>
      <c r="CO3690" s="209" t="n"/>
      <c r="CP3690" s="204" t="n"/>
      <c r="CQ3690" s="204" t="n"/>
      <c r="CR3690" s="204" t="n"/>
      <c r="CS3690" s="204" t="n"/>
      <c r="CT3690" s="204" t="n"/>
      <c r="CU3690" s="204" t="n"/>
      <c r="CV3690" s="204" t="n"/>
      <c r="CW3690" s="204" t="n"/>
    </row>
    <row r="3691">
      <c r="BF3691" s="78" t="n"/>
      <c r="BG3691" s="78" t="n"/>
      <c r="BH3691" s="78" t="n"/>
      <c r="BI3691" s="78" t="n"/>
      <c r="BJ3691" s="139" t="n"/>
      <c r="BK3691" s="204" t="n"/>
      <c r="BL3691" s="141" t="n"/>
      <c r="BM3691" s="205" t="n"/>
      <c r="BN3691" s="205" t="n"/>
      <c r="BO3691" s="206" t="n"/>
      <c r="BP3691" s="144" t="n"/>
      <c r="BQ3691" s="141" t="n"/>
      <c r="BR3691" s="207" t="n"/>
      <c r="BS3691" s="207" t="n"/>
      <c r="BT3691" s="207" t="n"/>
      <c r="BU3691" s="207" t="n"/>
      <c r="BV3691" s="208" t="n"/>
      <c r="BW3691" s="207" t="n"/>
      <c r="BX3691" s="207" t="n"/>
      <c r="BY3691" s="204" t="n"/>
      <c r="BZ3691" s="148" t="n"/>
      <c r="CA3691" s="204" t="n"/>
      <c r="CB3691" s="208" t="n"/>
      <c r="CC3691" s="139" t="n"/>
      <c r="CD3691" s="204" t="n"/>
      <c r="CE3691" s="204" t="n"/>
      <c r="CF3691" s="207" t="n"/>
      <c r="CG3691" s="208" t="n"/>
      <c r="CH3691" s="207" t="n"/>
      <c r="CI3691" s="208" t="n"/>
      <c r="CJ3691" s="204" t="n"/>
      <c r="CK3691" s="208" t="n"/>
      <c r="CL3691" s="208" t="n"/>
      <c r="CM3691" s="208" t="n"/>
      <c r="CN3691" s="78" t="n"/>
      <c r="CO3691" s="209" t="n"/>
      <c r="CP3691" s="204" t="n"/>
      <c r="CQ3691" s="204" t="n"/>
      <c r="CR3691" s="204" t="n"/>
      <c r="CS3691" s="204" t="n"/>
      <c r="CT3691" s="204" t="n"/>
      <c r="CU3691" s="204" t="n"/>
      <c r="CV3691" s="204" t="n"/>
      <c r="CW3691" s="204" t="n"/>
    </row>
    <row r="3692">
      <c r="BF3692" s="78" t="n"/>
      <c r="BG3692" s="78" t="n"/>
      <c r="BH3692" s="78" t="n"/>
      <c r="BI3692" s="78" t="n"/>
      <c r="BJ3692" s="139" t="n"/>
      <c r="BK3692" s="204" t="n"/>
      <c r="BL3692" s="141" t="n"/>
      <c r="BM3692" s="205" t="n"/>
      <c r="BN3692" s="205" t="n"/>
      <c r="BO3692" s="206" t="n"/>
      <c r="BP3692" s="144" t="n"/>
      <c r="BQ3692" s="141" t="n"/>
      <c r="BR3692" s="207" t="n"/>
      <c r="BS3692" s="207" t="n"/>
      <c r="BT3692" s="207" t="n"/>
      <c r="BU3692" s="207" t="n"/>
      <c r="BV3692" s="208" t="n"/>
      <c r="BW3692" s="207" t="n"/>
      <c r="BX3692" s="207" t="n"/>
      <c r="BY3692" s="204" t="n"/>
      <c r="BZ3692" s="148" t="n"/>
      <c r="CA3692" s="204" t="n"/>
      <c r="CB3692" s="208" t="n"/>
      <c r="CC3692" s="139" t="n"/>
      <c r="CD3692" s="204" t="n"/>
      <c r="CE3692" s="204" t="n"/>
      <c r="CF3692" s="207" t="n"/>
      <c r="CG3692" s="208" t="n"/>
      <c r="CH3692" s="207" t="n"/>
      <c r="CI3692" s="208" t="n"/>
      <c r="CJ3692" s="204" t="n"/>
      <c r="CK3692" s="208" t="n"/>
      <c r="CL3692" s="208" t="n"/>
      <c r="CM3692" s="208" t="n"/>
      <c r="CN3692" s="78" t="n"/>
      <c r="CO3692" s="209" t="n"/>
      <c r="CP3692" s="204" t="n"/>
      <c r="CQ3692" s="204" t="n"/>
      <c r="CR3692" s="204" t="n"/>
      <c r="CS3692" s="204" t="n"/>
      <c r="CT3692" s="204" t="n"/>
      <c r="CU3692" s="204" t="n"/>
      <c r="CV3692" s="204" t="n"/>
      <c r="CW3692" s="204" t="n"/>
    </row>
    <row r="3693">
      <c r="BF3693" s="78" t="n"/>
      <c r="BG3693" s="78" t="n"/>
      <c r="BH3693" s="78" t="n"/>
      <c r="BI3693" s="78" t="n"/>
      <c r="BJ3693" s="139" t="n"/>
      <c r="BK3693" s="204" t="n"/>
      <c r="BL3693" s="141" t="n"/>
      <c r="BM3693" s="205" t="n"/>
      <c r="BN3693" s="205" t="n"/>
      <c r="BO3693" s="206" t="n"/>
      <c r="BP3693" s="144" t="n"/>
      <c r="BQ3693" s="141" t="n"/>
      <c r="BR3693" s="207" t="n"/>
      <c r="BS3693" s="207" t="n"/>
      <c r="BT3693" s="207" t="n"/>
      <c r="BU3693" s="207" t="n"/>
      <c r="BV3693" s="208" t="n"/>
      <c r="BW3693" s="207" t="n"/>
      <c r="BX3693" s="207" t="n"/>
      <c r="BY3693" s="204" t="n"/>
      <c r="BZ3693" s="148" t="n"/>
      <c r="CA3693" s="204" t="n"/>
      <c r="CB3693" s="208" t="n"/>
      <c r="CC3693" s="139" t="n"/>
      <c r="CD3693" s="204" t="n"/>
      <c r="CE3693" s="204" t="n"/>
      <c r="CF3693" s="207" t="n"/>
      <c r="CG3693" s="208" t="n"/>
      <c r="CH3693" s="207" t="n"/>
      <c r="CI3693" s="208" t="n"/>
      <c r="CJ3693" s="204" t="n"/>
      <c r="CK3693" s="208" t="n"/>
      <c r="CL3693" s="208" t="n"/>
      <c r="CM3693" s="208" t="n"/>
      <c r="CN3693" s="78" t="n"/>
      <c r="CO3693" s="209" t="n"/>
      <c r="CP3693" s="204" t="n"/>
      <c r="CQ3693" s="204" t="n"/>
      <c r="CR3693" s="204" t="n"/>
      <c r="CS3693" s="204" t="n"/>
      <c r="CT3693" s="204" t="n"/>
      <c r="CU3693" s="204" t="n"/>
      <c r="CV3693" s="204" t="n"/>
      <c r="CW3693" s="204" t="n"/>
    </row>
    <row r="3694">
      <c r="BF3694" s="78" t="n"/>
      <c r="BG3694" s="78" t="n"/>
      <c r="BH3694" s="78" t="n"/>
      <c r="BI3694" s="78" t="n"/>
      <c r="BJ3694" s="139" t="n"/>
      <c r="BK3694" s="204" t="n"/>
      <c r="BL3694" s="141" t="n"/>
      <c r="BM3694" s="205" t="n"/>
      <c r="BN3694" s="205" t="n"/>
      <c r="BO3694" s="206" t="n"/>
      <c r="BP3694" s="144" t="n"/>
      <c r="BQ3694" s="141" t="n"/>
      <c r="BR3694" s="207" t="n"/>
      <c r="BS3694" s="207" t="n"/>
      <c r="BT3694" s="207" t="n"/>
      <c r="BU3694" s="207" t="n"/>
      <c r="BV3694" s="208" t="n"/>
      <c r="BW3694" s="207" t="n"/>
      <c r="BX3694" s="207" t="n"/>
      <c r="BY3694" s="204" t="n"/>
      <c r="BZ3694" s="148" t="n"/>
      <c r="CA3694" s="204" t="n"/>
      <c r="CB3694" s="208" t="n"/>
      <c r="CC3694" s="139" t="n"/>
      <c r="CD3694" s="204" t="n"/>
      <c r="CE3694" s="204" t="n"/>
      <c r="CF3694" s="207" t="n"/>
      <c r="CG3694" s="208" t="n"/>
      <c r="CH3694" s="207" t="n"/>
      <c r="CI3694" s="208" t="n"/>
      <c r="CJ3694" s="204" t="n"/>
      <c r="CK3694" s="208" t="n"/>
      <c r="CL3694" s="208" t="n"/>
      <c r="CM3694" s="208" t="n"/>
      <c r="CN3694" s="78" t="n"/>
      <c r="CO3694" s="209" t="n"/>
      <c r="CP3694" s="204" t="n"/>
      <c r="CQ3694" s="204" t="n"/>
      <c r="CR3694" s="204" t="n"/>
      <c r="CS3694" s="204" t="n"/>
      <c r="CT3694" s="204" t="n"/>
      <c r="CU3694" s="204" t="n"/>
      <c r="CV3694" s="204" t="n"/>
      <c r="CW3694" s="204" t="n"/>
    </row>
    <row r="3695">
      <c r="BF3695" s="78" t="n"/>
      <c r="BG3695" s="78" t="n"/>
      <c r="BH3695" s="78" t="n"/>
      <c r="BI3695" s="78" t="n"/>
      <c r="BJ3695" s="139" t="n"/>
      <c r="BK3695" s="204" t="n"/>
      <c r="BL3695" s="141" t="n"/>
      <c r="BM3695" s="205" t="n"/>
      <c r="BN3695" s="205" t="n"/>
      <c r="BO3695" s="206" t="n"/>
      <c r="BP3695" s="144" t="n"/>
      <c r="BQ3695" s="141" t="n"/>
      <c r="BR3695" s="207" t="n"/>
      <c r="BS3695" s="207" t="n"/>
      <c r="BT3695" s="207" t="n"/>
      <c r="BU3695" s="207" t="n"/>
      <c r="BV3695" s="208" t="n"/>
      <c r="BW3695" s="207" t="n"/>
      <c r="BX3695" s="207" t="n"/>
      <c r="BY3695" s="204" t="n"/>
      <c r="BZ3695" s="148" t="n"/>
      <c r="CA3695" s="204" t="n"/>
      <c r="CB3695" s="208" t="n"/>
      <c r="CC3695" s="139" t="n"/>
      <c r="CD3695" s="204" t="n"/>
      <c r="CE3695" s="204" t="n"/>
      <c r="CF3695" s="207" t="n"/>
      <c r="CG3695" s="208" t="n"/>
      <c r="CH3695" s="207" t="n"/>
      <c r="CI3695" s="208" t="n"/>
      <c r="CJ3695" s="204" t="n"/>
      <c r="CK3695" s="208" t="n"/>
      <c r="CL3695" s="208" t="n"/>
      <c r="CM3695" s="208" t="n"/>
      <c r="CN3695" s="78" t="n"/>
      <c r="CO3695" s="209" t="n"/>
      <c r="CP3695" s="204" t="n"/>
      <c r="CQ3695" s="204" t="n"/>
      <c r="CR3695" s="204" t="n"/>
      <c r="CS3695" s="204" t="n"/>
      <c r="CT3695" s="204" t="n"/>
      <c r="CU3695" s="204" t="n"/>
      <c r="CV3695" s="204" t="n"/>
      <c r="CW3695" s="204" t="n"/>
    </row>
    <row r="3696">
      <c r="BF3696" s="78" t="n"/>
      <c r="BG3696" s="78" t="n"/>
      <c r="BH3696" s="78" t="n"/>
      <c r="BI3696" s="78" t="n"/>
      <c r="BJ3696" s="139" t="n"/>
      <c r="BK3696" s="204" t="n"/>
      <c r="BL3696" s="141" t="n"/>
      <c r="BM3696" s="205" t="n"/>
      <c r="BN3696" s="205" t="n"/>
      <c r="BO3696" s="206" t="n"/>
      <c r="BP3696" s="144" t="n"/>
      <c r="BQ3696" s="141" t="n"/>
      <c r="BR3696" s="207" t="n"/>
      <c r="BS3696" s="207" t="n"/>
      <c r="BT3696" s="207" t="n"/>
      <c r="BU3696" s="207" t="n"/>
      <c r="BV3696" s="208" t="n"/>
      <c r="BW3696" s="207" t="n"/>
      <c r="BX3696" s="207" t="n"/>
      <c r="BY3696" s="204" t="n"/>
      <c r="BZ3696" s="148" t="n"/>
      <c r="CA3696" s="204" t="n"/>
      <c r="CB3696" s="208" t="n"/>
      <c r="CC3696" s="139" t="n"/>
      <c r="CD3696" s="204" t="n"/>
      <c r="CE3696" s="204" t="n"/>
      <c r="CF3696" s="207" t="n"/>
      <c r="CG3696" s="208" t="n"/>
      <c r="CH3696" s="207" t="n"/>
      <c r="CI3696" s="208" t="n"/>
      <c r="CJ3696" s="204" t="n"/>
      <c r="CK3696" s="208" t="n"/>
      <c r="CL3696" s="208" t="n"/>
      <c r="CM3696" s="208" t="n"/>
      <c r="CN3696" s="78" t="n"/>
      <c r="CO3696" s="209" t="n"/>
      <c r="CP3696" s="204" t="n"/>
      <c r="CQ3696" s="204" t="n"/>
      <c r="CR3696" s="204" t="n"/>
      <c r="CS3696" s="204" t="n"/>
      <c r="CT3696" s="204" t="n"/>
      <c r="CU3696" s="204" t="n"/>
      <c r="CV3696" s="204" t="n"/>
      <c r="CW3696" s="204" t="n"/>
    </row>
    <row r="3697">
      <c r="BF3697" s="78" t="n"/>
      <c r="BG3697" s="78" t="n"/>
      <c r="BH3697" s="78" t="n"/>
      <c r="BI3697" s="78" t="n"/>
      <c r="BJ3697" s="139" t="n"/>
      <c r="BK3697" s="204" t="n"/>
      <c r="BL3697" s="141" t="n"/>
      <c r="BM3697" s="205" t="n"/>
      <c r="BN3697" s="205" t="n"/>
      <c r="BO3697" s="206" t="n"/>
      <c r="BP3697" s="144" t="n"/>
      <c r="BQ3697" s="141" t="n"/>
      <c r="BR3697" s="207" t="n"/>
      <c r="BS3697" s="207" t="n"/>
      <c r="BT3697" s="207" t="n"/>
      <c r="BU3697" s="207" t="n"/>
      <c r="BV3697" s="208" t="n"/>
      <c r="BW3697" s="207" t="n"/>
      <c r="BX3697" s="207" t="n"/>
      <c r="BY3697" s="204" t="n"/>
      <c r="BZ3697" s="148" t="n"/>
      <c r="CA3697" s="204" t="n"/>
      <c r="CB3697" s="208" t="n"/>
      <c r="CC3697" s="139" t="n"/>
      <c r="CD3697" s="204" t="n"/>
      <c r="CE3697" s="204" t="n"/>
      <c r="CF3697" s="207" t="n"/>
      <c r="CG3697" s="208" t="n"/>
      <c r="CH3697" s="207" t="n"/>
      <c r="CI3697" s="208" t="n"/>
      <c r="CJ3697" s="204" t="n"/>
      <c r="CK3697" s="208" t="n"/>
      <c r="CL3697" s="208" t="n"/>
      <c r="CM3697" s="208" t="n"/>
      <c r="CN3697" s="78" t="n"/>
      <c r="CO3697" s="209" t="n"/>
      <c r="CP3697" s="204" t="n"/>
      <c r="CQ3697" s="204" t="n"/>
      <c r="CR3697" s="204" t="n"/>
      <c r="CS3697" s="204" t="n"/>
      <c r="CT3697" s="204" t="n"/>
      <c r="CU3697" s="204" t="n"/>
      <c r="CV3697" s="204" t="n"/>
      <c r="CW3697" s="204" t="n"/>
    </row>
    <row r="3698">
      <c r="BF3698" s="78" t="n"/>
      <c r="BG3698" s="78" t="n"/>
      <c r="BH3698" s="78" t="n"/>
      <c r="BI3698" s="78" t="n"/>
      <c r="BJ3698" s="139" t="n"/>
      <c r="BK3698" s="204" t="n"/>
      <c r="BL3698" s="141" t="n"/>
      <c r="BM3698" s="205" t="n"/>
      <c r="BN3698" s="205" t="n"/>
      <c r="BO3698" s="206" t="n"/>
      <c r="BP3698" s="144" t="n"/>
      <c r="BQ3698" s="141" t="n"/>
      <c r="BR3698" s="207" t="n"/>
      <c r="BS3698" s="207" t="n"/>
      <c r="BT3698" s="207" t="n"/>
      <c r="BU3698" s="207" t="n"/>
      <c r="BV3698" s="208" t="n"/>
      <c r="BW3698" s="207" t="n"/>
      <c r="BX3698" s="207" t="n"/>
      <c r="BY3698" s="204" t="n"/>
      <c r="BZ3698" s="148" t="n"/>
      <c r="CA3698" s="204" t="n"/>
      <c r="CB3698" s="208" t="n"/>
      <c r="CC3698" s="139" t="n"/>
      <c r="CD3698" s="204" t="n"/>
      <c r="CE3698" s="204" t="n"/>
      <c r="CF3698" s="207" t="n"/>
      <c r="CG3698" s="208" t="n"/>
      <c r="CH3698" s="207" t="n"/>
      <c r="CI3698" s="208" t="n"/>
      <c r="CJ3698" s="204" t="n"/>
      <c r="CK3698" s="208" t="n"/>
      <c r="CL3698" s="208" t="n"/>
      <c r="CM3698" s="208" t="n"/>
      <c r="CN3698" s="78" t="n"/>
      <c r="CO3698" s="209" t="n"/>
      <c r="CP3698" s="204" t="n"/>
      <c r="CQ3698" s="204" t="n"/>
      <c r="CR3698" s="204" t="n"/>
      <c r="CS3698" s="204" t="n"/>
      <c r="CT3698" s="204" t="n"/>
      <c r="CU3698" s="204" t="n"/>
      <c r="CV3698" s="204" t="n"/>
      <c r="CW3698" s="204" t="n"/>
    </row>
    <row r="3699">
      <c r="BF3699" s="78" t="n"/>
      <c r="BG3699" s="78" t="n"/>
      <c r="BH3699" s="78" t="n"/>
      <c r="BI3699" s="78" t="n"/>
      <c r="BJ3699" s="139" t="n"/>
      <c r="BK3699" s="204" t="n"/>
      <c r="BL3699" s="141" t="n"/>
      <c r="BM3699" s="205" t="n"/>
      <c r="BN3699" s="205" t="n"/>
      <c r="BO3699" s="206" t="n"/>
      <c r="BP3699" s="144" t="n"/>
      <c r="BQ3699" s="141" t="n"/>
      <c r="BR3699" s="207" t="n"/>
      <c r="BS3699" s="207" t="n"/>
      <c r="BT3699" s="207" t="n"/>
      <c r="BU3699" s="207" t="n"/>
      <c r="BV3699" s="208" t="n"/>
      <c r="BW3699" s="207" t="n"/>
      <c r="BX3699" s="207" t="n"/>
      <c r="BY3699" s="204" t="n"/>
      <c r="BZ3699" s="148" t="n"/>
      <c r="CA3699" s="204" t="n"/>
      <c r="CB3699" s="208" t="n"/>
      <c r="CC3699" s="139" t="n"/>
      <c r="CD3699" s="204" t="n"/>
      <c r="CE3699" s="204" t="n"/>
      <c r="CF3699" s="207" t="n"/>
      <c r="CG3699" s="208" t="n"/>
      <c r="CH3699" s="207" t="n"/>
      <c r="CI3699" s="208" t="n"/>
      <c r="CJ3699" s="204" t="n"/>
      <c r="CK3699" s="208" t="n"/>
      <c r="CL3699" s="208" t="n"/>
      <c r="CM3699" s="208" t="n"/>
      <c r="CN3699" s="78" t="n"/>
      <c r="CO3699" s="209" t="n"/>
      <c r="CP3699" s="204" t="n"/>
      <c r="CQ3699" s="204" t="n"/>
      <c r="CR3699" s="204" t="n"/>
      <c r="CS3699" s="204" t="n"/>
      <c r="CT3699" s="204" t="n"/>
      <c r="CU3699" s="204" t="n"/>
      <c r="CV3699" s="204" t="n"/>
      <c r="CW3699" s="204" t="n"/>
    </row>
    <row r="3700">
      <c r="BF3700" s="78" t="n"/>
      <c r="BG3700" s="78" t="n"/>
      <c r="BH3700" s="78" t="n"/>
      <c r="BI3700" s="78" t="n"/>
      <c r="BJ3700" s="139" t="n"/>
      <c r="BK3700" s="204" t="n"/>
      <c r="BL3700" s="141" t="n"/>
      <c r="BM3700" s="205" t="n"/>
      <c r="BN3700" s="205" t="n"/>
      <c r="BO3700" s="206" t="n"/>
      <c r="BP3700" s="144" t="n"/>
      <c r="BQ3700" s="141" t="n"/>
      <c r="BR3700" s="207" t="n"/>
      <c r="BS3700" s="207" t="n"/>
      <c r="BT3700" s="207" t="n"/>
      <c r="BU3700" s="207" t="n"/>
      <c r="BV3700" s="208" t="n"/>
      <c r="BW3700" s="207" t="n"/>
      <c r="BX3700" s="207" t="n"/>
      <c r="BY3700" s="204" t="n"/>
      <c r="BZ3700" s="148" t="n"/>
      <c r="CA3700" s="204" t="n"/>
      <c r="CB3700" s="208" t="n"/>
      <c r="CC3700" s="139" t="n"/>
      <c r="CD3700" s="204" t="n"/>
      <c r="CE3700" s="204" t="n"/>
      <c r="CF3700" s="207" t="n"/>
      <c r="CG3700" s="208" t="n"/>
      <c r="CH3700" s="207" t="n"/>
      <c r="CI3700" s="208" t="n"/>
      <c r="CJ3700" s="204" t="n"/>
      <c r="CK3700" s="208" t="n"/>
      <c r="CL3700" s="208" t="n"/>
      <c r="CM3700" s="208" t="n"/>
      <c r="CN3700" s="78" t="n"/>
      <c r="CO3700" s="209" t="n"/>
      <c r="CP3700" s="204" t="n"/>
      <c r="CQ3700" s="204" t="n"/>
      <c r="CR3700" s="204" t="n"/>
      <c r="CS3700" s="204" t="n"/>
      <c r="CT3700" s="204" t="n"/>
      <c r="CU3700" s="204" t="n"/>
      <c r="CV3700" s="204" t="n"/>
      <c r="CW3700" s="204" t="n"/>
    </row>
    <row r="3701">
      <c r="BF3701" s="78" t="n"/>
      <c r="BG3701" s="78" t="n"/>
      <c r="BH3701" s="78" t="n"/>
      <c r="BI3701" s="78" t="n"/>
      <c r="BJ3701" s="139" t="n"/>
      <c r="BK3701" s="204" t="n"/>
      <c r="BL3701" s="141" t="n"/>
      <c r="BM3701" s="205" t="n"/>
      <c r="BN3701" s="205" t="n"/>
      <c r="BO3701" s="206" t="n"/>
      <c r="BP3701" s="144" t="n"/>
      <c r="BQ3701" s="141" t="n"/>
      <c r="BR3701" s="207" t="n"/>
      <c r="BS3701" s="207" t="n"/>
      <c r="BT3701" s="207" t="n"/>
      <c r="BU3701" s="207" t="n"/>
      <c r="BV3701" s="208" t="n"/>
      <c r="BW3701" s="207" t="n"/>
      <c r="BX3701" s="207" t="n"/>
      <c r="BY3701" s="204" t="n"/>
      <c r="BZ3701" s="148" t="n"/>
      <c r="CA3701" s="204" t="n"/>
      <c r="CB3701" s="208" t="n"/>
      <c r="CC3701" s="139" t="n"/>
      <c r="CD3701" s="204" t="n"/>
      <c r="CE3701" s="204" t="n"/>
      <c r="CF3701" s="207" t="n"/>
      <c r="CG3701" s="208" t="n"/>
      <c r="CH3701" s="207" t="n"/>
      <c r="CI3701" s="208" t="n"/>
      <c r="CJ3701" s="204" t="n"/>
      <c r="CK3701" s="208" t="n"/>
      <c r="CL3701" s="208" t="n"/>
      <c r="CM3701" s="208" t="n"/>
      <c r="CN3701" s="78" t="n"/>
      <c r="CO3701" s="209" t="n"/>
      <c r="CP3701" s="204" t="n"/>
      <c r="CQ3701" s="204" t="n"/>
      <c r="CR3701" s="204" t="n"/>
      <c r="CS3701" s="204" t="n"/>
      <c r="CT3701" s="204" t="n"/>
      <c r="CU3701" s="204" t="n"/>
      <c r="CV3701" s="204" t="n"/>
      <c r="CW3701" s="204" t="n"/>
    </row>
    <row r="3702">
      <c r="BF3702" s="78" t="n"/>
      <c r="BG3702" s="78" t="n"/>
      <c r="BH3702" s="78" t="n"/>
      <c r="BI3702" s="78" t="n"/>
      <c r="BJ3702" s="139" t="n"/>
      <c r="BK3702" s="204" t="n"/>
      <c r="BL3702" s="141" t="n"/>
      <c r="BM3702" s="205" t="n"/>
      <c r="BN3702" s="205" t="n"/>
      <c r="BO3702" s="206" t="n"/>
      <c r="BP3702" s="144" t="n"/>
      <c r="BQ3702" s="141" t="n"/>
      <c r="BR3702" s="207" t="n"/>
      <c r="BS3702" s="207" t="n"/>
      <c r="BT3702" s="207" t="n"/>
      <c r="BU3702" s="207" t="n"/>
      <c r="BV3702" s="208" t="n"/>
      <c r="BW3702" s="207" t="n"/>
      <c r="BX3702" s="207" t="n"/>
      <c r="BY3702" s="204" t="n"/>
      <c r="BZ3702" s="148" t="n"/>
      <c r="CA3702" s="204" t="n"/>
      <c r="CB3702" s="208" t="n"/>
      <c r="CC3702" s="139" t="n"/>
      <c r="CD3702" s="204" t="n"/>
      <c r="CE3702" s="204" t="n"/>
      <c r="CF3702" s="207" t="n"/>
      <c r="CG3702" s="208" t="n"/>
      <c r="CH3702" s="207" t="n"/>
      <c r="CI3702" s="208" t="n"/>
      <c r="CJ3702" s="204" t="n"/>
      <c r="CK3702" s="208" t="n"/>
      <c r="CL3702" s="208" t="n"/>
      <c r="CM3702" s="208" t="n"/>
      <c r="CN3702" s="78" t="n"/>
      <c r="CO3702" s="209" t="n"/>
      <c r="CP3702" s="204" t="n"/>
      <c r="CQ3702" s="204" t="n"/>
      <c r="CR3702" s="204" t="n"/>
      <c r="CS3702" s="204" t="n"/>
      <c r="CT3702" s="204" t="n"/>
      <c r="CU3702" s="204" t="n"/>
      <c r="CV3702" s="204" t="n"/>
      <c r="CW3702" s="204" t="n"/>
    </row>
    <row r="3703">
      <c r="BF3703" s="78" t="n"/>
      <c r="BG3703" s="78" t="n"/>
      <c r="BH3703" s="78" t="n"/>
      <c r="BI3703" s="78" t="n"/>
      <c r="BJ3703" s="139" t="n"/>
      <c r="BK3703" s="204" t="n"/>
      <c r="BL3703" s="141" t="n"/>
      <c r="BM3703" s="205" t="n"/>
      <c r="BN3703" s="205" t="n"/>
      <c r="BO3703" s="206" t="n"/>
      <c r="BP3703" s="144" t="n"/>
      <c r="BQ3703" s="141" t="n"/>
      <c r="BR3703" s="207" t="n"/>
      <c r="BS3703" s="207" t="n"/>
      <c r="BT3703" s="207" t="n"/>
      <c r="BU3703" s="207" t="n"/>
      <c r="BV3703" s="208" t="n"/>
      <c r="BW3703" s="207" t="n"/>
      <c r="BX3703" s="207" t="n"/>
      <c r="BY3703" s="204" t="n"/>
      <c r="BZ3703" s="148" t="n"/>
      <c r="CA3703" s="204" t="n"/>
      <c r="CB3703" s="208" t="n"/>
      <c r="CC3703" s="139" t="n"/>
      <c r="CD3703" s="204" t="n"/>
      <c r="CE3703" s="204" t="n"/>
      <c r="CF3703" s="207" t="n"/>
      <c r="CG3703" s="208" t="n"/>
      <c r="CH3703" s="207" t="n"/>
      <c r="CI3703" s="208" t="n"/>
      <c r="CJ3703" s="204" t="n"/>
      <c r="CK3703" s="208" t="n"/>
      <c r="CL3703" s="208" t="n"/>
      <c r="CM3703" s="208" t="n"/>
      <c r="CN3703" s="78" t="n"/>
      <c r="CO3703" s="209" t="n"/>
      <c r="CP3703" s="204" t="n"/>
      <c r="CQ3703" s="204" t="n"/>
      <c r="CR3703" s="204" t="n"/>
      <c r="CS3703" s="204" t="n"/>
      <c r="CT3703" s="204" t="n"/>
      <c r="CU3703" s="204" t="n"/>
      <c r="CV3703" s="204" t="n"/>
      <c r="CW3703" s="204" t="n"/>
    </row>
    <row r="3704">
      <c r="BF3704" s="78" t="n"/>
      <c r="BG3704" s="78" t="n"/>
      <c r="BH3704" s="78" t="n"/>
      <c r="BI3704" s="78" t="n"/>
      <c r="BJ3704" s="139" t="n"/>
      <c r="BK3704" s="204" t="n"/>
      <c r="BL3704" s="141" t="n"/>
      <c r="BM3704" s="205" t="n"/>
      <c r="BN3704" s="205" t="n"/>
      <c r="BO3704" s="206" t="n"/>
      <c r="BP3704" s="144" t="n"/>
      <c r="BQ3704" s="141" t="n"/>
      <c r="BR3704" s="207" t="n"/>
      <c r="BS3704" s="207" t="n"/>
      <c r="BT3704" s="207" t="n"/>
      <c r="BU3704" s="207" t="n"/>
      <c r="BV3704" s="208" t="n"/>
      <c r="BW3704" s="207" t="n"/>
      <c r="BX3704" s="207" t="n"/>
      <c r="BY3704" s="204" t="n"/>
      <c r="BZ3704" s="148" t="n"/>
      <c r="CA3704" s="204" t="n"/>
      <c r="CB3704" s="208" t="n"/>
      <c r="CC3704" s="139" t="n"/>
      <c r="CD3704" s="204" t="n"/>
      <c r="CE3704" s="204" t="n"/>
      <c r="CF3704" s="207" t="n"/>
      <c r="CG3704" s="208" t="n"/>
      <c r="CH3704" s="207" t="n"/>
      <c r="CI3704" s="208" t="n"/>
      <c r="CJ3704" s="204" t="n"/>
      <c r="CK3704" s="208" t="n"/>
      <c r="CL3704" s="208" t="n"/>
      <c r="CM3704" s="208" t="n"/>
      <c r="CN3704" s="78" t="n"/>
      <c r="CO3704" s="209" t="n"/>
      <c r="CP3704" s="204" t="n"/>
      <c r="CQ3704" s="204" t="n"/>
      <c r="CR3704" s="204" t="n"/>
      <c r="CS3704" s="204" t="n"/>
      <c r="CT3704" s="204" t="n"/>
      <c r="CU3704" s="204" t="n"/>
      <c r="CV3704" s="204" t="n"/>
      <c r="CW3704" s="204" t="n"/>
    </row>
    <row r="3705">
      <c r="BF3705" s="78" t="n"/>
      <c r="BG3705" s="78" t="n"/>
      <c r="BH3705" s="78" t="n"/>
      <c r="BI3705" s="78" t="n"/>
      <c r="BJ3705" s="139" t="n"/>
      <c r="BK3705" s="204" t="n"/>
      <c r="BL3705" s="141" t="n"/>
      <c r="BM3705" s="205" t="n"/>
      <c r="BN3705" s="205" t="n"/>
      <c r="BO3705" s="206" t="n"/>
      <c r="BP3705" s="144" t="n"/>
      <c r="BQ3705" s="141" t="n"/>
      <c r="BR3705" s="207" t="n"/>
      <c r="BS3705" s="207" t="n"/>
      <c r="BT3705" s="207" t="n"/>
      <c r="BU3705" s="207" t="n"/>
      <c r="BV3705" s="208" t="n"/>
      <c r="BW3705" s="207" t="n"/>
      <c r="BX3705" s="207" t="n"/>
      <c r="BY3705" s="204" t="n"/>
      <c r="BZ3705" s="148" t="n"/>
      <c r="CA3705" s="204" t="n"/>
      <c r="CB3705" s="208" t="n"/>
      <c r="CC3705" s="139" t="n"/>
      <c r="CD3705" s="204" t="n"/>
      <c r="CE3705" s="204" t="n"/>
      <c r="CF3705" s="207" t="n"/>
      <c r="CG3705" s="208" t="n"/>
      <c r="CH3705" s="207" t="n"/>
      <c r="CI3705" s="208" t="n"/>
      <c r="CJ3705" s="204" t="n"/>
      <c r="CK3705" s="208" t="n"/>
      <c r="CL3705" s="208" t="n"/>
      <c r="CM3705" s="208" t="n"/>
      <c r="CN3705" s="78" t="n"/>
      <c r="CO3705" s="209" t="n"/>
      <c r="CP3705" s="204" t="n"/>
      <c r="CQ3705" s="204" t="n"/>
      <c r="CR3705" s="204" t="n"/>
      <c r="CS3705" s="204" t="n"/>
      <c r="CT3705" s="204" t="n"/>
      <c r="CU3705" s="204" t="n"/>
      <c r="CV3705" s="204" t="n"/>
      <c r="CW3705" s="204" t="n"/>
    </row>
    <row r="3706">
      <c r="BF3706" s="78" t="n"/>
      <c r="BG3706" s="78" t="n"/>
      <c r="BH3706" s="78" t="n"/>
      <c r="BI3706" s="78" t="n"/>
      <c r="BJ3706" s="139" t="n"/>
      <c r="BK3706" s="204" t="n"/>
      <c r="BL3706" s="141" t="n"/>
      <c r="BM3706" s="205" t="n"/>
      <c r="BN3706" s="205" t="n"/>
      <c r="BO3706" s="206" t="n"/>
      <c r="BP3706" s="144" t="n"/>
      <c r="BQ3706" s="141" t="n"/>
      <c r="BR3706" s="207" t="n"/>
      <c r="BS3706" s="207" t="n"/>
      <c r="BT3706" s="207" t="n"/>
      <c r="BU3706" s="207" t="n"/>
      <c r="BV3706" s="208" t="n"/>
      <c r="BW3706" s="207" t="n"/>
      <c r="BX3706" s="207" t="n"/>
      <c r="BY3706" s="204" t="n"/>
      <c r="BZ3706" s="148" t="n"/>
      <c r="CA3706" s="204" t="n"/>
      <c r="CB3706" s="208" t="n"/>
      <c r="CC3706" s="139" t="n"/>
      <c r="CD3706" s="204" t="n"/>
      <c r="CE3706" s="204" t="n"/>
      <c r="CF3706" s="207" t="n"/>
      <c r="CG3706" s="208" t="n"/>
      <c r="CH3706" s="207" t="n"/>
      <c r="CI3706" s="208" t="n"/>
      <c r="CJ3706" s="204" t="n"/>
      <c r="CK3706" s="208" t="n"/>
      <c r="CL3706" s="208" t="n"/>
      <c r="CM3706" s="208" t="n"/>
      <c r="CN3706" s="78" t="n"/>
      <c r="CO3706" s="209" t="n"/>
      <c r="CP3706" s="204" t="n"/>
      <c r="CQ3706" s="204" t="n"/>
      <c r="CR3706" s="204" t="n"/>
      <c r="CS3706" s="204" t="n"/>
      <c r="CT3706" s="204" t="n"/>
      <c r="CU3706" s="204" t="n"/>
      <c r="CV3706" s="204" t="n"/>
      <c r="CW3706" s="204" t="n"/>
    </row>
    <row r="3707">
      <c r="BF3707" s="78" t="n"/>
      <c r="BG3707" s="78" t="n"/>
      <c r="BH3707" s="78" t="n"/>
      <c r="BI3707" s="78" t="n"/>
      <c r="BJ3707" s="139" t="n"/>
      <c r="BK3707" s="204" t="n"/>
      <c r="BL3707" s="141" t="n"/>
      <c r="BM3707" s="205" t="n"/>
      <c r="BN3707" s="205" t="n"/>
      <c r="BO3707" s="206" t="n"/>
      <c r="BP3707" s="144" t="n"/>
      <c r="BQ3707" s="141" t="n"/>
      <c r="BR3707" s="207" t="n"/>
      <c r="BS3707" s="207" t="n"/>
      <c r="BT3707" s="207" t="n"/>
      <c r="BU3707" s="207" t="n"/>
      <c r="BV3707" s="208" t="n"/>
      <c r="BW3707" s="207" t="n"/>
      <c r="BX3707" s="207" t="n"/>
      <c r="BY3707" s="204" t="n"/>
      <c r="BZ3707" s="148" t="n"/>
      <c r="CA3707" s="204" t="n"/>
      <c r="CB3707" s="208" t="n"/>
      <c r="CC3707" s="139" t="n"/>
      <c r="CD3707" s="204" t="n"/>
      <c r="CE3707" s="204" t="n"/>
      <c r="CF3707" s="207" t="n"/>
      <c r="CG3707" s="208" t="n"/>
      <c r="CH3707" s="207" t="n"/>
      <c r="CI3707" s="208" t="n"/>
      <c r="CJ3707" s="204" t="n"/>
      <c r="CK3707" s="208" t="n"/>
      <c r="CL3707" s="208" t="n"/>
      <c r="CM3707" s="208" t="n"/>
      <c r="CN3707" s="78" t="n"/>
      <c r="CO3707" s="209" t="n"/>
      <c r="CP3707" s="204" t="n"/>
      <c r="CQ3707" s="204" t="n"/>
      <c r="CR3707" s="204" t="n"/>
      <c r="CS3707" s="204" t="n"/>
      <c r="CT3707" s="204" t="n"/>
      <c r="CU3707" s="204" t="n"/>
      <c r="CV3707" s="204" t="n"/>
      <c r="CW3707" s="204" t="n"/>
    </row>
    <row r="3708">
      <c r="BF3708" s="78" t="n"/>
      <c r="BG3708" s="78" t="n"/>
      <c r="BH3708" s="78" t="n"/>
      <c r="BI3708" s="78" t="n"/>
      <c r="BJ3708" s="139" t="n"/>
      <c r="BK3708" s="204" t="n"/>
      <c r="BL3708" s="141" t="n"/>
      <c r="BM3708" s="205" t="n"/>
      <c r="BN3708" s="205" t="n"/>
      <c r="BO3708" s="206" t="n"/>
      <c r="BP3708" s="144" t="n"/>
      <c r="BQ3708" s="141" t="n"/>
      <c r="BR3708" s="207" t="n"/>
      <c r="BS3708" s="207" t="n"/>
      <c r="BT3708" s="207" t="n"/>
      <c r="BU3708" s="207" t="n"/>
      <c r="BV3708" s="208" t="n"/>
      <c r="BW3708" s="207" t="n"/>
      <c r="BX3708" s="207" t="n"/>
      <c r="BY3708" s="204" t="n"/>
      <c r="BZ3708" s="148" t="n"/>
      <c r="CA3708" s="204" t="n"/>
      <c r="CB3708" s="208" t="n"/>
      <c r="CC3708" s="139" t="n"/>
      <c r="CD3708" s="204" t="n"/>
      <c r="CE3708" s="204" t="n"/>
      <c r="CF3708" s="207" t="n"/>
      <c r="CG3708" s="208" t="n"/>
      <c r="CH3708" s="207" t="n"/>
      <c r="CI3708" s="208" t="n"/>
      <c r="CJ3708" s="204" t="n"/>
      <c r="CK3708" s="208" t="n"/>
      <c r="CL3708" s="208" t="n"/>
      <c r="CM3708" s="208" t="n"/>
      <c r="CN3708" s="78" t="n"/>
      <c r="CO3708" s="209" t="n"/>
      <c r="CP3708" s="204" t="n"/>
      <c r="CQ3708" s="204" t="n"/>
      <c r="CR3708" s="204" t="n"/>
      <c r="CS3708" s="204" t="n"/>
      <c r="CT3708" s="204" t="n"/>
      <c r="CU3708" s="204" t="n"/>
      <c r="CV3708" s="204" t="n"/>
      <c r="CW3708" s="204" t="n"/>
    </row>
    <row r="3709">
      <c r="BF3709" s="78" t="n"/>
      <c r="BG3709" s="78" t="n"/>
      <c r="BH3709" s="78" t="n"/>
      <c r="BI3709" s="78" t="n"/>
      <c r="BJ3709" s="139" t="n"/>
      <c r="BK3709" s="204" t="n"/>
      <c r="BL3709" s="141" t="n"/>
      <c r="BM3709" s="205" t="n"/>
      <c r="BN3709" s="205" t="n"/>
      <c r="BO3709" s="206" t="n"/>
      <c r="BP3709" s="144" t="n"/>
      <c r="BQ3709" s="141" t="n"/>
      <c r="BR3709" s="207" t="n"/>
      <c r="BS3709" s="207" t="n"/>
      <c r="BT3709" s="207" t="n"/>
      <c r="BU3709" s="207" t="n"/>
      <c r="BV3709" s="208" t="n"/>
      <c r="BW3709" s="207" t="n"/>
      <c r="BX3709" s="207" t="n"/>
      <c r="BY3709" s="204" t="n"/>
      <c r="BZ3709" s="148" t="n"/>
      <c r="CA3709" s="204" t="n"/>
      <c r="CB3709" s="208" t="n"/>
      <c r="CC3709" s="139" t="n"/>
      <c r="CD3709" s="204" t="n"/>
      <c r="CE3709" s="204" t="n"/>
      <c r="CF3709" s="207" t="n"/>
      <c r="CG3709" s="208" t="n"/>
      <c r="CH3709" s="207" t="n"/>
      <c r="CI3709" s="208" t="n"/>
      <c r="CJ3709" s="204" t="n"/>
      <c r="CK3709" s="208" t="n"/>
      <c r="CL3709" s="208" t="n"/>
      <c r="CM3709" s="208" t="n"/>
      <c r="CN3709" s="78" t="n"/>
      <c r="CO3709" s="209" t="n"/>
      <c r="CP3709" s="204" t="n"/>
      <c r="CQ3709" s="204" t="n"/>
      <c r="CR3709" s="204" t="n"/>
      <c r="CS3709" s="204" t="n"/>
      <c r="CT3709" s="204" t="n"/>
      <c r="CU3709" s="204" t="n"/>
      <c r="CV3709" s="204" t="n"/>
      <c r="CW3709" s="204" t="n"/>
    </row>
    <row r="3710">
      <c r="BF3710" s="78" t="n"/>
      <c r="BG3710" s="78" t="n"/>
      <c r="BH3710" s="78" t="n"/>
      <c r="BI3710" s="78" t="n"/>
      <c r="BJ3710" s="139" t="n"/>
      <c r="BK3710" s="204" t="n"/>
      <c r="BL3710" s="141" t="n"/>
      <c r="BM3710" s="205" t="n"/>
      <c r="BN3710" s="205" t="n"/>
      <c r="BO3710" s="206" t="n"/>
      <c r="BP3710" s="144" t="n"/>
      <c r="BQ3710" s="141" t="n"/>
      <c r="BR3710" s="207" t="n"/>
      <c r="BS3710" s="207" t="n"/>
      <c r="BT3710" s="207" t="n"/>
      <c r="BU3710" s="207" t="n"/>
      <c r="BV3710" s="208" t="n"/>
      <c r="BW3710" s="207" t="n"/>
      <c r="BX3710" s="207" t="n"/>
      <c r="BY3710" s="204" t="n"/>
      <c r="BZ3710" s="148" t="n"/>
      <c r="CA3710" s="204" t="n"/>
      <c r="CB3710" s="208" t="n"/>
      <c r="CC3710" s="139" t="n"/>
      <c r="CD3710" s="204" t="n"/>
      <c r="CE3710" s="204" t="n"/>
      <c r="CF3710" s="207" t="n"/>
      <c r="CG3710" s="208" t="n"/>
      <c r="CH3710" s="207" t="n"/>
      <c r="CI3710" s="208" t="n"/>
      <c r="CJ3710" s="204" t="n"/>
      <c r="CK3710" s="208" t="n"/>
      <c r="CL3710" s="208" t="n"/>
      <c r="CM3710" s="208" t="n"/>
      <c r="CN3710" s="78" t="n"/>
      <c r="CO3710" s="209" t="n"/>
      <c r="CP3710" s="204" t="n"/>
      <c r="CQ3710" s="204" t="n"/>
      <c r="CR3710" s="204" t="n"/>
      <c r="CS3710" s="204" t="n"/>
      <c r="CT3710" s="204" t="n"/>
      <c r="CU3710" s="204" t="n"/>
      <c r="CV3710" s="204" t="n"/>
      <c r="CW3710" s="204" t="n"/>
    </row>
    <row r="3711">
      <c r="BF3711" s="78" t="n"/>
      <c r="BG3711" s="78" t="n"/>
      <c r="BH3711" s="78" t="n"/>
      <c r="BI3711" s="78" t="n"/>
      <c r="BJ3711" s="139" t="n"/>
      <c r="BK3711" s="204" t="n"/>
      <c r="BL3711" s="141" t="n"/>
      <c r="BM3711" s="205" t="n"/>
      <c r="BN3711" s="205" t="n"/>
      <c r="BO3711" s="206" t="n"/>
      <c r="BP3711" s="144" t="n"/>
      <c r="BQ3711" s="141" t="n"/>
      <c r="BR3711" s="207" t="n"/>
      <c r="BS3711" s="207" t="n"/>
      <c r="BT3711" s="207" t="n"/>
      <c r="BU3711" s="207" t="n"/>
      <c r="BV3711" s="208" t="n"/>
      <c r="BW3711" s="207" t="n"/>
      <c r="BX3711" s="207" t="n"/>
      <c r="BY3711" s="204" t="n"/>
      <c r="BZ3711" s="148" t="n"/>
      <c r="CA3711" s="204" t="n"/>
      <c r="CB3711" s="208" t="n"/>
      <c r="CC3711" s="139" t="n"/>
      <c r="CD3711" s="204" t="n"/>
      <c r="CE3711" s="204" t="n"/>
      <c r="CF3711" s="207" t="n"/>
      <c r="CG3711" s="208" t="n"/>
      <c r="CH3711" s="207" t="n"/>
      <c r="CI3711" s="208" t="n"/>
      <c r="CJ3711" s="204" t="n"/>
      <c r="CK3711" s="208" t="n"/>
      <c r="CL3711" s="208" t="n"/>
      <c r="CM3711" s="208" t="n"/>
      <c r="CN3711" s="78" t="n"/>
      <c r="CO3711" s="209" t="n"/>
      <c r="CP3711" s="204" t="n"/>
      <c r="CQ3711" s="204" t="n"/>
      <c r="CR3711" s="204" t="n"/>
      <c r="CS3711" s="204" t="n"/>
      <c r="CT3711" s="204" t="n"/>
      <c r="CU3711" s="204" t="n"/>
      <c r="CV3711" s="204" t="n"/>
      <c r="CW3711" s="204" t="n"/>
    </row>
    <row r="3712">
      <c r="BF3712" s="78" t="n"/>
      <c r="BG3712" s="78" t="n"/>
      <c r="BH3712" s="78" t="n"/>
      <c r="BI3712" s="78" t="n"/>
      <c r="BJ3712" s="139" t="n"/>
      <c r="BK3712" s="204" t="n"/>
      <c r="BL3712" s="141" t="n"/>
      <c r="BM3712" s="205" t="n"/>
      <c r="BN3712" s="205" t="n"/>
      <c r="BO3712" s="206" t="n"/>
      <c r="BP3712" s="144" t="n"/>
      <c r="BQ3712" s="141" t="n"/>
      <c r="BR3712" s="207" t="n"/>
      <c r="BS3712" s="207" t="n"/>
      <c r="BT3712" s="207" t="n"/>
      <c r="BU3712" s="207" t="n"/>
      <c r="BV3712" s="208" t="n"/>
      <c r="BW3712" s="207" t="n"/>
      <c r="BX3712" s="207" t="n"/>
      <c r="BY3712" s="204" t="n"/>
      <c r="BZ3712" s="148" t="n"/>
      <c r="CA3712" s="204" t="n"/>
      <c r="CB3712" s="208" t="n"/>
      <c r="CC3712" s="139" t="n"/>
      <c r="CD3712" s="204" t="n"/>
      <c r="CE3712" s="204" t="n"/>
      <c r="CF3712" s="207" t="n"/>
      <c r="CG3712" s="208" t="n"/>
      <c r="CH3712" s="207" t="n"/>
      <c r="CI3712" s="208" t="n"/>
      <c r="CJ3712" s="204" t="n"/>
      <c r="CK3712" s="208" t="n"/>
      <c r="CL3712" s="208" t="n"/>
      <c r="CM3712" s="208" t="n"/>
      <c r="CN3712" s="78" t="n"/>
      <c r="CO3712" s="209" t="n"/>
      <c r="CP3712" s="204" t="n"/>
      <c r="CQ3712" s="204" t="n"/>
      <c r="CR3712" s="204" t="n"/>
      <c r="CS3712" s="204" t="n"/>
      <c r="CT3712" s="204" t="n"/>
      <c r="CU3712" s="204" t="n"/>
      <c r="CV3712" s="204" t="n"/>
      <c r="CW3712" s="204" t="n"/>
    </row>
    <row r="3713">
      <c r="BF3713" s="78" t="n"/>
      <c r="BG3713" s="78" t="n"/>
      <c r="BH3713" s="78" t="n"/>
      <c r="BI3713" s="78" t="n"/>
      <c r="BJ3713" s="139" t="n"/>
      <c r="BK3713" s="204" t="n"/>
      <c r="BL3713" s="141" t="n"/>
      <c r="BM3713" s="205" t="n"/>
      <c r="BN3713" s="205" t="n"/>
      <c r="BO3713" s="206" t="n"/>
      <c r="BP3713" s="144" t="n"/>
      <c r="BQ3713" s="141" t="n"/>
      <c r="BR3713" s="207" t="n"/>
      <c r="BS3713" s="207" t="n"/>
      <c r="BT3713" s="207" t="n"/>
      <c r="BU3713" s="207" t="n"/>
      <c r="BV3713" s="208" t="n"/>
      <c r="BW3713" s="207" t="n"/>
      <c r="BX3713" s="207" t="n"/>
      <c r="BY3713" s="204" t="n"/>
      <c r="BZ3713" s="148" t="n"/>
      <c r="CA3713" s="204" t="n"/>
      <c r="CB3713" s="208" t="n"/>
      <c r="CC3713" s="139" t="n"/>
      <c r="CD3713" s="204" t="n"/>
      <c r="CE3713" s="204" t="n"/>
      <c r="CF3713" s="207" t="n"/>
      <c r="CG3713" s="208" t="n"/>
      <c r="CH3713" s="207" t="n"/>
      <c r="CI3713" s="208" t="n"/>
      <c r="CJ3713" s="204" t="n"/>
      <c r="CK3713" s="208" t="n"/>
      <c r="CL3713" s="208" t="n"/>
      <c r="CM3713" s="208" t="n"/>
      <c r="CN3713" s="78" t="n"/>
      <c r="CO3713" s="209" t="n"/>
      <c r="CP3713" s="204" t="n"/>
      <c r="CQ3713" s="204" t="n"/>
      <c r="CR3713" s="204" t="n"/>
      <c r="CS3713" s="204" t="n"/>
      <c r="CT3713" s="204" t="n"/>
      <c r="CU3713" s="204" t="n"/>
      <c r="CV3713" s="204" t="n"/>
      <c r="CW3713" s="204" t="n"/>
    </row>
    <row r="3714">
      <c r="BF3714" s="78" t="n"/>
      <c r="BG3714" s="78" t="n"/>
      <c r="BH3714" s="78" t="n"/>
      <c r="BI3714" s="78" t="n"/>
      <c r="BJ3714" s="139" t="n"/>
      <c r="BK3714" s="204" t="n"/>
      <c r="BL3714" s="141" t="n"/>
      <c r="BM3714" s="205" t="n"/>
      <c r="BN3714" s="205" t="n"/>
      <c r="BO3714" s="206" t="n"/>
      <c r="BP3714" s="144" t="n"/>
      <c r="BQ3714" s="141" t="n"/>
      <c r="BR3714" s="207" t="n"/>
      <c r="BS3714" s="207" t="n"/>
      <c r="BT3714" s="207" t="n"/>
      <c r="BU3714" s="207" t="n"/>
      <c r="BV3714" s="208" t="n"/>
      <c r="BW3714" s="207" t="n"/>
      <c r="BX3714" s="207" t="n"/>
      <c r="BY3714" s="204" t="n"/>
      <c r="BZ3714" s="148" t="n"/>
      <c r="CA3714" s="204" t="n"/>
      <c r="CB3714" s="208" t="n"/>
      <c r="CC3714" s="139" t="n"/>
      <c r="CD3714" s="204" t="n"/>
      <c r="CE3714" s="204" t="n"/>
      <c r="CF3714" s="207" t="n"/>
      <c r="CG3714" s="208" t="n"/>
      <c r="CH3714" s="207" t="n"/>
      <c r="CI3714" s="208" t="n"/>
      <c r="CJ3714" s="204" t="n"/>
      <c r="CK3714" s="208" t="n"/>
      <c r="CL3714" s="208" t="n"/>
      <c r="CM3714" s="208" t="n"/>
      <c r="CN3714" s="78" t="n"/>
      <c r="CO3714" s="209" t="n"/>
      <c r="CP3714" s="204" t="n"/>
      <c r="CQ3714" s="204" t="n"/>
      <c r="CR3714" s="204" t="n"/>
      <c r="CS3714" s="204" t="n"/>
      <c r="CT3714" s="204" t="n"/>
      <c r="CU3714" s="204" t="n"/>
      <c r="CV3714" s="204" t="n"/>
      <c r="CW3714" s="204" t="n"/>
    </row>
    <row r="3715">
      <c r="BF3715" s="78" t="n"/>
      <c r="BG3715" s="78" t="n"/>
      <c r="BH3715" s="78" t="n"/>
      <c r="BI3715" s="78" t="n"/>
      <c r="BJ3715" s="139" t="n"/>
      <c r="BK3715" s="204" t="n"/>
      <c r="BL3715" s="141" t="n"/>
      <c r="BM3715" s="205" t="n"/>
      <c r="BN3715" s="205" t="n"/>
      <c r="BO3715" s="206" t="n"/>
      <c r="BP3715" s="144" t="n"/>
      <c r="BQ3715" s="141" t="n"/>
      <c r="BR3715" s="207" t="n"/>
      <c r="BS3715" s="207" t="n"/>
      <c r="BT3715" s="207" t="n"/>
      <c r="BU3715" s="207" t="n"/>
      <c r="BV3715" s="208" t="n"/>
      <c r="BW3715" s="207" t="n"/>
      <c r="BX3715" s="207" t="n"/>
      <c r="BY3715" s="204" t="n"/>
      <c r="BZ3715" s="148" t="n"/>
      <c r="CA3715" s="204" t="n"/>
      <c r="CB3715" s="208" t="n"/>
      <c r="CC3715" s="139" t="n"/>
      <c r="CD3715" s="204" t="n"/>
      <c r="CE3715" s="204" t="n"/>
      <c r="CF3715" s="207" t="n"/>
      <c r="CG3715" s="208" t="n"/>
      <c r="CH3715" s="207" t="n"/>
      <c r="CI3715" s="208" t="n"/>
      <c r="CJ3715" s="204" t="n"/>
      <c r="CK3715" s="208" t="n"/>
      <c r="CL3715" s="208" t="n"/>
      <c r="CM3715" s="208" t="n"/>
      <c r="CN3715" s="78" t="n"/>
      <c r="CO3715" s="209" t="n"/>
      <c r="CP3715" s="204" t="n"/>
      <c r="CQ3715" s="204" t="n"/>
      <c r="CR3715" s="204" t="n"/>
      <c r="CS3715" s="204" t="n"/>
      <c r="CT3715" s="204" t="n"/>
      <c r="CU3715" s="204" t="n"/>
      <c r="CV3715" s="204" t="n"/>
      <c r="CW3715" s="204" t="n"/>
    </row>
    <row r="3716">
      <c r="BF3716" s="78" t="n"/>
      <c r="BG3716" s="78" t="n"/>
      <c r="BH3716" s="78" t="n"/>
      <c r="BI3716" s="78" t="n"/>
      <c r="BJ3716" s="139" t="n"/>
      <c r="BK3716" s="204" t="n"/>
      <c r="BL3716" s="141" t="n"/>
      <c r="BM3716" s="205" t="n"/>
      <c r="BN3716" s="205" t="n"/>
      <c r="BO3716" s="206" t="n"/>
      <c r="BP3716" s="144" t="n"/>
      <c r="BQ3716" s="141" t="n"/>
      <c r="BR3716" s="207" t="n"/>
      <c r="BS3716" s="207" t="n"/>
      <c r="BT3716" s="207" t="n"/>
      <c r="BU3716" s="207" t="n"/>
      <c r="BV3716" s="208" t="n"/>
      <c r="BW3716" s="207" t="n"/>
      <c r="BX3716" s="207" t="n"/>
      <c r="BY3716" s="204" t="n"/>
      <c r="BZ3716" s="148" t="n"/>
      <c r="CA3716" s="204" t="n"/>
      <c r="CB3716" s="208" t="n"/>
      <c r="CC3716" s="139" t="n"/>
      <c r="CD3716" s="204" t="n"/>
      <c r="CE3716" s="204" t="n"/>
      <c r="CF3716" s="207" t="n"/>
      <c r="CG3716" s="208" t="n"/>
      <c r="CH3716" s="207" t="n"/>
      <c r="CI3716" s="208" t="n"/>
      <c r="CJ3716" s="204" t="n"/>
      <c r="CK3716" s="208" t="n"/>
      <c r="CL3716" s="208" t="n"/>
      <c r="CM3716" s="208" t="n"/>
      <c r="CN3716" s="78" t="n"/>
      <c r="CO3716" s="209" t="n"/>
      <c r="CP3716" s="204" t="n"/>
      <c r="CQ3716" s="204" t="n"/>
      <c r="CR3716" s="204" t="n"/>
      <c r="CS3716" s="204" t="n"/>
      <c r="CT3716" s="204" t="n"/>
      <c r="CU3716" s="204" t="n"/>
      <c r="CV3716" s="204" t="n"/>
      <c r="CW3716" s="204" t="n"/>
    </row>
    <row r="3717">
      <c r="BF3717" s="78" t="n"/>
      <c r="BG3717" s="78" t="n"/>
      <c r="BH3717" s="78" t="n"/>
      <c r="BI3717" s="78" t="n"/>
      <c r="BJ3717" s="139" t="n"/>
      <c r="BK3717" s="204" t="n"/>
      <c r="BL3717" s="141" t="n"/>
      <c r="BM3717" s="205" t="n"/>
      <c r="BN3717" s="205" t="n"/>
      <c r="BO3717" s="206" t="n"/>
      <c r="BP3717" s="144" t="n"/>
      <c r="BQ3717" s="141" t="n"/>
      <c r="BR3717" s="207" t="n"/>
      <c r="BS3717" s="207" t="n"/>
      <c r="BT3717" s="207" t="n"/>
      <c r="BU3717" s="207" t="n"/>
      <c r="BV3717" s="208" t="n"/>
      <c r="BW3717" s="207" t="n"/>
      <c r="BX3717" s="207" t="n"/>
      <c r="BY3717" s="204" t="n"/>
      <c r="BZ3717" s="148" t="n"/>
      <c r="CA3717" s="204" t="n"/>
      <c r="CB3717" s="208" t="n"/>
      <c r="CC3717" s="139" t="n"/>
      <c r="CD3717" s="204" t="n"/>
      <c r="CE3717" s="204" t="n"/>
      <c r="CF3717" s="207" t="n"/>
      <c r="CG3717" s="208" t="n"/>
      <c r="CH3717" s="207" t="n"/>
      <c r="CI3717" s="208" t="n"/>
      <c r="CJ3717" s="204" t="n"/>
      <c r="CK3717" s="208" t="n"/>
      <c r="CL3717" s="208" t="n"/>
      <c r="CM3717" s="208" t="n"/>
      <c r="CN3717" s="78" t="n"/>
      <c r="CO3717" s="209" t="n"/>
      <c r="CP3717" s="204" t="n"/>
      <c r="CQ3717" s="204" t="n"/>
      <c r="CR3717" s="204" t="n"/>
      <c r="CS3717" s="204" t="n"/>
      <c r="CT3717" s="204" t="n"/>
      <c r="CU3717" s="204" t="n"/>
      <c r="CV3717" s="204" t="n"/>
      <c r="CW3717" s="204" t="n"/>
    </row>
    <row r="3718">
      <c r="BF3718" s="78" t="n"/>
      <c r="BG3718" s="78" t="n"/>
      <c r="BH3718" s="78" t="n"/>
      <c r="BI3718" s="78" t="n"/>
      <c r="BJ3718" s="139" t="n"/>
      <c r="BK3718" s="204" t="n"/>
      <c r="BL3718" s="141" t="n"/>
      <c r="BM3718" s="205" t="n"/>
      <c r="BN3718" s="205" t="n"/>
      <c r="BO3718" s="206" t="n"/>
      <c r="BP3718" s="144" t="n"/>
      <c r="BQ3718" s="141" t="n"/>
      <c r="BR3718" s="207" t="n"/>
      <c r="BS3718" s="207" t="n"/>
      <c r="BT3718" s="207" t="n"/>
      <c r="BU3718" s="207" t="n"/>
      <c r="BV3718" s="208" t="n"/>
      <c r="BW3718" s="207" t="n"/>
      <c r="BX3718" s="207" t="n"/>
      <c r="BY3718" s="204" t="n"/>
      <c r="BZ3718" s="148" t="n"/>
      <c r="CA3718" s="204" t="n"/>
      <c r="CB3718" s="208" t="n"/>
      <c r="CC3718" s="139" t="n"/>
      <c r="CD3718" s="204" t="n"/>
      <c r="CE3718" s="204" t="n"/>
      <c r="CF3718" s="207" t="n"/>
      <c r="CG3718" s="208" t="n"/>
      <c r="CH3718" s="207" t="n"/>
      <c r="CI3718" s="208" t="n"/>
      <c r="CJ3718" s="204" t="n"/>
      <c r="CK3718" s="208" t="n"/>
      <c r="CL3718" s="208" t="n"/>
      <c r="CM3718" s="208" t="n"/>
      <c r="CN3718" s="78" t="n"/>
      <c r="CO3718" s="209" t="n"/>
      <c r="CP3718" s="204" t="n"/>
      <c r="CQ3718" s="204" t="n"/>
      <c r="CR3718" s="204" t="n"/>
      <c r="CS3718" s="204" t="n"/>
      <c r="CT3718" s="204" t="n"/>
      <c r="CU3718" s="204" t="n"/>
      <c r="CV3718" s="204" t="n"/>
      <c r="CW3718" s="204" t="n"/>
    </row>
    <row r="3719">
      <c r="BF3719" s="78" t="n"/>
      <c r="BG3719" s="78" t="n"/>
      <c r="BH3719" s="78" t="n"/>
      <c r="BI3719" s="78" t="n"/>
      <c r="BJ3719" s="139" t="n"/>
      <c r="BK3719" s="204" t="n"/>
      <c r="BL3719" s="141" t="n"/>
      <c r="BM3719" s="205" t="n"/>
      <c r="BN3719" s="205" t="n"/>
      <c r="BO3719" s="206" t="n"/>
      <c r="BP3719" s="144" t="n"/>
      <c r="BQ3719" s="141" t="n"/>
      <c r="BR3719" s="207" t="n"/>
      <c r="BS3719" s="207" t="n"/>
      <c r="BT3719" s="207" t="n"/>
      <c r="BU3719" s="207" t="n"/>
      <c r="BV3719" s="208" t="n"/>
      <c r="BW3719" s="207" t="n"/>
      <c r="BX3719" s="207" t="n"/>
      <c r="BY3719" s="204" t="n"/>
      <c r="BZ3719" s="148" t="n"/>
      <c r="CA3719" s="204" t="n"/>
      <c r="CB3719" s="208" t="n"/>
      <c r="CC3719" s="139" t="n"/>
      <c r="CD3719" s="204" t="n"/>
      <c r="CE3719" s="204" t="n"/>
      <c r="CF3719" s="207" t="n"/>
      <c r="CG3719" s="208" t="n"/>
      <c r="CH3719" s="207" t="n"/>
      <c r="CI3719" s="208" t="n"/>
      <c r="CJ3719" s="204" t="n"/>
      <c r="CK3719" s="208" t="n"/>
      <c r="CL3719" s="208" t="n"/>
      <c r="CM3719" s="208" t="n"/>
      <c r="CN3719" s="78" t="n"/>
      <c r="CO3719" s="209" t="n"/>
      <c r="CP3719" s="204" t="n"/>
      <c r="CQ3719" s="204" t="n"/>
      <c r="CR3719" s="204" t="n"/>
      <c r="CS3719" s="204" t="n"/>
      <c r="CT3719" s="204" t="n"/>
      <c r="CU3719" s="204" t="n"/>
      <c r="CV3719" s="204" t="n"/>
      <c r="CW3719" s="204" t="n"/>
    </row>
    <row r="3720">
      <c r="BF3720" s="78" t="n"/>
      <c r="BG3720" s="78" t="n"/>
      <c r="BH3720" s="78" t="n"/>
      <c r="BI3720" s="78" t="n"/>
      <c r="BJ3720" s="139" t="n"/>
      <c r="BK3720" s="204" t="n"/>
      <c r="BL3720" s="141" t="n"/>
      <c r="BM3720" s="205" t="n"/>
      <c r="BN3720" s="205" t="n"/>
      <c r="BO3720" s="206" t="n"/>
      <c r="BP3720" s="144" t="n"/>
      <c r="BQ3720" s="141" t="n"/>
      <c r="BR3720" s="207" t="n"/>
      <c r="BS3720" s="207" t="n"/>
      <c r="BT3720" s="207" t="n"/>
      <c r="BU3720" s="207" t="n"/>
      <c r="BV3720" s="208" t="n"/>
      <c r="BW3720" s="207" t="n"/>
      <c r="BX3720" s="207" t="n"/>
      <c r="BY3720" s="204" t="n"/>
      <c r="BZ3720" s="148" t="n"/>
      <c r="CA3720" s="204" t="n"/>
      <c r="CB3720" s="208" t="n"/>
      <c r="CC3720" s="139" t="n"/>
      <c r="CD3720" s="204" t="n"/>
      <c r="CE3720" s="204" t="n"/>
      <c r="CF3720" s="207" t="n"/>
      <c r="CG3720" s="208" t="n"/>
      <c r="CH3720" s="207" t="n"/>
      <c r="CI3720" s="208" t="n"/>
      <c r="CJ3720" s="204" t="n"/>
      <c r="CK3720" s="208" t="n"/>
      <c r="CL3720" s="208" t="n"/>
      <c r="CM3720" s="208" t="n"/>
      <c r="CN3720" s="78" t="n"/>
      <c r="CO3720" s="209" t="n"/>
      <c r="CP3720" s="204" t="n"/>
      <c r="CQ3720" s="204" t="n"/>
      <c r="CR3720" s="204" t="n"/>
      <c r="CS3720" s="204" t="n"/>
      <c r="CT3720" s="204" t="n"/>
      <c r="CU3720" s="204" t="n"/>
      <c r="CV3720" s="204" t="n"/>
      <c r="CW3720" s="204" t="n"/>
    </row>
    <row r="3721">
      <c r="BF3721" s="78" t="n"/>
      <c r="BG3721" s="78" t="n"/>
      <c r="BH3721" s="78" t="n"/>
      <c r="BI3721" s="78" t="n"/>
      <c r="BJ3721" s="139" t="n"/>
      <c r="BK3721" s="204" t="n"/>
      <c r="BL3721" s="141" t="n"/>
      <c r="BM3721" s="205" t="n"/>
      <c r="BN3721" s="205" t="n"/>
      <c r="BO3721" s="206" t="n"/>
      <c r="BP3721" s="144" t="n"/>
      <c r="BQ3721" s="141" t="n"/>
      <c r="BR3721" s="207" t="n"/>
      <c r="BS3721" s="207" t="n"/>
      <c r="BT3721" s="207" t="n"/>
      <c r="BU3721" s="207" t="n"/>
      <c r="BV3721" s="208" t="n"/>
      <c r="BW3721" s="207" t="n"/>
      <c r="BX3721" s="207" t="n"/>
      <c r="BY3721" s="204" t="n"/>
      <c r="BZ3721" s="148" t="n"/>
      <c r="CA3721" s="204" t="n"/>
      <c r="CB3721" s="208" t="n"/>
      <c r="CC3721" s="139" t="n"/>
      <c r="CD3721" s="204" t="n"/>
      <c r="CE3721" s="204" t="n"/>
      <c r="CF3721" s="207" t="n"/>
      <c r="CG3721" s="208" t="n"/>
      <c r="CH3721" s="207" t="n"/>
      <c r="CI3721" s="208" t="n"/>
      <c r="CJ3721" s="204" t="n"/>
      <c r="CK3721" s="208" t="n"/>
      <c r="CL3721" s="208" t="n"/>
      <c r="CM3721" s="208" t="n"/>
      <c r="CN3721" s="78" t="n"/>
      <c r="CO3721" s="209" t="n"/>
      <c r="CP3721" s="204" t="n"/>
      <c r="CQ3721" s="204" t="n"/>
      <c r="CR3721" s="204" t="n"/>
      <c r="CS3721" s="204" t="n"/>
      <c r="CT3721" s="204" t="n"/>
      <c r="CU3721" s="204" t="n"/>
      <c r="CV3721" s="204" t="n"/>
      <c r="CW3721" s="204" t="n"/>
    </row>
    <row r="3722">
      <c r="BF3722" s="78" t="n"/>
      <c r="BG3722" s="78" t="n"/>
      <c r="BH3722" s="78" t="n"/>
      <c r="BI3722" s="78" t="n"/>
      <c r="BJ3722" s="139" t="n"/>
      <c r="BK3722" s="204" t="n"/>
      <c r="BL3722" s="141" t="n"/>
      <c r="BM3722" s="205" t="n"/>
      <c r="BN3722" s="205" t="n"/>
      <c r="BO3722" s="206" t="n"/>
      <c r="BP3722" s="144" t="n"/>
      <c r="BQ3722" s="141" t="n"/>
      <c r="BR3722" s="207" t="n"/>
      <c r="BS3722" s="207" t="n"/>
      <c r="BT3722" s="207" t="n"/>
      <c r="BU3722" s="207" t="n"/>
      <c r="BV3722" s="208" t="n"/>
      <c r="BW3722" s="207" t="n"/>
      <c r="BX3722" s="207" t="n"/>
      <c r="BY3722" s="204" t="n"/>
      <c r="BZ3722" s="148" t="n"/>
      <c r="CA3722" s="204" t="n"/>
      <c r="CB3722" s="208" t="n"/>
      <c r="CC3722" s="139" t="n"/>
      <c r="CD3722" s="204" t="n"/>
      <c r="CE3722" s="204" t="n"/>
      <c r="CF3722" s="207" t="n"/>
      <c r="CG3722" s="208" t="n"/>
      <c r="CH3722" s="207" t="n"/>
      <c r="CI3722" s="208" t="n"/>
      <c r="CJ3722" s="204" t="n"/>
      <c r="CK3722" s="208" t="n"/>
      <c r="CL3722" s="208" t="n"/>
      <c r="CM3722" s="208" t="n"/>
      <c r="CN3722" s="78" t="n"/>
      <c r="CO3722" s="209" t="n"/>
      <c r="CP3722" s="204" t="n"/>
      <c r="CQ3722" s="204" t="n"/>
      <c r="CR3722" s="204" t="n"/>
      <c r="CS3722" s="204" t="n"/>
      <c r="CT3722" s="204" t="n"/>
      <c r="CU3722" s="204" t="n"/>
      <c r="CV3722" s="204" t="n"/>
      <c r="CW3722" s="204" t="n"/>
    </row>
    <row r="3723">
      <c r="BF3723" s="78" t="n"/>
      <c r="BG3723" s="78" t="n"/>
      <c r="BH3723" s="78" t="n"/>
      <c r="BI3723" s="78" t="n"/>
      <c r="BJ3723" s="139" t="n"/>
      <c r="BK3723" s="204" t="n"/>
      <c r="BL3723" s="141" t="n"/>
      <c r="BM3723" s="205" t="n"/>
      <c r="BN3723" s="205" t="n"/>
      <c r="BO3723" s="206" t="n"/>
      <c r="BP3723" s="144" t="n"/>
      <c r="BQ3723" s="141" t="n"/>
      <c r="BR3723" s="207" t="n"/>
      <c r="BS3723" s="207" t="n"/>
      <c r="BT3723" s="207" t="n"/>
      <c r="BU3723" s="207" t="n"/>
      <c r="BV3723" s="208" t="n"/>
      <c r="BW3723" s="207" t="n"/>
      <c r="BX3723" s="207" t="n"/>
      <c r="BY3723" s="204" t="n"/>
      <c r="BZ3723" s="148" t="n"/>
      <c r="CA3723" s="204" t="n"/>
      <c r="CB3723" s="208" t="n"/>
      <c r="CC3723" s="139" t="n"/>
      <c r="CD3723" s="204" t="n"/>
      <c r="CE3723" s="204" t="n"/>
      <c r="CF3723" s="207" t="n"/>
      <c r="CG3723" s="208" t="n"/>
      <c r="CH3723" s="207" t="n"/>
      <c r="CI3723" s="208" t="n"/>
      <c r="CJ3723" s="204" t="n"/>
      <c r="CK3723" s="208" t="n"/>
      <c r="CL3723" s="208" t="n"/>
      <c r="CM3723" s="208" t="n"/>
      <c r="CN3723" s="78" t="n"/>
      <c r="CO3723" s="209" t="n"/>
      <c r="CP3723" s="204" t="n"/>
      <c r="CQ3723" s="204" t="n"/>
      <c r="CR3723" s="204" t="n"/>
      <c r="CS3723" s="204" t="n"/>
      <c r="CT3723" s="204" t="n"/>
      <c r="CU3723" s="204" t="n"/>
      <c r="CV3723" s="204" t="n"/>
      <c r="CW3723" s="204" t="n"/>
    </row>
    <row r="3724">
      <c r="BF3724" s="78" t="n"/>
      <c r="BG3724" s="78" t="n"/>
      <c r="BH3724" s="78" t="n"/>
      <c r="BI3724" s="78" t="n"/>
      <c r="BJ3724" s="139" t="n"/>
      <c r="BK3724" s="204" t="n"/>
      <c r="BL3724" s="141" t="n"/>
      <c r="BM3724" s="205" t="n"/>
      <c r="BN3724" s="205" t="n"/>
      <c r="BO3724" s="206" t="n"/>
      <c r="BP3724" s="144" t="n"/>
      <c r="BQ3724" s="141" t="n"/>
      <c r="BR3724" s="207" t="n"/>
      <c r="BS3724" s="207" t="n"/>
      <c r="BT3724" s="207" t="n"/>
      <c r="BU3724" s="207" t="n"/>
      <c r="BV3724" s="208" t="n"/>
      <c r="BW3724" s="207" t="n"/>
      <c r="BX3724" s="207" t="n"/>
      <c r="BY3724" s="204" t="n"/>
      <c r="BZ3724" s="148" t="n"/>
      <c r="CA3724" s="204" t="n"/>
      <c r="CB3724" s="208" t="n"/>
      <c r="CC3724" s="139" t="n"/>
      <c r="CD3724" s="204" t="n"/>
      <c r="CE3724" s="204" t="n"/>
      <c r="CF3724" s="207" t="n"/>
      <c r="CG3724" s="208" t="n"/>
      <c r="CH3724" s="207" t="n"/>
      <c r="CI3724" s="208" t="n"/>
      <c r="CJ3724" s="204" t="n"/>
      <c r="CK3724" s="208" t="n"/>
      <c r="CL3724" s="208" t="n"/>
      <c r="CM3724" s="208" t="n"/>
      <c r="CN3724" s="78" t="n"/>
      <c r="CO3724" s="209" t="n"/>
      <c r="CP3724" s="204" t="n"/>
      <c r="CQ3724" s="204" t="n"/>
      <c r="CR3724" s="204" t="n"/>
      <c r="CS3724" s="204" t="n"/>
      <c r="CT3724" s="204" t="n"/>
      <c r="CU3724" s="204" t="n"/>
      <c r="CV3724" s="204" t="n"/>
      <c r="CW3724" s="204" t="n"/>
    </row>
    <row r="3725">
      <c r="BF3725" s="78" t="n"/>
      <c r="BG3725" s="78" t="n"/>
      <c r="BH3725" s="78" t="n"/>
      <c r="BI3725" s="78" t="n"/>
      <c r="BJ3725" s="139" t="n"/>
      <c r="BK3725" s="204" t="n"/>
      <c r="BL3725" s="141" t="n"/>
      <c r="BM3725" s="205" t="n"/>
      <c r="BN3725" s="205" t="n"/>
      <c r="BO3725" s="206" t="n"/>
      <c r="BP3725" s="144" t="n"/>
      <c r="BQ3725" s="141" t="n"/>
      <c r="BR3725" s="207" t="n"/>
      <c r="BS3725" s="207" t="n"/>
      <c r="BT3725" s="207" t="n"/>
      <c r="BU3725" s="207" t="n"/>
      <c r="BV3725" s="208" t="n"/>
      <c r="BW3725" s="207" t="n"/>
      <c r="BX3725" s="207" t="n"/>
      <c r="BY3725" s="204" t="n"/>
      <c r="BZ3725" s="148" t="n"/>
      <c r="CA3725" s="204" t="n"/>
      <c r="CB3725" s="208" t="n"/>
      <c r="CC3725" s="139" t="n"/>
      <c r="CD3725" s="204" t="n"/>
      <c r="CE3725" s="204" t="n"/>
      <c r="CF3725" s="207" t="n"/>
      <c r="CG3725" s="208" t="n"/>
      <c r="CH3725" s="207" t="n"/>
      <c r="CI3725" s="208" t="n"/>
      <c r="CJ3725" s="204" t="n"/>
      <c r="CK3725" s="208" t="n"/>
      <c r="CL3725" s="208" t="n"/>
      <c r="CM3725" s="208" t="n"/>
      <c r="CN3725" s="78" t="n"/>
      <c r="CO3725" s="209" t="n"/>
      <c r="CP3725" s="204" t="n"/>
      <c r="CQ3725" s="204" t="n"/>
      <c r="CR3725" s="204" t="n"/>
      <c r="CS3725" s="204" t="n"/>
      <c r="CT3725" s="204" t="n"/>
      <c r="CU3725" s="204" t="n"/>
      <c r="CV3725" s="204" t="n"/>
      <c r="CW3725" s="204" t="n"/>
    </row>
    <row r="3726">
      <c r="BF3726" s="78" t="n"/>
      <c r="BG3726" s="78" t="n"/>
      <c r="BH3726" s="78" t="n"/>
      <c r="BI3726" s="78" t="n"/>
      <c r="BJ3726" s="139" t="n"/>
      <c r="BK3726" s="204" t="n"/>
      <c r="BL3726" s="141" t="n"/>
      <c r="BM3726" s="205" t="n"/>
      <c r="BN3726" s="205" t="n"/>
      <c r="BO3726" s="206" t="n"/>
      <c r="BP3726" s="144" t="n"/>
      <c r="BQ3726" s="141" t="n"/>
      <c r="BR3726" s="207" t="n"/>
      <c r="BS3726" s="207" t="n"/>
      <c r="BT3726" s="207" t="n"/>
      <c r="BU3726" s="207" t="n"/>
      <c r="BV3726" s="208" t="n"/>
      <c r="BW3726" s="207" t="n"/>
      <c r="BX3726" s="207" t="n"/>
      <c r="BY3726" s="204" t="n"/>
      <c r="BZ3726" s="148" t="n"/>
      <c r="CA3726" s="204" t="n"/>
      <c r="CB3726" s="208" t="n"/>
      <c r="CC3726" s="139" t="n"/>
      <c r="CD3726" s="204" t="n"/>
      <c r="CE3726" s="204" t="n"/>
      <c r="CF3726" s="207" t="n"/>
      <c r="CG3726" s="208" t="n"/>
      <c r="CH3726" s="207" t="n"/>
      <c r="CI3726" s="208" t="n"/>
      <c r="CJ3726" s="204" t="n"/>
      <c r="CK3726" s="208" t="n"/>
      <c r="CL3726" s="208" t="n"/>
      <c r="CM3726" s="208" t="n"/>
      <c r="CN3726" s="78" t="n"/>
      <c r="CO3726" s="209" t="n"/>
      <c r="CP3726" s="204" t="n"/>
      <c r="CQ3726" s="204" t="n"/>
      <c r="CR3726" s="204" t="n"/>
      <c r="CS3726" s="204" t="n"/>
      <c r="CT3726" s="204" t="n"/>
      <c r="CU3726" s="204" t="n"/>
      <c r="CV3726" s="204" t="n"/>
      <c r="CW3726" s="204" t="n"/>
    </row>
    <row r="3727">
      <c r="BF3727" s="78" t="n"/>
      <c r="BG3727" s="78" t="n"/>
      <c r="BH3727" s="78" t="n"/>
      <c r="BI3727" s="78" t="n"/>
      <c r="BJ3727" s="139" t="n"/>
      <c r="BK3727" s="204" t="n"/>
      <c r="BL3727" s="141" t="n"/>
      <c r="BM3727" s="205" t="n"/>
      <c r="BN3727" s="205" t="n"/>
      <c r="BO3727" s="206" t="n"/>
      <c r="BP3727" s="144" t="n"/>
      <c r="BQ3727" s="141" t="n"/>
      <c r="BR3727" s="207" t="n"/>
      <c r="BS3727" s="207" t="n"/>
      <c r="BT3727" s="207" t="n"/>
      <c r="BU3727" s="207" t="n"/>
      <c r="BV3727" s="208" t="n"/>
      <c r="BW3727" s="207" t="n"/>
      <c r="BX3727" s="207" t="n"/>
      <c r="BY3727" s="204" t="n"/>
      <c r="BZ3727" s="148" t="n"/>
      <c r="CA3727" s="204" t="n"/>
      <c r="CB3727" s="208" t="n"/>
      <c r="CC3727" s="139" t="n"/>
      <c r="CD3727" s="204" t="n"/>
      <c r="CE3727" s="204" t="n"/>
      <c r="CF3727" s="207" t="n"/>
      <c r="CG3727" s="208" t="n"/>
      <c r="CH3727" s="207" t="n"/>
      <c r="CI3727" s="208" t="n"/>
      <c r="CJ3727" s="204" t="n"/>
      <c r="CK3727" s="208" t="n"/>
      <c r="CL3727" s="208" t="n"/>
      <c r="CM3727" s="208" t="n"/>
      <c r="CN3727" s="78" t="n"/>
      <c r="CO3727" s="209" t="n"/>
      <c r="CP3727" s="204" t="n"/>
      <c r="CQ3727" s="204" t="n"/>
      <c r="CR3727" s="204" t="n"/>
      <c r="CS3727" s="204" t="n"/>
      <c r="CT3727" s="204" t="n"/>
      <c r="CU3727" s="204" t="n"/>
      <c r="CV3727" s="204" t="n"/>
      <c r="CW3727" s="204" t="n"/>
    </row>
    <row r="3728">
      <c r="BF3728" s="78" t="n"/>
      <c r="BG3728" s="78" t="n"/>
      <c r="BH3728" s="78" t="n"/>
      <c r="BI3728" s="78" t="n"/>
      <c r="BJ3728" s="139" t="n"/>
      <c r="BK3728" s="204" t="n"/>
      <c r="BL3728" s="141" t="n"/>
      <c r="BM3728" s="205" t="n"/>
      <c r="BN3728" s="205" t="n"/>
      <c r="BO3728" s="206" t="n"/>
      <c r="BP3728" s="144" t="n"/>
      <c r="BQ3728" s="141" t="n"/>
      <c r="BR3728" s="207" t="n"/>
      <c r="BS3728" s="207" t="n"/>
      <c r="BT3728" s="207" t="n"/>
      <c r="BU3728" s="207" t="n"/>
      <c r="BV3728" s="208" t="n"/>
      <c r="BW3728" s="207" t="n"/>
      <c r="BX3728" s="207" t="n"/>
      <c r="BY3728" s="204" t="n"/>
      <c r="BZ3728" s="148" t="n"/>
      <c r="CA3728" s="204" t="n"/>
      <c r="CB3728" s="208" t="n"/>
      <c r="CC3728" s="139" t="n"/>
      <c r="CD3728" s="204" t="n"/>
      <c r="CE3728" s="204" t="n"/>
      <c r="CF3728" s="207" t="n"/>
      <c r="CG3728" s="208" t="n"/>
      <c r="CH3728" s="207" t="n"/>
      <c r="CI3728" s="208" t="n"/>
      <c r="CJ3728" s="204" t="n"/>
      <c r="CK3728" s="208" t="n"/>
      <c r="CL3728" s="208" t="n"/>
      <c r="CM3728" s="208" t="n"/>
      <c r="CN3728" s="78" t="n"/>
      <c r="CO3728" s="209" t="n"/>
      <c r="CP3728" s="204" t="n"/>
      <c r="CQ3728" s="204" t="n"/>
      <c r="CR3728" s="204" t="n"/>
      <c r="CS3728" s="204" t="n"/>
      <c r="CT3728" s="204" t="n"/>
      <c r="CU3728" s="204" t="n"/>
      <c r="CV3728" s="204" t="n"/>
      <c r="CW3728" s="204" t="n"/>
    </row>
    <row r="3729">
      <c r="BF3729" s="78" t="n"/>
      <c r="BG3729" s="78" t="n"/>
      <c r="BH3729" s="78" t="n"/>
      <c r="BI3729" s="78" t="n"/>
      <c r="BJ3729" s="139" t="n"/>
      <c r="BK3729" s="204" t="n"/>
      <c r="BL3729" s="141" t="n"/>
      <c r="BM3729" s="205" t="n"/>
      <c r="BN3729" s="205" t="n"/>
      <c r="BO3729" s="206" t="n"/>
      <c r="BP3729" s="144" t="n"/>
      <c r="BQ3729" s="141" t="n"/>
      <c r="BR3729" s="207" t="n"/>
      <c r="BS3729" s="207" t="n"/>
      <c r="BT3729" s="207" t="n"/>
      <c r="BU3729" s="207" t="n"/>
      <c r="BV3729" s="208" t="n"/>
      <c r="BW3729" s="207" t="n"/>
      <c r="BX3729" s="207" t="n"/>
      <c r="BY3729" s="204" t="n"/>
      <c r="BZ3729" s="148" t="n"/>
      <c r="CA3729" s="204" t="n"/>
      <c r="CB3729" s="208" t="n"/>
      <c r="CC3729" s="139" t="n"/>
      <c r="CD3729" s="204" t="n"/>
      <c r="CE3729" s="204" t="n"/>
      <c r="CF3729" s="207" t="n"/>
      <c r="CG3729" s="208" t="n"/>
      <c r="CH3729" s="207" t="n"/>
      <c r="CI3729" s="208" t="n"/>
      <c r="CJ3729" s="204" t="n"/>
      <c r="CK3729" s="208" t="n"/>
      <c r="CL3729" s="208" t="n"/>
      <c r="CM3729" s="208" t="n"/>
      <c r="CN3729" s="78" t="n"/>
      <c r="CO3729" s="209" t="n"/>
      <c r="CP3729" s="204" t="n"/>
      <c r="CQ3729" s="204" t="n"/>
      <c r="CR3729" s="204" t="n"/>
      <c r="CS3729" s="204" t="n"/>
      <c r="CT3729" s="204" t="n"/>
      <c r="CU3729" s="204" t="n"/>
      <c r="CV3729" s="204" t="n"/>
      <c r="CW3729" s="204" t="n"/>
    </row>
    <row r="3730">
      <c r="BF3730" s="78" t="n"/>
      <c r="BG3730" s="78" t="n"/>
      <c r="BH3730" s="78" t="n"/>
      <c r="BI3730" s="78" t="n"/>
      <c r="BJ3730" s="139" t="n"/>
      <c r="BK3730" s="204" t="n"/>
      <c r="BL3730" s="141" t="n"/>
      <c r="BM3730" s="205" t="n"/>
      <c r="BN3730" s="205" t="n"/>
      <c r="BO3730" s="206" t="n"/>
      <c r="BP3730" s="144" t="n"/>
      <c r="BQ3730" s="141" t="n"/>
      <c r="BR3730" s="207" t="n"/>
      <c r="BS3730" s="207" t="n"/>
      <c r="BT3730" s="207" t="n"/>
      <c r="BU3730" s="207" t="n"/>
      <c r="BV3730" s="208" t="n"/>
      <c r="BW3730" s="207" t="n"/>
      <c r="BX3730" s="207" t="n"/>
      <c r="BY3730" s="204" t="n"/>
      <c r="BZ3730" s="148" t="n"/>
      <c r="CA3730" s="204" t="n"/>
      <c r="CB3730" s="208" t="n"/>
      <c r="CC3730" s="139" t="n"/>
      <c r="CD3730" s="204" t="n"/>
      <c r="CE3730" s="204" t="n"/>
      <c r="CF3730" s="207" t="n"/>
      <c r="CG3730" s="208" t="n"/>
      <c r="CH3730" s="207" t="n"/>
      <c r="CI3730" s="208" t="n"/>
      <c r="CJ3730" s="204" t="n"/>
      <c r="CK3730" s="208" t="n"/>
      <c r="CL3730" s="208" t="n"/>
      <c r="CM3730" s="208" t="n"/>
      <c r="CN3730" s="78" t="n"/>
      <c r="CO3730" s="209" t="n"/>
      <c r="CP3730" s="204" t="n"/>
      <c r="CQ3730" s="204" t="n"/>
      <c r="CR3730" s="204" t="n"/>
      <c r="CS3730" s="204" t="n"/>
      <c r="CT3730" s="204" t="n"/>
      <c r="CU3730" s="204" t="n"/>
      <c r="CV3730" s="204" t="n"/>
      <c r="CW3730" s="204" t="n"/>
    </row>
    <row r="3731">
      <c r="BF3731" s="78" t="n"/>
      <c r="BG3731" s="78" t="n"/>
      <c r="BH3731" s="78" t="n"/>
      <c r="BI3731" s="78" t="n"/>
      <c r="BJ3731" s="139" t="n"/>
      <c r="BK3731" s="204" t="n"/>
      <c r="BL3731" s="141" t="n"/>
      <c r="BM3731" s="205" t="n"/>
      <c r="BN3731" s="205" t="n"/>
      <c r="BO3731" s="206" t="n"/>
      <c r="BP3731" s="144" t="n"/>
      <c r="BQ3731" s="141" t="n"/>
      <c r="BR3731" s="207" t="n"/>
      <c r="BS3731" s="207" t="n"/>
      <c r="BT3731" s="207" t="n"/>
      <c r="BU3731" s="207" t="n"/>
      <c r="BV3731" s="208" t="n"/>
      <c r="BW3731" s="207" t="n"/>
      <c r="BX3731" s="207" t="n"/>
      <c r="BY3731" s="204" t="n"/>
      <c r="BZ3731" s="148" t="n"/>
      <c r="CA3731" s="204" t="n"/>
      <c r="CB3731" s="208" t="n"/>
      <c r="CC3731" s="139" t="n"/>
      <c r="CD3731" s="204" t="n"/>
      <c r="CE3731" s="204" t="n"/>
      <c r="CF3731" s="207" t="n"/>
      <c r="CG3731" s="208" t="n"/>
      <c r="CH3731" s="207" t="n"/>
      <c r="CI3731" s="208" t="n"/>
      <c r="CJ3731" s="204" t="n"/>
      <c r="CK3731" s="208" t="n"/>
      <c r="CL3731" s="208" t="n"/>
      <c r="CM3731" s="208" t="n"/>
      <c r="CN3731" s="78" t="n"/>
      <c r="CO3731" s="209" t="n"/>
      <c r="CP3731" s="204" t="n"/>
      <c r="CQ3731" s="204" t="n"/>
      <c r="CR3731" s="204" t="n"/>
      <c r="CS3731" s="204" t="n"/>
      <c r="CT3731" s="204" t="n"/>
      <c r="CU3731" s="204" t="n"/>
      <c r="CV3731" s="204" t="n"/>
      <c r="CW3731" s="204" t="n"/>
    </row>
    <row r="3732">
      <c r="BF3732" s="78" t="n"/>
      <c r="BG3732" s="78" t="n"/>
      <c r="BH3732" s="78" t="n"/>
      <c r="BI3732" s="78" t="n"/>
      <c r="BJ3732" s="139" t="n"/>
      <c r="BK3732" s="204" t="n"/>
      <c r="BL3732" s="141" t="n"/>
      <c r="BM3732" s="205" t="n"/>
      <c r="BN3732" s="205" t="n"/>
      <c r="BO3732" s="206" t="n"/>
      <c r="BP3732" s="144" t="n"/>
      <c r="BQ3732" s="141" t="n"/>
      <c r="BR3732" s="207" t="n"/>
      <c r="BS3732" s="207" t="n"/>
      <c r="BT3732" s="207" t="n"/>
      <c r="BU3732" s="207" t="n"/>
      <c r="BV3732" s="208" t="n"/>
      <c r="BW3732" s="207" t="n"/>
      <c r="BX3732" s="207" t="n"/>
      <c r="BY3732" s="204" t="n"/>
      <c r="BZ3732" s="148" t="n"/>
      <c r="CA3732" s="204" t="n"/>
      <c r="CB3732" s="208" t="n"/>
      <c r="CC3732" s="139" t="n"/>
      <c r="CD3732" s="204" t="n"/>
      <c r="CE3732" s="204" t="n"/>
      <c r="CF3732" s="207" t="n"/>
      <c r="CG3732" s="208" t="n"/>
      <c r="CH3732" s="207" t="n"/>
      <c r="CI3732" s="208" t="n"/>
      <c r="CJ3732" s="204" t="n"/>
      <c r="CK3732" s="208" t="n"/>
      <c r="CL3732" s="208" t="n"/>
      <c r="CM3732" s="208" t="n"/>
      <c r="CN3732" s="78" t="n"/>
      <c r="CO3732" s="209" t="n"/>
      <c r="CP3732" s="204" t="n"/>
      <c r="CQ3732" s="204" t="n"/>
      <c r="CR3732" s="204" t="n"/>
      <c r="CS3732" s="204" t="n"/>
      <c r="CT3732" s="204" t="n"/>
      <c r="CU3732" s="204" t="n"/>
      <c r="CV3732" s="204" t="n"/>
      <c r="CW3732" s="204" t="n"/>
    </row>
    <row r="3733">
      <c r="BF3733" s="78" t="n"/>
      <c r="BG3733" s="78" t="n"/>
      <c r="BH3733" s="78" t="n"/>
      <c r="BI3733" s="78" t="n"/>
      <c r="BJ3733" s="139" t="n"/>
      <c r="BK3733" s="204" t="n"/>
      <c r="BL3733" s="141" t="n"/>
      <c r="BM3733" s="205" t="n"/>
      <c r="BN3733" s="205" t="n"/>
      <c r="BO3733" s="206" t="n"/>
      <c r="BP3733" s="144" t="n"/>
      <c r="BQ3733" s="141" t="n"/>
      <c r="BR3733" s="207" t="n"/>
      <c r="BS3733" s="207" t="n"/>
      <c r="BT3733" s="207" t="n"/>
      <c r="BU3733" s="207" t="n"/>
      <c r="BV3733" s="208" t="n"/>
      <c r="BW3733" s="207" t="n"/>
      <c r="BX3733" s="207" t="n"/>
      <c r="BY3733" s="204" t="n"/>
      <c r="BZ3733" s="148" t="n"/>
      <c r="CA3733" s="204" t="n"/>
      <c r="CB3733" s="208" t="n"/>
      <c r="CC3733" s="139" t="n"/>
      <c r="CD3733" s="204" t="n"/>
      <c r="CE3733" s="204" t="n"/>
      <c r="CF3733" s="207" t="n"/>
      <c r="CG3733" s="208" t="n"/>
      <c r="CH3733" s="207" t="n"/>
      <c r="CI3733" s="208" t="n"/>
      <c r="CJ3733" s="204" t="n"/>
      <c r="CK3733" s="208" t="n"/>
      <c r="CL3733" s="208" t="n"/>
      <c r="CM3733" s="208" t="n"/>
      <c r="CN3733" s="78" t="n"/>
      <c r="CO3733" s="209" t="n"/>
      <c r="CP3733" s="204" t="n"/>
      <c r="CQ3733" s="204" t="n"/>
      <c r="CR3733" s="204" t="n"/>
      <c r="CS3733" s="204" t="n"/>
      <c r="CT3733" s="204" t="n"/>
      <c r="CU3733" s="204" t="n"/>
      <c r="CV3733" s="204" t="n"/>
      <c r="CW3733" s="204" t="n"/>
    </row>
    <row r="3734">
      <c r="BF3734" s="78" t="n"/>
      <c r="BG3734" s="78" t="n"/>
      <c r="BH3734" s="78" t="n"/>
      <c r="BI3734" s="78" t="n"/>
      <c r="BJ3734" s="139" t="n"/>
      <c r="BK3734" s="204" t="n"/>
      <c r="BL3734" s="141" t="n"/>
      <c r="BM3734" s="205" t="n"/>
      <c r="BN3734" s="205" t="n"/>
      <c r="BO3734" s="206" t="n"/>
      <c r="BP3734" s="144" t="n"/>
      <c r="BQ3734" s="141" t="n"/>
      <c r="BR3734" s="207" t="n"/>
      <c r="BS3734" s="207" t="n"/>
      <c r="BT3734" s="207" t="n"/>
      <c r="BU3734" s="207" t="n"/>
      <c r="BV3734" s="208" t="n"/>
      <c r="BW3734" s="207" t="n"/>
      <c r="BX3734" s="207" t="n"/>
      <c r="BY3734" s="204" t="n"/>
      <c r="BZ3734" s="148" t="n"/>
      <c r="CA3734" s="204" t="n"/>
      <c r="CB3734" s="208" t="n"/>
      <c r="CC3734" s="139" t="n"/>
      <c r="CD3734" s="204" t="n"/>
      <c r="CE3734" s="204" t="n"/>
      <c r="CF3734" s="207" t="n"/>
      <c r="CG3734" s="208" t="n"/>
      <c r="CH3734" s="207" t="n"/>
      <c r="CI3734" s="208" t="n"/>
      <c r="CJ3734" s="204" t="n"/>
      <c r="CK3734" s="208" t="n"/>
      <c r="CL3734" s="208" t="n"/>
      <c r="CM3734" s="208" t="n"/>
      <c r="CN3734" s="78" t="n"/>
      <c r="CO3734" s="209" t="n"/>
      <c r="CP3734" s="204" t="n"/>
      <c r="CQ3734" s="204" t="n"/>
      <c r="CR3734" s="204" t="n"/>
      <c r="CS3734" s="204" t="n"/>
      <c r="CT3734" s="204" t="n"/>
      <c r="CU3734" s="204" t="n"/>
      <c r="CV3734" s="204" t="n"/>
      <c r="CW3734" s="204" t="n"/>
    </row>
    <row r="3735">
      <c r="BF3735" s="78" t="n"/>
      <c r="BG3735" s="78" t="n"/>
      <c r="BH3735" s="78" t="n"/>
      <c r="BI3735" s="78" t="n"/>
      <c r="BJ3735" s="139" t="n"/>
      <c r="BK3735" s="204" t="n"/>
      <c r="BL3735" s="141" t="n"/>
      <c r="BM3735" s="205" t="n"/>
      <c r="BN3735" s="205" t="n"/>
      <c r="BO3735" s="206" t="n"/>
      <c r="BP3735" s="144" t="n"/>
      <c r="BQ3735" s="141" t="n"/>
      <c r="BR3735" s="207" t="n"/>
      <c r="BS3735" s="207" t="n"/>
      <c r="BT3735" s="207" t="n"/>
      <c r="BU3735" s="207" t="n"/>
      <c r="BV3735" s="208" t="n"/>
      <c r="BW3735" s="207" t="n"/>
      <c r="BX3735" s="207" t="n"/>
      <c r="BY3735" s="204" t="n"/>
      <c r="BZ3735" s="148" t="n"/>
      <c r="CA3735" s="204" t="n"/>
      <c r="CB3735" s="208" t="n"/>
      <c r="CC3735" s="139" t="n"/>
      <c r="CD3735" s="204" t="n"/>
      <c r="CE3735" s="204" t="n"/>
      <c r="CF3735" s="207" t="n"/>
      <c r="CG3735" s="208" t="n"/>
      <c r="CH3735" s="207" t="n"/>
      <c r="CI3735" s="208" t="n"/>
      <c r="CJ3735" s="204" t="n"/>
      <c r="CK3735" s="208" t="n"/>
      <c r="CL3735" s="208" t="n"/>
      <c r="CM3735" s="208" t="n"/>
      <c r="CN3735" s="78" t="n"/>
      <c r="CO3735" s="209" t="n"/>
      <c r="CP3735" s="204" t="n"/>
      <c r="CQ3735" s="204" t="n"/>
      <c r="CR3735" s="204" t="n"/>
      <c r="CS3735" s="204" t="n"/>
      <c r="CT3735" s="204" t="n"/>
      <c r="CU3735" s="204" t="n"/>
      <c r="CV3735" s="204" t="n"/>
      <c r="CW3735" s="204" t="n"/>
    </row>
    <row r="3736">
      <c r="BF3736" s="78" t="n"/>
      <c r="BG3736" s="78" t="n"/>
      <c r="BH3736" s="78" t="n"/>
      <c r="BI3736" s="78" t="n"/>
      <c r="BJ3736" s="139" t="n"/>
      <c r="BK3736" s="204" t="n"/>
      <c r="BL3736" s="141" t="n"/>
      <c r="BM3736" s="205" t="n"/>
      <c r="BN3736" s="205" t="n"/>
      <c r="BO3736" s="206" t="n"/>
      <c r="BP3736" s="144" t="n"/>
      <c r="BQ3736" s="141" t="n"/>
      <c r="BR3736" s="207" t="n"/>
      <c r="BS3736" s="207" t="n"/>
      <c r="BT3736" s="207" t="n"/>
      <c r="BU3736" s="207" t="n"/>
      <c r="BV3736" s="208" t="n"/>
      <c r="BW3736" s="207" t="n"/>
      <c r="BX3736" s="207" t="n"/>
      <c r="BY3736" s="204" t="n"/>
      <c r="BZ3736" s="148" t="n"/>
      <c r="CA3736" s="204" t="n"/>
      <c r="CB3736" s="208" t="n"/>
      <c r="CC3736" s="139" t="n"/>
      <c r="CD3736" s="204" t="n"/>
      <c r="CE3736" s="204" t="n"/>
      <c r="CF3736" s="207" t="n"/>
      <c r="CG3736" s="208" t="n"/>
      <c r="CH3736" s="207" t="n"/>
      <c r="CI3736" s="208" t="n"/>
      <c r="CJ3736" s="204" t="n"/>
      <c r="CK3736" s="208" t="n"/>
      <c r="CL3736" s="208" t="n"/>
      <c r="CM3736" s="208" t="n"/>
      <c r="CN3736" s="78" t="n"/>
      <c r="CO3736" s="209" t="n"/>
      <c r="CP3736" s="204" t="n"/>
      <c r="CQ3736" s="204" t="n"/>
      <c r="CR3736" s="204" t="n"/>
      <c r="CS3736" s="204" t="n"/>
      <c r="CT3736" s="204" t="n"/>
      <c r="CU3736" s="204" t="n"/>
      <c r="CV3736" s="204" t="n"/>
      <c r="CW3736" s="204" t="n"/>
    </row>
    <row r="3737">
      <c r="BF3737" s="78" t="n"/>
      <c r="BG3737" s="78" t="n"/>
      <c r="BH3737" s="78" t="n"/>
      <c r="BI3737" s="78" t="n"/>
      <c r="BJ3737" s="139" t="n"/>
      <c r="BK3737" s="204" t="n"/>
      <c r="BL3737" s="141" t="n"/>
      <c r="BM3737" s="205" t="n"/>
      <c r="BN3737" s="205" t="n"/>
      <c r="BO3737" s="206" t="n"/>
      <c r="BP3737" s="144" t="n"/>
      <c r="BQ3737" s="141" t="n"/>
      <c r="BR3737" s="207" t="n"/>
      <c r="BS3737" s="207" t="n"/>
      <c r="BT3737" s="207" t="n"/>
      <c r="BU3737" s="207" t="n"/>
      <c r="BV3737" s="208" t="n"/>
      <c r="BW3737" s="207" t="n"/>
      <c r="BX3737" s="207" t="n"/>
      <c r="BY3737" s="204" t="n"/>
      <c r="BZ3737" s="148" t="n"/>
      <c r="CA3737" s="204" t="n"/>
      <c r="CB3737" s="208" t="n"/>
      <c r="CC3737" s="139" t="n"/>
      <c r="CD3737" s="204" t="n"/>
      <c r="CE3737" s="204" t="n"/>
      <c r="CF3737" s="207" t="n"/>
      <c r="CG3737" s="208" t="n"/>
      <c r="CH3737" s="207" t="n"/>
      <c r="CI3737" s="208" t="n"/>
      <c r="CJ3737" s="204" t="n"/>
      <c r="CK3737" s="208" t="n"/>
      <c r="CL3737" s="208" t="n"/>
      <c r="CM3737" s="208" t="n"/>
      <c r="CN3737" s="78" t="n"/>
      <c r="CO3737" s="209" t="n"/>
      <c r="CP3737" s="204" t="n"/>
      <c r="CQ3737" s="204" t="n"/>
      <c r="CR3737" s="204" t="n"/>
      <c r="CS3737" s="204" t="n"/>
      <c r="CT3737" s="204" t="n"/>
      <c r="CU3737" s="204" t="n"/>
      <c r="CV3737" s="204" t="n"/>
      <c r="CW3737" s="204" t="n"/>
    </row>
    <row r="3738">
      <c r="BF3738" s="78" t="n"/>
      <c r="BG3738" s="78" t="n"/>
      <c r="BH3738" s="78" t="n"/>
      <c r="BI3738" s="78" t="n"/>
      <c r="BJ3738" s="139" t="n"/>
      <c r="BK3738" s="204" t="n"/>
      <c r="BL3738" s="141" t="n"/>
      <c r="BM3738" s="205" t="n"/>
      <c r="BN3738" s="205" t="n"/>
      <c r="BO3738" s="206" t="n"/>
      <c r="BP3738" s="144" t="n"/>
      <c r="BQ3738" s="141" t="n"/>
      <c r="BR3738" s="207" t="n"/>
      <c r="BS3738" s="207" t="n"/>
      <c r="BT3738" s="207" t="n"/>
      <c r="BU3738" s="207" t="n"/>
      <c r="BV3738" s="208" t="n"/>
      <c r="BW3738" s="207" t="n"/>
      <c r="BX3738" s="207" t="n"/>
      <c r="BY3738" s="204" t="n"/>
      <c r="BZ3738" s="148" t="n"/>
      <c r="CA3738" s="204" t="n"/>
      <c r="CB3738" s="208" t="n"/>
      <c r="CC3738" s="139" t="n"/>
      <c r="CD3738" s="204" t="n"/>
      <c r="CE3738" s="204" t="n"/>
      <c r="CF3738" s="207" t="n"/>
      <c r="CG3738" s="208" t="n"/>
      <c r="CH3738" s="207" t="n"/>
      <c r="CI3738" s="208" t="n"/>
      <c r="CJ3738" s="204" t="n"/>
      <c r="CK3738" s="208" t="n"/>
      <c r="CL3738" s="208" t="n"/>
      <c r="CM3738" s="208" t="n"/>
      <c r="CN3738" s="78" t="n"/>
      <c r="CO3738" s="209" t="n"/>
      <c r="CP3738" s="204" t="n"/>
      <c r="CQ3738" s="204" t="n"/>
      <c r="CR3738" s="204" t="n"/>
      <c r="CS3738" s="204" t="n"/>
      <c r="CT3738" s="204" t="n"/>
      <c r="CU3738" s="204" t="n"/>
      <c r="CV3738" s="204" t="n"/>
      <c r="CW3738" s="204" t="n"/>
    </row>
    <row r="3739">
      <c r="BF3739" s="78" t="n"/>
      <c r="BG3739" s="78" t="n"/>
      <c r="BH3739" s="78" t="n"/>
      <c r="BI3739" s="78" t="n"/>
      <c r="BJ3739" s="139" t="n"/>
      <c r="BK3739" s="204" t="n"/>
      <c r="BL3739" s="141" t="n"/>
      <c r="BM3739" s="205" t="n"/>
      <c r="BN3739" s="205" t="n"/>
      <c r="BO3739" s="206" t="n"/>
      <c r="BP3739" s="144" t="n"/>
      <c r="BQ3739" s="141" t="n"/>
      <c r="BR3739" s="207" t="n"/>
      <c r="BS3739" s="207" t="n"/>
      <c r="BT3739" s="207" t="n"/>
      <c r="BU3739" s="207" t="n"/>
      <c r="BV3739" s="208" t="n"/>
      <c r="BW3739" s="207" t="n"/>
      <c r="BX3739" s="207" t="n"/>
      <c r="BY3739" s="204" t="n"/>
      <c r="BZ3739" s="148" t="n"/>
      <c r="CA3739" s="204" t="n"/>
      <c r="CB3739" s="208" t="n"/>
      <c r="CC3739" s="139" t="n"/>
      <c r="CD3739" s="204" t="n"/>
      <c r="CE3739" s="204" t="n"/>
      <c r="CF3739" s="207" t="n"/>
      <c r="CG3739" s="208" t="n"/>
      <c r="CH3739" s="207" t="n"/>
      <c r="CI3739" s="208" t="n"/>
      <c r="CJ3739" s="204" t="n"/>
      <c r="CK3739" s="208" t="n"/>
      <c r="CL3739" s="208" t="n"/>
      <c r="CM3739" s="208" t="n"/>
      <c r="CN3739" s="78" t="n"/>
      <c r="CO3739" s="209" t="n"/>
      <c r="CP3739" s="204" t="n"/>
      <c r="CQ3739" s="204" t="n"/>
      <c r="CR3739" s="204" t="n"/>
      <c r="CS3739" s="204" t="n"/>
      <c r="CT3739" s="204" t="n"/>
      <c r="CU3739" s="204" t="n"/>
      <c r="CV3739" s="204" t="n"/>
      <c r="CW3739" s="204" t="n"/>
    </row>
    <row r="3740">
      <c r="BF3740" s="78" t="n"/>
      <c r="BG3740" s="78" t="n"/>
      <c r="BH3740" s="78" t="n"/>
      <c r="BI3740" s="78" t="n"/>
      <c r="BJ3740" s="139" t="n"/>
      <c r="BK3740" s="204" t="n"/>
      <c r="BL3740" s="141" t="n"/>
      <c r="BM3740" s="205" t="n"/>
      <c r="BN3740" s="205" t="n"/>
      <c r="BO3740" s="206" t="n"/>
      <c r="BP3740" s="144" t="n"/>
      <c r="BQ3740" s="141" t="n"/>
      <c r="BR3740" s="207" t="n"/>
      <c r="BS3740" s="207" t="n"/>
      <c r="BT3740" s="207" t="n"/>
      <c r="BU3740" s="207" t="n"/>
      <c r="BV3740" s="208" t="n"/>
      <c r="BW3740" s="207" t="n"/>
      <c r="BX3740" s="207" t="n"/>
      <c r="BY3740" s="204" t="n"/>
      <c r="BZ3740" s="148" t="n"/>
      <c r="CA3740" s="204" t="n"/>
      <c r="CB3740" s="208" t="n"/>
      <c r="CC3740" s="139" t="n"/>
      <c r="CD3740" s="204" t="n"/>
      <c r="CE3740" s="204" t="n"/>
      <c r="CF3740" s="207" t="n"/>
      <c r="CG3740" s="208" t="n"/>
      <c r="CH3740" s="207" t="n"/>
      <c r="CI3740" s="208" t="n"/>
      <c r="CJ3740" s="204" t="n"/>
      <c r="CK3740" s="208" t="n"/>
      <c r="CL3740" s="208" t="n"/>
      <c r="CM3740" s="208" t="n"/>
      <c r="CN3740" s="78" t="n"/>
      <c r="CO3740" s="209" t="n"/>
      <c r="CP3740" s="204" t="n"/>
      <c r="CQ3740" s="204" t="n"/>
      <c r="CR3740" s="204" t="n"/>
      <c r="CS3740" s="204" t="n"/>
      <c r="CT3740" s="204" t="n"/>
      <c r="CU3740" s="204" t="n"/>
      <c r="CV3740" s="204" t="n"/>
      <c r="CW3740" s="204" t="n"/>
    </row>
    <row r="3741">
      <c r="BF3741" s="78" t="n"/>
      <c r="BG3741" s="78" t="n"/>
      <c r="BH3741" s="78" t="n"/>
      <c r="BI3741" s="78" t="n"/>
      <c r="BJ3741" s="139" t="n"/>
      <c r="BK3741" s="204" t="n"/>
      <c r="BL3741" s="141" t="n"/>
      <c r="BM3741" s="205" t="n"/>
      <c r="BN3741" s="205" t="n"/>
      <c r="BO3741" s="206" t="n"/>
      <c r="BP3741" s="144" t="n"/>
      <c r="BQ3741" s="141" t="n"/>
      <c r="BR3741" s="207" t="n"/>
      <c r="BS3741" s="207" t="n"/>
      <c r="BT3741" s="207" t="n"/>
      <c r="BU3741" s="207" t="n"/>
      <c r="BV3741" s="208" t="n"/>
      <c r="BW3741" s="207" t="n"/>
      <c r="BX3741" s="207" t="n"/>
      <c r="BY3741" s="204" t="n"/>
      <c r="BZ3741" s="148" t="n"/>
      <c r="CA3741" s="204" t="n"/>
      <c r="CB3741" s="208" t="n"/>
      <c r="CC3741" s="139" t="n"/>
      <c r="CD3741" s="204" t="n"/>
      <c r="CE3741" s="204" t="n"/>
      <c r="CF3741" s="207" t="n"/>
      <c r="CG3741" s="208" t="n"/>
      <c r="CH3741" s="207" t="n"/>
      <c r="CI3741" s="208" t="n"/>
      <c r="CJ3741" s="204" t="n"/>
      <c r="CK3741" s="208" t="n"/>
      <c r="CL3741" s="208" t="n"/>
      <c r="CM3741" s="208" t="n"/>
      <c r="CN3741" s="78" t="n"/>
      <c r="CO3741" s="209" t="n"/>
      <c r="CP3741" s="204" t="n"/>
      <c r="CQ3741" s="204" t="n"/>
      <c r="CR3741" s="204" t="n"/>
      <c r="CS3741" s="204" t="n"/>
      <c r="CT3741" s="204" t="n"/>
      <c r="CU3741" s="204" t="n"/>
      <c r="CV3741" s="204" t="n"/>
      <c r="CW3741" s="204" t="n"/>
    </row>
    <row r="3742">
      <c r="BF3742" s="78" t="n"/>
      <c r="BG3742" s="78" t="n"/>
      <c r="BH3742" s="78" t="n"/>
      <c r="BI3742" s="78" t="n"/>
      <c r="BJ3742" s="139" t="n"/>
      <c r="BK3742" s="204" t="n"/>
      <c r="BL3742" s="141" t="n"/>
      <c r="BM3742" s="205" t="n"/>
      <c r="BN3742" s="205" t="n"/>
      <c r="BO3742" s="206" t="n"/>
      <c r="BP3742" s="144" t="n"/>
      <c r="BQ3742" s="141" t="n"/>
      <c r="BR3742" s="207" t="n"/>
      <c r="BS3742" s="207" t="n"/>
      <c r="BT3742" s="207" t="n"/>
      <c r="BU3742" s="207" t="n"/>
      <c r="BV3742" s="208" t="n"/>
      <c r="BW3742" s="207" t="n"/>
      <c r="BX3742" s="207" t="n"/>
      <c r="BY3742" s="204" t="n"/>
      <c r="BZ3742" s="148" t="n"/>
      <c r="CA3742" s="204" t="n"/>
      <c r="CB3742" s="208" t="n"/>
      <c r="CC3742" s="139" t="n"/>
      <c r="CD3742" s="204" t="n"/>
      <c r="CE3742" s="204" t="n"/>
      <c r="CF3742" s="207" t="n"/>
      <c r="CG3742" s="208" t="n"/>
      <c r="CH3742" s="207" t="n"/>
      <c r="CI3742" s="208" t="n"/>
      <c r="CJ3742" s="204" t="n"/>
      <c r="CK3742" s="208" t="n"/>
      <c r="CL3742" s="208" t="n"/>
      <c r="CM3742" s="208" t="n"/>
      <c r="CN3742" s="78" t="n"/>
      <c r="CO3742" s="209" t="n"/>
      <c r="CP3742" s="204" t="n"/>
      <c r="CQ3742" s="204" t="n"/>
      <c r="CR3742" s="204" t="n"/>
      <c r="CS3742" s="204" t="n"/>
      <c r="CT3742" s="204" t="n"/>
      <c r="CU3742" s="204" t="n"/>
      <c r="CV3742" s="204" t="n"/>
      <c r="CW3742" s="204" t="n"/>
    </row>
    <row r="3743">
      <c r="BF3743" s="78" t="n"/>
      <c r="BG3743" s="78" t="n"/>
      <c r="BH3743" s="78" t="n"/>
      <c r="BI3743" s="78" t="n"/>
      <c r="BJ3743" s="139" t="n"/>
      <c r="BK3743" s="204" t="n"/>
      <c r="BL3743" s="141" t="n"/>
      <c r="BM3743" s="205" t="n"/>
      <c r="BN3743" s="205" t="n"/>
      <c r="BO3743" s="206" t="n"/>
      <c r="BP3743" s="144" t="n"/>
      <c r="BQ3743" s="141" t="n"/>
      <c r="BR3743" s="207" t="n"/>
      <c r="BS3743" s="207" t="n"/>
      <c r="BT3743" s="207" t="n"/>
      <c r="BU3743" s="207" t="n"/>
      <c r="BV3743" s="208" t="n"/>
      <c r="BW3743" s="207" t="n"/>
      <c r="BX3743" s="207" t="n"/>
      <c r="BY3743" s="204" t="n"/>
      <c r="BZ3743" s="148" t="n"/>
      <c r="CA3743" s="204" t="n"/>
      <c r="CB3743" s="208" t="n"/>
      <c r="CC3743" s="139" t="n"/>
      <c r="CD3743" s="204" t="n"/>
      <c r="CE3743" s="204" t="n"/>
      <c r="CF3743" s="207" t="n"/>
      <c r="CG3743" s="208" t="n"/>
      <c r="CH3743" s="207" t="n"/>
      <c r="CI3743" s="208" t="n"/>
      <c r="CJ3743" s="204" t="n"/>
      <c r="CK3743" s="208" t="n"/>
      <c r="CL3743" s="208" t="n"/>
      <c r="CM3743" s="208" t="n"/>
      <c r="CN3743" s="78" t="n"/>
      <c r="CO3743" s="209" t="n"/>
      <c r="CP3743" s="204" t="n"/>
      <c r="CQ3743" s="204" t="n"/>
      <c r="CR3743" s="204" t="n"/>
      <c r="CS3743" s="204" t="n"/>
      <c r="CT3743" s="204" t="n"/>
      <c r="CU3743" s="204" t="n"/>
      <c r="CV3743" s="204" t="n"/>
      <c r="CW3743" s="204" t="n"/>
    </row>
    <row r="3744">
      <c r="BF3744" s="78" t="n"/>
      <c r="BG3744" s="78" t="n"/>
      <c r="BH3744" s="78" t="n"/>
      <c r="BI3744" s="78" t="n"/>
      <c r="BJ3744" s="139" t="n"/>
      <c r="BK3744" s="204" t="n"/>
      <c r="BL3744" s="141" t="n"/>
      <c r="BM3744" s="205" t="n"/>
      <c r="BN3744" s="205" t="n"/>
      <c r="BO3744" s="206" t="n"/>
      <c r="BP3744" s="144" t="n"/>
      <c r="BQ3744" s="141" t="n"/>
      <c r="BR3744" s="207" t="n"/>
      <c r="BS3744" s="207" t="n"/>
      <c r="BT3744" s="207" t="n"/>
      <c r="BU3744" s="207" t="n"/>
      <c r="BV3744" s="208" t="n"/>
      <c r="BW3744" s="207" t="n"/>
      <c r="BX3744" s="207" t="n"/>
      <c r="BY3744" s="204" t="n"/>
      <c r="BZ3744" s="148" t="n"/>
      <c r="CA3744" s="204" t="n"/>
      <c r="CB3744" s="208" t="n"/>
      <c r="CC3744" s="139" t="n"/>
      <c r="CD3744" s="204" t="n"/>
      <c r="CE3744" s="204" t="n"/>
      <c r="CF3744" s="207" t="n"/>
      <c r="CG3744" s="208" t="n"/>
      <c r="CH3744" s="207" t="n"/>
      <c r="CI3744" s="208" t="n"/>
      <c r="CJ3744" s="204" t="n"/>
      <c r="CK3744" s="208" t="n"/>
      <c r="CL3744" s="208" t="n"/>
      <c r="CM3744" s="208" t="n"/>
      <c r="CN3744" s="78" t="n"/>
      <c r="CO3744" s="209" t="n"/>
      <c r="CP3744" s="204" t="n"/>
      <c r="CQ3744" s="204" t="n"/>
      <c r="CR3744" s="204" t="n"/>
      <c r="CS3744" s="204" t="n"/>
      <c r="CT3744" s="204" t="n"/>
      <c r="CU3744" s="204" t="n"/>
      <c r="CV3744" s="204" t="n"/>
      <c r="CW3744" s="204" t="n"/>
    </row>
    <row r="3745">
      <c r="BF3745" s="78" t="n"/>
      <c r="BG3745" s="78" t="n"/>
      <c r="BH3745" s="78" t="n"/>
      <c r="BI3745" s="78" t="n"/>
      <c r="BJ3745" s="139" t="n"/>
      <c r="BK3745" s="204" t="n"/>
      <c r="BL3745" s="141" t="n"/>
      <c r="BM3745" s="205" t="n"/>
      <c r="BN3745" s="205" t="n"/>
      <c r="BO3745" s="206" t="n"/>
      <c r="BP3745" s="144" t="n"/>
      <c r="BQ3745" s="141" t="n"/>
      <c r="BR3745" s="207" t="n"/>
      <c r="BS3745" s="207" t="n"/>
      <c r="BT3745" s="207" t="n"/>
      <c r="BU3745" s="207" t="n"/>
      <c r="BV3745" s="208" t="n"/>
      <c r="BW3745" s="207" t="n"/>
      <c r="BX3745" s="207" t="n"/>
      <c r="BY3745" s="204" t="n"/>
      <c r="BZ3745" s="148" t="n"/>
      <c r="CA3745" s="204" t="n"/>
      <c r="CB3745" s="208" t="n"/>
      <c r="CC3745" s="139" t="n"/>
      <c r="CD3745" s="204" t="n"/>
      <c r="CE3745" s="204" t="n"/>
      <c r="CF3745" s="207" t="n"/>
      <c r="CG3745" s="208" t="n"/>
      <c r="CH3745" s="207" t="n"/>
      <c r="CI3745" s="208" t="n"/>
      <c r="CJ3745" s="204" t="n"/>
      <c r="CK3745" s="208" t="n"/>
      <c r="CL3745" s="208" t="n"/>
      <c r="CM3745" s="208" t="n"/>
      <c r="CN3745" s="78" t="n"/>
      <c r="CO3745" s="209" t="n"/>
      <c r="CP3745" s="204" t="n"/>
      <c r="CQ3745" s="204" t="n"/>
      <c r="CR3745" s="204" t="n"/>
      <c r="CS3745" s="204" t="n"/>
      <c r="CT3745" s="204" t="n"/>
      <c r="CU3745" s="204" t="n"/>
      <c r="CV3745" s="204" t="n"/>
      <c r="CW3745" s="204" t="n"/>
    </row>
    <row r="3746">
      <c r="BF3746" s="78" t="n"/>
      <c r="BG3746" s="78" t="n"/>
      <c r="BH3746" s="78" t="n"/>
      <c r="BI3746" s="78" t="n"/>
      <c r="BJ3746" s="139" t="n"/>
      <c r="BK3746" s="204" t="n"/>
      <c r="BL3746" s="141" t="n"/>
      <c r="BM3746" s="205" t="n"/>
      <c r="BN3746" s="205" t="n"/>
      <c r="BO3746" s="206" t="n"/>
      <c r="BP3746" s="144" t="n"/>
      <c r="BQ3746" s="141" t="n"/>
      <c r="BR3746" s="207" t="n"/>
      <c r="BS3746" s="207" t="n"/>
      <c r="BT3746" s="207" t="n"/>
      <c r="BU3746" s="207" t="n"/>
      <c r="BV3746" s="208" t="n"/>
      <c r="BW3746" s="207" t="n"/>
      <c r="BX3746" s="207" t="n"/>
      <c r="BY3746" s="204" t="n"/>
      <c r="BZ3746" s="148" t="n"/>
      <c r="CA3746" s="204" t="n"/>
      <c r="CB3746" s="208" t="n"/>
      <c r="CC3746" s="139" t="n"/>
      <c r="CD3746" s="204" t="n"/>
      <c r="CE3746" s="204" t="n"/>
      <c r="CF3746" s="207" t="n"/>
      <c r="CG3746" s="208" t="n"/>
      <c r="CH3746" s="207" t="n"/>
      <c r="CI3746" s="208" t="n"/>
      <c r="CJ3746" s="204" t="n"/>
      <c r="CK3746" s="208" t="n"/>
      <c r="CL3746" s="208" t="n"/>
      <c r="CM3746" s="208" t="n"/>
      <c r="CN3746" s="78" t="n"/>
      <c r="CO3746" s="209" t="n"/>
      <c r="CP3746" s="204" t="n"/>
      <c r="CQ3746" s="204" t="n"/>
      <c r="CR3746" s="204" t="n"/>
      <c r="CS3746" s="204" t="n"/>
      <c r="CT3746" s="204" t="n"/>
      <c r="CU3746" s="204" t="n"/>
      <c r="CV3746" s="204" t="n"/>
      <c r="CW3746" s="204" t="n"/>
    </row>
    <row r="3747">
      <c r="BF3747" s="78" t="n"/>
      <c r="BG3747" s="78" t="n"/>
      <c r="BH3747" s="78" t="n"/>
      <c r="BI3747" s="78" t="n"/>
      <c r="BJ3747" s="139" t="n"/>
      <c r="BK3747" s="204" t="n"/>
      <c r="BL3747" s="141" t="n"/>
      <c r="BM3747" s="205" t="n"/>
      <c r="BN3747" s="205" t="n"/>
      <c r="BO3747" s="206" t="n"/>
      <c r="BP3747" s="144" t="n"/>
      <c r="BQ3747" s="141" t="n"/>
      <c r="BR3747" s="207" t="n"/>
      <c r="BS3747" s="207" t="n"/>
      <c r="BT3747" s="207" t="n"/>
      <c r="BU3747" s="207" t="n"/>
      <c r="BV3747" s="208" t="n"/>
      <c r="BW3747" s="207" t="n"/>
      <c r="BX3747" s="207" t="n"/>
      <c r="BY3747" s="204" t="n"/>
      <c r="BZ3747" s="148" t="n"/>
      <c r="CA3747" s="204" t="n"/>
      <c r="CB3747" s="208" t="n"/>
      <c r="CC3747" s="139" t="n"/>
      <c r="CD3747" s="204" t="n"/>
      <c r="CE3747" s="204" t="n"/>
      <c r="CF3747" s="207" t="n"/>
      <c r="CG3747" s="208" t="n"/>
      <c r="CH3747" s="207" t="n"/>
      <c r="CI3747" s="208" t="n"/>
      <c r="CJ3747" s="204" t="n"/>
      <c r="CK3747" s="208" t="n"/>
      <c r="CL3747" s="208" t="n"/>
      <c r="CM3747" s="208" t="n"/>
      <c r="CN3747" s="78" t="n"/>
      <c r="CO3747" s="209" t="n"/>
      <c r="CP3747" s="204" t="n"/>
      <c r="CQ3747" s="204" t="n"/>
      <c r="CR3747" s="204" t="n"/>
      <c r="CS3747" s="204" t="n"/>
      <c r="CT3747" s="204" t="n"/>
      <c r="CU3747" s="204" t="n"/>
      <c r="CV3747" s="204" t="n"/>
      <c r="CW3747" s="204" t="n"/>
    </row>
    <row r="3748">
      <c r="BF3748" s="78" t="n"/>
      <c r="BG3748" s="78" t="n"/>
      <c r="BH3748" s="78" t="n"/>
      <c r="BI3748" s="78" t="n"/>
      <c r="BJ3748" s="139" t="n"/>
      <c r="BK3748" s="204" t="n"/>
      <c r="BL3748" s="141" t="n"/>
      <c r="BM3748" s="205" t="n"/>
      <c r="BN3748" s="205" t="n"/>
      <c r="BO3748" s="206" t="n"/>
      <c r="BP3748" s="144" t="n"/>
      <c r="BQ3748" s="141" t="n"/>
      <c r="BR3748" s="207" t="n"/>
      <c r="BS3748" s="207" t="n"/>
      <c r="BT3748" s="207" t="n"/>
      <c r="BU3748" s="207" t="n"/>
      <c r="BV3748" s="208" t="n"/>
      <c r="BW3748" s="207" t="n"/>
      <c r="BX3748" s="207" t="n"/>
      <c r="BY3748" s="204" t="n"/>
      <c r="BZ3748" s="148" t="n"/>
      <c r="CA3748" s="204" t="n"/>
      <c r="CB3748" s="208" t="n"/>
      <c r="CC3748" s="139" t="n"/>
      <c r="CD3748" s="204" t="n"/>
      <c r="CE3748" s="204" t="n"/>
      <c r="CF3748" s="207" t="n"/>
      <c r="CG3748" s="208" t="n"/>
      <c r="CH3748" s="207" t="n"/>
      <c r="CI3748" s="208" t="n"/>
      <c r="CJ3748" s="204" t="n"/>
      <c r="CK3748" s="208" t="n"/>
      <c r="CL3748" s="208" t="n"/>
      <c r="CM3748" s="208" t="n"/>
      <c r="CN3748" s="78" t="n"/>
      <c r="CO3748" s="209" t="n"/>
      <c r="CP3748" s="204" t="n"/>
      <c r="CQ3748" s="204" t="n"/>
      <c r="CR3748" s="204" t="n"/>
      <c r="CS3748" s="204" t="n"/>
      <c r="CT3748" s="204" t="n"/>
      <c r="CU3748" s="204" t="n"/>
      <c r="CV3748" s="204" t="n"/>
      <c r="CW3748" s="204" t="n"/>
    </row>
    <row r="3749">
      <c r="BF3749" s="78" t="n"/>
      <c r="BG3749" s="78" t="n"/>
      <c r="BH3749" s="78" t="n"/>
      <c r="BI3749" s="78" t="n"/>
      <c r="BJ3749" s="139" t="n"/>
      <c r="BK3749" s="204" t="n"/>
      <c r="BL3749" s="141" t="n"/>
      <c r="BM3749" s="205" t="n"/>
      <c r="BN3749" s="205" t="n"/>
      <c r="BO3749" s="206" t="n"/>
      <c r="BP3749" s="144" t="n"/>
      <c r="BQ3749" s="141" t="n"/>
      <c r="BR3749" s="207" t="n"/>
      <c r="BS3749" s="207" t="n"/>
      <c r="BT3749" s="207" t="n"/>
      <c r="BU3749" s="207" t="n"/>
      <c r="BV3749" s="208" t="n"/>
      <c r="BW3749" s="207" t="n"/>
      <c r="BX3749" s="207" t="n"/>
      <c r="BY3749" s="204" t="n"/>
      <c r="BZ3749" s="148" t="n"/>
      <c r="CA3749" s="204" t="n"/>
      <c r="CB3749" s="208" t="n"/>
      <c r="CC3749" s="139" t="n"/>
      <c r="CD3749" s="204" t="n"/>
      <c r="CE3749" s="204" t="n"/>
      <c r="CF3749" s="207" t="n"/>
      <c r="CG3749" s="208" t="n"/>
      <c r="CH3749" s="207" t="n"/>
      <c r="CI3749" s="208" t="n"/>
      <c r="CJ3749" s="204" t="n"/>
      <c r="CK3749" s="208" t="n"/>
      <c r="CL3749" s="208" t="n"/>
      <c r="CM3749" s="208" t="n"/>
      <c r="CN3749" s="78" t="n"/>
      <c r="CO3749" s="209" t="n"/>
      <c r="CP3749" s="204" t="n"/>
      <c r="CQ3749" s="204" t="n"/>
      <c r="CR3749" s="204" t="n"/>
      <c r="CS3749" s="204" t="n"/>
      <c r="CT3749" s="204" t="n"/>
      <c r="CU3749" s="204" t="n"/>
      <c r="CV3749" s="204" t="n"/>
      <c r="CW3749" s="204" t="n"/>
    </row>
    <row r="3750">
      <c r="BF3750" s="78" t="n"/>
      <c r="BG3750" s="78" t="n"/>
      <c r="BH3750" s="78" t="n"/>
      <c r="BI3750" s="78" t="n"/>
      <c r="BJ3750" s="139" t="n"/>
      <c r="BK3750" s="204" t="n"/>
      <c r="BL3750" s="141" t="n"/>
      <c r="BM3750" s="205" t="n"/>
      <c r="BN3750" s="205" t="n"/>
      <c r="BO3750" s="206" t="n"/>
      <c r="BP3750" s="144" t="n"/>
      <c r="BQ3750" s="141" t="n"/>
      <c r="BR3750" s="207" t="n"/>
      <c r="BS3750" s="207" t="n"/>
      <c r="BT3750" s="207" t="n"/>
      <c r="BU3750" s="207" t="n"/>
      <c r="BV3750" s="208" t="n"/>
      <c r="BW3750" s="207" t="n"/>
      <c r="BX3750" s="207" t="n"/>
      <c r="BY3750" s="204" t="n"/>
      <c r="BZ3750" s="148" t="n"/>
      <c r="CA3750" s="204" t="n"/>
      <c r="CB3750" s="208" t="n"/>
      <c r="CC3750" s="139" t="n"/>
      <c r="CD3750" s="204" t="n"/>
      <c r="CE3750" s="204" t="n"/>
      <c r="CF3750" s="207" t="n"/>
      <c r="CG3750" s="208" t="n"/>
      <c r="CH3750" s="207" t="n"/>
      <c r="CI3750" s="208" t="n"/>
      <c r="CJ3750" s="204" t="n"/>
      <c r="CK3750" s="208" t="n"/>
      <c r="CL3750" s="208" t="n"/>
      <c r="CM3750" s="208" t="n"/>
      <c r="CN3750" s="78" t="n"/>
      <c r="CO3750" s="209" t="n"/>
      <c r="CP3750" s="204" t="n"/>
      <c r="CQ3750" s="204" t="n"/>
      <c r="CR3750" s="204" t="n"/>
      <c r="CS3750" s="204" t="n"/>
      <c r="CT3750" s="204" t="n"/>
      <c r="CU3750" s="204" t="n"/>
      <c r="CV3750" s="204" t="n"/>
      <c r="CW3750" s="204" t="n"/>
    </row>
    <row r="3751">
      <c r="BF3751" s="78" t="n"/>
      <c r="BG3751" s="78" t="n"/>
      <c r="BH3751" s="78" t="n"/>
      <c r="BI3751" s="78" t="n"/>
      <c r="BJ3751" s="139" t="n"/>
      <c r="BK3751" s="204" t="n"/>
      <c r="BL3751" s="141" t="n"/>
      <c r="BM3751" s="205" t="n"/>
      <c r="BN3751" s="205" t="n"/>
      <c r="BO3751" s="206" t="n"/>
      <c r="BP3751" s="144" t="n"/>
      <c r="BQ3751" s="141" t="n"/>
      <c r="BR3751" s="207" t="n"/>
      <c r="BS3751" s="207" t="n"/>
      <c r="BT3751" s="207" t="n"/>
      <c r="BU3751" s="207" t="n"/>
      <c r="BV3751" s="208" t="n"/>
      <c r="BW3751" s="207" t="n"/>
      <c r="BX3751" s="207" t="n"/>
      <c r="BY3751" s="204" t="n"/>
      <c r="BZ3751" s="148" t="n"/>
      <c r="CA3751" s="204" t="n"/>
      <c r="CB3751" s="208" t="n"/>
      <c r="CC3751" s="139" t="n"/>
      <c r="CD3751" s="204" t="n"/>
      <c r="CE3751" s="204" t="n"/>
      <c r="CF3751" s="207" t="n"/>
      <c r="CG3751" s="208" t="n"/>
      <c r="CH3751" s="207" t="n"/>
      <c r="CI3751" s="208" t="n"/>
      <c r="CJ3751" s="204" t="n"/>
      <c r="CK3751" s="208" t="n"/>
      <c r="CL3751" s="208" t="n"/>
      <c r="CM3751" s="208" t="n"/>
      <c r="CN3751" s="78" t="n"/>
      <c r="CO3751" s="209" t="n"/>
      <c r="CP3751" s="204" t="n"/>
      <c r="CQ3751" s="204" t="n"/>
      <c r="CR3751" s="204" t="n"/>
      <c r="CS3751" s="204" t="n"/>
      <c r="CT3751" s="204" t="n"/>
      <c r="CU3751" s="204" t="n"/>
      <c r="CV3751" s="204" t="n"/>
      <c r="CW3751" s="204" t="n"/>
    </row>
    <row r="3752">
      <c r="BF3752" s="78" t="n"/>
      <c r="BG3752" s="78" t="n"/>
      <c r="BH3752" s="78" t="n"/>
      <c r="BI3752" s="78" t="n"/>
      <c r="BJ3752" s="139" t="n"/>
      <c r="BK3752" s="204" t="n"/>
      <c r="BL3752" s="141" t="n"/>
      <c r="BM3752" s="205" t="n"/>
      <c r="BN3752" s="205" t="n"/>
      <c r="BO3752" s="206" t="n"/>
      <c r="BP3752" s="144" t="n"/>
      <c r="BQ3752" s="141" t="n"/>
      <c r="BR3752" s="207" t="n"/>
      <c r="BS3752" s="207" t="n"/>
      <c r="BT3752" s="207" t="n"/>
      <c r="BU3752" s="207" t="n"/>
      <c r="BV3752" s="208" t="n"/>
      <c r="BW3752" s="207" t="n"/>
      <c r="BX3752" s="207" t="n"/>
      <c r="BY3752" s="204" t="n"/>
      <c r="BZ3752" s="148" t="n"/>
      <c r="CA3752" s="204" t="n"/>
      <c r="CB3752" s="208" t="n"/>
      <c r="CC3752" s="139" t="n"/>
      <c r="CD3752" s="204" t="n"/>
      <c r="CE3752" s="204" t="n"/>
      <c r="CF3752" s="207" t="n"/>
      <c r="CG3752" s="208" t="n"/>
      <c r="CH3752" s="207" t="n"/>
      <c r="CI3752" s="208" t="n"/>
      <c r="CJ3752" s="204" t="n"/>
      <c r="CK3752" s="208" t="n"/>
      <c r="CL3752" s="208" t="n"/>
      <c r="CM3752" s="208" t="n"/>
      <c r="CN3752" s="78" t="n"/>
      <c r="CO3752" s="209" t="n"/>
      <c r="CP3752" s="204" t="n"/>
      <c r="CQ3752" s="204" t="n"/>
      <c r="CR3752" s="204" t="n"/>
      <c r="CS3752" s="204" t="n"/>
      <c r="CT3752" s="204" t="n"/>
      <c r="CU3752" s="204" t="n"/>
      <c r="CV3752" s="204" t="n"/>
      <c r="CW3752" s="204" t="n"/>
    </row>
    <row r="3753">
      <c r="BF3753" s="78" t="n"/>
      <c r="BG3753" s="78" t="n"/>
      <c r="BH3753" s="78" t="n"/>
      <c r="BI3753" s="78" t="n"/>
      <c r="BJ3753" s="139" t="n"/>
      <c r="BK3753" s="204" t="n"/>
      <c r="BL3753" s="141" t="n"/>
      <c r="BM3753" s="205" t="n"/>
      <c r="BN3753" s="205" t="n"/>
      <c r="BO3753" s="206" t="n"/>
      <c r="BP3753" s="144" t="n"/>
      <c r="BQ3753" s="141" t="n"/>
      <c r="BR3753" s="207" t="n"/>
      <c r="BS3753" s="207" t="n"/>
      <c r="BT3753" s="207" t="n"/>
      <c r="BU3753" s="207" t="n"/>
      <c r="BV3753" s="208" t="n"/>
      <c r="BW3753" s="207" t="n"/>
      <c r="BX3753" s="207" t="n"/>
      <c r="BY3753" s="204" t="n"/>
      <c r="BZ3753" s="148" t="n"/>
      <c r="CA3753" s="204" t="n"/>
      <c r="CB3753" s="208" t="n"/>
      <c r="CC3753" s="139" t="n"/>
      <c r="CD3753" s="204" t="n"/>
      <c r="CE3753" s="204" t="n"/>
      <c r="CF3753" s="207" t="n"/>
      <c r="CG3753" s="208" t="n"/>
      <c r="CH3753" s="207" t="n"/>
      <c r="CI3753" s="208" t="n"/>
      <c r="CJ3753" s="204" t="n"/>
      <c r="CK3753" s="208" t="n"/>
      <c r="CL3753" s="208" t="n"/>
      <c r="CM3753" s="208" t="n"/>
      <c r="CN3753" s="78" t="n"/>
      <c r="CO3753" s="209" t="n"/>
      <c r="CP3753" s="204" t="n"/>
      <c r="CQ3753" s="204" t="n"/>
      <c r="CR3753" s="204" t="n"/>
      <c r="CS3753" s="204" t="n"/>
      <c r="CT3753" s="204" t="n"/>
      <c r="CU3753" s="204" t="n"/>
      <c r="CV3753" s="204" t="n"/>
      <c r="CW3753" s="204" t="n"/>
    </row>
    <row r="3754">
      <c r="BF3754" s="78" t="n"/>
      <c r="BG3754" s="78" t="n"/>
      <c r="BH3754" s="78" t="n"/>
      <c r="BI3754" s="78" t="n"/>
      <c r="BJ3754" s="139" t="n"/>
      <c r="BK3754" s="204" t="n"/>
      <c r="BL3754" s="141" t="n"/>
      <c r="BM3754" s="205" t="n"/>
      <c r="BN3754" s="205" t="n"/>
      <c r="BO3754" s="206" t="n"/>
      <c r="BP3754" s="144" t="n"/>
      <c r="BQ3754" s="141" t="n"/>
      <c r="BR3754" s="207" t="n"/>
      <c r="BS3754" s="207" t="n"/>
      <c r="BT3754" s="207" t="n"/>
      <c r="BU3754" s="207" t="n"/>
      <c r="BV3754" s="208" t="n"/>
      <c r="BW3754" s="207" t="n"/>
      <c r="BX3754" s="207" t="n"/>
      <c r="BY3754" s="204" t="n"/>
      <c r="BZ3754" s="148" t="n"/>
      <c r="CA3754" s="204" t="n"/>
      <c r="CB3754" s="208" t="n"/>
      <c r="CC3754" s="139" t="n"/>
      <c r="CD3754" s="204" t="n"/>
      <c r="CE3754" s="204" t="n"/>
      <c r="CF3754" s="207" t="n"/>
      <c r="CG3754" s="208" t="n"/>
      <c r="CH3754" s="207" t="n"/>
      <c r="CI3754" s="208" t="n"/>
      <c r="CJ3754" s="204" t="n"/>
      <c r="CK3754" s="208" t="n"/>
      <c r="CL3754" s="208" t="n"/>
      <c r="CM3754" s="208" t="n"/>
      <c r="CN3754" s="78" t="n"/>
      <c r="CO3754" s="209" t="n"/>
      <c r="CP3754" s="204" t="n"/>
      <c r="CQ3754" s="204" t="n"/>
      <c r="CR3754" s="204" t="n"/>
      <c r="CS3754" s="204" t="n"/>
      <c r="CT3754" s="204" t="n"/>
      <c r="CU3754" s="204" t="n"/>
      <c r="CV3754" s="204" t="n"/>
      <c r="CW3754" s="204" t="n"/>
    </row>
    <row r="3755">
      <c r="BF3755" s="78" t="n"/>
      <c r="BG3755" s="78" t="n"/>
      <c r="BH3755" s="78" t="n"/>
      <c r="BI3755" s="78" t="n"/>
      <c r="BJ3755" s="139" t="n"/>
      <c r="BK3755" s="204" t="n"/>
      <c r="BL3755" s="141" t="n"/>
      <c r="BM3755" s="205" t="n"/>
      <c r="BN3755" s="205" t="n"/>
      <c r="BO3755" s="206" t="n"/>
      <c r="BP3755" s="144" t="n"/>
      <c r="BQ3755" s="141" t="n"/>
      <c r="BR3755" s="207" t="n"/>
      <c r="BS3755" s="207" t="n"/>
      <c r="BT3755" s="207" t="n"/>
      <c r="BU3755" s="207" t="n"/>
      <c r="BV3755" s="208" t="n"/>
      <c r="BW3755" s="207" t="n"/>
      <c r="BX3755" s="207" t="n"/>
      <c r="BY3755" s="204" t="n"/>
      <c r="BZ3755" s="148" t="n"/>
      <c r="CA3755" s="204" t="n"/>
      <c r="CB3755" s="208" t="n"/>
      <c r="CC3755" s="139" t="n"/>
      <c r="CD3755" s="204" t="n"/>
      <c r="CE3755" s="204" t="n"/>
      <c r="CF3755" s="207" t="n"/>
      <c r="CG3755" s="208" t="n"/>
      <c r="CH3755" s="207" t="n"/>
      <c r="CI3755" s="208" t="n"/>
      <c r="CJ3755" s="204" t="n"/>
      <c r="CK3755" s="208" t="n"/>
      <c r="CL3755" s="208" t="n"/>
      <c r="CM3755" s="208" t="n"/>
      <c r="CN3755" s="78" t="n"/>
      <c r="CO3755" s="209" t="n"/>
      <c r="CP3755" s="204" t="n"/>
      <c r="CQ3755" s="204" t="n"/>
      <c r="CR3755" s="204" t="n"/>
      <c r="CS3755" s="204" t="n"/>
      <c r="CT3755" s="204" t="n"/>
      <c r="CU3755" s="204" t="n"/>
      <c r="CV3755" s="204" t="n"/>
      <c r="CW3755" s="204" t="n"/>
    </row>
    <row r="3756">
      <c r="BF3756" s="78" t="n"/>
      <c r="BG3756" s="78" t="n"/>
      <c r="BH3756" s="78" t="n"/>
      <c r="BI3756" s="78" t="n"/>
      <c r="BJ3756" s="139" t="n"/>
      <c r="BK3756" s="204" t="n"/>
      <c r="BL3756" s="141" t="n"/>
      <c r="BM3756" s="205" t="n"/>
      <c r="BN3756" s="205" t="n"/>
      <c r="BO3756" s="206" t="n"/>
      <c r="BP3756" s="144" t="n"/>
      <c r="BQ3756" s="141" t="n"/>
      <c r="BR3756" s="207" t="n"/>
      <c r="BS3756" s="207" t="n"/>
      <c r="BT3756" s="207" t="n"/>
      <c r="BU3756" s="207" t="n"/>
      <c r="BV3756" s="208" t="n"/>
      <c r="BW3756" s="207" t="n"/>
      <c r="BX3756" s="207" t="n"/>
      <c r="BY3756" s="204" t="n"/>
      <c r="BZ3756" s="148" t="n"/>
      <c r="CA3756" s="204" t="n"/>
      <c r="CB3756" s="208" t="n"/>
      <c r="CC3756" s="139" t="n"/>
      <c r="CD3756" s="204" t="n"/>
      <c r="CE3756" s="204" t="n"/>
      <c r="CF3756" s="207" t="n"/>
      <c r="CG3756" s="208" t="n"/>
      <c r="CH3756" s="207" t="n"/>
      <c r="CI3756" s="208" t="n"/>
      <c r="CJ3756" s="204" t="n"/>
      <c r="CK3756" s="208" t="n"/>
      <c r="CL3756" s="208" t="n"/>
      <c r="CM3756" s="208" t="n"/>
      <c r="CN3756" s="78" t="n"/>
      <c r="CO3756" s="209" t="n"/>
      <c r="CP3756" s="204" t="n"/>
      <c r="CQ3756" s="204" t="n"/>
      <c r="CR3756" s="204" t="n"/>
      <c r="CS3756" s="204" t="n"/>
      <c r="CT3756" s="204" t="n"/>
      <c r="CU3756" s="204" t="n"/>
      <c r="CV3756" s="204" t="n"/>
      <c r="CW3756" s="204" t="n"/>
    </row>
    <row r="3757">
      <c r="BF3757" s="78" t="n"/>
      <c r="BG3757" s="78" t="n"/>
      <c r="BH3757" s="78" t="n"/>
      <c r="BI3757" s="78" t="n"/>
      <c r="BJ3757" s="139" t="n"/>
      <c r="BK3757" s="204" t="n"/>
      <c r="BL3757" s="141" t="n"/>
      <c r="BM3757" s="205" t="n"/>
      <c r="BN3757" s="205" t="n"/>
      <c r="BO3757" s="206" t="n"/>
      <c r="BP3757" s="144" t="n"/>
      <c r="BQ3757" s="141" t="n"/>
      <c r="BR3757" s="207" t="n"/>
      <c r="BS3757" s="207" t="n"/>
      <c r="BT3757" s="207" t="n"/>
      <c r="BU3757" s="207" t="n"/>
      <c r="BV3757" s="208" t="n"/>
      <c r="BW3757" s="207" t="n"/>
      <c r="BX3757" s="207" t="n"/>
      <c r="BY3757" s="204" t="n"/>
      <c r="BZ3757" s="148" t="n"/>
      <c r="CA3757" s="204" t="n"/>
      <c r="CB3757" s="208" t="n"/>
      <c r="CC3757" s="139" t="n"/>
      <c r="CD3757" s="204" t="n"/>
      <c r="CE3757" s="204" t="n"/>
      <c r="CF3757" s="207" t="n"/>
      <c r="CG3757" s="208" t="n"/>
      <c r="CH3757" s="207" t="n"/>
      <c r="CI3757" s="208" t="n"/>
      <c r="CJ3757" s="204" t="n"/>
      <c r="CK3757" s="208" t="n"/>
      <c r="CL3757" s="208" t="n"/>
      <c r="CM3757" s="208" t="n"/>
      <c r="CN3757" s="78" t="n"/>
      <c r="CO3757" s="209" t="n"/>
      <c r="CP3757" s="204" t="n"/>
      <c r="CQ3757" s="204" t="n"/>
      <c r="CR3757" s="204" t="n"/>
      <c r="CS3757" s="204" t="n"/>
      <c r="CT3757" s="204" t="n"/>
      <c r="CU3757" s="204" t="n"/>
      <c r="CV3757" s="204" t="n"/>
      <c r="CW3757" s="204" t="n"/>
    </row>
    <row r="3758">
      <c r="BF3758" s="78" t="n"/>
      <c r="BG3758" s="78" t="n"/>
      <c r="BH3758" s="78" t="n"/>
      <c r="BI3758" s="78" t="n"/>
      <c r="BJ3758" s="139" t="n"/>
      <c r="BK3758" s="204" t="n"/>
      <c r="BL3758" s="141" t="n"/>
      <c r="BM3758" s="205" t="n"/>
      <c r="BN3758" s="205" t="n"/>
      <c r="BO3758" s="206" t="n"/>
      <c r="BP3758" s="144" t="n"/>
      <c r="BQ3758" s="141" t="n"/>
      <c r="BR3758" s="207" t="n"/>
      <c r="BS3758" s="207" t="n"/>
      <c r="BT3758" s="207" t="n"/>
      <c r="BU3758" s="207" t="n"/>
      <c r="BV3758" s="208" t="n"/>
      <c r="BW3758" s="207" t="n"/>
      <c r="BX3758" s="207" t="n"/>
      <c r="BY3758" s="204" t="n"/>
      <c r="BZ3758" s="148" t="n"/>
      <c r="CA3758" s="204" t="n"/>
      <c r="CB3758" s="208" t="n"/>
      <c r="CC3758" s="139" t="n"/>
      <c r="CD3758" s="204" t="n"/>
      <c r="CE3758" s="204" t="n"/>
      <c r="CF3758" s="207" t="n"/>
      <c r="CG3758" s="208" t="n"/>
      <c r="CH3758" s="207" t="n"/>
      <c r="CI3758" s="208" t="n"/>
      <c r="CJ3758" s="204" t="n"/>
      <c r="CK3758" s="208" t="n"/>
      <c r="CL3758" s="208" t="n"/>
      <c r="CM3758" s="208" t="n"/>
      <c r="CN3758" s="78" t="n"/>
      <c r="CO3758" s="209" t="n"/>
      <c r="CP3758" s="204" t="n"/>
      <c r="CQ3758" s="204" t="n"/>
      <c r="CR3758" s="204" t="n"/>
      <c r="CS3758" s="204" t="n"/>
      <c r="CT3758" s="204" t="n"/>
      <c r="CU3758" s="204" t="n"/>
      <c r="CV3758" s="204" t="n"/>
      <c r="CW3758" s="204" t="n"/>
    </row>
    <row r="3759">
      <c r="BF3759" s="78" t="n"/>
      <c r="BG3759" s="78" t="n"/>
      <c r="BH3759" s="78" t="n"/>
      <c r="BI3759" s="78" t="n"/>
      <c r="BJ3759" s="139" t="n"/>
      <c r="BK3759" s="204" t="n"/>
      <c r="BL3759" s="141" t="n"/>
      <c r="BM3759" s="205" t="n"/>
      <c r="BN3759" s="205" t="n"/>
      <c r="BO3759" s="206" t="n"/>
      <c r="BP3759" s="144" t="n"/>
      <c r="BQ3759" s="141" t="n"/>
      <c r="BR3759" s="207" t="n"/>
      <c r="BS3759" s="207" t="n"/>
      <c r="BT3759" s="207" t="n"/>
      <c r="BU3759" s="207" t="n"/>
      <c r="BV3759" s="208" t="n"/>
      <c r="BW3759" s="207" t="n"/>
      <c r="BX3759" s="207" t="n"/>
      <c r="BY3759" s="204" t="n"/>
      <c r="BZ3759" s="148" t="n"/>
      <c r="CA3759" s="204" t="n"/>
      <c r="CB3759" s="208" t="n"/>
      <c r="CC3759" s="139" t="n"/>
      <c r="CD3759" s="204" t="n"/>
      <c r="CE3759" s="204" t="n"/>
      <c r="CF3759" s="207" t="n"/>
      <c r="CG3759" s="208" t="n"/>
      <c r="CH3759" s="207" t="n"/>
      <c r="CI3759" s="208" t="n"/>
      <c r="CJ3759" s="204" t="n"/>
      <c r="CK3759" s="208" t="n"/>
      <c r="CL3759" s="208" t="n"/>
      <c r="CM3759" s="208" t="n"/>
      <c r="CN3759" s="78" t="n"/>
      <c r="CO3759" s="209" t="n"/>
      <c r="CP3759" s="204" t="n"/>
      <c r="CQ3759" s="204" t="n"/>
      <c r="CR3759" s="204" t="n"/>
      <c r="CS3759" s="204" t="n"/>
      <c r="CT3759" s="204" t="n"/>
      <c r="CU3759" s="204" t="n"/>
      <c r="CV3759" s="204" t="n"/>
      <c r="CW3759" s="204" t="n"/>
    </row>
    <row r="3760">
      <c r="BF3760" s="78" t="n"/>
      <c r="BG3760" s="78" t="n"/>
      <c r="BH3760" s="78" t="n"/>
      <c r="BI3760" s="78" t="n"/>
      <c r="BJ3760" s="139" t="n"/>
      <c r="BK3760" s="204" t="n"/>
      <c r="BL3760" s="141" t="n"/>
      <c r="BM3760" s="205" t="n"/>
      <c r="BN3760" s="205" t="n"/>
      <c r="BO3760" s="206" t="n"/>
      <c r="BP3760" s="144" t="n"/>
      <c r="BQ3760" s="141" t="n"/>
      <c r="BR3760" s="207" t="n"/>
      <c r="BS3760" s="207" t="n"/>
      <c r="BT3760" s="207" t="n"/>
      <c r="BU3760" s="207" t="n"/>
      <c r="BV3760" s="208" t="n"/>
      <c r="BW3760" s="207" t="n"/>
      <c r="BX3760" s="207" t="n"/>
      <c r="BY3760" s="204" t="n"/>
      <c r="BZ3760" s="148" t="n"/>
      <c r="CA3760" s="204" t="n"/>
      <c r="CB3760" s="208" t="n"/>
      <c r="CC3760" s="139" t="n"/>
      <c r="CD3760" s="204" t="n"/>
      <c r="CE3760" s="204" t="n"/>
      <c r="CF3760" s="207" t="n"/>
      <c r="CG3760" s="208" t="n"/>
      <c r="CH3760" s="207" t="n"/>
      <c r="CI3760" s="208" t="n"/>
      <c r="CJ3760" s="204" t="n"/>
      <c r="CK3760" s="208" t="n"/>
      <c r="CL3760" s="208" t="n"/>
      <c r="CM3760" s="208" t="n"/>
      <c r="CN3760" s="78" t="n"/>
      <c r="CO3760" s="209" t="n"/>
      <c r="CP3760" s="204" t="n"/>
      <c r="CQ3760" s="204" t="n"/>
      <c r="CR3760" s="204" t="n"/>
      <c r="CS3760" s="204" t="n"/>
      <c r="CT3760" s="204" t="n"/>
      <c r="CU3760" s="204" t="n"/>
      <c r="CV3760" s="204" t="n"/>
      <c r="CW3760" s="204" t="n"/>
    </row>
    <row r="3761">
      <c r="BF3761" s="78" t="n"/>
      <c r="BG3761" s="78" t="n"/>
      <c r="BH3761" s="78" t="n"/>
      <c r="BI3761" s="78" t="n"/>
      <c r="BJ3761" s="139" t="n"/>
      <c r="BK3761" s="204" t="n"/>
      <c r="BL3761" s="141" t="n"/>
      <c r="BM3761" s="205" t="n"/>
      <c r="BN3761" s="205" t="n"/>
      <c r="BO3761" s="206" t="n"/>
      <c r="BP3761" s="144" t="n"/>
      <c r="BQ3761" s="141" t="n"/>
      <c r="BR3761" s="207" t="n"/>
      <c r="BS3761" s="207" t="n"/>
      <c r="BT3761" s="207" t="n"/>
      <c r="BU3761" s="207" t="n"/>
      <c r="BV3761" s="208" t="n"/>
      <c r="BW3761" s="207" t="n"/>
      <c r="BX3761" s="207" t="n"/>
      <c r="BY3761" s="204" t="n"/>
      <c r="BZ3761" s="148" t="n"/>
      <c r="CA3761" s="204" t="n"/>
      <c r="CB3761" s="208" t="n"/>
      <c r="CC3761" s="139" t="n"/>
      <c r="CD3761" s="204" t="n"/>
      <c r="CE3761" s="204" t="n"/>
      <c r="CF3761" s="207" t="n"/>
      <c r="CG3761" s="208" t="n"/>
      <c r="CH3761" s="207" t="n"/>
      <c r="CI3761" s="208" t="n"/>
      <c r="CJ3761" s="204" t="n"/>
      <c r="CK3761" s="208" t="n"/>
      <c r="CL3761" s="208" t="n"/>
      <c r="CM3761" s="208" t="n"/>
      <c r="CN3761" s="78" t="n"/>
      <c r="CO3761" s="209" t="n"/>
      <c r="CP3761" s="204" t="n"/>
      <c r="CQ3761" s="204" t="n"/>
      <c r="CR3761" s="204" t="n"/>
      <c r="CS3761" s="204" t="n"/>
      <c r="CT3761" s="204" t="n"/>
      <c r="CU3761" s="204" t="n"/>
      <c r="CV3761" s="204" t="n"/>
      <c r="CW3761" s="204" t="n"/>
    </row>
    <row r="3762">
      <c r="BF3762" s="78" t="n"/>
      <c r="BG3762" s="78" t="n"/>
      <c r="BH3762" s="78" t="n"/>
      <c r="BI3762" s="78" t="n"/>
      <c r="BJ3762" s="139" t="n"/>
      <c r="BK3762" s="204" t="n"/>
      <c r="BL3762" s="141" t="n"/>
      <c r="BM3762" s="205" t="n"/>
      <c r="BN3762" s="205" t="n"/>
      <c r="BO3762" s="206" t="n"/>
      <c r="BP3762" s="144" t="n"/>
      <c r="BQ3762" s="141" t="n"/>
      <c r="BR3762" s="207" t="n"/>
      <c r="BS3762" s="207" t="n"/>
      <c r="BT3762" s="207" t="n"/>
      <c r="BU3762" s="207" t="n"/>
      <c r="BV3762" s="208" t="n"/>
      <c r="BW3762" s="207" t="n"/>
      <c r="BX3762" s="207" t="n"/>
      <c r="BY3762" s="204" t="n"/>
      <c r="BZ3762" s="148" t="n"/>
      <c r="CA3762" s="204" t="n"/>
      <c r="CB3762" s="208" t="n"/>
      <c r="CC3762" s="139" t="n"/>
      <c r="CD3762" s="204" t="n"/>
      <c r="CE3762" s="204" t="n"/>
      <c r="CF3762" s="207" t="n"/>
      <c r="CG3762" s="208" t="n"/>
      <c r="CH3762" s="207" t="n"/>
      <c r="CI3762" s="208" t="n"/>
      <c r="CJ3762" s="204" t="n"/>
      <c r="CK3762" s="208" t="n"/>
      <c r="CL3762" s="208" t="n"/>
      <c r="CM3762" s="208" t="n"/>
      <c r="CN3762" s="78" t="n"/>
      <c r="CO3762" s="209" t="n"/>
      <c r="CP3762" s="204" t="n"/>
      <c r="CQ3762" s="204" t="n"/>
      <c r="CR3762" s="204" t="n"/>
      <c r="CS3762" s="204" t="n"/>
      <c r="CT3762" s="204" t="n"/>
      <c r="CU3762" s="204" t="n"/>
      <c r="CV3762" s="204" t="n"/>
      <c r="CW3762" s="204" t="n"/>
    </row>
    <row r="3763">
      <c r="BF3763" s="78" t="n"/>
      <c r="BG3763" s="78" t="n"/>
      <c r="BH3763" s="78" t="n"/>
      <c r="BI3763" s="78" t="n"/>
      <c r="BJ3763" s="139" t="n"/>
      <c r="BK3763" s="204" t="n"/>
      <c r="BL3763" s="141" t="n"/>
      <c r="BM3763" s="205" t="n"/>
      <c r="BN3763" s="205" t="n"/>
      <c r="BO3763" s="206" t="n"/>
      <c r="BP3763" s="144" t="n"/>
      <c r="BQ3763" s="141" t="n"/>
      <c r="BR3763" s="207" t="n"/>
      <c r="BS3763" s="207" t="n"/>
      <c r="BT3763" s="207" t="n"/>
      <c r="BU3763" s="207" t="n"/>
      <c r="BV3763" s="208" t="n"/>
      <c r="BW3763" s="207" t="n"/>
      <c r="BX3763" s="207" t="n"/>
      <c r="BY3763" s="204" t="n"/>
      <c r="BZ3763" s="148" t="n"/>
      <c r="CA3763" s="204" t="n"/>
      <c r="CB3763" s="208" t="n"/>
      <c r="CC3763" s="139" t="n"/>
      <c r="CD3763" s="204" t="n"/>
      <c r="CE3763" s="204" t="n"/>
      <c r="CF3763" s="207" t="n"/>
      <c r="CG3763" s="208" t="n"/>
      <c r="CH3763" s="207" t="n"/>
      <c r="CI3763" s="208" t="n"/>
      <c r="CJ3763" s="204" t="n"/>
      <c r="CK3763" s="208" t="n"/>
      <c r="CL3763" s="208" t="n"/>
      <c r="CM3763" s="208" t="n"/>
      <c r="CN3763" s="78" t="n"/>
      <c r="CO3763" s="209" t="n"/>
      <c r="CP3763" s="204" t="n"/>
      <c r="CQ3763" s="204" t="n"/>
      <c r="CR3763" s="204" t="n"/>
      <c r="CS3763" s="204" t="n"/>
      <c r="CT3763" s="204" t="n"/>
      <c r="CU3763" s="204" t="n"/>
      <c r="CV3763" s="204" t="n"/>
      <c r="CW3763" s="204" t="n"/>
    </row>
    <row r="3764">
      <c r="BF3764" s="78" t="n"/>
      <c r="BG3764" s="78" t="n"/>
      <c r="BH3764" s="78" t="n"/>
      <c r="BI3764" s="78" t="n"/>
      <c r="BJ3764" s="139" t="n"/>
      <c r="BK3764" s="204" t="n"/>
      <c r="BL3764" s="141" t="n"/>
      <c r="BM3764" s="205" t="n"/>
      <c r="BN3764" s="205" t="n"/>
      <c r="BO3764" s="206" t="n"/>
      <c r="BP3764" s="144" t="n"/>
      <c r="BQ3764" s="141" t="n"/>
      <c r="BR3764" s="207" t="n"/>
      <c r="BS3764" s="207" t="n"/>
      <c r="BT3764" s="207" t="n"/>
      <c r="BU3764" s="207" t="n"/>
      <c r="BV3764" s="208" t="n"/>
      <c r="BW3764" s="207" t="n"/>
      <c r="BX3764" s="207" t="n"/>
      <c r="BY3764" s="204" t="n"/>
      <c r="BZ3764" s="148" t="n"/>
      <c r="CA3764" s="204" t="n"/>
      <c r="CB3764" s="208" t="n"/>
      <c r="CC3764" s="139" t="n"/>
      <c r="CD3764" s="204" t="n"/>
      <c r="CE3764" s="204" t="n"/>
      <c r="CF3764" s="207" t="n"/>
      <c r="CG3764" s="208" t="n"/>
      <c r="CH3764" s="207" t="n"/>
      <c r="CI3764" s="208" t="n"/>
      <c r="CJ3764" s="204" t="n"/>
      <c r="CK3764" s="208" t="n"/>
      <c r="CL3764" s="208" t="n"/>
      <c r="CM3764" s="208" t="n"/>
      <c r="CN3764" s="78" t="n"/>
      <c r="CO3764" s="209" t="n"/>
      <c r="CP3764" s="204" t="n"/>
      <c r="CQ3764" s="204" t="n"/>
      <c r="CR3764" s="204" t="n"/>
      <c r="CS3764" s="204" t="n"/>
      <c r="CT3764" s="204" t="n"/>
      <c r="CU3764" s="204" t="n"/>
      <c r="CV3764" s="204" t="n"/>
      <c r="CW3764" s="204" t="n"/>
    </row>
    <row r="3765">
      <c r="BF3765" s="78" t="n"/>
      <c r="BG3765" s="78" t="n"/>
      <c r="BH3765" s="78" t="n"/>
      <c r="BI3765" s="78" t="n"/>
      <c r="BJ3765" s="139" t="n"/>
      <c r="BK3765" s="204" t="n"/>
      <c r="BL3765" s="141" t="n"/>
      <c r="BM3765" s="205" t="n"/>
      <c r="BN3765" s="205" t="n"/>
      <c r="BO3765" s="206" t="n"/>
      <c r="BP3765" s="144" t="n"/>
      <c r="BQ3765" s="141" t="n"/>
      <c r="BR3765" s="207" t="n"/>
      <c r="BS3765" s="207" t="n"/>
      <c r="BT3765" s="207" t="n"/>
      <c r="BU3765" s="207" t="n"/>
      <c r="BV3765" s="208" t="n"/>
      <c r="BW3765" s="207" t="n"/>
      <c r="BX3765" s="207" t="n"/>
      <c r="BY3765" s="204" t="n"/>
      <c r="BZ3765" s="148" t="n"/>
      <c r="CA3765" s="204" t="n"/>
      <c r="CB3765" s="208" t="n"/>
      <c r="CC3765" s="139" t="n"/>
      <c r="CD3765" s="204" t="n"/>
      <c r="CE3765" s="204" t="n"/>
      <c r="CF3765" s="207" t="n"/>
      <c r="CG3765" s="208" t="n"/>
      <c r="CH3765" s="207" t="n"/>
      <c r="CI3765" s="208" t="n"/>
      <c r="CJ3765" s="204" t="n"/>
      <c r="CK3765" s="208" t="n"/>
      <c r="CL3765" s="208" t="n"/>
      <c r="CM3765" s="208" t="n"/>
      <c r="CN3765" s="78" t="n"/>
      <c r="CO3765" s="209" t="n"/>
      <c r="CP3765" s="204" t="n"/>
      <c r="CQ3765" s="204" t="n"/>
      <c r="CR3765" s="204" t="n"/>
      <c r="CS3765" s="204" t="n"/>
      <c r="CT3765" s="204" t="n"/>
      <c r="CU3765" s="204" t="n"/>
      <c r="CV3765" s="204" t="n"/>
      <c r="CW3765" s="204" t="n"/>
    </row>
    <row r="3766">
      <c r="BF3766" s="78" t="n"/>
      <c r="BG3766" s="78" t="n"/>
      <c r="BH3766" s="78" t="n"/>
      <c r="BI3766" s="78" t="n"/>
      <c r="BJ3766" s="139" t="n"/>
      <c r="BK3766" s="204" t="n"/>
      <c r="BL3766" s="141" t="n"/>
      <c r="BM3766" s="205" t="n"/>
      <c r="BN3766" s="205" t="n"/>
      <c r="BO3766" s="206" t="n"/>
      <c r="BP3766" s="144" t="n"/>
      <c r="BQ3766" s="141" t="n"/>
      <c r="BR3766" s="207" t="n"/>
      <c r="BS3766" s="207" t="n"/>
      <c r="BT3766" s="207" t="n"/>
      <c r="BU3766" s="207" t="n"/>
      <c r="BV3766" s="208" t="n"/>
      <c r="BW3766" s="207" t="n"/>
      <c r="BX3766" s="207" t="n"/>
      <c r="BY3766" s="204" t="n"/>
      <c r="BZ3766" s="148" t="n"/>
      <c r="CA3766" s="204" t="n"/>
      <c r="CB3766" s="208" t="n"/>
      <c r="CC3766" s="139" t="n"/>
      <c r="CD3766" s="204" t="n"/>
      <c r="CE3766" s="204" t="n"/>
      <c r="CF3766" s="207" t="n"/>
      <c r="CG3766" s="208" t="n"/>
      <c r="CH3766" s="207" t="n"/>
      <c r="CI3766" s="208" t="n"/>
      <c r="CJ3766" s="204" t="n"/>
      <c r="CK3766" s="208" t="n"/>
      <c r="CL3766" s="208" t="n"/>
      <c r="CM3766" s="208" t="n"/>
      <c r="CN3766" s="78" t="n"/>
      <c r="CO3766" s="209" t="n"/>
      <c r="CP3766" s="204" t="n"/>
      <c r="CQ3766" s="204" t="n"/>
      <c r="CR3766" s="204" t="n"/>
      <c r="CS3766" s="204" t="n"/>
      <c r="CT3766" s="204" t="n"/>
      <c r="CU3766" s="204" t="n"/>
      <c r="CV3766" s="204" t="n"/>
      <c r="CW3766" s="204" t="n"/>
    </row>
    <row r="3767">
      <c r="BF3767" s="78" t="n"/>
      <c r="BG3767" s="78" t="n"/>
      <c r="BH3767" s="78" t="n"/>
      <c r="BI3767" s="78" t="n"/>
      <c r="BJ3767" s="139" t="n"/>
      <c r="BK3767" s="204" t="n"/>
      <c r="BL3767" s="141" t="n"/>
      <c r="BM3767" s="205" t="n"/>
      <c r="BN3767" s="205" t="n"/>
      <c r="BO3767" s="206" t="n"/>
      <c r="BP3767" s="144" t="n"/>
      <c r="BQ3767" s="141" t="n"/>
      <c r="BR3767" s="207" t="n"/>
      <c r="BS3767" s="207" t="n"/>
      <c r="BT3767" s="207" t="n"/>
      <c r="BU3767" s="207" t="n"/>
      <c r="BV3767" s="208" t="n"/>
      <c r="BW3767" s="207" t="n"/>
      <c r="BX3767" s="207" t="n"/>
      <c r="BY3767" s="204" t="n"/>
      <c r="BZ3767" s="148" t="n"/>
      <c r="CA3767" s="204" t="n"/>
      <c r="CB3767" s="208" t="n"/>
      <c r="CC3767" s="139" t="n"/>
      <c r="CD3767" s="204" t="n"/>
      <c r="CE3767" s="204" t="n"/>
      <c r="CF3767" s="207" t="n"/>
      <c r="CG3767" s="208" t="n"/>
      <c r="CH3767" s="207" t="n"/>
      <c r="CI3767" s="208" t="n"/>
      <c r="CJ3767" s="204" t="n"/>
      <c r="CK3767" s="208" t="n"/>
      <c r="CL3767" s="208" t="n"/>
      <c r="CM3767" s="208" t="n"/>
      <c r="CN3767" s="78" t="n"/>
      <c r="CO3767" s="209" t="n"/>
      <c r="CP3767" s="204" t="n"/>
      <c r="CQ3767" s="204" t="n"/>
      <c r="CR3767" s="204" t="n"/>
      <c r="CS3767" s="204" t="n"/>
      <c r="CT3767" s="204" t="n"/>
      <c r="CU3767" s="204" t="n"/>
      <c r="CV3767" s="204" t="n"/>
      <c r="CW3767" s="204" t="n"/>
    </row>
    <row r="3768">
      <c r="BF3768" s="78" t="n"/>
      <c r="BG3768" s="78" t="n"/>
      <c r="BH3768" s="78" t="n"/>
      <c r="BI3768" s="78" t="n"/>
      <c r="BJ3768" s="139" t="n"/>
      <c r="BK3768" s="204" t="n"/>
      <c r="BL3768" s="141" t="n"/>
      <c r="BM3768" s="205" t="n"/>
      <c r="BN3768" s="205" t="n"/>
      <c r="BO3768" s="206" t="n"/>
      <c r="BP3768" s="144" t="n"/>
      <c r="BQ3768" s="141" t="n"/>
      <c r="BR3768" s="207" t="n"/>
      <c r="BS3768" s="207" t="n"/>
      <c r="BT3768" s="207" t="n"/>
      <c r="BU3768" s="207" t="n"/>
      <c r="BV3768" s="208" t="n"/>
      <c r="BW3768" s="207" t="n"/>
      <c r="BX3768" s="207" t="n"/>
      <c r="BY3768" s="204" t="n"/>
      <c r="BZ3768" s="148" t="n"/>
      <c r="CA3768" s="204" t="n"/>
      <c r="CB3768" s="208" t="n"/>
      <c r="CC3768" s="139" t="n"/>
      <c r="CD3768" s="204" t="n"/>
      <c r="CE3768" s="204" t="n"/>
      <c r="CF3768" s="207" t="n"/>
      <c r="CG3768" s="208" t="n"/>
      <c r="CH3768" s="207" t="n"/>
      <c r="CI3768" s="208" t="n"/>
      <c r="CJ3768" s="204" t="n"/>
      <c r="CK3768" s="208" t="n"/>
      <c r="CL3768" s="208" t="n"/>
      <c r="CM3768" s="208" t="n"/>
      <c r="CN3768" s="78" t="n"/>
      <c r="CO3768" s="209" t="n"/>
      <c r="CP3768" s="204" t="n"/>
      <c r="CQ3768" s="204" t="n"/>
      <c r="CR3768" s="204" t="n"/>
      <c r="CS3768" s="204" t="n"/>
      <c r="CT3768" s="204" t="n"/>
      <c r="CU3768" s="204" t="n"/>
      <c r="CV3768" s="204" t="n"/>
      <c r="CW3768" s="204" t="n"/>
    </row>
    <row r="3769">
      <c r="BF3769" s="78" t="n"/>
      <c r="BG3769" s="78" t="n"/>
      <c r="BH3769" s="78" t="n"/>
      <c r="BI3769" s="78" t="n"/>
      <c r="BJ3769" s="139" t="n"/>
      <c r="BK3769" s="204" t="n"/>
      <c r="BL3769" s="141" t="n"/>
      <c r="BM3769" s="205" t="n"/>
      <c r="BN3769" s="205" t="n"/>
      <c r="BO3769" s="206" t="n"/>
      <c r="BP3769" s="144" t="n"/>
      <c r="BQ3769" s="141" t="n"/>
      <c r="BR3769" s="207" t="n"/>
      <c r="BS3769" s="207" t="n"/>
      <c r="BT3769" s="207" t="n"/>
      <c r="BU3769" s="207" t="n"/>
      <c r="BV3769" s="208" t="n"/>
      <c r="BW3769" s="207" t="n"/>
      <c r="BX3769" s="207" t="n"/>
      <c r="BY3769" s="204" t="n"/>
      <c r="BZ3769" s="148" t="n"/>
      <c r="CA3769" s="204" t="n"/>
      <c r="CB3769" s="208" t="n"/>
      <c r="CC3769" s="139" t="n"/>
      <c r="CD3769" s="204" t="n"/>
      <c r="CE3769" s="204" t="n"/>
      <c r="CF3769" s="207" t="n"/>
      <c r="CG3769" s="208" t="n"/>
      <c r="CH3769" s="207" t="n"/>
      <c r="CI3769" s="208" t="n"/>
      <c r="CJ3769" s="204" t="n"/>
      <c r="CK3769" s="208" t="n"/>
      <c r="CL3769" s="208" t="n"/>
      <c r="CM3769" s="208" t="n"/>
      <c r="CN3769" s="78" t="n"/>
      <c r="CO3769" s="209" t="n"/>
      <c r="CP3769" s="204" t="n"/>
      <c r="CQ3769" s="204" t="n"/>
      <c r="CR3769" s="204" t="n"/>
      <c r="CS3769" s="204" t="n"/>
      <c r="CT3769" s="204" t="n"/>
      <c r="CU3769" s="204" t="n"/>
      <c r="CV3769" s="204" t="n"/>
      <c r="CW3769" s="204" t="n"/>
    </row>
    <row r="3770">
      <c r="BF3770" s="78" t="n"/>
      <c r="BG3770" s="78" t="n"/>
      <c r="BH3770" s="78" t="n"/>
      <c r="BI3770" s="78" t="n"/>
      <c r="BJ3770" s="139" t="n"/>
      <c r="BK3770" s="204" t="n"/>
      <c r="BL3770" s="141" t="n"/>
      <c r="BM3770" s="205" t="n"/>
      <c r="BN3770" s="205" t="n"/>
      <c r="BO3770" s="206" t="n"/>
      <c r="BP3770" s="144" t="n"/>
      <c r="BQ3770" s="141" t="n"/>
      <c r="BR3770" s="207" t="n"/>
      <c r="BS3770" s="207" t="n"/>
      <c r="BT3770" s="207" t="n"/>
      <c r="BU3770" s="207" t="n"/>
      <c r="BV3770" s="208" t="n"/>
      <c r="BW3770" s="207" t="n"/>
      <c r="BX3770" s="207" t="n"/>
      <c r="BY3770" s="204" t="n"/>
      <c r="BZ3770" s="148" t="n"/>
      <c r="CA3770" s="204" t="n"/>
      <c r="CB3770" s="208" t="n"/>
      <c r="CC3770" s="139" t="n"/>
      <c r="CD3770" s="204" t="n"/>
      <c r="CE3770" s="204" t="n"/>
      <c r="CF3770" s="207" t="n"/>
      <c r="CG3770" s="208" t="n"/>
      <c r="CH3770" s="207" t="n"/>
      <c r="CI3770" s="208" t="n"/>
      <c r="CJ3770" s="204" t="n"/>
      <c r="CK3770" s="208" t="n"/>
      <c r="CL3770" s="208" t="n"/>
      <c r="CM3770" s="208" t="n"/>
      <c r="CN3770" s="78" t="n"/>
      <c r="CO3770" s="209" t="n"/>
      <c r="CP3770" s="204" t="n"/>
      <c r="CQ3770" s="204" t="n"/>
      <c r="CR3770" s="204" t="n"/>
      <c r="CS3770" s="204" t="n"/>
      <c r="CT3770" s="204" t="n"/>
      <c r="CU3770" s="204" t="n"/>
      <c r="CV3770" s="204" t="n"/>
      <c r="CW3770" s="204" t="n"/>
    </row>
    <row r="3771">
      <c r="BF3771" s="78" t="n"/>
      <c r="BG3771" s="78" t="n"/>
      <c r="BH3771" s="78" t="n"/>
      <c r="BI3771" s="78" t="n"/>
      <c r="BJ3771" s="139" t="n"/>
      <c r="BK3771" s="204" t="n"/>
      <c r="BL3771" s="141" t="n"/>
      <c r="BM3771" s="205" t="n"/>
      <c r="BN3771" s="205" t="n"/>
      <c r="BO3771" s="206" t="n"/>
      <c r="BP3771" s="144" t="n"/>
      <c r="BQ3771" s="141" t="n"/>
      <c r="BR3771" s="207" t="n"/>
      <c r="BS3771" s="207" t="n"/>
      <c r="BT3771" s="207" t="n"/>
      <c r="BU3771" s="207" t="n"/>
      <c r="BV3771" s="208" t="n"/>
      <c r="BW3771" s="207" t="n"/>
      <c r="BX3771" s="207" t="n"/>
      <c r="BY3771" s="204" t="n"/>
      <c r="BZ3771" s="148" t="n"/>
      <c r="CA3771" s="204" t="n"/>
      <c r="CB3771" s="208" t="n"/>
      <c r="CC3771" s="139" t="n"/>
      <c r="CD3771" s="204" t="n"/>
      <c r="CE3771" s="204" t="n"/>
      <c r="CF3771" s="207" t="n"/>
      <c r="CG3771" s="208" t="n"/>
      <c r="CH3771" s="207" t="n"/>
      <c r="CI3771" s="208" t="n"/>
      <c r="CJ3771" s="204" t="n"/>
      <c r="CK3771" s="208" t="n"/>
      <c r="CL3771" s="208" t="n"/>
      <c r="CM3771" s="208" t="n"/>
      <c r="CN3771" s="78" t="n"/>
      <c r="CO3771" s="209" t="n"/>
      <c r="CP3771" s="204" t="n"/>
      <c r="CQ3771" s="204" t="n"/>
      <c r="CR3771" s="204" t="n"/>
      <c r="CS3771" s="204" t="n"/>
      <c r="CT3771" s="204" t="n"/>
      <c r="CU3771" s="204" t="n"/>
      <c r="CV3771" s="204" t="n"/>
      <c r="CW3771" s="204" t="n"/>
    </row>
    <row r="3772">
      <c r="BF3772" s="78" t="n"/>
      <c r="BG3772" s="78" t="n"/>
      <c r="BH3772" s="78" t="n"/>
      <c r="BI3772" s="78" t="n"/>
      <c r="BJ3772" s="139" t="n"/>
      <c r="BK3772" s="204" t="n"/>
      <c r="BL3772" s="141" t="n"/>
      <c r="BM3772" s="205" t="n"/>
      <c r="BN3772" s="205" t="n"/>
      <c r="BO3772" s="206" t="n"/>
      <c r="BP3772" s="144" t="n"/>
      <c r="BQ3772" s="141" t="n"/>
      <c r="BR3772" s="207" t="n"/>
      <c r="BS3772" s="207" t="n"/>
      <c r="BT3772" s="207" t="n"/>
      <c r="BU3772" s="207" t="n"/>
      <c r="BV3772" s="208" t="n"/>
      <c r="BW3772" s="207" t="n"/>
      <c r="BX3772" s="207" t="n"/>
      <c r="BY3772" s="204" t="n"/>
      <c r="BZ3772" s="148" t="n"/>
      <c r="CA3772" s="204" t="n"/>
      <c r="CB3772" s="208" t="n"/>
      <c r="CC3772" s="139" t="n"/>
      <c r="CD3772" s="204" t="n"/>
      <c r="CE3772" s="204" t="n"/>
      <c r="CF3772" s="207" t="n"/>
      <c r="CG3772" s="208" t="n"/>
      <c r="CH3772" s="207" t="n"/>
      <c r="CI3772" s="208" t="n"/>
      <c r="CJ3772" s="204" t="n"/>
      <c r="CK3772" s="208" t="n"/>
      <c r="CL3772" s="208" t="n"/>
      <c r="CM3772" s="208" t="n"/>
      <c r="CN3772" s="78" t="n"/>
      <c r="CO3772" s="209" t="n"/>
      <c r="CP3772" s="204" t="n"/>
      <c r="CQ3772" s="204" t="n"/>
      <c r="CR3772" s="204" t="n"/>
      <c r="CS3772" s="204" t="n"/>
      <c r="CT3772" s="204" t="n"/>
      <c r="CU3772" s="204" t="n"/>
      <c r="CV3772" s="204" t="n"/>
      <c r="CW3772" s="204" t="n"/>
    </row>
    <row r="3773">
      <c r="BF3773" s="78" t="n"/>
      <c r="BG3773" s="78" t="n"/>
      <c r="BH3773" s="78" t="n"/>
      <c r="BI3773" s="78" t="n"/>
      <c r="BJ3773" s="139" t="n"/>
      <c r="BK3773" s="204" t="n"/>
      <c r="BL3773" s="141" t="n"/>
      <c r="BM3773" s="205" t="n"/>
      <c r="BN3773" s="205" t="n"/>
      <c r="BO3773" s="206" t="n"/>
      <c r="BP3773" s="144" t="n"/>
      <c r="BQ3773" s="141" t="n"/>
      <c r="BR3773" s="207" t="n"/>
      <c r="BS3773" s="207" t="n"/>
      <c r="BT3773" s="207" t="n"/>
      <c r="BU3773" s="207" t="n"/>
      <c r="BV3773" s="208" t="n"/>
      <c r="BW3773" s="207" t="n"/>
      <c r="BX3773" s="207" t="n"/>
      <c r="BY3773" s="204" t="n"/>
      <c r="BZ3773" s="148" t="n"/>
      <c r="CA3773" s="204" t="n"/>
      <c r="CB3773" s="208" t="n"/>
      <c r="CC3773" s="139" t="n"/>
      <c r="CD3773" s="204" t="n"/>
      <c r="CE3773" s="204" t="n"/>
      <c r="CF3773" s="207" t="n"/>
      <c r="CG3773" s="208" t="n"/>
      <c r="CH3773" s="207" t="n"/>
      <c r="CI3773" s="208" t="n"/>
      <c r="CJ3773" s="204" t="n"/>
      <c r="CK3773" s="208" t="n"/>
      <c r="CL3773" s="208" t="n"/>
      <c r="CM3773" s="208" t="n"/>
      <c r="CN3773" s="78" t="n"/>
      <c r="CO3773" s="209" t="n"/>
      <c r="CP3773" s="204" t="n"/>
      <c r="CQ3773" s="204" t="n"/>
      <c r="CR3773" s="204" t="n"/>
      <c r="CS3773" s="204" t="n"/>
      <c r="CT3773" s="204" t="n"/>
      <c r="CU3773" s="204" t="n"/>
      <c r="CV3773" s="204" t="n"/>
      <c r="CW3773" s="204" t="n"/>
    </row>
    <row r="3774">
      <c r="BF3774" s="78" t="n"/>
      <c r="BG3774" s="78" t="n"/>
      <c r="BH3774" s="78" t="n"/>
      <c r="BI3774" s="78" t="n"/>
      <c r="BJ3774" s="139" t="n"/>
      <c r="BK3774" s="204" t="n"/>
      <c r="BL3774" s="141" t="n"/>
      <c r="BM3774" s="205" t="n"/>
      <c r="BN3774" s="205" t="n"/>
      <c r="BO3774" s="206" t="n"/>
      <c r="BP3774" s="144" t="n"/>
      <c r="BQ3774" s="141" t="n"/>
      <c r="BR3774" s="207" t="n"/>
      <c r="BS3774" s="207" t="n"/>
      <c r="BT3774" s="207" t="n"/>
      <c r="BU3774" s="207" t="n"/>
      <c r="BV3774" s="208" t="n"/>
      <c r="BW3774" s="207" t="n"/>
      <c r="BX3774" s="207" t="n"/>
      <c r="BY3774" s="204" t="n"/>
      <c r="BZ3774" s="148" t="n"/>
      <c r="CA3774" s="204" t="n"/>
      <c r="CB3774" s="208" t="n"/>
      <c r="CC3774" s="139" t="n"/>
      <c r="CD3774" s="204" t="n"/>
      <c r="CE3774" s="204" t="n"/>
      <c r="CF3774" s="207" t="n"/>
      <c r="CG3774" s="208" t="n"/>
      <c r="CH3774" s="207" t="n"/>
      <c r="CI3774" s="208" t="n"/>
      <c r="CJ3774" s="204" t="n"/>
      <c r="CK3774" s="208" t="n"/>
      <c r="CL3774" s="208" t="n"/>
      <c r="CM3774" s="208" t="n"/>
      <c r="CN3774" s="78" t="n"/>
      <c r="CO3774" s="209" t="n"/>
      <c r="CP3774" s="204" t="n"/>
      <c r="CQ3774" s="204" t="n"/>
      <c r="CR3774" s="204" t="n"/>
      <c r="CS3774" s="204" t="n"/>
      <c r="CT3774" s="204" t="n"/>
      <c r="CU3774" s="204" t="n"/>
      <c r="CV3774" s="204" t="n"/>
      <c r="CW3774" s="204" t="n"/>
    </row>
    <row r="3775">
      <c r="BF3775" s="78" t="n"/>
      <c r="BG3775" s="78" t="n"/>
      <c r="BH3775" s="78" t="n"/>
      <c r="BI3775" s="78" t="n"/>
      <c r="BJ3775" s="139" t="n"/>
      <c r="BK3775" s="204" t="n"/>
      <c r="BL3775" s="141" t="n"/>
      <c r="BM3775" s="205" t="n"/>
      <c r="BN3775" s="205" t="n"/>
      <c r="BO3775" s="206" t="n"/>
      <c r="BP3775" s="144" t="n"/>
      <c r="BQ3775" s="141" t="n"/>
      <c r="BR3775" s="207" t="n"/>
      <c r="BS3775" s="207" t="n"/>
      <c r="BT3775" s="207" t="n"/>
      <c r="BU3775" s="207" t="n"/>
      <c r="BV3775" s="208" t="n"/>
      <c r="BW3775" s="207" t="n"/>
      <c r="BX3775" s="207" t="n"/>
      <c r="BY3775" s="204" t="n"/>
      <c r="BZ3775" s="148" t="n"/>
      <c r="CA3775" s="204" t="n"/>
      <c r="CB3775" s="208" t="n"/>
      <c r="CC3775" s="139" t="n"/>
      <c r="CD3775" s="204" t="n"/>
      <c r="CE3775" s="204" t="n"/>
      <c r="CF3775" s="207" t="n"/>
      <c r="CG3775" s="208" t="n"/>
      <c r="CH3775" s="207" t="n"/>
      <c r="CI3775" s="208" t="n"/>
      <c r="CJ3775" s="204" t="n"/>
      <c r="CK3775" s="208" t="n"/>
      <c r="CL3775" s="208" t="n"/>
      <c r="CM3775" s="208" t="n"/>
      <c r="CN3775" s="78" t="n"/>
      <c r="CO3775" s="209" t="n"/>
      <c r="CP3775" s="204" t="n"/>
      <c r="CQ3775" s="204" t="n"/>
      <c r="CR3775" s="204" t="n"/>
      <c r="CS3775" s="204" t="n"/>
      <c r="CT3775" s="204" t="n"/>
      <c r="CU3775" s="204" t="n"/>
      <c r="CV3775" s="204" t="n"/>
      <c r="CW3775" s="204" t="n"/>
    </row>
    <row r="3776">
      <c r="BF3776" s="78" t="n"/>
      <c r="BG3776" s="78" t="n"/>
      <c r="BH3776" s="78" t="n"/>
      <c r="BI3776" s="78" t="n"/>
      <c r="BJ3776" s="139" t="n"/>
      <c r="BK3776" s="204" t="n"/>
      <c r="BL3776" s="141" t="n"/>
      <c r="BM3776" s="205" t="n"/>
      <c r="BN3776" s="205" t="n"/>
      <c r="BO3776" s="206" t="n"/>
      <c r="BP3776" s="144" t="n"/>
      <c r="BQ3776" s="141" t="n"/>
      <c r="BR3776" s="207" t="n"/>
      <c r="BS3776" s="207" t="n"/>
      <c r="BT3776" s="207" t="n"/>
      <c r="BU3776" s="207" t="n"/>
      <c r="BV3776" s="208" t="n"/>
      <c r="BW3776" s="207" t="n"/>
      <c r="BX3776" s="207" t="n"/>
      <c r="BY3776" s="204" t="n"/>
      <c r="BZ3776" s="148" t="n"/>
      <c r="CA3776" s="204" t="n"/>
      <c r="CB3776" s="208" t="n"/>
      <c r="CC3776" s="139" t="n"/>
      <c r="CD3776" s="204" t="n"/>
      <c r="CE3776" s="204" t="n"/>
      <c r="CF3776" s="207" t="n"/>
      <c r="CG3776" s="208" t="n"/>
      <c r="CH3776" s="207" t="n"/>
      <c r="CI3776" s="208" t="n"/>
      <c r="CJ3776" s="204" t="n"/>
      <c r="CK3776" s="208" t="n"/>
      <c r="CL3776" s="208" t="n"/>
      <c r="CM3776" s="208" t="n"/>
      <c r="CN3776" s="78" t="n"/>
      <c r="CO3776" s="209" t="n"/>
      <c r="CP3776" s="204" t="n"/>
      <c r="CQ3776" s="204" t="n"/>
      <c r="CR3776" s="204" t="n"/>
      <c r="CS3776" s="204" t="n"/>
      <c r="CT3776" s="204" t="n"/>
      <c r="CU3776" s="204" t="n"/>
      <c r="CV3776" s="204" t="n"/>
      <c r="CW3776" s="204" t="n"/>
    </row>
    <row r="3777">
      <c r="BF3777" s="78" t="n"/>
      <c r="BG3777" s="78" t="n"/>
      <c r="BH3777" s="78" t="n"/>
      <c r="BI3777" s="78" t="n"/>
      <c r="BJ3777" s="139" t="n"/>
      <c r="BK3777" s="204" t="n"/>
      <c r="BL3777" s="141" t="n"/>
      <c r="BM3777" s="205" t="n"/>
      <c r="BN3777" s="205" t="n"/>
      <c r="BO3777" s="206" t="n"/>
      <c r="BP3777" s="144" t="n"/>
      <c r="BQ3777" s="141" t="n"/>
      <c r="BR3777" s="207" t="n"/>
      <c r="BS3777" s="207" t="n"/>
      <c r="BT3777" s="207" t="n"/>
      <c r="BU3777" s="207" t="n"/>
      <c r="BV3777" s="208" t="n"/>
      <c r="BW3777" s="207" t="n"/>
      <c r="BX3777" s="207" t="n"/>
      <c r="BY3777" s="204" t="n"/>
      <c r="BZ3777" s="148" t="n"/>
      <c r="CA3777" s="204" t="n"/>
      <c r="CB3777" s="208" t="n"/>
      <c r="CC3777" s="139" t="n"/>
      <c r="CD3777" s="204" t="n"/>
      <c r="CE3777" s="204" t="n"/>
      <c r="CF3777" s="207" t="n"/>
      <c r="CG3777" s="208" t="n"/>
      <c r="CH3777" s="207" t="n"/>
      <c r="CI3777" s="208" t="n"/>
      <c r="CJ3777" s="204" t="n"/>
      <c r="CK3777" s="208" t="n"/>
      <c r="CL3777" s="208" t="n"/>
      <c r="CM3777" s="208" t="n"/>
      <c r="CN3777" s="78" t="n"/>
      <c r="CO3777" s="209" t="n"/>
      <c r="CP3777" s="204" t="n"/>
      <c r="CQ3777" s="204" t="n"/>
      <c r="CR3777" s="204" t="n"/>
      <c r="CS3777" s="204" t="n"/>
      <c r="CT3777" s="204" t="n"/>
      <c r="CU3777" s="204" t="n"/>
      <c r="CV3777" s="204" t="n"/>
      <c r="CW3777" s="204" t="n"/>
    </row>
    <row r="3778">
      <c r="BF3778" s="78" t="n"/>
      <c r="BG3778" s="78" t="n"/>
      <c r="BH3778" s="78" t="n"/>
      <c r="BI3778" s="78" t="n"/>
      <c r="BJ3778" s="139" t="n"/>
      <c r="BK3778" s="204" t="n"/>
      <c r="BL3778" s="141" t="n"/>
      <c r="BM3778" s="205" t="n"/>
      <c r="BN3778" s="205" t="n"/>
      <c r="BO3778" s="206" t="n"/>
      <c r="BP3778" s="144" t="n"/>
      <c r="BQ3778" s="141" t="n"/>
      <c r="BR3778" s="207" t="n"/>
      <c r="BS3778" s="207" t="n"/>
      <c r="BT3778" s="207" t="n"/>
      <c r="BU3778" s="207" t="n"/>
      <c r="BV3778" s="208" t="n"/>
      <c r="BW3778" s="207" t="n"/>
      <c r="BX3778" s="207" t="n"/>
      <c r="BY3778" s="204" t="n"/>
      <c r="BZ3778" s="148" t="n"/>
      <c r="CA3778" s="204" t="n"/>
      <c r="CB3778" s="208" t="n"/>
      <c r="CC3778" s="139" t="n"/>
      <c r="CD3778" s="204" t="n"/>
      <c r="CE3778" s="204" t="n"/>
      <c r="CF3778" s="207" t="n"/>
      <c r="CG3778" s="208" t="n"/>
      <c r="CH3778" s="207" t="n"/>
      <c r="CI3778" s="208" t="n"/>
      <c r="CJ3778" s="204" t="n"/>
      <c r="CK3778" s="208" t="n"/>
      <c r="CL3778" s="208" t="n"/>
      <c r="CM3778" s="208" t="n"/>
      <c r="CN3778" s="78" t="n"/>
      <c r="CO3778" s="209" t="n"/>
      <c r="CP3778" s="204" t="n"/>
      <c r="CQ3778" s="204" t="n"/>
      <c r="CR3778" s="204" t="n"/>
      <c r="CS3778" s="204" t="n"/>
      <c r="CT3778" s="204" t="n"/>
      <c r="CU3778" s="204" t="n"/>
      <c r="CV3778" s="204" t="n"/>
      <c r="CW3778" s="204" t="n"/>
    </row>
    <row r="3779">
      <c r="BF3779" s="78" t="n"/>
      <c r="BG3779" s="78" t="n"/>
      <c r="BH3779" s="78" t="n"/>
      <c r="BI3779" s="78" t="n"/>
      <c r="BJ3779" s="139" t="n"/>
      <c r="BK3779" s="204" t="n"/>
      <c r="BL3779" s="141" t="n"/>
      <c r="BM3779" s="205" t="n"/>
      <c r="BN3779" s="205" t="n"/>
      <c r="BO3779" s="206" t="n"/>
      <c r="BP3779" s="144" t="n"/>
      <c r="BQ3779" s="141" t="n"/>
      <c r="BR3779" s="207" t="n"/>
      <c r="BS3779" s="207" t="n"/>
      <c r="BT3779" s="207" t="n"/>
      <c r="BU3779" s="207" t="n"/>
      <c r="BV3779" s="208" t="n"/>
      <c r="BW3779" s="207" t="n"/>
      <c r="BX3779" s="207" t="n"/>
      <c r="BY3779" s="204" t="n"/>
      <c r="BZ3779" s="148" t="n"/>
      <c r="CA3779" s="204" t="n"/>
      <c r="CB3779" s="208" t="n"/>
      <c r="CC3779" s="139" t="n"/>
      <c r="CD3779" s="204" t="n"/>
      <c r="CE3779" s="204" t="n"/>
      <c r="CF3779" s="207" t="n"/>
      <c r="CG3779" s="208" t="n"/>
      <c r="CH3779" s="207" t="n"/>
      <c r="CI3779" s="208" t="n"/>
      <c r="CJ3779" s="204" t="n"/>
      <c r="CK3779" s="208" t="n"/>
      <c r="CL3779" s="208" t="n"/>
      <c r="CM3779" s="208" t="n"/>
      <c r="CN3779" s="78" t="n"/>
      <c r="CO3779" s="209" t="n"/>
      <c r="CP3779" s="204" t="n"/>
      <c r="CQ3779" s="204" t="n"/>
      <c r="CR3779" s="204" t="n"/>
      <c r="CS3779" s="204" t="n"/>
      <c r="CT3779" s="204" t="n"/>
      <c r="CU3779" s="204" t="n"/>
      <c r="CV3779" s="204" t="n"/>
      <c r="CW3779" s="204" t="n"/>
    </row>
    <row r="3780">
      <c r="BF3780" s="78" t="n"/>
      <c r="BG3780" s="78" t="n"/>
      <c r="BH3780" s="78" t="n"/>
      <c r="BI3780" s="78" t="n"/>
      <c r="BJ3780" s="139" t="n"/>
      <c r="BK3780" s="204" t="n"/>
      <c r="BL3780" s="141" t="n"/>
      <c r="BM3780" s="205" t="n"/>
      <c r="BN3780" s="205" t="n"/>
      <c r="BO3780" s="206" t="n"/>
      <c r="BP3780" s="144" t="n"/>
      <c r="BQ3780" s="141" t="n"/>
      <c r="BR3780" s="207" t="n"/>
      <c r="BS3780" s="207" t="n"/>
      <c r="BT3780" s="207" t="n"/>
      <c r="BU3780" s="207" t="n"/>
      <c r="BV3780" s="208" t="n"/>
      <c r="BW3780" s="207" t="n"/>
      <c r="BX3780" s="207" t="n"/>
      <c r="BY3780" s="204" t="n"/>
      <c r="BZ3780" s="148" t="n"/>
      <c r="CA3780" s="204" t="n"/>
      <c r="CB3780" s="208" t="n"/>
      <c r="CC3780" s="139" t="n"/>
      <c r="CD3780" s="204" t="n"/>
      <c r="CE3780" s="204" t="n"/>
      <c r="CF3780" s="207" t="n"/>
      <c r="CG3780" s="208" t="n"/>
      <c r="CH3780" s="207" t="n"/>
      <c r="CI3780" s="208" t="n"/>
      <c r="CJ3780" s="204" t="n"/>
      <c r="CK3780" s="208" t="n"/>
      <c r="CL3780" s="208" t="n"/>
      <c r="CM3780" s="208" t="n"/>
      <c r="CN3780" s="78" t="n"/>
      <c r="CO3780" s="209" t="n"/>
      <c r="CP3780" s="204" t="n"/>
      <c r="CQ3780" s="204" t="n"/>
      <c r="CR3780" s="204" t="n"/>
      <c r="CS3780" s="204" t="n"/>
      <c r="CT3780" s="204" t="n"/>
      <c r="CU3780" s="204" t="n"/>
      <c r="CV3780" s="204" t="n"/>
      <c r="CW3780" s="204" t="n"/>
    </row>
    <row r="3781">
      <c r="BF3781" s="78" t="n"/>
      <c r="BG3781" s="78" t="n"/>
      <c r="BH3781" s="78" t="n"/>
      <c r="BI3781" s="78" t="n"/>
      <c r="BJ3781" s="139" t="n"/>
      <c r="BK3781" s="204" t="n"/>
      <c r="BL3781" s="141" t="n"/>
      <c r="BM3781" s="205" t="n"/>
      <c r="BN3781" s="205" t="n"/>
      <c r="BO3781" s="206" t="n"/>
      <c r="BP3781" s="144" t="n"/>
      <c r="BQ3781" s="141" t="n"/>
      <c r="BR3781" s="207" t="n"/>
      <c r="BS3781" s="207" t="n"/>
      <c r="BT3781" s="207" t="n"/>
      <c r="BU3781" s="207" t="n"/>
      <c r="BV3781" s="208" t="n"/>
      <c r="BW3781" s="207" t="n"/>
      <c r="BX3781" s="207" t="n"/>
      <c r="BY3781" s="204" t="n"/>
      <c r="BZ3781" s="148" t="n"/>
      <c r="CA3781" s="204" t="n"/>
      <c r="CB3781" s="208" t="n"/>
      <c r="CC3781" s="139" t="n"/>
      <c r="CD3781" s="204" t="n"/>
      <c r="CE3781" s="204" t="n"/>
      <c r="CF3781" s="207" t="n"/>
      <c r="CG3781" s="208" t="n"/>
      <c r="CH3781" s="207" t="n"/>
      <c r="CI3781" s="208" t="n"/>
      <c r="CJ3781" s="204" t="n"/>
      <c r="CK3781" s="208" t="n"/>
      <c r="CL3781" s="208" t="n"/>
      <c r="CM3781" s="208" t="n"/>
      <c r="CN3781" s="78" t="n"/>
      <c r="CO3781" s="209" t="n"/>
      <c r="CP3781" s="204" t="n"/>
      <c r="CQ3781" s="204" t="n"/>
      <c r="CR3781" s="204" t="n"/>
      <c r="CS3781" s="204" t="n"/>
      <c r="CT3781" s="204" t="n"/>
      <c r="CU3781" s="204" t="n"/>
      <c r="CV3781" s="204" t="n"/>
      <c r="CW3781" s="204" t="n"/>
    </row>
    <row r="3782">
      <c r="BF3782" s="78" t="n"/>
      <c r="BG3782" s="78" t="n"/>
      <c r="BH3782" s="78" t="n"/>
      <c r="BI3782" s="78" t="n"/>
      <c r="BJ3782" s="139" t="n"/>
      <c r="BK3782" s="204" t="n"/>
      <c r="BL3782" s="141" t="n"/>
      <c r="BM3782" s="205" t="n"/>
      <c r="BN3782" s="205" t="n"/>
      <c r="BO3782" s="206" t="n"/>
      <c r="BP3782" s="144" t="n"/>
      <c r="BQ3782" s="141" t="n"/>
      <c r="BR3782" s="207" t="n"/>
      <c r="BS3782" s="207" t="n"/>
      <c r="BT3782" s="207" t="n"/>
      <c r="BU3782" s="207" t="n"/>
      <c r="BV3782" s="208" t="n"/>
      <c r="BW3782" s="207" t="n"/>
      <c r="BX3782" s="207" t="n"/>
      <c r="BY3782" s="204" t="n"/>
      <c r="BZ3782" s="148" t="n"/>
      <c r="CA3782" s="204" t="n"/>
      <c r="CB3782" s="208" t="n"/>
      <c r="CC3782" s="139" t="n"/>
      <c r="CD3782" s="204" t="n"/>
      <c r="CE3782" s="204" t="n"/>
      <c r="CF3782" s="207" t="n"/>
      <c r="CG3782" s="208" t="n"/>
      <c r="CH3782" s="207" t="n"/>
      <c r="CI3782" s="208" t="n"/>
      <c r="CJ3782" s="204" t="n"/>
      <c r="CK3782" s="208" t="n"/>
      <c r="CL3782" s="208" t="n"/>
      <c r="CM3782" s="208" t="n"/>
      <c r="CN3782" s="78" t="n"/>
      <c r="CO3782" s="209" t="n"/>
      <c r="CP3782" s="204" t="n"/>
      <c r="CQ3782" s="204" t="n"/>
      <c r="CR3782" s="204" t="n"/>
      <c r="CS3782" s="204" t="n"/>
      <c r="CT3782" s="204" t="n"/>
      <c r="CU3782" s="204" t="n"/>
      <c r="CV3782" s="204" t="n"/>
      <c r="CW3782" s="204" t="n"/>
    </row>
    <row r="3783">
      <c r="BF3783" s="78" t="n"/>
      <c r="BG3783" s="78" t="n"/>
      <c r="BH3783" s="78" t="n"/>
      <c r="BI3783" s="78" t="n"/>
      <c r="BJ3783" s="139" t="n"/>
      <c r="BK3783" s="204" t="n"/>
      <c r="BL3783" s="141" t="n"/>
      <c r="BM3783" s="205" t="n"/>
      <c r="BN3783" s="205" t="n"/>
      <c r="BO3783" s="206" t="n"/>
      <c r="BP3783" s="144" t="n"/>
      <c r="BQ3783" s="141" t="n"/>
      <c r="BR3783" s="207" t="n"/>
      <c r="BS3783" s="207" t="n"/>
      <c r="BT3783" s="207" t="n"/>
      <c r="BU3783" s="207" t="n"/>
      <c r="BV3783" s="208" t="n"/>
      <c r="BW3783" s="207" t="n"/>
      <c r="BX3783" s="207" t="n"/>
      <c r="BY3783" s="204" t="n"/>
      <c r="BZ3783" s="148" t="n"/>
      <c r="CA3783" s="204" t="n"/>
      <c r="CB3783" s="208" t="n"/>
      <c r="CC3783" s="139" t="n"/>
      <c r="CD3783" s="204" t="n"/>
      <c r="CE3783" s="204" t="n"/>
      <c r="CF3783" s="207" t="n"/>
      <c r="CG3783" s="208" t="n"/>
      <c r="CH3783" s="207" t="n"/>
      <c r="CI3783" s="208" t="n"/>
      <c r="CJ3783" s="204" t="n"/>
      <c r="CK3783" s="208" t="n"/>
      <c r="CL3783" s="208" t="n"/>
      <c r="CM3783" s="208" t="n"/>
      <c r="CN3783" s="78" t="n"/>
      <c r="CO3783" s="209" t="n"/>
      <c r="CP3783" s="204" t="n"/>
      <c r="CQ3783" s="204" t="n"/>
      <c r="CR3783" s="204" t="n"/>
      <c r="CS3783" s="204" t="n"/>
      <c r="CT3783" s="204" t="n"/>
      <c r="CU3783" s="204" t="n"/>
      <c r="CV3783" s="204" t="n"/>
      <c r="CW3783" s="204" t="n"/>
    </row>
    <row r="3784">
      <c r="BF3784" s="78" t="n"/>
      <c r="BG3784" s="78" t="n"/>
      <c r="BH3784" s="78" t="n"/>
      <c r="BI3784" s="78" t="n"/>
      <c r="BJ3784" s="139" t="n"/>
      <c r="BK3784" s="204" t="n"/>
      <c r="BL3784" s="141" t="n"/>
      <c r="BM3784" s="205" t="n"/>
      <c r="BN3784" s="205" t="n"/>
      <c r="BO3784" s="206" t="n"/>
      <c r="BP3784" s="144" t="n"/>
      <c r="BQ3784" s="141" t="n"/>
      <c r="BR3784" s="207" t="n"/>
      <c r="BS3784" s="207" t="n"/>
      <c r="BT3784" s="207" t="n"/>
      <c r="BU3784" s="207" t="n"/>
      <c r="BV3784" s="208" t="n"/>
      <c r="BW3784" s="207" t="n"/>
      <c r="BX3784" s="207" t="n"/>
      <c r="BY3784" s="204" t="n"/>
      <c r="BZ3784" s="148" t="n"/>
      <c r="CA3784" s="204" t="n"/>
      <c r="CB3784" s="208" t="n"/>
      <c r="CC3784" s="139" t="n"/>
      <c r="CD3784" s="204" t="n"/>
      <c r="CE3784" s="204" t="n"/>
      <c r="CF3784" s="207" t="n"/>
      <c r="CG3784" s="208" t="n"/>
      <c r="CH3784" s="207" t="n"/>
      <c r="CI3784" s="208" t="n"/>
      <c r="CJ3784" s="204" t="n"/>
      <c r="CK3784" s="208" t="n"/>
      <c r="CL3784" s="208" t="n"/>
      <c r="CM3784" s="208" t="n"/>
      <c r="CN3784" s="78" t="n"/>
      <c r="CO3784" s="209" t="n"/>
      <c r="CP3784" s="204" t="n"/>
      <c r="CQ3784" s="204" t="n"/>
      <c r="CR3784" s="204" t="n"/>
      <c r="CS3784" s="204" t="n"/>
      <c r="CT3784" s="204" t="n"/>
      <c r="CU3784" s="204" t="n"/>
      <c r="CV3784" s="204" t="n"/>
      <c r="CW3784" s="204" t="n"/>
    </row>
    <row r="3785">
      <c r="BF3785" s="78" t="n"/>
      <c r="BG3785" s="78" t="n"/>
      <c r="BH3785" s="78" t="n"/>
      <c r="BI3785" s="78" t="n"/>
      <c r="BJ3785" s="139" t="n"/>
      <c r="BK3785" s="204" t="n"/>
      <c r="BL3785" s="141" t="n"/>
      <c r="BM3785" s="205" t="n"/>
      <c r="BN3785" s="205" t="n"/>
      <c r="BO3785" s="206" t="n"/>
      <c r="BP3785" s="144" t="n"/>
      <c r="BQ3785" s="141" t="n"/>
      <c r="BR3785" s="207" t="n"/>
      <c r="BS3785" s="207" t="n"/>
      <c r="BT3785" s="207" t="n"/>
      <c r="BU3785" s="207" t="n"/>
      <c r="BV3785" s="208" t="n"/>
      <c r="BW3785" s="207" t="n"/>
      <c r="BX3785" s="207" t="n"/>
      <c r="BY3785" s="204" t="n"/>
      <c r="BZ3785" s="148" t="n"/>
      <c r="CA3785" s="204" t="n"/>
      <c r="CB3785" s="208" t="n"/>
      <c r="CC3785" s="139" t="n"/>
      <c r="CD3785" s="204" t="n"/>
      <c r="CE3785" s="204" t="n"/>
      <c r="CF3785" s="207" t="n"/>
      <c r="CG3785" s="208" t="n"/>
      <c r="CH3785" s="207" t="n"/>
      <c r="CI3785" s="208" t="n"/>
      <c r="CJ3785" s="204" t="n"/>
      <c r="CK3785" s="208" t="n"/>
      <c r="CL3785" s="208" t="n"/>
      <c r="CM3785" s="208" t="n"/>
      <c r="CN3785" s="78" t="n"/>
      <c r="CO3785" s="209" t="n"/>
      <c r="CP3785" s="204" t="n"/>
      <c r="CQ3785" s="204" t="n"/>
      <c r="CR3785" s="204" t="n"/>
      <c r="CS3785" s="204" t="n"/>
      <c r="CT3785" s="204" t="n"/>
      <c r="CU3785" s="204" t="n"/>
      <c r="CV3785" s="204" t="n"/>
      <c r="CW3785" s="204" t="n"/>
    </row>
    <row r="3786">
      <c r="BF3786" s="78" t="n"/>
      <c r="BG3786" s="78" t="n"/>
      <c r="BH3786" s="78" t="n"/>
      <c r="BI3786" s="78" t="n"/>
      <c r="BJ3786" s="139" t="n"/>
      <c r="BK3786" s="204" t="n"/>
      <c r="BL3786" s="141" t="n"/>
      <c r="BM3786" s="205" t="n"/>
      <c r="BN3786" s="205" t="n"/>
      <c r="BO3786" s="206" t="n"/>
      <c r="BP3786" s="144" t="n"/>
      <c r="BQ3786" s="141" t="n"/>
      <c r="BR3786" s="207" t="n"/>
      <c r="BS3786" s="207" t="n"/>
      <c r="BT3786" s="207" t="n"/>
      <c r="BU3786" s="207" t="n"/>
      <c r="BV3786" s="208" t="n"/>
      <c r="BW3786" s="207" t="n"/>
      <c r="BX3786" s="207" t="n"/>
      <c r="BY3786" s="204" t="n"/>
      <c r="BZ3786" s="148" t="n"/>
      <c r="CA3786" s="204" t="n"/>
      <c r="CB3786" s="208" t="n"/>
      <c r="CC3786" s="139" t="n"/>
      <c r="CD3786" s="204" t="n"/>
      <c r="CE3786" s="204" t="n"/>
      <c r="CF3786" s="207" t="n"/>
      <c r="CG3786" s="208" t="n"/>
      <c r="CH3786" s="207" t="n"/>
      <c r="CI3786" s="208" t="n"/>
      <c r="CJ3786" s="204" t="n"/>
      <c r="CK3786" s="208" t="n"/>
      <c r="CL3786" s="208" t="n"/>
      <c r="CM3786" s="208" t="n"/>
      <c r="CN3786" s="78" t="n"/>
      <c r="CO3786" s="209" t="n"/>
      <c r="CP3786" s="204" t="n"/>
      <c r="CQ3786" s="204" t="n"/>
      <c r="CR3786" s="204" t="n"/>
      <c r="CS3786" s="204" t="n"/>
      <c r="CT3786" s="204" t="n"/>
      <c r="CU3786" s="204" t="n"/>
      <c r="CV3786" s="204" t="n"/>
      <c r="CW3786" s="204" t="n"/>
    </row>
    <row r="3787">
      <c r="BF3787" s="78" t="n"/>
      <c r="BG3787" s="78" t="n"/>
      <c r="BH3787" s="78" t="n"/>
      <c r="BI3787" s="78" t="n"/>
      <c r="BJ3787" s="139" t="n"/>
      <c r="BK3787" s="204" t="n"/>
      <c r="BL3787" s="141" t="n"/>
      <c r="BM3787" s="205" t="n"/>
      <c r="BN3787" s="205" t="n"/>
      <c r="BO3787" s="206" t="n"/>
      <c r="BP3787" s="144" t="n"/>
      <c r="BQ3787" s="141" t="n"/>
      <c r="BR3787" s="207" t="n"/>
      <c r="BS3787" s="207" t="n"/>
      <c r="BT3787" s="207" t="n"/>
      <c r="BU3787" s="207" t="n"/>
      <c r="BV3787" s="208" t="n"/>
      <c r="BW3787" s="207" t="n"/>
      <c r="BX3787" s="207" t="n"/>
      <c r="BY3787" s="204" t="n"/>
      <c r="BZ3787" s="148" t="n"/>
      <c r="CA3787" s="204" t="n"/>
      <c r="CB3787" s="208" t="n"/>
      <c r="CC3787" s="139" t="n"/>
      <c r="CD3787" s="204" t="n"/>
      <c r="CE3787" s="204" t="n"/>
      <c r="CF3787" s="207" t="n"/>
      <c r="CG3787" s="208" t="n"/>
      <c r="CH3787" s="207" t="n"/>
      <c r="CI3787" s="208" t="n"/>
      <c r="CJ3787" s="204" t="n"/>
      <c r="CK3787" s="208" t="n"/>
      <c r="CL3787" s="208" t="n"/>
      <c r="CM3787" s="208" t="n"/>
      <c r="CN3787" s="78" t="n"/>
      <c r="CO3787" s="209" t="n"/>
      <c r="CP3787" s="204" t="n"/>
      <c r="CQ3787" s="204" t="n"/>
      <c r="CR3787" s="204" t="n"/>
      <c r="CS3787" s="204" t="n"/>
      <c r="CT3787" s="204" t="n"/>
      <c r="CU3787" s="204" t="n"/>
      <c r="CV3787" s="204" t="n"/>
      <c r="CW3787" s="204" t="n"/>
    </row>
    <row r="3788">
      <c r="BF3788" s="78" t="n"/>
      <c r="BG3788" s="78" t="n"/>
      <c r="BH3788" s="78" t="n"/>
      <c r="BI3788" s="78" t="n"/>
      <c r="BJ3788" s="139" t="n"/>
      <c r="BK3788" s="204" t="n"/>
      <c r="BL3788" s="141" t="n"/>
      <c r="BM3788" s="205" t="n"/>
      <c r="BN3788" s="205" t="n"/>
      <c r="BO3788" s="206" t="n"/>
      <c r="BP3788" s="144" t="n"/>
      <c r="BQ3788" s="141" t="n"/>
      <c r="BR3788" s="207" t="n"/>
      <c r="BS3788" s="207" t="n"/>
      <c r="BT3788" s="207" t="n"/>
      <c r="BU3788" s="207" t="n"/>
      <c r="BV3788" s="208" t="n"/>
      <c r="BW3788" s="207" t="n"/>
      <c r="BX3788" s="207" t="n"/>
      <c r="BY3788" s="204" t="n"/>
      <c r="BZ3788" s="148" t="n"/>
      <c r="CA3788" s="204" t="n"/>
      <c r="CB3788" s="208" t="n"/>
      <c r="CC3788" s="139" t="n"/>
      <c r="CD3788" s="204" t="n"/>
      <c r="CE3788" s="204" t="n"/>
      <c r="CF3788" s="207" t="n"/>
      <c r="CG3788" s="208" t="n"/>
      <c r="CH3788" s="207" t="n"/>
      <c r="CI3788" s="208" t="n"/>
      <c r="CJ3788" s="204" t="n"/>
      <c r="CK3788" s="208" t="n"/>
      <c r="CL3788" s="208" t="n"/>
      <c r="CM3788" s="208" t="n"/>
      <c r="CN3788" s="78" t="n"/>
      <c r="CO3788" s="209" t="n"/>
      <c r="CP3788" s="204" t="n"/>
      <c r="CQ3788" s="204" t="n"/>
      <c r="CR3788" s="204" t="n"/>
      <c r="CS3788" s="204" t="n"/>
      <c r="CT3788" s="204" t="n"/>
      <c r="CU3788" s="204" t="n"/>
      <c r="CV3788" s="204" t="n"/>
      <c r="CW3788" s="204" t="n"/>
    </row>
    <row r="3789">
      <c r="BF3789" s="78" t="n"/>
      <c r="BG3789" s="78" t="n"/>
      <c r="BH3789" s="78" t="n"/>
      <c r="BI3789" s="78" t="n"/>
      <c r="BJ3789" s="139" t="n"/>
      <c r="BK3789" s="204" t="n"/>
      <c r="BL3789" s="141" t="n"/>
      <c r="BM3789" s="205" t="n"/>
      <c r="BN3789" s="205" t="n"/>
      <c r="BO3789" s="206" t="n"/>
      <c r="BP3789" s="144" t="n"/>
      <c r="BQ3789" s="141" t="n"/>
      <c r="BR3789" s="207" t="n"/>
      <c r="BS3789" s="207" t="n"/>
      <c r="BT3789" s="207" t="n"/>
      <c r="BU3789" s="207" t="n"/>
      <c r="BV3789" s="208" t="n"/>
      <c r="BW3789" s="207" t="n"/>
      <c r="BX3789" s="207" t="n"/>
      <c r="BY3789" s="204" t="n"/>
      <c r="BZ3789" s="148" t="n"/>
      <c r="CA3789" s="204" t="n"/>
      <c r="CB3789" s="208" t="n"/>
      <c r="CC3789" s="139" t="n"/>
      <c r="CD3789" s="204" t="n"/>
      <c r="CE3789" s="204" t="n"/>
      <c r="CF3789" s="207" t="n"/>
      <c r="CG3789" s="208" t="n"/>
      <c r="CH3789" s="207" t="n"/>
      <c r="CI3789" s="208" t="n"/>
      <c r="CJ3789" s="204" t="n"/>
      <c r="CK3789" s="208" t="n"/>
      <c r="CL3789" s="208" t="n"/>
      <c r="CM3789" s="208" t="n"/>
      <c r="CN3789" s="78" t="n"/>
      <c r="CO3789" s="209" t="n"/>
      <c r="CP3789" s="204" t="n"/>
      <c r="CQ3789" s="204" t="n"/>
      <c r="CR3789" s="204" t="n"/>
      <c r="CS3789" s="204" t="n"/>
      <c r="CT3789" s="204" t="n"/>
      <c r="CU3789" s="204" t="n"/>
      <c r="CV3789" s="204" t="n"/>
      <c r="CW3789" s="204" t="n"/>
    </row>
    <row r="3790">
      <c r="BF3790" s="78" t="n"/>
      <c r="BG3790" s="78" t="n"/>
      <c r="BH3790" s="78" t="n"/>
      <c r="BI3790" s="78" t="n"/>
      <c r="BJ3790" s="139" t="n"/>
      <c r="BK3790" s="204" t="n"/>
      <c r="BL3790" s="141" t="n"/>
      <c r="BM3790" s="205" t="n"/>
      <c r="BN3790" s="205" t="n"/>
      <c r="BO3790" s="206" t="n"/>
      <c r="BP3790" s="144" t="n"/>
      <c r="BQ3790" s="141" t="n"/>
      <c r="BR3790" s="207" t="n"/>
      <c r="BS3790" s="207" t="n"/>
      <c r="BT3790" s="207" t="n"/>
      <c r="BU3790" s="207" t="n"/>
      <c r="BV3790" s="208" t="n"/>
      <c r="BW3790" s="207" t="n"/>
      <c r="BX3790" s="207" t="n"/>
      <c r="BY3790" s="204" t="n"/>
      <c r="BZ3790" s="148" t="n"/>
      <c r="CA3790" s="204" t="n"/>
      <c r="CB3790" s="208" t="n"/>
      <c r="CC3790" s="139" t="n"/>
      <c r="CD3790" s="204" t="n"/>
      <c r="CE3790" s="204" t="n"/>
      <c r="CF3790" s="207" t="n"/>
      <c r="CG3790" s="208" t="n"/>
      <c r="CH3790" s="207" t="n"/>
      <c r="CI3790" s="208" t="n"/>
      <c r="CJ3790" s="204" t="n"/>
      <c r="CK3790" s="208" t="n"/>
      <c r="CL3790" s="208" t="n"/>
      <c r="CM3790" s="208" t="n"/>
      <c r="CN3790" s="78" t="n"/>
      <c r="CO3790" s="209" t="n"/>
      <c r="CP3790" s="204" t="n"/>
      <c r="CQ3790" s="204" t="n"/>
      <c r="CR3790" s="204" t="n"/>
      <c r="CS3790" s="204" t="n"/>
      <c r="CT3790" s="204" t="n"/>
      <c r="CU3790" s="204" t="n"/>
      <c r="CV3790" s="204" t="n"/>
      <c r="CW3790" s="204" t="n"/>
    </row>
    <row r="3791">
      <c r="BF3791" s="78" t="n"/>
      <c r="BG3791" s="78" t="n"/>
      <c r="BH3791" s="78" t="n"/>
      <c r="BI3791" s="78" t="n"/>
      <c r="BJ3791" s="139" t="n"/>
      <c r="BK3791" s="204" t="n"/>
      <c r="BL3791" s="141" t="n"/>
      <c r="BM3791" s="205" t="n"/>
      <c r="BN3791" s="205" t="n"/>
      <c r="BO3791" s="206" t="n"/>
      <c r="BP3791" s="144" t="n"/>
      <c r="BQ3791" s="141" t="n"/>
      <c r="BR3791" s="207" t="n"/>
      <c r="BS3791" s="207" t="n"/>
      <c r="BT3791" s="207" t="n"/>
      <c r="BU3791" s="207" t="n"/>
      <c r="BV3791" s="208" t="n"/>
      <c r="BW3791" s="207" t="n"/>
      <c r="BX3791" s="207" t="n"/>
      <c r="BY3791" s="204" t="n"/>
      <c r="BZ3791" s="148" t="n"/>
      <c r="CA3791" s="204" t="n"/>
      <c r="CB3791" s="208" t="n"/>
      <c r="CC3791" s="139" t="n"/>
      <c r="CD3791" s="204" t="n"/>
      <c r="CE3791" s="204" t="n"/>
      <c r="CF3791" s="207" t="n"/>
      <c r="CG3791" s="208" t="n"/>
      <c r="CH3791" s="207" t="n"/>
      <c r="CI3791" s="208" t="n"/>
      <c r="CJ3791" s="204" t="n"/>
      <c r="CK3791" s="208" t="n"/>
      <c r="CL3791" s="208" t="n"/>
      <c r="CM3791" s="208" t="n"/>
      <c r="CN3791" s="78" t="n"/>
      <c r="CO3791" s="209" t="n"/>
      <c r="CP3791" s="204" t="n"/>
      <c r="CQ3791" s="204" t="n"/>
      <c r="CR3791" s="204" t="n"/>
      <c r="CS3791" s="204" t="n"/>
      <c r="CT3791" s="204" t="n"/>
      <c r="CU3791" s="204" t="n"/>
      <c r="CV3791" s="204" t="n"/>
      <c r="CW3791" s="204" t="n"/>
    </row>
    <row r="3792">
      <c r="BF3792" s="78" t="n"/>
      <c r="BG3792" s="78" t="n"/>
      <c r="BH3792" s="78" t="n"/>
      <c r="BI3792" s="78" t="n"/>
      <c r="BJ3792" s="139" t="n"/>
      <c r="BK3792" s="204" t="n"/>
      <c r="BL3792" s="141" t="n"/>
      <c r="BM3792" s="205" t="n"/>
      <c r="BN3792" s="205" t="n"/>
      <c r="BO3792" s="206" t="n"/>
      <c r="BP3792" s="144" t="n"/>
      <c r="BQ3792" s="141" t="n"/>
      <c r="BR3792" s="207" t="n"/>
      <c r="BS3792" s="207" t="n"/>
      <c r="BT3792" s="207" t="n"/>
      <c r="BU3792" s="207" t="n"/>
      <c r="BV3792" s="208" t="n"/>
      <c r="BW3792" s="207" t="n"/>
      <c r="BX3792" s="207" t="n"/>
      <c r="BY3792" s="204" t="n"/>
      <c r="BZ3792" s="148" t="n"/>
      <c r="CA3792" s="204" t="n"/>
      <c r="CB3792" s="208" t="n"/>
      <c r="CC3792" s="139" t="n"/>
      <c r="CD3792" s="204" t="n"/>
      <c r="CE3792" s="204" t="n"/>
      <c r="CF3792" s="207" t="n"/>
      <c r="CG3792" s="208" t="n"/>
      <c r="CH3792" s="207" t="n"/>
      <c r="CI3792" s="208" t="n"/>
      <c r="CJ3792" s="204" t="n"/>
      <c r="CK3792" s="208" t="n"/>
      <c r="CL3792" s="208" t="n"/>
      <c r="CM3792" s="208" t="n"/>
      <c r="CN3792" s="78" t="n"/>
      <c r="CO3792" s="209" t="n"/>
      <c r="CP3792" s="204" t="n"/>
      <c r="CQ3792" s="204" t="n"/>
      <c r="CR3792" s="204" t="n"/>
      <c r="CS3792" s="204" t="n"/>
      <c r="CT3792" s="204" t="n"/>
      <c r="CU3792" s="204" t="n"/>
      <c r="CV3792" s="204" t="n"/>
      <c r="CW3792" s="204" t="n"/>
    </row>
    <row r="3793">
      <c r="BF3793" s="78" t="n"/>
      <c r="BG3793" s="78" t="n"/>
      <c r="BH3793" s="78" t="n"/>
      <c r="BI3793" s="78" t="n"/>
      <c r="BJ3793" s="139" t="n"/>
      <c r="BK3793" s="204" t="n"/>
      <c r="BL3793" s="141" t="n"/>
      <c r="BM3793" s="205" t="n"/>
      <c r="BN3793" s="205" t="n"/>
      <c r="BO3793" s="206" t="n"/>
      <c r="BP3793" s="144" t="n"/>
      <c r="BQ3793" s="141" t="n"/>
      <c r="BR3793" s="207" t="n"/>
      <c r="BS3793" s="207" t="n"/>
      <c r="BT3793" s="207" t="n"/>
      <c r="BU3793" s="207" t="n"/>
      <c r="BV3793" s="208" t="n"/>
      <c r="BW3793" s="207" t="n"/>
      <c r="BX3793" s="207" t="n"/>
      <c r="BY3793" s="204" t="n"/>
      <c r="BZ3793" s="148" t="n"/>
      <c r="CA3793" s="204" t="n"/>
      <c r="CB3793" s="208" t="n"/>
      <c r="CC3793" s="139" t="n"/>
      <c r="CD3793" s="204" t="n"/>
      <c r="CE3793" s="204" t="n"/>
      <c r="CF3793" s="207" t="n"/>
      <c r="CG3793" s="208" t="n"/>
      <c r="CH3793" s="207" t="n"/>
      <c r="CI3793" s="208" t="n"/>
      <c r="CJ3793" s="204" t="n"/>
      <c r="CK3793" s="208" t="n"/>
      <c r="CL3793" s="208" t="n"/>
      <c r="CM3793" s="208" t="n"/>
      <c r="CN3793" s="78" t="n"/>
      <c r="CO3793" s="209" t="n"/>
      <c r="CP3793" s="204" t="n"/>
      <c r="CQ3793" s="204" t="n"/>
      <c r="CR3793" s="204" t="n"/>
      <c r="CS3793" s="204" t="n"/>
      <c r="CT3793" s="204" t="n"/>
      <c r="CU3793" s="204" t="n"/>
      <c r="CV3793" s="204" t="n"/>
      <c r="CW3793" s="204" t="n"/>
    </row>
    <row r="3794">
      <c r="BF3794" s="78" t="n"/>
      <c r="BG3794" s="78" t="n"/>
      <c r="BH3794" s="78" t="n"/>
      <c r="BI3794" s="78" t="n"/>
      <c r="BJ3794" s="139" t="n"/>
      <c r="BK3794" s="204" t="n"/>
      <c r="BL3794" s="141" t="n"/>
      <c r="BM3794" s="205" t="n"/>
      <c r="BN3794" s="205" t="n"/>
      <c r="BO3794" s="206" t="n"/>
      <c r="BP3794" s="144" t="n"/>
      <c r="BQ3794" s="141" t="n"/>
      <c r="BR3794" s="207" t="n"/>
      <c r="BS3794" s="207" t="n"/>
      <c r="BT3794" s="207" t="n"/>
      <c r="BU3794" s="207" t="n"/>
      <c r="BV3794" s="208" t="n"/>
      <c r="BW3794" s="207" t="n"/>
      <c r="BX3794" s="207" t="n"/>
      <c r="BY3794" s="204" t="n"/>
      <c r="BZ3794" s="148" t="n"/>
      <c r="CA3794" s="204" t="n"/>
      <c r="CB3794" s="208" t="n"/>
      <c r="CC3794" s="139" t="n"/>
      <c r="CD3794" s="204" t="n"/>
      <c r="CE3794" s="204" t="n"/>
      <c r="CF3794" s="207" t="n"/>
      <c r="CG3794" s="208" t="n"/>
      <c r="CH3794" s="207" t="n"/>
      <c r="CI3794" s="208" t="n"/>
      <c r="CJ3794" s="204" t="n"/>
      <c r="CK3794" s="208" t="n"/>
      <c r="CL3794" s="208" t="n"/>
      <c r="CM3794" s="208" t="n"/>
      <c r="CN3794" s="78" t="n"/>
      <c r="CO3794" s="209" t="n"/>
      <c r="CP3794" s="204" t="n"/>
      <c r="CQ3794" s="204" t="n"/>
      <c r="CR3794" s="204" t="n"/>
      <c r="CS3794" s="204" t="n"/>
      <c r="CT3794" s="204" t="n"/>
      <c r="CU3794" s="204" t="n"/>
      <c r="CV3794" s="204" t="n"/>
      <c r="CW3794" s="204" t="n"/>
    </row>
    <row r="3795">
      <c r="BF3795" s="78" t="n"/>
      <c r="BG3795" s="78" t="n"/>
      <c r="BH3795" s="78" t="n"/>
      <c r="BI3795" s="78" t="n"/>
      <c r="BJ3795" s="139" t="n"/>
      <c r="BK3795" s="204" t="n"/>
      <c r="BL3795" s="141" t="n"/>
      <c r="BM3795" s="205" t="n"/>
      <c r="BN3795" s="205" t="n"/>
      <c r="BO3795" s="206" t="n"/>
      <c r="BP3795" s="144" t="n"/>
      <c r="BQ3795" s="141" t="n"/>
      <c r="BR3795" s="207" t="n"/>
      <c r="BS3795" s="207" t="n"/>
      <c r="BT3795" s="207" t="n"/>
      <c r="BU3795" s="207" t="n"/>
      <c r="BV3795" s="208" t="n"/>
      <c r="BW3795" s="207" t="n"/>
      <c r="BX3795" s="207" t="n"/>
      <c r="BY3795" s="204" t="n"/>
      <c r="BZ3795" s="148" t="n"/>
      <c r="CA3795" s="204" t="n"/>
      <c r="CB3795" s="208" t="n"/>
      <c r="CC3795" s="139" t="n"/>
      <c r="CD3795" s="204" t="n"/>
      <c r="CE3795" s="204" t="n"/>
      <c r="CF3795" s="207" t="n"/>
      <c r="CG3795" s="208" t="n"/>
      <c r="CH3795" s="207" t="n"/>
      <c r="CI3795" s="208" t="n"/>
      <c r="CJ3795" s="204" t="n"/>
      <c r="CK3795" s="208" t="n"/>
      <c r="CL3795" s="208" t="n"/>
      <c r="CM3795" s="208" t="n"/>
      <c r="CN3795" s="78" t="n"/>
      <c r="CO3795" s="209" t="n"/>
      <c r="CP3795" s="204" t="n"/>
      <c r="CQ3795" s="204" t="n"/>
      <c r="CR3795" s="204" t="n"/>
      <c r="CS3795" s="204" t="n"/>
      <c r="CT3795" s="204" t="n"/>
      <c r="CU3795" s="204" t="n"/>
      <c r="CV3795" s="204" t="n"/>
      <c r="CW3795" s="204" t="n"/>
    </row>
    <row r="3796">
      <c r="BF3796" s="78" t="n"/>
      <c r="BG3796" s="78" t="n"/>
      <c r="BH3796" s="78" t="n"/>
      <c r="BI3796" s="78" t="n"/>
      <c r="BJ3796" s="139" t="n"/>
      <c r="BK3796" s="204" t="n"/>
      <c r="BL3796" s="141" t="n"/>
      <c r="BM3796" s="205" t="n"/>
      <c r="BN3796" s="205" t="n"/>
      <c r="BO3796" s="206" t="n"/>
      <c r="BP3796" s="144" t="n"/>
      <c r="BQ3796" s="141" t="n"/>
      <c r="BR3796" s="207" t="n"/>
      <c r="BS3796" s="207" t="n"/>
      <c r="BT3796" s="207" t="n"/>
      <c r="BU3796" s="207" t="n"/>
      <c r="BV3796" s="208" t="n"/>
      <c r="BW3796" s="207" t="n"/>
      <c r="BX3796" s="207" t="n"/>
      <c r="BY3796" s="204" t="n"/>
      <c r="BZ3796" s="148" t="n"/>
      <c r="CA3796" s="204" t="n"/>
      <c r="CB3796" s="208" t="n"/>
      <c r="CC3796" s="139" t="n"/>
      <c r="CD3796" s="204" t="n"/>
      <c r="CE3796" s="204" t="n"/>
      <c r="CF3796" s="207" t="n"/>
      <c r="CG3796" s="208" t="n"/>
      <c r="CH3796" s="207" t="n"/>
      <c r="CI3796" s="208" t="n"/>
      <c r="CJ3796" s="204" t="n"/>
      <c r="CK3796" s="208" t="n"/>
      <c r="CL3796" s="208" t="n"/>
      <c r="CM3796" s="208" t="n"/>
      <c r="CN3796" s="78" t="n"/>
      <c r="CO3796" s="209" t="n"/>
      <c r="CP3796" s="204" t="n"/>
      <c r="CQ3796" s="204" t="n"/>
      <c r="CR3796" s="204" t="n"/>
      <c r="CS3796" s="204" t="n"/>
      <c r="CT3796" s="204" t="n"/>
      <c r="CU3796" s="204" t="n"/>
      <c r="CV3796" s="204" t="n"/>
      <c r="CW3796" s="204" t="n"/>
    </row>
    <row r="3797">
      <c r="BF3797" s="78" t="n"/>
      <c r="BG3797" s="78" t="n"/>
      <c r="BH3797" s="78" t="n"/>
      <c r="BI3797" s="78" t="n"/>
      <c r="BJ3797" s="139" t="n"/>
      <c r="BK3797" s="204" t="n"/>
      <c r="BL3797" s="141" t="n"/>
      <c r="BM3797" s="205" t="n"/>
      <c r="BN3797" s="205" t="n"/>
      <c r="BO3797" s="206" t="n"/>
      <c r="BP3797" s="144" t="n"/>
      <c r="BQ3797" s="141" t="n"/>
      <c r="BR3797" s="207" t="n"/>
      <c r="BS3797" s="207" t="n"/>
      <c r="BT3797" s="207" t="n"/>
      <c r="BU3797" s="207" t="n"/>
      <c r="BV3797" s="208" t="n"/>
      <c r="BW3797" s="207" t="n"/>
      <c r="BX3797" s="207" t="n"/>
      <c r="BY3797" s="204" t="n"/>
      <c r="BZ3797" s="148" t="n"/>
      <c r="CA3797" s="204" t="n"/>
      <c r="CB3797" s="208" t="n"/>
      <c r="CC3797" s="139" t="n"/>
      <c r="CD3797" s="204" t="n"/>
      <c r="CE3797" s="204" t="n"/>
      <c r="CF3797" s="207" t="n"/>
      <c r="CG3797" s="208" t="n"/>
      <c r="CH3797" s="207" t="n"/>
      <c r="CI3797" s="208" t="n"/>
      <c r="CJ3797" s="204" t="n"/>
      <c r="CK3797" s="208" t="n"/>
      <c r="CL3797" s="208" t="n"/>
      <c r="CM3797" s="208" t="n"/>
      <c r="CN3797" s="78" t="n"/>
      <c r="CO3797" s="209" t="n"/>
      <c r="CP3797" s="204" t="n"/>
      <c r="CQ3797" s="204" t="n"/>
      <c r="CR3797" s="204" t="n"/>
      <c r="CS3797" s="204" t="n"/>
      <c r="CT3797" s="204" t="n"/>
      <c r="CU3797" s="204" t="n"/>
      <c r="CV3797" s="204" t="n"/>
      <c r="CW3797" s="204" t="n"/>
    </row>
    <row r="3798">
      <c r="BF3798" s="78" t="n"/>
      <c r="BG3798" s="78" t="n"/>
      <c r="BH3798" s="78" t="n"/>
      <c r="BI3798" s="78" t="n"/>
      <c r="BJ3798" s="139" t="n"/>
      <c r="BK3798" s="204" t="n"/>
      <c r="BL3798" s="141" t="n"/>
      <c r="BM3798" s="205" t="n"/>
      <c r="BN3798" s="205" t="n"/>
      <c r="BO3798" s="206" t="n"/>
      <c r="BP3798" s="144" t="n"/>
      <c r="BQ3798" s="141" t="n"/>
      <c r="BR3798" s="207" t="n"/>
      <c r="BS3798" s="207" t="n"/>
      <c r="BT3798" s="207" t="n"/>
      <c r="BU3798" s="207" t="n"/>
      <c r="BV3798" s="208" t="n"/>
      <c r="BW3798" s="207" t="n"/>
      <c r="BX3798" s="207" t="n"/>
      <c r="BY3798" s="204" t="n"/>
      <c r="BZ3798" s="148" t="n"/>
      <c r="CA3798" s="204" t="n"/>
      <c r="CB3798" s="208" t="n"/>
      <c r="CC3798" s="139" t="n"/>
      <c r="CD3798" s="204" t="n"/>
      <c r="CE3798" s="204" t="n"/>
      <c r="CF3798" s="207" t="n"/>
      <c r="CG3798" s="208" t="n"/>
      <c r="CH3798" s="207" t="n"/>
      <c r="CI3798" s="208" t="n"/>
      <c r="CJ3798" s="204" t="n"/>
      <c r="CK3798" s="208" t="n"/>
      <c r="CL3798" s="208" t="n"/>
      <c r="CM3798" s="208" t="n"/>
      <c r="CN3798" s="78" t="n"/>
      <c r="CO3798" s="209" t="n"/>
      <c r="CP3798" s="204" t="n"/>
      <c r="CQ3798" s="204" t="n"/>
      <c r="CR3798" s="204" t="n"/>
      <c r="CS3798" s="204" t="n"/>
      <c r="CT3798" s="204" t="n"/>
      <c r="CU3798" s="204" t="n"/>
      <c r="CV3798" s="204" t="n"/>
      <c r="CW3798" s="204" t="n"/>
    </row>
    <row r="3799">
      <c r="BF3799" s="78" t="n"/>
      <c r="BG3799" s="78" t="n"/>
      <c r="BH3799" s="78" t="n"/>
      <c r="BI3799" s="78" t="n"/>
      <c r="BJ3799" s="139" t="n"/>
      <c r="BK3799" s="204" t="n"/>
      <c r="BL3799" s="141" t="n"/>
      <c r="BM3799" s="205" t="n"/>
      <c r="BN3799" s="205" t="n"/>
      <c r="BO3799" s="206" t="n"/>
      <c r="BP3799" s="144" t="n"/>
      <c r="BQ3799" s="141" t="n"/>
      <c r="BR3799" s="207" t="n"/>
      <c r="BS3799" s="207" t="n"/>
      <c r="BT3799" s="207" t="n"/>
      <c r="BU3799" s="207" t="n"/>
      <c r="BV3799" s="208" t="n"/>
      <c r="BW3799" s="207" t="n"/>
      <c r="BX3799" s="207" t="n"/>
      <c r="BY3799" s="204" t="n"/>
      <c r="BZ3799" s="148" t="n"/>
      <c r="CA3799" s="204" t="n"/>
      <c r="CB3799" s="208" t="n"/>
      <c r="CC3799" s="139" t="n"/>
      <c r="CD3799" s="204" t="n"/>
      <c r="CE3799" s="204" t="n"/>
      <c r="CF3799" s="207" t="n"/>
      <c r="CG3799" s="208" t="n"/>
      <c r="CH3799" s="207" t="n"/>
      <c r="CI3799" s="208" t="n"/>
      <c r="CJ3799" s="204" t="n"/>
      <c r="CK3799" s="208" t="n"/>
      <c r="CL3799" s="208" t="n"/>
      <c r="CM3799" s="208" t="n"/>
      <c r="CN3799" s="78" t="n"/>
      <c r="CO3799" s="209" t="n"/>
      <c r="CP3799" s="204" t="n"/>
      <c r="CQ3799" s="204" t="n"/>
      <c r="CR3799" s="204" t="n"/>
      <c r="CS3799" s="204" t="n"/>
      <c r="CT3799" s="204" t="n"/>
      <c r="CU3799" s="204" t="n"/>
      <c r="CV3799" s="204" t="n"/>
      <c r="CW3799" s="204" t="n"/>
    </row>
    <row r="3800">
      <c r="BF3800" s="78" t="n"/>
      <c r="BG3800" s="78" t="n"/>
      <c r="BH3800" s="78" t="n"/>
      <c r="BI3800" s="78" t="n"/>
      <c r="BJ3800" s="139" t="n"/>
      <c r="BK3800" s="204" t="n"/>
      <c r="BL3800" s="141" t="n"/>
      <c r="BM3800" s="205" t="n"/>
      <c r="BN3800" s="205" t="n"/>
      <c r="BO3800" s="206" t="n"/>
      <c r="BP3800" s="144" t="n"/>
      <c r="BQ3800" s="141" t="n"/>
      <c r="BR3800" s="207" t="n"/>
      <c r="BS3800" s="207" t="n"/>
      <c r="BT3800" s="207" t="n"/>
      <c r="BU3800" s="207" t="n"/>
      <c r="BV3800" s="208" t="n"/>
      <c r="BW3800" s="207" t="n"/>
      <c r="BX3800" s="207" t="n"/>
      <c r="BY3800" s="204" t="n"/>
      <c r="BZ3800" s="148" t="n"/>
      <c r="CA3800" s="204" t="n"/>
      <c r="CB3800" s="208" t="n"/>
      <c r="CC3800" s="139" t="n"/>
      <c r="CD3800" s="204" t="n"/>
      <c r="CE3800" s="204" t="n"/>
      <c r="CF3800" s="207" t="n"/>
      <c r="CG3800" s="208" t="n"/>
      <c r="CH3800" s="207" t="n"/>
      <c r="CI3800" s="208" t="n"/>
      <c r="CJ3800" s="204" t="n"/>
      <c r="CK3800" s="208" t="n"/>
      <c r="CL3800" s="208" t="n"/>
      <c r="CM3800" s="208" t="n"/>
      <c r="CN3800" s="78" t="n"/>
      <c r="CO3800" s="209" t="n"/>
      <c r="CP3800" s="204" t="n"/>
      <c r="CQ3800" s="204" t="n"/>
      <c r="CR3800" s="204" t="n"/>
      <c r="CS3800" s="204" t="n"/>
      <c r="CT3800" s="204" t="n"/>
      <c r="CU3800" s="204" t="n"/>
      <c r="CV3800" s="204" t="n"/>
      <c r="CW3800" s="204" t="n"/>
    </row>
    <row r="3801">
      <c r="BF3801" s="78" t="n"/>
      <c r="BG3801" s="78" t="n"/>
      <c r="BH3801" s="78" t="n"/>
      <c r="BI3801" s="78" t="n"/>
      <c r="BJ3801" s="139" t="n"/>
      <c r="BK3801" s="204" t="n"/>
      <c r="BL3801" s="141" t="n"/>
      <c r="BM3801" s="205" t="n"/>
      <c r="BN3801" s="205" t="n"/>
      <c r="BO3801" s="206" t="n"/>
      <c r="BP3801" s="144" t="n"/>
      <c r="BQ3801" s="141" t="n"/>
      <c r="BR3801" s="207" t="n"/>
      <c r="BS3801" s="207" t="n"/>
      <c r="BT3801" s="207" t="n"/>
      <c r="BU3801" s="207" t="n"/>
      <c r="BV3801" s="208" t="n"/>
      <c r="BW3801" s="207" t="n"/>
      <c r="BX3801" s="207" t="n"/>
      <c r="BY3801" s="204" t="n"/>
      <c r="BZ3801" s="148" t="n"/>
      <c r="CA3801" s="204" t="n"/>
      <c r="CB3801" s="208" t="n"/>
      <c r="CC3801" s="139" t="n"/>
      <c r="CD3801" s="204" t="n"/>
      <c r="CE3801" s="204" t="n"/>
      <c r="CF3801" s="207" t="n"/>
      <c r="CG3801" s="208" t="n"/>
      <c r="CH3801" s="207" t="n"/>
      <c r="CI3801" s="208" t="n"/>
      <c r="CJ3801" s="204" t="n"/>
      <c r="CK3801" s="208" t="n"/>
      <c r="CL3801" s="208" t="n"/>
      <c r="CM3801" s="208" t="n"/>
      <c r="CN3801" s="78" t="n"/>
      <c r="CO3801" s="209" t="n"/>
      <c r="CP3801" s="204" t="n"/>
      <c r="CQ3801" s="204" t="n"/>
      <c r="CR3801" s="204" t="n"/>
      <c r="CS3801" s="204" t="n"/>
      <c r="CT3801" s="204" t="n"/>
      <c r="CU3801" s="204" t="n"/>
      <c r="CV3801" s="204" t="n"/>
      <c r="CW3801" s="204" t="n"/>
    </row>
    <row r="3802">
      <c r="BF3802" s="78" t="n"/>
      <c r="BG3802" s="78" t="n"/>
      <c r="BH3802" s="78" t="n"/>
      <c r="BI3802" s="78" t="n"/>
      <c r="BJ3802" s="139" t="n"/>
      <c r="BK3802" s="204" t="n"/>
      <c r="BL3802" s="141" t="n"/>
      <c r="BM3802" s="205" t="n"/>
      <c r="BN3802" s="205" t="n"/>
      <c r="BO3802" s="206" t="n"/>
      <c r="BP3802" s="144" t="n"/>
      <c r="BQ3802" s="141" t="n"/>
      <c r="BR3802" s="207" t="n"/>
      <c r="BS3802" s="207" t="n"/>
      <c r="BT3802" s="207" t="n"/>
      <c r="BU3802" s="207" t="n"/>
      <c r="BV3802" s="208" t="n"/>
      <c r="BW3802" s="207" t="n"/>
      <c r="BX3802" s="207" t="n"/>
      <c r="BY3802" s="204" t="n"/>
      <c r="BZ3802" s="148" t="n"/>
      <c r="CA3802" s="204" t="n"/>
      <c r="CB3802" s="208" t="n"/>
      <c r="CC3802" s="139" t="n"/>
      <c r="CD3802" s="204" t="n"/>
      <c r="CE3802" s="204" t="n"/>
      <c r="CF3802" s="207" t="n"/>
      <c r="CG3802" s="208" t="n"/>
      <c r="CH3802" s="207" t="n"/>
      <c r="CI3802" s="208" t="n"/>
      <c r="CJ3802" s="204" t="n"/>
      <c r="CK3802" s="208" t="n"/>
      <c r="CL3802" s="208" t="n"/>
      <c r="CM3802" s="208" t="n"/>
      <c r="CN3802" s="78" t="n"/>
      <c r="CO3802" s="209" t="n"/>
      <c r="CP3802" s="204" t="n"/>
      <c r="CQ3802" s="204" t="n"/>
      <c r="CR3802" s="204" t="n"/>
      <c r="CS3802" s="204" t="n"/>
      <c r="CT3802" s="204" t="n"/>
      <c r="CU3802" s="204" t="n"/>
      <c r="CV3802" s="204" t="n"/>
      <c r="CW3802" s="204" t="n"/>
    </row>
    <row r="3803">
      <c r="BF3803" s="78" t="n"/>
      <c r="BG3803" s="78" t="n"/>
      <c r="BH3803" s="78" t="n"/>
      <c r="BI3803" s="78" t="n"/>
      <c r="BJ3803" s="139" t="n"/>
      <c r="BK3803" s="204" t="n"/>
      <c r="BL3803" s="141" t="n"/>
      <c r="BM3803" s="205" t="n"/>
      <c r="BN3803" s="205" t="n"/>
      <c r="BO3803" s="206" t="n"/>
      <c r="BP3803" s="144" t="n"/>
      <c r="BQ3803" s="141" t="n"/>
      <c r="BR3803" s="207" t="n"/>
      <c r="BS3803" s="207" t="n"/>
      <c r="BT3803" s="207" t="n"/>
      <c r="BU3803" s="207" t="n"/>
      <c r="BV3803" s="208" t="n"/>
      <c r="BW3803" s="207" t="n"/>
      <c r="BX3803" s="207" t="n"/>
      <c r="BY3803" s="204" t="n"/>
      <c r="BZ3803" s="148" t="n"/>
      <c r="CA3803" s="204" t="n"/>
      <c r="CB3803" s="208" t="n"/>
      <c r="CC3803" s="139" t="n"/>
      <c r="CD3803" s="204" t="n"/>
      <c r="CE3803" s="204" t="n"/>
      <c r="CF3803" s="207" t="n"/>
      <c r="CG3803" s="208" t="n"/>
      <c r="CH3803" s="207" t="n"/>
      <c r="CI3803" s="208" t="n"/>
      <c r="CJ3803" s="204" t="n"/>
      <c r="CK3803" s="208" t="n"/>
      <c r="CL3803" s="208" t="n"/>
      <c r="CM3803" s="208" t="n"/>
      <c r="CN3803" s="78" t="n"/>
      <c r="CO3803" s="209" t="n"/>
      <c r="CP3803" s="204" t="n"/>
      <c r="CQ3803" s="204" t="n"/>
      <c r="CR3803" s="204" t="n"/>
      <c r="CS3803" s="204" t="n"/>
      <c r="CT3803" s="204" t="n"/>
      <c r="CU3803" s="204" t="n"/>
      <c r="CV3803" s="204" t="n"/>
      <c r="CW3803" s="204" t="n"/>
    </row>
    <row r="3804">
      <c r="BF3804" s="78" t="n"/>
      <c r="BG3804" s="78" t="n"/>
      <c r="BH3804" s="78" t="n"/>
      <c r="BI3804" s="78" t="n"/>
      <c r="BJ3804" s="139" t="n"/>
      <c r="BK3804" s="204" t="n"/>
      <c r="BL3804" s="141" t="n"/>
      <c r="BM3804" s="205" t="n"/>
      <c r="BN3804" s="205" t="n"/>
      <c r="BO3804" s="206" t="n"/>
      <c r="BP3804" s="144" t="n"/>
      <c r="BQ3804" s="141" t="n"/>
      <c r="BR3804" s="207" t="n"/>
      <c r="BS3804" s="207" t="n"/>
      <c r="BT3804" s="207" t="n"/>
      <c r="BU3804" s="207" t="n"/>
      <c r="BV3804" s="208" t="n"/>
      <c r="BW3804" s="207" t="n"/>
      <c r="BX3804" s="207" t="n"/>
      <c r="BY3804" s="204" t="n"/>
      <c r="BZ3804" s="148" t="n"/>
      <c r="CA3804" s="204" t="n"/>
      <c r="CB3804" s="208" t="n"/>
      <c r="CC3804" s="139" t="n"/>
      <c r="CD3804" s="204" t="n"/>
      <c r="CE3804" s="204" t="n"/>
      <c r="CF3804" s="207" t="n"/>
      <c r="CG3804" s="208" t="n"/>
      <c r="CH3804" s="207" t="n"/>
      <c r="CI3804" s="208" t="n"/>
      <c r="CJ3804" s="204" t="n"/>
      <c r="CK3804" s="208" t="n"/>
      <c r="CL3804" s="208" t="n"/>
      <c r="CM3804" s="208" t="n"/>
      <c r="CN3804" s="78" t="n"/>
      <c r="CO3804" s="209" t="n"/>
      <c r="CP3804" s="204" t="n"/>
      <c r="CQ3804" s="204" t="n"/>
      <c r="CR3804" s="204" t="n"/>
      <c r="CS3804" s="204" t="n"/>
      <c r="CT3804" s="204" t="n"/>
      <c r="CU3804" s="204" t="n"/>
      <c r="CV3804" s="204" t="n"/>
      <c r="CW3804" s="204" t="n"/>
    </row>
    <row r="3805">
      <c r="BF3805" s="78" t="n"/>
      <c r="BG3805" s="78" t="n"/>
      <c r="BH3805" s="78" t="n"/>
      <c r="BI3805" s="78" t="n"/>
      <c r="BJ3805" s="139" t="n"/>
      <c r="BK3805" s="204" t="n"/>
      <c r="BL3805" s="141" t="n"/>
      <c r="BM3805" s="205" t="n"/>
      <c r="BN3805" s="205" t="n"/>
      <c r="BO3805" s="206" t="n"/>
      <c r="BP3805" s="144" t="n"/>
      <c r="BQ3805" s="141" t="n"/>
      <c r="BR3805" s="207" t="n"/>
      <c r="BS3805" s="207" t="n"/>
      <c r="BT3805" s="207" t="n"/>
      <c r="BU3805" s="207" t="n"/>
      <c r="BV3805" s="208" t="n"/>
      <c r="BW3805" s="207" t="n"/>
      <c r="BX3805" s="207" t="n"/>
      <c r="BY3805" s="204" t="n"/>
      <c r="BZ3805" s="148" t="n"/>
      <c r="CA3805" s="204" t="n"/>
      <c r="CB3805" s="208" t="n"/>
      <c r="CC3805" s="139" t="n"/>
      <c r="CD3805" s="204" t="n"/>
      <c r="CE3805" s="204" t="n"/>
      <c r="CF3805" s="207" t="n"/>
      <c r="CG3805" s="208" t="n"/>
      <c r="CH3805" s="207" t="n"/>
      <c r="CI3805" s="208" t="n"/>
      <c r="CJ3805" s="204" t="n"/>
      <c r="CK3805" s="208" t="n"/>
      <c r="CL3805" s="208" t="n"/>
      <c r="CM3805" s="208" t="n"/>
      <c r="CN3805" s="78" t="n"/>
      <c r="CO3805" s="209" t="n"/>
      <c r="CP3805" s="204" t="n"/>
      <c r="CQ3805" s="204" t="n"/>
      <c r="CR3805" s="204" t="n"/>
      <c r="CS3805" s="204" t="n"/>
      <c r="CT3805" s="204" t="n"/>
      <c r="CU3805" s="204" t="n"/>
      <c r="CV3805" s="204" t="n"/>
      <c r="CW3805" s="204" t="n"/>
    </row>
    <row r="3806">
      <c r="BF3806" s="78" t="n"/>
      <c r="BG3806" s="78" t="n"/>
      <c r="BH3806" s="78" t="n"/>
      <c r="BI3806" s="78" t="n"/>
      <c r="BJ3806" s="139" t="n"/>
      <c r="BK3806" s="204" t="n"/>
      <c r="BL3806" s="141" t="n"/>
      <c r="BM3806" s="205" t="n"/>
      <c r="BN3806" s="205" t="n"/>
      <c r="BO3806" s="206" t="n"/>
      <c r="BP3806" s="144" t="n"/>
      <c r="BQ3806" s="141" t="n"/>
      <c r="BR3806" s="207" t="n"/>
      <c r="BS3806" s="207" t="n"/>
      <c r="BT3806" s="207" t="n"/>
      <c r="BU3806" s="207" t="n"/>
      <c r="BV3806" s="208" t="n"/>
      <c r="BW3806" s="207" t="n"/>
      <c r="BX3806" s="207" t="n"/>
      <c r="BY3806" s="204" t="n"/>
      <c r="BZ3806" s="148" t="n"/>
      <c r="CA3806" s="204" t="n"/>
      <c r="CB3806" s="208" t="n"/>
      <c r="CC3806" s="139" t="n"/>
      <c r="CD3806" s="204" t="n"/>
      <c r="CE3806" s="204" t="n"/>
      <c r="CF3806" s="207" t="n"/>
      <c r="CG3806" s="208" t="n"/>
      <c r="CH3806" s="207" t="n"/>
      <c r="CI3806" s="208" t="n"/>
      <c r="CJ3806" s="204" t="n"/>
      <c r="CK3806" s="208" t="n"/>
      <c r="CL3806" s="208" t="n"/>
      <c r="CM3806" s="208" t="n"/>
      <c r="CN3806" s="78" t="n"/>
      <c r="CO3806" s="209" t="n"/>
      <c r="CP3806" s="204" t="n"/>
      <c r="CQ3806" s="204" t="n"/>
      <c r="CR3806" s="204" t="n"/>
      <c r="CS3806" s="204" t="n"/>
      <c r="CT3806" s="204" t="n"/>
      <c r="CU3806" s="204" t="n"/>
      <c r="CV3806" s="204" t="n"/>
      <c r="CW3806" s="204" t="n"/>
    </row>
    <row r="3807">
      <c r="BF3807" s="78" t="n"/>
      <c r="BG3807" s="78" t="n"/>
      <c r="BH3807" s="78" t="n"/>
      <c r="BI3807" s="78" t="n"/>
      <c r="BJ3807" s="139" t="n"/>
      <c r="BK3807" s="204" t="n"/>
      <c r="BL3807" s="141" t="n"/>
      <c r="BM3807" s="205" t="n"/>
      <c r="BN3807" s="205" t="n"/>
      <c r="BO3807" s="206" t="n"/>
      <c r="BP3807" s="144" t="n"/>
      <c r="BQ3807" s="141" t="n"/>
      <c r="BR3807" s="207" t="n"/>
      <c r="BS3807" s="207" t="n"/>
      <c r="BT3807" s="207" t="n"/>
      <c r="BU3807" s="207" t="n"/>
      <c r="BV3807" s="208" t="n"/>
      <c r="BW3807" s="207" t="n"/>
      <c r="BX3807" s="207" t="n"/>
      <c r="BY3807" s="204" t="n"/>
      <c r="BZ3807" s="148" t="n"/>
      <c r="CA3807" s="204" t="n"/>
      <c r="CB3807" s="208" t="n"/>
      <c r="CC3807" s="139" t="n"/>
      <c r="CD3807" s="204" t="n"/>
      <c r="CE3807" s="204" t="n"/>
      <c r="CF3807" s="207" t="n"/>
      <c r="CG3807" s="208" t="n"/>
      <c r="CH3807" s="207" t="n"/>
      <c r="CI3807" s="208" t="n"/>
      <c r="CJ3807" s="204" t="n"/>
      <c r="CK3807" s="208" t="n"/>
      <c r="CL3807" s="208" t="n"/>
      <c r="CM3807" s="208" t="n"/>
      <c r="CN3807" s="78" t="n"/>
      <c r="CO3807" s="209" t="n"/>
      <c r="CP3807" s="204" t="n"/>
      <c r="CQ3807" s="204" t="n"/>
      <c r="CR3807" s="204" t="n"/>
      <c r="CS3807" s="204" t="n"/>
      <c r="CT3807" s="204" t="n"/>
      <c r="CU3807" s="204" t="n"/>
      <c r="CV3807" s="204" t="n"/>
      <c r="CW3807" s="204" t="n"/>
    </row>
    <row r="3808">
      <c r="BF3808" s="78" t="n"/>
      <c r="BG3808" s="78" t="n"/>
      <c r="BH3808" s="78" t="n"/>
      <c r="BI3808" s="78" t="n"/>
      <c r="BJ3808" s="139" t="n"/>
      <c r="BK3808" s="204" t="n"/>
      <c r="BL3808" s="141" t="n"/>
      <c r="BM3808" s="205" t="n"/>
      <c r="BN3808" s="205" t="n"/>
      <c r="BO3808" s="206" t="n"/>
      <c r="BP3808" s="144" t="n"/>
      <c r="BQ3808" s="141" t="n"/>
      <c r="BR3808" s="207" t="n"/>
      <c r="BS3808" s="207" t="n"/>
      <c r="BT3808" s="207" t="n"/>
      <c r="BU3808" s="207" t="n"/>
      <c r="BV3808" s="208" t="n"/>
      <c r="BW3808" s="207" t="n"/>
      <c r="BX3808" s="207" t="n"/>
      <c r="BY3808" s="204" t="n"/>
      <c r="BZ3808" s="148" t="n"/>
      <c r="CA3808" s="204" t="n"/>
      <c r="CB3808" s="208" t="n"/>
      <c r="CC3808" s="139" t="n"/>
      <c r="CD3808" s="204" t="n"/>
      <c r="CE3808" s="204" t="n"/>
      <c r="CF3808" s="207" t="n"/>
      <c r="CG3808" s="208" t="n"/>
      <c r="CH3808" s="207" t="n"/>
      <c r="CI3808" s="208" t="n"/>
      <c r="CJ3808" s="204" t="n"/>
      <c r="CK3808" s="208" t="n"/>
      <c r="CL3808" s="208" t="n"/>
      <c r="CM3808" s="208" t="n"/>
      <c r="CN3808" s="78" t="n"/>
      <c r="CO3808" s="209" t="n"/>
      <c r="CP3808" s="204" t="n"/>
      <c r="CQ3808" s="204" t="n"/>
      <c r="CR3808" s="204" t="n"/>
      <c r="CS3808" s="204" t="n"/>
      <c r="CT3808" s="204" t="n"/>
      <c r="CU3808" s="204" t="n"/>
      <c r="CV3808" s="204" t="n"/>
      <c r="CW3808" s="204" t="n"/>
    </row>
    <row r="3809">
      <c r="BF3809" s="78" t="n"/>
      <c r="BG3809" s="78" t="n"/>
      <c r="BH3809" s="78" t="n"/>
      <c r="BI3809" s="78" t="n"/>
      <c r="BJ3809" s="139" t="n"/>
      <c r="BK3809" s="204" t="n"/>
      <c r="BL3809" s="141" t="n"/>
      <c r="BM3809" s="205" t="n"/>
      <c r="BN3809" s="205" t="n"/>
      <c r="BO3809" s="206" t="n"/>
      <c r="BP3809" s="144" t="n"/>
      <c r="BQ3809" s="141" t="n"/>
      <c r="BR3809" s="207" t="n"/>
      <c r="BS3809" s="207" t="n"/>
      <c r="BT3809" s="207" t="n"/>
      <c r="BU3809" s="207" t="n"/>
      <c r="BV3809" s="208" t="n"/>
      <c r="BW3809" s="207" t="n"/>
      <c r="BX3809" s="207" t="n"/>
      <c r="BY3809" s="204" t="n"/>
      <c r="BZ3809" s="148" t="n"/>
      <c r="CA3809" s="204" t="n"/>
      <c r="CB3809" s="208" t="n"/>
      <c r="CC3809" s="139" t="n"/>
      <c r="CD3809" s="204" t="n"/>
      <c r="CE3809" s="204" t="n"/>
      <c r="CF3809" s="207" t="n"/>
      <c r="CG3809" s="208" t="n"/>
      <c r="CH3809" s="207" t="n"/>
      <c r="CI3809" s="208" t="n"/>
      <c r="CJ3809" s="204" t="n"/>
      <c r="CK3809" s="208" t="n"/>
      <c r="CL3809" s="208" t="n"/>
      <c r="CM3809" s="208" t="n"/>
      <c r="CN3809" s="78" t="n"/>
      <c r="CO3809" s="209" t="n"/>
      <c r="CP3809" s="204" t="n"/>
      <c r="CQ3809" s="204" t="n"/>
      <c r="CR3809" s="204" t="n"/>
      <c r="CS3809" s="204" t="n"/>
      <c r="CT3809" s="204" t="n"/>
      <c r="CU3809" s="204" t="n"/>
      <c r="CV3809" s="204" t="n"/>
      <c r="CW3809" s="204" t="n"/>
    </row>
    <row r="3810">
      <c r="BF3810" s="78" t="n"/>
      <c r="BG3810" s="78" t="n"/>
      <c r="BH3810" s="78" t="n"/>
      <c r="BI3810" s="78" t="n"/>
      <c r="BJ3810" s="139" t="n"/>
      <c r="BK3810" s="204" t="n"/>
      <c r="BL3810" s="141" t="n"/>
      <c r="BM3810" s="205" t="n"/>
      <c r="BN3810" s="205" t="n"/>
      <c r="BO3810" s="206" t="n"/>
      <c r="BP3810" s="144" t="n"/>
      <c r="BQ3810" s="141" t="n"/>
      <c r="BR3810" s="207" t="n"/>
      <c r="BS3810" s="207" t="n"/>
      <c r="BT3810" s="207" t="n"/>
      <c r="BU3810" s="207" t="n"/>
      <c r="BV3810" s="208" t="n"/>
      <c r="BW3810" s="207" t="n"/>
      <c r="BX3810" s="207" t="n"/>
      <c r="BY3810" s="204" t="n"/>
      <c r="BZ3810" s="148" t="n"/>
      <c r="CA3810" s="204" t="n"/>
      <c r="CB3810" s="208" t="n"/>
      <c r="CC3810" s="139" t="n"/>
      <c r="CD3810" s="204" t="n"/>
      <c r="CE3810" s="204" t="n"/>
      <c r="CF3810" s="207" t="n"/>
      <c r="CG3810" s="208" t="n"/>
      <c r="CH3810" s="207" t="n"/>
      <c r="CI3810" s="208" t="n"/>
      <c r="CJ3810" s="204" t="n"/>
      <c r="CK3810" s="208" t="n"/>
      <c r="CL3810" s="208" t="n"/>
      <c r="CM3810" s="208" t="n"/>
      <c r="CN3810" s="78" t="n"/>
      <c r="CO3810" s="209" t="n"/>
      <c r="CP3810" s="204" t="n"/>
      <c r="CQ3810" s="204" t="n"/>
      <c r="CR3810" s="204" t="n"/>
      <c r="CS3810" s="204" t="n"/>
      <c r="CT3810" s="204" t="n"/>
      <c r="CU3810" s="204" t="n"/>
      <c r="CV3810" s="204" t="n"/>
      <c r="CW3810" s="204" t="n"/>
    </row>
    <row r="3811">
      <c r="BF3811" s="78" t="n"/>
      <c r="BG3811" s="78" t="n"/>
      <c r="BH3811" s="78" t="n"/>
      <c r="BI3811" s="78" t="n"/>
      <c r="BJ3811" s="139" t="n"/>
      <c r="BK3811" s="204" t="n"/>
      <c r="BL3811" s="141" t="n"/>
      <c r="BM3811" s="205" t="n"/>
      <c r="BN3811" s="205" t="n"/>
      <c r="BO3811" s="206" t="n"/>
      <c r="BP3811" s="144" t="n"/>
      <c r="BQ3811" s="141" t="n"/>
      <c r="BR3811" s="207" t="n"/>
      <c r="BS3811" s="207" t="n"/>
      <c r="BT3811" s="207" t="n"/>
      <c r="BU3811" s="207" t="n"/>
      <c r="BV3811" s="208" t="n"/>
      <c r="BW3811" s="207" t="n"/>
      <c r="BX3811" s="207" t="n"/>
      <c r="BY3811" s="204" t="n"/>
      <c r="BZ3811" s="148" t="n"/>
      <c r="CA3811" s="204" t="n"/>
      <c r="CB3811" s="208" t="n"/>
      <c r="CC3811" s="139" t="n"/>
      <c r="CD3811" s="204" t="n"/>
      <c r="CE3811" s="204" t="n"/>
      <c r="CF3811" s="207" t="n"/>
      <c r="CG3811" s="208" t="n"/>
      <c r="CH3811" s="207" t="n"/>
      <c r="CI3811" s="208" t="n"/>
      <c r="CJ3811" s="204" t="n"/>
      <c r="CK3811" s="208" t="n"/>
      <c r="CL3811" s="208" t="n"/>
      <c r="CM3811" s="208" t="n"/>
      <c r="CN3811" s="78" t="n"/>
      <c r="CO3811" s="209" t="n"/>
      <c r="CP3811" s="204" t="n"/>
      <c r="CQ3811" s="204" t="n"/>
      <c r="CR3811" s="204" t="n"/>
      <c r="CS3811" s="204" t="n"/>
      <c r="CT3811" s="204" t="n"/>
      <c r="CU3811" s="204" t="n"/>
      <c r="CV3811" s="204" t="n"/>
      <c r="CW3811" s="204" t="n"/>
    </row>
    <row r="3812">
      <c r="BF3812" s="78" t="n"/>
      <c r="BG3812" s="78" t="n"/>
      <c r="BH3812" s="78" t="n"/>
      <c r="BI3812" s="78" t="n"/>
      <c r="BJ3812" s="139" t="n"/>
      <c r="BK3812" s="204" t="n"/>
      <c r="BL3812" s="141" t="n"/>
      <c r="BM3812" s="205" t="n"/>
      <c r="BN3812" s="205" t="n"/>
      <c r="BO3812" s="206" t="n"/>
      <c r="BP3812" s="144" t="n"/>
      <c r="BQ3812" s="141" t="n"/>
      <c r="BR3812" s="207" t="n"/>
      <c r="BS3812" s="207" t="n"/>
      <c r="BT3812" s="207" t="n"/>
      <c r="BU3812" s="207" t="n"/>
      <c r="BV3812" s="208" t="n"/>
      <c r="BW3812" s="207" t="n"/>
      <c r="BX3812" s="207" t="n"/>
      <c r="BY3812" s="204" t="n"/>
      <c r="BZ3812" s="148" t="n"/>
      <c r="CA3812" s="204" t="n"/>
      <c r="CB3812" s="208" t="n"/>
      <c r="CC3812" s="139" t="n"/>
      <c r="CD3812" s="204" t="n"/>
      <c r="CE3812" s="204" t="n"/>
      <c r="CF3812" s="207" t="n"/>
      <c r="CG3812" s="208" t="n"/>
      <c r="CH3812" s="207" t="n"/>
      <c r="CI3812" s="208" t="n"/>
      <c r="CJ3812" s="204" t="n"/>
      <c r="CK3812" s="208" t="n"/>
      <c r="CL3812" s="208" t="n"/>
      <c r="CM3812" s="208" t="n"/>
      <c r="CN3812" s="78" t="n"/>
      <c r="CO3812" s="209" t="n"/>
      <c r="CP3812" s="204" t="n"/>
      <c r="CQ3812" s="204" t="n"/>
      <c r="CR3812" s="204" t="n"/>
      <c r="CS3812" s="204" t="n"/>
      <c r="CT3812" s="204" t="n"/>
      <c r="CU3812" s="204" t="n"/>
      <c r="CV3812" s="204" t="n"/>
      <c r="CW3812" s="204" t="n"/>
    </row>
    <row r="3813">
      <c r="BF3813" s="78" t="n"/>
      <c r="BG3813" s="78" t="n"/>
      <c r="BH3813" s="78" t="n"/>
      <c r="BI3813" s="78" t="n"/>
      <c r="BJ3813" s="139" t="n"/>
      <c r="BK3813" s="204" t="n"/>
      <c r="BL3813" s="141" t="n"/>
      <c r="BM3813" s="205" t="n"/>
      <c r="BN3813" s="205" t="n"/>
      <c r="BO3813" s="206" t="n"/>
      <c r="BP3813" s="144" t="n"/>
      <c r="BQ3813" s="141" t="n"/>
      <c r="BR3813" s="207" t="n"/>
      <c r="BS3813" s="207" t="n"/>
      <c r="BT3813" s="207" t="n"/>
      <c r="BU3813" s="207" t="n"/>
      <c r="BV3813" s="208" t="n"/>
      <c r="BW3813" s="207" t="n"/>
      <c r="BX3813" s="207" t="n"/>
      <c r="BY3813" s="204" t="n"/>
      <c r="BZ3813" s="148" t="n"/>
      <c r="CA3813" s="204" t="n"/>
      <c r="CB3813" s="208" t="n"/>
      <c r="CC3813" s="139" t="n"/>
      <c r="CD3813" s="204" t="n"/>
      <c r="CE3813" s="204" t="n"/>
      <c r="CF3813" s="207" t="n"/>
      <c r="CG3813" s="208" t="n"/>
      <c r="CH3813" s="207" t="n"/>
      <c r="CI3813" s="208" t="n"/>
      <c r="CJ3813" s="204" t="n"/>
      <c r="CK3813" s="208" t="n"/>
      <c r="CL3813" s="208" t="n"/>
      <c r="CM3813" s="208" t="n"/>
      <c r="CN3813" s="78" t="n"/>
      <c r="CO3813" s="209" t="n"/>
      <c r="CP3813" s="204" t="n"/>
      <c r="CQ3813" s="204" t="n"/>
      <c r="CR3813" s="204" t="n"/>
      <c r="CS3813" s="204" t="n"/>
      <c r="CT3813" s="204" t="n"/>
      <c r="CU3813" s="204" t="n"/>
      <c r="CV3813" s="204" t="n"/>
      <c r="CW3813" s="204" t="n"/>
    </row>
    <row r="3814">
      <c r="BF3814" s="78" t="n"/>
      <c r="BG3814" s="78" t="n"/>
      <c r="BH3814" s="78" t="n"/>
      <c r="BI3814" s="78" t="n"/>
      <c r="BJ3814" s="139" t="n"/>
      <c r="BK3814" s="204" t="n"/>
      <c r="BL3814" s="141" t="n"/>
      <c r="BM3814" s="205" t="n"/>
      <c r="BN3814" s="205" t="n"/>
      <c r="BO3814" s="206" t="n"/>
      <c r="BP3814" s="144" t="n"/>
      <c r="BQ3814" s="141" t="n"/>
      <c r="BR3814" s="207" t="n"/>
      <c r="BS3814" s="207" t="n"/>
      <c r="BT3814" s="207" t="n"/>
      <c r="BU3814" s="207" t="n"/>
      <c r="BV3814" s="208" t="n"/>
      <c r="BW3814" s="207" t="n"/>
      <c r="BX3814" s="207" t="n"/>
      <c r="BY3814" s="204" t="n"/>
      <c r="BZ3814" s="148" t="n"/>
      <c r="CA3814" s="204" t="n"/>
      <c r="CB3814" s="208" t="n"/>
      <c r="CC3814" s="139" t="n"/>
      <c r="CD3814" s="204" t="n"/>
      <c r="CE3814" s="204" t="n"/>
      <c r="CF3814" s="207" t="n"/>
      <c r="CG3814" s="208" t="n"/>
      <c r="CH3814" s="207" t="n"/>
      <c r="CI3814" s="208" t="n"/>
      <c r="CJ3814" s="204" t="n"/>
      <c r="CK3814" s="208" t="n"/>
      <c r="CL3814" s="208" t="n"/>
      <c r="CM3814" s="208" t="n"/>
      <c r="CN3814" s="78" t="n"/>
      <c r="CO3814" s="209" t="n"/>
      <c r="CP3814" s="204" t="n"/>
      <c r="CQ3814" s="204" t="n"/>
      <c r="CR3814" s="204" t="n"/>
      <c r="CS3814" s="204" t="n"/>
      <c r="CT3814" s="204" t="n"/>
      <c r="CU3814" s="204" t="n"/>
      <c r="CV3814" s="204" t="n"/>
      <c r="CW3814" s="204" t="n"/>
    </row>
    <row r="3815">
      <c r="BF3815" s="78" t="n"/>
      <c r="BG3815" s="78" t="n"/>
      <c r="BH3815" s="78" t="n"/>
      <c r="BI3815" s="78" t="n"/>
      <c r="BJ3815" s="139" t="n"/>
      <c r="BK3815" s="204" t="n"/>
      <c r="BL3815" s="141" t="n"/>
      <c r="BM3815" s="205" t="n"/>
      <c r="BN3815" s="205" t="n"/>
      <c r="BO3815" s="206" t="n"/>
      <c r="BP3815" s="144" t="n"/>
      <c r="BQ3815" s="141" t="n"/>
      <c r="BR3815" s="207" t="n"/>
      <c r="BS3815" s="207" t="n"/>
      <c r="BT3815" s="207" t="n"/>
      <c r="BU3815" s="207" t="n"/>
      <c r="BV3815" s="208" t="n"/>
      <c r="BW3815" s="207" t="n"/>
      <c r="BX3815" s="207" t="n"/>
      <c r="BY3815" s="204" t="n"/>
      <c r="BZ3815" s="148" t="n"/>
      <c r="CA3815" s="204" t="n"/>
      <c r="CB3815" s="208" t="n"/>
      <c r="CC3815" s="139" t="n"/>
      <c r="CD3815" s="204" t="n"/>
      <c r="CE3815" s="204" t="n"/>
      <c r="CF3815" s="207" t="n"/>
      <c r="CG3815" s="208" t="n"/>
      <c r="CH3815" s="207" t="n"/>
      <c r="CI3815" s="208" t="n"/>
      <c r="CJ3815" s="204" t="n"/>
      <c r="CK3815" s="208" t="n"/>
      <c r="CL3815" s="208" t="n"/>
      <c r="CM3815" s="208" t="n"/>
      <c r="CN3815" s="78" t="n"/>
      <c r="CO3815" s="209" t="n"/>
      <c r="CP3815" s="204" t="n"/>
      <c r="CQ3815" s="204" t="n"/>
      <c r="CR3815" s="204" t="n"/>
      <c r="CS3815" s="204" t="n"/>
      <c r="CT3815" s="204" t="n"/>
      <c r="CU3815" s="204" t="n"/>
      <c r="CV3815" s="204" t="n"/>
      <c r="CW3815" s="204" t="n"/>
    </row>
    <row r="3816">
      <c r="BF3816" s="78" t="n"/>
      <c r="BG3816" s="78" t="n"/>
      <c r="BH3816" s="78" t="n"/>
      <c r="BI3816" s="78" t="n"/>
      <c r="BJ3816" s="139" t="n"/>
      <c r="BK3816" s="204" t="n"/>
      <c r="BL3816" s="141" t="n"/>
      <c r="BM3816" s="205" t="n"/>
      <c r="BN3816" s="205" t="n"/>
      <c r="BO3816" s="206" t="n"/>
      <c r="BP3816" s="144" t="n"/>
      <c r="BQ3816" s="141" t="n"/>
      <c r="BR3816" s="207" t="n"/>
      <c r="BS3816" s="207" t="n"/>
      <c r="BT3816" s="207" t="n"/>
      <c r="BU3816" s="207" t="n"/>
      <c r="BV3816" s="208" t="n"/>
      <c r="BW3816" s="207" t="n"/>
      <c r="BX3816" s="207" t="n"/>
      <c r="BY3816" s="204" t="n"/>
      <c r="BZ3816" s="148" t="n"/>
      <c r="CA3816" s="204" t="n"/>
      <c r="CB3816" s="208" t="n"/>
      <c r="CC3816" s="139" t="n"/>
      <c r="CD3816" s="204" t="n"/>
      <c r="CE3816" s="204" t="n"/>
      <c r="CF3816" s="207" t="n"/>
      <c r="CG3816" s="208" t="n"/>
      <c r="CH3816" s="207" t="n"/>
      <c r="CI3816" s="208" t="n"/>
      <c r="CJ3816" s="204" t="n"/>
      <c r="CK3816" s="208" t="n"/>
      <c r="CL3816" s="208" t="n"/>
      <c r="CM3816" s="208" t="n"/>
      <c r="CN3816" s="78" t="n"/>
      <c r="CO3816" s="209" t="n"/>
      <c r="CP3816" s="204" t="n"/>
      <c r="CQ3816" s="204" t="n"/>
      <c r="CR3816" s="204" t="n"/>
      <c r="CS3816" s="204" t="n"/>
      <c r="CT3816" s="204" t="n"/>
      <c r="CU3816" s="204" t="n"/>
      <c r="CV3816" s="204" t="n"/>
      <c r="CW3816" s="204" t="n"/>
    </row>
    <row r="3817">
      <c r="BF3817" s="78" t="n"/>
      <c r="BG3817" s="78" t="n"/>
      <c r="BH3817" s="78" t="n"/>
      <c r="BI3817" s="78" t="n"/>
      <c r="BJ3817" s="139" t="n"/>
      <c r="BK3817" s="204" t="n"/>
      <c r="BL3817" s="141" t="n"/>
      <c r="BM3817" s="205" t="n"/>
      <c r="BN3817" s="205" t="n"/>
      <c r="BO3817" s="206" t="n"/>
      <c r="BP3817" s="144" t="n"/>
      <c r="BQ3817" s="141" t="n"/>
      <c r="BR3817" s="207" t="n"/>
      <c r="BS3817" s="207" t="n"/>
      <c r="BT3817" s="207" t="n"/>
      <c r="BU3817" s="207" t="n"/>
      <c r="BV3817" s="208" t="n"/>
      <c r="BW3817" s="207" t="n"/>
      <c r="BX3817" s="207" t="n"/>
      <c r="BY3817" s="204" t="n"/>
      <c r="BZ3817" s="148" t="n"/>
      <c r="CA3817" s="204" t="n"/>
      <c r="CB3817" s="208" t="n"/>
      <c r="CC3817" s="139" t="n"/>
      <c r="CD3817" s="204" t="n"/>
      <c r="CE3817" s="204" t="n"/>
      <c r="CF3817" s="207" t="n"/>
      <c r="CG3817" s="208" t="n"/>
      <c r="CH3817" s="207" t="n"/>
      <c r="CI3817" s="208" t="n"/>
      <c r="CJ3817" s="204" t="n"/>
      <c r="CK3817" s="208" t="n"/>
      <c r="CL3817" s="208" t="n"/>
      <c r="CM3817" s="208" t="n"/>
      <c r="CN3817" s="78" t="n"/>
      <c r="CO3817" s="209" t="n"/>
      <c r="CP3817" s="204" t="n"/>
      <c r="CQ3817" s="204" t="n"/>
      <c r="CR3817" s="204" t="n"/>
      <c r="CS3817" s="204" t="n"/>
      <c r="CT3817" s="204" t="n"/>
      <c r="CU3817" s="204" t="n"/>
      <c r="CV3817" s="204" t="n"/>
      <c r="CW3817" s="204" t="n"/>
    </row>
    <row r="3818">
      <c r="BF3818" s="78" t="n"/>
      <c r="BG3818" s="78" t="n"/>
      <c r="BH3818" s="78" t="n"/>
      <c r="BI3818" s="78" t="n"/>
      <c r="BJ3818" s="139" t="n"/>
      <c r="BK3818" s="204" t="n"/>
      <c r="BL3818" s="141" t="n"/>
      <c r="BM3818" s="205" t="n"/>
      <c r="BN3818" s="205" t="n"/>
      <c r="BO3818" s="206" t="n"/>
      <c r="BP3818" s="144" t="n"/>
      <c r="BQ3818" s="141" t="n"/>
      <c r="BR3818" s="207" t="n"/>
      <c r="BS3818" s="207" t="n"/>
      <c r="BT3818" s="207" t="n"/>
      <c r="BU3818" s="207" t="n"/>
      <c r="BV3818" s="208" t="n"/>
      <c r="BW3818" s="207" t="n"/>
      <c r="BX3818" s="207" t="n"/>
      <c r="BY3818" s="204" t="n"/>
      <c r="BZ3818" s="148" t="n"/>
      <c r="CA3818" s="204" t="n"/>
      <c r="CB3818" s="208" t="n"/>
      <c r="CC3818" s="139" t="n"/>
      <c r="CD3818" s="204" t="n"/>
      <c r="CE3818" s="204" t="n"/>
      <c r="CF3818" s="207" t="n"/>
      <c r="CG3818" s="208" t="n"/>
      <c r="CH3818" s="207" t="n"/>
      <c r="CI3818" s="208" t="n"/>
      <c r="CJ3818" s="204" t="n"/>
      <c r="CK3818" s="208" t="n"/>
      <c r="CL3818" s="208" t="n"/>
      <c r="CM3818" s="208" t="n"/>
      <c r="CN3818" s="78" t="n"/>
      <c r="CO3818" s="209" t="n"/>
      <c r="CP3818" s="204" t="n"/>
      <c r="CQ3818" s="204" t="n"/>
      <c r="CR3818" s="204" t="n"/>
      <c r="CS3818" s="204" t="n"/>
      <c r="CT3818" s="204" t="n"/>
      <c r="CU3818" s="204" t="n"/>
      <c r="CV3818" s="204" t="n"/>
      <c r="CW3818" s="204" t="n"/>
    </row>
    <row r="3819">
      <c r="BF3819" s="78" t="n"/>
      <c r="BG3819" s="78" t="n"/>
      <c r="BH3819" s="78" t="n"/>
      <c r="BI3819" s="78" t="n"/>
      <c r="BJ3819" s="139" t="n"/>
      <c r="BK3819" s="204" t="n"/>
      <c r="BL3819" s="141" t="n"/>
      <c r="BM3819" s="205" t="n"/>
      <c r="BN3819" s="205" t="n"/>
      <c r="BO3819" s="206" t="n"/>
      <c r="BP3819" s="144" t="n"/>
      <c r="BQ3819" s="141" t="n"/>
      <c r="BR3819" s="207" t="n"/>
      <c r="BS3819" s="207" t="n"/>
      <c r="BT3819" s="207" t="n"/>
      <c r="BU3819" s="207" t="n"/>
      <c r="BV3819" s="208" t="n"/>
      <c r="BW3819" s="207" t="n"/>
      <c r="BX3819" s="207" t="n"/>
      <c r="BY3819" s="204" t="n"/>
      <c r="BZ3819" s="148" t="n"/>
      <c r="CA3819" s="204" t="n"/>
      <c r="CB3819" s="208" t="n"/>
      <c r="CC3819" s="139" t="n"/>
      <c r="CD3819" s="204" t="n"/>
      <c r="CE3819" s="204" t="n"/>
      <c r="CF3819" s="207" t="n"/>
      <c r="CG3819" s="208" t="n"/>
      <c r="CH3819" s="207" t="n"/>
      <c r="CI3819" s="208" t="n"/>
      <c r="CJ3819" s="204" t="n"/>
      <c r="CK3819" s="208" t="n"/>
      <c r="CL3819" s="208" t="n"/>
      <c r="CM3819" s="208" t="n"/>
      <c r="CN3819" s="78" t="n"/>
      <c r="CO3819" s="209" t="n"/>
      <c r="CP3819" s="204" t="n"/>
      <c r="CQ3819" s="204" t="n"/>
      <c r="CR3819" s="204" t="n"/>
      <c r="CS3819" s="204" t="n"/>
      <c r="CT3819" s="204" t="n"/>
      <c r="CU3819" s="204" t="n"/>
      <c r="CV3819" s="204" t="n"/>
      <c r="CW3819" s="204" t="n"/>
    </row>
    <row r="3820">
      <c r="BF3820" s="78" t="n"/>
      <c r="BG3820" s="78" t="n"/>
      <c r="BH3820" s="78" t="n"/>
      <c r="BI3820" s="78" t="n"/>
      <c r="BJ3820" s="139" t="n"/>
      <c r="BK3820" s="204" t="n"/>
      <c r="BL3820" s="141" t="n"/>
      <c r="BM3820" s="205" t="n"/>
      <c r="BN3820" s="205" t="n"/>
      <c r="BO3820" s="206" t="n"/>
      <c r="BP3820" s="144" t="n"/>
      <c r="BQ3820" s="141" t="n"/>
      <c r="BR3820" s="207" t="n"/>
      <c r="BS3820" s="207" t="n"/>
      <c r="BT3820" s="207" t="n"/>
      <c r="BU3820" s="207" t="n"/>
      <c r="BV3820" s="208" t="n"/>
      <c r="BW3820" s="207" t="n"/>
      <c r="BX3820" s="207" t="n"/>
      <c r="BY3820" s="204" t="n"/>
      <c r="BZ3820" s="148" t="n"/>
      <c r="CA3820" s="204" t="n"/>
      <c r="CB3820" s="208" t="n"/>
      <c r="CC3820" s="139" t="n"/>
      <c r="CD3820" s="204" t="n"/>
      <c r="CE3820" s="204" t="n"/>
      <c r="CF3820" s="207" t="n"/>
      <c r="CG3820" s="208" t="n"/>
      <c r="CH3820" s="207" t="n"/>
      <c r="CI3820" s="208" t="n"/>
      <c r="CJ3820" s="204" t="n"/>
      <c r="CK3820" s="208" t="n"/>
      <c r="CL3820" s="208" t="n"/>
      <c r="CM3820" s="208" t="n"/>
      <c r="CN3820" s="78" t="n"/>
      <c r="CO3820" s="209" t="n"/>
      <c r="CP3820" s="204" t="n"/>
      <c r="CQ3820" s="204" t="n"/>
      <c r="CR3820" s="204" t="n"/>
      <c r="CS3820" s="204" t="n"/>
      <c r="CT3820" s="204" t="n"/>
      <c r="CU3820" s="204" t="n"/>
      <c r="CV3820" s="204" t="n"/>
      <c r="CW3820" s="204" t="n"/>
    </row>
    <row r="3821">
      <c r="BF3821" s="78" t="n"/>
      <c r="BG3821" s="78" t="n"/>
      <c r="BH3821" s="78" t="n"/>
      <c r="BI3821" s="78" t="n"/>
      <c r="BJ3821" s="139" t="n"/>
      <c r="BK3821" s="204" t="n"/>
      <c r="BL3821" s="141" t="n"/>
      <c r="BM3821" s="205" t="n"/>
      <c r="BN3821" s="205" t="n"/>
      <c r="BO3821" s="206" t="n"/>
      <c r="BP3821" s="144" t="n"/>
      <c r="BQ3821" s="141" t="n"/>
      <c r="BR3821" s="207" t="n"/>
      <c r="BS3821" s="207" t="n"/>
      <c r="BT3821" s="207" t="n"/>
      <c r="BU3821" s="207" t="n"/>
      <c r="BV3821" s="208" t="n"/>
      <c r="BW3821" s="207" t="n"/>
      <c r="BX3821" s="207" t="n"/>
      <c r="BY3821" s="204" t="n"/>
      <c r="BZ3821" s="148" t="n"/>
      <c r="CA3821" s="204" t="n"/>
      <c r="CB3821" s="208" t="n"/>
      <c r="CC3821" s="139" t="n"/>
      <c r="CD3821" s="204" t="n"/>
      <c r="CE3821" s="204" t="n"/>
      <c r="CF3821" s="207" t="n"/>
      <c r="CG3821" s="208" t="n"/>
      <c r="CH3821" s="207" t="n"/>
      <c r="CI3821" s="208" t="n"/>
      <c r="CJ3821" s="204" t="n"/>
      <c r="CK3821" s="208" t="n"/>
      <c r="CL3821" s="208" t="n"/>
      <c r="CM3821" s="208" t="n"/>
      <c r="CN3821" s="78" t="n"/>
      <c r="CO3821" s="209" t="n"/>
      <c r="CP3821" s="204" t="n"/>
      <c r="CQ3821" s="204" t="n"/>
      <c r="CR3821" s="204" t="n"/>
      <c r="CS3821" s="204" t="n"/>
      <c r="CT3821" s="204" t="n"/>
      <c r="CU3821" s="204" t="n"/>
      <c r="CV3821" s="204" t="n"/>
      <c r="CW3821" s="204" t="n"/>
    </row>
    <row r="3822">
      <c r="BF3822" s="78" t="n"/>
      <c r="BG3822" s="78" t="n"/>
      <c r="BH3822" s="78" t="n"/>
      <c r="BI3822" s="78" t="n"/>
      <c r="BJ3822" s="139" t="n"/>
      <c r="BK3822" s="204" t="n"/>
      <c r="BL3822" s="141" t="n"/>
      <c r="BM3822" s="205" t="n"/>
      <c r="BN3822" s="205" t="n"/>
      <c r="BO3822" s="206" t="n"/>
      <c r="BP3822" s="144" t="n"/>
      <c r="BQ3822" s="141" t="n"/>
      <c r="BR3822" s="207" t="n"/>
      <c r="BS3822" s="207" t="n"/>
      <c r="BT3822" s="207" t="n"/>
      <c r="BU3822" s="207" t="n"/>
      <c r="BV3822" s="208" t="n"/>
      <c r="BW3822" s="207" t="n"/>
      <c r="BX3822" s="207" t="n"/>
      <c r="BY3822" s="204" t="n"/>
      <c r="BZ3822" s="148" t="n"/>
      <c r="CA3822" s="204" t="n"/>
      <c r="CB3822" s="208" t="n"/>
      <c r="CC3822" s="139" t="n"/>
      <c r="CD3822" s="204" t="n"/>
      <c r="CE3822" s="204" t="n"/>
      <c r="CF3822" s="207" t="n"/>
      <c r="CG3822" s="208" t="n"/>
      <c r="CH3822" s="207" t="n"/>
      <c r="CI3822" s="208" t="n"/>
      <c r="CJ3822" s="204" t="n"/>
      <c r="CK3822" s="208" t="n"/>
      <c r="CL3822" s="208" t="n"/>
      <c r="CM3822" s="208" t="n"/>
      <c r="CN3822" s="78" t="n"/>
      <c r="CO3822" s="209" t="n"/>
      <c r="CP3822" s="204" t="n"/>
      <c r="CQ3822" s="204" t="n"/>
      <c r="CR3822" s="204" t="n"/>
      <c r="CS3822" s="204" t="n"/>
      <c r="CT3822" s="204" t="n"/>
      <c r="CU3822" s="204" t="n"/>
      <c r="CV3822" s="204" t="n"/>
      <c r="CW3822" s="204" t="n"/>
    </row>
    <row r="3823">
      <c r="BF3823" s="78" t="n"/>
      <c r="BG3823" s="78" t="n"/>
      <c r="BH3823" s="78" t="n"/>
      <c r="BI3823" s="78" t="n"/>
      <c r="BJ3823" s="139" t="n"/>
      <c r="BK3823" s="204" t="n"/>
      <c r="BL3823" s="141" t="n"/>
      <c r="BM3823" s="205" t="n"/>
      <c r="BN3823" s="205" t="n"/>
      <c r="BO3823" s="206" t="n"/>
      <c r="BP3823" s="144" t="n"/>
      <c r="BQ3823" s="141" t="n"/>
      <c r="BR3823" s="207" t="n"/>
      <c r="BS3823" s="207" t="n"/>
      <c r="BT3823" s="207" t="n"/>
      <c r="BU3823" s="207" t="n"/>
      <c r="BV3823" s="208" t="n"/>
      <c r="BW3823" s="207" t="n"/>
      <c r="BX3823" s="207" t="n"/>
      <c r="BY3823" s="204" t="n"/>
      <c r="BZ3823" s="148" t="n"/>
      <c r="CA3823" s="204" t="n"/>
      <c r="CB3823" s="208" t="n"/>
      <c r="CC3823" s="139" t="n"/>
      <c r="CD3823" s="204" t="n"/>
      <c r="CE3823" s="204" t="n"/>
      <c r="CF3823" s="207" t="n"/>
      <c r="CG3823" s="208" t="n"/>
      <c r="CH3823" s="207" t="n"/>
      <c r="CI3823" s="208" t="n"/>
      <c r="CJ3823" s="204" t="n"/>
      <c r="CK3823" s="208" t="n"/>
      <c r="CL3823" s="208" t="n"/>
      <c r="CM3823" s="208" t="n"/>
      <c r="CN3823" s="78" t="n"/>
      <c r="CO3823" s="209" t="n"/>
      <c r="CP3823" s="204" t="n"/>
      <c r="CQ3823" s="204" t="n"/>
      <c r="CR3823" s="204" t="n"/>
      <c r="CS3823" s="204" t="n"/>
      <c r="CT3823" s="204" t="n"/>
      <c r="CU3823" s="204" t="n"/>
      <c r="CV3823" s="204" t="n"/>
      <c r="CW3823" s="204" t="n"/>
    </row>
    <row r="3824">
      <c r="BF3824" s="78" t="n"/>
      <c r="BG3824" s="78" t="n"/>
      <c r="BH3824" s="78" t="n"/>
      <c r="BI3824" s="78" t="n"/>
      <c r="BJ3824" s="139" t="n"/>
      <c r="BK3824" s="204" t="n"/>
      <c r="BL3824" s="141" t="n"/>
      <c r="BM3824" s="205" t="n"/>
      <c r="BN3824" s="205" t="n"/>
      <c r="BO3824" s="206" t="n"/>
      <c r="BP3824" s="144" t="n"/>
      <c r="BQ3824" s="141" t="n"/>
      <c r="BR3824" s="207" t="n"/>
      <c r="BS3824" s="207" t="n"/>
      <c r="BT3824" s="207" t="n"/>
      <c r="BU3824" s="207" t="n"/>
      <c r="BV3824" s="208" t="n"/>
      <c r="BW3824" s="207" t="n"/>
      <c r="BX3824" s="207" t="n"/>
      <c r="BY3824" s="204" t="n"/>
      <c r="BZ3824" s="148" t="n"/>
      <c r="CA3824" s="204" t="n"/>
      <c r="CB3824" s="208" t="n"/>
      <c r="CC3824" s="139" t="n"/>
      <c r="CD3824" s="204" t="n"/>
      <c r="CE3824" s="204" t="n"/>
      <c r="CF3824" s="207" t="n"/>
      <c r="CG3824" s="208" t="n"/>
      <c r="CH3824" s="207" t="n"/>
      <c r="CI3824" s="208" t="n"/>
      <c r="CJ3824" s="204" t="n"/>
      <c r="CK3824" s="208" t="n"/>
      <c r="CL3824" s="208" t="n"/>
      <c r="CM3824" s="208" t="n"/>
      <c r="CN3824" s="78" t="n"/>
      <c r="CO3824" s="209" t="n"/>
      <c r="CP3824" s="204" t="n"/>
      <c r="CQ3824" s="204" t="n"/>
      <c r="CR3824" s="204" t="n"/>
      <c r="CS3824" s="204" t="n"/>
      <c r="CT3824" s="204" t="n"/>
      <c r="CU3824" s="204" t="n"/>
      <c r="CV3824" s="204" t="n"/>
      <c r="CW3824" s="204" t="n"/>
    </row>
    <row r="3825">
      <c r="BF3825" s="78" t="n"/>
      <c r="BG3825" s="78" t="n"/>
      <c r="BH3825" s="78" t="n"/>
      <c r="BI3825" s="78" t="n"/>
      <c r="BJ3825" s="139" t="n"/>
      <c r="BK3825" s="204" t="n"/>
      <c r="BL3825" s="141" t="n"/>
      <c r="BM3825" s="205" t="n"/>
      <c r="BN3825" s="205" t="n"/>
      <c r="BO3825" s="206" t="n"/>
      <c r="BP3825" s="144" t="n"/>
      <c r="BQ3825" s="141" t="n"/>
      <c r="BR3825" s="207" t="n"/>
      <c r="BS3825" s="207" t="n"/>
      <c r="BT3825" s="207" t="n"/>
      <c r="BU3825" s="207" t="n"/>
      <c r="BV3825" s="208" t="n"/>
      <c r="BW3825" s="207" t="n"/>
      <c r="BX3825" s="207" t="n"/>
      <c r="BY3825" s="204" t="n"/>
      <c r="BZ3825" s="148" t="n"/>
      <c r="CA3825" s="204" t="n"/>
      <c r="CB3825" s="208" t="n"/>
      <c r="CC3825" s="139" t="n"/>
      <c r="CD3825" s="204" t="n"/>
      <c r="CE3825" s="204" t="n"/>
      <c r="CF3825" s="207" t="n"/>
      <c r="CG3825" s="208" t="n"/>
      <c r="CH3825" s="207" t="n"/>
      <c r="CI3825" s="208" t="n"/>
      <c r="CJ3825" s="204" t="n"/>
      <c r="CK3825" s="208" t="n"/>
      <c r="CL3825" s="208" t="n"/>
      <c r="CM3825" s="208" t="n"/>
      <c r="CN3825" s="78" t="n"/>
      <c r="CO3825" s="209" t="n"/>
      <c r="CP3825" s="204" t="n"/>
      <c r="CQ3825" s="204" t="n"/>
      <c r="CR3825" s="204" t="n"/>
      <c r="CS3825" s="204" t="n"/>
      <c r="CT3825" s="204" t="n"/>
      <c r="CU3825" s="204" t="n"/>
      <c r="CV3825" s="204" t="n"/>
      <c r="CW3825" s="204" t="n"/>
    </row>
    <row r="3826">
      <c r="BF3826" s="78" t="n"/>
      <c r="BG3826" s="78" t="n"/>
      <c r="BH3826" s="78" t="n"/>
      <c r="BI3826" s="78" t="n"/>
      <c r="BJ3826" s="139" t="n"/>
      <c r="BK3826" s="204" t="n"/>
      <c r="BL3826" s="141" t="n"/>
      <c r="BM3826" s="205" t="n"/>
      <c r="BN3826" s="205" t="n"/>
      <c r="BO3826" s="206" t="n"/>
      <c r="BP3826" s="144" t="n"/>
      <c r="BQ3826" s="141" t="n"/>
      <c r="BR3826" s="207" t="n"/>
      <c r="BS3826" s="207" t="n"/>
      <c r="BT3826" s="207" t="n"/>
      <c r="BU3826" s="207" t="n"/>
      <c r="BV3826" s="208" t="n"/>
      <c r="BW3826" s="207" t="n"/>
      <c r="BX3826" s="207" t="n"/>
      <c r="BY3826" s="204" t="n"/>
      <c r="BZ3826" s="148" t="n"/>
      <c r="CA3826" s="204" t="n"/>
      <c r="CB3826" s="208" t="n"/>
      <c r="CC3826" s="139" t="n"/>
      <c r="CD3826" s="204" t="n"/>
      <c r="CE3826" s="204" t="n"/>
      <c r="CF3826" s="207" t="n"/>
      <c r="CG3826" s="208" t="n"/>
      <c r="CH3826" s="207" t="n"/>
      <c r="CI3826" s="208" t="n"/>
      <c r="CJ3826" s="204" t="n"/>
      <c r="CK3826" s="208" t="n"/>
      <c r="CL3826" s="208" t="n"/>
      <c r="CM3826" s="208" t="n"/>
      <c r="CN3826" s="78" t="n"/>
      <c r="CO3826" s="209" t="n"/>
      <c r="CP3826" s="204" t="n"/>
      <c r="CQ3826" s="204" t="n"/>
      <c r="CR3826" s="204" t="n"/>
      <c r="CS3826" s="204" t="n"/>
      <c r="CT3826" s="204" t="n"/>
      <c r="CU3826" s="204" t="n"/>
      <c r="CV3826" s="204" t="n"/>
      <c r="CW3826" s="204" t="n"/>
    </row>
    <row r="3827">
      <c r="BF3827" s="78" t="n"/>
      <c r="BG3827" s="78" t="n"/>
      <c r="BH3827" s="78" t="n"/>
      <c r="BI3827" s="78" t="n"/>
      <c r="BJ3827" s="139" t="n"/>
      <c r="BK3827" s="204" t="n"/>
      <c r="BL3827" s="141" t="n"/>
      <c r="BM3827" s="205" t="n"/>
      <c r="BN3827" s="205" t="n"/>
      <c r="BO3827" s="206" t="n"/>
      <c r="BP3827" s="144" t="n"/>
      <c r="BQ3827" s="141" t="n"/>
      <c r="BR3827" s="207" t="n"/>
      <c r="BS3827" s="207" t="n"/>
      <c r="BT3827" s="207" t="n"/>
      <c r="BU3827" s="207" t="n"/>
      <c r="BV3827" s="208" t="n"/>
      <c r="BW3827" s="207" t="n"/>
      <c r="BX3827" s="207" t="n"/>
      <c r="BY3827" s="204" t="n"/>
      <c r="BZ3827" s="148" t="n"/>
      <c r="CA3827" s="204" t="n"/>
      <c r="CB3827" s="208" t="n"/>
      <c r="CC3827" s="139" t="n"/>
      <c r="CD3827" s="204" t="n"/>
      <c r="CE3827" s="204" t="n"/>
      <c r="CF3827" s="207" t="n"/>
      <c r="CG3827" s="208" t="n"/>
      <c r="CH3827" s="207" t="n"/>
      <c r="CI3827" s="208" t="n"/>
      <c r="CJ3827" s="204" t="n"/>
      <c r="CK3827" s="208" t="n"/>
      <c r="CL3827" s="208" t="n"/>
      <c r="CM3827" s="208" t="n"/>
      <c r="CN3827" s="78" t="n"/>
      <c r="CO3827" s="209" t="n"/>
      <c r="CP3827" s="204" t="n"/>
      <c r="CQ3827" s="204" t="n"/>
      <c r="CR3827" s="204" t="n"/>
      <c r="CS3827" s="204" t="n"/>
      <c r="CT3827" s="204" t="n"/>
      <c r="CU3827" s="204" t="n"/>
      <c r="CV3827" s="204" t="n"/>
      <c r="CW3827" s="204" t="n"/>
    </row>
    <row r="3828">
      <c r="BF3828" s="78" t="n"/>
      <c r="BG3828" s="78" t="n"/>
      <c r="BH3828" s="78" t="n"/>
      <c r="BI3828" s="78" t="n"/>
      <c r="BJ3828" s="139" t="n"/>
      <c r="BK3828" s="204" t="n"/>
      <c r="BL3828" s="141" t="n"/>
      <c r="BM3828" s="205" t="n"/>
      <c r="BN3828" s="205" t="n"/>
      <c r="BO3828" s="206" t="n"/>
      <c r="BP3828" s="144" t="n"/>
      <c r="BQ3828" s="141" t="n"/>
      <c r="BR3828" s="207" t="n"/>
      <c r="BS3828" s="207" t="n"/>
      <c r="BT3828" s="207" t="n"/>
      <c r="BU3828" s="207" t="n"/>
      <c r="BV3828" s="208" t="n"/>
      <c r="BW3828" s="207" t="n"/>
      <c r="BX3828" s="207" t="n"/>
      <c r="BY3828" s="204" t="n"/>
      <c r="BZ3828" s="148" t="n"/>
      <c r="CA3828" s="204" t="n"/>
      <c r="CB3828" s="208" t="n"/>
      <c r="CC3828" s="139" t="n"/>
      <c r="CD3828" s="204" t="n"/>
      <c r="CE3828" s="204" t="n"/>
      <c r="CF3828" s="207" t="n"/>
      <c r="CG3828" s="208" t="n"/>
      <c r="CH3828" s="207" t="n"/>
      <c r="CI3828" s="208" t="n"/>
      <c r="CJ3828" s="204" t="n"/>
      <c r="CK3828" s="208" t="n"/>
      <c r="CL3828" s="208" t="n"/>
      <c r="CM3828" s="208" t="n"/>
      <c r="CN3828" s="78" t="n"/>
      <c r="CO3828" s="209" t="n"/>
      <c r="CP3828" s="204" t="n"/>
      <c r="CQ3828" s="204" t="n"/>
      <c r="CR3828" s="204" t="n"/>
      <c r="CS3828" s="204" t="n"/>
      <c r="CT3828" s="204" t="n"/>
      <c r="CU3828" s="204" t="n"/>
      <c r="CV3828" s="204" t="n"/>
      <c r="CW3828" s="204" t="n"/>
    </row>
    <row r="3829">
      <c r="BF3829" s="78" t="n"/>
      <c r="BG3829" s="78" t="n"/>
      <c r="BH3829" s="78" t="n"/>
      <c r="BI3829" s="78" t="n"/>
      <c r="BJ3829" s="139" t="n"/>
      <c r="BK3829" s="204" t="n"/>
      <c r="BL3829" s="141" t="n"/>
      <c r="BM3829" s="205" t="n"/>
      <c r="BN3829" s="205" t="n"/>
      <c r="BO3829" s="206" t="n"/>
      <c r="BP3829" s="144" t="n"/>
      <c r="BQ3829" s="141" t="n"/>
      <c r="BR3829" s="207" t="n"/>
      <c r="BS3829" s="207" t="n"/>
      <c r="BT3829" s="207" t="n"/>
      <c r="BU3829" s="207" t="n"/>
      <c r="BV3829" s="208" t="n"/>
      <c r="BW3829" s="207" t="n"/>
      <c r="BX3829" s="207" t="n"/>
      <c r="BY3829" s="204" t="n"/>
      <c r="BZ3829" s="148" t="n"/>
      <c r="CA3829" s="204" t="n"/>
      <c r="CB3829" s="208" t="n"/>
      <c r="CC3829" s="139" t="n"/>
      <c r="CD3829" s="204" t="n"/>
      <c r="CE3829" s="204" t="n"/>
      <c r="CF3829" s="207" t="n"/>
      <c r="CG3829" s="208" t="n"/>
      <c r="CH3829" s="207" t="n"/>
      <c r="CI3829" s="208" t="n"/>
      <c r="CJ3829" s="204" t="n"/>
      <c r="CK3829" s="208" t="n"/>
      <c r="CL3829" s="208" t="n"/>
      <c r="CM3829" s="208" t="n"/>
      <c r="CN3829" s="78" t="n"/>
      <c r="CO3829" s="209" t="n"/>
      <c r="CP3829" s="204" t="n"/>
      <c r="CQ3829" s="204" t="n"/>
      <c r="CR3829" s="204" t="n"/>
      <c r="CS3829" s="204" t="n"/>
      <c r="CT3829" s="204" t="n"/>
      <c r="CU3829" s="204" t="n"/>
      <c r="CV3829" s="204" t="n"/>
      <c r="CW3829" s="204" t="n"/>
    </row>
    <row r="3830">
      <c r="BF3830" s="78" t="n"/>
      <c r="BG3830" s="78" t="n"/>
      <c r="BH3830" s="78" t="n"/>
      <c r="BI3830" s="78" t="n"/>
      <c r="BJ3830" s="139" t="n"/>
      <c r="BK3830" s="204" t="n"/>
      <c r="BL3830" s="141" t="n"/>
      <c r="BM3830" s="205" t="n"/>
      <c r="BN3830" s="205" t="n"/>
      <c r="BO3830" s="206" t="n"/>
      <c r="BP3830" s="144" t="n"/>
      <c r="BQ3830" s="141" t="n"/>
      <c r="BR3830" s="207" t="n"/>
      <c r="BS3830" s="207" t="n"/>
      <c r="BT3830" s="207" t="n"/>
      <c r="BU3830" s="207" t="n"/>
      <c r="BV3830" s="208" t="n"/>
      <c r="BW3830" s="207" t="n"/>
      <c r="BX3830" s="207" t="n"/>
      <c r="BY3830" s="204" t="n"/>
      <c r="BZ3830" s="148" t="n"/>
      <c r="CA3830" s="204" t="n"/>
      <c r="CB3830" s="208" t="n"/>
      <c r="CC3830" s="139" t="n"/>
      <c r="CD3830" s="204" t="n"/>
      <c r="CE3830" s="204" t="n"/>
      <c r="CF3830" s="207" t="n"/>
      <c r="CG3830" s="208" t="n"/>
      <c r="CH3830" s="207" t="n"/>
      <c r="CI3830" s="208" t="n"/>
      <c r="CJ3830" s="204" t="n"/>
      <c r="CK3830" s="208" t="n"/>
      <c r="CL3830" s="208" t="n"/>
      <c r="CM3830" s="208" t="n"/>
      <c r="CN3830" s="78" t="n"/>
      <c r="CO3830" s="209" t="n"/>
      <c r="CP3830" s="204" t="n"/>
      <c r="CQ3830" s="204" t="n"/>
      <c r="CR3830" s="204" t="n"/>
      <c r="CS3830" s="204" t="n"/>
      <c r="CT3830" s="204" t="n"/>
      <c r="CU3830" s="204" t="n"/>
      <c r="CV3830" s="204" t="n"/>
      <c r="CW3830" s="204" t="n"/>
    </row>
    <row r="3831">
      <c r="BF3831" s="78" t="n"/>
      <c r="BG3831" s="78" t="n"/>
      <c r="BH3831" s="78" t="n"/>
      <c r="BI3831" s="78" t="n"/>
      <c r="BJ3831" s="139" t="n"/>
      <c r="BK3831" s="204" t="n"/>
      <c r="BL3831" s="141" t="n"/>
      <c r="BM3831" s="205" t="n"/>
      <c r="BN3831" s="205" t="n"/>
      <c r="BO3831" s="206" t="n"/>
      <c r="BP3831" s="144" t="n"/>
      <c r="BQ3831" s="141" t="n"/>
      <c r="BR3831" s="207" t="n"/>
      <c r="BS3831" s="207" t="n"/>
      <c r="BT3831" s="207" t="n"/>
      <c r="BU3831" s="207" t="n"/>
      <c r="BV3831" s="208" t="n"/>
      <c r="BW3831" s="207" t="n"/>
      <c r="BX3831" s="207" t="n"/>
      <c r="BY3831" s="204" t="n"/>
      <c r="BZ3831" s="148" t="n"/>
      <c r="CA3831" s="204" t="n"/>
      <c r="CB3831" s="208" t="n"/>
      <c r="CC3831" s="139" t="n"/>
      <c r="CD3831" s="204" t="n"/>
      <c r="CE3831" s="204" t="n"/>
      <c r="CF3831" s="207" t="n"/>
      <c r="CG3831" s="208" t="n"/>
      <c r="CH3831" s="207" t="n"/>
      <c r="CI3831" s="208" t="n"/>
      <c r="CJ3831" s="204" t="n"/>
      <c r="CK3831" s="208" t="n"/>
      <c r="CL3831" s="208" t="n"/>
      <c r="CM3831" s="208" t="n"/>
      <c r="CN3831" s="78" t="n"/>
      <c r="CO3831" s="209" t="n"/>
      <c r="CP3831" s="204" t="n"/>
      <c r="CQ3831" s="204" t="n"/>
      <c r="CR3831" s="204" t="n"/>
      <c r="CS3831" s="204" t="n"/>
      <c r="CT3831" s="204" t="n"/>
      <c r="CU3831" s="204" t="n"/>
      <c r="CV3831" s="204" t="n"/>
      <c r="CW3831" s="204" t="n"/>
    </row>
    <row r="3832">
      <c r="BF3832" s="78" t="n"/>
      <c r="BG3832" s="78" t="n"/>
      <c r="BH3832" s="78" t="n"/>
      <c r="BI3832" s="78" t="n"/>
      <c r="BJ3832" s="139" t="n"/>
      <c r="BK3832" s="204" t="n"/>
      <c r="BL3832" s="141" t="n"/>
      <c r="BM3832" s="205" t="n"/>
      <c r="BN3832" s="205" t="n"/>
      <c r="BO3832" s="206" t="n"/>
      <c r="BP3832" s="144" t="n"/>
      <c r="BQ3832" s="141" t="n"/>
      <c r="BR3832" s="207" t="n"/>
      <c r="BS3832" s="207" t="n"/>
      <c r="BT3832" s="207" t="n"/>
      <c r="BU3832" s="207" t="n"/>
      <c r="BV3832" s="208" t="n"/>
      <c r="BW3832" s="207" t="n"/>
      <c r="BX3832" s="207" t="n"/>
      <c r="BY3832" s="204" t="n"/>
      <c r="BZ3832" s="148" t="n"/>
      <c r="CA3832" s="204" t="n"/>
      <c r="CB3832" s="208" t="n"/>
      <c r="CC3832" s="139" t="n"/>
      <c r="CD3832" s="204" t="n"/>
      <c r="CE3832" s="204" t="n"/>
      <c r="CF3832" s="207" t="n"/>
      <c r="CG3832" s="208" t="n"/>
      <c r="CH3832" s="207" t="n"/>
      <c r="CI3832" s="208" t="n"/>
      <c r="CJ3832" s="204" t="n"/>
      <c r="CK3832" s="208" t="n"/>
      <c r="CL3832" s="208" t="n"/>
      <c r="CM3832" s="208" t="n"/>
      <c r="CN3832" s="78" t="n"/>
      <c r="CO3832" s="209" t="n"/>
      <c r="CP3832" s="204" t="n"/>
      <c r="CQ3832" s="204" t="n"/>
      <c r="CR3832" s="204" t="n"/>
      <c r="CS3832" s="204" t="n"/>
      <c r="CT3832" s="204" t="n"/>
      <c r="CU3832" s="204" t="n"/>
      <c r="CV3832" s="204" t="n"/>
      <c r="CW3832" s="204" t="n"/>
    </row>
    <row r="3833">
      <c r="BF3833" s="78" t="n"/>
      <c r="BG3833" s="78" t="n"/>
      <c r="BH3833" s="78" t="n"/>
      <c r="BI3833" s="78" t="n"/>
      <c r="BJ3833" s="139" t="n"/>
      <c r="BK3833" s="204" t="n"/>
      <c r="BL3833" s="141" t="n"/>
      <c r="BM3833" s="205" t="n"/>
      <c r="BN3833" s="205" t="n"/>
      <c r="BO3833" s="206" t="n"/>
      <c r="BP3833" s="144" t="n"/>
      <c r="BQ3833" s="141" t="n"/>
      <c r="BR3833" s="207" t="n"/>
      <c r="BS3833" s="207" t="n"/>
      <c r="BT3833" s="207" t="n"/>
      <c r="BU3833" s="207" t="n"/>
      <c r="BV3833" s="208" t="n"/>
      <c r="BW3833" s="207" t="n"/>
      <c r="BX3833" s="207" t="n"/>
      <c r="BY3833" s="204" t="n"/>
      <c r="BZ3833" s="148" t="n"/>
      <c r="CA3833" s="204" t="n"/>
      <c r="CB3833" s="208" t="n"/>
      <c r="CC3833" s="139" t="n"/>
      <c r="CD3833" s="204" t="n"/>
      <c r="CE3833" s="204" t="n"/>
      <c r="CF3833" s="207" t="n"/>
      <c r="CG3833" s="208" t="n"/>
      <c r="CH3833" s="207" t="n"/>
      <c r="CI3833" s="208" t="n"/>
      <c r="CJ3833" s="204" t="n"/>
      <c r="CK3833" s="208" t="n"/>
      <c r="CL3833" s="208" t="n"/>
      <c r="CM3833" s="208" t="n"/>
      <c r="CN3833" s="78" t="n"/>
      <c r="CO3833" s="209" t="n"/>
      <c r="CP3833" s="204" t="n"/>
      <c r="CQ3833" s="204" t="n"/>
      <c r="CR3833" s="204" t="n"/>
      <c r="CS3833" s="204" t="n"/>
      <c r="CT3833" s="204" t="n"/>
      <c r="CU3833" s="204" t="n"/>
      <c r="CV3833" s="204" t="n"/>
      <c r="CW3833" s="204" t="n"/>
    </row>
    <row r="3834">
      <c r="BF3834" s="78" t="n"/>
      <c r="BG3834" s="78" t="n"/>
      <c r="BH3834" s="78" t="n"/>
      <c r="BI3834" s="78" t="n"/>
      <c r="BJ3834" s="139" t="n"/>
      <c r="BK3834" s="204" t="n"/>
      <c r="BL3834" s="141" t="n"/>
      <c r="BM3834" s="205" t="n"/>
      <c r="BN3834" s="205" t="n"/>
      <c r="BO3834" s="206" t="n"/>
      <c r="BP3834" s="144" t="n"/>
      <c r="BQ3834" s="141" t="n"/>
      <c r="BR3834" s="207" t="n"/>
      <c r="BS3834" s="207" t="n"/>
      <c r="BT3834" s="207" t="n"/>
      <c r="BU3834" s="207" t="n"/>
      <c r="BV3834" s="208" t="n"/>
      <c r="BW3834" s="207" t="n"/>
      <c r="BX3834" s="207" t="n"/>
      <c r="BY3834" s="204" t="n"/>
      <c r="BZ3834" s="148" t="n"/>
      <c r="CA3834" s="204" t="n"/>
      <c r="CB3834" s="208" t="n"/>
      <c r="CC3834" s="139" t="n"/>
      <c r="CD3834" s="204" t="n"/>
      <c r="CE3834" s="204" t="n"/>
      <c r="CF3834" s="207" t="n"/>
      <c r="CG3834" s="208" t="n"/>
      <c r="CH3834" s="207" t="n"/>
      <c r="CI3834" s="208" t="n"/>
      <c r="CJ3834" s="204" t="n"/>
      <c r="CK3834" s="208" t="n"/>
      <c r="CL3834" s="208" t="n"/>
      <c r="CM3834" s="208" t="n"/>
      <c r="CN3834" s="78" t="n"/>
      <c r="CO3834" s="209" t="n"/>
      <c r="CP3834" s="204" t="n"/>
      <c r="CQ3834" s="204" t="n"/>
      <c r="CR3834" s="204" t="n"/>
      <c r="CS3834" s="204" t="n"/>
      <c r="CT3834" s="204" t="n"/>
      <c r="CU3834" s="204" t="n"/>
      <c r="CV3834" s="204" t="n"/>
      <c r="CW3834" s="204" t="n"/>
    </row>
    <row r="3835">
      <c r="BF3835" s="78" t="n"/>
      <c r="BG3835" s="78" t="n"/>
      <c r="BH3835" s="78" t="n"/>
      <c r="BI3835" s="78" t="n"/>
      <c r="BJ3835" s="139" t="n"/>
      <c r="BK3835" s="204" t="n"/>
      <c r="BL3835" s="141" t="n"/>
      <c r="BM3835" s="205" t="n"/>
      <c r="BN3835" s="205" t="n"/>
      <c r="BO3835" s="206" t="n"/>
      <c r="BP3835" s="144" t="n"/>
      <c r="BQ3835" s="141" t="n"/>
      <c r="BR3835" s="207" t="n"/>
      <c r="BS3835" s="207" t="n"/>
      <c r="BT3835" s="207" t="n"/>
      <c r="BU3835" s="207" t="n"/>
      <c r="BV3835" s="208" t="n"/>
      <c r="BW3835" s="207" t="n"/>
      <c r="BX3835" s="207" t="n"/>
      <c r="BY3835" s="204" t="n"/>
      <c r="BZ3835" s="148" t="n"/>
      <c r="CA3835" s="204" t="n"/>
      <c r="CB3835" s="208" t="n"/>
      <c r="CC3835" s="139" t="n"/>
      <c r="CD3835" s="204" t="n"/>
      <c r="CE3835" s="204" t="n"/>
      <c r="CF3835" s="207" t="n"/>
      <c r="CG3835" s="208" t="n"/>
      <c r="CH3835" s="207" t="n"/>
      <c r="CI3835" s="208" t="n"/>
      <c r="CJ3835" s="204" t="n"/>
      <c r="CK3835" s="208" t="n"/>
      <c r="CL3835" s="208" t="n"/>
      <c r="CM3835" s="208" t="n"/>
      <c r="CN3835" s="78" t="n"/>
      <c r="CO3835" s="209" t="n"/>
      <c r="CP3835" s="204" t="n"/>
      <c r="CQ3835" s="204" t="n"/>
      <c r="CR3835" s="204" t="n"/>
      <c r="CS3835" s="204" t="n"/>
      <c r="CT3835" s="204" t="n"/>
      <c r="CU3835" s="204" t="n"/>
      <c r="CV3835" s="204" t="n"/>
      <c r="CW3835" s="204" t="n"/>
    </row>
    <row r="3836">
      <c r="BF3836" s="78" t="n"/>
      <c r="BG3836" s="78" t="n"/>
      <c r="BH3836" s="78" t="n"/>
      <c r="BI3836" s="78" t="n"/>
      <c r="BJ3836" s="139" t="n"/>
      <c r="BK3836" s="204" t="n"/>
      <c r="BL3836" s="141" t="n"/>
      <c r="BM3836" s="205" t="n"/>
      <c r="BN3836" s="205" t="n"/>
      <c r="BO3836" s="206" t="n"/>
      <c r="BP3836" s="144" t="n"/>
      <c r="BQ3836" s="141" t="n"/>
      <c r="BR3836" s="207" t="n"/>
      <c r="BS3836" s="207" t="n"/>
      <c r="BT3836" s="207" t="n"/>
      <c r="BU3836" s="207" t="n"/>
      <c r="BV3836" s="208" t="n"/>
      <c r="BW3836" s="207" t="n"/>
      <c r="BX3836" s="207" t="n"/>
      <c r="BY3836" s="204" t="n"/>
      <c r="BZ3836" s="148" t="n"/>
      <c r="CA3836" s="204" t="n"/>
      <c r="CB3836" s="208" t="n"/>
      <c r="CC3836" s="139" t="n"/>
      <c r="CD3836" s="204" t="n"/>
      <c r="CE3836" s="204" t="n"/>
      <c r="CF3836" s="207" t="n"/>
      <c r="CG3836" s="208" t="n"/>
      <c r="CH3836" s="207" t="n"/>
      <c r="CI3836" s="208" t="n"/>
      <c r="CJ3836" s="204" t="n"/>
      <c r="CK3836" s="208" t="n"/>
      <c r="CL3836" s="208" t="n"/>
      <c r="CM3836" s="208" t="n"/>
      <c r="CN3836" s="78" t="n"/>
      <c r="CO3836" s="209" t="n"/>
      <c r="CP3836" s="204" t="n"/>
      <c r="CQ3836" s="204" t="n"/>
      <c r="CR3836" s="204" t="n"/>
      <c r="CS3836" s="204" t="n"/>
      <c r="CT3836" s="204" t="n"/>
      <c r="CU3836" s="204" t="n"/>
      <c r="CV3836" s="204" t="n"/>
      <c r="CW3836" s="204" t="n"/>
    </row>
    <row r="3837">
      <c r="BF3837" s="78" t="n"/>
      <c r="BG3837" s="78" t="n"/>
      <c r="BH3837" s="78" t="n"/>
      <c r="BI3837" s="78" t="n"/>
      <c r="BJ3837" s="139" t="n"/>
      <c r="BK3837" s="204" t="n"/>
      <c r="BL3837" s="141" t="n"/>
      <c r="BM3837" s="205" t="n"/>
      <c r="BN3837" s="205" t="n"/>
      <c r="BO3837" s="206" t="n"/>
      <c r="BP3837" s="144" t="n"/>
      <c r="BQ3837" s="141" t="n"/>
      <c r="BR3837" s="207" t="n"/>
      <c r="BS3837" s="207" t="n"/>
      <c r="BT3837" s="207" t="n"/>
      <c r="BU3837" s="207" t="n"/>
      <c r="BV3837" s="208" t="n"/>
      <c r="BW3837" s="207" t="n"/>
      <c r="BX3837" s="207" t="n"/>
      <c r="BY3837" s="204" t="n"/>
      <c r="BZ3837" s="148" t="n"/>
      <c r="CA3837" s="204" t="n"/>
      <c r="CB3837" s="208" t="n"/>
      <c r="CC3837" s="139" t="n"/>
      <c r="CD3837" s="204" t="n"/>
      <c r="CE3837" s="204" t="n"/>
      <c r="CF3837" s="207" t="n"/>
      <c r="CG3837" s="208" t="n"/>
      <c r="CH3837" s="207" t="n"/>
      <c r="CI3837" s="208" t="n"/>
      <c r="CJ3837" s="204" t="n"/>
      <c r="CK3837" s="208" t="n"/>
      <c r="CL3837" s="208" t="n"/>
      <c r="CM3837" s="208" t="n"/>
      <c r="CN3837" s="78" t="n"/>
      <c r="CO3837" s="209" t="n"/>
      <c r="CP3837" s="204" t="n"/>
      <c r="CQ3837" s="204" t="n"/>
      <c r="CR3837" s="204" t="n"/>
      <c r="CS3837" s="204" t="n"/>
      <c r="CT3837" s="204" t="n"/>
      <c r="CU3837" s="204" t="n"/>
      <c r="CV3837" s="204" t="n"/>
      <c r="CW3837" s="204" t="n"/>
    </row>
    <row r="3838">
      <c r="BF3838" s="78" t="n"/>
      <c r="BG3838" s="78" t="n"/>
      <c r="BH3838" s="78" t="n"/>
      <c r="BI3838" s="78" t="n"/>
      <c r="BJ3838" s="139" t="n"/>
      <c r="BK3838" s="204" t="n"/>
      <c r="BL3838" s="141" t="n"/>
      <c r="BM3838" s="205" t="n"/>
      <c r="BN3838" s="205" t="n"/>
      <c r="BO3838" s="206" t="n"/>
      <c r="BP3838" s="144" t="n"/>
      <c r="BQ3838" s="141" t="n"/>
      <c r="BR3838" s="207" t="n"/>
      <c r="BS3838" s="207" t="n"/>
      <c r="BT3838" s="207" t="n"/>
      <c r="BU3838" s="207" t="n"/>
      <c r="BV3838" s="208" t="n"/>
      <c r="BW3838" s="207" t="n"/>
      <c r="BX3838" s="207" t="n"/>
      <c r="BY3838" s="204" t="n"/>
      <c r="BZ3838" s="148" t="n"/>
      <c r="CA3838" s="204" t="n"/>
      <c r="CB3838" s="208" t="n"/>
      <c r="CC3838" s="139" t="n"/>
      <c r="CD3838" s="204" t="n"/>
      <c r="CE3838" s="204" t="n"/>
      <c r="CF3838" s="207" t="n"/>
      <c r="CG3838" s="208" t="n"/>
      <c r="CH3838" s="207" t="n"/>
      <c r="CI3838" s="208" t="n"/>
      <c r="CJ3838" s="204" t="n"/>
      <c r="CK3838" s="208" t="n"/>
      <c r="CL3838" s="208" t="n"/>
      <c r="CM3838" s="208" t="n"/>
      <c r="CN3838" s="78" t="n"/>
      <c r="CO3838" s="209" t="n"/>
      <c r="CP3838" s="204" t="n"/>
      <c r="CQ3838" s="204" t="n"/>
      <c r="CR3838" s="204" t="n"/>
      <c r="CS3838" s="204" t="n"/>
      <c r="CT3838" s="204" t="n"/>
      <c r="CU3838" s="204" t="n"/>
      <c r="CV3838" s="204" t="n"/>
      <c r="CW3838" s="204" t="n"/>
    </row>
    <row r="3839">
      <c r="BF3839" s="78" t="n"/>
      <c r="BG3839" s="78" t="n"/>
      <c r="BH3839" s="78" t="n"/>
      <c r="BI3839" s="78" t="n"/>
      <c r="BJ3839" s="139" t="n"/>
      <c r="BK3839" s="204" t="n"/>
      <c r="BL3839" s="141" t="n"/>
      <c r="BM3839" s="205" t="n"/>
      <c r="BN3839" s="205" t="n"/>
      <c r="BO3839" s="206" t="n"/>
      <c r="BP3839" s="144" t="n"/>
      <c r="BQ3839" s="141" t="n"/>
      <c r="BR3839" s="207" t="n"/>
      <c r="BS3839" s="207" t="n"/>
      <c r="BT3839" s="207" t="n"/>
      <c r="BU3839" s="207" t="n"/>
      <c r="BV3839" s="208" t="n"/>
      <c r="BW3839" s="207" t="n"/>
      <c r="BX3839" s="207" t="n"/>
      <c r="BY3839" s="204" t="n"/>
      <c r="BZ3839" s="148" t="n"/>
      <c r="CA3839" s="204" t="n"/>
      <c r="CB3839" s="208" t="n"/>
      <c r="CC3839" s="139" t="n"/>
      <c r="CD3839" s="204" t="n"/>
      <c r="CE3839" s="204" t="n"/>
      <c r="CF3839" s="207" t="n"/>
      <c r="CG3839" s="208" t="n"/>
      <c r="CH3839" s="207" t="n"/>
      <c r="CI3839" s="208" t="n"/>
      <c r="CJ3839" s="204" t="n"/>
      <c r="CK3839" s="208" t="n"/>
      <c r="CL3839" s="208" t="n"/>
      <c r="CM3839" s="208" t="n"/>
      <c r="CN3839" s="78" t="n"/>
      <c r="CO3839" s="209" t="n"/>
      <c r="CP3839" s="204" t="n"/>
      <c r="CQ3839" s="204" t="n"/>
      <c r="CR3839" s="204" t="n"/>
      <c r="CS3839" s="204" t="n"/>
      <c r="CT3839" s="204" t="n"/>
      <c r="CU3839" s="204" t="n"/>
      <c r="CV3839" s="204" t="n"/>
      <c r="CW3839" s="204" t="n"/>
    </row>
    <row r="3840">
      <c r="BF3840" s="78" t="n"/>
      <c r="BG3840" s="78" t="n"/>
      <c r="BH3840" s="78" t="n"/>
      <c r="BI3840" s="78" t="n"/>
      <c r="BJ3840" s="139" t="n"/>
      <c r="BK3840" s="204" t="n"/>
      <c r="BL3840" s="141" t="n"/>
      <c r="BM3840" s="205" t="n"/>
      <c r="BN3840" s="205" t="n"/>
      <c r="BO3840" s="206" t="n"/>
      <c r="BP3840" s="144" t="n"/>
      <c r="BQ3840" s="141" t="n"/>
      <c r="BR3840" s="207" t="n"/>
      <c r="BS3840" s="207" t="n"/>
      <c r="BT3840" s="207" t="n"/>
      <c r="BU3840" s="207" t="n"/>
      <c r="BV3840" s="208" t="n"/>
      <c r="BW3840" s="207" t="n"/>
      <c r="BX3840" s="207" t="n"/>
      <c r="BY3840" s="204" t="n"/>
      <c r="BZ3840" s="148" t="n"/>
      <c r="CA3840" s="204" t="n"/>
      <c r="CB3840" s="208" t="n"/>
      <c r="CC3840" s="139" t="n"/>
      <c r="CD3840" s="204" t="n"/>
      <c r="CE3840" s="204" t="n"/>
      <c r="CF3840" s="207" t="n"/>
      <c r="CG3840" s="208" t="n"/>
      <c r="CH3840" s="207" t="n"/>
      <c r="CI3840" s="208" t="n"/>
      <c r="CJ3840" s="204" t="n"/>
      <c r="CK3840" s="208" t="n"/>
      <c r="CL3840" s="208" t="n"/>
      <c r="CM3840" s="208" t="n"/>
      <c r="CN3840" s="78" t="n"/>
      <c r="CO3840" s="209" t="n"/>
      <c r="CP3840" s="204" t="n"/>
      <c r="CQ3840" s="204" t="n"/>
      <c r="CR3840" s="204" t="n"/>
      <c r="CS3840" s="204" t="n"/>
      <c r="CT3840" s="204" t="n"/>
      <c r="CU3840" s="204" t="n"/>
      <c r="CV3840" s="204" t="n"/>
      <c r="CW3840" s="204" t="n"/>
    </row>
    <row r="3841">
      <c r="BF3841" s="78" t="n"/>
      <c r="BG3841" s="78" t="n"/>
      <c r="BH3841" s="78" t="n"/>
      <c r="BI3841" s="78" t="n"/>
      <c r="BJ3841" s="139" t="n"/>
      <c r="BK3841" s="204" t="n"/>
      <c r="BL3841" s="141" t="n"/>
      <c r="BM3841" s="205" t="n"/>
      <c r="BN3841" s="205" t="n"/>
      <c r="BO3841" s="206" t="n"/>
      <c r="BP3841" s="144" t="n"/>
      <c r="BQ3841" s="141" t="n"/>
      <c r="BR3841" s="207" t="n"/>
      <c r="BS3841" s="207" t="n"/>
      <c r="BT3841" s="207" t="n"/>
      <c r="BU3841" s="207" t="n"/>
      <c r="BV3841" s="208" t="n"/>
      <c r="BW3841" s="207" t="n"/>
      <c r="BX3841" s="207" t="n"/>
      <c r="BY3841" s="204" t="n"/>
      <c r="BZ3841" s="148" t="n"/>
      <c r="CA3841" s="204" t="n"/>
      <c r="CB3841" s="208" t="n"/>
      <c r="CC3841" s="139" t="n"/>
      <c r="CD3841" s="204" t="n"/>
      <c r="CE3841" s="204" t="n"/>
      <c r="CF3841" s="207" t="n"/>
      <c r="CG3841" s="208" t="n"/>
      <c r="CH3841" s="207" t="n"/>
      <c r="CI3841" s="208" t="n"/>
      <c r="CJ3841" s="204" t="n"/>
      <c r="CK3841" s="208" t="n"/>
      <c r="CL3841" s="208" t="n"/>
      <c r="CM3841" s="208" t="n"/>
      <c r="CN3841" s="78" t="n"/>
      <c r="CO3841" s="209" t="n"/>
      <c r="CP3841" s="204" t="n"/>
      <c r="CQ3841" s="204" t="n"/>
      <c r="CR3841" s="204" t="n"/>
      <c r="CS3841" s="204" t="n"/>
      <c r="CT3841" s="204" t="n"/>
      <c r="CU3841" s="204" t="n"/>
      <c r="CV3841" s="204" t="n"/>
      <c r="CW3841" s="204" t="n"/>
    </row>
    <row r="3842">
      <c r="BF3842" s="78" t="n"/>
      <c r="BG3842" s="78" t="n"/>
      <c r="BH3842" s="78" t="n"/>
      <c r="BI3842" s="78" t="n"/>
      <c r="BJ3842" s="139" t="n"/>
      <c r="BK3842" s="204" t="n"/>
      <c r="BL3842" s="141" t="n"/>
      <c r="BM3842" s="205" t="n"/>
      <c r="BN3842" s="205" t="n"/>
      <c r="BO3842" s="206" t="n"/>
      <c r="BP3842" s="144" t="n"/>
      <c r="BQ3842" s="141" t="n"/>
      <c r="BR3842" s="207" t="n"/>
      <c r="BS3842" s="207" t="n"/>
      <c r="BT3842" s="207" t="n"/>
      <c r="BU3842" s="207" t="n"/>
      <c r="BV3842" s="208" t="n"/>
      <c r="BW3842" s="207" t="n"/>
      <c r="BX3842" s="207" t="n"/>
      <c r="BY3842" s="204" t="n"/>
      <c r="BZ3842" s="148" t="n"/>
      <c r="CA3842" s="204" t="n"/>
      <c r="CB3842" s="208" t="n"/>
      <c r="CC3842" s="139" t="n"/>
      <c r="CD3842" s="204" t="n"/>
      <c r="CE3842" s="204" t="n"/>
      <c r="CF3842" s="207" t="n"/>
      <c r="CG3842" s="208" t="n"/>
      <c r="CH3842" s="207" t="n"/>
      <c r="CI3842" s="208" t="n"/>
      <c r="CJ3842" s="204" t="n"/>
      <c r="CK3842" s="208" t="n"/>
      <c r="CL3842" s="208" t="n"/>
      <c r="CM3842" s="208" t="n"/>
      <c r="CN3842" s="78" t="n"/>
      <c r="CO3842" s="209" t="n"/>
      <c r="CP3842" s="204" t="n"/>
      <c r="CQ3842" s="204" t="n"/>
      <c r="CR3842" s="204" t="n"/>
      <c r="CS3842" s="204" t="n"/>
      <c r="CT3842" s="204" t="n"/>
      <c r="CU3842" s="204" t="n"/>
      <c r="CV3842" s="204" t="n"/>
      <c r="CW3842" s="204" t="n"/>
    </row>
    <row r="3843">
      <c r="BF3843" s="78" t="n"/>
      <c r="BG3843" s="78" t="n"/>
      <c r="BH3843" s="78" t="n"/>
      <c r="BI3843" s="78" t="n"/>
      <c r="BJ3843" s="139" t="n"/>
      <c r="BK3843" s="204" t="n"/>
      <c r="BL3843" s="141" t="n"/>
      <c r="BM3843" s="205" t="n"/>
      <c r="BN3843" s="205" t="n"/>
      <c r="BO3843" s="206" t="n"/>
      <c r="BP3843" s="144" t="n"/>
      <c r="BQ3843" s="141" t="n"/>
      <c r="BR3843" s="207" t="n"/>
      <c r="BS3843" s="207" t="n"/>
      <c r="BT3843" s="207" t="n"/>
      <c r="BU3843" s="207" t="n"/>
      <c r="BV3843" s="208" t="n"/>
      <c r="BW3843" s="207" t="n"/>
      <c r="BX3843" s="207" t="n"/>
      <c r="BY3843" s="204" t="n"/>
      <c r="BZ3843" s="148" t="n"/>
      <c r="CA3843" s="204" t="n"/>
      <c r="CB3843" s="208" t="n"/>
      <c r="CC3843" s="139" t="n"/>
      <c r="CD3843" s="204" t="n"/>
      <c r="CE3843" s="204" t="n"/>
      <c r="CF3843" s="207" t="n"/>
      <c r="CG3843" s="208" t="n"/>
      <c r="CH3843" s="207" t="n"/>
      <c r="CI3843" s="208" t="n"/>
      <c r="CJ3843" s="204" t="n"/>
      <c r="CK3843" s="208" t="n"/>
      <c r="CL3843" s="208" t="n"/>
      <c r="CM3843" s="208" t="n"/>
      <c r="CN3843" s="78" t="n"/>
      <c r="CO3843" s="209" t="n"/>
      <c r="CP3843" s="204" t="n"/>
      <c r="CQ3843" s="204" t="n"/>
      <c r="CR3843" s="204" t="n"/>
      <c r="CS3843" s="204" t="n"/>
      <c r="CT3843" s="204" t="n"/>
      <c r="CU3843" s="204" t="n"/>
      <c r="CV3843" s="204" t="n"/>
      <c r="CW3843" s="204" t="n"/>
    </row>
    <row r="3844">
      <c r="BF3844" s="78" t="n"/>
      <c r="BG3844" s="78" t="n"/>
      <c r="BH3844" s="78" t="n"/>
      <c r="BI3844" s="78" t="n"/>
      <c r="BJ3844" s="139" t="n"/>
      <c r="BK3844" s="204" t="n"/>
      <c r="BL3844" s="141" t="n"/>
      <c r="BM3844" s="205" t="n"/>
      <c r="BN3844" s="205" t="n"/>
      <c r="BO3844" s="206" t="n"/>
      <c r="BP3844" s="144" t="n"/>
      <c r="BQ3844" s="141" t="n"/>
      <c r="BR3844" s="207" t="n"/>
      <c r="BS3844" s="207" t="n"/>
      <c r="BT3844" s="207" t="n"/>
      <c r="BU3844" s="207" t="n"/>
      <c r="BV3844" s="208" t="n"/>
      <c r="BW3844" s="207" t="n"/>
      <c r="BX3844" s="207" t="n"/>
      <c r="BY3844" s="204" t="n"/>
      <c r="BZ3844" s="148" t="n"/>
      <c r="CA3844" s="204" t="n"/>
      <c r="CB3844" s="208" t="n"/>
      <c r="CC3844" s="139" t="n"/>
      <c r="CD3844" s="204" t="n"/>
      <c r="CE3844" s="204" t="n"/>
      <c r="CF3844" s="207" t="n"/>
      <c r="CG3844" s="208" t="n"/>
      <c r="CH3844" s="207" t="n"/>
      <c r="CI3844" s="208" t="n"/>
      <c r="CJ3844" s="204" t="n"/>
      <c r="CK3844" s="208" t="n"/>
      <c r="CL3844" s="208" t="n"/>
      <c r="CM3844" s="208" t="n"/>
      <c r="CN3844" s="78" t="n"/>
      <c r="CO3844" s="209" t="n"/>
      <c r="CP3844" s="204" t="n"/>
      <c r="CQ3844" s="204" t="n"/>
      <c r="CR3844" s="204" t="n"/>
      <c r="CS3844" s="204" t="n"/>
      <c r="CT3844" s="204" t="n"/>
      <c r="CU3844" s="204" t="n"/>
      <c r="CV3844" s="204" t="n"/>
      <c r="CW3844" s="204" t="n"/>
    </row>
    <row r="3845">
      <c r="BF3845" s="78" t="n"/>
      <c r="BG3845" s="78" t="n"/>
      <c r="BH3845" s="78" t="n"/>
      <c r="BI3845" s="78" t="n"/>
      <c r="BJ3845" s="139" t="n"/>
      <c r="BK3845" s="204" t="n"/>
      <c r="BL3845" s="141" t="n"/>
      <c r="BM3845" s="205" t="n"/>
      <c r="BN3845" s="205" t="n"/>
      <c r="BO3845" s="206" t="n"/>
      <c r="BP3845" s="144" t="n"/>
      <c r="BQ3845" s="141" t="n"/>
      <c r="BR3845" s="207" t="n"/>
      <c r="BS3845" s="207" t="n"/>
      <c r="BT3845" s="207" t="n"/>
      <c r="BU3845" s="207" t="n"/>
      <c r="BV3845" s="208" t="n"/>
      <c r="BW3845" s="207" t="n"/>
      <c r="BX3845" s="207" t="n"/>
      <c r="BY3845" s="204" t="n"/>
      <c r="BZ3845" s="148" t="n"/>
      <c r="CA3845" s="204" t="n"/>
      <c r="CB3845" s="208" t="n"/>
      <c r="CC3845" s="139" t="n"/>
      <c r="CD3845" s="204" t="n"/>
      <c r="CE3845" s="204" t="n"/>
      <c r="CF3845" s="207" t="n"/>
      <c r="CG3845" s="208" t="n"/>
      <c r="CH3845" s="207" t="n"/>
      <c r="CI3845" s="208" t="n"/>
      <c r="CJ3845" s="204" t="n"/>
      <c r="CK3845" s="208" t="n"/>
      <c r="CL3845" s="208" t="n"/>
      <c r="CM3845" s="208" t="n"/>
      <c r="CN3845" s="78" t="n"/>
      <c r="CO3845" s="209" t="n"/>
      <c r="CP3845" s="204" t="n"/>
      <c r="CQ3845" s="204" t="n"/>
      <c r="CR3845" s="204" t="n"/>
      <c r="CS3845" s="204" t="n"/>
      <c r="CT3845" s="204" t="n"/>
      <c r="CU3845" s="204" t="n"/>
      <c r="CV3845" s="204" t="n"/>
      <c r="CW3845" s="204" t="n"/>
    </row>
    <row r="3846">
      <c r="BF3846" s="78" t="n"/>
      <c r="BG3846" s="78" t="n"/>
      <c r="BH3846" s="78" t="n"/>
      <c r="BI3846" s="78" t="n"/>
      <c r="BJ3846" s="139" t="n"/>
      <c r="BK3846" s="204" t="n"/>
      <c r="BL3846" s="141" t="n"/>
      <c r="BM3846" s="205" t="n"/>
      <c r="BN3846" s="205" t="n"/>
      <c r="BO3846" s="206" t="n"/>
      <c r="BP3846" s="144" t="n"/>
      <c r="BQ3846" s="141" t="n"/>
      <c r="BR3846" s="207" t="n"/>
      <c r="BS3846" s="207" t="n"/>
      <c r="BT3846" s="207" t="n"/>
      <c r="BU3846" s="207" t="n"/>
      <c r="BV3846" s="208" t="n"/>
      <c r="BW3846" s="207" t="n"/>
      <c r="BX3846" s="207" t="n"/>
      <c r="BY3846" s="204" t="n"/>
      <c r="BZ3846" s="148" t="n"/>
      <c r="CA3846" s="204" t="n"/>
      <c r="CB3846" s="208" t="n"/>
      <c r="CC3846" s="139" t="n"/>
      <c r="CD3846" s="204" t="n"/>
      <c r="CE3846" s="204" t="n"/>
      <c r="CF3846" s="207" t="n"/>
      <c r="CG3846" s="208" t="n"/>
      <c r="CH3846" s="207" t="n"/>
      <c r="CI3846" s="208" t="n"/>
      <c r="CJ3846" s="204" t="n"/>
      <c r="CK3846" s="208" t="n"/>
      <c r="CL3846" s="208" t="n"/>
      <c r="CM3846" s="208" t="n"/>
      <c r="CN3846" s="78" t="n"/>
      <c r="CO3846" s="209" t="n"/>
      <c r="CP3846" s="204" t="n"/>
      <c r="CQ3846" s="204" t="n"/>
      <c r="CR3846" s="204" t="n"/>
      <c r="CS3846" s="204" t="n"/>
      <c r="CT3846" s="204" t="n"/>
      <c r="CU3846" s="204" t="n"/>
      <c r="CV3846" s="204" t="n"/>
      <c r="CW3846" s="204" t="n"/>
    </row>
    <row r="3847">
      <c r="BF3847" s="78" t="n"/>
      <c r="BG3847" s="78" t="n"/>
      <c r="BH3847" s="78" t="n"/>
      <c r="BI3847" s="78" t="n"/>
      <c r="BJ3847" s="139" t="n"/>
      <c r="BK3847" s="204" t="n"/>
      <c r="BL3847" s="141" t="n"/>
      <c r="BM3847" s="205" t="n"/>
      <c r="BN3847" s="205" t="n"/>
      <c r="BO3847" s="206" t="n"/>
      <c r="BP3847" s="144" t="n"/>
      <c r="BQ3847" s="141" t="n"/>
      <c r="BR3847" s="207" t="n"/>
      <c r="BS3847" s="207" t="n"/>
      <c r="BT3847" s="207" t="n"/>
      <c r="BU3847" s="207" t="n"/>
      <c r="BV3847" s="208" t="n"/>
      <c r="BW3847" s="207" t="n"/>
      <c r="BX3847" s="207" t="n"/>
      <c r="BY3847" s="204" t="n"/>
      <c r="BZ3847" s="148" t="n"/>
      <c r="CA3847" s="204" t="n"/>
      <c r="CB3847" s="208" t="n"/>
      <c r="CC3847" s="139" t="n"/>
      <c r="CD3847" s="204" t="n"/>
      <c r="CE3847" s="204" t="n"/>
      <c r="CF3847" s="207" t="n"/>
      <c r="CG3847" s="208" t="n"/>
      <c r="CH3847" s="207" t="n"/>
      <c r="CI3847" s="208" t="n"/>
      <c r="CJ3847" s="204" t="n"/>
      <c r="CK3847" s="208" t="n"/>
      <c r="CL3847" s="208" t="n"/>
      <c r="CM3847" s="208" t="n"/>
      <c r="CN3847" s="78" t="n"/>
      <c r="CO3847" s="209" t="n"/>
      <c r="CP3847" s="204" t="n"/>
      <c r="CQ3847" s="204" t="n"/>
      <c r="CR3847" s="204" t="n"/>
      <c r="CS3847" s="204" t="n"/>
      <c r="CT3847" s="204" t="n"/>
      <c r="CU3847" s="204" t="n"/>
      <c r="CV3847" s="204" t="n"/>
      <c r="CW3847" s="204" t="n"/>
    </row>
    <row r="3848">
      <c r="BF3848" s="78" t="n"/>
      <c r="BG3848" s="78" t="n"/>
      <c r="BH3848" s="78" t="n"/>
      <c r="BI3848" s="78" t="n"/>
      <c r="BJ3848" s="139" t="n"/>
      <c r="BK3848" s="204" t="n"/>
      <c r="BL3848" s="141" t="n"/>
      <c r="BM3848" s="205" t="n"/>
      <c r="BN3848" s="205" t="n"/>
      <c r="BO3848" s="206" t="n"/>
      <c r="BP3848" s="144" t="n"/>
      <c r="BQ3848" s="141" t="n"/>
      <c r="BR3848" s="207" t="n"/>
      <c r="BS3848" s="207" t="n"/>
      <c r="BT3848" s="207" t="n"/>
      <c r="BU3848" s="207" t="n"/>
      <c r="BV3848" s="208" t="n"/>
      <c r="BW3848" s="207" t="n"/>
      <c r="BX3848" s="207" t="n"/>
      <c r="BY3848" s="204" t="n"/>
      <c r="BZ3848" s="148" t="n"/>
      <c r="CA3848" s="204" t="n"/>
      <c r="CB3848" s="208" t="n"/>
      <c r="CC3848" s="139" t="n"/>
      <c r="CD3848" s="204" t="n"/>
      <c r="CE3848" s="204" t="n"/>
      <c r="CF3848" s="207" t="n"/>
      <c r="CG3848" s="208" t="n"/>
      <c r="CH3848" s="207" t="n"/>
      <c r="CI3848" s="208" t="n"/>
      <c r="CJ3848" s="204" t="n"/>
      <c r="CK3848" s="208" t="n"/>
      <c r="CL3848" s="208" t="n"/>
      <c r="CM3848" s="208" t="n"/>
      <c r="CN3848" s="78" t="n"/>
      <c r="CO3848" s="209" t="n"/>
      <c r="CP3848" s="204" t="n"/>
      <c r="CQ3848" s="204" t="n"/>
      <c r="CR3848" s="204" t="n"/>
      <c r="CS3848" s="204" t="n"/>
      <c r="CT3848" s="204" t="n"/>
      <c r="CU3848" s="204" t="n"/>
      <c r="CV3848" s="204" t="n"/>
      <c r="CW3848" s="204" t="n"/>
    </row>
    <row r="3849">
      <c r="BF3849" s="78" t="n"/>
      <c r="BG3849" s="78" t="n"/>
      <c r="BH3849" s="78" t="n"/>
      <c r="BI3849" s="78" t="n"/>
      <c r="BJ3849" s="139" t="n"/>
      <c r="BK3849" s="204" t="n"/>
      <c r="BL3849" s="141" t="n"/>
      <c r="BM3849" s="205" t="n"/>
      <c r="BN3849" s="205" t="n"/>
      <c r="BO3849" s="206" t="n"/>
      <c r="BP3849" s="144" t="n"/>
      <c r="BQ3849" s="141" t="n"/>
      <c r="BR3849" s="207" t="n"/>
      <c r="BS3849" s="207" t="n"/>
      <c r="BT3849" s="207" t="n"/>
      <c r="BU3849" s="207" t="n"/>
      <c r="BV3849" s="208" t="n"/>
      <c r="BW3849" s="207" t="n"/>
      <c r="BX3849" s="207" t="n"/>
      <c r="BY3849" s="204" t="n"/>
      <c r="BZ3849" s="148" t="n"/>
      <c r="CA3849" s="204" t="n"/>
      <c r="CB3849" s="208" t="n"/>
      <c r="CC3849" s="139" t="n"/>
      <c r="CD3849" s="204" t="n"/>
      <c r="CE3849" s="204" t="n"/>
      <c r="CF3849" s="207" t="n"/>
      <c r="CG3849" s="208" t="n"/>
      <c r="CH3849" s="207" t="n"/>
      <c r="CI3849" s="208" t="n"/>
      <c r="CJ3849" s="204" t="n"/>
      <c r="CK3849" s="208" t="n"/>
      <c r="CL3849" s="208" t="n"/>
      <c r="CM3849" s="208" t="n"/>
      <c r="CN3849" s="78" t="n"/>
      <c r="CO3849" s="209" t="n"/>
      <c r="CP3849" s="204" t="n"/>
      <c r="CQ3849" s="204" t="n"/>
      <c r="CR3849" s="204" t="n"/>
      <c r="CS3849" s="204" t="n"/>
      <c r="CT3849" s="204" t="n"/>
      <c r="CU3849" s="204" t="n"/>
      <c r="CV3849" s="204" t="n"/>
      <c r="CW3849" s="204" t="n"/>
    </row>
    <row r="3850">
      <c r="BF3850" s="78" t="n"/>
      <c r="BG3850" s="78" t="n"/>
      <c r="BH3850" s="78" t="n"/>
      <c r="BI3850" s="78" t="n"/>
      <c r="BJ3850" s="139" t="n"/>
      <c r="BK3850" s="204" t="n"/>
      <c r="BL3850" s="141" t="n"/>
      <c r="BM3850" s="205" t="n"/>
      <c r="BN3850" s="205" t="n"/>
      <c r="BO3850" s="206" t="n"/>
      <c r="BP3850" s="144" t="n"/>
      <c r="BQ3850" s="141" t="n"/>
      <c r="BR3850" s="207" t="n"/>
      <c r="BS3850" s="207" t="n"/>
      <c r="BT3850" s="207" t="n"/>
      <c r="BU3850" s="207" t="n"/>
      <c r="BV3850" s="208" t="n"/>
      <c r="BW3850" s="207" t="n"/>
      <c r="BX3850" s="207" t="n"/>
      <c r="BY3850" s="204" t="n"/>
      <c r="BZ3850" s="148" t="n"/>
      <c r="CA3850" s="204" t="n"/>
      <c r="CB3850" s="208" t="n"/>
      <c r="CC3850" s="139" t="n"/>
      <c r="CD3850" s="204" t="n"/>
      <c r="CE3850" s="204" t="n"/>
      <c r="CF3850" s="207" t="n"/>
      <c r="CG3850" s="208" t="n"/>
      <c r="CH3850" s="207" t="n"/>
      <c r="CI3850" s="208" t="n"/>
      <c r="CJ3850" s="204" t="n"/>
      <c r="CK3850" s="208" t="n"/>
      <c r="CL3850" s="208" t="n"/>
      <c r="CM3850" s="208" t="n"/>
      <c r="CN3850" s="78" t="n"/>
      <c r="CO3850" s="209" t="n"/>
      <c r="CP3850" s="204" t="n"/>
      <c r="CQ3850" s="204" t="n"/>
      <c r="CR3850" s="204" t="n"/>
      <c r="CS3850" s="204" t="n"/>
      <c r="CT3850" s="204" t="n"/>
      <c r="CU3850" s="204" t="n"/>
      <c r="CV3850" s="204" t="n"/>
      <c r="CW3850" s="204" t="n"/>
    </row>
    <row r="3851">
      <c r="BF3851" s="78" t="n"/>
      <c r="BG3851" s="78" t="n"/>
      <c r="BH3851" s="78" t="n"/>
      <c r="BI3851" s="78" t="n"/>
      <c r="BJ3851" s="139" t="n"/>
      <c r="BK3851" s="204" t="n"/>
      <c r="BL3851" s="141" t="n"/>
      <c r="BM3851" s="205" t="n"/>
      <c r="BN3851" s="205" t="n"/>
      <c r="BO3851" s="206" t="n"/>
      <c r="BP3851" s="144" t="n"/>
      <c r="BQ3851" s="141" t="n"/>
      <c r="BR3851" s="207" t="n"/>
      <c r="BS3851" s="207" t="n"/>
      <c r="BT3851" s="207" t="n"/>
      <c r="BU3851" s="207" t="n"/>
      <c r="BV3851" s="208" t="n"/>
      <c r="BW3851" s="207" t="n"/>
      <c r="BX3851" s="207" t="n"/>
      <c r="BY3851" s="204" t="n"/>
      <c r="BZ3851" s="148" t="n"/>
      <c r="CA3851" s="204" t="n"/>
      <c r="CB3851" s="208" t="n"/>
      <c r="CC3851" s="139" t="n"/>
      <c r="CD3851" s="204" t="n"/>
      <c r="CE3851" s="204" t="n"/>
      <c r="CF3851" s="207" t="n"/>
      <c r="CG3851" s="208" t="n"/>
      <c r="CH3851" s="207" t="n"/>
      <c r="CI3851" s="208" t="n"/>
      <c r="CJ3851" s="204" t="n"/>
      <c r="CK3851" s="208" t="n"/>
      <c r="CL3851" s="208" t="n"/>
      <c r="CM3851" s="208" t="n"/>
      <c r="CN3851" s="78" t="n"/>
      <c r="CO3851" s="209" t="n"/>
      <c r="CP3851" s="204" t="n"/>
      <c r="CQ3851" s="204" t="n"/>
      <c r="CR3851" s="204" t="n"/>
      <c r="CS3851" s="204" t="n"/>
      <c r="CT3851" s="204" t="n"/>
      <c r="CU3851" s="204" t="n"/>
      <c r="CV3851" s="204" t="n"/>
      <c r="CW3851" s="204" t="n"/>
    </row>
    <row r="3852">
      <c r="BF3852" s="78" t="n"/>
      <c r="BG3852" s="78" t="n"/>
      <c r="BH3852" s="78" t="n"/>
      <c r="BI3852" s="78" t="n"/>
      <c r="BJ3852" s="139" t="n"/>
      <c r="BK3852" s="204" t="n"/>
      <c r="BL3852" s="141" t="n"/>
      <c r="BM3852" s="205" t="n"/>
      <c r="BN3852" s="205" t="n"/>
      <c r="BO3852" s="206" t="n"/>
      <c r="BP3852" s="144" t="n"/>
      <c r="BQ3852" s="141" t="n"/>
      <c r="BR3852" s="207" t="n"/>
      <c r="BS3852" s="207" t="n"/>
      <c r="BT3852" s="207" t="n"/>
      <c r="BU3852" s="207" t="n"/>
      <c r="BV3852" s="208" t="n"/>
      <c r="BW3852" s="207" t="n"/>
      <c r="BX3852" s="207" t="n"/>
      <c r="BY3852" s="204" t="n"/>
      <c r="BZ3852" s="148" t="n"/>
      <c r="CA3852" s="204" t="n"/>
      <c r="CB3852" s="208" t="n"/>
      <c r="CC3852" s="139" t="n"/>
      <c r="CD3852" s="204" t="n"/>
      <c r="CE3852" s="204" t="n"/>
      <c r="CF3852" s="207" t="n"/>
      <c r="CG3852" s="208" t="n"/>
      <c r="CH3852" s="207" t="n"/>
      <c r="CI3852" s="208" t="n"/>
      <c r="CJ3852" s="204" t="n"/>
      <c r="CK3852" s="208" t="n"/>
      <c r="CL3852" s="208" t="n"/>
      <c r="CM3852" s="208" t="n"/>
      <c r="CN3852" s="78" t="n"/>
      <c r="CO3852" s="209" t="n"/>
      <c r="CP3852" s="204" t="n"/>
      <c r="CQ3852" s="204" t="n"/>
      <c r="CR3852" s="204" t="n"/>
      <c r="CS3852" s="204" t="n"/>
      <c r="CT3852" s="204" t="n"/>
      <c r="CU3852" s="204" t="n"/>
      <c r="CV3852" s="204" t="n"/>
      <c r="CW3852" s="204" t="n"/>
    </row>
    <row r="3853">
      <c r="BF3853" s="78" t="n"/>
      <c r="BG3853" s="78" t="n"/>
      <c r="BH3853" s="78" t="n"/>
      <c r="BI3853" s="78" t="n"/>
      <c r="BJ3853" s="139" t="n"/>
      <c r="BK3853" s="204" t="n"/>
      <c r="BL3853" s="141" t="n"/>
      <c r="BM3853" s="205" t="n"/>
      <c r="BN3853" s="205" t="n"/>
      <c r="BO3853" s="206" t="n"/>
      <c r="BP3853" s="144" t="n"/>
      <c r="BQ3853" s="141" t="n"/>
      <c r="BR3853" s="207" t="n"/>
      <c r="BS3853" s="207" t="n"/>
      <c r="BT3853" s="207" t="n"/>
      <c r="BU3853" s="207" t="n"/>
      <c r="BV3853" s="208" t="n"/>
      <c r="BW3853" s="207" t="n"/>
      <c r="BX3853" s="207" t="n"/>
      <c r="BY3853" s="204" t="n"/>
      <c r="BZ3853" s="148" t="n"/>
      <c r="CA3853" s="204" t="n"/>
      <c r="CB3853" s="208" t="n"/>
      <c r="CC3853" s="139" t="n"/>
      <c r="CD3853" s="204" t="n"/>
      <c r="CE3853" s="204" t="n"/>
      <c r="CF3853" s="207" t="n"/>
      <c r="CG3853" s="208" t="n"/>
      <c r="CH3853" s="207" t="n"/>
      <c r="CI3853" s="208" t="n"/>
      <c r="CJ3853" s="204" t="n"/>
      <c r="CK3853" s="208" t="n"/>
      <c r="CL3853" s="208" t="n"/>
      <c r="CM3853" s="208" t="n"/>
      <c r="CN3853" s="78" t="n"/>
      <c r="CO3853" s="209" t="n"/>
      <c r="CP3853" s="204" t="n"/>
      <c r="CQ3853" s="204" t="n"/>
      <c r="CR3853" s="204" t="n"/>
      <c r="CS3853" s="204" t="n"/>
      <c r="CT3853" s="204" t="n"/>
      <c r="CU3853" s="204" t="n"/>
      <c r="CV3853" s="204" t="n"/>
      <c r="CW3853" s="204" t="n"/>
    </row>
    <row r="3854">
      <c r="BF3854" s="78" t="n"/>
      <c r="BG3854" s="78" t="n"/>
      <c r="BH3854" s="78" t="n"/>
      <c r="BI3854" s="78" t="n"/>
      <c r="BJ3854" s="139" t="n"/>
      <c r="BK3854" s="204" t="n"/>
      <c r="BL3854" s="141" t="n"/>
      <c r="BM3854" s="205" t="n"/>
      <c r="BN3854" s="205" t="n"/>
      <c r="BO3854" s="206" t="n"/>
      <c r="BP3854" s="144" t="n"/>
      <c r="BQ3854" s="141" t="n"/>
      <c r="BR3854" s="207" t="n"/>
      <c r="BS3854" s="207" t="n"/>
      <c r="BT3854" s="207" t="n"/>
      <c r="BU3854" s="207" t="n"/>
      <c r="BV3854" s="208" t="n"/>
      <c r="BW3854" s="207" t="n"/>
      <c r="BX3854" s="207" t="n"/>
      <c r="BY3854" s="204" t="n"/>
      <c r="BZ3854" s="148" t="n"/>
      <c r="CA3854" s="204" t="n"/>
      <c r="CB3854" s="208" t="n"/>
      <c r="CC3854" s="139" t="n"/>
      <c r="CD3854" s="204" t="n"/>
      <c r="CE3854" s="204" t="n"/>
      <c r="CF3854" s="207" t="n"/>
      <c r="CG3854" s="208" t="n"/>
      <c r="CH3854" s="207" t="n"/>
      <c r="CI3854" s="208" t="n"/>
      <c r="CJ3854" s="204" t="n"/>
      <c r="CK3854" s="208" t="n"/>
      <c r="CL3854" s="208" t="n"/>
      <c r="CM3854" s="208" t="n"/>
      <c r="CN3854" s="78" t="n"/>
      <c r="CO3854" s="209" t="n"/>
      <c r="CP3854" s="204" t="n"/>
      <c r="CQ3854" s="204" t="n"/>
      <c r="CR3854" s="204" t="n"/>
      <c r="CS3854" s="204" t="n"/>
      <c r="CT3854" s="204" t="n"/>
      <c r="CU3854" s="204" t="n"/>
      <c r="CV3854" s="204" t="n"/>
      <c r="CW3854" s="204" t="n"/>
    </row>
    <row r="3855">
      <c r="BF3855" s="78" t="n"/>
      <c r="BG3855" s="78" t="n"/>
      <c r="BH3855" s="78" t="n"/>
      <c r="BI3855" s="78" t="n"/>
      <c r="BJ3855" s="139" t="n"/>
      <c r="BK3855" s="204" t="n"/>
      <c r="BL3855" s="141" t="n"/>
      <c r="BM3855" s="205" t="n"/>
      <c r="BN3855" s="205" t="n"/>
      <c r="BO3855" s="206" t="n"/>
      <c r="BP3855" s="144" t="n"/>
      <c r="BQ3855" s="141" t="n"/>
      <c r="BR3855" s="207" t="n"/>
      <c r="BS3855" s="207" t="n"/>
      <c r="BT3855" s="207" t="n"/>
      <c r="BU3855" s="207" t="n"/>
      <c r="BV3855" s="208" t="n"/>
      <c r="BW3855" s="207" t="n"/>
      <c r="BX3855" s="207" t="n"/>
      <c r="BY3855" s="204" t="n"/>
      <c r="BZ3855" s="148" t="n"/>
      <c r="CA3855" s="204" t="n"/>
      <c r="CB3855" s="208" t="n"/>
      <c r="CC3855" s="139" t="n"/>
      <c r="CD3855" s="204" t="n"/>
      <c r="CE3855" s="204" t="n"/>
      <c r="CF3855" s="207" t="n"/>
      <c r="CG3855" s="208" t="n"/>
      <c r="CH3855" s="207" t="n"/>
      <c r="CI3855" s="208" t="n"/>
      <c r="CJ3855" s="204" t="n"/>
      <c r="CK3855" s="208" t="n"/>
      <c r="CL3855" s="208" t="n"/>
      <c r="CM3855" s="208" t="n"/>
      <c r="CN3855" s="78" t="n"/>
      <c r="CO3855" s="209" t="n"/>
      <c r="CP3855" s="204" t="n"/>
      <c r="CQ3855" s="204" t="n"/>
      <c r="CR3855" s="204" t="n"/>
      <c r="CS3855" s="204" t="n"/>
      <c r="CT3855" s="204" t="n"/>
      <c r="CU3855" s="204" t="n"/>
      <c r="CV3855" s="204" t="n"/>
      <c r="CW3855" s="204" t="n"/>
    </row>
    <row r="3856">
      <c r="BF3856" s="78" t="n"/>
      <c r="BG3856" s="78" t="n"/>
      <c r="BH3856" s="78" t="n"/>
      <c r="BI3856" s="78" t="n"/>
      <c r="BJ3856" s="139" t="n"/>
      <c r="BK3856" s="204" t="n"/>
      <c r="BL3856" s="141" t="n"/>
      <c r="BM3856" s="205" t="n"/>
      <c r="BN3856" s="205" t="n"/>
      <c r="BO3856" s="206" t="n"/>
      <c r="BP3856" s="144" t="n"/>
      <c r="BQ3856" s="141" t="n"/>
      <c r="BR3856" s="207" t="n"/>
      <c r="BS3856" s="207" t="n"/>
      <c r="BT3856" s="207" t="n"/>
      <c r="BU3856" s="207" t="n"/>
      <c r="BV3856" s="208" t="n"/>
      <c r="BW3856" s="207" t="n"/>
      <c r="BX3856" s="207" t="n"/>
      <c r="BY3856" s="204" t="n"/>
      <c r="BZ3856" s="148" t="n"/>
      <c r="CA3856" s="204" t="n"/>
      <c r="CB3856" s="208" t="n"/>
      <c r="CC3856" s="139" t="n"/>
      <c r="CD3856" s="204" t="n"/>
      <c r="CE3856" s="204" t="n"/>
      <c r="CF3856" s="207" t="n"/>
      <c r="CG3856" s="208" t="n"/>
      <c r="CH3856" s="207" t="n"/>
      <c r="CI3856" s="208" t="n"/>
      <c r="CJ3856" s="204" t="n"/>
      <c r="CK3856" s="208" t="n"/>
      <c r="CL3856" s="208" t="n"/>
      <c r="CM3856" s="208" t="n"/>
      <c r="CN3856" s="78" t="n"/>
      <c r="CO3856" s="209" t="n"/>
      <c r="CP3856" s="204" t="n"/>
      <c r="CQ3856" s="204" t="n"/>
      <c r="CR3856" s="204" t="n"/>
      <c r="CS3856" s="204" t="n"/>
      <c r="CT3856" s="204" t="n"/>
      <c r="CU3856" s="204" t="n"/>
      <c r="CV3856" s="204" t="n"/>
      <c r="CW3856" s="204" t="n"/>
    </row>
    <row r="3857">
      <c r="BF3857" s="78" t="n"/>
      <c r="BG3857" s="78" t="n"/>
      <c r="BH3857" s="78" t="n"/>
      <c r="BI3857" s="78" t="n"/>
      <c r="BJ3857" s="139" t="n"/>
      <c r="BK3857" s="204" t="n"/>
      <c r="BL3857" s="141" t="n"/>
      <c r="BM3857" s="205" t="n"/>
      <c r="BN3857" s="205" t="n"/>
      <c r="BO3857" s="206" t="n"/>
      <c r="BP3857" s="144" t="n"/>
      <c r="BQ3857" s="141" t="n"/>
      <c r="BR3857" s="207" t="n"/>
      <c r="BS3857" s="207" t="n"/>
      <c r="BT3857" s="207" t="n"/>
      <c r="BU3857" s="207" t="n"/>
      <c r="BV3857" s="208" t="n"/>
      <c r="BW3857" s="207" t="n"/>
      <c r="BX3857" s="207" t="n"/>
      <c r="BY3857" s="204" t="n"/>
      <c r="BZ3857" s="148" t="n"/>
      <c r="CA3857" s="204" t="n"/>
      <c r="CB3857" s="208" t="n"/>
      <c r="CC3857" s="139" t="n"/>
      <c r="CD3857" s="204" t="n"/>
      <c r="CE3857" s="204" t="n"/>
      <c r="CF3857" s="207" t="n"/>
      <c r="CG3857" s="208" t="n"/>
      <c r="CH3857" s="207" t="n"/>
      <c r="CI3857" s="208" t="n"/>
      <c r="CJ3857" s="204" t="n"/>
      <c r="CK3857" s="208" t="n"/>
      <c r="CL3857" s="208" t="n"/>
      <c r="CM3857" s="208" t="n"/>
      <c r="CN3857" s="78" t="n"/>
      <c r="CO3857" s="209" t="n"/>
      <c r="CP3857" s="204" t="n"/>
      <c r="CQ3857" s="204" t="n"/>
      <c r="CR3857" s="204" t="n"/>
      <c r="CS3857" s="204" t="n"/>
      <c r="CT3857" s="204" t="n"/>
      <c r="CU3857" s="204" t="n"/>
      <c r="CV3857" s="204" t="n"/>
      <c r="CW3857" s="204" t="n"/>
    </row>
    <row r="3858">
      <c r="BF3858" s="78" t="n"/>
      <c r="BG3858" s="78" t="n"/>
      <c r="BH3858" s="78" t="n"/>
      <c r="BI3858" s="78" t="n"/>
      <c r="BJ3858" s="139" t="n"/>
      <c r="BK3858" s="204" t="n"/>
      <c r="BL3858" s="141" t="n"/>
      <c r="BM3858" s="205" t="n"/>
      <c r="BN3858" s="205" t="n"/>
      <c r="BO3858" s="206" t="n"/>
      <c r="BP3858" s="144" t="n"/>
      <c r="BQ3858" s="141" t="n"/>
      <c r="BR3858" s="207" t="n"/>
      <c r="BS3858" s="207" t="n"/>
      <c r="BT3858" s="207" t="n"/>
      <c r="BU3858" s="207" t="n"/>
      <c r="BV3858" s="208" t="n"/>
      <c r="BW3858" s="207" t="n"/>
      <c r="BX3858" s="207" t="n"/>
      <c r="BY3858" s="204" t="n"/>
      <c r="BZ3858" s="148" t="n"/>
      <c r="CA3858" s="204" t="n"/>
      <c r="CB3858" s="208" t="n"/>
      <c r="CC3858" s="139" t="n"/>
      <c r="CD3858" s="204" t="n"/>
      <c r="CE3858" s="204" t="n"/>
      <c r="CF3858" s="207" t="n"/>
      <c r="CG3858" s="208" t="n"/>
      <c r="CH3858" s="207" t="n"/>
      <c r="CI3858" s="208" t="n"/>
      <c r="CJ3858" s="204" t="n"/>
      <c r="CK3858" s="208" t="n"/>
      <c r="CL3858" s="208" t="n"/>
      <c r="CM3858" s="208" t="n"/>
      <c r="CN3858" s="78" t="n"/>
      <c r="CO3858" s="209" t="n"/>
      <c r="CP3858" s="204" t="n"/>
      <c r="CQ3858" s="204" t="n"/>
      <c r="CR3858" s="204" t="n"/>
      <c r="CS3858" s="204" t="n"/>
      <c r="CT3858" s="204" t="n"/>
      <c r="CU3858" s="204" t="n"/>
      <c r="CV3858" s="204" t="n"/>
      <c r="CW3858" s="204" t="n"/>
    </row>
    <row r="3859">
      <c r="BF3859" s="78" t="n"/>
      <c r="BG3859" s="78" t="n"/>
      <c r="BH3859" s="78" t="n"/>
      <c r="BI3859" s="78" t="n"/>
      <c r="BJ3859" s="139" t="n"/>
      <c r="BK3859" s="204" t="n"/>
      <c r="BL3859" s="141" t="n"/>
      <c r="BM3859" s="205" t="n"/>
      <c r="BN3859" s="205" t="n"/>
      <c r="BO3859" s="206" t="n"/>
      <c r="BP3859" s="144" t="n"/>
      <c r="BQ3859" s="141" t="n"/>
      <c r="BR3859" s="207" t="n"/>
      <c r="BS3859" s="207" t="n"/>
      <c r="BT3859" s="207" t="n"/>
      <c r="BU3859" s="207" t="n"/>
      <c r="BV3859" s="208" t="n"/>
      <c r="BW3859" s="207" t="n"/>
      <c r="BX3859" s="207" t="n"/>
      <c r="BY3859" s="204" t="n"/>
      <c r="BZ3859" s="148" t="n"/>
      <c r="CA3859" s="204" t="n"/>
      <c r="CB3859" s="208" t="n"/>
      <c r="CC3859" s="139" t="n"/>
      <c r="CD3859" s="204" t="n"/>
      <c r="CE3859" s="204" t="n"/>
      <c r="CF3859" s="207" t="n"/>
      <c r="CG3859" s="208" t="n"/>
      <c r="CH3859" s="207" t="n"/>
      <c r="CI3859" s="208" t="n"/>
      <c r="CJ3859" s="204" t="n"/>
      <c r="CK3859" s="208" t="n"/>
      <c r="CL3859" s="208" t="n"/>
      <c r="CM3859" s="208" t="n"/>
      <c r="CN3859" s="78" t="n"/>
      <c r="CO3859" s="209" t="n"/>
      <c r="CP3859" s="204" t="n"/>
      <c r="CQ3859" s="204" t="n"/>
      <c r="CR3859" s="204" t="n"/>
      <c r="CS3859" s="204" t="n"/>
      <c r="CT3859" s="204" t="n"/>
      <c r="CU3859" s="204" t="n"/>
      <c r="CV3859" s="204" t="n"/>
      <c r="CW3859" s="204" t="n"/>
    </row>
    <row r="3860">
      <c r="BF3860" s="78" t="n"/>
      <c r="BG3860" s="78" t="n"/>
      <c r="BH3860" s="78" t="n"/>
      <c r="BI3860" s="78" t="n"/>
      <c r="BJ3860" s="139" t="n"/>
      <c r="BK3860" s="204" t="n"/>
      <c r="BL3860" s="141" t="n"/>
      <c r="BM3860" s="205" t="n"/>
      <c r="BN3860" s="205" t="n"/>
      <c r="BO3860" s="206" t="n"/>
      <c r="BP3860" s="144" t="n"/>
      <c r="BQ3860" s="141" t="n"/>
      <c r="BR3860" s="207" t="n"/>
      <c r="BS3860" s="207" t="n"/>
      <c r="BT3860" s="207" t="n"/>
      <c r="BU3860" s="207" t="n"/>
      <c r="BV3860" s="208" t="n"/>
      <c r="BW3860" s="207" t="n"/>
      <c r="BX3860" s="207" t="n"/>
      <c r="BY3860" s="204" t="n"/>
      <c r="BZ3860" s="148" t="n"/>
      <c r="CA3860" s="204" t="n"/>
      <c r="CB3860" s="208" t="n"/>
      <c r="CC3860" s="139" t="n"/>
      <c r="CD3860" s="204" t="n"/>
      <c r="CE3860" s="204" t="n"/>
      <c r="CF3860" s="207" t="n"/>
      <c r="CG3860" s="208" t="n"/>
      <c r="CH3860" s="207" t="n"/>
      <c r="CI3860" s="208" t="n"/>
      <c r="CJ3860" s="204" t="n"/>
      <c r="CK3860" s="208" t="n"/>
      <c r="CL3860" s="208" t="n"/>
      <c r="CM3860" s="208" t="n"/>
      <c r="CN3860" s="78" t="n"/>
      <c r="CO3860" s="209" t="n"/>
      <c r="CP3860" s="204" t="n"/>
      <c r="CQ3860" s="204" t="n"/>
      <c r="CR3860" s="204" t="n"/>
      <c r="CS3860" s="204" t="n"/>
      <c r="CT3860" s="204" t="n"/>
      <c r="CU3860" s="204" t="n"/>
      <c r="CV3860" s="204" t="n"/>
      <c r="CW3860" s="204" t="n"/>
    </row>
    <row r="3861">
      <c r="BF3861" s="78" t="n"/>
      <c r="BG3861" s="78" t="n"/>
      <c r="BH3861" s="78" t="n"/>
      <c r="BI3861" s="78" t="n"/>
      <c r="BJ3861" s="139" t="n"/>
      <c r="BK3861" s="204" t="n"/>
      <c r="BL3861" s="141" t="n"/>
      <c r="BM3861" s="205" t="n"/>
      <c r="BN3861" s="205" t="n"/>
      <c r="BO3861" s="206" t="n"/>
      <c r="BP3861" s="144" t="n"/>
      <c r="BQ3861" s="141" t="n"/>
      <c r="BR3861" s="207" t="n"/>
      <c r="BS3861" s="207" t="n"/>
      <c r="BT3861" s="207" t="n"/>
      <c r="BU3861" s="207" t="n"/>
      <c r="BV3861" s="208" t="n"/>
      <c r="BW3861" s="207" t="n"/>
      <c r="BX3861" s="207" t="n"/>
      <c r="BY3861" s="204" t="n"/>
      <c r="BZ3861" s="148" t="n"/>
      <c r="CA3861" s="204" t="n"/>
      <c r="CB3861" s="208" t="n"/>
      <c r="CC3861" s="139" t="n"/>
      <c r="CD3861" s="204" t="n"/>
      <c r="CE3861" s="204" t="n"/>
      <c r="CF3861" s="207" t="n"/>
      <c r="CG3861" s="208" t="n"/>
      <c r="CH3861" s="207" t="n"/>
      <c r="CI3861" s="208" t="n"/>
      <c r="CJ3861" s="204" t="n"/>
      <c r="CK3861" s="208" t="n"/>
      <c r="CL3861" s="208" t="n"/>
      <c r="CM3861" s="208" t="n"/>
      <c r="CN3861" s="78" t="n"/>
      <c r="CO3861" s="209" t="n"/>
      <c r="CP3861" s="204" t="n"/>
      <c r="CQ3861" s="204" t="n"/>
      <c r="CR3861" s="204" t="n"/>
      <c r="CS3861" s="204" t="n"/>
      <c r="CT3861" s="204" t="n"/>
      <c r="CU3861" s="204" t="n"/>
      <c r="CV3861" s="204" t="n"/>
      <c r="CW3861" s="204" t="n"/>
    </row>
    <row r="3862">
      <c r="BF3862" s="78" t="n"/>
      <c r="BG3862" s="78" t="n"/>
      <c r="BH3862" s="78" t="n"/>
      <c r="BI3862" s="78" t="n"/>
      <c r="BJ3862" s="139" t="n"/>
      <c r="BK3862" s="204" t="n"/>
      <c r="BL3862" s="141" t="n"/>
      <c r="BM3862" s="205" t="n"/>
      <c r="BN3862" s="205" t="n"/>
      <c r="BO3862" s="206" t="n"/>
      <c r="BP3862" s="144" t="n"/>
      <c r="BQ3862" s="141" t="n"/>
      <c r="BR3862" s="207" t="n"/>
      <c r="BS3862" s="207" t="n"/>
      <c r="BT3862" s="207" t="n"/>
      <c r="BU3862" s="207" t="n"/>
      <c r="BV3862" s="208" t="n"/>
      <c r="BW3862" s="207" t="n"/>
      <c r="BX3862" s="207" t="n"/>
      <c r="BY3862" s="204" t="n"/>
      <c r="BZ3862" s="148" t="n"/>
      <c r="CA3862" s="204" t="n"/>
      <c r="CB3862" s="208" t="n"/>
      <c r="CC3862" s="139" t="n"/>
      <c r="CD3862" s="204" t="n"/>
      <c r="CE3862" s="204" t="n"/>
      <c r="CF3862" s="207" t="n"/>
      <c r="CG3862" s="208" t="n"/>
      <c r="CH3862" s="207" t="n"/>
      <c r="CI3862" s="208" t="n"/>
      <c r="CJ3862" s="204" t="n"/>
      <c r="CK3862" s="208" t="n"/>
      <c r="CL3862" s="208" t="n"/>
      <c r="CM3862" s="208" t="n"/>
      <c r="CN3862" s="78" t="n"/>
      <c r="CO3862" s="209" t="n"/>
      <c r="CP3862" s="204" t="n"/>
      <c r="CQ3862" s="204" t="n"/>
      <c r="CR3862" s="204" t="n"/>
      <c r="CS3862" s="204" t="n"/>
      <c r="CT3862" s="204" t="n"/>
      <c r="CU3862" s="204" t="n"/>
      <c r="CV3862" s="204" t="n"/>
      <c r="CW3862" s="204" t="n"/>
    </row>
    <row r="3863">
      <c r="BF3863" s="78" t="n"/>
      <c r="BG3863" s="78" t="n"/>
      <c r="BH3863" s="78" t="n"/>
      <c r="BI3863" s="78" t="n"/>
      <c r="BJ3863" s="139" t="n"/>
      <c r="BK3863" s="204" t="n"/>
      <c r="BL3863" s="141" t="n"/>
      <c r="BM3863" s="205" t="n"/>
      <c r="BN3863" s="205" t="n"/>
      <c r="BO3863" s="206" t="n"/>
      <c r="BP3863" s="144" t="n"/>
      <c r="BQ3863" s="141" t="n"/>
      <c r="BR3863" s="207" t="n"/>
      <c r="BS3863" s="207" t="n"/>
      <c r="BT3863" s="207" t="n"/>
      <c r="BU3863" s="207" t="n"/>
      <c r="BV3863" s="208" t="n"/>
      <c r="BW3863" s="207" t="n"/>
      <c r="BX3863" s="207" t="n"/>
      <c r="BY3863" s="204" t="n"/>
      <c r="BZ3863" s="148" t="n"/>
      <c r="CA3863" s="204" t="n"/>
      <c r="CB3863" s="208" t="n"/>
      <c r="CC3863" s="139" t="n"/>
      <c r="CD3863" s="204" t="n"/>
      <c r="CE3863" s="204" t="n"/>
      <c r="CF3863" s="207" t="n"/>
      <c r="CG3863" s="208" t="n"/>
      <c r="CH3863" s="207" t="n"/>
      <c r="CI3863" s="208" t="n"/>
      <c r="CJ3863" s="204" t="n"/>
      <c r="CK3863" s="208" t="n"/>
      <c r="CL3863" s="208" t="n"/>
      <c r="CM3863" s="208" t="n"/>
      <c r="CN3863" s="78" t="n"/>
      <c r="CO3863" s="209" t="n"/>
      <c r="CP3863" s="204" t="n"/>
      <c r="CQ3863" s="204" t="n"/>
      <c r="CR3863" s="204" t="n"/>
      <c r="CS3863" s="204" t="n"/>
      <c r="CT3863" s="204" t="n"/>
      <c r="CU3863" s="204" t="n"/>
      <c r="CV3863" s="204" t="n"/>
      <c r="CW3863" s="204" t="n"/>
    </row>
    <row r="3864">
      <c r="BF3864" s="78" t="n"/>
      <c r="BG3864" s="78" t="n"/>
      <c r="BH3864" s="78" t="n"/>
      <c r="BI3864" s="78" t="n"/>
      <c r="BJ3864" s="139" t="n"/>
      <c r="BK3864" s="204" t="n"/>
      <c r="BL3864" s="141" t="n"/>
      <c r="BM3864" s="205" t="n"/>
      <c r="BN3864" s="205" t="n"/>
      <c r="BO3864" s="206" t="n"/>
      <c r="BP3864" s="144" t="n"/>
      <c r="BQ3864" s="141" t="n"/>
      <c r="BR3864" s="207" t="n"/>
      <c r="BS3864" s="207" t="n"/>
      <c r="BT3864" s="207" t="n"/>
      <c r="BU3864" s="207" t="n"/>
      <c r="BV3864" s="208" t="n"/>
      <c r="BW3864" s="207" t="n"/>
      <c r="BX3864" s="207" t="n"/>
      <c r="BY3864" s="204" t="n"/>
      <c r="BZ3864" s="148" t="n"/>
      <c r="CA3864" s="204" t="n"/>
      <c r="CB3864" s="208" t="n"/>
      <c r="CC3864" s="139" t="n"/>
      <c r="CD3864" s="204" t="n"/>
      <c r="CE3864" s="204" t="n"/>
      <c r="CF3864" s="207" t="n"/>
      <c r="CG3864" s="208" t="n"/>
      <c r="CH3864" s="207" t="n"/>
      <c r="CI3864" s="208" t="n"/>
      <c r="CJ3864" s="204" t="n"/>
      <c r="CK3864" s="208" t="n"/>
      <c r="CL3864" s="208" t="n"/>
      <c r="CM3864" s="208" t="n"/>
      <c r="CN3864" s="78" t="n"/>
      <c r="CO3864" s="209" t="n"/>
      <c r="CP3864" s="204" t="n"/>
      <c r="CQ3864" s="204" t="n"/>
      <c r="CR3864" s="204" t="n"/>
      <c r="CS3864" s="204" t="n"/>
      <c r="CT3864" s="204" t="n"/>
      <c r="CU3864" s="204" t="n"/>
      <c r="CV3864" s="204" t="n"/>
      <c r="CW3864" s="204" t="n"/>
    </row>
    <row r="3865">
      <c r="BF3865" s="78" t="n"/>
      <c r="BG3865" s="78" t="n"/>
      <c r="BH3865" s="78" t="n"/>
      <c r="BI3865" s="78" t="n"/>
      <c r="BJ3865" s="139" t="n"/>
      <c r="BK3865" s="204" t="n"/>
      <c r="BL3865" s="141" t="n"/>
      <c r="BM3865" s="205" t="n"/>
      <c r="BN3865" s="205" t="n"/>
      <c r="BO3865" s="206" t="n"/>
      <c r="BP3865" s="144" t="n"/>
      <c r="BQ3865" s="141" t="n"/>
      <c r="BR3865" s="207" t="n"/>
      <c r="BS3865" s="207" t="n"/>
      <c r="BT3865" s="207" t="n"/>
      <c r="BU3865" s="207" t="n"/>
      <c r="BV3865" s="208" t="n"/>
      <c r="BW3865" s="207" t="n"/>
      <c r="BX3865" s="207" t="n"/>
      <c r="BY3865" s="204" t="n"/>
      <c r="BZ3865" s="148" t="n"/>
      <c r="CA3865" s="204" t="n"/>
      <c r="CB3865" s="208" t="n"/>
      <c r="CC3865" s="139" t="n"/>
      <c r="CD3865" s="204" t="n"/>
      <c r="CE3865" s="204" t="n"/>
      <c r="CF3865" s="207" t="n"/>
      <c r="CG3865" s="208" t="n"/>
      <c r="CH3865" s="207" t="n"/>
      <c r="CI3865" s="208" t="n"/>
      <c r="CJ3865" s="204" t="n"/>
      <c r="CK3865" s="208" t="n"/>
      <c r="CL3865" s="208" t="n"/>
      <c r="CM3865" s="208" t="n"/>
      <c r="CN3865" s="78" t="n"/>
      <c r="CO3865" s="209" t="n"/>
      <c r="CP3865" s="204" t="n"/>
      <c r="CQ3865" s="204" t="n"/>
      <c r="CR3865" s="204" t="n"/>
      <c r="CS3865" s="204" t="n"/>
      <c r="CT3865" s="204" t="n"/>
      <c r="CU3865" s="204" t="n"/>
      <c r="CV3865" s="204" t="n"/>
      <c r="CW3865" s="204" t="n"/>
    </row>
    <row r="3866">
      <c r="BF3866" s="78" t="n"/>
      <c r="BG3866" s="78" t="n"/>
      <c r="BH3866" s="78" t="n"/>
      <c r="BI3866" s="78" t="n"/>
      <c r="BJ3866" s="139" t="n"/>
      <c r="BK3866" s="204" t="n"/>
      <c r="BL3866" s="141" t="n"/>
      <c r="BM3866" s="205" t="n"/>
      <c r="BN3866" s="205" t="n"/>
      <c r="BO3866" s="206" t="n"/>
      <c r="BP3866" s="144" t="n"/>
      <c r="BQ3866" s="141" t="n"/>
      <c r="BR3866" s="207" t="n"/>
      <c r="BS3866" s="207" t="n"/>
      <c r="BT3866" s="207" t="n"/>
      <c r="BU3866" s="207" t="n"/>
      <c r="BV3866" s="208" t="n"/>
      <c r="BW3866" s="207" t="n"/>
      <c r="BX3866" s="207" t="n"/>
      <c r="BY3866" s="204" t="n"/>
      <c r="BZ3866" s="148" t="n"/>
      <c r="CA3866" s="204" t="n"/>
      <c r="CB3866" s="208" t="n"/>
      <c r="CC3866" s="139" t="n"/>
      <c r="CD3866" s="204" t="n"/>
      <c r="CE3866" s="204" t="n"/>
      <c r="CF3866" s="207" t="n"/>
      <c r="CG3866" s="208" t="n"/>
      <c r="CH3866" s="207" t="n"/>
      <c r="CI3866" s="208" t="n"/>
      <c r="CJ3866" s="204" t="n"/>
      <c r="CK3866" s="208" t="n"/>
      <c r="CL3866" s="208" t="n"/>
      <c r="CM3866" s="208" t="n"/>
      <c r="CN3866" s="78" t="n"/>
      <c r="CO3866" s="209" t="n"/>
      <c r="CP3866" s="204" t="n"/>
      <c r="CQ3866" s="204" t="n"/>
      <c r="CR3866" s="204" t="n"/>
      <c r="CS3866" s="204" t="n"/>
      <c r="CT3866" s="204" t="n"/>
      <c r="CU3866" s="204" t="n"/>
      <c r="CV3866" s="204" t="n"/>
      <c r="CW3866" s="204" t="n"/>
    </row>
    <row r="3867">
      <c r="BF3867" s="78" t="n"/>
      <c r="BG3867" s="78" t="n"/>
      <c r="BH3867" s="78" t="n"/>
      <c r="BI3867" s="78" t="n"/>
      <c r="BJ3867" s="139" t="n"/>
      <c r="BK3867" s="204" t="n"/>
      <c r="BL3867" s="141" t="n"/>
      <c r="BM3867" s="205" t="n"/>
      <c r="BN3867" s="205" t="n"/>
      <c r="BO3867" s="206" t="n"/>
      <c r="BP3867" s="144" t="n"/>
      <c r="BQ3867" s="141" t="n"/>
      <c r="BR3867" s="207" t="n"/>
      <c r="BS3867" s="207" t="n"/>
      <c r="BT3867" s="207" t="n"/>
      <c r="BU3867" s="207" t="n"/>
      <c r="BV3867" s="208" t="n"/>
      <c r="BW3867" s="207" t="n"/>
      <c r="BX3867" s="207" t="n"/>
      <c r="BY3867" s="204" t="n"/>
      <c r="BZ3867" s="148" t="n"/>
      <c r="CA3867" s="204" t="n"/>
      <c r="CB3867" s="208" t="n"/>
      <c r="CC3867" s="139" t="n"/>
      <c r="CD3867" s="204" t="n"/>
      <c r="CE3867" s="204" t="n"/>
      <c r="CF3867" s="207" t="n"/>
      <c r="CG3867" s="208" t="n"/>
      <c r="CH3867" s="207" t="n"/>
      <c r="CI3867" s="208" t="n"/>
      <c r="CJ3867" s="204" t="n"/>
      <c r="CK3867" s="208" t="n"/>
      <c r="CL3867" s="208" t="n"/>
      <c r="CM3867" s="208" t="n"/>
      <c r="CN3867" s="78" t="n"/>
      <c r="CO3867" s="209" t="n"/>
      <c r="CP3867" s="204" t="n"/>
      <c r="CQ3867" s="204" t="n"/>
      <c r="CR3867" s="204" t="n"/>
      <c r="CS3867" s="204" t="n"/>
      <c r="CT3867" s="204" t="n"/>
      <c r="CU3867" s="204" t="n"/>
      <c r="CV3867" s="204" t="n"/>
      <c r="CW3867" s="204" t="n"/>
    </row>
    <row r="3868">
      <c r="BF3868" s="78" t="n"/>
      <c r="BG3868" s="78" t="n"/>
      <c r="BH3868" s="78" t="n"/>
      <c r="BI3868" s="78" t="n"/>
      <c r="BJ3868" s="139" t="n"/>
      <c r="BK3868" s="204" t="n"/>
      <c r="BL3868" s="141" t="n"/>
      <c r="BM3868" s="205" t="n"/>
      <c r="BN3868" s="205" t="n"/>
      <c r="BO3868" s="206" t="n"/>
      <c r="BP3868" s="144" t="n"/>
      <c r="BQ3868" s="141" t="n"/>
      <c r="BR3868" s="207" t="n"/>
      <c r="BS3868" s="207" t="n"/>
      <c r="BT3868" s="207" t="n"/>
      <c r="BU3868" s="207" t="n"/>
      <c r="BV3868" s="208" t="n"/>
      <c r="BW3868" s="207" t="n"/>
      <c r="BX3868" s="207" t="n"/>
      <c r="BY3868" s="204" t="n"/>
      <c r="BZ3868" s="148" t="n"/>
      <c r="CA3868" s="204" t="n"/>
      <c r="CB3868" s="208" t="n"/>
      <c r="CC3868" s="139" t="n"/>
      <c r="CD3868" s="204" t="n"/>
      <c r="CE3868" s="204" t="n"/>
      <c r="CF3868" s="207" t="n"/>
      <c r="CG3868" s="208" t="n"/>
      <c r="CH3868" s="207" t="n"/>
      <c r="CI3868" s="208" t="n"/>
      <c r="CJ3868" s="204" t="n"/>
      <c r="CK3868" s="208" t="n"/>
      <c r="CL3868" s="208" t="n"/>
      <c r="CM3868" s="208" t="n"/>
      <c r="CN3868" s="78" t="n"/>
      <c r="CO3868" s="209" t="n"/>
      <c r="CP3868" s="204" t="n"/>
      <c r="CQ3868" s="204" t="n"/>
      <c r="CR3868" s="204" t="n"/>
      <c r="CS3868" s="204" t="n"/>
      <c r="CT3868" s="204" t="n"/>
      <c r="CU3868" s="204" t="n"/>
      <c r="CV3868" s="204" t="n"/>
      <c r="CW3868" s="204" t="n"/>
    </row>
    <row r="3869">
      <c r="BF3869" s="78" t="n"/>
      <c r="BG3869" s="78" t="n"/>
      <c r="BH3869" s="78" t="n"/>
      <c r="BI3869" s="78" t="n"/>
      <c r="BJ3869" s="139" t="n"/>
      <c r="BK3869" s="204" t="n"/>
      <c r="BL3869" s="141" t="n"/>
      <c r="BM3869" s="205" t="n"/>
      <c r="BN3869" s="205" t="n"/>
      <c r="BO3869" s="206" t="n"/>
      <c r="BP3869" s="144" t="n"/>
      <c r="BQ3869" s="141" t="n"/>
      <c r="BR3869" s="207" t="n"/>
      <c r="BS3869" s="207" t="n"/>
      <c r="BT3869" s="207" t="n"/>
      <c r="BU3869" s="207" t="n"/>
      <c r="BV3869" s="208" t="n"/>
      <c r="BW3869" s="207" t="n"/>
      <c r="BX3869" s="207" t="n"/>
      <c r="BY3869" s="204" t="n"/>
      <c r="BZ3869" s="148" t="n"/>
      <c r="CA3869" s="204" t="n"/>
      <c r="CB3869" s="208" t="n"/>
      <c r="CC3869" s="139" t="n"/>
      <c r="CD3869" s="204" t="n"/>
      <c r="CE3869" s="204" t="n"/>
      <c r="CF3869" s="207" t="n"/>
      <c r="CG3869" s="208" t="n"/>
      <c r="CH3869" s="207" t="n"/>
      <c r="CI3869" s="208" t="n"/>
      <c r="CJ3869" s="204" t="n"/>
      <c r="CK3869" s="208" t="n"/>
      <c r="CL3869" s="208" t="n"/>
      <c r="CM3869" s="208" t="n"/>
      <c r="CN3869" s="78" t="n"/>
      <c r="CO3869" s="209" t="n"/>
      <c r="CP3869" s="204" t="n"/>
      <c r="CQ3869" s="204" t="n"/>
      <c r="CR3869" s="204" t="n"/>
      <c r="CS3869" s="204" t="n"/>
      <c r="CT3869" s="204" t="n"/>
      <c r="CU3869" s="204" t="n"/>
      <c r="CV3869" s="204" t="n"/>
      <c r="CW3869" s="204" t="n"/>
    </row>
    <row r="3870">
      <c r="BF3870" s="78" t="n"/>
      <c r="BG3870" s="78" t="n"/>
      <c r="BH3870" s="78" t="n"/>
      <c r="BI3870" s="78" t="n"/>
      <c r="BJ3870" s="139" t="n"/>
      <c r="BK3870" s="204" t="n"/>
      <c r="BL3870" s="141" t="n"/>
      <c r="BM3870" s="205" t="n"/>
      <c r="BN3870" s="205" t="n"/>
      <c r="BO3870" s="206" t="n"/>
      <c r="BP3870" s="144" t="n"/>
      <c r="BQ3870" s="141" t="n"/>
      <c r="BR3870" s="207" t="n"/>
      <c r="BS3870" s="207" t="n"/>
      <c r="BT3870" s="207" t="n"/>
      <c r="BU3870" s="207" t="n"/>
      <c r="BV3870" s="208" t="n"/>
      <c r="BW3870" s="207" t="n"/>
      <c r="BX3870" s="207" t="n"/>
      <c r="BY3870" s="204" t="n"/>
      <c r="BZ3870" s="148" t="n"/>
      <c r="CA3870" s="204" t="n"/>
      <c r="CB3870" s="208" t="n"/>
      <c r="CC3870" s="139" t="n"/>
      <c r="CD3870" s="204" t="n"/>
      <c r="CE3870" s="204" t="n"/>
      <c r="CF3870" s="207" t="n"/>
      <c r="CG3870" s="208" t="n"/>
      <c r="CH3870" s="207" t="n"/>
      <c r="CI3870" s="208" t="n"/>
      <c r="CJ3870" s="204" t="n"/>
      <c r="CK3870" s="208" t="n"/>
      <c r="CL3870" s="208" t="n"/>
      <c r="CM3870" s="208" t="n"/>
      <c r="CN3870" s="78" t="n"/>
      <c r="CO3870" s="209" t="n"/>
      <c r="CP3870" s="204" t="n"/>
      <c r="CQ3870" s="204" t="n"/>
      <c r="CR3870" s="204" t="n"/>
      <c r="CS3870" s="204" t="n"/>
      <c r="CT3870" s="204" t="n"/>
      <c r="CU3870" s="204" t="n"/>
      <c r="CV3870" s="204" t="n"/>
      <c r="CW3870" s="204" t="n"/>
    </row>
    <row r="3871">
      <c r="BF3871" s="78" t="n"/>
      <c r="BG3871" s="78" t="n"/>
      <c r="BH3871" s="78" t="n"/>
      <c r="BI3871" s="78" t="n"/>
      <c r="BJ3871" s="139" t="n"/>
      <c r="BK3871" s="204" t="n"/>
      <c r="BL3871" s="141" t="n"/>
      <c r="BM3871" s="205" t="n"/>
      <c r="BN3871" s="205" t="n"/>
      <c r="BO3871" s="206" t="n"/>
      <c r="BP3871" s="144" t="n"/>
      <c r="BQ3871" s="141" t="n"/>
      <c r="BR3871" s="207" t="n"/>
      <c r="BS3871" s="207" t="n"/>
      <c r="BT3871" s="207" t="n"/>
      <c r="BU3871" s="207" t="n"/>
      <c r="BV3871" s="208" t="n"/>
      <c r="BW3871" s="207" t="n"/>
      <c r="BX3871" s="207" t="n"/>
      <c r="BY3871" s="204" t="n"/>
      <c r="BZ3871" s="148" t="n"/>
      <c r="CA3871" s="204" t="n"/>
      <c r="CB3871" s="208" t="n"/>
      <c r="CC3871" s="139" t="n"/>
      <c r="CD3871" s="204" t="n"/>
      <c r="CE3871" s="204" t="n"/>
      <c r="CF3871" s="207" t="n"/>
      <c r="CG3871" s="208" t="n"/>
      <c r="CH3871" s="207" t="n"/>
      <c r="CI3871" s="208" t="n"/>
      <c r="CJ3871" s="204" t="n"/>
      <c r="CK3871" s="208" t="n"/>
      <c r="CL3871" s="208" t="n"/>
      <c r="CM3871" s="208" t="n"/>
      <c r="CN3871" s="78" t="n"/>
      <c r="CO3871" s="209" t="n"/>
      <c r="CP3871" s="204" t="n"/>
      <c r="CQ3871" s="204" t="n"/>
      <c r="CR3871" s="204" t="n"/>
      <c r="CS3871" s="204" t="n"/>
      <c r="CT3871" s="204" t="n"/>
      <c r="CU3871" s="204" t="n"/>
      <c r="CV3871" s="204" t="n"/>
      <c r="CW3871" s="204" t="n"/>
    </row>
    <row r="3872">
      <c r="BF3872" s="78" t="n"/>
      <c r="BG3872" s="78" t="n"/>
      <c r="BH3872" s="78" t="n"/>
      <c r="BI3872" s="78" t="n"/>
      <c r="BJ3872" s="139" t="n"/>
      <c r="BK3872" s="204" t="n"/>
      <c r="BL3872" s="141" t="n"/>
      <c r="BM3872" s="205" t="n"/>
      <c r="BN3872" s="205" t="n"/>
      <c r="BO3872" s="206" t="n"/>
      <c r="BP3872" s="144" t="n"/>
      <c r="BQ3872" s="141" t="n"/>
      <c r="BR3872" s="207" t="n"/>
      <c r="BS3872" s="207" t="n"/>
      <c r="BT3872" s="207" t="n"/>
      <c r="BU3872" s="207" t="n"/>
      <c r="BV3872" s="208" t="n"/>
      <c r="BW3872" s="207" t="n"/>
      <c r="BX3872" s="207" t="n"/>
      <c r="BY3872" s="204" t="n"/>
      <c r="BZ3872" s="148" t="n"/>
      <c r="CA3872" s="204" t="n"/>
      <c r="CB3872" s="208" t="n"/>
      <c r="CC3872" s="139" t="n"/>
      <c r="CD3872" s="204" t="n"/>
      <c r="CE3872" s="204" t="n"/>
      <c r="CF3872" s="207" t="n"/>
      <c r="CG3872" s="208" t="n"/>
      <c r="CH3872" s="207" t="n"/>
      <c r="CI3872" s="208" t="n"/>
      <c r="CJ3872" s="204" t="n"/>
      <c r="CK3872" s="208" t="n"/>
      <c r="CL3872" s="208" t="n"/>
      <c r="CM3872" s="208" t="n"/>
      <c r="CN3872" s="78" t="n"/>
      <c r="CO3872" s="209" t="n"/>
      <c r="CP3872" s="204" t="n"/>
      <c r="CQ3872" s="204" t="n"/>
      <c r="CR3872" s="204" t="n"/>
      <c r="CS3872" s="204" t="n"/>
      <c r="CT3872" s="204" t="n"/>
      <c r="CU3872" s="204" t="n"/>
      <c r="CV3872" s="204" t="n"/>
      <c r="CW3872" s="204" t="n"/>
    </row>
    <row r="3873">
      <c r="BF3873" s="78" t="n"/>
      <c r="BG3873" s="78" t="n"/>
      <c r="BH3873" s="78" t="n"/>
      <c r="BI3873" s="78" t="n"/>
      <c r="BJ3873" s="139" t="n"/>
      <c r="BK3873" s="204" t="n"/>
      <c r="BL3873" s="141" t="n"/>
      <c r="BM3873" s="205" t="n"/>
      <c r="BN3873" s="205" t="n"/>
      <c r="BO3873" s="206" t="n"/>
      <c r="BP3873" s="144" t="n"/>
      <c r="BQ3873" s="141" t="n"/>
      <c r="BR3873" s="207" t="n"/>
      <c r="BS3873" s="207" t="n"/>
      <c r="BT3873" s="207" t="n"/>
      <c r="BU3873" s="207" t="n"/>
      <c r="BV3873" s="208" t="n"/>
      <c r="BW3873" s="207" t="n"/>
      <c r="BX3873" s="207" t="n"/>
      <c r="BY3873" s="204" t="n"/>
      <c r="BZ3873" s="148" t="n"/>
      <c r="CA3873" s="204" t="n"/>
      <c r="CB3873" s="208" t="n"/>
      <c r="CC3873" s="139" t="n"/>
      <c r="CD3873" s="204" t="n"/>
      <c r="CE3873" s="204" t="n"/>
      <c r="CF3873" s="207" t="n"/>
      <c r="CG3873" s="208" t="n"/>
      <c r="CH3873" s="207" t="n"/>
      <c r="CI3873" s="208" t="n"/>
      <c r="CJ3873" s="204" t="n"/>
      <c r="CK3873" s="208" t="n"/>
      <c r="CL3873" s="208" t="n"/>
      <c r="CM3873" s="208" t="n"/>
      <c r="CN3873" s="78" t="n"/>
      <c r="CO3873" s="209" t="n"/>
      <c r="CP3873" s="204" t="n"/>
      <c r="CQ3873" s="204" t="n"/>
      <c r="CR3873" s="204" t="n"/>
      <c r="CS3873" s="204" t="n"/>
      <c r="CT3873" s="204" t="n"/>
      <c r="CU3873" s="204" t="n"/>
      <c r="CV3873" s="204" t="n"/>
      <c r="CW3873" s="204" t="n"/>
    </row>
    <row r="3874">
      <c r="BF3874" s="78" t="n"/>
      <c r="BG3874" s="78" t="n"/>
      <c r="BH3874" s="78" t="n"/>
      <c r="BI3874" s="78" t="n"/>
      <c r="BJ3874" s="139" t="n"/>
      <c r="BK3874" s="204" t="n"/>
      <c r="BL3874" s="141" t="n"/>
      <c r="BM3874" s="205" t="n"/>
      <c r="BN3874" s="205" t="n"/>
      <c r="BO3874" s="206" t="n"/>
      <c r="BP3874" s="144" t="n"/>
      <c r="BQ3874" s="141" t="n"/>
      <c r="BR3874" s="207" t="n"/>
      <c r="BS3874" s="207" t="n"/>
      <c r="BT3874" s="207" t="n"/>
      <c r="BU3874" s="207" t="n"/>
      <c r="BV3874" s="208" t="n"/>
      <c r="BW3874" s="207" t="n"/>
      <c r="BX3874" s="207" t="n"/>
      <c r="BY3874" s="204" t="n"/>
      <c r="BZ3874" s="148" t="n"/>
      <c r="CA3874" s="204" t="n"/>
      <c r="CB3874" s="208" t="n"/>
      <c r="CC3874" s="139" t="n"/>
      <c r="CD3874" s="204" t="n"/>
      <c r="CE3874" s="204" t="n"/>
      <c r="CF3874" s="207" t="n"/>
      <c r="CG3874" s="208" t="n"/>
      <c r="CH3874" s="207" t="n"/>
      <c r="CI3874" s="208" t="n"/>
      <c r="CJ3874" s="204" t="n"/>
      <c r="CK3874" s="208" t="n"/>
      <c r="CL3874" s="208" t="n"/>
      <c r="CM3874" s="208" t="n"/>
      <c r="CN3874" s="78" t="n"/>
      <c r="CO3874" s="209" t="n"/>
      <c r="CP3874" s="204" t="n"/>
      <c r="CQ3874" s="204" t="n"/>
      <c r="CR3874" s="204" t="n"/>
      <c r="CS3874" s="204" t="n"/>
      <c r="CT3874" s="204" t="n"/>
      <c r="CU3874" s="204" t="n"/>
      <c r="CV3874" s="204" t="n"/>
      <c r="CW3874" s="204" t="n"/>
    </row>
    <row r="3875">
      <c r="BF3875" s="78" t="n"/>
      <c r="BG3875" s="78" t="n"/>
      <c r="BH3875" s="78" t="n"/>
      <c r="BI3875" s="78" t="n"/>
      <c r="BJ3875" s="139" t="n"/>
      <c r="BK3875" s="204" t="n"/>
      <c r="BL3875" s="141" t="n"/>
      <c r="BM3875" s="205" t="n"/>
      <c r="BN3875" s="205" t="n"/>
      <c r="BO3875" s="206" t="n"/>
      <c r="BP3875" s="144" t="n"/>
      <c r="BQ3875" s="141" t="n"/>
      <c r="BR3875" s="207" t="n"/>
      <c r="BS3875" s="207" t="n"/>
      <c r="BT3875" s="207" t="n"/>
      <c r="BU3875" s="207" t="n"/>
      <c r="BV3875" s="208" t="n"/>
      <c r="BW3875" s="207" t="n"/>
      <c r="BX3875" s="207" t="n"/>
      <c r="BY3875" s="204" t="n"/>
      <c r="BZ3875" s="148" t="n"/>
      <c r="CA3875" s="204" t="n"/>
      <c r="CB3875" s="208" t="n"/>
      <c r="CC3875" s="139" t="n"/>
      <c r="CD3875" s="204" t="n"/>
      <c r="CE3875" s="204" t="n"/>
      <c r="CF3875" s="207" t="n"/>
      <c r="CG3875" s="208" t="n"/>
      <c r="CH3875" s="207" t="n"/>
      <c r="CI3875" s="208" t="n"/>
      <c r="CJ3875" s="204" t="n"/>
      <c r="CK3875" s="208" t="n"/>
      <c r="CL3875" s="208" t="n"/>
      <c r="CM3875" s="208" t="n"/>
      <c r="CN3875" s="78" t="n"/>
      <c r="CO3875" s="209" t="n"/>
      <c r="CP3875" s="204" t="n"/>
      <c r="CQ3875" s="204" t="n"/>
      <c r="CR3875" s="204" t="n"/>
      <c r="CS3875" s="204" t="n"/>
      <c r="CT3875" s="204" t="n"/>
      <c r="CU3875" s="204" t="n"/>
      <c r="CV3875" s="204" t="n"/>
      <c r="CW3875" s="204" t="n"/>
    </row>
    <row r="3876">
      <c r="BF3876" s="78" t="n"/>
      <c r="BG3876" s="78" t="n"/>
      <c r="BH3876" s="78" t="n"/>
      <c r="BI3876" s="78" t="n"/>
      <c r="BJ3876" s="139" t="n"/>
      <c r="BK3876" s="204" t="n"/>
      <c r="BL3876" s="141" t="n"/>
      <c r="BM3876" s="205" t="n"/>
      <c r="BN3876" s="205" t="n"/>
      <c r="BO3876" s="206" t="n"/>
      <c r="BP3876" s="144" t="n"/>
      <c r="BQ3876" s="141" t="n"/>
      <c r="BR3876" s="207" t="n"/>
      <c r="BS3876" s="207" t="n"/>
      <c r="BT3876" s="207" t="n"/>
      <c r="BU3876" s="207" t="n"/>
      <c r="BV3876" s="208" t="n"/>
      <c r="BW3876" s="207" t="n"/>
      <c r="BX3876" s="207" t="n"/>
      <c r="BY3876" s="204" t="n"/>
      <c r="BZ3876" s="148" t="n"/>
      <c r="CA3876" s="204" t="n"/>
      <c r="CB3876" s="208" t="n"/>
      <c r="CC3876" s="139" t="n"/>
      <c r="CD3876" s="204" t="n"/>
      <c r="CE3876" s="204" t="n"/>
      <c r="CF3876" s="207" t="n"/>
      <c r="CG3876" s="208" t="n"/>
      <c r="CH3876" s="207" t="n"/>
      <c r="CI3876" s="208" t="n"/>
      <c r="CJ3876" s="204" t="n"/>
      <c r="CK3876" s="208" t="n"/>
      <c r="CL3876" s="208" t="n"/>
      <c r="CM3876" s="208" t="n"/>
      <c r="CN3876" s="78" t="n"/>
      <c r="CO3876" s="209" t="n"/>
      <c r="CP3876" s="204" t="n"/>
      <c r="CQ3876" s="204" t="n"/>
      <c r="CR3876" s="204" t="n"/>
      <c r="CS3876" s="204" t="n"/>
      <c r="CT3876" s="204" t="n"/>
      <c r="CU3876" s="204" t="n"/>
      <c r="CV3876" s="204" t="n"/>
      <c r="CW3876" s="204" t="n"/>
    </row>
    <row r="3877">
      <c r="BF3877" s="78" t="n"/>
      <c r="BG3877" s="78" t="n"/>
      <c r="BH3877" s="78" t="n"/>
      <c r="BI3877" s="78" t="n"/>
      <c r="BJ3877" s="139" t="n"/>
      <c r="BK3877" s="204" t="n"/>
      <c r="BL3877" s="141" t="n"/>
      <c r="BM3877" s="205" t="n"/>
      <c r="BN3877" s="205" t="n"/>
      <c r="BO3877" s="206" t="n"/>
      <c r="BP3877" s="144" t="n"/>
      <c r="BQ3877" s="141" t="n"/>
      <c r="BR3877" s="207" t="n"/>
      <c r="BS3877" s="207" t="n"/>
      <c r="BT3877" s="207" t="n"/>
      <c r="BU3877" s="207" t="n"/>
      <c r="BV3877" s="208" t="n"/>
      <c r="BW3877" s="207" t="n"/>
      <c r="BX3877" s="207" t="n"/>
      <c r="BY3877" s="204" t="n"/>
      <c r="BZ3877" s="148" t="n"/>
      <c r="CA3877" s="204" t="n"/>
      <c r="CB3877" s="208" t="n"/>
      <c r="CC3877" s="139" t="n"/>
      <c r="CD3877" s="204" t="n"/>
      <c r="CE3877" s="204" t="n"/>
      <c r="CF3877" s="207" t="n"/>
      <c r="CG3877" s="208" t="n"/>
      <c r="CH3877" s="207" t="n"/>
      <c r="CI3877" s="208" t="n"/>
      <c r="CJ3877" s="204" t="n"/>
      <c r="CK3877" s="208" t="n"/>
      <c r="CL3877" s="208" t="n"/>
      <c r="CM3877" s="208" t="n"/>
      <c r="CN3877" s="78" t="n"/>
      <c r="CO3877" s="209" t="n"/>
      <c r="CP3877" s="204" t="n"/>
      <c r="CQ3877" s="204" t="n"/>
      <c r="CR3877" s="204" t="n"/>
      <c r="CS3877" s="204" t="n"/>
      <c r="CT3877" s="204" t="n"/>
      <c r="CU3877" s="204" t="n"/>
      <c r="CV3877" s="204" t="n"/>
      <c r="CW3877" s="204" t="n"/>
    </row>
    <row r="3878">
      <c r="BF3878" s="78" t="n"/>
      <c r="BG3878" s="78" t="n"/>
      <c r="BH3878" s="78" t="n"/>
      <c r="BI3878" s="78" t="n"/>
      <c r="BJ3878" s="139" t="n"/>
      <c r="BK3878" s="204" t="n"/>
      <c r="BL3878" s="141" t="n"/>
      <c r="BM3878" s="205" t="n"/>
      <c r="BN3878" s="205" t="n"/>
      <c r="BO3878" s="206" t="n"/>
      <c r="BP3878" s="144" t="n"/>
      <c r="BQ3878" s="141" t="n"/>
      <c r="BR3878" s="207" t="n"/>
      <c r="BS3878" s="207" t="n"/>
      <c r="BT3878" s="207" t="n"/>
      <c r="BU3878" s="207" t="n"/>
      <c r="BV3878" s="208" t="n"/>
      <c r="BW3878" s="207" t="n"/>
      <c r="BX3878" s="207" t="n"/>
      <c r="BY3878" s="204" t="n"/>
      <c r="BZ3878" s="148" t="n"/>
      <c r="CA3878" s="204" t="n"/>
      <c r="CB3878" s="208" t="n"/>
      <c r="CC3878" s="139" t="n"/>
      <c r="CD3878" s="204" t="n"/>
      <c r="CE3878" s="204" t="n"/>
      <c r="CF3878" s="207" t="n"/>
      <c r="CG3878" s="208" t="n"/>
      <c r="CH3878" s="207" t="n"/>
      <c r="CI3878" s="208" t="n"/>
      <c r="CJ3878" s="204" t="n"/>
      <c r="CK3878" s="208" t="n"/>
      <c r="CL3878" s="208" t="n"/>
      <c r="CM3878" s="208" t="n"/>
      <c r="CN3878" s="78" t="n"/>
      <c r="CO3878" s="209" t="n"/>
      <c r="CP3878" s="204" t="n"/>
      <c r="CQ3878" s="204" t="n"/>
      <c r="CR3878" s="204" t="n"/>
      <c r="CS3878" s="204" t="n"/>
      <c r="CT3878" s="204" t="n"/>
      <c r="CU3878" s="204" t="n"/>
      <c r="CV3878" s="204" t="n"/>
      <c r="CW3878" s="204" t="n"/>
    </row>
    <row r="3879">
      <c r="BF3879" s="78" t="n"/>
      <c r="BG3879" s="78" t="n"/>
      <c r="BH3879" s="78" t="n"/>
      <c r="BI3879" s="78" t="n"/>
      <c r="BJ3879" s="139" t="n"/>
      <c r="BK3879" s="204" t="n"/>
      <c r="BL3879" s="141" t="n"/>
      <c r="BM3879" s="205" t="n"/>
      <c r="BN3879" s="205" t="n"/>
      <c r="BO3879" s="206" t="n"/>
      <c r="BP3879" s="144" t="n"/>
      <c r="BQ3879" s="141" t="n"/>
      <c r="BR3879" s="207" t="n"/>
      <c r="BS3879" s="207" t="n"/>
      <c r="BT3879" s="207" t="n"/>
      <c r="BU3879" s="207" t="n"/>
      <c r="BV3879" s="208" t="n"/>
      <c r="BW3879" s="207" t="n"/>
      <c r="BX3879" s="207" t="n"/>
      <c r="BY3879" s="204" t="n"/>
      <c r="BZ3879" s="148" t="n"/>
      <c r="CA3879" s="204" t="n"/>
      <c r="CB3879" s="208" t="n"/>
      <c r="CC3879" s="139" t="n"/>
      <c r="CD3879" s="204" t="n"/>
      <c r="CE3879" s="204" t="n"/>
      <c r="CF3879" s="207" t="n"/>
      <c r="CG3879" s="208" t="n"/>
      <c r="CH3879" s="207" t="n"/>
      <c r="CI3879" s="208" t="n"/>
      <c r="CJ3879" s="204" t="n"/>
      <c r="CK3879" s="208" t="n"/>
      <c r="CL3879" s="208" t="n"/>
      <c r="CM3879" s="208" t="n"/>
      <c r="CN3879" s="78" t="n"/>
      <c r="CO3879" s="209" t="n"/>
      <c r="CP3879" s="204" t="n"/>
      <c r="CQ3879" s="204" t="n"/>
      <c r="CR3879" s="204" t="n"/>
      <c r="CS3879" s="204" t="n"/>
      <c r="CT3879" s="204" t="n"/>
      <c r="CU3879" s="204" t="n"/>
      <c r="CV3879" s="204" t="n"/>
      <c r="CW3879" s="204" t="n"/>
    </row>
    <row r="3880">
      <c r="BF3880" s="78" t="n"/>
      <c r="BG3880" s="78" t="n"/>
      <c r="BH3880" s="78" t="n"/>
      <c r="BI3880" s="78" t="n"/>
      <c r="BJ3880" s="139" t="n"/>
      <c r="BK3880" s="204" t="n"/>
      <c r="BL3880" s="141" t="n"/>
      <c r="BM3880" s="205" t="n"/>
      <c r="BN3880" s="205" t="n"/>
      <c r="BO3880" s="206" t="n"/>
      <c r="BP3880" s="144" t="n"/>
      <c r="BQ3880" s="141" t="n"/>
      <c r="BR3880" s="207" t="n"/>
      <c r="BS3880" s="207" t="n"/>
      <c r="BT3880" s="207" t="n"/>
      <c r="BU3880" s="207" t="n"/>
      <c r="BV3880" s="208" t="n"/>
      <c r="BW3880" s="207" t="n"/>
      <c r="BX3880" s="207" t="n"/>
      <c r="BY3880" s="204" t="n"/>
      <c r="BZ3880" s="148" t="n"/>
      <c r="CA3880" s="204" t="n"/>
      <c r="CB3880" s="208" t="n"/>
      <c r="CC3880" s="139" t="n"/>
      <c r="CD3880" s="204" t="n"/>
      <c r="CE3880" s="204" t="n"/>
      <c r="CF3880" s="207" t="n"/>
      <c r="CG3880" s="208" t="n"/>
      <c r="CH3880" s="207" t="n"/>
      <c r="CI3880" s="208" t="n"/>
      <c r="CJ3880" s="204" t="n"/>
      <c r="CK3880" s="208" t="n"/>
      <c r="CL3880" s="208" t="n"/>
      <c r="CM3880" s="208" t="n"/>
      <c r="CN3880" s="78" t="n"/>
      <c r="CO3880" s="209" t="n"/>
      <c r="CP3880" s="204" t="n"/>
      <c r="CQ3880" s="204" t="n"/>
      <c r="CR3880" s="204" t="n"/>
      <c r="CS3880" s="204" t="n"/>
      <c r="CT3880" s="204" t="n"/>
      <c r="CU3880" s="204" t="n"/>
      <c r="CV3880" s="204" t="n"/>
      <c r="CW3880" s="204" t="n"/>
    </row>
    <row r="3881">
      <c r="BF3881" s="78" t="n"/>
      <c r="BG3881" s="78" t="n"/>
      <c r="BH3881" s="78" t="n"/>
      <c r="BI3881" s="78" t="n"/>
      <c r="BJ3881" s="139" t="n"/>
      <c r="BK3881" s="204" t="n"/>
      <c r="BL3881" s="141" t="n"/>
      <c r="BM3881" s="205" t="n"/>
      <c r="BN3881" s="205" t="n"/>
      <c r="BO3881" s="206" t="n"/>
      <c r="BP3881" s="144" t="n"/>
      <c r="BQ3881" s="141" t="n"/>
      <c r="BR3881" s="207" t="n"/>
      <c r="BS3881" s="207" t="n"/>
      <c r="BT3881" s="207" t="n"/>
      <c r="BU3881" s="207" t="n"/>
      <c r="BV3881" s="208" t="n"/>
      <c r="BW3881" s="207" t="n"/>
      <c r="BX3881" s="207" t="n"/>
      <c r="BY3881" s="204" t="n"/>
      <c r="BZ3881" s="148" t="n"/>
      <c r="CA3881" s="204" t="n"/>
      <c r="CB3881" s="208" t="n"/>
      <c r="CC3881" s="139" t="n"/>
      <c r="CD3881" s="204" t="n"/>
      <c r="CE3881" s="204" t="n"/>
      <c r="CF3881" s="207" t="n"/>
      <c r="CG3881" s="208" t="n"/>
      <c r="CH3881" s="207" t="n"/>
      <c r="CI3881" s="208" t="n"/>
      <c r="CJ3881" s="204" t="n"/>
      <c r="CK3881" s="208" t="n"/>
      <c r="CL3881" s="208" t="n"/>
      <c r="CM3881" s="208" t="n"/>
      <c r="CN3881" s="78" t="n"/>
      <c r="CO3881" s="209" t="n"/>
      <c r="CP3881" s="204" t="n"/>
      <c r="CQ3881" s="204" t="n"/>
      <c r="CR3881" s="204" t="n"/>
      <c r="CS3881" s="204" t="n"/>
      <c r="CT3881" s="204" t="n"/>
      <c r="CU3881" s="204" t="n"/>
      <c r="CV3881" s="204" t="n"/>
      <c r="CW3881" s="204" t="n"/>
    </row>
    <row r="3882">
      <c r="BF3882" s="78" t="n"/>
      <c r="BG3882" s="78" t="n"/>
      <c r="BH3882" s="78" t="n"/>
      <c r="BI3882" s="78" t="n"/>
      <c r="BJ3882" s="139" t="n"/>
      <c r="BK3882" s="204" t="n"/>
      <c r="BL3882" s="141" t="n"/>
      <c r="BM3882" s="205" t="n"/>
      <c r="BN3882" s="205" t="n"/>
      <c r="BO3882" s="206" t="n"/>
      <c r="BP3882" s="144" t="n"/>
      <c r="BQ3882" s="141" t="n"/>
      <c r="BR3882" s="207" t="n"/>
      <c r="BS3882" s="207" t="n"/>
      <c r="BT3882" s="207" t="n"/>
      <c r="BU3882" s="207" t="n"/>
      <c r="BV3882" s="208" t="n"/>
      <c r="BW3882" s="207" t="n"/>
      <c r="BX3882" s="207" t="n"/>
      <c r="BY3882" s="204" t="n"/>
      <c r="BZ3882" s="148" t="n"/>
      <c r="CA3882" s="204" t="n"/>
      <c r="CB3882" s="208" t="n"/>
      <c r="CC3882" s="139" t="n"/>
      <c r="CD3882" s="204" t="n"/>
      <c r="CE3882" s="204" t="n"/>
      <c r="CF3882" s="207" t="n"/>
      <c r="CG3882" s="208" t="n"/>
      <c r="CH3882" s="207" t="n"/>
      <c r="CI3882" s="208" t="n"/>
      <c r="CJ3882" s="204" t="n"/>
      <c r="CK3882" s="208" t="n"/>
      <c r="CL3882" s="208" t="n"/>
      <c r="CM3882" s="208" t="n"/>
      <c r="CN3882" s="78" t="n"/>
      <c r="CO3882" s="209" t="n"/>
      <c r="CP3882" s="204" t="n"/>
      <c r="CQ3882" s="204" t="n"/>
      <c r="CR3882" s="204" t="n"/>
      <c r="CS3882" s="204" t="n"/>
      <c r="CT3882" s="204" t="n"/>
      <c r="CU3882" s="204" t="n"/>
      <c r="CV3882" s="204" t="n"/>
      <c r="CW3882" s="204" t="n"/>
    </row>
    <row r="3883">
      <c r="BF3883" s="78" t="n"/>
      <c r="BG3883" s="78" t="n"/>
      <c r="BH3883" s="78" t="n"/>
      <c r="BI3883" s="78" t="n"/>
      <c r="BJ3883" s="139" t="n"/>
      <c r="BK3883" s="204" t="n"/>
      <c r="BL3883" s="141" t="n"/>
      <c r="BM3883" s="205" t="n"/>
      <c r="BN3883" s="205" t="n"/>
      <c r="BO3883" s="206" t="n"/>
      <c r="BP3883" s="144" t="n"/>
      <c r="BQ3883" s="141" t="n"/>
      <c r="BR3883" s="207" t="n"/>
      <c r="BS3883" s="207" t="n"/>
      <c r="BT3883" s="207" t="n"/>
      <c r="BU3883" s="207" t="n"/>
      <c r="BV3883" s="208" t="n"/>
      <c r="BW3883" s="207" t="n"/>
      <c r="BX3883" s="207" t="n"/>
      <c r="BY3883" s="204" t="n"/>
      <c r="BZ3883" s="148" t="n"/>
      <c r="CA3883" s="204" t="n"/>
      <c r="CB3883" s="208" t="n"/>
      <c r="CC3883" s="139" t="n"/>
      <c r="CD3883" s="204" t="n"/>
      <c r="CE3883" s="204" t="n"/>
      <c r="CF3883" s="207" t="n"/>
      <c r="CG3883" s="208" t="n"/>
      <c r="CH3883" s="207" t="n"/>
      <c r="CI3883" s="208" t="n"/>
      <c r="CJ3883" s="204" t="n"/>
      <c r="CK3883" s="208" t="n"/>
      <c r="CL3883" s="208" t="n"/>
      <c r="CM3883" s="208" t="n"/>
      <c r="CN3883" s="78" t="n"/>
      <c r="CO3883" s="209" t="n"/>
      <c r="CP3883" s="204" t="n"/>
      <c r="CQ3883" s="204" t="n"/>
      <c r="CR3883" s="204" t="n"/>
      <c r="CS3883" s="204" t="n"/>
      <c r="CT3883" s="204" t="n"/>
      <c r="CU3883" s="204" t="n"/>
      <c r="CV3883" s="204" t="n"/>
      <c r="CW3883" s="204" t="n"/>
    </row>
    <row r="3884">
      <c r="BF3884" s="78" t="n"/>
      <c r="BG3884" s="78" t="n"/>
      <c r="BH3884" s="78" t="n"/>
      <c r="BI3884" s="78" t="n"/>
      <c r="BJ3884" s="139" t="n"/>
      <c r="BK3884" s="204" t="n"/>
      <c r="BL3884" s="141" t="n"/>
      <c r="BM3884" s="205" t="n"/>
      <c r="BN3884" s="205" t="n"/>
      <c r="BO3884" s="206" t="n"/>
      <c r="BP3884" s="144" t="n"/>
      <c r="BQ3884" s="141" t="n"/>
      <c r="BR3884" s="207" t="n"/>
      <c r="BS3884" s="207" t="n"/>
      <c r="BT3884" s="207" t="n"/>
      <c r="BU3884" s="207" t="n"/>
      <c r="BV3884" s="208" t="n"/>
      <c r="BW3884" s="207" t="n"/>
      <c r="BX3884" s="207" t="n"/>
      <c r="BY3884" s="204" t="n"/>
      <c r="BZ3884" s="148" t="n"/>
      <c r="CA3884" s="204" t="n"/>
      <c r="CB3884" s="208" t="n"/>
      <c r="CC3884" s="139" t="n"/>
      <c r="CD3884" s="204" t="n"/>
      <c r="CE3884" s="204" t="n"/>
      <c r="CF3884" s="207" t="n"/>
      <c r="CG3884" s="208" t="n"/>
      <c r="CH3884" s="207" t="n"/>
      <c r="CI3884" s="208" t="n"/>
      <c r="CJ3884" s="204" t="n"/>
      <c r="CK3884" s="208" t="n"/>
      <c r="CL3884" s="208" t="n"/>
      <c r="CM3884" s="208" t="n"/>
      <c r="CN3884" s="78" t="n"/>
      <c r="CO3884" s="209" t="n"/>
      <c r="CP3884" s="204" t="n"/>
      <c r="CQ3884" s="204" t="n"/>
      <c r="CR3884" s="204" t="n"/>
      <c r="CS3884" s="204" t="n"/>
      <c r="CT3884" s="204" t="n"/>
      <c r="CU3884" s="204" t="n"/>
      <c r="CV3884" s="204" t="n"/>
      <c r="CW3884" s="204" t="n"/>
    </row>
    <row r="3885">
      <c r="BF3885" s="78" t="n"/>
      <c r="BG3885" s="78" t="n"/>
      <c r="BH3885" s="78" t="n"/>
      <c r="BI3885" s="78" t="n"/>
      <c r="BJ3885" s="139" t="n"/>
      <c r="BK3885" s="204" t="n"/>
      <c r="BL3885" s="141" t="n"/>
      <c r="BM3885" s="205" t="n"/>
      <c r="BN3885" s="205" t="n"/>
      <c r="BO3885" s="206" t="n"/>
      <c r="BP3885" s="144" t="n"/>
      <c r="BQ3885" s="141" t="n"/>
      <c r="BR3885" s="207" t="n"/>
      <c r="BS3885" s="207" t="n"/>
      <c r="BT3885" s="207" t="n"/>
      <c r="BU3885" s="207" t="n"/>
      <c r="BV3885" s="208" t="n"/>
      <c r="BW3885" s="207" t="n"/>
      <c r="BX3885" s="207" t="n"/>
      <c r="BY3885" s="204" t="n"/>
      <c r="BZ3885" s="148" t="n"/>
      <c r="CA3885" s="204" t="n"/>
      <c r="CB3885" s="208" t="n"/>
      <c r="CC3885" s="139" t="n"/>
      <c r="CD3885" s="204" t="n"/>
      <c r="CE3885" s="204" t="n"/>
      <c r="CF3885" s="207" t="n"/>
      <c r="CG3885" s="208" t="n"/>
      <c r="CH3885" s="207" t="n"/>
      <c r="CI3885" s="208" t="n"/>
      <c r="CJ3885" s="204" t="n"/>
      <c r="CK3885" s="208" t="n"/>
      <c r="CL3885" s="208" t="n"/>
      <c r="CM3885" s="208" t="n"/>
      <c r="CN3885" s="78" t="n"/>
      <c r="CO3885" s="209" t="n"/>
      <c r="CP3885" s="204" t="n"/>
      <c r="CQ3885" s="204" t="n"/>
      <c r="CR3885" s="204" t="n"/>
      <c r="CS3885" s="204" t="n"/>
      <c r="CT3885" s="204" t="n"/>
      <c r="CU3885" s="204" t="n"/>
      <c r="CV3885" s="204" t="n"/>
      <c r="CW3885" s="204" t="n"/>
    </row>
    <row r="3886">
      <c r="BF3886" s="78" t="n"/>
      <c r="BG3886" s="78" t="n"/>
      <c r="BH3886" s="78" t="n"/>
      <c r="BI3886" s="78" t="n"/>
      <c r="BJ3886" s="139" t="n"/>
      <c r="BK3886" s="204" t="n"/>
      <c r="BL3886" s="141" t="n"/>
      <c r="BM3886" s="205" t="n"/>
      <c r="BN3886" s="205" t="n"/>
      <c r="BO3886" s="206" t="n"/>
      <c r="BP3886" s="144" t="n"/>
      <c r="BQ3886" s="141" t="n"/>
      <c r="BR3886" s="207" t="n"/>
      <c r="BS3886" s="207" t="n"/>
      <c r="BT3886" s="207" t="n"/>
      <c r="BU3886" s="207" t="n"/>
      <c r="BV3886" s="208" t="n"/>
      <c r="BW3886" s="207" t="n"/>
      <c r="BX3886" s="207" t="n"/>
      <c r="BY3886" s="204" t="n"/>
      <c r="BZ3886" s="148" t="n"/>
      <c r="CA3886" s="204" t="n"/>
      <c r="CB3886" s="208" t="n"/>
      <c r="CC3886" s="139" t="n"/>
      <c r="CD3886" s="204" t="n"/>
      <c r="CE3886" s="204" t="n"/>
      <c r="CF3886" s="207" t="n"/>
      <c r="CG3886" s="208" t="n"/>
      <c r="CH3886" s="207" t="n"/>
      <c r="CI3886" s="208" t="n"/>
      <c r="CJ3886" s="204" t="n"/>
      <c r="CK3886" s="208" t="n"/>
      <c r="CL3886" s="208" t="n"/>
      <c r="CM3886" s="208" t="n"/>
      <c r="CN3886" s="78" t="n"/>
      <c r="CO3886" s="209" t="n"/>
      <c r="CP3886" s="204" t="n"/>
      <c r="CQ3886" s="204" t="n"/>
      <c r="CR3886" s="204" t="n"/>
      <c r="CS3886" s="204" t="n"/>
      <c r="CT3886" s="204" t="n"/>
      <c r="CU3886" s="204" t="n"/>
      <c r="CV3886" s="204" t="n"/>
      <c r="CW3886" s="204" t="n"/>
    </row>
    <row r="3887">
      <c r="BF3887" s="78" t="n"/>
      <c r="BG3887" s="78" t="n"/>
      <c r="BH3887" s="78" t="n"/>
      <c r="BI3887" s="78" t="n"/>
      <c r="BJ3887" s="139" t="n"/>
      <c r="BK3887" s="204" t="n"/>
      <c r="BL3887" s="141" t="n"/>
      <c r="BM3887" s="205" t="n"/>
      <c r="BN3887" s="205" t="n"/>
      <c r="BO3887" s="206" t="n"/>
      <c r="BP3887" s="144" t="n"/>
      <c r="BQ3887" s="141" t="n"/>
      <c r="BR3887" s="207" t="n"/>
      <c r="BS3887" s="207" t="n"/>
      <c r="BT3887" s="207" t="n"/>
      <c r="BU3887" s="207" t="n"/>
      <c r="BV3887" s="208" t="n"/>
      <c r="BW3887" s="207" t="n"/>
      <c r="BX3887" s="207" t="n"/>
      <c r="BY3887" s="204" t="n"/>
      <c r="BZ3887" s="148" t="n"/>
      <c r="CA3887" s="204" t="n"/>
      <c r="CB3887" s="208" t="n"/>
      <c r="CC3887" s="139" t="n"/>
      <c r="CD3887" s="204" t="n"/>
      <c r="CE3887" s="204" t="n"/>
      <c r="CF3887" s="207" t="n"/>
      <c r="CG3887" s="208" t="n"/>
      <c r="CH3887" s="207" t="n"/>
      <c r="CI3887" s="208" t="n"/>
      <c r="CJ3887" s="204" t="n"/>
      <c r="CK3887" s="208" t="n"/>
      <c r="CL3887" s="208" t="n"/>
      <c r="CM3887" s="208" t="n"/>
      <c r="CN3887" s="78" t="n"/>
      <c r="CO3887" s="209" t="n"/>
      <c r="CP3887" s="204" t="n"/>
      <c r="CQ3887" s="204" t="n"/>
      <c r="CR3887" s="204" t="n"/>
      <c r="CS3887" s="204" t="n"/>
      <c r="CT3887" s="204" t="n"/>
      <c r="CU3887" s="204" t="n"/>
      <c r="CV3887" s="204" t="n"/>
      <c r="CW3887" s="204" t="n"/>
    </row>
    <row r="3888">
      <c r="BF3888" s="78" t="n"/>
      <c r="BG3888" s="78" t="n"/>
      <c r="BH3888" s="78" t="n"/>
      <c r="BI3888" s="78" t="n"/>
      <c r="BJ3888" s="139" t="n"/>
      <c r="BK3888" s="204" t="n"/>
      <c r="BL3888" s="141" t="n"/>
      <c r="BM3888" s="205" t="n"/>
      <c r="BN3888" s="205" t="n"/>
      <c r="BO3888" s="206" t="n"/>
      <c r="BP3888" s="144" t="n"/>
      <c r="BQ3888" s="141" t="n"/>
      <c r="BR3888" s="207" t="n"/>
      <c r="BS3888" s="207" t="n"/>
      <c r="BT3888" s="207" t="n"/>
      <c r="BU3888" s="207" t="n"/>
      <c r="BV3888" s="208" t="n"/>
      <c r="BW3888" s="207" t="n"/>
      <c r="BX3888" s="207" t="n"/>
      <c r="BY3888" s="204" t="n"/>
      <c r="BZ3888" s="148" t="n"/>
      <c r="CA3888" s="204" t="n"/>
      <c r="CB3888" s="208" t="n"/>
      <c r="CC3888" s="139" t="n"/>
      <c r="CD3888" s="204" t="n"/>
      <c r="CE3888" s="204" t="n"/>
      <c r="CF3888" s="207" t="n"/>
      <c r="CG3888" s="208" t="n"/>
      <c r="CH3888" s="207" t="n"/>
      <c r="CI3888" s="208" t="n"/>
      <c r="CJ3888" s="204" t="n"/>
      <c r="CK3888" s="208" t="n"/>
      <c r="CL3888" s="208" t="n"/>
      <c r="CM3888" s="208" t="n"/>
      <c r="CN3888" s="78" t="n"/>
      <c r="CO3888" s="209" t="n"/>
      <c r="CP3888" s="204" t="n"/>
      <c r="CQ3888" s="204" t="n"/>
      <c r="CR3888" s="204" t="n"/>
      <c r="CS3888" s="204" t="n"/>
      <c r="CT3888" s="204" t="n"/>
      <c r="CU3888" s="204" t="n"/>
      <c r="CV3888" s="204" t="n"/>
      <c r="CW3888" s="204" t="n"/>
    </row>
    <row r="3889">
      <c r="BF3889" s="78" t="n"/>
      <c r="BG3889" s="78" t="n"/>
      <c r="BH3889" s="78" t="n"/>
      <c r="BI3889" s="78" t="n"/>
      <c r="BJ3889" s="139" t="n"/>
      <c r="BK3889" s="204" t="n"/>
      <c r="BL3889" s="141" t="n"/>
      <c r="BM3889" s="205" t="n"/>
      <c r="BN3889" s="205" t="n"/>
      <c r="BO3889" s="206" t="n"/>
      <c r="BP3889" s="144" t="n"/>
      <c r="BQ3889" s="141" t="n"/>
      <c r="BR3889" s="207" t="n"/>
      <c r="BS3889" s="207" t="n"/>
      <c r="BT3889" s="207" t="n"/>
      <c r="BU3889" s="207" t="n"/>
      <c r="BV3889" s="208" t="n"/>
      <c r="BW3889" s="207" t="n"/>
      <c r="BX3889" s="207" t="n"/>
      <c r="BY3889" s="204" t="n"/>
      <c r="BZ3889" s="148" t="n"/>
      <c r="CA3889" s="204" t="n"/>
      <c r="CB3889" s="208" t="n"/>
      <c r="CC3889" s="139" t="n"/>
      <c r="CD3889" s="204" t="n"/>
      <c r="CE3889" s="204" t="n"/>
      <c r="CF3889" s="207" t="n"/>
      <c r="CG3889" s="208" t="n"/>
      <c r="CH3889" s="207" t="n"/>
      <c r="CI3889" s="208" t="n"/>
      <c r="CJ3889" s="204" t="n"/>
      <c r="CK3889" s="208" t="n"/>
      <c r="CL3889" s="208" t="n"/>
      <c r="CM3889" s="208" t="n"/>
      <c r="CN3889" s="78" t="n"/>
      <c r="CO3889" s="209" t="n"/>
      <c r="CP3889" s="204" t="n"/>
      <c r="CQ3889" s="204" t="n"/>
      <c r="CR3889" s="204" t="n"/>
      <c r="CS3889" s="204" t="n"/>
      <c r="CT3889" s="204" t="n"/>
      <c r="CU3889" s="204" t="n"/>
      <c r="CV3889" s="204" t="n"/>
      <c r="CW3889" s="204" t="n"/>
    </row>
    <row r="3890">
      <c r="BF3890" s="78" t="n"/>
      <c r="BG3890" s="78" t="n"/>
      <c r="BH3890" s="78" t="n"/>
      <c r="BI3890" s="78" t="n"/>
      <c r="BJ3890" s="139" t="n"/>
      <c r="BK3890" s="204" t="n"/>
      <c r="BL3890" s="141" t="n"/>
      <c r="BM3890" s="205" t="n"/>
      <c r="BN3890" s="205" t="n"/>
      <c r="BO3890" s="206" t="n"/>
      <c r="BP3890" s="144" t="n"/>
      <c r="BQ3890" s="141" t="n"/>
      <c r="BR3890" s="207" t="n"/>
      <c r="BS3890" s="207" t="n"/>
      <c r="BT3890" s="207" t="n"/>
      <c r="BU3890" s="207" t="n"/>
      <c r="BV3890" s="208" t="n"/>
      <c r="BW3890" s="207" t="n"/>
      <c r="BX3890" s="207" t="n"/>
      <c r="BY3890" s="204" t="n"/>
      <c r="BZ3890" s="148" t="n"/>
      <c r="CA3890" s="204" t="n"/>
      <c r="CB3890" s="208" t="n"/>
      <c r="CC3890" s="139" t="n"/>
      <c r="CD3890" s="204" t="n"/>
      <c r="CE3890" s="204" t="n"/>
      <c r="CF3890" s="207" t="n"/>
      <c r="CG3890" s="208" t="n"/>
      <c r="CH3890" s="207" t="n"/>
      <c r="CI3890" s="208" t="n"/>
      <c r="CJ3890" s="204" t="n"/>
      <c r="CK3890" s="208" t="n"/>
      <c r="CL3890" s="208" t="n"/>
      <c r="CM3890" s="208" t="n"/>
      <c r="CN3890" s="78" t="n"/>
      <c r="CO3890" s="209" t="n"/>
      <c r="CP3890" s="204" t="n"/>
      <c r="CQ3890" s="204" t="n"/>
      <c r="CR3890" s="204" t="n"/>
      <c r="CS3890" s="204" t="n"/>
      <c r="CT3890" s="204" t="n"/>
      <c r="CU3890" s="204" t="n"/>
      <c r="CV3890" s="204" t="n"/>
      <c r="CW3890" s="204" t="n"/>
    </row>
    <row r="3891">
      <c r="BF3891" s="78" t="n"/>
      <c r="BG3891" s="78" t="n"/>
      <c r="BH3891" s="78" t="n"/>
      <c r="BI3891" s="78" t="n"/>
      <c r="BJ3891" s="139" t="n"/>
      <c r="BK3891" s="204" t="n"/>
      <c r="BL3891" s="141" t="n"/>
      <c r="BM3891" s="205" t="n"/>
      <c r="BN3891" s="205" t="n"/>
      <c r="BO3891" s="206" t="n"/>
      <c r="BP3891" s="144" t="n"/>
      <c r="BQ3891" s="141" t="n"/>
      <c r="BR3891" s="207" t="n"/>
      <c r="BS3891" s="207" t="n"/>
      <c r="BT3891" s="207" t="n"/>
      <c r="BU3891" s="207" t="n"/>
      <c r="BV3891" s="208" t="n"/>
      <c r="BW3891" s="207" t="n"/>
      <c r="BX3891" s="207" t="n"/>
      <c r="BY3891" s="204" t="n"/>
      <c r="BZ3891" s="148" t="n"/>
      <c r="CA3891" s="204" t="n"/>
      <c r="CB3891" s="208" t="n"/>
      <c r="CC3891" s="139" t="n"/>
      <c r="CD3891" s="204" t="n"/>
      <c r="CE3891" s="204" t="n"/>
      <c r="CF3891" s="207" t="n"/>
      <c r="CG3891" s="208" t="n"/>
      <c r="CH3891" s="207" t="n"/>
      <c r="CI3891" s="208" t="n"/>
      <c r="CJ3891" s="204" t="n"/>
      <c r="CK3891" s="208" t="n"/>
      <c r="CL3891" s="208" t="n"/>
      <c r="CM3891" s="208" t="n"/>
      <c r="CN3891" s="78" t="n"/>
      <c r="CO3891" s="209" t="n"/>
      <c r="CP3891" s="204" t="n"/>
      <c r="CQ3891" s="204" t="n"/>
      <c r="CR3891" s="204" t="n"/>
      <c r="CS3891" s="204" t="n"/>
      <c r="CT3891" s="204" t="n"/>
      <c r="CU3891" s="204" t="n"/>
      <c r="CV3891" s="204" t="n"/>
      <c r="CW3891" s="204" t="n"/>
    </row>
    <row r="3892">
      <c r="BF3892" s="78" t="n"/>
      <c r="BG3892" s="78" t="n"/>
      <c r="BH3892" s="78" t="n"/>
      <c r="BI3892" s="78" t="n"/>
      <c r="BJ3892" s="139" t="n"/>
      <c r="BK3892" s="204" t="n"/>
      <c r="BL3892" s="141" t="n"/>
      <c r="BM3892" s="205" t="n"/>
      <c r="BN3892" s="205" t="n"/>
      <c r="BO3892" s="206" t="n"/>
      <c r="BP3892" s="144" t="n"/>
      <c r="BQ3892" s="141" t="n"/>
      <c r="BR3892" s="207" t="n"/>
      <c r="BS3892" s="207" t="n"/>
      <c r="BT3892" s="207" t="n"/>
      <c r="BU3892" s="207" t="n"/>
      <c r="BV3892" s="208" t="n"/>
      <c r="BW3892" s="207" t="n"/>
      <c r="BX3892" s="207" t="n"/>
      <c r="BY3892" s="204" t="n"/>
      <c r="BZ3892" s="148" t="n"/>
      <c r="CA3892" s="204" t="n"/>
      <c r="CB3892" s="208" t="n"/>
      <c r="CC3892" s="139" t="n"/>
      <c r="CD3892" s="204" t="n"/>
      <c r="CE3892" s="204" t="n"/>
      <c r="CF3892" s="207" t="n"/>
      <c r="CG3892" s="208" t="n"/>
      <c r="CH3892" s="207" t="n"/>
      <c r="CI3892" s="208" t="n"/>
      <c r="CJ3892" s="204" t="n"/>
      <c r="CK3892" s="208" t="n"/>
      <c r="CL3892" s="208" t="n"/>
      <c r="CM3892" s="208" t="n"/>
      <c r="CN3892" s="78" t="n"/>
      <c r="CO3892" s="209" t="n"/>
      <c r="CP3892" s="204" t="n"/>
      <c r="CQ3892" s="204" t="n"/>
      <c r="CR3892" s="204" t="n"/>
      <c r="CS3892" s="204" t="n"/>
      <c r="CT3892" s="204" t="n"/>
      <c r="CU3892" s="204" t="n"/>
      <c r="CV3892" s="204" t="n"/>
      <c r="CW3892" s="204" t="n"/>
    </row>
    <row r="3893">
      <c r="BF3893" s="78" t="n"/>
      <c r="BG3893" s="78" t="n"/>
      <c r="BH3893" s="78" t="n"/>
      <c r="BI3893" s="78" t="n"/>
      <c r="BJ3893" s="139" t="n"/>
      <c r="BK3893" s="204" t="n"/>
      <c r="BL3893" s="141" t="n"/>
      <c r="BM3893" s="205" t="n"/>
      <c r="BN3893" s="205" t="n"/>
      <c r="BO3893" s="206" t="n"/>
      <c r="BP3893" s="144" t="n"/>
      <c r="BQ3893" s="141" t="n"/>
      <c r="BR3893" s="207" t="n"/>
      <c r="BS3893" s="207" t="n"/>
      <c r="BT3893" s="207" t="n"/>
      <c r="BU3893" s="207" t="n"/>
      <c r="BV3893" s="208" t="n"/>
      <c r="BW3893" s="207" t="n"/>
      <c r="BX3893" s="207" t="n"/>
      <c r="BY3893" s="204" t="n"/>
      <c r="BZ3893" s="148" t="n"/>
      <c r="CA3893" s="204" t="n"/>
      <c r="CB3893" s="208" t="n"/>
      <c r="CC3893" s="139" t="n"/>
      <c r="CD3893" s="204" t="n"/>
      <c r="CE3893" s="204" t="n"/>
      <c r="CF3893" s="207" t="n"/>
      <c r="CG3893" s="208" t="n"/>
      <c r="CH3893" s="207" t="n"/>
      <c r="CI3893" s="208" t="n"/>
      <c r="CJ3893" s="204" t="n"/>
      <c r="CK3893" s="208" t="n"/>
      <c r="CL3893" s="208" t="n"/>
      <c r="CM3893" s="208" t="n"/>
      <c r="CN3893" s="78" t="n"/>
      <c r="CO3893" s="209" t="n"/>
      <c r="CP3893" s="204" t="n"/>
      <c r="CQ3893" s="204" t="n"/>
      <c r="CR3893" s="204" t="n"/>
      <c r="CS3893" s="204" t="n"/>
      <c r="CT3893" s="204" t="n"/>
      <c r="CU3893" s="204" t="n"/>
      <c r="CV3893" s="204" t="n"/>
      <c r="CW3893" s="204" t="n"/>
    </row>
    <row r="3894">
      <c r="BF3894" s="78" t="n"/>
      <c r="BG3894" s="78" t="n"/>
      <c r="BH3894" s="78" t="n"/>
      <c r="BI3894" s="78" t="n"/>
      <c r="BJ3894" s="139" t="n"/>
      <c r="BK3894" s="204" t="n"/>
      <c r="BL3894" s="141" t="n"/>
      <c r="BM3894" s="205" t="n"/>
      <c r="BN3894" s="205" t="n"/>
      <c r="BO3894" s="206" t="n"/>
      <c r="BP3894" s="144" t="n"/>
      <c r="BQ3894" s="141" t="n"/>
      <c r="BR3894" s="207" t="n"/>
      <c r="BS3894" s="207" t="n"/>
      <c r="BT3894" s="207" t="n"/>
      <c r="BU3894" s="207" t="n"/>
      <c r="BV3894" s="208" t="n"/>
      <c r="BW3894" s="207" t="n"/>
      <c r="BX3894" s="207" t="n"/>
      <c r="BY3894" s="204" t="n"/>
      <c r="BZ3894" s="148" t="n"/>
      <c r="CA3894" s="204" t="n"/>
      <c r="CB3894" s="208" t="n"/>
      <c r="CC3894" s="139" t="n"/>
      <c r="CD3894" s="204" t="n"/>
      <c r="CE3894" s="204" t="n"/>
      <c r="CF3894" s="207" t="n"/>
      <c r="CG3894" s="208" t="n"/>
      <c r="CH3894" s="207" t="n"/>
      <c r="CI3894" s="208" t="n"/>
      <c r="CJ3894" s="204" t="n"/>
      <c r="CK3894" s="208" t="n"/>
      <c r="CL3894" s="208" t="n"/>
      <c r="CM3894" s="208" t="n"/>
      <c r="CN3894" s="78" t="n"/>
      <c r="CO3894" s="209" t="n"/>
      <c r="CP3894" s="204" t="n"/>
      <c r="CQ3894" s="204" t="n"/>
      <c r="CR3894" s="204" t="n"/>
      <c r="CS3894" s="204" t="n"/>
      <c r="CT3894" s="204" t="n"/>
      <c r="CU3894" s="204" t="n"/>
      <c r="CV3894" s="204" t="n"/>
      <c r="CW3894" s="204" t="n"/>
    </row>
    <row r="3895">
      <c r="BF3895" s="78" t="n"/>
      <c r="BG3895" s="78" t="n"/>
      <c r="BH3895" s="78" t="n"/>
      <c r="BI3895" s="78" t="n"/>
      <c r="BJ3895" s="139" t="n"/>
      <c r="BK3895" s="204" t="n"/>
      <c r="BL3895" s="141" t="n"/>
      <c r="BM3895" s="205" t="n"/>
      <c r="BN3895" s="205" t="n"/>
      <c r="BO3895" s="206" t="n"/>
      <c r="BP3895" s="144" t="n"/>
      <c r="BQ3895" s="141" t="n"/>
      <c r="BR3895" s="207" t="n"/>
      <c r="BS3895" s="207" t="n"/>
      <c r="BT3895" s="207" t="n"/>
      <c r="BU3895" s="207" t="n"/>
      <c r="BV3895" s="208" t="n"/>
      <c r="BW3895" s="207" t="n"/>
      <c r="BX3895" s="207" t="n"/>
      <c r="BY3895" s="204" t="n"/>
      <c r="BZ3895" s="148" t="n"/>
      <c r="CA3895" s="204" t="n"/>
      <c r="CB3895" s="208" t="n"/>
      <c r="CC3895" s="139" t="n"/>
      <c r="CD3895" s="204" t="n"/>
      <c r="CE3895" s="204" t="n"/>
      <c r="CF3895" s="207" t="n"/>
      <c r="CG3895" s="208" t="n"/>
      <c r="CH3895" s="207" t="n"/>
      <c r="CI3895" s="208" t="n"/>
      <c r="CJ3895" s="204" t="n"/>
      <c r="CK3895" s="208" t="n"/>
      <c r="CL3895" s="208" t="n"/>
      <c r="CM3895" s="208" t="n"/>
      <c r="CN3895" s="78" t="n"/>
      <c r="CO3895" s="209" t="n"/>
      <c r="CP3895" s="204" t="n"/>
      <c r="CQ3895" s="204" t="n"/>
      <c r="CR3895" s="204" t="n"/>
      <c r="CS3895" s="204" t="n"/>
      <c r="CT3895" s="204" t="n"/>
      <c r="CU3895" s="204" t="n"/>
      <c r="CV3895" s="204" t="n"/>
      <c r="CW3895" s="204" t="n"/>
    </row>
    <row r="3896">
      <c r="BF3896" s="78" t="n"/>
      <c r="BG3896" s="78" t="n"/>
      <c r="BH3896" s="78" t="n"/>
      <c r="BI3896" s="78" t="n"/>
      <c r="BJ3896" s="139" t="n"/>
      <c r="BK3896" s="204" t="n"/>
      <c r="BL3896" s="141" t="n"/>
      <c r="BM3896" s="205" t="n"/>
      <c r="BN3896" s="205" t="n"/>
      <c r="BO3896" s="206" t="n"/>
      <c r="BP3896" s="144" t="n"/>
      <c r="BQ3896" s="141" t="n"/>
      <c r="BR3896" s="207" t="n"/>
      <c r="BS3896" s="207" t="n"/>
      <c r="BT3896" s="207" t="n"/>
      <c r="BU3896" s="207" t="n"/>
      <c r="BV3896" s="208" t="n"/>
      <c r="BW3896" s="207" t="n"/>
      <c r="BX3896" s="207" t="n"/>
      <c r="BY3896" s="204" t="n"/>
      <c r="BZ3896" s="148" t="n"/>
      <c r="CA3896" s="204" t="n"/>
      <c r="CB3896" s="208" t="n"/>
      <c r="CC3896" s="139" t="n"/>
      <c r="CD3896" s="204" t="n"/>
      <c r="CE3896" s="204" t="n"/>
      <c r="CF3896" s="207" t="n"/>
      <c r="CG3896" s="208" t="n"/>
      <c r="CH3896" s="207" t="n"/>
      <c r="CI3896" s="208" t="n"/>
      <c r="CJ3896" s="204" t="n"/>
      <c r="CK3896" s="208" t="n"/>
      <c r="CL3896" s="208" t="n"/>
      <c r="CM3896" s="208" t="n"/>
      <c r="CN3896" s="78" t="n"/>
      <c r="CO3896" s="209" t="n"/>
      <c r="CP3896" s="204" t="n"/>
      <c r="CQ3896" s="204" t="n"/>
      <c r="CR3896" s="204" t="n"/>
      <c r="CS3896" s="204" t="n"/>
      <c r="CT3896" s="204" t="n"/>
      <c r="CU3896" s="204" t="n"/>
      <c r="CV3896" s="204" t="n"/>
      <c r="CW3896" s="204" t="n"/>
    </row>
    <row r="3897">
      <c r="BF3897" s="78" t="n"/>
      <c r="BG3897" s="78" t="n"/>
      <c r="BH3897" s="78" t="n"/>
      <c r="BI3897" s="78" t="n"/>
      <c r="BJ3897" s="139" t="n"/>
      <c r="BK3897" s="204" t="n"/>
      <c r="BL3897" s="141" t="n"/>
      <c r="BM3897" s="205" t="n"/>
      <c r="BN3897" s="205" t="n"/>
      <c r="BO3897" s="206" t="n"/>
      <c r="BP3897" s="144" t="n"/>
      <c r="BQ3897" s="141" t="n"/>
      <c r="BR3897" s="207" t="n"/>
      <c r="BS3897" s="207" t="n"/>
      <c r="BT3897" s="207" t="n"/>
      <c r="BU3897" s="207" t="n"/>
      <c r="BV3897" s="208" t="n"/>
      <c r="BW3897" s="207" t="n"/>
      <c r="BX3897" s="207" t="n"/>
      <c r="BY3897" s="204" t="n"/>
      <c r="BZ3897" s="148" t="n"/>
      <c r="CA3897" s="204" t="n"/>
      <c r="CB3897" s="208" t="n"/>
      <c r="CC3897" s="139" t="n"/>
      <c r="CD3897" s="204" t="n"/>
      <c r="CE3897" s="204" t="n"/>
      <c r="CF3897" s="207" t="n"/>
      <c r="CG3897" s="208" t="n"/>
      <c r="CH3897" s="207" t="n"/>
      <c r="CI3897" s="208" t="n"/>
      <c r="CJ3897" s="204" t="n"/>
      <c r="CK3897" s="208" t="n"/>
      <c r="CL3897" s="208" t="n"/>
      <c r="CM3897" s="208" t="n"/>
      <c r="CN3897" s="78" t="n"/>
      <c r="CO3897" s="209" t="n"/>
      <c r="CP3897" s="204" t="n"/>
      <c r="CQ3897" s="204" t="n"/>
      <c r="CR3897" s="204" t="n"/>
      <c r="CS3897" s="204" t="n"/>
      <c r="CT3897" s="204" t="n"/>
      <c r="CU3897" s="204" t="n"/>
      <c r="CV3897" s="204" t="n"/>
      <c r="CW3897" s="204" t="n"/>
    </row>
    <row r="3898">
      <c r="BF3898" s="78" t="n"/>
      <c r="BG3898" s="78" t="n"/>
      <c r="BH3898" s="78" t="n"/>
      <c r="BI3898" s="78" t="n"/>
      <c r="BJ3898" s="139" t="n"/>
      <c r="BK3898" s="204" t="n"/>
      <c r="BL3898" s="141" t="n"/>
      <c r="BM3898" s="205" t="n"/>
      <c r="BN3898" s="205" t="n"/>
      <c r="BO3898" s="206" t="n"/>
      <c r="BP3898" s="144" t="n"/>
      <c r="BQ3898" s="141" t="n"/>
      <c r="BR3898" s="207" t="n"/>
      <c r="BS3898" s="207" t="n"/>
      <c r="BT3898" s="207" t="n"/>
      <c r="BU3898" s="207" t="n"/>
      <c r="BV3898" s="208" t="n"/>
      <c r="BW3898" s="207" t="n"/>
      <c r="BX3898" s="207" t="n"/>
      <c r="BY3898" s="204" t="n"/>
      <c r="BZ3898" s="148" t="n"/>
      <c r="CA3898" s="204" t="n"/>
      <c r="CB3898" s="208" t="n"/>
      <c r="CC3898" s="139" t="n"/>
      <c r="CD3898" s="204" t="n"/>
      <c r="CE3898" s="204" t="n"/>
      <c r="CF3898" s="207" t="n"/>
      <c r="CG3898" s="208" t="n"/>
      <c r="CH3898" s="207" t="n"/>
      <c r="CI3898" s="208" t="n"/>
      <c r="CJ3898" s="204" t="n"/>
      <c r="CK3898" s="208" t="n"/>
      <c r="CL3898" s="208" t="n"/>
      <c r="CM3898" s="208" t="n"/>
      <c r="CN3898" s="78" t="n"/>
      <c r="CO3898" s="209" t="n"/>
      <c r="CP3898" s="204" t="n"/>
      <c r="CQ3898" s="204" t="n"/>
      <c r="CR3898" s="204" t="n"/>
      <c r="CS3898" s="204" t="n"/>
      <c r="CT3898" s="204" t="n"/>
      <c r="CU3898" s="204" t="n"/>
      <c r="CV3898" s="204" t="n"/>
      <c r="CW3898" s="204" t="n"/>
    </row>
    <row r="3899">
      <c r="BF3899" s="78" t="n"/>
      <c r="BG3899" s="78" t="n"/>
      <c r="BH3899" s="78" t="n"/>
      <c r="BI3899" s="78" t="n"/>
      <c r="BJ3899" s="139" t="n"/>
      <c r="BK3899" s="204" t="n"/>
      <c r="BL3899" s="141" t="n"/>
      <c r="BM3899" s="205" t="n"/>
      <c r="BN3899" s="205" t="n"/>
      <c r="BO3899" s="206" t="n"/>
      <c r="BP3899" s="144" t="n"/>
      <c r="BQ3899" s="141" t="n"/>
      <c r="BR3899" s="207" t="n"/>
      <c r="BS3899" s="207" t="n"/>
      <c r="BT3899" s="207" t="n"/>
      <c r="BU3899" s="207" t="n"/>
      <c r="BV3899" s="208" t="n"/>
      <c r="BW3899" s="207" t="n"/>
      <c r="BX3899" s="207" t="n"/>
      <c r="BY3899" s="204" t="n"/>
      <c r="BZ3899" s="148" t="n"/>
      <c r="CA3899" s="204" t="n"/>
      <c r="CB3899" s="208" t="n"/>
      <c r="CC3899" s="139" t="n"/>
      <c r="CD3899" s="204" t="n"/>
      <c r="CE3899" s="204" t="n"/>
      <c r="CF3899" s="207" t="n"/>
      <c r="CG3899" s="208" t="n"/>
      <c r="CH3899" s="207" t="n"/>
      <c r="CI3899" s="208" t="n"/>
      <c r="CJ3899" s="204" t="n"/>
      <c r="CK3899" s="208" t="n"/>
      <c r="CL3899" s="208" t="n"/>
      <c r="CM3899" s="208" t="n"/>
      <c r="CN3899" s="78" t="n"/>
      <c r="CO3899" s="209" t="n"/>
      <c r="CP3899" s="204" t="n"/>
      <c r="CQ3899" s="204" t="n"/>
      <c r="CR3899" s="204" t="n"/>
      <c r="CS3899" s="204" t="n"/>
      <c r="CT3899" s="204" t="n"/>
      <c r="CU3899" s="204" t="n"/>
      <c r="CV3899" s="204" t="n"/>
      <c r="CW3899" s="204" t="n"/>
    </row>
    <row r="3900">
      <c r="BF3900" s="78" t="n"/>
      <c r="BG3900" s="78" t="n"/>
      <c r="BH3900" s="78" t="n"/>
      <c r="BI3900" s="78" t="n"/>
      <c r="BJ3900" s="139" t="n"/>
      <c r="BK3900" s="204" t="n"/>
      <c r="BL3900" s="141" t="n"/>
      <c r="BM3900" s="205" t="n"/>
      <c r="BN3900" s="205" t="n"/>
      <c r="BO3900" s="206" t="n"/>
      <c r="BP3900" s="144" t="n"/>
      <c r="BQ3900" s="141" t="n"/>
      <c r="BR3900" s="207" t="n"/>
      <c r="BS3900" s="207" t="n"/>
      <c r="BT3900" s="207" t="n"/>
      <c r="BU3900" s="207" t="n"/>
      <c r="BV3900" s="208" t="n"/>
      <c r="BW3900" s="207" t="n"/>
      <c r="BX3900" s="207" t="n"/>
      <c r="BY3900" s="204" t="n"/>
      <c r="BZ3900" s="148" t="n"/>
      <c r="CA3900" s="204" t="n"/>
      <c r="CB3900" s="208" t="n"/>
      <c r="CC3900" s="139" t="n"/>
      <c r="CD3900" s="204" t="n"/>
      <c r="CE3900" s="204" t="n"/>
      <c r="CF3900" s="207" t="n"/>
      <c r="CG3900" s="208" t="n"/>
      <c r="CH3900" s="207" t="n"/>
      <c r="CI3900" s="208" t="n"/>
      <c r="CJ3900" s="204" t="n"/>
      <c r="CK3900" s="208" t="n"/>
      <c r="CL3900" s="208" t="n"/>
      <c r="CM3900" s="208" t="n"/>
      <c r="CN3900" s="78" t="n"/>
      <c r="CO3900" s="209" t="n"/>
      <c r="CP3900" s="204" t="n"/>
      <c r="CQ3900" s="204" t="n"/>
      <c r="CR3900" s="204" t="n"/>
      <c r="CS3900" s="204" t="n"/>
      <c r="CT3900" s="204" t="n"/>
      <c r="CU3900" s="204" t="n"/>
      <c r="CV3900" s="204" t="n"/>
      <c r="CW3900" s="204" t="n"/>
    </row>
    <row r="3901">
      <c r="BF3901" s="78" t="n"/>
      <c r="BG3901" s="78" t="n"/>
      <c r="BH3901" s="78" t="n"/>
      <c r="BI3901" s="78" t="n"/>
      <c r="BJ3901" s="139" t="n"/>
      <c r="BK3901" s="204" t="n"/>
      <c r="BL3901" s="141" t="n"/>
      <c r="BM3901" s="205" t="n"/>
      <c r="BN3901" s="205" t="n"/>
      <c r="BO3901" s="206" t="n"/>
      <c r="BP3901" s="144" t="n"/>
      <c r="BQ3901" s="141" t="n"/>
      <c r="BR3901" s="207" t="n"/>
      <c r="BS3901" s="207" t="n"/>
      <c r="BT3901" s="207" t="n"/>
      <c r="BU3901" s="207" t="n"/>
      <c r="BV3901" s="208" t="n"/>
      <c r="BW3901" s="207" t="n"/>
      <c r="BX3901" s="207" t="n"/>
      <c r="BY3901" s="204" t="n"/>
      <c r="BZ3901" s="148" t="n"/>
      <c r="CA3901" s="204" t="n"/>
      <c r="CB3901" s="208" t="n"/>
      <c r="CC3901" s="139" t="n"/>
      <c r="CD3901" s="204" t="n"/>
      <c r="CE3901" s="204" t="n"/>
      <c r="CF3901" s="207" t="n"/>
      <c r="CG3901" s="208" t="n"/>
      <c r="CH3901" s="207" t="n"/>
      <c r="CI3901" s="208" t="n"/>
      <c r="CJ3901" s="204" t="n"/>
      <c r="CK3901" s="208" t="n"/>
      <c r="CL3901" s="208" t="n"/>
      <c r="CM3901" s="208" t="n"/>
      <c r="CN3901" s="78" t="n"/>
      <c r="CO3901" s="209" t="n"/>
      <c r="CP3901" s="204" t="n"/>
      <c r="CQ3901" s="204" t="n"/>
      <c r="CR3901" s="204" t="n"/>
      <c r="CS3901" s="204" t="n"/>
      <c r="CT3901" s="204" t="n"/>
      <c r="CU3901" s="204" t="n"/>
      <c r="CV3901" s="204" t="n"/>
      <c r="CW3901" s="204" t="n"/>
    </row>
    <row r="3902">
      <c r="BF3902" s="78" t="n"/>
      <c r="BG3902" s="78" t="n"/>
      <c r="BH3902" s="78" t="n"/>
      <c r="BI3902" s="78" t="n"/>
      <c r="BJ3902" s="139" t="n"/>
      <c r="BK3902" s="204" t="n"/>
      <c r="BL3902" s="141" t="n"/>
      <c r="BM3902" s="205" t="n"/>
      <c r="BN3902" s="205" t="n"/>
      <c r="BO3902" s="206" t="n"/>
      <c r="BP3902" s="144" t="n"/>
      <c r="BQ3902" s="141" t="n"/>
      <c r="BR3902" s="207" t="n"/>
      <c r="BS3902" s="207" t="n"/>
      <c r="BT3902" s="207" t="n"/>
      <c r="BU3902" s="207" t="n"/>
      <c r="BV3902" s="208" t="n"/>
      <c r="BW3902" s="207" t="n"/>
      <c r="BX3902" s="207" t="n"/>
      <c r="BY3902" s="204" t="n"/>
      <c r="BZ3902" s="148" t="n"/>
      <c r="CA3902" s="204" t="n"/>
      <c r="CB3902" s="208" t="n"/>
      <c r="CC3902" s="139" t="n"/>
      <c r="CD3902" s="204" t="n"/>
      <c r="CE3902" s="204" t="n"/>
      <c r="CF3902" s="207" t="n"/>
      <c r="CG3902" s="208" t="n"/>
      <c r="CH3902" s="207" t="n"/>
      <c r="CI3902" s="208" t="n"/>
      <c r="CJ3902" s="204" t="n"/>
      <c r="CK3902" s="208" t="n"/>
      <c r="CL3902" s="208" t="n"/>
      <c r="CM3902" s="208" t="n"/>
      <c r="CN3902" s="78" t="n"/>
      <c r="CO3902" s="209" t="n"/>
      <c r="CP3902" s="204" t="n"/>
      <c r="CQ3902" s="204" t="n"/>
      <c r="CR3902" s="204" t="n"/>
      <c r="CS3902" s="204" t="n"/>
      <c r="CT3902" s="204" t="n"/>
      <c r="CU3902" s="204" t="n"/>
      <c r="CV3902" s="204" t="n"/>
      <c r="CW3902" s="204" t="n"/>
    </row>
    <row r="3903">
      <c r="BF3903" s="78" t="n"/>
      <c r="BG3903" s="78" t="n"/>
      <c r="BH3903" s="78" t="n"/>
      <c r="BI3903" s="78" t="n"/>
      <c r="BJ3903" s="139" t="n"/>
      <c r="BK3903" s="204" t="n"/>
      <c r="BL3903" s="141" t="n"/>
      <c r="BM3903" s="205" t="n"/>
      <c r="BN3903" s="205" t="n"/>
      <c r="BO3903" s="206" t="n"/>
      <c r="BP3903" s="144" t="n"/>
      <c r="BQ3903" s="141" t="n"/>
      <c r="BR3903" s="207" t="n"/>
      <c r="BS3903" s="207" t="n"/>
      <c r="BT3903" s="207" t="n"/>
      <c r="BU3903" s="207" t="n"/>
      <c r="BV3903" s="208" t="n"/>
      <c r="BW3903" s="207" t="n"/>
      <c r="BX3903" s="207" t="n"/>
      <c r="BY3903" s="204" t="n"/>
      <c r="BZ3903" s="148" t="n"/>
      <c r="CA3903" s="204" t="n"/>
      <c r="CB3903" s="208" t="n"/>
      <c r="CC3903" s="139" t="n"/>
      <c r="CD3903" s="204" t="n"/>
      <c r="CE3903" s="204" t="n"/>
      <c r="CF3903" s="207" t="n"/>
      <c r="CG3903" s="208" t="n"/>
      <c r="CH3903" s="207" t="n"/>
      <c r="CI3903" s="208" t="n"/>
      <c r="CJ3903" s="204" t="n"/>
      <c r="CK3903" s="208" t="n"/>
      <c r="CL3903" s="208" t="n"/>
      <c r="CM3903" s="208" t="n"/>
      <c r="CN3903" s="78" t="n"/>
      <c r="CO3903" s="209" t="n"/>
      <c r="CP3903" s="204" t="n"/>
      <c r="CQ3903" s="204" t="n"/>
      <c r="CR3903" s="204" t="n"/>
      <c r="CS3903" s="204" t="n"/>
      <c r="CT3903" s="204" t="n"/>
      <c r="CU3903" s="204" t="n"/>
      <c r="CV3903" s="204" t="n"/>
      <c r="CW3903" s="204" t="n"/>
    </row>
    <row r="3904">
      <c r="BF3904" s="78" t="n"/>
      <c r="BG3904" s="78" t="n"/>
      <c r="BH3904" s="78" t="n"/>
      <c r="BI3904" s="78" t="n"/>
      <c r="BJ3904" s="139" t="n"/>
      <c r="BK3904" s="204" t="n"/>
      <c r="BL3904" s="141" t="n"/>
      <c r="BM3904" s="205" t="n"/>
      <c r="BN3904" s="205" t="n"/>
      <c r="BO3904" s="206" t="n"/>
      <c r="BP3904" s="144" t="n"/>
      <c r="BQ3904" s="141" t="n"/>
      <c r="BR3904" s="207" t="n"/>
      <c r="BS3904" s="207" t="n"/>
      <c r="BT3904" s="207" t="n"/>
      <c r="BU3904" s="207" t="n"/>
      <c r="BV3904" s="208" t="n"/>
      <c r="BW3904" s="207" t="n"/>
      <c r="BX3904" s="207" t="n"/>
      <c r="BY3904" s="204" t="n"/>
      <c r="BZ3904" s="148" t="n"/>
      <c r="CA3904" s="204" t="n"/>
      <c r="CB3904" s="208" t="n"/>
      <c r="CC3904" s="139" t="n"/>
      <c r="CD3904" s="204" t="n"/>
      <c r="CE3904" s="204" t="n"/>
      <c r="CF3904" s="207" t="n"/>
      <c r="CG3904" s="208" t="n"/>
      <c r="CH3904" s="207" t="n"/>
      <c r="CI3904" s="208" t="n"/>
      <c r="CJ3904" s="204" t="n"/>
      <c r="CK3904" s="208" t="n"/>
      <c r="CL3904" s="208" t="n"/>
      <c r="CM3904" s="208" t="n"/>
      <c r="CN3904" s="78" t="n"/>
      <c r="CO3904" s="209" t="n"/>
      <c r="CP3904" s="204" t="n"/>
      <c r="CQ3904" s="204" t="n"/>
      <c r="CR3904" s="204" t="n"/>
      <c r="CS3904" s="204" t="n"/>
      <c r="CT3904" s="204" t="n"/>
      <c r="CU3904" s="204" t="n"/>
      <c r="CV3904" s="204" t="n"/>
      <c r="CW3904" s="204" t="n"/>
    </row>
    <row r="3905">
      <c r="BF3905" s="78" t="n"/>
      <c r="BG3905" s="78" t="n"/>
      <c r="BH3905" s="78" t="n"/>
      <c r="BI3905" s="78" t="n"/>
      <c r="BJ3905" s="139" t="n"/>
      <c r="BK3905" s="204" t="n"/>
      <c r="BL3905" s="141" t="n"/>
      <c r="BM3905" s="205" t="n"/>
      <c r="BN3905" s="205" t="n"/>
      <c r="BO3905" s="206" t="n"/>
      <c r="BP3905" s="144" t="n"/>
      <c r="BQ3905" s="141" t="n"/>
      <c r="BR3905" s="207" t="n"/>
      <c r="BS3905" s="207" t="n"/>
      <c r="BT3905" s="207" t="n"/>
      <c r="BU3905" s="207" t="n"/>
      <c r="BV3905" s="208" t="n"/>
      <c r="BW3905" s="207" t="n"/>
      <c r="BX3905" s="207" t="n"/>
      <c r="BY3905" s="204" t="n"/>
      <c r="BZ3905" s="148" t="n"/>
      <c r="CA3905" s="204" t="n"/>
      <c r="CB3905" s="208" t="n"/>
      <c r="CC3905" s="139" t="n"/>
      <c r="CD3905" s="204" t="n"/>
      <c r="CE3905" s="204" t="n"/>
      <c r="CF3905" s="207" t="n"/>
      <c r="CG3905" s="208" t="n"/>
      <c r="CH3905" s="207" t="n"/>
      <c r="CI3905" s="208" t="n"/>
      <c r="CJ3905" s="204" t="n"/>
      <c r="CK3905" s="208" t="n"/>
      <c r="CL3905" s="208" t="n"/>
      <c r="CM3905" s="208" t="n"/>
      <c r="CN3905" s="78" t="n"/>
      <c r="CO3905" s="209" t="n"/>
      <c r="CP3905" s="204" t="n"/>
      <c r="CQ3905" s="204" t="n"/>
      <c r="CR3905" s="204" t="n"/>
      <c r="CS3905" s="204" t="n"/>
      <c r="CT3905" s="204" t="n"/>
      <c r="CU3905" s="204" t="n"/>
      <c r="CV3905" s="204" t="n"/>
      <c r="CW3905" s="204" t="n"/>
    </row>
    <row r="3906">
      <c r="BF3906" s="78" t="n"/>
      <c r="BG3906" s="78" t="n"/>
      <c r="BH3906" s="78" t="n"/>
      <c r="BI3906" s="78" t="n"/>
      <c r="BJ3906" s="139" t="n"/>
      <c r="BK3906" s="204" t="n"/>
      <c r="BL3906" s="141" t="n"/>
      <c r="BM3906" s="205" t="n"/>
      <c r="BN3906" s="205" t="n"/>
      <c r="BO3906" s="206" t="n"/>
      <c r="BP3906" s="144" t="n"/>
      <c r="BQ3906" s="141" t="n"/>
      <c r="BR3906" s="207" t="n"/>
      <c r="BS3906" s="207" t="n"/>
      <c r="BT3906" s="207" t="n"/>
      <c r="BU3906" s="207" t="n"/>
      <c r="BV3906" s="208" t="n"/>
      <c r="BW3906" s="207" t="n"/>
      <c r="BX3906" s="207" t="n"/>
      <c r="BY3906" s="204" t="n"/>
      <c r="BZ3906" s="148" t="n"/>
      <c r="CA3906" s="204" t="n"/>
      <c r="CB3906" s="208" t="n"/>
      <c r="CC3906" s="139" t="n"/>
      <c r="CD3906" s="204" t="n"/>
      <c r="CE3906" s="204" t="n"/>
      <c r="CF3906" s="207" t="n"/>
      <c r="CG3906" s="208" t="n"/>
      <c r="CH3906" s="207" t="n"/>
      <c r="CI3906" s="208" t="n"/>
      <c r="CJ3906" s="204" t="n"/>
      <c r="CK3906" s="208" t="n"/>
      <c r="CL3906" s="208" t="n"/>
      <c r="CM3906" s="208" t="n"/>
      <c r="CN3906" s="78" t="n"/>
      <c r="CO3906" s="209" t="n"/>
      <c r="CP3906" s="204" t="n"/>
      <c r="CQ3906" s="204" t="n"/>
      <c r="CR3906" s="204" t="n"/>
      <c r="CS3906" s="204" t="n"/>
      <c r="CT3906" s="204" t="n"/>
      <c r="CU3906" s="204" t="n"/>
      <c r="CV3906" s="204" t="n"/>
      <c r="CW3906" s="204" t="n"/>
    </row>
    <row r="3907">
      <c r="BF3907" s="78" t="n"/>
      <c r="BG3907" s="78" t="n"/>
      <c r="BH3907" s="78" t="n"/>
      <c r="BI3907" s="78" t="n"/>
      <c r="BJ3907" s="139" t="n"/>
      <c r="BK3907" s="204" t="n"/>
      <c r="BL3907" s="141" t="n"/>
      <c r="BM3907" s="205" t="n"/>
      <c r="BN3907" s="205" t="n"/>
      <c r="BO3907" s="206" t="n"/>
      <c r="BP3907" s="144" t="n"/>
      <c r="BQ3907" s="141" t="n"/>
      <c r="BR3907" s="207" t="n"/>
      <c r="BS3907" s="207" t="n"/>
      <c r="BT3907" s="207" t="n"/>
      <c r="BU3907" s="207" t="n"/>
      <c r="BV3907" s="208" t="n"/>
      <c r="BW3907" s="207" t="n"/>
      <c r="BX3907" s="207" t="n"/>
      <c r="BY3907" s="204" t="n"/>
      <c r="BZ3907" s="148" t="n"/>
      <c r="CA3907" s="204" t="n"/>
      <c r="CB3907" s="208" t="n"/>
      <c r="CC3907" s="139" t="n"/>
      <c r="CD3907" s="204" t="n"/>
      <c r="CE3907" s="204" t="n"/>
      <c r="CF3907" s="207" t="n"/>
      <c r="CG3907" s="208" t="n"/>
      <c r="CH3907" s="207" t="n"/>
      <c r="CI3907" s="208" t="n"/>
      <c r="CJ3907" s="204" t="n"/>
      <c r="CK3907" s="208" t="n"/>
      <c r="CL3907" s="208" t="n"/>
      <c r="CM3907" s="208" t="n"/>
      <c r="CN3907" s="78" t="n"/>
      <c r="CO3907" s="209" t="n"/>
      <c r="CP3907" s="204" t="n"/>
      <c r="CQ3907" s="204" t="n"/>
      <c r="CR3907" s="204" t="n"/>
      <c r="CS3907" s="204" t="n"/>
      <c r="CT3907" s="204" t="n"/>
      <c r="CU3907" s="204" t="n"/>
      <c r="CV3907" s="204" t="n"/>
      <c r="CW3907" s="204" t="n"/>
    </row>
    <row r="3908">
      <c r="BF3908" s="78" t="n"/>
      <c r="BG3908" s="78" t="n"/>
      <c r="BH3908" s="78" t="n"/>
      <c r="BI3908" s="78" t="n"/>
      <c r="BJ3908" s="139" t="n"/>
      <c r="BK3908" s="204" t="n"/>
      <c r="BL3908" s="141" t="n"/>
      <c r="BM3908" s="205" t="n"/>
      <c r="BN3908" s="205" t="n"/>
      <c r="BO3908" s="206" t="n"/>
      <c r="BP3908" s="144" t="n"/>
      <c r="BQ3908" s="141" t="n"/>
      <c r="BR3908" s="207" t="n"/>
      <c r="BS3908" s="207" t="n"/>
      <c r="BT3908" s="207" t="n"/>
      <c r="BU3908" s="207" t="n"/>
      <c r="BV3908" s="208" t="n"/>
      <c r="BW3908" s="207" t="n"/>
      <c r="BX3908" s="207" t="n"/>
      <c r="BY3908" s="204" t="n"/>
      <c r="BZ3908" s="148" t="n"/>
      <c r="CA3908" s="204" t="n"/>
      <c r="CB3908" s="208" t="n"/>
      <c r="CC3908" s="139" t="n"/>
      <c r="CD3908" s="204" t="n"/>
      <c r="CE3908" s="204" t="n"/>
      <c r="CF3908" s="207" t="n"/>
      <c r="CG3908" s="208" t="n"/>
      <c r="CH3908" s="207" t="n"/>
      <c r="CI3908" s="208" t="n"/>
      <c r="CJ3908" s="204" t="n"/>
      <c r="CK3908" s="208" t="n"/>
      <c r="CL3908" s="208" t="n"/>
      <c r="CM3908" s="208" t="n"/>
      <c r="CN3908" s="78" t="n"/>
      <c r="CO3908" s="209" t="n"/>
      <c r="CP3908" s="204" t="n"/>
      <c r="CQ3908" s="204" t="n"/>
      <c r="CR3908" s="204" t="n"/>
      <c r="CS3908" s="204" t="n"/>
      <c r="CT3908" s="204" t="n"/>
      <c r="CU3908" s="204" t="n"/>
      <c r="CV3908" s="204" t="n"/>
      <c r="CW3908" s="204" t="n"/>
    </row>
    <row r="3909">
      <c r="BF3909" s="78" t="n"/>
      <c r="BG3909" s="78" t="n"/>
      <c r="BH3909" s="78" t="n"/>
      <c r="BI3909" s="78" t="n"/>
      <c r="BJ3909" s="139" t="n"/>
      <c r="BK3909" s="204" t="n"/>
      <c r="BL3909" s="141" t="n"/>
      <c r="BM3909" s="205" t="n"/>
      <c r="BN3909" s="205" t="n"/>
      <c r="BO3909" s="206" t="n"/>
      <c r="BP3909" s="144" t="n"/>
      <c r="BQ3909" s="141" t="n"/>
      <c r="BR3909" s="207" t="n"/>
      <c r="BS3909" s="207" t="n"/>
      <c r="BT3909" s="207" t="n"/>
      <c r="BU3909" s="207" t="n"/>
      <c r="BV3909" s="208" t="n"/>
      <c r="BW3909" s="207" t="n"/>
      <c r="BX3909" s="207" t="n"/>
      <c r="BY3909" s="204" t="n"/>
      <c r="BZ3909" s="148" t="n"/>
      <c r="CA3909" s="204" t="n"/>
      <c r="CB3909" s="208" t="n"/>
      <c r="CC3909" s="139" t="n"/>
      <c r="CD3909" s="204" t="n"/>
      <c r="CE3909" s="204" t="n"/>
      <c r="CF3909" s="207" t="n"/>
      <c r="CG3909" s="208" t="n"/>
      <c r="CH3909" s="207" t="n"/>
      <c r="CI3909" s="208" t="n"/>
      <c r="CJ3909" s="204" t="n"/>
      <c r="CK3909" s="208" t="n"/>
      <c r="CL3909" s="208" t="n"/>
      <c r="CM3909" s="208" t="n"/>
      <c r="CN3909" s="78" t="n"/>
      <c r="CO3909" s="209" t="n"/>
      <c r="CP3909" s="204" t="n"/>
      <c r="CQ3909" s="204" t="n"/>
      <c r="CR3909" s="204" t="n"/>
      <c r="CS3909" s="204" t="n"/>
      <c r="CT3909" s="204" t="n"/>
      <c r="CU3909" s="204" t="n"/>
      <c r="CV3909" s="204" t="n"/>
      <c r="CW3909" s="204" t="n"/>
    </row>
    <row r="3910">
      <c r="BF3910" s="78" t="n"/>
      <c r="BG3910" s="78" t="n"/>
      <c r="BH3910" s="78" t="n"/>
      <c r="BI3910" s="78" t="n"/>
      <c r="BJ3910" s="139" t="n"/>
      <c r="BK3910" s="204" t="n"/>
      <c r="BL3910" s="141" t="n"/>
      <c r="BM3910" s="205" t="n"/>
      <c r="BN3910" s="205" t="n"/>
      <c r="BO3910" s="206" t="n"/>
      <c r="BP3910" s="144" t="n"/>
      <c r="BQ3910" s="141" t="n"/>
      <c r="BR3910" s="207" t="n"/>
      <c r="BS3910" s="207" t="n"/>
      <c r="BT3910" s="207" t="n"/>
      <c r="BU3910" s="207" t="n"/>
      <c r="BV3910" s="208" t="n"/>
      <c r="BW3910" s="207" t="n"/>
      <c r="BX3910" s="207" t="n"/>
      <c r="BY3910" s="204" t="n"/>
      <c r="BZ3910" s="148" t="n"/>
      <c r="CA3910" s="204" t="n"/>
      <c r="CB3910" s="208" t="n"/>
      <c r="CC3910" s="139" t="n"/>
      <c r="CD3910" s="204" t="n"/>
      <c r="CE3910" s="204" t="n"/>
      <c r="CF3910" s="207" t="n"/>
      <c r="CG3910" s="208" t="n"/>
      <c r="CH3910" s="207" t="n"/>
      <c r="CI3910" s="208" t="n"/>
      <c r="CJ3910" s="204" t="n"/>
      <c r="CK3910" s="208" t="n"/>
      <c r="CL3910" s="208" t="n"/>
      <c r="CM3910" s="208" t="n"/>
      <c r="CN3910" s="78" t="n"/>
      <c r="CO3910" s="209" t="n"/>
      <c r="CP3910" s="204" t="n"/>
      <c r="CQ3910" s="204" t="n"/>
      <c r="CR3910" s="204" t="n"/>
      <c r="CS3910" s="204" t="n"/>
      <c r="CT3910" s="204" t="n"/>
      <c r="CU3910" s="204" t="n"/>
      <c r="CV3910" s="204" t="n"/>
      <c r="CW3910" s="204" t="n"/>
    </row>
    <row r="3911">
      <c r="BF3911" s="78" t="n"/>
      <c r="BG3911" s="78" t="n"/>
      <c r="BH3911" s="78" t="n"/>
      <c r="BI3911" s="78" t="n"/>
      <c r="BJ3911" s="139" t="n"/>
      <c r="BK3911" s="204" t="n"/>
      <c r="BL3911" s="141" t="n"/>
      <c r="BM3911" s="205" t="n"/>
      <c r="BN3911" s="205" t="n"/>
      <c r="BO3911" s="206" t="n"/>
      <c r="BP3911" s="144" t="n"/>
      <c r="BQ3911" s="141" t="n"/>
      <c r="BR3911" s="207" t="n"/>
      <c r="BS3911" s="207" t="n"/>
      <c r="BT3911" s="207" t="n"/>
      <c r="BU3911" s="207" t="n"/>
      <c r="BV3911" s="208" t="n"/>
      <c r="BW3911" s="207" t="n"/>
      <c r="BX3911" s="207" t="n"/>
      <c r="BY3911" s="204" t="n"/>
      <c r="BZ3911" s="148" t="n"/>
      <c r="CA3911" s="204" t="n"/>
      <c r="CB3911" s="208" t="n"/>
      <c r="CC3911" s="139" t="n"/>
      <c r="CD3911" s="204" t="n"/>
      <c r="CE3911" s="204" t="n"/>
      <c r="CF3911" s="207" t="n"/>
      <c r="CG3911" s="208" t="n"/>
      <c r="CH3911" s="207" t="n"/>
      <c r="CI3911" s="208" t="n"/>
      <c r="CJ3911" s="204" t="n"/>
      <c r="CK3911" s="208" t="n"/>
      <c r="CL3911" s="208" t="n"/>
      <c r="CM3911" s="208" t="n"/>
      <c r="CN3911" s="78" t="n"/>
      <c r="CO3911" s="209" t="n"/>
      <c r="CP3911" s="204" t="n"/>
      <c r="CQ3911" s="204" t="n"/>
      <c r="CR3911" s="204" t="n"/>
      <c r="CS3911" s="204" t="n"/>
      <c r="CT3911" s="204" t="n"/>
      <c r="CU3911" s="204" t="n"/>
      <c r="CV3911" s="204" t="n"/>
      <c r="CW3911" s="204" t="n"/>
    </row>
    <row r="3912">
      <c r="BF3912" s="78" t="n"/>
      <c r="BG3912" s="78" t="n"/>
      <c r="BH3912" s="78" t="n"/>
      <c r="BI3912" s="78" t="n"/>
      <c r="BJ3912" s="139" t="n"/>
      <c r="BK3912" s="204" t="n"/>
      <c r="BL3912" s="141" t="n"/>
      <c r="BM3912" s="205" t="n"/>
      <c r="BN3912" s="205" t="n"/>
      <c r="BO3912" s="206" t="n"/>
      <c r="BP3912" s="144" t="n"/>
      <c r="BQ3912" s="141" t="n"/>
      <c r="BR3912" s="207" t="n"/>
      <c r="BS3912" s="207" t="n"/>
      <c r="BT3912" s="207" t="n"/>
      <c r="BU3912" s="207" t="n"/>
      <c r="BV3912" s="208" t="n"/>
      <c r="BW3912" s="207" t="n"/>
      <c r="BX3912" s="207" t="n"/>
      <c r="BY3912" s="204" t="n"/>
      <c r="BZ3912" s="148" t="n"/>
      <c r="CA3912" s="204" t="n"/>
      <c r="CB3912" s="208" t="n"/>
      <c r="CC3912" s="139" t="n"/>
      <c r="CD3912" s="204" t="n"/>
      <c r="CE3912" s="204" t="n"/>
      <c r="CF3912" s="207" t="n"/>
      <c r="CG3912" s="208" t="n"/>
      <c r="CH3912" s="207" t="n"/>
      <c r="CI3912" s="208" t="n"/>
      <c r="CJ3912" s="204" t="n"/>
      <c r="CK3912" s="208" t="n"/>
      <c r="CL3912" s="208" t="n"/>
      <c r="CM3912" s="208" t="n"/>
      <c r="CN3912" s="78" t="n"/>
      <c r="CO3912" s="209" t="n"/>
      <c r="CP3912" s="204" t="n"/>
      <c r="CQ3912" s="204" t="n"/>
      <c r="CR3912" s="204" t="n"/>
      <c r="CS3912" s="204" t="n"/>
      <c r="CT3912" s="204" t="n"/>
      <c r="CU3912" s="204" t="n"/>
      <c r="CV3912" s="204" t="n"/>
      <c r="CW3912" s="204" t="n"/>
    </row>
    <row r="3913">
      <c r="BF3913" s="78" t="n"/>
      <c r="BG3913" s="78" t="n"/>
      <c r="BH3913" s="78" t="n"/>
      <c r="BI3913" s="78" t="n"/>
      <c r="BJ3913" s="139" t="n"/>
      <c r="BK3913" s="204" t="n"/>
      <c r="BL3913" s="141" t="n"/>
      <c r="BM3913" s="205" t="n"/>
      <c r="BN3913" s="205" t="n"/>
      <c r="BO3913" s="206" t="n"/>
      <c r="BP3913" s="144" t="n"/>
      <c r="BQ3913" s="141" t="n"/>
      <c r="BR3913" s="207" t="n"/>
      <c r="BS3913" s="207" t="n"/>
      <c r="BT3913" s="207" t="n"/>
      <c r="BU3913" s="207" t="n"/>
      <c r="BV3913" s="208" t="n"/>
      <c r="BW3913" s="207" t="n"/>
      <c r="BX3913" s="207" t="n"/>
      <c r="BY3913" s="204" t="n"/>
      <c r="BZ3913" s="148" t="n"/>
      <c r="CA3913" s="204" t="n"/>
      <c r="CB3913" s="208" t="n"/>
      <c r="CC3913" s="139" t="n"/>
      <c r="CD3913" s="204" t="n"/>
      <c r="CE3913" s="204" t="n"/>
      <c r="CF3913" s="207" t="n"/>
      <c r="CG3913" s="208" t="n"/>
      <c r="CH3913" s="207" t="n"/>
      <c r="CI3913" s="208" t="n"/>
      <c r="CJ3913" s="204" t="n"/>
      <c r="CK3913" s="208" t="n"/>
      <c r="CL3913" s="208" t="n"/>
      <c r="CM3913" s="208" t="n"/>
      <c r="CN3913" s="78" t="n"/>
      <c r="CO3913" s="209" t="n"/>
      <c r="CP3913" s="204" t="n"/>
      <c r="CQ3913" s="204" t="n"/>
      <c r="CR3913" s="204" t="n"/>
      <c r="CS3913" s="204" t="n"/>
      <c r="CT3913" s="204" t="n"/>
      <c r="CU3913" s="204" t="n"/>
      <c r="CV3913" s="204" t="n"/>
      <c r="CW3913" s="204" t="n"/>
    </row>
    <row r="3914">
      <c r="BF3914" s="78" t="n"/>
      <c r="BG3914" s="78" t="n"/>
      <c r="BH3914" s="78" t="n"/>
      <c r="BI3914" s="78" t="n"/>
      <c r="BJ3914" s="139" t="n"/>
      <c r="BK3914" s="204" t="n"/>
      <c r="BL3914" s="141" t="n"/>
      <c r="BM3914" s="205" t="n"/>
      <c r="BN3914" s="205" t="n"/>
      <c r="BO3914" s="206" t="n"/>
      <c r="BP3914" s="144" t="n"/>
      <c r="BQ3914" s="141" t="n"/>
      <c r="BR3914" s="207" t="n"/>
      <c r="BS3914" s="207" t="n"/>
      <c r="BT3914" s="207" t="n"/>
      <c r="BU3914" s="207" t="n"/>
      <c r="BV3914" s="208" t="n"/>
      <c r="BW3914" s="207" t="n"/>
      <c r="BX3914" s="207" t="n"/>
      <c r="BY3914" s="204" t="n"/>
      <c r="BZ3914" s="148" t="n"/>
      <c r="CA3914" s="204" t="n"/>
      <c r="CB3914" s="208" t="n"/>
      <c r="CC3914" s="139" t="n"/>
      <c r="CD3914" s="204" t="n"/>
      <c r="CE3914" s="204" t="n"/>
      <c r="CF3914" s="207" t="n"/>
      <c r="CG3914" s="208" t="n"/>
      <c r="CH3914" s="207" t="n"/>
      <c r="CI3914" s="208" t="n"/>
      <c r="CJ3914" s="204" t="n"/>
      <c r="CK3914" s="208" t="n"/>
      <c r="CL3914" s="208" t="n"/>
      <c r="CM3914" s="208" t="n"/>
      <c r="CN3914" s="78" t="n"/>
      <c r="CO3914" s="209" t="n"/>
      <c r="CP3914" s="204" t="n"/>
      <c r="CQ3914" s="204" t="n"/>
      <c r="CR3914" s="204" t="n"/>
      <c r="CS3914" s="204" t="n"/>
      <c r="CT3914" s="204" t="n"/>
      <c r="CU3914" s="204" t="n"/>
      <c r="CV3914" s="204" t="n"/>
      <c r="CW3914" s="204" t="n"/>
    </row>
    <row r="3915">
      <c r="BF3915" s="78" t="n"/>
      <c r="BG3915" s="78" t="n"/>
      <c r="BH3915" s="78" t="n"/>
      <c r="BI3915" s="78" t="n"/>
      <c r="BJ3915" s="139" t="n"/>
      <c r="BK3915" s="204" t="n"/>
      <c r="BL3915" s="141" t="n"/>
      <c r="BM3915" s="205" t="n"/>
      <c r="BN3915" s="205" t="n"/>
      <c r="BO3915" s="206" t="n"/>
      <c r="BP3915" s="144" t="n"/>
      <c r="BQ3915" s="141" t="n"/>
      <c r="BR3915" s="207" t="n"/>
      <c r="BS3915" s="207" t="n"/>
      <c r="BT3915" s="207" t="n"/>
      <c r="BU3915" s="207" t="n"/>
      <c r="BV3915" s="208" t="n"/>
      <c r="BW3915" s="207" t="n"/>
      <c r="BX3915" s="207" t="n"/>
      <c r="BY3915" s="204" t="n"/>
      <c r="BZ3915" s="148" t="n"/>
      <c r="CA3915" s="204" t="n"/>
      <c r="CB3915" s="208" t="n"/>
      <c r="CC3915" s="139" t="n"/>
      <c r="CD3915" s="204" t="n"/>
      <c r="CE3915" s="204" t="n"/>
      <c r="CF3915" s="207" t="n"/>
      <c r="CG3915" s="208" t="n"/>
      <c r="CH3915" s="207" t="n"/>
      <c r="CI3915" s="208" t="n"/>
      <c r="CJ3915" s="204" t="n"/>
      <c r="CK3915" s="208" t="n"/>
      <c r="CL3915" s="208" t="n"/>
      <c r="CM3915" s="208" t="n"/>
      <c r="CN3915" s="78" t="n"/>
      <c r="CO3915" s="209" t="n"/>
      <c r="CP3915" s="204" t="n"/>
      <c r="CQ3915" s="204" t="n"/>
      <c r="CR3915" s="204" t="n"/>
      <c r="CS3915" s="204" t="n"/>
      <c r="CT3915" s="204" t="n"/>
      <c r="CU3915" s="204" t="n"/>
      <c r="CV3915" s="204" t="n"/>
      <c r="CW3915" s="204" t="n"/>
    </row>
    <row r="3916">
      <c r="BF3916" s="78" t="n"/>
      <c r="BG3916" s="78" t="n"/>
      <c r="BH3916" s="78" t="n"/>
      <c r="BI3916" s="78" t="n"/>
      <c r="BJ3916" s="139" t="n"/>
      <c r="BK3916" s="204" t="n"/>
      <c r="BL3916" s="141" t="n"/>
      <c r="BM3916" s="205" t="n"/>
      <c r="BN3916" s="205" t="n"/>
      <c r="BO3916" s="206" t="n"/>
      <c r="BP3916" s="144" t="n"/>
      <c r="BQ3916" s="141" t="n"/>
      <c r="BR3916" s="207" t="n"/>
      <c r="BS3916" s="207" t="n"/>
      <c r="BT3916" s="207" t="n"/>
      <c r="BU3916" s="207" t="n"/>
      <c r="BV3916" s="208" t="n"/>
      <c r="BW3916" s="207" t="n"/>
      <c r="BX3916" s="207" t="n"/>
      <c r="BY3916" s="204" t="n"/>
      <c r="BZ3916" s="148" t="n"/>
      <c r="CA3916" s="204" t="n"/>
      <c r="CB3916" s="208" t="n"/>
      <c r="CC3916" s="139" t="n"/>
      <c r="CD3916" s="204" t="n"/>
      <c r="CE3916" s="204" t="n"/>
      <c r="CF3916" s="207" t="n"/>
      <c r="CG3916" s="208" t="n"/>
      <c r="CH3916" s="207" t="n"/>
      <c r="CI3916" s="208" t="n"/>
      <c r="CJ3916" s="204" t="n"/>
      <c r="CK3916" s="208" t="n"/>
      <c r="CL3916" s="208" t="n"/>
      <c r="CM3916" s="208" t="n"/>
      <c r="CN3916" s="78" t="n"/>
      <c r="CO3916" s="209" t="n"/>
      <c r="CP3916" s="204" t="n"/>
      <c r="CQ3916" s="204" t="n"/>
      <c r="CR3916" s="204" t="n"/>
      <c r="CS3916" s="204" t="n"/>
      <c r="CT3916" s="204" t="n"/>
      <c r="CU3916" s="204" t="n"/>
      <c r="CV3916" s="204" t="n"/>
      <c r="CW3916" s="204" t="n"/>
    </row>
    <row r="3917">
      <c r="BF3917" s="78" t="n"/>
      <c r="BG3917" s="78" t="n"/>
      <c r="BH3917" s="78" t="n"/>
      <c r="BI3917" s="78" t="n"/>
      <c r="BJ3917" s="139" t="n"/>
      <c r="BK3917" s="204" t="n"/>
      <c r="BL3917" s="141" t="n"/>
      <c r="BM3917" s="205" t="n"/>
      <c r="BN3917" s="205" t="n"/>
      <c r="BO3917" s="206" t="n"/>
      <c r="BP3917" s="144" t="n"/>
      <c r="BQ3917" s="141" t="n"/>
      <c r="BR3917" s="207" t="n"/>
      <c r="BS3917" s="207" t="n"/>
      <c r="BT3917" s="207" t="n"/>
      <c r="BU3917" s="207" t="n"/>
      <c r="BV3917" s="208" t="n"/>
      <c r="BW3917" s="207" t="n"/>
      <c r="BX3917" s="207" t="n"/>
      <c r="BY3917" s="204" t="n"/>
      <c r="BZ3917" s="148" t="n"/>
      <c r="CA3917" s="204" t="n"/>
      <c r="CB3917" s="208" t="n"/>
      <c r="CC3917" s="139" t="n"/>
      <c r="CD3917" s="204" t="n"/>
      <c r="CE3917" s="204" t="n"/>
      <c r="CF3917" s="207" t="n"/>
      <c r="CG3917" s="208" t="n"/>
      <c r="CH3917" s="207" t="n"/>
      <c r="CI3917" s="208" t="n"/>
      <c r="CJ3917" s="204" t="n"/>
      <c r="CK3917" s="208" t="n"/>
      <c r="CL3917" s="208" t="n"/>
      <c r="CM3917" s="208" t="n"/>
      <c r="CN3917" s="78" t="n"/>
      <c r="CO3917" s="209" t="n"/>
      <c r="CP3917" s="204" t="n"/>
      <c r="CQ3917" s="204" t="n"/>
      <c r="CR3917" s="204" t="n"/>
      <c r="CS3917" s="204" t="n"/>
      <c r="CT3917" s="204" t="n"/>
      <c r="CU3917" s="204" t="n"/>
      <c r="CV3917" s="204" t="n"/>
      <c r="CW3917" s="204" t="n"/>
    </row>
    <row r="3918">
      <c r="BF3918" s="78" t="n"/>
      <c r="BG3918" s="78" t="n"/>
      <c r="BH3918" s="78" t="n"/>
      <c r="BI3918" s="78" t="n"/>
      <c r="BJ3918" s="139" t="n"/>
      <c r="BK3918" s="204" t="n"/>
      <c r="BL3918" s="141" t="n"/>
      <c r="BM3918" s="205" t="n"/>
      <c r="BN3918" s="205" t="n"/>
      <c r="BO3918" s="206" t="n"/>
      <c r="BP3918" s="144" t="n"/>
      <c r="BQ3918" s="141" t="n"/>
      <c r="BR3918" s="207" t="n"/>
      <c r="BS3918" s="207" t="n"/>
      <c r="BT3918" s="207" t="n"/>
      <c r="BU3918" s="207" t="n"/>
      <c r="BV3918" s="208" t="n"/>
      <c r="BW3918" s="207" t="n"/>
      <c r="BX3918" s="207" t="n"/>
      <c r="BY3918" s="204" t="n"/>
      <c r="BZ3918" s="148" t="n"/>
      <c r="CA3918" s="204" t="n"/>
      <c r="CB3918" s="208" t="n"/>
      <c r="CC3918" s="139" t="n"/>
      <c r="CD3918" s="204" t="n"/>
      <c r="CE3918" s="204" t="n"/>
      <c r="CF3918" s="207" t="n"/>
      <c r="CG3918" s="208" t="n"/>
      <c r="CH3918" s="207" t="n"/>
      <c r="CI3918" s="208" t="n"/>
      <c r="CJ3918" s="204" t="n"/>
      <c r="CK3918" s="208" t="n"/>
      <c r="CL3918" s="208" t="n"/>
      <c r="CM3918" s="208" t="n"/>
      <c r="CN3918" s="78" t="n"/>
      <c r="CO3918" s="209" t="n"/>
      <c r="CP3918" s="204" t="n"/>
      <c r="CQ3918" s="204" t="n"/>
      <c r="CR3918" s="204" t="n"/>
      <c r="CS3918" s="204" t="n"/>
      <c r="CT3918" s="204" t="n"/>
      <c r="CU3918" s="204" t="n"/>
      <c r="CV3918" s="204" t="n"/>
      <c r="CW3918" s="204" t="n"/>
    </row>
    <row r="3919">
      <c r="BF3919" s="78" t="n"/>
      <c r="BG3919" s="78" t="n"/>
      <c r="BH3919" s="78" t="n"/>
      <c r="BI3919" s="78" t="n"/>
      <c r="BJ3919" s="139" t="n"/>
      <c r="BK3919" s="204" t="n"/>
      <c r="BL3919" s="141" t="n"/>
      <c r="BM3919" s="205" t="n"/>
      <c r="BN3919" s="205" t="n"/>
      <c r="BO3919" s="206" t="n"/>
      <c r="BP3919" s="144" t="n"/>
      <c r="BQ3919" s="141" t="n"/>
      <c r="BR3919" s="207" t="n"/>
      <c r="BS3919" s="207" t="n"/>
      <c r="BT3919" s="207" t="n"/>
      <c r="BU3919" s="207" t="n"/>
      <c r="BV3919" s="208" t="n"/>
      <c r="BW3919" s="207" t="n"/>
      <c r="BX3919" s="207" t="n"/>
      <c r="BY3919" s="204" t="n"/>
      <c r="BZ3919" s="148" t="n"/>
      <c r="CA3919" s="204" t="n"/>
      <c r="CB3919" s="208" t="n"/>
      <c r="CC3919" s="139" t="n"/>
      <c r="CD3919" s="204" t="n"/>
      <c r="CE3919" s="204" t="n"/>
      <c r="CF3919" s="207" t="n"/>
      <c r="CG3919" s="208" t="n"/>
      <c r="CH3919" s="207" t="n"/>
      <c r="CI3919" s="208" t="n"/>
      <c r="CJ3919" s="204" t="n"/>
      <c r="CK3919" s="208" t="n"/>
      <c r="CL3919" s="208" t="n"/>
      <c r="CM3919" s="208" t="n"/>
      <c r="CN3919" s="78" t="n"/>
      <c r="CO3919" s="209" t="n"/>
      <c r="CP3919" s="204" t="n"/>
      <c r="CQ3919" s="204" t="n"/>
      <c r="CR3919" s="204" t="n"/>
      <c r="CS3919" s="204" t="n"/>
      <c r="CT3919" s="204" t="n"/>
      <c r="CU3919" s="204" t="n"/>
      <c r="CV3919" s="204" t="n"/>
      <c r="CW3919" s="204" t="n"/>
    </row>
    <row r="3920">
      <c r="BF3920" s="78" t="n"/>
      <c r="BG3920" s="78" t="n"/>
      <c r="BH3920" s="78" t="n"/>
      <c r="BI3920" s="78" t="n"/>
      <c r="BJ3920" s="139" t="n"/>
      <c r="BK3920" s="204" t="n"/>
      <c r="BL3920" s="141" t="n"/>
      <c r="BM3920" s="205" t="n"/>
      <c r="BN3920" s="205" t="n"/>
      <c r="BO3920" s="206" t="n"/>
      <c r="BP3920" s="144" t="n"/>
      <c r="BQ3920" s="141" t="n"/>
      <c r="BR3920" s="207" t="n"/>
      <c r="BS3920" s="207" t="n"/>
      <c r="BT3920" s="207" t="n"/>
      <c r="BU3920" s="207" t="n"/>
      <c r="BV3920" s="208" t="n"/>
      <c r="BW3920" s="207" t="n"/>
      <c r="BX3920" s="207" t="n"/>
      <c r="BY3920" s="204" t="n"/>
      <c r="BZ3920" s="148" t="n"/>
      <c r="CA3920" s="204" t="n"/>
      <c r="CB3920" s="208" t="n"/>
      <c r="CC3920" s="139" t="n"/>
      <c r="CD3920" s="204" t="n"/>
      <c r="CE3920" s="204" t="n"/>
      <c r="CF3920" s="207" t="n"/>
      <c r="CG3920" s="208" t="n"/>
      <c r="CH3920" s="207" t="n"/>
      <c r="CI3920" s="208" t="n"/>
      <c r="CJ3920" s="204" t="n"/>
      <c r="CK3920" s="208" t="n"/>
      <c r="CL3920" s="208" t="n"/>
      <c r="CM3920" s="208" t="n"/>
      <c r="CN3920" s="78" t="n"/>
      <c r="CO3920" s="209" t="n"/>
      <c r="CP3920" s="204" t="n"/>
      <c r="CQ3920" s="204" t="n"/>
      <c r="CR3920" s="204" t="n"/>
      <c r="CS3920" s="204" t="n"/>
      <c r="CT3920" s="204" t="n"/>
      <c r="CU3920" s="204" t="n"/>
      <c r="CV3920" s="204" t="n"/>
      <c r="CW3920" s="204" t="n"/>
    </row>
    <row r="3921">
      <c r="BF3921" s="78" t="n"/>
      <c r="BG3921" s="78" t="n"/>
      <c r="BH3921" s="78" t="n"/>
      <c r="BI3921" s="78" t="n"/>
      <c r="BJ3921" s="139" t="n"/>
      <c r="BK3921" s="204" t="n"/>
      <c r="BL3921" s="141" t="n"/>
      <c r="BM3921" s="205" t="n"/>
      <c r="BN3921" s="205" t="n"/>
      <c r="BO3921" s="206" t="n"/>
      <c r="BP3921" s="144" t="n"/>
      <c r="BQ3921" s="141" t="n"/>
      <c r="BR3921" s="207" t="n"/>
      <c r="BS3921" s="207" t="n"/>
      <c r="BT3921" s="207" t="n"/>
      <c r="BU3921" s="207" t="n"/>
      <c r="BV3921" s="208" t="n"/>
      <c r="BW3921" s="207" t="n"/>
      <c r="BX3921" s="207" t="n"/>
      <c r="BY3921" s="204" t="n"/>
      <c r="BZ3921" s="148" t="n"/>
      <c r="CA3921" s="204" t="n"/>
      <c r="CB3921" s="208" t="n"/>
      <c r="CC3921" s="139" t="n"/>
      <c r="CD3921" s="204" t="n"/>
      <c r="CE3921" s="204" t="n"/>
      <c r="CF3921" s="207" t="n"/>
      <c r="CG3921" s="208" t="n"/>
      <c r="CH3921" s="207" t="n"/>
      <c r="CI3921" s="208" t="n"/>
      <c r="CJ3921" s="204" t="n"/>
      <c r="CK3921" s="208" t="n"/>
      <c r="CL3921" s="208" t="n"/>
      <c r="CM3921" s="208" t="n"/>
      <c r="CN3921" s="78" t="n"/>
      <c r="CO3921" s="209" t="n"/>
      <c r="CP3921" s="204" t="n"/>
      <c r="CQ3921" s="204" t="n"/>
      <c r="CR3921" s="204" t="n"/>
      <c r="CS3921" s="204" t="n"/>
      <c r="CT3921" s="204" t="n"/>
      <c r="CU3921" s="204" t="n"/>
      <c r="CV3921" s="204" t="n"/>
      <c r="CW3921" s="204" t="n"/>
    </row>
    <row r="3922">
      <c r="BF3922" s="78" t="n"/>
      <c r="BG3922" s="78" t="n"/>
      <c r="BH3922" s="78" t="n"/>
      <c r="BI3922" s="78" t="n"/>
      <c r="BJ3922" s="139" t="n"/>
      <c r="BK3922" s="204" t="n"/>
      <c r="BL3922" s="141" t="n"/>
      <c r="BM3922" s="205" t="n"/>
      <c r="BN3922" s="205" t="n"/>
      <c r="BO3922" s="206" t="n"/>
      <c r="BP3922" s="144" t="n"/>
      <c r="BQ3922" s="141" t="n"/>
      <c r="BR3922" s="207" t="n"/>
      <c r="BS3922" s="207" t="n"/>
      <c r="BT3922" s="207" t="n"/>
      <c r="BU3922" s="207" t="n"/>
      <c r="BV3922" s="208" t="n"/>
      <c r="BW3922" s="207" t="n"/>
      <c r="BX3922" s="207" t="n"/>
      <c r="BY3922" s="204" t="n"/>
      <c r="BZ3922" s="148" t="n"/>
      <c r="CA3922" s="204" t="n"/>
      <c r="CB3922" s="208" t="n"/>
      <c r="CC3922" s="139" t="n"/>
      <c r="CD3922" s="204" t="n"/>
      <c r="CE3922" s="204" t="n"/>
      <c r="CF3922" s="207" t="n"/>
      <c r="CG3922" s="208" t="n"/>
      <c r="CH3922" s="207" t="n"/>
      <c r="CI3922" s="208" t="n"/>
      <c r="CJ3922" s="204" t="n"/>
      <c r="CK3922" s="208" t="n"/>
      <c r="CL3922" s="208" t="n"/>
      <c r="CM3922" s="208" t="n"/>
      <c r="CN3922" s="78" t="n"/>
      <c r="CO3922" s="209" t="n"/>
      <c r="CP3922" s="204" t="n"/>
      <c r="CQ3922" s="204" t="n"/>
      <c r="CR3922" s="204" t="n"/>
      <c r="CS3922" s="204" t="n"/>
      <c r="CT3922" s="204" t="n"/>
      <c r="CU3922" s="204" t="n"/>
      <c r="CV3922" s="204" t="n"/>
      <c r="CW3922" s="204" t="n"/>
    </row>
    <row r="3923">
      <c r="BF3923" s="78" t="n"/>
      <c r="BG3923" s="78" t="n"/>
      <c r="BH3923" s="78" t="n"/>
      <c r="BI3923" s="78" t="n"/>
      <c r="BJ3923" s="139" t="n"/>
      <c r="BK3923" s="204" t="n"/>
      <c r="BL3923" s="141" t="n"/>
      <c r="BM3923" s="205" t="n"/>
      <c r="BN3923" s="205" t="n"/>
      <c r="BO3923" s="206" t="n"/>
      <c r="BP3923" s="144" t="n"/>
      <c r="BQ3923" s="141" t="n"/>
      <c r="BR3923" s="207" t="n"/>
      <c r="BS3923" s="207" t="n"/>
      <c r="BT3923" s="207" t="n"/>
      <c r="BU3923" s="207" t="n"/>
      <c r="BV3923" s="208" t="n"/>
      <c r="BW3923" s="207" t="n"/>
      <c r="BX3923" s="207" t="n"/>
      <c r="BY3923" s="204" t="n"/>
      <c r="BZ3923" s="148" t="n"/>
      <c r="CA3923" s="204" t="n"/>
      <c r="CB3923" s="208" t="n"/>
      <c r="CC3923" s="139" t="n"/>
      <c r="CD3923" s="204" t="n"/>
      <c r="CE3923" s="204" t="n"/>
      <c r="CF3923" s="207" t="n"/>
      <c r="CG3923" s="208" t="n"/>
      <c r="CH3923" s="207" t="n"/>
      <c r="CI3923" s="208" t="n"/>
      <c r="CJ3923" s="204" t="n"/>
      <c r="CK3923" s="208" t="n"/>
      <c r="CL3923" s="208" t="n"/>
      <c r="CM3923" s="208" t="n"/>
      <c r="CN3923" s="78" t="n"/>
      <c r="CO3923" s="209" t="n"/>
      <c r="CP3923" s="204" t="n"/>
      <c r="CQ3923" s="204" t="n"/>
      <c r="CR3923" s="204" t="n"/>
      <c r="CS3923" s="204" t="n"/>
      <c r="CT3923" s="204" t="n"/>
      <c r="CU3923" s="204" t="n"/>
      <c r="CV3923" s="204" t="n"/>
      <c r="CW3923" s="204" t="n"/>
    </row>
    <row r="3924">
      <c r="BF3924" s="78" t="n"/>
      <c r="BG3924" s="78" t="n"/>
      <c r="BH3924" s="78" t="n"/>
      <c r="BI3924" s="78" t="n"/>
      <c r="BJ3924" s="139" t="n"/>
      <c r="BK3924" s="204" t="n"/>
      <c r="BL3924" s="141" t="n"/>
      <c r="BM3924" s="205" t="n"/>
      <c r="BN3924" s="205" t="n"/>
      <c r="BO3924" s="206" t="n"/>
      <c r="BP3924" s="144" t="n"/>
      <c r="BQ3924" s="141" t="n"/>
      <c r="BR3924" s="207" t="n"/>
      <c r="BS3924" s="207" t="n"/>
      <c r="BT3924" s="207" t="n"/>
      <c r="BU3924" s="207" t="n"/>
      <c r="BV3924" s="208" t="n"/>
      <c r="BW3924" s="207" t="n"/>
      <c r="BX3924" s="207" t="n"/>
      <c r="BY3924" s="204" t="n"/>
      <c r="BZ3924" s="148" t="n"/>
      <c r="CA3924" s="204" t="n"/>
      <c r="CB3924" s="208" t="n"/>
      <c r="CC3924" s="139" t="n"/>
      <c r="CD3924" s="204" t="n"/>
      <c r="CE3924" s="204" t="n"/>
      <c r="CF3924" s="207" t="n"/>
      <c r="CG3924" s="208" t="n"/>
      <c r="CH3924" s="207" t="n"/>
      <c r="CI3924" s="208" t="n"/>
      <c r="CJ3924" s="204" t="n"/>
      <c r="CK3924" s="208" t="n"/>
      <c r="CL3924" s="208" t="n"/>
      <c r="CM3924" s="208" t="n"/>
      <c r="CN3924" s="78" t="n"/>
      <c r="CO3924" s="209" t="n"/>
      <c r="CP3924" s="204" t="n"/>
      <c r="CQ3924" s="204" t="n"/>
      <c r="CR3924" s="204" t="n"/>
      <c r="CS3924" s="204" t="n"/>
      <c r="CT3924" s="204" t="n"/>
      <c r="CU3924" s="204" t="n"/>
      <c r="CV3924" s="204" t="n"/>
      <c r="CW3924" s="204" t="n"/>
    </row>
    <row r="3925">
      <c r="BF3925" s="78" t="n"/>
      <c r="BG3925" s="78" t="n"/>
      <c r="BH3925" s="78" t="n"/>
      <c r="BI3925" s="78" t="n"/>
      <c r="BJ3925" s="139" t="n"/>
      <c r="BK3925" s="204" t="n"/>
      <c r="BL3925" s="141" t="n"/>
      <c r="BM3925" s="205" t="n"/>
      <c r="BN3925" s="205" t="n"/>
      <c r="BO3925" s="206" t="n"/>
      <c r="BP3925" s="144" t="n"/>
      <c r="BQ3925" s="141" t="n"/>
      <c r="BR3925" s="207" t="n"/>
      <c r="BS3925" s="207" t="n"/>
      <c r="BT3925" s="207" t="n"/>
      <c r="BU3925" s="207" t="n"/>
      <c r="BV3925" s="208" t="n"/>
      <c r="BW3925" s="207" t="n"/>
      <c r="BX3925" s="207" t="n"/>
      <c r="BY3925" s="204" t="n"/>
      <c r="BZ3925" s="148" t="n"/>
      <c r="CA3925" s="204" t="n"/>
      <c r="CB3925" s="208" t="n"/>
      <c r="CC3925" s="139" t="n"/>
      <c r="CD3925" s="204" t="n"/>
      <c r="CE3925" s="204" t="n"/>
      <c r="CF3925" s="207" t="n"/>
      <c r="CG3925" s="208" t="n"/>
      <c r="CH3925" s="207" t="n"/>
      <c r="CI3925" s="208" t="n"/>
      <c r="CJ3925" s="204" t="n"/>
      <c r="CK3925" s="208" t="n"/>
      <c r="CL3925" s="208" t="n"/>
      <c r="CM3925" s="208" t="n"/>
      <c r="CN3925" s="78" t="n"/>
      <c r="CO3925" s="209" t="n"/>
      <c r="CP3925" s="204" t="n"/>
      <c r="CQ3925" s="204" t="n"/>
      <c r="CR3925" s="204" t="n"/>
      <c r="CS3925" s="204" t="n"/>
      <c r="CT3925" s="204" t="n"/>
      <c r="CU3925" s="204" t="n"/>
      <c r="CV3925" s="204" t="n"/>
      <c r="CW3925" s="204" t="n"/>
    </row>
    <row r="3926">
      <c r="BF3926" s="78" t="n"/>
      <c r="BG3926" s="78" t="n"/>
      <c r="BH3926" s="78" t="n"/>
      <c r="BI3926" s="78" t="n"/>
      <c r="BJ3926" s="139" t="n"/>
      <c r="BK3926" s="204" t="n"/>
      <c r="BL3926" s="141" t="n"/>
      <c r="BM3926" s="205" t="n"/>
      <c r="BN3926" s="205" t="n"/>
      <c r="BO3926" s="206" t="n"/>
      <c r="BP3926" s="144" t="n"/>
      <c r="BQ3926" s="141" t="n"/>
      <c r="BR3926" s="207" t="n"/>
      <c r="BS3926" s="207" t="n"/>
      <c r="BT3926" s="207" t="n"/>
      <c r="BU3926" s="207" t="n"/>
      <c r="BV3926" s="208" t="n"/>
      <c r="BW3926" s="207" t="n"/>
      <c r="BX3926" s="207" t="n"/>
      <c r="BY3926" s="204" t="n"/>
      <c r="BZ3926" s="148" t="n"/>
      <c r="CA3926" s="204" t="n"/>
      <c r="CB3926" s="208" t="n"/>
      <c r="CC3926" s="139" t="n"/>
      <c r="CD3926" s="204" t="n"/>
      <c r="CE3926" s="204" t="n"/>
      <c r="CF3926" s="207" t="n"/>
      <c r="CG3926" s="208" t="n"/>
      <c r="CH3926" s="207" t="n"/>
      <c r="CI3926" s="208" t="n"/>
      <c r="CJ3926" s="204" t="n"/>
      <c r="CK3926" s="208" t="n"/>
      <c r="CL3926" s="208" t="n"/>
      <c r="CM3926" s="208" t="n"/>
      <c r="CN3926" s="78" t="n"/>
      <c r="CO3926" s="209" t="n"/>
      <c r="CP3926" s="204" t="n"/>
      <c r="CQ3926" s="204" t="n"/>
      <c r="CR3926" s="204" t="n"/>
      <c r="CS3926" s="204" t="n"/>
      <c r="CT3926" s="204" t="n"/>
      <c r="CU3926" s="204" t="n"/>
      <c r="CV3926" s="204" t="n"/>
      <c r="CW3926" s="204" t="n"/>
    </row>
    <row r="3927">
      <c r="BF3927" s="78" t="n"/>
      <c r="BG3927" s="78" t="n"/>
      <c r="BH3927" s="78" t="n"/>
      <c r="BI3927" s="78" t="n"/>
      <c r="BJ3927" s="139" t="n"/>
      <c r="BK3927" s="204" t="n"/>
      <c r="BL3927" s="141" t="n"/>
      <c r="BM3927" s="205" t="n"/>
      <c r="BN3927" s="205" t="n"/>
      <c r="BO3927" s="206" t="n"/>
      <c r="BP3927" s="144" t="n"/>
      <c r="BQ3927" s="141" t="n"/>
      <c r="BR3927" s="207" t="n"/>
      <c r="BS3927" s="207" t="n"/>
      <c r="BT3927" s="207" t="n"/>
      <c r="BU3927" s="207" t="n"/>
      <c r="BV3927" s="208" t="n"/>
      <c r="BW3927" s="207" t="n"/>
      <c r="BX3927" s="207" t="n"/>
      <c r="BY3927" s="204" t="n"/>
      <c r="BZ3927" s="148" t="n"/>
      <c r="CA3927" s="204" t="n"/>
      <c r="CB3927" s="208" t="n"/>
      <c r="CC3927" s="139" t="n"/>
      <c r="CD3927" s="204" t="n"/>
      <c r="CE3927" s="204" t="n"/>
      <c r="CF3927" s="207" t="n"/>
      <c r="CG3927" s="208" t="n"/>
      <c r="CH3927" s="207" t="n"/>
      <c r="CI3927" s="208" t="n"/>
      <c r="CJ3927" s="204" t="n"/>
      <c r="CK3927" s="208" t="n"/>
      <c r="CL3927" s="208" t="n"/>
      <c r="CM3927" s="208" t="n"/>
      <c r="CN3927" s="78" t="n"/>
      <c r="CO3927" s="209" t="n"/>
      <c r="CP3927" s="204" t="n"/>
      <c r="CQ3927" s="204" t="n"/>
      <c r="CR3927" s="204" t="n"/>
      <c r="CS3927" s="204" t="n"/>
      <c r="CT3927" s="204" t="n"/>
      <c r="CU3927" s="204" t="n"/>
      <c r="CV3927" s="204" t="n"/>
      <c r="CW3927" s="204" t="n"/>
    </row>
    <row r="3928">
      <c r="BF3928" s="78" t="n"/>
      <c r="BG3928" s="78" t="n"/>
      <c r="BH3928" s="78" t="n"/>
      <c r="BI3928" s="78" t="n"/>
      <c r="BJ3928" s="139" t="n"/>
      <c r="BK3928" s="204" t="n"/>
      <c r="BL3928" s="141" t="n"/>
      <c r="BM3928" s="205" t="n"/>
      <c r="BN3928" s="205" t="n"/>
      <c r="BO3928" s="206" t="n"/>
      <c r="BP3928" s="144" t="n"/>
      <c r="BQ3928" s="141" t="n"/>
      <c r="BR3928" s="207" t="n"/>
      <c r="BS3928" s="207" t="n"/>
      <c r="BT3928" s="207" t="n"/>
      <c r="BU3928" s="207" t="n"/>
      <c r="BV3928" s="208" t="n"/>
      <c r="BW3928" s="207" t="n"/>
      <c r="BX3928" s="207" t="n"/>
      <c r="BY3928" s="204" t="n"/>
      <c r="BZ3928" s="148" t="n"/>
      <c r="CA3928" s="204" t="n"/>
      <c r="CB3928" s="208" t="n"/>
      <c r="CC3928" s="139" t="n"/>
      <c r="CD3928" s="204" t="n"/>
      <c r="CE3928" s="204" t="n"/>
      <c r="CF3928" s="207" t="n"/>
      <c r="CG3928" s="208" t="n"/>
      <c r="CH3928" s="207" t="n"/>
      <c r="CI3928" s="208" t="n"/>
      <c r="CJ3928" s="204" t="n"/>
      <c r="CK3928" s="208" t="n"/>
      <c r="CL3928" s="208" t="n"/>
      <c r="CM3928" s="208" t="n"/>
      <c r="CN3928" s="78" t="n"/>
      <c r="CO3928" s="209" t="n"/>
      <c r="CP3928" s="204" t="n"/>
      <c r="CQ3928" s="204" t="n"/>
      <c r="CR3928" s="204" t="n"/>
      <c r="CS3928" s="204" t="n"/>
      <c r="CT3928" s="204" t="n"/>
      <c r="CU3928" s="204" t="n"/>
      <c r="CV3928" s="204" t="n"/>
      <c r="CW3928" s="204" t="n"/>
    </row>
    <row r="3929">
      <c r="BF3929" s="78" t="n"/>
      <c r="BG3929" s="78" t="n"/>
      <c r="BH3929" s="78" t="n"/>
      <c r="BI3929" s="78" t="n"/>
      <c r="BJ3929" s="139" t="n"/>
      <c r="BK3929" s="204" t="n"/>
      <c r="BL3929" s="141" t="n"/>
      <c r="BM3929" s="205" t="n"/>
      <c r="BN3929" s="205" t="n"/>
      <c r="BO3929" s="206" t="n"/>
      <c r="BP3929" s="144" t="n"/>
      <c r="BQ3929" s="141" t="n"/>
      <c r="BR3929" s="207" t="n"/>
      <c r="BS3929" s="207" t="n"/>
      <c r="BT3929" s="207" t="n"/>
      <c r="BU3929" s="207" t="n"/>
      <c r="BV3929" s="208" t="n"/>
      <c r="BW3929" s="207" t="n"/>
      <c r="BX3929" s="207" t="n"/>
      <c r="BY3929" s="204" t="n"/>
      <c r="BZ3929" s="148" t="n"/>
      <c r="CA3929" s="204" t="n"/>
      <c r="CB3929" s="208" t="n"/>
      <c r="CC3929" s="139" t="n"/>
      <c r="CD3929" s="204" t="n"/>
      <c r="CE3929" s="204" t="n"/>
      <c r="CF3929" s="207" t="n"/>
      <c r="CG3929" s="208" t="n"/>
      <c r="CH3929" s="207" t="n"/>
      <c r="CI3929" s="208" t="n"/>
      <c r="CJ3929" s="204" t="n"/>
      <c r="CK3929" s="208" t="n"/>
      <c r="CL3929" s="208" t="n"/>
      <c r="CM3929" s="208" t="n"/>
      <c r="CN3929" s="78" t="n"/>
      <c r="CO3929" s="209" t="n"/>
      <c r="CP3929" s="204" t="n"/>
      <c r="CQ3929" s="204" t="n"/>
      <c r="CR3929" s="204" t="n"/>
      <c r="CS3929" s="204" t="n"/>
      <c r="CT3929" s="204" t="n"/>
      <c r="CU3929" s="204" t="n"/>
      <c r="CV3929" s="204" t="n"/>
      <c r="CW3929" s="204" t="n"/>
    </row>
    <row r="3930">
      <c r="BF3930" s="78" t="n"/>
      <c r="BG3930" s="78" t="n"/>
      <c r="BH3930" s="78" t="n"/>
      <c r="BI3930" s="78" t="n"/>
      <c r="BJ3930" s="139" t="n"/>
      <c r="BK3930" s="204" t="n"/>
      <c r="BL3930" s="141" t="n"/>
      <c r="BM3930" s="205" t="n"/>
      <c r="BN3930" s="205" t="n"/>
      <c r="BO3930" s="206" t="n"/>
      <c r="BP3930" s="144" t="n"/>
      <c r="BQ3930" s="141" t="n"/>
      <c r="BR3930" s="207" t="n"/>
      <c r="BS3930" s="207" t="n"/>
      <c r="BT3930" s="207" t="n"/>
      <c r="BU3930" s="207" t="n"/>
      <c r="BV3930" s="208" t="n"/>
      <c r="BW3930" s="207" t="n"/>
      <c r="BX3930" s="207" t="n"/>
      <c r="BY3930" s="204" t="n"/>
      <c r="BZ3930" s="148" t="n"/>
      <c r="CA3930" s="204" t="n"/>
      <c r="CB3930" s="208" t="n"/>
      <c r="CC3930" s="139" t="n"/>
      <c r="CD3930" s="204" t="n"/>
      <c r="CE3930" s="204" t="n"/>
      <c r="CF3930" s="207" t="n"/>
      <c r="CG3930" s="208" t="n"/>
      <c r="CH3930" s="207" t="n"/>
      <c r="CI3930" s="208" t="n"/>
      <c r="CJ3930" s="204" t="n"/>
      <c r="CK3930" s="208" t="n"/>
      <c r="CL3930" s="208" t="n"/>
      <c r="CM3930" s="208" t="n"/>
      <c r="CN3930" s="78" t="n"/>
      <c r="CO3930" s="209" t="n"/>
      <c r="CP3930" s="204" t="n"/>
      <c r="CQ3930" s="204" t="n"/>
      <c r="CR3930" s="204" t="n"/>
      <c r="CS3930" s="204" t="n"/>
      <c r="CT3930" s="204" t="n"/>
      <c r="CU3930" s="204" t="n"/>
      <c r="CV3930" s="204" t="n"/>
      <c r="CW3930" s="204" t="n"/>
    </row>
    <row r="3931">
      <c r="BF3931" s="78" t="n"/>
      <c r="BG3931" s="78" t="n"/>
      <c r="BH3931" s="78" t="n"/>
      <c r="BI3931" s="78" t="n"/>
      <c r="BJ3931" s="139" t="n"/>
      <c r="BK3931" s="204" t="n"/>
      <c r="BL3931" s="141" t="n"/>
      <c r="BM3931" s="205" t="n"/>
      <c r="BN3931" s="205" t="n"/>
      <c r="BO3931" s="206" t="n"/>
      <c r="BP3931" s="144" t="n"/>
      <c r="BQ3931" s="141" t="n"/>
      <c r="BR3931" s="207" t="n"/>
      <c r="BS3931" s="207" t="n"/>
      <c r="BT3931" s="207" t="n"/>
      <c r="BU3931" s="207" t="n"/>
      <c r="BV3931" s="208" t="n"/>
      <c r="BW3931" s="207" t="n"/>
      <c r="BX3931" s="207" t="n"/>
      <c r="BY3931" s="204" t="n"/>
      <c r="BZ3931" s="148" t="n"/>
      <c r="CA3931" s="204" t="n"/>
      <c r="CB3931" s="208" t="n"/>
      <c r="CC3931" s="139" t="n"/>
      <c r="CD3931" s="204" t="n"/>
      <c r="CE3931" s="204" t="n"/>
      <c r="CF3931" s="207" t="n"/>
      <c r="CG3931" s="208" t="n"/>
      <c r="CH3931" s="207" t="n"/>
      <c r="CI3931" s="208" t="n"/>
      <c r="CJ3931" s="204" t="n"/>
      <c r="CK3931" s="208" t="n"/>
      <c r="CL3931" s="208" t="n"/>
      <c r="CM3931" s="208" t="n"/>
      <c r="CN3931" s="78" t="n"/>
      <c r="CO3931" s="209" t="n"/>
      <c r="CP3931" s="204" t="n"/>
      <c r="CQ3931" s="204" t="n"/>
      <c r="CR3931" s="204" t="n"/>
      <c r="CS3931" s="204" t="n"/>
      <c r="CT3931" s="204" t="n"/>
      <c r="CU3931" s="204" t="n"/>
      <c r="CV3931" s="204" t="n"/>
      <c r="CW3931" s="204" t="n"/>
    </row>
    <row r="3932">
      <c r="BF3932" s="78" t="n"/>
      <c r="BG3932" s="78" t="n"/>
      <c r="BH3932" s="78" t="n"/>
      <c r="BI3932" s="78" t="n"/>
      <c r="BJ3932" s="139" t="n"/>
      <c r="BK3932" s="204" t="n"/>
      <c r="BL3932" s="141" t="n"/>
      <c r="BM3932" s="205" t="n"/>
      <c r="BN3932" s="205" t="n"/>
      <c r="BO3932" s="206" t="n"/>
      <c r="BP3932" s="144" t="n"/>
      <c r="BQ3932" s="141" t="n"/>
      <c r="BR3932" s="207" t="n"/>
      <c r="BS3932" s="207" t="n"/>
      <c r="BT3932" s="207" t="n"/>
      <c r="BU3932" s="207" t="n"/>
      <c r="BV3932" s="208" t="n"/>
      <c r="BW3932" s="207" t="n"/>
      <c r="BX3932" s="207" t="n"/>
      <c r="BY3932" s="204" t="n"/>
      <c r="BZ3932" s="148" t="n"/>
      <c r="CA3932" s="204" t="n"/>
      <c r="CB3932" s="208" t="n"/>
      <c r="CC3932" s="139" t="n"/>
      <c r="CD3932" s="204" t="n"/>
      <c r="CE3932" s="204" t="n"/>
      <c r="CF3932" s="207" t="n"/>
      <c r="CG3932" s="208" t="n"/>
      <c r="CH3932" s="207" t="n"/>
      <c r="CI3932" s="208" t="n"/>
      <c r="CJ3932" s="204" t="n"/>
      <c r="CK3932" s="208" t="n"/>
      <c r="CL3932" s="208" t="n"/>
      <c r="CM3932" s="208" t="n"/>
      <c r="CN3932" s="78" t="n"/>
      <c r="CO3932" s="209" t="n"/>
      <c r="CP3932" s="204" t="n"/>
      <c r="CQ3932" s="204" t="n"/>
      <c r="CR3932" s="204" t="n"/>
      <c r="CS3932" s="204" t="n"/>
      <c r="CT3932" s="204" t="n"/>
      <c r="CU3932" s="204" t="n"/>
      <c r="CV3932" s="204" t="n"/>
      <c r="CW3932" s="204" t="n"/>
    </row>
    <row r="3933">
      <c r="BF3933" s="78" t="n"/>
      <c r="BG3933" s="78" t="n"/>
      <c r="BH3933" s="78" t="n"/>
      <c r="BI3933" s="78" t="n"/>
      <c r="BJ3933" s="139" t="n"/>
      <c r="BK3933" s="204" t="n"/>
      <c r="BL3933" s="141" t="n"/>
      <c r="BM3933" s="205" t="n"/>
      <c r="BN3933" s="205" t="n"/>
      <c r="BO3933" s="206" t="n"/>
      <c r="BP3933" s="144" t="n"/>
      <c r="BQ3933" s="141" t="n"/>
      <c r="BR3933" s="207" t="n"/>
      <c r="BS3933" s="207" t="n"/>
      <c r="BT3933" s="207" t="n"/>
      <c r="BU3933" s="207" t="n"/>
      <c r="BV3933" s="208" t="n"/>
      <c r="BW3933" s="207" t="n"/>
      <c r="BX3933" s="207" t="n"/>
      <c r="BY3933" s="204" t="n"/>
      <c r="BZ3933" s="148" t="n"/>
      <c r="CA3933" s="204" t="n"/>
      <c r="CB3933" s="208" t="n"/>
      <c r="CC3933" s="139" t="n"/>
      <c r="CD3933" s="204" t="n"/>
      <c r="CE3933" s="204" t="n"/>
      <c r="CF3933" s="207" t="n"/>
      <c r="CG3933" s="208" t="n"/>
      <c r="CH3933" s="207" t="n"/>
      <c r="CI3933" s="208" t="n"/>
      <c r="CJ3933" s="204" t="n"/>
      <c r="CK3933" s="208" t="n"/>
      <c r="CL3933" s="208" t="n"/>
      <c r="CM3933" s="208" t="n"/>
      <c r="CN3933" s="78" t="n"/>
      <c r="CO3933" s="209" t="n"/>
      <c r="CP3933" s="204" t="n"/>
      <c r="CQ3933" s="204" t="n"/>
      <c r="CR3933" s="204" t="n"/>
      <c r="CS3933" s="204" t="n"/>
      <c r="CT3933" s="204" t="n"/>
      <c r="CU3933" s="204" t="n"/>
      <c r="CV3933" s="204" t="n"/>
      <c r="CW3933" s="204" t="n"/>
    </row>
    <row r="3934">
      <c r="BF3934" s="78" t="n"/>
      <c r="BG3934" s="78" t="n"/>
      <c r="BH3934" s="78" t="n"/>
      <c r="BI3934" s="78" t="n"/>
      <c r="BJ3934" s="139" t="n"/>
      <c r="BK3934" s="204" t="n"/>
      <c r="BL3934" s="141" t="n"/>
      <c r="BM3934" s="205" t="n"/>
      <c r="BN3934" s="205" t="n"/>
      <c r="BO3934" s="206" t="n"/>
      <c r="BP3934" s="144" t="n"/>
      <c r="BQ3934" s="141" t="n"/>
      <c r="BR3934" s="207" t="n"/>
      <c r="BS3934" s="207" t="n"/>
      <c r="BT3934" s="207" t="n"/>
      <c r="BU3934" s="207" t="n"/>
      <c r="BV3934" s="208" t="n"/>
      <c r="BW3934" s="207" t="n"/>
      <c r="BX3934" s="207" t="n"/>
      <c r="BY3934" s="204" t="n"/>
      <c r="BZ3934" s="148" t="n"/>
      <c r="CA3934" s="204" t="n"/>
      <c r="CB3934" s="208" t="n"/>
      <c r="CC3934" s="139" t="n"/>
      <c r="CD3934" s="204" t="n"/>
      <c r="CE3934" s="204" t="n"/>
      <c r="CF3934" s="207" t="n"/>
      <c r="CG3934" s="208" t="n"/>
      <c r="CH3934" s="207" t="n"/>
      <c r="CI3934" s="208" t="n"/>
      <c r="CJ3934" s="204" t="n"/>
      <c r="CK3934" s="208" t="n"/>
      <c r="CL3934" s="208" t="n"/>
      <c r="CM3934" s="208" t="n"/>
      <c r="CN3934" s="78" t="n"/>
      <c r="CO3934" s="209" t="n"/>
      <c r="CP3934" s="204" t="n"/>
      <c r="CQ3934" s="204" t="n"/>
      <c r="CR3934" s="204" t="n"/>
      <c r="CS3934" s="204" t="n"/>
      <c r="CT3934" s="204" t="n"/>
      <c r="CU3934" s="204" t="n"/>
      <c r="CV3934" s="204" t="n"/>
      <c r="CW3934" s="204" t="n"/>
    </row>
    <row r="3935">
      <c r="BF3935" s="78" t="n"/>
      <c r="BG3935" s="78" t="n"/>
      <c r="BH3935" s="78" t="n"/>
      <c r="BI3935" s="78" t="n"/>
      <c r="BJ3935" s="139" t="n"/>
      <c r="BK3935" s="204" t="n"/>
      <c r="BL3935" s="141" t="n"/>
      <c r="BM3935" s="205" t="n"/>
      <c r="BN3935" s="205" t="n"/>
      <c r="BO3935" s="206" t="n"/>
      <c r="BP3935" s="144" t="n"/>
      <c r="BQ3935" s="141" t="n"/>
      <c r="BR3935" s="207" t="n"/>
      <c r="BS3935" s="207" t="n"/>
      <c r="BT3935" s="207" t="n"/>
      <c r="BU3935" s="207" t="n"/>
      <c r="BV3935" s="208" t="n"/>
      <c r="BW3935" s="207" t="n"/>
      <c r="BX3935" s="207" t="n"/>
      <c r="BY3935" s="204" t="n"/>
      <c r="BZ3935" s="148" t="n"/>
      <c r="CA3935" s="204" t="n"/>
      <c r="CB3935" s="208" t="n"/>
      <c r="CC3935" s="139" t="n"/>
      <c r="CD3935" s="204" t="n"/>
      <c r="CE3935" s="204" t="n"/>
      <c r="CF3935" s="207" t="n"/>
      <c r="CG3935" s="208" t="n"/>
      <c r="CH3935" s="207" t="n"/>
      <c r="CI3935" s="208" t="n"/>
      <c r="CJ3935" s="204" t="n"/>
      <c r="CK3935" s="208" t="n"/>
      <c r="CL3935" s="208" t="n"/>
      <c r="CM3935" s="208" t="n"/>
      <c r="CN3935" s="78" t="n"/>
      <c r="CO3935" s="209" t="n"/>
      <c r="CP3935" s="204" t="n"/>
      <c r="CQ3935" s="204" t="n"/>
      <c r="CR3935" s="204" t="n"/>
      <c r="CS3935" s="204" t="n"/>
      <c r="CT3935" s="204" t="n"/>
      <c r="CU3935" s="204" t="n"/>
      <c r="CV3935" s="204" t="n"/>
      <c r="CW3935" s="204" t="n"/>
    </row>
    <row r="3936">
      <c r="BF3936" s="78" t="n"/>
      <c r="BG3936" s="78" t="n"/>
      <c r="BH3936" s="78" t="n"/>
      <c r="BI3936" s="78" t="n"/>
      <c r="BJ3936" s="139" t="n"/>
      <c r="BK3936" s="204" t="n"/>
      <c r="BL3936" s="141" t="n"/>
      <c r="BM3936" s="205" t="n"/>
      <c r="BN3936" s="205" t="n"/>
      <c r="BO3936" s="206" t="n"/>
      <c r="BP3936" s="144" t="n"/>
      <c r="BQ3936" s="141" t="n"/>
      <c r="BR3936" s="207" t="n"/>
      <c r="BS3936" s="207" t="n"/>
      <c r="BT3936" s="207" t="n"/>
      <c r="BU3936" s="207" t="n"/>
      <c r="BV3936" s="208" t="n"/>
      <c r="BW3936" s="207" t="n"/>
      <c r="BX3936" s="207" t="n"/>
      <c r="BY3936" s="204" t="n"/>
      <c r="BZ3936" s="148" t="n"/>
      <c r="CA3936" s="204" t="n"/>
      <c r="CB3936" s="208" t="n"/>
      <c r="CC3936" s="139" t="n"/>
      <c r="CD3936" s="204" t="n"/>
      <c r="CE3936" s="204" t="n"/>
      <c r="CF3936" s="207" t="n"/>
      <c r="CG3936" s="208" t="n"/>
      <c r="CH3936" s="207" t="n"/>
      <c r="CI3936" s="208" t="n"/>
      <c r="CJ3936" s="204" t="n"/>
      <c r="CK3936" s="208" t="n"/>
      <c r="CL3936" s="208" t="n"/>
      <c r="CM3936" s="208" t="n"/>
      <c r="CN3936" s="78" t="n"/>
      <c r="CO3936" s="209" t="n"/>
      <c r="CP3936" s="204" t="n"/>
      <c r="CQ3936" s="204" t="n"/>
      <c r="CR3936" s="204" t="n"/>
      <c r="CS3936" s="204" t="n"/>
      <c r="CT3936" s="204" t="n"/>
      <c r="CU3936" s="204" t="n"/>
      <c r="CV3936" s="204" t="n"/>
      <c r="CW3936" s="204" t="n"/>
    </row>
    <row r="3937">
      <c r="BF3937" s="78" t="n"/>
      <c r="BG3937" s="78" t="n"/>
      <c r="BH3937" s="78" t="n"/>
      <c r="BI3937" s="78" t="n"/>
      <c r="BJ3937" s="139" t="n"/>
      <c r="BK3937" s="204" t="n"/>
      <c r="BL3937" s="141" t="n"/>
      <c r="BM3937" s="205" t="n"/>
      <c r="BN3937" s="205" t="n"/>
      <c r="BO3937" s="206" t="n"/>
      <c r="BP3937" s="144" t="n"/>
      <c r="BQ3937" s="141" t="n"/>
      <c r="BR3937" s="207" t="n"/>
      <c r="BS3937" s="207" t="n"/>
      <c r="BT3937" s="207" t="n"/>
      <c r="BU3937" s="207" t="n"/>
      <c r="BV3937" s="208" t="n"/>
      <c r="BW3937" s="207" t="n"/>
      <c r="BX3937" s="207" t="n"/>
      <c r="BY3937" s="204" t="n"/>
      <c r="BZ3937" s="148" t="n"/>
      <c r="CA3937" s="204" t="n"/>
      <c r="CB3937" s="208" t="n"/>
      <c r="CC3937" s="139" t="n"/>
      <c r="CD3937" s="204" t="n"/>
      <c r="CE3937" s="204" t="n"/>
      <c r="CF3937" s="207" t="n"/>
      <c r="CG3937" s="208" t="n"/>
      <c r="CH3937" s="207" t="n"/>
      <c r="CI3937" s="208" t="n"/>
      <c r="CJ3937" s="204" t="n"/>
      <c r="CK3937" s="208" t="n"/>
      <c r="CL3937" s="208" t="n"/>
      <c r="CM3937" s="208" t="n"/>
      <c r="CN3937" s="78" t="n"/>
      <c r="CO3937" s="209" t="n"/>
      <c r="CP3937" s="204" t="n"/>
      <c r="CQ3937" s="204" t="n"/>
      <c r="CR3937" s="204" t="n"/>
      <c r="CS3937" s="204" t="n"/>
      <c r="CT3937" s="204" t="n"/>
      <c r="CU3937" s="204" t="n"/>
      <c r="CV3937" s="204" t="n"/>
      <c r="CW3937" s="204" t="n"/>
    </row>
    <row r="3938">
      <c r="BF3938" s="78" t="n"/>
      <c r="BG3938" s="78" t="n"/>
      <c r="BH3938" s="78" t="n"/>
      <c r="BI3938" s="78" t="n"/>
      <c r="BJ3938" s="139" t="n"/>
      <c r="BK3938" s="204" t="n"/>
      <c r="BL3938" s="141" t="n"/>
      <c r="BM3938" s="205" t="n"/>
      <c r="BN3938" s="205" t="n"/>
      <c r="BO3938" s="206" t="n"/>
      <c r="BP3938" s="144" t="n"/>
      <c r="BQ3938" s="141" t="n"/>
      <c r="BR3938" s="207" t="n"/>
      <c r="BS3938" s="207" t="n"/>
      <c r="BT3938" s="207" t="n"/>
      <c r="BU3938" s="207" t="n"/>
      <c r="BV3938" s="208" t="n"/>
      <c r="BW3938" s="207" t="n"/>
      <c r="BX3938" s="207" t="n"/>
      <c r="BY3938" s="204" t="n"/>
      <c r="BZ3938" s="148" t="n"/>
      <c r="CA3938" s="204" t="n"/>
      <c r="CB3938" s="208" t="n"/>
      <c r="CC3938" s="139" t="n"/>
      <c r="CD3938" s="204" t="n"/>
      <c r="CE3938" s="204" t="n"/>
      <c r="CF3938" s="207" t="n"/>
      <c r="CG3938" s="208" t="n"/>
      <c r="CH3938" s="207" t="n"/>
      <c r="CI3938" s="208" t="n"/>
      <c r="CJ3938" s="204" t="n"/>
      <c r="CK3938" s="208" t="n"/>
      <c r="CL3938" s="208" t="n"/>
      <c r="CM3938" s="208" t="n"/>
      <c r="CN3938" s="78" t="n"/>
      <c r="CO3938" s="209" t="n"/>
      <c r="CP3938" s="204" t="n"/>
      <c r="CQ3938" s="204" t="n"/>
      <c r="CR3938" s="204" t="n"/>
      <c r="CS3938" s="204" t="n"/>
      <c r="CT3938" s="204" t="n"/>
      <c r="CU3938" s="204" t="n"/>
      <c r="CV3938" s="204" t="n"/>
      <c r="CW3938" s="204" t="n"/>
    </row>
    <row r="3939">
      <c r="BF3939" s="78" t="n"/>
      <c r="BG3939" s="78" t="n"/>
      <c r="BH3939" s="78" t="n"/>
      <c r="BI3939" s="78" t="n"/>
      <c r="BJ3939" s="139" t="n"/>
      <c r="BK3939" s="204" t="n"/>
      <c r="BL3939" s="141" t="n"/>
      <c r="BM3939" s="205" t="n"/>
      <c r="BN3939" s="205" t="n"/>
      <c r="BO3939" s="206" t="n"/>
      <c r="BP3939" s="144" t="n"/>
      <c r="BQ3939" s="141" t="n"/>
      <c r="BR3939" s="207" t="n"/>
      <c r="BS3939" s="207" t="n"/>
      <c r="BT3939" s="207" t="n"/>
      <c r="BU3939" s="207" t="n"/>
      <c r="BV3939" s="208" t="n"/>
      <c r="BW3939" s="207" t="n"/>
      <c r="BX3939" s="207" t="n"/>
      <c r="BY3939" s="204" t="n"/>
      <c r="BZ3939" s="148" t="n"/>
      <c r="CA3939" s="204" t="n"/>
      <c r="CB3939" s="208" t="n"/>
      <c r="CC3939" s="139" t="n"/>
      <c r="CD3939" s="204" t="n"/>
      <c r="CE3939" s="204" t="n"/>
      <c r="CF3939" s="207" t="n"/>
      <c r="CG3939" s="208" t="n"/>
      <c r="CH3939" s="207" t="n"/>
      <c r="CI3939" s="208" t="n"/>
      <c r="CJ3939" s="204" t="n"/>
      <c r="CK3939" s="208" t="n"/>
      <c r="CL3939" s="208" t="n"/>
      <c r="CM3939" s="208" t="n"/>
      <c r="CN3939" s="78" t="n"/>
      <c r="CO3939" s="209" t="n"/>
      <c r="CP3939" s="204" t="n"/>
      <c r="CQ3939" s="204" t="n"/>
      <c r="CR3939" s="204" t="n"/>
      <c r="CS3939" s="204" t="n"/>
      <c r="CT3939" s="204" t="n"/>
      <c r="CU3939" s="204" t="n"/>
      <c r="CV3939" s="204" t="n"/>
      <c r="CW3939" s="204" t="n"/>
    </row>
    <row r="3940">
      <c r="BF3940" s="78" t="n"/>
      <c r="BG3940" s="78" t="n"/>
      <c r="BH3940" s="78" t="n"/>
      <c r="BI3940" s="78" t="n"/>
      <c r="BJ3940" s="139" t="n"/>
      <c r="BK3940" s="204" t="n"/>
      <c r="BL3940" s="141" t="n"/>
      <c r="BM3940" s="205" t="n"/>
      <c r="BN3940" s="205" t="n"/>
      <c r="BO3940" s="206" t="n"/>
      <c r="BP3940" s="144" t="n"/>
      <c r="BQ3940" s="141" t="n"/>
      <c r="BR3940" s="207" t="n"/>
      <c r="BS3940" s="207" t="n"/>
      <c r="BT3940" s="207" t="n"/>
      <c r="BU3940" s="207" t="n"/>
      <c r="BV3940" s="208" t="n"/>
      <c r="BW3940" s="207" t="n"/>
      <c r="BX3940" s="207" t="n"/>
      <c r="BY3940" s="204" t="n"/>
      <c r="BZ3940" s="148" t="n"/>
      <c r="CA3940" s="204" t="n"/>
      <c r="CB3940" s="208" t="n"/>
      <c r="CC3940" s="139" t="n"/>
      <c r="CD3940" s="204" t="n"/>
      <c r="CE3940" s="204" t="n"/>
      <c r="CF3940" s="207" t="n"/>
      <c r="CG3940" s="208" t="n"/>
      <c r="CH3940" s="207" t="n"/>
      <c r="CI3940" s="208" t="n"/>
      <c r="CJ3940" s="204" t="n"/>
      <c r="CK3940" s="208" t="n"/>
      <c r="CL3940" s="208" t="n"/>
      <c r="CM3940" s="208" t="n"/>
      <c r="CN3940" s="78" t="n"/>
      <c r="CO3940" s="209" t="n"/>
      <c r="CP3940" s="204" t="n"/>
      <c r="CQ3940" s="204" t="n"/>
      <c r="CR3940" s="204" t="n"/>
      <c r="CS3940" s="204" t="n"/>
      <c r="CT3940" s="204" t="n"/>
      <c r="CU3940" s="204" t="n"/>
      <c r="CV3940" s="204" t="n"/>
      <c r="CW3940" s="204" t="n"/>
    </row>
    <row r="3941">
      <c r="BF3941" s="78" t="n"/>
      <c r="BG3941" s="78" t="n"/>
      <c r="BH3941" s="78" t="n"/>
      <c r="BI3941" s="78" t="n"/>
      <c r="BJ3941" s="139" t="n"/>
      <c r="BK3941" s="204" t="n"/>
      <c r="BL3941" s="141" t="n"/>
      <c r="BM3941" s="205" t="n"/>
      <c r="BN3941" s="205" t="n"/>
      <c r="BO3941" s="206" t="n"/>
      <c r="BP3941" s="144" t="n"/>
      <c r="BQ3941" s="141" t="n"/>
      <c r="BR3941" s="207" t="n"/>
      <c r="BS3941" s="207" t="n"/>
      <c r="BT3941" s="207" t="n"/>
      <c r="BU3941" s="207" t="n"/>
      <c r="BV3941" s="208" t="n"/>
      <c r="BW3941" s="207" t="n"/>
      <c r="BX3941" s="207" t="n"/>
      <c r="BY3941" s="204" t="n"/>
      <c r="BZ3941" s="148" t="n"/>
      <c r="CA3941" s="204" t="n"/>
      <c r="CB3941" s="208" t="n"/>
      <c r="CC3941" s="139" t="n"/>
      <c r="CD3941" s="204" t="n"/>
      <c r="CE3941" s="204" t="n"/>
      <c r="CF3941" s="207" t="n"/>
      <c r="CG3941" s="208" t="n"/>
      <c r="CH3941" s="207" t="n"/>
      <c r="CI3941" s="208" t="n"/>
      <c r="CJ3941" s="204" t="n"/>
      <c r="CK3941" s="208" t="n"/>
      <c r="CL3941" s="208" t="n"/>
      <c r="CM3941" s="208" t="n"/>
      <c r="CN3941" s="78" t="n"/>
      <c r="CO3941" s="209" t="n"/>
      <c r="CP3941" s="204" t="n"/>
      <c r="CQ3941" s="204" t="n"/>
      <c r="CR3941" s="204" t="n"/>
      <c r="CS3941" s="204" t="n"/>
      <c r="CT3941" s="204" t="n"/>
      <c r="CU3941" s="204" t="n"/>
      <c r="CV3941" s="204" t="n"/>
      <c r="CW3941" s="204" t="n"/>
    </row>
    <row r="3942">
      <c r="BF3942" s="78" t="n"/>
      <c r="BG3942" s="78" t="n"/>
      <c r="BH3942" s="78" t="n"/>
      <c r="BI3942" s="78" t="n"/>
      <c r="BJ3942" s="139" t="n"/>
      <c r="BK3942" s="204" t="n"/>
      <c r="BL3942" s="141" t="n"/>
      <c r="BM3942" s="205" t="n"/>
      <c r="BN3942" s="205" t="n"/>
      <c r="BO3942" s="206" t="n"/>
      <c r="BP3942" s="144" t="n"/>
      <c r="BQ3942" s="141" t="n"/>
      <c r="BR3942" s="207" t="n"/>
      <c r="BS3942" s="207" t="n"/>
      <c r="BT3942" s="207" t="n"/>
      <c r="BU3942" s="207" t="n"/>
      <c r="BV3942" s="208" t="n"/>
      <c r="BW3942" s="207" t="n"/>
      <c r="BX3942" s="207" t="n"/>
      <c r="BY3942" s="204" t="n"/>
      <c r="BZ3942" s="148" t="n"/>
      <c r="CA3942" s="204" t="n"/>
      <c r="CB3942" s="208" t="n"/>
      <c r="CC3942" s="139" t="n"/>
      <c r="CD3942" s="204" t="n"/>
      <c r="CE3942" s="204" t="n"/>
      <c r="CF3942" s="207" t="n"/>
      <c r="CG3942" s="208" t="n"/>
      <c r="CH3942" s="207" t="n"/>
      <c r="CI3942" s="208" t="n"/>
      <c r="CJ3942" s="204" t="n"/>
      <c r="CK3942" s="208" t="n"/>
      <c r="CL3942" s="208" t="n"/>
      <c r="CM3942" s="208" t="n"/>
      <c r="CN3942" s="78" t="n"/>
      <c r="CO3942" s="209" t="n"/>
      <c r="CP3942" s="204" t="n"/>
      <c r="CQ3942" s="204" t="n"/>
      <c r="CR3942" s="204" t="n"/>
      <c r="CS3942" s="204" t="n"/>
      <c r="CT3942" s="204" t="n"/>
      <c r="CU3942" s="204" t="n"/>
      <c r="CV3942" s="204" t="n"/>
      <c r="CW3942" s="204" t="n"/>
    </row>
    <row r="3943">
      <c r="BF3943" s="78" t="n"/>
      <c r="BG3943" s="78" t="n"/>
      <c r="BH3943" s="78" t="n"/>
      <c r="BI3943" s="78" t="n"/>
      <c r="BJ3943" s="139" t="n"/>
      <c r="BK3943" s="204" t="n"/>
      <c r="BL3943" s="141" t="n"/>
      <c r="BM3943" s="205" t="n"/>
      <c r="BN3943" s="205" t="n"/>
      <c r="BO3943" s="206" t="n"/>
      <c r="BP3943" s="144" t="n"/>
      <c r="BQ3943" s="141" t="n"/>
      <c r="BR3943" s="207" t="n"/>
      <c r="BS3943" s="207" t="n"/>
      <c r="BT3943" s="207" t="n"/>
      <c r="BU3943" s="207" t="n"/>
      <c r="BV3943" s="208" t="n"/>
      <c r="BW3943" s="207" t="n"/>
      <c r="BX3943" s="207" t="n"/>
      <c r="BY3943" s="204" t="n"/>
      <c r="BZ3943" s="148" t="n"/>
      <c r="CA3943" s="204" t="n"/>
      <c r="CB3943" s="208" t="n"/>
      <c r="CC3943" s="139" t="n"/>
      <c r="CD3943" s="204" t="n"/>
      <c r="CE3943" s="204" t="n"/>
      <c r="CF3943" s="207" t="n"/>
      <c r="CG3943" s="208" t="n"/>
      <c r="CH3943" s="207" t="n"/>
      <c r="CI3943" s="208" t="n"/>
      <c r="CJ3943" s="204" t="n"/>
      <c r="CK3943" s="208" t="n"/>
      <c r="CL3943" s="208" t="n"/>
      <c r="CM3943" s="208" t="n"/>
      <c r="CN3943" s="78" t="n"/>
      <c r="CO3943" s="209" t="n"/>
      <c r="CP3943" s="204" t="n"/>
      <c r="CQ3943" s="204" t="n"/>
      <c r="CR3943" s="204" t="n"/>
      <c r="CS3943" s="204" t="n"/>
      <c r="CT3943" s="204" t="n"/>
      <c r="CU3943" s="204" t="n"/>
      <c r="CV3943" s="204" t="n"/>
      <c r="CW3943" s="204" t="n"/>
    </row>
    <row r="3944">
      <c r="BF3944" s="78" t="n"/>
      <c r="BG3944" s="78" t="n"/>
      <c r="BH3944" s="78" t="n"/>
      <c r="BI3944" s="78" t="n"/>
      <c r="BJ3944" s="139" t="n"/>
      <c r="BK3944" s="204" t="n"/>
      <c r="BL3944" s="141" t="n"/>
      <c r="BM3944" s="205" t="n"/>
      <c r="BN3944" s="205" t="n"/>
      <c r="BO3944" s="206" t="n"/>
      <c r="BP3944" s="144" t="n"/>
      <c r="BQ3944" s="141" t="n"/>
      <c r="BR3944" s="207" t="n"/>
      <c r="BS3944" s="207" t="n"/>
      <c r="BT3944" s="207" t="n"/>
      <c r="BU3944" s="207" t="n"/>
      <c r="BV3944" s="208" t="n"/>
      <c r="BW3944" s="207" t="n"/>
      <c r="BX3944" s="207" t="n"/>
      <c r="BY3944" s="204" t="n"/>
      <c r="BZ3944" s="148" t="n"/>
      <c r="CA3944" s="204" t="n"/>
      <c r="CB3944" s="208" t="n"/>
      <c r="CC3944" s="139" t="n"/>
      <c r="CD3944" s="204" t="n"/>
      <c r="CE3944" s="204" t="n"/>
      <c r="CF3944" s="207" t="n"/>
      <c r="CG3944" s="208" t="n"/>
      <c r="CH3944" s="207" t="n"/>
      <c r="CI3944" s="208" t="n"/>
      <c r="CJ3944" s="204" t="n"/>
      <c r="CK3944" s="208" t="n"/>
      <c r="CL3944" s="208" t="n"/>
      <c r="CM3944" s="208" t="n"/>
      <c r="CN3944" s="78" t="n"/>
      <c r="CO3944" s="209" t="n"/>
      <c r="CP3944" s="204" t="n"/>
      <c r="CQ3944" s="204" t="n"/>
      <c r="CR3944" s="204" t="n"/>
      <c r="CS3944" s="204" t="n"/>
      <c r="CT3944" s="204" t="n"/>
      <c r="CU3944" s="204" t="n"/>
      <c r="CV3944" s="204" t="n"/>
      <c r="CW3944" s="204" t="n"/>
    </row>
    <row r="3945">
      <c r="BF3945" s="78" t="n"/>
      <c r="BG3945" s="78" t="n"/>
      <c r="BH3945" s="78" t="n"/>
      <c r="BI3945" s="78" t="n"/>
      <c r="BJ3945" s="139" t="n"/>
      <c r="BK3945" s="204" t="n"/>
      <c r="BL3945" s="141" t="n"/>
      <c r="BM3945" s="205" t="n"/>
      <c r="BN3945" s="205" t="n"/>
      <c r="BO3945" s="206" t="n"/>
      <c r="BP3945" s="144" t="n"/>
      <c r="BQ3945" s="141" t="n"/>
      <c r="BR3945" s="207" t="n"/>
      <c r="BS3945" s="207" t="n"/>
      <c r="BT3945" s="207" t="n"/>
      <c r="BU3945" s="207" t="n"/>
      <c r="BV3945" s="208" t="n"/>
      <c r="BW3945" s="207" t="n"/>
      <c r="BX3945" s="207" t="n"/>
      <c r="BY3945" s="204" t="n"/>
      <c r="BZ3945" s="148" t="n"/>
      <c r="CA3945" s="204" t="n"/>
      <c r="CB3945" s="208" t="n"/>
      <c r="CC3945" s="139" t="n"/>
      <c r="CD3945" s="204" t="n"/>
      <c r="CE3945" s="204" t="n"/>
      <c r="CF3945" s="207" t="n"/>
      <c r="CG3945" s="208" t="n"/>
      <c r="CH3945" s="207" t="n"/>
      <c r="CI3945" s="208" t="n"/>
      <c r="CJ3945" s="204" t="n"/>
      <c r="CK3945" s="208" t="n"/>
      <c r="CL3945" s="208" t="n"/>
      <c r="CM3945" s="208" t="n"/>
      <c r="CN3945" s="78" t="n"/>
      <c r="CO3945" s="209" t="n"/>
      <c r="CP3945" s="204" t="n"/>
      <c r="CQ3945" s="204" t="n"/>
      <c r="CR3945" s="204" t="n"/>
      <c r="CS3945" s="204" t="n"/>
      <c r="CT3945" s="204" t="n"/>
      <c r="CU3945" s="204" t="n"/>
      <c r="CV3945" s="204" t="n"/>
      <c r="CW3945" s="204" t="n"/>
    </row>
    <row r="3946">
      <c r="BF3946" s="78" t="n"/>
      <c r="BG3946" s="78" t="n"/>
      <c r="BH3946" s="78" t="n"/>
      <c r="BI3946" s="78" t="n"/>
      <c r="BJ3946" s="139" t="n"/>
      <c r="BK3946" s="204" t="n"/>
      <c r="BL3946" s="141" t="n"/>
      <c r="BM3946" s="205" t="n"/>
      <c r="BN3946" s="205" t="n"/>
      <c r="BO3946" s="206" t="n"/>
      <c r="BP3946" s="144" t="n"/>
      <c r="BQ3946" s="141" t="n"/>
      <c r="BR3946" s="207" t="n"/>
      <c r="BS3946" s="207" t="n"/>
      <c r="BT3946" s="207" t="n"/>
      <c r="BU3946" s="207" t="n"/>
      <c r="BV3946" s="208" t="n"/>
      <c r="BW3946" s="207" t="n"/>
      <c r="BX3946" s="207" t="n"/>
      <c r="BY3946" s="204" t="n"/>
      <c r="BZ3946" s="148" t="n"/>
      <c r="CA3946" s="204" t="n"/>
      <c r="CB3946" s="208" t="n"/>
      <c r="CC3946" s="139" t="n"/>
      <c r="CD3946" s="204" t="n"/>
      <c r="CE3946" s="204" t="n"/>
      <c r="CF3946" s="207" t="n"/>
      <c r="CG3946" s="208" t="n"/>
      <c r="CH3946" s="207" t="n"/>
      <c r="CI3946" s="208" t="n"/>
      <c r="CJ3946" s="204" t="n"/>
      <c r="CK3946" s="208" t="n"/>
      <c r="CL3946" s="208" t="n"/>
      <c r="CM3946" s="208" t="n"/>
      <c r="CN3946" s="78" t="n"/>
      <c r="CO3946" s="209" t="n"/>
      <c r="CP3946" s="204" t="n"/>
      <c r="CQ3946" s="204" t="n"/>
      <c r="CR3946" s="204" t="n"/>
      <c r="CS3946" s="204" t="n"/>
      <c r="CT3946" s="204" t="n"/>
      <c r="CU3946" s="204" t="n"/>
      <c r="CV3946" s="204" t="n"/>
      <c r="CW3946" s="204" t="n"/>
    </row>
    <row r="3947">
      <c r="BF3947" s="78" t="n"/>
      <c r="BG3947" s="78" t="n"/>
      <c r="BH3947" s="78" t="n"/>
      <c r="BI3947" s="78" t="n"/>
      <c r="BJ3947" s="139" t="n"/>
      <c r="BK3947" s="204" t="n"/>
      <c r="BL3947" s="141" t="n"/>
      <c r="BM3947" s="205" t="n"/>
      <c r="BN3947" s="205" t="n"/>
      <c r="BO3947" s="206" t="n"/>
      <c r="BP3947" s="144" t="n"/>
      <c r="BQ3947" s="141" t="n"/>
      <c r="BR3947" s="207" t="n"/>
      <c r="BS3947" s="207" t="n"/>
      <c r="BT3947" s="207" t="n"/>
      <c r="BU3947" s="207" t="n"/>
      <c r="BV3947" s="208" t="n"/>
      <c r="BW3947" s="207" t="n"/>
      <c r="BX3947" s="207" t="n"/>
      <c r="BY3947" s="204" t="n"/>
      <c r="BZ3947" s="148" t="n"/>
      <c r="CA3947" s="204" t="n"/>
      <c r="CB3947" s="208" t="n"/>
      <c r="CC3947" s="139" t="n"/>
      <c r="CD3947" s="204" t="n"/>
      <c r="CE3947" s="204" t="n"/>
      <c r="CF3947" s="207" t="n"/>
      <c r="CG3947" s="208" t="n"/>
      <c r="CH3947" s="207" t="n"/>
      <c r="CI3947" s="208" t="n"/>
      <c r="CJ3947" s="204" t="n"/>
      <c r="CK3947" s="208" t="n"/>
      <c r="CL3947" s="208" t="n"/>
      <c r="CM3947" s="208" t="n"/>
      <c r="CN3947" s="78" t="n"/>
      <c r="CO3947" s="209" t="n"/>
      <c r="CP3947" s="204" t="n"/>
      <c r="CQ3947" s="204" t="n"/>
      <c r="CR3947" s="204" t="n"/>
      <c r="CS3947" s="204" t="n"/>
      <c r="CT3947" s="204" t="n"/>
      <c r="CU3947" s="204" t="n"/>
      <c r="CV3947" s="204" t="n"/>
      <c r="CW3947" s="204" t="n"/>
    </row>
    <row r="3948">
      <c r="BF3948" s="78" t="n"/>
      <c r="BG3948" s="78" t="n"/>
      <c r="BH3948" s="78" t="n"/>
      <c r="BI3948" s="78" t="n"/>
      <c r="BJ3948" s="139" t="n"/>
      <c r="BK3948" s="204" t="n"/>
      <c r="BL3948" s="141" t="n"/>
      <c r="BM3948" s="205" t="n"/>
      <c r="BN3948" s="205" t="n"/>
      <c r="BO3948" s="206" t="n"/>
      <c r="BP3948" s="144" t="n"/>
      <c r="BQ3948" s="141" t="n"/>
      <c r="BR3948" s="207" t="n"/>
      <c r="BS3948" s="207" t="n"/>
      <c r="BT3948" s="207" t="n"/>
      <c r="BU3948" s="207" t="n"/>
      <c r="BV3948" s="208" t="n"/>
      <c r="BW3948" s="207" t="n"/>
      <c r="BX3948" s="207" t="n"/>
      <c r="BY3948" s="204" t="n"/>
      <c r="BZ3948" s="148" t="n"/>
      <c r="CA3948" s="204" t="n"/>
      <c r="CB3948" s="208" t="n"/>
      <c r="CC3948" s="139" t="n"/>
      <c r="CD3948" s="204" t="n"/>
      <c r="CE3948" s="204" t="n"/>
      <c r="CF3948" s="207" t="n"/>
      <c r="CG3948" s="208" t="n"/>
      <c r="CH3948" s="207" t="n"/>
      <c r="CI3948" s="208" t="n"/>
      <c r="CJ3948" s="204" t="n"/>
      <c r="CK3948" s="208" t="n"/>
      <c r="CL3948" s="208" t="n"/>
      <c r="CM3948" s="208" t="n"/>
      <c r="CN3948" s="78" t="n"/>
      <c r="CO3948" s="209" t="n"/>
      <c r="CP3948" s="204" t="n"/>
      <c r="CQ3948" s="204" t="n"/>
      <c r="CR3948" s="204" t="n"/>
      <c r="CS3948" s="204" t="n"/>
      <c r="CT3948" s="204" t="n"/>
      <c r="CU3948" s="204" t="n"/>
      <c r="CV3948" s="204" t="n"/>
      <c r="CW3948" s="204" t="n"/>
    </row>
    <row r="3949">
      <c r="BF3949" s="78" t="n"/>
      <c r="BG3949" s="78" t="n"/>
      <c r="BH3949" s="78" t="n"/>
      <c r="BI3949" s="78" t="n"/>
      <c r="BJ3949" s="139" t="n"/>
      <c r="BK3949" s="204" t="n"/>
      <c r="BL3949" s="141" t="n"/>
      <c r="BM3949" s="205" t="n"/>
      <c r="BN3949" s="205" t="n"/>
      <c r="BO3949" s="206" t="n"/>
      <c r="BP3949" s="144" t="n"/>
      <c r="BQ3949" s="141" t="n"/>
      <c r="BR3949" s="207" t="n"/>
      <c r="BS3949" s="207" t="n"/>
      <c r="BT3949" s="207" t="n"/>
      <c r="BU3949" s="207" t="n"/>
      <c r="BV3949" s="208" t="n"/>
      <c r="BW3949" s="207" t="n"/>
      <c r="BX3949" s="207" t="n"/>
      <c r="BY3949" s="204" t="n"/>
      <c r="BZ3949" s="148" t="n"/>
      <c r="CA3949" s="204" t="n"/>
      <c r="CB3949" s="208" t="n"/>
      <c r="CC3949" s="139" t="n"/>
      <c r="CD3949" s="204" t="n"/>
      <c r="CE3949" s="204" t="n"/>
      <c r="CF3949" s="207" t="n"/>
      <c r="CG3949" s="208" t="n"/>
      <c r="CH3949" s="207" t="n"/>
      <c r="CI3949" s="208" t="n"/>
      <c r="CJ3949" s="204" t="n"/>
      <c r="CK3949" s="208" t="n"/>
      <c r="CL3949" s="208" t="n"/>
      <c r="CM3949" s="208" t="n"/>
      <c r="CN3949" s="78" t="n"/>
      <c r="CO3949" s="209" t="n"/>
      <c r="CP3949" s="204" t="n"/>
      <c r="CQ3949" s="204" t="n"/>
      <c r="CR3949" s="204" t="n"/>
      <c r="CS3949" s="204" t="n"/>
      <c r="CT3949" s="204" t="n"/>
      <c r="CU3949" s="204" t="n"/>
      <c r="CV3949" s="204" t="n"/>
      <c r="CW3949" s="204" t="n"/>
    </row>
    <row r="3950">
      <c r="BF3950" s="78" t="n"/>
      <c r="BG3950" s="78" t="n"/>
      <c r="BH3950" s="78" t="n"/>
      <c r="BI3950" s="78" t="n"/>
      <c r="BJ3950" s="139" t="n"/>
      <c r="BK3950" s="204" t="n"/>
      <c r="BL3950" s="141" t="n"/>
      <c r="BM3950" s="205" t="n"/>
      <c r="BN3950" s="205" t="n"/>
      <c r="BO3950" s="206" t="n"/>
      <c r="BP3950" s="144" t="n"/>
      <c r="BQ3950" s="141" t="n"/>
      <c r="BR3950" s="207" t="n"/>
      <c r="BS3950" s="207" t="n"/>
      <c r="BT3950" s="207" t="n"/>
      <c r="BU3950" s="207" t="n"/>
      <c r="BV3950" s="208" t="n"/>
      <c r="BW3950" s="207" t="n"/>
      <c r="BX3950" s="207" t="n"/>
      <c r="BY3950" s="204" t="n"/>
      <c r="BZ3950" s="148" t="n"/>
      <c r="CA3950" s="204" t="n"/>
      <c r="CB3950" s="208" t="n"/>
      <c r="CC3950" s="139" t="n"/>
      <c r="CD3950" s="204" t="n"/>
      <c r="CE3950" s="204" t="n"/>
      <c r="CF3950" s="207" t="n"/>
      <c r="CG3950" s="208" t="n"/>
      <c r="CH3950" s="207" t="n"/>
      <c r="CI3950" s="208" t="n"/>
      <c r="CJ3950" s="204" t="n"/>
      <c r="CK3950" s="208" t="n"/>
      <c r="CL3950" s="208" t="n"/>
      <c r="CM3950" s="208" t="n"/>
      <c r="CN3950" s="78" t="n"/>
      <c r="CO3950" s="209" t="n"/>
      <c r="CP3950" s="204" t="n"/>
      <c r="CQ3950" s="204" t="n"/>
      <c r="CR3950" s="204" t="n"/>
      <c r="CS3950" s="204" t="n"/>
      <c r="CT3950" s="204" t="n"/>
      <c r="CU3950" s="204" t="n"/>
      <c r="CV3950" s="204" t="n"/>
      <c r="CW3950" s="204" t="n"/>
    </row>
    <row r="3951">
      <c r="BF3951" s="78" t="n"/>
      <c r="BG3951" s="78" t="n"/>
      <c r="BH3951" s="78" t="n"/>
      <c r="BI3951" s="78" t="n"/>
      <c r="BJ3951" s="139" t="n"/>
      <c r="BK3951" s="204" t="n"/>
      <c r="BL3951" s="141" t="n"/>
      <c r="BM3951" s="205" t="n"/>
      <c r="BN3951" s="205" t="n"/>
      <c r="BO3951" s="206" t="n"/>
      <c r="BP3951" s="144" t="n"/>
      <c r="BQ3951" s="141" t="n"/>
      <c r="BR3951" s="207" t="n"/>
      <c r="BS3951" s="207" t="n"/>
      <c r="BT3951" s="207" t="n"/>
      <c r="BU3951" s="207" t="n"/>
      <c r="BV3951" s="208" t="n"/>
      <c r="BW3951" s="207" t="n"/>
      <c r="BX3951" s="207" t="n"/>
      <c r="BY3951" s="204" t="n"/>
      <c r="BZ3951" s="148" t="n"/>
      <c r="CA3951" s="204" t="n"/>
      <c r="CB3951" s="208" t="n"/>
      <c r="CC3951" s="139" t="n"/>
      <c r="CD3951" s="204" t="n"/>
      <c r="CE3951" s="204" t="n"/>
      <c r="CF3951" s="207" t="n"/>
      <c r="CG3951" s="208" t="n"/>
      <c r="CH3951" s="207" t="n"/>
      <c r="CI3951" s="208" t="n"/>
      <c r="CJ3951" s="204" t="n"/>
      <c r="CK3951" s="208" t="n"/>
      <c r="CL3951" s="208" t="n"/>
      <c r="CM3951" s="208" t="n"/>
      <c r="CN3951" s="78" t="n"/>
      <c r="CO3951" s="209" t="n"/>
      <c r="CP3951" s="204" t="n"/>
      <c r="CQ3951" s="204" t="n"/>
      <c r="CR3951" s="204" t="n"/>
      <c r="CS3951" s="204" t="n"/>
      <c r="CT3951" s="204" t="n"/>
      <c r="CU3951" s="204" t="n"/>
      <c r="CV3951" s="204" t="n"/>
      <c r="CW3951" s="204" t="n"/>
    </row>
    <row r="3952">
      <c r="BF3952" s="78" t="n"/>
      <c r="BG3952" s="78" t="n"/>
      <c r="BH3952" s="78" t="n"/>
      <c r="BI3952" s="78" t="n"/>
      <c r="BJ3952" s="139" t="n"/>
      <c r="BK3952" s="204" t="n"/>
      <c r="BL3952" s="141" t="n"/>
      <c r="BM3952" s="205" t="n"/>
      <c r="BN3952" s="205" t="n"/>
      <c r="BO3952" s="206" t="n"/>
      <c r="BP3952" s="144" t="n"/>
      <c r="BQ3952" s="141" t="n"/>
      <c r="BR3952" s="207" t="n"/>
      <c r="BS3952" s="207" t="n"/>
      <c r="BT3952" s="207" t="n"/>
      <c r="BU3952" s="207" t="n"/>
      <c r="BV3952" s="208" t="n"/>
      <c r="BW3952" s="207" t="n"/>
      <c r="BX3952" s="207" t="n"/>
      <c r="BY3952" s="204" t="n"/>
      <c r="BZ3952" s="148" t="n"/>
      <c r="CA3952" s="204" t="n"/>
      <c r="CB3952" s="208" t="n"/>
      <c r="CC3952" s="139" t="n"/>
      <c r="CD3952" s="204" t="n"/>
      <c r="CE3952" s="204" t="n"/>
      <c r="CF3952" s="207" t="n"/>
      <c r="CG3952" s="208" t="n"/>
      <c r="CH3952" s="207" t="n"/>
      <c r="CI3952" s="208" t="n"/>
      <c r="CJ3952" s="204" t="n"/>
      <c r="CK3952" s="208" t="n"/>
      <c r="CL3952" s="208" t="n"/>
      <c r="CM3952" s="208" t="n"/>
      <c r="CN3952" s="78" t="n"/>
      <c r="CO3952" s="209" t="n"/>
      <c r="CP3952" s="204" t="n"/>
      <c r="CQ3952" s="204" t="n"/>
      <c r="CR3952" s="204" t="n"/>
      <c r="CS3952" s="204" t="n"/>
      <c r="CT3952" s="204" t="n"/>
      <c r="CU3952" s="204" t="n"/>
      <c r="CV3952" s="204" t="n"/>
      <c r="CW3952" s="204" t="n"/>
    </row>
    <row r="3953">
      <c r="BF3953" s="78" t="n"/>
      <c r="BG3953" s="78" t="n"/>
      <c r="BH3953" s="78" t="n"/>
      <c r="BI3953" s="78" t="n"/>
      <c r="BJ3953" s="139" t="n"/>
      <c r="BK3953" s="204" t="n"/>
      <c r="BL3953" s="141" t="n"/>
      <c r="BM3953" s="205" t="n"/>
      <c r="BN3953" s="205" t="n"/>
      <c r="BO3953" s="206" t="n"/>
      <c r="BP3953" s="144" t="n"/>
      <c r="BQ3953" s="141" t="n"/>
      <c r="BR3953" s="207" t="n"/>
      <c r="BS3953" s="207" t="n"/>
      <c r="BT3953" s="207" t="n"/>
      <c r="BU3953" s="207" t="n"/>
      <c r="BV3953" s="208" t="n"/>
      <c r="BW3953" s="207" t="n"/>
      <c r="BX3953" s="207" t="n"/>
      <c r="BY3953" s="204" t="n"/>
      <c r="BZ3953" s="148" t="n"/>
      <c r="CA3953" s="204" t="n"/>
      <c r="CB3953" s="208" t="n"/>
      <c r="CC3953" s="139" t="n"/>
      <c r="CD3953" s="204" t="n"/>
      <c r="CE3953" s="204" t="n"/>
      <c r="CF3953" s="207" t="n"/>
      <c r="CG3953" s="208" t="n"/>
      <c r="CH3953" s="207" t="n"/>
      <c r="CI3953" s="208" t="n"/>
      <c r="CJ3953" s="204" t="n"/>
      <c r="CK3953" s="208" t="n"/>
      <c r="CL3953" s="208" t="n"/>
      <c r="CM3953" s="208" t="n"/>
      <c r="CN3953" s="78" t="n"/>
      <c r="CO3953" s="209" t="n"/>
      <c r="CP3953" s="204" t="n"/>
      <c r="CQ3953" s="204" t="n"/>
      <c r="CR3953" s="204" t="n"/>
      <c r="CS3953" s="204" t="n"/>
      <c r="CT3953" s="204" t="n"/>
      <c r="CU3953" s="204" t="n"/>
      <c r="CV3953" s="204" t="n"/>
      <c r="CW3953" s="204" t="n"/>
    </row>
    <row r="3954">
      <c r="BF3954" s="78" t="n"/>
      <c r="BG3954" s="78" t="n"/>
      <c r="BH3954" s="78" t="n"/>
      <c r="BI3954" s="78" t="n"/>
      <c r="BJ3954" s="139" t="n"/>
      <c r="BK3954" s="204" t="n"/>
      <c r="BL3954" s="141" t="n"/>
      <c r="BM3954" s="205" t="n"/>
      <c r="BN3954" s="205" t="n"/>
      <c r="BO3954" s="206" t="n"/>
      <c r="BP3954" s="144" t="n"/>
      <c r="BQ3954" s="141" t="n"/>
      <c r="BR3954" s="207" t="n"/>
      <c r="BS3954" s="207" t="n"/>
      <c r="BT3954" s="207" t="n"/>
      <c r="BU3954" s="207" t="n"/>
      <c r="BV3954" s="208" t="n"/>
      <c r="BW3954" s="207" t="n"/>
      <c r="BX3954" s="207" t="n"/>
      <c r="BY3954" s="204" t="n"/>
      <c r="BZ3954" s="148" t="n"/>
      <c r="CA3954" s="204" t="n"/>
      <c r="CB3954" s="208" t="n"/>
      <c r="CC3954" s="139" t="n"/>
      <c r="CD3954" s="204" t="n"/>
      <c r="CE3954" s="204" t="n"/>
      <c r="CF3954" s="207" t="n"/>
      <c r="CG3954" s="208" t="n"/>
      <c r="CH3954" s="207" t="n"/>
      <c r="CI3954" s="208" t="n"/>
      <c r="CJ3954" s="204" t="n"/>
      <c r="CK3954" s="208" t="n"/>
      <c r="CL3954" s="208" t="n"/>
      <c r="CM3954" s="208" t="n"/>
      <c r="CN3954" s="78" t="n"/>
      <c r="CO3954" s="209" t="n"/>
      <c r="CP3954" s="204" t="n"/>
      <c r="CQ3954" s="204" t="n"/>
      <c r="CR3954" s="204" t="n"/>
      <c r="CS3954" s="204" t="n"/>
      <c r="CT3954" s="204" t="n"/>
      <c r="CU3954" s="204" t="n"/>
      <c r="CV3954" s="204" t="n"/>
      <c r="CW3954" s="204" t="n"/>
    </row>
    <row r="3955">
      <c r="BF3955" s="78" t="n"/>
      <c r="BG3955" s="78" t="n"/>
      <c r="BH3955" s="78" t="n"/>
      <c r="BI3955" s="78" t="n"/>
      <c r="BJ3955" s="139" t="n"/>
      <c r="BK3955" s="204" t="n"/>
      <c r="BL3955" s="141" t="n"/>
      <c r="BM3955" s="205" t="n"/>
      <c r="BN3955" s="205" t="n"/>
      <c r="BO3955" s="206" t="n"/>
      <c r="BP3955" s="144" t="n"/>
      <c r="BQ3955" s="141" t="n"/>
      <c r="BR3955" s="207" t="n"/>
      <c r="BS3955" s="207" t="n"/>
      <c r="BT3955" s="207" t="n"/>
      <c r="BU3955" s="207" t="n"/>
      <c r="BV3955" s="208" t="n"/>
      <c r="BW3955" s="207" t="n"/>
      <c r="BX3955" s="207" t="n"/>
      <c r="BY3955" s="204" t="n"/>
      <c r="BZ3955" s="148" t="n"/>
      <c r="CA3955" s="204" t="n"/>
      <c r="CB3955" s="208" t="n"/>
      <c r="CC3955" s="139" t="n"/>
      <c r="CD3955" s="204" t="n"/>
      <c r="CE3955" s="204" t="n"/>
      <c r="CF3955" s="207" t="n"/>
      <c r="CG3955" s="208" t="n"/>
      <c r="CH3955" s="207" t="n"/>
      <c r="CI3955" s="208" t="n"/>
      <c r="CJ3955" s="204" t="n"/>
      <c r="CK3955" s="208" t="n"/>
      <c r="CL3955" s="208" t="n"/>
      <c r="CM3955" s="208" t="n"/>
      <c r="CN3955" s="78" t="n"/>
      <c r="CO3955" s="209" t="n"/>
      <c r="CP3955" s="204" t="n"/>
      <c r="CQ3955" s="204" t="n"/>
      <c r="CR3955" s="204" t="n"/>
      <c r="CS3955" s="204" t="n"/>
      <c r="CT3955" s="204" t="n"/>
      <c r="CU3955" s="204" t="n"/>
      <c r="CV3955" s="204" t="n"/>
      <c r="CW3955" s="204" t="n"/>
    </row>
    <row r="3956">
      <c r="BF3956" s="78" t="n"/>
      <c r="BG3956" s="78" t="n"/>
      <c r="BH3956" s="78" t="n"/>
      <c r="BI3956" s="78" t="n"/>
      <c r="BJ3956" s="139" t="n"/>
      <c r="BK3956" s="204" t="n"/>
      <c r="BL3956" s="141" t="n"/>
      <c r="BM3956" s="205" t="n"/>
      <c r="BN3956" s="205" t="n"/>
      <c r="BO3956" s="206" t="n"/>
      <c r="BP3956" s="144" t="n"/>
      <c r="BQ3956" s="141" t="n"/>
      <c r="BR3956" s="207" t="n"/>
      <c r="BS3956" s="207" t="n"/>
      <c r="BT3956" s="207" t="n"/>
      <c r="BU3956" s="207" t="n"/>
      <c r="BV3956" s="208" t="n"/>
      <c r="BW3956" s="207" t="n"/>
      <c r="BX3956" s="207" t="n"/>
      <c r="BY3956" s="204" t="n"/>
      <c r="BZ3956" s="148" t="n"/>
      <c r="CA3956" s="204" t="n"/>
      <c r="CB3956" s="208" t="n"/>
      <c r="CC3956" s="139" t="n"/>
      <c r="CD3956" s="204" t="n"/>
      <c r="CE3956" s="204" t="n"/>
      <c r="CF3956" s="207" t="n"/>
      <c r="CG3956" s="208" t="n"/>
      <c r="CH3956" s="207" t="n"/>
      <c r="CI3956" s="208" t="n"/>
      <c r="CJ3956" s="204" t="n"/>
      <c r="CK3956" s="208" t="n"/>
      <c r="CL3956" s="208" t="n"/>
      <c r="CM3956" s="208" t="n"/>
      <c r="CN3956" s="78" t="n"/>
      <c r="CO3956" s="209" t="n"/>
      <c r="CP3956" s="204" t="n"/>
      <c r="CQ3956" s="204" t="n"/>
      <c r="CR3956" s="204" t="n"/>
      <c r="CS3956" s="204" t="n"/>
      <c r="CT3956" s="204" t="n"/>
      <c r="CU3956" s="204" t="n"/>
      <c r="CV3956" s="204" t="n"/>
      <c r="CW3956" s="204" t="n"/>
    </row>
    <row r="3957">
      <c r="BF3957" s="78" t="n"/>
      <c r="BG3957" s="78" t="n"/>
      <c r="BH3957" s="78" t="n"/>
      <c r="BI3957" s="78" t="n"/>
      <c r="BJ3957" s="139" t="n"/>
      <c r="BK3957" s="204" t="n"/>
      <c r="BL3957" s="141" t="n"/>
      <c r="BM3957" s="205" t="n"/>
      <c r="BN3957" s="205" t="n"/>
      <c r="BO3957" s="206" t="n"/>
      <c r="BP3957" s="144" t="n"/>
      <c r="BQ3957" s="141" t="n"/>
      <c r="BR3957" s="207" t="n"/>
      <c r="BS3957" s="207" t="n"/>
      <c r="BT3957" s="207" t="n"/>
      <c r="BU3957" s="207" t="n"/>
      <c r="BV3957" s="208" t="n"/>
      <c r="BW3957" s="207" t="n"/>
      <c r="BX3957" s="207" t="n"/>
      <c r="BY3957" s="204" t="n"/>
      <c r="BZ3957" s="148" t="n"/>
      <c r="CA3957" s="204" t="n"/>
      <c r="CB3957" s="208" t="n"/>
      <c r="CC3957" s="139" t="n"/>
      <c r="CD3957" s="204" t="n"/>
      <c r="CE3957" s="204" t="n"/>
      <c r="CF3957" s="207" t="n"/>
      <c r="CG3957" s="208" t="n"/>
      <c r="CH3957" s="207" t="n"/>
      <c r="CI3957" s="208" t="n"/>
      <c r="CJ3957" s="204" t="n"/>
      <c r="CK3957" s="208" t="n"/>
      <c r="CL3957" s="208" t="n"/>
      <c r="CM3957" s="208" t="n"/>
      <c r="CN3957" s="78" t="n"/>
      <c r="CO3957" s="209" t="n"/>
      <c r="CP3957" s="204" t="n"/>
      <c r="CQ3957" s="204" t="n"/>
      <c r="CR3957" s="204" t="n"/>
      <c r="CS3957" s="204" t="n"/>
      <c r="CT3957" s="204" t="n"/>
      <c r="CU3957" s="204" t="n"/>
      <c r="CV3957" s="204" t="n"/>
      <c r="CW3957" s="204" t="n"/>
    </row>
    <row r="3958">
      <c r="BF3958" s="78" t="n"/>
      <c r="BG3958" s="78" t="n"/>
      <c r="BH3958" s="78" t="n"/>
      <c r="BI3958" s="78" t="n"/>
      <c r="BJ3958" s="139" t="n"/>
      <c r="BK3958" s="204" t="n"/>
      <c r="BL3958" s="141" t="n"/>
      <c r="BM3958" s="205" t="n"/>
      <c r="BN3958" s="205" t="n"/>
      <c r="BO3958" s="206" t="n"/>
      <c r="BP3958" s="144" t="n"/>
      <c r="BQ3958" s="141" t="n"/>
      <c r="BR3958" s="207" t="n"/>
      <c r="BS3958" s="207" t="n"/>
      <c r="BT3958" s="207" t="n"/>
      <c r="BU3958" s="207" t="n"/>
      <c r="BV3958" s="208" t="n"/>
      <c r="BW3958" s="207" t="n"/>
      <c r="BX3958" s="207" t="n"/>
      <c r="BY3958" s="204" t="n"/>
      <c r="BZ3958" s="148" t="n"/>
      <c r="CA3958" s="204" t="n"/>
      <c r="CB3958" s="208" t="n"/>
      <c r="CC3958" s="139" t="n"/>
      <c r="CD3958" s="204" t="n"/>
      <c r="CE3958" s="204" t="n"/>
      <c r="CF3958" s="207" t="n"/>
      <c r="CG3958" s="208" t="n"/>
      <c r="CH3958" s="207" t="n"/>
      <c r="CI3958" s="208" t="n"/>
      <c r="CJ3958" s="204" t="n"/>
      <c r="CK3958" s="208" t="n"/>
      <c r="CL3958" s="208" t="n"/>
      <c r="CM3958" s="208" t="n"/>
      <c r="CN3958" s="78" t="n"/>
      <c r="CO3958" s="209" t="n"/>
      <c r="CP3958" s="204" t="n"/>
      <c r="CQ3958" s="204" t="n"/>
      <c r="CR3958" s="204" t="n"/>
      <c r="CS3958" s="204" t="n"/>
      <c r="CT3958" s="204" t="n"/>
      <c r="CU3958" s="204" t="n"/>
      <c r="CV3958" s="204" t="n"/>
      <c r="CW3958" s="204" t="n"/>
    </row>
    <row r="3959">
      <c r="BF3959" s="78" t="n"/>
      <c r="BG3959" s="78" t="n"/>
      <c r="BH3959" s="78" t="n"/>
      <c r="BI3959" s="78" t="n"/>
      <c r="BJ3959" s="139" t="n"/>
      <c r="BK3959" s="204" t="n"/>
      <c r="BL3959" s="141" t="n"/>
      <c r="BM3959" s="205" t="n"/>
      <c r="BN3959" s="205" t="n"/>
      <c r="BO3959" s="206" t="n"/>
      <c r="BP3959" s="144" t="n"/>
      <c r="BQ3959" s="141" t="n"/>
      <c r="BR3959" s="207" t="n"/>
      <c r="BS3959" s="207" t="n"/>
      <c r="BT3959" s="207" t="n"/>
      <c r="BU3959" s="207" t="n"/>
      <c r="BV3959" s="208" t="n"/>
      <c r="BW3959" s="207" t="n"/>
      <c r="BX3959" s="207" t="n"/>
      <c r="BY3959" s="204" t="n"/>
      <c r="BZ3959" s="148" t="n"/>
      <c r="CA3959" s="204" t="n"/>
      <c r="CB3959" s="208" t="n"/>
      <c r="CC3959" s="139" t="n"/>
      <c r="CD3959" s="204" t="n"/>
      <c r="CE3959" s="204" t="n"/>
      <c r="CF3959" s="207" t="n"/>
      <c r="CG3959" s="208" t="n"/>
      <c r="CH3959" s="207" t="n"/>
      <c r="CI3959" s="208" t="n"/>
      <c r="CJ3959" s="204" t="n"/>
      <c r="CK3959" s="208" t="n"/>
      <c r="CL3959" s="208" t="n"/>
      <c r="CM3959" s="208" t="n"/>
      <c r="CN3959" s="78" t="n"/>
      <c r="CO3959" s="209" t="n"/>
      <c r="CP3959" s="204" t="n"/>
      <c r="CQ3959" s="204" t="n"/>
      <c r="CR3959" s="204" t="n"/>
      <c r="CS3959" s="204" t="n"/>
      <c r="CT3959" s="204" t="n"/>
      <c r="CU3959" s="204" t="n"/>
      <c r="CV3959" s="204" t="n"/>
      <c r="CW3959" s="204" t="n"/>
    </row>
    <row r="3960">
      <c r="BF3960" s="78" t="n"/>
      <c r="BG3960" s="78" t="n"/>
      <c r="BH3960" s="78" t="n"/>
      <c r="BI3960" s="78" t="n"/>
      <c r="BJ3960" s="139" t="n"/>
      <c r="BK3960" s="204" t="n"/>
      <c r="BL3960" s="141" t="n"/>
      <c r="BM3960" s="205" t="n"/>
      <c r="BN3960" s="205" t="n"/>
      <c r="BO3960" s="206" t="n"/>
      <c r="BP3960" s="144" t="n"/>
      <c r="BQ3960" s="141" t="n"/>
      <c r="BR3960" s="207" t="n"/>
      <c r="BS3960" s="207" t="n"/>
      <c r="BT3960" s="207" t="n"/>
      <c r="BU3960" s="207" t="n"/>
      <c r="BV3960" s="208" t="n"/>
      <c r="BW3960" s="207" t="n"/>
      <c r="BX3960" s="207" t="n"/>
      <c r="BY3960" s="204" t="n"/>
      <c r="BZ3960" s="148" t="n"/>
      <c r="CA3960" s="204" t="n"/>
      <c r="CB3960" s="208" t="n"/>
      <c r="CC3960" s="139" t="n"/>
      <c r="CD3960" s="204" t="n"/>
      <c r="CE3960" s="204" t="n"/>
      <c r="CF3960" s="207" t="n"/>
      <c r="CG3960" s="208" t="n"/>
      <c r="CH3960" s="207" t="n"/>
      <c r="CI3960" s="208" t="n"/>
      <c r="CJ3960" s="204" t="n"/>
      <c r="CK3960" s="208" t="n"/>
      <c r="CL3960" s="208" t="n"/>
      <c r="CM3960" s="208" t="n"/>
      <c r="CN3960" s="78" t="n"/>
      <c r="CO3960" s="209" t="n"/>
      <c r="CP3960" s="204" t="n"/>
      <c r="CQ3960" s="204" t="n"/>
      <c r="CR3960" s="204" t="n"/>
      <c r="CS3960" s="204" t="n"/>
      <c r="CT3960" s="204" t="n"/>
      <c r="CU3960" s="204" t="n"/>
      <c r="CV3960" s="204" t="n"/>
      <c r="CW3960" s="204" t="n"/>
    </row>
    <row r="3961">
      <c r="BF3961" s="78" t="n"/>
      <c r="BG3961" s="78" t="n"/>
      <c r="BH3961" s="78" t="n"/>
      <c r="BI3961" s="78" t="n"/>
      <c r="BJ3961" s="139" t="n"/>
      <c r="BK3961" s="204" t="n"/>
      <c r="BL3961" s="141" t="n"/>
      <c r="BM3961" s="205" t="n"/>
      <c r="BN3961" s="205" t="n"/>
      <c r="BO3961" s="206" t="n"/>
      <c r="BP3961" s="144" t="n"/>
      <c r="BQ3961" s="141" t="n"/>
      <c r="BR3961" s="207" t="n"/>
      <c r="BS3961" s="207" t="n"/>
      <c r="BT3961" s="207" t="n"/>
      <c r="BU3961" s="207" t="n"/>
      <c r="BV3961" s="208" t="n"/>
      <c r="BW3961" s="207" t="n"/>
      <c r="BX3961" s="207" t="n"/>
      <c r="BY3961" s="204" t="n"/>
      <c r="BZ3961" s="148" t="n"/>
      <c r="CA3961" s="204" t="n"/>
      <c r="CB3961" s="208" t="n"/>
      <c r="CC3961" s="139" t="n"/>
      <c r="CD3961" s="204" t="n"/>
      <c r="CE3961" s="204" t="n"/>
      <c r="CF3961" s="207" t="n"/>
      <c r="CG3961" s="208" t="n"/>
      <c r="CH3961" s="207" t="n"/>
      <c r="CI3961" s="208" t="n"/>
      <c r="CJ3961" s="204" t="n"/>
      <c r="CK3961" s="208" t="n"/>
      <c r="CL3961" s="208" t="n"/>
      <c r="CM3961" s="208" t="n"/>
      <c r="CN3961" s="78" t="n"/>
      <c r="CO3961" s="209" t="n"/>
      <c r="CP3961" s="204" t="n"/>
      <c r="CQ3961" s="204" t="n"/>
      <c r="CR3961" s="204" t="n"/>
      <c r="CS3961" s="204" t="n"/>
      <c r="CT3961" s="204" t="n"/>
      <c r="CU3961" s="204" t="n"/>
      <c r="CV3961" s="204" t="n"/>
      <c r="CW3961" s="204" t="n"/>
    </row>
    <row r="3962">
      <c r="BF3962" s="78" t="n"/>
      <c r="BG3962" s="78" t="n"/>
      <c r="BH3962" s="78" t="n"/>
      <c r="BI3962" s="78" t="n"/>
      <c r="BJ3962" s="139" t="n"/>
      <c r="BK3962" s="204" t="n"/>
      <c r="BL3962" s="141" t="n"/>
      <c r="BM3962" s="205" t="n"/>
      <c r="BN3962" s="205" t="n"/>
      <c r="BO3962" s="206" t="n"/>
      <c r="BP3962" s="144" t="n"/>
      <c r="BQ3962" s="141" t="n"/>
      <c r="BR3962" s="207" t="n"/>
      <c r="BS3962" s="207" t="n"/>
      <c r="BT3962" s="207" t="n"/>
      <c r="BU3962" s="207" t="n"/>
      <c r="BV3962" s="208" t="n"/>
      <c r="BW3962" s="207" t="n"/>
      <c r="BX3962" s="207" t="n"/>
      <c r="BY3962" s="204" t="n"/>
      <c r="BZ3962" s="148" t="n"/>
      <c r="CA3962" s="204" t="n"/>
      <c r="CB3962" s="208" t="n"/>
      <c r="CC3962" s="139" t="n"/>
      <c r="CD3962" s="204" t="n"/>
      <c r="CE3962" s="204" t="n"/>
      <c r="CF3962" s="207" t="n"/>
      <c r="CG3962" s="208" t="n"/>
      <c r="CH3962" s="207" t="n"/>
      <c r="CI3962" s="208" t="n"/>
      <c r="CJ3962" s="204" t="n"/>
      <c r="CK3962" s="208" t="n"/>
      <c r="CL3962" s="208" t="n"/>
      <c r="CM3962" s="208" t="n"/>
      <c r="CN3962" s="78" t="n"/>
      <c r="CO3962" s="209" t="n"/>
      <c r="CP3962" s="204" t="n"/>
      <c r="CQ3962" s="204" t="n"/>
      <c r="CR3962" s="204" t="n"/>
      <c r="CS3962" s="204" t="n"/>
      <c r="CT3962" s="204" t="n"/>
      <c r="CU3962" s="204" t="n"/>
      <c r="CV3962" s="204" t="n"/>
      <c r="CW3962" s="204" t="n"/>
    </row>
    <row r="3963">
      <c r="BF3963" s="78" t="n"/>
      <c r="BG3963" s="78" t="n"/>
      <c r="BH3963" s="78" t="n"/>
      <c r="BI3963" s="78" t="n"/>
      <c r="BJ3963" s="139" t="n"/>
      <c r="BK3963" s="204" t="n"/>
      <c r="BL3963" s="141" t="n"/>
      <c r="BM3963" s="205" t="n"/>
      <c r="BN3963" s="205" t="n"/>
      <c r="BO3963" s="206" t="n"/>
      <c r="BP3963" s="144" t="n"/>
      <c r="BQ3963" s="141" t="n"/>
      <c r="BR3963" s="207" t="n"/>
      <c r="BS3963" s="207" t="n"/>
      <c r="BT3963" s="207" t="n"/>
      <c r="BU3963" s="207" t="n"/>
      <c r="BV3963" s="208" t="n"/>
      <c r="BW3963" s="207" t="n"/>
      <c r="BX3963" s="207" t="n"/>
      <c r="BY3963" s="204" t="n"/>
      <c r="BZ3963" s="148" t="n"/>
      <c r="CA3963" s="204" t="n"/>
      <c r="CB3963" s="208" t="n"/>
      <c r="CC3963" s="139" t="n"/>
      <c r="CD3963" s="204" t="n"/>
      <c r="CE3963" s="204" t="n"/>
      <c r="CF3963" s="207" t="n"/>
      <c r="CG3963" s="208" t="n"/>
      <c r="CH3963" s="207" t="n"/>
      <c r="CI3963" s="208" t="n"/>
      <c r="CJ3963" s="204" t="n"/>
      <c r="CK3963" s="208" t="n"/>
      <c r="CL3963" s="208" t="n"/>
      <c r="CM3963" s="208" t="n"/>
      <c r="CN3963" s="78" t="n"/>
      <c r="CO3963" s="209" t="n"/>
      <c r="CP3963" s="204" t="n"/>
      <c r="CQ3963" s="204" t="n"/>
      <c r="CR3963" s="204" t="n"/>
      <c r="CS3963" s="204" t="n"/>
      <c r="CT3963" s="204" t="n"/>
      <c r="CU3963" s="204" t="n"/>
      <c r="CV3963" s="204" t="n"/>
      <c r="CW3963" s="204" t="n"/>
    </row>
    <row r="3964">
      <c r="BF3964" s="78" t="n"/>
      <c r="BG3964" s="78" t="n"/>
      <c r="BH3964" s="78" t="n"/>
      <c r="BI3964" s="78" t="n"/>
      <c r="BJ3964" s="139" t="n"/>
      <c r="BK3964" s="204" t="n"/>
      <c r="BL3964" s="141" t="n"/>
      <c r="BM3964" s="205" t="n"/>
      <c r="BN3964" s="205" t="n"/>
      <c r="BO3964" s="206" t="n"/>
      <c r="BP3964" s="144" t="n"/>
      <c r="BQ3964" s="141" t="n"/>
      <c r="BR3964" s="207" t="n"/>
      <c r="BS3964" s="207" t="n"/>
      <c r="BT3964" s="207" t="n"/>
      <c r="BU3964" s="207" t="n"/>
      <c r="BV3964" s="208" t="n"/>
      <c r="BW3964" s="207" t="n"/>
      <c r="BX3964" s="207" t="n"/>
      <c r="BY3964" s="204" t="n"/>
      <c r="BZ3964" s="148" t="n"/>
      <c r="CA3964" s="204" t="n"/>
      <c r="CB3964" s="208" t="n"/>
      <c r="CC3964" s="139" t="n"/>
      <c r="CD3964" s="204" t="n"/>
      <c r="CE3964" s="204" t="n"/>
      <c r="CF3964" s="207" t="n"/>
      <c r="CG3964" s="208" t="n"/>
      <c r="CH3964" s="207" t="n"/>
      <c r="CI3964" s="208" t="n"/>
      <c r="CJ3964" s="204" t="n"/>
      <c r="CK3964" s="208" t="n"/>
      <c r="CL3964" s="208" t="n"/>
      <c r="CM3964" s="208" t="n"/>
      <c r="CN3964" s="78" t="n"/>
      <c r="CO3964" s="209" t="n"/>
      <c r="CP3964" s="204" t="n"/>
      <c r="CQ3964" s="204" t="n"/>
      <c r="CR3964" s="204" t="n"/>
      <c r="CS3964" s="204" t="n"/>
      <c r="CT3964" s="204" t="n"/>
      <c r="CU3964" s="204" t="n"/>
      <c r="CV3964" s="204" t="n"/>
      <c r="CW3964" s="204" t="n"/>
    </row>
    <row r="3965">
      <c r="BF3965" s="78" t="n"/>
      <c r="BG3965" s="78" t="n"/>
      <c r="BH3965" s="78" t="n"/>
      <c r="BI3965" s="78" t="n"/>
      <c r="BJ3965" s="139" t="n"/>
      <c r="BK3965" s="204" t="n"/>
      <c r="BL3965" s="141" t="n"/>
      <c r="BM3965" s="205" t="n"/>
      <c r="BN3965" s="205" t="n"/>
      <c r="BO3965" s="206" t="n"/>
      <c r="BP3965" s="144" t="n"/>
      <c r="BQ3965" s="141" t="n"/>
      <c r="BR3965" s="207" t="n"/>
      <c r="BS3965" s="207" t="n"/>
      <c r="BT3965" s="207" t="n"/>
      <c r="BU3965" s="207" t="n"/>
      <c r="BV3965" s="208" t="n"/>
      <c r="BW3965" s="207" t="n"/>
      <c r="BX3965" s="207" t="n"/>
      <c r="BY3965" s="204" t="n"/>
      <c r="BZ3965" s="148" t="n"/>
      <c r="CA3965" s="204" t="n"/>
      <c r="CB3965" s="208" t="n"/>
      <c r="CC3965" s="139" t="n"/>
      <c r="CD3965" s="204" t="n"/>
      <c r="CE3965" s="204" t="n"/>
      <c r="CF3965" s="207" t="n"/>
      <c r="CG3965" s="208" t="n"/>
      <c r="CH3965" s="207" t="n"/>
      <c r="CI3965" s="208" t="n"/>
      <c r="CJ3965" s="204" t="n"/>
      <c r="CK3965" s="208" t="n"/>
      <c r="CL3965" s="208" t="n"/>
      <c r="CM3965" s="208" t="n"/>
      <c r="CN3965" s="78" t="n"/>
      <c r="CO3965" s="209" t="n"/>
      <c r="CP3965" s="204" t="n"/>
      <c r="CQ3965" s="204" t="n"/>
      <c r="CR3965" s="204" t="n"/>
      <c r="CS3965" s="204" t="n"/>
      <c r="CT3965" s="204" t="n"/>
      <c r="CU3965" s="204" t="n"/>
      <c r="CV3965" s="204" t="n"/>
      <c r="CW3965" s="204" t="n"/>
    </row>
    <row r="3966">
      <c r="BF3966" s="78" t="n"/>
      <c r="BG3966" s="78" t="n"/>
      <c r="BH3966" s="78" t="n"/>
      <c r="BI3966" s="78" t="n"/>
      <c r="BJ3966" s="139" t="n"/>
      <c r="BK3966" s="204" t="n"/>
      <c r="BL3966" s="141" t="n"/>
      <c r="BM3966" s="205" t="n"/>
      <c r="BN3966" s="205" t="n"/>
      <c r="BO3966" s="206" t="n"/>
      <c r="BP3966" s="144" t="n"/>
      <c r="BQ3966" s="141" t="n"/>
      <c r="BR3966" s="207" t="n"/>
      <c r="BS3966" s="207" t="n"/>
      <c r="BT3966" s="207" t="n"/>
      <c r="BU3966" s="207" t="n"/>
      <c r="BV3966" s="208" t="n"/>
      <c r="BW3966" s="207" t="n"/>
      <c r="BX3966" s="207" t="n"/>
      <c r="BY3966" s="204" t="n"/>
      <c r="BZ3966" s="148" t="n"/>
      <c r="CA3966" s="204" t="n"/>
      <c r="CB3966" s="208" t="n"/>
      <c r="CC3966" s="139" t="n"/>
      <c r="CD3966" s="204" t="n"/>
      <c r="CE3966" s="204" t="n"/>
      <c r="CF3966" s="207" t="n"/>
      <c r="CG3966" s="208" t="n"/>
      <c r="CH3966" s="207" t="n"/>
      <c r="CI3966" s="208" t="n"/>
      <c r="CJ3966" s="204" t="n"/>
      <c r="CK3966" s="208" t="n"/>
      <c r="CL3966" s="208" t="n"/>
      <c r="CM3966" s="208" t="n"/>
      <c r="CN3966" s="78" t="n"/>
      <c r="CO3966" s="209" t="n"/>
      <c r="CP3966" s="204" t="n"/>
      <c r="CQ3966" s="204" t="n"/>
      <c r="CR3966" s="204" t="n"/>
      <c r="CS3966" s="204" t="n"/>
      <c r="CT3966" s="204" t="n"/>
      <c r="CU3966" s="204" t="n"/>
      <c r="CV3966" s="204" t="n"/>
      <c r="CW3966" s="204" t="n"/>
    </row>
    <row r="3967">
      <c r="BF3967" s="78" t="n"/>
      <c r="BG3967" s="78" t="n"/>
      <c r="BH3967" s="78" t="n"/>
      <c r="BI3967" s="78" t="n"/>
      <c r="BJ3967" s="139" t="n"/>
      <c r="BK3967" s="204" t="n"/>
      <c r="BL3967" s="141" t="n"/>
      <c r="BM3967" s="205" t="n"/>
      <c r="BN3967" s="205" t="n"/>
      <c r="BO3967" s="206" t="n"/>
      <c r="BP3967" s="144" t="n"/>
      <c r="BQ3967" s="141" t="n"/>
      <c r="BR3967" s="207" t="n"/>
      <c r="BS3967" s="207" t="n"/>
      <c r="BT3967" s="207" t="n"/>
      <c r="BU3967" s="207" t="n"/>
      <c r="BV3967" s="208" t="n"/>
      <c r="BW3967" s="207" t="n"/>
      <c r="BX3967" s="207" t="n"/>
      <c r="BY3967" s="204" t="n"/>
      <c r="BZ3967" s="148" t="n"/>
      <c r="CA3967" s="204" t="n"/>
      <c r="CB3967" s="208" t="n"/>
      <c r="CC3967" s="139" t="n"/>
      <c r="CD3967" s="204" t="n"/>
      <c r="CE3967" s="204" t="n"/>
      <c r="CF3967" s="207" t="n"/>
      <c r="CG3967" s="208" t="n"/>
      <c r="CH3967" s="207" t="n"/>
      <c r="CI3967" s="208" t="n"/>
      <c r="CJ3967" s="204" t="n"/>
      <c r="CK3967" s="208" t="n"/>
      <c r="CL3967" s="208" t="n"/>
      <c r="CM3967" s="208" t="n"/>
      <c r="CN3967" s="78" t="n"/>
      <c r="CO3967" s="209" t="n"/>
      <c r="CP3967" s="204" t="n"/>
      <c r="CQ3967" s="204" t="n"/>
      <c r="CR3967" s="204" t="n"/>
      <c r="CS3967" s="204" t="n"/>
      <c r="CT3967" s="204" t="n"/>
      <c r="CU3967" s="204" t="n"/>
      <c r="CV3967" s="204" t="n"/>
      <c r="CW3967" s="204" t="n"/>
    </row>
    <row r="3968">
      <c r="BF3968" s="78" t="n"/>
      <c r="BG3968" s="78" t="n"/>
      <c r="BH3968" s="78" t="n"/>
      <c r="BI3968" s="78" t="n"/>
      <c r="BJ3968" s="139" t="n"/>
      <c r="BK3968" s="204" t="n"/>
      <c r="BL3968" s="141" t="n"/>
      <c r="BM3968" s="205" t="n"/>
      <c r="BN3968" s="205" t="n"/>
      <c r="BO3968" s="206" t="n"/>
      <c r="BP3968" s="144" t="n"/>
      <c r="BQ3968" s="141" t="n"/>
      <c r="BR3968" s="207" t="n"/>
      <c r="BS3968" s="207" t="n"/>
      <c r="BT3968" s="207" t="n"/>
      <c r="BU3968" s="207" t="n"/>
      <c r="BV3968" s="208" t="n"/>
      <c r="BW3968" s="207" t="n"/>
      <c r="BX3968" s="207" t="n"/>
      <c r="BY3968" s="204" t="n"/>
      <c r="BZ3968" s="148" t="n"/>
      <c r="CA3968" s="204" t="n"/>
      <c r="CB3968" s="208" t="n"/>
      <c r="CC3968" s="139" t="n"/>
      <c r="CD3968" s="204" t="n"/>
      <c r="CE3968" s="204" t="n"/>
      <c r="CF3968" s="207" t="n"/>
      <c r="CG3968" s="208" t="n"/>
      <c r="CH3968" s="207" t="n"/>
      <c r="CI3968" s="208" t="n"/>
      <c r="CJ3968" s="204" t="n"/>
      <c r="CK3968" s="208" t="n"/>
      <c r="CL3968" s="208" t="n"/>
      <c r="CM3968" s="208" t="n"/>
      <c r="CN3968" s="78" t="n"/>
      <c r="CO3968" s="209" t="n"/>
      <c r="CP3968" s="204" t="n"/>
      <c r="CQ3968" s="204" t="n"/>
      <c r="CR3968" s="204" t="n"/>
      <c r="CS3968" s="204" t="n"/>
      <c r="CT3968" s="204" t="n"/>
      <c r="CU3968" s="204" t="n"/>
      <c r="CV3968" s="204" t="n"/>
      <c r="CW3968" s="204" t="n"/>
    </row>
    <row r="3969">
      <c r="BF3969" s="78" t="n"/>
      <c r="BG3969" s="78" t="n"/>
      <c r="BH3969" s="78" t="n"/>
      <c r="BI3969" s="78" t="n"/>
      <c r="BJ3969" s="139" t="n"/>
      <c r="BK3969" s="204" t="n"/>
      <c r="BL3969" s="141" t="n"/>
      <c r="BM3969" s="205" t="n"/>
      <c r="BN3969" s="205" t="n"/>
      <c r="BO3969" s="206" t="n"/>
      <c r="BP3969" s="144" t="n"/>
      <c r="BQ3969" s="141" t="n"/>
      <c r="BR3969" s="207" t="n"/>
      <c r="BS3969" s="207" t="n"/>
      <c r="BT3969" s="207" t="n"/>
      <c r="BU3969" s="207" t="n"/>
      <c r="BV3969" s="208" t="n"/>
      <c r="BW3969" s="207" t="n"/>
      <c r="BX3969" s="207" t="n"/>
      <c r="BY3969" s="204" t="n"/>
      <c r="BZ3969" s="148" t="n"/>
      <c r="CA3969" s="204" t="n"/>
      <c r="CB3969" s="208" t="n"/>
      <c r="CC3969" s="139" t="n"/>
      <c r="CD3969" s="204" t="n"/>
      <c r="CE3969" s="204" t="n"/>
      <c r="CF3969" s="207" t="n"/>
      <c r="CG3969" s="208" t="n"/>
      <c r="CH3969" s="207" t="n"/>
      <c r="CI3969" s="208" t="n"/>
      <c r="CJ3969" s="204" t="n"/>
      <c r="CK3969" s="208" t="n"/>
      <c r="CL3969" s="208" t="n"/>
      <c r="CM3969" s="208" t="n"/>
      <c r="CN3969" s="78" t="n"/>
      <c r="CO3969" s="209" t="n"/>
      <c r="CP3969" s="204" t="n"/>
      <c r="CQ3969" s="204" t="n"/>
      <c r="CR3969" s="204" t="n"/>
      <c r="CS3969" s="204" t="n"/>
      <c r="CT3969" s="204" t="n"/>
      <c r="CU3969" s="204" t="n"/>
      <c r="CV3969" s="204" t="n"/>
      <c r="CW3969" s="204" t="n"/>
    </row>
    <row r="3970">
      <c r="BF3970" s="78" t="n"/>
      <c r="BG3970" s="78" t="n"/>
      <c r="BH3970" s="78" t="n"/>
      <c r="BI3970" s="78" t="n"/>
      <c r="BJ3970" s="139" t="n"/>
      <c r="BK3970" s="204" t="n"/>
      <c r="BL3970" s="141" t="n"/>
      <c r="BM3970" s="205" t="n"/>
      <c r="BN3970" s="205" t="n"/>
      <c r="BO3970" s="206" t="n"/>
      <c r="BP3970" s="144" t="n"/>
      <c r="BQ3970" s="141" t="n"/>
      <c r="BR3970" s="207" t="n"/>
      <c r="BS3970" s="207" t="n"/>
      <c r="BT3970" s="207" t="n"/>
      <c r="BU3970" s="207" t="n"/>
      <c r="BV3970" s="208" t="n"/>
      <c r="BW3970" s="207" t="n"/>
      <c r="BX3970" s="207" t="n"/>
      <c r="BY3970" s="204" t="n"/>
      <c r="BZ3970" s="148" t="n"/>
      <c r="CA3970" s="204" t="n"/>
      <c r="CB3970" s="208" t="n"/>
      <c r="CC3970" s="139" t="n"/>
      <c r="CD3970" s="204" t="n"/>
      <c r="CE3970" s="204" t="n"/>
      <c r="CF3970" s="207" t="n"/>
      <c r="CG3970" s="208" t="n"/>
      <c r="CH3970" s="207" t="n"/>
      <c r="CI3970" s="208" t="n"/>
      <c r="CJ3970" s="204" t="n"/>
      <c r="CK3970" s="208" t="n"/>
      <c r="CL3970" s="208" t="n"/>
      <c r="CM3970" s="208" t="n"/>
      <c r="CN3970" s="78" t="n"/>
      <c r="CO3970" s="209" t="n"/>
      <c r="CP3970" s="204" t="n"/>
      <c r="CQ3970" s="204" t="n"/>
      <c r="CR3970" s="204" t="n"/>
      <c r="CS3970" s="204" t="n"/>
      <c r="CT3970" s="204" t="n"/>
      <c r="CU3970" s="204" t="n"/>
      <c r="CV3970" s="204" t="n"/>
      <c r="CW3970" s="204" t="n"/>
    </row>
    <row r="3971">
      <c r="BF3971" s="78" t="n"/>
      <c r="BG3971" s="78" t="n"/>
      <c r="BH3971" s="78" t="n"/>
      <c r="BI3971" s="78" t="n"/>
      <c r="BJ3971" s="139" t="n"/>
      <c r="BK3971" s="204" t="n"/>
      <c r="BL3971" s="141" t="n"/>
      <c r="BM3971" s="205" t="n"/>
      <c r="BN3971" s="205" t="n"/>
      <c r="BO3971" s="206" t="n"/>
      <c r="BP3971" s="144" t="n"/>
      <c r="BQ3971" s="141" t="n"/>
      <c r="BR3971" s="207" t="n"/>
      <c r="BS3971" s="207" t="n"/>
      <c r="BT3971" s="207" t="n"/>
      <c r="BU3971" s="207" t="n"/>
      <c r="BV3971" s="208" t="n"/>
      <c r="BW3971" s="207" t="n"/>
      <c r="BX3971" s="207" t="n"/>
      <c r="BY3971" s="204" t="n"/>
      <c r="BZ3971" s="148" t="n"/>
      <c r="CA3971" s="204" t="n"/>
      <c r="CB3971" s="208" t="n"/>
      <c r="CC3971" s="139" t="n"/>
      <c r="CD3971" s="204" t="n"/>
      <c r="CE3971" s="204" t="n"/>
      <c r="CF3971" s="207" t="n"/>
      <c r="CG3971" s="208" t="n"/>
      <c r="CH3971" s="207" t="n"/>
      <c r="CI3971" s="208" t="n"/>
      <c r="CJ3971" s="204" t="n"/>
      <c r="CK3971" s="208" t="n"/>
      <c r="CL3971" s="208" t="n"/>
      <c r="CM3971" s="208" t="n"/>
      <c r="CN3971" s="78" t="n"/>
      <c r="CO3971" s="209" t="n"/>
      <c r="CP3971" s="204" t="n"/>
      <c r="CQ3971" s="204" t="n"/>
      <c r="CR3971" s="204" t="n"/>
      <c r="CS3971" s="204" t="n"/>
      <c r="CT3971" s="204" t="n"/>
      <c r="CU3971" s="204" t="n"/>
      <c r="CV3971" s="204" t="n"/>
      <c r="CW3971" s="204" t="n"/>
    </row>
    <row r="3972">
      <c r="BF3972" s="78" t="n"/>
      <c r="BG3972" s="78" t="n"/>
      <c r="BH3972" s="78" t="n"/>
      <c r="BI3972" s="78" t="n"/>
      <c r="BJ3972" s="139" t="n"/>
      <c r="BK3972" s="204" t="n"/>
      <c r="BL3972" s="141" t="n"/>
      <c r="BM3972" s="205" t="n"/>
      <c r="BN3972" s="205" t="n"/>
      <c r="BO3972" s="206" t="n"/>
      <c r="BP3972" s="144" t="n"/>
      <c r="BQ3972" s="141" t="n"/>
      <c r="BR3972" s="207" t="n"/>
      <c r="BS3972" s="207" t="n"/>
      <c r="BT3972" s="207" t="n"/>
      <c r="BU3972" s="207" t="n"/>
      <c r="BV3972" s="208" t="n"/>
      <c r="BW3972" s="207" t="n"/>
      <c r="BX3972" s="207" t="n"/>
      <c r="BY3972" s="204" t="n"/>
      <c r="BZ3972" s="148" t="n"/>
      <c r="CA3972" s="204" t="n"/>
      <c r="CB3972" s="208" t="n"/>
      <c r="CC3972" s="139" t="n"/>
      <c r="CD3972" s="204" t="n"/>
      <c r="CE3972" s="204" t="n"/>
      <c r="CF3972" s="207" t="n"/>
      <c r="CG3972" s="208" t="n"/>
      <c r="CH3972" s="207" t="n"/>
      <c r="CI3972" s="208" t="n"/>
      <c r="CJ3972" s="204" t="n"/>
      <c r="CK3972" s="208" t="n"/>
      <c r="CL3972" s="208" t="n"/>
      <c r="CM3972" s="208" t="n"/>
      <c r="CN3972" s="78" t="n"/>
      <c r="CO3972" s="209" t="n"/>
      <c r="CP3972" s="204" t="n"/>
      <c r="CQ3972" s="204" t="n"/>
      <c r="CR3972" s="204" t="n"/>
      <c r="CS3972" s="204" t="n"/>
      <c r="CT3972" s="204" t="n"/>
      <c r="CU3972" s="204" t="n"/>
      <c r="CV3972" s="204" t="n"/>
      <c r="CW3972" s="204" t="n"/>
    </row>
    <row r="3973">
      <c r="BF3973" s="78" t="n"/>
      <c r="BG3973" s="78" t="n"/>
      <c r="BH3973" s="78" t="n"/>
      <c r="BI3973" s="78" t="n"/>
      <c r="BJ3973" s="139" t="n"/>
      <c r="BK3973" s="204" t="n"/>
      <c r="BL3973" s="141" t="n"/>
      <c r="BM3973" s="205" t="n"/>
      <c r="BN3973" s="205" t="n"/>
      <c r="BO3973" s="206" t="n"/>
      <c r="BP3973" s="144" t="n"/>
      <c r="BQ3973" s="141" t="n"/>
      <c r="BR3973" s="207" t="n"/>
      <c r="BS3973" s="207" t="n"/>
      <c r="BT3973" s="207" t="n"/>
      <c r="BU3973" s="207" t="n"/>
      <c r="BV3973" s="208" t="n"/>
      <c r="BW3973" s="207" t="n"/>
      <c r="BX3973" s="207" t="n"/>
      <c r="BY3973" s="204" t="n"/>
      <c r="BZ3973" s="148" t="n"/>
      <c r="CA3973" s="204" t="n"/>
      <c r="CB3973" s="208" t="n"/>
      <c r="CC3973" s="139" t="n"/>
      <c r="CD3973" s="204" t="n"/>
      <c r="CE3973" s="204" t="n"/>
      <c r="CF3973" s="207" t="n"/>
      <c r="CG3973" s="208" t="n"/>
      <c r="CH3973" s="207" t="n"/>
      <c r="CI3973" s="208" t="n"/>
      <c r="CJ3973" s="204" t="n"/>
      <c r="CK3973" s="208" t="n"/>
      <c r="CL3973" s="208" t="n"/>
      <c r="CM3973" s="208" t="n"/>
      <c r="CN3973" s="78" t="n"/>
      <c r="CO3973" s="209" t="n"/>
      <c r="CP3973" s="204" t="n"/>
      <c r="CQ3973" s="204" t="n"/>
      <c r="CR3973" s="204" t="n"/>
      <c r="CS3973" s="204" t="n"/>
      <c r="CT3973" s="204" t="n"/>
      <c r="CU3973" s="204" t="n"/>
      <c r="CV3973" s="204" t="n"/>
      <c r="CW3973" s="204" t="n"/>
    </row>
    <row r="3974">
      <c r="BF3974" s="78" t="n"/>
      <c r="BG3974" s="78" t="n"/>
      <c r="BH3974" s="78" t="n"/>
      <c r="BI3974" s="78" t="n"/>
      <c r="BJ3974" s="139" t="n"/>
      <c r="BK3974" s="204" t="n"/>
      <c r="BL3974" s="141" t="n"/>
      <c r="BM3974" s="205" t="n"/>
      <c r="BN3974" s="205" t="n"/>
      <c r="BO3974" s="206" t="n"/>
      <c r="BP3974" s="144" t="n"/>
      <c r="BQ3974" s="141" t="n"/>
      <c r="BR3974" s="207" t="n"/>
      <c r="BS3974" s="207" t="n"/>
      <c r="BT3974" s="207" t="n"/>
      <c r="BU3974" s="207" t="n"/>
      <c r="BV3974" s="208" t="n"/>
      <c r="BW3974" s="207" t="n"/>
      <c r="BX3974" s="207" t="n"/>
      <c r="BY3974" s="204" t="n"/>
      <c r="BZ3974" s="148" t="n"/>
      <c r="CA3974" s="204" t="n"/>
      <c r="CB3974" s="208" t="n"/>
      <c r="CC3974" s="139" t="n"/>
      <c r="CD3974" s="204" t="n"/>
      <c r="CE3974" s="204" t="n"/>
      <c r="CF3974" s="207" t="n"/>
      <c r="CG3974" s="208" t="n"/>
      <c r="CH3974" s="207" t="n"/>
      <c r="CI3974" s="208" t="n"/>
      <c r="CJ3974" s="204" t="n"/>
      <c r="CK3974" s="208" t="n"/>
      <c r="CL3974" s="208" t="n"/>
      <c r="CM3974" s="208" t="n"/>
      <c r="CN3974" s="78" t="n"/>
      <c r="CO3974" s="209" t="n"/>
      <c r="CP3974" s="204" t="n"/>
      <c r="CQ3974" s="204" t="n"/>
      <c r="CR3974" s="204" t="n"/>
      <c r="CS3974" s="204" t="n"/>
      <c r="CT3974" s="204" t="n"/>
      <c r="CU3974" s="204" t="n"/>
      <c r="CV3974" s="204" t="n"/>
      <c r="CW3974" s="204" t="n"/>
    </row>
    <row r="3975">
      <c r="BF3975" s="78" t="n"/>
      <c r="BG3975" s="78" t="n"/>
      <c r="BH3975" s="78" t="n"/>
      <c r="BI3975" s="78" t="n"/>
      <c r="BJ3975" s="139" t="n"/>
      <c r="BK3975" s="204" t="n"/>
      <c r="BL3975" s="141" t="n"/>
      <c r="BM3975" s="205" t="n"/>
      <c r="BN3975" s="205" t="n"/>
      <c r="BO3975" s="206" t="n"/>
      <c r="BP3975" s="144" t="n"/>
      <c r="BQ3975" s="141" t="n"/>
      <c r="BR3975" s="207" t="n"/>
      <c r="BS3975" s="207" t="n"/>
      <c r="BT3975" s="207" t="n"/>
      <c r="BU3975" s="207" t="n"/>
      <c r="BV3975" s="208" t="n"/>
      <c r="BW3975" s="207" t="n"/>
      <c r="BX3975" s="207" t="n"/>
      <c r="BY3975" s="204" t="n"/>
      <c r="BZ3975" s="148" t="n"/>
      <c r="CA3975" s="204" t="n"/>
      <c r="CB3975" s="208" t="n"/>
      <c r="CC3975" s="139" t="n"/>
      <c r="CD3975" s="204" t="n"/>
      <c r="CE3975" s="204" t="n"/>
      <c r="CF3975" s="207" t="n"/>
      <c r="CG3975" s="208" t="n"/>
      <c r="CH3975" s="207" t="n"/>
      <c r="CI3975" s="208" t="n"/>
      <c r="CJ3975" s="204" t="n"/>
      <c r="CK3975" s="208" t="n"/>
      <c r="CL3975" s="208" t="n"/>
      <c r="CM3975" s="208" t="n"/>
      <c r="CN3975" s="78" t="n"/>
      <c r="CO3975" s="209" t="n"/>
      <c r="CP3975" s="204" t="n"/>
      <c r="CQ3975" s="204" t="n"/>
      <c r="CR3975" s="204" t="n"/>
      <c r="CS3975" s="204" t="n"/>
      <c r="CT3975" s="204" t="n"/>
      <c r="CU3975" s="204" t="n"/>
      <c r="CV3975" s="204" t="n"/>
      <c r="CW3975" s="204" t="n"/>
    </row>
    <row r="3976">
      <c r="BF3976" s="78" t="n"/>
      <c r="BG3976" s="78" t="n"/>
      <c r="BH3976" s="78" t="n"/>
      <c r="BI3976" s="78" t="n"/>
      <c r="BJ3976" s="139" t="n"/>
      <c r="BK3976" s="204" t="n"/>
      <c r="BL3976" s="141" t="n"/>
      <c r="BM3976" s="205" t="n"/>
      <c r="BN3976" s="205" t="n"/>
      <c r="BO3976" s="206" t="n"/>
      <c r="BP3976" s="144" t="n"/>
      <c r="BQ3976" s="141" t="n"/>
      <c r="BR3976" s="207" t="n"/>
      <c r="BS3976" s="207" t="n"/>
      <c r="BT3976" s="207" t="n"/>
      <c r="BU3976" s="207" t="n"/>
      <c r="BV3976" s="208" t="n"/>
      <c r="BW3976" s="207" t="n"/>
      <c r="BX3976" s="207" t="n"/>
      <c r="BY3976" s="204" t="n"/>
      <c r="BZ3976" s="148" t="n"/>
      <c r="CA3976" s="204" t="n"/>
      <c r="CB3976" s="208" t="n"/>
      <c r="CC3976" s="139" t="n"/>
      <c r="CD3976" s="204" t="n"/>
      <c r="CE3976" s="204" t="n"/>
      <c r="CF3976" s="207" t="n"/>
      <c r="CG3976" s="208" t="n"/>
      <c r="CH3976" s="207" t="n"/>
      <c r="CI3976" s="208" t="n"/>
      <c r="CJ3976" s="204" t="n"/>
      <c r="CK3976" s="208" t="n"/>
      <c r="CL3976" s="208" t="n"/>
      <c r="CM3976" s="208" t="n"/>
      <c r="CN3976" s="78" t="n"/>
      <c r="CO3976" s="209" t="n"/>
      <c r="CP3976" s="204" t="n"/>
      <c r="CQ3976" s="204" t="n"/>
      <c r="CR3976" s="204" t="n"/>
      <c r="CS3976" s="204" t="n"/>
      <c r="CT3976" s="204" t="n"/>
      <c r="CU3976" s="204" t="n"/>
      <c r="CV3976" s="204" t="n"/>
      <c r="CW3976" s="204" t="n"/>
    </row>
    <row r="3977">
      <c r="BF3977" s="78" t="n"/>
      <c r="BG3977" s="78" t="n"/>
      <c r="BH3977" s="78" t="n"/>
      <c r="BI3977" s="78" t="n"/>
      <c r="BJ3977" s="139" t="n"/>
      <c r="BK3977" s="204" t="n"/>
      <c r="BL3977" s="141" t="n"/>
      <c r="BM3977" s="205" t="n"/>
      <c r="BN3977" s="205" t="n"/>
      <c r="BO3977" s="206" t="n"/>
      <c r="BP3977" s="144" t="n"/>
      <c r="BQ3977" s="141" t="n"/>
      <c r="BR3977" s="207" t="n"/>
      <c r="BS3977" s="207" t="n"/>
      <c r="BT3977" s="207" t="n"/>
      <c r="BU3977" s="207" t="n"/>
      <c r="BV3977" s="208" t="n"/>
      <c r="BW3977" s="207" t="n"/>
      <c r="BX3977" s="207" t="n"/>
      <c r="BY3977" s="204" t="n"/>
      <c r="BZ3977" s="148" t="n"/>
      <c r="CA3977" s="204" t="n"/>
      <c r="CB3977" s="208" t="n"/>
      <c r="CC3977" s="139" t="n"/>
      <c r="CD3977" s="204" t="n"/>
      <c r="CE3977" s="204" t="n"/>
      <c r="CF3977" s="207" t="n"/>
      <c r="CG3977" s="208" t="n"/>
      <c r="CH3977" s="207" t="n"/>
      <c r="CI3977" s="208" t="n"/>
      <c r="CJ3977" s="204" t="n"/>
      <c r="CK3977" s="208" t="n"/>
      <c r="CL3977" s="208" t="n"/>
      <c r="CM3977" s="208" t="n"/>
      <c r="CN3977" s="78" t="n"/>
      <c r="CO3977" s="209" t="n"/>
      <c r="CP3977" s="204" t="n"/>
      <c r="CQ3977" s="204" t="n"/>
      <c r="CR3977" s="204" t="n"/>
      <c r="CS3977" s="204" t="n"/>
      <c r="CT3977" s="204" t="n"/>
      <c r="CU3977" s="204" t="n"/>
      <c r="CV3977" s="204" t="n"/>
      <c r="CW3977" s="204" t="n"/>
    </row>
    <row r="3978">
      <c r="BF3978" s="78" t="n"/>
      <c r="BG3978" s="78" t="n"/>
      <c r="BH3978" s="78" t="n"/>
      <c r="BI3978" s="78" t="n"/>
      <c r="BJ3978" s="139" t="n"/>
      <c r="BK3978" s="204" t="n"/>
      <c r="BL3978" s="141" t="n"/>
      <c r="BM3978" s="205" t="n"/>
      <c r="BN3978" s="205" t="n"/>
      <c r="BO3978" s="206" t="n"/>
      <c r="BP3978" s="144" t="n"/>
      <c r="BQ3978" s="141" t="n"/>
      <c r="BR3978" s="207" t="n"/>
      <c r="BS3978" s="207" t="n"/>
      <c r="BT3978" s="207" t="n"/>
      <c r="BU3978" s="207" t="n"/>
      <c r="BV3978" s="208" t="n"/>
      <c r="BW3978" s="207" t="n"/>
      <c r="BX3978" s="207" t="n"/>
      <c r="BY3978" s="204" t="n"/>
      <c r="BZ3978" s="148" t="n"/>
      <c r="CA3978" s="204" t="n"/>
      <c r="CB3978" s="208" t="n"/>
      <c r="CC3978" s="139" t="n"/>
      <c r="CD3978" s="204" t="n"/>
      <c r="CE3978" s="204" t="n"/>
      <c r="CF3978" s="207" t="n"/>
      <c r="CG3978" s="208" t="n"/>
      <c r="CH3978" s="207" t="n"/>
      <c r="CI3978" s="208" t="n"/>
      <c r="CJ3978" s="204" t="n"/>
      <c r="CK3978" s="208" t="n"/>
      <c r="CL3978" s="208" t="n"/>
      <c r="CM3978" s="208" t="n"/>
      <c r="CN3978" s="78" t="n"/>
      <c r="CO3978" s="209" t="n"/>
      <c r="CP3978" s="204" t="n"/>
      <c r="CQ3978" s="204" t="n"/>
      <c r="CR3978" s="204" t="n"/>
      <c r="CS3978" s="204" t="n"/>
      <c r="CT3978" s="204" t="n"/>
      <c r="CU3978" s="204" t="n"/>
      <c r="CV3978" s="204" t="n"/>
      <c r="CW3978" s="204" t="n"/>
    </row>
    <row r="3979">
      <c r="BF3979" s="78" t="n"/>
      <c r="BG3979" s="78" t="n"/>
      <c r="BH3979" s="78" t="n"/>
      <c r="BI3979" s="78" t="n"/>
      <c r="BJ3979" s="139" t="n"/>
      <c r="BK3979" s="204" t="n"/>
      <c r="BL3979" s="141" t="n"/>
      <c r="BM3979" s="205" t="n"/>
      <c r="BN3979" s="205" t="n"/>
      <c r="BO3979" s="206" t="n"/>
      <c r="BP3979" s="144" t="n"/>
      <c r="BQ3979" s="141" t="n"/>
      <c r="BR3979" s="207" t="n"/>
      <c r="BS3979" s="207" t="n"/>
      <c r="BT3979" s="207" t="n"/>
      <c r="BU3979" s="207" t="n"/>
      <c r="BV3979" s="208" t="n"/>
      <c r="BW3979" s="207" t="n"/>
      <c r="BX3979" s="207" t="n"/>
      <c r="BY3979" s="204" t="n"/>
      <c r="BZ3979" s="148" t="n"/>
      <c r="CA3979" s="204" t="n"/>
      <c r="CB3979" s="208" t="n"/>
      <c r="CC3979" s="139" t="n"/>
      <c r="CD3979" s="204" t="n"/>
      <c r="CE3979" s="204" t="n"/>
      <c r="CF3979" s="207" t="n"/>
      <c r="CG3979" s="208" t="n"/>
      <c r="CH3979" s="207" t="n"/>
      <c r="CI3979" s="208" t="n"/>
      <c r="CJ3979" s="204" t="n"/>
      <c r="CK3979" s="208" t="n"/>
      <c r="CL3979" s="208" t="n"/>
      <c r="CM3979" s="208" t="n"/>
      <c r="CN3979" s="78" t="n"/>
      <c r="CO3979" s="209" t="n"/>
      <c r="CP3979" s="204" t="n"/>
      <c r="CQ3979" s="204" t="n"/>
      <c r="CR3979" s="204" t="n"/>
      <c r="CS3979" s="204" t="n"/>
      <c r="CT3979" s="204" t="n"/>
      <c r="CU3979" s="204" t="n"/>
      <c r="CV3979" s="204" t="n"/>
      <c r="CW3979" s="204" t="n"/>
    </row>
    <row r="3980">
      <c r="BF3980" s="78" t="n"/>
      <c r="BG3980" s="78" t="n"/>
      <c r="BH3980" s="78" t="n"/>
      <c r="BI3980" s="78" t="n"/>
      <c r="BJ3980" s="139" t="n"/>
      <c r="BK3980" s="204" t="n"/>
      <c r="BL3980" s="141" t="n"/>
      <c r="BM3980" s="205" t="n"/>
      <c r="BN3980" s="205" t="n"/>
      <c r="BO3980" s="206" t="n"/>
      <c r="BP3980" s="144" t="n"/>
      <c r="BQ3980" s="141" t="n"/>
      <c r="BR3980" s="207" t="n"/>
      <c r="BS3980" s="207" t="n"/>
      <c r="BT3980" s="207" t="n"/>
      <c r="BU3980" s="207" t="n"/>
      <c r="BV3980" s="208" t="n"/>
      <c r="BW3980" s="207" t="n"/>
      <c r="BX3980" s="207" t="n"/>
      <c r="BY3980" s="204" t="n"/>
      <c r="BZ3980" s="148" t="n"/>
      <c r="CA3980" s="204" t="n"/>
      <c r="CB3980" s="208" t="n"/>
      <c r="CC3980" s="139" t="n"/>
      <c r="CD3980" s="204" t="n"/>
      <c r="CE3980" s="204" t="n"/>
      <c r="CF3980" s="207" t="n"/>
      <c r="CG3980" s="208" t="n"/>
      <c r="CH3980" s="207" t="n"/>
      <c r="CI3980" s="208" t="n"/>
      <c r="CJ3980" s="204" t="n"/>
      <c r="CK3980" s="208" t="n"/>
      <c r="CL3980" s="208" t="n"/>
      <c r="CM3980" s="208" t="n"/>
      <c r="CN3980" s="78" t="n"/>
      <c r="CO3980" s="209" t="n"/>
      <c r="CP3980" s="204" t="n"/>
      <c r="CQ3980" s="204" t="n"/>
      <c r="CR3980" s="204" t="n"/>
      <c r="CS3980" s="204" t="n"/>
      <c r="CT3980" s="204" t="n"/>
      <c r="CU3980" s="204" t="n"/>
      <c r="CV3980" s="204" t="n"/>
      <c r="CW3980" s="204" t="n"/>
    </row>
    <row r="3981">
      <c r="BF3981" s="78" t="n"/>
      <c r="BG3981" s="78" t="n"/>
      <c r="BH3981" s="78" t="n"/>
      <c r="BI3981" s="78" t="n"/>
      <c r="BJ3981" s="139" t="n"/>
      <c r="BK3981" s="204" t="n"/>
      <c r="BL3981" s="141" t="n"/>
      <c r="BM3981" s="205" t="n"/>
      <c r="BN3981" s="205" t="n"/>
      <c r="BO3981" s="206" t="n"/>
      <c r="BP3981" s="144" t="n"/>
      <c r="BQ3981" s="141" t="n"/>
      <c r="BR3981" s="207" t="n"/>
      <c r="BS3981" s="207" t="n"/>
      <c r="BT3981" s="207" t="n"/>
      <c r="BU3981" s="207" t="n"/>
      <c r="BV3981" s="208" t="n"/>
      <c r="BW3981" s="207" t="n"/>
      <c r="BX3981" s="207" t="n"/>
      <c r="BY3981" s="204" t="n"/>
      <c r="BZ3981" s="148" t="n"/>
      <c r="CA3981" s="204" t="n"/>
      <c r="CB3981" s="208" t="n"/>
      <c r="CC3981" s="139" t="n"/>
      <c r="CD3981" s="204" t="n"/>
      <c r="CE3981" s="204" t="n"/>
      <c r="CF3981" s="207" t="n"/>
      <c r="CG3981" s="208" t="n"/>
      <c r="CH3981" s="207" t="n"/>
      <c r="CI3981" s="208" t="n"/>
      <c r="CJ3981" s="204" t="n"/>
      <c r="CK3981" s="208" t="n"/>
      <c r="CL3981" s="208" t="n"/>
      <c r="CM3981" s="208" t="n"/>
      <c r="CN3981" s="78" t="n"/>
      <c r="CO3981" s="209" t="n"/>
      <c r="CP3981" s="204" t="n"/>
      <c r="CQ3981" s="204" t="n"/>
      <c r="CR3981" s="204" t="n"/>
      <c r="CS3981" s="204" t="n"/>
      <c r="CT3981" s="204" t="n"/>
      <c r="CU3981" s="204" t="n"/>
      <c r="CV3981" s="204" t="n"/>
      <c r="CW3981" s="204" t="n"/>
    </row>
    <row r="3982">
      <c r="BF3982" s="78" t="n"/>
      <c r="BG3982" s="78" t="n"/>
      <c r="BH3982" s="78" t="n"/>
      <c r="BI3982" s="78" t="n"/>
      <c r="BJ3982" s="139" t="n"/>
      <c r="BK3982" s="204" t="n"/>
      <c r="BL3982" s="141" t="n"/>
      <c r="BM3982" s="205" t="n"/>
      <c r="BN3982" s="205" t="n"/>
      <c r="BO3982" s="206" t="n"/>
      <c r="BP3982" s="144" t="n"/>
      <c r="BQ3982" s="141" t="n"/>
      <c r="BR3982" s="207" t="n"/>
      <c r="BS3982" s="207" t="n"/>
      <c r="BT3982" s="207" t="n"/>
      <c r="BU3982" s="207" t="n"/>
      <c r="BV3982" s="208" t="n"/>
      <c r="BW3982" s="207" t="n"/>
      <c r="BX3982" s="207" t="n"/>
      <c r="BY3982" s="204" t="n"/>
      <c r="BZ3982" s="148" t="n"/>
      <c r="CA3982" s="204" t="n"/>
      <c r="CB3982" s="208" t="n"/>
      <c r="CC3982" s="139" t="n"/>
      <c r="CD3982" s="204" t="n"/>
      <c r="CE3982" s="204" t="n"/>
      <c r="CF3982" s="207" t="n"/>
      <c r="CG3982" s="208" t="n"/>
      <c r="CH3982" s="207" t="n"/>
      <c r="CI3982" s="208" t="n"/>
      <c r="CJ3982" s="204" t="n"/>
      <c r="CK3982" s="208" t="n"/>
      <c r="CL3982" s="208" t="n"/>
      <c r="CM3982" s="208" t="n"/>
      <c r="CN3982" s="78" t="n"/>
      <c r="CO3982" s="209" t="n"/>
      <c r="CP3982" s="204" t="n"/>
      <c r="CQ3982" s="204" t="n"/>
      <c r="CR3982" s="204" t="n"/>
      <c r="CS3982" s="204" t="n"/>
      <c r="CT3982" s="204" t="n"/>
      <c r="CU3982" s="204" t="n"/>
      <c r="CV3982" s="204" t="n"/>
      <c r="CW3982" s="204" t="n"/>
    </row>
    <row r="3983">
      <c r="BF3983" s="78" t="n"/>
      <c r="BG3983" s="78" t="n"/>
      <c r="BH3983" s="78" t="n"/>
      <c r="BI3983" s="78" t="n"/>
      <c r="BJ3983" s="139" t="n"/>
      <c r="BK3983" s="204" t="n"/>
      <c r="BL3983" s="141" t="n"/>
      <c r="BM3983" s="205" t="n"/>
      <c r="BN3983" s="205" t="n"/>
      <c r="BO3983" s="206" t="n"/>
      <c r="BP3983" s="144" t="n"/>
      <c r="BQ3983" s="141" t="n"/>
      <c r="BR3983" s="207" t="n"/>
      <c r="BS3983" s="207" t="n"/>
      <c r="BT3983" s="207" t="n"/>
      <c r="BU3983" s="207" t="n"/>
      <c r="BV3983" s="208" t="n"/>
      <c r="BW3983" s="207" t="n"/>
      <c r="BX3983" s="207" t="n"/>
      <c r="BY3983" s="204" t="n"/>
      <c r="BZ3983" s="148" t="n"/>
      <c r="CA3983" s="204" t="n"/>
      <c r="CB3983" s="208" t="n"/>
      <c r="CC3983" s="139" t="n"/>
      <c r="CD3983" s="204" t="n"/>
      <c r="CE3983" s="204" t="n"/>
      <c r="CF3983" s="207" t="n"/>
      <c r="CG3983" s="208" t="n"/>
      <c r="CH3983" s="207" t="n"/>
      <c r="CI3983" s="208" t="n"/>
      <c r="CJ3983" s="204" t="n"/>
      <c r="CK3983" s="208" t="n"/>
      <c r="CL3983" s="208" t="n"/>
      <c r="CM3983" s="208" t="n"/>
      <c r="CN3983" s="78" t="n"/>
      <c r="CO3983" s="209" t="n"/>
      <c r="CP3983" s="204" t="n"/>
      <c r="CQ3983" s="204" t="n"/>
      <c r="CR3983" s="204" t="n"/>
      <c r="CS3983" s="204" t="n"/>
      <c r="CT3983" s="204" t="n"/>
      <c r="CU3983" s="204" t="n"/>
      <c r="CV3983" s="204" t="n"/>
      <c r="CW3983" s="204" t="n"/>
    </row>
    <row r="3984">
      <c r="BF3984" s="78" t="n"/>
      <c r="BG3984" s="78" t="n"/>
      <c r="BH3984" s="78" t="n"/>
      <c r="BI3984" s="78" t="n"/>
      <c r="BJ3984" s="139" t="n"/>
      <c r="BK3984" s="204" t="n"/>
      <c r="BL3984" s="141" t="n"/>
      <c r="BM3984" s="205" t="n"/>
      <c r="BN3984" s="205" t="n"/>
      <c r="BO3984" s="206" t="n"/>
      <c r="BP3984" s="144" t="n"/>
      <c r="BQ3984" s="141" t="n"/>
      <c r="BR3984" s="207" t="n"/>
      <c r="BS3984" s="207" t="n"/>
      <c r="BT3984" s="207" t="n"/>
      <c r="BU3984" s="207" t="n"/>
      <c r="BV3984" s="208" t="n"/>
      <c r="BW3984" s="207" t="n"/>
      <c r="BX3984" s="207" t="n"/>
      <c r="BY3984" s="204" t="n"/>
      <c r="BZ3984" s="148" t="n"/>
      <c r="CA3984" s="204" t="n"/>
      <c r="CB3984" s="208" t="n"/>
      <c r="CC3984" s="139" t="n"/>
      <c r="CD3984" s="204" t="n"/>
      <c r="CE3984" s="204" t="n"/>
      <c r="CF3984" s="207" t="n"/>
      <c r="CG3984" s="208" t="n"/>
      <c r="CH3984" s="207" t="n"/>
      <c r="CI3984" s="208" t="n"/>
      <c r="CJ3984" s="204" t="n"/>
      <c r="CK3984" s="208" t="n"/>
      <c r="CL3984" s="208" t="n"/>
      <c r="CM3984" s="208" t="n"/>
      <c r="CN3984" s="78" t="n"/>
      <c r="CO3984" s="209" t="n"/>
      <c r="CP3984" s="204" t="n"/>
      <c r="CQ3984" s="204" t="n"/>
      <c r="CR3984" s="204" t="n"/>
      <c r="CS3984" s="204" t="n"/>
      <c r="CT3984" s="204" t="n"/>
      <c r="CU3984" s="204" t="n"/>
      <c r="CV3984" s="204" t="n"/>
      <c r="CW3984" s="204" t="n"/>
    </row>
    <row r="3985">
      <c r="BF3985" s="78" t="n"/>
      <c r="BG3985" s="78" t="n"/>
      <c r="BH3985" s="78" t="n"/>
      <c r="BI3985" s="78" t="n"/>
      <c r="BJ3985" s="139" t="n"/>
      <c r="BK3985" s="204" t="n"/>
      <c r="BL3985" s="141" t="n"/>
      <c r="BM3985" s="205" t="n"/>
      <c r="BN3985" s="205" t="n"/>
      <c r="BO3985" s="206" t="n"/>
      <c r="BP3985" s="144" t="n"/>
      <c r="BQ3985" s="141" t="n"/>
      <c r="BR3985" s="207" t="n"/>
      <c r="BS3985" s="207" t="n"/>
      <c r="BT3985" s="207" t="n"/>
      <c r="BU3985" s="207" t="n"/>
      <c r="BV3985" s="208" t="n"/>
      <c r="BW3985" s="207" t="n"/>
      <c r="BX3985" s="207" t="n"/>
      <c r="BY3985" s="204" t="n"/>
      <c r="BZ3985" s="148" t="n"/>
      <c r="CA3985" s="204" t="n"/>
      <c r="CB3985" s="208" t="n"/>
      <c r="CC3985" s="139" t="n"/>
      <c r="CD3985" s="204" t="n"/>
      <c r="CE3985" s="204" t="n"/>
      <c r="CF3985" s="207" t="n"/>
      <c r="CG3985" s="208" t="n"/>
      <c r="CH3985" s="207" t="n"/>
      <c r="CI3985" s="208" t="n"/>
      <c r="CJ3985" s="204" t="n"/>
      <c r="CK3985" s="208" t="n"/>
      <c r="CL3985" s="208" t="n"/>
      <c r="CM3985" s="208" t="n"/>
      <c r="CN3985" s="78" t="n"/>
      <c r="CO3985" s="209" t="n"/>
      <c r="CP3985" s="204" t="n"/>
      <c r="CQ3985" s="204" t="n"/>
      <c r="CR3985" s="204" t="n"/>
      <c r="CS3985" s="204" t="n"/>
      <c r="CT3985" s="204" t="n"/>
      <c r="CU3985" s="204" t="n"/>
      <c r="CV3985" s="204" t="n"/>
      <c r="CW3985" s="204" t="n"/>
    </row>
    <row r="3986">
      <c r="BF3986" s="78" t="n"/>
      <c r="BG3986" s="78" t="n"/>
      <c r="BH3986" s="78" t="n"/>
      <c r="BI3986" s="78" t="n"/>
      <c r="BJ3986" s="139" t="n"/>
      <c r="BK3986" s="204" t="n"/>
      <c r="BL3986" s="141" t="n"/>
      <c r="BM3986" s="205" t="n"/>
      <c r="BN3986" s="205" t="n"/>
      <c r="BO3986" s="206" t="n"/>
      <c r="BP3986" s="144" t="n"/>
      <c r="BQ3986" s="141" t="n"/>
      <c r="BR3986" s="207" t="n"/>
      <c r="BS3986" s="207" t="n"/>
      <c r="BT3986" s="207" t="n"/>
      <c r="BU3986" s="207" t="n"/>
      <c r="BV3986" s="208" t="n"/>
      <c r="BW3986" s="207" t="n"/>
      <c r="BX3986" s="207" t="n"/>
      <c r="BY3986" s="204" t="n"/>
      <c r="BZ3986" s="148" t="n"/>
      <c r="CA3986" s="204" t="n"/>
      <c r="CB3986" s="208" t="n"/>
      <c r="CC3986" s="139" t="n"/>
      <c r="CD3986" s="204" t="n"/>
      <c r="CE3986" s="204" t="n"/>
      <c r="CF3986" s="207" t="n"/>
      <c r="CG3986" s="208" t="n"/>
      <c r="CH3986" s="207" t="n"/>
      <c r="CI3986" s="208" t="n"/>
      <c r="CJ3986" s="204" t="n"/>
      <c r="CK3986" s="208" t="n"/>
      <c r="CL3986" s="208" t="n"/>
      <c r="CM3986" s="208" t="n"/>
      <c r="CN3986" s="78" t="n"/>
      <c r="CO3986" s="209" t="n"/>
      <c r="CP3986" s="204" t="n"/>
      <c r="CQ3986" s="204" t="n"/>
      <c r="CR3986" s="204" t="n"/>
      <c r="CS3986" s="204" t="n"/>
      <c r="CT3986" s="204" t="n"/>
      <c r="CU3986" s="204" t="n"/>
      <c r="CV3986" s="204" t="n"/>
      <c r="CW3986" s="204" t="n"/>
    </row>
    <row r="3987">
      <c r="BF3987" s="78" t="n"/>
      <c r="BG3987" s="78" t="n"/>
      <c r="BH3987" s="78" t="n"/>
      <c r="BI3987" s="78" t="n"/>
      <c r="BJ3987" s="139" t="n"/>
      <c r="BK3987" s="204" t="n"/>
      <c r="BL3987" s="141" t="n"/>
      <c r="BM3987" s="205" t="n"/>
      <c r="BN3987" s="205" t="n"/>
      <c r="BO3987" s="206" t="n"/>
      <c r="BP3987" s="144" t="n"/>
      <c r="BQ3987" s="141" t="n"/>
      <c r="BR3987" s="207" t="n"/>
      <c r="BS3987" s="207" t="n"/>
      <c r="BT3987" s="207" t="n"/>
      <c r="BU3987" s="207" t="n"/>
      <c r="BV3987" s="208" t="n"/>
      <c r="BW3987" s="207" t="n"/>
      <c r="BX3987" s="207" t="n"/>
      <c r="BY3987" s="204" t="n"/>
      <c r="BZ3987" s="148" t="n"/>
      <c r="CA3987" s="204" t="n"/>
      <c r="CB3987" s="208" t="n"/>
      <c r="CC3987" s="139" t="n"/>
      <c r="CD3987" s="204" t="n"/>
      <c r="CE3987" s="204" t="n"/>
      <c r="CF3987" s="207" t="n"/>
      <c r="CG3987" s="208" t="n"/>
      <c r="CH3987" s="207" t="n"/>
      <c r="CI3987" s="208" t="n"/>
      <c r="CJ3987" s="204" t="n"/>
      <c r="CK3987" s="208" t="n"/>
      <c r="CL3987" s="208" t="n"/>
      <c r="CM3987" s="208" t="n"/>
      <c r="CN3987" s="78" t="n"/>
      <c r="CO3987" s="209" t="n"/>
      <c r="CP3987" s="204" t="n"/>
      <c r="CQ3987" s="204" t="n"/>
      <c r="CR3987" s="204" t="n"/>
      <c r="CS3987" s="204" t="n"/>
      <c r="CT3987" s="204" t="n"/>
      <c r="CU3987" s="204" t="n"/>
      <c r="CV3987" s="204" t="n"/>
      <c r="CW3987" s="204" t="n"/>
    </row>
    <row r="3988">
      <c r="BF3988" s="78" t="n"/>
      <c r="BG3988" s="78" t="n"/>
      <c r="BH3988" s="78" t="n"/>
      <c r="BI3988" s="78" t="n"/>
      <c r="BJ3988" s="139" t="n"/>
      <c r="BK3988" s="204" t="n"/>
      <c r="BL3988" s="141" t="n"/>
      <c r="BM3988" s="205" t="n"/>
      <c r="BN3988" s="205" t="n"/>
      <c r="BO3988" s="206" t="n"/>
      <c r="BP3988" s="144" t="n"/>
      <c r="BQ3988" s="141" t="n"/>
      <c r="BR3988" s="207" t="n"/>
      <c r="BS3988" s="207" t="n"/>
      <c r="BT3988" s="207" t="n"/>
      <c r="BU3988" s="207" t="n"/>
      <c r="BV3988" s="208" t="n"/>
      <c r="BW3988" s="207" t="n"/>
      <c r="BX3988" s="207" t="n"/>
      <c r="BY3988" s="204" t="n"/>
      <c r="BZ3988" s="148" t="n"/>
      <c r="CA3988" s="204" t="n"/>
      <c r="CB3988" s="208" t="n"/>
      <c r="CC3988" s="139" t="n"/>
      <c r="CD3988" s="204" t="n"/>
      <c r="CE3988" s="204" t="n"/>
      <c r="CF3988" s="207" t="n"/>
      <c r="CG3988" s="208" t="n"/>
      <c r="CH3988" s="207" t="n"/>
      <c r="CI3988" s="208" t="n"/>
      <c r="CJ3988" s="204" t="n"/>
      <c r="CK3988" s="208" t="n"/>
      <c r="CL3988" s="208" t="n"/>
      <c r="CM3988" s="208" t="n"/>
      <c r="CN3988" s="78" t="n"/>
      <c r="CO3988" s="209" t="n"/>
      <c r="CP3988" s="204" t="n"/>
      <c r="CQ3988" s="204" t="n"/>
      <c r="CR3988" s="204" t="n"/>
      <c r="CS3988" s="204" t="n"/>
      <c r="CT3988" s="204" t="n"/>
      <c r="CU3988" s="204" t="n"/>
      <c r="CV3988" s="204" t="n"/>
      <c r="CW3988" s="204" t="n"/>
    </row>
    <row r="3989">
      <c r="BF3989" s="78" t="n"/>
      <c r="BG3989" s="78" t="n"/>
      <c r="BH3989" s="78" t="n"/>
      <c r="BI3989" s="78" t="n"/>
      <c r="BJ3989" s="139" t="n"/>
      <c r="BK3989" s="204" t="n"/>
      <c r="BL3989" s="141" t="n"/>
      <c r="BM3989" s="205" t="n"/>
      <c r="BN3989" s="205" t="n"/>
      <c r="BO3989" s="206" t="n"/>
      <c r="BP3989" s="144" t="n"/>
      <c r="BQ3989" s="141" t="n"/>
      <c r="BR3989" s="207" t="n"/>
      <c r="BS3989" s="207" t="n"/>
      <c r="BT3989" s="207" t="n"/>
      <c r="BU3989" s="207" t="n"/>
      <c r="BV3989" s="208" t="n"/>
      <c r="BW3989" s="207" t="n"/>
      <c r="BX3989" s="207" t="n"/>
      <c r="BY3989" s="204" t="n"/>
      <c r="BZ3989" s="148" t="n"/>
      <c r="CA3989" s="204" t="n"/>
      <c r="CB3989" s="208" t="n"/>
      <c r="CC3989" s="139" t="n"/>
      <c r="CD3989" s="204" t="n"/>
      <c r="CE3989" s="204" t="n"/>
      <c r="CF3989" s="207" t="n"/>
      <c r="CG3989" s="208" t="n"/>
      <c r="CH3989" s="207" t="n"/>
      <c r="CI3989" s="208" t="n"/>
      <c r="CJ3989" s="204" t="n"/>
      <c r="CK3989" s="208" t="n"/>
      <c r="CL3989" s="208" t="n"/>
      <c r="CM3989" s="208" t="n"/>
      <c r="CN3989" s="78" t="n"/>
      <c r="CO3989" s="209" t="n"/>
      <c r="CP3989" s="204" t="n"/>
      <c r="CQ3989" s="204" t="n"/>
      <c r="CR3989" s="204" t="n"/>
      <c r="CS3989" s="204" t="n"/>
      <c r="CT3989" s="204" t="n"/>
      <c r="CU3989" s="204" t="n"/>
      <c r="CV3989" s="204" t="n"/>
      <c r="CW3989" s="204" t="n"/>
    </row>
    <row r="3990">
      <c r="BF3990" s="78" t="n"/>
      <c r="BG3990" s="78" t="n"/>
      <c r="BH3990" s="78" t="n"/>
      <c r="BI3990" s="78" t="n"/>
      <c r="BJ3990" s="139" t="n"/>
      <c r="BK3990" s="204" t="n"/>
      <c r="BL3990" s="141" t="n"/>
      <c r="BM3990" s="205" t="n"/>
      <c r="BN3990" s="205" t="n"/>
      <c r="BO3990" s="206" t="n"/>
      <c r="BP3990" s="144" t="n"/>
      <c r="BQ3990" s="141" t="n"/>
      <c r="BR3990" s="207" t="n"/>
      <c r="BS3990" s="207" t="n"/>
      <c r="BT3990" s="207" t="n"/>
      <c r="BU3990" s="207" t="n"/>
      <c r="BV3990" s="208" t="n"/>
      <c r="BW3990" s="207" t="n"/>
      <c r="BX3990" s="207" t="n"/>
      <c r="BY3990" s="204" t="n"/>
      <c r="BZ3990" s="148" t="n"/>
      <c r="CA3990" s="204" t="n"/>
      <c r="CB3990" s="208" t="n"/>
      <c r="CC3990" s="139" t="n"/>
      <c r="CD3990" s="204" t="n"/>
      <c r="CE3990" s="204" t="n"/>
      <c r="CF3990" s="207" t="n"/>
      <c r="CG3990" s="208" t="n"/>
      <c r="CH3990" s="207" t="n"/>
      <c r="CI3990" s="208" t="n"/>
      <c r="CJ3990" s="204" t="n"/>
      <c r="CK3990" s="208" t="n"/>
      <c r="CL3990" s="208" t="n"/>
      <c r="CM3990" s="208" t="n"/>
      <c r="CN3990" s="78" t="n"/>
      <c r="CO3990" s="209" t="n"/>
      <c r="CP3990" s="204" t="n"/>
      <c r="CQ3990" s="204" t="n"/>
      <c r="CR3990" s="204" t="n"/>
      <c r="CS3990" s="204" t="n"/>
      <c r="CT3990" s="204" t="n"/>
      <c r="CU3990" s="204" t="n"/>
      <c r="CV3990" s="204" t="n"/>
      <c r="CW3990" s="204" t="n"/>
    </row>
    <row r="3991">
      <c r="BF3991" s="78" t="n"/>
      <c r="BG3991" s="78" t="n"/>
      <c r="BH3991" s="78" t="n"/>
      <c r="BI3991" s="78" t="n"/>
      <c r="BJ3991" s="139" t="n"/>
      <c r="BK3991" s="204" t="n"/>
      <c r="BL3991" s="141" t="n"/>
      <c r="BM3991" s="205" t="n"/>
      <c r="BN3991" s="205" t="n"/>
      <c r="BO3991" s="206" t="n"/>
      <c r="BP3991" s="144" t="n"/>
      <c r="BQ3991" s="141" t="n"/>
      <c r="BR3991" s="207" t="n"/>
      <c r="BS3991" s="207" t="n"/>
      <c r="BT3991" s="207" t="n"/>
      <c r="BU3991" s="207" t="n"/>
      <c r="BV3991" s="208" t="n"/>
      <c r="BW3991" s="207" t="n"/>
      <c r="BX3991" s="207" t="n"/>
      <c r="BY3991" s="204" t="n"/>
      <c r="BZ3991" s="148" t="n"/>
      <c r="CA3991" s="204" t="n"/>
      <c r="CB3991" s="208" t="n"/>
      <c r="CC3991" s="139" t="n"/>
      <c r="CD3991" s="204" t="n"/>
      <c r="CE3991" s="204" t="n"/>
      <c r="CF3991" s="207" t="n"/>
      <c r="CG3991" s="208" t="n"/>
      <c r="CH3991" s="207" t="n"/>
      <c r="CI3991" s="208" t="n"/>
      <c r="CJ3991" s="204" t="n"/>
      <c r="CK3991" s="208" t="n"/>
      <c r="CL3991" s="208" t="n"/>
      <c r="CM3991" s="208" t="n"/>
      <c r="CN3991" s="78" t="n"/>
      <c r="CO3991" s="209" t="n"/>
      <c r="CP3991" s="204" t="n"/>
      <c r="CQ3991" s="204" t="n"/>
      <c r="CR3991" s="204" t="n"/>
      <c r="CS3991" s="204" t="n"/>
      <c r="CT3991" s="204" t="n"/>
      <c r="CU3991" s="204" t="n"/>
      <c r="CV3991" s="204" t="n"/>
      <c r="CW3991" s="204" t="n"/>
    </row>
    <row r="3992">
      <c r="BF3992" s="78" t="n"/>
      <c r="BG3992" s="78" t="n"/>
      <c r="BH3992" s="78" t="n"/>
      <c r="BI3992" s="78" t="n"/>
      <c r="BJ3992" s="139" t="n"/>
      <c r="BK3992" s="204" t="n"/>
      <c r="BL3992" s="141" t="n"/>
      <c r="BM3992" s="205" t="n"/>
      <c r="BN3992" s="205" t="n"/>
      <c r="BO3992" s="206" t="n"/>
      <c r="BP3992" s="144" t="n"/>
      <c r="BQ3992" s="141" t="n"/>
      <c r="BR3992" s="207" t="n"/>
      <c r="BS3992" s="207" t="n"/>
      <c r="BT3992" s="207" t="n"/>
      <c r="BU3992" s="207" t="n"/>
      <c r="BV3992" s="208" t="n"/>
      <c r="BW3992" s="207" t="n"/>
      <c r="BX3992" s="207" t="n"/>
      <c r="BY3992" s="204" t="n"/>
      <c r="BZ3992" s="148" t="n"/>
      <c r="CA3992" s="204" t="n"/>
      <c r="CB3992" s="208" t="n"/>
      <c r="CC3992" s="139" t="n"/>
      <c r="CD3992" s="204" t="n"/>
      <c r="CE3992" s="204" t="n"/>
      <c r="CF3992" s="207" t="n"/>
      <c r="CG3992" s="208" t="n"/>
      <c r="CH3992" s="207" t="n"/>
      <c r="CI3992" s="208" t="n"/>
      <c r="CJ3992" s="204" t="n"/>
      <c r="CK3992" s="208" t="n"/>
      <c r="CL3992" s="208" t="n"/>
      <c r="CM3992" s="208" t="n"/>
      <c r="CN3992" s="78" t="n"/>
      <c r="CO3992" s="209" t="n"/>
      <c r="CP3992" s="204" t="n"/>
      <c r="CQ3992" s="204" t="n"/>
      <c r="CR3992" s="204" t="n"/>
      <c r="CS3992" s="204" t="n"/>
      <c r="CT3992" s="204" t="n"/>
      <c r="CU3992" s="204" t="n"/>
      <c r="CV3992" s="204" t="n"/>
      <c r="CW3992" s="204" t="n"/>
    </row>
    <row r="3993">
      <c r="BF3993" s="78" t="n"/>
      <c r="BG3993" s="78" t="n"/>
      <c r="BH3993" s="78" t="n"/>
      <c r="BI3993" s="78" t="n"/>
      <c r="BJ3993" s="139" t="n"/>
      <c r="BK3993" s="204" t="n"/>
      <c r="BL3993" s="141" t="n"/>
      <c r="BM3993" s="205" t="n"/>
      <c r="BN3993" s="205" t="n"/>
      <c r="BO3993" s="206" t="n"/>
      <c r="BP3993" s="144" t="n"/>
      <c r="BQ3993" s="141" t="n"/>
      <c r="BR3993" s="207" t="n"/>
      <c r="BS3993" s="207" t="n"/>
      <c r="BT3993" s="207" t="n"/>
      <c r="BU3993" s="207" t="n"/>
      <c r="BV3993" s="208" t="n"/>
      <c r="BW3993" s="207" t="n"/>
      <c r="BX3993" s="207" t="n"/>
      <c r="BY3993" s="204" t="n"/>
      <c r="BZ3993" s="148" t="n"/>
      <c r="CA3993" s="204" t="n"/>
      <c r="CB3993" s="208" t="n"/>
      <c r="CC3993" s="139" t="n"/>
      <c r="CD3993" s="204" t="n"/>
      <c r="CE3993" s="204" t="n"/>
      <c r="CF3993" s="207" t="n"/>
      <c r="CG3993" s="208" t="n"/>
      <c r="CH3993" s="207" t="n"/>
      <c r="CI3993" s="208" t="n"/>
      <c r="CJ3993" s="204" t="n"/>
      <c r="CK3993" s="208" t="n"/>
      <c r="CL3993" s="208" t="n"/>
      <c r="CM3993" s="208" t="n"/>
      <c r="CN3993" s="78" t="n"/>
      <c r="CO3993" s="209" t="n"/>
      <c r="CP3993" s="204" t="n"/>
      <c r="CQ3993" s="204" t="n"/>
      <c r="CR3993" s="204" t="n"/>
      <c r="CS3993" s="204" t="n"/>
      <c r="CT3993" s="204" t="n"/>
      <c r="CU3993" s="204" t="n"/>
      <c r="CV3993" s="204" t="n"/>
      <c r="CW3993" s="204" t="n"/>
    </row>
    <row r="3994">
      <c r="BF3994" s="78" t="n"/>
      <c r="BG3994" s="78" t="n"/>
      <c r="BH3994" s="78" t="n"/>
      <c r="BI3994" s="78" t="n"/>
      <c r="BJ3994" s="139" t="n"/>
      <c r="BK3994" s="204" t="n"/>
      <c r="BL3994" s="141" t="n"/>
      <c r="BM3994" s="205" t="n"/>
      <c r="BN3994" s="205" t="n"/>
      <c r="BO3994" s="206" t="n"/>
      <c r="BP3994" s="144" t="n"/>
      <c r="BQ3994" s="141" t="n"/>
      <c r="BR3994" s="207" t="n"/>
      <c r="BS3994" s="207" t="n"/>
      <c r="BT3994" s="207" t="n"/>
      <c r="BU3994" s="207" t="n"/>
      <c r="BV3994" s="208" t="n"/>
      <c r="BW3994" s="207" t="n"/>
      <c r="BX3994" s="207" t="n"/>
      <c r="BY3994" s="204" t="n"/>
      <c r="BZ3994" s="148" t="n"/>
      <c r="CA3994" s="204" t="n"/>
      <c r="CB3994" s="208" t="n"/>
      <c r="CC3994" s="139" t="n"/>
      <c r="CD3994" s="204" t="n"/>
      <c r="CE3994" s="204" t="n"/>
      <c r="CF3994" s="207" t="n"/>
      <c r="CG3994" s="208" t="n"/>
      <c r="CH3994" s="207" t="n"/>
      <c r="CI3994" s="208" t="n"/>
      <c r="CJ3994" s="204" t="n"/>
      <c r="CK3994" s="208" t="n"/>
      <c r="CL3994" s="208" t="n"/>
      <c r="CM3994" s="208" t="n"/>
      <c r="CN3994" s="78" t="n"/>
      <c r="CO3994" s="209" t="n"/>
      <c r="CP3994" s="204" t="n"/>
      <c r="CQ3994" s="204" t="n"/>
      <c r="CR3994" s="204" t="n"/>
      <c r="CS3994" s="204" t="n"/>
      <c r="CT3994" s="204" t="n"/>
      <c r="CU3994" s="204" t="n"/>
      <c r="CV3994" s="204" t="n"/>
      <c r="CW3994" s="204" t="n"/>
    </row>
    <row r="3995">
      <c r="BF3995" s="78" t="n"/>
      <c r="BG3995" s="78" t="n"/>
      <c r="BH3995" s="78" t="n"/>
      <c r="BI3995" s="78" t="n"/>
      <c r="BJ3995" s="139" t="n"/>
      <c r="BK3995" s="204" t="n"/>
      <c r="BL3995" s="141" t="n"/>
      <c r="BM3995" s="205" t="n"/>
      <c r="BN3995" s="205" t="n"/>
      <c r="BO3995" s="206" t="n"/>
      <c r="BP3995" s="144" t="n"/>
      <c r="BQ3995" s="141" t="n"/>
      <c r="BR3995" s="207" t="n"/>
      <c r="BS3995" s="207" t="n"/>
      <c r="BT3995" s="207" t="n"/>
      <c r="BU3995" s="207" t="n"/>
      <c r="BV3995" s="208" t="n"/>
      <c r="BW3995" s="207" t="n"/>
      <c r="BX3995" s="207" t="n"/>
      <c r="BY3995" s="204" t="n"/>
      <c r="BZ3995" s="148" t="n"/>
      <c r="CA3995" s="204" t="n"/>
      <c r="CB3995" s="208" t="n"/>
      <c r="CC3995" s="139" t="n"/>
      <c r="CD3995" s="204" t="n"/>
      <c r="CE3995" s="204" t="n"/>
      <c r="CF3995" s="207" t="n"/>
      <c r="CG3995" s="208" t="n"/>
      <c r="CH3995" s="207" t="n"/>
      <c r="CI3995" s="208" t="n"/>
      <c r="CJ3995" s="204" t="n"/>
      <c r="CK3995" s="208" t="n"/>
      <c r="CL3995" s="208" t="n"/>
      <c r="CM3995" s="208" t="n"/>
      <c r="CN3995" s="78" t="n"/>
      <c r="CO3995" s="209" t="n"/>
      <c r="CP3995" s="204" t="n"/>
      <c r="CQ3995" s="204" t="n"/>
      <c r="CR3995" s="204" t="n"/>
      <c r="CS3995" s="204" t="n"/>
      <c r="CT3995" s="204" t="n"/>
      <c r="CU3995" s="204" t="n"/>
      <c r="CV3995" s="204" t="n"/>
      <c r="CW3995" s="204" t="n"/>
    </row>
    <row r="3996">
      <c r="BF3996" s="78" t="n"/>
      <c r="BG3996" s="78" t="n"/>
      <c r="BH3996" s="78" t="n"/>
      <c r="BI3996" s="78" t="n"/>
      <c r="BJ3996" s="139" t="n"/>
      <c r="BK3996" s="204" t="n"/>
      <c r="BL3996" s="141" t="n"/>
      <c r="BM3996" s="205" t="n"/>
      <c r="BN3996" s="205" t="n"/>
      <c r="BO3996" s="206" t="n"/>
      <c r="BP3996" s="144" t="n"/>
      <c r="BQ3996" s="141" t="n"/>
      <c r="BR3996" s="207" t="n"/>
      <c r="BS3996" s="207" t="n"/>
      <c r="BT3996" s="207" t="n"/>
      <c r="BU3996" s="207" t="n"/>
      <c r="BV3996" s="208" t="n"/>
      <c r="BW3996" s="207" t="n"/>
      <c r="BX3996" s="207" t="n"/>
      <c r="BY3996" s="204" t="n"/>
      <c r="BZ3996" s="148" t="n"/>
      <c r="CA3996" s="204" t="n"/>
      <c r="CB3996" s="208" t="n"/>
      <c r="CC3996" s="139" t="n"/>
      <c r="CD3996" s="204" t="n"/>
      <c r="CE3996" s="204" t="n"/>
      <c r="CF3996" s="207" t="n"/>
      <c r="CG3996" s="208" t="n"/>
      <c r="CH3996" s="207" t="n"/>
      <c r="CI3996" s="208" t="n"/>
      <c r="CJ3996" s="204" t="n"/>
      <c r="CK3996" s="208" t="n"/>
      <c r="CL3996" s="208" t="n"/>
      <c r="CM3996" s="208" t="n"/>
      <c r="CN3996" s="78" t="n"/>
      <c r="CO3996" s="209" t="n"/>
      <c r="CP3996" s="204" t="n"/>
      <c r="CQ3996" s="204" t="n"/>
      <c r="CR3996" s="204" t="n"/>
      <c r="CS3996" s="204" t="n"/>
      <c r="CT3996" s="204" t="n"/>
      <c r="CU3996" s="204" t="n"/>
      <c r="CV3996" s="204" t="n"/>
      <c r="CW3996" s="204" t="n"/>
    </row>
    <row r="3997">
      <c r="BF3997" s="78" t="n"/>
      <c r="BG3997" s="78" t="n"/>
      <c r="BH3997" s="78" t="n"/>
      <c r="BI3997" s="78" t="n"/>
      <c r="BJ3997" s="139" t="n"/>
      <c r="BK3997" s="204" t="n"/>
      <c r="BL3997" s="141" t="n"/>
      <c r="BM3997" s="205" t="n"/>
      <c r="BN3997" s="205" t="n"/>
      <c r="BO3997" s="206" t="n"/>
      <c r="BP3997" s="144" t="n"/>
      <c r="BQ3997" s="141" t="n"/>
      <c r="BR3997" s="207" t="n"/>
      <c r="BS3997" s="207" t="n"/>
      <c r="BT3997" s="207" t="n"/>
      <c r="BU3997" s="207" t="n"/>
      <c r="BV3997" s="208" t="n"/>
      <c r="BW3997" s="207" t="n"/>
      <c r="BX3997" s="207" t="n"/>
      <c r="BY3997" s="204" t="n"/>
      <c r="BZ3997" s="148" t="n"/>
      <c r="CA3997" s="204" t="n"/>
      <c r="CB3997" s="208" t="n"/>
      <c r="CC3997" s="139" t="n"/>
      <c r="CD3997" s="204" t="n"/>
      <c r="CE3997" s="204" t="n"/>
      <c r="CF3997" s="207" t="n"/>
      <c r="CG3997" s="208" t="n"/>
      <c r="CH3997" s="207" t="n"/>
      <c r="CI3997" s="208" t="n"/>
      <c r="CJ3997" s="204" t="n"/>
      <c r="CK3997" s="208" t="n"/>
      <c r="CL3997" s="208" t="n"/>
      <c r="CM3997" s="208" t="n"/>
      <c r="CN3997" s="78" t="n"/>
      <c r="CO3997" s="209" t="n"/>
      <c r="CP3997" s="204" t="n"/>
      <c r="CQ3997" s="204" t="n"/>
      <c r="CR3997" s="204" t="n"/>
      <c r="CS3997" s="204" t="n"/>
      <c r="CT3997" s="204" t="n"/>
      <c r="CU3997" s="204" t="n"/>
      <c r="CV3997" s="204" t="n"/>
      <c r="CW3997" s="204" t="n"/>
    </row>
    <row r="3998">
      <c r="BF3998" s="78" t="n"/>
      <c r="BG3998" s="78" t="n"/>
      <c r="BH3998" s="78" t="n"/>
      <c r="BI3998" s="78" t="n"/>
      <c r="BJ3998" s="139" t="n"/>
      <c r="BK3998" s="204" t="n"/>
      <c r="BL3998" s="141" t="n"/>
      <c r="BM3998" s="205" t="n"/>
      <c r="BN3998" s="205" t="n"/>
      <c r="BO3998" s="206" t="n"/>
      <c r="BP3998" s="144" t="n"/>
      <c r="BQ3998" s="141" t="n"/>
      <c r="BR3998" s="207" t="n"/>
      <c r="BS3998" s="207" t="n"/>
      <c r="BT3998" s="207" t="n"/>
      <c r="BU3998" s="207" t="n"/>
      <c r="BV3998" s="208" t="n"/>
      <c r="BW3998" s="207" t="n"/>
      <c r="BX3998" s="207" t="n"/>
      <c r="BY3998" s="204" t="n"/>
      <c r="BZ3998" s="148" t="n"/>
      <c r="CA3998" s="204" t="n"/>
      <c r="CB3998" s="208" t="n"/>
      <c r="CC3998" s="139" t="n"/>
      <c r="CD3998" s="204" t="n"/>
      <c r="CE3998" s="204" t="n"/>
      <c r="CF3998" s="207" t="n"/>
      <c r="CG3998" s="208" t="n"/>
      <c r="CH3998" s="207" t="n"/>
      <c r="CI3998" s="208" t="n"/>
      <c r="CJ3998" s="204" t="n"/>
      <c r="CK3998" s="208" t="n"/>
      <c r="CL3998" s="208" t="n"/>
      <c r="CM3998" s="208" t="n"/>
      <c r="CN3998" s="78" t="n"/>
      <c r="CO3998" s="209" t="n"/>
      <c r="CP3998" s="204" t="n"/>
      <c r="CQ3998" s="204" t="n"/>
      <c r="CR3998" s="204" t="n"/>
      <c r="CS3998" s="204" t="n"/>
      <c r="CT3998" s="204" t="n"/>
      <c r="CU3998" s="204" t="n"/>
      <c r="CV3998" s="204" t="n"/>
      <c r="CW3998" s="204" t="n"/>
    </row>
    <row r="3999">
      <c r="BF3999" s="78" t="n"/>
      <c r="BG3999" s="78" t="n"/>
      <c r="BH3999" s="78" t="n"/>
      <c r="BI3999" s="78" t="n"/>
      <c r="BJ3999" s="139" t="n"/>
      <c r="BK3999" s="204" t="n"/>
      <c r="BL3999" s="141" t="n"/>
      <c r="BM3999" s="205" t="n"/>
      <c r="BN3999" s="205" t="n"/>
      <c r="BO3999" s="206" t="n"/>
      <c r="BP3999" s="144" t="n"/>
      <c r="BQ3999" s="141" t="n"/>
      <c r="BR3999" s="207" t="n"/>
      <c r="BS3999" s="207" t="n"/>
      <c r="BT3999" s="207" t="n"/>
      <c r="BU3999" s="207" t="n"/>
      <c r="BV3999" s="208" t="n"/>
      <c r="BW3999" s="207" t="n"/>
      <c r="BX3999" s="207" t="n"/>
      <c r="BY3999" s="204" t="n"/>
      <c r="BZ3999" s="148" t="n"/>
      <c r="CA3999" s="204" t="n"/>
      <c r="CB3999" s="208" t="n"/>
      <c r="CC3999" s="139" t="n"/>
      <c r="CD3999" s="204" t="n"/>
      <c r="CE3999" s="204" t="n"/>
      <c r="CF3999" s="207" t="n"/>
      <c r="CG3999" s="208" t="n"/>
      <c r="CH3999" s="207" t="n"/>
      <c r="CI3999" s="208" t="n"/>
      <c r="CJ3999" s="204" t="n"/>
      <c r="CK3999" s="208" t="n"/>
      <c r="CL3999" s="208" t="n"/>
      <c r="CM3999" s="208" t="n"/>
      <c r="CN3999" s="78" t="n"/>
      <c r="CO3999" s="209" t="n"/>
      <c r="CP3999" s="204" t="n"/>
      <c r="CQ3999" s="204" t="n"/>
      <c r="CR3999" s="204" t="n"/>
      <c r="CS3999" s="204" t="n"/>
      <c r="CT3999" s="204" t="n"/>
      <c r="CU3999" s="204" t="n"/>
      <c r="CV3999" s="204" t="n"/>
      <c r="CW3999" s="204" t="n"/>
    </row>
    <row r="4000">
      <c r="BF4000" s="78" t="n"/>
      <c r="BG4000" s="78" t="n"/>
      <c r="BH4000" s="78" t="n"/>
      <c r="BI4000" s="78" t="n"/>
      <c r="BJ4000" s="139" t="n"/>
      <c r="BK4000" s="204" t="n"/>
      <c r="BL4000" s="141" t="n"/>
      <c r="BM4000" s="205" t="n"/>
      <c r="BN4000" s="205" t="n"/>
      <c r="BO4000" s="206" t="n"/>
      <c r="BP4000" s="144" t="n"/>
      <c r="BQ4000" s="141" t="n"/>
      <c r="BR4000" s="207" t="n"/>
      <c r="BS4000" s="207" t="n"/>
      <c r="BT4000" s="207" t="n"/>
      <c r="BU4000" s="207" t="n"/>
      <c r="BV4000" s="208" t="n"/>
      <c r="BW4000" s="207" t="n"/>
      <c r="BX4000" s="207" t="n"/>
      <c r="BY4000" s="204" t="n"/>
      <c r="BZ4000" s="148" t="n"/>
      <c r="CA4000" s="204" t="n"/>
      <c r="CB4000" s="208" t="n"/>
      <c r="CC4000" s="139" t="n"/>
      <c r="CD4000" s="204" t="n"/>
      <c r="CE4000" s="204" t="n"/>
      <c r="CF4000" s="207" t="n"/>
      <c r="CG4000" s="208" t="n"/>
      <c r="CH4000" s="207" t="n"/>
      <c r="CI4000" s="208" t="n"/>
      <c r="CJ4000" s="204" t="n"/>
      <c r="CK4000" s="208" t="n"/>
      <c r="CL4000" s="208" t="n"/>
      <c r="CM4000" s="208" t="n"/>
      <c r="CN4000" s="78" t="n"/>
      <c r="CO4000" s="209" t="n"/>
      <c r="CP4000" s="204" t="n"/>
      <c r="CQ4000" s="204" t="n"/>
      <c r="CR4000" s="204" t="n"/>
      <c r="CS4000" s="204" t="n"/>
      <c r="CT4000" s="204" t="n"/>
      <c r="CU4000" s="204" t="n"/>
      <c r="CV4000" s="204" t="n"/>
      <c r="CW4000" s="204" t="n"/>
    </row>
    <row r="4001">
      <c r="BF4001" s="78" t="n"/>
      <c r="BG4001" s="78" t="n"/>
      <c r="BH4001" s="78" t="n"/>
      <c r="BI4001" s="78" t="n"/>
      <c r="BJ4001" s="139" t="n"/>
      <c r="BK4001" s="204" t="n"/>
      <c r="BL4001" s="141" t="n"/>
      <c r="BM4001" s="205" t="n"/>
      <c r="BN4001" s="205" t="n"/>
      <c r="BO4001" s="206" t="n"/>
      <c r="BP4001" s="144" t="n"/>
      <c r="BQ4001" s="141" t="n"/>
      <c r="BR4001" s="207" t="n"/>
      <c r="BS4001" s="207" t="n"/>
      <c r="BT4001" s="207" t="n"/>
      <c r="BU4001" s="207" t="n"/>
      <c r="BV4001" s="208" t="n"/>
      <c r="BW4001" s="207" t="n"/>
      <c r="BX4001" s="207" t="n"/>
      <c r="BY4001" s="204" t="n"/>
      <c r="BZ4001" s="148" t="n"/>
      <c r="CA4001" s="204" t="n"/>
      <c r="CB4001" s="208" t="n"/>
      <c r="CC4001" s="139" t="n"/>
      <c r="CD4001" s="204" t="n"/>
      <c r="CE4001" s="204" t="n"/>
      <c r="CF4001" s="207" t="n"/>
      <c r="CG4001" s="208" t="n"/>
      <c r="CH4001" s="207" t="n"/>
      <c r="CI4001" s="208" t="n"/>
      <c r="CJ4001" s="204" t="n"/>
      <c r="CK4001" s="208" t="n"/>
      <c r="CL4001" s="208" t="n"/>
      <c r="CM4001" s="208" t="n"/>
      <c r="CN4001" s="78" t="n"/>
      <c r="CO4001" s="209" t="n"/>
      <c r="CP4001" s="204" t="n"/>
      <c r="CQ4001" s="204" t="n"/>
      <c r="CR4001" s="204" t="n"/>
      <c r="CS4001" s="204" t="n"/>
      <c r="CT4001" s="204" t="n"/>
      <c r="CU4001" s="204" t="n"/>
      <c r="CV4001" s="204" t="n"/>
      <c r="CW4001" s="204" t="n"/>
    </row>
    <row r="4002">
      <c r="BF4002" s="78" t="n"/>
      <c r="BG4002" s="78" t="n"/>
      <c r="BH4002" s="78" t="n"/>
      <c r="BI4002" s="78" t="n"/>
      <c r="BJ4002" s="139" t="n"/>
      <c r="BK4002" s="204" t="n"/>
      <c r="BL4002" s="141" t="n"/>
      <c r="BM4002" s="205" t="n"/>
      <c r="BN4002" s="205" t="n"/>
      <c r="BO4002" s="206" t="n"/>
      <c r="BP4002" s="144" t="n"/>
      <c r="BQ4002" s="141" t="n"/>
      <c r="BR4002" s="207" t="n"/>
      <c r="BS4002" s="207" t="n"/>
      <c r="BT4002" s="207" t="n"/>
      <c r="BU4002" s="207" t="n"/>
      <c r="BV4002" s="208" t="n"/>
      <c r="BW4002" s="207" t="n"/>
      <c r="BX4002" s="207" t="n"/>
      <c r="BY4002" s="204" t="n"/>
      <c r="BZ4002" s="148" t="n"/>
      <c r="CA4002" s="204" t="n"/>
      <c r="CB4002" s="208" t="n"/>
      <c r="CC4002" s="139" t="n"/>
      <c r="CD4002" s="204" t="n"/>
      <c r="CE4002" s="204" t="n"/>
      <c r="CF4002" s="207" t="n"/>
      <c r="CG4002" s="208" t="n"/>
      <c r="CH4002" s="207" t="n"/>
      <c r="CI4002" s="208" t="n"/>
      <c r="CJ4002" s="204" t="n"/>
      <c r="CK4002" s="208" t="n"/>
      <c r="CL4002" s="208" t="n"/>
      <c r="CM4002" s="208" t="n"/>
      <c r="CN4002" s="78" t="n"/>
      <c r="CO4002" s="209" t="n"/>
      <c r="CP4002" s="204" t="n"/>
      <c r="CQ4002" s="204" t="n"/>
      <c r="CR4002" s="204" t="n"/>
      <c r="CS4002" s="204" t="n"/>
      <c r="CT4002" s="204" t="n"/>
      <c r="CU4002" s="204" t="n"/>
      <c r="CV4002" s="204" t="n"/>
      <c r="CW4002" s="204" t="n"/>
    </row>
    <row r="4003">
      <c r="BF4003" s="78" t="n"/>
      <c r="BG4003" s="78" t="n"/>
      <c r="BH4003" s="78" t="n"/>
      <c r="BI4003" s="78" t="n"/>
      <c r="BJ4003" s="139" t="n"/>
      <c r="BK4003" s="204" t="n"/>
      <c r="BL4003" s="141" t="n"/>
      <c r="BM4003" s="205" t="n"/>
      <c r="BN4003" s="205" t="n"/>
      <c r="BO4003" s="206" t="n"/>
      <c r="BP4003" s="144" t="n"/>
      <c r="BQ4003" s="141" t="n"/>
      <c r="BR4003" s="207" t="n"/>
      <c r="BS4003" s="207" t="n"/>
      <c r="BT4003" s="207" t="n"/>
      <c r="BU4003" s="207" t="n"/>
      <c r="BV4003" s="208" t="n"/>
      <c r="BW4003" s="207" t="n"/>
      <c r="BX4003" s="207" t="n"/>
      <c r="BY4003" s="204" t="n"/>
      <c r="BZ4003" s="148" t="n"/>
      <c r="CA4003" s="204" t="n"/>
      <c r="CB4003" s="208" t="n"/>
      <c r="CC4003" s="139" t="n"/>
      <c r="CD4003" s="204" t="n"/>
      <c r="CE4003" s="204" t="n"/>
      <c r="CF4003" s="207" t="n"/>
      <c r="CG4003" s="208" t="n"/>
      <c r="CH4003" s="207" t="n"/>
      <c r="CI4003" s="208" t="n"/>
      <c r="CJ4003" s="204" t="n"/>
      <c r="CK4003" s="208" t="n"/>
      <c r="CL4003" s="208" t="n"/>
      <c r="CM4003" s="208" t="n"/>
      <c r="CN4003" s="78" t="n"/>
      <c r="CO4003" s="209" t="n"/>
      <c r="CP4003" s="204" t="n"/>
      <c r="CQ4003" s="204" t="n"/>
      <c r="CR4003" s="204" t="n"/>
      <c r="CS4003" s="204" t="n"/>
      <c r="CT4003" s="204" t="n"/>
      <c r="CU4003" s="204" t="n"/>
      <c r="CV4003" s="204" t="n"/>
      <c r="CW4003" s="204" t="n"/>
    </row>
    <row r="4004">
      <c r="BF4004" s="78" t="n"/>
      <c r="BG4004" s="78" t="n"/>
      <c r="BH4004" s="78" t="n"/>
      <c r="BI4004" s="78" t="n"/>
      <c r="BJ4004" s="139" t="n"/>
      <c r="BK4004" s="204" t="n"/>
      <c r="BL4004" s="141" t="n"/>
      <c r="BM4004" s="205" t="n"/>
      <c r="BN4004" s="205" t="n"/>
      <c r="BO4004" s="206" t="n"/>
      <c r="BP4004" s="144" t="n"/>
      <c r="BQ4004" s="141" t="n"/>
      <c r="BR4004" s="207" t="n"/>
      <c r="BS4004" s="207" t="n"/>
      <c r="BT4004" s="207" t="n"/>
      <c r="BU4004" s="207" t="n"/>
      <c r="BV4004" s="208" t="n"/>
      <c r="BW4004" s="207" t="n"/>
      <c r="BX4004" s="207" t="n"/>
      <c r="BY4004" s="204" t="n"/>
      <c r="BZ4004" s="148" t="n"/>
      <c r="CA4004" s="204" t="n"/>
      <c r="CB4004" s="208" t="n"/>
      <c r="CC4004" s="139" t="n"/>
      <c r="CD4004" s="204" t="n"/>
      <c r="CE4004" s="204" t="n"/>
      <c r="CF4004" s="207" t="n"/>
      <c r="CG4004" s="208" t="n"/>
      <c r="CH4004" s="207" t="n"/>
      <c r="CI4004" s="208" t="n"/>
      <c r="CJ4004" s="204" t="n"/>
      <c r="CK4004" s="208" t="n"/>
      <c r="CL4004" s="208" t="n"/>
      <c r="CM4004" s="208" t="n"/>
      <c r="CN4004" s="78" t="n"/>
      <c r="CO4004" s="209" t="n"/>
      <c r="CP4004" s="204" t="n"/>
      <c r="CQ4004" s="204" t="n"/>
      <c r="CR4004" s="204" t="n"/>
      <c r="CS4004" s="204" t="n"/>
      <c r="CT4004" s="204" t="n"/>
      <c r="CU4004" s="204" t="n"/>
      <c r="CV4004" s="204" t="n"/>
      <c r="CW4004" s="204" t="n"/>
    </row>
    <row r="4005">
      <c r="BF4005" s="78" t="n"/>
      <c r="BG4005" s="78" t="n"/>
      <c r="BH4005" s="78" t="n"/>
      <c r="BI4005" s="78" t="n"/>
      <c r="BJ4005" s="139" t="n"/>
      <c r="BK4005" s="204" t="n"/>
      <c r="BL4005" s="141" t="n"/>
      <c r="BM4005" s="205" t="n"/>
      <c r="BN4005" s="205" t="n"/>
      <c r="BO4005" s="206" t="n"/>
      <c r="BP4005" s="144" t="n"/>
      <c r="BQ4005" s="141" t="n"/>
      <c r="BR4005" s="207" t="n"/>
      <c r="BS4005" s="207" t="n"/>
      <c r="BT4005" s="207" t="n"/>
      <c r="BU4005" s="207" t="n"/>
      <c r="BV4005" s="208" t="n"/>
      <c r="BW4005" s="207" t="n"/>
      <c r="BX4005" s="207" t="n"/>
      <c r="BY4005" s="204" t="n"/>
      <c r="BZ4005" s="148" t="n"/>
      <c r="CA4005" s="204" t="n"/>
      <c r="CB4005" s="208" t="n"/>
      <c r="CC4005" s="139" t="n"/>
      <c r="CD4005" s="204" t="n"/>
      <c r="CE4005" s="204" t="n"/>
      <c r="CF4005" s="207" t="n"/>
      <c r="CG4005" s="208" t="n"/>
      <c r="CH4005" s="207" t="n"/>
      <c r="CI4005" s="208" t="n"/>
      <c r="CJ4005" s="204" t="n"/>
      <c r="CK4005" s="208" t="n"/>
      <c r="CL4005" s="208" t="n"/>
      <c r="CM4005" s="208" t="n"/>
      <c r="CN4005" s="78" t="n"/>
      <c r="CO4005" s="209" t="n"/>
      <c r="CP4005" s="204" t="n"/>
      <c r="CQ4005" s="204" t="n"/>
      <c r="CR4005" s="204" t="n"/>
      <c r="CS4005" s="204" t="n"/>
      <c r="CT4005" s="204" t="n"/>
      <c r="CU4005" s="204" t="n"/>
      <c r="CV4005" s="204" t="n"/>
      <c r="CW4005" s="204" t="n"/>
    </row>
    <row r="4006">
      <c r="BF4006" s="78" t="n"/>
      <c r="BG4006" s="78" t="n"/>
      <c r="BH4006" s="78" t="n"/>
      <c r="BI4006" s="78" t="n"/>
      <c r="BJ4006" s="139" t="n"/>
      <c r="BK4006" s="204" t="n"/>
      <c r="BL4006" s="141" t="n"/>
      <c r="BM4006" s="205" t="n"/>
      <c r="BN4006" s="205" t="n"/>
      <c r="BO4006" s="206" t="n"/>
      <c r="BP4006" s="144" t="n"/>
      <c r="BQ4006" s="141" t="n"/>
      <c r="BR4006" s="207" t="n"/>
      <c r="BS4006" s="207" t="n"/>
      <c r="BT4006" s="207" t="n"/>
      <c r="BU4006" s="207" t="n"/>
      <c r="BV4006" s="208" t="n"/>
      <c r="BW4006" s="207" t="n"/>
      <c r="BX4006" s="207" t="n"/>
      <c r="BY4006" s="204" t="n"/>
      <c r="BZ4006" s="148" t="n"/>
      <c r="CA4006" s="204" t="n"/>
      <c r="CB4006" s="208" t="n"/>
      <c r="CC4006" s="139" t="n"/>
      <c r="CD4006" s="204" t="n"/>
      <c r="CE4006" s="204" t="n"/>
      <c r="CF4006" s="207" t="n"/>
      <c r="CG4006" s="208" t="n"/>
      <c r="CH4006" s="207" t="n"/>
      <c r="CI4006" s="208" t="n"/>
      <c r="CJ4006" s="204" t="n"/>
      <c r="CK4006" s="208" t="n"/>
      <c r="CL4006" s="208" t="n"/>
      <c r="CM4006" s="208" t="n"/>
      <c r="CN4006" s="78" t="n"/>
      <c r="CO4006" s="209" t="n"/>
      <c r="CP4006" s="204" t="n"/>
      <c r="CQ4006" s="204" t="n"/>
      <c r="CR4006" s="204" t="n"/>
      <c r="CS4006" s="204" t="n"/>
      <c r="CT4006" s="204" t="n"/>
      <c r="CU4006" s="204" t="n"/>
      <c r="CV4006" s="204" t="n"/>
      <c r="CW4006" s="204" t="n"/>
    </row>
    <row r="4007">
      <c r="BF4007" s="78" t="n"/>
      <c r="BG4007" s="78" t="n"/>
      <c r="BH4007" s="78" t="n"/>
      <c r="BI4007" s="78" t="n"/>
      <c r="BJ4007" s="139" t="n"/>
      <c r="BK4007" s="204" t="n"/>
      <c r="BL4007" s="141" t="n"/>
      <c r="BM4007" s="205" t="n"/>
      <c r="BN4007" s="205" t="n"/>
      <c r="BO4007" s="206" t="n"/>
      <c r="BP4007" s="144" t="n"/>
      <c r="BQ4007" s="141" t="n"/>
      <c r="BR4007" s="207" t="n"/>
      <c r="BS4007" s="207" t="n"/>
      <c r="BT4007" s="207" t="n"/>
      <c r="BU4007" s="207" t="n"/>
      <c r="BV4007" s="208" t="n"/>
      <c r="BW4007" s="207" t="n"/>
      <c r="BX4007" s="207" t="n"/>
      <c r="BY4007" s="204" t="n"/>
      <c r="BZ4007" s="148" t="n"/>
      <c r="CA4007" s="204" t="n"/>
      <c r="CB4007" s="208" t="n"/>
      <c r="CC4007" s="139" t="n"/>
      <c r="CD4007" s="204" t="n"/>
      <c r="CE4007" s="204" t="n"/>
      <c r="CF4007" s="207" t="n"/>
      <c r="CG4007" s="208" t="n"/>
      <c r="CH4007" s="207" t="n"/>
      <c r="CI4007" s="208" t="n"/>
      <c r="CJ4007" s="204" t="n"/>
      <c r="CK4007" s="208" t="n"/>
      <c r="CL4007" s="208" t="n"/>
      <c r="CM4007" s="208" t="n"/>
      <c r="CN4007" s="78" t="n"/>
      <c r="CO4007" s="209" t="n"/>
      <c r="CP4007" s="204" t="n"/>
      <c r="CQ4007" s="204" t="n"/>
      <c r="CR4007" s="204" t="n"/>
      <c r="CS4007" s="204" t="n"/>
      <c r="CT4007" s="204" t="n"/>
      <c r="CU4007" s="204" t="n"/>
      <c r="CV4007" s="204" t="n"/>
      <c r="CW4007" s="204" t="n"/>
    </row>
    <row r="4008">
      <c r="BF4008" s="78" t="n"/>
      <c r="BG4008" s="78" t="n"/>
      <c r="BH4008" s="78" t="n"/>
      <c r="BI4008" s="78" t="n"/>
      <c r="BJ4008" s="139" t="n"/>
      <c r="BK4008" s="204" t="n"/>
      <c r="BL4008" s="141" t="n"/>
      <c r="BM4008" s="205" t="n"/>
      <c r="BN4008" s="205" t="n"/>
      <c r="BO4008" s="206" t="n"/>
      <c r="BP4008" s="144" t="n"/>
      <c r="BQ4008" s="141" t="n"/>
      <c r="BR4008" s="207" t="n"/>
      <c r="BS4008" s="207" t="n"/>
      <c r="BT4008" s="207" t="n"/>
      <c r="BU4008" s="207" t="n"/>
      <c r="BV4008" s="208" t="n"/>
      <c r="BW4008" s="207" t="n"/>
      <c r="BX4008" s="207" t="n"/>
      <c r="BY4008" s="204" t="n"/>
      <c r="BZ4008" s="148" t="n"/>
      <c r="CA4008" s="204" t="n"/>
      <c r="CB4008" s="208" t="n"/>
      <c r="CC4008" s="139" t="n"/>
      <c r="CD4008" s="204" t="n"/>
      <c r="CE4008" s="204" t="n"/>
      <c r="CF4008" s="207" t="n"/>
      <c r="CG4008" s="208" t="n"/>
      <c r="CH4008" s="207" t="n"/>
      <c r="CI4008" s="208" t="n"/>
      <c r="CJ4008" s="204" t="n"/>
      <c r="CK4008" s="208" t="n"/>
      <c r="CL4008" s="208" t="n"/>
      <c r="CM4008" s="208" t="n"/>
      <c r="CN4008" s="78" t="n"/>
      <c r="CO4008" s="209" t="n"/>
      <c r="CP4008" s="204" t="n"/>
      <c r="CQ4008" s="204" t="n"/>
      <c r="CR4008" s="204" t="n"/>
      <c r="CS4008" s="204" t="n"/>
      <c r="CT4008" s="204" t="n"/>
      <c r="CU4008" s="204" t="n"/>
      <c r="CV4008" s="204" t="n"/>
      <c r="CW4008" s="204" t="n"/>
    </row>
    <row r="4009">
      <c r="BF4009" s="78" t="n"/>
      <c r="BG4009" s="78" t="n"/>
      <c r="BH4009" s="78" t="n"/>
      <c r="BI4009" s="78" t="n"/>
      <c r="BJ4009" s="139" t="n"/>
      <c r="BK4009" s="204" t="n"/>
      <c r="BL4009" s="141" t="n"/>
      <c r="BM4009" s="205" t="n"/>
      <c r="BN4009" s="205" t="n"/>
      <c r="BO4009" s="206" t="n"/>
      <c r="BP4009" s="144" t="n"/>
      <c r="BQ4009" s="141" t="n"/>
      <c r="BR4009" s="207" t="n"/>
      <c r="BS4009" s="207" t="n"/>
      <c r="BT4009" s="207" t="n"/>
      <c r="BU4009" s="207" t="n"/>
      <c r="BV4009" s="208" t="n"/>
      <c r="BW4009" s="207" t="n"/>
      <c r="BX4009" s="207" t="n"/>
      <c r="BY4009" s="204" t="n"/>
      <c r="BZ4009" s="148" t="n"/>
      <c r="CA4009" s="204" t="n"/>
      <c r="CB4009" s="208" t="n"/>
      <c r="CC4009" s="139" t="n"/>
      <c r="CD4009" s="204" t="n"/>
      <c r="CE4009" s="204" t="n"/>
      <c r="CF4009" s="207" t="n"/>
      <c r="CG4009" s="208" t="n"/>
      <c r="CH4009" s="207" t="n"/>
      <c r="CI4009" s="208" t="n"/>
      <c r="CJ4009" s="204" t="n"/>
      <c r="CK4009" s="208" t="n"/>
      <c r="CL4009" s="208" t="n"/>
      <c r="CM4009" s="208" t="n"/>
      <c r="CN4009" s="78" t="n"/>
      <c r="CO4009" s="209" t="n"/>
      <c r="CP4009" s="204" t="n"/>
      <c r="CQ4009" s="204" t="n"/>
      <c r="CR4009" s="204" t="n"/>
      <c r="CS4009" s="204" t="n"/>
      <c r="CT4009" s="204" t="n"/>
      <c r="CU4009" s="204" t="n"/>
      <c r="CV4009" s="204" t="n"/>
      <c r="CW4009" s="204" t="n"/>
    </row>
    <row r="4010">
      <c r="BF4010" s="78" t="n"/>
      <c r="BG4010" s="78" t="n"/>
      <c r="BH4010" s="78" t="n"/>
      <c r="BI4010" s="78" t="n"/>
      <c r="BJ4010" s="139" t="n"/>
      <c r="BK4010" s="204" t="n"/>
      <c r="BL4010" s="141" t="n"/>
      <c r="BM4010" s="205" t="n"/>
      <c r="BN4010" s="205" t="n"/>
      <c r="BO4010" s="206" t="n"/>
      <c r="BP4010" s="144" t="n"/>
      <c r="BQ4010" s="141" t="n"/>
      <c r="BR4010" s="207" t="n"/>
      <c r="BS4010" s="207" t="n"/>
      <c r="BT4010" s="207" t="n"/>
      <c r="BU4010" s="207" t="n"/>
      <c r="BV4010" s="208" t="n"/>
      <c r="BW4010" s="207" t="n"/>
      <c r="BX4010" s="207" t="n"/>
      <c r="BY4010" s="204" t="n"/>
      <c r="BZ4010" s="148" t="n"/>
      <c r="CA4010" s="204" t="n"/>
      <c r="CB4010" s="208" t="n"/>
      <c r="CC4010" s="139" t="n"/>
      <c r="CD4010" s="204" t="n"/>
      <c r="CE4010" s="204" t="n"/>
      <c r="CF4010" s="207" t="n"/>
      <c r="CG4010" s="208" t="n"/>
      <c r="CH4010" s="207" t="n"/>
      <c r="CI4010" s="208" t="n"/>
      <c r="CJ4010" s="204" t="n"/>
      <c r="CK4010" s="208" t="n"/>
      <c r="CL4010" s="208" t="n"/>
      <c r="CM4010" s="208" t="n"/>
      <c r="CN4010" s="78" t="n"/>
      <c r="CO4010" s="209" t="n"/>
      <c r="CP4010" s="204" t="n"/>
      <c r="CQ4010" s="204" t="n"/>
      <c r="CR4010" s="204" t="n"/>
      <c r="CS4010" s="204" t="n"/>
      <c r="CT4010" s="204" t="n"/>
      <c r="CU4010" s="204" t="n"/>
      <c r="CV4010" s="204" t="n"/>
      <c r="CW4010" s="204" t="n"/>
    </row>
    <row r="4011">
      <c r="BF4011" s="78" t="n"/>
      <c r="BG4011" s="78" t="n"/>
      <c r="BH4011" s="78" t="n"/>
      <c r="BI4011" s="78" t="n"/>
      <c r="BJ4011" s="139" t="n"/>
      <c r="BK4011" s="204" t="n"/>
      <c r="BL4011" s="141" t="n"/>
      <c r="BM4011" s="205" t="n"/>
      <c r="BN4011" s="205" t="n"/>
      <c r="BO4011" s="206" t="n"/>
      <c r="BP4011" s="144" t="n"/>
      <c r="BQ4011" s="141" t="n"/>
      <c r="BR4011" s="207" t="n"/>
      <c r="BS4011" s="207" t="n"/>
      <c r="BT4011" s="207" t="n"/>
      <c r="BU4011" s="207" t="n"/>
      <c r="BV4011" s="208" t="n"/>
      <c r="BW4011" s="207" t="n"/>
      <c r="BX4011" s="207" t="n"/>
      <c r="BY4011" s="204" t="n"/>
      <c r="BZ4011" s="148" t="n"/>
      <c r="CA4011" s="204" t="n"/>
      <c r="CB4011" s="208" t="n"/>
      <c r="CC4011" s="139" t="n"/>
      <c r="CD4011" s="204" t="n"/>
      <c r="CE4011" s="204" t="n"/>
      <c r="CF4011" s="207" t="n"/>
      <c r="CG4011" s="208" t="n"/>
      <c r="CH4011" s="207" t="n"/>
      <c r="CI4011" s="208" t="n"/>
      <c r="CJ4011" s="204" t="n"/>
      <c r="CK4011" s="208" t="n"/>
      <c r="CL4011" s="208" t="n"/>
      <c r="CM4011" s="208" t="n"/>
      <c r="CN4011" s="78" t="n"/>
      <c r="CO4011" s="209" t="n"/>
      <c r="CP4011" s="204" t="n"/>
      <c r="CQ4011" s="204" t="n"/>
      <c r="CR4011" s="204" t="n"/>
      <c r="CS4011" s="204" t="n"/>
      <c r="CT4011" s="204" t="n"/>
      <c r="CU4011" s="204" t="n"/>
      <c r="CV4011" s="204" t="n"/>
      <c r="CW4011" s="204" t="n"/>
    </row>
    <row r="4012">
      <c r="BF4012" s="78" t="n"/>
      <c r="BG4012" s="78" t="n"/>
      <c r="BH4012" s="78" t="n"/>
      <c r="BI4012" s="78" t="n"/>
      <c r="BJ4012" s="139" t="n"/>
      <c r="BK4012" s="204" t="n"/>
      <c r="BL4012" s="141" t="n"/>
      <c r="BM4012" s="205" t="n"/>
      <c r="BN4012" s="205" t="n"/>
      <c r="BO4012" s="206" t="n"/>
      <c r="BP4012" s="144" t="n"/>
      <c r="BQ4012" s="141" t="n"/>
      <c r="BR4012" s="207" t="n"/>
      <c r="BS4012" s="207" t="n"/>
      <c r="BT4012" s="207" t="n"/>
      <c r="BU4012" s="207" t="n"/>
      <c r="BV4012" s="208" t="n"/>
      <c r="BW4012" s="207" t="n"/>
      <c r="BX4012" s="207" t="n"/>
      <c r="BY4012" s="204" t="n"/>
      <c r="BZ4012" s="148" t="n"/>
      <c r="CA4012" s="204" t="n"/>
      <c r="CB4012" s="208" t="n"/>
      <c r="CC4012" s="139" t="n"/>
      <c r="CD4012" s="204" t="n"/>
      <c r="CE4012" s="204" t="n"/>
      <c r="CF4012" s="207" t="n"/>
      <c r="CG4012" s="208" t="n"/>
      <c r="CH4012" s="207" t="n"/>
      <c r="CI4012" s="208" t="n"/>
      <c r="CJ4012" s="204" t="n"/>
      <c r="CK4012" s="208" t="n"/>
      <c r="CL4012" s="208" t="n"/>
      <c r="CM4012" s="208" t="n"/>
      <c r="CN4012" s="78" t="n"/>
      <c r="CO4012" s="209" t="n"/>
      <c r="CP4012" s="204" t="n"/>
      <c r="CQ4012" s="204" t="n"/>
      <c r="CR4012" s="204" t="n"/>
      <c r="CS4012" s="204" t="n"/>
      <c r="CT4012" s="204" t="n"/>
      <c r="CU4012" s="204" t="n"/>
      <c r="CV4012" s="204" t="n"/>
      <c r="CW4012" s="204" t="n"/>
    </row>
    <row r="4013">
      <c r="BF4013" s="78" t="n"/>
      <c r="BG4013" s="78" t="n"/>
      <c r="BH4013" s="78" t="n"/>
      <c r="BI4013" s="78" t="n"/>
      <c r="BJ4013" s="139" t="n"/>
      <c r="BK4013" s="204" t="n"/>
      <c r="BL4013" s="141" t="n"/>
      <c r="BM4013" s="205" t="n"/>
      <c r="BN4013" s="205" t="n"/>
      <c r="BO4013" s="206" t="n"/>
      <c r="BP4013" s="144" t="n"/>
      <c r="BQ4013" s="141" t="n"/>
      <c r="BR4013" s="207" t="n"/>
      <c r="BS4013" s="207" t="n"/>
      <c r="BT4013" s="207" t="n"/>
      <c r="BU4013" s="207" t="n"/>
      <c r="BV4013" s="208" t="n"/>
      <c r="BW4013" s="207" t="n"/>
      <c r="BX4013" s="207" t="n"/>
      <c r="BY4013" s="204" t="n"/>
      <c r="BZ4013" s="148" t="n"/>
      <c r="CA4013" s="204" t="n"/>
      <c r="CB4013" s="208" t="n"/>
      <c r="CC4013" s="139" t="n"/>
      <c r="CD4013" s="204" t="n"/>
      <c r="CE4013" s="204" t="n"/>
      <c r="CF4013" s="207" t="n"/>
      <c r="CG4013" s="208" t="n"/>
      <c r="CH4013" s="207" t="n"/>
      <c r="CI4013" s="208" t="n"/>
      <c r="CJ4013" s="204" t="n"/>
      <c r="CK4013" s="208" t="n"/>
      <c r="CL4013" s="208" t="n"/>
      <c r="CM4013" s="208" t="n"/>
      <c r="CN4013" s="78" t="n"/>
      <c r="CO4013" s="209" t="n"/>
      <c r="CP4013" s="204" t="n"/>
      <c r="CQ4013" s="204" t="n"/>
      <c r="CR4013" s="204" t="n"/>
      <c r="CS4013" s="204" t="n"/>
      <c r="CT4013" s="204" t="n"/>
      <c r="CU4013" s="204" t="n"/>
      <c r="CV4013" s="204" t="n"/>
      <c r="CW4013" s="204" t="n"/>
    </row>
    <row r="4014">
      <c r="BF4014" s="78" t="n"/>
      <c r="BG4014" s="78" t="n"/>
      <c r="BH4014" s="78" t="n"/>
      <c r="BI4014" s="78" t="n"/>
      <c r="BJ4014" s="139" t="n"/>
      <c r="BK4014" s="204" t="n"/>
      <c r="BL4014" s="141" t="n"/>
      <c r="BM4014" s="205" t="n"/>
      <c r="BN4014" s="205" t="n"/>
      <c r="BO4014" s="206" t="n"/>
      <c r="BP4014" s="144" t="n"/>
      <c r="BQ4014" s="141" t="n"/>
      <c r="BR4014" s="207" t="n"/>
      <c r="BS4014" s="207" t="n"/>
      <c r="BT4014" s="207" t="n"/>
      <c r="BU4014" s="207" t="n"/>
      <c r="BV4014" s="208" t="n"/>
      <c r="BW4014" s="207" t="n"/>
      <c r="BX4014" s="207" t="n"/>
      <c r="BY4014" s="204" t="n"/>
      <c r="BZ4014" s="148" t="n"/>
      <c r="CA4014" s="204" t="n"/>
      <c r="CB4014" s="208" t="n"/>
      <c r="CC4014" s="139" t="n"/>
      <c r="CD4014" s="204" t="n"/>
      <c r="CE4014" s="204" t="n"/>
      <c r="CF4014" s="207" t="n"/>
      <c r="CG4014" s="208" t="n"/>
      <c r="CH4014" s="207" t="n"/>
      <c r="CI4014" s="208" t="n"/>
      <c r="CJ4014" s="204" t="n"/>
      <c r="CK4014" s="208" t="n"/>
      <c r="CL4014" s="208" t="n"/>
      <c r="CM4014" s="208" t="n"/>
      <c r="CN4014" s="78" t="n"/>
      <c r="CO4014" s="209" t="n"/>
      <c r="CP4014" s="204" t="n"/>
      <c r="CQ4014" s="204" t="n"/>
      <c r="CR4014" s="204" t="n"/>
      <c r="CS4014" s="204" t="n"/>
      <c r="CT4014" s="204" t="n"/>
      <c r="CU4014" s="204" t="n"/>
      <c r="CV4014" s="204" t="n"/>
      <c r="CW4014" s="204" t="n"/>
    </row>
    <row r="4015">
      <c r="BF4015" s="78" t="n"/>
      <c r="BG4015" s="78" t="n"/>
      <c r="BH4015" s="78" t="n"/>
      <c r="BI4015" s="78" t="n"/>
      <c r="BJ4015" s="139" t="n"/>
      <c r="BK4015" s="204" t="n"/>
      <c r="BL4015" s="141" t="n"/>
      <c r="BM4015" s="205" t="n"/>
      <c r="BN4015" s="205" t="n"/>
      <c r="BO4015" s="206" t="n"/>
      <c r="BP4015" s="144" t="n"/>
      <c r="BQ4015" s="141" t="n"/>
      <c r="BR4015" s="207" t="n"/>
      <c r="BS4015" s="207" t="n"/>
      <c r="BT4015" s="207" t="n"/>
      <c r="BU4015" s="207" t="n"/>
      <c r="BV4015" s="208" t="n"/>
      <c r="BW4015" s="207" t="n"/>
      <c r="BX4015" s="207" t="n"/>
      <c r="BY4015" s="204" t="n"/>
      <c r="BZ4015" s="148" t="n"/>
      <c r="CA4015" s="204" t="n"/>
      <c r="CB4015" s="208" t="n"/>
      <c r="CC4015" s="139" t="n"/>
      <c r="CD4015" s="204" t="n"/>
      <c r="CE4015" s="204" t="n"/>
      <c r="CF4015" s="207" t="n"/>
      <c r="CG4015" s="208" t="n"/>
      <c r="CH4015" s="207" t="n"/>
      <c r="CI4015" s="208" t="n"/>
      <c r="CJ4015" s="204" t="n"/>
      <c r="CK4015" s="208" t="n"/>
      <c r="CL4015" s="208" t="n"/>
      <c r="CM4015" s="208" t="n"/>
      <c r="CN4015" s="78" t="n"/>
      <c r="CO4015" s="209" t="n"/>
      <c r="CP4015" s="204" t="n"/>
      <c r="CQ4015" s="204" t="n"/>
      <c r="CR4015" s="204" t="n"/>
      <c r="CS4015" s="204" t="n"/>
      <c r="CT4015" s="204" t="n"/>
      <c r="CU4015" s="204" t="n"/>
      <c r="CV4015" s="204" t="n"/>
      <c r="CW4015" s="204" t="n"/>
    </row>
    <row r="4016">
      <c r="BF4016" s="78" t="n"/>
      <c r="BG4016" s="78" t="n"/>
      <c r="BH4016" s="78" t="n"/>
      <c r="BI4016" s="78" t="n"/>
      <c r="BJ4016" s="139" t="n"/>
      <c r="BK4016" s="204" t="n"/>
      <c r="BL4016" s="141" t="n"/>
      <c r="BM4016" s="205" t="n"/>
      <c r="BN4016" s="205" t="n"/>
      <c r="BO4016" s="206" t="n"/>
      <c r="BP4016" s="144" t="n"/>
      <c r="BQ4016" s="141" t="n"/>
      <c r="BR4016" s="207" t="n"/>
      <c r="BS4016" s="207" t="n"/>
      <c r="BT4016" s="207" t="n"/>
      <c r="BU4016" s="207" t="n"/>
      <c r="BV4016" s="208" t="n"/>
      <c r="BW4016" s="207" t="n"/>
      <c r="BX4016" s="207" t="n"/>
      <c r="BY4016" s="204" t="n"/>
      <c r="BZ4016" s="148" t="n"/>
      <c r="CA4016" s="204" t="n"/>
      <c r="CB4016" s="208" t="n"/>
      <c r="CC4016" s="139" t="n"/>
      <c r="CD4016" s="204" t="n"/>
      <c r="CE4016" s="204" t="n"/>
      <c r="CF4016" s="207" t="n"/>
      <c r="CG4016" s="208" t="n"/>
      <c r="CH4016" s="207" t="n"/>
      <c r="CI4016" s="208" t="n"/>
      <c r="CJ4016" s="204" t="n"/>
      <c r="CK4016" s="208" t="n"/>
      <c r="CL4016" s="208" t="n"/>
      <c r="CM4016" s="208" t="n"/>
      <c r="CN4016" s="78" t="n"/>
      <c r="CO4016" s="209" t="n"/>
      <c r="CP4016" s="204" t="n"/>
      <c r="CQ4016" s="204" t="n"/>
      <c r="CR4016" s="204" t="n"/>
      <c r="CS4016" s="204" t="n"/>
      <c r="CT4016" s="204" t="n"/>
      <c r="CU4016" s="204" t="n"/>
      <c r="CV4016" s="204" t="n"/>
      <c r="CW4016" s="204" t="n"/>
    </row>
    <row r="4017">
      <c r="BF4017" s="78" t="n"/>
      <c r="BG4017" s="78" t="n"/>
      <c r="BH4017" s="78" t="n"/>
      <c r="BI4017" s="78" t="n"/>
      <c r="BJ4017" s="139" t="n"/>
      <c r="BK4017" s="204" t="n"/>
      <c r="BL4017" s="141" t="n"/>
      <c r="BM4017" s="205" t="n"/>
      <c r="BN4017" s="205" t="n"/>
      <c r="BO4017" s="206" t="n"/>
      <c r="BP4017" s="144" t="n"/>
      <c r="BQ4017" s="141" t="n"/>
      <c r="BR4017" s="207" t="n"/>
      <c r="BS4017" s="207" t="n"/>
      <c r="BT4017" s="207" t="n"/>
      <c r="BU4017" s="207" t="n"/>
      <c r="BV4017" s="208" t="n"/>
      <c r="BW4017" s="207" t="n"/>
      <c r="BX4017" s="207" t="n"/>
      <c r="BY4017" s="204" t="n"/>
      <c r="BZ4017" s="148" t="n"/>
      <c r="CA4017" s="204" t="n"/>
      <c r="CB4017" s="208" t="n"/>
      <c r="CC4017" s="139" t="n"/>
      <c r="CD4017" s="204" t="n"/>
      <c r="CE4017" s="204" t="n"/>
      <c r="CF4017" s="207" t="n"/>
      <c r="CG4017" s="208" t="n"/>
      <c r="CH4017" s="207" t="n"/>
      <c r="CI4017" s="208" t="n"/>
      <c r="CJ4017" s="204" t="n"/>
      <c r="CK4017" s="208" t="n"/>
      <c r="CL4017" s="208" t="n"/>
      <c r="CM4017" s="208" t="n"/>
      <c r="CN4017" s="78" t="n"/>
      <c r="CO4017" s="209" t="n"/>
      <c r="CP4017" s="204" t="n"/>
      <c r="CQ4017" s="204" t="n"/>
      <c r="CR4017" s="204" t="n"/>
      <c r="CS4017" s="204" t="n"/>
      <c r="CT4017" s="204" t="n"/>
      <c r="CU4017" s="204" t="n"/>
      <c r="CV4017" s="204" t="n"/>
      <c r="CW4017" s="204" t="n"/>
    </row>
    <row r="4018">
      <c r="BF4018" s="78" t="n"/>
      <c r="BG4018" s="78" t="n"/>
      <c r="BH4018" s="78" t="n"/>
      <c r="BI4018" s="78" t="n"/>
      <c r="BJ4018" s="139" t="n"/>
      <c r="BK4018" s="204" t="n"/>
      <c r="BL4018" s="141" t="n"/>
      <c r="BM4018" s="205" t="n"/>
      <c r="BN4018" s="205" t="n"/>
      <c r="BO4018" s="206" t="n"/>
      <c r="BP4018" s="144" t="n"/>
      <c r="BQ4018" s="141" t="n"/>
      <c r="BR4018" s="207" t="n"/>
      <c r="BS4018" s="207" t="n"/>
      <c r="BT4018" s="207" t="n"/>
      <c r="BU4018" s="207" t="n"/>
      <c r="BV4018" s="208" t="n"/>
      <c r="BW4018" s="207" t="n"/>
      <c r="BX4018" s="207" t="n"/>
      <c r="BY4018" s="204" t="n"/>
      <c r="BZ4018" s="148" t="n"/>
      <c r="CA4018" s="204" t="n"/>
      <c r="CB4018" s="208" t="n"/>
      <c r="CC4018" s="139" t="n"/>
      <c r="CD4018" s="204" t="n"/>
      <c r="CE4018" s="204" t="n"/>
      <c r="CF4018" s="207" t="n"/>
      <c r="CG4018" s="208" t="n"/>
      <c r="CH4018" s="207" t="n"/>
      <c r="CI4018" s="208" t="n"/>
      <c r="CJ4018" s="204" t="n"/>
      <c r="CK4018" s="208" t="n"/>
      <c r="CL4018" s="208" t="n"/>
      <c r="CM4018" s="208" t="n"/>
      <c r="CN4018" s="78" t="n"/>
      <c r="CO4018" s="209" t="n"/>
      <c r="CP4018" s="204" t="n"/>
      <c r="CQ4018" s="204" t="n"/>
      <c r="CR4018" s="204" t="n"/>
      <c r="CS4018" s="204" t="n"/>
      <c r="CT4018" s="204" t="n"/>
      <c r="CU4018" s="204" t="n"/>
      <c r="CV4018" s="204" t="n"/>
      <c r="CW4018" s="204" t="n"/>
    </row>
    <row r="4019">
      <c r="BF4019" s="78" t="n"/>
      <c r="BG4019" s="78" t="n"/>
      <c r="BH4019" s="78" t="n"/>
      <c r="BI4019" s="78" t="n"/>
      <c r="BJ4019" s="139" t="n"/>
      <c r="BK4019" s="204" t="n"/>
      <c r="BL4019" s="141" t="n"/>
      <c r="BM4019" s="205" t="n"/>
      <c r="BN4019" s="205" t="n"/>
      <c r="BO4019" s="206" t="n"/>
      <c r="BP4019" s="144" t="n"/>
      <c r="BQ4019" s="141" t="n"/>
      <c r="BR4019" s="207" t="n"/>
      <c r="BS4019" s="207" t="n"/>
      <c r="BT4019" s="207" t="n"/>
      <c r="BU4019" s="207" t="n"/>
      <c r="BV4019" s="208" t="n"/>
      <c r="BW4019" s="207" t="n"/>
      <c r="BX4019" s="207" t="n"/>
      <c r="BY4019" s="204" t="n"/>
      <c r="BZ4019" s="148" t="n"/>
      <c r="CA4019" s="204" t="n"/>
      <c r="CB4019" s="208" t="n"/>
      <c r="CC4019" s="139" t="n"/>
      <c r="CD4019" s="204" t="n"/>
      <c r="CE4019" s="204" t="n"/>
      <c r="CF4019" s="207" t="n"/>
      <c r="CG4019" s="208" t="n"/>
      <c r="CH4019" s="207" t="n"/>
      <c r="CI4019" s="208" t="n"/>
      <c r="CJ4019" s="204" t="n"/>
      <c r="CK4019" s="208" t="n"/>
      <c r="CL4019" s="208" t="n"/>
      <c r="CM4019" s="208" t="n"/>
      <c r="CN4019" s="78" t="n"/>
      <c r="CO4019" s="209" t="n"/>
      <c r="CP4019" s="204" t="n"/>
      <c r="CQ4019" s="204" t="n"/>
      <c r="CR4019" s="204" t="n"/>
      <c r="CS4019" s="204" t="n"/>
      <c r="CT4019" s="204" t="n"/>
      <c r="CU4019" s="204" t="n"/>
      <c r="CV4019" s="204" t="n"/>
      <c r="CW4019" s="204" t="n"/>
    </row>
    <row r="4020">
      <c r="BF4020" s="78" t="n"/>
      <c r="BG4020" s="78" t="n"/>
      <c r="BH4020" s="78" t="n"/>
      <c r="BI4020" s="78" t="n"/>
      <c r="BJ4020" s="139" t="n"/>
      <c r="BK4020" s="204" t="n"/>
      <c r="BL4020" s="141" t="n"/>
      <c r="BM4020" s="205" t="n"/>
      <c r="BN4020" s="205" t="n"/>
      <c r="BO4020" s="206" t="n"/>
      <c r="BP4020" s="144" t="n"/>
      <c r="BQ4020" s="141" t="n"/>
      <c r="BR4020" s="207" t="n"/>
      <c r="BS4020" s="207" t="n"/>
      <c r="BT4020" s="207" t="n"/>
      <c r="BU4020" s="207" t="n"/>
      <c r="BV4020" s="208" t="n"/>
      <c r="BW4020" s="207" t="n"/>
      <c r="BX4020" s="207" t="n"/>
      <c r="BY4020" s="204" t="n"/>
      <c r="BZ4020" s="148" t="n"/>
      <c r="CA4020" s="204" t="n"/>
      <c r="CB4020" s="208" t="n"/>
      <c r="CC4020" s="139" t="n"/>
      <c r="CD4020" s="204" t="n"/>
      <c r="CE4020" s="204" t="n"/>
      <c r="CF4020" s="207" t="n"/>
      <c r="CG4020" s="208" t="n"/>
      <c r="CH4020" s="207" t="n"/>
      <c r="CI4020" s="208" t="n"/>
      <c r="CJ4020" s="204" t="n"/>
      <c r="CK4020" s="208" t="n"/>
      <c r="CL4020" s="208" t="n"/>
      <c r="CM4020" s="208" t="n"/>
      <c r="CN4020" s="78" t="n"/>
      <c r="CO4020" s="209" t="n"/>
      <c r="CP4020" s="204" t="n"/>
      <c r="CQ4020" s="204" t="n"/>
      <c r="CR4020" s="204" t="n"/>
      <c r="CS4020" s="204" t="n"/>
      <c r="CT4020" s="204" t="n"/>
      <c r="CU4020" s="204" t="n"/>
      <c r="CV4020" s="204" t="n"/>
      <c r="CW4020" s="204" t="n"/>
    </row>
    <row r="4021">
      <c r="BF4021" s="78" t="n"/>
      <c r="BG4021" s="78" t="n"/>
      <c r="BH4021" s="78" t="n"/>
      <c r="BI4021" s="78" t="n"/>
      <c r="BJ4021" s="139" t="n"/>
      <c r="BK4021" s="204" t="n"/>
      <c r="BL4021" s="141" t="n"/>
      <c r="BM4021" s="205" t="n"/>
      <c r="BN4021" s="205" t="n"/>
      <c r="BO4021" s="206" t="n"/>
      <c r="BP4021" s="144" t="n"/>
      <c r="BQ4021" s="141" t="n"/>
      <c r="BR4021" s="207" t="n"/>
      <c r="BS4021" s="207" t="n"/>
      <c r="BT4021" s="207" t="n"/>
      <c r="BU4021" s="207" t="n"/>
      <c r="BV4021" s="208" t="n"/>
      <c r="BW4021" s="207" t="n"/>
      <c r="BX4021" s="207" t="n"/>
      <c r="BY4021" s="204" t="n"/>
      <c r="BZ4021" s="148" t="n"/>
      <c r="CA4021" s="204" t="n"/>
      <c r="CB4021" s="208" t="n"/>
      <c r="CC4021" s="139" t="n"/>
      <c r="CD4021" s="204" t="n"/>
      <c r="CE4021" s="204" t="n"/>
      <c r="CF4021" s="207" t="n"/>
      <c r="CG4021" s="208" t="n"/>
      <c r="CH4021" s="207" t="n"/>
      <c r="CI4021" s="208" t="n"/>
      <c r="CJ4021" s="204" t="n"/>
      <c r="CK4021" s="208" t="n"/>
      <c r="CL4021" s="208" t="n"/>
      <c r="CM4021" s="208" t="n"/>
      <c r="CN4021" s="78" t="n"/>
      <c r="CO4021" s="209" t="n"/>
      <c r="CP4021" s="204" t="n"/>
      <c r="CQ4021" s="204" t="n"/>
      <c r="CR4021" s="204" t="n"/>
      <c r="CS4021" s="204" t="n"/>
      <c r="CT4021" s="204" t="n"/>
      <c r="CU4021" s="204" t="n"/>
      <c r="CV4021" s="204" t="n"/>
      <c r="CW4021" s="204" t="n"/>
    </row>
    <row r="4022">
      <c r="BF4022" s="78" t="n"/>
      <c r="BG4022" s="78" t="n"/>
      <c r="BH4022" s="78" t="n"/>
      <c r="BI4022" s="78" t="n"/>
      <c r="BJ4022" s="139" t="n"/>
      <c r="BK4022" s="204" t="n"/>
      <c r="BL4022" s="141" t="n"/>
      <c r="BM4022" s="205" t="n"/>
      <c r="BN4022" s="205" t="n"/>
      <c r="BO4022" s="206" t="n"/>
      <c r="BP4022" s="144" t="n"/>
      <c r="BQ4022" s="141" t="n"/>
      <c r="BR4022" s="207" t="n"/>
      <c r="BS4022" s="207" t="n"/>
      <c r="BT4022" s="207" t="n"/>
      <c r="BU4022" s="207" t="n"/>
      <c r="BV4022" s="208" t="n"/>
      <c r="BW4022" s="207" t="n"/>
      <c r="BX4022" s="207" t="n"/>
      <c r="BY4022" s="204" t="n"/>
      <c r="BZ4022" s="148" t="n"/>
      <c r="CA4022" s="204" t="n"/>
      <c r="CB4022" s="208" t="n"/>
      <c r="CC4022" s="139" t="n"/>
      <c r="CD4022" s="204" t="n"/>
      <c r="CE4022" s="204" t="n"/>
      <c r="CF4022" s="207" t="n"/>
      <c r="CG4022" s="208" t="n"/>
      <c r="CH4022" s="207" t="n"/>
      <c r="CI4022" s="208" t="n"/>
      <c r="CJ4022" s="204" t="n"/>
      <c r="CK4022" s="208" t="n"/>
      <c r="CL4022" s="208" t="n"/>
      <c r="CM4022" s="208" t="n"/>
      <c r="CN4022" s="78" t="n"/>
      <c r="CO4022" s="209" t="n"/>
      <c r="CP4022" s="204" t="n"/>
      <c r="CQ4022" s="204" t="n"/>
      <c r="CR4022" s="204" t="n"/>
      <c r="CS4022" s="204" t="n"/>
      <c r="CT4022" s="204" t="n"/>
      <c r="CU4022" s="204" t="n"/>
      <c r="CV4022" s="204" t="n"/>
      <c r="CW4022" s="204" t="n"/>
    </row>
    <row r="4023">
      <c r="BF4023" s="78" t="n"/>
      <c r="BG4023" s="78" t="n"/>
      <c r="BH4023" s="78" t="n"/>
      <c r="BI4023" s="78" t="n"/>
      <c r="BJ4023" s="139" t="n"/>
      <c r="BK4023" s="204" t="n"/>
      <c r="BL4023" s="141" t="n"/>
      <c r="BM4023" s="205" t="n"/>
      <c r="BN4023" s="205" t="n"/>
      <c r="BO4023" s="206" t="n"/>
      <c r="BP4023" s="144" t="n"/>
      <c r="BQ4023" s="141" t="n"/>
      <c r="BR4023" s="207" t="n"/>
      <c r="BS4023" s="207" t="n"/>
      <c r="BT4023" s="207" t="n"/>
      <c r="BU4023" s="207" t="n"/>
      <c r="BV4023" s="208" t="n"/>
      <c r="BW4023" s="207" t="n"/>
      <c r="BX4023" s="207" t="n"/>
      <c r="BY4023" s="204" t="n"/>
      <c r="BZ4023" s="148" t="n"/>
      <c r="CA4023" s="204" t="n"/>
      <c r="CB4023" s="208" t="n"/>
      <c r="CC4023" s="139" t="n"/>
      <c r="CD4023" s="204" t="n"/>
      <c r="CE4023" s="204" t="n"/>
      <c r="CF4023" s="207" t="n"/>
      <c r="CG4023" s="208" t="n"/>
      <c r="CH4023" s="207" t="n"/>
      <c r="CI4023" s="208" t="n"/>
      <c r="CJ4023" s="204" t="n"/>
      <c r="CK4023" s="208" t="n"/>
      <c r="CL4023" s="208" t="n"/>
      <c r="CM4023" s="208" t="n"/>
      <c r="CN4023" s="78" t="n"/>
      <c r="CO4023" s="209" t="n"/>
      <c r="CP4023" s="204" t="n"/>
      <c r="CQ4023" s="204" t="n"/>
      <c r="CR4023" s="204" t="n"/>
      <c r="CS4023" s="204" t="n"/>
      <c r="CT4023" s="204" t="n"/>
      <c r="CU4023" s="204" t="n"/>
      <c r="CV4023" s="204" t="n"/>
      <c r="CW4023" s="204" t="n"/>
    </row>
    <row r="4024">
      <c r="BF4024" s="78" t="n"/>
      <c r="BG4024" s="78" t="n"/>
      <c r="BH4024" s="78" t="n"/>
      <c r="BI4024" s="78" t="n"/>
      <c r="BJ4024" s="139" t="n"/>
      <c r="BK4024" s="204" t="n"/>
      <c r="BL4024" s="141" t="n"/>
      <c r="BM4024" s="205" t="n"/>
      <c r="BN4024" s="205" t="n"/>
      <c r="BO4024" s="206" t="n"/>
      <c r="BP4024" s="144" t="n"/>
      <c r="BQ4024" s="141" t="n"/>
      <c r="BR4024" s="207" t="n"/>
      <c r="BS4024" s="207" t="n"/>
      <c r="BT4024" s="207" t="n"/>
      <c r="BU4024" s="207" t="n"/>
      <c r="BV4024" s="208" t="n"/>
      <c r="BW4024" s="207" t="n"/>
      <c r="BX4024" s="207" t="n"/>
      <c r="BY4024" s="204" t="n"/>
      <c r="BZ4024" s="148" t="n"/>
      <c r="CA4024" s="204" t="n"/>
      <c r="CB4024" s="208" t="n"/>
      <c r="CC4024" s="139" t="n"/>
      <c r="CD4024" s="204" t="n"/>
      <c r="CE4024" s="204" t="n"/>
      <c r="CF4024" s="207" t="n"/>
      <c r="CG4024" s="208" t="n"/>
      <c r="CH4024" s="207" t="n"/>
      <c r="CI4024" s="208" t="n"/>
      <c r="CJ4024" s="204" t="n"/>
      <c r="CK4024" s="208" t="n"/>
      <c r="CL4024" s="208" t="n"/>
      <c r="CM4024" s="208" t="n"/>
      <c r="CN4024" s="78" t="n"/>
      <c r="CO4024" s="209" t="n"/>
      <c r="CP4024" s="204" t="n"/>
      <c r="CQ4024" s="204" t="n"/>
      <c r="CR4024" s="204" t="n"/>
      <c r="CS4024" s="204" t="n"/>
      <c r="CT4024" s="204" t="n"/>
      <c r="CU4024" s="204" t="n"/>
      <c r="CV4024" s="204" t="n"/>
      <c r="CW4024" s="204" t="n"/>
    </row>
    <row r="4025">
      <c r="BF4025" s="78" t="n"/>
      <c r="BG4025" s="78" t="n"/>
      <c r="BH4025" s="78" t="n"/>
      <c r="BI4025" s="78" t="n"/>
      <c r="BJ4025" s="139" t="n"/>
      <c r="BK4025" s="204" t="n"/>
      <c r="BL4025" s="141" t="n"/>
      <c r="BM4025" s="205" t="n"/>
      <c r="BN4025" s="205" t="n"/>
      <c r="BO4025" s="206" t="n"/>
      <c r="BP4025" s="144" t="n"/>
      <c r="BQ4025" s="141" t="n"/>
      <c r="BR4025" s="207" t="n"/>
      <c r="BS4025" s="207" t="n"/>
      <c r="BT4025" s="207" t="n"/>
      <c r="BU4025" s="207" t="n"/>
      <c r="BV4025" s="208" t="n"/>
      <c r="BW4025" s="207" t="n"/>
      <c r="BX4025" s="207" t="n"/>
      <c r="BY4025" s="204" t="n"/>
      <c r="BZ4025" s="148" t="n"/>
      <c r="CA4025" s="204" t="n"/>
      <c r="CB4025" s="208" t="n"/>
      <c r="CC4025" s="139" t="n"/>
      <c r="CD4025" s="204" t="n"/>
      <c r="CE4025" s="204" t="n"/>
      <c r="CF4025" s="207" t="n"/>
      <c r="CG4025" s="208" t="n"/>
      <c r="CH4025" s="207" t="n"/>
      <c r="CI4025" s="208" t="n"/>
      <c r="CJ4025" s="204" t="n"/>
      <c r="CK4025" s="208" t="n"/>
      <c r="CL4025" s="208" t="n"/>
      <c r="CM4025" s="208" t="n"/>
      <c r="CN4025" s="78" t="n"/>
      <c r="CO4025" s="209" t="n"/>
      <c r="CP4025" s="204" t="n"/>
      <c r="CQ4025" s="204" t="n"/>
      <c r="CR4025" s="204" t="n"/>
      <c r="CS4025" s="204" t="n"/>
      <c r="CT4025" s="204" t="n"/>
      <c r="CU4025" s="204" t="n"/>
      <c r="CV4025" s="204" t="n"/>
      <c r="CW4025" s="204" t="n"/>
    </row>
    <row r="4026">
      <c r="BF4026" s="78" t="n"/>
      <c r="BG4026" s="78" t="n"/>
      <c r="BH4026" s="78" t="n"/>
      <c r="BI4026" s="78" t="n"/>
      <c r="BJ4026" s="139" t="n"/>
      <c r="BK4026" s="204" t="n"/>
      <c r="BL4026" s="141" t="n"/>
      <c r="BM4026" s="205" t="n"/>
      <c r="BN4026" s="205" t="n"/>
      <c r="BO4026" s="206" t="n"/>
      <c r="BP4026" s="144" t="n"/>
      <c r="BQ4026" s="141" t="n"/>
      <c r="BR4026" s="207" t="n"/>
      <c r="BS4026" s="207" t="n"/>
      <c r="BT4026" s="207" t="n"/>
      <c r="BU4026" s="207" t="n"/>
      <c r="BV4026" s="208" t="n"/>
      <c r="BW4026" s="207" t="n"/>
      <c r="BX4026" s="207" t="n"/>
      <c r="BY4026" s="204" t="n"/>
      <c r="BZ4026" s="148" t="n"/>
      <c r="CA4026" s="204" t="n"/>
      <c r="CB4026" s="208" t="n"/>
      <c r="CC4026" s="139" t="n"/>
      <c r="CD4026" s="204" t="n"/>
      <c r="CE4026" s="204" t="n"/>
      <c r="CF4026" s="207" t="n"/>
      <c r="CG4026" s="208" t="n"/>
      <c r="CH4026" s="207" t="n"/>
      <c r="CI4026" s="208" t="n"/>
      <c r="CJ4026" s="204" t="n"/>
      <c r="CK4026" s="208" t="n"/>
      <c r="CL4026" s="208" t="n"/>
      <c r="CM4026" s="208" t="n"/>
      <c r="CN4026" s="78" t="n"/>
      <c r="CO4026" s="209" t="n"/>
      <c r="CP4026" s="204" t="n"/>
      <c r="CQ4026" s="204" t="n"/>
      <c r="CR4026" s="204" t="n"/>
      <c r="CS4026" s="204" t="n"/>
      <c r="CT4026" s="204" t="n"/>
      <c r="CU4026" s="204" t="n"/>
      <c r="CV4026" s="204" t="n"/>
      <c r="CW4026" s="204" t="n"/>
    </row>
    <row r="4027">
      <c r="BF4027" s="78" t="n"/>
      <c r="BG4027" s="78" t="n"/>
      <c r="BH4027" s="78" t="n"/>
      <c r="BI4027" s="78" t="n"/>
      <c r="BJ4027" s="139" t="n"/>
      <c r="BK4027" s="204" t="n"/>
      <c r="BL4027" s="141" t="n"/>
      <c r="BM4027" s="205" t="n"/>
      <c r="BN4027" s="205" t="n"/>
      <c r="BO4027" s="206" t="n"/>
      <c r="BP4027" s="144" t="n"/>
      <c r="BQ4027" s="141" t="n"/>
      <c r="BR4027" s="207" t="n"/>
      <c r="BS4027" s="207" t="n"/>
      <c r="BT4027" s="207" t="n"/>
      <c r="BU4027" s="207" t="n"/>
      <c r="BV4027" s="208" t="n"/>
      <c r="BW4027" s="207" t="n"/>
      <c r="BX4027" s="207" t="n"/>
      <c r="BY4027" s="204" t="n"/>
      <c r="BZ4027" s="148" t="n"/>
      <c r="CA4027" s="204" t="n"/>
      <c r="CB4027" s="208" t="n"/>
      <c r="CC4027" s="139" t="n"/>
      <c r="CD4027" s="204" t="n"/>
      <c r="CE4027" s="204" t="n"/>
      <c r="CF4027" s="207" t="n"/>
      <c r="CG4027" s="208" t="n"/>
      <c r="CH4027" s="207" t="n"/>
      <c r="CI4027" s="208" t="n"/>
      <c r="CJ4027" s="204" t="n"/>
      <c r="CK4027" s="208" t="n"/>
      <c r="CL4027" s="208" t="n"/>
      <c r="CM4027" s="208" t="n"/>
      <c r="CN4027" s="78" t="n"/>
      <c r="CO4027" s="209" t="n"/>
      <c r="CP4027" s="204" t="n"/>
      <c r="CQ4027" s="204" t="n"/>
      <c r="CR4027" s="204" t="n"/>
      <c r="CS4027" s="204" t="n"/>
      <c r="CT4027" s="204" t="n"/>
      <c r="CU4027" s="204" t="n"/>
      <c r="CV4027" s="204" t="n"/>
      <c r="CW4027" s="204" t="n"/>
    </row>
    <row r="4028">
      <c r="BF4028" s="78" t="n"/>
      <c r="BG4028" s="78" t="n"/>
      <c r="BH4028" s="78" t="n"/>
      <c r="BI4028" s="78" t="n"/>
      <c r="BJ4028" s="139" t="n"/>
      <c r="BK4028" s="204" t="n"/>
      <c r="BL4028" s="141" t="n"/>
      <c r="BM4028" s="205" t="n"/>
      <c r="BN4028" s="205" t="n"/>
      <c r="BO4028" s="206" t="n"/>
      <c r="BP4028" s="144" t="n"/>
      <c r="BQ4028" s="141" t="n"/>
      <c r="BR4028" s="207" t="n"/>
      <c r="BS4028" s="207" t="n"/>
      <c r="BT4028" s="207" t="n"/>
      <c r="BU4028" s="207" t="n"/>
      <c r="BV4028" s="208" t="n"/>
      <c r="BW4028" s="207" t="n"/>
      <c r="BX4028" s="207" t="n"/>
      <c r="BY4028" s="204" t="n"/>
      <c r="BZ4028" s="148" t="n"/>
      <c r="CA4028" s="204" t="n"/>
      <c r="CB4028" s="208" t="n"/>
      <c r="CC4028" s="139" t="n"/>
      <c r="CD4028" s="204" t="n"/>
      <c r="CE4028" s="204" t="n"/>
      <c r="CF4028" s="207" t="n"/>
      <c r="CG4028" s="208" t="n"/>
      <c r="CH4028" s="207" t="n"/>
      <c r="CI4028" s="208" t="n"/>
      <c r="CJ4028" s="204" t="n"/>
      <c r="CK4028" s="208" t="n"/>
      <c r="CL4028" s="208" t="n"/>
      <c r="CM4028" s="208" t="n"/>
      <c r="CN4028" s="78" t="n"/>
      <c r="CO4028" s="209" t="n"/>
      <c r="CP4028" s="204" t="n"/>
      <c r="CQ4028" s="204" t="n"/>
      <c r="CR4028" s="204" t="n"/>
      <c r="CS4028" s="204" t="n"/>
      <c r="CT4028" s="204" t="n"/>
      <c r="CU4028" s="204" t="n"/>
      <c r="CV4028" s="204" t="n"/>
      <c r="CW4028" s="204" t="n"/>
    </row>
    <row r="4029">
      <c r="BF4029" s="78" t="n"/>
      <c r="BG4029" s="78" t="n"/>
      <c r="BH4029" s="78" t="n"/>
      <c r="BI4029" s="78" t="n"/>
      <c r="BJ4029" s="139" t="n"/>
      <c r="BK4029" s="204" t="n"/>
      <c r="BL4029" s="141" t="n"/>
      <c r="BM4029" s="205" t="n"/>
      <c r="BN4029" s="205" t="n"/>
      <c r="BO4029" s="206" t="n"/>
      <c r="BP4029" s="144" t="n"/>
      <c r="BQ4029" s="141" t="n"/>
      <c r="BR4029" s="207" t="n"/>
      <c r="BS4029" s="207" t="n"/>
      <c r="BT4029" s="207" t="n"/>
      <c r="BU4029" s="207" t="n"/>
      <c r="BV4029" s="208" t="n"/>
      <c r="BW4029" s="207" t="n"/>
      <c r="BX4029" s="207" t="n"/>
      <c r="BY4029" s="204" t="n"/>
      <c r="BZ4029" s="148" t="n"/>
      <c r="CA4029" s="204" t="n"/>
      <c r="CB4029" s="208" t="n"/>
      <c r="CC4029" s="139" t="n"/>
      <c r="CD4029" s="204" t="n"/>
      <c r="CE4029" s="204" t="n"/>
      <c r="CF4029" s="207" t="n"/>
      <c r="CG4029" s="208" t="n"/>
      <c r="CH4029" s="207" t="n"/>
      <c r="CI4029" s="208" t="n"/>
      <c r="CJ4029" s="204" t="n"/>
      <c r="CK4029" s="208" t="n"/>
      <c r="CL4029" s="208" t="n"/>
      <c r="CM4029" s="208" t="n"/>
      <c r="CN4029" s="78" t="n"/>
      <c r="CO4029" s="209" t="n"/>
      <c r="CP4029" s="204" t="n"/>
      <c r="CQ4029" s="204" t="n"/>
      <c r="CR4029" s="204" t="n"/>
      <c r="CS4029" s="204" t="n"/>
      <c r="CT4029" s="204" t="n"/>
      <c r="CU4029" s="204" t="n"/>
      <c r="CV4029" s="204" t="n"/>
      <c r="CW4029" s="204" t="n"/>
    </row>
    <row r="4030">
      <c r="BF4030" s="78" t="n"/>
      <c r="BG4030" s="78" t="n"/>
      <c r="BH4030" s="78" t="n"/>
      <c r="BI4030" s="78" t="n"/>
      <c r="BJ4030" s="139" t="n"/>
      <c r="BK4030" s="204" t="n"/>
      <c r="BL4030" s="141" t="n"/>
      <c r="BM4030" s="205" t="n"/>
      <c r="BN4030" s="205" t="n"/>
      <c r="BO4030" s="206" t="n"/>
      <c r="BP4030" s="144" t="n"/>
      <c r="BQ4030" s="141" t="n"/>
      <c r="BR4030" s="207" t="n"/>
      <c r="BS4030" s="207" t="n"/>
      <c r="BT4030" s="207" t="n"/>
      <c r="BU4030" s="207" t="n"/>
      <c r="BV4030" s="208" t="n"/>
      <c r="BW4030" s="207" t="n"/>
      <c r="BX4030" s="207" t="n"/>
      <c r="BY4030" s="204" t="n"/>
      <c r="BZ4030" s="148" t="n"/>
      <c r="CA4030" s="204" t="n"/>
      <c r="CB4030" s="208" t="n"/>
      <c r="CC4030" s="139" t="n"/>
      <c r="CD4030" s="204" t="n"/>
      <c r="CE4030" s="204" t="n"/>
      <c r="CF4030" s="207" t="n"/>
      <c r="CG4030" s="208" t="n"/>
      <c r="CH4030" s="207" t="n"/>
      <c r="CI4030" s="208" t="n"/>
      <c r="CJ4030" s="204" t="n"/>
      <c r="CK4030" s="208" t="n"/>
      <c r="CL4030" s="208" t="n"/>
      <c r="CM4030" s="208" t="n"/>
      <c r="CN4030" s="78" t="n"/>
      <c r="CO4030" s="209" t="n"/>
      <c r="CP4030" s="204" t="n"/>
      <c r="CQ4030" s="204" t="n"/>
      <c r="CR4030" s="204" t="n"/>
      <c r="CS4030" s="204" t="n"/>
      <c r="CT4030" s="204" t="n"/>
      <c r="CU4030" s="204" t="n"/>
      <c r="CV4030" s="204" t="n"/>
      <c r="CW4030" s="204" t="n"/>
    </row>
    <row r="4031">
      <c r="BF4031" s="78" t="n"/>
      <c r="BG4031" s="78" t="n"/>
      <c r="BH4031" s="78" t="n"/>
      <c r="BI4031" s="78" t="n"/>
      <c r="BJ4031" s="139" t="n"/>
      <c r="BK4031" s="204" t="n"/>
      <c r="BL4031" s="141" t="n"/>
      <c r="BM4031" s="205" t="n"/>
      <c r="BN4031" s="205" t="n"/>
      <c r="BO4031" s="206" t="n"/>
      <c r="BP4031" s="144" t="n"/>
      <c r="BQ4031" s="141" t="n"/>
      <c r="BR4031" s="207" t="n"/>
      <c r="BS4031" s="207" t="n"/>
      <c r="BT4031" s="207" t="n"/>
      <c r="BU4031" s="207" t="n"/>
      <c r="BV4031" s="208" t="n"/>
      <c r="BW4031" s="207" t="n"/>
      <c r="BX4031" s="207" t="n"/>
      <c r="BY4031" s="204" t="n"/>
      <c r="BZ4031" s="148" t="n"/>
      <c r="CA4031" s="204" t="n"/>
      <c r="CB4031" s="208" t="n"/>
      <c r="CC4031" s="139" t="n"/>
      <c r="CD4031" s="204" t="n"/>
      <c r="CE4031" s="204" t="n"/>
      <c r="CF4031" s="207" t="n"/>
      <c r="CG4031" s="208" t="n"/>
      <c r="CH4031" s="207" t="n"/>
      <c r="CI4031" s="208" t="n"/>
      <c r="CJ4031" s="204" t="n"/>
      <c r="CK4031" s="208" t="n"/>
      <c r="CL4031" s="208" t="n"/>
      <c r="CM4031" s="208" t="n"/>
      <c r="CN4031" s="78" t="n"/>
      <c r="CO4031" s="209" t="n"/>
      <c r="CP4031" s="204" t="n"/>
      <c r="CQ4031" s="204" t="n"/>
      <c r="CR4031" s="204" t="n"/>
      <c r="CS4031" s="204" t="n"/>
      <c r="CT4031" s="204" t="n"/>
      <c r="CU4031" s="204" t="n"/>
      <c r="CV4031" s="204" t="n"/>
      <c r="CW4031" s="204" t="n"/>
    </row>
    <row r="4032">
      <c r="BF4032" s="78" t="n"/>
      <c r="BG4032" s="78" t="n"/>
      <c r="BH4032" s="78" t="n"/>
      <c r="BI4032" s="78" t="n"/>
      <c r="BJ4032" s="139" t="n"/>
      <c r="BK4032" s="204" t="n"/>
      <c r="BL4032" s="141" t="n"/>
      <c r="BM4032" s="205" t="n"/>
      <c r="BN4032" s="205" t="n"/>
      <c r="BO4032" s="206" t="n"/>
      <c r="BP4032" s="144" t="n"/>
      <c r="BQ4032" s="141" t="n"/>
      <c r="BR4032" s="207" t="n"/>
      <c r="BS4032" s="207" t="n"/>
      <c r="BT4032" s="207" t="n"/>
      <c r="BU4032" s="207" t="n"/>
      <c r="BV4032" s="208" t="n"/>
      <c r="BW4032" s="207" t="n"/>
      <c r="BX4032" s="207" t="n"/>
      <c r="BY4032" s="204" t="n"/>
      <c r="BZ4032" s="148" t="n"/>
      <c r="CA4032" s="204" t="n"/>
      <c r="CB4032" s="208" t="n"/>
      <c r="CC4032" s="139" t="n"/>
      <c r="CD4032" s="204" t="n"/>
      <c r="CE4032" s="204" t="n"/>
      <c r="CF4032" s="207" t="n"/>
      <c r="CG4032" s="208" t="n"/>
      <c r="CH4032" s="207" t="n"/>
      <c r="CI4032" s="208" t="n"/>
      <c r="CJ4032" s="204" t="n"/>
      <c r="CK4032" s="208" t="n"/>
      <c r="CL4032" s="208" t="n"/>
      <c r="CM4032" s="208" t="n"/>
      <c r="CN4032" s="78" t="n"/>
      <c r="CO4032" s="209" t="n"/>
      <c r="CP4032" s="204" t="n"/>
      <c r="CQ4032" s="204" t="n"/>
      <c r="CR4032" s="204" t="n"/>
      <c r="CS4032" s="204" t="n"/>
      <c r="CT4032" s="204" t="n"/>
      <c r="CU4032" s="204" t="n"/>
      <c r="CV4032" s="204" t="n"/>
      <c r="CW4032" s="204" t="n"/>
    </row>
    <row r="4033">
      <c r="BF4033" s="78" t="n"/>
      <c r="BG4033" s="78" t="n"/>
      <c r="BH4033" s="78" t="n"/>
      <c r="BI4033" s="78" t="n"/>
      <c r="BJ4033" s="139" t="n"/>
      <c r="BK4033" s="204" t="n"/>
      <c r="BL4033" s="141" t="n"/>
      <c r="BM4033" s="205" t="n"/>
      <c r="BN4033" s="205" t="n"/>
      <c r="BO4033" s="206" t="n"/>
      <c r="BP4033" s="144" t="n"/>
      <c r="BQ4033" s="141" t="n"/>
      <c r="BR4033" s="207" t="n"/>
      <c r="BS4033" s="207" t="n"/>
      <c r="BT4033" s="207" t="n"/>
      <c r="BU4033" s="207" t="n"/>
      <c r="BV4033" s="208" t="n"/>
      <c r="BW4033" s="207" t="n"/>
      <c r="BX4033" s="207" t="n"/>
      <c r="BY4033" s="204" t="n"/>
      <c r="BZ4033" s="148" t="n"/>
      <c r="CA4033" s="204" t="n"/>
      <c r="CB4033" s="208" t="n"/>
      <c r="CC4033" s="139" t="n"/>
      <c r="CD4033" s="204" t="n"/>
      <c r="CE4033" s="204" t="n"/>
      <c r="CF4033" s="207" t="n"/>
      <c r="CG4033" s="208" t="n"/>
      <c r="CH4033" s="207" t="n"/>
      <c r="CI4033" s="208" t="n"/>
      <c r="CJ4033" s="204" t="n"/>
      <c r="CK4033" s="208" t="n"/>
      <c r="CL4033" s="208" t="n"/>
      <c r="CM4033" s="208" t="n"/>
      <c r="CN4033" s="78" t="n"/>
      <c r="CO4033" s="209" t="n"/>
      <c r="CP4033" s="204" t="n"/>
      <c r="CQ4033" s="204" t="n"/>
      <c r="CR4033" s="204" t="n"/>
      <c r="CS4033" s="204" t="n"/>
      <c r="CT4033" s="204" t="n"/>
      <c r="CU4033" s="204" t="n"/>
      <c r="CV4033" s="204" t="n"/>
      <c r="CW4033" s="204" t="n"/>
    </row>
    <row r="4034">
      <c r="BF4034" s="78" t="n"/>
      <c r="BG4034" s="78" t="n"/>
      <c r="BH4034" s="78" t="n"/>
      <c r="BI4034" s="78" t="n"/>
      <c r="BJ4034" s="139" t="n"/>
      <c r="BK4034" s="204" t="n"/>
      <c r="BL4034" s="141" t="n"/>
      <c r="BM4034" s="205" t="n"/>
      <c r="BN4034" s="205" t="n"/>
      <c r="BO4034" s="206" t="n"/>
      <c r="BP4034" s="144" t="n"/>
      <c r="BQ4034" s="141" t="n"/>
      <c r="BR4034" s="207" t="n"/>
      <c r="BS4034" s="207" t="n"/>
      <c r="BT4034" s="207" t="n"/>
      <c r="BU4034" s="207" t="n"/>
      <c r="BV4034" s="208" t="n"/>
      <c r="BW4034" s="207" t="n"/>
      <c r="BX4034" s="207" t="n"/>
      <c r="BY4034" s="204" t="n"/>
      <c r="BZ4034" s="148" t="n"/>
      <c r="CA4034" s="204" t="n"/>
      <c r="CB4034" s="208" t="n"/>
      <c r="CC4034" s="139" t="n"/>
      <c r="CD4034" s="204" t="n"/>
      <c r="CE4034" s="204" t="n"/>
      <c r="CF4034" s="207" t="n"/>
      <c r="CG4034" s="208" t="n"/>
      <c r="CH4034" s="207" t="n"/>
      <c r="CI4034" s="208" t="n"/>
      <c r="CJ4034" s="204" t="n"/>
      <c r="CK4034" s="208" t="n"/>
      <c r="CL4034" s="208" t="n"/>
      <c r="CM4034" s="208" t="n"/>
      <c r="CN4034" s="78" t="n"/>
      <c r="CO4034" s="209" t="n"/>
      <c r="CP4034" s="204" t="n"/>
      <c r="CQ4034" s="204" t="n"/>
      <c r="CR4034" s="204" t="n"/>
      <c r="CS4034" s="204" t="n"/>
      <c r="CT4034" s="204" t="n"/>
      <c r="CU4034" s="204" t="n"/>
      <c r="CV4034" s="204" t="n"/>
      <c r="CW4034" s="204" t="n"/>
    </row>
    <row r="4035">
      <c r="BF4035" s="78" t="n"/>
      <c r="BG4035" s="78" t="n"/>
      <c r="BH4035" s="78" t="n"/>
      <c r="BI4035" s="78" t="n"/>
      <c r="BJ4035" s="139" t="n"/>
      <c r="BK4035" s="204" t="n"/>
      <c r="BL4035" s="141" t="n"/>
      <c r="BM4035" s="205" t="n"/>
      <c r="BN4035" s="205" t="n"/>
      <c r="BO4035" s="206" t="n"/>
      <c r="BP4035" s="144" t="n"/>
      <c r="BQ4035" s="141" t="n"/>
      <c r="BR4035" s="207" t="n"/>
      <c r="BS4035" s="207" t="n"/>
      <c r="BT4035" s="207" t="n"/>
      <c r="BU4035" s="207" t="n"/>
      <c r="BV4035" s="208" t="n"/>
      <c r="BW4035" s="207" t="n"/>
      <c r="BX4035" s="207" t="n"/>
      <c r="BY4035" s="204" t="n"/>
      <c r="BZ4035" s="148" t="n"/>
      <c r="CA4035" s="204" t="n"/>
      <c r="CB4035" s="208" t="n"/>
      <c r="CC4035" s="139" t="n"/>
      <c r="CD4035" s="204" t="n"/>
      <c r="CE4035" s="204" t="n"/>
      <c r="CF4035" s="207" t="n"/>
      <c r="CG4035" s="208" t="n"/>
      <c r="CH4035" s="207" t="n"/>
      <c r="CI4035" s="208" t="n"/>
      <c r="CJ4035" s="204" t="n"/>
      <c r="CK4035" s="208" t="n"/>
      <c r="CL4035" s="208" t="n"/>
      <c r="CM4035" s="208" t="n"/>
      <c r="CN4035" s="78" t="n"/>
      <c r="CO4035" s="209" t="n"/>
      <c r="CP4035" s="204" t="n"/>
      <c r="CQ4035" s="204" t="n"/>
      <c r="CR4035" s="204" t="n"/>
      <c r="CS4035" s="204" t="n"/>
      <c r="CT4035" s="204" t="n"/>
      <c r="CU4035" s="204" t="n"/>
      <c r="CV4035" s="204" t="n"/>
      <c r="CW4035" s="204" t="n"/>
    </row>
    <row r="4036">
      <c r="BF4036" s="78" t="n"/>
      <c r="BG4036" s="78" t="n"/>
      <c r="BH4036" s="78" t="n"/>
      <c r="BI4036" s="78" t="n"/>
      <c r="BJ4036" s="139" t="n"/>
      <c r="BK4036" s="204" t="n"/>
      <c r="BL4036" s="141" t="n"/>
      <c r="BM4036" s="205" t="n"/>
      <c r="BN4036" s="205" t="n"/>
      <c r="BO4036" s="206" t="n"/>
      <c r="BP4036" s="144" t="n"/>
      <c r="BQ4036" s="141" t="n"/>
      <c r="BR4036" s="207" t="n"/>
      <c r="BS4036" s="207" t="n"/>
      <c r="BT4036" s="207" t="n"/>
      <c r="BU4036" s="207" t="n"/>
      <c r="BV4036" s="208" t="n"/>
      <c r="BW4036" s="207" t="n"/>
      <c r="BX4036" s="207" t="n"/>
      <c r="BY4036" s="204" t="n"/>
      <c r="BZ4036" s="148" t="n"/>
      <c r="CA4036" s="204" t="n"/>
      <c r="CB4036" s="208" t="n"/>
      <c r="CC4036" s="139" t="n"/>
      <c r="CD4036" s="204" t="n"/>
      <c r="CE4036" s="204" t="n"/>
      <c r="CF4036" s="207" t="n"/>
      <c r="CG4036" s="208" t="n"/>
      <c r="CH4036" s="207" t="n"/>
      <c r="CI4036" s="208" t="n"/>
      <c r="CJ4036" s="204" t="n"/>
      <c r="CK4036" s="208" t="n"/>
      <c r="CL4036" s="208" t="n"/>
      <c r="CM4036" s="208" t="n"/>
      <c r="CN4036" s="78" t="n"/>
      <c r="CO4036" s="209" t="n"/>
      <c r="CP4036" s="204" t="n"/>
      <c r="CQ4036" s="204" t="n"/>
      <c r="CR4036" s="204" t="n"/>
      <c r="CS4036" s="204" t="n"/>
      <c r="CT4036" s="204" t="n"/>
      <c r="CU4036" s="204" t="n"/>
      <c r="CV4036" s="204" t="n"/>
      <c r="CW4036" s="204" t="n"/>
    </row>
    <row r="4037">
      <c r="BF4037" s="78" t="n"/>
      <c r="BG4037" s="78" t="n"/>
      <c r="BH4037" s="78" t="n"/>
      <c r="BI4037" s="78" t="n"/>
      <c r="BJ4037" s="139" t="n"/>
      <c r="BK4037" s="204" t="n"/>
      <c r="BL4037" s="141" t="n"/>
      <c r="BM4037" s="205" t="n"/>
      <c r="BN4037" s="205" t="n"/>
      <c r="BO4037" s="206" t="n"/>
      <c r="BP4037" s="144" t="n"/>
      <c r="BQ4037" s="141" t="n"/>
      <c r="BR4037" s="207" t="n"/>
      <c r="BS4037" s="207" t="n"/>
      <c r="BT4037" s="207" t="n"/>
      <c r="BU4037" s="207" t="n"/>
      <c r="BV4037" s="208" t="n"/>
      <c r="BW4037" s="207" t="n"/>
      <c r="BX4037" s="207" t="n"/>
      <c r="BY4037" s="204" t="n"/>
      <c r="BZ4037" s="148" t="n"/>
      <c r="CA4037" s="204" t="n"/>
      <c r="CB4037" s="208" t="n"/>
      <c r="CC4037" s="139" t="n"/>
      <c r="CD4037" s="204" t="n"/>
      <c r="CE4037" s="204" t="n"/>
      <c r="CF4037" s="207" t="n"/>
      <c r="CG4037" s="208" t="n"/>
      <c r="CH4037" s="207" t="n"/>
      <c r="CI4037" s="208" t="n"/>
      <c r="CJ4037" s="204" t="n"/>
      <c r="CK4037" s="208" t="n"/>
      <c r="CL4037" s="208" t="n"/>
      <c r="CM4037" s="208" t="n"/>
      <c r="CN4037" s="78" t="n"/>
      <c r="CO4037" s="209" t="n"/>
      <c r="CP4037" s="204" t="n"/>
      <c r="CQ4037" s="204" t="n"/>
      <c r="CR4037" s="204" t="n"/>
      <c r="CS4037" s="204" t="n"/>
      <c r="CT4037" s="204" t="n"/>
      <c r="CU4037" s="204" t="n"/>
      <c r="CV4037" s="204" t="n"/>
      <c r="CW4037" s="204" t="n"/>
    </row>
    <row r="4038">
      <c r="BF4038" s="78" t="n"/>
      <c r="BG4038" s="78" t="n"/>
      <c r="BH4038" s="78" t="n"/>
      <c r="BI4038" s="78" t="n"/>
      <c r="BJ4038" s="139" t="n"/>
      <c r="BK4038" s="204" t="n"/>
      <c r="BL4038" s="141" t="n"/>
      <c r="BM4038" s="205" t="n"/>
      <c r="BN4038" s="205" t="n"/>
      <c r="BO4038" s="206" t="n"/>
      <c r="BP4038" s="144" t="n"/>
      <c r="BQ4038" s="141" t="n"/>
      <c r="BR4038" s="207" t="n"/>
      <c r="BS4038" s="207" t="n"/>
      <c r="BT4038" s="207" t="n"/>
      <c r="BU4038" s="207" t="n"/>
      <c r="BV4038" s="208" t="n"/>
      <c r="BW4038" s="207" t="n"/>
      <c r="BX4038" s="207" t="n"/>
      <c r="BY4038" s="204" t="n"/>
      <c r="BZ4038" s="148" t="n"/>
      <c r="CA4038" s="204" t="n"/>
      <c r="CB4038" s="208" t="n"/>
      <c r="CC4038" s="139" t="n"/>
      <c r="CD4038" s="204" t="n"/>
      <c r="CE4038" s="204" t="n"/>
      <c r="CF4038" s="207" t="n"/>
      <c r="CG4038" s="208" t="n"/>
      <c r="CH4038" s="207" t="n"/>
      <c r="CI4038" s="208" t="n"/>
      <c r="CJ4038" s="204" t="n"/>
      <c r="CK4038" s="208" t="n"/>
      <c r="CL4038" s="208" t="n"/>
      <c r="CM4038" s="208" t="n"/>
      <c r="CN4038" s="78" t="n"/>
      <c r="CO4038" s="209" t="n"/>
      <c r="CP4038" s="204" t="n"/>
      <c r="CQ4038" s="204" t="n"/>
      <c r="CR4038" s="204" t="n"/>
      <c r="CS4038" s="204" t="n"/>
      <c r="CT4038" s="204" t="n"/>
      <c r="CU4038" s="204" t="n"/>
      <c r="CV4038" s="204" t="n"/>
      <c r="CW4038" s="204" t="n"/>
    </row>
    <row r="4039">
      <c r="BF4039" s="78" t="n"/>
      <c r="BG4039" s="78" t="n"/>
      <c r="BH4039" s="78" t="n"/>
      <c r="BI4039" s="78" t="n"/>
      <c r="BJ4039" s="139" t="n"/>
      <c r="BK4039" s="204" t="n"/>
      <c r="BL4039" s="141" t="n"/>
      <c r="BM4039" s="205" t="n"/>
      <c r="BN4039" s="205" t="n"/>
      <c r="BO4039" s="206" t="n"/>
      <c r="BP4039" s="144" t="n"/>
      <c r="BQ4039" s="141" t="n"/>
      <c r="BR4039" s="207" t="n"/>
      <c r="BS4039" s="207" t="n"/>
      <c r="BT4039" s="207" t="n"/>
      <c r="BU4039" s="207" t="n"/>
      <c r="BV4039" s="208" t="n"/>
      <c r="BW4039" s="207" t="n"/>
      <c r="BX4039" s="207" t="n"/>
      <c r="BY4039" s="204" t="n"/>
      <c r="BZ4039" s="148" t="n"/>
      <c r="CA4039" s="204" t="n"/>
      <c r="CB4039" s="208" t="n"/>
      <c r="CC4039" s="139" t="n"/>
      <c r="CD4039" s="204" t="n"/>
      <c r="CE4039" s="204" t="n"/>
      <c r="CF4039" s="207" t="n"/>
      <c r="CG4039" s="208" t="n"/>
      <c r="CH4039" s="207" t="n"/>
      <c r="CI4039" s="208" t="n"/>
      <c r="CJ4039" s="204" t="n"/>
      <c r="CK4039" s="208" t="n"/>
      <c r="CL4039" s="208" t="n"/>
      <c r="CM4039" s="208" t="n"/>
      <c r="CN4039" s="78" t="n"/>
      <c r="CO4039" s="209" t="n"/>
      <c r="CP4039" s="204" t="n"/>
      <c r="CQ4039" s="204" t="n"/>
      <c r="CR4039" s="204" t="n"/>
      <c r="CS4039" s="204" t="n"/>
      <c r="CT4039" s="204" t="n"/>
      <c r="CU4039" s="204" t="n"/>
      <c r="CV4039" s="204" t="n"/>
      <c r="CW4039" s="204" t="n"/>
    </row>
    <row r="4040">
      <c r="BF4040" s="78" t="n"/>
      <c r="BG4040" s="78" t="n"/>
      <c r="BH4040" s="78" t="n"/>
      <c r="BI4040" s="78" t="n"/>
      <c r="BJ4040" s="139" t="n"/>
      <c r="BK4040" s="204" t="n"/>
      <c r="BL4040" s="141" t="n"/>
      <c r="BM4040" s="205" t="n"/>
      <c r="BN4040" s="205" t="n"/>
      <c r="BO4040" s="206" t="n"/>
      <c r="BP4040" s="144" t="n"/>
      <c r="BQ4040" s="141" t="n"/>
      <c r="BR4040" s="207" t="n"/>
      <c r="BS4040" s="207" t="n"/>
      <c r="BT4040" s="207" t="n"/>
      <c r="BU4040" s="207" t="n"/>
      <c r="BV4040" s="208" t="n"/>
      <c r="BW4040" s="207" t="n"/>
      <c r="BX4040" s="207" t="n"/>
      <c r="BY4040" s="204" t="n"/>
      <c r="BZ4040" s="148" t="n"/>
      <c r="CA4040" s="204" t="n"/>
      <c r="CB4040" s="208" t="n"/>
      <c r="CC4040" s="139" t="n"/>
      <c r="CD4040" s="204" t="n"/>
      <c r="CE4040" s="204" t="n"/>
      <c r="CF4040" s="207" t="n"/>
      <c r="CG4040" s="208" t="n"/>
      <c r="CH4040" s="207" t="n"/>
      <c r="CI4040" s="208" t="n"/>
      <c r="CJ4040" s="204" t="n"/>
      <c r="CK4040" s="208" t="n"/>
      <c r="CL4040" s="208" t="n"/>
      <c r="CM4040" s="208" t="n"/>
      <c r="CN4040" s="78" t="n"/>
      <c r="CO4040" s="209" t="n"/>
      <c r="CP4040" s="204" t="n"/>
      <c r="CQ4040" s="204" t="n"/>
      <c r="CR4040" s="204" t="n"/>
      <c r="CS4040" s="204" t="n"/>
      <c r="CT4040" s="204" t="n"/>
      <c r="CU4040" s="204" t="n"/>
      <c r="CV4040" s="204" t="n"/>
      <c r="CW4040" s="204" t="n"/>
    </row>
    <row r="4041">
      <c r="BF4041" s="78" t="n"/>
      <c r="BG4041" s="78" t="n"/>
      <c r="BH4041" s="78" t="n"/>
      <c r="BI4041" s="78" t="n"/>
      <c r="BJ4041" s="139" t="n"/>
      <c r="BK4041" s="204" t="n"/>
      <c r="BL4041" s="141" t="n"/>
      <c r="BM4041" s="205" t="n"/>
      <c r="BN4041" s="205" t="n"/>
      <c r="BO4041" s="206" t="n"/>
      <c r="BP4041" s="144" t="n"/>
      <c r="BQ4041" s="141" t="n"/>
      <c r="BR4041" s="207" t="n"/>
      <c r="BS4041" s="207" t="n"/>
      <c r="BT4041" s="207" t="n"/>
      <c r="BU4041" s="207" t="n"/>
      <c r="BV4041" s="208" t="n"/>
      <c r="BW4041" s="207" t="n"/>
      <c r="BX4041" s="207" t="n"/>
      <c r="BY4041" s="204" t="n"/>
      <c r="BZ4041" s="148" t="n"/>
      <c r="CA4041" s="204" t="n"/>
      <c r="CB4041" s="208" t="n"/>
      <c r="CC4041" s="139" t="n"/>
      <c r="CD4041" s="204" t="n"/>
      <c r="CE4041" s="204" t="n"/>
      <c r="CF4041" s="207" t="n"/>
      <c r="CG4041" s="208" t="n"/>
      <c r="CH4041" s="207" t="n"/>
      <c r="CI4041" s="208" t="n"/>
      <c r="CJ4041" s="204" t="n"/>
      <c r="CK4041" s="208" t="n"/>
      <c r="CL4041" s="208" t="n"/>
      <c r="CM4041" s="208" t="n"/>
      <c r="CN4041" s="78" t="n"/>
      <c r="CO4041" s="209" t="n"/>
      <c r="CP4041" s="204" t="n"/>
      <c r="CQ4041" s="204" t="n"/>
      <c r="CR4041" s="204" t="n"/>
      <c r="CS4041" s="204" t="n"/>
      <c r="CT4041" s="204" t="n"/>
      <c r="CU4041" s="204" t="n"/>
      <c r="CV4041" s="204" t="n"/>
      <c r="CW4041" s="204" t="n"/>
    </row>
    <row r="4042">
      <c r="BF4042" s="78" t="n"/>
      <c r="BG4042" s="78" t="n"/>
      <c r="BH4042" s="78" t="n"/>
      <c r="BI4042" s="78" t="n"/>
      <c r="BJ4042" s="139" t="n"/>
      <c r="BK4042" s="204" t="n"/>
      <c r="BL4042" s="141" t="n"/>
      <c r="BM4042" s="205" t="n"/>
      <c r="BN4042" s="205" t="n"/>
      <c r="BO4042" s="206" t="n"/>
      <c r="BP4042" s="144" t="n"/>
      <c r="BQ4042" s="141" t="n"/>
      <c r="BR4042" s="207" t="n"/>
      <c r="BS4042" s="207" t="n"/>
      <c r="BT4042" s="207" t="n"/>
      <c r="BU4042" s="207" t="n"/>
      <c r="BV4042" s="208" t="n"/>
      <c r="BW4042" s="207" t="n"/>
      <c r="BX4042" s="207" t="n"/>
      <c r="BY4042" s="204" t="n"/>
      <c r="BZ4042" s="148" t="n"/>
      <c r="CA4042" s="204" t="n"/>
      <c r="CB4042" s="208" t="n"/>
      <c r="CC4042" s="139" t="n"/>
      <c r="CD4042" s="204" t="n"/>
      <c r="CE4042" s="204" t="n"/>
      <c r="CF4042" s="207" t="n"/>
      <c r="CG4042" s="208" t="n"/>
      <c r="CH4042" s="207" t="n"/>
      <c r="CI4042" s="208" t="n"/>
      <c r="CJ4042" s="204" t="n"/>
      <c r="CK4042" s="208" t="n"/>
      <c r="CL4042" s="208" t="n"/>
      <c r="CM4042" s="208" t="n"/>
      <c r="CN4042" s="78" t="n"/>
      <c r="CO4042" s="209" t="n"/>
      <c r="CP4042" s="204" t="n"/>
      <c r="CQ4042" s="204" t="n"/>
      <c r="CR4042" s="204" t="n"/>
      <c r="CS4042" s="204" t="n"/>
      <c r="CT4042" s="204" t="n"/>
      <c r="CU4042" s="204" t="n"/>
      <c r="CV4042" s="204" t="n"/>
      <c r="CW4042" s="204" t="n"/>
    </row>
    <row r="4043">
      <c r="BF4043" s="78" t="n"/>
      <c r="BG4043" s="78" t="n"/>
      <c r="BH4043" s="78" t="n"/>
      <c r="BI4043" s="78" t="n"/>
      <c r="BJ4043" s="139" t="n"/>
      <c r="BK4043" s="204" t="n"/>
      <c r="BL4043" s="141" t="n"/>
      <c r="BM4043" s="205" t="n"/>
      <c r="BN4043" s="205" t="n"/>
      <c r="BO4043" s="206" t="n"/>
      <c r="BP4043" s="144" t="n"/>
      <c r="BQ4043" s="141" t="n"/>
      <c r="BR4043" s="207" t="n"/>
      <c r="BS4043" s="207" t="n"/>
      <c r="BT4043" s="207" t="n"/>
      <c r="BU4043" s="207" t="n"/>
      <c r="BV4043" s="208" t="n"/>
      <c r="BW4043" s="207" t="n"/>
      <c r="BX4043" s="207" t="n"/>
      <c r="BY4043" s="204" t="n"/>
      <c r="BZ4043" s="148" t="n"/>
      <c r="CA4043" s="204" t="n"/>
      <c r="CB4043" s="208" t="n"/>
      <c r="CC4043" s="139" t="n"/>
      <c r="CD4043" s="204" t="n"/>
      <c r="CE4043" s="204" t="n"/>
      <c r="CF4043" s="207" t="n"/>
      <c r="CG4043" s="208" t="n"/>
      <c r="CH4043" s="207" t="n"/>
      <c r="CI4043" s="208" t="n"/>
      <c r="CJ4043" s="204" t="n"/>
      <c r="CK4043" s="208" t="n"/>
      <c r="CL4043" s="208" t="n"/>
      <c r="CM4043" s="208" t="n"/>
      <c r="CN4043" s="78" t="n"/>
      <c r="CO4043" s="209" t="n"/>
      <c r="CP4043" s="204" t="n"/>
      <c r="CQ4043" s="204" t="n"/>
      <c r="CR4043" s="204" t="n"/>
      <c r="CS4043" s="204" t="n"/>
      <c r="CT4043" s="204" t="n"/>
      <c r="CU4043" s="204" t="n"/>
      <c r="CV4043" s="204" t="n"/>
      <c r="CW4043" s="204" t="n"/>
    </row>
    <row r="4044">
      <c r="BF4044" s="78" t="n"/>
      <c r="BG4044" s="78" t="n"/>
      <c r="BH4044" s="78" t="n"/>
      <c r="BI4044" s="78" t="n"/>
      <c r="BJ4044" s="139" t="n"/>
      <c r="BK4044" s="204" t="n"/>
      <c r="BL4044" s="141" t="n"/>
      <c r="BM4044" s="205" t="n"/>
      <c r="BN4044" s="205" t="n"/>
      <c r="BO4044" s="206" t="n"/>
      <c r="BP4044" s="144" t="n"/>
      <c r="BQ4044" s="141" t="n"/>
      <c r="BR4044" s="207" t="n"/>
      <c r="BS4044" s="207" t="n"/>
      <c r="BT4044" s="207" t="n"/>
      <c r="BU4044" s="207" t="n"/>
      <c r="BV4044" s="208" t="n"/>
      <c r="BW4044" s="207" t="n"/>
      <c r="BX4044" s="207" t="n"/>
      <c r="BY4044" s="204" t="n"/>
      <c r="BZ4044" s="148" t="n"/>
      <c r="CA4044" s="204" t="n"/>
      <c r="CB4044" s="208" t="n"/>
      <c r="CC4044" s="139" t="n"/>
      <c r="CD4044" s="204" t="n"/>
      <c r="CE4044" s="204" t="n"/>
      <c r="CF4044" s="207" t="n"/>
      <c r="CG4044" s="208" t="n"/>
      <c r="CH4044" s="207" t="n"/>
      <c r="CI4044" s="208" t="n"/>
      <c r="CJ4044" s="204" t="n"/>
      <c r="CK4044" s="208" t="n"/>
      <c r="CL4044" s="208" t="n"/>
      <c r="CM4044" s="208" t="n"/>
      <c r="CN4044" s="78" t="n"/>
      <c r="CO4044" s="209" t="n"/>
      <c r="CP4044" s="204" t="n"/>
      <c r="CQ4044" s="204" t="n"/>
      <c r="CR4044" s="204" t="n"/>
      <c r="CS4044" s="204" t="n"/>
      <c r="CT4044" s="204" t="n"/>
      <c r="CU4044" s="204" t="n"/>
      <c r="CV4044" s="204" t="n"/>
      <c r="CW4044" s="204" t="n"/>
    </row>
    <row r="4045">
      <c r="BF4045" s="78" t="n"/>
      <c r="BG4045" s="78" t="n"/>
      <c r="BH4045" s="78" t="n"/>
      <c r="BI4045" s="78" t="n"/>
      <c r="BJ4045" s="139" t="n"/>
      <c r="BK4045" s="204" t="n"/>
      <c r="BL4045" s="141" t="n"/>
      <c r="BM4045" s="205" t="n"/>
      <c r="BN4045" s="205" t="n"/>
      <c r="BO4045" s="206" t="n"/>
      <c r="BP4045" s="144" t="n"/>
      <c r="BQ4045" s="141" t="n"/>
      <c r="BR4045" s="207" t="n"/>
      <c r="BS4045" s="207" t="n"/>
      <c r="BT4045" s="207" t="n"/>
      <c r="BU4045" s="207" t="n"/>
      <c r="BV4045" s="208" t="n"/>
      <c r="BW4045" s="207" t="n"/>
      <c r="BX4045" s="207" t="n"/>
      <c r="BY4045" s="204" t="n"/>
      <c r="BZ4045" s="148" t="n"/>
      <c r="CA4045" s="204" t="n"/>
      <c r="CB4045" s="208" t="n"/>
      <c r="CC4045" s="139" t="n"/>
      <c r="CD4045" s="204" t="n"/>
      <c r="CE4045" s="204" t="n"/>
      <c r="CF4045" s="207" t="n"/>
      <c r="CG4045" s="208" t="n"/>
      <c r="CH4045" s="207" t="n"/>
      <c r="CI4045" s="208" t="n"/>
      <c r="CJ4045" s="204" t="n"/>
      <c r="CK4045" s="208" t="n"/>
      <c r="CL4045" s="208" t="n"/>
      <c r="CM4045" s="208" t="n"/>
      <c r="CN4045" s="78" t="n"/>
      <c r="CO4045" s="209" t="n"/>
      <c r="CP4045" s="204" t="n"/>
      <c r="CQ4045" s="204" t="n"/>
      <c r="CR4045" s="204" t="n"/>
      <c r="CS4045" s="204" t="n"/>
      <c r="CT4045" s="204" t="n"/>
      <c r="CU4045" s="204" t="n"/>
      <c r="CV4045" s="204" t="n"/>
      <c r="CW4045" s="204" t="n"/>
    </row>
    <row r="4046">
      <c r="BF4046" s="78" t="n"/>
      <c r="BG4046" s="78" t="n"/>
      <c r="BH4046" s="78" t="n"/>
      <c r="BI4046" s="78" t="n"/>
      <c r="BJ4046" s="139" t="n"/>
      <c r="BK4046" s="204" t="n"/>
      <c r="BL4046" s="141" t="n"/>
      <c r="BM4046" s="205" t="n"/>
      <c r="BN4046" s="205" t="n"/>
      <c r="BO4046" s="206" t="n"/>
      <c r="BP4046" s="144" t="n"/>
      <c r="BQ4046" s="141" t="n"/>
      <c r="BR4046" s="207" t="n"/>
      <c r="BS4046" s="207" t="n"/>
      <c r="BT4046" s="207" t="n"/>
      <c r="BU4046" s="207" t="n"/>
      <c r="BV4046" s="208" t="n"/>
      <c r="BW4046" s="207" t="n"/>
      <c r="BX4046" s="207" t="n"/>
      <c r="BY4046" s="204" t="n"/>
      <c r="BZ4046" s="148" t="n"/>
      <c r="CA4046" s="204" t="n"/>
      <c r="CB4046" s="208" t="n"/>
      <c r="CC4046" s="139" t="n"/>
      <c r="CD4046" s="204" t="n"/>
      <c r="CE4046" s="204" t="n"/>
      <c r="CF4046" s="207" t="n"/>
      <c r="CG4046" s="208" t="n"/>
      <c r="CH4046" s="207" t="n"/>
      <c r="CI4046" s="208" t="n"/>
      <c r="CJ4046" s="204" t="n"/>
      <c r="CK4046" s="208" t="n"/>
      <c r="CL4046" s="208" t="n"/>
      <c r="CM4046" s="208" t="n"/>
      <c r="CN4046" s="78" t="n"/>
      <c r="CO4046" s="209" t="n"/>
      <c r="CP4046" s="204" t="n"/>
      <c r="CQ4046" s="204" t="n"/>
      <c r="CR4046" s="204" t="n"/>
      <c r="CS4046" s="204" t="n"/>
      <c r="CT4046" s="204" t="n"/>
      <c r="CU4046" s="204" t="n"/>
      <c r="CV4046" s="204" t="n"/>
      <c r="CW4046" s="204" t="n"/>
    </row>
    <row r="4047">
      <c r="BF4047" s="78" t="n"/>
      <c r="BG4047" s="78" t="n"/>
      <c r="BH4047" s="78" t="n"/>
      <c r="BI4047" s="78" t="n"/>
      <c r="BJ4047" s="139" t="n"/>
      <c r="BK4047" s="204" t="n"/>
      <c r="BL4047" s="141" t="n"/>
      <c r="BM4047" s="205" t="n"/>
      <c r="BN4047" s="205" t="n"/>
      <c r="BO4047" s="206" t="n"/>
      <c r="BP4047" s="144" t="n"/>
      <c r="BQ4047" s="141" t="n"/>
      <c r="BR4047" s="207" t="n"/>
      <c r="BS4047" s="207" t="n"/>
      <c r="BT4047" s="207" t="n"/>
      <c r="BU4047" s="207" t="n"/>
      <c r="BV4047" s="208" t="n"/>
      <c r="BW4047" s="207" t="n"/>
      <c r="BX4047" s="207" t="n"/>
      <c r="BY4047" s="204" t="n"/>
      <c r="BZ4047" s="148" t="n"/>
      <c r="CA4047" s="204" t="n"/>
      <c r="CB4047" s="208" t="n"/>
      <c r="CC4047" s="139" t="n"/>
      <c r="CD4047" s="204" t="n"/>
      <c r="CE4047" s="204" t="n"/>
      <c r="CF4047" s="207" t="n"/>
      <c r="CG4047" s="208" t="n"/>
      <c r="CH4047" s="207" t="n"/>
      <c r="CI4047" s="208" t="n"/>
      <c r="CJ4047" s="204" t="n"/>
      <c r="CK4047" s="208" t="n"/>
      <c r="CL4047" s="208" t="n"/>
      <c r="CM4047" s="208" t="n"/>
      <c r="CN4047" s="78" t="n"/>
      <c r="CO4047" s="209" t="n"/>
      <c r="CP4047" s="204" t="n"/>
      <c r="CQ4047" s="204" t="n"/>
      <c r="CR4047" s="204" t="n"/>
      <c r="CS4047" s="204" t="n"/>
      <c r="CT4047" s="204" t="n"/>
      <c r="CU4047" s="204" t="n"/>
      <c r="CV4047" s="204" t="n"/>
      <c r="CW4047" s="204" t="n"/>
    </row>
    <row r="4048">
      <c r="BF4048" s="78" t="n"/>
      <c r="BG4048" s="78" t="n"/>
      <c r="BH4048" s="78" t="n"/>
      <c r="BI4048" s="78" t="n"/>
      <c r="BJ4048" s="139" t="n"/>
      <c r="BK4048" s="204" t="n"/>
      <c r="BL4048" s="141" t="n"/>
      <c r="BM4048" s="205" t="n"/>
      <c r="BN4048" s="205" t="n"/>
      <c r="BO4048" s="206" t="n"/>
      <c r="BP4048" s="144" t="n"/>
      <c r="BQ4048" s="141" t="n"/>
      <c r="BR4048" s="207" t="n"/>
      <c r="BS4048" s="207" t="n"/>
      <c r="BT4048" s="207" t="n"/>
      <c r="BU4048" s="207" t="n"/>
      <c r="BV4048" s="208" t="n"/>
      <c r="BW4048" s="207" t="n"/>
      <c r="BX4048" s="207" t="n"/>
      <c r="BY4048" s="204" t="n"/>
      <c r="BZ4048" s="148" t="n"/>
      <c r="CA4048" s="204" t="n"/>
      <c r="CB4048" s="208" t="n"/>
      <c r="CC4048" s="139" t="n"/>
      <c r="CD4048" s="204" t="n"/>
      <c r="CE4048" s="204" t="n"/>
      <c r="CF4048" s="207" t="n"/>
      <c r="CG4048" s="208" t="n"/>
      <c r="CH4048" s="207" t="n"/>
      <c r="CI4048" s="208" t="n"/>
      <c r="CJ4048" s="204" t="n"/>
      <c r="CK4048" s="208" t="n"/>
      <c r="CL4048" s="208" t="n"/>
      <c r="CM4048" s="208" t="n"/>
      <c r="CN4048" s="78" t="n"/>
      <c r="CO4048" s="209" t="n"/>
      <c r="CP4048" s="204" t="n"/>
      <c r="CQ4048" s="204" t="n"/>
      <c r="CR4048" s="204" t="n"/>
      <c r="CS4048" s="204" t="n"/>
      <c r="CT4048" s="204" t="n"/>
      <c r="CU4048" s="204" t="n"/>
      <c r="CV4048" s="204" t="n"/>
      <c r="CW4048" s="204" t="n"/>
    </row>
    <row r="4049">
      <c r="BF4049" s="78" t="n"/>
      <c r="BG4049" s="78" t="n"/>
      <c r="BH4049" s="78" t="n"/>
      <c r="BI4049" s="78" t="n"/>
      <c r="BJ4049" s="139" t="n"/>
      <c r="BK4049" s="204" t="n"/>
      <c r="BL4049" s="141" t="n"/>
      <c r="BM4049" s="205" t="n"/>
      <c r="BN4049" s="205" t="n"/>
      <c r="BO4049" s="206" t="n"/>
      <c r="BP4049" s="144" t="n"/>
      <c r="BQ4049" s="141" t="n"/>
      <c r="BR4049" s="207" t="n"/>
      <c r="BS4049" s="207" t="n"/>
      <c r="BT4049" s="207" t="n"/>
      <c r="BU4049" s="207" t="n"/>
      <c r="BV4049" s="208" t="n"/>
      <c r="BW4049" s="207" t="n"/>
      <c r="BX4049" s="207" t="n"/>
      <c r="BY4049" s="204" t="n"/>
      <c r="BZ4049" s="148" t="n"/>
      <c r="CA4049" s="204" t="n"/>
      <c r="CB4049" s="208" t="n"/>
      <c r="CC4049" s="139" t="n"/>
      <c r="CD4049" s="204" t="n"/>
      <c r="CE4049" s="204" t="n"/>
      <c r="CF4049" s="207" t="n"/>
      <c r="CG4049" s="208" t="n"/>
      <c r="CH4049" s="207" t="n"/>
      <c r="CI4049" s="208" t="n"/>
      <c r="CJ4049" s="204" t="n"/>
      <c r="CK4049" s="208" t="n"/>
      <c r="CL4049" s="208" t="n"/>
      <c r="CM4049" s="208" t="n"/>
      <c r="CN4049" s="78" t="n"/>
      <c r="CO4049" s="209" t="n"/>
      <c r="CP4049" s="204" t="n"/>
      <c r="CQ4049" s="204" t="n"/>
      <c r="CR4049" s="204" t="n"/>
      <c r="CS4049" s="204" t="n"/>
      <c r="CT4049" s="204" t="n"/>
      <c r="CU4049" s="204" t="n"/>
      <c r="CV4049" s="204" t="n"/>
      <c r="CW4049" s="204" t="n"/>
    </row>
    <row r="4050">
      <c r="BF4050" s="78" t="n"/>
      <c r="BG4050" s="78" t="n"/>
      <c r="BH4050" s="78" t="n"/>
      <c r="BI4050" s="78" t="n"/>
      <c r="BJ4050" s="139" t="n"/>
      <c r="BK4050" s="204" t="n"/>
      <c r="BL4050" s="141" t="n"/>
      <c r="BM4050" s="205" t="n"/>
      <c r="BN4050" s="205" t="n"/>
      <c r="BO4050" s="206" t="n"/>
      <c r="BP4050" s="144" t="n"/>
      <c r="BQ4050" s="141" t="n"/>
      <c r="BR4050" s="207" t="n"/>
      <c r="BS4050" s="207" t="n"/>
      <c r="BT4050" s="207" t="n"/>
      <c r="BU4050" s="207" t="n"/>
      <c r="BV4050" s="208" t="n"/>
      <c r="BW4050" s="207" t="n"/>
      <c r="BX4050" s="207" t="n"/>
      <c r="BY4050" s="204" t="n"/>
      <c r="BZ4050" s="148" t="n"/>
      <c r="CA4050" s="204" t="n"/>
      <c r="CB4050" s="208" t="n"/>
      <c r="CC4050" s="139" t="n"/>
      <c r="CD4050" s="204" t="n"/>
      <c r="CE4050" s="204" t="n"/>
      <c r="CF4050" s="207" t="n"/>
      <c r="CG4050" s="208" t="n"/>
      <c r="CH4050" s="207" t="n"/>
      <c r="CI4050" s="208" t="n"/>
      <c r="CJ4050" s="204" t="n"/>
      <c r="CK4050" s="208" t="n"/>
      <c r="CL4050" s="208" t="n"/>
      <c r="CM4050" s="208" t="n"/>
      <c r="CN4050" s="78" t="n"/>
      <c r="CO4050" s="209" t="n"/>
      <c r="CP4050" s="204" t="n"/>
      <c r="CQ4050" s="204" t="n"/>
      <c r="CR4050" s="204" t="n"/>
      <c r="CS4050" s="204" t="n"/>
      <c r="CT4050" s="204" t="n"/>
      <c r="CU4050" s="204" t="n"/>
      <c r="CV4050" s="204" t="n"/>
      <c r="CW4050" s="204" t="n"/>
    </row>
    <row r="4051">
      <c r="BF4051" s="78" t="n"/>
      <c r="BG4051" s="78" t="n"/>
      <c r="BH4051" s="78" t="n"/>
      <c r="BI4051" s="78" t="n"/>
      <c r="BJ4051" s="139" t="n"/>
      <c r="BK4051" s="204" t="n"/>
      <c r="BL4051" s="141" t="n"/>
      <c r="BM4051" s="205" t="n"/>
      <c r="BN4051" s="205" t="n"/>
      <c r="BO4051" s="206" t="n"/>
      <c r="BP4051" s="144" t="n"/>
      <c r="BQ4051" s="141" t="n"/>
      <c r="BR4051" s="207" t="n"/>
      <c r="BS4051" s="207" t="n"/>
      <c r="BT4051" s="207" t="n"/>
      <c r="BU4051" s="207" t="n"/>
      <c r="BV4051" s="208" t="n"/>
      <c r="BW4051" s="207" t="n"/>
      <c r="BX4051" s="207" t="n"/>
      <c r="BY4051" s="204" t="n"/>
      <c r="BZ4051" s="148" t="n"/>
      <c r="CA4051" s="204" t="n"/>
      <c r="CB4051" s="208" t="n"/>
      <c r="CC4051" s="139" t="n"/>
      <c r="CD4051" s="204" t="n"/>
      <c r="CE4051" s="204" t="n"/>
      <c r="CF4051" s="207" t="n"/>
      <c r="CG4051" s="208" t="n"/>
      <c r="CH4051" s="207" t="n"/>
      <c r="CI4051" s="208" t="n"/>
      <c r="CJ4051" s="204" t="n"/>
      <c r="CK4051" s="208" t="n"/>
      <c r="CL4051" s="208" t="n"/>
      <c r="CM4051" s="208" t="n"/>
      <c r="CN4051" s="78" t="n"/>
      <c r="CO4051" s="209" t="n"/>
      <c r="CP4051" s="204" t="n"/>
      <c r="CQ4051" s="204" t="n"/>
      <c r="CR4051" s="204" t="n"/>
      <c r="CS4051" s="204" t="n"/>
      <c r="CT4051" s="204" t="n"/>
      <c r="CU4051" s="204" t="n"/>
      <c r="CV4051" s="204" t="n"/>
      <c r="CW4051" s="204" t="n"/>
    </row>
    <row r="4052">
      <c r="BF4052" s="78" t="n"/>
      <c r="BG4052" s="78" t="n"/>
      <c r="BH4052" s="78" t="n"/>
      <c r="BI4052" s="78" t="n"/>
      <c r="BJ4052" s="139" t="n"/>
      <c r="BK4052" s="204" t="n"/>
      <c r="BL4052" s="141" t="n"/>
      <c r="BM4052" s="205" t="n"/>
      <c r="BN4052" s="205" t="n"/>
      <c r="BO4052" s="206" t="n"/>
      <c r="BP4052" s="144" t="n"/>
      <c r="BQ4052" s="141" t="n"/>
      <c r="BR4052" s="207" t="n"/>
      <c r="BS4052" s="207" t="n"/>
      <c r="BT4052" s="207" t="n"/>
      <c r="BU4052" s="207" t="n"/>
      <c r="BV4052" s="208" t="n"/>
      <c r="BW4052" s="207" t="n"/>
      <c r="BX4052" s="207" t="n"/>
      <c r="BY4052" s="204" t="n"/>
      <c r="BZ4052" s="148" t="n"/>
      <c r="CA4052" s="204" t="n"/>
      <c r="CB4052" s="208" t="n"/>
      <c r="CC4052" s="139" t="n"/>
      <c r="CD4052" s="204" t="n"/>
      <c r="CE4052" s="204" t="n"/>
      <c r="CF4052" s="207" t="n"/>
      <c r="CG4052" s="208" t="n"/>
      <c r="CH4052" s="207" t="n"/>
      <c r="CI4052" s="208" t="n"/>
      <c r="CJ4052" s="204" t="n"/>
      <c r="CK4052" s="208" t="n"/>
      <c r="CL4052" s="208" t="n"/>
      <c r="CM4052" s="208" t="n"/>
      <c r="CN4052" s="78" t="n"/>
      <c r="CO4052" s="209" t="n"/>
      <c r="CP4052" s="204" t="n"/>
      <c r="CQ4052" s="204" t="n"/>
      <c r="CR4052" s="204" t="n"/>
      <c r="CS4052" s="204" t="n"/>
      <c r="CT4052" s="204" t="n"/>
      <c r="CU4052" s="204" t="n"/>
      <c r="CV4052" s="204" t="n"/>
      <c r="CW4052" s="204" t="n"/>
    </row>
    <row r="4053">
      <c r="BF4053" s="78" t="n"/>
      <c r="BG4053" s="78" t="n"/>
      <c r="BH4053" s="78" t="n"/>
      <c r="BI4053" s="78" t="n"/>
      <c r="BJ4053" s="139" t="n"/>
      <c r="BK4053" s="204" t="n"/>
      <c r="BL4053" s="141" t="n"/>
      <c r="BM4053" s="205" t="n"/>
      <c r="BN4053" s="205" t="n"/>
      <c r="BO4053" s="206" t="n"/>
      <c r="BP4053" s="144" t="n"/>
      <c r="BQ4053" s="141" t="n"/>
      <c r="BR4053" s="207" t="n"/>
      <c r="BS4053" s="207" t="n"/>
      <c r="BT4053" s="207" t="n"/>
      <c r="BU4053" s="207" t="n"/>
      <c r="BV4053" s="208" t="n"/>
      <c r="BW4053" s="207" t="n"/>
      <c r="BX4053" s="207" t="n"/>
      <c r="BY4053" s="204" t="n"/>
      <c r="BZ4053" s="148" t="n"/>
      <c r="CA4053" s="204" t="n"/>
      <c r="CB4053" s="208" t="n"/>
      <c r="CC4053" s="139" t="n"/>
      <c r="CD4053" s="204" t="n"/>
      <c r="CE4053" s="204" t="n"/>
      <c r="CF4053" s="207" t="n"/>
      <c r="CG4053" s="208" t="n"/>
      <c r="CH4053" s="207" t="n"/>
      <c r="CI4053" s="208" t="n"/>
      <c r="CJ4053" s="204" t="n"/>
      <c r="CK4053" s="208" t="n"/>
      <c r="CL4053" s="208" t="n"/>
      <c r="CM4053" s="208" t="n"/>
      <c r="CN4053" s="78" t="n"/>
      <c r="CO4053" s="209" t="n"/>
      <c r="CP4053" s="204" t="n"/>
      <c r="CQ4053" s="204" t="n"/>
      <c r="CR4053" s="204" t="n"/>
      <c r="CS4053" s="204" t="n"/>
      <c r="CT4053" s="204" t="n"/>
      <c r="CU4053" s="204" t="n"/>
      <c r="CV4053" s="204" t="n"/>
      <c r="CW4053" s="204" t="n"/>
    </row>
    <row r="4054">
      <c r="BF4054" s="78" t="n"/>
      <c r="BG4054" s="78" t="n"/>
      <c r="BH4054" s="78" t="n"/>
      <c r="BI4054" s="78" t="n"/>
      <c r="BJ4054" s="139" t="n"/>
      <c r="BK4054" s="204" t="n"/>
      <c r="BL4054" s="141" t="n"/>
      <c r="BM4054" s="205" t="n"/>
      <c r="BN4054" s="205" t="n"/>
      <c r="BO4054" s="206" t="n"/>
      <c r="BP4054" s="144" t="n"/>
      <c r="BQ4054" s="141" t="n"/>
      <c r="BR4054" s="207" t="n"/>
      <c r="BS4054" s="207" t="n"/>
      <c r="BT4054" s="207" t="n"/>
      <c r="BU4054" s="207" t="n"/>
      <c r="BV4054" s="208" t="n"/>
      <c r="BW4054" s="207" t="n"/>
      <c r="BX4054" s="207" t="n"/>
      <c r="BY4054" s="204" t="n"/>
      <c r="BZ4054" s="148" t="n"/>
      <c r="CA4054" s="204" t="n"/>
      <c r="CB4054" s="208" t="n"/>
      <c r="CC4054" s="139" t="n"/>
      <c r="CD4054" s="204" t="n"/>
      <c r="CE4054" s="204" t="n"/>
      <c r="CF4054" s="207" t="n"/>
      <c r="CG4054" s="208" t="n"/>
      <c r="CH4054" s="207" t="n"/>
      <c r="CI4054" s="208" t="n"/>
      <c r="CJ4054" s="204" t="n"/>
      <c r="CK4054" s="208" t="n"/>
      <c r="CL4054" s="208" t="n"/>
      <c r="CM4054" s="208" t="n"/>
      <c r="CN4054" s="78" t="n"/>
      <c r="CO4054" s="209" t="n"/>
      <c r="CP4054" s="204" t="n"/>
      <c r="CQ4054" s="204" t="n"/>
      <c r="CR4054" s="204" t="n"/>
      <c r="CS4054" s="204" t="n"/>
      <c r="CT4054" s="204" t="n"/>
      <c r="CU4054" s="204" t="n"/>
      <c r="CV4054" s="204" t="n"/>
      <c r="CW4054" s="204" t="n"/>
    </row>
    <row r="4055">
      <c r="BF4055" s="78" t="n"/>
      <c r="BG4055" s="78" t="n"/>
      <c r="BH4055" s="78" t="n"/>
      <c r="BI4055" s="78" t="n"/>
      <c r="BJ4055" s="139" t="n"/>
      <c r="BK4055" s="204" t="n"/>
      <c r="BL4055" s="141" t="n"/>
      <c r="BM4055" s="205" t="n"/>
      <c r="BN4055" s="205" t="n"/>
      <c r="BO4055" s="206" t="n"/>
      <c r="BP4055" s="144" t="n"/>
      <c r="BQ4055" s="141" t="n"/>
      <c r="BR4055" s="207" t="n"/>
      <c r="BS4055" s="207" t="n"/>
      <c r="BT4055" s="207" t="n"/>
      <c r="BU4055" s="207" t="n"/>
      <c r="BV4055" s="208" t="n"/>
      <c r="BW4055" s="207" t="n"/>
      <c r="BX4055" s="207" t="n"/>
      <c r="BY4055" s="204" t="n"/>
      <c r="BZ4055" s="148" t="n"/>
      <c r="CA4055" s="204" t="n"/>
      <c r="CB4055" s="208" t="n"/>
      <c r="CC4055" s="139" t="n"/>
      <c r="CD4055" s="204" t="n"/>
      <c r="CE4055" s="204" t="n"/>
      <c r="CF4055" s="207" t="n"/>
      <c r="CG4055" s="208" t="n"/>
      <c r="CH4055" s="207" t="n"/>
      <c r="CI4055" s="208" t="n"/>
      <c r="CJ4055" s="204" t="n"/>
      <c r="CK4055" s="208" t="n"/>
      <c r="CL4055" s="208" t="n"/>
      <c r="CM4055" s="208" t="n"/>
      <c r="CN4055" s="78" t="n"/>
      <c r="CO4055" s="209" t="n"/>
      <c r="CP4055" s="204" t="n"/>
      <c r="CQ4055" s="204" t="n"/>
      <c r="CR4055" s="204" t="n"/>
      <c r="CS4055" s="204" t="n"/>
      <c r="CT4055" s="204" t="n"/>
      <c r="CU4055" s="204" t="n"/>
      <c r="CV4055" s="204" t="n"/>
      <c r="CW4055" s="204" t="n"/>
    </row>
    <row r="4056">
      <c r="BF4056" s="78" t="n"/>
      <c r="BG4056" s="78" t="n"/>
      <c r="BH4056" s="78" t="n"/>
      <c r="BI4056" s="78" t="n"/>
      <c r="BJ4056" s="139" t="n"/>
      <c r="BK4056" s="204" t="n"/>
      <c r="BL4056" s="141" t="n"/>
      <c r="BM4056" s="205" t="n"/>
      <c r="BN4056" s="205" t="n"/>
      <c r="BO4056" s="206" t="n"/>
      <c r="BP4056" s="144" t="n"/>
      <c r="BQ4056" s="141" t="n"/>
      <c r="BR4056" s="207" t="n"/>
      <c r="BS4056" s="207" t="n"/>
      <c r="BT4056" s="207" t="n"/>
      <c r="BU4056" s="207" t="n"/>
      <c r="BV4056" s="208" t="n"/>
      <c r="BW4056" s="207" t="n"/>
      <c r="BX4056" s="207" t="n"/>
      <c r="BY4056" s="204" t="n"/>
      <c r="BZ4056" s="148" t="n"/>
      <c r="CA4056" s="204" t="n"/>
      <c r="CB4056" s="208" t="n"/>
      <c r="CC4056" s="139" t="n"/>
      <c r="CD4056" s="204" t="n"/>
      <c r="CE4056" s="204" t="n"/>
      <c r="CF4056" s="207" t="n"/>
      <c r="CG4056" s="208" t="n"/>
      <c r="CH4056" s="207" t="n"/>
      <c r="CI4056" s="208" t="n"/>
      <c r="CJ4056" s="204" t="n"/>
      <c r="CK4056" s="208" t="n"/>
      <c r="CL4056" s="208" t="n"/>
      <c r="CM4056" s="208" t="n"/>
      <c r="CN4056" s="78" t="n"/>
      <c r="CO4056" s="209" t="n"/>
      <c r="CP4056" s="204" t="n"/>
      <c r="CQ4056" s="204" t="n"/>
      <c r="CR4056" s="204" t="n"/>
      <c r="CS4056" s="204" t="n"/>
      <c r="CT4056" s="204" t="n"/>
      <c r="CU4056" s="204" t="n"/>
      <c r="CV4056" s="204" t="n"/>
      <c r="CW4056" s="204" t="n"/>
    </row>
    <row r="4057">
      <c r="BF4057" s="78" t="n"/>
      <c r="BG4057" s="78" t="n"/>
      <c r="BH4057" s="78" t="n"/>
      <c r="BI4057" s="78" t="n"/>
      <c r="BJ4057" s="139" t="n"/>
      <c r="BK4057" s="204" t="n"/>
      <c r="BL4057" s="141" t="n"/>
      <c r="BM4057" s="205" t="n"/>
      <c r="BN4057" s="205" t="n"/>
      <c r="BO4057" s="206" t="n"/>
      <c r="BP4057" s="144" t="n"/>
      <c r="BQ4057" s="141" t="n"/>
      <c r="BR4057" s="207" t="n"/>
      <c r="BS4057" s="207" t="n"/>
      <c r="BT4057" s="207" t="n"/>
      <c r="BU4057" s="207" t="n"/>
      <c r="BV4057" s="208" t="n"/>
      <c r="BW4057" s="207" t="n"/>
      <c r="BX4057" s="207" t="n"/>
      <c r="BY4057" s="204" t="n"/>
      <c r="BZ4057" s="148" t="n"/>
      <c r="CA4057" s="204" t="n"/>
      <c r="CB4057" s="208" t="n"/>
      <c r="CC4057" s="139" t="n"/>
      <c r="CD4057" s="204" t="n"/>
      <c r="CE4057" s="204" t="n"/>
      <c r="CF4057" s="207" t="n"/>
      <c r="CG4057" s="208" t="n"/>
      <c r="CH4057" s="207" t="n"/>
      <c r="CI4057" s="208" t="n"/>
      <c r="CJ4057" s="204" t="n"/>
      <c r="CK4057" s="208" t="n"/>
      <c r="CL4057" s="208" t="n"/>
      <c r="CM4057" s="208" t="n"/>
      <c r="CN4057" s="78" t="n"/>
      <c r="CO4057" s="209" t="n"/>
      <c r="CP4057" s="204" t="n"/>
      <c r="CQ4057" s="204" t="n"/>
      <c r="CR4057" s="204" t="n"/>
      <c r="CS4057" s="204" t="n"/>
      <c r="CT4057" s="204" t="n"/>
      <c r="CU4057" s="204" t="n"/>
      <c r="CV4057" s="204" t="n"/>
      <c r="CW4057" s="204" t="n"/>
    </row>
    <row r="4058">
      <c r="BF4058" s="78" t="n"/>
      <c r="BG4058" s="78" t="n"/>
      <c r="BH4058" s="78" t="n"/>
      <c r="BI4058" s="78" t="n"/>
      <c r="BJ4058" s="139" t="n"/>
      <c r="BK4058" s="204" t="n"/>
      <c r="BL4058" s="141" t="n"/>
      <c r="BM4058" s="205" t="n"/>
      <c r="BN4058" s="205" t="n"/>
      <c r="BO4058" s="206" t="n"/>
      <c r="BP4058" s="144" t="n"/>
      <c r="BQ4058" s="141" t="n"/>
      <c r="BR4058" s="207" t="n"/>
      <c r="BS4058" s="207" t="n"/>
      <c r="BT4058" s="207" t="n"/>
      <c r="BU4058" s="207" t="n"/>
      <c r="BV4058" s="208" t="n"/>
      <c r="BW4058" s="207" t="n"/>
      <c r="BX4058" s="207" t="n"/>
      <c r="BY4058" s="204" t="n"/>
      <c r="BZ4058" s="148" t="n"/>
      <c r="CA4058" s="204" t="n"/>
      <c r="CB4058" s="208" t="n"/>
      <c r="CC4058" s="139" t="n"/>
      <c r="CD4058" s="204" t="n"/>
      <c r="CE4058" s="204" t="n"/>
      <c r="CF4058" s="207" t="n"/>
      <c r="CG4058" s="208" t="n"/>
      <c r="CH4058" s="207" t="n"/>
      <c r="CI4058" s="208" t="n"/>
      <c r="CJ4058" s="204" t="n"/>
      <c r="CK4058" s="208" t="n"/>
      <c r="CL4058" s="208" t="n"/>
      <c r="CM4058" s="208" t="n"/>
      <c r="CN4058" s="78" t="n"/>
      <c r="CO4058" s="209" t="n"/>
      <c r="CP4058" s="204" t="n"/>
      <c r="CQ4058" s="204" t="n"/>
      <c r="CR4058" s="204" t="n"/>
      <c r="CS4058" s="204" t="n"/>
      <c r="CT4058" s="204" t="n"/>
      <c r="CU4058" s="204" t="n"/>
      <c r="CV4058" s="204" t="n"/>
      <c r="CW4058" s="204" t="n"/>
    </row>
    <row r="4059">
      <c r="BF4059" s="78" t="n"/>
      <c r="BG4059" s="78" t="n"/>
      <c r="BH4059" s="78" t="n"/>
      <c r="BI4059" s="78" t="n"/>
      <c r="BJ4059" s="139" t="n"/>
      <c r="BK4059" s="204" t="n"/>
      <c r="BL4059" s="141" t="n"/>
      <c r="BM4059" s="205" t="n"/>
      <c r="BN4059" s="205" t="n"/>
      <c r="BO4059" s="206" t="n"/>
      <c r="BP4059" s="144" t="n"/>
      <c r="BQ4059" s="141" t="n"/>
      <c r="BR4059" s="207" t="n"/>
      <c r="BS4059" s="207" t="n"/>
      <c r="BT4059" s="207" t="n"/>
      <c r="BU4059" s="207" t="n"/>
      <c r="BV4059" s="208" t="n"/>
      <c r="BW4059" s="207" t="n"/>
      <c r="BX4059" s="207" t="n"/>
      <c r="BY4059" s="204" t="n"/>
      <c r="BZ4059" s="148" t="n"/>
      <c r="CA4059" s="204" t="n"/>
      <c r="CB4059" s="208" t="n"/>
      <c r="CC4059" s="139" t="n"/>
      <c r="CD4059" s="204" t="n"/>
      <c r="CE4059" s="204" t="n"/>
      <c r="CF4059" s="207" t="n"/>
      <c r="CG4059" s="208" t="n"/>
      <c r="CH4059" s="207" t="n"/>
      <c r="CI4059" s="208" t="n"/>
      <c r="CJ4059" s="204" t="n"/>
      <c r="CK4059" s="208" t="n"/>
      <c r="CL4059" s="208" t="n"/>
      <c r="CM4059" s="208" t="n"/>
      <c r="CN4059" s="78" t="n"/>
      <c r="CO4059" s="209" t="n"/>
      <c r="CP4059" s="204" t="n"/>
      <c r="CQ4059" s="204" t="n"/>
      <c r="CR4059" s="204" t="n"/>
      <c r="CS4059" s="204" t="n"/>
      <c r="CT4059" s="204" t="n"/>
      <c r="CU4059" s="204" t="n"/>
      <c r="CV4059" s="204" t="n"/>
      <c r="CW4059" s="204" t="n"/>
    </row>
    <row r="4060">
      <c r="BF4060" s="78" t="n"/>
      <c r="BG4060" s="78" t="n"/>
      <c r="BH4060" s="78" t="n"/>
      <c r="BI4060" s="78" t="n"/>
      <c r="BJ4060" s="139" t="n"/>
      <c r="BK4060" s="204" t="n"/>
      <c r="BL4060" s="141" t="n"/>
      <c r="BM4060" s="205" t="n"/>
      <c r="BN4060" s="205" t="n"/>
      <c r="BO4060" s="206" t="n"/>
      <c r="BP4060" s="144" t="n"/>
      <c r="BQ4060" s="141" t="n"/>
      <c r="BR4060" s="207" t="n"/>
      <c r="BS4060" s="207" t="n"/>
      <c r="BT4060" s="207" t="n"/>
      <c r="BU4060" s="207" t="n"/>
      <c r="BV4060" s="208" t="n"/>
      <c r="BW4060" s="207" t="n"/>
      <c r="BX4060" s="207" t="n"/>
      <c r="BY4060" s="204" t="n"/>
      <c r="BZ4060" s="148" t="n"/>
      <c r="CA4060" s="204" t="n"/>
      <c r="CB4060" s="208" t="n"/>
      <c r="CC4060" s="139" t="n"/>
      <c r="CD4060" s="204" t="n"/>
      <c r="CE4060" s="204" t="n"/>
      <c r="CF4060" s="207" t="n"/>
      <c r="CG4060" s="208" t="n"/>
      <c r="CH4060" s="207" t="n"/>
      <c r="CI4060" s="208" t="n"/>
      <c r="CJ4060" s="204" t="n"/>
      <c r="CK4060" s="208" t="n"/>
      <c r="CL4060" s="208" t="n"/>
      <c r="CM4060" s="208" t="n"/>
      <c r="CN4060" s="78" t="n"/>
      <c r="CO4060" s="209" t="n"/>
      <c r="CP4060" s="204" t="n"/>
      <c r="CQ4060" s="204" t="n"/>
      <c r="CR4060" s="204" t="n"/>
      <c r="CS4060" s="204" t="n"/>
      <c r="CT4060" s="204" t="n"/>
      <c r="CU4060" s="204" t="n"/>
      <c r="CV4060" s="204" t="n"/>
      <c r="CW4060" s="204" t="n"/>
    </row>
    <row r="4061">
      <c r="BF4061" s="78" t="n"/>
      <c r="BG4061" s="78" t="n"/>
      <c r="BH4061" s="78" t="n"/>
      <c r="BI4061" s="78" t="n"/>
      <c r="BJ4061" s="139" t="n"/>
      <c r="BK4061" s="204" t="n"/>
      <c r="BL4061" s="141" t="n"/>
      <c r="BM4061" s="205" t="n"/>
      <c r="BN4061" s="205" t="n"/>
      <c r="BO4061" s="206" t="n"/>
      <c r="BP4061" s="144" t="n"/>
      <c r="BQ4061" s="141" t="n"/>
      <c r="BR4061" s="207" t="n"/>
      <c r="BS4061" s="207" t="n"/>
      <c r="BT4061" s="207" t="n"/>
      <c r="BU4061" s="207" t="n"/>
      <c r="BV4061" s="208" t="n"/>
      <c r="BW4061" s="207" t="n"/>
      <c r="BX4061" s="207" t="n"/>
      <c r="BY4061" s="204" t="n"/>
      <c r="BZ4061" s="148" t="n"/>
      <c r="CA4061" s="204" t="n"/>
      <c r="CB4061" s="208" t="n"/>
      <c r="CC4061" s="139" t="n"/>
      <c r="CD4061" s="204" t="n"/>
      <c r="CE4061" s="204" t="n"/>
      <c r="CF4061" s="207" t="n"/>
      <c r="CG4061" s="208" t="n"/>
      <c r="CH4061" s="207" t="n"/>
      <c r="CI4061" s="208" t="n"/>
      <c r="CJ4061" s="204" t="n"/>
      <c r="CK4061" s="208" t="n"/>
      <c r="CL4061" s="208" t="n"/>
      <c r="CM4061" s="208" t="n"/>
      <c r="CN4061" s="78" t="n"/>
      <c r="CO4061" s="209" t="n"/>
      <c r="CP4061" s="204" t="n"/>
      <c r="CQ4061" s="204" t="n"/>
      <c r="CR4061" s="204" t="n"/>
      <c r="CS4061" s="204" t="n"/>
      <c r="CT4061" s="204" t="n"/>
      <c r="CU4061" s="204" t="n"/>
      <c r="CV4061" s="204" t="n"/>
      <c r="CW4061" s="204" t="n"/>
    </row>
    <row r="4062">
      <c r="BF4062" s="78" t="n"/>
      <c r="BG4062" s="78" t="n"/>
      <c r="BH4062" s="78" t="n"/>
      <c r="BI4062" s="78" t="n"/>
      <c r="BJ4062" s="139" t="n"/>
      <c r="BK4062" s="204" t="n"/>
      <c r="BL4062" s="141" t="n"/>
      <c r="BM4062" s="205" t="n"/>
      <c r="BN4062" s="205" t="n"/>
      <c r="BO4062" s="206" t="n"/>
      <c r="BP4062" s="144" t="n"/>
      <c r="BQ4062" s="141" t="n"/>
      <c r="BR4062" s="207" t="n"/>
      <c r="BS4062" s="207" t="n"/>
      <c r="BT4062" s="207" t="n"/>
      <c r="BU4062" s="207" t="n"/>
      <c r="BV4062" s="208" t="n"/>
      <c r="BW4062" s="207" t="n"/>
      <c r="BX4062" s="207" t="n"/>
      <c r="BY4062" s="204" t="n"/>
      <c r="BZ4062" s="148" t="n"/>
      <c r="CA4062" s="204" t="n"/>
      <c r="CB4062" s="208" t="n"/>
      <c r="CC4062" s="139" t="n"/>
      <c r="CD4062" s="204" t="n"/>
      <c r="CE4062" s="204" t="n"/>
      <c r="CF4062" s="207" t="n"/>
      <c r="CG4062" s="208" t="n"/>
      <c r="CH4062" s="207" t="n"/>
      <c r="CI4062" s="208" t="n"/>
      <c r="CJ4062" s="204" t="n"/>
      <c r="CK4062" s="208" t="n"/>
      <c r="CL4062" s="208" t="n"/>
      <c r="CM4062" s="208" t="n"/>
      <c r="CN4062" s="78" t="n"/>
      <c r="CO4062" s="209" t="n"/>
      <c r="CP4062" s="204" t="n"/>
      <c r="CQ4062" s="204" t="n"/>
      <c r="CR4062" s="204" t="n"/>
      <c r="CS4062" s="204" t="n"/>
      <c r="CT4062" s="204" t="n"/>
      <c r="CU4062" s="204" t="n"/>
      <c r="CV4062" s="204" t="n"/>
      <c r="CW4062" s="204" t="n"/>
    </row>
    <row r="4063">
      <c r="BF4063" s="78" t="n"/>
      <c r="BG4063" s="78" t="n"/>
      <c r="BH4063" s="78" t="n"/>
      <c r="BI4063" s="78" t="n"/>
      <c r="BJ4063" s="139" t="n"/>
      <c r="BK4063" s="204" t="n"/>
      <c r="BL4063" s="141" t="n"/>
      <c r="BM4063" s="205" t="n"/>
      <c r="BN4063" s="205" t="n"/>
      <c r="BO4063" s="206" t="n"/>
      <c r="BP4063" s="144" t="n"/>
      <c r="BQ4063" s="141" t="n"/>
      <c r="BR4063" s="207" t="n"/>
      <c r="BS4063" s="207" t="n"/>
      <c r="BT4063" s="207" t="n"/>
      <c r="BU4063" s="207" t="n"/>
      <c r="BV4063" s="208" t="n"/>
      <c r="BW4063" s="207" t="n"/>
      <c r="BX4063" s="207" t="n"/>
      <c r="BY4063" s="204" t="n"/>
      <c r="BZ4063" s="148" t="n"/>
      <c r="CA4063" s="204" t="n"/>
      <c r="CB4063" s="208" t="n"/>
      <c r="CC4063" s="139" t="n"/>
      <c r="CD4063" s="204" t="n"/>
      <c r="CE4063" s="204" t="n"/>
      <c r="CF4063" s="207" t="n"/>
      <c r="CG4063" s="208" t="n"/>
      <c r="CH4063" s="207" t="n"/>
      <c r="CI4063" s="208" t="n"/>
      <c r="CJ4063" s="204" t="n"/>
      <c r="CK4063" s="208" t="n"/>
      <c r="CL4063" s="208" t="n"/>
      <c r="CM4063" s="208" t="n"/>
      <c r="CN4063" s="78" t="n"/>
      <c r="CO4063" s="209" t="n"/>
      <c r="CP4063" s="204" t="n"/>
      <c r="CQ4063" s="204" t="n"/>
      <c r="CR4063" s="204" t="n"/>
      <c r="CS4063" s="204" t="n"/>
      <c r="CT4063" s="204" t="n"/>
      <c r="CU4063" s="204" t="n"/>
      <c r="CV4063" s="204" t="n"/>
      <c r="CW4063" s="204" t="n"/>
    </row>
    <row r="4064">
      <c r="BF4064" s="78" t="n"/>
      <c r="BG4064" s="78" t="n"/>
      <c r="BH4064" s="78" t="n"/>
      <c r="BI4064" s="78" t="n"/>
      <c r="BJ4064" s="139" t="n"/>
      <c r="BK4064" s="204" t="n"/>
      <c r="BL4064" s="141" t="n"/>
      <c r="BM4064" s="205" t="n"/>
      <c r="BN4064" s="205" t="n"/>
      <c r="BO4064" s="206" t="n"/>
      <c r="BP4064" s="144" t="n"/>
      <c r="BQ4064" s="141" t="n"/>
      <c r="BR4064" s="207" t="n"/>
      <c r="BS4064" s="207" t="n"/>
      <c r="BT4064" s="207" t="n"/>
      <c r="BU4064" s="207" t="n"/>
      <c r="BV4064" s="208" t="n"/>
      <c r="BW4064" s="207" t="n"/>
      <c r="BX4064" s="207" t="n"/>
      <c r="BY4064" s="204" t="n"/>
      <c r="BZ4064" s="148" t="n"/>
      <c r="CA4064" s="204" t="n"/>
      <c r="CB4064" s="208" t="n"/>
      <c r="CC4064" s="139" t="n"/>
      <c r="CD4064" s="204" t="n"/>
      <c r="CE4064" s="204" t="n"/>
      <c r="CF4064" s="207" t="n"/>
      <c r="CG4064" s="208" t="n"/>
      <c r="CH4064" s="207" t="n"/>
      <c r="CI4064" s="208" t="n"/>
      <c r="CJ4064" s="204" t="n"/>
      <c r="CK4064" s="208" t="n"/>
      <c r="CL4064" s="208" t="n"/>
      <c r="CM4064" s="208" t="n"/>
      <c r="CN4064" s="78" t="n"/>
      <c r="CO4064" s="209" t="n"/>
      <c r="CP4064" s="204" t="n"/>
      <c r="CQ4064" s="204" t="n"/>
      <c r="CR4064" s="204" t="n"/>
      <c r="CS4064" s="204" t="n"/>
      <c r="CT4064" s="204" t="n"/>
      <c r="CU4064" s="204" t="n"/>
      <c r="CV4064" s="204" t="n"/>
      <c r="CW4064" s="204" t="n"/>
    </row>
    <row r="4065">
      <c r="BF4065" s="78" t="n"/>
      <c r="BG4065" s="78" t="n"/>
      <c r="BH4065" s="78" t="n"/>
      <c r="BI4065" s="78" t="n"/>
      <c r="BJ4065" s="139" t="n"/>
      <c r="BK4065" s="204" t="n"/>
      <c r="BL4065" s="141" t="n"/>
      <c r="BM4065" s="205" t="n"/>
      <c r="BN4065" s="205" t="n"/>
      <c r="BO4065" s="206" t="n"/>
      <c r="BP4065" s="144" t="n"/>
      <c r="BQ4065" s="141" t="n"/>
      <c r="BR4065" s="207" t="n"/>
      <c r="BS4065" s="207" t="n"/>
      <c r="BT4065" s="207" t="n"/>
      <c r="BU4065" s="207" t="n"/>
      <c r="BV4065" s="208" t="n"/>
      <c r="BW4065" s="207" t="n"/>
      <c r="BX4065" s="207" t="n"/>
      <c r="BY4065" s="204" t="n"/>
      <c r="BZ4065" s="148" t="n"/>
      <c r="CA4065" s="204" t="n"/>
      <c r="CB4065" s="208" t="n"/>
      <c r="CC4065" s="139" t="n"/>
      <c r="CD4065" s="204" t="n"/>
      <c r="CE4065" s="204" t="n"/>
      <c r="CF4065" s="207" t="n"/>
      <c r="CG4065" s="208" t="n"/>
      <c r="CH4065" s="207" t="n"/>
      <c r="CI4065" s="208" t="n"/>
      <c r="CJ4065" s="204" t="n"/>
      <c r="CK4065" s="208" t="n"/>
      <c r="CL4065" s="208" t="n"/>
      <c r="CM4065" s="208" t="n"/>
      <c r="CN4065" s="78" t="n"/>
      <c r="CO4065" s="209" t="n"/>
      <c r="CP4065" s="204" t="n"/>
      <c r="CQ4065" s="204" t="n"/>
      <c r="CR4065" s="204" t="n"/>
      <c r="CS4065" s="204" t="n"/>
      <c r="CT4065" s="204" t="n"/>
      <c r="CU4065" s="204" t="n"/>
      <c r="CV4065" s="204" t="n"/>
      <c r="CW4065" s="204" t="n"/>
    </row>
    <row r="4066">
      <c r="BF4066" s="78" t="n"/>
      <c r="BG4066" s="78" t="n"/>
      <c r="BH4066" s="78" t="n"/>
      <c r="BI4066" s="78" t="n"/>
      <c r="BJ4066" s="139" t="n"/>
      <c r="BK4066" s="204" t="n"/>
      <c r="BL4066" s="141" t="n"/>
      <c r="BM4066" s="205" t="n"/>
      <c r="BN4066" s="205" t="n"/>
      <c r="BO4066" s="206" t="n"/>
      <c r="BP4066" s="144" t="n"/>
      <c r="BQ4066" s="141" t="n"/>
      <c r="BR4066" s="207" t="n"/>
      <c r="BS4066" s="207" t="n"/>
      <c r="BT4066" s="207" t="n"/>
      <c r="BU4066" s="207" t="n"/>
      <c r="BV4066" s="208" t="n"/>
      <c r="BW4066" s="207" t="n"/>
      <c r="BX4066" s="207" t="n"/>
      <c r="BY4066" s="204" t="n"/>
      <c r="BZ4066" s="148" t="n"/>
      <c r="CA4066" s="204" t="n"/>
      <c r="CB4066" s="208" t="n"/>
      <c r="CC4066" s="139" t="n"/>
      <c r="CD4066" s="204" t="n"/>
      <c r="CE4066" s="204" t="n"/>
      <c r="CF4066" s="207" t="n"/>
      <c r="CG4066" s="208" t="n"/>
      <c r="CH4066" s="207" t="n"/>
      <c r="CI4066" s="208" t="n"/>
      <c r="CJ4066" s="204" t="n"/>
      <c r="CK4066" s="208" t="n"/>
      <c r="CL4066" s="208" t="n"/>
      <c r="CM4066" s="208" t="n"/>
      <c r="CN4066" s="78" t="n"/>
      <c r="CO4066" s="209" t="n"/>
      <c r="CP4066" s="204" t="n"/>
      <c r="CQ4066" s="204" t="n"/>
      <c r="CR4066" s="204" t="n"/>
      <c r="CS4066" s="204" t="n"/>
      <c r="CT4066" s="204" t="n"/>
      <c r="CU4066" s="204" t="n"/>
      <c r="CV4066" s="204" t="n"/>
      <c r="CW4066" s="204" t="n"/>
    </row>
    <row r="4067">
      <c r="BF4067" s="78" t="n"/>
      <c r="BG4067" s="78" t="n"/>
      <c r="BH4067" s="78" t="n"/>
      <c r="BI4067" s="78" t="n"/>
      <c r="BJ4067" s="139" t="n"/>
      <c r="BK4067" s="204" t="n"/>
      <c r="BL4067" s="141" t="n"/>
      <c r="BM4067" s="205" t="n"/>
      <c r="BN4067" s="205" t="n"/>
      <c r="BO4067" s="206" t="n"/>
      <c r="BP4067" s="144" t="n"/>
      <c r="BQ4067" s="141" t="n"/>
      <c r="BR4067" s="207" t="n"/>
      <c r="BS4067" s="207" t="n"/>
      <c r="BT4067" s="207" t="n"/>
      <c r="BU4067" s="207" t="n"/>
      <c r="BV4067" s="208" t="n"/>
      <c r="BW4067" s="207" t="n"/>
      <c r="BX4067" s="207" t="n"/>
      <c r="BY4067" s="204" t="n"/>
      <c r="BZ4067" s="148" t="n"/>
      <c r="CA4067" s="204" t="n"/>
      <c r="CB4067" s="208" t="n"/>
      <c r="CC4067" s="139" t="n"/>
      <c r="CD4067" s="204" t="n"/>
      <c r="CE4067" s="204" t="n"/>
      <c r="CF4067" s="207" t="n"/>
      <c r="CG4067" s="208" t="n"/>
      <c r="CH4067" s="207" t="n"/>
      <c r="CI4067" s="208" t="n"/>
      <c r="CJ4067" s="204" t="n"/>
      <c r="CK4067" s="208" t="n"/>
      <c r="CL4067" s="208" t="n"/>
      <c r="CM4067" s="208" t="n"/>
      <c r="CN4067" s="78" t="n"/>
      <c r="CO4067" s="209" t="n"/>
      <c r="CP4067" s="204" t="n"/>
      <c r="CQ4067" s="204" t="n"/>
      <c r="CR4067" s="204" t="n"/>
      <c r="CS4067" s="204" t="n"/>
      <c r="CT4067" s="204" t="n"/>
      <c r="CU4067" s="204" t="n"/>
      <c r="CV4067" s="204" t="n"/>
      <c r="CW4067" s="204" t="n"/>
    </row>
    <row r="4068">
      <c r="BF4068" s="78" t="n"/>
      <c r="BG4068" s="78" t="n"/>
      <c r="BH4068" s="78" t="n"/>
      <c r="BI4068" s="78" t="n"/>
      <c r="BJ4068" s="139" t="n"/>
      <c r="BK4068" s="204" t="n"/>
      <c r="BL4068" s="141" t="n"/>
      <c r="BM4068" s="205" t="n"/>
      <c r="BN4068" s="205" t="n"/>
      <c r="BO4068" s="206" t="n"/>
      <c r="BP4068" s="144" t="n"/>
      <c r="BQ4068" s="141" t="n"/>
      <c r="BR4068" s="207" t="n"/>
      <c r="BS4068" s="207" t="n"/>
      <c r="BT4068" s="207" t="n"/>
      <c r="BU4068" s="207" t="n"/>
      <c r="BV4068" s="208" t="n"/>
      <c r="BW4068" s="207" t="n"/>
      <c r="BX4068" s="207" t="n"/>
      <c r="BY4068" s="204" t="n"/>
      <c r="BZ4068" s="148" t="n"/>
      <c r="CA4068" s="204" t="n"/>
      <c r="CB4068" s="208" t="n"/>
      <c r="CC4068" s="139" t="n"/>
      <c r="CD4068" s="204" t="n"/>
      <c r="CE4068" s="204" t="n"/>
      <c r="CF4068" s="207" t="n"/>
      <c r="CG4068" s="208" t="n"/>
      <c r="CH4068" s="207" t="n"/>
      <c r="CI4068" s="208" t="n"/>
      <c r="CJ4068" s="204" t="n"/>
      <c r="CK4068" s="208" t="n"/>
      <c r="CL4068" s="208" t="n"/>
      <c r="CM4068" s="208" t="n"/>
      <c r="CN4068" s="78" t="n"/>
      <c r="CO4068" s="209" t="n"/>
      <c r="CP4068" s="204" t="n"/>
      <c r="CQ4068" s="204" t="n"/>
      <c r="CR4068" s="204" t="n"/>
      <c r="CS4068" s="204" t="n"/>
      <c r="CT4068" s="204" t="n"/>
      <c r="CU4068" s="204" t="n"/>
      <c r="CV4068" s="204" t="n"/>
      <c r="CW4068" s="204" t="n"/>
    </row>
    <row r="4069">
      <c r="BF4069" s="78" t="n"/>
      <c r="BG4069" s="78" t="n"/>
      <c r="BH4069" s="78" t="n"/>
      <c r="BI4069" s="78" t="n"/>
      <c r="BJ4069" s="139" t="n"/>
      <c r="BK4069" s="204" t="n"/>
      <c r="BL4069" s="141" t="n"/>
      <c r="BM4069" s="205" t="n"/>
      <c r="BN4069" s="205" t="n"/>
      <c r="BO4069" s="206" t="n"/>
      <c r="BP4069" s="144" t="n"/>
      <c r="BQ4069" s="141" t="n"/>
      <c r="BR4069" s="207" t="n"/>
      <c r="BS4069" s="207" t="n"/>
      <c r="BT4069" s="207" t="n"/>
      <c r="BU4069" s="207" t="n"/>
      <c r="BV4069" s="208" t="n"/>
      <c r="BW4069" s="207" t="n"/>
      <c r="BX4069" s="207" t="n"/>
      <c r="BY4069" s="204" t="n"/>
      <c r="BZ4069" s="148" t="n"/>
      <c r="CA4069" s="204" t="n"/>
      <c r="CB4069" s="208" t="n"/>
      <c r="CC4069" s="139" t="n"/>
      <c r="CD4069" s="204" t="n"/>
      <c r="CE4069" s="204" t="n"/>
      <c r="CF4069" s="207" t="n"/>
      <c r="CG4069" s="208" t="n"/>
      <c r="CH4069" s="207" t="n"/>
      <c r="CI4069" s="208" t="n"/>
      <c r="CJ4069" s="204" t="n"/>
      <c r="CK4069" s="208" t="n"/>
      <c r="CL4069" s="208" t="n"/>
      <c r="CM4069" s="208" t="n"/>
      <c r="CN4069" s="78" t="n"/>
      <c r="CO4069" s="209" t="n"/>
      <c r="CP4069" s="204" t="n"/>
      <c r="CQ4069" s="204" t="n"/>
      <c r="CR4069" s="204" t="n"/>
      <c r="CS4069" s="204" t="n"/>
      <c r="CT4069" s="204" t="n"/>
      <c r="CU4069" s="204" t="n"/>
      <c r="CV4069" s="204" t="n"/>
      <c r="CW4069" s="204" t="n"/>
    </row>
    <row r="4070">
      <c r="BF4070" s="78" t="n"/>
      <c r="BG4070" s="78" t="n"/>
      <c r="BH4070" s="78" t="n"/>
      <c r="BI4070" s="78" t="n"/>
      <c r="BJ4070" s="139" t="n"/>
      <c r="BK4070" s="204" t="n"/>
      <c r="BL4070" s="141" t="n"/>
      <c r="BM4070" s="205" t="n"/>
      <c r="BN4070" s="205" t="n"/>
      <c r="BO4070" s="206" t="n"/>
      <c r="BP4070" s="144" t="n"/>
      <c r="BQ4070" s="141" t="n"/>
      <c r="BR4070" s="207" t="n"/>
      <c r="BS4070" s="207" t="n"/>
      <c r="BT4070" s="207" t="n"/>
      <c r="BU4070" s="207" t="n"/>
      <c r="BV4070" s="208" t="n"/>
      <c r="BW4070" s="207" t="n"/>
      <c r="BX4070" s="207" t="n"/>
      <c r="BY4070" s="204" t="n"/>
      <c r="BZ4070" s="148" t="n"/>
      <c r="CA4070" s="204" t="n"/>
      <c r="CB4070" s="208" t="n"/>
      <c r="CC4070" s="139" t="n"/>
      <c r="CD4070" s="204" t="n"/>
      <c r="CE4070" s="204" t="n"/>
      <c r="CF4070" s="207" t="n"/>
      <c r="CG4070" s="208" t="n"/>
      <c r="CH4070" s="207" t="n"/>
      <c r="CI4070" s="208" t="n"/>
      <c r="CJ4070" s="204" t="n"/>
      <c r="CK4070" s="208" t="n"/>
      <c r="CL4070" s="208" t="n"/>
      <c r="CM4070" s="208" t="n"/>
      <c r="CN4070" s="78" t="n"/>
      <c r="CO4070" s="209" t="n"/>
      <c r="CP4070" s="204" t="n"/>
      <c r="CQ4070" s="204" t="n"/>
      <c r="CR4070" s="204" t="n"/>
      <c r="CS4070" s="204" t="n"/>
      <c r="CT4070" s="204" t="n"/>
      <c r="CU4070" s="204" t="n"/>
      <c r="CV4070" s="204" t="n"/>
      <c r="CW4070" s="204" t="n"/>
    </row>
    <row r="4071">
      <c r="BF4071" s="78" t="n"/>
      <c r="BG4071" s="78" t="n"/>
      <c r="BH4071" s="78" t="n"/>
      <c r="BI4071" s="78" t="n"/>
      <c r="BJ4071" s="139" t="n"/>
      <c r="BK4071" s="204" t="n"/>
      <c r="BL4071" s="141" t="n"/>
      <c r="BM4071" s="205" t="n"/>
      <c r="BN4071" s="205" t="n"/>
      <c r="BO4071" s="206" t="n"/>
      <c r="BP4071" s="144" t="n"/>
      <c r="BQ4071" s="141" t="n"/>
      <c r="BR4071" s="207" t="n"/>
      <c r="BS4071" s="207" t="n"/>
      <c r="BT4071" s="207" t="n"/>
      <c r="BU4071" s="207" t="n"/>
      <c r="BV4071" s="208" t="n"/>
      <c r="BW4071" s="207" t="n"/>
      <c r="BX4071" s="207" t="n"/>
      <c r="BY4071" s="204" t="n"/>
      <c r="BZ4071" s="148" t="n"/>
      <c r="CA4071" s="204" t="n"/>
      <c r="CB4071" s="208" t="n"/>
      <c r="CC4071" s="139" t="n"/>
      <c r="CD4071" s="204" t="n"/>
      <c r="CE4071" s="204" t="n"/>
      <c r="CF4071" s="207" t="n"/>
      <c r="CG4071" s="208" t="n"/>
      <c r="CH4071" s="207" t="n"/>
      <c r="CI4071" s="208" t="n"/>
      <c r="CJ4071" s="204" t="n"/>
      <c r="CK4071" s="208" t="n"/>
      <c r="CL4071" s="208" t="n"/>
      <c r="CM4071" s="208" t="n"/>
      <c r="CN4071" s="78" t="n"/>
      <c r="CO4071" s="209" t="n"/>
      <c r="CP4071" s="204" t="n"/>
      <c r="CQ4071" s="204" t="n"/>
      <c r="CR4071" s="204" t="n"/>
      <c r="CS4071" s="204" t="n"/>
      <c r="CT4071" s="204" t="n"/>
      <c r="CU4071" s="204" t="n"/>
      <c r="CV4071" s="204" t="n"/>
      <c r="CW4071" s="204" t="n"/>
    </row>
    <row r="4072">
      <c r="BF4072" s="78" t="n"/>
      <c r="BG4072" s="78" t="n"/>
      <c r="BH4072" s="78" t="n"/>
      <c r="BI4072" s="78" t="n"/>
      <c r="BJ4072" s="139" t="n"/>
      <c r="BK4072" s="204" t="n"/>
      <c r="BL4072" s="141" t="n"/>
      <c r="BM4072" s="205" t="n"/>
      <c r="BN4072" s="205" t="n"/>
      <c r="BO4072" s="206" t="n"/>
      <c r="BP4072" s="144" t="n"/>
      <c r="BQ4072" s="141" t="n"/>
      <c r="BR4072" s="207" t="n"/>
      <c r="BS4072" s="207" t="n"/>
      <c r="BT4072" s="207" t="n"/>
      <c r="BU4072" s="207" t="n"/>
      <c r="BV4072" s="208" t="n"/>
      <c r="BW4072" s="207" t="n"/>
      <c r="BX4072" s="207" t="n"/>
      <c r="BY4072" s="204" t="n"/>
      <c r="BZ4072" s="148" t="n"/>
      <c r="CA4072" s="204" t="n"/>
      <c r="CB4072" s="208" t="n"/>
      <c r="CC4072" s="139" t="n"/>
      <c r="CD4072" s="204" t="n"/>
      <c r="CE4072" s="204" t="n"/>
      <c r="CF4072" s="207" t="n"/>
      <c r="CG4072" s="208" t="n"/>
      <c r="CH4072" s="207" t="n"/>
      <c r="CI4072" s="208" t="n"/>
      <c r="CJ4072" s="204" t="n"/>
      <c r="CK4072" s="208" t="n"/>
      <c r="CL4072" s="208" t="n"/>
      <c r="CM4072" s="208" t="n"/>
      <c r="CN4072" s="78" t="n"/>
      <c r="CO4072" s="209" t="n"/>
      <c r="CP4072" s="204" t="n"/>
      <c r="CQ4072" s="204" t="n"/>
      <c r="CR4072" s="204" t="n"/>
      <c r="CS4072" s="204" t="n"/>
      <c r="CT4072" s="204" t="n"/>
      <c r="CU4072" s="204" t="n"/>
      <c r="CV4072" s="204" t="n"/>
      <c r="CW4072" s="204" t="n"/>
    </row>
    <row r="4073">
      <c r="BF4073" s="78" t="n"/>
      <c r="BG4073" s="78" t="n"/>
      <c r="BH4073" s="78" t="n"/>
      <c r="BI4073" s="78" t="n"/>
      <c r="BJ4073" s="139" t="n"/>
      <c r="BK4073" s="204" t="n"/>
      <c r="BL4073" s="141" t="n"/>
      <c r="BM4073" s="205" t="n"/>
      <c r="BN4073" s="205" t="n"/>
      <c r="BO4073" s="206" t="n"/>
      <c r="BP4073" s="144" t="n"/>
      <c r="BQ4073" s="141" t="n"/>
      <c r="BR4073" s="207" t="n"/>
      <c r="BS4073" s="207" t="n"/>
      <c r="BT4073" s="207" t="n"/>
      <c r="BU4073" s="207" t="n"/>
      <c r="BV4073" s="208" t="n"/>
      <c r="BW4073" s="207" t="n"/>
      <c r="BX4073" s="207" t="n"/>
      <c r="BY4073" s="204" t="n"/>
      <c r="BZ4073" s="148" t="n"/>
      <c r="CA4073" s="204" t="n"/>
      <c r="CB4073" s="208" t="n"/>
      <c r="CC4073" s="139" t="n"/>
      <c r="CD4073" s="204" t="n"/>
      <c r="CE4073" s="204" t="n"/>
      <c r="CF4073" s="207" t="n"/>
      <c r="CG4073" s="208" t="n"/>
      <c r="CH4073" s="207" t="n"/>
      <c r="CI4073" s="208" t="n"/>
      <c r="CJ4073" s="204" t="n"/>
      <c r="CK4073" s="208" t="n"/>
      <c r="CL4073" s="208" t="n"/>
      <c r="CM4073" s="208" t="n"/>
      <c r="CN4073" s="78" t="n"/>
      <c r="CO4073" s="209" t="n"/>
      <c r="CP4073" s="204" t="n"/>
      <c r="CQ4073" s="204" t="n"/>
      <c r="CR4073" s="204" t="n"/>
      <c r="CS4073" s="204" t="n"/>
      <c r="CT4073" s="204" t="n"/>
      <c r="CU4073" s="204" t="n"/>
      <c r="CV4073" s="204" t="n"/>
      <c r="CW4073" s="204" t="n"/>
    </row>
    <row r="4074">
      <c r="BF4074" s="78" t="n"/>
      <c r="BG4074" s="78" t="n"/>
      <c r="BH4074" s="78" t="n"/>
      <c r="BI4074" s="78" t="n"/>
      <c r="BJ4074" s="139" t="n"/>
      <c r="BK4074" s="204" t="n"/>
      <c r="BL4074" s="141" t="n"/>
      <c r="BM4074" s="205" t="n"/>
      <c r="BN4074" s="205" t="n"/>
      <c r="BO4074" s="206" t="n"/>
      <c r="BP4074" s="144" t="n"/>
      <c r="BQ4074" s="141" t="n"/>
      <c r="BR4074" s="207" t="n"/>
      <c r="BS4074" s="207" t="n"/>
      <c r="BT4074" s="207" t="n"/>
      <c r="BU4074" s="207" t="n"/>
      <c r="BV4074" s="208" t="n"/>
      <c r="BW4074" s="207" t="n"/>
      <c r="BX4074" s="207" t="n"/>
      <c r="BY4074" s="204" t="n"/>
      <c r="BZ4074" s="148" t="n"/>
      <c r="CA4074" s="204" t="n"/>
      <c r="CB4074" s="208" t="n"/>
      <c r="CC4074" s="139" t="n"/>
      <c r="CD4074" s="204" t="n"/>
      <c r="CE4074" s="204" t="n"/>
      <c r="CF4074" s="207" t="n"/>
      <c r="CG4074" s="208" t="n"/>
      <c r="CH4074" s="207" t="n"/>
      <c r="CI4074" s="208" t="n"/>
      <c r="CJ4074" s="204" t="n"/>
      <c r="CK4074" s="208" t="n"/>
      <c r="CL4074" s="208" t="n"/>
      <c r="CM4074" s="208" t="n"/>
      <c r="CN4074" s="78" t="n"/>
      <c r="CO4074" s="209" t="n"/>
      <c r="CP4074" s="204" t="n"/>
      <c r="CQ4074" s="204" t="n"/>
      <c r="CR4074" s="204" t="n"/>
      <c r="CS4074" s="204" t="n"/>
      <c r="CT4074" s="204" t="n"/>
      <c r="CU4074" s="204" t="n"/>
      <c r="CV4074" s="204" t="n"/>
      <c r="CW4074" s="204" t="n"/>
    </row>
    <row r="4075">
      <c r="BF4075" s="78" t="n"/>
      <c r="BG4075" s="78" t="n"/>
      <c r="BH4075" s="78" t="n"/>
      <c r="BI4075" s="78" t="n"/>
      <c r="BJ4075" s="139" t="n"/>
      <c r="BK4075" s="204" t="n"/>
      <c r="BL4075" s="141" t="n"/>
      <c r="BM4075" s="205" t="n"/>
      <c r="BN4075" s="205" t="n"/>
      <c r="BO4075" s="206" t="n"/>
      <c r="BP4075" s="144" t="n"/>
      <c r="BQ4075" s="141" t="n"/>
      <c r="BR4075" s="207" t="n"/>
      <c r="BS4075" s="207" t="n"/>
      <c r="BT4075" s="207" t="n"/>
      <c r="BU4075" s="207" t="n"/>
      <c r="BV4075" s="208" t="n"/>
      <c r="BW4075" s="207" t="n"/>
      <c r="BX4075" s="207" t="n"/>
      <c r="BY4075" s="204" t="n"/>
      <c r="BZ4075" s="148" t="n"/>
      <c r="CA4075" s="204" t="n"/>
      <c r="CB4075" s="208" t="n"/>
      <c r="CC4075" s="139" t="n"/>
      <c r="CD4075" s="204" t="n"/>
      <c r="CE4075" s="204" t="n"/>
      <c r="CF4075" s="207" t="n"/>
      <c r="CG4075" s="208" t="n"/>
      <c r="CH4075" s="207" t="n"/>
      <c r="CI4075" s="208" t="n"/>
      <c r="CJ4075" s="204" t="n"/>
      <c r="CK4075" s="208" t="n"/>
      <c r="CL4075" s="208" t="n"/>
      <c r="CM4075" s="208" t="n"/>
      <c r="CN4075" s="78" t="n"/>
      <c r="CO4075" s="209" t="n"/>
      <c r="CP4075" s="204" t="n"/>
      <c r="CQ4075" s="204" t="n"/>
      <c r="CR4075" s="204" t="n"/>
      <c r="CS4075" s="204" t="n"/>
      <c r="CT4075" s="204" t="n"/>
      <c r="CU4075" s="204" t="n"/>
      <c r="CV4075" s="204" t="n"/>
      <c r="CW4075" s="204" t="n"/>
    </row>
    <row r="4076">
      <c r="AR4076" s="151" t="n"/>
      <c r="BF4076" s="78" t="n"/>
      <c r="BG4076" s="78" t="n"/>
      <c r="BH4076" s="78" t="n"/>
      <c r="BI4076" s="78" t="n"/>
      <c r="BJ4076" s="139" t="n"/>
      <c r="BK4076" s="204" t="n"/>
      <c r="BL4076" s="141" t="n"/>
      <c r="BM4076" s="205" t="n"/>
      <c r="BN4076" s="205" t="n"/>
      <c r="BO4076" s="206" t="n"/>
      <c r="BP4076" s="144" t="n"/>
      <c r="BQ4076" s="141" t="n"/>
      <c r="BR4076" s="207" t="n"/>
      <c r="BS4076" s="207" t="n"/>
      <c r="BT4076" s="207" t="n"/>
      <c r="BU4076" s="207" t="n"/>
      <c r="BV4076" s="208" t="n"/>
      <c r="BW4076" s="207" t="n"/>
      <c r="BX4076" s="207" t="n"/>
      <c r="BY4076" s="204" t="n"/>
      <c r="BZ4076" s="148" t="n"/>
      <c r="CA4076" s="204" t="n"/>
      <c r="CB4076" s="208" t="n"/>
      <c r="CC4076" s="139" t="n"/>
      <c r="CD4076" s="204" t="n"/>
      <c r="CE4076" s="204" t="n"/>
      <c r="CF4076" s="207" t="n"/>
      <c r="CG4076" s="208" t="n"/>
      <c r="CH4076" s="207" t="n"/>
      <c r="CI4076" s="208" t="n"/>
      <c r="CJ4076" s="204" t="n"/>
      <c r="CK4076" s="208" t="n"/>
      <c r="CL4076" s="208" t="n"/>
      <c r="CM4076" s="208" t="n"/>
      <c r="CN4076" s="78" t="n"/>
      <c r="CO4076" s="209" t="n"/>
      <c r="CP4076" s="204" t="n"/>
      <c r="CQ4076" s="204" t="n"/>
      <c r="CR4076" s="204" t="n"/>
      <c r="CS4076" s="204" t="n"/>
      <c r="CT4076" s="204" t="n"/>
      <c r="CU4076" s="204" t="n"/>
      <c r="CV4076" s="204" t="n"/>
      <c r="CW4076" s="204" t="n"/>
    </row>
    <row r="4077">
      <c r="BF4077" s="78" t="n"/>
      <c r="BG4077" s="78" t="n"/>
      <c r="BH4077" s="78" t="n"/>
      <c r="BI4077" s="78" t="n"/>
      <c r="BJ4077" s="139" t="n"/>
      <c r="BK4077" s="204" t="n"/>
      <c r="BL4077" s="141" t="n"/>
      <c r="BM4077" s="205" t="n"/>
      <c r="BN4077" s="205" t="n"/>
      <c r="BO4077" s="206" t="n"/>
      <c r="BP4077" s="144" t="n"/>
      <c r="BQ4077" s="141" t="n"/>
      <c r="BR4077" s="207" t="n"/>
      <c r="BS4077" s="207" t="n"/>
      <c r="BT4077" s="207" t="n"/>
      <c r="BU4077" s="207" t="n"/>
      <c r="BV4077" s="208" t="n"/>
      <c r="BW4077" s="207" t="n"/>
      <c r="BX4077" s="207" t="n"/>
      <c r="BY4077" s="204" t="n"/>
      <c r="BZ4077" s="148" t="n"/>
      <c r="CA4077" s="204" t="n"/>
      <c r="CB4077" s="208" t="n"/>
      <c r="CC4077" s="139" t="n"/>
      <c r="CD4077" s="204" t="n"/>
      <c r="CE4077" s="204" t="n"/>
      <c r="CF4077" s="207" t="n"/>
      <c r="CG4077" s="208" t="n"/>
      <c r="CH4077" s="207" t="n"/>
      <c r="CI4077" s="208" t="n"/>
      <c r="CJ4077" s="204" t="n"/>
      <c r="CK4077" s="208" t="n"/>
      <c r="CL4077" s="208" t="n"/>
      <c r="CM4077" s="208" t="n"/>
      <c r="CN4077" s="78" t="n"/>
      <c r="CO4077" s="209" t="n"/>
      <c r="CP4077" s="204" t="n"/>
      <c r="CQ4077" s="204" t="n"/>
      <c r="CR4077" s="204" t="n"/>
      <c r="CS4077" s="204" t="n"/>
      <c r="CT4077" s="204" t="n"/>
      <c r="CU4077" s="204" t="n"/>
      <c r="CV4077" s="204" t="n"/>
      <c r="CW4077" s="204" t="n"/>
    </row>
    <row r="4078">
      <c r="BF4078" s="78" t="n"/>
      <c r="BG4078" s="78" t="n"/>
      <c r="BH4078" s="78" t="n"/>
      <c r="BI4078" s="78" t="n"/>
      <c r="BJ4078" s="139" t="n"/>
      <c r="BK4078" s="204" t="n"/>
      <c r="BL4078" s="141" t="n"/>
      <c r="BM4078" s="205" t="n"/>
      <c r="BN4078" s="205" t="n"/>
      <c r="BO4078" s="206" t="n"/>
      <c r="BP4078" s="144" t="n"/>
      <c r="BQ4078" s="141" t="n"/>
      <c r="BR4078" s="207" t="n"/>
      <c r="BS4078" s="207" t="n"/>
      <c r="BT4078" s="207" t="n"/>
      <c r="BU4078" s="207" t="n"/>
      <c r="BV4078" s="208" t="n"/>
      <c r="BW4078" s="207" t="n"/>
      <c r="BX4078" s="207" t="n"/>
      <c r="BY4078" s="204" t="n"/>
      <c r="BZ4078" s="148" t="n"/>
      <c r="CA4078" s="204" t="n"/>
      <c r="CB4078" s="208" t="n"/>
      <c r="CC4078" s="139" t="n"/>
      <c r="CD4078" s="204" t="n"/>
      <c r="CE4078" s="204" t="n"/>
      <c r="CF4078" s="207" t="n"/>
      <c r="CG4078" s="208" t="n"/>
      <c r="CH4078" s="207" t="n"/>
      <c r="CI4078" s="208" t="n"/>
      <c r="CJ4078" s="204" t="n"/>
      <c r="CK4078" s="208" t="n"/>
      <c r="CL4078" s="208" t="n"/>
      <c r="CM4078" s="208" t="n"/>
      <c r="CN4078" s="78" t="n"/>
      <c r="CO4078" s="209" t="n"/>
      <c r="CP4078" s="204" t="n"/>
      <c r="CQ4078" s="204" t="n"/>
      <c r="CR4078" s="204" t="n"/>
      <c r="CS4078" s="204" t="n"/>
      <c r="CT4078" s="204" t="n"/>
      <c r="CU4078" s="204" t="n"/>
      <c r="CV4078" s="204" t="n"/>
      <c r="CW4078" s="204" t="n"/>
    </row>
    <row r="4079">
      <c r="BF4079" s="78" t="n"/>
      <c r="BG4079" s="78" t="n"/>
      <c r="BH4079" s="78" t="n"/>
      <c r="BI4079" s="78" t="n"/>
      <c r="BJ4079" s="139" t="n"/>
      <c r="BK4079" s="204" t="n"/>
      <c r="BL4079" s="141" t="n"/>
      <c r="BM4079" s="205" t="n"/>
      <c r="BN4079" s="205" t="n"/>
      <c r="BO4079" s="206" t="n"/>
      <c r="BP4079" s="144" t="n"/>
      <c r="BQ4079" s="141" t="n"/>
      <c r="BR4079" s="207" t="n"/>
      <c r="BS4079" s="207" t="n"/>
      <c r="BT4079" s="207" t="n"/>
      <c r="BU4079" s="207" t="n"/>
      <c r="BV4079" s="208" t="n"/>
      <c r="BW4079" s="207" t="n"/>
      <c r="BX4079" s="207" t="n"/>
      <c r="BY4079" s="204" t="n"/>
      <c r="BZ4079" s="148" t="n"/>
      <c r="CA4079" s="204" t="n"/>
      <c r="CB4079" s="208" t="n"/>
      <c r="CC4079" s="139" t="n"/>
      <c r="CD4079" s="204" t="n"/>
      <c r="CE4079" s="204" t="n"/>
      <c r="CF4079" s="207" t="n"/>
      <c r="CG4079" s="208" t="n"/>
      <c r="CH4079" s="207" t="n"/>
      <c r="CI4079" s="208" t="n"/>
      <c r="CJ4079" s="204" t="n"/>
      <c r="CK4079" s="208" t="n"/>
      <c r="CL4079" s="208" t="n"/>
      <c r="CM4079" s="208" t="n"/>
      <c r="CN4079" s="78" t="n"/>
      <c r="CO4079" s="209" t="n"/>
      <c r="CP4079" s="204" t="n"/>
      <c r="CQ4079" s="204" t="n"/>
      <c r="CR4079" s="204" t="n"/>
      <c r="CS4079" s="204" t="n"/>
      <c r="CT4079" s="204" t="n"/>
      <c r="CU4079" s="204" t="n"/>
      <c r="CV4079" s="204" t="n"/>
      <c r="CW4079" s="204" t="n"/>
    </row>
    <row r="4080">
      <c r="BF4080" s="78" t="n"/>
      <c r="BG4080" s="78" t="n"/>
      <c r="BH4080" s="78" t="n"/>
      <c r="BI4080" s="78" t="n"/>
      <c r="BJ4080" s="139" t="n"/>
      <c r="BK4080" s="204" t="n"/>
      <c r="BL4080" s="141" t="n"/>
      <c r="BM4080" s="205" t="n"/>
      <c r="BN4080" s="205" t="n"/>
      <c r="BO4080" s="206" t="n"/>
      <c r="BP4080" s="144" t="n"/>
      <c r="BQ4080" s="141" t="n"/>
      <c r="BR4080" s="207" t="n"/>
      <c r="BS4080" s="207" t="n"/>
      <c r="BT4080" s="207" t="n"/>
      <c r="BU4080" s="207" t="n"/>
      <c r="BV4080" s="208" t="n"/>
      <c r="BW4080" s="207" t="n"/>
      <c r="BX4080" s="207" t="n"/>
      <c r="BY4080" s="204" t="n"/>
      <c r="BZ4080" s="148" t="n"/>
      <c r="CA4080" s="204" t="n"/>
      <c r="CB4080" s="208" t="n"/>
      <c r="CC4080" s="139" t="n"/>
      <c r="CD4080" s="204" t="n"/>
      <c r="CE4080" s="204" t="n"/>
      <c r="CF4080" s="207" t="n"/>
      <c r="CG4080" s="208" t="n"/>
      <c r="CH4080" s="207" t="n"/>
      <c r="CI4080" s="208" t="n"/>
      <c r="CJ4080" s="204" t="n"/>
      <c r="CK4080" s="208" t="n"/>
      <c r="CL4080" s="208" t="n"/>
      <c r="CM4080" s="208" t="n"/>
      <c r="CN4080" s="78" t="n"/>
      <c r="CO4080" s="209" t="n"/>
      <c r="CP4080" s="204" t="n"/>
      <c r="CQ4080" s="204" t="n"/>
      <c r="CR4080" s="204" t="n"/>
      <c r="CS4080" s="204" t="n"/>
      <c r="CT4080" s="204" t="n"/>
      <c r="CU4080" s="204" t="n"/>
      <c r="CV4080" s="204" t="n"/>
      <c r="CW4080" s="204" t="n"/>
    </row>
    <row r="4081">
      <c r="BF4081" s="78" t="n"/>
      <c r="BG4081" s="78" t="n"/>
      <c r="BH4081" s="78" t="n"/>
      <c r="BI4081" s="78" t="n"/>
      <c r="BJ4081" s="139" t="n"/>
      <c r="BK4081" s="204" t="n"/>
      <c r="BL4081" s="141" t="n"/>
      <c r="BM4081" s="205" t="n"/>
      <c r="BN4081" s="205" t="n"/>
      <c r="BO4081" s="206" t="n"/>
      <c r="BP4081" s="144" t="n"/>
      <c r="BQ4081" s="141" t="n"/>
      <c r="BR4081" s="207" t="n"/>
      <c r="BS4081" s="207" t="n"/>
      <c r="BT4081" s="207" t="n"/>
      <c r="BU4081" s="207" t="n"/>
      <c r="BV4081" s="208" t="n"/>
      <c r="BW4081" s="207" t="n"/>
      <c r="BX4081" s="207" t="n"/>
      <c r="BY4081" s="204" t="n"/>
      <c r="BZ4081" s="148" t="n"/>
      <c r="CA4081" s="204" t="n"/>
      <c r="CB4081" s="208" t="n"/>
      <c r="CC4081" s="139" t="n"/>
      <c r="CD4081" s="204" t="n"/>
      <c r="CE4081" s="204" t="n"/>
      <c r="CF4081" s="207" t="n"/>
      <c r="CG4081" s="208" t="n"/>
      <c r="CH4081" s="207" t="n"/>
      <c r="CI4081" s="208" t="n"/>
      <c r="CJ4081" s="204" t="n"/>
      <c r="CK4081" s="208" t="n"/>
      <c r="CL4081" s="208" t="n"/>
      <c r="CM4081" s="208" t="n"/>
      <c r="CN4081" s="78" t="n"/>
      <c r="CO4081" s="209" t="n"/>
      <c r="CP4081" s="204" t="n"/>
      <c r="CQ4081" s="204" t="n"/>
      <c r="CR4081" s="204" t="n"/>
      <c r="CS4081" s="204" t="n"/>
      <c r="CT4081" s="204" t="n"/>
      <c r="CU4081" s="204" t="n"/>
      <c r="CV4081" s="204" t="n"/>
      <c r="CW4081" s="204" t="n"/>
    </row>
    <row r="4082">
      <c r="BF4082" s="78" t="n"/>
      <c r="BG4082" s="78" t="n"/>
      <c r="BH4082" s="78" t="n"/>
      <c r="BI4082" s="78" t="n"/>
      <c r="BJ4082" s="139" t="n"/>
      <c r="BK4082" s="204" t="n"/>
      <c r="BL4082" s="141" t="n"/>
      <c r="BM4082" s="205" t="n"/>
      <c r="BN4082" s="205" t="n"/>
      <c r="BO4082" s="206" t="n"/>
      <c r="BP4082" s="144" t="n"/>
      <c r="BQ4082" s="141" t="n"/>
      <c r="BR4082" s="207" t="n"/>
      <c r="BS4082" s="207" t="n"/>
      <c r="BT4082" s="207" t="n"/>
      <c r="BU4082" s="207" t="n"/>
      <c r="BV4082" s="208" t="n"/>
      <c r="BW4082" s="207" t="n"/>
      <c r="BX4082" s="207" t="n"/>
      <c r="BY4082" s="204" t="n"/>
      <c r="BZ4082" s="148" t="n"/>
      <c r="CA4082" s="204" t="n"/>
      <c r="CB4082" s="208" t="n"/>
      <c r="CC4082" s="139" t="n"/>
      <c r="CD4082" s="204" t="n"/>
      <c r="CE4082" s="204" t="n"/>
      <c r="CF4082" s="207" t="n"/>
      <c r="CG4082" s="208" t="n"/>
      <c r="CH4082" s="207" t="n"/>
      <c r="CI4082" s="208" t="n"/>
      <c r="CJ4082" s="204" t="n"/>
      <c r="CK4082" s="208" t="n"/>
      <c r="CL4082" s="208" t="n"/>
      <c r="CM4082" s="208" t="n"/>
      <c r="CN4082" s="78" t="n"/>
      <c r="CO4082" s="209" t="n"/>
      <c r="CP4082" s="204" t="n"/>
      <c r="CQ4082" s="204" t="n"/>
      <c r="CR4082" s="204" t="n"/>
      <c r="CS4082" s="204" t="n"/>
      <c r="CT4082" s="204" t="n"/>
      <c r="CU4082" s="204" t="n"/>
      <c r="CV4082" s="204" t="n"/>
      <c r="CW4082" s="204" t="n"/>
    </row>
    <row r="4083">
      <c r="BF4083" s="78" t="n"/>
      <c r="BG4083" s="78" t="n"/>
      <c r="BH4083" s="78" t="n"/>
      <c r="BI4083" s="78" t="n"/>
      <c r="BJ4083" s="139" t="n"/>
      <c r="BK4083" s="204" t="n"/>
      <c r="BL4083" s="141" t="n"/>
      <c r="BM4083" s="205" t="n"/>
      <c r="BN4083" s="205" t="n"/>
      <c r="BO4083" s="206" t="n"/>
      <c r="BP4083" s="144" t="n"/>
      <c r="BQ4083" s="141" t="n"/>
      <c r="BR4083" s="207" t="n"/>
      <c r="BS4083" s="207" t="n"/>
      <c r="BT4083" s="207" t="n"/>
      <c r="BU4083" s="207" t="n"/>
      <c r="BV4083" s="208" t="n"/>
      <c r="BW4083" s="207" t="n"/>
      <c r="BX4083" s="207" t="n"/>
      <c r="BY4083" s="204" t="n"/>
      <c r="BZ4083" s="148" t="n"/>
      <c r="CA4083" s="204" t="n"/>
      <c r="CB4083" s="208" t="n"/>
      <c r="CC4083" s="139" t="n"/>
      <c r="CD4083" s="204" t="n"/>
      <c r="CE4083" s="204" t="n"/>
      <c r="CF4083" s="207" t="n"/>
      <c r="CG4083" s="208" t="n"/>
      <c r="CH4083" s="207" t="n"/>
      <c r="CI4083" s="208" t="n"/>
      <c r="CJ4083" s="204" t="n"/>
      <c r="CK4083" s="208" t="n"/>
      <c r="CL4083" s="208" t="n"/>
      <c r="CM4083" s="208" t="n"/>
      <c r="CN4083" s="78" t="n"/>
      <c r="CO4083" s="209" t="n"/>
      <c r="CP4083" s="204" t="n"/>
      <c r="CQ4083" s="204" t="n"/>
      <c r="CR4083" s="204" t="n"/>
      <c r="CS4083" s="204" t="n"/>
      <c r="CT4083" s="204" t="n"/>
      <c r="CU4083" s="204" t="n"/>
      <c r="CV4083" s="204" t="n"/>
      <c r="CW4083" s="204" t="n"/>
    </row>
    <row r="4084">
      <c r="BF4084" s="78" t="n"/>
      <c r="BG4084" s="78" t="n"/>
      <c r="BH4084" s="78" t="n"/>
      <c r="BI4084" s="78" t="n"/>
      <c r="BJ4084" s="139" t="n"/>
      <c r="BK4084" s="204" t="n"/>
      <c r="BL4084" s="141" t="n"/>
      <c r="BM4084" s="205" t="n"/>
      <c r="BN4084" s="205" t="n"/>
      <c r="BO4084" s="206" t="n"/>
      <c r="BP4084" s="144" t="n"/>
      <c r="BQ4084" s="141" t="n"/>
      <c r="BR4084" s="207" t="n"/>
      <c r="BS4084" s="207" t="n"/>
      <c r="BT4084" s="207" t="n"/>
      <c r="BU4084" s="207" t="n"/>
      <c r="BV4084" s="208" t="n"/>
      <c r="BW4084" s="207" t="n"/>
      <c r="BX4084" s="207" t="n"/>
      <c r="BY4084" s="204" t="n"/>
      <c r="BZ4084" s="148" t="n"/>
      <c r="CA4084" s="204" t="n"/>
      <c r="CB4084" s="208" t="n"/>
      <c r="CC4084" s="139" t="n"/>
      <c r="CD4084" s="204" t="n"/>
      <c r="CE4084" s="204" t="n"/>
      <c r="CF4084" s="207" t="n"/>
      <c r="CG4084" s="208" t="n"/>
      <c r="CH4084" s="207" t="n"/>
      <c r="CI4084" s="208" t="n"/>
      <c r="CJ4084" s="204" t="n"/>
      <c r="CK4084" s="208" t="n"/>
      <c r="CL4084" s="208" t="n"/>
      <c r="CM4084" s="208" t="n"/>
      <c r="CN4084" s="78" t="n"/>
      <c r="CO4084" s="209" t="n"/>
      <c r="CP4084" s="204" t="n"/>
      <c r="CQ4084" s="204" t="n"/>
      <c r="CR4084" s="204" t="n"/>
      <c r="CS4084" s="204" t="n"/>
      <c r="CT4084" s="204" t="n"/>
      <c r="CU4084" s="204" t="n"/>
      <c r="CV4084" s="204" t="n"/>
      <c r="CW4084" s="204" t="n"/>
    </row>
    <row r="4085">
      <c r="BF4085" s="78" t="n"/>
      <c r="BG4085" s="78" t="n"/>
      <c r="BH4085" s="78" t="n"/>
      <c r="BI4085" s="78" t="n"/>
      <c r="BJ4085" s="139" t="n"/>
      <c r="BK4085" s="204" t="n"/>
      <c r="BL4085" s="141" t="n"/>
      <c r="BM4085" s="205" t="n"/>
      <c r="BN4085" s="205" t="n"/>
      <c r="BO4085" s="206" t="n"/>
      <c r="BP4085" s="144" t="n"/>
      <c r="BQ4085" s="141" t="n"/>
      <c r="BR4085" s="207" t="n"/>
      <c r="BS4085" s="207" t="n"/>
      <c r="BT4085" s="207" t="n"/>
      <c r="BU4085" s="207" t="n"/>
      <c r="BV4085" s="208" t="n"/>
      <c r="BW4085" s="207" t="n"/>
      <c r="BX4085" s="207" t="n"/>
      <c r="BY4085" s="204" t="n"/>
      <c r="BZ4085" s="148" t="n"/>
      <c r="CA4085" s="204" t="n"/>
      <c r="CB4085" s="208" t="n"/>
      <c r="CC4085" s="139" t="n"/>
      <c r="CD4085" s="204" t="n"/>
      <c r="CE4085" s="204" t="n"/>
      <c r="CF4085" s="207" t="n"/>
      <c r="CG4085" s="208" t="n"/>
      <c r="CH4085" s="207" t="n"/>
      <c r="CI4085" s="208" t="n"/>
      <c r="CJ4085" s="204" t="n"/>
      <c r="CK4085" s="208" t="n"/>
      <c r="CL4085" s="208" t="n"/>
      <c r="CM4085" s="208" t="n"/>
      <c r="CN4085" s="78" t="n"/>
      <c r="CO4085" s="209" t="n"/>
      <c r="CP4085" s="204" t="n"/>
      <c r="CQ4085" s="204" t="n"/>
      <c r="CR4085" s="204" t="n"/>
      <c r="CS4085" s="204" t="n"/>
      <c r="CT4085" s="204" t="n"/>
      <c r="CU4085" s="204" t="n"/>
      <c r="CV4085" s="204" t="n"/>
      <c r="CW4085" s="204" t="n"/>
    </row>
    <row r="4086">
      <c r="BF4086" s="78" t="n"/>
      <c r="BG4086" s="78" t="n"/>
      <c r="BH4086" s="78" t="n"/>
      <c r="BI4086" s="78" t="n"/>
      <c r="BJ4086" s="139" t="n"/>
      <c r="BK4086" s="204" t="n"/>
      <c r="BL4086" s="141" t="n"/>
      <c r="BM4086" s="205" t="n"/>
      <c r="BN4086" s="205" t="n"/>
      <c r="BO4086" s="206" t="n"/>
      <c r="BP4086" s="144" t="n"/>
      <c r="BQ4086" s="141" t="n"/>
      <c r="BR4086" s="207" t="n"/>
      <c r="BS4086" s="207" t="n"/>
      <c r="BT4086" s="207" t="n"/>
      <c r="BU4086" s="207" t="n"/>
      <c r="BV4086" s="208" t="n"/>
      <c r="BW4086" s="207" t="n"/>
      <c r="BX4086" s="207" t="n"/>
      <c r="BY4086" s="204" t="n"/>
      <c r="BZ4086" s="148" t="n"/>
      <c r="CA4086" s="204" t="n"/>
      <c r="CB4086" s="208" t="n"/>
      <c r="CC4086" s="139" t="n"/>
      <c r="CD4086" s="204" t="n"/>
      <c r="CE4086" s="204" t="n"/>
      <c r="CF4086" s="207" t="n"/>
      <c r="CG4086" s="208" t="n"/>
      <c r="CH4086" s="207" t="n"/>
      <c r="CI4086" s="208" t="n"/>
      <c r="CJ4086" s="204" t="n"/>
      <c r="CK4086" s="208" t="n"/>
      <c r="CL4086" s="208" t="n"/>
      <c r="CM4086" s="208" t="n"/>
      <c r="CN4086" s="78" t="n"/>
      <c r="CO4086" s="209" t="n"/>
      <c r="CP4086" s="204" t="n"/>
      <c r="CQ4086" s="204" t="n"/>
      <c r="CR4086" s="204" t="n"/>
      <c r="CS4086" s="204" t="n"/>
      <c r="CT4086" s="204" t="n"/>
      <c r="CU4086" s="204" t="n"/>
      <c r="CV4086" s="204" t="n"/>
      <c r="CW4086" s="204" t="n"/>
    </row>
    <row r="4087">
      <c r="BF4087" s="78" t="n"/>
      <c r="BG4087" s="78" t="n"/>
      <c r="BH4087" s="78" t="n"/>
      <c r="BI4087" s="78" t="n"/>
      <c r="BJ4087" s="139" t="n"/>
      <c r="BK4087" s="204" t="n"/>
      <c r="BL4087" s="141" t="n"/>
      <c r="BM4087" s="205" t="n"/>
      <c r="BN4087" s="205" t="n"/>
      <c r="BO4087" s="206" t="n"/>
      <c r="BP4087" s="144" t="n"/>
      <c r="BQ4087" s="141" t="n"/>
      <c r="BR4087" s="207" t="n"/>
      <c r="BS4087" s="207" t="n"/>
      <c r="BT4087" s="207" t="n"/>
      <c r="BU4087" s="207" t="n"/>
      <c r="BV4087" s="208" t="n"/>
      <c r="BW4087" s="207" t="n"/>
      <c r="BX4087" s="207" t="n"/>
      <c r="BY4087" s="204" t="n"/>
      <c r="BZ4087" s="148" t="n"/>
      <c r="CA4087" s="204" t="n"/>
      <c r="CB4087" s="208" t="n"/>
      <c r="CC4087" s="139" t="n"/>
      <c r="CD4087" s="204" t="n"/>
      <c r="CE4087" s="204" t="n"/>
      <c r="CF4087" s="207" t="n"/>
      <c r="CG4087" s="208" t="n"/>
      <c r="CH4087" s="207" t="n"/>
      <c r="CI4087" s="208" t="n"/>
      <c r="CJ4087" s="204" t="n"/>
      <c r="CK4087" s="208" t="n"/>
      <c r="CL4087" s="208" t="n"/>
      <c r="CM4087" s="208" t="n"/>
      <c r="CN4087" s="78" t="n"/>
      <c r="CO4087" s="209" t="n"/>
      <c r="CP4087" s="204" t="n"/>
      <c r="CQ4087" s="204" t="n"/>
      <c r="CR4087" s="204" t="n"/>
      <c r="CS4087" s="204" t="n"/>
      <c r="CT4087" s="204" t="n"/>
      <c r="CU4087" s="204" t="n"/>
      <c r="CV4087" s="204" t="n"/>
      <c r="CW4087" s="204" t="n"/>
    </row>
    <row r="4088">
      <c r="BF4088" s="78" t="n"/>
      <c r="BG4088" s="78" t="n"/>
      <c r="BH4088" s="78" t="n"/>
      <c r="BI4088" s="78" t="n"/>
      <c r="BJ4088" s="139" t="n"/>
      <c r="BK4088" s="204" t="n"/>
      <c r="BL4088" s="141" t="n"/>
      <c r="BM4088" s="205" t="n"/>
      <c r="BN4088" s="205" t="n"/>
      <c r="BO4088" s="206" t="n"/>
      <c r="BP4088" s="144" t="n"/>
      <c r="BQ4088" s="141" t="n"/>
      <c r="BR4088" s="207" t="n"/>
      <c r="BS4088" s="207" t="n"/>
      <c r="BT4088" s="207" t="n"/>
      <c r="BU4088" s="207" t="n"/>
      <c r="BV4088" s="208" t="n"/>
      <c r="BW4088" s="207" t="n"/>
      <c r="BX4088" s="207" t="n"/>
      <c r="BY4088" s="204" t="n"/>
      <c r="BZ4088" s="148" t="n"/>
      <c r="CA4088" s="204" t="n"/>
      <c r="CB4088" s="208" t="n"/>
      <c r="CC4088" s="139" t="n"/>
      <c r="CD4088" s="204" t="n"/>
      <c r="CE4088" s="204" t="n"/>
      <c r="CF4088" s="207" t="n"/>
      <c r="CG4088" s="208" t="n"/>
      <c r="CH4088" s="207" t="n"/>
      <c r="CI4088" s="208" t="n"/>
      <c r="CJ4088" s="204" t="n"/>
      <c r="CK4088" s="208" t="n"/>
      <c r="CL4088" s="208" t="n"/>
      <c r="CM4088" s="208" t="n"/>
      <c r="CN4088" s="78" t="n"/>
      <c r="CO4088" s="209" t="n"/>
      <c r="CP4088" s="204" t="n"/>
      <c r="CQ4088" s="204" t="n"/>
      <c r="CR4088" s="204" t="n"/>
      <c r="CS4088" s="204" t="n"/>
      <c r="CT4088" s="204" t="n"/>
      <c r="CU4088" s="204" t="n"/>
      <c r="CV4088" s="204" t="n"/>
      <c r="CW4088" s="204" t="n"/>
    </row>
    <row r="4089">
      <c r="BF4089" s="78" t="n"/>
      <c r="BG4089" s="78" t="n"/>
      <c r="BH4089" s="78" t="n"/>
      <c r="BI4089" s="78" t="n"/>
      <c r="BJ4089" s="139" t="n"/>
      <c r="BK4089" s="204" t="n"/>
      <c r="BL4089" s="141" t="n"/>
      <c r="BM4089" s="205" t="n"/>
      <c r="BN4089" s="205" t="n"/>
      <c r="BO4089" s="206" t="n"/>
      <c r="BP4089" s="144" t="n"/>
      <c r="BQ4089" s="141" t="n"/>
      <c r="BR4089" s="207" t="n"/>
      <c r="BS4089" s="207" t="n"/>
      <c r="BT4089" s="207" t="n"/>
      <c r="BU4089" s="207" t="n"/>
      <c r="BV4089" s="208" t="n"/>
      <c r="BW4089" s="207" t="n"/>
      <c r="BX4089" s="207" t="n"/>
      <c r="BY4089" s="204" t="n"/>
      <c r="BZ4089" s="148" t="n"/>
      <c r="CA4089" s="204" t="n"/>
      <c r="CB4089" s="208" t="n"/>
      <c r="CC4089" s="139" t="n"/>
      <c r="CD4089" s="204" t="n"/>
      <c r="CE4089" s="204" t="n"/>
      <c r="CF4089" s="207" t="n"/>
      <c r="CG4089" s="208" t="n"/>
      <c r="CH4089" s="207" t="n"/>
      <c r="CI4089" s="208" t="n"/>
      <c r="CJ4089" s="204" t="n"/>
      <c r="CK4089" s="208" t="n"/>
      <c r="CL4089" s="208" t="n"/>
      <c r="CM4089" s="208" t="n"/>
      <c r="CN4089" s="78" t="n"/>
      <c r="CO4089" s="209" t="n"/>
      <c r="CP4089" s="204" t="n"/>
      <c r="CQ4089" s="204" t="n"/>
      <c r="CR4089" s="204" t="n"/>
      <c r="CS4089" s="204" t="n"/>
      <c r="CT4089" s="204" t="n"/>
      <c r="CU4089" s="204" t="n"/>
      <c r="CV4089" s="204" t="n"/>
      <c r="CW4089" s="204" t="n"/>
    </row>
    <row r="4090">
      <c r="BF4090" s="78" t="n"/>
      <c r="BG4090" s="78" t="n"/>
      <c r="BH4090" s="78" t="n"/>
      <c r="BI4090" s="78" t="n"/>
      <c r="BJ4090" s="139" t="n"/>
      <c r="BK4090" s="204" t="n"/>
      <c r="BL4090" s="141" t="n"/>
      <c r="BM4090" s="205" t="n"/>
      <c r="BN4090" s="205" t="n"/>
      <c r="BO4090" s="206" t="n"/>
      <c r="BP4090" s="144" t="n"/>
      <c r="BQ4090" s="141" t="n"/>
      <c r="BR4090" s="207" t="n"/>
      <c r="BS4090" s="207" t="n"/>
      <c r="BT4090" s="207" t="n"/>
      <c r="BU4090" s="207" t="n"/>
      <c r="BV4090" s="208" t="n"/>
      <c r="BW4090" s="207" t="n"/>
      <c r="BX4090" s="207" t="n"/>
      <c r="BY4090" s="204" t="n"/>
      <c r="BZ4090" s="148" t="n"/>
      <c r="CA4090" s="204" t="n"/>
      <c r="CB4090" s="208" t="n"/>
      <c r="CC4090" s="139" t="n"/>
      <c r="CD4090" s="204" t="n"/>
      <c r="CE4090" s="204" t="n"/>
      <c r="CF4090" s="207" t="n"/>
      <c r="CG4090" s="208" t="n"/>
      <c r="CH4090" s="207" t="n"/>
      <c r="CI4090" s="208" t="n"/>
      <c r="CJ4090" s="204" t="n"/>
      <c r="CK4090" s="208" t="n"/>
      <c r="CL4090" s="208" t="n"/>
      <c r="CM4090" s="208" t="n"/>
      <c r="CN4090" s="78" t="n"/>
      <c r="CO4090" s="209" t="n"/>
      <c r="CP4090" s="204" t="n"/>
      <c r="CQ4090" s="204" t="n"/>
      <c r="CR4090" s="204" t="n"/>
      <c r="CS4090" s="204" t="n"/>
      <c r="CT4090" s="204" t="n"/>
      <c r="CU4090" s="204" t="n"/>
      <c r="CV4090" s="204" t="n"/>
      <c r="CW4090" s="204" t="n"/>
    </row>
    <row r="4091">
      <c r="BF4091" s="78" t="n"/>
      <c r="BG4091" s="78" t="n"/>
      <c r="BH4091" s="78" t="n"/>
      <c r="BI4091" s="78" t="n"/>
      <c r="BJ4091" s="139" t="n"/>
      <c r="BK4091" s="204" t="n"/>
      <c r="BL4091" s="141" t="n"/>
      <c r="BM4091" s="205" t="n"/>
      <c r="BN4091" s="205" t="n"/>
      <c r="BO4091" s="206" t="n"/>
      <c r="BP4091" s="144" t="n"/>
      <c r="BQ4091" s="141" t="n"/>
      <c r="BR4091" s="207" t="n"/>
      <c r="BS4091" s="207" t="n"/>
      <c r="BT4091" s="207" t="n"/>
      <c r="BU4091" s="207" t="n"/>
      <c r="BV4091" s="208" t="n"/>
      <c r="BW4091" s="207" t="n"/>
      <c r="BX4091" s="207" t="n"/>
      <c r="BY4091" s="204" t="n"/>
      <c r="BZ4091" s="148" t="n"/>
      <c r="CA4091" s="204" t="n"/>
      <c r="CB4091" s="208" t="n"/>
      <c r="CC4091" s="139" t="n"/>
      <c r="CD4091" s="204" t="n"/>
      <c r="CE4091" s="204" t="n"/>
      <c r="CF4091" s="207" t="n"/>
      <c r="CG4091" s="208" t="n"/>
      <c r="CH4091" s="207" t="n"/>
      <c r="CI4091" s="208" t="n"/>
      <c r="CJ4091" s="204" t="n"/>
      <c r="CK4091" s="208" t="n"/>
      <c r="CL4091" s="208" t="n"/>
      <c r="CM4091" s="208" t="n"/>
      <c r="CN4091" s="78" t="n"/>
      <c r="CO4091" s="209" t="n"/>
      <c r="CP4091" s="204" t="n"/>
      <c r="CQ4091" s="204" t="n"/>
      <c r="CR4091" s="204" t="n"/>
      <c r="CS4091" s="204" t="n"/>
      <c r="CT4091" s="204" t="n"/>
      <c r="CU4091" s="204" t="n"/>
      <c r="CV4091" s="204" t="n"/>
      <c r="CW4091" s="204" t="n"/>
    </row>
    <row r="4092">
      <c r="BF4092" s="78" t="n"/>
      <c r="BG4092" s="78" t="n"/>
      <c r="BH4092" s="78" t="n"/>
      <c r="BI4092" s="78" t="n"/>
      <c r="BJ4092" s="139" t="n"/>
      <c r="BK4092" s="204" t="n"/>
      <c r="BL4092" s="141" t="n"/>
      <c r="BM4092" s="205" t="n"/>
      <c r="BN4092" s="205" t="n"/>
      <c r="BO4092" s="206" t="n"/>
      <c r="BP4092" s="144" t="n"/>
      <c r="BQ4092" s="141" t="n"/>
      <c r="BR4092" s="207" t="n"/>
      <c r="BS4092" s="207" t="n"/>
      <c r="BT4092" s="207" t="n"/>
      <c r="BU4092" s="207" t="n"/>
      <c r="BV4092" s="208" t="n"/>
      <c r="BW4092" s="207" t="n"/>
      <c r="BX4092" s="207" t="n"/>
      <c r="BY4092" s="204" t="n"/>
      <c r="BZ4092" s="148" t="n"/>
      <c r="CA4092" s="204" t="n"/>
      <c r="CB4092" s="208" t="n"/>
      <c r="CC4092" s="139" t="n"/>
      <c r="CD4092" s="204" t="n"/>
      <c r="CE4092" s="204" t="n"/>
      <c r="CF4092" s="207" t="n"/>
      <c r="CG4092" s="208" t="n"/>
      <c r="CH4092" s="207" t="n"/>
      <c r="CI4092" s="208" t="n"/>
      <c r="CJ4092" s="204" t="n"/>
      <c r="CK4092" s="208" t="n"/>
      <c r="CL4092" s="208" t="n"/>
      <c r="CM4092" s="208" t="n"/>
      <c r="CN4092" s="78" t="n"/>
      <c r="CO4092" s="209" t="n"/>
      <c r="CP4092" s="204" t="n"/>
      <c r="CQ4092" s="204" t="n"/>
      <c r="CR4092" s="204" t="n"/>
      <c r="CS4092" s="204" t="n"/>
      <c r="CT4092" s="204" t="n"/>
      <c r="CU4092" s="204" t="n"/>
      <c r="CV4092" s="204" t="n"/>
      <c r="CW4092" s="204" t="n"/>
    </row>
    <row r="4093">
      <c r="BF4093" s="78" t="n"/>
      <c r="BG4093" s="78" t="n"/>
      <c r="BH4093" s="78" t="n"/>
      <c r="BI4093" s="78" t="n"/>
      <c r="BJ4093" s="139" t="n"/>
      <c r="BK4093" s="204" t="n"/>
      <c r="BL4093" s="141" t="n"/>
      <c r="BM4093" s="205" t="n"/>
      <c r="BN4093" s="205" t="n"/>
      <c r="BO4093" s="206" t="n"/>
      <c r="BP4093" s="144" t="n"/>
      <c r="BQ4093" s="141" t="n"/>
      <c r="BR4093" s="207" t="n"/>
      <c r="BS4093" s="207" t="n"/>
      <c r="BT4093" s="207" t="n"/>
      <c r="BU4093" s="207" t="n"/>
      <c r="BV4093" s="208" t="n"/>
      <c r="BW4093" s="207" t="n"/>
      <c r="BX4093" s="207" t="n"/>
      <c r="BY4093" s="204" t="n"/>
      <c r="BZ4093" s="148" t="n"/>
      <c r="CA4093" s="204" t="n"/>
      <c r="CB4093" s="208" t="n"/>
      <c r="CC4093" s="139" t="n"/>
      <c r="CD4093" s="204" t="n"/>
      <c r="CE4093" s="204" t="n"/>
      <c r="CF4093" s="207" t="n"/>
      <c r="CG4093" s="208" t="n"/>
      <c r="CH4093" s="207" t="n"/>
      <c r="CI4093" s="208" t="n"/>
      <c r="CJ4093" s="204" t="n"/>
      <c r="CK4093" s="208" t="n"/>
      <c r="CL4093" s="208" t="n"/>
      <c r="CM4093" s="208" t="n"/>
      <c r="CN4093" s="78" t="n"/>
      <c r="CO4093" s="209" t="n"/>
      <c r="CP4093" s="204" t="n"/>
      <c r="CQ4093" s="204" t="n"/>
      <c r="CR4093" s="204" t="n"/>
      <c r="CS4093" s="204" t="n"/>
      <c r="CT4093" s="204" t="n"/>
      <c r="CU4093" s="204" t="n"/>
      <c r="CV4093" s="204" t="n"/>
      <c r="CW4093" s="204" t="n"/>
    </row>
    <row r="4094">
      <c r="BF4094" s="78" t="n"/>
      <c r="BG4094" s="78" t="n"/>
      <c r="BH4094" s="78" t="n"/>
      <c r="BI4094" s="78" t="n"/>
      <c r="BJ4094" s="139" t="n"/>
      <c r="BK4094" s="204" t="n"/>
      <c r="BL4094" s="141" t="n"/>
      <c r="BM4094" s="205" t="n"/>
      <c r="BN4094" s="205" t="n"/>
      <c r="BO4094" s="206" t="n"/>
      <c r="BP4094" s="144" t="n"/>
      <c r="BQ4094" s="141" t="n"/>
      <c r="BR4094" s="207" t="n"/>
      <c r="BS4094" s="207" t="n"/>
      <c r="BT4094" s="207" t="n"/>
      <c r="BU4094" s="207" t="n"/>
      <c r="BV4094" s="208" t="n"/>
      <c r="BW4094" s="207" t="n"/>
      <c r="BX4094" s="207" t="n"/>
      <c r="BY4094" s="204" t="n"/>
      <c r="BZ4094" s="148" t="n"/>
      <c r="CA4094" s="204" t="n"/>
      <c r="CB4094" s="208" t="n"/>
      <c r="CC4094" s="139" t="n"/>
      <c r="CD4094" s="204" t="n"/>
      <c r="CE4094" s="204" t="n"/>
      <c r="CF4094" s="207" t="n"/>
      <c r="CG4094" s="208" t="n"/>
      <c r="CH4094" s="207" t="n"/>
      <c r="CI4094" s="208" t="n"/>
      <c r="CJ4094" s="204" t="n"/>
      <c r="CK4094" s="208" t="n"/>
      <c r="CL4094" s="208" t="n"/>
      <c r="CM4094" s="208" t="n"/>
      <c r="CN4094" s="78" t="n"/>
      <c r="CO4094" s="209" t="n"/>
      <c r="CP4094" s="204" t="n"/>
      <c r="CQ4094" s="204" t="n"/>
      <c r="CR4094" s="204" t="n"/>
      <c r="CS4094" s="204" t="n"/>
      <c r="CT4094" s="204" t="n"/>
      <c r="CU4094" s="204" t="n"/>
      <c r="CV4094" s="204" t="n"/>
      <c r="CW4094" s="204" t="n"/>
    </row>
    <row r="4095">
      <c r="BF4095" s="78" t="n"/>
      <c r="BG4095" s="78" t="n"/>
      <c r="BH4095" s="78" t="n"/>
      <c r="BI4095" s="78" t="n"/>
      <c r="BJ4095" s="139" t="n"/>
      <c r="BK4095" s="204" t="n"/>
      <c r="BL4095" s="141" t="n"/>
      <c r="BM4095" s="205" t="n"/>
      <c r="BN4095" s="205" t="n"/>
      <c r="BO4095" s="206" t="n"/>
      <c r="BP4095" s="144" t="n"/>
      <c r="BQ4095" s="141" t="n"/>
      <c r="BR4095" s="207" t="n"/>
      <c r="BS4095" s="207" t="n"/>
      <c r="BT4095" s="207" t="n"/>
      <c r="BU4095" s="207" t="n"/>
      <c r="BV4095" s="208" t="n"/>
      <c r="BW4095" s="207" t="n"/>
      <c r="BX4095" s="207" t="n"/>
      <c r="BY4095" s="204" t="n"/>
      <c r="BZ4095" s="148" t="n"/>
      <c r="CA4095" s="204" t="n"/>
      <c r="CB4095" s="208" t="n"/>
      <c r="CC4095" s="139" t="n"/>
      <c r="CD4095" s="204" t="n"/>
      <c r="CE4095" s="204" t="n"/>
      <c r="CF4095" s="207" t="n"/>
      <c r="CG4095" s="208" t="n"/>
      <c r="CH4095" s="207" t="n"/>
      <c r="CI4095" s="208" t="n"/>
      <c r="CJ4095" s="204" t="n"/>
      <c r="CK4095" s="208" t="n"/>
      <c r="CL4095" s="208" t="n"/>
      <c r="CM4095" s="208" t="n"/>
      <c r="CN4095" s="78" t="n"/>
      <c r="CO4095" s="209" t="n"/>
      <c r="CP4095" s="204" t="n"/>
      <c r="CQ4095" s="204" t="n"/>
      <c r="CR4095" s="204" t="n"/>
      <c r="CS4095" s="204" t="n"/>
      <c r="CT4095" s="204" t="n"/>
      <c r="CU4095" s="204" t="n"/>
      <c r="CV4095" s="204" t="n"/>
      <c r="CW4095" s="204" t="n"/>
    </row>
    <row r="4096">
      <c r="BF4096" s="78" t="n"/>
      <c r="BG4096" s="78" t="n"/>
      <c r="BH4096" s="78" t="n"/>
      <c r="BI4096" s="78" t="n"/>
      <c r="BJ4096" s="139" t="n"/>
      <c r="BK4096" s="204" t="n"/>
      <c r="BL4096" s="141" t="n"/>
      <c r="BM4096" s="205" t="n"/>
      <c r="BN4096" s="205" t="n"/>
      <c r="BO4096" s="206" t="n"/>
      <c r="BP4096" s="144" t="n"/>
      <c r="BQ4096" s="141" t="n"/>
      <c r="BR4096" s="207" t="n"/>
      <c r="BS4096" s="207" t="n"/>
      <c r="BT4096" s="207" t="n"/>
      <c r="BU4096" s="207" t="n"/>
      <c r="BV4096" s="208" t="n"/>
      <c r="BW4096" s="207" t="n"/>
      <c r="BX4096" s="207" t="n"/>
      <c r="BY4096" s="204" t="n"/>
      <c r="BZ4096" s="148" t="n"/>
      <c r="CA4096" s="204" t="n"/>
      <c r="CB4096" s="208" t="n"/>
      <c r="CC4096" s="139" t="n"/>
      <c r="CD4096" s="204" t="n"/>
      <c r="CE4096" s="204" t="n"/>
      <c r="CF4096" s="207" t="n"/>
      <c r="CG4096" s="208" t="n"/>
      <c r="CH4096" s="207" t="n"/>
      <c r="CI4096" s="208" t="n"/>
      <c r="CJ4096" s="204" t="n"/>
      <c r="CK4096" s="208" t="n"/>
      <c r="CL4096" s="208" t="n"/>
      <c r="CM4096" s="208" t="n"/>
      <c r="CN4096" s="78" t="n"/>
      <c r="CO4096" s="209" t="n"/>
      <c r="CP4096" s="204" t="n"/>
      <c r="CQ4096" s="204" t="n"/>
      <c r="CR4096" s="204" t="n"/>
      <c r="CS4096" s="204" t="n"/>
      <c r="CT4096" s="204" t="n"/>
      <c r="CU4096" s="204" t="n"/>
      <c r="CV4096" s="204" t="n"/>
      <c r="CW4096" s="204" t="n"/>
    </row>
    <row r="4097">
      <c r="BF4097" s="78" t="n"/>
      <c r="BG4097" s="78" t="n"/>
      <c r="BH4097" s="78" t="n"/>
      <c r="BI4097" s="78" t="n"/>
      <c r="BJ4097" s="139" t="n"/>
      <c r="BK4097" s="204" t="n"/>
      <c r="BL4097" s="141" t="n"/>
      <c r="BM4097" s="205" t="n"/>
      <c r="BN4097" s="205" t="n"/>
      <c r="BO4097" s="206" t="n"/>
      <c r="BP4097" s="144" t="n"/>
      <c r="BQ4097" s="141" t="n"/>
      <c r="BR4097" s="207" t="n"/>
      <c r="BS4097" s="207" t="n"/>
      <c r="BT4097" s="207" t="n"/>
      <c r="BU4097" s="207" t="n"/>
      <c r="BV4097" s="208" t="n"/>
      <c r="BW4097" s="207" t="n"/>
      <c r="BX4097" s="207" t="n"/>
      <c r="BY4097" s="204" t="n"/>
      <c r="BZ4097" s="148" t="n"/>
      <c r="CA4097" s="204" t="n"/>
      <c r="CB4097" s="208" t="n"/>
      <c r="CC4097" s="139" t="n"/>
      <c r="CD4097" s="204" t="n"/>
      <c r="CE4097" s="204" t="n"/>
      <c r="CF4097" s="207" t="n"/>
      <c r="CG4097" s="208" t="n"/>
      <c r="CH4097" s="207" t="n"/>
      <c r="CI4097" s="208" t="n"/>
      <c r="CJ4097" s="204" t="n"/>
      <c r="CK4097" s="208" t="n"/>
      <c r="CL4097" s="208" t="n"/>
      <c r="CM4097" s="208" t="n"/>
      <c r="CN4097" s="78" t="n"/>
      <c r="CO4097" s="209" t="n"/>
      <c r="CP4097" s="204" t="n"/>
      <c r="CQ4097" s="204" t="n"/>
      <c r="CR4097" s="204" t="n"/>
      <c r="CS4097" s="204" t="n"/>
      <c r="CT4097" s="204" t="n"/>
      <c r="CU4097" s="204" t="n"/>
      <c r="CV4097" s="204" t="n"/>
      <c r="CW4097" s="204" t="n"/>
    </row>
    <row r="4098">
      <c r="BF4098" s="78" t="n"/>
      <c r="BG4098" s="78" t="n"/>
      <c r="BH4098" s="78" t="n"/>
      <c r="BI4098" s="78" t="n"/>
      <c r="BJ4098" s="139" t="n"/>
      <c r="BK4098" s="204" t="n"/>
      <c r="BL4098" s="141" t="n"/>
      <c r="BM4098" s="205" t="n"/>
      <c r="BN4098" s="205" t="n"/>
      <c r="BO4098" s="206" t="n"/>
      <c r="BP4098" s="144" t="n"/>
      <c r="BQ4098" s="141" t="n"/>
      <c r="BR4098" s="207" t="n"/>
      <c r="BS4098" s="207" t="n"/>
      <c r="BT4098" s="207" t="n"/>
      <c r="BU4098" s="207" t="n"/>
      <c r="BV4098" s="208" t="n"/>
      <c r="BW4098" s="207" t="n"/>
      <c r="BX4098" s="207" t="n"/>
      <c r="BY4098" s="204" t="n"/>
      <c r="BZ4098" s="148" t="n"/>
      <c r="CA4098" s="204" t="n"/>
      <c r="CB4098" s="208" t="n"/>
      <c r="CC4098" s="139" t="n"/>
      <c r="CD4098" s="204" t="n"/>
      <c r="CE4098" s="204" t="n"/>
      <c r="CF4098" s="207" t="n"/>
      <c r="CG4098" s="208" t="n"/>
      <c r="CH4098" s="207" t="n"/>
      <c r="CI4098" s="208" t="n"/>
      <c r="CJ4098" s="204" t="n"/>
      <c r="CK4098" s="208" t="n"/>
      <c r="CL4098" s="208" t="n"/>
      <c r="CM4098" s="208" t="n"/>
      <c r="CN4098" s="78" t="n"/>
      <c r="CO4098" s="209" t="n"/>
      <c r="CP4098" s="204" t="n"/>
      <c r="CQ4098" s="204" t="n"/>
      <c r="CR4098" s="204" t="n"/>
      <c r="CS4098" s="204" t="n"/>
      <c r="CT4098" s="204" t="n"/>
      <c r="CU4098" s="204" t="n"/>
      <c r="CV4098" s="204" t="n"/>
      <c r="CW4098" s="204" t="n"/>
    </row>
    <row r="4099">
      <c r="AR4099" s="151" t="n"/>
      <c r="BF4099" s="78" t="n"/>
      <c r="BG4099" s="78" t="n"/>
      <c r="BH4099" s="78" t="n"/>
      <c r="BI4099" s="78" t="n"/>
      <c r="BJ4099" s="139" t="n"/>
      <c r="BK4099" s="204" t="n"/>
      <c r="BL4099" s="141" t="n"/>
      <c r="BM4099" s="205" t="n"/>
      <c r="BN4099" s="205" t="n"/>
      <c r="BO4099" s="206" t="n"/>
      <c r="BP4099" s="144" t="n"/>
      <c r="BQ4099" s="141" t="n"/>
      <c r="BR4099" s="207" t="n"/>
      <c r="BS4099" s="207" t="n"/>
      <c r="BT4099" s="207" t="n"/>
      <c r="BU4099" s="207" t="n"/>
      <c r="BV4099" s="208" t="n"/>
      <c r="BW4099" s="207" t="n"/>
      <c r="BX4099" s="207" t="n"/>
      <c r="BY4099" s="204" t="n"/>
      <c r="BZ4099" s="148" t="n"/>
      <c r="CA4099" s="204" t="n"/>
      <c r="CB4099" s="208" t="n"/>
      <c r="CC4099" s="139" t="n"/>
      <c r="CD4099" s="204" t="n"/>
      <c r="CE4099" s="204" t="n"/>
      <c r="CF4099" s="207" t="n"/>
      <c r="CG4099" s="208" t="n"/>
      <c r="CH4099" s="207" t="n"/>
      <c r="CI4099" s="208" t="n"/>
      <c r="CJ4099" s="204" t="n"/>
      <c r="CK4099" s="208" t="n"/>
      <c r="CL4099" s="208" t="n"/>
      <c r="CM4099" s="208" t="n"/>
      <c r="CN4099" s="78" t="n"/>
      <c r="CO4099" s="209" t="n"/>
      <c r="CP4099" s="204" t="n"/>
      <c r="CQ4099" s="204" t="n"/>
      <c r="CR4099" s="204" t="n"/>
      <c r="CS4099" s="204" t="n"/>
      <c r="CT4099" s="204" t="n"/>
      <c r="CU4099" s="204" t="n"/>
      <c r="CV4099" s="204" t="n"/>
      <c r="CW4099" s="204" t="n"/>
    </row>
    <row r="4100">
      <c r="AR4100" s="151" t="n"/>
      <c r="BF4100" s="78" t="n"/>
      <c r="BG4100" s="78" t="n"/>
      <c r="BH4100" s="78" t="n"/>
      <c r="BI4100" s="78" t="n"/>
      <c r="BJ4100" s="139" t="n"/>
      <c r="BK4100" s="204" t="n"/>
      <c r="BL4100" s="141" t="n"/>
      <c r="BM4100" s="205" t="n"/>
      <c r="BN4100" s="205" t="n"/>
      <c r="BO4100" s="206" t="n"/>
      <c r="BP4100" s="144" t="n"/>
      <c r="BQ4100" s="141" t="n"/>
      <c r="BR4100" s="207" t="n"/>
      <c r="BS4100" s="207" t="n"/>
      <c r="BT4100" s="207" t="n"/>
      <c r="BU4100" s="207" t="n"/>
      <c r="BV4100" s="208" t="n"/>
      <c r="BW4100" s="207" t="n"/>
      <c r="BX4100" s="207" t="n"/>
      <c r="BY4100" s="204" t="n"/>
      <c r="BZ4100" s="148" t="n"/>
      <c r="CA4100" s="204" t="n"/>
      <c r="CB4100" s="208" t="n"/>
      <c r="CC4100" s="139" t="n"/>
      <c r="CD4100" s="204" t="n"/>
      <c r="CE4100" s="204" t="n"/>
      <c r="CF4100" s="207" t="n"/>
      <c r="CG4100" s="208" t="n"/>
      <c r="CH4100" s="207" t="n"/>
      <c r="CI4100" s="208" t="n"/>
      <c r="CJ4100" s="204" t="n"/>
      <c r="CK4100" s="208" t="n"/>
      <c r="CL4100" s="208" t="n"/>
      <c r="CM4100" s="208" t="n"/>
      <c r="CN4100" s="78" t="n"/>
      <c r="CO4100" s="209" t="n"/>
      <c r="CP4100" s="204" t="n"/>
      <c r="CQ4100" s="204" t="n"/>
      <c r="CR4100" s="204" t="n"/>
      <c r="CS4100" s="204" t="n"/>
      <c r="CT4100" s="204" t="n"/>
      <c r="CU4100" s="204" t="n"/>
      <c r="CV4100" s="204" t="n"/>
      <c r="CW4100" s="204" t="n"/>
    </row>
    <row r="4101">
      <c r="BF4101" s="78" t="n"/>
      <c r="BG4101" s="78" t="n"/>
      <c r="BH4101" s="78" t="n"/>
      <c r="BI4101" s="78" t="n"/>
      <c r="BJ4101" s="139" t="n"/>
      <c r="BK4101" s="204" t="n"/>
      <c r="BL4101" s="141" t="n"/>
      <c r="BM4101" s="205" t="n"/>
      <c r="BN4101" s="205" t="n"/>
      <c r="BO4101" s="206" t="n"/>
      <c r="BP4101" s="144" t="n"/>
      <c r="BQ4101" s="141" t="n"/>
      <c r="BR4101" s="207" t="n"/>
      <c r="BS4101" s="207" t="n"/>
      <c r="BT4101" s="207" t="n"/>
      <c r="BU4101" s="207" t="n"/>
      <c r="BV4101" s="208" t="n"/>
      <c r="BW4101" s="207" t="n"/>
      <c r="BX4101" s="207" t="n"/>
      <c r="BY4101" s="204" t="n"/>
      <c r="BZ4101" s="148" t="n"/>
      <c r="CA4101" s="204" t="n"/>
      <c r="CB4101" s="208" t="n"/>
      <c r="CC4101" s="139" t="n"/>
      <c r="CD4101" s="204" t="n"/>
      <c r="CE4101" s="204" t="n"/>
      <c r="CF4101" s="207" t="n"/>
      <c r="CG4101" s="208" t="n"/>
      <c r="CH4101" s="207" t="n"/>
      <c r="CI4101" s="208" t="n"/>
      <c r="CJ4101" s="204" t="n"/>
      <c r="CK4101" s="208" t="n"/>
      <c r="CL4101" s="208" t="n"/>
      <c r="CM4101" s="208" t="n"/>
      <c r="CN4101" s="78" t="n"/>
      <c r="CO4101" s="209" t="n"/>
      <c r="CP4101" s="204" t="n"/>
      <c r="CQ4101" s="204" t="n"/>
      <c r="CR4101" s="204" t="n"/>
      <c r="CS4101" s="204" t="n"/>
      <c r="CT4101" s="204" t="n"/>
      <c r="CU4101" s="204" t="n"/>
      <c r="CV4101" s="204" t="n"/>
      <c r="CW4101" s="204" t="n"/>
    </row>
    <row r="4102">
      <c r="BF4102" s="78" t="n"/>
      <c r="BG4102" s="78" t="n"/>
      <c r="BH4102" s="78" t="n"/>
      <c r="BI4102" s="78" t="n"/>
      <c r="BJ4102" s="139" t="n"/>
      <c r="BK4102" s="204" t="n"/>
      <c r="BL4102" s="141" t="n"/>
      <c r="BM4102" s="205" t="n"/>
      <c r="BN4102" s="205" t="n"/>
      <c r="BO4102" s="206" t="n"/>
      <c r="BP4102" s="144" t="n"/>
      <c r="BQ4102" s="141" t="n"/>
      <c r="BR4102" s="207" t="n"/>
      <c r="BS4102" s="207" t="n"/>
      <c r="BT4102" s="207" t="n"/>
      <c r="BU4102" s="207" t="n"/>
      <c r="BV4102" s="208" t="n"/>
      <c r="BW4102" s="207" t="n"/>
      <c r="BX4102" s="207" t="n"/>
      <c r="BY4102" s="204" t="n"/>
      <c r="BZ4102" s="148" t="n"/>
      <c r="CA4102" s="204" t="n"/>
      <c r="CB4102" s="208" t="n"/>
      <c r="CC4102" s="139" t="n"/>
      <c r="CD4102" s="204" t="n"/>
      <c r="CE4102" s="204" t="n"/>
      <c r="CF4102" s="207" t="n"/>
      <c r="CG4102" s="208" t="n"/>
      <c r="CH4102" s="207" t="n"/>
      <c r="CI4102" s="208" t="n"/>
      <c r="CJ4102" s="204" t="n"/>
      <c r="CK4102" s="208" t="n"/>
      <c r="CL4102" s="208" t="n"/>
      <c r="CM4102" s="208" t="n"/>
      <c r="CN4102" s="78" t="n"/>
      <c r="CO4102" s="209" t="n"/>
      <c r="CP4102" s="204" t="n"/>
      <c r="CQ4102" s="204" t="n"/>
      <c r="CR4102" s="204" t="n"/>
      <c r="CS4102" s="204" t="n"/>
      <c r="CT4102" s="204" t="n"/>
      <c r="CU4102" s="204" t="n"/>
      <c r="CV4102" s="204" t="n"/>
      <c r="CW4102" s="204" t="n"/>
    </row>
    <row r="4103">
      <c r="BF4103" s="78" t="n"/>
      <c r="BG4103" s="78" t="n"/>
      <c r="BH4103" s="78" t="n"/>
      <c r="BI4103" s="78" t="n"/>
      <c r="BJ4103" s="139" t="n"/>
      <c r="BK4103" s="204" t="n"/>
      <c r="BL4103" s="141" t="n"/>
      <c r="BM4103" s="205" t="n"/>
      <c r="BN4103" s="205" t="n"/>
      <c r="BO4103" s="206" t="n"/>
      <c r="BP4103" s="144" t="n"/>
      <c r="BQ4103" s="141" t="n"/>
      <c r="BR4103" s="207" t="n"/>
      <c r="BS4103" s="207" t="n"/>
      <c r="BT4103" s="207" t="n"/>
      <c r="BU4103" s="207" t="n"/>
      <c r="BV4103" s="208" t="n"/>
      <c r="BW4103" s="207" t="n"/>
      <c r="BX4103" s="207" t="n"/>
      <c r="BY4103" s="204" t="n"/>
      <c r="BZ4103" s="148" t="n"/>
      <c r="CA4103" s="204" t="n"/>
      <c r="CB4103" s="208" t="n"/>
      <c r="CC4103" s="139" t="n"/>
      <c r="CD4103" s="204" t="n"/>
      <c r="CE4103" s="204" t="n"/>
      <c r="CF4103" s="207" t="n"/>
      <c r="CG4103" s="208" t="n"/>
      <c r="CH4103" s="207" t="n"/>
      <c r="CI4103" s="208" t="n"/>
      <c r="CJ4103" s="204" t="n"/>
      <c r="CK4103" s="208" t="n"/>
      <c r="CL4103" s="208" t="n"/>
      <c r="CM4103" s="208" t="n"/>
      <c r="CN4103" s="78" t="n"/>
      <c r="CO4103" s="209" t="n"/>
      <c r="CP4103" s="204" t="n"/>
      <c r="CQ4103" s="204" t="n"/>
      <c r="CR4103" s="204" t="n"/>
      <c r="CS4103" s="204" t="n"/>
      <c r="CT4103" s="204" t="n"/>
      <c r="CU4103" s="204" t="n"/>
      <c r="CV4103" s="204" t="n"/>
      <c r="CW4103" s="204" t="n"/>
    </row>
    <row r="4104">
      <c r="BF4104" s="78" t="n"/>
      <c r="BG4104" s="78" t="n"/>
      <c r="BH4104" s="78" t="n"/>
      <c r="BI4104" s="78" t="n"/>
      <c r="BJ4104" s="139" t="n"/>
      <c r="BK4104" s="204" t="n"/>
      <c r="BL4104" s="141" t="n"/>
      <c r="BM4104" s="205" t="n"/>
      <c r="BN4104" s="205" t="n"/>
      <c r="BO4104" s="206" t="n"/>
      <c r="BP4104" s="144" t="n"/>
      <c r="BQ4104" s="141" t="n"/>
      <c r="BR4104" s="207" t="n"/>
      <c r="BS4104" s="207" t="n"/>
      <c r="BT4104" s="207" t="n"/>
      <c r="BU4104" s="207" t="n"/>
      <c r="BV4104" s="208" t="n"/>
      <c r="BW4104" s="207" t="n"/>
      <c r="BX4104" s="207" t="n"/>
      <c r="BY4104" s="204" t="n"/>
      <c r="BZ4104" s="148" t="n"/>
      <c r="CA4104" s="204" t="n"/>
      <c r="CB4104" s="208" t="n"/>
      <c r="CC4104" s="139" t="n"/>
      <c r="CD4104" s="204" t="n"/>
      <c r="CE4104" s="204" t="n"/>
      <c r="CF4104" s="207" t="n"/>
      <c r="CG4104" s="208" t="n"/>
      <c r="CH4104" s="207" t="n"/>
      <c r="CI4104" s="208" t="n"/>
      <c r="CJ4104" s="204" t="n"/>
      <c r="CK4104" s="208" t="n"/>
      <c r="CL4104" s="208" t="n"/>
      <c r="CM4104" s="208" t="n"/>
      <c r="CN4104" s="78" t="n"/>
      <c r="CO4104" s="209" t="n"/>
      <c r="CP4104" s="204" t="n"/>
      <c r="CQ4104" s="204" t="n"/>
      <c r="CR4104" s="204" t="n"/>
      <c r="CS4104" s="204" t="n"/>
      <c r="CT4104" s="204" t="n"/>
      <c r="CU4104" s="204" t="n"/>
      <c r="CV4104" s="204" t="n"/>
      <c r="CW4104" s="204" t="n"/>
    </row>
    <row r="4105">
      <c r="BF4105" s="78" t="n"/>
      <c r="BG4105" s="78" t="n"/>
      <c r="BH4105" s="78" t="n"/>
      <c r="BI4105" s="78" t="n"/>
      <c r="BJ4105" s="139" t="n"/>
      <c r="BK4105" s="204" t="n"/>
      <c r="BL4105" s="141" t="n"/>
      <c r="BM4105" s="205" t="n"/>
      <c r="BN4105" s="205" t="n"/>
      <c r="BO4105" s="206" t="n"/>
      <c r="BP4105" s="144" t="n"/>
      <c r="BQ4105" s="141" t="n"/>
      <c r="BR4105" s="207" t="n"/>
      <c r="BS4105" s="207" t="n"/>
      <c r="BT4105" s="207" t="n"/>
      <c r="BU4105" s="207" t="n"/>
      <c r="BV4105" s="208" t="n"/>
      <c r="BW4105" s="207" t="n"/>
      <c r="BX4105" s="207" t="n"/>
      <c r="BY4105" s="204" t="n"/>
      <c r="BZ4105" s="148" t="n"/>
      <c r="CA4105" s="204" t="n"/>
      <c r="CB4105" s="208" t="n"/>
      <c r="CC4105" s="139" t="n"/>
      <c r="CD4105" s="204" t="n"/>
      <c r="CE4105" s="204" t="n"/>
      <c r="CF4105" s="207" t="n"/>
      <c r="CG4105" s="208" t="n"/>
      <c r="CH4105" s="207" t="n"/>
      <c r="CI4105" s="208" t="n"/>
      <c r="CJ4105" s="204" t="n"/>
      <c r="CK4105" s="208" t="n"/>
      <c r="CL4105" s="208" t="n"/>
      <c r="CM4105" s="208" t="n"/>
      <c r="CN4105" s="78" t="n"/>
      <c r="CO4105" s="209" t="n"/>
      <c r="CP4105" s="204" t="n"/>
      <c r="CQ4105" s="204" t="n"/>
      <c r="CR4105" s="204" t="n"/>
      <c r="CS4105" s="204" t="n"/>
      <c r="CT4105" s="204" t="n"/>
      <c r="CU4105" s="204" t="n"/>
      <c r="CV4105" s="204" t="n"/>
      <c r="CW4105" s="204" t="n"/>
    </row>
    <row r="4106">
      <c r="AR4106" s="151" t="n"/>
      <c r="BF4106" s="78" t="n"/>
      <c r="BG4106" s="78" t="n"/>
      <c r="BH4106" s="78" t="n"/>
      <c r="BI4106" s="78" t="n"/>
      <c r="BJ4106" s="139" t="n"/>
      <c r="BK4106" s="204" t="n"/>
      <c r="BL4106" s="141" t="n"/>
      <c r="BM4106" s="205" t="n"/>
      <c r="BN4106" s="205" t="n"/>
      <c r="BO4106" s="206" t="n"/>
      <c r="BP4106" s="144" t="n"/>
      <c r="BQ4106" s="141" t="n"/>
      <c r="BR4106" s="207" t="n"/>
      <c r="BS4106" s="207" t="n"/>
      <c r="BT4106" s="207" t="n"/>
      <c r="BU4106" s="207" t="n"/>
      <c r="BV4106" s="208" t="n"/>
      <c r="BW4106" s="207" t="n"/>
      <c r="BX4106" s="207" t="n"/>
      <c r="BY4106" s="204" t="n"/>
      <c r="BZ4106" s="148" t="n"/>
      <c r="CA4106" s="204" t="n"/>
      <c r="CB4106" s="208" t="n"/>
      <c r="CC4106" s="139" t="n"/>
      <c r="CD4106" s="204" t="n"/>
      <c r="CE4106" s="204" t="n"/>
      <c r="CF4106" s="207" t="n"/>
      <c r="CG4106" s="208" t="n"/>
      <c r="CH4106" s="207" t="n"/>
      <c r="CI4106" s="208" t="n"/>
      <c r="CJ4106" s="204" t="n"/>
      <c r="CK4106" s="208" t="n"/>
      <c r="CL4106" s="208" t="n"/>
      <c r="CM4106" s="208" t="n"/>
      <c r="CN4106" s="78" t="n"/>
      <c r="CO4106" s="209" t="n"/>
      <c r="CP4106" s="204" t="n"/>
      <c r="CQ4106" s="204" t="n"/>
      <c r="CR4106" s="204" t="n"/>
      <c r="CS4106" s="204" t="n"/>
      <c r="CT4106" s="204" t="n"/>
      <c r="CU4106" s="204" t="n"/>
      <c r="CV4106" s="204" t="n"/>
      <c r="CW4106" s="204" t="n"/>
    </row>
    <row r="4107">
      <c r="BF4107" s="78" t="n"/>
      <c r="BG4107" s="78" t="n"/>
      <c r="BH4107" s="78" t="n"/>
      <c r="BI4107" s="78" t="n"/>
      <c r="BJ4107" s="139" t="n"/>
      <c r="BK4107" s="204" t="n"/>
      <c r="BL4107" s="141" t="n"/>
      <c r="BM4107" s="205" t="n"/>
      <c r="BN4107" s="205" t="n"/>
      <c r="BO4107" s="206" t="n"/>
      <c r="BP4107" s="144" t="n"/>
      <c r="BQ4107" s="141" t="n"/>
      <c r="BR4107" s="207" t="n"/>
      <c r="BS4107" s="207" t="n"/>
      <c r="BT4107" s="207" t="n"/>
      <c r="BU4107" s="207" t="n"/>
      <c r="BV4107" s="208" t="n"/>
      <c r="BW4107" s="207" t="n"/>
      <c r="BX4107" s="207" t="n"/>
      <c r="BY4107" s="204" t="n"/>
      <c r="BZ4107" s="148" t="n"/>
      <c r="CA4107" s="204" t="n"/>
      <c r="CB4107" s="208" t="n"/>
      <c r="CC4107" s="139" t="n"/>
      <c r="CD4107" s="204" t="n"/>
      <c r="CE4107" s="204" t="n"/>
      <c r="CF4107" s="207" t="n"/>
      <c r="CG4107" s="208" t="n"/>
      <c r="CH4107" s="207" t="n"/>
      <c r="CI4107" s="208" t="n"/>
      <c r="CJ4107" s="204" t="n"/>
      <c r="CK4107" s="208" t="n"/>
      <c r="CL4107" s="208" t="n"/>
      <c r="CM4107" s="208" t="n"/>
      <c r="CN4107" s="78" t="n"/>
      <c r="CO4107" s="209" t="n"/>
      <c r="CP4107" s="204" t="n"/>
      <c r="CQ4107" s="204" t="n"/>
      <c r="CR4107" s="204" t="n"/>
      <c r="CS4107" s="204" t="n"/>
      <c r="CT4107" s="204" t="n"/>
      <c r="CU4107" s="204" t="n"/>
      <c r="CV4107" s="204" t="n"/>
      <c r="CW4107" s="204" t="n"/>
    </row>
    <row r="4108">
      <c r="BF4108" s="78" t="n"/>
      <c r="BG4108" s="78" t="n"/>
      <c r="BH4108" s="78" t="n"/>
      <c r="BI4108" s="78" t="n"/>
      <c r="BJ4108" s="139" t="n"/>
      <c r="BK4108" s="204" t="n"/>
      <c r="BL4108" s="141" t="n"/>
      <c r="BM4108" s="205" t="n"/>
      <c r="BN4108" s="205" t="n"/>
      <c r="BO4108" s="206" t="n"/>
      <c r="BP4108" s="144" t="n"/>
      <c r="BQ4108" s="141" t="n"/>
      <c r="BR4108" s="207" t="n"/>
      <c r="BS4108" s="207" t="n"/>
      <c r="BT4108" s="207" t="n"/>
      <c r="BU4108" s="207" t="n"/>
      <c r="BV4108" s="208" t="n"/>
      <c r="BW4108" s="207" t="n"/>
      <c r="BX4108" s="207" t="n"/>
      <c r="BY4108" s="204" t="n"/>
      <c r="BZ4108" s="148" t="n"/>
      <c r="CA4108" s="204" t="n"/>
      <c r="CB4108" s="208" t="n"/>
      <c r="CC4108" s="139" t="n"/>
      <c r="CD4108" s="204" t="n"/>
      <c r="CE4108" s="204" t="n"/>
      <c r="CF4108" s="207" t="n"/>
      <c r="CG4108" s="208" t="n"/>
      <c r="CH4108" s="207" t="n"/>
      <c r="CI4108" s="208" t="n"/>
      <c r="CJ4108" s="204" t="n"/>
      <c r="CK4108" s="208" t="n"/>
      <c r="CL4108" s="208" t="n"/>
      <c r="CM4108" s="208" t="n"/>
      <c r="CN4108" s="78" t="n"/>
      <c r="CO4108" s="209" t="n"/>
      <c r="CP4108" s="204" t="n"/>
      <c r="CQ4108" s="204" t="n"/>
      <c r="CR4108" s="204" t="n"/>
      <c r="CS4108" s="204" t="n"/>
      <c r="CT4108" s="204" t="n"/>
      <c r="CU4108" s="204" t="n"/>
      <c r="CV4108" s="204" t="n"/>
      <c r="CW4108" s="204" t="n"/>
    </row>
    <row r="4109">
      <c r="BF4109" s="78" t="n"/>
      <c r="BG4109" s="78" t="n"/>
      <c r="BH4109" s="78" t="n"/>
      <c r="BI4109" s="78" t="n"/>
      <c r="BJ4109" s="139" t="n"/>
      <c r="BK4109" s="204" t="n"/>
      <c r="BL4109" s="141" t="n"/>
      <c r="BM4109" s="205" t="n"/>
      <c r="BN4109" s="205" t="n"/>
      <c r="BO4109" s="206" t="n"/>
      <c r="BP4109" s="144" t="n"/>
      <c r="BQ4109" s="141" t="n"/>
      <c r="BR4109" s="207" t="n"/>
      <c r="BS4109" s="207" t="n"/>
      <c r="BT4109" s="207" t="n"/>
      <c r="BU4109" s="207" t="n"/>
      <c r="BV4109" s="208" t="n"/>
      <c r="BW4109" s="207" t="n"/>
      <c r="BX4109" s="207" t="n"/>
      <c r="BY4109" s="204" t="n"/>
      <c r="BZ4109" s="148" t="n"/>
      <c r="CA4109" s="204" t="n"/>
      <c r="CB4109" s="208" t="n"/>
      <c r="CC4109" s="139" t="n"/>
      <c r="CD4109" s="204" t="n"/>
      <c r="CE4109" s="204" t="n"/>
      <c r="CF4109" s="207" t="n"/>
      <c r="CG4109" s="208" t="n"/>
      <c r="CH4109" s="207" t="n"/>
      <c r="CI4109" s="208" t="n"/>
      <c r="CJ4109" s="204" t="n"/>
      <c r="CK4109" s="208" t="n"/>
      <c r="CL4109" s="208" t="n"/>
      <c r="CM4109" s="208" t="n"/>
      <c r="CN4109" s="78" t="n"/>
      <c r="CO4109" s="209" t="n"/>
      <c r="CP4109" s="204" t="n"/>
      <c r="CQ4109" s="204" t="n"/>
      <c r="CR4109" s="204" t="n"/>
      <c r="CS4109" s="204" t="n"/>
      <c r="CT4109" s="204" t="n"/>
      <c r="CU4109" s="204" t="n"/>
      <c r="CV4109" s="204" t="n"/>
      <c r="CW4109" s="204" t="n"/>
    </row>
    <row r="4110">
      <c r="BF4110" s="78" t="n"/>
      <c r="BG4110" s="78" t="n"/>
      <c r="BH4110" s="78" t="n"/>
      <c r="BI4110" s="78" t="n"/>
      <c r="BJ4110" s="139" t="n"/>
      <c r="BK4110" s="204" t="n"/>
      <c r="BL4110" s="141" t="n"/>
      <c r="BM4110" s="205" t="n"/>
      <c r="BN4110" s="205" t="n"/>
      <c r="BO4110" s="206" t="n"/>
      <c r="BP4110" s="144" t="n"/>
      <c r="BQ4110" s="141" t="n"/>
      <c r="BR4110" s="207" t="n"/>
      <c r="BS4110" s="207" t="n"/>
      <c r="BT4110" s="207" t="n"/>
      <c r="BU4110" s="207" t="n"/>
      <c r="BV4110" s="208" t="n"/>
      <c r="BW4110" s="207" t="n"/>
      <c r="BX4110" s="207" t="n"/>
      <c r="BY4110" s="204" t="n"/>
      <c r="BZ4110" s="148" t="n"/>
      <c r="CA4110" s="204" t="n"/>
      <c r="CB4110" s="208" t="n"/>
      <c r="CC4110" s="139" t="n"/>
      <c r="CD4110" s="204" t="n"/>
      <c r="CE4110" s="204" t="n"/>
      <c r="CF4110" s="207" t="n"/>
      <c r="CG4110" s="208" t="n"/>
      <c r="CH4110" s="207" t="n"/>
      <c r="CI4110" s="208" t="n"/>
      <c r="CJ4110" s="204" t="n"/>
      <c r="CK4110" s="208" t="n"/>
      <c r="CL4110" s="208" t="n"/>
      <c r="CM4110" s="208" t="n"/>
      <c r="CN4110" s="78" t="n"/>
      <c r="CO4110" s="209" t="n"/>
      <c r="CP4110" s="204" t="n"/>
      <c r="CQ4110" s="204" t="n"/>
      <c r="CR4110" s="204" t="n"/>
      <c r="CS4110" s="204" t="n"/>
      <c r="CT4110" s="204" t="n"/>
      <c r="CU4110" s="204" t="n"/>
      <c r="CV4110" s="204" t="n"/>
      <c r="CW4110" s="204" t="n"/>
    </row>
    <row r="4111">
      <c r="BF4111" s="78" t="n"/>
      <c r="BG4111" s="78" t="n"/>
      <c r="BH4111" s="78" t="n"/>
      <c r="BI4111" s="78" t="n"/>
      <c r="BJ4111" s="139" t="n"/>
      <c r="BK4111" s="204" t="n"/>
      <c r="BL4111" s="141" t="n"/>
      <c r="BM4111" s="205" t="n"/>
      <c r="BN4111" s="205" t="n"/>
      <c r="BO4111" s="206" t="n"/>
      <c r="BP4111" s="144" t="n"/>
      <c r="BQ4111" s="141" t="n"/>
      <c r="BR4111" s="207" t="n"/>
      <c r="BS4111" s="207" t="n"/>
      <c r="BT4111" s="207" t="n"/>
      <c r="BU4111" s="207" t="n"/>
      <c r="BV4111" s="208" t="n"/>
      <c r="BW4111" s="207" t="n"/>
      <c r="BX4111" s="207" t="n"/>
      <c r="BY4111" s="204" t="n"/>
      <c r="BZ4111" s="148" t="n"/>
      <c r="CA4111" s="204" t="n"/>
      <c r="CB4111" s="208" t="n"/>
      <c r="CC4111" s="139" t="n"/>
      <c r="CD4111" s="204" t="n"/>
      <c r="CE4111" s="204" t="n"/>
      <c r="CF4111" s="207" t="n"/>
      <c r="CG4111" s="208" t="n"/>
      <c r="CH4111" s="207" t="n"/>
      <c r="CI4111" s="208" t="n"/>
      <c r="CJ4111" s="204" t="n"/>
      <c r="CK4111" s="208" t="n"/>
      <c r="CL4111" s="208" t="n"/>
      <c r="CM4111" s="208" t="n"/>
      <c r="CN4111" s="78" t="n"/>
      <c r="CO4111" s="209" t="n"/>
      <c r="CP4111" s="204" t="n"/>
      <c r="CQ4111" s="204" t="n"/>
      <c r="CR4111" s="204" t="n"/>
      <c r="CS4111" s="204" t="n"/>
      <c r="CT4111" s="204" t="n"/>
      <c r="CU4111" s="204" t="n"/>
      <c r="CV4111" s="204" t="n"/>
      <c r="CW4111" s="204" t="n"/>
    </row>
    <row r="4112">
      <c r="BF4112" s="78" t="n"/>
      <c r="BG4112" s="78" t="n"/>
      <c r="BH4112" s="78" t="n"/>
      <c r="BI4112" s="78" t="n"/>
      <c r="BJ4112" s="139" t="n"/>
      <c r="BK4112" s="204" t="n"/>
      <c r="BL4112" s="141" t="n"/>
      <c r="BM4112" s="205" t="n"/>
      <c r="BN4112" s="205" t="n"/>
      <c r="BO4112" s="206" t="n"/>
      <c r="BP4112" s="144" t="n"/>
      <c r="BQ4112" s="141" t="n"/>
      <c r="BR4112" s="207" t="n"/>
      <c r="BS4112" s="207" t="n"/>
      <c r="BT4112" s="207" t="n"/>
      <c r="BU4112" s="207" t="n"/>
      <c r="BV4112" s="208" t="n"/>
      <c r="BW4112" s="207" t="n"/>
      <c r="BX4112" s="207" t="n"/>
      <c r="BY4112" s="204" t="n"/>
      <c r="BZ4112" s="148" t="n"/>
      <c r="CA4112" s="204" t="n"/>
      <c r="CB4112" s="208" t="n"/>
      <c r="CC4112" s="139" t="n"/>
      <c r="CD4112" s="204" t="n"/>
      <c r="CE4112" s="204" t="n"/>
      <c r="CF4112" s="207" t="n"/>
      <c r="CG4112" s="208" t="n"/>
      <c r="CH4112" s="207" t="n"/>
      <c r="CI4112" s="208" t="n"/>
      <c r="CJ4112" s="204" t="n"/>
      <c r="CK4112" s="208" t="n"/>
      <c r="CL4112" s="208" t="n"/>
      <c r="CM4112" s="208" t="n"/>
      <c r="CN4112" s="78" t="n"/>
      <c r="CO4112" s="209" t="n"/>
      <c r="CP4112" s="204" t="n"/>
      <c r="CQ4112" s="204" t="n"/>
      <c r="CR4112" s="204" t="n"/>
      <c r="CS4112" s="204" t="n"/>
      <c r="CT4112" s="204" t="n"/>
      <c r="CU4112" s="204" t="n"/>
      <c r="CV4112" s="204" t="n"/>
      <c r="CW4112" s="204" t="n"/>
    </row>
    <row r="4113">
      <c r="BF4113" s="78" t="n"/>
      <c r="BG4113" s="78" t="n"/>
      <c r="BH4113" s="78" t="n"/>
      <c r="BI4113" s="78" t="n"/>
      <c r="BJ4113" s="139" t="n"/>
      <c r="BK4113" s="204" t="n"/>
      <c r="BL4113" s="141" t="n"/>
      <c r="BM4113" s="205" t="n"/>
      <c r="BN4113" s="205" t="n"/>
      <c r="BO4113" s="206" t="n"/>
      <c r="BP4113" s="144" t="n"/>
      <c r="BQ4113" s="141" t="n"/>
      <c r="BR4113" s="207" t="n"/>
      <c r="BS4113" s="207" t="n"/>
      <c r="BT4113" s="207" t="n"/>
      <c r="BU4113" s="207" t="n"/>
      <c r="BV4113" s="208" t="n"/>
      <c r="BW4113" s="207" t="n"/>
      <c r="BX4113" s="207" t="n"/>
      <c r="BY4113" s="204" t="n"/>
      <c r="BZ4113" s="148" t="n"/>
      <c r="CA4113" s="204" t="n"/>
      <c r="CB4113" s="208" t="n"/>
      <c r="CC4113" s="139" t="n"/>
      <c r="CD4113" s="204" t="n"/>
      <c r="CE4113" s="204" t="n"/>
      <c r="CF4113" s="207" t="n"/>
      <c r="CG4113" s="208" t="n"/>
      <c r="CH4113" s="207" t="n"/>
      <c r="CI4113" s="208" t="n"/>
      <c r="CJ4113" s="204" t="n"/>
      <c r="CK4113" s="208" t="n"/>
      <c r="CL4113" s="208" t="n"/>
      <c r="CM4113" s="208" t="n"/>
      <c r="CN4113" s="78" t="n"/>
      <c r="CO4113" s="209" t="n"/>
      <c r="CP4113" s="204" t="n"/>
      <c r="CQ4113" s="204" t="n"/>
      <c r="CR4113" s="204" t="n"/>
      <c r="CS4113" s="204" t="n"/>
      <c r="CT4113" s="204" t="n"/>
      <c r="CU4113" s="204" t="n"/>
      <c r="CV4113" s="204" t="n"/>
      <c r="CW4113" s="204" t="n"/>
    </row>
    <row r="4114">
      <c r="BF4114" s="78" t="n"/>
      <c r="BG4114" s="78" t="n"/>
      <c r="BH4114" s="78" t="n"/>
      <c r="BI4114" s="78" t="n"/>
      <c r="BJ4114" s="139" t="n"/>
      <c r="BK4114" s="204" t="n"/>
      <c r="BL4114" s="141" t="n"/>
      <c r="BM4114" s="205" t="n"/>
      <c r="BN4114" s="205" t="n"/>
      <c r="BO4114" s="206" t="n"/>
      <c r="BP4114" s="144" t="n"/>
      <c r="BQ4114" s="141" t="n"/>
      <c r="BR4114" s="207" t="n"/>
      <c r="BS4114" s="207" t="n"/>
      <c r="BT4114" s="207" t="n"/>
      <c r="BU4114" s="207" t="n"/>
      <c r="BV4114" s="208" t="n"/>
      <c r="BW4114" s="207" t="n"/>
      <c r="BX4114" s="207" t="n"/>
      <c r="BY4114" s="204" t="n"/>
      <c r="BZ4114" s="148" t="n"/>
      <c r="CA4114" s="204" t="n"/>
      <c r="CB4114" s="208" t="n"/>
      <c r="CC4114" s="139" t="n"/>
      <c r="CD4114" s="204" t="n"/>
      <c r="CE4114" s="204" t="n"/>
      <c r="CF4114" s="207" t="n"/>
      <c r="CG4114" s="208" t="n"/>
      <c r="CH4114" s="207" t="n"/>
      <c r="CI4114" s="208" t="n"/>
      <c r="CJ4114" s="204" t="n"/>
      <c r="CK4114" s="208" t="n"/>
      <c r="CL4114" s="208" t="n"/>
      <c r="CM4114" s="208" t="n"/>
      <c r="CN4114" s="78" t="n"/>
      <c r="CO4114" s="209" t="n"/>
      <c r="CP4114" s="204" t="n"/>
      <c r="CQ4114" s="204" t="n"/>
      <c r="CR4114" s="204" t="n"/>
      <c r="CS4114" s="204" t="n"/>
      <c r="CT4114" s="204" t="n"/>
      <c r="CU4114" s="204" t="n"/>
      <c r="CV4114" s="204" t="n"/>
      <c r="CW4114" s="204" t="n"/>
    </row>
    <row r="4115">
      <c r="BF4115" s="78" t="n"/>
      <c r="BG4115" s="78" t="n"/>
      <c r="BH4115" s="78" t="n"/>
      <c r="BI4115" s="78" t="n"/>
      <c r="BJ4115" s="139" t="n"/>
      <c r="BK4115" s="204" t="n"/>
      <c r="BL4115" s="141" t="n"/>
      <c r="BM4115" s="205" t="n"/>
      <c r="BN4115" s="205" t="n"/>
      <c r="BO4115" s="206" t="n"/>
      <c r="BP4115" s="144" t="n"/>
      <c r="BQ4115" s="141" t="n"/>
      <c r="BR4115" s="207" t="n"/>
      <c r="BS4115" s="207" t="n"/>
      <c r="BT4115" s="207" t="n"/>
      <c r="BU4115" s="207" t="n"/>
      <c r="BV4115" s="208" t="n"/>
      <c r="BW4115" s="207" t="n"/>
      <c r="BX4115" s="207" t="n"/>
      <c r="BY4115" s="204" t="n"/>
      <c r="BZ4115" s="148" t="n"/>
      <c r="CA4115" s="204" t="n"/>
      <c r="CB4115" s="208" t="n"/>
      <c r="CC4115" s="139" t="n"/>
      <c r="CD4115" s="204" t="n"/>
      <c r="CE4115" s="204" t="n"/>
      <c r="CF4115" s="207" t="n"/>
      <c r="CG4115" s="208" t="n"/>
      <c r="CH4115" s="207" t="n"/>
      <c r="CI4115" s="208" t="n"/>
      <c r="CJ4115" s="204" t="n"/>
      <c r="CK4115" s="208" t="n"/>
      <c r="CL4115" s="208" t="n"/>
      <c r="CM4115" s="208" t="n"/>
      <c r="CN4115" s="78" t="n"/>
      <c r="CO4115" s="209" t="n"/>
      <c r="CP4115" s="204" t="n"/>
      <c r="CQ4115" s="204" t="n"/>
      <c r="CR4115" s="204" t="n"/>
      <c r="CS4115" s="204" t="n"/>
      <c r="CT4115" s="204" t="n"/>
      <c r="CU4115" s="204" t="n"/>
      <c r="CV4115" s="204" t="n"/>
      <c r="CW4115" s="204" t="n"/>
    </row>
    <row r="4116">
      <c r="BF4116" s="78" t="n"/>
      <c r="BG4116" s="78" t="n"/>
      <c r="BH4116" s="78" t="n"/>
      <c r="BI4116" s="78" t="n"/>
      <c r="BJ4116" s="139" t="n"/>
      <c r="BK4116" s="204" t="n"/>
      <c r="BL4116" s="141" t="n"/>
      <c r="BM4116" s="205" t="n"/>
      <c r="BN4116" s="205" t="n"/>
      <c r="BO4116" s="206" t="n"/>
      <c r="BP4116" s="144" t="n"/>
      <c r="BQ4116" s="141" t="n"/>
      <c r="BR4116" s="207" t="n"/>
      <c r="BS4116" s="207" t="n"/>
      <c r="BT4116" s="207" t="n"/>
      <c r="BU4116" s="207" t="n"/>
      <c r="BV4116" s="208" t="n"/>
      <c r="BW4116" s="207" t="n"/>
      <c r="BX4116" s="207" t="n"/>
      <c r="BY4116" s="204" t="n"/>
      <c r="BZ4116" s="148" t="n"/>
      <c r="CA4116" s="204" t="n"/>
      <c r="CB4116" s="208" t="n"/>
      <c r="CC4116" s="139" t="n"/>
      <c r="CD4116" s="204" t="n"/>
      <c r="CE4116" s="204" t="n"/>
      <c r="CF4116" s="207" t="n"/>
      <c r="CG4116" s="208" t="n"/>
      <c r="CH4116" s="207" t="n"/>
      <c r="CI4116" s="208" t="n"/>
      <c r="CJ4116" s="204" t="n"/>
      <c r="CK4116" s="208" t="n"/>
      <c r="CL4116" s="208" t="n"/>
      <c r="CM4116" s="208" t="n"/>
      <c r="CN4116" s="78" t="n"/>
      <c r="CO4116" s="209" t="n"/>
      <c r="CP4116" s="204" t="n"/>
      <c r="CQ4116" s="204" t="n"/>
      <c r="CR4116" s="204" t="n"/>
      <c r="CS4116" s="204" t="n"/>
      <c r="CT4116" s="204" t="n"/>
      <c r="CU4116" s="204" t="n"/>
      <c r="CV4116" s="204" t="n"/>
      <c r="CW4116" s="204" t="n"/>
    </row>
    <row r="4117">
      <c r="BF4117" s="78" t="n"/>
      <c r="BG4117" s="78" t="n"/>
      <c r="BH4117" s="78" t="n"/>
      <c r="BI4117" s="78" t="n"/>
      <c r="BJ4117" s="139" t="n"/>
      <c r="BK4117" s="204" t="n"/>
      <c r="BL4117" s="141" t="n"/>
      <c r="BM4117" s="205" t="n"/>
      <c r="BN4117" s="205" t="n"/>
      <c r="BO4117" s="206" t="n"/>
      <c r="BP4117" s="144" t="n"/>
      <c r="BQ4117" s="141" t="n"/>
      <c r="BR4117" s="207" t="n"/>
      <c r="BS4117" s="207" t="n"/>
      <c r="BT4117" s="207" t="n"/>
      <c r="BU4117" s="207" t="n"/>
      <c r="BV4117" s="208" t="n"/>
      <c r="BW4117" s="207" t="n"/>
      <c r="BX4117" s="207" t="n"/>
      <c r="BY4117" s="204" t="n"/>
      <c r="BZ4117" s="148" t="n"/>
      <c r="CA4117" s="204" t="n"/>
      <c r="CB4117" s="208" t="n"/>
      <c r="CC4117" s="139" t="n"/>
      <c r="CD4117" s="204" t="n"/>
      <c r="CE4117" s="204" t="n"/>
      <c r="CF4117" s="207" t="n"/>
      <c r="CG4117" s="208" t="n"/>
      <c r="CH4117" s="207" t="n"/>
      <c r="CI4117" s="208" t="n"/>
      <c r="CJ4117" s="204" t="n"/>
      <c r="CK4117" s="208" t="n"/>
      <c r="CL4117" s="208" t="n"/>
      <c r="CM4117" s="208" t="n"/>
      <c r="CN4117" s="78" t="n"/>
      <c r="CO4117" s="209" t="n"/>
      <c r="CP4117" s="204" t="n"/>
      <c r="CQ4117" s="204" t="n"/>
      <c r="CR4117" s="204" t="n"/>
      <c r="CS4117" s="204" t="n"/>
      <c r="CT4117" s="204" t="n"/>
      <c r="CU4117" s="204" t="n"/>
      <c r="CV4117" s="204" t="n"/>
      <c r="CW4117" s="204" t="n"/>
    </row>
    <row r="4118">
      <c r="BF4118" s="78" t="n"/>
      <c r="BG4118" s="78" t="n"/>
      <c r="BH4118" s="78" t="n"/>
      <c r="BI4118" s="78" t="n"/>
      <c r="BJ4118" s="139" t="n"/>
      <c r="BK4118" s="204" t="n"/>
      <c r="BL4118" s="141" t="n"/>
      <c r="BM4118" s="205" t="n"/>
      <c r="BN4118" s="205" t="n"/>
      <c r="BO4118" s="206" t="n"/>
      <c r="BP4118" s="144" t="n"/>
      <c r="BQ4118" s="141" t="n"/>
      <c r="BR4118" s="207" t="n"/>
      <c r="BS4118" s="207" t="n"/>
      <c r="BT4118" s="207" t="n"/>
      <c r="BU4118" s="207" t="n"/>
      <c r="BV4118" s="208" t="n"/>
      <c r="BW4118" s="207" t="n"/>
      <c r="BX4118" s="207" t="n"/>
      <c r="BY4118" s="204" t="n"/>
      <c r="BZ4118" s="148" t="n"/>
      <c r="CA4118" s="204" t="n"/>
      <c r="CB4118" s="208" t="n"/>
      <c r="CC4118" s="139" t="n"/>
      <c r="CD4118" s="204" t="n"/>
      <c r="CE4118" s="204" t="n"/>
      <c r="CF4118" s="207" t="n"/>
      <c r="CG4118" s="208" t="n"/>
      <c r="CH4118" s="207" t="n"/>
      <c r="CI4118" s="208" t="n"/>
      <c r="CJ4118" s="204" t="n"/>
      <c r="CK4118" s="208" t="n"/>
      <c r="CL4118" s="208" t="n"/>
      <c r="CM4118" s="208" t="n"/>
      <c r="CN4118" s="78" t="n"/>
      <c r="CO4118" s="209" t="n"/>
      <c r="CP4118" s="204" t="n"/>
      <c r="CQ4118" s="204" t="n"/>
      <c r="CR4118" s="204" t="n"/>
      <c r="CS4118" s="204" t="n"/>
      <c r="CT4118" s="204" t="n"/>
      <c r="CU4118" s="204" t="n"/>
      <c r="CV4118" s="204" t="n"/>
      <c r="CW4118" s="204" t="n"/>
    </row>
    <row r="4119">
      <c r="BF4119" s="78" t="n"/>
      <c r="BG4119" s="78" t="n"/>
      <c r="BH4119" s="78" t="n"/>
      <c r="BI4119" s="78" t="n"/>
      <c r="BJ4119" s="139" t="n"/>
      <c r="BK4119" s="204" t="n"/>
      <c r="BL4119" s="141" t="n"/>
      <c r="BM4119" s="205" t="n"/>
      <c r="BN4119" s="205" t="n"/>
      <c r="BO4119" s="206" t="n"/>
      <c r="BP4119" s="144" t="n"/>
      <c r="BQ4119" s="141" t="n"/>
      <c r="BR4119" s="207" t="n"/>
      <c r="BS4119" s="207" t="n"/>
      <c r="BT4119" s="207" t="n"/>
      <c r="BU4119" s="207" t="n"/>
      <c r="BV4119" s="208" t="n"/>
      <c r="BW4119" s="207" t="n"/>
      <c r="BX4119" s="207" t="n"/>
      <c r="BY4119" s="204" t="n"/>
      <c r="BZ4119" s="148" t="n"/>
      <c r="CA4119" s="204" t="n"/>
      <c r="CB4119" s="208" t="n"/>
      <c r="CC4119" s="139" t="n"/>
      <c r="CD4119" s="204" t="n"/>
      <c r="CE4119" s="204" t="n"/>
      <c r="CF4119" s="207" t="n"/>
      <c r="CG4119" s="208" t="n"/>
      <c r="CH4119" s="207" t="n"/>
      <c r="CI4119" s="208" t="n"/>
      <c r="CJ4119" s="204" t="n"/>
      <c r="CK4119" s="208" t="n"/>
      <c r="CL4119" s="208" t="n"/>
      <c r="CM4119" s="208" t="n"/>
      <c r="CN4119" s="78" t="n"/>
      <c r="CO4119" s="209" t="n"/>
      <c r="CP4119" s="204" t="n"/>
      <c r="CQ4119" s="204" t="n"/>
      <c r="CR4119" s="204" t="n"/>
      <c r="CS4119" s="204" t="n"/>
      <c r="CT4119" s="204" t="n"/>
      <c r="CU4119" s="204" t="n"/>
      <c r="CV4119" s="204" t="n"/>
      <c r="CW4119" s="204" t="n"/>
    </row>
    <row r="4120">
      <c r="BF4120" s="78" t="n"/>
      <c r="BG4120" s="78" t="n"/>
      <c r="BH4120" s="78" t="n"/>
      <c r="BI4120" s="78" t="n"/>
      <c r="BJ4120" s="139" t="n"/>
      <c r="BK4120" s="204" t="n"/>
      <c r="BL4120" s="141" t="n"/>
      <c r="BM4120" s="205" t="n"/>
      <c r="BN4120" s="205" t="n"/>
      <c r="BO4120" s="206" t="n"/>
      <c r="BP4120" s="144" t="n"/>
      <c r="BQ4120" s="141" t="n"/>
      <c r="BR4120" s="207" t="n"/>
      <c r="BS4120" s="207" t="n"/>
      <c r="BT4120" s="207" t="n"/>
      <c r="BU4120" s="207" t="n"/>
      <c r="BV4120" s="208" t="n"/>
      <c r="BW4120" s="207" t="n"/>
      <c r="BX4120" s="207" t="n"/>
      <c r="BY4120" s="204" t="n"/>
      <c r="BZ4120" s="148" t="n"/>
      <c r="CA4120" s="204" t="n"/>
      <c r="CB4120" s="208" t="n"/>
      <c r="CC4120" s="139" t="n"/>
      <c r="CD4120" s="204" t="n"/>
      <c r="CE4120" s="204" t="n"/>
      <c r="CF4120" s="207" t="n"/>
      <c r="CG4120" s="208" t="n"/>
      <c r="CH4120" s="207" t="n"/>
      <c r="CI4120" s="208" t="n"/>
      <c r="CJ4120" s="204" t="n"/>
      <c r="CK4120" s="208" t="n"/>
      <c r="CL4120" s="208" t="n"/>
      <c r="CM4120" s="208" t="n"/>
      <c r="CN4120" s="78" t="n"/>
      <c r="CO4120" s="209" t="n"/>
      <c r="CP4120" s="204" t="n"/>
      <c r="CQ4120" s="204" t="n"/>
      <c r="CR4120" s="204" t="n"/>
      <c r="CS4120" s="204" t="n"/>
      <c r="CT4120" s="204" t="n"/>
      <c r="CU4120" s="204" t="n"/>
      <c r="CV4120" s="204" t="n"/>
      <c r="CW4120" s="204" t="n"/>
    </row>
    <row r="4121">
      <c r="AR4121" s="151" t="n"/>
      <c r="BF4121" s="78" t="n"/>
      <c r="BG4121" s="78" t="n"/>
      <c r="BH4121" s="78" t="n"/>
      <c r="BI4121" s="78" t="n"/>
      <c r="BJ4121" s="139" t="n"/>
      <c r="BK4121" s="204" t="n"/>
      <c r="BL4121" s="141" t="n"/>
      <c r="BM4121" s="205" t="n"/>
      <c r="BN4121" s="205" t="n"/>
      <c r="BO4121" s="206" t="n"/>
      <c r="BP4121" s="144" t="n"/>
      <c r="BQ4121" s="141" t="n"/>
      <c r="BR4121" s="207" t="n"/>
      <c r="BS4121" s="207" t="n"/>
      <c r="BT4121" s="207" t="n"/>
      <c r="BU4121" s="207" t="n"/>
      <c r="BV4121" s="208" t="n"/>
      <c r="BW4121" s="207" t="n"/>
      <c r="BX4121" s="207" t="n"/>
      <c r="BY4121" s="204" t="n"/>
      <c r="BZ4121" s="148" t="n"/>
      <c r="CA4121" s="204" t="n"/>
      <c r="CB4121" s="208" t="n"/>
      <c r="CC4121" s="139" t="n"/>
      <c r="CD4121" s="204" t="n"/>
      <c r="CE4121" s="204" t="n"/>
      <c r="CF4121" s="207" t="n"/>
      <c r="CG4121" s="208" t="n"/>
      <c r="CH4121" s="207" t="n"/>
      <c r="CI4121" s="208" t="n"/>
      <c r="CJ4121" s="204" t="n"/>
      <c r="CK4121" s="208" t="n"/>
      <c r="CL4121" s="208" t="n"/>
      <c r="CM4121" s="208" t="n"/>
      <c r="CN4121" s="78" t="n"/>
      <c r="CO4121" s="209" t="n"/>
      <c r="CP4121" s="204" t="n"/>
      <c r="CQ4121" s="204" t="n"/>
      <c r="CR4121" s="204" t="n"/>
      <c r="CS4121" s="204" t="n"/>
      <c r="CT4121" s="204" t="n"/>
      <c r="CU4121" s="204" t="n"/>
      <c r="CV4121" s="204" t="n"/>
      <c r="CW4121" s="204" t="n"/>
    </row>
    <row r="4122">
      <c r="AR4122" s="151" t="n"/>
      <c r="BF4122" s="78" t="n"/>
      <c r="BG4122" s="78" t="n"/>
      <c r="BH4122" s="78" t="n"/>
      <c r="BI4122" s="78" t="n"/>
      <c r="BJ4122" s="139" t="n"/>
      <c r="BK4122" s="204" t="n"/>
      <c r="BL4122" s="141" t="n"/>
      <c r="BM4122" s="205" t="n"/>
      <c r="BN4122" s="205" t="n"/>
      <c r="BO4122" s="206" t="n"/>
      <c r="BP4122" s="144" t="n"/>
      <c r="BQ4122" s="141" t="n"/>
      <c r="BR4122" s="207" t="n"/>
      <c r="BS4122" s="207" t="n"/>
      <c r="BT4122" s="207" t="n"/>
      <c r="BU4122" s="207" t="n"/>
      <c r="BV4122" s="208" t="n"/>
      <c r="BW4122" s="207" t="n"/>
      <c r="BX4122" s="207" t="n"/>
      <c r="BY4122" s="204" t="n"/>
      <c r="BZ4122" s="148" t="n"/>
      <c r="CA4122" s="204" t="n"/>
      <c r="CB4122" s="208" t="n"/>
      <c r="CC4122" s="139" t="n"/>
      <c r="CD4122" s="204" t="n"/>
      <c r="CE4122" s="204" t="n"/>
      <c r="CF4122" s="207" t="n"/>
      <c r="CG4122" s="208" t="n"/>
      <c r="CH4122" s="207" t="n"/>
      <c r="CI4122" s="208" t="n"/>
      <c r="CJ4122" s="204" t="n"/>
      <c r="CK4122" s="208" t="n"/>
      <c r="CL4122" s="208" t="n"/>
      <c r="CM4122" s="208" t="n"/>
      <c r="CN4122" s="78" t="n"/>
      <c r="CO4122" s="209" t="n"/>
      <c r="CP4122" s="204" t="n"/>
      <c r="CQ4122" s="204" t="n"/>
      <c r="CR4122" s="204" t="n"/>
      <c r="CS4122" s="204" t="n"/>
      <c r="CT4122" s="204" t="n"/>
      <c r="CU4122" s="204" t="n"/>
      <c r="CV4122" s="204" t="n"/>
      <c r="CW4122" s="204" t="n"/>
    </row>
    <row r="4123">
      <c r="BF4123" s="78" t="n"/>
      <c r="BG4123" s="78" t="n"/>
      <c r="BH4123" s="78" t="n"/>
      <c r="BI4123" s="78" t="n"/>
      <c r="BJ4123" s="139" t="n"/>
      <c r="BK4123" s="204" t="n"/>
      <c r="BL4123" s="141" t="n"/>
      <c r="BM4123" s="205" t="n"/>
      <c r="BN4123" s="205" t="n"/>
      <c r="BO4123" s="206" t="n"/>
      <c r="BP4123" s="144" t="n"/>
      <c r="BQ4123" s="141" t="n"/>
      <c r="BR4123" s="207" t="n"/>
      <c r="BS4123" s="207" t="n"/>
      <c r="BT4123" s="207" t="n"/>
      <c r="BU4123" s="207" t="n"/>
      <c r="BV4123" s="208" t="n"/>
      <c r="BW4123" s="207" t="n"/>
      <c r="BX4123" s="207" t="n"/>
      <c r="BY4123" s="204" t="n"/>
      <c r="BZ4123" s="148" t="n"/>
      <c r="CA4123" s="204" t="n"/>
      <c r="CB4123" s="208" t="n"/>
      <c r="CC4123" s="139" t="n"/>
      <c r="CD4123" s="204" t="n"/>
      <c r="CE4123" s="204" t="n"/>
      <c r="CF4123" s="207" t="n"/>
      <c r="CG4123" s="208" t="n"/>
      <c r="CH4123" s="207" t="n"/>
      <c r="CI4123" s="208" t="n"/>
      <c r="CJ4123" s="204" t="n"/>
      <c r="CK4123" s="208" t="n"/>
      <c r="CL4123" s="208" t="n"/>
      <c r="CM4123" s="208" t="n"/>
      <c r="CN4123" s="78" t="n"/>
      <c r="CO4123" s="209" t="n"/>
      <c r="CP4123" s="204" t="n"/>
      <c r="CQ4123" s="204" t="n"/>
      <c r="CR4123" s="204" t="n"/>
      <c r="CS4123" s="204" t="n"/>
      <c r="CT4123" s="204" t="n"/>
      <c r="CU4123" s="204" t="n"/>
      <c r="CV4123" s="204" t="n"/>
      <c r="CW4123" s="204" t="n"/>
    </row>
    <row r="4124">
      <c r="BF4124" s="78" t="n"/>
      <c r="BG4124" s="78" t="n"/>
      <c r="BH4124" s="78" t="n"/>
      <c r="BI4124" s="78" t="n"/>
      <c r="BJ4124" s="139" t="n"/>
      <c r="BK4124" s="204" t="n"/>
      <c r="BL4124" s="141" t="n"/>
      <c r="BM4124" s="205" t="n"/>
      <c r="BN4124" s="205" t="n"/>
      <c r="BO4124" s="206" t="n"/>
      <c r="BP4124" s="144" t="n"/>
      <c r="BQ4124" s="141" t="n"/>
      <c r="BR4124" s="207" t="n"/>
      <c r="BS4124" s="207" t="n"/>
      <c r="BT4124" s="207" t="n"/>
      <c r="BU4124" s="207" t="n"/>
      <c r="BV4124" s="208" t="n"/>
      <c r="BW4124" s="207" t="n"/>
      <c r="BX4124" s="207" t="n"/>
      <c r="BY4124" s="204" t="n"/>
      <c r="BZ4124" s="148" t="n"/>
      <c r="CA4124" s="204" t="n"/>
      <c r="CB4124" s="208" t="n"/>
      <c r="CC4124" s="139" t="n"/>
      <c r="CD4124" s="204" t="n"/>
      <c r="CE4124" s="204" t="n"/>
      <c r="CF4124" s="207" t="n"/>
      <c r="CG4124" s="208" t="n"/>
      <c r="CH4124" s="207" t="n"/>
      <c r="CI4124" s="208" t="n"/>
      <c r="CJ4124" s="204" t="n"/>
      <c r="CK4124" s="208" t="n"/>
      <c r="CL4124" s="208" t="n"/>
      <c r="CM4124" s="208" t="n"/>
      <c r="CN4124" s="78" t="n"/>
      <c r="CO4124" s="209" t="n"/>
      <c r="CP4124" s="204" t="n"/>
      <c r="CQ4124" s="204" t="n"/>
      <c r="CR4124" s="204" t="n"/>
      <c r="CS4124" s="204" t="n"/>
      <c r="CT4124" s="204" t="n"/>
      <c r="CU4124" s="204" t="n"/>
      <c r="CV4124" s="204" t="n"/>
      <c r="CW4124" s="204" t="n"/>
    </row>
    <row r="4125">
      <c r="BF4125" s="78" t="n"/>
      <c r="BG4125" s="78" t="n"/>
      <c r="BH4125" s="78" t="n"/>
      <c r="BI4125" s="78" t="n"/>
      <c r="BJ4125" s="139" t="n"/>
      <c r="BK4125" s="204" t="n"/>
      <c r="BL4125" s="141" t="n"/>
      <c r="BM4125" s="205" t="n"/>
      <c r="BN4125" s="205" t="n"/>
      <c r="BO4125" s="206" t="n"/>
      <c r="BP4125" s="144" t="n"/>
      <c r="BQ4125" s="141" t="n"/>
      <c r="BR4125" s="207" t="n"/>
      <c r="BS4125" s="207" t="n"/>
      <c r="BT4125" s="207" t="n"/>
      <c r="BU4125" s="207" t="n"/>
      <c r="BV4125" s="208" t="n"/>
      <c r="BW4125" s="207" t="n"/>
      <c r="BX4125" s="207" t="n"/>
      <c r="BY4125" s="204" t="n"/>
      <c r="BZ4125" s="148" t="n"/>
      <c r="CA4125" s="204" t="n"/>
      <c r="CB4125" s="208" t="n"/>
      <c r="CC4125" s="139" t="n"/>
      <c r="CD4125" s="204" t="n"/>
      <c r="CE4125" s="204" t="n"/>
      <c r="CF4125" s="207" t="n"/>
      <c r="CG4125" s="208" t="n"/>
      <c r="CH4125" s="207" t="n"/>
      <c r="CI4125" s="208" t="n"/>
      <c r="CJ4125" s="204" t="n"/>
      <c r="CK4125" s="208" t="n"/>
      <c r="CL4125" s="208" t="n"/>
      <c r="CM4125" s="208" t="n"/>
      <c r="CN4125" s="78" t="n"/>
      <c r="CO4125" s="209" t="n"/>
      <c r="CP4125" s="204" t="n"/>
      <c r="CQ4125" s="204" t="n"/>
      <c r="CR4125" s="204" t="n"/>
      <c r="CS4125" s="204" t="n"/>
      <c r="CT4125" s="204" t="n"/>
      <c r="CU4125" s="204" t="n"/>
      <c r="CV4125" s="204" t="n"/>
      <c r="CW4125" s="204" t="n"/>
    </row>
    <row r="4126">
      <c r="BF4126" s="78" t="n"/>
      <c r="BG4126" s="78" t="n"/>
      <c r="BH4126" s="78" t="n"/>
      <c r="BI4126" s="78" t="n"/>
      <c r="BJ4126" s="139" t="n"/>
      <c r="BK4126" s="204" t="n"/>
      <c r="BL4126" s="141" t="n"/>
      <c r="BM4126" s="205" t="n"/>
      <c r="BN4126" s="205" t="n"/>
      <c r="BO4126" s="206" t="n"/>
      <c r="BP4126" s="144" t="n"/>
      <c r="BQ4126" s="141" t="n"/>
      <c r="BR4126" s="207" t="n"/>
      <c r="BS4126" s="207" t="n"/>
      <c r="BT4126" s="207" t="n"/>
      <c r="BU4126" s="207" t="n"/>
      <c r="BV4126" s="208" t="n"/>
      <c r="BW4126" s="207" t="n"/>
      <c r="BX4126" s="207" t="n"/>
      <c r="BY4126" s="204" t="n"/>
      <c r="BZ4126" s="148" t="n"/>
      <c r="CA4126" s="204" t="n"/>
      <c r="CB4126" s="208" t="n"/>
      <c r="CC4126" s="139" t="n"/>
      <c r="CD4126" s="204" t="n"/>
      <c r="CE4126" s="204" t="n"/>
      <c r="CF4126" s="207" t="n"/>
      <c r="CG4126" s="208" t="n"/>
      <c r="CH4126" s="207" t="n"/>
      <c r="CI4126" s="208" t="n"/>
      <c r="CJ4126" s="204" t="n"/>
      <c r="CK4126" s="208" t="n"/>
      <c r="CL4126" s="208" t="n"/>
      <c r="CM4126" s="208" t="n"/>
      <c r="CN4126" s="78" t="n"/>
      <c r="CO4126" s="209" t="n"/>
      <c r="CP4126" s="204" t="n"/>
      <c r="CQ4126" s="204" t="n"/>
      <c r="CR4126" s="204" t="n"/>
      <c r="CS4126" s="204" t="n"/>
      <c r="CT4126" s="204" t="n"/>
      <c r="CU4126" s="204" t="n"/>
      <c r="CV4126" s="204" t="n"/>
      <c r="CW4126" s="204" t="n"/>
    </row>
    <row r="4127">
      <c r="BF4127" s="78" t="n"/>
      <c r="BG4127" s="78" t="n"/>
      <c r="BH4127" s="78" t="n"/>
      <c r="BI4127" s="78" t="n"/>
      <c r="BJ4127" s="139" t="n"/>
      <c r="BK4127" s="204" t="n"/>
      <c r="BL4127" s="141" t="n"/>
      <c r="BM4127" s="205" t="n"/>
      <c r="BN4127" s="205" t="n"/>
      <c r="BO4127" s="206" t="n"/>
      <c r="BP4127" s="144" t="n"/>
      <c r="BQ4127" s="141" t="n"/>
      <c r="BR4127" s="207" t="n"/>
      <c r="BS4127" s="207" t="n"/>
      <c r="BT4127" s="207" t="n"/>
      <c r="BU4127" s="207" t="n"/>
      <c r="BV4127" s="208" t="n"/>
      <c r="BW4127" s="207" t="n"/>
      <c r="BX4127" s="207" t="n"/>
      <c r="BY4127" s="204" t="n"/>
      <c r="BZ4127" s="148" t="n"/>
      <c r="CA4127" s="204" t="n"/>
      <c r="CB4127" s="208" t="n"/>
      <c r="CC4127" s="139" t="n"/>
      <c r="CD4127" s="204" t="n"/>
      <c r="CE4127" s="204" t="n"/>
      <c r="CF4127" s="207" t="n"/>
      <c r="CG4127" s="208" t="n"/>
      <c r="CH4127" s="207" t="n"/>
      <c r="CI4127" s="208" t="n"/>
      <c r="CJ4127" s="204" t="n"/>
      <c r="CK4127" s="208" t="n"/>
      <c r="CL4127" s="208" t="n"/>
      <c r="CM4127" s="208" t="n"/>
      <c r="CN4127" s="78" t="n"/>
      <c r="CO4127" s="209" t="n"/>
      <c r="CP4127" s="204" t="n"/>
      <c r="CQ4127" s="204" t="n"/>
      <c r="CR4127" s="204" t="n"/>
      <c r="CS4127" s="204" t="n"/>
      <c r="CT4127" s="204" t="n"/>
      <c r="CU4127" s="204" t="n"/>
      <c r="CV4127" s="204" t="n"/>
      <c r="CW4127" s="204" t="n"/>
    </row>
    <row r="4128">
      <c r="BF4128" s="78" t="n"/>
      <c r="BG4128" s="78" t="n"/>
      <c r="BH4128" s="78" t="n"/>
      <c r="BI4128" s="78" t="n"/>
      <c r="BJ4128" s="139" t="n"/>
      <c r="BK4128" s="204" t="n"/>
      <c r="BL4128" s="141" t="n"/>
      <c r="BM4128" s="205" t="n"/>
      <c r="BN4128" s="205" t="n"/>
      <c r="BO4128" s="206" t="n"/>
      <c r="BP4128" s="144" t="n"/>
      <c r="BQ4128" s="141" t="n"/>
      <c r="BR4128" s="207" t="n"/>
      <c r="BS4128" s="207" t="n"/>
      <c r="BT4128" s="207" t="n"/>
      <c r="BU4128" s="207" t="n"/>
      <c r="BV4128" s="208" t="n"/>
      <c r="BW4128" s="207" t="n"/>
      <c r="BX4128" s="207" t="n"/>
      <c r="BY4128" s="204" t="n"/>
      <c r="BZ4128" s="148" t="n"/>
      <c r="CA4128" s="204" t="n"/>
      <c r="CB4128" s="208" t="n"/>
      <c r="CC4128" s="139" t="n"/>
      <c r="CD4128" s="204" t="n"/>
      <c r="CE4128" s="204" t="n"/>
      <c r="CF4128" s="207" t="n"/>
      <c r="CG4128" s="208" t="n"/>
      <c r="CH4128" s="207" t="n"/>
      <c r="CI4128" s="208" t="n"/>
      <c r="CJ4128" s="204" t="n"/>
      <c r="CK4128" s="208" t="n"/>
      <c r="CL4128" s="208" t="n"/>
      <c r="CM4128" s="208" t="n"/>
      <c r="CN4128" s="78" t="n"/>
      <c r="CO4128" s="209" t="n"/>
      <c r="CP4128" s="204" t="n"/>
      <c r="CQ4128" s="204" t="n"/>
      <c r="CR4128" s="204" t="n"/>
      <c r="CS4128" s="204" t="n"/>
      <c r="CT4128" s="204" t="n"/>
      <c r="CU4128" s="204" t="n"/>
      <c r="CV4128" s="204" t="n"/>
      <c r="CW4128" s="204" t="n"/>
    </row>
    <row r="4129">
      <c r="BF4129" s="78" t="n"/>
      <c r="BG4129" s="78" t="n"/>
      <c r="BH4129" s="78" t="n"/>
      <c r="BI4129" s="78" t="n"/>
      <c r="BJ4129" s="139" t="n"/>
      <c r="BK4129" s="204" t="n"/>
      <c r="BL4129" s="141" t="n"/>
      <c r="BM4129" s="205" t="n"/>
      <c r="BN4129" s="205" t="n"/>
      <c r="BO4129" s="206" t="n"/>
      <c r="BP4129" s="144" t="n"/>
      <c r="BQ4129" s="141" t="n"/>
      <c r="BR4129" s="207" t="n"/>
      <c r="BS4129" s="207" t="n"/>
      <c r="BT4129" s="207" t="n"/>
      <c r="BU4129" s="207" t="n"/>
      <c r="BV4129" s="208" t="n"/>
      <c r="BW4129" s="207" t="n"/>
      <c r="BX4129" s="207" t="n"/>
      <c r="BY4129" s="204" t="n"/>
      <c r="BZ4129" s="148" t="n"/>
      <c r="CA4129" s="204" t="n"/>
      <c r="CB4129" s="208" t="n"/>
      <c r="CC4129" s="139" t="n"/>
      <c r="CD4129" s="204" t="n"/>
      <c r="CE4129" s="204" t="n"/>
      <c r="CF4129" s="207" t="n"/>
      <c r="CG4129" s="208" t="n"/>
      <c r="CH4129" s="207" t="n"/>
      <c r="CI4129" s="208" t="n"/>
      <c r="CJ4129" s="204" t="n"/>
      <c r="CK4129" s="208" t="n"/>
      <c r="CL4129" s="208" t="n"/>
      <c r="CM4129" s="208" t="n"/>
      <c r="CN4129" s="78" t="n"/>
      <c r="CO4129" s="209" t="n"/>
      <c r="CP4129" s="204" t="n"/>
      <c r="CQ4129" s="204" t="n"/>
      <c r="CR4129" s="204" t="n"/>
      <c r="CS4129" s="204" t="n"/>
      <c r="CT4129" s="204" t="n"/>
      <c r="CU4129" s="204" t="n"/>
      <c r="CV4129" s="204" t="n"/>
      <c r="CW4129" s="204" t="n"/>
    </row>
    <row r="4130">
      <c r="BF4130" s="78" t="n"/>
      <c r="BG4130" s="78" t="n"/>
      <c r="BH4130" s="78" t="n"/>
      <c r="BI4130" s="78" t="n"/>
      <c r="BJ4130" s="139" t="n"/>
      <c r="BK4130" s="204" t="n"/>
      <c r="BL4130" s="141" t="n"/>
      <c r="BM4130" s="205" t="n"/>
      <c r="BN4130" s="205" t="n"/>
      <c r="BO4130" s="206" t="n"/>
      <c r="BP4130" s="144" t="n"/>
      <c r="BQ4130" s="141" t="n"/>
      <c r="BR4130" s="207" t="n"/>
      <c r="BS4130" s="207" t="n"/>
      <c r="BT4130" s="207" t="n"/>
      <c r="BU4130" s="207" t="n"/>
      <c r="BV4130" s="208" t="n"/>
      <c r="BW4130" s="207" t="n"/>
      <c r="BX4130" s="207" t="n"/>
      <c r="BY4130" s="204" t="n"/>
      <c r="BZ4130" s="148" t="n"/>
      <c r="CA4130" s="204" t="n"/>
      <c r="CB4130" s="208" t="n"/>
      <c r="CC4130" s="139" t="n"/>
      <c r="CD4130" s="204" t="n"/>
      <c r="CE4130" s="204" t="n"/>
      <c r="CF4130" s="207" t="n"/>
      <c r="CG4130" s="208" t="n"/>
      <c r="CH4130" s="207" t="n"/>
      <c r="CI4130" s="208" t="n"/>
      <c r="CJ4130" s="204" t="n"/>
      <c r="CK4130" s="208" t="n"/>
      <c r="CL4130" s="208" t="n"/>
      <c r="CM4130" s="208" t="n"/>
      <c r="CN4130" s="78" t="n"/>
      <c r="CO4130" s="209" t="n"/>
      <c r="CP4130" s="204" t="n"/>
      <c r="CQ4130" s="204" t="n"/>
      <c r="CR4130" s="204" t="n"/>
      <c r="CS4130" s="204" t="n"/>
      <c r="CT4130" s="204" t="n"/>
      <c r="CU4130" s="204" t="n"/>
      <c r="CV4130" s="204" t="n"/>
      <c r="CW4130" s="204" t="n"/>
    </row>
    <row r="4131">
      <c r="BF4131" s="78" t="n"/>
      <c r="BG4131" s="78" t="n"/>
      <c r="BH4131" s="78" t="n"/>
      <c r="BI4131" s="78" t="n"/>
      <c r="BJ4131" s="139" t="n"/>
      <c r="BK4131" s="204" t="n"/>
      <c r="BL4131" s="141" t="n"/>
      <c r="BM4131" s="205" t="n"/>
      <c r="BN4131" s="205" t="n"/>
      <c r="BO4131" s="206" t="n"/>
      <c r="BP4131" s="144" t="n"/>
      <c r="BQ4131" s="141" t="n"/>
      <c r="BR4131" s="207" t="n"/>
      <c r="BS4131" s="207" t="n"/>
      <c r="BT4131" s="207" t="n"/>
      <c r="BU4131" s="207" t="n"/>
      <c r="BV4131" s="208" t="n"/>
      <c r="BW4131" s="207" t="n"/>
      <c r="BX4131" s="207" t="n"/>
      <c r="BY4131" s="204" t="n"/>
      <c r="BZ4131" s="148" t="n"/>
      <c r="CA4131" s="204" t="n"/>
      <c r="CB4131" s="208" t="n"/>
      <c r="CC4131" s="139" t="n"/>
      <c r="CD4131" s="204" t="n"/>
      <c r="CE4131" s="204" t="n"/>
      <c r="CF4131" s="207" t="n"/>
      <c r="CG4131" s="208" t="n"/>
      <c r="CH4131" s="207" t="n"/>
      <c r="CI4131" s="208" t="n"/>
      <c r="CJ4131" s="204" t="n"/>
      <c r="CK4131" s="208" t="n"/>
      <c r="CL4131" s="208" t="n"/>
      <c r="CM4131" s="208" t="n"/>
      <c r="CN4131" s="78" t="n"/>
      <c r="CO4131" s="209" t="n"/>
      <c r="CP4131" s="204" t="n"/>
      <c r="CQ4131" s="204" t="n"/>
      <c r="CR4131" s="204" t="n"/>
      <c r="CS4131" s="204" t="n"/>
      <c r="CT4131" s="204" t="n"/>
      <c r="CU4131" s="204" t="n"/>
      <c r="CV4131" s="204" t="n"/>
      <c r="CW4131" s="204" t="n"/>
    </row>
    <row r="4132">
      <c r="BF4132" s="78" t="n"/>
      <c r="BG4132" s="78" t="n"/>
      <c r="BH4132" s="78" t="n"/>
      <c r="BI4132" s="78" t="n"/>
      <c r="BJ4132" s="139" t="n"/>
      <c r="BK4132" s="204" t="n"/>
      <c r="BL4132" s="141" t="n"/>
      <c r="BM4132" s="205" t="n"/>
      <c r="BN4132" s="205" t="n"/>
      <c r="BO4132" s="206" t="n"/>
      <c r="BP4132" s="144" t="n"/>
      <c r="BQ4132" s="141" t="n"/>
      <c r="BR4132" s="207" t="n"/>
      <c r="BS4132" s="207" t="n"/>
      <c r="BT4132" s="207" t="n"/>
      <c r="BU4132" s="207" t="n"/>
      <c r="BV4132" s="208" t="n"/>
      <c r="BW4132" s="207" t="n"/>
      <c r="BX4132" s="207" t="n"/>
      <c r="BY4132" s="204" t="n"/>
      <c r="BZ4132" s="148" t="n"/>
      <c r="CA4132" s="204" t="n"/>
      <c r="CB4132" s="208" t="n"/>
      <c r="CC4132" s="139" t="n"/>
      <c r="CD4132" s="204" t="n"/>
      <c r="CE4132" s="204" t="n"/>
      <c r="CF4132" s="207" t="n"/>
      <c r="CG4132" s="208" t="n"/>
      <c r="CH4132" s="207" t="n"/>
      <c r="CI4132" s="208" t="n"/>
      <c r="CJ4132" s="204" t="n"/>
      <c r="CK4132" s="208" t="n"/>
      <c r="CL4132" s="208" t="n"/>
      <c r="CM4132" s="208" t="n"/>
      <c r="CN4132" s="78" t="n"/>
      <c r="CO4132" s="209" t="n"/>
      <c r="CP4132" s="204" t="n"/>
      <c r="CQ4132" s="204" t="n"/>
      <c r="CR4132" s="204" t="n"/>
      <c r="CS4132" s="204" t="n"/>
      <c r="CT4132" s="204" t="n"/>
      <c r="CU4132" s="204" t="n"/>
      <c r="CV4132" s="204" t="n"/>
      <c r="CW4132" s="204" t="n"/>
    </row>
    <row r="4133">
      <c r="BF4133" s="78" t="n"/>
      <c r="BG4133" s="78" t="n"/>
      <c r="BH4133" s="78" t="n"/>
      <c r="BI4133" s="78" t="n"/>
      <c r="BJ4133" s="139" t="n"/>
      <c r="BK4133" s="204" t="n"/>
      <c r="BL4133" s="141" t="n"/>
      <c r="BM4133" s="205" t="n"/>
      <c r="BN4133" s="205" t="n"/>
      <c r="BO4133" s="206" t="n"/>
      <c r="BP4133" s="144" t="n"/>
      <c r="BQ4133" s="141" t="n"/>
      <c r="BR4133" s="207" t="n"/>
      <c r="BS4133" s="207" t="n"/>
      <c r="BT4133" s="207" t="n"/>
      <c r="BU4133" s="207" t="n"/>
      <c r="BV4133" s="208" t="n"/>
      <c r="BW4133" s="207" t="n"/>
      <c r="BX4133" s="207" t="n"/>
      <c r="BY4133" s="204" t="n"/>
      <c r="BZ4133" s="148" t="n"/>
      <c r="CA4133" s="204" t="n"/>
      <c r="CB4133" s="208" t="n"/>
      <c r="CC4133" s="139" t="n"/>
      <c r="CD4133" s="204" t="n"/>
      <c r="CE4133" s="204" t="n"/>
      <c r="CF4133" s="207" t="n"/>
      <c r="CG4133" s="208" t="n"/>
      <c r="CH4133" s="207" t="n"/>
      <c r="CI4133" s="208" t="n"/>
      <c r="CJ4133" s="204" t="n"/>
      <c r="CK4133" s="208" t="n"/>
      <c r="CL4133" s="208" t="n"/>
      <c r="CM4133" s="208" t="n"/>
      <c r="CN4133" s="78" t="n"/>
      <c r="CO4133" s="209" t="n"/>
      <c r="CP4133" s="204" t="n"/>
      <c r="CQ4133" s="204" t="n"/>
      <c r="CR4133" s="204" t="n"/>
      <c r="CS4133" s="204" t="n"/>
      <c r="CT4133" s="204" t="n"/>
      <c r="CU4133" s="204" t="n"/>
      <c r="CV4133" s="204" t="n"/>
      <c r="CW4133" s="204" t="n"/>
    </row>
    <row r="4134">
      <c r="AR4134" s="151" t="n"/>
      <c r="BF4134" s="78" t="n"/>
      <c r="BG4134" s="78" t="n"/>
      <c r="BH4134" s="78" t="n"/>
      <c r="BI4134" s="78" t="n"/>
      <c r="BJ4134" s="139" t="n"/>
      <c r="BK4134" s="204" t="n"/>
      <c r="BL4134" s="141" t="n"/>
      <c r="BM4134" s="205" t="n"/>
      <c r="BN4134" s="205" t="n"/>
      <c r="BO4134" s="206" t="n"/>
      <c r="BP4134" s="144" t="n"/>
      <c r="BQ4134" s="141" t="n"/>
      <c r="BR4134" s="207" t="n"/>
      <c r="BS4134" s="207" t="n"/>
      <c r="BT4134" s="207" t="n"/>
      <c r="BU4134" s="207" t="n"/>
      <c r="BV4134" s="208" t="n"/>
      <c r="BW4134" s="207" t="n"/>
      <c r="BX4134" s="207" t="n"/>
      <c r="BY4134" s="204" t="n"/>
      <c r="BZ4134" s="148" t="n"/>
      <c r="CA4134" s="204" t="n"/>
      <c r="CB4134" s="208" t="n"/>
      <c r="CC4134" s="139" t="n"/>
      <c r="CD4134" s="204" t="n"/>
      <c r="CE4134" s="204" t="n"/>
      <c r="CF4134" s="207" t="n"/>
      <c r="CG4134" s="208" t="n"/>
      <c r="CH4134" s="207" t="n"/>
      <c r="CI4134" s="208" t="n"/>
      <c r="CJ4134" s="204" t="n"/>
      <c r="CK4134" s="208" t="n"/>
      <c r="CL4134" s="208" t="n"/>
      <c r="CM4134" s="208" t="n"/>
      <c r="CN4134" s="78" t="n"/>
      <c r="CO4134" s="209" t="n"/>
      <c r="CP4134" s="204" t="n"/>
      <c r="CQ4134" s="204" t="n"/>
      <c r="CR4134" s="204" t="n"/>
      <c r="CS4134" s="204" t="n"/>
      <c r="CT4134" s="204" t="n"/>
      <c r="CU4134" s="204" t="n"/>
      <c r="CV4134" s="204" t="n"/>
      <c r="CW4134" s="204" t="n"/>
    </row>
    <row r="4135">
      <c r="BF4135" s="78" t="n"/>
      <c r="BG4135" s="78" t="n"/>
      <c r="BH4135" s="78" t="n"/>
      <c r="BI4135" s="78" t="n"/>
      <c r="BJ4135" s="139" t="n"/>
      <c r="BK4135" s="204" t="n"/>
      <c r="BL4135" s="141" t="n"/>
      <c r="BM4135" s="205" t="n"/>
      <c r="BN4135" s="205" t="n"/>
      <c r="BO4135" s="206" t="n"/>
      <c r="BP4135" s="144" t="n"/>
      <c r="BQ4135" s="141" t="n"/>
      <c r="BR4135" s="207" t="n"/>
      <c r="BS4135" s="207" t="n"/>
      <c r="BT4135" s="207" t="n"/>
      <c r="BU4135" s="207" t="n"/>
      <c r="BV4135" s="208" t="n"/>
      <c r="BW4135" s="207" t="n"/>
      <c r="BX4135" s="207" t="n"/>
      <c r="BY4135" s="204" t="n"/>
      <c r="BZ4135" s="148" t="n"/>
      <c r="CA4135" s="204" t="n"/>
      <c r="CB4135" s="208" t="n"/>
      <c r="CC4135" s="139" t="n"/>
      <c r="CD4135" s="204" t="n"/>
      <c r="CE4135" s="204" t="n"/>
      <c r="CF4135" s="207" t="n"/>
      <c r="CG4135" s="208" t="n"/>
      <c r="CH4135" s="207" t="n"/>
      <c r="CI4135" s="208" t="n"/>
      <c r="CJ4135" s="204" t="n"/>
      <c r="CK4135" s="208" t="n"/>
      <c r="CL4135" s="208" t="n"/>
      <c r="CM4135" s="208" t="n"/>
      <c r="CN4135" s="78" t="n"/>
      <c r="CO4135" s="209" t="n"/>
      <c r="CP4135" s="204" t="n"/>
      <c r="CQ4135" s="204" t="n"/>
      <c r="CR4135" s="204" t="n"/>
      <c r="CS4135" s="204" t="n"/>
      <c r="CT4135" s="204" t="n"/>
      <c r="CU4135" s="204" t="n"/>
      <c r="CV4135" s="204" t="n"/>
      <c r="CW4135" s="204" t="n"/>
    </row>
    <row r="4136">
      <c r="BF4136" s="78" t="n"/>
      <c r="BG4136" s="78" t="n"/>
      <c r="BH4136" s="78" t="n"/>
      <c r="BI4136" s="78" t="n"/>
      <c r="BJ4136" s="139" t="n"/>
      <c r="BK4136" s="204" t="n"/>
      <c r="BL4136" s="141" t="n"/>
      <c r="BM4136" s="205" t="n"/>
      <c r="BN4136" s="205" t="n"/>
      <c r="BO4136" s="206" t="n"/>
      <c r="BP4136" s="144" t="n"/>
      <c r="BQ4136" s="141" t="n"/>
      <c r="BR4136" s="207" t="n"/>
      <c r="BS4136" s="207" t="n"/>
      <c r="BT4136" s="207" t="n"/>
      <c r="BU4136" s="207" t="n"/>
      <c r="BV4136" s="208" t="n"/>
      <c r="BW4136" s="207" t="n"/>
      <c r="BX4136" s="207" t="n"/>
      <c r="BY4136" s="204" t="n"/>
      <c r="BZ4136" s="148" t="n"/>
      <c r="CA4136" s="204" t="n"/>
      <c r="CB4136" s="208" t="n"/>
      <c r="CC4136" s="139" t="n"/>
      <c r="CD4136" s="204" t="n"/>
      <c r="CE4136" s="204" t="n"/>
      <c r="CF4136" s="207" t="n"/>
      <c r="CG4136" s="208" t="n"/>
      <c r="CH4136" s="207" t="n"/>
      <c r="CI4136" s="208" t="n"/>
      <c r="CJ4136" s="204" t="n"/>
      <c r="CK4136" s="208" t="n"/>
      <c r="CL4136" s="208" t="n"/>
      <c r="CM4136" s="208" t="n"/>
      <c r="CN4136" s="78" t="n"/>
      <c r="CO4136" s="209" t="n"/>
      <c r="CP4136" s="204" t="n"/>
      <c r="CQ4136" s="204" t="n"/>
      <c r="CR4136" s="204" t="n"/>
      <c r="CS4136" s="204" t="n"/>
      <c r="CT4136" s="204" t="n"/>
      <c r="CU4136" s="204" t="n"/>
      <c r="CV4136" s="204" t="n"/>
      <c r="CW4136" s="204" t="n"/>
    </row>
    <row r="4137">
      <c r="BF4137" s="78" t="n"/>
      <c r="BG4137" s="78" t="n"/>
      <c r="BH4137" s="78" t="n"/>
      <c r="BI4137" s="78" t="n"/>
      <c r="BJ4137" s="139" t="n"/>
      <c r="BK4137" s="204" t="n"/>
      <c r="BL4137" s="141" t="n"/>
      <c r="BM4137" s="205" t="n"/>
      <c r="BN4137" s="205" t="n"/>
      <c r="BO4137" s="206" t="n"/>
      <c r="BP4137" s="144" t="n"/>
      <c r="BQ4137" s="141" t="n"/>
      <c r="BR4137" s="207" t="n"/>
      <c r="BS4137" s="207" t="n"/>
      <c r="BT4137" s="207" t="n"/>
      <c r="BU4137" s="207" t="n"/>
      <c r="BV4137" s="208" t="n"/>
      <c r="BW4137" s="207" t="n"/>
      <c r="BX4137" s="207" t="n"/>
      <c r="BY4137" s="204" t="n"/>
      <c r="BZ4137" s="148" t="n"/>
      <c r="CA4137" s="204" t="n"/>
      <c r="CB4137" s="208" t="n"/>
      <c r="CC4137" s="139" t="n"/>
      <c r="CD4137" s="204" t="n"/>
      <c r="CE4137" s="204" t="n"/>
      <c r="CF4137" s="207" t="n"/>
      <c r="CG4137" s="208" t="n"/>
      <c r="CH4137" s="207" t="n"/>
      <c r="CI4137" s="208" t="n"/>
      <c r="CJ4137" s="204" t="n"/>
      <c r="CK4137" s="208" t="n"/>
      <c r="CL4137" s="208" t="n"/>
      <c r="CM4137" s="208" t="n"/>
      <c r="CN4137" s="78" t="n"/>
      <c r="CO4137" s="209" t="n"/>
      <c r="CP4137" s="204" t="n"/>
      <c r="CQ4137" s="204" t="n"/>
      <c r="CR4137" s="204" t="n"/>
      <c r="CS4137" s="204" t="n"/>
      <c r="CT4137" s="204" t="n"/>
      <c r="CU4137" s="204" t="n"/>
      <c r="CV4137" s="204" t="n"/>
      <c r="CW4137" s="204" t="n"/>
    </row>
    <row r="4138">
      <c r="BF4138" s="78" t="n"/>
      <c r="BG4138" s="78" t="n"/>
      <c r="BH4138" s="78" t="n"/>
      <c r="BI4138" s="78" t="n"/>
      <c r="BJ4138" s="139" t="n"/>
      <c r="BK4138" s="204" t="n"/>
      <c r="BL4138" s="141" t="n"/>
      <c r="BM4138" s="205" t="n"/>
      <c r="BN4138" s="205" t="n"/>
      <c r="BO4138" s="206" t="n"/>
      <c r="BP4138" s="144" t="n"/>
      <c r="BQ4138" s="141" t="n"/>
      <c r="BR4138" s="207" t="n"/>
      <c r="BS4138" s="207" t="n"/>
      <c r="BT4138" s="207" t="n"/>
      <c r="BU4138" s="207" t="n"/>
      <c r="BV4138" s="208" t="n"/>
      <c r="BW4138" s="207" t="n"/>
      <c r="BX4138" s="207" t="n"/>
      <c r="BY4138" s="204" t="n"/>
      <c r="BZ4138" s="148" t="n"/>
      <c r="CA4138" s="204" t="n"/>
      <c r="CB4138" s="208" t="n"/>
      <c r="CC4138" s="139" t="n"/>
      <c r="CD4138" s="204" t="n"/>
      <c r="CE4138" s="204" t="n"/>
      <c r="CF4138" s="207" t="n"/>
      <c r="CG4138" s="208" t="n"/>
      <c r="CH4138" s="207" t="n"/>
      <c r="CI4138" s="208" t="n"/>
      <c r="CJ4138" s="204" t="n"/>
      <c r="CK4138" s="208" t="n"/>
      <c r="CL4138" s="208" t="n"/>
      <c r="CM4138" s="208" t="n"/>
      <c r="CN4138" s="78" t="n"/>
      <c r="CO4138" s="209" t="n"/>
      <c r="CP4138" s="204" t="n"/>
      <c r="CQ4138" s="204" t="n"/>
      <c r="CR4138" s="204" t="n"/>
      <c r="CS4138" s="204" t="n"/>
      <c r="CT4138" s="204" t="n"/>
      <c r="CU4138" s="204" t="n"/>
      <c r="CV4138" s="204" t="n"/>
      <c r="CW4138" s="204" t="n"/>
    </row>
    <row r="4139">
      <c r="BF4139" s="78" t="n"/>
      <c r="BG4139" s="78" t="n"/>
      <c r="BH4139" s="78" t="n"/>
      <c r="BI4139" s="78" t="n"/>
      <c r="BJ4139" s="139" t="n"/>
      <c r="BK4139" s="204" t="n"/>
      <c r="BL4139" s="141" t="n"/>
      <c r="BM4139" s="205" t="n"/>
      <c r="BN4139" s="205" t="n"/>
      <c r="BO4139" s="206" t="n"/>
      <c r="BP4139" s="144" t="n"/>
      <c r="BQ4139" s="141" t="n"/>
      <c r="BR4139" s="207" t="n"/>
      <c r="BS4139" s="207" t="n"/>
      <c r="BT4139" s="207" t="n"/>
      <c r="BU4139" s="207" t="n"/>
      <c r="BV4139" s="208" t="n"/>
      <c r="BW4139" s="207" t="n"/>
      <c r="BX4139" s="207" t="n"/>
      <c r="BY4139" s="204" t="n"/>
      <c r="BZ4139" s="148" t="n"/>
      <c r="CA4139" s="204" t="n"/>
      <c r="CB4139" s="208" t="n"/>
      <c r="CC4139" s="139" t="n"/>
      <c r="CD4139" s="204" t="n"/>
      <c r="CE4139" s="204" t="n"/>
      <c r="CF4139" s="207" t="n"/>
      <c r="CG4139" s="208" t="n"/>
      <c r="CH4139" s="207" t="n"/>
      <c r="CI4139" s="208" t="n"/>
      <c r="CJ4139" s="204" t="n"/>
      <c r="CK4139" s="208" t="n"/>
      <c r="CL4139" s="208" t="n"/>
      <c r="CM4139" s="208" t="n"/>
      <c r="CN4139" s="78" t="n"/>
      <c r="CO4139" s="209" t="n"/>
      <c r="CP4139" s="204" t="n"/>
      <c r="CQ4139" s="204" t="n"/>
      <c r="CR4139" s="204" t="n"/>
      <c r="CS4139" s="204" t="n"/>
      <c r="CT4139" s="204" t="n"/>
      <c r="CU4139" s="204" t="n"/>
      <c r="CV4139" s="204" t="n"/>
      <c r="CW4139" s="204" t="n"/>
    </row>
    <row r="4140">
      <c r="BF4140" s="78" t="n"/>
      <c r="BG4140" s="78" t="n"/>
      <c r="BH4140" s="78" t="n"/>
      <c r="BI4140" s="78" t="n"/>
      <c r="BJ4140" s="139" t="n"/>
      <c r="BK4140" s="204" t="n"/>
      <c r="BL4140" s="141" t="n"/>
      <c r="BM4140" s="205" t="n"/>
      <c r="BN4140" s="205" t="n"/>
      <c r="BO4140" s="206" t="n"/>
      <c r="BP4140" s="144" t="n"/>
      <c r="BQ4140" s="141" t="n"/>
      <c r="BR4140" s="207" t="n"/>
      <c r="BS4140" s="207" t="n"/>
      <c r="BT4140" s="207" t="n"/>
      <c r="BU4140" s="207" t="n"/>
      <c r="BV4140" s="208" t="n"/>
      <c r="BW4140" s="207" t="n"/>
      <c r="BX4140" s="207" t="n"/>
      <c r="BY4140" s="204" t="n"/>
      <c r="BZ4140" s="148" t="n"/>
      <c r="CA4140" s="204" t="n"/>
      <c r="CB4140" s="208" t="n"/>
      <c r="CC4140" s="139" t="n"/>
      <c r="CD4140" s="204" t="n"/>
      <c r="CE4140" s="204" t="n"/>
      <c r="CF4140" s="207" t="n"/>
      <c r="CG4140" s="208" t="n"/>
      <c r="CH4140" s="207" t="n"/>
      <c r="CI4140" s="208" t="n"/>
      <c r="CJ4140" s="204" t="n"/>
      <c r="CK4140" s="208" t="n"/>
      <c r="CL4140" s="208" t="n"/>
      <c r="CM4140" s="208" t="n"/>
      <c r="CN4140" s="78" t="n"/>
      <c r="CO4140" s="209" t="n"/>
      <c r="CP4140" s="204" t="n"/>
      <c r="CQ4140" s="204" t="n"/>
      <c r="CR4140" s="204" t="n"/>
      <c r="CS4140" s="204" t="n"/>
      <c r="CT4140" s="204" t="n"/>
      <c r="CU4140" s="204" t="n"/>
      <c r="CV4140" s="204" t="n"/>
      <c r="CW4140" s="204" t="n"/>
    </row>
    <row r="4141">
      <c r="BF4141" s="78" t="n"/>
      <c r="BG4141" s="78" t="n"/>
      <c r="BH4141" s="78" t="n"/>
      <c r="BI4141" s="78" t="n"/>
      <c r="BJ4141" s="139" t="n"/>
      <c r="BK4141" s="204" t="n"/>
      <c r="BL4141" s="141" t="n"/>
      <c r="BM4141" s="205" t="n"/>
      <c r="BN4141" s="205" t="n"/>
      <c r="BO4141" s="206" t="n"/>
      <c r="BP4141" s="144" t="n"/>
      <c r="BQ4141" s="141" t="n"/>
      <c r="BR4141" s="207" t="n"/>
      <c r="BS4141" s="207" t="n"/>
      <c r="BT4141" s="207" t="n"/>
      <c r="BU4141" s="207" t="n"/>
      <c r="BV4141" s="208" t="n"/>
      <c r="BW4141" s="207" t="n"/>
      <c r="BX4141" s="207" t="n"/>
      <c r="BY4141" s="204" t="n"/>
      <c r="BZ4141" s="148" t="n"/>
      <c r="CA4141" s="204" t="n"/>
      <c r="CB4141" s="208" t="n"/>
      <c r="CC4141" s="139" t="n"/>
      <c r="CD4141" s="204" t="n"/>
      <c r="CE4141" s="204" t="n"/>
      <c r="CF4141" s="207" t="n"/>
      <c r="CG4141" s="208" t="n"/>
      <c r="CH4141" s="207" t="n"/>
      <c r="CI4141" s="208" t="n"/>
      <c r="CJ4141" s="204" t="n"/>
      <c r="CK4141" s="208" t="n"/>
      <c r="CL4141" s="208" t="n"/>
      <c r="CM4141" s="208" t="n"/>
      <c r="CN4141" s="78" t="n"/>
      <c r="CO4141" s="209" t="n"/>
      <c r="CP4141" s="204" t="n"/>
      <c r="CQ4141" s="204" t="n"/>
      <c r="CR4141" s="204" t="n"/>
      <c r="CS4141" s="204" t="n"/>
      <c r="CT4141" s="204" t="n"/>
      <c r="CU4141" s="204" t="n"/>
      <c r="CV4141" s="204" t="n"/>
      <c r="CW4141" s="204" t="n"/>
    </row>
    <row r="4142">
      <c r="AR4142" s="151" t="n"/>
      <c r="BF4142" s="78" t="n"/>
      <c r="BG4142" s="78" t="n"/>
      <c r="BH4142" s="78" t="n"/>
      <c r="BI4142" s="78" t="n"/>
      <c r="BJ4142" s="139" t="n"/>
      <c r="BK4142" s="204" t="n"/>
      <c r="BL4142" s="141" t="n"/>
      <c r="BM4142" s="205" t="n"/>
      <c r="BN4142" s="205" t="n"/>
      <c r="BO4142" s="206" t="n"/>
      <c r="BP4142" s="144" t="n"/>
      <c r="BQ4142" s="141" t="n"/>
      <c r="BR4142" s="207" t="n"/>
      <c r="BS4142" s="207" t="n"/>
      <c r="BT4142" s="207" t="n"/>
      <c r="BU4142" s="207" t="n"/>
      <c r="BV4142" s="208" t="n"/>
      <c r="BW4142" s="207" t="n"/>
      <c r="BX4142" s="207" t="n"/>
      <c r="BY4142" s="204" t="n"/>
      <c r="BZ4142" s="148" t="n"/>
      <c r="CA4142" s="204" t="n"/>
      <c r="CB4142" s="208" t="n"/>
      <c r="CC4142" s="139" t="n"/>
      <c r="CD4142" s="204" t="n"/>
      <c r="CE4142" s="204" t="n"/>
      <c r="CF4142" s="207" t="n"/>
      <c r="CG4142" s="208" t="n"/>
      <c r="CH4142" s="207" t="n"/>
      <c r="CI4142" s="208" t="n"/>
      <c r="CJ4142" s="204" t="n"/>
      <c r="CK4142" s="208" t="n"/>
      <c r="CL4142" s="208" t="n"/>
      <c r="CM4142" s="208" t="n"/>
      <c r="CN4142" s="78" t="n"/>
      <c r="CO4142" s="209" t="n"/>
      <c r="CP4142" s="204" t="n"/>
      <c r="CQ4142" s="204" t="n"/>
      <c r="CR4142" s="204" t="n"/>
      <c r="CS4142" s="204" t="n"/>
      <c r="CT4142" s="204" t="n"/>
      <c r="CU4142" s="204" t="n"/>
      <c r="CV4142" s="204" t="n"/>
      <c r="CW4142" s="204" t="n"/>
    </row>
    <row r="4143">
      <c r="BF4143" s="78" t="n"/>
      <c r="BG4143" s="78" t="n"/>
      <c r="BH4143" s="78" t="n"/>
      <c r="BI4143" s="78" t="n"/>
      <c r="BJ4143" s="139" t="n"/>
      <c r="BK4143" s="204" t="n"/>
      <c r="BL4143" s="141" t="n"/>
      <c r="BM4143" s="205" t="n"/>
      <c r="BN4143" s="205" t="n"/>
      <c r="BO4143" s="206" t="n"/>
      <c r="BP4143" s="144" t="n"/>
      <c r="BQ4143" s="141" t="n"/>
      <c r="BR4143" s="207" t="n"/>
      <c r="BS4143" s="207" t="n"/>
      <c r="BT4143" s="207" t="n"/>
      <c r="BU4143" s="207" t="n"/>
      <c r="BV4143" s="208" t="n"/>
      <c r="BW4143" s="207" t="n"/>
      <c r="BX4143" s="207" t="n"/>
      <c r="BY4143" s="204" t="n"/>
      <c r="BZ4143" s="148" t="n"/>
      <c r="CA4143" s="204" t="n"/>
      <c r="CB4143" s="208" t="n"/>
      <c r="CC4143" s="139" t="n"/>
      <c r="CD4143" s="204" t="n"/>
      <c r="CE4143" s="204" t="n"/>
      <c r="CF4143" s="207" t="n"/>
      <c r="CG4143" s="208" t="n"/>
      <c r="CH4143" s="207" t="n"/>
      <c r="CI4143" s="208" t="n"/>
      <c r="CJ4143" s="204" t="n"/>
      <c r="CK4143" s="208" t="n"/>
      <c r="CL4143" s="208" t="n"/>
      <c r="CM4143" s="208" t="n"/>
      <c r="CN4143" s="78" t="n"/>
      <c r="CO4143" s="209" t="n"/>
      <c r="CP4143" s="204" t="n"/>
      <c r="CQ4143" s="204" t="n"/>
      <c r="CR4143" s="204" t="n"/>
      <c r="CS4143" s="204" t="n"/>
      <c r="CT4143" s="204" t="n"/>
      <c r="CU4143" s="204" t="n"/>
      <c r="CV4143" s="204" t="n"/>
      <c r="CW4143" s="204" t="n"/>
    </row>
    <row r="4144">
      <c r="BF4144" s="78" t="n"/>
      <c r="BG4144" s="78" t="n"/>
      <c r="BH4144" s="78" t="n"/>
      <c r="BI4144" s="78" t="n"/>
      <c r="BJ4144" s="139" t="n"/>
      <c r="BK4144" s="204" t="n"/>
      <c r="BL4144" s="141" t="n"/>
      <c r="BM4144" s="205" t="n"/>
      <c r="BN4144" s="205" t="n"/>
      <c r="BO4144" s="206" t="n"/>
      <c r="BP4144" s="144" t="n"/>
      <c r="BQ4144" s="141" t="n"/>
      <c r="BR4144" s="207" t="n"/>
      <c r="BS4144" s="207" t="n"/>
      <c r="BT4144" s="207" t="n"/>
      <c r="BU4144" s="207" t="n"/>
      <c r="BV4144" s="208" t="n"/>
      <c r="BW4144" s="207" t="n"/>
      <c r="BX4144" s="207" t="n"/>
      <c r="BY4144" s="204" t="n"/>
      <c r="BZ4144" s="148" t="n"/>
      <c r="CA4144" s="204" t="n"/>
      <c r="CB4144" s="208" t="n"/>
      <c r="CC4144" s="139" t="n"/>
      <c r="CD4144" s="204" t="n"/>
      <c r="CE4144" s="204" t="n"/>
      <c r="CF4144" s="207" t="n"/>
      <c r="CG4144" s="208" t="n"/>
      <c r="CH4144" s="207" t="n"/>
      <c r="CI4144" s="208" t="n"/>
      <c r="CJ4144" s="204" t="n"/>
      <c r="CK4144" s="208" t="n"/>
      <c r="CL4144" s="208" t="n"/>
      <c r="CM4144" s="208" t="n"/>
      <c r="CN4144" s="78" t="n"/>
      <c r="CO4144" s="209" t="n"/>
      <c r="CP4144" s="204" t="n"/>
      <c r="CQ4144" s="204" t="n"/>
      <c r="CR4144" s="204" t="n"/>
      <c r="CS4144" s="204" t="n"/>
      <c r="CT4144" s="204" t="n"/>
      <c r="CU4144" s="204" t="n"/>
      <c r="CV4144" s="204" t="n"/>
      <c r="CW4144" s="204" t="n"/>
    </row>
    <row r="4145">
      <c r="BF4145" s="78" t="n"/>
      <c r="BG4145" s="78" t="n"/>
      <c r="BH4145" s="78" t="n"/>
      <c r="BI4145" s="78" t="n"/>
      <c r="BJ4145" s="139" t="n"/>
      <c r="BK4145" s="204" t="n"/>
      <c r="BL4145" s="141" t="n"/>
      <c r="BM4145" s="205" t="n"/>
      <c r="BN4145" s="205" t="n"/>
      <c r="BO4145" s="206" t="n"/>
      <c r="BP4145" s="144" t="n"/>
      <c r="BQ4145" s="141" t="n"/>
      <c r="BR4145" s="207" t="n"/>
      <c r="BS4145" s="207" t="n"/>
      <c r="BT4145" s="207" t="n"/>
      <c r="BU4145" s="207" t="n"/>
      <c r="BV4145" s="208" t="n"/>
      <c r="BW4145" s="207" t="n"/>
      <c r="BX4145" s="207" t="n"/>
      <c r="BY4145" s="204" t="n"/>
      <c r="BZ4145" s="148" t="n"/>
      <c r="CA4145" s="204" t="n"/>
      <c r="CB4145" s="208" t="n"/>
      <c r="CC4145" s="139" t="n"/>
      <c r="CD4145" s="204" t="n"/>
      <c r="CE4145" s="204" t="n"/>
      <c r="CF4145" s="207" t="n"/>
      <c r="CG4145" s="208" t="n"/>
      <c r="CH4145" s="207" t="n"/>
      <c r="CI4145" s="208" t="n"/>
      <c r="CJ4145" s="204" t="n"/>
      <c r="CK4145" s="208" t="n"/>
      <c r="CL4145" s="208" t="n"/>
      <c r="CM4145" s="208" t="n"/>
      <c r="CN4145" s="78" t="n"/>
      <c r="CO4145" s="209" t="n"/>
      <c r="CP4145" s="204" t="n"/>
      <c r="CQ4145" s="204" t="n"/>
      <c r="CR4145" s="204" t="n"/>
      <c r="CS4145" s="204" t="n"/>
      <c r="CT4145" s="204" t="n"/>
      <c r="CU4145" s="204" t="n"/>
      <c r="CV4145" s="204" t="n"/>
      <c r="CW4145" s="204" t="n"/>
    </row>
    <row r="4146">
      <c r="AR4146" s="151" t="n"/>
      <c r="BF4146" s="78" t="n"/>
      <c r="BG4146" s="78" t="n"/>
      <c r="BH4146" s="78" t="n"/>
      <c r="BI4146" s="78" t="n"/>
      <c r="BJ4146" s="139" t="n"/>
      <c r="BK4146" s="204" t="n"/>
      <c r="BL4146" s="141" t="n"/>
      <c r="BM4146" s="205" t="n"/>
      <c r="BN4146" s="205" t="n"/>
      <c r="BO4146" s="206" t="n"/>
      <c r="BP4146" s="144" t="n"/>
      <c r="BQ4146" s="141" t="n"/>
      <c r="BR4146" s="207" t="n"/>
      <c r="BS4146" s="207" t="n"/>
      <c r="BT4146" s="207" t="n"/>
      <c r="BU4146" s="207" t="n"/>
      <c r="BV4146" s="208" t="n"/>
      <c r="BW4146" s="207" t="n"/>
      <c r="BX4146" s="207" t="n"/>
      <c r="BY4146" s="204" t="n"/>
      <c r="BZ4146" s="148" t="n"/>
      <c r="CA4146" s="204" t="n"/>
      <c r="CB4146" s="208" t="n"/>
      <c r="CC4146" s="139" t="n"/>
      <c r="CD4146" s="204" t="n"/>
      <c r="CE4146" s="204" t="n"/>
      <c r="CF4146" s="207" t="n"/>
      <c r="CG4146" s="208" t="n"/>
      <c r="CH4146" s="207" t="n"/>
      <c r="CI4146" s="208" t="n"/>
      <c r="CJ4146" s="204" t="n"/>
      <c r="CK4146" s="208" t="n"/>
      <c r="CL4146" s="208" t="n"/>
      <c r="CM4146" s="208" t="n"/>
      <c r="CN4146" s="78" t="n"/>
      <c r="CO4146" s="209" t="n"/>
      <c r="CP4146" s="204" t="n"/>
      <c r="CQ4146" s="204" t="n"/>
      <c r="CR4146" s="204" t="n"/>
      <c r="CS4146" s="204" t="n"/>
      <c r="CT4146" s="204" t="n"/>
      <c r="CU4146" s="204" t="n"/>
      <c r="CV4146" s="204" t="n"/>
      <c r="CW4146" s="204" t="n"/>
    </row>
    <row r="4147">
      <c r="BF4147" s="78" t="n"/>
      <c r="BG4147" s="78" t="n"/>
      <c r="BH4147" s="78" t="n"/>
      <c r="BI4147" s="78" t="n"/>
      <c r="BJ4147" s="139" t="n"/>
      <c r="BK4147" s="204" t="n"/>
      <c r="BL4147" s="141" t="n"/>
      <c r="BM4147" s="205" t="n"/>
      <c r="BN4147" s="205" t="n"/>
      <c r="BO4147" s="206" t="n"/>
      <c r="BP4147" s="144" t="n"/>
      <c r="BQ4147" s="141" t="n"/>
      <c r="BR4147" s="207" t="n"/>
      <c r="BS4147" s="207" t="n"/>
      <c r="BT4147" s="207" t="n"/>
      <c r="BU4147" s="207" t="n"/>
      <c r="BV4147" s="208" t="n"/>
      <c r="BW4147" s="207" t="n"/>
      <c r="BX4147" s="207" t="n"/>
      <c r="BY4147" s="204" t="n"/>
      <c r="BZ4147" s="148" t="n"/>
      <c r="CA4147" s="204" t="n"/>
      <c r="CB4147" s="208" t="n"/>
      <c r="CC4147" s="139" t="n"/>
      <c r="CD4147" s="204" t="n"/>
      <c r="CE4147" s="204" t="n"/>
      <c r="CF4147" s="207" t="n"/>
      <c r="CG4147" s="208" t="n"/>
      <c r="CH4147" s="207" t="n"/>
      <c r="CI4147" s="208" t="n"/>
      <c r="CJ4147" s="204" t="n"/>
      <c r="CK4147" s="208" t="n"/>
      <c r="CL4147" s="208" t="n"/>
      <c r="CM4147" s="208" t="n"/>
      <c r="CN4147" s="78" t="n"/>
      <c r="CO4147" s="209" t="n"/>
      <c r="CP4147" s="204" t="n"/>
      <c r="CQ4147" s="204" t="n"/>
      <c r="CR4147" s="204" t="n"/>
      <c r="CS4147" s="204" t="n"/>
      <c r="CT4147" s="204" t="n"/>
      <c r="CU4147" s="204" t="n"/>
      <c r="CV4147" s="204" t="n"/>
      <c r="CW4147" s="204" t="n"/>
    </row>
    <row r="4154">
      <c r="BK4154" t="n">
        <v>16045</v>
      </c>
    </row>
    <row r="1047809">
      <c r="BS1047809" s="160">
        <f>IF(Z1047809="SEP",IF(BG1047809=AC1047809,"Rev. Bonus Due",IF(AD1047809=BG1047809,"Sum Assured Due","NA")),"NA")</f>
        <v/>
      </c>
      <c r="CN1047809" s="190">
        <f>IF(Z1047809="SEP",VLOOKUP(A1047809,'SEP_BONUS CALC'!#REF!,37,0),"0")</f>
        <v/>
      </c>
      <c r="CO1047809" s="190" t="n"/>
    </row>
  </sheetData>
  <autoFilter ref="A2:CX4147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692"/>
  <sheetViews>
    <sheetView workbookViewId="0">
      <pane ySplit="4" topLeftCell="A5" activePane="bottomLeft" state="frozen"/>
      <selection pane="bottomLeft" activeCell="A5" sqref="A5"/>
    </sheetView>
  </sheetViews>
  <sheetFormatPr baseColWidth="8" defaultColWidth="9" defaultRowHeight="12"/>
  <cols>
    <col width="12.42578125" bestFit="1" customWidth="1" style="3" min="1" max="1"/>
    <col width="25.85546875" bestFit="1" customWidth="1" style="3" min="2" max="2"/>
    <col width="7.28515625" bestFit="1" customWidth="1" style="3" min="3" max="3"/>
    <col width="6" bestFit="1" customWidth="1" style="3" min="4" max="4"/>
    <col width="7.28515625" bestFit="1" customWidth="1" style="3" min="5" max="6"/>
    <col width="7.85546875" bestFit="1" customWidth="1" style="3" min="7" max="7"/>
    <col width="11.7109375" bestFit="1" customWidth="1" style="3" min="8" max="8"/>
    <col width="17" bestFit="1" customWidth="1" style="3" min="9" max="9"/>
    <col width="12.7109375" bestFit="1" customWidth="1" style="3" min="10" max="10"/>
    <col width="31" bestFit="1" customWidth="1" style="3" min="11" max="11"/>
    <col width="6.140625" bestFit="1" customWidth="1" style="3" min="12" max="15"/>
    <col width="10.140625" bestFit="1" customWidth="1" style="3" min="16" max="35"/>
    <col width="10.140625" customWidth="1" style="3" min="36" max="36"/>
    <col width="22.7109375" bestFit="1" customWidth="1" style="3" min="37" max="37"/>
    <col width="9" customWidth="1" style="3" min="38" max="16384"/>
  </cols>
  <sheetData>
    <row r="1" ht="15" customFormat="1" customHeight="1" s="35">
      <c r="A1" s="31" t="inlineStr">
        <is>
          <t>Current year</t>
        </is>
      </c>
      <c r="B1" s="32" t="n">
        <v>2026</v>
      </c>
      <c r="C1" s="32" t="n"/>
      <c r="D1" s="32" t="n">
        <v>1</v>
      </c>
      <c r="E1" s="32" t="n"/>
      <c r="F1" s="32" t="n"/>
      <c r="G1" s="32" t="n"/>
      <c r="H1" s="32" t="n"/>
      <c r="I1" s="30" t="inlineStr">
        <is>
          <t>Not to be deleted</t>
        </is>
      </c>
      <c r="J1" s="32" t="n"/>
      <c r="K1" s="34" t="n">
        <v>2001</v>
      </c>
      <c r="L1" s="34" t="n">
        <v>2002</v>
      </c>
      <c r="M1" s="34" t="n">
        <v>2003</v>
      </c>
      <c r="N1" s="34" t="n">
        <v>2004</v>
      </c>
      <c r="O1" s="34" t="n">
        <v>2005</v>
      </c>
      <c r="P1" s="34" t="n">
        <v>2006</v>
      </c>
      <c r="Q1" s="34" t="n">
        <v>2007</v>
      </c>
      <c r="R1" s="34" t="n">
        <v>2008</v>
      </c>
      <c r="S1" s="34" t="n">
        <v>2009</v>
      </c>
      <c r="T1" s="34" t="n">
        <v>2010</v>
      </c>
      <c r="U1" s="34" t="n">
        <v>2011</v>
      </c>
      <c r="V1" s="34" t="n">
        <v>2012</v>
      </c>
      <c r="W1" s="34" t="n">
        <v>2013</v>
      </c>
      <c r="X1" s="34" t="n">
        <v>2014</v>
      </c>
      <c r="Y1" s="34" t="n">
        <v>2015</v>
      </c>
      <c r="Z1" s="34" t="n">
        <v>2016</v>
      </c>
      <c r="AA1" s="34" t="n">
        <v>2017</v>
      </c>
      <c r="AB1" s="34" t="n">
        <v>2018</v>
      </c>
      <c r="AC1" s="34" t="n">
        <v>2019</v>
      </c>
      <c r="AD1" s="34" t="n">
        <v>2020</v>
      </c>
      <c r="AE1" s="34" t="n">
        <v>2021</v>
      </c>
      <c r="AF1" s="34" t="n">
        <v>2022</v>
      </c>
      <c r="AG1" s="34" t="n">
        <v>2023</v>
      </c>
      <c r="AH1" s="34" t="n">
        <v>2024</v>
      </c>
      <c r="AI1" s="34" t="n">
        <v>2025</v>
      </c>
      <c r="AJ1" s="34" t="n">
        <v>2026</v>
      </c>
      <c r="AK1" s="32" t="n"/>
    </row>
    <row r="2" ht="18.75" customFormat="1" customHeight="1" s="5">
      <c r="A2" s="171" t="inlineStr">
        <is>
          <t>Contract</t>
        </is>
      </c>
      <c r="B2" s="170" t="inlineStr">
        <is>
          <t>Risk Commencement Date</t>
        </is>
      </c>
      <c r="C2" s="169" t="inlineStr">
        <is>
          <t>FY</t>
        </is>
      </c>
      <c r="D2" s="169" t="inlineStr">
        <is>
          <t>FY</t>
        </is>
      </c>
      <c r="E2" s="169" t="inlineStr">
        <is>
          <t>FY</t>
        </is>
      </c>
      <c r="F2" s="169" t="inlineStr">
        <is>
          <t>FY</t>
        </is>
      </c>
      <c r="G2" s="169" t="inlineStr">
        <is>
          <t>RCD FY</t>
        </is>
      </c>
      <c r="H2" s="170" t="inlineStr">
        <is>
          <t>Paid to date</t>
        </is>
      </c>
      <c r="I2" s="169" t="inlineStr">
        <is>
          <t>FY</t>
        </is>
      </c>
      <c r="J2" s="171" t="inlineStr">
        <is>
          <t>Orignal SA</t>
        </is>
      </c>
      <c r="K2" s="181" t="inlineStr">
        <is>
          <t>Bonus % Including Special Bonus</t>
        </is>
      </c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  <c r="AC2" s="181" t="n"/>
      <c r="AD2" s="181" t="n"/>
      <c r="AE2" s="181" t="n"/>
      <c r="AF2" s="181" t="n"/>
      <c r="AG2" s="181" t="n"/>
      <c r="AH2" s="181" t="n"/>
      <c r="AI2" s="181" t="n"/>
      <c r="AJ2" s="181" t="n"/>
      <c r="AK2" s="168" t="inlineStr">
        <is>
          <t>Bonus as per Calculator</t>
        </is>
      </c>
    </row>
    <row r="3" ht="15" customFormat="1" customHeight="1" s="5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181" t="inlineStr">
        <is>
          <t>FY01</t>
        </is>
      </c>
      <c r="L3" s="181" t="inlineStr">
        <is>
          <t>FY02</t>
        </is>
      </c>
      <c r="M3" s="181" t="inlineStr">
        <is>
          <t>FY03</t>
        </is>
      </c>
      <c r="N3" s="181" t="inlineStr">
        <is>
          <t>FY04</t>
        </is>
      </c>
      <c r="O3" s="181" t="inlineStr">
        <is>
          <t>FY05</t>
        </is>
      </c>
      <c r="P3" s="181" t="inlineStr">
        <is>
          <t>FY06</t>
        </is>
      </c>
      <c r="Q3" s="181" t="inlineStr">
        <is>
          <t>FY07</t>
        </is>
      </c>
      <c r="R3" s="181" t="inlineStr">
        <is>
          <t>FY08</t>
        </is>
      </c>
      <c r="S3" s="181" t="inlineStr">
        <is>
          <t>FY09</t>
        </is>
      </c>
      <c r="T3" s="181" t="inlineStr">
        <is>
          <t>FY10</t>
        </is>
      </c>
      <c r="U3" s="181" t="inlineStr">
        <is>
          <t>FY11</t>
        </is>
      </c>
      <c r="V3" s="181" t="inlineStr">
        <is>
          <t>FY12</t>
        </is>
      </c>
      <c r="W3" s="181" t="inlineStr">
        <is>
          <t>FY13</t>
        </is>
      </c>
      <c r="X3" s="181" t="inlineStr">
        <is>
          <t>FY14</t>
        </is>
      </c>
      <c r="Y3" s="181" t="inlineStr">
        <is>
          <t>FY15</t>
        </is>
      </c>
      <c r="Z3" s="181" t="inlineStr">
        <is>
          <t>FY16</t>
        </is>
      </c>
      <c r="AA3" s="181" t="inlineStr">
        <is>
          <t>FY17</t>
        </is>
      </c>
      <c r="AB3" s="181" t="inlineStr">
        <is>
          <t>FY18</t>
        </is>
      </c>
      <c r="AC3" s="181" t="inlineStr">
        <is>
          <t>FY19</t>
        </is>
      </c>
      <c r="AD3" s="181" t="inlineStr">
        <is>
          <t>FY20</t>
        </is>
      </c>
      <c r="AE3" s="181" t="inlineStr">
        <is>
          <t>FY21</t>
        </is>
      </c>
      <c r="AF3" s="181" t="inlineStr">
        <is>
          <t>FY22</t>
        </is>
      </c>
      <c r="AG3" s="181" t="inlineStr">
        <is>
          <t>FY23</t>
        </is>
      </c>
      <c r="AH3" s="181" t="inlineStr">
        <is>
          <t>FY24</t>
        </is>
      </c>
      <c r="AI3" s="181" t="inlineStr">
        <is>
          <t>FY25</t>
        </is>
      </c>
      <c r="AJ3" s="181" t="inlineStr">
        <is>
          <t>FY26</t>
        </is>
      </c>
      <c r="AK3" s="186" t="n"/>
    </row>
    <row r="4" ht="15" customFormat="1" customHeight="1" s="5">
      <c r="A4" s="187" t="n"/>
      <c r="B4" s="187" t="n"/>
      <c r="C4" s="187" t="n"/>
      <c r="D4" s="187" t="n"/>
      <c r="E4" s="187" t="n"/>
      <c r="F4" s="187" t="n"/>
      <c r="G4" s="187" t="n"/>
      <c r="H4" s="187" t="n"/>
      <c r="I4" s="187" t="n"/>
      <c r="J4" s="187" t="n"/>
      <c r="K4" s="7" t="n">
        <v>0</v>
      </c>
      <c r="L4" s="7" t="n">
        <v>0</v>
      </c>
      <c r="M4" s="7" t="n">
        <v>0</v>
      </c>
      <c r="N4" s="7" t="n">
        <v>0</v>
      </c>
      <c r="O4" s="7" t="n">
        <v>0.0275</v>
      </c>
      <c r="P4" s="7" t="n">
        <v>0.03</v>
      </c>
      <c r="Q4" s="7" t="n">
        <v>0.0275</v>
      </c>
      <c r="R4" s="7" t="n">
        <v>0.025</v>
      </c>
      <c r="S4" s="7" t="n">
        <v>0.02</v>
      </c>
      <c r="T4" s="7" t="n">
        <v>0.02</v>
      </c>
      <c r="U4" s="7" t="n">
        <v>0.02</v>
      </c>
      <c r="V4" s="7" t="n">
        <v>0.018</v>
      </c>
      <c r="W4" s="7" t="n">
        <v>0.018</v>
      </c>
      <c r="X4" s="7" t="n">
        <v>0.018</v>
      </c>
      <c r="Y4" s="7" t="n">
        <v>0.018</v>
      </c>
      <c r="Z4" s="7" t="n">
        <v>0.018</v>
      </c>
      <c r="AA4" s="7" t="n">
        <v>0.018</v>
      </c>
      <c r="AB4" s="7" t="n">
        <v>0.018</v>
      </c>
      <c r="AC4" s="7" t="n">
        <v>0.018</v>
      </c>
      <c r="AD4" s="7" t="n">
        <v>0.018</v>
      </c>
      <c r="AE4" s="7" t="n">
        <v>0.018</v>
      </c>
      <c r="AF4" s="7" t="n">
        <v>0.018</v>
      </c>
      <c r="AG4" s="7" t="n">
        <v>0.018</v>
      </c>
      <c r="AH4" s="7" t="n">
        <v>0.018</v>
      </c>
      <c r="AI4" s="7" t="n">
        <v>0.018</v>
      </c>
      <c r="AJ4" s="7" t="n">
        <v>0.018</v>
      </c>
      <c r="AK4" s="187" t="n"/>
    </row>
    <row r="5" ht="15" customHeight="1">
      <c r="A5" s="121" t="inlineStr">
        <is>
          <t>test1010736</t>
        </is>
      </c>
      <c r="B5" s="136">
        <f>VLOOKUP(A5,'MAINCPF CPH DEP SEP END RBC CSR'!A:AF,32,0)</f>
        <v/>
      </c>
      <c r="C5" s="4">
        <f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/>
      </c>
      <c r="D5" s="4">
        <f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/>
      </c>
      <c r="E5" s="4">
        <f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/>
      </c>
      <c r="F5" s="4">
        <f>+IF(AND(B5&gt;=DATE(2016,4,1),B5&lt;=DATE(2017,3,31)),"2017",IF(AND(B5&gt;=DATE(2017,4,1),B5&lt;=DATE(2018,3,31)),"2018"))</f>
        <v/>
      </c>
      <c r="G5" s="4">
        <f>+C5+D5+E5+F5</f>
        <v/>
      </c>
      <c r="H5" s="122">
        <f>VLOOKUP(A5,'MAINCPF CPH DEP SEP END RBC CSR'!A:AG,33,0)</f>
        <v/>
      </c>
      <c r="I5" s="4">
        <f>IF(H5="","",IF(MONTH($H5)&lt;=3,YEAR($H5)-1,YEAR($H5)))</f>
        <v/>
      </c>
      <c r="J5" s="8">
        <f>VLOOKUP(A5,'MAINCPF CPH DEP SEP END RBC CSR'!A:AT,46,0)</f>
        <v/>
      </c>
      <c r="K5" s="213">
        <f>IF(AND($G5&lt;=K$1,$I5&gt;=K$1),SUM($J5:J5)*K$4," ")</f>
        <v/>
      </c>
      <c r="L5" s="213">
        <f>IF(AND($G5&lt;=L$1,$I5&gt;=L$1),SUM($J5:K5)*L$4," ")</f>
        <v/>
      </c>
      <c r="M5" s="213">
        <f>IF(AND($G5&lt;=M$1,$I5&gt;=M$1),SUM($J5:L5)*M$4," ")</f>
        <v/>
      </c>
      <c r="N5" s="213">
        <f>IF(AND($G5&lt;=N$1,$I5&gt;=N$1),SUM($J5:M5)*N$4," ")</f>
        <v/>
      </c>
      <c r="O5" s="213">
        <f>IF(AND($G5&lt;=O$1,$I5&gt;=O$1),SUM($J5:N5)*O$4," ")</f>
        <v/>
      </c>
      <c r="P5" s="213">
        <f>IF(AND($G5&lt;=P$1,$I5&gt;=P$1),SUM($J5:O5)*P$4," ")</f>
        <v/>
      </c>
      <c r="Q5" s="213">
        <f>IF(AND($G5&lt;=Q$1,$I5&gt;=Q$1),SUM($J5:P5)*Q$4," ")</f>
        <v/>
      </c>
      <c r="R5" s="213">
        <f>IF(AND($G5&lt;=R$1,$I5&gt;=R$1),SUM($J5:Q5)*R$4," ")</f>
        <v/>
      </c>
      <c r="S5" s="213">
        <f>IF(AND($G5&lt;=S$1,$I5&gt;=S$1),SUM($J5:R5)*S$4," ")</f>
        <v/>
      </c>
      <c r="T5" s="213">
        <f>IF(AND($G5&lt;=T$1,$I5&gt;=T$1),SUM($J5:S5)*T$4," ")</f>
        <v/>
      </c>
      <c r="U5" s="213">
        <f>IF(AND($G5&lt;=U$1,$I5&gt;=U$1),SUM($J5:T5)*U$4," ")</f>
        <v/>
      </c>
      <c r="V5" s="213">
        <f>IF(AND($G5&lt;=V$1,$I5&gt;=V$1),SUM($J5:U5)*V$4," ")</f>
        <v/>
      </c>
      <c r="W5" s="213">
        <f>IF(AND($G5&lt;=W$1,$I5&gt;=W$1),SUM($J5:V5)*W$4," ")</f>
        <v/>
      </c>
      <c r="X5" s="213">
        <f>IF(AND($G5&lt;=X$1,$I5&gt;=X$1),SUM($J5:W5)*X$4," ")</f>
        <v/>
      </c>
      <c r="Y5" s="213">
        <f>IF(AND($G5&lt;=Y$1,$I5&gt;=Y$1),SUM($J5:X5)*Y$4," ")</f>
        <v/>
      </c>
      <c r="Z5" s="213">
        <f>IF(AND($G5&lt;=Z$1,$I5&gt;=Z$1),SUM($J5:Y5)*Z$4," ")</f>
        <v/>
      </c>
      <c r="AA5" s="213">
        <f>IF(AND($G5&lt;=AA$1,$I5&gt;=AA$1),SUM($J5:Z5)*AA$4," ")</f>
        <v/>
      </c>
      <c r="AB5" s="213">
        <f>IF(AND($G5&lt;=AB$1,$I5&gt;=AB$1),SUM($J5:AA5)*AB$4," ")</f>
        <v/>
      </c>
      <c r="AC5" s="213">
        <f>IF(AND($G5&lt;=AC$1,$I5&gt;=AC$1),SUM($J5:AB5)*AC$4," ")</f>
        <v/>
      </c>
      <c r="AD5" s="213">
        <f>IF(AND($G5&lt;=AD$1,$I5&gt;=AD$1),SUM($J5:AC5)*AD$4," ")</f>
        <v/>
      </c>
      <c r="AE5" s="213">
        <f>IF(AND($G5&lt;=AE$1,$I5&gt;=AE$1),SUM($J5:AD5)*AE$4," ")</f>
        <v/>
      </c>
      <c r="AF5" s="213">
        <f>IF(AND($G5&lt;=AF$1,$I5&gt;=AF$1),SUM($J5:AE5)*AF$4," ")</f>
        <v/>
      </c>
      <c r="AG5" s="213">
        <f>IF(AND($G5&lt;=AG$1,$I5&gt;=AG$1),SUM($J5:AF5)*AG$4," ")</f>
        <v/>
      </c>
      <c r="AH5" s="213">
        <f>IF(AND($G5&lt;=AH$1,$I5&gt;=AH$1),SUM($J5:AG5)*AH$4," ")</f>
        <v/>
      </c>
      <c r="AI5" s="213">
        <f>IF(AND($G5&lt;=AI$1,$I5&gt;=AI$1),SUM($J5:AH5)*AI$4," ")</f>
        <v/>
      </c>
      <c r="AJ5" s="213">
        <f>IF(AND($G5&lt;=AJ$1,$I5&gt;=AJ$1),SUM($J5:AI5)*AJ$4," ")</f>
        <v/>
      </c>
      <c r="AK5" s="214">
        <f>+SUM(K5:AJ5)</f>
        <v/>
      </c>
    </row>
    <row r="6" ht="15" customHeight="1">
      <c r="A6" s="121" t="inlineStr">
        <is>
          <t>test1010739</t>
        </is>
      </c>
      <c r="B6" s="136">
        <f>VLOOKUP(A6,'MAINCPF CPH DEP SEP END RBC CSR'!A:AF,32,0)</f>
        <v/>
      </c>
      <c r="C6" s="4">
        <f>+IF(AND(B6&gt;=DATE(1999,4,1),B6&lt;=DATE(2000,3,31)),"2000",IF(AND(B6&gt;=DATE(2000,4,1),B6&lt;=DATE(2001,3,31)),"2001",IF(AND(B6&gt;=DATE(2001,4,1),B6&lt;=DATE(2002,3,31)),"2002",IF(AND(B6&gt;=DATE(2002,4,1),B6&lt;=DATE(2003,3,31)),"2003",IF(AND(B6&gt;=DATE(2003,4,1),B6&lt;=DATE(2004,3,31)),"2004",IF(AND(B6&gt;=DATE(2004,4,1),B6&lt;=DATE(2005,3,31)),"2005"))))))</f>
        <v/>
      </c>
      <c r="D6" s="4">
        <f>+IF(AND(B6&gt;=DATE(2005,4,1),B6&lt;=DATE(2006,3,31)),"2006",IF(AND(B6&gt;=DATE(2006,4,1),B6&lt;=DATE(2007,3,31)),"2007",IF(AND(B6&gt;=DATE(2007,4,1),B6&lt;=DATE(2008,3,31)),"2008",IF(AND(B6&gt;=DATE(2008,4,1),B6&lt;=DATE(2009,3,31)),"2009",IF(AND(B6&gt;=DATE(2009,4,1),B6&lt;=DATE(2010,3,31)),"2010")))))</f>
        <v/>
      </c>
      <c r="E6" s="4">
        <f>+IF(AND(B6&gt;=DATE(2010,4,1),B6&lt;=DATE(2011,3,31)),"2011",IF(AND(B6&gt;=DATE(2011,4,1),B6&lt;=DATE(2012,3,31)),"2012",IF(AND(B6&gt;=DATE(2012,4,1),B6&lt;=DATE(2013,3,31)),"2013",IF(AND(B6&gt;=DATE(2013,4,1),B6&lt;=DATE(2014,3,31)),"2014",IF(AND(B6&gt;=DATE(2014,4,1),B6&lt;=DATE(2015,3,31)),"2015",IF(AND(B6&gt;=DATE(2015,4,1),B6&lt;=DATE(2016,3,31)),"2016"))))))</f>
        <v/>
      </c>
      <c r="F6" s="4">
        <f>+IF(AND(B6&gt;=DATE(2016,4,1),B6&lt;=DATE(2017,3,31)),"2017",IF(AND(B6&gt;=DATE(2017,4,1),B6&lt;=DATE(2018,3,31)),"2018"))</f>
        <v/>
      </c>
      <c r="G6" s="4">
        <f>+C6+D6+E6+F6</f>
        <v/>
      </c>
      <c r="H6" s="122">
        <f>VLOOKUP(A6,'MAINCPF CPH DEP SEP END RBC CSR'!A:AG,33,0)</f>
        <v/>
      </c>
      <c r="I6" s="4">
        <f>IF(H6="","",IF(MONTH($H6)&lt;=3,YEAR($H6)-1,YEAR($H6)))</f>
        <v/>
      </c>
      <c r="J6" s="8">
        <f>VLOOKUP(A6,'MAINCPF CPH DEP SEP END RBC CSR'!A:AT,46,0)</f>
        <v/>
      </c>
      <c r="K6" s="213">
        <f>IF(AND($G6&lt;=K$1,$I6&gt;=K$1),SUM($J6:J6)*K$4," ")</f>
        <v/>
      </c>
      <c r="L6" s="213">
        <f>IF(AND($G6&lt;=L$1,$I6&gt;=L$1),SUM($J6:K6)*L$4," ")</f>
        <v/>
      </c>
      <c r="M6" s="213">
        <f>IF(AND($G6&lt;=M$1,$I6&gt;=M$1),SUM($J6:L6)*M$4," ")</f>
        <v/>
      </c>
      <c r="N6" s="213">
        <f>IF(AND($G6&lt;=N$1,$I6&gt;=N$1),SUM($J6:M6)*N$4," ")</f>
        <v/>
      </c>
      <c r="O6" s="213">
        <f>IF(AND($G6&lt;=O$1,$I6&gt;=O$1),SUM($J6:N6)*O$4," ")</f>
        <v/>
      </c>
      <c r="P6" s="213">
        <f>IF(AND($G6&lt;=P$1,$I6&gt;=P$1),SUM($J6:O6)*P$4," ")</f>
        <v/>
      </c>
      <c r="Q6" s="213">
        <f>IF(AND($G6&lt;=Q$1,$I6&gt;=Q$1),SUM($J6:P6)*Q$4," ")</f>
        <v/>
      </c>
      <c r="R6" s="213">
        <f>IF(AND($G6&lt;=R$1,$I6&gt;=R$1),SUM($J6:Q6)*R$4," ")</f>
        <v/>
      </c>
      <c r="S6" s="213">
        <f>IF(AND($G6&lt;=S$1,$I6&gt;=S$1),SUM($J6:R6)*S$4," ")</f>
        <v/>
      </c>
      <c r="T6" s="213">
        <f>IF(AND($G6&lt;=T$1,$I6&gt;=T$1),SUM($J6:S6)*T$4," ")</f>
        <v/>
      </c>
      <c r="U6" s="213">
        <f>IF(AND($G6&lt;=U$1,$I6&gt;=U$1),SUM($J6:T6)*U$4," ")</f>
        <v/>
      </c>
      <c r="V6" s="213">
        <f>IF(AND($G6&lt;=V$1,$I6&gt;=V$1),SUM($J6:U6)*V$4," ")</f>
        <v/>
      </c>
      <c r="W6" s="213">
        <f>IF(AND($G6&lt;=W$1,$I6&gt;=W$1),SUM($J6:V6)*W$4," ")</f>
        <v/>
      </c>
      <c r="X6" s="213">
        <f>IF(AND($G6&lt;=X$1,$I6&gt;=X$1),SUM($J6:W6)*X$4," ")</f>
        <v/>
      </c>
      <c r="Y6" s="213">
        <f>IF(AND($G6&lt;=Y$1,$I6&gt;=Y$1),SUM($J6:X6)*Y$4," ")</f>
        <v/>
      </c>
      <c r="Z6" s="213">
        <f>IF(AND($G6&lt;=Z$1,$I6&gt;=Z$1),SUM($J6:Y6)*Z$4," ")</f>
        <v/>
      </c>
      <c r="AA6" s="213">
        <f>IF(AND($G6&lt;=AA$1,$I6&gt;=AA$1),SUM($J6:Z6)*AA$4," ")</f>
        <v/>
      </c>
      <c r="AB6" s="213">
        <f>IF(AND($G6&lt;=AB$1,$I6&gt;=AB$1),SUM($J6:AA6)*AB$4," ")</f>
        <v/>
      </c>
      <c r="AC6" s="213">
        <f>IF(AND($G6&lt;=AC$1,$I6&gt;=AC$1),SUM($J6:AB6)*AC$4," ")</f>
        <v/>
      </c>
      <c r="AD6" s="213">
        <f>IF(AND($G6&lt;=AD$1,$I6&gt;=AD$1),SUM($J6:AC6)*AD$4," ")</f>
        <v/>
      </c>
      <c r="AE6" s="213">
        <f>IF(AND($G6&lt;=AE$1,$I6&gt;=AE$1),SUM($J6:AD6)*AE$4," ")</f>
        <v/>
      </c>
      <c r="AF6" s="213">
        <f>IF(AND($G6&lt;=AF$1,$I6&gt;=AF$1),SUM($J6:AE6)*AF$4," ")</f>
        <v/>
      </c>
      <c r="AG6" s="213">
        <f>IF(AND($G6&lt;=AG$1,$I6&gt;=AG$1),SUM($J6:AF6)*AG$4," ")</f>
        <v/>
      </c>
      <c r="AH6" s="213">
        <f>IF(AND($G6&lt;=AH$1,$I6&gt;=AH$1),SUM($J6:AG6)*AH$4," ")</f>
        <v/>
      </c>
      <c r="AI6" s="213">
        <f>IF(AND($G6&lt;=AI$1,$I6&gt;=AI$1),SUM($J6:AH6)*AI$4," ")</f>
        <v/>
      </c>
      <c r="AJ6" s="213">
        <f>IF(AND($G6&lt;=AJ$1,$I6&gt;=AJ$1),SUM($J6:AI6)*AJ$4," ")</f>
        <v/>
      </c>
      <c r="AK6" s="214">
        <f>+SUM(K6:AJ6)</f>
        <v/>
      </c>
    </row>
    <row r="7" ht="15" customHeight="1">
      <c r="B7" s="134" t="n"/>
      <c r="C7" s="105" t="n"/>
      <c r="D7" s="105" t="n"/>
      <c r="E7" s="105" t="n"/>
      <c r="F7" s="105" t="n"/>
      <c r="G7" s="105" t="n"/>
      <c r="H7" s="2" t="n"/>
      <c r="I7" s="10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5" t="n"/>
      <c r="AB7" s="215" t="n"/>
      <c r="AC7" s="215" t="n"/>
      <c r="AD7" s="215" t="n"/>
      <c r="AE7" s="215" t="n"/>
      <c r="AF7" s="215" t="n"/>
      <c r="AG7" s="215" t="n"/>
      <c r="AH7" s="215" t="n"/>
      <c r="AI7" s="215" t="n"/>
      <c r="AJ7" s="215" t="n"/>
      <c r="AK7" s="216" t="n"/>
    </row>
    <row r="8" ht="15" customHeight="1">
      <c r="B8" s="134" t="n"/>
      <c r="C8" s="105" t="n"/>
      <c r="D8" s="105" t="n"/>
      <c r="E8" s="105" t="n"/>
      <c r="F8" s="105" t="n"/>
      <c r="G8" s="105" t="n"/>
      <c r="H8" s="2" t="n"/>
      <c r="I8" s="105" t="n"/>
      <c r="K8" s="215" t="n"/>
      <c r="L8" s="215" t="n"/>
      <c r="M8" s="215" t="n"/>
      <c r="N8" s="215" t="n"/>
      <c r="O8" s="215" t="n"/>
      <c r="P8" s="215" t="n"/>
      <c r="Q8" s="215" t="n"/>
      <c r="R8" s="215" t="n"/>
      <c r="S8" s="215" t="n"/>
      <c r="T8" s="215" t="n"/>
      <c r="U8" s="215" t="n"/>
      <c r="V8" s="215" t="n"/>
      <c r="W8" s="215" t="n"/>
      <c r="X8" s="215" t="n"/>
      <c r="Y8" s="215" t="n"/>
      <c r="Z8" s="215" t="n"/>
      <c r="AA8" s="215" t="n"/>
      <c r="AB8" s="215" t="n"/>
      <c r="AC8" s="215" t="n"/>
      <c r="AD8" s="215" t="n"/>
      <c r="AE8" s="215" t="n"/>
      <c r="AF8" s="215" t="n"/>
      <c r="AG8" s="215" t="n"/>
      <c r="AH8" s="215" t="n"/>
      <c r="AI8" s="215" t="n"/>
      <c r="AJ8" s="215" t="n"/>
      <c r="AK8" s="216" t="n"/>
    </row>
    <row r="9" ht="15" customHeight="1">
      <c r="B9" s="134" t="n"/>
      <c r="C9" s="105" t="n"/>
      <c r="D9" s="105" t="n"/>
      <c r="E9" s="105" t="n"/>
      <c r="F9" s="105" t="n"/>
      <c r="G9" s="105" t="n"/>
      <c r="H9" s="2" t="n"/>
      <c r="I9" s="105" t="n"/>
      <c r="K9" s="21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6" t="n"/>
    </row>
    <row r="10" ht="15" customHeight="1">
      <c r="B10" s="134" t="n"/>
      <c r="C10" s="105" t="n"/>
      <c r="D10" s="105" t="n"/>
      <c r="E10" s="105" t="n"/>
      <c r="F10" s="105" t="n"/>
      <c r="G10" s="105" t="n"/>
      <c r="H10" s="2" t="n"/>
      <c r="I10" s="105" t="n"/>
      <c r="K10" s="215" t="n"/>
      <c r="L10" s="215" t="n"/>
      <c r="M10" s="215" t="n"/>
      <c r="N10" s="215" t="n"/>
      <c r="O10" s="215" t="n"/>
      <c r="P10" s="215" t="n"/>
      <c r="Q10" s="215" t="n"/>
      <c r="R10" s="215" t="n"/>
      <c r="S10" s="215" t="n"/>
      <c r="T10" s="215" t="n"/>
      <c r="U10" s="215" t="n"/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215" t="n"/>
      <c r="AJ10" s="215" t="n"/>
      <c r="AK10" s="216" t="n"/>
    </row>
    <row r="11" ht="15" customHeight="1">
      <c r="B11" s="134" t="n"/>
      <c r="C11" s="105" t="n"/>
      <c r="D11" s="105" t="n"/>
      <c r="E11" s="105" t="n"/>
      <c r="F11" s="105" t="n"/>
      <c r="G11" s="105" t="n"/>
      <c r="H11" s="2" t="n"/>
      <c r="I11" s="105" t="n"/>
      <c r="K11" s="215" t="n"/>
      <c r="L11" s="215" t="n"/>
      <c r="M11" s="215" t="n"/>
      <c r="N11" s="215" t="n"/>
      <c r="O11" s="215" t="n"/>
      <c r="P11" s="215" t="n"/>
      <c r="Q11" s="215" t="n"/>
      <c r="R11" s="215" t="n"/>
      <c r="S11" s="215" t="n"/>
      <c r="T11" s="215" t="n"/>
      <c r="U11" s="215" t="n"/>
      <c r="V11" s="215" t="n"/>
      <c r="W11" s="215" t="n"/>
      <c r="X11" s="215" t="n"/>
      <c r="Y11" s="215" t="n"/>
      <c r="Z11" s="215" t="n"/>
      <c r="AA11" s="215" t="n"/>
      <c r="AB11" s="215" t="n"/>
      <c r="AC11" s="215" t="n"/>
      <c r="AD11" s="215" t="n"/>
      <c r="AE11" s="215" t="n"/>
      <c r="AF11" s="215" t="n"/>
      <c r="AG11" s="215" t="n"/>
      <c r="AH11" s="215" t="n"/>
      <c r="AI11" s="215" t="n"/>
      <c r="AJ11" s="215" t="n"/>
      <c r="AK11" s="216" t="n"/>
    </row>
    <row r="12" ht="15" customHeight="1">
      <c r="B12" s="134" t="n"/>
      <c r="C12" s="105" t="n"/>
      <c r="D12" s="105" t="n"/>
      <c r="E12" s="105" t="n"/>
      <c r="F12" s="105" t="n"/>
      <c r="G12" s="105" t="n"/>
      <c r="H12" s="2" t="n"/>
      <c r="I12" s="105" t="n"/>
      <c r="K12" s="215" t="n"/>
      <c r="L12" s="215" t="n"/>
      <c r="M12" s="215" t="n"/>
      <c r="N12" s="215" t="n"/>
      <c r="O12" s="215" t="n"/>
      <c r="P12" s="215" t="n"/>
      <c r="Q12" s="215" t="n"/>
      <c r="R12" s="215" t="n"/>
      <c r="S12" s="215" t="n"/>
      <c r="T12" s="215" t="n"/>
      <c r="U12" s="215" t="n"/>
      <c r="V12" s="215" t="n"/>
      <c r="W12" s="215" t="n"/>
      <c r="X12" s="215" t="n"/>
      <c r="Y12" s="215" t="n"/>
      <c r="Z12" s="215" t="n"/>
      <c r="AA12" s="215" t="n"/>
      <c r="AB12" s="215" t="n"/>
      <c r="AC12" s="215" t="n"/>
      <c r="AD12" s="215" t="n"/>
      <c r="AE12" s="215" t="n"/>
      <c r="AF12" s="215" t="n"/>
      <c r="AG12" s="215" t="n"/>
      <c r="AH12" s="215" t="n"/>
      <c r="AI12" s="215" t="n"/>
      <c r="AJ12" s="215" t="n"/>
      <c r="AK12" s="216" t="n"/>
    </row>
    <row r="13" ht="15" customHeight="1">
      <c r="B13" s="134" t="n"/>
      <c r="C13" s="105" t="n"/>
      <c r="D13" s="105" t="n"/>
      <c r="E13" s="105" t="n"/>
      <c r="F13" s="105" t="n"/>
      <c r="G13" s="105" t="n"/>
      <c r="H13" s="2" t="n"/>
      <c r="I13" s="105" t="n"/>
      <c r="K13" s="215" t="n"/>
      <c r="L13" s="215" t="n"/>
      <c r="M13" s="215" t="n"/>
      <c r="N13" s="215" t="n"/>
      <c r="O13" s="215" t="n"/>
      <c r="P13" s="215" t="n"/>
      <c r="Q13" s="215" t="n"/>
      <c r="R13" s="215" t="n"/>
      <c r="S13" s="215" t="n"/>
      <c r="T13" s="215" t="n"/>
      <c r="U13" s="215" t="n"/>
      <c r="V13" s="215" t="n"/>
      <c r="W13" s="215" t="n"/>
      <c r="X13" s="215" t="n"/>
      <c r="Y13" s="215" t="n"/>
      <c r="Z13" s="215" t="n"/>
      <c r="AA13" s="215" t="n"/>
      <c r="AB13" s="215" t="n"/>
      <c r="AC13" s="215" t="n"/>
      <c r="AD13" s="215" t="n"/>
      <c r="AE13" s="215" t="n"/>
      <c r="AF13" s="215" t="n"/>
      <c r="AG13" s="215" t="n"/>
      <c r="AH13" s="215" t="n"/>
      <c r="AI13" s="215" t="n"/>
      <c r="AJ13" s="215" t="n"/>
      <c r="AK13" s="216" t="n"/>
    </row>
    <row r="14" ht="15" customHeight="1">
      <c r="B14" s="134" t="n"/>
      <c r="C14" s="105" t="n"/>
      <c r="D14" s="105" t="n"/>
      <c r="E14" s="105" t="n"/>
      <c r="F14" s="105" t="n"/>
      <c r="G14" s="105" t="n"/>
      <c r="H14" s="2" t="n"/>
      <c r="I14" s="105" t="n"/>
      <c r="K14" s="215" t="n"/>
      <c r="L14" s="215" t="n"/>
      <c r="M14" s="215" t="n"/>
      <c r="N14" s="215" t="n"/>
      <c r="O14" s="215" t="n"/>
      <c r="P14" s="215" t="n"/>
      <c r="Q14" s="215" t="n"/>
      <c r="R14" s="215" t="n"/>
      <c r="S14" s="215" t="n"/>
      <c r="T14" s="215" t="n"/>
      <c r="U14" s="215" t="n"/>
      <c r="V14" s="215" t="n"/>
      <c r="W14" s="215" t="n"/>
      <c r="X14" s="215" t="n"/>
      <c r="Y14" s="215" t="n"/>
      <c r="Z14" s="215" t="n"/>
      <c r="AA14" s="215" t="n"/>
      <c r="AB14" s="215" t="n"/>
      <c r="AC14" s="215" t="n"/>
      <c r="AD14" s="215" t="n"/>
      <c r="AE14" s="215" t="n"/>
      <c r="AF14" s="215" t="n"/>
      <c r="AG14" s="215" t="n"/>
      <c r="AH14" s="215" t="n"/>
      <c r="AI14" s="215" t="n"/>
      <c r="AJ14" s="215" t="n"/>
      <c r="AK14" s="216" t="n"/>
    </row>
    <row r="15" ht="15" customHeight="1">
      <c r="B15" s="134" t="n"/>
      <c r="C15" s="105" t="n"/>
      <c r="D15" s="105" t="n"/>
      <c r="E15" s="105" t="n"/>
      <c r="F15" s="105" t="n"/>
      <c r="G15" s="105" t="n"/>
      <c r="H15" s="2" t="n"/>
      <c r="I15" s="105" t="n"/>
      <c r="K15" s="215" t="n"/>
      <c r="L15" s="215" t="n"/>
      <c r="M15" s="215" t="n"/>
      <c r="N15" s="215" t="n"/>
      <c r="O15" s="215" t="n"/>
      <c r="P15" s="215" t="n"/>
      <c r="Q15" s="215" t="n"/>
      <c r="R15" s="215" t="n"/>
      <c r="S15" s="215" t="n"/>
      <c r="T15" s="215" t="n"/>
      <c r="U15" s="215" t="n"/>
      <c r="V15" s="215" t="n"/>
      <c r="W15" s="215" t="n"/>
      <c r="X15" s="215" t="n"/>
      <c r="Y15" s="215" t="n"/>
      <c r="Z15" s="215" t="n"/>
      <c r="AA15" s="215" t="n"/>
      <c r="AB15" s="215" t="n"/>
      <c r="AC15" s="215" t="n"/>
      <c r="AD15" s="215" t="n"/>
      <c r="AE15" s="215" t="n"/>
      <c r="AF15" s="215" t="n"/>
      <c r="AG15" s="215" t="n"/>
      <c r="AH15" s="215" t="n"/>
      <c r="AI15" s="215" t="n"/>
      <c r="AJ15" s="215" t="n"/>
      <c r="AK15" s="216" t="n"/>
    </row>
    <row r="16" ht="15" customHeight="1">
      <c r="B16" s="134" t="n"/>
      <c r="C16" s="105" t="n"/>
      <c r="D16" s="105" t="n"/>
      <c r="E16" s="105" t="n"/>
      <c r="F16" s="105" t="n"/>
      <c r="G16" s="105" t="n"/>
      <c r="H16" s="2" t="n"/>
      <c r="I16" s="105" t="n"/>
      <c r="K16" s="215" t="n"/>
      <c r="L16" s="215" t="n"/>
      <c r="M16" s="215" t="n"/>
      <c r="N16" s="215" t="n"/>
      <c r="O16" s="215" t="n"/>
      <c r="P16" s="215" t="n"/>
      <c r="Q16" s="215" t="n"/>
      <c r="R16" s="215" t="n"/>
      <c r="S16" s="215" t="n"/>
      <c r="T16" s="215" t="n"/>
      <c r="U16" s="215" t="n"/>
      <c r="V16" s="215" t="n"/>
      <c r="W16" s="215" t="n"/>
      <c r="X16" s="215" t="n"/>
      <c r="Y16" s="215" t="n"/>
      <c r="Z16" s="215" t="n"/>
      <c r="AA16" s="215" t="n"/>
      <c r="AB16" s="215" t="n"/>
      <c r="AC16" s="215" t="n"/>
      <c r="AD16" s="215" t="n"/>
      <c r="AE16" s="215" t="n"/>
      <c r="AF16" s="215" t="n"/>
      <c r="AG16" s="215" t="n"/>
      <c r="AH16" s="215" t="n"/>
      <c r="AI16" s="215" t="n"/>
      <c r="AJ16" s="215" t="n"/>
      <c r="AK16" s="216" t="n"/>
    </row>
    <row r="17" ht="15" customHeight="1">
      <c r="B17" s="134" t="n"/>
      <c r="C17" s="105" t="n"/>
      <c r="D17" s="105" t="n"/>
      <c r="E17" s="105" t="n"/>
      <c r="F17" s="105" t="n"/>
      <c r="G17" s="105" t="n"/>
      <c r="H17" s="2" t="n"/>
      <c r="I17" s="105" t="n"/>
      <c r="K17" s="215" t="n"/>
      <c r="L17" s="215" t="n"/>
      <c r="M17" s="215" t="n"/>
      <c r="N17" s="215" t="n"/>
      <c r="O17" s="215" t="n"/>
      <c r="P17" s="215" t="n"/>
      <c r="Q17" s="215" t="n"/>
      <c r="R17" s="215" t="n"/>
      <c r="S17" s="215" t="n"/>
      <c r="T17" s="215" t="n"/>
      <c r="U17" s="215" t="n"/>
      <c r="V17" s="215" t="n"/>
      <c r="W17" s="215" t="n"/>
      <c r="X17" s="215" t="n"/>
      <c r="Y17" s="215" t="n"/>
      <c r="Z17" s="215" t="n"/>
      <c r="AA17" s="215" t="n"/>
      <c r="AB17" s="215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6" t="n"/>
    </row>
    <row r="18" ht="15" customHeight="1">
      <c r="B18" s="134" t="n"/>
      <c r="C18" s="105" t="n"/>
      <c r="D18" s="105" t="n"/>
      <c r="E18" s="105" t="n"/>
      <c r="F18" s="105" t="n"/>
      <c r="G18" s="105" t="n"/>
      <c r="H18" s="2" t="n"/>
      <c r="I18" s="105" t="n"/>
      <c r="K18" s="215" t="n"/>
      <c r="L18" s="215" t="n"/>
      <c r="M18" s="215" t="n"/>
      <c r="N18" s="215" t="n"/>
      <c r="O18" s="215" t="n"/>
      <c r="P18" s="215" t="n"/>
      <c r="Q18" s="215" t="n"/>
      <c r="R18" s="215" t="n"/>
      <c r="S18" s="215" t="n"/>
      <c r="T18" s="215" t="n"/>
      <c r="U18" s="215" t="n"/>
      <c r="V18" s="215" t="n"/>
      <c r="W18" s="215" t="n"/>
      <c r="X18" s="215" t="n"/>
      <c r="Y18" s="215" t="n"/>
      <c r="Z18" s="215" t="n"/>
      <c r="AA18" s="215" t="n"/>
      <c r="AB18" s="215" t="n"/>
      <c r="AC18" s="215" t="n"/>
      <c r="AD18" s="215" t="n"/>
      <c r="AE18" s="215" t="n"/>
      <c r="AF18" s="215" t="n"/>
      <c r="AG18" s="215" t="n"/>
      <c r="AH18" s="215" t="n"/>
      <c r="AI18" s="215" t="n"/>
      <c r="AJ18" s="215" t="n"/>
      <c r="AK18" s="216" t="n"/>
    </row>
    <row r="19" ht="15" customHeight="1">
      <c r="B19" s="134" t="n"/>
      <c r="C19" s="105" t="n"/>
      <c r="D19" s="105" t="n"/>
      <c r="E19" s="105" t="n"/>
      <c r="F19" s="105" t="n"/>
      <c r="G19" s="105" t="n"/>
      <c r="H19" s="2" t="n"/>
      <c r="I19" s="105" t="n"/>
      <c r="K19" s="215" t="n"/>
      <c r="L19" s="215" t="n"/>
      <c r="M19" s="215" t="n"/>
      <c r="N19" s="215" t="n"/>
      <c r="O19" s="215" t="n"/>
      <c r="P19" s="215" t="n"/>
      <c r="Q19" s="215" t="n"/>
      <c r="R19" s="215" t="n"/>
      <c r="S19" s="215" t="n"/>
      <c r="T19" s="215" t="n"/>
      <c r="U19" s="215" t="n"/>
      <c r="V19" s="215" t="n"/>
      <c r="W19" s="215" t="n"/>
      <c r="X19" s="215" t="n"/>
      <c r="Y19" s="215" t="n"/>
      <c r="Z19" s="215" t="n"/>
      <c r="AA19" s="215" t="n"/>
      <c r="AB19" s="215" t="n"/>
      <c r="AC19" s="215" t="n"/>
      <c r="AD19" s="215" t="n"/>
      <c r="AE19" s="215" t="n"/>
      <c r="AF19" s="215" t="n"/>
      <c r="AG19" s="215" t="n"/>
      <c r="AH19" s="215" t="n"/>
      <c r="AI19" s="215" t="n"/>
      <c r="AJ19" s="215" t="n"/>
      <c r="AK19" s="216" t="n"/>
    </row>
    <row r="20" ht="15" customHeight="1">
      <c r="B20" s="134" t="n"/>
      <c r="C20" s="105" t="n"/>
      <c r="D20" s="105" t="n"/>
      <c r="E20" s="105" t="n"/>
      <c r="F20" s="105" t="n"/>
      <c r="G20" s="105" t="n"/>
      <c r="H20" s="2" t="n"/>
      <c r="I20" s="105" t="n"/>
      <c r="K20" s="215" t="n"/>
      <c r="L20" s="215" t="n"/>
      <c r="M20" s="215" t="n"/>
      <c r="N20" s="215" t="n"/>
      <c r="O20" s="215" t="n"/>
      <c r="P20" s="215" t="n"/>
      <c r="Q20" s="215" t="n"/>
      <c r="R20" s="215" t="n"/>
      <c r="S20" s="215" t="n"/>
      <c r="T20" s="215" t="n"/>
      <c r="U20" s="215" t="n"/>
      <c r="V20" s="215" t="n"/>
      <c r="W20" s="215" t="n"/>
      <c r="X20" s="215" t="n"/>
      <c r="Y20" s="215" t="n"/>
      <c r="Z20" s="215" t="n"/>
      <c r="AA20" s="215" t="n"/>
      <c r="AB20" s="215" t="n"/>
      <c r="AC20" s="215" t="n"/>
      <c r="AD20" s="215" t="n"/>
      <c r="AE20" s="215" t="n"/>
      <c r="AF20" s="215" t="n"/>
      <c r="AG20" s="215" t="n"/>
      <c r="AH20" s="215" t="n"/>
      <c r="AI20" s="215" t="n"/>
      <c r="AJ20" s="215" t="n"/>
      <c r="AK20" s="216" t="n"/>
    </row>
    <row r="21" ht="15" customHeight="1">
      <c r="B21" s="134" t="n"/>
      <c r="C21" s="105" t="n"/>
      <c r="D21" s="105" t="n"/>
      <c r="E21" s="105" t="n"/>
      <c r="F21" s="105" t="n"/>
      <c r="G21" s="105" t="n"/>
      <c r="H21" s="2" t="n"/>
      <c r="I21" s="105" t="n"/>
      <c r="K21" s="215" t="n"/>
      <c r="L21" s="215" t="n"/>
      <c r="M21" s="215" t="n"/>
      <c r="N21" s="215" t="n"/>
      <c r="O21" s="215" t="n"/>
      <c r="P21" s="215" t="n"/>
      <c r="Q21" s="215" t="n"/>
      <c r="R21" s="215" t="n"/>
      <c r="S21" s="215" t="n"/>
      <c r="T21" s="215" t="n"/>
      <c r="U21" s="215" t="n"/>
      <c r="V21" s="215" t="n"/>
      <c r="W21" s="215" t="n"/>
      <c r="X21" s="215" t="n"/>
      <c r="Y21" s="215" t="n"/>
      <c r="Z21" s="215" t="n"/>
      <c r="AA21" s="215" t="n"/>
      <c r="AB21" s="215" t="n"/>
      <c r="AC21" s="215" t="n"/>
      <c r="AD21" s="215" t="n"/>
      <c r="AE21" s="215" t="n"/>
      <c r="AF21" s="215" t="n"/>
      <c r="AG21" s="215" t="n"/>
      <c r="AH21" s="215" t="n"/>
      <c r="AI21" s="215" t="n"/>
      <c r="AJ21" s="215" t="n"/>
      <c r="AK21" s="216" t="n"/>
    </row>
    <row r="22" ht="15" customHeight="1">
      <c r="B22" s="134" t="n"/>
      <c r="C22" s="105" t="n"/>
      <c r="D22" s="105" t="n"/>
      <c r="E22" s="105" t="n"/>
      <c r="F22" s="105" t="n"/>
      <c r="G22" s="105" t="n"/>
      <c r="H22" s="2" t="n"/>
      <c r="I22" s="105" t="n"/>
      <c r="K22" s="215" t="n"/>
      <c r="L22" s="215" t="n"/>
      <c r="M22" s="215" t="n"/>
      <c r="N22" s="215" t="n"/>
      <c r="O22" s="215" t="n"/>
      <c r="P22" s="215" t="n"/>
      <c r="Q22" s="215" t="n"/>
      <c r="R22" s="215" t="n"/>
      <c r="S22" s="215" t="n"/>
      <c r="T22" s="215" t="n"/>
      <c r="U22" s="215" t="n"/>
      <c r="V22" s="215" t="n"/>
      <c r="W22" s="215" t="n"/>
      <c r="X22" s="215" t="n"/>
      <c r="Y22" s="215" t="n"/>
      <c r="Z22" s="215" t="n"/>
      <c r="AA22" s="215" t="n"/>
      <c r="AB22" s="215" t="n"/>
      <c r="AC22" s="215" t="n"/>
      <c r="AD22" s="215" t="n"/>
      <c r="AE22" s="215" t="n"/>
      <c r="AF22" s="215" t="n"/>
      <c r="AG22" s="215" t="n"/>
      <c r="AH22" s="215" t="n"/>
      <c r="AI22" s="215" t="n"/>
      <c r="AJ22" s="215" t="n"/>
      <c r="AK22" s="216" t="n"/>
    </row>
    <row r="23" ht="15" customHeight="1">
      <c r="B23" s="134" t="n"/>
      <c r="C23" s="105" t="n"/>
      <c r="D23" s="105" t="n"/>
      <c r="E23" s="105" t="n"/>
      <c r="F23" s="105" t="n"/>
      <c r="G23" s="105" t="n"/>
      <c r="H23" s="2" t="n"/>
      <c r="I23" s="105" t="n"/>
      <c r="K23" s="215" t="n"/>
      <c r="L23" s="215" t="n"/>
      <c r="M23" s="215" t="n"/>
      <c r="N23" s="215" t="n"/>
      <c r="O23" s="215" t="n"/>
      <c r="P23" s="215" t="n"/>
      <c r="Q23" s="215" t="n"/>
      <c r="R23" s="215" t="n"/>
      <c r="S23" s="215" t="n"/>
      <c r="T23" s="215" t="n"/>
      <c r="U23" s="215" t="n"/>
      <c r="V23" s="215" t="n"/>
      <c r="W23" s="215" t="n"/>
      <c r="X23" s="215" t="n"/>
      <c r="Y23" s="215" t="n"/>
      <c r="Z23" s="215" t="n"/>
      <c r="AA23" s="215" t="n"/>
      <c r="AB23" s="215" t="n"/>
      <c r="AC23" s="215" t="n"/>
      <c r="AD23" s="215" t="n"/>
      <c r="AE23" s="215" t="n"/>
      <c r="AF23" s="215" t="n"/>
      <c r="AG23" s="215" t="n"/>
      <c r="AH23" s="215" t="n"/>
      <c r="AI23" s="215" t="n"/>
      <c r="AJ23" s="215" t="n"/>
      <c r="AK23" s="216" t="n"/>
    </row>
    <row r="24" ht="15" customHeight="1">
      <c r="B24" s="134" t="n"/>
      <c r="C24" s="105" t="n"/>
      <c r="D24" s="105" t="n"/>
      <c r="E24" s="105" t="n"/>
      <c r="F24" s="105" t="n"/>
      <c r="G24" s="105" t="n"/>
      <c r="H24" s="2" t="n"/>
      <c r="I24" s="105" t="n"/>
      <c r="K24" s="21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5" t="n"/>
      <c r="U24" s="215" t="n"/>
      <c r="V24" s="215" t="n"/>
      <c r="W24" s="215" t="n"/>
      <c r="X24" s="215" t="n"/>
      <c r="Y24" s="215" t="n"/>
      <c r="Z24" s="215" t="n"/>
      <c r="AA24" s="215" t="n"/>
      <c r="AB24" s="215" t="n"/>
      <c r="AC24" s="215" t="n"/>
      <c r="AD24" s="215" t="n"/>
      <c r="AE24" s="215" t="n"/>
      <c r="AF24" s="215" t="n"/>
      <c r="AG24" s="215" t="n"/>
      <c r="AH24" s="215" t="n"/>
      <c r="AI24" s="215" t="n"/>
      <c r="AJ24" s="215" t="n"/>
      <c r="AK24" s="216" t="n"/>
    </row>
    <row r="25" ht="15" customHeight="1">
      <c r="B25" s="134" t="n"/>
      <c r="C25" s="105" t="n"/>
      <c r="D25" s="105" t="n"/>
      <c r="E25" s="105" t="n"/>
      <c r="F25" s="105" t="n"/>
      <c r="G25" s="105" t="n"/>
      <c r="H25" s="2" t="n"/>
      <c r="I25" s="105" t="n"/>
      <c r="K25" s="215" t="n"/>
      <c r="L25" s="215" t="n"/>
      <c r="M25" s="215" t="n"/>
      <c r="N25" s="215" t="n"/>
      <c r="O25" s="215" t="n"/>
      <c r="P25" s="215" t="n"/>
      <c r="Q25" s="215" t="n"/>
      <c r="R25" s="215" t="n"/>
      <c r="S25" s="215" t="n"/>
      <c r="T25" s="215" t="n"/>
      <c r="U25" s="215" t="n"/>
      <c r="V25" s="215" t="n"/>
      <c r="W25" s="215" t="n"/>
      <c r="X25" s="215" t="n"/>
      <c r="Y25" s="215" t="n"/>
      <c r="Z25" s="215" t="n"/>
      <c r="AA25" s="215" t="n"/>
      <c r="AB25" s="215" t="n"/>
      <c r="AC25" s="215" t="n"/>
      <c r="AD25" s="215" t="n"/>
      <c r="AE25" s="215" t="n"/>
      <c r="AF25" s="215" t="n"/>
      <c r="AG25" s="215" t="n"/>
      <c r="AH25" s="215" t="n"/>
      <c r="AI25" s="215" t="n"/>
      <c r="AJ25" s="215" t="n"/>
      <c r="AK25" s="216" t="n"/>
    </row>
    <row r="26" ht="15" customHeight="1">
      <c r="B26" s="134" t="n"/>
      <c r="C26" s="105" t="n"/>
      <c r="D26" s="105" t="n"/>
      <c r="E26" s="105" t="n"/>
      <c r="F26" s="105" t="n"/>
      <c r="G26" s="105" t="n"/>
      <c r="H26" s="2" t="n"/>
      <c r="I26" s="105" t="n"/>
      <c r="K26" s="215" t="n"/>
      <c r="L26" s="215" t="n"/>
      <c r="M26" s="215" t="n"/>
      <c r="N26" s="215" t="n"/>
      <c r="O26" s="215" t="n"/>
      <c r="P26" s="215" t="n"/>
      <c r="Q26" s="215" t="n"/>
      <c r="R26" s="215" t="n"/>
      <c r="S26" s="215" t="n"/>
      <c r="T26" s="215" t="n"/>
      <c r="U26" s="215" t="n"/>
      <c r="V26" s="215" t="n"/>
      <c r="W26" s="215" t="n"/>
      <c r="X26" s="215" t="n"/>
      <c r="Y26" s="215" t="n"/>
      <c r="Z26" s="215" t="n"/>
      <c r="AA26" s="215" t="n"/>
      <c r="AB26" s="215" t="n"/>
      <c r="AC26" s="215" t="n"/>
      <c r="AD26" s="215" t="n"/>
      <c r="AE26" s="215" t="n"/>
      <c r="AF26" s="215" t="n"/>
      <c r="AG26" s="215" t="n"/>
      <c r="AH26" s="215" t="n"/>
      <c r="AI26" s="215" t="n"/>
      <c r="AJ26" s="215" t="n"/>
      <c r="AK26" s="216" t="n"/>
    </row>
    <row r="27" ht="15" customHeight="1">
      <c r="B27" s="134" t="n"/>
      <c r="C27" s="105" t="n"/>
      <c r="D27" s="105" t="n"/>
      <c r="E27" s="105" t="n"/>
      <c r="F27" s="105" t="n"/>
      <c r="G27" s="105" t="n"/>
      <c r="H27" s="2" t="n"/>
      <c r="I27" s="105" t="n"/>
      <c r="K27" s="215" t="n"/>
      <c r="L27" s="215" t="n"/>
      <c r="M27" s="215" t="n"/>
      <c r="N27" s="215" t="n"/>
      <c r="O27" s="215" t="n"/>
      <c r="P27" s="215" t="n"/>
      <c r="Q27" s="215" t="n"/>
      <c r="R27" s="215" t="n"/>
      <c r="S27" s="215" t="n"/>
      <c r="T27" s="215" t="n"/>
      <c r="U27" s="215" t="n"/>
      <c r="V27" s="215" t="n"/>
      <c r="W27" s="215" t="n"/>
      <c r="X27" s="215" t="n"/>
      <c r="Y27" s="215" t="n"/>
      <c r="Z27" s="215" t="n"/>
      <c r="AA27" s="215" t="n"/>
      <c r="AB27" s="215" t="n"/>
      <c r="AC27" s="215" t="n"/>
      <c r="AD27" s="215" t="n"/>
      <c r="AE27" s="215" t="n"/>
      <c r="AF27" s="215" t="n"/>
      <c r="AG27" s="215" t="n"/>
      <c r="AH27" s="215" t="n"/>
      <c r="AI27" s="215" t="n"/>
      <c r="AJ27" s="215" t="n"/>
      <c r="AK27" s="216" t="n"/>
    </row>
    <row r="28" ht="15" customHeight="1">
      <c r="B28" s="134" t="n"/>
      <c r="C28" s="105" t="n"/>
      <c r="D28" s="105" t="n"/>
      <c r="E28" s="105" t="n"/>
      <c r="F28" s="105" t="n"/>
      <c r="G28" s="105" t="n"/>
      <c r="H28" s="2" t="n"/>
      <c r="I28" s="10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6" t="n"/>
    </row>
    <row r="29" ht="15" customHeight="1">
      <c r="B29" s="134" t="n"/>
      <c r="C29" s="105" t="n"/>
      <c r="D29" s="105" t="n"/>
      <c r="E29" s="105" t="n"/>
      <c r="F29" s="105" t="n"/>
      <c r="G29" s="105" t="n"/>
      <c r="H29" s="2" t="n"/>
      <c r="I29" s="105" t="n"/>
      <c r="K29" s="215" t="n"/>
      <c r="L29" s="215" t="n"/>
      <c r="M29" s="215" t="n"/>
      <c r="N29" s="215" t="n"/>
      <c r="O29" s="215" t="n"/>
      <c r="P29" s="215" t="n"/>
      <c r="Q29" s="215" t="n"/>
      <c r="R29" s="215" t="n"/>
      <c r="S29" s="215" t="n"/>
      <c r="T29" s="215" t="n"/>
      <c r="U29" s="215" t="n"/>
      <c r="V29" s="215" t="n"/>
      <c r="W29" s="215" t="n"/>
      <c r="X29" s="215" t="n"/>
      <c r="Y29" s="215" t="n"/>
      <c r="Z29" s="215" t="n"/>
      <c r="AA29" s="215" t="n"/>
      <c r="AB29" s="215" t="n"/>
      <c r="AC29" s="215" t="n"/>
      <c r="AD29" s="215" t="n"/>
      <c r="AE29" s="215" t="n"/>
      <c r="AF29" s="215" t="n"/>
      <c r="AG29" s="215" t="n"/>
      <c r="AH29" s="215" t="n"/>
      <c r="AI29" s="215" t="n"/>
      <c r="AJ29" s="215" t="n"/>
      <c r="AK29" s="216" t="n"/>
    </row>
    <row r="30" ht="15" customHeight="1">
      <c r="B30" s="134" t="n"/>
      <c r="C30" s="105" t="n"/>
      <c r="D30" s="105" t="n"/>
      <c r="E30" s="105" t="n"/>
      <c r="F30" s="105" t="n"/>
      <c r="G30" s="105" t="n"/>
      <c r="H30" s="2" t="n"/>
      <c r="I30" s="105" t="n"/>
      <c r="K30" s="215" t="n"/>
      <c r="L30" s="215" t="n"/>
      <c r="M30" s="215" t="n"/>
      <c r="N30" s="215" t="n"/>
      <c r="O30" s="215" t="n"/>
      <c r="P30" s="215" t="n"/>
      <c r="Q30" s="215" t="n"/>
      <c r="R30" s="215" t="n"/>
      <c r="S30" s="215" t="n"/>
      <c r="T30" s="215" t="n"/>
      <c r="U30" s="215" t="n"/>
      <c r="V30" s="215" t="n"/>
      <c r="W30" s="215" t="n"/>
      <c r="X30" s="215" t="n"/>
      <c r="Y30" s="215" t="n"/>
      <c r="Z30" s="215" t="n"/>
      <c r="AA30" s="215" t="n"/>
      <c r="AB30" s="215" t="n"/>
      <c r="AC30" s="215" t="n"/>
      <c r="AD30" s="215" t="n"/>
      <c r="AE30" s="215" t="n"/>
      <c r="AF30" s="215" t="n"/>
      <c r="AG30" s="215" t="n"/>
      <c r="AH30" s="215" t="n"/>
      <c r="AI30" s="215" t="n"/>
      <c r="AJ30" s="215" t="n"/>
      <c r="AK30" s="216" t="n"/>
    </row>
    <row r="31" ht="15" customHeight="1">
      <c r="B31" s="134" t="n"/>
      <c r="C31" s="105" t="n"/>
      <c r="D31" s="105" t="n"/>
      <c r="E31" s="105" t="n"/>
      <c r="F31" s="105" t="n"/>
      <c r="G31" s="105" t="n"/>
      <c r="H31" s="2" t="n"/>
      <c r="I31" s="105" t="n"/>
      <c r="K31" s="215" t="n"/>
      <c r="L31" s="215" t="n"/>
      <c r="M31" s="215" t="n"/>
      <c r="N31" s="215" t="n"/>
      <c r="O31" s="215" t="n"/>
      <c r="P31" s="215" t="n"/>
      <c r="Q31" s="215" t="n"/>
      <c r="R31" s="215" t="n"/>
      <c r="S31" s="215" t="n"/>
      <c r="T31" s="215" t="n"/>
      <c r="U31" s="215" t="n"/>
      <c r="V31" s="215" t="n"/>
      <c r="W31" s="215" t="n"/>
      <c r="X31" s="215" t="n"/>
      <c r="Y31" s="215" t="n"/>
      <c r="Z31" s="215" t="n"/>
      <c r="AA31" s="215" t="n"/>
      <c r="AB31" s="215" t="n"/>
      <c r="AC31" s="215" t="n"/>
      <c r="AD31" s="215" t="n"/>
      <c r="AE31" s="215" t="n"/>
      <c r="AF31" s="215" t="n"/>
      <c r="AG31" s="215" t="n"/>
      <c r="AH31" s="215" t="n"/>
      <c r="AI31" s="215" t="n"/>
      <c r="AJ31" s="215" t="n"/>
      <c r="AK31" s="216" t="n"/>
    </row>
    <row r="32" ht="15" customHeight="1">
      <c r="B32" s="134" t="n"/>
      <c r="C32" s="105" t="n"/>
      <c r="D32" s="105" t="n"/>
      <c r="E32" s="105" t="n"/>
      <c r="F32" s="105" t="n"/>
      <c r="G32" s="105" t="n"/>
      <c r="H32" s="2" t="n"/>
      <c r="I32" s="105" t="n"/>
      <c r="K32" s="215" t="n"/>
      <c r="L32" s="215" t="n"/>
      <c r="M32" s="215" t="n"/>
      <c r="N32" s="215" t="n"/>
      <c r="O32" s="215" t="n"/>
      <c r="P32" s="215" t="n"/>
      <c r="Q32" s="215" t="n"/>
      <c r="R32" s="215" t="n"/>
      <c r="S32" s="215" t="n"/>
      <c r="T32" s="215" t="n"/>
      <c r="U32" s="215" t="n"/>
      <c r="V32" s="215" t="n"/>
      <c r="W32" s="215" t="n"/>
      <c r="X32" s="215" t="n"/>
      <c r="Y32" s="215" t="n"/>
      <c r="Z32" s="215" t="n"/>
      <c r="AA32" s="215" t="n"/>
      <c r="AB32" s="215" t="n"/>
      <c r="AC32" s="215" t="n"/>
      <c r="AD32" s="215" t="n"/>
      <c r="AE32" s="215" t="n"/>
      <c r="AF32" s="215" t="n"/>
      <c r="AG32" s="215" t="n"/>
      <c r="AH32" s="215" t="n"/>
      <c r="AI32" s="215" t="n"/>
      <c r="AJ32" s="215" t="n"/>
      <c r="AK32" s="216" t="n"/>
    </row>
    <row r="33" ht="15" customHeight="1">
      <c r="B33" s="134" t="n"/>
      <c r="C33" s="105" t="n"/>
      <c r="D33" s="105" t="n"/>
      <c r="E33" s="105" t="n"/>
      <c r="F33" s="105" t="n"/>
      <c r="G33" s="105" t="n"/>
      <c r="H33" s="2" t="n"/>
      <c r="I33" s="105" t="n"/>
      <c r="K33" s="215" t="n"/>
      <c r="L33" s="215" t="n"/>
      <c r="M33" s="215" t="n"/>
      <c r="N33" s="215" t="n"/>
      <c r="O33" s="215" t="n"/>
      <c r="P33" s="215" t="n"/>
      <c r="Q33" s="215" t="n"/>
      <c r="R33" s="215" t="n"/>
      <c r="S33" s="215" t="n"/>
      <c r="T33" s="215" t="n"/>
      <c r="U33" s="215" t="n"/>
      <c r="V33" s="215" t="n"/>
      <c r="W33" s="215" t="n"/>
      <c r="X33" s="215" t="n"/>
      <c r="Y33" s="215" t="n"/>
      <c r="Z33" s="215" t="n"/>
      <c r="AA33" s="215" t="n"/>
      <c r="AB33" s="215" t="n"/>
      <c r="AC33" s="215" t="n"/>
      <c r="AD33" s="215" t="n"/>
      <c r="AE33" s="215" t="n"/>
      <c r="AF33" s="215" t="n"/>
      <c r="AG33" s="215" t="n"/>
      <c r="AH33" s="215" t="n"/>
      <c r="AI33" s="215" t="n"/>
      <c r="AJ33" s="215" t="n"/>
      <c r="AK33" s="216" t="n"/>
    </row>
    <row r="34" ht="15" customHeight="1">
      <c r="B34" s="134" t="n"/>
      <c r="C34" s="105" t="n"/>
      <c r="D34" s="105" t="n"/>
      <c r="E34" s="105" t="n"/>
      <c r="F34" s="105" t="n"/>
      <c r="G34" s="105" t="n"/>
      <c r="H34" s="2" t="n"/>
      <c r="I34" s="105" t="n"/>
      <c r="K34" s="215" t="n"/>
      <c r="L34" s="215" t="n"/>
      <c r="M34" s="215" t="n"/>
      <c r="N34" s="215" t="n"/>
      <c r="O34" s="215" t="n"/>
      <c r="P34" s="215" t="n"/>
      <c r="Q34" s="215" t="n"/>
      <c r="R34" s="215" t="n"/>
      <c r="S34" s="215" t="n"/>
      <c r="T34" s="215" t="n"/>
      <c r="U34" s="215" t="n"/>
      <c r="V34" s="215" t="n"/>
      <c r="W34" s="215" t="n"/>
      <c r="X34" s="215" t="n"/>
      <c r="Y34" s="215" t="n"/>
      <c r="Z34" s="215" t="n"/>
      <c r="AA34" s="215" t="n"/>
      <c r="AB34" s="215" t="n"/>
      <c r="AC34" s="215" t="n"/>
      <c r="AD34" s="215" t="n"/>
      <c r="AE34" s="215" t="n"/>
      <c r="AF34" s="215" t="n"/>
      <c r="AG34" s="215" t="n"/>
      <c r="AH34" s="215" t="n"/>
      <c r="AI34" s="215" t="n"/>
      <c r="AJ34" s="215" t="n"/>
      <c r="AK34" s="216" t="n"/>
    </row>
    <row r="35" ht="15" customHeight="1">
      <c r="B35" s="134" t="n"/>
      <c r="C35" s="105" t="n"/>
      <c r="D35" s="105" t="n"/>
      <c r="E35" s="105" t="n"/>
      <c r="F35" s="105" t="n"/>
      <c r="G35" s="105" t="n"/>
      <c r="H35" s="2" t="n"/>
      <c r="I35" s="105" t="n"/>
      <c r="K35" s="215" t="n"/>
      <c r="L35" s="215" t="n"/>
      <c r="M35" s="215" t="n"/>
      <c r="N35" s="215" t="n"/>
      <c r="O35" s="215" t="n"/>
      <c r="P35" s="215" t="n"/>
      <c r="Q35" s="215" t="n"/>
      <c r="R35" s="215" t="n"/>
      <c r="S35" s="215" t="n"/>
      <c r="T35" s="215" t="n"/>
      <c r="U35" s="215" t="n"/>
      <c r="V35" s="215" t="n"/>
      <c r="W35" s="215" t="n"/>
      <c r="X35" s="215" t="n"/>
      <c r="Y35" s="215" t="n"/>
      <c r="Z35" s="215" t="n"/>
      <c r="AA35" s="215" t="n"/>
      <c r="AB35" s="215" t="n"/>
      <c r="AC35" s="215" t="n"/>
      <c r="AD35" s="215" t="n"/>
      <c r="AE35" s="215" t="n"/>
      <c r="AF35" s="215" t="n"/>
      <c r="AG35" s="215" t="n"/>
      <c r="AH35" s="215" t="n"/>
      <c r="AI35" s="215" t="n"/>
      <c r="AJ35" s="215" t="n"/>
      <c r="AK35" s="216" t="n"/>
    </row>
    <row r="36" ht="15" customHeight="1">
      <c r="B36" s="134" t="n"/>
      <c r="C36" s="105" t="n"/>
      <c r="D36" s="105" t="n"/>
      <c r="E36" s="105" t="n"/>
      <c r="F36" s="105" t="n"/>
      <c r="G36" s="105" t="n"/>
      <c r="H36" s="2" t="n"/>
      <c r="I36" s="105" t="n"/>
      <c r="K36" s="215" t="n"/>
      <c r="L36" s="215" t="n"/>
      <c r="M36" s="215" t="n"/>
      <c r="N36" s="215" t="n"/>
      <c r="O36" s="215" t="n"/>
      <c r="P36" s="215" t="n"/>
      <c r="Q36" s="215" t="n"/>
      <c r="R36" s="215" t="n"/>
      <c r="S36" s="215" t="n"/>
      <c r="T36" s="215" t="n"/>
      <c r="U36" s="215" t="n"/>
      <c r="V36" s="215" t="n"/>
      <c r="W36" s="215" t="n"/>
      <c r="X36" s="215" t="n"/>
      <c r="Y36" s="215" t="n"/>
      <c r="Z36" s="215" t="n"/>
      <c r="AA36" s="215" t="n"/>
      <c r="AB36" s="215" t="n"/>
      <c r="AC36" s="215" t="n"/>
      <c r="AD36" s="215" t="n"/>
      <c r="AE36" s="215" t="n"/>
      <c r="AF36" s="215" t="n"/>
      <c r="AG36" s="215" t="n"/>
      <c r="AH36" s="215" t="n"/>
      <c r="AI36" s="215" t="n"/>
      <c r="AJ36" s="215" t="n"/>
      <c r="AK36" s="216" t="n"/>
    </row>
    <row r="37" ht="15" customHeight="1">
      <c r="B37" s="134" t="n"/>
      <c r="C37" s="105" t="n"/>
      <c r="D37" s="105" t="n"/>
      <c r="E37" s="105" t="n"/>
      <c r="F37" s="105" t="n"/>
      <c r="G37" s="105" t="n"/>
      <c r="H37" s="2" t="n"/>
      <c r="I37" s="105" t="n"/>
      <c r="K37" s="215" t="n"/>
      <c r="L37" s="215" t="n"/>
      <c r="M37" s="215" t="n"/>
      <c r="N37" s="215" t="n"/>
      <c r="O37" s="215" t="n"/>
      <c r="P37" s="215" t="n"/>
      <c r="Q37" s="215" t="n"/>
      <c r="R37" s="215" t="n"/>
      <c r="S37" s="215" t="n"/>
      <c r="T37" s="215" t="n"/>
      <c r="U37" s="215" t="n"/>
      <c r="V37" s="215" t="n"/>
      <c r="W37" s="215" t="n"/>
      <c r="X37" s="215" t="n"/>
      <c r="Y37" s="215" t="n"/>
      <c r="Z37" s="215" t="n"/>
      <c r="AA37" s="215" t="n"/>
      <c r="AB37" s="215" t="n"/>
      <c r="AC37" s="215" t="n"/>
      <c r="AD37" s="215" t="n"/>
      <c r="AE37" s="215" t="n"/>
      <c r="AF37" s="215" t="n"/>
      <c r="AG37" s="215" t="n"/>
      <c r="AH37" s="215" t="n"/>
      <c r="AI37" s="215" t="n"/>
      <c r="AJ37" s="215" t="n"/>
      <c r="AK37" s="216" t="n"/>
    </row>
    <row r="38" ht="15" customHeight="1">
      <c r="B38" s="134" t="n"/>
      <c r="C38" s="105" t="n"/>
      <c r="D38" s="105" t="n"/>
      <c r="E38" s="105" t="n"/>
      <c r="F38" s="105" t="n"/>
      <c r="G38" s="105" t="n"/>
      <c r="H38" s="2" t="n"/>
      <c r="I38" s="105" t="n"/>
      <c r="K38" s="215" t="n"/>
      <c r="L38" s="215" t="n"/>
      <c r="M38" s="215" t="n"/>
      <c r="N38" s="215" t="n"/>
      <c r="O38" s="215" t="n"/>
      <c r="P38" s="215" t="n"/>
      <c r="Q38" s="215" t="n"/>
      <c r="R38" s="215" t="n"/>
      <c r="S38" s="215" t="n"/>
      <c r="T38" s="215" t="n"/>
      <c r="U38" s="215" t="n"/>
      <c r="V38" s="215" t="n"/>
      <c r="W38" s="215" t="n"/>
      <c r="X38" s="215" t="n"/>
      <c r="Y38" s="215" t="n"/>
      <c r="Z38" s="215" t="n"/>
      <c r="AA38" s="215" t="n"/>
      <c r="AB38" s="215" t="n"/>
      <c r="AC38" s="215" t="n"/>
      <c r="AD38" s="215" t="n"/>
      <c r="AE38" s="215" t="n"/>
      <c r="AF38" s="215" t="n"/>
      <c r="AG38" s="215" t="n"/>
      <c r="AH38" s="215" t="n"/>
      <c r="AI38" s="215" t="n"/>
      <c r="AJ38" s="215" t="n"/>
      <c r="AK38" s="216" t="n"/>
    </row>
    <row r="39" ht="15" customHeight="1">
      <c r="B39" s="134" t="n"/>
      <c r="C39" s="105" t="n"/>
      <c r="D39" s="105" t="n"/>
      <c r="E39" s="105" t="n"/>
      <c r="F39" s="105" t="n"/>
      <c r="G39" s="105" t="n"/>
      <c r="H39" s="2" t="n"/>
      <c r="I39" s="105" t="n"/>
      <c r="K39" s="215" t="n"/>
      <c r="L39" s="215" t="n"/>
      <c r="M39" s="215" t="n"/>
      <c r="N39" s="215" t="n"/>
      <c r="O39" s="215" t="n"/>
      <c r="P39" s="215" t="n"/>
      <c r="Q39" s="215" t="n"/>
      <c r="R39" s="215" t="n"/>
      <c r="S39" s="215" t="n"/>
      <c r="T39" s="215" t="n"/>
      <c r="U39" s="215" t="n"/>
      <c r="V39" s="215" t="n"/>
      <c r="W39" s="215" t="n"/>
      <c r="X39" s="215" t="n"/>
      <c r="Y39" s="215" t="n"/>
      <c r="Z39" s="215" t="n"/>
      <c r="AA39" s="215" t="n"/>
      <c r="AB39" s="215" t="n"/>
      <c r="AC39" s="215" t="n"/>
      <c r="AD39" s="215" t="n"/>
      <c r="AE39" s="215" t="n"/>
      <c r="AF39" s="215" t="n"/>
      <c r="AG39" s="215" t="n"/>
      <c r="AH39" s="215" t="n"/>
      <c r="AI39" s="215" t="n"/>
      <c r="AJ39" s="215" t="n"/>
      <c r="AK39" s="216" t="n"/>
    </row>
    <row r="40" ht="15" customHeight="1">
      <c r="B40" s="134" t="n"/>
      <c r="C40" s="105" t="n"/>
      <c r="D40" s="105" t="n"/>
      <c r="E40" s="105" t="n"/>
      <c r="F40" s="105" t="n"/>
      <c r="G40" s="105" t="n"/>
      <c r="H40" s="2" t="n"/>
      <c r="I40" s="105" t="n"/>
      <c r="K40" s="215" t="n"/>
      <c r="L40" s="215" t="n"/>
      <c r="M40" s="215" t="n"/>
      <c r="N40" s="215" t="n"/>
      <c r="O40" s="215" t="n"/>
      <c r="P40" s="215" t="n"/>
      <c r="Q40" s="215" t="n"/>
      <c r="R40" s="215" t="n"/>
      <c r="S40" s="215" t="n"/>
      <c r="T40" s="215" t="n"/>
      <c r="U40" s="215" t="n"/>
      <c r="V40" s="215" t="n"/>
      <c r="W40" s="215" t="n"/>
      <c r="X40" s="215" t="n"/>
      <c r="Y40" s="215" t="n"/>
      <c r="Z40" s="215" t="n"/>
      <c r="AA40" s="215" t="n"/>
      <c r="AB40" s="215" t="n"/>
      <c r="AC40" s="215" t="n"/>
      <c r="AD40" s="215" t="n"/>
      <c r="AE40" s="215" t="n"/>
      <c r="AF40" s="215" t="n"/>
      <c r="AG40" s="215" t="n"/>
      <c r="AH40" s="215" t="n"/>
      <c r="AI40" s="215" t="n"/>
      <c r="AJ40" s="215" t="n"/>
      <c r="AK40" s="216" t="n"/>
    </row>
    <row r="41" ht="15" customHeight="1">
      <c r="B41" s="134" t="n"/>
      <c r="C41" s="105" t="n"/>
      <c r="D41" s="105" t="n"/>
      <c r="E41" s="105" t="n"/>
      <c r="F41" s="105" t="n"/>
      <c r="G41" s="105" t="n"/>
      <c r="H41" s="2" t="n"/>
      <c r="I41" s="105" t="n"/>
      <c r="K41" s="215" t="n"/>
      <c r="L41" s="215" t="n"/>
      <c r="M41" s="215" t="n"/>
      <c r="N41" s="215" t="n"/>
      <c r="O41" s="215" t="n"/>
      <c r="P41" s="215" t="n"/>
      <c r="Q41" s="215" t="n"/>
      <c r="R41" s="215" t="n"/>
      <c r="S41" s="215" t="n"/>
      <c r="T41" s="215" t="n"/>
      <c r="U41" s="215" t="n"/>
      <c r="V41" s="215" t="n"/>
      <c r="W41" s="215" t="n"/>
      <c r="X41" s="215" t="n"/>
      <c r="Y41" s="215" t="n"/>
      <c r="Z41" s="215" t="n"/>
      <c r="AA41" s="215" t="n"/>
      <c r="AB41" s="215" t="n"/>
      <c r="AC41" s="215" t="n"/>
      <c r="AD41" s="215" t="n"/>
      <c r="AE41" s="215" t="n"/>
      <c r="AF41" s="215" t="n"/>
      <c r="AG41" s="215" t="n"/>
      <c r="AH41" s="215" t="n"/>
      <c r="AI41" s="215" t="n"/>
      <c r="AJ41" s="215" t="n"/>
      <c r="AK41" s="216" t="n"/>
    </row>
    <row r="42" ht="15" customHeight="1">
      <c r="B42" s="134" t="n"/>
      <c r="C42" s="105" t="n"/>
      <c r="D42" s="105" t="n"/>
      <c r="E42" s="105" t="n"/>
      <c r="F42" s="105" t="n"/>
      <c r="G42" s="105" t="n"/>
      <c r="H42" s="2" t="n"/>
      <c r="I42" s="105" t="n"/>
      <c r="K42" s="215" t="n"/>
      <c r="L42" s="215" t="n"/>
      <c r="M42" s="215" t="n"/>
      <c r="N42" s="215" t="n"/>
      <c r="O42" s="215" t="n"/>
      <c r="P42" s="215" t="n"/>
      <c r="Q42" s="215" t="n"/>
      <c r="R42" s="215" t="n"/>
      <c r="S42" s="215" t="n"/>
      <c r="T42" s="215" t="n"/>
      <c r="U42" s="215" t="n"/>
      <c r="V42" s="215" t="n"/>
      <c r="W42" s="215" t="n"/>
      <c r="X42" s="215" t="n"/>
      <c r="Y42" s="215" t="n"/>
      <c r="Z42" s="215" t="n"/>
      <c r="AA42" s="215" t="n"/>
      <c r="AB42" s="215" t="n"/>
      <c r="AC42" s="215" t="n"/>
      <c r="AD42" s="215" t="n"/>
      <c r="AE42" s="215" t="n"/>
      <c r="AF42" s="215" t="n"/>
      <c r="AG42" s="215" t="n"/>
      <c r="AH42" s="215" t="n"/>
      <c r="AI42" s="215" t="n"/>
      <c r="AJ42" s="215" t="n"/>
      <c r="AK42" s="216" t="n"/>
    </row>
    <row r="43" ht="15" customHeight="1">
      <c r="B43" s="134" t="n"/>
      <c r="C43" s="105" t="n"/>
      <c r="D43" s="105" t="n"/>
      <c r="E43" s="105" t="n"/>
      <c r="F43" s="105" t="n"/>
      <c r="G43" s="105" t="n"/>
      <c r="H43" s="2" t="n"/>
      <c r="I43" s="105" t="n"/>
      <c r="K43" s="215" t="n"/>
      <c r="L43" s="215" t="n"/>
      <c r="M43" s="215" t="n"/>
      <c r="N43" s="215" t="n"/>
      <c r="O43" s="215" t="n"/>
      <c r="P43" s="215" t="n"/>
      <c r="Q43" s="215" t="n"/>
      <c r="R43" s="215" t="n"/>
      <c r="S43" s="215" t="n"/>
      <c r="T43" s="215" t="n"/>
      <c r="U43" s="215" t="n"/>
      <c r="V43" s="215" t="n"/>
      <c r="W43" s="215" t="n"/>
      <c r="X43" s="215" t="n"/>
      <c r="Y43" s="215" t="n"/>
      <c r="Z43" s="215" t="n"/>
      <c r="AA43" s="215" t="n"/>
      <c r="AB43" s="215" t="n"/>
      <c r="AC43" s="215" t="n"/>
      <c r="AD43" s="215" t="n"/>
      <c r="AE43" s="215" t="n"/>
      <c r="AF43" s="215" t="n"/>
      <c r="AG43" s="215" t="n"/>
      <c r="AH43" s="215" t="n"/>
      <c r="AI43" s="215" t="n"/>
      <c r="AJ43" s="215" t="n"/>
      <c r="AK43" s="216" t="n"/>
    </row>
    <row r="44" ht="15" customHeight="1">
      <c r="B44" s="134" t="n"/>
      <c r="C44" s="105" t="n"/>
      <c r="D44" s="105" t="n"/>
      <c r="E44" s="105" t="n"/>
      <c r="F44" s="105" t="n"/>
      <c r="G44" s="105" t="n"/>
      <c r="H44" s="2" t="n"/>
      <c r="I44" s="105" t="n"/>
      <c r="K44" s="215" t="n"/>
      <c r="L44" s="215" t="n"/>
      <c r="M44" s="215" t="n"/>
      <c r="N44" s="215" t="n"/>
      <c r="O44" s="215" t="n"/>
      <c r="P44" s="215" t="n"/>
      <c r="Q44" s="215" t="n"/>
      <c r="R44" s="215" t="n"/>
      <c r="S44" s="215" t="n"/>
      <c r="T44" s="215" t="n"/>
      <c r="U44" s="215" t="n"/>
      <c r="V44" s="215" t="n"/>
      <c r="W44" s="215" t="n"/>
      <c r="X44" s="215" t="n"/>
      <c r="Y44" s="215" t="n"/>
      <c r="Z44" s="215" t="n"/>
      <c r="AA44" s="215" t="n"/>
      <c r="AB44" s="215" t="n"/>
      <c r="AC44" s="215" t="n"/>
      <c r="AD44" s="215" t="n"/>
      <c r="AE44" s="215" t="n"/>
      <c r="AF44" s="215" t="n"/>
      <c r="AG44" s="215" t="n"/>
      <c r="AH44" s="215" t="n"/>
      <c r="AI44" s="215" t="n"/>
      <c r="AJ44" s="215" t="n"/>
      <c r="AK44" s="216" t="n"/>
    </row>
    <row r="45" ht="15" customHeight="1">
      <c r="B45" s="134" t="n"/>
      <c r="C45" s="105" t="n"/>
      <c r="D45" s="105" t="n"/>
      <c r="E45" s="105" t="n"/>
      <c r="F45" s="105" t="n"/>
      <c r="G45" s="105" t="n"/>
      <c r="H45" s="2" t="n"/>
      <c r="I45" s="105" t="n"/>
      <c r="K45" s="215" t="n"/>
      <c r="L45" s="215" t="n"/>
      <c r="M45" s="215" t="n"/>
      <c r="N45" s="215" t="n"/>
      <c r="O45" s="215" t="n"/>
      <c r="P45" s="215" t="n"/>
      <c r="Q45" s="215" t="n"/>
      <c r="R45" s="215" t="n"/>
      <c r="S45" s="215" t="n"/>
      <c r="T45" s="215" t="n"/>
      <c r="U45" s="215" t="n"/>
      <c r="V45" s="215" t="n"/>
      <c r="W45" s="215" t="n"/>
      <c r="X45" s="215" t="n"/>
      <c r="Y45" s="215" t="n"/>
      <c r="Z45" s="215" t="n"/>
      <c r="AA45" s="215" t="n"/>
      <c r="AB45" s="215" t="n"/>
      <c r="AC45" s="215" t="n"/>
      <c r="AD45" s="215" t="n"/>
      <c r="AE45" s="215" t="n"/>
      <c r="AF45" s="215" t="n"/>
      <c r="AG45" s="215" t="n"/>
      <c r="AH45" s="215" t="n"/>
      <c r="AI45" s="215" t="n"/>
      <c r="AJ45" s="215" t="n"/>
      <c r="AK45" s="216" t="n"/>
    </row>
    <row r="46" ht="15" customHeight="1">
      <c r="B46" s="134" t="n"/>
      <c r="C46" s="105" t="n"/>
      <c r="D46" s="105" t="n"/>
      <c r="E46" s="105" t="n"/>
      <c r="F46" s="105" t="n"/>
      <c r="G46" s="105" t="n"/>
      <c r="H46" s="2" t="n"/>
      <c r="I46" s="105" t="n"/>
      <c r="K46" s="215" t="n"/>
      <c r="L46" s="215" t="n"/>
      <c r="M46" s="215" t="n"/>
      <c r="N46" s="215" t="n"/>
      <c r="O46" s="215" t="n"/>
      <c r="P46" s="215" t="n"/>
      <c r="Q46" s="215" t="n"/>
      <c r="R46" s="215" t="n"/>
      <c r="S46" s="215" t="n"/>
      <c r="T46" s="215" t="n"/>
      <c r="U46" s="215" t="n"/>
      <c r="V46" s="215" t="n"/>
      <c r="W46" s="215" t="n"/>
      <c r="X46" s="215" t="n"/>
      <c r="Y46" s="215" t="n"/>
      <c r="Z46" s="215" t="n"/>
      <c r="AA46" s="215" t="n"/>
      <c r="AB46" s="215" t="n"/>
      <c r="AC46" s="215" t="n"/>
      <c r="AD46" s="215" t="n"/>
      <c r="AE46" s="215" t="n"/>
      <c r="AF46" s="215" t="n"/>
      <c r="AG46" s="215" t="n"/>
      <c r="AH46" s="215" t="n"/>
      <c r="AI46" s="215" t="n"/>
      <c r="AJ46" s="215" t="n"/>
      <c r="AK46" s="216" t="n"/>
    </row>
    <row r="47" ht="15" customHeight="1">
      <c r="B47" s="134" t="n"/>
      <c r="C47" s="105" t="n"/>
      <c r="D47" s="105" t="n"/>
      <c r="E47" s="105" t="n"/>
      <c r="F47" s="105" t="n"/>
      <c r="G47" s="105" t="n"/>
      <c r="H47" s="2" t="n"/>
      <c r="I47" s="105" t="n"/>
      <c r="K47" s="215" t="n"/>
      <c r="L47" s="215" t="n"/>
      <c r="M47" s="215" t="n"/>
      <c r="N47" s="215" t="n"/>
      <c r="O47" s="215" t="n"/>
      <c r="P47" s="215" t="n"/>
      <c r="Q47" s="215" t="n"/>
      <c r="R47" s="215" t="n"/>
      <c r="S47" s="215" t="n"/>
      <c r="T47" s="215" t="n"/>
      <c r="U47" s="215" t="n"/>
      <c r="V47" s="215" t="n"/>
      <c r="W47" s="215" t="n"/>
      <c r="X47" s="215" t="n"/>
      <c r="Y47" s="215" t="n"/>
      <c r="Z47" s="215" t="n"/>
      <c r="AA47" s="215" t="n"/>
      <c r="AB47" s="215" t="n"/>
      <c r="AC47" s="215" t="n"/>
      <c r="AD47" s="215" t="n"/>
      <c r="AE47" s="215" t="n"/>
      <c r="AF47" s="215" t="n"/>
      <c r="AG47" s="215" t="n"/>
      <c r="AH47" s="215" t="n"/>
      <c r="AI47" s="215" t="n"/>
      <c r="AJ47" s="215" t="n"/>
      <c r="AK47" s="216" t="n"/>
    </row>
    <row r="48" ht="15" customHeight="1">
      <c r="B48" s="134" t="n"/>
      <c r="C48" s="105" t="n"/>
      <c r="D48" s="105" t="n"/>
      <c r="E48" s="105" t="n"/>
      <c r="F48" s="105" t="n"/>
      <c r="G48" s="105" t="n"/>
      <c r="H48" s="2" t="n"/>
      <c r="I48" s="105" t="n"/>
      <c r="K48" s="215" t="n"/>
      <c r="L48" s="215" t="n"/>
      <c r="M48" s="215" t="n"/>
      <c r="N48" s="215" t="n"/>
      <c r="O48" s="215" t="n"/>
      <c r="P48" s="215" t="n"/>
      <c r="Q48" s="215" t="n"/>
      <c r="R48" s="215" t="n"/>
      <c r="S48" s="215" t="n"/>
      <c r="T48" s="215" t="n"/>
      <c r="U48" s="215" t="n"/>
      <c r="V48" s="215" t="n"/>
      <c r="W48" s="215" t="n"/>
      <c r="X48" s="215" t="n"/>
      <c r="Y48" s="215" t="n"/>
      <c r="Z48" s="215" t="n"/>
      <c r="AA48" s="215" t="n"/>
      <c r="AB48" s="215" t="n"/>
      <c r="AC48" s="215" t="n"/>
      <c r="AD48" s="215" t="n"/>
      <c r="AE48" s="215" t="n"/>
      <c r="AF48" s="215" t="n"/>
      <c r="AG48" s="215" t="n"/>
      <c r="AH48" s="215" t="n"/>
      <c r="AI48" s="215" t="n"/>
      <c r="AJ48" s="215" t="n"/>
      <c r="AK48" s="216" t="n"/>
    </row>
    <row r="49" ht="15" customHeight="1">
      <c r="B49" s="134" t="n"/>
      <c r="C49" s="105" t="n"/>
      <c r="D49" s="105" t="n"/>
      <c r="E49" s="105" t="n"/>
      <c r="F49" s="105" t="n"/>
      <c r="G49" s="105" t="n"/>
      <c r="H49" s="2" t="n"/>
      <c r="I49" s="105" t="n"/>
      <c r="K49" s="215" t="n"/>
      <c r="L49" s="215" t="n"/>
      <c r="M49" s="215" t="n"/>
      <c r="N49" s="215" t="n"/>
      <c r="O49" s="215" t="n"/>
      <c r="P49" s="215" t="n"/>
      <c r="Q49" s="215" t="n"/>
      <c r="R49" s="215" t="n"/>
      <c r="S49" s="215" t="n"/>
      <c r="T49" s="215" t="n"/>
      <c r="U49" s="215" t="n"/>
      <c r="V49" s="215" t="n"/>
      <c r="W49" s="215" t="n"/>
      <c r="X49" s="215" t="n"/>
      <c r="Y49" s="215" t="n"/>
      <c r="Z49" s="215" t="n"/>
      <c r="AA49" s="215" t="n"/>
      <c r="AB49" s="215" t="n"/>
      <c r="AC49" s="215" t="n"/>
      <c r="AD49" s="215" t="n"/>
      <c r="AE49" s="215" t="n"/>
      <c r="AF49" s="215" t="n"/>
      <c r="AG49" s="215" t="n"/>
      <c r="AH49" s="215" t="n"/>
      <c r="AI49" s="215" t="n"/>
      <c r="AJ49" s="215" t="n"/>
      <c r="AK49" s="216" t="n"/>
    </row>
    <row r="50" ht="15" customHeight="1">
      <c r="B50" s="134" t="n"/>
      <c r="C50" s="105" t="n"/>
      <c r="D50" s="105" t="n"/>
      <c r="E50" s="105" t="n"/>
      <c r="F50" s="105" t="n"/>
      <c r="G50" s="105" t="n"/>
      <c r="H50" s="2" t="n"/>
      <c r="I50" s="10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5" t="n"/>
      <c r="U50" s="215" t="n"/>
      <c r="V50" s="215" t="n"/>
      <c r="W50" s="215" t="n"/>
      <c r="X50" s="215" t="n"/>
      <c r="Y50" s="215" t="n"/>
      <c r="Z50" s="215" t="n"/>
      <c r="AA50" s="215" t="n"/>
      <c r="AB50" s="215" t="n"/>
      <c r="AC50" s="215" t="n"/>
      <c r="AD50" s="215" t="n"/>
      <c r="AE50" s="215" t="n"/>
      <c r="AF50" s="215" t="n"/>
      <c r="AG50" s="215" t="n"/>
      <c r="AH50" s="215" t="n"/>
      <c r="AI50" s="215" t="n"/>
      <c r="AJ50" s="215" t="n"/>
      <c r="AK50" s="216" t="n"/>
    </row>
    <row r="51" ht="15" customHeight="1">
      <c r="B51" s="134" t="n"/>
      <c r="C51" s="105" t="n"/>
      <c r="D51" s="105" t="n"/>
      <c r="E51" s="105" t="n"/>
      <c r="F51" s="105" t="n"/>
      <c r="G51" s="105" t="n"/>
      <c r="H51" s="2" t="n"/>
      <c r="I51" s="105" t="n"/>
      <c r="K51" s="215" t="n"/>
      <c r="L51" s="215" t="n"/>
      <c r="M51" s="215" t="n"/>
      <c r="N51" s="215" t="n"/>
      <c r="O51" s="215" t="n"/>
      <c r="P51" s="215" t="n"/>
      <c r="Q51" s="215" t="n"/>
      <c r="R51" s="215" t="n"/>
      <c r="S51" s="215" t="n"/>
      <c r="T51" s="215" t="n"/>
      <c r="U51" s="215" t="n"/>
      <c r="V51" s="215" t="n"/>
      <c r="W51" s="215" t="n"/>
      <c r="X51" s="215" t="n"/>
      <c r="Y51" s="215" t="n"/>
      <c r="Z51" s="215" t="n"/>
      <c r="AA51" s="215" t="n"/>
      <c r="AB51" s="215" t="n"/>
      <c r="AC51" s="215" t="n"/>
      <c r="AD51" s="215" t="n"/>
      <c r="AE51" s="215" t="n"/>
      <c r="AF51" s="215" t="n"/>
      <c r="AG51" s="215" t="n"/>
      <c r="AH51" s="215" t="n"/>
      <c r="AI51" s="215" t="n"/>
      <c r="AJ51" s="215" t="n"/>
      <c r="AK51" s="216" t="n"/>
    </row>
    <row r="52" ht="15" customHeight="1">
      <c r="B52" s="134" t="n"/>
      <c r="C52" s="105" t="n"/>
      <c r="D52" s="105" t="n"/>
      <c r="E52" s="105" t="n"/>
      <c r="F52" s="105" t="n"/>
      <c r="G52" s="105" t="n"/>
      <c r="H52" s="2" t="n"/>
      <c r="I52" s="105" t="n"/>
      <c r="K52" s="215" t="n"/>
      <c r="L52" s="215" t="n"/>
      <c r="M52" s="215" t="n"/>
      <c r="N52" s="215" t="n"/>
      <c r="O52" s="215" t="n"/>
      <c r="P52" s="215" t="n"/>
      <c r="Q52" s="215" t="n"/>
      <c r="R52" s="215" t="n"/>
      <c r="S52" s="215" t="n"/>
      <c r="T52" s="215" t="n"/>
      <c r="U52" s="215" t="n"/>
      <c r="V52" s="215" t="n"/>
      <c r="W52" s="215" t="n"/>
      <c r="X52" s="215" t="n"/>
      <c r="Y52" s="215" t="n"/>
      <c r="Z52" s="215" t="n"/>
      <c r="AA52" s="215" t="n"/>
      <c r="AB52" s="215" t="n"/>
      <c r="AC52" s="215" t="n"/>
      <c r="AD52" s="215" t="n"/>
      <c r="AE52" s="215" t="n"/>
      <c r="AF52" s="215" t="n"/>
      <c r="AG52" s="215" t="n"/>
      <c r="AH52" s="215" t="n"/>
      <c r="AI52" s="215" t="n"/>
      <c r="AJ52" s="215" t="n"/>
      <c r="AK52" s="216" t="n"/>
    </row>
    <row r="53" ht="15" customHeight="1">
      <c r="B53" s="134" t="n"/>
      <c r="C53" s="105" t="n"/>
      <c r="D53" s="105" t="n"/>
      <c r="E53" s="105" t="n"/>
      <c r="F53" s="105" t="n"/>
      <c r="G53" s="105" t="n"/>
      <c r="H53" s="2" t="n"/>
      <c r="I53" s="105" t="n"/>
      <c r="K53" s="215" t="n"/>
      <c r="L53" s="215" t="n"/>
      <c r="M53" s="215" t="n"/>
      <c r="N53" s="215" t="n"/>
      <c r="O53" s="215" t="n"/>
      <c r="P53" s="215" t="n"/>
      <c r="Q53" s="215" t="n"/>
      <c r="R53" s="215" t="n"/>
      <c r="S53" s="215" t="n"/>
      <c r="T53" s="215" t="n"/>
      <c r="U53" s="215" t="n"/>
      <c r="V53" s="215" t="n"/>
      <c r="W53" s="215" t="n"/>
      <c r="X53" s="215" t="n"/>
      <c r="Y53" s="215" t="n"/>
      <c r="Z53" s="215" t="n"/>
      <c r="AA53" s="215" t="n"/>
      <c r="AB53" s="215" t="n"/>
      <c r="AC53" s="215" t="n"/>
      <c r="AD53" s="215" t="n"/>
      <c r="AE53" s="215" t="n"/>
      <c r="AF53" s="215" t="n"/>
      <c r="AG53" s="215" t="n"/>
      <c r="AH53" s="215" t="n"/>
      <c r="AI53" s="215" t="n"/>
      <c r="AJ53" s="215" t="n"/>
      <c r="AK53" s="216" t="n"/>
    </row>
    <row r="54" ht="15" customHeight="1">
      <c r="B54" s="134" t="n"/>
      <c r="C54" s="105" t="n"/>
      <c r="D54" s="105" t="n"/>
      <c r="E54" s="105" t="n"/>
      <c r="F54" s="105" t="n"/>
      <c r="G54" s="105" t="n"/>
      <c r="H54" s="2" t="n"/>
      <c r="I54" s="105" t="n"/>
      <c r="K54" s="215" t="n"/>
      <c r="L54" s="215" t="n"/>
      <c r="M54" s="215" t="n"/>
      <c r="N54" s="215" t="n"/>
      <c r="O54" s="215" t="n"/>
      <c r="P54" s="215" t="n"/>
      <c r="Q54" s="215" t="n"/>
      <c r="R54" s="215" t="n"/>
      <c r="S54" s="215" t="n"/>
      <c r="T54" s="215" t="n"/>
      <c r="U54" s="215" t="n"/>
      <c r="V54" s="215" t="n"/>
      <c r="W54" s="215" t="n"/>
      <c r="X54" s="215" t="n"/>
      <c r="Y54" s="215" t="n"/>
      <c r="Z54" s="215" t="n"/>
      <c r="AA54" s="215" t="n"/>
      <c r="AB54" s="215" t="n"/>
      <c r="AC54" s="215" t="n"/>
      <c r="AD54" s="215" t="n"/>
      <c r="AE54" s="215" t="n"/>
      <c r="AF54" s="215" t="n"/>
      <c r="AG54" s="215" t="n"/>
      <c r="AH54" s="215" t="n"/>
      <c r="AI54" s="215" t="n"/>
      <c r="AJ54" s="215" t="n"/>
      <c r="AK54" s="216" t="n"/>
    </row>
    <row r="55" ht="15" customHeight="1">
      <c r="B55" s="134" t="n"/>
      <c r="C55" s="105" t="n"/>
      <c r="D55" s="105" t="n"/>
      <c r="E55" s="105" t="n"/>
      <c r="F55" s="105" t="n"/>
      <c r="G55" s="105" t="n"/>
      <c r="H55" s="2" t="n"/>
      <c r="I55" s="105" t="n"/>
      <c r="K55" s="215" t="n"/>
      <c r="L55" s="215" t="n"/>
      <c r="M55" s="215" t="n"/>
      <c r="N55" s="215" t="n"/>
      <c r="O55" s="215" t="n"/>
      <c r="P55" s="215" t="n"/>
      <c r="Q55" s="215" t="n"/>
      <c r="R55" s="215" t="n"/>
      <c r="S55" s="215" t="n"/>
      <c r="T55" s="215" t="n"/>
      <c r="U55" s="215" t="n"/>
      <c r="V55" s="215" t="n"/>
      <c r="W55" s="215" t="n"/>
      <c r="X55" s="215" t="n"/>
      <c r="Y55" s="215" t="n"/>
      <c r="Z55" s="215" t="n"/>
      <c r="AA55" s="215" t="n"/>
      <c r="AB55" s="215" t="n"/>
      <c r="AC55" s="215" t="n"/>
      <c r="AD55" s="215" t="n"/>
      <c r="AE55" s="215" t="n"/>
      <c r="AF55" s="215" t="n"/>
      <c r="AG55" s="215" t="n"/>
      <c r="AH55" s="215" t="n"/>
      <c r="AI55" s="215" t="n"/>
      <c r="AJ55" s="215" t="n"/>
      <c r="AK55" s="216" t="n"/>
    </row>
    <row r="56" ht="15" customHeight="1">
      <c r="B56" s="134" t="n"/>
      <c r="C56" s="105" t="n"/>
      <c r="D56" s="105" t="n"/>
      <c r="E56" s="105" t="n"/>
      <c r="F56" s="105" t="n"/>
      <c r="G56" s="105" t="n"/>
      <c r="H56" s="2" t="n"/>
      <c r="I56" s="105" t="n"/>
      <c r="K56" s="215" t="n"/>
      <c r="L56" s="215" t="n"/>
      <c r="M56" s="215" t="n"/>
      <c r="N56" s="215" t="n"/>
      <c r="O56" s="215" t="n"/>
      <c r="P56" s="215" t="n"/>
      <c r="Q56" s="215" t="n"/>
      <c r="R56" s="215" t="n"/>
      <c r="S56" s="215" t="n"/>
      <c r="T56" s="215" t="n"/>
      <c r="U56" s="215" t="n"/>
      <c r="V56" s="215" t="n"/>
      <c r="W56" s="215" t="n"/>
      <c r="X56" s="215" t="n"/>
      <c r="Y56" s="215" t="n"/>
      <c r="Z56" s="215" t="n"/>
      <c r="AA56" s="215" t="n"/>
      <c r="AB56" s="215" t="n"/>
      <c r="AC56" s="215" t="n"/>
      <c r="AD56" s="215" t="n"/>
      <c r="AE56" s="215" t="n"/>
      <c r="AF56" s="215" t="n"/>
      <c r="AG56" s="215" t="n"/>
      <c r="AH56" s="215" t="n"/>
      <c r="AI56" s="215" t="n"/>
      <c r="AJ56" s="215" t="n"/>
      <c r="AK56" s="216" t="n"/>
    </row>
    <row r="57" ht="15" customHeight="1">
      <c r="B57" s="134" t="n"/>
      <c r="C57" s="105" t="n"/>
      <c r="D57" s="105" t="n"/>
      <c r="E57" s="105" t="n"/>
      <c r="F57" s="105" t="n"/>
      <c r="G57" s="105" t="n"/>
      <c r="H57" s="2" t="n"/>
      <c r="I57" s="105" t="n"/>
      <c r="K57" s="215" t="n"/>
      <c r="L57" s="215" t="n"/>
      <c r="M57" s="215" t="n"/>
      <c r="N57" s="215" t="n"/>
      <c r="O57" s="215" t="n"/>
      <c r="P57" s="215" t="n"/>
      <c r="Q57" s="215" t="n"/>
      <c r="R57" s="215" t="n"/>
      <c r="S57" s="215" t="n"/>
      <c r="T57" s="215" t="n"/>
      <c r="U57" s="215" t="n"/>
      <c r="V57" s="215" t="n"/>
      <c r="W57" s="215" t="n"/>
      <c r="X57" s="215" t="n"/>
      <c r="Y57" s="215" t="n"/>
      <c r="Z57" s="215" t="n"/>
      <c r="AA57" s="215" t="n"/>
      <c r="AB57" s="215" t="n"/>
      <c r="AC57" s="215" t="n"/>
      <c r="AD57" s="215" t="n"/>
      <c r="AE57" s="215" t="n"/>
      <c r="AF57" s="215" t="n"/>
      <c r="AG57" s="215" t="n"/>
      <c r="AH57" s="215" t="n"/>
      <c r="AI57" s="215" t="n"/>
      <c r="AJ57" s="215" t="n"/>
      <c r="AK57" s="216" t="n"/>
    </row>
    <row r="58" ht="15" customHeight="1">
      <c r="B58" s="134" t="n"/>
      <c r="C58" s="105" t="n"/>
      <c r="D58" s="105" t="n"/>
      <c r="E58" s="105" t="n"/>
      <c r="F58" s="105" t="n"/>
      <c r="G58" s="105" t="n"/>
      <c r="H58" s="2" t="n"/>
      <c r="I58" s="105" t="n"/>
      <c r="K58" s="215" t="n"/>
      <c r="L58" s="215" t="n"/>
      <c r="M58" s="215" t="n"/>
      <c r="N58" s="215" t="n"/>
      <c r="O58" s="215" t="n"/>
      <c r="P58" s="215" t="n"/>
      <c r="Q58" s="215" t="n"/>
      <c r="R58" s="215" t="n"/>
      <c r="S58" s="215" t="n"/>
      <c r="T58" s="215" t="n"/>
      <c r="U58" s="215" t="n"/>
      <c r="V58" s="215" t="n"/>
      <c r="W58" s="215" t="n"/>
      <c r="X58" s="215" t="n"/>
      <c r="Y58" s="215" t="n"/>
      <c r="Z58" s="215" t="n"/>
      <c r="AA58" s="215" t="n"/>
      <c r="AB58" s="215" t="n"/>
      <c r="AC58" s="215" t="n"/>
      <c r="AD58" s="215" t="n"/>
      <c r="AE58" s="215" t="n"/>
      <c r="AF58" s="215" t="n"/>
      <c r="AG58" s="215" t="n"/>
      <c r="AH58" s="215" t="n"/>
      <c r="AI58" s="215" t="n"/>
      <c r="AJ58" s="215" t="n"/>
      <c r="AK58" s="216" t="n"/>
    </row>
    <row r="59" ht="15" customHeight="1">
      <c r="B59" s="134" t="n"/>
      <c r="C59" s="105" t="n"/>
      <c r="D59" s="105" t="n"/>
      <c r="E59" s="105" t="n"/>
      <c r="F59" s="105" t="n"/>
      <c r="G59" s="105" t="n"/>
      <c r="H59" s="2" t="n"/>
      <c r="I59" s="105" t="n"/>
      <c r="K59" s="215" t="n"/>
      <c r="L59" s="215" t="n"/>
      <c r="M59" s="215" t="n"/>
      <c r="N59" s="215" t="n"/>
      <c r="O59" s="215" t="n"/>
      <c r="P59" s="215" t="n"/>
      <c r="Q59" s="215" t="n"/>
      <c r="R59" s="215" t="n"/>
      <c r="S59" s="215" t="n"/>
      <c r="T59" s="215" t="n"/>
      <c r="U59" s="215" t="n"/>
      <c r="V59" s="215" t="n"/>
      <c r="W59" s="215" t="n"/>
      <c r="X59" s="215" t="n"/>
      <c r="Y59" s="215" t="n"/>
      <c r="Z59" s="215" t="n"/>
      <c r="AA59" s="215" t="n"/>
      <c r="AB59" s="215" t="n"/>
      <c r="AC59" s="215" t="n"/>
      <c r="AD59" s="215" t="n"/>
      <c r="AE59" s="215" t="n"/>
      <c r="AF59" s="215" t="n"/>
      <c r="AG59" s="215" t="n"/>
      <c r="AH59" s="215" t="n"/>
      <c r="AI59" s="215" t="n"/>
      <c r="AJ59" s="215" t="n"/>
      <c r="AK59" s="216" t="n"/>
    </row>
    <row r="60" ht="15" customHeight="1">
      <c r="B60" s="134" t="n"/>
      <c r="C60" s="105" t="n"/>
      <c r="D60" s="105" t="n"/>
      <c r="E60" s="105" t="n"/>
      <c r="F60" s="105" t="n"/>
      <c r="G60" s="105" t="n"/>
      <c r="H60" s="2" t="n"/>
      <c r="I60" s="105" t="n"/>
      <c r="K60" s="215" t="n"/>
      <c r="L60" s="215" t="n"/>
      <c r="M60" s="215" t="n"/>
      <c r="N60" s="215" t="n"/>
      <c r="O60" s="215" t="n"/>
      <c r="P60" s="215" t="n"/>
      <c r="Q60" s="215" t="n"/>
      <c r="R60" s="215" t="n"/>
      <c r="S60" s="215" t="n"/>
      <c r="T60" s="215" t="n"/>
      <c r="U60" s="215" t="n"/>
      <c r="V60" s="215" t="n"/>
      <c r="W60" s="215" t="n"/>
      <c r="X60" s="215" t="n"/>
      <c r="Y60" s="215" t="n"/>
      <c r="Z60" s="215" t="n"/>
      <c r="AA60" s="215" t="n"/>
      <c r="AB60" s="215" t="n"/>
      <c r="AC60" s="215" t="n"/>
      <c r="AD60" s="215" t="n"/>
      <c r="AE60" s="215" t="n"/>
      <c r="AF60" s="215" t="n"/>
      <c r="AG60" s="215" t="n"/>
      <c r="AH60" s="215" t="n"/>
      <c r="AI60" s="215" t="n"/>
      <c r="AJ60" s="215" t="n"/>
      <c r="AK60" s="216" t="n"/>
    </row>
    <row r="61" ht="15" customHeight="1">
      <c r="B61" s="134" t="n"/>
      <c r="C61" s="105" t="n"/>
      <c r="D61" s="105" t="n"/>
      <c r="E61" s="105" t="n"/>
      <c r="F61" s="105" t="n"/>
      <c r="G61" s="105" t="n"/>
      <c r="H61" s="2" t="n"/>
      <c r="I61" s="105" t="n"/>
      <c r="K61" s="215" t="n"/>
      <c r="L61" s="215" t="n"/>
      <c r="M61" s="215" t="n"/>
      <c r="N61" s="215" t="n"/>
      <c r="O61" s="215" t="n"/>
      <c r="P61" s="215" t="n"/>
      <c r="Q61" s="215" t="n"/>
      <c r="R61" s="215" t="n"/>
      <c r="S61" s="215" t="n"/>
      <c r="T61" s="215" t="n"/>
      <c r="U61" s="215" t="n"/>
      <c r="V61" s="215" t="n"/>
      <c r="W61" s="215" t="n"/>
      <c r="X61" s="215" t="n"/>
      <c r="Y61" s="215" t="n"/>
      <c r="Z61" s="215" t="n"/>
      <c r="AA61" s="215" t="n"/>
      <c r="AB61" s="215" t="n"/>
      <c r="AC61" s="215" t="n"/>
      <c r="AD61" s="215" t="n"/>
      <c r="AE61" s="215" t="n"/>
      <c r="AF61" s="215" t="n"/>
      <c r="AG61" s="215" t="n"/>
      <c r="AH61" s="215" t="n"/>
      <c r="AI61" s="215" t="n"/>
      <c r="AJ61" s="215" t="n"/>
      <c r="AK61" s="216" t="n"/>
    </row>
    <row r="62" ht="15" customHeight="1">
      <c r="B62" s="134" t="n"/>
      <c r="C62" s="105" t="n"/>
      <c r="D62" s="105" t="n"/>
      <c r="E62" s="105" t="n"/>
      <c r="F62" s="105" t="n"/>
      <c r="G62" s="105" t="n"/>
      <c r="H62" s="2" t="n"/>
      <c r="I62" s="105" t="n"/>
      <c r="K62" s="215" t="n"/>
      <c r="L62" s="215" t="n"/>
      <c r="M62" s="215" t="n"/>
      <c r="N62" s="215" t="n"/>
      <c r="O62" s="215" t="n"/>
      <c r="P62" s="215" t="n"/>
      <c r="Q62" s="215" t="n"/>
      <c r="R62" s="215" t="n"/>
      <c r="S62" s="215" t="n"/>
      <c r="T62" s="215" t="n"/>
      <c r="U62" s="215" t="n"/>
      <c r="V62" s="215" t="n"/>
      <c r="W62" s="215" t="n"/>
      <c r="X62" s="215" t="n"/>
      <c r="Y62" s="215" t="n"/>
      <c r="Z62" s="215" t="n"/>
      <c r="AA62" s="215" t="n"/>
      <c r="AB62" s="215" t="n"/>
      <c r="AC62" s="215" t="n"/>
      <c r="AD62" s="215" t="n"/>
      <c r="AE62" s="215" t="n"/>
      <c r="AF62" s="215" t="n"/>
      <c r="AG62" s="215" t="n"/>
      <c r="AH62" s="215" t="n"/>
      <c r="AI62" s="215" t="n"/>
      <c r="AJ62" s="215" t="n"/>
      <c r="AK62" s="216" t="n"/>
    </row>
    <row r="63" ht="15" customHeight="1">
      <c r="B63" s="134" t="n"/>
      <c r="C63" s="105" t="n"/>
      <c r="D63" s="105" t="n"/>
      <c r="E63" s="105" t="n"/>
      <c r="F63" s="105" t="n"/>
      <c r="G63" s="105" t="n"/>
      <c r="H63" s="2" t="n"/>
      <c r="I63" s="105" t="n"/>
      <c r="K63" s="215" t="n"/>
      <c r="L63" s="215" t="n"/>
      <c r="M63" s="215" t="n"/>
      <c r="N63" s="215" t="n"/>
      <c r="O63" s="215" t="n"/>
      <c r="P63" s="215" t="n"/>
      <c r="Q63" s="215" t="n"/>
      <c r="R63" s="215" t="n"/>
      <c r="S63" s="215" t="n"/>
      <c r="T63" s="215" t="n"/>
      <c r="U63" s="215" t="n"/>
      <c r="V63" s="215" t="n"/>
      <c r="W63" s="215" t="n"/>
      <c r="X63" s="215" t="n"/>
      <c r="Y63" s="215" t="n"/>
      <c r="Z63" s="215" t="n"/>
      <c r="AA63" s="215" t="n"/>
      <c r="AB63" s="215" t="n"/>
      <c r="AC63" s="215" t="n"/>
      <c r="AD63" s="215" t="n"/>
      <c r="AE63" s="215" t="n"/>
      <c r="AF63" s="215" t="n"/>
      <c r="AG63" s="215" t="n"/>
      <c r="AH63" s="215" t="n"/>
      <c r="AI63" s="215" t="n"/>
      <c r="AJ63" s="215" t="n"/>
      <c r="AK63" s="216" t="n"/>
    </row>
    <row r="64" ht="15" customHeight="1">
      <c r="B64" s="134" t="n"/>
      <c r="C64" s="105" t="n"/>
      <c r="D64" s="105" t="n"/>
      <c r="E64" s="105" t="n"/>
      <c r="F64" s="105" t="n"/>
      <c r="G64" s="105" t="n"/>
      <c r="H64" s="2" t="n"/>
      <c r="I64" s="105" t="n"/>
      <c r="K64" s="215" t="n"/>
      <c r="L64" s="215" t="n"/>
      <c r="M64" s="215" t="n"/>
      <c r="N64" s="215" t="n"/>
      <c r="O64" s="215" t="n"/>
      <c r="P64" s="215" t="n"/>
      <c r="Q64" s="215" t="n"/>
      <c r="R64" s="215" t="n"/>
      <c r="S64" s="215" t="n"/>
      <c r="T64" s="215" t="n"/>
      <c r="U64" s="215" t="n"/>
      <c r="V64" s="215" t="n"/>
      <c r="W64" s="215" t="n"/>
      <c r="X64" s="215" t="n"/>
      <c r="Y64" s="215" t="n"/>
      <c r="Z64" s="215" t="n"/>
      <c r="AA64" s="215" t="n"/>
      <c r="AB64" s="215" t="n"/>
      <c r="AC64" s="215" t="n"/>
      <c r="AD64" s="215" t="n"/>
      <c r="AE64" s="215" t="n"/>
      <c r="AF64" s="215" t="n"/>
      <c r="AG64" s="215" t="n"/>
      <c r="AH64" s="215" t="n"/>
      <c r="AI64" s="215" t="n"/>
      <c r="AJ64" s="215" t="n"/>
      <c r="AK64" s="216" t="n"/>
    </row>
    <row r="65" ht="15" customHeight="1">
      <c r="B65" s="134" t="n"/>
      <c r="C65" s="105" t="n"/>
      <c r="D65" s="105" t="n"/>
      <c r="E65" s="105" t="n"/>
      <c r="F65" s="105" t="n"/>
      <c r="G65" s="105" t="n"/>
      <c r="H65" s="2" t="n"/>
      <c r="I65" s="105" t="n"/>
      <c r="K65" s="215" t="n"/>
      <c r="L65" s="215" t="n"/>
      <c r="M65" s="215" t="n"/>
      <c r="N65" s="215" t="n"/>
      <c r="O65" s="215" t="n"/>
      <c r="P65" s="215" t="n"/>
      <c r="Q65" s="215" t="n"/>
      <c r="R65" s="215" t="n"/>
      <c r="S65" s="215" t="n"/>
      <c r="T65" s="215" t="n"/>
      <c r="U65" s="215" t="n"/>
      <c r="V65" s="215" t="n"/>
      <c r="W65" s="215" t="n"/>
      <c r="X65" s="215" t="n"/>
      <c r="Y65" s="215" t="n"/>
      <c r="Z65" s="215" t="n"/>
      <c r="AA65" s="215" t="n"/>
      <c r="AB65" s="215" t="n"/>
      <c r="AC65" s="215" t="n"/>
      <c r="AD65" s="215" t="n"/>
      <c r="AE65" s="215" t="n"/>
      <c r="AF65" s="215" t="n"/>
      <c r="AG65" s="215" t="n"/>
      <c r="AH65" s="215" t="n"/>
      <c r="AI65" s="215" t="n"/>
      <c r="AJ65" s="215" t="n"/>
      <c r="AK65" s="216" t="n"/>
    </row>
    <row r="66" ht="15" customHeight="1">
      <c r="B66" s="134" t="n"/>
      <c r="C66" s="105" t="n"/>
      <c r="D66" s="105" t="n"/>
      <c r="E66" s="105" t="n"/>
      <c r="F66" s="105" t="n"/>
      <c r="G66" s="105" t="n"/>
      <c r="H66" s="2" t="n"/>
      <c r="I66" s="105" t="n"/>
      <c r="K66" s="215" t="n"/>
      <c r="L66" s="215" t="n"/>
      <c r="M66" s="215" t="n"/>
      <c r="N66" s="215" t="n"/>
      <c r="O66" s="215" t="n"/>
      <c r="P66" s="215" t="n"/>
      <c r="Q66" s="215" t="n"/>
      <c r="R66" s="215" t="n"/>
      <c r="S66" s="215" t="n"/>
      <c r="T66" s="215" t="n"/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215" t="n"/>
      <c r="AJ66" s="215" t="n"/>
      <c r="AK66" s="216" t="n"/>
    </row>
    <row r="67" ht="15" customHeight="1">
      <c r="B67" s="134" t="n"/>
      <c r="C67" s="105" t="n"/>
      <c r="D67" s="105" t="n"/>
      <c r="E67" s="105" t="n"/>
      <c r="F67" s="105" t="n"/>
      <c r="G67" s="105" t="n"/>
      <c r="H67" s="2" t="n"/>
      <c r="I67" s="105" t="n"/>
      <c r="K67" s="215" t="n"/>
      <c r="L67" s="215" t="n"/>
      <c r="M67" s="215" t="n"/>
      <c r="N67" s="215" t="n"/>
      <c r="O67" s="215" t="n"/>
      <c r="P67" s="215" t="n"/>
      <c r="Q67" s="215" t="n"/>
      <c r="R67" s="215" t="n"/>
      <c r="S67" s="215" t="n"/>
      <c r="T67" s="215" t="n"/>
      <c r="U67" s="215" t="n"/>
      <c r="V67" s="215" t="n"/>
      <c r="W67" s="215" t="n"/>
      <c r="X67" s="215" t="n"/>
      <c r="Y67" s="215" t="n"/>
      <c r="Z67" s="215" t="n"/>
      <c r="AA67" s="215" t="n"/>
      <c r="AB67" s="215" t="n"/>
      <c r="AC67" s="215" t="n"/>
      <c r="AD67" s="215" t="n"/>
      <c r="AE67" s="215" t="n"/>
      <c r="AF67" s="215" t="n"/>
      <c r="AG67" s="215" t="n"/>
      <c r="AH67" s="215" t="n"/>
      <c r="AI67" s="215" t="n"/>
      <c r="AJ67" s="215" t="n"/>
      <c r="AK67" s="216" t="n"/>
    </row>
    <row r="68" ht="15" customHeight="1">
      <c r="B68" s="134" t="n"/>
      <c r="C68" s="105" t="n"/>
      <c r="D68" s="105" t="n"/>
      <c r="E68" s="105" t="n"/>
      <c r="F68" s="105" t="n"/>
      <c r="G68" s="105" t="n"/>
      <c r="H68" s="2" t="n"/>
      <c r="I68" s="105" t="n"/>
      <c r="K68" s="215" t="n"/>
      <c r="L68" s="215" t="n"/>
      <c r="M68" s="215" t="n"/>
      <c r="N68" s="215" t="n"/>
      <c r="O68" s="215" t="n"/>
      <c r="P68" s="215" t="n"/>
      <c r="Q68" s="215" t="n"/>
      <c r="R68" s="215" t="n"/>
      <c r="S68" s="215" t="n"/>
      <c r="T68" s="215" t="n"/>
      <c r="U68" s="215" t="n"/>
      <c r="V68" s="215" t="n"/>
      <c r="W68" s="215" t="n"/>
      <c r="X68" s="215" t="n"/>
      <c r="Y68" s="215" t="n"/>
      <c r="Z68" s="215" t="n"/>
      <c r="AA68" s="215" t="n"/>
      <c r="AB68" s="215" t="n"/>
      <c r="AC68" s="215" t="n"/>
      <c r="AD68" s="215" t="n"/>
      <c r="AE68" s="215" t="n"/>
      <c r="AF68" s="215" t="n"/>
      <c r="AG68" s="215" t="n"/>
      <c r="AH68" s="215" t="n"/>
      <c r="AI68" s="215" t="n"/>
      <c r="AJ68" s="215" t="n"/>
      <c r="AK68" s="216" t="n"/>
    </row>
    <row r="69" ht="15" customHeight="1">
      <c r="B69" s="134" t="n"/>
      <c r="C69" s="105" t="n"/>
      <c r="D69" s="105" t="n"/>
      <c r="E69" s="105" t="n"/>
      <c r="F69" s="105" t="n"/>
      <c r="G69" s="105" t="n"/>
      <c r="H69" s="2" t="n"/>
      <c r="I69" s="105" t="n"/>
      <c r="K69" s="215" t="n"/>
      <c r="L69" s="215" t="n"/>
      <c r="M69" s="215" t="n"/>
      <c r="N69" s="215" t="n"/>
      <c r="O69" s="215" t="n"/>
      <c r="P69" s="215" t="n"/>
      <c r="Q69" s="215" t="n"/>
      <c r="R69" s="215" t="n"/>
      <c r="S69" s="215" t="n"/>
      <c r="T69" s="215" t="n"/>
      <c r="U69" s="215" t="n"/>
      <c r="V69" s="215" t="n"/>
      <c r="W69" s="215" t="n"/>
      <c r="X69" s="215" t="n"/>
      <c r="Y69" s="215" t="n"/>
      <c r="Z69" s="215" t="n"/>
      <c r="AA69" s="215" t="n"/>
      <c r="AB69" s="215" t="n"/>
      <c r="AC69" s="215" t="n"/>
      <c r="AD69" s="215" t="n"/>
      <c r="AE69" s="215" t="n"/>
      <c r="AF69" s="215" t="n"/>
      <c r="AG69" s="215" t="n"/>
      <c r="AH69" s="215" t="n"/>
      <c r="AI69" s="215" t="n"/>
      <c r="AJ69" s="215" t="n"/>
      <c r="AK69" s="216" t="n"/>
    </row>
    <row r="70" ht="15" customHeight="1">
      <c r="B70" s="134" t="n"/>
      <c r="C70" s="105" t="n"/>
      <c r="D70" s="105" t="n"/>
      <c r="E70" s="105" t="n"/>
      <c r="F70" s="105" t="n"/>
      <c r="G70" s="105" t="n"/>
      <c r="H70" s="2" t="n"/>
      <c r="I70" s="105" t="n"/>
      <c r="K70" s="215" t="n"/>
      <c r="L70" s="215" t="n"/>
      <c r="M70" s="215" t="n"/>
      <c r="N70" s="215" t="n"/>
      <c r="O70" s="215" t="n"/>
      <c r="P70" s="215" t="n"/>
      <c r="Q70" s="215" t="n"/>
      <c r="R70" s="215" t="n"/>
      <c r="S70" s="215" t="n"/>
      <c r="T70" s="215" t="n"/>
      <c r="U70" s="215" t="n"/>
      <c r="V70" s="215" t="n"/>
      <c r="W70" s="215" t="n"/>
      <c r="X70" s="215" t="n"/>
      <c r="Y70" s="215" t="n"/>
      <c r="Z70" s="215" t="n"/>
      <c r="AA70" s="215" t="n"/>
      <c r="AB70" s="215" t="n"/>
      <c r="AC70" s="215" t="n"/>
      <c r="AD70" s="215" t="n"/>
      <c r="AE70" s="215" t="n"/>
      <c r="AF70" s="215" t="n"/>
      <c r="AG70" s="215" t="n"/>
      <c r="AH70" s="215" t="n"/>
      <c r="AI70" s="215" t="n"/>
      <c r="AJ70" s="215" t="n"/>
      <c r="AK70" s="216" t="n"/>
    </row>
    <row r="71" ht="15" customHeight="1">
      <c r="B71" s="134" t="n"/>
      <c r="C71" s="105" t="n"/>
      <c r="D71" s="105" t="n"/>
      <c r="E71" s="105" t="n"/>
      <c r="F71" s="105" t="n"/>
      <c r="G71" s="105" t="n"/>
      <c r="H71" s="2" t="n"/>
      <c r="I71" s="105" t="n"/>
      <c r="K71" s="215" t="n"/>
      <c r="L71" s="215" t="n"/>
      <c r="M71" s="215" t="n"/>
      <c r="N71" s="215" t="n"/>
      <c r="O71" s="215" t="n"/>
      <c r="P71" s="215" t="n"/>
      <c r="Q71" s="215" t="n"/>
      <c r="R71" s="215" t="n"/>
      <c r="S71" s="215" t="n"/>
      <c r="T71" s="215" t="n"/>
      <c r="U71" s="215" t="n"/>
      <c r="V71" s="215" t="n"/>
      <c r="W71" s="215" t="n"/>
      <c r="X71" s="215" t="n"/>
      <c r="Y71" s="215" t="n"/>
      <c r="Z71" s="215" t="n"/>
      <c r="AA71" s="215" t="n"/>
      <c r="AB71" s="215" t="n"/>
      <c r="AC71" s="215" t="n"/>
      <c r="AD71" s="215" t="n"/>
      <c r="AE71" s="215" t="n"/>
      <c r="AF71" s="215" t="n"/>
      <c r="AG71" s="215" t="n"/>
      <c r="AH71" s="215" t="n"/>
      <c r="AI71" s="215" t="n"/>
      <c r="AJ71" s="215" t="n"/>
      <c r="AK71" s="216" t="n"/>
    </row>
    <row r="72" ht="15" customHeight="1">
      <c r="B72" s="134" t="n"/>
      <c r="C72" s="105" t="n"/>
      <c r="D72" s="105" t="n"/>
      <c r="E72" s="105" t="n"/>
      <c r="F72" s="105" t="n"/>
      <c r="G72" s="105" t="n"/>
      <c r="H72" s="2" t="n"/>
      <c r="I72" s="105" t="n"/>
      <c r="K72" s="215" t="n"/>
      <c r="L72" s="215" t="n"/>
      <c r="M72" s="215" t="n"/>
      <c r="N72" s="215" t="n"/>
      <c r="O72" s="215" t="n"/>
      <c r="P72" s="215" t="n"/>
      <c r="Q72" s="215" t="n"/>
      <c r="R72" s="215" t="n"/>
      <c r="S72" s="215" t="n"/>
      <c r="T72" s="215" t="n"/>
      <c r="U72" s="215" t="n"/>
      <c r="V72" s="215" t="n"/>
      <c r="W72" s="215" t="n"/>
      <c r="X72" s="215" t="n"/>
      <c r="Y72" s="215" t="n"/>
      <c r="Z72" s="215" t="n"/>
      <c r="AA72" s="215" t="n"/>
      <c r="AB72" s="215" t="n"/>
      <c r="AC72" s="215" t="n"/>
      <c r="AD72" s="215" t="n"/>
      <c r="AE72" s="215" t="n"/>
      <c r="AF72" s="215" t="n"/>
      <c r="AG72" s="215" t="n"/>
      <c r="AH72" s="215" t="n"/>
      <c r="AI72" s="215" t="n"/>
      <c r="AJ72" s="215" t="n"/>
      <c r="AK72" s="216" t="n"/>
    </row>
    <row r="73" ht="15" customHeight="1">
      <c r="B73" s="134" t="n"/>
      <c r="C73" s="105" t="n"/>
      <c r="D73" s="105" t="n"/>
      <c r="E73" s="105" t="n"/>
      <c r="F73" s="105" t="n"/>
      <c r="G73" s="105" t="n"/>
      <c r="H73" s="2" t="n"/>
      <c r="I73" s="105" t="n"/>
      <c r="K73" s="215" t="n"/>
      <c r="L73" s="215" t="n"/>
      <c r="M73" s="215" t="n"/>
      <c r="N73" s="215" t="n"/>
      <c r="O73" s="215" t="n"/>
      <c r="P73" s="215" t="n"/>
      <c r="Q73" s="215" t="n"/>
      <c r="R73" s="215" t="n"/>
      <c r="S73" s="215" t="n"/>
      <c r="T73" s="215" t="n"/>
      <c r="U73" s="215" t="n"/>
      <c r="V73" s="215" t="n"/>
      <c r="W73" s="215" t="n"/>
      <c r="X73" s="215" t="n"/>
      <c r="Y73" s="215" t="n"/>
      <c r="Z73" s="215" t="n"/>
      <c r="AA73" s="215" t="n"/>
      <c r="AB73" s="215" t="n"/>
      <c r="AC73" s="215" t="n"/>
      <c r="AD73" s="215" t="n"/>
      <c r="AE73" s="215" t="n"/>
      <c r="AF73" s="215" t="n"/>
      <c r="AG73" s="215" t="n"/>
      <c r="AH73" s="215" t="n"/>
      <c r="AI73" s="215" t="n"/>
      <c r="AJ73" s="215" t="n"/>
      <c r="AK73" s="216" t="n"/>
    </row>
    <row r="74" ht="15" customHeight="1">
      <c r="B74" s="134" t="n"/>
      <c r="C74" s="105" t="n"/>
      <c r="D74" s="105" t="n"/>
      <c r="E74" s="105" t="n"/>
      <c r="F74" s="105" t="n"/>
      <c r="G74" s="105" t="n"/>
      <c r="H74" s="2" t="n"/>
      <c r="I74" s="105" t="n"/>
      <c r="K74" s="215" t="n"/>
      <c r="L74" s="215" t="n"/>
      <c r="M74" s="215" t="n"/>
      <c r="N74" s="215" t="n"/>
      <c r="O74" s="215" t="n"/>
      <c r="P74" s="215" t="n"/>
      <c r="Q74" s="215" t="n"/>
      <c r="R74" s="215" t="n"/>
      <c r="S74" s="215" t="n"/>
      <c r="T74" s="215" t="n"/>
      <c r="U74" s="215" t="n"/>
      <c r="V74" s="215" t="n"/>
      <c r="W74" s="215" t="n"/>
      <c r="X74" s="215" t="n"/>
      <c r="Y74" s="215" t="n"/>
      <c r="Z74" s="215" t="n"/>
      <c r="AA74" s="215" t="n"/>
      <c r="AB74" s="215" t="n"/>
      <c r="AC74" s="215" t="n"/>
      <c r="AD74" s="215" t="n"/>
      <c r="AE74" s="215" t="n"/>
      <c r="AF74" s="215" t="n"/>
      <c r="AG74" s="215" t="n"/>
      <c r="AH74" s="215" t="n"/>
      <c r="AI74" s="215" t="n"/>
      <c r="AJ74" s="215" t="n"/>
      <c r="AK74" s="216" t="n"/>
    </row>
    <row r="75" ht="15" customHeight="1">
      <c r="B75" s="134" t="n"/>
      <c r="C75" s="105" t="n"/>
      <c r="D75" s="105" t="n"/>
      <c r="E75" s="105" t="n"/>
      <c r="F75" s="105" t="n"/>
      <c r="G75" s="105" t="n"/>
      <c r="H75" s="2" t="n"/>
      <c r="I75" s="105" t="n"/>
      <c r="K75" s="215" t="n"/>
      <c r="L75" s="215" t="n"/>
      <c r="M75" s="215" t="n"/>
      <c r="N75" s="215" t="n"/>
      <c r="O75" s="215" t="n"/>
      <c r="P75" s="215" t="n"/>
      <c r="Q75" s="215" t="n"/>
      <c r="R75" s="215" t="n"/>
      <c r="S75" s="215" t="n"/>
      <c r="T75" s="215" t="n"/>
      <c r="U75" s="215" t="n"/>
      <c r="V75" s="215" t="n"/>
      <c r="W75" s="215" t="n"/>
      <c r="X75" s="215" t="n"/>
      <c r="Y75" s="215" t="n"/>
      <c r="Z75" s="215" t="n"/>
      <c r="AA75" s="215" t="n"/>
      <c r="AB75" s="215" t="n"/>
      <c r="AC75" s="215" t="n"/>
      <c r="AD75" s="215" t="n"/>
      <c r="AE75" s="215" t="n"/>
      <c r="AF75" s="215" t="n"/>
      <c r="AG75" s="215" t="n"/>
      <c r="AH75" s="215" t="n"/>
      <c r="AI75" s="215" t="n"/>
      <c r="AJ75" s="215" t="n"/>
      <c r="AK75" s="216" t="n"/>
    </row>
    <row r="76" ht="15" customHeight="1">
      <c r="B76" s="134" t="n"/>
      <c r="C76" s="105" t="n"/>
      <c r="D76" s="105" t="n"/>
      <c r="E76" s="105" t="n"/>
      <c r="F76" s="105" t="n"/>
      <c r="G76" s="105" t="n"/>
      <c r="H76" s="2" t="n"/>
      <c r="I76" s="105" t="n"/>
      <c r="K76" s="215" t="n"/>
      <c r="L76" s="215" t="n"/>
      <c r="M76" s="215" t="n"/>
      <c r="N76" s="215" t="n"/>
      <c r="O76" s="215" t="n"/>
      <c r="P76" s="215" t="n"/>
      <c r="Q76" s="215" t="n"/>
      <c r="R76" s="215" t="n"/>
      <c r="S76" s="215" t="n"/>
      <c r="T76" s="215" t="n"/>
      <c r="U76" s="215" t="n"/>
      <c r="V76" s="215" t="n"/>
      <c r="W76" s="215" t="n"/>
      <c r="X76" s="215" t="n"/>
      <c r="Y76" s="215" t="n"/>
      <c r="Z76" s="215" t="n"/>
      <c r="AA76" s="215" t="n"/>
      <c r="AB76" s="215" t="n"/>
      <c r="AC76" s="215" t="n"/>
      <c r="AD76" s="215" t="n"/>
      <c r="AE76" s="215" t="n"/>
      <c r="AF76" s="215" t="n"/>
      <c r="AG76" s="215" t="n"/>
      <c r="AH76" s="215" t="n"/>
      <c r="AI76" s="215" t="n"/>
      <c r="AJ76" s="215" t="n"/>
      <c r="AK76" s="216" t="n"/>
    </row>
    <row r="77" ht="15" customHeight="1">
      <c r="B77" s="134" t="n"/>
      <c r="C77" s="105" t="n"/>
      <c r="D77" s="105" t="n"/>
      <c r="E77" s="105" t="n"/>
      <c r="F77" s="105" t="n"/>
      <c r="G77" s="105" t="n"/>
      <c r="H77" s="2" t="n"/>
      <c r="I77" s="105" t="n"/>
      <c r="K77" s="215" t="n"/>
      <c r="L77" s="215" t="n"/>
      <c r="M77" s="215" t="n"/>
      <c r="N77" s="215" t="n"/>
      <c r="O77" s="215" t="n"/>
      <c r="P77" s="215" t="n"/>
      <c r="Q77" s="215" t="n"/>
      <c r="R77" s="215" t="n"/>
      <c r="S77" s="215" t="n"/>
      <c r="T77" s="215" t="n"/>
      <c r="U77" s="215" t="n"/>
      <c r="V77" s="215" t="n"/>
      <c r="W77" s="215" t="n"/>
      <c r="X77" s="215" t="n"/>
      <c r="Y77" s="215" t="n"/>
      <c r="Z77" s="215" t="n"/>
      <c r="AA77" s="215" t="n"/>
      <c r="AB77" s="215" t="n"/>
      <c r="AC77" s="215" t="n"/>
      <c r="AD77" s="215" t="n"/>
      <c r="AE77" s="215" t="n"/>
      <c r="AF77" s="215" t="n"/>
      <c r="AG77" s="215" t="n"/>
      <c r="AH77" s="215" t="n"/>
      <c r="AI77" s="215" t="n"/>
      <c r="AJ77" s="215" t="n"/>
      <c r="AK77" s="216" t="n"/>
    </row>
    <row r="78" ht="15" customHeight="1">
      <c r="B78" s="134" t="n"/>
      <c r="C78" s="105" t="n"/>
      <c r="D78" s="105" t="n"/>
      <c r="E78" s="105" t="n"/>
      <c r="F78" s="105" t="n"/>
      <c r="G78" s="105" t="n"/>
      <c r="H78" s="2" t="n"/>
      <c r="I78" s="105" t="n"/>
      <c r="K78" s="215" t="n"/>
      <c r="L78" s="215" t="n"/>
      <c r="M78" s="215" t="n"/>
      <c r="N78" s="215" t="n"/>
      <c r="O78" s="215" t="n"/>
      <c r="P78" s="215" t="n"/>
      <c r="Q78" s="215" t="n"/>
      <c r="R78" s="215" t="n"/>
      <c r="S78" s="215" t="n"/>
      <c r="T78" s="215" t="n"/>
      <c r="U78" s="215" t="n"/>
      <c r="V78" s="215" t="n"/>
      <c r="W78" s="215" t="n"/>
      <c r="X78" s="215" t="n"/>
      <c r="Y78" s="215" t="n"/>
      <c r="Z78" s="215" t="n"/>
      <c r="AA78" s="215" t="n"/>
      <c r="AB78" s="215" t="n"/>
      <c r="AC78" s="215" t="n"/>
      <c r="AD78" s="215" t="n"/>
      <c r="AE78" s="215" t="n"/>
      <c r="AF78" s="215" t="n"/>
      <c r="AG78" s="215" t="n"/>
      <c r="AH78" s="215" t="n"/>
      <c r="AI78" s="215" t="n"/>
      <c r="AJ78" s="215" t="n"/>
      <c r="AK78" s="216" t="n"/>
    </row>
    <row r="79" ht="15" customHeight="1">
      <c r="B79" s="134" t="n"/>
      <c r="C79" s="105" t="n"/>
      <c r="D79" s="105" t="n"/>
      <c r="E79" s="105" t="n"/>
      <c r="F79" s="105" t="n"/>
      <c r="G79" s="105" t="n"/>
      <c r="H79" s="2" t="n"/>
      <c r="I79" s="105" t="n"/>
      <c r="K79" s="215" t="n"/>
      <c r="L79" s="215" t="n"/>
      <c r="M79" s="215" t="n"/>
      <c r="N79" s="215" t="n"/>
      <c r="O79" s="215" t="n"/>
      <c r="P79" s="215" t="n"/>
      <c r="Q79" s="215" t="n"/>
      <c r="R79" s="215" t="n"/>
      <c r="S79" s="215" t="n"/>
      <c r="T79" s="215" t="n"/>
      <c r="U79" s="215" t="n"/>
      <c r="V79" s="215" t="n"/>
      <c r="W79" s="215" t="n"/>
      <c r="X79" s="215" t="n"/>
      <c r="Y79" s="215" t="n"/>
      <c r="Z79" s="215" t="n"/>
      <c r="AA79" s="215" t="n"/>
      <c r="AB79" s="215" t="n"/>
      <c r="AC79" s="215" t="n"/>
      <c r="AD79" s="215" t="n"/>
      <c r="AE79" s="215" t="n"/>
      <c r="AF79" s="215" t="n"/>
      <c r="AG79" s="215" t="n"/>
      <c r="AH79" s="215" t="n"/>
      <c r="AI79" s="215" t="n"/>
      <c r="AJ79" s="215" t="n"/>
      <c r="AK79" s="216" t="n"/>
    </row>
    <row r="80" ht="15" customHeight="1">
      <c r="B80" s="134" t="n"/>
      <c r="C80" s="105" t="n"/>
      <c r="D80" s="105" t="n"/>
      <c r="E80" s="105" t="n"/>
      <c r="F80" s="105" t="n"/>
      <c r="G80" s="105" t="n"/>
      <c r="H80" s="2" t="n"/>
      <c r="I80" s="105" t="n"/>
      <c r="K80" s="215" t="n"/>
      <c r="L80" s="215" t="n"/>
      <c r="M80" s="215" t="n"/>
      <c r="N80" s="215" t="n"/>
      <c r="O80" s="215" t="n"/>
      <c r="P80" s="215" t="n"/>
      <c r="Q80" s="215" t="n"/>
      <c r="R80" s="215" t="n"/>
      <c r="S80" s="215" t="n"/>
      <c r="T80" s="215" t="n"/>
      <c r="U80" s="215" t="n"/>
      <c r="V80" s="215" t="n"/>
      <c r="W80" s="215" t="n"/>
      <c r="X80" s="215" t="n"/>
      <c r="Y80" s="215" t="n"/>
      <c r="Z80" s="215" t="n"/>
      <c r="AA80" s="215" t="n"/>
      <c r="AB80" s="215" t="n"/>
      <c r="AC80" s="215" t="n"/>
      <c r="AD80" s="215" t="n"/>
      <c r="AE80" s="215" t="n"/>
      <c r="AF80" s="215" t="n"/>
      <c r="AG80" s="215" t="n"/>
      <c r="AH80" s="215" t="n"/>
      <c r="AI80" s="215" t="n"/>
      <c r="AJ80" s="215" t="n"/>
      <c r="AK80" s="216" t="n"/>
    </row>
    <row r="81" ht="15" customHeight="1">
      <c r="B81" s="134" t="n"/>
      <c r="C81" s="105" t="n"/>
      <c r="D81" s="105" t="n"/>
      <c r="E81" s="105" t="n"/>
      <c r="F81" s="105" t="n"/>
      <c r="G81" s="105" t="n"/>
      <c r="H81" s="2" t="n"/>
      <c r="I81" s="105" t="n"/>
      <c r="K81" s="215" t="n"/>
      <c r="L81" s="215" t="n"/>
      <c r="M81" s="215" t="n"/>
      <c r="N81" s="215" t="n"/>
      <c r="O81" s="215" t="n"/>
      <c r="P81" s="215" t="n"/>
      <c r="Q81" s="215" t="n"/>
      <c r="R81" s="215" t="n"/>
      <c r="S81" s="215" t="n"/>
      <c r="T81" s="215" t="n"/>
      <c r="U81" s="215" t="n"/>
      <c r="V81" s="215" t="n"/>
      <c r="W81" s="215" t="n"/>
      <c r="X81" s="215" t="n"/>
      <c r="Y81" s="215" t="n"/>
      <c r="Z81" s="215" t="n"/>
      <c r="AA81" s="215" t="n"/>
      <c r="AB81" s="215" t="n"/>
      <c r="AC81" s="215" t="n"/>
      <c r="AD81" s="215" t="n"/>
      <c r="AE81" s="215" t="n"/>
      <c r="AF81" s="215" t="n"/>
      <c r="AG81" s="215" t="n"/>
      <c r="AH81" s="215" t="n"/>
      <c r="AI81" s="215" t="n"/>
      <c r="AJ81" s="215" t="n"/>
      <c r="AK81" s="216" t="n"/>
    </row>
    <row r="82" ht="15" customHeight="1">
      <c r="B82" s="134" t="n"/>
      <c r="C82" s="105" t="n"/>
      <c r="D82" s="105" t="n"/>
      <c r="E82" s="105" t="n"/>
      <c r="F82" s="105" t="n"/>
      <c r="G82" s="105" t="n"/>
      <c r="H82" s="2" t="n"/>
      <c r="I82" s="105" t="n"/>
      <c r="K82" s="215" t="n"/>
      <c r="L82" s="215" t="n"/>
      <c r="M82" s="215" t="n"/>
      <c r="N82" s="215" t="n"/>
      <c r="O82" s="215" t="n"/>
      <c r="P82" s="215" t="n"/>
      <c r="Q82" s="215" t="n"/>
      <c r="R82" s="215" t="n"/>
      <c r="S82" s="215" t="n"/>
      <c r="T82" s="215" t="n"/>
      <c r="U82" s="215" t="n"/>
      <c r="V82" s="215" t="n"/>
      <c r="W82" s="215" t="n"/>
      <c r="X82" s="215" t="n"/>
      <c r="Y82" s="215" t="n"/>
      <c r="Z82" s="215" t="n"/>
      <c r="AA82" s="215" t="n"/>
      <c r="AB82" s="215" t="n"/>
      <c r="AC82" s="215" t="n"/>
      <c r="AD82" s="215" t="n"/>
      <c r="AE82" s="215" t="n"/>
      <c r="AF82" s="215" t="n"/>
      <c r="AG82" s="215" t="n"/>
      <c r="AH82" s="215" t="n"/>
      <c r="AI82" s="215" t="n"/>
      <c r="AJ82" s="215" t="n"/>
      <c r="AK82" s="216" t="n"/>
    </row>
    <row r="83" ht="15" customHeight="1">
      <c r="B83" s="134" t="n"/>
      <c r="C83" s="105" t="n"/>
      <c r="D83" s="105" t="n"/>
      <c r="E83" s="105" t="n"/>
      <c r="F83" s="105" t="n"/>
      <c r="G83" s="105" t="n"/>
      <c r="H83" s="2" t="n"/>
      <c r="I83" s="105" t="n"/>
      <c r="K83" s="215" t="n"/>
      <c r="L83" s="215" t="n"/>
      <c r="M83" s="215" t="n"/>
      <c r="N83" s="215" t="n"/>
      <c r="O83" s="215" t="n"/>
      <c r="P83" s="215" t="n"/>
      <c r="Q83" s="215" t="n"/>
      <c r="R83" s="215" t="n"/>
      <c r="S83" s="215" t="n"/>
      <c r="T83" s="215" t="n"/>
      <c r="U83" s="215" t="n"/>
      <c r="V83" s="215" t="n"/>
      <c r="W83" s="215" t="n"/>
      <c r="X83" s="215" t="n"/>
      <c r="Y83" s="215" t="n"/>
      <c r="Z83" s="215" t="n"/>
      <c r="AA83" s="215" t="n"/>
      <c r="AB83" s="215" t="n"/>
      <c r="AC83" s="215" t="n"/>
      <c r="AD83" s="215" t="n"/>
      <c r="AE83" s="215" t="n"/>
      <c r="AF83" s="215" t="n"/>
      <c r="AG83" s="215" t="n"/>
      <c r="AH83" s="215" t="n"/>
      <c r="AI83" s="215" t="n"/>
      <c r="AJ83" s="215" t="n"/>
      <c r="AK83" s="216" t="n"/>
    </row>
    <row r="84" ht="15" customHeight="1">
      <c r="B84" s="134" t="n"/>
      <c r="C84" s="105" t="n"/>
      <c r="D84" s="105" t="n"/>
      <c r="E84" s="105" t="n"/>
      <c r="F84" s="105" t="n"/>
      <c r="G84" s="105" t="n"/>
      <c r="H84" s="2" t="n"/>
      <c r="I84" s="105" t="n"/>
      <c r="K84" s="215" t="n"/>
      <c r="L84" s="215" t="n"/>
      <c r="M84" s="215" t="n"/>
      <c r="N84" s="215" t="n"/>
      <c r="O84" s="215" t="n"/>
      <c r="P84" s="215" t="n"/>
      <c r="Q84" s="215" t="n"/>
      <c r="R84" s="215" t="n"/>
      <c r="S84" s="215" t="n"/>
      <c r="T84" s="215" t="n"/>
      <c r="U84" s="215" t="n"/>
      <c r="V84" s="215" t="n"/>
      <c r="W84" s="215" t="n"/>
      <c r="X84" s="215" t="n"/>
      <c r="Y84" s="215" t="n"/>
      <c r="Z84" s="215" t="n"/>
      <c r="AA84" s="215" t="n"/>
      <c r="AB84" s="215" t="n"/>
      <c r="AC84" s="215" t="n"/>
      <c r="AD84" s="215" t="n"/>
      <c r="AE84" s="215" t="n"/>
      <c r="AF84" s="215" t="n"/>
      <c r="AG84" s="215" t="n"/>
      <c r="AH84" s="215" t="n"/>
      <c r="AI84" s="215" t="n"/>
      <c r="AJ84" s="215" t="n"/>
      <c r="AK84" s="216" t="n"/>
    </row>
    <row r="85" ht="15" customHeight="1">
      <c r="B85" s="134" t="n"/>
      <c r="C85" s="105" t="n"/>
      <c r="D85" s="105" t="n"/>
      <c r="E85" s="105" t="n"/>
      <c r="F85" s="105" t="n"/>
      <c r="G85" s="105" t="n"/>
      <c r="H85" s="2" t="n"/>
      <c r="I85" s="105" t="n"/>
      <c r="K85" s="215" t="n"/>
      <c r="L85" s="215" t="n"/>
      <c r="M85" s="215" t="n"/>
      <c r="N85" s="215" t="n"/>
      <c r="O85" s="215" t="n"/>
      <c r="P85" s="215" t="n"/>
      <c r="Q85" s="215" t="n"/>
      <c r="R85" s="215" t="n"/>
      <c r="S85" s="215" t="n"/>
      <c r="T85" s="215" t="n"/>
      <c r="U85" s="215" t="n"/>
      <c r="V85" s="215" t="n"/>
      <c r="W85" s="215" t="n"/>
      <c r="X85" s="215" t="n"/>
      <c r="Y85" s="215" t="n"/>
      <c r="Z85" s="215" t="n"/>
      <c r="AA85" s="215" t="n"/>
      <c r="AB85" s="215" t="n"/>
      <c r="AC85" s="215" t="n"/>
      <c r="AD85" s="215" t="n"/>
      <c r="AE85" s="215" t="n"/>
      <c r="AF85" s="215" t="n"/>
      <c r="AG85" s="215" t="n"/>
      <c r="AH85" s="215" t="n"/>
      <c r="AI85" s="215" t="n"/>
      <c r="AJ85" s="215" t="n"/>
      <c r="AK85" s="216" t="n"/>
    </row>
    <row r="86" ht="15" customHeight="1">
      <c r="B86" s="134" t="n"/>
      <c r="C86" s="105" t="n"/>
      <c r="D86" s="105" t="n"/>
      <c r="E86" s="105" t="n"/>
      <c r="F86" s="105" t="n"/>
      <c r="G86" s="105" t="n"/>
      <c r="H86" s="2" t="n"/>
      <c r="I86" s="105" t="n"/>
      <c r="K86" s="215" t="n"/>
      <c r="L86" s="215" t="n"/>
      <c r="M86" s="215" t="n"/>
      <c r="N86" s="215" t="n"/>
      <c r="O86" s="215" t="n"/>
      <c r="P86" s="215" t="n"/>
      <c r="Q86" s="215" t="n"/>
      <c r="R86" s="215" t="n"/>
      <c r="S86" s="215" t="n"/>
      <c r="T86" s="215" t="n"/>
      <c r="U86" s="215" t="n"/>
      <c r="V86" s="215" t="n"/>
      <c r="W86" s="215" t="n"/>
      <c r="X86" s="215" t="n"/>
      <c r="Y86" s="215" t="n"/>
      <c r="Z86" s="215" t="n"/>
      <c r="AA86" s="215" t="n"/>
      <c r="AB86" s="215" t="n"/>
      <c r="AC86" s="215" t="n"/>
      <c r="AD86" s="215" t="n"/>
      <c r="AE86" s="215" t="n"/>
      <c r="AF86" s="215" t="n"/>
      <c r="AG86" s="215" t="n"/>
      <c r="AH86" s="215" t="n"/>
      <c r="AI86" s="215" t="n"/>
      <c r="AJ86" s="215" t="n"/>
      <c r="AK86" s="216" t="n"/>
    </row>
    <row r="87" ht="15" customHeight="1">
      <c r="B87" s="134" t="n"/>
      <c r="C87" s="105" t="n"/>
      <c r="D87" s="105" t="n"/>
      <c r="E87" s="105" t="n"/>
      <c r="F87" s="105" t="n"/>
      <c r="G87" s="105" t="n"/>
      <c r="H87" s="2" t="n"/>
      <c r="I87" s="105" t="n"/>
      <c r="K87" s="215" t="n"/>
      <c r="L87" s="215" t="n"/>
      <c r="M87" s="215" t="n"/>
      <c r="N87" s="215" t="n"/>
      <c r="O87" s="215" t="n"/>
      <c r="P87" s="215" t="n"/>
      <c r="Q87" s="215" t="n"/>
      <c r="R87" s="215" t="n"/>
      <c r="S87" s="215" t="n"/>
      <c r="T87" s="215" t="n"/>
      <c r="U87" s="215" t="n"/>
      <c r="V87" s="215" t="n"/>
      <c r="W87" s="215" t="n"/>
      <c r="X87" s="215" t="n"/>
      <c r="Y87" s="215" t="n"/>
      <c r="Z87" s="215" t="n"/>
      <c r="AA87" s="215" t="n"/>
      <c r="AB87" s="215" t="n"/>
      <c r="AC87" s="215" t="n"/>
      <c r="AD87" s="215" t="n"/>
      <c r="AE87" s="215" t="n"/>
      <c r="AF87" s="215" t="n"/>
      <c r="AG87" s="215" t="n"/>
      <c r="AH87" s="215" t="n"/>
      <c r="AI87" s="215" t="n"/>
      <c r="AJ87" s="215" t="n"/>
      <c r="AK87" s="216" t="n"/>
    </row>
    <row r="88" ht="15" customHeight="1">
      <c r="B88" s="134" t="n"/>
      <c r="C88" s="105" t="n"/>
      <c r="D88" s="105" t="n"/>
      <c r="E88" s="105" t="n"/>
      <c r="F88" s="105" t="n"/>
      <c r="G88" s="105" t="n"/>
      <c r="H88" s="2" t="n"/>
      <c r="I88" s="105" t="n"/>
      <c r="K88" s="215" t="n"/>
      <c r="L88" s="215" t="n"/>
      <c r="M88" s="215" t="n"/>
      <c r="N88" s="215" t="n"/>
      <c r="O88" s="215" t="n"/>
      <c r="P88" s="215" t="n"/>
      <c r="Q88" s="215" t="n"/>
      <c r="R88" s="215" t="n"/>
      <c r="S88" s="215" t="n"/>
      <c r="T88" s="215" t="n"/>
      <c r="U88" s="215" t="n"/>
      <c r="V88" s="215" t="n"/>
      <c r="W88" s="215" t="n"/>
      <c r="X88" s="215" t="n"/>
      <c r="Y88" s="215" t="n"/>
      <c r="Z88" s="215" t="n"/>
      <c r="AA88" s="215" t="n"/>
      <c r="AB88" s="215" t="n"/>
      <c r="AC88" s="215" t="n"/>
      <c r="AD88" s="215" t="n"/>
      <c r="AE88" s="215" t="n"/>
      <c r="AF88" s="215" t="n"/>
      <c r="AG88" s="215" t="n"/>
      <c r="AH88" s="215" t="n"/>
      <c r="AI88" s="215" t="n"/>
      <c r="AJ88" s="215" t="n"/>
      <c r="AK88" s="216" t="n"/>
    </row>
    <row r="89" ht="15" customHeight="1">
      <c r="B89" s="134" t="n"/>
      <c r="C89" s="105" t="n"/>
      <c r="D89" s="105" t="n"/>
      <c r="E89" s="105" t="n"/>
      <c r="F89" s="105" t="n"/>
      <c r="G89" s="105" t="n"/>
      <c r="H89" s="2" t="n"/>
      <c r="I89" s="105" t="n"/>
      <c r="K89" s="215" t="n"/>
      <c r="L89" s="215" t="n"/>
      <c r="M89" s="215" t="n"/>
      <c r="N89" s="215" t="n"/>
      <c r="O89" s="215" t="n"/>
      <c r="P89" s="215" t="n"/>
      <c r="Q89" s="215" t="n"/>
      <c r="R89" s="215" t="n"/>
      <c r="S89" s="215" t="n"/>
      <c r="T89" s="215" t="n"/>
      <c r="U89" s="215" t="n"/>
      <c r="V89" s="215" t="n"/>
      <c r="W89" s="215" t="n"/>
      <c r="X89" s="215" t="n"/>
      <c r="Y89" s="215" t="n"/>
      <c r="Z89" s="215" t="n"/>
      <c r="AA89" s="215" t="n"/>
      <c r="AB89" s="215" t="n"/>
      <c r="AC89" s="215" t="n"/>
      <c r="AD89" s="215" t="n"/>
      <c r="AE89" s="215" t="n"/>
      <c r="AF89" s="215" t="n"/>
      <c r="AG89" s="215" t="n"/>
      <c r="AH89" s="215" t="n"/>
      <c r="AI89" s="215" t="n"/>
      <c r="AJ89" s="215" t="n"/>
      <c r="AK89" s="216" t="n"/>
    </row>
    <row r="90" ht="15" customHeight="1">
      <c r="B90" s="134" t="n"/>
      <c r="C90" s="105" t="n"/>
      <c r="D90" s="105" t="n"/>
      <c r="E90" s="105" t="n"/>
      <c r="F90" s="105" t="n"/>
      <c r="G90" s="105" t="n"/>
      <c r="H90" s="2" t="n"/>
      <c r="I90" s="105" t="n"/>
      <c r="K90" s="215" t="n"/>
      <c r="L90" s="215" t="n"/>
      <c r="M90" s="215" t="n"/>
      <c r="N90" s="215" t="n"/>
      <c r="O90" s="215" t="n"/>
      <c r="P90" s="215" t="n"/>
      <c r="Q90" s="215" t="n"/>
      <c r="R90" s="215" t="n"/>
      <c r="S90" s="215" t="n"/>
      <c r="T90" s="215" t="n"/>
      <c r="U90" s="215" t="n"/>
      <c r="V90" s="215" t="n"/>
      <c r="W90" s="215" t="n"/>
      <c r="X90" s="215" t="n"/>
      <c r="Y90" s="215" t="n"/>
      <c r="Z90" s="215" t="n"/>
      <c r="AA90" s="215" t="n"/>
      <c r="AB90" s="215" t="n"/>
      <c r="AC90" s="215" t="n"/>
      <c r="AD90" s="215" t="n"/>
      <c r="AE90" s="215" t="n"/>
      <c r="AF90" s="215" t="n"/>
      <c r="AG90" s="215" t="n"/>
      <c r="AH90" s="215" t="n"/>
      <c r="AI90" s="215" t="n"/>
      <c r="AJ90" s="215" t="n"/>
      <c r="AK90" s="216" t="n"/>
    </row>
    <row r="91" ht="15" customHeight="1">
      <c r="B91" s="134" t="n"/>
      <c r="C91" s="105" t="n"/>
      <c r="D91" s="105" t="n"/>
      <c r="E91" s="105" t="n"/>
      <c r="F91" s="105" t="n"/>
      <c r="G91" s="105" t="n"/>
      <c r="H91" s="2" t="n"/>
      <c r="I91" s="105" t="n"/>
      <c r="K91" s="215" t="n"/>
      <c r="L91" s="215" t="n"/>
      <c r="M91" s="215" t="n"/>
      <c r="N91" s="215" t="n"/>
      <c r="O91" s="215" t="n"/>
      <c r="P91" s="215" t="n"/>
      <c r="Q91" s="215" t="n"/>
      <c r="R91" s="215" t="n"/>
      <c r="S91" s="215" t="n"/>
      <c r="T91" s="215" t="n"/>
      <c r="U91" s="215" t="n"/>
      <c r="V91" s="215" t="n"/>
      <c r="W91" s="215" t="n"/>
      <c r="X91" s="215" t="n"/>
      <c r="Y91" s="215" t="n"/>
      <c r="Z91" s="215" t="n"/>
      <c r="AA91" s="215" t="n"/>
      <c r="AB91" s="215" t="n"/>
      <c r="AC91" s="215" t="n"/>
      <c r="AD91" s="215" t="n"/>
      <c r="AE91" s="215" t="n"/>
      <c r="AF91" s="215" t="n"/>
      <c r="AG91" s="215" t="n"/>
      <c r="AH91" s="215" t="n"/>
      <c r="AI91" s="215" t="n"/>
      <c r="AJ91" s="215" t="n"/>
      <c r="AK91" s="216" t="n"/>
    </row>
    <row r="92" ht="15" customHeight="1">
      <c r="B92" s="134" t="n"/>
      <c r="C92" s="105" t="n"/>
      <c r="D92" s="105" t="n"/>
      <c r="E92" s="105" t="n"/>
      <c r="F92" s="105" t="n"/>
      <c r="G92" s="105" t="n"/>
      <c r="H92" s="2" t="n"/>
      <c r="I92" s="105" t="n"/>
      <c r="K92" s="215" t="n"/>
      <c r="L92" s="215" t="n"/>
      <c r="M92" s="215" t="n"/>
      <c r="N92" s="215" t="n"/>
      <c r="O92" s="215" t="n"/>
      <c r="P92" s="215" t="n"/>
      <c r="Q92" s="215" t="n"/>
      <c r="R92" s="215" t="n"/>
      <c r="S92" s="215" t="n"/>
      <c r="T92" s="215" t="n"/>
      <c r="U92" s="215" t="n"/>
      <c r="V92" s="215" t="n"/>
      <c r="W92" s="215" t="n"/>
      <c r="X92" s="215" t="n"/>
      <c r="Y92" s="215" t="n"/>
      <c r="Z92" s="215" t="n"/>
      <c r="AA92" s="215" t="n"/>
      <c r="AB92" s="215" t="n"/>
      <c r="AC92" s="215" t="n"/>
      <c r="AD92" s="215" t="n"/>
      <c r="AE92" s="215" t="n"/>
      <c r="AF92" s="215" t="n"/>
      <c r="AG92" s="215" t="n"/>
      <c r="AH92" s="215" t="n"/>
      <c r="AI92" s="215" t="n"/>
      <c r="AJ92" s="215" t="n"/>
      <c r="AK92" s="216" t="n"/>
    </row>
    <row r="93" ht="15" customHeight="1">
      <c r="B93" s="134" t="n"/>
      <c r="C93" s="105" t="n"/>
      <c r="D93" s="105" t="n"/>
      <c r="E93" s="105" t="n"/>
      <c r="F93" s="105" t="n"/>
      <c r="G93" s="105" t="n"/>
      <c r="H93" s="2" t="n"/>
      <c r="I93" s="105" t="n"/>
      <c r="K93" s="215" t="n"/>
      <c r="L93" s="215" t="n"/>
      <c r="M93" s="215" t="n"/>
      <c r="N93" s="215" t="n"/>
      <c r="O93" s="215" t="n"/>
      <c r="P93" s="215" t="n"/>
      <c r="Q93" s="215" t="n"/>
      <c r="R93" s="215" t="n"/>
      <c r="S93" s="215" t="n"/>
      <c r="T93" s="215" t="n"/>
      <c r="U93" s="215" t="n"/>
      <c r="V93" s="215" t="n"/>
      <c r="W93" s="215" t="n"/>
      <c r="X93" s="215" t="n"/>
      <c r="Y93" s="215" t="n"/>
      <c r="Z93" s="215" t="n"/>
      <c r="AA93" s="215" t="n"/>
      <c r="AB93" s="215" t="n"/>
      <c r="AC93" s="215" t="n"/>
      <c r="AD93" s="215" t="n"/>
      <c r="AE93" s="215" t="n"/>
      <c r="AF93" s="215" t="n"/>
      <c r="AG93" s="215" t="n"/>
      <c r="AH93" s="215" t="n"/>
      <c r="AI93" s="215" t="n"/>
      <c r="AJ93" s="215" t="n"/>
      <c r="AK93" s="216" t="n"/>
    </row>
    <row r="94" ht="15" customHeight="1">
      <c r="B94" s="134" t="n"/>
      <c r="C94" s="105" t="n"/>
      <c r="D94" s="105" t="n"/>
      <c r="E94" s="105" t="n"/>
      <c r="F94" s="105" t="n"/>
      <c r="G94" s="105" t="n"/>
      <c r="H94" s="2" t="n"/>
      <c r="I94" s="105" t="n"/>
      <c r="K94" s="215" t="n"/>
      <c r="L94" s="215" t="n"/>
      <c r="M94" s="215" t="n"/>
      <c r="N94" s="215" t="n"/>
      <c r="O94" s="215" t="n"/>
      <c r="P94" s="215" t="n"/>
      <c r="Q94" s="215" t="n"/>
      <c r="R94" s="215" t="n"/>
      <c r="S94" s="215" t="n"/>
      <c r="T94" s="215" t="n"/>
      <c r="U94" s="215" t="n"/>
      <c r="V94" s="215" t="n"/>
      <c r="W94" s="215" t="n"/>
      <c r="X94" s="215" t="n"/>
      <c r="Y94" s="215" t="n"/>
      <c r="Z94" s="215" t="n"/>
      <c r="AA94" s="215" t="n"/>
      <c r="AB94" s="215" t="n"/>
      <c r="AC94" s="215" t="n"/>
      <c r="AD94" s="215" t="n"/>
      <c r="AE94" s="215" t="n"/>
      <c r="AF94" s="215" t="n"/>
      <c r="AG94" s="215" t="n"/>
      <c r="AH94" s="215" t="n"/>
      <c r="AI94" s="215" t="n"/>
      <c r="AJ94" s="215" t="n"/>
      <c r="AK94" s="216" t="n"/>
    </row>
    <row r="95" ht="15" customHeight="1">
      <c r="B95" s="134" t="n"/>
      <c r="C95" s="105" t="n"/>
      <c r="D95" s="105" t="n"/>
      <c r="E95" s="105" t="n"/>
      <c r="F95" s="105" t="n"/>
      <c r="G95" s="105" t="n"/>
      <c r="H95" s="2" t="n"/>
      <c r="I95" s="105" t="n"/>
      <c r="K95" s="215" t="n"/>
      <c r="L95" s="215" t="n"/>
      <c r="M95" s="215" t="n"/>
      <c r="N95" s="215" t="n"/>
      <c r="O95" s="215" t="n"/>
      <c r="P95" s="215" t="n"/>
      <c r="Q95" s="215" t="n"/>
      <c r="R95" s="215" t="n"/>
      <c r="S95" s="215" t="n"/>
      <c r="T95" s="215" t="n"/>
      <c r="U95" s="215" t="n"/>
      <c r="V95" s="215" t="n"/>
      <c r="W95" s="215" t="n"/>
      <c r="X95" s="215" t="n"/>
      <c r="Y95" s="215" t="n"/>
      <c r="Z95" s="215" t="n"/>
      <c r="AA95" s="215" t="n"/>
      <c r="AB95" s="215" t="n"/>
      <c r="AC95" s="215" t="n"/>
      <c r="AD95" s="215" t="n"/>
      <c r="AE95" s="215" t="n"/>
      <c r="AF95" s="215" t="n"/>
      <c r="AG95" s="215" t="n"/>
      <c r="AH95" s="215" t="n"/>
      <c r="AI95" s="215" t="n"/>
      <c r="AJ95" s="215" t="n"/>
      <c r="AK95" s="216" t="n"/>
    </row>
    <row r="96" ht="15" customHeight="1">
      <c r="B96" s="134" t="n"/>
      <c r="C96" s="105" t="n"/>
      <c r="D96" s="105" t="n"/>
      <c r="E96" s="105" t="n"/>
      <c r="F96" s="105" t="n"/>
      <c r="G96" s="105" t="n"/>
      <c r="H96" s="2" t="n"/>
      <c r="I96" s="105" t="n"/>
      <c r="K96" s="215" t="n"/>
      <c r="L96" s="215" t="n"/>
      <c r="M96" s="215" t="n"/>
      <c r="N96" s="215" t="n"/>
      <c r="O96" s="215" t="n"/>
      <c r="P96" s="215" t="n"/>
      <c r="Q96" s="215" t="n"/>
      <c r="R96" s="215" t="n"/>
      <c r="S96" s="215" t="n"/>
      <c r="T96" s="215" t="n"/>
      <c r="U96" s="215" t="n"/>
      <c r="V96" s="215" t="n"/>
      <c r="W96" s="215" t="n"/>
      <c r="X96" s="215" t="n"/>
      <c r="Y96" s="215" t="n"/>
      <c r="Z96" s="215" t="n"/>
      <c r="AA96" s="215" t="n"/>
      <c r="AB96" s="215" t="n"/>
      <c r="AC96" s="215" t="n"/>
      <c r="AD96" s="215" t="n"/>
      <c r="AE96" s="215" t="n"/>
      <c r="AF96" s="215" t="n"/>
      <c r="AG96" s="215" t="n"/>
      <c r="AH96" s="215" t="n"/>
      <c r="AI96" s="215" t="n"/>
      <c r="AJ96" s="215" t="n"/>
      <c r="AK96" s="216" t="n"/>
    </row>
    <row r="97" ht="15" customHeight="1">
      <c r="B97" s="134" t="n"/>
      <c r="C97" s="105" t="n"/>
      <c r="D97" s="105" t="n"/>
      <c r="E97" s="105" t="n"/>
      <c r="F97" s="105" t="n"/>
      <c r="G97" s="105" t="n"/>
      <c r="H97" s="2" t="n"/>
      <c r="I97" s="105" t="n"/>
      <c r="K97" s="215" t="n"/>
      <c r="L97" s="215" t="n"/>
      <c r="M97" s="215" t="n"/>
      <c r="N97" s="215" t="n"/>
      <c r="O97" s="215" t="n"/>
      <c r="P97" s="215" t="n"/>
      <c r="Q97" s="215" t="n"/>
      <c r="R97" s="215" t="n"/>
      <c r="S97" s="215" t="n"/>
      <c r="T97" s="215" t="n"/>
      <c r="U97" s="215" t="n"/>
      <c r="V97" s="215" t="n"/>
      <c r="W97" s="215" t="n"/>
      <c r="X97" s="215" t="n"/>
      <c r="Y97" s="215" t="n"/>
      <c r="Z97" s="215" t="n"/>
      <c r="AA97" s="215" t="n"/>
      <c r="AB97" s="215" t="n"/>
      <c r="AC97" s="215" t="n"/>
      <c r="AD97" s="215" t="n"/>
      <c r="AE97" s="215" t="n"/>
      <c r="AF97" s="215" t="n"/>
      <c r="AG97" s="215" t="n"/>
      <c r="AH97" s="215" t="n"/>
      <c r="AI97" s="215" t="n"/>
      <c r="AJ97" s="215" t="n"/>
      <c r="AK97" s="216" t="n"/>
    </row>
    <row r="98" ht="15" customHeight="1">
      <c r="B98" s="134" t="n"/>
      <c r="C98" s="105" t="n"/>
      <c r="D98" s="105" t="n"/>
      <c r="E98" s="105" t="n"/>
      <c r="F98" s="105" t="n"/>
      <c r="G98" s="105" t="n"/>
      <c r="H98" s="2" t="n"/>
      <c r="I98" s="105" t="n"/>
      <c r="K98" s="215" t="n"/>
      <c r="L98" s="215" t="n"/>
      <c r="M98" s="215" t="n"/>
      <c r="N98" s="215" t="n"/>
      <c r="O98" s="215" t="n"/>
      <c r="P98" s="215" t="n"/>
      <c r="Q98" s="215" t="n"/>
      <c r="R98" s="215" t="n"/>
      <c r="S98" s="215" t="n"/>
      <c r="T98" s="215" t="n"/>
      <c r="U98" s="215" t="n"/>
      <c r="V98" s="215" t="n"/>
      <c r="W98" s="215" t="n"/>
      <c r="X98" s="215" t="n"/>
      <c r="Y98" s="215" t="n"/>
      <c r="Z98" s="215" t="n"/>
      <c r="AA98" s="215" t="n"/>
      <c r="AB98" s="215" t="n"/>
      <c r="AC98" s="215" t="n"/>
      <c r="AD98" s="215" t="n"/>
      <c r="AE98" s="215" t="n"/>
      <c r="AF98" s="215" t="n"/>
      <c r="AG98" s="215" t="n"/>
      <c r="AH98" s="215" t="n"/>
      <c r="AI98" s="215" t="n"/>
      <c r="AJ98" s="215" t="n"/>
      <c r="AK98" s="216" t="n"/>
    </row>
    <row r="99" ht="15" customHeight="1">
      <c r="B99" s="134" t="n"/>
      <c r="C99" s="105" t="n"/>
      <c r="D99" s="105" t="n"/>
      <c r="E99" s="105" t="n"/>
      <c r="F99" s="105" t="n"/>
      <c r="G99" s="105" t="n"/>
      <c r="H99" s="2" t="n"/>
      <c r="I99" s="105" t="n"/>
      <c r="K99" s="215" t="n"/>
      <c r="L99" s="215" t="n"/>
      <c r="M99" s="215" t="n"/>
      <c r="N99" s="215" t="n"/>
      <c r="O99" s="215" t="n"/>
      <c r="P99" s="215" t="n"/>
      <c r="Q99" s="215" t="n"/>
      <c r="R99" s="215" t="n"/>
      <c r="S99" s="215" t="n"/>
      <c r="T99" s="215" t="n"/>
      <c r="U99" s="215" t="n"/>
      <c r="V99" s="215" t="n"/>
      <c r="W99" s="215" t="n"/>
      <c r="X99" s="215" t="n"/>
      <c r="Y99" s="215" t="n"/>
      <c r="Z99" s="215" t="n"/>
      <c r="AA99" s="215" t="n"/>
      <c r="AB99" s="215" t="n"/>
      <c r="AC99" s="215" t="n"/>
      <c r="AD99" s="215" t="n"/>
      <c r="AE99" s="215" t="n"/>
      <c r="AF99" s="215" t="n"/>
      <c r="AG99" s="215" t="n"/>
      <c r="AH99" s="215" t="n"/>
      <c r="AI99" s="215" t="n"/>
      <c r="AJ99" s="215" t="n"/>
      <c r="AK99" s="216" t="n"/>
    </row>
    <row r="100" ht="15" customHeight="1">
      <c r="B100" s="134" t="n"/>
      <c r="C100" s="105" t="n"/>
      <c r="D100" s="105" t="n"/>
      <c r="E100" s="105" t="n"/>
      <c r="F100" s="105" t="n"/>
      <c r="G100" s="105" t="n"/>
      <c r="H100" s="2" t="n"/>
      <c r="I100" s="105" t="n"/>
      <c r="K100" s="215" t="n"/>
      <c r="L100" s="215" t="n"/>
      <c r="M100" s="215" t="n"/>
      <c r="N100" s="215" t="n"/>
      <c r="O100" s="215" t="n"/>
      <c r="P100" s="215" t="n"/>
      <c r="Q100" s="215" t="n"/>
      <c r="R100" s="215" t="n"/>
      <c r="S100" s="215" t="n"/>
      <c r="T100" s="215" t="n"/>
      <c r="U100" s="215" t="n"/>
      <c r="V100" s="215" t="n"/>
      <c r="W100" s="215" t="n"/>
      <c r="X100" s="215" t="n"/>
      <c r="Y100" s="215" t="n"/>
      <c r="Z100" s="215" t="n"/>
      <c r="AA100" s="215" t="n"/>
      <c r="AB100" s="215" t="n"/>
      <c r="AC100" s="215" t="n"/>
      <c r="AD100" s="215" t="n"/>
      <c r="AE100" s="215" t="n"/>
      <c r="AF100" s="215" t="n"/>
      <c r="AG100" s="215" t="n"/>
      <c r="AH100" s="215" t="n"/>
      <c r="AI100" s="215" t="n"/>
      <c r="AJ100" s="215" t="n"/>
      <c r="AK100" s="216" t="n"/>
    </row>
    <row r="101" ht="15" customHeight="1">
      <c r="B101" s="134" t="n"/>
      <c r="C101" s="105" t="n"/>
      <c r="D101" s="105" t="n"/>
      <c r="E101" s="105" t="n"/>
      <c r="F101" s="105" t="n"/>
      <c r="G101" s="105" t="n"/>
      <c r="H101" s="2" t="n"/>
      <c r="I101" s="105" t="n"/>
      <c r="K101" s="215" t="n"/>
      <c r="L101" s="215" t="n"/>
      <c r="M101" s="215" t="n"/>
      <c r="N101" s="215" t="n"/>
      <c r="O101" s="215" t="n"/>
      <c r="P101" s="215" t="n"/>
      <c r="Q101" s="215" t="n"/>
      <c r="R101" s="215" t="n"/>
      <c r="S101" s="215" t="n"/>
      <c r="T101" s="215" t="n"/>
      <c r="U101" s="215" t="n"/>
      <c r="V101" s="215" t="n"/>
      <c r="W101" s="215" t="n"/>
      <c r="X101" s="215" t="n"/>
      <c r="Y101" s="215" t="n"/>
      <c r="Z101" s="215" t="n"/>
      <c r="AA101" s="215" t="n"/>
      <c r="AB101" s="215" t="n"/>
      <c r="AC101" s="215" t="n"/>
      <c r="AD101" s="215" t="n"/>
      <c r="AE101" s="215" t="n"/>
      <c r="AF101" s="215" t="n"/>
      <c r="AG101" s="215" t="n"/>
      <c r="AH101" s="215" t="n"/>
      <c r="AI101" s="215" t="n"/>
      <c r="AJ101" s="215" t="n"/>
      <c r="AK101" s="216" t="n"/>
    </row>
    <row r="102" ht="15" customHeight="1">
      <c r="B102" s="134" t="n"/>
      <c r="C102" s="105" t="n"/>
      <c r="D102" s="105" t="n"/>
      <c r="E102" s="105" t="n"/>
      <c r="F102" s="105" t="n"/>
      <c r="G102" s="105" t="n"/>
      <c r="H102" s="2" t="n"/>
      <c r="I102" s="105" t="n"/>
      <c r="K102" s="215" t="n"/>
      <c r="L102" s="215" t="n"/>
      <c r="M102" s="215" t="n"/>
      <c r="N102" s="215" t="n"/>
      <c r="O102" s="215" t="n"/>
      <c r="P102" s="215" t="n"/>
      <c r="Q102" s="215" t="n"/>
      <c r="R102" s="215" t="n"/>
      <c r="S102" s="215" t="n"/>
      <c r="T102" s="215" t="n"/>
      <c r="U102" s="215" t="n"/>
      <c r="V102" s="215" t="n"/>
      <c r="W102" s="215" t="n"/>
      <c r="X102" s="215" t="n"/>
      <c r="Y102" s="215" t="n"/>
      <c r="Z102" s="215" t="n"/>
      <c r="AA102" s="215" t="n"/>
      <c r="AB102" s="215" t="n"/>
      <c r="AC102" s="215" t="n"/>
      <c r="AD102" s="215" t="n"/>
      <c r="AE102" s="215" t="n"/>
      <c r="AF102" s="215" t="n"/>
      <c r="AG102" s="215" t="n"/>
      <c r="AH102" s="215" t="n"/>
      <c r="AI102" s="215" t="n"/>
      <c r="AJ102" s="215" t="n"/>
      <c r="AK102" s="216" t="n"/>
    </row>
    <row r="103" ht="15" customHeight="1">
      <c r="B103" s="134" t="n"/>
      <c r="C103" s="105" t="n"/>
      <c r="D103" s="105" t="n"/>
      <c r="E103" s="105" t="n"/>
      <c r="F103" s="105" t="n"/>
      <c r="G103" s="105" t="n"/>
      <c r="H103" s="2" t="n"/>
      <c r="I103" s="105" t="n"/>
      <c r="K103" s="215" t="n"/>
      <c r="L103" s="215" t="n"/>
      <c r="M103" s="215" t="n"/>
      <c r="N103" s="215" t="n"/>
      <c r="O103" s="215" t="n"/>
      <c r="P103" s="215" t="n"/>
      <c r="Q103" s="215" t="n"/>
      <c r="R103" s="215" t="n"/>
      <c r="S103" s="215" t="n"/>
      <c r="T103" s="215" t="n"/>
      <c r="U103" s="215" t="n"/>
      <c r="V103" s="215" t="n"/>
      <c r="W103" s="215" t="n"/>
      <c r="X103" s="215" t="n"/>
      <c r="Y103" s="215" t="n"/>
      <c r="Z103" s="215" t="n"/>
      <c r="AA103" s="215" t="n"/>
      <c r="AB103" s="215" t="n"/>
      <c r="AC103" s="215" t="n"/>
      <c r="AD103" s="215" t="n"/>
      <c r="AE103" s="215" t="n"/>
      <c r="AF103" s="215" t="n"/>
      <c r="AG103" s="215" t="n"/>
      <c r="AH103" s="215" t="n"/>
      <c r="AI103" s="215" t="n"/>
      <c r="AJ103" s="215" t="n"/>
      <c r="AK103" s="216" t="n"/>
    </row>
    <row r="104" ht="15" customHeight="1">
      <c r="B104" s="134" t="n"/>
      <c r="C104" s="105" t="n"/>
      <c r="D104" s="105" t="n"/>
      <c r="E104" s="105" t="n"/>
      <c r="F104" s="105" t="n"/>
      <c r="G104" s="105" t="n"/>
      <c r="H104" s="2" t="n"/>
      <c r="I104" s="105" t="n"/>
      <c r="K104" s="215" t="n"/>
      <c r="L104" s="215" t="n"/>
      <c r="M104" s="215" t="n"/>
      <c r="N104" s="215" t="n"/>
      <c r="O104" s="215" t="n"/>
      <c r="P104" s="215" t="n"/>
      <c r="Q104" s="215" t="n"/>
      <c r="R104" s="215" t="n"/>
      <c r="S104" s="215" t="n"/>
      <c r="T104" s="215" t="n"/>
      <c r="U104" s="215" t="n"/>
      <c r="V104" s="215" t="n"/>
      <c r="W104" s="215" t="n"/>
      <c r="X104" s="215" t="n"/>
      <c r="Y104" s="215" t="n"/>
      <c r="Z104" s="215" t="n"/>
      <c r="AA104" s="215" t="n"/>
      <c r="AB104" s="215" t="n"/>
      <c r="AC104" s="215" t="n"/>
      <c r="AD104" s="215" t="n"/>
      <c r="AE104" s="215" t="n"/>
      <c r="AF104" s="215" t="n"/>
      <c r="AG104" s="215" t="n"/>
      <c r="AH104" s="215" t="n"/>
      <c r="AI104" s="215" t="n"/>
      <c r="AJ104" s="215" t="n"/>
      <c r="AK104" s="216" t="n"/>
    </row>
    <row r="105" ht="15" customHeight="1">
      <c r="B105" s="134" t="n"/>
      <c r="C105" s="105" t="n"/>
      <c r="D105" s="105" t="n"/>
      <c r="E105" s="105" t="n"/>
      <c r="F105" s="105" t="n"/>
      <c r="G105" s="105" t="n"/>
      <c r="H105" s="2" t="n"/>
      <c r="I105" s="105" t="n"/>
      <c r="K105" s="215" t="n"/>
      <c r="L105" s="215" t="n"/>
      <c r="M105" s="215" t="n"/>
      <c r="N105" s="215" t="n"/>
      <c r="O105" s="215" t="n"/>
      <c r="P105" s="215" t="n"/>
      <c r="Q105" s="215" t="n"/>
      <c r="R105" s="215" t="n"/>
      <c r="S105" s="215" t="n"/>
      <c r="T105" s="215" t="n"/>
      <c r="U105" s="215" t="n"/>
      <c r="V105" s="215" t="n"/>
      <c r="W105" s="215" t="n"/>
      <c r="X105" s="215" t="n"/>
      <c r="Y105" s="215" t="n"/>
      <c r="Z105" s="215" t="n"/>
      <c r="AA105" s="215" t="n"/>
      <c r="AB105" s="215" t="n"/>
      <c r="AC105" s="215" t="n"/>
      <c r="AD105" s="215" t="n"/>
      <c r="AE105" s="215" t="n"/>
      <c r="AF105" s="215" t="n"/>
      <c r="AG105" s="215" t="n"/>
      <c r="AH105" s="215" t="n"/>
      <c r="AI105" s="215" t="n"/>
      <c r="AJ105" s="215" t="n"/>
      <c r="AK105" s="216" t="n"/>
    </row>
    <row r="106" ht="15" customHeight="1">
      <c r="B106" s="134" t="n"/>
      <c r="C106" s="105" t="n"/>
      <c r="D106" s="105" t="n"/>
      <c r="E106" s="105" t="n"/>
      <c r="F106" s="105" t="n"/>
      <c r="G106" s="105" t="n"/>
      <c r="H106" s="2" t="n"/>
      <c r="I106" s="105" t="n"/>
      <c r="K106" s="215" t="n"/>
      <c r="L106" s="215" t="n"/>
      <c r="M106" s="215" t="n"/>
      <c r="N106" s="215" t="n"/>
      <c r="O106" s="215" t="n"/>
      <c r="P106" s="215" t="n"/>
      <c r="Q106" s="215" t="n"/>
      <c r="R106" s="215" t="n"/>
      <c r="S106" s="215" t="n"/>
      <c r="T106" s="215" t="n"/>
      <c r="U106" s="215" t="n"/>
      <c r="V106" s="215" t="n"/>
      <c r="W106" s="215" t="n"/>
      <c r="X106" s="215" t="n"/>
      <c r="Y106" s="215" t="n"/>
      <c r="Z106" s="215" t="n"/>
      <c r="AA106" s="215" t="n"/>
      <c r="AB106" s="215" t="n"/>
      <c r="AC106" s="215" t="n"/>
      <c r="AD106" s="215" t="n"/>
      <c r="AE106" s="215" t="n"/>
      <c r="AF106" s="215" t="n"/>
      <c r="AG106" s="215" t="n"/>
      <c r="AH106" s="215" t="n"/>
      <c r="AI106" s="215" t="n"/>
      <c r="AJ106" s="215" t="n"/>
      <c r="AK106" s="216" t="n"/>
    </row>
    <row r="107" ht="15" customHeight="1">
      <c r="B107" s="134" t="n"/>
      <c r="C107" s="105" t="n"/>
      <c r="D107" s="105" t="n"/>
      <c r="E107" s="105" t="n"/>
      <c r="F107" s="105" t="n"/>
      <c r="G107" s="105" t="n"/>
      <c r="H107" s="2" t="n"/>
      <c r="I107" s="105" t="n"/>
      <c r="K107" s="215" t="n"/>
      <c r="L107" s="215" t="n"/>
      <c r="M107" s="215" t="n"/>
      <c r="N107" s="215" t="n"/>
      <c r="O107" s="215" t="n"/>
      <c r="P107" s="215" t="n"/>
      <c r="Q107" s="215" t="n"/>
      <c r="R107" s="215" t="n"/>
      <c r="S107" s="215" t="n"/>
      <c r="T107" s="215" t="n"/>
      <c r="U107" s="215" t="n"/>
      <c r="V107" s="215" t="n"/>
      <c r="W107" s="215" t="n"/>
      <c r="X107" s="215" t="n"/>
      <c r="Y107" s="215" t="n"/>
      <c r="Z107" s="215" t="n"/>
      <c r="AA107" s="215" t="n"/>
      <c r="AB107" s="215" t="n"/>
      <c r="AC107" s="215" t="n"/>
      <c r="AD107" s="215" t="n"/>
      <c r="AE107" s="215" t="n"/>
      <c r="AF107" s="215" t="n"/>
      <c r="AG107" s="215" t="n"/>
      <c r="AH107" s="215" t="n"/>
      <c r="AI107" s="215" t="n"/>
      <c r="AJ107" s="215" t="n"/>
      <c r="AK107" s="216" t="n"/>
    </row>
    <row r="108" ht="15" customHeight="1">
      <c r="B108" s="134" t="n"/>
      <c r="C108" s="105" t="n"/>
      <c r="D108" s="105" t="n"/>
      <c r="E108" s="105" t="n"/>
      <c r="F108" s="105" t="n"/>
      <c r="G108" s="105" t="n"/>
      <c r="H108" s="2" t="n"/>
      <c r="I108" s="105" t="n"/>
      <c r="K108" s="215" t="n"/>
      <c r="L108" s="215" t="n"/>
      <c r="M108" s="215" t="n"/>
      <c r="N108" s="215" t="n"/>
      <c r="O108" s="215" t="n"/>
      <c r="P108" s="215" t="n"/>
      <c r="Q108" s="215" t="n"/>
      <c r="R108" s="215" t="n"/>
      <c r="S108" s="215" t="n"/>
      <c r="T108" s="215" t="n"/>
      <c r="U108" s="215" t="n"/>
      <c r="V108" s="215" t="n"/>
      <c r="W108" s="215" t="n"/>
      <c r="X108" s="215" t="n"/>
      <c r="Y108" s="215" t="n"/>
      <c r="Z108" s="215" t="n"/>
      <c r="AA108" s="215" t="n"/>
      <c r="AB108" s="215" t="n"/>
      <c r="AC108" s="215" t="n"/>
      <c r="AD108" s="215" t="n"/>
      <c r="AE108" s="215" t="n"/>
      <c r="AF108" s="215" t="n"/>
      <c r="AG108" s="215" t="n"/>
      <c r="AH108" s="215" t="n"/>
      <c r="AI108" s="215" t="n"/>
      <c r="AJ108" s="215" t="n"/>
      <c r="AK108" s="216" t="n"/>
    </row>
    <row r="109" ht="15" customHeight="1">
      <c r="B109" s="134" t="n"/>
      <c r="C109" s="105" t="n"/>
      <c r="D109" s="105" t="n"/>
      <c r="E109" s="105" t="n"/>
      <c r="F109" s="105" t="n"/>
      <c r="G109" s="105" t="n"/>
      <c r="H109" s="2" t="n"/>
      <c r="I109" s="105" t="n"/>
      <c r="K109" s="215" t="n"/>
      <c r="L109" s="215" t="n"/>
      <c r="M109" s="215" t="n"/>
      <c r="N109" s="215" t="n"/>
      <c r="O109" s="215" t="n"/>
      <c r="P109" s="215" t="n"/>
      <c r="Q109" s="215" t="n"/>
      <c r="R109" s="215" t="n"/>
      <c r="S109" s="215" t="n"/>
      <c r="T109" s="215" t="n"/>
      <c r="U109" s="215" t="n"/>
      <c r="V109" s="215" t="n"/>
      <c r="W109" s="215" t="n"/>
      <c r="X109" s="215" t="n"/>
      <c r="Y109" s="215" t="n"/>
      <c r="Z109" s="215" t="n"/>
      <c r="AA109" s="215" t="n"/>
      <c r="AB109" s="215" t="n"/>
      <c r="AC109" s="215" t="n"/>
      <c r="AD109" s="215" t="n"/>
      <c r="AE109" s="215" t="n"/>
      <c r="AF109" s="215" t="n"/>
      <c r="AG109" s="215" t="n"/>
      <c r="AH109" s="215" t="n"/>
      <c r="AI109" s="215" t="n"/>
      <c r="AJ109" s="215" t="n"/>
      <c r="AK109" s="216" t="n"/>
    </row>
    <row r="110" ht="15" customHeight="1">
      <c r="B110" s="134" t="n"/>
      <c r="C110" s="105" t="n"/>
      <c r="D110" s="105" t="n"/>
      <c r="E110" s="105" t="n"/>
      <c r="F110" s="105" t="n"/>
      <c r="G110" s="105" t="n"/>
      <c r="H110" s="2" t="n"/>
      <c r="I110" s="105" t="n"/>
      <c r="K110" s="215" t="n"/>
      <c r="L110" s="215" t="n"/>
      <c r="M110" s="215" t="n"/>
      <c r="N110" s="215" t="n"/>
      <c r="O110" s="215" t="n"/>
      <c r="P110" s="215" t="n"/>
      <c r="Q110" s="215" t="n"/>
      <c r="R110" s="215" t="n"/>
      <c r="S110" s="215" t="n"/>
      <c r="T110" s="215" t="n"/>
      <c r="U110" s="215" t="n"/>
      <c r="V110" s="215" t="n"/>
      <c r="W110" s="215" t="n"/>
      <c r="X110" s="215" t="n"/>
      <c r="Y110" s="215" t="n"/>
      <c r="Z110" s="215" t="n"/>
      <c r="AA110" s="215" t="n"/>
      <c r="AB110" s="215" t="n"/>
      <c r="AC110" s="215" t="n"/>
      <c r="AD110" s="215" t="n"/>
      <c r="AE110" s="215" t="n"/>
      <c r="AF110" s="215" t="n"/>
      <c r="AG110" s="215" t="n"/>
      <c r="AH110" s="215" t="n"/>
      <c r="AI110" s="215" t="n"/>
      <c r="AJ110" s="215" t="n"/>
      <c r="AK110" s="216" t="n"/>
    </row>
    <row r="111" ht="15" customHeight="1">
      <c r="B111" s="134" t="n"/>
      <c r="C111" s="105" t="n"/>
      <c r="D111" s="105" t="n"/>
      <c r="E111" s="105" t="n"/>
      <c r="F111" s="105" t="n"/>
      <c r="G111" s="105" t="n"/>
      <c r="H111" s="2" t="n"/>
      <c r="I111" s="105" t="n"/>
      <c r="K111" s="215" t="n"/>
      <c r="L111" s="215" t="n"/>
      <c r="M111" s="215" t="n"/>
      <c r="N111" s="215" t="n"/>
      <c r="O111" s="215" t="n"/>
      <c r="P111" s="215" t="n"/>
      <c r="Q111" s="215" t="n"/>
      <c r="R111" s="215" t="n"/>
      <c r="S111" s="215" t="n"/>
      <c r="T111" s="215" t="n"/>
      <c r="U111" s="215" t="n"/>
      <c r="V111" s="215" t="n"/>
      <c r="W111" s="215" t="n"/>
      <c r="X111" s="215" t="n"/>
      <c r="Y111" s="215" t="n"/>
      <c r="Z111" s="215" t="n"/>
      <c r="AA111" s="215" t="n"/>
      <c r="AB111" s="215" t="n"/>
      <c r="AC111" s="215" t="n"/>
      <c r="AD111" s="215" t="n"/>
      <c r="AE111" s="215" t="n"/>
      <c r="AF111" s="215" t="n"/>
      <c r="AG111" s="215" t="n"/>
      <c r="AH111" s="215" t="n"/>
      <c r="AI111" s="215" t="n"/>
      <c r="AJ111" s="215" t="n"/>
      <c r="AK111" s="216" t="n"/>
    </row>
    <row r="112" ht="15" customHeight="1">
      <c r="B112" s="134" t="n"/>
      <c r="C112" s="105" t="n"/>
      <c r="D112" s="105" t="n"/>
      <c r="E112" s="105" t="n"/>
      <c r="F112" s="105" t="n"/>
      <c r="G112" s="105" t="n"/>
      <c r="H112" s="2" t="n"/>
      <c r="I112" s="105" t="n"/>
      <c r="K112" s="215" t="n"/>
      <c r="L112" s="215" t="n"/>
      <c r="M112" s="215" t="n"/>
      <c r="N112" s="215" t="n"/>
      <c r="O112" s="215" t="n"/>
      <c r="P112" s="215" t="n"/>
      <c r="Q112" s="215" t="n"/>
      <c r="R112" s="215" t="n"/>
      <c r="S112" s="215" t="n"/>
      <c r="T112" s="215" t="n"/>
      <c r="U112" s="215" t="n"/>
      <c r="V112" s="215" t="n"/>
      <c r="W112" s="215" t="n"/>
      <c r="X112" s="215" t="n"/>
      <c r="Y112" s="215" t="n"/>
      <c r="Z112" s="215" t="n"/>
      <c r="AA112" s="215" t="n"/>
      <c r="AB112" s="215" t="n"/>
      <c r="AC112" s="215" t="n"/>
      <c r="AD112" s="215" t="n"/>
      <c r="AE112" s="215" t="n"/>
      <c r="AF112" s="215" t="n"/>
      <c r="AG112" s="215" t="n"/>
      <c r="AH112" s="215" t="n"/>
      <c r="AI112" s="215" t="n"/>
      <c r="AJ112" s="215" t="n"/>
      <c r="AK112" s="216" t="n"/>
    </row>
    <row r="113" ht="15" customHeight="1">
      <c r="B113" s="134" t="n"/>
      <c r="C113" s="105" t="n"/>
      <c r="D113" s="105" t="n"/>
      <c r="E113" s="105" t="n"/>
      <c r="F113" s="105" t="n"/>
      <c r="G113" s="105" t="n"/>
      <c r="H113" s="2" t="n"/>
      <c r="I113" s="105" t="n"/>
      <c r="K113" s="215" t="n"/>
      <c r="L113" s="215" t="n"/>
      <c r="M113" s="215" t="n"/>
      <c r="N113" s="215" t="n"/>
      <c r="O113" s="215" t="n"/>
      <c r="P113" s="215" t="n"/>
      <c r="Q113" s="215" t="n"/>
      <c r="R113" s="215" t="n"/>
      <c r="S113" s="215" t="n"/>
      <c r="T113" s="215" t="n"/>
      <c r="U113" s="215" t="n"/>
      <c r="V113" s="215" t="n"/>
      <c r="W113" s="215" t="n"/>
      <c r="X113" s="215" t="n"/>
      <c r="Y113" s="215" t="n"/>
      <c r="Z113" s="215" t="n"/>
      <c r="AA113" s="215" t="n"/>
      <c r="AB113" s="215" t="n"/>
      <c r="AC113" s="215" t="n"/>
      <c r="AD113" s="215" t="n"/>
      <c r="AE113" s="215" t="n"/>
      <c r="AF113" s="215" t="n"/>
      <c r="AG113" s="215" t="n"/>
      <c r="AH113" s="215" t="n"/>
      <c r="AI113" s="215" t="n"/>
      <c r="AJ113" s="215" t="n"/>
      <c r="AK113" s="216" t="n"/>
    </row>
    <row r="114" ht="15" customHeight="1">
      <c r="B114" s="134" t="n"/>
      <c r="C114" s="105" t="n"/>
      <c r="D114" s="105" t="n"/>
      <c r="E114" s="105" t="n"/>
      <c r="F114" s="105" t="n"/>
      <c r="G114" s="105" t="n"/>
      <c r="H114" s="2" t="n"/>
      <c r="I114" s="105" t="n"/>
      <c r="K114" s="215" t="n"/>
      <c r="L114" s="215" t="n"/>
      <c r="M114" s="215" t="n"/>
      <c r="N114" s="215" t="n"/>
      <c r="O114" s="215" t="n"/>
      <c r="P114" s="215" t="n"/>
      <c r="Q114" s="215" t="n"/>
      <c r="R114" s="215" t="n"/>
      <c r="S114" s="215" t="n"/>
      <c r="T114" s="215" t="n"/>
      <c r="U114" s="215" t="n"/>
      <c r="V114" s="215" t="n"/>
      <c r="W114" s="215" t="n"/>
      <c r="X114" s="215" t="n"/>
      <c r="Y114" s="215" t="n"/>
      <c r="Z114" s="215" t="n"/>
      <c r="AA114" s="215" t="n"/>
      <c r="AB114" s="215" t="n"/>
      <c r="AC114" s="215" t="n"/>
      <c r="AD114" s="215" t="n"/>
      <c r="AE114" s="215" t="n"/>
      <c r="AF114" s="215" t="n"/>
      <c r="AG114" s="215" t="n"/>
      <c r="AH114" s="215" t="n"/>
      <c r="AI114" s="215" t="n"/>
      <c r="AJ114" s="215" t="n"/>
      <c r="AK114" s="216" t="n"/>
    </row>
    <row r="115" ht="15" customHeight="1">
      <c r="B115" s="134" t="n"/>
      <c r="C115" s="105" t="n"/>
      <c r="D115" s="105" t="n"/>
      <c r="E115" s="105" t="n"/>
      <c r="F115" s="105" t="n"/>
      <c r="G115" s="105" t="n"/>
      <c r="H115" s="2" t="n"/>
      <c r="I115" s="105" t="n"/>
      <c r="K115" s="215" t="n"/>
      <c r="L115" s="215" t="n"/>
      <c r="M115" s="215" t="n"/>
      <c r="N115" s="215" t="n"/>
      <c r="O115" s="215" t="n"/>
      <c r="P115" s="215" t="n"/>
      <c r="Q115" s="215" t="n"/>
      <c r="R115" s="215" t="n"/>
      <c r="S115" s="215" t="n"/>
      <c r="T115" s="215" t="n"/>
      <c r="U115" s="215" t="n"/>
      <c r="V115" s="215" t="n"/>
      <c r="W115" s="215" t="n"/>
      <c r="X115" s="215" t="n"/>
      <c r="Y115" s="215" t="n"/>
      <c r="Z115" s="215" t="n"/>
      <c r="AA115" s="215" t="n"/>
      <c r="AB115" s="215" t="n"/>
      <c r="AC115" s="215" t="n"/>
      <c r="AD115" s="215" t="n"/>
      <c r="AE115" s="215" t="n"/>
      <c r="AF115" s="215" t="n"/>
      <c r="AG115" s="215" t="n"/>
      <c r="AH115" s="215" t="n"/>
      <c r="AI115" s="215" t="n"/>
      <c r="AJ115" s="215" t="n"/>
      <c r="AK115" s="216" t="n"/>
    </row>
    <row r="116" ht="15" customHeight="1">
      <c r="B116" s="134" t="n"/>
      <c r="C116" s="105" t="n"/>
      <c r="D116" s="105" t="n"/>
      <c r="E116" s="105" t="n"/>
      <c r="F116" s="105" t="n"/>
      <c r="G116" s="105" t="n"/>
      <c r="H116" s="2" t="n"/>
      <c r="I116" s="105" t="n"/>
      <c r="K116" s="215" t="n"/>
      <c r="L116" s="215" t="n"/>
      <c r="M116" s="215" t="n"/>
      <c r="N116" s="215" t="n"/>
      <c r="O116" s="215" t="n"/>
      <c r="P116" s="215" t="n"/>
      <c r="Q116" s="215" t="n"/>
      <c r="R116" s="215" t="n"/>
      <c r="S116" s="215" t="n"/>
      <c r="T116" s="215" t="n"/>
      <c r="U116" s="215" t="n"/>
      <c r="V116" s="215" t="n"/>
      <c r="W116" s="215" t="n"/>
      <c r="X116" s="215" t="n"/>
      <c r="Y116" s="215" t="n"/>
      <c r="Z116" s="215" t="n"/>
      <c r="AA116" s="215" t="n"/>
      <c r="AB116" s="215" t="n"/>
      <c r="AC116" s="215" t="n"/>
      <c r="AD116" s="215" t="n"/>
      <c r="AE116" s="215" t="n"/>
      <c r="AF116" s="215" t="n"/>
      <c r="AG116" s="215" t="n"/>
      <c r="AH116" s="215" t="n"/>
      <c r="AI116" s="215" t="n"/>
      <c r="AJ116" s="215" t="n"/>
      <c r="AK116" s="216" t="n"/>
    </row>
    <row r="117" ht="15" customHeight="1">
      <c r="B117" s="134" t="n"/>
      <c r="C117" s="105" t="n"/>
      <c r="D117" s="105" t="n"/>
      <c r="E117" s="105" t="n"/>
      <c r="F117" s="105" t="n"/>
      <c r="G117" s="105" t="n"/>
      <c r="H117" s="2" t="n"/>
      <c r="I117" s="105" t="n"/>
      <c r="K117" s="215" t="n"/>
      <c r="L117" s="215" t="n"/>
      <c r="M117" s="215" t="n"/>
      <c r="N117" s="215" t="n"/>
      <c r="O117" s="215" t="n"/>
      <c r="P117" s="215" t="n"/>
      <c r="Q117" s="215" t="n"/>
      <c r="R117" s="215" t="n"/>
      <c r="S117" s="215" t="n"/>
      <c r="T117" s="215" t="n"/>
      <c r="U117" s="215" t="n"/>
      <c r="V117" s="215" t="n"/>
      <c r="W117" s="215" t="n"/>
      <c r="X117" s="215" t="n"/>
      <c r="Y117" s="215" t="n"/>
      <c r="Z117" s="215" t="n"/>
      <c r="AA117" s="215" t="n"/>
      <c r="AB117" s="215" t="n"/>
      <c r="AC117" s="215" t="n"/>
      <c r="AD117" s="215" t="n"/>
      <c r="AE117" s="215" t="n"/>
      <c r="AF117" s="215" t="n"/>
      <c r="AG117" s="215" t="n"/>
      <c r="AH117" s="215" t="n"/>
      <c r="AI117" s="215" t="n"/>
      <c r="AJ117" s="215" t="n"/>
      <c r="AK117" s="216" t="n"/>
    </row>
    <row r="118" ht="15" customHeight="1">
      <c r="B118" s="134" t="n"/>
      <c r="C118" s="105" t="n"/>
      <c r="D118" s="105" t="n"/>
      <c r="E118" s="105" t="n"/>
      <c r="F118" s="105" t="n"/>
      <c r="G118" s="105" t="n"/>
      <c r="H118" s="2" t="n"/>
      <c r="I118" s="105" t="n"/>
      <c r="K118" s="215" t="n"/>
      <c r="L118" s="215" t="n"/>
      <c r="M118" s="215" t="n"/>
      <c r="N118" s="215" t="n"/>
      <c r="O118" s="215" t="n"/>
      <c r="P118" s="215" t="n"/>
      <c r="Q118" s="215" t="n"/>
      <c r="R118" s="215" t="n"/>
      <c r="S118" s="215" t="n"/>
      <c r="T118" s="215" t="n"/>
      <c r="U118" s="215" t="n"/>
      <c r="V118" s="215" t="n"/>
      <c r="W118" s="215" t="n"/>
      <c r="X118" s="215" t="n"/>
      <c r="Y118" s="215" t="n"/>
      <c r="Z118" s="215" t="n"/>
      <c r="AA118" s="215" t="n"/>
      <c r="AB118" s="215" t="n"/>
      <c r="AC118" s="215" t="n"/>
      <c r="AD118" s="215" t="n"/>
      <c r="AE118" s="215" t="n"/>
      <c r="AF118" s="215" t="n"/>
      <c r="AG118" s="215" t="n"/>
      <c r="AH118" s="215" t="n"/>
      <c r="AI118" s="215" t="n"/>
      <c r="AJ118" s="215" t="n"/>
      <c r="AK118" s="216" t="n"/>
    </row>
    <row r="119" ht="15" customHeight="1">
      <c r="B119" s="134" t="n"/>
      <c r="C119" s="105" t="n"/>
      <c r="D119" s="105" t="n"/>
      <c r="E119" s="105" t="n"/>
      <c r="F119" s="105" t="n"/>
      <c r="G119" s="105" t="n"/>
      <c r="H119" s="2" t="n"/>
      <c r="I119" s="105" t="n"/>
      <c r="K119" s="215" t="n"/>
      <c r="L119" s="215" t="n"/>
      <c r="M119" s="215" t="n"/>
      <c r="N119" s="215" t="n"/>
      <c r="O119" s="215" t="n"/>
      <c r="P119" s="215" t="n"/>
      <c r="Q119" s="215" t="n"/>
      <c r="R119" s="215" t="n"/>
      <c r="S119" s="215" t="n"/>
      <c r="T119" s="215" t="n"/>
      <c r="U119" s="215" t="n"/>
      <c r="V119" s="215" t="n"/>
      <c r="W119" s="215" t="n"/>
      <c r="X119" s="215" t="n"/>
      <c r="Y119" s="215" t="n"/>
      <c r="Z119" s="215" t="n"/>
      <c r="AA119" s="215" t="n"/>
      <c r="AB119" s="215" t="n"/>
      <c r="AC119" s="215" t="n"/>
      <c r="AD119" s="215" t="n"/>
      <c r="AE119" s="215" t="n"/>
      <c r="AF119" s="215" t="n"/>
      <c r="AG119" s="215" t="n"/>
      <c r="AH119" s="215" t="n"/>
      <c r="AI119" s="215" t="n"/>
      <c r="AJ119" s="215" t="n"/>
      <c r="AK119" s="216" t="n"/>
    </row>
    <row r="120" ht="15" customHeight="1">
      <c r="B120" s="134" t="n"/>
      <c r="C120" s="105" t="n"/>
      <c r="D120" s="105" t="n"/>
      <c r="E120" s="105" t="n"/>
      <c r="F120" s="105" t="n"/>
      <c r="G120" s="105" t="n"/>
      <c r="H120" s="2" t="n"/>
      <c r="I120" s="105" t="n"/>
      <c r="K120" s="215" t="n"/>
      <c r="L120" s="215" t="n"/>
      <c r="M120" s="215" t="n"/>
      <c r="N120" s="215" t="n"/>
      <c r="O120" s="215" t="n"/>
      <c r="P120" s="215" t="n"/>
      <c r="Q120" s="215" t="n"/>
      <c r="R120" s="215" t="n"/>
      <c r="S120" s="215" t="n"/>
      <c r="T120" s="215" t="n"/>
      <c r="U120" s="215" t="n"/>
      <c r="V120" s="215" t="n"/>
      <c r="W120" s="215" t="n"/>
      <c r="X120" s="215" t="n"/>
      <c r="Y120" s="215" t="n"/>
      <c r="Z120" s="215" t="n"/>
      <c r="AA120" s="215" t="n"/>
      <c r="AB120" s="215" t="n"/>
      <c r="AC120" s="215" t="n"/>
      <c r="AD120" s="215" t="n"/>
      <c r="AE120" s="215" t="n"/>
      <c r="AF120" s="215" t="n"/>
      <c r="AG120" s="215" t="n"/>
      <c r="AH120" s="215" t="n"/>
      <c r="AI120" s="215" t="n"/>
      <c r="AJ120" s="215" t="n"/>
      <c r="AK120" s="216" t="n"/>
    </row>
    <row r="121" ht="15" customHeight="1">
      <c r="B121" s="134" t="n"/>
      <c r="C121" s="105" t="n"/>
      <c r="D121" s="105" t="n"/>
      <c r="E121" s="105" t="n"/>
      <c r="F121" s="105" t="n"/>
      <c r="G121" s="105" t="n"/>
      <c r="H121" s="2" t="n"/>
      <c r="I121" s="105" t="n"/>
      <c r="K121" s="215" t="n"/>
      <c r="L121" s="215" t="n"/>
      <c r="M121" s="215" t="n"/>
      <c r="N121" s="215" t="n"/>
      <c r="O121" s="215" t="n"/>
      <c r="P121" s="215" t="n"/>
      <c r="Q121" s="215" t="n"/>
      <c r="R121" s="215" t="n"/>
      <c r="S121" s="215" t="n"/>
      <c r="T121" s="215" t="n"/>
      <c r="U121" s="215" t="n"/>
      <c r="V121" s="215" t="n"/>
      <c r="W121" s="215" t="n"/>
      <c r="X121" s="215" t="n"/>
      <c r="Y121" s="215" t="n"/>
      <c r="Z121" s="215" t="n"/>
      <c r="AA121" s="215" t="n"/>
      <c r="AB121" s="215" t="n"/>
      <c r="AC121" s="215" t="n"/>
      <c r="AD121" s="215" t="n"/>
      <c r="AE121" s="215" t="n"/>
      <c r="AF121" s="215" t="n"/>
      <c r="AG121" s="215" t="n"/>
      <c r="AH121" s="215" t="n"/>
      <c r="AI121" s="215" t="n"/>
      <c r="AJ121" s="215" t="n"/>
      <c r="AK121" s="216" t="n"/>
    </row>
    <row r="122" ht="15" customHeight="1">
      <c r="B122" s="134" t="n"/>
      <c r="C122" s="105" t="n"/>
      <c r="D122" s="105" t="n"/>
      <c r="E122" s="105" t="n"/>
      <c r="F122" s="105" t="n"/>
      <c r="G122" s="105" t="n"/>
      <c r="H122" s="2" t="n"/>
      <c r="I122" s="105" t="n"/>
      <c r="K122" s="215" t="n"/>
      <c r="L122" s="215" t="n"/>
      <c r="M122" s="215" t="n"/>
      <c r="N122" s="215" t="n"/>
      <c r="O122" s="215" t="n"/>
      <c r="P122" s="215" t="n"/>
      <c r="Q122" s="215" t="n"/>
      <c r="R122" s="215" t="n"/>
      <c r="S122" s="215" t="n"/>
      <c r="T122" s="215" t="n"/>
      <c r="U122" s="215" t="n"/>
      <c r="V122" s="215" t="n"/>
      <c r="W122" s="215" t="n"/>
      <c r="X122" s="215" t="n"/>
      <c r="Y122" s="215" t="n"/>
      <c r="Z122" s="215" t="n"/>
      <c r="AA122" s="215" t="n"/>
      <c r="AB122" s="215" t="n"/>
      <c r="AC122" s="215" t="n"/>
      <c r="AD122" s="215" t="n"/>
      <c r="AE122" s="215" t="n"/>
      <c r="AF122" s="215" t="n"/>
      <c r="AG122" s="215" t="n"/>
      <c r="AH122" s="215" t="n"/>
      <c r="AI122" s="215" t="n"/>
      <c r="AJ122" s="215" t="n"/>
      <c r="AK122" s="216" t="n"/>
    </row>
    <row r="123" ht="15" customHeight="1">
      <c r="B123" s="134" t="n"/>
      <c r="C123" s="105" t="n"/>
      <c r="D123" s="105" t="n"/>
      <c r="E123" s="105" t="n"/>
      <c r="F123" s="105" t="n"/>
      <c r="G123" s="105" t="n"/>
      <c r="H123" s="2" t="n"/>
      <c r="I123" s="105" t="n"/>
      <c r="K123" s="215" t="n"/>
      <c r="L123" s="215" t="n"/>
      <c r="M123" s="215" t="n"/>
      <c r="N123" s="215" t="n"/>
      <c r="O123" s="215" t="n"/>
      <c r="P123" s="215" t="n"/>
      <c r="Q123" s="215" t="n"/>
      <c r="R123" s="215" t="n"/>
      <c r="S123" s="215" t="n"/>
      <c r="T123" s="215" t="n"/>
      <c r="U123" s="215" t="n"/>
      <c r="V123" s="215" t="n"/>
      <c r="W123" s="215" t="n"/>
      <c r="X123" s="215" t="n"/>
      <c r="Y123" s="215" t="n"/>
      <c r="Z123" s="215" t="n"/>
      <c r="AA123" s="215" t="n"/>
      <c r="AB123" s="215" t="n"/>
      <c r="AC123" s="215" t="n"/>
      <c r="AD123" s="215" t="n"/>
      <c r="AE123" s="215" t="n"/>
      <c r="AF123" s="215" t="n"/>
      <c r="AG123" s="215" t="n"/>
      <c r="AH123" s="215" t="n"/>
      <c r="AI123" s="215" t="n"/>
      <c r="AJ123" s="215" t="n"/>
      <c r="AK123" s="216" t="n"/>
    </row>
    <row r="124" ht="15" customHeight="1">
      <c r="B124" s="134" t="n"/>
      <c r="C124" s="105" t="n"/>
      <c r="D124" s="105" t="n"/>
      <c r="E124" s="105" t="n"/>
      <c r="F124" s="105" t="n"/>
      <c r="G124" s="105" t="n"/>
      <c r="H124" s="2" t="n"/>
      <c r="I124" s="105" t="n"/>
      <c r="K124" s="215" t="n"/>
      <c r="L124" s="215" t="n"/>
      <c r="M124" s="215" t="n"/>
      <c r="N124" s="215" t="n"/>
      <c r="O124" s="215" t="n"/>
      <c r="P124" s="215" t="n"/>
      <c r="Q124" s="215" t="n"/>
      <c r="R124" s="215" t="n"/>
      <c r="S124" s="215" t="n"/>
      <c r="T124" s="215" t="n"/>
      <c r="U124" s="215" t="n"/>
      <c r="V124" s="215" t="n"/>
      <c r="W124" s="215" t="n"/>
      <c r="X124" s="215" t="n"/>
      <c r="Y124" s="215" t="n"/>
      <c r="Z124" s="215" t="n"/>
      <c r="AA124" s="215" t="n"/>
      <c r="AB124" s="215" t="n"/>
      <c r="AC124" s="215" t="n"/>
      <c r="AD124" s="215" t="n"/>
      <c r="AE124" s="215" t="n"/>
      <c r="AF124" s="215" t="n"/>
      <c r="AG124" s="215" t="n"/>
      <c r="AH124" s="215" t="n"/>
      <c r="AI124" s="215" t="n"/>
      <c r="AJ124" s="215" t="n"/>
      <c r="AK124" s="216" t="n"/>
    </row>
    <row r="125" ht="15" customHeight="1">
      <c r="B125" s="134" t="n"/>
      <c r="C125" s="105" t="n"/>
      <c r="D125" s="105" t="n"/>
      <c r="E125" s="105" t="n"/>
      <c r="F125" s="105" t="n"/>
      <c r="G125" s="105" t="n"/>
      <c r="H125" s="2" t="n"/>
      <c r="I125" s="105" t="n"/>
      <c r="K125" s="215" t="n"/>
      <c r="L125" s="215" t="n"/>
      <c r="M125" s="215" t="n"/>
      <c r="N125" s="215" t="n"/>
      <c r="O125" s="215" t="n"/>
      <c r="P125" s="215" t="n"/>
      <c r="Q125" s="215" t="n"/>
      <c r="R125" s="215" t="n"/>
      <c r="S125" s="215" t="n"/>
      <c r="T125" s="215" t="n"/>
      <c r="U125" s="215" t="n"/>
      <c r="V125" s="215" t="n"/>
      <c r="W125" s="215" t="n"/>
      <c r="X125" s="215" t="n"/>
      <c r="Y125" s="215" t="n"/>
      <c r="Z125" s="215" t="n"/>
      <c r="AA125" s="215" t="n"/>
      <c r="AB125" s="215" t="n"/>
      <c r="AC125" s="215" t="n"/>
      <c r="AD125" s="215" t="n"/>
      <c r="AE125" s="215" t="n"/>
      <c r="AF125" s="215" t="n"/>
      <c r="AG125" s="215" t="n"/>
      <c r="AH125" s="215" t="n"/>
      <c r="AI125" s="215" t="n"/>
      <c r="AJ125" s="215" t="n"/>
      <c r="AK125" s="216" t="n"/>
    </row>
    <row r="126" ht="15" customHeight="1">
      <c r="B126" s="134" t="n"/>
      <c r="C126" s="105" t="n"/>
      <c r="D126" s="105" t="n"/>
      <c r="E126" s="105" t="n"/>
      <c r="F126" s="105" t="n"/>
      <c r="G126" s="105" t="n"/>
      <c r="H126" s="2" t="n"/>
      <c r="I126" s="105" t="n"/>
      <c r="K126" s="215" t="n"/>
      <c r="L126" s="215" t="n"/>
      <c r="M126" s="215" t="n"/>
      <c r="N126" s="215" t="n"/>
      <c r="O126" s="215" t="n"/>
      <c r="P126" s="215" t="n"/>
      <c r="Q126" s="215" t="n"/>
      <c r="R126" s="215" t="n"/>
      <c r="S126" s="215" t="n"/>
      <c r="T126" s="215" t="n"/>
      <c r="U126" s="215" t="n"/>
      <c r="V126" s="215" t="n"/>
      <c r="W126" s="215" t="n"/>
      <c r="X126" s="215" t="n"/>
      <c r="Y126" s="215" t="n"/>
      <c r="Z126" s="215" t="n"/>
      <c r="AA126" s="215" t="n"/>
      <c r="AB126" s="215" t="n"/>
      <c r="AC126" s="215" t="n"/>
      <c r="AD126" s="215" t="n"/>
      <c r="AE126" s="215" t="n"/>
      <c r="AF126" s="215" t="n"/>
      <c r="AG126" s="215" t="n"/>
      <c r="AH126" s="215" t="n"/>
      <c r="AI126" s="215" t="n"/>
      <c r="AJ126" s="215" t="n"/>
      <c r="AK126" s="216" t="n"/>
    </row>
    <row r="127" ht="15" customHeight="1">
      <c r="B127" s="134" t="n"/>
      <c r="C127" s="105" t="n"/>
      <c r="D127" s="105" t="n"/>
      <c r="E127" s="105" t="n"/>
      <c r="F127" s="105" t="n"/>
      <c r="G127" s="105" t="n"/>
      <c r="H127" s="2" t="n"/>
      <c r="I127" s="105" t="n"/>
      <c r="K127" s="215" t="n"/>
      <c r="L127" s="215" t="n"/>
      <c r="M127" s="215" t="n"/>
      <c r="N127" s="215" t="n"/>
      <c r="O127" s="215" t="n"/>
      <c r="P127" s="215" t="n"/>
      <c r="Q127" s="215" t="n"/>
      <c r="R127" s="215" t="n"/>
      <c r="S127" s="215" t="n"/>
      <c r="T127" s="215" t="n"/>
      <c r="U127" s="215" t="n"/>
      <c r="V127" s="215" t="n"/>
      <c r="W127" s="215" t="n"/>
      <c r="X127" s="215" t="n"/>
      <c r="Y127" s="215" t="n"/>
      <c r="Z127" s="215" t="n"/>
      <c r="AA127" s="215" t="n"/>
      <c r="AB127" s="215" t="n"/>
      <c r="AC127" s="215" t="n"/>
      <c r="AD127" s="215" t="n"/>
      <c r="AE127" s="215" t="n"/>
      <c r="AF127" s="215" t="n"/>
      <c r="AG127" s="215" t="n"/>
      <c r="AH127" s="215" t="n"/>
      <c r="AI127" s="215" t="n"/>
      <c r="AJ127" s="215" t="n"/>
      <c r="AK127" s="216" t="n"/>
    </row>
    <row r="128" ht="15" customHeight="1">
      <c r="B128" s="134" t="n"/>
      <c r="C128" s="105" t="n"/>
      <c r="D128" s="105" t="n"/>
      <c r="E128" s="105" t="n"/>
      <c r="F128" s="105" t="n"/>
      <c r="G128" s="105" t="n"/>
      <c r="H128" s="2" t="n"/>
      <c r="I128" s="105" t="n"/>
      <c r="K128" s="215" t="n"/>
      <c r="L128" s="215" t="n"/>
      <c r="M128" s="215" t="n"/>
      <c r="N128" s="215" t="n"/>
      <c r="O128" s="215" t="n"/>
      <c r="P128" s="215" t="n"/>
      <c r="Q128" s="215" t="n"/>
      <c r="R128" s="215" t="n"/>
      <c r="S128" s="215" t="n"/>
      <c r="T128" s="215" t="n"/>
      <c r="U128" s="215" t="n"/>
      <c r="V128" s="215" t="n"/>
      <c r="W128" s="215" t="n"/>
      <c r="X128" s="215" t="n"/>
      <c r="Y128" s="215" t="n"/>
      <c r="Z128" s="215" t="n"/>
      <c r="AA128" s="215" t="n"/>
      <c r="AB128" s="215" t="n"/>
      <c r="AC128" s="215" t="n"/>
      <c r="AD128" s="215" t="n"/>
      <c r="AE128" s="215" t="n"/>
      <c r="AF128" s="215" t="n"/>
      <c r="AG128" s="215" t="n"/>
      <c r="AH128" s="215" t="n"/>
      <c r="AI128" s="215" t="n"/>
      <c r="AJ128" s="215" t="n"/>
      <c r="AK128" s="216" t="n"/>
    </row>
    <row r="129" ht="15" customHeight="1">
      <c r="B129" s="134" t="n"/>
      <c r="C129" s="105" t="n"/>
      <c r="D129" s="105" t="n"/>
      <c r="E129" s="105" t="n"/>
      <c r="F129" s="105" t="n"/>
      <c r="G129" s="105" t="n"/>
      <c r="H129" s="2" t="n"/>
      <c r="I129" s="105" t="n"/>
      <c r="K129" s="215" t="n"/>
      <c r="L129" s="215" t="n"/>
      <c r="M129" s="215" t="n"/>
      <c r="N129" s="215" t="n"/>
      <c r="O129" s="215" t="n"/>
      <c r="P129" s="215" t="n"/>
      <c r="Q129" s="215" t="n"/>
      <c r="R129" s="215" t="n"/>
      <c r="S129" s="215" t="n"/>
      <c r="T129" s="215" t="n"/>
      <c r="U129" s="215" t="n"/>
      <c r="V129" s="215" t="n"/>
      <c r="W129" s="215" t="n"/>
      <c r="X129" s="215" t="n"/>
      <c r="Y129" s="215" t="n"/>
      <c r="Z129" s="215" t="n"/>
      <c r="AA129" s="215" t="n"/>
      <c r="AB129" s="215" t="n"/>
      <c r="AC129" s="215" t="n"/>
      <c r="AD129" s="215" t="n"/>
      <c r="AE129" s="215" t="n"/>
      <c r="AF129" s="215" t="n"/>
      <c r="AG129" s="215" t="n"/>
      <c r="AH129" s="215" t="n"/>
      <c r="AI129" s="215" t="n"/>
      <c r="AJ129" s="215" t="n"/>
      <c r="AK129" s="216" t="n"/>
    </row>
    <row r="130" ht="15" customHeight="1">
      <c r="B130" s="134" t="n"/>
      <c r="C130" s="105" t="n"/>
      <c r="D130" s="105" t="n"/>
      <c r="E130" s="105" t="n"/>
      <c r="F130" s="105" t="n"/>
      <c r="G130" s="105" t="n"/>
      <c r="H130" s="2" t="n"/>
      <c r="I130" s="105" t="n"/>
      <c r="K130" s="215" t="n"/>
      <c r="L130" s="215" t="n"/>
      <c r="M130" s="215" t="n"/>
      <c r="N130" s="215" t="n"/>
      <c r="O130" s="215" t="n"/>
      <c r="P130" s="215" t="n"/>
      <c r="Q130" s="215" t="n"/>
      <c r="R130" s="215" t="n"/>
      <c r="S130" s="215" t="n"/>
      <c r="T130" s="215" t="n"/>
      <c r="U130" s="215" t="n"/>
      <c r="V130" s="215" t="n"/>
      <c r="W130" s="215" t="n"/>
      <c r="X130" s="215" t="n"/>
      <c r="Y130" s="215" t="n"/>
      <c r="Z130" s="215" t="n"/>
      <c r="AA130" s="215" t="n"/>
      <c r="AB130" s="215" t="n"/>
      <c r="AC130" s="215" t="n"/>
      <c r="AD130" s="215" t="n"/>
      <c r="AE130" s="215" t="n"/>
      <c r="AF130" s="215" t="n"/>
      <c r="AG130" s="215" t="n"/>
      <c r="AH130" s="215" t="n"/>
      <c r="AI130" s="215" t="n"/>
      <c r="AJ130" s="215" t="n"/>
      <c r="AK130" s="216" t="n"/>
    </row>
    <row r="131" ht="15" customHeight="1">
      <c r="B131" s="134" t="n"/>
      <c r="C131" s="105" t="n"/>
      <c r="D131" s="105" t="n"/>
      <c r="E131" s="105" t="n"/>
      <c r="F131" s="105" t="n"/>
      <c r="G131" s="105" t="n"/>
      <c r="H131" s="2" t="n"/>
      <c r="I131" s="105" t="n"/>
      <c r="K131" s="215" t="n"/>
      <c r="L131" s="215" t="n"/>
      <c r="M131" s="215" t="n"/>
      <c r="N131" s="215" t="n"/>
      <c r="O131" s="215" t="n"/>
      <c r="P131" s="215" t="n"/>
      <c r="Q131" s="215" t="n"/>
      <c r="R131" s="215" t="n"/>
      <c r="S131" s="215" t="n"/>
      <c r="T131" s="215" t="n"/>
      <c r="U131" s="215" t="n"/>
      <c r="V131" s="215" t="n"/>
      <c r="W131" s="215" t="n"/>
      <c r="X131" s="215" t="n"/>
      <c r="Y131" s="215" t="n"/>
      <c r="Z131" s="215" t="n"/>
      <c r="AA131" s="215" t="n"/>
      <c r="AB131" s="215" t="n"/>
      <c r="AC131" s="215" t="n"/>
      <c r="AD131" s="215" t="n"/>
      <c r="AE131" s="215" t="n"/>
      <c r="AF131" s="215" t="n"/>
      <c r="AG131" s="215" t="n"/>
      <c r="AH131" s="215" t="n"/>
      <c r="AI131" s="215" t="n"/>
      <c r="AJ131" s="215" t="n"/>
      <c r="AK131" s="216" t="n"/>
    </row>
    <row r="132" ht="15" customHeight="1">
      <c r="B132" s="134" t="n"/>
      <c r="C132" s="105" t="n"/>
      <c r="D132" s="105" t="n"/>
      <c r="E132" s="105" t="n"/>
      <c r="F132" s="105" t="n"/>
      <c r="G132" s="105" t="n"/>
      <c r="H132" s="2" t="n"/>
      <c r="I132" s="105" t="n"/>
      <c r="K132" s="215" t="n"/>
      <c r="L132" s="215" t="n"/>
      <c r="M132" s="215" t="n"/>
      <c r="N132" s="215" t="n"/>
      <c r="O132" s="215" t="n"/>
      <c r="P132" s="215" t="n"/>
      <c r="Q132" s="215" t="n"/>
      <c r="R132" s="215" t="n"/>
      <c r="S132" s="215" t="n"/>
      <c r="T132" s="215" t="n"/>
      <c r="U132" s="215" t="n"/>
      <c r="V132" s="215" t="n"/>
      <c r="W132" s="215" t="n"/>
      <c r="X132" s="215" t="n"/>
      <c r="Y132" s="215" t="n"/>
      <c r="Z132" s="215" t="n"/>
      <c r="AA132" s="215" t="n"/>
      <c r="AB132" s="215" t="n"/>
      <c r="AC132" s="215" t="n"/>
      <c r="AD132" s="215" t="n"/>
      <c r="AE132" s="215" t="n"/>
      <c r="AF132" s="215" t="n"/>
      <c r="AG132" s="215" t="n"/>
      <c r="AH132" s="215" t="n"/>
      <c r="AI132" s="215" t="n"/>
      <c r="AJ132" s="215" t="n"/>
      <c r="AK132" s="216" t="n"/>
    </row>
    <row r="133" ht="15" customHeight="1">
      <c r="B133" s="134" t="n"/>
      <c r="C133" s="105" t="n"/>
      <c r="D133" s="105" t="n"/>
      <c r="E133" s="105" t="n"/>
      <c r="F133" s="105" t="n"/>
      <c r="G133" s="105" t="n"/>
      <c r="H133" s="2" t="n"/>
      <c r="I133" s="105" t="n"/>
      <c r="K133" s="215" t="n"/>
      <c r="L133" s="215" t="n"/>
      <c r="M133" s="215" t="n"/>
      <c r="N133" s="215" t="n"/>
      <c r="O133" s="215" t="n"/>
      <c r="P133" s="215" t="n"/>
      <c r="Q133" s="215" t="n"/>
      <c r="R133" s="215" t="n"/>
      <c r="S133" s="215" t="n"/>
      <c r="T133" s="215" t="n"/>
      <c r="U133" s="215" t="n"/>
      <c r="V133" s="215" t="n"/>
      <c r="W133" s="215" t="n"/>
      <c r="X133" s="215" t="n"/>
      <c r="Y133" s="215" t="n"/>
      <c r="Z133" s="215" t="n"/>
      <c r="AA133" s="215" t="n"/>
      <c r="AB133" s="215" t="n"/>
      <c r="AC133" s="215" t="n"/>
      <c r="AD133" s="215" t="n"/>
      <c r="AE133" s="215" t="n"/>
      <c r="AF133" s="215" t="n"/>
      <c r="AG133" s="215" t="n"/>
      <c r="AH133" s="215" t="n"/>
      <c r="AI133" s="215" t="n"/>
      <c r="AJ133" s="215" t="n"/>
      <c r="AK133" s="216" t="n"/>
    </row>
    <row r="134" ht="15" customHeight="1">
      <c r="B134" s="134" t="n"/>
      <c r="C134" s="105" t="n"/>
      <c r="D134" s="105" t="n"/>
      <c r="E134" s="105" t="n"/>
      <c r="F134" s="105" t="n"/>
      <c r="G134" s="105" t="n"/>
      <c r="H134" s="2" t="n"/>
      <c r="I134" s="105" t="n"/>
      <c r="K134" s="215" t="n"/>
      <c r="L134" s="215" t="n"/>
      <c r="M134" s="215" t="n"/>
      <c r="N134" s="215" t="n"/>
      <c r="O134" s="215" t="n"/>
      <c r="P134" s="215" t="n"/>
      <c r="Q134" s="215" t="n"/>
      <c r="R134" s="215" t="n"/>
      <c r="S134" s="215" t="n"/>
      <c r="T134" s="215" t="n"/>
      <c r="U134" s="215" t="n"/>
      <c r="V134" s="215" t="n"/>
      <c r="W134" s="215" t="n"/>
      <c r="X134" s="215" t="n"/>
      <c r="Y134" s="215" t="n"/>
      <c r="Z134" s="215" t="n"/>
      <c r="AA134" s="215" t="n"/>
      <c r="AB134" s="215" t="n"/>
      <c r="AC134" s="215" t="n"/>
      <c r="AD134" s="215" t="n"/>
      <c r="AE134" s="215" t="n"/>
      <c r="AF134" s="215" t="n"/>
      <c r="AG134" s="215" t="n"/>
      <c r="AH134" s="215" t="n"/>
      <c r="AI134" s="215" t="n"/>
      <c r="AJ134" s="215" t="n"/>
      <c r="AK134" s="216" t="n"/>
    </row>
    <row r="135" ht="15" customHeight="1">
      <c r="B135" s="134" t="n"/>
      <c r="C135" s="105" t="n"/>
      <c r="D135" s="105" t="n"/>
      <c r="E135" s="105" t="n"/>
      <c r="F135" s="105" t="n"/>
      <c r="G135" s="105" t="n"/>
      <c r="H135" s="2" t="n"/>
      <c r="I135" s="105" t="n"/>
      <c r="K135" s="215" t="n"/>
      <c r="L135" s="215" t="n"/>
      <c r="M135" s="215" t="n"/>
      <c r="N135" s="215" t="n"/>
      <c r="O135" s="215" t="n"/>
      <c r="P135" s="215" t="n"/>
      <c r="Q135" s="215" t="n"/>
      <c r="R135" s="215" t="n"/>
      <c r="S135" s="215" t="n"/>
      <c r="T135" s="215" t="n"/>
      <c r="U135" s="215" t="n"/>
      <c r="V135" s="215" t="n"/>
      <c r="W135" s="215" t="n"/>
      <c r="X135" s="215" t="n"/>
      <c r="Y135" s="215" t="n"/>
      <c r="Z135" s="215" t="n"/>
      <c r="AA135" s="215" t="n"/>
      <c r="AB135" s="215" t="n"/>
      <c r="AC135" s="215" t="n"/>
      <c r="AD135" s="215" t="n"/>
      <c r="AE135" s="215" t="n"/>
      <c r="AF135" s="215" t="n"/>
      <c r="AG135" s="215" t="n"/>
      <c r="AH135" s="215" t="n"/>
      <c r="AI135" s="215" t="n"/>
      <c r="AJ135" s="215" t="n"/>
      <c r="AK135" s="216" t="n"/>
    </row>
    <row r="136" ht="15" customHeight="1">
      <c r="B136" s="134" t="n"/>
      <c r="C136" s="105" t="n"/>
      <c r="D136" s="105" t="n"/>
      <c r="E136" s="105" t="n"/>
      <c r="F136" s="105" t="n"/>
      <c r="G136" s="105" t="n"/>
      <c r="H136" s="2" t="n"/>
      <c r="I136" s="105" t="n"/>
      <c r="K136" s="215" t="n"/>
      <c r="L136" s="215" t="n"/>
      <c r="M136" s="215" t="n"/>
      <c r="N136" s="215" t="n"/>
      <c r="O136" s="215" t="n"/>
      <c r="P136" s="215" t="n"/>
      <c r="Q136" s="215" t="n"/>
      <c r="R136" s="215" t="n"/>
      <c r="S136" s="215" t="n"/>
      <c r="T136" s="215" t="n"/>
      <c r="U136" s="215" t="n"/>
      <c r="V136" s="215" t="n"/>
      <c r="W136" s="215" t="n"/>
      <c r="X136" s="215" t="n"/>
      <c r="Y136" s="215" t="n"/>
      <c r="Z136" s="215" t="n"/>
      <c r="AA136" s="215" t="n"/>
      <c r="AB136" s="215" t="n"/>
      <c r="AC136" s="215" t="n"/>
      <c r="AD136" s="215" t="n"/>
      <c r="AE136" s="215" t="n"/>
      <c r="AF136" s="215" t="n"/>
      <c r="AG136" s="215" t="n"/>
      <c r="AH136" s="215" t="n"/>
      <c r="AI136" s="215" t="n"/>
      <c r="AJ136" s="215" t="n"/>
      <c r="AK136" s="216" t="n"/>
    </row>
    <row r="137" ht="15" customHeight="1">
      <c r="B137" s="134" t="n"/>
      <c r="C137" s="105" t="n"/>
      <c r="D137" s="105" t="n"/>
      <c r="E137" s="105" t="n"/>
      <c r="F137" s="105" t="n"/>
      <c r="G137" s="105" t="n"/>
      <c r="H137" s="2" t="n"/>
      <c r="I137" s="105" t="n"/>
      <c r="K137" s="215" t="n"/>
      <c r="L137" s="215" t="n"/>
      <c r="M137" s="215" t="n"/>
      <c r="N137" s="215" t="n"/>
      <c r="O137" s="215" t="n"/>
      <c r="P137" s="215" t="n"/>
      <c r="Q137" s="215" t="n"/>
      <c r="R137" s="215" t="n"/>
      <c r="S137" s="215" t="n"/>
      <c r="T137" s="215" t="n"/>
      <c r="U137" s="215" t="n"/>
      <c r="V137" s="215" t="n"/>
      <c r="W137" s="215" t="n"/>
      <c r="X137" s="215" t="n"/>
      <c r="Y137" s="215" t="n"/>
      <c r="Z137" s="215" t="n"/>
      <c r="AA137" s="215" t="n"/>
      <c r="AB137" s="215" t="n"/>
      <c r="AC137" s="215" t="n"/>
      <c r="AD137" s="215" t="n"/>
      <c r="AE137" s="215" t="n"/>
      <c r="AF137" s="215" t="n"/>
      <c r="AG137" s="215" t="n"/>
      <c r="AH137" s="215" t="n"/>
      <c r="AI137" s="215" t="n"/>
      <c r="AJ137" s="215" t="n"/>
      <c r="AK137" s="216" t="n"/>
    </row>
    <row r="138" ht="15" customHeight="1">
      <c r="B138" s="134" t="n"/>
      <c r="C138" s="105" t="n"/>
      <c r="D138" s="105" t="n"/>
      <c r="E138" s="105" t="n"/>
      <c r="F138" s="105" t="n"/>
      <c r="G138" s="105" t="n"/>
      <c r="H138" s="2" t="n"/>
      <c r="I138" s="105" t="n"/>
      <c r="K138" s="215" t="n"/>
      <c r="L138" s="215" t="n"/>
      <c r="M138" s="215" t="n"/>
      <c r="N138" s="215" t="n"/>
      <c r="O138" s="215" t="n"/>
      <c r="P138" s="215" t="n"/>
      <c r="Q138" s="215" t="n"/>
      <c r="R138" s="215" t="n"/>
      <c r="S138" s="215" t="n"/>
      <c r="T138" s="215" t="n"/>
      <c r="U138" s="215" t="n"/>
      <c r="V138" s="215" t="n"/>
      <c r="W138" s="215" t="n"/>
      <c r="X138" s="215" t="n"/>
      <c r="Y138" s="215" t="n"/>
      <c r="Z138" s="215" t="n"/>
      <c r="AA138" s="215" t="n"/>
      <c r="AB138" s="215" t="n"/>
      <c r="AC138" s="215" t="n"/>
      <c r="AD138" s="215" t="n"/>
      <c r="AE138" s="215" t="n"/>
      <c r="AF138" s="215" t="n"/>
      <c r="AG138" s="215" t="n"/>
      <c r="AH138" s="215" t="n"/>
      <c r="AI138" s="215" t="n"/>
      <c r="AJ138" s="215" t="n"/>
      <c r="AK138" s="216" t="n"/>
    </row>
    <row r="139" ht="15" customHeight="1">
      <c r="B139" s="134" t="n"/>
      <c r="C139" s="105" t="n"/>
      <c r="D139" s="105" t="n"/>
      <c r="E139" s="105" t="n"/>
      <c r="F139" s="105" t="n"/>
      <c r="G139" s="105" t="n"/>
      <c r="H139" s="2" t="n"/>
      <c r="I139" s="105" t="n"/>
      <c r="K139" s="215" t="n"/>
      <c r="L139" s="215" t="n"/>
      <c r="M139" s="215" t="n"/>
      <c r="N139" s="215" t="n"/>
      <c r="O139" s="215" t="n"/>
      <c r="P139" s="215" t="n"/>
      <c r="Q139" s="215" t="n"/>
      <c r="R139" s="215" t="n"/>
      <c r="S139" s="215" t="n"/>
      <c r="T139" s="215" t="n"/>
      <c r="U139" s="215" t="n"/>
      <c r="V139" s="215" t="n"/>
      <c r="W139" s="215" t="n"/>
      <c r="X139" s="215" t="n"/>
      <c r="Y139" s="215" t="n"/>
      <c r="Z139" s="215" t="n"/>
      <c r="AA139" s="215" t="n"/>
      <c r="AB139" s="215" t="n"/>
      <c r="AC139" s="215" t="n"/>
      <c r="AD139" s="215" t="n"/>
      <c r="AE139" s="215" t="n"/>
      <c r="AF139" s="215" t="n"/>
      <c r="AG139" s="215" t="n"/>
      <c r="AH139" s="215" t="n"/>
      <c r="AI139" s="215" t="n"/>
      <c r="AJ139" s="215" t="n"/>
      <c r="AK139" s="216" t="n"/>
    </row>
    <row r="140" ht="15" customHeight="1">
      <c r="B140" s="134" t="n"/>
      <c r="C140" s="105" t="n"/>
      <c r="D140" s="105" t="n"/>
      <c r="E140" s="105" t="n"/>
      <c r="F140" s="105" t="n"/>
      <c r="G140" s="105" t="n"/>
      <c r="H140" s="2" t="n"/>
      <c r="I140" s="105" t="n"/>
      <c r="K140" s="215" t="n"/>
      <c r="L140" s="215" t="n"/>
      <c r="M140" s="215" t="n"/>
      <c r="N140" s="215" t="n"/>
      <c r="O140" s="215" t="n"/>
      <c r="P140" s="215" t="n"/>
      <c r="Q140" s="215" t="n"/>
      <c r="R140" s="215" t="n"/>
      <c r="S140" s="215" t="n"/>
      <c r="T140" s="215" t="n"/>
      <c r="U140" s="215" t="n"/>
      <c r="V140" s="215" t="n"/>
      <c r="W140" s="215" t="n"/>
      <c r="X140" s="215" t="n"/>
      <c r="Y140" s="215" t="n"/>
      <c r="Z140" s="215" t="n"/>
      <c r="AA140" s="215" t="n"/>
      <c r="AB140" s="215" t="n"/>
      <c r="AC140" s="215" t="n"/>
      <c r="AD140" s="215" t="n"/>
      <c r="AE140" s="215" t="n"/>
      <c r="AF140" s="215" t="n"/>
      <c r="AG140" s="215" t="n"/>
      <c r="AH140" s="215" t="n"/>
      <c r="AI140" s="215" t="n"/>
      <c r="AJ140" s="215" t="n"/>
      <c r="AK140" s="216" t="n"/>
    </row>
    <row r="141" ht="15" customHeight="1">
      <c r="B141" s="134" t="n"/>
      <c r="C141" s="105" t="n"/>
      <c r="D141" s="105" t="n"/>
      <c r="E141" s="105" t="n"/>
      <c r="F141" s="105" t="n"/>
      <c r="G141" s="105" t="n"/>
      <c r="H141" s="2" t="n"/>
      <c r="I141" s="105" t="n"/>
      <c r="K141" s="215" t="n"/>
      <c r="L141" s="215" t="n"/>
      <c r="M141" s="215" t="n"/>
      <c r="N141" s="215" t="n"/>
      <c r="O141" s="215" t="n"/>
      <c r="P141" s="215" t="n"/>
      <c r="Q141" s="215" t="n"/>
      <c r="R141" s="215" t="n"/>
      <c r="S141" s="215" t="n"/>
      <c r="T141" s="215" t="n"/>
      <c r="U141" s="215" t="n"/>
      <c r="V141" s="215" t="n"/>
      <c r="W141" s="215" t="n"/>
      <c r="X141" s="215" t="n"/>
      <c r="Y141" s="215" t="n"/>
      <c r="Z141" s="215" t="n"/>
      <c r="AA141" s="215" t="n"/>
      <c r="AB141" s="215" t="n"/>
      <c r="AC141" s="215" t="n"/>
      <c r="AD141" s="215" t="n"/>
      <c r="AE141" s="215" t="n"/>
      <c r="AF141" s="215" t="n"/>
      <c r="AG141" s="215" t="n"/>
      <c r="AH141" s="215" t="n"/>
      <c r="AI141" s="215" t="n"/>
      <c r="AJ141" s="215" t="n"/>
      <c r="AK141" s="216" t="n"/>
    </row>
    <row r="142" ht="15" customHeight="1">
      <c r="B142" s="134" t="n"/>
      <c r="C142" s="105" t="n"/>
      <c r="D142" s="105" t="n"/>
      <c r="E142" s="105" t="n"/>
      <c r="F142" s="105" t="n"/>
      <c r="G142" s="105" t="n"/>
      <c r="H142" s="2" t="n"/>
      <c r="I142" s="105" t="n"/>
      <c r="K142" s="215" t="n"/>
      <c r="L142" s="215" t="n"/>
      <c r="M142" s="215" t="n"/>
      <c r="N142" s="215" t="n"/>
      <c r="O142" s="215" t="n"/>
      <c r="P142" s="215" t="n"/>
      <c r="Q142" s="215" t="n"/>
      <c r="R142" s="215" t="n"/>
      <c r="S142" s="215" t="n"/>
      <c r="T142" s="215" t="n"/>
      <c r="U142" s="215" t="n"/>
      <c r="V142" s="215" t="n"/>
      <c r="W142" s="215" t="n"/>
      <c r="X142" s="215" t="n"/>
      <c r="Y142" s="215" t="n"/>
      <c r="Z142" s="215" t="n"/>
      <c r="AA142" s="215" t="n"/>
      <c r="AB142" s="215" t="n"/>
      <c r="AC142" s="215" t="n"/>
      <c r="AD142" s="215" t="n"/>
      <c r="AE142" s="215" t="n"/>
      <c r="AF142" s="215" t="n"/>
      <c r="AG142" s="215" t="n"/>
      <c r="AH142" s="215" t="n"/>
      <c r="AI142" s="215" t="n"/>
      <c r="AJ142" s="215" t="n"/>
      <c r="AK142" s="216" t="n"/>
    </row>
    <row r="143" ht="15" customHeight="1">
      <c r="B143" s="134" t="n"/>
      <c r="C143" s="105" t="n"/>
      <c r="D143" s="105" t="n"/>
      <c r="E143" s="105" t="n"/>
      <c r="F143" s="105" t="n"/>
      <c r="G143" s="105" t="n"/>
      <c r="H143" s="2" t="n"/>
      <c r="I143" s="105" t="n"/>
      <c r="K143" s="215" t="n"/>
      <c r="L143" s="215" t="n"/>
      <c r="M143" s="215" t="n"/>
      <c r="N143" s="215" t="n"/>
      <c r="O143" s="215" t="n"/>
      <c r="P143" s="215" t="n"/>
      <c r="Q143" s="215" t="n"/>
      <c r="R143" s="215" t="n"/>
      <c r="S143" s="215" t="n"/>
      <c r="T143" s="215" t="n"/>
      <c r="U143" s="215" t="n"/>
      <c r="V143" s="215" t="n"/>
      <c r="W143" s="215" t="n"/>
      <c r="X143" s="215" t="n"/>
      <c r="Y143" s="215" t="n"/>
      <c r="Z143" s="215" t="n"/>
      <c r="AA143" s="215" t="n"/>
      <c r="AB143" s="215" t="n"/>
      <c r="AC143" s="215" t="n"/>
      <c r="AD143" s="215" t="n"/>
      <c r="AE143" s="215" t="n"/>
      <c r="AF143" s="215" t="n"/>
      <c r="AG143" s="215" t="n"/>
      <c r="AH143" s="215" t="n"/>
      <c r="AI143" s="215" t="n"/>
      <c r="AJ143" s="215" t="n"/>
      <c r="AK143" s="216" t="n"/>
    </row>
    <row r="144" ht="15" customHeight="1">
      <c r="B144" s="134" t="n"/>
      <c r="C144" s="105" t="n"/>
      <c r="D144" s="105" t="n"/>
      <c r="E144" s="105" t="n"/>
      <c r="F144" s="105" t="n"/>
      <c r="G144" s="105" t="n"/>
      <c r="H144" s="2" t="n"/>
      <c r="I144" s="105" t="n"/>
      <c r="K144" s="215" t="n"/>
      <c r="L144" s="215" t="n"/>
      <c r="M144" s="215" t="n"/>
      <c r="N144" s="215" t="n"/>
      <c r="O144" s="215" t="n"/>
      <c r="P144" s="215" t="n"/>
      <c r="Q144" s="215" t="n"/>
      <c r="R144" s="215" t="n"/>
      <c r="S144" s="215" t="n"/>
      <c r="T144" s="215" t="n"/>
      <c r="U144" s="215" t="n"/>
      <c r="V144" s="215" t="n"/>
      <c r="W144" s="215" t="n"/>
      <c r="X144" s="215" t="n"/>
      <c r="Y144" s="215" t="n"/>
      <c r="Z144" s="215" t="n"/>
      <c r="AA144" s="215" t="n"/>
      <c r="AB144" s="215" t="n"/>
      <c r="AC144" s="215" t="n"/>
      <c r="AD144" s="215" t="n"/>
      <c r="AE144" s="215" t="n"/>
      <c r="AF144" s="215" t="n"/>
      <c r="AG144" s="215" t="n"/>
      <c r="AH144" s="215" t="n"/>
      <c r="AI144" s="215" t="n"/>
      <c r="AJ144" s="215" t="n"/>
      <c r="AK144" s="216" t="n"/>
    </row>
    <row r="145" ht="15" customHeight="1">
      <c r="B145" s="134" t="n"/>
      <c r="C145" s="105" t="n"/>
      <c r="D145" s="105" t="n"/>
      <c r="E145" s="105" t="n"/>
      <c r="F145" s="105" t="n"/>
      <c r="G145" s="105" t="n"/>
      <c r="H145" s="2" t="n"/>
      <c r="I145" s="105" t="n"/>
      <c r="K145" s="215" t="n"/>
      <c r="L145" s="215" t="n"/>
      <c r="M145" s="215" t="n"/>
      <c r="N145" s="215" t="n"/>
      <c r="O145" s="215" t="n"/>
      <c r="P145" s="215" t="n"/>
      <c r="Q145" s="215" t="n"/>
      <c r="R145" s="215" t="n"/>
      <c r="S145" s="215" t="n"/>
      <c r="T145" s="215" t="n"/>
      <c r="U145" s="215" t="n"/>
      <c r="V145" s="215" t="n"/>
      <c r="W145" s="215" t="n"/>
      <c r="X145" s="215" t="n"/>
      <c r="Y145" s="215" t="n"/>
      <c r="Z145" s="215" t="n"/>
      <c r="AA145" s="215" t="n"/>
      <c r="AB145" s="215" t="n"/>
      <c r="AC145" s="215" t="n"/>
      <c r="AD145" s="215" t="n"/>
      <c r="AE145" s="215" t="n"/>
      <c r="AF145" s="215" t="n"/>
      <c r="AG145" s="215" t="n"/>
      <c r="AH145" s="215" t="n"/>
      <c r="AI145" s="215" t="n"/>
      <c r="AJ145" s="215" t="n"/>
      <c r="AK145" s="216" t="n"/>
    </row>
    <row r="146" ht="15" customHeight="1">
      <c r="B146" s="134" t="n"/>
      <c r="C146" s="105" t="n"/>
      <c r="D146" s="105" t="n"/>
      <c r="E146" s="105" t="n"/>
      <c r="F146" s="105" t="n"/>
      <c r="G146" s="105" t="n"/>
      <c r="H146" s="2" t="n"/>
      <c r="I146" s="105" t="n"/>
      <c r="K146" s="215" t="n"/>
      <c r="L146" s="215" t="n"/>
      <c r="M146" s="215" t="n"/>
      <c r="N146" s="215" t="n"/>
      <c r="O146" s="215" t="n"/>
      <c r="P146" s="215" t="n"/>
      <c r="Q146" s="215" t="n"/>
      <c r="R146" s="215" t="n"/>
      <c r="S146" s="215" t="n"/>
      <c r="T146" s="215" t="n"/>
      <c r="U146" s="215" t="n"/>
      <c r="V146" s="215" t="n"/>
      <c r="W146" s="215" t="n"/>
      <c r="X146" s="215" t="n"/>
      <c r="Y146" s="215" t="n"/>
      <c r="Z146" s="215" t="n"/>
      <c r="AA146" s="215" t="n"/>
      <c r="AB146" s="215" t="n"/>
      <c r="AC146" s="215" t="n"/>
      <c r="AD146" s="215" t="n"/>
      <c r="AE146" s="215" t="n"/>
      <c r="AF146" s="215" t="n"/>
      <c r="AG146" s="215" t="n"/>
      <c r="AH146" s="215" t="n"/>
      <c r="AI146" s="215" t="n"/>
      <c r="AJ146" s="215" t="n"/>
      <c r="AK146" s="216" t="n"/>
    </row>
    <row r="147" ht="15" customHeight="1">
      <c r="B147" s="134" t="n"/>
      <c r="C147" s="105" t="n"/>
      <c r="D147" s="105" t="n"/>
      <c r="E147" s="105" t="n"/>
      <c r="F147" s="105" t="n"/>
      <c r="G147" s="105" t="n"/>
      <c r="H147" s="2" t="n"/>
      <c r="I147" s="105" t="n"/>
      <c r="K147" s="215" t="n"/>
      <c r="L147" s="215" t="n"/>
      <c r="M147" s="215" t="n"/>
      <c r="N147" s="215" t="n"/>
      <c r="O147" s="215" t="n"/>
      <c r="P147" s="215" t="n"/>
      <c r="Q147" s="215" t="n"/>
      <c r="R147" s="215" t="n"/>
      <c r="S147" s="215" t="n"/>
      <c r="T147" s="215" t="n"/>
      <c r="U147" s="215" t="n"/>
      <c r="V147" s="215" t="n"/>
      <c r="W147" s="215" t="n"/>
      <c r="X147" s="215" t="n"/>
      <c r="Y147" s="215" t="n"/>
      <c r="Z147" s="215" t="n"/>
      <c r="AA147" s="215" t="n"/>
      <c r="AB147" s="215" t="n"/>
      <c r="AC147" s="215" t="n"/>
      <c r="AD147" s="215" t="n"/>
      <c r="AE147" s="215" t="n"/>
      <c r="AF147" s="215" t="n"/>
      <c r="AG147" s="215" t="n"/>
      <c r="AH147" s="215" t="n"/>
      <c r="AI147" s="215" t="n"/>
      <c r="AJ147" s="215" t="n"/>
      <c r="AK147" s="216" t="n"/>
    </row>
    <row r="148" ht="15" customHeight="1">
      <c r="B148" s="134" t="n"/>
      <c r="C148" s="105" t="n"/>
      <c r="D148" s="105" t="n"/>
      <c r="E148" s="105" t="n"/>
      <c r="F148" s="105" t="n"/>
      <c r="G148" s="105" t="n"/>
      <c r="H148" s="2" t="n"/>
      <c r="I148" s="105" t="n"/>
      <c r="K148" s="215" t="n"/>
      <c r="L148" s="215" t="n"/>
      <c r="M148" s="215" t="n"/>
      <c r="N148" s="215" t="n"/>
      <c r="O148" s="215" t="n"/>
      <c r="P148" s="215" t="n"/>
      <c r="Q148" s="215" t="n"/>
      <c r="R148" s="215" t="n"/>
      <c r="S148" s="215" t="n"/>
      <c r="T148" s="215" t="n"/>
      <c r="U148" s="215" t="n"/>
      <c r="V148" s="215" t="n"/>
      <c r="W148" s="215" t="n"/>
      <c r="X148" s="215" t="n"/>
      <c r="Y148" s="215" t="n"/>
      <c r="Z148" s="215" t="n"/>
      <c r="AA148" s="215" t="n"/>
      <c r="AB148" s="215" t="n"/>
      <c r="AC148" s="215" t="n"/>
      <c r="AD148" s="215" t="n"/>
      <c r="AE148" s="215" t="n"/>
      <c r="AF148" s="215" t="n"/>
      <c r="AG148" s="215" t="n"/>
      <c r="AH148" s="215" t="n"/>
      <c r="AI148" s="215" t="n"/>
      <c r="AJ148" s="215" t="n"/>
      <c r="AK148" s="216" t="n"/>
    </row>
    <row r="149" ht="15" customHeight="1">
      <c r="B149" s="134" t="n"/>
      <c r="C149" s="105" t="n"/>
      <c r="D149" s="105" t="n"/>
      <c r="E149" s="105" t="n"/>
      <c r="F149" s="105" t="n"/>
      <c r="G149" s="105" t="n"/>
      <c r="H149" s="2" t="n"/>
      <c r="I149" s="105" t="n"/>
      <c r="K149" s="215" t="n"/>
      <c r="L149" s="215" t="n"/>
      <c r="M149" s="215" t="n"/>
      <c r="N149" s="215" t="n"/>
      <c r="O149" s="215" t="n"/>
      <c r="P149" s="215" t="n"/>
      <c r="Q149" s="215" t="n"/>
      <c r="R149" s="215" t="n"/>
      <c r="S149" s="215" t="n"/>
      <c r="T149" s="215" t="n"/>
      <c r="U149" s="215" t="n"/>
      <c r="V149" s="215" t="n"/>
      <c r="W149" s="215" t="n"/>
      <c r="X149" s="215" t="n"/>
      <c r="Y149" s="215" t="n"/>
      <c r="Z149" s="215" t="n"/>
      <c r="AA149" s="215" t="n"/>
      <c r="AB149" s="215" t="n"/>
      <c r="AC149" s="215" t="n"/>
      <c r="AD149" s="215" t="n"/>
      <c r="AE149" s="215" t="n"/>
      <c r="AF149" s="215" t="n"/>
      <c r="AG149" s="215" t="n"/>
      <c r="AH149" s="215" t="n"/>
      <c r="AI149" s="215" t="n"/>
      <c r="AJ149" s="215" t="n"/>
      <c r="AK149" s="216" t="n"/>
    </row>
    <row r="150" ht="15" customHeight="1">
      <c r="B150" s="134" t="n"/>
      <c r="C150" s="105" t="n"/>
      <c r="D150" s="105" t="n"/>
      <c r="E150" s="105" t="n"/>
      <c r="F150" s="105" t="n"/>
      <c r="G150" s="105" t="n"/>
      <c r="H150" s="2" t="n"/>
      <c r="I150" s="105" t="n"/>
      <c r="K150" s="215" t="n"/>
      <c r="L150" s="215" t="n"/>
      <c r="M150" s="215" t="n"/>
      <c r="N150" s="215" t="n"/>
      <c r="O150" s="215" t="n"/>
      <c r="P150" s="215" t="n"/>
      <c r="Q150" s="215" t="n"/>
      <c r="R150" s="215" t="n"/>
      <c r="S150" s="215" t="n"/>
      <c r="T150" s="215" t="n"/>
      <c r="U150" s="215" t="n"/>
      <c r="V150" s="215" t="n"/>
      <c r="W150" s="215" t="n"/>
      <c r="X150" s="215" t="n"/>
      <c r="Y150" s="215" t="n"/>
      <c r="Z150" s="215" t="n"/>
      <c r="AA150" s="215" t="n"/>
      <c r="AB150" s="215" t="n"/>
      <c r="AC150" s="215" t="n"/>
      <c r="AD150" s="215" t="n"/>
      <c r="AE150" s="215" t="n"/>
      <c r="AF150" s="215" t="n"/>
      <c r="AG150" s="215" t="n"/>
      <c r="AH150" s="215" t="n"/>
      <c r="AI150" s="215" t="n"/>
      <c r="AJ150" s="215" t="n"/>
      <c r="AK150" s="216" t="n"/>
    </row>
    <row r="151" ht="15" customHeight="1">
      <c r="B151" s="134" t="n"/>
      <c r="C151" s="105" t="n"/>
      <c r="D151" s="105" t="n"/>
      <c r="E151" s="105" t="n"/>
      <c r="F151" s="105" t="n"/>
      <c r="G151" s="105" t="n"/>
      <c r="H151" s="2" t="n"/>
      <c r="I151" s="105" t="n"/>
      <c r="K151" s="215" t="n"/>
      <c r="L151" s="215" t="n"/>
      <c r="M151" s="215" t="n"/>
      <c r="N151" s="215" t="n"/>
      <c r="O151" s="215" t="n"/>
      <c r="P151" s="215" t="n"/>
      <c r="Q151" s="215" t="n"/>
      <c r="R151" s="215" t="n"/>
      <c r="S151" s="215" t="n"/>
      <c r="T151" s="215" t="n"/>
      <c r="U151" s="215" t="n"/>
      <c r="V151" s="215" t="n"/>
      <c r="W151" s="215" t="n"/>
      <c r="X151" s="215" t="n"/>
      <c r="Y151" s="215" t="n"/>
      <c r="Z151" s="215" t="n"/>
      <c r="AA151" s="215" t="n"/>
      <c r="AB151" s="215" t="n"/>
      <c r="AC151" s="215" t="n"/>
      <c r="AD151" s="215" t="n"/>
      <c r="AE151" s="215" t="n"/>
      <c r="AF151" s="215" t="n"/>
      <c r="AG151" s="215" t="n"/>
      <c r="AH151" s="215" t="n"/>
      <c r="AI151" s="215" t="n"/>
      <c r="AJ151" s="215" t="n"/>
      <c r="AK151" s="216" t="n"/>
    </row>
    <row r="152" ht="15" customHeight="1">
      <c r="B152" s="134" t="n"/>
      <c r="C152" s="105" t="n"/>
      <c r="D152" s="105" t="n"/>
      <c r="E152" s="105" t="n"/>
      <c r="F152" s="105" t="n"/>
      <c r="G152" s="105" t="n"/>
      <c r="H152" s="2" t="n"/>
      <c r="I152" s="105" t="n"/>
      <c r="K152" s="215" t="n"/>
      <c r="L152" s="215" t="n"/>
      <c r="M152" s="215" t="n"/>
      <c r="N152" s="215" t="n"/>
      <c r="O152" s="215" t="n"/>
      <c r="P152" s="215" t="n"/>
      <c r="Q152" s="215" t="n"/>
      <c r="R152" s="215" t="n"/>
      <c r="S152" s="215" t="n"/>
      <c r="T152" s="215" t="n"/>
      <c r="U152" s="215" t="n"/>
      <c r="V152" s="215" t="n"/>
      <c r="W152" s="215" t="n"/>
      <c r="X152" s="215" t="n"/>
      <c r="Y152" s="215" t="n"/>
      <c r="Z152" s="215" t="n"/>
      <c r="AA152" s="215" t="n"/>
      <c r="AB152" s="215" t="n"/>
      <c r="AC152" s="215" t="n"/>
      <c r="AD152" s="215" t="n"/>
      <c r="AE152" s="215" t="n"/>
      <c r="AF152" s="215" t="n"/>
      <c r="AG152" s="215" t="n"/>
      <c r="AH152" s="215" t="n"/>
      <c r="AI152" s="215" t="n"/>
      <c r="AJ152" s="215" t="n"/>
      <c r="AK152" s="216" t="n"/>
    </row>
    <row r="153" ht="15" customHeight="1">
      <c r="B153" s="134" t="n"/>
      <c r="C153" s="105" t="n"/>
      <c r="D153" s="105" t="n"/>
      <c r="E153" s="105" t="n"/>
      <c r="F153" s="105" t="n"/>
      <c r="G153" s="105" t="n"/>
      <c r="H153" s="2" t="n"/>
      <c r="I153" s="105" t="n"/>
      <c r="K153" s="215" t="n"/>
      <c r="L153" s="215" t="n"/>
      <c r="M153" s="215" t="n"/>
      <c r="N153" s="215" t="n"/>
      <c r="O153" s="215" t="n"/>
      <c r="P153" s="215" t="n"/>
      <c r="Q153" s="215" t="n"/>
      <c r="R153" s="215" t="n"/>
      <c r="S153" s="215" t="n"/>
      <c r="T153" s="215" t="n"/>
      <c r="U153" s="215" t="n"/>
      <c r="V153" s="215" t="n"/>
      <c r="W153" s="215" t="n"/>
      <c r="X153" s="215" t="n"/>
      <c r="Y153" s="215" t="n"/>
      <c r="Z153" s="215" t="n"/>
      <c r="AA153" s="215" t="n"/>
      <c r="AB153" s="215" t="n"/>
      <c r="AC153" s="215" t="n"/>
      <c r="AD153" s="215" t="n"/>
      <c r="AE153" s="215" t="n"/>
      <c r="AF153" s="215" t="n"/>
      <c r="AG153" s="215" t="n"/>
      <c r="AH153" s="215" t="n"/>
      <c r="AI153" s="215" t="n"/>
      <c r="AJ153" s="215" t="n"/>
      <c r="AK153" s="216" t="n"/>
    </row>
    <row r="154" ht="15" customHeight="1">
      <c r="B154" s="134" t="n"/>
      <c r="C154" s="105" t="n"/>
      <c r="D154" s="105" t="n"/>
      <c r="E154" s="105" t="n"/>
      <c r="F154" s="105" t="n"/>
      <c r="G154" s="105" t="n"/>
      <c r="H154" s="2" t="n"/>
      <c r="I154" s="105" t="n"/>
      <c r="K154" s="215" t="n"/>
      <c r="L154" s="215" t="n"/>
      <c r="M154" s="215" t="n"/>
      <c r="N154" s="215" t="n"/>
      <c r="O154" s="215" t="n"/>
      <c r="P154" s="215" t="n"/>
      <c r="Q154" s="215" t="n"/>
      <c r="R154" s="215" t="n"/>
      <c r="S154" s="215" t="n"/>
      <c r="T154" s="215" t="n"/>
      <c r="U154" s="215" t="n"/>
      <c r="V154" s="215" t="n"/>
      <c r="W154" s="215" t="n"/>
      <c r="X154" s="215" t="n"/>
      <c r="Y154" s="215" t="n"/>
      <c r="Z154" s="215" t="n"/>
      <c r="AA154" s="215" t="n"/>
      <c r="AB154" s="215" t="n"/>
      <c r="AC154" s="215" t="n"/>
      <c r="AD154" s="215" t="n"/>
      <c r="AE154" s="215" t="n"/>
      <c r="AF154" s="215" t="n"/>
      <c r="AG154" s="215" t="n"/>
      <c r="AH154" s="215" t="n"/>
      <c r="AI154" s="215" t="n"/>
      <c r="AJ154" s="215" t="n"/>
      <c r="AK154" s="216" t="n"/>
    </row>
    <row r="155" ht="15" customHeight="1">
      <c r="B155" s="134" t="n"/>
      <c r="C155" s="105" t="n"/>
      <c r="D155" s="105" t="n"/>
      <c r="E155" s="105" t="n"/>
      <c r="F155" s="105" t="n"/>
      <c r="G155" s="105" t="n"/>
      <c r="H155" s="2" t="n"/>
      <c r="I155" s="105" t="n"/>
      <c r="K155" s="215" t="n"/>
      <c r="L155" s="215" t="n"/>
      <c r="M155" s="215" t="n"/>
      <c r="N155" s="215" t="n"/>
      <c r="O155" s="215" t="n"/>
      <c r="P155" s="215" t="n"/>
      <c r="Q155" s="215" t="n"/>
      <c r="R155" s="215" t="n"/>
      <c r="S155" s="215" t="n"/>
      <c r="T155" s="215" t="n"/>
      <c r="U155" s="215" t="n"/>
      <c r="V155" s="215" t="n"/>
      <c r="W155" s="215" t="n"/>
      <c r="X155" s="215" t="n"/>
      <c r="Y155" s="215" t="n"/>
      <c r="Z155" s="215" t="n"/>
      <c r="AA155" s="215" t="n"/>
      <c r="AB155" s="215" t="n"/>
      <c r="AC155" s="215" t="n"/>
      <c r="AD155" s="215" t="n"/>
      <c r="AE155" s="215" t="n"/>
      <c r="AF155" s="215" t="n"/>
      <c r="AG155" s="215" t="n"/>
      <c r="AH155" s="215" t="n"/>
      <c r="AI155" s="215" t="n"/>
      <c r="AJ155" s="215" t="n"/>
      <c r="AK155" s="216" t="n"/>
    </row>
    <row r="156" ht="15" customHeight="1">
      <c r="B156" s="134" t="n"/>
      <c r="C156" s="105" t="n"/>
      <c r="D156" s="105" t="n"/>
      <c r="E156" s="105" t="n"/>
      <c r="F156" s="105" t="n"/>
      <c r="G156" s="105" t="n"/>
      <c r="H156" s="2" t="n"/>
      <c r="I156" s="105" t="n"/>
      <c r="K156" s="215" t="n"/>
      <c r="L156" s="215" t="n"/>
      <c r="M156" s="215" t="n"/>
      <c r="N156" s="215" t="n"/>
      <c r="O156" s="215" t="n"/>
      <c r="P156" s="215" t="n"/>
      <c r="Q156" s="215" t="n"/>
      <c r="R156" s="215" t="n"/>
      <c r="S156" s="215" t="n"/>
      <c r="T156" s="215" t="n"/>
      <c r="U156" s="215" t="n"/>
      <c r="V156" s="215" t="n"/>
      <c r="W156" s="215" t="n"/>
      <c r="X156" s="215" t="n"/>
      <c r="Y156" s="215" t="n"/>
      <c r="Z156" s="215" t="n"/>
      <c r="AA156" s="215" t="n"/>
      <c r="AB156" s="215" t="n"/>
      <c r="AC156" s="215" t="n"/>
      <c r="AD156" s="215" t="n"/>
      <c r="AE156" s="215" t="n"/>
      <c r="AF156" s="215" t="n"/>
      <c r="AG156" s="215" t="n"/>
      <c r="AH156" s="215" t="n"/>
      <c r="AI156" s="215" t="n"/>
      <c r="AJ156" s="215" t="n"/>
      <c r="AK156" s="216" t="n"/>
    </row>
    <row r="157" ht="15" customHeight="1">
      <c r="B157" s="134" t="n"/>
      <c r="C157" s="105" t="n"/>
      <c r="D157" s="105" t="n"/>
      <c r="E157" s="105" t="n"/>
      <c r="F157" s="105" t="n"/>
      <c r="G157" s="105" t="n"/>
      <c r="H157" s="2" t="n"/>
      <c r="I157" s="105" t="n"/>
      <c r="K157" s="215" t="n"/>
      <c r="L157" s="215" t="n"/>
      <c r="M157" s="215" t="n"/>
      <c r="N157" s="215" t="n"/>
      <c r="O157" s="215" t="n"/>
      <c r="P157" s="215" t="n"/>
      <c r="Q157" s="215" t="n"/>
      <c r="R157" s="215" t="n"/>
      <c r="S157" s="215" t="n"/>
      <c r="T157" s="215" t="n"/>
      <c r="U157" s="215" t="n"/>
      <c r="V157" s="215" t="n"/>
      <c r="W157" s="215" t="n"/>
      <c r="X157" s="215" t="n"/>
      <c r="Y157" s="215" t="n"/>
      <c r="Z157" s="215" t="n"/>
      <c r="AA157" s="215" t="n"/>
      <c r="AB157" s="215" t="n"/>
      <c r="AC157" s="215" t="n"/>
      <c r="AD157" s="215" t="n"/>
      <c r="AE157" s="215" t="n"/>
      <c r="AF157" s="215" t="n"/>
      <c r="AG157" s="215" t="n"/>
      <c r="AH157" s="215" t="n"/>
      <c r="AI157" s="215" t="n"/>
      <c r="AJ157" s="215" t="n"/>
      <c r="AK157" s="216" t="n"/>
    </row>
    <row r="158" ht="15" customHeight="1">
      <c r="B158" s="134" t="n"/>
      <c r="C158" s="105" t="n"/>
      <c r="D158" s="105" t="n"/>
      <c r="E158" s="105" t="n"/>
      <c r="F158" s="105" t="n"/>
      <c r="G158" s="105" t="n"/>
      <c r="H158" s="2" t="n"/>
      <c r="I158" s="105" t="n"/>
      <c r="K158" s="215" t="n"/>
      <c r="L158" s="215" t="n"/>
      <c r="M158" s="215" t="n"/>
      <c r="N158" s="215" t="n"/>
      <c r="O158" s="215" t="n"/>
      <c r="P158" s="215" t="n"/>
      <c r="Q158" s="215" t="n"/>
      <c r="R158" s="215" t="n"/>
      <c r="S158" s="215" t="n"/>
      <c r="T158" s="215" t="n"/>
      <c r="U158" s="215" t="n"/>
      <c r="V158" s="215" t="n"/>
      <c r="W158" s="215" t="n"/>
      <c r="X158" s="215" t="n"/>
      <c r="Y158" s="215" t="n"/>
      <c r="Z158" s="215" t="n"/>
      <c r="AA158" s="215" t="n"/>
      <c r="AB158" s="215" t="n"/>
      <c r="AC158" s="215" t="n"/>
      <c r="AD158" s="215" t="n"/>
      <c r="AE158" s="215" t="n"/>
      <c r="AF158" s="215" t="n"/>
      <c r="AG158" s="215" t="n"/>
      <c r="AH158" s="215" t="n"/>
      <c r="AI158" s="215" t="n"/>
      <c r="AJ158" s="215" t="n"/>
      <c r="AK158" s="216" t="n"/>
    </row>
    <row r="159" ht="15" customHeight="1">
      <c r="B159" s="134" t="n"/>
      <c r="C159" s="105" t="n"/>
      <c r="D159" s="105" t="n"/>
      <c r="E159" s="105" t="n"/>
      <c r="F159" s="105" t="n"/>
      <c r="G159" s="105" t="n"/>
      <c r="H159" s="2" t="n"/>
      <c r="I159" s="105" t="n"/>
      <c r="K159" s="215" t="n"/>
      <c r="L159" s="215" t="n"/>
      <c r="M159" s="215" t="n"/>
      <c r="N159" s="215" t="n"/>
      <c r="O159" s="215" t="n"/>
      <c r="P159" s="215" t="n"/>
      <c r="Q159" s="215" t="n"/>
      <c r="R159" s="215" t="n"/>
      <c r="S159" s="215" t="n"/>
      <c r="T159" s="215" t="n"/>
      <c r="U159" s="215" t="n"/>
      <c r="V159" s="215" t="n"/>
      <c r="W159" s="215" t="n"/>
      <c r="X159" s="215" t="n"/>
      <c r="Y159" s="215" t="n"/>
      <c r="Z159" s="215" t="n"/>
      <c r="AA159" s="215" t="n"/>
      <c r="AB159" s="215" t="n"/>
      <c r="AC159" s="215" t="n"/>
      <c r="AD159" s="215" t="n"/>
      <c r="AE159" s="215" t="n"/>
      <c r="AF159" s="215" t="n"/>
      <c r="AG159" s="215" t="n"/>
      <c r="AH159" s="215" t="n"/>
      <c r="AI159" s="215" t="n"/>
      <c r="AJ159" s="215" t="n"/>
      <c r="AK159" s="216" t="n"/>
    </row>
    <row r="160" ht="15" customHeight="1">
      <c r="B160" s="134" t="n"/>
      <c r="C160" s="105" t="n"/>
      <c r="D160" s="105" t="n"/>
      <c r="E160" s="105" t="n"/>
      <c r="F160" s="105" t="n"/>
      <c r="G160" s="105" t="n"/>
      <c r="H160" s="2" t="n"/>
      <c r="I160" s="105" t="n"/>
      <c r="K160" s="215" t="n"/>
      <c r="L160" s="215" t="n"/>
      <c r="M160" s="215" t="n"/>
      <c r="N160" s="215" t="n"/>
      <c r="O160" s="215" t="n"/>
      <c r="P160" s="215" t="n"/>
      <c r="Q160" s="215" t="n"/>
      <c r="R160" s="215" t="n"/>
      <c r="S160" s="215" t="n"/>
      <c r="T160" s="215" t="n"/>
      <c r="U160" s="215" t="n"/>
      <c r="V160" s="215" t="n"/>
      <c r="W160" s="215" t="n"/>
      <c r="X160" s="215" t="n"/>
      <c r="Y160" s="215" t="n"/>
      <c r="Z160" s="215" t="n"/>
      <c r="AA160" s="215" t="n"/>
      <c r="AB160" s="215" t="n"/>
      <c r="AC160" s="215" t="n"/>
      <c r="AD160" s="215" t="n"/>
      <c r="AE160" s="215" t="n"/>
      <c r="AF160" s="215" t="n"/>
      <c r="AG160" s="215" t="n"/>
      <c r="AH160" s="215" t="n"/>
      <c r="AI160" s="215" t="n"/>
      <c r="AJ160" s="215" t="n"/>
      <c r="AK160" s="216" t="n"/>
    </row>
    <row r="161" ht="15" customHeight="1">
      <c r="B161" s="134" t="n"/>
      <c r="C161" s="105" t="n"/>
      <c r="D161" s="105" t="n"/>
      <c r="E161" s="105" t="n"/>
      <c r="F161" s="105" t="n"/>
      <c r="G161" s="105" t="n"/>
      <c r="H161" s="2" t="n"/>
      <c r="I161" s="105" t="n"/>
      <c r="K161" s="215" t="n"/>
      <c r="L161" s="215" t="n"/>
      <c r="M161" s="215" t="n"/>
      <c r="N161" s="215" t="n"/>
      <c r="O161" s="215" t="n"/>
      <c r="P161" s="215" t="n"/>
      <c r="Q161" s="215" t="n"/>
      <c r="R161" s="215" t="n"/>
      <c r="S161" s="215" t="n"/>
      <c r="T161" s="215" t="n"/>
      <c r="U161" s="215" t="n"/>
      <c r="V161" s="215" t="n"/>
      <c r="W161" s="215" t="n"/>
      <c r="X161" s="215" t="n"/>
      <c r="Y161" s="215" t="n"/>
      <c r="Z161" s="215" t="n"/>
      <c r="AA161" s="215" t="n"/>
      <c r="AB161" s="215" t="n"/>
      <c r="AC161" s="215" t="n"/>
      <c r="AD161" s="215" t="n"/>
      <c r="AE161" s="215" t="n"/>
      <c r="AF161" s="215" t="n"/>
      <c r="AG161" s="215" t="n"/>
      <c r="AH161" s="215" t="n"/>
      <c r="AI161" s="215" t="n"/>
      <c r="AJ161" s="215" t="n"/>
      <c r="AK161" s="216" t="n"/>
    </row>
    <row r="162" ht="15" customHeight="1">
      <c r="B162" s="134" t="n"/>
      <c r="C162" s="105" t="n"/>
      <c r="D162" s="105" t="n"/>
      <c r="E162" s="105" t="n"/>
      <c r="F162" s="105" t="n"/>
      <c r="G162" s="105" t="n"/>
      <c r="H162" s="2" t="n"/>
      <c r="I162" s="105" t="n"/>
      <c r="K162" s="215" t="n"/>
      <c r="L162" s="215" t="n"/>
      <c r="M162" s="215" t="n"/>
      <c r="N162" s="215" t="n"/>
      <c r="O162" s="215" t="n"/>
      <c r="P162" s="215" t="n"/>
      <c r="Q162" s="215" t="n"/>
      <c r="R162" s="215" t="n"/>
      <c r="S162" s="215" t="n"/>
      <c r="T162" s="215" t="n"/>
      <c r="U162" s="215" t="n"/>
      <c r="V162" s="215" t="n"/>
      <c r="W162" s="215" t="n"/>
      <c r="X162" s="215" t="n"/>
      <c r="Y162" s="215" t="n"/>
      <c r="Z162" s="215" t="n"/>
      <c r="AA162" s="215" t="n"/>
      <c r="AB162" s="215" t="n"/>
      <c r="AC162" s="215" t="n"/>
      <c r="AD162" s="215" t="n"/>
      <c r="AE162" s="215" t="n"/>
      <c r="AF162" s="215" t="n"/>
      <c r="AG162" s="215" t="n"/>
      <c r="AH162" s="215" t="n"/>
      <c r="AI162" s="215" t="n"/>
      <c r="AJ162" s="215" t="n"/>
      <c r="AK162" s="216" t="n"/>
    </row>
    <row r="163" ht="15" customHeight="1">
      <c r="B163" s="134" t="n"/>
      <c r="C163" s="105" t="n"/>
      <c r="D163" s="105" t="n"/>
      <c r="E163" s="105" t="n"/>
      <c r="F163" s="105" t="n"/>
      <c r="G163" s="105" t="n"/>
      <c r="H163" s="2" t="n"/>
      <c r="I163" s="105" t="n"/>
      <c r="K163" s="215" t="n"/>
      <c r="L163" s="215" t="n"/>
      <c r="M163" s="215" t="n"/>
      <c r="N163" s="215" t="n"/>
      <c r="O163" s="215" t="n"/>
      <c r="P163" s="215" t="n"/>
      <c r="Q163" s="215" t="n"/>
      <c r="R163" s="215" t="n"/>
      <c r="S163" s="215" t="n"/>
      <c r="T163" s="215" t="n"/>
      <c r="U163" s="215" t="n"/>
      <c r="V163" s="215" t="n"/>
      <c r="W163" s="215" t="n"/>
      <c r="X163" s="215" t="n"/>
      <c r="Y163" s="215" t="n"/>
      <c r="Z163" s="215" t="n"/>
      <c r="AA163" s="215" t="n"/>
      <c r="AB163" s="215" t="n"/>
      <c r="AC163" s="215" t="n"/>
      <c r="AD163" s="215" t="n"/>
      <c r="AE163" s="215" t="n"/>
      <c r="AF163" s="215" t="n"/>
      <c r="AG163" s="215" t="n"/>
      <c r="AH163" s="215" t="n"/>
      <c r="AI163" s="215" t="n"/>
      <c r="AJ163" s="215" t="n"/>
      <c r="AK163" s="216" t="n"/>
    </row>
    <row r="164" ht="15" customHeight="1">
      <c r="B164" s="134" t="n"/>
      <c r="C164" s="105" t="n"/>
      <c r="D164" s="105" t="n"/>
      <c r="E164" s="105" t="n"/>
      <c r="F164" s="105" t="n"/>
      <c r="G164" s="105" t="n"/>
      <c r="H164" s="2" t="n"/>
      <c r="I164" s="105" t="n"/>
      <c r="K164" s="215" t="n"/>
      <c r="L164" s="215" t="n"/>
      <c r="M164" s="215" t="n"/>
      <c r="N164" s="215" t="n"/>
      <c r="O164" s="215" t="n"/>
      <c r="P164" s="215" t="n"/>
      <c r="Q164" s="215" t="n"/>
      <c r="R164" s="215" t="n"/>
      <c r="S164" s="215" t="n"/>
      <c r="T164" s="215" t="n"/>
      <c r="U164" s="215" t="n"/>
      <c r="V164" s="215" t="n"/>
      <c r="W164" s="215" t="n"/>
      <c r="X164" s="215" t="n"/>
      <c r="Y164" s="215" t="n"/>
      <c r="Z164" s="215" t="n"/>
      <c r="AA164" s="215" t="n"/>
      <c r="AB164" s="215" t="n"/>
      <c r="AC164" s="215" t="n"/>
      <c r="AD164" s="215" t="n"/>
      <c r="AE164" s="215" t="n"/>
      <c r="AF164" s="215" t="n"/>
      <c r="AG164" s="215" t="n"/>
      <c r="AH164" s="215" t="n"/>
      <c r="AI164" s="215" t="n"/>
      <c r="AJ164" s="215" t="n"/>
      <c r="AK164" s="216" t="n"/>
    </row>
    <row r="165" ht="15" customHeight="1">
      <c r="B165" s="134" t="n"/>
      <c r="C165" s="105" t="n"/>
      <c r="D165" s="105" t="n"/>
      <c r="E165" s="105" t="n"/>
      <c r="F165" s="105" t="n"/>
      <c r="G165" s="105" t="n"/>
      <c r="H165" s="2" t="n"/>
      <c r="I165" s="105" t="n"/>
      <c r="K165" s="215" t="n"/>
      <c r="L165" s="215" t="n"/>
      <c r="M165" s="215" t="n"/>
      <c r="N165" s="215" t="n"/>
      <c r="O165" s="215" t="n"/>
      <c r="P165" s="215" t="n"/>
      <c r="Q165" s="215" t="n"/>
      <c r="R165" s="215" t="n"/>
      <c r="S165" s="215" t="n"/>
      <c r="T165" s="215" t="n"/>
      <c r="U165" s="215" t="n"/>
      <c r="V165" s="215" t="n"/>
      <c r="W165" s="215" t="n"/>
      <c r="X165" s="215" t="n"/>
      <c r="Y165" s="215" t="n"/>
      <c r="Z165" s="215" t="n"/>
      <c r="AA165" s="215" t="n"/>
      <c r="AB165" s="215" t="n"/>
      <c r="AC165" s="215" t="n"/>
      <c r="AD165" s="215" t="n"/>
      <c r="AE165" s="215" t="n"/>
      <c r="AF165" s="215" t="n"/>
      <c r="AG165" s="215" t="n"/>
      <c r="AH165" s="215" t="n"/>
      <c r="AI165" s="215" t="n"/>
      <c r="AJ165" s="215" t="n"/>
      <c r="AK165" s="216" t="n"/>
    </row>
    <row r="166" ht="15" customHeight="1">
      <c r="B166" s="134" t="n"/>
      <c r="C166" s="105" t="n"/>
      <c r="D166" s="105" t="n"/>
      <c r="E166" s="105" t="n"/>
      <c r="F166" s="105" t="n"/>
      <c r="G166" s="105" t="n"/>
      <c r="H166" s="2" t="n"/>
      <c r="I166" s="105" t="n"/>
      <c r="K166" s="215" t="n"/>
      <c r="L166" s="215" t="n"/>
      <c r="M166" s="215" t="n"/>
      <c r="N166" s="215" t="n"/>
      <c r="O166" s="215" t="n"/>
      <c r="P166" s="215" t="n"/>
      <c r="Q166" s="215" t="n"/>
      <c r="R166" s="215" t="n"/>
      <c r="S166" s="215" t="n"/>
      <c r="T166" s="215" t="n"/>
      <c r="U166" s="215" t="n"/>
      <c r="V166" s="215" t="n"/>
      <c r="W166" s="215" t="n"/>
      <c r="X166" s="215" t="n"/>
      <c r="Y166" s="215" t="n"/>
      <c r="Z166" s="215" t="n"/>
      <c r="AA166" s="215" t="n"/>
      <c r="AB166" s="215" t="n"/>
      <c r="AC166" s="215" t="n"/>
      <c r="AD166" s="215" t="n"/>
      <c r="AE166" s="215" t="n"/>
      <c r="AF166" s="215" t="n"/>
      <c r="AG166" s="215" t="n"/>
      <c r="AH166" s="215" t="n"/>
      <c r="AI166" s="215" t="n"/>
      <c r="AJ166" s="215" t="n"/>
      <c r="AK166" s="216" t="n"/>
    </row>
    <row r="167" ht="15" customHeight="1">
      <c r="B167" s="134" t="n"/>
      <c r="C167" s="105" t="n"/>
      <c r="D167" s="105" t="n"/>
      <c r="E167" s="105" t="n"/>
      <c r="F167" s="105" t="n"/>
      <c r="G167" s="105" t="n"/>
      <c r="H167" s="2" t="n"/>
      <c r="I167" s="105" t="n"/>
      <c r="K167" s="215" t="n"/>
      <c r="L167" s="215" t="n"/>
      <c r="M167" s="215" t="n"/>
      <c r="N167" s="215" t="n"/>
      <c r="O167" s="215" t="n"/>
      <c r="P167" s="215" t="n"/>
      <c r="Q167" s="215" t="n"/>
      <c r="R167" s="215" t="n"/>
      <c r="S167" s="215" t="n"/>
      <c r="T167" s="215" t="n"/>
      <c r="U167" s="215" t="n"/>
      <c r="V167" s="215" t="n"/>
      <c r="W167" s="215" t="n"/>
      <c r="X167" s="215" t="n"/>
      <c r="Y167" s="215" t="n"/>
      <c r="Z167" s="215" t="n"/>
      <c r="AA167" s="215" t="n"/>
      <c r="AB167" s="215" t="n"/>
      <c r="AC167" s="215" t="n"/>
      <c r="AD167" s="215" t="n"/>
      <c r="AE167" s="215" t="n"/>
      <c r="AF167" s="215" t="n"/>
      <c r="AG167" s="215" t="n"/>
      <c r="AH167" s="215" t="n"/>
      <c r="AI167" s="215" t="n"/>
      <c r="AJ167" s="215" t="n"/>
      <c r="AK167" s="216" t="n"/>
    </row>
    <row r="168" ht="15" customHeight="1">
      <c r="B168" s="134" t="n"/>
      <c r="C168" s="105" t="n"/>
      <c r="D168" s="105" t="n"/>
      <c r="E168" s="105" t="n"/>
      <c r="F168" s="105" t="n"/>
      <c r="G168" s="105" t="n"/>
      <c r="H168" s="2" t="n"/>
      <c r="I168" s="105" t="n"/>
      <c r="K168" s="215" t="n"/>
      <c r="L168" s="215" t="n"/>
      <c r="M168" s="215" t="n"/>
      <c r="N168" s="215" t="n"/>
      <c r="O168" s="215" t="n"/>
      <c r="P168" s="215" t="n"/>
      <c r="Q168" s="215" t="n"/>
      <c r="R168" s="215" t="n"/>
      <c r="S168" s="215" t="n"/>
      <c r="T168" s="215" t="n"/>
      <c r="U168" s="215" t="n"/>
      <c r="V168" s="215" t="n"/>
      <c r="W168" s="215" t="n"/>
      <c r="X168" s="215" t="n"/>
      <c r="Y168" s="215" t="n"/>
      <c r="Z168" s="215" t="n"/>
      <c r="AA168" s="215" t="n"/>
      <c r="AB168" s="215" t="n"/>
      <c r="AC168" s="215" t="n"/>
      <c r="AD168" s="215" t="n"/>
      <c r="AE168" s="215" t="n"/>
      <c r="AF168" s="215" t="n"/>
      <c r="AG168" s="215" t="n"/>
      <c r="AH168" s="215" t="n"/>
      <c r="AI168" s="215" t="n"/>
      <c r="AJ168" s="215" t="n"/>
      <c r="AK168" s="216" t="n"/>
    </row>
    <row r="169" ht="15" customHeight="1">
      <c r="B169" s="134" t="n"/>
      <c r="C169" s="105" t="n"/>
      <c r="D169" s="105" t="n"/>
      <c r="E169" s="105" t="n"/>
      <c r="F169" s="105" t="n"/>
      <c r="G169" s="105" t="n"/>
      <c r="H169" s="2" t="n"/>
      <c r="I169" s="105" t="n"/>
      <c r="K169" s="215" t="n"/>
      <c r="L169" s="215" t="n"/>
      <c r="M169" s="215" t="n"/>
      <c r="N169" s="215" t="n"/>
      <c r="O169" s="215" t="n"/>
      <c r="P169" s="215" t="n"/>
      <c r="Q169" s="215" t="n"/>
      <c r="R169" s="215" t="n"/>
      <c r="S169" s="215" t="n"/>
      <c r="T169" s="215" t="n"/>
      <c r="U169" s="215" t="n"/>
      <c r="V169" s="215" t="n"/>
      <c r="W169" s="215" t="n"/>
      <c r="X169" s="215" t="n"/>
      <c r="Y169" s="215" t="n"/>
      <c r="Z169" s="215" t="n"/>
      <c r="AA169" s="215" t="n"/>
      <c r="AB169" s="215" t="n"/>
      <c r="AC169" s="215" t="n"/>
      <c r="AD169" s="215" t="n"/>
      <c r="AE169" s="215" t="n"/>
      <c r="AF169" s="215" t="n"/>
      <c r="AG169" s="215" t="n"/>
      <c r="AH169" s="215" t="n"/>
      <c r="AI169" s="215" t="n"/>
      <c r="AJ169" s="215" t="n"/>
      <c r="AK169" s="216" t="n"/>
    </row>
    <row r="170" ht="15" customHeight="1">
      <c r="B170" s="134" t="n"/>
      <c r="C170" s="105" t="n"/>
      <c r="D170" s="105" t="n"/>
      <c r="E170" s="105" t="n"/>
      <c r="F170" s="105" t="n"/>
      <c r="G170" s="105" t="n"/>
      <c r="H170" s="2" t="n"/>
      <c r="I170" s="105" t="n"/>
      <c r="K170" s="215" t="n"/>
      <c r="L170" s="215" t="n"/>
      <c r="M170" s="215" t="n"/>
      <c r="N170" s="215" t="n"/>
      <c r="O170" s="215" t="n"/>
      <c r="P170" s="215" t="n"/>
      <c r="Q170" s="215" t="n"/>
      <c r="R170" s="215" t="n"/>
      <c r="S170" s="215" t="n"/>
      <c r="T170" s="215" t="n"/>
      <c r="U170" s="215" t="n"/>
      <c r="V170" s="215" t="n"/>
      <c r="W170" s="215" t="n"/>
      <c r="X170" s="215" t="n"/>
      <c r="Y170" s="215" t="n"/>
      <c r="Z170" s="215" t="n"/>
      <c r="AA170" s="215" t="n"/>
      <c r="AB170" s="215" t="n"/>
      <c r="AC170" s="215" t="n"/>
      <c r="AD170" s="215" t="n"/>
      <c r="AE170" s="215" t="n"/>
      <c r="AF170" s="215" t="n"/>
      <c r="AG170" s="215" t="n"/>
      <c r="AH170" s="215" t="n"/>
      <c r="AI170" s="215" t="n"/>
      <c r="AJ170" s="215" t="n"/>
      <c r="AK170" s="216" t="n"/>
    </row>
    <row r="171" ht="15" customHeight="1">
      <c r="B171" s="134" t="n"/>
      <c r="C171" s="105" t="n"/>
      <c r="D171" s="105" t="n"/>
      <c r="E171" s="105" t="n"/>
      <c r="F171" s="105" t="n"/>
      <c r="G171" s="105" t="n"/>
      <c r="H171" s="2" t="n"/>
      <c r="I171" s="105" t="n"/>
      <c r="K171" s="215" t="n"/>
      <c r="L171" s="215" t="n"/>
      <c r="M171" s="215" t="n"/>
      <c r="N171" s="215" t="n"/>
      <c r="O171" s="215" t="n"/>
      <c r="P171" s="215" t="n"/>
      <c r="Q171" s="215" t="n"/>
      <c r="R171" s="215" t="n"/>
      <c r="S171" s="215" t="n"/>
      <c r="T171" s="215" t="n"/>
      <c r="U171" s="215" t="n"/>
      <c r="V171" s="215" t="n"/>
      <c r="W171" s="215" t="n"/>
      <c r="X171" s="215" t="n"/>
      <c r="Y171" s="215" t="n"/>
      <c r="Z171" s="215" t="n"/>
      <c r="AA171" s="215" t="n"/>
      <c r="AB171" s="215" t="n"/>
      <c r="AC171" s="215" t="n"/>
      <c r="AD171" s="215" t="n"/>
      <c r="AE171" s="215" t="n"/>
      <c r="AF171" s="215" t="n"/>
      <c r="AG171" s="215" t="n"/>
      <c r="AH171" s="215" t="n"/>
      <c r="AI171" s="215" t="n"/>
      <c r="AJ171" s="215" t="n"/>
      <c r="AK171" s="216" t="n"/>
    </row>
    <row r="172" ht="15" customHeight="1">
      <c r="B172" s="134" t="n"/>
      <c r="C172" s="105" t="n"/>
      <c r="D172" s="105" t="n"/>
      <c r="E172" s="105" t="n"/>
      <c r="F172" s="105" t="n"/>
      <c r="G172" s="105" t="n"/>
      <c r="H172" s="2" t="n"/>
      <c r="I172" s="105" t="n"/>
      <c r="K172" s="215" t="n"/>
      <c r="L172" s="215" t="n"/>
      <c r="M172" s="215" t="n"/>
      <c r="N172" s="215" t="n"/>
      <c r="O172" s="215" t="n"/>
      <c r="P172" s="215" t="n"/>
      <c r="Q172" s="215" t="n"/>
      <c r="R172" s="215" t="n"/>
      <c r="S172" s="215" t="n"/>
      <c r="T172" s="215" t="n"/>
      <c r="U172" s="215" t="n"/>
      <c r="V172" s="215" t="n"/>
      <c r="W172" s="215" t="n"/>
      <c r="X172" s="215" t="n"/>
      <c r="Y172" s="215" t="n"/>
      <c r="Z172" s="215" t="n"/>
      <c r="AA172" s="215" t="n"/>
      <c r="AB172" s="215" t="n"/>
      <c r="AC172" s="215" t="n"/>
      <c r="AD172" s="215" t="n"/>
      <c r="AE172" s="215" t="n"/>
      <c r="AF172" s="215" t="n"/>
      <c r="AG172" s="215" t="n"/>
      <c r="AH172" s="215" t="n"/>
      <c r="AI172" s="215" t="n"/>
      <c r="AJ172" s="215" t="n"/>
      <c r="AK172" s="216" t="n"/>
    </row>
    <row r="173" ht="15" customHeight="1">
      <c r="B173" s="134" t="n"/>
      <c r="C173" s="105" t="n"/>
      <c r="D173" s="105" t="n"/>
      <c r="E173" s="105" t="n"/>
      <c r="F173" s="105" t="n"/>
      <c r="G173" s="105" t="n"/>
      <c r="H173" s="2" t="n"/>
      <c r="I173" s="105" t="n"/>
      <c r="K173" s="215" t="n"/>
      <c r="L173" s="215" t="n"/>
      <c r="M173" s="215" t="n"/>
      <c r="N173" s="215" t="n"/>
      <c r="O173" s="215" t="n"/>
      <c r="P173" s="215" t="n"/>
      <c r="Q173" s="215" t="n"/>
      <c r="R173" s="215" t="n"/>
      <c r="S173" s="215" t="n"/>
      <c r="T173" s="215" t="n"/>
      <c r="U173" s="215" t="n"/>
      <c r="V173" s="215" t="n"/>
      <c r="W173" s="215" t="n"/>
      <c r="X173" s="215" t="n"/>
      <c r="Y173" s="215" t="n"/>
      <c r="Z173" s="215" t="n"/>
      <c r="AA173" s="215" t="n"/>
      <c r="AB173" s="215" t="n"/>
      <c r="AC173" s="215" t="n"/>
      <c r="AD173" s="215" t="n"/>
      <c r="AE173" s="215" t="n"/>
      <c r="AF173" s="215" t="n"/>
      <c r="AG173" s="215" t="n"/>
      <c r="AH173" s="215" t="n"/>
      <c r="AI173" s="215" t="n"/>
      <c r="AJ173" s="215" t="n"/>
      <c r="AK173" s="216" t="n"/>
    </row>
    <row r="174" ht="15" customHeight="1">
      <c r="B174" s="134" t="n"/>
      <c r="C174" s="105" t="n"/>
      <c r="D174" s="105" t="n"/>
      <c r="E174" s="105" t="n"/>
      <c r="F174" s="105" t="n"/>
      <c r="G174" s="105" t="n"/>
      <c r="H174" s="2" t="n"/>
      <c r="I174" s="105" t="n"/>
      <c r="K174" s="215" t="n"/>
      <c r="L174" s="215" t="n"/>
      <c r="M174" s="215" t="n"/>
      <c r="N174" s="215" t="n"/>
      <c r="O174" s="215" t="n"/>
      <c r="P174" s="215" t="n"/>
      <c r="Q174" s="215" t="n"/>
      <c r="R174" s="215" t="n"/>
      <c r="S174" s="215" t="n"/>
      <c r="T174" s="215" t="n"/>
      <c r="U174" s="215" t="n"/>
      <c r="V174" s="215" t="n"/>
      <c r="W174" s="215" t="n"/>
      <c r="X174" s="215" t="n"/>
      <c r="Y174" s="215" t="n"/>
      <c r="Z174" s="215" t="n"/>
      <c r="AA174" s="215" t="n"/>
      <c r="AB174" s="215" t="n"/>
      <c r="AC174" s="215" t="n"/>
      <c r="AD174" s="215" t="n"/>
      <c r="AE174" s="215" t="n"/>
      <c r="AF174" s="215" t="n"/>
      <c r="AG174" s="215" t="n"/>
      <c r="AH174" s="215" t="n"/>
      <c r="AI174" s="215" t="n"/>
      <c r="AJ174" s="215" t="n"/>
      <c r="AK174" s="216" t="n"/>
    </row>
    <row r="175" ht="15" customHeight="1">
      <c r="B175" s="134" t="n"/>
      <c r="C175" s="105" t="n"/>
      <c r="D175" s="105" t="n"/>
      <c r="E175" s="105" t="n"/>
      <c r="F175" s="105" t="n"/>
      <c r="G175" s="105" t="n"/>
      <c r="H175" s="2" t="n"/>
      <c r="I175" s="105" t="n"/>
      <c r="K175" s="215" t="n"/>
      <c r="L175" s="215" t="n"/>
      <c r="M175" s="215" t="n"/>
      <c r="N175" s="215" t="n"/>
      <c r="O175" s="215" t="n"/>
      <c r="P175" s="215" t="n"/>
      <c r="Q175" s="215" t="n"/>
      <c r="R175" s="215" t="n"/>
      <c r="S175" s="215" t="n"/>
      <c r="T175" s="215" t="n"/>
      <c r="U175" s="215" t="n"/>
      <c r="V175" s="215" t="n"/>
      <c r="W175" s="215" t="n"/>
      <c r="X175" s="215" t="n"/>
      <c r="Y175" s="215" t="n"/>
      <c r="Z175" s="215" t="n"/>
      <c r="AA175" s="215" t="n"/>
      <c r="AB175" s="215" t="n"/>
      <c r="AC175" s="215" t="n"/>
      <c r="AD175" s="215" t="n"/>
      <c r="AE175" s="215" t="n"/>
      <c r="AF175" s="215" t="n"/>
      <c r="AG175" s="215" t="n"/>
      <c r="AH175" s="215" t="n"/>
      <c r="AI175" s="215" t="n"/>
      <c r="AJ175" s="215" t="n"/>
      <c r="AK175" s="216" t="n"/>
    </row>
    <row r="176" ht="15" customHeight="1">
      <c r="B176" s="134" t="n"/>
      <c r="C176" s="105" t="n"/>
      <c r="D176" s="105" t="n"/>
      <c r="E176" s="105" t="n"/>
      <c r="F176" s="105" t="n"/>
      <c r="G176" s="105" t="n"/>
      <c r="H176" s="2" t="n"/>
      <c r="I176" s="105" t="n"/>
      <c r="K176" s="215" t="n"/>
      <c r="L176" s="215" t="n"/>
      <c r="M176" s="215" t="n"/>
      <c r="N176" s="215" t="n"/>
      <c r="O176" s="215" t="n"/>
      <c r="P176" s="215" t="n"/>
      <c r="Q176" s="215" t="n"/>
      <c r="R176" s="215" t="n"/>
      <c r="S176" s="215" t="n"/>
      <c r="T176" s="215" t="n"/>
      <c r="U176" s="215" t="n"/>
      <c r="V176" s="215" t="n"/>
      <c r="W176" s="215" t="n"/>
      <c r="X176" s="215" t="n"/>
      <c r="Y176" s="215" t="n"/>
      <c r="Z176" s="215" t="n"/>
      <c r="AA176" s="215" t="n"/>
      <c r="AB176" s="215" t="n"/>
      <c r="AC176" s="215" t="n"/>
      <c r="AD176" s="215" t="n"/>
      <c r="AE176" s="215" t="n"/>
      <c r="AF176" s="215" t="n"/>
      <c r="AG176" s="215" t="n"/>
      <c r="AH176" s="215" t="n"/>
      <c r="AI176" s="215" t="n"/>
      <c r="AJ176" s="215" t="n"/>
      <c r="AK176" s="216" t="n"/>
    </row>
    <row r="177" ht="15" customHeight="1">
      <c r="B177" s="134" t="n"/>
      <c r="C177" s="105" t="n"/>
      <c r="D177" s="105" t="n"/>
      <c r="E177" s="105" t="n"/>
      <c r="F177" s="105" t="n"/>
      <c r="G177" s="105" t="n"/>
      <c r="H177" s="2" t="n"/>
      <c r="I177" s="105" t="n"/>
      <c r="K177" s="215" t="n"/>
      <c r="L177" s="215" t="n"/>
      <c r="M177" s="215" t="n"/>
      <c r="N177" s="215" t="n"/>
      <c r="O177" s="215" t="n"/>
      <c r="P177" s="215" t="n"/>
      <c r="Q177" s="215" t="n"/>
      <c r="R177" s="215" t="n"/>
      <c r="S177" s="215" t="n"/>
      <c r="T177" s="215" t="n"/>
      <c r="U177" s="215" t="n"/>
      <c r="V177" s="215" t="n"/>
      <c r="W177" s="215" t="n"/>
      <c r="X177" s="215" t="n"/>
      <c r="Y177" s="215" t="n"/>
      <c r="Z177" s="215" t="n"/>
      <c r="AA177" s="215" t="n"/>
      <c r="AB177" s="215" t="n"/>
      <c r="AC177" s="215" t="n"/>
      <c r="AD177" s="215" t="n"/>
      <c r="AE177" s="215" t="n"/>
      <c r="AF177" s="215" t="n"/>
      <c r="AG177" s="215" t="n"/>
      <c r="AH177" s="215" t="n"/>
      <c r="AI177" s="215" t="n"/>
      <c r="AJ177" s="215" t="n"/>
      <c r="AK177" s="216" t="n"/>
    </row>
    <row r="178" ht="15" customHeight="1">
      <c r="B178" s="134" t="n"/>
      <c r="C178" s="105" t="n"/>
      <c r="D178" s="105" t="n"/>
      <c r="E178" s="105" t="n"/>
      <c r="F178" s="105" t="n"/>
      <c r="G178" s="105" t="n"/>
      <c r="H178" s="2" t="n"/>
      <c r="I178" s="105" t="n"/>
      <c r="K178" s="215" t="n"/>
      <c r="L178" s="215" t="n"/>
      <c r="M178" s="215" t="n"/>
      <c r="N178" s="215" t="n"/>
      <c r="O178" s="215" t="n"/>
      <c r="P178" s="215" t="n"/>
      <c r="Q178" s="215" t="n"/>
      <c r="R178" s="215" t="n"/>
      <c r="S178" s="215" t="n"/>
      <c r="T178" s="215" t="n"/>
      <c r="U178" s="215" t="n"/>
      <c r="V178" s="215" t="n"/>
      <c r="W178" s="215" t="n"/>
      <c r="X178" s="215" t="n"/>
      <c r="Y178" s="215" t="n"/>
      <c r="Z178" s="215" t="n"/>
      <c r="AA178" s="215" t="n"/>
      <c r="AB178" s="215" t="n"/>
      <c r="AC178" s="215" t="n"/>
      <c r="AD178" s="215" t="n"/>
      <c r="AE178" s="215" t="n"/>
      <c r="AF178" s="215" t="n"/>
      <c r="AG178" s="215" t="n"/>
      <c r="AH178" s="215" t="n"/>
      <c r="AI178" s="215" t="n"/>
      <c r="AJ178" s="215" t="n"/>
      <c r="AK178" s="216" t="n"/>
    </row>
    <row r="179" ht="15" customHeight="1">
      <c r="B179" s="134" t="n"/>
      <c r="C179" s="105" t="n"/>
      <c r="D179" s="105" t="n"/>
      <c r="E179" s="105" t="n"/>
      <c r="F179" s="105" t="n"/>
      <c r="G179" s="105" t="n"/>
      <c r="H179" s="2" t="n"/>
      <c r="I179" s="105" t="n"/>
      <c r="K179" s="215" t="n"/>
      <c r="L179" s="215" t="n"/>
      <c r="M179" s="215" t="n"/>
      <c r="N179" s="215" t="n"/>
      <c r="O179" s="215" t="n"/>
      <c r="P179" s="215" t="n"/>
      <c r="Q179" s="215" t="n"/>
      <c r="R179" s="215" t="n"/>
      <c r="S179" s="215" t="n"/>
      <c r="T179" s="215" t="n"/>
      <c r="U179" s="215" t="n"/>
      <c r="V179" s="215" t="n"/>
      <c r="W179" s="215" t="n"/>
      <c r="X179" s="215" t="n"/>
      <c r="Y179" s="215" t="n"/>
      <c r="Z179" s="215" t="n"/>
      <c r="AA179" s="215" t="n"/>
      <c r="AB179" s="215" t="n"/>
      <c r="AC179" s="215" t="n"/>
      <c r="AD179" s="215" t="n"/>
      <c r="AE179" s="215" t="n"/>
      <c r="AF179" s="215" t="n"/>
      <c r="AG179" s="215" t="n"/>
      <c r="AH179" s="215" t="n"/>
      <c r="AI179" s="215" t="n"/>
      <c r="AJ179" s="215" t="n"/>
      <c r="AK179" s="216" t="n"/>
    </row>
    <row r="180" ht="15" customHeight="1">
      <c r="B180" s="134" t="n"/>
      <c r="C180" s="105" t="n"/>
      <c r="D180" s="105" t="n"/>
      <c r="E180" s="105" t="n"/>
      <c r="F180" s="105" t="n"/>
      <c r="G180" s="105" t="n"/>
      <c r="H180" s="2" t="n"/>
      <c r="I180" s="105" t="n"/>
      <c r="K180" s="215" t="n"/>
      <c r="L180" s="215" t="n"/>
      <c r="M180" s="215" t="n"/>
      <c r="N180" s="215" t="n"/>
      <c r="O180" s="215" t="n"/>
      <c r="P180" s="215" t="n"/>
      <c r="Q180" s="215" t="n"/>
      <c r="R180" s="215" t="n"/>
      <c r="S180" s="215" t="n"/>
      <c r="T180" s="215" t="n"/>
      <c r="U180" s="215" t="n"/>
      <c r="V180" s="215" t="n"/>
      <c r="W180" s="215" t="n"/>
      <c r="X180" s="215" t="n"/>
      <c r="Y180" s="215" t="n"/>
      <c r="Z180" s="215" t="n"/>
      <c r="AA180" s="215" t="n"/>
      <c r="AB180" s="215" t="n"/>
      <c r="AC180" s="215" t="n"/>
      <c r="AD180" s="215" t="n"/>
      <c r="AE180" s="215" t="n"/>
      <c r="AF180" s="215" t="n"/>
      <c r="AG180" s="215" t="n"/>
      <c r="AH180" s="215" t="n"/>
      <c r="AI180" s="215" t="n"/>
      <c r="AJ180" s="215" t="n"/>
      <c r="AK180" s="216" t="n"/>
    </row>
    <row r="181" ht="15" customHeight="1">
      <c r="B181" s="134" t="n"/>
      <c r="C181" s="105" t="n"/>
      <c r="D181" s="105" t="n"/>
      <c r="E181" s="105" t="n"/>
      <c r="F181" s="105" t="n"/>
      <c r="G181" s="105" t="n"/>
      <c r="H181" s="2" t="n"/>
      <c r="I181" s="105" t="n"/>
      <c r="K181" s="215" t="n"/>
      <c r="L181" s="215" t="n"/>
      <c r="M181" s="215" t="n"/>
      <c r="N181" s="215" t="n"/>
      <c r="O181" s="215" t="n"/>
      <c r="P181" s="215" t="n"/>
      <c r="Q181" s="215" t="n"/>
      <c r="R181" s="215" t="n"/>
      <c r="S181" s="215" t="n"/>
      <c r="T181" s="215" t="n"/>
      <c r="U181" s="215" t="n"/>
      <c r="V181" s="215" t="n"/>
      <c r="W181" s="215" t="n"/>
      <c r="X181" s="215" t="n"/>
      <c r="Y181" s="215" t="n"/>
      <c r="Z181" s="215" t="n"/>
      <c r="AA181" s="215" t="n"/>
      <c r="AB181" s="215" t="n"/>
      <c r="AC181" s="215" t="n"/>
      <c r="AD181" s="215" t="n"/>
      <c r="AE181" s="215" t="n"/>
      <c r="AF181" s="215" t="n"/>
      <c r="AG181" s="215" t="n"/>
      <c r="AH181" s="215" t="n"/>
      <c r="AI181" s="215" t="n"/>
      <c r="AJ181" s="215" t="n"/>
      <c r="AK181" s="216" t="n"/>
    </row>
    <row r="182" ht="15" customHeight="1">
      <c r="B182" s="134" t="n"/>
      <c r="C182" s="105" t="n"/>
      <c r="D182" s="105" t="n"/>
      <c r="E182" s="105" t="n"/>
      <c r="F182" s="105" t="n"/>
      <c r="G182" s="105" t="n"/>
      <c r="H182" s="2" t="n"/>
      <c r="I182" s="105" t="n"/>
      <c r="K182" s="215" t="n"/>
      <c r="L182" s="215" t="n"/>
      <c r="M182" s="215" t="n"/>
      <c r="N182" s="215" t="n"/>
      <c r="O182" s="215" t="n"/>
      <c r="P182" s="215" t="n"/>
      <c r="Q182" s="215" t="n"/>
      <c r="R182" s="215" t="n"/>
      <c r="S182" s="215" t="n"/>
      <c r="T182" s="215" t="n"/>
      <c r="U182" s="215" t="n"/>
      <c r="V182" s="215" t="n"/>
      <c r="W182" s="215" t="n"/>
      <c r="X182" s="215" t="n"/>
      <c r="Y182" s="215" t="n"/>
      <c r="Z182" s="215" t="n"/>
      <c r="AA182" s="215" t="n"/>
      <c r="AB182" s="215" t="n"/>
      <c r="AC182" s="215" t="n"/>
      <c r="AD182" s="215" t="n"/>
      <c r="AE182" s="215" t="n"/>
      <c r="AF182" s="215" t="n"/>
      <c r="AG182" s="215" t="n"/>
      <c r="AH182" s="215" t="n"/>
      <c r="AI182" s="215" t="n"/>
      <c r="AJ182" s="215" t="n"/>
      <c r="AK182" s="216" t="n"/>
    </row>
    <row r="183" ht="15" customHeight="1">
      <c r="B183" s="134" t="n"/>
      <c r="C183" s="105" t="n"/>
      <c r="D183" s="105" t="n"/>
      <c r="E183" s="105" t="n"/>
      <c r="F183" s="105" t="n"/>
      <c r="G183" s="105" t="n"/>
      <c r="H183" s="2" t="n"/>
      <c r="I183" s="105" t="n"/>
      <c r="K183" s="215" t="n"/>
      <c r="L183" s="215" t="n"/>
      <c r="M183" s="215" t="n"/>
      <c r="N183" s="215" t="n"/>
      <c r="O183" s="215" t="n"/>
      <c r="P183" s="215" t="n"/>
      <c r="Q183" s="215" t="n"/>
      <c r="R183" s="215" t="n"/>
      <c r="S183" s="215" t="n"/>
      <c r="T183" s="215" t="n"/>
      <c r="U183" s="215" t="n"/>
      <c r="V183" s="215" t="n"/>
      <c r="W183" s="215" t="n"/>
      <c r="X183" s="215" t="n"/>
      <c r="Y183" s="215" t="n"/>
      <c r="Z183" s="215" t="n"/>
      <c r="AA183" s="215" t="n"/>
      <c r="AB183" s="215" t="n"/>
      <c r="AC183" s="215" t="n"/>
      <c r="AD183" s="215" t="n"/>
      <c r="AE183" s="215" t="n"/>
      <c r="AF183" s="215" t="n"/>
      <c r="AG183" s="215" t="n"/>
      <c r="AH183" s="215" t="n"/>
      <c r="AI183" s="215" t="n"/>
      <c r="AJ183" s="215" t="n"/>
      <c r="AK183" s="216" t="n"/>
    </row>
    <row r="184" ht="15" customHeight="1">
      <c r="B184" s="134" t="n"/>
      <c r="C184" s="105" t="n"/>
      <c r="D184" s="105" t="n"/>
      <c r="E184" s="105" t="n"/>
      <c r="F184" s="105" t="n"/>
      <c r="G184" s="105" t="n"/>
      <c r="H184" s="2" t="n"/>
      <c r="I184" s="105" t="n"/>
      <c r="K184" s="215" t="n"/>
      <c r="L184" s="215" t="n"/>
      <c r="M184" s="215" t="n"/>
      <c r="N184" s="215" t="n"/>
      <c r="O184" s="215" t="n"/>
      <c r="P184" s="215" t="n"/>
      <c r="Q184" s="215" t="n"/>
      <c r="R184" s="215" t="n"/>
      <c r="S184" s="215" t="n"/>
      <c r="T184" s="215" t="n"/>
      <c r="U184" s="215" t="n"/>
      <c r="V184" s="215" t="n"/>
      <c r="W184" s="215" t="n"/>
      <c r="X184" s="215" t="n"/>
      <c r="Y184" s="215" t="n"/>
      <c r="Z184" s="215" t="n"/>
      <c r="AA184" s="215" t="n"/>
      <c r="AB184" s="215" t="n"/>
      <c r="AC184" s="215" t="n"/>
      <c r="AD184" s="215" t="n"/>
      <c r="AE184" s="215" t="n"/>
      <c r="AF184" s="215" t="n"/>
      <c r="AG184" s="215" t="n"/>
      <c r="AH184" s="215" t="n"/>
      <c r="AI184" s="215" t="n"/>
      <c r="AJ184" s="215" t="n"/>
      <c r="AK184" s="216" t="n"/>
    </row>
    <row r="185" ht="15" customHeight="1">
      <c r="B185" s="134" t="n"/>
      <c r="C185" s="105" t="n"/>
      <c r="D185" s="105" t="n"/>
      <c r="E185" s="105" t="n"/>
      <c r="F185" s="105" t="n"/>
      <c r="G185" s="105" t="n"/>
      <c r="H185" s="2" t="n"/>
      <c r="I185" s="105" t="n"/>
      <c r="K185" s="215" t="n"/>
      <c r="L185" s="215" t="n"/>
      <c r="M185" s="215" t="n"/>
      <c r="N185" s="215" t="n"/>
      <c r="O185" s="215" t="n"/>
      <c r="P185" s="215" t="n"/>
      <c r="Q185" s="215" t="n"/>
      <c r="R185" s="215" t="n"/>
      <c r="S185" s="215" t="n"/>
      <c r="T185" s="215" t="n"/>
      <c r="U185" s="215" t="n"/>
      <c r="V185" s="215" t="n"/>
      <c r="W185" s="215" t="n"/>
      <c r="X185" s="215" t="n"/>
      <c r="Y185" s="215" t="n"/>
      <c r="Z185" s="215" t="n"/>
      <c r="AA185" s="215" t="n"/>
      <c r="AB185" s="215" t="n"/>
      <c r="AC185" s="215" t="n"/>
      <c r="AD185" s="215" t="n"/>
      <c r="AE185" s="215" t="n"/>
      <c r="AF185" s="215" t="n"/>
      <c r="AG185" s="215" t="n"/>
      <c r="AH185" s="215" t="n"/>
      <c r="AI185" s="215" t="n"/>
      <c r="AJ185" s="215" t="n"/>
      <c r="AK185" s="216" t="n"/>
    </row>
    <row r="186" ht="15" customHeight="1">
      <c r="B186" s="134" t="n"/>
      <c r="C186" s="105" t="n"/>
      <c r="D186" s="105" t="n"/>
      <c r="E186" s="105" t="n"/>
      <c r="F186" s="105" t="n"/>
      <c r="G186" s="105" t="n"/>
      <c r="H186" s="2" t="n"/>
      <c r="I186" s="105" t="n"/>
      <c r="K186" s="215" t="n"/>
      <c r="L186" s="215" t="n"/>
      <c r="M186" s="215" t="n"/>
      <c r="N186" s="215" t="n"/>
      <c r="O186" s="215" t="n"/>
      <c r="P186" s="215" t="n"/>
      <c r="Q186" s="215" t="n"/>
      <c r="R186" s="215" t="n"/>
      <c r="S186" s="215" t="n"/>
      <c r="T186" s="215" t="n"/>
      <c r="U186" s="215" t="n"/>
      <c r="V186" s="215" t="n"/>
      <c r="W186" s="215" t="n"/>
      <c r="X186" s="215" t="n"/>
      <c r="Y186" s="215" t="n"/>
      <c r="Z186" s="215" t="n"/>
      <c r="AA186" s="215" t="n"/>
      <c r="AB186" s="215" t="n"/>
      <c r="AC186" s="215" t="n"/>
      <c r="AD186" s="215" t="n"/>
      <c r="AE186" s="215" t="n"/>
      <c r="AF186" s="215" t="n"/>
      <c r="AG186" s="215" t="n"/>
      <c r="AH186" s="215" t="n"/>
      <c r="AI186" s="215" t="n"/>
      <c r="AJ186" s="215" t="n"/>
      <c r="AK186" s="216" t="n"/>
    </row>
    <row r="187" ht="15" customHeight="1">
      <c r="B187" s="134" t="n"/>
      <c r="C187" s="105" t="n"/>
      <c r="D187" s="105" t="n"/>
      <c r="E187" s="105" t="n"/>
      <c r="F187" s="105" t="n"/>
      <c r="G187" s="105" t="n"/>
      <c r="H187" s="2" t="n"/>
      <c r="I187" s="105" t="n"/>
      <c r="K187" s="215" t="n"/>
      <c r="L187" s="215" t="n"/>
      <c r="M187" s="215" t="n"/>
      <c r="N187" s="215" t="n"/>
      <c r="O187" s="215" t="n"/>
      <c r="P187" s="215" t="n"/>
      <c r="Q187" s="215" t="n"/>
      <c r="R187" s="215" t="n"/>
      <c r="S187" s="215" t="n"/>
      <c r="T187" s="215" t="n"/>
      <c r="U187" s="215" t="n"/>
      <c r="V187" s="215" t="n"/>
      <c r="W187" s="215" t="n"/>
      <c r="X187" s="215" t="n"/>
      <c r="Y187" s="215" t="n"/>
      <c r="Z187" s="215" t="n"/>
      <c r="AA187" s="215" t="n"/>
      <c r="AB187" s="215" t="n"/>
      <c r="AC187" s="215" t="n"/>
      <c r="AD187" s="215" t="n"/>
      <c r="AE187" s="215" t="n"/>
      <c r="AF187" s="215" t="n"/>
      <c r="AG187" s="215" t="n"/>
      <c r="AH187" s="215" t="n"/>
      <c r="AI187" s="215" t="n"/>
      <c r="AJ187" s="215" t="n"/>
      <c r="AK187" s="216" t="n"/>
    </row>
    <row r="188" ht="15" customHeight="1">
      <c r="B188" s="134" t="n"/>
      <c r="C188" s="105" t="n"/>
      <c r="D188" s="105" t="n"/>
      <c r="E188" s="105" t="n"/>
      <c r="F188" s="105" t="n"/>
      <c r="G188" s="105" t="n"/>
      <c r="H188" s="2" t="n"/>
      <c r="I188" s="105" t="n"/>
      <c r="K188" s="215" t="n"/>
      <c r="L188" s="215" t="n"/>
      <c r="M188" s="215" t="n"/>
      <c r="N188" s="215" t="n"/>
      <c r="O188" s="215" t="n"/>
      <c r="P188" s="215" t="n"/>
      <c r="Q188" s="215" t="n"/>
      <c r="R188" s="215" t="n"/>
      <c r="S188" s="215" t="n"/>
      <c r="T188" s="215" t="n"/>
      <c r="U188" s="215" t="n"/>
      <c r="V188" s="215" t="n"/>
      <c r="W188" s="215" t="n"/>
      <c r="X188" s="215" t="n"/>
      <c r="Y188" s="215" t="n"/>
      <c r="Z188" s="215" t="n"/>
      <c r="AA188" s="215" t="n"/>
      <c r="AB188" s="215" t="n"/>
      <c r="AC188" s="215" t="n"/>
      <c r="AD188" s="215" t="n"/>
      <c r="AE188" s="215" t="n"/>
      <c r="AF188" s="215" t="n"/>
      <c r="AG188" s="215" t="n"/>
      <c r="AH188" s="215" t="n"/>
      <c r="AI188" s="215" t="n"/>
      <c r="AJ188" s="215" t="n"/>
      <c r="AK188" s="216" t="n"/>
    </row>
    <row r="189" ht="15" customHeight="1">
      <c r="B189" s="134" t="n"/>
      <c r="C189" s="105" t="n"/>
      <c r="D189" s="105" t="n"/>
      <c r="E189" s="105" t="n"/>
      <c r="F189" s="105" t="n"/>
      <c r="G189" s="105" t="n"/>
      <c r="H189" s="2" t="n"/>
      <c r="I189" s="105" t="n"/>
      <c r="K189" s="215" t="n"/>
      <c r="L189" s="215" t="n"/>
      <c r="M189" s="215" t="n"/>
      <c r="N189" s="215" t="n"/>
      <c r="O189" s="215" t="n"/>
      <c r="P189" s="215" t="n"/>
      <c r="Q189" s="215" t="n"/>
      <c r="R189" s="215" t="n"/>
      <c r="S189" s="215" t="n"/>
      <c r="T189" s="215" t="n"/>
      <c r="U189" s="215" t="n"/>
      <c r="V189" s="215" t="n"/>
      <c r="W189" s="215" t="n"/>
      <c r="X189" s="215" t="n"/>
      <c r="Y189" s="215" t="n"/>
      <c r="Z189" s="215" t="n"/>
      <c r="AA189" s="215" t="n"/>
      <c r="AB189" s="215" t="n"/>
      <c r="AC189" s="215" t="n"/>
      <c r="AD189" s="215" t="n"/>
      <c r="AE189" s="215" t="n"/>
      <c r="AF189" s="215" t="n"/>
      <c r="AG189" s="215" t="n"/>
      <c r="AH189" s="215" t="n"/>
      <c r="AI189" s="215" t="n"/>
      <c r="AJ189" s="215" t="n"/>
      <c r="AK189" s="216" t="n"/>
    </row>
    <row r="190" ht="15" customHeight="1">
      <c r="B190" s="134" t="n"/>
      <c r="C190" s="105" t="n"/>
      <c r="D190" s="105" t="n"/>
      <c r="E190" s="105" t="n"/>
      <c r="F190" s="105" t="n"/>
      <c r="G190" s="105" t="n"/>
      <c r="H190" s="2" t="n"/>
      <c r="I190" s="105" t="n"/>
      <c r="K190" s="215" t="n"/>
      <c r="L190" s="215" t="n"/>
      <c r="M190" s="215" t="n"/>
      <c r="N190" s="215" t="n"/>
      <c r="O190" s="215" t="n"/>
      <c r="P190" s="215" t="n"/>
      <c r="Q190" s="215" t="n"/>
      <c r="R190" s="215" t="n"/>
      <c r="S190" s="215" t="n"/>
      <c r="T190" s="215" t="n"/>
      <c r="U190" s="215" t="n"/>
      <c r="V190" s="215" t="n"/>
      <c r="W190" s="215" t="n"/>
      <c r="X190" s="215" t="n"/>
      <c r="Y190" s="215" t="n"/>
      <c r="Z190" s="215" t="n"/>
      <c r="AA190" s="215" t="n"/>
      <c r="AB190" s="215" t="n"/>
      <c r="AC190" s="215" t="n"/>
      <c r="AD190" s="215" t="n"/>
      <c r="AE190" s="215" t="n"/>
      <c r="AF190" s="215" t="n"/>
      <c r="AG190" s="215" t="n"/>
      <c r="AH190" s="215" t="n"/>
      <c r="AI190" s="215" t="n"/>
      <c r="AJ190" s="215" t="n"/>
      <c r="AK190" s="216" t="n"/>
    </row>
    <row r="191" ht="15" customHeight="1">
      <c r="B191" s="134" t="n"/>
      <c r="C191" s="105" t="n"/>
      <c r="D191" s="105" t="n"/>
      <c r="E191" s="105" t="n"/>
      <c r="F191" s="105" t="n"/>
      <c r="G191" s="105" t="n"/>
      <c r="H191" s="2" t="n"/>
      <c r="I191" s="105" t="n"/>
      <c r="K191" s="215" t="n"/>
      <c r="L191" s="215" t="n"/>
      <c r="M191" s="215" t="n"/>
      <c r="N191" s="215" t="n"/>
      <c r="O191" s="215" t="n"/>
      <c r="P191" s="215" t="n"/>
      <c r="Q191" s="215" t="n"/>
      <c r="R191" s="215" t="n"/>
      <c r="S191" s="215" t="n"/>
      <c r="T191" s="215" t="n"/>
      <c r="U191" s="215" t="n"/>
      <c r="V191" s="215" t="n"/>
      <c r="W191" s="215" t="n"/>
      <c r="X191" s="215" t="n"/>
      <c r="Y191" s="215" t="n"/>
      <c r="Z191" s="215" t="n"/>
      <c r="AA191" s="215" t="n"/>
      <c r="AB191" s="215" t="n"/>
      <c r="AC191" s="215" t="n"/>
      <c r="AD191" s="215" t="n"/>
      <c r="AE191" s="215" t="n"/>
      <c r="AF191" s="215" t="n"/>
      <c r="AG191" s="215" t="n"/>
      <c r="AH191" s="215" t="n"/>
      <c r="AI191" s="215" t="n"/>
      <c r="AJ191" s="215" t="n"/>
      <c r="AK191" s="216" t="n"/>
    </row>
    <row r="192" ht="15" customHeight="1">
      <c r="B192" s="134" t="n"/>
      <c r="C192" s="105" t="n"/>
      <c r="D192" s="105" t="n"/>
      <c r="E192" s="105" t="n"/>
      <c r="F192" s="105" t="n"/>
      <c r="G192" s="105" t="n"/>
      <c r="H192" s="2" t="n"/>
      <c r="I192" s="105" t="n"/>
      <c r="K192" s="215" t="n"/>
      <c r="L192" s="215" t="n"/>
      <c r="M192" s="215" t="n"/>
      <c r="N192" s="215" t="n"/>
      <c r="O192" s="215" t="n"/>
      <c r="P192" s="215" t="n"/>
      <c r="Q192" s="215" t="n"/>
      <c r="R192" s="215" t="n"/>
      <c r="S192" s="215" t="n"/>
      <c r="T192" s="215" t="n"/>
      <c r="U192" s="215" t="n"/>
      <c r="V192" s="215" t="n"/>
      <c r="W192" s="215" t="n"/>
      <c r="X192" s="215" t="n"/>
      <c r="Y192" s="215" t="n"/>
      <c r="Z192" s="215" t="n"/>
      <c r="AA192" s="215" t="n"/>
      <c r="AB192" s="215" t="n"/>
      <c r="AC192" s="215" t="n"/>
      <c r="AD192" s="215" t="n"/>
      <c r="AE192" s="215" t="n"/>
      <c r="AF192" s="215" t="n"/>
      <c r="AG192" s="215" t="n"/>
      <c r="AH192" s="215" t="n"/>
      <c r="AI192" s="215" t="n"/>
      <c r="AJ192" s="215" t="n"/>
      <c r="AK192" s="216" t="n"/>
    </row>
    <row r="193" ht="15" customHeight="1">
      <c r="B193" s="134" t="n"/>
      <c r="C193" s="105" t="n"/>
      <c r="D193" s="105" t="n"/>
      <c r="E193" s="105" t="n"/>
      <c r="F193" s="105" t="n"/>
      <c r="G193" s="105" t="n"/>
      <c r="H193" s="2" t="n"/>
      <c r="I193" s="105" t="n"/>
      <c r="K193" s="215" t="n"/>
      <c r="L193" s="215" t="n"/>
      <c r="M193" s="215" t="n"/>
      <c r="N193" s="215" t="n"/>
      <c r="O193" s="215" t="n"/>
      <c r="P193" s="215" t="n"/>
      <c r="Q193" s="215" t="n"/>
      <c r="R193" s="215" t="n"/>
      <c r="S193" s="215" t="n"/>
      <c r="T193" s="215" t="n"/>
      <c r="U193" s="215" t="n"/>
      <c r="V193" s="215" t="n"/>
      <c r="W193" s="215" t="n"/>
      <c r="X193" s="215" t="n"/>
      <c r="Y193" s="215" t="n"/>
      <c r="Z193" s="215" t="n"/>
      <c r="AA193" s="215" t="n"/>
      <c r="AB193" s="215" t="n"/>
      <c r="AC193" s="215" t="n"/>
      <c r="AD193" s="215" t="n"/>
      <c r="AE193" s="215" t="n"/>
      <c r="AF193" s="215" t="n"/>
      <c r="AG193" s="215" t="n"/>
      <c r="AH193" s="215" t="n"/>
      <c r="AI193" s="215" t="n"/>
      <c r="AJ193" s="215" t="n"/>
      <c r="AK193" s="216" t="n"/>
    </row>
    <row r="194" ht="15" customHeight="1">
      <c r="B194" s="134" t="n"/>
      <c r="C194" s="105" t="n"/>
      <c r="D194" s="105" t="n"/>
      <c r="E194" s="105" t="n"/>
      <c r="F194" s="105" t="n"/>
      <c r="G194" s="105" t="n"/>
      <c r="H194" s="2" t="n"/>
      <c r="I194" s="105" t="n"/>
      <c r="K194" s="215" t="n"/>
      <c r="L194" s="215" t="n"/>
      <c r="M194" s="215" t="n"/>
      <c r="N194" s="215" t="n"/>
      <c r="O194" s="215" t="n"/>
      <c r="P194" s="215" t="n"/>
      <c r="Q194" s="215" t="n"/>
      <c r="R194" s="215" t="n"/>
      <c r="S194" s="215" t="n"/>
      <c r="T194" s="215" t="n"/>
      <c r="U194" s="215" t="n"/>
      <c r="V194" s="215" t="n"/>
      <c r="W194" s="215" t="n"/>
      <c r="X194" s="215" t="n"/>
      <c r="Y194" s="215" t="n"/>
      <c r="Z194" s="215" t="n"/>
      <c r="AA194" s="215" t="n"/>
      <c r="AB194" s="215" t="n"/>
      <c r="AC194" s="215" t="n"/>
      <c r="AD194" s="215" t="n"/>
      <c r="AE194" s="215" t="n"/>
      <c r="AF194" s="215" t="n"/>
      <c r="AG194" s="215" t="n"/>
      <c r="AH194" s="215" t="n"/>
      <c r="AI194" s="215" t="n"/>
      <c r="AJ194" s="215" t="n"/>
      <c r="AK194" s="216" t="n"/>
    </row>
    <row r="195" ht="15" customHeight="1">
      <c r="B195" s="134" t="n"/>
      <c r="C195" s="105" t="n"/>
      <c r="D195" s="105" t="n"/>
      <c r="E195" s="105" t="n"/>
      <c r="F195" s="105" t="n"/>
      <c r="G195" s="105" t="n"/>
      <c r="H195" s="2" t="n"/>
      <c r="I195" s="105" t="n"/>
      <c r="K195" s="215" t="n"/>
      <c r="L195" s="215" t="n"/>
      <c r="M195" s="215" t="n"/>
      <c r="N195" s="215" t="n"/>
      <c r="O195" s="215" t="n"/>
      <c r="P195" s="215" t="n"/>
      <c r="Q195" s="215" t="n"/>
      <c r="R195" s="215" t="n"/>
      <c r="S195" s="215" t="n"/>
      <c r="T195" s="215" t="n"/>
      <c r="U195" s="215" t="n"/>
      <c r="V195" s="215" t="n"/>
      <c r="W195" s="215" t="n"/>
      <c r="X195" s="215" t="n"/>
      <c r="Y195" s="215" t="n"/>
      <c r="Z195" s="215" t="n"/>
      <c r="AA195" s="215" t="n"/>
      <c r="AB195" s="215" t="n"/>
      <c r="AC195" s="215" t="n"/>
      <c r="AD195" s="215" t="n"/>
      <c r="AE195" s="215" t="n"/>
      <c r="AF195" s="215" t="n"/>
      <c r="AG195" s="215" t="n"/>
      <c r="AH195" s="215" t="n"/>
      <c r="AI195" s="215" t="n"/>
      <c r="AJ195" s="215" t="n"/>
      <c r="AK195" s="216" t="n"/>
    </row>
    <row r="196" ht="15" customHeight="1">
      <c r="B196" s="134" t="n"/>
      <c r="C196" s="105" t="n"/>
      <c r="D196" s="105" t="n"/>
      <c r="E196" s="105" t="n"/>
      <c r="F196" s="105" t="n"/>
      <c r="G196" s="105" t="n"/>
      <c r="H196" s="2" t="n"/>
      <c r="I196" s="105" t="n"/>
      <c r="K196" s="215" t="n"/>
      <c r="L196" s="215" t="n"/>
      <c r="M196" s="215" t="n"/>
      <c r="N196" s="215" t="n"/>
      <c r="O196" s="215" t="n"/>
      <c r="P196" s="215" t="n"/>
      <c r="Q196" s="215" t="n"/>
      <c r="R196" s="215" t="n"/>
      <c r="S196" s="215" t="n"/>
      <c r="T196" s="215" t="n"/>
      <c r="U196" s="215" t="n"/>
      <c r="V196" s="215" t="n"/>
      <c r="W196" s="215" t="n"/>
      <c r="X196" s="215" t="n"/>
      <c r="Y196" s="215" t="n"/>
      <c r="Z196" s="215" t="n"/>
      <c r="AA196" s="215" t="n"/>
      <c r="AB196" s="215" t="n"/>
      <c r="AC196" s="215" t="n"/>
      <c r="AD196" s="215" t="n"/>
      <c r="AE196" s="215" t="n"/>
      <c r="AF196" s="215" t="n"/>
      <c r="AG196" s="215" t="n"/>
      <c r="AH196" s="215" t="n"/>
      <c r="AI196" s="215" t="n"/>
      <c r="AJ196" s="215" t="n"/>
      <c r="AK196" s="216" t="n"/>
    </row>
    <row r="197" ht="15" customHeight="1">
      <c r="B197" s="134" t="n"/>
      <c r="C197" s="105" t="n"/>
      <c r="D197" s="105" t="n"/>
      <c r="E197" s="105" t="n"/>
      <c r="F197" s="105" t="n"/>
      <c r="G197" s="105" t="n"/>
      <c r="H197" s="2" t="n"/>
      <c r="I197" s="105" t="n"/>
      <c r="K197" s="215" t="n"/>
      <c r="L197" s="215" t="n"/>
      <c r="M197" s="215" t="n"/>
      <c r="N197" s="215" t="n"/>
      <c r="O197" s="215" t="n"/>
      <c r="P197" s="215" t="n"/>
      <c r="Q197" s="215" t="n"/>
      <c r="R197" s="215" t="n"/>
      <c r="S197" s="215" t="n"/>
      <c r="T197" s="215" t="n"/>
      <c r="U197" s="215" t="n"/>
      <c r="V197" s="215" t="n"/>
      <c r="W197" s="215" t="n"/>
      <c r="X197" s="215" t="n"/>
      <c r="Y197" s="215" t="n"/>
      <c r="Z197" s="215" t="n"/>
      <c r="AA197" s="215" t="n"/>
      <c r="AB197" s="215" t="n"/>
      <c r="AC197" s="215" t="n"/>
      <c r="AD197" s="215" t="n"/>
      <c r="AE197" s="215" t="n"/>
      <c r="AF197" s="215" t="n"/>
      <c r="AG197" s="215" t="n"/>
      <c r="AH197" s="215" t="n"/>
      <c r="AI197" s="215" t="n"/>
      <c r="AJ197" s="215" t="n"/>
      <c r="AK197" s="216" t="n"/>
    </row>
    <row r="198" ht="15" customHeight="1">
      <c r="B198" s="134" t="n"/>
      <c r="C198" s="105" t="n"/>
      <c r="D198" s="105" t="n"/>
      <c r="E198" s="105" t="n"/>
      <c r="F198" s="105" t="n"/>
      <c r="G198" s="105" t="n"/>
      <c r="H198" s="2" t="n"/>
      <c r="I198" s="105" t="n"/>
      <c r="K198" s="215" t="n"/>
      <c r="L198" s="215" t="n"/>
      <c r="M198" s="215" t="n"/>
      <c r="N198" s="215" t="n"/>
      <c r="O198" s="215" t="n"/>
      <c r="P198" s="215" t="n"/>
      <c r="Q198" s="215" t="n"/>
      <c r="R198" s="215" t="n"/>
      <c r="S198" s="215" t="n"/>
      <c r="T198" s="215" t="n"/>
      <c r="U198" s="215" t="n"/>
      <c r="V198" s="215" t="n"/>
      <c r="W198" s="215" t="n"/>
      <c r="X198" s="215" t="n"/>
      <c r="Y198" s="215" t="n"/>
      <c r="Z198" s="215" t="n"/>
      <c r="AA198" s="215" t="n"/>
      <c r="AB198" s="215" t="n"/>
      <c r="AC198" s="215" t="n"/>
      <c r="AD198" s="215" t="n"/>
      <c r="AE198" s="215" t="n"/>
      <c r="AF198" s="215" t="n"/>
      <c r="AG198" s="215" t="n"/>
      <c r="AH198" s="215" t="n"/>
      <c r="AI198" s="215" t="n"/>
      <c r="AJ198" s="215" t="n"/>
      <c r="AK198" s="216" t="n"/>
    </row>
    <row r="199" ht="15" customHeight="1">
      <c r="B199" s="134" t="n"/>
      <c r="C199" s="105" t="n"/>
      <c r="D199" s="105" t="n"/>
      <c r="E199" s="105" t="n"/>
      <c r="F199" s="105" t="n"/>
      <c r="G199" s="105" t="n"/>
      <c r="H199" s="2" t="n"/>
      <c r="I199" s="105" t="n"/>
      <c r="K199" s="215" t="n"/>
      <c r="L199" s="215" t="n"/>
      <c r="M199" s="215" t="n"/>
      <c r="N199" s="215" t="n"/>
      <c r="O199" s="215" t="n"/>
      <c r="P199" s="215" t="n"/>
      <c r="Q199" s="215" t="n"/>
      <c r="R199" s="215" t="n"/>
      <c r="S199" s="215" t="n"/>
      <c r="T199" s="215" t="n"/>
      <c r="U199" s="215" t="n"/>
      <c r="V199" s="215" t="n"/>
      <c r="W199" s="215" t="n"/>
      <c r="X199" s="215" t="n"/>
      <c r="Y199" s="215" t="n"/>
      <c r="Z199" s="215" t="n"/>
      <c r="AA199" s="215" t="n"/>
      <c r="AB199" s="215" t="n"/>
      <c r="AC199" s="215" t="n"/>
      <c r="AD199" s="215" t="n"/>
      <c r="AE199" s="215" t="n"/>
      <c r="AF199" s="215" t="n"/>
      <c r="AG199" s="215" t="n"/>
      <c r="AH199" s="215" t="n"/>
      <c r="AI199" s="215" t="n"/>
      <c r="AJ199" s="215" t="n"/>
      <c r="AK199" s="216" t="n"/>
    </row>
    <row r="200" ht="15" customHeight="1">
      <c r="B200" s="134" t="n"/>
      <c r="C200" s="105" t="n"/>
      <c r="D200" s="105" t="n"/>
      <c r="E200" s="105" t="n"/>
      <c r="F200" s="105" t="n"/>
      <c r="G200" s="105" t="n"/>
      <c r="H200" s="2" t="n"/>
      <c r="I200" s="105" t="n"/>
      <c r="K200" s="215" t="n"/>
      <c r="L200" s="215" t="n"/>
      <c r="M200" s="215" t="n"/>
      <c r="N200" s="215" t="n"/>
      <c r="O200" s="215" t="n"/>
      <c r="P200" s="215" t="n"/>
      <c r="Q200" s="215" t="n"/>
      <c r="R200" s="215" t="n"/>
      <c r="S200" s="215" t="n"/>
      <c r="T200" s="215" t="n"/>
      <c r="U200" s="215" t="n"/>
      <c r="V200" s="215" t="n"/>
      <c r="W200" s="215" t="n"/>
      <c r="X200" s="215" t="n"/>
      <c r="Y200" s="215" t="n"/>
      <c r="Z200" s="215" t="n"/>
      <c r="AA200" s="215" t="n"/>
      <c r="AB200" s="215" t="n"/>
      <c r="AC200" s="215" t="n"/>
      <c r="AD200" s="215" t="n"/>
      <c r="AE200" s="215" t="n"/>
      <c r="AF200" s="215" t="n"/>
      <c r="AG200" s="215" t="n"/>
      <c r="AH200" s="215" t="n"/>
      <c r="AI200" s="215" t="n"/>
      <c r="AJ200" s="215" t="n"/>
      <c r="AK200" s="216" t="n"/>
    </row>
    <row r="201" ht="15" customHeight="1">
      <c r="B201" s="134" t="n"/>
      <c r="C201" s="105" t="n"/>
      <c r="D201" s="105" t="n"/>
      <c r="E201" s="105" t="n"/>
      <c r="F201" s="105" t="n"/>
      <c r="G201" s="105" t="n"/>
      <c r="H201" s="2" t="n"/>
      <c r="I201" s="105" t="n"/>
      <c r="K201" s="215" t="n"/>
      <c r="L201" s="215" t="n"/>
      <c r="M201" s="215" t="n"/>
      <c r="N201" s="215" t="n"/>
      <c r="O201" s="215" t="n"/>
      <c r="P201" s="215" t="n"/>
      <c r="Q201" s="215" t="n"/>
      <c r="R201" s="215" t="n"/>
      <c r="S201" s="215" t="n"/>
      <c r="T201" s="215" t="n"/>
      <c r="U201" s="215" t="n"/>
      <c r="V201" s="215" t="n"/>
      <c r="W201" s="215" t="n"/>
      <c r="X201" s="215" t="n"/>
      <c r="Y201" s="215" t="n"/>
      <c r="Z201" s="215" t="n"/>
      <c r="AA201" s="215" t="n"/>
      <c r="AB201" s="215" t="n"/>
      <c r="AC201" s="215" t="n"/>
      <c r="AD201" s="215" t="n"/>
      <c r="AE201" s="215" t="n"/>
      <c r="AF201" s="215" t="n"/>
      <c r="AG201" s="215" t="n"/>
      <c r="AH201" s="215" t="n"/>
      <c r="AI201" s="215" t="n"/>
      <c r="AJ201" s="215" t="n"/>
      <c r="AK201" s="216" t="n"/>
    </row>
    <row r="202" ht="15" customHeight="1">
      <c r="B202" s="134" t="n"/>
      <c r="C202" s="105" t="n"/>
      <c r="D202" s="105" t="n"/>
      <c r="E202" s="105" t="n"/>
      <c r="F202" s="105" t="n"/>
      <c r="G202" s="105" t="n"/>
      <c r="H202" s="2" t="n"/>
      <c r="I202" s="105" t="n"/>
      <c r="K202" s="215" t="n"/>
      <c r="L202" s="215" t="n"/>
      <c r="M202" s="215" t="n"/>
      <c r="N202" s="215" t="n"/>
      <c r="O202" s="215" t="n"/>
      <c r="P202" s="215" t="n"/>
      <c r="Q202" s="215" t="n"/>
      <c r="R202" s="215" t="n"/>
      <c r="S202" s="215" t="n"/>
      <c r="T202" s="215" t="n"/>
      <c r="U202" s="215" t="n"/>
      <c r="V202" s="215" t="n"/>
      <c r="W202" s="215" t="n"/>
      <c r="X202" s="215" t="n"/>
      <c r="Y202" s="215" t="n"/>
      <c r="Z202" s="215" t="n"/>
      <c r="AA202" s="215" t="n"/>
      <c r="AB202" s="215" t="n"/>
      <c r="AC202" s="215" t="n"/>
      <c r="AD202" s="215" t="n"/>
      <c r="AE202" s="215" t="n"/>
      <c r="AF202" s="215" t="n"/>
      <c r="AG202" s="215" t="n"/>
      <c r="AH202" s="215" t="n"/>
      <c r="AI202" s="215" t="n"/>
      <c r="AJ202" s="215" t="n"/>
      <c r="AK202" s="216" t="n"/>
    </row>
    <row r="203" ht="15" customHeight="1">
      <c r="B203" s="134" t="n"/>
      <c r="C203" s="105" t="n"/>
      <c r="D203" s="105" t="n"/>
      <c r="E203" s="105" t="n"/>
      <c r="F203" s="105" t="n"/>
      <c r="G203" s="105" t="n"/>
      <c r="H203" s="2" t="n"/>
      <c r="I203" s="105" t="n"/>
      <c r="K203" s="215" t="n"/>
      <c r="L203" s="215" t="n"/>
      <c r="M203" s="215" t="n"/>
      <c r="N203" s="215" t="n"/>
      <c r="O203" s="215" t="n"/>
      <c r="P203" s="215" t="n"/>
      <c r="Q203" s="215" t="n"/>
      <c r="R203" s="215" t="n"/>
      <c r="S203" s="215" t="n"/>
      <c r="T203" s="215" t="n"/>
      <c r="U203" s="215" t="n"/>
      <c r="V203" s="215" t="n"/>
      <c r="W203" s="215" t="n"/>
      <c r="X203" s="215" t="n"/>
      <c r="Y203" s="215" t="n"/>
      <c r="Z203" s="215" t="n"/>
      <c r="AA203" s="215" t="n"/>
      <c r="AB203" s="215" t="n"/>
      <c r="AC203" s="215" t="n"/>
      <c r="AD203" s="215" t="n"/>
      <c r="AE203" s="215" t="n"/>
      <c r="AF203" s="215" t="n"/>
      <c r="AG203" s="215" t="n"/>
      <c r="AH203" s="215" t="n"/>
      <c r="AI203" s="215" t="n"/>
      <c r="AJ203" s="215" t="n"/>
      <c r="AK203" s="216" t="n"/>
    </row>
    <row r="204" ht="15" customHeight="1">
      <c r="B204" s="134" t="n"/>
      <c r="C204" s="105" t="n"/>
      <c r="D204" s="105" t="n"/>
      <c r="E204" s="105" t="n"/>
      <c r="F204" s="105" t="n"/>
      <c r="G204" s="105" t="n"/>
      <c r="H204" s="2" t="n"/>
      <c r="I204" s="105" t="n"/>
      <c r="K204" s="215" t="n"/>
      <c r="L204" s="215" t="n"/>
      <c r="M204" s="215" t="n"/>
      <c r="N204" s="215" t="n"/>
      <c r="O204" s="215" t="n"/>
      <c r="P204" s="215" t="n"/>
      <c r="Q204" s="215" t="n"/>
      <c r="R204" s="215" t="n"/>
      <c r="S204" s="215" t="n"/>
      <c r="T204" s="215" t="n"/>
      <c r="U204" s="215" t="n"/>
      <c r="V204" s="215" t="n"/>
      <c r="W204" s="215" t="n"/>
      <c r="X204" s="215" t="n"/>
      <c r="Y204" s="215" t="n"/>
      <c r="Z204" s="215" t="n"/>
      <c r="AA204" s="215" t="n"/>
      <c r="AB204" s="215" t="n"/>
      <c r="AC204" s="215" t="n"/>
      <c r="AD204" s="215" t="n"/>
      <c r="AE204" s="215" t="n"/>
      <c r="AF204" s="215" t="n"/>
      <c r="AG204" s="215" t="n"/>
      <c r="AH204" s="215" t="n"/>
      <c r="AI204" s="215" t="n"/>
      <c r="AJ204" s="215" t="n"/>
      <c r="AK204" s="216" t="n"/>
    </row>
    <row r="205" ht="15" customHeight="1">
      <c r="B205" s="134" t="n"/>
      <c r="C205" s="105" t="n"/>
      <c r="D205" s="105" t="n"/>
      <c r="E205" s="105" t="n"/>
      <c r="F205" s="105" t="n"/>
      <c r="G205" s="105" t="n"/>
      <c r="H205" s="2" t="n"/>
      <c r="I205" s="105" t="n"/>
      <c r="K205" s="215" t="n"/>
      <c r="L205" s="215" t="n"/>
      <c r="M205" s="215" t="n"/>
      <c r="N205" s="215" t="n"/>
      <c r="O205" s="215" t="n"/>
      <c r="P205" s="215" t="n"/>
      <c r="Q205" s="215" t="n"/>
      <c r="R205" s="215" t="n"/>
      <c r="S205" s="215" t="n"/>
      <c r="T205" s="215" t="n"/>
      <c r="U205" s="215" t="n"/>
      <c r="V205" s="215" t="n"/>
      <c r="W205" s="215" t="n"/>
      <c r="X205" s="215" t="n"/>
      <c r="Y205" s="215" t="n"/>
      <c r="Z205" s="215" t="n"/>
      <c r="AA205" s="215" t="n"/>
      <c r="AB205" s="215" t="n"/>
      <c r="AC205" s="215" t="n"/>
      <c r="AD205" s="215" t="n"/>
      <c r="AE205" s="215" t="n"/>
      <c r="AF205" s="215" t="n"/>
      <c r="AG205" s="215" t="n"/>
      <c r="AH205" s="215" t="n"/>
      <c r="AI205" s="215" t="n"/>
      <c r="AJ205" s="215" t="n"/>
      <c r="AK205" s="216" t="n"/>
    </row>
    <row r="206" ht="15" customHeight="1">
      <c r="B206" s="134" t="n"/>
      <c r="C206" s="105" t="n"/>
      <c r="D206" s="105" t="n"/>
      <c r="E206" s="105" t="n"/>
      <c r="F206" s="105" t="n"/>
      <c r="G206" s="105" t="n"/>
      <c r="H206" s="2" t="n"/>
      <c r="I206" s="105" t="n"/>
      <c r="K206" s="215" t="n"/>
      <c r="L206" s="215" t="n"/>
      <c r="M206" s="215" t="n"/>
      <c r="N206" s="215" t="n"/>
      <c r="O206" s="215" t="n"/>
      <c r="P206" s="215" t="n"/>
      <c r="Q206" s="215" t="n"/>
      <c r="R206" s="215" t="n"/>
      <c r="S206" s="215" t="n"/>
      <c r="T206" s="215" t="n"/>
      <c r="U206" s="215" t="n"/>
      <c r="V206" s="215" t="n"/>
      <c r="W206" s="215" t="n"/>
      <c r="X206" s="215" t="n"/>
      <c r="Y206" s="215" t="n"/>
      <c r="Z206" s="215" t="n"/>
      <c r="AA206" s="215" t="n"/>
      <c r="AB206" s="215" t="n"/>
      <c r="AC206" s="215" t="n"/>
      <c r="AD206" s="215" t="n"/>
      <c r="AE206" s="215" t="n"/>
      <c r="AF206" s="215" t="n"/>
      <c r="AG206" s="215" t="n"/>
      <c r="AH206" s="215" t="n"/>
      <c r="AI206" s="215" t="n"/>
      <c r="AJ206" s="215" t="n"/>
      <c r="AK206" s="216" t="n"/>
    </row>
    <row r="207" ht="15" customHeight="1">
      <c r="B207" s="134" t="n"/>
      <c r="C207" s="105" t="n"/>
      <c r="D207" s="105" t="n"/>
      <c r="E207" s="105" t="n"/>
      <c r="F207" s="105" t="n"/>
      <c r="G207" s="105" t="n"/>
      <c r="H207" s="2" t="n"/>
      <c r="I207" s="105" t="n"/>
      <c r="K207" s="215" t="n"/>
      <c r="L207" s="215" t="n"/>
      <c r="M207" s="215" t="n"/>
      <c r="N207" s="215" t="n"/>
      <c r="O207" s="215" t="n"/>
      <c r="P207" s="215" t="n"/>
      <c r="Q207" s="215" t="n"/>
      <c r="R207" s="215" t="n"/>
      <c r="S207" s="215" t="n"/>
      <c r="T207" s="215" t="n"/>
      <c r="U207" s="215" t="n"/>
      <c r="V207" s="215" t="n"/>
      <c r="W207" s="215" t="n"/>
      <c r="X207" s="215" t="n"/>
      <c r="Y207" s="215" t="n"/>
      <c r="Z207" s="215" t="n"/>
      <c r="AA207" s="215" t="n"/>
      <c r="AB207" s="215" t="n"/>
      <c r="AC207" s="215" t="n"/>
      <c r="AD207" s="215" t="n"/>
      <c r="AE207" s="215" t="n"/>
      <c r="AF207" s="215" t="n"/>
      <c r="AG207" s="215" t="n"/>
      <c r="AH207" s="215" t="n"/>
      <c r="AI207" s="215" t="n"/>
      <c r="AJ207" s="215" t="n"/>
      <c r="AK207" s="216" t="n"/>
    </row>
    <row r="208" ht="15" customHeight="1">
      <c r="B208" s="134" t="n"/>
      <c r="C208" s="105" t="n"/>
      <c r="D208" s="105" t="n"/>
      <c r="E208" s="105" t="n"/>
      <c r="F208" s="105" t="n"/>
      <c r="G208" s="105" t="n"/>
      <c r="H208" s="2" t="n"/>
      <c r="I208" s="105" t="n"/>
      <c r="K208" s="215" t="n"/>
      <c r="L208" s="215" t="n"/>
      <c r="M208" s="215" t="n"/>
      <c r="N208" s="215" t="n"/>
      <c r="O208" s="215" t="n"/>
      <c r="P208" s="215" t="n"/>
      <c r="Q208" s="215" t="n"/>
      <c r="R208" s="215" t="n"/>
      <c r="S208" s="215" t="n"/>
      <c r="T208" s="215" t="n"/>
      <c r="U208" s="215" t="n"/>
      <c r="V208" s="215" t="n"/>
      <c r="W208" s="215" t="n"/>
      <c r="X208" s="215" t="n"/>
      <c r="Y208" s="215" t="n"/>
      <c r="Z208" s="215" t="n"/>
      <c r="AA208" s="215" t="n"/>
      <c r="AB208" s="215" t="n"/>
      <c r="AC208" s="215" t="n"/>
      <c r="AD208" s="215" t="n"/>
      <c r="AE208" s="215" t="n"/>
      <c r="AF208" s="215" t="n"/>
      <c r="AG208" s="215" t="n"/>
      <c r="AH208" s="215" t="n"/>
      <c r="AI208" s="215" t="n"/>
      <c r="AJ208" s="215" t="n"/>
      <c r="AK208" s="216" t="n"/>
    </row>
    <row r="209" ht="15" customHeight="1">
      <c r="B209" s="134" t="n"/>
      <c r="C209" s="105" t="n"/>
      <c r="D209" s="105" t="n"/>
      <c r="E209" s="105" t="n"/>
      <c r="F209" s="105" t="n"/>
      <c r="G209" s="105" t="n"/>
      <c r="H209" s="2" t="n"/>
      <c r="I209" s="105" t="n"/>
      <c r="K209" s="215" t="n"/>
      <c r="L209" s="215" t="n"/>
      <c r="M209" s="215" t="n"/>
      <c r="N209" s="215" t="n"/>
      <c r="O209" s="215" t="n"/>
      <c r="P209" s="215" t="n"/>
      <c r="Q209" s="215" t="n"/>
      <c r="R209" s="215" t="n"/>
      <c r="S209" s="215" t="n"/>
      <c r="T209" s="215" t="n"/>
      <c r="U209" s="215" t="n"/>
      <c r="V209" s="215" t="n"/>
      <c r="W209" s="215" t="n"/>
      <c r="X209" s="215" t="n"/>
      <c r="Y209" s="215" t="n"/>
      <c r="Z209" s="215" t="n"/>
      <c r="AA209" s="215" t="n"/>
      <c r="AB209" s="215" t="n"/>
      <c r="AC209" s="215" t="n"/>
      <c r="AD209" s="215" t="n"/>
      <c r="AE209" s="215" t="n"/>
      <c r="AF209" s="215" t="n"/>
      <c r="AG209" s="215" t="n"/>
      <c r="AH209" s="215" t="n"/>
      <c r="AI209" s="215" t="n"/>
      <c r="AJ209" s="215" t="n"/>
      <c r="AK209" s="216" t="n"/>
    </row>
    <row r="210" ht="15" customHeight="1">
      <c r="B210" s="134" t="n"/>
      <c r="C210" s="105" t="n"/>
      <c r="D210" s="105" t="n"/>
      <c r="E210" s="105" t="n"/>
      <c r="F210" s="105" t="n"/>
      <c r="G210" s="105" t="n"/>
      <c r="H210" s="2" t="n"/>
      <c r="I210" s="105" t="n"/>
      <c r="K210" s="215" t="n"/>
      <c r="L210" s="215" t="n"/>
      <c r="M210" s="215" t="n"/>
      <c r="N210" s="215" t="n"/>
      <c r="O210" s="215" t="n"/>
      <c r="P210" s="215" t="n"/>
      <c r="Q210" s="215" t="n"/>
      <c r="R210" s="215" t="n"/>
      <c r="S210" s="215" t="n"/>
      <c r="T210" s="215" t="n"/>
      <c r="U210" s="215" t="n"/>
      <c r="V210" s="215" t="n"/>
      <c r="W210" s="215" t="n"/>
      <c r="X210" s="215" t="n"/>
      <c r="Y210" s="215" t="n"/>
      <c r="Z210" s="215" t="n"/>
      <c r="AA210" s="215" t="n"/>
      <c r="AB210" s="215" t="n"/>
      <c r="AC210" s="215" t="n"/>
      <c r="AD210" s="215" t="n"/>
      <c r="AE210" s="215" t="n"/>
      <c r="AF210" s="215" t="n"/>
      <c r="AG210" s="215" t="n"/>
      <c r="AH210" s="215" t="n"/>
      <c r="AI210" s="215" t="n"/>
      <c r="AJ210" s="215" t="n"/>
      <c r="AK210" s="216" t="n"/>
    </row>
    <row r="211" ht="15" customHeight="1">
      <c r="B211" s="134" t="n"/>
      <c r="C211" s="105" t="n"/>
      <c r="D211" s="105" t="n"/>
      <c r="E211" s="105" t="n"/>
      <c r="F211" s="105" t="n"/>
      <c r="G211" s="105" t="n"/>
      <c r="H211" s="2" t="n"/>
      <c r="I211" s="105" t="n"/>
      <c r="K211" s="215" t="n"/>
      <c r="L211" s="215" t="n"/>
      <c r="M211" s="215" t="n"/>
      <c r="N211" s="215" t="n"/>
      <c r="O211" s="215" t="n"/>
      <c r="P211" s="215" t="n"/>
      <c r="Q211" s="215" t="n"/>
      <c r="R211" s="215" t="n"/>
      <c r="S211" s="215" t="n"/>
      <c r="T211" s="215" t="n"/>
      <c r="U211" s="215" t="n"/>
      <c r="V211" s="215" t="n"/>
      <c r="W211" s="215" t="n"/>
      <c r="X211" s="215" t="n"/>
      <c r="Y211" s="215" t="n"/>
      <c r="Z211" s="215" t="n"/>
      <c r="AA211" s="215" t="n"/>
      <c r="AB211" s="215" t="n"/>
      <c r="AC211" s="215" t="n"/>
      <c r="AD211" s="215" t="n"/>
      <c r="AE211" s="215" t="n"/>
      <c r="AF211" s="215" t="n"/>
      <c r="AG211" s="215" t="n"/>
      <c r="AH211" s="215" t="n"/>
      <c r="AI211" s="215" t="n"/>
      <c r="AJ211" s="215" t="n"/>
      <c r="AK211" s="216" t="n"/>
    </row>
    <row r="212" ht="15" customHeight="1">
      <c r="B212" s="134" t="n"/>
      <c r="C212" s="105" t="n"/>
      <c r="D212" s="105" t="n"/>
      <c r="E212" s="105" t="n"/>
      <c r="F212" s="105" t="n"/>
      <c r="G212" s="105" t="n"/>
      <c r="H212" s="2" t="n"/>
      <c r="I212" s="105" t="n"/>
      <c r="K212" s="215" t="n"/>
      <c r="L212" s="215" t="n"/>
      <c r="M212" s="215" t="n"/>
      <c r="N212" s="215" t="n"/>
      <c r="O212" s="215" t="n"/>
      <c r="P212" s="215" t="n"/>
      <c r="Q212" s="215" t="n"/>
      <c r="R212" s="215" t="n"/>
      <c r="S212" s="215" t="n"/>
      <c r="T212" s="215" t="n"/>
      <c r="U212" s="215" t="n"/>
      <c r="V212" s="215" t="n"/>
      <c r="W212" s="215" t="n"/>
      <c r="X212" s="215" t="n"/>
      <c r="Y212" s="215" t="n"/>
      <c r="Z212" s="215" t="n"/>
      <c r="AA212" s="215" t="n"/>
      <c r="AB212" s="215" t="n"/>
      <c r="AC212" s="215" t="n"/>
      <c r="AD212" s="215" t="n"/>
      <c r="AE212" s="215" t="n"/>
      <c r="AF212" s="215" t="n"/>
      <c r="AG212" s="215" t="n"/>
      <c r="AH212" s="215" t="n"/>
      <c r="AI212" s="215" t="n"/>
      <c r="AJ212" s="215" t="n"/>
      <c r="AK212" s="216" t="n"/>
    </row>
    <row r="213" ht="15" customHeight="1">
      <c r="B213" s="134" t="n"/>
      <c r="C213" s="105" t="n"/>
      <c r="D213" s="105" t="n"/>
      <c r="E213" s="105" t="n"/>
      <c r="F213" s="105" t="n"/>
      <c r="G213" s="105" t="n"/>
      <c r="H213" s="2" t="n"/>
      <c r="I213" s="105" t="n"/>
      <c r="K213" s="215" t="n"/>
      <c r="L213" s="215" t="n"/>
      <c r="M213" s="215" t="n"/>
      <c r="N213" s="215" t="n"/>
      <c r="O213" s="215" t="n"/>
      <c r="P213" s="215" t="n"/>
      <c r="Q213" s="215" t="n"/>
      <c r="R213" s="215" t="n"/>
      <c r="S213" s="215" t="n"/>
      <c r="T213" s="215" t="n"/>
      <c r="U213" s="215" t="n"/>
      <c r="V213" s="215" t="n"/>
      <c r="W213" s="215" t="n"/>
      <c r="X213" s="215" t="n"/>
      <c r="Y213" s="215" t="n"/>
      <c r="Z213" s="215" t="n"/>
      <c r="AA213" s="215" t="n"/>
      <c r="AB213" s="215" t="n"/>
      <c r="AC213" s="215" t="n"/>
      <c r="AD213" s="215" t="n"/>
      <c r="AE213" s="215" t="n"/>
      <c r="AF213" s="215" t="n"/>
      <c r="AG213" s="215" t="n"/>
      <c r="AH213" s="215" t="n"/>
      <c r="AI213" s="215" t="n"/>
      <c r="AJ213" s="215" t="n"/>
      <c r="AK213" s="216" t="n"/>
    </row>
    <row r="214" ht="15" customHeight="1">
      <c r="B214" s="134" t="n"/>
      <c r="C214" s="105" t="n"/>
      <c r="D214" s="105" t="n"/>
      <c r="E214" s="105" t="n"/>
      <c r="F214" s="105" t="n"/>
      <c r="G214" s="105" t="n"/>
      <c r="H214" s="2" t="n"/>
      <c r="I214" s="105" t="n"/>
      <c r="K214" s="215" t="n"/>
      <c r="L214" s="215" t="n"/>
      <c r="M214" s="215" t="n"/>
      <c r="N214" s="215" t="n"/>
      <c r="O214" s="215" t="n"/>
      <c r="P214" s="215" t="n"/>
      <c r="Q214" s="215" t="n"/>
      <c r="R214" s="215" t="n"/>
      <c r="S214" s="215" t="n"/>
      <c r="T214" s="215" t="n"/>
      <c r="U214" s="215" t="n"/>
      <c r="V214" s="215" t="n"/>
      <c r="W214" s="215" t="n"/>
      <c r="X214" s="215" t="n"/>
      <c r="Y214" s="215" t="n"/>
      <c r="Z214" s="215" t="n"/>
      <c r="AA214" s="215" t="n"/>
      <c r="AB214" s="215" t="n"/>
      <c r="AC214" s="215" t="n"/>
      <c r="AD214" s="215" t="n"/>
      <c r="AE214" s="215" t="n"/>
      <c r="AF214" s="215" t="n"/>
      <c r="AG214" s="215" t="n"/>
      <c r="AH214" s="215" t="n"/>
      <c r="AI214" s="215" t="n"/>
      <c r="AJ214" s="215" t="n"/>
      <c r="AK214" s="216" t="n"/>
    </row>
    <row r="215" ht="15" customHeight="1">
      <c r="B215" s="134" t="n"/>
      <c r="C215" s="105" t="n"/>
      <c r="D215" s="105" t="n"/>
      <c r="E215" s="105" t="n"/>
      <c r="F215" s="105" t="n"/>
      <c r="G215" s="105" t="n"/>
      <c r="H215" s="2" t="n"/>
      <c r="I215" s="105" t="n"/>
      <c r="K215" s="215" t="n"/>
      <c r="L215" s="215" t="n"/>
      <c r="M215" s="215" t="n"/>
      <c r="N215" s="215" t="n"/>
      <c r="O215" s="215" t="n"/>
      <c r="P215" s="215" t="n"/>
      <c r="Q215" s="215" t="n"/>
      <c r="R215" s="215" t="n"/>
      <c r="S215" s="215" t="n"/>
      <c r="T215" s="215" t="n"/>
      <c r="U215" s="215" t="n"/>
      <c r="V215" s="215" t="n"/>
      <c r="W215" s="215" t="n"/>
      <c r="X215" s="215" t="n"/>
      <c r="Y215" s="215" t="n"/>
      <c r="Z215" s="215" t="n"/>
      <c r="AA215" s="215" t="n"/>
      <c r="AB215" s="215" t="n"/>
      <c r="AC215" s="215" t="n"/>
      <c r="AD215" s="215" t="n"/>
      <c r="AE215" s="215" t="n"/>
      <c r="AF215" s="215" t="n"/>
      <c r="AG215" s="215" t="n"/>
      <c r="AH215" s="215" t="n"/>
      <c r="AI215" s="215" t="n"/>
      <c r="AJ215" s="215" t="n"/>
      <c r="AK215" s="216" t="n"/>
    </row>
    <row r="216" ht="15" customHeight="1">
      <c r="B216" s="134" t="n"/>
      <c r="C216" s="105" t="n"/>
      <c r="D216" s="105" t="n"/>
      <c r="E216" s="105" t="n"/>
      <c r="F216" s="105" t="n"/>
      <c r="G216" s="105" t="n"/>
      <c r="H216" s="2" t="n"/>
      <c r="I216" s="105" t="n"/>
      <c r="K216" s="215" t="n"/>
      <c r="L216" s="215" t="n"/>
      <c r="M216" s="215" t="n"/>
      <c r="N216" s="215" t="n"/>
      <c r="O216" s="215" t="n"/>
      <c r="P216" s="215" t="n"/>
      <c r="Q216" s="215" t="n"/>
      <c r="R216" s="215" t="n"/>
      <c r="S216" s="215" t="n"/>
      <c r="T216" s="215" t="n"/>
      <c r="U216" s="215" t="n"/>
      <c r="V216" s="215" t="n"/>
      <c r="W216" s="215" t="n"/>
      <c r="X216" s="215" t="n"/>
      <c r="Y216" s="215" t="n"/>
      <c r="Z216" s="215" t="n"/>
      <c r="AA216" s="215" t="n"/>
      <c r="AB216" s="215" t="n"/>
      <c r="AC216" s="215" t="n"/>
      <c r="AD216" s="215" t="n"/>
      <c r="AE216" s="215" t="n"/>
      <c r="AF216" s="215" t="n"/>
      <c r="AG216" s="215" t="n"/>
      <c r="AH216" s="215" t="n"/>
      <c r="AI216" s="215" t="n"/>
      <c r="AJ216" s="215" t="n"/>
      <c r="AK216" s="216" t="n"/>
    </row>
    <row r="217" ht="15" customHeight="1">
      <c r="B217" s="134" t="n"/>
      <c r="C217" s="105" t="n"/>
      <c r="D217" s="105" t="n"/>
      <c r="E217" s="105" t="n"/>
      <c r="F217" s="105" t="n"/>
      <c r="G217" s="105" t="n"/>
      <c r="H217" s="2" t="n"/>
      <c r="I217" s="105" t="n"/>
      <c r="K217" s="215" t="n"/>
      <c r="L217" s="215" t="n"/>
      <c r="M217" s="215" t="n"/>
      <c r="N217" s="215" t="n"/>
      <c r="O217" s="215" t="n"/>
      <c r="P217" s="215" t="n"/>
      <c r="Q217" s="215" t="n"/>
      <c r="R217" s="215" t="n"/>
      <c r="S217" s="215" t="n"/>
      <c r="T217" s="215" t="n"/>
      <c r="U217" s="215" t="n"/>
      <c r="V217" s="215" t="n"/>
      <c r="W217" s="215" t="n"/>
      <c r="X217" s="215" t="n"/>
      <c r="Y217" s="215" t="n"/>
      <c r="Z217" s="215" t="n"/>
      <c r="AA217" s="215" t="n"/>
      <c r="AB217" s="215" t="n"/>
      <c r="AC217" s="215" t="n"/>
      <c r="AD217" s="215" t="n"/>
      <c r="AE217" s="215" t="n"/>
      <c r="AF217" s="215" t="n"/>
      <c r="AG217" s="215" t="n"/>
      <c r="AH217" s="215" t="n"/>
      <c r="AI217" s="215" t="n"/>
      <c r="AJ217" s="215" t="n"/>
      <c r="AK217" s="216" t="n"/>
    </row>
    <row r="218" ht="15" customHeight="1">
      <c r="B218" s="134" t="n"/>
      <c r="C218" s="105" t="n"/>
      <c r="D218" s="105" t="n"/>
      <c r="E218" s="105" t="n"/>
      <c r="F218" s="105" t="n"/>
      <c r="G218" s="105" t="n"/>
      <c r="H218" s="2" t="n"/>
      <c r="I218" s="105" t="n"/>
      <c r="K218" s="215" t="n"/>
      <c r="L218" s="215" t="n"/>
      <c r="M218" s="215" t="n"/>
      <c r="N218" s="215" t="n"/>
      <c r="O218" s="215" t="n"/>
      <c r="P218" s="215" t="n"/>
      <c r="Q218" s="215" t="n"/>
      <c r="R218" s="215" t="n"/>
      <c r="S218" s="215" t="n"/>
      <c r="T218" s="215" t="n"/>
      <c r="U218" s="215" t="n"/>
      <c r="V218" s="215" t="n"/>
      <c r="W218" s="215" t="n"/>
      <c r="X218" s="215" t="n"/>
      <c r="Y218" s="215" t="n"/>
      <c r="Z218" s="215" t="n"/>
      <c r="AA218" s="215" t="n"/>
      <c r="AB218" s="215" t="n"/>
      <c r="AC218" s="215" t="n"/>
      <c r="AD218" s="215" t="n"/>
      <c r="AE218" s="215" t="n"/>
      <c r="AF218" s="215" t="n"/>
      <c r="AG218" s="215" t="n"/>
      <c r="AH218" s="215" t="n"/>
      <c r="AI218" s="215" t="n"/>
      <c r="AJ218" s="215" t="n"/>
      <c r="AK218" s="216" t="n"/>
    </row>
    <row r="219" ht="15" customHeight="1">
      <c r="B219" s="134" t="n"/>
      <c r="C219" s="105" t="n"/>
      <c r="D219" s="105" t="n"/>
      <c r="E219" s="105" t="n"/>
      <c r="F219" s="105" t="n"/>
      <c r="G219" s="105" t="n"/>
      <c r="H219" s="2" t="n"/>
      <c r="I219" s="105" t="n"/>
      <c r="K219" s="215" t="n"/>
      <c r="L219" s="215" t="n"/>
      <c r="M219" s="215" t="n"/>
      <c r="N219" s="215" t="n"/>
      <c r="O219" s="215" t="n"/>
      <c r="P219" s="215" t="n"/>
      <c r="Q219" s="215" t="n"/>
      <c r="R219" s="215" t="n"/>
      <c r="S219" s="215" t="n"/>
      <c r="T219" s="215" t="n"/>
      <c r="U219" s="215" t="n"/>
      <c r="V219" s="215" t="n"/>
      <c r="W219" s="215" t="n"/>
      <c r="X219" s="215" t="n"/>
      <c r="Y219" s="215" t="n"/>
      <c r="Z219" s="215" t="n"/>
      <c r="AA219" s="215" t="n"/>
      <c r="AB219" s="215" t="n"/>
      <c r="AC219" s="215" t="n"/>
      <c r="AD219" s="215" t="n"/>
      <c r="AE219" s="215" t="n"/>
      <c r="AF219" s="215" t="n"/>
      <c r="AG219" s="215" t="n"/>
      <c r="AH219" s="215" t="n"/>
      <c r="AI219" s="215" t="n"/>
      <c r="AJ219" s="215" t="n"/>
      <c r="AK219" s="216" t="n"/>
    </row>
    <row r="220" ht="15" customHeight="1">
      <c r="B220" s="134" t="n"/>
      <c r="C220" s="105" t="n"/>
      <c r="D220" s="105" t="n"/>
      <c r="E220" s="105" t="n"/>
      <c r="F220" s="105" t="n"/>
      <c r="G220" s="105" t="n"/>
      <c r="H220" s="2" t="n"/>
      <c r="I220" s="105" t="n"/>
      <c r="K220" s="215" t="n"/>
      <c r="L220" s="215" t="n"/>
      <c r="M220" s="215" t="n"/>
      <c r="N220" s="215" t="n"/>
      <c r="O220" s="215" t="n"/>
      <c r="P220" s="215" t="n"/>
      <c r="Q220" s="215" t="n"/>
      <c r="R220" s="215" t="n"/>
      <c r="S220" s="215" t="n"/>
      <c r="T220" s="215" t="n"/>
      <c r="U220" s="215" t="n"/>
      <c r="V220" s="215" t="n"/>
      <c r="W220" s="215" t="n"/>
      <c r="X220" s="215" t="n"/>
      <c r="Y220" s="215" t="n"/>
      <c r="Z220" s="215" t="n"/>
      <c r="AA220" s="215" t="n"/>
      <c r="AB220" s="215" t="n"/>
      <c r="AC220" s="215" t="n"/>
      <c r="AD220" s="215" t="n"/>
      <c r="AE220" s="215" t="n"/>
      <c r="AF220" s="215" t="n"/>
      <c r="AG220" s="215" t="n"/>
      <c r="AH220" s="215" t="n"/>
      <c r="AI220" s="215" t="n"/>
      <c r="AJ220" s="215" t="n"/>
      <c r="AK220" s="216" t="n"/>
    </row>
    <row r="221" ht="15" customHeight="1">
      <c r="B221" s="134" t="n"/>
      <c r="C221" s="105" t="n"/>
      <c r="D221" s="105" t="n"/>
      <c r="E221" s="105" t="n"/>
      <c r="F221" s="105" t="n"/>
      <c r="G221" s="105" t="n"/>
      <c r="H221" s="2" t="n"/>
      <c r="I221" s="105" t="n"/>
      <c r="K221" s="215" t="n"/>
      <c r="L221" s="215" t="n"/>
      <c r="M221" s="215" t="n"/>
      <c r="N221" s="215" t="n"/>
      <c r="O221" s="215" t="n"/>
      <c r="P221" s="215" t="n"/>
      <c r="Q221" s="215" t="n"/>
      <c r="R221" s="215" t="n"/>
      <c r="S221" s="215" t="n"/>
      <c r="T221" s="215" t="n"/>
      <c r="U221" s="215" t="n"/>
      <c r="V221" s="215" t="n"/>
      <c r="W221" s="215" t="n"/>
      <c r="X221" s="215" t="n"/>
      <c r="Y221" s="215" t="n"/>
      <c r="Z221" s="215" t="n"/>
      <c r="AA221" s="215" t="n"/>
      <c r="AB221" s="215" t="n"/>
      <c r="AC221" s="215" t="n"/>
      <c r="AD221" s="215" t="n"/>
      <c r="AE221" s="215" t="n"/>
      <c r="AF221" s="215" t="n"/>
      <c r="AG221" s="215" t="n"/>
      <c r="AH221" s="215" t="n"/>
      <c r="AI221" s="215" t="n"/>
      <c r="AJ221" s="215" t="n"/>
      <c r="AK221" s="216" t="n"/>
    </row>
    <row r="222" ht="15" customHeight="1">
      <c r="B222" s="134" t="n"/>
      <c r="C222" s="105" t="n"/>
      <c r="D222" s="105" t="n"/>
      <c r="E222" s="105" t="n"/>
      <c r="F222" s="105" t="n"/>
      <c r="G222" s="105" t="n"/>
      <c r="H222" s="2" t="n"/>
      <c r="I222" s="105" t="n"/>
      <c r="K222" s="215" t="n"/>
      <c r="L222" s="215" t="n"/>
      <c r="M222" s="215" t="n"/>
      <c r="N222" s="215" t="n"/>
      <c r="O222" s="215" t="n"/>
      <c r="P222" s="215" t="n"/>
      <c r="Q222" s="215" t="n"/>
      <c r="R222" s="215" t="n"/>
      <c r="S222" s="215" t="n"/>
      <c r="T222" s="215" t="n"/>
      <c r="U222" s="215" t="n"/>
      <c r="V222" s="215" t="n"/>
      <c r="W222" s="215" t="n"/>
      <c r="X222" s="215" t="n"/>
      <c r="Y222" s="215" t="n"/>
      <c r="Z222" s="215" t="n"/>
      <c r="AA222" s="215" t="n"/>
      <c r="AB222" s="215" t="n"/>
      <c r="AC222" s="215" t="n"/>
      <c r="AD222" s="215" t="n"/>
      <c r="AE222" s="215" t="n"/>
      <c r="AF222" s="215" t="n"/>
      <c r="AG222" s="215" t="n"/>
      <c r="AH222" s="215" t="n"/>
      <c r="AI222" s="215" t="n"/>
      <c r="AJ222" s="215" t="n"/>
      <c r="AK222" s="216" t="n"/>
    </row>
    <row r="223" ht="15" customHeight="1">
      <c r="B223" s="134" t="n"/>
      <c r="C223" s="105" t="n"/>
      <c r="D223" s="105" t="n"/>
      <c r="E223" s="105" t="n"/>
      <c r="F223" s="105" t="n"/>
      <c r="G223" s="105" t="n"/>
      <c r="H223" s="2" t="n"/>
      <c r="I223" s="105" t="n"/>
      <c r="K223" s="215" t="n"/>
      <c r="L223" s="215" t="n"/>
      <c r="M223" s="215" t="n"/>
      <c r="N223" s="215" t="n"/>
      <c r="O223" s="215" t="n"/>
      <c r="P223" s="215" t="n"/>
      <c r="Q223" s="215" t="n"/>
      <c r="R223" s="215" t="n"/>
      <c r="S223" s="215" t="n"/>
      <c r="T223" s="215" t="n"/>
      <c r="U223" s="215" t="n"/>
      <c r="V223" s="215" t="n"/>
      <c r="W223" s="215" t="n"/>
      <c r="X223" s="215" t="n"/>
      <c r="Y223" s="215" t="n"/>
      <c r="Z223" s="215" t="n"/>
      <c r="AA223" s="215" t="n"/>
      <c r="AB223" s="215" t="n"/>
      <c r="AC223" s="215" t="n"/>
      <c r="AD223" s="215" t="n"/>
      <c r="AE223" s="215" t="n"/>
      <c r="AF223" s="215" t="n"/>
      <c r="AG223" s="215" t="n"/>
      <c r="AH223" s="215" t="n"/>
      <c r="AI223" s="215" t="n"/>
      <c r="AJ223" s="215" t="n"/>
      <c r="AK223" s="216" t="n"/>
    </row>
    <row r="224" ht="15" customHeight="1">
      <c r="B224" s="134" t="n"/>
      <c r="C224" s="105" t="n"/>
      <c r="D224" s="105" t="n"/>
      <c r="E224" s="105" t="n"/>
      <c r="F224" s="105" t="n"/>
      <c r="G224" s="105" t="n"/>
      <c r="H224" s="2" t="n"/>
      <c r="I224" s="105" t="n"/>
      <c r="K224" s="215" t="n"/>
      <c r="L224" s="215" t="n"/>
      <c r="M224" s="215" t="n"/>
      <c r="N224" s="215" t="n"/>
      <c r="O224" s="215" t="n"/>
      <c r="P224" s="215" t="n"/>
      <c r="Q224" s="215" t="n"/>
      <c r="R224" s="215" t="n"/>
      <c r="S224" s="215" t="n"/>
      <c r="T224" s="215" t="n"/>
      <c r="U224" s="215" t="n"/>
      <c r="V224" s="215" t="n"/>
      <c r="W224" s="215" t="n"/>
      <c r="X224" s="215" t="n"/>
      <c r="Y224" s="215" t="n"/>
      <c r="Z224" s="215" t="n"/>
      <c r="AA224" s="215" t="n"/>
      <c r="AB224" s="215" t="n"/>
      <c r="AC224" s="215" t="n"/>
      <c r="AD224" s="215" t="n"/>
      <c r="AE224" s="215" t="n"/>
      <c r="AF224" s="215" t="n"/>
      <c r="AG224" s="215" t="n"/>
      <c r="AH224" s="215" t="n"/>
      <c r="AI224" s="215" t="n"/>
      <c r="AJ224" s="215" t="n"/>
      <c r="AK224" s="216" t="n"/>
    </row>
    <row r="225" ht="15" customHeight="1">
      <c r="B225" s="134" t="n"/>
      <c r="C225" s="105" t="n"/>
      <c r="D225" s="105" t="n"/>
      <c r="E225" s="105" t="n"/>
      <c r="F225" s="105" t="n"/>
      <c r="G225" s="105" t="n"/>
      <c r="H225" s="2" t="n"/>
      <c r="I225" s="105" t="n"/>
      <c r="K225" s="215" t="n"/>
      <c r="L225" s="215" t="n"/>
      <c r="M225" s="215" t="n"/>
      <c r="N225" s="215" t="n"/>
      <c r="O225" s="215" t="n"/>
      <c r="P225" s="215" t="n"/>
      <c r="Q225" s="215" t="n"/>
      <c r="R225" s="215" t="n"/>
      <c r="S225" s="215" t="n"/>
      <c r="T225" s="215" t="n"/>
      <c r="U225" s="215" t="n"/>
      <c r="V225" s="215" t="n"/>
      <c r="W225" s="215" t="n"/>
      <c r="X225" s="215" t="n"/>
      <c r="Y225" s="215" t="n"/>
      <c r="Z225" s="215" t="n"/>
      <c r="AA225" s="215" t="n"/>
      <c r="AB225" s="215" t="n"/>
      <c r="AC225" s="215" t="n"/>
      <c r="AD225" s="215" t="n"/>
      <c r="AE225" s="215" t="n"/>
      <c r="AF225" s="215" t="n"/>
      <c r="AG225" s="215" t="n"/>
      <c r="AH225" s="215" t="n"/>
      <c r="AI225" s="215" t="n"/>
      <c r="AJ225" s="215" t="n"/>
      <c r="AK225" s="216" t="n"/>
    </row>
    <row r="226" ht="15" customHeight="1">
      <c r="B226" s="134" t="n"/>
      <c r="C226" s="105" t="n"/>
      <c r="D226" s="105" t="n"/>
      <c r="E226" s="105" t="n"/>
      <c r="F226" s="105" t="n"/>
      <c r="G226" s="105" t="n"/>
      <c r="H226" s="2" t="n"/>
      <c r="I226" s="105" t="n"/>
      <c r="K226" s="215" t="n"/>
      <c r="L226" s="215" t="n"/>
      <c r="M226" s="215" t="n"/>
      <c r="N226" s="215" t="n"/>
      <c r="O226" s="215" t="n"/>
      <c r="P226" s="215" t="n"/>
      <c r="Q226" s="215" t="n"/>
      <c r="R226" s="215" t="n"/>
      <c r="S226" s="215" t="n"/>
      <c r="T226" s="215" t="n"/>
      <c r="U226" s="215" t="n"/>
      <c r="V226" s="215" t="n"/>
      <c r="W226" s="215" t="n"/>
      <c r="X226" s="215" t="n"/>
      <c r="Y226" s="215" t="n"/>
      <c r="Z226" s="215" t="n"/>
      <c r="AA226" s="215" t="n"/>
      <c r="AB226" s="215" t="n"/>
      <c r="AC226" s="215" t="n"/>
      <c r="AD226" s="215" t="n"/>
      <c r="AE226" s="215" t="n"/>
      <c r="AF226" s="215" t="n"/>
      <c r="AG226" s="215" t="n"/>
      <c r="AH226" s="215" t="n"/>
      <c r="AI226" s="215" t="n"/>
      <c r="AJ226" s="215" t="n"/>
      <c r="AK226" s="216" t="n"/>
    </row>
    <row r="227" ht="15" customHeight="1">
      <c r="B227" s="134" t="n"/>
      <c r="C227" s="105" t="n"/>
      <c r="D227" s="105" t="n"/>
      <c r="E227" s="105" t="n"/>
      <c r="F227" s="105" t="n"/>
      <c r="G227" s="105" t="n"/>
      <c r="H227" s="2" t="n"/>
      <c r="I227" s="105" t="n"/>
      <c r="K227" s="215" t="n"/>
      <c r="L227" s="215" t="n"/>
      <c r="M227" s="215" t="n"/>
      <c r="N227" s="215" t="n"/>
      <c r="O227" s="215" t="n"/>
      <c r="P227" s="215" t="n"/>
      <c r="Q227" s="215" t="n"/>
      <c r="R227" s="215" t="n"/>
      <c r="S227" s="215" t="n"/>
      <c r="T227" s="215" t="n"/>
      <c r="U227" s="215" t="n"/>
      <c r="V227" s="215" t="n"/>
      <c r="W227" s="215" t="n"/>
      <c r="X227" s="215" t="n"/>
      <c r="Y227" s="215" t="n"/>
      <c r="Z227" s="215" t="n"/>
      <c r="AA227" s="215" t="n"/>
      <c r="AB227" s="215" t="n"/>
      <c r="AC227" s="215" t="n"/>
      <c r="AD227" s="215" t="n"/>
      <c r="AE227" s="215" t="n"/>
      <c r="AF227" s="215" t="n"/>
      <c r="AG227" s="215" t="n"/>
      <c r="AH227" s="215" t="n"/>
      <c r="AI227" s="215" t="n"/>
      <c r="AJ227" s="215" t="n"/>
      <c r="AK227" s="216" t="n"/>
    </row>
    <row r="228" ht="15" customHeight="1">
      <c r="B228" s="134" t="n"/>
      <c r="C228" s="105" t="n"/>
      <c r="D228" s="105" t="n"/>
      <c r="E228" s="105" t="n"/>
      <c r="F228" s="105" t="n"/>
      <c r="G228" s="105" t="n"/>
      <c r="H228" s="2" t="n"/>
      <c r="I228" s="105" t="n"/>
      <c r="K228" s="215" t="n"/>
      <c r="L228" s="215" t="n"/>
      <c r="M228" s="215" t="n"/>
      <c r="N228" s="215" t="n"/>
      <c r="O228" s="215" t="n"/>
      <c r="P228" s="215" t="n"/>
      <c r="Q228" s="215" t="n"/>
      <c r="R228" s="215" t="n"/>
      <c r="S228" s="215" t="n"/>
      <c r="T228" s="215" t="n"/>
      <c r="U228" s="215" t="n"/>
      <c r="V228" s="215" t="n"/>
      <c r="W228" s="215" t="n"/>
      <c r="X228" s="215" t="n"/>
      <c r="Y228" s="215" t="n"/>
      <c r="Z228" s="215" t="n"/>
      <c r="AA228" s="215" t="n"/>
      <c r="AB228" s="215" t="n"/>
      <c r="AC228" s="215" t="n"/>
      <c r="AD228" s="215" t="n"/>
      <c r="AE228" s="215" t="n"/>
      <c r="AF228" s="215" t="n"/>
      <c r="AG228" s="215" t="n"/>
      <c r="AH228" s="215" t="n"/>
      <c r="AI228" s="215" t="n"/>
      <c r="AJ228" s="215" t="n"/>
      <c r="AK228" s="216" t="n"/>
    </row>
    <row r="229" ht="15" customHeight="1">
      <c r="B229" s="134" t="n"/>
      <c r="C229" s="105" t="n"/>
      <c r="D229" s="105" t="n"/>
      <c r="E229" s="105" t="n"/>
      <c r="F229" s="105" t="n"/>
      <c r="G229" s="105" t="n"/>
      <c r="H229" s="2" t="n"/>
      <c r="I229" s="105" t="n"/>
      <c r="K229" s="215" t="n"/>
      <c r="L229" s="215" t="n"/>
      <c r="M229" s="215" t="n"/>
      <c r="N229" s="215" t="n"/>
      <c r="O229" s="215" t="n"/>
      <c r="P229" s="215" t="n"/>
      <c r="Q229" s="215" t="n"/>
      <c r="R229" s="215" t="n"/>
      <c r="S229" s="215" t="n"/>
      <c r="T229" s="215" t="n"/>
      <c r="U229" s="215" t="n"/>
      <c r="V229" s="215" t="n"/>
      <c r="W229" s="215" t="n"/>
      <c r="X229" s="215" t="n"/>
      <c r="Y229" s="215" t="n"/>
      <c r="Z229" s="215" t="n"/>
      <c r="AA229" s="215" t="n"/>
      <c r="AB229" s="215" t="n"/>
      <c r="AC229" s="215" t="n"/>
      <c r="AD229" s="215" t="n"/>
      <c r="AE229" s="215" t="n"/>
      <c r="AF229" s="215" t="n"/>
      <c r="AG229" s="215" t="n"/>
      <c r="AH229" s="215" t="n"/>
      <c r="AI229" s="215" t="n"/>
      <c r="AJ229" s="215" t="n"/>
      <c r="AK229" s="216" t="n"/>
    </row>
    <row r="230" ht="15" customHeight="1">
      <c r="B230" s="134" t="n"/>
      <c r="C230" s="105" t="n"/>
      <c r="D230" s="105" t="n"/>
      <c r="E230" s="105" t="n"/>
      <c r="F230" s="105" t="n"/>
      <c r="G230" s="105" t="n"/>
      <c r="H230" s="2" t="n"/>
      <c r="I230" s="105" t="n"/>
      <c r="K230" s="215" t="n"/>
      <c r="L230" s="215" t="n"/>
      <c r="M230" s="215" t="n"/>
      <c r="N230" s="215" t="n"/>
      <c r="O230" s="215" t="n"/>
      <c r="P230" s="215" t="n"/>
      <c r="Q230" s="215" t="n"/>
      <c r="R230" s="215" t="n"/>
      <c r="S230" s="215" t="n"/>
      <c r="T230" s="215" t="n"/>
      <c r="U230" s="215" t="n"/>
      <c r="V230" s="215" t="n"/>
      <c r="W230" s="215" t="n"/>
      <c r="X230" s="215" t="n"/>
      <c r="Y230" s="215" t="n"/>
      <c r="Z230" s="215" t="n"/>
      <c r="AA230" s="215" t="n"/>
      <c r="AB230" s="215" t="n"/>
      <c r="AC230" s="215" t="n"/>
      <c r="AD230" s="215" t="n"/>
      <c r="AE230" s="215" t="n"/>
      <c r="AF230" s="215" t="n"/>
      <c r="AG230" s="215" t="n"/>
      <c r="AH230" s="215" t="n"/>
      <c r="AI230" s="215" t="n"/>
      <c r="AJ230" s="215" t="n"/>
      <c r="AK230" s="216" t="n"/>
    </row>
    <row r="231" ht="15" customHeight="1">
      <c r="B231" s="134" t="n"/>
      <c r="C231" s="105" t="n"/>
      <c r="D231" s="105" t="n"/>
      <c r="E231" s="105" t="n"/>
      <c r="F231" s="105" t="n"/>
      <c r="G231" s="105" t="n"/>
      <c r="H231" s="2" t="n"/>
      <c r="I231" s="105" t="n"/>
      <c r="K231" s="215" t="n"/>
      <c r="L231" s="215" t="n"/>
      <c r="M231" s="215" t="n"/>
      <c r="N231" s="215" t="n"/>
      <c r="O231" s="215" t="n"/>
      <c r="P231" s="215" t="n"/>
      <c r="Q231" s="215" t="n"/>
      <c r="R231" s="215" t="n"/>
      <c r="S231" s="215" t="n"/>
      <c r="T231" s="215" t="n"/>
      <c r="U231" s="215" t="n"/>
      <c r="V231" s="215" t="n"/>
      <c r="W231" s="215" t="n"/>
      <c r="X231" s="215" t="n"/>
      <c r="Y231" s="215" t="n"/>
      <c r="Z231" s="215" t="n"/>
      <c r="AA231" s="215" t="n"/>
      <c r="AB231" s="215" t="n"/>
      <c r="AC231" s="215" t="n"/>
      <c r="AD231" s="215" t="n"/>
      <c r="AE231" s="215" t="n"/>
      <c r="AF231" s="215" t="n"/>
      <c r="AG231" s="215" t="n"/>
      <c r="AH231" s="215" t="n"/>
      <c r="AI231" s="215" t="n"/>
      <c r="AJ231" s="215" t="n"/>
      <c r="AK231" s="216" t="n"/>
    </row>
    <row r="232" ht="15" customHeight="1">
      <c r="B232" s="134" t="n"/>
      <c r="C232" s="105" t="n"/>
      <c r="D232" s="105" t="n"/>
      <c r="E232" s="105" t="n"/>
      <c r="F232" s="105" t="n"/>
      <c r="G232" s="105" t="n"/>
      <c r="H232" s="2" t="n"/>
      <c r="I232" s="105" t="n"/>
      <c r="K232" s="215" t="n"/>
      <c r="L232" s="215" t="n"/>
      <c r="M232" s="215" t="n"/>
      <c r="N232" s="215" t="n"/>
      <c r="O232" s="215" t="n"/>
      <c r="P232" s="215" t="n"/>
      <c r="Q232" s="215" t="n"/>
      <c r="R232" s="215" t="n"/>
      <c r="S232" s="215" t="n"/>
      <c r="T232" s="215" t="n"/>
      <c r="U232" s="215" t="n"/>
      <c r="V232" s="215" t="n"/>
      <c r="W232" s="215" t="n"/>
      <c r="X232" s="215" t="n"/>
      <c r="Y232" s="215" t="n"/>
      <c r="Z232" s="215" t="n"/>
      <c r="AA232" s="215" t="n"/>
      <c r="AB232" s="215" t="n"/>
      <c r="AC232" s="215" t="n"/>
      <c r="AD232" s="215" t="n"/>
      <c r="AE232" s="215" t="n"/>
      <c r="AF232" s="215" t="n"/>
      <c r="AG232" s="215" t="n"/>
      <c r="AH232" s="215" t="n"/>
      <c r="AI232" s="215" t="n"/>
      <c r="AJ232" s="215" t="n"/>
      <c r="AK232" s="216" t="n"/>
    </row>
    <row r="233" ht="15" customHeight="1">
      <c r="B233" s="134" t="n"/>
      <c r="C233" s="105" t="n"/>
      <c r="D233" s="105" t="n"/>
      <c r="E233" s="105" t="n"/>
      <c r="F233" s="105" t="n"/>
      <c r="G233" s="105" t="n"/>
      <c r="H233" s="2" t="n"/>
      <c r="I233" s="105" t="n"/>
      <c r="K233" s="215" t="n"/>
      <c r="L233" s="215" t="n"/>
      <c r="M233" s="215" t="n"/>
      <c r="N233" s="215" t="n"/>
      <c r="O233" s="215" t="n"/>
      <c r="P233" s="215" t="n"/>
      <c r="Q233" s="215" t="n"/>
      <c r="R233" s="215" t="n"/>
      <c r="S233" s="215" t="n"/>
      <c r="T233" s="215" t="n"/>
      <c r="U233" s="215" t="n"/>
      <c r="V233" s="215" t="n"/>
      <c r="W233" s="215" t="n"/>
      <c r="X233" s="215" t="n"/>
      <c r="Y233" s="215" t="n"/>
      <c r="Z233" s="215" t="n"/>
      <c r="AA233" s="215" t="n"/>
      <c r="AB233" s="215" t="n"/>
      <c r="AC233" s="215" t="n"/>
      <c r="AD233" s="215" t="n"/>
      <c r="AE233" s="215" t="n"/>
      <c r="AF233" s="215" t="n"/>
      <c r="AG233" s="215" t="n"/>
      <c r="AH233" s="215" t="n"/>
      <c r="AI233" s="215" t="n"/>
      <c r="AJ233" s="215" t="n"/>
      <c r="AK233" s="216" t="n"/>
    </row>
    <row r="234" ht="15" customHeight="1">
      <c r="B234" s="134" t="n"/>
      <c r="C234" s="105" t="n"/>
      <c r="D234" s="105" t="n"/>
      <c r="E234" s="105" t="n"/>
      <c r="F234" s="105" t="n"/>
      <c r="G234" s="105" t="n"/>
      <c r="H234" s="2" t="n"/>
      <c r="I234" s="105" t="n"/>
      <c r="K234" s="215" t="n"/>
      <c r="L234" s="215" t="n"/>
      <c r="M234" s="215" t="n"/>
      <c r="N234" s="215" t="n"/>
      <c r="O234" s="215" t="n"/>
      <c r="P234" s="215" t="n"/>
      <c r="Q234" s="215" t="n"/>
      <c r="R234" s="215" t="n"/>
      <c r="S234" s="215" t="n"/>
      <c r="T234" s="215" t="n"/>
      <c r="U234" s="215" t="n"/>
      <c r="V234" s="215" t="n"/>
      <c r="W234" s="215" t="n"/>
      <c r="X234" s="215" t="n"/>
      <c r="Y234" s="215" t="n"/>
      <c r="Z234" s="215" t="n"/>
      <c r="AA234" s="215" t="n"/>
      <c r="AB234" s="215" t="n"/>
      <c r="AC234" s="215" t="n"/>
      <c r="AD234" s="215" t="n"/>
      <c r="AE234" s="215" t="n"/>
      <c r="AF234" s="215" t="n"/>
      <c r="AG234" s="215" t="n"/>
      <c r="AH234" s="215" t="n"/>
      <c r="AI234" s="215" t="n"/>
      <c r="AJ234" s="215" t="n"/>
      <c r="AK234" s="216" t="n"/>
    </row>
    <row r="235" ht="15" customHeight="1">
      <c r="B235" s="134" t="n"/>
      <c r="C235" s="105" t="n"/>
      <c r="D235" s="105" t="n"/>
      <c r="E235" s="105" t="n"/>
      <c r="F235" s="105" t="n"/>
      <c r="G235" s="105" t="n"/>
      <c r="H235" s="2" t="n"/>
      <c r="I235" s="105" t="n"/>
      <c r="K235" s="215" t="n"/>
      <c r="L235" s="215" t="n"/>
      <c r="M235" s="215" t="n"/>
      <c r="N235" s="215" t="n"/>
      <c r="O235" s="215" t="n"/>
      <c r="P235" s="215" t="n"/>
      <c r="Q235" s="215" t="n"/>
      <c r="R235" s="215" t="n"/>
      <c r="S235" s="215" t="n"/>
      <c r="T235" s="215" t="n"/>
      <c r="U235" s="215" t="n"/>
      <c r="V235" s="215" t="n"/>
      <c r="W235" s="215" t="n"/>
      <c r="X235" s="215" t="n"/>
      <c r="Y235" s="215" t="n"/>
      <c r="Z235" s="215" t="n"/>
      <c r="AA235" s="215" t="n"/>
      <c r="AB235" s="215" t="n"/>
      <c r="AC235" s="215" t="n"/>
      <c r="AD235" s="215" t="n"/>
      <c r="AE235" s="215" t="n"/>
      <c r="AF235" s="215" t="n"/>
      <c r="AG235" s="215" t="n"/>
      <c r="AH235" s="215" t="n"/>
      <c r="AI235" s="215" t="n"/>
      <c r="AJ235" s="215" t="n"/>
      <c r="AK235" s="216" t="n"/>
    </row>
    <row r="236" ht="15" customHeight="1">
      <c r="B236" s="134" t="n"/>
      <c r="C236" s="105" t="n"/>
      <c r="D236" s="105" t="n"/>
      <c r="E236" s="105" t="n"/>
      <c r="F236" s="105" t="n"/>
      <c r="G236" s="105" t="n"/>
      <c r="H236" s="2" t="n"/>
      <c r="I236" s="105" t="n"/>
      <c r="K236" s="215" t="n"/>
      <c r="L236" s="215" t="n"/>
      <c r="M236" s="215" t="n"/>
      <c r="N236" s="215" t="n"/>
      <c r="O236" s="215" t="n"/>
      <c r="P236" s="215" t="n"/>
      <c r="Q236" s="215" t="n"/>
      <c r="R236" s="215" t="n"/>
      <c r="S236" s="215" t="n"/>
      <c r="T236" s="215" t="n"/>
      <c r="U236" s="215" t="n"/>
      <c r="V236" s="215" t="n"/>
      <c r="W236" s="215" t="n"/>
      <c r="X236" s="215" t="n"/>
      <c r="Y236" s="215" t="n"/>
      <c r="Z236" s="215" t="n"/>
      <c r="AA236" s="215" t="n"/>
      <c r="AB236" s="215" t="n"/>
      <c r="AC236" s="215" t="n"/>
      <c r="AD236" s="215" t="n"/>
      <c r="AE236" s="215" t="n"/>
      <c r="AF236" s="215" t="n"/>
      <c r="AG236" s="215" t="n"/>
      <c r="AH236" s="215" t="n"/>
      <c r="AI236" s="215" t="n"/>
      <c r="AJ236" s="215" t="n"/>
      <c r="AK236" s="216" t="n"/>
    </row>
    <row r="237" ht="15" customHeight="1">
      <c r="B237" s="134" t="n"/>
      <c r="C237" s="105" t="n"/>
      <c r="D237" s="105" t="n"/>
      <c r="E237" s="105" t="n"/>
      <c r="F237" s="105" t="n"/>
      <c r="G237" s="105" t="n"/>
      <c r="H237" s="2" t="n"/>
      <c r="I237" s="105" t="n"/>
      <c r="K237" s="215" t="n"/>
      <c r="L237" s="215" t="n"/>
      <c r="M237" s="215" t="n"/>
      <c r="N237" s="215" t="n"/>
      <c r="O237" s="215" t="n"/>
      <c r="P237" s="215" t="n"/>
      <c r="Q237" s="215" t="n"/>
      <c r="R237" s="215" t="n"/>
      <c r="S237" s="215" t="n"/>
      <c r="T237" s="215" t="n"/>
      <c r="U237" s="215" t="n"/>
      <c r="V237" s="215" t="n"/>
      <c r="W237" s="215" t="n"/>
      <c r="X237" s="215" t="n"/>
      <c r="Y237" s="215" t="n"/>
      <c r="Z237" s="215" t="n"/>
      <c r="AA237" s="215" t="n"/>
      <c r="AB237" s="215" t="n"/>
      <c r="AC237" s="215" t="n"/>
      <c r="AD237" s="215" t="n"/>
      <c r="AE237" s="215" t="n"/>
      <c r="AF237" s="215" t="n"/>
      <c r="AG237" s="215" t="n"/>
      <c r="AH237" s="215" t="n"/>
      <c r="AI237" s="215" t="n"/>
      <c r="AJ237" s="215" t="n"/>
      <c r="AK237" s="216" t="n"/>
    </row>
    <row r="238" ht="15" customHeight="1">
      <c r="B238" s="134" t="n"/>
      <c r="C238" s="105" t="n"/>
      <c r="D238" s="105" t="n"/>
      <c r="E238" s="105" t="n"/>
      <c r="F238" s="105" t="n"/>
      <c r="G238" s="105" t="n"/>
      <c r="H238" s="2" t="n"/>
      <c r="I238" s="105" t="n"/>
      <c r="K238" s="215" t="n"/>
      <c r="L238" s="215" t="n"/>
      <c r="M238" s="215" t="n"/>
      <c r="N238" s="215" t="n"/>
      <c r="O238" s="215" t="n"/>
      <c r="P238" s="215" t="n"/>
      <c r="Q238" s="215" t="n"/>
      <c r="R238" s="215" t="n"/>
      <c r="S238" s="215" t="n"/>
      <c r="T238" s="215" t="n"/>
      <c r="U238" s="215" t="n"/>
      <c r="V238" s="215" t="n"/>
      <c r="W238" s="215" t="n"/>
      <c r="X238" s="215" t="n"/>
      <c r="Y238" s="215" t="n"/>
      <c r="Z238" s="215" t="n"/>
      <c r="AA238" s="215" t="n"/>
      <c r="AB238" s="215" t="n"/>
      <c r="AC238" s="215" t="n"/>
      <c r="AD238" s="215" t="n"/>
      <c r="AE238" s="215" t="n"/>
      <c r="AF238" s="215" t="n"/>
      <c r="AG238" s="215" t="n"/>
      <c r="AH238" s="215" t="n"/>
      <c r="AI238" s="215" t="n"/>
      <c r="AJ238" s="215" t="n"/>
      <c r="AK238" s="216" t="n"/>
    </row>
    <row r="239" ht="15" customHeight="1">
      <c r="B239" s="134" t="n"/>
      <c r="C239" s="105" t="n"/>
      <c r="D239" s="105" t="n"/>
      <c r="E239" s="105" t="n"/>
      <c r="F239" s="105" t="n"/>
      <c r="G239" s="105" t="n"/>
      <c r="H239" s="2" t="n"/>
      <c r="I239" s="105" t="n"/>
      <c r="K239" s="215" t="n"/>
      <c r="L239" s="215" t="n"/>
      <c r="M239" s="215" t="n"/>
      <c r="N239" s="215" t="n"/>
      <c r="O239" s="215" t="n"/>
      <c r="P239" s="215" t="n"/>
      <c r="Q239" s="215" t="n"/>
      <c r="R239" s="215" t="n"/>
      <c r="S239" s="215" t="n"/>
      <c r="T239" s="215" t="n"/>
      <c r="U239" s="215" t="n"/>
      <c r="V239" s="215" t="n"/>
      <c r="W239" s="215" t="n"/>
      <c r="X239" s="215" t="n"/>
      <c r="Y239" s="215" t="n"/>
      <c r="Z239" s="215" t="n"/>
      <c r="AA239" s="215" t="n"/>
      <c r="AB239" s="215" t="n"/>
      <c r="AC239" s="215" t="n"/>
      <c r="AD239" s="215" t="n"/>
      <c r="AE239" s="215" t="n"/>
      <c r="AF239" s="215" t="n"/>
      <c r="AG239" s="215" t="n"/>
      <c r="AH239" s="215" t="n"/>
      <c r="AI239" s="215" t="n"/>
      <c r="AJ239" s="215" t="n"/>
      <c r="AK239" s="216" t="n"/>
    </row>
    <row r="240" ht="15" customHeight="1">
      <c r="B240" s="134" t="n"/>
      <c r="C240" s="105" t="n"/>
      <c r="D240" s="105" t="n"/>
      <c r="E240" s="105" t="n"/>
      <c r="F240" s="105" t="n"/>
      <c r="G240" s="105" t="n"/>
      <c r="H240" s="2" t="n"/>
      <c r="I240" s="105" t="n"/>
      <c r="K240" s="215" t="n"/>
      <c r="L240" s="215" t="n"/>
      <c r="M240" s="215" t="n"/>
      <c r="N240" s="215" t="n"/>
      <c r="O240" s="215" t="n"/>
      <c r="P240" s="215" t="n"/>
      <c r="Q240" s="215" t="n"/>
      <c r="R240" s="215" t="n"/>
      <c r="S240" s="215" t="n"/>
      <c r="T240" s="215" t="n"/>
      <c r="U240" s="215" t="n"/>
      <c r="V240" s="215" t="n"/>
      <c r="W240" s="215" t="n"/>
      <c r="X240" s="215" t="n"/>
      <c r="Y240" s="215" t="n"/>
      <c r="Z240" s="215" t="n"/>
      <c r="AA240" s="215" t="n"/>
      <c r="AB240" s="215" t="n"/>
      <c r="AC240" s="215" t="n"/>
      <c r="AD240" s="215" t="n"/>
      <c r="AE240" s="215" t="n"/>
      <c r="AF240" s="215" t="n"/>
      <c r="AG240" s="215" t="n"/>
      <c r="AH240" s="215" t="n"/>
      <c r="AI240" s="215" t="n"/>
      <c r="AJ240" s="215" t="n"/>
      <c r="AK240" s="216" t="n"/>
    </row>
    <row r="241" ht="15" customHeight="1">
      <c r="B241" s="134" t="n"/>
      <c r="C241" s="105" t="n"/>
      <c r="D241" s="105" t="n"/>
      <c r="E241" s="105" t="n"/>
      <c r="F241" s="105" t="n"/>
      <c r="G241" s="105" t="n"/>
      <c r="H241" s="2" t="n"/>
      <c r="I241" s="105" t="n"/>
      <c r="K241" s="215" t="n"/>
      <c r="L241" s="215" t="n"/>
      <c r="M241" s="215" t="n"/>
      <c r="N241" s="215" t="n"/>
      <c r="O241" s="215" t="n"/>
      <c r="P241" s="215" t="n"/>
      <c r="Q241" s="215" t="n"/>
      <c r="R241" s="215" t="n"/>
      <c r="S241" s="215" t="n"/>
      <c r="T241" s="215" t="n"/>
      <c r="U241" s="215" t="n"/>
      <c r="V241" s="215" t="n"/>
      <c r="W241" s="215" t="n"/>
      <c r="X241" s="215" t="n"/>
      <c r="Y241" s="215" t="n"/>
      <c r="Z241" s="215" t="n"/>
      <c r="AA241" s="215" t="n"/>
      <c r="AB241" s="215" t="n"/>
      <c r="AC241" s="215" t="n"/>
      <c r="AD241" s="215" t="n"/>
      <c r="AE241" s="215" t="n"/>
      <c r="AF241" s="215" t="n"/>
      <c r="AG241" s="215" t="n"/>
      <c r="AH241" s="215" t="n"/>
      <c r="AI241" s="215" t="n"/>
      <c r="AJ241" s="215" t="n"/>
      <c r="AK241" s="216" t="n"/>
    </row>
    <row r="242" ht="15" customHeight="1">
      <c r="B242" s="134" t="n"/>
      <c r="C242" s="105" t="n"/>
      <c r="D242" s="105" t="n"/>
      <c r="E242" s="105" t="n"/>
      <c r="F242" s="105" t="n"/>
      <c r="G242" s="105" t="n"/>
      <c r="H242" s="2" t="n"/>
      <c r="I242" s="105" t="n"/>
      <c r="K242" s="215" t="n"/>
      <c r="L242" s="215" t="n"/>
      <c r="M242" s="215" t="n"/>
      <c r="N242" s="215" t="n"/>
      <c r="O242" s="215" t="n"/>
      <c r="P242" s="215" t="n"/>
      <c r="Q242" s="215" t="n"/>
      <c r="R242" s="215" t="n"/>
      <c r="S242" s="215" t="n"/>
      <c r="T242" s="215" t="n"/>
      <c r="U242" s="215" t="n"/>
      <c r="V242" s="215" t="n"/>
      <c r="W242" s="215" t="n"/>
      <c r="X242" s="215" t="n"/>
      <c r="Y242" s="215" t="n"/>
      <c r="Z242" s="215" t="n"/>
      <c r="AA242" s="215" t="n"/>
      <c r="AB242" s="215" t="n"/>
      <c r="AC242" s="215" t="n"/>
      <c r="AD242" s="215" t="n"/>
      <c r="AE242" s="215" t="n"/>
      <c r="AF242" s="215" t="n"/>
      <c r="AG242" s="215" t="n"/>
      <c r="AH242" s="215" t="n"/>
      <c r="AI242" s="215" t="n"/>
      <c r="AJ242" s="215" t="n"/>
      <c r="AK242" s="216" t="n"/>
    </row>
    <row r="243" ht="15" customHeight="1">
      <c r="B243" s="134" t="n"/>
      <c r="C243" s="105" t="n"/>
      <c r="D243" s="105" t="n"/>
      <c r="E243" s="105" t="n"/>
      <c r="F243" s="105" t="n"/>
      <c r="G243" s="105" t="n"/>
      <c r="H243" s="2" t="n"/>
      <c r="I243" s="105" t="n"/>
      <c r="K243" s="215" t="n"/>
      <c r="L243" s="215" t="n"/>
      <c r="M243" s="215" t="n"/>
      <c r="N243" s="215" t="n"/>
      <c r="O243" s="215" t="n"/>
      <c r="P243" s="215" t="n"/>
      <c r="Q243" s="215" t="n"/>
      <c r="R243" s="215" t="n"/>
      <c r="S243" s="215" t="n"/>
      <c r="T243" s="215" t="n"/>
      <c r="U243" s="215" t="n"/>
      <c r="V243" s="215" t="n"/>
      <c r="W243" s="215" t="n"/>
      <c r="X243" s="215" t="n"/>
      <c r="Y243" s="215" t="n"/>
      <c r="Z243" s="215" t="n"/>
      <c r="AA243" s="215" t="n"/>
      <c r="AB243" s="215" t="n"/>
      <c r="AC243" s="215" t="n"/>
      <c r="AD243" s="215" t="n"/>
      <c r="AE243" s="215" t="n"/>
      <c r="AF243" s="215" t="n"/>
      <c r="AG243" s="215" t="n"/>
      <c r="AH243" s="215" t="n"/>
      <c r="AI243" s="215" t="n"/>
      <c r="AJ243" s="215" t="n"/>
      <c r="AK243" s="216" t="n"/>
    </row>
    <row r="244" ht="15" customHeight="1">
      <c r="B244" s="134" t="n"/>
      <c r="C244" s="105" t="n"/>
      <c r="D244" s="105" t="n"/>
      <c r="E244" s="105" t="n"/>
      <c r="F244" s="105" t="n"/>
      <c r="G244" s="105" t="n"/>
      <c r="H244" s="2" t="n"/>
      <c r="I244" s="105" t="n"/>
      <c r="K244" s="215" t="n"/>
      <c r="L244" s="215" t="n"/>
      <c r="M244" s="215" t="n"/>
      <c r="N244" s="215" t="n"/>
      <c r="O244" s="215" t="n"/>
      <c r="P244" s="215" t="n"/>
      <c r="Q244" s="215" t="n"/>
      <c r="R244" s="215" t="n"/>
      <c r="S244" s="215" t="n"/>
      <c r="T244" s="215" t="n"/>
      <c r="U244" s="215" t="n"/>
      <c r="V244" s="215" t="n"/>
      <c r="W244" s="215" t="n"/>
      <c r="X244" s="215" t="n"/>
      <c r="Y244" s="215" t="n"/>
      <c r="Z244" s="215" t="n"/>
      <c r="AA244" s="215" t="n"/>
      <c r="AB244" s="215" t="n"/>
      <c r="AC244" s="215" t="n"/>
      <c r="AD244" s="215" t="n"/>
      <c r="AE244" s="215" t="n"/>
      <c r="AF244" s="215" t="n"/>
      <c r="AG244" s="215" t="n"/>
      <c r="AH244" s="215" t="n"/>
      <c r="AI244" s="215" t="n"/>
      <c r="AJ244" s="215" t="n"/>
      <c r="AK244" s="216" t="n"/>
    </row>
    <row r="245" ht="15" customHeight="1">
      <c r="B245" s="134" t="n"/>
      <c r="C245" s="105" t="n"/>
      <c r="D245" s="105" t="n"/>
      <c r="E245" s="105" t="n"/>
      <c r="F245" s="105" t="n"/>
      <c r="G245" s="105" t="n"/>
      <c r="H245" s="2" t="n"/>
      <c r="I245" s="105" t="n"/>
      <c r="K245" s="215" t="n"/>
      <c r="L245" s="215" t="n"/>
      <c r="M245" s="215" t="n"/>
      <c r="N245" s="215" t="n"/>
      <c r="O245" s="215" t="n"/>
      <c r="P245" s="215" t="n"/>
      <c r="Q245" s="215" t="n"/>
      <c r="R245" s="215" t="n"/>
      <c r="S245" s="215" t="n"/>
      <c r="T245" s="215" t="n"/>
      <c r="U245" s="215" t="n"/>
      <c r="V245" s="215" t="n"/>
      <c r="W245" s="215" t="n"/>
      <c r="X245" s="215" t="n"/>
      <c r="Y245" s="215" t="n"/>
      <c r="Z245" s="215" t="n"/>
      <c r="AA245" s="215" t="n"/>
      <c r="AB245" s="215" t="n"/>
      <c r="AC245" s="215" t="n"/>
      <c r="AD245" s="215" t="n"/>
      <c r="AE245" s="215" t="n"/>
      <c r="AF245" s="215" t="n"/>
      <c r="AG245" s="215" t="n"/>
      <c r="AH245" s="215" t="n"/>
      <c r="AI245" s="215" t="n"/>
      <c r="AJ245" s="215" t="n"/>
      <c r="AK245" s="216" t="n"/>
    </row>
    <row r="246" ht="15" customHeight="1">
      <c r="B246" s="134" t="n"/>
      <c r="C246" s="105" t="n"/>
      <c r="D246" s="105" t="n"/>
      <c r="E246" s="105" t="n"/>
      <c r="F246" s="105" t="n"/>
      <c r="G246" s="105" t="n"/>
      <c r="H246" s="2" t="n"/>
      <c r="I246" s="105" t="n"/>
      <c r="K246" s="215" t="n"/>
      <c r="L246" s="215" t="n"/>
      <c r="M246" s="215" t="n"/>
      <c r="N246" s="215" t="n"/>
      <c r="O246" s="215" t="n"/>
      <c r="P246" s="215" t="n"/>
      <c r="Q246" s="215" t="n"/>
      <c r="R246" s="215" t="n"/>
      <c r="S246" s="215" t="n"/>
      <c r="T246" s="215" t="n"/>
      <c r="U246" s="215" t="n"/>
      <c r="V246" s="215" t="n"/>
      <c r="W246" s="215" t="n"/>
      <c r="X246" s="215" t="n"/>
      <c r="Y246" s="215" t="n"/>
      <c r="Z246" s="215" t="n"/>
      <c r="AA246" s="215" t="n"/>
      <c r="AB246" s="215" t="n"/>
      <c r="AC246" s="215" t="n"/>
      <c r="AD246" s="215" t="n"/>
      <c r="AE246" s="215" t="n"/>
      <c r="AF246" s="215" t="n"/>
      <c r="AG246" s="215" t="n"/>
      <c r="AH246" s="215" t="n"/>
      <c r="AI246" s="215" t="n"/>
      <c r="AJ246" s="215" t="n"/>
      <c r="AK246" s="216" t="n"/>
    </row>
    <row r="247" ht="15" customHeight="1">
      <c r="B247" s="134" t="n"/>
      <c r="C247" s="105" t="n"/>
      <c r="D247" s="105" t="n"/>
      <c r="E247" s="105" t="n"/>
      <c r="F247" s="105" t="n"/>
      <c r="G247" s="105" t="n"/>
      <c r="H247" s="2" t="n"/>
      <c r="I247" s="105" t="n"/>
      <c r="K247" s="215" t="n"/>
      <c r="L247" s="215" t="n"/>
      <c r="M247" s="215" t="n"/>
      <c r="N247" s="215" t="n"/>
      <c r="O247" s="215" t="n"/>
      <c r="P247" s="215" t="n"/>
      <c r="Q247" s="215" t="n"/>
      <c r="R247" s="215" t="n"/>
      <c r="S247" s="215" t="n"/>
      <c r="T247" s="215" t="n"/>
      <c r="U247" s="215" t="n"/>
      <c r="V247" s="215" t="n"/>
      <c r="W247" s="215" t="n"/>
      <c r="X247" s="215" t="n"/>
      <c r="Y247" s="215" t="n"/>
      <c r="Z247" s="215" t="n"/>
      <c r="AA247" s="215" t="n"/>
      <c r="AB247" s="215" t="n"/>
      <c r="AC247" s="215" t="n"/>
      <c r="AD247" s="215" t="n"/>
      <c r="AE247" s="215" t="n"/>
      <c r="AF247" s="215" t="n"/>
      <c r="AG247" s="215" t="n"/>
      <c r="AH247" s="215" t="n"/>
      <c r="AI247" s="215" t="n"/>
      <c r="AJ247" s="215" t="n"/>
      <c r="AK247" s="216" t="n"/>
    </row>
    <row r="248" ht="15" customHeight="1">
      <c r="B248" s="134" t="n"/>
      <c r="C248" s="105" t="n"/>
      <c r="D248" s="105" t="n"/>
      <c r="E248" s="105" t="n"/>
      <c r="F248" s="105" t="n"/>
      <c r="G248" s="105" t="n"/>
      <c r="H248" s="2" t="n"/>
      <c r="I248" s="105" t="n"/>
      <c r="K248" s="215" t="n"/>
      <c r="L248" s="215" t="n"/>
      <c r="M248" s="215" t="n"/>
      <c r="N248" s="215" t="n"/>
      <c r="O248" s="215" t="n"/>
      <c r="P248" s="215" t="n"/>
      <c r="Q248" s="215" t="n"/>
      <c r="R248" s="215" t="n"/>
      <c r="S248" s="215" t="n"/>
      <c r="T248" s="215" t="n"/>
      <c r="U248" s="215" t="n"/>
      <c r="V248" s="215" t="n"/>
      <c r="W248" s="215" t="n"/>
      <c r="X248" s="215" t="n"/>
      <c r="Y248" s="215" t="n"/>
      <c r="Z248" s="215" t="n"/>
      <c r="AA248" s="215" t="n"/>
      <c r="AB248" s="215" t="n"/>
      <c r="AC248" s="215" t="n"/>
      <c r="AD248" s="215" t="n"/>
      <c r="AE248" s="215" t="n"/>
      <c r="AF248" s="215" t="n"/>
      <c r="AG248" s="215" t="n"/>
      <c r="AH248" s="215" t="n"/>
      <c r="AI248" s="215" t="n"/>
      <c r="AJ248" s="215" t="n"/>
      <c r="AK248" s="216" t="n"/>
    </row>
    <row r="249" ht="15" customHeight="1">
      <c r="B249" s="134" t="n"/>
      <c r="C249" s="105" t="n"/>
      <c r="D249" s="105" t="n"/>
      <c r="E249" s="105" t="n"/>
      <c r="F249" s="105" t="n"/>
      <c r="G249" s="105" t="n"/>
      <c r="H249" s="2" t="n"/>
      <c r="I249" s="105" t="n"/>
      <c r="K249" s="215" t="n"/>
      <c r="L249" s="215" t="n"/>
      <c r="M249" s="215" t="n"/>
      <c r="N249" s="215" t="n"/>
      <c r="O249" s="215" t="n"/>
      <c r="P249" s="215" t="n"/>
      <c r="Q249" s="215" t="n"/>
      <c r="R249" s="215" t="n"/>
      <c r="S249" s="215" t="n"/>
      <c r="T249" s="215" t="n"/>
      <c r="U249" s="215" t="n"/>
      <c r="V249" s="215" t="n"/>
      <c r="W249" s="215" t="n"/>
      <c r="X249" s="215" t="n"/>
      <c r="Y249" s="215" t="n"/>
      <c r="Z249" s="215" t="n"/>
      <c r="AA249" s="215" t="n"/>
      <c r="AB249" s="215" t="n"/>
      <c r="AC249" s="215" t="n"/>
      <c r="AD249" s="215" t="n"/>
      <c r="AE249" s="215" t="n"/>
      <c r="AF249" s="215" t="n"/>
      <c r="AG249" s="215" t="n"/>
      <c r="AH249" s="215" t="n"/>
      <c r="AI249" s="215" t="n"/>
      <c r="AJ249" s="215" t="n"/>
      <c r="AK249" s="216" t="n"/>
    </row>
    <row r="250" ht="15" customHeight="1">
      <c r="B250" s="134" t="n"/>
      <c r="C250" s="105" t="n"/>
      <c r="D250" s="105" t="n"/>
      <c r="E250" s="105" t="n"/>
      <c r="F250" s="105" t="n"/>
      <c r="G250" s="105" t="n"/>
      <c r="H250" s="2" t="n"/>
      <c r="I250" s="105" t="n"/>
      <c r="K250" s="215" t="n"/>
      <c r="L250" s="215" t="n"/>
      <c r="M250" s="215" t="n"/>
      <c r="N250" s="215" t="n"/>
      <c r="O250" s="215" t="n"/>
      <c r="P250" s="215" t="n"/>
      <c r="Q250" s="215" t="n"/>
      <c r="R250" s="215" t="n"/>
      <c r="S250" s="215" t="n"/>
      <c r="T250" s="215" t="n"/>
      <c r="U250" s="215" t="n"/>
      <c r="V250" s="215" t="n"/>
      <c r="W250" s="215" t="n"/>
      <c r="X250" s="215" t="n"/>
      <c r="Y250" s="215" t="n"/>
      <c r="Z250" s="215" t="n"/>
      <c r="AA250" s="215" t="n"/>
      <c r="AB250" s="215" t="n"/>
      <c r="AC250" s="215" t="n"/>
      <c r="AD250" s="215" t="n"/>
      <c r="AE250" s="215" t="n"/>
      <c r="AF250" s="215" t="n"/>
      <c r="AG250" s="215" t="n"/>
      <c r="AH250" s="215" t="n"/>
      <c r="AI250" s="215" t="n"/>
      <c r="AJ250" s="215" t="n"/>
      <c r="AK250" s="216" t="n"/>
    </row>
    <row r="251" ht="15" customHeight="1">
      <c r="B251" s="134" t="n"/>
      <c r="C251" s="105" t="n"/>
      <c r="D251" s="105" t="n"/>
      <c r="E251" s="105" t="n"/>
      <c r="F251" s="105" t="n"/>
      <c r="G251" s="105" t="n"/>
      <c r="H251" s="2" t="n"/>
      <c r="I251" s="105" t="n"/>
      <c r="K251" s="215" t="n"/>
      <c r="L251" s="215" t="n"/>
      <c r="M251" s="215" t="n"/>
      <c r="N251" s="215" t="n"/>
      <c r="O251" s="215" t="n"/>
      <c r="P251" s="215" t="n"/>
      <c r="Q251" s="215" t="n"/>
      <c r="R251" s="215" t="n"/>
      <c r="S251" s="215" t="n"/>
      <c r="T251" s="215" t="n"/>
      <c r="U251" s="215" t="n"/>
      <c r="V251" s="215" t="n"/>
      <c r="W251" s="215" t="n"/>
      <c r="X251" s="215" t="n"/>
      <c r="Y251" s="215" t="n"/>
      <c r="Z251" s="215" t="n"/>
      <c r="AA251" s="215" t="n"/>
      <c r="AB251" s="215" t="n"/>
      <c r="AC251" s="215" t="n"/>
      <c r="AD251" s="215" t="n"/>
      <c r="AE251" s="215" t="n"/>
      <c r="AF251" s="215" t="n"/>
      <c r="AG251" s="215" t="n"/>
      <c r="AH251" s="215" t="n"/>
      <c r="AI251" s="215" t="n"/>
      <c r="AJ251" s="215" t="n"/>
      <c r="AK251" s="216" t="n"/>
    </row>
    <row r="252" ht="15" customHeight="1">
      <c r="B252" s="134" t="n"/>
      <c r="C252" s="105" t="n"/>
      <c r="D252" s="105" t="n"/>
      <c r="E252" s="105" t="n"/>
      <c r="F252" s="105" t="n"/>
      <c r="G252" s="105" t="n"/>
      <c r="H252" s="2" t="n"/>
      <c r="I252" s="105" t="n"/>
      <c r="K252" s="215" t="n"/>
      <c r="L252" s="215" t="n"/>
      <c r="M252" s="215" t="n"/>
      <c r="N252" s="215" t="n"/>
      <c r="O252" s="215" t="n"/>
      <c r="P252" s="215" t="n"/>
      <c r="Q252" s="215" t="n"/>
      <c r="R252" s="215" t="n"/>
      <c r="S252" s="215" t="n"/>
      <c r="T252" s="215" t="n"/>
      <c r="U252" s="215" t="n"/>
      <c r="V252" s="215" t="n"/>
      <c r="W252" s="215" t="n"/>
      <c r="X252" s="215" t="n"/>
      <c r="Y252" s="215" t="n"/>
      <c r="Z252" s="215" t="n"/>
      <c r="AA252" s="215" t="n"/>
      <c r="AB252" s="215" t="n"/>
      <c r="AC252" s="215" t="n"/>
      <c r="AD252" s="215" t="n"/>
      <c r="AE252" s="215" t="n"/>
      <c r="AF252" s="215" t="n"/>
      <c r="AG252" s="215" t="n"/>
      <c r="AH252" s="215" t="n"/>
      <c r="AI252" s="215" t="n"/>
      <c r="AJ252" s="215" t="n"/>
      <c r="AK252" s="216" t="n"/>
    </row>
    <row r="253" ht="15" customHeight="1">
      <c r="B253" s="134" t="n"/>
      <c r="C253" s="105" t="n"/>
      <c r="D253" s="105" t="n"/>
      <c r="E253" s="105" t="n"/>
      <c r="F253" s="105" t="n"/>
      <c r="G253" s="105" t="n"/>
      <c r="H253" s="2" t="n"/>
      <c r="I253" s="105" t="n"/>
      <c r="K253" s="215" t="n"/>
      <c r="L253" s="215" t="n"/>
      <c r="M253" s="215" t="n"/>
      <c r="N253" s="215" t="n"/>
      <c r="O253" s="215" t="n"/>
      <c r="P253" s="215" t="n"/>
      <c r="Q253" s="215" t="n"/>
      <c r="R253" s="215" t="n"/>
      <c r="S253" s="215" t="n"/>
      <c r="T253" s="215" t="n"/>
      <c r="U253" s="215" t="n"/>
      <c r="V253" s="215" t="n"/>
      <c r="W253" s="215" t="n"/>
      <c r="X253" s="215" t="n"/>
      <c r="Y253" s="215" t="n"/>
      <c r="Z253" s="215" t="n"/>
      <c r="AA253" s="215" t="n"/>
      <c r="AB253" s="215" t="n"/>
      <c r="AC253" s="215" t="n"/>
      <c r="AD253" s="215" t="n"/>
      <c r="AE253" s="215" t="n"/>
      <c r="AF253" s="215" t="n"/>
      <c r="AG253" s="215" t="n"/>
      <c r="AH253" s="215" t="n"/>
      <c r="AI253" s="215" t="n"/>
      <c r="AJ253" s="215" t="n"/>
      <c r="AK253" s="216" t="n"/>
    </row>
    <row r="254" ht="15" customHeight="1">
      <c r="B254" s="134" t="n"/>
      <c r="C254" s="105" t="n"/>
      <c r="D254" s="105" t="n"/>
      <c r="E254" s="105" t="n"/>
      <c r="F254" s="105" t="n"/>
      <c r="G254" s="105" t="n"/>
      <c r="H254" s="2" t="n"/>
      <c r="I254" s="105" t="n"/>
      <c r="K254" s="215" t="n"/>
      <c r="L254" s="215" t="n"/>
      <c r="M254" s="215" t="n"/>
      <c r="N254" s="215" t="n"/>
      <c r="O254" s="215" t="n"/>
      <c r="P254" s="215" t="n"/>
      <c r="Q254" s="215" t="n"/>
      <c r="R254" s="215" t="n"/>
      <c r="S254" s="215" t="n"/>
      <c r="T254" s="215" t="n"/>
      <c r="U254" s="215" t="n"/>
      <c r="V254" s="215" t="n"/>
      <c r="W254" s="215" t="n"/>
      <c r="X254" s="215" t="n"/>
      <c r="Y254" s="215" t="n"/>
      <c r="Z254" s="215" t="n"/>
      <c r="AA254" s="215" t="n"/>
      <c r="AB254" s="215" t="n"/>
      <c r="AC254" s="215" t="n"/>
      <c r="AD254" s="215" t="n"/>
      <c r="AE254" s="215" t="n"/>
      <c r="AF254" s="215" t="n"/>
      <c r="AG254" s="215" t="n"/>
      <c r="AH254" s="215" t="n"/>
      <c r="AI254" s="215" t="n"/>
      <c r="AJ254" s="215" t="n"/>
      <c r="AK254" s="216" t="n"/>
    </row>
    <row r="255" ht="15" customHeight="1">
      <c r="B255" s="134" t="n"/>
      <c r="C255" s="105" t="n"/>
      <c r="D255" s="105" t="n"/>
      <c r="E255" s="105" t="n"/>
      <c r="F255" s="105" t="n"/>
      <c r="G255" s="105" t="n"/>
      <c r="H255" s="2" t="n"/>
      <c r="I255" s="105" t="n"/>
      <c r="K255" s="215" t="n"/>
      <c r="L255" s="215" t="n"/>
      <c r="M255" s="215" t="n"/>
      <c r="N255" s="215" t="n"/>
      <c r="O255" s="215" t="n"/>
      <c r="P255" s="215" t="n"/>
      <c r="Q255" s="215" t="n"/>
      <c r="R255" s="215" t="n"/>
      <c r="S255" s="215" t="n"/>
      <c r="T255" s="215" t="n"/>
      <c r="U255" s="215" t="n"/>
      <c r="V255" s="215" t="n"/>
      <c r="W255" s="215" t="n"/>
      <c r="X255" s="215" t="n"/>
      <c r="Y255" s="215" t="n"/>
      <c r="Z255" s="215" t="n"/>
      <c r="AA255" s="215" t="n"/>
      <c r="AB255" s="215" t="n"/>
      <c r="AC255" s="215" t="n"/>
      <c r="AD255" s="215" t="n"/>
      <c r="AE255" s="215" t="n"/>
      <c r="AF255" s="215" t="n"/>
      <c r="AG255" s="215" t="n"/>
      <c r="AH255" s="215" t="n"/>
      <c r="AI255" s="215" t="n"/>
      <c r="AJ255" s="215" t="n"/>
      <c r="AK255" s="216" t="n"/>
    </row>
    <row r="256" ht="15" customHeight="1">
      <c r="B256" s="134" t="n"/>
      <c r="C256" s="105" t="n"/>
      <c r="D256" s="105" t="n"/>
      <c r="E256" s="105" t="n"/>
      <c r="F256" s="105" t="n"/>
      <c r="G256" s="105" t="n"/>
      <c r="H256" s="2" t="n"/>
      <c r="I256" s="105" t="n"/>
      <c r="K256" s="215" t="n"/>
      <c r="L256" s="215" t="n"/>
      <c r="M256" s="215" t="n"/>
      <c r="N256" s="215" t="n"/>
      <c r="O256" s="215" t="n"/>
      <c r="P256" s="215" t="n"/>
      <c r="Q256" s="215" t="n"/>
      <c r="R256" s="215" t="n"/>
      <c r="S256" s="215" t="n"/>
      <c r="T256" s="215" t="n"/>
      <c r="U256" s="215" t="n"/>
      <c r="V256" s="215" t="n"/>
      <c r="W256" s="215" t="n"/>
      <c r="X256" s="215" t="n"/>
      <c r="Y256" s="215" t="n"/>
      <c r="Z256" s="215" t="n"/>
      <c r="AA256" s="215" t="n"/>
      <c r="AB256" s="215" t="n"/>
      <c r="AC256" s="215" t="n"/>
      <c r="AD256" s="215" t="n"/>
      <c r="AE256" s="215" t="n"/>
      <c r="AF256" s="215" t="n"/>
      <c r="AG256" s="215" t="n"/>
      <c r="AH256" s="215" t="n"/>
      <c r="AI256" s="215" t="n"/>
      <c r="AJ256" s="215" t="n"/>
      <c r="AK256" s="216" t="n"/>
    </row>
    <row r="257" ht="15" customHeight="1">
      <c r="B257" s="134" t="n"/>
      <c r="C257" s="105" t="n"/>
      <c r="D257" s="105" t="n"/>
      <c r="E257" s="105" t="n"/>
      <c r="F257" s="105" t="n"/>
      <c r="G257" s="105" t="n"/>
      <c r="H257" s="2" t="n"/>
      <c r="I257" s="105" t="n"/>
      <c r="K257" s="215" t="n"/>
      <c r="L257" s="215" t="n"/>
      <c r="M257" s="215" t="n"/>
      <c r="N257" s="215" t="n"/>
      <c r="O257" s="215" t="n"/>
      <c r="P257" s="215" t="n"/>
      <c r="Q257" s="215" t="n"/>
      <c r="R257" s="215" t="n"/>
      <c r="S257" s="215" t="n"/>
      <c r="T257" s="215" t="n"/>
      <c r="U257" s="215" t="n"/>
      <c r="V257" s="215" t="n"/>
      <c r="W257" s="215" t="n"/>
      <c r="X257" s="215" t="n"/>
      <c r="Y257" s="215" t="n"/>
      <c r="Z257" s="215" t="n"/>
      <c r="AA257" s="215" t="n"/>
      <c r="AB257" s="215" t="n"/>
      <c r="AC257" s="215" t="n"/>
      <c r="AD257" s="215" t="n"/>
      <c r="AE257" s="215" t="n"/>
      <c r="AF257" s="215" t="n"/>
      <c r="AG257" s="215" t="n"/>
      <c r="AH257" s="215" t="n"/>
      <c r="AI257" s="215" t="n"/>
      <c r="AJ257" s="215" t="n"/>
      <c r="AK257" s="216" t="n"/>
    </row>
    <row r="258" ht="15" customHeight="1">
      <c r="B258" s="134" t="n"/>
      <c r="C258" s="105" t="n"/>
      <c r="D258" s="105" t="n"/>
      <c r="E258" s="105" t="n"/>
      <c r="F258" s="105" t="n"/>
      <c r="G258" s="105" t="n"/>
      <c r="H258" s="2" t="n"/>
      <c r="I258" s="105" t="n"/>
      <c r="K258" s="215" t="n"/>
      <c r="L258" s="215" t="n"/>
      <c r="M258" s="215" t="n"/>
      <c r="N258" s="215" t="n"/>
      <c r="O258" s="215" t="n"/>
      <c r="P258" s="215" t="n"/>
      <c r="Q258" s="215" t="n"/>
      <c r="R258" s="215" t="n"/>
      <c r="S258" s="215" t="n"/>
      <c r="T258" s="215" t="n"/>
      <c r="U258" s="215" t="n"/>
      <c r="V258" s="215" t="n"/>
      <c r="W258" s="215" t="n"/>
      <c r="X258" s="215" t="n"/>
      <c r="Y258" s="215" t="n"/>
      <c r="Z258" s="215" t="n"/>
      <c r="AA258" s="215" t="n"/>
      <c r="AB258" s="215" t="n"/>
      <c r="AC258" s="215" t="n"/>
      <c r="AD258" s="215" t="n"/>
      <c r="AE258" s="215" t="n"/>
      <c r="AF258" s="215" t="n"/>
      <c r="AG258" s="215" t="n"/>
      <c r="AH258" s="215" t="n"/>
      <c r="AI258" s="215" t="n"/>
      <c r="AJ258" s="215" t="n"/>
      <c r="AK258" s="216" t="n"/>
    </row>
    <row r="259" ht="15" customHeight="1">
      <c r="B259" s="134" t="n"/>
      <c r="C259" s="105" t="n"/>
      <c r="D259" s="105" t="n"/>
      <c r="E259" s="105" t="n"/>
      <c r="F259" s="105" t="n"/>
      <c r="G259" s="105" t="n"/>
      <c r="H259" s="2" t="n"/>
      <c r="I259" s="105" t="n"/>
      <c r="K259" s="215" t="n"/>
      <c r="L259" s="215" t="n"/>
      <c r="M259" s="215" t="n"/>
      <c r="N259" s="215" t="n"/>
      <c r="O259" s="215" t="n"/>
      <c r="P259" s="215" t="n"/>
      <c r="Q259" s="215" t="n"/>
      <c r="R259" s="215" t="n"/>
      <c r="S259" s="215" t="n"/>
      <c r="T259" s="215" t="n"/>
      <c r="U259" s="215" t="n"/>
      <c r="V259" s="215" t="n"/>
      <c r="W259" s="215" t="n"/>
      <c r="X259" s="215" t="n"/>
      <c r="Y259" s="215" t="n"/>
      <c r="Z259" s="215" t="n"/>
      <c r="AA259" s="215" t="n"/>
      <c r="AB259" s="215" t="n"/>
      <c r="AC259" s="215" t="n"/>
      <c r="AD259" s="215" t="n"/>
      <c r="AE259" s="215" t="n"/>
      <c r="AF259" s="215" t="n"/>
      <c r="AG259" s="215" t="n"/>
      <c r="AH259" s="215" t="n"/>
      <c r="AI259" s="215" t="n"/>
      <c r="AJ259" s="215" t="n"/>
      <c r="AK259" s="216" t="n"/>
    </row>
    <row r="260" ht="15" customHeight="1">
      <c r="B260" s="134" t="n"/>
      <c r="C260" s="105" t="n"/>
      <c r="D260" s="105" t="n"/>
      <c r="E260" s="105" t="n"/>
      <c r="F260" s="105" t="n"/>
      <c r="G260" s="105" t="n"/>
      <c r="H260" s="2" t="n"/>
      <c r="I260" s="105" t="n"/>
      <c r="K260" s="215" t="n"/>
      <c r="L260" s="215" t="n"/>
      <c r="M260" s="215" t="n"/>
      <c r="N260" s="215" t="n"/>
      <c r="O260" s="215" t="n"/>
      <c r="P260" s="215" t="n"/>
      <c r="Q260" s="215" t="n"/>
      <c r="R260" s="215" t="n"/>
      <c r="S260" s="215" t="n"/>
      <c r="T260" s="215" t="n"/>
      <c r="U260" s="215" t="n"/>
      <c r="V260" s="215" t="n"/>
      <c r="W260" s="215" t="n"/>
      <c r="X260" s="215" t="n"/>
      <c r="Y260" s="215" t="n"/>
      <c r="Z260" s="215" t="n"/>
      <c r="AA260" s="215" t="n"/>
      <c r="AB260" s="215" t="n"/>
      <c r="AC260" s="215" t="n"/>
      <c r="AD260" s="215" t="n"/>
      <c r="AE260" s="215" t="n"/>
      <c r="AF260" s="215" t="n"/>
      <c r="AG260" s="215" t="n"/>
      <c r="AH260" s="215" t="n"/>
      <c r="AI260" s="215" t="n"/>
      <c r="AJ260" s="215" t="n"/>
      <c r="AK260" s="216" t="n"/>
    </row>
    <row r="261" ht="15" customHeight="1">
      <c r="B261" s="134" t="n"/>
      <c r="C261" s="105" t="n"/>
      <c r="D261" s="105" t="n"/>
      <c r="E261" s="105" t="n"/>
      <c r="F261" s="105" t="n"/>
      <c r="G261" s="105" t="n"/>
      <c r="H261" s="2" t="n"/>
      <c r="I261" s="105" t="n"/>
      <c r="K261" s="215" t="n"/>
      <c r="L261" s="215" t="n"/>
      <c r="M261" s="215" t="n"/>
      <c r="N261" s="215" t="n"/>
      <c r="O261" s="215" t="n"/>
      <c r="P261" s="215" t="n"/>
      <c r="Q261" s="215" t="n"/>
      <c r="R261" s="215" t="n"/>
      <c r="S261" s="215" t="n"/>
      <c r="T261" s="215" t="n"/>
      <c r="U261" s="215" t="n"/>
      <c r="V261" s="215" t="n"/>
      <c r="W261" s="215" t="n"/>
      <c r="X261" s="215" t="n"/>
      <c r="Y261" s="215" t="n"/>
      <c r="Z261" s="215" t="n"/>
      <c r="AA261" s="215" t="n"/>
      <c r="AB261" s="215" t="n"/>
      <c r="AC261" s="215" t="n"/>
      <c r="AD261" s="215" t="n"/>
      <c r="AE261" s="215" t="n"/>
      <c r="AF261" s="215" t="n"/>
      <c r="AG261" s="215" t="n"/>
      <c r="AH261" s="215" t="n"/>
      <c r="AI261" s="215" t="n"/>
      <c r="AJ261" s="215" t="n"/>
      <c r="AK261" s="216" t="n"/>
    </row>
    <row r="262" ht="15" customHeight="1">
      <c r="B262" s="134" t="n"/>
      <c r="C262" s="105" t="n"/>
      <c r="D262" s="105" t="n"/>
      <c r="E262" s="105" t="n"/>
      <c r="F262" s="105" t="n"/>
      <c r="G262" s="105" t="n"/>
      <c r="H262" s="2" t="n"/>
      <c r="I262" s="105" t="n"/>
      <c r="K262" s="215" t="n"/>
      <c r="L262" s="215" t="n"/>
      <c r="M262" s="215" t="n"/>
      <c r="N262" s="215" t="n"/>
      <c r="O262" s="215" t="n"/>
      <c r="P262" s="215" t="n"/>
      <c r="Q262" s="215" t="n"/>
      <c r="R262" s="215" t="n"/>
      <c r="S262" s="215" t="n"/>
      <c r="T262" s="215" t="n"/>
      <c r="U262" s="215" t="n"/>
      <c r="V262" s="215" t="n"/>
      <c r="W262" s="215" t="n"/>
      <c r="X262" s="215" t="n"/>
      <c r="Y262" s="215" t="n"/>
      <c r="Z262" s="215" t="n"/>
      <c r="AA262" s="215" t="n"/>
      <c r="AB262" s="215" t="n"/>
      <c r="AC262" s="215" t="n"/>
      <c r="AD262" s="215" t="n"/>
      <c r="AE262" s="215" t="n"/>
      <c r="AF262" s="215" t="n"/>
      <c r="AG262" s="215" t="n"/>
      <c r="AH262" s="215" t="n"/>
      <c r="AI262" s="215" t="n"/>
      <c r="AJ262" s="215" t="n"/>
      <c r="AK262" s="216" t="n"/>
    </row>
    <row r="263" ht="15" customHeight="1">
      <c r="B263" s="134" t="n"/>
      <c r="C263" s="105" t="n"/>
      <c r="D263" s="105" t="n"/>
      <c r="E263" s="105" t="n"/>
      <c r="F263" s="105" t="n"/>
      <c r="G263" s="105" t="n"/>
      <c r="H263" s="2" t="n"/>
      <c r="I263" s="105" t="n"/>
      <c r="K263" s="215" t="n"/>
      <c r="L263" s="215" t="n"/>
      <c r="M263" s="215" t="n"/>
      <c r="N263" s="215" t="n"/>
      <c r="O263" s="215" t="n"/>
      <c r="P263" s="215" t="n"/>
      <c r="Q263" s="215" t="n"/>
      <c r="R263" s="215" t="n"/>
      <c r="S263" s="215" t="n"/>
      <c r="T263" s="215" t="n"/>
      <c r="U263" s="215" t="n"/>
      <c r="V263" s="215" t="n"/>
      <c r="W263" s="215" t="n"/>
      <c r="X263" s="215" t="n"/>
      <c r="Y263" s="215" t="n"/>
      <c r="Z263" s="215" t="n"/>
      <c r="AA263" s="215" t="n"/>
      <c r="AB263" s="215" t="n"/>
      <c r="AC263" s="215" t="n"/>
      <c r="AD263" s="215" t="n"/>
      <c r="AE263" s="215" t="n"/>
      <c r="AF263" s="215" t="n"/>
      <c r="AG263" s="215" t="n"/>
      <c r="AH263" s="215" t="n"/>
      <c r="AI263" s="215" t="n"/>
      <c r="AJ263" s="215" t="n"/>
      <c r="AK263" s="216" t="n"/>
    </row>
    <row r="264" ht="15" customHeight="1">
      <c r="B264" s="134" t="n"/>
      <c r="C264" s="105" t="n"/>
      <c r="D264" s="105" t="n"/>
      <c r="E264" s="105" t="n"/>
      <c r="F264" s="105" t="n"/>
      <c r="G264" s="105" t="n"/>
      <c r="H264" s="2" t="n"/>
      <c r="I264" s="105" t="n"/>
      <c r="K264" s="215" t="n"/>
      <c r="L264" s="215" t="n"/>
      <c r="M264" s="215" t="n"/>
      <c r="N264" s="215" t="n"/>
      <c r="O264" s="215" t="n"/>
      <c r="P264" s="215" t="n"/>
      <c r="Q264" s="215" t="n"/>
      <c r="R264" s="215" t="n"/>
      <c r="S264" s="215" t="n"/>
      <c r="T264" s="215" t="n"/>
      <c r="U264" s="215" t="n"/>
      <c r="V264" s="215" t="n"/>
      <c r="W264" s="215" t="n"/>
      <c r="X264" s="215" t="n"/>
      <c r="Y264" s="215" t="n"/>
      <c r="Z264" s="215" t="n"/>
      <c r="AA264" s="215" t="n"/>
      <c r="AB264" s="215" t="n"/>
      <c r="AC264" s="215" t="n"/>
      <c r="AD264" s="215" t="n"/>
      <c r="AE264" s="215" t="n"/>
      <c r="AF264" s="215" t="n"/>
      <c r="AG264" s="215" t="n"/>
      <c r="AH264" s="215" t="n"/>
      <c r="AI264" s="215" t="n"/>
      <c r="AJ264" s="215" t="n"/>
      <c r="AK264" s="216" t="n"/>
    </row>
    <row r="265" ht="15" customHeight="1">
      <c r="B265" s="134" t="n"/>
      <c r="C265" s="105" t="n"/>
      <c r="D265" s="105" t="n"/>
      <c r="E265" s="105" t="n"/>
      <c r="F265" s="105" t="n"/>
      <c r="G265" s="105" t="n"/>
      <c r="H265" s="2" t="n"/>
      <c r="I265" s="105" t="n"/>
      <c r="K265" s="215" t="n"/>
      <c r="L265" s="215" t="n"/>
      <c r="M265" s="215" t="n"/>
      <c r="N265" s="215" t="n"/>
      <c r="O265" s="215" t="n"/>
      <c r="P265" s="215" t="n"/>
      <c r="Q265" s="215" t="n"/>
      <c r="R265" s="215" t="n"/>
      <c r="S265" s="215" t="n"/>
      <c r="T265" s="215" t="n"/>
      <c r="U265" s="215" t="n"/>
      <c r="V265" s="215" t="n"/>
      <c r="W265" s="215" t="n"/>
      <c r="X265" s="215" t="n"/>
      <c r="Y265" s="215" t="n"/>
      <c r="Z265" s="215" t="n"/>
      <c r="AA265" s="215" t="n"/>
      <c r="AB265" s="215" t="n"/>
      <c r="AC265" s="215" t="n"/>
      <c r="AD265" s="215" t="n"/>
      <c r="AE265" s="215" t="n"/>
      <c r="AF265" s="215" t="n"/>
      <c r="AG265" s="215" t="n"/>
      <c r="AH265" s="215" t="n"/>
      <c r="AI265" s="215" t="n"/>
      <c r="AJ265" s="215" t="n"/>
      <c r="AK265" s="216" t="n"/>
    </row>
    <row r="266" ht="15" customHeight="1">
      <c r="B266" s="134" t="n"/>
      <c r="C266" s="105" t="n"/>
      <c r="D266" s="105" t="n"/>
      <c r="E266" s="105" t="n"/>
      <c r="F266" s="105" t="n"/>
      <c r="G266" s="105" t="n"/>
      <c r="H266" s="2" t="n"/>
      <c r="I266" s="105" t="n"/>
      <c r="K266" s="215" t="n"/>
      <c r="L266" s="215" t="n"/>
      <c r="M266" s="215" t="n"/>
      <c r="N266" s="215" t="n"/>
      <c r="O266" s="215" t="n"/>
      <c r="P266" s="215" t="n"/>
      <c r="Q266" s="215" t="n"/>
      <c r="R266" s="215" t="n"/>
      <c r="S266" s="215" t="n"/>
      <c r="T266" s="215" t="n"/>
      <c r="U266" s="215" t="n"/>
      <c r="V266" s="215" t="n"/>
      <c r="W266" s="215" t="n"/>
      <c r="X266" s="215" t="n"/>
      <c r="Y266" s="215" t="n"/>
      <c r="Z266" s="215" t="n"/>
      <c r="AA266" s="215" t="n"/>
      <c r="AB266" s="215" t="n"/>
      <c r="AC266" s="215" t="n"/>
      <c r="AD266" s="215" t="n"/>
      <c r="AE266" s="215" t="n"/>
      <c r="AF266" s="215" t="n"/>
      <c r="AG266" s="215" t="n"/>
      <c r="AH266" s="215" t="n"/>
      <c r="AI266" s="215" t="n"/>
      <c r="AJ266" s="215" t="n"/>
      <c r="AK266" s="216" t="n"/>
    </row>
    <row r="267" ht="15" customHeight="1">
      <c r="B267" s="134" t="n"/>
      <c r="C267" s="105" t="n"/>
      <c r="D267" s="105" t="n"/>
      <c r="E267" s="105" t="n"/>
      <c r="F267" s="105" t="n"/>
      <c r="G267" s="105" t="n"/>
      <c r="H267" s="2" t="n"/>
      <c r="I267" s="105" t="n"/>
      <c r="K267" s="215" t="n"/>
      <c r="L267" s="215" t="n"/>
      <c r="M267" s="215" t="n"/>
      <c r="N267" s="215" t="n"/>
      <c r="O267" s="215" t="n"/>
      <c r="P267" s="215" t="n"/>
      <c r="Q267" s="215" t="n"/>
      <c r="R267" s="215" t="n"/>
      <c r="S267" s="215" t="n"/>
      <c r="T267" s="215" t="n"/>
      <c r="U267" s="215" t="n"/>
      <c r="V267" s="215" t="n"/>
      <c r="W267" s="215" t="n"/>
      <c r="X267" s="215" t="n"/>
      <c r="Y267" s="215" t="n"/>
      <c r="Z267" s="215" t="n"/>
      <c r="AA267" s="215" t="n"/>
      <c r="AB267" s="215" t="n"/>
      <c r="AC267" s="215" t="n"/>
      <c r="AD267" s="215" t="n"/>
      <c r="AE267" s="215" t="n"/>
      <c r="AF267" s="215" t="n"/>
      <c r="AG267" s="215" t="n"/>
      <c r="AH267" s="215" t="n"/>
      <c r="AI267" s="215" t="n"/>
      <c r="AJ267" s="215" t="n"/>
      <c r="AK267" s="216" t="n"/>
    </row>
    <row r="268" ht="15" customHeight="1">
      <c r="B268" s="134" t="n"/>
      <c r="C268" s="105" t="n"/>
      <c r="D268" s="105" t="n"/>
      <c r="E268" s="105" t="n"/>
      <c r="F268" s="105" t="n"/>
      <c r="G268" s="105" t="n"/>
      <c r="H268" s="2" t="n"/>
      <c r="I268" s="105" t="n"/>
      <c r="K268" s="215" t="n"/>
      <c r="L268" s="215" t="n"/>
      <c r="M268" s="215" t="n"/>
      <c r="N268" s="215" t="n"/>
      <c r="O268" s="215" t="n"/>
      <c r="P268" s="215" t="n"/>
      <c r="Q268" s="215" t="n"/>
      <c r="R268" s="215" t="n"/>
      <c r="S268" s="215" t="n"/>
      <c r="T268" s="215" t="n"/>
      <c r="U268" s="215" t="n"/>
      <c r="V268" s="215" t="n"/>
      <c r="W268" s="215" t="n"/>
      <c r="X268" s="215" t="n"/>
      <c r="Y268" s="215" t="n"/>
      <c r="Z268" s="215" t="n"/>
      <c r="AA268" s="215" t="n"/>
      <c r="AB268" s="215" t="n"/>
      <c r="AC268" s="215" t="n"/>
      <c r="AD268" s="215" t="n"/>
      <c r="AE268" s="215" t="n"/>
      <c r="AF268" s="215" t="n"/>
      <c r="AG268" s="215" t="n"/>
      <c r="AH268" s="215" t="n"/>
      <c r="AI268" s="215" t="n"/>
      <c r="AJ268" s="215" t="n"/>
      <c r="AK268" s="216" t="n"/>
    </row>
    <row r="269" ht="15" customHeight="1">
      <c r="B269" s="134" t="n"/>
      <c r="C269" s="105" t="n"/>
      <c r="D269" s="105" t="n"/>
      <c r="E269" s="105" t="n"/>
      <c r="F269" s="105" t="n"/>
      <c r="G269" s="105" t="n"/>
      <c r="H269" s="2" t="n"/>
      <c r="I269" s="105" t="n"/>
      <c r="K269" s="215" t="n"/>
      <c r="L269" s="215" t="n"/>
      <c r="M269" s="215" t="n"/>
      <c r="N269" s="215" t="n"/>
      <c r="O269" s="215" t="n"/>
      <c r="P269" s="215" t="n"/>
      <c r="Q269" s="215" t="n"/>
      <c r="R269" s="215" t="n"/>
      <c r="S269" s="215" t="n"/>
      <c r="T269" s="215" t="n"/>
      <c r="U269" s="215" t="n"/>
      <c r="V269" s="215" t="n"/>
      <c r="W269" s="215" t="n"/>
      <c r="X269" s="215" t="n"/>
      <c r="Y269" s="215" t="n"/>
      <c r="Z269" s="215" t="n"/>
      <c r="AA269" s="215" t="n"/>
      <c r="AB269" s="215" t="n"/>
      <c r="AC269" s="215" t="n"/>
      <c r="AD269" s="215" t="n"/>
      <c r="AE269" s="215" t="n"/>
      <c r="AF269" s="215" t="n"/>
      <c r="AG269" s="215" t="n"/>
      <c r="AH269" s="215" t="n"/>
      <c r="AI269" s="215" t="n"/>
      <c r="AJ269" s="215" t="n"/>
      <c r="AK269" s="216" t="n"/>
    </row>
    <row r="270" ht="15" customHeight="1">
      <c r="B270" s="134" t="n"/>
      <c r="C270" s="105" t="n"/>
      <c r="D270" s="105" t="n"/>
      <c r="E270" s="105" t="n"/>
      <c r="F270" s="105" t="n"/>
      <c r="G270" s="105" t="n"/>
      <c r="H270" s="2" t="n"/>
      <c r="I270" s="105" t="n"/>
      <c r="K270" s="215" t="n"/>
      <c r="L270" s="215" t="n"/>
      <c r="M270" s="215" t="n"/>
      <c r="N270" s="215" t="n"/>
      <c r="O270" s="215" t="n"/>
      <c r="P270" s="215" t="n"/>
      <c r="Q270" s="215" t="n"/>
      <c r="R270" s="215" t="n"/>
      <c r="S270" s="215" t="n"/>
      <c r="T270" s="215" t="n"/>
      <c r="U270" s="215" t="n"/>
      <c r="V270" s="215" t="n"/>
      <c r="W270" s="215" t="n"/>
      <c r="X270" s="215" t="n"/>
      <c r="Y270" s="215" t="n"/>
      <c r="Z270" s="215" t="n"/>
      <c r="AA270" s="215" t="n"/>
      <c r="AB270" s="215" t="n"/>
      <c r="AC270" s="215" t="n"/>
      <c r="AD270" s="215" t="n"/>
      <c r="AE270" s="215" t="n"/>
      <c r="AF270" s="215" t="n"/>
      <c r="AG270" s="215" t="n"/>
      <c r="AH270" s="215" t="n"/>
      <c r="AI270" s="215" t="n"/>
      <c r="AJ270" s="215" t="n"/>
      <c r="AK270" s="216" t="n"/>
    </row>
    <row r="271" ht="15" customHeight="1">
      <c r="B271" s="134" t="n"/>
      <c r="C271" s="105" t="n"/>
      <c r="D271" s="105" t="n"/>
      <c r="E271" s="105" t="n"/>
      <c r="F271" s="105" t="n"/>
      <c r="G271" s="105" t="n"/>
      <c r="H271" s="2" t="n"/>
      <c r="I271" s="105" t="n"/>
      <c r="K271" s="215" t="n"/>
      <c r="L271" s="215" t="n"/>
      <c r="M271" s="215" t="n"/>
      <c r="N271" s="215" t="n"/>
      <c r="O271" s="215" t="n"/>
      <c r="P271" s="215" t="n"/>
      <c r="Q271" s="215" t="n"/>
      <c r="R271" s="215" t="n"/>
      <c r="S271" s="215" t="n"/>
      <c r="T271" s="215" t="n"/>
      <c r="U271" s="215" t="n"/>
      <c r="V271" s="215" t="n"/>
      <c r="W271" s="215" t="n"/>
      <c r="X271" s="215" t="n"/>
      <c r="Y271" s="215" t="n"/>
      <c r="Z271" s="215" t="n"/>
      <c r="AA271" s="215" t="n"/>
      <c r="AB271" s="215" t="n"/>
      <c r="AC271" s="215" t="n"/>
      <c r="AD271" s="215" t="n"/>
      <c r="AE271" s="215" t="n"/>
      <c r="AF271" s="215" t="n"/>
      <c r="AG271" s="215" t="n"/>
      <c r="AH271" s="215" t="n"/>
      <c r="AI271" s="215" t="n"/>
      <c r="AJ271" s="215" t="n"/>
      <c r="AK271" s="216" t="n"/>
    </row>
    <row r="272" ht="15" customHeight="1">
      <c r="B272" s="134" t="n"/>
      <c r="C272" s="105" t="n"/>
      <c r="D272" s="105" t="n"/>
      <c r="E272" s="105" t="n"/>
      <c r="F272" s="105" t="n"/>
      <c r="G272" s="105" t="n"/>
      <c r="H272" s="2" t="n"/>
      <c r="I272" s="105" t="n"/>
      <c r="K272" s="215" t="n"/>
      <c r="L272" s="215" t="n"/>
      <c r="M272" s="215" t="n"/>
      <c r="N272" s="215" t="n"/>
      <c r="O272" s="215" t="n"/>
      <c r="P272" s="215" t="n"/>
      <c r="Q272" s="215" t="n"/>
      <c r="R272" s="215" t="n"/>
      <c r="S272" s="215" t="n"/>
      <c r="T272" s="215" t="n"/>
      <c r="U272" s="215" t="n"/>
      <c r="V272" s="215" t="n"/>
      <c r="W272" s="215" t="n"/>
      <c r="X272" s="215" t="n"/>
      <c r="Y272" s="215" t="n"/>
      <c r="Z272" s="215" t="n"/>
      <c r="AA272" s="215" t="n"/>
      <c r="AB272" s="215" t="n"/>
      <c r="AC272" s="215" t="n"/>
      <c r="AD272" s="215" t="n"/>
      <c r="AE272" s="215" t="n"/>
      <c r="AF272" s="215" t="n"/>
      <c r="AG272" s="215" t="n"/>
      <c r="AH272" s="215" t="n"/>
      <c r="AI272" s="215" t="n"/>
      <c r="AJ272" s="215" t="n"/>
      <c r="AK272" s="216" t="n"/>
    </row>
    <row r="273" ht="15" customHeight="1">
      <c r="B273" s="134" t="n"/>
      <c r="C273" s="105" t="n"/>
      <c r="D273" s="105" t="n"/>
      <c r="E273" s="105" t="n"/>
      <c r="F273" s="105" t="n"/>
      <c r="G273" s="105" t="n"/>
      <c r="H273" s="2" t="n"/>
      <c r="I273" s="105" t="n"/>
      <c r="K273" s="215" t="n"/>
      <c r="L273" s="215" t="n"/>
      <c r="M273" s="215" t="n"/>
      <c r="N273" s="215" t="n"/>
      <c r="O273" s="215" t="n"/>
      <c r="P273" s="215" t="n"/>
      <c r="Q273" s="215" t="n"/>
      <c r="R273" s="215" t="n"/>
      <c r="S273" s="215" t="n"/>
      <c r="T273" s="215" t="n"/>
      <c r="U273" s="215" t="n"/>
      <c r="V273" s="215" t="n"/>
      <c r="W273" s="215" t="n"/>
      <c r="X273" s="215" t="n"/>
      <c r="Y273" s="215" t="n"/>
      <c r="Z273" s="215" t="n"/>
      <c r="AA273" s="215" t="n"/>
      <c r="AB273" s="215" t="n"/>
      <c r="AC273" s="215" t="n"/>
      <c r="AD273" s="215" t="n"/>
      <c r="AE273" s="215" t="n"/>
      <c r="AF273" s="215" t="n"/>
      <c r="AG273" s="215" t="n"/>
      <c r="AH273" s="215" t="n"/>
      <c r="AI273" s="215" t="n"/>
      <c r="AJ273" s="215" t="n"/>
      <c r="AK273" s="216" t="n"/>
    </row>
    <row r="274" ht="15" customHeight="1">
      <c r="B274" s="134" t="n"/>
      <c r="C274" s="105" t="n"/>
      <c r="D274" s="105" t="n"/>
      <c r="E274" s="105" t="n"/>
      <c r="F274" s="105" t="n"/>
      <c r="G274" s="105" t="n"/>
      <c r="H274" s="2" t="n"/>
      <c r="I274" s="105" t="n"/>
      <c r="K274" s="215" t="n"/>
      <c r="L274" s="215" t="n"/>
      <c r="M274" s="215" t="n"/>
      <c r="N274" s="215" t="n"/>
      <c r="O274" s="215" t="n"/>
      <c r="P274" s="215" t="n"/>
      <c r="Q274" s="215" t="n"/>
      <c r="R274" s="215" t="n"/>
      <c r="S274" s="215" t="n"/>
      <c r="T274" s="215" t="n"/>
      <c r="U274" s="215" t="n"/>
      <c r="V274" s="215" t="n"/>
      <c r="W274" s="215" t="n"/>
      <c r="X274" s="215" t="n"/>
      <c r="Y274" s="215" t="n"/>
      <c r="Z274" s="215" t="n"/>
      <c r="AA274" s="215" t="n"/>
      <c r="AB274" s="215" t="n"/>
      <c r="AC274" s="215" t="n"/>
      <c r="AD274" s="215" t="n"/>
      <c r="AE274" s="215" t="n"/>
      <c r="AF274" s="215" t="n"/>
      <c r="AG274" s="215" t="n"/>
      <c r="AH274" s="215" t="n"/>
      <c r="AI274" s="215" t="n"/>
      <c r="AJ274" s="215" t="n"/>
      <c r="AK274" s="216" t="n"/>
    </row>
    <row r="275" ht="15" customHeight="1">
      <c r="B275" s="134" t="n"/>
      <c r="C275" s="105" t="n"/>
      <c r="D275" s="105" t="n"/>
      <c r="E275" s="105" t="n"/>
      <c r="F275" s="105" t="n"/>
      <c r="G275" s="105" t="n"/>
      <c r="H275" s="2" t="n"/>
      <c r="I275" s="105" t="n"/>
      <c r="K275" s="215" t="n"/>
      <c r="L275" s="215" t="n"/>
      <c r="M275" s="215" t="n"/>
      <c r="N275" s="215" t="n"/>
      <c r="O275" s="215" t="n"/>
      <c r="P275" s="215" t="n"/>
      <c r="Q275" s="215" t="n"/>
      <c r="R275" s="215" t="n"/>
      <c r="S275" s="215" t="n"/>
      <c r="T275" s="215" t="n"/>
      <c r="U275" s="215" t="n"/>
      <c r="V275" s="215" t="n"/>
      <c r="W275" s="215" t="n"/>
      <c r="X275" s="215" t="n"/>
      <c r="Y275" s="215" t="n"/>
      <c r="Z275" s="215" t="n"/>
      <c r="AA275" s="215" t="n"/>
      <c r="AB275" s="215" t="n"/>
      <c r="AC275" s="215" t="n"/>
      <c r="AD275" s="215" t="n"/>
      <c r="AE275" s="215" t="n"/>
      <c r="AF275" s="215" t="n"/>
      <c r="AG275" s="215" t="n"/>
      <c r="AH275" s="215" t="n"/>
      <c r="AI275" s="215" t="n"/>
      <c r="AJ275" s="215" t="n"/>
      <c r="AK275" s="216" t="n"/>
    </row>
    <row r="276" ht="15" customHeight="1">
      <c r="B276" s="134" t="n"/>
      <c r="C276" s="105" t="n"/>
      <c r="D276" s="105" t="n"/>
      <c r="E276" s="105" t="n"/>
      <c r="F276" s="105" t="n"/>
      <c r="G276" s="105" t="n"/>
      <c r="H276" s="2" t="n"/>
      <c r="I276" s="105" t="n"/>
      <c r="K276" s="215" t="n"/>
      <c r="L276" s="215" t="n"/>
      <c r="M276" s="215" t="n"/>
      <c r="N276" s="215" t="n"/>
      <c r="O276" s="215" t="n"/>
      <c r="P276" s="215" t="n"/>
      <c r="Q276" s="215" t="n"/>
      <c r="R276" s="215" t="n"/>
      <c r="S276" s="215" t="n"/>
      <c r="T276" s="215" t="n"/>
      <c r="U276" s="215" t="n"/>
      <c r="V276" s="215" t="n"/>
      <c r="W276" s="215" t="n"/>
      <c r="X276" s="215" t="n"/>
      <c r="Y276" s="215" t="n"/>
      <c r="Z276" s="215" t="n"/>
      <c r="AA276" s="215" t="n"/>
      <c r="AB276" s="215" t="n"/>
      <c r="AC276" s="215" t="n"/>
      <c r="AD276" s="215" t="n"/>
      <c r="AE276" s="215" t="n"/>
      <c r="AF276" s="215" t="n"/>
      <c r="AG276" s="215" t="n"/>
      <c r="AH276" s="215" t="n"/>
      <c r="AI276" s="215" t="n"/>
      <c r="AJ276" s="215" t="n"/>
      <c r="AK276" s="216" t="n"/>
    </row>
    <row r="277" ht="15" customHeight="1">
      <c r="B277" s="134" t="n"/>
      <c r="C277" s="105" t="n"/>
      <c r="D277" s="105" t="n"/>
      <c r="E277" s="105" t="n"/>
      <c r="F277" s="105" t="n"/>
      <c r="G277" s="105" t="n"/>
      <c r="H277" s="2" t="n"/>
      <c r="I277" s="105" t="n"/>
      <c r="K277" s="215" t="n"/>
      <c r="L277" s="215" t="n"/>
      <c r="M277" s="215" t="n"/>
      <c r="N277" s="215" t="n"/>
      <c r="O277" s="215" t="n"/>
      <c r="P277" s="215" t="n"/>
      <c r="Q277" s="215" t="n"/>
      <c r="R277" s="215" t="n"/>
      <c r="S277" s="215" t="n"/>
      <c r="T277" s="215" t="n"/>
      <c r="U277" s="215" t="n"/>
      <c r="V277" s="215" t="n"/>
      <c r="W277" s="215" t="n"/>
      <c r="X277" s="215" t="n"/>
      <c r="Y277" s="215" t="n"/>
      <c r="Z277" s="215" t="n"/>
      <c r="AA277" s="215" t="n"/>
      <c r="AB277" s="215" t="n"/>
      <c r="AC277" s="215" t="n"/>
      <c r="AD277" s="215" t="n"/>
      <c r="AE277" s="215" t="n"/>
      <c r="AF277" s="215" t="n"/>
      <c r="AG277" s="215" t="n"/>
      <c r="AH277" s="215" t="n"/>
      <c r="AI277" s="215" t="n"/>
      <c r="AJ277" s="215" t="n"/>
      <c r="AK277" s="216" t="n"/>
    </row>
    <row r="278" ht="15" customHeight="1">
      <c r="B278" s="134" t="n"/>
      <c r="C278" s="105" t="n"/>
      <c r="D278" s="105" t="n"/>
      <c r="E278" s="105" t="n"/>
      <c r="F278" s="105" t="n"/>
      <c r="G278" s="105" t="n"/>
      <c r="H278" s="2" t="n"/>
      <c r="I278" s="105" t="n"/>
      <c r="K278" s="215" t="n"/>
      <c r="L278" s="215" t="n"/>
      <c r="M278" s="215" t="n"/>
      <c r="N278" s="215" t="n"/>
      <c r="O278" s="215" t="n"/>
      <c r="P278" s="215" t="n"/>
      <c r="Q278" s="215" t="n"/>
      <c r="R278" s="215" t="n"/>
      <c r="S278" s="215" t="n"/>
      <c r="T278" s="215" t="n"/>
      <c r="U278" s="215" t="n"/>
      <c r="V278" s="215" t="n"/>
      <c r="W278" s="215" t="n"/>
      <c r="X278" s="215" t="n"/>
      <c r="Y278" s="215" t="n"/>
      <c r="Z278" s="215" t="n"/>
      <c r="AA278" s="215" t="n"/>
      <c r="AB278" s="215" t="n"/>
      <c r="AC278" s="215" t="n"/>
      <c r="AD278" s="215" t="n"/>
      <c r="AE278" s="215" t="n"/>
      <c r="AF278" s="215" t="n"/>
      <c r="AG278" s="215" t="n"/>
      <c r="AH278" s="215" t="n"/>
      <c r="AI278" s="215" t="n"/>
      <c r="AJ278" s="215" t="n"/>
      <c r="AK278" s="216" t="n"/>
    </row>
    <row r="279" ht="15" customHeight="1">
      <c r="B279" s="134" t="n"/>
      <c r="C279" s="105" t="n"/>
      <c r="D279" s="105" t="n"/>
      <c r="E279" s="105" t="n"/>
      <c r="F279" s="105" t="n"/>
      <c r="G279" s="105" t="n"/>
      <c r="H279" s="2" t="n"/>
      <c r="I279" s="105" t="n"/>
      <c r="K279" s="215" t="n"/>
      <c r="L279" s="215" t="n"/>
      <c r="M279" s="215" t="n"/>
      <c r="N279" s="215" t="n"/>
      <c r="O279" s="215" t="n"/>
      <c r="P279" s="215" t="n"/>
      <c r="Q279" s="215" t="n"/>
      <c r="R279" s="215" t="n"/>
      <c r="S279" s="215" t="n"/>
      <c r="T279" s="215" t="n"/>
      <c r="U279" s="215" t="n"/>
      <c r="V279" s="215" t="n"/>
      <c r="W279" s="215" t="n"/>
      <c r="X279" s="215" t="n"/>
      <c r="Y279" s="215" t="n"/>
      <c r="Z279" s="215" t="n"/>
      <c r="AA279" s="215" t="n"/>
      <c r="AB279" s="215" t="n"/>
      <c r="AC279" s="215" t="n"/>
      <c r="AD279" s="215" t="n"/>
      <c r="AE279" s="215" t="n"/>
      <c r="AF279" s="215" t="n"/>
      <c r="AG279" s="215" t="n"/>
      <c r="AH279" s="215" t="n"/>
      <c r="AI279" s="215" t="n"/>
      <c r="AJ279" s="215" t="n"/>
      <c r="AK279" s="216" t="n"/>
    </row>
    <row r="280" ht="15" customHeight="1">
      <c r="B280" s="134" t="n"/>
      <c r="C280" s="105" t="n"/>
      <c r="D280" s="105" t="n"/>
      <c r="E280" s="105" t="n"/>
      <c r="F280" s="105" t="n"/>
      <c r="G280" s="105" t="n"/>
      <c r="H280" s="2" t="n"/>
      <c r="I280" s="105" t="n"/>
      <c r="K280" s="215" t="n"/>
      <c r="L280" s="215" t="n"/>
      <c r="M280" s="215" t="n"/>
      <c r="N280" s="215" t="n"/>
      <c r="O280" s="215" t="n"/>
      <c r="P280" s="215" t="n"/>
      <c r="Q280" s="215" t="n"/>
      <c r="R280" s="215" t="n"/>
      <c r="S280" s="215" t="n"/>
      <c r="T280" s="215" t="n"/>
      <c r="U280" s="215" t="n"/>
      <c r="V280" s="215" t="n"/>
      <c r="W280" s="215" t="n"/>
      <c r="X280" s="215" t="n"/>
      <c r="Y280" s="215" t="n"/>
      <c r="Z280" s="215" t="n"/>
      <c r="AA280" s="215" t="n"/>
      <c r="AB280" s="215" t="n"/>
      <c r="AC280" s="215" t="n"/>
      <c r="AD280" s="215" t="n"/>
      <c r="AE280" s="215" t="n"/>
      <c r="AF280" s="215" t="n"/>
      <c r="AG280" s="215" t="n"/>
      <c r="AH280" s="215" t="n"/>
      <c r="AI280" s="215" t="n"/>
      <c r="AJ280" s="215" t="n"/>
      <c r="AK280" s="216" t="n"/>
    </row>
    <row r="281" ht="15" customHeight="1">
      <c r="B281" s="134" t="n"/>
      <c r="C281" s="105" t="n"/>
      <c r="D281" s="105" t="n"/>
      <c r="E281" s="105" t="n"/>
      <c r="F281" s="105" t="n"/>
      <c r="G281" s="105" t="n"/>
      <c r="H281" s="2" t="n"/>
      <c r="I281" s="105" t="n"/>
      <c r="K281" s="215" t="n"/>
      <c r="L281" s="215" t="n"/>
      <c r="M281" s="215" t="n"/>
      <c r="N281" s="215" t="n"/>
      <c r="O281" s="215" t="n"/>
      <c r="P281" s="215" t="n"/>
      <c r="Q281" s="215" t="n"/>
      <c r="R281" s="215" t="n"/>
      <c r="S281" s="215" t="n"/>
      <c r="T281" s="215" t="n"/>
      <c r="U281" s="215" t="n"/>
      <c r="V281" s="215" t="n"/>
      <c r="W281" s="215" t="n"/>
      <c r="X281" s="215" t="n"/>
      <c r="Y281" s="215" t="n"/>
      <c r="Z281" s="215" t="n"/>
      <c r="AA281" s="215" t="n"/>
      <c r="AB281" s="215" t="n"/>
      <c r="AC281" s="215" t="n"/>
      <c r="AD281" s="215" t="n"/>
      <c r="AE281" s="215" t="n"/>
      <c r="AF281" s="215" t="n"/>
      <c r="AG281" s="215" t="n"/>
      <c r="AH281" s="215" t="n"/>
      <c r="AI281" s="215" t="n"/>
      <c r="AJ281" s="215" t="n"/>
      <c r="AK281" s="216" t="n"/>
    </row>
    <row r="282" ht="15" customHeight="1">
      <c r="B282" s="134" t="n"/>
      <c r="C282" s="105" t="n"/>
      <c r="D282" s="105" t="n"/>
      <c r="E282" s="105" t="n"/>
      <c r="F282" s="105" t="n"/>
      <c r="G282" s="105" t="n"/>
      <c r="H282" s="2" t="n"/>
      <c r="I282" s="105" t="n"/>
      <c r="K282" s="215" t="n"/>
      <c r="L282" s="215" t="n"/>
      <c r="M282" s="215" t="n"/>
      <c r="N282" s="215" t="n"/>
      <c r="O282" s="215" t="n"/>
      <c r="P282" s="215" t="n"/>
      <c r="Q282" s="215" t="n"/>
      <c r="R282" s="215" t="n"/>
      <c r="S282" s="215" t="n"/>
      <c r="T282" s="215" t="n"/>
      <c r="U282" s="215" t="n"/>
      <c r="V282" s="215" t="n"/>
      <c r="W282" s="215" t="n"/>
      <c r="X282" s="215" t="n"/>
      <c r="Y282" s="215" t="n"/>
      <c r="Z282" s="215" t="n"/>
      <c r="AA282" s="215" t="n"/>
      <c r="AB282" s="215" t="n"/>
      <c r="AC282" s="215" t="n"/>
      <c r="AD282" s="215" t="n"/>
      <c r="AE282" s="215" t="n"/>
      <c r="AF282" s="215" t="n"/>
      <c r="AG282" s="215" t="n"/>
      <c r="AH282" s="215" t="n"/>
      <c r="AI282" s="215" t="n"/>
      <c r="AJ282" s="215" t="n"/>
      <c r="AK282" s="216" t="n"/>
    </row>
    <row r="283" ht="15" customHeight="1">
      <c r="B283" s="134" t="n"/>
      <c r="C283" s="105" t="n"/>
      <c r="D283" s="105" t="n"/>
      <c r="E283" s="105" t="n"/>
      <c r="F283" s="105" t="n"/>
      <c r="G283" s="105" t="n"/>
      <c r="H283" s="2" t="n"/>
      <c r="I283" s="105" t="n"/>
      <c r="K283" s="215" t="n"/>
      <c r="L283" s="215" t="n"/>
      <c r="M283" s="215" t="n"/>
      <c r="N283" s="215" t="n"/>
      <c r="O283" s="215" t="n"/>
      <c r="P283" s="215" t="n"/>
      <c r="Q283" s="215" t="n"/>
      <c r="R283" s="215" t="n"/>
      <c r="S283" s="215" t="n"/>
      <c r="T283" s="215" t="n"/>
      <c r="U283" s="215" t="n"/>
      <c r="V283" s="215" t="n"/>
      <c r="W283" s="215" t="n"/>
      <c r="X283" s="215" t="n"/>
      <c r="Y283" s="215" t="n"/>
      <c r="Z283" s="215" t="n"/>
      <c r="AA283" s="215" t="n"/>
      <c r="AB283" s="215" t="n"/>
      <c r="AC283" s="215" t="n"/>
      <c r="AD283" s="215" t="n"/>
      <c r="AE283" s="215" t="n"/>
      <c r="AF283" s="215" t="n"/>
      <c r="AG283" s="215" t="n"/>
      <c r="AH283" s="215" t="n"/>
      <c r="AI283" s="215" t="n"/>
      <c r="AJ283" s="215" t="n"/>
      <c r="AK283" s="216" t="n"/>
    </row>
    <row r="284" ht="15" customHeight="1">
      <c r="B284" s="134" t="n"/>
      <c r="C284" s="105" t="n"/>
      <c r="D284" s="105" t="n"/>
      <c r="E284" s="105" t="n"/>
      <c r="F284" s="105" t="n"/>
      <c r="G284" s="105" t="n"/>
      <c r="H284" s="2" t="n"/>
      <c r="I284" s="105" t="n"/>
      <c r="K284" s="215" t="n"/>
      <c r="L284" s="215" t="n"/>
      <c r="M284" s="215" t="n"/>
      <c r="N284" s="215" t="n"/>
      <c r="O284" s="215" t="n"/>
      <c r="P284" s="215" t="n"/>
      <c r="Q284" s="215" t="n"/>
      <c r="R284" s="215" t="n"/>
      <c r="S284" s="215" t="n"/>
      <c r="T284" s="215" t="n"/>
      <c r="U284" s="215" t="n"/>
      <c r="V284" s="215" t="n"/>
      <c r="W284" s="215" t="n"/>
      <c r="X284" s="215" t="n"/>
      <c r="Y284" s="215" t="n"/>
      <c r="Z284" s="215" t="n"/>
      <c r="AA284" s="215" t="n"/>
      <c r="AB284" s="215" t="n"/>
      <c r="AC284" s="215" t="n"/>
      <c r="AD284" s="215" t="n"/>
      <c r="AE284" s="215" t="n"/>
      <c r="AF284" s="215" t="n"/>
      <c r="AG284" s="215" t="n"/>
      <c r="AH284" s="215" t="n"/>
      <c r="AI284" s="215" t="n"/>
      <c r="AJ284" s="215" t="n"/>
      <c r="AK284" s="216" t="n"/>
    </row>
    <row r="285" ht="15" customHeight="1">
      <c r="B285" s="134" t="n"/>
      <c r="C285" s="105" t="n"/>
      <c r="D285" s="105" t="n"/>
      <c r="E285" s="105" t="n"/>
      <c r="F285" s="105" t="n"/>
      <c r="G285" s="105" t="n"/>
      <c r="H285" s="2" t="n"/>
      <c r="I285" s="105" t="n"/>
      <c r="K285" s="215" t="n"/>
      <c r="L285" s="215" t="n"/>
      <c r="M285" s="215" t="n"/>
      <c r="N285" s="215" t="n"/>
      <c r="O285" s="215" t="n"/>
      <c r="P285" s="215" t="n"/>
      <c r="Q285" s="215" t="n"/>
      <c r="R285" s="215" t="n"/>
      <c r="S285" s="215" t="n"/>
      <c r="T285" s="215" t="n"/>
      <c r="U285" s="215" t="n"/>
      <c r="V285" s="215" t="n"/>
      <c r="W285" s="215" t="n"/>
      <c r="X285" s="215" t="n"/>
      <c r="Y285" s="215" t="n"/>
      <c r="Z285" s="215" t="n"/>
      <c r="AA285" s="215" t="n"/>
      <c r="AB285" s="215" t="n"/>
      <c r="AC285" s="215" t="n"/>
      <c r="AD285" s="215" t="n"/>
      <c r="AE285" s="215" t="n"/>
      <c r="AF285" s="215" t="n"/>
      <c r="AG285" s="215" t="n"/>
      <c r="AH285" s="215" t="n"/>
      <c r="AI285" s="215" t="n"/>
      <c r="AJ285" s="215" t="n"/>
      <c r="AK285" s="216" t="n"/>
    </row>
    <row r="286" ht="15" customHeight="1">
      <c r="B286" s="134" t="n"/>
      <c r="C286" s="105" t="n"/>
      <c r="D286" s="105" t="n"/>
      <c r="E286" s="105" t="n"/>
      <c r="F286" s="105" t="n"/>
      <c r="G286" s="105" t="n"/>
      <c r="H286" s="2" t="n"/>
      <c r="I286" s="105" t="n"/>
      <c r="K286" s="215" t="n"/>
      <c r="L286" s="215" t="n"/>
      <c r="M286" s="215" t="n"/>
      <c r="N286" s="215" t="n"/>
      <c r="O286" s="215" t="n"/>
      <c r="P286" s="215" t="n"/>
      <c r="Q286" s="215" t="n"/>
      <c r="R286" s="215" t="n"/>
      <c r="S286" s="215" t="n"/>
      <c r="T286" s="215" t="n"/>
      <c r="U286" s="215" t="n"/>
      <c r="V286" s="215" t="n"/>
      <c r="W286" s="215" t="n"/>
      <c r="X286" s="215" t="n"/>
      <c r="Y286" s="215" t="n"/>
      <c r="Z286" s="215" t="n"/>
      <c r="AA286" s="215" t="n"/>
      <c r="AB286" s="215" t="n"/>
      <c r="AC286" s="215" t="n"/>
      <c r="AD286" s="215" t="n"/>
      <c r="AE286" s="215" t="n"/>
      <c r="AF286" s="215" t="n"/>
      <c r="AG286" s="215" t="n"/>
      <c r="AH286" s="215" t="n"/>
      <c r="AI286" s="215" t="n"/>
      <c r="AJ286" s="215" t="n"/>
      <c r="AK286" s="216" t="n"/>
    </row>
    <row r="287" ht="15" customHeight="1">
      <c r="B287" s="134" t="n"/>
      <c r="C287" s="105" t="n"/>
      <c r="D287" s="105" t="n"/>
      <c r="E287" s="105" t="n"/>
      <c r="F287" s="105" t="n"/>
      <c r="G287" s="105" t="n"/>
      <c r="H287" s="2" t="n"/>
      <c r="I287" s="105" t="n"/>
      <c r="K287" s="215" t="n"/>
      <c r="L287" s="215" t="n"/>
      <c r="M287" s="215" t="n"/>
      <c r="N287" s="215" t="n"/>
      <c r="O287" s="215" t="n"/>
      <c r="P287" s="215" t="n"/>
      <c r="Q287" s="215" t="n"/>
      <c r="R287" s="215" t="n"/>
      <c r="S287" s="215" t="n"/>
      <c r="T287" s="215" t="n"/>
      <c r="U287" s="215" t="n"/>
      <c r="V287" s="215" t="n"/>
      <c r="W287" s="215" t="n"/>
      <c r="X287" s="215" t="n"/>
      <c r="Y287" s="215" t="n"/>
      <c r="Z287" s="215" t="n"/>
      <c r="AA287" s="215" t="n"/>
      <c r="AB287" s="215" t="n"/>
      <c r="AC287" s="215" t="n"/>
      <c r="AD287" s="215" t="n"/>
      <c r="AE287" s="215" t="n"/>
      <c r="AF287" s="215" t="n"/>
      <c r="AG287" s="215" t="n"/>
      <c r="AH287" s="215" t="n"/>
      <c r="AI287" s="215" t="n"/>
      <c r="AJ287" s="215" t="n"/>
      <c r="AK287" s="216" t="n"/>
    </row>
    <row r="288" ht="15" customHeight="1">
      <c r="B288" s="134" t="n"/>
      <c r="C288" s="105" t="n"/>
      <c r="D288" s="105" t="n"/>
      <c r="E288" s="105" t="n"/>
      <c r="F288" s="105" t="n"/>
      <c r="G288" s="105" t="n"/>
      <c r="H288" s="2" t="n"/>
      <c r="I288" s="105" t="n"/>
      <c r="K288" s="215" t="n"/>
      <c r="L288" s="215" t="n"/>
      <c r="M288" s="215" t="n"/>
      <c r="N288" s="215" t="n"/>
      <c r="O288" s="215" t="n"/>
      <c r="P288" s="215" t="n"/>
      <c r="Q288" s="215" t="n"/>
      <c r="R288" s="215" t="n"/>
      <c r="S288" s="215" t="n"/>
      <c r="T288" s="215" t="n"/>
      <c r="U288" s="215" t="n"/>
      <c r="V288" s="215" t="n"/>
      <c r="W288" s="215" t="n"/>
      <c r="X288" s="215" t="n"/>
      <c r="Y288" s="215" t="n"/>
      <c r="Z288" s="215" t="n"/>
      <c r="AA288" s="215" t="n"/>
      <c r="AB288" s="215" t="n"/>
      <c r="AC288" s="215" t="n"/>
      <c r="AD288" s="215" t="n"/>
      <c r="AE288" s="215" t="n"/>
      <c r="AF288" s="215" t="n"/>
      <c r="AG288" s="215" t="n"/>
      <c r="AH288" s="215" t="n"/>
      <c r="AI288" s="215" t="n"/>
      <c r="AJ288" s="215" t="n"/>
      <c r="AK288" s="216" t="n"/>
    </row>
    <row r="289" ht="15" customHeight="1">
      <c r="B289" s="134" t="n"/>
      <c r="C289" s="105" t="n"/>
      <c r="D289" s="105" t="n"/>
      <c r="E289" s="105" t="n"/>
      <c r="F289" s="105" t="n"/>
      <c r="G289" s="105" t="n"/>
      <c r="H289" s="2" t="n"/>
      <c r="I289" s="105" t="n"/>
      <c r="K289" s="215" t="n"/>
      <c r="L289" s="215" t="n"/>
      <c r="M289" s="215" t="n"/>
      <c r="N289" s="215" t="n"/>
      <c r="O289" s="215" t="n"/>
      <c r="P289" s="215" t="n"/>
      <c r="Q289" s="215" t="n"/>
      <c r="R289" s="215" t="n"/>
      <c r="S289" s="215" t="n"/>
      <c r="T289" s="215" t="n"/>
      <c r="U289" s="215" t="n"/>
      <c r="V289" s="215" t="n"/>
      <c r="W289" s="215" t="n"/>
      <c r="X289" s="215" t="n"/>
      <c r="Y289" s="215" t="n"/>
      <c r="Z289" s="215" t="n"/>
      <c r="AA289" s="215" t="n"/>
      <c r="AB289" s="215" t="n"/>
      <c r="AC289" s="215" t="n"/>
      <c r="AD289" s="215" t="n"/>
      <c r="AE289" s="215" t="n"/>
      <c r="AF289" s="215" t="n"/>
      <c r="AG289" s="215" t="n"/>
      <c r="AH289" s="215" t="n"/>
      <c r="AI289" s="215" t="n"/>
      <c r="AJ289" s="215" t="n"/>
      <c r="AK289" s="216" t="n"/>
    </row>
    <row r="290" ht="15" customHeight="1">
      <c r="B290" s="134" t="n"/>
      <c r="C290" s="105" t="n"/>
      <c r="D290" s="105" t="n"/>
      <c r="E290" s="105" t="n"/>
      <c r="F290" s="105" t="n"/>
      <c r="G290" s="105" t="n"/>
      <c r="H290" s="2" t="n"/>
      <c r="I290" s="105" t="n"/>
      <c r="K290" s="215" t="n"/>
      <c r="L290" s="215" t="n"/>
      <c r="M290" s="215" t="n"/>
      <c r="N290" s="215" t="n"/>
      <c r="O290" s="215" t="n"/>
      <c r="P290" s="215" t="n"/>
      <c r="Q290" s="215" t="n"/>
      <c r="R290" s="215" t="n"/>
      <c r="S290" s="215" t="n"/>
      <c r="T290" s="215" t="n"/>
      <c r="U290" s="215" t="n"/>
      <c r="V290" s="215" t="n"/>
      <c r="W290" s="215" t="n"/>
      <c r="X290" s="215" t="n"/>
      <c r="Y290" s="215" t="n"/>
      <c r="Z290" s="215" t="n"/>
      <c r="AA290" s="215" t="n"/>
      <c r="AB290" s="215" t="n"/>
      <c r="AC290" s="215" t="n"/>
      <c r="AD290" s="215" t="n"/>
      <c r="AE290" s="215" t="n"/>
      <c r="AF290" s="215" t="n"/>
      <c r="AG290" s="215" t="n"/>
      <c r="AH290" s="215" t="n"/>
      <c r="AI290" s="215" t="n"/>
      <c r="AJ290" s="215" t="n"/>
      <c r="AK290" s="216" t="n"/>
    </row>
    <row r="291" ht="15" customHeight="1">
      <c r="B291" s="134" t="n"/>
      <c r="C291" s="105" t="n"/>
      <c r="D291" s="105" t="n"/>
      <c r="E291" s="105" t="n"/>
      <c r="F291" s="105" t="n"/>
      <c r="G291" s="105" t="n"/>
      <c r="H291" s="2" t="n"/>
      <c r="I291" s="105" t="n"/>
      <c r="K291" s="215" t="n"/>
      <c r="L291" s="215" t="n"/>
      <c r="M291" s="215" t="n"/>
      <c r="N291" s="215" t="n"/>
      <c r="O291" s="215" t="n"/>
      <c r="P291" s="215" t="n"/>
      <c r="Q291" s="215" t="n"/>
      <c r="R291" s="215" t="n"/>
      <c r="S291" s="215" t="n"/>
      <c r="T291" s="215" t="n"/>
      <c r="U291" s="215" t="n"/>
      <c r="V291" s="215" t="n"/>
      <c r="W291" s="215" t="n"/>
      <c r="X291" s="215" t="n"/>
      <c r="Y291" s="215" t="n"/>
      <c r="Z291" s="215" t="n"/>
      <c r="AA291" s="215" t="n"/>
      <c r="AB291" s="215" t="n"/>
      <c r="AC291" s="215" t="n"/>
      <c r="AD291" s="215" t="n"/>
      <c r="AE291" s="215" t="n"/>
      <c r="AF291" s="215" t="n"/>
      <c r="AG291" s="215" t="n"/>
      <c r="AH291" s="215" t="n"/>
      <c r="AI291" s="215" t="n"/>
      <c r="AJ291" s="215" t="n"/>
      <c r="AK291" s="216" t="n"/>
    </row>
    <row r="292" ht="15" customHeight="1">
      <c r="B292" s="134" t="n"/>
      <c r="C292" s="105" t="n"/>
      <c r="D292" s="105" t="n"/>
      <c r="E292" s="105" t="n"/>
      <c r="F292" s="105" t="n"/>
      <c r="G292" s="105" t="n"/>
      <c r="H292" s="2" t="n"/>
      <c r="I292" s="105" t="n"/>
      <c r="K292" s="215" t="n"/>
      <c r="L292" s="215" t="n"/>
      <c r="M292" s="215" t="n"/>
      <c r="N292" s="215" t="n"/>
      <c r="O292" s="215" t="n"/>
      <c r="P292" s="215" t="n"/>
      <c r="Q292" s="215" t="n"/>
      <c r="R292" s="215" t="n"/>
      <c r="S292" s="215" t="n"/>
      <c r="T292" s="215" t="n"/>
      <c r="U292" s="215" t="n"/>
      <c r="V292" s="215" t="n"/>
      <c r="W292" s="215" t="n"/>
      <c r="X292" s="215" t="n"/>
      <c r="Y292" s="215" t="n"/>
      <c r="Z292" s="215" t="n"/>
      <c r="AA292" s="215" t="n"/>
      <c r="AB292" s="215" t="n"/>
      <c r="AC292" s="215" t="n"/>
      <c r="AD292" s="215" t="n"/>
      <c r="AE292" s="215" t="n"/>
      <c r="AF292" s="215" t="n"/>
      <c r="AG292" s="215" t="n"/>
      <c r="AH292" s="215" t="n"/>
      <c r="AI292" s="215" t="n"/>
      <c r="AJ292" s="215" t="n"/>
      <c r="AK292" s="216" t="n"/>
    </row>
    <row r="293" ht="15" customHeight="1">
      <c r="B293" s="134" t="n"/>
      <c r="C293" s="105" t="n"/>
      <c r="D293" s="105" t="n"/>
      <c r="E293" s="105" t="n"/>
      <c r="F293" s="105" t="n"/>
      <c r="G293" s="105" t="n"/>
      <c r="H293" s="2" t="n"/>
      <c r="I293" s="105" t="n"/>
      <c r="K293" s="215" t="n"/>
      <c r="L293" s="215" t="n"/>
      <c r="M293" s="215" t="n"/>
      <c r="N293" s="215" t="n"/>
      <c r="O293" s="215" t="n"/>
      <c r="P293" s="215" t="n"/>
      <c r="Q293" s="215" t="n"/>
      <c r="R293" s="215" t="n"/>
      <c r="S293" s="215" t="n"/>
      <c r="T293" s="215" t="n"/>
      <c r="U293" s="215" t="n"/>
      <c r="V293" s="215" t="n"/>
      <c r="W293" s="215" t="n"/>
      <c r="X293" s="215" t="n"/>
      <c r="Y293" s="215" t="n"/>
      <c r="Z293" s="215" t="n"/>
      <c r="AA293" s="215" t="n"/>
      <c r="AB293" s="215" t="n"/>
      <c r="AC293" s="215" t="n"/>
      <c r="AD293" s="215" t="n"/>
      <c r="AE293" s="215" t="n"/>
      <c r="AF293" s="215" t="n"/>
      <c r="AG293" s="215" t="n"/>
      <c r="AH293" s="215" t="n"/>
      <c r="AI293" s="215" t="n"/>
      <c r="AJ293" s="215" t="n"/>
      <c r="AK293" s="216" t="n"/>
    </row>
    <row r="294" ht="15" customHeight="1">
      <c r="B294" s="134" t="n"/>
      <c r="C294" s="105" t="n"/>
      <c r="D294" s="105" t="n"/>
      <c r="E294" s="105" t="n"/>
      <c r="F294" s="105" t="n"/>
      <c r="G294" s="105" t="n"/>
      <c r="H294" s="2" t="n"/>
      <c r="I294" s="105" t="n"/>
      <c r="K294" s="215" t="n"/>
      <c r="L294" s="215" t="n"/>
      <c r="M294" s="215" t="n"/>
      <c r="N294" s="215" t="n"/>
      <c r="O294" s="215" t="n"/>
      <c r="P294" s="215" t="n"/>
      <c r="Q294" s="215" t="n"/>
      <c r="R294" s="215" t="n"/>
      <c r="S294" s="215" t="n"/>
      <c r="T294" s="215" t="n"/>
      <c r="U294" s="215" t="n"/>
      <c r="V294" s="215" t="n"/>
      <c r="W294" s="215" t="n"/>
      <c r="X294" s="215" t="n"/>
      <c r="Y294" s="215" t="n"/>
      <c r="Z294" s="215" t="n"/>
      <c r="AA294" s="215" t="n"/>
      <c r="AB294" s="215" t="n"/>
      <c r="AC294" s="215" t="n"/>
      <c r="AD294" s="215" t="n"/>
      <c r="AE294" s="215" t="n"/>
      <c r="AF294" s="215" t="n"/>
      <c r="AG294" s="215" t="n"/>
      <c r="AH294" s="215" t="n"/>
      <c r="AI294" s="215" t="n"/>
      <c r="AJ294" s="215" t="n"/>
      <c r="AK294" s="216" t="n"/>
    </row>
    <row r="295" ht="15" customHeight="1">
      <c r="B295" s="134" t="n"/>
      <c r="C295" s="105" t="n"/>
      <c r="D295" s="105" t="n"/>
      <c r="E295" s="105" t="n"/>
      <c r="F295" s="105" t="n"/>
      <c r="G295" s="105" t="n"/>
      <c r="H295" s="2" t="n"/>
      <c r="I295" s="105" t="n"/>
      <c r="K295" s="215" t="n"/>
      <c r="L295" s="215" t="n"/>
      <c r="M295" s="215" t="n"/>
      <c r="N295" s="215" t="n"/>
      <c r="O295" s="215" t="n"/>
      <c r="P295" s="215" t="n"/>
      <c r="Q295" s="215" t="n"/>
      <c r="R295" s="215" t="n"/>
      <c r="S295" s="215" t="n"/>
      <c r="T295" s="215" t="n"/>
      <c r="U295" s="215" t="n"/>
      <c r="V295" s="215" t="n"/>
      <c r="W295" s="215" t="n"/>
      <c r="X295" s="215" t="n"/>
      <c r="Y295" s="215" t="n"/>
      <c r="Z295" s="215" t="n"/>
      <c r="AA295" s="215" t="n"/>
      <c r="AB295" s="215" t="n"/>
      <c r="AC295" s="215" t="n"/>
      <c r="AD295" s="215" t="n"/>
      <c r="AE295" s="215" t="n"/>
      <c r="AF295" s="215" t="n"/>
      <c r="AG295" s="215" t="n"/>
      <c r="AH295" s="215" t="n"/>
      <c r="AI295" s="215" t="n"/>
      <c r="AJ295" s="215" t="n"/>
      <c r="AK295" s="216" t="n"/>
    </row>
    <row r="296" ht="15" customHeight="1">
      <c r="B296" s="134" t="n"/>
      <c r="C296" s="105" t="n"/>
      <c r="D296" s="105" t="n"/>
      <c r="E296" s="105" t="n"/>
      <c r="F296" s="105" t="n"/>
      <c r="G296" s="105" t="n"/>
      <c r="H296" s="2" t="n"/>
      <c r="I296" s="105" t="n"/>
      <c r="K296" s="215" t="n"/>
      <c r="L296" s="215" t="n"/>
      <c r="M296" s="215" t="n"/>
      <c r="N296" s="215" t="n"/>
      <c r="O296" s="215" t="n"/>
      <c r="P296" s="215" t="n"/>
      <c r="Q296" s="215" t="n"/>
      <c r="R296" s="215" t="n"/>
      <c r="S296" s="215" t="n"/>
      <c r="T296" s="215" t="n"/>
      <c r="U296" s="215" t="n"/>
      <c r="V296" s="215" t="n"/>
      <c r="W296" s="215" t="n"/>
      <c r="X296" s="215" t="n"/>
      <c r="Y296" s="215" t="n"/>
      <c r="Z296" s="215" t="n"/>
      <c r="AA296" s="215" t="n"/>
      <c r="AB296" s="215" t="n"/>
      <c r="AC296" s="215" t="n"/>
      <c r="AD296" s="215" t="n"/>
      <c r="AE296" s="215" t="n"/>
      <c r="AF296" s="215" t="n"/>
      <c r="AG296" s="215" t="n"/>
      <c r="AH296" s="215" t="n"/>
      <c r="AI296" s="215" t="n"/>
      <c r="AJ296" s="215" t="n"/>
      <c r="AK296" s="216" t="n"/>
    </row>
    <row r="297" ht="15" customHeight="1">
      <c r="B297" s="134" t="n"/>
      <c r="C297" s="105" t="n"/>
      <c r="D297" s="105" t="n"/>
      <c r="E297" s="105" t="n"/>
      <c r="F297" s="105" t="n"/>
      <c r="G297" s="105" t="n"/>
      <c r="H297" s="2" t="n"/>
      <c r="I297" s="105" t="n"/>
      <c r="K297" s="215" t="n"/>
      <c r="L297" s="215" t="n"/>
      <c r="M297" s="215" t="n"/>
      <c r="N297" s="215" t="n"/>
      <c r="O297" s="215" t="n"/>
      <c r="P297" s="215" t="n"/>
      <c r="Q297" s="215" t="n"/>
      <c r="R297" s="215" t="n"/>
      <c r="S297" s="215" t="n"/>
      <c r="T297" s="215" t="n"/>
      <c r="U297" s="215" t="n"/>
      <c r="V297" s="215" t="n"/>
      <c r="W297" s="215" t="n"/>
      <c r="X297" s="215" t="n"/>
      <c r="Y297" s="215" t="n"/>
      <c r="Z297" s="215" t="n"/>
      <c r="AA297" s="215" t="n"/>
      <c r="AB297" s="215" t="n"/>
      <c r="AC297" s="215" t="n"/>
      <c r="AD297" s="215" t="n"/>
      <c r="AE297" s="215" t="n"/>
      <c r="AF297" s="215" t="n"/>
      <c r="AG297" s="215" t="n"/>
      <c r="AH297" s="215" t="n"/>
      <c r="AI297" s="215" t="n"/>
      <c r="AJ297" s="215" t="n"/>
      <c r="AK297" s="216" t="n"/>
    </row>
    <row r="298" ht="15" customHeight="1">
      <c r="B298" s="134" t="n"/>
      <c r="C298" s="105" t="n"/>
      <c r="D298" s="105" t="n"/>
      <c r="E298" s="105" t="n"/>
      <c r="F298" s="105" t="n"/>
      <c r="G298" s="105" t="n"/>
      <c r="H298" s="2" t="n"/>
      <c r="I298" s="105" t="n"/>
      <c r="K298" s="215" t="n"/>
      <c r="L298" s="215" t="n"/>
      <c r="M298" s="215" t="n"/>
      <c r="N298" s="215" t="n"/>
      <c r="O298" s="215" t="n"/>
      <c r="P298" s="215" t="n"/>
      <c r="Q298" s="215" t="n"/>
      <c r="R298" s="215" t="n"/>
      <c r="S298" s="215" t="n"/>
      <c r="T298" s="215" t="n"/>
      <c r="U298" s="215" t="n"/>
      <c r="V298" s="215" t="n"/>
      <c r="W298" s="215" t="n"/>
      <c r="X298" s="215" t="n"/>
      <c r="Y298" s="215" t="n"/>
      <c r="Z298" s="215" t="n"/>
      <c r="AA298" s="215" t="n"/>
      <c r="AB298" s="215" t="n"/>
      <c r="AC298" s="215" t="n"/>
      <c r="AD298" s="215" t="n"/>
      <c r="AE298" s="215" t="n"/>
      <c r="AF298" s="215" t="n"/>
      <c r="AG298" s="215" t="n"/>
      <c r="AH298" s="215" t="n"/>
      <c r="AI298" s="215" t="n"/>
      <c r="AJ298" s="215" t="n"/>
      <c r="AK298" s="216" t="n"/>
    </row>
    <row r="299" ht="15" customHeight="1">
      <c r="B299" s="134" t="n"/>
      <c r="C299" s="105" t="n"/>
      <c r="D299" s="105" t="n"/>
      <c r="E299" s="105" t="n"/>
      <c r="F299" s="105" t="n"/>
      <c r="G299" s="105" t="n"/>
      <c r="H299" s="2" t="n"/>
      <c r="I299" s="105" t="n"/>
      <c r="K299" s="215" t="n"/>
      <c r="L299" s="215" t="n"/>
      <c r="M299" s="215" t="n"/>
      <c r="N299" s="215" t="n"/>
      <c r="O299" s="215" t="n"/>
      <c r="P299" s="215" t="n"/>
      <c r="Q299" s="215" t="n"/>
      <c r="R299" s="215" t="n"/>
      <c r="S299" s="215" t="n"/>
      <c r="T299" s="215" t="n"/>
      <c r="U299" s="215" t="n"/>
      <c r="V299" s="215" t="n"/>
      <c r="W299" s="215" t="n"/>
      <c r="X299" s="215" t="n"/>
      <c r="Y299" s="215" t="n"/>
      <c r="Z299" s="215" t="n"/>
      <c r="AA299" s="215" t="n"/>
      <c r="AB299" s="215" t="n"/>
      <c r="AC299" s="215" t="n"/>
      <c r="AD299" s="215" t="n"/>
      <c r="AE299" s="215" t="n"/>
      <c r="AF299" s="215" t="n"/>
      <c r="AG299" s="215" t="n"/>
      <c r="AH299" s="215" t="n"/>
      <c r="AI299" s="215" t="n"/>
      <c r="AJ299" s="215" t="n"/>
      <c r="AK299" s="216" t="n"/>
    </row>
    <row r="300" ht="15" customHeight="1">
      <c r="B300" s="134" t="n"/>
      <c r="C300" s="105" t="n"/>
      <c r="D300" s="105" t="n"/>
      <c r="E300" s="105" t="n"/>
      <c r="F300" s="105" t="n"/>
      <c r="G300" s="105" t="n"/>
      <c r="H300" s="2" t="n"/>
      <c r="I300" s="105" t="n"/>
      <c r="K300" s="215" t="n"/>
      <c r="L300" s="215" t="n"/>
      <c r="M300" s="215" t="n"/>
      <c r="N300" s="215" t="n"/>
      <c r="O300" s="215" t="n"/>
      <c r="P300" s="215" t="n"/>
      <c r="Q300" s="215" t="n"/>
      <c r="R300" s="215" t="n"/>
      <c r="S300" s="215" t="n"/>
      <c r="T300" s="215" t="n"/>
      <c r="U300" s="215" t="n"/>
      <c r="V300" s="215" t="n"/>
      <c r="W300" s="215" t="n"/>
      <c r="X300" s="215" t="n"/>
      <c r="Y300" s="215" t="n"/>
      <c r="Z300" s="215" t="n"/>
      <c r="AA300" s="215" t="n"/>
      <c r="AB300" s="215" t="n"/>
      <c r="AC300" s="215" t="n"/>
      <c r="AD300" s="215" t="n"/>
      <c r="AE300" s="215" t="n"/>
      <c r="AF300" s="215" t="n"/>
      <c r="AG300" s="215" t="n"/>
      <c r="AH300" s="215" t="n"/>
      <c r="AI300" s="215" t="n"/>
      <c r="AJ300" s="215" t="n"/>
      <c r="AK300" s="216" t="n"/>
    </row>
    <row r="301" ht="15" customHeight="1">
      <c r="B301" s="134" t="n"/>
      <c r="C301" s="105" t="n"/>
      <c r="D301" s="105" t="n"/>
      <c r="E301" s="105" t="n"/>
      <c r="F301" s="105" t="n"/>
      <c r="G301" s="105" t="n"/>
      <c r="H301" s="2" t="n"/>
      <c r="I301" s="105" t="n"/>
      <c r="K301" s="215" t="n"/>
      <c r="L301" s="215" t="n"/>
      <c r="M301" s="215" t="n"/>
      <c r="N301" s="215" t="n"/>
      <c r="O301" s="215" t="n"/>
      <c r="P301" s="215" t="n"/>
      <c r="Q301" s="215" t="n"/>
      <c r="R301" s="215" t="n"/>
      <c r="S301" s="215" t="n"/>
      <c r="T301" s="215" t="n"/>
      <c r="U301" s="215" t="n"/>
      <c r="V301" s="215" t="n"/>
      <c r="W301" s="215" t="n"/>
      <c r="X301" s="215" t="n"/>
      <c r="Y301" s="215" t="n"/>
      <c r="Z301" s="215" t="n"/>
      <c r="AA301" s="215" t="n"/>
      <c r="AB301" s="215" t="n"/>
      <c r="AC301" s="215" t="n"/>
      <c r="AD301" s="215" t="n"/>
      <c r="AE301" s="215" t="n"/>
      <c r="AF301" s="215" t="n"/>
      <c r="AG301" s="215" t="n"/>
      <c r="AH301" s="215" t="n"/>
      <c r="AI301" s="215" t="n"/>
      <c r="AJ301" s="215" t="n"/>
      <c r="AK301" s="216" t="n"/>
    </row>
    <row r="302" ht="15" customHeight="1">
      <c r="B302" s="134" t="n"/>
      <c r="C302" s="105" t="n"/>
      <c r="D302" s="105" t="n"/>
      <c r="E302" s="105" t="n"/>
      <c r="F302" s="105" t="n"/>
      <c r="G302" s="105" t="n"/>
      <c r="H302" s="2" t="n"/>
      <c r="I302" s="105" t="n"/>
      <c r="K302" s="215" t="n"/>
      <c r="L302" s="215" t="n"/>
      <c r="M302" s="215" t="n"/>
      <c r="N302" s="215" t="n"/>
      <c r="O302" s="215" t="n"/>
      <c r="P302" s="215" t="n"/>
      <c r="Q302" s="215" t="n"/>
      <c r="R302" s="215" t="n"/>
      <c r="S302" s="215" t="n"/>
      <c r="T302" s="215" t="n"/>
      <c r="U302" s="215" t="n"/>
      <c r="V302" s="215" t="n"/>
      <c r="W302" s="215" t="n"/>
      <c r="X302" s="215" t="n"/>
      <c r="Y302" s="215" t="n"/>
      <c r="Z302" s="215" t="n"/>
      <c r="AA302" s="215" t="n"/>
      <c r="AB302" s="215" t="n"/>
      <c r="AC302" s="215" t="n"/>
      <c r="AD302" s="215" t="n"/>
      <c r="AE302" s="215" t="n"/>
      <c r="AF302" s="215" t="n"/>
      <c r="AG302" s="215" t="n"/>
      <c r="AH302" s="215" t="n"/>
      <c r="AI302" s="215" t="n"/>
      <c r="AJ302" s="215" t="n"/>
      <c r="AK302" s="216" t="n"/>
    </row>
    <row r="303" ht="15" customHeight="1">
      <c r="B303" s="134" t="n"/>
      <c r="C303" s="105" t="n"/>
      <c r="D303" s="105" t="n"/>
      <c r="E303" s="105" t="n"/>
      <c r="F303" s="105" t="n"/>
      <c r="G303" s="105" t="n"/>
      <c r="H303" s="2" t="n"/>
      <c r="I303" s="105" t="n"/>
      <c r="K303" s="215" t="n"/>
      <c r="L303" s="215" t="n"/>
      <c r="M303" s="215" t="n"/>
      <c r="N303" s="215" t="n"/>
      <c r="O303" s="215" t="n"/>
      <c r="P303" s="215" t="n"/>
      <c r="Q303" s="215" t="n"/>
      <c r="R303" s="215" t="n"/>
      <c r="S303" s="215" t="n"/>
      <c r="T303" s="215" t="n"/>
      <c r="U303" s="215" t="n"/>
      <c r="V303" s="215" t="n"/>
      <c r="W303" s="215" t="n"/>
      <c r="X303" s="215" t="n"/>
      <c r="Y303" s="215" t="n"/>
      <c r="Z303" s="215" t="n"/>
      <c r="AA303" s="215" t="n"/>
      <c r="AB303" s="215" t="n"/>
      <c r="AC303" s="215" t="n"/>
      <c r="AD303" s="215" t="n"/>
      <c r="AE303" s="215" t="n"/>
      <c r="AF303" s="215" t="n"/>
      <c r="AG303" s="215" t="n"/>
      <c r="AH303" s="215" t="n"/>
      <c r="AI303" s="215" t="n"/>
      <c r="AJ303" s="215" t="n"/>
      <c r="AK303" s="216" t="n"/>
    </row>
    <row r="304" ht="15" customHeight="1">
      <c r="B304" s="134" t="n"/>
      <c r="C304" s="105" t="n"/>
      <c r="D304" s="105" t="n"/>
      <c r="E304" s="105" t="n"/>
      <c r="F304" s="105" t="n"/>
      <c r="G304" s="105" t="n"/>
      <c r="H304" s="2" t="n"/>
      <c r="I304" s="105" t="n"/>
      <c r="K304" s="215" t="n"/>
      <c r="L304" s="215" t="n"/>
      <c r="M304" s="215" t="n"/>
      <c r="N304" s="215" t="n"/>
      <c r="O304" s="215" t="n"/>
      <c r="P304" s="215" t="n"/>
      <c r="Q304" s="215" t="n"/>
      <c r="R304" s="215" t="n"/>
      <c r="S304" s="215" t="n"/>
      <c r="T304" s="215" t="n"/>
      <c r="U304" s="215" t="n"/>
      <c r="V304" s="215" t="n"/>
      <c r="W304" s="215" t="n"/>
      <c r="X304" s="215" t="n"/>
      <c r="Y304" s="215" t="n"/>
      <c r="Z304" s="215" t="n"/>
      <c r="AA304" s="215" t="n"/>
      <c r="AB304" s="215" t="n"/>
      <c r="AC304" s="215" t="n"/>
      <c r="AD304" s="215" t="n"/>
      <c r="AE304" s="215" t="n"/>
      <c r="AF304" s="215" t="n"/>
      <c r="AG304" s="215" t="n"/>
      <c r="AH304" s="215" t="n"/>
      <c r="AI304" s="215" t="n"/>
      <c r="AJ304" s="215" t="n"/>
      <c r="AK304" s="216" t="n"/>
    </row>
    <row r="305" ht="15" customHeight="1">
      <c r="B305" s="134" t="n"/>
      <c r="C305" s="105" t="n"/>
      <c r="D305" s="105" t="n"/>
      <c r="E305" s="105" t="n"/>
      <c r="F305" s="105" t="n"/>
      <c r="G305" s="105" t="n"/>
      <c r="H305" s="2" t="n"/>
      <c r="I305" s="105" t="n"/>
      <c r="K305" s="215" t="n"/>
      <c r="L305" s="215" t="n"/>
      <c r="M305" s="215" t="n"/>
      <c r="N305" s="215" t="n"/>
      <c r="O305" s="215" t="n"/>
      <c r="P305" s="215" t="n"/>
      <c r="Q305" s="215" t="n"/>
      <c r="R305" s="215" t="n"/>
      <c r="S305" s="215" t="n"/>
      <c r="T305" s="215" t="n"/>
      <c r="U305" s="215" t="n"/>
      <c r="V305" s="215" t="n"/>
      <c r="W305" s="215" t="n"/>
      <c r="X305" s="215" t="n"/>
      <c r="Y305" s="215" t="n"/>
      <c r="Z305" s="215" t="n"/>
      <c r="AA305" s="215" t="n"/>
      <c r="AB305" s="215" t="n"/>
      <c r="AC305" s="215" t="n"/>
      <c r="AD305" s="215" t="n"/>
      <c r="AE305" s="215" t="n"/>
      <c r="AF305" s="215" t="n"/>
      <c r="AG305" s="215" t="n"/>
      <c r="AH305" s="215" t="n"/>
      <c r="AI305" s="215" t="n"/>
      <c r="AJ305" s="215" t="n"/>
      <c r="AK305" s="216" t="n"/>
    </row>
    <row r="306" ht="15" customHeight="1">
      <c r="B306" s="134" t="n"/>
      <c r="C306" s="105" t="n"/>
      <c r="D306" s="105" t="n"/>
      <c r="E306" s="105" t="n"/>
      <c r="F306" s="105" t="n"/>
      <c r="G306" s="105" t="n"/>
      <c r="H306" s="2" t="n"/>
      <c r="I306" s="105" t="n"/>
      <c r="K306" s="215" t="n"/>
      <c r="L306" s="215" t="n"/>
      <c r="M306" s="215" t="n"/>
      <c r="N306" s="215" t="n"/>
      <c r="O306" s="215" t="n"/>
      <c r="P306" s="215" t="n"/>
      <c r="Q306" s="215" t="n"/>
      <c r="R306" s="215" t="n"/>
      <c r="S306" s="215" t="n"/>
      <c r="T306" s="215" t="n"/>
      <c r="U306" s="215" t="n"/>
      <c r="V306" s="215" t="n"/>
      <c r="W306" s="215" t="n"/>
      <c r="X306" s="215" t="n"/>
      <c r="Y306" s="215" t="n"/>
      <c r="Z306" s="215" t="n"/>
      <c r="AA306" s="215" t="n"/>
      <c r="AB306" s="215" t="n"/>
      <c r="AC306" s="215" t="n"/>
      <c r="AD306" s="215" t="n"/>
      <c r="AE306" s="215" t="n"/>
      <c r="AF306" s="215" t="n"/>
      <c r="AG306" s="215" t="n"/>
      <c r="AH306" s="215" t="n"/>
      <c r="AI306" s="215" t="n"/>
      <c r="AJ306" s="215" t="n"/>
      <c r="AK306" s="216" t="n"/>
    </row>
    <row r="307" ht="15" customHeight="1">
      <c r="B307" s="134" t="n"/>
      <c r="C307" s="105" t="n"/>
      <c r="D307" s="105" t="n"/>
      <c r="E307" s="105" t="n"/>
      <c r="F307" s="105" t="n"/>
      <c r="G307" s="105" t="n"/>
      <c r="H307" s="2" t="n"/>
      <c r="I307" s="105" t="n"/>
      <c r="K307" s="215" t="n"/>
      <c r="L307" s="215" t="n"/>
      <c r="M307" s="215" t="n"/>
      <c r="N307" s="215" t="n"/>
      <c r="O307" s="215" t="n"/>
      <c r="P307" s="215" t="n"/>
      <c r="Q307" s="215" t="n"/>
      <c r="R307" s="215" t="n"/>
      <c r="S307" s="215" t="n"/>
      <c r="T307" s="215" t="n"/>
      <c r="U307" s="215" t="n"/>
      <c r="V307" s="215" t="n"/>
      <c r="W307" s="215" t="n"/>
      <c r="X307" s="215" t="n"/>
      <c r="Y307" s="215" t="n"/>
      <c r="Z307" s="215" t="n"/>
      <c r="AA307" s="215" t="n"/>
      <c r="AB307" s="215" t="n"/>
      <c r="AC307" s="215" t="n"/>
      <c r="AD307" s="215" t="n"/>
      <c r="AE307" s="215" t="n"/>
      <c r="AF307" s="215" t="n"/>
      <c r="AG307" s="215" t="n"/>
      <c r="AH307" s="215" t="n"/>
      <c r="AI307" s="215" t="n"/>
      <c r="AJ307" s="215" t="n"/>
      <c r="AK307" s="216" t="n"/>
    </row>
    <row r="308" ht="15" customHeight="1">
      <c r="B308" s="134" t="n"/>
      <c r="C308" s="105" t="n"/>
      <c r="D308" s="105" t="n"/>
      <c r="E308" s="105" t="n"/>
      <c r="F308" s="105" t="n"/>
      <c r="G308" s="105" t="n"/>
      <c r="H308" s="2" t="n"/>
      <c r="I308" s="105" t="n"/>
      <c r="K308" s="215" t="n"/>
      <c r="L308" s="215" t="n"/>
      <c r="M308" s="215" t="n"/>
      <c r="N308" s="215" t="n"/>
      <c r="O308" s="215" t="n"/>
      <c r="P308" s="215" t="n"/>
      <c r="Q308" s="215" t="n"/>
      <c r="R308" s="215" t="n"/>
      <c r="S308" s="215" t="n"/>
      <c r="T308" s="215" t="n"/>
      <c r="U308" s="215" t="n"/>
      <c r="V308" s="215" t="n"/>
      <c r="W308" s="215" t="n"/>
      <c r="X308" s="215" t="n"/>
      <c r="Y308" s="215" t="n"/>
      <c r="Z308" s="215" t="n"/>
      <c r="AA308" s="215" t="n"/>
      <c r="AB308" s="215" t="n"/>
      <c r="AC308" s="215" t="n"/>
      <c r="AD308" s="215" t="n"/>
      <c r="AE308" s="215" t="n"/>
      <c r="AF308" s="215" t="n"/>
      <c r="AG308" s="215" t="n"/>
      <c r="AH308" s="215" t="n"/>
      <c r="AI308" s="215" t="n"/>
      <c r="AJ308" s="215" t="n"/>
      <c r="AK308" s="216" t="n"/>
    </row>
    <row r="309" ht="15" customHeight="1">
      <c r="B309" s="134" t="n"/>
      <c r="C309" s="105" t="n"/>
      <c r="D309" s="105" t="n"/>
      <c r="E309" s="105" t="n"/>
      <c r="F309" s="105" t="n"/>
      <c r="G309" s="105" t="n"/>
      <c r="H309" s="2" t="n"/>
      <c r="I309" s="105" t="n"/>
      <c r="K309" s="215" t="n"/>
      <c r="L309" s="215" t="n"/>
      <c r="M309" s="215" t="n"/>
      <c r="N309" s="215" t="n"/>
      <c r="O309" s="215" t="n"/>
      <c r="P309" s="215" t="n"/>
      <c r="Q309" s="215" t="n"/>
      <c r="R309" s="215" t="n"/>
      <c r="S309" s="215" t="n"/>
      <c r="T309" s="215" t="n"/>
      <c r="U309" s="215" t="n"/>
      <c r="V309" s="215" t="n"/>
      <c r="W309" s="215" t="n"/>
      <c r="X309" s="215" t="n"/>
      <c r="Y309" s="215" t="n"/>
      <c r="Z309" s="215" t="n"/>
      <c r="AA309" s="215" t="n"/>
      <c r="AB309" s="215" t="n"/>
      <c r="AC309" s="215" t="n"/>
      <c r="AD309" s="215" t="n"/>
      <c r="AE309" s="215" t="n"/>
      <c r="AF309" s="215" t="n"/>
      <c r="AG309" s="215" t="n"/>
      <c r="AH309" s="215" t="n"/>
      <c r="AI309" s="215" t="n"/>
      <c r="AJ309" s="215" t="n"/>
      <c r="AK309" s="216" t="n"/>
    </row>
    <row r="310" ht="15" customHeight="1">
      <c r="B310" s="134" t="n"/>
      <c r="C310" s="105" t="n"/>
      <c r="D310" s="105" t="n"/>
      <c r="E310" s="105" t="n"/>
      <c r="F310" s="105" t="n"/>
      <c r="G310" s="105" t="n"/>
      <c r="H310" s="2" t="n"/>
      <c r="I310" s="105" t="n"/>
      <c r="K310" s="215" t="n"/>
      <c r="L310" s="215" t="n"/>
      <c r="M310" s="215" t="n"/>
      <c r="N310" s="215" t="n"/>
      <c r="O310" s="215" t="n"/>
      <c r="P310" s="215" t="n"/>
      <c r="Q310" s="215" t="n"/>
      <c r="R310" s="215" t="n"/>
      <c r="S310" s="215" t="n"/>
      <c r="T310" s="215" t="n"/>
      <c r="U310" s="215" t="n"/>
      <c r="V310" s="215" t="n"/>
      <c r="W310" s="215" t="n"/>
      <c r="X310" s="215" t="n"/>
      <c r="Y310" s="215" t="n"/>
      <c r="Z310" s="215" t="n"/>
      <c r="AA310" s="215" t="n"/>
      <c r="AB310" s="215" t="n"/>
      <c r="AC310" s="215" t="n"/>
      <c r="AD310" s="215" t="n"/>
      <c r="AE310" s="215" t="n"/>
      <c r="AF310" s="215" t="n"/>
      <c r="AG310" s="215" t="n"/>
      <c r="AH310" s="215" t="n"/>
      <c r="AI310" s="215" t="n"/>
      <c r="AJ310" s="215" t="n"/>
      <c r="AK310" s="216" t="n"/>
    </row>
    <row r="311" ht="15" customHeight="1">
      <c r="B311" s="134" t="n"/>
      <c r="C311" s="105" t="n"/>
      <c r="D311" s="105" t="n"/>
      <c r="E311" s="105" t="n"/>
      <c r="F311" s="105" t="n"/>
      <c r="G311" s="105" t="n"/>
      <c r="H311" s="2" t="n"/>
      <c r="I311" s="105" t="n"/>
      <c r="K311" s="215" t="n"/>
      <c r="L311" s="215" t="n"/>
      <c r="M311" s="215" t="n"/>
      <c r="N311" s="215" t="n"/>
      <c r="O311" s="215" t="n"/>
      <c r="P311" s="215" t="n"/>
      <c r="Q311" s="215" t="n"/>
      <c r="R311" s="215" t="n"/>
      <c r="S311" s="215" t="n"/>
      <c r="T311" s="215" t="n"/>
      <c r="U311" s="215" t="n"/>
      <c r="V311" s="215" t="n"/>
      <c r="W311" s="215" t="n"/>
      <c r="X311" s="215" t="n"/>
      <c r="Y311" s="215" t="n"/>
      <c r="Z311" s="215" t="n"/>
      <c r="AA311" s="215" t="n"/>
      <c r="AB311" s="215" t="n"/>
      <c r="AC311" s="215" t="n"/>
      <c r="AD311" s="215" t="n"/>
      <c r="AE311" s="215" t="n"/>
      <c r="AF311" s="215" t="n"/>
      <c r="AG311" s="215" t="n"/>
      <c r="AH311" s="215" t="n"/>
      <c r="AI311" s="215" t="n"/>
      <c r="AJ311" s="215" t="n"/>
      <c r="AK311" s="216" t="n"/>
    </row>
    <row r="312" ht="15" customHeight="1">
      <c r="B312" s="134" t="n"/>
      <c r="C312" s="105" t="n"/>
      <c r="D312" s="105" t="n"/>
      <c r="E312" s="105" t="n"/>
      <c r="F312" s="105" t="n"/>
      <c r="G312" s="105" t="n"/>
      <c r="H312" s="2" t="n"/>
      <c r="I312" s="105" t="n"/>
      <c r="K312" s="215" t="n"/>
      <c r="L312" s="215" t="n"/>
      <c r="M312" s="215" t="n"/>
      <c r="N312" s="215" t="n"/>
      <c r="O312" s="215" t="n"/>
      <c r="P312" s="215" t="n"/>
      <c r="Q312" s="215" t="n"/>
      <c r="R312" s="215" t="n"/>
      <c r="S312" s="215" t="n"/>
      <c r="T312" s="215" t="n"/>
      <c r="U312" s="215" t="n"/>
      <c r="V312" s="215" t="n"/>
      <c r="W312" s="215" t="n"/>
      <c r="X312" s="215" t="n"/>
      <c r="Y312" s="215" t="n"/>
      <c r="Z312" s="215" t="n"/>
      <c r="AA312" s="215" t="n"/>
      <c r="AB312" s="215" t="n"/>
      <c r="AC312" s="215" t="n"/>
      <c r="AD312" s="215" t="n"/>
      <c r="AE312" s="215" t="n"/>
      <c r="AF312" s="215" t="n"/>
      <c r="AG312" s="215" t="n"/>
      <c r="AH312" s="215" t="n"/>
      <c r="AI312" s="215" t="n"/>
      <c r="AJ312" s="215" t="n"/>
      <c r="AK312" s="216" t="n"/>
    </row>
    <row r="313" ht="15" customHeight="1">
      <c r="B313" s="134" t="n"/>
      <c r="C313" s="105" t="n"/>
      <c r="D313" s="105" t="n"/>
      <c r="E313" s="105" t="n"/>
      <c r="F313" s="105" t="n"/>
      <c r="G313" s="105" t="n"/>
      <c r="H313" s="2" t="n"/>
      <c r="I313" s="105" t="n"/>
      <c r="K313" s="215" t="n"/>
      <c r="L313" s="215" t="n"/>
      <c r="M313" s="215" t="n"/>
      <c r="N313" s="215" t="n"/>
      <c r="O313" s="215" t="n"/>
      <c r="P313" s="215" t="n"/>
      <c r="Q313" s="215" t="n"/>
      <c r="R313" s="215" t="n"/>
      <c r="S313" s="215" t="n"/>
      <c r="T313" s="215" t="n"/>
      <c r="U313" s="215" t="n"/>
      <c r="V313" s="215" t="n"/>
      <c r="W313" s="215" t="n"/>
      <c r="X313" s="215" t="n"/>
      <c r="Y313" s="215" t="n"/>
      <c r="Z313" s="215" t="n"/>
      <c r="AA313" s="215" t="n"/>
      <c r="AB313" s="215" t="n"/>
      <c r="AC313" s="215" t="n"/>
      <c r="AD313" s="215" t="n"/>
      <c r="AE313" s="215" t="n"/>
      <c r="AF313" s="215" t="n"/>
      <c r="AG313" s="215" t="n"/>
      <c r="AH313" s="215" t="n"/>
      <c r="AI313" s="215" t="n"/>
      <c r="AJ313" s="215" t="n"/>
      <c r="AK313" s="216" t="n"/>
    </row>
    <row r="314" ht="15" customHeight="1">
      <c r="B314" s="134" t="n"/>
      <c r="C314" s="105" t="n"/>
      <c r="D314" s="105" t="n"/>
      <c r="E314" s="105" t="n"/>
      <c r="F314" s="105" t="n"/>
      <c r="G314" s="105" t="n"/>
      <c r="H314" s="2" t="n"/>
      <c r="I314" s="105" t="n"/>
      <c r="K314" s="215" t="n"/>
      <c r="L314" s="215" t="n"/>
      <c r="M314" s="215" t="n"/>
      <c r="N314" s="215" t="n"/>
      <c r="O314" s="215" t="n"/>
      <c r="P314" s="215" t="n"/>
      <c r="Q314" s="215" t="n"/>
      <c r="R314" s="215" t="n"/>
      <c r="S314" s="215" t="n"/>
      <c r="T314" s="215" t="n"/>
      <c r="U314" s="215" t="n"/>
      <c r="V314" s="215" t="n"/>
      <c r="W314" s="215" t="n"/>
      <c r="X314" s="215" t="n"/>
      <c r="Y314" s="215" t="n"/>
      <c r="Z314" s="215" t="n"/>
      <c r="AA314" s="215" t="n"/>
      <c r="AB314" s="215" t="n"/>
      <c r="AC314" s="215" t="n"/>
      <c r="AD314" s="215" t="n"/>
      <c r="AE314" s="215" t="n"/>
      <c r="AF314" s="215" t="n"/>
      <c r="AG314" s="215" t="n"/>
      <c r="AH314" s="215" t="n"/>
      <c r="AI314" s="215" t="n"/>
      <c r="AJ314" s="215" t="n"/>
      <c r="AK314" s="216" t="n"/>
    </row>
    <row r="315" ht="15" customHeight="1">
      <c r="B315" s="134" t="n"/>
      <c r="C315" s="105" t="n"/>
      <c r="D315" s="105" t="n"/>
      <c r="E315" s="105" t="n"/>
      <c r="F315" s="105" t="n"/>
      <c r="G315" s="105" t="n"/>
      <c r="H315" s="2" t="n"/>
      <c r="I315" s="105" t="n"/>
      <c r="K315" s="215" t="n"/>
      <c r="L315" s="215" t="n"/>
      <c r="M315" s="215" t="n"/>
      <c r="N315" s="215" t="n"/>
      <c r="O315" s="215" t="n"/>
      <c r="P315" s="215" t="n"/>
      <c r="Q315" s="215" t="n"/>
      <c r="R315" s="215" t="n"/>
      <c r="S315" s="215" t="n"/>
      <c r="T315" s="215" t="n"/>
      <c r="U315" s="215" t="n"/>
      <c r="V315" s="215" t="n"/>
      <c r="W315" s="215" t="n"/>
      <c r="X315" s="215" t="n"/>
      <c r="Y315" s="215" t="n"/>
      <c r="Z315" s="215" t="n"/>
      <c r="AA315" s="215" t="n"/>
      <c r="AB315" s="215" t="n"/>
      <c r="AC315" s="215" t="n"/>
      <c r="AD315" s="215" t="n"/>
      <c r="AE315" s="215" t="n"/>
      <c r="AF315" s="215" t="n"/>
      <c r="AG315" s="215" t="n"/>
      <c r="AH315" s="215" t="n"/>
      <c r="AI315" s="215" t="n"/>
      <c r="AJ315" s="215" t="n"/>
      <c r="AK315" s="216" t="n"/>
    </row>
    <row r="316" ht="15" customHeight="1">
      <c r="B316" s="134" t="n"/>
      <c r="C316" s="105" t="n"/>
      <c r="D316" s="105" t="n"/>
      <c r="E316" s="105" t="n"/>
      <c r="F316" s="105" t="n"/>
      <c r="G316" s="105" t="n"/>
      <c r="H316" s="2" t="n"/>
      <c r="I316" s="105" t="n"/>
      <c r="K316" s="215" t="n"/>
      <c r="L316" s="215" t="n"/>
      <c r="M316" s="215" t="n"/>
      <c r="N316" s="215" t="n"/>
      <c r="O316" s="215" t="n"/>
      <c r="P316" s="215" t="n"/>
      <c r="Q316" s="215" t="n"/>
      <c r="R316" s="215" t="n"/>
      <c r="S316" s="215" t="n"/>
      <c r="T316" s="215" t="n"/>
      <c r="U316" s="215" t="n"/>
      <c r="V316" s="215" t="n"/>
      <c r="W316" s="215" t="n"/>
      <c r="X316" s="215" t="n"/>
      <c r="Y316" s="215" t="n"/>
      <c r="Z316" s="215" t="n"/>
      <c r="AA316" s="215" t="n"/>
      <c r="AB316" s="215" t="n"/>
      <c r="AC316" s="215" t="n"/>
      <c r="AD316" s="215" t="n"/>
      <c r="AE316" s="215" t="n"/>
      <c r="AF316" s="215" t="n"/>
      <c r="AG316" s="215" t="n"/>
      <c r="AH316" s="215" t="n"/>
      <c r="AI316" s="215" t="n"/>
      <c r="AJ316" s="215" t="n"/>
      <c r="AK316" s="216" t="n"/>
    </row>
    <row r="317" ht="15" customHeight="1">
      <c r="B317" s="134" t="n"/>
      <c r="C317" s="105" t="n"/>
      <c r="D317" s="105" t="n"/>
      <c r="E317" s="105" t="n"/>
      <c r="F317" s="105" t="n"/>
      <c r="G317" s="105" t="n"/>
      <c r="H317" s="2" t="n"/>
      <c r="I317" s="105" t="n"/>
      <c r="K317" s="215" t="n"/>
      <c r="L317" s="215" t="n"/>
      <c r="M317" s="215" t="n"/>
      <c r="N317" s="215" t="n"/>
      <c r="O317" s="215" t="n"/>
      <c r="P317" s="215" t="n"/>
      <c r="Q317" s="215" t="n"/>
      <c r="R317" s="215" t="n"/>
      <c r="S317" s="215" t="n"/>
      <c r="T317" s="215" t="n"/>
      <c r="U317" s="215" t="n"/>
      <c r="V317" s="215" t="n"/>
      <c r="W317" s="215" t="n"/>
      <c r="X317" s="215" t="n"/>
      <c r="Y317" s="215" t="n"/>
      <c r="Z317" s="215" t="n"/>
      <c r="AA317" s="215" t="n"/>
      <c r="AB317" s="215" t="n"/>
      <c r="AC317" s="215" t="n"/>
      <c r="AD317" s="215" t="n"/>
      <c r="AE317" s="215" t="n"/>
      <c r="AF317" s="215" t="n"/>
      <c r="AG317" s="215" t="n"/>
      <c r="AH317" s="215" t="n"/>
      <c r="AI317" s="215" t="n"/>
      <c r="AJ317" s="215" t="n"/>
      <c r="AK317" s="216" t="n"/>
    </row>
    <row r="318" ht="15" customHeight="1">
      <c r="B318" s="134" t="n"/>
      <c r="C318" s="105" t="n"/>
      <c r="D318" s="105" t="n"/>
      <c r="E318" s="105" t="n"/>
      <c r="F318" s="105" t="n"/>
      <c r="G318" s="105" t="n"/>
      <c r="H318" s="2" t="n"/>
      <c r="I318" s="105" t="n"/>
      <c r="K318" s="215" t="n"/>
      <c r="L318" s="215" t="n"/>
      <c r="M318" s="215" t="n"/>
      <c r="N318" s="215" t="n"/>
      <c r="O318" s="215" t="n"/>
      <c r="P318" s="215" t="n"/>
      <c r="Q318" s="215" t="n"/>
      <c r="R318" s="215" t="n"/>
      <c r="S318" s="215" t="n"/>
      <c r="T318" s="215" t="n"/>
      <c r="U318" s="215" t="n"/>
      <c r="V318" s="215" t="n"/>
      <c r="W318" s="215" t="n"/>
      <c r="X318" s="215" t="n"/>
      <c r="Y318" s="215" t="n"/>
      <c r="Z318" s="215" t="n"/>
      <c r="AA318" s="215" t="n"/>
      <c r="AB318" s="215" t="n"/>
      <c r="AC318" s="215" t="n"/>
      <c r="AD318" s="215" t="n"/>
      <c r="AE318" s="215" t="n"/>
      <c r="AF318" s="215" t="n"/>
      <c r="AG318" s="215" t="n"/>
      <c r="AH318" s="215" t="n"/>
      <c r="AI318" s="215" t="n"/>
      <c r="AJ318" s="215" t="n"/>
      <c r="AK318" s="216" t="n"/>
    </row>
    <row r="319" ht="15" customHeight="1">
      <c r="B319" s="134" t="n"/>
      <c r="C319" s="105" t="n"/>
      <c r="D319" s="105" t="n"/>
      <c r="E319" s="105" t="n"/>
      <c r="F319" s="105" t="n"/>
      <c r="G319" s="105" t="n"/>
      <c r="H319" s="2" t="n"/>
      <c r="I319" s="105" t="n"/>
      <c r="K319" s="215" t="n"/>
      <c r="L319" s="215" t="n"/>
      <c r="M319" s="215" t="n"/>
      <c r="N319" s="215" t="n"/>
      <c r="O319" s="215" t="n"/>
      <c r="P319" s="215" t="n"/>
      <c r="Q319" s="215" t="n"/>
      <c r="R319" s="215" t="n"/>
      <c r="S319" s="215" t="n"/>
      <c r="T319" s="215" t="n"/>
      <c r="U319" s="215" t="n"/>
      <c r="V319" s="215" t="n"/>
      <c r="W319" s="215" t="n"/>
      <c r="X319" s="215" t="n"/>
      <c r="Y319" s="215" t="n"/>
      <c r="Z319" s="215" t="n"/>
      <c r="AA319" s="215" t="n"/>
      <c r="AB319" s="215" t="n"/>
      <c r="AC319" s="215" t="n"/>
      <c r="AD319" s="215" t="n"/>
      <c r="AE319" s="215" t="n"/>
      <c r="AF319" s="215" t="n"/>
      <c r="AG319" s="215" t="n"/>
      <c r="AH319" s="215" t="n"/>
      <c r="AI319" s="215" t="n"/>
      <c r="AJ319" s="215" t="n"/>
      <c r="AK319" s="216" t="n"/>
    </row>
    <row r="320" ht="15" customHeight="1">
      <c r="B320" s="134" t="n"/>
      <c r="C320" s="105" t="n"/>
      <c r="D320" s="105" t="n"/>
      <c r="E320" s="105" t="n"/>
      <c r="F320" s="105" t="n"/>
      <c r="G320" s="105" t="n"/>
      <c r="H320" s="2" t="n"/>
      <c r="I320" s="105" t="n"/>
      <c r="K320" s="215" t="n"/>
      <c r="L320" s="215" t="n"/>
      <c r="M320" s="215" t="n"/>
      <c r="N320" s="215" t="n"/>
      <c r="O320" s="215" t="n"/>
      <c r="P320" s="215" t="n"/>
      <c r="Q320" s="215" t="n"/>
      <c r="R320" s="215" t="n"/>
      <c r="S320" s="215" t="n"/>
      <c r="T320" s="215" t="n"/>
      <c r="U320" s="215" t="n"/>
      <c r="V320" s="215" t="n"/>
      <c r="W320" s="215" t="n"/>
      <c r="X320" s="215" t="n"/>
      <c r="Y320" s="215" t="n"/>
      <c r="Z320" s="215" t="n"/>
      <c r="AA320" s="215" t="n"/>
      <c r="AB320" s="215" t="n"/>
      <c r="AC320" s="215" t="n"/>
      <c r="AD320" s="215" t="n"/>
      <c r="AE320" s="215" t="n"/>
      <c r="AF320" s="215" t="n"/>
      <c r="AG320" s="215" t="n"/>
      <c r="AH320" s="215" t="n"/>
      <c r="AI320" s="215" t="n"/>
      <c r="AJ320" s="215" t="n"/>
      <c r="AK320" s="216" t="n"/>
    </row>
    <row r="321" ht="15" customHeight="1">
      <c r="B321" s="134" t="n"/>
      <c r="C321" s="105" t="n"/>
      <c r="D321" s="105" t="n"/>
      <c r="E321" s="105" t="n"/>
      <c r="F321" s="105" t="n"/>
      <c r="G321" s="105" t="n"/>
      <c r="H321" s="2" t="n"/>
      <c r="I321" s="105" t="n"/>
      <c r="K321" s="215" t="n"/>
      <c r="L321" s="215" t="n"/>
      <c r="M321" s="215" t="n"/>
      <c r="N321" s="215" t="n"/>
      <c r="O321" s="215" t="n"/>
      <c r="P321" s="215" t="n"/>
      <c r="Q321" s="215" t="n"/>
      <c r="R321" s="215" t="n"/>
      <c r="S321" s="215" t="n"/>
      <c r="T321" s="215" t="n"/>
      <c r="U321" s="215" t="n"/>
      <c r="V321" s="215" t="n"/>
      <c r="W321" s="215" t="n"/>
      <c r="X321" s="215" t="n"/>
      <c r="Y321" s="215" t="n"/>
      <c r="Z321" s="215" t="n"/>
      <c r="AA321" s="215" t="n"/>
      <c r="AB321" s="215" t="n"/>
      <c r="AC321" s="215" t="n"/>
      <c r="AD321" s="215" t="n"/>
      <c r="AE321" s="215" t="n"/>
      <c r="AF321" s="215" t="n"/>
      <c r="AG321" s="215" t="n"/>
      <c r="AH321" s="215" t="n"/>
      <c r="AI321" s="215" t="n"/>
      <c r="AJ321" s="215" t="n"/>
      <c r="AK321" s="216" t="n"/>
    </row>
    <row r="322" ht="15" customHeight="1">
      <c r="B322" s="134" t="n"/>
      <c r="C322" s="105" t="n"/>
      <c r="D322" s="105" t="n"/>
      <c r="E322" s="105" t="n"/>
      <c r="F322" s="105" t="n"/>
      <c r="G322" s="105" t="n"/>
      <c r="H322" s="2" t="n"/>
      <c r="I322" s="105" t="n"/>
      <c r="K322" s="215" t="n"/>
      <c r="L322" s="215" t="n"/>
      <c r="M322" s="215" t="n"/>
      <c r="N322" s="215" t="n"/>
      <c r="O322" s="215" t="n"/>
      <c r="P322" s="215" t="n"/>
      <c r="Q322" s="215" t="n"/>
      <c r="R322" s="215" t="n"/>
      <c r="S322" s="215" t="n"/>
      <c r="T322" s="215" t="n"/>
      <c r="U322" s="215" t="n"/>
      <c r="V322" s="215" t="n"/>
      <c r="W322" s="215" t="n"/>
      <c r="X322" s="215" t="n"/>
      <c r="Y322" s="215" t="n"/>
      <c r="Z322" s="215" t="n"/>
      <c r="AA322" s="215" t="n"/>
      <c r="AB322" s="215" t="n"/>
      <c r="AC322" s="215" t="n"/>
      <c r="AD322" s="215" t="n"/>
      <c r="AE322" s="215" t="n"/>
      <c r="AF322" s="215" t="n"/>
      <c r="AG322" s="215" t="n"/>
      <c r="AH322" s="215" t="n"/>
      <c r="AI322" s="215" t="n"/>
      <c r="AJ322" s="215" t="n"/>
      <c r="AK322" s="216" t="n"/>
    </row>
    <row r="323" ht="15" customHeight="1">
      <c r="B323" s="134" t="n"/>
      <c r="C323" s="105" t="n"/>
      <c r="D323" s="105" t="n"/>
      <c r="E323" s="105" t="n"/>
      <c r="F323" s="105" t="n"/>
      <c r="G323" s="105" t="n"/>
      <c r="H323" s="2" t="n"/>
      <c r="I323" s="105" t="n"/>
      <c r="K323" s="215" t="n"/>
      <c r="L323" s="215" t="n"/>
      <c r="M323" s="215" t="n"/>
      <c r="N323" s="215" t="n"/>
      <c r="O323" s="215" t="n"/>
      <c r="P323" s="215" t="n"/>
      <c r="Q323" s="215" t="n"/>
      <c r="R323" s="215" t="n"/>
      <c r="S323" s="215" t="n"/>
      <c r="T323" s="215" t="n"/>
      <c r="U323" s="215" t="n"/>
      <c r="V323" s="215" t="n"/>
      <c r="W323" s="215" t="n"/>
      <c r="X323" s="215" t="n"/>
      <c r="Y323" s="215" t="n"/>
      <c r="Z323" s="215" t="n"/>
      <c r="AA323" s="215" t="n"/>
      <c r="AB323" s="215" t="n"/>
      <c r="AC323" s="215" t="n"/>
      <c r="AD323" s="215" t="n"/>
      <c r="AE323" s="215" t="n"/>
      <c r="AF323" s="215" t="n"/>
      <c r="AG323" s="215" t="n"/>
      <c r="AH323" s="215" t="n"/>
      <c r="AI323" s="215" t="n"/>
      <c r="AJ323" s="215" t="n"/>
      <c r="AK323" s="216" t="n"/>
    </row>
    <row r="324" ht="15" customHeight="1">
      <c r="B324" s="134" t="n"/>
      <c r="C324" s="105" t="n"/>
      <c r="D324" s="105" t="n"/>
      <c r="E324" s="105" t="n"/>
      <c r="F324" s="105" t="n"/>
      <c r="G324" s="105" t="n"/>
      <c r="H324" s="2" t="n"/>
      <c r="I324" s="105" t="n"/>
      <c r="K324" s="215" t="n"/>
      <c r="L324" s="215" t="n"/>
      <c r="M324" s="215" t="n"/>
      <c r="N324" s="215" t="n"/>
      <c r="O324" s="215" t="n"/>
      <c r="P324" s="215" t="n"/>
      <c r="Q324" s="215" t="n"/>
      <c r="R324" s="215" t="n"/>
      <c r="S324" s="215" t="n"/>
      <c r="T324" s="215" t="n"/>
      <c r="U324" s="215" t="n"/>
      <c r="V324" s="215" t="n"/>
      <c r="W324" s="215" t="n"/>
      <c r="X324" s="215" t="n"/>
      <c r="Y324" s="215" t="n"/>
      <c r="Z324" s="215" t="n"/>
      <c r="AA324" s="215" t="n"/>
      <c r="AB324" s="215" t="n"/>
      <c r="AC324" s="215" t="n"/>
      <c r="AD324" s="215" t="n"/>
      <c r="AE324" s="215" t="n"/>
      <c r="AF324" s="215" t="n"/>
      <c r="AG324" s="215" t="n"/>
      <c r="AH324" s="215" t="n"/>
      <c r="AI324" s="215" t="n"/>
      <c r="AJ324" s="215" t="n"/>
      <c r="AK324" s="216" t="n"/>
    </row>
    <row r="325" ht="15" customHeight="1">
      <c r="B325" s="134" t="n"/>
      <c r="C325" s="105" t="n"/>
      <c r="D325" s="105" t="n"/>
      <c r="E325" s="105" t="n"/>
      <c r="F325" s="105" t="n"/>
      <c r="G325" s="105" t="n"/>
      <c r="H325" s="2" t="n"/>
      <c r="I325" s="105" t="n"/>
      <c r="K325" s="215" t="n"/>
      <c r="L325" s="215" t="n"/>
      <c r="M325" s="215" t="n"/>
      <c r="N325" s="215" t="n"/>
      <c r="O325" s="215" t="n"/>
      <c r="P325" s="215" t="n"/>
      <c r="Q325" s="215" t="n"/>
      <c r="R325" s="215" t="n"/>
      <c r="S325" s="215" t="n"/>
      <c r="T325" s="215" t="n"/>
      <c r="U325" s="215" t="n"/>
      <c r="V325" s="215" t="n"/>
      <c r="W325" s="215" t="n"/>
      <c r="X325" s="215" t="n"/>
      <c r="Y325" s="215" t="n"/>
      <c r="Z325" s="215" t="n"/>
      <c r="AA325" s="215" t="n"/>
      <c r="AB325" s="215" t="n"/>
      <c r="AC325" s="215" t="n"/>
      <c r="AD325" s="215" t="n"/>
      <c r="AE325" s="215" t="n"/>
      <c r="AF325" s="215" t="n"/>
      <c r="AG325" s="215" t="n"/>
      <c r="AH325" s="215" t="n"/>
      <c r="AI325" s="215" t="n"/>
      <c r="AJ325" s="215" t="n"/>
      <c r="AK325" s="216" t="n"/>
    </row>
    <row r="326" ht="15" customHeight="1">
      <c r="B326" s="134" t="n"/>
      <c r="C326" s="105" t="n"/>
      <c r="D326" s="105" t="n"/>
      <c r="E326" s="105" t="n"/>
      <c r="F326" s="105" t="n"/>
      <c r="G326" s="105" t="n"/>
      <c r="H326" s="2" t="n"/>
      <c r="I326" s="105" t="n"/>
      <c r="K326" s="215" t="n"/>
      <c r="L326" s="215" t="n"/>
      <c r="M326" s="215" t="n"/>
      <c r="N326" s="215" t="n"/>
      <c r="O326" s="215" t="n"/>
      <c r="P326" s="215" t="n"/>
      <c r="Q326" s="215" t="n"/>
      <c r="R326" s="215" t="n"/>
      <c r="S326" s="215" t="n"/>
      <c r="T326" s="215" t="n"/>
      <c r="U326" s="215" t="n"/>
      <c r="V326" s="215" t="n"/>
      <c r="W326" s="215" t="n"/>
      <c r="X326" s="215" t="n"/>
      <c r="Y326" s="215" t="n"/>
      <c r="Z326" s="215" t="n"/>
      <c r="AA326" s="215" t="n"/>
      <c r="AB326" s="215" t="n"/>
      <c r="AC326" s="215" t="n"/>
      <c r="AD326" s="215" t="n"/>
      <c r="AE326" s="215" t="n"/>
      <c r="AF326" s="215" t="n"/>
      <c r="AG326" s="215" t="n"/>
      <c r="AH326" s="215" t="n"/>
      <c r="AI326" s="215" t="n"/>
      <c r="AJ326" s="215" t="n"/>
      <c r="AK326" s="216" t="n"/>
    </row>
    <row r="327" ht="15" customHeight="1">
      <c r="B327" s="134" t="n"/>
      <c r="C327" s="105" t="n"/>
      <c r="D327" s="105" t="n"/>
      <c r="E327" s="105" t="n"/>
      <c r="F327" s="105" t="n"/>
      <c r="G327" s="105" t="n"/>
      <c r="H327" s="2" t="n"/>
      <c r="I327" s="105" t="n"/>
      <c r="K327" s="215" t="n"/>
      <c r="L327" s="215" t="n"/>
      <c r="M327" s="215" t="n"/>
      <c r="N327" s="215" t="n"/>
      <c r="O327" s="215" t="n"/>
      <c r="P327" s="215" t="n"/>
      <c r="Q327" s="215" t="n"/>
      <c r="R327" s="215" t="n"/>
      <c r="S327" s="215" t="n"/>
      <c r="T327" s="215" t="n"/>
      <c r="U327" s="215" t="n"/>
      <c r="V327" s="215" t="n"/>
      <c r="W327" s="215" t="n"/>
      <c r="X327" s="215" t="n"/>
      <c r="Y327" s="215" t="n"/>
      <c r="Z327" s="215" t="n"/>
      <c r="AA327" s="215" t="n"/>
      <c r="AB327" s="215" t="n"/>
      <c r="AC327" s="215" t="n"/>
      <c r="AD327" s="215" t="n"/>
      <c r="AE327" s="215" t="n"/>
      <c r="AF327" s="215" t="n"/>
      <c r="AG327" s="215" t="n"/>
      <c r="AH327" s="215" t="n"/>
      <c r="AI327" s="215" t="n"/>
      <c r="AJ327" s="215" t="n"/>
      <c r="AK327" s="216" t="n"/>
    </row>
    <row r="328" ht="15" customHeight="1">
      <c r="B328" s="134" t="n"/>
      <c r="C328" s="105" t="n"/>
      <c r="D328" s="105" t="n"/>
      <c r="E328" s="105" t="n"/>
      <c r="F328" s="105" t="n"/>
      <c r="G328" s="105" t="n"/>
      <c r="H328" s="2" t="n"/>
      <c r="I328" s="105" t="n"/>
      <c r="K328" s="215" t="n"/>
      <c r="L328" s="215" t="n"/>
      <c r="M328" s="215" t="n"/>
      <c r="N328" s="215" t="n"/>
      <c r="O328" s="215" t="n"/>
      <c r="P328" s="215" t="n"/>
      <c r="Q328" s="215" t="n"/>
      <c r="R328" s="215" t="n"/>
      <c r="S328" s="215" t="n"/>
      <c r="T328" s="215" t="n"/>
      <c r="U328" s="215" t="n"/>
      <c r="V328" s="215" t="n"/>
      <c r="W328" s="215" t="n"/>
      <c r="X328" s="215" t="n"/>
      <c r="Y328" s="215" t="n"/>
      <c r="Z328" s="215" t="n"/>
      <c r="AA328" s="215" t="n"/>
      <c r="AB328" s="215" t="n"/>
      <c r="AC328" s="215" t="n"/>
      <c r="AD328" s="215" t="n"/>
      <c r="AE328" s="215" t="n"/>
      <c r="AF328" s="215" t="n"/>
      <c r="AG328" s="215" t="n"/>
      <c r="AH328" s="215" t="n"/>
      <c r="AI328" s="215" t="n"/>
      <c r="AJ328" s="215" t="n"/>
      <c r="AK328" s="216" t="n"/>
    </row>
    <row r="329" ht="15" customHeight="1">
      <c r="B329" s="134" t="n"/>
      <c r="C329" s="105" t="n"/>
      <c r="D329" s="105" t="n"/>
      <c r="E329" s="105" t="n"/>
      <c r="F329" s="105" t="n"/>
      <c r="G329" s="105" t="n"/>
      <c r="H329" s="2" t="n"/>
      <c r="I329" s="105" t="n"/>
      <c r="K329" s="215" t="n"/>
      <c r="L329" s="215" t="n"/>
      <c r="M329" s="215" t="n"/>
      <c r="N329" s="215" t="n"/>
      <c r="O329" s="215" t="n"/>
      <c r="P329" s="215" t="n"/>
      <c r="Q329" s="215" t="n"/>
      <c r="R329" s="215" t="n"/>
      <c r="S329" s="215" t="n"/>
      <c r="T329" s="215" t="n"/>
      <c r="U329" s="215" t="n"/>
      <c r="V329" s="215" t="n"/>
      <c r="W329" s="215" t="n"/>
      <c r="X329" s="215" t="n"/>
      <c r="Y329" s="215" t="n"/>
      <c r="Z329" s="215" t="n"/>
      <c r="AA329" s="215" t="n"/>
      <c r="AB329" s="215" t="n"/>
      <c r="AC329" s="215" t="n"/>
      <c r="AD329" s="215" t="n"/>
      <c r="AE329" s="215" t="n"/>
      <c r="AF329" s="215" t="n"/>
      <c r="AG329" s="215" t="n"/>
      <c r="AH329" s="215" t="n"/>
      <c r="AI329" s="215" t="n"/>
      <c r="AJ329" s="215" t="n"/>
      <c r="AK329" s="216" t="n"/>
    </row>
    <row r="330" ht="15" customHeight="1">
      <c r="B330" s="134" t="n"/>
      <c r="C330" s="105" t="n"/>
      <c r="D330" s="105" t="n"/>
      <c r="E330" s="105" t="n"/>
      <c r="F330" s="105" t="n"/>
      <c r="G330" s="105" t="n"/>
      <c r="H330" s="2" t="n"/>
      <c r="I330" s="105" t="n"/>
      <c r="K330" s="215" t="n"/>
      <c r="L330" s="215" t="n"/>
      <c r="M330" s="215" t="n"/>
      <c r="N330" s="215" t="n"/>
      <c r="O330" s="215" t="n"/>
      <c r="P330" s="215" t="n"/>
      <c r="Q330" s="215" t="n"/>
      <c r="R330" s="215" t="n"/>
      <c r="S330" s="215" t="n"/>
      <c r="T330" s="215" t="n"/>
      <c r="U330" s="215" t="n"/>
      <c r="V330" s="215" t="n"/>
      <c r="W330" s="215" t="n"/>
      <c r="X330" s="215" t="n"/>
      <c r="Y330" s="215" t="n"/>
      <c r="Z330" s="215" t="n"/>
      <c r="AA330" s="215" t="n"/>
      <c r="AB330" s="215" t="n"/>
      <c r="AC330" s="215" t="n"/>
      <c r="AD330" s="215" t="n"/>
      <c r="AE330" s="215" t="n"/>
      <c r="AF330" s="215" t="n"/>
      <c r="AG330" s="215" t="n"/>
      <c r="AH330" s="215" t="n"/>
      <c r="AI330" s="215" t="n"/>
      <c r="AJ330" s="215" t="n"/>
      <c r="AK330" s="216" t="n"/>
    </row>
    <row r="331" ht="15" customHeight="1">
      <c r="B331" s="134" t="n"/>
      <c r="C331" s="105" t="n"/>
      <c r="D331" s="105" t="n"/>
      <c r="E331" s="105" t="n"/>
      <c r="F331" s="105" t="n"/>
      <c r="G331" s="105" t="n"/>
      <c r="H331" s="2" t="n"/>
      <c r="I331" s="105" t="n"/>
      <c r="K331" s="215" t="n"/>
      <c r="L331" s="215" t="n"/>
      <c r="M331" s="215" t="n"/>
      <c r="N331" s="215" t="n"/>
      <c r="O331" s="215" t="n"/>
      <c r="P331" s="215" t="n"/>
      <c r="Q331" s="215" t="n"/>
      <c r="R331" s="215" t="n"/>
      <c r="S331" s="215" t="n"/>
      <c r="T331" s="215" t="n"/>
      <c r="U331" s="215" t="n"/>
      <c r="V331" s="215" t="n"/>
      <c r="W331" s="215" t="n"/>
      <c r="X331" s="215" t="n"/>
      <c r="Y331" s="215" t="n"/>
      <c r="Z331" s="215" t="n"/>
      <c r="AA331" s="215" t="n"/>
      <c r="AB331" s="215" t="n"/>
      <c r="AC331" s="215" t="n"/>
      <c r="AD331" s="215" t="n"/>
      <c r="AE331" s="215" t="n"/>
      <c r="AF331" s="215" t="n"/>
      <c r="AG331" s="215" t="n"/>
      <c r="AH331" s="215" t="n"/>
      <c r="AI331" s="215" t="n"/>
      <c r="AJ331" s="215" t="n"/>
      <c r="AK331" s="216" t="n"/>
    </row>
    <row r="332" ht="15" customHeight="1">
      <c r="B332" s="134" t="n"/>
      <c r="C332" s="105" t="n"/>
      <c r="D332" s="105" t="n"/>
      <c r="E332" s="105" t="n"/>
      <c r="F332" s="105" t="n"/>
      <c r="G332" s="105" t="n"/>
      <c r="H332" s="2" t="n"/>
      <c r="I332" s="105" t="n"/>
      <c r="K332" s="215" t="n"/>
      <c r="L332" s="215" t="n"/>
      <c r="M332" s="215" t="n"/>
      <c r="N332" s="215" t="n"/>
      <c r="O332" s="215" t="n"/>
      <c r="P332" s="215" t="n"/>
      <c r="Q332" s="215" t="n"/>
      <c r="R332" s="215" t="n"/>
      <c r="S332" s="215" t="n"/>
      <c r="T332" s="215" t="n"/>
      <c r="U332" s="215" t="n"/>
      <c r="V332" s="215" t="n"/>
      <c r="W332" s="215" t="n"/>
      <c r="X332" s="215" t="n"/>
      <c r="Y332" s="215" t="n"/>
      <c r="Z332" s="215" t="n"/>
      <c r="AA332" s="215" t="n"/>
      <c r="AB332" s="215" t="n"/>
      <c r="AC332" s="215" t="n"/>
      <c r="AD332" s="215" t="n"/>
      <c r="AE332" s="215" t="n"/>
      <c r="AF332" s="215" t="n"/>
      <c r="AG332" s="215" t="n"/>
      <c r="AH332" s="215" t="n"/>
      <c r="AI332" s="215" t="n"/>
      <c r="AJ332" s="215" t="n"/>
      <c r="AK332" s="216" t="n"/>
    </row>
    <row r="333" ht="15" customHeight="1">
      <c r="B333" s="134" t="n"/>
      <c r="C333" s="105" t="n"/>
      <c r="D333" s="105" t="n"/>
      <c r="E333" s="105" t="n"/>
      <c r="F333" s="105" t="n"/>
      <c r="G333" s="105" t="n"/>
      <c r="H333" s="2" t="n"/>
      <c r="I333" s="105" t="n"/>
      <c r="K333" s="215" t="n"/>
      <c r="L333" s="215" t="n"/>
      <c r="M333" s="215" t="n"/>
      <c r="N333" s="215" t="n"/>
      <c r="O333" s="215" t="n"/>
      <c r="P333" s="215" t="n"/>
      <c r="Q333" s="215" t="n"/>
      <c r="R333" s="215" t="n"/>
      <c r="S333" s="215" t="n"/>
      <c r="T333" s="215" t="n"/>
      <c r="U333" s="215" t="n"/>
      <c r="V333" s="215" t="n"/>
      <c r="W333" s="215" t="n"/>
      <c r="X333" s="215" t="n"/>
      <c r="Y333" s="215" t="n"/>
      <c r="Z333" s="215" t="n"/>
      <c r="AA333" s="215" t="n"/>
      <c r="AB333" s="215" t="n"/>
      <c r="AC333" s="215" t="n"/>
      <c r="AD333" s="215" t="n"/>
      <c r="AE333" s="215" t="n"/>
      <c r="AF333" s="215" t="n"/>
      <c r="AG333" s="215" t="n"/>
      <c r="AH333" s="215" t="n"/>
      <c r="AI333" s="215" t="n"/>
      <c r="AJ333" s="215" t="n"/>
      <c r="AK333" s="216" t="n"/>
    </row>
    <row r="334" ht="15" customHeight="1">
      <c r="B334" s="134" t="n"/>
      <c r="C334" s="105" t="n"/>
      <c r="D334" s="105" t="n"/>
      <c r="E334" s="105" t="n"/>
      <c r="F334" s="105" t="n"/>
      <c r="G334" s="105" t="n"/>
      <c r="H334" s="2" t="n"/>
      <c r="I334" s="105" t="n"/>
      <c r="K334" s="215" t="n"/>
      <c r="L334" s="215" t="n"/>
      <c r="M334" s="215" t="n"/>
      <c r="N334" s="215" t="n"/>
      <c r="O334" s="215" t="n"/>
      <c r="P334" s="215" t="n"/>
      <c r="Q334" s="215" t="n"/>
      <c r="R334" s="215" t="n"/>
      <c r="S334" s="215" t="n"/>
      <c r="T334" s="215" t="n"/>
      <c r="U334" s="215" t="n"/>
      <c r="V334" s="215" t="n"/>
      <c r="W334" s="215" t="n"/>
      <c r="X334" s="215" t="n"/>
      <c r="Y334" s="215" t="n"/>
      <c r="Z334" s="215" t="n"/>
      <c r="AA334" s="215" t="n"/>
      <c r="AB334" s="215" t="n"/>
      <c r="AC334" s="215" t="n"/>
      <c r="AD334" s="215" t="n"/>
      <c r="AE334" s="215" t="n"/>
      <c r="AF334" s="215" t="n"/>
      <c r="AG334" s="215" t="n"/>
      <c r="AH334" s="215" t="n"/>
      <c r="AI334" s="215" t="n"/>
      <c r="AJ334" s="215" t="n"/>
      <c r="AK334" s="216" t="n"/>
    </row>
    <row r="335" ht="15" customHeight="1">
      <c r="B335" s="134" t="n"/>
      <c r="C335" s="105" t="n"/>
      <c r="D335" s="105" t="n"/>
      <c r="E335" s="105" t="n"/>
      <c r="F335" s="105" t="n"/>
      <c r="G335" s="105" t="n"/>
      <c r="H335" s="2" t="n"/>
      <c r="I335" s="105" t="n"/>
      <c r="K335" s="215" t="n"/>
      <c r="L335" s="215" t="n"/>
      <c r="M335" s="215" t="n"/>
      <c r="N335" s="215" t="n"/>
      <c r="O335" s="215" t="n"/>
      <c r="P335" s="215" t="n"/>
      <c r="Q335" s="215" t="n"/>
      <c r="R335" s="215" t="n"/>
      <c r="S335" s="215" t="n"/>
      <c r="T335" s="215" t="n"/>
      <c r="U335" s="215" t="n"/>
      <c r="V335" s="215" t="n"/>
      <c r="W335" s="215" t="n"/>
      <c r="X335" s="215" t="n"/>
      <c r="Y335" s="215" t="n"/>
      <c r="Z335" s="215" t="n"/>
      <c r="AA335" s="215" t="n"/>
      <c r="AB335" s="215" t="n"/>
      <c r="AC335" s="215" t="n"/>
      <c r="AD335" s="215" t="n"/>
      <c r="AE335" s="215" t="n"/>
      <c r="AF335" s="215" t="n"/>
      <c r="AG335" s="215" t="n"/>
      <c r="AH335" s="215" t="n"/>
      <c r="AI335" s="215" t="n"/>
      <c r="AJ335" s="215" t="n"/>
      <c r="AK335" s="216" t="n"/>
    </row>
    <row r="336" ht="15" customHeight="1">
      <c r="B336" s="134" t="n"/>
      <c r="C336" s="105" t="n"/>
      <c r="D336" s="105" t="n"/>
      <c r="E336" s="105" t="n"/>
      <c r="F336" s="105" t="n"/>
      <c r="G336" s="105" t="n"/>
      <c r="H336" s="2" t="n"/>
      <c r="I336" s="105" t="n"/>
      <c r="K336" s="215" t="n"/>
      <c r="L336" s="215" t="n"/>
      <c r="M336" s="215" t="n"/>
      <c r="N336" s="215" t="n"/>
      <c r="O336" s="215" t="n"/>
      <c r="P336" s="215" t="n"/>
      <c r="Q336" s="215" t="n"/>
      <c r="R336" s="215" t="n"/>
      <c r="S336" s="215" t="n"/>
      <c r="T336" s="215" t="n"/>
      <c r="U336" s="215" t="n"/>
      <c r="V336" s="215" t="n"/>
      <c r="W336" s="215" t="n"/>
      <c r="X336" s="215" t="n"/>
      <c r="Y336" s="215" t="n"/>
      <c r="Z336" s="215" t="n"/>
      <c r="AA336" s="215" t="n"/>
      <c r="AB336" s="215" t="n"/>
      <c r="AC336" s="215" t="n"/>
      <c r="AD336" s="215" t="n"/>
      <c r="AE336" s="215" t="n"/>
      <c r="AF336" s="215" t="n"/>
      <c r="AG336" s="215" t="n"/>
      <c r="AH336" s="215" t="n"/>
      <c r="AI336" s="215" t="n"/>
      <c r="AJ336" s="215" t="n"/>
      <c r="AK336" s="216" t="n"/>
    </row>
    <row r="337" ht="15" customHeight="1">
      <c r="B337" s="134" t="n"/>
      <c r="C337" s="105" t="n"/>
      <c r="D337" s="105" t="n"/>
      <c r="E337" s="105" t="n"/>
      <c r="F337" s="105" t="n"/>
      <c r="G337" s="105" t="n"/>
      <c r="H337" s="2" t="n"/>
      <c r="I337" s="105" t="n"/>
      <c r="K337" s="215" t="n"/>
      <c r="L337" s="215" t="n"/>
      <c r="M337" s="215" t="n"/>
      <c r="N337" s="215" t="n"/>
      <c r="O337" s="215" t="n"/>
      <c r="P337" s="215" t="n"/>
      <c r="Q337" s="215" t="n"/>
      <c r="R337" s="215" t="n"/>
      <c r="S337" s="215" t="n"/>
      <c r="T337" s="215" t="n"/>
      <c r="U337" s="215" t="n"/>
      <c r="V337" s="215" t="n"/>
      <c r="W337" s="215" t="n"/>
      <c r="X337" s="215" t="n"/>
      <c r="Y337" s="215" t="n"/>
      <c r="Z337" s="215" t="n"/>
      <c r="AA337" s="215" t="n"/>
      <c r="AB337" s="215" t="n"/>
      <c r="AC337" s="215" t="n"/>
      <c r="AD337" s="215" t="n"/>
      <c r="AE337" s="215" t="n"/>
      <c r="AF337" s="215" t="n"/>
      <c r="AG337" s="215" t="n"/>
      <c r="AH337" s="215" t="n"/>
      <c r="AI337" s="215" t="n"/>
      <c r="AJ337" s="215" t="n"/>
      <c r="AK337" s="216" t="n"/>
    </row>
    <row r="338" ht="15" customHeight="1">
      <c r="B338" s="134" t="n"/>
      <c r="C338" s="105" t="n"/>
      <c r="D338" s="105" t="n"/>
      <c r="E338" s="105" t="n"/>
      <c r="F338" s="105" t="n"/>
      <c r="G338" s="105" t="n"/>
      <c r="H338" s="2" t="n"/>
      <c r="I338" s="105" t="n"/>
      <c r="K338" s="215" t="n"/>
      <c r="L338" s="215" t="n"/>
      <c r="M338" s="215" t="n"/>
      <c r="N338" s="215" t="n"/>
      <c r="O338" s="215" t="n"/>
      <c r="P338" s="215" t="n"/>
      <c r="Q338" s="215" t="n"/>
      <c r="R338" s="215" t="n"/>
      <c r="S338" s="215" t="n"/>
      <c r="T338" s="215" t="n"/>
      <c r="U338" s="215" t="n"/>
      <c r="V338" s="215" t="n"/>
      <c r="W338" s="215" t="n"/>
      <c r="X338" s="215" t="n"/>
      <c r="Y338" s="215" t="n"/>
      <c r="Z338" s="215" t="n"/>
      <c r="AA338" s="215" t="n"/>
      <c r="AB338" s="215" t="n"/>
      <c r="AC338" s="215" t="n"/>
      <c r="AD338" s="215" t="n"/>
      <c r="AE338" s="215" t="n"/>
      <c r="AF338" s="215" t="n"/>
      <c r="AG338" s="215" t="n"/>
      <c r="AH338" s="215" t="n"/>
      <c r="AI338" s="215" t="n"/>
      <c r="AJ338" s="215" t="n"/>
      <c r="AK338" s="216" t="n"/>
    </row>
    <row r="339" ht="15" customHeight="1">
      <c r="B339" s="134" t="n"/>
      <c r="C339" s="105" t="n"/>
      <c r="D339" s="105" t="n"/>
      <c r="E339" s="105" t="n"/>
      <c r="F339" s="105" t="n"/>
      <c r="G339" s="105" t="n"/>
      <c r="H339" s="2" t="n"/>
      <c r="I339" s="105" t="n"/>
      <c r="K339" s="215" t="n"/>
      <c r="L339" s="215" t="n"/>
      <c r="M339" s="215" t="n"/>
      <c r="N339" s="215" t="n"/>
      <c r="O339" s="215" t="n"/>
      <c r="P339" s="215" t="n"/>
      <c r="Q339" s="215" t="n"/>
      <c r="R339" s="215" t="n"/>
      <c r="S339" s="215" t="n"/>
      <c r="T339" s="215" t="n"/>
      <c r="U339" s="215" t="n"/>
      <c r="V339" s="215" t="n"/>
      <c r="W339" s="215" t="n"/>
      <c r="X339" s="215" t="n"/>
      <c r="Y339" s="215" t="n"/>
      <c r="Z339" s="215" t="n"/>
      <c r="AA339" s="215" t="n"/>
      <c r="AB339" s="215" t="n"/>
      <c r="AC339" s="215" t="n"/>
      <c r="AD339" s="215" t="n"/>
      <c r="AE339" s="215" t="n"/>
      <c r="AF339" s="215" t="n"/>
      <c r="AG339" s="215" t="n"/>
      <c r="AH339" s="215" t="n"/>
      <c r="AI339" s="215" t="n"/>
      <c r="AJ339" s="215" t="n"/>
      <c r="AK339" s="216" t="n"/>
    </row>
    <row r="340" ht="15" customHeight="1">
      <c r="B340" s="134" t="n"/>
      <c r="C340" s="105" t="n"/>
      <c r="D340" s="105" t="n"/>
      <c r="E340" s="105" t="n"/>
      <c r="F340" s="105" t="n"/>
      <c r="G340" s="105" t="n"/>
      <c r="H340" s="2" t="n"/>
      <c r="I340" s="105" t="n"/>
      <c r="K340" s="215" t="n"/>
      <c r="L340" s="215" t="n"/>
      <c r="M340" s="215" t="n"/>
      <c r="N340" s="215" t="n"/>
      <c r="O340" s="215" t="n"/>
      <c r="P340" s="215" t="n"/>
      <c r="Q340" s="215" t="n"/>
      <c r="R340" s="215" t="n"/>
      <c r="S340" s="215" t="n"/>
      <c r="T340" s="215" t="n"/>
      <c r="U340" s="215" t="n"/>
      <c r="V340" s="215" t="n"/>
      <c r="W340" s="215" t="n"/>
      <c r="X340" s="215" t="n"/>
      <c r="Y340" s="215" t="n"/>
      <c r="Z340" s="215" t="n"/>
      <c r="AA340" s="215" t="n"/>
      <c r="AB340" s="215" t="n"/>
      <c r="AC340" s="215" t="n"/>
      <c r="AD340" s="215" t="n"/>
      <c r="AE340" s="215" t="n"/>
      <c r="AF340" s="215" t="n"/>
      <c r="AG340" s="215" t="n"/>
      <c r="AH340" s="215" t="n"/>
      <c r="AI340" s="215" t="n"/>
      <c r="AJ340" s="215" t="n"/>
      <c r="AK340" s="216" t="n"/>
    </row>
    <row r="341" ht="15" customHeight="1">
      <c r="B341" s="134" t="n"/>
      <c r="C341" s="105" t="n"/>
      <c r="D341" s="105" t="n"/>
      <c r="E341" s="105" t="n"/>
      <c r="F341" s="105" t="n"/>
      <c r="G341" s="105" t="n"/>
      <c r="H341" s="2" t="n"/>
      <c r="I341" s="105" t="n"/>
      <c r="K341" s="215" t="n"/>
      <c r="L341" s="215" t="n"/>
      <c r="M341" s="215" t="n"/>
      <c r="N341" s="215" t="n"/>
      <c r="O341" s="215" t="n"/>
      <c r="P341" s="215" t="n"/>
      <c r="Q341" s="215" t="n"/>
      <c r="R341" s="215" t="n"/>
      <c r="S341" s="215" t="n"/>
      <c r="T341" s="215" t="n"/>
      <c r="U341" s="215" t="n"/>
      <c r="V341" s="215" t="n"/>
      <c r="W341" s="215" t="n"/>
      <c r="X341" s="215" t="n"/>
      <c r="Y341" s="215" t="n"/>
      <c r="Z341" s="215" t="n"/>
      <c r="AA341" s="215" t="n"/>
      <c r="AB341" s="215" t="n"/>
      <c r="AC341" s="215" t="n"/>
      <c r="AD341" s="215" t="n"/>
      <c r="AE341" s="215" t="n"/>
      <c r="AF341" s="215" t="n"/>
      <c r="AG341" s="215" t="n"/>
      <c r="AH341" s="215" t="n"/>
      <c r="AI341" s="215" t="n"/>
      <c r="AJ341" s="215" t="n"/>
      <c r="AK341" s="216" t="n"/>
    </row>
    <row r="342" ht="15" customHeight="1">
      <c r="B342" s="134" t="n"/>
      <c r="C342" s="105" t="n"/>
      <c r="D342" s="105" t="n"/>
      <c r="E342" s="105" t="n"/>
      <c r="F342" s="105" t="n"/>
      <c r="G342" s="105" t="n"/>
      <c r="H342" s="2" t="n"/>
      <c r="I342" s="105" t="n"/>
      <c r="K342" s="215" t="n"/>
      <c r="L342" s="215" t="n"/>
      <c r="M342" s="215" t="n"/>
      <c r="N342" s="215" t="n"/>
      <c r="O342" s="215" t="n"/>
      <c r="P342" s="215" t="n"/>
      <c r="Q342" s="215" t="n"/>
      <c r="R342" s="215" t="n"/>
      <c r="S342" s="215" t="n"/>
      <c r="T342" s="215" t="n"/>
      <c r="U342" s="215" t="n"/>
      <c r="V342" s="215" t="n"/>
      <c r="W342" s="215" t="n"/>
      <c r="X342" s="215" t="n"/>
      <c r="Y342" s="215" t="n"/>
      <c r="Z342" s="215" t="n"/>
      <c r="AA342" s="215" t="n"/>
      <c r="AB342" s="215" t="n"/>
      <c r="AC342" s="215" t="n"/>
      <c r="AD342" s="215" t="n"/>
      <c r="AE342" s="215" t="n"/>
      <c r="AF342" s="215" t="n"/>
      <c r="AG342" s="215" t="n"/>
      <c r="AH342" s="215" t="n"/>
      <c r="AI342" s="215" t="n"/>
      <c r="AJ342" s="215" t="n"/>
      <c r="AK342" s="216" t="n"/>
    </row>
    <row r="343" ht="15" customHeight="1">
      <c r="B343" s="134" t="n"/>
      <c r="C343" s="105" t="n"/>
      <c r="D343" s="105" t="n"/>
      <c r="E343" s="105" t="n"/>
      <c r="F343" s="105" t="n"/>
      <c r="G343" s="105" t="n"/>
      <c r="H343" s="2" t="n"/>
      <c r="I343" s="105" t="n"/>
      <c r="K343" s="215" t="n"/>
      <c r="L343" s="215" t="n"/>
      <c r="M343" s="215" t="n"/>
      <c r="N343" s="215" t="n"/>
      <c r="O343" s="215" t="n"/>
      <c r="P343" s="215" t="n"/>
      <c r="Q343" s="215" t="n"/>
      <c r="R343" s="215" t="n"/>
      <c r="S343" s="215" t="n"/>
      <c r="T343" s="215" t="n"/>
      <c r="U343" s="215" t="n"/>
      <c r="V343" s="215" t="n"/>
      <c r="W343" s="215" t="n"/>
      <c r="X343" s="215" t="n"/>
      <c r="Y343" s="215" t="n"/>
      <c r="Z343" s="215" t="n"/>
      <c r="AA343" s="215" t="n"/>
      <c r="AB343" s="215" t="n"/>
      <c r="AC343" s="215" t="n"/>
      <c r="AD343" s="215" t="n"/>
      <c r="AE343" s="215" t="n"/>
      <c r="AF343" s="215" t="n"/>
      <c r="AG343" s="215" t="n"/>
      <c r="AH343" s="215" t="n"/>
      <c r="AI343" s="215" t="n"/>
      <c r="AJ343" s="215" t="n"/>
      <c r="AK343" s="216" t="n"/>
    </row>
    <row r="344" ht="15" customHeight="1">
      <c r="B344" s="134" t="n"/>
      <c r="C344" s="105" t="n"/>
      <c r="D344" s="105" t="n"/>
      <c r="E344" s="105" t="n"/>
      <c r="F344" s="105" t="n"/>
      <c r="G344" s="105" t="n"/>
      <c r="H344" s="2" t="n"/>
      <c r="I344" s="105" t="n"/>
      <c r="K344" s="215" t="n"/>
      <c r="L344" s="215" t="n"/>
      <c r="M344" s="215" t="n"/>
      <c r="N344" s="215" t="n"/>
      <c r="O344" s="215" t="n"/>
      <c r="P344" s="215" t="n"/>
      <c r="Q344" s="215" t="n"/>
      <c r="R344" s="215" t="n"/>
      <c r="S344" s="215" t="n"/>
      <c r="T344" s="215" t="n"/>
      <c r="U344" s="215" t="n"/>
      <c r="V344" s="215" t="n"/>
      <c r="W344" s="215" t="n"/>
      <c r="X344" s="215" t="n"/>
      <c r="Y344" s="215" t="n"/>
      <c r="Z344" s="215" t="n"/>
      <c r="AA344" s="215" t="n"/>
      <c r="AB344" s="215" t="n"/>
      <c r="AC344" s="215" t="n"/>
      <c r="AD344" s="215" t="n"/>
      <c r="AE344" s="215" t="n"/>
      <c r="AF344" s="215" t="n"/>
      <c r="AG344" s="215" t="n"/>
      <c r="AH344" s="215" t="n"/>
      <c r="AI344" s="215" t="n"/>
      <c r="AJ344" s="215" t="n"/>
      <c r="AK344" s="216" t="n"/>
    </row>
    <row r="345" ht="15" customHeight="1">
      <c r="B345" s="134" t="n"/>
      <c r="C345" s="105" t="n"/>
      <c r="D345" s="105" t="n"/>
      <c r="E345" s="105" t="n"/>
      <c r="F345" s="105" t="n"/>
      <c r="G345" s="105" t="n"/>
      <c r="H345" s="2" t="n"/>
      <c r="I345" s="105" t="n"/>
      <c r="K345" s="215" t="n"/>
      <c r="L345" s="215" t="n"/>
      <c r="M345" s="215" t="n"/>
      <c r="N345" s="215" t="n"/>
      <c r="O345" s="215" t="n"/>
      <c r="P345" s="215" t="n"/>
      <c r="Q345" s="215" t="n"/>
      <c r="R345" s="215" t="n"/>
      <c r="S345" s="215" t="n"/>
      <c r="T345" s="215" t="n"/>
      <c r="U345" s="215" t="n"/>
      <c r="V345" s="215" t="n"/>
      <c r="W345" s="215" t="n"/>
      <c r="X345" s="215" t="n"/>
      <c r="Y345" s="215" t="n"/>
      <c r="Z345" s="215" t="n"/>
      <c r="AA345" s="215" t="n"/>
      <c r="AB345" s="215" t="n"/>
      <c r="AC345" s="215" t="n"/>
      <c r="AD345" s="215" t="n"/>
      <c r="AE345" s="215" t="n"/>
      <c r="AF345" s="215" t="n"/>
      <c r="AG345" s="215" t="n"/>
      <c r="AH345" s="215" t="n"/>
      <c r="AI345" s="215" t="n"/>
      <c r="AJ345" s="215" t="n"/>
      <c r="AK345" s="216" t="n"/>
    </row>
    <row r="346" ht="15" customHeight="1">
      <c r="B346" s="134" t="n"/>
      <c r="C346" s="105" t="n"/>
      <c r="D346" s="105" t="n"/>
      <c r="E346" s="105" t="n"/>
      <c r="F346" s="105" t="n"/>
      <c r="G346" s="105" t="n"/>
      <c r="H346" s="2" t="n"/>
      <c r="I346" s="105" t="n"/>
      <c r="K346" s="215" t="n"/>
      <c r="L346" s="215" t="n"/>
      <c r="M346" s="215" t="n"/>
      <c r="N346" s="215" t="n"/>
      <c r="O346" s="215" t="n"/>
      <c r="P346" s="215" t="n"/>
      <c r="Q346" s="215" t="n"/>
      <c r="R346" s="215" t="n"/>
      <c r="S346" s="215" t="n"/>
      <c r="T346" s="215" t="n"/>
      <c r="U346" s="215" t="n"/>
      <c r="V346" s="215" t="n"/>
      <c r="W346" s="215" t="n"/>
      <c r="X346" s="215" t="n"/>
      <c r="Y346" s="215" t="n"/>
      <c r="Z346" s="215" t="n"/>
      <c r="AA346" s="215" t="n"/>
      <c r="AB346" s="215" t="n"/>
      <c r="AC346" s="215" t="n"/>
      <c r="AD346" s="215" t="n"/>
      <c r="AE346" s="215" t="n"/>
      <c r="AF346" s="215" t="n"/>
      <c r="AG346" s="215" t="n"/>
      <c r="AH346" s="215" t="n"/>
      <c r="AI346" s="215" t="n"/>
      <c r="AJ346" s="215" t="n"/>
      <c r="AK346" s="216" t="n"/>
    </row>
    <row r="347" ht="15" customHeight="1">
      <c r="B347" s="134" t="n"/>
      <c r="C347" s="105" t="n"/>
      <c r="D347" s="105" t="n"/>
      <c r="E347" s="105" t="n"/>
      <c r="F347" s="105" t="n"/>
      <c r="G347" s="105" t="n"/>
      <c r="H347" s="2" t="n"/>
      <c r="I347" s="105" t="n"/>
      <c r="K347" s="215" t="n"/>
      <c r="L347" s="215" t="n"/>
      <c r="M347" s="215" t="n"/>
      <c r="N347" s="215" t="n"/>
      <c r="O347" s="215" t="n"/>
      <c r="P347" s="215" t="n"/>
      <c r="Q347" s="215" t="n"/>
      <c r="R347" s="215" t="n"/>
      <c r="S347" s="215" t="n"/>
      <c r="T347" s="215" t="n"/>
      <c r="U347" s="215" t="n"/>
      <c r="V347" s="215" t="n"/>
      <c r="W347" s="215" t="n"/>
      <c r="X347" s="215" t="n"/>
      <c r="Y347" s="215" t="n"/>
      <c r="Z347" s="215" t="n"/>
      <c r="AA347" s="215" t="n"/>
      <c r="AB347" s="215" t="n"/>
      <c r="AC347" s="215" t="n"/>
      <c r="AD347" s="215" t="n"/>
      <c r="AE347" s="215" t="n"/>
      <c r="AF347" s="215" t="n"/>
      <c r="AG347" s="215" t="n"/>
      <c r="AH347" s="215" t="n"/>
      <c r="AI347" s="215" t="n"/>
      <c r="AJ347" s="215" t="n"/>
      <c r="AK347" s="216" t="n"/>
    </row>
    <row r="348" ht="15" customHeight="1">
      <c r="B348" s="134" t="n"/>
      <c r="C348" s="105" t="n"/>
      <c r="D348" s="105" t="n"/>
      <c r="E348" s="105" t="n"/>
      <c r="F348" s="105" t="n"/>
      <c r="G348" s="105" t="n"/>
      <c r="H348" s="2" t="n"/>
      <c r="I348" s="105" t="n"/>
      <c r="K348" s="215" t="n"/>
      <c r="L348" s="215" t="n"/>
      <c r="M348" s="215" t="n"/>
      <c r="N348" s="215" t="n"/>
      <c r="O348" s="215" t="n"/>
      <c r="P348" s="215" t="n"/>
      <c r="Q348" s="215" t="n"/>
      <c r="R348" s="215" t="n"/>
      <c r="S348" s="215" t="n"/>
      <c r="T348" s="215" t="n"/>
      <c r="U348" s="215" t="n"/>
      <c r="V348" s="215" t="n"/>
      <c r="W348" s="215" t="n"/>
      <c r="X348" s="215" t="n"/>
      <c r="Y348" s="215" t="n"/>
      <c r="Z348" s="215" t="n"/>
      <c r="AA348" s="215" t="n"/>
      <c r="AB348" s="215" t="n"/>
      <c r="AC348" s="215" t="n"/>
      <c r="AD348" s="215" t="n"/>
      <c r="AE348" s="215" t="n"/>
      <c r="AF348" s="215" t="n"/>
      <c r="AG348" s="215" t="n"/>
      <c r="AH348" s="215" t="n"/>
      <c r="AI348" s="215" t="n"/>
      <c r="AJ348" s="215" t="n"/>
      <c r="AK348" s="216" t="n"/>
    </row>
    <row r="349" ht="15" customHeight="1">
      <c r="B349" s="134" t="n"/>
      <c r="C349" s="105" t="n"/>
      <c r="D349" s="105" t="n"/>
      <c r="E349" s="105" t="n"/>
      <c r="F349" s="105" t="n"/>
      <c r="G349" s="105" t="n"/>
      <c r="H349" s="2" t="n"/>
      <c r="I349" s="105" t="n"/>
      <c r="K349" s="215" t="n"/>
      <c r="L349" s="215" t="n"/>
      <c r="M349" s="215" t="n"/>
      <c r="N349" s="215" t="n"/>
      <c r="O349" s="215" t="n"/>
      <c r="P349" s="215" t="n"/>
      <c r="Q349" s="215" t="n"/>
      <c r="R349" s="215" t="n"/>
      <c r="S349" s="215" t="n"/>
      <c r="T349" s="215" t="n"/>
      <c r="U349" s="215" t="n"/>
      <c r="V349" s="215" t="n"/>
      <c r="W349" s="215" t="n"/>
      <c r="X349" s="215" t="n"/>
      <c r="Y349" s="215" t="n"/>
      <c r="Z349" s="215" t="n"/>
      <c r="AA349" s="215" t="n"/>
      <c r="AB349" s="215" t="n"/>
      <c r="AC349" s="215" t="n"/>
      <c r="AD349" s="215" t="n"/>
      <c r="AE349" s="215" t="n"/>
      <c r="AF349" s="215" t="n"/>
      <c r="AG349" s="215" t="n"/>
      <c r="AH349" s="215" t="n"/>
      <c r="AI349" s="215" t="n"/>
      <c r="AJ349" s="215" t="n"/>
      <c r="AK349" s="216" t="n"/>
    </row>
    <row r="350" ht="15" customHeight="1">
      <c r="B350" s="134" t="n"/>
      <c r="C350" s="105" t="n"/>
      <c r="D350" s="105" t="n"/>
      <c r="E350" s="105" t="n"/>
      <c r="F350" s="105" t="n"/>
      <c r="G350" s="105" t="n"/>
      <c r="H350" s="2" t="n"/>
      <c r="I350" s="105" t="n"/>
      <c r="K350" s="215" t="n"/>
      <c r="L350" s="215" t="n"/>
      <c r="M350" s="215" t="n"/>
      <c r="N350" s="215" t="n"/>
      <c r="O350" s="215" t="n"/>
      <c r="P350" s="215" t="n"/>
      <c r="Q350" s="215" t="n"/>
      <c r="R350" s="215" t="n"/>
      <c r="S350" s="215" t="n"/>
      <c r="T350" s="215" t="n"/>
      <c r="U350" s="215" t="n"/>
      <c r="V350" s="215" t="n"/>
      <c r="W350" s="215" t="n"/>
      <c r="X350" s="215" t="n"/>
      <c r="Y350" s="215" t="n"/>
      <c r="Z350" s="215" t="n"/>
      <c r="AA350" s="215" t="n"/>
      <c r="AB350" s="215" t="n"/>
      <c r="AC350" s="215" t="n"/>
      <c r="AD350" s="215" t="n"/>
      <c r="AE350" s="215" t="n"/>
      <c r="AF350" s="215" t="n"/>
      <c r="AG350" s="215" t="n"/>
      <c r="AH350" s="215" t="n"/>
      <c r="AI350" s="215" t="n"/>
      <c r="AJ350" s="215" t="n"/>
      <c r="AK350" s="216" t="n"/>
    </row>
    <row r="351" ht="15" customHeight="1">
      <c r="B351" s="134" t="n"/>
      <c r="C351" s="105" t="n"/>
      <c r="D351" s="105" t="n"/>
      <c r="E351" s="105" t="n"/>
      <c r="F351" s="105" t="n"/>
      <c r="G351" s="105" t="n"/>
      <c r="H351" s="2" t="n"/>
      <c r="I351" s="105" t="n"/>
      <c r="K351" s="215" t="n"/>
      <c r="L351" s="215" t="n"/>
      <c r="M351" s="215" t="n"/>
      <c r="N351" s="215" t="n"/>
      <c r="O351" s="215" t="n"/>
      <c r="P351" s="215" t="n"/>
      <c r="Q351" s="215" t="n"/>
      <c r="R351" s="215" t="n"/>
      <c r="S351" s="215" t="n"/>
      <c r="T351" s="215" t="n"/>
      <c r="U351" s="215" t="n"/>
      <c r="V351" s="215" t="n"/>
      <c r="W351" s="215" t="n"/>
      <c r="X351" s="215" t="n"/>
      <c r="Y351" s="215" t="n"/>
      <c r="Z351" s="215" t="n"/>
      <c r="AA351" s="215" t="n"/>
      <c r="AB351" s="215" t="n"/>
      <c r="AC351" s="215" t="n"/>
      <c r="AD351" s="215" t="n"/>
      <c r="AE351" s="215" t="n"/>
      <c r="AF351" s="215" t="n"/>
      <c r="AG351" s="215" t="n"/>
      <c r="AH351" s="215" t="n"/>
      <c r="AI351" s="215" t="n"/>
      <c r="AJ351" s="215" t="n"/>
      <c r="AK351" s="216" t="n"/>
    </row>
    <row r="352" ht="15" customHeight="1">
      <c r="B352" s="134" t="n"/>
      <c r="C352" s="105" t="n"/>
      <c r="D352" s="105" t="n"/>
      <c r="E352" s="105" t="n"/>
      <c r="F352" s="105" t="n"/>
      <c r="G352" s="105" t="n"/>
      <c r="H352" s="2" t="n"/>
      <c r="I352" s="105" t="n"/>
      <c r="K352" s="215" t="n"/>
      <c r="L352" s="215" t="n"/>
      <c r="M352" s="215" t="n"/>
      <c r="N352" s="215" t="n"/>
      <c r="O352" s="215" t="n"/>
      <c r="P352" s="215" t="n"/>
      <c r="Q352" s="215" t="n"/>
      <c r="R352" s="215" t="n"/>
      <c r="S352" s="215" t="n"/>
      <c r="T352" s="215" t="n"/>
      <c r="U352" s="215" t="n"/>
      <c r="V352" s="215" t="n"/>
      <c r="W352" s="215" t="n"/>
      <c r="X352" s="215" t="n"/>
      <c r="Y352" s="215" t="n"/>
      <c r="Z352" s="215" t="n"/>
      <c r="AA352" s="215" t="n"/>
      <c r="AB352" s="215" t="n"/>
      <c r="AC352" s="215" t="n"/>
      <c r="AD352" s="215" t="n"/>
      <c r="AE352" s="215" t="n"/>
      <c r="AF352" s="215" t="n"/>
      <c r="AG352" s="215" t="n"/>
      <c r="AH352" s="215" t="n"/>
      <c r="AI352" s="215" t="n"/>
      <c r="AJ352" s="215" t="n"/>
      <c r="AK352" s="216" t="n"/>
    </row>
    <row r="353" ht="15" customHeight="1">
      <c r="B353" s="134" t="n"/>
      <c r="C353" s="105" t="n"/>
      <c r="D353" s="105" t="n"/>
      <c r="E353" s="105" t="n"/>
      <c r="F353" s="105" t="n"/>
      <c r="G353" s="105" t="n"/>
      <c r="H353" s="2" t="n"/>
      <c r="I353" s="105" t="n"/>
      <c r="K353" s="215" t="n"/>
      <c r="L353" s="215" t="n"/>
      <c r="M353" s="215" t="n"/>
      <c r="N353" s="215" t="n"/>
      <c r="O353" s="215" t="n"/>
      <c r="P353" s="215" t="n"/>
      <c r="Q353" s="215" t="n"/>
      <c r="R353" s="215" t="n"/>
      <c r="S353" s="215" t="n"/>
      <c r="T353" s="215" t="n"/>
      <c r="U353" s="215" t="n"/>
      <c r="V353" s="215" t="n"/>
      <c r="W353" s="215" t="n"/>
      <c r="X353" s="215" t="n"/>
      <c r="Y353" s="215" t="n"/>
      <c r="Z353" s="215" t="n"/>
      <c r="AA353" s="215" t="n"/>
      <c r="AB353" s="215" t="n"/>
      <c r="AC353" s="215" t="n"/>
      <c r="AD353" s="215" t="n"/>
      <c r="AE353" s="215" t="n"/>
      <c r="AF353" s="215" t="n"/>
      <c r="AG353" s="215" t="n"/>
      <c r="AH353" s="215" t="n"/>
      <c r="AI353" s="215" t="n"/>
      <c r="AJ353" s="215" t="n"/>
      <c r="AK353" s="216" t="n"/>
    </row>
    <row r="354" ht="15" customHeight="1">
      <c r="B354" s="134" t="n"/>
      <c r="C354" s="105" t="n"/>
      <c r="D354" s="105" t="n"/>
      <c r="E354" s="105" t="n"/>
      <c r="F354" s="105" t="n"/>
      <c r="G354" s="105" t="n"/>
      <c r="H354" s="2" t="n"/>
      <c r="I354" s="105" t="n"/>
      <c r="K354" s="215" t="n"/>
      <c r="L354" s="215" t="n"/>
      <c r="M354" s="215" t="n"/>
      <c r="N354" s="215" t="n"/>
      <c r="O354" s="215" t="n"/>
      <c r="P354" s="215" t="n"/>
      <c r="Q354" s="215" t="n"/>
      <c r="R354" s="215" t="n"/>
      <c r="S354" s="215" t="n"/>
      <c r="T354" s="215" t="n"/>
      <c r="U354" s="215" t="n"/>
      <c r="V354" s="215" t="n"/>
      <c r="W354" s="215" t="n"/>
      <c r="X354" s="215" t="n"/>
      <c r="Y354" s="215" t="n"/>
      <c r="Z354" s="215" t="n"/>
      <c r="AA354" s="215" t="n"/>
      <c r="AB354" s="215" t="n"/>
      <c r="AC354" s="215" t="n"/>
      <c r="AD354" s="215" t="n"/>
      <c r="AE354" s="215" t="n"/>
      <c r="AF354" s="215" t="n"/>
      <c r="AG354" s="215" t="n"/>
      <c r="AH354" s="215" t="n"/>
      <c r="AI354" s="215" t="n"/>
      <c r="AJ354" s="215" t="n"/>
      <c r="AK354" s="216" t="n"/>
    </row>
    <row r="355" ht="15" customHeight="1">
      <c r="B355" s="134" t="n"/>
      <c r="C355" s="105" t="n"/>
      <c r="D355" s="105" t="n"/>
      <c r="E355" s="105" t="n"/>
      <c r="F355" s="105" t="n"/>
      <c r="G355" s="105" t="n"/>
      <c r="H355" s="2" t="n"/>
      <c r="I355" s="105" t="n"/>
      <c r="K355" s="215" t="n"/>
      <c r="L355" s="215" t="n"/>
      <c r="M355" s="215" t="n"/>
      <c r="N355" s="215" t="n"/>
      <c r="O355" s="215" t="n"/>
      <c r="P355" s="215" t="n"/>
      <c r="Q355" s="215" t="n"/>
      <c r="R355" s="215" t="n"/>
      <c r="S355" s="215" t="n"/>
      <c r="T355" s="215" t="n"/>
      <c r="U355" s="215" t="n"/>
      <c r="V355" s="215" t="n"/>
      <c r="W355" s="215" t="n"/>
      <c r="X355" s="215" t="n"/>
      <c r="Y355" s="215" t="n"/>
      <c r="Z355" s="215" t="n"/>
      <c r="AA355" s="215" t="n"/>
      <c r="AB355" s="215" t="n"/>
      <c r="AC355" s="215" t="n"/>
      <c r="AD355" s="215" t="n"/>
      <c r="AE355" s="215" t="n"/>
      <c r="AF355" s="215" t="n"/>
      <c r="AG355" s="215" t="n"/>
      <c r="AH355" s="215" t="n"/>
      <c r="AI355" s="215" t="n"/>
      <c r="AJ355" s="215" t="n"/>
      <c r="AK355" s="216" t="n"/>
    </row>
    <row r="356" ht="15" customHeight="1">
      <c r="B356" s="134" t="n"/>
      <c r="C356" s="105" t="n"/>
      <c r="D356" s="105" t="n"/>
      <c r="E356" s="105" t="n"/>
      <c r="F356" s="105" t="n"/>
      <c r="G356" s="105" t="n"/>
      <c r="H356" s="2" t="n"/>
      <c r="I356" s="105" t="n"/>
      <c r="K356" s="215" t="n"/>
      <c r="L356" s="215" t="n"/>
      <c r="M356" s="215" t="n"/>
      <c r="N356" s="215" t="n"/>
      <c r="O356" s="215" t="n"/>
      <c r="P356" s="215" t="n"/>
      <c r="Q356" s="215" t="n"/>
      <c r="R356" s="215" t="n"/>
      <c r="S356" s="215" t="n"/>
      <c r="T356" s="215" t="n"/>
      <c r="U356" s="215" t="n"/>
      <c r="V356" s="215" t="n"/>
      <c r="W356" s="215" t="n"/>
      <c r="X356" s="215" t="n"/>
      <c r="Y356" s="215" t="n"/>
      <c r="Z356" s="215" t="n"/>
      <c r="AA356" s="215" t="n"/>
      <c r="AB356" s="215" t="n"/>
      <c r="AC356" s="215" t="n"/>
      <c r="AD356" s="215" t="n"/>
      <c r="AE356" s="215" t="n"/>
      <c r="AF356" s="215" t="n"/>
      <c r="AG356" s="215" t="n"/>
      <c r="AH356" s="215" t="n"/>
      <c r="AI356" s="215" t="n"/>
      <c r="AJ356" s="215" t="n"/>
      <c r="AK356" s="216" t="n"/>
    </row>
    <row r="357" ht="15" customHeight="1">
      <c r="B357" s="134" t="n"/>
      <c r="C357" s="105" t="n"/>
      <c r="D357" s="105" t="n"/>
      <c r="E357" s="105" t="n"/>
      <c r="F357" s="105" t="n"/>
      <c r="G357" s="105" t="n"/>
      <c r="H357" s="2" t="n"/>
      <c r="I357" s="105" t="n"/>
      <c r="K357" s="215" t="n"/>
      <c r="L357" s="215" t="n"/>
      <c r="M357" s="215" t="n"/>
      <c r="N357" s="215" t="n"/>
      <c r="O357" s="215" t="n"/>
      <c r="P357" s="215" t="n"/>
      <c r="Q357" s="215" t="n"/>
      <c r="R357" s="215" t="n"/>
      <c r="S357" s="215" t="n"/>
      <c r="T357" s="215" t="n"/>
      <c r="U357" s="215" t="n"/>
      <c r="V357" s="215" t="n"/>
      <c r="W357" s="215" t="n"/>
      <c r="X357" s="215" t="n"/>
      <c r="Y357" s="215" t="n"/>
      <c r="Z357" s="215" t="n"/>
      <c r="AA357" s="215" t="n"/>
      <c r="AB357" s="215" t="n"/>
      <c r="AC357" s="215" t="n"/>
      <c r="AD357" s="215" t="n"/>
      <c r="AE357" s="215" t="n"/>
      <c r="AF357" s="215" t="n"/>
      <c r="AG357" s="215" t="n"/>
      <c r="AH357" s="215" t="n"/>
      <c r="AI357" s="215" t="n"/>
      <c r="AJ357" s="215" t="n"/>
      <c r="AK357" s="216" t="n"/>
    </row>
    <row r="358" ht="15" customHeight="1">
      <c r="B358" s="134" t="n"/>
      <c r="C358" s="105" t="n"/>
      <c r="D358" s="105" t="n"/>
      <c r="E358" s="105" t="n"/>
      <c r="F358" s="105" t="n"/>
      <c r="G358" s="105" t="n"/>
      <c r="H358" s="2" t="n"/>
      <c r="I358" s="105" t="n"/>
      <c r="K358" s="215" t="n"/>
      <c r="L358" s="215" t="n"/>
      <c r="M358" s="215" t="n"/>
      <c r="N358" s="215" t="n"/>
      <c r="O358" s="215" t="n"/>
      <c r="P358" s="215" t="n"/>
      <c r="Q358" s="215" t="n"/>
      <c r="R358" s="215" t="n"/>
      <c r="S358" s="215" t="n"/>
      <c r="T358" s="215" t="n"/>
      <c r="U358" s="215" t="n"/>
      <c r="V358" s="215" t="n"/>
      <c r="W358" s="215" t="n"/>
      <c r="X358" s="215" t="n"/>
      <c r="Y358" s="215" t="n"/>
      <c r="Z358" s="215" t="n"/>
      <c r="AA358" s="215" t="n"/>
      <c r="AB358" s="215" t="n"/>
      <c r="AC358" s="215" t="n"/>
      <c r="AD358" s="215" t="n"/>
      <c r="AE358" s="215" t="n"/>
      <c r="AF358" s="215" t="n"/>
      <c r="AG358" s="215" t="n"/>
      <c r="AH358" s="215" t="n"/>
      <c r="AI358" s="215" t="n"/>
      <c r="AJ358" s="215" t="n"/>
      <c r="AK358" s="216" t="n"/>
    </row>
    <row r="359" ht="15" customHeight="1">
      <c r="B359" s="134" t="n"/>
      <c r="C359" s="105" t="n"/>
      <c r="D359" s="105" t="n"/>
      <c r="E359" s="105" t="n"/>
      <c r="F359" s="105" t="n"/>
      <c r="G359" s="105" t="n"/>
      <c r="H359" s="2" t="n"/>
      <c r="I359" s="105" t="n"/>
      <c r="K359" s="215" t="n"/>
      <c r="L359" s="215" t="n"/>
      <c r="M359" s="215" t="n"/>
      <c r="N359" s="215" t="n"/>
      <c r="O359" s="215" t="n"/>
      <c r="P359" s="215" t="n"/>
      <c r="Q359" s="215" t="n"/>
      <c r="R359" s="215" t="n"/>
      <c r="S359" s="215" t="n"/>
      <c r="T359" s="215" t="n"/>
      <c r="U359" s="215" t="n"/>
      <c r="V359" s="215" t="n"/>
      <c r="W359" s="215" t="n"/>
      <c r="X359" s="215" t="n"/>
      <c r="Y359" s="215" t="n"/>
      <c r="Z359" s="215" t="n"/>
      <c r="AA359" s="215" t="n"/>
      <c r="AB359" s="215" t="n"/>
      <c r="AC359" s="215" t="n"/>
      <c r="AD359" s="215" t="n"/>
      <c r="AE359" s="215" t="n"/>
      <c r="AF359" s="215" t="n"/>
      <c r="AG359" s="215" t="n"/>
      <c r="AH359" s="215" t="n"/>
      <c r="AI359" s="215" t="n"/>
      <c r="AJ359" s="215" t="n"/>
      <c r="AK359" s="216" t="n"/>
    </row>
    <row r="360" ht="15" customHeight="1">
      <c r="B360" s="134" t="n"/>
      <c r="C360" s="105" t="n"/>
      <c r="D360" s="105" t="n"/>
      <c r="E360" s="105" t="n"/>
      <c r="F360" s="105" t="n"/>
      <c r="G360" s="105" t="n"/>
      <c r="H360" s="2" t="n"/>
      <c r="I360" s="105" t="n"/>
      <c r="K360" s="215" t="n"/>
      <c r="L360" s="215" t="n"/>
      <c r="M360" s="215" t="n"/>
      <c r="N360" s="215" t="n"/>
      <c r="O360" s="215" t="n"/>
      <c r="P360" s="215" t="n"/>
      <c r="Q360" s="215" t="n"/>
      <c r="R360" s="215" t="n"/>
      <c r="S360" s="215" t="n"/>
      <c r="T360" s="215" t="n"/>
      <c r="U360" s="215" t="n"/>
      <c r="V360" s="215" t="n"/>
      <c r="W360" s="215" t="n"/>
      <c r="X360" s="215" t="n"/>
      <c r="Y360" s="215" t="n"/>
      <c r="Z360" s="215" t="n"/>
      <c r="AA360" s="215" t="n"/>
      <c r="AB360" s="215" t="n"/>
      <c r="AC360" s="215" t="n"/>
      <c r="AD360" s="215" t="n"/>
      <c r="AE360" s="215" t="n"/>
      <c r="AF360" s="215" t="n"/>
      <c r="AG360" s="215" t="n"/>
      <c r="AH360" s="215" t="n"/>
      <c r="AI360" s="215" t="n"/>
      <c r="AJ360" s="215" t="n"/>
      <c r="AK360" s="216" t="n"/>
    </row>
    <row r="361" ht="15" customHeight="1">
      <c r="B361" s="134" t="n"/>
      <c r="C361" s="105" t="n"/>
      <c r="D361" s="105" t="n"/>
      <c r="E361" s="105" t="n"/>
      <c r="F361" s="105" t="n"/>
      <c r="G361" s="105" t="n"/>
      <c r="H361" s="2" t="n"/>
      <c r="I361" s="105" t="n"/>
      <c r="K361" s="215" t="n"/>
      <c r="L361" s="215" t="n"/>
      <c r="M361" s="215" t="n"/>
      <c r="N361" s="215" t="n"/>
      <c r="O361" s="215" t="n"/>
      <c r="P361" s="215" t="n"/>
      <c r="Q361" s="215" t="n"/>
      <c r="R361" s="215" t="n"/>
      <c r="S361" s="215" t="n"/>
      <c r="T361" s="215" t="n"/>
      <c r="U361" s="215" t="n"/>
      <c r="V361" s="215" t="n"/>
      <c r="W361" s="215" t="n"/>
      <c r="X361" s="215" t="n"/>
      <c r="Y361" s="215" t="n"/>
      <c r="Z361" s="215" t="n"/>
      <c r="AA361" s="215" t="n"/>
      <c r="AB361" s="215" t="n"/>
      <c r="AC361" s="215" t="n"/>
      <c r="AD361" s="215" t="n"/>
      <c r="AE361" s="215" t="n"/>
      <c r="AF361" s="215" t="n"/>
      <c r="AG361" s="215" t="n"/>
      <c r="AH361" s="215" t="n"/>
      <c r="AI361" s="215" t="n"/>
      <c r="AJ361" s="215" t="n"/>
      <c r="AK361" s="216" t="n"/>
    </row>
    <row r="362" ht="15" customHeight="1">
      <c r="B362" s="134" t="n"/>
      <c r="C362" s="105" t="n"/>
      <c r="D362" s="105" t="n"/>
      <c r="E362" s="105" t="n"/>
      <c r="F362" s="105" t="n"/>
      <c r="G362" s="105" t="n"/>
      <c r="H362" s="2" t="n"/>
      <c r="I362" s="105" t="n"/>
      <c r="K362" s="215" t="n"/>
      <c r="L362" s="215" t="n"/>
      <c r="M362" s="215" t="n"/>
      <c r="N362" s="215" t="n"/>
      <c r="O362" s="215" t="n"/>
      <c r="P362" s="215" t="n"/>
      <c r="Q362" s="215" t="n"/>
      <c r="R362" s="215" t="n"/>
      <c r="S362" s="215" t="n"/>
      <c r="T362" s="215" t="n"/>
      <c r="U362" s="215" t="n"/>
      <c r="V362" s="215" t="n"/>
      <c r="W362" s="215" t="n"/>
      <c r="X362" s="215" t="n"/>
      <c r="Y362" s="215" t="n"/>
      <c r="Z362" s="215" t="n"/>
      <c r="AA362" s="215" t="n"/>
      <c r="AB362" s="215" t="n"/>
      <c r="AC362" s="215" t="n"/>
      <c r="AD362" s="215" t="n"/>
      <c r="AE362" s="215" t="n"/>
      <c r="AF362" s="215" t="n"/>
      <c r="AG362" s="215" t="n"/>
      <c r="AH362" s="215" t="n"/>
      <c r="AI362" s="215" t="n"/>
      <c r="AJ362" s="215" t="n"/>
      <c r="AK362" s="216" t="n"/>
    </row>
    <row r="363" ht="15" customHeight="1">
      <c r="B363" s="134" t="n"/>
      <c r="C363" s="105" t="n"/>
      <c r="D363" s="105" t="n"/>
      <c r="E363" s="105" t="n"/>
      <c r="F363" s="105" t="n"/>
      <c r="G363" s="105" t="n"/>
      <c r="H363" s="2" t="n"/>
      <c r="I363" s="105" t="n"/>
      <c r="K363" s="215" t="n"/>
      <c r="L363" s="215" t="n"/>
      <c r="M363" s="215" t="n"/>
      <c r="N363" s="215" t="n"/>
      <c r="O363" s="215" t="n"/>
      <c r="P363" s="215" t="n"/>
      <c r="Q363" s="215" t="n"/>
      <c r="R363" s="215" t="n"/>
      <c r="S363" s="215" t="n"/>
      <c r="T363" s="215" t="n"/>
      <c r="U363" s="215" t="n"/>
      <c r="V363" s="215" t="n"/>
      <c r="W363" s="215" t="n"/>
      <c r="X363" s="215" t="n"/>
      <c r="Y363" s="215" t="n"/>
      <c r="Z363" s="215" t="n"/>
      <c r="AA363" s="215" t="n"/>
      <c r="AB363" s="215" t="n"/>
      <c r="AC363" s="215" t="n"/>
      <c r="AD363" s="215" t="n"/>
      <c r="AE363" s="215" t="n"/>
      <c r="AF363" s="215" t="n"/>
      <c r="AG363" s="215" t="n"/>
      <c r="AH363" s="215" t="n"/>
      <c r="AI363" s="215" t="n"/>
      <c r="AJ363" s="215" t="n"/>
      <c r="AK363" s="216" t="n"/>
    </row>
    <row r="364" ht="15" customHeight="1">
      <c r="B364" s="134" t="n"/>
      <c r="C364" s="105" t="n"/>
      <c r="D364" s="105" t="n"/>
      <c r="E364" s="105" t="n"/>
      <c r="F364" s="105" t="n"/>
      <c r="G364" s="105" t="n"/>
      <c r="H364" s="2" t="n"/>
      <c r="I364" s="105" t="n"/>
      <c r="K364" s="215" t="n"/>
      <c r="L364" s="215" t="n"/>
      <c r="M364" s="215" t="n"/>
      <c r="N364" s="215" t="n"/>
      <c r="O364" s="215" t="n"/>
      <c r="P364" s="215" t="n"/>
      <c r="Q364" s="215" t="n"/>
      <c r="R364" s="215" t="n"/>
      <c r="S364" s="215" t="n"/>
      <c r="T364" s="215" t="n"/>
      <c r="U364" s="215" t="n"/>
      <c r="V364" s="215" t="n"/>
      <c r="W364" s="215" t="n"/>
      <c r="X364" s="215" t="n"/>
      <c r="Y364" s="215" t="n"/>
      <c r="Z364" s="215" t="n"/>
      <c r="AA364" s="215" t="n"/>
      <c r="AB364" s="215" t="n"/>
      <c r="AC364" s="215" t="n"/>
      <c r="AD364" s="215" t="n"/>
      <c r="AE364" s="215" t="n"/>
      <c r="AF364" s="215" t="n"/>
      <c r="AG364" s="215" t="n"/>
      <c r="AH364" s="215" t="n"/>
      <c r="AI364" s="215" t="n"/>
      <c r="AJ364" s="215" t="n"/>
      <c r="AK364" s="216" t="n"/>
    </row>
    <row r="365" ht="15" customHeight="1">
      <c r="B365" s="134" t="n"/>
      <c r="C365" s="105" t="n"/>
      <c r="D365" s="105" t="n"/>
      <c r="E365" s="105" t="n"/>
      <c r="F365" s="105" t="n"/>
      <c r="G365" s="105" t="n"/>
      <c r="H365" s="2" t="n"/>
      <c r="I365" s="105" t="n"/>
      <c r="K365" s="215" t="n"/>
      <c r="L365" s="215" t="n"/>
      <c r="M365" s="215" t="n"/>
      <c r="N365" s="215" t="n"/>
      <c r="O365" s="215" t="n"/>
      <c r="P365" s="215" t="n"/>
      <c r="Q365" s="215" t="n"/>
      <c r="R365" s="215" t="n"/>
      <c r="S365" s="215" t="n"/>
      <c r="T365" s="215" t="n"/>
      <c r="U365" s="215" t="n"/>
      <c r="V365" s="215" t="n"/>
      <c r="W365" s="215" t="n"/>
      <c r="X365" s="215" t="n"/>
      <c r="Y365" s="215" t="n"/>
      <c r="Z365" s="215" t="n"/>
      <c r="AA365" s="215" t="n"/>
      <c r="AB365" s="215" t="n"/>
      <c r="AC365" s="215" t="n"/>
      <c r="AD365" s="215" t="n"/>
      <c r="AE365" s="215" t="n"/>
      <c r="AF365" s="215" t="n"/>
      <c r="AG365" s="215" t="n"/>
      <c r="AH365" s="215" t="n"/>
      <c r="AI365" s="215" t="n"/>
      <c r="AJ365" s="215" t="n"/>
      <c r="AK365" s="216" t="n"/>
    </row>
    <row r="366" ht="15" customHeight="1">
      <c r="B366" s="134" t="n"/>
      <c r="C366" s="105" t="n"/>
      <c r="D366" s="105" t="n"/>
      <c r="E366" s="105" t="n"/>
      <c r="F366" s="105" t="n"/>
      <c r="G366" s="105" t="n"/>
      <c r="H366" s="2" t="n"/>
      <c r="I366" s="105" t="n"/>
      <c r="K366" s="215" t="n"/>
      <c r="L366" s="215" t="n"/>
      <c r="M366" s="215" t="n"/>
      <c r="N366" s="215" t="n"/>
      <c r="O366" s="215" t="n"/>
      <c r="P366" s="215" t="n"/>
      <c r="Q366" s="215" t="n"/>
      <c r="R366" s="215" t="n"/>
      <c r="S366" s="215" t="n"/>
      <c r="T366" s="215" t="n"/>
      <c r="U366" s="215" t="n"/>
      <c r="V366" s="215" t="n"/>
      <c r="W366" s="215" t="n"/>
      <c r="X366" s="215" t="n"/>
      <c r="Y366" s="215" t="n"/>
      <c r="Z366" s="215" t="n"/>
      <c r="AA366" s="215" t="n"/>
      <c r="AB366" s="215" t="n"/>
      <c r="AC366" s="215" t="n"/>
      <c r="AD366" s="215" t="n"/>
      <c r="AE366" s="215" t="n"/>
      <c r="AF366" s="215" t="n"/>
      <c r="AG366" s="215" t="n"/>
      <c r="AH366" s="215" t="n"/>
      <c r="AI366" s="215" t="n"/>
      <c r="AJ366" s="215" t="n"/>
      <c r="AK366" s="216" t="n"/>
    </row>
    <row r="367" ht="15" customHeight="1">
      <c r="B367" s="134" t="n"/>
      <c r="C367" s="105" t="n"/>
      <c r="D367" s="105" t="n"/>
      <c r="E367" s="105" t="n"/>
      <c r="F367" s="105" t="n"/>
      <c r="G367" s="105" t="n"/>
      <c r="H367" s="2" t="n"/>
      <c r="I367" s="105" t="n"/>
      <c r="K367" s="215" t="n"/>
      <c r="L367" s="215" t="n"/>
      <c r="M367" s="215" t="n"/>
      <c r="N367" s="215" t="n"/>
      <c r="O367" s="215" t="n"/>
      <c r="P367" s="215" t="n"/>
      <c r="Q367" s="215" t="n"/>
      <c r="R367" s="215" t="n"/>
      <c r="S367" s="215" t="n"/>
      <c r="T367" s="215" t="n"/>
      <c r="U367" s="215" t="n"/>
      <c r="V367" s="215" t="n"/>
      <c r="W367" s="215" t="n"/>
      <c r="X367" s="215" t="n"/>
      <c r="Y367" s="215" t="n"/>
      <c r="Z367" s="215" t="n"/>
      <c r="AA367" s="215" t="n"/>
      <c r="AB367" s="215" t="n"/>
      <c r="AC367" s="215" t="n"/>
      <c r="AD367" s="215" t="n"/>
      <c r="AE367" s="215" t="n"/>
      <c r="AF367" s="215" t="n"/>
      <c r="AG367" s="215" t="n"/>
      <c r="AH367" s="215" t="n"/>
      <c r="AI367" s="215" t="n"/>
      <c r="AJ367" s="215" t="n"/>
      <c r="AK367" s="216" t="n"/>
    </row>
    <row r="368" ht="15" customHeight="1">
      <c r="B368" s="134" t="n"/>
      <c r="C368" s="105" t="n"/>
      <c r="D368" s="105" t="n"/>
      <c r="E368" s="105" t="n"/>
      <c r="F368" s="105" t="n"/>
      <c r="G368" s="105" t="n"/>
      <c r="H368" s="2" t="n"/>
      <c r="I368" s="105" t="n"/>
      <c r="K368" s="215" t="n"/>
      <c r="L368" s="215" t="n"/>
      <c r="M368" s="215" t="n"/>
      <c r="N368" s="215" t="n"/>
      <c r="O368" s="215" t="n"/>
      <c r="P368" s="215" t="n"/>
      <c r="Q368" s="215" t="n"/>
      <c r="R368" s="215" t="n"/>
      <c r="S368" s="215" t="n"/>
      <c r="T368" s="215" t="n"/>
      <c r="U368" s="215" t="n"/>
      <c r="V368" s="215" t="n"/>
      <c r="W368" s="215" t="n"/>
      <c r="X368" s="215" t="n"/>
      <c r="Y368" s="215" t="n"/>
      <c r="Z368" s="215" t="n"/>
      <c r="AA368" s="215" t="n"/>
      <c r="AB368" s="215" t="n"/>
      <c r="AC368" s="215" t="n"/>
      <c r="AD368" s="215" t="n"/>
      <c r="AE368" s="215" t="n"/>
      <c r="AF368" s="215" t="n"/>
      <c r="AG368" s="215" t="n"/>
      <c r="AH368" s="215" t="n"/>
      <c r="AI368" s="215" t="n"/>
      <c r="AJ368" s="215" t="n"/>
      <c r="AK368" s="216" t="n"/>
    </row>
    <row r="369" ht="15" customHeight="1">
      <c r="B369" s="134" t="n"/>
      <c r="C369" s="105" t="n"/>
      <c r="D369" s="105" t="n"/>
      <c r="E369" s="105" t="n"/>
      <c r="F369" s="105" t="n"/>
      <c r="G369" s="105" t="n"/>
      <c r="H369" s="2" t="n"/>
      <c r="I369" s="105" t="n"/>
      <c r="K369" s="215" t="n"/>
      <c r="L369" s="215" t="n"/>
      <c r="M369" s="215" t="n"/>
      <c r="N369" s="215" t="n"/>
      <c r="O369" s="215" t="n"/>
      <c r="P369" s="215" t="n"/>
      <c r="Q369" s="215" t="n"/>
      <c r="R369" s="215" t="n"/>
      <c r="S369" s="215" t="n"/>
      <c r="T369" s="215" t="n"/>
      <c r="U369" s="215" t="n"/>
      <c r="V369" s="215" t="n"/>
      <c r="W369" s="215" t="n"/>
      <c r="X369" s="215" t="n"/>
      <c r="Y369" s="215" t="n"/>
      <c r="Z369" s="215" t="n"/>
      <c r="AA369" s="215" t="n"/>
      <c r="AB369" s="215" t="n"/>
      <c r="AC369" s="215" t="n"/>
      <c r="AD369" s="215" t="n"/>
      <c r="AE369" s="215" t="n"/>
      <c r="AF369" s="215" t="n"/>
      <c r="AG369" s="215" t="n"/>
      <c r="AH369" s="215" t="n"/>
      <c r="AI369" s="215" t="n"/>
      <c r="AJ369" s="215" t="n"/>
      <c r="AK369" s="216" t="n"/>
    </row>
    <row r="370" ht="15" customHeight="1">
      <c r="B370" s="134" t="n"/>
      <c r="C370" s="105" t="n"/>
      <c r="D370" s="105" t="n"/>
      <c r="E370" s="105" t="n"/>
      <c r="F370" s="105" t="n"/>
      <c r="G370" s="105" t="n"/>
      <c r="H370" s="2" t="n"/>
      <c r="I370" s="105" t="n"/>
      <c r="K370" s="215" t="n"/>
      <c r="L370" s="215" t="n"/>
      <c r="M370" s="215" t="n"/>
      <c r="N370" s="215" t="n"/>
      <c r="O370" s="215" t="n"/>
      <c r="P370" s="215" t="n"/>
      <c r="Q370" s="215" t="n"/>
      <c r="R370" s="215" t="n"/>
      <c r="S370" s="215" t="n"/>
      <c r="T370" s="215" t="n"/>
      <c r="U370" s="215" t="n"/>
      <c r="V370" s="215" t="n"/>
      <c r="W370" s="215" t="n"/>
      <c r="X370" s="215" t="n"/>
      <c r="Y370" s="215" t="n"/>
      <c r="Z370" s="215" t="n"/>
      <c r="AA370" s="215" t="n"/>
      <c r="AB370" s="215" t="n"/>
      <c r="AC370" s="215" t="n"/>
      <c r="AD370" s="215" t="n"/>
      <c r="AE370" s="215" t="n"/>
      <c r="AF370" s="215" t="n"/>
      <c r="AG370" s="215" t="n"/>
      <c r="AH370" s="215" t="n"/>
      <c r="AI370" s="215" t="n"/>
      <c r="AJ370" s="215" t="n"/>
      <c r="AK370" s="216" t="n"/>
    </row>
    <row r="371" ht="15" customHeight="1">
      <c r="B371" s="134" t="n"/>
      <c r="C371" s="105" t="n"/>
      <c r="D371" s="105" t="n"/>
      <c r="E371" s="105" t="n"/>
      <c r="F371" s="105" t="n"/>
      <c r="G371" s="105" t="n"/>
      <c r="H371" s="2" t="n"/>
      <c r="I371" s="105" t="n"/>
      <c r="K371" s="215" t="n"/>
      <c r="L371" s="215" t="n"/>
      <c r="M371" s="215" t="n"/>
      <c r="N371" s="215" t="n"/>
      <c r="O371" s="215" t="n"/>
      <c r="P371" s="215" t="n"/>
      <c r="Q371" s="215" t="n"/>
      <c r="R371" s="215" t="n"/>
      <c r="S371" s="215" t="n"/>
      <c r="T371" s="215" t="n"/>
      <c r="U371" s="215" t="n"/>
      <c r="V371" s="215" t="n"/>
      <c r="W371" s="215" t="n"/>
      <c r="X371" s="215" t="n"/>
      <c r="Y371" s="215" t="n"/>
      <c r="Z371" s="215" t="n"/>
      <c r="AA371" s="215" t="n"/>
      <c r="AB371" s="215" t="n"/>
      <c r="AC371" s="215" t="n"/>
      <c r="AD371" s="215" t="n"/>
      <c r="AE371" s="215" t="n"/>
      <c r="AF371" s="215" t="n"/>
      <c r="AG371" s="215" t="n"/>
      <c r="AH371" s="215" t="n"/>
      <c r="AI371" s="215" t="n"/>
      <c r="AJ371" s="215" t="n"/>
      <c r="AK371" s="216" t="n"/>
    </row>
    <row r="372" ht="15" customHeight="1">
      <c r="B372" s="134" t="n"/>
      <c r="C372" s="105" t="n"/>
      <c r="D372" s="105" t="n"/>
      <c r="E372" s="105" t="n"/>
      <c r="F372" s="105" t="n"/>
      <c r="G372" s="105" t="n"/>
      <c r="H372" s="2" t="n"/>
      <c r="I372" s="105" t="n"/>
      <c r="K372" s="215" t="n"/>
      <c r="L372" s="215" t="n"/>
      <c r="M372" s="215" t="n"/>
      <c r="N372" s="215" t="n"/>
      <c r="O372" s="215" t="n"/>
      <c r="P372" s="215" t="n"/>
      <c r="Q372" s="215" t="n"/>
      <c r="R372" s="215" t="n"/>
      <c r="S372" s="215" t="n"/>
      <c r="T372" s="215" t="n"/>
      <c r="U372" s="215" t="n"/>
      <c r="V372" s="215" t="n"/>
      <c r="W372" s="215" t="n"/>
      <c r="X372" s="215" t="n"/>
      <c r="Y372" s="215" t="n"/>
      <c r="Z372" s="215" t="n"/>
      <c r="AA372" s="215" t="n"/>
      <c r="AB372" s="215" t="n"/>
      <c r="AC372" s="215" t="n"/>
      <c r="AD372" s="215" t="n"/>
      <c r="AE372" s="215" t="n"/>
      <c r="AF372" s="215" t="n"/>
      <c r="AG372" s="215" t="n"/>
      <c r="AH372" s="215" t="n"/>
      <c r="AI372" s="215" t="n"/>
      <c r="AJ372" s="215" t="n"/>
      <c r="AK372" s="216" t="n"/>
    </row>
    <row r="373" ht="15" customHeight="1">
      <c r="B373" s="134" t="n"/>
      <c r="C373" s="105" t="n"/>
      <c r="D373" s="105" t="n"/>
      <c r="E373" s="105" t="n"/>
      <c r="F373" s="105" t="n"/>
      <c r="G373" s="105" t="n"/>
      <c r="H373" s="2" t="n"/>
      <c r="I373" s="105" t="n"/>
      <c r="K373" s="215" t="n"/>
      <c r="L373" s="215" t="n"/>
      <c r="M373" s="215" t="n"/>
      <c r="N373" s="215" t="n"/>
      <c r="O373" s="215" t="n"/>
      <c r="P373" s="215" t="n"/>
      <c r="Q373" s="215" t="n"/>
      <c r="R373" s="215" t="n"/>
      <c r="S373" s="215" t="n"/>
      <c r="T373" s="215" t="n"/>
      <c r="U373" s="215" t="n"/>
      <c r="V373" s="215" t="n"/>
      <c r="W373" s="215" t="n"/>
      <c r="X373" s="215" t="n"/>
      <c r="Y373" s="215" t="n"/>
      <c r="Z373" s="215" t="n"/>
      <c r="AA373" s="215" t="n"/>
      <c r="AB373" s="215" t="n"/>
      <c r="AC373" s="215" t="n"/>
      <c r="AD373" s="215" t="n"/>
      <c r="AE373" s="215" t="n"/>
      <c r="AF373" s="215" t="n"/>
      <c r="AG373" s="215" t="n"/>
      <c r="AH373" s="215" t="n"/>
      <c r="AI373" s="215" t="n"/>
      <c r="AJ373" s="215" t="n"/>
      <c r="AK373" s="216" t="n"/>
    </row>
    <row r="374" ht="15" customHeight="1">
      <c r="B374" s="134" t="n"/>
      <c r="C374" s="105" t="n"/>
      <c r="D374" s="105" t="n"/>
      <c r="E374" s="105" t="n"/>
      <c r="F374" s="105" t="n"/>
      <c r="G374" s="105" t="n"/>
      <c r="H374" s="2" t="n"/>
      <c r="I374" s="105" t="n"/>
      <c r="K374" s="215" t="n"/>
      <c r="L374" s="215" t="n"/>
      <c r="M374" s="215" t="n"/>
      <c r="N374" s="215" t="n"/>
      <c r="O374" s="215" t="n"/>
      <c r="P374" s="215" t="n"/>
      <c r="Q374" s="215" t="n"/>
      <c r="R374" s="215" t="n"/>
      <c r="S374" s="215" t="n"/>
      <c r="T374" s="215" t="n"/>
      <c r="U374" s="215" t="n"/>
      <c r="V374" s="215" t="n"/>
      <c r="W374" s="215" t="n"/>
      <c r="X374" s="215" t="n"/>
      <c r="Y374" s="215" t="n"/>
      <c r="Z374" s="215" t="n"/>
      <c r="AA374" s="215" t="n"/>
      <c r="AB374" s="215" t="n"/>
      <c r="AC374" s="215" t="n"/>
      <c r="AD374" s="215" t="n"/>
      <c r="AE374" s="215" t="n"/>
      <c r="AF374" s="215" t="n"/>
      <c r="AG374" s="215" t="n"/>
      <c r="AH374" s="215" t="n"/>
      <c r="AI374" s="215" t="n"/>
      <c r="AJ374" s="215" t="n"/>
      <c r="AK374" s="216" t="n"/>
    </row>
    <row r="375" ht="15" customHeight="1">
      <c r="B375" s="134" t="n"/>
      <c r="C375" s="105" t="n"/>
      <c r="D375" s="105" t="n"/>
      <c r="E375" s="105" t="n"/>
      <c r="F375" s="105" t="n"/>
      <c r="G375" s="105" t="n"/>
      <c r="H375" s="2" t="n"/>
      <c r="I375" s="105" t="n"/>
      <c r="K375" s="215" t="n"/>
      <c r="L375" s="215" t="n"/>
      <c r="M375" s="215" t="n"/>
      <c r="N375" s="215" t="n"/>
      <c r="O375" s="215" t="n"/>
      <c r="P375" s="215" t="n"/>
      <c r="Q375" s="215" t="n"/>
      <c r="R375" s="215" t="n"/>
      <c r="S375" s="215" t="n"/>
      <c r="T375" s="215" t="n"/>
      <c r="U375" s="215" t="n"/>
      <c r="V375" s="215" t="n"/>
      <c r="W375" s="215" t="n"/>
      <c r="X375" s="215" t="n"/>
      <c r="Y375" s="215" t="n"/>
      <c r="Z375" s="215" t="n"/>
      <c r="AA375" s="215" t="n"/>
      <c r="AB375" s="215" t="n"/>
      <c r="AC375" s="215" t="n"/>
      <c r="AD375" s="215" t="n"/>
      <c r="AE375" s="215" t="n"/>
      <c r="AF375" s="215" t="n"/>
      <c r="AG375" s="215" t="n"/>
      <c r="AH375" s="215" t="n"/>
      <c r="AI375" s="215" t="n"/>
      <c r="AJ375" s="215" t="n"/>
      <c r="AK375" s="216" t="n"/>
    </row>
    <row r="376" ht="15" customHeight="1">
      <c r="B376" s="134" t="n"/>
      <c r="C376" s="105" t="n"/>
      <c r="D376" s="105" t="n"/>
      <c r="E376" s="105" t="n"/>
      <c r="F376" s="105" t="n"/>
      <c r="G376" s="105" t="n"/>
      <c r="H376" s="2" t="n"/>
      <c r="I376" s="105" t="n"/>
      <c r="K376" s="215" t="n"/>
      <c r="L376" s="215" t="n"/>
      <c r="M376" s="215" t="n"/>
      <c r="N376" s="215" t="n"/>
      <c r="O376" s="215" t="n"/>
      <c r="P376" s="215" t="n"/>
      <c r="Q376" s="215" t="n"/>
      <c r="R376" s="215" t="n"/>
      <c r="S376" s="215" t="n"/>
      <c r="T376" s="215" t="n"/>
      <c r="U376" s="215" t="n"/>
      <c r="V376" s="215" t="n"/>
      <c r="W376" s="215" t="n"/>
      <c r="X376" s="215" t="n"/>
      <c r="Y376" s="215" t="n"/>
      <c r="Z376" s="215" t="n"/>
      <c r="AA376" s="215" t="n"/>
      <c r="AB376" s="215" t="n"/>
      <c r="AC376" s="215" t="n"/>
      <c r="AD376" s="215" t="n"/>
      <c r="AE376" s="215" t="n"/>
      <c r="AF376" s="215" t="n"/>
      <c r="AG376" s="215" t="n"/>
      <c r="AH376" s="215" t="n"/>
      <c r="AI376" s="215" t="n"/>
      <c r="AJ376" s="215" t="n"/>
      <c r="AK376" s="216" t="n"/>
    </row>
    <row r="377" ht="15" customHeight="1">
      <c r="B377" s="134" t="n"/>
      <c r="C377" s="105" t="n"/>
      <c r="D377" s="105" t="n"/>
      <c r="E377" s="105" t="n"/>
      <c r="F377" s="105" t="n"/>
      <c r="G377" s="105" t="n"/>
      <c r="H377" s="2" t="n"/>
      <c r="I377" s="105" t="n"/>
      <c r="K377" s="215" t="n"/>
      <c r="L377" s="215" t="n"/>
      <c r="M377" s="215" t="n"/>
      <c r="N377" s="215" t="n"/>
      <c r="O377" s="215" t="n"/>
      <c r="P377" s="215" t="n"/>
      <c r="Q377" s="215" t="n"/>
      <c r="R377" s="215" t="n"/>
      <c r="S377" s="215" t="n"/>
      <c r="T377" s="215" t="n"/>
      <c r="U377" s="215" t="n"/>
      <c r="V377" s="215" t="n"/>
      <c r="W377" s="215" t="n"/>
      <c r="X377" s="215" t="n"/>
      <c r="Y377" s="215" t="n"/>
      <c r="Z377" s="215" t="n"/>
      <c r="AA377" s="215" t="n"/>
      <c r="AB377" s="215" t="n"/>
      <c r="AC377" s="215" t="n"/>
      <c r="AD377" s="215" t="n"/>
      <c r="AE377" s="215" t="n"/>
      <c r="AF377" s="215" t="n"/>
      <c r="AG377" s="215" t="n"/>
      <c r="AH377" s="215" t="n"/>
      <c r="AI377" s="215" t="n"/>
      <c r="AJ377" s="215" t="n"/>
      <c r="AK377" s="216" t="n"/>
    </row>
    <row r="378" ht="15" customHeight="1">
      <c r="B378" s="134" t="n"/>
      <c r="C378" s="105" t="n"/>
      <c r="D378" s="105" t="n"/>
      <c r="E378" s="105" t="n"/>
      <c r="F378" s="105" t="n"/>
      <c r="G378" s="105" t="n"/>
      <c r="H378" s="2" t="n"/>
      <c r="I378" s="105" t="n"/>
      <c r="K378" s="215" t="n"/>
      <c r="L378" s="215" t="n"/>
      <c r="M378" s="215" t="n"/>
      <c r="N378" s="215" t="n"/>
      <c r="O378" s="215" t="n"/>
      <c r="P378" s="215" t="n"/>
      <c r="Q378" s="215" t="n"/>
      <c r="R378" s="215" t="n"/>
      <c r="S378" s="215" t="n"/>
      <c r="T378" s="215" t="n"/>
      <c r="U378" s="215" t="n"/>
      <c r="V378" s="215" t="n"/>
      <c r="W378" s="215" t="n"/>
      <c r="X378" s="215" t="n"/>
      <c r="Y378" s="215" t="n"/>
      <c r="Z378" s="215" t="n"/>
      <c r="AA378" s="215" t="n"/>
      <c r="AB378" s="215" t="n"/>
      <c r="AC378" s="215" t="n"/>
      <c r="AD378" s="215" t="n"/>
      <c r="AE378" s="215" t="n"/>
      <c r="AF378" s="215" t="n"/>
      <c r="AG378" s="215" t="n"/>
      <c r="AH378" s="215" t="n"/>
      <c r="AI378" s="215" t="n"/>
      <c r="AJ378" s="215" t="n"/>
      <c r="AK378" s="216" t="n"/>
    </row>
    <row r="379" ht="15" customHeight="1">
      <c r="B379" s="134" t="n"/>
      <c r="C379" s="105" t="n"/>
      <c r="D379" s="105" t="n"/>
      <c r="E379" s="105" t="n"/>
      <c r="F379" s="105" t="n"/>
      <c r="G379" s="105" t="n"/>
      <c r="H379" s="2" t="n"/>
      <c r="I379" s="105" t="n"/>
      <c r="K379" s="215" t="n"/>
      <c r="L379" s="215" t="n"/>
      <c r="M379" s="215" t="n"/>
      <c r="N379" s="215" t="n"/>
      <c r="O379" s="215" t="n"/>
      <c r="P379" s="215" t="n"/>
      <c r="Q379" s="215" t="n"/>
      <c r="R379" s="215" t="n"/>
      <c r="S379" s="215" t="n"/>
      <c r="T379" s="215" t="n"/>
      <c r="U379" s="215" t="n"/>
      <c r="V379" s="215" t="n"/>
      <c r="W379" s="215" t="n"/>
      <c r="X379" s="215" t="n"/>
      <c r="Y379" s="215" t="n"/>
      <c r="Z379" s="215" t="n"/>
      <c r="AA379" s="215" t="n"/>
      <c r="AB379" s="215" t="n"/>
      <c r="AC379" s="215" t="n"/>
      <c r="AD379" s="215" t="n"/>
      <c r="AE379" s="215" t="n"/>
      <c r="AF379" s="215" t="n"/>
      <c r="AG379" s="215" t="n"/>
      <c r="AH379" s="215" t="n"/>
      <c r="AI379" s="215" t="n"/>
      <c r="AJ379" s="215" t="n"/>
      <c r="AK379" s="216" t="n"/>
    </row>
    <row r="380" ht="15" customHeight="1">
      <c r="B380" s="134" t="n"/>
      <c r="C380" s="105" t="n"/>
      <c r="D380" s="105" t="n"/>
      <c r="E380" s="105" t="n"/>
      <c r="F380" s="105" t="n"/>
      <c r="G380" s="105" t="n"/>
      <c r="H380" s="2" t="n"/>
      <c r="I380" s="105" t="n"/>
      <c r="K380" s="215" t="n"/>
      <c r="L380" s="215" t="n"/>
      <c r="M380" s="215" t="n"/>
      <c r="N380" s="215" t="n"/>
      <c r="O380" s="215" t="n"/>
      <c r="P380" s="215" t="n"/>
      <c r="Q380" s="215" t="n"/>
      <c r="R380" s="215" t="n"/>
      <c r="S380" s="215" t="n"/>
      <c r="T380" s="215" t="n"/>
      <c r="U380" s="215" t="n"/>
      <c r="V380" s="215" t="n"/>
      <c r="W380" s="215" t="n"/>
      <c r="X380" s="215" t="n"/>
      <c r="Y380" s="215" t="n"/>
      <c r="Z380" s="215" t="n"/>
      <c r="AA380" s="215" t="n"/>
      <c r="AB380" s="215" t="n"/>
      <c r="AC380" s="215" t="n"/>
      <c r="AD380" s="215" t="n"/>
      <c r="AE380" s="215" t="n"/>
      <c r="AF380" s="215" t="n"/>
      <c r="AG380" s="215" t="n"/>
      <c r="AH380" s="215" t="n"/>
      <c r="AI380" s="215" t="n"/>
      <c r="AJ380" s="215" t="n"/>
      <c r="AK380" s="216" t="n"/>
    </row>
    <row r="381" ht="15" customHeight="1">
      <c r="B381" s="134" t="n"/>
      <c r="C381" s="105" t="n"/>
      <c r="D381" s="105" t="n"/>
      <c r="E381" s="105" t="n"/>
      <c r="F381" s="105" t="n"/>
      <c r="G381" s="105" t="n"/>
      <c r="H381" s="2" t="n"/>
      <c r="I381" s="105" t="n"/>
      <c r="K381" s="215" t="n"/>
      <c r="L381" s="215" t="n"/>
      <c r="M381" s="215" t="n"/>
      <c r="N381" s="215" t="n"/>
      <c r="O381" s="215" t="n"/>
      <c r="P381" s="215" t="n"/>
      <c r="Q381" s="215" t="n"/>
      <c r="R381" s="215" t="n"/>
      <c r="S381" s="215" t="n"/>
      <c r="T381" s="215" t="n"/>
      <c r="U381" s="215" t="n"/>
      <c r="V381" s="215" t="n"/>
      <c r="W381" s="215" t="n"/>
      <c r="X381" s="215" t="n"/>
      <c r="Y381" s="215" t="n"/>
      <c r="Z381" s="215" t="n"/>
      <c r="AA381" s="215" t="n"/>
      <c r="AB381" s="215" t="n"/>
      <c r="AC381" s="215" t="n"/>
      <c r="AD381" s="215" t="n"/>
      <c r="AE381" s="215" t="n"/>
      <c r="AF381" s="215" t="n"/>
      <c r="AG381" s="215" t="n"/>
      <c r="AH381" s="215" t="n"/>
      <c r="AI381" s="215" t="n"/>
      <c r="AJ381" s="215" t="n"/>
      <c r="AK381" s="216" t="n"/>
    </row>
    <row r="382" ht="15" customHeight="1">
      <c r="B382" s="134" t="n"/>
      <c r="C382" s="105" t="n"/>
      <c r="D382" s="105" t="n"/>
      <c r="E382" s="105" t="n"/>
      <c r="F382" s="105" t="n"/>
      <c r="G382" s="105" t="n"/>
      <c r="H382" s="2" t="n"/>
      <c r="I382" s="105" t="n"/>
      <c r="K382" s="215" t="n"/>
      <c r="L382" s="215" t="n"/>
      <c r="M382" s="215" t="n"/>
      <c r="N382" s="215" t="n"/>
      <c r="O382" s="215" t="n"/>
      <c r="P382" s="215" t="n"/>
      <c r="Q382" s="215" t="n"/>
      <c r="R382" s="215" t="n"/>
      <c r="S382" s="215" t="n"/>
      <c r="T382" s="215" t="n"/>
      <c r="U382" s="215" t="n"/>
      <c r="V382" s="215" t="n"/>
      <c r="W382" s="215" t="n"/>
      <c r="X382" s="215" t="n"/>
      <c r="Y382" s="215" t="n"/>
      <c r="Z382" s="215" t="n"/>
      <c r="AA382" s="215" t="n"/>
      <c r="AB382" s="215" t="n"/>
      <c r="AC382" s="215" t="n"/>
      <c r="AD382" s="215" t="n"/>
      <c r="AE382" s="215" t="n"/>
      <c r="AF382" s="215" t="n"/>
      <c r="AG382" s="215" t="n"/>
      <c r="AH382" s="215" t="n"/>
      <c r="AI382" s="215" t="n"/>
      <c r="AJ382" s="215" t="n"/>
      <c r="AK382" s="216" t="n"/>
    </row>
    <row r="383" ht="15" customHeight="1">
      <c r="B383" s="134" t="n"/>
      <c r="C383" s="105" t="n"/>
      <c r="D383" s="105" t="n"/>
      <c r="E383" s="105" t="n"/>
      <c r="F383" s="105" t="n"/>
      <c r="G383" s="105" t="n"/>
      <c r="H383" s="2" t="n"/>
      <c r="I383" s="105" t="n"/>
      <c r="K383" s="215" t="n"/>
      <c r="L383" s="215" t="n"/>
      <c r="M383" s="215" t="n"/>
      <c r="N383" s="215" t="n"/>
      <c r="O383" s="215" t="n"/>
      <c r="P383" s="215" t="n"/>
      <c r="Q383" s="215" t="n"/>
      <c r="R383" s="215" t="n"/>
      <c r="S383" s="215" t="n"/>
      <c r="T383" s="215" t="n"/>
      <c r="U383" s="215" t="n"/>
      <c r="V383" s="215" t="n"/>
      <c r="W383" s="215" t="n"/>
      <c r="X383" s="215" t="n"/>
      <c r="Y383" s="215" t="n"/>
      <c r="Z383" s="215" t="n"/>
      <c r="AA383" s="215" t="n"/>
      <c r="AB383" s="215" t="n"/>
      <c r="AC383" s="215" t="n"/>
      <c r="AD383" s="215" t="n"/>
      <c r="AE383" s="215" t="n"/>
      <c r="AF383" s="215" t="n"/>
      <c r="AG383" s="215" t="n"/>
      <c r="AH383" s="215" t="n"/>
      <c r="AI383" s="215" t="n"/>
      <c r="AJ383" s="215" t="n"/>
      <c r="AK383" s="216" t="n"/>
    </row>
    <row r="384" ht="15" customHeight="1">
      <c r="B384" s="134" t="n"/>
      <c r="C384" s="105" t="n"/>
      <c r="D384" s="105" t="n"/>
      <c r="E384" s="105" t="n"/>
      <c r="F384" s="105" t="n"/>
      <c r="G384" s="105" t="n"/>
      <c r="H384" s="2" t="n"/>
      <c r="I384" s="105" t="n"/>
      <c r="K384" s="215" t="n"/>
      <c r="L384" s="215" t="n"/>
      <c r="M384" s="215" t="n"/>
      <c r="N384" s="215" t="n"/>
      <c r="O384" s="215" t="n"/>
      <c r="P384" s="215" t="n"/>
      <c r="Q384" s="215" t="n"/>
      <c r="R384" s="215" t="n"/>
      <c r="S384" s="215" t="n"/>
      <c r="T384" s="215" t="n"/>
      <c r="U384" s="215" t="n"/>
      <c r="V384" s="215" t="n"/>
      <c r="W384" s="215" t="n"/>
      <c r="X384" s="215" t="n"/>
      <c r="Y384" s="215" t="n"/>
      <c r="Z384" s="215" t="n"/>
      <c r="AA384" s="215" t="n"/>
      <c r="AB384" s="215" t="n"/>
      <c r="AC384" s="215" t="n"/>
      <c r="AD384" s="215" t="n"/>
      <c r="AE384" s="215" t="n"/>
      <c r="AF384" s="215" t="n"/>
      <c r="AG384" s="215" t="n"/>
      <c r="AH384" s="215" t="n"/>
      <c r="AI384" s="215" t="n"/>
      <c r="AJ384" s="215" t="n"/>
      <c r="AK384" s="216" t="n"/>
    </row>
    <row r="385" ht="15" customHeight="1">
      <c r="B385" s="134" t="n"/>
      <c r="C385" s="105" t="n"/>
      <c r="D385" s="105" t="n"/>
      <c r="E385" s="105" t="n"/>
      <c r="F385" s="105" t="n"/>
      <c r="G385" s="105" t="n"/>
      <c r="H385" s="2" t="n"/>
      <c r="I385" s="105" t="n"/>
      <c r="K385" s="215" t="n"/>
      <c r="L385" s="215" t="n"/>
      <c r="M385" s="215" t="n"/>
      <c r="N385" s="215" t="n"/>
      <c r="O385" s="215" t="n"/>
      <c r="P385" s="215" t="n"/>
      <c r="Q385" s="215" t="n"/>
      <c r="R385" s="215" t="n"/>
      <c r="S385" s="215" t="n"/>
      <c r="T385" s="215" t="n"/>
      <c r="U385" s="215" t="n"/>
      <c r="V385" s="215" t="n"/>
      <c r="W385" s="215" t="n"/>
      <c r="X385" s="215" t="n"/>
      <c r="Y385" s="215" t="n"/>
      <c r="Z385" s="215" t="n"/>
      <c r="AA385" s="215" t="n"/>
      <c r="AB385" s="215" t="n"/>
      <c r="AC385" s="215" t="n"/>
      <c r="AD385" s="215" t="n"/>
      <c r="AE385" s="215" t="n"/>
      <c r="AF385" s="215" t="n"/>
      <c r="AG385" s="215" t="n"/>
      <c r="AH385" s="215" t="n"/>
      <c r="AI385" s="215" t="n"/>
      <c r="AJ385" s="215" t="n"/>
      <c r="AK385" s="216" t="n"/>
    </row>
    <row r="386" ht="15" customHeight="1">
      <c r="B386" s="134" t="n"/>
      <c r="C386" s="105" t="n"/>
      <c r="D386" s="105" t="n"/>
      <c r="E386" s="105" t="n"/>
      <c r="F386" s="105" t="n"/>
      <c r="G386" s="105" t="n"/>
      <c r="H386" s="2" t="n"/>
      <c r="I386" s="105" t="n"/>
      <c r="K386" s="215" t="n"/>
      <c r="L386" s="215" t="n"/>
      <c r="M386" s="215" t="n"/>
      <c r="N386" s="215" t="n"/>
      <c r="O386" s="215" t="n"/>
      <c r="P386" s="215" t="n"/>
      <c r="Q386" s="215" t="n"/>
      <c r="R386" s="215" t="n"/>
      <c r="S386" s="215" t="n"/>
      <c r="T386" s="215" t="n"/>
      <c r="U386" s="215" t="n"/>
      <c r="V386" s="215" t="n"/>
      <c r="W386" s="215" t="n"/>
      <c r="X386" s="215" t="n"/>
      <c r="Y386" s="215" t="n"/>
      <c r="Z386" s="215" t="n"/>
      <c r="AA386" s="215" t="n"/>
      <c r="AB386" s="215" t="n"/>
      <c r="AC386" s="215" t="n"/>
      <c r="AD386" s="215" t="n"/>
      <c r="AE386" s="215" t="n"/>
      <c r="AF386" s="215" t="n"/>
      <c r="AG386" s="215" t="n"/>
      <c r="AH386" s="215" t="n"/>
      <c r="AI386" s="215" t="n"/>
      <c r="AJ386" s="215" t="n"/>
      <c r="AK386" s="216" t="n"/>
    </row>
    <row r="387" ht="15" customHeight="1">
      <c r="B387" s="134" t="n"/>
      <c r="C387" s="105" t="n"/>
      <c r="D387" s="105" t="n"/>
      <c r="E387" s="105" t="n"/>
      <c r="F387" s="105" t="n"/>
      <c r="G387" s="105" t="n"/>
      <c r="H387" s="2" t="n"/>
      <c r="I387" s="105" t="n"/>
      <c r="K387" s="215" t="n"/>
      <c r="L387" s="215" t="n"/>
      <c r="M387" s="215" t="n"/>
      <c r="N387" s="215" t="n"/>
      <c r="O387" s="215" t="n"/>
      <c r="P387" s="215" t="n"/>
      <c r="Q387" s="215" t="n"/>
      <c r="R387" s="215" t="n"/>
      <c r="S387" s="215" t="n"/>
      <c r="T387" s="215" t="n"/>
      <c r="U387" s="215" t="n"/>
      <c r="V387" s="215" t="n"/>
      <c r="W387" s="215" t="n"/>
      <c r="X387" s="215" t="n"/>
      <c r="Y387" s="215" t="n"/>
      <c r="Z387" s="215" t="n"/>
      <c r="AA387" s="215" t="n"/>
      <c r="AB387" s="215" t="n"/>
      <c r="AC387" s="215" t="n"/>
      <c r="AD387" s="215" t="n"/>
      <c r="AE387" s="215" t="n"/>
      <c r="AF387" s="215" t="n"/>
      <c r="AG387" s="215" t="n"/>
      <c r="AH387" s="215" t="n"/>
      <c r="AI387" s="215" t="n"/>
      <c r="AJ387" s="215" t="n"/>
      <c r="AK387" s="216" t="n"/>
    </row>
    <row r="388" ht="15" customHeight="1">
      <c r="B388" s="134" t="n"/>
      <c r="C388" s="105" t="n"/>
      <c r="D388" s="105" t="n"/>
      <c r="E388" s="105" t="n"/>
      <c r="F388" s="105" t="n"/>
      <c r="G388" s="105" t="n"/>
      <c r="H388" s="2" t="n"/>
      <c r="I388" s="105" t="n"/>
      <c r="K388" s="215" t="n"/>
      <c r="L388" s="215" t="n"/>
      <c r="M388" s="215" t="n"/>
      <c r="N388" s="215" t="n"/>
      <c r="O388" s="215" t="n"/>
      <c r="P388" s="215" t="n"/>
      <c r="Q388" s="215" t="n"/>
      <c r="R388" s="215" t="n"/>
      <c r="S388" s="215" t="n"/>
      <c r="T388" s="215" t="n"/>
      <c r="U388" s="215" t="n"/>
      <c r="V388" s="215" t="n"/>
      <c r="W388" s="215" t="n"/>
      <c r="X388" s="215" t="n"/>
      <c r="Y388" s="215" t="n"/>
      <c r="Z388" s="215" t="n"/>
      <c r="AA388" s="215" t="n"/>
      <c r="AB388" s="215" t="n"/>
      <c r="AC388" s="215" t="n"/>
      <c r="AD388" s="215" t="n"/>
      <c r="AE388" s="215" t="n"/>
      <c r="AF388" s="215" t="n"/>
      <c r="AG388" s="215" t="n"/>
      <c r="AH388" s="215" t="n"/>
      <c r="AI388" s="215" t="n"/>
      <c r="AJ388" s="215" t="n"/>
      <c r="AK388" s="216" t="n"/>
    </row>
    <row r="389" ht="15" customHeight="1">
      <c r="B389" s="134" t="n"/>
      <c r="C389" s="105" t="n"/>
      <c r="D389" s="105" t="n"/>
      <c r="E389" s="105" t="n"/>
      <c r="F389" s="105" t="n"/>
      <c r="G389" s="105" t="n"/>
      <c r="H389" s="2" t="n"/>
      <c r="I389" s="105" t="n"/>
      <c r="K389" s="215" t="n"/>
      <c r="L389" s="215" t="n"/>
      <c r="M389" s="215" t="n"/>
      <c r="N389" s="215" t="n"/>
      <c r="O389" s="215" t="n"/>
      <c r="P389" s="215" t="n"/>
      <c r="Q389" s="215" t="n"/>
      <c r="R389" s="215" t="n"/>
      <c r="S389" s="215" t="n"/>
      <c r="T389" s="215" t="n"/>
      <c r="U389" s="215" t="n"/>
      <c r="V389" s="215" t="n"/>
      <c r="W389" s="215" t="n"/>
      <c r="X389" s="215" t="n"/>
      <c r="Y389" s="215" t="n"/>
      <c r="Z389" s="215" t="n"/>
      <c r="AA389" s="215" t="n"/>
      <c r="AB389" s="215" t="n"/>
      <c r="AC389" s="215" t="n"/>
      <c r="AD389" s="215" t="n"/>
      <c r="AE389" s="215" t="n"/>
      <c r="AF389" s="215" t="n"/>
      <c r="AG389" s="215" t="n"/>
      <c r="AH389" s="215" t="n"/>
      <c r="AI389" s="215" t="n"/>
      <c r="AJ389" s="215" t="n"/>
      <c r="AK389" s="216" t="n"/>
    </row>
    <row r="390" ht="15" customHeight="1">
      <c r="B390" s="134" t="n"/>
      <c r="C390" s="105" t="n"/>
      <c r="D390" s="105" t="n"/>
      <c r="E390" s="105" t="n"/>
      <c r="F390" s="105" t="n"/>
      <c r="G390" s="105" t="n"/>
      <c r="H390" s="2" t="n"/>
      <c r="I390" s="105" t="n"/>
      <c r="K390" s="215" t="n"/>
      <c r="L390" s="215" t="n"/>
      <c r="M390" s="215" t="n"/>
      <c r="N390" s="215" t="n"/>
      <c r="O390" s="215" t="n"/>
      <c r="P390" s="215" t="n"/>
      <c r="Q390" s="215" t="n"/>
      <c r="R390" s="215" t="n"/>
      <c r="S390" s="215" t="n"/>
      <c r="T390" s="215" t="n"/>
      <c r="U390" s="215" t="n"/>
      <c r="V390" s="215" t="n"/>
      <c r="W390" s="215" t="n"/>
      <c r="X390" s="215" t="n"/>
      <c r="Y390" s="215" t="n"/>
      <c r="Z390" s="215" t="n"/>
      <c r="AA390" s="215" t="n"/>
      <c r="AB390" s="215" t="n"/>
      <c r="AC390" s="215" t="n"/>
      <c r="AD390" s="215" t="n"/>
      <c r="AE390" s="215" t="n"/>
      <c r="AF390" s="215" t="n"/>
      <c r="AG390" s="215" t="n"/>
      <c r="AH390" s="215" t="n"/>
      <c r="AI390" s="215" t="n"/>
      <c r="AJ390" s="215" t="n"/>
      <c r="AK390" s="216" t="n"/>
    </row>
    <row r="391" ht="15" customHeight="1">
      <c r="B391" s="134" t="n"/>
      <c r="C391" s="105" t="n"/>
      <c r="D391" s="105" t="n"/>
      <c r="E391" s="105" t="n"/>
      <c r="F391" s="105" t="n"/>
      <c r="G391" s="105" t="n"/>
      <c r="H391" s="2" t="n"/>
      <c r="I391" s="105" t="n"/>
      <c r="K391" s="215" t="n"/>
      <c r="L391" s="215" t="n"/>
      <c r="M391" s="215" t="n"/>
      <c r="N391" s="215" t="n"/>
      <c r="O391" s="215" t="n"/>
      <c r="P391" s="215" t="n"/>
      <c r="Q391" s="215" t="n"/>
      <c r="R391" s="215" t="n"/>
      <c r="S391" s="215" t="n"/>
      <c r="T391" s="215" t="n"/>
      <c r="U391" s="215" t="n"/>
      <c r="V391" s="215" t="n"/>
      <c r="W391" s="215" t="n"/>
      <c r="X391" s="215" t="n"/>
      <c r="Y391" s="215" t="n"/>
      <c r="Z391" s="215" t="n"/>
      <c r="AA391" s="215" t="n"/>
      <c r="AB391" s="215" t="n"/>
      <c r="AC391" s="215" t="n"/>
      <c r="AD391" s="215" t="n"/>
      <c r="AE391" s="215" t="n"/>
      <c r="AF391" s="215" t="n"/>
      <c r="AG391" s="215" t="n"/>
      <c r="AH391" s="215" t="n"/>
      <c r="AI391" s="215" t="n"/>
      <c r="AJ391" s="215" t="n"/>
      <c r="AK391" s="216" t="n"/>
    </row>
    <row r="392" ht="15" customHeight="1">
      <c r="B392" s="134" t="n"/>
      <c r="C392" s="105" t="n"/>
      <c r="D392" s="105" t="n"/>
      <c r="E392" s="105" t="n"/>
      <c r="F392" s="105" t="n"/>
      <c r="G392" s="105" t="n"/>
      <c r="H392" s="2" t="n"/>
      <c r="I392" s="105" t="n"/>
      <c r="K392" s="215" t="n"/>
      <c r="L392" s="215" t="n"/>
      <c r="M392" s="215" t="n"/>
      <c r="N392" s="215" t="n"/>
      <c r="O392" s="215" t="n"/>
      <c r="P392" s="215" t="n"/>
      <c r="Q392" s="215" t="n"/>
      <c r="R392" s="215" t="n"/>
      <c r="S392" s="215" t="n"/>
      <c r="T392" s="215" t="n"/>
      <c r="U392" s="215" t="n"/>
      <c r="V392" s="215" t="n"/>
      <c r="W392" s="215" t="n"/>
      <c r="X392" s="215" t="n"/>
      <c r="Y392" s="215" t="n"/>
      <c r="Z392" s="215" t="n"/>
      <c r="AA392" s="215" t="n"/>
      <c r="AB392" s="215" t="n"/>
      <c r="AC392" s="215" t="n"/>
      <c r="AD392" s="215" t="n"/>
      <c r="AE392" s="215" t="n"/>
      <c r="AF392" s="215" t="n"/>
      <c r="AG392" s="215" t="n"/>
      <c r="AH392" s="215" t="n"/>
      <c r="AI392" s="215" t="n"/>
      <c r="AJ392" s="215" t="n"/>
      <c r="AK392" s="216" t="n"/>
    </row>
    <row r="393" ht="15" customHeight="1">
      <c r="B393" s="134" t="n"/>
      <c r="C393" s="105" t="n"/>
      <c r="D393" s="105" t="n"/>
      <c r="E393" s="105" t="n"/>
      <c r="F393" s="105" t="n"/>
      <c r="G393" s="105" t="n"/>
      <c r="H393" s="2" t="n"/>
      <c r="I393" s="105" t="n"/>
      <c r="K393" s="215" t="n"/>
      <c r="L393" s="215" t="n"/>
      <c r="M393" s="215" t="n"/>
      <c r="N393" s="215" t="n"/>
      <c r="O393" s="215" t="n"/>
      <c r="P393" s="215" t="n"/>
      <c r="Q393" s="215" t="n"/>
      <c r="R393" s="215" t="n"/>
      <c r="S393" s="215" t="n"/>
      <c r="T393" s="215" t="n"/>
      <c r="U393" s="215" t="n"/>
      <c r="V393" s="215" t="n"/>
      <c r="W393" s="215" t="n"/>
      <c r="X393" s="215" t="n"/>
      <c r="Y393" s="215" t="n"/>
      <c r="Z393" s="215" t="n"/>
      <c r="AA393" s="215" t="n"/>
      <c r="AB393" s="215" t="n"/>
      <c r="AC393" s="215" t="n"/>
      <c r="AD393" s="215" t="n"/>
      <c r="AE393" s="215" t="n"/>
      <c r="AF393" s="215" t="n"/>
      <c r="AG393" s="215" t="n"/>
      <c r="AH393" s="215" t="n"/>
      <c r="AI393" s="215" t="n"/>
      <c r="AJ393" s="215" t="n"/>
      <c r="AK393" s="216" t="n"/>
    </row>
    <row r="394" ht="15" customHeight="1">
      <c r="B394" s="134" t="n"/>
      <c r="C394" s="105" t="n"/>
      <c r="D394" s="105" t="n"/>
      <c r="E394" s="105" t="n"/>
      <c r="F394" s="105" t="n"/>
      <c r="G394" s="105" t="n"/>
      <c r="H394" s="2" t="n"/>
      <c r="I394" s="105" t="n"/>
      <c r="K394" s="215" t="n"/>
      <c r="L394" s="215" t="n"/>
      <c r="M394" s="215" t="n"/>
      <c r="N394" s="215" t="n"/>
      <c r="O394" s="215" t="n"/>
      <c r="P394" s="215" t="n"/>
      <c r="Q394" s="215" t="n"/>
      <c r="R394" s="215" t="n"/>
      <c r="S394" s="215" t="n"/>
      <c r="T394" s="215" t="n"/>
      <c r="U394" s="215" t="n"/>
      <c r="V394" s="215" t="n"/>
      <c r="W394" s="215" t="n"/>
      <c r="X394" s="215" t="n"/>
      <c r="Y394" s="215" t="n"/>
      <c r="Z394" s="215" t="n"/>
      <c r="AA394" s="215" t="n"/>
      <c r="AB394" s="215" t="n"/>
      <c r="AC394" s="215" t="n"/>
      <c r="AD394" s="215" t="n"/>
      <c r="AE394" s="215" t="n"/>
      <c r="AF394" s="215" t="n"/>
      <c r="AG394" s="215" t="n"/>
      <c r="AH394" s="215" t="n"/>
      <c r="AI394" s="215" t="n"/>
      <c r="AJ394" s="215" t="n"/>
      <c r="AK394" s="216" t="n"/>
    </row>
    <row r="395" ht="15" customHeight="1">
      <c r="B395" s="134" t="n"/>
      <c r="C395" s="105" t="n"/>
      <c r="D395" s="105" t="n"/>
      <c r="E395" s="105" t="n"/>
      <c r="F395" s="105" t="n"/>
      <c r="G395" s="105" t="n"/>
      <c r="H395" s="2" t="n"/>
      <c r="I395" s="105" t="n"/>
      <c r="K395" s="215" t="n"/>
      <c r="L395" s="215" t="n"/>
      <c r="M395" s="215" t="n"/>
      <c r="N395" s="215" t="n"/>
      <c r="O395" s="215" t="n"/>
      <c r="P395" s="215" t="n"/>
      <c r="Q395" s="215" t="n"/>
      <c r="R395" s="215" t="n"/>
      <c r="S395" s="215" t="n"/>
      <c r="T395" s="215" t="n"/>
      <c r="U395" s="215" t="n"/>
      <c r="V395" s="215" t="n"/>
      <c r="W395" s="215" t="n"/>
      <c r="X395" s="215" t="n"/>
      <c r="Y395" s="215" t="n"/>
      <c r="Z395" s="215" t="n"/>
      <c r="AA395" s="215" t="n"/>
      <c r="AB395" s="215" t="n"/>
      <c r="AC395" s="215" t="n"/>
      <c r="AD395" s="215" t="n"/>
      <c r="AE395" s="215" t="n"/>
      <c r="AF395" s="215" t="n"/>
      <c r="AG395" s="215" t="n"/>
      <c r="AH395" s="215" t="n"/>
      <c r="AI395" s="215" t="n"/>
      <c r="AJ395" s="215" t="n"/>
      <c r="AK395" s="216" t="n"/>
    </row>
    <row r="396" ht="15" customHeight="1">
      <c r="B396" s="134" t="n"/>
      <c r="C396" s="105" t="n"/>
      <c r="D396" s="105" t="n"/>
      <c r="E396" s="105" t="n"/>
      <c r="F396" s="105" t="n"/>
      <c r="G396" s="105" t="n"/>
      <c r="H396" s="2" t="n"/>
      <c r="I396" s="105" t="n"/>
      <c r="K396" s="215" t="n"/>
      <c r="L396" s="215" t="n"/>
      <c r="M396" s="215" t="n"/>
      <c r="N396" s="215" t="n"/>
      <c r="O396" s="215" t="n"/>
      <c r="P396" s="215" t="n"/>
      <c r="Q396" s="215" t="n"/>
      <c r="R396" s="215" t="n"/>
      <c r="S396" s="215" t="n"/>
      <c r="T396" s="215" t="n"/>
      <c r="U396" s="215" t="n"/>
      <c r="V396" s="215" t="n"/>
      <c r="W396" s="215" t="n"/>
      <c r="X396" s="215" t="n"/>
      <c r="Y396" s="215" t="n"/>
      <c r="Z396" s="215" t="n"/>
      <c r="AA396" s="215" t="n"/>
      <c r="AB396" s="215" t="n"/>
      <c r="AC396" s="215" t="n"/>
      <c r="AD396" s="215" t="n"/>
      <c r="AE396" s="215" t="n"/>
      <c r="AF396" s="215" t="n"/>
      <c r="AG396" s="215" t="n"/>
      <c r="AH396" s="215" t="n"/>
      <c r="AI396" s="215" t="n"/>
      <c r="AJ396" s="215" t="n"/>
      <c r="AK396" s="216" t="n"/>
    </row>
    <row r="397" ht="15" customHeight="1">
      <c r="B397" s="134" t="n"/>
      <c r="C397" s="105" t="n"/>
      <c r="D397" s="105" t="n"/>
      <c r="E397" s="105" t="n"/>
      <c r="F397" s="105" t="n"/>
      <c r="G397" s="105" t="n"/>
      <c r="H397" s="2" t="n"/>
      <c r="I397" s="105" t="n"/>
      <c r="K397" s="215" t="n"/>
      <c r="L397" s="215" t="n"/>
      <c r="M397" s="215" t="n"/>
      <c r="N397" s="215" t="n"/>
      <c r="O397" s="215" t="n"/>
      <c r="P397" s="215" t="n"/>
      <c r="Q397" s="215" t="n"/>
      <c r="R397" s="215" t="n"/>
      <c r="S397" s="215" t="n"/>
      <c r="T397" s="215" t="n"/>
      <c r="U397" s="215" t="n"/>
      <c r="V397" s="215" t="n"/>
      <c r="W397" s="215" t="n"/>
      <c r="X397" s="215" t="n"/>
      <c r="Y397" s="215" t="n"/>
      <c r="Z397" s="215" t="n"/>
      <c r="AA397" s="215" t="n"/>
      <c r="AB397" s="215" t="n"/>
      <c r="AC397" s="215" t="n"/>
      <c r="AD397" s="215" t="n"/>
      <c r="AE397" s="215" t="n"/>
      <c r="AF397" s="215" t="n"/>
      <c r="AG397" s="215" t="n"/>
      <c r="AH397" s="215" t="n"/>
      <c r="AI397" s="215" t="n"/>
      <c r="AJ397" s="215" t="n"/>
      <c r="AK397" s="216" t="n"/>
    </row>
    <row r="398" ht="15" customHeight="1">
      <c r="B398" s="134" t="n"/>
      <c r="C398" s="105" t="n"/>
      <c r="D398" s="105" t="n"/>
      <c r="E398" s="105" t="n"/>
      <c r="F398" s="105" t="n"/>
      <c r="G398" s="105" t="n"/>
      <c r="H398" s="2" t="n"/>
      <c r="I398" s="105" t="n"/>
      <c r="K398" s="215" t="n"/>
      <c r="L398" s="215" t="n"/>
      <c r="M398" s="215" t="n"/>
      <c r="N398" s="215" t="n"/>
      <c r="O398" s="215" t="n"/>
      <c r="P398" s="215" t="n"/>
      <c r="Q398" s="215" t="n"/>
      <c r="R398" s="215" t="n"/>
      <c r="S398" s="215" t="n"/>
      <c r="T398" s="215" t="n"/>
      <c r="U398" s="215" t="n"/>
      <c r="V398" s="215" t="n"/>
      <c r="W398" s="215" t="n"/>
      <c r="X398" s="215" t="n"/>
      <c r="Y398" s="215" t="n"/>
      <c r="Z398" s="215" t="n"/>
      <c r="AA398" s="215" t="n"/>
      <c r="AB398" s="215" t="n"/>
      <c r="AC398" s="215" t="n"/>
      <c r="AD398" s="215" t="n"/>
      <c r="AE398" s="215" t="n"/>
      <c r="AF398" s="215" t="n"/>
      <c r="AG398" s="215" t="n"/>
      <c r="AH398" s="215" t="n"/>
      <c r="AI398" s="215" t="n"/>
      <c r="AJ398" s="215" t="n"/>
      <c r="AK398" s="216" t="n"/>
    </row>
    <row r="399" ht="15" customHeight="1">
      <c r="B399" s="134" t="n"/>
      <c r="C399" s="105" t="n"/>
      <c r="D399" s="105" t="n"/>
      <c r="E399" s="105" t="n"/>
      <c r="F399" s="105" t="n"/>
      <c r="G399" s="105" t="n"/>
      <c r="H399" s="2" t="n"/>
      <c r="I399" s="105" t="n"/>
      <c r="K399" s="215" t="n"/>
      <c r="L399" s="215" t="n"/>
      <c r="M399" s="215" t="n"/>
      <c r="N399" s="215" t="n"/>
      <c r="O399" s="215" t="n"/>
      <c r="P399" s="215" t="n"/>
      <c r="Q399" s="215" t="n"/>
      <c r="R399" s="215" t="n"/>
      <c r="S399" s="215" t="n"/>
      <c r="T399" s="215" t="n"/>
      <c r="U399" s="215" t="n"/>
      <c r="V399" s="215" t="n"/>
      <c r="W399" s="215" t="n"/>
      <c r="X399" s="215" t="n"/>
      <c r="Y399" s="215" t="n"/>
      <c r="Z399" s="215" t="n"/>
      <c r="AA399" s="215" t="n"/>
      <c r="AB399" s="215" t="n"/>
      <c r="AC399" s="215" t="n"/>
      <c r="AD399" s="215" t="n"/>
      <c r="AE399" s="215" t="n"/>
      <c r="AF399" s="215" t="n"/>
      <c r="AG399" s="215" t="n"/>
      <c r="AH399" s="215" t="n"/>
      <c r="AI399" s="215" t="n"/>
      <c r="AJ399" s="215" t="n"/>
      <c r="AK399" s="216" t="n"/>
    </row>
    <row r="400" ht="15" customHeight="1">
      <c r="B400" s="134" t="n"/>
      <c r="C400" s="105" t="n"/>
      <c r="D400" s="105" t="n"/>
      <c r="E400" s="105" t="n"/>
      <c r="F400" s="105" t="n"/>
      <c r="G400" s="105" t="n"/>
      <c r="H400" s="2" t="n"/>
      <c r="I400" s="105" t="n"/>
      <c r="K400" s="215" t="n"/>
      <c r="L400" s="215" t="n"/>
      <c r="M400" s="215" t="n"/>
      <c r="N400" s="215" t="n"/>
      <c r="O400" s="215" t="n"/>
      <c r="P400" s="215" t="n"/>
      <c r="Q400" s="215" t="n"/>
      <c r="R400" s="215" t="n"/>
      <c r="S400" s="215" t="n"/>
      <c r="T400" s="215" t="n"/>
      <c r="U400" s="215" t="n"/>
      <c r="V400" s="215" t="n"/>
      <c r="W400" s="215" t="n"/>
      <c r="X400" s="215" t="n"/>
      <c r="Y400" s="215" t="n"/>
      <c r="Z400" s="215" t="n"/>
      <c r="AA400" s="215" t="n"/>
      <c r="AB400" s="215" t="n"/>
      <c r="AC400" s="215" t="n"/>
      <c r="AD400" s="215" t="n"/>
      <c r="AE400" s="215" t="n"/>
      <c r="AF400" s="215" t="n"/>
      <c r="AG400" s="215" t="n"/>
      <c r="AH400" s="215" t="n"/>
      <c r="AI400" s="215" t="n"/>
      <c r="AJ400" s="215" t="n"/>
      <c r="AK400" s="216" t="n"/>
    </row>
    <row r="401" ht="15" customHeight="1">
      <c r="B401" s="134" t="n"/>
      <c r="C401" s="105" t="n"/>
      <c r="D401" s="105" t="n"/>
      <c r="E401" s="105" t="n"/>
      <c r="F401" s="105" t="n"/>
      <c r="G401" s="105" t="n"/>
      <c r="H401" s="2" t="n"/>
      <c r="I401" s="105" t="n"/>
      <c r="K401" s="215" t="n"/>
      <c r="L401" s="215" t="n"/>
      <c r="M401" s="215" t="n"/>
      <c r="N401" s="215" t="n"/>
      <c r="O401" s="215" t="n"/>
      <c r="P401" s="215" t="n"/>
      <c r="Q401" s="215" t="n"/>
      <c r="R401" s="215" t="n"/>
      <c r="S401" s="215" t="n"/>
      <c r="T401" s="215" t="n"/>
      <c r="U401" s="215" t="n"/>
      <c r="V401" s="215" t="n"/>
      <c r="W401" s="215" t="n"/>
      <c r="X401" s="215" t="n"/>
      <c r="Y401" s="215" t="n"/>
      <c r="Z401" s="215" t="n"/>
      <c r="AA401" s="215" t="n"/>
      <c r="AB401" s="215" t="n"/>
      <c r="AC401" s="215" t="n"/>
      <c r="AD401" s="215" t="n"/>
      <c r="AE401" s="215" t="n"/>
      <c r="AF401" s="215" t="n"/>
      <c r="AG401" s="215" t="n"/>
      <c r="AH401" s="215" t="n"/>
      <c r="AI401" s="215" t="n"/>
      <c r="AJ401" s="215" t="n"/>
      <c r="AK401" s="216" t="n"/>
    </row>
    <row r="402" ht="15" customHeight="1">
      <c r="B402" s="134" t="n"/>
      <c r="C402" s="105" t="n"/>
      <c r="D402" s="105" t="n"/>
      <c r="E402" s="105" t="n"/>
      <c r="F402" s="105" t="n"/>
      <c r="G402" s="105" t="n"/>
      <c r="H402" s="2" t="n"/>
      <c r="I402" s="105" t="n"/>
      <c r="K402" s="215" t="n"/>
      <c r="L402" s="215" t="n"/>
      <c r="M402" s="215" t="n"/>
      <c r="N402" s="215" t="n"/>
      <c r="O402" s="215" t="n"/>
      <c r="P402" s="215" t="n"/>
      <c r="Q402" s="215" t="n"/>
      <c r="R402" s="215" t="n"/>
      <c r="S402" s="215" t="n"/>
      <c r="T402" s="215" t="n"/>
      <c r="U402" s="215" t="n"/>
      <c r="V402" s="215" t="n"/>
      <c r="W402" s="215" t="n"/>
      <c r="X402" s="215" t="n"/>
      <c r="Y402" s="215" t="n"/>
      <c r="Z402" s="215" t="n"/>
      <c r="AA402" s="215" t="n"/>
      <c r="AB402" s="215" t="n"/>
      <c r="AC402" s="215" t="n"/>
      <c r="AD402" s="215" t="n"/>
      <c r="AE402" s="215" t="n"/>
      <c r="AF402" s="215" t="n"/>
      <c r="AG402" s="215" t="n"/>
      <c r="AH402" s="215" t="n"/>
      <c r="AI402" s="215" t="n"/>
      <c r="AJ402" s="215" t="n"/>
      <c r="AK402" s="216" t="n"/>
    </row>
    <row r="403" ht="15" customHeight="1">
      <c r="B403" s="134" t="n"/>
      <c r="C403" s="105" t="n"/>
      <c r="D403" s="105" t="n"/>
      <c r="E403" s="105" t="n"/>
      <c r="F403" s="105" t="n"/>
      <c r="G403" s="105" t="n"/>
      <c r="H403" s="2" t="n"/>
      <c r="I403" s="105" t="n"/>
      <c r="K403" s="215" t="n"/>
      <c r="L403" s="215" t="n"/>
      <c r="M403" s="215" t="n"/>
      <c r="N403" s="215" t="n"/>
      <c r="O403" s="215" t="n"/>
      <c r="P403" s="215" t="n"/>
      <c r="Q403" s="215" t="n"/>
      <c r="R403" s="215" t="n"/>
      <c r="S403" s="215" t="n"/>
      <c r="T403" s="215" t="n"/>
      <c r="U403" s="215" t="n"/>
      <c r="V403" s="215" t="n"/>
      <c r="W403" s="215" t="n"/>
      <c r="X403" s="215" t="n"/>
      <c r="Y403" s="215" t="n"/>
      <c r="Z403" s="215" t="n"/>
      <c r="AA403" s="215" t="n"/>
      <c r="AB403" s="215" t="n"/>
      <c r="AC403" s="215" t="n"/>
      <c r="AD403" s="215" t="n"/>
      <c r="AE403" s="215" t="n"/>
      <c r="AF403" s="215" t="n"/>
      <c r="AG403" s="215" t="n"/>
      <c r="AH403" s="215" t="n"/>
      <c r="AI403" s="215" t="n"/>
      <c r="AJ403" s="215" t="n"/>
      <c r="AK403" s="216" t="n"/>
    </row>
    <row r="404" ht="15" customHeight="1">
      <c r="B404" s="134" t="n"/>
      <c r="C404" s="105" t="n"/>
      <c r="D404" s="105" t="n"/>
      <c r="E404" s="105" t="n"/>
      <c r="F404" s="105" t="n"/>
      <c r="G404" s="105" t="n"/>
      <c r="H404" s="2" t="n"/>
      <c r="I404" s="105" t="n"/>
      <c r="K404" s="215" t="n"/>
      <c r="L404" s="215" t="n"/>
      <c r="M404" s="215" t="n"/>
      <c r="N404" s="215" t="n"/>
      <c r="O404" s="215" t="n"/>
      <c r="P404" s="215" t="n"/>
      <c r="Q404" s="215" t="n"/>
      <c r="R404" s="215" t="n"/>
      <c r="S404" s="215" t="n"/>
      <c r="T404" s="215" t="n"/>
      <c r="U404" s="215" t="n"/>
      <c r="V404" s="215" t="n"/>
      <c r="W404" s="215" t="n"/>
      <c r="X404" s="215" t="n"/>
      <c r="Y404" s="215" t="n"/>
      <c r="Z404" s="215" t="n"/>
      <c r="AA404" s="215" t="n"/>
      <c r="AB404" s="215" t="n"/>
      <c r="AC404" s="215" t="n"/>
      <c r="AD404" s="215" t="n"/>
      <c r="AE404" s="215" t="n"/>
      <c r="AF404" s="215" t="n"/>
      <c r="AG404" s="215" t="n"/>
      <c r="AH404" s="215" t="n"/>
      <c r="AI404" s="215" t="n"/>
      <c r="AJ404" s="215" t="n"/>
      <c r="AK404" s="216" t="n"/>
    </row>
    <row r="405" ht="15" customHeight="1">
      <c r="B405" s="134" t="n"/>
      <c r="C405" s="105" t="n"/>
      <c r="D405" s="105" t="n"/>
      <c r="E405" s="105" t="n"/>
      <c r="F405" s="105" t="n"/>
      <c r="G405" s="105" t="n"/>
      <c r="H405" s="2" t="n"/>
      <c r="I405" s="105" t="n"/>
      <c r="K405" s="215" t="n"/>
      <c r="L405" s="215" t="n"/>
      <c r="M405" s="215" t="n"/>
      <c r="N405" s="215" t="n"/>
      <c r="O405" s="215" t="n"/>
      <c r="P405" s="215" t="n"/>
      <c r="Q405" s="215" t="n"/>
      <c r="R405" s="215" t="n"/>
      <c r="S405" s="215" t="n"/>
      <c r="T405" s="215" t="n"/>
      <c r="U405" s="215" t="n"/>
      <c r="V405" s="215" t="n"/>
      <c r="W405" s="215" t="n"/>
      <c r="X405" s="215" t="n"/>
      <c r="Y405" s="215" t="n"/>
      <c r="Z405" s="215" t="n"/>
      <c r="AA405" s="215" t="n"/>
      <c r="AB405" s="215" t="n"/>
      <c r="AC405" s="215" t="n"/>
      <c r="AD405" s="215" t="n"/>
      <c r="AE405" s="215" t="n"/>
      <c r="AF405" s="215" t="n"/>
      <c r="AG405" s="215" t="n"/>
      <c r="AH405" s="215" t="n"/>
      <c r="AI405" s="215" t="n"/>
      <c r="AJ405" s="215" t="n"/>
      <c r="AK405" s="216" t="n"/>
    </row>
    <row r="406" ht="15" customHeight="1">
      <c r="B406" s="134" t="n"/>
      <c r="C406" s="105" t="n"/>
      <c r="D406" s="105" t="n"/>
      <c r="E406" s="105" t="n"/>
      <c r="F406" s="105" t="n"/>
      <c r="G406" s="105" t="n"/>
      <c r="H406" s="2" t="n"/>
      <c r="I406" s="105" t="n"/>
      <c r="K406" s="215" t="n"/>
      <c r="L406" s="215" t="n"/>
      <c r="M406" s="215" t="n"/>
      <c r="N406" s="215" t="n"/>
      <c r="O406" s="215" t="n"/>
      <c r="P406" s="215" t="n"/>
      <c r="Q406" s="215" t="n"/>
      <c r="R406" s="215" t="n"/>
      <c r="S406" s="215" t="n"/>
      <c r="T406" s="215" t="n"/>
      <c r="U406" s="215" t="n"/>
      <c r="V406" s="215" t="n"/>
      <c r="W406" s="215" t="n"/>
      <c r="X406" s="215" t="n"/>
      <c r="Y406" s="215" t="n"/>
      <c r="Z406" s="215" t="n"/>
      <c r="AA406" s="215" t="n"/>
      <c r="AB406" s="215" t="n"/>
      <c r="AC406" s="215" t="n"/>
      <c r="AD406" s="215" t="n"/>
      <c r="AE406" s="215" t="n"/>
      <c r="AF406" s="215" t="n"/>
      <c r="AG406" s="215" t="n"/>
      <c r="AH406" s="215" t="n"/>
      <c r="AI406" s="215" t="n"/>
      <c r="AJ406" s="215" t="n"/>
      <c r="AK406" s="216" t="n"/>
    </row>
    <row r="407" ht="15" customHeight="1">
      <c r="B407" s="134" t="n"/>
      <c r="C407" s="105" t="n"/>
      <c r="D407" s="105" t="n"/>
      <c r="E407" s="105" t="n"/>
      <c r="F407" s="105" t="n"/>
      <c r="G407" s="105" t="n"/>
      <c r="H407" s="2" t="n"/>
      <c r="I407" s="105" t="n"/>
      <c r="K407" s="215" t="n"/>
      <c r="L407" s="215" t="n"/>
      <c r="M407" s="215" t="n"/>
      <c r="N407" s="215" t="n"/>
      <c r="O407" s="215" t="n"/>
      <c r="P407" s="215" t="n"/>
      <c r="Q407" s="215" t="n"/>
      <c r="R407" s="215" t="n"/>
      <c r="S407" s="215" t="n"/>
      <c r="T407" s="215" t="n"/>
      <c r="U407" s="215" t="n"/>
      <c r="V407" s="215" t="n"/>
      <c r="W407" s="215" t="n"/>
      <c r="X407" s="215" t="n"/>
      <c r="Y407" s="215" t="n"/>
      <c r="Z407" s="215" t="n"/>
      <c r="AA407" s="215" t="n"/>
      <c r="AB407" s="215" t="n"/>
      <c r="AC407" s="215" t="n"/>
      <c r="AD407" s="215" t="n"/>
      <c r="AE407" s="215" t="n"/>
      <c r="AF407" s="215" t="n"/>
      <c r="AG407" s="215" t="n"/>
      <c r="AH407" s="215" t="n"/>
      <c r="AI407" s="215" t="n"/>
      <c r="AJ407" s="215" t="n"/>
      <c r="AK407" s="216" t="n"/>
    </row>
    <row r="408" ht="15" customHeight="1">
      <c r="B408" s="134" t="n"/>
      <c r="C408" s="105" t="n"/>
      <c r="D408" s="105" t="n"/>
      <c r="E408" s="105" t="n"/>
      <c r="F408" s="105" t="n"/>
      <c r="G408" s="105" t="n"/>
      <c r="H408" s="2" t="n"/>
      <c r="I408" s="105" t="n"/>
      <c r="K408" s="215" t="n"/>
      <c r="L408" s="215" t="n"/>
      <c r="M408" s="215" t="n"/>
      <c r="N408" s="215" t="n"/>
      <c r="O408" s="215" t="n"/>
      <c r="P408" s="215" t="n"/>
      <c r="Q408" s="215" t="n"/>
      <c r="R408" s="215" t="n"/>
      <c r="S408" s="215" t="n"/>
      <c r="T408" s="215" t="n"/>
      <c r="U408" s="215" t="n"/>
      <c r="V408" s="215" t="n"/>
      <c r="W408" s="215" t="n"/>
      <c r="X408" s="215" t="n"/>
      <c r="Y408" s="215" t="n"/>
      <c r="Z408" s="215" t="n"/>
      <c r="AA408" s="215" t="n"/>
      <c r="AB408" s="215" t="n"/>
      <c r="AC408" s="215" t="n"/>
      <c r="AD408" s="215" t="n"/>
      <c r="AE408" s="215" t="n"/>
      <c r="AF408" s="215" t="n"/>
      <c r="AG408" s="215" t="n"/>
      <c r="AH408" s="215" t="n"/>
      <c r="AI408" s="215" t="n"/>
      <c r="AJ408" s="215" t="n"/>
      <c r="AK408" s="216" t="n"/>
    </row>
    <row r="409" ht="15" customHeight="1">
      <c r="B409" s="134" t="n"/>
      <c r="C409" s="105" t="n"/>
      <c r="D409" s="105" t="n"/>
      <c r="E409" s="105" t="n"/>
      <c r="F409" s="105" t="n"/>
      <c r="G409" s="105" t="n"/>
      <c r="H409" s="2" t="n"/>
      <c r="I409" s="105" t="n"/>
      <c r="K409" s="215" t="n"/>
      <c r="L409" s="215" t="n"/>
      <c r="M409" s="215" t="n"/>
      <c r="N409" s="215" t="n"/>
      <c r="O409" s="215" t="n"/>
      <c r="P409" s="215" t="n"/>
      <c r="Q409" s="215" t="n"/>
      <c r="R409" s="215" t="n"/>
      <c r="S409" s="215" t="n"/>
      <c r="T409" s="215" t="n"/>
      <c r="U409" s="215" t="n"/>
      <c r="V409" s="215" t="n"/>
      <c r="W409" s="215" t="n"/>
      <c r="X409" s="215" t="n"/>
      <c r="Y409" s="215" t="n"/>
      <c r="Z409" s="215" t="n"/>
      <c r="AA409" s="215" t="n"/>
      <c r="AB409" s="215" t="n"/>
      <c r="AC409" s="215" t="n"/>
      <c r="AD409" s="215" t="n"/>
      <c r="AE409" s="215" t="n"/>
      <c r="AF409" s="215" t="n"/>
      <c r="AG409" s="215" t="n"/>
      <c r="AH409" s="215" t="n"/>
      <c r="AI409" s="215" t="n"/>
      <c r="AJ409" s="215" t="n"/>
      <c r="AK409" s="216" t="n"/>
    </row>
    <row r="410" ht="15" customHeight="1">
      <c r="B410" s="134" t="n"/>
      <c r="C410" s="105" t="n"/>
      <c r="D410" s="105" t="n"/>
      <c r="E410" s="105" t="n"/>
      <c r="F410" s="105" t="n"/>
      <c r="G410" s="105" t="n"/>
      <c r="H410" s="2" t="n"/>
      <c r="I410" s="105" t="n"/>
      <c r="K410" s="215" t="n"/>
      <c r="L410" s="215" t="n"/>
      <c r="M410" s="215" t="n"/>
      <c r="N410" s="215" t="n"/>
      <c r="O410" s="215" t="n"/>
      <c r="P410" s="215" t="n"/>
      <c r="Q410" s="215" t="n"/>
      <c r="R410" s="215" t="n"/>
      <c r="S410" s="215" t="n"/>
      <c r="T410" s="215" t="n"/>
      <c r="U410" s="215" t="n"/>
      <c r="V410" s="215" t="n"/>
      <c r="W410" s="215" t="n"/>
      <c r="X410" s="215" t="n"/>
      <c r="Y410" s="215" t="n"/>
      <c r="Z410" s="215" t="n"/>
      <c r="AA410" s="215" t="n"/>
      <c r="AB410" s="215" t="n"/>
      <c r="AC410" s="215" t="n"/>
      <c r="AD410" s="215" t="n"/>
      <c r="AE410" s="215" t="n"/>
      <c r="AF410" s="215" t="n"/>
      <c r="AG410" s="215" t="n"/>
      <c r="AH410" s="215" t="n"/>
      <c r="AI410" s="215" t="n"/>
      <c r="AJ410" s="215" t="n"/>
      <c r="AK410" s="216" t="n"/>
    </row>
    <row r="411" ht="15" customHeight="1">
      <c r="B411" s="134" t="n"/>
      <c r="C411" s="105" t="n"/>
      <c r="D411" s="105" t="n"/>
      <c r="E411" s="105" t="n"/>
      <c r="F411" s="105" t="n"/>
      <c r="G411" s="105" t="n"/>
      <c r="H411" s="2" t="n"/>
      <c r="I411" s="105" t="n"/>
      <c r="K411" s="215" t="n"/>
      <c r="L411" s="215" t="n"/>
      <c r="M411" s="215" t="n"/>
      <c r="N411" s="215" t="n"/>
      <c r="O411" s="215" t="n"/>
      <c r="P411" s="215" t="n"/>
      <c r="Q411" s="215" t="n"/>
      <c r="R411" s="215" t="n"/>
      <c r="S411" s="215" t="n"/>
      <c r="T411" s="215" t="n"/>
      <c r="U411" s="215" t="n"/>
      <c r="V411" s="215" t="n"/>
      <c r="W411" s="215" t="n"/>
      <c r="X411" s="215" t="n"/>
      <c r="Y411" s="215" t="n"/>
      <c r="Z411" s="215" t="n"/>
      <c r="AA411" s="215" t="n"/>
      <c r="AB411" s="215" t="n"/>
      <c r="AC411" s="215" t="n"/>
      <c r="AD411" s="215" t="n"/>
      <c r="AE411" s="215" t="n"/>
      <c r="AF411" s="215" t="n"/>
      <c r="AG411" s="215" t="n"/>
      <c r="AH411" s="215" t="n"/>
      <c r="AI411" s="215" t="n"/>
      <c r="AJ411" s="215" t="n"/>
      <c r="AK411" s="216" t="n"/>
    </row>
    <row r="412" ht="15" customHeight="1">
      <c r="B412" s="134" t="n"/>
      <c r="C412" s="105" t="n"/>
      <c r="D412" s="105" t="n"/>
      <c r="E412" s="105" t="n"/>
      <c r="F412" s="105" t="n"/>
      <c r="G412" s="105" t="n"/>
      <c r="H412" s="2" t="n"/>
      <c r="I412" s="105" t="n"/>
      <c r="K412" s="215" t="n"/>
      <c r="L412" s="215" t="n"/>
      <c r="M412" s="215" t="n"/>
      <c r="N412" s="215" t="n"/>
      <c r="O412" s="215" t="n"/>
      <c r="P412" s="215" t="n"/>
      <c r="Q412" s="215" t="n"/>
      <c r="R412" s="215" t="n"/>
      <c r="S412" s="215" t="n"/>
      <c r="T412" s="215" t="n"/>
      <c r="U412" s="215" t="n"/>
      <c r="V412" s="215" t="n"/>
      <c r="W412" s="215" t="n"/>
      <c r="X412" s="215" t="n"/>
      <c r="Y412" s="215" t="n"/>
      <c r="Z412" s="215" t="n"/>
      <c r="AA412" s="215" t="n"/>
      <c r="AB412" s="215" t="n"/>
      <c r="AC412" s="215" t="n"/>
      <c r="AD412" s="215" t="n"/>
      <c r="AE412" s="215" t="n"/>
      <c r="AF412" s="215" t="n"/>
      <c r="AG412" s="215" t="n"/>
      <c r="AH412" s="215" t="n"/>
      <c r="AI412" s="215" t="n"/>
      <c r="AJ412" s="215" t="n"/>
      <c r="AK412" s="216" t="n"/>
    </row>
    <row r="413" ht="15" customHeight="1">
      <c r="B413" s="134" t="n"/>
      <c r="C413" s="105" t="n"/>
      <c r="D413" s="105" t="n"/>
      <c r="E413" s="105" t="n"/>
      <c r="F413" s="105" t="n"/>
      <c r="G413" s="105" t="n"/>
      <c r="H413" s="2" t="n"/>
      <c r="I413" s="105" t="n"/>
      <c r="K413" s="215" t="n"/>
      <c r="L413" s="215" t="n"/>
      <c r="M413" s="215" t="n"/>
      <c r="N413" s="215" t="n"/>
      <c r="O413" s="215" t="n"/>
      <c r="P413" s="215" t="n"/>
      <c r="Q413" s="215" t="n"/>
      <c r="R413" s="215" t="n"/>
      <c r="S413" s="215" t="n"/>
      <c r="T413" s="215" t="n"/>
      <c r="U413" s="215" t="n"/>
      <c r="V413" s="215" t="n"/>
      <c r="W413" s="215" t="n"/>
      <c r="X413" s="215" t="n"/>
      <c r="Y413" s="215" t="n"/>
      <c r="Z413" s="215" t="n"/>
      <c r="AA413" s="215" t="n"/>
      <c r="AB413" s="215" t="n"/>
      <c r="AC413" s="215" t="n"/>
      <c r="AD413" s="215" t="n"/>
      <c r="AE413" s="215" t="n"/>
      <c r="AF413" s="215" t="n"/>
      <c r="AG413" s="215" t="n"/>
      <c r="AH413" s="215" t="n"/>
      <c r="AI413" s="215" t="n"/>
      <c r="AJ413" s="215" t="n"/>
      <c r="AK413" s="216" t="n"/>
    </row>
    <row r="414" ht="15" customHeight="1">
      <c r="B414" s="134" t="n"/>
      <c r="C414" s="105" t="n"/>
      <c r="D414" s="105" t="n"/>
      <c r="E414" s="105" t="n"/>
      <c r="F414" s="105" t="n"/>
      <c r="G414" s="105" t="n"/>
      <c r="H414" s="2" t="n"/>
      <c r="I414" s="105" t="n"/>
      <c r="K414" s="215" t="n"/>
      <c r="L414" s="215" t="n"/>
      <c r="M414" s="215" t="n"/>
      <c r="N414" s="215" t="n"/>
      <c r="O414" s="215" t="n"/>
      <c r="P414" s="215" t="n"/>
      <c r="Q414" s="215" t="n"/>
      <c r="R414" s="215" t="n"/>
      <c r="S414" s="215" t="n"/>
      <c r="T414" s="215" t="n"/>
      <c r="U414" s="215" t="n"/>
      <c r="V414" s="215" t="n"/>
      <c r="W414" s="215" t="n"/>
      <c r="X414" s="215" t="n"/>
      <c r="Y414" s="215" t="n"/>
      <c r="Z414" s="215" t="n"/>
      <c r="AA414" s="215" t="n"/>
      <c r="AB414" s="215" t="n"/>
      <c r="AC414" s="215" t="n"/>
      <c r="AD414" s="215" t="n"/>
      <c r="AE414" s="215" t="n"/>
      <c r="AF414" s="215" t="n"/>
      <c r="AG414" s="215" t="n"/>
      <c r="AH414" s="215" t="n"/>
      <c r="AI414" s="215" t="n"/>
      <c r="AJ414" s="215" t="n"/>
      <c r="AK414" s="216" t="n"/>
    </row>
    <row r="415" ht="15" customHeight="1">
      <c r="B415" s="134" t="n"/>
      <c r="C415" s="105" t="n"/>
      <c r="D415" s="105" t="n"/>
      <c r="E415" s="105" t="n"/>
      <c r="F415" s="105" t="n"/>
      <c r="G415" s="105" t="n"/>
      <c r="H415" s="2" t="n"/>
      <c r="I415" s="105" t="n"/>
      <c r="K415" s="215" t="n"/>
      <c r="L415" s="215" t="n"/>
      <c r="M415" s="215" t="n"/>
      <c r="N415" s="215" t="n"/>
      <c r="O415" s="215" t="n"/>
      <c r="P415" s="215" t="n"/>
      <c r="Q415" s="215" t="n"/>
      <c r="R415" s="215" t="n"/>
      <c r="S415" s="215" t="n"/>
      <c r="T415" s="215" t="n"/>
      <c r="U415" s="215" t="n"/>
      <c r="V415" s="215" t="n"/>
      <c r="W415" s="215" t="n"/>
      <c r="X415" s="215" t="n"/>
      <c r="Y415" s="215" t="n"/>
      <c r="Z415" s="215" t="n"/>
      <c r="AA415" s="215" t="n"/>
      <c r="AB415" s="215" t="n"/>
      <c r="AC415" s="215" t="n"/>
      <c r="AD415" s="215" t="n"/>
      <c r="AE415" s="215" t="n"/>
      <c r="AF415" s="215" t="n"/>
      <c r="AG415" s="215" t="n"/>
      <c r="AH415" s="215" t="n"/>
      <c r="AI415" s="215" t="n"/>
      <c r="AJ415" s="215" t="n"/>
      <c r="AK415" s="216" t="n"/>
    </row>
    <row r="416" ht="15" customHeight="1">
      <c r="B416" s="134" t="n"/>
      <c r="C416" s="105" t="n"/>
      <c r="D416" s="105" t="n"/>
      <c r="E416" s="105" t="n"/>
      <c r="F416" s="105" t="n"/>
      <c r="G416" s="105" t="n"/>
      <c r="H416" s="2" t="n"/>
      <c r="I416" s="105" t="n"/>
      <c r="K416" s="215" t="n"/>
      <c r="L416" s="215" t="n"/>
      <c r="M416" s="215" t="n"/>
      <c r="N416" s="215" t="n"/>
      <c r="O416" s="215" t="n"/>
      <c r="P416" s="215" t="n"/>
      <c r="Q416" s="215" t="n"/>
      <c r="R416" s="215" t="n"/>
      <c r="S416" s="215" t="n"/>
      <c r="T416" s="215" t="n"/>
      <c r="U416" s="215" t="n"/>
      <c r="V416" s="215" t="n"/>
      <c r="W416" s="215" t="n"/>
      <c r="X416" s="215" t="n"/>
      <c r="Y416" s="215" t="n"/>
      <c r="Z416" s="215" t="n"/>
      <c r="AA416" s="215" t="n"/>
      <c r="AB416" s="215" t="n"/>
      <c r="AC416" s="215" t="n"/>
      <c r="AD416" s="215" t="n"/>
      <c r="AE416" s="215" t="n"/>
      <c r="AF416" s="215" t="n"/>
      <c r="AG416" s="215" t="n"/>
      <c r="AH416" s="215" t="n"/>
      <c r="AI416" s="215" t="n"/>
      <c r="AJ416" s="215" t="n"/>
      <c r="AK416" s="216" t="n"/>
    </row>
    <row r="417" ht="15" customHeight="1">
      <c r="B417" s="134" t="n"/>
      <c r="C417" s="105" t="n"/>
      <c r="D417" s="105" t="n"/>
      <c r="E417" s="105" t="n"/>
      <c r="F417" s="105" t="n"/>
      <c r="G417" s="105" t="n"/>
      <c r="H417" s="2" t="n"/>
      <c r="I417" s="105" t="n"/>
      <c r="K417" s="215" t="n"/>
      <c r="L417" s="215" t="n"/>
      <c r="M417" s="215" t="n"/>
      <c r="N417" s="215" t="n"/>
      <c r="O417" s="215" t="n"/>
      <c r="P417" s="215" t="n"/>
      <c r="Q417" s="215" t="n"/>
      <c r="R417" s="215" t="n"/>
      <c r="S417" s="215" t="n"/>
      <c r="T417" s="215" t="n"/>
      <c r="U417" s="215" t="n"/>
      <c r="V417" s="215" t="n"/>
      <c r="W417" s="215" t="n"/>
      <c r="X417" s="215" t="n"/>
      <c r="Y417" s="215" t="n"/>
      <c r="Z417" s="215" t="n"/>
      <c r="AA417" s="215" t="n"/>
      <c r="AB417" s="215" t="n"/>
      <c r="AC417" s="215" t="n"/>
      <c r="AD417" s="215" t="n"/>
      <c r="AE417" s="215" t="n"/>
      <c r="AF417" s="215" t="n"/>
      <c r="AG417" s="215" t="n"/>
      <c r="AH417" s="215" t="n"/>
      <c r="AI417" s="215" t="n"/>
      <c r="AJ417" s="215" t="n"/>
      <c r="AK417" s="216" t="n"/>
    </row>
    <row r="418" ht="15" customHeight="1">
      <c r="B418" s="134" t="n"/>
      <c r="C418" s="105" t="n"/>
      <c r="D418" s="105" t="n"/>
      <c r="E418" s="105" t="n"/>
      <c r="F418" s="105" t="n"/>
      <c r="G418" s="105" t="n"/>
      <c r="H418" s="2" t="n"/>
      <c r="I418" s="105" t="n"/>
      <c r="K418" s="215" t="n"/>
      <c r="L418" s="215" t="n"/>
      <c r="M418" s="215" t="n"/>
      <c r="N418" s="215" t="n"/>
      <c r="O418" s="215" t="n"/>
      <c r="P418" s="215" t="n"/>
      <c r="Q418" s="215" t="n"/>
      <c r="R418" s="215" t="n"/>
      <c r="S418" s="215" t="n"/>
      <c r="T418" s="215" t="n"/>
      <c r="U418" s="215" t="n"/>
      <c r="V418" s="215" t="n"/>
      <c r="W418" s="215" t="n"/>
      <c r="X418" s="215" t="n"/>
      <c r="Y418" s="215" t="n"/>
      <c r="Z418" s="215" t="n"/>
      <c r="AA418" s="215" t="n"/>
      <c r="AB418" s="215" t="n"/>
      <c r="AC418" s="215" t="n"/>
      <c r="AD418" s="215" t="n"/>
      <c r="AE418" s="215" t="n"/>
      <c r="AF418" s="215" t="n"/>
      <c r="AG418" s="215" t="n"/>
      <c r="AH418" s="215" t="n"/>
      <c r="AI418" s="215" t="n"/>
      <c r="AJ418" s="215" t="n"/>
      <c r="AK418" s="216" t="n"/>
    </row>
    <row r="419" ht="15" customHeight="1">
      <c r="B419" s="134" t="n"/>
      <c r="C419" s="105" t="n"/>
      <c r="D419" s="105" t="n"/>
      <c r="E419" s="105" t="n"/>
      <c r="F419" s="105" t="n"/>
      <c r="G419" s="105" t="n"/>
      <c r="H419" s="2" t="n"/>
      <c r="I419" s="105" t="n"/>
      <c r="K419" s="215" t="n"/>
      <c r="L419" s="215" t="n"/>
      <c r="M419" s="215" t="n"/>
      <c r="N419" s="215" t="n"/>
      <c r="O419" s="215" t="n"/>
      <c r="P419" s="215" t="n"/>
      <c r="Q419" s="215" t="n"/>
      <c r="R419" s="215" t="n"/>
      <c r="S419" s="215" t="n"/>
      <c r="T419" s="215" t="n"/>
      <c r="U419" s="215" t="n"/>
      <c r="V419" s="215" t="n"/>
      <c r="W419" s="215" t="n"/>
      <c r="X419" s="215" t="n"/>
      <c r="Y419" s="215" t="n"/>
      <c r="Z419" s="215" t="n"/>
      <c r="AA419" s="215" t="n"/>
      <c r="AB419" s="215" t="n"/>
      <c r="AC419" s="215" t="n"/>
      <c r="AD419" s="215" t="n"/>
      <c r="AE419" s="215" t="n"/>
      <c r="AF419" s="215" t="n"/>
      <c r="AG419" s="215" t="n"/>
      <c r="AH419" s="215" t="n"/>
      <c r="AI419" s="215" t="n"/>
      <c r="AJ419" s="215" t="n"/>
      <c r="AK419" s="216" t="n"/>
    </row>
    <row r="420" ht="15" customHeight="1">
      <c r="B420" s="134" t="n"/>
      <c r="C420" s="105" t="n"/>
      <c r="D420" s="105" t="n"/>
      <c r="E420" s="105" t="n"/>
      <c r="F420" s="105" t="n"/>
      <c r="G420" s="105" t="n"/>
      <c r="H420" s="2" t="n"/>
      <c r="I420" s="105" t="n"/>
      <c r="K420" s="215" t="n"/>
      <c r="L420" s="215" t="n"/>
      <c r="M420" s="215" t="n"/>
      <c r="N420" s="215" t="n"/>
      <c r="O420" s="215" t="n"/>
      <c r="P420" s="215" t="n"/>
      <c r="Q420" s="215" t="n"/>
      <c r="R420" s="215" t="n"/>
      <c r="S420" s="215" t="n"/>
      <c r="T420" s="215" t="n"/>
      <c r="U420" s="215" t="n"/>
      <c r="V420" s="215" t="n"/>
      <c r="W420" s="215" t="n"/>
      <c r="X420" s="215" t="n"/>
      <c r="Y420" s="215" t="n"/>
      <c r="Z420" s="215" t="n"/>
      <c r="AA420" s="215" t="n"/>
      <c r="AB420" s="215" t="n"/>
      <c r="AC420" s="215" t="n"/>
      <c r="AD420" s="215" t="n"/>
      <c r="AE420" s="215" t="n"/>
      <c r="AF420" s="215" t="n"/>
      <c r="AG420" s="215" t="n"/>
      <c r="AH420" s="215" t="n"/>
      <c r="AI420" s="215" t="n"/>
      <c r="AJ420" s="215" t="n"/>
      <c r="AK420" s="216" t="n"/>
    </row>
    <row r="421" ht="15" customHeight="1">
      <c r="B421" s="134" t="n"/>
      <c r="C421" s="105" t="n"/>
      <c r="D421" s="105" t="n"/>
      <c r="E421" s="105" t="n"/>
      <c r="F421" s="105" t="n"/>
      <c r="G421" s="105" t="n"/>
      <c r="H421" s="2" t="n"/>
      <c r="I421" s="105" t="n"/>
      <c r="K421" s="215" t="n"/>
      <c r="L421" s="215" t="n"/>
      <c r="M421" s="215" t="n"/>
      <c r="N421" s="215" t="n"/>
      <c r="O421" s="215" t="n"/>
      <c r="P421" s="215" t="n"/>
      <c r="Q421" s="215" t="n"/>
      <c r="R421" s="215" t="n"/>
      <c r="S421" s="215" t="n"/>
      <c r="T421" s="215" t="n"/>
      <c r="U421" s="215" t="n"/>
      <c r="V421" s="215" t="n"/>
      <c r="W421" s="215" t="n"/>
      <c r="X421" s="215" t="n"/>
      <c r="Y421" s="215" t="n"/>
      <c r="Z421" s="215" t="n"/>
      <c r="AA421" s="215" t="n"/>
      <c r="AB421" s="215" t="n"/>
      <c r="AC421" s="215" t="n"/>
      <c r="AD421" s="215" t="n"/>
      <c r="AE421" s="215" t="n"/>
      <c r="AF421" s="215" t="n"/>
      <c r="AG421" s="215" t="n"/>
      <c r="AH421" s="215" t="n"/>
      <c r="AI421" s="215" t="n"/>
      <c r="AJ421" s="215" t="n"/>
      <c r="AK421" s="216" t="n"/>
    </row>
    <row r="422" ht="15" customHeight="1">
      <c r="B422" s="134" t="n"/>
      <c r="C422" s="105" t="n"/>
      <c r="D422" s="105" t="n"/>
      <c r="E422" s="105" t="n"/>
      <c r="F422" s="105" t="n"/>
      <c r="G422" s="105" t="n"/>
      <c r="H422" s="2" t="n"/>
      <c r="I422" s="105" t="n"/>
      <c r="K422" s="215" t="n"/>
      <c r="L422" s="215" t="n"/>
      <c r="M422" s="215" t="n"/>
      <c r="N422" s="215" t="n"/>
      <c r="O422" s="215" t="n"/>
      <c r="P422" s="215" t="n"/>
      <c r="Q422" s="215" t="n"/>
      <c r="R422" s="215" t="n"/>
      <c r="S422" s="215" t="n"/>
      <c r="T422" s="215" t="n"/>
      <c r="U422" s="215" t="n"/>
      <c r="V422" s="215" t="n"/>
      <c r="W422" s="215" t="n"/>
      <c r="X422" s="215" t="n"/>
      <c r="Y422" s="215" t="n"/>
      <c r="Z422" s="215" t="n"/>
      <c r="AA422" s="215" t="n"/>
      <c r="AB422" s="215" t="n"/>
      <c r="AC422" s="215" t="n"/>
      <c r="AD422" s="215" t="n"/>
      <c r="AE422" s="215" t="n"/>
      <c r="AF422" s="215" t="n"/>
      <c r="AG422" s="215" t="n"/>
      <c r="AH422" s="215" t="n"/>
      <c r="AI422" s="215" t="n"/>
      <c r="AJ422" s="215" t="n"/>
      <c r="AK422" s="216" t="n"/>
    </row>
    <row r="423" ht="15" customHeight="1">
      <c r="B423" s="134" t="n"/>
      <c r="C423" s="105" t="n"/>
      <c r="D423" s="105" t="n"/>
      <c r="E423" s="105" t="n"/>
      <c r="F423" s="105" t="n"/>
      <c r="G423" s="105" t="n"/>
      <c r="H423" s="2" t="n"/>
      <c r="I423" s="105" t="n"/>
      <c r="K423" s="215" t="n"/>
      <c r="L423" s="215" t="n"/>
      <c r="M423" s="215" t="n"/>
      <c r="N423" s="215" t="n"/>
      <c r="O423" s="215" t="n"/>
      <c r="P423" s="215" t="n"/>
      <c r="Q423" s="215" t="n"/>
      <c r="R423" s="215" t="n"/>
      <c r="S423" s="215" t="n"/>
      <c r="T423" s="215" t="n"/>
      <c r="U423" s="215" t="n"/>
      <c r="V423" s="215" t="n"/>
      <c r="W423" s="215" t="n"/>
      <c r="X423" s="215" t="n"/>
      <c r="Y423" s="215" t="n"/>
      <c r="Z423" s="215" t="n"/>
      <c r="AA423" s="215" t="n"/>
      <c r="AB423" s="215" t="n"/>
      <c r="AC423" s="215" t="n"/>
      <c r="AD423" s="215" t="n"/>
      <c r="AE423" s="215" t="n"/>
      <c r="AF423" s="215" t="n"/>
      <c r="AG423" s="215" t="n"/>
      <c r="AH423" s="215" t="n"/>
      <c r="AI423" s="215" t="n"/>
      <c r="AJ423" s="215" t="n"/>
      <c r="AK423" s="216" t="n"/>
    </row>
    <row r="424" ht="15" customHeight="1">
      <c r="B424" s="134" t="n"/>
      <c r="C424" s="105" t="n"/>
      <c r="D424" s="105" t="n"/>
      <c r="E424" s="105" t="n"/>
      <c r="F424" s="105" t="n"/>
      <c r="G424" s="105" t="n"/>
      <c r="H424" s="2" t="n"/>
      <c r="I424" s="105" t="n"/>
      <c r="K424" s="215" t="n"/>
      <c r="L424" s="215" t="n"/>
      <c r="M424" s="215" t="n"/>
      <c r="N424" s="215" t="n"/>
      <c r="O424" s="215" t="n"/>
      <c r="P424" s="215" t="n"/>
      <c r="Q424" s="215" t="n"/>
      <c r="R424" s="215" t="n"/>
      <c r="S424" s="215" t="n"/>
      <c r="T424" s="215" t="n"/>
      <c r="U424" s="215" t="n"/>
      <c r="V424" s="215" t="n"/>
      <c r="W424" s="215" t="n"/>
      <c r="X424" s="215" t="n"/>
      <c r="Y424" s="215" t="n"/>
      <c r="Z424" s="215" t="n"/>
      <c r="AA424" s="215" t="n"/>
      <c r="AB424" s="215" t="n"/>
      <c r="AC424" s="215" t="n"/>
      <c r="AD424" s="215" t="n"/>
      <c r="AE424" s="215" t="n"/>
      <c r="AF424" s="215" t="n"/>
      <c r="AG424" s="215" t="n"/>
      <c r="AH424" s="215" t="n"/>
      <c r="AI424" s="215" t="n"/>
      <c r="AJ424" s="215" t="n"/>
      <c r="AK424" s="216" t="n"/>
    </row>
    <row r="425" ht="15" customHeight="1">
      <c r="B425" s="134" t="n"/>
      <c r="C425" s="105" t="n"/>
      <c r="D425" s="105" t="n"/>
      <c r="E425" s="105" t="n"/>
      <c r="F425" s="105" t="n"/>
      <c r="G425" s="105" t="n"/>
      <c r="H425" s="2" t="n"/>
      <c r="I425" s="105" t="n"/>
      <c r="K425" s="215" t="n"/>
      <c r="L425" s="215" t="n"/>
      <c r="M425" s="215" t="n"/>
      <c r="N425" s="215" t="n"/>
      <c r="O425" s="215" t="n"/>
      <c r="P425" s="215" t="n"/>
      <c r="Q425" s="215" t="n"/>
      <c r="R425" s="215" t="n"/>
      <c r="S425" s="215" t="n"/>
      <c r="T425" s="215" t="n"/>
      <c r="U425" s="215" t="n"/>
      <c r="V425" s="215" t="n"/>
      <c r="W425" s="215" t="n"/>
      <c r="X425" s="215" t="n"/>
      <c r="Y425" s="215" t="n"/>
      <c r="Z425" s="215" t="n"/>
      <c r="AA425" s="215" t="n"/>
      <c r="AB425" s="215" t="n"/>
      <c r="AC425" s="215" t="n"/>
      <c r="AD425" s="215" t="n"/>
      <c r="AE425" s="215" t="n"/>
      <c r="AF425" s="215" t="n"/>
      <c r="AG425" s="215" t="n"/>
      <c r="AH425" s="215" t="n"/>
      <c r="AI425" s="215" t="n"/>
      <c r="AJ425" s="215" t="n"/>
      <c r="AK425" s="216" t="n"/>
    </row>
    <row r="426" ht="15" customHeight="1">
      <c r="B426" s="134" t="n"/>
      <c r="C426" s="105" t="n"/>
      <c r="D426" s="105" t="n"/>
      <c r="E426" s="105" t="n"/>
      <c r="F426" s="105" t="n"/>
      <c r="G426" s="105" t="n"/>
      <c r="H426" s="2" t="n"/>
      <c r="I426" s="105" t="n"/>
      <c r="K426" s="215" t="n"/>
      <c r="L426" s="215" t="n"/>
      <c r="M426" s="215" t="n"/>
      <c r="N426" s="215" t="n"/>
      <c r="O426" s="215" t="n"/>
      <c r="P426" s="215" t="n"/>
      <c r="Q426" s="215" t="n"/>
      <c r="R426" s="215" t="n"/>
      <c r="S426" s="215" t="n"/>
      <c r="T426" s="215" t="n"/>
      <c r="U426" s="215" t="n"/>
      <c r="V426" s="215" t="n"/>
      <c r="W426" s="215" t="n"/>
      <c r="X426" s="215" t="n"/>
      <c r="Y426" s="215" t="n"/>
      <c r="Z426" s="215" t="n"/>
      <c r="AA426" s="215" t="n"/>
      <c r="AB426" s="215" t="n"/>
      <c r="AC426" s="215" t="n"/>
      <c r="AD426" s="215" t="n"/>
      <c r="AE426" s="215" t="n"/>
      <c r="AF426" s="215" t="n"/>
      <c r="AG426" s="215" t="n"/>
      <c r="AH426" s="215" t="n"/>
      <c r="AI426" s="215" t="n"/>
      <c r="AJ426" s="215" t="n"/>
      <c r="AK426" s="216" t="n"/>
    </row>
    <row r="427" ht="15" customHeight="1">
      <c r="B427" s="134" t="n"/>
      <c r="C427" s="105" t="n"/>
      <c r="D427" s="105" t="n"/>
      <c r="E427" s="105" t="n"/>
      <c r="F427" s="105" t="n"/>
      <c r="G427" s="105" t="n"/>
      <c r="H427" s="2" t="n"/>
      <c r="I427" s="105" t="n"/>
      <c r="K427" s="215" t="n"/>
      <c r="L427" s="215" t="n"/>
      <c r="M427" s="215" t="n"/>
      <c r="N427" s="215" t="n"/>
      <c r="O427" s="215" t="n"/>
      <c r="P427" s="215" t="n"/>
      <c r="Q427" s="215" t="n"/>
      <c r="R427" s="215" t="n"/>
      <c r="S427" s="215" t="n"/>
      <c r="T427" s="215" t="n"/>
      <c r="U427" s="215" t="n"/>
      <c r="V427" s="215" t="n"/>
      <c r="W427" s="215" t="n"/>
      <c r="X427" s="215" t="n"/>
      <c r="Y427" s="215" t="n"/>
      <c r="Z427" s="215" t="n"/>
      <c r="AA427" s="215" t="n"/>
      <c r="AB427" s="215" t="n"/>
      <c r="AC427" s="215" t="n"/>
      <c r="AD427" s="215" t="n"/>
      <c r="AE427" s="215" t="n"/>
      <c r="AF427" s="215" t="n"/>
      <c r="AG427" s="215" t="n"/>
      <c r="AH427" s="215" t="n"/>
      <c r="AI427" s="215" t="n"/>
      <c r="AJ427" s="215" t="n"/>
      <c r="AK427" s="216" t="n"/>
    </row>
    <row r="428" ht="15" customHeight="1">
      <c r="B428" s="134" t="n"/>
      <c r="C428" s="105" t="n"/>
      <c r="D428" s="105" t="n"/>
      <c r="E428" s="105" t="n"/>
      <c r="F428" s="105" t="n"/>
      <c r="G428" s="105" t="n"/>
      <c r="H428" s="2" t="n"/>
      <c r="I428" s="105" t="n"/>
      <c r="K428" s="215" t="n"/>
      <c r="L428" s="215" t="n"/>
      <c r="M428" s="215" t="n"/>
      <c r="N428" s="215" t="n"/>
      <c r="O428" s="215" t="n"/>
      <c r="P428" s="215" t="n"/>
      <c r="Q428" s="215" t="n"/>
      <c r="R428" s="215" t="n"/>
      <c r="S428" s="215" t="n"/>
      <c r="T428" s="215" t="n"/>
      <c r="U428" s="215" t="n"/>
      <c r="V428" s="215" t="n"/>
      <c r="W428" s="215" t="n"/>
      <c r="X428" s="215" t="n"/>
      <c r="Y428" s="215" t="n"/>
      <c r="Z428" s="215" t="n"/>
      <c r="AA428" s="215" t="n"/>
      <c r="AB428" s="215" t="n"/>
      <c r="AC428" s="215" t="n"/>
      <c r="AD428" s="215" t="n"/>
      <c r="AE428" s="215" t="n"/>
      <c r="AF428" s="215" t="n"/>
      <c r="AG428" s="215" t="n"/>
      <c r="AH428" s="215" t="n"/>
      <c r="AI428" s="215" t="n"/>
      <c r="AJ428" s="215" t="n"/>
      <c r="AK428" s="216" t="n"/>
    </row>
    <row r="429" ht="15" customHeight="1">
      <c r="B429" s="134" t="n"/>
      <c r="C429" s="105" t="n"/>
      <c r="D429" s="105" t="n"/>
      <c r="E429" s="105" t="n"/>
      <c r="F429" s="105" t="n"/>
      <c r="G429" s="105" t="n"/>
      <c r="H429" s="2" t="n"/>
      <c r="I429" s="105" t="n"/>
      <c r="K429" s="215" t="n"/>
      <c r="L429" s="215" t="n"/>
      <c r="M429" s="215" t="n"/>
      <c r="N429" s="215" t="n"/>
      <c r="O429" s="215" t="n"/>
      <c r="P429" s="215" t="n"/>
      <c r="Q429" s="215" t="n"/>
      <c r="R429" s="215" t="n"/>
      <c r="S429" s="215" t="n"/>
      <c r="T429" s="215" t="n"/>
      <c r="U429" s="215" t="n"/>
      <c r="V429" s="215" t="n"/>
      <c r="W429" s="215" t="n"/>
      <c r="X429" s="215" t="n"/>
      <c r="Y429" s="215" t="n"/>
      <c r="Z429" s="215" t="n"/>
      <c r="AA429" s="215" t="n"/>
      <c r="AB429" s="215" t="n"/>
      <c r="AC429" s="215" t="n"/>
      <c r="AD429" s="215" t="n"/>
      <c r="AE429" s="215" t="n"/>
      <c r="AF429" s="215" t="n"/>
      <c r="AG429" s="215" t="n"/>
      <c r="AH429" s="215" t="n"/>
      <c r="AI429" s="215" t="n"/>
      <c r="AJ429" s="215" t="n"/>
      <c r="AK429" s="216" t="n"/>
    </row>
    <row r="430" ht="15" customHeight="1">
      <c r="B430" s="134" t="n"/>
      <c r="C430" s="105" t="n"/>
      <c r="D430" s="105" t="n"/>
      <c r="E430" s="105" t="n"/>
      <c r="F430" s="105" t="n"/>
      <c r="G430" s="105" t="n"/>
      <c r="H430" s="2" t="n"/>
      <c r="I430" s="105" t="n"/>
      <c r="K430" s="215" t="n"/>
      <c r="L430" s="215" t="n"/>
      <c r="M430" s="215" t="n"/>
      <c r="N430" s="215" t="n"/>
      <c r="O430" s="215" t="n"/>
      <c r="P430" s="215" t="n"/>
      <c r="Q430" s="215" t="n"/>
      <c r="R430" s="215" t="n"/>
      <c r="S430" s="215" t="n"/>
      <c r="T430" s="215" t="n"/>
      <c r="U430" s="215" t="n"/>
      <c r="V430" s="215" t="n"/>
      <c r="W430" s="215" t="n"/>
      <c r="X430" s="215" t="n"/>
      <c r="Y430" s="215" t="n"/>
      <c r="Z430" s="215" t="n"/>
      <c r="AA430" s="215" t="n"/>
      <c r="AB430" s="215" t="n"/>
      <c r="AC430" s="215" t="n"/>
      <c r="AD430" s="215" t="n"/>
      <c r="AE430" s="215" t="n"/>
      <c r="AF430" s="215" t="n"/>
      <c r="AG430" s="215" t="n"/>
      <c r="AH430" s="215" t="n"/>
      <c r="AI430" s="215" t="n"/>
      <c r="AJ430" s="215" t="n"/>
      <c r="AK430" s="216" t="n"/>
    </row>
    <row r="431" ht="15" customHeight="1">
      <c r="B431" s="134" t="n"/>
      <c r="C431" s="105" t="n"/>
      <c r="D431" s="105" t="n"/>
      <c r="E431" s="105" t="n"/>
      <c r="F431" s="105" t="n"/>
      <c r="G431" s="105" t="n"/>
      <c r="H431" s="2" t="n"/>
      <c r="I431" s="105" t="n"/>
      <c r="K431" s="215" t="n"/>
      <c r="L431" s="215" t="n"/>
      <c r="M431" s="215" t="n"/>
      <c r="N431" s="215" t="n"/>
      <c r="O431" s="215" t="n"/>
      <c r="P431" s="215" t="n"/>
      <c r="Q431" s="215" t="n"/>
      <c r="R431" s="215" t="n"/>
      <c r="S431" s="215" t="n"/>
      <c r="T431" s="215" t="n"/>
      <c r="U431" s="215" t="n"/>
      <c r="V431" s="215" t="n"/>
      <c r="W431" s="215" t="n"/>
      <c r="X431" s="215" t="n"/>
      <c r="Y431" s="215" t="n"/>
      <c r="Z431" s="215" t="n"/>
      <c r="AA431" s="215" t="n"/>
      <c r="AB431" s="215" t="n"/>
      <c r="AC431" s="215" t="n"/>
      <c r="AD431" s="215" t="n"/>
      <c r="AE431" s="215" t="n"/>
      <c r="AF431" s="215" t="n"/>
      <c r="AG431" s="215" t="n"/>
      <c r="AH431" s="215" t="n"/>
      <c r="AI431" s="215" t="n"/>
      <c r="AJ431" s="215" t="n"/>
      <c r="AK431" s="216" t="n"/>
    </row>
    <row r="432" ht="15" customHeight="1">
      <c r="B432" s="134" t="n"/>
      <c r="C432" s="105" t="n"/>
      <c r="D432" s="105" t="n"/>
      <c r="E432" s="105" t="n"/>
      <c r="F432" s="105" t="n"/>
      <c r="G432" s="105" t="n"/>
      <c r="H432" s="2" t="n"/>
      <c r="I432" s="105" t="n"/>
      <c r="K432" s="215" t="n"/>
      <c r="L432" s="215" t="n"/>
      <c r="M432" s="215" t="n"/>
      <c r="N432" s="215" t="n"/>
      <c r="O432" s="215" t="n"/>
      <c r="P432" s="215" t="n"/>
      <c r="Q432" s="215" t="n"/>
      <c r="R432" s="215" t="n"/>
      <c r="S432" s="215" t="n"/>
      <c r="T432" s="215" t="n"/>
      <c r="U432" s="215" t="n"/>
      <c r="V432" s="215" t="n"/>
      <c r="W432" s="215" t="n"/>
      <c r="X432" s="215" t="n"/>
      <c r="Y432" s="215" t="n"/>
      <c r="Z432" s="215" t="n"/>
      <c r="AA432" s="215" t="n"/>
      <c r="AB432" s="215" t="n"/>
      <c r="AC432" s="215" t="n"/>
      <c r="AD432" s="215" t="n"/>
      <c r="AE432" s="215" t="n"/>
      <c r="AF432" s="215" t="n"/>
      <c r="AG432" s="215" t="n"/>
      <c r="AH432" s="215" t="n"/>
      <c r="AI432" s="215" t="n"/>
      <c r="AJ432" s="215" t="n"/>
      <c r="AK432" s="216" t="n"/>
    </row>
    <row r="433" ht="15" customHeight="1">
      <c r="B433" s="134" t="n"/>
      <c r="C433" s="105" t="n"/>
      <c r="D433" s="105" t="n"/>
      <c r="E433" s="105" t="n"/>
      <c r="F433" s="105" t="n"/>
      <c r="G433" s="105" t="n"/>
      <c r="H433" s="2" t="n"/>
      <c r="I433" s="105" t="n"/>
      <c r="K433" s="215" t="n"/>
      <c r="L433" s="215" t="n"/>
      <c r="M433" s="215" t="n"/>
      <c r="N433" s="215" t="n"/>
      <c r="O433" s="215" t="n"/>
      <c r="P433" s="215" t="n"/>
      <c r="Q433" s="215" t="n"/>
      <c r="R433" s="215" t="n"/>
      <c r="S433" s="215" t="n"/>
      <c r="T433" s="215" t="n"/>
      <c r="U433" s="215" t="n"/>
      <c r="V433" s="215" t="n"/>
      <c r="W433" s="215" t="n"/>
      <c r="X433" s="215" t="n"/>
      <c r="Y433" s="215" t="n"/>
      <c r="Z433" s="215" t="n"/>
      <c r="AA433" s="215" t="n"/>
      <c r="AB433" s="215" t="n"/>
      <c r="AC433" s="215" t="n"/>
      <c r="AD433" s="215" t="n"/>
      <c r="AE433" s="215" t="n"/>
      <c r="AF433" s="215" t="n"/>
      <c r="AG433" s="215" t="n"/>
      <c r="AH433" s="215" t="n"/>
      <c r="AI433" s="215" t="n"/>
      <c r="AJ433" s="215" t="n"/>
      <c r="AK433" s="216" t="n"/>
    </row>
    <row r="434" ht="15" customHeight="1">
      <c r="B434" s="134" t="n"/>
      <c r="C434" s="105" t="n"/>
      <c r="D434" s="105" t="n"/>
      <c r="E434" s="105" t="n"/>
      <c r="F434" s="105" t="n"/>
      <c r="G434" s="105" t="n"/>
      <c r="H434" s="2" t="n"/>
      <c r="I434" s="105" t="n"/>
      <c r="K434" s="215" t="n"/>
      <c r="L434" s="215" t="n"/>
      <c r="M434" s="215" t="n"/>
      <c r="N434" s="215" t="n"/>
      <c r="O434" s="215" t="n"/>
      <c r="P434" s="215" t="n"/>
      <c r="Q434" s="215" t="n"/>
      <c r="R434" s="215" t="n"/>
      <c r="S434" s="215" t="n"/>
      <c r="T434" s="215" t="n"/>
      <c r="U434" s="215" t="n"/>
      <c r="V434" s="215" t="n"/>
      <c r="W434" s="215" t="n"/>
      <c r="X434" s="215" t="n"/>
      <c r="Y434" s="215" t="n"/>
      <c r="Z434" s="215" t="n"/>
      <c r="AA434" s="215" t="n"/>
      <c r="AB434" s="215" t="n"/>
      <c r="AC434" s="215" t="n"/>
      <c r="AD434" s="215" t="n"/>
      <c r="AE434" s="215" t="n"/>
      <c r="AF434" s="215" t="n"/>
      <c r="AG434" s="215" t="n"/>
      <c r="AH434" s="215" t="n"/>
      <c r="AI434" s="215" t="n"/>
      <c r="AJ434" s="215" t="n"/>
      <c r="AK434" s="216" t="n"/>
    </row>
    <row r="435" ht="15" customHeight="1">
      <c r="B435" s="134" t="n"/>
      <c r="C435" s="105" t="n"/>
      <c r="D435" s="105" t="n"/>
      <c r="E435" s="105" t="n"/>
      <c r="F435" s="105" t="n"/>
      <c r="G435" s="105" t="n"/>
      <c r="H435" s="2" t="n"/>
      <c r="I435" s="105" t="n"/>
      <c r="K435" s="215" t="n"/>
      <c r="L435" s="215" t="n"/>
      <c r="M435" s="215" t="n"/>
      <c r="N435" s="215" t="n"/>
      <c r="O435" s="215" t="n"/>
      <c r="P435" s="215" t="n"/>
      <c r="Q435" s="215" t="n"/>
      <c r="R435" s="215" t="n"/>
      <c r="S435" s="215" t="n"/>
      <c r="T435" s="215" t="n"/>
      <c r="U435" s="215" t="n"/>
      <c r="V435" s="215" t="n"/>
      <c r="W435" s="215" t="n"/>
      <c r="X435" s="215" t="n"/>
      <c r="Y435" s="215" t="n"/>
      <c r="Z435" s="215" t="n"/>
      <c r="AA435" s="215" t="n"/>
      <c r="AB435" s="215" t="n"/>
      <c r="AC435" s="215" t="n"/>
      <c r="AD435" s="215" t="n"/>
      <c r="AE435" s="215" t="n"/>
      <c r="AF435" s="215" t="n"/>
      <c r="AG435" s="215" t="n"/>
      <c r="AH435" s="215" t="n"/>
      <c r="AI435" s="215" t="n"/>
      <c r="AJ435" s="215" t="n"/>
      <c r="AK435" s="216" t="n"/>
    </row>
    <row r="436" ht="15" customHeight="1">
      <c r="B436" s="134" t="n"/>
      <c r="C436" s="105" t="n"/>
      <c r="D436" s="105" t="n"/>
      <c r="E436" s="105" t="n"/>
      <c r="F436" s="105" t="n"/>
      <c r="G436" s="105" t="n"/>
      <c r="H436" s="2" t="n"/>
      <c r="I436" s="105" t="n"/>
      <c r="K436" s="215" t="n"/>
      <c r="L436" s="215" t="n"/>
      <c r="M436" s="215" t="n"/>
      <c r="N436" s="215" t="n"/>
      <c r="O436" s="215" t="n"/>
      <c r="P436" s="215" t="n"/>
      <c r="Q436" s="215" t="n"/>
      <c r="R436" s="215" t="n"/>
      <c r="S436" s="215" t="n"/>
      <c r="T436" s="215" t="n"/>
      <c r="U436" s="215" t="n"/>
      <c r="V436" s="215" t="n"/>
      <c r="W436" s="215" t="n"/>
      <c r="X436" s="215" t="n"/>
      <c r="Y436" s="215" t="n"/>
      <c r="Z436" s="215" t="n"/>
      <c r="AA436" s="215" t="n"/>
      <c r="AB436" s="215" t="n"/>
      <c r="AC436" s="215" t="n"/>
      <c r="AD436" s="215" t="n"/>
      <c r="AE436" s="215" t="n"/>
      <c r="AF436" s="215" t="n"/>
      <c r="AG436" s="215" t="n"/>
      <c r="AH436" s="215" t="n"/>
      <c r="AI436" s="215" t="n"/>
      <c r="AJ436" s="215" t="n"/>
      <c r="AK436" s="216" t="n"/>
    </row>
    <row r="437" ht="15" customHeight="1">
      <c r="B437" s="134" t="n"/>
      <c r="C437" s="105" t="n"/>
      <c r="D437" s="105" t="n"/>
      <c r="E437" s="105" t="n"/>
      <c r="F437" s="105" t="n"/>
      <c r="G437" s="105" t="n"/>
      <c r="H437" s="2" t="n"/>
      <c r="I437" s="105" t="n"/>
      <c r="K437" s="215" t="n"/>
      <c r="L437" s="215" t="n"/>
      <c r="M437" s="215" t="n"/>
      <c r="N437" s="215" t="n"/>
      <c r="O437" s="215" t="n"/>
      <c r="P437" s="215" t="n"/>
      <c r="Q437" s="215" t="n"/>
      <c r="R437" s="215" t="n"/>
      <c r="S437" s="215" t="n"/>
      <c r="T437" s="215" t="n"/>
      <c r="U437" s="215" t="n"/>
      <c r="V437" s="215" t="n"/>
      <c r="W437" s="215" t="n"/>
      <c r="X437" s="215" t="n"/>
      <c r="Y437" s="215" t="n"/>
      <c r="Z437" s="215" t="n"/>
      <c r="AA437" s="215" t="n"/>
      <c r="AB437" s="215" t="n"/>
      <c r="AC437" s="215" t="n"/>
      <c r="AD437" s="215" t="n"/>
      <c r="AE437" s="215" t="n"/>
      <c r="AF437" s="215" t="n"/>
      <c r="AG437" s="215" t="n"/>
      <c r="AH437" s="215" t="n"/>
      <c r="AI437" s="215" t="n"/>
      <c r="AJ437" s="215" t="n"/>
      <c r="AK437" s="216" t="n"/>
    </row>
    <row r="438" ht="15" customHeight="1">
      <c r="B438" s="134" t="n"/>
      <c r="C438" s="105" t="n"/>
      <c r="D438" s="105" t="n"/>
      <c r="E438" s="105" t="n"/>
      <c r="F438" s="105" t="n"/>
      <c r="G438" s="105" t="n"/>
      <c r="H438" s="2" t="n"/>
      <c r="I438" s="105" t="n"/>
      <c r="K438" s="215" t="n"/>
      <c r="L438" s="215" t="n"/>
      <c r="M438" s="215" t="n"/>
      <c r="N438" s="215" t="n"/>
      <c r="O438" s="215" t="n"/>
      <c r="P438" s="215" t="n"/>
      <c r="Q438" s="215" t="n"/>
      <c r="R438" s="215" t="n"/>
      <c r="S438" s="215" t="n"/>
      <c r="T438" s="215" t="n"/>
      <c r="U438" s="215" t="n"/>
      <c r="V438" s="215" t="n"/>
      <c r="W438" s="215" t="n"/>
      <c r="X438" s="215" t="n"/>
      <c r="Y438" s="215" t="n"/>
      <c r="Z438" s="215" t="n"/>
      <c r="AA438" s="215" t="n"/>
      <c r="AB438" s="215" t="n"/>
      <c r="AC438" s="215" t="n"/>
      <c r="AD438" s="215" t="n"/>
      <c r="AE438" s="215" t="n"/>
      <c r="AF438" s="215" t="n"/>
      <c r="AG438" s="215" t="n"/>
      <c r="AH438" s="215" t="n"/>
      <c r="AI438" s="215" t="n"/>
      <c r="AJ438" s="215" t="n"/>
      <c r="AK438" s="216" t="n"/>
    </row>
    <row r="439" ht="15" customHeight="1">
      <c r="B439" s="134" t="n"/>
      <c r="C439" s="105" t="n"/>
      <c r="D439" s="105" t="n"/>
      <c r="E439" s="105" t="n"/>
      <c r="F439" s="105" t="n"/>
      <c r="G439" s="105" t="n"/>
      <c r="H439" s="2" t="n"/>
      <c r="I439" s="105" t="n"/>
      <c r="K439" s="215" t="n"/>
      <c r="L439" s="215" t="n"/>
      <c r="M439" s="215" t="n"/>
      <c r="N439" s="215" t="n"/>
      <c r="O439" s="215" t="n"/>
      <c r="P439" s="215" t="n"/>
      <c r="Q439" s="215" t="n"/>
      <c r="R439" s="215" t="n"/>
      <c r="S439" s="215" t="n"/>
      <c r="T439" s="215" t="n"/>
      <c r="U439" s="215" t="n"/>
      <c r="V439" s="215" t="n"/>
      <c r="W439" s="215" t="n"/>
      <c r="X439" s="215" t="n"/>
      <c r="Y439" s="215" t="n"/>
      <c r="Z439" s="215" t="n"/>
      <c r="AA439" s="215" t="n"/>
      <c r="AB439" s="215" t="n"/>
      <c r="AC439" s="215" t="n"/>
      <c r="AD439" s="215" t="n"/>
      <c r="AE439" s="215" t="n"/>
      <c r="AF439" s="215" t="n"/>
      <c r="AG439" s="215" t="n"/>
      <c r="AH439" s="215" t="n"/>
      <c r="AI439" s="215" t="n"/>
      <c r="AJ439" s="215" t="n"/>
      <c r="AK439" s="216" t="n"/>
    </row>
    <row r="440" ht="15" customHeight="1">
      <c r="B440" s="134" t="n"/>
      <c r="C440" s="105" t="n"/>
      <c r="D440" s="105" t="n"/>
      <c r="E440" s="105" t="n"/>
      <c r="F440" s="105" t="n"/>
      <c r="G440" s="105" t="n"/>
      <c r="H440" s="2" t="n"/>
      <c r="I440" s="105" t="n"/>
      <c r="K440" s="215" t="n"/>
      <c r="L440" s="215" t="n"/>
      <c r="M440" s="215" t="n"/>
      <c r="N440" s="215" t="n"/>
      <c r="O440" s="215" t="n"/>
      <c r="P440" s="215" t="n"/>
      <c r="Q440" s="215" t="n"/>
      <c r="R440" s="215" t="n"/>
      <c r="S440" s="215" t="n"/>
      <c r="T440" s="215" t="n"/>
      <c r="U440" s="215" t="n"/>
      <c r="V440" s="215" t="n"/>
      <c r="W440" s="215" t="n"/>
      <c r="X440" s="215" t="n"/>
      <c r="Y440" s="215" t="n"/>
      <c r="Z440" s="215" t="n"/>
      <c r="AA440" s="215" t="n"/>
      <c r="AB440" s="215" t="n"/>
      <c r="AC440" s="215" t="n"/>
      <c r="AD440" s="215" t="n"/>
      <c r="AE440" s="215" t="n"/>
      <c r="AF440" s="215" t="n"/>
      <c r="AG440" s="215" t="n"/>
      <c r="AH440" s="215" t="n"/>
      <c r="AI440" s="215" t="n"/>
      <c r="AJ440" s="215" t="n"/>
      <c r="AK440" s="216" t="n"/>
    </row>
    <row r="441" ht="15" customHeight="1">
      <c r="B441" s="134" t="n"/>
      <c r="C441" s="105" t="n"/>
      <c r="D441" s="105" t="n"/>
      <c r="E441" s="105" t="n"/>
      <c r="F441" s="105" t="n"/>
      <c r="G441" s="105" t="n"/>
      <c r="H441" s="2" t="n"/>
      <c r="I441" s="105" t="n"/>
      <c r="K441" s="215" t="n"/>
      <c r="L441" s="215" t="n"/>
      <c r="M441" s="215" t="n"/>
      <c r="N441" s="215" t="n"/>
      <c r="O441" s="215" t="n"/>
      <c r="P441" s="215" t="n"/>
      <c r="Q441" s="215" t="n"/>
      <c r="R441" s="215" t="n"/>
      <c r="S441" s="215" t="n"/>
      <c r="T441" s="215" t="n"/>
      <c r="U441" s="215" t="n"/>
      <c r="V441" s="215" t="n"/>
      <c r="W441" s="215" t="n"/>
      <c r="X441" s="215" t="n"/>
      <c r="Y441" s="215" t="n"/>
      <c r="Z441" s="215" t="n"/>
      <c r="AA441" s="215" t="n"/>
      <c r="AB441" s="215" t="n"/>
      <c r="AC441" s="215" t="n"/>
      <c r="AD441" s="215" t="n"/>
      <c r="AE441" s="215" t="n"/>
      <c r="AF441" s="215" t="n"/>
      <c r="AG441" s="215" t="n"/>
      <c r="AH441" s="215" t="n"/>
      <c r="AI441" s="215" t="n"/>
      <c r="AJ441" s="215" t="n"/>
      <c r="AK441" s="216" t="n"/>
    </row>
    <row r="442" ht="15" customHeight="1">
      <c r="B442" s="134" t="n"/>
      <c r="C442" s="105" t="n"/>
      <c r="D442" s="105" t="n"/>
      <c r="E442" s="105" t="n"/>
      <c r="F442" s="105" t="n"/>
      <c r="G442" s="105" t="n"/>
      <c r="H442" s="2" t="n"/>
      <c r="I442" s="105" t="n"/>
      <c r="K442" s="215" t="n"/>
      <c r="L442" s="215" t="n"/>
      <c r="M442" s="215" t="n"/>
      <c r="N442" s="215" t="n"/>
      <c r="O442" s="215" t="n"/>
      <c r="P442" s="215" t="n"/>
      <c r="Q442" s="215" t="n"/>
      <c r="R442" s="215" t="n"/>
      <c r="S442" s="215" t="n"/>
      <c r="T442" s="215" t="n"/>
      <c r="U442" s="215" t="n"/>
      <c r="V442" s="215" t="n"/>
      <c r="W442" s="215" t="n"/>
      <c r="X442" s="215" t="n"/>
      <c r="Y442" s="215" t="n"/>
      <c r="Z442" s="215" t="n"/>
      <c r="AA442" s="215" t="n"/>
      <c r="AB442" s="215" t="n"/>
      <c r="AC442" s="215" t="n"/>
      <c r="AD442" s="215" t="n"/>
      <c r="AE442" s="215" t="n"/>
      <c r="AF442" s="215" t="n"/>
      <c r="AG442" s="215" t="n"/>
      <c r="AH442" s="215" t="n"/>
      <c r="AI442" s="215" t="n"/>
      <c r="AJ442" s="215" t="n"/>
      <c r="AK442" s="216" t="n"/>
    </row>
    <row r="443" ht="15" customHeight="1">
      <c r="B443" s="134" t="n"/>
      <c r="C443" s="105" t="n"/>
      <c r="D443" s="105" t="n"/>
      <c r="E443" s="105" t="n"/>
      <c r="F443" s="105" t="n"/>
      <c r="G443" s="105" t="n"/>
      <c r="H443" s="2" t="n"/>
      <c r="I443" s="105" t="n"/>
      <c r="K443" s="215" t="n"/>
      <c r="L443" s="215" t="n"/>
      <c r="M443" s="215" t="n"/>
      <c r="N443" s="215" t="n"/>
      <c r="O443" s="215" t="n"/>
      <c r="P443" s="215" t="n"/>
      <c r="Q443" s="215" t="n"/>
      <c r="R443" s="215" t="n"/>
      <c r="S443" s="215" t="n"/>
      <c r="T443" s="215" t="n"/>
      <c r="U443" s="215" t="n"/>
      <c r="V443" s="215" t="n"/>
      <c r="W443" s="215" t="n"/>
      <c r="X443" s="215" t="n"/>
      <c r="Y443" s="215" t="n"/>
      <c r="Z443" s="215" t="n"/>
      <c r="AA443" s="215" t="n"/>
      <c r="AB443" s="215" t="n"/>
      <c r="AC443" s="215" t="n"/>
      <c r="AD443" s="215" t="n"/>
      <c r="AE443" s="215" t="n"/>
      <c r="AF443" s="215" t="n"/>
      <c r="AG443" s="215" t="n"/>
      <c r="AH443" s="215" t="n"/>
      <c r="AI443" s="215" t="n"/>
      <c r="AJ443" s="215" t="n"/>
      <c r="AK443" s="216" t="n"/>
    </row>
    <row r="444" ht="15" customHeight="1">
      <c r="B444" s="134" t="n"/>
      <c r="C444" s="105" t="n"/>
      <c r="D444" s="105" t="n"/>
      <c r="E444" s="105" t="n"/>
      <c r="F444" s="105" t="n"/>
      <c r="G444" s="105" t="n"/>
      <c r="H444" s="2" t="n"/>
      <c r="I444" s="105" t="n"/>
      <c r="K444" s="215" t="n"/>
      <c r="L444" s="215" t="n"/>
      <c r="M444" s="215" t="n"/>
      <c r="N444" s="215" t="n"/>
      <c r="O444" s="215" t="n"/>
      <c r="P444" s="215" t="n"/>
      <c r="Q444" s="215" t="n"/>
      <c r="R444" s="215" t="n"/>
      <c r="S444" s="215" t="n"/>
      <c r="T444" s="215" t="n"/>
      <c r="U444" s="215" t="n"/>
      <c r="V444" s="215" t="n"/>
      <c r="W444" s="215" t="n"/>
      <c r="X444" s="215" t="n"/>
      <c r="Y444" s="215" t="n"/>
      <c r="Z444" s="215" t="n"/>
      <c r="AA444" s="215" t="n"/>
      <c r="AB444" s="215" t="n"/>
      <c r="AC444" s="215" t="n"/>
      <c r="AD444" s="215" t="n"/>
      <c r="AE444" s="215" t="n"/>
      <c r="AF444" s="215" t="n"/>
      <c r="AG444" s="215" t="n"/>
      <c r="AH444" s="215" t="n"/>
      <c r="AI444" s="215" t="n"/>
      <c r="AJ444" s="215" t="n"/>
      <c r="AK444" s="216" t="n"/>
    </row>
    <row r="445" ht="15" customHeight="1">
      <c r="B445" s="134" t="n"/>
      <c r="C445" s="105" t="n"/>
      <c r="D445" s="105" t="n"/>
      <c r="E445" s="105" t="n"/>
      <c r="F445" s="105" t="n"/>
      <c r="G445" s="105" t="n"/>
      <c r="H445" s="2" t="n"/>
      <c r="I445" s="105" t="n"/>
      <c r="K445" s="215" t="n"/>
      <c r="L445" s="215" t="n"/>
      <c r="M445" s="215" t="n"/>
      <c r="N445" s="215" t="n"/>
      <c r="O445" s="215" t="n"/>
      <c r="P445" s="215" t="n"/>
      <c r="Q445" s="215" t="n"/>
      <c r="R445" s="215" t="n"/>
      <c r="S445" s="215" t="n"/>
      <c r="T445" s="215" t="n"/>
      <c r="U445" s="215" t="n"/>
      <c r="V445" s="215" t="n"/>
      <c r="W445" s="215" t="n"/>
      <c r="X445" s="215" t="n"/>
      <c r="Y445" s="215" t="n"/>
      <c r="Z445" s="215" t="n"/>
      <c r="AA445" s="215" t="n"/>
      <c r="AB445" s="215" t="n"/>
      <c r="AC445" s="215" t="n"/>
      <c r="AD445" s="215" t="n"/>
      <c r="AE445" s="215" t="n"/>
      <c r="AF445" s="215" t="n"/>
      <c r="AG445" s="215" t="n"/>
      <c r="AH445" s="215" t="n"/>
      <c r="AI445" s="215" t="n"/>
      <c r="AJ445" s="215" t="n"/>
      <c r="AK445" s="216" t="n"/>
    </row>
    <row r="446" ht="15" customHeight="1">
      <c r="B446" s="134" t="n"/>
      <c r="C446" s="105" t="n"/>
      <c r="D446" s="105" t="n"/>
      <c r="E446" s="105" t="n"/>
      <c r="F446" s="105" t="n"/>
      <c r="G446" s="105" t="n"/>
      <c r="H446" s="2" t="n"/>
      <c r="I446" s="105" t="n"/>
      <c r="K446" s="215" t="n"/>
      <c r="L446" s="215" t="n"/>
      <c r="M446" s="215" t="n"/>
      <c r="N446" s="215" t="n"/>
      <c r="O446" s="215" t="n"/>
      <c r="P446" s="215" t="n"/>
      <c r="Q446" s="215" t="n"/>
      <c r="R446" s="215" t="n"/>
      <c r="S446" s="215" t="n"/>
      <c r="T446" s="215" t="n"/>
      <c r="U446" s="215" t="n"/>
      <c r="V446" s="215" t="n"/>
      <c r="W446" s="215" t="n"/>
      <c r="X446" s="215" t="n"/>
      <c r="Y446" s="215" t="n"/>
      <c r="Z446" s="215" t="n"/>
      <c r="AA446" s="215" t="n"/>
      <c r="AB446" s="215" t="n"/>
      <c r="AC446" s="215" t="n"/>
      <c r="AD446" s="215" t="n"/>
      <c r="AE446" s="215" t="n"/>
      <c r="AF446" s="215" t="n"/>
      <c r="AG446" s="215" t="n"/>
      <c r="AH446" s="215" t="n"/>
      <c r="AI446" s="215" t="n"/>
      <c r="AJ446" s="215" t="n"/>
      <c r="AK446" s="216" t="n"/>
    </row>
    <row r="447" ht="15" customHeight="1">
      <c r="B447" s="134" t="n"/>
      <c r="C447" s="105" t="n"/>
      <c r="D447" s="105" t="n"/>
      <c r="E447" s="105" t="n"/>
      <c r="F447" s="105" t="n"/>
      <c r="G447" s="105" t="n"/>
      <c r="H447" s="2" t="n"/>
      <c r="I447" s="105" t="n"/>
      <c r="K447" s="215" t="n"/>
      <c r="L447" s="215" t="n"/>
      <c r="M447" s="215" t="n"/>
      <c r="N447" s="215" t="n"/>
      <c r="O447" s="215" t="n"/>
      <c r="P447" s="215" t="n"/>
      <c r="Q447" s="215" t="n"/>
      <c r="R447" s="215" t="n"/>
      <c r="S447" s="215" t="n"/>
      <c r="T447" s="215" t="n"/>
      <c r="U447" s="215" t="n"/>
      <c r="V447" s="215" t="n"/>
      <c r="W447" s="215" t="n"/>
      <c r="X447" s="215" t="n"/>
      <c r="Y447" s="215" t="n"/>
      <c r="Z447" s="215" t="n"/>
      <c r="AA447" s="215" t="n"/>
      <c r="AB447" s="215" t="n"/>
      <c r="AC447" s="215" t="n"/>
      <c r="AD447" s="215" t="n"/>
      <c r="AE447" s="215" t="n"/>
      <c r="AF447" s="215" t="n"/>
      <c r="AG447" s="215" t="n"/>
      <c r="AH447" s="215" t="n"/>
      <c r="AI447" s="215" t="n"/>
      <c r="AJ447" s="215" t="n"/>
      <c r="AK447" s="216" t="n"/>
    </row>
    <row r="448" ht="15" customHeight="1">
      <c r="B448" s="134" t="n"/>
      <c r="C448" s="105" t="n"/>
      <c r="D448" s="105" t="n"/>
      <c r="E448" s="105" t="n"/>
      <c r="F448" s="105" t="n"/>
      <c r="G448" s="105" t="n"/>
      <c r="H448" s="2" t="n"/>
      <c r="I448" s="105" t="n"/>
      <c r="K448" s="215" t="n"/>
      <c r="L448" s="215" t="n"/>
      <c r="M448" s="215" t="n"/>
      <c r="N448" s="215" t="n"/>
      <c r="O448" s="215" t="n"/>
      <c r="P448" s="215" t="n"/>
      <c r="Q448" s="215" t="n"/>
      <c r="R448" s="215" t="n"/>
      <c r="S448" s="215" t="n"/>
      <c r="T448" s="215" t="n"/>
      <c r="U448" s="215" t="n"/>
      <c r="V448" s="215" t="n"/>
      <c r="W448" s="215" t="n"/>
      <c r="X448" s="215" t="n"/>
      <c r="Y448" s="215" t="n"/>
      <c r="Z448" s="215" t="n"/>
      <c r="AA448" s="215" t="n"/>
      <c r="AB448" s="215" t="n"/>
      <c r="AC448" s="215" t="n"/>
      <c r="AD448" s="215" t="n"/>
      <c r="AE448" s="215" t="n"/>
      <c r="AF448" s="215" t="n"/>
      <c r="AG448" s="215" t="n"/>
      <c r="AH448" s="215" t="n"/>
      <c r="AI448" s="215" t="n"/>
      <c r="AJ448" s="215" t="n"/>
      <c r="AK448" s="216" t="n"/>
    </row>
    <row r="449" ht="15" customHeight="1">
      <c r="B449" s="134" t="n"/>
      <c r="C449" s="105" t="n"/>
      <c r="D449" s="105" t="n"/>
      <c r="E449" s="105" t="n"/>
      <c r="F449" s="105" t="n"/>
      <c r="G449" s="105" t="n"/>
      <c r="H449" s="2" t="n"/>
      <c r="I449" s="105" t="n"/>
      <c r="K449" s="215" t="n"/>
      <c r="L449" s="215" t="n"/>
      <c r="M449" s="215" t="n"/>
      <c r="N449" s="215" t="n"/>
      <c r="O449" s="215" t="n"/>
      <c r="P449" s="215" t="n"/>
      <c r="Q449" s="215" t="n"/>
      <c r="R449" s="215" t="n"/>
      <c r="S449" s="215" t="n"/>
      <c r="T449" s="215" t="n"/>
      <c r="U449" s="215" t="n"/>
      <c r="V449" s="215" t="n"/>
      <c r="W449" s="215" t="n"/>
      <c r="X449" s="215" t="n"/>
      <c r="Y449" s="215" t="n"/>
      <c r="Z449" s="215" t="n"/>
      <c r="AA449" s="215" t="n"/>
      <c r="AB449" s="215" t="n"/>
      <c r="AC449" s="215" t="n"/>
      <c r="AD449" s="215" t="n"/>
      <c r="AE449" s="215" t="n"/>
      <c r="AF449" s="215" t="n"/>
      <c r="AG449" s="215" t="n"/>
      <c r="AH449" s="215" t="n"/>
      <c r="AI449" s="215" t="n"/>
      <c r="AJ449" s="215" t="n"/>
      <c r="AK449" s="216" t="n"/>
    </row>
    <row r="450" ht="15" customHeight="1">
      <c r="B450" s="134" t="n"/>
      <c r="C450" s="105" t="n"/>
      <c r="D450" s="105" t="n"/>
      <c r="E450" s="105" t="n"/>
      <c r="F450" s="105" t="n"/>
      <c r="G450" s="105" t="n"/>
      <c r="H450" s="2" t="n"/>
      <c r="I450" s="105" t="n"/>
      <c r="K450" s="215" t="n"/>
      <c r="L450" s="215" t="n"/>
      <c r="M450" s="215" t="n"/>
      <c r="N450" s="215" t="n"/>
      <c r="O450" s="215" t="n"/>
      <c r="P450" s="215" t="n"/>
      <c r="Q450" s="215" t="n"/>
      <c r="R450" s="215" t="n"/>
      <c r="S450" s="215" t="n"/>
      <c r="T450" s="215" t="n"/>
      <c r="U450" s="215" t="n"/>
      <c r="V450" s="215" t="n"/>
      <c r="W450" s="215" t="n"/>
      <c r="X450" s="215" t="n"/>
      <c r="Y450" s="215" t="n"/>
      <c r="Z450" s="215" t="n"/>
      <c r="AA450" s="215" t="n"/>
      <c r="AB450" s="215" t="n"/>
      <c r="AC450" s="215" t="n"/>
      <c r="AD450" s="215" t="n"/>
      <c r="AE450" s="215" t="n"/>
      <c r="AF450" s="215" t="n"/>
      <c r="AG450" s="215" t="n"/>
      <c r="AH450" s="215" t="n"/>
      <c r="AI450" s="215" t="n"/>
      <c r="AJ450" s="215" t="n"/>
      <c r="AK450" s="216" t="n"/>
    </row>
    <row r="451" ht="15" customHeight="1">
      <c r="B451" s="134" t="n"/>
      <c r="C451" s="105" t="n"/>
      <c r="D451" s="105" t="n"/>
      <c r="E451" s="105" t="n"/>
      <c r="F451" s="105" t="n"/>
      <c r="G451" s="105" t="n"/>
      <c r="H451" s="2" t="n"/>
      <c r="I451" s="105" t="n"/>
      <c r="K451" s="215" t="n"/>
      <c r="L451" s="215" t="n"/>
      <c r="M451" s="215" t="n"/>
      <c r="N451" s="215" t="n"/>
      <c r="O451" s="215" t="n"/>
      <c r="P451" s="215" t="n"/>
      <c r="Q451" s="215" t="n"/>
      <c r="R451" s="215" t="n"/>
      <c r="S451" s="215" t="n"/>
      <c r="T451" s="215" t="n"/>
      <c r="U451" s="215" t="n"/>
      <c r="V451" s="215" t="n"/>
      <c r="W451" s="215" t="n"/>
      <c r="X451" s="215" t="n"/>
      <c r="Y451" s="215" t="n"/>
      <c r="Z451" s="215" t="n"/>
      <c r="AA451" s="215" t="n"/>
      <c r="AB451" s="215" t="n"/>
      <c r="AC451" s="215" t="n"/>
      <c r="AD451" s="215" t="n"/>
      <c r="AE451" s="215" t="n"/>
      <c r="AF451" s="215" t="n"/>
      <c r="AG451" s="215" t="n"/>
      <c r="AH451" s="215" t="n"/>
      <c r="AI451" s="215" t="n"/>
      <c r="AJ451" s="215" t="n"/>
      <c r="AK451" s="216" t="n"/>
    </row>
    <row r="452" ht="15" customHeight="1">
      <c r="B452" s="134" t="n"/>
      <c r="C452" s="105" t="n"/>
      <c r="D452" s="105" t="n"/>
      <c r="E452" s="105" t="n"/>
      <c r="F452" s="105" t="n"/>
      <c r="G452" s="105" t="n"/>
      <c r="H452" s="2" t="n"/>
      <c r="I452" s="105" t="n"/>
      <c r="K452" s="215" t="n"/>
      <c r="L452" s="215" t="n"/>
      <c r="M452" s="215" t="n"/>
      <c r="N452" s="215" t="n"/>
      <c r="O452" s="215" t="n"/>
      <c r="P452" s="215" t="n"/>
      <c r="Q452" s="215" t="n"/>
      <c r="R452" s="215" t="n"/>
      <c r="S452" s="215" t="n"/>
      <c r="T452" s="215" t="n"/>
      <c r="U452" s="215" t="n"/>
      <c r="V452" s="215" t="n"/>
      <c r="W452" s="215" t="n"/>
      <c r="X452" s="215" t="n"/>
      <c r="Y452" s="215" t="n"/>
      <c r="Z452" s="215" t="n"/>
      <c r="AA452" s="215" t="n"/>
      <c r="AB452" s="215" t="n"/>
      <c r="AC452" s="215" t="n"/>
      <c r="AD452" s="215" t="n"/>
      <c r="AE452" s="215" t="n"/>
      <c r="AF452" s="215" t="n"/>
      <c r="AG452" s="215" t="n"/>
      <c r="AH452" s="215" t="n"/>
      <c r="AI452" s="215" t="n"/>
      <c r="AJ452" s="215" t="n"/>
      <c r="AK452" s="216" t="n"/>
    </row>
    <row r="453" ht="15" customHeight="1">
      <c r="B453" s="134" t="n"/>
      <c r="C453" s="105" t="n"/>
      <c r="D453" s="105" t="n"/>
      <c r="E453" s="105" t="n"/>
      <c r="F453" s="105" t="n"/>
      <c r="G453" s="105" t="n"/>
      <c r="H453" s="2" t="n"/>
      <c r="I453" s="105" t="n"/>
      <c r="K453" s="215" t="n"/>
      <c r="L453" s="215" t="n"/>
      <c r="M453" s="215" t="n"/>
      <c r="N453" s="215" t="n"/>
      <c r="O453" s="215" t="n"/>
      <c r="P453" s="215" t="n"/>
      <c r="Q453" s="215" t="n"/>
      <c r="R453" s="215" t="n"/>
      <c r="S453" s="215" t="n"/>
      <c r="T453" s="215" t="n"/>
      <c r="U453" s="215" t="n"/>
      <c r="V453" s="215" t="n"/>
      <c r="W453" s="215" t="n"/>
      <c r="X453" s="215" t="n"/>
      <c r="Y453" s="215" t="n"/>
      <c r="Z453" s="215" t="n"/>
      <c r="AA453" s="215" t="n"/>
      <c r="AB453" s="215" t="n"/>
      <c r="AC453" s="215" t="n"/>
      <c r="AD453" s="215" t="n"/>
      <c r="AE453" s="215" t="n"/>
      <c r="AF453" s="215" t="n"/>
      <c r="AG453" s="215" t="n"/>
      <c r="AH453" s="215" t="n"/>
      <c r="AI453" s="215" t="n"/>
      <c r="AJ453" s="215" t="n"/>
      <c r="AK453" s="216" t="n"/>
    </row>
    <row r="454" ht="15" customHeight="1">
      <c r="B454" s="134" t="n"/>
      <c r="C454" s="105" t="n"/>
      <c r="D454" s="105" t="n"/>
      <c r="E454" s="105" t="n"/>
      <c r="F454" s="105" t="n"/>
      <c r="G454" s="105" t="n"/>
      <c r="H454" s="2" t="n"/>
      <c r="I454" s="105" t="n"/>
      <c r="K454" s="215" t="n"/>
      <c r="L454" s="215" t="n"/>
      <c r="M454" s="215" t="n"/>
      <c r="N454" s="215" t="n"/>
      <c r="O454" s="215" t="n"/>
      <c r="P454" s="215" t="n"/>
      <c r="Q454" s="215" t="n"/>
      <c r="R454" s="215" t="n"/>
      <c r="S454" s="215" t="n"/>
      <c r="T454" s="215" t="n"/>
      <c r="U454" s="215" t="n"/>
      <c r="V454" s="215" t="n"/>
      <c r="W454" s="215" t="n"/>
      <c r="X454" s="215" t="n"/>
      <c r="Y454" s="215" t="n"/>
      <c r="Z454" s="215" t="n"/>
      <c r="AA454" s="215" t="n"/>
      <c r="AB454" s="215" t="n"/>
      <c r="AC454" s="215" t="n"/>
      <c r="AD454" s="215" t="n"/>
      <c r="AE454" s="215" t="n"/>
      <c r="AF454" s="215" t="n"/>
      <c r="AG454" s="215" t="n"/>
      <c r="AH454" s="215" t="n"/>
      <c r="AI454" s="215" t="n"/>
      <c r="AJ454" s="215" t="n"/>
      <c r="AK454" s="216" t="n"/>
    </row>
    <row r="455" ht="15" customHeight="1">
      <c r="B455" s="134" t="n"/>
      <c r="C455" s="105" t="n"/>
      <c r="D455" s="105" t="n"/>
      <c r="E455" s="105" t="n"/>
      <c r="F455" s="105" t="n"/>
      <c r="G455" s="105" t="n"/>
      <c r="H455" s="2" t="n"/>
      <c r="I455" s="105" t="n"/>
      <c r="K455" s="215" t="n"/>
      <c r="L455" s="215" t="n"/>
      <c r="M455" s="215" t="n"/>
      <c r="N455" s="215" t="n"/>
      <c r="O455" s="215" t="n"/>
      <c r="P455" s="215" t="n"/>
      <c r="Q455" s="215" t="n"/>
      <c r="R455" s="215" t="n"/>
      <c r="S455" s="215" t="n"/>
      <c r="T455" s="215" t="n"/>
      <c r="U455" s="215" t="n"/>
      <c r="V455" s="215" t="n"/>
      <c r="W455" s="215" t="n"/>
      <c r="X455" s="215" t="n"/>
      <c r="Y455" s="215" t="n"/>
      <c r="Z455" s="215" t="n"/>
      <c r="AA455" s="215" t="n"/>
      <c r="AB455" s="215" t="n"/>
      <c r="AC455" s="215" t="n"/>
      <c r="AD455" s="215" t="n"/>
      <c r="AE455" s="215" t="n"/>
      <c r="AF455" s="215" t="n"/>
      <c r="AG455" s="215" t="n"/>
      <c r="AH455" s="215" t="n"/>
      <c r="AI455" s="215" t="n"/>
      <c r="AJ455" s="215" t="n"/>
      <c r="AK455" s="216" t="n"/>
    </row>
    <row r="456" ht="15" customHeight="1">
      <c r="B456" s="134" t="n"/>
      <c r="C456" s="105" t="n"/>
      <c r="D456" s="105" t="n"/>
      <c r="E456" s="105" t="n"/>
      <c r="F456" s="105" t="n"/>
      <c r="G456" s="105" t="n"/>
      <c r="H456" s="2" t="n"/>
      <c r="I456" s="105" t="n"/>
      <c r="K456" s="215" t="n"/>
      <c r="L456" s="215" t="n"/>
      <c r="M456" s="215" t="n"/>
      <c r="N456" s="215" t="n"/>
      <c r="O456" s="215" t="n"/>
      <c r="P456" s="215" t="n"/>
      <c r="Q456" s="215" t="n"/>
      <c r="R456" s="215" t="n"/>
      <c r="S456" s="215" t="n"/>
      <c r="T456" s="215" t="n"/>
      <c r="U456" s="215" t="n"/>
      <c r="V456" s="215" t="n"/>
      <c r="W456" s="215" t="n"/>
      <c r="X456" s="215" t="n"/>
      <c r="Y456" s="215" t="n"/>
      <c r="Z456" s="215" t="n"/>
      <c r="AA456" s="215" t="n"/>
      <c r="AB456" s="215" t="n"/>
      <c r="AC456" s="215" t="n"/>
      <c r="AD456" s="215" t="n"/>
      <c r="AE456" s="215" t="n"/>
      <c r="AF456" s="215" t="n"/>
      <c r="AG456" s="215" t="n"/>
      <c r="AH456" s="215" t="n"/>
      <c r="AI456" s="215" t="n"/>
      <c r="AJ456" s="215" t="n"/>
      <c r="AK456" s="216" t="n"/>
    </row>
    <row r="457" ht="15" customHeight="1">
      <c r="B457" s="134" t="n"/>
      <c r="C457" s="105" t="n"/>
      <c r="D457" s="105" t="n"/>
      <c r="E457" s="105" t="n"/>
      <c r="F457" s="105" t="n"/>
      <c r="G457" s="105" t="n"/>
      <c r="H457" s="2" t="n"/>
      <c r="I457" s="105" t="n"/>
      <c r="K457" s="215" t="n"/>
      <c r="L457" s="215" t="n"/>
      <c r="M457" s="215" t="n"/>
      <c r="N457" s="215" t="n"/>
      <c r="O457" s="215" t="n"/>
      <c r="P457" s="215" t="n"/>
      <c r="Q457" s="215" t="n"/>
      <c r="R457" s="215" t="n"/>
      <c r="S457" s="215" t="n"/>
      <c r="T457" s="215" t="n"/>
      <c r="U457" s="215" t="n"/>
      <c r="V457" s="215" t="n"/>
      <c r="W457" s="215" t="n"/>
      <c r="X457" s="215" t="n"/>
      <c r="Y457" s="215" t="n"/>
      <c r="Z457" s="215" t="n"/>
      <c r="AA457" s="215" t="n"/>
      <c r="AB457" s="215" t="n"/>
      <c r="AC457" s="215" t="n"/>
      <c r="AD457" s="215" t="n"/>
      <c r="AE457" s="215" t="n"/>
      <c r="AF457" s="215" t="n"/>
      <c r="AG457" s="215" t="n"/>
      <c r="AH457" s="215" t="n"/>
      <c r="AI457" s="215" t="n"/>
      <c r="AJ457" s="215" t="n"/>
      <c r="AK457" s="216" t="n"/>
    </row>
    <row r="458" ht="15" customHeight="1">
      <c r="B458" s="134" t="n"/>
      <c r="C458" s="105" t="n"/>
      <c r="D458" s="105" t="n"/>
      <c r="E458" s="105" t="n"/>
      <c r="F458" s="105" t="n"/>
      <c r="G458" s="105" t="n"/>
      <c r="H458" s="2" t="n"/>
      <c r="I458" s="105" t="n"/>
      <c r="K458" s="215" t="n"/>
      <c r="L458" s="215" t="n"/>
      <c r="M458" s="215" t="n"/>
      <c r="N458" s="215" t="n"/>
      <c r="O458" s="215" t="n"/>
      <c r="P458" s="215" t="n"/>
      <c r="Q458" s="215" t="n"/>
      <c r="R458" s="215" t="n"/>
      <c r="S458" s="215" t="n"/>
      <c r="T458" s="215" t="n"/>
      <c r="U458" s="215" t="n"/>
      <c r="V458" s="215" t="n"/>
      <c r="W458" s="215" t="n"/>
      <c r="X458" s="215" t="n"/>
      <c r="Y458" s="215" t="n"/>
      <c r="Z458" s="215" t="n"/>
      <c r="AA458" s="215" t="n"/>
      <c r="AB458" s="215" t="n"/>
      <c r="AC458" s="215" t="n"/>
      <c r="AD458" s="215" t="n"/>
      <c r="AE458" s="215" t="n"/>
      <c r="AF458" s="215" t="n"/>
      <c r="AG458" s="215" t="n"/>
      <c r="AH458" s="215" t="n"/>
      <c r="AI458" s="215" t="n"/>
      <c r="AJ458" s="215" t="n"/>
      <c r="AK458" s="216" t="n"/>
    </row>
    <row r="459" ht="15" customHeight="1">
      <c r="B459" s="134" t="n"/>
      <c r="C459" s="105" t="n"/>
      <c r="D459" s="105" t="n"/>
      <c r="E459" s="105" t="n"/>
      <c r="F459" s="105" t="n"/>
      <c r="G459" s="105" t="n"/>
      <c r="H459" s="2" t="n"/>
      <c r="I459" s="105" t="n"/>
      <c r="K459" s="215" t="n"/>
      <c r="L459" s="215" t="n"/>
      <c r="M459" s="215" t="n"/>
      <c r="N459" s="215" t="n"/>
      <c r="O459" s="215" t="n"/>
      <c r="P459" s="215" t="n"/>
      <c r="Q459" s="215" t="n"/>
      <c r="R459" s="215" t="n"/>
      <c r="S459" s="215" t="n"/>
      <c r="T459" s="215" t="n"/>
      <c r="U459" s="215" t="n"/>
      <c r="V459" s="215" t="n"/>
      <c r="W459" s="215" t="n"/>
      <c r="X459" s="215" t="n"/>
      <c r="Y459" s="215" t="n"/>
      <c r="Z459" s="215" t="n"/>
      <c r="AA459" s="215" t="n"/>
      <c r="AB459" s="215" t="n"/>
      <c r="AC459" s="215" t="n"/>
      <c r="AD459" s="215" t="n"/>
      <c r="AE459" s="215" t="n"/>
      <c r="AF459" s="215" t="n"/>
      <c r="AG459" s="215" t="n"/>
      <c r="AH459" s="215" t="n"/>
      <c r="AI459" s="215" t="n"/>
      <c r="AJ459" s="215" t="n"/>
      <c r="AK459" s="216" t="n"/>
    </row>
    <row r="460" ht="15" customHeight="1">
      <c r="B460" s="134" t="n"/>
      <c r="C460" s="105" t="n"/>
      <c r="D460" s="105" t="n"/>
      <c r="E460" s="105" t="n"/>
      <c r="F460" s="105" t="n"/>
      <c r="G460" s="105" t="n"/>
      <c r="H460" s="2" t="n"/>
      <c r="I460" s="105" t="n"/>
      <c r="K460" s="215" t="n"/>
      <c r="L460" s="215" t="n"/>
      <c r="M460" s="215" t="n"/>
      <c r="N460" s="215" t="n"/>
      <c r="O460" s="215" t="n"/>
      <c r="P460" s="215" t="n"/>
      <c r="Q460" s="215" t="n"/>
      <c r="R460" s="215" t="n"/>
      <c r="S460" s="215" t="n"/>
      <c r="T460" s="215" t="n"/>
      <c r="U460" s="215" t="n"/>
      <c r="V460" s="215" t="n"/>
      <c r="W460" s="215" t="n"/>
      <c r="X460" s="215" t="n"/>
      <c r="Y460" s="215" t="n"/>
      <c r="Z460" s="215" t="n"/>
      <c r="AA460" s="215" t="n"/>
      <c r="AB460" s="215" t="n"/>
      <c r="AC460" s="215" t="n"/>
      <c r="AD460" s="215" t="n"/>
      <c r="AE460" s="215" t="n"/>
      <c r="AF460" s="215" t="n"/>
      <c r="AG460" s="215" t="n"/>
      <c r="AH460" s="215" t="n"/>
      <c r="AI460" s="215" t="n"/>
      <c r="AJ460" s="215" t="n"/>
      <c r="AK460" s="216" t="n"/>
    </row>
    <row r="461" ht="15" customHeight="1">
      <c r="B461" s="134" t="n"/>
      <c r="C461" s="105" t="n"/>
      <c r="D461" s="105" t="n"/>
      <c r="E461" s="105" t="n"/>
      <c r="F461" s="105" t="n"/>
      <c r="G461" s="105" t="n"/>
      <c r="H461" s="2" t="n"/>
      <c r="I461" s="105" t="n"/>
      <c r="K461" s="215" t="n"/>
      <c r="L461" s="215" t="n"/>
      <c r="M461" s="215" t="n"/>
      <c r="N461" s="215" t="n"/>
      <c r="O461" s="215" t="n"/>
      <c r="P461" s="215" t="n"/>
      <c r="Q461" s="215" t="n"/>
      <c r="R461" s="215" t="n"/>
      <c r="S461" s="215" t="n"/>
      <c r="T461" s="215" t="n"/>
      <c r="U461" s="215" t="n"/>
      <c r="V461" s="215" t="n"/>
      <c r="W461" s="215" t="n"/>
      <c r="X461" s="215" t="n"/>
      <c r="Y461" s="215" t="n"/>
      <c r="Z461" s="215" t="n"/>
      <c r="AA461" s="215" t="n"/>
      <c r="AB461" s="215" t="n"/>
      <c r="AC461" s="215" t="n"/>
      <c r="AD461" s="215" t="n"/>
      <c r="AE461" s="215" t="n"/>
      <c r="AF461" s="215" t="n"/>
      <c r="AG461" s="215" t="n"/>
      <c r="AH461" s="215" t="n"/>
      <c r="AI461" s="215" t="n"/>
      <c r="AJ461" s="215" t="n"/>
      <c r="AK461" s="216" t="n"/>
    </row>
    <row r="462" ht="15" customHeight="1">
      <c r="B462" s="134" t="n"/>
      <c r="C462" s="105" t="n"/>
      <c r="D462" s="105" t="n"/>
      <c r="E462" s="105" t="n"/>
      <c r="F462" s="105" t="n"/>
      <c r="G462" s="105" t="n"/>
      <c r="H462" s="2" t="n"/>
      <c r="I462" s="105" t="n"/>
      <c r="K462" s="215" t="n"/>
      <c r="L462" s="215" t="n"/>
      <c r="M462" s="215" t="n"/>
      <c r="N462" s="215" t="n"/>
      <c r="O462" s="215" t="n"/>
      <c r="P462" s="215" t="n"/>
      <c r="Q462" s="215" t="n"/>
      <c r="R462" s="215" t="n"/>
      <c r="S462" s="215" t="n"/>
      <c r="T462" s="215" t="n"/>
      <c r="U462" s="215" t="n"/>
      <c r="V462" s="215" t="n"/>
      <c r="W462" s="215" t="n"/>
      <c r="X462" s="215" t="n"/>
      <c r="Y462" s="215" t="n"/>
      <c r="Z462" s="215" t="n"/>
      <c r="AA462" s="215" t="n"/>
      <c r="AB462" s="215" t="n"/>
      <c r="AC462" s="215" t="n"/>
      <c r="AD462" s="215" t="n"/>
      <c r="AE462" s="215" t="n"/>
      <c r="AF462" s="215" t="n"/>
      <c r="AG462" s="215" t="n"/>
      <c r="AH462" s="215" t="n"/>
      <c r="AI462" s="215" t="n"/>
      <c r="AJ462" s="215" t="n"/>
      <c r="AK462" s="216" t="n"/>
    </row>
    <row r="463" ht="15" customHeight="1">
      <c r="B463" s="134" t="n"/>
      <c r="C463" s="105" t="n"/>
      <c r="D463" s="105" t="n"/>
      <c r="E463" s="105" t="n"/>
      <c r="F463" s="105" t="n"/>
      <c r="G463" s="105" t="n"/>
      <c r="H463" s="2" t="n"/>
      <c r="I463" s="105" t="n"/>
      <c r="K463" s="215" t="n"/>
      <c r="L463" s="215" t="n"/>
      <c r="M463" s="215" t="n"/>
      <c r="N463" s="215" t="n"/>
      <c r="O463" s="215" t="n"/>
      <c r="P463" s="215" t="n"/>
      <c r="Q463" s="215" t="n"/>
      <c r="R463" s="215" t="n"/>
      <c r="S463" s="215" t="n"/>
      <c r="T463" s="215" t="n"/>
      <c r="U463" s="215" t="n"/>
      <c r="V463" s="215" t="n"/>
      <c r="W463" s="215" t="n"/>
      <c r="X463" s="215" t="n"/>
      <c r="Y463" s="215" t="n"/>
      <c r="Z463" s="215" t="n"/>
      <c r="AA463" s="215" t="n"/>
      <c r="AB463" s="215" t="n"/>
      <c r="AC463" s="215" t="n"/>
      <c r="AD463" s="215" t="n"/>
      <c r="AE463" s="215" t="n"/>
      <c r="AF463" s="215" t="n"/>
      <c r="AG463" s="215" t="n"/>
      <c r="AH463" s="215" t="n"/>
      <c r="AI463" s="215" t="n"/>
      <c r="AJ463" s="215" t="n"/>
      <c r="AK463" s="216" t="n"/>
    </row>
    <row r="464" ht="15" customHeight="1">
      <c r="B464" s="134" t="n"/>
      <c r="C464" s="105" t="n"/>
      <c r="D464" s="105" t="n"/>
      <c r="E464" s="105" t="n"/>
      <c r="F464" s="105" t="n"/>
      <c r="G464" s="105" t="n"/>
      <c r="H464" s="2" t="n"/>
      <c r="I464" s="105" t="n"/>
      <c r="K464" s="215" t="n"/>
      <c r="L464" s="215" t="n"/>
      <c r="M464" s="215" t="n"/>
      <c r="N464" s="215" t="n"/>
      <c r="O464" s="215" t="n"/>
      <c r="P464" s="215" t="n"/>
      <c r="Q464" s="215" t="n"/>
      <c r="R464" s="215" t="n"/>
      <c r="S464" s="215" t="n"/>
      <c r="T464" s="215" t="n"/>
      <c r="U464" s="215" t="n"/>
      <c r="V464" s="215" t="n"/>
      <c r="W464" s="215" t="n"/>
      <c r="X464" s="215" t="n"/>
      <c r="Y464" s="215" t="n"/>
      <c r="Z464" s="215" t="n"/>
      <c r="AA464" s="215" t="n"/>
      <c r="AB464" s="215" t="n"/>
      <c r="AC464" s="215" t="n"/>
      <c r="AD464" s="215" t="n"/>
      <c r="AE464" s="215" t="n"/>
      <c r="AF464" s="215" t="n"/>
      <c r="AG464" s="215" t="n"/>
      <c r="AH464" s="215" t="n"/>
      <c r="AI464" s="215" t="n"/>
      <c r="AJ464" s="215" t="n"/>
      <c r="AK464" s="216" t="n"/>
    </row>
    <row r="465" ht="15" customHeight="1">
      <c r="B465" s="134" t="n"/>
      <c r="C465" s="105" t="n"/>
      <c r="D465" s="105" t="n"/>
      <c r="E465" s="105" t="n"/>
      <c r="F465" s="105" t="n"/>
      <c r="G465" s="105" t="n"/>
      <c r="H465" s="2" t="n"/>
      <c r="I465" s="105" t="n"/>
      <c r="K465" s="215" t="n"/>
      <c r="L465" s="215" t="n"/>
      <c r="M465" s="215" t="n"/>
      <c r="N465" s="215" t="n"/>
      <c r="O465" s="215" t="n"/>
      <c r="P465" s="215" t="n"/>
      <c r="Q465" s="215" t="n"/>
      <c r="R465" s="215" t="n"/>
      <c r="S465" s="215" t="n"/>
      <c r="T465" s="215" t="n"/>
      <c r="U465" s="215" t="n"/>
      <c r="V465" s="215" t="n"/>
      <c r="W465" s="215" t="n"/>
      <c r="X465" s="215" t="n"/>
      <c r="Y465" s="215" t="n"/>
      <c r="Z465" s="215" t="n"/>
      <c r="AA465" s="215" t="n"/>
      <c r="AB465" s="215" t="n"/>
      <c r="AC465" s="215" t="n"/>
      <c r="AD465" s="215" t="n"/>
      <c r="AE465" s="215" t="n"/>
      <c r="AF465" s="215" t="n"/>
      <c r="AG465" s="215" t="n"/>
      <c r="AH465" s="215" t="n"/>
      <c r="AI465" s="215" t="n"/>
      <c r="AJ465" s="215" t="n"/>
      <c r="AK465" s="216" t="n"/>
    </row>
    <row r="466" ht="15" customHeight="1">
      <c r="B466" s="134" t="n"/>
      <c r="C466" s="105" t="n"/>
      <c r="D466" s="105" t="n"/>
      <c r="E466" s="105" t="n"/>
      <c r="F466" s="105" t="n"/>
      <c r="G466" s="105" t="n"/>
      <c r="H466" s="2" t="n"/>
      <c r="I466" s="105" t="n"/>
      <c r="K466" s="215" t="n"/>
      <c r="L466" s="215" t="n"/>
      <c r="M466" s="215" t="n"/>
      <c r="N466" s="215" t="n"/>
      <c r="O466" s="215" t="n"/>
      <c r="P466" s="215" t="n"/>
      <c r="Q466" s="215" t="n"/>
      <c r="R466" s="215" t="n"/>
      <c r="S466" s="215" t="n"/>
      <c r="T466" s="215" t="n"/>
      <c r="U466" s="215" t="n"/>
      <c r="V466" s="215" t="n"/>
      <c r="W466" s="215" t="n"/>
      <c r="X466" s="215" t="n"/>
      <c r="Y466" s="215" t="n"/>
      <c r="Z466" s="215" t="n"/>
      <c r="AA466" s="215" t="n"/>
      <c r="AB466" s="215" t="n"/>
      <c r="AC466" s="215" t="n"/>
      <c r="AD466" s="215" t="n"/>
      <c r="AE466" s="215" t="n"/>
      <c r="AF466" s="215" t="n"/>
      <c r="AG466" s="215" t="n"/>
      <c r="AH466" s="215" t="n"/>
      <c r="AI466" s="215" t="n"/>
      <c r="AJ466" s="215" t="n"/>
      <c r="AK466" s="216" t="n"/>
    </row>
    <row r="467" ht="15" customHeight="1">
      <c r="B467" s="134" t="n"/>
      <c r="C467" s="105" t="n"/>
      <c r="D467" s="105" t="n"/>
      <c r="E467" s="105" t="n"/>
      <c r="F467" s="105" t="n"/>
      <c r="G467" s="105" t="n"/>
      <c r="H467" s="2" t="n"/>
      <c r="I467" s="105" t="n"/>
      <c r="K467" s="215" t="n"/>
      <c r="L467" s="215" t="n"/>
      <c r="M467" s="215" t="n"/>
      <c r="N467" s="215" t="n"/>
      <c r="O467" s="215" t="n"/>
      <c r="P467" s="215" t="n"/>
      <c r="Q467" s="215" t="n"/>
      <c r="R467" s="215" t="n"/>
      <c r="S467" s="215" t="n"/>
      <c r="T467" s="215" t="n"/>
      <c r="U467" s="215" t="n"/>
      <c r="V467" s="215" t="n"/>
      <c r="W467" s="215" t="n"/>
      <c r="X467" s="215" t="n"/>
      <c r="Y467" s="215" t="n"/>
      <c r="Z467" s="215" t="n"/>
      <c r="AA467" s="215" t="n"/>
      <c r="AB467" s="215" t="n"/>
      <c r="AC467" s="215" t="n"/>
      <c r="AD467" s="215" t="n"/>
      <c r="AE467" s="215" t="n"/>
      <c r="AF467" s="215" t="n"/>
      <c r="AG467" s="215" t="n"/>
      <c r="AH467" s="215" t="n"/>
      <c r="AI467" s="215" t="n"/>
      <c r="AJ467" s="215" t="n"/>
      <c r="AK467" s="216" t="n"/>
    </row>
    <row r="468" ht="15" customHeight="1">
      <c r="B468" s="134" t="n"/>
      <c r="C468" s="105" t="n"/>
      <c r="D468" s="105" t="n"/>
      <c r="E468" s="105" t="n"/>
      <c r="F468" s="105" t="n"/>
      <c r="G468" s="105" t="n"/>
      <c r="H468" s="2" t="n"/>
      <c r="I468" s="105" t="n"/>
      <c r="K468" s="215" t="n"/>
      <c r="L468" s="215" t="n"/>
      <c r="M468" s="215" t="n"/>
      <c r="N468" s="215" t="n"/>
      <c r="O468" s="215" t="n"/>
      <c r="P468" s="215" t="n"/>
      <c r="Q468" s="215" t="n"/>
      <c r="R468" s="215" t="n"/>
      <c r="S468" s="215" t="n"/>
      <c r="T468" s="215" t="n"/>
      <c r="U468" s="215" t="n"/>
      <c r="V468" s="215" t="n"/>
      <c r="W468" s="215" t="n"/>
      <c r="X468" s="215" t="n"/>
      <c r="Y468" s="215" t="n"/>
      <c r="Z468" s="215" t="n"/>
      <c r="AA468" s="215" t="n"/>
      <c r="AB468" s="215" t="n"/>
      <c r="AC468" s="215" t="n"/>
      <c r="AD468" s="215" t="n"/>
      <c r="AE468" s="215" t="n"/>
      <c r="AF468" s="215" t="n"/>
      <c r="AG468" s="215" t="n"/>
      <c r="AH468" s="215" t="n"/>
      <c r="AI468" s="215" t="n"/>
      <c r="AJ468" s="215" t="n"/>
      <c r="AK468" s="216" t="n"/>
    </row>
    <row r="469" ht="15" customHeight="1">
      <c r="B469" s="134" t="n"/>
      <c r="C469" s="105" t="n"/>
      <c r="D469" s="105" t="n"/>
      <c r="E469" s="105" t="n"/>
      <c r="F469" s="105" t="n"/>
      <c r="G469" s="105" t="n"/>
      <c r="H469" s="2" t="n"/>
      <c r="I469" s="105" t="n"/>
      <c r="K469" s="215" t="n"/>
      <c r="L469" s="215" t="n"/>
      <c r="M469" s="215" t="n"/>
      <c r="N469" s="215" t="n"/>
      <c r="O469" s="215" t="n"/>
      <c r="P469" s="215" t="n"/>
      <c r="Q469" s="215" t="n"/>
      <c r="R469" s="215" t="n"/>
      <c r="S469" s="215" t="n"/>
      <c r="T469" s="215" t="n"/>
      <c r="U469" s="215" t="n"/>
      <c r="V469" s="215" t="n"/>
      <c r="W469" s="215" t="n"/>
      <c r="X469" s="215" t="n"/>
      <c r="Y469" s="215" t="n"/>
      <c r="Z469" s="215" t="n"/>
      <c r="AA469" s="215" t="n"/>
      <c r="AB469" s="215" t="n"/>
      <c r="AC469" s="215" t="n"/>
      <c r="AD469" s="215" t="n"/>
      <c r="AE469" s="215" t="n"/>
      <c r="AF469" s="215" t="n"/>
      <c r="AG469" s="215" t="n"/>
      <c r="AH469" s="215" t="n"/>
      <c r="AI469" s="215" t="n"/>
      <c r="AJ469" s="215" t="n"/>
      <c r="AK469" s="216" t="n"/>
    </row>
    <row r="470" ht="15" customHeight="1">
      <c r="B470" s="134" t="n"/>
      <c r="C470" s="105" t="n"/>
      <c r="D470" s="105" t="n"/>
      <c r="E470" s="105" t="n"/>
      <c r="F470" s="105" t="n"/>
      <c r="G470" s="105" t="n"/>
      <c r="H470" s="2" t="n"/>
      <c r="I470" s="105" t="n"/>
      <c r="K470" s="215" t="n"/>
      <c r="L470" s="215" t="n"/>
      <c r="M470" s="215" t="n"/>
      <c r="N470" s="215" t="n"/>
      <c r="O470" s="215" t="n"/>
      <c r="P470" s="215" t="n"/>
      <c r="Q470" s="215" t="n"/>
      <c r="R470" s="215" t="n"/>
      <c r="S470" s="215" t="n"/>
      <c r="T470" s="215" t="n"/>
      <c r="U470" s="215" t="n"/>
      <c r="V470" s="215" t="n"/>
      <c r="W470" s="215" t="n"/>
      <c r="X470" s="215" t="n"/>
      <c r="Y470" s="215" t="n"/>
      <c r="Z470" s="215" t="n"/>
      <c r="AA470" s="215" t="n"/>
      <c r="AB470" s="215" t="n"/>
      <c r="AC470" s="215" t="n"/>
      <c r="AD470" s="215" t="n"/>
      <c r="AE470" s="215" t="n"/>
      <c r="AF470" s="215" t="n"/>
      <c r="AG470" s="215" t="n"/>
      <c r="AH470" s="215" t="n"/>
      <c r="AI470" s="215" t="n"/>
      <c r="AJ470" s="215" t="n"/>
      <c r="AK470" s="216" t="n"/>
    </row>
    <row r="471" ht="15" customHeight="1">
      <c r="B471" s="134" t="n"/>
      <c r="C471" s="105" t="n"/>
      <c r="D471" s="105" t="n"/>
      <c r="E471" s="105" t="n"/>
      <c r="F471" s="105" t="n"/>
      <c r="G471" s="105" t="n"/>
      <c r="H471" s="2" t="n"/>
      <c r="I471" s="105" t="n"/>
      <c r="K471" s="215" t="n"/>
      <c r="L471" s="215" t="n"/>
      <c r="M471" s="215" t="n"/>
      <c r="N471" s="215" t="n"/>
      <c r="O471" s="215" t="n"/>
      <c r="P471" s="215" t="n"/>
      <c r="Q471" s="215" t="n"/>
      <c r="R471" s="215" t="n"/>
      <c r="S471" s="215" t="n"/>
      <c r="T471" s="215" t="n"/>
      <c r="U471" s="215" t="n"/>
      <c r="V471" s="215" t="n"/>
      <c r="W471" s="215" t="n"/>
      <c r="X471" s="215" t="n"/>
      <c r="Y471" s="215" t="n"/>
      <c r="Z471" s="215" t="n"/>
      <c r="AA471" s="215" t="n"/>
      <c r="AB471" s="215" t="n"/>
      <c r="AC471" s="215" t="n"/>
      <c r="AD471" s="215" t="n"/>
      <c r="AE471" s="215" t="n"/>
      <c r="AF471" s="215" t="n"/>
      <c r="AG471" s="215" t="n"/>
      <c r="AH471" s="215" t="n"/>
      <c r="AI471" s="215" t="n"/>
      <c r="AJ471" s="215" t="n"/>
      <c r="AK471" s="216" t="n"/>
    </row>
    <row r="472" ht="15" customHeight="1">
      <c r="B472" s="134" t="n"/>
      <c r="C472" s="105" t="n"/>
      <c r="D472" s="105" t="n"/>
      <c r="E472" s="105" t="n"/>
      <c r="F472" s="105" t="n"/>
      <c r="G472" s="105" t="n"/>
      <c r="H472" s="2" t="n"/>
      <c r="I472" s="105" t="n"/>
      <c r="K472" s="215" t="n"/>
      <c r="L472" s="215" t="n"/>
      <c r="M472" s="215" t="n"/>
      <c r="N472" s="215" t="n"/>
      <c r="O472" s="215" t="n"/>
      <c r="P472" s="215" t="n"/>
      <c r="Q472" s="215" t="n"/>
      <c r="R472" s="215" t="n"/>
      <c r="S472" s="215" t="n"/>
      <c r="T472" s="215" t="n"/>
      <c r="U472" s="215" t="n"/>
      <c r="V472" s="215" t="n"/>
      <c r="W472" s="215" t="n"/>
      <c r="X472" s="215" t="n"/>
      <c r="Y472" s="215" t="n"/>
      <c r="Z472" s="215" t="n"/>
      <c r="AA472" s="215" t="n"/>
      <c r="AB472" s="215" t="n"/>
      <c r="AC472" s="215" t="n"/>
      <c r="AD472" s="215" t="n"/>
      <c r="AE472" s="215" t="n"/>
      <c r="AF472" s="215" t="n"/>
      <c r="AG472" s="215" t="n"/>
      <c r="AH472" s="215" t="n"/>
      <c r="AI472" s="215" t="n"/>
      <c r="AJ472" s="215" t="n"/>
      <c r="AK472" s="216" t="n"/>
    </row>
    <row r="473" ht="15" customHeight="1">
      <c r="B473" s="134" t="n"/>
      <c r="C473" s="105" t="n"/>
      <c r="D473" s="105" t="n"/>
      <c r="E473" s="105" t="n"/>
      <c r="F473" s="105" t="n"/>
      <c r="G473" s="105" t="n"/>
      <c r="H473" s="2" t="n"/>
      <c r="I473" s="105" t="n"/>
      <c r="K473" s="215" t="n"/>
      <c r="L473" s="215" t="n"/>
      <c r="M473" s="215" t="n"/>
      <c r="N473" s="215" t="n"/>
      <c r="O473" s="215" t="n"/>
      <c r="P473" s="215" t="n"/>
      <c r="Q473" s="215" t="n"/>
      <c r="R473" s="215" t="n"/>
      <c r="S473" s="215" t="n"/>
      <c r="T473" s="215" t="n"/>
      <c r="U473" s="215" t="n"/>
      <c r="V473" s="215" t="n"/>
      <c r="W473" s="215" t="n"/>
      <c r="X473" s="215" t="n"/>
      <c r="Y473" s="215" t="n"/>
      <c r="Z473" s="215" t="n"/>
      <c r="AA473" s="215" t="n"/>
      <c r="AB473" s="215" t="n"/>
      <c r="AC473" s="215" t="n"/>
      <c r="AD473" s="215" t="n"/>
      <c r="AE473" s="215" t="n"/>
      <c r="AF473" s="215" t="n"/>
      <c r="AG473" s="215" t="n"/>
      <c r="AH473" s="215" t="n"/>
      <c r="AI473" s="215" t="n"/>
      <c r="AJ473" s="215" t="n"/>
      <c r="AK473" s="216" t="n"/>
    </row>
    <row r="474" ht="15" customHeight="1">
      <c r="B474" s="134" t="n"/>
      <c r="C474" s="105" t="n"/>
      <c r="D474" s="105" t="n"/>
      <c r="E474" s="105" t="n"/>
      <c r="F474" s="105" t="n"/>
      <c r="G474" s="105" t="n"/>
      <c r="H474" s="2" t="n"/>
      <c r="I474" s="105" t="n"/>
      <c r="K474" s="215" t="n"/>
      <c r="L474" s="215" t="n"/>
      <c r="M474" s="215" t="n"/>
      <c r="N474" s="215" t="n"/>
      <c r="O474" s="215" t="n"/>
      <c r="P474" s="215" t="n"/>
      <c r="Q474" s="215" t="n"/>
      <c r="R474" s="215" t="n"/>
      <c r="S474" s="215" t="n"/>
      <c r="T474" s="215" t="n"/>
      <c r="U474" s="215" t="n"/>
      <c r="V474" s="215" t="n"/>
      <c r="W474" s="215" t="n"/>
      <c r="X474" s="215" t="n"/>
      <c r="Y474" s="215" t="n"/>
      <c r="Z474" s="215" t="n"/>
      <c r="AA474" s="215" t="n"/>
      <c r="AB474" s="215" t="n"/>
      <c r="AC474" s="215" t="n"/>
      <c r="AD474" s="215" t="n"/>
      <c r="AE474" s="215" t="n"/>
      <c r="AF474" s="215" t="n"/>
      <c r="AG474" s="215" t="n"/>
      <c r="AH474" s="215" t="n"/>
      <c r="AI474" s="215" t="n"/>
      <c r="AJ474" s="215" t="n"/>
      <c r="AK474" s="216" t="n"/>
    </row>
    <row r="475" ht="15" customHeight="1">
      <c r="B475" s="134" t="n"/>
      <c r="C475" s="105" t="n"/>
      <c r="D475" s="105" t="n"/>
      <c r="E475" s="105" t="n"/>
      <c r="F475" s="105" t="n"/>
      <c r="G475" s="105" t="n"/>
      <c r="H475" s="2" t="n"/>
      <c r="I475" s="105" t="n"/>
      <c r="K475" s="215" t="n"/>
      <c r="L475" s="215" t="n"/>
      <c r="M475" s="215" t="n"/>
      <c r="N475" s="215" t="n"/>
      <c r="O475" s="215" t="n"/>
      <c r="P475" s="215" t="n"/>
      <c r="Q475" s="215" t="n"/>
      <c r="R475" s="215" t="n"/>
      <c r="S475" s="215" t="n"/>
      <c r="T475" s="215" t="n"/>
      <c r="U475" s="215" t="n"/>
      <c r="V475" s="215" t="n"/>
      <c r="W475" s="215" t="n"/>
      <c r="X475" s="215" t="n"/>
      <c r="Y475" s="215" t="n"/>
      <c r="Z475" s="215" t="n"/>
      <c r="AA475" s="215" t="n"/>
      <c r="AB475" s="215" t="n"/>
      <c r="AC475" s="215" t="n"/>
      <c r="AD475" s="215" t="n"/>
      <c r="AE475" s="215" t="n"/>
      <c r="AF475" s="215" t="n"/>
      <c r="AG475" s="215" t="n"/>
      <c r="AH475" s="215" t="n"/>
      <c r="AI475" s="215" t="n"/>
      <c r="AJ475" s="215" t="n"/>
      <c r="AK475" s="216" t="n"/>
    </row>
    <row r="476" ht="15" customHeight="1">
      <c r="B476" s="134" t="n"/>
      <c r="C476" s="105" t="n"/>
      <c r="D476" s="105" t="n"/>
      <c r="E476" s="105" t="n"/>
      <c r="F476" s="105" t="n"/>
      <c r="G476" s="105" t="n"/>
      <c r="H476" s="2" t="n"/>
      <c r="I476" s="105" t="n"/>
      <c r="K476" s="215" t="n"/>
      <c r="L476" s="215" t="n"/>
      <c r="M476" s="215" t="n"/>
      <c r="N476" s="215" t="n"/>
      <c r="O476" s="215" t="n"/>
      <c r="P476" s="215" t="n"/>
      <c r="Q476" s="215" t="n"/>
      <c r="R476" s="215" t="n"/>
      <c r="S476" s="215" t="n"/>
      <c r="T476" s="215" t="n"/>
      <c r="U476" s="215" t="n"/>
      <c r="V476" s="215" t="n"/>
      <c r="W476" s="215" t="n"/>
      <c r="X476" s="215" t="n"/>
      <c r="Y476" s="215" t="n"/>
      <c r="Z476" s="215" t="n"/>
      <c r="AA476" s="215" t="n"/>
      <c r="AB476" s="215" t="n"/>
      <c r="AC476" s="215" t="n"/>
      <c r="AD476" s="215" t="n"/>
      <c r="AE476" s="215" t="n"/>
      <c r="AF476" s="215" t="n"/>
      <c r="AG476" s="215" t="n"/>
      <c r="AH476" s="215" t="n"/>
      <c r="AI476" s="215" t="n"/>
      <c r="AJ476" s="215" t="n"/>
      <c r="AK476" s="216" t="n"/>
    </row>
    <row r="477" ht="15" customHeight="1">
      <c r="B477" s="134" t="n"/>
      <c r="C477" s="105" t="n"/>
      <c r="D477" s="105" t="n"/>
      <c r="E477" s="105" t="n"/>
      <c r="F477" s="105" t="n"/>
      <c r="G477" s="105" t="n"/>
      <c r="H477" s="2" t="n"/>
      <c r="I477" s="105" t="n"/>
      <c r="K477" s="215" t="n"/>
      <c r="L477" s="215" t="n"/>
      <c r="M477" s="215" t="n"/>
      <c r="N477" s="215" t="n"/>
      <c r="O477" s="215" t="n"/>
      <c r="P477" s="215" t="n"/>
      <c r="Q477" s="215" t="n"/>
      <c r="R477" s="215" t="n"/>
      <c r="S477" s="215" t="n"/>
      <c r="T477" s="215" t="n"/>
      <c r="U477" s="215" t="n"/>
      <c r="V477" s="215" t="n"/>
      <c r="W477" s="215" t="n"/>
      <c r="X477" s="215" t="n"/>
      <c r="Y477" s="215" t="n"/>
      <c r="Z477" s="215" t="n"/>
      <c r="AA477" s="215" t="n"/>
      <c r="AB477" s="215" t="n"/>
      <c r="AC477" s="215" t="n"/>
      <c r="AD477" s="215" t="n"/>
      <c r="AE477" s="215" t="n"/>
      <c r="AF477" s="215" t="n"/>
      <c r="AG477" s="215" t="n"/>
      <c r="AH477" s="215" t="n"/>
      <c r="AI477" s="215" t="n"/>
      <c r="AJ477" s="215" t="n"/>
      <c r="AK477" s="216" t="n"/>
    </row>
    <row r="478" ht="15" customHeight="1">
      <c r="B478" s="134" t="n"/>
      <c r="C478" s="105" t="n"/>
      <c r="D478" s="105" t="n"/>
      <c r="E478" s="105" t="n"/>
      <c r="F478" s="105" t="n"/>
      <c r="G478" s="105" t="n"/>
      <c r="H478" s="2" t="n"/>
      <c r="I478" s="105" t="n"/>
      <c r="K478" s="215" t="n"/>
      <c r="L478" s="215" t="n"/>
      <c r="M478" s="215" t="n"/>
      <c r="N478" s="215" t="n"/>
      <c r="O478" s="215" t="n"/>
      <c r="P478" s="215" t="n"/>
      <c r="Q478" s="215" t="n"/>
      <c r="R478" s="215" t="n"/>
      <c r="S478" s="215" t="n"/>
      <c r="T478" s="215" t="n"/>
      <c r="U478" s="215" t="n"/>
      <c r="V478" s="215" t="n"/>
      <c r="W478" s="215" t="n"/>
      <c r="X478" s="215" t="n"/>
      <c r="Y478" s="215" t="n"/>
      <c r="Z478" s="215" t="n"/>
      <c r="AA478" s="215" t="n"/>
      <c r="AB478" s="215" t="n"/>
      <c r="AC478" s="215" t="n"/>
      <c r="AD478" s="215" t="n"/>
      <c r="AE478" s="215" t="n"/>
      <c r="AF478" s="215" t="n"/>
      <c r="AG478" s="215" t="n"/>
      <c r="AH478" s="215" t="n"/>
      <c r="AI478" s="215" t="n"/>
      <c r="AJ478" s="215" t="n"/>
      <c r="AK478" s="216" t="n"/>
    </row>
    <row r="479" ht="15" customHeight="1">
      <c r="B479" s="134" t="n"/>
      <c r="C479" s="105" t="n"/>
      <c r="D479" s="105" t="n"/>
      <c r="E479" s="105" t="n"/>
      <c r="F479" s="105" t="n"/>
      <c r="G479" s="105" t="n"/>
      <c r="H479" s="2" t="n"/>
      <c r="I479" s="105" t="n"/>
      <c r="K479" s="215" t="n"/>
      <c r="L479" s="215" t="n"/>
      <c r="M479" s="215" t="n"/>
      <c r="N479" s="215" t="n"/>
      <c r="O479" s="215" t="n"/>
      <c r="P479" s="215" t="n"/>
      <c r="Q479" s="215" t="n"/>
      <c r="R479" s="215" t="n"/>
      <c r="S479" s="215" t="n"/>
      <c r="T479" s="215" t="n"/>
      <c r="U479" s="215" t="n"/>
      <c r="V479" s="215" t="n"/>
      <c r="W479" s="215" t="n"/>
      <c r="X479" s="215" t="n"/>
      <c r="Y479" s="215" t="n"/>
      <c r="Z479" s="215" t="n"/>
      <c r="AA479" s="215" t="n"/>
      <c r="AB479" s="215" t="n"/>
      <c r="AC479" s="215" t="n"/>
      <c r="AD479" s="215" t="n"/>
      <c r="AE479" s="215" t="n"/>
      <c r="AF479" s="215" t="n"/>
      <c r="AG479" s="215" t="n"/>
      <c r="AH479" s="215" t="n"/>
      <c r="AI479" s="215" t="n"/>
      <c r="AJ479" s="215" t="n"/>
      <c r="AK479" s="216" t="n"/>
    </row>
    <row r="480" ht="15" customHeight="1">
      <c r="B480" s="134" t="n"/>
      <c r="C480" s="105" t="n"/>
      <c r="D480" s="105" t="n"/>
      <c r="E480" s="105" t="n"/>
      <c r="F480" s="105" t="n"/>
      <c r="G480" s="105" t="n"/>
      <c r="H480" s="2" t="n"/>
      <c r="I480" s="105" t="n"/>
      <c r="K480" s="215" t="n"/>
      <c r="L480" s="215" t="n"/>
      <c r="M480" s="215" t="n"/>
      <c r="N480" s="215" t="n"/>
      <c r="O480" s="215" t="n"/>
      <c r="P480" s="215" t="n"/>
      <c r="Q480" s="215" t="n"/>
      <c r="R480" s="215" t="n"/>
      <c r="S480" s="215" t="n"/>
      <c r="T480" s="215" t="n"/>
      <c r="U480" s="215" t="n"/>
      <c r="V480" s="215" t="n"/>
      <c r="W480" s="215" t="n"/>
      <c r="X480" s="215" t="n"/>
      <c r="Y480" s="215" t="n"/>
      <c r="Z480" s="215" t="n"/>
      <c r="AA480" s="215" t="n"/>
      <c r="AB480" s="215" t="n"/>
      <c r="AC480" s="215" t="n"/>
      <c r="AD480" s="215" t="n"/>
      <c r="AE480" s="215" t="n"/>
      <c r="AF480" s="215" t="n"/>
      <c r="AG480" s="215" t="n"/>
      <c r="AH480" s="215" t="n"/>
      <c r="AI480" s="215" t="n"/>
      <c r="AJ480" s="215" t="n"/>
      <c r="AK480" s="216" t="n"/>
    </row>
    <row r="481" ht="15" customHeight="1">
      <c r="B481" s="134" t="n"/>
      <c r="C481" s="105" t="n"/>
      <c r="D481" s="105" t="n"/>
      <c r="E481" s="105" t="n"/>
      <c r="F481" s="105" t="n"/>
      <c r="G481" s="105" t="n"/>
      <c r="H481" s="2" t="n"/>
      <c r="I481" s="105" t="n"/>
      <c r="K481" s="215" t="n"/>
      <c r="L481" s="215" t="n"/>
      <c r="M481" s="215" t="n"/>
      <c r="N481" s="215" t="n"/>
      <c r="O481" s="215" t="n"/>
      <c r="P481" s="215" t="n"/>
      <c r="Q481" s="215" t="n"/>
      <c r="R481" s="215" t="n"/>
      <c r="S481" s="215" t="n"/>
      <c r="T481" s="215" t="n"/>
      <c r="U481" s="215" t="n"/>
      <c r="V481" s="215" t="n"/>
      <c r="W481" s="215" t="n"/>
      <c r="X481" s="215" t="n"/>
      <c r="Y481" s="215" t="n"/>
      <c r="Z481" s="215" t="n"/>
      <c r="AA481" s="215" t="n"/>
      <c r="AB481" s="215" t="n"/>
      <c r="AC481" s="215" t="n"/>
      <c r="AD481" s="215" t="n"/>
      <c r="AE481" s="215" t="n"/>
      <c r="AF481" s="215" t="n"/>
      <c r="AG481" s="215" t="n"/>
      <c r="AH481" s="215" t="n"/>
      <c r="AI481" s="215" t="n"/>
      <c r="AJ481" s="215" t="n"/>
      <c r="AK481" s="216" t="n"/>
    </row>
    <row r="482" ht="15" customHeight="1">
      <c r="B482" s="134" t="n"/>
      <c r="C482" s="105" t="n"/>
      <c r="D482" s="105" t="n"/>
      <c r="E482" s="105" t="n"/>
      <c r="F482" s="105" t="n"/>
      <c r="G482" s="105" t="n"/>
      <c r="H482" s="2" t="n"/>
      <c r="I482" s="105" t="n"/>
      <c r="K482" s="215" t="n"/>
      <c r="L482" s="215" t="n"/>
      <c r="M482" s="215" t="n"/>
      <c r="N482" s="215" t="n"/>
      <c r="O482" s="215" t="n"/>
      <c r="P482" s="215" t="n"/>
      <c r="Q482" s="215" t="n"/>
      <c r="R482" s="215" t="n"/>
      <c r="S482" s="215" t="n"/>
      <c r="T482" s="215" t="n"/>
      <c r="U482" s="215" t="n"/>
      <c r="V482" s="215" t="n"/>
      <c r="W482" s="215" t="n"/>
      <c r="X482" s="215" t="n"/>
      <c r="Y482" s="215" t="n"/>
      <c r="Z482" s="215" t="n"/>
      <c r="AA482" s="215" t="n"/>
      <c r="AB482" s="215" t="n"/>
      <c r="AC482" s="215" t="n"/>
      <c r="AD482" s="215" t="n"/>
      <c r="AE482" s="215" t="n"/>
      <c r="AF482" s="215" t="n"/>
      <c r="AG482" s="215" t="n"/>
      <c r="AH482" s="215" t="n"/>
      <c r="AI482" s="215" t="n"/>
      <c r="AJ482" s="215" t="n"/>
      <c r="AK482" s="216" t="n"/>
    </row>
    <row r="483" ht="15" customHeight="1">
      <c r="B483" s="134" t="n"/>
      <c r="C483" s="105" t="n"/>
      <c r="D483" s="105" t="n"/>
      <c r="E483" s="105" t="n"/>
      <c r="F483" s="105" t="n"/>
      <c r="G483" s="105" t="n"/>
      <c r="H483" s="2" t="n"/>
      <c r="I483" s="105" t="n"/>
      <c r="K483" s="215" t="n"/>
      <c r="L483" s="215" t="n"/>
      <c r="M483" s="215" t="n"/>
      <c r="N483" s="215" t="n"/>
      <c r="O483" s="215" t="n"/>
      <c r="P483" s="215" t="n"/>
      <c r="Q483" s="215" t="n"/>
      <c r="R483" s="215" t="n"/>
      <c r="S483" s="215" t="n"/>
      <c r="T483" s="215" t="n"/>
      <c r="U483" s="215" t="n"/>
      <c r="V483" s="215" t="n"/>
      <c r="W483" s="215" t="n"/>
      <c r="X483" s="215" t="n"/>
      <c r="Y483" s="215" t="n"/>
      <c r="Z483" s="215" t="n"/>
      <c r="AA483" s="215" t="n"/>
      <c r="AB483" s="215" t="n"/>
      <c r="AC483" s="215" t="n"/>
      <c r="AD483" s="215" t="n"/>
      <c r="AE483" s="215" t="n"/>
      <c r="AF483" s="215" t="n"/>
      <c r="AG483" s="215" t="n"/>
      <c r="AH483" s="215" t="n"/>
      <c r="AI483" s="215" t="n"/>
      <c r="AJ483" s="215" t="n"/>
      <c r="AK483" s="216" t="n"/>
    </row>
    <row r="484" ht="15" customHeight="1">
      <c r="B484" s="134" t="n"/>
      <c r="C484" s="105" t="n"/>
      <c r="D484" s="105" t="n"/>
      <c r="E484" s="105" t="n"/>
      <c r="F484" s="105" t="n"/>
      <c r="G484" s="105" t="n"/>
      <c r="H484" s="2" t="n"/>
      <c r="I484" s="105" t="n"/>
      <c r="K484" s="215" t="n"/>
      <c r="L484" s="215" t="n"/>
      <c r="M484" s="215" t="n"/>
      <c r="N484" s="215" t="n"/>
      <c r="O484" s="215" t="n"/>
      <c r="P484" s="215" t="n"/>
      <c r="Q484" s="215" t="n"/>
      <c r="R484" s="215" t="n"/>
      <c r="S484" s="215" t="n"/>
      <c r="T484" s="215" t="n"/>
      <c r="U484" s="215" t="n"/>
      <c r="V484" s="215" t="n"/>
      <c r="W484" s="215" t="n"/>
      <c r="X484" s="215" t="n"/>
      <c r="Y484" s="215" t="n"/>
      <c r="Z484" s="215" t="n"/>
      <c r="AA484" s="215" t="n"/>
      <c r="AB484" s="215" t="n"/>
      <c r="AC484" s="215" t="n"/>
      <c r="AD484" s="215" t="n"/>
      <c r="AE484" s="215" t="n"/>
      <c r="AF484" s="215" t="n"/>
      <c r="AG484" s="215" t="n"/>
      <c r="AH484" s="215" t="n"/>
      <c r="AI484" s="215" t="n"/>
      <c r="AJ484" s="215" t="n"/>
      <c r="AK484" s="216" t="n"/>
    </row>
    <row r="485" ht="15" customHeight="1">
      <c r="B485" s="134" t="n"/>
      <c r="C485" s="105" t="n"/>
      <c r="D485" s="105" t="n"/>
      <c r="E485" s="105" t="n"/>
      <c r="F485" s="105" t="n"/>
      <c r="G485" s="105" t="n"/>
      <c r="H485" s="2" t="n"/>
      <c r="I485" s="105" t="n"/>
      <c r="K485" s="215" t="n"/>
      <c r="L485" s="215" t="n"/>
      <c r="M485" s="215" t="n"/>
      <c r="N485" s="215" t="n"/>
      <c r="O485" s="215" t="n"/>
      <c r="P485" s="215" t="n"/>
      <c r="Q485" s="215" t="n"/>
      <c r="R485" s="215" t="n"/>
      <c r="S485" s="215" t="n"/>
      <c r="T485" s="215" t="n"/>
      <c r="U485" s="215" t="n"/>
      <c r="V485" s="215" t="n"/>
      <c r="W485" s="215" t="n"/>
      <c r="X485" s="215" t="n"/>
      <c r="Y485" s="215" t="n"/>
      <c r="Z485" s="215" t="n"/>
      <c r="AA485" s="215" t="n"/>
      <c r="AB485" s="215" t="n"/>
      <c r="AC485" s="215" t="n"/>
      <c r="AD485" s="215" t="n"/>
      <c r="AE485" s="215" t="n"/>
      <c r="AF485" s="215" t="n"/>
      <c r="AG485" s="215" t="n"/>
      <c r="AH485" s="215" t="n"/>
      <c r="AI485" s="215" t="n"/>
      <c r="AJ485" s="215" t="n"/>
      <c r="AK485" s="216" t="n"/>
    </row>
    <row r="486" ht="15" customHeight="1">
      <c r="B486" s="134" t="n"/>
      <c r="C486" s="105" t="n"/>
      <c r="D486" s="105" t="n"/>
      <c r="E486" s="105" t="n"/>
      <c r="F486" s="105" t="n"/>
      <c r="G486" s="105" t="n"/>
      <c r="H486" s="2" t="n"/>
      <c r="I486" s="105" t="n"/>
      <c r="K486" s="215" t="n"/>
      <c r="L486" s="215" t="n"/>
      <c r="M486" s="215" t="n"/>
      <c r="N486" s="215" t="n"/>
      <c r="O486" s="215" t="n"/>
      <c r="P486" s="215" t="n"/>
      <c r="Q486" s="215" t="n"/>
      <c r="R486" s="215" t="n"/>
      <c r="S486" s="215" t="n"/>
      <c r="T486" s="215" t="n"/>
      <c r="U486" s="215" t="n"/>
      <c r="V486" s="215" t="n"/>
      <c r="W486" s="215" t="n"/>
      <c r="X486" s="215" t="n"/>
      <c r="Y486" s="215" t="n"/>
      <c r="Z486" s="215" t="n"/>
      <c r="AA486" s="215" t="n"/>
      <c r="AB486" s="215" t="n"/>
      <c r="AC486" s="215" t="n"/>
      <c r="AD486" s="215" t="n"/>
      <c r="AE486" s="215" t="n"/>
      <c r="AF486" s="215" t="n"/>
      <c r="AG486" s="215" t="n"/>
      <c r="AH486" s="215" t="n"/>
      <c r="AI486" s="215" t="n"/>
      <c r="AJ486" s="215" t="n"/>
      <c r="AK486" s="216" t="n"/>
    </row>
    <row r="487" ht="15" customHeight="1">
      <c r="B487" s="134" t="n"/>
      <c r="C487" s="105" t="n"/>
      <c r="D487" s="105" t="n"/>
      <c r="E487" s="105" t="n"/>
      <c r="F487" s="105" t="n"/>
      <c r="G487" s="105" t="n"/>
      <c r="H487" s="2" t="n"/>
      <c r="I487" s="105" t="n"/>
      <c r="K487" s="215" t="n"/>
      <c r="L487" s="215" t="n"/>
      <c r="M487" s="215" t="n"/>
      <c r="N487" s="215" t="n"/>
      <c r="O487" s="215" t="n"/>
      <c r="P487" s="215" t="n"/>
      <c r="Q487" s="215" t="n"/>
      <c r="R487" s="215" t="n"/>
      <c r="S487" s="215" t="n"/>
      <c r="T487" s="215" t="n"/>
      <c r="U487" s="215" t="n"/>
      <c r="V487" s="215" t="n"/>
      <c r="W487" s="215" t="n"/>
      <c r="X487" s="215" t="n"/>
      <c r="Y487" s="215" t="n"/>
      <c r="Z487" s="215" t="n"/>
      <c r="AA487" s="215" t="n"/>
      <c r="AB487" s="215" t="n"/>
      <c r="AC487" s="215" t="n"/>
      <c r="AD487" s="215" t="n"/>
      <c r="AE487" s="215" t="n"/>
      <c r="AF487" s="215" t="n"/>
      <c r="AG487" s="215" t="n"/>
      <c r="AH487" s="215" t="n"/>
      <c r="AI487" s="215" t="n"/>
      <c r="AJ487" s="215" t="n"/>
      <c r="AK487" s="216" t="n"/>
    </row>
    <row r="488" ht="15" customHeight="1">
      <c r="B488" s="134" t="n"/>
      <c r="C488" s="105" t="n"/>
      <c r="D488" s="105" t="n"/>
      <c r="E488" s="105" t="n"/>
      <c r="F488" s="105" t="n"/>
      <c r="G488" s="105" t="n"/>
      <c r="H488" s="2" t="n"/>
      <c r="I488" s="105" t="n"/>
      <c r="K488" s="215" t="n"/>
      <c r="L488" s="215" t="n"/>
      <c r="M488" s="215" t="n"/>
      <c r="N488" s="215" t="n"/>
      <c r="O488" s="215" t="n"/>
      <c r="P488" s="215" t="n"/>
      <c r="Q488" s="215" t="n"/>
      <c r="R488" s="215" t="n"/>
      <c r="S488" s="215" t="n"/>
      <c r="T488" s="215" t="n"/>
      <c r="U488" s="215" t="n"/>
      <c r="V488" s="215" t="n"/>
      <c r="W488" s="215" t="n"/>
      <c r="X488" s="215" t="n"/>
      <c r="Y488" s="215" t="n"/>
      <c r="Z488" s="215" t="n"/>
      <c r="AA488" s="215" t="n"/>
      <c r="AB488" s="215" t="n"/>
      <c r="AC488" s="215" t="n"/>
      <c r="AD488" s="215" t="n"/>
      <c r="AE488" s="215" t="n"/>
      <c r="AF488" s="215" t="n"/>
      <c r="AG488" s="215" t="n"/>
      <c r="AH488" s="215" t="n"/>
      <c r="AI488" s="215" t="n"/>
      <c r="AJ488" s="215" t="n"/>
      <c r="AK488" s="216" t="n"/>
    </row>
    <row r="489" ht="15" customHeight="1">
      <c r="B489" s="134" t="n"/>
      <c r="C489" s="105" t="n"/>
      <c r="D489" s="105" t="n"/>
      <c r="E489" s="105" t="n"/>
      <c r="F489" s="105" t="n"/>
      <c r="G489" s="105" t="n"/>
      <c r="H489" s="2" t="n"/>
      <c r="I489" s="105" t="n"/>
      <c r="K489" s="215" t="n"/>
      <c r="L489" s="215" t="n"/>
      <c r="M489" s="215" t="n"/>
      <c r="N489" s="215" t="n"/>
      <c r="O489" s="215" t="n"/>
      <c r="P489" s="215" t="n"/>
      <c r="Q489" s="215" t="n"/>
      <c r="R489" s="215" t="n"/>
      <c r="S489" s="215" t="n"/>
      <c r="T489" s="215" t="n"/>
      <c r="U489" s="215" t="n"/>
      <c r="V489" s="215" t="n"/>
      <c r="W489" s="215" t="n"/>
      <c r="X489" s="215" t="n"/>
      <c r="Y489" s="215" t="n"/>
      <c r="Z489" s="215" t="n"/>
      <c r="AA489" s="215" t="n"/>
      <c r="AB489" s="215" t="n"/>
      <c r="AC489" s="215" t="n"/>
      <c r="AD489" s="215" t="n"/>
      <c r="AE489" s="215" t="n"/>
      <c r="AF489" s="215" t="n"/>
      <c r="AG489" s="215" t="n"/>
      <c r="AH489" s="215" t="n"/>
      <c r="AI489" s="215" t="n"/>
      <c r="AJ489" s="215" t="n"/>
      <c r="AK489" s="216" t="n"/>
    </row>
    <row r="490" ht="15" customHeight="1">
      <c r="B490" s="134" t="n"/>
      <c r="C490" s="105" t="n"/>
      <c r="D490" s="105" t="n"/>
      <c r="E490" s="105" t="n"/>
      <c r="F490" s="105" t="n"/>
      <c r="G490" s="105" t="n"/>
      <c r="H490" s="2" t="n"/>
      <c r="I490" s="105" t="n"/>
      <c r="K490" s="215" t="n"/>
      <c r="L490" s="215" t="n"/>
      <c r="M490" s="215" t="n"/>
      <c r="N490" s="215" t="n"/>
      <c r="O490" s="215" t="n"/>
      <c r="P490" s="215" t="n"/>
      <c r="Q490" s="215" t="n"/>
      <c r="R490" s="215" t="n"/>
      <c r="S490" s="215" t="n"/>
      <c r="T490" s="215" t="n"/>
      <c r="U490" s="215" t="n"/>
      <c r="V490" s="215" t="n"/>
      <c r="W490" s="215" t="n"/>
      <c r="X490" s="215" t="n"/>
      <c r="Y490" s="215" t="n"/>
      <c r="Z490" s="215" t="n"/>
      <c r="AA490" s="215" t="n"/>
      <c r="AB490" s="215" t="n"/>
      <c r="AC490" s="215" t="n"/>
      <c r="AD490" s="215" t="n"/>
      <c r="AE490" s="215" t="n"/>
      <c r="AF490" s="215" t="n"/>
      <c r="AG490" s="215" t="n"/>
      <c r="AH490" s="215" t="n"/>
      <c r="AI490" s="215" t="n"/>
      <c r="AJ490" s="215" t="n"/>
      <c r="AK490" s="216" t="n"/>
    </row>
    <row r="491" ht="15" customHeight="1">
      <c r="B491" s="134" t="n"/>
      <c r="C491" s="105" t="n"/>
      <c r="D491" s="105" t="n"/>
      <c r="E491" s="105" t="n"/>
      <c r="F491" s="105" t="n"/>
      <c r="G491" s="105" t="n"/>
      <c r="H491" s="2" t="n"/>
      <c r="I491" s="105" t="n"/>
      <c r="K491" s="215" t="n"/>
      <c r="L491" s="215" t="n"/>
      <c r="M491" s="215" t="n"/>
      <c r="N491" s="215" t="n"/>
      <c r="O491" s="215" t="n"/>
      <c r="P491" s="215" t="n"/>
      <c r="Q491" s="215" t="n"/>
      <c r="R491" s="215" t="n"/>
      <c r="S491" s="215" t="n"/>
      <c r="T491" s="215" t="n"/>
      <c r="U491" s="215" t="n"/>
      <c r="V491" s="215" t="n"/>
      <c r="W491" s="215" t="n"/>
      <c r="X491" s="215" t="n"/>
      <c r="Y491" s="215" t="n"/>
      <c r="Z491" s="215" t="n"/>
      <c r="AA491" s="215" t="n"/>
      <c r="AB491" s="215" t="n"/>
      <c r="AC491" s="215" t="n"/>
      <c r="AD491" s="215" t="n"/>
      <c r="AE491" s="215" t="n"/>
      <c r="AF491" s="215" t="n"/>
      <c r="AG491" s="215" t="n"/>
      <c r="AH491" s="215" t="n"/>
      <c r="AI491" s="215" t="n"/>
      <c r="AJ491" s="215" t="n"/>
      <c r="AK491" s="216" t="n"/>
    </row>
    <row r="492" ht="15" customHeight="1">
      <c r="B492" s="134" t="n"/>
      <c r="C492" s="105" t="n"/>
      <c r="D492" s="105" t="n"/>
      <c r="E492" s="105" t="n"/>
      <c r="F492" s="105" t="n"/>
      <c r="G492" s="105" t="n"/>
      <c r="H492" s="2" t="n"/>
      <c r="I492" s="105" t="n"/>
      <c r="K492" s="215" t="n"/>
      <c r="L492" s="215" t="n"/>
      <c r="M492" s="215" t="n"/>
      <c r="N492" s="215" t="n"/>
      <c r="O492" s="215" t="n"/>
      <c r="P492" s="215" t="n"/>
      <c r="Q492" s="215" t="n"/>
      <c r="R492" s="215" t="n"/>
      <c r="S492" s="215" t="n"/>
      <c r="T492" s="215" t="n"/>
      <c r="U492" s="215" t="n"/>
      <c r="V492" s="215" t="n"/>
      <c r="W492" s="215" t="n"/>
      <c r="X492" s="215" t="n"/>
      <c r="Y492" s="215" t="n"/>
      <c r="Z492" s="215" t="n"/>
      <c r="AA492" s="215" t="n"/>
      <c r="AB492" s="215" t="n"/>
      <c r="AC492" s="215" t="n"/>
      <c r="AD492" s="215" t="n"/>
      <c r="AE492" s="215" t="n"/>
      <c r="AF492" s="215" t="n"/>
      <c r="AG492" s="215" t="n"/>
      <c r="AH492" s="215" t="n"/>
      <c r="AI492" s="215" t="n"/>
      <c r="AJ492" s="215" t="n"/>
      <c r="AK492" s="216" t="n"/>
    </row>
    <row r="493" ht="15" customHeight="1">
      <c r="B493" s="134" t="n"/>
      <c r="C493" s="105" t="n"/>
      <c r="D493" s="105" t="n"/>
      <c r="E493" s="105" t="n"/>
      <c r="F493" s="105" t="n"/>
      <c r="G493" s="105" t="n"/>
      <c r="H493" s="2" t="n"/>
      <c r="I493" s="105" t="n"/>
      <c r="K493" s="215" t="n"/>
      <c r="L493" s="215" t="n"/>
      <c r="M493" s="215" t="n"/>
      <c r="N493" s="215" t="n"/>
      <c r="O493" s="215" t="n"/>
      <c r="P493" s="215" t="n"/>
      <c r="Q493" s="215" t="n"/>
      <c r="R493" s="215" t="n"/>
      <c r="S493" s="215" t="n"/>
      <c r="T493" s="215" t="n"/>
      <c r="U493" s="215" t="n"/>
      <c r="V493" s="215" t="n"/>
      <c r="W493" s="215" t="n"/>
      <c r="X493" s="215" t="n"/>
      <c r="Y493" s="215" t="n"/>
      <c r="Z493" s="215" t="n"/>
      <c r="AA493" s="215" t="n"/>
      <c r="AB493" s="215" t="n"/>
      <c r="AC493" s="215" t="n"/>
      <c r="AD493" s="215" t="n"/>
      <c r="AE493" s="215" t="n"/>
      <c r="AF493" s="215" t="n"/>
      <c r="AG493" s="215" t="n"/>
      <c r="AH493" s="215" t="n"/>
      <c r="AI493" s="215" t="n"/>
      <c r="AJ493" s="215" t="n"/>
      <c r="AK493" s="216" t="n"/>
    </row>
    <row r="494" ht="15" customHeight="1">
      <c r="B494" s="134" t="n"/>
      <c r="C494" s="105" t="n"/>
      <c r="D494" s="105" t="n"/>
      <c r="E494" s="105" t="n"/>
      <c r="F494" s="105" t="n"/>
      <c r="G494" s="105" t="n"/>
      <c r="H494" s="2" t="n"/>
      <c r="I494" s="105" t="n"/>
      <c r="K494" s="215" t="n"/>
      <c r="L494" s="215" t="n"/>
      <c r="M494" s="215" t="n"/>
      <c r="N494" s="215" t="n"/>
      <c r="O494" s="215" t="n"/>
      <c r="P494" s="215" t="n"/>
      <c r="Q494" s="215" t="n"/>
      <c r="R494" s="215" t="n"/>
      <c r="S494" s="215" t="n"/>
      <c r="T494" s="215" t="n"/>
      <c r="U494" s="215" t="n"/>
      <c r="V494" s="215" t="n"/>
      <c r="W494" s="215" t="n"/>
      <c r="X494" s="215" t="n"/>
      <c r="Y494" s="215" t="n"/>
      <c r="Z494" s="215" t="n"/>
      <c r="AA494" s="215" t="n"/>
      <c r="AB494" s="215" t="n"/>
      <c r="AC494" s="215" t="n"/>
      <c r="AD494" s="215" t="n"/>
      <c r="AE494" s="215" t="n"/>
      <c r="AF494" s="215" t="n"/>
      <c r="AG494" s="215" t="n"/>
      <c r="AH494" s="215" t="n"/>
      <c r="AI494" s="215" t="n"/>
      <c r="AJ494" s="215" t="n"/>
      <c r="AK494" s="216" t="n"/>
    </row>
    <row r="495" ht="15" customHeight="1">
      <c r="B495" s="134" t="n"/>
      <c r="C495" s="105" t="n"/>
      <c r="D495" s="105" t="n"/>
      <c r="E495" s="105" t="n"/>
      <c r="F495" s="105" t="n"/>
      <c r="G495" s="105" t="n"/>
      <c r="H495" s="2" t="n"/>
      <c r="I495" s="105" t="n"/>
      <c r="K495" s="215" t="n"/>
      <c r="L495" s="215" t="n"/>
      <c r="M495" s="215" t="n"/>
      <c r="N495" s="215" t="n"/>
      <c r="O495" s="215" t="n"/>
      <c r="P495" s="215" t="n"/>
      <c r="Q495" s="215" t="n"/>
      <c r="R495" s="215" t="n"/>
      <c r="S495" s="215" t="n"/>
      <c r="T495" s="215" t="n"/>
      <c r="U495" s="215" t="n"/>
      <c r="V495" s="215" t="n"/>
      <c r="W495" s="215" t="n"/>
      <c r="X495" s="215" t="n"/>
      <c r="Y495" s="215" t="n"/>
      <c r="Z495" s="215" t="n"/>
      <c r="AA495" s="215" t="n"/>
      <c r="AB495" s="215" t="n"/>
      <c r="AC495" s="215" t="n"/>
      <c r="AD495" s="215" t="n"/>
      <c r="AE495" s="215" t="n"/>
      <c r="AF495" s="215" t="n"/>
      <c r="AG495" s="215" t="n"/>
      <c r="AH495" s="215" t="n"/>
      <c r="AI495" s="215" t="n"/>
      <c r="AJ495" s="215" t="n"/>
      <c r="AK495" s="216" t="n"/>
    </row>
    <row r="496" ht="15" customHeight="1">
      <c r="B496" s="134" t="n"/>
      <c r="C496" s="105" t="n"/>
      <c r="D496" s="105" t="n"/>
      <c r="E496" s="105" t="n"/>
      <c r="F496" s="105" t="n"/>
      <c r="G496" s="105" t="n"/>
      <c r="H496" s="2" t="n"/>
      <c r="I496" s="105" t="n"/>
      <c r="K496" s="215" t="n"/>
      <c r="L496" s="215" t="n"/>
      <c r="M496" s="215" t="n"/>
      <c r="N496" s="215" t="n"/>
      <c r="O496" s="215" t="n"/>
      <c r="P496" s="215" t="n"/>
      <c r="Q496" s="215" t="n"/>
      <c r="R496" s="215" t="n"/>
      <c r="S496" s="215" t="n"/>
      <c r="T496" s="215" t="n"/>
      <c r="U496" s="215" t="n"/>
      <c r="V496" s="215" t="n"/>
      <c r="W496" s="215" t="n"/>
      <c r="X496" s="215" t="n"/>
      <c r="Y496" s="215" t="n"/>
      <c r="Z496" s="215" t="n"/>
      <c r="AA496" s="215" t="n"/>
      <c r="AB496" s="215" t="n"/>
      <c r="AC496" s="215" t="n"/>
      <c r="AD496" s="215" t="n"/>
      <c r="AE496" s="215" t="n"/>
      <c r="AF496" s="215" t="n"/>
      <c r="AG496" s="215" t="n"/>
      <c r="AH496" s="215" t="n"/>
      <c r="AI496" s="215" t="n"/>
      <c r="AJ496" s="215" t="n"/>
      <c r="AK496" s="216" t="n"/>
    </row>
    <row r="497" ht="15" customHeight="1">
      <c r="B497" s="134" t="n"/>
      <c r="C497" s="105" t="n"/>
      <c r="D497" s="105" t="n"/>
      <c r="E497" s="105" t="n"/>
      <c r="F497" s="105" t="n"/>
      <c r="G497" s="105" t="n"/>
      <c r="H497" s="2" t="n"/>
      <c r="I497" s="105" t="n"/>
      <c r="K497" s="215" t="n"/>
      <c r="L497" s="215" t="n"/>
      <c r="M497" s="215" t="n"/>
      <c r="N497" s="215" t="n"/>
      <c r="O497" s="215" t="n"/>
      <c r="P497" s="215" t="n"/>
      <c r="Q497" s="215" t="n"/>
      <c r="R497" s="215" t="n"/>
      <c r="S497" s="215" t="n"/>
      <c r="T497" s="215" t="n"/>
      <c r="U497" s="215" t="n"/>
      <c r="V497" s="215" t="n"/>
      <c r="W497" s="215" t="n"/>
      <c r="X497" s="215" t="n"/>
      <c r="Y497" s="215" t="n"/>
      <c r="Z497" s="215" t="n"/>
      <c r="AA497" s="215" t="n"/>
      <c r="AB497" s="215" t="n"/>
      <c r="AC497" s="215" t="n"/>
      <c r="AD497" s="215" t="n"/>
      <c r="AE497" s="215" t="n"/>
      <c r="AF497" s="215" t="n"/>
      <c r="AG497" s="215" t="n"/>
      <c r="AH497" s="215" t="n"/>
      <c r="AI497" s="215" t="n"/>
      <c r="AJ497" s="215" t="n"/>
      <c r="AK497" s="216" t="n"/>
    </row>
    <row r="498" ht="15" customHeight="1">
      <c r="B498" s="134" t="n"/>
      <c r="C498" s="105" t="n"/>
      <c r="D498" s="105" t="n"/>
      <c r="E498" s="105" t="n"/>
      <c r="F498" s="105" t="n"/>
      <c r="G498" s="105" t="n"/>
      <c r="H498" s="2" t="n"/>
      <c r="I498" s="105" t="n"/>
      <c r="K498" s="215" t="n"/>
      <c r="L498" s="215" t="n"/>
      <c r="M498" s="215" t="n"/>
      <c r="N498" s="215" t="n"/>
      <c r="O498" s="215" t="n"/>
      <c r="P498" s="215" t="n"/>
      <c r="Q498" s="215" t="n"/>
      <c r="R498" s="215" t="n"/>
      <c r="S498" s="215" t="n"/>
      <c r="T498" s="215" t="n"/>
      <c r="U498" s="215" t="n"/>
      <c r="V498" s="215" t="n"/>
      <c r="W498" s="215" t="n"/>
      <c r="X498" s="215" t="n"/>
      <c r="Y498" s="215" t="n"/>
      <c r="Z498" s="215" t="n"/>
      <c r="AA498" s="215" t="n"/>
      <c r="AB498" s="215" t="n"/>
      <c r="AC498" s="215" t="n"/>
      <c r="AD498" s="215" t="n"/>
      <c r="AE498" s="215" t="n"/>
      <c r="AF498" s="215" t="n"/>
      <c r="AG498" s="215" t="n"/>
      <c r="AH498" s="215" t="n"/>
      <c r="AI498" s="215" t="n"/>
      <c r="AJ498" s="215" t="n"/>
      <c r="AK498" s="216" t="n"/>
    </row>
    <row r="499" ht="15" customHeight="1">
      <c r="B499" s="134" t="n"/>
      <c r="C499" s="105" t="n"/>
      <c r="D499" s="105" t="n"/>
      <c r="E499" s="105" t="n"/>
      <c r="F499" s="105" t="n"/>
      <c r="G499" s="105" t="n"/>
      <c r="H499" s="2" t="n"/>
      <c r="I499" s="105" t="n"/>
      <c r="K499" s="215" t="n"/>
      <c r="L499" s="215" t="n"/>
      <c r="M499" s="215" t="n"/>
      <c r="N499" s="215" t="n"/>
      <c r="O499" s="215" t="n"/>
      <c r="P499" s="215" t="n"/>
      <c r="Q499" s="215" t="n"/>
      <c r="R499" s="215" t="n"/>
      <c r="S499" s="215" t="n"/>
      <c r="T499" s="215" t="n"/>
      <c r="U499" s="215" t="n"/>
      <c r="V499" s="215" t="n"/>
      <c r="W499" s="215" t="n"/>
      <c r="X499" s="215" t="n"/>
      <c r="Y499" s="215" t="n"/>
      <c r="Z499" s="215" t="n"/>
      <c r="AA499" s="215" t="n"/>
      <c r="AB499" s="215" t="n"/>
      <c r="AC499" s="215" t="n"/>
      <c r="AD499" s="215" t="n"/>
      <c r="AE499" s="215" t="n"/>
      <c r="AF499" s="215" t="n"/>
      <c r="AG499" s="215" t="n"/>
      <c r="AH499" s="215" t="n"/>
      <c r="AI499" s="215" t="n"/>
      <c r="AJ499" s="215" t="n"/>
      <c r="AK499" s="216" t="n"/>
    </row>
    <row r="500" ht="15" customHeight="1">
      <c r="B500" s="134" t="n"/>
      <c r="C500" s="105" t="n"/>
      <c r="D500" s="105" t="n"/>
      <c r="E500" s="105" t="n"/>
      <c r="F500" s="105" t="n"/>
      <c r="G500" s="105" t="n"/>
      <c r="H500" s="2" t="n"/>
      <c r="I500" s="105" t="n"/>
      <c r="K500" s="215" t="n"/>
      <c r="L500" s="215" t="n"/>
      <c r="M500" s="215" t="n"/>
      <c r="N500" s="215" t="n"/>
      <c r="O500" s="215" t="n"/>
      <c r="P500" s="215" t="n"/>
      <c r="Q500" s="215" t="n"/>
      <c r="R500" s="215" t="n"/>
      <c r="S500" s="215" t="n"/>
      <c r="T500" s="215" t="n"/>
      <c r="U500" s="215" t="n"/>
      <c r="V500" s="215" t="n"/>
      <c r="W500" s="215" t="n"/>
      <c r="X500" s="215" t="n"/>
      <c r="Y500" s="215" t="n"/>
      <c r="Z500" s="215" t="n"/>
      <c r="AA500" s="215" t="n"/>
      <c r="AB500" s="215" t="n"/>
      <c r="AC500" s="215" t="n"/>
      <c r="AD500" s="215" t="n"/>
      <c r="AE500" s="215" t="n"/>
      <c r="AF500" s="215" t="n"/>
      <c r="AG500" s="215" t="n"/>
      <c r="AH500" s="215" t="n"/>
      <c r="AI500" s="215" t="n"/>
      <c r="AJ500" s="215" t="n"/>
      <c r="AK500" s="216" t="n"/>
    </row>
    <row r="501" ht="15" customHeight="1">
      <c r="B501" s="134" t="n"/>
      <c r="C501" s="105" t="n"/>
      <c r="D501" s="105" t="n"/>
      <c r="E501" s="105" t="n"/>
      <c r="F501" s="105" t="n"/>
      <c r="G501" s="105" t="n"/>
      <c r="H501" s="2" t="n"/>
      <c r="I501" s="105" t="n"/>
      <c r="K501" s="215" t="n"/>
      <c r="L501" s="215" t="n"/>
      <c r="M501" s="215" t="n"/>
      <c r="N501" s="215" t="n"/>
      <c r="O501" s="215" t="n"/>
      <c r="P501" s="215" t="n"/>
      <c r="Q501" s="215" t="n"/>
      <c r="R501" s="215" t="n"/>
      <c r="S501" s="215" t="n"/>
      <c r="T501" s="215" t="n"/>
      <c r="U501" s="215" t="n"/>
      <c r="V501" s="215" t="n"/>
      <c r="W501" s="215" t="n"/>
      <c r="X501" s="215" t="n"/>
      <c r="Y501" s="215" t="n"/>
      <c r="Z501" s="215" t="n"/>
      <c r="AA501" s="215" t="n"/>
      <c r="AB501" s="215" t="n"/>
      <c r="AC501" s="215" t="n"/>
      <c r="AD501" s="215" t="n"/>
      <c r="AE501" s="215" t="n"/>
      <c r="AF501" s="215" t="n"/>
      <c r="AG501" s="215" t="n"/>
      <c r="AH501" s="215" t="n"/>
      <c r="AI501" s="215" t="n"/>
      <c r="AJ501" s="215" t="n"/>
      <c r="AK501" s="216" t="n"/>
    </row>
    <row r="502" ht="15" customHeight="1">
      <c r="B502" s="134" t="n"/>
      <c r="C502" s="105" t="n"/>
      <c r="D502" s="105" t="n"/>
      <c r="E502" s="105" t="n"/>
      <c r="F502" s="105" t="n"/>
      <c r="G502" s="105" t="n"/>
      <c r="H502" s="2" t="n"/>
      <c r="I502" s="105" t="n"/>
      <c r="K502" s="215" t="n"/>
      <c r="L502" s="215" t="n"/>
      <c r="M502" s="215" t="n"/>
      <c r="N502" s="215" t="n"/>
      <c r="O502" s="215" t="n"/>
      <c r="P502" s="215" t="n"/>
      <c r="Q502" s="215" t="n"/>
      <c r="R502" s="215" t="n"/>
      <c r="S502" s="215" t="n"/>
      <c r="T502" s="215" t="n"/>
      <c r="U502" s="215" t="n"/>
      <c r="V502" s="215" t="n"/>
      <c r="W502" s="215" t="n"/>
      <c r="X502" s="215" t="n"/>
      <c r="Y502" s="215" t="n"/>
      <c r="Z502" s="215" t="n"/>
      <c r="AA502" s="215" t="n"/>
      <c r="AB502" s="215" t="n"/>
      <c r="AC502" s="215" t="n"/>
      <c r="AD502" s="215" t="n"/>
      <c r="AE502" s="215" t="n"/>
      <c r="AF502" s="215" t="n"/>
      <c r="AG502" s="215" t="n"/>
      <c r="AH502" s="215" t="n"/>
      <c r="AI502" s="215" t="n"/>
      <c r="AJ502" s="215" t="n"/>
      <c r="AK502" s="216" t="n"/>
    </row>
    <row r="503" ht="15" customHeight="1">
      <c r="B503" s="134" t="n"/>
      <c r="C503" s="105" t="n"/>
      <c r="D503" s="105" t="n"/>
      <c r="E503" s="105" t="n"/>
      <c r="F503" s="105" t="n"/>
      <c r="G503" s="105" t="n"/>
      <c r="H503" s="2" t="n"/>
      <c r="I503" s="105" t="n"/>
      <c r="K503" s="215" t="n"/>
      <c r="L503" s="215" t="n"/>
      <c r="M503" s="215" t="n"/>
      <c r="N503" s="215" t="n"/>
      <c r="O503" s="215" t="n"/>
      <c r="P503" s="215" t="n"/>
      <c r="Q503" s="215" t="n"/>
      <c r="R503" s="215" t="n"/>
      <c r="S503" s="215" t="n"/>
      <c r="T503" s="215" t="n"/>
      <c r="U503" s="215" t="n"/>
      <c r="V503" s="215" t="n"/>
      <c r="W503" s="215" t="n"/>
      <c r="X503" s="215" t="n"/>
      <c r="Y503" s="215" t="n"/>
      <c r="Z503" s="215" t="n"/>
      <c r="AA503" s="215" t="n"/>
      <c r="AB503" s="215" t="n"/>
      <c r="AC503" s="215" t="n"/>
      <c r="AD503" s="215" t="n"/>
      <c r="AE503" s="215" t="n"/>
      <c r="AF503" s="215" t="n"/>
      <c r="AG503" s="215" t="n"/>
      <c r="AH503" s="215" t="n"/>
      <c r="AI503" s="215" t="n"/>
      <c r="AJ503" s="215" t="n"/>
      <c r="AK503" s="216" t="n"/>
    </row>
    <row r="504" ht="15" customHeight="1">
      <c r="B504" s="134" t="n"/>
      <c r="C504" s="105" t="n"/>
      <c r="D504" s="105" t="n"/>
      <c r="E504" s="105" t="n"/>
      <c r="F504" s="105" t="n"/>
      <c r="G504" s="105" t="n"/>
      <c r="H504" s="2" t="n"/>
      <c r="I504" s="105" t="n"/>
      <c r="K504" s="215" t="n"/>
      <c r="L504" s="215" t="n"/>
      <c r="M504" s="215" t="n"/>
      <c r="N504" s="215" t="n"/>
      <c r="O504" s="215" t="n"/>
      <c r="P504" s="215" t="n"/>
      <c r="Q504" s="215" t="n"/>
      <c r="R504" s="215" t="n"/>
      <c r="S504" s="215" t="n"/>
      <c r="T504" s="215" t="n"/>
      <c r="U504" s="215" t="n"/>
      <c r="V504" s="215" t="n"/>
      <c r="W504" s="215" t="n"/>
      <c r="X504" s="215" t="n"/>
      <c r="Y504" s="215" t="n"/>
      <c r="Z504" s="215" t="n"/>
      <c r="AA504" s="215" t="n"/>
      <c r="AB504" s="215" t="n"/>
      <c r="AC504" s="215" t="n"/>
      <c r="AD504" s="215" t="n"/>
      <c r="AE504" s="215" t="n"/>
      <c r="AF504" s="215" t="n"/>
      <c r="AG504" s="215" t="n"/>
      <c r="AH504" s="215" t="n"/>
      <c r="AI504" s="215" t="n"/>
      <c r="AJ504" s="215" t="n"/>
      <c r="AK504" s="216" t="n"/>
    </row>
    <row r="505" ht="15" customHeight="1">
      <c r="B505" s="134" t="n"/>
      <c r="C505" s="105" t="n"/>
      <c r="D505" s="105" t="n"/>
      <c r="E505" s="105" t="n"/>
      <c r="F505" s="105" t="n"/>
      <c r="G505" s="105" t="n"/>
      <c r="H505" s="2" t="n"/>
      <c r="I505" s="105" t="n"/>
      <c r="K505" s="215" t="n"/>
      <c r="L505" s="215" t="n"/>
      <c r="M505" s="215" t="n"/>
      <c r="N505" s="215" t="n"/>
      <c r="O505" s="215" t="n"/>
      <c r="P505" s="215" t="n"/>
      <c r="Q505" s="215" t="n"/>
      <c r="R505" s="215" t="n"/>
      <c r="S505" s="215" t="n"/>
      <c r="T505" s="215" t="n"/>
      <c r="U505" s="215" t="n"/>
      <c r="V505" s="215" t="n"/>
      <c r="W505" s="215" t="n"/>
      <c r="X505" s="215" t="n"/>
      <c r="Y505" s="215" t="n"/>
      <c r="Z505" s="215" t="n"/>
      <c r="AA505" s="215" t="n"/>
      <c r="AB505" s="215" t="n"/>
      <c r="AC505" s="215" t="n"/>
      <c r="AD505" s="215" t="n"/>
      <c r="AE505" s="215" t="n"/>
      <c r="AF505" s="215" t="n"/>
      <c r="AG505" s="215" t="n"/>
      <c r="AH505" s="215" t="n"/>
      <c r="AI505" s="215" t="n"/>
      <c r="AJ505" s="215" t="n"/>
      <c r="AK505" s="216" t="n"/>
    </row>
    <row r="506" ht="15" customHeight="1">
      <c r="B506" s="134" t="n"/>
      <c r="C506" s="105" t="n"/>
      <c r="D506" s="105" t="n"/>
      <c r="E506" s="105" t="n"/>
      <c r="F506" s="105" t="n"/>
      <c r="G506" s="105" t="n"/>
      <c r="H506" s="2" t="n"/>
      <c r="I506" s="105" t="n"/>
      <c r="K506" s="215" t="n"/>
      <c r="L506" s="215" t="n"/>
      <c r="M506" s="215" t="n"/>
      <c r="N506" s="215" t="n"/>
      <c r="O506" s="215" t="n"/>
      <c r="P506" s="215" t="n"/>
      <c r="Q506" s="215" t="n"/>
      <c r="R506" s="215" t="n"/>
      <c r="S506" s="215" t="n"/>
      <c r="T506" s="215" t="n"/>
      <c r="U506" s="215" t="n"/>
      <c r="V506" s="215" t="n"/>
      <c r="W506" s="215" t="n"/>
      <c r="X506" s="215" t="n"/>
      <c r="Y506" s="215" t="n"/>
      <c r="Z506" s="215" t="n"/>
      <c r="AA506" s="215" t="n"/>
      <c r="AB506" s="215" t="n"/>
      <c r="AC506" s="215" t="n"/>
      <c r="AD506" s="215" t="n"/>
      <c r="AE506" s="215" t="n"/>
      <c r="AF506" s="215" t="n"/>
      <c r="AG506" s="215" t="n"/>
      <c r="AH506" s="215" t="n"/>
      <c r="AI506" s="215" t="n"/>
      <c r="AJ506" s="215" t="n"/>
      <c r="AK506" s="216" t="n"/>
    </row>
    <row r="507" ht="15" customHeight="1">
      <c r="B507" s="134" t="n"/>
      <c r="C507" s="105" t="n"/>
      <c r="D507" s="105" t="n"/>
      <c r="E507" s="105" t="n"/>
      <c r="F507" s="105" t="n"/>
      <c r="G507" s="105" t="n"/>
      <c r="H507" s="2" t="n"/>
      <c r="I507" s="105" t="n"/>
      <c r="K507" s="215" t="n"/>
      <c r="L507" s="215" t="n"/>
      <c r="M507" s="215" t="n"/>
      <c r="N507" s="215" t="n"/>
      <c r="O507" s="215" t="n"/>
      <c r="P507" s="215" t="n"/>
      <c r="Q507" s="215" t="n"/>
      <c r="R507" s="215" t="n"/>
      <c r="S507" s="215" t="n"/>
      <c r="T507" s="215" t="n"/>
      <c r="U507" s="215" t="n"/>
      <c r="V507" s="215" t="n"/>
      <c r="W507" s="215" t="n"/>
      <c r="X507" s="215" t="n"/>
      <c r="Y507" s="215" t="n"/>
      <c r="Z507" s="215" t="n"/>
      <c r="AA507" s="215" t="n"/>
      <c r="AB507" s="215" t="n"/>
      <c r="AC507" s="215" t="n"/>
      <c r="AD507" s="215" t="n"/>
      <c r="AE507" s="215" t="n"/>
      <c r="AF507" s="215" t="n"/>
      <c r="AG507" s="215" t="n"/>
      <c r="AH507" s="215" t="n"/>
      <c r="AI507" s="215" t="n"/>
      <c r="AJ507" s="215" t="n"/>
      <c r="AK507" s="216" t="n"/>
    </row>
    <row r="508" ht="15" customHeight="1">
      <c r="B508" s="134" t="n"/>
      <c r="C508" s="105" t="n"/>
      <c r="D508" s="105" t="n"/>
      <c r="E508" s="105" t="n"/>
      <c r="F508" s="105" t="n"/>
      <c r="G508" s="105" t="n"/>
      <c r="H508" s="2" t="n"/>
      <c r="I508" s="105" t="n"/>
      <c r="K508" s="215" t="n"/>
      <c r="L508" s="215" t="n"/>
      <c r="M508" s="215" t="n"/>
      <c r="N508" s="215" t="n"/>
      <c r="O508" s="215" t="n"/>
      <c r="P508" s="215" t="n"/>
      <c r="Q508" s="215" t="n"/>
      <c r="R508" s="215" t="n"/>
      <c r="S508" s="215" t="n"/>
      <c r="T508" s="215" t="n"/>
      <c r="U508" s="215" t="n"/>
      <c r="V508" s="215" t="n"/>
      <c r="W508" s="215" t="n"/>
      <c r="X508" s="215" t="n"/>
      <c r="Y508" s="215" t="n"/>
      <c r="Z508" s="215" t="n"/>
      <c r="AA508" s="215" t="n"/>
      <c r="AB508" s="215" t="n"/>
      <c r="AC508" s="215" t="n"/>
      <c r="AD508" s="215" t="n"/>
      <c r="AE508" s="215" t="n"/>
      <c r="AF508" s="215" t="n"/>
      <c r="AG508" s="215" t="n"/>
      <c r="AH508" s="215" t="n"/>
      <c r="AI508" s="215" t="n"/>
      <c r="AJ508" s="215" t="n"/>
      <c r="AK508" s="216" t="n"/>
    </row>
    <row r="509" ht="15" customHeight="1">
      <c r="B509" s="134" t="n"/>
      <c r="C509" s="105" t="n"/>
      <c r="D509" s="105" t="n"/>
      <c r="E509" s="105" t="n"/>
      <c r="F509" s="105" t="n"/>
      <c r="G509" s="105" t="n"/>
      <c r="H509" s="2" t="n"/>
      <c r="I509" s="105" t="n"/>
      <c r="K509" s="215" t="n"/>
      <c r="L509" s="215" t="n"/>
      <c r="M509" s="215" t="n"/>
      <c r="N509" s="215" t="n"/>
      <c r="O509" s="215" t="n"/>
      <c r="P509" s="215" t="n"/>
      <c r="Q509" s="215" t="n"/>
      <c r="R509" s="215" t="n"/>
      <c r="S509" s="215" t="n"/>
      <c r="T509" s="215" t="n"/>
      <c r="U509" s="215" t="n"/>
      <c r="V509" s="215" t="n"/>
      <c r="W509" s="215" t="n"/>
      <c r="X509" s="215" t="n"/>
      <c r="Y509" s="215" t="n"/>
      <c r="Z509" s="215" t="n"/>
      <c r="AA509" s="215" t="n"/>
      <c r="AB509" s="215" t="n"/>
      <c r="AC509" s="215" t="n"/>
      <c r="AD509" s="215" t="n"/>
      <c r="AE509" s="215" t="n"/>
      <c r="AF509" s="215" t="n"/>
      <c r="AG509" s="215" t="n"/>
      <c r="AH509" s="215" t="n"/>
      <c r="AI509" s="215" t="n"/>
      <c r="AJ509" s="215" t="n"/>
      <c r="AK509" s="216" t="n"/>
    </row>
    <row r="510" ht="15" customHeight="1">
      <c r="B510" s="134" t="n"/>
      <c r="C510" s="105" t="n"/>
      <c r="D510" s="105" t="n"/>
      <c r="E510" s="105" t="n"/>
      <c r="F510" s="105" t="n"/>
      <c r="G510" s="105" t="n"/>
      <c r="H510" s="2" t="n"/>
      <c r="I510" s="105" t="n"/>
      <c r="K510" s="215" t="n"/>
      <c r="L510" s="215" t="n"/>
      <c r="M510" s="215" t="n"/>
      <c r="N510" s="215" t="n"/>
      <c r="O510" s="215" t="n"/>
      <c r="P510" s="215" t="n"/>
      <c r="Q510" s="215" t="n"/>
      <c r="R510" s="215" t="n"/>
      <c r="S510" s="215" t="n"/>
      <c r="T510" s="215" t="n"/>
      <c r="U510" s="215" t="n"/>
      <c r="V510" s="215" t="n"/>
      <c r="W510" s="215" t="n"/>
      <c r="X510" s="215" t="n"/>
      <c r="Y510" s="215" t="n"/>
      <c r="Z510" s="215" t="n"/>
      <c r="AA510" s="215" t="n"/>
      <c r="AB510" s="215" t="n"/>
      <c r="AC510" s="215" t="n"/>
      <c r="AD510" s="215" t="n"/>
      <c r="AE510" s="215" t="n"/>
      <c r="AF510" s="215" t="n"/>
      <c r="AG510" s="215" t="n"/>
      <c r="AH510" s="215" t="n"/>
      <c r="AI510" s="215" t="n"/>
      <c r="AJ510" s="215" t="n"/>
      <c r="AK510" s="216" t="n"/>
    </row>
    <row r="511" ht="15" customHeight="1">
      <c r="B511" s="134" t="n"/>
      <c r="C511" s="105" t="n"/>
      <c r="D511" s="105" t="n"/>
      <c r="E511" s="105" t="n"/>
      <c r="F511" s="105" t="n"/>
      <c r="G511" s="105" t="n"/>
      <c r="H511" s="2" t="n"/>
      <c r="I511" s="105" t="n"/>
      <c r="K511" s="215" t="n"/>
      <c r="L511" s="215" t="n"/>
      <c r="M511" s="215" t="n"/>
      <c r="N511" s="215" t="n"/>
      <c r="O511" s="215" t="n"/>
      <c r="P511" s="215" t="n"/>
      <c r="Q511" s="215" t="n"/>
      <c r="R511" s="215" t="n"/>
      <c r="S511" s="215" t="n"/>
      <c r="T511" s="215" t="n"/>
      <c r="U511" s="215" t="n"/>
      <c r="V511" s="215" t="n"/>
      <c r="W511" s="215" t="n"/>
      <c r="X511" s="215" t="n"/>
      <c r="Y511" s="215" t="n"/>
      <c r="Z511" s="215" t="n"/>
      <c r="AA511" s="215" t="n"/>
      <c r="AB511" s="215" t="n"/>
      <c r="AC511" s="215" t="n"/>
      <c r="AD511" s="215" t="n"/>
      <c r="AE511" s="215" t="n"/>
      <c r="AF511" s="215" t="n"/>
      <c r="AG511" s="215" t="n"/>
      <c r="AH511" s="215" t="n"/>
      <c r="AI511" s="215" t="n"/>
      <c r="AJ511" s="215" t="n"/>
      <c r="AK511" s="216" t="n"/>
    </row>
    <row r="512" ht="15" customHeight="1">
      <c r="B512" s="134" t="n"/>
      <c r="C512" s="105" t="n"/>
      <c r="D512" s="105" t="n"/>
      <c r="E512" s="105" t="n"/>
      <c r="F512" s="105" t="n"/>
      <c r="G512" s="105" t="n"/>
      <c r="H512" s="2" t="n"/>
      <c r="I512" s="105" t="n"/>
      <c r="K512" s="215" t="n"/>
      <c r="L512" s="215" t="n"/>
      <c r="M512" s="215" t="n"/>
      <c r="N512" s="215" t="n"/>
      <c r="O512" s="215" t="n"/>
      <c r="P512" s="215" t="n"/>
      <c r="Q512" s="215" t="n"/>
      <c r="R512" s="215" t="n"/>
      <c r="S512" s="215" t="n"/>
      <c r="T512" s="215" t="n"/>
      <c r="U512" s="215" t="n"/>
      <c r="V512" s="215" t="n"/>
      <c r="W512" s="215" t="n"/>
      <c r="X512" s="215" t="n"/>
      <c r="Y512" s="215" t="n"/>
      <c r="Z512" s="215" t="n"/>
      <c r="AA512" s="215" t="n"/>
      <c r="AB512" s="215" t="n"/>
      <c r="AC512" s="215" t="n"/>
      <c r="AD512" s="215" t="n"/>
      <c r="AE512" s="215" t="n"/>
      <c r="AF512" s="215" t="n"/>
      <c r="AG512" s="215" t="n"/>
      <c r="AH512" s="215" t="n"/>
      <c r="AI512" s="215" t="n"/>
      <c r="AJ512" s="215" t="n"/>
      <c r="AK512" s="216" t="n"/>
    </row>
    <row r="513" ht="15" customHeight="1">
      <c r="B513" s="134" t="n"/>
      <c r="C513" s="105" t="n"/>
      <c r="D513" s="105" t="n"/>
      <c r="E513" s="105" t="n"/>
      <c r="F513" s="105" t="n"/>
      <c r="G513" s="105" t="n"/>
      <c r="H513" s="2" t="n"/>
      <c r="I513" s="105" t="n"/>
      <c r="K513" s="215" t="n"/>
      <c r="L513" s="215" t="n"/>
      <c r="M513" s="215" t="n"/>
      <c r="N513" s="215" t="n"/>
      <c r="O513" s="215" t="n"/>
      <c r="P513" s="215" t="n"/>
      <c r="Q513" s="215" t="n"/>
      <c r="R513" s="215" t="n"/>
      <c r="S513" s="215" t="n"/>
      <c r="T513" s="215" t="n"/>
      <c r="U513" s="215" t="n"/>
      <c r="V513" s="215" t="n"/>
      <c r="W513" s="215" t="n"/>
      <c r="X513" s="215" t="n"/>
      <c r="Y513" s="215" t="n"/>
      <c r="Z513" s="215" t="n"/>
      <c r="AA513" s="215" t="n"/>
      <c r="AB513" s="215" t="n"/>
      <c r="AC513" s="215" t="n"/>
      <c r="AD513" s="215" t="n"/>
      <c r="AE513" s="215" t="n"/>
      <c r="AF513" s="215" t="n"/>
      <c r="AG513" s="215" t="n"/>
      <c r="AH513" s="215" t="n"/>
      <c r="AI513" s="215" t="n"/>
      <c r="AJ513" s="215" t="n"/>
      <c r="AK513" s="216" t="n"/>
    </row>
    <row r="514" ht="15" customHeight="1">
      <c r="B514" s="134" t="n"/>
      <c r="C514" s="105" t="n"/>
      <c r="D514" s="105" t="n"/>
      <c r="E514" s="105" t="n"/>
      <c r="F514" s="105" t="n"/>
      <c r="G514" s="105" t="n"/>
      <c r="H514" s="2" t="n"/>
      <c r="I514" s="105" t="n"/>
      <c r="K514" s="215" t="n"/>
      <c r="L514" s="215" t="n"/>
      <c r="M514" s="215" t="n"/>
      <c r="N514" s="215" t="n"/>
      <c r="O514" s="215" t="n"/>
      <c r="P514" s="215" t="n"/>
      <c r="Q514" s="215" t="n"/>
      <c r="R514" s="215" t="n"/>
      <c r="S514" s="215" t="n"/>
      <c r="T514" s="215" t="n"/>
      <c r="U514" s="215" t="n"/>
      <c r="V514" s="215" t="n"/>
      <c r="W514" s="215" t="n"/>
      <c r="X514" s="215" t="n"/>
      <c r="Y514" s="215" t="n"/>
      <c r="Z514" s="215" t="n"/>
      <c r="AA514" s="215" t="n"/>
      <c r="AB514" s="215" t="n"/>
      <c r="AC514" s="215" t="n"/>
      <c r="AD514" s="215" t="n"/>
      <c r="AE514" s="215" t="n"/>
      <c r="AF514" s="215" t="n"/>
      <c r="AG514" s="215" t="n"/>
      <c r="AH514" s="215" t="n"/>
      <c r="AI514" s="215" t="n"/>
      <c r="AJ514" s="215" t="n"/>
      <c r="AK514" s="216" t="n"/>
    </row>
    <row r="515" ht="15" customHeight="1">
      <c r="B515" s="134" t="n"/>
      <c r="C515" s="105" t="n"/>
      <c r="D515" s="105" t="n"/>
      <c r="E515" s="105" t="n"/>
      <c r="F515" s="105" t="n"/>
      <c r="G515" s="105" t="n"/>
      <c r="H515" s="2" t="n"/>
      <c r="I515" s="105" t="n"/>
      <c r="K515" s="215" t="n"/>
      <c r="L515" s="215" t="n"/>
      <c r="M515" s="215" t="n"/>
      <c r="N515" s="215" t="n"/>
      <c r="O515" s="215" t="n"/>
      <c r="P515" s="215" t="n"/>
      <c r="Q515" s="215" t="n"/>
      <c r="R515" s="215" t="n"/>
      <c r="S515" s="215" t="n"/>
      <c r="T515" s="215" t="n"/>
      <c r="U515" s="215" t="n"/>
      <c r="V515" s="215" t="n"/>
      <c r="W515" s="215" t="n"/>
      <c r="X515" s="215" t="n"/>
      <c r="Y515" s="215" t="n"/>
      <c r="Z515" s="215" t="n"/>
      <c r="AA515" s="215" t="n"/>
      <c r="AB515" s="215" t="n"/>
      <c r="AC515" s="215" t="n"/>
      <c r="AD515" s="215" t="n"/>
      <c r="AE515" s="215" t="n"/>
      <c r="AF515" s="215" t="n"/>
      <c r="AG515" s="215" t="n"/>
      <c r="AH515" s="215" t="n"/>
      <c r="AI515" s="215" t="n"/>
      <c r="AJ515" s="215" t="n"/>
      <c r="AK515" s="216" t="n"/>
    </row>
    <row r="516" ht="15" customHeight="1">
      <c r="B516" s="134" t="n"/>
      <c r="C516" s="105" t="n"/>
      <c r="D516" s="105" t="n"/>
      <c r="E516" s="105" t="n"/>
      <c r="F516" s="105" t="n"/>
      <c r="G516" s="105" t="n"/>
      <c r="H516" s="2" t="n"/>
      <c r="I516" s="105" t="n"/>
      <c r="K516" s="215" t="n"/>
      <c r="L516" s="215" t="n"/>
      <c r="M516" s="215" t="n"/>
      <c r="N516" s="215" t="n"/>
      <c r="O516" s="215" t="n"/>
      <c r="P516" s="215" t="n"/>
      <c r="Q516" s="215" t="n"/>
      <c r="R516" s="215" t="n"/>
      <c r="S516" s="215" t="n"/>
      <c r="T516" s="215" t="n"/>
      <c r="U516" s="215" t="n"/>
      <c r="V516" s="215" t="n"/>
      <c r="W516" s="215" t="n"/>
      <c r="X516" s="215" t="n"/>
      <c r="Y516" s="215" t="n"/>
      <c r="Z516" s="215" t="n"/>
      <c r="AA516" s="215" t="n"/>
      <c r="AB516" s="215" t="n"/>
      <c r="AC516" s="215" t="n"/>
      <c r="AD516" s="215" t="n"/>
      <c r="AE516" s="215" t="n"/>
      <c r="AF516" s="215" t="n"/>
      <c r="AG516" s="215" t="n"/>
      <c r="AH516" s="215" t="n"/>
      <c r="AI516" s="215" t="n"/>
      <c r="AJ516" s="215" t="n"/>
      <c r="AK516" s="216" t="n"/>
    </row>
    <row r="517" ht="15" customHeight="1">
      <c r="B517" s="134" t="n"/>
      <c r="C517" s="105" t="n"/>
      <c r="D517" s="105" t="n"/>
      <c r="E517" s="105" t="n"/>
      <c r="F517" s="105" t="n"/>
      <c r="G517" s="105" t="n"/>
      <c r="H517" s="2" t="n"/>
      <c r="I517" s="105" t="n"/>
      <c r="K517" s="215" t="n"/>
      <c r="L517" s="215" t="n"/>
      <c r="M517" s="215" t="n"/>
      <c r="N517" s="215" t="n"/>
      <c r="O517" s="215" t="n"/>
      <c r="P517" s="215" t="n"/>
      <c r="Q517" s="215" t="n"/>
      <c r="R517" s="215" t="n"/>
      <c r="S517" s="215" t="n"/>
      <c r="T517" s="215" t="n"/>
      <c r="U517" s="215" t="n"/>
      <c r="V517" s="215" t="n"/>
      <c r="W517" s="215" t="n"/>
      <c r="X517" s="215" t="n"/>
      <c r="Y517" s="215" t="n"/>
      <c r="Z517" s="215" t="n"/>
      <c r="AA517" s="215" t="n"/>
      <c r="AB517" s="215" t="n"/>
      <c r="AC517" s="215" t="n"/>
      <c r="AD517" s="215" t="n"/>
      <c r="AE517" s="215" t="n"/>
      <c r="AF517" s="215" t="n"/>
      <c r="AG517" s="215" t="n"/>
      <c r="AH517" s="215" t="n"/>
      <c r="AI517" s="215" t="n"/>
      <c r="AJ517" s="215" t="n"/>
      <c r="AK517" s="216" t="n"/>
    </row>
    <row r="518" ht="15" customHeight="1">
      <c r="B518" s="134" t="n"/>
      <c r="C518" s="105" t="n"/>
      <c r="D518" s="105" t="n"/>
      <c r="E518" s="105" t="n"/>
      <c r="F518" s="105" t="n"/>
      <c r="G518" s="105" t="n"/>
      <c r="H518" s="2" t="n"/>
      <c r="I518" s="105" t="n"/>
      <c r="K518" s="215" t="n"/>
      <c r="L518" s="215" t="n"/>
      <c r="M518" s="215" t="n"/>
      <c r="N518" s="215" t="n"/>
      <c r="O518" s="215" t="n"/>
      <c r="P518" s="215" t="n"/>
      <c r="Q518" s="215" t="n"/>
      <c r="R518" s="215" t="n"/>
      <c r="S518" s="215" t="n"/>
      <c r="T518" s="215" t="n"/>
      <c r="U518" s="215" t="n"/>
      <c r="V518" s="215" t="n"/>
      <c r="W518" s="215" t="n"/>
      <c r="X518" s="215" t="n"/>
      <c r="Y518" s="215" t="n"/>
      <c r="Z518" s="215" t="n"/>
      <c r="AA518" s="215" t="n"/>
      <c r="AB518" s="215" t="n"/>
      <c r="AC518" s="215" t="n"/>
      <c r="AD518" s="215" t="n"/>
      <c r="AE518" s="215" t="n"/>
      <c r="AF518" s="215" t="n"/>
      <c r="AG518" s="215" t="n"/>
      <c r="AH518" s="215" t="n"/>
      <c r="AI518" s="215" t="n"/>
      <c r="AJ518" s="215" t="n"/>
      <c r="AK518" s="216" t="n"/>
    </row>
    <row r="519" ht="15" customHeight="1">
      <c r="B519" s="134" t="n"/>
      <c r="C519" s="105" t="n"/>
      <c r="D519" s="105" t="n"/>
      <c r="E519" s="105" t="n"/>
      <c r="F519" s="105" t="n"/>
      <c r="G519" s="105" t="n"/>
      <c r="H519" s="2" t="n"/>
      <c r="I519" s="105" t="n"/>
      <c r="K519" s="215" t="n"/>
      <c r="L519" s="215" t="n"/>
      <c r="M519" s="215" t="n"/>
      <c r="N519" s="215" t="n"/>
      <c r="O519" s="215" t="n"/>
      <c r="P519" s="215" t="n"/>
      <c r="Q519" s="215" t="n"/>
      <c r="R519" s="215" t="n"/>
      <c r="S519" s="215" t="n"/>
      <c r="T519" s="215" t="n"/>
      <c r="U519" s="215" t="n"/>
      <c r="V519" s="215" t="n"/>
      <c r="W519" s="215" t="n"/>
      <c r="X519" s="215" t="n"/>
      <c r="Y519" s="215" t="n"/>
      <c r="Z519" s="215" t="n"/>
      <c r="AA519" s="215" t="n"/>
      <c r="AB519" s="215" t="n"/>
      <c r="AC519" s="215" t="n"/>
      <c r="AD519" s="215" t="n"/>
      <c r="AE519" s="215" t="n"/>
      <c r="AF519" s="215" t="n"/>
      <c r="AG519" s="215" t="n"/>
      <c r="AH519" s="215" t="n"/>
      <c r="AI519" s="215" t="n"/>
      <c r="AJ519" s="215" t="n"/>
      <c r="AK519" s="216" t="n"/>
    </row>
    <row r="520" ht="15" customHeight="1">
      <c r="B520" s="134" t="n"/>
      <c r="C520" s="105" t="n"/>
      <c r="D520" s="105" t="n"/>
      <c r="E520" s="105" t="n"/>
      <c r="F520" s="105" t="n"/>
      <c r="G520" s="105" t="n"/>
      <c r="H520" s="2" t="n"/>
      <c r="I520" s="105" t="n"/>
      <c r="K520" s="215" t="n"/>
      <c r="L520" s="215" t="n"/>
      <c r="M520" s="215" t="n"/>
      <c r="N520" s="215" t="n"/>
      <c r="O520" s="215" t="n"/>
      <c r="P520" s="215" t="n"/>
      <c r="Q520" s="215" t="n"/>
      <c r="R520" s="215" t="n"/>
      <c r="S520" s="215" t="n"/>
      <c r="T520" s="215" t="n"/>
      <c r="U520" s="215" t="n"/>
      <c r="V520" s="215" t="n"/>
      <c r="W520" s="215" t="n"/>
      <c r="X520" s="215" t="n"/>
      <c r="Y520" s="215" t="n"/>
      <c r="Z520" s="215" t="n"/>
      <c r="AA520" s="215" t="n"/>
      <c r="AB520" s="215" t="n"/>
      <c r="AC520" s="215" t="n"/>
      <c r="AD520" s="215" t="n"/>
      <c r="AE520" s="215" t="n"/>
      <c r="AF520" s="215" t="n"/>
      <c r="AG520" s="215" t="n"/>
      <c r="AH520" s="215" t="n"/>
      <c r="AI520" s="215" t="n"/>
      <c r="AJ520" s="215" t="n"/>
      <c r="AK520" s="216" t="n"/>
    </row>
    <row r="521" ht="15" customHeight="1">
      <c r="B521" s="134" t="n"/>
      <c r="C521" s="105" t="n"/>
      <c r="D521" s="105" t="n"/>
      <c r="E521" s="105" t="n"/>
      <c r="F521" s="105" t="n"/>
      <c r="G521" s="105" t="n"/>
      <c r="H521" s="2" t="n"/>
      <c r="I521" s="105" t="n"/>
      <c r="K521" s="215" t="n"/>
      <c r="L521" s="215" t="n"/>
      <c r="M521" s="215" t="n"/>
      <c r="N521" s="215" t="n"/>
      <c r="O521" s="215" t="n"/>
      <c r="P521" s="215" t="n"/>
      <c r="Q521" s="215" t="n"/>
      <c r="R521" s="215" t="n"/>
      <c r="S521" s="215" t="n"/>
      <c r="T521" s="215" t="n"/>
      <c r="U521" s="215" t="n"/>
      <c r="V521" s="215" t="n"/>
      <c r="W521" s="215" t="n"/>
      <c r="X521" s="215" t="n"/>
      <c r="Y521" s="215" t="n"/>
      <c r="Z521" s="215" t="n"/>
      <c r="AA521" s="215" t="n"/>
      <c r="AB521" s="215" t="n"/>
      <c r="AC521" s="215" t="n"/>
      <c r="AD521" s="215" t="n"/>
      <c r="AE521" s="215" t="n"/>
      <c r="AF521" s="215" t="n"/>
      <c r="AG521" s="215" t="n"/>
      <c r="AH521" s="215" t="n"/>
      <c r="AI521" s="215" t="n"/>
      <c r="AJ521" s="215" t="n"/>
      <c r="AK521" s="216" t="n"/>
    </row>
    <row r="522" ht="15" customHeight="1">
      <c r="B522" s="134" t="n"/>
      <c r="C522" s="105" t="n"/>
      <c r="D522" s="105" t="n"/>
      <c r="E522" s="105" t="n"/>
      <c r="F522" s="105" t="n"/>
      <c r="G522" s="105" t="n"/>
      <c r="H522" s="2" t="n"/>
      <c r="I522" s="105" t="n"/>
      <c r="K522" s="215" t="n"/>
      <c r="L522" s="215" t="n"/>
      <c r="M522" s="215" t="n"/>
      <c r="N522" s="215" t="n"/>
      <c r="O522" s="215" t="n"/>
      <c r="P522" s="215" t="n"/>
      <c r="Q522" s="215" t="n"/>
      <c r="R522" s="215" t="n"/>
      <c r="S522" s="215" t="n"/>
      <c r="T522" s="215" t="n"/>
      <c r="U522" s="215" t="n"/>
      <c r="V522" s="215" t="n"/>
      <c r="W522" s="215" t="n"/>
      <c r="X522" s="215" t="n"/>
      <c r="Y522" s="215" t="n"/>
      <c r="Z522" s="215" t="n"/>
      <c r="AA522" s="215" t="n"/>
      <c r="AB522" s="215" t="n"/>
      <c r="AC522" s="215" t="n"/>
      <c r="AD522" s="215" t="n"/>
      <c r="AE522" s="215" t="n"/>
      <c r="AF522" s="215" t="n"/>
      <c r="AG522" s="215" t="n"/>
      <c r="AH522" s="215" t="n"/>
      <c r="AI522" s="215" t="n"/>
      <c r="AJ522" s="215" t="n"/>
      <c r="AK522" s="216" t="n"/>
    </row>
    <row r="523" ht="15" customHeight="1">
      <c r="B523" s="134" t="n"/>
      <c r="C523" s="105" t="n"/>
      <c r="D523" s="105" t="n"/>
      <c r="E523" s="105" t="n"/>
      <c r="F523" s="105" t="n"/>
      <c r="G523" s="105" t="n"/>
      <c r="H523" s="2" t="n"/>
      <c r="I523" s="105" t="n"/>
      <c r="K523" s="215" t="n"/>
      <c r="L523" s="215" t="n"/>
      <c r="M523" s="215" t="n"/>
      <c r="N523" s="215" t="n"/>
      <c r="O523" s="215" t="n"/>
      <c r="P523" s="215" t="n"/>
      <c r="Q523" s="215" t="n"/>
      <c r="R523" s="215" t="n"/>
      <c r="S523" s="215" t="n"/>
      <c r="T523" s="215" t="n"/>
      <c r="U523" s="215" t="n"/>
      <c r="V523" s="215" t="n"/>
      <c r="W523" s="215" t="n"/>
      <c r="X523" s="215" t="n"/>
      <c r="Y523" s="215" t="n"/>
      <c r="Z523" s="215" t="n"/>
      <c r="AA523" s="215" t="n"/>
      <c r="AB523" s="215" t="n"/>
      <c r="AC523" s="215" t="n"/>
      <c r="AD523" s="215" t="n"/>
      <c r="AE523" s="215" t="n"/>
      <c r="AF523" s="215" t="n"/>
      <c r="AG523" s="215" t="n"/>
      <c r="AH523" s="215" t="n"/>
      <c r="AI523" s="215" t="n"/>
      <c r="AJ523" s="215" t="n"/>
      <c r="AK523" s="216" t="n"/>
    </row>
    <row r="524" ht="15" customHeight="1">
      <c r="B524" s="134" t="n"/>
      <c r="C524" s="105" t="n"/>
      <c r="D524" s="105" t="n"/>
      <c r="E524" s="105" t="n"/>
      <c r="F524" s="105" t="n"/>
      <c r="G524" s="105" t="n"/>
      <c r="H524" s="2" t="n"/>
      <c r="I524" s="105" t="n"/>
      <c r="K524" s="215" t="n"/>
      <c r="L524" s="215" t="n"/>
      <c r="M524" s="215" t="n"/>
      <c r="N524" s="215" t="n"/>
      <c r="O524" s="215" t="n"/>
      <c r="P524" s="215" t="n"/>
      <c r="Q524" s="215" t="n"/>
      <c r="R524" s="215" t="n"/>
      <c r="S524" s="215" t="n"/>
      <c r="T524" s="215" t="n"/>
      <c r="U524" s="215" t="n"/>
      <c r="V524" s="215" t="n"/>
      <c r="W524" s="215" t="n"/>
      <c r="X524" s="215" t="n"/>
      <c r="Y524" s="215" t="n"/>
      <c r="Z524" s="215" t="n"/>
      <c r="AA524" s="215" t="n"/>
      <c r="AB524" s="215" t="n"/>
      <c r="AC524" s="215" t="n"/>
      <c r="AD524" s="215" t="n"/>
      <c r="AE524" s="215" t="n"/>
      <c r="AF524" s="215" t="n"/>
      <c r="AG524" s="215" t="n"/>
      <c r="AH524" s="215" t="n"/>
      <c r="AI524" s="215" t="n"/>
      <c r="AJ524" s="215" t="n"/>
      <c r="AK524" s="216" t="n"/>
    </row>
    <row r="525" ht="15" customHeight="1">
      <c r="B525" s="134" t="n"/>
      <c r="C525" s="105" t="n"/>
      <c r="D525" s="105" t="n"/>
      <c r="E525" s="105" t="n"/>
      <c r="F525" s="105" t="n"/>
      <c r="G525" s="105" t="n"/>
      <c r="H525" s="2" t="n"/>
      <c r="I525" s="105" t="n"/>
      <c r="K525" s="215" t="n"/>
      <c r="L525" s="215" t="n"/>
      <c r="M525" s="215" t="n"/>
      <c r="N525" s="215" t="n"/>
      <c r="O525" s="215" t="n"/>
      <c r="P525" s="215" t="n"/>
      <c r="Q525" s="215" t="n"/>
      <c r="R525" s="215" t="n"/>
      <c r="S525" s="215" t="n"/>
      <c r="T525" s="215" t="n"/>
      <c r="U525" s="215" t="n"/>
      <c r="V525" s="215" t="n"/>
      <c r="W525" s="215" t="n"/>
      <c r="X525" s="215" t="n"/>
      <c r="Y525" s="215" t="n"/>
      <c r="Z525" s="215" t="n"/>
      <c r="AA525" s="215" t="n"/>
      <c r="AB525" s="215" t="n"/>
      <c r="AC525" s="215" t="n"/>
      <c r="AD525" s="215" t="n"/>
      <c r="AE525" s="215" t="n"/>
      <c r="AF525" s="215" t="n"/>
      <c r="AG525" s="215" t="n"/>
      <c r="AH525" s="215" t="n"/>
      <c r="AI525" s="215" t="n"/>
      <c r="AJ525" s="215" t="n"/>
      <c r="AK525" s="216" t="n"/>
    </row>
    <row r="526" ht="15" customHeight="1">
      <c r="B526" s="134" t="n"/>
      <c r="C526" s="105" t="n"/>
      <c r="D526" s="105" t="n"/>
      <c r="E526" s="105" t="n"/>
      <c r="F526" s="105" t="n"/>
      <c r="G526" s="105" t="n"/>
      <c r="H526" s="2" t="n"/>
      <c r="I526" s="105" t="n"/>
      <c r="K526" s="215" t="n"/>
      <c r="L526" s="215" t="n"/>
      <c r="M526" s="215" t="n"/>
      <c r="N526" s="215" t="n"/>
      <c r="O526" s="215" t="n"/>
      <c r="P526" s="215" t="n"/>
      <c r="Q526" s="215" t="n"/>
      <c r="R526" s="215" t="n"/>
      <c r="S526" s="215" t="n"/>
      <c r="T526" s="215" t="n"/>
      <c r="U526" s="215" t="n"/>
      <c r="V526" s="215" t="n"/>
      <c r="W526" s="215" t="n"/>
      <c r="X526" s="215" t="n"/>
      <c r="Y526" s="215" t="n"/>
      <c r="Z526" s="215" t="n"/>
      <c r="AA526" s="215" t="n"/>
      <c r="AB526" s="215" t="n"/>
      <c r="AC526" s="215" t="n"/>
      <c r="AD526" s="215" t="n"/>
      <c r="AE526" s="215" t="n"/>
      <c r="AF526" s="215" t="n"/>
      <c r="AG526" s="215" t="n"/>
      <c r="AH526" s="215" t="n"/>
      <c r="AI526" s="215" t="n"/>
      <c r="AJ526" s="215" t="n"/>
      <c r="AK526" s="216" t="n"/>
    </row>
    <row r="527" ht="15" customHeight="1">
      <c r="B527" s="134" t="n"/>
      <c r="C527" s="105" t="n"/>
      <c r="D527" s="105" t="n"/>
      <c r="E527" s="105" t="n"/>
      <c r="F527" s="105" t="n"/>
      <c r="G527" s="105" t="n"/>
      <c r="H527" s="2" t="n"/>
      <c r="I527" s="105" t="n"/>
      <c r="K527" s="215" t="n"/>
      <c r="L527" s="215" t="n"/>
      <c r="M527" s="215" t="n"/>
      <c r="N527" s="215" t="n"/>
      <c r="O527" s="215" t="n"/>
      <c r="P527" s="215" t="n"/>
      <c r="Q527" s="215" t="n"/>
      <c r="R527" s="215" t="n"/>
      <c r="S527" s="215" t="n"/>
      <c r="T527" s="215" t="n"/>
      <c r="U527" s="215" t="n"/>
      <c r="V527" s="215" t="n"/>
      <c r="W527" s="215" t="n"/>
      <c r="X527" s="215" t="n"/>
      <c r="Y527" s="215" t="n"/>
      <c r="Z527" s="215" t="n"/>
      <c r="AA527" s="215" t="n"/>
      <c r="AB527" s="215" t="n"/>
      <c r="AC527" s="215" t="n"/>
      <c r="AD527" s="215" t="n"/>
      <c r="AE527" s="215" t="n"/>
      <c r="AF527" s="215" t="n"/>
      <c r="AG527" s="215" t="n"/>
      <c r="AH527" s="215" t="n"/>
      <c r="AI527" s="215" t="n"/>
      <c r="AJ527" s="215" t="n"/>
      <c r="AK527" s="216" t="n"/>
    </row>
    <row r="528" ht="15" customHeight="1">
      <c r="B528" s="134" t="n"/>
      <c r="C528" s="105" t="n"/>
      <c r="D528" s="105" t="n"/>
      <c r="E528" s="105" t="n"/>
      <c r="F528" s="105" t="n"/>
      <c r="G528" s="105" t="n"/>
      <c r="H528" s="2" t="n"/>
      <c r="I528" s="105" t="n"/>
      <c r="K528" s="215" t="n"/>
      <c r="L528" s="215" t="n"/>
      <c r="M528" s="215" t="n"/>
      <c r="N528" s="215" t="n"/>
      <c r="O528" s="215" t="n"/>
      <c r="P528" s="215" t="n"/>
      <c r="Q528" s="215" t="n"/>
      <c r="R528" s="215" t="n"/>
      <c r="S528" s="215" t="n"/>
      <c r="T528" s="215" t="n"/>
      <c r="U528" s="215" t="n"/>
      <c r="V528" s="215" t="n"/>
      <c r="W528" s="215" t="n"/>
      <c r="X528" s="215" t="n"/>
      <c r="Y528" s="215" t="n"/>
      <c r="Z528" s="215" t="n"/>
      <c r="AA528" s="215" t="n"/>
      <c r="AB528" s="215" t="n"/>
      <c r="AC528" s="215" t="n"/>
      <c r="AD528" s="215" t="n"/>
      <c r="AE528" s="215" t="n"/>
      <c r="AF528" s="215" t="n"/>
      <c r="AG528" s="215" t="n"/>
      <c r="AH528" s="215" t="n"/>
      <c r="AI528" s="215" t="n"/>
      <c r="AJ528" s="215" t="n"/>
      <c r="AK528" s="216" t="n"/>
    </row>
    <row r="529" ht="15" customHeight="1">
      <c r="B529" s="134" t="n"/>
      <c r="C529" s="105" t="n"/>
      <c r="D529" s="105" t="n"/>
      <c r="E529" s="105" t="n"/>
      <c r="F529" s="105" t="n"/>
      <c r="G529" s="105" t="n"/>
      <c r="H529" s="2" t="n"/>
      <c r="I529" s="105" t="n"/>
      <c r="K529" s="215" t="n"/>
      <c r="L529" s="215" t="n"/>
      <c r="M529" s="215" t="n"/>
      <c r="N529" s="215" t="n"/>
      <c r="O529" s="215" t="n"/>
      <c r="P529" s="215" t="n"/>
      <c r="Q529" s="215" t="n"/>
      <c r="R529" s="215" t="n"/>
      <c r="S529" s="215" t="n"/>
      <c r="T529" s="215" t="n"/>
      <c r="U529" s="215" t="n"/>
      <c r="V529" s="215" t="n"/>
      <c r="W529" s="215" t="n"/>
      <c r="X529" s="215" t="n"/>
      <c r="Y529" s="215" t="n"/>
      <c r="Z529" s="215" t="n"/>
      <c r="AA529" s="215" t="n"/>
      <c r="AB529" s="215" t="n"/>
      <c r="AC529" s="215" t="n"/>
      <c r="AD529" s="215" t="n"/>
      <c r="AE529" s="215" t="n"/>
      <c r="AF529" s="215" t="n"/>
      <c r="AG529" s="215" t="n"/>
      <c r="AH529" s="215" t="n"/>
      <c r="AI529" s="215" t="n"/>
      <c r="AJ529" s="215" t="n"/>
      <c r="AK529" s="216" t="n"/>
    </row>
    <row r="530" ht="15" customHeight="1">
      <c r="B530" s="134" t="n"/>
      <c r="C530" s="105" t="n"/>
      <c r="D530" s="105" t="n"/>
      <c r="E530" s="105" t="n"/>
      <c r="F530" s="105" t="n"/>
      <c r="G530" s="105" t="n"/>
      <c r="H530" s="2" t="n"/>
      <c r="I530" s="105" t="n"/>
      <c r="K530" s="215" t="n"/>
      <c r="L530" s="215" t="n"/>
      <c r="M530" s="215" t="n"/>
      <c r="N530" s="215" t="n"/>
      <c r="O530" s="215" t="n"/>
      <c r="P530" s="215" t="n"/>
      <c r="Q530" s="215" t="n"/>
      <c r="R530" s="215" t="n"/>
      <c r="S530" s="215" t="n"/>
      <c r="T530" s="215" t="n"/>
      <c r="U530" s="215" t="n"/>
      <c r="V530" s="215" t="n"/>
      <c r="W530" s="215" t="n"/>
      <c r="X530" s="215" t="n"/>
      <c r="Y530" s="215" t="n"/>
      <c r="Z530" s="215" t="n"/>
      <c r="AA530" s="215" t="n"/>
      <c r="AB530" s="215" t="n"/>
      <c r="AC530" s="215" t="n"/>
      <c r="AD530" s="215" t="n"/>
      <c r="AE530" s="215" t="n"/>
      <c r="AF530" s="215" t="n"/>
      <c r="AG530" s="215" t="n"/>
      <c r="AH530" s="215" t="n"/>
      <c r="AI530" s="215" t="n"/>
      <c r="AJ530" s="215" t="n"/>
      <c r="AK530" s="216" t="n"/>
    </row>
    <row r="531" ht="15" customHeight="1">
      <c r="B531" s="134" t="n"/>
      <c r="C531" s="105" t="n"/>
      <c r="D531" s="105" t="n"/>
      <c r="E531" s="105" t="n"/>
      <c r="F531" s="105" t="n"/>
      <c r="G531" s="105" t="n"/>
      <c r="H531" s="2" t="n"/>
      <c r="I531" s="105" t="n"/>
      <c r="K531" s="215" t="n"/>
      <c r="L531" s="215" t="n"/>
      <c r="M531" s="215" t="n"/>
      <c r="N531" s="215" t="n"/>
      <c r="O531" s="215" t="n"/>
      <c r="P531" s="215" t="n"/>
      <c r="Q531" s="215" t="n"/>
      <c r="R531" s="215" t="n"/>
      <c r="S531" s="215" t="n"/>
      <c r="T531" s="215" t="n"/>
      <c r="U531" s="215" t="n"/>
      <c r="V531" s="215" t="n"/>
      <c r="W531" s="215" t="n"/>
      <c r="X531" s="215" t="n"/>
      <c r="Y531" s="215" t="n"/>
      <c r="Z531" s="215" t="n"/>
      <c r="AA531" s="215" t="n"/>
      <c r="AB531" s="215" t="n"/>
      <c r="AC531" s="215" t="n"/>
      <c r="AD531" s="215" t="n"/>
      <c r="AE531" s="215" t="n"/>
      <c r="AF531" s="215" t="n"/>
      <c r="AG531" s="215" t="n"/>
      <c r="AH531" s="215" t="n"/>
      <c r="AI531" s="215" t="n"/>
      <c r="AJ531" s="215" t="n"/>
      <c r="AK531" s="216" t="n"/>
    </row>
    <row r="532" ht="15" customHeight="1">
      <c r="B532" s="134" t="n"/>
      <c r="C532" s="105" t="n"/>
      <c r="D532" s="105" t="n"/>
      <c r="E532" s="105" t="n"/>
      <c r="F532" s="105" t="n"/>
      <c r="G532" s="105" t="n"/>
      <c r="H532" s="2" t="n"/>
      <c r="I532" s="105" t="n"/>
      <c r="K532" s="215" t="n"/>
      <c r="L532" s="215" t="n"/>
      <c r="M532" s="215" t="n"/>
      <c r="N532" s="215" t="n"/>
      <c r="O532" s="215" t="n"/>
      <c r="P532" s="215" t="n"/>
      <c r="Q532" s="215" t="n"/>
      <c r="R532" s="215" t="n"/>
      <c r="S532" s="215" t="n"/>
      <c r="T532" s="215" t="n"/>
      <c r="U532" s="215" t="n"/>
      <c r="V532" s="215" t="n"/>
      <c r="W532" s="215" t="n"/>
      <c r="X532" s="215" t="n"/>
      <c r="Y532" s="215" t="n"/>
      <c r="Z532" s="215" t="n"/>
      <c r="AA532" s="215" t="n"/>
      <c r="AB532" s="215" t="n"/>
      <c r="AC532" s="215" t="n"/>
      <c r="AD532" s="215" t="n"/>
      <c r="AE532" s="215" t="n"/>
      <c r="AF532" s="215" t="n"/>
      <c r="AG532" s="215" t="n"/>
      <c r="AH532" s="215" t="n"/>
      <c r="AI532" s="215" t="n"/>
      <c r="AJ532" s="215" t="n"/>
      <c r="AK532" s="216" t="n"/>
    </row>
    <row r="533" ht="15" customHeight="1">
      <c r="B533" s="134" t="n"/>
      <c r="C533" s="105" t="n"/>
      <c r="D533" s="105" t="n"/>
      <c r="E533" s="105" t="n"/>
      <c r="F533" s="105" t="n"/>
      <c r="G533" s="105" t="n"/>
      <c r="H533" s="2" t="n"/>
      <c r="I533" s="105" t="n"/>
      <c r="K533" s="215" t="n"/>
      <c r="L533" s="215" t="n"/>
      <c r="M533" s="215" t="n"/>
      <c r="N533" s="215" t="n"/>
      <c r="O533" s="215" t="n"/>
      <c r="P533" s="215" t="n"/>
      <c r="Q533" s="215" t="n"/>
      <c r="R533" s="215" t="n"/>
      <c r="S533" s="215" t="n"/>
      <c r="T533" s="215" t="n"/>
      <c r="U533" s="215" t="n"/>
      <c r="V533" s="215" t="n"/>
      <c r="W533" s="215" t="n"/>
      <c r="X533" s="215" t="n"/>
      <c r="Y533" s="215" t="n"/>
      <c r="Z533" s="215" t="n"/>
      <c r="AA533" s="215" t="n"/>
      <c r="AB533" s="215" t="n"/>
      <c r="AC533" s="215" t="n"/>
      <c r="AD533" s="215" t="n"/>
      <c r="AE533" s="215" t="n"/>
      <c r="AF533" s="215" t="n"/>
      <c r="AG533" s="215" t="n"/>
      <c r="AH533" s="215" t="n"/>
      <c r="AI533" s="215" t="n"/>
      <c r="AJ533" s="215" t="n"/>
      <c r="AK533" s="216" t="n"/>
    </row>
    <row r="534" ht="15" customHeight="1">
      <c r="B534" s="134" t="n"/>
      <c r="C534" s="105" t="n"/>
      <c r="D534" s="105" t="n"/>
      <c r="E534" s="105" t="n"/>
      <c r="F534" s="105" t="n"/>
      <c r="G534" s="105" t="n"/>
      <c r="H534" s="2" t="n"/>
      <c r="I534" s="105" t="n"/>
      <c r="K534" s="215" t="n"/>
      <c r="L534" s="215" t="n"/>
      <c r="M534" s="215" t="n"/>
      <c r="N534" s="215" t="n"/>
      <c r="O534" s="215" t="n"/>
      <c r="P534" s="215" t="n"/>
      <c r="Q534" s="215" t="n"/>
      <c r="R534" s="215" t="n"/>
      <c r="S534" s="215" t="n"/>
      <c r="T534" s="215" t="n"/>
      <c r="U534" s="215" t="n"/>
      <c r="V534" s="215" t="n"/>
      <c r="W534" s="215" t="n"/>
      <c r="X534" s="215" t="n"/>
      <c r="Y534" s="215" t="n"/>
      <c r="Z534" s="215" t="n"/>
      <c r="AA534" s="215" t="n"/>
      <c r="AB534" s="215" t="n"/>
      <c r="AC534" s="215" t="n"/>
      <c r="AD534" s="215" t="n"/>
      <c r="AE534" s="215" t="n"/>
      <c r="AF534" s="215" t="n"/>
      <c r="AG534" s="215" t="n"/>
      <c r="AH534" s="215" t="n"/>
      <c r="AI534" s="215" t="n"/>
      <c r="AJ534" s="215" t="n"/>
      <c r="AK534" s="216" t="n"/>
    </row>
    <row r="535" ht="15" customHeight="1">
      <c r="B535" s="134" t="n"/>
      <c r="C535" s="105" t="n"/>
      <c r="D535" s="105" t="n"/>
      <c r="E535" s="105" t="n"/>
      <c r="F535" s="105" t="n"/>
      <c r="G535" s="105" t="n"/>
      <c r="H535" s="2" t="n"/>
      <c r="I535" s="105" t="n"/>
      <c r="K535" s="215" t="n"/>
      <c r="L535" s="215" t="n"/>
      <c r="M535" s="215" t="n"/>
      <c r="N535" s="215" t="n"/>
      <c r="O535" s="215" t="n"/>
      <c r="P535" s="215" t="n"/>
      <c r="Q535" s="215" t="n"/>
      <c r="R535" s="215" t="n"/>
      <c r="S535" s="215" t="n"/>
      <c r="T535" s="215" t="n"/>
      <c r="U535" s="215" t="n"/>
      <c r="V535" s="215" t="n"/>
      <c r="W535" s="215" t="n"/>
      <c r="X535" s="215" t="n"/>
      <c r="Y535" s="215" t="n"/>
      <c r="Z535" s="215" t="n"/>
      <c r="AA535" s="215" t="n"/>
      <c r="AB535" s="215" t="n"/>
      <c r="AC535" s="215" t="n"/>
      <c r="AD535" s="215" t="n"/>
      <c r="AE535" s="215" t="n"/>
      <c r="AF535" s="215" t="n"/>
      <c r="AG535" s="215" t="n"/>
      <c r="AH535" s="215" t="n"/>
      <c r="AI535" s="215" t="n"/>
      <c r="AJ535" s="215" t="n"/>
      <c r="AK535" s="216" t="n"/>
    </row>
    <row r="536" ht="15" customHeight="1">
      <c r="B536" s="134" t="n"/>
      <c r="C536" s="105" t="n"/>
      <c r="D536" s="105" t="n"/>
      <c r="E536" s="105" t="n"/>
      <c r="F536" s="105" t="n"/>
      <c r="G536" s="105" t="n"/>
      <c r="H536" s="2" t="n"/>
      <c r="I536" s="105" t="n"/>
      <c r="K536" s="215" t="n"/>
      <c r="L536" s="215" t="n"/>
      <c r="M536" s="215" t="n"/>
      <c r="N536" s="215" t="n"/>
      <c r="O536" s="215" t="n"/>
      <c r="P536" s="215" t="n"/>
      <c r="Q536" s="215" t="n"/>
      <c r="R536" s="215" t="n"/>
      <c r="S536" s="215" t="n"/>
      <c r="T536" s="215" t="n"/>
      <c r="U536" s="215" t="n"/>
      <c r="V536" s="215" t="n"/>
      <c r="W536" s="215" t="n"/>
      <c r="X536" s="215" t="n"/>
      <c r="Y536" s="215" t="n"/>
      <c r="Z536" s="215" t="n"/>
      <c r="AA536" s="215" t="n"/>
      <c r="AB536" s="215" t="n"/>
      <c r="AC536" s="215" t="n"/>
      <c r="AD536" s="215" t="n"/>
      <c r="AE536" s="215" t="n"/>
      <c r="AF536" s="215" t="n"/>
      <c r="AG536" s="215" t="n"/>
      <c r="AH536" s="215" t="n"/>
      <c r="AI536" s="215" t="n"/>
      <c r="AJ536" s="215" t="n"/>
      <c r="AK536" s="216" t="n"/>
    </row>
    <row r="537" ht="15" customHeight="1">
      <c r="B537" s="134" t="n"/>
      <c r="C537" s="105" t="n"/>
      <c r="D537" s="105" t="n"/>
      <c r="E537" s="105" t="n"/>
      <c r="F537" s="105" t="n"/>
      <c r="G537" s="105" t="n"/>
      <c r="H537" s="2" t="n"/>
      <c r="I537" s="105" t="n"/>
      <c r="K537" s="215" t="n"/>
      <c r="L537" s="215" t="n"/>
      <c r="M537" s="215" t="n"/>
      <c r="N537" s="215" t="n"/>
      <c r="O537" s="215" t="n"/>
      <c r="P537" s="215" t="n"/>
      <c r="Q537" s="215" t="n"/>
      <c r="R537" s="215" t="n"/>
      <c r="S537" s="215" t="n"/>
      <c r="T537" s="215" t="n"/>
      <c r="U537" s="215" t="n"/>
      <c r="V537" s="215" t="n"/>
      <c r="W537" s="215" t="n"/>
      <c r="X537" s="215" t="n"/>
      <c r="Y537" s="215" t="n"/>
      <c r="Z537" s="215" t="n"/>
      <c r="AA537" s="215" t="n"/>
      <c r="AB537" s="215" t="n"/>
      <c r="AC537" s="215" t="n"/>
      <c r="AD537" s="215" t="n"/>
      <c r="AE537" s="215" t="n"/>
      <c r="AF537" s="215" t="n"/>
      <c r="AG537" s="215" t="n"/>
      <c r="AH537" s="215" t="n"/>
      <c r="AI537" s="215" t="n"/>
      <c r="AJ537" s="215" t="n"/>
      <c r="AK537" s="216" t="n"/>
    </row>
    <row r="538" ht="15" customHeight="1">
      <c r="B538" s="134" t="n"/>
      <c r="C538" s="105" t="n"/>
      <c r="D538" s="105" t="n"/>
      <c r="E538" s="105" t="n"/>
      <c r="F538" s="105" t="n"/>
      <c r="G538" s="105" t="n"/>
      <c r="H538" s="2" t="n"/>
      <c r="I538" s="105" t="n"/>
      <c r="K538" s="215" t="n"/>
      <c r="L538" s="215" t="n"/>
      <c r="M538" s="215" t="n"/>
      <c r="N538" s="215" t="n"/>
      <c r="O538" s="215" t="n"/>
      <c r="P538" s="215" t="n"/>
      <c r="Q538" s="215" t="n"/>
      <c r="R538" s="215" t="n"/>
      <c r="S538" s="215" t="n"/>
      <c r="T538" s="215" t="n"/>
      <c r="U538" s="215" t="n"/>
      <c r="V538" s="215" t="n"/>
      <c r="W538" s="215" t="n"/>
      <c r="X538" s="215" t="n"/>
      <c r="Y538" s="215" t="n"/>
      <c r="Z538" s="215" t="n"/>
      <c r="AA538" s="215" t="n"/>
      <c r="AB538" s="215" t="n"/>
      <c r="AC538" s="215" t="n"/>
      <c r="AD538" s="215" t="n"/>
      <c r="AE538" s="215" t="n"/>
      <c r="AF538" s="215" t="n"/>
      <c r="AG538" s="215" t="n"/>
      <c r="AH538" s="215" t="n"/>
      <c r="AI538" s="215" t="n"/>
      <c r="AJ538" s="215" t="n"/>
      <c r="AK538" s="216" t="n"/>
    </row>
    <row r="539" ht="15" customHeight="1">
      <c r="B539" s="134" t="n"/>
      <c r="C539" s="105" t="n"/>
      <c r="D539" s="105" t="n"/>
      <c r="E539" s="105" t="n"/>
      <c r="F539" s="105" t="n"/>
      <c r="G539" s="105" t="n"/>
      <c r="H539" s="2" t="n"/>
      <c r="I539" s="105" t="n"/>
      <c r="K539" s="215" t="n"/>
      <c r="L539" s="215" t="n"/>
      <c r="M539" s="215" t="n"/>
      <c r="N539" s="215" t="n"/>
      <c r="O539" s="215" t="n"/>
      <c r="P539" s="215" t="n"/>
      <c r="Q539" s="215" t="n"/>
      <c r="R539" s="215" t="n"/>
      <c r="S539" s="215" t="n"/>
      <c r="T539" s="215" t="n"/>
      <c r="U539" s="215" t="n"/>
      <c r="V539" s="215" t="n"/>
      <c r="W539" s="215" t="n"/>
      <c r="X539" s="215" t="n"/>
      <c r="Y539" s="215" t="n"/>
      <c r="Z539" s="215" t="n"/>
      <c r="AA539" s="215" t="n"/>
      <c r="AB539" s="215" t="n"/>
      <c r="AC539" s="215" t="n"/>
      <c r="AD539" s="215" t="n"/>
      <c r="AE539" s="215" t="n"/>
      <c r="AF539" s="215" t="n"/>
      <c r="AG539" s="215" t="n"/>
      <c r="AH539" s="215" t="n"/>
      <c r="AI539" s="215" t="n"/>
      <c r="AJ539" s="215" t="n"/>
      <c r="AK539" s="216" t="n"/>
    </row>
    <row r="540" ht="15" customHeight="1">
      <c r="B540" s="134" t="n"/>
      <c r="C540" s="105" t="n"/>
      <c r="D540" s="105" t="n"/>
      <c r="E540" s="105" t="n"/>
      <c r="F540" s="105" t="n"/>
      <c r="G540" s="105" t="n"/>
      <c r="H540" s="2" t="n"/>
      <c r="I540" s="105" t="n"/>
      <c r="K540" s="215" t="n"/>
      <c r="L540" s="215" t="n"/>
      <c r="M540" s="215" t="n"/>
      <c r="N540" s="215" t="n"/>
      <c r="O540" s="215" t="n"/>
      <c r="P540" s="215" t="n"/>
      <c r="Q540" s="215" t="n"/>
      <c r="R540" s="215" t="n"/>
      <c r="S540" s="215" t="n"/>
      <c r="T540" s="215" t="n"/>
      <c r="U540" s="215" t="n"/>
      <c r="V540" s="215" t="n"/>
      <c r="W540" s="215" t="n"/>
      <c r="X540" s="215" t="n"/>
      <c r="Y540" s="215" t="n"/>
      <c r="Z540" s="215" t="n"/>
      <c r="AA540" s="215" t="n"/>
      <c r="AB540" s="215" t="n"/>
      <c r="AC540" s="215" t="n"/>
      <c r="AD540" s="215" t="n"/>
      <c r="AE540" s="215" t="n"/>
      <c r="AF540" s="215" t="n"/>
      <c r="AG540" s="215" t="n"/>
      <c r="AH540" s="215" t="n"/>
      <c r="AI540" s="215" t="n"/>
      <c r="AJ540" s="215" t="n"/>
      <c r="AK540" s="216" t="n"/>
    </row>
    <row r="541" ht="15" customHeight="1">
      <c r="B541" s="134" t="n"/>
      <c r="C541" s="105" t="n"/>
      <c r="D541" s="105" t="n"/>
      <c r="E541" s="105" t="n"/>
      <c r="F541" s="105" t="n"/>
      <c r="G541" s="105" t="n"/>
      <c r="H541" s="2" t="n"/>
      <c r="I541" s="105" t="n"/>
      <c r="K541" s="215" t="n"/>
      <c r="L541" s="215" t="n"/>
      <c r="M541" s="215" t="n"/>
      <c r="N541" s="215" t="n"/>
      <c r="O541" s="215" t="n"/>
      <c r="P541" s="215" t="n"/>
      <c r="Q541" s="215" t="n"/>
      <c r="R541" s="215" t="n"/>
      <c r="S541" s="215" t="n"/>
      <c r="T541" s="215" t="n"/>
      <c r="U541" s="215" t="n"/>
      <c r="V541" s="215" t="n"/>
      <c r="W541" s="215" t="n"/>
      <c r="X541" s="215" t="n"/>
      <c r="Y541" s="215" t="n"/>
      <c r="Z541" s="215" t="n"/>
      <c r="AA541" s="215" t="n"/>
      <c r="AB541" s="215" t="n"/>
      <c r="AC541" s="215" t="n"/>
      <c r="AD541" s="215" t="n"/>
      <c r="AE541" s="215" t="n"/>
      <c r="AF541" s="215" t="n"/>
      <c r="AG541" s="215" t="n"/>
      <c r="AH541" s="215" t="n"/>
      <c r="AI541" s="215" t="n"/>
      <c r="AJ541" s="215" t="n"/>
      <c r="AK541" s="216" t="n"/>
    </row>
    <row r="542" ht="15" customHeight="1">
      <c r="B542" s="134" t="n"/>
      <c r="C542" s="105" t="n"/>
      <c r="D542" s="105" t="n"/>
      <c r="E542" s="105" t="n"/>
      <c r="F542" s="105" t="n"/>
      <c r="G542" s="105" t="n"/>
      <c r="H542" s="2" t="n"/>
      <c r="I542" s="105" t="n"/>
      <c r="K542" s="215" t="n"/>
      <c r="L542" s="215" t="n"/>
      <c r="M542" s="215" t="n"/>
      <c r="N542" s="215" t="n"/>
      <c r="O542" s="215" t="n"/>
      <c r="P542" s="215" t="n"/>
      <c r="Q542" s="215" t="n"/>
      <c r="R542" s="215" t="n"/>
      <c r="S542" s="215" t="n"/>
      <c r="T542" s="215" t="n"/>
      <c r="U542" s="215" t="n"/>
      <c r="V542" s="215" t="n"/>
      <c r="W542" s="215" t="n"/>
      <c r="X542" s="215" t="n"/>
      <c r="Y542" s="215" t="n"/>
      <c r="Z542" s="215" t="n"/>
      <c r="AA542" s="215" t="n"/>
      <c r="AB542" s="215" t="n"/>
      <c r="AC542" s="215" t="n"/>
      <c r="AD542" s="215" t="n"/>
      <c r="AE542" s="215" t="n"/>
      <c r="AF542" s="215" t="n"/>
      <c r="AG542" s="215" t="n"/>
      <c r="AH542" s="215" t="n"/>
      <c r="AI542" s="215" t="n"/>
      <c r="AJ542" s="215" t="n"/>
      <c r="AK542" s="216" t="n"/>
    </row>
    <row r="543" ht="15" customHeight="1">
      <c r="B543" s="134" t="n"/>
      <c r="C543" s="105" t="n"/>
      <c r="D543" s="105" t="n"/>
      <c r="E543" s="105" t="n"/>
      <c r="F543" s="105" t="n"/>
      <c r="G543" s="105" t="n"/>
      <c r="H543" s="2" t="n"/>
      <c r="I543" s="105" t="n"/>
      <c r="K543" s="215" t="n"/>
      <c r="L543" s="215" t="n"/>
      <c r="M543" s="215" t="n"/>
      <c r="N543" s="215" t="n"/>
      <c r="O543" s="215" t="n"/>
      <c r="P543" s="215" t="n"/>
      <c r="Q543" s="215" t="n"/>
      <c r="R543" s="215" t="n"/>
      <c r="S543" s="215" t="n"/>
      <c r="T543" s="215" t="n"/>
      <c r="U543" s="215" t="n"/>
      <c r="V543" s="215" t="n"/>
      <c r="W543" s="215" t="n"/>
      <c r="X543" s="215" t="n"/>
      <c r="Y543" s="215" t="n"/>
      <c r="Z543" s="215" t="n"/>
      <c r="AA543" s="215" t="n"/>
      <c r="AB543" s="215" t="n"/>
      <c r="AC543" s="215" t="n"/>
      <c r="AD543" s="215" t="n"/>
      <c r="AE543" s="215" t="n"/>
      <c r="AF543" s="215" t="n"/>
      <c r="AG543" s="215" t="n"/>
      <c r="AH543" s="215" t="n"/>
      <c r="AI543" s="215" t="n"/>
      <c r="AJ543" s="215" t="n"/>
      <c r="AK543" s="216" t="n"/>
    </row>
    <row r="544" ht="15" customHeight="1">
      <c r="B544" s="134" t="n"/>
      <c r="C544" s="105" t="n"/>
      <c r="D544" s="105" t="n"/>
      <c r="E544" s="105" t="n"/>
      <c r="F544" s="105" t="n"/>
      <c r="G544" s="105" t="n"/>
      <c r="H544" s="2" t="n"/>
      <c r="I544" s="105" t="n"/>
      <c r="K544" s="215" t="n"/>
      <c r="L544" s="215" t="n"/>
      <c r="M544" s="215" t="n"/>
      <c r="N544" s="215" t="n"/>
      <c r="O544" s="215" t="n"/>
      <c r="P544" s="215" t="n"/>
      <c r="Q544" s="215" t="n"/>
      <c r="R544" s="215" t="n"/>
      <c r="S544" s="215" t="n"/>
      <c r="T544" s="215" t="n"/>
      <c r="U544" s="215" t="n"/>
      <c r="V544" s="215" t="n"/>
      <c r="W544" s="215" t="n"/>
      <c r="X544" s="215" t="n"/>
      <c r="Y544" s="215" t="n"/>
      <c r="Z544" s="215" t="n"/>
      <c r="AA544" s="215" t="n"/>
      <c r="AB544" s="215" t="n"/>
      <c r="AC544" s="215" t="n"/>
      <c r="AD544" s="215" t="n"/>
      <c r="AE544" s="215" t="n"/>
      <c r="AF544" s="215" t="n"/>
      <c r="AG544" s="215" t="n"/>
      <c r="AH544" s="215" t="n"/>
      <c r="AI544" s="215" t="n"/>
      <c r="AJ544" s="215" t="n"/>
      <c r="AK544" s="216" t="n"/>
    </row>
    <row r="545" ht="15" customHeight="1">
      <c r="B545" s="134" t="n"/>
      <c r="C545" s="105" t="n"/>
      <c r="D545" s="105" t="n"/>
      <c r="E545" s="105" t="n"/>
      <c r="F545" s="105" t="n"/>
      <c r="G545" s="105" t="n"/>
      <c r="H545" s="2" t="n"/>
      <c r="I545" s="105" t="n"/>
      <c r="K545" s="215" t="n"/>
      <c r="L545" s="215" t="n"/>
      <c r="M545" s="215" t="n"/>
      <c r="N545" s="215" t="n"/>
      <c r="O545" s="215" t="n"/>
      <c r="P545" s="215" t="n"/>
      <c r="Q545" s="215" t="n"/>
      <c r="R545" s="215" t="n"/>
      <c r="S545" s="215" t="n"/>
      <c r="T545" s="215" t="n"/>
      <c r="U545" s="215" t="n"/>
      <c r="V545" s="215" t="n"/>
      <c r="W545" s="215" t="n"/>
      <c r="X545" s="215" t="n"/>
      <c r="Y545" s="215" t="n"/>
      <c r="Z545" s="215" t="n"/>
      <c r="AA545" s="215" t="n"/>
      <c r="AB545" s="215" t="n"/>
      <c r="AC545" s="215" t="n"/>
      <c r="AD545" s="215" t="n"/>
      <c r="AE545" s="215" t="n"/>
      <c r="AF545" s="215" t="n"/>
      <c r="AG545" s="215" t="n"/>
      <c r="AH545" s="215" t="n"/>
      <c r="AI545" s="215" t="n"/>
      <c r="AJ545" s="215" t="n"/>
      <c r="AK545" s="216" t="n"/>
    </row>
    <row r="546" ht="15" customHeight="1">
      <c r="B546" s="134" t="n"/>
      <c r="C546" s="105" t="n"/>
      <c r="D546" s="105" t="n"/>
      <c r="E546" s="105" t="n"/>
      <c r="F546" s="105" t="n"/>
      <c r="G546" s="105" t="n"/>
      <c r="H546" s="2" t="n"/>
      <c r="I546" s="105" t="n"/>
      <c r="K546" s="215" t="n"/>
      <c r="L546" s="215" t="n"/>
      <c r="M546" s="215" t="n"/>
      <c r="N546" s="215" t="n"/>
      <c r="O546" s="215" t="n"/>
      <c r="P546" s="215" t="n"/>
      <c r="Q546" s="215" t="n"/>
      <c r="R546" s="215" t="n"/>
      <c r="S546" s="215" t="n"/>
      <c r="T546" s="215" t="n"/>
      <c r="U546" s="215" t="n"/>
      <c r="V546" s="215" t="n"/>
      <c r="W546" s="215" t="n"/>
      <c r="X546" s="215" t="n"/>
      <c r="Y546" s="215" t="n"/>
      <c r="Z546" s="215" t="n"/>
      <c r="AA546" s="215" t="n"/>
      <c r="AB546" s="215" t="n"/>
      <c r="AC546" s="215" t="n"/>
      <c r="AD546" s="215" t="n"/>
      <c r="AE546" s="215" t="n"/>
      <c r="AF546" s="215" t="n"/>
      <c r="AG546" s="215" t="n"/>
      <c r="AH546" s="215" t="n"/>
      <c r="AI546" s="215" t="n"/>
      <c r="AJ546" s="215" t="n"/>
      <c r="AK546" s="216" t="n"/>
    </row>
    <row r="547" ht="15" customHeight="1">
      <c r="B547" s="134" t="n"/>
      <c r="C547" s="105" t="n"/>
      <c r="D547" s="105" t="n"/>
      <c r="E547" s="105" t="n"/>
      <c r="F547" s="105" t="n"/>
      <c r="G547" s="105" t="n"/>
      <c r="H547" s="2" t="n"/>
      <c r="I547" s="105" t="n"/>
      <c r="K547" s="215" t="n"/>
      <c r="L547" s="215" t="n"/>
      <c r="M547" s="215" t="n"/>
      <c r="N547" s="215" t="n"/>
      <c r="O547" s="215" t="n"/>
      <c r="P547" s="215" t="n"/>
      <c r="Q547" s="215" t="n"/>
      <c r="R547" s="215" t="n"/>
      <c r="S547" s="215" t="n"/>
      <c r="T547" s="215" t="n"/>
      <c r="U547" s="215" t="n"/>
      <c r="V547" s="215" t="n"/>
      <c r="W547" s="215" t="n"/>
      <c r="X547" s="215" t="n"/>
      <c r="Y547" s="215" t="n"/>
      <c r="Z547" s="215" t="n"/>
      <c r="AA547" s="215" t="n"/>
      <c r="AB547" s="215" t="n"/>
      <c r="AC547" s="215" t="n"/>
      <c r="AD547" s="215" t="n"/>
      <c r="AE547" s="215" t="n"/>
      <c r="AF547" s="215" t="n"/>
      <c r="AG547" s="215" t="n"/>
      <c r="AH547" s="215" t="n"/>
      <c r="AI547" s="215" t="n"/>
      <c r="AJ547" s="215" t="n"/>
      <c r="AK547" s="216" t="n"/>
    </row>
    <row r="548" ht="15" customHeight="1">
      <c r="B548" s="134" t="n"/>
      <c r="C548" s="105" t="n"/>
      <c r="D548" s="105" t="n"/>
      <c r="E548" s="105" t="n"/>
      <c r="F548" s="105" t="n"/>
      <c r="G548" s="105" t="n"/>
      <c r="H548" s="2" t="n"/>
      <c r="I548" s="105" t="n"/>
      <c r="K548" s="215" t="n"/>
      <c r="L548" s="215" t="n"/>
      <c r="M548" s="215" t="n"/>
      <c r="N548" s="215" t="n"/>
      <c r="O548" s="215" t="n"/>
      <c r="P548" s="215" t="n"/>
      <c r="Q548" s="215" t="n"/>
      <c r="R548" s="215" t="n"/>
      <c r="S548" s="215" t="n"/>
      <c r="T548" s="215" t="n"/>
      <c r="U548" s="215" t="n"/>
      <c r="V548" s="215" t="n"/>
      <c r="W548" s="215" t="n"/>
      <c r="X548" s="215" t="n"/>
      <c r="Y548" s="215" t="n"/>
      <c r="Z548" s="215" t="n"/>
      <c r="AA548" s="215" t="n"/>
      <c r="AB548" s="215" t="n"/>
      <c r="AC548" s="215" t="n"/>
      <c r="AD548" s="215" t="n"/>
      <c r="AE548" s="215" t="n"/>
      <c r="AF548" s="215" t="n"/>
      <c r="AG548" s="215" t="n"/>
      <c r="AH548" s="215" t="n"/>
      <c r="AI548" s="215" t="n"/>
      <c r="AJ548" s="215" t="n"/>
      <c r="AK548" s="216" t="n"/>
    </row>
    <row r="549" ht="15" customHeight="1">
      <c r="B549" s="134" t="n"/>
      <c r="C549" s="105" t="n"/>
      <c r="D549" s="105" t="n"/>
      <c r="E549" s="105" t="n"/>
      <c r="F549" s="105" t="n"/>
      <c r="G549" s="105" t="n"/>
      <c r="H549" s="2" t="n"/>
      <c r="I549" s="105" t="n"/>
      <c r="K549" s="215" t="n"/>
      <c r="L549" s="215" t="n"/>
      <c r="M549" s="215" t="n"/>
      <c r="N549" s="215" t="n"/>
      <c r="O549" s="215" t="n"/>
      <c r="P549" s="215" t="n"/>
      <c r="Q549" s="215" t="n"/>
      <c r="R549" s="215" t="n"/>
      <c r="S549" s="215" t="n"/>
      <c r="T549" s="215" t="n"/>
      <c r="U549" s="215" t="n"/>
      <c r="V549" s="215" t="n"/>
      <c r="W549" s="215" t="n"/>
      <c r="X549" s="215" t="n"/>
      <c r="Y549" s="215" t="n"/>
      <c r="Z549" s="215" t="n"/>
      <c r="AA549" s="215" t="n"/>
      <c r="AB549" s="215" t="n"/>
      <c r="AC549" s="215" t="n"/>
      <c r="AD549" s="215" t="n"/>
      <c r="AE549" s="215" t="n"/>
      <c r="AF549" s="215" t="n"/>
      <c r="AG549" s="215" t="n"/>
      <c r="AH549" s="215" t="n"/>
      <c r="AI549" s="215" t="n"/>
      <c r="AJ549" s="215" t="n"/>
      <c r="AK549" s="216" t="n"/>
    </row>
    <row r="550" ht="15" customHeight="1">
      <c r="B550" s="134" t="n"/>
      <c r="C550" s="105" t="n"/>
      <c r="D550" s="105" t="n"/>
      <c r="E550" s="105" t="n"/>
      <c r="F550" s="105" t="n"/>
      <c r="G550" s="105" t="n"/>
      <c r="H550" s="2" t="n"/>
      <c r="I550" s="105" t="n"/>
      <c r="K550" s="215" t="n"/>
      <c r="L550" s="215" t="n"/>
      <c r="M550" s="215" t="n"/>
      <c r="N550" s="215" t="n"/>
      <c r="O550" s="215" t="n"/>
      <c r="P550" s="215" t="n"/>
      <c r="Q550" s="215" t="n"/>
      <c r="R550" s="215" t="n"/>
      <c r="S550" s="215" t="n"/>
      <c r="T550" s="215" t="n"/>
      <c r="U550" s="215" t="n"/>
      <c r="V550" s="215" t="n"/>
      <c r="W550" s="215" t="n"/>
      <c r="X550" s="215" t="n"/>
      <c r="Y550" s="215" t="n"/>
      <c r="Z550" s="215" t="n"/>
      <c r="AA550" s="215" t="n"/>
      <c r="AB550" s="215" t="n"/>
      <c r="AC550" s="215" t="n"/>
      <c r="AD550" s="215" t="n"/>
      <c r="AE550" s="215" t="n"/>
      <c r="AF550" s="215" t="n"/>
      <c r="AG550" s="215" t="n"/>
      <c r="AH550" s="215" t="n"/>
      <c r="AI550" s="215" t="n"/>
      <c r="AJ550" s="215" t="n"/>
      <c r="AK550" s="216" t="n"/>
    </row>
    <row r="551" ht="15" customHeight="1">
      <c r="B551" s="134" t="n"/>
      <c r="C551" s="105" t="n"/>
      <c r="D551" s="105" t="n"/>
      <c r="E551" s="105" t="n"/>
      <c r="F551" s="105" t="n"/>
      <c r="G551" s="105" t="n"/>
      <c r="H551" s="2" t="n"/>
      <c r="I551" s="105" t="n"/>
      <c r="K551" s="215" t="n"/>
      <c r="L551" s="215" t="n"/>
      <c r="M551" s="215" t="n"/>
      <c r="N551" s="215" t="n"/>
      <c r="O551" s="215" t="n"/>
      <c r="P551" s="215" t="n"/>
      <c r="Q551" s="215" t="n"/>
      <c r="R551" s="215" t="n"/>
      <c r="S551" s="215" t="n"/>
      <c r="T551" s="215" t="n"/>
      <c r="U551" s="215" t="n"/>
      <c r="V551" s="215" t="n"/>
      <c r="W551" s="215" t="n"/>
      <c r="X551" s="215" t="n"/>
      <c r="Y551" s="215" t="n"/>
      <c r="Z551" s="215" t="n"/>
      <c r="AA551" s="215" t="n"/>
      <c r="AB551" s="215" t="n"/>
      <c r="AC551" s="215" t="n"/>
      <c r="AD551" s="215" t="n"/>
      <c r="AE551" s="215" t="n"/>
      <c r="AF551" s="215" t="n"/>
      <c r="AG551" s="215" t="n"/>
      <c r="AH551" s="215" t="n"/>
      <c r="AI551" s="215" t="n"/>
      <c r="AJ551" s="215" t="n"/>
      <c r="AK551" s="216" t="n"/>
    </row>
    <row r="552" ht="15" customHeight="1">
      <c r="B552" s="134" t="n"/>
      <c r="C552" s="105" t="n"/>
      <c r="D552" s="105" t="n"/>
      <c r="E552" s="105" t="n"/>
      <c r="F552" s="105" t="n"/>
      <c r="G552" s="105" t="n"/>
      <c r="H552" s="2" t="n"/>
      <c r="I552" s="105" t="n"/>
      <c r="K552" s="215" t="n"/>
      <c r="L552" s="215" t="n"/>
      <c r="M552" s="215" t="n"/>
      <c r="N552" s="215" t="n"/>
      <c r="O552" s="215" t="n"/>
      <c r="P552" s="215" t="n"/>
      <c r="Q552" s="215" t="n"/>
      <c r="R552" s="215" t="n"/>
      <c r="S552" s="215" t="n"/>
      <c r="T552" s="215" t="n"/>
      <c r="U552" s="215" t="n"/>
      <c r="V552" s="215" t="n"/>
      <c r="W552" s="215" t="n"/>
      <c r="X552" s="215" t="n"/>
      <c r="Y552" s="215" t="n"/>
      <c r="Z552" s="215" t="n"/>
      <c r="AA552" s="215" t="n"/>
      <c r="AB552" s="215" t="n"/>
      <c r="AC552" s="215" t="n"/>
      <c r="AD552" s="215" t="n"/>
      <c r="AE552" s="215" t="n"/>
      <c r="AF552" s="215" t="n"/>
      <c r="AG552" s="215" t="n"/>
      <c r="AH552" s="215" t="n"/>
      <c r="AI552" s="215" t="n"/>
      <c r="AJ552" s="215" t="n"/>
      <c r="AK552" s="216" t="n"/>
    </row>
    <row r="553" ht="15" customHeight="1">
      <c r="B553" s="134" t="n"/>
      <c r="C553" s="105" t="n"/>
      <c r="D553" s="105" t="n"/>
      <c r="E553" s="105" t="n"/>
      <c r="F553" s="105" t="n"/>
      <c r="G553" s="105" t="n"/>
      <c r="H553" s="2" t="n"/>
      <c r="I553" s="105" t="n"/>
      <c r="K553" s="215" t="n"/>
      <c r="L553" s="215" t="n"/>
      <c r="M553" s="215" t="n"/>
      <c r="N553" s="215" t="n"/>
      <c r="O553" s="215" t="n"/>
      <c r="P553" s="215" t="n"/>
      <c r="Q553" s="215" t="n"/>
      <c r="R553" s="215" t="n"/>
      <c r="S553" s="215" t="n"/>
      <c r="T553" s="215" t="n"/>
      <c r="U553" s="215" t="n"/>
      <c r="V553" s="215" t="n"/>
      <c r="W553" s="215" t="n"/>
      <c r="X553" s="215" t="n"/>
      <c r="Y553" s="215" t="n"/>
      <c r="Z553" s="215" t="n"/>
      <c r="AA553" s="215" t="n"/>
      <c r="AB553" s="215" t="n"/>
      <c r="AC553" s="215" t="n"/>
      <c r="AD553" s="215" t="n"/>
      <c r="AE553" s="215" t="n"/>
      <c r="AF553" s="215" t="n"/>
      <c r="AG553" s="215" t="n"/>
      <c r="AH553" s="215" t="n"/>
      <c r="AI553" s="215" t="n"/>
      <c r="AJ553" s="215" t="n"/>
      <c r="AK553" s="216" t="n"/>
    </row>
    <row r="554" ht="15" customHeight="1">
      <c r="B554" s="134" t="n"/>
      <c r="C554" s="105" t="n"/>
      <c r="D554" s="105" t="n"/>
      <c r="E554" s="105" t="n"/>
      <c r="F554" s="105" t="n"/>
      <c r="G554" s="105" t="n"/>
      <c r="H554" s="2" t="n"/>
      <c r="I554" s="105" t="n"/>
      <c r="K554" s="215" t="n"/>
      <c r="L554" s="215" t="n"/>
      <c r="M554" s="215" t="n"/>
      <c r="N554" s="215" t="n"/>
      <c r="O554" s="215" t="n"/>
      <c r="P554" s="215" t="n"/>
      <c r="Q554" s="215" t="n"/>
      <c r="R554" s="215" t="n"/>
      <c r="S554" s="215" t="n"/>
      <c r="T554" s="215" t="n"/>
      <c r="U554" s="215" t="n"/>
      <c r="V554" s="215" t="n"/>
      <c r="W554" s="215" t="n"/>
      <c r="X554" s="215" t="n"/>
      <c r="Y554" s="215" t="n"/>
      <c r="Z554" s="215" t="n"/>
      <c r="AA554" s="215" t="n"/>
      <c r="AB554" s="215" t="n"/>
      <c r="AC554" s="215" t="n"/>
      <c r="AD554" s="215" t="n"/>
      <c r="AE554" s="215" t="n"/>
      <c r="AF554" s="215" t="n"/>
      <c r="AG554" s="215" t="n"/>
      <c r="AH554" s="215" t="n"/>
      <c r="AI554" s="215" t="n"/>
      <c r="AJ554" s="215" t="n"/>
      <c r="AK554" s="216" t="n"/>
    </row>
    <row r="555" ht="15" customHeight="1">
      <c r="B555" s="134" t="n"/>
      <c r="C555" s="105" t="n"/>
      <c r="D555" s="105" t="n"/>
      <c r="E555" s="105" t="n"/>
      <c r="F555" s="105" t="n"/>
      <c r="G555" s="105" t="n"/>
      <c r="H555" s="2" t="n"/>
      <c r="I555" s="105" t="n"/>
      <c r="K555" s="215" t="n"/>
      <c r="L555" s="215" t="n"/>
      <c r="M555" s="215" t="n"/>
      <c r="N555" s="215" t="n"/>
      <c r="O555" s="215" t="n"/>
      <c r="P555" s="215" t="n"/>
      <c r="Q555" s="215" t="n"/>
      <c r="R555" s="215" t="n"/>
      <c r="S555" s="215" t="n"/>
      <c r="T555" s="215" t="n"/>
      <c r="U555" s="215" t="n"/>
      <c r="V555" s="215" t="n"/>
      <c r="W555" s="215" t="n"/>
      <c r="X555" s="215" t="n"/>
      <c r="Y555" s="215" t="n"/>
      <c r="Z555" s="215" t="n"/>
      <c r="AA555" s="215" t="n"/>
      <c r="AB555" s="215" t="n"/>
      <c r="AC555" s="215" t="n"/>
      <c r="AD555" s="215" t="n"/>
      <c r="AE555" s="215" t="n"/>
      <c r="AF555" s="215" t="n"/>
      <c r="AG555" s="215" t="n"/>
      <c r="AH555" s="215" t="n"/>
      <c r="AI555" s="215" t="n"/>
      <c r="AJ555" s="215" t="n"/>
      <c r="AK555" s="216" t="n"/>
    </row>
    <row r="556" ht="15" customHeight="1">
      <c r="B556" s="134" t="n"/>
      <c r="C556" s="105" t="n"/>
      <c r="D556" s="105" t="n"/>
      <c r="E556" s="105" t="n"/>
      <c r="F556" s="105" t="n"/>
      <c r="G556" s="105" t="n"/>
      <c r="H556" s="2" t="n"/>
      <c r="I556" s="105" t="n"/>
      <c r="K556" s="215" t="n"/>
      <c r="L556" s="215" t="n"/>
      <c r="M556" s="215" t="n"/>
      <c r="N556" s="215" t="n"/>
      <c r="O556" s="215" t="n"/>
      <c r="P556" s="215" t="n"/>
      <c r="Q556" s="215" t="n"/>
      <c r="R556" s="215" t="n"/>
      <c r="S556" s="215" t="n"/>
      <c r="T556" s="215" t="n"/>
      <c r="U556" s="215" t="n"/>
      <c r="V556" s="215" t="n"/>
      <c r="W556" s="215" t="n"/>
      <c r="X556" s="215" t="n"/>
      <c r="Y556" s="215" t="n"/>
      <c r="Z556" s="215" t="n"/>
      <c r="AA556" s="215" t="n"/>
      <c r="AB556" s="215" t="n"/>
      <c r="AC556" s="215" t="n"/>
      <c r="AD556" s="215" t="n"/>
      <c r="AE556" s="215" t="n"/>
      <c r="AF556" s="215" t="n"/>
      <c r="AG556" s="215" t="n"/>
      <c r="AH556" s="215" t="n"/>
      <c r="AI556" s="215" t="n"/>
      <c r="AJ556" s="215" t="n"/>
      <c r="AK556" s="216" t="n"/>
    </row>
    <row r="557" ht="15" customHeight="1">
      <c r="B557" s="134" t="n"/>
      <c r="C557" s="105" t="n"/>
      <c r="D557" s="105" t="n"/>
      <c r="E557" s="105" t="n"/>
      <c r="F557" s="105" t="n"/>
      <c r="G557" s="105" t="n"/>
      <c r="H557" s="2" t="n"/>
      <c r="I557" s="105" t="n"/>
      <c r="K557" s="215" t="n"/>
      <c r="L557" s="215" t="n"/>
      <c r="M557" s="215" t="n"/>
      <c r="N557" s="215" t="n"/>
      <c r="O557" s="215" t="n"/>
      <c r="P557" s="215" t="n"/>
      <c r="Q557" s="215" t="n"/>
      <c r="R557" s="215" t="n"/>
      <c r="S557" s="215" t="n"/>
      <c r="T557" s="215" t="n"/>
      <c r="U557" s="215" t="n"/>
      <c r="V557" s="215" t="n"/>
      <c r="W557" s="215" t="n"/>
      <c r="X557" s="215" t="n"/>
      <c r="Y557" s="215" t="n"/>
      <c r="Z557" s="215" t="n"/>
      <c r="AA557" s="215" t="n"/>
      <c r="AB557" s="215" t="n"/>
      <c r="AC557" s="215" t="n"/>
      <c r="AD557" s="215" t="n"/>
      <c r="AE557" s="215" t="n"/>
      <c r="AF557" s="215" t="n"/>
      <c r="AG557" s="215" t="n"/>
      <c r="AH557" s="215" t="n"/>
      <c r="AI557" s="215" t="n"/>
      <c r="AJ557" s="215" t="n"/>
      <c r="AK557" s="216" t="n"/>
    </row>
    <row r="558" ht="15" customHeight="1">
      <c r="B558" s="134" t="n"/>
      <c r="C558" s="105" t="n"/>
      <c r="D558" s="105" t="n"/>
      <c r="E558" s="105" t="n"/>
      <c r="F558" s="105" t="n"/>
      <c r="G558" s="105" t="n"/>
      <c r="H558" s="2" t="n"/>
      <c r="I558" s="105" t="n"/>
      <c r="K558" s="215" t="n"/>
      <c r="L558" s="215" t="n"/>
      <c r="M558" s="215" t="n"/>
      <c r="N558" s="215" t="n"/>
      <c r="O558" s="215" t="n"/>
      <c r="P558" s="215" t="n"/>
      <c r="Q558" s="215" t="n"/>
      <c r="R558" s="215" t="n"/>
      <c r="S558" s="215" t="n"/>
      <c r="T558" s="215" t="n"/>
      <c r="U558" s="215" t="n"/>
      <c r="V558" s="215" t="n"/>
      <c r="W558" s="215" t="n"/>
      <c r="X558" s="215" t="n"/>
      <c r="Y558" s="215" t="n"/>
      <c r="Z558" s="215" t="n"/>
      <c r="AA558" s="215" t="n"/>
      <c r="AB558" s="215" t="n"/>
      <c r="AC558" s="215" t="n"/>
      <c r="AD558" s="215" t="n"/>
      <c r="AE558" s="215" t="n"/>
      <c r="AF558" s="215" t="n"/>
      <c r="AG558" s="215" t="n"/>
      <c r="AH558" s="215" t="n"/>
      <c r="AI558" s="215" t="n"/>
      <c r="AJ558" s="215" t="n"/>
      <c r="AK558" s="216" t="n"/>
    </row>
    <row r="559" ht="15" customHeight="1">
      <c r="B559" s="134" t="n"/>
      <c r="C559" s="105" t="n"/>
      <c r="D559" s="105" t="n"/>
      <c r="E559" s="105" t="n"/>
      <c r="F559" s="105" t="n"/>
      <c r="G559" s="105" t="n"/>
      <c r="H559" s="2" t="n"/>
      <c r="I559" s="105" t="n"/>
      <c r="K559" s="215" t="n"/>
      <c r="L559" s="215" t="n"/>
      <c r="M559" s="215" t="n"/>
      <c r="N559" s="215" t="n"/>
      <c r="O559" s="215" t="n"/>
      <c r="P559" s="215" t="n"/>
      <c r="Q559" s="215" t="n"/>
      <c r="R559" s="215" t="n"/>
      <c r="S559" s="215" t="n"/>
      <c r="T559" s="215" t="n"/>
      <c r="U559" s="215" t="n"/>
      <c r="V559" s="215" t="n"/>
      <c r="W559" s="215" t="n"/>
      <c r="X559" s="215" t="n"/>
      <c r="Y559" s="215" t="n"/>
      <c r="Z559" s="215" t="n"/>
      <c r="AA559" s="215" t="n"/>
      <c r="AB559" s="215" t="n"/>
      <c r="AC559" s="215" t="n"/>
      <c r="AD559" s="215" t="n"/>
      <c r="AE559" s="215" t="n"/>
      <c r="AF559" s="215" t="n"/>
      <c r="AG559" s="215" t="n"/>
      <c r="AH559" s="215" t="n"/>
      <c r="AI559" s="215" t="n"/>
      <c r="AJ559" s="215" t="n"/>
      <c r="AK559" s="216" t="n"/>
    </row>
    <row r="560" ht="15" customHeight="1">
      <c r="B560" s="134" t="n"/>
      <c r="C560" s="105" t="n"/>
      <c r="D560" s="105" t="n"/>
      <c r="E560" s="105" t="n"/>
      <c r="F560" s="105" t="n"/>
      <c r="G560" s="105" t="n"/>
      <c r="H560" s="2" t="n"/>
      <c r="I560" s="105" t="n"/>
      <c r="K560" s="215" t="n"/>
      <c r="L560" s="215" t="n"/>
      <c r="M560" s="215" t="n"/>
      <c r="N560" s="215" t="n"/>
      <c r="O560" s="215" t="n"/>
      <c r="P560" s="215" t="n"/>
      <c r="Q560" s="215" t="n"/>
      <c r="R560" s="215" t="n"/>
      <c r="S560" s="215" t="n"/>
      <c r="T560" s="215" t="n"/>
      <c r="U560" s="215" t="n"/>
      <c r="V560" s="215" t="n"/>
      <c r="W560" s="215" t="n"/>
      <c r="X560" s="215" t="n"/>
      <c r="Y560" s="215" t="n"/>
      <c r="Z560" s="215" t="n"/>
      <c r="AA560" s="215" t="n"/>
      <c r="AB560" s="215" t="n"/>
      <c r="AC560" s="215" t="n"/>
      <c r="AD560" s="215" t="n"/>
      <c r="AE560" s="215" t="n"/>
      <c r="AF560" s="215" t="n"/>
      <c r="AG560" s="215" t="n"/>
      <c r="AH560" s="215" t="n"/>
      <c r="AI560" s="215" t="n"/>
      <c r="AJ560" s="215" t="n"/>
      <c r="AK560" s="216" t="n"/>
    </row>
    <row r="561" ht="15" customHeight="1">
      <c r="B561" s="134" t="n"/>
      <c r="C561" s="105" t="n"/>
      <c r="D561" s="105" t="n"/>
      <c r="E561" s="105" t="n"/>
      <c r="F561" s="105" t="n"/>
      <c r="G561" s="105" t="n"/>
      <c r="H561" s="2" t="n"/>
      <c r="I561" s="105" t="n"/>
      <c r="K561" s="215" t="n"/>
      <c r="L561" s="215" t="n"/>
      <c r="M561" s="215" t="n"/>
      <c r="N561" s="215" t="n"/>
      <c r="O561" s="215" t="n"/>
      <c r="P561" s="215" t="n"/>
      <c r="Q561" s="215" t="n"/>
      <c r="R561" s="215" t="n"/>
      <c r="S561" s="215" t="n"/>
      <c r="T561" s="215" t="n"/>
      <c r="U561" s="215" t="n"/>
      <c r="V561" s="215" t="n"/>
      <c r="W561" s="215" t="n"/>
      <c r="X561" s="215" t="n"/>
      <c r="Y561" s="215" t="n"/>
      <c r="Z561" s="215" t="n"/>
      <c r="AA561" s="215" t="n"/>
      <c r="AB561" s="215" t="n"/>
      <c r="AC561" s="215" t="n"/>
      <c r="AD561" s="215" t="n"/>
      <c r="AE561" s="215" t="n"/>
      <c r="AF561" s="215" t="n"/>
      <c r="AG561" s="215" t="n"/>
      <c r="AH561" s="215" t="n"/>
      <c r="AI561" s="215" t="n"/>
      <c r="AJ561" s="215" t="n"/>
      <c r="AK561" s="216" t="n"/>
    </row>
    <row r="562" ht="15" customHeight="1">
      <c r="B562" s="134" t="n"/>
      <c r="C562" s="105" t="n"/>
      <c r="D562" s="105" t="n"/>
      <c r="E562" s="105" t="n"/>
      <c r="F562" s="105" t="n"/>
      <c r="G562" s="105" t="n"/>
      <c r="H562" s="2" t="n"/>
      <c r="I562" s="105" t="n"/>
      <c r="K562" s="215" t="n"/>
      <c r="L562" s="215" t="n"/>
      <c r="M562" s="215" t="n"/>
      <c r="N562" s="215" t="n"/>
      <c r="O562" s="215" t="n"/>
      <c r="P562" s="215" t="n"/>
      <c r="Q562" s="215" t="n"/>
      <c r="R562" s="215" t="n"/>
      <c r="S562" s="215" t="n"/>
      <c r="T562" s="215" t="n"/>
      <c r="U562" s="215" t="n"/>
      <c r="V562" s="215" t="n"/>
      <c r="W562" s="215" t="n"/>
      <c r="X562" s="215" t="n"/>
      <c r="Y562" s="215" t="n"/>
      <c r="Z562" s="215" t="n"/>
      <c r="AA562" s="215" t="n"/>
      <c r="AB562" s="215" t="n"/>
      <c r="AC562" s="215" t="n"/>
      <c r="AD562" s="215" t="n"/>
      <c r="AE562" s="215" t="n"/>
      <c r="AF562" s="215" t="n"/>
      <c r="AG562" s="215" t="n"/>
      <c r="AH562" s="215" t="n"/>
      <c r="AI562" s="215" t="n"/>
      <c r="AJ562" s="215" t="n"/>
      <c r="AK562" s="216" t="n"/>
    </row>
    <row r="563" ht="15" customHeight="1">
      <c r="B563" s="134" t="n"/>
      <c r="C563" s="105" t="n"/>
      <c r="D563" s="105" t="n"/>
      <c r="E563" s="105" t="n"/>
      <c r="F563" s="105" t="n"/>
      <c r="G563" s="105" t="n"/>
      <c r="H563" s="2" t="n"/>
      <c r="I563" s="105" t="n"/>
      <c r="K563" s="215" t="n"/>
      <c r="L563" s="215" t="n"/>
      <c r="M563" s="215" t="n"/>
      <c r="N563" s="215" t="n"/>
      <c r="O563" s="215" t="n"/>
      <c r="P563" s="215" t="n"/>
      <c r="Q563" s="215" t="n"/>
      <c r="R563" s="215" t="n"/>
      <c r="S563" s="215" t="n"/>
      <c r="T563" s="215" t="n"/>
      <c r="U563" s="215" t="n"/>
      <c r="V563" s="215" t="n"/>
      <c r="W563" s="215" t="n"/>
      <c r="X563" s="215" t="n"/>
      <c r="Y563" s="215" t="n"/>
      <c r="Z563" s="215" t="n"/>
      <c r="AA563" s="215" t="n"/>
      <c r="AB563" s="215" t="n"/>
      <c r="AC563" s="215" t="n"/>
      <c r="AD563" s="215" t="n"/>
      <c r="AE563" s="215" t="n"/>
      <c r="AF563" s="215" t="n"/>
      <c r="AG563" s="215" t="n"/>
      <c r="AH563" s="215" t="n"/>
      <c r="AI563" s="215" t="n"/>
      <c r="AJ563" s="215" t="n"/>
      <c r="AK563" s="216" t="n"/>
    </row>
    <row r="564" ht="15" customHeight="1">
      <c r="B564" s="134" t="n"/>
      <c r="C564" s="105" t="n"/>
      <c r="D564" s="105" t="n"/>
      <c r="E564" s="105" t="n"/>
      <c r="F564" s="105" t="n"/>
      <c r="G564" s="105" t="n"/>
      <c r="H564" s="2" t="n"/>
      <c r="I564" s="105" t="n"/>
      <c r="K564" s="215" t="n"/>
      <c r="L564" s="215" t="n"/>
      <c r="M564" s="215" t="n"/>
      <c r="N564" s="215" t="n"/>
      <c r="O564" s="215" t="n"/>
      <c r="P564" s="215" t="n"/>
      <c r="Q564" s="215" t="n"/>
      <c r="R564" s="215" t="n"/>
      <c r="S564" s="215" t="n"/>
      <c r="T564" s="215" t="n"/>
      <c r="U564" s="215" t="n"/>
      <c r="V564" s="215" t="n"/>
      <c r="W564" s="215" t="n"/>
      <c r="X564" s="215" t="n"/>
      <c r="Y564" s="215" t="n"/>
      <c r="Z564" s="215" t="n"/>
      <c r="AA564" s="215" t="n"/>
      <c r="AB564" s="215" t="n"/>
      <c r="AC564" s="215" t="n"/>
      <c r="AD564" s="215" t="n"/>
      <c r="AE564" s="215" t="n"/>
      <c r="AF564" s="215" t="n"/>
      <c r="AG564" s="215" t="n"/>
      <c r="AH564" s="215" t="n"/>
      <c r="AI564" s="215" t="n"/>
      <c r="AJ564" s="215" t="n"/>
      <c r="AK564" s="216" t="n"/>
    </row>
    <row r="565" ht="15" customHeight="1">
      <c r="B565" s="134" t="n"/>
      <c r="C565" s="105" t="n"/>
      <c r="D565" s="105" t="n"/>
      <c r="E565" s="105" t="n"/>
      <c r="F565" s="105" t="n"/>
      <c r="G565" s="105" t="n"/>
      <c r="H565" s="2" t="n"/>
      <c r="I565" s="105" t="n"/>
      <c r="K565" s="215" t="n"/>
      <c r="L565" s="215" t="n"/>
      <c r="M565" s="215" t="n"/>
      <c r="N565" s="215" t="n"/>
      <c r="O565" s="215" t="n"/>
      <c r="P565" s="215" t="n"/>
      <c r="Q565" s="215" t="n"/>
      <c r="R565" s="215" t="n"/>
      <c r="S565" s="215" t="n"/>
      <c r="T565" s="215" t="n"/>
      <c r="U565" s="215" t="n"/>
      <c r="V565" s="215" t="n"/>
      <c r="W565" s="215" t="n"/>
      <c r="X565" s="215" t="n"/>
      <c r="Y565" s="215" t="n"/>
      <c r="Z565" s="215" t="n"/>
      <c r="AA565" s="215" t="n"/>
      <c r="AB565" s="215" t="n"/>
      <c r="AC565" s="215" t="n"/>
      <c r="AD565" s="215" t="n"/>
      <c r="AE565" s="215" t="n"/>
      <c r="AF565" s="215" t="n"/>
      <c r="AG565" s="215" t="n"/>
      <c r="AH565" s="215" t="n"/>
      <c r="AI565" s="215" t="n"/>
      <c r="AJ565" s="215" t="n"/>
      <c r="AK565" s="216" t="n"/>
    </row>
    <row r="566" ht="15" customHeight="1">
      <c r="B566" s="134" t="n"/>
      <c r="C566" s="105" t="n"/>
      <c r="D566" s="105" t="n"/>
      <c r="E566" s="105" t="n"/>
      <c r="F566" s="105" t="n"/>
      <c r="G566" s="105" t="n"/>
      <c r="H566" s="2" t="n"/>
      <c r="I566" s="105" t="n"/>
      <c r="K566" s="215" t="n"/>
      <c r="L566" s="215" t="n"/>
      <c r="M566" s="215" t="n"/>
      <c r="N566" s="215" t="n"/>
      <c r="O566" s="215" t="n"/>
      <c r="P566" s="215" t="n"/>
      <c r="Q566" s="215" t="n"/>
      <c r="R566" s="215" t="n"/>
      <c r="S566" s="215" t="n"/>
      <c r="T566" s="215" t="n"/>
      <c r="U566" s="215" t="n"/>
      <c r="V566" s="215" t="n"/>
      <c r="W566" s="215" t="n"/>
      <c r="X566" s="215" t="n"/>
      <c r="Y566" s="215" t="n"/>
      <c r="Z566" s="215" t="n"/>
      <c r="AA566" s="215" t="n"/>
      <c r="AB566" s="215" t="n"/>
      <c r="AC566" s="215" t="n"/>
      <c r="AD566" s="215" t="n"/>
      <c r="AE566" s="215" t="n"/>
      <c r="AF566" s="215" t="n"/>
      <c r="AG566" s="215" t="n"/>
      <c r="AH566" s="215" t="n"/>
      <c r="AI566" s="215" t="n"/>
      <c r="AJ566" s="215" t="n"/>
      <c r="AK566" s="216" t="n"/>
    </row>
    <row r="567" ht="15" customHeight="1">
      <c r="B567" s="134" t="n"/>
      <c r="C567" s="105" t="n"/>
      <c r="D567" s="105" t="n"/>
      <c r="E567" s="105" t="n"/>
      <c r="F567" s="105" t="n"/>
      <c r="G567" s="105" t="n"/>
      <c r="H567" s="2" t="n"/>
      <c r="I567" s="105" t="n"/>
      <c r="K567" s="215" t="n"/>
      <c r="L567" s="215" t="n"/>
      <c r="M567" s="215" t="n"/>
      <c r="N567" s="215" t="n"/>
      <c r="O567" s="215" t="n"/>
      <c r="P567" s="215" t="n"/>
      <c r="Q567" s="215" t="n"/>
      <c r="R567" s="215" t="n"/>
      <c r="S567" s="215" t="n"/>
      <c r="T567" s="215" t="n"/>
      <c r="U567" s="215" t="n"/>
      <c r="V567" s="215" t="n"/>
      <c r="W567" s="215" t="n"/>
      <c r="X567" s="215" t="n"/>
      <c r="Y567" s="215" t="n"/>
      <c r="Z567" s="215" t="n"/>
      <c r="AA567" s="215" t="n"/>
      <c r="AB567" s="215" t="n"/>
      <c r="AC567" s="215" t="n"/>
      <c r="AD567" s="215" t="n"/>
      <c r="AE567" s="215" t="n"/>
      <c r="AF567" s="215" t="n"/>
      <c r="AG567" s="215" t="n"/>
      <c r="AH567" s="215" t="n"/>
      <c r="AI567" s="215" t="n"/>
      <c r="AJ567" s="215" t="n"/>
      <c r="AK567" s="216" t="n"/>
    </row>
    <row r="568" ht="15" customHeight="1">
      <c r="B568" s="134" t="n"/>
      <c r="C568" s="105" t="n"/>
      <c r="D568" s="105" t="n"/>
      <c r="E568" s="105" t="n"/>
      <c r="F568" s="105" t="n"/>
      <c r="G568" s="105" t="n"/>
      <c r="H568" s="2" t="n"/>
      <c r="I568" s="105" t="n"/>
      <c r="K568" s="215" t="n"/>
      <c r="L568" s="215" t="n"/>
      <c r="M568" s="215" t="n"/>
      <c r="N568" s="215" t="n"/>
      <c r="O568" s="215" t="n"/>
      <c r="P568" s="215" t="n"/>
      <c r="Q568" s="215" t="n"/>
      <c r="R568" s="215" t="n"/>
      <c r="S568" s="215" t="n"/>
      <c r="T568" s="215" t="n"/>
      <c r="U568" s="215" t="n"/>
      <c r="V568" s="215" t="n"/>
      <c r="W568" s="215" t="n"/>
      <c r="X568" s="215" t="n"/>
      <c r="Y568" s="215" t="n"/>
      <c r="Z568" s="215" t="n"/>
      <c r="AA568" s="215" t="n"/>
      <c r="AB568" s="215" t="n"/>
      <c r="AC568" s="215" t="n"/>
      <c r="AD568" s="215" t="n"/>
      <c r="AE568" s="215" t="n"/>
      <c r="AF568" s="215" t="n"/>
      <c r="AG568" s="215" t="n"/>
      <c r="AH568" s="215" t="n"/>
      <c r="AI568" s="215" t="n"/>
      <c r="AJ568" s="215" t="n"/>
      <c r="AK568" s="216" t="n"/>
    </row>
    <row r="569" ht="15" customHeight="1">
      <c r="B569" s="134" t="n"/>
      <c r="C569" s="105" t="n"/>
      <c r="D569" s="105" t="n"/>
      <c r="E569" s="105" t="n"/>
      <c r="F569" s="105" t="n"/>
      <c r="G569" s="105" t="n"/>
      <c r="H569" s="2" t="n"/>
      <c r="I569" s="105" t="n"/>
      <c r="K569" s="215" t="n"/>
      <c r="L569" s="215" t="n"/>
      <c r="M569" s="215" t="n"/>
      <c r="N569" s="215" t="n"/>
      <c r="O569" s="215" t="n"/>
      <c r="P569" s="215" t="n"/>
      <c r="Q569" s="215" t="n"/>
      <c r="R569" s="215" t="n"/>
      <c r="S569" s="215" t="n"/>
      <c r="T569" s="215" t="n"/>
      <c r="U569" s="215" t="n"/>
      <c r="V569" s="215" t="n"/>
      <c r="W569" s="215" t="n"/>
      <c r="X569" s="215" t="n"/>
      <c r="Y569" s="215" t="n"/>
      <c r="Z569" s="215" t="n"/>
      <c r="AA569" s="215" t="n"/>
      <c r="AB569" s="215" t="n"/>
      <c r="AC569" s="215" t="n"/>
      <c r="AD569" s="215" t="n"/>
      <c r="AE569" s="215" t="n"/>
      <c r="AF569" s="215" t="n"/>
      <c r="AG569" s="215" t="n"/>
      <c r="AH569" s="215" t="n"/>
      <c r="AI569" s="215" t="n"/>
      <c r="AJ569" s="215" t="n"/>
      <c r="AK569" s="216" t="n"/>
    </row>
    <row r="570" ht="15" customHeight="1">
      <c r="B570" s="134" t="n"/>
      <c r="C570" s="105" t="n"/>
      <c r="D570" s="105" t="n"/>
      <c r="E570" s="105" t="n"/>
      <c r="F570" s="105" t="n"/>
      <c r="G570" s="105" t="n"/>
      <c r="H570" s="2" t="n"/>
      <c r="I570" s="105" t="n"/>
      <c r="K570" s="215" t="n"/>
      <c r="L570" s="215" t="n"/>
      <c r="M570" s="215" t="n"/>
      <c r="N570" s="215" t="n"/>
      <c r="O570" s="215" t="n"/>
      <c r="P570" s="215" t="n"/>
      <c r="Q570" s="215" t="n"/>
      <c r="R570" s="215" t="n"/>
      <c r="S570" s="215" t="n"/>
      <c r="T570" s="215" t="n"/>
      <c r="U570" s="215" t="n"/>
      <c r="V570" s="215" t="n"/>
      <c r="W570" s="215" t="n"/>
      <c r="X570" s="215" t="n"/>
      <c r="Y570" s="215" t="n"/>
      <c r="Z570" s="215" t="n"/>
      <c r="AA570" s="215" t="n"/>
      <c r="AB570" s="215" t="n"/>
      <c r="AC570" s="215" t="n"/>
      <c r="AD570" s="215" t="n"/>
      <c r="AE570" s="215" t="n"/>
      <c r="AF570" s="215" t="n"/>
      <c r="AG570" s="215" t="n"/>
      <c r="AH570" s="215" t="n"/>
      <c r="AI570" s="215" t="n"/>
      <c r="AJ570" s="215" t="n"/>
      <c r="AK570" s="216" t="n"/>
    </row>
    <row r="571" ht="15" customHeight="1">
      <c r="B571" s="134" t="n"/>
      <c r="C571" s="105" t="n"/>
      <c r="D571" s="105" t="n"/>
      <c r="E571" s="105" t="n"/>
      <c r="F571" s="105" t="n"/>
      <c r="G571" s="105" t="n"/>
      <c r="H571" s="2" t="n"/>
      <c r="I571" s="105" t="n"/>
      <c r="K571" s="215" t="n"/>
      <c r="L571" s="215" t="n"/>
      <c r="M571" s="215" t="n"/>
      <c r="N571" s="215" t="n"/>
      <c r="O571" s="215" t="n"/>
      <c r="P571" s="215" t="n"/>
      <c r="Q571" s="215" t="n"/>
      <c r="R571" s="215" t="n"/>
      <c r="S571" s="215" t="n"/>
      <c r="T571" s="215" t="n"/>
      <c r="U571" s="215" t="n"/>
      <c r="V571" s="215" t="n"/>
      <c r="W571" s="215" t="n"/>
      <c r="X571" s="215" t="n"/>
      <c r="Y571" s="215" t="n"/>
      <c r="Z571" s="215" t="n"/>
      <c r="AA571" s="215" t="n"/>
      <c r="AB571" s="215" t="n"/>
      <c r="AC571" s="215" t="n"/>
      <c r="AD571" s="215" t="n"/>
      <c r="AE571" s="215" t="n"/>
      <c r="AF571" s="215" t="n"/>
      <c r="AG571" s="215" t="n"/>
      <c r="AH571" s="215" t="n"/>
      <c r="AI571" s="215" t="n"/>
      <c r="AJ571" s="215" t="n"/>
      <c r="AK571" s="216" t="n"/>
    </row>
    <row r="572" ht="15" customHeight="1">
      <c r="B572" s="134" t="n"/>
      <c r="C572" s="105" t="n"/>
      <c r="D572" s="105" t="n"/>
      <c r="E572" s="105" t="n"/>
      <c r="F572" s="105" t="n"/>
      <c r="G572" s="105" t="n"/>
      <c r="H572" s="2" t="n"/>
      <c r="I572" s="105" t="n"/>
      <c r="K572" s="215" t="n"/>
      <c r="L572" s="215" t="n"/>
      <c r="M572" s="215" t="n"/>
      <c r="N572" s="215" t="n"/>
      <c r="O572" s="215" t="n"/>
      <c r="P572" s="215" t="n"/>
      <c r="Q572" s="215" t="n"/>
      <c r="R572" s="215" t="n"/>
      <c r="S572" s="215" t="n"/>
      <c r="T572" s="215" t="n"/>
      <c r="U572" s="215" t="n"/>
      <c r="V572" s="215" t="n"/>
      <c r="W572" s="215" t="n"/>
      <c r="X572" s="215" t="n"/>
      <c r="Y572" s="215" t="n"/>
      <c r="Z572" s="215" t="n"/>
      <c r="AA572" s="215" t="n"/>
      <c r="AB572" s="215" t="n"/>
      <c r="AC572" s="215" t="n"/>
      <c r="AD572" s="215" t="n"/>
      <c r="AE572" s="215" t="n"/>
      <c r="AF572" s="215" t="n"/>
      <c r="AG572" s="215" t="n"/>
      <c r="AH572" s="215" t="n"/>
      <c r="AI572" s="215" t="n"/>
      <c r="AJ572" s="215" t="n"/>
      <c r="AK572" s="216" t="n"/>
    </row>
    <row r="573" ht="15" customHeight="1">
      <c r="B573" s="134" t="n"/>
      <c r="C573" s="105" t="n"/>
      <c r="D573" s="105" t="n"/>
      <c r="E573" s="105" t="n"/>
      <c r="F573" s="105" t="n"/>
      <c r="G573" s="105" t="n"/>
      <c r="H573" s="2" t="n"/>
      <c r="I573" s="105" t="n"/>
      <c r="K573" s="215" t="n"/>
      <c r="L573" s="215" t="n"/>
      <c r="M573" s="215" t="n"/>
      <c r="N573" s="215" t="n"/>
      <c r="O573" s="215" t="n"/>
      <c r="P573" s="215" t="n"/>
      <c r="Q573" s="215" t="n"/>
      <c r="R573" s="215" t="n"/>
      <c r="S573" s="215" t="n"/>
      <c r="T573" s="215" t="n"/>
      <c r="U573" s="215" t="n"/>
      <c r="V573" s="215" t="n"/>
      <c r="W573" s="215" t="n"/>
      <c r="X573" s="215" t="n"/>
      <c r="Y573" s="215" t="n"/>
      <c r="Z573" s="215" t="n"/>
      <c r="AA573" s="215" t="n"/>
      <c r="AB573" s="215" t="n"/>
      <c r="AC573" s="215" t="n"/>
      <c r="AD573" s="215" t="n"/>
      <c r="AE573" s="215" t="n"/>
      <c r="AF573" s="215" t="n"/>
      <c r="AG573" s="215" t="n"/>
      <c r="AH573" s="215" t="n"/>
      <c r="AI573" s="215" t="n"/>
      <c r="AJ573" s="215" t="n"/>
      <c r="AK573" s="216" t="n"/>
    </row>
    <row r="574" ht="15" customHeight="1">
      <c r="B574" s="134" t="n"/>
      <c r="C574" s="105" t="n"/>
      <c r="D574" s="105" t="n"/>
      <c r="E574" s="105" t="n"/>
      <c r="F574" s="105" t="n"/>
      <c r="G574" s="105" t="n"/>
      <c r="H574" s="2" t="n"/>
      <c r="I574" s="105" t="n"/>
      <c r="K574" s="215" t="n"/>
      <c r="L574" s="215" t="n"/>
      <c r="M574" s="215" t="n"/>
      <c r="N574" s="215" t="n"/>
      <c r="O574" s="215" t="n"/>
      <c r="P574" s="215" t="n"/>
      <c r="Q574" s="215" t="n"/>
      <c r="R574" s="215" t="n"/>
      <c r="S574" s="215" t="n"/>
      <c r="T574" s="215" t="n"/>
      <c r="U574" s="215" t="n"/>
      <c r="V574" s="215" t="n"/>
      <c r="W574" s="215" t="n"/>
      <c r="X574" s="215" t="n"/>
      <c r="Y574" s="215" t="n"/>
      <c r="Z574" s="215" t="n"/>
      <c r="AA574" s="215" t="n"/>
      <c r="AB574" s="215" t="n"/>
      <c r="AC574" s="215" t="n"/>
      <c r="AD574" s="215" t="n"/>
      <c r="AE574" s="215" t="n"/>
      <c r="AF574" s="215" t="n"/>
      <c r="AG574" s="215" t="n"/>
      <c r="AH574" s="215" t="n"/>
      <c r="AI574" s="215" t="n"/>
      <c r="AJ574" s="215" t="n"/>
      <c r="AK574" s="216" t="n"/>
    </row>
    <row r="575" ht="15" customHeight="1">
      <c r="B575" s="134" t="n"/>
      <c r="C575" s="105" t="n"/>
      <c r="D575" s="105" t="n"/>
      <c r="E575" s="105" t="n"/>
      <c r="F575" s="105" t="n"/>
      <c r="G575" s="105" t="n"/>
      <c r="H575" s="2" t="n"/>
      <c r="I575" s="105" t="n"/>
      <c r="K575" s="215" t="n"/>
      <c r="L575" s="215" t="n"/>
      <c r="M575" s="215" t="n"/>
      <c r="N575" s="215" t="n"/>
      <c r="O575" s="215" t="n"/>
      <c r="P575" s="215" t="n"/>
      <c r="Q575" s="215" t="n"/>
      <c r="R575" s="215" t="n"/>
      <c r="S575" s="215" t="n"/>
      <c r="T575" s="215" t="n"/>
      <c r="U575" s="215" t="n"/>
      <c r="V575" s="215" t="n"/>
      <c r="W575" s="215" t="n"/>
      <c r="X575" s="215" t="n"/>
      <c r="Y575" s="215" t="n"/>
      <c r="Z575" s="215" t="n"/>
      <c r="AA575" s="215" t="n"/>
      <c r="AB575" s="215" t="n"/>
      <c r="AC575" s="215" t="n"/>
      <c r="AD575" s="215" t="n"/>
      <c r="AE575" s="215" t="n"/>
      <c r="AF575" s="215" t="n"/>
      <c r="AG575" s="215" t="n"/>
      <c r="AH575" s="215" t="n"/>
      <c r="AI575" s="215" t="n"/>
      <c r="AJ575" s="215" t="n"/>
      <c r="AK575" s="216" t="n"/>
    </row>
    <row r="576" ht="15" customHeight="1">
      <c r="B576" s="134" t="n"/>
      <c r="C576" s="105" t="n"/>
      <c r="D576" s="105" t="n"/>
      <c r="E576" s="105" t="n"/>
      <c r="F576" s="105" t="n"/>
      <c r="G576" s="105" t="n"/>
      <c r="H576" s="2" t="n"/>
      <c r="I576" s="105" t="n"/>
      <c r="K576" s="215" t="n"/>
      <c r="L576" s="215" t="n"/>
      <c r="M576" s="215" t="n"/>
      <c r="N576" s="215" t="n"/>
      <c r="O576" s="215" t="n"/>
      <c r="P576" s="215" t="n"/>
      <c r="Q576" s="215" t="n"/>
      <c r="R576" s="215" t="n"/>
      <c r="S576" s="215" t="n"/>
      <c r="T576" s="215" t="n"/>
      <c r="U576" s="215" t="n"/>
      <c r="V576" s="215" t="n"/>
      <c r="W576" s="215" t="n"/>
      <c r="X576" s="215" t="n"/>
      <c r="Y576" s="215" t="n"/>
      <c r="Z576" s="215" t="n"/>
      <c r="AA576" s="215" t="n"/>
      <c r="AB576" s="215" t="n"/>
      <c r="AC576" s="215" t="n"/>
      <c r="AD576" s="215" t="n"/>
      <c r="AE576" s="215" t="n"/>
      <c r="AF576" s="215" t="n"/>
      <c r="AG576" s="215" t="n"/>
      <c r="AH576" s="215" t="n"/>
      <c r="AI576" s="215" t="n"/>
      <c r="AJ576" s="215" t="n"/>
      <c r="AK576" s="216" t="n"/>
    </row>
    <row r="577" ht="15" customHeight="1">
      <c r="B577" s="134" t="n"/>
      <c r="C577" s="105" t="n"/>
      <c r="D577" s="105" t="n"/>
      <c r="E577" s="105" t="n"/>
      <c r="F577" s="105" t="n"/>
      <c r="G577" s="105" t="n"/>
      <c r="H577" s="2" t="n"/>
      <c r="I577" s="105" t="n"/>
      <c r="K577" s="215" t="n"/>
      <c r="L577" s="215" t="n"/>
      <c r="M577" s="215" t="n"/>
      <c r="N577" s="215" t="n"/>
      <c r="O577" s="215" t="n"/>
      <c r="P577" s="215" t="n"/>
      <c r="Q577" s="215" t="n"/>
      <c r="R577" s="215" t="n"/>
      <c r="S577" s="215" t="n"/>
      <c r="T577" s="215" t="n"/>
      <c r="U577" s="215" t="n"/>
      <c r="V577" s="215" t="n"/>
      <c r="W577" s="215" t="n"/>
      <c r="X577" s="215" t="n"/>
      <c r="Y577" s="215" t="n"/>
      <c r="Z577" s="215" t="n"/>
      <c r="AA577" s="215" t="n"/>
      <c r="AB577" s="215" t="n"/>
      <c r="AC577" s="215" t="n"/>
      <c r="AD577" s="215" t="n"/>
      <c r="AE577" s="215" t="n"/>
      <c r="AF577" s="215" t="n"/>
      <c r="AG577" s="215" t="n"/>
      <c r="AH577" s="215" t="n"/>
      <c r="AI577" s="215" t="n"/>
      <c r="AJ577" s="215" t="n"/>
      <c r="AK577" s="216" t="n"/>
    </row>
    <row r="578" ht="15" customHeight="1">
      <c r="B578" s="134" t="n"/>
      <c r="C578" s="105" t="n"/>
      <c r="D578" s="105" t="n"/>
      <c r="E578" s="105" t="n"/>
      <c r="F578" s="105" t="n"/>
      <c r="G578" s="105" t="n"/>
      <c r="H578" s="2" t="n"/>
      <c r="I578" s="105" t="n"/>
      <c r="K578" s="215" t="n"/>
      <c r="L578" s="215" t="n"/>
      <c r="M578" s="215" t="n"/>
      <c r="N578" s="215" t="n"/>
      <c r="O578" s="215" t="n"/>
      <c r="P578" s="215" t="n"/>
      <c r="Q578" s="215" t="n"/>
      <c r="R578" s="215" t="n"/>
      <c r="S578" s="215" t="n"/>
      <c r="T578" s="215" t="n"/>
      <c r="U578" s="215" t="n"/>
      <c r="V578" s="215" t="n"/>
      <c r="W578" s="215" t="n"/>
      <c r="X578" s="215" t="n"/>
      <c r="Y578" s="215" t="n"/>
      <c r="Z578" s="215" t="n"/>
      <c r="AA578" s="215" t="n"/>
      <c r="AB578" s="215" t="n"/>
      <c r="AC578" s="215" t="n"/>
      <c r="AD578" s="215" t="n"/>
      <c r="AE578" s="215" t="n"/>
      <c r="AF578" s="215" t="n"/>
      <c r="AG578" s="215" t="n"/>
      <c r="AH578" s="215" t="n"/>
      <c r="AI578" s="215" t="n"/>
      <c r="AJ578" s="215" t="n"/>
      <c r="AK578" s="216" t="n"/>
    </row>
    <row r="579" ht="15" customHeight="1">
      <c r="B579" s="134" t="n"/>
      <c r="C579" s="105" t="n"/>
      <c r="D579" s="105" t="n"/>
      <c r="E579" s="105" t="n"/>
      <c r="F579" s="105" t="n"/>
      <c r="G579" s="105" t="n"/>
      <c r="H579" s="2" t="n"/>
      <c r="I579" s="105" t="n"/>
      <c r="K579" s="215" t="n"/>
      <c r="L579" s="215" t="n"/>
      <c r="M579" s="215" t="n"/>
      <c r="N579" s="215" t="n"/>
      <c r="O579" s="215" t="n"/>
      <c r="P579" s="215" t="n"/>
      <c r="Q579" s="215" t="n"/>
      <c r="R579" s="215" t="n"/>
      <c r="S579" s="215" t="n"/>
      <c r="T579" s="215" t="n"/>
      <c r="U579" s="215" t="n"/>
      <c r="V579" s="215" t="n"/>
      <c r="W579" s="215" t="n"/>
      <c r="X579" s="215" t="n"/>
      <c r="Y579" s="215" t="n"/>
      <c r="Z579" s="215" t="n"/>
      <c r="AA579" s="215" t="n"/>
      <c r="AB579" s="215" t="n"/>
      <c r="AC579" s="215" t="n"/>
      <c r="AD579" s="215" t="n"/>
      <c r="AE579" s="215" t="n"/>
      <c r="AF579" s="215" t="n"/>
      <c r="AG579" s="215" t="n"/>
      <c r="AH579" s="215" t="n"/>
      <c r="AI579" s="215" t="n"/>
      <c r="AJ579" s="215" t="n"/>
      <c r="AK579" s="216" t="n"/>
    </row>
    <row r="580" ht="15" customHeight="1">
      <c r="B580" s="134" t="n"/>
      <c r="C580" s="105" t="n"/>
      <c r="D580" s="105" t="n"/>
      <c r="E580" s="105" t="n"/>
      <c r="F580" s="105" t="n"/>
      <c r="G580" s="105" t="n"/>
      <c r="H580" s="2" t="n"/>
      <c r="I580" s="105" t="n"/>
      <c r="K580" s="215" t="n"/>
      <c r="L580" s="215" t="n"/>
      <c r="M580" s="215" t="n"/>
      <c r="N580" s="215" t="n"/>
      <c r="O580" s="215" t="n"/>
      <c r="P580" s="215" t="n"/>
      <c r="Q580" s="215" t="n"/>
      <c r="R580" s="215" t="n"/>
      <c r="S580" s="215" t="n"/>
      <c r="T580" s="215" t="n"/>
      <c r="U580" s="215" t="n"/>
      <c r="V580" s="215" t="n"/>
      <c r="W580" s="215" t="n"/>
      <c r="X580" s="215" t="n"/>
      <c r="Y580" s="215" t="n"/>
      <c r="Z580" s="215" t="n"/>
      <c r="AA580" s="215" t="n"/>
      <c r="AB580" s="215" t="n"/>
      <c r="AC580" s="215" t="n"/>
      <c r="AD580" s="215" t="n"/>
      <c r="AE580" s="215" t="n"/>
      <c r="AF580" s="215" t="n"/>
      <c r="AG580" s="215" t="n"/>
      <c r="AH580" s="215" t="n"/>
      <c r="AI580" s="215" t="n"/>
      <c r="AJ580" s="215" t="n"/>
      <c r="AK580" s="216" t="n"/>
    </row>
    <row r="581" ht="15" customHeight="1">
      <c r="B581" s="134" t="n"/>
      <c r="C581" s="105" t="n"/>
      <c r="D581" s="105" t="n"/>
      <c r="E581" s="105" t="n"/>
      <c r="F581" s="105" t="n"/>
      <c r="G581" s="105" t="n"/>
      <c r="H581" s="2" t="n"/>
      <c r="I581" s="105" t="n"/>
      <c r="K581" s="215" t="n"/>
      <c r="L581" s="215" t="n"/>
      <c r="M581" s="215" t="n"/>
      <c r="N581" s="215" t="n"/>
      <c r="O581" s="215" t="n"/>
      <c r="P581" s="215" t="n"/>
      <c r="Q581" s="215" t="n"/>
      <c r="R581" s="215" t="n"/>
      <c r="S581" s="215" t="n"/>
      <c r="T581" s="215" t="n"/>
      <c r="U581" s="215" t="n"/>
      <c r="V581" s="215" t="n"/>
      <c r="W581" s="215" t="n"/>
      <c r="X581" s="215" t="n"/>
      <c r="Y581" s="215" t="n"/>
      <c r="Z581" s="215" t="n"/>
      <c r="AA581" s="215" t="n"/>
      <c r="AB581" s="215" t="n"/>
      <c r="AC581" s="215" t="n"/>
      <c r="AD581" s="215" t="n"/>
      <c r="AE581" s="215" t="n"/>
      <c r="AF581" s="215" t="n"/>
      <c r="AG581" s="215" t="n"/>
      <c r="AH581" s="215" t="n"/>
      <c r="AI581" s="215" t="n"/>
      <c r="AJ581" s="215" t="n"/>
      <c r="AK581" s="216" t="n"/>
    </row>
    <row r="582" ht="15" customHeight="1">
      <c r="B582" s="134" t="n"/>
      <c r="C582" s="105" t="n"/>
      <c r="D582" s="105" t="n"/>
      <c r="E582" s="105" t="n"/>
      <c r="F582" s="105" t="n"/>
      <c r="G582" s="105" t="n"/>
      <c r="H582" s="2" t="n"/>
      <c r="I582" s="105" t="n"/>
      <c r="K582" s="215" t="n"/>
      <c r="L582" s="215" t="n"/>
      <c r="M582" s="215" t="n"/>
      <c r="N582" s="215" t="n"/>
      <c r="O582" s="215" t="n"/>
      <c r="P582" s="215" t="n"/>
      <c r="Q582" s="215" t="n"/>
      <c r="R582" s="215" t="n"/>
      <c r="S582" s="215" t="n"/>
      <c r="T582" s="215" t="n"/>
      <c r="U582" s="215" t="n"/>
      <c r="V582" s="215" t="n"/>
      <c r="W582" s="215" t="n"/>
      <c r="X582" s="215" t="n"/>
      <c r="Y582" s="215" t="n"/>
      <c r="Z582" s="215" t="n"/>
      <c r="AA582" s="215" t="n"/>
      <c r="AB582" s="215" t="n"/>
      <c r="AC582" s="215" t="n"/>
      <c r="AD582" s="215" t="n"/>
      <c r="AE582" s="215" t="n"/>
      <c r="AF582" s="215" t="n"/>
      <c r="AG582" s="215" t="n"/>
      <c r="AH582" s="215" t="n"/>
      <c r="AI582" s="215" t="n"/>
      <c r="AJ582" s="215" t="n"/>
      <c r="AK582" s="216" t="n"/>
    </row>
    <row r="583" ht="15" customHeight="1">
      <c r="B583" s="134" t="n"/>
      <c r="C583" s="105" t="n"/>
      <c r="D583" s="105" t="n"/>
      <c r="E583" s="105" t="n"/>
      <c r="F583" s="105" t="n"/>
      <c r="G583" s="105" t="n"/>
      <c r="H583" s="2" t="n"/>
      <c r="I583" s="105" t="n"/>
      <c r="K583" s="215" t="n"/>
      <c r="L583" s="215" t="n"/>
      <c r="M583" s="215" t="n"/>
      <c r="N583" s="215" t="n"/>
      <c r="O583" s="215" t="n"/>
      <c r="P583" s="215" t="n"/>
      <c r="Q583" s="215" t="n"/>
      <c r="R583" s="215" t="n"/>
      <c r="S583" s="215" t="n"/>
      <c r="T583" s="215" t="n"/>
      <c r="U583" s="215" t="n"/>
      <c r="V583" s="215" t="n"/>
      <c r="W583" s="215" t="n"/>
      <c r="X583" s="215" t="n"/>
      <c r="Y583" s="215" t="n"/>
      <c r="Z583" s="215" t="n"/>
      <c r="AA583" s="215" t="n"/>
      <c r="AB583" s="215" t="n"/>
      <c r="AC583" s="215" t="n"/>
      <c r="AD583" s="215" t="n"/>
      <c r="AE583" s="215" t="n"/>
      <c r="AF583" s="215" t="n"/>
      <c r="AG583" s="215" t="n"/>
      <c r="AH583" s="215" t="n"/>
      <c r="AI583" s="215" t="n"/>
      <c r="AJ583" s="215" t="n"/>
      <c r="AK583" s="216" t="n"/>
    </row>
    <row r="584" ht="15" customHeight="1">
      <c r="B584" s="134" t="n"/>
      <c r="C584" s="105" t="n"/>
      <c r="D584" s="105" t="n"/>
      <c r="E584" s="105" t="n"/>
      <c r="F584" s="105" t="n"/>
      <c r="G584" s="105" t="n"/>
      <c r="H584" s="2" t="n"/>
      <c r="I584" s="105" t="n"/>
      <c r="K584" s="215" t="n"/>
      <c r="L584" s="215" t="n"/>
      <c r="M584" s="215" t="n"/>
      <c r="N584" s="215" t="n"/>
      <c r="O584" s="215" t="n"/>
      <c r="P584" s="215" t="n"/>
      <c r="Q584" s="215" t="n"/>
      <c r="R584" s="215" t="n"/>
      <c r="S584" s="215" t="n"/>
      <c r="T584" s="215" t="n"/>
      <c r="U584" s="215" t="n"/>
      <c r="V584" s="215" t="n"/>
      <c r="W584" s="215" t="n"/>
      <c r="X584" s="215" t="n"/>
      <c r="Y584" s="215" t="n"/>
      <c r="Z584" s="215" t="n"/>
      <c r="AA584" s="215" t="n"/>
      <c r="AB584" s="215" t="n"/>
      <c r="AC584" s="215" t="n"/>
      <c r="AD584" s="215" t="n"/>
      <c r="AE584" s="215" t="n"/>
      <c r="AF584" s="215" t="n"/>
      <c r="AG584" s="215" t="n"/>
      <c r="AH584" s="215" t="n"/>
      <c r="AI584" s="215" t="n"/>
      <c r="AJ584" s="215" t="n"/>
      <c r="AK584" s="216" t="n"/>
    </row>
    <row r="585" ht="15" customHeight="1">
      <c r="B585" s="134" t="n"/>
      <c r="C585" s="105" t="n"/>
      <c r="D585" s="105" t="n"/>
      <c r="E585" s="105" t="n"/>
      <c r="F585" s="105" t="n"/>
      <c r="G585" s="105" t="n"/>
      <c r="H585" s="2" t="n"/>
      <c r="I585" s="105" t="n"/>
      <c r="K585" s="215" t="n"/>
      <c r="L585" s="215" t="n"/>
      <c r="M585" s="215" t="n"/>
      <c r="N585" s="215" t="n"/>
      <c r="O585" s="215" t="n"/>
      <c r="P585" s="215" t="n"/>
      <c r="Q585" s="215" t="n"/>
      <c r="R585" s="215" t="n"/>
      <c r="S585" s="215" t="n"/>
      <c r="T585" s="215" t="n"/>
      <c r="U585" s="215" t="n"/>
      <c r="V585" s="215" t="n"/>
      <c r="W585" s="215" t="n"/>
      <c r="X585" s="215" t="n"/>
      <c r="Y585" s="215" t="n"/>
      <c r="Z585" s="215" t="n"/>
      <c r="AA585" s="215" t="n"/>
      <c r="AB585" s="215" t="n"/>
      <c r="AC585" s="215" t="n"/>
      <c r="AD585" s="215" t="n"/>
      <c r="AE585" s="215" t="n"/>
      <c r="AF585" s="215" t="n"/>
      <c r="AG585" s="215" t="n"/>
      <c r="AH585" s="215" t="n"/>
      <c r="AI585" s="215" t="n"/>
      <c r="AJ585" s="215" t="n"/>
      <c r="AK585" s="216" t="n"/>
    </row>
    <row r="586" ht="15" customHeight="1">
      <c r="B586" s="134" t="n"/>
      <c r="C586" s="105" t="n"/>
      <c r="D586" s="105" t="n"/>
      <c r="E586" s="105" t="n"/>
      <c r="F586" s="105" t="n"/>
      <c r="G586" s="105" t="n"/>
      <c r="H586" s="2" t="n"/>
      <c r="I586" s="105" t="n"/>
      <c r="K586" s="215" t="n"/>
      <c r="L586" s="215" t="n"/>
      <c r="M586" s="215" t="n"/>
      <c r="N586" s="215" t="n"/>
      <c r="O586" s="215" t="n"/>
      <c r="P586" s="215" t="n"/>
      <c r="Q586" s="215" t="n"/>
      <c r="R586" s="215" t="n"/>
      <c r="S586" s="215" t="n"/>
      <c r="T586" s="215" t="n"/>
      <c r="U586" s="215" t="n"/>
      <c r="V586" s="215" t="n"/>
      <c r="W586" s="215" t="n"/>
      <c r="X586" s="215" t="n"/>
      <c r="Y586" s="215" t="n"/>
      <c r="Z586" s="215" t="n"/>
      <c r="AA586" s="215" t="n"/>
      <c r="AB586" s="215" t="n"/>
      <c r="AC586" s="215" t="n"/>
      <c r="AD586" s="215" t="n"/>
      <c r="AE586" s="215" t="n"/>
      <c r="AF586" s="215" t="n"/>
      <c r="AG586" s="215" t="n"/>
      <c r="AH586" s="215" t="n"/>
      <c r="AI586" s="215" t="n"/>
      <c r="AJ586" s="215" t="n"/>
      <c r="AK586" s="216" t="n"/>
    </row>
    <row r="587" ht="15" customHeight="1">
      <c r="B587" s="134" t="n"/>
      <c r="C587" s="105" t="n"/>
      <c r="D587" s="105" t="n"/>
      <c r="E587" s="105" t="n"/>
      <c r="F587" s="105" t="n"/>
      <c r="G587" s="105" t="n"/>
      <c r="H587" s="2" t="n"/>
      <c r="I587" s="105" t="n"/>
      <c r="K587" s="215" t="n"/>
      <c r="L587" s="215" t="n"/>
      <c r="M587" s="215" t="n"/>
      <c r="N587" s="215" t="n"/>
      <c r="O587" s="215" t="n"/>
      <c r="P587" s="215" t="n"/>
      <c r="Q587" s="215" t="n"/>
      <c r="R587" s="215" t="n"/>
      <c r="S587" s="215" t="n"/>
      <c r="T587" s="215" t="n"/>
      <c r="U587" s="215" t="n"/>
      <c r="V587" s="215" t="n"/>
      <c r="W587" s="215" t="n"/>
      <c r="X587" s="215" t="n"/>
      <c r="Y587" s="215" t="n"/>
      <c r="Z587" s="215" t="n"/>
      <c r="AA587" s="215" t="n"/>
      <c r="AB587" s="215" t="n"/>
      <c r="AC587" s="215" t="n"/>
      <c r="AD587" s="215" t="n"/>
      <c r="AE587" s="215" t="n"/>
      <c r="AF587" s="215" t="n"/>
      <c r="AG587" s="215" t="n"/>
      <c r="AH587" s="215" t="n"/>
      <c r="AI587" s="215" t="n"/>
      <c r="AJ587" s="215" t="n"/>
      <c r="AK587" s="216" t="n"/>
    </row>
    <row r="588" ht="15" customHeight="1">
      <c r="B588" s="134" t="n"/>
      <c r="C588" s="105" t="n"/>
      <c r="D588" s="105" t="n"/>
      <c r="E588" s="105" t="n"/>
      <c r="F588" s="105" t="n"/>
      <c r="G588" s="105" t="n"/>
      <c r="H588" s="2" t="n"/>
      <c r="I588" s="105" t="n"/>
      <c r="K588" s="215" t="n"/>
      <c r="L588" s="215" t="n"/>
      <c r="M588" s="215" t="n"/>
      <c r="N588" s="215" t="n"/>
      <c r="O588" s="215" t="n"/>
      <c r="P588" s="215" t="n"/>
      <c r="Q588" s="215" t="n"/>
      <c r="R588" s="215" t="n"/>
      <c r="S588" s="215" t="n"/>
      <c r="T588" s="215" t="n"/>
      <c r="U588" s="215" t="n"/>
      <c r="V588" s="215" t="n"/>
      <c r="W588" s="215" t="n"/>
      <c r="X588" s="215" t="n"/>
      <c r="Y588" s="215" t="n"/>
      <c r="Z588" s="215" t="n"/>
      <c r="AA588" s="215" t="n"/>
      <c r="AB588" s="215" t="n"/>
      <c r="AC588" s="215" t="n"/>
      <c r="AD588" s="215" t="n"/>
      <c r="AE588" s="215" t="n"/>
      <c r="AF588" s="215" t="n"/>
      <c r="AG588" s="215" t="n"/>
      <c r="AH588" s="215" t="n"/>
      <c r="AI588" s="215" t="n"/>
      <c r="AJ588" s="215" t="n"/>
      <c r="AK588" s="216" t="n"/>
    </row>
    <row r="589" ht="15" customHeight="1">
      <c r="B589" s="134" t="n"/>
      <c r="C589" s="105" t="n"/>
      <c r="D589" s="105" t="n"/>
      <c r="E589" s="105" t="n"/>
      <c r="F589" s="105" t="n"/>
      <c r="G589" s="105" t="n"/>
      <c r="H589" s="2" t="n"/>
      <c r="I589" s="105" t="n"/>
      <c r="K589" s="215" t="n"/>
      <c r="L589" s="215" t="n"/>
      <c r="M589" s="215" t="n"/>
      <c r="N589" s="215" t="n"/>
      <c r="O589" s="215" t="n"/>
      <c r="P589" s="215" t="n"/>
      <c r="Q589" s="215" t="n"/>
      <c r="R589" s="215" t="n"/>
      <c r="S589" s="215" t="n"/>
      <c r="T589" s="215" t="n"/>
      <c r="U589" s="215" t="n"/>
      <c r="V589" s="215" t="n"/>
      <c r="W589" s="215" t="n"/>
      <c r="X589" s="215" t="n"/>
      <c r="Y589" s="215" t="n"/>
      <c r="Z589" s="215" t="n"/>
      <c r="AA589" s="215" t="n"/>
      <c r="AB589" s="215" t="n"/>
      <c r="AC589" s="215" t="n"/>
      <c r="AD589" s="215" t="n"/>
      <c r="AE589" s="215" t="n"/>
      <c r="AF589" s="215" t="n"/>
      <c r="AG589" s="215" t="n"/>
      <c r="AH589" s="215" t="n"/>
      <c r="AI589" s="215" t="n"/>
      <c r="AJ589" s="215" t="n"/>
      <c r="AK589" s="216" t="n"/>
    </row>
    <row r="590" ht="15" customHeight="1">
      <c r="B590" s="134" t="n"/>
      <c r="C590" s="105" t="n"/>
      <c r="D590" s="105" t="n"/>
      <c r="E590" s="105" t="n"/>
      <c r="F590" s="105" t="n"/>
      <c r="G590" s="105" t="n"/>
      <c r="H590" s="2" t="n"/>
      <c r="I590" s="105" t="n"/>
      <c r="K590" s="215" t="n"/>
      <c r="L590" s="215" t="n"/>
      <c r="M590" s="215" t="n"/>
      <c r="N590" s="215" t="n"/>
      <c r="O590" s="215" t="n"/>
      <c r="P590" s="215" t="n"/>
      <c r="Q590" s="215" t="n"/>
      <c r="R590" s="215" t="n"/>
      <c r="S590" s="215" t="n"/>
      <c r="T590" s="215" t="n"/>
      <c r="U590" s="215" t="n"/>
      <c r="V590" s="215" t="n"/>
      <c r="W590" s="215" t="n"/>
      <c r="X590" s="215" t="n"/>
      <c r="Y590" s="215" t="n"/>
      <c r="Z590" s="215" t="n"/>
      <c r="AA590" s="215" t="n"/>
      <c r="AB590" s="215" t="n"/>
      <c r="AC590" s="215" t="n"/>
      <c r="AD590" s="215" t="n"/>
      <c r="AE590" s="215" t="n"/>
      <c r="AF590" s="215" t="n"/>
      <c r="AG590" s="215" t="n"/>
      <c r="AH590" s="215" t="n"/>
      <c r="AI590" s="215" t="n"/>
      <c r="AJ590" s="215" t="n"/>
      <c r="AK590" s="216" t="n"/>
    </row>
    <row r="591" ht="15" customHeight="1">
      <c r="B591" s="134" t="n"/>
      <c r="C591" s="105" t="n"/>
      <c r="D591" s="105" t="n"/>
      <c r="E591" s="105" t="n"/>
      <c r="F591" s="105" t="n"/>
      <c r="G591" s="105" t="n"/>
      <c r="H591" s="2" t="n"/>
      <c r="I591" s="105" t="n"/>
      <c r="K591" s="215" t="n"/>
      <c r="L591" s="215" t="n"/>
      <c r="M591" s="215" t="n"/>
      <c r="N591" s="215" t="n"/>
      <c r="O591" s="215" t="n"/>
      <c r="P591" s="215" t="n"/>
      <c r="Q591" s="215" t="n"/>
      <c r="R591" s="215" t="n"/>
      <c r="S591" s="215" t="n"/>
      <c r="T591" s="215" t="n"/>
      <c r="U591" s="215" t="n"/>
      <c r="V591" s="215" t="n"/>
      <c r="W591" s="215" t="n"/>
      <c r="X591" s="215" t="n"/>
      <c r="Y591" s="215" t="n"/>
      <c r="Z591" s="215" t="n"/>
      <c r="AA591" s="215" t="n"/>
      <c r="AB591" s="215" t="n"/>
      <c r="AC591" s="215" t="n"/>
      <c r="AD591" s="215" t="n"/>
      <c r="AE591" s="215" t="n"/>
      <c r="AF591" s="215" t="n"/>
      <c r="AG591" s="215" t="n"/>
      <c r="AH591" s="215" t="n"/>
      <c r="AI591" s="215" t="n"/>
      <c r="AJ591" s="215" t="n"/>
      <c r="AK591" s="216" t="n"/>
    </row>
    <row r="592" ht="15" customHeight="1">
      <c r="B592" s="134" t="n"/>
      <c r="C592" s="105" t="n"/>
      <c r="D592" s="105" t="n"/>
      <c r="E592" s="105" t="n"/>
      <c r="F592" s="105" t="n"/>
      <c r="G592" s="105" t="n"/>
      <c r="H592" s="2" t="n"/>
      <c r="I592" s="105" t="n"/>
      <c r="K592" s="215" t="n"/>
      <c r="L592" s="215" t="n"/>
      <c r="M592" s="215" t="n"/>
      <c r="N592" s="215" t="n"/>
      <c r="O592" s="215" t="n"/>
      <c r="P592" s="215" t="n"/>
      <c r="Q592" s="215" t="n"/>
      <c r="R592" s="215" t="n"/>
      <c r="S592" s="215" t="n"/>
      <c r="T592" s="215" t="n"/>
      <c r="U592" s="215" t="n"/>
      <c r="V592" s="215" t="n"/>
      <c r="W592" s="215" t="n"/>
      <c r="X592" s="215" t="n"/>
      <c r="Y592" s="215" t="n"/>
      <c r="Z592" s="215" t="n"/>
      <c r="AA592" s="215" t="n"/>
      <c r="AB592" s="215" t="n"/>
      <c r="AC592" s="215" t="n"/>
      <c r="AD592" s="215" t="n"/>
      <c r="AE592" s="215" t="n"/>
      <c r="AF592" s="215" t="n"/>
      <c r="AG592" s="215" t="n"/>
      <c r="AH592" s="215" t="n"/>
      <c r="AI592" s="215" t="n"/>
      <c r="AJ592" s="215" t="n"/>
      <c r="AK592" s="216" t="n"/>
    </row>
    <row r="593" ht="15" customHeight="1">
      <c r="B593" s="134" t="n"/>
      <c r="C593" s="105" t="n"/>
      <c r="D593" s="105" t="n"/>
      <c r="E593" s="105" t="n"/>
      <c r="F593" s="105" t="n"/>
      <c r="G593" s="105" t="n"/>
      <c r="H593" s="2" t="n"/>
      <c r="I593" s="105" t="n"/>
      <c r="K593" s="215" t="n"/>
      <c r="L593" s="215" t="n"/>
      <c r="M593" s="215" t="n"/>
      <c r="N593" s="215" t="n"/>
      <c r="O593" s="215" t="n"/>
      <c r="P593" s="215" t="n"/>
      <c r="Q593" s="215" t="n"/>
      <c r="R593" s="215" t="n"/>
      <c r="S593" s="215" t="n"/>
      <c r="T593" s="215" t="n"/>
      <c r="U593" s="215" t="n"/>
      <c r="V593" s="215" t="n"/>
      <c r="W593" s="215" t="n"/>
      <c r="X593" s="215" t="n"/>
      <c r="Y593" s="215" t="n"/>
      <c r="Z593" s="215" t="n"/>
      <c r="AA593" s="215" t="n"/>
      <c r="AB593" s="215" t="n"/>
      <c r="AC593" s="215" t="n"/>
      <c r="AD593" s="215" t="n"/>
      <c r="AE593" s="215" t="n"/>
      <c r="AF593" s="215" t="n"/>
      <c r="AG593" s="215" t="n"/>
      <c r="AH593" s="215" t="n"/>
      <c r="AI593" s="215" t="n"/>
      <c r="AJ593" s="215" t="n"/>
      <c r="AK593" s="216" t="n"/>
    </row>
    <row r="594" ht="15" customHeight="1">
      <c r="B594" s="134" t="n"/>
      <c r="C594" s="105" t="n"/>
      <c r="D594" s="105" t="n"/>
      <c r="E594" s="105" t="n"/>
      <c r="F594" s="105" t="n"/>
      <c r="G594" s="105" t="n"/>
      <c r="H594" s="2" t="n"/>
      <c r="I594" s="105" t="n"/>
      <c r="K594" s="215" t="n"/>
      <c r="L594" s="215" t="n"/>
      <c r="M594" s="215" t="n"/>
      <c r="N594" s="215" t="n"/>
      <c r="O594" s="215" t="n"/>
      <c r="P594" s="215" t="n"/>
      <c r="Q594" s="215" t="n"/>
      <c r="R594" s="215" t="n"/>
      <c r="S594" s="215" t="n"/>
      <c r="T594" s="215" t="n"/>
      <c r="U594" s="215" t="n"/>
      <c r="V594" s="215" t="n"/>
      <c r="W594" s="215" t="n"/>
      <c r="X594" s="215" t="n"/>
      <c r="Y594" s="215" t="n"/>
      <c r="Z594" s="215" t="n"/>
      <c r="AA594" s="215" t="n"/>
      <c r="AB594" s="215" t="n"/>
      <c r="AC594" s="215" t="n"/>
      <c r="AD594" s="215" t="n"/>
      <c r="AE594" s="215" t="n"/>
      <c r="AF594" s="215" t="n"/>
      <c r="AG594" s="215" t="n"/>
      <c r="AH594" s="215" t="n"/>
      <c r="AI594" s="215" t="n"/>
      <c r="AJ594" s="215" t="n"/>
      <c r="AK594" s="216" t="n"/>
    </row>
    <row r="595" ht="15" customHeight="1">
      <c r="B595" s="134" t="n"/>
      <c r="C595" s="105" t="n"/>
      <c r="D595" s="105" t="n"/>
      <c r="E595" s="105" t="n"/>
      <c r="F595" s="105" t="n"/>
      <c r="G595" s="105" t="n"/>
      <c r="H595" s="2" t="n"/>
      <c r="I595" s="105" t="n"/>
      <c r="K595" s="215" t="n"/>
      <c r="L595" s="215" t="n"/>
      <c r="M595" s="215" t="n"/>
      <c r="N595" s="215" t="n"/>
      <c r="O595" s="215" t="n"/>
      <c r="P595" s="215" t="n"/>
      <c r="Q595" s="215" t="n"/>
      <c r="R595" s="215" t="n"/>
      <c r="S595" s="215" t="n"/>
      <c r="T595" s="215" t="n"/>
      <c r="U595" s="215" t="n"/>
      <c r="V595" s="215" t="n"/>
      <c r="W595" s="215" t="n"/>
      <c r="X595" s="215" t="n"/>
      <c r="Y595" s="215" t="n"/>
      <c r="Z595" s="215" t="n"/>
      <c r="AA595" s="215" t="n"/>
      <c r="AB595" s="215" t="n"/>
      <c r="AC595" s="215" t="n"/>
      <c r="AD595" s="215" t="n"/>
      <c r="AE595" s="215" t="n"/>
      <c r="AF595" s="215" t="n"/>
      <c r="AG595" s="215" t="n"/>
      <c r="AH595" s="215" t="n"/>
      <c r="AI595" s="215" t="n"/>
      <c r="AJ595" s="215" t="n"/>
      <c r="AK595" s="216" t="n"/>
    </row>
    <row r="596" ht="15" customHeight="1">
      <c r="B596" s="134" t="n"/>
      <c r="C596" s="105" t="n"/>
      <c r="D596" s="105" t="n"/>
      <c r="E596" s="105" t="n"/>
      <c r="F596" s="105" t="n"/>
      <c r="G596" s="105" t="n"/>
      <c r="H596" s="2" t="n"/>
      <c r="I596" s="105" t="n"/>
      <c r="K596" s="215" t="n"/>
      <c r="L596" s="215" t="n"/>
      <c r="M596" s="215" t="n"/>
      <c r="N596" s="215" t="n"/>
      <c r="O596" s="215" t="n"/>
      <c r="P596" s="215" t="n"/>
      <c r="Q596" s="215" t="n"/>
      <c r="R596" s="215" t="n"/>
      <c r="S596" s="215" t="n"/>
      <c r="T596" s="215" t="n"/>
      <c r="U596" s="215" t="n"/>
      <c r="V596" s="215" t="n"/>
      <c r="W596" s="215" t="n"/>
      <c r="X596" s="215" t="n"/>
      <c r="Y596" s="215" t="n"/>
      <c r="Z596" s="215" t="n"/>
      <c r="AA596" s="215" t="n"/>
      <c r="AB596" s="215" t="n"/>
      <c r="AC596" s="215" t="n"/>
      <c r="AD596" s="215" t="n"/>
      <c r="AE596" s="215" t="n"/>
      <c r="AF596" s="215" t="n"/>
      <c r="AG596" s="215" t="n"/>
      <c r="AH596" s="215" t="n"/>
      <c r="AI596" s="215" t="n"/>
      <c r="AJ596" s="215" t="n"/>
      <c r="AK596" s="216" t="n"/>
    </row>
    <row r="597" ht="15" customHeight="1">
      <c r="B597" s="134" t="n"/>
      <c r="C597" s="105" t="n"/>
      <c r="D597" s="105" t="n"/>
      <c r="E597" s="105" t="n"/>
      <c r="F597" s="105" t="n"/>
      <c r="G597" s="105" t="n"/>
      <c r="H597" s="2" t="n"/>
      <c r="I597" s="105" t="n"/>
      <c r="K597" s="215" t="n"/>
      <c r="L597" s="215" t="n"/>
      <c r="M597" s="215" t="n"/>
      <c r="N597" s="215" t="n"/>
      <c r="O597" s="215" t="n"/>
      <c r="P597" s="215" t="n"/>
      <c r="Q597" s="215" t="n"/>
      <c r="R597" s="215" t="n"/>
      <c r="S597" s="215" t="n"/>
      <c r="T597" s="215" t="n"/>
      <c r="U597" s="215" t="n"/>
      <c r="V597" s="215" t="n"/>
      <c r="W597" s="215" t="n"/>
      <c r="X597" s="215" t="n"/>
      <c r="Y597" s="215" t="n"/>
      <c r="Z597" s="215" t="n"/>
      <c r="AA597" s="215" t="n"/>
      <c r="AB597" s="215" t="n"/>
      <c r="AC597" s="215" t="n"/>
      <c r="AD597" s="215" t="n"/>
      <c r="AE597" s="215" t="n"/>
      <c r="AF597" s="215" t="n"/>
      <c r="AG597" s="215" t="n"/>
      <c r="AH597" s="215" t="n"/>
      <c r="AI597" s="215" t="n"/>
      <c r="AJ597" s="215" t="n"/>
      <c r="AK597" s="216" t="n"/>
    </row>
    <row r="598" ht="15" customHeight="1">
      <c r="B598" s="134" t="n"/>
      <c r="C598" s="105" t="n"/>
      <c r="D598" s="105" t="n"/>
      <c r="E598" s="105" t="n"/>
      <c r="F598" s="105" t="n"/>
      <c r="G598" s="105" t="n"/>
      <c r="H598" s="2" t="n"/>
      <c r="I598" s="105" t="n"/>
      <c r="K598" s="215" t="n"/>
      <c r="L598" s="215" t="n"/>
      <c r="M598" s="215" t="n"/>
      <c r="N598" s="215" t="n"/>
      <c r="O598" s="215" t="n"/>
      <c r="P598" s="215" t="n"/>
      <c r="Q598" s="215" t="n"/>
      <c r="R598" s="215" t="n"/>
      <c r="S598" s="215" t="n"/>
      <c r="T598" s="215" t="n"/>
      <c r="U598" s="215" t="n"/>
      <c r="V598" s="215" t="n"/>
      <c r="W598" s="215" t="n"/>
      <c r="X598" s="215" t="n"/>
      <c r="Y598" s="215" t="n"/>
      <c r="Z598" s="215" t="n"/>
      <c r="AA598" s="215" t="n"/>
      <c r="AB598" s="215" t="n"/>
      <c r="AC598" s="215" t="n"/>
      <c r="AD598" s="215" t="n"/>
      <c r="AE598" s="215" t="n"/>
      <c r="AF598" s="215" t="n"/>
      <c r="AG598" s="215" t="n"/>
      <c r="AH598" s="215" t="n"/>
      <c r="AI598" s="215" t="n"/>
      <c r="AJ598" s="215" t="n"/>
      <c r="AK598" s="216" t="n"/>
    </row>
    <row r="599" ht="15" customHeight="1">
      <c r="B599" s="134" t="n"/>
      <c r="C599" s="105" t="n"/>
      <c r="D599" s="105" t="n"/>
      <c r="E599" s="105" t="n"/>
      <c r="F599" s="105" t="n"/>
      <c r="G599" s="105" t="n"/>
      <c r="H599" s="2" t="n"/>
      <c r="I599" s="105" t="n"/>
      <c r="K599" s="215" t="n"/>
      <c r="L599" s="215" t="n"/>
      <c r="M599" s="215" t="n"/>
      <c r="N599" s="215" t="n"/>
      <c r="O599" s="215" t="n"/>
      <c r="P599" s="215" t="n"/>
      <c r="Q599" s="215" t="n"/>
      <c r="R599" s="215" t="n"/>
      <c r="S599" s="215" t="n"/>
      <c r="T599" s="215" t="n"/>
      <c r="U599" s="215" t="n"/>
      <c r="V599" s="215" t="n"/>
      <c r="W599" s="215" t="n"/>
      <c r="X599" s="215" t="n"/>
      <c r="Y599" s="215" t="n"/>
      <c r="Z599" s="215" t="n"/>
      <c r="AA599" s="215" t="n"/>
      <c r="AB599" s="215" t="n"/>
      <c r="AC599" s="215" t="n"/>
      <c r="AD599" s="215" t="n"/>
      <c r="AE599" s="215" t="n"/>
      <c r="AF599" s="215" t="n"/>
      <c r="AG599" s="215" t="n"/>
      <c r="AH599" s="215" t="n"/>
      <c r="AI599" s="215" t="n"/>
      <c r="AJ599" s="215" t="n"/>
      <c r="AK599" s="216" t="n"/>
    </row>
    <row r="600" ht="15" customHeight="1">
      <c r="B600" s="134" t="n"/>
      <c r="C600" s="105" t="n"/>
      <c r="D600" s="105" t="n"/>
      <c r="E600" s="105" t="n"/>
      <c r="F600" s="105" t="n"/>
      <c r="G600" s="105" t="n"/>
      <c r="H600" s="2" t="n"/>
      <c r="I600" s="105" t="n"/>
      <c r="K600" s="215" t="n"/>
      <c r="L600" s="215" t="n"/>
      <c r="M600" s="215" t="n"/>
      <c r="N600" s="215" t="n"/>
      <c r="O600" s="215" t="n"/>
      <c r="P600" s="215" t="n"/>
      <c r="Q600" s="215" t="n"/>
      <c r="R600" s="215" t="n"/>
      <c r="S600" s="215" t="n"/>
      <c r="T600" s="215" t="n"/>
      <c r="U600" s="215" t="n"/>
      <c r="V600" s="215" t="n"/>
      <c r="W600" s="215" t="n"/>
      <c r="X600" s="215" t="n"/>
      <c r="Y600" s="215" t="n"/>
      <c r="Z600" s="215" t="n"/>
      <c r="AA600" s="215" t="n"/>
      <c r="AB600" s="215" t="n"/>
      <c r="AC600" s="215" t="n"/>
      <c r="AD600" s="215" t="n"/>
      <c r="AE600" s="215" t="n"/>
      <c r="AF600" s="215" t="n"/>
      <c r="AG600" s="215" t="n"/>
      <c r="AH600" s="215" t="n"/>
      <c r="AI600" s="215" t="n"/>
      <c r="AJ600" s="215" t="n"/>
      <c r="AK600" s="216" t="n"/>
    </row>
    <row r="601" ht="15" customHeight="1">
      <c r="B601" s="134" t="n"/>
      <c r="C601" s="105" t="n"/>
      <c r="D601" s="105" t="n"/>
      <c r="E601" s="105" t="n"/>
      <c r="F601" s="105" t="n"/>
      <c r="G601" s="105" t="n"/>
      <c r="H601" s="2" t="n"/>
      <c r="I601" s="105" t="n"/>
      <c r="K601" s="215" t="n"/>
      <c r="L601" s="215" t="n"/>
      <c r="M601" s="215" t="n"/>
      <c r="N601" s="215" t="n"/>
      <c r="O601" s="215" t="n"/>
      <c r="P601" s="215" t="n"/>
      <c r="Q601" s="215" t="n"/>
      <c r="R601" s="215" t="n"/>
      <c r="S601" s="215" t="n"/>
      <c r="T601" s="215" t="n"/>
      <c r="U601" s="215" t="n"/>
      <c r="V601" s="215" t="n"/>
      <c r="W601" s="215" t="n"/>
      <c r="X601" s="215" t="n"/>
      <c r="Y601" s="215" t="n"/>
      <c r="Z601" s="215" t="n"/>
      <c r="AA601" s="215" t="n"/>
      <c r="AB601" s="215" t="n"/>
      <c r="AC601" s="215" t="n"/>
      <c r="AD601" s="215" t="n"/>
      <c r="AE601" s="215" t="n"/>
      <c r="AF601" s="215" t="n"/>
      <c r="AG601" s="215" t="n"/>
      <c r="AH601" s="215" t="n"/>
      <c r="AI601" s="215" t="n"/>
      <c r="AJ601" s="215" t="n"/>
      <c r="AK601" s="216" t="n"/>
    </row>
    <row r="602" ht="15" customHeight="1">
      <c r="B602" s="134" t="n"/>
      <c r="C602" s="105" t="n"/>
      <c r="D602" s="105" t="n"/>
      <c r="E602" s="105" t="n"/>
      <c r="F602" s="105" t="n"/>
      <c r="G602" s="105" t="n"/>
      <c r="H602" s="2" t="n"/>
      <c r="I602" s="105" t="n"/>
      <c r="K602" s="215" t="n"/>
      <c r="L602" s="215" t="n"/>
      <c r="M602" s="215" t="n"/>
      <c r="N602" s="215" t="n"/>
      <c r="O602" s="215" t="n"/>
      <c r="P602" s="215" t="n"/>
      <c r="Q602" s="215" t="n"/>
      <c r="R602" s="215" t="n"/>
      <c r="S602" s="215" t="n"/>
      <c r="T602" s="215" t="n"/>
      <c r="U602" s="215" t="n"/>
      <c r="V602" s="215" t="n"/>
      <c r="W602" s="215" t="n"/>
      <c r="X602" s="215" t="n"/>
      <c r="Y602" s="215" t="n"/>
      <c r="Z602" s="215" t="n"/>
      <c r="AA602" s="215" t="n"/>
      <c r="AB602" s="215" t="n"/>
      <c r="AC602" s="215" t="n"/>
      <c r="AD602" s="215" t="n"/>
      <c r="AE602" s="215" t="n"/>
      <c r="AF602" s="215" t="n"/>
      <c r="AG602" s="215" t="n"/>
      <c r="AH602" s="215" t="n"/>
      <c r="AI602" s="215" t="n"/>
      <c r="AJ602" s="215" t="n"/>
      <c r="AK602" s="216" t="n"/>
    </row>
    <row r="603" ht="15" customHeight="1">
      <c r="B603" s="134" t="n"/>
      <c r="C603" s="105" t="n"/>
      <c r="D603" s="105" t="n"/>
      <c r="E603" s="105" t="n"/>
      <c r="F603" s="105" t="n"/>
      <c r="G603" s="105" t="n"/>
      <c r="H603" s="2" t="n"/>
      <c r="I603" s="105" t="n"/>
      <c r="K603" s="215" t="n"/>
      <c r="L603" s="215" t="n"/>
      <c r="M603" s="215" t="n"/>
      <c r="N603" s="215" t="n"/>
      <c r="O603" s="215" t="n"/>
      <c r="P603" s="215" t="n"/>
      <c r="Q603" s="215" t="n"/>
      <c r="R603" s="215" t="n"/>
      <c r="S603" s="215" t="n"/>
      <c r="T603" s="215" t="n"/>
      <c r="U603" s="215" t="n"/>
      <c r="V603" s="215" t="n"/>
      <c r="W603" s="215" t="n"/>
      <c r="X603" s="215" t="n"/>
      <c r="Y603" s="215" t="n"/>
      <c r="Z603" s="215" t="n"/>
      <c r="AA603" s="215" t="n"/>
      <c r="AB603" s="215" t="n"/>
      <c r="AC603" s="215" t="n"/>
      <c r="AD603" s="215" t="n"/>
      <c r="AE603" s="215" t="n"/>
      <c r="AF603" s="215" t="n"/>
      <c r="AG603" s="215" t="n"/>
      <c r="AH603" s="215" t="n"/>
      <c r="AI603" s="215" t="n"/>
      <c r="AJ603" s="215" t="n"/>
      <c r="AK603" s="216" t="n"/>
    </row>
    <row r="604" ht="15" customHeight="1">
      <c r="B604" s="134" t="n"/>
      <c r="C604" s="105" t="n"/>
      <c r="D604" s="105" t="n"/>
      <c r="E604" s="105" t="n"/>
      <c r="F604" s="105" t="n"/>
      <c r="G604" s="105" t="n"/>
      <c r="H604" s="2" t="n"/>
      <c r="I604" s="105" t="n"/>
      <c r="K604" s="215" t="n"/>
      <c r="L604" s="215" t="n"/>
      <c r="M604" s="215" t="n"/>
      <c r="N604" s="215" t="n"/>
      <c r="O604" s="215" t="n"/>
      <c r="P604" s="215" t="n"/>
      <c r="Q604" s="215" t="n"/>
      <c r="R604" s="215" t="n"/>
      <c r="S604" s="215" t="n"/>
      <c r="T604" s="215" t="n"/>
      <c r="U604" s="215" t="n"/>
      <c r="V604" s="215" t="n"/>
      <c r="W604" s="215" t="n"/>
      <c r="X604" s="215" t="n"/>
      <c r="Y604" s="215" t="n"/>
      <c r="Z604" s="215" t="n"/>
      <c r="AA604" s="215" t="n"/>
      <c r="AB604" s="215" t="n"/>
      <c r="AC604" s="215" t="n"/>
      <c r="AD604" s="215" t="n"/>
      <c r="AE604" s="215" t="n"/>
      <c r="AF604" s="215" t="n"/>
      <c r="AG604" s="215" t="n"/>
      <c r="AH604" s="215" t="n"/>
      <c r="AI604" s="215" t="n"/>
      <c r="AJ604" s="215" t="n"/>
      <c r="AK604" s="216" t="n"/>
    </row>
    <row r="605" ht="15" customHeight="1">
      <c r="B605" s="134" t="n"/>
      <c r="C605" s="105" t="n"/>
      <c r="D605" s="105" t="n"/>
      <c r="E605" s="105" t="n"/>
      <c r="F605" s="105" t="n"/>
      <c r="G605" s="105" t="n"/>
      <c r="H605" s="2" t="n"/>
      <c r="I605" s="105" t="n"/>
      <c r="K605" s="215" t="n"/>
      <c r="L605" s="215" t="n"/>
      <c r="M605" s="215" t="n"/>
      <c r="N605" s="215" t="n"/>
      <c r="O605" s="215" t="n"/>
      <c r="P605" s="215" t="n"/>
      <c r="Q605" s="215" t="n"/>
      <c r="R605" s="215" t="n"/>
      <c r="S605" s="215" t="n"/>
      <c r="T605" s="215" t="n"/>
      <c r="U605" s="215" t="n"/>
      <c r="V605" s="215" t="n"/>
      <c r="W605" s="215" t="n"/>
      <c r="X605" s="215" t="n"/>
      <c r="Y605" s="215" t="n"/>
      <c r="Z605" s="215" t="n"/>
      <c r="AA605" s="215" t="n"/>
      <c r="AB605" s="215" t="n"/>
      <c r="AC605" s="215" t="n"/>
      <c r="AD605" s="215" t="n"/>
      <c r="AE605" s="215" t="n"/>
      <c r="AF605" s="215" t="n"/>
      <c r="AG605" s="215" t="n"/>
      <c r="AH605" s="215" t="n"/>
      <c r="AI605" s="215" t="n"/>
      <c r="AJ605" s="215" t="n"/>
      <c r="AK605" s="216" t="n"/>
    </row>
    <row r="606" ht="15" customHeight="1">
      <c r="B606" s="134" t="n"/>
      <c r="C606" s="105" t="n"/>
      <c r="D606" s="105" t="n"/>
      <c r="E606" s="105" t="n"/>
      <c r="F606" s="105" t="n"/>
      <c r="G606" s="105" t="n"/>
      <c r="H606" s="2" t="n"/>
      <c r="I606" s="105" t="n"/>
      <c r="K606" s="215" t="n"/>
      <c r="L606" s="215" t="n"/>
      <c r="M606" s="215" t="n"/>
      <c r="N606" s="215" t="n"/>
      <c r="O606" s="215" t="n"/>
      <c r="P606" s="215" t="n"/>
      <c r="Q606" s="215" t="n"/>
      <c r="R606" s="215" t="n"/>
      <c r="S606" s="215" t="n"/>
      <c r="T606" s="215" t="n"/>
      <c r="U606" s="215" t="n"/>
      <c r="V606" s="215" t="n"/>
      <c r="W606" s="215" t="n"/>
      <c r="X606" s="215" t="n"/>
      <c r="Y606" s="215" t="n"/>
      <c r="Z606" s="215" t="n"/>
      <c r="AA606" s="215" t="n"/>
      <c r="AB606" s="215" t="n"/>
      <c r="AC606" s="215" t="n"/>
      <c r="AD606" s="215" t="n"/>
      <c r="AE606" s="215" t="n"/>
      <c r="AF606" s="215" t="n"/>
      <c r="AG606" s="215" t="n"/>
      <c r="AH606" s="215" t="n"/>
      <c r="AI606" s="215" t="n"/>
      <c r="AJ606" s="215" t="n"/>
      <c r="AK606" s="216" t="n"/>
    </row>
    <row r="607" ht="15" customHeight="1">
      <c r="B607" s="134" t="n"/>
      <c r="C607" s="105" t="n"/>
      <c r="D607" s="105" t="n"/>
      <c r="E607" s="105" t="n"/>
      <c r="F607" s="105" t="n"/>
      <c r="G607" s="105" t="n"/>
      <c r="H607" s="2" t="n"/>
      <c r="I607" s="105" t="n"/>
      <c r="K607" s="215" t="n"/>
      <c r="L607" s="215" t="n"/>
      <c r="M607" s="215" t="n"/>
      <c r="N607" s="215" t="n"/>
      <c r="O607" s="215" t="n"/>
      <c r="P607" s="215" t="n"/>
      <c r="Q607" s="215" t="n"/>
      <c r="R607" s="215" t="n"/>
      <c r="S607" s="215" t="n"/>
      <c r="T607" s="215" t="n"/>
      <c r="U607" s="215" t="n"/>
      <c r="V607" s="215" t="n"/>
      <c r="W607" s="215" t="n"/>
      <c r="X607" s="215" t="n"/>
      <c r="Y607" s="215" t="n"/>
      <c r="Z607" s="215" t="n"/>
      <c r="AA607" s="215" t="n"/>
      <c r="AB607" s="215" t="n"/>
      <c r="AC607" s="215" t="n"/>
      <c r="AD607" s="215" t="n"/>
      <c r="AE607" s="215" t="n"/>
      <c r="AF607" s="215" t="n"/>
      <c r="AG607" s="215" t="n"/>
      <c r="AH607" s="215" t="n"/>
      <c r="AI607" s="215" t="n"/>
      <c r="AJ607" s="215" t="n"/>
      <c r="AK607" s="216" t="n"/>
    </row>
    <row r="608" ht="15" customHeight="1">
      <c r="B608" s="134" t="n"/>
      <c r="C608" s="105" t="n"/>
      <c r="D608" s="105" t="n"/>
      <c r="E608" s="105" t="n"/>
      <c r="F608" s="105" t="n"/>
      <c r="G608" s="105" t="n"/>
      <c r="H608" s="2" t="n"/>
      <c r="I608" s="105" t="n"/>
      <c r="K608" s="215" t="n"/>
      <c r="L608" s="215" t="n"/>
      <c r="M608" s="215" t="n"/>
      <c r="N608" s="215" t="n"/>
      <c r="O608" s="215" t="n"/>
      <c r="P608" s="215" t="n"/>
      <c r="Q608" s="215" t="n"/>
      <c r="R608" s="215" t="n"/>
      <c r="S608" s="215" t="n"/>
      <c r="T608" s="215" t="n"/>
      <c r="U608" s="215" t="n"/>
      <c r="V608" s="215" t="n"/>
      <c r="W608" s="215" t="n"/>
      <c r="X608" s="215" t="n"/>
      <c r="Y608" s="215" t="n"/>
      <c r="Z608" s="215" t="n"/>
      <c r="AA608" s="215" t="n"/>
      <c r="AB608" s="215" t="n"/>
      <c r="AC608" s="215" t="n"/>
      <c r="AD608" s="215" t="n"/>
      <c r="AE608" s="215" t="n"/>
      <c r="AF608" s="215" t="n"/>
      <c r="AG608" s="215" t="n"/>
      <c r="AH608" s="215" t="n"/>
      <c r="AI608" s="215" t="n"/>
      <c r="AJ608" s="215" t="n"/>
      <c r="AK608" s="216" t="n"/>
    </row>
    <row r="609" ht="15" customHeight="1">
      <c r="B609" s="134" t="n"/>
      <c r="C609" s="105" t="n"/>
      <c r="D609" s="105" t="n"/>
      <c r="E609" s="105" t="n"/>
      <c r="F609" s="105" t="n"/>
      <c r="G609" s="105" t="n"/>
      <c r="H609" s="2" t="n"/>
      <c r="I609" s="105" t="n"/>
      <c r="K609" s="215" t="n"/>
      <c r="L609" s="215" t="n"/>
      <c r="M609" s="215" t="n"/>
      <c r="N609" s="215" t="n"/>
      <c r="O609" s="215" t="n"/>
      <c r="P609" s="215" t="n"/>
      <c r="Q609" s="215" t="n"/>
      <c r="R609" s="215" t="n"/>
      <c r="S609" s="215" t="n"/>
      <c r="T609" s="215" t="n"/>
      <c r="U609" s="215" t="n"/>
      <c r="V609" s="215" t="n"/>
      <c r="W609" s="215" t="n"/>
      <c r="X609" s="215" t="n"/>
      <c r="Y609" s="215" t="n"/>
      <c r="Z609" s="215" t="n"/>
      <c r="AA609" s="215" t="n"/>
      <c r="AB609" s="215" t="n"/>
      <c r="AC609" s="215" t="n"/>
      <c r="AD609" s="215" t="n"/>
      <c r="AE609" s="215" t="n"/>
      <c r="AF609" s="215" t="n"/>
      <c r="AG609" s="215" t="n"/>
      <c r="AH609" s="215" t="n"/>
      <c r="AI609" s="215" t="n"/>
      <c r="AJ609" s="215" t="n"/>
      <c r="AK609" s="216" t="n"/>
    </row>
    <row r="610" ht="15" customHeight="1">
      <c r="B610" s="134" t="n"/>
      <c r="C610" s="105" t="n"/>
      <c r="D610" s="105" t="n"/>
      <c r="E610" s="105" t="n"/>
      <c r="F610" s="105" t="n"/>
      <c r="G610" s="105" t="n"/>
      <c r="H610" s="2" t="n"/>
      <c r="I610" s="105" t="n"/>
      <c r="K610" s="215" t="n"/>
      <c r="L610" s="215" t="n"/>
      <c r="M610" s="215" t="n"/>
      <c r="N610" s="215" t="n"/>
      <c r="O610" s="215" t="n"/>
      <c r="P610" s="215" t="n"/>
      <c r="Q610" s="215" t="n"/>
      <c r="R610" s="215" t="n"/>
      <c r="S610" s="215" t="n"/>
      <c r="T610" s="215" t="n"/>
      <c r="U610" s="215" t="n"/>
      <c r="V610" s="215" t="n"/>
      <c r="W610" s="215" t="n"/>
      <c r="X610" s="215" t="n"/>
      <c r="Y610" s="215" t="n"/>
      <c r="Z610" s="215" t="n"/>
      <c r="AA610" s="215" t="n"/>
      <c r="AB610" s="215" t="n"/>
      <c r="AC610" s="215" t="n"/>
      <c r="AD610" s="215" t="n"/>
      <c r="AE610" s="215" t="n"/>
      <c r="AF610" s="215" t="n"/>
      <c r="AG610" s="215" t="n"/>
      <c r="AH610" s="215" t="n"/>
      <c r="AI610" s="215" t="n"/>
      <c r="AJ610" s="215" t="n"/>
      <c r="AK610" s="216" t="n"/>
    </row>
    <row r="611" ht="15" customHeight="1">
      <c r="B611" s="134" t="n"/>
      <c r="C611" s="105" t="n"/>
      <c r="D611" s="105" t="n"/>
      <c r="E611" s="105" t="n"/>
      <c r="F611" s="105" t="n"/>
      <c r="G611" s="105" t="n"/>
      <c r="H611" s="2" t="n"/>
      <c r="I611" s="105" t="n"/>
      <c r="K611" s="215" t="n"/>
      <c r="L611" s="215" t="n"/>
      <c r="M611" s="215" t="n"/>
      <c r="N611" s="215" t="n"/>
      <c r="O611" s="215" t="n"/>
      <c r="P611" s="215" t="n"/>
      <c r="Q611" s="215" t="n"/>
      <c r="R611" s="215" t="n"/>
      <c r="S611" s="215" t="n"/>
      <c r="T611" s="215" t="n"/>
      <c r="U611" s="215" t="n"/>
      <c r="V611" s="215" t="n"/>
      <c r="W611" s="215" t="n"/>
      <c r="X611" s="215" t="n"/>
      <c r="Y611" s="215" t="n"/>
      <c r="Z611" s="215" t="n"/>
      <c r="AA611" s="215" t="n"/>
      <c r="AB611" s="215" t="n"/>
      <c r="AC611" s="215" t="n"/>
      <c r="AD611" s="215" t="n"/>
      <c r="AE611" s="215" t="n"/>
      <c r="AF611" s="215" t="n"/>
      <c r="AG611" s="215" t="n"/>
      <c r="AH611" s="215" t="n"/>
      <c r="AI611" s="215" t="n"/>
      <c r="AJ611" s="215" t="n"/>
      <c r="AK611" s="216" t="n"/>
    </row>
    <row r="612" ht="15" customHeight="1">
      <c r="B612" s="134" t="n"/>
      <c r="C612" s="105" t="n"/>
      <c r="D612" s="105" t="n"/>
      <c r="E612" s="105" t="n"/>
      <c r="F612" s="105" t="n"/>
      <c r="G612" s="105" t="n"/>
      <c r="H612" s="2" t="n"/>
      <c r="I612" s="105" t="n"/>
      <c r="K612" s="215" t="n"/>
      <c r="L612" s="215" t="n"/>
      <c r="M612" s="215" t="n"/>
      <c r="N612" s="215" t="n"/>
      <c r="O612" s="215" t="n"/>
      <c r="P612" s="215" t="n"/>
      <c r="Q612" s="215" t="n"/>
      <c r="R612" s="215" t="n"/>
      <c r="S612" s="215" t="n"/>
      <c r="T612" s="215" t="n"/>
      <c r="U612" s="215" t="n"/>
      <c r="V612" s="215" t="n"/>
      <c r="W612" s="215" t="n"/>
      <c r="X612" s="215" t="n"/>
      <c r="Y612" s="215" t="n"/>
      <c r="Z612" s="215" t="n"/>
      <c r="AA612" s="215" t="n"/>
      <c r="AB612" s="215" t="n"/>
      <c r="AC612" s="215" t="n"/>
      <c r="AD612" s="215" t="n"/>
      <c r="AE612" s="215" t="n"/>
      <c r="AF612" s="215" t="n"/>
      <c r="AG612" s="215" t="n"/>
      <c r="AH612" s="215" t="n"/>
      <c r="AI612" s="215" t="n"/>
      <c r="AJ612" s="215" t="n"/>
      <c r="AK612" s="216" t="n"/>
    </row>
    <row r="613" ht="15" customHeight="1">
      <c r="B613" s="134" t="n"/>
      <c r="C613" s="105" t="n"/>
      <c r="D613" s="105" t="n"/>
      <c r="E613" s="105" t="n"/>
      <c r="F613" s="105" t="n"/>
      <c r="G613" s="105" t="n"/>
      <c r="H613" s="2" t="n"/>
      <c r="I613" s="105" t="n"/>
      <c r="K613" s="215" t="n"/>
      <c r="L613" s="215" t="n"/>
      <c r="M613" s="215" t="n"/>
      <c r="N613" s="215" t="n"/>
      <c r="O613" s="215" t="n"/>
      <c r="P613" s="215" t="n"/>
      <c r="Q613" s="215" t="n"/>
      <c r="R613" s="215" t="n"/>
      <c r="S613" s="215" t="n"/>
      <c r="T613" s="215" t="n"/>
      <c r="U613" s="215" t="n"/>
      <c r="V613" s="215" t="n"/>
      <c r="W613" s="215" t="n"/>
      <c r="X613" s="215" t="n"/>
      <c r="Y613" s="215" t="n"/>
      <c r="Z613" s="215" t="n"/>
      <c r="AA613" s="215" t="n"/>
      <c r="AB613" s="215" t="n"/>
      <c r="AC613" s="215" t="n"/>
      <c r="AD613" s="215" t="n"/>
      <c r="AE613" s="215" t="n"/>
      <c r="AF613" s="215" t="n"/>
      <c r="AG613" s="215" t="n"/>
      <c r="AH613" s="215" t="n"/>
      <c r="AI613" s="215" t="n"/>
      <c r="AJ613" s="215" t="n"/>
      <c r="AK613" s="216" t="n"/>
    </row>
    <row r="614" ht="15" customHeight="1">
      <c r="B614" s="134" t="n"/>
      <c r="C614" s="105" t="n"/>
      <c r="D614" s="105" t="n"/>
      <c r="E614" s="105" t="n"/>
      <c r="F614" s="105" t="n"/>
      <c r="G614" s="105" t="n"/>
      <c r="H614" s="2" t="n"/>
      <c r="I614" s="105" t="n"/>
      <c r="K614" s="215" t="n"/>
      <c r="L614" s="215" t="n"/>
      <c r="M614" s="215" t="n"/>
      <c r="N614" s="215" t="n"/>
      <c r="O614" s="215" t="n"/>
      <c r="P614" s="215" t="n"/>
      <c r="Q614" s="215" t="n"/>
      <c r="R614" s="215" t="n"/>
      <c r="S614" s="215" t="n"/>
      <c r="T614" s="215" t="n"/>
      <c r="U614" s="215" t="n"/>
      <c r="V614" s="215" t="n"/>
      <c r="W614" s="215" t="n"/>
      <c r="X614" s="215" t="n"/>
      <c r="Y614" s="215" t="n"/>
      <c r="Z614" s="215" t="n"/>
      <c r="AA614" s="215" t="n"/>
      <c r="AB614" s="215" t="n"/>
      <c r="AC614" s="215" t="n"/>
      <c r="AD614" s="215" t="n"/>
      <c r="AE614" s="215" t="n"/>
      <c r="AF614" s="215" t="n"/>
      <c r="AG614" s="215" t="n"/>
      <c r="AH614" s="215" t="n"/>
      <c r="AI614" s="215" t="n"/>
      <c r="AJ614" s="215" t="n"/>
      <c r="AK614" s="216" t="n"/>
    </row>
    <row r="615" ht="15" customHeight="1">
      <c r="B615" s="134" t="n"/>
      <c r="C615" s="105" t="n"/>
      <c r="D615" s="105" t="n"/>
      <c r="E615" s="105" t="n"/>
      <c r="F615" s="105" t="n"/>
      <c r="G615" s="105" t="n"/>
      <c r="H615" s="2" t="n"/>
      <c r="I615" s="105" t="n"/>
      <c r="K615" s="215" t="n"/>
      <c r="L615" s="215" t="n"/>
      <c r="M615" s="215" t="n"/>
      <c r="N615" s="215" t="n"/>
      <c r="O615" s="215" t="n"/>
      <c r="P615" s="215" t="n"/>
      <c r="Q615" s="215" t="n"/>
      <c r="R615" s="215" t="n"/>
      <c r="S615" s="215" t="n"/>
      <c r="T615" s="215" t="n"/>
      <c r="U615" s="215" t="n"/>
      <c r="V615" s="215" t="n"/>
      <c r="W615" s="215" t="n"/>
      <c r="X615" s="215" t="n"/>
      <c r="Y615" s="215" t="n"/>
      <c r="Z615" s="215" t="n"/>
      <c r="AA615" s="215" t="n"/>
      <c r="AB615" s="215" t="n"/>
      <c r="AC615" s="215" t="n"/>
      <c r="AD615" s="215" t="n"/>
      <c r="AE615" s="215" t="n"/>
      <c r="AF615" s="215" t="n"/>
      <c r="AG615" s="215" t="n"/>
      <c r="AH615" s="215" t="n"/>
      <c r="AI615" s="215" t="n"/>
      <c r="AJ615" s="215" t="n"/>
      <c r="AK615" s="216" t="n"/>
    </row>
    <row r="616" ht="15" customHeight="1">
      <c r="B616" s="134" t="n"/>
      <c r="C616" s="105" t="n"/>
      <c r="D616" s="105" t="n"/>
      <c r="E616" s="105" t="n"/>
      <c r="F616" s="105" t="n"/>
      <c r="G616" s="105" t="n"/>
      <c r="H616" s="2" t="n"/>
      <c r="I616" s="105" t="n"/>
      <c r="K616" s="215" t="n"/>
      <c r="L616" s="215" t="n"/>
      <c r="M616" s="215" t="n"/>
      <c r="N616" s="215" t="n"/>
      <c r="O616" s="215" t="n"/>
      <c r="P616" s="215" t="n"/>
      <c r="Q616" s="215" t="n"/>
      <c r="R616" s="215" t="n"/>
      <c r="S616" s="215" t="n"/>
      <c r="T616" s="215" t="n"/>
      <c r="U616" s="215" t="n"/>
      <c r="V616" s="215" t="n"/>
      <c r="W616" s="215" t="n"/>
      <c r="X616" s="215" t="n"/>
      <c r="Y616" s="215" t="n"/>
      <c r="Z616" s="215" t="n"/>
      <c r="AA616" s="215" t="n"/>
      <c r="AB616" s="215" t="n"/>
      <c r="AC616" s="215" t="n"/>
      <c r="AD616" s="215" t="n"/>
      <c r="AE616" s="215" t="n"/>
      <c r="AF616" s="215" t="n"/>
      <c r="AG616" s="215" t="n"/>
      <c r="AH616" s="215" t="n"/>
      <c r="AI616" s="215" t="n"/>
      <c r="AJ616" s="215" t="n"/>
      <c r="AK616" s="216" t="n"/>
    </row>
    <row r="617" ht="15" customHeight="1">
      <c r="B617" s="134" t="n"/>
      <c r="C617" s="105" t="n"/>
      <c r="D617" s="105" t="n"/>
      <c r="E617" s="105" t="n"/>
      <c r="F617" s="105" t="n"/>
      <c r="G617" s="105" t="n"/>
      <c r="H617" s="2" t="n"/>
      <c r="I617" s="105" t="n"/>
      <c r="K617" s="215" t="n"/>
      <c r="L617" s="215" t="n"/>
      <c r="M617" s="215" t="n"/>
      <c r="N617" s="215" t="n"/>
      <c r="O617" s="215" t="n"/>
      <c r="P617" s="215" t="n"/>
      <c r="Q617" s="215" t="n"/>
      <c r="R617" s="215" t="n"/>
      <c r="S617" s="215" t="n"/>
      <c r="T617" s="215" t="n"/>
      <c r="U617" s="215" t="n"/>
      <c r="V617" s="215" t="n"/>
      <c r="W617" s="215" t="n"/>
      <c r="X617" s="215" t="n"/>
      <c r="Y617" s="215" t="n"/>
      <c r="Z617" s="215" t="n"/>
      <c r="AA617" s="215" t="n"/>
      <c r="AB617" s="215" t="n"/>
      <c r="AC617" s="215" t="n"/>
      <c r="AD617" s="215" t="n"/>
      <c r="AE617" s="215" t="n"/>
      <c r="AF617" s="215" t="n"/>
      <c r="AG617" s="215" t="n"/>
      <c r="AH617" s="215" t="n"/>
      <c r="AI617" s="215" t="n"/>
      <c r="AJ617" s="215" t="n"/>
      <c r="AK617" s="216" t="n"/>
    </row>
    <row r="618" ht="15" customHeight="1">
      <c r="B618" s="134" t="n"/>
      <c r="C618" s="105" t="n"/>
      <c r="D618" s="105" t="n"/>
      <c r="E618" s="105" t="n"/>
      <c r="F618" s="105" t="n"/>
      <c r="G618" s="105" t="n"/>
      <c r="H618" s="2" t="n"/>
      <c r="I618" s="105" t="n"/>
      <c r="K618" s="215" t="n"/>
      <c r="L618" s="215" t="n"/>
      <c r="M618" s="215" t="n"/>
      <c r="N618" s="215" t="n"/>
      <c r="O618" s="215" t="n"/>
      <c r="P618" s="215" t="n"/>
      <c r="Q618" s="215" t="n"/>
      <c r="R618" s="215" t="n"/>
      <c r="S618" s="215" t="n"/>
      <c r="T618" s="215" t="n"/>
      <c r="U618" s="215" t="n"/>
      <c r="V618" s="215" t="n"/>
      <c r="W618" s="215" t="n"/>
      <c r="X618" s="215" t="n"/>
      <c r="Y618" s="215" t="n"/>
      <c r="Z618" s="215" t="n"/>
      <c r="AA618" s="215" t="n"/>
      <c r="AB618" s="215" t="n"/>
      <c r="AC618" s="215" t="n"/>
      <c r="AD618" s="215" t="n"/>
      <c r="AE618" s="215" t="n"/>
      <c r="AF618" s="215" t="n"/>
      <c r="AG618" s="215" t="n"/>
      <c r="AH618" s="215" t="n"/>
      <c r="AI618" s="215" t="n"/>
      <c r="AJ618" s="215" t="n"/>
      <c r="AK618" s="216" t="n"/>
    </row>
    <row r="619" ht="15" customHeight="1">
      <c r="B619" s="134" t="n"/>
      <c r="C619" s="105" t="n"/>
      <c r="D619" s="105" t="n"/>
      <c r="E619" s="105" t="n"/>
      <c r="F619" s="105" t="n"/>
      <c r="G619" s="105" t="n"/>
      <c r="H619" s="2" t="n"/>
      <c r="I619" s="105" t="n"/>
      <c r="K619" s="215" t="n"/>
      <c r="L619" s="215" t="n"/>
      <c r="M619" s="215" t="n"/>
      <c r="N619" s="215" t="n"/>
      <c r="O619" s="215" t="n"/>
      <c r="P619" s="215" t="n"/>
      <c r="Q619" s="215" t="n"/>
      <c r="R619" s="215" t="n"/>
      <c r="S619" s="215" t="n"/>
      <c r="T619" s="215" t="n"/>
      <c r="U619" s="215" t="n"/>
      <c r="V619" s="215" t="n"/>
      <c r="W619" s="215" t="n"/>
      <c r="X619" s="215" t="n"/>
      <c r="Y619" s="215" t="n"/>
      <c r="Z619" s="215" t="n"/>
      <c r="AA619" s="215" t="n"/>
      <c r="AB619" s="215" t="n"/>
      <c r="AC619" s="215" t="n"/>
      <c r="AD619" s="215" t="n"/>
      <c r="AE619" s="215" t="n"/>
      <c r="AF619" s="215" t="n"/>
      <c r="AG619" s="215" t="n"/>
      <c r="AH619" s="215" t="n"/>
      <c r="AI619" s="215" t="n"/>
      <c r="AJ619" s="215" t="n"/>
      <c r="AK619" s="216" t="n"/>
    </row>
    <row r="620" ht="15" customHeight="1">
      <c r="B620" s="134" t="n"/>
      <c r="C620" s="105" t="n"/>
      <c r="D620" s="105" t="n"/>
      <c r="E620" s="105" t="n"/>
      <c r="F620" s="105" t="n"/>
      <c r="G620" s="105" t="n"/>
      <c r="H620" s="2" t="n"/>
      <c r="I620" s="105" t="n"/>
      <c r="K620" s="215" t="n"/>
      <c r="L620" s="215" t="n"/>
      <c r="M620" s="215" t="n"/>
      <c r="N620" s="215" t="n"/>
      <c r="O620" s="215" t="n"/>
      <c r="P620" s="215" t="n"/>
      <c r="Q620" s="215" t="n"/>
      <c r="R620" s="215" t="n"/>
      <c r="S620" s="215" t="n"/>
      <c r="T620" s="215" t="n"/>
      <c r="U620" s="215" t="n"/>
      <c r="V620" s="215" t="n"/>
      <c r="W620" s="215" t="n"/>
      <c r="X620" s="215" t="n"/>
      <c r="Y620" s="215" t="n"/>
      <c r="Z620" s="215" t="n"/>
      <c r="AA620" s="215" t="n"/>
      <c r="AB620" s="215" t="n"/>
      <c r="AC620" s="215" t="n"/>
      <c r="AD620" s="215" t="n"/>
      <c r="AE620" s="215" t="n"/>
      <c r="AF620" s="215" t="n"/>
      <c r="AG620" s="215" t="n"/>
      <c r="AH620" s="215" t="n"/>
      <c r="AI620" s="215" t="n"/>
      <c r="AJ620" s="215" t="n"/>
      <c r="AK620" s="216" t="n"/>
    </row>
    <row r="621" ht="15" customHeight="1">
      <c r="B621" s="134" t="n"/>
      <c r="C621" s="105" t="n"/>
      <c r="D621" s="105" t="n"/>
      <c r="E621" s="105" t="n"/>
      <c r="F621" s="105" t="n"/>
      <c r="G621" s="105" t="n"/>
      <c r="H621" s="2" t="n"/>
      <c r="I621" s="105" t="n"/>
      <c r="K621" s="215" t="n"/>
      <c r="L621" s="215" t="n"/>
      <c r="M621" s="215" t="n"/>
      <c r="N621" s="215" t="n"/>
      <c r="O621" s="215" t="n"/>
      <c r="P621" s="215" t="n"/>
      <c r="Q621" s="215" t="n"/>
      <c r="R621" s="215" t="n"/>
      <c r="S621" s="215" t="n"/>
      <c r="T621" s="215" t="n"/>
      <c r="U621" s="215" t="n"/>
      <c r="V621" s="215" t="n"/>
      <c r="W621" s="215" t="n"/>
      <c r="X621" s="215" t="n"/>
      <c r="Y621" s="215" t="n"/>
      <c r="Z621" s="215" t="n"/>
      <c r="AA621" s="215" t="n"/>
      <c r="AB621" s="215" t="n"/>
      <c r="AC621" s="215" t="n"/>
      <c r="AD621" s="215" t="n"/>
      <c r="AE621" s="215" t="n"/>
      <c r="AF621" s="215" t="n"/>
      <c r="AG621" s="215" t="n"/>
      <c r="AH621" s="215" t="n"/>
      <c r="AI621" s="215" t="n"/>
      <c r="AJ621" s="215" t="n"/>
      <c r="AK621" s="216" t="n"/>
    </row>
    <row r="622" ht="15" customHeight="1">
      <c r="B622" s="134" t="n"/>
      <c r="C622" s="105" t="n"/>
      <c r="D622" s="105" t="n"/>
      <c r="E622" s="105" t="n"/>
      <c r="F622" s="105" t="n"/>
      <c r="G622" s="105" t="n"/>
      <c r="H622" s="2" t="n"/>
      <c r="I622" s="105" t="n"/>
      <c r="K622" s="215" t="n"/>
      <c r="L622" s="215" t="n"/>
      <c r="M622" s="215" t="n"/>
      <c r="N622" s="215" t="n"/>
      <c r="O622" s="215" t="n"/>
      <c r="P622" s="215" t="n"/>
      <c r="Q622" s="215" t="n"/>
      <c r="R622" s="215" t="n"/>
      <c r="S622" s="215" t="n"/>
      <c r="T622" s="215" t="n"/>
      <c r="U622" s="215" t="n"/>
      <c r="V622" s="215" t="n"/>
      <c r="W622" s="215" t="n"/>
      <c r="X622" s="215" t="n"/>
      <c r="Y622" s="215" t="n"/>
      <c r="Z622" s="215" t="n"/>
      <c r="AA622" s="215" t="n"/>
      <c r="AB622" s="215" t="n"/>
      <c r="AC622" s="215" t="n"/>
      <c r="AD622" s="215" t="n"/>
      <c r="AE622" s="215" t="n"/>
      <c r="AF622" s="215" t="n"/>
      <c r="AG622" s="215" t="n"/>
      <c r="AH622" s="215" t="n"/>
      <c r="AI622" s="215" t="n"/>
      <c r="AJ622" s="215" t="n"/>
      <c r="AK622" s="216" t="n"/>
    </row>
    <row r="623" ht="15" customHeight="1">
      <c r="B623" s="134" t="n"/>
      <c r="C623" s="105" t="n"/>
      <c r="D623" s="105" t="n"/>
      <c r="E623" s="105" t="n"/>
      <c r="F623" s="105" t="n"/>
      <c r="G623" s="105" t="n"/>
      <c r="H623" s="2" t="n"/>
      <c r="I623" s="105" t="n"/>
      <c r="K623" s="215" t="n"/>
      <c r="L623" s="215" t="n"/>
      <c r="M623" s="215" t="n"/>
      <c r="N623" s="215" t="n"/>
      <c r="O623" s="215" t="n"/>
      <c r="P623" s="215" t="n"/>
      <c r="Q623" s="215" t="n"/>
      <c r="R623" s="215" t="n"/>
      <c r="S623" s="215" t="n"/>
      <c r="T623" s="215" t="n"/>
      <c r="U623" s="215" t="n"/>
      <c r="V623" s="215" t="n"/>
      <c r="W623" s="215" t="n"/>
      <c r="X623" s="215" t="n"/>
      <c r="Y623" s="215" t="n"/>
      <c r="Z623" s="215" t="n"/>
      <c r="AA623" s="215" t="n"/>
      <c r="AB623" s="215" t="n"/>
      <c r="AC623" s="215" t="n"/>
      <c r="AD623" s="215" t="n"/>
      <c r="AE623" s="215" t="n"/>
      <c r="AF623" s="215" t="n"/>
      <c r="AG623" s="215" t="n"/>
      <c r="AH623" s="215" t="n"/>
      <c r="AI623" s="215" t="n"/>
      <c r="AJ623" s="215" t="n"/>
      <c r="AK623" s="216" t="n"/>
    </row>
    <row r="624" ht="15" customHeight="1">
      <c r="B624" s="134" t="n"/>
      <c r="C624" s="105" t="n"/>
      <c r="D624" s="105" t="n"/>
      <c r="E624" s="105" t="n"/>
      <c r="F624" s="105" t="n"/>
      <c r="G624" s="105" t="n"/>
      <c r="H624" s="2" t="n"/>
      <c r="I624" s="105" t="n"/>
      <c r="K624" s="215" t="n"/>
      <c r="L624" s="215" t="n"/>
      <c r="M624" s="215" t="n"/>
      <c r="N624" s="215" t="n"/>
      <c r="O624" s="215" t="n"/>
      <c r="P624" s="215" t="n"/>
      <c r="Q624" s="215" t="n"/>
      <c r="R624" s="215" t="n"/>
      <c r="S624" s="215" t="n"/>
      <c r="T624" s="215" t="n"/>
      <c r="U624" s="215" t="n"/>
      <c r="V624" s="215" t="n"/>
      <c r="W624" s="215" t="n"/>
      <c r="X624" s="215" t="n"/>
      <c r="Y624" s="215" t="n"/>
      <c r="Z624" s="215" t="n"/>
      <c r="AA624" s="215" t="n"/>
      <c r="AB624" s="215" t="n"/>
      <c r="AC624" s="215" t="n"/>
      <c r="AD624" s="215" t="n"/>
      <c r="AE624" s="215" t="n"/>
      <c r="AF624" s="215" t="n"/>
      <c r="AG624" s="215" t="n"/>
      <c r="AH624" s="215" t="n"/>
      <c r="AI624" s="215" t="n"/>
      <c r="AJ624" s="215" t="n"/>
      <c r="AK624" s="216" t="n"/>
    </row>
    <row r="625" ht="15" customHeight="1">
      <c r="B625" s="134" t="n"/>
      <c r="C625" s="105" t="n"/>
      <c r="D625" s="105" t="n"/>
      <c r="E625" s="105" t="n"/>
      <c r="F625" s="105" t="n"/>
      <c r="G625" s="105" t="n"/>
      <c r="H625" s="2" t="n"/>
      <c r="I625" s="105" t="n"/>
      <c r="K625" s="215" t="n"/>
      <c r="L625" s="215" t="n"/>
      <c r="M625" s="215" t="n"/>
      <c r="N625" s="215" t="n"/>
      <c r="O625" s="215" t="n"/>
      <c r="P625" s="215" t="n"/>
      <c r="Q625" s="215" t="n"/>
      <c r="R625" s="215" t="n"/>
      <c r="S625" s="215" t="n"/>
      <c r="T625" s="215" t="n"/>
      <c r="U625" s="215" t="n"/>
      <c r="V625" s="215" t="n"/>
      <c r="W625" s="215" t="n"/>
      <c r="X625" s="215" t="n"/>
      <c r="Y625" s="215" t="n"/>
      <c r="Z625" s="215" t="n"/>
      <c r="AA625" s="215" t="n"/>
      <c r="AB625" s="215" t="n"/>
      <c r="AC625" s="215" t="n"/>
      <c r="AD625" s="215" t="n"/>
      <c r="AE625" s="215" t="n"/>
      <c r="AF625" s="215" t="n"/>
      <c r="AG625" s="215" t="n"/>
      <c r="AH625" s="215" t="n"/>
      <c r="AI625" s="215" t="n"/>
      <c r="AJ625" s="215" t="n"/>
      <c r="AK625" s="216" t="n"/>
    </row>
    <row r="626" ht="15" customHeight="1">
      <c r="B626" s="134" t="n"/>
      <c r="C626" s="105" t="n"/>
      <c r="D626" s="105" t="n"/>
      <c r="E626" s="105" t="n"/>
      <c r="F626" s="105" t="n"/>
      <c r="G626" s="105" t="n"/>
      <c r="H626" s="2" t="n"/>
      <c r="I626" s="105" t="n"/>
      <c r="K626" s="215" t="n"/>
      <c r="L626" s="215" t="n"/>
      <c r="M626" s="215" t="n"/>
      <c r="N626" s="215" t="n"/>
      <c r="O626" s="215" t="n"/>
      <c r="P626" s="215" t="n"/>
      <c r="Q626" s="215" t="n"/>
      <c r="R626" s="215" t="n"/>
      <c r="S626" s="215" t="n"/>
      <c r="T626" s="215" t="n"/>
      <c r="U626" s="215" t="n"/>
      <c r="V626" s="215" t="n"/>
      <c r="W626" s="215" t="n"/>
      <c r="X626" s="215" t="n"/>
      <c r="Y626" s="215" t="n"/>
      <c r="Z626" s="215" t="n"/>
      <c r="AA626" s="215" t="n"/>
      <c r="AB626" s="215" t="n"/>
      <c r="AC626" s="215" t="n"/>
      <c r="AD626" s="215" t="n"/>
      <c r="AE626" s="215" t="n"/>
      <c r="AF626" s="215" t="n"/>
      <c r="AG626" s="215" t="n"/>
      <c r="AH626" s="215" t="n"/>
      <c r="AI626" s="215" t="n"/>
      <c r="AJ626" s="215" t="n"/>
      <c r="AK626" s="216" t="n"/>
    </row>
    <row r="627" ht="15" customHeight="1">
      <c r="B627" s="134" t="n"/>
      <c r="C627" s="105" t="n"/>
      <c r="D627" s="105" t="n"/>
      <c r="E627" s="105" t="n"/>
      <c r="F627" s="105" t="n"/>
      <c r="G627" s="105" t="n"/>
      <c r="H627" s="2" t="n"/>
      <c r="I627" s="105" t="n"/>
      <c r="K627" s="215" t="n"/>
      <c r="L627" s="215" t="n"/>
      <c r="M627" s="215" t="n"/>
      <c r="N627" s="215" t="n"/>
      <c r="O627" s="215" t="n"/>
      <c r="P627" s="215" t="n"/>
      <c r="Q627" s="215" t="n"/>
      <c r="R627" s="215" t="n"/>
      <c r="S627" s="215" t="n"/>
      <c r="T627" s="215" t="n"/>
      <c r="U627" s="215" t="n"/>
      <c r="V627" s="215" t="n"/>
      <c r="W627" s="215" t="n"/>
      <c r="X627" s="215" t="n"/>
      <c r="Y627" s="215" t="n"/>
      <c r="Z627" s="215" t="n"/>
      <c r="AA627" s="215" t="n"/>
      <c r="AB627" s="215" t="n"/>
      <c r="AC627" s="215" t="n"/>
      <c r="AD627" s="215" t="n"/>
      <c r="AE627" s="215" t="n"/>
      <c r="AF627" s="215" t="n"/>
      <c r="AG627" s="215" t="n"/>
      <c r="AH627" s="215" t="n"/>
      <c r="AI627" s="215" t="n"/>
      <c r="AJ627" s="215" t="n"/>
      <c r="AK627" s="216" t="n"/>
    </row>
    <row r="628" ht="15" customHeight="1">
      <c r="B628" s="134" t="n"/>
      <c r="C628" s="105" t="n"/>
      <c r="D628" s="105" t="n"/>
      <c r="E628" s="105" t="n"/>
      <c r="F628" s="105" t="n"/>
      <c r="G628" s="105" t="n"/>
      <c r="H628" s="2" t="n"/>
      <c r="I628" s="105" t="n"/>
      <c r="K628" s="215" t="n"/>
      <c r="L628" s="215" t="n"/>
      <c r="M628" s="215" t="n"/>
      <c r="N628" s="215" t="n"/>
      <c r="O628" s="215" t="n"/>
      <c r="P628" s="215" t="n"/>
      <c r="Q628" s="215" t="n"/>
      <c r="R628" s="215" t="n"/>
      <c r="S628" s="215" t="n"/>
      <c r="T628" s="215" t="n"/>
      <c r="U628" s="215" t="n"/>
      <c r="V628" s="215" t="n"/>
      <c r="W628" s="215" t="n"/>
      <c r="X628" s="215" t="n"/>
      <c r="Y628" s="215" t="n"/>
      <c r="Z628" s="215" t="n"/>
      <c r="AA628" s="215" t="n"/>
      <c r="AB628" s="215" t="n"/>
      <c r="AC628" s="215" t="n"/>
      <c r="AD628" s="215" t="n"/>
      <c r="AE628" s="215" t="n"/>
      <c r="AF628" s="215" t="n"/>
      <c r="AG628" s="215" t="n"/>
      <c r="AH628" s="215" t="n"/>
      <c r="AI628" s="215" t="n"/>
      <c r="AJ628" s="215" t="n"/>
      <c r="AK628" s="216" t="n"/>
    </row>
    <row r="629" ht="15" customHeight="1">
      <c r="B629" s="134" t="n"/>
      <c r="C629" s="105" t="n"/>
      <c r="D629" s="105" t="n"/>
      <c r="E629" s="105" t="n"/>
      <c r="F629" s="105" t="n"/>
      <c r="G629" s="105" t="n"/>
      <c r="H629" s="2" t="n"/>
      <c r="I629" s="105" t="n"/>
      <c r="K629" s="215" t="n"/>
      <c r="L629" s="215" t="n"/>
      <c r="M629" s="215" t="n"/>
      <c r="N629" s="215" t="n"/>
      <c r="O629" s="215" t="n"/>
      <c r="P629" s="215" t="n"/>
      <c r="Q629" s="215" t="n"/>
      <c r="R629" s="215" t="n"/>
      <c r="S629" s="215" t="n"/>
      <c r="T629" s="215" t="n"/>
      <c r="U629" s="215" t="n"/>
      <c r="V629" s="215" t="n"/>
      <c r="W629" s="215" t="n"/>
      <c r="X629" s="215" t="n"/>
      <c r="Y629" s="215" t="n"/>
      <c r="Z629" s="215" t="n"/>
      <c r="AA629" s="215" t="n"/>
      <c r="AB629" s="215" t="n"/>
      <c r="AC629" s="215" t="n"/>
      <c r="AD629" s="215" t="n"/>
      <c r="AE629" s="215" t="n"/>
      <c r="AF629" s="215" t="n"/>
      <c r="AG629" s="215" t="n"/>
      <c r="AH629" s="215" t="n"/>
      <c r="AI629" s="215" t="n"/>
      <c r="AJ629" s="215" t="n"/>
      <c r="AK629" s="216" t="n"/>
    </row>
    <row r="630" ht="15" customHeight="1">
      <c r="B630" s="134" t="n"/>
      <c r="C630" s="105" t="n"/>
      <c r="D630" s="105" t="n"/>
      <c r="E630" s="105" t="n"/>
      <c r="F630" s="105" t="n"/>
      <c r="G630" s="105" t="n"/>
      <c r="H630" s="2" t="n"/>
      <c r="I630" s="105" t="n"/>
      <c r="K630" s="215" t="n"/>
      <c r="L630" s="215" t="n"/>
      <c r="M630" s="215" t="n"/>
      <c r="N630" s="215" t="n"/>
      <c r="O630" s="215" t="n"/>
      <c r="P630" s="215" t="n"/>
      <c r="Q630" s="215" t="n"/>
      <c r="R630" s="215" t="n"/>
      <c r="S630" s="215" t="n"/>
      <c r="T630" s="215" t="n"/>
      <c r="U630" s="215" t="n"/>
      <c r="V630" s="215" t="n"/>
      <c r="W630" s="215" t="n"/>
      <c r="X630" s="215" t="n"/>
      <c r="Y630" s="215" t="n"/>
      <c r="Z630" s="215" t="n"/>
      <c r="AA630" s="215" t="n"/>
      <c r="AB630" s="215" t="n"/>
      <c r="AC630" s="215" t="n"/>
      <c r="AD630" s="215" t="n"/>
      <c r="AE630" s="215" t="n"/>
      <c r="AF630" s="215" t="n"/>
      <c r="AG630" s="215" t="n"/>
      <c r="AH630" s="215" t="n"/>
      <c r="AI630" s="215" t="n"/>
      <c r="AJ630" s="215" t="n"/>
      <c r="AK630" s="216" t="n"/>
    </row>
    <row r="631" ht="15" customHeight="1">
      <c r="B631" s="134" t="n"/>
      <c r="C631" s="105" t="n"/>
      <c r="D631" s="105" t="n"/>
      <c r="E631" s="105" t="n"/>
      <c r="F631" s="105" t="n"/>
      <c r="G631" s="105" t="n"/>
      <c r="H631" s="2" t="n"/>
      <c r="I631" s="105" t="n"/>
      <c r="K631" s="215" t="n"/>
      <c r="L631" s="215" t="n"/>
      <c r="M631" s="215" t="n"/>
      <c r="N631" s="215" t="n"/>
      <c r="O631" s="215" t="n"/>
      <c r="P631" s="215" t="n"/>
      <c r="Q631" s="215" t="n"/>
      <c r="R631" s="215" t="n"/>
      <c r="S631" s="215" t="n"/>
      <c r="T631" s="215" t="n"/>
      <c r="U631" s="215" t="n"/>
      <c r="V631" s="215" t="n"/>
      <c r="W631" s="215" t="n"/>
      <c r="X631" s="215" t="n"/>
      <c r="Y631" s="215" t="n"/>
      <c r="Z631" s="215" t="n"/>
      <c r="AA631" s="215" t="n"/>
      <c r="AB631" s="215" t="n"/>
      <c r="AC631" s="215" t="n"/>
      <c r="AD631" s="215" t="n"/>
      <c r="AE631" s="215" t="n"/>
      <c r="AF631" s="215" t="n"/>
      <c r="AG631" s="215" t="n"/>
      <c r="AH631" s="215" t="n"/>
      <c r="AI631" s="215" t="n"/>
      <c r="AJ631" s="215" t="n"/>
      <c r="AK631" s="216" t="n"/>
    </row>
    <row r="632" ht="15" customHeight="1">
      <c r="B632" s="134" t="n"/>
      <c r="C632" s="105" t="n"/>
      <c r="D632" s="105" t="n"/>
      <c r="E632" s="105" t="n"/>
      <c r="F632" s="105" t="n"/>
      <c r="G632" s="105" t="n"/>
      <c r="H632" s="2" t="n"/>
      <c r="I632" s="105" t="n"/>
      <c r="K632" s="215" t="n"/>
      <c r="L632" s="215" t="n"/>
      <c r="M632" s="215" t="n"/>
      <c r="N632" s="215" t="n"/>
      <c r="O632" s="215" t="n"/>
      <c r="P632" s="215" t="n"/>
      <c r="Q632" s="215" t="n"/>
      <c r="R632" s="215" t="n"/>
      <c r="S632" s="215" t="n"/>
      <c r="T632" s="215" t="n"/>
      <c r="U632" s="215" t="n"/>
      <c r="V632" s="215" t="n"/>
      <c r="W632" s="215" t="n"/>
      <c r="X632" s="215" t="n"/>
      <c r="Y632" s="215" t="n"/>
      <c r="Z632" s="215" t="n"/>
      <c r="AA632" s="215" t="n"/>
      <c r="AB632" s="215" t="n"/>
      <c r="AC632" s="215" t="n"/>
      <c r="AD632" s="215" t="n"/>
      <c r="AE632" s="215" t="n"/>
      <c r="AF632" s="215" t="n"/>
      <c r="AG632" s="215" t="n"/>
      <c r="AH632" s="215" t="n"/>
      <c r="AI632" s="215" t="n"/>
      <c r="AJ632" s="215" t="n"/>
      <c r="AK632" s="216" t="n"/>
    </row>
    <row r="633" ht="15" customHeight="1">
      <c r="B633" s="134" t="n"/>
      <c r="C633" s="105" t="n"/>
      <c r="D633" s="105" t="n"/>
      <c r="E633" s="105" t="n"/>
      <c r="F633" s="105" t="n"/>
      <c r="G633" s="105" t="n"/>
      <c r="H633" s="2" t="n"/>
      <c r="I633" s="105" t="n"/>
      <c r="K633" s="215" t="n"/>
      <c r="L633" s="215" t="n"/>
      <c r="M633" s="215" t="n"/>
      <c r="N633" s="215" t="n"/>
      <c r="O633" s="215" t="n"/>
      <c r="P633" s="215" t="n"/>
      <c r="Q633" s="215" t="n"/>
      <c r="R633" s="215" t="n"/>
      <c r="S633" s="215" t="n"/>
      <c r="T633" s="215" t="n"/>
      <c r="U633" s="215" t="n"/>
      <c r="V633" s="215" t="n"/>
      <c r="W633" s="215" t="n"/>
      <c r="X633" s="215" t="n"/>
      <c r="Y633" s="215" t="n"/>
      <c r="Z633" s="215" t="n"/>
      <c r="AA633" s="215" t="n"/>
      <c r="AB633" s="215" t="n"/>
      <c r="AC633" s="215" t="n"/>
      <c r="AD633" s="215" t="n"/>
      <c r="AE633" s="215" t="n"/>
      <c r="AF633" s="215" t="n"/>
      <c r="AG633" s="215" t="n"/>
      <c r="AH633" s="215" t="n"/>
      <c r="AI633" s="215" t="n"/>
      <c r="AJ633" s="215" t="n"/>
      <c r="AK633" s="216" t="n"/>
    </row>
    <row r="634" ht="15" customHeight="1">
      <c r="B634" s="134" t="n"/>
      <c r="C634" s="105" t="n"/>
      <c r="D634" s="105" t="n"/>
      <c r="E634" s="105" t="n"/>
      <c r="F634" s="105" t="n"/>
      <c r="G634" s="105" t="n"/>
      <c r="H634" s="2" t="n"/>
      <c r="I634" s="105" t="n"/>
      <c r="K634" s="215" t="n"/>
      <c r="L634" s="215" t="n"/>
      <c r="M634" s="215" t="n"/>
      <c r="N634" s="215" t="n"/>
      <c r="O634" s="215" t="n"/>
      <c r="P634" s="215" t="n"/>
      <c r="Q634" s="215" t="n"/>
      <c r="R634" s="215" t="n"/>
      <c r="S634" s="215" t="n"/>
      <c r="T634" s="215" t="n"/>
      <c r="U634" s="215" t="n"/>
      <c r="V634" s="215" t="n"/>
      <c r="W634" s="215" t="n"/>
      <c r="X634" s="215" t="n"/>
      <c r="Y634" s="215" t="n"/>
      <c r="Z634" s="215" t="n"/>
      <c r="AA634" s="215" t="n"/>
      <c r="AB634" s="215" t="n"/>
      <c r="AC634" s="215" t="n"/>
      <c r="AD634" s="215" t="n"/>
      <c r="AE634" s="215" t="n"/>
      <c r="AF634" s="215" t="n"/>
      <c r="AG634" s="215" t="n"/>
      <c r="AH634" s="215" t="n"/>
      <c r="AI634" s="215" t="n"/>
      <c r="AJ634" s="215" t="n"/>
      <c r="AK634" s="216" t="n"/>
    </row>
    <row r="635" ht="15" customHeight="1">
      <c r="B635" s="134" t="n"/>
      <c r="C635" s="105" t="n"/>
      <c r="D635" s="105" t="n"/>
      <c r="E635" s="105" t="n"/>
      <c r="F635" s="105" t="n"/>
      <c r="G635" s="105" t="n"/>
      <c r="H635" s="2" t="n"/>
      <c r="I635" s="105" t="n"/>
      <c r="K635" s="215" t="n"/>
      <c r="L635" s="215" t="n"/>
      <c r="M635" s="215" t="n"/>
      <c r="N635" s="215" t="n"/>
      <c r="O635" s="215" t="n"/>
      <c r="P635" s="215" t="n"/>
      <c r="Q635" s="215" t="n"/>
      <c r="R635" s="215" t="n"/>
      <c r="S635" s="215" t="n"/>
      <c r="T635" s="215" t="n"/>
      <c r="U635" s="215" t="n"/>
      <c r="V635" s="215" t="n"/>
      <c r="W635" s="215" t="n"/>
      <c r="X635" s="215" t="n"/>
      <c r="Y635" s="215" t="n"/>
      <c r="Z635" s="215" t="n"/>
      <c r="AA635" s="215" t="n"/>
      <c r="AB635" s="215" t="n"/>
      <c r="AC635" s="215" t="n"/>
      <c r="AD635" s="215" t="n"/>
      <c r="AE635" s="215" t="n"/>
      <c r="AF635" s="215" t="n"/>
      <c r="AG635" s="215" t="n"/>
      <c r="AH635" s="215" t="n"/>
      <c r="AI635" s="215" t="n"/>
      <c r="AJ635" s="215" t="n"/>
      <c r="AK635" s="216" t="n"/>
    </row>
    <row r="636" ht="15" customHeight="1">
      <c r="B636" s="134" t="n"/>
      <c r="C636" s="105" t="n"/>
      <c r="D636" s="105" t="n"/>
      <c r="E636" s="105" t="n"/>
      <c r="F636" s="105" t="n"/>
      <c r="G636" s="105" t="n"/>
      <c r="H636" s="2" t="n"/>
      <c r="I636" s="105" t="n"/>
      <c r="K636" s="215" t="n"/>
      <c r="L636" s="215" t="n"/>
      <c r="M636" s="215" t="n"/>
      <c r="N636" s="215" t="n"/>
      <c r="O636" s="215" t="n"/>
      <c r="P636" s="215" t="n"/>
      <c r="Q636" s="215" t="n"/>
      <c r="R636" s="215" t="n"/>
      <c r="S636" s="215" t="n"/>
      <c r="T636" s="215" t="n"/>
      <c r="U636" s="215" t="n"/>
      <c r="V636" s="215" t="n"/>
      <c r="W636" s="215" t="n"/>
      <c r="X636" s="215" t="n"/>
      <c r="Y636" s="215" t="n"/>
      <c r="Z636" s="215" t="n"/>
      <c r="AA636" s="215" t="n"/>
      <c r="AB636" s="215" t="n"/>
      <c r="AC636" s="215" t="n"/>
      <c r="AD636" s="215" t="n"/>
      <c r="AE636" s="215" t="n"/>
      <c r="AF636" s="215" t="n"/>
      <c r="AG636" s="215" t="n"/>
      <c r="AH636" s="215" t="n"/>
      <c r="AI636" s="215" t="n"/>
      <c r="AJ636" s="215" t="n"/>
      <c r="AK636" s="216" t="n"/>
    </row>
    <row r="637" ht="15" customHeight="1">
      <c r="B637" s="134" t="n"/>
      <c r="C637" s="105" t="n"/>
      <c r="D637" s="105" t="n"/>
      <c r="E637" s="105" t="n"/>
      <c r="F637" s="105" t="n"/>
      <c r="G637" s="105" t="n"/>
      <c r="H637" s="2" t="n"/>
      <c r="I637" s="105" t="n"/>
      <c r="K637" s="215" t="n"/>
      <c r="L637" s="215" t="n"/>
      <c r="M637" s="215" t="n"/>
      <c r="N637" s="215" t="n"/>
      <c r="O637" s="215" t="n"/>
      <c r="P637" s="215" t="n"/>
      <c r="Q637" s="215" t="n"/>
      <c r="R637" s="215" t="n"/>
      <c r="S637" s="215" t="n"/>
      <c r="T637" s="215" t="n"/>
      <c r="U637" s="215" t="n"/>
      <c r="V637" s="215" t="n"/>
      <c r="W637" s="215" t="n"/>
      <c r="X637" s="215" t="n"/>
      <c r="Y637" s="215" t="n"/>
      <c r="Z637" s="215" t="n"/>
      <c r="AA637" s="215" t="n"/>
      <c r="AB637" s="215" t="n"/>
      <c r="AC637" s="215" t="n"/>
      <c r="AD637" s="215" t="n"/>
      <c r="AE637" s="215" t="n"/>
      <c r="AF637" s="215" t="n"/>
      <c r="AG637" s="215" t="n"/>
      <c r="AH637" s="215" t="n"/>
      <c r="AI637" s="215" t="n"/>
      <c r="AJ637" s="215" t="n"/>
      <c r="AK637" s="216" t="n"/>
    </row>
    <row r="638" ht="15" customHeight="1">
      <c r="B638" s="134" t="n"/>
      <c r="C638" s="105" t="n"/>
      <c r="D638" s="105" t="n"/>
      <c r="E638" s="105" t="n"/>
      <c r="F638" s="105" t="n"/>
      <c r="G638" s="105" t="n"/>
      <c r="H638" s="2" t="n"/>
      <c r="I638" s="105" t="n"/>
      <c r="K638" s="215" t="n"/>
      <c r="L638" s="215" t="n"/>
      <c r="M638" s="215" t="n"/>
      <c r="N638" s="215" t="n"/>
      <c r="O638" s="215" t="n"/>
      <c r="P638" s="215" t="n"/>
      <c r="Q638" s="215" t="n"/>
      <c r="R638" s="215" t="n"/>
      <c r="S638" s="215" t="n"/>
      <c r="T638" s="215" t="n"/>
      <c r="U638" s="215" t="n"/>
      <c r="V638" s="215" t="n"/>
      <c r="W638" s="215" t="n"/>
      <c r="X638" s="215" t="n"/>
      <c r="Y638" s="215" t="n"/>
      <c r="Z638" s="215" t="n"/>
      <c r="AA638" s="215" t="n"/>
      <c r="AB638" s="215" t="n"/>
      <c r="AC638" s="215" t="n"/>
      <c r="AD638" s="215" t="n"/>
      <c r="AE638" s="215" t="n"/>
      <c r="AF638" s="215" t="n"/>
      <c r="AG638" s="215" t="n"/>
      <c r="AH638" s="215" t="n"/>
      <c r="AI638" s="215" t="n"/>
      <c r="AJ638" s="215" t="n"/>
      <c r="AK638" s="216" t="n"/>
    </row>
    <row r="639" ht="15" customHeight="1">
      <c r="B639" s="134" t="n"/>
      <c r="C639" s="105" t="n"/>
      <c r="D639" s="105" t="n"/>
      <c r="E639" s="105" t="n"/>
      <c r="F639" s="105" t="n"/>
      <c r="G639" s="105" t="n"/>
      <c r="H639" s="2" t="n"/>
      <c r="I639" s="105" t="n"/>
      <c r="K639" s="215" t="n"/>
      <c r="L639" s="215" t="n"/>
      <c r="M639" s="215" t="n"/>
      <c r="N639" s="215" t="n"/>
      <c r="O639" s="215" t="n"/>
      <c r="P639" s="215" t="n"/>
      <c r="Q639" s="215" t="n"/>
      <c r="R639" s="215" t="n"/>
      <c r="S639" s="215" t="n"/>
      <c r="T639" s="215" t="n"/>
      <c r="U639" s="215" t="n"/>
      <c r="V639" s="215" t="n"/>
      <c r="W639" s="215" t="n"/>
      <c r="X639" s="215" t="n"/>
      <c r="Y639" s="215" t="n"/>
      <c r="Z639" s="215" t="n"/>
      <c r="AA639" s="215" t="n"/>
      <c r="AB639" s="215" t="n"/>
      <c r="AC639" s="215" t="n"/>
      <c r="AD639" s="215" t="n"/>
      <c r="AE639" s="215" t="n"/>
      <c r="AF639" s="215" t="n"/>
      <c r="AG639" s="215" t="n"/>
      <c r="AH639" s="215" t="n"/>
      <c r="AI639" s="215" t="n"/>
      <c r="AJ639" s="215" t="n"/>
      <c r="AK639" s="216" t="n"/>
    </row>
    <row r="640" ht="15" customHeight="1">
      <c r="B640" s="134" t="n"/>
      <c r="C640" s="105" t="n"/>
      <c r="D640" s="105" t="n"/>
      <c r="E640" s="105" t="n"/>
      <c r="F640" s="105" t="n"/>
      <c r="G640" s="105" t="n"/>
      <c r="H640" s="2" t="n"/>
      <c r="I640" s="105" t="n"/>
      <c r="K640" s="215" t="n"/>
      <c r="L640" s="215" t="n"/>
      <c r="M640" s="215" t="n"/>
      <c r="N640" s="215" t="n"/>
      <c r="O640" s="215" t="n"/>
      <c r="P640" s="215" t="n"/>
      <c r="Q640" s="215" t="n"/>
      <c r="R640" s="215" t="n"/>
      <c r="S640" s="215" t="n"/>
      <c r="T640" s="215" t="n"/>
      <c r="U640" s="215" t="n"/>
      <c r="V640" s="215" t="n"/>
      <c r="W640" s="215" t="n"/>
      <c r="X640" s="215" t="n"/>
      <c r="Y640" s="215" t="n"/>
      <c r="Z640" s="215" t="n"/>
      <c r="AA640" s="215" t="n"/>
      <c r="AB640" s="215" t="n"/>
      <c r="AC640" s="215" t="n"/>
      <c r="AD640" s="215" t="n"/>
      <c r="AE640" s="215" t="n"/>
      <c r="AF640" s="215" t="n"/>
      <c r="AG640" s="215" t="n"/>
      <c r="AH640" s="215" t="n"/>
      <c r="AI640" s="215" t="n"/>
      <c r="AJ640" s="215" t="n"/>
      <c r="AK640" s="216" t="n"/>
    </row>
    <row r="641" ht="15" customHeight="1">
      <c r="B641" s="134" t="n"/>
      <c r="C641" s="105" t="n"/>
      <c r="D641" s="105" t="n"/>
      <c r="E641" s="105" t="n"/>
      <c r="F641" s="105" t="n"/>
      <c r="G641" s="105" t="n"/>
      <c r="H641" s="2" t="n"/>
      <c r="I641" s="105" t="n"/>
      <c r="K641" s="215" t="n"/>
      <c r="L641" s="215" t="n"/>
      <c r="M641" s="215" t="n"/>
      <c r="N641" s="215" t="n"/>
      <c r="O641" s="215" t="n"/>
      <c r="P641" s="215" t="n"/>
      <c r="Q641" s="215" t="n"/>
      <c r="R641" s="215" t="n"/>
      <c r="S641" s="215" t="n"/>
      <c r="T641" s="215" t="n"/>
      <c r="U641" s="215" t="n"/>
      <c r="V641" s="215" t="n"/>
      <c r="W641" s="215" t="n"/>
      <c r="X641" s="215" t="n"/>
      <c r="Y641" s="215" t="n"/>
      <c r="Z641" s="215" t="n"/>
      <c r="AA641" s="215" t="n"/>
      <c r="AB641" s="215" t="n"/>
      <c r="AC641" s="215" t="n"/>
      <c r="AD641" s="215" t="n"/>
      <c r="AE641" s="215" t="n"/>
      <c r="AF641" s="215" t="n"/>
      <c r="AG641" s="215" t="n"/>
      <c r="AH641" s="215" t="n"/>
      <c r="AI641" s="215" t="n"/>
      <c r="AJ641" s="215" t="n"/>
      <c r="AK641" s="216" t="n"/>
    </row>
    <row r="642" ht="15" customHeight="1">
      <c r="B642" s="134" t="n"/>
      <c r="C642" s="105" t="n"/>
      <c r="D642" s="105" t="n"/>
      <c r="E642" s="105" t="n"/>
      <c r="F642" s="105" t="n"/>
      <c r="G642" s="105" t="n"/>
      <c r="H642" s="2" t="n"/>
      <c r="I642" s="105" t="n"/>
      <c r="K642" s="215" t="n"/>
      <c r="L642" s="215" t="n"/>
      <c r="M642" s="215" t="n"/>
      <c r="N642" s="215" t="n"/>
      <c r="O642" s="215" t="n"/>
      <c r="P642" s="215" t="n"/>
      <c r="Q642" s="215" t="n"/>
      <c r="R642" s="215" t="n"/>
      <c r="S642" s="215" t="n"/>
      <c r="T642" s="215" t="n"/>
      <c r="U642" s="215" t="n"/>
      <c r="V642" s="215" t="n"/>
      <c r="W642" s="215" t="n"/>
      <c r="X642" s="215" t="n"/>
      <c r="Y642" s="215" t="n"/>
      <c r="Z642" s="215" t="n"/>
      <c r="AA642" s="215" t="n"/>
      <c r="AB642" s="215" t="n"/>
      <c r="AC642" s="215" t="n"/>
      <c r="AD642" s="215" t="n"/>
      <c r="AE642" s="215" t="n"/>
      <c r="AF642" s="215" t="n"/>
      <c r="AG642" s="215" t="n"/>
      <c r="AH642" s="215" t="n"/>
      <c r="AI642" s="215" t="n"/>
      <c r="AJ642" s="215" t="n"/>
      <c r="AK642" s="216" t="n"/>
    </row>
    <row r="643" ht="15" customHeight="1">
      <c r="B643" s="134" t="n"/>
      <c r="C643" s="105" t="n"/>
      <c r="D643" s="105" t="n"/>
      <c r="E643" s="105" t="n"/>
      <c r="F643" s="105" t="n"/>
      <c r="G643" s="105" t="n"/>
      <c r="H643" s="2" t="n"/>
      <c r="I643" s="105" t="n"/>
      <c r="K643" s="215" t="n"/>
      <c r="L643" s="215" t="n"/>
      <c r="M643" s="215" t="n"/>
      <c r="N643" s="215" t="n"/>
      <c r="O643" s="215" t="n"/>
      <c r="P643" s="215" t="n"/>
      <c r="Q643" s="215" t="n"/>
      <c r="R643" s="215" t="n"/>
      <c r="S643" s="215" t="n"/>
      <c r="T643" s="215" t="n"/>
      <c r="U643" s="215" t="n"/>
      <c r="V643" s="215" t="n"/>
      <c r="W643" s="215" t="n"/>
      <c r="X643" s="215" t="n"/>
      <c r="Y643" s="215" t="n"/>
      <c r="Z643" s="215" t="n"/>
      <c r="AA643" s="215" t="n"/>
      <c r="AB643" s="215" t="n"/>
      <c r="AC643" s="215" t="n"/>
      <c r="AD643" s="215" t="n"/>
      <c r="AE643" s="215" t="n"/>
      <c r="AF643" s="215" t="n"/>
      <c r="AG643" s="215" t="n"/>
      <c r="AH643" s="215" t="n"/>
      <c r="AI643" s="215" t="n"/>
      <c r="AJ643" s="215" t="n"/>
      <c r="AK643" s="216" t="n"/>
    </row>
    <row r="644" ht="15" customHeight="1">
      <c r="B644" s="134" t="n"/>
      <c r="C644" s="105" t="n"/>
      <c r="D644" s="105" t="n"/>
      <c r="E644" s="105" t="n"/>
      <c r="F644" s="105" t="n"/>
      <c r="G644" s="105" t="n"/>
      <c r="H644" s="2" t="n"/>
      <c r="I644" s="105" t="n"/>
      <c r="K644" s="215" t="n"/>
      <c r="L644" s="215" t="n"/>
      <c r="M644" s="215" t="n"/>
      <c r="N644" s="215" t="n"/>
      <c r="O644" s="215" t="n"/>
      <c r="P644" s="215" t="n"/>
      <c r="Q644" s="215" t="n"/>
      <c r="R644" s="215" t="n"/>
      <c r="S644" s="215" t="n"/>
      <c r="T644" s="215" t="n"/>
      <c r="U644" s="215" t="n"/>
      <c r="V644" s="215" t="n"/>
      <c r="W644" s="215" t="n"/>
      <c r="X644" s="215" t="n"/>
      <c r="Y644" s="215" t="n"/>
      <c r="Z644" s="215" t="n"/>
      <c r="AA644" s="215" t="n"/>
      <c r="AB644" s="215" t="n"/>
      <c r="AC644" s="215" t="n"/>
      <c r="AD644" s="215" t="n"/>
      <c r="AE644" s="215" t="n"/>
      <c r="AF644" s="215" t="n"/>
      <c r="AG644" s="215" t="n"/>
      <c r="AH644" s="215" t="n"/>
      <c r="AI644" s="215" t="n"/>
      <c r="AJ644" s="215" t="n"/>
      <c r="AK644" s="216" t="n"/>
    </row>
    <row r="645" ht="15" customHeight="1">
      <c r="B645" s="134" t="n"/>
      <c r="C645" s="105" t="n"/>
      <c r="D645" s="105" t="n"/>
      <c r="E645" s="105" t="n"/>
      <c r="F645" s="105" t="n"/>
      <c r="G645" s="105" t="n"/>
      <c r="H645" s="2" t="n"/>
      <c r="I645" s="105" t="n"/>
      <c r="K645" s="215" t="n"/>
      <c r="L645" s="215" t="n"/>
      <c r="M645" s="215" t="n"/>
      <c r="N645" s="215" t="n"/>
      <c r="O645" s="215" t="n"/>
      <c r="P645" s="215" t="n"/>
      <c r="Q645" s="215" t="n"/>
      <c r="R645" s="215" t="n"/>
      <c r="S645" s="215" t="n"/>
      <c r="T645" s="215" t="n"/>
      <c r="U645" s="215" t="n"/>
      <c r="V645" s="215" t="n"/>
      <c r="W645" s="215" t="n"/>
      <c r="X645" s="215" t="n"/>
      <c r="Y645" s="215" t="n"/>
      <c r="Z645" s="215" t="n"/>
      <c r="AA645" s="215" t="n"/>
      <c r="AB645" s="215" t="n"/>
      <c r="AC645" s="215" t="n"/>
      <c r="AD645" s="215" t="n"/>
      <c r="AE645" s="215" t="n"/>
      <c r="AF645" s="215" t="n"/>
      <c r="AG645" s="215" t="n"/>
      <c r="AH645" s="215" t="n"/>
      <c r="AI645" s="215" t="n"/>
      <c r="AJ645" s="215" t="n"/>
      <c r="AK645" s="216" t="n"/>
    </row>
    <row r="646" ht="15" customHeight="1">
      <c r="B646" s="134" t="n"/>
      <c r="C646" s="105" t="n"/>
      <c r="D646" s="105" t="n"/>
      <c r="E646" s="105" t="n"/>
      <c r="F646" s="105" t="n"/>
      <c r="G646" s="105" t="n"/>
      <c r="H646" s="2" t="n"/>
      <c r="I646" s="105" t="n"/>
      <c r="K646" s="215" t="n"/>
      <c r="L646" s="215" t="n"/>
      <c r="M646" s="215" t="n"/>
      <c r="N646" s="215" t="n"/>
      <c r="O646" s="215" t="n"/>
      <c r="P646" s="215" t="n"/>
      <c r="Q646" s="215" t="n"/>
      <c r="R646" s="215" t="n"/>
      <c r="S646" s="215" t="n"/>
      <c r="T646" s="215" t="n"/>
      <c r="U646" s="215" t="n"/>
      <c r="V646" s="215" t="n"/>
      <c r="W646" s="215" t="n"/>
      <c r="X646" s="215" t="n"/>
      <c r="Y646" s="215" t="n"/>
      <c r="Z646" s="215" t="n"/>
      <c r="AA646" s="215" t="n"/>
      <c r="AB646" s="215" t="n"/>
      <c r="AC646" s="215" t="n"/>
      <c r="AD646" s="215" t="n"/>
      <c r="AE646" s="215" t="n"/>
      <c r="AF646" s="215" t="n"/>
      <c r="AG646" s="215" t="n"/>
      <c r="AH646" s="215" t="n"/>
      <c r="AI646" s="215" t="n"/>
      <c r="AJ646" s="215" t="n"/>
      <c r="AK646" s="216" t="n"/>
    </row>
    <row r="647" ht="15" customHeight="1">
      <c r="B647" s="134" t="n"/>
      <c r="C647" s="105" t="n"/>
      <c r="D647" s="105" t="n"/>
      <c r="E647" s="105" t="n"/>
      <c r="F647" s="105" t="n"/>
      <c r="G647" s="105" t="n"/>
      <c r="H647" s="2" t="n"/>
      <c r="I647" s="105" t="n"/>
      <c r="K647" s="215" t="n"/>
      <c r="L647" s="215" t="n"/>
      <c r="M647" s="215" t="n"/>
      <c r="N647" s="215" t="n"/>
      <c r="O647" s="215" t="n"/>
      <c r="P647" s="215" t="n"/>
      <c r="Q647" s="215" t="n"/>
      <c r="R647" s="215" t="n"/>
      <c r="S647" s="215" t="n"/>
      <c r="T647" s="215" t="n"/>
      <c r="U647" s="215" t="n"/>
      <c r="V647" s="215" t="n"/>
      <c r="W647" s="215" t="n"/>
      <c r="X647" s="215" t="n"/>
      <c r="Y647" s="215" t="n"/>
      <c r="Z647" s="215" t="n"/>
      <c r="AA647" s="215" t="n"/>
      <c r="AB647" s="215" t="n"/>
      <c r="AC647" s="215" t="n"/>
      <c r="AD647" s="215" t="n"/>
      <c r="AE647" s="215" t="n"/>
      <c r="AF647" s="215" t="n"/>
      <c r="AG647" s="215" t="n"/>
      <c r="AH647" s="215" t="n"/>
      <c r="AI647" s="215" t="n"/>
      <c r="AJ647" s="215" t="n"/>
      <c r="AK647" s="216" t="n"/>
    </row>
    <row r="648" ht="15" customHeight="1">
      <c r="B648" s="134" t="n"/>
      <c r="C648" s="105" t="n"/>
      <c r="D648" s="105" t="n"/>
      <c r="E648" s="105" t="n"/>
      <c r="F648" s="105" t="n"/>
      <c r="G648" s="105" t="n"/>
      <c r="H648" s="2" t="n"/>
      <c r="I648" s="105" t="n"/>
      <c r="K648" s="215" t="n"/>
      <c r="L648" s="215" t="n"/>
      <c r="M648" s="215" t="n"/>
      <c r="N648" s="215" t="n"/>
      <c r="O648" s="215" t="n"/>
      <c r="P648" s="215" t="n"/>
      <c r="Q648" s="215" t="n"/>
      <c r="R648" s="215" t="n"/>
      <c r="S648" s="215" t="n"/>
      <c r="T648" s="215" t="n"/>
      <c r="U648" s="215" t="n"/>
      <c r="V648" s="215" t="n"/>
      <c r="W648" s="215" t="n"/>
      <c r="X648" s="215" t="n"/>
      <c r="Y648" s="215" t="n"/>
      <c r="Z648" s="215" t="n"/>
      <c r="AA648" s="215" t="n"/>
      <c r="AB648" s="215" t="n"/>
      <c r="AC648" s="215" t="n"/>
      <c r="AD648" s="215" t="n"/>
      <c r="AE648" s="215" t="n"/>
      <c r="AF648" s="215" t="n"/>
      <c r="AG648" s="215" t="n"/>
      <c r="AH648" s="215" t="n"/>
      <c r="AI648" s="215" t="n"/>
      <c r="AJ648" s="215" t="n"/>
      <c r="AK648" s="216" t="n"/>
    </row>
    <row r="649" ht="15" customHeight="1">
      <c r="B649" s="134" t="n"/>
      <c r="C649" s="105" t="n"/>
      <c r="D649" s="105" t="n"/>
      <c r="E649" s="105" t="n"/>
      <c r="F649" s="105" t="n"/>
      <c r="G649" s="105" t="n"/>
      <c r="H649" s="2" t="n"/>
      <c r="I649" s="105" t="n"/>
      <c r="K649" s="215" t="n"/>
      <c r="L649" s="215" t="n"/>
      <c r="M649" s="215" t="n"/>
      <c r="N649" s="215" t="n"/>
      <c r="O649" s="215" t="n"/>
      <c r="P649" s="215" t="n"/>
      <c r="Q649" s="215" t="n"/>
      <c r="R649" s="215" t="n"/>
      <c r="S649" s="215" t="n"/>
      <c r="T649" s="215" t="n"/>
      <c r="U649" s="215" t="n"/>
      <c r="V649" s="215" t="n"/>
      <c r="W649" s="215" t="n"/>
      <c r="X649" s="215" t="n"/>
      <c r="Y649" s="215" t="n"/>
      <c r="Z649" s="215" t="n"/>
      <c r="AA649" s="215" t="n"/>
      <c r="AB649" s="215" t="n"/>
      <c r="AC649" s="215" t="n"/>
      <c r="AD649" s="215" t="n"/>
      <c r="AE649" s="215" t="n"/>
      <c r="AF649" s="215" t="n"/>
      <c r="AG649" s="215" t="n"/>
      <c r="AH649" s="215" t="n"/>
      <c r="AI649" s="215" t="n"/>
      <c r="AJ649" s="215" t="n"/>
      <c r="AK649" s="216" t="n"/>
    </row>
    <row r="650" ht="15" customHeight="1">
      <c r="B650" s="134" t="n"/>
      <c r="C650" s="105" t="n"/>
      <c r="D650" s="105" t="n"/>
      <c r="E650" s="105" t="n"/>
      <c r="F650" s="105" t="n"/>
      <c r="G650" s="105" t="n"/>
      <c r="H650" s="2" t="n"/>
      <c r="I650" s="105" t="n"/>
      <c r="K650" s="215" t="n"/>
      <c r="L650" s="215" t="n"/>
      <c r="M650" s="215" t="n"/>
      <c r="N650" s="215" t="n"/>
      <c r="O650" s="215" t="n"/>
      <c r="P650" s="215" t="n"/>
      <c r="Q650" s="215" t="n"/>
      <c r="R650" s="215" t="n"/>
      <c r="S650" s="215" t="n"/>
      <c r="T650" s="215" t="n"/>
      <c r="U650" s="215" t="n"/>
      <c r="V650" s="215" t="n"/>
      <c r="W650" s="215" t="n"/>
      <c r="X650" s="215" t="n"/>
      <c r="Y650" s="215" t="n"/>
      <c r="Z650" s="215" t="n"/>
      <c r="AA650" s="215" t="n"/>
      <c r="AB650" s="215" t="n"/>
      <c r="AC650" s="215" t="n"/>
      <c r="AD650" s="215" t="n"/>
      <c r="AE650" s="215" t="n"/>
      <c r="AF650" s="215" t="n"/>
      <c r="AG650" s="215" t="n"/>
      <c r="AH650" s="215" t="n"/>
      <c r="AI650" s="215" t="n"/>
      <c r="AJ650" s="215" t="n"/>
      <c r="AK650" s="216" t="n"/>
    </row>
    <row r="651" ht="15" customHeight="1">
      <c r="B651" s="134" t="n"/>
      <c r="C651" s="105" t="n"/>
      <c r="D651" s="105" t="n"/>
      <c r="E651" s="105" t="n"/>
      <c r="F651" s="105" t="n"/>
      <c r="G651" s="105" t="n"/>
      <c r="H651" s="2" t="n"/>
      <c r="I651" s="105" t="n"/>
      <c r="K651" s="215" t="n"/>
      <c r="L651" s="215" t="n"/>
      <c r="M651" s="215" t="n"/>
      <c r="N651" s="215" t="n"/>
      <c r="O651" s="215" t="n"/>
      <c r="P651" s="215" t="n"/>
      <c r="Q651" s="215" t="n"/>
      <c r="R651" s="215" t="n"/>
      <c r="S651" s="215" t="n"/>
      <c r="T651" s="215" t="n"/>
      <c r="U651" s="215" t="n"/>
      <c r="V651" s="215" t="n"/>
      <c r="W651" s="215" t="n"/>
      <c r="X651" s="215" t="n"/>
      <c r="Y651" s="215" t="n"/>
      <c r="Z651" s="215" t="n"/>
      <c r="AA651" s="215" t="n"/>
      <c r="AB651" s="215" t="n"/>
      <c r="AC651" s="215" t="n"/>
      <c r="AD651" s="215" t="n"/>
      <c r="AE651" s="215" t="n"/>
      <c r="AF651" s="215" t="n"/>
      <c r="AG651" s="215" t="n"/>
      <c r="AH651" s="215" t="n"/>
      <c r="AI651" s="215" t="n"/>
      <c r="AJ651" s="215" t="n"/>
      <c r="AK651" s="216" t="n"/>
    </row>
    <row r="652" ht="15" customHeight="1">
      <c r="B652" s="134" t="n"/>
      <c r="C652" s="105" t="n"/>
      <c r="D652" s="105" t="n"/>
      <c r="E652" s="105" t="n"/>
      <c r="F652" s="105" t="n"/>
      <c r="G652" s="105" t="n"/>
      <c r="H652" s="2" t="n"/>
      <c r="I652" s="105" t="n"/>
      <c r="K652" s="215" t="n"/>
      <c r="L652" s="215" t="n"/>
      <c r="M652" s="215" t="n"/>
      <c r="N652" s="215" t="n"/>
      <c r="O652" s="215" t="n"/>
      <c r="P652" s="215" t="n"/>
      <c r="Q652" s="215" t="n"/>
      <c r="R652" s="215" t="n"/>
      <c r="S652" s="215" t="n"/>
      <c r="T652" s="215" t="n"/>
      <c r="U652" s="215" t="n"/>
      <c r="V652" s="215" t="n"/>
      <c r="W652" s="215" t="n"/>
      <c r="X652" s="215" t="n"/>
      <c r="Y652" s="215" t="n"/>
      <c r="Z652" s="215" t="n"/>
      <c r="AA652" s="215" t="n"/>
      <c r="AB652" s="215" t="n"/>
      <c r="AC652" s="215" t="n"/>
      <c r="AD652" s="215" t="n"/>
      <c r="AE652" s="215" t="n"/>
      <c r="AF652" s="215" t="n"/>
      <c r="AG652" s="215" t="n"/>
      <c r="AH652" s="215" t="n"/>
      <c r="AI652" s="215" t="n"/>
      <c r="AJ652" s="215" t="n"/>
      <c r="AK652" s="216" t="n"/>
    </row>
    <row r="653" ht="15" customHeight="1">
      <c r="B653" s="134" t="n"/>
      <c r="C653" s="105" t="n"/>
      <c r="D653" s="105" t="n"/>
      <c r="E653" s="105" t="n"/>
      <c r="F653" s="105" t="n"/>
      <c r="G653" s="105" t="n"/>
      <c r="H653" s="2" t="n"/>
      <c r="I653" s="105" t="n"/>
      <c r="K653" s="215" t="n"/>
      <c r="L653" s="215" t="n"/>
      <c r="M653" s="215" t="n"/>
      <c r="N653" s="215" t="n"/>
      <c r="O653" s="215" t="n"/>
      <c r="P653" s="215" t="n"/>
      <c r="Q653" s="215" t="n"/>
      <c r="R653" s="215" t="n"/>
      <c r="S653" s="215" t="n"/>
      <c r="T653" s="215" t="n"/>
      <c r="U653" s="215" t="n"/>
      <c r="V653" s="215" t="n"/>
      <c r="W653" s="215" t="n"/>
      <c r="X653" s="215" t="n"/>
      <c r="Y653" s="215" t="n"/>
      <c r="Z653" s="215" t="n"/>
      <c r="AA653" s="215" t="n"/>
      <c r="AB653" s="215" t="n"/>
      <c r="AC653" s="215" t="n"/>
      <c r="AD653" s="215" t="n"/>
      <c r="AE653" s="215" t="n"/>
      <c r="AF653" s="215" t="n"/>
      <c r="AG653" s="215" t="n"/>
      <c r="AH653" s="215" t="n"/>
      <c r="AI653" s="215" t="n"/>
      <c r="AJ653" s="215" t="n"/>
      <c r="AK653" s="216" t="n"/>
    </row>
    <row r="654" ht="15" customHeight="1">
      <c r="B654" s="134" t="n"/>
      <c r="C654" s="105" t="n"/>
      <c r="D654" s="105" t="n"/>
      <c r="E654" s="105" t="n"/>
      <c r="F654" s="105" t="n"/>
      <c r="G654" s="105" t="n"/>
      <c r="H654" s="2" t="n"/>
      <c r="I654" s="105" t="n"/>
      <c r="K654" s="215" t="n"/>
      <c r="L654" s="215" t="n"/>
      <c r="M654" s="215" t="n"/>
      <c r="N654" s="215" t="n"/>
      <c r="O654" s="215" t="n"/>
      <c r="P654" s="215" t="n"/>
      <c r="Q654" s="215" t="n"/>
      <c r="R654" s="215" t="n"/>
      <c r="S654" s="215" t="n"/>
      <c r="T654" s="215" t="n"/>
      <c r="U654" s="215" t="n"/>
      <c r="V654" s="215" t="n"/>
      <c r="W654" s="215" t="n"/>
      <c r="X654" s="215" t="n"/>
      <c r="Y654" s="215" t="n"/>
      <c r="Z654" s="215" t="n"/>
      <c r="AA654" s="215" t="n"/>
      <c r="AB654" s="215" t="n"/>
      <c r="AC654" s="215" t="n"/>
      <c r="AD654" s="215" t="n"/>
      <c r="AE654" s="215" t="n"/>
      <c r="AF654" s="215" t="n"/>
      <c r="AG654" s="215" t="n"/>
      <c r="AH654" s="215" t="n"/>
      <c r="AI654" s="215" t="n"/>
      <c r="AJ654" s="215" t="n"/>
      <c r="AK654" s="216" t="n"/>
    </row>
    <row r="655" ht="15" customHeight="1">
      <c r="B655" s="134" t="n"/>
      <c r="C655" s="105" t="n"/>
      <c r="D655" s="105" t="n"/>
      <c r="E655" s="105" t="n"/>
      <c r="F655" s="105" t="n"/>
      <c r="G655" s="105" t="n"/>
      <c r="H655" s="2" t="n"/>
      <c r="I655" s="105" t="n"/>
      <c r="K655" s="215" t="n"/>
      <c r="L655" s="215" t="n"/>
      <c r="M655" s="215" t="n"/>
      <c r="N655" s="215" t="n"/>
      <c r="O655" s="215" t="n"/>
      <c r="P655" s="215" t="n"/>
      <c r="Q655" s="215" t="n"/>
      <c r="R655" s="215" t="n"/>
      <c r="S655" s="215" t="n"/>
      <c r="T655" s="215" t="n"/>
      <c r="U655" s="215" t="n"/>
      <c r="V655" s="215" t="n"/>
      <c r="W655" s="215" t="n"/>
      <c r="X655" s="215" t="n"/>
      <c r="Y655" s="215" t="n"/>
      <c r="Z655" s="215" t="n"/>
      <c r="AA655" s="215" t="n"/>
      <c r="AB655" s="215" t="n"/>
      <c r="AC655" s="215" t="n"/>
      <c r="AD655" s="215" t="n"/>
      <c r="AE655" s="215" t="n"/>
      <c r="AF655" s="215" t="n"/>
      <c r="AG655" s="215" t="n"/>
      <c r="AH655" s="215" t="n"/>
      <c r="AI655" s="215" t="n"/>
      <c r="AJ655" s="215" t="n"/>
      <c r="AK655" s="216" t="n"/>
    </row>
    <row r="656" ht="15" customHeight="1">
      <c r="B656" s="134" t="n"/>
      <c r="C656" s="105" t="n"/>
      <c r="D656" s="105" t="n"/>
      <c r="E656" s="105" t="n"/>
      <c r="F656" s="105" t="n"/>
      <c r="G656" s="105" t="n"/>
      <c r="H656" s="2" t="n"/>
      <c r="I656" s="105" t="n"/>
      <c r="K656" s="215" t="n"/>
      <c r="L656" s="215" t="n"/>
      <c r="M656" s="215" t="n"/>
      <c r="N656" s="215" t="n"/>
      <c r="O656" s="215" t="n"/>
      <c r="P656" s="215" t="n"/>
      <c r="Q656" s="215" t="n"/>
      <c r="R656" s="215" t="n"/>
      <c r="S656" s="215" t="n"/>
      <c r="T656" s="215" t="n"/>
      <c r="U656" s="215" t="n"/>
      <c r="V656" s="215" t="n"/>
      <c r="W656" s="215" t="n"/>
      <c r="X656" s="215" t="n"/>
      <c r="Y656" s="215" t="n"/>
      <c r="Z656" s="215" t="n"/>
      <c r="AA656" s="215" t="n"/>
      <c r="AB656" s="215" t="n"/>
      <c r="AC656" s="215" t="n"/>
      <c r="AD656" s="215" t="n"/>
      <c r="AE656" s="215" t="n"/>
      <c r="AF656" s="215" t="n"/>
      <c r="AG656" s="215" t="n"/>
      <c r="AH656" s="215" t="n"/>
      <c r="AI656" s="215" t="n"/>
      <c r="AJ656" s="215" t="n"/>
      <c r="AK656" s="216" t="n"/>
    </row>
    <row r="657" ht="15" customHeight="1">
      <c r="B657" s="134" t="n"/>
      <c r="C657" s="105" t="n"/>
      <c r="D657" s="105" t="n"/>
      <c r="E657" s="105" t="n"/>
      <c r="F657" s="105" t="n"/>
      <c r="G657" s="105" t="n"/>
      <c r="H657" s="2" t="n"/>
      <c r="I657" s="105" t="n"/>
      <c r="K657" s="215" t="n"/>
      <c r="L657" s="215" t="n"/>
      <c r="M657" s="215" t="n"/>
      <c r="N657" s="215" t="n"/>
      <c r="O657" s="215" t="n"/>
      <c r="P657" s="215" t="n"/>
      <c r="Q657" s="215" t="n"/>
      <c r="R657" s="215" t="n"/>
      <c r="S657" s="215" t="n"/>
      <c r="T657" s="215" t="n"/>
      <c r="U657" s="215" t="n"/>
      <c r="V657" s="215" t="n"/>
      <c r="W657" s="215" t="n"/>
      <c r="X657" s="215" t="n"/>
      <c r="Y657" s="215" t="n"/>
      <c r="Z657" s="215" t="n"/>
      <c r="AA657" s="215" t="n"/>
      <c r="AB657" s="215" t="n"/>
      <c r="AC657" s="215" t="n"/>
      <c r="AD657" s="215" t="n"/>
      <c r="AE657" s="215" t="n"/>
      <c r="AF657" s="215" t="n"/>
      <c r="AG657" s="215" t="n"/>
      <c r="AH657" s="215" t="n"/>
      <c r="AI657" s="215" t="n"/>
      <c r="AJ657" s="215" t="n"/>
      <c r="AK657" s="216" t="n"/>
    </row>
    <row r="658" ht="15" customHeight="1">
      <c r="B658" s="134" t="n"/>
      <c r="C658" s="105" t="n"/>
      <c r="D658" s="105" t="n"/>
      <c r="E658" s="105" t="n"/>
      <c r="F658" s="105" t="n"/>
      <c r="G658" s="105" t="n"/>
      <c r="H658" s="2" t="n"/>
      <c r="I658" s="105" t="n"/>
      <c r="K658" s="215" t="n"/>
      <c r="L658" s="215" t="n"/>
      <c r="M658" s="215" t="n"/>
      <c r="N658" s="215" t="n"/>
      <c r="O658" s="215" t="n"/>
      <c r="P658" s="215" t="n"/>
      <c r="Q658" s="215" t="n"/>
      <c r="R658" s="215" t="n"/>
      <c r="S658" s="215" t="n"/>
      <c r="T658" s="215" t="n"/>
      <c r="U658" s="215" t="n"/>
      <c r="V658" s="215" t="n"/>
      <c r="W658" s="215" t="n"/>
      <c r="X658" s="215" t="n"/>
      <c r="Y658" s="215" t="n"/>
      <c r="Z658" s="215" t="n"/>
      <c r="AA658" s="215" t="n"/>
      <c r="AB658" s="215" t="n"/>
      <c r="AC658" s="215" t="n"/>
      <c r="AD658" s="215" t="n"/>
      <c r="AE658" s="215" t="n"/>
      <c r="AF658" s="215" t="n"/>
      <c r="AG658" s="215" t="n"/>
      <c r="AH658" s="215" t="n"/>
      <c r="AI658" s="215" t="n"/>
      <c r="AJ658" s="215" t="n"/>
      <c r="AK658" s="216" t="n"/>
    </row>
    <row r="659" ht="15" customHeight="1">
      <c r="B659" s="134" t="n"/>
      <c r="C659" s="105" t="n"/>
      <c r="D659" s="105" t="n"/>
      <c r="E659" s="105" t="n"/>
      <c r="F659" s="105" t="n"/>
      <c r="G659" s="105" t="n"/>
      <c r="H659" s="2" t="n"/>
      <c r="I659" s="105" t="n"/>
      <c r="K659" s="215" t="n"/>
      <c r="L659" s="215" t="n"/>
      <c r="M659" s="215" t="n"/>
      <c r="N659" s="215" t="n"/>
      <c r="O659" s="215" t="n"/>
      <c r="P659" s="215" t="n"/>
      <c r="Q659" s="215" t="n"/>
      <c r="R659" s="215" t="n"/>
      <c r="S659" s="215" t="n"/>
      <c r="T659" s="215" t="n"/>
      <c r="U659" s="215" t="n"/>
      <c r="V659" s="215" t="n"/>
      <c r="W659" s="215" t="n"/>
      <c r="X659" s="215" t="n"/>
      <c r="Y659" s="215" t="n"/>
      <c r="Z659" s="215" t="n"/>
      <c r="AA659" s="215" t="n"/>
      <c r="AB659" s="215" t="n"/>
      <c r="AC659" s="215" t="n"/>
      <c r="AD659" s="215" t="n"/>
      <c r="AE659" s="215" t="n"/>
      <c r="AF659" s="215" t="n"/>
      <c r="AG659" s="215" t="n"/>
      <c r="AH659" s="215" t="n"/>
      <c r="AI659" s="215" t="n"/>
      <c r="AJ659" s="215" t="n"/>
      <c r="AK659" s="216" t="n"/>
    </row>
    <row r="660" ht="15" customHeight="1">
      <c r="B660" s="134" t="n"/>
      <c r="C660" s="105" t="n"/>
      <c r="D660" s="105" t="n"/>
      <c r="E660" s="105" t="n"/>
      <c r="F660" s="105" t="n"/>
      <c r="G660" s="105" t="n"/>
      <c r="H660" s="2" t="n"/>
      <c r="I660" s="105" t="n"/>
      <c r="K660" s="215" t="n"/>
      <c r="L660" s="215" t="n"/>
      <c r="M660" s="215" t="n"/>
      <c r="N660" s="215" t="n"/>
      <c r="O660" s="215" t="n"/>
      <c r="P660" s="215" t="n"/>
      <c r="Q660" s="215" t="n"/>
      <c r="R660" s="215" t="n"/>
      <c r="S660" s="215" t="n"/>
      <c r="T660" s="215" t="n"/>
      <c r="U660" s="215" t="n"/>
      <c r="V660" s="215" t="n"/>
      <c r="W660" s="215" t="n"/>
      <c r="X660" s="215" t="n"/>
      <c r="Y660" s="215" t="n"/>
      <c r="Z660" s="215" t="n"/>
      <c r="AA660" s="215" t="n"/>
      <c r="AB660" s="215" t="n"/>
      <c r="AC660" s="215" t="n"/>
      <c r="AD660" s="215" t="n"/>
      <c r="AE660" s="215" t="n"/>
      <c r="AF660" s="215" t="n"/>
      <c r="AG660" s="215" t="n"/>
      <c r="AH660" s="215" t="n"/>
      <c r="AI660" s="215" t="n"/>
      <c r="AJ660" s="215" t="n"/>
      <c r="AK660" s="216" t="n"/>
    </row>
    <row r="661" ht="15" customHeight="1">
      <c r="B661" s="134" t="n"/>
      <c r="C661" s="105" t="n"/>
      <c r="D661" s="105" t="n"/>
      <c r="E661" s="105" t="n"/>
      <c r="F661" s="105" t="n"/>
      <c r="G661" s="105" t="n"/>
      <c r="H661" s="2" t="n"/>
      <c r="I661" s="105" t="n"/>
      <c r="K661" s="215" t="n"/>
      <c r="L661" s="215" t="n"/>
      <c r="M661" s="215" t="n"/>
      <c r="N661" s="215" t="n"/>
      <c r="O661" s="215" t="n"/>
      <c r="P661" s="215" t="n"/>
      <c r="Q661" s="215" t="n"/>
      <c r="R661" s="215" t="n"/>
      <c r="S661" s="215" t="n"/>
      <c r="T661" s="215" t="n"/>
      <c r="U661" s="215" t="n"/>
      <c r="V661" s="215" t="n"/>
      <c r="W661" s="215" t="n"/>
      <c r="X661" s="215" t="n"/>
      <c r="Y661" s="215" t="n"/>
      <c r="Z661" s="215" t="n"/>
      <c r="AA661" s="215" t="n"/>
      <c r="AB661" s="215" t="n"/>
      <c r="AC661" s="215" t="n"/>
      <c r="AD661" s="215" t="n"/>
      <c r="AE661" s="215" t="n"/>
      <c r="AF661" s="215" t="n"/>
      <c r="AG661" s="215" t="n"/>
      <c r="AH661" s="215" t="n"/>
      <c r="AI661" s="215" t="n"/>
      <c r="AJ661" s="215" t="n"/>
      <c r="AK661" s="216" t="n"/>
    </row>
    <row r="662" ht="15" customHeight="1">
      <c r="B662" s="134" t="n"/>
      <c r="C662" s="105" t="n"/>
      <c r="D662" s="105" t="n"/>
      <c r="E662" s="105" t="n"/>
      <c r="F662" s="105" t="n"/>
      <c r="G662" s="105" t="n"/>
      <c r="H662" s="2" t="n"/>
      <c r="I662" s="105" t="n"/>
      <c r="K662" s="215" t="n"/>
      <c r="L662" s="215" t="n"/>
      <c r="M662" s="215" t="n"/>
      <c r="N662" s="215" t="n"/>
      <c r="O662" s="215" t="n"/>
      <c r="P662" s="215" t="n"/>
      <c r="Q662" s="215" t="n"/>
      <c r="R662" s="215" t="n"/>
      <c r="S662" s="215" t="n"/>
      <c r="T662" s="215" t="n"/>
      <c r="U662" s="215" t="n"/>
      <c r="V662" s="215" t="n"/>
      <c r="W662" s="215" t="n"/>
      <c r="X662" s="215" t="n"/>
      <c r="Y662" s="215" t="n"/>
      <c r="Z662" s="215" t="n"/>
      <c r="AA662" s="215" t="n"/>
      <c r="AB662" s="215" t="n"/>
      <c r="AC662" s="215" t="n"/>
      <c r="AD662" s="215" t="n"/>
      <c r="AE662" s="215" t="n"/>
      <c r="AF662" s="215" t="n"/>
      <c r="AG662" s="215" t="n"/>
      <c r="AH662" s="215" t="n"/>
      <c r="AI662" s="215" t="n"/>
      <c r="AJ662" s="215" t="n"/>
      <c r="AK662" s="216" t="n"/>
    </row>
    <row r="663" ht="15" customHeight="1">
      <c r="B663" s="134" t="n"/>
      <c r="C663" s="105" t="n"/>
      <c r="D663" s="105" t="n"/>
      <c r="E663" s="105" t="n"/>
      <c r="F663" s="105" t="n"/>
      <c r="G663" s="105" t="n"/>
      <c r="H663" s="2" t="n"/>
      <c r="I663" s="105" t="n"/>
      <c r="K663" s="215" t="n"/>
      <c r="L663" s="215" t="n"/>
      <c r="M663" s="215" t="n"/>
      <c r="N663" s="215" t="n"/>
      <c r="O663" s="215" t="n"/>
      <c r="P663" s="215" t="n"/>
      <c r="Q663" s="215" t="n"/>
      <c r="R663" s="215" t="n"/>
      <c r="S663" s="215" t="n"/>
      <c r="T663" s="215" t="n"/>
      <c r="U663" s="215" t="n"/>
      <c r="V663" s="215" t="n"/>
      <c r="W663" s="215" t="n"/>
      <c r="X663" s="215" t="n"/>
      <c r="Y663" s="215" t="n"/>
      <c r="Z663" s="215" t="n"/>
      <c r="AA663" s="215" t="n"/>
      <c r="AB663" s="215" t="n"/>
      <c r="AC663" s="215" t="n"/>
      <c r="AD663" s="215" t="n"/>
      <c r="AE663" s="215" t="n"/>
      <c r="AF663" s="215" t="n"/>
      <c r="AG663" s="215" t="n"/>
      <c r="AH663" s="215" t="n"/>
      <c r="AI663" s="215" t="n"/>
      <c r="AJ663" s="215" t="n"/>
      <c r="AK663" s="216" t="n"/>
    </row>
    <row r="664" ht="15" customHeight="1">
      <c r="B664" s="134" t="n"/>
      <c r="C664" s="105" t="n"/>
      <c r="D664" s="105" t="n"/>
      <c r="E664" s="105" t="n"/>
      <c r="F664" s="105" t="n"/>
      <c r="G664" s="105" t="n"/>
      <c r="H664" s="2" t="n"/>
      <c r="I664" s="105" t="n"/>
      <c r="K664" s="215" t="n"/>
      <c r="L664" s="215" t="n"/>
      <c r="M664" s="215" t="n"/>
      <c r="N664" s="215" t="n"/>
      <c r="O664" s="215" t="n"/>
      <c r="P664" s="215" t="n"/>
      <c r="Q664" s="215" t="n"/>
      <c r="R664" s="215" t="n"/>
      <c r="S664" s="215" t="n"/>
      <c r="T664" s="215" t="n"/>
      <c r="U664" s="215" t="n"/>
      <c r="V664" s="215" t="n"/>
      <c r="W664" s="215" t="n"/>
      <c r="X664" s="215" t="n"/>
      <c r="Y664" s="215" t="n"/>
      <c r="Z664" s="215" t="n"/>
      <c r="AA664" s="215" t="n"/>
      <c r="AB664" s="215" t="n"/>
      <c r="AC664" s="215" t="n"/>
      <c r="AD664" s="215" t="n"/>
      <c r="AE664" s="215" t="n"/>
      <c r="AF664" s="215" t="n"/>
      <c r="AG664" s="215" t="n"/>
      <c r="AH664" s="215" t="n"/>
      <c r="AI664" s="215" t="n"/>
      <c r="AJ664" s="215" t="n"/>
      <c r="AK664" s="216" t="n"/>
    </row>
    <row r="665" ht="15" customHeight="1">
      <c r="B665" s="134" t="n"/>
      <c r="C665" s="105" t="n"/>
      <c r="D665" s="105" t="n"/>
      <c r="E665" s="105" t="n"/>
      <c r="F665" s="105" t="n"/>
      <c r="G665" s="105" t="n"/>
      <c r="H665" s="2" t="n"/>
      <c r="I665" s="105" t="n"/>
      <c r="K665" s="215" t="n"/>
      <c r="L665" s="215" t="n"/>
      <c r="M665" s="215" t="n"/>
      <c r="N665" s="215" t="n"/>
      <c r="O665" s="215" t="n"/>
      <c r="P665" s="215" t="n"/>
      <c r="Q665" s="215" t="n"/>
      <c r="R665" s="215" t="n"/>
      <c r="S665" s="215" t="n"/>
      <c r="T665" s="215" t="n"/>
      <c r="U665" s="215" t="n"/>
      <c r="V665" s="215" t="n"/>
      <c r="W665" s="215" t="n"/>
      <c r="X665" s="215" t="n"/>
      <c r="Y665" s="215" t="n"/>
      <c r="Z665" s="215" t="n"/>
      <c r="AA665" s="215" t="n"/>
      <c r="AB665" s="215" t="n"/>
      <c r="AC665" s="215" t="n"/>
      <c r="AD665" s="215" t="n"/>
      <c r="AE665" s="215" t="n"/>
      <c r="AF665" s="215" t="n"/>
      <c r="AG665" s="215" t="n"/>
      <c r="AH665" s="215" t="n"/>
      <c r="AI665" s="215" t="n"/>
      <c r="AJ665" s="215" t="n"/>
      <c r="AK665" s="216" t="n"/>
    </row>
    <row r="666" ht="15" customHeight="1">
      <c r="B666" s="134" t="n"/>
      <c r="C666" s="105" t="n"/>
      <c r="D666" s="105" t="n"/>
      <c r="E666" s="105" t="n"/>
      <c r="F666" s="105" t="n"/>
      <c r="G666" s="105" t="n"/>
      <c r="H666" s="2" t="n"/>
      <c r="I666" s="105" t="n"/>
      <c r="K666" s="215" t="n"/>
      <c r="L666" s="215" t="n"/>
      <c r="M666" s="215" t="n"/>
      <c r="N666" s="215" t="n"/>
      <c r="O666" s="215" t="n"/>
      <c r="P666" s="215" t="n"/>
      <c r="Q666" s="215" t="n"/>
      <c r="R666" s="215" t="n"/>
      <c r="S666" s="215" t="n"/>
      <c r="T666" s="215" t="n"/>
      <c r="U666" s="215" t="n"/>
      <c r="V666" s="215" t="n"/>
      <c r="W666" s="215" t="n"/>
      <c r="X666" s="215" t="n"/>
      <c r="Y666" s="215" t="n"/>
      <c r="Z666" s="215" t="n"/>
      <c r="AA666" s="215" t="n"/>
      <c r="AB666" s="215" t="n"/>
      <c r="AC666" s="215" t="n"/>
      <c r="AD666" s="215" t="n"/>
      <c r="AE666" s="215" t="n"/>
      <c r="AF666" s="215" t="n"/>
      <c r="AG666" s="215" t="n"/>
      <c r="AH666" s="215" t="n"/>
      <c r="AI666" s="215" t="n"/>
      <c r="AJ666" s="215" t="n"/>
      <c r="AK666" s="216" t="n"/>
    </row>
    <row r="667" ht="15" customHeight="1">
      <c r="B667" s="134" t="n"/>
      <c r="C667" s="105" t="n"/>
      <c r="D667" s="105" t="n"/>
      <c r="E667" s="105" t="n"/>
      <c r="F667" s="105" t="n"/>
      <c r="G667" s="105" t="n"/>
      <c r="H667" s="2" t="n"/>
      <c r="I667" s="105" t="n"/>
      <c r="K667" s="215" t="n"/>
      <c r="L667" s="215" t="n"/>
      <c r="M667" s="215" t="n"/>
      <c r="N667" s="215" t="n"/>
      <c r="O667" s="215" t="n"/>
      <c r="P667" s="215" t="n"/>
      <c r="Q667" s="215" t="n"/>
      <c r="R667" s="215" t="n"/>
      <c r="S667" s="215" t="n"/>
      <c r="T667" s="215" t="n"/>
      <c r="U667" s="215" t="n"/>
      <c r="V667" s="215" t="n"/>
      <c r="W667" s="215" t="n"/>
      <c r="X667" s="215" t="n"/>
      <c r="Y667" s="215" t="n"/>
      <c r="Z667" s="215" t="n"/>
      <c r="AA667" s="215" t="n"/>
      <c r="AB667" s="215" t="n"/>
      <c r="AC667" s="215" t="n"/>
      <c r="AD667" s="215" t="n"/>
      <c r="AE667" s="215" t="n"/>
      <c r="AF667" s="215" t="n"/>
      <c r="AG667" s="215" t="n"/>
      <c r="AH667" s="215" t="n"/>
      <c r="AI667" s="215" t="n"/>
      <c r="AJ667" s="215" t="n"/>
      <c r="AK667" s="216" t="n"/>
    </row>
    <row r="668" ht="15" customHeight="1">
      <c r="B668" s="134" t="n"/>
      <c r="C668" s="105" t="n"/>
      <c r="D668" s="105" t="n"/>
      <c r="E668" s="105" t="n"/>
      <c r="F668" s="105" t="n"/>
      <c r="G668" s="105" t="n"/>
      <c r="H668" s="2" t="n"/>
      <c r="I668" s="105" t="n"/>
      <c r="K668" s="215" t="n"/>
      <c r="L668" s="215" t="n"/>
      <c r="M668" s="215" t="n"/>
      <c r="N668" s="215" t="n"/>
      <c r="O668" s="215" t="n"/>
      <c r="P668" s="215" t="n"/>
      <c r="Q668" s="215" t="n"/>
      <c r="R668" s="215" t="n"/>
      <c r="S668" s="215" t="n"/>
      <c r="T668" s="215" t="n"/>
      <c r="U668" s="215" t="n"/>
      <c r="V668" s="215" t="n"/>
      <c r="W668" s="215" t="n"/>
      <c r="X668" s="215" t="n"/>
      <c r="Y668" s="215" t="n"/>
      <c r="Z668" s="215" t="n"/>
      <c r="AA668" s="215" t="n"/>
      <c r="AB668" s="215" t="n"/>
      <c r="AC668" s="215" t="n"/>
      <c r="AD668" s="215" t="n"/>
      <c r="AE668" s="215" t="n"/>
      <c r="AF668" s="215" t="n"/>
      <c r="AG668" s="215" t="n"/>
      <c r="AH668" s="215" t="n"/>
      <c r="AI668" s="215" t="n"/>
      <c r="AJ668" s="215" t="n"/>
      <c r="AK668" s="216" t="n"/>
    </row>
    <row r="669" ht="15" customHeight="1">
      <c r="B669" s="134" t="n"/>
      <c r="C669" s="105" t="n"/>
      <c r="D669" s="105" t="n"/>
      <c r="E669" s="105" t="n"/>
      <c r="F669" s="105" t="n"/>
      <c r="G669" s="105" t="n"/>
      <c r="H669" s="2" t="n"/>
      <c r="I669" s="105" t="n"/>
      <c r="K669" s="215" t="n"/>
      <c r="L669" s="215" t="n"/>
      <c r="M669" s="215" t="n"/>
      <c r="N669" s="215" t="n"/>
      <c r="O669" s="215" t="n"/>
      <c r="P669" s="215" t="n"/>
      <c r="Q669" s="215" t="n"/>
      <c r="R669" s="215" t="n"/>
      <c r="S669" s="215" t="n"/>
      <c r="T669" s="215" t="n"/>
      <c r="U669" s="215" t="n"/>
      <c r="V669" s="215" t="n"/>
      <c r="W669" s="215" t="n"/>
      <c r="X669" s="215" t="n"/>
      <c r="Y669" s="215" t="n"/>
      <c r="Z669" s="215" t="n"/>
      <c r="AA669" s="215" t="n"/>
      <c r="AB669" s="215" t="n"/>
      <c r="AC669" s="215" t="n"/>
      <c r="AD669" s="215" t="n"/>
      <c r="AE669" s="215" t="n"/>
      <c r="AF669" s="215" t="n"/>
      <c r="AG669" s="215" t="n"/>
      <c r="AH669" s="215" t="n"/>
      <c r="AI669" s="215" t="n"/>
      <c r="AJ669" s="215" t="n"/>
      <c r="AK669" s="216" t="n"/>
    </row>
    <row r="670" ht="15" customHeight="1">
      <c r="B670" s="134" t="n"/>
      <c r="C670" s="105" t="n"/>
      <c r="D670" s="105" t="n"/>
      <c r="E670" s="105" t="n"/>
      <c r="F670" s="105" t="n"/>
      <c r="G670" s="105" t="n"/>
      <c r="H670" s="2" t="n"/>
      <c r="I670" s="105" t="n"/>
      <c r="K670" s="215" t="n"/>
      <c r="L670" s="215" t="n"/>
      <c r="M670" s="215" t="n"/>
      <c r="N670" s="215" t="n"/>
      <c r="O670" s="215" t="n"/>
      <c r="P670" s="215" t="n"/>
      <c r="Q670" s="215" t="n"/>
      <c r="R670" s="215" t="n"/>
      <c r="S670" s="215" t="n"/>
      <c r="T670" s="215" t="n"/>
      <c r="U670" s="215" t="n"/>
      <c r="V670" s="215" t="n"/>
      <c r="W670" s="215" t="n"/>
      <c r="X670" s="215" t="n"/>
      <c r="Y670" s="215" t="n"/>
      <c r="Z670" s="215" t="n"/>
      <c r="AA670" s="215" t="n"/>
      <c r="AB670" s="215" t="n"/>
      <c r="AC670" s="215" t="n"/>
      <c r="AD670" s="215" t="n"/>
      <c r="AE670" s="215" t="n"/>
      <c r="AF670" s="215" t="n"/>
      <c r="AG670" s="215" t="n"/>
      <c r="AH670" s="215" t="n"/>
      <c r="AI670" s="215" t="n"/>
      <c r="AJ670" s="215" t="n"/>
      <c r="AK670" s="216" t="n"/>
    </row>
    <row r="671" ht="15" customHeight="1">
      <c r="B671" s="134" t="n"/>
      <c r="C671" s="105" t="n"/>
      <c r="D671" s="105" t="n"/>
      <c r="E671" s="105" t="n"/>
      <c r="F671" s="105" t="n"/>
      <c r="G671" s="105" t="n"/>
      <c r="H671" s="2" t="n"/>
      <c r="I671" s="105" t="n"/>
      <c r="K671" s="215" t="n"/>
      <c r="L671" s="215" t="n"/>
      <c r="M671" s="215" t="n"/>
      <c r="N671" s="215" t="n"/>
      <c r="O671" s="215" t="n"/>
      <c r="P671" s="215" t="n"/>
      <c r="Q671" s="215" t="n"/>
      <c r="R671" s="215" t="n"/>
      <c r="S671" s="215" t="n"/>
      <c r="T671" s="215" t="n"/>
      <c r="U671" s="215" t="n"/>
      <c r="V671" s="215" t="n"/>
      <c r="W671" s="215" t="n"/>
      <c r="X671" s="215" t="n"/>
      <c r="Y671" s="215" t="n"/>
      <c r="Z671" s="215" t="n"/>
      <c r="AA671" s="215" t="n"/>
      <c r="AB671" s="215" t="n"/>
      <c r="AC671" s="215" t="n"/>
      <c r="AD671" s="215" t="n"/>
      <c r="AE671" s="215" t="n"/>
      <c r="AF671" s="215" t="n"/>
      <c r="AG671" s="215" t="n"/>
      <c r="AH671" s="215" t="n"/>
      <c r="AI671" s="215" t="n"/>
      <c r="AJ671" s="215" t="n"/>
      <c r="AK671" s="216" t="n"/>
    </row>
    <row r="672" ht="15" customHeight="1">
      <c r="B672" s="134" t="n"/>
      <c r="C672" s="105" t="n"/>
      <c r="D672" s="105" t="n"/>
      <c r="E672" s="105" t="n"/>
      <c r="F672" s="105" t="n"/>
      <c r="G672" s="105" t="n"/>
      <c r="H672" s="2" t="n"/>
      <c r="I672" s="105" t="n"/>
      <c r="K672" s="215" t="n"/>
      <c r="L672" s="215" t="n"/>
      <c r="M672" s="215" t="n"/>
      <c r="N672" s="215" t="n"/>
      <c r="O672" s="215" t="n"/>
      <c r="P672" s="215" t="n"/>
      <c r="Q672" s="215" t="n"/>
      <c r="R672" s="215" t="n"/>
      <c r="S672" s="215" t="n"/>
      <c r="T672" s="215" t="n"/>
      <c r="U672" s="215" t="n"/>
      <c r="V672" s="215" t="n"/>
      <c r="W672" s="215" t="n"/>
      <c r="X672" s="215" t="n"/>
      <c r="Y672" s="215" t="n"/>
      <c r="Z672" s="215" t="n"/>
      <c r="AA672" s="215" t="n"/>
      <c r="AB672" s="215" t="n"/>
      <c r="AC672" s="215" t="n"/>
      <c r="AD672" s="215" t="n"/>
      <c r="AE672" s="215" t="n"/>
      <c r="AF672" s="215" t="n"/>
      <c r="AG672" s="215" t="n"/>
      <c r="AH672" s="215" t="n"/>
      <c r="AI672" s="215" t="n"/>
      <c r="AJ672" s="215" t="n"/>
      <c r="AK672" s="216" t="n"/>
    </row>
    <row r="673" ht="15" customHeight="1">
      <c r="B673" s="134" t="n"/>
      <c r="C673" s="105" t="n"/>
      <c r="D673" s="105" t="n"/>
      <c r="E673" s="105" t="n"/>
      <c r="F673" s="105" t="n"/>
      <c r="G673" s="105" t="n"/>
      <c r="H673" s="2" t="n"/>
      <c r="I673" s="105" t="n"/>
      <c r="K673" s="215" t="n"/>
      <c r="L673" s="215" t="n"/>
      <c r="M673" s="215" t="n"/>
      <c r="N673" s="215" t="n"/>
      <c r="O673" s="215" t="n"/>
      <c r="P673" s="215" t="n"/>
      <c r="Q673" s="215" t="n"/>
      <c r="R673" s="215" t="n"/>
      <c r="S673" s="215" t="n"/>
      <c r="T673" s="215" t="n"/>
      <c r="U673" s="215" t="n"/>
      <c r="V673" s="215" t="n"/>
      <c r="W673" s="215" t="n"/>
      <c r="X673" s="215" t="n"/>
      <c r="Y673" s="215" t="n"/>
      <c r="Z673" s="215" t="n"/>
      <c r="AA673" s="215" t="n"/>
      <c r="AB673" s="215" t="n"/>
      <c r="AC673" s="215" t="n"/>
      <c r="AD673" s="215" t="n"/>
      <c r="AE673" s="215" t="n"/>
      <c r="AF673" s="215" t="n"/>
      <c r="AG673" s="215" t="n"/>
      <c r="AH673" s="215" t="n"/>
      <c r="AI673" s="215" t="n"/>
      <c r="AJ673" s="215" t="n"/>
      <c r="AK673" s="216" t="n"/>
    </row>
    <row r="674" ht="15" customHeight="1">
      <c r="B674" s="134" t="n"/>
      <c r="C674" s="105" t="n"/>
      <c r="D674" s="105" t="n"/>
      <c r="E674" s="105" t="n"/>
      <c r="F674" s="105" t="n"/>
      <c r="G674" s="105" t="n"/>
      <c r="H674" s="2" t="n"/>
      <c r="I674" s="105" t="n"/>
      <c r="K674" s="215" t="n"/>
      <c r="L674" s="215" t="n"/>
      <c r="M674" s="215" t="n"/>
      <c r="N674" s="215" t="n"/>
      <c r="O674" s="215" t="n"/>
      <c r="P674" s="215" t="n"/>
      <c r="Q674" s="215" t="n"/>
      <c r="R674" s="215" t="n"/>
      <c r="S674" s="215" t="n"/>
      <c r="T674" s="215" t="n"/>
      <c r="U674" s="215" t="n"/>
      <c r="V674" s="215" t="n"/>
      <c r="W674" s="215" t="n"/>
      <c r="X674" s="215" t="n"/>
      <c r="Y674" s="215" t="n"/>
      <c r="Z674" s="215" t="n"/>
      <c r="AA674" s="215" t="n"/>
      <c r="AB674" s="215" t="n"/>
      <c r="AC674" s="215" t="n"/>
      <c r="AD674" s="215" t="n"/>
      <c r="AE674" s="215" t="n"/>
      <c r="AF674" s="215" t="n"/>
      <c r="AG674" s="215" t="n"/>
      <c r="AH674" s="215" t="n"/>
      <c r="AI674" s="215" t="n"/>
      <c r="AJ674" s="215" t="n"/>
      <c r="AK674" s="216" t="n"/>
    </row>
    <row r="675" ht="15" customHeight="1">
      <c r="B675" s="134" t="n"/>
      <c r="C675" s="105" t="n"/>
      <c r="D675" s="105" t="n"/>
      <c r="E675" s="105" t="n"/>
      <c r="F675" s="105" t="n"/>
      <c r="G675" s="105" t="n"/>
      <c r="H675" s="2" t="n"/>
      <c r="I675" s="105" t="n"/>
      <c r="K675" s="215" t="n"/>
      <c r="L675" s="215" t="n"/>
      <c r="M675" s="215" t="n"/>
      <c r="N675" s="215" t="n"/>
      <c r="O675" s="215" t="n"/>
      <c r="P675" s="215" t="n"/>
      <c r="Q675" s="215" t="n"/>
      <c r="R675" s="215" t="n"/>
      <c r="S675" s="215" t="n"/>
      <c r="T675" s="215" t="n"/>
      <c r="U675" s="215" t="n"/>
      <c r="V675" s="215" t="n"/>
      <c r="W675" s="215" t="n"/>
      <c r="X675" s="215" t="n"/>
      <c r="Y675" s="215" t="n"/>
      <c r="Z675" s="215" t="n"/>
      <c r="AA675" s="215" t="n"/>
      <c r="AB675" s="215" t="n"/>
      <c r="AC675" s="215" t="n"/>
      <c r="AD675" s="215" t="n"/>
      <c r="AE675" s="215" t="n"/>
      <c r="AF675" s="215" t="n"/>
      <c r="AG675" s="215" t="n"/>
      <c r="AH675" s="215" t="n"/>
      <c r="AI675" s="215" t="n"/>
      <c r="AJ675" s="215" t="n"/>
      <c r="AK675" s="216" t="n"/>
    </row>
    <row r="676" ht="15" customHeight="1">
      <c r="B676" s="134" t="n"/>
      <c r="C676" s="105" t="n"/>
      <c r="D676" s="105" t="n"/>
      <c r="E676" s="105" t="n"/>
      <c r="F676" s="105" t="n"/>
      <c r="G676" s="105" t="n"/>
      <c r="H676" s="2" t="n"/>
      <c r="I676" s="105" t="n"/>
      <c r="K676" s="215" t="n"/>
      <c r="L676" s="215" t="n"/>
      <c r="M676" s="215" t="n"/>
      <c r="N676" s="215" t="n"/>
      <c r="O676" s="215" t="n"/>
      <c r="P676" s="215" t="n"/>
      <c r="Q676" s="215" t="n"/>
      <c r="R676" s="215" t="n"/>
      <c r="S676" s="215" t="n"/>
      <c r="T676" s="215" t="n"/>
      <c r="U676" s="215" t="n"/>
      <c r="V676" s="215" t="n"/>
      <c r="W676" s="215" t="n"/>
      <c r="X676" s="215" t="n"/>
      <c r="Y676" s="215" t="n"/>
      <c r="Z676" s="215" t="n"/>
      <c r="AA676" s="215" t="n"/>
      <c r="AB676" s="215" t="n"/>
      <c r="AC676" s="215" t="n"/>
      <c r="AD676" s="215" t="n"/>
      <c r="AE676" s="215" t="n"/>
      <c r="AF676" s="215" t="n"/>
      <c r="AG676" s="215" t="n"/>
      <c r="AH676" s="215" t="n"/>
      <c r="AI676" s="215" t="n"/>
      <c r="AJ676" s="215" t="n"/>
      <c r="AK676" s="216" t="n"/>
    </row>
    <row r="677" ht="15" customHeight="1">
      <c r="B677" s="134" t="n"/>
      <c r="C677" s="105" t="n"/>
      <c r="D677" s="105" t="n"/>
      <c r="E677" s="105" t="n"/>
      <c r="F677" s="105" t="n"/>
      <c r="G677" s="105" t="n"/>
      <c r="H677" s="2" t="n"/>
      <c r="I677" s="105" t="n"/>
      <c r="K677" s="215" t="n"/>
      <c r="L677" s="215" t="n"/>
      <c r="M677" s="215" t="n"/>
      <c r="N677" s="215" t="n"/>
      <c r="O677" s="215" t="n"/>
      <c r="P677" s="215" t="n"/>
      <c r="Q677" s="215" t="n"/>
      <c r="R677" s="215" t="n"/>
      <c r="S677" s="215" t="n"/>
      <c r="T677" s="215" t="n"/>
      <c r="U677" s="215" t="n"/>
      <c r="V677" s="215" t="n"/>
      <c r="W677" s="215" t="n"/>
      <c r="X677" s="215" t="n"/>
      <c r="Y677" s="215" t="n"/>
      <c r="Z677" s="215" t="n"/>
      <c r="AA677" s="215" t="n"/>
      <c r="AB677" s="215" t="n"/>
      <c r="AC677" s="215" t="n"/>
      <c r="AD677" s="215" t="n"/>
      <c r="AE677" s="215" t="n"/>
      <c r="AF677" s="215" t="n"/>
      <c r="AG677" s="215" t="n"/>
      <c r="AH677" s="215" t="n"/>
      <c r="AI677" s="215" t="n"/>
      <c r="AJ677" s="215" t="n"/>
      <c r="AK677" s="216" t="n"/>
    </row>
    <row r="678" ht="15" customHeight="1">
      <c r="B678" s="134" t="n"/>
      <c r="C678" s="105" t="n"/>
      <c r="D678" s="105" t="n"/>
      <c r="E678" s="105" t="n"/>
      <c r="F678" s="105" t="n"/>
      <c r="G678" s="105" t="n"/>
      <c r="H678" s="2" t="n"/>
      <c r="I678" s="105" t="n"/>
      <c r="K678" s="215" t="n"/>
      <c r="L678" s="215" t="n"/>
      <c r="M678" s="215" t="n"/>
      <c r="N678" s="215" t="n"/>
      <c r="O678" s="215" t="n"/>
      <c r="P678" s="215" t="n"/>
      <c r="Q678" s="215" t="n"/>
      <c r="R678" s="215" t="n"/>
      <c r="S678" s="215" t="n"/>
      <c r="T678" s="215" t="n"/>
      <c r="U678" s="215" t="n"/>
      <c r="V678" s="215" t="n"/>
      <c r="W678" s="215" t="n"/>
      <c r="X678" s="215" t="n"/>
      <c r="Y678" s="215" t="n"/>
      <c r="Z678" s="215" t="n"/>
      <c r="AA678" s="215" t="n"/>
      <c r="AB678" s="215" t="n"/>
      <c r="AC678" s="215" t="n"/>
      <c r="AD678" s="215" t="n"/>
      <c r="AE678" s="215" t="n"/>
      <c r="AF678" s="215" t="n"/>
      <c r="AG678" s="215" t="n"/>
      <c r="AH678" s="215" t="n"/>
      <c r="AI678" s="215" t="n"/>
      <c r="AJ678" s="215" t="n"/>
      <c r="AK678" s="216" t="n"/>
    </row>
    <row r="679" ht="15" customHeight="1">
      <c r="B679" s="134" t="n"/>
      <c r="C679" s="105" t="n"/>
      <c r="D679" s="105" t="n"/>
      <c r="E679" s="105" t="n"/>
      <c r="F679" s="105" t="n"/>
      <c r="G679" s="105" t="n"/>
      <c r="H679" s="2" t="n"/>
      <c r="I679" s="105" t="n"/>
      <c r="K679" s="215" t="n"/>
      <c r="L679" s="215" t="n"/>
      <c r="M679" s="215" t="n"/>
      <c r="N679" s="215" t="n"/>
      <c r="O679" s="215" t="n"/>
      <c r="P679" s="215" t="n"/>
      <c r="Q679" s="215" t="n"/>
      <c r="R679" s="215" t="n"/>
      <c r="S679" s="215" t="n"/>
      <c r="T679" s="215" t="n"/>
      <c r="U679" s="215" t="n"/>
      <c r="V679" s="215" t="n"/>
      <c r="W679" s="215" t="n"/>
      <c r="X679" s="215" t="n"/>
      <c r="Y679" s="215" t="n"/>
      <c r="Z679" s="215" t="n"/>
      <c r="AA679" s="215" t="n"/>
      <c r="AB679" s="215" t="n"/>
      <c r="AC679" s="215" t="n"/>
      <c r="AD679" s="215" t="n"/>
      <c r="AE679" s="215" t="n"/>
      <c r="AF679" s="215" t="n"/>
      <c r="AG679" s="215" t="n"/>
      <c r="AH679" s="215" t="n"/>
      <c r="AI679" s="215" t="n"/>
      <c r="AJ679" s="215" t="n"/>
      <c r="AK679" s="216" t="n"/>
    </row>
    <row r="680" ht="15" customHeight="1">
      <c r="B680" s="134" t="n"/>
      <c r="C680" s="105" t="n"/>
      <c r="D680" s="105" t="n"/>
      <c r="E680" s="105" t="n"/>
      <c r="F680" s="105" t="n"/>
      <c r="G680" s="105" t="n"/>
      <c r="H680" s="2" t="n"/>
      <c r="I680" s="105" t="n"/>
      <c r="K680" s="215" t="n"/>
      <c r="L680" s="215" t="n"/>
      <c r="M680" s="215" t="n"/>
      <c r="N680" s="215" t="n"/>
      <c r="O680" s="215" t="n"/>
      <c r="P680" s="215" t="n"/>
      <c r="Q680" s="215" t="n"/>
      <c r="R680" s="215" t="n"/>
      <c r="S680" s="215" t="n"/>
      <c r="T680" s="215" t="n"/>
      <c r="U680" s="215" t="n"/>
      <c r="V680" s="215" t="n"/>
      <c r="W680" s="215" t="n"/>
      <c r="X680" s="215" t="n"/>
      <c r="Y680" s="215" t="n"/>
      <c r="Z680" s="215" t="n"/>
      <c r="AA680" s="215" t="n"/>
      <c r="AB680" s="215" t="n"/>
      <c r="AC680" s="215" t="n"/>
      <c r="AD680" s="215" t="n"/>
      <c r="AE680" s="215" t="n"/>
      <c r="AF680" s="215" t="n"/>
      <c r="AG680" s="215" t="n"/>
      <c r="AH680" s="215" t="n"/>
      <c r="AI680" s="215" t="n"/>
      <c r="AJ680" s="215" t="n"/>
      <c r="AK680" s="216" t="n"/>
    </row>
    <row r="681" ht="15" customHeight="1">
      <c r="B681" s="134" t="n"/>
      <c r="C681" s="105" t="n"/>
      <c r="D681" s="105" t="n"/>
      <c r="E681" s="105" t="n"/>
      <c r="F681" s="105" t="n"/>
      <c r="G681" s="105" t="n"/>
      <c r="H681" s="2" t="n"/>
      <c r="I681" s="105" t="n"/>
      <c r="K681" s="215" t="n"/>
      <c r="L681" s="215" t="n"/>
      <c r="M681" s="215" t="n"/>
      <c r="N681" s="215" t="n"/>
      <c r="O681" s="215" t="n"/>
      <c r="P681" s="215" t="n"/>
      <c r="Q681" s="215" t="n"/>
      <c r="R681" s="215" t="n"/>
      <c r="S681" s="215" t="n"/>
      <c r="T681" s="215" t="n"/>
      <c r="U681" s="215" t="n"/>
      <c r="V681" s="215" t="n"/>
      <c r="W681" s="215" t="n"/>
      <c r="X681" s="215" t="n"/>
      <c r="Y681" s="215" t="n"/>
      <c r="Z681" s="215" t="n"/>
      <c r="AA681" s="215" t="n"/>
      <c r="AB681" s="215" t="n"/>
      <c r="AC681" s="215" t="n"/>
      <c r="AD681" s="215" t="n"/>
      <c r="AE681" s="215" t="n"/>
      <c r="AF681" s="215" t="n"/>
      <c r="AG681" s="215" t="n"/>
      <c r="AH681" s="215" t="n"/>
      <c r="AI681" s="215" t="n"/>
      <c r="AJ681" s="215" t="n"/>
      <c r="AK681" s="216" t="n"/>
    </row>
    <row r="682" ht="15" customHeight="1">
      <c r="B682" s="134" t="n"/>
      <c r="C682" s="105" t="n"/>
      <c r="D682" s="105" t="n"/>
      <c r="E682" s="105" t="n"/>
      <c r="F682" s="105" t="n"/>
      <c r="G682" s="105" t="n"/>
      <c r="H682" s="2" t="n"/>
      <c r="I682" s="105" t="n"/>
      <c r="K682" s="215" t="n"/>
      <c r="L682" s="215" t="n"/>
      <c r="M682" s="215" t="n"/>
      <c r="N682" s="215" t="n"/>
      <c r="O682" s="215" t="n"/>
      <c r="P682" s="215" t="n"/>
      <c r="Q682" s="215" t="n"/>
      <c r="R682" s="215" t="n"/>
      <c r="S682" s="215" t="n"/>
      <c r="T682" s="215" t="n"/>
      <c r="U682" s="215" t="n"/>
      <c r="V682" s="215" t="n"/>
      <c r="W682" s="215" t="n"/>
      <c r="X682" s="215" t="n"/>
      <c r="Y682" s="215" t="n"/>
      <c r="Z682" s="215" t="n"/>
      <c r="AA682" s="215" t="n"/>
      <c r="AB682" s="215" t="n"/>
      <c r="AC682" s="215" t="n"/>
      <c r="AD682" s="215" t="n"/>
      <c r="AE682" s="215" t="n"/>
      <c r="AF682" s="215" t="n"/>
      <c r="AG682" s="215" t="n"/>
      <c r="AH682" s="215" t="n"/>
      <c r="AI682" s="215" t="n"/>
      <c r="AJ682" s="215" t="n"/>
      <c r="AK682" s="216" t="n"/>
    </row>
    <row r="683" ht="15" customHeight="1">
      <c r="B683" s="134" t="n"/>
      <c r="C683" s="105" t="n"/>
      <c r="D683" s="105" t="n"/>
      <c r="E683" s="105" t="n"/>
      <c r="F683" s="105" t="n"/>
      <c r="G683" s="105" t="n"/>
      <c r="H683" s="2" t="n"/>
      <c r="I683" s="105" t="n"/>
      <c r="K683" s="215" t="n"/>
      <c r="L683" s="215" t="n"/>
      <c r="M683" s="215" t="n"/>
      <c r="N683" s="215" t="n"/>
      <c r="O683" s="215" t="n"/>
      <c r="P683" s="215" t="n"/>
      <c r="Q683" s="215" t="n"/>
      <c r="R683" s="215" t="n"/>
      <c r="S683" s="215" t="n"/>
      <c r="T683" s="215" t="n"/>
      <c r="U683" s="215" t="n"/>
      <c r="V683" s="215" t="n"/>
      <c r="W683" s="215" t="n"/>
      <c r="X683" s="215" t="n"/>
      <c r="Y683" s="215" t="n"/>
      <c r="Z683" s="215" t="n"/>
      <c r="AA683" s="215" t="n"/>
      <c r="AB683" s="215" t="n"/>
      <c r="AC683" s="215" t="n"/>
      <c r="AD683" s="215" t="n"/>
      <c r="AE683" s="215" t="n"/>
      <c r="AF683" s="215" t="n"/>
      <c r="AG683" s="215" t="n"/>
      <c r="AH683" s="215" t="n"/>
      <c r="AI683" s="215" t="n"/>
      <c r="AJ683" s="215" t="n"/>
      <c r="AK683" s="216" t="n"/>
    </row>
    <row r="684" ht="15" customHeight="1">
      <c r="B684" s="134" t="n"/>
      <c r="C684" s="105" t="n"/>
      <c r="D684" s="105" t="n"/>
      <c r="E684" s="105" t="n"/>
      <c r="F684" s="105" t="n"/>
      <c r="G684" s="105" t="n"/>
      <c r="H684" s="2" t="n"/>
      <c r="I684" s="105" t="n"/>
      <c r="K684" s="215" t="n"/>
      <c r="L684" s="215" t="n"/>
      <c r="M684" s="215" t="n"/>
      <c r="N684" s="215" t="n"/>
      <c r="O684" s="215" t="n"/>
      <c r="P684" s="215" t="n"/>
      <c r="Q684" s="215" t="n"/>
      <c r="R684" s="215" t="n"/>
      <c r="S684" s="215" t="n"/>
      <c r="T684" s="215" t="n"/>
      <c r="U684" s="215" t="n"/>
      <c r="V684" s="215" t="n"/>
      <c r="W684" s="215" t="n"/>
      <c r="X684" s="215" t="n"/>
      <c r="Y684" s="215" t="n"/>
      <c r="Z684" s="215" t="n"/>
      <c r="AA684" s="215" t="n"/>
      <c r="AB684" s="215" t="n"/>
      <c r="AC684" s="215" t="n"/>
      <c r="AD684" s="215" t="n"/>
      <c r="AE684" s="215" t="n"/>
      <c r="AF684" s="215" t="n"/>
      <c r="AG684" s="215" t="n"/>
      <c r="AH684" s="215" t="n"/>
      <c r="AI684" s="215" t="n"/>
      <c r="AJ684" s="215" t="n"/>
      <c r="AK684" s="216" t="n"/>
    </row>
    <row r="685" ht="15" customHeight="1">
      <c r="B685" s="134" t="n"/>
      <c r="C685" s="105" t="n"/>
      <c r="D685" s="105" t="n"/>
      <c r="E685" s="105" t="n"/>
      <c r="F685" s="105" t="n"/>
      <c r="G685" s="105" t="n"/>
      <c r="H685" s="2" t="n"/>
      <c r="I685" s="105" t="n"/>
      <c r="K685" s="215" t="n"/>
      <c r="L685" s="215" t="n"/>
      <c r="M685" s="215" t="n"/>
      <c r="N685" s="215" t="n"/>
      <c r="O685" s="215" t="n"/>
      <c r="P685" s="215" t="n"/>
      <c r="Q685" s="215" t="n"/>
      <c r="R685" s="215" t="n"/>
      <c r="S685" s="215" t="n"/>
      <c r="T685" s="215" t="n"/>
      <c r="U685" s="215" t="n"/>
      <c r="V685" s="215" t="n"/>
      <c r="W685" s="215" t="n"/>
      <c r="X685" s="215" t="n"/>
      <c r="Y685" s="215" t="n"/>
      <c r="Z685" s="215" t="n"/>
      <c r="AA685" s="215" t="n"/>
      <c r="AB685" s="215" t="n"/>
      <c r="AC685" s="215" t="n"/>
      <c r="AD685" s="215" t="n"/>
      <c r="AE685" s="215" t="n"/>
      <c r="AF685" s="215" t="n"/>
      <c r="AG685" s="215" t="n"/>
      <c r="AH685" s="215" t="n"/>
      <c r="AI685" s="215" t="n"/>
      <c r="AJ685" s="215" t="n"/>
      <c r="AK685" s="216" t="n"/>
    </row>
    <row r="686" ht="15" customHeight="1">
      <c r="B686" s="134" t="n"/>
      <c r="C686" s="105" t="n"/>
      <c r="D686" s="105" t="n"/>
      <c r="E686" s="105" t="n"/>
      <c r="F686" s="105" t="n"/>
      <c r="G686" s="105" t="n"/>
      <c r="H686" s="2" t="n"/>
      <c r="I686" s="105" t="n"/>
      <c r="K686" s="215" t="n"/>
      <c r="L686" s="215" t="n"/>
      <c r="M686" s="215" t="n"/>
      <c r="N686" s="215" t="n"/>
      <c r="O686" s="215" t="n"/>
      <c r="P686" s="215" t="n"/>
      <c r="Q686" s="215" t="n"/>
      <c r="R686" s="215" t="n"/>
      <c r="S686" s="215" t="n"/>
      <c r="T686" s="215" t="n"/>
      <c r="U686" s="215" t="n"/>
      <c r="V686" s="215" t="n"/>
      <c r="W686" s="215" t="n"/>
      <c r="X686" s="215" t="n"/>
      <c r="Y686" s="215" t="n"/>
      <c r="Z686" s="215" t="n"/>
      <c r="AA686" s="215" t="n"/>
      <c r="AB686" s="215" t="n"/>
      <c r="AC686" s="215" t="n"/>
      <c r="AD686" s="215" t="n"/>
      <c r="AE686" s="215" t="n"/>
      <c r="AF686" s="215" t="n"/>
      <c r="AG686" s="215" t="n"/>
      <c r="AH686" s="215" t="n"/>
      <c r="AI686" s="215" t="n"/>
      <c r="AJ686" s="215" t="n"/>
      <c r="AK686" s="216" t="n"/>
    </row>
    <row r="687" ht="15" customHeight="1">
      <c r="B687" s="134" t="n"/>
      <c r="C687" s="105" t="n"/>
      <c r="D687" s="105" t="n"/>
      <c r="E687" s="105" t="n"/>
      <c r="F687" s="105" t="n"/>
      <c r="G687" s="105" t="n"/>
      <c r="H687" s="2" t="n"/>
      <c r="I687" s="105" t="n"/>
      <c r="K687" s="215" t="n"/>
      <c r="L687" s="215" t="n"/>
      <c r="M687" s="215" t="n"/>
      <c r="N687" s="215" t="n"/>
      <c r="O687" s="215" t="n"/>
      <c r="P687" s="215" t="n"/>
      <c r="Q687" s="215" t="n"/>
      <c r="R687" s="215" t="n"/>
      <c r="S687" s="215" t="n"/>
      <c r="T687" s="215" t="n"/>
      <c r="U687" s="215" t="n"/>
      <c r="V687" s="215" t="n"/>
      <c r="W687" s="215" t="n"/>
      <c r="X687" s="215" t="n"/>
      <c r="Y687" s="215" t="n"/>
      <c r="Z687" s="215" t="n"/>
      <c r="AA687" s="215" t="n"/>
      <c r="AB687" s="215" t="n"/>
      <c r="AC687" s="215" t="n"/>
      <c r="AD687" s="215" t="n"/>
      <c r="AE687" s="215" t="n"/>
      <c r="AF687" s="215" t="n"/>
      <c r="AG687" s="215" t="n"/>
      <c r="AH687" s="215" t="n"/>
      <c r="AI687" s="215" t="n"/>
      <c r="AJ687" s="215" t="n"/>
      <c r="AK687" s="216" t="n"/>
    </row>
    <row r="688" ht="15" customHeight="1">
      <c r="B688" s="134" t="n"/>
      <c r="C688" s="105" t="n"/>
      <c r="D688" s="105" t="n"/>
      <c r="E688" s="105" t="n"/>
      <c r="F688" s="105" t="n"/>
      <c r="G688" s="105" t="n"/>
      <c r="H688" s="2" t="n"/>
      <c r="I688" s="105" t="n"/>
      <c r="K688" s="215" t="n"/>
      <c r="L688" s="215" t="n"/>
      <c r="M688" s="215" t="n"/>
      <c r="N688" s="215" t="n"/>
      <c r="O688" s="215" t="n"/>
      <c r="P688" s="215" t="n"/>
      <c r="Q688" s="215" t="n"/>
      <c r="R688" s="215" t="n"/>
      <c r="S688" s="215" t="n"/>
      <c r="T688" s="215" t="n"/>
      <c r="U688" s="215" t="n"/>
      <c r="V688" s="215" t="n"/>
      <c r="W688" s="215" t="n"/>
      <c r="X688" s="215" t="n"/>
      <c r="Y688" s="215" t="n"/>
      <c r="Z688" s="215" t="n"/>
      <c r="AA688" s="215" t="n"/>
      <c r="AB688" s="215" t="n"/>
      <c r="AC688" s="215" t="n"/>
      <c r="AD688" s="215" t="n"/>
      <c r="AE688" s="215" t="n"/>
      <c r="AF688" s="215" t="n"/>
      <c r="AG688" s="215" t="n"/>
      <c r="AH688" s="215" t="n"/>
      <c r="AI688" s="215" t="n"/>
      <c r="AJ688" s="215" t="n"/>
      <c r="AK688" s="216" t="n"/>
    </row>
    <row r="689" ht="15" customHeight="1">
      <c r="B689" s="134" t="n"/>
      <c r="C689" s="105" t="n"/>
      <c r="D689" s="105" t="n"/>
      <c r="E689" s="105" t="n"/>
      <c r="F689" s="105" t="n"/>
      <c r="G689" s="105" t="n"/>
      <c r="H689" s="2" t="n"/>
      <c r="I689" s="105" t="n"/>
      <c r="K689" s="215" t="n"/>
      <c r="L689" s="215" t="n"/>
      <c r="M689" s="215" t="n"/>
      <c r="N689" s="215" t="n"/>
      <c r="O689" s="215" t="n"/>
      <c r="P689" s="215" t="n"/>
      <c r="Q689" s="215" t="n"/>
      <c r="R689" s="215" t="n"/>
      <c r="S689" s="215" t="n"/>
      <c r="T689" s="215" t="n"/>
      <c r="U689" s="215" t="n"/>
      <c r="V689" s="215" t="n"/>
      <c r="W689" s="215" t="n"/>
      <c r="X689" s="215" t="n"/>
      <c r="Y689" s="215" t="n"/>
      <c r="Z689" s="215" t="n"/>
      <c r="AA689" s="215" t="n"/>
      <c r="AB689" s="215" t="n"/>
      <c r="AC689" s="215" t="n"/>
      <c r="AD689" s="215" t="n"/>
      <c r="AE689" s="215" t="n"/>
      <c r="AF689" s="215" t="n"/>
      <c r="AG689" s="215" t="n"/>
      <c r="AH689" s="215" t="n"/>
      <c r="AI689" s="215" t="n"/>
      <c r="AJ689" s="215" t="n"/>
      <c r="AK689" s="216" t="n"/>
    </row>
    <row r="690" ht="15" customHeight="1">
      <c r="B690" s="134" t="n"/>
      <c r="C690" s="105" t="n"/>
      <c r="D690" s="105" t="n"/>
      <c r="E690" s="105" t="n"/>
      <c r="F690" s="105" t="n"/>
      <c r="G690" s="105" t="n"/>
      <c r="H690" s="2" t="n"/>
      <c r="I690" s="105" t="n"/>
      <c r="K690" s="215" t="n"/>
      <c r="L690" s="215" t="n"/>
      <c r="M690" s="215" t="n"/>
      <c r="N690" s="215" t="n"/>
      <c r="O690" s="215" t="n"/>
      <c r="P690" s="215" t="n"/>
      <c r="Q690" s="215" t="n"/>
      <c r="R690" s="215" t="n"/>
      <c r="S690" s="215" t="n"/>
      <c r="T690" s="215" t="n"/>
      <c r="U690" s="215" t="n"/>
      <c r="V690" s="215" t="n"/>
      <c r="W690" s="215" t="n"/>
      <c r="X690" s="215" t="n"/>
      <c r="Y690" s="215" t="n"/>
      <c r="Z690" s="215" t="n"/>
      <c r="AA690" s="215" t="n"/>
      <c r="AB690" s="215" t="n"/>
      <c r="AC690" s="215" t="n"/>
      <c r="AD690" s="215" t="n"/>
      <c r="AE690" s="215" t="n"/>
      <c r="AF690" s="215" t="n"/>
      <c r="AG690" s="215" t="n"/>
      <c r="AH690" s="215" t="n"/>
      <c r="AI690" s="215" t="n"/>
      <c r="AJ690" s="215" t="n"/>
      <c r="AK690" s="216" t="n"/>
    </row>
    <row r="691" ht="15" customHeight="1">
      <c r="B691" s="134" t="n"/>
      <c r="C691" s="105" t="n"/>
      <c r="D691" s="105" t="n"/>
      <c r="E691" s="105" t="n"/>
      <c r="F691" s="105" t="n"/>
      <c r="G691" s="105" t="n"/>
      <c r="H691" s="2" t="n"/>
      <c r="I691" s="105" t="n"/>
      <c r="K691" s="215" t="n"/>
      <c r="L691" s="215" t="n"/>
      <c r="M691" s="215" t="n"/>
      <c r="N691" s="215" t="n"/>
      <c r="O691" s="215" t="n"/>
      <c r="P691" s="215" t="n"/>
      <c r="Q691" s="215" t="n"/>
      <c r="R691" s="215" t="n"/>
      <c r="S691" s="215" t="n"/>
      <c r="T691" s="215" t="n"/>
      <c r="U691" s="215" t="n"/>
      <c r="V691" s="215" t="n"/>
      <c r="W691" s="215" t="n"/>
      <c r="X691" s="215" t="n"/>
      <c r="Y691" s="215" t="n"/>
      <c r="Z691" s="215" t="n"/>
      <c r="AA691" s="215" t="n"/>
      <c r="AB691" s="215" t="n"/>
      <c r="AC691" s="215" t="n"/>
      <c r="AD691" s="215" t="n"/>
      <c r="AE691" s="215" t="n"/>
      <c r="AF691" s="215" t="n"/>
      <c r="AG691" s="215" t="n"/>
      <c r="AH691" s="215" t="n"/>
      <c r="AI691" s="215" t="n"/>
      <c r="AJ691" s="215" t="n"/>
      <c r="AK691" s="216" t="n"/>
    </row>
    <row r="692" ht="15" customHeight="1">
      <c r="B692" s="134" t="n"/>
      <c r="C692" s="105" t="n"/>
      <c r="D692" s="105" t="n"/>
      <c r="E692" s="105" t="n"/>
      <c r="F692" s="105" t="n"/>
      <c r="G692" s="105" t="n"/>
      <c r="H692" s="2" t="n"/>
      <c r="I692" s="105" t="n"/>
      <c r="K692" s="215" t="n"/>
      <c r="L692" s="215" t="n"/>
      <c r="M692" s="215" t="n"/>
      <c r="N692" s="215" t="n"/>
      <c r="O692" s="215" t="n"/>
      <c r="P692" s="215" t="n"/>
      <c r="Q692" s="215" t="n"/>
      <c r="R692" s="215" t="n"/>
      <c r="S692" s="215" t="n"/>
      <c r="T692" s="215" t="n"/>
      <c r="U692" s="215" t="n"/>
      <c r="V692" s="215" t="n"/>
      <c r="W692" s="215" t="n"/>
      <c r="X692" s="215" t="n"/>
      <c r="Y692" s="215" t="n"/>
      <c r="Z692" s="215" t="n"/>
      <c r="AA692" s="215" t="n"/>
      <c r="AB692" s="215" t="n"/>
      <c r="AC692" s="215" t="n"/>
      <c r="AD692" s="215" t="n"/>
      <c r="AE692" s="215" t="n"/>
      <c r="AF692" s="215" t="n"/>
      <c r="AG692" s="215" t="n"/>
      <c r="AH692" s="215" t="n"/>
      <c r="AI692" s="215" t="n"/>
      <c r="AJ692" s="215" t="n"/>
      <c r="AK692" s="216" t="n"/>
    </row>
    <row r="693" ht="15" customHeight="1">
      <c r="B693" s="134" t="n"/>
      <c r="C693" s="105" t="n"/>
      <c r="D693" s="105" t="n"/>
      <c r="E693" s="105" t="n"/>
      <c r="F693" s="105" t="n"/>
      <c r="G693" s="105" t="n"/>
      <c r="H693" s="2" t="n"/>
      <c r="I693" s="105" t="n"/>
      <c r="K693" s="215" t="n"/>
      <c r="L693" s="215" t="n"/>
      <c r="M693" s="215" t="n"/>
      <c r="N693" s="215" t="n"/>
      <c r="O693" s="215" t="n"/>
      <c r="P693" s="215" t="n"/>
      <c r="Q693" s="215" t="n"/>
      <c r="R693" s="215" t="n"/>
      <c r="S693" s="215" t="n"/>
      <c r="T693" s="215" t="n"/>
      <c r="U693" s="215" t="n"/>
      <c r="V693" s="215" t="n"/>
      <c r="W693" s="215" t="n"/>
      <c r="X693" s="215" t="n"/>
      <c r="Y693" s="215" t="n"/>
      <c r="Z693" s="215" t="n"/>
      <c r="AA693" s="215" t="n"/>
      <c r="AB693" s="215" t="n"/>
      <c r="AC693" s="215" t="n"/>
      <c r="AD693" s="215" t="n"/>
      <c r="AE693" s="215" t="n"/>
      <c r="AF693" s="215" t="n"/>
      <c r="AG693" s="215" t="n"/>
      <c r="AH693" s="215" t="n"/>
      <c r="AI693" s="215" t="n"/>
      <c r="AJ693" s="215" t="n"/>
      <c r="AK693" s="216" t="n"/>
    </row>
    <row r="694" ht="15" customHeight="1">
      <c r="B694" s="134" t="n"/>
      <c r="C694" s="105" t="n"/>
      <c r="D694" s="105" t="n"/>
      <c r="E694" s="105" t="n"/>
      <c r="F694" s="105" t="n"/>
      <c r="G694" s="105" t="n"/>
      <c r="H694" s="2" t="n"/>
      <c r="I694" s="105" t="n"/>
      <c r="K694" s="215" t="n"/>
      <c r="L694" s="215" t="n"/>
      <c r="M694" s="215" t="n"/>
      <c r="N694" s="215" t="n"/>
      <c r="O694" s="215" t="n"/>
      <c r="P694" s="215" t="n"/>
      <c r="Q694" s="215" t="n"/>
      <c r="R694" s="215" t="n"/>
      <c r="S694" s="215" t="n"/>
      <c r="T694" s="215" t="n"/>
      <c r="U694" s="215" t="n"/>
      <c r="V694" s="215" t="n"/>
      <c r="W694" s="215" t="n"/>
      <c r="X694" s="215" t="n"/>
      <c r="Y694" s="215" t="n"/>
      <c r="Z694" s="215" t="n"/>
      <c r="AA694" s="215" t="n"/>
      <c r="AB694" s="215" t="n"/>
      <c r="AC694" s="215" t="n"/>
      <c r="AD694" s="215" t="n"/>
      <c r="AE694" s="215" t="n"/>
      <c r="AF694" s="215" t="n"/>
      <c r="AG694" s="215" t="n"/>
      <c r="AH694" s="215" t="n"/>
      <c r="AI694" s="215" t="n"/>
      <c r="AJ694" s="215" t="n"/>
      <c r="AK694" s="216" t="n"/>
    </row>
    <row r="695" ht="15" customHeight="1">
      <c r="B695" s="134" t="n"/>
      <c r="C695" s="105" t="n"/>
      <c r="D695" s="105" t="n"/>
      <c r="E695" s="105" t="n"/>
      <c r="F695" s="105" t="n"/>
      <c r="G695" s="105" t="n"/>
      <c r="H695" s="2" t="n"/>
      <c r="I695" s="105" t="n"/>
      <c r="K695" s="215" t="n"/>
      <c r="L695" s="215" t="n"/>
      <c r="M695" s="215" t="n"/>
      <c r="N695" s="215" t="n"/>
      <c r="O695" s="215" t="n"/>
      <c r="P695" s="215" t="n"/>
      <c r="Q695" s="215" t="n"/>
      <c r="R695" s="215" t="n"/>
      <c r="S695" s="215" t="n"/>
      <c r="T695" s="215" t="n"/>
      <c r="U695" s="215" t="n"/>
      <c r="V695" s="215" t="n"/>
      <c r="W695" s="215" t="n"/>
      <c r="X695" s="215" t="n"/>
      <c r="Y695" s="215" t="n"/>
      <c r="Z695" s="215" t="n"/>
      <c r="AA695" s="215" t="n"/>
      <c r="AB695" s="215" t="n"/>
      <c r="AC695" s="215" t="n"/>
      <c r="AD695" s="215" t="n"/>
      <c r="AE695" s="215" t="n"/>
      <c r="AF695" s="215" t="n"/>
      <c r="AG695" s="215" t="n"/>
      <c r="AH695" s="215" t="n"/>
      <c r="AI695" s="215" t="n"/>
      <c r="AJ695" s="215" t="n"/>
      <c r="AK695" s="216" t="n"/>
    </row>
    <row r="696" ht="15" customHeight="1">
      <c r="B696" s="134" t="n"/>
      <c r="C696" s="105" t="n"/>
      <c r="D696" s="105" t="n"/>
      <c r="E696" s="105" t="n"/>
      <c r="F696" s="105" t="n"/>
      <c r="G696" s="105" t="n"/>
      <c r="H696" s="2" t="n"/>
      <c r="I696" s="105" t="n"/>
      <c r="K696" s="215" t="n"/>
      <c r="L696" s="215" t="n"/>
      <c r="M696" s="215" t="n"/>
      <c r="N696" s="215" t="n"/>
      <c r="O696" s="215" t="n"/>
      <c r="P696" s="215" t="n"/>
      <c r="Q696" s="215" t="n"/>
      <c r="R696" s="215" t="n"/>
      <c r="S696" s="215" t="n"/>
      <c r="T696" s="215" t="n"/>
      <c r="U696" s="215" t="n"/>
      <c r="V696" s="215" t="n"/>
      <c r="W696" s="215" t="n"/>
      <c r="X696" s="215" t="n"/>
      <c r="Y696" s="215" t="n"/>
      <c r="Z696" s="215" t="n"/>
      <c r="AA696" s="215" t="n"/>
      <c r="AB696" s="215" t="n"/>
      <c r="AC696" s="215" t="n"/>
      <c r="AD696" s="215" t="n"/>
      <c r="AE696" s="215" t="n"/>
      <c r="AF696" s="215" t="n"/>
      <c r="AG696" s="215" t="n"/>
      <c r="AH696" s="215" t="n"/>
      <c r="AI696" s="215" t="n"/>
      <c r="AJ696" s="215" t="n"/>
      <c r="AK696" s="216" t="n"/>
    </row>
    <row r="697" ht="15" customHeight="1">
      <c r="B697" s="134" t="n"/>
      <c r="C697" s="105" t="n"/>
      <c r="D697" s="105" t="n"/>
      <c r="E697" s="105" t="n"/>
      <c r="F697" s="105" t="n"/>
      <c r="G697" s="105" t="n"/>
      <c r="H697" s="2" t="n"/>
      <c r="I697" s="105" t="n"/>
      <c r="K697" s="215" t="n"/>
      <c r="L697" s="215" t="n"/>
      <c r="M697" s="215" t="n"/>
      <c r="N697" s="215" t="n"/>
      <c r="O697" s="215" t="n"/>
      <c r="P697" s="215" t="n"/>
      <c r="Q697" s="215" t="n"/>
      <c r="R697" s="215" t="n"/>
      <c r="S697" s="215" t="n"/>
      <c r="T697" s="215" t="n"/>
      <c r="U697" s="215" t="n"/>
      <c r="V697" s="215" t="n"/>
      <c r="W697" s="215" t="n"/>
      <c r="X697" s="215" t="n"/>
      <c r="Y697" s="215" t="n"/>
      <c r="Z697" s="215" t="n"/>
      <c r="AA697" s="215" t="n"/>
      <c r="AB697" s="215" t="n"/>
      <c r="AC697" s="215" t="n"/>
      <c r="AD697" s="215" t="n"/>
      <c r="AE697" s="215" t="n"/>
      <c r="AF697" s="215" t="n"/>
      <c r="AG697" s="215" t="n"/>
      <c r="AH697" s="215" t="n"/>
      <c r="AI697" s="215" t="n"/>
      <c r="AJ697" s="215" t="n"/>
      <c r="AK697" s="216" t="n"/>
    </row>
    <row r="698" ht="15" customHeight="1">
      <c r="B698" s="134" t="n"/>
      <c r="C698" s="105" t="n"/>
      <c r="D698" s="105" t="n"/>
      <c r="E698" s="105" t="n"/>
      <c r="F698" s="105" t="n"/>
      <c r="G698" s="105" t="n"/>
      <c r="H698" s="2" t="n"/>
      <c r="I698" s="105" t="n"/>
      <c r="K698" s="215" t="n"/>
      <c r="L698" s="215" t="n"/>
      <c r="M698" s="215" t="n"/>
      <c r="N698" s="215" t="n"/>
      <c r="O698" s="215" t="n"/>
      <c r="P698" s="215" t="n"/>
      <c r="Q698" s="215" t="n"/>
      <c r="R698" s="215" t="n"/>
      <c r="S698" s="215" t="n"/>
      <c r="T698" s="215" t="n"/>
      <c r="U698" s="215" t="n"/>
      <c r="V698" s="215" t="n"/>
      <c r="W698" s="215" t="n"/>
      <c r="X698" s="215" t="n"/>
      <c r="Y698" s="215" t="n"/>
      <c r="Z698" s="215" t="n"/>
      <c r="AA698" s="215" t="n"/>
      <c r="AB698" s="215" t="n"/>
      <c r="AC698" s="215" t="n"/>
      <c r="AD698" s="215" t="n"/>
      <c r="AE698" s="215" t="n"/>
      <c r="AF698" s="215" t="n"/>
      <c r="AG698" s="215" t="n"/>
      <c r="AH698" s="215" t="n"/>
      <c r="AI698" s="215" t="n"/>
      <c r="AJ698" s="215" t="n"/>
      <c r="AK698" s="216" t="n"/>
    </row>
    <row r="699" ht="15" customHeight="1">
      <c r="B699" s="134" t="n"/>
      <c r="C699" s="105" t="n"/>
      <c r="D699" s="105" t="n"/>
      <c r="E699" s="105" t="n"/>
      <c r="F699" s="105" t="n"/>
      <c r="G699" s="105" t="n"/>
      <c r="H699" s="2" t="n"/>
      <c r="I699" s="105" t="n"/>
      <c r="K699" s="215" t="n"/>
      <c r="L699" s="215" t="n"/>
      <c r="M699" s="215" t="n"/>
      <c r="N699" s="215" t="n"/>
      <c r="O699" s="215" t="n"/>
      <c r="P699" s="215" t="n"/>
      <c r="Q699" s="215" t="n"/>
      <c r="R699" s="215" t="n"/>
      <c r="S699" s="215" t="n"/>
      <c r="T699" s="215" t="n"/>
      <c r="U699" s="215" t="n"/>
      <c r="V699" s="215" t="n"/>
      <c r="W699" s="215" t="n"/>
      <c r="X699" s="215" t="n"/>
      <c r="Y699" s="215" t="n"/>
      <c r="Z699" s="215" t="n"/>
      <c r="AA699" s="215" t="n"/>
      <c r="AB699" s="215" t="n"/>
      <c r="AC699" s="215" t="n"/>
      <c r="AD699" s="215" t="n"/>
      <c r="AE699" s="215" t="n"/>
      <c r="AF699" s="215" t="n"/>
      <c r="AG699" s="215" t="n"/>
      <c r="AH699" s="215" t="n"/>
      <c r="AI699" s="215" t="n"/>
      <c r="AJ699" s="215" t="n"/>
      <c r="AK699" s="216" t="n"/>
    </row>
    <row r="700" ht="15" customHeight="1">
      <c r="B700" s="134" t="n"/>
      <c r="C700" s="105" t="n"/>
      <c r="D700" s="105" t="n"/>
      <c r="E700" s="105" t="n"/>
      <c r="F700" s="105" t="n"/>
      <c r="G700" s="105" t="n"/>
      <c r="H700" s="2" t="n"/>
      <c r="I700" s="105" t="n"/>
      <c r="K700" s="215" t="n"/>
      <c r="L700" s="215" t="n"/>
      <c r="M700" s="215" t="n"/>
      <c r="N700" s="215" t="n"/>
      <c r="O700" s="215" t="n"/>
      <c r="P700" s="215" t="n"/>
      <c r="Q700" s="215" t="n"/>
      <c r="R700" s="215" t="n"/>
      <c r="S700" s="215" t="n"/>
      <c r="T700" s="215" t="n"/>
      <c r="U700" s="215" t="n"/>
      <c r="V700" s="215" t="n"/>
      <c r="W700" s="215" t="n"/>
      <c r="X700" s="215" t="n"/>
      <c r="Y700" s="215" t="n"/>
      <c r="Z700" s="215" t="n"/>
      <c r="AA700" s="215" t="n"/>
      <c r="AB700" s="215" t="n"/>
      <c r="AC700" s="215" t="n"/>
      <c r="AD700" s="215" t="n"/>
      <c r="AE700" s="215" t="n"/>
      <c r="AF700" s="215" t="n"/>
      <c r="AG700" s="215" t="n"/>
      <c r="AH700" s="215" t="n"/>
      <c r="AI700" s="215" t="n"/>
      <c r="AJ700" s="215" t="n"/>
      <c r="AK700" s="216" t="n"/>
    </row>
    <row r="701" ht="15" customHeight="1">
      <c r="B701" s="134" t="n"/>
      <c r="C701" s="105" t="n"/>
      <c r="D701" s="105" t="n"/>
      <c r="E701" s="105" t="n"/>
      <c r="F701" s="105" t="n"/>
      <c r="G701" s="105" t="n"/>
      <c r="H701" s="2" t="n"/>
      <c r="I701" s="105" t="n"/>
      <c r="K701" s="215" t="n"/>
      <c r="L701" s="215" t="n"/>
      <c r="M701" s="215" t="n"/>
      <c r="N701" s="215" t="n"/>
      <c r="O701" s="215" t="n"/>
      <c r="P701" s="215" t="n"/>
      <c r="Q701" s="215" t="n"/>
      <c r="R701" s="215" t="n"/>
      <c r="S701" s="215" t="n"/>
      <c r="T701" s="215" t="n"/>
      <c r="U701" s="215" t="n"/>
      <c r="V701" s="215" t="n"/>
      <c r="W701" s="215" t="n"/>
      <c r="X701" s="215" t="n"/>
      <c r="Y701" s="215" t="n"/>
      <c r="Z701" s="215" t="n"/>
      <c r="AA701" s="215" t="n"/>
      <c r="AB701" s="215" t="n"/>
      <c r="AC701" s="215" t="n"/>
      <c r="AD701" s="215" t="n"/>
      <c r="AE701" s="215" t="n"/>
      <c r="AF701" s="215" t="n"/>
      <c r="AG701" s="215" t="n"/>
      <c r="AH701" s="215" t="n"/>
      <c r="AI701" s="215" t="n"/>
      <c r="AJ701" s="215" t="n"/>
      <c r="AK701" s="216" t="n"/>
    </row>
    <row r="702" ht="15" customHeight="1">
      <c r="B702" s="134" t="n"/>
      <c r="C702" s="105" t="n"/>
      <c r="D702" s="105" t="n"/>
      <c r="E702" s="105" t="n"/>
      <c r="F702" s="105" t="n"/>
      <c r="G702" s="105" t="n"/>
      <c r="H702" s="2" t="n"/>
      <c r="I702" s="105" t="n"/>
      <c r="K702" s="215" t="n"/>
      <c r="L702" s="215" t="n"/>
      <c r="M702" s="215" t="n"/>
      <c r="N702" s="215" t="n"/>
      <c r="O702" s="215" t="n"/>
      <c r="P702" s="215" t="n"/>
      <c r="Q702" s="215" t="n"/>
      <c r="R702" s="215" t="n"/>
      <c r="S702" s="215" t="n"/>
      <c r="T702" s="215" t="n"/>
      <c r="U702" s="215" t="n"/>
      <c r="V702" s="215" t="n"/>
      <c r="W702" s="215" t="n"/>
      <c r="X702" s="215" t="n"/>
      <c r="Y702" s="215" t="n"/>
      <c r="Z702" s="215" t="n"/>
      <c r="AA702" s="215" t="n"/>
      <c r="AB702" s="215" t="n"/>
      <c r="AC702" s="215" t="n"/>
      <c r="AD702" s="215" t="n"/>
      <c r="AE702" s="215" t="n"/>
      <c r="AF702" s="215" t="n"/>
      <c r="AG702" s="215" t="n"/>
      <c r="AH702" s="215" t="n"/>
      <c r="AI702" s="215" t="n"/>
      <c r="AJ702" s="215" t="n"/>
      <c r="AK702" s="216" t="n"/>
    </row>
    <row r="703" ht="15" customHeight="1">
      <c r="B703" s="134" t="n"/>
      <c r="C703" s="105" t="n"/>
      <c r="D703" s="105" t="n"/>
      <c r="E703" s="105" t="n"/>
      <c r="F703" s="105" t="n"/>
      <c r="G703" s="105" t="n"/>
      <c r="H703" s="2" t="n"/>
      <c r="I703" s="105" t="n"/>
      <c r="K703" s="215" t="n"/>
      <c r="L703" s="215" t="n"/>
      <c r="M703" s="215" t="n"/>
      <c r="N703" s="215" t="n"/>
      <c r="O703" s="215" t="n"/>
      <c r="P703" s="215" t="n"/>
      <c r="Q703" s="215" t="n"/>
      <c r="R703" s="215" t="n"/>
      <c r="S703" s="215" t="n"/>
      <c r="T703" s="215" t="n"/>
      <c r="U703" s="215" t="n"/>
      <c r="V703" s="215" t="n"/>
      <c r="W703" s="215" t="n"/>
      <c r="X703" s="215" t="n"/>
      <c r="Y703" s="215" t="n"/>
      <c r="Z703" s="215" t="n"/>
      <c r="AA703" s="215" t="n"/>
      <c r="AB703" s="215" t="n"/>
      <c r="AC703" s="215" t="n"/>
      <c r="AD703" s="215" t="n"/>
      <c r="AE703" s="215" t="n"/>
      <c r="AF703" s="215" t="n"/>
      <c r="AG703" s="215" t="n"/>
      <c r="AH703" s="215" t="n"/>
      <c r="AI703" s="215" t="n"/>
      <c r="AJ703" s="215" t="n"/>
      <c r="AK703" s="216" t="n"/>
    </row>
    <row r="704" ht="15" customHeight="1">
      <c r="B704" s="134" t="n"/>
      <c r="C704" s="105" t="n"/>
      <c r="D704" s="105" t="n"/>
      <c r="E704" s="105" t="n"/>
      <c r="F704" s="105" t="n"/>
      <c r="G704" s="105" t="n"/>
      <c r="H704" s="2" t="n"/>
      <c r="I704" s="105" t="n"/>
      <c r="K704" s="215" t="n"/>
      <c r="L704" s="215" t="n"/>
      <c r="M704" s="215" t="n"/>
      <c r="N704" s="215" t="n"/>
      <c r="O704" s="215" t="n"/>
      <c r="P704" s="215" t="n"/>
      <c r="Q704" s="215" t="n"/>
      <c r="R704" s="215" t="n"/>
      <c r="S704" s="215" t="n"/>
      <c r="T704" s="215" t="n"/>
      <c r="U704" s="215" t="n"/>
      <c r="V704" s="215" t="n"/>
      <c r="W704" s="215" t="n"/>
      <c r="X704" s="215" t="n"/>
      <c r="Y704" s="215" t="n"/>
      <c r="Z704" s="215" t="n"/>
      <c r="AA704" s="215" t="n"/>
      <c r="AB704" s="215" t="n"/>
      <c r="AC704" s="215" t="n"/>
      <c r="AD704" s="215" t="n"/>
      <c r="AE704" s="215" t="n"/>
      <c r="AF704" s="215" t="n"/>
      <c r="AG704" s="215" t="n"/>
      <c r="AH704" s="215" t="n"/>
      <c r="AI704" s="215" t="n"/>
      <c r="AJ704" s="215" t="n"/>
      <c r="AK704" s="216" t="n"/>
    </row>
    <row r="705" ht="15" customHeight="1">
      <c r="B705" s="134" t="n"/>
      <c r="C705" s="105" t="n"/>
      <c r="D705" s="105" t="n"/>
      <c r="E705" s="105" t="n"/>
      <c r="F705" s="105" t="n"/>
      <c r="G705" s="105" t="n"/>
      <c r="H705" s="2" t="n"/>
      <c r="I705" s="105" t="n"/>
      <c r="K705" s="215" t="n"/>
      <c r="L705" s="215" t="n"/>
      <c r="M705" s="215" t="n"/>
      <c r="N705" s="215" t="n"/>
      <c r="O705" s="215" t="n"/>
      <c r="P705" s="215" t="n"/>
      <c r="Q705" s="215" t="n"/>
      <c r="R705" s="215" t="n"/>
      <c r="S705" s="215" t="n"/>
      <c r="T705" s="215" t="n"/>
      <c r="U705" s="215" t="n"/>
      <c r="V705" s="215" t="n"/>
      <c r="W705" s="215" t="n"/>
      <c r="X705" s="215" t="n"/>
      <c r="Y705" s="215" t="n"/>
      <c r="Z705" s="215" t="n"/>
      <c r="AA705" s="215" t="n"/>
      <c r="AB705" s="215" t="n"/>
      <c r="AC705" s="215" t="n"/>
      <c r="AD705" s="215" t="n"/>
      <c r="AE705" s="215" t="n"/>
      <c r="AF705" s="215" t="n"/>
      <c r="AG705" s="215" t="n"/>
      <c r="AH705" s="215" t="n"/>
      <c r="AI705" s="215" t="n"/>
      <c r="AJ705" s="215" t="n"/>
      <c r="AK705" s="216" t="n"/>
    </row>
    <row r="706" ht="15" customHeight="1">
      <c r="B706" s="134" t="n"/>
      <c r="C706" s="105" t="n"/>
      <c r="D706" s="105" t="n"/>
      <c r="E706" s="105" t="n"/>
      <c r="F706" s="105" t="n"/>
      <c r="G706" s="105" t="n"/>
      <c r="H706" s="2" t="n"/>
      <c r="I706" s="105" t="n"/>
      <c r="K706" s="215" t="n"/>
      <c r="L706" s="215" t="n"/>
      <c r="M706" s="215" t="n"/>
      <c r="N706" s="215" t="n"/>
      <c r="O706" s="215" t="n"/>
      <c r="P706" s="215" t="n"/>
      <c r="Q706" s="215" t="n"/>
      <c r="R706" s="215" t="n"/>
      <c r="S706" s="215" t="n"/>
      <c r="T706" s="215" t="n"/>
      <c r="U706" s="215" t="n"/>
      <c r="V706" s="215" t="n"/>
      <c r="W706" s="215" t="n"/>
      <c r="X706" s="215" t="n"/>
      <c r="Y706" s="215" t="n"/>
      <c r="Z706" s="215" t="n"/>
      <c r="AA706" s="215" t="n"/>
      <c r="AB706" s="215" t="n"/>
      <c r="AC706" s="215" t="n"/>
      <c r="AD706" s="215" t="n"/>
      <c r="AE706" s="215" t="n"/>
      <c r="AF706" s="215" t="n"/>
      <c r="AG706" s="215" t="n"/>
      <c r="AH706" s="215" t="n"/>
      <c r="AI706" s="215" t="n"/>
      <c r="AJ706" s="215" t="n"/>
      <c r="AK706" s="216" t="n"/>
    </row>
    <row r="707" ht="15" customHeight="1">
      <c r="B707" s="134" t="n"/>
      <c r="C707" s="105" t="n"/>
      <c r="D707" s="105" t="n"/>
      <c r="E707" s="105" t="n"/>
      <c r="F707" s="105" t="n"/>
      <c r="G707" s="105" t="n"/>
      <c r="H707" s="2" t="n"/>
      <c r="I707" s="105" t="n"/>
      <c r="K707" s="215" t="n"/>
      <c r="L707" s="215" t="n"/>
      <c r="M707" s="215" t="n"/>
      <c r="N707" s="215" t="n"/>
      <c r="O707" s="215" t="n"/>
      <c r="P707" s="215" t="n"/>
      <c r="Q707" s="215" t="n"/>
      <c r="R707" s="215" t="n"/>
      <c r="S707" s="215" t="n"/>
      <c r="T707" s="215" t="n"/>
      <c r="U707" s="215" t="n"/>
      <c r="V707" s="215" t="n"/>
      <c r="W707" s="215" t="n"/>
      <c r="X707" s="215" t="n"/>
      <c r="Y707" s="215" t="n"/>
      <c r="Z707" s="215" t="n"/>
      <c r="AA707" s="215" t="n"/>
      <c r="AB707" s="215" t="n"/>
      <c r="AC707" s="215" t="n"/>
      <c r="AD707" s="215" t="n"/>
      <c r="AE707" s="215" t="n"/>
      <c r="AF707" s="215" t="n"/>
      <c r="AG707" s="215" t="n"/>
      <c r="AH707" s="215" t="n"/>
      <c r="AI707" s="215" t="n"/>
      <c r="AJ707" s="215" t="n"/>
      <c r="AK707" s="216" t="n"/>
    </row>
    <row r="708" ht="15" customHeight="1">
      <c r="B708" s="134" t="n"/>
      <c r="C708" s="105" t="n"/>
      <c r="D708" s="105" t="n"/>
      <c r="E708" s="105" t="n"/>
      <c r="F708" s="105" t="n"/>
      <c r="G708" s="105" t="n"/>
      <c r="H708" s="2" t="n"/>
      <c r="I708" s="105" t="n"/>
      <c r="K708" s="215" t="n"/>
      <c r="L708" s="215" t="n"/>
      <c r="M708" s="215" t="n"/>
      <c r="N708" s="215" t="n"/>
      <c r="O708" s="215" t="n"/>
      <c r="P708" s="215" t="n"/>
      <c r="Q708" s="215" t="n"/>
      <c r="R708" s="215" t="n"/>
      <c r="S708" s="215" t="n"/>
      <c r="T708" s="215" t="n"/>
      <c r="U708" s="215" t="n"/>
      <c r="V708" s="215" t="n"/>
      <c r="W708" s="215" t="n"/>
      <c r="X708" s="215" t="n"/>
      <c r="Y708" s="215" t="n"/>
      <c r="Z708" s="215" t="n"/>
      <c r="AA708" s="215" t="n"/>
      <c r="AB708" s="215" t="n"/>
      <c r="AC708" s="215" t="n"/>
      <c r="AD708" s="215" t="n"/>
      <c r="AE708" s="215" t="n"/>
      <c r="AF708" s="215" t="n"/>
      <c r="AG708" s="215" t="n"/>
      <c r="AH708" s="215" t="n"/>
      <c r="AI708" s="215" t="n"/>
      <c r="AJ708" s="215" t="n"/>
      <c r="AK708" s="216" t="n"/>
    </row>
    <row r="709" ht="15" customHeight="1">
      <c r="B709" s="134" t="n"/>
      <c r="C709" s="105" t="n"/>
      <c r="D709" s="105" t="n"/>
      <c r="E709" s="105" t="n"/>
      <c r="F709" s="105" t="n"/>
      <c r="G709" s="105" t="n"/>
      <c r="H709" s="2" t="n"/>
      <c r="I709" s="105" t="n"/>
      <c r="K709" s="215" t="n"/>
      <c r="L709" s="215" t="n"/>
      <c r="M709" s="215" t="n"/>
      <c r="N709" s="215" t="n"/>
      <c r="O709" s="215" t="n"/>
      <c r="P709" s="215" t="n"/>
      <c r="Q709" s="215" t="n"/>
      <c r="R709" s="215" t="n"/>
      <c r="S709" s="215" t="n"/>
      <c r="T709" s="215" t="n"/>
      <c r="U709" s="215" t="n"/>
      <c r="V709" s="215" t="n"/>
      <c r="W709" s="215" t="n"/>
      <c r="X709" s="215" t="n"/>
      <c r="Y709" s="215" t="n"/>
      <c r="Z709" s="215" t="n"/>
      <c r="AA709" s="215" t="n"/>
      <c r="AB709" s="215" t="n"/>
      <c r="AC709" s="215" t="n"/>
      <c r="AD709" s="215" t="n"/>
      <c r="AE709" s="215" t="n"/>
      <c r="AF709" s="215" t="n"/>
      <c r="AG709" s="215" t="n"/>
      <c r="AH709" s="215" t="n"/>
      <c r="AI709" s="215" t="n"/>
      <c r="AJ709" s="215" t="n"/>
      <c r="AK709" s="216" t="n"/>
    </row>
    <row r="710" ht="15" customHeight="1">
      <c r="B710" s="134" t="n"/>
      <c r="C710" s="105" t="n"/>
      <c r="D710" s="105" t="n"/>
      <c r="E710" s="105" t="n"/>
      <c r="F710" s="105" t="n"/>
      <c r="G710" s="105" t="n"/>
      <c r="H710" s="2" t="n"/>
      <c r="I710" s="105" t="n"/>
      <c r="K710" s="215" t="n"/>
      <c r="L710" s="215" t="n"/>
      <c r="M710" s="215" t="n"/>
      <c r="N710" s="215" t="n"/>
      <c r="O710" s="215" t="n"/>
      <c r="P710" s="215" t="n"/>
      <c r="Q710" s="215" t="n"/>
      <c r="R710" s="215" t="n"/>
      <c r="S710" s="215" t="n"/>
      <c r="T710" s="215" t="n"/>
      <c r="U710" s="215" t="n"/>
      <c r="V710" s="215" t="n"/>
      <c r="W710" s="215" t="n"/>
      <c r="X710" s="215" t="n"/>
      <c r="Y710" s="215" t="n"/>
      <c r="Z710" s="215" t="n"/>
      <c r="AA710" s="215" t="n"/>
      <c r="AB710" s="215" t="n"/>
      <c r="AC710" s="215" t="n"/>
      <c r="AD710" s="215" t="n"/>
      <c r="AE710" s="215" t="n"/>
      <c r="AF710" s="215" t="n"/>
      <c r="AG710" s="215" t="n"/>
      <c r="AH710" s="215" t="n"/>
      <c r="AI710" s="215" t="n"/>
      <c r="AJ710" s="215" t="n"/>
      <c r="AK710" s="216" t="n"/>
    </row>
    <row r="711" ht="15" customHeight="1">
      <c r="B711" s="134" t="n"/>
      <c r="C711" s="105" t="n"/>
      <c r="D711" s="105" t="n"/>
      <c r="E711" s="105" t="n"/>
      <c r="F711" s="105" t="n"/>
      <c r="G711" s="105" t="n"/>
      <c r="H711" s="2" t="n"/>
      <c r="I711" s="105" t="n"/>
      <c r="K711" s="215" t="n"/>
      <c r="L711" s="215" t="n"/>
      <c r="M711" s="215" t="n"/>
      <c r="N711" s="215" t="n"/>
      <c r="O711" s="215" t="n"/>
      <c r="P711" s="215" t="n"/>
      <c r="Q711" s="215" t="n"/>
      <c r="R711" s="215" t="n"/>
      <c r="S711" s="215" t="n"/>
      <c r="T711" s="215" t="n"/>
      <c r="U711" s="215" t="n"/>
      <c r="V711" s="215" t="n"/>
      <c r="W711" s="215" t="n"/>
      <c r="X711" s="215" t="n"/>
      <c r="Y711" s="215" t="n"/>
      <c r="Z711" s="215" t="n"/>
      <c r="AA711" s="215" t="n"/>
      <c r="AB711" s="215" t="n"/>
      <c r="AC711" s="215" t="n"/>
      <c r="AD711" s="215" t="n"/>
      <c r="AE711" s="215" t="n"/>
      <c r="AF711" s="215" t="n"/>
      <c r="AG711" s="215" t="n"/>
      <c r="AH711" s="215" t="n"/>
      <c r="AI711" s="215" t="n"/>
      <c r="AJ711" s="215" t="n"/>
      <c r="AK711" s="216" t="n"/>
    </row>
    <row r="712" ht="15" customHeight="1">
      <c r="B712" s="134" t="n"/>
      <c r="C712" s="105" t="n"/>
      <c r="D712" s="105" t="n"/>
      <c r="E712" s="105" t="n"/>
      <c r="F712" s="105" t="n"/>
      <c r="G712" s="105" t="n"/>
      <c r="H712" s="2" t="n"/>
      <c r="I712" s="105" t="n"/>
      <c r="K712" s="215" t="n"/>
      <c r="L712" s="215" t="n"/>
      <c r="M712" s="215" t="n"/>
      <c r="N712" s="215" t="n"/>
      <c r="O712" s="215" t="n"/>
      <c r="P712" s="215" t="n"/>
      <c r="Q712" s="215" t="n"/>
      <c r="R712" s="215" t="n"/>
      <c r="S712" s="215" t="n"/>
      <c r="T712" s="215" t="n"/>
      <c r="U712" s="215" t="n"/>
      <c r="V712" s="215" t="n"/>
      <c r="W712" s="215" t="n"/>
      <c r="X712" s="215" t="n"/>
      <c r="Y712" s="215" t="n"/>
      <c r="Z712" s="215" t="n"/>
      <c r="AA712" s="215" t="n"/>
      <c r="AB712" s="215" t="n"/>
      <c r="AC712" s="215" t="n"/>
      <c r="AD712" s="215" t="n"/>
      <c r="AE712" s="215" t="n"/>
      <c r="AF712" s="215" t="n"/>
      <c r="AG712" s="215" t="n"/>
      <c r="AH712" s="215" t="n"/>
      <c r="AI712" s="215" t="n"/>
      <c r="AJ712" s="215" t="n"/>
      <c r="AK712" s="216" t="n"/>
    </row>
    <row r="713" ht="15" customHeight="1">
      <c r="B713" s="134" t="n"/>
      <c r="C713" s="105" t="n"/>
      <c r="D713" s="105" t="n"/>
      <c r="E713" s="105" t="n"/>
      <c r="F713" s="105" t="n"/>
      <c r="G713" s="105" t="n"/>
      <c r="H713" s="2" t="n"/>
      <c r="I713" s="105" t="n"/>
      <c r="K713" s="215" t="n"/>
      <c r="L713" s="215" t="n"/>
      <c r="M713" s="215" t="n"/>
      <c r="N713" s="215" t="n"/>
      <c r="O713" s="215" t="n"/>
      <c r="P713" s="215" t="n"/>
      <c r="Q713" s="215" t="n"/>
      <c r="R713" s="215" t="n"/>
      <c r="S713" s="215" t="n"/>
      <c r="T713" s="215" t="n"/>
      <c r="U713" s="215" t="n"/>
      <c r="V713" s="215" t="n"/>
      <c r="W713" s="215" t="n"/>
      <c r="X713" s="215" t="n"/>
      <c r="Y713" s="215" t="n"/>
      <c r="Z713" s="215" t="n"/>
      <c r="AA713" s="215" t="n"/>
      <c r="AB713" s="215" t="n"/>
      <c r="AC713" s="215" t="n"/>
      <c r="AD713" s="215" t="n"/>
      <c r="AE713" s="215" t="n"/>
      <c r="AF713" s="215" t="n"/>
      <c r="AG713" s="215" t="n"/>
      <c r="AH713" s="215" t="n"/>
      <c r="AI713" s="215" t="n"/>
      <c r="AJ713" s="215" t="n"/>
      <c r="AK713" s="216" t="n"/>
    </row>
    <row r="714" ht="15" customHeight="1">
      <c r="B714" s="134" t="n"/>
      <c r="C714" s="105" t="n"/>
      <c r="D714" s="105" t="n"/>
      <c r="E714" s="105" t="n"/>
      <c r="F714" s="105" t="n"/>
      <c r="G714" s="105" t="n"/>
      <c r="H714" s="2" t="n"/>
      <c r="I714" s="105" t="n"/>
      <c r="K714" s="215" t="n"/>
      <c r="L714" s="215" t="n"/>
      <c r="M714" s="215" t="n"/>
      <c r="N714" s="215" t="n"/>
      <c r="O714" s="215" t="n"/>
      <c r="P714" s="215" t="n"/>
      <c r="Q714" s="215" t="n"/>
      <c r="R714" s="215" t="n"/>
      <c r="S714" s="215" t="n"/>
      <c r="T714" s="215" t="n"/>
      <c r="U714" s="215" t="n"/>
      <c r="V714" s="215" t="n"/>
      <c r="W714" s="215" t="n"/>
      <c r="X714" s="215" t="n"/>
      <c r="Y714" s="215" t="n"/>
      <c r="Z714" s="215" t="n"/>
      <c r="AA714" s="215" t="n"/>
      <c r="AB714" s="215" t="n"/>
      <c r="AC714" s="215" t="n"/>
      <c r="AD714" s="215" t="n"/>
      <c r="AE714" s="215" t="n"/>
      <c r="AF714" s="215" t="n"/>
      <c r="AG714" s="215" t="n"/>
      <c r="AH714" s="215" t="n"/>
      <c r="AI714" s="215" t="n"/>
      <c r="AJ714" s="215" t="n"/>
      <c r="AK714" s="216" t="n"/>
    </row>
    <row r="715" ht="15" customHeight="1">
      <c r="B715" s="134" t="n"/>
      <c r="C715" s="105" t="n"/>
      <c r="D715" s="105" t="n"/>
      <c r="E715" s="105" t="n"/>
      <c r="F715" s="105" t="n"/>
      <c r="G715" s="105" t="n"/>
      <c r="H715" s="2" t="n"/>
      <c r="I715" s="105" t="n"/>
      <c r="K715" s="215" t="n"/>
      <c r="L715" s="215" t="n"/>
      <c r="M715" s="215" t="n"/>
      <c r="N715" s="215" t="n"/>
      <c r="O715" s="215" t="n"/>
      <c r="P715" s="215" t="n"/>
      <c r="Q715" s="215" t="n"/>
      <c r="R715" s="215" t="n"/>
      <c r="S715" s="215" t="n"/>
      <c r="T715" s="215" t="n"/>
      <c r="U715" s="215" t="n"/>
      <c r="V715" s="215" t="n"/>
      <c r="W715" s="215" t="n"/>
      <c r="X715" s="215" t="n"/>
      <c r="Y715" s="215" t="n"/>
      <c r="Z715" s="215" t="n"/>
      <c r="AA715" s="215" t="n"/>
      <c r="AB715" s="215" t="n"/>
      <c r="AC715" s="215" t="n"/>
      <c r="AD715" s="215" t="n"/>
      <c r="AE715" s="215" t="n"/>
      <c r="AF715" s="215" t="n"/>
      <c r="AG715" s="215" t="n"/>
      <c r="AH715" s="215" t="n"/>
      <c r="AI715" s="215" t="n"/>
      <c r="AJ715" s="215" t="n"/>
      <c r="AK715" s="216" t="n"/>
    </row>
    <row r="716" ht="15" customHeight="1">
      <c r="B716" s="134" t="n"/>
      <c r="C716" s="105" t="n"/>
      <c r="D716" s="105" t="n"/>
      <c r="E716" s="105" t="n"/>
      <c r="F716" s="105" t="n"/>
      <c r="G716" s="105" t="n"/>
      <c r="H716" s="2" t="n"/>
      <c r="I716" s="105" t="n"/>
      <c r="K716" s="215" t="n"/>
      <c r="L716" s="215" t="n"/>
      <c r="M716" s="215" t="n"/>
      <c r="N716" s="215" t="n"/>
      <c r="O716" s="215" t="n"/>
      <c r="P716" s="215" t="n"/>
      <c r="Q716" s="215" t="n"/>
      <c r="R716" s="215" t="n"/>
      <c r="S716" s="215" t="n"/>
      <c r="T716" s="215" t="n"/>
      <c r="U716" s="215" t="n"/>
      <c r="V716" s="215" t="n"/>
      <c r="W716" s="215" t="n"/>
      <c r="X716" s="215" t="n"/>
      <c r="Y716" s="215" t="n"/>
      <c r="Z716" s="215" t="n"/>
      <c r="AA716" s="215" t="n"/>
      <c r="AB716" s="215" t="n"/>
      <c r="AC716" s="215" t="n"/>
      <c r="AD716" s="215" t="n"/>
      <c r="AE716" s="215" t="n"/>
      <c r="AF716" s="215" t="n"/>
      <c r="AG716" s="215" t="n"/>
      <c r="AH716" s="215" t="n"/>
      <c r="AI716" s="215" t="n"/>
      <c r="AJ716" s="215" t="n"/>
      <c r="AK716" s="216" t="n"/>
    </row>
    <row r="717" ht="15" customHeight="1">
      <c r="B717" s="134" t="n"/>
      <c r="C717" s="105" t="n"/>
      <c r="D717" s="105" t="n"/>
      <c r="E717" s="105" t="n"/>
      <c r="F717" s="105" t="n"/>
      <c r="G717" s="105" t="n"/>
      <c r="H717" s="2" t="n"/>
      <c r="I717" s="105" t="n"/>
      <c r="K717" s="215" t="n"/>
      <c r="L717" s="215" t="n"/>
      <c r="M717" s="215" t="n"/>
      <c r="N717" s="215" t="n"/>
      <c r="O717" s="215" t="n"/>
      <c r="P717" s="215" t="n"/>
      <c r="Q717" s="215" t="n"/>
      <c r="R717" s="215" t="n"/>
      <c r="S717" s="215" t="n"/>
      <c r="T717" s="215" t="n"/>
      <c r="U717" s="215" t="n"/>
      <c r="V717" s="215" t="n"/>
      <c r="W717" s="215" t="n"/>
      <c r="X717" s="215" t="n"/>
      <c r="Y717" s="215" t="n"/>
      <c r="Z717" s="215" t="n"/>
      <c r="AA717" s="215" t="n"/>
      <c r="AB717" s="215" t="n"/>
      <c r="AC717" s="215" t="n"/>
      <c r="AD717" s="215" t="n"/>
      <c r="AE717" s="215" t="n"/>
      <c r="AF717" s="215" t="n"/>
      <c r="AG717" s="215" t="n"/>
      <c r="AH717" s="215" t="n"/>
      <c r="AI717" s="215" t="n"/>
      <c r="AJ717" s="215" t="n"/>
      <c r="AK717" s="216" t="n"/>
    </row>
    <row r="718" ht="15" customHeight="1">
      <c r="B718" s="134" t="n"/>
      <c r="C718" s="105" t="n"/>
      <c r="D718" s="105" t="n"/>
      <c r="E718" s="105" t="n"/>
      <c r="F718" s="105" t="n"/>
      <c r="G718" s="105" t="n"/>
      <c r="H718" s="2" t="n"/>
      <c r="I718" s="105" t="n"/>
      <c r="K718" s="215" t="n"/>
      <c r="L718" s="215" t="n"/>
      <c r="M718" s="215" t="n"/>
      <c r="N718" s="215" t="n"/>
      <c r="O718" s="215" t="n"/>
      <c r="P718" s="215" t="n"/>
      <c r="Q718" s="215" t="n"/>
      <c r="R718" s="215" t="n"/>
      <c r="S718" s="215" t="n"/>
      <c r="T718" s="215" t="n"/>
      <c r="U718" s="215" t="n"/>
      <c r="V718" s="215" t="n"/>
      <c r="W718" s="215" t="n"/>
      <c r="X718" s="215" t="n"/>
      <c r="Y718" s="215" t="n"/>
      <c r="Z718" s="215" t="n"/>
      <c r="AA718" s="215" t="n"/>
      <c r="AB718" s="215" t="n"/>
      <c r="AC718" s="215" t="n"/>
      <c r="AD718" s="215" t="n"/>
      <c r="AE718" s="215" t="n"/>
      <c r="AF718" s="215" t="n"/>
      <c r="AG718" s="215" t="n"/>
      <c r="AH718" s="215" t="n"/>
      <c r="AI718" s="215" t="n"/>
      <c r="AJ718" s="215" t="n"/>
      <c r="AK718" s="216" t="n"/>
    </row>
    <row r="719" ht="15" customHeight="1">
      <c r="B719" s="134" t="n"/>
      <c r="C719" s="105" t="n"/>
      <c r="D719" s="105" t="n"/>
      <c r="E719" s="105" t="n"/>
      <c r="F719" s="105" t="n"/>
      <c r="G719" s="105" t="n"/>
      <c r="H719" s="2" t="n"/>
      <c r="I719" s="105" t="n"/>
      <c r="K719" s="215" t="n"/>
      <c r="L719" s="215" t="n"/>
      <c r="M719" s="215" t="n"/>
      <c r="N719" s="215" t="n"/>
      <c r="O719" s="215" t="n"/>
      <c r="P719" s="215" t="n"/>
      <c r="Q719" s="215" t="n"/>
      <c r="R719" s="215" t="n"/>
      <c r="S719" s="215" t="n"/>
      <c r="T719" s="215" t="n"/>
      <c r="U719" s="215" t="n"/>
      <c r="V719" s="215" t="n"/>
      <c r="W719" s="215" t="n"/>
      <c r="X719" s="215" t="n"/>
      <c r="Y719" s="215" t="n"/>
      <c r="Z719" s="215" t="n"/>
      <c r="AA719" s="215" t="n"/>
      <c r="AB719" s="215" t="n"/>
      <c r="AC719" s="215" t="n"/>
      <c r="AD719" s="215" t="n"/>
      <c r="AE719" s="215" t="n"/>
      <c r="AF719" s="215" t="n"/>
      <c r="AG719" s="215" t="n"/>
      <c r="AH719" s="215" t="n"/>
      <c r="AI719" s="215" t="n"/>
      <c r="AJ719" s="215" t="n"/>
      <c r="AK719" s="216" t="n"/>
    </row>
    <row r="720" ht="15" customHeight="1">
      <c r="B720" s="134" t="n"/>
      <c r="C720" s="105" t="n"/>
      <c r="D720" s="105" t="n"/>
      <c r="E720" s="105" t="n"/>
      <c r="F720" s="105" t="n"/>
      <c r="G720" s="105" t="n"/>
      <c r="H720" s="2" t="n"/>
      <c r="I720" s="105" t="n"/>
      <c r="K720" s="215" t="n"/>
      <c r="L720" s="215" t="n"/>
      <c r="M720" s="215" t="n"/>
      <c r="N720" s="215" t="n"/>
      <c r="O720" s="215" t="n"/>
      <c r="P720" s="215" t="n"/>
      <c r="Q720" s="215" t="n"/>
      <c r="R720" s="215" t="n"/>
      <c r="S720" s="215" t="n"/>
      <c r="T720" s="215" t="n"/>
      <c r="U720" s="215" t="n"/>
      <c r="V720" s="215" t="n"/>
      <c r="W720" s="215" t="n"/>
      <c r="X720" s="215" t="n"/>
      <c r="Y720" s="215" t="n"/>
      <c r="Z720" s="215" t="n"/>
      <c r="AA720" s="215" t="n"/>
      <c r="AB720" s="215" t="n"/>
      <c r="AC720" s="215" t="n"/>
      <c r="AD720" s="215" t="n"/>
      <c r="AE720" s="215" t="n"/>
      <c r="AF720" s="215" t="n"/>
      <c r="AG720" s="215" t="n"/>
      <c r="AH720" s="215" t="n"/>
      <c r="AI720" s="215" t="n"/>
      <c r="AJ720" s="215" t="n"/>
      <c r="AK720" s="216" t="n"/>
    </row>
    <row r="721" ht="15" customHeight="1">
      <c r="B721" s="134" t="n"/>
      <c r="C721" s="105" t="n"/>
      <c r="D721" s="105" t="n"/>
      <c r="E721" s="105" t="n"/>
      <c r="F721" s="105" t="n"/>
      <c r="G721" s="105" t="n"/>
      <c r="H721" s="2" t="n"/>
      <c r="I721" s="105" t="n"/>
      <c r="K721" s="215" t="n"/>
      <c r="L721" s="215" t="n"/>
      <c r="M721" s="215" t="n"/>
      <c r="N721" s="215" t="n"/>
      <c r="O721" s="215" t="n"/>
      <c r="P721" s="215" t="n"/>
      <c r="Q721" s="215" t="n"/>
      <c r="R721" s="215" t="n"/>
      <c r="S721" s="215" t="n"/>
      <c r="T721" s="215" t="n"/>
      <c r="U721" s="215" t="n"/>
      <c r="V721" s="215" t="n"/>
      <c r="W721" s="215" t="n"/>
      <c r="X721" s="215" t="n"/>
      <c r="Y721" s="215" t="n"/>
      <c r="Z721" s="215" t="n"/>
      <c r="AA721" s="215" t="n"/>
      <c r="AB721" s="215" t="n"/>
      <c r="AC721" s="215" t="n"/>
      <c r="AD721" s="215" t="n"/>
      <c r="AE721" s="215" t="n"/>
      <c r="AF721" s="215" t="n"/>
      <c r="AG721" s="215" t="n"/>
      <c r="AH721" s="215" t="n"/>
      <c r="AI721" s="215" t="n"/>
      <c r="AJ721" s="215" t="n"/>
      <c r="AK721" s="216" t="n"/>
    </row>
    <row r="722" ht="15" customHeight="1">
      <c r="B722" s="134" t="n"/>
      <c r="C722" s="105" t="n"/>
      <c r="D722" s="105" t="n"/>
      <c r="E722" s="105" t="n"/>
      <c r="F722" s="105" t="n"/>
      <c r="G722" s="105" t="n"/>
      <c r="H722" s="2" t="n"/>
      <c r="I722" s="105" t="n"/>
      <c r="K722" s="215" t="n"/>
      <c r="L722" s="215" t="n"/>
      <c r="M722" s="215" t="n"/>
      <c r="N722" s="215" t="n"/>
      <c r="O722" s="215" t="n"/>
      <c r="P722" s="215" t="n"/>
      <c r="Q722" s="215" t="n"/>
      <c r="R722" s="215" t="n"/>
      <c r="S722" s="215" t="n"/>
      <c r="T722" s="215" t="n"/>
      <c r="U722" s="215" t="n"/>
      <c r="V722" s="215" t="n"/>
      <c r="W722" s="215" t="n"/>
      <c r="X722" s="215" t="n"/>
      <c r="Y722" s="215" t="n"/>
      <c r="Z722" s="215" t="n"/>
      <c r="AA722" s="215" t="n"/>
      <c r="AB722" s="215" t="n"/>
      <c r="AC722" s="215" t="n"/>
      <c r="AD722" s="215" t="n"/>
      <c r="AE722" s="215" t="n"/>
      <c r="AF722" s="215" t="n"/>
      <c r="AG722" s="215" t="n"/>
      <c r="AH722" s="215" t="n"/>
      <c r="AI722" s="215" t="n"/>
      <c r="AJ722" s="215" t="n"/>
      <c r="AK722" s="216" t="n"/>
    </row>
    <row r="723" ht="15" customHeight="1">
      <c r="B723" s="134" t="n"/>
      <c r="C723" s="105" t="n"/>
      <c r="D723" s="105" t="n"/>
      <c r="E723" s="105" t="n"/>
      <c r="F723" s="105" t="n"/>
      <c r="G723" s="105" t="n"/>
      <c r="H723" s="2" t="n"/>
      <c r="I723" s="105" t="n"/>
      <c r="K723" s="215" t="n"/>
      <c r="L723" s="215" t="n"/>
      <c r="M723" s="215" t="n"/>
      <c r="N723" s="215" t="n"/>
      <c r="O723" s="215" t="n"/>
      <c r="P723" s="215" t="n"/>
      <c r="Q723" s="215" t="n"/>
      <c r="R723" s="215" t="n"/>
      <c r="S723" s="215" t="n"/>
      <c r="T723" s="215" t="n"/>
      <c r="U723" s="215" t="n"/>
      <c r="V723" s="215" t="n"/>
      <c r="W723" s="215" t="n"/>
      <c r="X723" s="215" t="n"/>
      <c r="Y723" s="215" t="n"/>
      <c r="Z723" s="215" t="n"/>
      <c r="AA723" s="215" t="n"/>
      <c r="AB723" s="215" t="n"/>
      <c r="AC723" s="215" t="n"/>
      <c r="AD723" s="215" t="n"/>
      <c r="AE723" s="215" t="n"/>
      <c r="AF723" s="215" t="n"/>
      <c r="AG723" s="215" t="n"/>
      <c r="AH723" s="215" t="n"/>
      <c r="AI723" s="215" t="n"/>
      <c r="AJ723" s="215" t="n"/>
      <c r="AK723" s="216" t="n"/>
    </row>
    <row r="724" ht="15" customHeight="1">
      <c r="B724" s="134" t="n"/>
      <c r="C724" s="105" t="n"/>
      <c r="D724" s="105" t="n"/>
      <c r="E724" s="105" t="n"/>
      <c r="F724" s="105" t="n"/>
      <c r="G724" s="105" t="n"/>
      <c r="H724" s="2" t="n"/>
      <c r="I724" s="105" t="n"/>
      <c r="K724" s="215" t="n"/>
      <c r="L724" s="215" t="n"/>
      <c r="M724" s="215" t="n"/>
      <c r="N724" s="215" t="n"/>
      <c r="O724" s="215" t="n"/>
      <c r="P724" s="215" t="n"/>
      <c r="Q724" s="215" t="n"/>
      <c r="R724" s="215" t="n"/>
      <c r="S724" s="215" t="n"/>
      <c r="T724" s="215" t="n"/>
      <c r="U724" s="215" t="n"/>
      <c r="V724" s="215" t="n"/>
      <c r="W724" s="215" t="n"/>
      <c r="X724" s="215" t="n"/>
      <c r="Y724" s="215" t="n"/>
      <c r="Z724" s="215" t="n"/>
      <c r="AA724" s="215" t="n"/>
      <c r="AB724" s="215" t="n"/>
      <c r="AC724" s="215" t="n"/>
      <c r="AD724" s="215" t="n"/>
      <c r="AE724" s="215" t="n"/>
      <c r="AF724" s="215" t="n"/>
      <c r="AG724" s="215" t="n"/>
      <c r="AH724" s="215" t="n"/>
      <c r="AI724" s="215" t="n"/>
      <c r="AJ724" s="215" t="n"/>
      <c r="AK724" s="216" t="n"/>
    </row>
    <row r="725" ht="15" customHeight="1">
      <c r="B725" s="134" t="n"/>
      <c r="C725" s="105" t="n"/>
      <c r="D725" s="105" t="n"/>
      <c r="E725" s="105" t="n"/>
      <c r="F725" s="105" t="n"/>
      <c r="G725" s="105" t="n"/>
      <c r="H725" s="2" t="n"/>
      <c r="I725" s="105" t="n"/>
      <c r="K725" s="215" t="n"/>
      <c r="L725" s="215" t="n"/>
      <c r="M725" s="215" t="n"/>
      <c r="N725" s="215" t="n"/>
      <c r="O725" s="215" t="n"/>
      <c r="P725" s="215" t="n"/>
      <c r="Q725" s="215" t="n"/>
      <c r="R725" s="215" t="n"/>
      <c r="S725" s="215" t="n"/>
      <c r="T725" s="215" t="n"/>
      <c r="U725" s="215" t="n"/>
      <c r="V725" s="215" t="n"/>
      <c r="W725" s="215" t="n"/>
      <c r="X725" s="215" t="n"/>
      <c r="Y725" s="215" t="n"/>
      <c r="Z725" s="215" t="n"/>
      <c r="AA725" s="215" t="n"/>
      <c r="AB725" s="215" t="n"/>
      <c r="AC725" s="215" t="n"/>
      <c r="AD725" s="215" t="n"/>
      <c r="AE725" s="215" t="n"/>
      <c r="AF725" s="215" t="n"/>
      <c r="AG725" s="215" t="n"/>
      <c r="AH725" s="215" t="n"/>
      <c r="AI725" s="215" t="n"/>
      <c r="AJ725" s="215" t="n"/>
      <c r="AK725" s="216" t="n"/>
    </row>
    <row r="726" ht="15" customHeight="1">
      <c r="B726" s="134" t="n"/>
      <c r="C726" s="105" t="n"/>
      <c r="D726" s="105" t="n"/>
      <c r="E726" s="105" t="n"/>
      <c r="F726" s="105" t="n"/>
      <c r="G726" s="105" t="n"/>
      <c r="H726" s="2" t="n"/>
      <c r="I726" s="105" t="n"/>
      <c r="K726" s="215" t="n"/>
      <c r="L726" s="215" t="n"/>
      <c r="M726" s="215" t="n"/>
      <c r="N726" s="215" t="n"/>
      <c r="O726" s="215" t="n"/>
      <c r="P726" s="215" t="n"/>
      <c r="Q726" s="215" t="n"/>
      <c r="R726" s="215" t="n"/>
      <c r="S726" s="215" t="n"/>
      <c r="T726" s="215" t="n"/>
      <c r="U726" s="215" t="n"/>
      <c r="V726" s="215" t="n"/>
      <c r="W726" s="215" t="n"/>
      <c r="X726" s="215" t="n"/>
      <c r="Y726" s="215" t="n"/>
      <c r="Z726" s="215" t="n"/>
      <c r="AA726" s="215" t="n"/>
      <c r="AB726" s="215" t="n"/>
      <c r="AC726" s="215" t="n"/>
      <c r="AD726" s="215" t="n"/>
      <c r="AE726" s="215" t="n"/>
      <c r="AF726" s="215" t="n"/>
      <c r="AG726" s="215" t="n"/>
      <c r="AH726" s="215" t="n"/>
      <c r="AI726" s="215" t="n"/>
      <c r="AJ726" s="215" t="n"/>
      <c r="AK726" s="216" t="n"/>
    </row>
    <row r="727" ht="15" customHeight="1">
      <c r="B727" s="134" t="n"/>
      <c r="C727" s="105" t="n"/>
      <c r="D727" s="105" t="n"/>
      <c r="E727" s="105" t="n"/>
      <c r="F727" s="105" t="n"/>
      <c r="G727" s="105" t="n"/>
      <c r="H727" s="2" t="n"/>
      <c r="I727" s="105" t="n"/>
      <c r="K727" s="215" t="n"/>
      <c r="L727" s="215" t="n"/>
      <c r="M727" s="215" t="n"/>
      <c r="N727" s="215" t="n"/>
      <c r="O727" s="215" t="n"/>
      <c r="P727" s="215" t="n"/>
      <c r="Q727" s="215" t="n"/>
      <c r="R727" s="215" t="n"/>
      <c r="S727" s="215" t="n"/>
      <c r="T727" s="215" t="n"/>
      <c r="U727" s="215" t="n"/>
      <c r="V727" s="215" t="n"/>
      <c r="W727" s="215" t="n"/>
      <c r="X727" s="215" t="n"/>
      <c r="Y727" s="215" t="n"/>
      <c r="Z727" s="215" t="n"/>
      <c r="AA727" s="215" t="n"/>
      <c r="AB727" s="215" t="n"/>
      <c r="AC727" s="215" t="n"/>
      <c r="AD727" s="215" t="n"/>
      <c r="AE727" s="215" t="n"/>
      <c r="AF727" s="215" t="n"/>
      <c r="AG727" s="215" t="n"/>
      <c r="AH727" s="215" t="n"/>
      <c r="AI727" s="215" t="n"/>
      <c r="AJ727" s="215" t="n"/>
      <c r="AK727" s="216" t="n"/>
    </row>
    <row r="728" ht="15" customHeight="1">
      <c r="B728" s="134" t="n"/>
      <c r="C728" s="105" t="n"/>
      <c r="D728" s="105" t="n"/>
      <c r="E728" s="105" t="n"/>
      <c r="F728" s="105" t="n"/>
      <c r="G728" s="105" t="n"/>
      <c r="H728" s="2" t="n"/>
      <c r="I728" s="105" t="n"/>
      <c r="K728" s="215" t="n"/>
      <c r="L728" s="215" t="n"/>
      <c r="M728" s="215" t="n"/>
      <c r="N728" s="215" t="n"/>
      <c r="O728" s="215" t="n"/>
      <c r="P728" s="215" t="n"/>
      <c r="Q728" s="215" t="n"/>
      <c r="R728" s="215" t="n"/>
      <c r="S728" s="215" t="n"/>
      <c r="T728" s="215" t="n"/>
      <c r="U728" s="215" t="n"/>
      <c r="V728" s="215" t="n"/>
      <c r="W728" s="215" t="n"/>
      <c r="X728" s="215" t="n"/>
      <c r="Y728" s="215" t="n"/>
      <c r="Z728" s="215" t="n"/>
      <c r="AA728" s="215" t="n"/>
      <c r="AB728" s="215" t="n"/>
      <c r="AC728" s="215" t="n"/>
      <c r="AD728" s="215" t="n"/>
      <c r="AE728" s="215" t="n"/>
      <c r="AF728" s="215" t="n"/>
      <c r="AG728" s="215" t="n"/>
      <c r="AH728" s="215" t="n"/>
      <c r="AI728" s="215" t="n"/>
      <c r="AJ728" s="215" t="n"/>
      <c r="AK728" s="216" t="n"/>
    </row>
    <row r="729" ht="15" customHeight="1">
      <c r="B729" s="134" t="n"/>
      <c r="C729" s="105" t="n"/>
      <c r="D729" s="105" t="n"/>
      <c r="E729" s="105" t="n"/>
      <c r="F729" s="105" t="n"/>
      <c r="G729" s="105" t="n"/>
      <c r="H729" s="2" t="n"/>
      <c r="I729" s="105" t="n"/>
      <c r="K729" s="215" t="n"/>
      <c r="L729" s="215" t="n"/>
      <c r="M729" s="215" t="n"/>
      <c r="N729" s="215" t="n"/>
      <c r="O729" s="215" t="n"/>
      <c r="P729" s="215" t="n"/>
      <c r="Q729" s="215" t="n"/>
      <c r="R729" s="215" t="n"/>
      <c r="S729" s="215" t="n"/>
      <c r="T729" s="215" t="n"/>
      <c r="U729" s="215" t="n"/>
      <c r="V729" s="215" t="n"/>
      <c r="W729" s="215" t="n"/>
      <c r="X729" s="215" t="n"/>
      <c r="Y729" s="215" t="n"/>
      <c r="Z729" s="215" t="n"/>
      <c r="AA729" s="215" t="n"/>
      <c r="AB729" s="215" t="n"/>
      <c r="AC729" s="215" t="n"/>
      <c r="AD729" s="215" t="n"/>
      <c r="AE729" s="215" t="n"/>
      <c r="AF729" s="215" t="n"/>
      <c r="AG729" s="215" t="n"/>
      <c r="AH729" s="215" t="n"/>
      <c r="AI729" s="215" t="n"/>
      <c r="AJ729" s="215" t="n"/>
      <c r="AK729" s="216" t="n"/>
    </row>
    <row r="730" ht="15" customHeight="1">
      <c r="B730" s="134" t="n"/>
      <c r="C730" s="105" t="n"/>
      <c r="D730" s="105" t="n"/>
      <c r="E730" s="105" t="n"/>
      <c r="F730" s="105" t="n"/>
      <c r="G730" s="105" t="n"/>
      <c r="H730" s="2" t="n"/>
      <c r="I730" s="105" t="n"/>
      <c r="K730" s="215" t="n"/>
      <c r="L730" s="215" t="n"/>
      <c r="M730" s="215" t="n"/>
      <c r="N730" s="215" t="n"/>
      <c r="O730" s="215" t="n"/>
      <c r="P730" s="215" t="n"/>
      <c r="Q730" s="215" t="n"/>
      <c r="R730" s="215" t="n"/>
      <c r="S730" s="215" t="n"/>
      <c r="T730" s="215" t="n"/>
      <c r="U730" s="215" t="n"/>
      <c r="V730" s="215" t="n"/>
      <c r="W730" s="215" t="n"/>
      <c r="X730" s="215" t="n"/>
      <c r="Y730" s="215" t="n"/>
      <c r="Z730" s="215" t="n"/>
      <c r="AA730" s="215" t="n"/>
      <c r="AB730" s="215" t="n"/>
      <c r="AC730" s="215" t="n"/>
      <c r="AD730" s="215" t="n"/>
      <c r="AE730" s="215" t="n"/>
      <c r="AF730" s="215" t="n"/>
      <c r="AG730" s="215" t="n"/>
      <c r="AH730" s="215" t="n"/>
      <c r="AI730" s="215" t="n"/>
      <c r="AJ730" s="215" t="n"/>
      <c r="AK730" s="216" t="n"/>
    </row>
    <row r="731" ht="15" customHeight="1">
      <c r="B731" s="134" t="n"/>
      <c r="C731" s="105" t="n"/>
      <c r="D731" s="105" t="n"/>
      <c r="E731" s="105" t="n"/>
      <c r="F731" s="105" t="n"/>
      <c r="G731" s="105" t="n"/>
      <c r="H731" s="2" t="n"/>
      <c r="I731" s="105" t="n"/>
      <c r="K731" s="215" t="n"/>
      <c r="L731" s="215" t="n"/>
      <c r="M731" s="215" t="n"/>
      <c r="N731" s="215" t="n"/>
      <c r="O731" s="215" t="n"/>
      <c r="P731" s="215" t="n"/>
      <c r="Q731" s="215" t="n"/>
      <c r="R731" s="215" t="n"/>
      <c r="S731" s="215" t="n"/>
      <c r="T731" s="215" t="n"/>
      <c r="U731" s="215" t="n"/>
      <c r="V731" s="215" t="n"/>
      <c r="W731" s="215" t="n"/>
      <c r="X731" s="215" t="n"/>
      <c r="Y731" s="215" t="n"/>
      <c r="Z731" s="215" t="n"/>
      <c r="AA731" s="215" t="n"/>
      <c r="AB731" s="215" t="n"/>
      <c r="AC731" s="215" t="n"/>
      <c r="AD731" s="215" t="n"/>
      <c r="AE731" s="215" t="n"/>
      <c r="AF731" s="215" t="n"/>
      <c r="AG731" s="215" t="n"/>
      <c r="AH731" s="215" t="n"/>
      <c r="AI731" s="215" t="n"/>
      <c r="AJ731" s="215" t="n"/>
      <c r="AK731" s="216" t="n"/>
    </row>
    <row r="732" ht="15" customHeight="1">
      <c r="B732" s="134" t="n"/>
      <c r="C732" s="105" t="n"/>
      <c r="D732" s="105" t="n"/>
      <c r="E732" s="105" t="n"/>
      <c r="F732" s="105" t="n"/>
      <c r="G732" s="105" t="n"/>
      <c r="H732" s="2" t="n"/>
      <c r="I732" s="105" t="n"/>
      <c r="K732" s="215" t="n"/>
      <c r="L732" s="215" t="n"/>
      <c r="M732" s="215" t="n"/>
      <c r="N732" s="215" t="n"/>
      <c r="O732" s="215" t="n"/>
      <c r="P732" s="215" t="n"/>
      <c r="Q732" s="215" t="n"/>
      <c r="R732" s="215" t="n"/>
      <c r="S732" s="215" t="n"/>
      <c r="T732" s="215" t="n"/>
      <c r="U732" s="215" t="n"/>
      <c r="V732" s="215" t="n"/>
      <c r="W732" s="215" t="n"/>
      <c r="X732" s="215" t="n"/>
      <c r="Y732" s="215" t="n"/>
      <c r="Z732" s="215" t="n"/>
      <c r="AA732" s="215" t="n"/>
      <c r="AB732" s="215" t="n"/>
      <c r="AC732" s="215" t="n"/>
      <c r="AD732" s="215" t="n"/>
      <c r="AE732" s="215" t="n"/>
      <c r="AF732" s="215" t="n"/>
      <c r="AG732" s="215" t="n"/>
      <c r="AH732" s="215" t="n"/>
      <c r="AI732" s="215" t="n"/>
      <c r="AJ732" s="215" t="n"/>
      <c r="AK732" s="216" t="n"/>
    </row>
    <row r="733" ht="15" customHeight="1">
      <c r="B733" s="134" t="n"/>
      <c r="C733" s="105" t="n"/>
      <c r="D733" s="105" t="n"/>
      <c r="E733" s="105" t="n"/>
      <c r="F733" s="105" t="n"/>
      <c r="G733" s="105" t="n"/>
      <c r="H733" s="2" t="n"/>
      <c r="I733" s="105" t="n"/>
      <c r="K733" s="215" t="n"/>
      <c r="L733" s="215" t="n"/>
      <c r="M733" s="215" t="n"/>
      <c r="N733" s="215" t="n"/>
      <c r="O733" s="215" t="n"/>
      <c r="P733" s="215" t="n"/>
      <c r="Q733" s="215" t="n"/>
      <c r="R733" s="215" t="n"/>
      <c r="S733" s="215" t="n"/>
      <c r="T733" s="215" t="n"/>
      <c r="U733" s="215" t="n"/>
      <c r="V733" s="215" t="n"/>
      <c r="W733" s="215" t="n"/>
      <c r="X733" s="215" t="n"/>
      <c r="Y733" s="215" t="n"/>
      <c r="Z733" s="215" t="n"/>
      <c r="AA733" s="215" t="n"/>
      <c r="AB733" s="215" t="n"/>
      <c r="AC733" s="215" t="n"/>
      <c r="AD733" s="215" t="n"/>
      <c r="AE733" s="215" t="n"/>
      <c r="AF733" s="215" t="n"/>
      <c r="AG733" s="215" t="n"/>
      <c r="AH733" s="215" t="n"/>
      <c r="AI733" s="215" t="n"/>
      <c r="AJ733" s="215" t="n"/>
      <c r="AK733" s="216" t="n"/>
    </row>
    <row r="734" ht="15" customHeight="1">
      <c r="B734" s="134" t="n"/>
      <c r="C734" s="105" t="n"/>
      <c r="D734" s="105" t="n"/>
      <c r="E734" s="105" t="n"/>
      <c r="F734" s="105" t="n"/>
      <c r="G734" s="105" t="n"/>
      <c r="H734" s="2" t="n"/>
      <c r="I734" s="105" t="n"/>
      <c r="K734" s="215" t="n"/>
      <c r="L734" s="215" t="n"/>
      <c r="M734" s="215" t="n"/>
      <c r="N734" s="215" t="n"/>
      <c r="O734" s="215" t="n"/>
      <c r="P734" s="215" t="n"/>
      <c r="Q734" s="215" t="n"/>
      <c r="R734" s="215" t="n"/>
      <c r="S734" s="215" t="n"/>
      <c r="T734" s="215" t="n"/>
      <c r="U734" s="215" t="n"/>
      <c r="V734" s="215" t="n"/>
      <c r="W734" s="215" t="n"/>
      <c r="X734" s="215" t="n"/>
      <c r="Y734" s="215" t="n"/>
      <c r="Z734" s="215" t="n"/>
      <c r="AA734" s="215" t="n"/>
      <c r="AB734" s="215" t="n"/>
      <c r="AC734" s="215" t="n"/>
      <c r="AD734" s="215" t="n"/>
      <c r="AE734" s="215" t="n"/>
      <c r="AF734" s="215" t="n"/>
      <c r="AG734" s="215" t="n"/>
      <c r="AH734" s="215" t="n"/>
      <c r="AI734" s="215" t="n"/>
      <c r="AJ734" s="215" t="n"/>
      <c r="AK734" s="216" t="n"/>
    </row>
    <row r="735" ht="15" customHeight="1">
      <c r="B735" s="134" t="n"/>
      <c r="C735" s="105" t="n"/>
      <c r="D735" s="105" t="n"/>
      <c r="E735" s="105" t="n"/>
      <c r="F735" s="105" t="n"/>
      <c r="G735" s="105" t="n"/>
      <c r="H735" s="2" t="n"/>
      <c r="I735" s="105" t="n"/>
      <c r="K735" s="215" t="n"/>
      <c r="L735" s="215" t="n"/>
      <c r="M735" s="215" t="n"/>
      <c r="N735" s="215" t="n"/>
      <c r="O735" s="215" t="n"/>
      <c r="P735" s="215" t="n"/>
      <c r="Q735" s="215" t="n"/>
      <c r="R735" s="215" t="n"/>
      <c r="S735" s="215" t="n"/>
      <c r="T735" s="215" t="n"/>
      <c r="U735" s="215" t="n"/>
      <c r="V735" s="215" t="n"/>
      <c r="W735" s="215" t="n"/>
      <c r="X735" s="215" t="n"/>
      <c r="Y735" s="215" t="n"/>
      <c r="Z735" s="215" t="n"/>
      <c r="AA735" s="215" t="n"/>
      <c r="AB735" s="215" t="n"/>
      <c r="AC735" s="215" t="n"/>
      <c r="AD735" s="215" t="n"/>
      <c r="AE735" s="215" t="n"/>
      <c r="AF735" s="215" t="n"/>
      <c r="AG735" s="215" t="n"/>
      <c r="AH735" s="215" t="n"/>
      <c r="AI735" s="215" t="n"/>
      <c r="AJ735" s="215" t="n"/>
      <c r="AK735" s="216" t="n"/>
    </row>
    <row r="736" ht="15" customHeight="1">
      <c r="B736" s="134" t="n"/>
      <c r="C736" s="105" t="n"/>
      <c r="D736" s="105" t="n"/>
      <c r="E736" s="105" t="n"/>
      <c r="F736" s="105" t="n"/>
      <c r="G736" s="105" t="n"/>
      <c r="H736" s="2" t="n"/>
      <c r="I736" s="105" t="n"/>
      <c r="K736" s="215" t="n"/>
      <c r="L736" s="215" t="n"/>
      <c r="M736" s="215" t="n"/>
      <c r="N736" s="215" t="n"/>
      <c r="O736" s="215" t="n"/>
      <c r="P736" s="215" t="n"/>
      <c r="Q736" s="215" t="n"/>
      <c r="R736" s="215" t="n"/>
      <c r="S736" s="215" t="n"/>
      <c r="T736" s="215" t="n"/>
      <c r="U736" s="215" t="n"/>
      <c r="V736" s="215" t="n"/>
      <c r="W736" s="215" t="n"/>
      <c r="X736" s="215" t="n"/>
      <c r="Y736" s="215" t="n"/>
      <c r="Z736" s="215" t="n"/>
      <c r="AA736" s="215" t="n"/>
      <c r="AB736" s="215" t="n"/>
      <c r="AC736" s="215" t="n"/>
      <c r="AD736" s="215" t="n"/>
      <c r="AE736" s="215" t="n"/>
      <c r="AF736" s="215" t="n"/>
      <c r="AG736" s="215" t="n"/>
      <c r="AH736" s="215" t="n"/>
      <c r="AI736" s="215" t="n"/>
      <c r="AJ736" s="215" t="n"/>
      <c r="AK736" s="216" t="n"/>
    </row>
    <row r="737" ht="15" customHeight="1">
      <c r="B737" s="134" t="n"/>
      <c r="C737" s="105" t="n"/>
      <c r="D737" s="105" t="n"/>
      <c r="E737" s="105" t="n"/>
      <c r="F737" s="105" t="n"/>
      <c r="G737" s="105" t="n"/>
      <c r="H737" s="2" t="n"/>
      <c r="I737" s="105" t="n"/>
      <c r="K737" s="215" t="n"/>
      <c r="L737" s="215" t="n"/>
      <c r="M737" s="215" t="n"/>
      <c r="N737" s="215" t="n"/>
      <c r="O737" s="215" t="n"/>
      <c r="P737" s="215" t="n"/>
      <c r="Q737" s="215" t="n"/>
      <c r="R737" s="215" t="n"/>
      <c r="S737" s="215" t="n"/>
      <c r="T737" s="215" t="n"/>
      <c r="U737" s="215" t="n"/>
      <c r="V737" s="215" t="n"/>
      <c r="W737" s="215" t="n"/>
      <c r="X737" s="215" t="n"/>
      <c r="Y737" s="215" t="n"/>
      <c r="Z737" s="215" t="n"/>
      <c r="AA737" s="215" t="n"/>
      <c r="AB737" s="215" t="n"/>
      <c r="AC737" s="215" t="n"/>
      <c r="AD737" s="215" t="n"/>
      <c r="AE737" s="215" t="n"/>
      <c r="AF737" s="215" t="n"/>
      <c r="AG737" s="215" t="n"/>
      <c r="AH737" s="215" t="n"/>
      <c r="AI737" s="215" t="n"/>
      <c r="AJ737" s="215" t="n"/>
      <c r="AK737" s="216" t="n"/>
    </row>
    <row r="738" ht="15" customHeight="1">
      <c r="B738" s="134" t="n"/>
      <c r="C738" s="105" t="n"/>
      <c r="D738" s="105" t="n"/>
      <c r="E738" s="105" t="n"/>
      <c r="F738" s="105" t="n"/>
      <c r="G738" s="105" t="n"/>
      <c r="H738" s="2" t="n"/>
      <c r="I738" s="105" t="n"/>
      <c r="K738" s="215" t="n"/>
      <c r="L738" s="215" t="n"/>
      <c r="M738" s="215" t="n"/>
      <c r="N738" s="215" t="n"/>
      <c r="O738" s="215" t="n"/>
      <c r="P738" s="215" t="n"/>
      <c r="Q738" s="215" t="n"/>
      <c r="R738" s="215" t="n"/>
      <c r="S738" s="215" t="n"/>
      <c r="T738" s="215" t="n"/>
      <c r="U738" s="215" t="n"/>
      <c r="V738" s="215" t="n"/>
      <c r="W738" s="215" t="n"/>
      <c r="X738" s="215" t="n"/>
      <c r="Y738" s="215" t="n"/>
      <c r="Z738" s="215" t="n"/>
      <c r="AA738" s="215" t="n"/>
      <c r="AB738" s="215" t="n"/>
      <c r="AC738" s="215" t="n"/>
      <c r="AD738" s="215" t="n"/>
      <c r="AE738" s="215" t="n"/>
      <c r="AF738" s="215" t="n"/>
      <c r="AG738" s="215" t="n"/>
      <c r="AH738" s="215" t="n"/>
      <c r="AI738" s="215" t="n"/>
      <c r="AJ738" s="215" t="n"/>
      <c r="AK738" s="216" t="n"/>
    </row>
    <row r="739" ht="15" customHeight="1">
      <c r="B739" s="134" t="n"/>
      <c r="C739" s="105" t="n"/>
      <c r="D739" s="105" t="n"/>
      <c r="E739" s="105" t="n"/>
      <c r="F739" s="105" t="n"/>
      <c r="G739" s="105" t="n"/>
      <c r="H739" s="2" t="n"/>
      <c r="I739" s="105" t="n"/>
      <c r="K739" s="215" t="n"/>
      <c r="L739" s="215" t="n"/>
      <c r="M739" s="215" t="n"/>
      <c r="N739" s="215" t="n"/>
      <c r="O739" s="215" t="n"/>
      <c r="P739" s="215" t="n"/>
      <c r="Q739" s="215" t="n"/>
      <c r="R739" s="215" t="n"/>
      <c r="S739" s="215" t="n"/>
      <c r="T739" s="215" t="n"/>
      <c r="U739" s="215" t="n"/>
      <c r="V739" s="215" t="n"/>
      <c r="W739" s="215" t="n"/>
      <c r="X739" s="215" t="n"/>
      <c r="Y739" s="215" t="n"/>
      <c r="Z739" s="215" t="n"/>
      <c r="AA739" s="215" t="n"/>
      <c r="AB739" s="215" t="n"/>
      <c r="AC739" s="215" t="n"/>
      <c r="AD739" s="215" t="n"/>
      <c r="AE739" s="215" t="n"/>
      <c r="AF739" s="215" t="n"/>
      <c r="AG739" s="215" t="n"/>
      <c r="AH739" s="215" t="n"/>
      <c r="AI739" s="215" t="n"/>
      <c r="AJ739" s="215" t="n"/>
      <c r="AK739" s="216" t="n"/>
    </row>
    <row r="740" ht="15" customHeight="1">
      <c r="B740" s="134" t="n"/>
      <c r="C740" s="105" t="n"/>
      <c r="D740" s="105" t="n"/>
      <c r="E740" s="105" t="n"/>
      <c r="F740" s="105" t="n"/>
      <c r="G740" s="105" t="n"/>
      <c r="H740" s="2" t="n"/>
      <c r="I740" s="105" t="n"/>
      <c r="K740" s="215" t="n"/>
      <c r="L740" s="215" t="n"/>
      <c r="M740" s="215" t="n"/>
      <c r="N740" s="215" t="n"/>
      <c r="O740" s="215" t="n"/>
      <c r="P740" s="215" t="n"/>
      <c r="Q740" s="215" t="n"/>
      <c r="R740" s="215" t="n"/>
      <c r="S740" s="215" t="n"/>
      <c r="T740" s="215" t="n"/>
      <c r="U740" s="215" t="n"/>
      <c r="V740" s="215" t="n"/>
      <c r="W740" s="215" t="n"/>
      <c r="X740" s="215" t="n"/>
      <c r="Y740" s="215" t="n"/>
      <c r="Z740" s="215" t="n"/>
      <c r="AA740" s="215" t="n"/>
      <c r="AB740" s="215" t="n"/>
      <c r="AC740" s="215" t="n"/>
      <c r="AD740" s="215" t="n"/>
      <c r="AE740" s="215" t="n"/>
      <c r="AF740" s="215" t="n"/>
      <c r="AG740" s="215" t="n"/>
      <c r="AH740" s="215" t="n"/>
      <c r="AI740" s="215" t="n"/>
      <c r="AJ740" s="215" t="n"/>
      <c r="AK740" s="216" t="n"/>
    </row>
    <row r="741" ht="15" customHeight="1">
      <c r="B741" s="134" t="n"/>
      <c r="C741" s="105" t="n"/>
      <c r="D741" s="105" t="n"/>
      <c r="E741" s="105" t="n"/>
      <c r="F741" s="105" t="n"/>
      <c r="G741" s="105" t="n"/>
      <c r="H741" s="2" t="n"/>
      <c r="I741" s="105" t="n"/>
      <c r="K741" s="215" t="n"/>
      <c r="L741" s="215" t="n"/>
      <c r="M741" s="215" t="n"/>
      <c r="N741" s="215" t="n"/>
      <c r="O741" s="215" t="n"/>
      <c r="P741" s="215" t="n"/>
      <c r="Q741" s="215" t="n"/>
      <c r="R741" s="215" t="n"/>
      <c r="S741" s="215" t="n"/>
      <c r="T741" s="215" t="n"/>
      <c r="U741" s="215" t="n"/>
      <c r="V741" s="215" t="n"/>
      <c r="W741" s="215" t="n"/>
      <c r="X741" s="215" t="n"/>
      <c r="Y741" s="215" t="n"/>
      <c r="Z741" s="215" t="n"/>
      <c r="AA741" s="215" t="n"/>
      <c r="AB741" s="215" t="n"/>
      <c r="AC741" s="215" t="n"/>
      <c r="AD741" s="215" t="n"/>
      <c r="AE741" s="215" t="n"/>
      <c r="AF741" s="215" t="n"/>
      <c r="AG741" s="215" t="n"/>
      <c r="AH741" s="215" t="n"/>
      <c r="AI741" s="215" t="n"/>
      <c r="AJ741" s="215" t="n"/>
      <c r="AK741" s="216" t="n"/>
    </row>
    <row r="742" ht="15" customHeight="1">
      <c r="B742" s="134" t="n"/>
      <c r="C742" s="105" t="n"/>
      <c r="D742" s="105" t="n"/>
      <c r="E742" s="105" t="n"/>
      <c r="F742" s="105" t="n"/>
      <c r="G742" s="105" t="n"/>
      <c r="H742" s="2" t="n"/>
      <c r="I742" s="105" t="n"/>
      <c r="K742" s="215" t="n"/>
      <c r="L742" s="215" t="n"/>
      <c r="M742" s="215" t="n"/>
      <c r="N742" s="215" t="n"/>
      <c r="O742" s="215" t="n"/>
      <c r="P742" s="215" t="n"/>
      <c r="Q742" s="215" t="n"/>
      <c r="R742" s="215" t="n"/>
      <c r="S742" s="215" t="n"/>
      <c r="T742" s="215" t="n"/>
      <c r="U742" s="215" t="n"/>
      <c r="V742" s="215" t="n"/>
      <c r="W742" s="215" t="n"/>
      <c r="X742" s="215" t="n"/>
      <c r="Y742" s="215" t="n"/>
      <c r="Z742" s="215" t="n"/>
      <c r="AA742" s="215" t="n"/>
      <c r="AB742" s="215" t="n"/>
      <c r="AC742" s="215" t="n"/>
      <c r="AD742" s="215" t="n"/>
      <c r="AE742" s="215" t="n"/>
      <c r="AF742" s="215" t="n"/>
      <c r="AG742" s="215" t="n"/>
      <c r="AH742" s="215" t="n"/>
      <c r="AI742" s="215" t="n"/>
      <c r="AJ742" s="215" t="n"/>
      <c r="AK742" s="216" t="n"/>
    </row>
    <row r="743" ht="15" customHeight="1">
      <c r="B743" s="134" t="n"/>
      <c r="C743" s="105" t="n"/>
      <c r="D743" s="105" t="n"/>
      <c r="E743" s="105" t="n"/>
      <c r="F743" s="105" t="n"/>
      <c r="G743" s="105" t="n"/>
      <c r="H743" s="2" t="n"/>
      <c r="I743" s="105" t="n"/>
      <c r="K743" s="215" t="n"/>
      <c r="L743" s="215" t="n"/>
      <c r="M743" s="215" t="n"/>
      <c r="N743" s="215" t="n"/>
      <c r="O743" s="215" t="n"/>
      <c r="P743" s="215" t="n"/>
      <c r="Q743" s="215" t="n"/>
      <c r="R743" s="215" t="n"/>
      <c r="S743" s="215" t="n"/>
      <c r="T743" s="215" t="n"/>
      <c r="U743" s="215" t="n"/>
      <c r="V743" s="215" t="n"/>
      <c r="W743" s="215" t="n"/>
      <c r="X743" s="215" t="n"/>
      <c r="Y743" s="215" t="n"/>
      <c r="Z743" s="215" t="n"/>
      <c r="AA743" s="215" t="n"/>
      <c r="AB743" s="215" t="n"/>
      <c r="AC743" s="215" t="n"/>
      <c r="AD743" s="215" t="n"/>
      <c r="AE743" s="215" t="n"/>
      <c r="AF743" s="215" t="n"/>
      <c r="AG743" s="215" t="n"/>
      <c r="AH743" s="215" t="n"/>
      <c r="AI743" s="215" t="n"/>
      <c r="AJ743" s="215" t="n"/>
      <c r="AK743" s="216" t="n"/>
    </row>
    <row r="744" ht="15" customHeight="1">
      <c r="B744" s="134" t="n"/>
      <c r="C744" s="105" t="n"/>
      <c r="D744" s="105" t="n"/>
      <c r="E744" s="105" t="n"/>
      <c r="F744" s="105" t="n"/>
      <c r="G744" s="105" t="n"/>
      <c r="H744" s="2" t="n"/>
      <c r="I744" s="105" t="n"/>
      <c r="K744" s="215" t="n"/>
      <c r="L744" s="215" t="n"/>
      <c r="M744" s="215" t="n"/>
      <c r="N744" s="215" t="n"/>
      <c r="O744" s="215" t="n"/>
      <c r="P744" s="215" t="n"/>
      <c r="Q744" s="215" t="n"/>
      <c r="R744" s="215" t="n"/>
      <c r="S744" s="215" t="n"/>
      <c r="T744" s="215" t="n"/>
      <c r="U744" s="215" t="n"/>
      <c r="V744" s="215" t="n"/>
      <c r="W744" s="215" t="n"/>
      <c r="X744" s="215" t="n"/>
      <c r="Y744" s="215" t="n"/>
      <c r="Z744" s="215" t="n"/>
      <c r="AA744" s="215" t="n"/>
      <c r="AB744" s="215" t="n"/>
      <c r="AC744" s="215" t="n"/>
      <c r="AD744" s="215" t="n"/>
      <c r="AE744" s="215" t="n"/>
      <c r="AF744" s="215" t="n"/>
      <c r="AG744" s="215" t="n"/>
      <c r="AH744" s="215" t="n"/>
      <c r="AI744" s="215" t="n"/>
      <c r="AJ744" s="215" t="n"/>
      <c r="AK744" s="216" t="n"/>
    </row>
    <row r="745" ht="15" customHeight="1">
      <c r="B745" s="134" t="n"/>
      <c r="C745" s="105" t="n"/>
      <c r="D745" s="105" t="n"/>
      <c r="E745" s="105" t="n"/>
      <c r="F745" s="105" t="n"/>
      <c r="G745" s="105" t="n"/>
      <c r="H745" s="2" t="n"/>
      <c r="I745" s="105" t="n"/>
      <c r="K745" s="215" t="n"/>
      <c r="L745" s="215" t="n"/>
      <c r="M745" s="215" t="n"/>
      <c r="N745" s="215" t="n"/>
      <c r="O745" s="215" t="n"/>
      <c r="P745" s="215" t="n"/>
      <c r="Q745" s="215" t="n"/>
      <c r="R745" s="215" t="n"/>
      <c r="S745" s="215" t="n"/>
      <c r="T745" s="215" t="n"/>
      <c r="U745" s="215" t="n"/>
      <c r="V745" s="215" t="n"/>
      <c r="W745" s="215" t="n"/>
      <c r="X745" s="215" t="n"/>
      <c r="Y745" s="215" t="n"/>
      <c r="Z745" s="215" t="n"/>
      <c r="AA745" s="215" t="n"/>
      <c r="AB745" s="215" t="n"/>
      <c r="AC745" s="215" t="n"/>
      <c r="AD745" s="215" t="n"/>
      <c r="AE745" s="215" t="n"/>
      <c r="AF745" s="215" t="n"/>
      <c r="AG745" s="215" t="n"/>
      <c r="AH745" s="215" t="n"/>
      <c r="AI745" s="215" t="n"/>
      <c r="AJ745" s="215" t="n"/>
      <c r="AK745" s="216" t="n"/>
    </row>
    <row r="746" ht="15" customHeight="1">
      <c r="B746" s="134" t="n"/>
      <c r="C746" s="105" t="n"/>
      <c r="D746" s="105" t="n"/>
      <c r="E746" s="105" t="n"/>
      <c r="F746" s="105" t="n"/>
      <c r="G746" s="105" t="n"/>
      <c r="H746" s="2" t="n"/>
      <c r="I746" s="105" t="n"/>
      <c r="K746" s="215" t="n"/>
      <c r="L746" s="215" t="n"/>
      <c r="M746" s="215" t="n"/>
      <c r="N746" s="215" t="n"/>
      <c r="O746" s="215" t="n"/>
      <c r="P746" s="215" t="n"/>
      <c r="Q746" s="215" t="n"/>
      <c r="R746" s="215" t="n"/>
      <c r="S746" s="215" t="n"/>
      <c r="T746" s="215" t="n"/>
      <c r="U746" s="215" t="n"/>
      <c r="V746" s="215" t="n"/>
      <c r="W746" s="215" t="n"/>
      <c r="X746" s="215" t="n"/>
      <c r="Y746" s="215" t="n"/>
      <c r="Z746" s="215" t="n"/>
      <c r="AA746" s="215" t="n"/>
      <c r="AB746" s="215" t="n"/>
      <c r="AC746" s="215" t="n"/>
      <c r="AD746" s="215" t="n"/>
      <c r="AE746" s="215" t="n"/>
      <c r="AF746" s="215" t="n"/>
      <c r="AG746" s="215" t="n"/>
      <c r="AH746" s="215" t="n"/>
      <c r="AI746" s="215" t="n"/>
      <c r="AJ746" s="215" t="n"/>
      <c r="AK746" s="216" t="n"/>
    </row>
    <row r="747" ht="15" customHeight="1">
      <c r="B747" s="134" t="n"/>
      <c r="C747" s="105" t="n"/>
      <c r="D747" s="105" t="n"/>
      <c r="E747" s="105" t="n"/>
      <c r="F747" s="105" t="n"/>
      <c r="G747" s="105" t="n"/>
      <c r="H747" s="2" t="n"/>
      <c r="I747" s="105" t="n"/>
      <c r="K747" s="215" t="n"/>
      <c r="L747" s="215" t="n"/>
      <c r="M747" s="215" t="n"/>
      <c r="N747" s="215" t="n"/>
      <c r="O747" s="215" t="n"/>
      <c r="P747" s="215" t="n"/>
      <c r="Q747" s="215" t="n"/>
      <c r="R747" s="215" t="n"/>
      <c r="S747" s="215" t="n"/>
      <c r="T747" s="215" t="n"/>
      <c r="U747" s="215" t="n"/>
      <c r="V747" s="215" t="n"/>
      <c r="W747" s="215" t="n"/>
      <c r="X747" s="215" t="n"/>
      <c r="Y747" s="215" t="n"/>
      <c r="Z747" s="215" t="n"/>
      <c r="AA747" s="215" t="n"/>
      <c r="AB747" s="215" t="n"/>
      <c r="AC747" s="215" t="n"/>
      <c r="AD747" s="215" t="n"/>
      <c r="AE747" s="215" t="n"/>
      <c r="AF747" s="215" t="n"/>
      <c r="AG747" s="215" t="n"/>
      <c r="AH747" s="215" t="n"/>
      <c r="AI747" s="215" t="n"/>
      <c r="AJ747" s="215" t="n"/>
      <c r="AK747" s="216" t="n"/>
    </row>
    <row r="748" ht="15" customHeight="1">
      <c r="B748" s="134" t="n"/>
      <c r="C748" s="105" t="n"/>
      <c r="D748" s="105" t="n"/>
      <c r="E748" s="105" t="n"/>
      <c r="F748" s="105" t="n"/>
      <c r="G748" s="105" t="n"/>
      <c r="H748" s="2" t="n"/>
      <c r="I748" s="105" t="n"/>
      <c r="K748" s="215" t="n"/>
      <c r="L748" s="215" t="n"/>
      <c r="M748" s="215" t="n"/>
      <c r="N748" s="215" t="n"/>
      <c r="O748" s="215" t="n"/>
      <c r="P748" s="215" t="n"/>
      <c r="Q748" s="215" t="n"/>
      <c r="R748" s="215" t="n"/>
      <c r="S748" s="215" t="n"/>
      <c r="T748" s="215" t="n"/>
      <c r="U748" s="215" t="n"/>
      <c r="V748" s="215" t="n"/>
      <c r="W748" s="215" t="n"/>
      <c r="X748" s="215" t="n"/>
      <c r="Y748" s="215" t="n"/>
      <c r="Z748" s="215" t="n"/>
      <c r="AA748" s="215" t="n"/>
      <c r="AB748" s="215" t="n"/>
      <c r="AC748" s="215" t="n"/>
      <c r="AD748" s="215" t="n"/>
      <c r="AE748" s="215" t="n"/>
      <c r="AF748" s="215" t="n"/>
      <c r="AG748" s="215" t="n"/>
      <c r="AH748" s="215" t="n"/>
      <c r="AI748" s="215" t="n"/>
      <c r="AJ748" s="215" t="n"/>
      <c r="AK748" s="216" t="n"/>
    </row>
    <row r="749" ht="15" customHeight="1">
      <c r="B749" s="134" t="n"/>
      <c r="C749" s="105" t="n"/>
      <c r="D749" s="105" t="n"/>
      <c r="E749" s="105" t="n"/>
      <c r="F749" s="105" t="n"/>
      <c r="G749" s="105" t="n"/>
      <c r="H749" s="2" t="n"/>
      <c r="I749" s="105" t="n"/>
      <c r="K749" s="215" t="n"/>
      <c r="L749" s="215" t="n"/>
      <c r="M749" s="215" t="n"/>
      <c r="N749" s="215" t="n"/>
      <c r="O749" s="215" t="n"/>
      <c r="P749" s="215" t="n"/>
      <c r="Q749" s="215" t="n"/>
      <c r="R749" s="215" t="n"/>
      <c r="S749" s="215" t="n"/>
      <c r="T749" s="215" t="n"/>
      <c r="U749" s="215" t="n"/>
      <c r="V749" s="215" t="n"/>
      <c r="W749" s="215" t="n"/>
      <c r="X749" s="215" t="n"/>
      <c r="Y749" s="215" t="n"/>
      <c r="Z749" s="215" t="n"/>
      <c r="AA749" s="215" t="n"/>
      <c r="AB749" s="215" t="n"/>
      <c r="AC749" s="215" t="n"/>
      <c r="AD749" s="215" t="n"/>
      <c r="AE749" s="215" t="n"/>
      <c r="AF749" s="215" t="n"/>
      <c r="AG749" s="215" t="n"/>
      <c r="AH749" s="215" t="n"/>
      <c r="AI749" s="215" t="n"/>
      <c r="AJ749" s="215" t="n"/>
      <c r="AK749" s="216" t="n"/>
    </row>
    <row r="750" ht="15" customHeight="1">
      <c r="B750" s="134" t="n"/>
      <c r="C750" s="105" t="n"/>
      <c r="D750" s="105" t="n"/>
      <c r="E750" s="105" t="n"/>
      <c r="F750" s="105" t="n"/>
      <c r="G750" s="105" t="n"/>
      <c r="H750" s="2" t="n"/>
      <c r="I750" s="105" t="n"/>
      <c r="K750" s="215" t="n"/>
      <c r="L750" s="215" t="n"/>
      <c r="M750" s="215" t="n"/>
      <c r="N750" s="215" t="n"/>
      <c r="O750" s="215" t="n"/>
      <c r="P750" s="215" t="n"/>
      <c r="Q750" s="215" t="n"/>
      <c r="R750" s="215" t="n"/>
      <c r="S750" s="215" t="n"/>
      <c r="T750" s="215" t="n"/>
      <c r="U750" s="215" t="n"/>
      <c r="V750" s="215" t="n"/>
      <c r="W750" s="215" t="n"/>
      <c r="X750" s="215" t="n"/>
      <c r="Y750" s="215" t="n"/>
      <c r="Z750" s="215" t="n"/>
      <c r="AA750" s="215" t="n"/>
      <c r="AB750" s="215" t="n"/>
      <c r="AC750" s="215" t="n"/>
      <c r="AD750" s="215" t="n"/>
      <c r="AE750" s="215" t="n"/>
      <c r="AF750" s="215" t="n"/>
      <c r="AG750" s="215" t="n"/>
      <c r="AH750" s="215" t="n"/>
      <c r="AI750" s="215" t="n"/>
      <c r="AJ750" s="215" t="n"/>
      <c r="AK750" s="216" t="n"/>
    </row>
    <row r="751" ht="15" customHeight="1">
      <c r="B751" s="134" t="n"/>
      <c r="C751" s="105" t="n"/>
      <c r="D751" s="105" t="n"/>
      <c r="E751" s="105" t="n"/>
      <c r="F751" s="105" t="n"/>
      <c r="G751" s="105" t="n"/>
      <c r="H751" s="2" t="n"/>
      <c r="I751" s="105" t="n"/>
      <c r="K751" s="215" t="n"/>
      <c r="L751" s="215" t="n"/>
      <c r="M751" s="215" t="n"/>
      <c r="N751" s="215" t="n"/>
      <c r="O751" s="215" t="n"/>
      <c r="P751" s="215" t="n"/>
      <c r="Q751" s="215" t="n"/>
      <c r="R751" s="215" t="n"/>
      <c r="S751" s="215" t="n"/>
      <c r="T751" s="215" t="n"/>
      <c r="U751" s="215" t="n"/>
      <c r="V751" s="215" t="n"/>
      <c r="W751" s="215" t="n"/>
      <c r="X751" s="215" t="n"/>
      <c r="Y751" s="215" t="n"/>
      <c r="Z751" s="215" t="n"/>
      <c r="AA751" s="215" t="n"/>
      <c r="AB751" s="215" t="n"/>
      <c r="AC751" s="215" t="n"/>
      <c r="AD751" s="215" t="n"/>
      <c r="AE751" s="215" t="n"/>
      <c r="AF751" s="215" t="n"/>
      <c r="AG751" s="215" t="n"/>
      <c r="AH751" s="215" t="n"/>
      <c r="AI751" s="215" t="n"/>
      <c r="AJ751" s="215" t="n"/>
      <c r="AK751" s="216" t="n"/>
    </row>
    <row r="752" ht="15" customHeight="1">
      <c r="B752" s="134" t="n"/>
      <c r="C752" s="105" t="n"/>
      <c r="D752" s="105" t="n"/>
      <c r="E752" s="105" t="n"/>
      <c r="F752" s="105" t="n"/>
      <c r="G752" s="105" t="n"/>
      <c r="H752" s="2" t="n"/>
      <c r="I752" s="105" t="n"/>
      <c r="K752" s="215" t="n"/>
      <c r="L752" s="215" t="n"/>
      <c r="M752" s="215" t="n"/>
      <c r="N752" s="215" t="n"/>
      <c r="O752" s="215" t="n"/>
      <c r="P752" s="215" t="n"/>
      <c r="Q752" s="215" t="n"/>
      <c r="R752" s="215" t="n"/>
      <c r="S752" s="215" t="n"/>
      <c r="T752" s="215" t="n"/>
      <c r="U752" s="215" t="n"/>
      <c r="V752" s="215" t="n"/>
      <c r="W752" s="215" t="n"/>
      <c r="X752" s="215" t="n"/>
      <c r="Y752" s="215" t="n"/>
      <c r="Z752" s="215" t="n"/>
      <c r="AA752" s="215" t="n"/>
      <c r="AB752" s="215" t="n"/>
      <c r="AC752" s="215" t="n"/>
      <c r="AD752" s="215" t="n"/>
      <c r="AE752" s="215" t="n"/>
      <c r="AF752" s="215" t="n"/>
      <c r="AG752" s="215" t="n"/>
      <c r="AH752" s="215" t="n"/>
      <c r="AI752" s="215" t="n"/>
      <c r="AJ752" s="215" t="n"/>
      <c r="AK752" s="216" t="n"/>
    </row>
    <row r="753" ht="15" customHeight="1">
      <c r="B753" s="134" t="n"/>
      <c r="C753" s="105" t="n"/>
      <c r="D753" s="105" t="n"/>
      <c r="E753" s="105" t="n"/>
      <c r="F753" s="105" t="n"/>
      <c r="G753" s="105" t="n"/>
      <c r="H753" s="2" t="n"/>
      <c r="I753" s="105" t="n"/>
      <c r="K753" s="215" t="n"/>
      <c r="L753" s="215" t="n"/>
      <c r="M753" s="215" t="n"/>
      <c r="N753" s="215" t="n"/>
      <c r="O753" s="215" t="n"/>
      <c r="P753" s="215" t="n"/>
      <c r="Q753" s="215" t="n"/>
      <c r="R753" s="215" t="n"/>
      <c r="S753" s="215" t="n"/>
      <c r="T753" s="215" t="n"/>
      <c r="U753" s="215" t="n"/>
      <c r="V753" s="215" t="n"/>
      <c r="W753" s="215" t="n"/>
      <c r="X753" s="215" t="n"/>
      <c r="Y753" s="215" t="n"/>
      <c r="Z753" s="215" t="n"/>
      <c r="AA753" s="215" t="n"/>
      <c r="AB753" s="215" t="n"/>
      <c r="AC753" s="215" t="n"/>
      <c r="AD753" s="215" t="n"/>
      <c r="AE753" s="215" t="n"/>
      <c r="AF753" s="215" t="n"/>
      <c r="AG753" s="215" t="n"/>
      <c r="AH753" s="215" t="n"/>
      <c r="AI753" s="215" t="n"/>
      <c r="AJ753" s="215" t="n"/>
      <c r="AK753" s="216" t="n"/>
    </row>
    <row r="754" ht="15" customHeight="1">
      <c r="B754" s="134" t="n"/>
      <c r="C754" s="105" t="n"/>
      <c r="D754" s="105" t="n"/>
      <c r="E754" s="105" t="n"/>
      <c r="F754" s="105" t="n"/>
      <c r="G754" s="105" t="n"/>
      <c r="H754" s="2" t="n"/>
      <c r="I754" s="105" t="n"/>
      <c r="K754" s="215" t="n"/>
      <c r="L754" s="215" t="n"/>
      <c r="M754" s="215" t="n"/>
      <c r="N754" s="215" t="n"/>
      <c r="O754" s="215" t="n"/>
      <c r="P754" s="215" t="n"/>
      <c r="Q754" s="215" t="n"/>
      <c r="R754" s="215" t="n"/>
      <c r="S754" s="215" t="n"/>
      <c r="T754" s="215" t="n"/>
      <c r="U754" s="215" t="n"/>
      <c r="V754" s="215" t="n"/>
      <c r="W754" s="215" t="n"/>
      <c r="X754" s="215" t="n"/>
      <c r="Y754" s="215" t="n"/>
      <c r="Z754" s="215" t="n"/>
      <c r="AA754" s="215" t="n"/>
      <c r="AB754" s="215" t="n"/>
      <c r="AC754" s="215" t="n"/>
      <c r="AD754" s="215" t="n"/>
      <c r="AE754" s="215" t="n"/>
      <c r="AF754" s="215" t="n"/>
      <c r="AG754" s="215" t="n"/>
      <c r="AH754" s="215" t="n"/>
      <c r="AI754" s="215" t="n"/>
      <c r="AJ754" s="215" t="n"/>
      <c r="AK754" s="216" t="n"/>
    </row>
    <row r="755" ht="15" customHeight="1">
      <c r="B755" s="134" t="n"/>
      <c r="C755" s="105" t="n"/>
      <c r="D755" s="105" t="n"/>
      <c r="E755" s="105" t="n"/>
      <c r="F755" s="105" t="n"/>
      <c r="G755" s="105" t="n"/>
      <c r="H755" s="2" t="n"/>
      <c r="I755" s="105" t="n"/>
      <c r="K755" s="215" t="n"/>
      <c r="L755" s="215" t="n"/>
      <c r="M755" s="215" t="n"/>
      <c r="N755" s="215" t="n"/>
      <c r="O755" s="215" t="n"/>
      <c r="P755" s="215" t="n"/>
      <c r="Q755" s="215" t="n"/>
      <c r="R755" s="215" t="n"/>
      <c r="S755" s="215" t="n"/>
      <c r="T755" s="215" t="n"/>
      <c r="U755" s="215" t="n"/>
      <c r="V755" s="215" t="n"/>
      <c r="W755" s="215" t="n"/>
      <c r="X755" s="215" t="n"/>
      <c r="Y755" s="215" t="n"/>
      <c r="Z755" s="215" t="n"/>
      <c r="AA755" s="215" t="n"/>
      <c r="AB755" s="215" t="n"/>
      <c r="AC755" s="215" t="n"/>
      <c r="AD755" s="215" t="n"/>
      <c r="AE755" s="215" t="n"/>
      <c r="AF755" s="215" t="n"/>
      <c r="AG755" s="215" t="n"/>
      <c r="AH755" s="215" t="n"/>
      <c r="AI755" s="215" t="n"/>
      <c r="AJ755" s="215" t="n"/>
      <c r="AK755" s="216" t="n"/>
    </row>
    <row r="756" ht="15" customHeight="1">
      <c r="B756" s="134" t="n"/>
      <c r="C756" s="105" t="n"/>
      <c r="D756" s="105" t="n"/>
      <c r="E756" s="105" t="n"/>
      <c r="F756" s="105" t="n"/>
      <c r="G756" s="105" t="n"/>
      <c r="H756" s="2" t="n"/>
      <c r="I756" s="105" t="n"/>
      <c r="K756" s="215" t="n"/>
      <c r="L756" s="215" t="n"/>
      <c r="M756" s="215" t="n"/>
      <c r="N756" s="215" t="n"/>
      <c r="O756" s="215" t="n"/>
      <c r="P756" s="215" t="n"/>
      <c r="Q756" s="215" t="n"/>
      <c r="R756" s="215" t="n"/>
      <c r="S756" s="215" t="n"/>
      <c r="T756" s="215" t="n"/>
      <c r="U756" s="215" t="n"/>
      <c r="V756" s="215" t="n"/>
      <c r="W756" s="215" t="n"/>
      <c r="X756" s="215" t="n"/>
      <c r="Y756" s="215" t="n"/>
      <c r="Z756" s="215" t="n"/>
      <c r="AA756" s="215" t="n"/>
      <c r="AB756" s="215" t="n"/>
      <c r="AC756" s="215" t="n"/>
      <c r="AD756" s="215" t="n"/>
      <c r="AE756" s="215" t="n"/>
      <c r="AF756" s="215" t="n"/>
      <c r="AG756" s="215" t="n"/>
      <c r="AH756" s="215" t="n"/>
      <c r="AI756" s="215" t="n"/>
      <c r="AJ756" s="215" t="n"/>
      <c r="AK756" s="216" t="n"/>
    </row>
    <row r="757" ht="15" customHeight="1">
      <c r="B757" s="134" t="n"/>
      <c r="C757" s="105" t="n"/>
      <c r="D757" s="105" t="n"/>
      <c r="E757" s="105" t="n"/>
      <c r="F757" s="105" t="n"/>
      <c r="G757" s="105" t="n"/>
      <c r="H757" s="2" t="n"/>
      <c r="I757" s="105" t="n"/>
      <c r="K757" s="215" t="n"/>
      <c r="L757" s="215" t="n"/>
      <c r="M757" s="215" t="n"/>
      <c r="N757" s="215" t="n"/>
      <c r="O757" s="215" t="n"/>
      <c r="P757" s="215" t="n"/>
      <c r="Q757" s="215" t="n"/>
      <c r="R757" s="215" t="n"/>
      <c r="S757" s="215" t="n"/>
      <c r="T757" s="215" t="n"/>
      <c r="U757" s="215" t="n"/>
      <c r="V757" s="215" t="n"/>
      <c r="W757" s="215" t="n"/>
      <c r="X757" s="215" t="n"/>
      <c r="Y757" s="215" t="n"/>
      <c r="Z757" s="215" t="n"/>
      <c r="AA757" s="215" t="n"/>
      <c r="AB757" s="215" t="n"/>
      <c r="AC757" s="215" t="n"/>
      <c r="AD757" s="215" t="n"/>
      <c r="AE757" s="215" t="n"/>
      <c r="AF757" s="215" t="n"/>
      <c r="AG757" s="215" t="n"/>
      <c r="AH757" s="215" t="n"/>
      <c r="AI757" s="215" t="n"/>
      <c r="AJ757" s="215" t="n"/>
      <c r="AK757" s="216" t="n"/>
    </row>
    <row r="758" ht="15" customHeight="1">
      <c r="B758" s="134" t="n"/>
      <c r="C758" s="105" t="n"/>
      <c r="D758" s="105" t="n"/>
      <c r="E758" s="105" t="n"/>
      <c r="F758" s="105" t="n"/>
      <c r="G758" s="105" t="n"/>
      <c r="H758" s="2" t="n"/>
      <c r="I758" s="105" t="n"/>
      <c r="K758" s="215" t="n"/>
      <c r="L758" s="215" t="n"/>
      <c r="M758" s="215" t="n"/>
      <c r="N758" s="215" t="n"/>
      <c r="O758" s="215" t="n"/>
      <c r="P758" s="215" t="n"/>
      <c r="Q758" s="215" t="n"/>
      <c r="R758" s="215" t="n"/>
      <c r="S758" s="215" t="n"/>
      <c r="T758" s="215" t="n"/>
      <c r="U758" s="215" t="n"/>
      <c r="V758" s="215" t="n"/>
      <c r="W758" s="215" t="n"/>
      <c r="X758" s="215" t="n"/>
      <c r="Y758" s="215" t="n"/>
      <c r="Z758" s="215" t="n"/>
      <c r="AA758" s="215" t="n"/>
      <c r="AB758" s="215" t="n"/>
      <c r="AC758" s="215" t="n"/>
      <c r="AD758" s="215" t="n"/>
      <c r="AE758" s="215" t="n"/>
      <c r="AF758" s="215" t="n"/>
      <c r="AG758" s="215" t="n"/>
      <c r="AH758" s="215" t="n"/>
      <c r="AI758" s="215" t="n"/>
      <c r="AJ758" s="215" t="n"/>
      <c r="AK758" s="216" t="n"/>
    </row>
    <row r="759" ht="15" customHeight="1">
      <c r="B759" s="134" t="n"/>
      <c r="C759" s="105" t="n"/>
      <c r="D759" s="105" t="n"/>
      <c r="E759" s="105" t="n"/>
      <c r="F759" s="105" t="n"/>
      <c r="G759" s="105" t="n"/>
      <c r="H759" s="2" t="n"/>
      <c r="I759" s="105" t="n"/>
      <c r="K759" s="215" t="n"/>
      <c r="L759" s="215" t="n"/>
      <c r="M759" s="215" t="n"/>
      <c r="N759" s="215" t="n"/>
      <c r="O759" s="215" t="n"/>
      <c r="P759" s="215" t="n"/>
      <c r="Q759" s="215" t="n"/>
      <c r="R759" s="215" t="n"/>
      <c r="S759" s="215" t="n"/>
      <c r="T759" s="215" t="n"/>
      <c r="U759" s="215" t="n"/>
      <c r="V759" s="215" t="n"/>
      <c r="W759" s="215" t="n"/>
      <c r="X759" s="215" t="n"/>
      <c r="Y759" s="215" t="n"/>
      <c r="Z759" s="215" t="n"/>
      <c r="AA759" s="215" t="n"/>
      <c r="AB759" s="215" t="n"/>
      <c r="AC759" s="215" t="n"/>
      <c r="AD759" s="215" t="n"/>
      <c r="AE759" s="215" t="n"/>
      <c r="AF759" s="215" t="n"/>
      <c r="AG759" s="215" t="n"/>
      <c r="AH759" s="215" t="n"/>
      <c r="AI759" s="215" t="n"/>
      <c r="AJ759" s="215" t="n"/>
      <c r="AK759" s="216" t="n"/>
    </row>
    <row r="760" ht="15" customHeight="1">
      <c r="B760" s="134" t="n"/>
      <c r="C760" s="105" t="n"/>
      <c r="D760" s="105" t="n"/>
      <c r="E760" s="105" t="n"/>
      <c r="F760" s="105" t="n"/>
      <c r="G760" s="105" t="n"/>
      <c r="H760" s="2" t="n"/>
      <c r="I760" s="105" t="n"/>
      <c r="K760" s="215" t="n"/>
      <c r="L760" s="215" t="n"/>
      <c r="M760" s="215" t="n"/>
      <c r="N760" s="215" t="n"/>
      <c r="O760" s="215" t="n"/>
      <c r="P760" s="215" t="n"/>
      <c r="Q760" s="215" t="n"/>
      <c r="R760" s="215" t="n"/>
      <c r="S760" s="215" t="n"/>
      <c r="T760" s="215" t="n"/>
      <c r="U760" s="215" t="n"/>
      <c r="V760" s="215" t="n"/>
      <c r="W760" s="215" t="n"/>
      <c r="X760" s="215" t="n"/>
      <c r="Y760" s="215" t="n"/>
      <c r="Z760" s="215" t="n"/>
      <c r="AA760" s="215" t="n"/>
      <c r="AB760" s="215" t="n"/>
      <c r="AC760" s="215" t="n"/>
      <c r="AD760" s="215" t="n"/>
      <c r="AE760" s="215" t="n"/>
      <c r="AF760" s="215" t="n"/>
      <c r="AG760" s="215" t="n"/>
      <c r="AH760" s="215" t="n"/>
      <c r="AI760" s="215" t="n"/>
      <c r="AJ760" s="215" t="n"/>
      <c r="AK760" s="216" t="n"/>
    </row>
    <row r="761" ht="15" customHeight="1">
      <c r="B761" s="134" t="n"/>
      <c r="C761" s="105" t="n"/>
      <c r="D761" s="105" t="n"/>
      <c r="E761" s="105" t="n"/>
      <c r="F761" s="105" t="n"/>
      <c r="G761" s="105" t="n"/>
      <c r="H761" s="2" t="n"/>
      <c r="I761" s="105" t="n"/>
      <c r="K761" s="215" t="n"/>
      <c r="L761" s="215" t="n"/>
      <c r="M761" s="215" t="n"/>
      <c r="N761" s="215" t="n"/>
      <c r="O761" s="215" t="n"/>
      <c r="P761" s="215" t="n"/>
      <c r="Q761" s="215" t="n"/>
      <c r="R761" s="215" t="n"/>
      <c r="S761" s="215" t="n"/>
      <c r="T761" s="215" t="n"/>
      <c r="U761" s="215" t="n"/>
      <c r="V761" s="215" t="n"/>
      <c r="W761" s="215" t="n"/>
      <c r="X761" s="215" t="n"/>
      <c r="Y761" s="215" t="n"/>
      <c r="Z761" s="215" t="n"/>
      <c r="AA761" s="215" t="n"/>
      <c r="AB761" s="215" t="n"/>
      <c r="AC761" s="215" t="n"/>
      <c r="AD761" s="215" t="n"/>
      <c r="AE761" s="215" t="n"/>
      <c r="AF761" s="215" t="n"/>
      <c r="AG761" s="215" t="n"/>
      <c r="AH761" s="215" t="n"/>
      <c r="AI761" s="215" t="n"/>
      <c r="AJ761" s="215" t="n"/>
      <c r="AK761" s="216" t="n"/>
    </row>
    <row r="762" ht="15" customHeight="1">
      <c r="B762" s="134" t="n"/>
      <c r="C762" s="105" t="n"/>
      <c r="D762" s="105" t="n"/>
      <c r="E762" s="105" t="n"/>
      <c r="F762" s="105" t="n"/>
      <c r="G762" s="105" t="n"/>
      <c r="H762" s="2" t="n"/>
      <c r="I762" s="105" t="n"/>
      <c r="K762" s="215" t="n"/>
      <c r="L762" s="215" t="n"/>
      <c r="M762" s="215" t="n"/>
      <c r="N762" s="215" t="n"/>
      <c r="O762" s="215" t="n"/>
      <c r="P762" s="215" t="n"/>
      <c r="Q762" s="215" t="n"/>
      <c r="R762" s="215" t="n"/>
      <c r="S762" s="215" t="n"/>
      <c r="T762" s="215" t="n"/>
      <c r="U762" s="215" t="n"/>
      <c r="V762" s="215" t="n"/>
      <c r="W762" s="215" t="n"/>
      <c r="X762" s="215" t="n"/>
      <c r="Y762" s="215" t="n"/>
      <c r="Z762" s="215" t="n"/>
      <c r="AA762" s="215" t="n"/>
      <c r="AB762" s="215" t="n"/>
      <c r="AC762" s="215" t="n"/>
      <c r="AD762" s="215" t="n"/>
      <c r="AE762" s="215" t="n"/>
      <c r="AF762" s="215" t="n"/>
      <c r="AG762" s="215" t="n"/>
      <c r="AH762" s="215" t="n"/>
      <c r="AI762" s="215" t="n"/>
      <c r="AJ762" s="215" t="n"/>
      <c r="AK762" s="216" t="n"/>
    </row>
    <row r="763" ht="15" customHeight="1">
      <c r="B763" s="134" t="n"/>
      <c r="C763" s="105" t="n"/>
      <c r="D763" s="105" t="n"/>
      <c r="E763" s="105" t="n"/>
      <c r="F763" s="105" t="n"/>
      <c r="G763" s="105" t="n"/>
      <c r="H763" s="2" t="n"/>
      <c r="I763" s="105" t="n"/>
      <c r="K763" s="215" t="n"/>
      <c r="L763" s="215" t="n"/>
      <c r="M763" s="215" t="n"/>
      <c r="N763" s="215" t="n"/>
      <c r="O763" s="215" t="n"/>
      <c r="P763" s="215" t="n"/>
      <c r="Q763" s="215" t="n"/>
      <c r="R763" s="215" t="n"/>
      <c r="S763" s="215" t="n"/>
      <c r="T763" s="215" t="n"/>
      <c r="U763" s="215" t="n"/>
      <c r="V763" s="215" t="n"/>
      <c r="W763" s="215" t="n"/>
      <c r="X763" s="215" t="n"/>
      <c r="Y763" s="215" t="n"/>
      <c r="Z763" s="215" t="n"/>
      <c r="AA763" s="215" t="n"/>
      <c r="AB763" s="215" t="n"/>
      <c r="AC763" s="215" t="n"/>
      <c r="AD763" s="215" t="n"/>
      <c r="AE763" s="215" t="n"/>
      <c r="AF763" s="215" t="n"/>
      <c r="AG763" s="215" t="n"/>
      <c r="AH763" s="215" t="n"/>
      <c r="AI763" s="215" t="n"/>
      <c r="AJ763" s="215" t="n"/>
      <c r="AK763" s="216" t="n"/>
    </row>
    <row r="764" ht="15" customHeight="1">
      <c r="B764" s="134" t="n"/>
      <c r="C764" s="105" t="n"/>
      <c r="D764" s="105" t="n"/>
      <c r="E764" s="105" t="n"/>
      <c r="F764" s="105" t="n"/>
      <c r="G764" s="105" t="n"/>
      <c r="H764" s="2" t="n"/>
      <c r="I764" s="105" t="n"/>
      <c r="K764" s="215" t="n"/>
      <c r="L764" s="215" t="n"/>
      <c r="M764" s="215" t="n"/>
      <c r="N764" s="215" t="n"/>
      <c r="O764" s="215" t="n"/>
      <c r="P764" s="215" t="n"/>
      <c r="Q764" s="215" t="n"/>
      <c r="R764" s="215" t="n"/>
      <c r="S764" s="215" t="n"/>
      <c r="T764" s="215" t="n"/>
      <c r="U764" s="215" t="n"/>
      <c r="V764" s="215" t="n"/>
      <c r="W764" s="215" t="n"/>
      <c r="X764" s="215" t="n"/>
      <c r="Y764" s="215" t="n"/>
      <c r="Z764" s="215" t="n"/>
      <c r="AA764" s="215" t="n"/>
      <c r="AB764" s="215" t="n"/>
      <c r="AC764" s="215" t="n"/>
      <c r="AD764" s="215" t="n"/>
      <c r="AE764" s="215" t="n"/>
      <c r="AF764" s="215" t="n"/>
      <c r="AG764" s="215" t="n"/>
      <c r="AH764" s="215" t="n"/>
      <c r="AI764" s="215" t="n"/>
      <c r="AJ764" s="215" t="n"/>
      <c r="AK764" s="216" t="n"/>
    </row>
    <row r="765" ht="15" customHeight="1">
      <c r="B765" s="134" t="n"/>
      <c r="C765" s="105" t="n"/>
      <c r="D765" s="105" t="n"/>
      <c r="E765" s="105" t="n"/>
      <c r="F765" s="105" t="n"/>
      <c r="G765" s="105" t="n"/>
      <c r="H765" s="2" t="n"/>
      <c r="I765" s="105" t="n"/>
      <c r="K765" s="215" t="n"/>
      <c r="L765" s="215" t="n"/>
      <c r="M765" s="215" t="n"/>
      <c r="N765" s="215" t="n"/>
      <c r="O765" s="215" t="n"/>
      <c r="P765" s="215" t="n"/>
      <c r="Q765" s="215" t="n"/>
      <c r="R765" s="215" t="n"/>
      <c r="S765" s="215" t="n"/>
      <c r="T765" s="215" t="n"/>
      <c r="U765" s="215" t="n"/>
      <c r="V765" s="215" t="n"/>
      <c r="W765" s="215" t="n"/>
      <c r="X765" s="215" t="n"/>
      <c r="Y765" s="215" t="n"/>
      <c r="Z765" s="215" t="n"/>
      <c r="AA765" s="215" t="n"/>
      <c r="AB765" s="215" t="n"/>
      <c r="AC765" s="215" t="n"/>
      <c r="AD765" s="215" t="n"/>
      <c r="AE765" s="215" t="n"/>
      <c r="AF765" s="215" t="n"/>
      <c r="AG765" s="215" t="n"/>
      <c r="AH765" s="215" t="n"/>
      <c r="AI765" s="215" t="n"/>
      <c r="AJ765" s="215" t="n"/>
      <c r="AK765" s="216" t="n"/>
    </row>
    <row r="766" ht="15" customHeight="1">
      <c r="B766" s="134" t="n"/>
      <c r="C766" s="105" t="n"/>
      <c r="D766" s="105" t="n"/>
      <c r="E766" s="105" t="n"/>
      <c r="F766" s="105" t="n"/>
      <c r="G766" s="105" t="n"/>
      <c r="H766" s="2" t="n"/>
      <c r="I766" s="105" t="n"/>
      <c r="K766" s="215" t="n"/>
      <c r="L766" s="215" t="n"/>
      <c r="M766" s="215" t="n"/>
      <c r="N766" s="215" t="n"/>
      <c r="O766" s="215" t="n"/>
      <c r="P766" s="215" t="n"/>
      <c r="Q766" s="215" t="n"/>
      <c r="R766" s="215" t="n"/>
      <c r="S766" s="215" t="n"/>
      <c r="T766" s="215" t="n"/>
      <c r="U766" s="215" t="n"/>
      <c r="V766" s="215" t="n"/>
      <c r="W766" s="215" t="n"/>
      <c r="X766" s="215" t="n"/>
      <c r="Y766" s="215" t="n"/>
      <c r="Z766" s="215" t="n"/>
      <c r="AA766" s="215" t="n"/>
      <c r="AB766" s="215" t="n"/>
      <c r="AC766" s="215" t="n"/>
      <c r="AD766" s="215" t="n"/>
      <c r="AE766" s="215" t="n"/>
      <c r="AF766" s="215" t="n"/>
      <c r="AG766" s="215" t="n"/>
      <c r="AH766" s="215" t="n"/>
      <c r="AI766" s="215" t="n"/>
      <c r="AJ766" s="215" t="n"/>
      <c r="AK766" s="216" t="n"/>
    </row>
    <row r="767" ht="15" customHeight="1">
      <c r="B767" s="134" t="n"/>
      <c r="C767" s="105" t="n"/>
      <c r="D767" s="105" t="n"/>
      <c r="E767" s="105" t="n"/>
      <c r="F767" s="105" t="n"/>
      <c r="G767" s="105" t="n"/>
      <c r="H767" s="2" t="n"/>
      <c r="I767" s="105" t="n"/>
      <c r="K767" s="215" t="n"/>
      <c r="L767" s="215" t="n"/>
      <c r="M767" s="215" t="n"/>
      <c r="N767" s="215" t="n"/>
      <c r="O767" s="215" t="n"/>
      <c r="P767" s="215" t="n"/>
      <c r="Q767" s="215" t="n"/>
      <c r="R767" s="215" t="n"/>
      <c r="S767" s="215" t="n"/>
      <c r="T767" s="215" t="n"/>
      <c r="U767" s="215" t="n"/>
      <c r="V767" s="215" t="n"/>
      <c r="W767" s="215" t="n"/>
      <c r="X767" s="215" t="n"/>
      <c r="Y767" s="215" t="n"/>
      <c r="Z767" s="215" t="n"/>
      <c r="AA767" s="215" t="n"/>
      <c r="AB767" s="215" t="n"/>
      <c r="AC767" s="215" t="n"/>
      <c r="AD767" s="215" t="n"/>
      <c r="AE767" s="215" t="n"/>
      <c r="AF767" s="215" t="n"/>
      <c r="AG767" s="215" t="n"/>
      <c r="AH767" s="215" t="n"/>
      <c r="AI767" s="215" t="n"/>
      <c r="AJ767" s="215" t="n"/>
      <c r="AK767" s="216" t="n"/>
    </row>
    <row r="768" ht="15" customHeight="1">
      <c r="B768" s="134" t="n"/>
      <c r="C768" s="105" t="n"/>
      <c r="D768" s="105" t="n"/>
      <c r="E768" s="105" t="n"/>
      <c r="F768" s="105" t="n"/>
      <c r="G768" s="105" t="n"/>
      <c r="H768" s="2" t="n"/>
      <c r="I768" s="105" t="n"/>
      <c r="K768" s="215" t="n"/>
      <c r="L768" s="215" t="n"/>
      <c r="M768" s="215" t="n"/>
      <c r="N768" s="215" t="n"/>
      <c r="O768" s="215" t="n"/>
      <c r="P768" s="215" t="n"/>
      <c r="Q768" s="215" t="n"/>
      <c r="R768" s="215" t="n"/>
      <c r="S768" s="215" t="n"/>
      <c r="T768" s="215" t="n"/>
      <c r="U768" s="215" t="n"/>
      <c r="V768" s="215" t="n"/>
      <c r="W768" s="215" t="n"/>
      <c r="X768" s="215" t="n"/>
      <c r="Y768" s="215" t="n"/>
      <c r="Z768" s="215" t="n"/>
      <c r="AA768" s="215" t="n"/>
      <c r="AB768" s="215" t="n"/>
      <c r="AC768" s="215" t="n"/>
      <c r="AD768" s="215" t="n"/>
      <c r="AE768" s="215" t="n"/>
      <c r="AF768" s="215" t="n"/>
      <c r="AG768" s="215" t="n"/>
      <c r="AH768" s="215" t="n"/>
      <c r="AI768" s="215" t="n"/>
      <c r="AJ768" s="215" t="n"/>
      <c r="AK768" s="216" t="n"/>
    </row>
    <row r="769" ht="15" customHeight="1">
      <c r="B769" s="134" t="n"/>
      <c r="C769" s="105" t="n"/>
      <c r="D769" s="105" t="n"/>
      <c r="E769" s="105" t="n"/>
      <c r="F769" s="105" t="n"/>
      <c r="G769" s="105" t="n"/>
      <c r="H769" s="2" t="n"/>
      <c r="I769" s="105" t="n"/>
      <c r="K769" s="215" t="n"/>
      <c r="L769" s="215" t="n"/>
      <c r="M769" s="215" t="n"/>
      <c r="N769" s="215" t="n"/>
      <c r="O769" s="215" t="n"/>
      <c r="P769" s="215" t="n"/>
      <c r="Q769" s="215" t="n"/>
      <c r="R769" s="215" t="n"/>
      <c r="S769" s="215" t="n"/>
      <c r="T769" s="215" t="n"/>
      <c r="U769" s="215" t="n"/>
      <c r="V769" s="215" t="n"/>
      <c r="W769" s="215" t="n"/>
      <c r="X769" s="215" t="n"/>
      <c r="Y769" s="215" t="n"/>
      <c r="Z769" s="215" t="n"/>
      <c r="AA769" s="215" t="n"/>
      <c r="AB769" s="215" t="n"/>
      <c r="AC769" s="215" t="n"/>
      <c r="AD769" s="215" t="n"/>
      <c r="AE769" s="215" t="n"/>
      <c r="AF769" s="215" t="n"/>
      <c r="AG769" s="215" t="n"/>
      <c r="AH769" s="215" t="n"/>
      <c r="AI769" s="215" t="n"/>
      <c r="AJ769" s="215" t="n"/>
      <c r="AK769" s="216" t="n"/>
    </row>
    <row r="770" ht="15" customHeight="1">
      <c r="B770" s="134" t="n"/>
      <c r="C770" s="105" t="n"/>
      <c r="D770" s="105" t="n"/>
      <c r="E770" s="105" t="n"/>
      <c r="F770" s="105" t="n"/>
      <c r="G770" s="105" t="n"/>
      <c r="H770" s="2" t="n"/>
      <c r="I770" s="105" t="n"/>
      <c r="K770" s="215" t="n"/>
      <c r="L770" s="215" t="n"/>
      <c r="M770" s="215" t="n"/>
      <c r="N770" s="215" t="n"/>
      <c r="O770" s="215" t="n"/>
      <c r="P770" s="215" t="n"/>
      <c r="Q770" s="215" t="n"/>
      <c r="R770" s="215" t="n"/>
      <c r="S770" s="215" t="n"/>
      <c r="T770" s="215" t="n"/>
      <c r="U770" s="215" t="n"/>
      <c r="V770" s="215" t="n"/>
      <c r="W770" s="215" t="n"/>
      <c r="X770" s="215" t="n"/>
      <c r="Y770" s="215" t="n"/>
      <c r="Z770" s="215" t="n"/>
      <c r="AA770" s="215" t="n"/>
      <c r="AB770" s="215" t="n"/>
      <c r="AC770" s="215" t="n"/>
      <c r="AD770" s="215" t="n"/>
      <c r="AE770" s="215" t="n"/>
      <c r="AF770" s="215" t="n"/>
      <c r="AG770" s="215" t="n"/>
      <c r="AH770" s="215" t="n"/>
      <c r="AI770" s="215" t="n"/>
      <c r="AJ770" s="215" t="n"/>
      <c r="AK770" s="216" t="n"/>
    </row>
    <row r="771" ht="15" customHeight="1">
      <c r="B771" s="134" t="n"/>
      <c r="C771" s="105" t="n"/>
      <c r="D771" s="105" t="n"/>
      <c r="E771" s="105" t="n"/>
      <c r="F771" s="105" t="n"/>
      <c r="G771" s="105" t="n"/>
      <c r="H771" s="2" t="n"/>
      <c r="I771" s="105" t="n"/>
      <c r="K771" s="215" t="n"/>
      <c r="L771" s="215" t="n"/>
      <c r="M771" s="215" t="n"/>
      <c r="N771" s="215" t="n"/>
      <c r="O771" s="215" t="n"/>
      <c r="P771" s="215" t="n"/>
      <c r="Q771" s="215" t="n"/>
      <c r="R771" s="215" t="n"/>
      <c r="S771" s="215" t="n"/>
      <c r="T771" s="215" t="n"/>
      <c r="U771" s="215" t="n"/>
      <c r="V771" s="215" t="n"/>
      <c r="W771" s="215" t="n"/>
      <c r="X771" s="215" t="n"/>
      <c r="Y771" s="215" t="n"/>
      <c r="Z771" s="215" t="n"/>
      <c r="AA771" s="215" t="n"/>
      <c r="AB771" s="215" t="n"/>
      <c r="AC771" s="215" t="n"/>
      <c r="AD771" s="215" t="n"/>
      <c r="AE771" s="215" t="n"/>
      <c r="AF771" s="215" t="n"/>
      <c r="AG771" s="215" t="n"/>
      <c r="AH771" s="215" t="n"/>
      <c r="AI771" s="215" t="n"/>
      <c r="AJ771" s="215" t="n"/>
      <c r="AK771" s="216" t="n"/>
    </row>
    <row r="772" ht="15" customHeight="1">
      <c r="B772" s="134" t="n"/>
      <c r="C772" s="105" t="n"/>
      <c r="D772" s="105" t="n"/>
      <c r="E772" s="105" t="n"/>
      <c r="F772" s="105" t="n"/>
      <c r="G772" s="105" t="n"/>
      <c r="H772" s="2" t="n"/>
      <c r="I772" s="105" t="n"/>
      <c r="K772" s="215" t="n"/>
      <c r="L772" s="215" t="n"/>
      <c r="M772" s="215" t="n"/>
      <c r="N772" s="215" t="n"/>
      <c r="O772" s="215" t="n"/>
      <c r="P772" s="215" t="n"/>
      <c r="Q772" s="215" t="n"/>
      <c r="R772" s="215" t="n"/>
      <c r="S772" s="215" t="n"/>
      <c r="T772" s="215" t="n"/>
      <c r="U772" s="215" t="n"/>
      <c r="V772" s="215" t="n"/>
      <c r="W772" s="215" t="n"/>
      <c r="X772" s="215" t="n"/>
      <c r="Y772" s="215" t="n"/>
      <c r="Z772" s="215" t="n"/>
      <c r="AA772" s="215" t="n"/>
      <c r="AB772" s="215" t="n"/>
      <c r="AC772" s="215" t="n"/>
      <c r="AD772" s="215" t="n"/>
      <c r="AE772" s="215" t="n"/>
      <c r="AF772" s="215" t="n"/>
      <c r="AG772" s="215" t="n"/>
      <c r="AH772" s="215" t="n"/>
      <c r="AI772" s="215" t="n"/>
      <c r="AJ772" s="215" t="n"/>
      <c r="AK772" s="216" t="n"/>
    </row>
    <row r="773" ht="15" customHeight="1">
      <c r="B773" s="134" t="n"/>
      <c r="C773" s="105" t="n"/>
      <c r="D773" s="105" t="n"/>
      <c r="E773" s="105" t="n"/>
      <c r="F773" s="105" t="n"/>
      <c r="G773" s="105" t="n"/>
      <c r="H773" s="2" t="n"/>
      <c r="I773" s="105" t="n"/>
      <c r="K773" s="215" t="n"/>
      <c r="L773" s="215" t="n"/>
      <c r="M773" s="215" t="n"/>
      <c r="N773" s="215" t="n"/>
      <c r="O773" s="215" t="n"/>
      <c r="P773" s="215" t="n"/>
      <c r="Q773" s="215" t="n"/>
      <c r="R773" s="215" t="n"/>
      <c r="S773" s="215" t="n"/>
      <c r="T773" s="215" t="n"/>
      <c r="U773" s="215" t="n"/>
      <c r="V773" s="215" t="n"/>
      <c r="W773" s="215" t="n"/>
      <c r="X773" s="215" t="n"/>
      <c r="Y773" s="215" t="n"/>
      <c r="Z773" s="215" t="n"/>
      <c r="AA773" s="215" t="n"/>
      <c r="AB773" s="215" t="n"/>
      <c r="AC773" s="215" t="n"/>
      <c r="AD773" s="215" t="n"/>
      <c r="AE773" s="215" t="n"/>
      <c r="AF773" s="215" t="n"/>
      <c r="AG773" s="215" t="n"/>
      <c r="AH773" s="215" t="n"/>
      <c r="AI773" s="215" t="n"/>
      <c r="AJ773" s="215" t="n"/>
      <c r="AK773" s="216" t="n"/>
    </row>
    <row r="774" ht="15" customHeight="1">
      <c r="B774" s="134" t="n"/>
      <c r="C774" s="105" t="n"/>
      <c r="D774" s="105" t="n"/>
      <c r="E774" s="105" t="n"/>
      <c r="F774" s="105" t="n"/>
      <c r="G774" s="105" t="n"/>
      <c r="H774" s="2" t="n"/>
      <c r="I774" s="105" t="n"/>
      <c r="K774" s="215" t="n"/>
      <c r="L774" s="215" t="n"/>
      <c r="M774" s="215" t="n"/>
      <c r="N774" s="215" t="n"/>
      <c r="O774" s="215" t="n"/>
      <c r="P774" s="215" t="n"/>
      <c r="Q774" s="215" t="n"/>
      <c r="R774" s="215" t="n"/>
      <c r="S774" s="215" t="n"/>
      <c r="T774" s="215" t="n"/>
      <c r="U774" s="215" t="n"/>
      <c r="V774" s="215" t="n"/>
      <c r="W774" s="215" t="n"/>
      <c r="X774" s="215" t="n"/>
      <c r="Y774" s="215" t="n"/>
      <c r="Z774" s="215" t="n"/>
      <c r="AA774" s="215" t="n"/>
      <c r="AB774" s="215" t="n"/>
      <c r="AC774" s="215" t="n"/>
      <c r="AD774" s="215" t="n"/>
      <c r="AE774" s="215" t="n"/>
      <c r="AF774" s="215" t="n"/>
      <c r="AG774" s="215" t="n"/>
      <c r="AH774" s="215" t="n"/>
      <c r="AI774" s="215" t="n"/>
      <c r="AJ774" s="215" t="n"/>
      <c r="AK774" s="216" t="n"/>
    </row>
    <row r="775" ht="15" customHeight="1">
      <c r="B775" s="134" t="n"/>
      <c r="C775" s="105" t="n"/>
      <c r="D775" s="105" t="n"/>
      <c r="E775" s="105" t="n"/>
      <c r="F775" s="105" t="n"/>
      <c r="G775" s="105" t="n"/>
      <c r="H775" s="2" t="n"/>
      <c r="I775" s="105" t="n"/>
      <c r="K775" s="215" t="n"/>
      <c r="L775" s="215" t="n"/>
      <c r="M775" s="215" t="n"/>
      <c r="N775" s="215" t="n"/>
      <c r="O775" s="215" t="n"/>
      <c r="P775" s="215" t="n"/>
      <c r="Q775" s="215" t="n"/>
      <c r="R775" s="215" t="n"/>
      <c r="S775" s="215" t="n"/>
      <c r="T775" s="215" t="n"/>
      <c r="U775" s="215" t="n"/>
      <c r="V775" s="215" t="n"/>
      <c r="W775" s="215" t="n"/>
      <c r="X775" s="215" t="n"/>
      <c r="Y775" s="215" t="n"/>
      <c r="Z775" s="215" t="n"/>
      <c r="AA775" s="215" t="n"/>
      <c r="AB775" s="215" t="n"/>
      <c r="AC775" s="215" t="n"/>
      <c r="AD775" s="215" t="n"/>
      <c r="AE775" s="215" t="n"/>
      <c r="AF775" s="215" t="n"/>
      <c r="AG775" s="215" t="n"/>
      <c r="AH775" s="215" t="n"/>
      <c r="AI775" s="215" t="n"/>
      <c r="AJ775" s="215" t="n"/>
      <c r="AK775" s="216" t="n"/>
    </row>
    <row r="776" ht="15" customHeight="1">
      <c r="B776" s="134" t="n"/>
      <c r="C776" s="105" t="n"/>
      <c r="D776" s="105" t="n"/>
      <c r="E776" s="105" t="n"/>
      <c r="F776" s="105" t="n"/>
      <c r="G776" s="105" t="n"/>
      <c r="H776" s="2" t="n"/>
      <c r="I776" s="105" t="n"/>
      <c r="K776" s="215" t="n"/>
      <c r="L776" s="215" t="n"/>
      <c r="M776" s="215" t="n"/>
      <c r="N776" s="215" t="n"/>
      <c r="O776" s="215" t="n"/>
      <c r="P776" s="215" t="n"/>
      <c r="Q776" s="215" t="n"/>
      <c r="R776" s="215" t="n"/>
      <c r="S776" s="215" t="n"/>
      <c r="T776" s="215" t="n"/>
      <c r="U776" s="215" t="n"/>
      <c r="V776" s="215" t="n"/>
      <c r="W776" s="215" t="n"/>
      <c r="X776" s="215" t="n"/>
      <c r="Y776" s="215" t="n"/>
      <c r="Z776" s="215" t="n"/>
      <c r="AA776" s="215" t="n"/>
      <c r="AB776" s="215" t="n"/>
      <c r="AC776" s="215" t="n"/>
      <c r="AD776" s="215" t="n"/>
      <c r="AE776" s="215" t="n"/>
      <c r="AF776" s="215" t="n"/>
      <c r="AG776" s="215" t="n"/>
      <c r="AH776" s="215" t="n"/>
      <c r="AI776" s="215" t="n"/>
      <c r="AJ776" s="215" t="n"/>
      <c r="AK776" s="216" t="n"/>
    </row>
    <row r="777" ht="15" customHeight="1">
      <c r="B777" s="134" t="n"/>
      <c r="C777" s="105" t="n"/>
      <c r="D777" s="105" t="n"/>
      <c r="E777" s="105" t="n"/>
      <c r="F777" s="105" t="n"/>
      <c r="G777" s="105" t="n"/>
      <c r="H777" s="2" t="n"/>
      <c r="I777" s="105" t="n"/>
      <c r="K777" s="215" t="n"/>
      <c r="L777" s="215" t="n"/>
      <c r="M777" s="215" t="n"/>
      <c r="N777" s="215" t="n"/>
      <c r="O777" s="215" t="n"/>
      <c r="P777" s="215" t="n"/>
      <c r="Q777" s="215" t="n"/>
      <c r="R777" s="215" t="n"/>
      <c r="S777" s="215" t="n"/>
      <c r="T777" s="215" t="n"/>
      <c r="U777" s="215" t="n"/>
      <c r="V777" s="215" t="n"/>
      <c r="W777" s="215" t="n"/>
      <c r="X777" s="215" t="n"/>
      <c r="Y777" s="215" t="n"/>
      <c r="Z777" s="215" t="n"/>
      <c r="AA777" s="215" t="n"/>
      <c r="AB777" s="215" t="n"/>
      <c r="AC777" s="215" t="n"/>
      <c r="AD777" s="215" t="n"/>
      <c r="AE777" s="215" t="n"/>
      <c r="AF777" s="215" t="n"/>
      <c r="AG777" s="215" t="n"/>
      <c r="AH777" s="215" t="n"/>
      <c r="AI777" s="215" t="n"/>
      <c r="AJ777" s="215" t="n"/>
      <c r="AK777" s="216" t="n"/>
    </row>
    <row r="778" ht="15" customHeight="1">
      <c r="B778" s="134" t="n"/>
      <c r="C778" s="105" t="n"/>
      <c r="D778" s="105" t="n"/>
      <c r="E778" s="105" t="n"/>
      <c r="F778" s="105" t="n"/>
      <c r="G778" s="105" t="n"/>
      <c r="H778" s="2" t="n"/>
      <c r="I778" s="105" t="n"/>
      <c r="K778" s="215" t="n"/>
      <c r="L778" s="215" t="n"/>
      <c r="M778" s="215" t="n"/>
      <c r="N778" s="215" t="n"/>
      <c r="O778" s="215" t="n"/>
      <c r="P778" s="215" t="n"/>
      <c r="Q778" s="215" t="n"/>
      <c r="R778" s="215" t="n"/>
      <c r="S778" s="215" t="n"/>
      <c r="T778" s="215" t="n"/>
      <c r="U778" s="215" t="n"/>
      <c r="V778" s="215" t="n"/>
      <c r="W778" s="215" t="n"/>
      <c r="X778" s="215" t="n"/>
      <c r="Y778" s="215" t="n"/>
      <c r="Z778" s="215" t="n"/>
      <c r="AA778" s="215" t="n"/>
      <c r="AB778" s="215" t="n"/>
      <c r="AC778" s="215" t="n"/>
      <c r="AD778" s="215" t="n"/>
      <c r="AE778" s="215" t="n"/>
      <c r="AF778" s="215" t="n"/>
      <c r="AG778" s="215" t="n"/>
      <c r="AH778" s="215" t="n"/>
      <c r="AI778" s="215" t="n"/>
      <c r="AJ778" s="215" t="n"/>
      <c r="AK778" s="216" t="n"/>
    </row>
    <row r="779" ht="15" customHeight="1">
      <c r="B779" s="134" t="n"/>
      <c r="C779" s="105" t="n"/>
      <c r="D779" s="105" t="n"/>
      <c r="E779" s="105" t="n"/>
      <c r="F779" s="105" t="n"/>
      <c r="G779" s="105" t="n"/>
      <c r="H779" s="2" t="n"/>
      <c r="I779" s="105" t="n"/>
      <c r="K779" s="215" t="n"/>
      <c r="L779" s="215" t="n"/>
      <c r="M779" s="215" t="n"/>
      <c r="N779" s="215" t="n"/>
      <c r="O779" s="215" t="n"/>
      <c r="P779" s="215" t="n"/>
      <c r="Q779" s="215" t="n"/>
      <c r="R779" s="215" t="n"/>
      <c r="S779" s="215" t="n"/>
      <c r="T779" s="215" t="n"/>
      <c r="U779" s="215" t="n"/>
      <c r="V779" s="215" t="n"/>
      <c r="W779" s="215" t="n"/>
      <c r="X779" s="215" t="n"/>
      <c r="Y779" s="215" t="n"/>
      <c r="Z779" s="215" t="n"/>
      <c r="AA779" s="215" t="n"/>
      <c r="AB779" s="215" t="n"/>
      <c r="AC779" s="215" t="n"/>
      <c r="AD779" s="215" t="n"/>
      <c r="AE779" s="215" t="n"/>
      <c r="AF779" s="215" t="n"/>
      <c r="AG779" s="215" t="n"/>
      <c r="AH779" s="215" t="n"/>
      <c r="AI779" s="215" t="n"/>
      <c r="AJ779" s="215" t="n"/>
      <c r="AK779" s="216" t="n"/>
    </row>
    <row r="780" ht="15" customHeight="1">
      <c r="B780" s="134" t="n"/>
      <c r="C780" s="105" t="n"/>
      <c r="D780" s="105" t="n"/>
      <c r="E780" s="105" t="n"/>
      <c r="F780" s="105" t="n"/>
      <c r="G780" s="105" t="n"/>
      <c r="H780" s="2" t="n"/>
      <c r="I780" s="105" t="n"/>
      <c r="K780" s="215" t="n"/>
      <c r="L780" s="215" t="n"/>
      <c r="M780" s="215" t="n"/>
      <c r="N780" s="215" t="n"/>
      <c r="O780" s="215" t="n"/>
      <c r="P780" s="215" t="n"/>
      <c r="Q780" s="215" t="n"/>
      <c r="R780" s="215" t="n"/>
      <c r="S780" s="215" t="n"/>
      <c r="T780" s="215" t="n"/>
      <c r="U780" s="215" t="n"/>
      <c r="V780" s="215" t="n"/>
      <c r="W780" s="215" t="n"/>
      <c r="X780" s="215" t="n"/>
      <c r="Y780" s="215" t="n"/>
      <c r="Z780" s="215" t="n"/>
      <c r="AA780" s="215" t="n"/>
      <c r="AB780" s="215" t="n"/>
      <c r="AC780" s="215" t="n"/>
      <c r="AD780" s="215" t="n"/>
      <c r="AE780" s="215" t="n"/>
      <c r="AF780" s="215" t="n"/>
      <c r="AG780" s="215" t="n"/>
      <c r="AH780" s="215" t="n"/>
      <c r="AI780" s="215" t="n"/>
      <c r="AJ780" s="215" t="n"/>
      <c r="AK780" s="216" t="n"/>
    </row>
    <row r="781" ht="15" customHeight="1">
      <c r="B781" s="134" t="n"/>
      <c r="C781" s="105" t="n"/>
      <c r="D781" s="105" t="n"/>
      <c r="E781" s="105" t="n"/>
      <c r="F781" s="105" t="n"/>
      <c r="G781" s="105" t="n"/>
      <c r="H781" s="2" t="n"/>
      <c r="I781" s="105" t="n"/>
      <c r="K781" s="215" t="n"/>
      <c r="L781" s="215" t="n"/>
      <c r="M781" s="215" t="n"/>
      <c r="N781" s="215" t="n"/>
      <c r="O781" s="215" t="n"/>
      <c r="P781" s="215" t="n"/>
      <c r="Q781" s="215" t="n"/>
      <c r="R781" s="215" t="n"/>
      <c r="S781" s="215" t="n"/>
      <c r="T781" s="215" t="n"/>
      <c r="U781" s="215" t="n"/>
      <c r="V781" s="215" t="n"/>
      <c r="W781" s="215" t="n"/>
      <c r="X781" s="215" t="n"/>
      <c r="Y781" s="215" t="n"/>
      <c r="Z781" s="215" t="n"/>
      <c r="AA781" s="215" t="n"/>
      <c r="AB781" s="215" t="n"/>
      <c r="AC781" s="215" t="n"/>
      <c r="AD781" s="215" t="n"/>
      <c r="AE781" s="215" t="n"/>
      <c r="AF781" s="215" t="n"/>
      <c r="AG781" s="215" t="n"/>
      <c r="AH781" s="215" t="n"/>
      <c r="AI781" s="215" t="n"/>
      <c r="AJ781" s="215" t="n"/>
      <c r="AK781" s="216" t="n"/>
    </row>
    <row r="782" ht="15" customHeight="1">
      <c r="B782" s="134" t="n"/>
      <c r="C782" s="105" t="n"/>
      <c r="D782" s="105" t="n"/>
      <c r="E782" s="105" t="n"/>
      <c r="F782" s="105" t="n"/>
      <c r="G782" s="105" t="n"/>
      <c r="H782" s="2" t="n"/>
      <c r="I782" s="105" t="n"/>
      <c r="K782" s="215" t="n"/>
      <c r="L782" s="215" t="n"/>
      <c r="M782" s="215" t="n"/>
      <c r="N782" s="215" t="n"/>
      <c r="O782" s="215" t="n"/>
      <c r="P782" s="215" t="n"/>
      <c r="Q782" s="215" t="n"/>
      <c r="R782" s="215" t="n"/>
      <c r="S782" s="215" t="n"/>
      <c r="T782" s="215" t="n"/>
      <c r="U782" s="215" t="n"/>
      <c r="V782" s="215" t="n"/>
      <c r="W782" s="215" t="n"/>
      <c r="X782" s="215" t="n"/>
      <c r="Y782" s="215" t="n"/>
      <c r="Z782" s="215" t="n"/>
      <c r="AA782" s="215" t="n"/>
      <c r="AB782" s="215" t="n"/>
      <c r="AC782" s="215" t="n"/>
      <c r="AD782" s="215" t="n"/>
      <c r="AE782" s="215" t="n"/>
      <c r="AF782" s="215" t="n"/>
      <c r="AG782" s="215" t="n"/>
      <c r="AH782" s="215" t="n"/>
      <c r="AI782" s="215" t="n"/>
      <c r="AJ782" s="215" t="n"/>
      <c r="AK782" s="216" t="n"/>
    </row>
    <row r="783" ht="15" customHeight="1">
      <c r="B783" s="134" t="n"/>
      <c r="C783" s="105" t="n"/>
      <c r="D783" s="105" t="n"/>
      <c r="E783" s="105" t="n"/>
      <c r="F783" s="105" t="n"/>
      <c r="G783" s="105" t="n"/>
      <c r="H783" s="2" t="n"/>
      <c r="I783" s="105" t="n"/>
      <c r="K783" s="215" t="n"/>
      <c r="L783" s="215" t="n"/>
      <c r="M783" s="215" t="n"/>
      <c r="N783" s="215" t="n"/>
      <c r="O783" s="215" t="n"/>
      <c r="P783" s="215" t="n"/>
      <c r="Q783" s="215" t="n"/>
      <c r="R783" s="215" t="n"/>
      <c r="S783" s="215" t="n"/>
      <c r="T783" s="215" t="n"/>
      <c r="U783" s="215" t="n"/>
      <c r="V783" s="215" t="n"/>
      <c r="W783" s="215" t="n"/>
      <c r="X783" s="215" t="n"/>
      <c r="Y783" s="215" t="n"/>
      <c r="Z783" s="215" t="n"/>
      <c r="AA783" s="215" t="n"/>
      <c r="AB783" s="215" t="n"/>
      <c r="AC783" s="215" t="n"/>
      <c r="AD783" s="215" t="n"/>
      <c r="AE783" s="215" t="n"/>
      <c r="AF783" s="215" t="n"/>
      <c r="AG783" s="215" t="n"/>
      <c r="AH783" s="215" t="n"/>
      <c r="AI783" s="215" t="n"/>
      <c r="AJ783" s="215" t="n"/>
      <c r="AK783" s="216" t="n"/>
    </row>
    <row r="784" ht="15" customHeight="1">
      <c r="B784" s="134" t="n"/>
      <c r="C784" s="105" t="n"/>
      <c r="D784" s="105" t="n"/>
      <c r="E784" s="105" t="n"/>
      <c r="F784" s="105" t="n"/>
      <c r="G784" s="105" t="n"/>
      <c r="H784" s="2" t="n"/>
      <c r="I784" s="105" t="n"/>
      <c r="K784" s="215" t="n"/>
      <c r="L784" s="215" t="n"/>
      <c r="M784" s="215" t="n"/>
      <c r="N784" s="215" t="n"/>
      <c r="O784" s="215" t="n"/>
      <c r="P784" s="215" t="n"/>
      <c r="Q784" s="215" t="n"/>
      <c r="R784" s="215" t="n"/>
      <c r="S784" s="215" t="n"/>
      <c r="T784" s="215" t="n"/>
      <c r="U784" s="215" t="n"/>
      <c r="V784" s="215" t="n"/>
      <c r="W784" s="215" t="n"/>
      <c r="X784" s="215" t="n"/>
      <c r="Y784" s="215" t="n"/>
      <c r="Z784" s="215" t="n"/>
      <c r="AA784" s="215" t="n"/>
      <c r="AB784" s="215" t="n"/>
      <c r="AC784" s="215" t="n"/>
      <c r="AD784" s="215" t="n"/>
      <c r="AE784" s="215" t="n"/>
      <c r="AF784" s="215" t="n"/>
      <c r="AG784" s="215" t="n"/>
      <c r="AH784" s="215" t="n"/>
      <c r="AI784" s="215" t="n"/>
      <c r="AJ784" s="215" t="n"/>
      <c r="AK784" s="216" t="n"/>
    </row>
    <row r="785" ht="15" customHeight="1">
      <c r="B785" s="134" t="n"/>
      <c r="C785" s="105" t="n"/>
      <c r="D785" s="105" t="n"/>
      <c r="E785" s="105" t="n"/>
      <c r="F785" s="105" t="n"/>
      <c r="G785" s="105" t="n"/>
      <c r="H785" s="2" t="n"/>
      <c r="I785" s="105" t="n"/>
      <c r="K785" s="215" t="n"/>
      <c r="L785" s="215" t="n"/>
      <c r="M785" s="215" t="n"/>
      <c r="N785" s="215" t="n"/>
      <c r="O785" s="215" t="n"/>
      <c r="P785" s="215" t="n"/>
      <c r="Q785" s="215" t="n"/>
      <c r="R785" s="215" t="n"/>
      <c r="S785" s="215" t="n"/>
      <c r="T785" s="215" t="n"/>
      <c r="U785" s="215" t="n"/>
      <c r="V785" s="215" t="n"/>
      <c r="W785" s="215" t="n"/>
      <c r="X785" s="215" t="n"/>
      <c r="Y785" s="215" t="n"/>
      <c r="Z785" s="215" t="n"/>
      <c r="AA785" s="215" t="n"/>
      <c r="AB785" s="215" t="n"/>
      <c r="AC785" s="215" t="n"/>
      <c r="AD785" s="215" t="n"/>
      <c r="AE785" s="215" t="n"/>
      <c r="AF785" s="215" t="n"/>
      <c r="AG785" s="215" t="n"/>
      <c r="AH785" s="215" t="n"/>
      <c r="AI785" s="215" t="n"/>
      <c r="AJ785" s="215" t="n"/>
      <c r="AK785" s="216" t="n"/>
    </row>
    <row r="786" ht="15" customHeight="1">
      <c r="B786" s="134" t="n"/>
      <c r="C786" s="105" t="n"/>
      <c r="D786" s="105" t="n"/>
      <c r="E786" s="105" t="n"/>
      <c r="F786" s="105" t="n"/>
      <c r="G786" s="105" t="n"/>
      <c r="H786" s="2" t="n"/>
      <c r="I786" s="105" t="n"/>
      <c r="K786" s="215" t="n"/>
      <c r="L786" s="215" t="n"/>
      <c r="M786" s="215" t="n"/>
      <c r="N786" s="215" t="n"/>
      <c r="O786" s="215" t="n"/>
      <c r="P786" s="215" t="n"/>
      <c r="Q786" s="215" t="n"/>
      <c r="R786" s="215" t="n"/>
      <c r="S786" s="215" t="n"/>
      <c r="T786" s="215" t="n"/>
      <c r="U786" s="215" t="n"/>
      <c r="V786" s="215" t="n"/>
      <c r="W786" s="215" t="n"/>
      <c r="X786" s="215" t="n"/>
      <c r="Y786" s="215" t="n"/>
      <c r="Z786" s="215" t="n"/>
      <c r="AA786" s="215" t="n"/>
      <c r="AB786" s="215" t="n"/>
      <c r="AC786" s="215" t="n"/>
      <c r="AD786" s="215" t="n"/>
      <c r="AE786" s="215" t="n"/>
      <c r="AF786" s="215" t="n"/>
      <c r="AG786" s="215" t="n"/>
      <c r="AH786" s="215" t="n"/>
      <c r="AI786" s="215" t="n"/>
      <c r="AJ786" s="215" t="n"/>
      <c r="AK786" s="216" t="n"/>
    </row>
    <row r="787" ht="15" customHeight="1">
      <c r="B787" s="134" t="n"/>
      <c r="C787" s="105" t="n"/>
      <c r="D787" s="105" t="n"/>
      <c r="E787" s="105" t="n"/>
      <c r="F787" s="105" t="n"/>
      <c r="G787" s="105" t="n"/>
      <c r="H787" s="2" t="n"/>
      <c r="I787" s="105" t="n"/>
      <c r="K787" s="215" t="n"/>
      <c r="L787" s="215" t="n"/>
      <c r="M787" s="215" t="n"/>
      <c r="N787" s="215" t="n"/>
      <c r="O787" s="215" t="n"/>
      <c r="P787" s="215" t="n"/>
      <c r="Q787" s="215" t="n"/>
      <c r="R787" s="215" t="n"/>
      <c r="S787" s="215" t="n"/>
      <c r="T787" s="215" t="n"/>
      <c r="U787" s="215" t="n"/>
      <c r="V787" s="215" t="n"/>
      <c r="W787" s="215" t="n"/>
      <c r="X787" s="215" t="n"/>
      <c r="Y787" s="215" t="n"/>
      <c r="Z787" s="215" t="n"/>
      <c r="AA787" s="215" t="n"/>
      <c r="AB787" s="215" t="n"/>
      <c r="AC787" s="215" t="n"/>
      <c r="AD787" s="215" t="n"/>
      <c r="AE787" s="215" t="n"/>
      <c r="AF787" s="215" t="n"/>
      <c r="AG787" s="215" t="n"/>
      <c r="AH787" s="215" t="n"/>
      <c r="AI787" s="215" t="n"/>
      <c r="AJ787" s="215" t="n"/>
      <c r="AK787" s="216" t="n"/>
    </row>
    <row r="788" ht="15" customHeight="1">
      <c r="B788" s="134" t="n"/>
      <c r="C788" s="105" t="n"/>
      <c r="D788" s="105" t="n"/>
      <c r="E788" s="105" t="n"/>
      <c r="F788" s="105" t="n"/>
      <c r="G788" s="105" t="n"/>
      <c r="H788" s="2" t="n"/>
      <c r="I788" s="105" t="n"/>
      <c r="K788" s="215" t="n"/>
      <c r="L788" s="215" t="n"/>
      <c r="M788" s="215" t="n"/>
      <c r="N788" s="215" t="n"/>
      <c r="O788" s="215" t="n"/>
      <c r="P788" s="215" t="n"/>
      <c r="Q788" s="215" t="n"/>
      <c r="R788" s="215" t="n"/>
      <c r="S788" s="215" t="n"/>
      <c r="T788" s="215" t="n"/>
      <c r="U788" s="215" t="n"/>
      <c r="V788" s="215" t="n"/>
      <c r="W788" s="215" t="n"/>
      <c r="X788" s="215" t="n"/>
      <c r="Y788" s="215" t="n"/>
      <c r="Z788" s="215" t="n"/>
      <c r="AA788" s="215" t="n"/>
      <c r="AB788" s="215" t="n"/>
      <c r="AC788" s="215" t="n"/>
      <c r="AD788" s="215" t="n"/>
      <c r="AE788" s="215" t="n"/>
      <c r="AF788" s="215" t="n"/>
      <c r="AG788" s="215" t="n"/>
      <c r="AH788" s="215" t="n"/>
      <c r="AI788" s="215" t="n"/>
      <c r="AJ788" s="215" t="n"/>
      <c r="AK788" s="216" t="n"/>
    </row>
    <row r="789" ht="15" customHeight="1">
      <c r="B789" s="134" t="n"/>
      <c r="C789" s="105" t="n"/>
      <c r="D789" s="105" t="n"/>
      <c r="E789" s="105" t="n"/>
      <c r="F789" s="105" t="n"/>
      <c r="G789" s="105" t="n"/>
      <c r="H789" s="2" t="n"/>
      <c r="I789" s="105" t="n"/>
      <c r="K789" s="215" t="n"/>
      <c r="L789" s="215" t="n"/>
      <c r="M789" s="215" t="n"/>
      <c r="N789" s="215" t="n"/>
      <c r="O789" s="215" t="n"/>
      <c r="P789" s="215" t="n"/>
      <c r="Q789" s="215" t="n"/>
      <c r="R789" s="215" t="n"/>
      <c r="S789" s="215" t="n"/>
      <c r="T789" s="215" t="n"/>
      <c r="U789" s="215" t="n"/>
      <c r="V789" s="215" t="n"/>
      <c r="W789" s="215" t="n"/>
      <c r="X789" s="215" t="n"/>
      <c r="Y789" s="215" t="n"/>
      <c r="Z789" s="215" t="n"/>
      <c r="AA789" s="215" t="n"/>
      <c r="AB789" s="215" t="n"/>
      <c r="AC789" s="215" t="n"/>
      <c r="AD789" s="215" t="n"/>
      <c r="AE789" s="215" t="n"/>
      <c r="AF789" s="215" t="n"/>
      <c r="AG789" s="215" t="n"/>
      <c r="AH789" s="215" t="n"/>
      <c r="AI789" s="215" t="n"/>
      <c r="AJ789" s="215" t="n"/>
      <c r="AK789" s="216" t="n"/>
    </row>
    <row r="790" ht="15" customHeight="1">
      <c r="B790" s="134" t="n"/>
      <c r="C790" s="105" t="n"/>
      <c r="D790" s="105" t="n"/>
      <c r="E790" s="105" t="n"/>
      <c r="F790" s="105" t="n"/>
      <c r="G790" s="105" t="n"/>
      <c r="H790" s="2" t="n"/>
      <c r="I790" s="105" t="n"/>
      <c r="K790" s="215" t="n"/>
      <c r="L790" s="215" t="n"/>
      <c r="M790" s="215" t="n"/>
      <c r="N790" s="215" t="n"/>
      <c r="O790" s="215" t="n"/>
      <c r="P790" s="215" t="n"/>
      <c r="Q790" s="215" t="n"/>
      <c r="R790" s="215" t="n"/>
      <c r="S790" s="215" t="n"/>
      <c r="T790" s="215" t="n"/>
      <c r="U790" s="215" t="n"/>
      <c r="V790" s="215" t="n"/>
      <c r="W790" s="215" t="n"/>
      <c r="X790" s="215" t="n"/>
      <c r="Y790" s="215" t="n"/>
      <c r="Z790" s="215" t="n"/>
      <c r="AA790" s="215" t="n"/>
      <c r="AB790" s="215" t="n"/>
      <c r="AC790" s="215" t="n"/>
      <c r="AD790" s="215" t="n"/>
      <c r="AE790" s="215" t="n"/>
      <c r="AF790" s="215" t="n"/>
      <c r="AG790" s="215" t="n"/>
      <c r="AH790" s="215" t="n"/>
      <c r="AI790" s="215" t="n"/>
      <c r="AJ790" s="215" t="n"/>
      <c r="AK790" s="216" t="n"/>
    </row>
    <row r="791" ht="15" customHeight="1">
      <c r="B791" s="134" t="n"/>
      <c r="C791" s="105" t="n"/>
      <c r="D791" s="105" t="n"/>
      <c r="E791" s="105" t="n"/>
      <c r="F791" s="105" t="n"/>
      <c r="G791" s="105" t="n"/>
      <c r="H791" s="2" t="n"/>
      <c r="I791" s="105" t="n"/>
      <c r="K791" s="215" t="n"/>
      <c r="L791" s="215" t="n"/>
      <c r="M791" s="215" t="n"/>
      <c r="N791" s="215" t="n"/>
      <c r="O791" s="215" t="n"/>
      <c r="P791" s="215" t="n"/>
      <c r="Q791" s="215" t="n"/>
      <c r="R791" s="215" t="n"/>
      <c r="S791" s="215" t="n"/>
      <c r="T791" s="215" t="n"/>
      <c r="U791" s="215" t="n"/>
      <c r="V791" s="215" t="n"/>
      <c r="W791" s="215" t="n"/>
      <c r="X791" s="215" t="n"/>
      <c r="Y791" s="215" t="n"/>
      <c r="Z791" s="215" t="n"/>
      <c r="AA791" s="215" t="n"/>
      <c r="AB791" s="215" t="n"/>
      <c r="AC791" s="215" t="n"/>
      <c r="AD791" s="215" t="n"/>
      <c r="AE791" s="215" t="n"/>
      <c r="AF791" s="215" t="n"/>
      <c r="AG791" s="215" t="n"/>
      <c r="AH791" s="215" t="n"/>
      <c r="AI791" s="215" t="n"/>
      <c r="AJ791" s="215" t="n"/>
      <c r="AK791" s="216" t="n"/>
    </row>
    <row r="792" ht="15" customHeight="1">
      <c r="B792" s="134" t="n"/>
      <c r="C792" s="105" t="n"/>
      <c r="D792" s="105" t="n"/>
      <c r="E792" s="105" t="n"/>
      <c r="F792" s="105" t="n"/>
      <c r="G792" s="105" t="n"/>
      <c r="H792" s="2" t="n"/>
      <c r="I792" s="105" t="n"/>
      <c r="K792" s="215" t="n"/>
      <c r="L792" s="215" t="n"/>
      <c r="M792" s="215" t="n"/>
      <c r="N792" s="215" t="n"/>
      <c r="O792" s="215" t="n"/>
      <c r="P792" s="215" t="n"/>
      <c r="Q792" s="215" t="n"/>
      <c r="R792" s="215" t="n"/>
      <c r="S792" s="215" t="n"/>
      <c r="T792" s="215" t="n"/>
      <c r="U792" s="215" t="n"/>
      <c r="V792" s="215" t="n"/>
      <c r="W792" s="215" t="n"/>
      <c r="X792" s="215" t="n"/>
      <c r="Y792" s="215" t="n"/>
      <c r="Z792" s="215" t="n"/>
      <c r="AA792" s="215" t="n"/>
      <c r="AB792" s="215" t="n"/>
      <c r="AC792" s="215" t="n"/>
      <c r="AD792" s="215" t="n"/>
      <c r="AE792" s="215" t="n"/>
      <c r="AF792" s="215" t="n"/>
      <c r="AG792" s="215" t="n"/>
      <c r="AH792" s="215" t="n"/>
      <c r="AI792" s="215" t="n"/>
      <c r="AJ792" s="215" t="n"/>
      <c r="AK792" s="216" t="n"/>
    </row>
    <row r="793" ht="15" customHeight="1">
      <c r="B793" s="134" t="n"/>
      <c r="C793" s="105" t="n"/>
      <c r="D793" s="105" t="n"/>
      <c r="E793" s="105" t="n"/>
      <c r="F793" s="105" t="n"/>
      <c r="G793" s="105" t="n"/>
      <c r="H793" s="2" t="n"/>
      <c r="I793" s="105" t="n"/>
      <c r="K793" s="215" t="n"/>
      <c r="L793" s="215" t="n"/>
      <c r="M793" s="215" t="n"/>
      <c r="N793" s="215" t="n"/>
      <c r="O793" s="215" t="n"/>
      <c r="P793" s="215" t="n"/>
      <c r="Q793" s="215" t="n"/>
      <c r="R793" s="215" t="n"/>
      <c r="S793" s="215" t="n"/>
      <c r="T793" s="215" t="n"/>
      <c r="U793" s="215" t="n"/>
      <c r="V793" s="215" t="n"/>
      <c r="W793" s="215" t="n"/>
      <c r="X793" s="215" t="n"/>
      <c r="Y793" s="215" t="n"/>
      <c r="Z793" s="215" t="n"/>
      <c r="AA793" s="215" t="n"/>
      <c r="AB793" s="215" t="n"/>
      <c r="AC793" s="215" t="n"/>
      <c r="AD793" s="215" t="n"/>
      <c r="AE793" s="215" t="n"/>
      <c r="AF793" s="215" t="n"/>
      <c r="AG793" s="215" t="n"/>
      <c r="AH793" s="215" t="n"/>
      <c r="AI793" s="215" t="n"/>
      <c r="AJ793" s="215" t="n"/>
      <c r="AK793" s="216" t="n"/>
    </row>
    <row r="794" ht="15" customHeight="1">
      <c r="B794" s="134" t="n"/>
      <c r="C794" s="105" t="n"/>
      <c r="D794" s="105" t="n"/>
      <c r="E794" s="105" t="n"/>
      <c r="F794" s="105" t="n"/>
      <c r="G794" s="105" t="n"/>
      <c r="H794" s="2" t="n"/>
      <c r="I794" s="105" t="n"/>
      <c r="K794" s="215" t="n"/>
      <c r="L794" s="215" t="n"/>
      <c r="M794" s="215" t="n"/>
      <c r="N794" s="215" t="n"/>
      <c r="O794" s="215" t="n"/>
      <c r="P794" s="215" t="n"/>
      <c r="Q794" s="215" t="n"/>
      <c r="R794" s="215" t="n"/>
      <c r="S794" s="215" t="n"/>
      <c r="T794" s="215" t="n"/>
      <c r="U794" s="215" t="n"/>
      <c r="V794" s="215" t="n"/>
      <c r="W794" s="215" t="n"/>
      <c r="X794" s="215" t="n"/>
      <c r="Y794" s="215" t="n"/>
      <c r="Z794" s="215" t="n"/>
      <c r="AA794" s="215" t="n"/>
      <c r="AB794" s="215" t="n"/>
      <c r="AC794" s="215" t="n"/>
      <c r="AD794" s="215" t="n"/>
      <c r="AE794" s="215" t="n"/>
      <c r="AF794" s="215" t="n"/>
      <c r="AG794" s="215" t="n"/>
      <c r="AH794" s="215" t="n"/>
      <c r="AI794" s="215" t="n"/>
      <c r="AJ794" s="215" t="n"/>
      <c r="AK794" s="216" t="n"/>
    </row>
    <row r="795" ht="15" customHeight="1">
      <c r="B795" s="134" t="n"/>
      <c r="C795" s="105" t="n"/>
      <c r="D795" s="105" t="n"/>
      <c r="E795" s="105" t="n"/>
      <c r="F795" s="105" t="n"/>
      <c r="G795" s="105" t="n"/>
      <c r="H795" s="2" t="n"/>
      <c r="I795" s="105" t="n"/>
      <c r="K795" s="215" t="n"/>
      <c r="L795" s="215" t="n"/>
      <c r="M795" s="215" t="n"/>
      <c r="N795" s="215" t="n"/>
      <c r="O795" s="215" t="n"/>
      <c r="P795" s="215" t="n"/>
      <c r="Q795" s="215" t="n"/>
      <c r="R795" s="215" t="n"/>
      <c r="S795" s="215" t="n"/>
      <c r="T795" s="215" t="n"/>
      <c r="U795" s="215" t="n"/>
      <c r="V795" s="215" t="n"/>
      <c r="W795" s="215" t="n"/>
      <c r="X795" s="215" t="n"/>
      <c r="Y795" s="215" t="n"/>
      <c r="Z795" s="215" t="n"/>
      <c r="AA795" s="215" t="n"/>
      <c r="AB795" s="215" t="n"/>
      <c r="AC795" s="215" t="n"/>
      <c r="AD795" s="215" t="n"/>
      <c r="AE795" s="215" t="n"/>
      <c r="AF795" s="215" t="n"/>
      <c r="AG795" s="215" t="n"/>
      <c r="AH795" s="215" t="n"/>
      <c r="AI795" s="215" t="n"/>
      <c r="AJ795" s="215" t="n"/>
      <c r="AK795" s="216" t="n"/>
    </row>
    <row r="796" ht="15" customHeight="1">
      <c r="B796" s="134" t="n"/>
      <c r="C796" s="105" t="n"/>
      <c r="D796" s="105" t="n"/>
      <c r="E796" s="105" t="n"/>
      <c r="F796" s="105" t="n"/>
      <c r="G796" s="105" t="n"/>
      <c r="H796" s="2" t="n"/>
      <c r="I796" s="105" t="n"/>
      <c r="K796" s="215" t="n"/>
      <c r="L796" s="215" t="n"/>
      <c r="M796" s="215" t="n"/>
      <c r="N796" s="215" t="n"/>
      <c r="O796" s="215" t="n"/>
      <c r="P796" s="215" t="n"/>
      <c r="Q796" s="215" t="n"/>
      <c r="R796" s="215" t="n"/>
      <c r="S796" s="215" t="n"/>
      <c r="T796" s="215" t="n"/>
      <c r="U796" s="215" t="n"/>
      <c r="V796" s="215" t="n"/>
      <c r="W796" s="215" t="n"/>
      <c r="X796" s="215" t="n"/>
      <c r="Y796" s="215" t="n"/>
      <c r="Z796" s="215" t="n"/>
      <c r="AA796" s="215" t="n"/>
      <c r="AB796" s="215" t="n"/>
      <c r="AC796" s="215" t="n"/>
      <c r="AD796" s="215" t="n"/>
      <c r="AE796" s="215" t="n"/>
      <c r="AF796" s="215" t="n"/>
      <c r="AG796" s="215" t="n"/>
      <c r="AH796" s="215" t="n"/>
      <c r="AI796" s="215" t="n"/>
      <c r="AJ796" s="215" t="n"/>
      <c r="AK796" s="216" t="n"/>
    </row>
    <row r="797" ht="15" customHeight="1">
      <c r="B797" s="134" t="n"/>
      <c r="C797" s="105" t="n"/>
      <c r="D797" s="105" t="n"/>
      <c r="E797" s="105" t="n"/>
      <c r="F797" s="105" t="n"/>
      <c r="G797" s="105" t="n"/>
      <c r="H797" s="2" t="n"/>
      <c r="I797" s="105" t="n"/>
      <c r="K797" s="215" t="n"/>
      <c r="L797" s="215" t="n"/>
      <c r="M797" s="215" t="n"/>
      <c r="N797" s="215" t="n"/>
      <c r="O797" s="215" t="n"/>
      <c r="P797" s="215" t="n"/>
      <c r="Q797" s="215" t="n"/>
      <c r="R797" s="215" t="n"/>
      <c r="S797" s="215" t="n"/>
      <c r="T797" s="215" t="n"/>
      <c r="U797" s="215" t="n"/>
      <c r="V797" s="215" t="n"/>
      <c r="W797" s="215" t="n"/>
      <c r="X797" s="215" t="n"/>
      <c r="Y797" s="215" t="n"/>
      <c r="Z797" s="215" t="n"/>
      <c r="AA797" s="215" t="n"/>
      <c r="AB797" s="215" t="n"/>
      <c r="AC797" s="215" t="n"/>
      <c r="AD797" s="215" t="n"/>
      <c r="AE797" s="215" t="n"/>
      <c r="AF797" s="215" t="n"/>
      <c r="AG797" s="215" t="n"/>
      <c r="AH797" s="215" t="n"/>
      <c r="AI797" s="215" t="n"/>
      <c r="AJ797" s="215" t="n"/>
      <c r="AK797" s="216" t="n"/>
    </row>
    <row r="798" ht="15" customHeight="1">
      <c r="B798" s="134" t="n"/>
      <c r="C798" s="105" t="n"/>
      <c r="D798" s="105" t="n"/>
      <c r="E798" s="105" t="n"/>
      <c r="F798" s="105" t="n"/>
      <c r="G798" s="105" t="n"/>
      <c r="H798" s="2" t="n"/>
      <c r="I798" s="105" t="n"/>
      <c r="K798" s="215" t="n"/>
      <c r="L798" s="215" t="n"/>
      <c r="M798" s="215" t="n"/>
      <c r="N798" s="215" t="n"/>
      <c r="O798" s="215" t="n"/>
      <c r="P798" s="215" t="n"/>
      <c r="Q798" s="215" t="n"/>
      <c r="R798" s="215" t="n"/>
      <c r="S798" s="215" t="n"/>
      <c r="T798" s="215" t="n"/>
      <c r="U798" s="215" t="n"/>
      <c r="V798" s="215" t="n"/>
      <c r="W798" s="215" t="n"/>
      <c r="X798" s="215" t="n"/>
      <c r="Y798" s="215" t="n"/>
      <c r="Z798" s="215" t="n"/>
      <c r="AA798" s="215" t="n"/>
      <c r="AB798" s="215" t="n"/>
      <c r="AC798" s="215" t="n"/>
      <c r="AD798" s="215" t="n"/>
      <c r="AE798" s="215" t="n"/>
      <c r="AF798" s="215" t="n"/>
      <c r="AG798" s="215" t="n"/>
      <c r="AH798" s="215" t="n"/>
      <c r="AI798" s="215" t="n"/>
      <c r="AJ798" s="215" t="n"/>
      <c r="AK798" s="216" t="n"/>
    </row>
    <row r="799" ht="15" customHeight="1">
      <c r="B799" s="134" t="n"/>
      <c r="C799" s="105" t="n"/>
      <c r="D799" s="105" t="n"/>
      <c r="E799" s="105" t="n"/>
      <c r="F799" s="105" t="n"/>
      <c r="G799" s="105" t="n"/>
      <c r="H799" s="2" t="n"/>
      <c r="I799" s="105" t="n"/>
      <c r="K799" s="215" t="n"/>
      <c r="L799" s="215" t="n"/>
      <c r="M799" s="215" t="n"/>
      <c r="N799" s="215" t="n"/>
      <c r="O799" s="215" t="n"/>
      <c r="P799" s="215" t="n"/>
      <c r="Q799" s="215" t="n"/>
      <c r="R799" s="215" t="n"/>
      <c r="S799" s="215" t="n"/>
      <c r="T799" s="215" t="n"/>
      <c r="U799" s="215" t="n"/>
      <c r="V799" s="215" t="n"/>
      <c r="W799" s="215" t="n"/>
      <c r="X799" s="215" t="n"/>
      <c r="Y799" s="215" t="n"/>
      <c r="Z799" s="215" t="n"/>
      <c r="AA799" s="215" t="n"/>
      <c r="AB799" s="215" t="n"/>
      <c r="AC799" s="215" t="n"/>
      <c r="AD799" s="215" t="n"/>
      <c r="AE799" s="215" t="n"/>
      <c r="AF799" s="215" t="n"/>
      <c r="AG799" s="215" t="n"/>
      <c r="AH799" s="215" t="n"/>
      <c r="AI799" s="215" t="n"/>
      <c r="AJ799" s="215" t="n"/>
      <c r="AK799" s="216" t="n"/>
    </row>
    <row r="800" ht="15" customHeight="1">
      <c r="B800" s="134" t="n"/>
      <c r="C800" s="105" t="n"/>
      <c r="D800" s="105" t="n"/>
      <c r="E800" s="105" t="n"/>
      <c r="F800" s="105" t="n"/>
      <c r="G800" s="105" t="n"/>
      <c r="H800" s="2" t="n"/>
      <c r="I800" s="105" t="n"/>
      <c r="K800" s="215" t="n"/>
      <c r="L800" s="215" t="n"/>
      <c r="M800" s="215" t="n"/>
      <c r="N800" s="215" t="n"/>
      <c r="O800" s="215" t="n"/>
      <c r="P800" s="215" t="n"/>
      <c r="Q800" s="215" t="n"/>
      <c r="R800" s="215" t="n"/>
      <c r="S800" s="215" t="n"/>
      <c r="T800" s="215" t="n"/>
      <c r="U800" s="215" t="n"/>
      <c r="V800" s="215" t="n"/>
      <c r="W800" s="215" t="n"/>
      <c r="X800" s="215" t="n"/>
      <c r="Y800" s="215" t="n"/>
      <c r="Z800" s="215" t="n"/>
      <c r="AA800" s="215" t="n"/>
      <c r="AB800" s="215" t="n"/>
      <c r="AC800" s="215" t="n"/>
      <c r="AD800" s="215" t="n"/>
      <c r="AE800" s="215" t="n"/>
      <c r="AF800" s="215" t="n"/>
      <c r="AG800" s="215" t="n"/>
      <c r="AH800" s="215" t="n"/>
      <c r="AI800" s="215" t="n"/>
      <c r="AJ800" s="215" t="n"/>
      <c r="AK800" s="216" t="n"/>
    </row>
    <row r="801" ht="15" customHeight="1">
      <c r="B801" s="134" t="n"/>
      <c r="C801" s="105" t="n"/>
      <c r="D801" s="105" t="n"/>
      <c r="E801" s="105" t="n"/>
      <c r="F801" s="105" t="n"/>
      <c r="G801" s="105" t="n"/>
      <c r="H801" s="2" t="n"/>
      <c r="I801" s="105" t="n"/>
      <c r="K801" s="215" t="n"/>
      <c r="L801" s="215" t="n"/>
      <c r="M801" s="215" t="n"/>
      <c r="N801" s="215" t="n"/>
      <c r="O801" s="215" t="n"/>
      <c r="P801" s="215" t="n"/>
      <c r="Q801" s="215" t="n"/>
      <c r="R801" s="215" t="n"/>
      <c r="S801" s="215" t="n"/>
      <c r="T801" s="215" t="n"/>
      <c r="U801" s="215" t="n"/>
      <c r="V801" s="215" t="n"/>
      <c r="W801" s="215" t="n"/>
      <c r="X801" s="215" t="n"/>
      <c r="Y801" s="215" t="n"/>
      <c r="Z801" s="215" t="n"/>
      <c r="AA801" s="215" t="n"/>
      <c r="AB801" s="215" t="n"/>
      <c r="AC801" s="215" t="n"/>
      <c r="AD801" s="215" t="n"/>
      <c r="AE801" s="215" t="n"/>
      <c r="AF801" s="215" t="n"/>
      <c r="AG801" s="215" t="n"/>
      <c r="AH801" s="215" t="n"/>
      <c r="AI801" s="215" t="n"/>
      <c r="AJ801" s="215" t="n"/>
      <c r="AK801" s="216" t="n"/>
    </row>
    <row r="802" ht="15" customHeight="1">
      <c r="B802" s="134" t="n"/>
      <c r="C802" s="105" t="n"/>
      <c r="D802" s="105" t="n"/>
      <c r="E802" s="105" t="n"/>
      <c r="F802" s="105" t="n"/>
      <c r="G802" s="105" t="n"/>
      <c r="H802" s="2" t="n"/>
      <c r="I802" s="105" t="n"/>
      <c r="K802" s="215" t="n"/>
      <c r="L802" s="215" t="n"/>
      <c r="M802" s="215" t="n"/>
      <c r="N802" s="215" t="n"/>
      <c r="O802" s="215" t="n"/>
      <c r="P802" s="215" t="n"/>
      <c r="Q802" s="215" t="n"/>
      <c r="R802" s="215" t="n"/>
      <c r="S802" s="215" t="n"/>
      <c r="T802" s="215" t="n"/>
      <c r="U802" s="215" t="n"/>
      <c r="V802" s="215" t="n"/>
      <c r="W802" s="215" t="n"/>
      <c r="X802" s="215" t="n"/>
      <c r="Y802" s="215" t="n"/>
      <c r="Z802" s="215" t="n"/>
      <c r="AA802" s="215" t="n"/>
      <c r="AB802" s="215" t="n"/>
      <c r="AC802" s="215" t="n"/>
      <c r="AD802" s="215" t="n"/>
      <c r="AE802" s="215" t="n"/>
      <c r="AF802" s="215" t="n"/>
      <c r="AG802" s="215" t="n"/>
      <c r="AH802" s="215" t="n"/>
      <c r="AI802" s="215" t="n"/>
      <c r="AJ802" s="215" t="n"/>
      <c r="AK802" s="216" t="n"/>
    </row>
    <row r="803" ht="15" customHeight="1">
      <c r="B803" s="134" t="n"/>
      <c r="C803" s="105" t="n"/>
      <c r="D803" s="105" t="n"/>
      <c r="E803" s="105" t="n"/>
      <c r="F803" s="105" t="n"/>
      <c r="G803" s="105" t="n"/>
      <c r="H803" s="2" t="n"/>
      <c r="I803" s="105" t="n"/>
      <c r="K803" s="215" t="n"/>
      <c r="L803" s="215" t="n"/>
      <c r="M803" s="215" t="n"/>
      <c r="N803" s="215" t="n"/>
      <c r="O803" s="215" t="n"/>
      <c r="P803" s="215" t="n"/>
      <c r="Q803" s="215" t="n"/>
      <c r="R803" s="215" t="n"/>
      <c r="S803" s="215" t="n"/>
      <c r="T803" s="215" t="n"/>
      <c r="U803" s="215" t="n"/>
      <c r="V803" s="215" t="n"/>
      <c r="W803" s="215" t="n"/>
      <c r="X803" s="215" t="n"/>
      <c r="Y803" s="215" t="n"/>
      <c r="Z803" s="215" t="n"/>
      <c r="AA803" s="215" t="n"/>
      <c r="AB803" s="215" t="n"/>
      <c r="AC803" s="215" t="n"/>
      <c r="AD803" s="215" t="n"/>
      <c r="AE803" s="215" t="n"/>
      <c r="AF803" s="215" t="n"/>
      <c r="AG803" s="215" t="n"/>
      <c r="AH803" s="215" t="n"/>
      <c r="AI803" s="215" t="n"/>
      <c r="AJ803" s="215" t="n"/>
      <c r="AK803" s="216" t="n"/>
    </row>
    <row r="804" ht="15" customHeight="1">
      <c r="B804" s="134" t="n"/>
      <c r="C804" s="105" t="n"/>
      <c r="D804" s="105" t="n"/>
      <c r="E804" s="105" t="n"/>
      <c r="F804" s="105" t="n"/>
      <c r="G804" s="105" t="n"/>
      <c r="H804" s="2" t="n"/>
      <c r="I804" s="105" t="n"/>
      <c r="K804" s="215" t="n"/>
      <c r="L804" s="215" t="n"/>
      <c r="M804" s="215" t="n"/>
      <c r="N804" s="215" t="n"/>
      <c r="O804" s="215" t="n"/>
      <c r="P804" s="215" t="n"/>
      <c r="Q804" s="215" t="n"/>
      <c r="R804" s="215" t="n"/>
      <c r="S804" s="215" t="n"/>
      <c r="T804" s="215" t="n"/>
      <c r="U804" s="215" t="n"/>
      <c r="V804" s="215" t="n"/>
      <c r="W804" s="215" t="n"/>
      <c r="X804" s="215" t="n"/>
      <c r="Y804" s="215" t="n"/>
      <c r="Z804" s="215" t="n"/>
      <c r="AA804" s="215" t="n"/>
      <c r="AB804" s="215" t="n"/>
      <c r="AC804" s="215" t="n"/>
      <c r="AD804" s="215" t="n"/>
      <c r="AE804" s="215" t="n"/>
      <c r="AF804" s="215" t="n"/>
      <c r="AG804" s="215" t="n"/>
      <c r="AH804" s="215" t="n"/>
      <c r="AI804" s="215" t="n"/>
      <c r="AJ804" s="215" t="n"/>
      <c r="AK804" s="216" t="n"/>
    </row>
    <row r="805" ht="15" customHeight="1">
      <c r="B805" s="134" t="n"/>
      <c r="C805" s="105" t="n"/>
      <c r="D805" s="105" t="n"/>
      <c r="E805" s="105" t="n"/>
      <c r="F805" s="105" t="n"/>
      <c r="G805" s="105" t="n"/>
      <c r="H805" s="2" t="n"/>
      <c r="I805" s="105" t="n"/>
      <c r="K805" s="215" t="n"/>
      <c r="L805" s="215" t="n"/>
      <c r="M805" s="215" t="n"/>
      <c r="N805" s="215" t="n"/>
      <c r="O805" s="215" t="n"/>
      <c r="P805" s="215" t="n"/>
      <c r="Q805" s="215" t="n"/>
      <c r="R805" s="215" t="n"/>
      <c r="S805" s="215" t="n"/>
      <c r="T805" s="215" t="n"/>
      <c r="U805" s="215" t="n"/>
      <c r="V805" s="215" t="n"/>
      <c r="W805" s="215" t="n"/>
      <c r="X805" s="215" t="n"/>
      <c r="Y805" s="215" t="n"/>
      <c r="Z805" s="215" t="n"/>
      <c r="AA805" s="215" t="n"/>
      <c r="AB805" s="215" t="n"/>
      <c r="AC805" s="215" t="n"/>
      <c r="AD805" s="215" t="n"/>
      <c r="AE805" s="215" t="n"/>
      <c r="AF805" s="215" t="n"/>
      <c r="AG805" s="215" t="n"/>
      <c r="AH805" s="215" t="n"/>
      <c r="AI805" s="215" t="n"/>
      <c r="AJ805" s="215" t="n"/>
      <c r="AK805" s="216" t="n"/>
    </row>
    <row r="806" ht="15" customHeight="1">
      <c r="B806" s="134" t="n"/>
      <c r="C806" s="105" t="n"/>
      <c r="D806" s="105" t="n"/>
      <c r="E806" s="105" t="n"/>
      <c r="F806" s="105" t="n"/>
      <c r="G806" s="105" t="n"/>
      <c r="H806" s="2" t="n"/>
      <c r="I806" s="105" t="n"/>
      <c r="K806" s="215" t="n"/>
      <c r="L806" s="215" t="n"/>
      <c r="M806" s="215" t="n"/>
      <c r="N806" s="215" t="n"/>
      <c r="O806" s="215" t="n"/>
      <c r="P806" s="215" t="n"/>
      <c r="Q806" s="215" t="n"/>
      <c r="R806" s="215" t="n"/>
      <c r="S806" s="215" t="n"/>
      <c r="T806" s="215" t="n"/>
      <c r="U806" s="215" t="n"/>
      <c r="V806" s="215" t="n"/>
      <c r="W806" s="215" t="n"/>
      <c r="X806" s="215" t="n"/>
      <c r="Y806" s="215" t="n"/>
      <c r="Z806" s="215" t="n"/>
      <c r="AA806" s="215" t="n"/>
      <c r="AB806" s="215" t="n"/>
      <c r="AC806" s="215" t="n"/>
      <c r="AD806" s="215" t="n"/>
      <c r="AE806" s="215" t="n"/>
      <c r="AF806" s="215" t="n"/>
      <c r="AG806" s="215" t="n"/>
      <c r="AH806" s="215" t="n"/>
      <c r="AI806" s="215" t="n"/>
      <c r="AJ806" s="215" t="n"/>
      <c r="AK806" s="216" t="n"/>
    </row>
    <row r="807" ht="15" customHeight="1">
      <c r="B807" s="134" t="n"/>
      <c r="C807" s="105" t="n"/>
      <c r="D807" s="105" t="n"/>
      <c r="E807" s="105" t="n"/>
      <c r="F807" s="105" t="n"/>
      <c r="G807" s="105" t="n"/>
      <c r="H807" s="2" t="n"/>
      <c r="I807" s="105" t="n"/>
      <c r="K807" s="215" t="n"/>
      <c r="L807" s="215" t="n"/>
      <c r="M807" s="215" t="n"/>
      <c r="N807" s="215" t="n"/>
      <c r="O807" s="215" t="n"/>
      <c r="P807" s="215" t="n"/>
      <c r="Q807" s="215" t="n"/>
      <c r="R807" s="215" t="n"/>
      <c r="S807" s="215" t="n"/>
      <c r="T807" s="215" t="n"/>
      <c r="U807" s="215" t="n"/>
      <c r="V807" s="215" t="n"/>
      <c r="W807" s="215" t="n"/>
      <c r="X807" s="215" t="n"/>
      <c r="Y807" s="215" t="n"/>
      <c r="Z807" s="215" t="n"/>
      <c r="AA807" s="215" t="n"/>
      <c r="AB807" s="215" t="n"/>
      <c r="AC807" s="215" t="n"/>
      <c r="AD807" s="215" t="n"/>
      <c r="AE807" s="215" t="n"/>
      <c r="AF807" s="215" t="n"/>
      <c r="AG807" s="215" t="n"/>
      <c r="AH807" s="215" t="n"/>
      <c r="AI807" s="215" t="n"/>
      <c r="AJ807" s="215" t="n"/>
      <c r="AK807" s="216" t="n"/>
    </row>
    <row r="808" ht="15" customHeight="1">
      <c r="B808" s="134" t="n"/>
      <c r="C808" s="105" t="n"/>
      <c r="D808" s="105" t="n"/>
      <c r="E808" s="105" t="n"/>
      <c r="F808" s="105" t="n"/>
      <c r="G808" s="105" t="n"/>
      <c r="H808" s="2" t="n"/>
      <c r="I808" s="105" t="n"/>
      <c r="K808" s="215" t="n"/>
      <c r="L808" s="215" t="n"/>
      <c r="M808" s="215" t="n"/>
      <c r="N808" s="215" t="n"/>
      <c r="O808" s="215" t="n"/>
      <c r="P808" s="215" t="n"/>
      <c r="Q808" s="215" t="n"/>
      <c r="R808" s="215" t="n"/>
      <c r="S808" s="215" t="n"/>
      <c r="T808" s="215" t="n"/>
      <c r="U808" s="215" t="n"/>
      <c r="V808" s="215" t="n"/>
      <c r="W808" s="215" t="n"/>
      <c r="X808" s="215" t="n"/>
      <c r="Y808" s="215" t="n"/>
      <c r="Z808" s="215" t="n"/>
      <c r="AA808" s="215" t="n"/>
      <c r="AB808" s="215" t="n"/>
      <c r="AC808" s="215" t="n"/>
      <c r="AD808" s="215" t="n"/>
      <c r="AE808" s="215" t="n"/>
      <c r="AF808" s="215" t="n"/>
      <c r="AG808" s="215" t="n"/>
      <c r="AH808" s="215" t="n"/>
      <c r="AI808" s="215" t="n"/>
      <c r="AJ808" s="215" t="n"/>
      <c r="AK808" s="216" t="n"/>
    </row>
    <row r="809" ht="15" customHeight="1">
      <c r="B809" s="134" t="n"/>
      <c r="C809" s="105" t="n"/>
      <c r="D809" s="105" t="n"/>
      <c r="E809" s="105" t="n"/>
      <c r="F809" s="105" t="n"/>
      <c r="G809" s="105" t="n"/>
      <c r="H809" s="2" t="n"/>
      <c r="I809" s="105" t="n"/>
      <c r="K809" s="215" t="n"/>
      <c r="L809" s="215" t="n"/>
      <c r="M809" s="215" t="n"/>
      <c r="N809" s="215" t="n"/>
      <c r="O809" s="215" t="n"/>
      <c r="P809" s="215" t="n"/>
      <c r="Q809" s="215" t="n"/>
      <c r="R809" s="215" t="n"/>
      <c r="S809" s="215" t="n"/>
      <c r="T809" s="215" t="n"/>
      <c r="U809" s="215" t="n"/>
      <c r="V809" s="215" t="n"/>
      <c r="W809" s="215" t="n"/>
      <c r="X809" s="215" t="n"/>
      <c r="Y809" s="215" t="n"/>
      <c r="Z809" s="215" t="n"/>
      <c r="AA809" s="215" t="n"/>
      <c r="AB809" s="215" t="n"/>
      <c r="AC809" s="215" t="n"/>
      <c r="AD809" s="215" t="n"/>
      <c r="AE809" s="215" t="n"/>
      <c r="AF809" s="215" t="n"/>
      <c r="AG809" s="215" t="n"/>
      <c r="AH809" s="215" t="n"/>
      <c r="AI809" s="215" t="n"/>
      <c r="AJ809" s="215" t="n"/>
      <c r="AK809" s="216" t="n"/>
    </row>
    <row r="810" ht="15" customHeight="1">
      <c r="B810" s="134" t="n"/>
      <c r="C810" s="105" t="n"/>
      <c r="D810" s="105" t="n"/>
      <c r="E810" s="105" t="n"/>
      <c r="F810" s="105" t="n"/>
      <c r="G810" s="105" t="n"/>
      <c r="H810" s="2" t="n"/>
      <c r="I810" s="105" t="n"/>
      <c r="K810" s="215" t="n"/>
      <c r="L810" s="215" t="n"/>
      <c r="M810" s="215" t="n"/>
      <c r="N810" s="215" t="n"/>
      <c r="O810" s="215" t="n"/>
      <c r="P810" s="215" t="n"/>
      <c r="Q810" s="215" t="n"/>
      <c r="R810" s="215" t="n"/>
      <c r="S810" s="215" t="n"/>
      <c r="T810" s="215" t="n"/>
      <c r="U810" s="215" t="n"/>
      <c r="V810" s="215" t="n"/>
      <c r="W810" s="215" t="n"/>
      <c r="X810" s="215" t="n"/>
      <c r="Y810" s="215" t="n"/>
      <c r="Z810" s="215" t="n"/>
      <c r="AA810" s="215" t="n"/>
      <c r="AB810" s="215" t="n"/>
      <c r="AC810" s="215" t="n"/>
      <c r="AD810" s="215" t="n"/>
      <c r="AE810" s="215" t="n"/>
      <c r="AF810" s="215" t="n"/>
      <c r="AG810" s="215" t="n"/>
      <c r="AH810" s="215" t="n"/>
      <c r="AI810" s="215" t="n"/>
      <c r="AJ810" s="215" t="n"/>
      <c r="AK810" s="216" t="n"/>
    </row>
    <row r="811" ht="15" customHeight="1">
      <c r="B811" s="134" t="n"/>
      <c r="C811" s="105" t="n"/>
      <c r="D811" s="105" t="n"/>
      <c r="E811" s="105" t="n"/>
      <c r="F811" s="105" t="n"/>
      <c r="G811" s="105" t="n"/>
      <c r="H811" s="2" t="n"/>
      <c r="I811" s="105" t="n"/>
      <c r="K811" s="215" t="n"/>
      <c r="L811" s="215" t="n"/>
      <c r="M811" s="215" t="n"/>
      <c r="N811" s="215" t="n"/>
      <c r="O811" s="215" t="n"/>
      <c r="P811" s="215" t="n"/>
      <c r="Q811" s="215" t="n"/>
      <c r="R811" s="215" t="n"/>
      <c r="S811" s="215" t="n"/>
      <c r="T811" s="215" t="n"/>
      <c r="U811" s="215" t="n"/>
      <c r="V811" s="215" t="n"/>
      <c r="W811" s="215" t="n"/>
      <c r="X811" s="215" t="n"/>
      <c r="Y811" s="215" t="n"/>
      <c r="Z811" s="215" t="n"/>
      <c r="AA811" s="215" t="n"/>
      <c r="AB811" s="215" t="n"/>
      <c r="AC811" s="215" t="n"/>
      <c r="AD811" s="215" t="n"/>
      <c r="AE811" s="215" t="n"/>
      <c r="AF811" s="215" t="n"/>
      <c r="AG811" s="215" t="n"/>
      <c r="AH811" s="215" t="n"/>
      <c r="AI811" s="215" t="n"/>
      <c r="AJ811" s="215" t="n"/>
      <c r="AK811" s="216" t="n"/>
    </row>
    <row r="812" ht="15" customHeight="1">
      <c r="B812" s="134" t="n"/>
      <c r="C812" s="105" t="n"/>
      <c r="D812" s="105" t="n"/>
      <c r="E812" s="105" t="n"/>
      <c r="F812" s="105" t="n"/>
      <c r="G812" s="105" t="n"/>
      <c r="H812" s="2" t="n"/>
      <c r="I812" s="105" t="n"/>
      <c r="K812" s="215" t="n"/>
      <c r="L812" s="215" t="n"/>
      <c r="M812" s="215" t="n"/>
      <c r="N812" s="215" t="n"/>
      <c r="O812" s="215" t="n"/>
      <c r="P812" s="215" t="n"/>
      <c r="Q812" s="215" t="n"/>
      <c r="R812" s="215" t="n"/>
      <c r="S812" s="215" t="n"/>
      <c r="T812" s="215" t="n"/>
      <c r="U812" s="215" t="n"/>
      <c r="V812" s="215" t="n"/>
      <c r="W812" s="215" t="n"/>
      <c r="X812" s="215" t="n"/>
      <c r="Y812" s="215" t="n"/>
      <c r="Z812" s="215" t="n"/>
      <c r="AA812" s="215" t="n"/>
      <c r="AB812" s="215" t="n"/>
      <c r="AC812" s="215" t="n"/>
      <c r="AD812" s="215" t="n"/>
      <c r="AE812" s="215" t="n"/>
      <c r="AF812" s="215" t="n"/>
      <c r="AG812" s="215" t="n"/>
      <c r="AH812" s="215" t="n"/>
      <c r="AI812" s="215" t="n"/>
      <c r="AJ812" s="215" t="n"/>
      <c r="AK812" s="216" t="n"/>
    </row>
    <row r="813" ht="15" customHeight="1">
      <c r="B813" s="134" t="n"/>
      <c r="C813" s="105" t="n"/>
      <c r="D813" s="105" t="n"/>
      <c r="E813" s="105" t="n"/>
      <c r="F813" s="105" t="n"/>
      <c r="G813" s="105" t="n"/>
      <c r="H813" s="2" t="n"/>
      <c r="I813" s="105" t="n"/>
      <c r="K813" s="215" t="n"/>
      <c r="L813" s="215" t="n"/>
      <c r="M813" s="215" t="n"/>
      <c r="N813" s="215" t="n"/>
      <c r="O813" s="215" t="n"/>
      <c r="P813" s="215" t="n"/>
      <c r="Q813" s="215" t="n"/>
      <c r="R813" s="215" t="n"/>
      <c r="S813" s="215" t="n"/>
      <c r="T813" s="215" t="n"/>
      <c r="U813" s="215" t="n"/>
      <c r="V813" s="215" t="n"/>
      <c r="W813" s="215" t="n"/>
      <c r="X813" s="215" t="n"/>
      <c r="Y813" s="215" t="n"/>
      <c r="Z813" s="215" t="n"/>
      <c r="AA813" s="215" t="n"/>
      <c r="AB813" s="215" t="n"/>
      <c r="AC813" s="215" t="n"/>
      <c r="AD813" s="215" t="n"/>
      <c r="AE813" s="215" t="n"/>
      <c r="AF813" s="215" t="n"/>
      <c r="AG813" s="215" t="n"/>
      <c r="AH813" s="215" t="n"/>
      <c r="AI813" s="215" t="n"/>
      <c r="AJ813" s="215" t="n"/>
      <c r="AK813" s="216" t="n"/>
    </row>
    <row r="814" ht="15" customHeight="1">
      <c r="B814" s="134" t="n"/>
      <c r="C814" s="105" t="n"/>
      <c r="D814" s="105" t="n"/>
      <c r="E814" s="105" t="n"/>
      <c r="F814" s="105" t="n"/>
      <c r="G814" s="105" t="n"/>
      <c r="H814" s="2" t="n"/>
      <c r="I814" s="105" t="n"/>
      <c r="K814" s="215" t="n"/>
      <c r="L814" s="215" t="n"/>
      <c r="M814" s="215" t="n"/>
      <c r="N814" s="215" t="n"/>
      <c r="O814" s="215" t="n"/>
      <c r="P814" s="215" t="n"/>
      <c r="Q814" s="215" t="n"/>
      <c r="R814" s="215" t="n"/>
      <c r="S814" s="215" t="n"/>
      <c r="T814" s="215" t="n"/>
      <c r="U814" s="215" t="n"/>
      <c r="V814" s="215" t="n"/>
      <c r="W814" s="215" t="n"/>
      <c r="X814" s="215" t="n"/>
      <c r="Y814" s="215" t="n"/>
      <c r="Z814" s="215" t="n"/>
      <c r="AA814" s="215" t="n"/>
      <c r="AB814" s="215" t="n"/>
      <c r="AC814" s="215" t="n"/>
      <c r="AD814" s="215" t="n"/>
      <c r="AE814" s="215" t="n"/>
      <c r="AF814" s="215" t="n"/>
      <c r="AG814" s="215" t="n"/>
      <c r="AH814" s="215" t="n"/>
      <c r="AI814" s="215" t="n"/>
      <c r="AJ814" s="215" t="n"/>
      <c r="AK814" s="216" t="n"/>
    </row>
    <row r="815" ht="15" customHeight="1">
      <c r="B815" s="134" t="n"/>
      <c r="C815" s="105" t="n"/>
      <c r="D815" s="105" t="n"/>
      <c r="E815" s="105" t="n"/>
      <c r="F815" s="105" t="n"/>
      <c r="G815" s="105" t="n"/>
      <c r="H815" s="2" t="n"/>
      <c r="I815" s="105" t="n"/>
      <c r="K815" s="215" t="n"/>
      <c r="L815" s="215" t="n"/>
      <c r="M815" s="215" t="n"/>
      <c r="N815" s="215" t="n"/>
      <c r="O815" s="215" t="n"/>
      <c r="P815" s="215" t="n"/>
      <c r="Q815" s="215" t="n"/>
      <c r="R815" s="215" t="n"/>
      <c r="S815" s="215" t="n"/>
      <c r="T815" s="215" t="n"/>
      <c r="U815" s="215" t="n"/>
      <c r="V815" s="215" t="n"/>
      <c r="W815" s="215" t="n"/>
      <c r="X815" s="215" t="n"/>
      <c r="Y815" s="215" t="n"/>
      <c r="Z815" s="215" t="n"/>
      <c r="AA815" s="215" t="n"/>
      <c r="AB815" s="215" t="n"/>
      <c r="AC815" s="215" t="n"/>
      <c r="AD815" s="215" t="n"/>
      <c r="AE815" s="215" t="n"/>
      <c r="AF815" s="215" t="n"/>
      <c r="AG815" s="215" t="n"/>
      <c r="AH815" s="215" t="n"/>
      <c r="AI815" s="215" t="n"/>
      <c r="AJ815" s="215" t="n"/>
      <c r="AK815" s="216" t="n"/>
    </row>
    <row r="816" ht="15" customHeight="1">
      <c r="B816" s="134" t="n"/>
      <c r="C816" s="105" t="n"/>
      <c r="D816" s="105" t="n"/>
      <c r="E816" s="105" t="n"/>
      <c r="F816" s="105" t="n"/>
      <c r="G816" s="105" t="n"/>
      <c r="H816" s="2" t="n"/>
      <c r="I816" s="105" t="n"/>
      <c r="K816" s="215" t="n"/>
      <c r="L816" s="215" t="n"/>
      <c r="M816" s="215" t="n"/>
      <c r="N816" s="215" t="n"/>
      <c r="O816" s="215" t="n"/>
      <c r="P816" s="215" t="n"/>
      <c r="Q816" s="215" t="n"/>
      <c r="R816" s="215" t="n"/>
      <c r="S816" s="215" t="n"/>
      <c r="T816" s="215" t="n"/>
      <c r="U816" s="215" t="n"/>
      <c r="V816" s="215" t="n"/>
      <c r="W816" s="215" t="n"/>
      <c r="X816" s="215" t="n"/>
      <c r="Y816" s="215" t="n"/>
      <c r="Z816" s="215" t="n"/>
      <c r="AA816" s="215" t="n"/>
      <c r="AB816" s="215" t="n"/>
      <c r="AC816" s="215" t="n"/>
      <c r="AD816" s="215" t="n"/>
      <c r="AE816" s="215" t="n"/>
      <c r="AF816" s="215" t="n"/>
      <c r="AG816" s="215" t="n"/>
      <c r="AH816" s="215" t="n"/>
      <c r="AI816" s="215" t="n"/>
      <c r="AJ816" s="215" t="n"/>
      <c r="AK816" s="216" t="n"/>
    </row>
    <row r="817" ht="15" customHeight="1">
      <c r="B817" s="134" t="n"/>
      <c r="C817" s="105" t="n"/>
      <c r="D817" s="105" t="n"/>
      <c r="E817" s="105" t="n"/>
      <c r="F817" s="105" t="n"/>
      <c r="G817" s="105" t="n"/>
      <c r="H817" s="2" t="n"/>
      <c r="I817" s="105" t="n"/>
      <c r="K817" s="215" t="n"/>
      <c r="L817" s="215" t="n"/>
      <c r="M817" s="215" t="n"/>
      <c r="N817" s="215" t="n"/>
      <c r="O817" s="215" t="n"/>
      <c r="P817" s="215" t="n"/>
      <c r="Q817" s="215" t="n"/>
      <c r="R817" s="215" t="n"/>
      <c r="S817" s="215" t="n"/>
      <c r="T817" s="215" t="n"/>
      <c r="U817" s="215" t="n"/>
      <c r="V817" s="215" t="n"/>
      <c r="W817" s="215" t="n"/>
      <c r="X817" s="215" t="n"/>
      <c r="Y817" s="215" t="n"/>
      <c r="Z817" s="215" t="n"/>
      <c r="AA817" s="215" t="n"/>
      <c r="AB817" s="215" t="n"/>
      <c r="AC817" s="215" t="n"/>
      <c r="AD817" s="215" t="n"/>
      <c r="AE817" s="215" t="n"/>
      <c r="AF817" s="215" t="n"/>
      <c r="AG817" s="215" t="n"/>
      <c r="AH817" s="215" t="n"/>
      <c r="AI817" s="215" t="n"/>
      <c r="AJ817" s="215" t="n"/>
      <c r="AK817" s="216" t="n"/>
    </row>
    <row r="818" ht="15" customHeight="1">
      <c r="B818" s="134" t="n"/>
      <c r="C818" s="105" t="n"/>
      <c r="D818" s="105" t="n"/>
      <c r="E818" s="105" t="n"/>
      <c r="F818" s="105" t="n"/>
      <c r="G818" s="105" t="n"/>
      <c r="H818" s="2" t="n"/>
      <c r="I818" s="105" t="n"/>
      <c r="K818" s="215" t="n"/>
      <c r="L818" s="215" t="n"/>
      <c r="M818" s="215" t="n"/>
      <c r="N818" s="215" t="n"/>
      <c r="O818" s="215" t="n"/>
      <c r="P818" s="215" t="n"/>
      <c r="Q818" s="215" t="n"/>
      <c r="R818" s="215" t="n"/>
      <c r="S818" s="215" t="n"/>
      <c r="T818" s="215" t="n"/>
      <c r="U818" s="215" t="n"/>
      <c r="V818" s="215" t="n"/>
      <c r="W818" s="215" t="n"/>
      <c r="X818" s="215" t="n"/>
      <c r="Y818" s="215" t="n"/>
      <c r="Z818" s="215" t="n"/>
      <c r="AA818" s="215" t="n"/>
      <c r="AB818" s="215" t="n"/>
      <c r="AC818" s="215" t="n"/>
      <c r="AD818" s="215" t="n"/>
      <c r="AE818" s="215" t="n"/>
      <c r="AF818" s="215" t="n"/>
      <c r="AG818" s="215" t="n"/>
      <c r="AH818" s="215" t="n"/>
      <c r="AI818" s="215" t="n"/>
      <c r="AJ818" s="215" t="n"/>
      <c r="AK818" s="216" t="n"/>
    </row>
    <row r="819" ht="15" customHeight="1">
      <c r="B819" s="134" t="n"/>
      <c r="C819" s="105" t="n"/>
      <c r="D819" s="105" t="n"/>
      <c r="E819" s="105" t="n"/>
      <c r="F819" s="105" t="n"/>
      <c r="G819" s="105" t="n"/>
      <c r="H819" s="2" t="n"/>
      <c r="I819" s="105" t="n"/>
      <c r="K819" s="215" t="n"/>
      <c r="L819" s="215" t="n"/>
      <c r="M819" s="215" t="n"/>
      <c r="N819" s="215" t="n"/>
      <c r="O819" s="215" t="n"/>
      <c r="P819" s="215" t="n"/>
      <c r="Q819" s="215" t="n"/>
      <c r="R819" s="215" t="n"/>
      <c r="S819" s="215" t="n"/>
      <c r="T819" s="215" t="n"/>
      <c r="U819" s="215" t="n"/>
      <c r="V819" s="215" t="n"/>
      <c r="W819" s="215" t="n"/>
      <c r="X819" s="215" t="n"/>
      <c r="Y819" s="215" t="n"/>
      <c r="Z819" s="215" t="n"/>
      <c r="AA819" s="215" t="n"/>
      <c r="AB819" s="215" t="n"/>
      <c r="AC819" s="215" t="n"/>
      <c r="AD819" s="215" t="n"/>
      <c r="AE819" s="215" t="n"/>
      <c r="AF819" s="215" t="n"/>
      <c r="AG819" s="215" t="n"/>
      <c r="AH819" s="215" t="n"/>
      <c r="AI819" s="215" t="n"/>
      <c r="AJ819" s="215" t="n"/>
      <c r="AK819" s="216" t="n"/>
    </row>
    <row r="820" ht="15" customHeight="1">
      <c r="B820" s="134" t="n"/>
      <c r="C820" s="105" t="n"/>
      <c r="D820" s="105" t="n"/>
      <c r="E820" s="105" t="n"/>
      <c r="F820" s="105" t="n"/>
      <c r="G820" s="105" t="n"/>
      <c r="H820" s="2" t="n"/>
      <c r="I820" s="105" t="n"/>
      <c r="K820" s="215" t="n"/>
      <c r="L820" s="215" t="n"/>
      <c r="M820" s="215" t="n"/>
      <c r="N820" s="215" t="n"/>
      <c r="O820" s="215" t="n"/>
      <c r="P820" s="215" t="n"/>
      <c r="Q820" s="215" t="n"/>
      <c r="R820" s="215" t="n"/>
      <c r="S820" s="215" t="n"/>
      <c r="T820" s="215" t="n"/>
      <c r="U820" s="215" t="n"/>
      <c r="V820" s="215" t="n"/>
      <c r="W820" s="215" t="n"/>
      <c r="X820" s="215" t="n"/>
      <c r="Y820" s="215" t="n"/>
      <c r="Z820" s="215" t="n"/>
      <c r="AA820" s="215" t="n"/>
      <c r="AB820" s="215" t="n"/>
      <c r="AC820" s="215" t="n"/>
      <c r="AD820" s="215" t="n"/>
      <c r="AE820" s="215" t="n"/>
      <c r="AF820" s="215" t="n"/>
      <c r="AG820" s="215" t="n"/>
      <c r="AH820" s="215" t="n"/>
      <c r="AI820" s="215" t="n"/>
      <c r="AJ820" s="215" t="n"/>
      <c r="AK820" s="216" t="n"/>
    </row>
    <row r="821" ht="15" customHeight="1">
      <c r="B821" s="134" t="n"/>
      <c r="C821" s="105" t="n"/>
      <c r="D821" s="105" t="n"/>
      <c r="E821" s="105" t="n"/>
      <c r="F821" s="105" t="n"/>
      <c r="G821" s="105" t="n"/>
      <c r="H821" s="2" t="n"/>
      <c r="I821" s="105" t="n"/>
      <c r="K821" s="215" t="n"/>
      <c r="L821" s="215" t="n"/>
      <c r="M821" s="215" t="n"/>
      <c r="N821" s="215" t="n"/>
      <c r="O821" s="215" t="n"/>
      <c r="P821" s="215" t="n"/>
      <c r="Q821" s="215" t="n"/>
      <c r="R821" s="215" t="n"/>
      <c r="S821" s="215" t="n"/>
      <c r="T821" s="215" t="n"/>
      <c r="U821" s="215" t="n"/>
      <c r="V821" s="215" t="n"/>
      <c r="W821" s="215" t="n"/>
      <c r="X821" s="215" t="n"/>
      <c r="Y821" s="215" t="n"/>
      <c r="Z821" s="215" t="n"/>
      <c r="AA821" s="215" t="n"/>
      <c r="AB821" s="215" t="n"/>
      <c r="AC821" s="215" t="n"/>
      <c r="AD821" s="215" t="n"/>
      <c r="AE821" s="215" t="n"/>
      <c r="AF821" s="215" t="n"/>
      <c r="AG821" s="215" t="n"/>
      <c r="AH821" s="215" t="n"/>
      <c r="AI821" s="215" t="n"/>
      <c r="AJ821" s="215" t="n"/>
      <c r="AK821" s="216" t="n"/>
    </row>
    <row r="822" ht="15" customHeight="1">
      <c r="B822" s="134" t="n"/>
      <c r="C822" s="105" t="n"/>
      <c r="D822" s="105" t="n"/>
      <c r="E822" s="105" t="n"/>
      <c r="F822" s="105" t="n"/>
      <c r="G822" s="105" t="n"/>
      <c r="H822" s="2" t="n"/>
      <c r="I822" s="105" t="n"/>
      <c r="K822" s="215" t="n"/>
      <c r="L822" s="215" t="n"/>
      <c r="M822" s="215" t="n"/>
      <c r="N822" s="215" t="n"/>
      <c r="O822" s="215" t="n"/>
      <c r="P822" s="215" t="n"/>
      <c r="Q822" s="215" t="n"/>
      <c r="R822" s="215" t="n"/>
      <c r="S822" s="215" t="n"/>
      <c r="T822" s="215" t="n"/>
      <c r="U822" s="215" t="n"/>
      <c r="V822" s="215" t="n"/>
      <c r="W822" s="215" t="n"/>
      <c r="X822" s="215" t="n"/>
      <c r="Y822" s="215" t="n"/>
      <c r="Z822" s="215" t="n"/>
      <c r="AA822" s="215" t="n"/>
      <c r="AB822" s="215" t="n"/>
      <c r="AC822" s="215" t="n"/>
      <c r="AD822" s="215" t="n"/>
      <c r="AE822" s="215" t="n"/>
      <c r="AF822" s="215" t="n"/>
      <c r="AG822" s="215" t="n"/>
      <c r="AH822" s="215" t="n"/>
      <c r="AI822" s="215" t="n"/>
      <c r="AJ822" s="215" t="n"/>
      <c r="AK822" s="216" t="n"/>
    </row>
    <row r="823" ht="15" customHeight="1">
      <c r="B823" s="134" t="n"/>
      <c r="C823" s="105" t="n"/>
      <c r="D823" s="105" t="n"/>
      <c r="E823" s="105" t="n"/>
      <c r="F823" s="105" t="n"/>
      <c r="G823" s="105" t="n"/>
      <c r="H823" s="2" t="n"/>
      <c r="I823" s="105" t="n"/>
      <c r="K823" s="215" t="n"/>
      <c r="L823" s="215" t="n"/>
      <c r="M823" s="215" t="n"/>
      <c r="N823" s="215" t="n"/>
      <c r="O823" s="215" t="n"/>
      <c r="P823" s="215" t="n"/>
      <c r="Q823" s="215" t="n"/>
      <c r="R823" s="215" t="n"/>
      <c r="S823" s="215" t="n"/>
      <c r="T823" s="215" t="n"/>
      <c r="U823" s="215" t="n"/>
      <c r="V823" s="215" t="n"/>
      <c r="W823" s="215" t="n"/>
      <c r="X823" s="215" t="n"/>
      <c r="Y823" s="215" t="n"/>
      <c r="Z823" s="215" t="n"/>
      <c r="AA823" s="215" t="n"/>
      <c r="AB823" s="215" t="n"/>
      <c r="AC823" s="215" t="n"/>
      <c r="AD823" s="215" t="n"/>
      <c r="AE823" s="215" t="n"/>
      <c r="AF823" s="215" t="n"/>
      <c r="AG823" s="215" t="n"/>
      <c r="AH823" s="215" t="n"/>
      <c r="AI823" s="215" t="n"/>
      <c r="AJ823" s="215" t="n"/>
      <c r="AK823" s="216" t="n"/>
    </row>
    <row r="824" ht="15" customHeight="1">
      <c r="B824" s="134" t="n"/>
      <c r="C824" s="105" t="n"/>
      <c r="D824" s="105" t="n"/>
      <c r="E824" s="105" t="n"/>
      <c r="F824" s="105" t="n"/>
      <c r="G824" s="105" t="n"/>
      <c r="H824" s="2" t="n"/>
      <c r="I824" s="105" t="n"/>
      <c r="K824" s="215" t="n"/>
      <c r="L824" s="215" t="n"/>
      <c r="M824" s="215" t="n"/>
      <c r="N824" s="215" t="n"/>
      <c r="O824" s="215" t="n"/>
      <c r="P824" s="215" t="n"/>
      <c r="Q824" s="215" t="n"/>
      <c r="R824" s="215" t="n"/>
      <c r="S824" s="215" t="n"/>
      <c r="T824" s="215" t="n"/>
      <c r="U824" s="215" t="n"/>
      <c r="V824" s="215" t="n"/>
      <c r="W824" s="215" t="n"/>
      <c r="X824" s="215" t="n"/>
      <c r="Y824" s="215" t="n"/>
      <c r="Z824" s="215" t="n"/>
      <c r="AA824" s="215" t="n"/>
      <c r="AB824" s="215" t="n"/>
      <c r="AC824" s="215" t="n"/>
      <c r="AD824" s="215" t="n"/>
      <c r="AE824" s="215" t="n"/>
      <c r="AF824" s="215" t="n"/>
      <c r="AG824" s="215" t="n"/>
      <c r="AH824" s="215" t="n"/>
      <c r="AI824" s="215" t="n"/>
      <c r="AJ824" s="215" t="n"/>
      <c r="AK824" s="216" t="n"/>
    </row>
    <row r="825" ht="15" customHeight="1">
      <c r="B825" s="134" t="n"/>
      <c r="C825" s="105" t="n"/>
      <c r="D825" s="105" t="n"/>
      <c r="E825" s="105" t="n"/>
      <c r="F825" s="105" t="n"/>
      <c r="G825" s="105" t="n"/>
      <c r="H825" s="2" t="n"/>
      <c r="I825" s="105" t="n"/>
      <c r="K825" s="215" t="n"/>
      <c r="L825" s="215" t="n"/>
      <c r="M825" s="215" t="n"/>
      <c r="N825" s="215" t="n"/>
      <c r="O825" s="215" t="n"/>
      <c r="P825" s="215" t="n"/>
      <c r="Q825" s="215" t="n"/>
      <c r="R825" s="215" t="n"/>
      <c r="S825" s="215" t="n"/>
      <c r="T825" s="215" t="n"/>
      <c r="U825" s="215" t="n"/>
      <c r="V825" s="215" t="n"/>
      <c r="W825" s="215" t="n"/>
      <c r="X825" s="215" t="n"/>
      <c r="Y825" s="215" t="n"/>
      <c r="Z825" s="215" t="n"/>
      <c r="AA825" s="215" t="n"/>
      <c r="AB825" s="215" t="n"/>
      <c r="AC825" s="215" t="n"/>
      <c r="AD825" s="215" t="n"/>
      <c r="AE825" s="215" t="n"/>
      <c r="AF825" s="215" t="n"/>
      <c r="AG825" s="215" t="n"/>
      <c r="AH825" s="215" t="n"/>
      <c r="AI825" s="215" t="n"/>
      <c r="AJ825" s="215" t="n"/>
      <c r="AK825" s="216" t="n"/>
    </row>
    <row r="826" ht="15" customHeight="1">
      <c r="B826" s="134" t="n"/>
      <c r="C826" s="105" t="n"/>
      <c r="D826" s="105" t="n"/>
      <c r="E826" s="105" t="n"/>
      <c r="F826" s="105" t="n"/>
      <c r="G826" s="105" t="n"/>
      <c r="H826" s="2" t="n"/>
      <c r="I826" s="105" t="n"/>
      <c r="K826" s="215" t="n"/>
      <c r="L826" s="215" t="n"/>
      <c r="M826" s="215" t="n"/>
      <c r="N826" s="215" t="n"/>
      <c r="O826" s="215" t="n"/>
      <c r="P826" s="215" t="n"/>
      <c r="Q826" s="215" t="n"/>
      <c r="R826" s="215" t="n"/>
      <c r="S826" s="215" t="n"/>
      <c r="T826" s="215" t="n"/>
      <c r="U826" s="215" t="n"/>
      <c r="V826" s="215" t="n"/>
      <c r="W826" s="215" t="n"/>
      <c r="X826" s="215" t="n"/>
      <c r="Y826" s="215" t="n"/>
      <c r="Z826" s="215" t="n"/>
      <c r="AA826" s="215" t="n"/>
      <c r="AB826" s="215" t="n"/>
      <c r="AC826" s="215" t="n"/>
      <c r="AD826" s="215" t="n"/>
      <c r="AE826" s="215" t="n"/>
      <c r="AF826" s="215" t="n"/>
      <c r="AG826" s="215" t="n"/>
      <c r="AH826" s="215" t="n"/>
      <c r="AI826" s="215" t="n"/>
      <c r="AJ826" s="215" t="n"/>
      <c r="AK826" s="216" t="n"/>
    </row>
    <row r="827" ht="15" customHeight="1">
      <c r="B827" s="134" t="n"/>
      <c r="C827" s="105" t="n"/>
      <c r="D827" s="105" t="n"/>
      <c r="E827" s="105" t="n"/>
      <c r="F827" s="105" t="n"/>
      <c r="G827" s="105" t="n"/>
      <c r="H827" s="2" t="n"/>
      <c r="I827" s="105" t="n"/>
      <c r="K827" s="215" t="n"/>
      <c r="L827" s="215" t="n"/>
      <c r="M827" s="215" t="n"/>
      <c r="N827" s="215" t="n"/>
      <c r="O827" s="215" t="n"/>
      <c r="P827" s="215" t="n"/>
      <c r="Q827" s="215" t="n"/>
      <c r="R827" s="215" t="n"/>
      <c r="S827" s="215" t="n"/>
      <c r="T827" s="215" t="n"/>
      <c r="U827" s="215" t="n"/>
      <c r="V827" s="215" t="n"/>
      <c r="W827" s="215" t="n"/>
      <c r="X827" s="215" t="n"/>
      <c r="Y827" s="215" t="n"/>
      <c r="Z827" s="215" t="n"/>
      <c r="AA827" s="215" t="n"/>
      <c r="AB827" s="215" t="n"/>
      <c r="AC827" s="215" t="n"/>
      <c r="AD827" s="215" t="n"/>
      <c r="AE827" s="215" t="n"/>
      <c r="AF827" s="215" t="n"/>
      <c r="AG827" s="215" t="n"/>
      <c r="AH827" s="215" t="n"/>
      <c r="AI827" s="215" t="n"/>
      <c r="AJ827" s="215" t="n"/>
      <c r="AK827" s="216" t="n"/>
    </row>
    <row r="828" ht="15" customHeight="1">
      <c r="B828" s="134" t="n"/>
      <c r="C828" s="105" t="n"/>
      <c r="D828" s="105" t="n"/>
      <c r="E828" s="105" t="n"/>
      <c r="F828" s="105" t="n"/>
      <c r="G828" s="105" t="n"/>
      <c r="H828" s="2" t="n"/>
      <c r="I828" s="105" t="n"/>
      <c r="K828" s="215" t="n"/>
      <c r="L828" s="215" t="n"/>
      <c r="M828" s="215" t="n"/>
      <c r="N828" s="215" t="n"/>
      <c r="O828" s="215" t="n"/>
      <c r="P828" s="215" t="n"/>
      <c r="Q828" s="215" t="n"/>
      <c r="R828" s="215" t="n"/>
      <c r="S828" s="215" t="n"/>
      <c r="T828" s="215" t="n"/>
      <c r="U828" s="215" t="n"/>
      <c r="V828" s="215" t="n"/>
      <c r="W828" s="215" t="n"/>
      <c r="X828" s="215" t="n"/>
      <c r="Y828" s="215" t="n"/>
      <c r="Z828" s="215" t="n"/>
      <c r="AA828" s="215" t="n"/>
      <c r="AB828" s="215" t="n"/>
      <c r="AC828" s="215" t="n"/>
      <c r="AD828" s="215" t="n"/>
      <c r="AE828" s="215" t="n"/>
      <c r="AF828" s="215" t="n"/>
      <c r="AG828" s="215" t="n"/>
      <c r="AH828" s="215" t="n"/>
      <c r="AI828" s="215" t="n"/>
      <c r="AJ828" s="215" t="n"/>
      <c r="AK828" s="216" t="n"/>
    </row>
    <row r="829" ht="15" customHeight="1">
      <c r="B829" s="134" t="n"/>
      <c r="C829" s="105" t="n"/>
      <c r="D829" s="105" t="n"/>
      <c r="E829" s="105" t="n"/>
      <c r="F829" s="105" t="n"/>
      <c r="G829" s="105" t="n"/>
      <c r="H829" s="2" t="n"/>
      <c r="I829" s="105" t="n"/>
      <c r="K829" s="215" t="n"/>
      <c r="L829" s="215" t="n"/>
      <c r="M829" s="215" t="n"/>
      <c r="N829" s="215" t="n"/>
      <c r="O829" s="215" t="n"/>
      <c r="P829" s="215" t="n"/>
      <c r="Q829" s="215" t="n"/>
      <c r="R829" s="215" t="n"/>
      <c r="S829" s="215" t="n"/>
      <c r="T829" s="215" t="n"/>
      <c r="U829" s="215" t="n"/>
      <c r="V829" s="215" t="n"/>
      <c r="W829" s="215" t="n"/>
      <c r="X829" s="215" t="n"/>
      <c r="Y829" s="215" t="n"/>
      <c r="Z829" s="215" t="n"/>
      <c r="AA829" s="215" t="n"/>
      <c r="AB829" s="215" t="n"/>
      <c r="AC829" s="215" t="n"/>
      <c r="AD829" s="215" t="n"/>
      <c r="AE829" s="215" t="n"/>
      <c r="AF829" s="215" t="n"/>
      <c r="AG829" s="215" t="n"/>
      <c r="AH829" s="215" t="n"/>
      <c r="AI829" s="215" t="n"/>
      <c r="AJ829" s="215" t="n"/>
      <c r="AK829" s="216" t="n"/>
    </row>
    <row r="830" ht="15" customHeight="1">
      <c r="B830" s="134" t="n"/>
      <c r="C830" s="105" t="n"/>
      <c r="D830" s="105" t="n"/>
      <c r="E830" s="105" t="n"/>
      <c r="F830" s="105" t="n"/>
      <c r="G830" s="105" t="n"/>
      <c r="H830" s="2" t="n"/>
      <c r="I830" s="105" t="n"/>
      <c r="K830" s="215" t="n"/>
      <c r="L830" s="215" t="n"/>
      <c r="M830" s="215" t="n"/>
      <c r="N830" s="215" t="n"/>
      <c r="O830" s="215" t="n"/>
      <c r="P830" s="215" t="n"/>
      <c r="Q830" s="215" t="n"/>
      <c r="R830" s="215" t="n"/>
      <c r="S830" s="215" t="n"/>
      <c r="T830" s="215" t="n"/>
      <c r="U830" s="215" t="n"/>
      <c r="V830" s="215" t="n"/>
      <c r="W830" s="215" t="n"/>
      <c r="X830" s="215" t="n"/>
      <c r="Y830" s="215" t="n"/>
      <c r="Z830" s="215" t="n"/>
      <c r="AA830" s="215" t="n"/>
      <c r="AB830" s="215" t="n"/>
      <c r="AC830" s="215" t="n"/>
      <c r="AD830" s="215" t="n"/>
      <c r="AE830" s="215" t="n"/>
      <c r="AF830" s="215" t="n"/>
      <c r="AG830" s="215" t="n"/>
      <c r="AH830" s="215" t="n"/>
      <c r="AI830" s="215" t="n"/>
      <c r="AJ830" s="215" t="n"/>
      <c r="AK830" s="216" t="n"/>
    </row>
    <row r="831" ht="15" customHeight="1">
      <c r="B831" s="134" t="n"/>
      <c r="C831" s="105" t="n"/>
      <c r="D831" s="105" t="n"/>
      <c r="E831" s="105" t="n"/>
      <c r="F831" s="105" t="n"/>
      <c r="G831" s="105" t="n"/>
      <c r="H831" s="2" t="n"/>
      <c r="I831" s="105" t="n"/>
      <c r="K831" s="215" t="n"/>
      <c r="L831" s="215" t="n"/>
      <c r="M831" s="215" t="n"/>
      <c r="N831" s="215" t="n"/>
      <c r="O831" s="215" t="n"/>
      <c r="P831" s="215" t="n"/>
      <c r="Q831" s="215" t="n"/>
      <c r="R831" s="215" t="n"/>
      <c r="S831" s="215" t="n"/>
      <c r="T831" s="215" t="n"/>
      <c r="U831" s="215" t="n"/>
      <c r="V831" s="215" t="n"/>
      <c r="W831" s="215" t="n"/>
      <c r="X831" s="215" t="n"/>
      <c r="Y831" s="215" t="n"/>
      <c r="Z831" s="215" t="n"/>
      <c r="AA831" s="215" t="n"/>
      <c r="AB831" s="215" t="n"/>
      <c r="AC831" s="215" t="n"/>
      <c r="AD831" s="215" t="n"/>
      <c r="AE831" s="215" t="n"/>
      <c r="AF831" s="215" t="n"/>
      <c r="AG831" s="215" t="n"/>
      <c r="AH831" s="215" t="n"/>
      <c r="AI831" s="215" t="n"/>
      <c r="AJ831" s="215" t="n"/>
      <c r="AK831" s="216" t="n"/>
    </row>
    <row r="832" ht="15" customHeight="1">
      <c r="B832" s="134" t="n"/>
      <c r="C832" s="105" t="n"/>
      <c r="D832" s="105" t="n"/>
      <c r="E832" s="105" t="n"/>
      <c r="F832" s="105" t="n"/>
      <c r="G832" s="105" t="n"/>
      <c r="H832" s="2" t="n"/>
      <c r="I832" s="105" t="n"/>
      <c r="K832" s="215" t="n"/>
      <c r="L832" s="215" t="n"/>
      <c r="M832" s="215" t="n"/>
      <c r="N832" s="215" t="n"/>
      <c r="O832" s="215" t="n"/>
      <c r="P832" s="215" t="n"/>
      <c r="Q832" s="215" t="n"/>
      <c r="R832" s="215" t="n"/>
      <c r="S832" s="215" t="n"/>
      <c r="T832" s="215" t="n"/>
      <c r="U832" s="215" t="n"/>
      <c r="V832" s="215" t="n"/>
      <c r="W832" s="215" t="n"/>
      <c r="X832" s="215" t="n"/>
      <c r="Y832" s="215" t="n"/>
      <c r="Z832" s="215" t="n"/>
      <c r="AA832" s="215" t="n"/>
      <c r="AB832" s="215" t="n"/>
      <c r="AC832" s="215" t="n"/>
      <c r="AD832" s="215" t="n"/>
      <c r="AE832" s="215" t="n"/>
      <c r="AF832" s="215" t="n"/>
      <c r="AG832" s="215" t="n"/>
      <c r="AH832" s="215" t="n"/>
      <c r="AI832" s="215" t="n"/>
      <c r="AJ832" s="215" t="n"/>
      <c r="AK832" s="216" t="n"/>
    </row>
    <row r="833" ht="15" customHeight="1">
      <c r="B833" s="134" t="n"/>
      <c r="C833" s="105" t="n"/>
      <c r="D833" s="105" t="n"/>
      <c r="E833" s="105" t="n"/>
      <c r="F833" s="105" t="n"/>
      <c r="G833" s="105" t="n"/>
      <c r="H833" s="2" t="n"/>
      <c r="I833" s="105" t="n"/>
      <c r="K833" s="215" t="n"/>
      <c r="L833" s="215" t="n"/>
      <c r="M833" s="215" t="n"/>
      <c r="N833" s="215" t="n"/>
      <c r="O833" s="215" t="n"/>
      <c r="P833" s="215" t="n"/>
      <c r="Q833" s="215" t="n"/>
      <c r="R833" s="215" t="n"/>
      <c r="S833" s="215" t="n"/>
      <c r="T833" s="215" t="n"/>
      <c r="U833" s="215" t="n"/>
      <c r="V833" s="215" t="n"/>
      <c r="W833" s="215" t="n"/>
      <c r="X833" s="215" t="n"/>
      <c r="Y833" s="215" t="n"/>
      <c r="Z833" s="215" t="n"/>
      <c r="AA833" s="215" t="n"/>
      <c r="AB833" s="215" t="n"/>
      <c r="AC833" s="215" t="n"/>
      <c r="AD833" s="215" t="n"/>
      <c r="AE833" s="215" t="n"/>
      <c r="AF833" s="215" t="n"/>
      <c r="AG833" s="215" t="n"/>
      <c r="AH833" s="215" t="n"/>
      <c r="AI833" s="215" t="n"/>
      <c r="AJ833" s="215" t="n"/>
      <c r="AK833" s="216" t="n"/>
    </row>
    <row r="834" ht="15" customHeight="1">
      <c r="B834" s="134" t="n"/>
      <c r="C834" s="105" t="n"/>
      <c r="D834" s="105" t="n"/>
      <c r="E834" s="105" t="n"/>
      <c r="F834" s="105" t="n"/>
      <c r="G834" s="105" t="n"/>
      <c r="H834" s="2" t="n"/>
      <c r="I834" s="105" t="n"/>
      <c r="K834" s="215" t="n"/>
      <c r="L834" s="215" t="n"/>
      <c r="M834" s="215" t="n"/>
      <c r="N834" s="215" t="n"/>
      <c r="O834" s="215" t="n"/>
      <c r="P834" s="215" t="n"/>
      <c r="Q834" s="215" t="n"/>
      <c r="R834" s="215" t="n"/>
      <c r="S834" s="215" t="n"/>
      <c r="T834" s="215" t="n"/>
      <c r="U834" s="215" t="n"/>
      <c r="V834" s="215" t="n"/>
      <c r="W834" s="215" t="n"/>
      <c r="X834" s="215" t="n"/>
      <c r="Y834" s="215" t="n"/>
      <c r="Z834" s="215" t="n"/>
      <c r="AA834" s="215" t="n"/>
      <c r="AB834" s="215" t="n"/>
      <c r="AC834" s="215" t="n"/>
      <c r="AD834" s="215" t="n"/>
      <c r="AE834" s="215" t="n"/>
      <c r="AF834" s="215" t="n"/>
      <c r="AG834" s="215" t="n"/>
      <c r="AH834" s="215" t="n"/>
      <c r="AI834" s="215" t="n"/>
      <c r="AJ834" s="215" t="n"/>
      <c r="AK834" s="216" t="n"/>
    </row>
    <row r="835" ht="15" customHeight="1">
      <c r="B835" s="134" t="n"/>
      <c r="C835" s="105" t="n"/>
      <c r="D835" s="105" t="n"/>
      <c r="E835" s="105" t="n"/>
      <c r="F835" s="105" t="n"/>
      <c r="G835" s="105" t="n"/>
      <c r="H835" s="2" t="n"/>
      <c r="I835" s="105" t="n"/>
      <c r="K835" s="215" t="n"/>
      <c r="L835" s="215" t="n"/>
      <c r="M835" s="215" t="n"/>
      <c r="N835" s="215" t="n"/>
      <c r="O835" s="215" t="n"/>
      <c r="P835" s="215" t="n"/>
      <c r="Q835" s="215" t="n"/>
      <c r="R835" s="215" t="n"/>
      <c r="S835" s="215" t="n"/>
      <c r="T835" s="215" t="n"/>
      <c r="U835" s="215" t="n"/>
      <c r="V835" s="215" t="n"/>
      <c r="W835" s="215" t="n"/>
      <c r="X835" s="215" t="n"/>
      <c r="Y835" s="215" t="n"/>
      <c r="Z835" s="215" t="n"/>
      <c r="AA835" s="215" t="n"/>
      <c r="AB835" s="215" t="n"/>
      <c r="AC835" s="215" t="n"/>
      <c r="AD835" s="215" t="n"/>
      <c r="AE835" s="215" t="n"/>
      <c r="AF835" s="215" t="n"/>
      <c r="AG835" s="215" t="n"/>
      <c r="AH835" s="215" t="n"/>
      <c r="AI835" s="215" t="n"/>
      <c r="AJ835" s="215" t="n"/>
      <c r="AK835" s="216" t="n"/>
    </row>
    <row r="836" ht="15" customHeight="1">
      <c r="B836" s="134" t="n"/>
      <c r="C836" s="105" t="n"/>
      <c r="D836" s="105" t="n"/>
      <c r="E836" s="105" t="n"/>
      <c r="F836" s="105" t="n"/>
      <c r="G836" s="105" t="n"/>
      <c r="H836" s="2" t="n"/>
      <c r="I836" s="105" t="n"/>
      <c r="K836" s="215" t="n"/>
      <c r="L836" s="215" t="n"/>
      <c r="M836" s="215" t="n"/>
      <c r="N836" s="215" t="n"/>
      <c r="O836" s="215" t="n"/>
      <c r="P836" s="215" t="n"/>
      <c r="Q836" s="215" t="n"/>
      <c r="R836" s="215" t="n"/>
      <c r="S836" s="215" t="n"/>
      <c r="T836" s="215" t="n"/>
      <c r="U836" s="215" t="n"/>
      <c r="V836" s="215" t="n"/>
      <c r="W836" s="215" t="n"/>
      <c r="X836" s="215" t="n"/>
      <c r="Y836" s="215" t="n"/>
      <c r="Z836" s="215" t="n"/>
      <c r="AA836" s="215" t="n"/>
      <c r="AB836" s="215" t="n"/>
      <c r="AC836" s="215" t="n"/>
      <c r="AD836" s="215" t="n"/>
      <c r="AE836" s="215" t="n"/>
      <c r="AF836" s="215" t="n"/>
      <c r="AG836" s="215" t="n"/>
      <c r="AH836" s="215" t="n"/>
      <c r="AI836" s="215" t="n"/>
      <c r="AJ836" s="215" t="n"/>
      <c r="AK836" s="216" t="n"/>
    </row>
    <row r="837" ht="15" customHeight="1">
      <c r="B837" s="134" t="n"/>
      <c r="C837" s="105" t="n"/>
      <c r="D837" s="105" t="n"/>
      <c r="E837" s="105" t="n"/>
      <c r="F837" s="105" t="n"/>
      <c r="G837" s="105" t="n"/>
      <c r="H837" s="2" t="n"/>
      <c r="I837" s="105" t="n"/>
      <c r="K837" s="215" t="n"/>
      <c r="L837" s="215" t="n"/>
      <c r="M837" s="215" t="n"/>
      <c r="N837" s="215" t="n"/>
      <c r="O837" s="215" t="n"/>
      <c r="P837" s="215" t="n"/>
      <c r="Q837" s="215" t="n"/>
      <c r="R837" s="215" t="n"/>
      <c r="S837" s="215" t="n"/>
      <c r="T837" s="215" t="n"/>
      <c r="U837" s="215" t="n"/>
      <c r="V837" s="215" t="n"/>
      <c r="W837" s="215" t="n"/>
      <c r="X837" s="215" t="n"/>
      <c r="Y837" s="215" t="n"/>
      <c r="Z837" s="215" t="n"/>
      <c r="AA837" s="215" t="n"/>
      <c r="AB837" s="215" t="n"/>
      <c r="AC837" s="215" t="n"/>
      <c r="AD837" s="215" t="n"/>
      <c r="AE837" s="215" t="n"/>
      <c r="AF837" s="215" t="n"/>
      <c r="AG837" s="215" t="n"/>
      <c r="AH837" s="215" t="n"/>
      <c r="AI837" s="215" t="n"/>
      <c r="AJ837" s="215" t="n"/>
      <c r="AK837" s="216" t="n"/>
    </row>
    <row r="838" ht="15" customHeight="1">
      <c r="B838" s="134" t="n"/>
      <c r="C838" s="105" t="n"/>
      <c r="D838" s="105" t="n"/>
      <c r="E838" s="105" t="n"/>
      <c r="F838" s="105" t="n"/>
      <c r="G838" s="105" t="n"/>
      <c r="H838" s="2" t="n"/>
      <c r="I838" s="105" t="n"/>
      <c r="K838" s="215" t="n"/>
      <c r="L838" s="215" t="n"/>
      <c r="M838" s="215" t="n"/>
      <c r="N838" s="215" t="n"/>
      <c r="O838" s="215" t="n"/>
      <c r="P838" s="215" t="n"/>
      <c r="Q838" s="215" t="n"/>
      <c r="R838" s="215" t="n"/>
      <c r="S838" s="215" t="n"/>
      <c r="T838" s="215" t="n"/>
      <c r="U838" s="215" t="n"/>
      <c r="V838" s="215" t="n"/>
      <c r="W838" s="215" t="n"/>
      <c r="X838" s="215" t="n"/>
      <c r="Y838" s="215" t="n"/>
      <c r="Z838" s="215" t="n"/>
      <c r="AA838" s="215" t="n"/>
      <c r="AB838" s="215" t="n"/>
      <c r="AC838" s="215" t="n"/>
      <c r="AD838" s="215" t="n"/>
      <c r="AE838" s="215" t="n"/>
      <c r="AF838" s="215" t="n"/>
      <c r="AG838" s="215" t="n"/>
      <c r="AH838" s="215" t="n"/>
      <c r="AI838" s="215" t="n"/>
      <c r="AJ838" s="215" t="n"/>
      <c r="AK838" s="216" t="n"/>
    </row>
    <row r="839" ht="15" customHeight="1">
      <c r="B839" s="134" t="n"/>
      <c r="C839" s="105" t="n"/>
      <c r="D839" s="105" t="n"/>
      <c r="E839" s="105" t="n"/>
      <c r="F839" s="105" t="n"/>
      <c r="G839" s="105" t="n"/>
      <c r="H839" s="2" t="n"/>
      <c r="I839" s="105" t="n"/>
      <c r="K839" s="215" t="n"/>
      <c r="L839" s="215" t="n"/>
      <c r="M839" s="215" t="n"/>
      <c r="N839" s="215" t="n"/>
      <c r="O839" s="215" t="n"/>
      <c r="P839" s="215" t="n"/>
      <c r="Q839" s="215" t="n"/>
      <c r="R839" s="215" t="n"/>
      <c r="S839" s="215" t="n"/>
      <c r="T839" s="215" t="n"/>
      <c r="U839" s="215" t="n"/>
      <c r="V839" s="215" t="n"/>
      <c r="W839" s="215" t="n"/>
      <c r="X839" s="215" t="n"/>
      <c r="Y839" s="215" t="n"/>
      <c r="Z839" s="215" t="n"/>
      <c r="AA839" s="215" t="n"/>
      <c r="AB839" s="215" t="n"/>
      <c r="AC839" s="215" t="n"/>
      <c r="AD839" s="215" t="n"/>
      <c r="AE839" s="215" t="n"/>
      <c r="AF839" s="215" t="n"/>
      <c r="AG839" s="215" t="n"/>
      <c r="AH839" s="215" t="n"/>
      <c r="AI839" s="215" t="n"/>
      <c r="AJ839" s="215" t="n"/>
      <c r="AK839" s="216" t="n"/>
    </row>
    <row r="840" ht="15" customHeight="1">
      <c r="B840" s="134" t="n"/>
      <c r="C840" s="105" t="n"/>
      <c r="D840" s="105" t="n"/>
      <c r="E840" s="105" t="n"/>
      <c r="F840" s="105" t="n"/>
      <c r="G840" s="105" t="n"/>
      <c r="H840" s="2" t="n"/>
      <c r="I840" s="105" t="n"/>
      <c r="K840" s="215" t="n"/>
      <c r="L840" s="215" t="n"/>
      <c r="M840" s="215" t="n"/>
      <c r="N840" s="215" t="n"/>
      <c r="O840" s="215" t="n"/>
      <c r="P840" s="215" t="n"/>
      <c r="Q840" s="215" t="n"/>
      <c r="R840" s="215" t="n"/>
      <c r="S840" s="215" t="n"/>
      <c r="T840" s="215" t="n"/>
      <c r="U840" s="215" t="n"/>
      <c r="V840" s="215" t="n"/>
      <c r="W840" s="215" t="n"/>
      <c r="X840" s="215" t="n"/>
      <c r="Y840" s="215" t="n"/>
      <c r="Z840" s="215" t="n"/>
      <c r="AA840" s="215" t="n"/>
      <c r="AB840" s="215" t="n"/>
      <c r="AC840" s="215" t="n"/>
      <c r="AD840" s="215" t="n"/>
      <c r="AE840" s="215" t="n"/>
      <c r="AF840" s="215" t="n"/>
      <c r="AG840" s="215" t="n"/>
      <c r="AH840" s="215" t="n"/>
      <c r="AI840" s="215" t="n"/>
      <c r="AJ840" s="215" t="n"/>
      <c r="AK840" s="216" t="n"/>
    </row>
    <row r="841" ht="15" customHeight="1">
      <c r="B841" s="134" t="n"/>
      <c r="C841" s="105" t="n"/>
      <c r="D841" s="105" t="n"/>
      <c r="E841" s="105" t="n"/>
      <c r="F841" s="105" t="n"/>
      <c r="G841" s="105" t="n"/>
      <c r="H841" s="2" t="n"/>
      <c r="I841" s="105" t="n"/>
      <c r="K841" s="215" t="n"/>
      <c r="L841" s="215" t="n"/>
      <c r="M841" s="215" t="n"/>
      <c r="N841" s="215" t="n"/>
      <c r="O841" s="215" t="n"/>
      <c r="P841" s="215" t="n"/>
      <c r="Q841" s="215" t="n"/>
      <c r="R841" s="215" t="n"/>
      <c r="S841" s="215" t="n"/>
      <c r="T841" s="215" t="n"/>
      <c r="U841" s="215" t="n"/>
      <c r="V841" s="215" t="n"/>
      <c r="W841" s="215" t="n"/>
      <c r="X841" s="215" t="n"/>
      <c r="Y841" s="215" t="n"/>
      <c r="Z841" s="215" t="n"/>
      <c r="AA841" s="215" t="n"/>
      <c r="AB841" s="215" t="n"/>
      <c r="AC841" s="215" t="n"/>
      <c r="AD841" s="215" t="n"/>
      <c r="AE841" s="215" t="n"/>
      <c r="AF841" s="215" t="n"/>
      <c r="AG841" s="215" t="n"/>
      <c r="AH841" s="215" t="n"/>
      <c r="AI841" s="215" t="n"/>
      <c r="AJ841" s="215" t="n"/>
      <c r="AK841" s="216" t="n"/>
    </row>
    <row r="842" ht="15" customHeight="1">
      <c r="B842" s="134" t="n"/>
      <c r="C842" s="105" t="n"/>
      <c r="D842" s="105" t="n"/>
      <c r="E842" s="105" t="n"/>
      <c r="F842" s="105" t="n"/>
      <c r="G842" s="105" t="n"/>
      <c r="H842" s="2" t="n"/>
      <c r="I842" s="105" t="n"/>
      <c r="K842" s="215" t="n"/>
      <c r="L842" s="215" t="n"/>
      <c r="M842" s="215" t="n"/>
      <c r="N842" s="215" t="n"/>
      <c r="O842" s="215" t="n"/>
      <c r="P842" s="215" t="n"/>
      <c r="Q842" s="215" t="n"/>
      <c r="R842" s="215" t="n"/>
      <c r="S842" s="215" t="n"/>
      <c r="T842" s="215" t="n"/>
      <c r="U842" s="215" t="n"/>
      <c r="V842" s="215" t="n"/>
      <c r="W842" s="215" t="n"/>
      <c r="X842" s="215" t="n"/>
      <c r="Y842" s="215" t="n"/>
      <c r="Z842" s="215" t="n"/>
      <c r="AA842" s="215" t="n"/>
      <c r="AB842" s="215" t="n"/>
      <c r="AC842" s="215" t="n"/>
      <c r="AD842" s="215" t="n"/>
      <c r="AE842" s="215" t="n"/>
      <c r="AF842" s="215" t="n"/>
      <c r="AG842" s="215" t="n"/>
      <c r="AH842" s="215" t="n"/>
      <c r="AI842" s="215" t="n"/>
      <c r="AJ842" s="215" t="n"/>
      <c r="AK842" s="216" t="n"/>
    </row>
    <row r="843" ht="15" customHeight="1">
      <c r="B843" s="134" t="n"/>
      <c r="C843" s="105" t="n"/>
      <c r="D843" s="105" t="n"/>
      <c r="E843" s="105" t="n"/>
      <c r="F843" s="105" t="n"/>
      <c r="G843" s="105" t="n"/>
      <c r="H843" s="2" t="n"/>
      <c r="I843" s="105" t="n"/>
      <c r="K843" s="215" t="n"/>
      <c r="L843" s="215" t="n"/>
      <c r="M843" s="215" t="n"/>
      <c r="N843" s="215" t="n"/>
      <c r="O843" s="215" t="n"/>
      <c r="P843" s="215" t="n"/>
      <c r="Q843" s="215" t="n"/>
      <c r="R843" s="215" t="n"/>
      <c r="S843" s="215" t="n"/>
      <c r="T843" s="215" t="n"/>
      <c r="U843" s="215" t="n"/>
      <c r="V843" s="215" t="n"/>
      <c r="W843" s="215" t="n"/>
      <c r="X843" s="215" t="n"/>
      <c r="Y843" s="215" t="n"/>
      <c r="Z843" s="215" t="n"/>
      <c r="AA843" s="215" t="n"/>
      <c r="AB843" s="215" t="n"/>
      <c r="AC843" s="215" t="n"/>
      <c r="AD843" s="215" t="n"/>
      <c r="AE843" s="215" t="n"/>
      <c r="AF843" s="215" t="n"/>
      <c r="AG843" s="215" t="n"/>
      <c r="AH843" s="215" t="n"/>
      <c r="AI843" s="215" t="n"/>
      <c r="AJ843" s="215" t="n"/>
      <c r="AK843" s="216" t="n"/>
    </row>
    <row r="844" ht="15" customHeight="1">
      <c r="B844" s="134" t="n"/>
      <c r="C844" s="105" t="n"/>
      <c r="D844" s="105" t="n"/>
      <c r="E844" s="105" t="n"/>
      <c r="F844" s="105" t="n"/>
      <c r="G844" s="105" t="n"/>
      <c r="H844" s="2" t="n"/>
      <c r="I844" s="105" t="n"/>
      <c r="K844" s="215" t="n"/>
      <c r="L844" s="215" t="n"/>
      <c r="M844" s="215" t="n"/>
      <c r="N844" s="215" t="n"/>
      <c r="O844" s="215" t="n"/>
      <c r="P844" s="215" t="n"/>
      <c r="Q844" s="215" t="n"/>
      <c r="R844" s="215" t="n"/>
      <c r="S844" s="215" t="n"/>
      <c r="T844" s="215" t="n"/>
      <c r="U844" s="215" t="n"/>
      <c r="V844" s="215" t="n"/>
      <c r="W844" s="215" t="n"/>
      <c r="X844" s="215" t="n"/>
      <c r="Y844" s="215" t="n"/>
      <c r="Z844" s="215" t="n"/>
      <c r="AA844" s="215" t="n"/>
      <c r="AB844" s="215" t="n"/>
      <c r="AC844" s="215" t="n"/>
      <c r="AD844" s="215" t="n"/>
      <c r="AE844" s="215" t="n"/>
      <c r="AF844" s="215" t="n"/>
      <c r="AG844" s="215" t="n"/>
      <c r="AH844" s="215" t="n"/>
      <c r="AI844" s="215" t="n"/>
      <c r="AJ844" s="215" t="n"/>
      <c r="AK844" s="216" t="n"/>
    </row>
    <row r="845" ht="15" customHeight="1">
      <c r="B845" s="134" t="n"/>
      <c r="C845" s="105" t="n"/>
      <c r="D845" s="105" t="n"/>
      <c r="E845" s="105" t="n"/>
      <c r="F845" s="105" t="n"/>
      <c r="G845" s="105" t="n"/>
      <c r="H845" s="2" t="n"/>
      <c r="I845" s="105" t="n"/>
      <c r="K845" s="215" t="n"/>
      <c r="L845" s="215" t="n"/>
      <c r="M845" s="215" t="n"/>
      <c r="N845" s="215" t="n"/>
      <c r="O845" s="215" t="n"/>
      <c r="P845" s="215" t="n"/>
      <c r="Q845" s="215" t="n"/>
      <c r="R845" s="215" t="n"/>
      <c r="S845" s="215" t="n"/>
      <c r="T845" s="215" t="n"/>
      <c r="U845" s="215" t="n"/>
      <c r="V845" s="215" t="n"/>
      <c r="W845" s="215" t="n"/>
      <c r="X845" s="215" t="n"/>
      <c r="Y845" s="215" t="n"/>
      <c r="Z845" s="215" t="n"/>
      <c r="AA845" s="215" t="n"/>
      <c r="AB845" s="215" t="n"/>
      <c r="AC845" s="215" t="n"/>
      <c r="AD845" s="215" t="n"/>
      <c r="AE845" s="215" t="n"/>
      <c r="AF845" s="215" t="n"/>
      <c r="AG845" s="215" t="n"/>
      <c r="AH845" s="215" t="n"/>
      <c r="AI845" s="215" t="n"/>
      <c r="AJ845" s="215" t="n"/>
      <c r="AK845" s="216" t="n"/>
    </row>
    <row r="846" ht="15" customHeight="1">
      <c r="B846" s="134" t="n"/>
      <c r="C846" s="105" t="n"/>
      <c r="D846" s="105" t="n"/>
      <c r="E846" s="105" t="n"/>
      <c r="F846" s="105" t="n"/>
      <c r="G846" s="105" t="n"/>
      <c r="H846" s="2" t="n"/>
      <c r="I846" s="105" t="n"/>
      <c r="K846" s="215" t="n"/>
      <c r="L846" s="215" t="n"/>
      <c r="M846" s="215" t="n"/>
      <c r="N846" s="215" t="n"/>
      <c r="O846" s="215" t="n"/>
      <c r="P846" s="215" t="n"/>
      <c r="Q846" s="215" t="n"/>
      <c r="R846" s="215" t="n"/>
      <c r="S846" s="215" t="n"/>
      <c r="T846" s="215" t="n"/>
      <c r="U846" s="215" t="n"/>
      <c r="V846" s="215" t="n"/>
      <c r="W846" s="215" t="n"/>
      <c r="X846" s="215" t="n"/>
      <c r="Y846" s="215" t="n"/>
      <c r="Z846" s="215" t="n"/>
      <c r="AA846" s="215" t="n"/>
      <c r="AB846" s="215" t="n"/>
      <c r="AC846" s="215" t="n"/>
      <c r="AD846" s="215" t="n"/>
      <c r="AE846" s="215" t="n"/>
      <c r="AF846" s="215" t="n"/>
      <c r="AG846" s="215" t="n"/>
      <c r="AH846" s="215" t="n"/>
      <c r="AI846" s="215" t="n"/>
      <c r="AJ846" s="215" t="n"/>
      <c r="AK846" s="216" t="n"/>
    </row>
    <row r="847" ht="15" customHeight="1">
      <c r="B847" s="134" t="n"/>
      <c r="C847" s="105" t="n"/>
      <c r="D847" s="105" t="n"/>
      <c r="E847" s="105" t="n"/>
      <c r="F847" s="105" t="n"/>
      <c r="G847" s="105" t="n"/>
      <c r="H847" s="2" t="n"/>
      <c r="I847" s="105" t="n"/>
      <c r="K847" s="215" t="n"/>
      <c r="L847" s="215" t="n"/>
      <c r="M847" s="215" t="n"/>
      <c r="N847" s="215" t="n"/>
      <c r="O847" s="215" t="n"/>
      <c r="P847" s="215" t="n"/>
      <c r="Q847" s="215" t="n"/>
      <c r="R847" s="215" t="n"/>
      <c r="S847" s="215" t="n"/>
      <c r="T847" s="215" t="n"/>
      <c r="U847" s="215" t="n"/>
      <c r="V847" s="215" t="n"/>
      <c r="W847" s="215" t="n"/>
      <c r="X847" s="215" t="n"/>
      <c r="Y847" s="215" t="n"/>
      <c r="Z847" s="215" t="n"/>
      <c r="AA847" s="215" t="n"/>
      <c r="AB847" s="215" t="n"/>
      <c r="AC847" s="215" t="n"/>
      <c r="AD847" s="215" t="n"/>
      <c r="AE847" s="215" t="n"/>
      <c r="AF847" s="215" t="n"/>
      <c r="AG847" s="215" t="n"/>
      <c r="AH847" s="215" t="n"/>
      <c r="AI847" s="215" t="n"/>
      <c r="AJ847" s="215" t="n"/>
      <c r="AK847" s="216" t="n"/>
    </row>
    <row r="848" ht="15" customHeight="1">
      <c r="B848" s="134" t="n"/>
      <c r="C848" s="105" t="n"/>
      <c r="D848" s="105" t="n"/>
      <c r="E848" s="105" t="n"/>
      <c r="F848" s="105" t="n"/>
      <c r="G848" s="105" t="n"/>
      <c r="H848" s="2" t="n"/>
      <c r="I848" s="105" t="n"/>
      <c r="K848" s="215" t="n"/>
      <c r="L848" s="215" t="n"/>
      <c r="M848" s="215" t="n"/>
      <c r="N848" s="215" t="n"/>
      <c r="O848" s="215" t="n"/>
      <c r="P848" s="215" t="n"/>
      <c r="Q848" s="215" t="n"/>
      <c r="R848" s="215" t="n"/>
      <c r="S848" s="215" t="n"/>
      <c r="T848" s="215" t="n"/>
      <c r="U848" s="215" t="n"/>
      <c r="V848" s="215" t="n"/>
      <c r="W848" s="215" t="n"/>
      <c r="X848" s="215" t="n"/>
      <c r="Y848" s="215" t="n"/>
      <c r="Z848" s="215" t="n"/>
      <c r="AA848" s="215" t="n"/>
      <c r="AB848" s="215" t="n"/>
      <c r="AC848" s="215" t="n"/>
      <c r="AD848" s="215" t="n"/>
      <c r="AE848" s="215" t="n"/>
      <c r="AF848" s="215" t="n"/>
      <c r="AG848" s="215" t="n"/>
      <c r="AH848" s="215" t="n"/>
      <c r="AI848" s="215" t="n"/>
      <c r="AJ848" s="215" t="n"/>
      <c r="AK848" s="216" t="n"/>
    </row>
    <row r="849" ht="15" customHeight="1">
      <c r="B849" s="134" t="n"/>
      <c r="C849" s="105" t="n"/>
      <c r="D849" s="105" t="n"/>
      <c r="E849" s="105" t="n"/>
      <c r="F849" s="105" t="n"/>
      <c r="G849" s="105" t="n"/>
      <c r="H849" s="2" t="n"/>
      <c r="I849" s="105" t="n"/>
      <c r="K849" s="215" t="n"/>
      <c r="L849" s="215" t="n"/>
      <c r="M849" s="215" t="n"/>
      <c r="N849" s="215" t="n"/>
      <c r="O849" s="215" t="n"/>
      <c r="P849" s="215" t="n"/>
      <c r="Q849" s="215" t="n"/>
      <c r="R849" s="215" t="n"/>
      <c r="S849" s="215" t="n"/>
      <c r="T849" s="215" t="n"/>
      <c r="U849" s="215" t="n"/>
      <c r="V849" s="215" t="n"/>
      <c r="W849" s="215" t="n"/>
      <c r="X849" s="215" t="n"/>
      <c r="Y849" s="215" t="n"/>
      <c r="Z849" s="215" t="n"/>
      <c r="AA849" s="215" t="n"/>
      <c r="AB849" s="215" t="n"/>
      <c r="AC849" s="215" t="n"/>
      <c r="AD849" s="215" t="n"/>
      <c r="AE849" s="215" t="n"/>
      <c r="AF849" s="215" t="n"/>
      <c r="AG849" s="215" t="n"/>
      <c r="AH849" s="215" t="n"/>
      <c r="AI849" s="215" t="n"/>
      <c r="AJ849" s="215" t="n"/>
      <c r="AK849" s="216" t="n"/>
    </row>
    <row r="850" ht="15" customHeight="1">
      <c r="B850" s="134" t="n"/>
      <c r="C850" s="105" t="n"/>
      <c r="D850" s="105" t="n"/>
      <c r="E850" s="105" t="n"/>
      <c r="F850" s="105" t="n"/>
      <c r="G850" s="105" t="n"/>
      <c r="H850" s="2" t="n"/>
      <c r="I850" s="105" t="n"/>
      <c r="K850" s="215" t="n"/>
      <c r="L850" s="215" t="n"/>
      <c r="M850" s="215" t="n"/>
      <c r="N850" s="215" t="n"/>
      <c r="O850" s="215" t="n"/>
      <c r="P850" s="215" t="n"/>
      <c r="Q850" s="215" t="n"/>
      <c r="R850" s="215" t="n"/>
      <c r="S850" s="215" t="n"/>
      <c r="T850" s="215" t="n"/>
      <c r="U850" s="215" t="n"/>
      <c r="V850" s="215" t="n"/>
      <c r="W850" s="215" t="n"/>
      <c r="X850" s="215" t="n"/>
      <c r="Y850" s="215" t="n"/>
      <c r="Z850" s="215" t="n"/>
      <c r="AA850" s="215" t="n"/>
      <c r="AB850" s="215" t="n"/>
      <c r="AC850" s="215" t="n"/>
      <c r="AD850" s="215" t="n"/>
      <c r="AE850" s="215" t="n"/>
      <c r="AF850" s="215" t="n"/>
      <c r="AG850" s="215" t="n"/>
      <c r="AH850" s="215" t="n"/>
      <c r="AI850" s="215" t="n"/>
      <c r="AJ850" s="215" t="n"/>
      <c r="AK850" s="216" t="n"/>
    </row>
    <row r="851" ht="15" customHeight="1">
      <c r="B851" s="134" t="n"/>
      <c r="C851" s="105" t="n"/>
      <c r="D851" s="105" t="n"/>
      <c r="E851" s="105" t="n"/>
      <c r="F851" s="105" t="n"/>
      <c r="G851" s="105" t="n"/>
      <c r="H851" s="2" t="n"/>
      <c r="I851" s="105" t="n"/>
      <c r="K851" s="215" t="n"/>
      <c r="L851" s="215" t="n"/>
      <c r="M851" s="215" t="n"/>
      <c r="N851" s="215" t="n"/>
      <c r="O851" s="215" t="n"/>
      <c r="P851" s="215" t="n"/>
      <c r="Q851" s="215" t="n"/>
      <c r="R851" s="215" t="n"/>
      <c r="S851" s="215" t="n"/>
      <c r="T851" s="215" t="n"/>
      <c r="U851" s="215" t="n"/>
      <c r="V851" s="215" t="n"/>
      <c r="W851" s="215" t="n"/>
      <c r="X851" s="215" t="n"/>
      <c r="Y851" s="215" t="n"/>
      <c r="Z851" s="215" t="n"/>
      <c r="AA851" s="215" t="n"/>
      <c r="AB851" s="215" t="n"/>
      <c r="AC851" s="215" t="n"/>
      <c r="AD851" s="215" t="n"/>
      <c r="AE851" s="215" t="n"/>
      <c r="AF851" s="215" t="n"/>
      <c r="AG851" s="215" t="n"/>
      <c r="AH851" s="215" t="n"/>
      <c r="AI851" s="215" t="n"/>
      <c r="AJ851" s="215" t="n"/>
      <c r="AK851" s="216" t="n"/>
    </row>
    <row r="852" ht="15" customHeight="1">
      <c r="B852" s="134" t="n"/>
      <c r="C852" s="105" t="n"/>
      <c r="D852" s="105" t="n"/>
      <c r="E852" s="105" t="n"/>
      <c r="F852" s="105" t="n"/>
      <c r="G852" s="105" t="n"/>
      <c r="H852" s="2" t="n"/>
      <c r="I852" s="105" t="n"/>
      <c r="K852" s="215" t="n"/>
      <c r="L852" s="215" t="n"/>
      <c r="M852" s="215" t="n"/>
      <c r="N852" s="215" t="n"/>
      <c r="O852" s="215" t="n"/>
      <c r="P852" s="215" t="n"/>
      <c r="Q852" s="215" t="n"/>
      <c r="R852" s="215" t="n"/>
      <c r="S852" s="215" t="n"/>
      <c r="T852" s="215" t="n"/>
      <c r="U852" s="215" t="n"/>
      <c r="V852" s="215" t="n"/>
      <c r="W852" s="215" t="n"/>
      <c r="X852" s="215" t="n"/>
      <c r="Y852" s="215" t="n"/>
      <c r="Z852" s="215" t="n"/>
      <c r="AA852" s="215" t="n"/>
      <c r="AB852" s="215" t="n"/>
      <c r="AC852" s="215" t="n"/>
      <c r="AD852" s="215" t="n"/>
      <c r="AE852" s="215" t="n"/>
      <c r="AF852" s="215" t="n"/>
      <c r="AG852" s="215" t="n"/>
      <c r="AH852" s="215" t="n"/>
      <c r="AI852" s="215" t="n"/>
      <c r="AJ852" s="215" t="n"/>
      <c r="AK852" s="216" t="n"/>
    </row>
    <row r="853" ht="15" customHeight="1">
      <c r="B853" s="134" t="n"/>
      <c r="C853" s="105" t="n"/>
      <c r="D853" s="105" t="n"/>
      <c r="E853" s="105" t="n"/>
      <c r="F853" s="105" t="n"/>
      <c r="G853" s="105" t="n"/>
      <c r="H853" s="2" t="n"/>
      <c r="I853" s="105" t="n"/>
      <c r="K853" s="215" t="n"/>
      <c r="L853" s="215" t="n"/>
      <c r="M853" s="215" t="n"/>
      <c r="N853" s="215" t="n"/>
      <c r="O853" s="215" t="n"/>
      <c r="P853" s="215" t="n"/>
      <c r="Q853" s="215" t="n"/>
      <c r="R853" s="215" t="n"/>
      <c r="S853" s="215" t="n"/>
      <c r="T853" s="215" t="n"/>
      <c r="U853" s="215" t="n"/>
      <c r="V853" s="215" t="n"/>
      <c r="W853" s="215" t="n"/>
      <c r="X853" s="215" t="n"/>
      <c r="Y853" s="215" t="n"/>
      <c r="Z853" s="215" t="n"/>
      <c r="AA853" s="215" t="n"/>
      <c r="AB853" s="215" t="n"/>
      <c r="AC853" s="215" t="n"/>
      <c r="AD853" s="215" t="n"/>
      <c r="AE853" s="215" t="n"/>
      <c r="AF853" s="215" t="n"/>
      <c r="AG853" s="215" t="n"/>
      <c r="AH853" s="215" t="n"/>
      <c r="AI853" s="215" t="n"/>
      <c r="AJ853" s="215" t="n"/>
      <c r="AK853" s="216" t="n"/>
    </row>
    <row r="854" ht="15" customHeight="1">
      <c r="B854" s="134" t="n"/>
      <c r="C854" s="105" t="n"/>
      <c r="D854" s="105" t="n"/>
      <c r="E854" s="105" t="n"/>
      <c r="F854" s="105" t="n"/>
      <c r="G854" s="105" t="n"/>
      <c r="H854" s="2" t="n"/>
      <c r="I854" s="105" t="n"/>
      <c r="K854" s="215" t="n"/>
      <c r="L854" s="215" t="n"/>
      <c r="M854" s="215" t="n"/>
      <c r="N854" s="215" t="n"/>
      <c r="O854" s="215" t="n"/>
      <c r="P854" s="215" t="n"/>
      <c r="Q854" s="215" t="n"/>
      <c r="R854" s="215" t="n"/>
      <c r="S854" s="215" t="n"/>
      <c r="T854" s="215" t="n"/>
      <c r="U854" s="215" t="n"/>
      <c r="V854" s="215" t="n"/>
      <c r="W854" s="215" t="n"/>
      <c r="X854" s="215" t="n"/>
      <c r="Y854" s="215" t="n"/>
      <c r="Z854" s="215" t="n"/>
      <c r="AA854" s="215" t="n"/>
      <c r="AB854" s="215" t="n"/>
      <c r="AC854" s="215" t="n"/>
      <c r="AD854" s="215" t="n"/>
      <c r="AE854" s="215" t="n"/>
      <c r="AF854" s="215" t="n"/>
      <c r="AG854" s="215" t="n"/>
      <c r="AH854" s="215" t="n"/>
      <c r="AI854" s="215" t="n"/>
      <c r="AJ854" s="215" t="n"/>
      <c r="AK854" s="216" t="n"/>
    </row>
    <row r="855" ht="15" customHeight="1">
      <c r="B855" s="134" t="n"/>
      <c r="C855" s="105" t="n"/>
      <c r="D855" s="105" t="n"/>
      <c r="E855" s="105" t="n"/>
      <c r="F855" s="105" t="n"/>
      <c r="G855" s="105" t="n"/>
      <c r="H855" s="2" t="n"/>
      <c r="I855" s="105" t="n"/>
      <c r="K855" s="215" t="n"/>
      <c r="L855" s="215" t="n"/>
      <c r="M855" s="215" t="n"/>
      <c r="N855" s="215" t="n"/>
      <c r="O855" s="215" t="n"/>
      <c r="P855" s="215" t="n"/>
      <c r="Q855" s="215" t="n"/>
      <c r="R855" s="215" t="n"/>
      <c r="S855" s="215" t="n"/>
      <c r="T855" s="215" t="n"/>
      <c r="U855" s="215" t="n"/>
      <c r="V855" s="215" t="n"/>
      <c r="W855" s="215" t="n"/>
      <c r="X855" s="215" t="n"/>
      <c r="Y855" s="215" t="n"/>
      <c r="Z855" s="215" t="n"/>
      <c r="AA855" s="215" t="n"/>
      <c r="AB855" s="215" t="n"/>
      <c r="AC855" s="215" t="n"/>
      <c r="AD855" s="215" t="n"/>
      <c r="AE855" s="215" t="n"/>
      <c r="AF855" s="215" t="n"/>
      <c r="AG855" s="215" t="n"/>
      <c r="AH855" s="215" t="n"/>
      <c r="AI855" s="215" t="n"/>
      <c r="AJ855" s="215" t="n"/>
      <c r="AK855" s="216" t="n"/>
    </row>
    <row r="856" ht="15" customHeight="1">
      <c r="B856" s="134" t="n"/>
      <c r="C856" s="105" t="n"/>
      <c r="D856" s="105" t="n"/>
      <c r="E856" s="105" t="n"/>
      <c r="F856" s="105" t="n"/>
      <c r="G856" s="105" t="n"/>
      <c r="H856" s="2" t="n"/>
      <c r="I856" s="105" t="n"/>
      <c r="K856" s="215" t="n"/>
      <c r="L856" s="215" t="n"/>
      <c r="M856" s="215" t="n"/>
      <c r="N856" s="215" t="n"/>
      <c r="O856" s="215" t="n"/>
      <c r="P856" s="215" t="n"/>
      <c r="Q856" s="215" t="n"/>
      <c r="R856" s="215" t="n"/>
      <c r="S856" s="215" t="n"/>
      <c r="T856" s="215" t="n"/>
      <c r="U856" s="215" t="n"/>
      <c r="V856" s="215" t="n"/>
      <c r="W856" s="215" t="n"/>
      <c r="X856" s="215" t="n"/>
      <c r="Y856" s="215" t="n"/>
      <c r="Z856" s="215" t="n"/>
      <c r="AA856" s="215" t="n"/>
      <c r="AB856" s="215" t="n"/>
      <c r="AC856" s="215" t="n"/>
      <c r="AD856" s="215" t="n"/>
      <c r="AE856" s="215" t="n"/>
      <c r="AF856" s="215" t="n"/>
      <c r="AG856" s="215" t="n"/>
      <c r="AH856" s="215" t="n"/>
      <c r="AI856" s="215" t="n"/>
      <c r="AJ856" s="215" t="n"/>
      <c r="AK856" s="216" t="n"/>
    </row>
    <row r="857" ht="15" customHeight="1">
      <c r="B857" s="134" t="n"/>
      <c r="C857" s="105" t="n"/>
      <c r="D857" s="105" t="n"/>
      <c r="E857" s="105" t="n"/>
      <c r="F857" s="105" t="n"/>
      <c r="G857" s="105" t="n"/>
      <c r="H857" s="2" t="n"/>
      <c r="I857" s="105" t="n"/>
      <c r="K857" s="215" t="n"/>
      <c r="L857" s="215" t="n"/>
      <c r="M857" s="215" t="n"/>
      <c r="N857" s="215" t="n"/>
      <c r="O857" s="215" t="n"/>
      <c r="P857" s="215" t="n"/>
      <c r="Q857" s="215" t="n"/>
      <c r="R857" s="215" t="n"/>
      <c r="S857" s="215" t="n"/>
      <c r="T857" s="215" t="n"/>
      <c r="U857" s="215" t="n"/>
      <c r="V857" s="215" t="n"/>
      <c r="W857" s="215" t="n"/>
      <c r="X857" s="215" t="n"/>
      <c r="Y857" s="215" t="n"/>
      <c r="Z857" s="215" t="n"/>
      <c r="AA857" s="215" t="n"/>
      <c r="AB857" s="215" t="n"/>
      <c r="AC857" s="215" t="n"/>
      <c r="AD857" s="215" t="n"/>
      <c r="AE857" s="215" t="n"/>
      <c r="AF857" s="215" t="n"/>
      <c r="AG857" s="215" t="n"/>
      <c r="AH857" s="215" t="n"/>
      <c r="AI857" s="215" t="n"/>
      <c r="AJ857" s="215" t="n"/>
      <c r="AK857" s="216" t="n"/>
    </row>
    <row r="858" ht="15" customHeight="1">
      <c r="B858" s="134" t="n"/>
      <c r="C858" s="105" t="n"/>
      <c r="D858" s="105" t="n"/>
      <c r="E858" s="105" t="n"/>
      <c r="F858" s="105" t="n"/>
      <c r="G858" s="105" t="n"/>
      <c r="H858" s="2" t="n"/>
      <c r="I858" s="105" t="n"/>
      <c r="K858" s="215" t="n"/>
      <c r="L858" s="215" t="n"/>
      <c r="M858" s="215" t="n"/>
      <c r="N858" s="215" t="n"/>
      <c r="O858" s="215" t="n"/>
      <c r="P858" s="215" t="n"/>
      <c r="Q858" s="215" t="n"/>
      <c r="R858" s="215" t="n"/>
      <c r="S858" s="215" t="n"/>
      <c r="T858" s="215" t="n"/>
      <c r="U858" s="215" t="n"/>
      <c r="V858" s="215" t="n"/>
      <c r="W858" s="215" t="n"/>
      <c r="X858" s="215" t="n"/>
      <c r="Y858" s="215" t="n"/>
      <c r="Z858" s="215" t="n"/>
      <c r="AA858" s="215" t="n"/>
      <c r="AB858" s="215" t="n"/>
      <c r="AC858" s="215" t="n"/>
      <c r="AD858" s="215" t="n"/>
      <c r="AE858" s="215" t="n"/>
      <c r="AF858" s="215" t="n"/>
      <c r="AG858" s="215" t="n"/>
      <c r="AH858" s="215" t="n"/>
      <c r="AI858" s="215" t="n"/>
      <c r="AJ858" s="215" t="n"/>
      <c r="AK858" s="216" t="n"/>
    </row>
    <row r="859" ht="15" customHeight="1">
      <c r="B859" s="134" t="n"/>
      <c r="C859" s="105" t="n"/>
      <c r="D859" s="105" t="n"/>
      <c r="E859" s="105" t="n"/>
      <c r="F859" s="105" t="n"/>
      <c r="G859" s="105" t="n"/>
      <c r="H859" s="2" t="n"/>
      <c r="I859" s="105" t="n"/>
      <c r="K859" s="215" t="n"/>
      <c r="L859" s="215" t="n"/>
      <c r="M859" s="215" t="n"/>
      <c r="N859" s="215" t="n"/>
      <c r="O859" s="215" t="n"/>
      <c r="P859" s="215" t="n"/>
      <c r="Q859" s="215" t="n"/>
      <c r="R859" s="215" t="n"/>
      <c r="S859" s="215" t="n"/>
      <c r="T859" s="215" t="n"/>
      <c r="U859" s="215" t="n"/>
      <c r="V859" s="215" t="n"/>
      <c r="W859" s="215" t="n"/>
      <c r="X859" s="215" t="n"/>
      <c r="Y859" s="215" t="n"/>
      <c r="Z859" s="215" t="n"/>
      <c r="AA859" s="215" t="n"/>
      <c r="AB859" s="215" t="n"/>
      <c r="AC859" s="215" t="n"/>
      <c r="AD859" s="215" t="n"/>
      <c r="AE859" s="215" t="n"/>
      <c r="AF859" s="215" t="n"/>
      <c r="AG859" s="215" t="n"/>
      <c r="AH859" s="215" t="n"/>
      <c r="AI859" s="215" t="n"/>
      <c r="AJ859" s="215" t="n"/>
      <c r="AK859" s="216" t="n"/>
    </row>
    <row r="860" ht="15" customHeight="1">
      <c r="B860" s="134" t="n"/>
      <c r="C860" s="105" t="n"/>
      <c r="D860" s="105" t="n"/>
      <c r="E860" s="105" t="n"/>
      <c r="F860" s="105" t="n"/>
      <c r="G860" s="105" t="n"/>
      <c r="H860" s="2" t="n"/>
      <c r="I860" s="105" t="n"/>
      <c r="K860" s="215" t="n"/>
      <c r="L860" s="215" t="n"/>
      <c r="M860" s="215" t="n"/>
      <c r="N860" s="215" t="n"/>
      <c r="O860" s="215" t="n"/>
      <c r="P860" s="215" t="n"/>
      <c r="Q860" s="215" t="n"/>
      <c r="R860" s="215" t="n"/>
      <c r="S860" s="215" t="n"/>
      <c r="T860" s="215" t="n"/>
      <c r="U860" s="215" t="n"/>
      <c r="V860" s="215" t="n"/>
      <c r="W860" s="215" t="n"/>
      <c r="X860" s="215" t="n"/>
      <c r="Y860" s="215" t="n"/>
      <c r="Z860" s="215" t="n"/>
      <c r="AA860" s="215" t="n"/>
      <c r="AB860" s="215" t="n"/>
      <c r="AC860" s="215" t="n"/>
      <c r="AD860" s="215" t="n"/>
      <c r="AE860" s="215" t="n"/>
      <c r="AF860" s="215" t="n"/>
      <c r="AG860" s="215" t="n"/>
      <c r="AH860" s="215" t="n"/>
      <c r="AI860" s="215" t="n"/>
      <c r="AJ860" s="215" t="n"/>
      <c r="AK860" s="216" t="n"/>
    </row>
    <row r="861" ht="15" customHeight="1">
      <c r="B861" s="134" t="n"/>
      <c r="C861" s="105" t="n"/>
      <c r="D861" s="105" t="n"/>
      <c r="E861" s="105" t="n"/>
      <c r="F861" s="105" t="n"/>
      <c r="G861" s="105" t="n"/>
      <c r="H861" s="2" t="n"/>
      <c r="I861" s="105" t="n"/>
      <c r="K861" s="215" t="n"/>
      <c r="L861" s="215" t="n"/>
      <c r="M861" s="215" t="n"/>
      <c r="N861" s="215" t="n"/>
      <c r="O861" s="215" t="n"/>
      <c r="P861" s="215" t="n"/>
      <c r="Q861" s="215" t="n"/>
      <c r="R861" s="215" t="n"/>
      <c r="S861" s="215" t="n"/>
      <c r="T861" s="215" t="n"/>
      <c r="U861" s="215" t="n"/>
      <c r="V861" s="215" t="n"/>
      <c r="W861" s="215" t="n"/>
      <c r="X861" s="215" t="n"/>
      <c r="Y861" s="215" t="n"/>
      <c r="Z861" s="215" t="n"/>
      <c r="AA861" s="215" t="n"/>
      <c r="AB861" s="215" t="n"/>
      <c r="AC861" s="215" t="n"/>
      <c r="AD861" s="215" t="n"/>
      <c r="AE861" s="215" t="n"/>
      <c r="AF861" s="215" t="n"/>
      <c r="AG861" s="215" t="n"/>
      <c r="AH861" s="215" t="n"/>
      <c r="AI861" s="215" t="n"/>
      <c r="AJ861" s="215" t="n"/>
      <c r="AK861" s="216" t="n"/>
    </row>
    <row r="862" ht="15" customHeight="1">
      <c r="B862" s="134" t="n"/>
      <c r="C862" s="105" t="n"/>
      <c r="D862" s="105" t="n"/>
      <c r="E862" s="105" t="n"/>
      <c r="F862" s="105" t="n"/>
      <c r="G862" s="105" t="n"/>
      <c r="H862" s="2" t="n"/>
      <c r="I862" s="105" t="n"/>
      <c r="K862" s="215" t="n"/>
      <c r="L862" s="215" t="n"/>
      <c r="M862" s="215" t="n"/>
      <c r="N862" s="215" t="n"/>
      <c r="O862" s="215" t="n"/>
      <c r="P862" s="215" t="n"/>
      <c r="Q862" s="215" t="n"/>
      <c r="R862" s="215" t="n"/>
      <c r="S862" s="215" t="n"/>
      <c r="T862" s="215" t="n"/>
      <c r="U862" s="215" t="n"/>
      <c r="V862" s="215" t="n"/>
      <c r="W862" s="215" t="n"/>
      <c r="X862" s="215" t="n"/>
      <c r="Y862" s="215" t="n"/>
      <c r="Z862" s="215" t="n"/>
      <c r="AA862" s="215" t="n"/>
      <c r="AB862" s="215" t="n"/>
      <c r="AC862" s="215" t="n"/>
      <c r="AD862" s="215" t="n"/>
      <c r="AE862" s="215" t="n"/>
      <c r="AF862" s="215" t="n"/>
      <c r="AG862" s="215" t="n"/>
      <c r="AH862" s="215" t="n"/>
      <c r="AI862" s="215" t="n"/>
      <c r="AJ862" s="215" t="n"/>
      <c r="AK862" s="216" t="n"/>
    </row>
    <row r="863" ht="15" customHeight="1">
      <c r="B863" s="134" t="n"/>
      <c r="C863" s="105" t="n"/>
      <c r="D863" s="105" t="n"/>
      <c r="E863" s="105" t="n"/>
      <c r="F863" s="105" t="n"/>
      <c r="G863" s="105" t="n"/>
      <c r="H863" s="2" t="n"/>
      <c r="I863" s="105" t="n"/>
      <c r="K863" s="215" t="n"/>
      <c r="L863" s="215" t="n"/>
      <c r="M863" s="215" t="n"/>
      <c r="N863" s="215" t="n"/>
      <c r="O863" s="215" t="n"/>
      <c r="P863" s="215" t="n"/>
      <c r="Q863" s="215" t="n"/>
      <c r="R863" s="215" t="n"/>
      <c r="S863" s="215" t="n"/>
      <c r="T863" s="215" t="n"/>
      <c r="U863" s="215" t="n"/>
      <c r="V863" s="215" t="n"/>
      <c r="W863" s="215" t="n"/>
      <c r="X863" s="215" t="n"/>
      <c r="Y863" s="215" t="n"/>
      <c r="Z863" s="215" t="n"/>
      <c r="AA863" s="215" t="n"/>
      <c r="AB863" s="215" t="n"/>
      <c r="AC863" s="215" t="n"/>
      <c r="AD863" s="215" t="n"/>
      <c r="AE863" s="215" t="n"/>
      <c r="AF863" s="215" t="n"/>
      <c r="AG863" s="215" t="n"/>
      <c r="AH863" s="215" t="n"/>
      <c r="AI863" s="215" t="n"/>
      <c r="AJ863" s="215" t="n"/>
      <c r="AK863" s="216" t="n"/>
    </row>
    <row r="864" ht="15" customHeight="1">
      <c r="B864" s="134" t="n"/>
      <c r="C864" s="105" t="n"/>
      <c r="D864" s="105" t="n"/>
      <c r="E864" s="105" t="n"/>
      <c r="F864" s="105" t="n"/>
      <c r="G864" s="105" t="n"/>
      <c r="H864" s="2" t="n"/>
      <c r="I864" s="105" t="n"/>
      <c r="K864" s="215" t="n"/>
      <c r="L864" s="215" t="n"/>
      <c r="M864" s="215" t="n"/>
      <c r="N864" s="215" t="n"/>
      <c r="O864" s="215" t="n"/>
      <c r="P864" s="215" t="n"/>
      <c r="Q864" s="215" t="n"/>
      <c r="R864" s="215" t="n"/>
      <c r="S864" s="215" t="n"/>
      <c r="T864" s="215" t="n"/>
      <c r="U864" s="215" t="n"/>
      <c r="V864" s="215" t="n"/>
      <c r="W864" s="215" t="n"/>
      <c r="X864" s="215" t="n"/>
      <c r="Y864" s="215" t="n"/>
      <c r="Z864" s="215" t="n"/>
      <c r="AA864" s="215" t="n"/>
      <c r="AB864" s="215" t="n"/>
      <c r="AC864" s="215" t="n"/>
      <c r="AD864" s="215" t="n"/>
      <c r="AE864" s="215" t="n"/>
      <c r="AF864" s="215" t="n"/>
      <c r="AG864" s="215" t="n"/>
      <c r="AH864" s="215" t="n"/>
      <c r="AI864" s="215" t="n"/>
      <c r="AJ864" s="215" t="n"/>
      <c r="AK864" s="216" t="n"/>
    </row>
    <row r="865" ht="15" customHeight="1">
      <c r="B865" s="134" t="n"/>
      <c r="C865" s="105" t="n"/>
      <c r="D865" s="105" t="n"/>
      <c r="E865" s="105" t="n"/>
      <c r="F865" s="105" t="n"/>
      <c r="G865" s="105" t="n"/>
      <c r="H865" s="2" t="n"/>
      <c r="I865" s="105" t="n"/>
      <c r="K865" s="215" t="n"/>
      <c r="L865" s="215" t="n"/>
      <c r="M865" s="215" t="n"/>
      <c r="N865" s="215" t="n"/>
      <c r="O865" s="215" t="n"/>
      <c r="P865" s="215" t="n"/>
      <c r="Q865" s="215" t="n"/>
      <c r="R865" s="215" t="n"/>
      <c r="S865" s="215" t="n"/>
      <c r="T865" s="215" t="n"/>
      <c r="U865" s="215" t="n"/>
      <c r="V865" s="215" t="n"/>
      <c r="W865" s="215" t="n"/>
      <c r="X865" s="215" t="n"/>
      <c r="Y865" s="215" t="n"/>
      <c r="Z865" s="215" t="n"/>
      <c r="AA865" s="215" t="n"/>
      <c r="AB865" s="215" t="n"/>
      <c r="AC865" s="215" t="n"/>
      <c r="AD865" s="215" t="n"/>
      <c r="AE865" s="215" t="n"/>
      <c r="AF865" s="215" t="n"/>
      <c r="AG865" s="215" t="n"/>
      <c r="AH865" s="215" t="n"/>
      <c r="AI865" s="215" t="n"/>
      <c r="AJ865" s="215" t="n"/>
      <c r="AK865" s="216" t="n"/>
    </row>
    <row r="866" ht="15" customHeight="1">
      <c r="B866" s="134" t="n"/>
      <c r="C866" s="105" t="n"/>
      <c r="D866" s="105" t="n"/>
      <c r="E866" s="105" t="n"/>
      <c r="F866" s="105" t="n"/>
      <c r="G866" s="105" t="n"/>
      <c r="H866" s="2" t="n"/>
      <c r="I866" s="105" t="n"/>
      <c r="K866" s="215" t="n"/>
      <c r="L866" s="215" t="n"/>
      <c r="M866" s="215" t="n"/>
      <c r="N866" s="215" t="n"/>
      <c r="O866" s="215" t="n"/>
      <c r="P866" s="215" t="n"/>
      <c r="Q866" s="215" t="n"/>
      <c r="R866" s="215" t="n"/>
      <c r="S866" s="215" t="n"/>
      <c r="T866" s="215" t="n"/>
      <c r="U866" s="215" t="n"/>
      <c r="V866" s="215" t="n"/>
      <c r="W866" s="215" t="n"/>
      <c r="X866" s="215" t="n"/>
      <c r="Y866" s="215" t="n"/>
      <c r="Z866" s="215" t="n"/>
      <c r="AA866" s="215" t="n"/>
      <c r="AB866" s="215" t="n"/>
      <c r="AC866" s="215" t="n"/>
      <c r="AD866" s="215" t="n"/>
      <c r="AE866" s="215" t="n"/>
      <c r="AF866" s="215" t="n"/>
      <c r="AG866" s="215" t="n"/>
      <c r="AH866" s="215" t="n"/>
      <c r="AI866" s="215" t="n"/>
      <c r="AJ866" s="215" t="n"/>
      <c r="AK866" s="216" t="n"/>
    </row>
    <row r="867" ht="15" customHeight="1">
      <c r="B867" s="134" t="n"/>
      <c r="C867" s="105" t="n"/>
      <c r="D867" s="105" t="n"/>
      <c r="E867" s="105" t="n"/>
      <c r="F867" s="105" t="n"/>
      <c r="G867" s="105" t="n"/>
      <c r="H867" s="2" t="n"/>
      <c r="I867" s="105" t="n"/>
      <c r="K867" s="215" t="n"/>
      <c r="L867" s="215" t="n"/>
      <c r="M867" s="215" t="n"/>
      <c r="N867" s="215" t="n"/>
      <c r="O867" s="215" t="n"/>
      <c r="P867" s="215" t="n"/>
      <c r="Q867" s="215" t="n"/>
      <c r="R867" s="215" t="n"/>
      <c r="S867" s="215" t="n"/>
      <c r="T867" s="215" t="n"/>
      <c r="U867" s="215" t="n"/>
      <c r="V867" s="215" t="n"/>
      <c r="W867" s="215" t="n"/>
      <c r="X867" s="215" t="n"/>
      <c r="Y867" s="215" t="n"/>
      <c r="Z867" s="215" t="n"/>
      <c r="AA867" s="215" t="n"/>
      <c r="AB867" s="215" t="n"/>
      <c r="AC867" s="215" t="n"/>
      <c r="AD867" s="215" t="n"/>
      <c r="AE867" s="215" t="n"/>
      <c r="AF867" s="215" t="n"/>
      <c r="AG867" s="215" t="n"/>
      <c r="AH867" s="215" t="n"/>
      <c r="AI867" s="215" t="n"/>
      <c r="AJ867" s="215" t="n"/>
      <c r="AK867" s="216" t="n"/>
    </row>
    <row r="868" ht="15" customHeight="1">
      <c r="B868" s="134" t="n"/>
      <c r="C868" s="105" t="n"/>
      <c r="D868" s="105" t="n"/>
      <c r="E868" s="105" t="n"/>
      <c r="F868" s="105" t="n"/>
      <c r="G868" s="105" t="n"/>
      <c r="H868" s="2" t="n"/>
      <c r="I868" s="105" t="n"/>
      <c r="K868" s="215" t="n"/>
      <c r="L868" s="215" t="n"/>
      <c r="M868" s="215" t="n"/>
      <c r="N868" s="215" t="n"/>
      <c r="O868" s="215" t="n"/>
      <c r="P868" s="215" t="n"/>
      <c r="Q868" s="215" t="n"/>
      <c r="R868" s="215" t="n"/>
      <c r="S868" s="215" t="n"/>
      <c r="T868" s="215" t="n"/>
      <c r="U868" s="215" t="n"/>
      <c r="V868" s="215" t="n"/>
      <c r="W868" s="215" t="n"/>
      <c r="X868" s="215" t="n"/>
      <c r="Y868" s="215" t="n"/>
      <c r="Z868" s="215" t="n"/>
      <c r="AA868" s="215" t="n"/>
      <c r="AB868" s="215" t="n"/>
      <c r="AC868" s="215" t="n"/>
      <c r="AD868" s="215" t="n"/>
      <c r="AE868" s="215" t="n"/>
      <c r="AF868" s="215" t="n"/>
      <c r="AG868" s="215" t="n"/>
      <c r="AH868" s="215" t="n"/>
      <c r="AI868" s="215" t="n"/>
      <c r="AJ868" s="215" t="n"/>
      <c r="AK868" s="216" t="n"/>
    </row>
    <row r="869" ht="15" customHeight="1">
      <c r="B869" s="134" t="n"/>
      <c r="C869" s="105" t="n"/>
      <c r="D869" s="105" t="n"/>
      <c r="E869" s="105" t="n"/>
      <c r="F869" s="105" t="n"/>
      <c r="G869" s="105" t="n"/>
      <c r="H869" s="2" t="n"/>
      <c r="I869" s="105" t="n"/>
      <c r="K869" s="215" t="n"/>
      <c r="L869" s="215" t="n"/>
      <c r="M869" s="215" t="n"/>
      <c r="N869" s="215" t="n"/>
      <c r="O869" s="215" t="n"/>
      <c r="P869" s="215" t="n"/>
      <c r="Q869" s="215" t="n"/>
      <c r="R869" s="215" t="n"/>
      <c r="S869" s="215" t="n"/>
      <c r="T869" s="215" t="n"/>
      <c r="U869" s="215" t="n"/>
      <c r="V869" s="215" t="n"/>
      <c r="W869" s="215" t="n"/>
      <c r="X869" s="215" t="n"/>
      <c r="Y869" s="215" t="n"/>
      <c r="Z869" s="215" t="n"/>
      <c r="AA869" s="215" t="n"/>
      <c r="AB869" s="215" t="n"/>
      <c r="AC869" s="215" t="n"/>
      <c r="AD869" s="215" t="n"/>
      <c r="AE869" s="215" t="n"/>
      <c r="AF869" s="215" t="n"/>
      <c r="AG869" s="215" t="n"/>
      <c r="AH869" s="215" t="n"/>
      <c r="AI869" s="215" t="n"/>
      <c r="AJ869" s="215" t="n"/>
      <c r="AK869" s="216" t="n"/>
    </row>
    <row r="870" ht="15" customHeight="1">
      <c r="B870" s="134" t="n"/>
      <c r="C870" s="105" t="n"/>
      <c r="D870" s="105" t="n"/>
      <c r="E870" s="105" t="n"/>
      <c r="F870" s="105" t="n"/>
      <c r="G870" s="105" t="n"/>
      <c r="H870" s="2" t="n"/>
      <c r="I870" s="105" t="n"/>
      <c r="K870" s="215" t="n"/>
      <c r="L870" s="215" t="n"/>
      <c r="M870" s="215" t="n"/>
      <c r="N870" s="215" t="n"/>
      <c r="O870" s="215" t="n"/>
      <c r="P870" s="215" t="n"/>
      <c r="Q870" s="215" t="n"/>
      <c r="R870" s="215" t="n"/>
      <c r="S870" s="215" t="n"/>
      <c r="T870" s="215" t="n"/>
      <c r="U870" s="215" t="n"/>
      <c r="V870" s="215" t="n"/>
      <c r="W870" s="215" t="n"/>
      <c r="X870" s="215" t="n"/>
      <c r="Y870" s="215" t="n"/>
      <c r="Z870" s="215" t="n"/>
      <c r="AA870" s="215" t="n"/>
      <c r="AB870" s="215" t="n"/>
      <c r="AC870" s="215" t="n"/>
      <c r="AD870" s="215" t="n"/>
      <c r="AE870" s="215" t="n"/>
      <c r="AF870" s="215" t="n"/>
      <c r="AG870" s="215" t="n"/>
      <c r="AH870" s="215" t="n"/>
      <c r="AI870" s="215" t="n"/>
      <c r="AJ870" s="215" t="n"/>
      <c r="AK870" s="216" t="n"/>
    </row>
    <row r="871" ht="15" customHeight="1">
      <c r="B871" s="134" t="n"/>
      <c r="C871" s="105" t="n"/>
      <c r="D871" s="105" t="n"/>
      <c r="E871" s="105" t="n"/>
      <c r="F871" s="105" t="n"/>
      <c r="G871" s="105" t="n"/>
      <c r="H871" s="2" t="n"/>
      <c r="I871" s="105" t="n"/>
      <c r="K871" s="215" t="n"/>
      <c r="L871" s="215" t="n"/>
      <c r="M871" s="215" t="n"/>
      <c r="N871" s="215" t="n"/>
      <c r="O871" s="215" t="n"/>
      <c r="P871" s="215" t="n"/>
      <c r="Q871" s="215" t="n"/>
      <c r="R871" s="215" t="n"/>
      <c r="S871" s="215" t="n"/>
      <c r="T871" s="215" t="n"/>
      <c r="U871" s="215" t="n"/>
      <c r="V871" s="215" t="n"/>
      <c r="W871" s="215" t="n"/>
      <c r="X871" s="215" t="n"/>
      <c r="Y871" s="215" t="n"/>
      <c r="Z871" s="215" t="n"/>
      <c r="AA871" s="215" t="n"/>
      <c r="AB871" s="215" t="n"/>
      <c r="AC871" s="215" t="n"/>
      <c r="AD871" s="215" t="n"/>
      <c r="AE871" s="215" t="n"/>
      <c r="AF871" s="215" t="n"/>
      <c r="AG871" s="215" t="n"/>
      <c r="AH871" s="215" t="n"/>
      <c r="AI871" s="215" t="n"/>
      <c r="AJ871" s="215" t="n"/>
      <c r="AK871" s="216" t="n"/>
    </row>
    <row r="872" ht="15" customHeight="1">
      <c r="B872" s="134" t="n"/>
      <c r="C872" s="105" t="n"/>
      <c r="D872" s="105" t="n"/>
      <c r="E872" s="105" t="n"/>
      <c r="F872" s="105" t="n"/>
      <c r="G872" s="105" t="n"/>
      <c r="H872" s="2" t="n"/>
      <c r="I872" s="105" t="n"/>
      <c r="K872" s="215" t="n"/>
      <c r="L872" s="215" t="n"/>
      <c r="M872" s="215" t="n"/>
      <c r="N872" s="215" t="n"/>
      <c r="O872" s="215" t="n"/>
      <c r="P872" s="215" t="n"/>
      <c r="Q872" s="215" t="n"/>
      <c r="R872" s="215" t="n"/>
      <c r="S872" s="215" t="n"/>
      <c r="T872" s="215" t="n"/>
      <c r="U872" s="215" t="n"/>
      <c r="V872" s="215" t="n"/>
      <c r="W872" s="215" t="n"/>
      <c r="X872" s="215" t="n"/>
      <c r="Y872" s="215" t="n"/>
      <c r="Z872" s="215" t="n"/>
      <c r="AA872" s="215" t="n"/>
      <c r="AB872" s="215" t="n"/>
      <c r="AC872" s="215" t="n"/>
      <c r="AD872" s="215" t="n"/>
      <c r="AE872" s="215" t="n"/>
      <c r="AF872" s="215" t="n"/>
      <c r="AG872" s="215" t="n"/>
      <c r="AH872" s="215" t="n"/>
      <c r="AI872" s="215" t="n"/>
      <c r="AJ872" s="215" t="n"/>
      <c r="AK872" s="216" t="n"/>
    </row>
    <row r="873" ht="15" customHeight="1">
      <c r="B873" s="134" t="n"/>
      <c r="C873" s="105" t="n"/>
      <c r="D873" s="105" t="n"/>
      <c r="E873" s="105" t="n"/>
      <c r="F873" s="105" t="n"/>
      <c r="G873" s="105" t="n"/>
      <c r="H873" s="2" t="n"/>
      <c r="I873" s="105" t="n"/>
      <c r="K873" s="215" t="n"/>
      <c r="L873" s="215" t="n"/>
      <c r="M873" s="215" t="n"/>
      <c r="N873" s="215" t="n"/>
      <c r="O873" s="215" t="n"/>
      <c r="P873" s="215" t="n"/>
      <c r="Q873" s="215" t="n"/>
      <c r="R873" s="215" t="n"/>
      <c r="S873" s="215" t="n"/>
      <c r="T873" s="215" t="n"/>
      <c r="U873" s="215" t="n"/>
      <c r="V873" s="215" t="n"/>
      <c r="W873" s="215" t="n"/>
      <c r="X873" s="215" t="n"/>
      <c r="Y873" s="215" t="n"/>
      <c r="Z873" s="215" t="n"/>
      <c r="AA873" s="215" t="n"/>
      <c r="AB873" s="215" t="n"/>
      <c r="AC873" s="215" t="n"/>
      <c r="AD873" s="215" t="n"/>
      <c r="AE873" s="215" t="n"/>
      <c r="AF873" s="215" t="n"/>
      <c r="AG873" s="215" t="n"/>
      <c r="AH873" s="215" t="n"/>
      <c r="AI873" s="215" t="n"/>
      <c r="AJ873" s="215" t="n"/>
      <c r="AK873" s="216" t="n"/>
    </row>
    <row r="874" ht="15" customHeight="1">
      <c r="B874" s="134" t="n"/>
      <c r="C874" s="105" t="n"/>
      <c r="D874" s="105" t="n"/>
      <c r="E874" s="105" t="n"/>
      <c r="F874" s="105" t="n"/>
      <c r="G874" s="105" t="n"/>
      <c r="H874" s="2" t="n"/>
      <c r="I874" s="105" t="n"/>
      <c r="K874" s="215" t="n"/>
      <c r="L874" s="215" t="n"/>
      <c r="M874" s="215" t="n"/>
      <c r="N874" s="215" t="n"/>
      <c r="O874" s="215" t="n"/>
      <c r="P874" s="215" t="n"/>
      <c r="Q874" s="215" t="n"/>
      <c r="R874" s="215" t="n"/>
      <c r="S874" s="215" t="n"/>
      <c r="T874" s="215" t="n"/>
      <c r="U874" s="215" t="n"/>
      <c r="V874" s="215" t="n"/>
      <c r="W874" s="215" t="n"/>
      <c r="X874" s="215" t="n"/>
      <c r="Y874" s="215" t="n"/>
      <c r="Z874" s="215" t="n"/>
      <c r="AA874" s="215" t="n"/>
      <c r="AB874" s="215" t="n"/>
      <c r="AC874" s="215" t="n"/>
      <c r="AD874" s="215" t="n"/>
      <c r="AE874" s="215" t="n"/>
      <c r="AF874" s="215" t="n"/>
      <c r="AG874" s="215" t="n"/>
      <c r="AH874" s="215" t="n"/>
      <c r="AI874" s="215" t="n"/>
      <c r="AJ874" s="215" t="n"/>
      <c r="AK874" s="216" t="n"/>
    </row>
    <row r="875" ht="15" customHeight="1">
      <c r="B875" s="134" t="n"/>
      <c r="C875" s="105" t="n"/>
      <c r="D875" s="105" t="n"/>
      <c r="E875" s="105" t="n"/>
      <c r="F875" s="105" t="n"/>
      <c r="G875" s="105" t="n"/>
      <c r="H875" s="2" t="n"/>
      <c r="I875" s="105" t="n"/>
      <c r="K875" s="215" t="n"/>
      <c r="L875" s="215" t="n"/>
      <c r="M875" s="215" t="n"/>
      <c r="N875" s="215" t="n"/>
      <c r="O875" s="215" t="n"/>
      <c r="P875" s="215" t="n"/>
      <c r="Q875" s="215" t="n"/>
      <c r="R875" s="215" t="n"/>
      <c r="S875" s="215" t="n"/>
      <c r="T875" s="215" t="n"/>
      <c r="U875" s="215" t="n"/>
      <c r="V875" s="215" t="n"/>
      <c r="W875" s="215" t="n"/>
      <c r="X875" s="215" t="n"/>
      <c r="Y875" s="215" t="n"/>
      <c r="Z875" s="215" t="n"/>
      <c r="AA875" s="215" t="n"/>
      <c r="AB875" s="215" t="n"/>
      <c r="AC875" s="215" t="n"/>
      <c r="AD875" s="215" t="n"/>
      <c r="AE875" s="215" t="n"/>
      <c r="AF875" s="215" t="n"/>
      <c r="AG875" s="215" t="n"/>
      <c r="AH875" s="215" t="n"/>
      <c r="AI875" s="215" t="n"/>
      <c r="AJ875" s="215" t="n"/>
      <c r="AK875" s="216" t="n"/>
    </row>
    <row r="876" ht="15" customHeight="1">
      <c r="B876" s="134" t="n"/>
      <c r="C876" s="105" t="n"/>
      <c r="D876" s="105" t="n"/>
      <c r="E876" s="105" t="n"/>
      <c r="F876" s="105" t="n"/>
      <c r="G876" s="105" t="n"/>
      <c r="H876" s="2" t="n"/>
      <c r="I876" s="105" t="n"/>
      <c r="K876" s="215" t="n"/>
      <c r="L876" s="215" t="n"/>
      <c r="M876" s="215" t="n"/>
      <c r="N876" s="215" t="n"/>
      <c r="O876" s="215" t="n"/>
      <c r="P876" s="215" t="n"/>
      <c r="Q876" s="215" t="n"/>
      <c r="R876" s="215" t="n"/>
      <c r="S876" s="215" t="n"/>
      <c r="T876" s="215" t="n"/>
      <c r="U876" s="215" t="n"/>
      <c r="V876" s="215" t="n"/>
      <c r="W876" s="215" t="n"/>
      <c r="X876" s="215" t="n"/>
      <c r="Y876" s="215" t="n"/>
      <c r="Z876" s="215" t="n"/>
      <c r="AA876" s="215" t="n"/>
      <c r="AB876" s="215" t="n"/>
      <c r="AC876" s="215" t="n"/>
      <c r="AD876" s="215" t="n"/>
      <c r="AE876" s="215" t="n"/>
      <c r="AF876" s="215" t="n"/>
      <c r="AG876" s="215" t="n"/>
      <c r="AH876" s="215" t="n"/>
      <c r="AI876" s="215" t="n"/>
      <c r="AJ876" s="215" t="n"/>
      <c r="AK876" s="216" t="n"/>
    </row>
    <row r="877" ht="15" customHeight="1">
      <c r="B877" s="134" t="n"/>
      <c r="C877" s="105" t="n"/>
      <c r="D877" s="105" t="n"/>
      <c r="E877" s="105" t="n"/>
      <c r="F877" s="105" t="n"/>
      <c r="G877" s="105" t="n"/>
      <c r="H877" s="2" t="n"/>
      <c r="I877" s="105" t="n"/>
      <c r="K877" s="215" t="n"/>
      <c r="L877" s="215" t="n"/>
      <c r="M877" s="215" t="n"/>
      <c r="N877" s="215" t="n"/>
      <c r="O877" s="215" t="n"/>
      <c r="P877" s="215" t="n"/>
      <c r="Q877" s="215" t="n"/>
      <c r="R877" s="215" t="n"/>
      <c r="S877" s="215" t="n"/>
      <c r="T877" s="215" t="n"/>
      <c r="U877" s="215" t="n"/>
      <c r="V877" s="215" t="n"/>
      <c r="W877" s="215" t="n"/>
      <c r="X877" s="215" t="n"/>
      <c r="Y877" s="215" t="n"/>
      <c r="Z877" s="215" t="n"/>
      <c r="AA877" s="215" t="n"/>
      <c r="AB877" s="215" t="n"/>
      <c r="AC877" s="215" t="n"/>
      <c r="AD877" s="215" t="n"/>
      <c r="AE877" s="215" t="n"/>
      <c r="AF877" s="215" t="n"/>
      <c r="AG877" s="215" t="n"/>
      <c r="AH877" s="215" t="n"/>
      <c r="AI877" s="215" t="n"/>
      <c r="AJ877" s="215" t="n"/>
      <c r="AK877" s="216" t="n"/>
    </row>
    <row r="878" ht="15" customHeight="1">
      <c r="B878" s="134" t="n"/>
      <c r="C878" s="105" t="n"/>
      <c r="D878" s="105" t="n"/>
      <c r="E878" s="105" t="n"/>
      <c r="F878" s="105" t="n"/>
      <c r="G878" s="105" t="n"/>
      <c r="H878" s="2" t="n"/>
      <c r="I878" s="105" t="n"/>
      <c r="K878" s="215" t="n"/>
      <c r="L878" s="215" t="n"/>
      <c r="M878" s="215" t="n"/>
      <c r="N878" s="215" t="n"/>
      <c r="O878" s="215" t="n"/>
      <c r="P878" s="215" t="n"/>
      <c r="Q878" s="215" t="n"/>
      <c r="R878" s="215" t="n"/>
      <c r="S878" s="215" t="n"/>
      <c r="T878" s="215" t="n"/>
      <c r="U878" s="215" t="n"/>
      <c r="V878" s="215" t="n"/>
      <c r="W878" s="215" t="n"/>
      <c r="X878" s="215" t="n"/>
      <c r="Y878" s="215" t="n"/>
      <c r="Z878" s="215" t="n"/>
      <c r="AA878" s="215" t="n"/>
      <c r="AB878" s="215" t="n"/>
      <c r="AC878" s="215" t="n"/>
      <c r="AD878" s="215" t="n"/>
      <c r="AE878" s="215" t="n"/>
      <c r="AF878" s="215" t="n"/>
      <c r="AG878" s="215" t="n"/>
      <c r="AH878" s="215" t="n"/>
      <c r="AI878" s="215" t="n"/>
      <c r="AJ878" s="215" t="n"/>
      <c r="AK878" s="216" t="n"/>
    </row>
    <row r="879" ht="15" customHeight="1">
      <c r="B879" s="134" t="n"/>
      <c r="C879" s="105" t="n"/>
      <c r="D879" s="105" t="n"/>
      <c r="E879" s="105" t="n"/>
      <c r="F879" s="105" t="n"/>
      <c r="G879" s="105" t="n"/>
      <c r="H879" s="2" t="n"/>
      <c r="I879" s="105" t="n"/>
      <c r="K879" s="215" t="n"/>
      <c r="L879" s="215" t="n"/>
      <c r="M879" s="215" t="n"/>
      <c r="N879" s="215" t="n"/>
      <c r="O879" s="215" t="n"/>
      <c r="P879" s="215" t="n"/>
      <c r="Q879" s="215" t="n"/>
      <c r="R879" s="215" t="n"/>
      <c r="S879" s="215" t="n"/>
      <c r="T879" s="215" t="n"/>
      <c r="U879" s="215" t="n"/>
      <c r="V879" s="215" t="n"/>
      <c r="W879" s="215" t="n"/>
      <c r="X879" s="215" t="n"/>
      <c r="Y879" s="215" t="n"/>
      <c r="Z879" s="215" t="n"/>
      <c r="AA879" s="215" t="n"/>
      <c r="AB879" s="215" t="n"/>
      <c r="AC879" s="215" t="n"/>
      <c r="AD879" s="215" t="n"/>
      <c r="AE879" s="215" t="n"/>
      <c r="AF879" s="215" t="n"/>
      <c r="AG879" s="215" t="n"/>
      <c r="AH879" s="215" t="n"/>
      <c r="AI879" s="215" t="n"/>
      <c r="AJ879" s="215" t="n"/>
      <c r="AK879" s="216" t="n"/>
    </row>
    <row r="880" ht="15" customHeight="1">
      <c r="B880" s="134" t="n"/>
      <c r="C880" s="105" t="n"/>
      <c r="D880" s="105" t="n"/>
      <c r="E880" s="105" t="n"/>
      <c r="F880" s="105" t="n"/>
      <c r="G880" s="105" t="n"/>
      <c r="H880" s="2" t="n"/>
      <c r="I880" s="105" t="n"/>
      <c r="K880" s="215" t="n"/>
      <c r="L880" s="215" t="n"/>
      <c r="M880" s="215" t="n"/>
      <c r="N880" s="215" t="n"/>
      <c r="O880" s="215" t="n"/>
      <c r="P880" s="215" t="n"/>
      <c r="Q880" s="215" t="n"/>
      <c r="R880" s="215" t="n"/>
      <c r="S880" s="215" t="n"/>
      <c r="T880" s="215" t="n"/>
      <c r="U880" s="215" t="n"/>
      <c r="V880" s="215" t="n"/>
      <c r="W880" s="215" t="n"/>
      <c r="X880" s="215" t="n"/>
      <c r="Y880" s="215" t="n"/>
      <c r="Z880" s="215" t="n"/>
      <c r="AA880" s="215" t="n"/>
      <c r="AB880" s="215" t="n"/>
      <c r="AC880" s="215" t="n"/>
      <c r="AD880" s="215" t="n"/>
      <c r="AE880" s="215" t="n"/>
      <c r="AF880" s="215" t="n"/>
      <c r="AG880" s="215" t="n"/>
      <c r="AH880" s="215" t="n"/>
      <c r="AI880" s="215" t="n"/>
      <c r="AJ880" s="215" t="n"/>
      <c r="AK880" s="216" t="n"/>
    </row>
    <row r="881" ht="15" customHeight="1">
      <c r="B881" s="134" t="n"/>
      <c r="C881" s="105" t="n"/>
      <c r="D881" s="105" t="n"/>
      <c r="E881" s="105" t="n"/>
      <c r="F881" s="105" t="n"/>
      <c r="G881" s="105" t="n"/>
      <c r="H881" s="2" t="n"/>
      <c r="I881" s="105" t="n"/>
      <c r="K881" s="215" t="n"/>
      <c r="L881" s="215" t="n"/>
      <c r="M881" s="215" t="n"/>
      <c r="N881" s="215" t="n"/>
      <c r="O881" s="215" t="n"/>
      <c r="P881" s="215" t="n"/>
      <c r="Q881" s="215" t="n"/>
      <c r="R881" s="215" t="n"/>
      <c r="S881" s="215" t="n"/>
      <c r="T881" s="215" t="n"/>
      <c r="U881" s="215" t="n"/>
      <c r="V881" s="215" t="n"/>
      <c r="W881" s="215" t="n"/>
      <c r="X881" s="215" t="n"/>
      <c r="Y881" s="215" t="n"/>
      <c r="Z881" s="215" t="n"/>
      <c r="AA881" s="215" t="n"/>
      <c r="AB881" s="215" t="n"/>
      <c r="AC881" s="215" t="n"/>
      <c r="AD881" s="215" t="n"/>
      <c r="AE881" s="215" t="n"/>
      <c r="AF881" s="215" t="n"/>
      <c r="AG881" s="215" t="n"/>
      <c r="AH881" s="215" t="n"/>
      <c r="AI881" s="215" t="n"/>
      <c r="AJ881" s="215" t="n"/>
      <c r="AK881" s="216" t="n"/>
    </row>
    <row r="882" ht="15" customHeight="1">
      <c r="B882" s="134" t="n"/>
      <c r="C882" s="105" t="n"/>
      <c r="D882" s="105" t="n"/>
      <c r="E882" s="105" t="n"/>
      <c r="F882" s="105" t="n"/>
      <c r="G882" s="105" t="n"/>
      <c r="H882" s="2" t="n"/>
      <c r="I882" s="105" t="n"/>
      <c r="K882" s="215" t="n"/>
      <c r="L882" s="215" t="n"/>
      <c r="M882" s="215" t="n"/>
      <c r="N882" s="215" t="n"/>
      <c r="O882" s="215" t="n"/>
      <c r="P882" s="215" t="n"/>
      <c r="Q882" s="215" t="n"/>
      <c r="R882" s="215" t="n"/>
      <c r="S882" s="215" t="n"/>
      <c r="T882" s="215" t="n"/>
      <c r="U882" s="215" t="n"/>
      <c r="V882" s="215" t="n"/>
      <c r="W882" s="215" t="n"/>
      <c r="X882" s="215" t="n"/>
      <c r="Y882" s="215" t="n"/>
      <c r="Z882" s="215" t="n"/>
      <c r="AA882" s="215" t="n"/>
      <c r="AB882" s="215" t="n"/>
      <c r="AC882" s="215" t="n"/>
      <c r="AD882" s="215" t="n"/>
      <c r="AE882" s="215" t="n"/>
      <c r="AF882" s="215" t="n"/>
      <c r="AG882" s="215" t="n"/>
      <c r="AH882" s="215" t="n"/>
      <c r="AI882" s="215" t="n"/>
      <c r="AJ882" s="215" t="n"/>
      <c r="AK882" s="216" t="n"/>
    </row>
    <row r="883" ht="15" customHeight="1">
      <c r="B883" s="134" t="n"/>
      <c r="C883" s="105" t="n"/>
      <c r="D883" s="105" t="n"/>
      <c r="E883" s="105" t="n"/>
      <c r="F883" s="105" t="n"/>
      <c r="G883" s="105" t="n"/>
      <c r="H883" s="2" t="n"/>
      <c r="I883" s="105" t="n"/>
      <c r="K883" s="215" t="n"/>
      <c r="L883" s="215" t="n"/>
      <c r="M883" s="215" t="n"/>
      <c r="N883" s="215" t="n"/>
      <c r="O883" s="215" t="n"/>
      <c r="P883" s="215" t="n"/>
      <c r="Q883" s="215" t="n"/>
      <c r="R883" s="215" t="n"/>
      <c r="S883" s="215" t="n"/>
      <c r="T883" s="215" t="n"/>
      <c r="U883" s="215" t="n"/>
      <c r="V883" s="215" t="n"/>
      <c r="W883" s="215" t="n"/>
      <c r="X883" s="215" t="n"/>
      <c r="Y883" s="215" t="n"/>
      <c r="Z883" s="215" t="n"/>
      <c r="AA883" s="215" t="n"/>
      <c r="AB883" s="215" t="n"/>
      <c r="AC883" s="215" t="n"/>
      <c r="AD883" s="215" t="n"/>
      <c r="AE883" s="215" t="n"/>
      <c r="AF883" s="215" t="n"/>
      <c r="AG883" s="215" t="n"/>
      <c r="AH883" s="215" t="n"/>
      <c r="AI883" s="215" t="n"/>
      <c r="AJ883" s="215" t="n"/>
      <c r="AK883" s="216" t="n"/>
    </row>
    <row r="884" ht="15" customHeight="1">
      <c r="B884" s="134" t="n"/>
      <c r="C884" s="105" t="n"/>
      <c r="D884" s="105" t="n"/>
      <c r="E884" s="105" t="n"/>
      <c r="F884" s="105" t="n"/>
      <c r="G884" s="105" t="n"/>
      <c r="H884" s="2" t="n"/>
      <c r="I884" s="105" t="n"/>
      <c r="K884" s="215" t="n"/>
      <c r="L884" s="215" t="n"/>
      <c r="M884" s="215" t="n"/>
      <c r="N884" s="215" t="n"/>
      <c r="O884" s="215" t="n"/>
      <c r="P884" s="215" t="n"/>
      <c r="Q884" s="215" t="n"/>
      <c r="R884" s="215" t="n"/>
      <c r="S884" s="215" t="n"/>
      <c r="T884" s="215" t="n"/>
      <c r="U884" s="215" t="n"/>
      <c r="V884" s="215" t="n"/>
      <c r="W884" s="215" t="n"/>
      <c r="X884" s="215" t="n"/>
      <c r="Y884" s="215" t="n"/>
      <c r="Z884" s="215" t="n"/>
      <c r="AA884" s="215" t="n"/>
      <c r="AB884" s="215" t="n"/>
      <c r="AC884" s="215" t="n"/>
      <c r="AD884" s="215" t="n"/>
      <c r="AE884" s="215" t="n"/>
      <c r="AF884" s="215" t="n"/>
      <c r="AG884" s="215" t="n"/>
      <c r="AH884" s="215" t="n"/>
      <c r="AI884" s="215" t="n"/>
      <c r="AJ884" s="215" t="n"/>
      <c r="AK884" s="216" t="n"/>
    </row>
    <row r="885" ht="15" customHeight="1">
      <c r="B885" s="134" t="n"/>
      <c r="C885" s="105" t="n"/>
      <c r="D885" s="105" t="n"/>
      <c r="E885" s="105" t="n"/>
      <c r="F885" s="105" t="n"/>
      <c r="G885" s="105" t="n"/>
      <c r="H885" s="2" t="n"/>
      <c r="I885" s="105" t="n"/>
      <c r="K885" s="215" t="n"/>
      <c r="L885" s="215" t="n"/>
      <c r="M885" s="215" t="n"/>
      <c r="N885" s="215" t="n"/>
      <c r="O885" s="215" t="n"/>
      <c r="P885" s="215" t="n"/>
      <c r="Q885" s="215" t="n"/>
      <c r="R885" s="215" t="n"/>
      <c r="S885" s="215" t="n"/>
      <c r="T885" s="215" t="n"/>
      <c r="U885" s="215" t="n"/>
      <c r="V885" s="215" t="n"/>
      <c r="W885" s="215" t="n"/>
      <c r="X885" s="215" t="n"/>
      <c r="Y885" s="215" t="n"/>
      <c r="Z885" s="215" t="n"/>
      <c r="AA885" s="215" t="n"/>
      <c r="AB885" s="215" t="n"/>
      <c r="AC885" s="215" t="n"/>
      <c r="AD885" s="215" t="n"/>
      <c r="AE885" s="215" t="n"/>
      <c r="AF885" s="215" t="n"/>
      <c r="AG885" s="215" t="n"/>
      <c r="AH885" s="215" t="n"/>
      <c r="AI885" s="215" t="n"/>
      <c r="AJ885" s="215" t="n"/>
      <c r="AK885" s="216" t="n"/>
    </row>
    <row r="886" ht="15" customHeight="1">
      <c r="B886" s="134" t="n"/>
      <c r="C886" s="105" t="n"/>
      <c r="D886" s="105" t="n"/>
      <c r="E886" s="105" t="n"/>
      <c r="F886" s="105" t="n"/>
      <c r="G886" s="105" t="n"/>
      <c r="H886" s="2" t="n"/>
      <c r="I886" s="105" t="n"/>
      <c r="K886" s="215" t="n"/>
      <c r="L886" s="215" t="n"/>
      <c r="M886" s="215" t="n"/>
      <c r="N886" s="215" t="n"/>
      <c r="O886" s="215" t="n"/>
      <c r="P886" s="215" t="n"/>
      <c r="Q886" s="215" t="n"/>
      <c r="R886" s="215" t="n"/>
      <c r="S886" s="215" t="n"/>
      <c r="T886" s="215" t="n"/>
      <c r="U886" s="215" t="n"/>
      <c r="V886" s="215" t="n"/>
      <c r="W886" s="215" t="n"/>
      <c r="X886" s="215" t="n"/>
      <c r="Y886" s="215" t="n"/>
      <c r="Z886" s="215" t="n"/>
      <c r="AA886" s="215" t="n"/>
      <c r="AB886" s="215" t="n"/>
      <c r="AC886" s="215" t="n"/>
      <c r="AD886" s="215" t="n"/>
      <c r="AE886" s="215" t="n"/>
      <c r="AF886" s="215" t="n"/>
      <c r="AG886" s="215" t="n"/>
      <c r="AH886" s="215" t="n"/>
      <c r="AI886" s="215" t="n"/>
      <c r="AJ886" s="215" t="n"/>
      <c r="AK886" s="216" t="n"/>
    </row>
    <row r="887" ht="15" customHeight="1">
      <c r="B887" s="134" t="n"/>
      <c r="C887" s="105" t="n"/>
      <c r="D887" s="105" t="n"/>
      <c r="E887" s="105" t="n"/>
      <c r="F887" s="105" t="n"/>
      <c r="G887" s="105" t="n"/>
      <c r="H887" s="2" t="n"/>
      <c r="I887" s="105" t="n"/>
      <c r="K887" s="215" t="n"/>
      <c r="L887" s="215" t="n"/>
      <c r="M887" s="215" t="n"/>
      <c r="N887" s="215" t="n"/>
      <c r="O887" s="215" t="n"/>
      <c r="P887" s="215" t="n"/>
      <c r="Q887" s="215" t="n"/>
      <c r="R887" s="215" t="n"/>
      <c r="S887" s="215" t="n"/>
      <c r="T887" s="215" t="n"/>
      <c r="U887" s="215" t="n"/>
      <c r="V887" s="215" t="n"/>
      <c r="W887" s="215" t="n"/>
      <c r="X887" s="215" t="n"/>
      <c r="Y887" s="215" t="n"/>
      <c r="Z887" s="215" t="n"/>
      <c r="AA887" s="215" t="n"/>
      <c r="AB887" s="215" t="n"/>
      <c r="AC887" s="215" t="n"/>
      <c r="AD887" s="215" t="n"/>
      <c r="AE887" s="215" t="n"/>
      <c r="AF887" s="215" t="n"/>
      <c r="AG887" s="215" t="n"/>
      <c r="AH887" s="215" t="n"/>
      <c r="AI887" s="215" t="n"/>
      <c r="AJ887" s="215" t="n"/>
      <c r="AK887" s="216" t="n"/>
    </row>
    <row r="888" ht="15" customHeight="1">
      <c r="B888" s="134" t="n"/>
      <c r="C888" s="105" t="n"/>
      <c r="D888" s="105" t="n"/>
      <c r="E888" s="105" t="n"/>
      <c r="F888" s="105" t="n"/>
      <c r="G888" s="105" t="n"/>
      <c r="H888" s="2" t="n"/>
      <c r="I888" s="105" t="n"/>
      <c r="K888" s="215" t="n"/>
      <c r="L888" s="215" t="n"/>
      <c r="M888" s="215" t="n"/>
      <c r="N888" s="215" t="n"/>
      <c r="O888" s="215" t="n"/>
      <c r="P888" s="215" t="n"/>
      <c r="Q888" s="215" t="n"/>
      <c r="R888" s="215" t="n"/>
      <c r="S888" s="215" t="n"/>
      <c r="T888" s="215" t="n"/>
      <c r="U888" s="215" t="n"/>
      <c r="V888" s="215" t="n"/>
      <c r="W888" s="215" t="n"/>
      <c r="X888" s="215" t="n"/>
      <c r="Y888" s="215" t="n"/>
      <c r="Z888" s="215" t="n"/>
      <c r="AA888" s="215" t="n"/>
      <c r="AB888" s="215" t="n"/>
      <c r="AC888" s="215" t="n"/>
      <c r="AD888" s="215" t="n"/>
      <c r="AE888" s="215" t="n"/>
      <c r="AF888" s="215" t="n"/>
      <c r="AG888" s="215" t="n"/>
      <c r="AH888" s="215" t="n"/>
      <c r="AI888" s="215" t="n"/>
      <c r="AJ888" s="215" t="n"/>
      <c r="AK888" s="216" t="n"/>
    </row>
    <row r="889" ht="15" customHeight="1">
      <c r="B889" s="134" t="n"/>
      <c r="C889" s="105" t="n"/>
      <c r="D889" s="105" t="n"/>
      <c r="E889" s="105" t="n"/>
      <c r="F889" s="105" t="n"/>
      <c r="G889" s="105" t="n"/>
      <c r="H889" s="2" t="n"/>
      <c r="I889" s="105" t="n"/>
      <c r="K889" s="215" t="n"/>
      <c r="L889" s="215" t="n"/>
      <c r="M889" s="215" t="n"/>
      <c r="N889" s="215" t="n"/>
      <c r="O889" s="215" t="n"/>
      <c r="P889" s="215" t="n"/>
      <c r="Q889" s="215" t="n"/>
      <c r="R889" s="215" t="n"/>
      <c r="S889" s="215" t="n"/>
      <c r="T889" s="215" t="n"/>
      <c r="U889" s="215" t="n"/>
      <c r="V889" s="215" t="n"/>
      <c r="W889" s="215" t="n"/>
      <c r="X889" s="215" t="n"/>
      <c r="Y889" s="215" t="n"/>
      <c r="Z889" s="215" t="n"/>
      <c r="AA889" s="215" t="n"/>
      <c r="AB889" s="215" t="n"/>
      <c r="AC889" s="215" t="n"/>
      <c r="AD889" s="215" t="n"/>
      <c r="AE889" s="215" t="n"/>
      <c r="AF889" s="215" t="n"/>
      <c r="AG889" s="215" t="n"/>
      <c r="AH889" s="215" t="n"/>
      <c r="AI889" s="215" t="n"/>
      <c r="AJ889" s="215" t="n"/>
      <c r="AK889" s="216" t="n"/>
    </row>
    <row r="890" ht="15" customHeight="1">
      <c r="B890" s="134" t="n"/>
      <c r="C890" s="105" t="n"/>
      <c r="D890" s="105" t="n"/>
      <c r="E890" s="105" t="n"/>
      <c r="F890" s="105" t="n"/>
      <c r="G890" s="105" t="n"/>
      <c r="H890" s="2" t="n"/>
      <c r="I890" s="105" t="n"/>
      <c r="K890" s="215" t="n"/>
      <c r="L890" s="215" t="n"/>
      <c r="M890" s="215" t="n"/>
      <c r="N890" s="215" t="n"/>
      <c r="O890" s="215" t="n"/>
      <c r="P890" s="215" t="n"/>
      <c r="Q890" s="215" t="n"/>
      <c r="R890" s="215" t="n"/>
      <c r="S890" s="215" t="n"/>
      <c r="T890" s="215" t="n"/>
      <c r="U890" s="215" t="n"/>
      <c r="V890" s="215" t="n"/>
      <c r="W890" s="215" t="n"/>
      <c r="X890" s="215" t="n"/>
      <c r="Y890" s="215" t="n"/>
      <c r="Z890" s="215" t="n"/>
      <c r="AA890" s="215" t="n"/>
      <c r="AB890" s="215" t="n"/>
      <c r="AC890" s="215" t="n"/>
      <c r="AD890" s="215" t="n"/>
      <c r="AE890" s="215" t="n"/>
      <c r="AF890" s="215" t="n"/>
      <c r="AG890" s="215" t="n"/>
      <c r="AH890" s="215" t="n"/>
      <c r="AI890" s="215" t="n"/>
      <c r="AJ890" s="215" t="n"/>
      <c r="AK890" s="216" t="n"/>
    </row>
    <row r="891" ht="15" customHeight="1">
      <c r="B891" s="134" t="n"/>
      <c r="C891" s="105" t="n"/>
      <c r="D891" s="105" t="n"/>
      <c r="E891" s="105" t="n"/>
      <c r="F891" s="105" t="n"/>
      <c r="G891" s="105" t="n"/>
      <c r="H891" s="2" t="n"/>
      <c r="I891" s="105" t="n"/>
      <c r="K891" s="215" t="n"/>
      <c r="L891" s="215" t="n"/>
      <c r="M891" s="215" t="n"/>
      <c r="N891" s="215" t="n"/>
      <c r="O891" s="215" t="n"/>
      <c r="P891" s="215" t="n"/>
      <c r="Q891" s="215" t="n"/>
      <c r="R891" s="215" t="n"/>
      <c r="S891" s="215" t="n"/>
      <c r="T891" s="215" t="n"/>
      <c r="U891" s="215" t="n"/>
      <c r="V891" s="215" t="n"/>
      <c r="W891" s="215" t="n"/>
      <c r="X891" s="215" t="n"/>
      <c r="Y891" s="215" t="n"/>
      <c r="Z891" s="215" t="n"/>
      <c r="AA891" s="215" t="n"/>
      <c r="AB891" s="215" t="n"/>
      <c r="AC891" s="215" t="n"/>
      <c r="AD891" s="215" t="n"/>
      <c r="AE891" s="215" t="n"/>
      <c r="AF891" s="215" t="n"/>
      <c r="AG891" s="215" t="n"/>
      <c r="AH891" s="215" t="n"/>
      <c r="AI891" s="215" t="n"/>
      <c r="AJ891" s="215" t="n"/>
      <c r="AK891" s="216" t="n"/>
    </row>
    <row r="892" ht="15" customHeight="1">
      <c r="B892" s="134" t="n"/>
      <c r="C892" s="105" t="n"/>
      <c r="D892" s="105" t="n"/>
      <c r="E892" s="105" t="n"/>
      <c r="F892" s="105" t="n"/>
      <c r="G892" s="105" t="n"/>
      <c r="H892" s="2" t="n"/>
      <c r="I892" s="105" t="n"/>
      <c r="K892" s="215" t="n"/>
      <c r="L892" s="215" t="n"/>
      <c r="M892" s="215" t="n"/>
      <c r="N892" s="215" t="n"/>
      <c r="O892" s="215" t="n"/>
      <c r="P892" s="215" t="n"/>
      <c r="Q892" s="215" t="n"/>
      <c r="R892" s="215" t="n"/>
      <c r="S892" s="215" t="n"/>
      <c r="T892" s="215" t="n"/>
      <c r="U892" s="215" t="n"/>
      <c r="V892" s="215" t="n"/>
      <c r="W892" s="215" t="n"/>
      <c r="X892" s="215" t="n"/>
      <c r="Y892" s="215" t="n"/>
      <c r="Z892" s="215" t="n"/>
      <c r="AA892" s="215" t="n"/>
      <c r="AB892" s="215" t="n"/>
      <c r="AC892" s="215" t="n"/>
      <c r="AD892" s="215" t="n"/>
      <c r="AE892" s="215" t="n"/>
      <c r="AF892" s="215" t="n"/>
      <c r="AG892" s="215" t="n"/>
      <c r="AH892" s="215" t="n"/>
      <c r="AI892" s="215" t="n"/>
      <c r="AJ892" s="215" t="n"/>
      <c r="AK892" s="216" t="n"/>
    </row>
    <row r="893" ht="15" customHeight="1">
      <c r="B893" s="134" t="n"/>
      <c r="C893" s="105" t="n"/>
      <c r="D893" s="105" t="n"/>
      <c r="E893" s="105" t="n"/>
      <c r="F893" s="105" t="n"/>
      <c r="G893" s="105" t="n"/>
      <c r="H893" s="2" t="n"/>
      <c r="I893" s="105" t="n"/>
      <c r="K893" s="215" t="n"/>
      <c r="L893" s="215" t="n"/>
      <c r="M893" s="215" t="n"/>
      <c r="N893" s="215" t="n"/>
      <c r="O893" s="215" t="n"/>
      <c r="P893" s="215" t="n"/>
      <c r="Q893" s="215" t="n"/>
      <c r="R893" s="215" t="n"/>
      <c r="S893" s="215" t="n"/>
      <c r="T893" s="215" t="n"/>
      <c r="U893" s="215" t="n"/>
      <c r="V893" s="215" t="n"/>
      <c r="W893" s="215" t="n"/>
      <c r="X893" s="215" t="n"/>
      <c r="Y893" s="215" t="n"/>
      <c r="Z893" s="215" t="n"/>
      <c r="AA893" s="215" t="n"/>
      <c r="AB893" s="215" t="n"/>
      <c r="AC893" s="215" t="n"/>
      <c r="AD893" s="215" t="n"/>
      <c r="AE893" s="215" t="n"/>
      <c r="AF893" s="215" t="n"/>
      <c r="AG893" s="215" t="n"/>
      <c r="AH893" s="215" t="n"/>
      <c r="AI893" s="215" t="n"/>
      <c r="AJ893" s="215" t="n"/>
      <c r="AK893" s="216" t="n"/>
    </row>
    <row r="894" ht="15" customHeight="1">
      <c r="B894" s="134" t="n"/>
      <c r="C894" s="105" t="n"/>
      <c r="D894" s="105" t="n"/>
      <c r="E894" s="105" t="n"/>
      <c r="F894" s="105" t="n"/>
      <c r="G894" s="105" t="n"/>
      <c r="H894" s="2" t="n"/>
      <c r="I894" s="105" t="n"/>
      <c r="K894" s="215" t="n"/>
      <c r="L894" s="215" t="n"/>
      <c r="M894" s="215" t="n"/>
      <c r="N894" s="215" t="n"/>
      <c r="O894" s="215" t="n"/>
      <c r="P894" s="215" t="n"/>
      <c r="Q894" s="215" t="n"/>
      <c r="R894" s="215" t="n"/>
      <c r="S894" s="215" t="n"/>
      <c r="T894" s="215" t="n"/>
      <c r="U894" s="215" t="n"/>
      <c r="V894" s="215" t="n"/>
      <c r="W894" s="215" t="n"/>
      <c r="X894" s="215" t="n"/>
      <c r="Y894" s="215" t="n"/>
      <c r="Z894" s="215" t="n"/>
      <c r="AA894" s="215" t="n"/>
      <c r="AB894" s="215" t="n"/>
      <c r="AC894" s="215" t="n"/>
      <c r="AD894" s="215" t="n"/>
      <c r="AE894" s="215" t="n"/>
      <c r="AF894" s="215" t="n"/>
      <c r="AG894" s="215" t="n"/>
      <c r="AH894" s="215" t="n"/>
      <c r="AI894" s="215" t="n"/>
      <c r="AJ894" s="215" t="n"/>
      <c r="AK894" s="216" t="n"/>
    </row>
    <row r="895" ht="15" customHeight="1">
      <c r="B895" s="134" t="n"/>
      <c r="C895" s="105" t="n"/>
      <c r="D895" s="105" t="n"/>
      <c r="E895" s="105" t="n"/>
      <c r="F895" s="105" t="n"/>
      <c r="G895" s="105" t="n"/>
      <c r="H895" s="2" t="n"/>
      <c r="I895" s="105" t="n"/>
      <c r="K895" s="215" t="n"/>
      <c r="L895" s="215" t="n"/>
      <c r="M895" s="215" t="n"/>
      <c r="N895" s="215" t="n"/>
      <c r="O895" s="215" t="n"/>
      <c r="P895" s="215" t="n"/>
      <c r="Q895" s="215" t="n"/>
      <c r="R895" s="215" t="n"/>
      <c r="S895" s="215" t="n"/>
      <c r="T895" s="215" t="n"/>
      <c r="U895" s="215" t="n"/>
      <c r="V895" s="215" t="n"/>
      <c r="W895" s="215" t="n"/>
      <c r="X895" s="215" t="n"/>
      <c r="Y895" s="215" t="n"/>
      <c r="Z895" s="215" t="n"/>
      <c r="AA895" s="215" t="n"/>
      <c r="AB895" s="215" t="n"/>
      <c r="AC895" s="215" t="n"/>
      <c r="AD895" s="215" t="n"/>
      <c r="AE895" s="215" t="n"/>
      <c r="AF895" s="215" t="n"/>
      <c r="AG895" s="215" t="n"/>
      <c r="AH895" s="215" t="n"/>
      <c r="AI895" s="215" t="n"/>
      <c r="AJ895" s="215" t="n"/>
      <c r="AK895" s="216" t="n"/>
    </row>
    <row r="896" ht="15" customHeight="1">
      <c r="B896" s="134" t="n"/>
      <c r="C896" s="105" t="n"/>
      <c r="D896" s="105" t="n"/>
      <c r="E896" s="105" t="n"/>
      <c r="F896" s="105" t="n"/>
      <c r="G896" s="105" t="n"/>
      <c r="H896" s="2" t="n"/>
      <c r="I896" s="105" t="n"/>
      <c r="K896" s="215" t="n"/>
      <c r="L896" s="215" t="n"/>
      <c r="M896" s="215" t="n"/>
      <c r="N896" s="215" t="n"/>
      <c r="O896" s="215" t="n"/>
      <c r="P896" s="215" t="n"/>
      <c r="Q896" s="215" t="n"/>
      <c r="R896" s="215" t="n"/>
      <c r="S896" s="215" t="n"/>
      <c r="T896" s="215" t="n"/>
      <c r="U896" s="215" t="n"/>
      <c r="V896" s="215" t="n"/>
      <c r="W896" s="215" t="n"/>
      <c r="X896" s="215" t="n"/>
      <c r="Y896" s="215" t="n"/>
      <c r="Z896" s="215" t="n"/>
      <c r="AA896" s="215" t="n"/>
      <c r="AB896" s="215" t="n"/>
      <c r="AC896" s="215" t="n"/>
      <c r="AD896" s="215" t="n"/>
      <c r="AE896" s="215" t="n"/>
      <c r="AF896" s="215" t="n"/>
      <c r="AG896" s="215" t="n"/>
      <c r="AH896" s="215" t="n"/>
      <c r="AI896" s="215" t="n"/>
      <c r="AJ896" s="215" t="n"/>
      <c r="AK896" s="216" t="n"/>
    </row>
    <row r="897" ht="15" customHeight="1">
      <c r="B897" s="134" t="n"/>
      <c r="C897" s="105" t="n"/>
      <c r="D897" s="105" t="n"/>
      <c r="E897" s="105" t="n"/>
      <c r="F897" s="105" t="n"/>
      <c r="G897" s="105" t="n"/>
      <c r="H897" s="2" t="n"/>
      <c r="I897" s="105" t="n"/>
      <c r="K897" s="215" t="n"/>
      <c r="L897" s="215" t="n"/>
      <c r="M897" s="215" t="n"/>
      <c r="N897" s="215" t="n"/>
      <c r="O897" s="215" t="n"/>
      <c r="P897" s="215" t="n"/>
      <c r="Q897" s="215" t="n"/>
      <c r="R897" s="215" t="n"/>
      <c r="S897" s="215" t="n"/>
      <c r="T897" s="215" t="n"/>
      <c r="U897" s="215" t="n"/>
      <c r="V897" s="215" t="n"/>
      <c r="W897" s="215" t="n"/>
      <c r="X897" s="215" t="n"/>
      <c r="Y897" s="215" t="n"/>
      <c r="Z897" s="215" t="n"/>
      <c r="AA897" s="215" t="n"/>
      <c r="AB897" s="215" t="n"/>
      <c r="AC897" s="215" t="n"/>
      <c r="AD897" s="215" t="n"/>
      <c r="AE897" s="215" t="n"/>
      <c r="AF897" s="215" t="n"/>
      <c r="AG897" s="215" t="n"/>
      <c r="AH897" s="215" t="n"/>
      <c r="AI897" s="215" t="n"/>
      <c r="AJ897" s="215" t="n"/>
      <c r="AK897" s="216" t="n"/>
    </row>
    <row r="898" ht="15" customHeight="1">
      <c r="B898" s="134" t="n"/>
      <c r="C898" s="105" t="n"/>
      <c r="D898" s="105" t="n"/>
      <c r="E898" s="105" t="n"/>
      <c r="F898" s="105" t="n"/>
      <c r="G898" s="105" t="n"/>
      <c r="H898" s="2" t="n"/>
      <c r="I898" s="105" t="n"/>
      <c r="K898" s="215" t="n"/>
      <c r="L898" s="215" t="n"/>
      <c r="M898" s="215" t="n"/>
      <c r="N898" s="215" t="n"/>
      <c r="O898" s="215" t="n"/>
      <c r="P898" s="215" t="n"/>
      <c r="Q898" s="215" t="n"/>
      <c r="R898" s="215" t="n"/>
      <c r="S898" s="215" t="n"/>
      <c r="T898" s="215" t="n"/>
      <c r="U898" s="215" t="n"/>
      <c r="V898" s="215" t="n"/>
      <c r="W898" s="215" t="n"/>
      <c r="X898" s="215" t="n"/>
      <c r="Y898" s="215" t="n"/>
      <c r="Z898" s="215" t="n"/>
      <c r="AA898" s="215" t="n"/>
      <c r="AB898" s="215" t="n"/>
      <c r="AC898" s="215" t="n"/>
      <c r="AD898" s="215" t="n"/>
      <c r="AE898" s="215" t="n"/>
      <c r="AF898" s="215" t="n"/>
      <c r="AG898" s="215" t="n"/>
      <c r="AH898" s="215" t="n"/>
      <c r="AI898" s="215" t="n"/>
      <c r="AJ898" s="215" t="n"/>
      <c r="AK898" s="216" t="n"/>
    </row>
    <row r="899" ht="15" customHeight="1">
      <c r="B899" s="134" t="n"/>
      <c r="C899" s="105" t="n"/>
      <c r="D899" s="105" t="n"/>
      <c r="E899" s="105" t="n"/>
      <c r="F899" s="105" t="n"/>
      <c r="G899" s="105" t="n"/>
      <c r="H899" s="2" t="n"/>
      <c r="I899" s="105" t="n"/>
      <c r="K899" s="215" t="n"/>
      <c r="L899" s="215" t="n"/>
      <c r="M899" s="215" t="n"/>
      <c r="N899" s="215" t="n"/>
      <c r="O899" s="215" t="n"/>
      <c r="P899" s="215" t="n"/>
      <c r="Q899" s="215" t="n"/>
      <c r="R899" s="215" t="n"/>
      <c r="S899" s="215" t="n"/>
      <c r="T899" s="215" t="n"/>
      <c r="U899" s="215" t="n"/>
      <c r="V899" s="215" t="n"/>
      <c r="W899" s="215" t="n"/>
      <c r="X899" s="215" t="n"/>
      <c r="Y899" s="215" t="n"/>
      <c r="Z899" s="215" t="n"/>
      <c r="AA899" s="215" t="n"/>
      <c r="AB899" s="215" t="n"/>
      <c r="AC899" s="215" t="n"/>
      <c r="AD899" s="215" t="n"/>
      <c r="AE899" s="215" t="n"/>
      <c r="AF899" s="215" t="n"/>
      <c r="AG899" s="215" t="n"/>
      <c r="AH899" s="215" t="n"/>
      <c r="AI899" s="215" t="n"/>
      <c r="AJ899" s="215" t="n"/>
      <c r="AK899" s="216" t="n"/>
    </row>
    <row r="900" ht="15" customHeight="1">
      <c r="B900" s="134" t="n"/>
      <c r="C900" s="105" t="n"/>
      <c r="D900" s="105" t="n"/>
      <c r="E900" s="105" t="n"/>
      <c r="F900" s="105" t="n"/>
      <c r="G900" s="105" t="n"/>
      <c r="H900" s="2" t="n"/>
      <c r="I900" s="105" t="n"/>
      <c r="K900" s="215" t="n"/>
      <c r="L900" s="215" t="n"/>
      <c r="M900" s="215" t="n"/>
      <c r="N900" s="215" t="n"/>
      <c r="O900" s="215" t="n"/>
      <c r="P900" s="215" t="n"/>
      <c r="Q900" s="215" t="n"/>
      <c r="R900" s="215" t="n"/>
      <c r="S900" s="215" t="n"/>
      <c r="T900" s="215" t="n"/>
      <c r="U900" s="215" t="n"/>
      <c r="V900" s="215" t="n"/>
      <c r="W900" s="215" t="n"/>
      <c r="X900" s="215" t="n"/>
      <c r="Y900" s="215" t="n"/>
      <c r="Z900" s="215" t="n"/>
      <c r="AA900" s="215" t="n"/>
      <c r="AB900" s="215" t="n"/>
      <c r="AC900" s="215" t="n"/>
      <c r="AD900" s="215" t="n"/>
      <c r="AE900" s="215" t="n"/>
      <c r="AF900" s="215" t="n"/>
      <c r="AG900" s="215" t="n"/>
      <c r="AH900" s="215" t="n"/>
      <c r="AI900" s="215" t="n"/>
      <c r="AJ900" s="215" t="n"/>
      <c r="AK900" s="216" t="n"/>
    </row>
    <row r="901" ht="15" customHeight="1">
      <c r="B901" s="134" t="n"/>
      <c r="C901" s="105" t="n"/>
      <c r="D901" s="105" t="n"/>
      <c r="E901" s="105" t="n"/>
      <c r="F901" s="105" t="n"/>
      <c r="G901" s="105" t="n"/>
      <c r="H901" s="2" t="n"/>
      <c r="I901" s="105" t="n"/>
      <c r="K901" s="215" t="n"/>
      <c r="L901" s="215" t="n"/>
      <c r="M901" s="215" t="n"/>
      <c r="N901" s="215" t="n"/>
      <c r="O901" s="215" t="n"/>
      <c r="P901" s="215" t="n"/>
      <c r="Q901" s="215" t="n"/>
      <c r="R901" s="215" t="n"/>
      <c r="S901" s="215" t="n"/>
      <c r="T901" s="215" t="n"/>
      <c r="U901" s="215" t="n"/>
      <c r="V901" s="215" t="n"/>
      <c r="W901" s="215" t="n"/>
      <c r="X901" s="215" t="n"/>
      <c r="Y901" s="215" t="n"/>
      <c r="Z901" s="215" t="n"/>
      <c r="AA901" s="215" t="n"/>
      <c r="AB901" s="215" t="n"/>
      <c r="AC901" s="215" t="n"/>
      <c r="AD901" s="215" t="n"/>
      <c r="AE901" s="215" t="n"/>
      <c r="AF901" s="215" t="n"/>
      <c r="AG901" s="215" t="n"/>
      <c r="AH901" s="215" t="n"/>
      <c r="AI901" s="215" t="n"/>
      <c r="AJ901" s="215" t="n"/>
      <c r="AK901" s="216" t="n"/>
    </row>
    <row r="902" ht="15" customHeight="1">
      <c r="B902" s="134" t="n"/>
      <c r="C902" s="105" t="n"/>
      <c r="D902" s="105" t="n"/>
      <c r="E902" s="105" t="n"/>
      <c r="F902" s="105" t="n"/>
      <c r="G902" s="105" t="n"/>
      <c r="H902" s="2" t="n"/>
      <c r="I902" s="105" t="n"/>
      <c r="K902" s="215" t="n"/>
      <c r="L902" s="215" t="n"/>
      <c r="M902" s="215" t="n"/>
      <c r="N902" s="215" t="n"/>
      <c r="O902" s="215" t="n"/>
      <c r="P902" s="215" t="n"/>
      <c r="Q902" s="215" t="n"/>
      <c r="R902" s="215" t="n"/>
      <c r="S902" s="215" t="n"/>
      <c r="T902" s="215" t="n"/>
      <c r="U902" s="215" t="n"/>
      <c r="V902" s="215" t="n"/>
      <c r="W902" s="215" t="n"/>
      <c r="X902" s="215" t="n"/>
      <c r="Y902" s="215" t="n"/>
      <c r="Z902" s="215" t="n"/>
      <c r="AA902" s="215" t="n"/>
      <c r="AB902" s="215" t="n"/>
      <c r="AC902" s="215" t="n"/>
      <c r="AD902" s="215" t="n"/>
      <c r="AE902" s="215" t="n"/>
      <c r="AF902" s="215" t="n"/>
      <c r="AG902" s="215" t="n"/>
      <c r="AH902" s="215" t="n"/>
      <c r="AI902" s="215" t="n"/>
      <c r="AJ902" s="215" t="n"/>
      <c r="AK902" s="216" t="n"/>
    </row>
    <row r="903" ht="15" customHeight="1">
      <c r="B903" s="134" t="n"/>
      <c r="C903" s="105" t="n"/>
      <c r="D903" s="105" t="n"/>
      <c r="E903" s="105" t="n"/>
      <c r="F903" s="105" t="n"/>
      <c r="G903" s="105" t="n"/>
      <c r="H903" s="2" t="n"/>
      <c r="I903" s="105" t="n"/>
      <c r="K903" s="215" t="n"/>
      <c r="L903" s="215" t="n"/>
      <c r="M903" s="215" t="n"/>
      <c r="N903" s="215" t="n"/>
      <c r="O903" s="215" t="n"/>
      <c r="P903" s="215" t="n"/>
      <c r="Q903" s="215" t="n"/>
      <c r="R903" s="215" t="n"/>
      <c r="S903" s="215" t="n"/>
      <c r="T903" s="215" t="n"/>
      <c r="U903" s="215" t="n"/>
      <c r="V903" s="215" t="n"/>
      <c r="W903" s="215" t="n"/>
      <c r="X903" s="215" t="n"/>
      <c r="Y903" s="215" t="n"/>
      <c r="Z903" s="215" t="n"/>
      <c r="AA903" s="215" t="n"/>
      <c r="AB903" s="215" t="n"/>
      <c r="AC903" s="215" t="n"/>
      <c r="AD903" s="215" t="n"/>
      <c r="AE903" s="215" t="n"/>
      <c r="AF903" s="215" t="n"/>
      <c r="AG903" s="215" t="n"/>
      <c r="AH903" s="215" t="n"/>
      <c r="AI903" s="215" t="n"/>
      <c r="AJ903" s="215" t="n"/>
      <c r="AK903" s="216" t="n"/>
    </row>
    <row r="904" ht="15" customHeight="1">
      <c r="B904" s="134" t="n"/>
      <c r="C904" s="105" t="n"/>
      <c r="D904" s="105" t="n"/>
      <c r="E904" s="105" t="n"/>
      <c r="F904" s="105" t="n"/>
      <c r="G904" s="105" t="n"/>
      <c r="H904" s="2" t="n"/>
      <c r="I904" s="105" t="n"/>
      <c r="K904" s="215" t="n"/>
      <c r="L904" s="215" t="n"/>
      <c r="M904" s="215" t="n"/>
      <c r="N904" s="215" t="n"/>
      <c r="O904" s="215" t="n"/>
      <c r="P904" s="215" t="n"/>
      <c r="Q904" s="215" t="n"/>
      <c r="R904" s="215" t="n"/>
      <c r="S904" s="215" t="n"/>
      <c r="T904" s="215" t="n"/>
      <c r="U904" s="215" t="n"/>
      <c r="V904" s="215" t="n"/>
      <c r="W904" s="215" t="n"/>
      <c r="X904" s="215" t="n"/>
      <c r="Y904" s="215" t="n"/>
      <c r="Z904" s="215" t="n"/>
      <c r="AA904" s="215" t="n"/>
      <c r="AB904" s="215" t="n"/>
      <c r="AC904" s="215" t="n"/>
      <c r="AD904" s="215" t="n"/>
      <c r="AE904" s="215" t="n"/>
      <c r="AF904" s="215" t="n"/>
      <c r="AG904" s="215" t="n"/>
      <c r="AH904" s="215" t="n"/>
      <c r="AI904" s="215" t="n"/>
      <c r="AJ904" s="215" t="n"/>
      <c r="AK904" s="216" t="n"/>
    </row>
    <row r="905" ht="15" customHeight="1">
      <c r="B905" s="134" t="n"/>
      <c r="C905" s="105" t="n"/>
      <c r="D905" s="105" t="n"/>
      <c r="E905" s="105" t="n"/>
      <c r="F905" s="105" t="n"/>
      <c r="G905" s="105" t="n"/>
      <c r="H905" s="2" t="n"/>
      <c r="I905" s="105" t="n"/>
      <c r="K905" s="215" t="n"/>
      <c r="L905" s="215" t="n"/>
      <c r="M905" s="215" t="n"/>
      <c r="N905" s="215" t="n"/>
      <c r="O905" s="215" t="n"/>
      <c r="P905" s="215" t="n"/>
      <c r="Q905" s="215" t="n"/>
      <c r="R905" s="215" t="n"/>
      <c r="S905" s="215" t="n"/>
      <c r="T905" s="215" t="n"/>
      <c r="U905" s="215" t="n"/>
      <c r="V905" s="215" t="n"/>
      <c r="W905" s="215" t="n"/>
      <c r="X905" s="215" t="n"/>
      <c r="Y905" s="215" t="n"/>
      <c r="Z905" s="215" t="n"/>
      <c r="AA905" s="215" t="n"/>
      <c r="AB905" s="215" t="n"/>
      <c r="AC905" s="215" t="n"/>
      <c r="AD905" s="215" t="n"/>
      <c r="AE905" s="215" t="n"/>
      <c r="AF905" s="215" t="n"/>
      <c r="AG905" s="215" t="n"/>
      <c r="AH905" s="215" t="n"/>
      <c r="AI905" s="215" t="n"/>
      <c r="AJ905" s="215" t="n"/>
      <c r="AK905" s="216" t="n"/>
    </row>
    <row r="906" ht="15" customHeight="1">
      <c r="B906" s="134" t="n"/>
      <c r="C906" s="105" t="n"/>
      <c r="D906" s="105" t="n"/>
      <c r="E906" s="105" t="n"/>
      <c r="F906" s="105" t="n"/>
      <c r="G906" s="105" t="n"/>
      <c r="H906" s="2" t="n"/>
      <c r="I906" s="105" t="n"/>
      <c r="K906" s="215" t="n"/>
      <c r="L906" s="215" t="n"/>
      <c r="M906" s="215" t="n"/>
      <c r="N906" s="215" t="n"/>
      <c r="O906" s="215" t="n"/>
      <c r="P906" s="215" t="n"/>
      <c r="Q906" s="215" t="n"/>
      <c r="R906" s="215" t="n"/>
      <c r="S906" s="215" t="n"/>
      <c r="T906" s="215" t="n"/>
      <c r="U906" s="215" t="n"/>
      <c r="V906" s="215" t="n"/>
      <c r="W906" s="215" t="n"/>
      <c r="X906" s="215" t="n"/>
      <c r="Y906" s="215" t="n"/>
      <c r="Z906" s="215" t="n"/>
      <c r="AA906" s="215" t="n"/>
      <c r="AB906" s="215" t="n"/>
      <c r="AC906" s="215" t="n"/>
      <c r="AD906" s="215" t="n"/>
      <c r="AE906" s="215" t="n"/>
      <c r="AF906" s="215" t="n"/>
      <c r="AG906" s="215" t="n"/>
      <c r="AH906" s="215" t="n"/>
      <c r="AI906" s="215" t="n"/>
      <c r="AJ906" s="215" t="n"/>
      <c r="AK906" s="216" t="n"/>
    </row>
    <row r="907" ht="15" customHeight="1">
      <c r="B907" s="134" t="n"/>
      <c r="C907" s="105" t="n"/>
      <c r="D907" s="105" t="n"/>
      <c r="E907" s="105" t="n"/>
      <c r="F907" s="105" t="n"/>
      <c r="G907" s="105" t="n"/>
      <c r="H907" s="2" t="n"/>
      <c r="I907" s="105" t="n"/>
      <c r="K907" s="215" t="n"/>
      <c r="L907" s="215" t="n"/>
      <c r="M907" s="215" t="n"/>
      <c r="N907" s="215" t="n"/>
      <c r="O907" s="215" t="n"/>
      <c r="P907" s="215" t="n"/>
      <c r="Q907" s="215" t="n"/>
      <c r="R907" s="215" t="n"/>
      <c r="S907" s="215" t="n"/>
      <c r="T907" s="215" t="n"/>
      <c r="U907" s="215" t="n"/>
      <c r="V907" s="215" t="n"/>
      <c r="W907" s="215" t="n"/>
      <c r="X907" s="215" t="n"/>
      <c r="Y907" s="215" t="n"/>
      <c r="Z907" s="215" t="n"/>
      <c r="AA907" s="215" t="n"/>
      <c r="AB907" s="215" t="n"/>
      <c r="AC907" s="215" t="n"/>
      <c r="AD907" s="215" t="n"/>
      <c r="AE907" s="215" t="n"/>
      <c r="AF907" s="215" t="n"/>
      <c r="AG907" s="215" t="n"/>
      <c r="AH907" s="215" t="n"/>
      <c r="AI907" s="215" t="n"/>
      <c r="AJ907" s="215" t="n"/>
      <c r="AK907" s="216" t="n"/>
    </row>
    <row r="908" ht="15" customHeight="1">
      <c r="B908" s="134" t="n"/>
      <c r="C908" s="105" t="n"/>
      <c r="D908" s="105" t="n"/>
      <c r="E908" s="105" t="n"/>
      <c r="F908" s="105" t="n"/>
      <c r="G908" s="105" t="n"/>
      <c r="H908" s="2" t="n"/>
      <c r="I908" s="105" t="n"/>
      <c r="K908" s="215" t="n"/>
      <c r="L908" s="215" t="n"/>
      <c r="M908" s="215" t="n"/>
      <c r="N908" s="215" t="n"/>
      <c r="O908" s="215" t="n"/>
      <c r="P908" s="215" t="n"/>
      <c r="Q908" s="215" t="n"/>
      <c r="R908" s="215" t="n"/>
      <c r="S908" s="215" t="n"/>
      <c r="T908" s="215" t="n"/>
      <c r="U908" s="215" t="n"/>
      <c r="V908" s="215" t="n"/>
      <c r="W908" s="215" t="n"/>
      <c r="X908" s="215" t="n"/>
      <c r="Y908" s="215" t="n"/>
      <c r="Z908" s="215" t="n"/>
      <c r="AA908" s="215" t="n"/>
      <c r="AB908" s="215" t="n"/>
      <c r="AC908" s="215" t="n"/>
      <c r="AD908" s="215" t="n"/>
      <c r="AE908" s="215" t="n"/>
      <c r="AF908" s="215" t="n"/>
      <c r="AG908" s="215" t="n"/>
      <c r="AH908" s="215" t="n"/>
      <c r="AI908" s="215" t="n"/>
      <c r="AJ908" s="215" t="n"/>
      <c r="AK908" s="216" t="n"/>
    </row>
    <row r="909" ht="15" customHeight="1">
      <c r="B909" s="134" t="n"/>
      <c r="C909" s="105" t="n"/>
      <c r="D909" s="105" t="n"/>
      <c r="E909" s="105" t="n"/>
      <c r="F909" s="105" t="n"/>
      <c r="G909" s="105" t="n"/>
      <c r="H909" s="2" t="n"/>
      <c r="I909" s="105" t="n"/>
      <c r="K909" s="215" t="n"/>
      <c r="L909" s="215" t="n"/>
      <c r="M909" s="215" t="n"/>
      <c r="N909" s="215" t="n"/>
      <c r="O909" s="215" t="n"/>
      <c r="P909" s="215" t="n"/>
      <c r="Q909" s="215" t="n"/>
      <c r="R909" s="215" t="n"/>
      <c r="S909" s="215" t="n"/>
      <c r="T909" s="215" t="n"/>
      <c r="U909" s="215" t="n"/>
      <c r="V909" s="215" t="n"/>
      <c r="W909" s="215" t="n"/>
      <c r="X909" s="215" t="n"/>
      <c r="Y909" s="215" t="n"/>
      <c r="Z909" s="215" t="n"/>
      <c r="AA909" s="215" t="n"/>
      <c r="AB909" s="215" t="n"/>
      <c r="AC909" s="215" t="n"/>
      <c r="AD909" s="215" t="n"/>
      <c r="AE909" s="215" t="n"/>
      <c r="AF909" s="215" t="n"/>
      <c r="AG909" s="215" t="n"/>
      <c r="AH909" s="215" t="n"/>
      <c r="AI909" s="215" t="n"/>
      <c r="AJ909" s="215" t="n"/>
      <c r="AK909" s="216" t="n"/>
    </row>
    <row r="910" ht="15" customHeight="1">
      <c r="B910" s="134" t="n"/>
      <c r="C910" s="105" t="n"/>
      <c r="D910" s="105" t="n"/>
      <c r="E910" s="105" t="n"/>
      <c r="F910" s="105" t="n"/>
      <c r="G910" s="105" t="n"/>
      <c r="H910" s="2" t="n"/>
      <c r="I910" s="105" t="n"/>
      <c r="K910" s="215" t="n"/>
      <c r="L910" s="215" t="n"/>
      <c r="M910" s="215" t="n"/>
      <c r="N910" s="215" t="n"/>
      <c r="O910" s="215" t="n"/>
      <c r="P910" s="215" t="n"/>
      <c r="Q910" s="215" t="n"/>
      <c r="R910" s="215" t="n"/>
      <c r="S910" s="215" t="n"/>
      <c r="T910" s="215" t="n"/>
      <c r="U910" s="215" t="n"/>
      <c r="V910" s="215" t="n"/>
      <c r="W910" s="215" t="n"/>
      <c r="X910" s="215" t="n"/>
      <c r="Y910" s="215" t="n"/>
      <c r="Z910" s="215" t="n"/>
      <c r="AA910" s="215" t="n"/>
      <c r="AB910" s="215" t="n"/>
      <c r="AC910" s="215" t="n"/>
      <c r="AD910" s="215" t="n"/>
      <c r="AE910" s="215" t="n"/>
      <c r="AF910" s="215" t="n"/>
      <c r="AG910" s="215" t="n"/>
      <c r="AH910" s="215" t="n"/>
      <c r="AI910" s="215" t="n"/>
      <c r="AJ910" s="215" t="n"/>
      <c r="AK910" s="216" t="n"/>
    </row>
    <row r="911" ht="15" customHeight="1">
      <c r="B911" s="134" t="n"/>
      <c r="C911" s="105" t="n"/>
      <c r="D911" s="105" t="n"/>
      <c r="E911" s="105" t="n"/>
      <c r="F911" s="105" t="n"/>
      <c r="G911" s="105" t="n"/>
      <c r="H911" s="2" t="n"/>
      <c r="I911" s="105" t="n"/>
      <c r="K911" s="215" t="n"/>
      <c r="L911" s="215" t="n"/>
      <c r="M911" s="215" t="n"/>
      <c r="N911" s="215" t="n"/>
      <c r="O911" s="215" t="n"/>
      <c r="P911" s="215" t="n"/>
      <c r="Q911" s="215" t="n"/>
      <c r="R911" s="215" t="n"/>
      <c r="S911" s="215" t="n"/>
      <c r="T911" s="215" t="n"/>
      <c r="U911" s="215" t="n"/>
      <c r="V911" s="215" t="n"/>
      <c r="W911" s="215" t="n"/>
      <c r="X911" s="215" t="n"/>
      <c r="Y911" s="215" t="n"/>
      <c r="Z911" s="215" t="n"/>
      <c r="AA911" s="215" t="n"/>
      <c r="AB911" s="215" t="n"/>
      <c r="AC911" s="215" t="n"/>
      <c r="AD911" s="215" t="n"/>
      <c r="AE911" s="215" t="n"/>
      <c r="AF911" s="215" t="n"/>
      <c r="AG911" s="215" t="n"/>
      <c r="AH911" s="215" t="n"/>
      <c r="AI911" s="215" t="n"/>
      <c r="AJ911" s="215" t="n"/>
      <c r="AK911" s="216" t="n"/>
    </row>
    <row r="912" ht="15" customHeight="1">
      <c r="B912" s="134" t="n"/>
      <c r="C912" s="105" t="n"/>
      <c r="D912" s="105" t="n"/>
      <c r="E912" s="105" t="n"/>
      <c r="F912" s="105" t="n"/>
      <c r="G912" s="105" t="n"/>
      <c r="H912" s="2" t="n"/>
      <c r="I912" s="105" t="n"/>
      <c r="K912" s="215" t="n"/>
      <c r="L912" s="215" t="n"/>
      <c r="M912" s="215" t="n"/>
      <c r="N912" s="215" t="n"/>
      <c r="O912" s="215" t="n"/>
      <c r="P912" s="215" t="n"/>
      <c r="Q912" s="215" t="n"/>
      <c r="R912" s="215" t="n"/>
      <c r="S912" s="215" t="n"/>
      <c r="T912" s="215" t="n"/>
      <c r="U912" s="215" t="n"/>
      <c r="V912" s="215" t="n"/>
      <c r="W912" s="215" t="n"/>
      <c r="X912" s="215" t="n"/>
      <c r="Y912" s="215" t="n"/>
      <c r="Z912" s="215" t="n"/>
      <c r="AA912" s="215" t="n"/>
      <c r="AB912" s="215" t="n"/>
      <c r="AC912" s="215" t="n"/>
      <c r="AD912" s="215" t="n"/>
      <c r="AE912" s="215" t="n"/>
      <c r="AF912" s="215" t="n"/>
      <c r="AG912" s="215" t="n"/>
      <c r="AH912" s="215" t="n"/>
      <c r="AI912" s="215" t="n"/>
      <c r="AJ912" s="215" t="n"/>
      <c r="AK912" s="216" t="n"/>
    </row>
    <row r="913" ht="15" customHeight="1">
      <c r="B913" s="134" t="n"/>
      <c r="C913" s="105" t="n"/>
      <c r="D913" s="105" t="n"/>
      <c r="E913" s="105" t="n"/>
      <c r="F913" s="105" t="n"/>
      <c r="G913" s="105" t="n"/>
      <c r="H913" s="2" t="n"/>
      <c r="I913" s="105" t="n"/>
      <c r="K913" s="215" t="n"/>
      <c r="L913" s="215" t="n"/>
      <c r="M913" s="215" t="n"/>
      <c r="N913" s="215" t="n"/>
      <c r="O913" s="215" t="n"/>
      <c r="P913" s="215" t="n"/>
      <c r="Q913" s="215" t="n"/>
      <c r="R913" s="215" t="n"/>
      <c r="S913" s="215" t="n"/>
      <c r="T913" s="215" t="n"/>
      <c r="U913" s="215" t="n"/>
      <c r="V913" s="215" t="n"/>
      <c r="W913" s="215" t="n"/>
      <c r="X913" s="215" t="n"/>
      <c r="Y913" s="215" t="n"/>
      <c r="Z913" s="215" t="n"/>
      <c r="AA913" s="215" t="n"/>
      <c r="AB913" s="215" t="n"/>
      <c r="AC913" s="215" t="n"/>
      <c r="AD913" s="215" t="n"/>
      <c r="AE913" s="215" t="n"/>
      <c r="AF913" s="215" t="n"/>
      <c r="AG913" s="215" t="n"/>
      <c r="AH913" s="215" t="n"/>
      <c r="AI913" s="215" t="n"/>
      <c r="AJ913" s="215" t="n"/>
      <c r="AK913" s="216" t="n"/>
    </row>
    <row r="914" ht="15" customHeight="1">
      <c r="B914" s="134" t="n"/>
      <c r="C914" s="105" t="n"/>
      <c r="D914" s="105" t="n"/>
      <c r="E914" s="105" t="n"/>
      <c r="F914" s="105" t="n"/>
      <c r="G914" s="105" t="n"/>
      <c r="H914" s="2" t="n"/>
      <c r="I914" s="105" t="n"/>
      <c r="K914" s="215" t="n"/>
      <c r="L914" s="215" t="n"/>
      <c r="M914" s="215" t="n"/>
      <c r="N914" s="215" t="n"/>
      <c r="O914" s="215" t="n"/>
      <c r="P914" s="215" t="n"/>
      <c r="Q914" s="215" t="n"/>
      <c r="R914" s="215" t="n"/>
      <c r="S914" s="215" t="n"/>
      <c r="T914" s="215" t="n"/>
      <c r="U914" s="215" t="n"/>
      <c r="V914" s="215" t="n"/>
      <c r="W914" s="215" t="n"/>
      <c r="X914" s="215" t="n"/>
      <c r="Y914" s="215" t="n"/>
      <c r="Z914" s="215" t="n"/>
      <c r="AA914" s="215" t="n"/>
      <c r="AB914" s="215" t="n"/>
      <c r="AC914" s="215" t="n"/>
      <c r="AD914" s="215" t="n"/>
      <c r="AE914" s="215" t="n"/>
      <c r="AF914" s="215" t="n"/>
      <c r="AG914" s="215" t="n"/>
      <c r="AH914" s="215" t="n"/>
      <c r="AI914" s="215" t="n"/>
      <c r="AJ914" s="215" t="n"/>
      <c r="AK914" s="216" t="n"/>
    </row>
    <row r="915" ht="15" customHeight="1">
      <c r="B915" s="134" t="n"/>
      <c r="C915" s="105" t="n"/>
      <c r="D915" s="105" t="n"/>
      <c r="E915" s="105" t="n"/>
      <c r="F915" s="105" t="n"/>
      <c r="G915" s="105" t="n"/>
      <c r="H915" s="2" t="n"/>
      <c r="I915" s="105" t="n"/>
      <c r="K915" s="215" t="n"/>
      <c r="L915" s="215" t="n"/>
      <c r="M915" s="215" t="n"/>
      <c r="N915" s="215" t="n"/>
      <c r="O915" s="215" t="n"/>
      <c r="P915" s="215" t="n"/>
      <c r="Q915" s="215" t="n"/>
      <c r="R915" s="215" t="n"/>
      <c r="S915" s="215" t="n"/>
      <c r="T915" s="215" t="n"/>
      <c r="U915" s="215" t="n"/>
      <c r="V915" s="215" t="n"/>
      <c r="W915" s="215" t="n"/>
      <c r="X915" s="215" t="n"/>
      <c r="Y915" s="215" t="n"/>
      <c r="Z915" s="215" t="n"/>
      <c r="AA915" s="215" t="n"/>
      <c r="AB915" s="215" t="n"/>
      <c r="AC915" s="215" t="n"/>
      <c r="AD915" s="215" t="n"/>
      <c r="AE915" s="215" t="n"/>
      <c r="AF915" s="215" t="n"/>
      <c r="AG915" s="215" t="n"/>
      <c r="AH915" s="215" t="n"/>
      <c r="AI915" s="215" t="n"/>
      <c r="AJ915" s="215" t="n"/>
      <c r="AK915" s="216" t="n"/>
    </row>
    <row r="916" ht="15" customHeight="1">
      <c r="B916" s="134" t="n"/>
      <c r="C916" s="105" t="n"/>
      <c r="D916" s="105" t="n"/>
      <c r="E916" s="105" t="n"/>
      <c r="F916" s="105" t="n"/>
      <c r="G916" s="105" t="n"/>
      <c r="H916" s="2" t="n"/>
      <c r="I916" s="105" t="n"/>
      <c r="K916" s="215" t="n"/>
      <c r="L916" s="215" t="n"/>
      <c r="M916" s="215" t="n"/>
      <c r="N916" s="215" t="n"/>
      <c r="O916" s="215" t="n"/>
      <c r="P916" s="215" t="n"/>
      <c r="Q916" s="215" t="n"/>
      <c r="R916" s="215" t="n"/>
      <c r="S916" s="215" t="n"/>
      <c r="T916" s="215" t="n"/>
      <c r="U916" s="215" t="n"/>
      <c r="V916" s="215" t="n"/>
      <c r="W916" s="215" t="n"/>
      <c r="X916" s="215" t="n"/>
      <c r="Y916" s="215" t="n"/>
      <c r="Z916" s="215" t="n"/>
      <c r="AA916" s="215" t="n"/>
      <c r="AB916" s="215" t="n"/>
      <c r="AC916" s="215" t="n"/>
      <c r="AD916" s="215" t="n"/>
      <c r="AE916" s="215" t="n"/>
      <c r="AF916" s="215" t="n"/>
      <c r="AG916" s="215" t="n"/>
      <c r="AH916" s="215" t="n"/>
      <c r="AI916" s="215" t="n"/>
      <c r="AJ916" s="215" t="n"/>
      <c r="AK916" s="216" t="n"/>
    </row>
    <row r="917" ht="15" customHeight="1">
      <c r="B917" s="134" t="n"/>
      <c r="C917" s="105" t="n"/>
      <c r="D917" s="105" t="n"/>
      <c r="E917" s="105" t="n"/>
      <c r="F917" s="105" t="n"/>
      <c r="G917" s="105" t="n"/>
      <c r="H917" s="2" t="n"/>
      <c r="I917" s="105" t="n"/>
      <c r="K917" s="215" t="n"/>
      <c r="L917" s="215" t="n"/>
      <c r="M917" s="215" t="n"/>
      <c r="N917" s="215" t="n"/>
      <c r="O917" s="215" t="n"/>
      <c r="P917" s="215" t="n"/>
      <c r="Q917" s="215" t="n"/>
      <c r="R917" s="215" t="n"/>
      <c r="S917" s="215" t="n"/>
      <c r="T917" s="215" t="n"/>
      <c r="U917" s="215" t="n"/>
      <c r="V917" s="215" t="n"/>
      <c r="W917" s="215" t="n"/>
      <c r="X917" s="215" t="n"/>
      <c r="Y917" s="215" t="n"/>
      <c r="Z917" s="215" t="n"/>
      <c r="AA917" s="215" t="n"/>
      <c r="AB917" s="215" t="n"/>
      <c r="AC917" s="215" t="n"/>
      <c r="AD917" s="215" t="n"/>
      <c r="AE917" s="215" t="n"/>
      <c r="AF917" s="215" t="n"/>
      <c r="AG917" s="215" t="n"/>
      <c r="AH917" s="215" t="n"/>
      <c r="AI917" s="215" t="n"/>
      <c r="AJ917" s="215" t="n"/>
      <c r="AK917" s="216" t="n"/>
    </row>
    <row r="918" ht="15" customHeight="1">
      <c r="B918" s="134" t="n"/>
      <c r="C918" s="105" t="n"/>
      <c r="D918" s="105" t="n"/>
      <c r="E918" s="105" t="n"/>
      <c r="F918" s="105" t="n"/>
      <c r="G918" s="105" t="n"/>
      <c r="H918" s="2" t="n"/>
      <c r="I918" s="105" t="n"/>
      <c r="K918" s="215" t="n"/>
      <c r="L918" s="215" t="n"/>
      <c r="M918" s="215" t="n"/>
      <c r="N918" s="215" t="n"/>
      <c r="O918" s="215" t="n"/>
      <c r="P918" s="215" t="n"/>
      <c r="Q918" s="215" t="n"/>
      <c r="R918" s="215" t="n"/>
      <c r="S918" s="215" t="n"/>
      <c r="T918" s="215" t="n"/>
      <c r="U918" s="215" t="n"/>
      <c r="V918" s="215" t="n"/>
      <c r="W918" s="215" t="n"/>
      <c r="X918" s="215" t="n"/>
      <c r="Y918" s="215" t="n"/>
      <c r="Z918" s="215" t="n"/>
      <c r="AA918" s="215" t="n"/>
      <c r="AB918" s="215" t="n"/>
      <c r="AC918" s="215" t="n"/>
      <c r="AD918" s="215" t="n"/>
      <c r="AE918" s="215" t="n"/>
      <c r="AF918" s="215" t="n"/>
      <c r="AG918" s="215" t="n"/>
      <c r="AH918" s="215" t="n"/>
      <c r="AI918" s="215" t="n"/>
      <c r="AJ918" s="215" t="n"/>
      <c r="AK918" s="216" t="n"/>
    </row>
    <row r="919" ht="15" customHeight="1">
      <c r="B919" s="134" t="n"/>
      <c r="C919" s="105" t="n"/>
      <c r="D919" s="105" t="n"/>
      <c r="E919" s="105" t="n"/>
      <c r="F919" s="105" t="n"/>
      <c r="G919" s="105" t="n"/>
      <c r="H919" s="2" t="n"/>
      <c r="I919" s="105" t="n"/>
      <c r="K919" s="215" t="n"/>
      <c r="L919" s="215" t="n"/>
      <c r="M919" s="215" t="n"/>
      <c r="N919" s="215" t="n"/>
      <c r="O919" s="215" t="n"/>
      <c r="P919" s="215" t="n"/>
      <c r="Q919" s="215" t="n"/>
      <c r="R919" s="215" t="n"/>
      <c r="S919" s="215" t="n"/>
      <c r="T919" s="215" t="n"/>
      <c r="U919" s="215" t="n"/>
      <c r="V919" s="215" t="n"/>
      <c r="W919" s="215" t="n"/>
      <c r="X919" s="215" t="n"/>
      <c r="Y919" s="215" t="n"/>
      <c r="Z919" s="215" t="n"/>
      <c r="AA919" s="215" t="n"/>
      <c r="AB919" s="215" t="n"/>
      <c r="AC919" s="215" t="n"/>
      <c r="AD919" s="215" t="n"/>
      <c r="AE919" s="215" t="n"/>
      <c r="AF919" s="215" t="n"/>
      <c r="AG919" s="215" t="n"/>
      <c r="AH919" s="215" t="n"/>
      <c r="AI919" s="215" t="n"/>
      <c r="AJ919" s="215" t="n"/>
      <c r="AK919" s="216" t="n"/>
    </row>
    <row r="920" ht="15" customHeight="1">
      <c r="B920" s="134" t="n"/>
      <c r="C920" s="105" t="n"/>
      <c r="D920" s="105" t="n"/>
      <c r="E920" s="105" t="n"/>
      <c r="F920" s="105" t="n"/>
      <c r="G920" s="105" t="n"/>
      <c r="H920" s="2" t="n"/>
      <c r="I920" s="105" t="n"/>
      <c r="K920" s="215" t="n"/>
      <c r="L920" s="215" t="n"/>
      <c r="M920" s="215" t="n"/>
      <c r="N920" s="215" t="n"/>
      <c r="O920" s="215" t="n"/>
      <c r="P920" s="215" t="n"/>
      <c r="Q920" s="215" t="n"/>
      <c r="R920" s="215" t="n"/>
      <c r="S920" s="215" t="n"/>
      <c r="T920" s="215" t="n"/>
      <c r="U920" s="215" t="n"/>
      <c r="V920" s="215" t="n"/>
      <c r="W920" s="215" t="n"/>
      <c r="X920" s="215" t="n"/>
      <c r="Y920" s="215" t="n"/>
      <c r="Z920" s="215" t="n"/>
      <c r="AA920" s="215" t="n"/>
      <c r="AB920" s="215" t="n"/>
      <c r="AC920" s="215" t="n"/>
      <c r="AD920" s="215" t="n"/>
      <c r="AE920" s="215" t="n"/>
      <c r="AF920" s="215" t="n"/>
      <c r="AG920" s="215" t="n"/>
      <c r="AH920" s="215" t="n"/>
      <c r="AI920" s="215" t="n"/>
      <c r="AJ920" s="215" t="n"/>
      <c r="AK920" s="216" t="n"/>
    </row>
    <row r="921" ht="15" customHeight="1">
      <c r="B921" s="134" t="n"/>
      <c r="C921" s="105" t="n"/>
      <c r="D921" s="105" t="n"/>
      <c r="E921" s="105" t="n"/>
      <c r="F921" s="105" t="n"/>
      <c r="G921" s="105" t="n"/>
      <c r="H921" s="2" t="n"/>
      <c r="I921" s="105" t="n"/>
      <c r="K921" s="215" t="n"/>
      <c r="L921" s="215" t="n"/>
      <c r="M921" s="215" t="n"/>
      <c r="N921" s="215" t="n"/>
      <c r="O921" s="215" t="n"/>
      <c r="P921" s="215" t="n"/>
      <c r="Q921" s="215" t="n"/>
      <c r="R921" s="215" t="n"/>
      <c r="S921" s="215" t="n"/>
      <c r="T921" s="215" t="n"/>
      <c r="U921" s="215" t="n"/>
      <c r="V921" s="215" t="n"/>
      <c r="W921" s="215" t="n"/>
      <c r="X921" s="215" t="n"/>
      <c r="Y921" s="215" t="n"/>
      <c r="Z921" s="215" t="n"/>
      <c r="AA921" s="215" t="n"/>
      <c r="AB921" s="215" t="n"/>
      <c r="AC921" s="215" t="n"/>
      <c r="AD921" s="215" t="n"/>
      <c r="AE921" s="215" t="n"/>
      <c r="AF921" s="215" t="n"/>
      <c r="AG921" s="215" t="n"/>
      <c r="AH921" s="215" t="n"/>
      <c r="AI921" s="215" t="n"/>
      <c r="AJ921" s="215" t="n"/>
      <c r="AK921" s="216" t="n"/>
    </row>
    <row r="922" ht="15" customHeight="1">
      <c r="B922" s="134" t="n"/>
      <c r="C922" s="105" t="n"/>
      <c r="D922" s="105" t="n"/>
      <c r="E922" s="105" t="n"/>
      <c r="F922" s="105" t="n"/>
      <c r="G922" s="105" t="n"/>
      <c r="H922" s="2" t="n"/>
      <c r="I922" s="105" t="n"/>
      <c r="K922" s="215" t="n"/>
      <c r="L922" s="215" t="n"/>
      <c r="M922" s="215" t="n"/>
      <c r="N922" s="215" t="n"/>
      <c r="O922" s="215" t="n"/>
      <c r="P922" s="215" t="n"/>
      <c r="Q922" s="215" t="n"/>
      <c r="R922" s="215" t="n"/>
      <c r="S922" s="215" t="n"/>
      <c r="T922" s="215" t="n"/>
      <c r="U922" s="215" t="n"/>
      <c r="V922" s="215" t="n"/>
      <c r="W922" s="215" t="n"/>
      <c r="X922" s="215" t="n"/>
      <c r="Y922" s="215" t="n"/>
      <c r="Z922" s="215" t="n"/>
      <c r="AA922" s="215" t="n"/>
      <c r="AB922" s="215" t="n"/>
      <c r="AC922" s="215" t="n"/>
      <c r="AD922" s="215" t="n"/>
      <c r="AE922" s="215" t="n"/>
      <c r="AF922" s="215" t="n"/>
      <c r="AG922" s="215" t="n"/>
      <c r="AH922" s="215" t="n"/>
      <c r="AI922" s="215" t="n"/>
      <c r="AJ922" s="215" t="n"/>
      <c r="AK922" s="216" t="n"/>
    </row>
    <row r="923" ht="15" customHeight="1">
      <c r="B923" s="134" t="n"/>
      <c r="C923" s="105" t="n"/>
      <c r="D923" s="105" t="n"/>
      <c r="E923" s="105" t="n"/>
      <c r="F923" s="105" t="n"/>
      <c r="G923" s="105" t="n"/>
      <c r="H923" s="2" t="n"/>
      <c r="I923" s="105" t="n"/>
      <c r="K923" s="215" t="n"/>
      <c r="L923" s="215" t="n"/>
      <c r="M923" s="215" t="n"/>
      <c r="N923" s="215" t="n"/>
      <c r="O923" s="215" t="n"/>
      <c r="P923" s="215" t="n"/>
      <c r="Q923" s="215" t="n"/>
      <c r="R923" s="215" t="n"/>
      <c r="S923" s="215" t="n"/>
      <c r="T923" s="215" t="n"/>
      <c r="U923" s="215" t="n"/>
      <c r="V923" s="215" t="n"/>
      <c r="W923" s="215" t="n"/>
      <c r="X923" s="215" t="n"/>
      <c r="Y923" s="215" t="n"/>
      <c r="Z923" s="215" t="n"/>
      <c r="AA923" s="215" t="n"/>
      <c r="AB923" s="215" t="n"/>
      <c r="AC923" s="215" t="n"/>
      <c r="AD923" s="215" t="n"/>
      <c r="AE923" s="215" t="n"/>
      <c r="AF923" s="215" t="n"/>
      <c r="AG923" s="215" t="n"/>
      <c r="AH923" s="215" t="n"/>
      <c r="AI923" s="215" t="n"/>
      <c r="AJ923" s="215" t="n"/>
      <c r="AK923" s="216" t="n"/>
    </row>
    <row r="924" ht="15" customHeight="1">
      <c r="B924" s="134" t="n"/>
      <c r="C924" s="105" t="n"/>
      <c r="D924" s="105" t="n"/>
      <c r="E924" s="105" t="n"/>
      <c r="F924" s="105" t="n"/>
      <c r="G924" s="105" t="n"/>
      <c r="H924" s="2" t="n"/>
      <c r="I924" s="105" t="n"/>
      <c r="K924" s="215" t="n"/>
      <c r="L924" s="215" t="n"/>
      <c r="M924" s="215" t="n"/>
      <c r="N924" s="215" t="n"/>
      <c r="O924" s="215" t="n"/>
      <c r="P924" s="215" t="n"/>
      <c r="Q924" s="215" t="n"/>
      <c r="R924" s="215" t="n"/>
      <c r="S924" s="215" t="n"/>
      <c r="T924" s="215" t="n"/>
      <c r="U924" s="215" t="n"/>
      <c r="V924" s="215" t="n"/>
      <c r="W924" s="215" t="n"/>
      <c r="X924" s="215" t="n"/>
      <c r="Y924" s="215" t="n"/>
      <c r="Z924" s="215" t="n"/>
      <c r="AA924" s="215" t="n"/>
      <c r="AB924" s="215" t="n"/>
      <c r="AC924" s="215" t="n"/>
      <c r="AD924" s="215" t="n"/>
      <c r="AE924" s="215" t="n"/>
      <c r="AF924" s="215" t="n"/>
      <c r="AG924" s="215" t="n"/>
      <c r="AH924" s="215" t="n"/>
      <c r="AI924" s="215" t="n"/>
      <c r="AJ924" s="215" t="n"/>
      <c r="AK924" s="216" t="n"/>
    </row>
    <row r="925" ht="15" customHeight="1">
      <c r="B925" s="134" t="n"/>
      <c r="C925" s="105" t="n"/>
      <c r="D925" s="105" t="n"/>
      <c r="E925" s="105" t="n"/>
      <c r="F925" s="105" t="n"/>
      <c r="G925" s="105" t="n"/>
      <c r="H925" s="2" t="n"/>
      <c r="I925" s="105" t="n"/>
      <c r="K925" s="215" t="n"/>
      <c r="L925" s="215" t="n"/>
      <c r="M925" s="215" t="n"/>
      <c r="N925" s="215" t="n"/>
      <c r="O925" s="215" t="n"/>
      <c r="P925" s="215" t="n"/>
      <c r="Q925" s="215" t="n"/>
      <c r="R925" s="215" t="n"/>
      <c r="S925" s="215" t="n"/>
      <c r="T925" s="215" t="n"/>
      <c r="U925" s="215" t="n"/>
      <c r="V925" s="215" t="n"/>
      <c r="W925" s="215" t="n"/>
      <c r="X925" s="215" t="n"/>
      <c r="Y925" s="215" t="n"/>
      <c r="Z925" s="215" t="n"/>
      <c r="AA925" s="215" t="n"/>
      <c r="AB925" s="215" t="n"/>
      <c r="AC925" s="215" t="n"/>
      <c r="AD925" s="215" t="n"/>
      <c r="AE925" s="215" t="n"/>
      <c r="AF925" s="215" t="n"/>
      <c r="AG925" s="215" t="n"/>
      <c r="AH925" s="215" t="n"/>
      <c r="AI925" s="215" t="n"/>
      <c r="AJ925" s="215" t="n"/>
      <c r="AK925" s="216" t="n"/>
    </row>
    <row r="926" ht="15" customHeight="1">
      <c r="B926" s="134" t="n"/>
      <c r="C926" s="105" t="n"/>
      <c r="D926" s="105" t="n"/>
      <c r="E926" s="105" t="n"/>
      <c r="F926" s="105" t="n"/>
      <c r="G926" s="105" t="n"/>
      <c r="H926" s="2" t="n"/>
      <c r="I926" s="105" t="n"/>
      <c r="K926" s="215" t="n"/>
      <c r="L926" s="215" t="n"/>
      <c r="M926" s="215" t="n"/>
      <c r="N926" s="215" t="n"/>
      <c r="O926" s="215" t="n"/>
      <c r="P926" s="215" t="n"/>
      <c r="Q926" s="215" t="n"/>
      <c r="R926" s="215" t="n"/>
      <c r="S926" s="215" t="n"/>
      <c r="T926" s="215" t="n"/>
      <c r="U926" s="215" t="n"/>
      <c r="V926" s="215" t="n"/>
      <c r="W926" s="215" t="n"/>
      <c r="X926" s="215" t="n"/>
      <c r="Y926" s="215" t="n"/>
      <c r="Z926" s="215" t="n"/>
      <c r="AA926" s="215" t="n"/>
      <c r="AB926" s="215" t="n"/>
      <c r="AC926" s="215" t="n"/>
      <c r="AD926" s="215" t="n"/>
      <c r="AE926" s="215" t="n"/>
      <c r="AF926" s="215" t="n"/>
      <c r="AG926" s="215" t="n"/>
      <c r="AH926" s="215" t="n"/>
      <c r="AI926" s="215" t="n"/>
      <c r="AJ926" s="215" t="n"/>
      <c r="AK926" s="216" t="n"/>
    </row>
    <row r="927" ht="15" customHeight="1">
      <c r="B927" s="134" t="n"/>
      <c r="C927" s="105" t="n"/>
      <c r="D927" s="105" t="n"/>
      <c r="E927" s="105" t="n"/>
      <c r="F927" s="105" t="n"/>
      <c r="G927" s="105" t="n"/>
      <c r="H927" s="2" t="n"/>
      <c r="I927" s="105" t="n"/>
      <c r="K927" s="215" t="n"/>
      <c r="L927" s="215" t="n"/>
      <c r="M927" s="215" t="n"/>
      <c r="N927" s="215" t="n"/>
      <c r="O927" s="215" t="n"/>
      <c r="P927" s="215" t="n"/>
      <c r="Q927" s="215" t="n"/>
      <c r="R927" s="215" t="n"/>
      <c r="S927" s="215" t="n"/>
      <c r="T927" s="215" t="n"/>
      <c r="U927" s="215" t="n"/>
      <c r="V927" s="215" t="n"/>
      <c r="W927" s="215" t="n"/>
      <c r="X927" s="215" t="n"/>
      <c r="Y927" s="215" t="n"/>
      <c r="Z927" s="215" t="n"/>
      <c r="AA927" s="215" t="n"/>
      <c r="AB927" s="215" t="n"/>
      <c r="AC927" s="215" t="n"/>
      <c r="AD927" s="215" t="n"/>
      <c r="AE927" s="215" t="n"/>
      <c r="AF927" s="215" t="n"/>
      <c r="AG927" s="215" t="n"/>
      <c r="AH927" s="215" t="n"/>
      <c r="AI927" s="215" t="n"/>
      <c r="AJ927" s="215" t="n"/>
      <c r="AK927" s="216" t="n"/>
    </row>
    <row r="928" ht="15" customHeight="1">
      <c r="B928" s="134" t="n"/>
      <c r="C928" s="105" t="n"/>
      <c r="D928" s="105" t="n"/>
      <c r="E928" s="105" t="n"/>
      <c r="F928" s="105" t="n"/>
      <c r="G928" s="105" t="n"/>
      <c r="H928" s="2" t="n"/>
      <c r="I928" s="105" t="n"/>
      <c r="K928" s="215" t="n"/>
      <c r="L928" s="215" t="n"/>
      <c r="M928" s="215" t="n"/>
      <c r="N928" s="215" t="n"/>
      <c r="O928" s="215" t="n"/>
      <c r="P928" s="215" t="n"/>
      <c r="Q928" s="215" t="n"/>
      <c r="R928" s="215" t="n"/>
      <c r="S928" s="215" t="n"/>
      <c r="T928" s="215" t="n"/>
      <c r="U928" s="215" t="n"/>
      <c r="V928" s="215" t="n"/>
      <c r="W928" s="215" t="n"/>
      <c r="X928" s="215" t="n"/>
      <c r="Y928" s="215" t="n"/>
      <c r="Z928" s="215" t="n"/>
      <c r="AA928" s="215" t="n"/>
      <c r="AB928" s="215" t="n"/>
      <c r="AC928" s="215" t="n"/>
      <c r="AD928" s="215" t="n"/>
      <c r="AE928" s="215" t="n"/>
      <c r="AF928" s="215" t="n"/>
      <c r="AG928" s="215" t="n"/>
      <c r="AH928" s="215" t="n"/>
      <c r="AI928" s="215" t="n"/>
      <c r="AJ928" s="215" t="n"/>
      <c r="AK928" s="216" t="n"/>
    </row>
    <row r="929" ht="15" customHeight="1">
      <c r="B929" s="134" t="n"/>
      <c r="C929" s="105" t="n"/>
      <c r="D929" s="105" t="n"/>
      <c r="E929" s="105" t="n"/>
      <c r="F929" s="105" t="n"/>
      <c r="G929" s="105" t="n"/>
      <c r="H929" s="2" t="n"/>
      <c r="I929" s="105" t="n"/>
      <c r="K929" s="215" t="n"/>
      <c r="L929" s="215" t="n"/>
      <c r="M929" s="215" t="n"/>
      <c r="N929" s="215" t="n"/>
      <c r="O929" s="215" t="n"/>
      <c r="P929" s="215" t="n"/>
      <c r="Q929" s="215" t="n"/>
      <c r="R929" s="215" t="n"/>
      <c r="S929" s="215" t="n"/>
      <c r="T929" s="215" t="n"/>
      <c r="U929" s="215" t="n"/>
      <c r="V929" s="215" t="n"/>
      <c r="W929" s="215" t="n"/>
      <c r="X929" s="215" t="n"/>
      <c r="Y929" s="215" t="n"/>
      <c r="Z929" s="215" t="n"/>
      <c r="AA929" s="215" t="n"/>
      <c r="AB929" s="215" t="n"/>
      <c r="AC929" s="215" t="n"/>
      <c r="AD929" s="215" t="n"/>
      <c r="AE929" s="215" t="n"/>
      <c r="AF929" s="215" t="n"/>
      <c r="AG929" s="215" t="n"/>
      <c r="AH929" s="215" t="n"/>
      <c r="AI929" s="215" t="n"/>
      <c r="AJ929" s="215" t="n"/>
      <c r="AK929" s="216" t="n"/>
    </row>
    <row r="930" ht="15" customHeight="1">
      <c r="B930" s="134" t="n"/>
      <c r="C930" s="105" t="n"/>
      <c r="D930" s="105" t="n"/>
      <c r="E930" s="105" t="n"/>
      <c r="F930" s="105" t="n"/>
      <c r="G930" s="105" t="n"/>
      <c r="H930" s="2" t="n"/>
      <c r="I930" s="105" t="n"/>
      <c r="K930" s="215" t="n"/>
      <c r="L930" s="215" t="n"/>
      <c r="M930" s="215" t="n"/>
      <c r="N930" s="215" t="n"/>
      <c r="O930" s="215" t="n"/>
      <c r="P930" s="215" t="n"/>
      <c r="Q930" s="215" t="n"/>
      <c r="R930" s="215" t="n"/>
      <c r="S930" s="215" t="n"/>
      <c r="T930" s="215" t="n"/>
      <c r="U930" s="215" t="n"/>
      <c r="V930" s="215" t="n"/>
      <c r="W930" s="215" t="n"/>
      <c r="X930" s="215" t="n"/>
      <c r="Y930" s="215" t="n"/>
      <c r="Z930" s="215" t="n"/>
      <c r="AA930" s="215" t="n"/>
      <c r="AB930" s="215" t="n"/>
      <c r="AC930" s="215" t="n"/>
      <c r="AD930" s="215" t="n"/>
      <c r="AE930" s="215" t="n"/>
      <c r="AF930" s="215" t="n"/>
      <c r="AG930" s="215" t="n"/>
      <c r="AH930" s="215" t="n"/>
      <c r="AI930" s="215" t="n"/>
      <c r="AJ930" s="215" t="n"/>
      <c r="AK930" s="216" t="n"/>
    </row>
    <row r="931" ht="15" customHeight="1">
      <c r="B931" s="134" t="n"/>
      <c r="C931" s="105" t="n"/>
      <c r="D931" s="105" t="n"/>
      <c r="E931" s="105" t="n"/>
      <c r="F931" s="105" t="n"/>
      <c r="G931" s="105" t="n"/>
      <c r="H931" s="2" t="n"/>
      <c r="I931" s="105" t="n"/>
      <c r="K931" s="215" t="n"/>
      <c r="L931" s="215" t="n"/>
      <c r="M931" s="215" t="n"/>
      <c r="N931" s="215" t="n"/>
      <c r="O931" s="215" t="n"/>
      <c r="P931" s="215" t="n"/>
      <c r="Q931" s="215" t="n"/>
      <c r="R931" s="215" t="n"/>
      <c r="S931" s="215" t="n"/>
      <c r="T931" s="215" t="n"/>
      <c r="U931" s="215" t="n"/>
      <c r="V931" s="215" t="n"/>
      <c r="W931" s="215" t="n"/>
      <c r="X931" s="215" t="n"/>
      <c r="Y931" s="215" t="n"/>
      <c r="Z931" s="215" t="n"/>
      <c r="AA931" s="215" t="n"/>
      <c r="AB931" s="215" t="n"/>
      <c r="AC931" s="215" t="n"/>
      <c r="AD931" s="215" t="n"/>
      <c r="AE931" s="215" t="n"/>
      <c r="AF931" s="215" t="n"/>
      <c r="AG931" s="215" t="n"/>
      <c r="AH931" s="215" t="n"/>
      <c r="AI931" s="215" t="n"/>
      <c r="AJ931" s="215" t="n"/>
      <c r="AK931" s="216" t="n"/>
    </row>
    <row r="932" ht="15" customHeight="1">
      <c r="B932" s="134" t="n"/>
      <c r="C932" s="105" t="n"/>
      <c r="D932" s="105" t="n"/>
      <c r="E932" s="105" t="n"/>
      <c r="F932" s="105" t="n"/>
      <c r="G932" s="105" t="n"/>
      <c r="H932" s="2" t="n"/>
      <c r="I932" s="105" t="n"/>
      <c r="K932" s="215" t="n"/>
      <c r="L932" s="215" t="n"/>
      <c r="M932" s="215" t="n"/>
      <c r="N932" s="215" t="n"/>
      <c r="O932" s="215" t="n"/>
      <c r="P932" s="215" t="n"/>
      <c r="Q932" s="215" t="n"/>
      <c r="R932" s="215" t="n"/>
      <c r="S932" s="215" t="n"/>
      <c r="T932" s="215" t="n"/>
      <c r="U932" s="215" t="n"/>
      <c r="V932" s="215" t="n"/>
      <c r="W932" s="215" t="n"/>
      <c r="X932" s="215" t="n"/>
      <c r="Y932" s="215" t="n"/>
      <c r="Z932" s="215" t="n"/>
      <c r="AA932" s="215" t="n"/>
      <c r="AB932" s="215" t="n"/>
      <c r="AC932" s="215" t="n"/>
      <c r="AD932" s="215" t="n"/>
      <c r="AE932" s="215" t="n"/>
      <c r="AF932" s="215" t="n"/>
      <c r="AG932" s="215" t="n"/>
      <c r="AH932" s="215" t="n"/>
      <c r="AI932" s="215" t="n"/>
      <c r="AJ932" s="215" t="n"/>
      <c r="AK932" s="216" t="n"/>
    </row>
    <row r="933" ht="15" customHeight="1">
      <c r="B933" s="134" t="n"/>
      <c r="C933" s="105" t="n"/>
      <c r="D933" s="105" t="n"/>
      <c r="E933" s="105" t="n"/>
      <c r="F933" s="105" t="n"/>
      <c r="G933" s="105" t="n"/>
      <c r="H933" s="2" t="n"/>
      <c r="I933" s="105" t="n"/>
      <c r="K933" s="215" t="n"/>
      <c r="L933" s="215" t="n"/>
      <c r="M933" s="215" t="n"/>
      <c r="N933" s="215" t="n"/>
      <c r="O933" s="215" t="n"/>
      <c r="P933" s="215" t="n"/>
      <c r="Q933" s="215" t="n"/>
      <c r="R933" s="215" t="n"/>
      <c r="S933" s="215" t="n"/>
      <c r="T933" s="215" t="n"/>
      <c r="U933" s="215" t="n"/>
      <c r="V933" s="215" t="n"/>
      <c r="W933" s="215" t="n"/>
      <c r="X933" s="215" t="n"/>
      <c r="Y933" s="215" t="n"/>
      <c r="Z933" s="215" t="n"/>
      <c r="AA933" s="215" t="n"/>
      <c r="AB933" s="215" t="n"/>
      <c r="AC933" s="215" t="n"/>
      <c r="AD933" s="215" t="n"/>
      <c r="AE933" s="215" t="n"/>
      <c r="AF933" s="215" t="n"/>
      <c r="AG933" s="215" t="n"/>
      <c r="AH933" s="215" t="n"/>
      <c r="AI933" s="215" t="n"/>
      <c r="AJ933" s="215" t="n"/>
      <c r="AK933" s="216" t="n"/>
    </row>
    <row r="934" ht="15" customHeight="1">
      <c r="B934" s="134" t="n"/>
      <c r="C934" s="105" t="n"/>
      <c r="D934" s="105" t="n"/>
      <c r="E934" s="105" t="n"/>
      <c r="F934" s="105" t="n"/>
      <c r="G934" s="105" t="n"/>
      <c r="H934" s="2" t="n"/>
      <c r="I934" s="105" t="n"/>
      <c r="K934" s="215" t="n"/>
      <c r="L934" s="215" t="n"/>
      <c r="M934" s="215" t="n"/>
      <c r="N934" s="215" t="n"/>
      <c r="O934" s="215" t="n"/>
      <c r="P934" s="215" t="n"/>
      <c r="Q934" s="215" t="n"/>
      <c r="R934" s="215" t="n"/>
      <c r="S934" s="215" t="n"/>
      <c r="T934" s="215" t="n"/>
      <c r="U934" s="215" t="n"/>
      <c r="V934" s="215" t="n"/>
      <c r="W934" s="215" t="n"/>
      <c r="X934" s="215" t="n"/>
      <c r="Y934" s="215" t="n"/>
      <c r="Z934" s="215" t="n"/>
      <c r="AA934" s="215" t="n"/>
      <c r="AB934" s="215" t="n"/>
      <c r="AC934" s="215" t="n"/>
      <c r="AD934" s="215" t="n"/>
      <c r="AE934" s="215" t="n"/>
      <c r="AF934" s="215" t="n"/>
      <c r="AG934" s="215" t="n"/>
      <c r="AH934" s="215" t="n"/>
      <c r="AI934" s="215" t="n"/>
      <c r="AJ934" s="215" t="n"/>
      <c r="AK934" s="216" t="n"/>
    </row>
    <row r="935" ht="15" customHeight="1">
      <c r="B935" s="134" t="n"/>
      <c r="C935" s="105" t="n"/>
      <c r="D935" s="105" t="n"/>
      <c r="E935" s="105" t="n"/>
      <c r="F935" s="105" t="n"/>
      <c r="G935" s="105" t="n"/>
      <c r="H935" s="2" t="n"/>
      <c r="I935" s="105" t="n"/>
      <c r="K935" s="215" t="n"/>
      <c r="L935" s="215" t="n"/>
      <c r="M935" s="215" t="n"/>
      <c r="N935" s="215" t="n"/>
      <c r="O935" s="215" t="n"/>
      <c r="P935" s="215" t="n"/>
      <c r="Q935" s="215" t="n"/>
      <c r="R935" s="215" t="n"/>
      <c r="S935" s="215" t="n"/>
      <c r="T935" s="215" t="n"/>
      <c r="U935" s="215" t="n"/>
      <c r="V935" s="215" t="n"/>
      <c r="W935" s="215" t="n"/>
      <c r="X935" s="215" t="n"/>
      <c r="Y935" s="215" t="n"/>
      <c r="Z935" s="215" t="n"/>
      <c r="AA935" s="215" t="n"/>
      <c r="AB935" s="215" t="n"/>
      <c r="AC935" s="215" t="n"/>
      <c r="AD935" s="215" t="n"/>
      <c r="AE935" s="215" t="n"/>
      <c r="AF935" s="215" t="n"/>
      <c r="AG935" s="215" t="n"/>
      <c r="AH935" s="215" t="n"/>
      <c r="AI935" s="215" t="n"/>
      <c r="AJ935" s="215" t="n"/>
      <c r="AK935" s="216" t="n"/>
    </row>
    <row r="936" ht="15" customHeight="1">
      <c r="B936" s="134" t="n"/>
      <c r="C936" s="105" t="n"/>
      <c r="D936" s="105" t="n"/>
      <c r="E936" s="105" t="n"/>
      <c r="F936" s="105" t="n"/>
      <c r="G936" s="105" t="n"/>
      <c r="H936" s="2" t="n"/>
      <c r="I936" s="105" t="n"/>
      <c r="K936" s="215" t="n"/>
      <c r="L936" s="215" t="n"/>
      <c r="M936" s="215" t="n"/>
      <c r="N936" s="215" t="n"/>
      <c r="O936" s="215" t="n"/>
      <c r="P936" s="215" t="n"/>
      <c r="Q936" s="215" t="n"/>
      <c r="R936" s="215" t="n"/>
      <c r="S936" s="215" t="n"/>
      <c r="T936" s="215" t="n"/>
      <c r="U936" s="215" t="n"/>
      <c r="V936" s="215" t="n"/>
      <c r="W936" s="215" t="n"/>
      <c r="X936" s="215" t="n"/>
      <c r="Y936" s="215" t="n"/>
      <c r="Z936" s="215" t="n"/>
      <c r="AA936" s="215" t="n"/>
      <c r="AB936" s="215" t="n"/>
      <c r="AC936" s="215" t="n"/>
      <c r="AD936" s="215" t="n"/>
      <c r="AE936" s="215" t="n"/>
      <c r="AF936" s="215" t="n"/>
      <c r="AG936" s="215" t="n"/>
      <c r="AH936" s="215" t="n"/>
      <c r="AI936" s="215" t="n"/>
      <c r="AJ936" s="215" t="n"/>
      <c r="AK936" s="216" t="n"/>
    </row>
    <row r="937" ht="15" customHeight="1">
      <c r="B937" s="134" t="n"/>
      <c r="C937" s="105" t="n"/>
      <c r="D937" s="105" t="n"/>
      <c r="E937" s="105" t="n"/>
      <c r="F937" s="105" t="n"/>
      <c r="G937" s="105" t="n"/>
      <c r="H937" s="2" t="n"/>
      <c r="I937" s="105" t="n"/>
      <c r="K937" s="215" t="n"/>
      <c r="L937" s="215" t="n"/>
      <c r="M937" s="215" t="n"/>
      <c r="N937" s="215" t="n"/>
      <c r="O937" s="215" t="n"/>
      <c r="P937" s="215" t="n"/>
      <c r="Q937" s="215" t="n"/>
      <c r="R937" s="215" t="n"/>
      <c r="S937" s="215" t="n"/>
      <c r="T937" s="215" t="n"/>
      <c r="U937" s="215" t="n"/>
      <c r="V937" s="215" t="n"/>
      <c r="W937" s="215" t="n"/>
      <c r="X937" s="215" t="n"/>
      <c r="Y937" s="215" t="n"/>
      <c r="Z937" s="215" t="n"/>
      <c r="AA937" s="215" t="n"/>
      <c r="AB937" s="215" t="n"/>
      <c r="AC937" s="215" t="n"/>
      <c r="AD937" s="215" t="n"/>
      <c r="AE937" s="215" t="n"/>
      <c r="AF937" s="215" t="n"/>
      <c r="AG937" s="215" t="n"/>
      <c r="AH937" s="215" t="n"/>
      <c r="AI937" s="215" t="n"/>
      <c r="AJ937" s="215" t="n"/>
      <c r="AK937" s="216" t="n"/>
    </row>
    <row r="938" ht="15" customHeight="1">
      <c r="B938" s="134" t="n"/>
      <c r="C938" s="105" t="n"/>
      <c r="D938" s="105" t="n"/>
      <c r="E938" s="105" t="n"/>
      <c r="F938" s="105" t="n"/>
      <c r="G938" s="105" t="n"/>
      <c r="H938" s="2" t="n"/>
      <c r="I938" s="105" t="n"/>
      <c r="K938" s="215" t="n"/>
      <c r="L938" s="215" t="n"/>
      <c r="M938" s="215" t="n"/>
      <c r="N938" s="215" t="n"/>
      <c r="O938" s="215" t="n"/>
      <c r="P938" s="215" t="n"/>
      <c r="Q938" s="215" t="n"/>
      <c r="R938" s="215" t="n"/>
      <c r="S938" s="215" t="n"/>
      <c r="T938" s="215" t="n"/>
      <c r="U938" s="215" t="n"/>
      <c r="V938" s="215" t="n"/>
      <c r="W938" s="215" t="n"/>
      <c r="X938" s="215" t="n"/>
      <c r="Y938" s="215" t="n"/>
      <c r="Z938" s="215" t="n"/>
      <c r="AA938" s="215" t="n"/>
      <c r="AB938" s="215" t="n"/>
      <c r="AC938" s="215" t="n"/>
      <c r="AD938" s="215" t="n"/>
      <c r="AE938" s="215" t="n"/>
      <c r="AF938" s="215" t="n"/>
      <c r="AG938" s="215" t="n"/>
      <c r="AH938" s="215" t="n"/>
      <c r="AI938" s="215" t="n"/>
      <c r="AJ938" s="215" t="n"/>
      <c r="AK938" s="216" t="n"/>
    </row>
    <row r="939" ht="15" customHeight="1">
      <c r="B939" s="134" t="n"/>
      <c r="C939" s="105" t="n"/>
      <c r="D939" s="105" t="n"/>
      <c r="E939" s="105" t="n"/>
      <c r="F939" s="105" t="n"/>
      <c r="G939" s="105" t="n"/>
      <c r="H939" s="2" t="n"/>
      <c r="I939" s="105" t="n"/>
      <c r="K939" s="215" t="n"/>
      <c r="L939" s="215" t="n"/>
      <c r="M939" s="215" t="n"/>
      <c r="N939" s="215" t="n"/>
      <c r="O939" s="215" t="n"/>
      <c r="P939" s="215" t="n"/>
      <c r="Q939" s="215" t="n"/>
      <c r="R939" s="215" t="n"/>
      <c r="S939" s="215" t="n"/>
      <c r="T939" s="215" t="n"/>
      <c r="U939" s="215" t="n"/>
      <c r="V939" s="215" t="n"/>
      <c r="W939" s="215" t="n"/>
      <c r="X939" s="215" t="n"/>
      <c r="Y939" s="215" t="n"/>
      <c r="Z939" s="215" t="n"/>
      <c r="AA939" s="215" t="n"/>
      <c r="AB939" s="215" t="n"/>
      <c r="AC939" s="215" t="n"/>
      <c r="AD939" s="215" t="n"/>
      <c r="AE939" s="215" t="n"/>
      <c r="AF939" s="215" t="n"/>
      <c r="AG939" s="215" t="n"/>
      <c r="AH939" s="215" t="n"/>
      <c r="AI939" s="215" t="n"/>
      <c r="AJ939" s="215" t="n"/>
      <c r="AK939" s="216" t="n"/>
    </row>
    <row r="940" ht="15" customHeight="1">
      <c r="B940" s="134" t="n"/>
      <c r="C940" s="105" t="n"/>
      <c r="D940" s="105" t="n"/>
      <c r="E940" s="105" t="n"/>
      <c r="F940" s="105" t="n"/>
      <c r="G940" s="105" t="n"/>
      <c r="H940" s="2" t="n"/>
      <c r="I940" s="105" t="n"/>
      <c r="K940" s="215" t="n"/>
      <c r="L940" s="215" t="n"/>
      <c r="M940" s="215" t="n"/>
      <c r="N940" s="215" t="n"/>
      <c r="O940" s="215" t="n"/>
      <c r="P940" s="215" t="n"/>
      <c r="Q940" s="215" t="n"/>
      <c r="R940" s="215" t="n"/>
      <c r="S940" s="215" t="n"/>
      <c r="T940" s="215" t="n"/>
      <c r="U940" s="215" t="n"/>
      <c r="V940" s="215" t="n"/>
      <c r="W940" s="215" t="n"/>
      <c r="X940" s="215" t="n"/>
      <c r="Y940" s="215" t="n"/>
      <c r="Z940" s="215" t="n"/>
      <c r="AA940" s="215" t="n"/>
      <c r="AB940" s="215" t="n"/>
      <c r="AC940" s="215" t="n"/>
      <c r="AD940" s="215" t="n"/>
      <c r="AE940" s="215" t="n"/>
      <c r="AF940" s="215" t="n"/>
      <c r="AG940" s="215" t="n"/>
      <c r="AH940" s="215" t="n"/>
      <c r="AI940" s="215" t="n"/>
      <c r="AJ940" s="215" t="n"/>
      <c r="AK940" s="216" t="n"/>
    </row>
    <row r="941" ht="15" customHeight="1">
      <c r="B941" s="134" t="n"/>
      <c r="C941" s="105" t="n"/>
      <c r="D941" s="105" t="n"/>
      <c r="E941" s="105" t="n"/>
      <c r="F941" s="105" t="n"/>
      <c r="G941" s="105" t="n"/>
      <c r="H941" s="2" t="n"/>
      <c r="I941" s="105" t="n"/>
      <c r="K941" s="215" t="n"/>
      <c r="L941" s="215" t="n"/>
      <c r="M941" s="215" t="n"/>
      <c r="N941" s="215" t="n"/>
      <c r="O941" s="215" t="n"/>
      <c r="P941" s="215" t="n"/>
      <c r="Q941" s="215" t="n"/>
      <c r="R941" s="215" t="n"/>
      <c r="S941" s="215" t="n"/>
      <c r="T941" s="215" t="n"/>
      <c r="U941" s="215" t="n"/>
      <c r="V941" s="215" t="n"/>
      <c r="W941" s="215" t="n"/>
      <c r="X941" s="215" t="n"/>
      <c r="Y941" s="215" t="n"/>
      <c r="Z941" s="215" t="n"/>
      <c r="AA941" s="215" t="n"/>
      <c r="AB941" s="215" t="n"/>
      <c r="AC941" s="215" t="n"/>
      <c r="AD941" s="215" t="n"/>
      <c r="AE941" s="215" t="n"/>
      <c r="AF941" s="215" t="n"/>
      <c r="AG941" s="215" t="n"/>
      <c r="AH941" s="215" t="n"/>
      <c r="AI941" s="215" t="n"/>
      <c r="AJ941" s="215" t="n"/>
      <c r="AK941" s="216" t="n"/>
    </row>
    <row r="942" ht="15" customHeight="1">
      <c r="B942" s="134" t="n"/>
      <c r="C942" s="105" t="n"/>
      <c r="D942" s="105" t="n"/>
      <c r="E942" s="105" t="n"/>
      <c r="F942" s="105" t="n"/>
      <c r="G942" s="105" t="n"/>
      <c r="H942" s="2" t="n"/>
      <c r="I942" s="105" t="n"/>
      <c r="K942" s="215" t="n"/>
      <c r="L942" s="215" t="n"/>
      <c r="M942" s="215" t="n"/>
      <c r="N942" s="215" t="n"/>
      <c r="O942" s="215" t="n"/>
      <c r="P942" s="215" t="n"/>
      <c r="Q942" s="215" t="n"/>
      <c r="R942" s="215" t="n"/>
      <c r="S942" s="215" t="n"/>
      <c r="T942" s="215" t="n"/>
      <c r="U942" s="215" t="n"/>
      <c r="V942" s="215" t="n"/>
      <c r="W942" s="215" t="n"/>
      <c r="X942" s="215" t="n"/>
      <c r="Y942" s="215" t="n"/>
      <c r="Z942" s="215" t="n"/>
      <c r="AA942" s="215" t="n"/>
      <c r="AB942" s="215" t="n"/>
      <c r="AC942" s="215" t="n"/>
      <c r="AD942" s="215" t="n"/>
      <c r="AE942" s="215" t="n"/>
      <c r="AF942" s="215" t="n"/>
      <c r="AG942" s="215" t="n"/>
      <c r="AH942" s="215" t="n"/>
      <c r="AI942" s="215" t="n"/>
      <c r="AJ942" s="215" t="n"/>
      <c r="AK942" s="216" t="n"/>
    </row>
    <row r="943" ht="15" customHeight="1">
      <c r="B943" s="134" t="n"/>
      <c r="C943" s="105" t="n"/>
      <c r="D943" s="105" t="n"/>
      <c r="E943" s="105" t="n"/>
      <c r="F943" s="105" t="n"/>
      <c r="G943" s="105" t="n"/>
      <c r="H943" s="2" t="n"/>
      <c r="I943" s="105" t="n"/>
      <c r="K943" s="215" t="n"/>
      <c r="L943" s="215" t="n"/>
      <c r="M943" s="215" t="n"/>
      <c r="N943" s="215" t="n"/>
      <c r="O943" s="215" t="n"/>
      <c r="P943" s="215" t="n"/>
      <c r="Q943" s="215" t="n"/>
      <c r="R943" s="215" t="n"/>
      <c r="S943" s="215" t="n"/>
      <c r="T943" s="215" t="n"/>
      <c r="U943" s="215" t="n"/>
      <c r="V943" s="215" t="n"/>
      <c r="W943" s="215" t="n"/>
      <c r="X943" s="215" t="n"/>
      <c r="Y943" s="215" t="n"/>
      <c r="Z943" s="215" t="n"/>
      <c r="AA943" s="215" t="n"/>
      <c r="AB943" s="215" t="n"/>
      <c r="AC943" s="215" t="n"/>
      <c r="AD943" s="215" t="n"/>
      <c r="AE943" s="215" t="n"/>
      <c r="AF943" s="215" t="n"/>
      <c r="AG943" s="215" t="n"/>
      <c r="AH943" s="215" t="n"/>
      <c r="AI943" s="215" t="n"/>
      <c r="AJ943" s="215" t="n"/>
      <c r="AK943" s="216" t="n"/>
    </row>
    <row r="944" ht="15" customHeight="1">
      <c r="B944" s="134" t="n"/>
      <c r="C944" s="105" t="n"/>
      <c r="D944" s="105" t="n"/>
      <c r="E944" s="105" t="n"/>
      <c r="F944" s="105" t="n"/>
      <c r="G944" s="105" t="n"/>
      <c r="H944" s="2" t="n"/>
      <c r="I944" s="105" t="n"/>
      <c r="K944" s="215" t="n"/>
      <c r="L944" s="215" t="n"/>
      <c r="M944" s="215" t="n"/>
      <c r="N944" s="215" t="n"/>
      <c r="O944" s="215" t="n"/>
      <c r="P944" s="215" t="n"/>
      <c r="Q944" s="215" t="n"/>
      <c r="R944" s="215" t="n"/>
      <c r="S944" s="215" t="n"/>
      <c r="T944" s="215" t="n"/>
      <c r="U944" s="215" t="n"/>
      <c r="V944" s="215" t="n"/>
      <c r="W944" s="215" t="n"/>
      <c r="X944" s="215" t="n"/>
      <c r="Y944" s="215" t="n"/>
      <c r="Z944" s="215" t="n"/>
      <c r="AA944" s="215" t="n"/>
      <c r="AB944" s="215" t="n"/>
      <c r="AC944" s="215" t="n"/>
      <c r="AD944" s="215" t="n"/>
      <c r="AE944" s="215" t="n"/>
      <c r="AF944" s="215" t="n"/>
      <c r="AG944" s="215" t="n"/>
      <c r="AH944" s="215" t="n"/>
      <c r="AI944" s="215" t="n"/>
      <c r="AJ944" s="215" t="n"/>
      <c r="AK944" s="216" t="n"/>
    </row>
    <row r="945" ht="15" customHeight="1">
      <c r="B945" s="134" t="n"/>
      <c r="C945" s="105" t="n"/>
      <c r="D945" s="105" t="n"/>
      <c r="E945" s="105" t="n"/>
      <c r="F945" s="105" t="n"/>
      <c r="G945" s="105" t="n"/>
      <c r="H945" s="2" t="n"/>
      <c r="I945" s="105" t="n"/>
      <c r="K945" s="215" t="n"/>
      <c r="L945" s="215" t="n"/>
      <c r="M945" s="215" t="n"/>
      <c r="N945" s="215" t="n"/>
      <c r="O945" s="215" t="n"/>
      <c r="P945" s="215" t="n"/>
      <c r="Q945" s="215" t="n"/>
      <c r="R945" s="215" t="n"/>
      <c r="S945" s="215" t="n"/>
      <c r="T945" s="215" t="n"/>
      <c r="U945" s="215" t="n"/>
      <c r="V945" s="215" t="n"/>
      <c r="W945" s="215" t="n"/>
      <c r="X945" s="215" t="n"/>
      <c r="Y945" s="215" t="n"/>
      <c r="Z945" s="215" t="n"/>
      <c r="AA945" s="215" t="n"/>
      <c r="AB945" s="215" t="n"/>
      <c r="AC945" s="215" t="n"/>
      <c r="AD945" s="215" t="n"/>
      <c r="AE945" s="215" t="n"/>
      <c r="AF945" s="215" t="n"/>
      <c r="AG945" s="215" t="n"/>
      <c r="AH945" s="215" t="n"/>
      <c r="AI945" s="215" t="n"/>
      <c r="AJ945" s="215" t="n"/>
      <c r="AK945" s="216" t="n"/>
    </row>
    <row r="946" ht="15" customHeight="1">
      <c r="B946" s="134" t="n"/>
      <c r="C946" s="105" t="n"/>
      <c r="D946" s="105" t="n"/>
      <c r="E946" s="105" t="n"/>
      <c r="F946" s="105" t="n"/>
      <c r="G946" s="105" t="n"/>
      <c r="H946" s="2" t="n"/>
      <c r="I946" s="105" t="n"/>
      <c r="K946" s="215" t="n"/>
      <c r="L946" s="215" t="n"/>
      <c r="M946" s="215" t="n"/>
      <c r="N946" s="215" t="n"/>
      <c r="O946" s="215" t="n"/>
      <c r="P946" s="215" t="n"/>
      <c r="Q946" s="215" t="n"/>
      <c r="R946" s="215" t="n"/>
      <c r="S946" s="215" t="n"/>
      <c r="T946" s="215" t="n"/>
      <c r="U946" s="215" t="n"/>
      <c r="V946" s="215" t="n"/>
      <c r="W946" s="215" t="n"/>
      <c r="X946" s="215" t="n"/>
      <c r="Y946" s="215" t="n"/>
      <c r="Z946" s="215" t="n"/>
      <c r="AA946" s="215" t="n"/>
      <c r="AB946" s="215" t="n"/>
      <c r="AC946" s="215" t="n"/>
      <c r="AD946" s="215" t="n"/>
      <c r="AE946" s="215" t="n"/>
      <c r="AF946" s="215" t="n"/>
      <c r="AG946" s="215" t="n"/>
      <c r="AH946" s="215" t="n"/>
      <c r="AI946" s="215" t="n"/>
      <c r="AJ946" s="215" t="n"/>
      <c r="AK946" s="216" t="n"/>
    </row>
    <row r="947" ht="15" customHeight="1">
      <c r="B947" s="134" t="n"/>
      <c r="C947" s="105" t="n"/>
      <c r="D947" s="105" t="n"/>
      <c r="E947" s="105" t="n"/>
      <c r="F947" s="105" t="n"/>
      <c r="G947" s="105" t="n"/>
      <c r="H947" s="2" t="n"/>
      <c r="I947" s="105" t="n"/>
      <c r="K947" s="215" t="n"/>
      <c r="L947" s="215" t="n"/>
      <c r="M947" s="215" t="n"/>
      <c r="N947" s="215" t="n"/>
      <c r="O947" s="215" t="n"/>
      <c r="P947" s="215" t="n"/>
      <c r="Q947" s="215" t="n"/>
      <c r="R947" s="215" t="n"/>
      <c r="S947" s="215" t="n"/>
      <c r="T947" s="215" t="n"/>
      <c r="U947" s="215" t="n"/>
      <c r="V947" s="215" t="n"/>
      <c r="W947" s="215" t="n"/>
      <c r="X947" s="215" t="n"/>
      <c r="Y947" s="215" t="n"/>
      <c r="Z947" s="215" t="n"/>
      <c r="AA947" s="215" t="n"/>
      <c r="AB947" s="215" t="n"/>
      <c r="AC947" s="215" t="n"/>
      <c r="AD947" s="215" t="n"/>
      <c r="AE947" s="215" t="n"/>
      <c r="AF947" s="215" t="n"/>
      <c r="AG947" s="215" t="n"/>
      <c r="AH947" s="215" t="n"/>
      <c r="AI947" s="215" t="n"/>
      <c r="AJ947" s="215" t="n"/>
      <c r="AK947" s="216" t="n"/>
    </row>
    <row r="948" ht="15" customHeight="1">
      <c r="B948" s="134" t="n"/>
      <c r="C948" s="105" t="n"/>
      <c r="D948" s="105" t="n"/>
      <c r="E948" s="105" t="n"/>
      <c r="F948" s="105" t="n"/>
      <c r="G948" s="105" t="n"/>
      <c r="H948" s="2" t="n"/>
      <c r="I948" s="105" t="n"/>
      <c r="K948" s="215" t="n"/>
      <c r="L948" s="215" t="n"/>
      <c r="M948" s="215" t="n"/>
      <c r="N948" s="215" t="n"/>
      <c r="O948" s="215" t="n"/>
      <c r="P948" s="215" t="n"/>
      <c r="Q948" s="215" t="n"/>
      <c r="R948" s="215" t="n"/>
      <c r="S948" s="215" t="n"/>
      <c r="T948" s="215" t="n"/>
      <c r="U948" s="215" t="n"/>
      <c r="V948" s="215" t="n"/>
      <c r="W948" s="215" t="n"/>
      <c r="X948" s="215" t="n"/>
      <c r="Y948" s="215" t="n"/>
      <c r="Z948" s="215" t="n"/>
      <c r="AA948" s="215" t="n"/>
      <c r="AB948" s="215" t="n"/>
      <c r="AC948" s="215" t="n"/>
      <c r="AD948" s="215" t="n"/>
      <c r="AE948" s="215" t="n"/>
      <c r="AF948" s="215" t="n"/>
      <c r="AG948" s="215" t="n"/>
      <c r="AH948" s="215" t="n"/>
      <c r="AI948" s="215" t="n"/>
      <c r="AJ948" s="215" t="n"/>
      <c r="AK948" s="216" t="n"/>
    </row>
    <row r="949" ht="15" customHeight="1">
      <c r="B949" s="134" t="n"/>
      <c r="C949" s="105" t="n"/>
      <c r="D949" s="105" t="n"/>
      <c r="E949" s="105" t="n"/>
      <c r="F949" s="105" t="n"/>
      <c r="G949" s="105" t="n"/>
      <c r="H949" s="2" t="n"/>
      <c r="I949" s="105" t="n"/>
      <c r="K949" s="215" t="n"/>
      <c r="L949" s="215" t="n"/>
      <c r="M949" s="215" t="n"/>
      <c r="N949" s="215" t="n"/>
      <c r="O949" s="215" t="n"/>
      <c r="P949" s="215" t="n"/>
      <c r="Q949" s="215" t="n"/>
      <c r="R949" s="215" t="n"/>
      <c r="S949" s="215" t="n"/>
      <c r="T949" s="215" t="n"/>
      <c r="U949" s="215" t="n"/>
      <c r="V949" s="215" t="n"/>
      <c r="W949" s="215" t="n"/>
      <c r="X949" s="215" t="n"/>
      <c r="Y949" s="215" t="n"/>
      <c r="Z949" s="215" t="n"/>
      <c r="AA949" s="215" t="n"/>
      <c r="AB949" s="215" t="n"/>
      <c r="AC949" s="215" t="n"/>
      <c r="AD949" s="215" t="n"/>
      <c r="AE949" s="215" t="n"/>
      <c r="AF949" s="215" t="n"/>
      <c r="AG949" s="215" t="n"/>
      <c r="AH949" s="215" t="n"/>
      <c r="AI949" s="215" t="n"/>
      <c r="AJ949" s="215" t="n"/>
      <c r="AK949" s="216" t="n"/>
    </row>
    <row r="950" ht="15" customHeight="1">
      <c r="B950" s="134" t="n"/>
      <c r="C950" s="105" t="n"/>
      <c r="D950" s="105" t="n"/>
      <c r="E950" s="105" t="n"/>
      <c r="F950" s="105" t="n"/>
      <c r="G950" s="105" t="n"/>
      <c r="H950" s="2" t="n"/>
      <c r="I950" s="105" t="n"/>
      <c r="K950" s="215" t="n"/>
      <c r="L950" s="215" t="n"/>
      <c r="M950" s="215" t="n"/>
      <c r="N950" s="215" t="n"/>
      <c r="O950" s="215" t="n"/>
      <c r="P950" s="215" t="n"/>
      <c r="Q950" s="215" t="n"/>
      <c r="R950" s="215" t="n"/>
      <c r="S950" s="215" t="n"/>
      <c r="T950" s="215" t="n"/>
      <c r="U950" s="215" t="n"/>
      <c r="V950" s="215" t="n"/>
      <c r="W950" s="215" t="n"/>
      <c r="X950" s="215" t="n"/>
      <c r="Y950" s="215" t="n"/>
      <c r="Z950" s="215" t="n"/>
      <c r="AA950" s="215" t="n"/>
      <c r="AB950" s="215" t="n"/>
      <c r="AC950" s="215" t="n"/>
      <c r="AD950" s="215" t="n"/>
      <c r="AE950" s="215" t="n"/>
      <c r="AF950" s="215" t="n"/>
      <c r="AG950" s="215" t="n"/>
      <c r="AH950" s="215" t="n"/>
      <c r="AI950" s="215" t="n"/>
      <c r="AJ950" s="215" t="n"/>
      <c r="AK950" s="216" t="n"/>
    </row>
    <row r="951" ht="15" customHeight="1">
      <c r="B951" s="134" t="n"/>
      <c r="C951" s="105" t="n"/>
      <c r="D951" s="105" t="n"/>
      <c r="E951" s="105" t="n"/>
      <c r="F951" s="105" t="n"/>
      <c r="G951" s="105" t="n"/>
      <c r="H951" s="2" t="n"/>
      <c r="I951" s="105" t="n"/>
      <c r="K951" s="215" t="n"/>
      <c r="L951" s="215" t="n"/>
      <c r="M951" s="215" t="n"/>
      <c r="N951" s="215" t="n"/>
      <c r="O951" s="215" t="n"/>
      <c r="P951" s="215" t="n"/>
      <c r="Q951" s="215" t="n"/>
      <c r="R951" s="215" t="n"/>
      <c r="S951" s="215" t="n"/>
      <c r="T951" s="215" t="n"/>
      <c r="U951" s="215" t="n"/>
      <c r="V951" s="215" t="n"/>
      <c r="W951" s="215" t="n"/>
      <c r="X951" s="215" t="n"/>
      <c r="Y951" s="215" t="n"/>
      <c r="Z951" s="215" t="n"/>
      <c r="AA951" s="215" t="n"/>
      <c r="AB951" s="215" t="n"/>
      <c r="AC951" s="215" t="n"/>
      <c r="AD951" s="215" t="n"/>
      <c r="AE951" s="215" t="n"/>
      <c r="AF951" s="215" t="n"/>
      <c r="AG951" s="215" t="n"/>
      <c r="AH951" s="215" t="n"/>
      <c r="AI951" s="215" t="n"/>
      <c r="AJ951" s="215" t="n"/>
      <c r="AK951" s="216" t="n"/>
    </row>
    <row r="952" ht="15" customHeight="1">
      <c r="B952" s="134" t="n"/>
      <c r="C952" s="105" t="n"/>
      <c r="D952" s="105" t="n"/>
      <c r="E952" s="105" t="n"/>
      <c r="F952" s="105" t="n"/>
      <c r="G952" s="105" t="n"/>
      <c r="H952" s="2" t="n"/>
      <c r="I952" s="105" t="n"/>
      <c r="K952" s="215" t="n"/>
      <c r="L952" s="215" t="n"/>
      <c r="M952" s="215" t="n"/>
      <c r="N952" s="215" t="n"/>
      <c r="O952" s="215" t="n"/>
      <c r="P952" s="215" t="n"/>
      <c r="Q952" s="215" t="n"/>
      <c r="R952" s="215" t="n"/>
      <c r="S952" s="215" t="n"/>
      <c r="T952" s="215" t="n"/>
      <c r="U952" s="215" t="n"/>
      <c r="V952" s="215" t="n"/>
      <c r="W952" s="215" t="n"/>
      <c r="X952" s="215" t="n"/>
      <c r="Y952" s="215" t="n"/>
      <c r="Z952" s="215" t="n"/>
      <c r="AA952" s="215" t="n"/>
      <c r="AB952" s="215" t="n"/>
      <c r="AC952" s="215" t="n"/>
      <c r="AD952" s="215" t="n"/>
      <c r="AE952" s="215" t="n"/>
      <c r="AF952" s="215" t="n"/>
      <c r="AG952" s="215" t="n"/>
      <c r="AH952" s="215" t="n"/>
      <c r="AI952" s="215" t="n"/>
      <c r="AJ952" s="215" t="n"/>
      <c r="AK952" s="216" t="n"/>
    </row>
    <row r="953" ht="15" customHeight="1">
      <c r="B953" s="134" t="n"/>
      <c r="C953" s="105" t="n"/>
      <c r="D953" s="105" t="n"/>
      <c r="E953" s="105" t="n"/>
      <c r="F953" s="105" t="n"/>
      <c r="G953" s="105" t="n"/>
      <c r="H953" s="2" t="n"/>
      <c r="I953" s="105" t="n"/>
      <c r="K953" s="215" t="n"/>
      <c r="L953" s="215" t="n"/>
      <c r="M953" s="215" t="n"/>
      <c r="N953" s="215" t="n"/>
      <c r="O953" s="215" t="n"/>
      <c r="P953" s="215" t="n"/>
      <c r="Q953" s="215" t="n"/>
      <c r="R953" s="215" t="n"/>
      <c r="S953" s="215" t="n"/>
      <c r="T953" s="215" t="n"/>
      <c r="U953" s="215" t="n"/>
      <c r="V953" s="215" t="n"/>
      <c r="W953" s="215" t="n"/>
      <c r="X953" s="215" t="n"/>
      <c r="Y953" s="215" t="n"/>
      <c r="Z953" s="215" t="n"/>
      <c r="AA953" s="215" t="n"/>
      <c r="AB953" s="215" t="n"/>
      <c r="AC953" s="215" t="n"/>
      <c r="AD953" s="215" t="n"/>
      <c r="AE953" s="215" t="n"/>
      <c r="AF953" s="215" t="n"/>
      <c r="AG953" s="215" t="n"/>
      <c r="AH953" s="215" t="n"/>
      <c r="AI953" s="215" t="n"/>
      <c r="AJ953" s="215" t="n"/>
      <c r="AK953" s="216" t="n"/>
    </row>
    <row r="954" ht="15" customHeight="1">
      <c r="B954" s="134" t="n"/>
      <c r="C954" s="105" t="n"/>
      <c r="D954" s="105" t="n"/>
      <c r="E954" s="105" t="n"/>
      <c r="F954" s="105" t="n"/>
      <c r="G954" s="105" t="n"/>
      <c r="H954" s="2" t="n"/>
      <c r="I954" s="105" t="n"/>
      <c r="K954" s="215" t="n"/>
      <c r="L954" s="215" t="n"/>
      <c r="M954" s="215" t="n"/>
      <c r="N954" s="215" t="n"/>
      <c r="O954" s="215" t="n"/>
      <c r="P954" s="215" t="n"/>
      <c r="Q954" s="215" t="n"/>
      <c r="R954" s="215" t="n"/>
      <c r="S954" s="215" t="n"/>
      <c r="T954" s="215" t="n"/>
      <c r="U954" s="215" t="n"/>
      <c r="V954" s="215" t="n"/>
      <c r="W954" s="215" t="n"/>
      <c r="X954" s="215" t="n"/>
      <c r="Y954" s="215" t="n"/>
      <c r="Z954" s="215" t="n"/>
      <c r="AA954" s="215" t="n"/>
      <c r="AB954" s="215" t="n"/>
      <c r="AC954" s="215" t="n"/>
      <c r="AD954" s="215" t="n"/>
      <c r="AE954" s="215" t="n"/>
      <c r="AF954" s="215" t="n"/>
      <c r="AG954" s="215" t="n"/>
      <c r="AH954" s="215" t="n"/>
      <c r="AI954" s="215" t="n"/>
      <c r="AJ954" s="215" t="n"/>
      <c r="AK954" s="216" t="n"/>
    </row>
    <row r="955" ht="15" customHeight="1">
      <c r="B955" s="134" t="n"/>
      <c r="C955" s="105" t="n"/>
      <c r="D955" s="105" t="n"/>
      <c r="E955" s="105" t="n"/>
      <c r="F955" s="105" t="n"/>
      <c r="G955" s="105" t="n"/>
      <c r="H955" s="2" t="n"/>
      <c r="I955" s="105" t="n"/>
      <c r="K955" s="215" t="n"/>
      <c r="L955" s="215" t="n"/>
      <c r="M955" s="215" t="n"/>
      <c r="N955" s="215" t="n"/>
      <c r="O955" s="215" t="n"/>
      <c r="P955" s="215" t="n"/>
      <c r="Q955" s="215" t="n"/>
      <c r="R955" s="215" t="n"/>
      <c r="S955" s="215" t="n"/>
      <c r="T955" s="215" t="n"/>
      <c r="U955" s="215" t="n"/>
      <c r="V955" s="215" t="n"/>
      <c r="W955" s="215" t="n"/>
      <c r="X955" s="215" t="n"/>
      <c r="Y955" s="215" t="n"/>
      <c r="Z955" s="215" t="n"/>
      <c r="AA955" s="215" t="n"/>
      <c r="AB955" s="215" t="n"/>
      <c r="AC955" s="215" t="n"/>
      <c r="AD955" s="215" t="n"/>
      <c r="AE955" s="215" t="n"/>
      <c r="AF955" s="215" t="n"/>
      <c r="AG955" s="215" t="n"/>
      <c r="AH955" s="215" t="n"/>
      <c r="AI955" s="215" t="n"/>
      <c r="AJ955" s="215" t="n"/>
      <c r="AK955" s="216" t="n"/>
    </row>
    <row r="956" ht="15" customHeight="1">
      <c r="B956" s="134" t="n"/>
      <c r="C956" s="105" t="n"/>
      <c r="D956" s="105" t="n"/>
      <c r="E956" s="105" t="n"/>
      <c r="F956" s="105" t="n"/>
      <c r="G956" s="105" t="n"/>
      <c r="H956" s="2" t="n"/>
      <c r="I956" s="105" t="n"/>
      <c r="K956" s="215" t="n"/>
      <c r="L956" s="215" t="n"/>
      <c r="M956" s="215" t="n"/>
      <c r="N956" s="215" t="n"/>
      <c r="O956" s="215" t="n"/>
      <c r="P956" s="215" t="n"/>
      <c r="Q956" s="215" t="n"/>
      <c r="R956" s="215" t="n"/>
      <c r="S956" s="215" t="n"/>
      <c r="T956" s="215" t="n"/>
      <c r="U956" s="215" t="n"/>
      <c r="V956" s="215" t="n"/>
      <c r="W956" s="215" t="n"/>
      <c r="X956" s="215" t="n"/>
      <c r="Y956" s="215" t="n"/>
      <c r="Z956" s="215" t="n"/>
      <c r="AA956" s="215" t="n"/>
      <c r="AB956" s="215" t="n"/>
      <c r="AC956" s="215" t="n"/>
      <c r="AD956" s="215" t="n"/>
      <c r="AE956" s="215" t="n"/>
      <c r="AF956" s="215" t="n"/>
      <c r="AG956" s="215" t="n"/>
      <c r="AH956" s="215" t="n"/>
      <c r="AI956" s="215" t="n"/>
      <c r="AJ956" s="215" t="n"/>
      <c r="AK956" s="216" t="n"/>
    </row>
    <row r="957" ht="15" customHeight="1">
      <c r="B957" s="134" t="n"/>
      <c r="C957" s="105" t="n"/>
      <c r="D957" s="105" t="n"/>
      <c r="E957" s="105" t="n"/>
      <c r="F957" s="105" t="n"/>
      <c r="G957" s="105" t="n"/>
      <c r="H957" s="2" t="n"/>
      <c r="I957" s="105" t="n"/>
      <c r="K957" s="215" t="n"/>
      <c r="L957" s="215" t="n"/>
      <c r="M957" s="215" t="n"/>
      <c r="N957" s="215" t="n"/>
      <c r="O957" s="215" t="n"/>
      <c r="P957" s="215" t="n"/>
      <c r="Q957" s="215" t="n"/>
      <c r="R957" s="215" t="n"/>
      <c r="S957" s="215" t="n"/>
      <c r="T957" s="215" t="n"/>
      <c r="U957" s="215" t="n"/>
      <c r="V957" s="215" t="n"/>
      <c r="W957" s="215" t="n"/>
      <c r="X957" s="215" t="n"/>
      <c r="Y957" s="215" t="n"/>
      <c r="Z957" s="215" t="n"/>
      <c r="AA957" s="215" t="n"/>
      <c r="AB957" s="215" t="n"/>
      <c r="AC957" s="215" t="n"/>
      <c r="AD957" s="215" t="n"/>
      <c r="AE957" s="215" t="n"/>
      <c r="AF957" s="215" t="n"/>
      <c r="AG957" s="215" t="n"/>
      <c r="AH957" s="215" t="n"/>
      <c r="AI957" s="215" t="n"/>
      <c r="AJ957" s="215" t="n"/>
      <c r="AK957" s="216" t="n"/>
    </row>
    <row r="958" ht="15" customHeight="1">
      <c r="B958" s="134" t="n"/>
      <c r="C958" s="105" t="n"/>
      <c r="D958" s="105" t="n"/>
      <c r="E958" s="105" t="n"/>
      <c r="F958" s="105" t="n"/>
      <c r="G958" s="105" t="n"/>
      <c r="H958" s="2" t="n"/>
      <c r="I958" s="105" t="n"/>
      <c r="K958" s="215" t="n"/>
      <c r="L958" s="215" t="n"/>
      <c r="M958" s="215" t="n"/>
      <c r="N958" s="215" t="n"/>
      <c r="O958" s="215" t="n"/>
      <c r="P958" s="215" t="n"/>
      <c r="Q958" s="215" t="n"/>
      <c r="R958" s="215" t="n"/>
      <c r="S958" s="215" t="n"/>
      <c r="T958" s="215" t="n"/>
      <c r="U958" s="215" t="n"/>
      <c r="V958" s="215" t="n"/>
      <c r="W958" s="215" t="n"/>
      <c r="X958" s="215" t="n"/>
      <c r="Y958" s="215" t="n"/>
      <c r="Z958" s="215" t="n"/>
      <c r="AA958" s="215" t="n"/>
      <c r="AB958" s="215" t="n"/>
      <c r="AC958" s="215" t="n"/>
      <c r="AD958" s="215" t="n"/>
      <c r="AE958" s="215" t="n"/>
      <c r="AF958" s="215" t="n"/>
      <c r="AG958" s="215" t="n"/>
      <c r="AH958" s="215" t="n"/>
      <c r="AI958" s="215" t="n"/>
      <c r="AJ958" s="215" t="n"/>
      <c r="AK958" s="216" t="n"/>
    </row>
    <row r="959" ht="15" customHeight="1">
      <c r="B959" s="134" t="n"/>
      <c r="C959" s="105" t="n"/>
      <c r="D959" s="105" t="n"/>
      <c r="E959" s="105" t="n"/>
      <c r="F959" s="105" t="n"/>
      <c r="G959" s="105" t="n"/>
      <c r="H959" s="2" t="n"/>
      <c r="I959" s="105" t="n"/>
      <c r="K959" s="215" t="n"/>
      <c r="L959" s="215" t="n"/>
      <c r="M959" s="215" t="n"/>
      <c r="N959" s="215" t="n"/>
      <c r="O959" s="215" t="n"/>
      <c r="P959" s="215" t="n"/>
      <c r="Q959" s="215" t="n"/>
      <c r="R959" s="215" t="n"/>
      <c r="S959" s="215" t="n"/>
      <c r="T959" s="215" t="n"/>
      <c r="U959" s="215" t="n"/>
      <c r="V959" s="215" t="n"/>
      <c r="W959" s="215" t="n"/>
      <c r="X959" s="215" t="n"/>
      <c r="Y959" s="215" t="n"/>
      <c r="Z959" s="215" t="n"/>
      <c r="AA959" s="215" t="n"/>
      <c r="AB959" s="215" t="n"/>
      <c r="AC959" s="215" t="n"/>
      <c r="AD959" s="215" t="n"/>
      <c r="AE959" s="215" t="n"/>
      <c r="AF959" s="215" t="n"/>
      <c r="AG959" s="215" t="n"/>
      <c r="AH959" s="215" t="n"/>
      <c r="AI959" s="215" t="n"/>
      <c r="AJ959" s="215" t="n"/>
      <c r="AK959" s="216" t="n"/>
    </row>
    <row r="960" ht="15" customHeight="1">
      <c r="B960" s="134" t="n"/>
      <c r="C960" s="105" t="n"/>
      <c r="D960" s="105" t="n"/>
      <c r="E960" s="105" t="n"/>
      <c r="F960" s="105" t="n"/>
      <c r="G960" s="105" t="n"/>
      <c r="H960" s="2" t="n"/>
      <c r="I960" s="105" t="n"/>
      <c r="K960" s="215" t="n"/>
      <c r="L960" s="215" t="n"/>
      <c r="M960" s="215" t="n"/>
      <c r="N960" s="215" t="n"/>
      <c r="O960" s="215" t="n"/>
      <c r="P960" s="215" t="n"/>
      <c r="Q960" s="215" t="n"/>
      <c r="R960" s="215" t="n"/>
      <c r="S960" s="215" t="n"/>
      <c r="T960" s="215" t="n"/>
      <c r="U960" s="215" t="n"/>
      <c r="V960" s="215" t="n"/>
      <c r="W960" s="215" t="n"/>
      <c r="X960" s="215" t="n"/>
      <c r="Y960" s="215" t="n"/>
      <c r="Z960" s="215" t="n"/>
      <c r="AA960" s="215" t="n"/>
      <c r="AB960" s="215" t="n"/>
      <c r="AC960" s="215" t="n"/>
      <c r="AD960" s="215" t="n"/>
      <c r="AE960" s="215" t="n"/>
      <c r="AF960" s="215" t="n"/>
      <c r="AG960" s="215" t="n"/>
      <c r="AH960" s="215" t="n"/>
      <c r="AI960" s="215" t="n"/>
      <c r="AJ960" s="215" t="n"/>
      <c r="AK960" s="216" t="n"/>
    </row>
    <row r="961" ht="15" customHeight="1">
      <c r="B961" s="134" t="n"/>
      <c r="C961" s="105" t="n"/>
      <c r="D961" s="105" t="n"/>
      <c r="E961" s="105" t="n"/>
      <c r="F961" s="105" t="n"/>
      <c r="G961" s="105" t="n"/>
      <c r="H961" s="2" t="n"/>
      <c r="I961" s="105" t="n"/>
      <c r="K961" s="215" t="n"/>
      <c r="L961" s="215" t="n"/>
      <c r="M961" s="215" t="n"/>
      <c r="N961" s="215" t="n"/>
      <c r="O961" s="215" t="n"/>
      <c r="P961" s="215" t="n"/>
      <c r="Q961" s="215" t="n"/>
      <c r="R961" s="215" t="n"/>
      <c r="S961" s="215" t="n"/>
      <c r="T961" s="215" t="n"/>
      <c r="U961" s="215" t="n"/>
      <c r="V961" s="215" t="n"/>
      <c r="W961" s="215" t="n"/>
      <c r="X961" s="215" t="n"/>
      <c r="Y961" s="215" t="n"/>
      <c r="Z961" s="215" t="n"/>
      <c r="AA961" s="215" t="n"/>
      <c r="AB961" s="215" t="n"/>
      <c r="AC961" s="215" t="n"/>
      <c r="AD961" s="215" t="n"/>
      <c r="AE961" s="215" t="n"/>
      <c r="AF961" s="215" t="n"/>
      <c r="AG961" s="215" t="n"/>
      <c r="AH961" s="215" t="n"/>
      <c r="AI961" s="215" t="n"/>
      <c r="AJ961" s="215" t="n"/>
      <c r="AK961" s="216" t="n"/>
    </row>
    <row r="962" ht="15" customHeight="1">
      <c r="B962" s="134" t="n"/>
      <c r="C962" s="105" t="n"/>
      <c r="D962" s="105" t="n"/>
      <c r="E962" s="105" t="n"/>
      <c r="F962" s="105" t="n"/>
      <c r="G962" s="105" t="n"/>
      <c r="H962" s="2" t="n"/>
      <c r="I962" s="105" t="n"/>
      <c r="K962" s="215" t="n"/>
      <c r="L962" s="215" t="n"/>
      <c r="M962" s="215" t="n"/>
      <c r="N962" s="215" t="n"/>
      <c r="O962" s="215" t="n"/>
      <c r="P962" s="215" t="n"/>
      <c r="Q962" s="215" t="n"/>
      <c r="R962" s="215" t="n"/>
      <c r="S962" s="215" t="n"/>
      <c r="T962" s="215" t="n"/>
      <c r="U962" s="215" t="n"/>
      <c r="V962" s="215" t="n"/>
      <c r="W962" s="215" t="n"/>
      <c r="X962" s="215" t="n"/>
      <c r="Y962" s="215" t="n"/>
      <c r="Z962" s="215" t="n"/>
      <c r="AA962" s="215" t="n"/>
      <c r="AB962" s="215" t="n"/>
      <c r="AC962" s="215" t="n"/>
      <c r="AD962" s="215" t="n"/>
      <c r="AE962" s="215" t="n"/>
      <c r="AF962" s="215" t="n"/>
      <c r="AG962" s="215" t="n"/>
      <c r="AH962" s="215" t="n"/>
      <c r="AI962" s="215" t="n"/>
      <c r="AJ962" s="215" t="n"/>
      <c r="AK962" s="216" t="n"/>
    </row>
    <row r="963" ht="15" customHeight="1">
      <c r="B963" s="134" t="n"/>
      <c r="C963" s="105" t="n"/>
      <c r="D963" s="105" t="n"/>
      <c r="E963" s="105" t="n"/>
      <c r="F963" s="105" t="n"/>
      <c r="G963" s="105" t="n"/>
      <c r="H963" s="2" t="n"/>
      <c r="I963" s="105" t="n"/>
      <c r="K963" s="215" t="n"/>
      <c r="L963" s="215" t="n"/>
      <c r="M963" s="215" t="n"/>
      <c r="N963" s="215" t="n"/>
      <c r="O963" s="215" t="n"/>
      <c r="P963" s="215" t="n"/>
      <c r="Q963" s="215" t="n"/>
      <c r="R963" s="215" t="n"/>
      <c r="S963" s="215" t="n"/>
      <c r="T963" s="215" t="n"/>
      <c r="U963" s="215" t="n"/>
      <c r="V963" s="215" t="n"/>
      <c r="W963" s="215" t="n"/>
      <c r="X963" s="215" t="n"/>
      <c r="Y963" s="215" t="n"/>
      <c r="Z963" s="215" t="n"/>
      <c r="AA963" s="215" t="n"/>
      <c r="AB963" s="215" t="n"/>
      <c r="AC963" s="215" t="n"/>
      <c r="AD963" s="215" t="n"/>
      <c r="AE963" s="215" t="n"/>
      <c r="AF963" s="215" t="n"/>
      <c r="AG963" s="215" t="n"/>
      <c r="AH963" s="215" t="n"/>
      <c r="AI963" s="215" t="n"/>
      <c r="AJ963" s="215" t="n"/>
      <c r="AK963" s="216" t="n"/>
    </row>
    <row r="964" ht="15" customHeight="1">
      <c r="B964" s="134" t="n"/>
      <c r="C964" s="105" t="n"/>
      <c r="D964" s="105" t="n"/>
      <c r="E964" s="105" t="n"/>
      <c r="F964" s="105" t="n"/>
      <c r="G964" s="105" t="n"/>
      <c r="H964" s="2" t="n"/>
      <c r="I964" s="105" t="n"/>
      <c r="K964" s="215" t="n"/>
      <c r="L964" s="215" t="n"/>
      <c r="M964" s="215" t="n"/>
      <c r="N964" s="215" t="n"/>
      <c r="O964" s="215" t="n"/>
      <c r="P964" s="215" t="n"/>
      <c r="Q964" s="215" t="n"/>
      <c r="R964" s="215" t="n"/>
      <c r="S964" s="215" t="n"/>
      <c r="T964" s="215" t="n"/>
      <c r="U964" s="215" t="n"/>
      <c r="V964" s="215" t="n"/>
      <c r="W964" s="215" t="n"/>
      <c r="X964" s="215" t="n"/>
      <c r="Y964" s="215" t="n"/>
      <c r="Z964" s="215" t="n"/>
      <c r="AA964" s="215" t="n"/>
      <c r="AB964" s="215" t="n"/>
      <c r="AC964" s="215" t="n"/>
      <c r="AD964" s="215" t="n"/>
      <c r="AE964" s="215" t="n"/>
      <c r="AF964" s="215" t="n"/>
      <c r="AG964" s="215" t="n"/>
      <c r="AH964" s="215" t="n"/>
      <c r="AI964" s="215" t="n"/>
      <c r="AJ964" s="215" t="n"/>
      <c r="AK964" s="216" t="n"/>
    </row>
    <row r="965" ht="15" customHeight="1">
      <c r="B965" s="134" t="n"/>
      <c r="C965" s="105" t="n"/>
      <c r="D965" s="105" t="n"/>
      <c r="E965" s="105" t="n"/>
      <c r="F965" s="105" t="n"/>
      <c r="G965" s="105" t="n"/>
      <c r="H965" s="2" t="n"/>
      <c r="I965" s="105" t="n"/>
      <c r="K965" s="215" t="n"/>
      <c r="L965" s="215" t="n"/>
      <c r="M965" s="215" t="n"/>
      <c r="N965" s="215" t="n"/>
      <c r="O965" s="215" t="n"/>
      <c r="P965" s="215" t="n"/>
      <c r="Q965" s="215" t="n"/>
      <c r="R965" s="215" t="n"/>
      <c r="S965" s="215" t="n"/>
      <c r="T965" s="215" t="n"/>
      <c r="U965" s="215" t="n"/>
      <c r="V965" s="215" t="n"/>
      <c r="W965" s="215" t="n"/>
      <c r="X965" s="215" t="n"/>
      <c r="Y965" s="215" t="n"/>
      <c r="Z965" s="215" t="n"/>
      <c r="AA965" s="215" t="n"/>
      <c r="AB965" s="215" t="n"/>
      <c r="AC965" s="215" t="n"/>
      <c r="AD965" s="215" t="n"/>
      <c r="AE965" s="215" t="n"/>
      <c r="AF965" s="215" t="n"/>
      <c r="AG965" s="215" t="n"/>
      <c r="AH965" s="215" t="n"/>
      <c r="AI965" s="215" t="n"/>
      <c r="AJ965" s="215" t="n"/>
      <c r="AK965" s="216" t="n"/>
    </row>
    <row r="966" ht="15" customHeight="1">
      <c r="B966" s="134" t="n"/>
      <c r="C966" s="105" t="n"/>
      <c r="D966" s="105" t="n"/>
      <c r="E966" s="105" t="n"/>
      <c r="F966" s="105" t="n"/>
      <c r="G966" s="105" t="n"/>
      <c r="H966" s="2" t="n"/>
      <c r="I966" s="105" t="n"/>
      <c r="K966" s="215" t="n"/>
      <c r="L966" s="215" t="n"/>
      <c r="M966" s="215" t="n"/>
      <c r="N966" s="215" t="n"/>
      <c r="O966" s="215" t="n"/>
      <c r="P966" s="215" t="n"/>
      <c r="Q966" s="215" t="n"/>
      <c r="R966" s="215" t="n"/>
      <c r="S966" s="215" t="n"/>
      <c r="T966" s="215" t="n"/>
      <c r="U966" s="215" t="n"/>
      <c r="V966" s="215" t="n"/>
      <c r="W966" s="215" t="n"/>
      <c r="X966" s="215" t="n"/>
      <c r="Y966" s="215" t="n"/>
      <c r="Z966" s="215" t="n"/>
      <c r="AA966" s="215" t="n"/>
      <c r="AB966" s="215" t="n"/>
      <c r="AC966" s="215" t="n"/>
      <c r="AD966" s="215" t="n"/>
      <c r="AE966" s="215" t="n"/>
      <c r="AF966" s="215" t="n"/>
      <c r="AG966" s="215" t="n"/>
      <c r="AH966" s="215" t="n"/>
      <c r="AI966" s="215" t="n"/>
      <c r="AJ966" s="215" t="n"/>
      <c r="AK966" s="216" t="n"/>
    </row>
    <row r="967" ht="15" customHeight="1">
      <c r="B967" s="134" t="n"/>
      <c r="C967" s="105" t="n"/>
      <c r="D967" s="105" t="n"/>
      <c r="E967" s="105" t="n"/>
      <c r="F967" s="105" t="n"/>
      <c r="G967" s="105" t="n"/>
      <c r="H967" s="2" t="n"/>
      <c r="I967" s="105" t="n"/>
      <c r="K967" s="215" t="n"/>
      <c r="L967" s="215" t="n"/>
      <c r="M967" s="215" t="n"/>
      <c r="N967" s="215" t="n"/>
      <c r="O967" s="215" t="n"/>
      <c r="P967" s="215" t="n"/>
      <c r="Q967" s="215" t="n"/>
      <c r="R967" s="215" t="n"/>
      <c r="S967" s="215" t="n"/>
      <c r="T967" s="215" t="n"/>
      <c r="U967" s="215" t="n"/>
      <c r="V967" s="215" t="n"/>
      <c r="W967" s="215" t="n"/>
      <c r="X967" s="215" t="n"/>
      <c r="Y967" s="215" t="n"/>
      <c r="Z967" s="215" t="n"/>
      <c r="AA967" s="215" t="n"/>
      <c r="AB967" s="215" t="n"/>
      <c r="AC967" s="215" t="n"/>
      <c r="AD967" s="215" t="n"/>
      <c r="AE967" s="215" t="n"/>
      <c r="AF967" s="215" t="n"/>
      <c r="AG967" s="215" t="n"/>
      <c r="AH967" s="215" t="n"/>
      <c r="AI967" s="215" t="n"/>
      <c r="AJ967" s="215" t="n"/>
      <c r="AK967" s="216" t="n"/>
    </row>
    <row r="968" ht="15" customHeight="1">
      <c r="B968" s="134" t="n"/>
      <c r="C968" s="105" t="n"/>
      <c r="D968" s="105" t="n"/>
      <c r="E968" s="105" t="n"/>
      <c r="F968" s="105" t="n"/>
      <c r="G968" s="105" t="n"/>
      <c r="H968" s="2" t="n"/>
      <c r="I968" s="105" t="n"/>
      <c r="K968" s="215" t="n"/>
      <c r="L968" s="215" t="n"/>
      <c r="M968" s="215" t="n"/>
      <c r="N968" s="215" t="n"/>
      <c r="O968" s="215" t="n"/>
      <c r="P968" s="215" t="n"/>
      <c r="Q968" s="215" t="n"/>
      <c r="R968" s="215" t="n"/>
      <c r="S968" s="215" t="n"/>
      <c r="T968" s="215" t="n"/>
      <c r="U968" s="215" t="n"/>
      <c r="V968" s="215" t="n"/>
      <c r="W968" s="215" t="n"/>
      <c r="X968" s="215" t="n"/>
      <c r="Y968" s="215" t="n"/>
      <c r="Z968" s="215" t="n"/>
      <c r="AA968" s="215" t="n"/>
      <c r="AB968" s="215" t="n"/>
      <c r="AC968" s="215" t="n"/>
      <c r="AD968" s="215" t="n"/>
      <c r="AE968" s="215" t="n"/>
      <c r="AF968" s="215" t="n"/>
      <c r="AG968" s="215" t="n"/>
      <c r="AH968" s="215" t="n"/>
      <c r="AI968" s="215" t="n"/>
      <c r="AJ968" s="215" t="n"/>
      <c r="AK968" s="216" t="n"/>
    </row>
    <row r="969" ht="15" customHeight="1">
      <c r="B969" s="134" t="n"/>
      <c r="C969" s="105" t="n"/>
      <c r="D969" s="105" t="n"/>
      <c r="E969" s="105" t="n"/>
      <c r="F969" s="105" t="n"/>
      <c r="G969" s="105" t="n"/>
      <c r="H969" s="2" t="n"/>
      <c r="I969" s="105" t="n"/>
      <c r="K969" s="215" t="n"/>
      <c r="L969" s="215" t="n"/>
      <c r="M969" s="215" t="n"/>
      <c r="N969" s="215" t="n"/>
      <c r="O969" s="215" t="n"/>
      <c r="P969" s="215" t="n"/>
      <c r="Q969" s="215" t="n"/>
      <c r="R969" s="215" t="n"/>
      <c r="S969" s="215" t="n"/>
      <c r="T969" s="215" t="n"/>
      <c r="U969" s="215" t="n"/>
      <c r="V969" s="215" t="n"/>
      <c r="W969" s="215" t="n"/>
      <c r="X969" s="215" t="n"/>
      <c r="Y969" s="215" t="n"/>
      <c r="Z969" s="215" t="n"/>
      <c r="AA969" s="215" t="n"/>
      <c r="AB969" s="215" t="n"/>
      <c r="AC969" s="215" t="n"/>
      <c r="AD969" s="215" t="n"/>
      <c r="AE969" s="215" t="n"/>
      <c r="AF969" s="215" t="n"/>
      <c r="AG969" s="215" t="n"/>
      <c r="AH969" s="215" t="n"/>
      <c r="AI969" s="215" t="n"/>
      <c r="AJ969" s="215" t="n"/>
      <c r="AK969" s="216" t="n"/>
    </row>
    <row r="970" ht="15" customHeight="1">
      <c r="B970" s="134" t="n"/>
      <c r="C970" s="105" t="n"/>
      <c r="D970" s="105" t="n"/>
      <c r="E970" s="105" t="n"/>
      <c r="F970" s="105" t="n"/>
      <c r="G970" s="105" t="n"/>
      <c r="H970" s="2" t="n"/>
      <c r="I970" s="105" t="n"/>
      <c r="K970" s="215" t="n"/>
      <c r="L970" s="215" t="n"/>
      <c r="M970" s="215" t="n"/>
      <c r="N970" s="215" t="n"/>
      <c r="O970" s="215" t="n"/>
      <c r="P970" s="215" t="n"/>
      <c r="Q970" s="215" t="n"/>
      <c r="R970" s="215" t="n"/>
      <c r="S970" s="215" t="n"/>
      <c r="T970" s="215" t="n"/>
      <c r="U970" s="215" t="n"/>
      <c r="V970" s="215" t="n"/>
      <c r="W970" s="215" t="n"/>
      <c r="X970" s="215" t="n"/>
      <c r="Y970" s="215" t="n"/>
      <c r="Z970" s="215" t="n"/>
      <c r="AA970" s="215" t="n"/>
      <c r="AB970" s="215" t="n"/>
      <c r="AC970" s="215" t="n"/>
      <c r="AD970" s="215" t="n"/>
      <c r="AE970" s="215" t="n"/>
      <c r="AF970" s="215" t="n"/>
      <c r="AG970" s="215" t="n"/>
      <c r="AH970" s="215" t="n"/>
      <c r="AI970" s="215" t="n"/>
      <c r="AJ970" s="215" t="n"/>
      <c r="AK970" s="216" t="n"/>
    </row>
    <row r="971" ht="15" customHeight="1">
      <c r="B971" s="134" t="n"/>
      <c r="C971" s="105" t="n"/>
      <c r="D971" s="105" t="n"/>
      <c r="E971" s="105" t="n"/>
      <c r="F971" s="105" t="n"/>
      <c r="G971" s="105" t="n"/>
      <c r="H971" s="2" t="n"/>
      <c r="I971" s="105" t="n"/>
      <c r="K971" s="215" t="n"/>
      <c r="L971" s="215" t="n"/>
      <c r="M971" s="215" t="n"/>
      <c r="N971" s="215" t="n"/>
      <c r="O971" s="215" t="n"/>
      <c r="P971" s="215" t="n"/>
      <c r="Q971" s="215" t="n"/>
      <c r="R971" s="215" t="n"/>
      <c r="S971" s="215" t="n"/>
      <c r="T971" s="215" t="n"/>
      <c r="U971" s="215" t="n"/>
      <c r="V971" s="215" t="n"/>
      <c r="W971" s="215" t="n"/>
      <c r="X971" s="215" t="n"/>
      <c r="Y971" s="215" t="n"/>
      <c r="Z971" s="215" t="n"/>
      <c r="AA971" s="215" t="n"/>
      <c r="AB971" s="215" t="n"/>
      <c r="AC971" s="215" t="n"/>
      <c r="AD971" s="215" t="n"/>
      <c r="AE971" s="215" t="n"/>
      <c r="AF971" s="215" t="n"/>
      <c r="AG971" s="215" t="n"/>
      <c r="AH971" s="215" t="n"/>
      <c r="AI971" s="215" t="n"/>
      <c r="AJ971" s="215" t="n"/>
      <c r="AK971" s="216" t="n"/>
    </row>
    <row r="972" ht="15" customHeight="1">
      <c r="B972" s="134" t="n"/>
      <c r="C972" s="105" t="n"/>
      <c r="D972" s="105" t="n"/>
      <c r="E972" s="105" t="n"/>
      <c r="F972" s="105" t="n"/>
      <c r="G972" s="105" t="n"/>
      <c r="H972" s="2" t="n"/>
      <c r="I972" s="105" t="n"/>
      <c r="K972" s="215" t="n"/>
      <c r="L972" s="215" t="n"/>
      <c r="M972" s="215" t="n"/>
      <c r="N972" s="215" t="n"/>
      <c r="O972" s="215" t="n"/>
      <c r="P972" s="215" t="n"/>
      <c r="Q972" s="215" t="n"/>
      <c r="R972" s="215" t="n"/>
      <c r="S972" s="215" t="n"/>
      <c r="T972" s="215" t="n"/>
      <c r="U972" s="215" t="n"/>
      <c r="V972" s="215" t="n"/>
      <c r="W972" s="215" t="n"/>
      <c r="X972" s="215" t="n"/>
      <c r="Y972" s="215" t="n"/>
      <c r="Z972" s="215" t="n"/>
      <c r="AA972" s="215" t="n"/>
      <c r="AB972" s="215" t="n"/>
      <c r="AC972" s="215" t="n"/>
      <c r="AD972" s="215" t="n"/>
      <c r="AE972" s="215" t="n"/>
      <c r="AF972" s="215" t="n"/>
      <c r="AG972" s="215" t="n"/>
      <c r="AH972" s="215" t="n"/>
      <c r="AI972" s="215" t="n"/>
      <c r="AJ972" s="215" t="n"/>
      <c r="AK972" s="216" t="n"/>
    </row>
    <row r="973" ht="15" customHeight="1">
      <c r="B973" s="134" t="n"/>
      <c r="C973" s="105" t="n"/>
      <c r="D973" s="105" t="n"/>
      <c r="E973" s="105" t="n"/>
      <c r="F973" s="105" t="n"/>
      <c r="G973" s="105" t="n"/>
      <c r="H973" s="2" t="n"/>
      <c r="I973" s="105" t="n"/>
      <c r="K973" s="215" t="n"/>
      <c r="L973" s="215" t="n"/>
      <c r="M973" s="215" t="n"/>
      <c r="N973" s="215" t="n"/>
      <c r="O973" s="215" t="n"/>
      <c r="P973" s="215" t="n"/>
      <c r="Q973" s="215" t="n"/>
      <c r="R973" s="215" t="n"/>
      <c r="S973" s="215" t="n"/>
      <c r="T973" s="215" t="n"/>
      <c r="U973" s="215" t="n"/>
      <c r="V973" s="215" t="n"/>
      <c r="W973" s="215" t="n"/>
      <c r="X973" s="215" t="n"/>
      <c r="Y973" s="215" t="n"/>
      <c r="Z973" s="215" t="n"/>
      <c r="AA973" s="215" t="n"/>
      <c r="AB973" s="215" t="n"/>
      <c r="AC973" s="215" t="n"/>
      <c r="AD973" s="215" t="n"/>
      <c r="AE973" s="215" t="n"/>
      <c r="AF973" s="215" t="n"/>
      <c r="AG973" s="215" t="n"/>
      <c r="AH973" s="215" t="n"/>
      <c r="AI973" s="215" t="n"/>
      <c r="AJ973" s="215" t="n"/>
      <c r="AK973" s="216" t="n"/>
    </row>
    <row r="974" ht="15" customHeight="1">
      <c r="B974" s="134" t="n"/>
      <c r="C974" s="105" t="n"/>
      <c r="D974" s="105" t="n"/>
      <c r="E974" s="105" t="n"/>
      <c r="F974" s="105" t="n"/>
      <c r="G974" s="105" t="n"/>
      <c r="H974" s="2" t="n"/>
      <c r="I974" s="105" t="n"/>
      <c r="K974" s="215" t="n"/>
      <c r="L974" s="215" t="n"/>
      <c r="M974" s="215" t="n"/>
      <c r="N974" s="215" t="n"/>
      <c r="O974" s="215" t="n"/>
      <c r="P974" s="215" t="n"/>
      <c r="Q974" s="215" t="n"/>
      <c r="R974" s="215" t="n"/>
      <c r="S974" s="215" t="n"/>
      <c r="T974" s="215" t="n"/>
      <c r="U974" s="215" t="n"/>
      <c r="V974" s="215" t="n"/>
      <c r="W974" s="215" t="n"/>
      <c r="X974" s="215" t="n"/>
      <c r="Y974" s="215" t="n"/>
      <c r="Z974" s="215" t="n"/>
      <c r="AA974" s="215" t="n"/>
      <c r="AB974" s="215" t="n"/>
      <c r="AC974" s="215" t="n"/>
      <c r="AD974" s="215" t="n"/>
      <c r="AE974" s="215" t="n"/>
      <c r="AF974" s="215" t="n"/>
      <c r="AG974" s="215" t="n"/>
      <c r="AH974" s="215" t="n"/>
      <c r="AI974" s="215" t="n"/>
      <c r="AJ974" s="215" t="n"/>
      <c r="AK974" s="216" t="n"/>
    </row>
    <row r="975" ht="15" customHeight="1">
      <c r="B975" s="134" t="n"/>
      <c r="C975" s="105" t="n"/>
      <c r="D975" s="105" t="n"/>
      <c r="E975" s="105" t="n"/>
      <c r="F975" s="105" t="n"/>
      <c r="G975" s="105" t="n"/>
      <c r="H975" s="2" t="n"/>
      <c r="I975" s="105" t="n"/>
      <c r="K975" s="215" t="n"/>
      <c r="L975" s="215" t="n"/>
      <c r="M975" s="215" t="n"/>
      <c r="N975" s="215" t="n"/>
      <c r="O975" s="215" t="n"/>
      <c r="P975" s="215" t="n"/>
      <c r="Q975" s="215" t="n"/>
      <c r="R975" s="215" t="n"/>
      <c r="S975" s="215" t="n"/>
      <c r="T975" s="215" t="n"/>
      <c r="U975" s="215" t="n"/>
      <c r="V975" s="215" t="n"/>
      <c r="W975" s="215" t="n"/>
      <c r="X975" s="215" t="n"/>
      <c r="Y975" s="215" t="n"/>
      <c r="Z975" s="215" t="n"/>
      <c r="AA975" s="215" t="n"/>
      <c r="AB975" s="215" t="n"/>
      <c r="AC975" s="215" t="n"/>
      <c r="AD975" s="215" t="n"/>
      <c r="AE975" s="215" t="n"/>
      <c r="AF975" s="215" t="n"/>
      <c r="AG975" s="215" t="n"/>
      <c r="AH975" s="215" t="n"/>
      <c r="AI975" s="215" t="n"/>
      <c r="AJ975" s="215" t="n"/>
      <c r="AK975" s="216" t="n"/>
    </row>
    <row r="976" ht="15" customHeight="1">
      <c r="B976" s="134" t="n"/>
      <c r="C976" s="105" t="n"/>
      <c r="D976" s="105" t="n"/>
      <c r="E976" s="105" t="n"/>
      <c r="F976" s="105" t="n"/>
      <c r="G976" s="105" t="n"/>
      <c r="H976" s="2" t="n"/>
      <c r="I976" s="105" t="n"/>
      <c r="K976" s="215" t="n"/>
      <c r="L976" s="215" t="n"/>
      <c r="M976" s="215" t="n"/>
      <c r="N976" s="215" t="n"/>
      <c r="O976" s="215" t="n"/>
      <c r="P976" s="215" t="n"/>
      <c r="Q976" s="215" t="n"/>
      <c r="R976" s="215" t="n"/>
      <c r="S976" s="215" t="n"/>
      <c r="T976" s="215" t="n"/>
      <c r="U976" s="215" t="n"/>
      <c r="V976" s="215" t="n"/>
      <c r="W976" s="215" t="n"/>
      <c r="X976" s="215" t="n"/>
      <c r="Y976" s="215" t="n"/>
      <c r="Z976" s="215" t="n"/>
      <c r="AA976" s="215" t="n"/>
      <c r="AB976" s="215" t="n"/>
      <c r="AC976" s="215" t="n"/>
      <c r="AD976" s="215" t="n"/>
      <c r="AE976" s="215" t="n"/>
      <c r="AF976" s="215" t="n"/>
      <c r="AG976" s="215" t="n"/>
      <c r="AH976" s="215" t="n"/>
      <c r="AI976" s="215" t="n"/>
      <c r="AJ976" s="215" t="n"/>
      <c r="AK976" s="216" t="n"/>
    </row>
    <row r="977" ht="15" customHeight="1">
      <c r="B977" s="134" t="n"/>
      <c r="C977" s="105" t="n"/>
      <c r="D977" s="105" t="n"/>
      <c r="E977" s="105" t="n"/>
      <c r="F977" s="105" t="n"/>
      <c r="G977" s="105" t="n"/>
      <c r="H977" s="2" t="n"/>
      <c r="I977" s="105" t="n"/>
      <c r="K977" s="215" t="n"/>
      <c r="L977" s="215" t="n"/>
      <c r="M977" s="215" t="n"/>
      <c r="N977" s="215" t="n"/>
      <c r="O977" s="215" t="n"/>
      <c r="P977" s="215" t="n"/>
      <c r="Q977" s="215" t="n"/>
      <c r="R977" s="215" t="n"/>
      <c r="S977" s="215" t="n"/>
      <c r="T977" s="215" t="n"/>
      <c r="U977" s="215" t="n"/>
      <c r="V977" s="215" t="n"/>
      <c r="W977" s="215" t="n"/>
      <c r="X977" s="215" t="n"/>
      <c r="Y977" s="215" t="n"/>
      <c r="Z977" s="215" t="n"/>
      <c r="AA977" s="215" t="n"/>
      <c r="AB977" s="215" t="n"/>
      <c r="AC977" s="215" t="n"/>
      <c r="AD977" s="215" t="n"/>
      <c r="AE977" s="215" t="n"/>
      <c r="AF977" s="215" t="n"/>
      <c r="AG977" s="215" t="n"/>
      <c r="AH977" s="215" t="n"/>
      <c r="AI977" s="215" t="n"/>
      <c r="AJ977" s="215" t="n"/>
      <c r="AK977" s="216" t="n"/>
    </row>
    <row r="978" ht="15" customHeight="1">
      <c r="B978" s="134" t="n"/>
      <c r="C978" s="105" t="n"/>
      <c r="D978" s="105" t="n"/>
      <c r="E978" s="105" t="n"/>
      <c r="F978" s="105" t="n"/>
      <c r="G978" s="105" t="n"/>
      <c r="H978" s="2" t="n"/>
      <c r="I978" s="105" t="n"/>
      <c r="K978" s="215" t="n"/>
      <c r="L978" s="215" t="n"/>
      <c r="M978" s="215" t="n"/>
      <c r="N978" s="215" t="n"/>
      <c r="O978" s="215" t="n"/>
      <c r="P978" s="215" t="n"/>
      <c r="Q978" s="215" t="n"/>
      <c r="R978" s="215" t="n"/>
      <c r="S978" s="215" t="n"/>
      <c r="T978" s="215" t="n"/>
      <c r="U978" s="215" t="n"/>
      <c r="V978" s="215" t="n"/>
      <c r="W978" s="215" t="n"/>
      <c r="X978" s="215" t="n"/>
      <c r="Y978" s="215" t="n"/>
      <c r="Z978" s="215" t="n"/>
      <c r="AA978" s="215" t="n"/>
      <c r="AB978" s="215" t="n"/>
      <c r="AC978" s="215" t="n"/>
      <c r="AD978" s="215" t="n"/>
      <c r="AE978" s="215" t="n"/>
      <c r="AF978" s="215" t="n"/>
      <c r="AG978" s="215" t="n"/>
      <c r="AH978" s="215" t="n"/>
      <c r="AI978" s="215" t="n"/>
      <c r="AJ978" s="215" t="n"/>
      <c r="AK978" s="216" t="n"/>
    </row>
    <row r="979" ht="15" customHeight="1">
      <c r="B979" s="134" t="n"/>
      <c r="C979" s="105" t="n"/>
      <c r="D979" s="105" t="n"/>
      <c r="E979" s="105" t="n"/>
      <c r="F979" s="105" t="n"/>
      <c r="G979" s="105" t="n"/>
      <c r="H979" s="2" t="n"/>
      <c r="I979" s="105" t="n"/>
      <c r="K979" s="215" t="n"/>
      <c r="L979" s="215" t="n"/>
      <c r="M979" s="215" t="n"/>
      <c r="N979" s="215" t="n"/>
      <c r="O979" s="215" t="n"/>
      <c r="P979" s="215" t="n"/>
      <c r="Q979" s="215" t="n"/>
      <c r="R979" s="215" t="n"/>
      <c r="S979" s="215" t="n"/>
      <c r="T979" s="215" t="n"/>
      <c r="U979" s="215" t="n"/>
      <c r="V979" s="215" t="n"/>
      <c r="W979" s="215" t="n"/>
      <c r="X979" s="215" t="n"/>
      <c r="Y979" s="215" t="n"/>
      <c r="Z979" s="215" t="n"/>
      <c r="AA979" s="215" t="n"/>
      <c r="AB979" s="215" t="n"/>
      <c r="AC979" s="215" t="n"/>
      <c r="AD979" s="215" t="n"/>
      <c r="AE979" s="215" t="n"/>
      <c r="AF979" s="215" t="n"/>
      <c r="AG979" s="215" t="n"/>
      <c r="AH979" s="215" t="n"/>
      <c r="AI979" s="215" t="n"/>
      <c r="AJ979" s="215" t="n"/>
      <c r="AK979" s="216" t="n"/>
    </row>
    <row r="980" ht="15" customHeight="1">
      <c r="B980" s="134" t="n"/>
      <c r="C980" s="105" t="n"/>
      <c r="D980" s="105" t="n"/>
      <c r="E980" s="105" t="n"/>
      <c r="F980" s="105" t="n"/>
      <c r="G980" s="105" t="n"/>
      <c r="H980" s="2" t="n"/>
      <c r="I980" s="105" t="n"/>
      <c r="K980" s="215" t="n"/>
      <c r="L980" s="215" t="n"/>
      <c r="M980" s="215" t="n"/>
      <c r="N980" s="215" t="n"/>
      <c r="O980" s="215" t="n"/>
      <c r="P980" s="215" t="n"/>
      <c r="Q980" s="215" t="n"/>
      <c r="R980" s="215" t="n"/>
      <c r="S980" s="215" t="n"/>
      <c r="T980" s="215" t="n"/>
      <c r="U980" s="215" t="n"/>
      <c r="V980" s="215" t="n"/>
      <c r="W980" s="215" t="n"/>
      <c r="X980" s="215" t="n"/>
      <c r="Y980" s="215" t="n"/>
      <c r="Z980" s="215" t="n"/>
      <c r="AA980" s="215" t="n"/>
      <c r="AB980" s="215" t="n"/>
      <c r="AC980" s="215" t="n"/>
      <c r="AD980" s="215" t="n"/>
      <c r="AE980" s="215" t="n"/>
      <c r="AF980" s="215" t="n"/>
      <c r="AG980" s="215" t="n"/>
      <c r="AH980" s="215" t="n"/>
      <c r="AI980" s="215" t="n"/>
      <c r="AJ980" s="215" t="n"/>
      <c r="AK980" s="216" t="n"/>
    </row>
    <row r="981" ht="15" customHeight="1">
      <c r="B981" s="134" t="n"/>
      <c r="C981" s="105" t="n"/>
      <c r="D981" s="105" t="n"/>
      <c r="E981" s="105" t="n"/>
      <c r="F981" s="105" t="n"/>
      <c r="G981" s="105" t="n"/>
      <c r="H981" s="2" t="n"/>
      <c r="I981" s="105" t="n"/>
      <c r="K981" s="215" t="n"/>
      <c r="L981" s="215" t="n"/>
      <c r="M981" s="215" t="n"/>
      <c r="N981" s="215" t="n"/>
      <c r="O981" s="215" t="n"/>
      <c r="P981" s="215" t="n"/>
      <c r="Q981" s="215" t="n"/>
      <c r="R981" s="215" t="n"/>
      <c r="S981" s="215" t="n"/>
      <c r="T981" s="215" t="n"/>
      <c r="U981" s="215" t="n"/>
      <c r="V981" s="215" t="n"/>
      <c r="W981" s="215" t="n"/>
      <c r="X981" s="215" t="n"/>
      <c r="Y981" s="215" t="n"/>
      <c r="Z981" s="215" t="n"/>
      <c r="AA981" s="215" t="n"/>
      <c r="AB981" s="215" t="n"/>
      <c r="AC981" s="215" t="n"/>
      <c r="AD981" s="215" t="n"/>
      <c r="AE981" s="215" t="n"/>
      <c r="AF981" s="215" t="n"/>
      <c r="AG981" s="215" t="n"/>
      <c r="AH981" s="215" t="n"/>
      <c r="AI981" s="215" t="n"/>
      <c r="AJ981" s="215" t="n"/>
      <c r="AK981" s="216" t="n"/>
    </row>
    <row r="982" ht="15" customHeight="1">
      <c r="B982" s="134" t="n"/>
      <c r="C982" s="105" t="n"/>
      <c r="D982" s="105" t="n"/>
      <c r="E982" s="105" t="n"/>
      <c r="F982" s="105" t="n"/>
      <c r="G982" s="105" t="n"/>
      <c r="H982" s="2" t="n"/>
      <c r="I982" s="105" t="n"/>
      <c r="K982" s="215" t="n"/>
      <c r="L982" s="215" t="n"/>
      <c r="M982" s="215" t="n"/>
      <c r="N982" s="215" t="n"/>
      <c r="O982" s="215" t="n"/>
      <c r="P982" s="215" t="n"/>
      <c r="Q982" s="215" t="n"/>
      <c r="R982" s="215" t="n"/>
      <c r="S982" s="215" t="n"/>
      <c r="T982" s="215" t="n"/>
      <c r="U982" s="215" t="n"/>
      <c r="V982" s="215" t="n"/>
      <c r="W982" s="215" t="n"/>
      <c r="X982" s="215" t="n"/>
      <c r="Y982" s="215" t="n"/>
      <c r="Z982" s="215" t="n"/>
      <c r="AA982" s="215" t="n"/>
      <c r="AB982" s="215" t="n"/>
      <c r="AC982" s="215" t="n"/>
      <c r="AD982" s="215" t="n"/>
      <c r="AE982" s="215" t="n"/>
      <c r="AF982" s="215" t="n"/>
      <c r="AG982" s="215" t="n"/>
      <c r="AH982" s="215" t="n"/>
      <c r="AI982" s="215" t="n"/>
      <c r="AJ982" s="215" t="n"/>
      <c r="AK982" s="216" t="n"/>
    </row>
    <row r="983" ht="15" customHeight="1">
      <c r="B983" s="134" t="n"/>
      <c r="C983" s="105" t="n"/>
      <c r="D983" s="105" t="n"/>
      <c r="E983" s="105" t="n"/>
      <c r="F983" s="105" t="n"/>
      <c r="G983" s="105" t="n"/>
      <c r="H983" s="2" t="n"/>
      <c r="I983" s="105" t="n"/>
      <c r="K983" s="215" t="n"/>
      <c r="L983" s="215" t="n"/>
      <c r="M983" s="215" t="n"/>
      <c r="N983" s="215" t="n"/>
      <c r="O983" s="215" t="n"/>
      <c r="P983" s="215" t="n"/>
      <c r="Q983" s="215" t="n"/>
      <c r="R983" s="215" t="n"/>
      <c r="S983" s="215" t="n"/>
      <c r="T983" s="215" t="n"/>
      <c r="U983" s="215" t="n"/>
      <c r="V983" s="215" t="n"/>
      <c r="W983" s="215" t="n"/>
      <c r="X983" s="215" t="n"/>
      <c r="Y983" s="215" t="n"/>
      <c r="Z983" s="215" t="n"/>
      <c r="AA983" s="215" t="n"/>
      <c r="AB983" s="215" t="n"/>
      <c r="AC983" s="215" t="n"/>
      <c r="AD983" s="215" t="n"/>
      <c r="AE983" s="215" t="n"/>
      <c r="AF983" s="215" t="n"/>
      <c r="AG983" s="215" t="n"/>
      <c r="AH983" s="215" t="n"/>
      <c r="AI983" s="215" t="n"/>
      <c r="AJ983" s="215" t="n"/>
      <c r="AK983" s="216" t="n"/>
    </row>
    <row r="984" ht="15" customHeight="1">
      <c r="B984" s="134" t="n"/>
      <c r="C984" s="105" t="n"/>
      <c r="D984" s="105" t="n"/>
      <c r="E984" s="105" t="n"/>
      <c r="F984" s="105" t="n"/>
      <c r="G984" s="105" t="n"/>
      <c r="H984" s="2" t="n"/>
      <c r="I984" s="105" t="n"/>
      <c r="K984" s="215" t="n"/>
      <c r="L984" s="215" t="n"/>
      <c r="M984" s="215" t="n"/>
      <c r="N984" s="215" t="n"/>
      <c r="O984" s="215" t="n"/>
      <c r="P984" s="215" t="n"/>
      <c r="Q984" s="215" t="n"/>
      <c r="R984" s="215" t="n"/>
      <c r="S984" s="215" t="n"/>
      <c r="T984" s="215" t="n"/>
      <c r="U984" s="215" t="n"/>
      <c r="V984" s="215" t="n"/>
      <c r="W984" s="215" t="n"/>
      <c r="X984" s="215" t="n"/>
      <c r="Y984" s="215" t="n"/>
      <c r="Z984" s="215" t="n"/>
      <c r="AA984" s="215" t="n"/>
      <c r="AB984" s="215" t="n"/>
      <c r="AC984" s="215" t="n"/>
      <c r="AD984" s="215" t="n"/>
      <c r="AE984" s="215" t="n"/>
      <c r="AF984" s="215" t="n"/>
      <c r="AG984" s="215" t="n"/>
      <c r="AH984" s="215" t="n"/>
      <c r="AI984" s="215" t="n"/>
      <c r="AJ984" s="215" t="n"/>
      <c r="AK984" s="216" t="n"/>
    </row>
    <row r="985" ht="15" customHeight="1">
      <c r="B985" s="134" t="n"/>
      <c r="C985" s="105" t="n"/>
      <c r="D985" s="105" t="n"/>
      <c r="E985" s="105" t="n"/>
      <c r="F985" s="105" t="n"/>
      <c r="G985" s="105" t="n"/>
      <c r="H985" s="2" t="n"/>
      <c r="I985" s="105" t="n"/>
      <c r="K985" s="215" t="n"/>
      <c r="L985" s="215" t="n"/>
      <c r="M985" s="215" t="n"/>
      <c r="N985" s="215" t="n"/>
      <c r="O985" s="215" t="n"/>
      <c r="P985" s="215" t="n"/>
      <c r="Q985" s="215" t="n"/>
      <c r="R985" s="215" t="n"/>
      <c r="S985" s="215" t="n"/>
      <c r="T985" s="215" t="n"/>
      <c r="U985" s="215" t="n"/>
      <c r="V985" s="215" t="n"/>
      <c r="W985" s="215" t="n"/>
      <c r="X985" s="215" t="n"/>
      <c r="Y985" s="215" t="n"/>
      <c r="Z985" s="215" t="n"/>
      <c r="AA985" s="215" t="n"/>
      <c r="AB985" s="215" t="n"/>
      <c r="AC985" s="215" t="n"/>
      <c r="AD985" s="215" t="n"/>
      <c r="AE985" s="215" t="n"/>
      <c r="AF985" s="215" t="n"/>
      <c r="AG985" s="215" t="n"/>
      <c r="AH985" s="215" t="n"/>
      <c r="AI985" s="215" t="n"/>
      <c r="AJ985" s="215" t="n"/>
      <c r="AK985" s="216" t="n"/>
    </row>
    <row r="986" ht="15" customHeight="1">
      <c r="B986" s="134" t="n"/>
      <c r="C986" s="105" t="n"/>
      <c r="D986" s="105" t="n"/>
      <c r="E986" s="105" t="n"/>
      <c r="F986" s="105" t="n"/>
      <c r="G986" s="105" t="n"/>
      <c r="H986" s="2" t="n"/>
      <c r="I986" s="105" t="n"/>
      <c r="K986" s="215" t="n"/>
      <c r="L986" s="215" t="n"/>
      <c r="M986" s="215" t="n"/>
      <c r="N986" s="215" t="n"/>
      <c r="O986" s="215" t="n"/>
      <c r="P986" s="215" t="n"/>
      <c r="Q986" s="215" t="n"/>
      <c r="R986" s="215" t="n"/>
      <c r="S986" s="215" t="n"/>
      <c r="T986" s="215" t="n"/>
      <c r="U986" s="215" t="n"/>
      <c r="V986" s="215" t="n"/>
      <c r="W986" s="215" t="n"/>
      <c r="X986" s="215" t="n"/>
      <c r="Y986" s="215" t="n"/>
      <c r="Z986" s="215" t="n"/>
      <c r="AA986" s="215" t="n"/>
      <c r="AB986" s="215" t="n"/>
      <c r="AC986" s="215" t="n"/>
      <c r="AD986" s="215" t="n"/>
      <c r="AE986" s="215" t="n"/>
      <c r="AF986" s="215" t="n"/>
      <c r="AG986" s="215" t="n"/>
      <c r="AH986" s="215" t="n"/>
      <c r="AI986" s="215" t="n"/>
      <c r="AJ986" s="215" t="n"/>
      <c r="AK986" s="216" t="n"/>
    </row>
    <row r="987" ht="15" customHeight="1">
      <c r="B987" s="134" t="n"/>
      <c r="C987" s="105" t="n"/>
      <c r="D987" s="105" t="n"/>
      <c r="E987" s="105" t="n"/>
      <c r="F987" s="105" t="n"/>
      <c r="G987" s="105" t="n"/>
      <c r="H987" s="2" t="n"/>
      <c r="I987" s="105" t="n"/>
      <c r="K987" s="215" t="n"/>
      <c r="L987" s="215" t="n"/>
      <c r="M987" s="215" t="n"/>
      <c r="N987" s="215" t="n"/>
      <c r="O987" s="215" t="n"/>
      <c r="P987" s="215" t="n"/>
      <c r="Q987" s="215" t="n"/>
      <c r="R987" s="215" t="n"/>
      <c r="S987" s="215" t="n"/>
      <c r="T987" s="215" t="n"/>
      <c r="U987" s="215" t="n"/>
      <c r="V987" s="215" t="n"/>
      <c r="W987" s="215" t="n"/>
      <c r="X987" s="215" t="n"/>
      <c r="Y987" s="215" t="n"/>
      <c r="Z987" s="215" t="n"/>
      <c r="AA987" s="215" t="n"/>
      <c r="AB987" s="215" t="n"/>
      <c r="AC987" s="215" t="n"/>
      <c r="AD987" s="215" t="n"/>
      <c r="AE987" s="215" t="n"/>
      <c r="AF987" s="215" t="n"/>
      <c r="AG987" s="215" t="n"/>
      <c r="AH987" s="215" t="n"/>
      <c r="AI987" s="215" t="n"/>
      <c r="AJ987" s="215" t="n"/>
      <c r="AK987" s="216" t="n"/>
    </row>
    <row r="988" ht="15" customHeight="1">
      <c r="B988" s="134" t="n"/>
      <c r="C988" s="105" t="n"/>
      <c r="D988" s="105" t="n"/>
      <c r="E988" s="105" t="n"/>
      <c r="F988" s="105" t="n"/>
      <c r="G988" s="105" t="n"/>
      <c r="H988" s="2" t="n"/>
      <c r="I988" s="105" t="n"/>
      <c r="K988" s="215" t="n"/>
      <c r="L988" s="215" t="n"/>
      <c r="M988" s="215" t="n"/>
      <c r="N988" s="215" t="n"/>
      <c r="O988" s="215" t="n"/>
      <c r="P988" s="215" t="n"/>
      <c r="Q988" s="215" t="n"/>
      <c r="R988" s="215" t="n"/>
      <c r="S988" s="215" t="n"/>
      <c r="T988" s="215" t="n"/>
      <c r="U988" s="215" t="n"/>
      <c r="V988" s="215" t="n"/>
      <c r="W988" s="215" t="n"/>
      <c r="X988" s="215" t="n"/>
      <c r="Y988" s="215" t="n"/>
      <c r="Z988" s="215" t="n"/>
      <c r="AA988" s="215" t="n"/>
      <c r="AB988" s="215" t="n"/>
      <c r="AC988" s="215" t="n"/>
      <c r="AD988" s="215" t="n"/>
      <c r="AE988" s="215" t="n"/>
      <c r="AF988" s="215" t="n"/>
      <c r="AG988" s="215" t="n"/>
      <c r="AH988" s="215" t="n"/>
      <c r="AI988" s="215" t="n"/>
      <c r="AJ988" s="215" t="n"/>
      <c r="AK988" s="216" t="n"/>
    </row>
    <row r="989" ht="15" customHeight="1">
      <c r="B989" s="134" t="n"/>
      <c r="C989" s="105" t="n"/>
      <c r="D989" s="105" t="n"/>
      <c r="E989" s="105" t="n"/>
      <c r="F989" s="105" t="n"/>
      <c r="G989" s="105" t="n"/>
      <c r="H989" s="2" t="n"/>
      <c r="I989" s="105" t="n"/>
      <c r="K989" s="215" t="n"/>
      <c r="L989" s="215" t="n"/>
      <c r="M989" s="215" t="n"/>
      <c r="N989" s="215" t="n"/>
      <c r="O989" s="215" t="n"/>
      <c r="P989" s="215" t="n"/>
      <c r="Q989" s="215" t="n"/>
      <c r="R989" s="215" t="n"/>
      <c r="S989" s="215" t="n"/>
      <c r="T989" s="215" t="n"/>
      <c r="U989" s="215" t="n"/>
      <c r="V989" s="215" t="n"/>
      <c r="W989" s="215" t="n"/>
      <c r="X989" s="215" t="n"/>
      <c r="Y989" s="215" t="n"/>
      <c r="Z989" s="215" t="n"/>
      <c r="AA989" s="215" t="n"/>
      <c r="AB989" s="215" t="n"/>
      <c r="AC989" s="215" t="n"/>
      <c r="AD989" s="215" t="n"/>
      <c r="AE989" s="215" t="n"/>
      <c r="AF989" s="215" t="n"/>
      <c r="AG989" s="215" t="n"/>
      <c r="AH989" s="215" t="n"/>
      <c r="AI989" s="215" t="n"/>
      <c r="AJ989" s="215" t="n"/>
      <c r="AK989" s="216" t="n"/>
    </row>
    <row r="990" ht="15" customHeight="1">
      <c r="B990" s="134" t="n"/>
      <c r="C990" s="105" t="n"/>
      <c r="D990" s="105" t="n"/>
      <c r="E990" s="105" t="n"/>
      <c r="F990" s="105" t="n"/>
      <c r="G990" s="105" t="n"/>
      <c r="H990" s="2" t="n"/>
      <c r="I990" s="105" t="n"/>
      <c r="K990" s="215" t="n"/>
      <c r="L990" s="215" t="n"/>
      <c r="M990" s="215" t="n"/>
      <c r="N990" s="215" t="n"/>
      <c r="O990" s="215" t="n"/>
      <c r="P990" s="215" t="n"/>
      <c r="Q990" s="215" t="n"/>
      <c r="R990" s="215" t="n"/>
      <c r="S990" s="215" t="n"/>
      <c r="T990" s="215" t="n"/>
      <c r="U990" s="215" t="n"/>
      <c r="V990" s="215" t="n"/>
      <c r="W990" s="215" t="n"/>
      <c r="X990" s="215" t="n"/>
      <c r="Y990" s="215" t="n"/>
      <c r="Z990" s="215" t="n"/>
      <c r="AA990" s="215" t="n"/>
      <c r="AB990" s="215" t="n"/>
      <c r="AC990" s="215" t="n"/>
      <c r="AD990" s="215" t="n"/>
      <c r="AE990" s="215" t="n"/>
      <c r="AF990" s="215" t="n"/>
      <c r="AG990" s="215" t="n"/>
      <c r="AH990" s="215" t="n"/>
      <c r="AI990" s="215" t="n"/>
      <c r="AJ990" s="215" t="n"/>
      <c r="AK990" s="216" t="n"/>
    </row>
    <row r="991" ht="15" customHeight="1">
      <c r="B991" s="134" t="n"/>
      <c r="C991" s="105" t="n"/>
      <c r="D991" s="105" t="n"/>
      <c r="E991" s="105" t="n"/>
      <c r="F991" s="105" t="n"/>
      <c r="G991" s="105" t="n"/>
      <c r="H991" s="2" t="n"/>
      <c r="I991" s="105" t="n"/>
      <c r="K991" s="215" t="n"/>
      <c r="L991" s="215" t="n"/>
      <c r="M991" s="215" t="n"/>
      <c r="N991" s="215" t="n"/>
      <c r="O991" s="215" t="n"/>
      <c r="P991" s="215" t="n"/>
      <c r="Q991" s="215" t="n"/>
      <c r="R991" s="215" t="n"/>
      <c r="S991" s="215" t="n"/>
      <c r="T991" s="215" t="n"/>
      <c r="U991" s="215" t="n"/>
      <c r="V991" s="215" t="n"/>
      <c r="W991" s="215" t="n"/>
      <c r="X991" s="215" t="n"/>
      <c r="Y991" s="215" t="n"/>
      <c r="Z991" s="215" t="n"/>
      <c r="AA991" s="215" t="n"/>
      <c r="AB991" s="215" t="n"/>
      <c r="AC991" s="215" t="n"/>
      <c r="AD991" s="215" t="n"/>
      <c r="AE991" s="215" t="n"/>
      <c r="AF991" s="215" t="n"/>
      <c r="AG991" s="215" t="n"/>
      <c r="AH991" s="215" t="n"/>
      <c r="AI991" s="215" t="n"/>
      <c r="AJ991" s="215" t="n"/>
      <c r="AK991" s="216" t="n"/>
    </row>
    <row r="992" ht="15" customHeight="1">
      <c r="B992" s="134" t="n"/>
      <c r="C992" s="105" t="n"/>
      <c r="D992" s="105" t="n"/>
      <c r="E992" s="105" t="n"/>
      <c r="F992" s="105" t="n"/>
      <c r="G992" s="105" t="n"/>
      <c r="H992" s="2" t="n"/>
      <c r="I992" s="105" t="n"/>
      <c r="K992" s="215" t="n"/>
      <c r="L992" s="215" t="n"/>
      <c r="M992" s="215" t="n"/>
      <c r="N992" s="215" t="n"/>
      <c r="O992" s="215" t="n"/>
      <c r="P992" s="215" t="n"/>
      <c r="Q992" s="215" t="n"/>
      <c r="R992" s="215" t="n"/>
      <c r="S992" s="215" t="n"/>
      <c r="T992" s="215" t="n"/>
      <c r="U992" s="215" t="n"/>
      <c r="V992" s="215" t="n"/>
      <c r="W992" s="215" t="n"/>
      <c r="X992" s="215" t="n"/>
      <c r="Y992" s="215" t="n"/>
      <c r="Z992" s="215" t="n"/>
      <c r="AA992" s="215" t="n"/>
      <c r="AB992" s="215" t="n"/>
      <c r="AC992" s="215" t="n"/>
      <c r="AD992" s="215" t="n"/>
      <c r="AE992" s="215" t="n"/>
      <c r="AF992" s="215" t="n"/>
      <c r="AG992" s="215" t="n"/>
      <c r="AH992" s="215" t="n"/>
      <c r="AI992" s="215" t="n"/>
      <c r="AJ992" s="215" t="n"/>
      <c r="AK992" s="216" t="n"/>
    </row>
    <row r="993" ht="15" customHeight="1">
      <c r="B993" s="134" t="n"/>
      <c r="C993" s="105" t="n"/>
      <c r="D993" s="105" t="n"/>
      <c r="E993" s="105" t="n"/>
      <c r="F993" s="105" t="n"/>
      <c r="G993" s="105" t="n"/>
      <c r="H993" s="2" t="n"/>
      <c r="I993" s="105" t="n"/>
      <c r="K993" s="215" t="n"/>
      <c r="L993" s="215" t="n"/>
      <c r="M993" s="215" t="n"/>
      <c r="N993" s="215" t="n"/>
      <c r="O993" s="215" t="n"/>
      <c r="P993" s="215" t="n"/>
      <c r="Q993" s="215" t="n"/>
      <c r="R993" s="215" t="n"/>
      <c r="S993" s="215" t="n"/>
      <c r="T993" s="215" t="n"/>
      <c r="U993" s="215" t="n"/>
      <c r="V993" s="215" t="n"/>
      <c r="W993" s="215" t="n"/>
      <c r="X993" s="215" t="n"/>
      <c r="Y993" s="215" t="n"/>
      <c r="Z993" s="215" t="n"/>
      <c r="AA993" s="215" t="n"/>
      <c r="AB993" s="215" t="n"/>
      <c r="AC993" s="215" t="n"/>
      <c r="AD993" s="215" t="n"/>
      <c r="AE993" s="215" t="n"/>
      <c r="AF993" s="215" t="n"/>
      <c r="AG993" s="215" t="n"/>
      <c r="AH993" s="215" t="n"/>
      <c r="AI993" s="215" t="n"/>
      <c r="AJ993" s="215" t="n"/>
      <c r="AK993" s="216" t="n"/>
    </row>
    <row r="994" ht="15" customHeight="1">
      <c r="B994" s="134" t="n"/>
      <c r="C994" s="105" t="n"/>
      <c r="D994" s="105" t="n"/>
      <c r="E994" s="105" t="n"/>
      <c r="F994" s="105" t="n"/>
      <c r="G994" s="105" t="n"/>
      <c r="H994" s="2" t="n"/>
      <c r="I994" s="105" t="n"/>
      <c r="K994" s="215" t="n"/>
      <c r="L994" s="215" t="n"/>
      <c r="M994" s="215" t="n"/>
      <c r="N994" s="215" t="n"/>
      <c r="O994" s="215" t="n"/>
      <c r="P994" s="215" t="n"/>
      <c r="Q994" s="215" t="n"/>
      <c r="R994" s="215" t="n"/>
      <c r="S994" s="215" t="n"/>
      <c r="T994" s="215" t="n"/>
      <c r="U994" s="215" t="n"/>
      <c r="V994" s="215" t="n"/>
      <c r="W994" s="215" t="n"/>
      <c r="X994" s="215" t="n"/>
      <c r="Y994" s="215" t="n"/>
      <c r="Z994" s="215" t="n"/>
      <c r="AA994" s="215" t="n"/>
      <c r="AB994" s="215" t="n"/>
      <c r="AC994" s="215" t="n"/>
      <c r="AD994" s="215" t="n"/>
      <c r="AE994" s="215" t="n"/>
      <c r="AF994" s="215" t="n"/>
      <c r="AG994" s="215" t="n"/>
      <c r="AH994" s="215" t="n"/>
      <c r="AI994" s="215" t="n"/>
      <c r="AJ994" s="215" t="n"/>
      <c r="AK994" s="216" t="n"/>
    </row>
    <row r="995" ht="15" customHeight="1">
      <c r="B995" s="134" t="n"/>
      <c r="C995" s="105" t="n"/>
      <c r="D995" s="105" t="n"/>
      <c r="E995" s="105" t="n"/>
      <c r="F995" s="105" t="n"/>
      <c r="G995" s="105" t="n"/>
      <c r="H995" s="2" t="n"/>
      <c r="I995" s="105" t="n"/>
      <c r="K995" s="215" t="n"/>
      <c r="L995" s="215" t="n"/>
      <c r="M995" s="215" t="n"/>
      <c r="N995" s="215" t="n"/>
      <c r="O995" s="215" t="n"/>
      <c r="P995" s="215" t="n"/>
      <c r="Q995" s="215" t="n"/>
      <c r="R995" s="215" t="n"/>
      <c r="S995" s="215" t="n"/>
      <c r="T995" s="215" t="n"/>
      <c r="U995" s="215" t="n"/>
      <c r="V995" s="215" t="n"/>
      <c r="W995" s="215" t="n"/>
      <c r="X995" s="215" t="n"/>
      <c r="Y995" s="215" t="n"/>
      <c r="Z995" s="215" t="n"/>
      <c r="AA995" s="215" t="n"/>
      <c r="AB995" s="215" t="n"/>
      <c r="AC995" s="215" t="n"/>
      <c r="AD995" s="215" t="n"/>
      <c r="AE995" s="215" t="n"/>
      <c r="AF995" s="215" t="n"/>
      <c r="AG995" s="215" t="n"/>
      <c r="AH995" s="215" t="n"/>
      <c r="AI995" s="215" t="n"/>
      <c r="AJ995" s="215" t="n"/>
      <c r="AK995" s="216" t="n"/>
    </row>
    <row r="996" ht="15" customHeight="1">
      <c r="B996" s="134" t="n"/>
      <c r="C996" s="105" t="n"/>
      <c r="D996" s="105" t="n"/>
      <c r="E996" s="105" t="n"/>
      <c r="F996" s="105" t="n"/>
      <c r="G996" s="105" t="n"/>
      <c r="H996" s="2" t="n"/>
      <c r="I996" s="105" t="n"/>
      <c r="K996" s="215" t="n"/>
      <c r="L996" s="215" t="n"/>
      <c r="M996" s="215" t="n"/>
      <c r="N996" s="215" t="n"/>
      <c r="O996" s="215" t="n"/>
      <c r="P996" s="215" t="n"/>
      <c r="Q996" s="215" t="n"/>
      <c r="R996" s="215" t="n"/>
      <c r="S996" s="215" t="n"/>
      <c r="T996" s="215" t="n"/>
      <c r="U996" s="215" t="n"/>
      <c r="V996" s="215" t="n"/>
      <c r="W996" s="215" t="n"/>
      <c r="X996" s="215" t="n"/>
      <c r="Y996" s="215" t="n"/>
      <c r="Z996" s="215" t="n"/>
      <c r="AA996" s="215" t="n"/>
      <c r="AB996" s="215" t="n"/>
      <c r="AC996" s="215" t="n"/>
      <c r="AD996" s="215" t="n"/>
      <c r="AE996" s="215" t="n"/>
      <c r="AF996" s="215" t="n"/>
      <c r="AG996" s="215" t="n"/>
      <c r="AH996" s="215" t="n"/>
      <c r="AI996" s="215" t="n"/>
      <c r="AJ996" s="215" t="n"/>
      <c r="AK996" s="216" t="n"/>
    </row>
    <row r="997" ht="15" customHeight="1">
      <c r="B997" s="134" t="n"/>
      <c r="C997" s="105" t="n"/>
      <c r="D997" s="105" t="n"/>
      <c r="E997" s="105" t="n"/>
      <c r="F997" s="105" t="n"/>
      <c r="G997" s="105" t="n"/>
      <c r="H997" s="2" t="n"/>
      <c r="I997" s="105" t="n"/>
      <c r="K997" s="215" t="n"/>
      <c r="L997" s="215" t="n"/>
      <c r="M997" s="215" t="n"/>
      <c r="N997" s="215" t="n"/>
      <c r="O997" s="215" t="n"/>
      <c r="P997" s="215" t="n"/>
      <c r="Q997" s="215" t="n"/>
      <c r="R997" s="215" t="n"/>
      <c r="S997" s="215" t="n"/>
      <c r="T997" s="215" t="n"/>
      <c r="U997" s="215" t="n"/>
      <c r="V997" s="215" t="n"/>
      <c r="W997" s="215" t="n"/>
      <c r="X997" s="215" t="n"/>
      <c r="Y997" s="215" t="n"/>
      <c r="Z997" s="215" t="n"/>
      <c r="AA997" s="215" t="n"/>
      <c r="AB997" s="215" t="n"/>
      <c r="AC997" s="215" t="n"/>
      <c r="AD997" s="215" t="n"/>
      <c r="AE997" s="215" t="n"/>
      <c r="AF997" s="215" t="n"/>
      <c r="AG997" s="215" t="n"/>
      <c r="AH997" s="215" t="n"/>
      <c r="AI997" s="215" t="n"/>
      <c r="AJ997" s="215" t="n"/>
      <c r="AK997" s="216" t="n"/>
    </row>
    <row r="998" ht="15" customHeight="1">
      <c r="B998" s="134" t="n"/>
      <c r="C998" s="105" t="n"/>
      <c r="D998" s="105" t="n"/>
      <c r="E998" s="105" t="n"/>
      <c r="F998" s="105" t="n"/>
      <c r="G998" s="105" t="n"/>
      <c r="H998" s="2" t="n"/>
      <c r="I998" s="105" t="n"/>
      <c r="K998" s="215" t="n"/>
      <c r="L998" s="215" t="n"/>
      <c r="M998" s="215" t="n"/>
      <c r="N998" s="215" t="n"/>
      <c r="O998" s="215" t="n"/>
      <c r="P998" s="215" t="n"/>
      <c r="Q998" s="215" t="n"/>
      <c r="R998" s="215" t="n"/>
      <c r="S998" s="215" t="n"/>
      <c r="T998" s="215" t="n"/>
      <c r="U998" s="215" t="n"/>
      <c r="V998" s="215" t="n"/>
      <c r="W998" s="215" t="n"/>
      <c r="X998" s="215" t="n"/>
      <c r="Y998" s="215" t="n"/>
      <c r="Z998" s="215" t="n"/>
      <c r="AA998" s="215" t="n"/>
      <c r="AB998" s="215" t="n"/>
      <c r="AC998" s="215" t="n"/>
      <c r="AD998" s="215" t="n"/>
      <c r="AE998" s="215" t="n"/>
      <c r="AF998" s="215" t="n"/>
      <c r="AG998" s="215" t="n"/>
      <c r="AH998" s="215" t="n"/>
      <c r="AI998" s="215" t="n"/>
      <c r="AJ998" s="215" t="n"/>
      <c r="AK998" s="216" t="n"/>
    </row>
    <row r="999" ht="15" customHeight="1">
      <c r="B999" s="134" t="n"/>
      <c r="C999" s="105" t="n"/>
      <c r="D999" s="105" t="n"/>
      <c r="E999" s="105" t="n"/>
      <c r="F999" s="105" t="n"/>
      <c r="G999" s="105" t="n"/>
      <c r="H999" s="2" t="n"/>
      <c r="I999" s="105" t="n"/>
      <c r="K999" s="215" t="n"/>
      <c r="L999" s="215" t="n"/>
      <c r="M999" s="215" t="n"/>
      <c r="N999" s="215" t="n"/>
      <c r="O999" s="215" t="n"/>
      <c r="P999" s="215" t="n"/>
      <c r="Q999" s="215" t="n"/>
      <c r="R999" s="215" t="n"/>
      <c r="S999" s="215" t="n"/>
      <c r="T999" s="215" t="n"/>
      <c r="U999" s="215" t="n"/>
      <c r="V999" s="215" t="n"/>
      <c r="W999" s="215" t="n"/>
      <c r="X999" s="215" t="n"/>
      <c r="Y999" s="215" t="n"/>
      <c r="Z999" s="215" t="n"/>
      <c r="AA999" s="215" t="n"/>
      <c r="AB999" s="215" t="n"/>
      <c r="AC999" s="215" t="n"/>
      <c r="AD999" s="215" t="n"/>
      <c r="AE999" s="215" t="n"/>
      <c r="AF999" s="215" t="n"/>
      <c r="AG999" s="215" t="n"/>
      <c r="AH999" s="215" t="n"/>
      <c r="AI999" s="215" t="n"/>
      <c r="AJ999" s="215" t="n"/>
      <c r="AK999" s="216" t="n"/>
    </row>
    <row r="1000" ht="15" customHeight="1">
      <c r="B1000" s="134" t="n"/>
      <c r="C1000" s="105" t="n"/>
      <c r="D1000" s="105" t="n"/>
      <c r="E1000" s="105" t="n"/>
      <c r="F1000" s="105" t="n"/>
      <c r="G1000" s="105" t="n"/>
      <c r="H1000" s="2" t="n"/>
      <c r="I1000" s="105" t="n"/>
      <c r="K1000" s="215" t="n"/>
      <c r="L1000" s="215" t="n"/>
      <c r="M1000" s="215" t="n"/>
      <c r="N1000" s="215" t="n"/>
      <c r="O1000" s="215" t="n"/>
      <c r="P1000" s="215" t="n"/>
      <c r="Q1000" s="215" t="n"/>
      <c r="R1000" s="215" t="n"/>
      <c r="S1000" s="215" t="n"/>
      <c r="T1000" s="215" t="n"/>
      <c r="U1000" s="215" t="n"/>
      <c r="V1000" s="215" t="n"/>
      <c r="W1000" s="215" t="n"/>
      <c r="X1000" s="215" t="n"/>
      <c r="Y1000" s="215" t="n"/>
      <c r="Z1000" s="215" t="n"/>
      <c r="AA1000" s="215" t="n"/>
      <c r="AB1000" s="215" t="n"/>
      <c r="AC1000" s="215" t="n"/>
      <c r="AD1000" s="215" t="n"/>
      <c r="AE1000" s="215" t="n"/>
      <c r="AF1000" s="215" t="n"/>
      <c r="AG1000" s="215" t="n"/>
      <c r="AH1000" s="215" t="n"/>
      <c r="AI1000" s="215" t="n"/>
      <c r="AJ1000" s="215" t="n"/>
      <c r="AK1000" s="216" t="n"/>
    </row>
    <row r="1001" ht="15" customHeight="1">
      <c r="B1001" s="134" t="n"/>
      <c r="C1001" s="105" t="n"/>
      <c r="D1001" s="105" t="n"/>
      <c r="E1001" s="105" t="n"/>
      <c r="F1001" s="105" t="n"/>
      <c r="G1001" s="105" t="n"/>
      <c r="H1001" s="2" t="n"/>
      <c r="I1001" s="105" t="n"/>
      <c r="K1001" s="215" t="n"/>
      <c r="L1001" s="215" t="n"/>
      <c r="M1001" s="215" t="n"/>
      <c r="N1001" s="215" t="n"/>
      <c r="O1001" s="215" t="n"/>
      <c r="P1001" s="215" t="n"/>
      <c r="Q1001" s="215" t="n"/>
      <c r="R1001" s="215" t="n"/>
      <c r="S1001" s="215" t="n"/>
      <c r="T1001" s="215" t="n"/>
      <c r="U1001" s="215" t="n"/>
      <c r="V1001" s="215" t="n"/>
      <c r="W1001" s="215" t="n"/>
      <c r="X1001" s="215" t="n"/>
      <c r="Y1001" s="215" t="n"/>
      <c r="Z1001" s="215" t="n"/>
      <c r="AA1001" s="215" t="n"/>
      <c r="AB1001" s="215" t="n"/>
      <c r="AC1001" s="215" t="n"/>
      <c r="AD1001" s="215" t="n"/>
      <c r="AE1001" s="215" t="n"/>
      <c r="AF1001" s="215" t="n"/>
      <c r="AG1001" s="215" t="n"/>
      <c r="AH1001" s="215" t="n"/>
      <c r="AI1001" s="215" t="n"/>
      <c r="AJ1001" s="215" t="n"/>
      <c r="AK1001" s="216" t="n"/>
    </row>
    <row r="1002" ht="15" customHeight="1">
      <c r="B1002" s="134" t="n"/>
      <c r="C1002" s="105" t="n"/>
      <c r="D1002" s="105" t="n"/>
      <c r="E1002" s="105" t="n"/>
      <c r="F1002" s="105" t="n"/>
      <c r="G1002" s="105" t="n"/>
      <c r="H1002" s="2" t="n"/>
      <c r="I1002" s="105" t="n"/>
      <c r="K1002" s="215" t="n"/>
      <c r="L1002" s="215" t="n"/>
      <c r="M1002" s="215" t="n"/>
      <c r="N1002" s="215" t="n"/>
      <c r="O1002" s="215" t="n"/>
      <c r="P1002" s="215" t="n"/>
      <c r="Q1002" s="215" t="n"/>
      <c r="R1002" s="215" t="n"/>
      <c r="S1002" s="215" t="n"/>
      <c r="T1002" s="215" t="n"/>
      <c r="U1002" s="215" t="n"/>
      <c r="V1002" s="215" t="n"/>
      <c r="W1002" s="215" t="n"/>
      <c r="X1002" s="215" t="n"/>
      <c r="Y1002" s="215" t="n"/>
      <c r="Z1002" s="215" t="n"/>
      <c r="AA1002" s="215" t="n"/>
      <c r="AB1002" s="215" t="n"/>
      <c r="AC1002" s="215" t="n"/>
      <c r="AD1002" s="215" t="n"/>
      <c r="AE1002" s="215" t="n"/>
      <c r="AF1002" s="215" t="n"/>
      <c r="AG1002" s="215" t="n"/>
      <c r="AH1002" s="215" t="n"/>
      <c r="AI1002" s="215" t="n"/>
      <c r="AJ1002" s="215" t="n"/>
      <c r="AK1002" s="216" t="n"/>
    </row>
    <row r="1003" ht="15" customHeight="1">
      <c r="B1003" s="134" t="n"/>
      <c r="C1003" s="105" t="n"/>
      <c r="D1003" s="105" t="n"/>
      <c r="E1003" s="105" t="n"/>
      <c r="F1003" s="105" t="n"/>
      <c r="G1003" s="105" t="n"/>
      <c r="H1003" s="2" t="n"/>
      <c r="I1003" s="105" t="n"/>
      <c r="K1003" s="215" t="n"/>
      <c r="L1003" s="215" t="n"/>
      <c r="M1003" s="215" t="n"/>
      <c r="N1003" s="215" t="n"/>
      <c r="O1003" s="215" t="n"/>
      <c r="P1003" s="215" t="n"/>
      <c r="Q1003" s="215" t="n"/>
      <c r="R1003" s="215" t="n"/>
      <c r="S1003" s="215" t="n"/>
      <c r="T1003" s="215" t="n"/>
      <c r="U1003" s="215" t="n"/>
      <c r="V1003" s="215" t="n"/>
      <c r="W1003" s="215" t="n"/>
      <c r="X1003" s="215" t="n"/>
      <c r="Y1003" s="215" t="n"/>
      <c r="Z1003" s="215" t="n"/>
      <c r="AA1003" s="215" t="n"/>
      <c r="AB1003" s="215" t="n"/>
      <c r="AC1003" s="215" t="n"/>
      <c r="AD1003" s="215" t="n"/>
      <c r="AE1003" s="215" t="n"/>
      <c r="AF1003" s="215" t="n"/>
      <c r="AG1003" s="215" t="n"/>
      <c r="AH1003" s="215" t="n"/>
      <c r="AI1003" s="215" t="n"/>
      <c r="AJ1003" s="215" t="n"/>
      <c r="AK1003" s="216" t="n"/>
    </row>
    <row r="1004" ht="15" customHeight="1">
      <c r="B1004" s="134" t="n"/>
      <c r="C1004" s="105" t="n"/>
      <c r="D1004" s="105" t="n"/>
      <c r="E1004" s="105" t="n"/>
      <c r="F1004" s="105" t="n"/>
      <c r="G1004" s="105" t="n"/>
      <c r="H1004" s="2" t="n"/>
      <c r="I1004" s="105" t="n"/>
      <c r="K1004" s="215" t="n"/>
      <c r="L1004" s="215" t="n"/>
      <c r="M1004" s="215" t="n"/>
      <c r="N1004" s="215" t="n"/>
      <c r="O1004" s="215" t="n"/>
      <c r="P1004" s="215" t="n"/>
      <c r="Q1004" s="215" t="n"/>
      <c r="R1004" s="215" t="n"/>
      <c r="S1004" s="215" t="n"/>
      <c r="T1004" s="215" t="n"/>
      <c r="U1004" s="215" t="n"/>
      <c r="V1004" s="215" t="n"/>
      <c r="W1004" s="215" t="n"/>
      <c r="X1004" s="215" t="n"/>
      <c r="Y1004" s="215" t="n"/>
      <c r="Z1004" s="215" t="n"/>
      <c r="AA1004" s="215" t="n"/>
      <c r="AB1004" s="215" t="n"/>
      <c r="AC1004" s="215" t="n"/>
      <c r="AD1004" s="215" t="n"/>
      <c r="AE1004" s="215" t="n"/>
      <c r="AF1004" s="215" t="n"/>
      <c r="AG1004" s="215" t="n"/>
      <c r="AH1004" s="215" t="n"/>
      <c r="AI1004" s="215" t="n"/>
      <c r="AJ1004" s="215" t="n"/>
      <c r="AK1004" s="216" t="n"/>
    </row>
    <row r="1005" ht="15" customHeight="1">
      <c r="B1005" s="134" t="n"/>
      <c r="C1005" s="105" t="n"/>
      <c r="D1005" s="105" t="n"/>
      <c r="E1005" s="105" t="n"/>
      <c r="F1005" s="105" t="n"/>
      <c r="G1005" s="105" t="n"/>
      <c r="H1005" s="2" t="n"/>
      <c r="I1005" s="105" t="n"/>
      <c r="K1005" s="215" t="n"/>
      <c r="L1005" s="215" t="n"/>
      <c r="M1005" s="215" t="n"/>
      <c r="N1005" s="215" t="n"/>
      <c r="O1005" s="215" t="n"/>
      <c r="P1005" s="215" t="n"/>
      <c r="Q1005" s="215" t="n"/>
      <c r="R1005" s="215" t="n"/>
      <c r="S1005" s="215" t="n"/>
      <c r="T1005" s="215" t="n"/>
      <c r="U1005" s="215" t="n"/>
      <c r="V1005" s="215" t="n"/>
      <c r="W1005" s="215" t="n"/>
      <c r="X1005" s="215" t="n"/>
      <c r="Y1005" s="215" t="n"/>
      <c r="Z1005" s="215" t="n"/>
      <c r="AA1005" s="215" t="n"/>
      <c r="AB1005" s="215" t="n"/>
      <c r="AC1005" s="215" t="n"/>
      <c r="AD1005" s="215" t="n"/>
      <c r="AE1005" s="215" t="n"/>
      <c r="AF1005" s="215" t="n"/>
      <c r="AG1005" s="215" t="n"/>
      <c r="AH1005" s="215" t="n"/>
      <c r="AI1005" s="215" t="n"/>
      <c r="AJ1005" s="215" t="n"/>
      <c r="AK1005" s="216" t="n"/>
    </row>
    <row r="1006" ht="15" customHeight="1">
      <c r="B1006" s="134" t="n"/>
      <c r="C1006" s="105" t="n"/>
      <c r="D1006" s="105" t="n"/>
      <c r="E1006" s="105" t="n"/>
      <c r="F1006" s="105" t="n"/>
      <c r="G1006" s="105" t="n"/>
      <c r="H1006" s="2" t="n"/>
      <c r="I1006" s="105" t="n"/>
      <c r="K1006" s="215" t="n"/>
      <c r="L1006" s="215" t="n"/>
      <c r="M1006" s="215" t="n"/>
      <c r="N1006" s="215" t="n"/>
      <c r="O1006" s="215" t="n"/>
      <c r="P1006" s="215" t="n"/>
      <c r="Q1006" s="215" t="n"/>
      <c r="R1006" s="215" t="n"/>
      <c r="S1006" s="215" t="n"/>
      <c r="T1006" s="215" t="n"/>
      <c r="U1006" s="215" t="n"/>
      <c r="V1006" s="215" t="n"/>
      <c r="W1006" s="215" t="n"/>
      <c r="X1006" s="215" t="n"/>
      <c r="Y1006" s="215" t="n"/>
      <c r="Z1006" s="215" t="n"/>
      <c r="AA1006" s="215" t="n"/>
      <c r="AB1006" s="215" t="n"/>
      <c r="AC1006" s="215" t="n"/>
      <c r="AD1006" s="215" t="n"/>
      <c r="AE1006" s="215" t="n"/>
      <c r="AF1006" s="215" t="n"/>
      <c r="AG1006" s="215" t="n"/>
      <c r="AH1006" s="215" t="n"/>
      <c r="AI1006" s="215" t="n"/>
      <c r="AJ1006" s="215" t="n"/>
      <c r="AK1006" s="216" t="n"/>
    </row>
    <row r="1007" ht="15" customHeight="1">
      <c r="B1007" s="134" t="n"/>
      <c r="C1007" s="105" t="n"/>
      <c r="D1007" s="105" t="n"/>
      <c r="E1007" s="105" t="n"/>
      <c r="F1007" s="105" t="n"/>
      <c r="G1007" s="105" t="n"/>
      <c r="H1007" s="2" t="n"/>
      <c r="I1007" s="105" t="n"/>
      <c r="K1007" s="215" t="n"/>
      <c r="L1007" s="215" t="n"/>
      <c r="M1007" s="215" t="n"/>
      <c r="N1007" s="215" t="n"/>
      <c r="O1007" s="215" t="n"/>
      <c r="P1007" s="215" t="n"/>
      <c r="Q1007" s="215" t="n"/>
      <c r="R1007" s="215" t="n"/>
      <c r="S1007" s="215" t="n"/>
      <c r="T1007" s="215" t="n"/>
      <c r="U1007" s="215" t="n"/>
      <c r="V1007" s="215" t="n"/>
      <c r="W1007" s="215" t="n"/>
      <c r="X1007" s="215" t="n"/>
      <c r="Y1007" s="215" t="n"/>
      <c r="Z1007" s="215" t="n"/>
      <c r="AA1007" s="215" t="n"/>
      <c r="AB1007" s="215" t="n"/>
      <c r="AC1007" s="215" t="n"/>
      <c r="AD1007" s="215" t="n"/>
      <c r="AE1007" s="215" t="n"/>
      <c r="AF1007" s="215" t="n"/>
      <c r="AG1007" s="215" t="n"/>
      <c r="AH1007" s="215" t="n"/>
      <c r="AI1007" s="215" t="n"/>
      <c r="AJ1007" s="215" t="n"/>
      <c r="AK1007" s="216" t="n"/>
    </row>
    <row r="1008" ht="15" customHeight="1">
      <c r="B1008" s="134" t="n"/>
      <c r="C1008" s="105" t="n"/>
      <c r="D1008" s="105" t="n"/>
      <c r="E1008" s="105" t="n"/>
      <c r="F1008" s="105" t="n"/>
      <c r="G1008" s="105" t="n"/>
      <c r="H1008" s="2" t="n"/>
      <c r="I1008" s="105" t="n"/>
      <c r="K1008" s="215" t="n"/>
      <c r="L1008" s="215" t="n"/>
      <c r="M1008" s="215" t="n"/>
      <c r="N1008" s="215" t="n"/>
      <c r="O1008" s="215" t="n"/>
      <c r="P1008" s="215" t="n"/>
      <c r="Q1008" s="215" t="n"/>
      <c r="R1008" s="215" t="n"/>
      <c r="S1008" s="215" t="n"/>
      <c r="T1008" s="215" t="n"/>
      <c r="U1008" s="215" t="n"/>
      <c r="V1008" s="215" t="n"/>
      <c r="W1008" s="215" t="n"/>
      <c r="X1008" s="215" t="n"/>
      <c r="Y1008" s="215" t="n"/>
      <c r="Z1008" s="215" t="n"/>
      <c r="AA1008" s="215" t="n"/>
      <c r="AB1008" s="215" t="n"/>
      <c r="AC1008" s="215" t="n"/>
      <c r="AD1008" s="215" t="n"/>
      <c r="AE1008" s="215" t="n"/>
      <c r="AF1008" s="215" t="n"/>
      <c r="AG1008" s="215" t="n"/>
      <c r="AH1008" s="215" t="n"/>
      <c r="AI1008" s="215" t="n"/>
      <c r="AJ1008" s="215" t="n"/>
      <c r="AK1008" s="216" t="n"/>
    </row>
    <row r="1009" ht="15" customHeight="1">
      <c r="B1009" s="134" t="n"/>
      <c r="C1009" s="105" t="n"/>
      <c r="D1009" s="105" t="n"/>
      <c r="E1009" s="105" t="n"/>
      <c r="F1009" s="105" t="n"/>
      <c r="G1009" s="105" t="n"/>
      <c r="H1009" s="2" t="n"/>
      <c r="I1009" s="105" t="n"/>
      <c r="K1009" s="215" t="n"/>
      <c r="L1009" s="215" t="n"/>
      <c r="M1009" s="215" t="n"/>
      <c r="N1009" s="215" t="n"/>
      <c r="O1009" s="215" t="n"/>
      <c r="P1009" s="215" t="n"/>
      <c r="Q1009" s="215" t="n"/>
      <c r="R1009" s="215" t="n"/>
      <c r="S1009" s="215" t="n"/>
      <c r="T1009" s="215" t="n"/>
      <c r="U1009" s="215" t="n"/>
      <c r="V1009" s="215" t="n"/>
      <c r="W1009" s="215" t="n"/>
      <c r="X1009" s="215" t="n"/>
      <c r="Y1009" s="215" t="n"/>
      <c r="Z1009" s="215" t="n"/>
      <c r="AA1009" s="215" t="n"/>
      <c r="AB1009" s="215" t="n"/>
      <c r="AC1009" s="215" t="n"/>
      <c r="AD1009" s="215" t="n"/>
      <c r="AE1009" s="215" t="n"/>
      <c r="AF1009" s="215" t="n"/>
      <c r="AG1009" s="215" t="n"/>
      <c r="AH1009" s="215" t="n"/>
      <c r="AI1009" s="215" t="n"/>
      <c r="AJ1009" s="215" t="n"/>
      <c r="AK1009" s="216" t="n"/>
    </row>
    <row r="1010" ht="15" customHeight="1">
      <c r="B1010" s="134" t="n"/>
      <c r="C1010" s="105" t="n"/>
      <c r="D1010" s="105" t="n"/>
      <c r="E1010" s="105" t="n"/>
      <c r="F1010" s="105" t="n"/>
      <c r="G1010" s="105" t="n"/>
      <c r="H1010" s="2" t="n"/>
      <c r="I1010" s="105" t="n"/>
      <c r="K1010" s="215" t="n"/>
      <c r="L1010" s="215" t="n"/>
      <c r="M1010" s="215" t="n"/>
      <c r="N1010" s="215" t="n"/>
      <c r="O1010" s="215" t="n"/>
      <c r="P1010" s="215" t="n"/>
      <c r="Q1010" s="215" t="n"/>
      <c r="R1010" s="215" t="n"/>
      <c r="S1010" s="215" t="n"/>
      <c r="T1010" s="215" t="n"/>
      <c r="U1010" s="215" t="n"/>
      <c r="V1010" s="215" t="n"/>
      <c r="W1010" s="215" t="n"/>
      <c r="X1010" s="215" t="n"/>
      <c r="Y1010" s="215" t="n"/>
      <c r="Z1010" s="215" t="n"/>
      <c r="AA1010" s="215" t="n"/>
      <c r="AB1010" s="215" t="n"/>
      <c r="AC1010" s="215" t="n"/>
      <c r="AD1010" s="215" t="n"/>
      <c r="AE1010" s="215" t="n"/>
      <c r="AF1010" s="215" t="n"/>
      <c r="AG1010" s="215" t="n"/>
      <c r="AH1010" s="215" t="n"/>
      <c r="AI1010" s="215" t="n"/>
      <c r="AJ1010" s="215" t="n"/>
      <c r="AK1010" s="216" t="n"/>
    </row>
    <row r="1011" ht="15" customHeight="1">
      <c r="B1011" s="134" t="n"/>
      <c r="C1011" s="105" t="n"/>
      <c r="D1011" s="105" t="n"/>
      <c r="E1011" s="105" t="n"/>
      <c r="F1011" s="105" t="n"/>
      <c r="G1011" s="105" t="n"/>
      <c r="H1011" s="2" t="n"/>
      <c r="I1011" s="105" t="n"/>
      <c r="K1011" s="215" t="n"/>
      <c r="L1011" s="215" t="n"/>
      <c r="M1011" s="215" t="n"/>
      <c r="N1011" s="215" t="n"/>
      <c r="O1011" s="215" t="n"/>
      <c r="P1011" s="215" t="n"/>
      <c r="Q1011" s="215" t="n"/>
      <c r="R1011" s="215" t="n"/>
      <c r="S1011" s="215" t="n"/>
      <c r="T1011" s="215" t="n"/>
      <c r="U1011" s="215" t="n"/>
      <c r="V1011" s="215" t="n"/>
      <c r="W1011" s="215" t="n"/>
      <c r="X1011" s="215" t="n"/>
      <c r="Y1011" s="215" t="n"/>
      <c r="Z1011" s="215" t="n"/>
      <c r="AA1011" s="215" t="n"/>
      <c r="AB1011" s="215" t="n"/>
      <c r="AC1011" s="215" t="n"/>
      <c r="AD1011" s="215" t="n"/>
      <c r="AE1011" s="215" t="n"/>
      <c r="AF1011" s="215" t="n"/>
      <c r="AG1011" s="215" t="n"/>
      <c r="AH1011" s="215" t="n"/>
      <c r="AI1011" s="215" t="n"/>
      <c r="AJ1011" s="215" t="n"/>
      <c r="AK1011" s="216" t="n"/>
    </row>
    <row r="1012" ht="15" customHeight="1">
      <c r="B1012" s="134" t="n"/>
      <c r="C1012" s="105" t="n"/>
      <c r="D1012" s="105" t="n"/>
      <c r="E1012" s="105" t="n"/>
      <c r="F1012" s="105" t="n"/>
      <c r="G1012" s="105" t="n"/>
      <c r="H1012" s="2" t="n"/>
      <c r="I1012" s="105" t="n"/>
      <c r="K1012" s="215" t="n"/>
      <c r="L1012" s="215" t="n"/>
      <c r="M1012" s="215" t="n"/>
      <c r="N1012" s="215" t="n"/>
      <c r="O1012" s="215" t="n"/>
      <c r="P1012" s="215" t="n"/>
      <c r="Q1012" s="215" t="n"/>
      <c r="R1012" s="215" t="n"/>
      <c r="S1012" s="215" t="n"/>
      <c r="T1012" s="215" t="n"/>
      <c r="U1012" s="215" t="n"/>
      <c r="V1012" s="215" t="n"/>
      <c r="W1012" s="215" t="n"/>
      <c r="X1012" s="215" t="n"/>
      <c r="Y1012" s="215" t="n"/>
      <c r="Z1012" s="215" t="n"/>
      <c r="AA1012" s="215" t="n"/>
      <c r="AB1012" s="215" t="n"/>
      <c r="AC1012" s="215" t="n"/>
      <c r="AD1012" s="215" t="n"/>
      <c r="AE1012" s="215" t="n"/>
      <c r="AF1012" s="215" t="n"/>
      <c r="AG1012" s="215" t="n"/>
      <c r="AH1012" s="215" t="n"/>
      <c r="AI1012" s="215" t="n"/>
      <c r="AJ1012" s="215" t="n"/>
      <c r="AK1012" s="216" t="n"/>
    </row>
    <row r="1013" ht="15" customHeight="1">
      <c r="B1013" s="134" t="n"/>
      <c r="C1013" s="105" t="n"/>
      <c r="D1013" s="105" t="n"/>
      <c r="E1013" s="105" t="n"/>
      <c r="F1013" s="105" t="n"/>
      <c r="G1013" s="105" t="n"/>
      <c r="H1013" s="2" t="n"/>
      <c r="I1013" s="105" t="n"/>
      <c r="K1013" s="215" t="n"/>
      <c r="L1013" s="215" t="n"/>
      <c r="M1013" s="215" t="n"/>
      <c r="N1013" s="215" t="n"/>
      <c r="O1013" s="215" t="n"/>
      <c r="P1013" s="215" t="n"/>
      <c r="Q1013" s="215" t="n"/>
      <c r="R1013" s="215" t="n"/>
      <c r="S1013" s="215" t="n"/>
      <c r="T1013" s="215" t="n"/>
      <c r="U1013" s="215" t="n"/>
      <c r="V1013" s="215" t="n"/>
      <c r="W1013" s="215" t="n"/>
      <c r="X1013" s="215" t="n"/>
      <c r="Y1013" s="215" t="n"/>
      <c r="Z1013" s="215" t="n"/>
      <c r="AA1013" s="215" t="n"/>
      <c r="AB1013" s="215" t="n"/>
      <c r="AC1013" s="215" t="n"/>
      <c r="AD1013" s="215" t="n"/>
      <c r="AE1013" s="215" t="n"/>
      <c r="AF1013" s="215" t="n"/>
      <c r="AG1013" s="215" t="n"/>
      <c r="AH1013" s="215" t="n"/>
      <c r="AI1013" s="215" t="n"/>
      <c r="AJ1013" s="215" t="n"/>
      <c r="AK1013" s="216" t="n"/>
    </row>
    <row r="1014" ht="15" customHeight="1">
      <c r="B1014" s="134" t="n"/>
      <c r="C1014" s="105" t="n"/>
      <c r="D1014" s="105" t="n"/>
      <c r="E1014" s="105" t="n"/>
      <c r="F1014" s="105" t="n"/>
      <c r="G1014" s="105" t="n"/>
      <c r="H1014" s="2" t="n"/>
      <c r="I1014" s="105" t="n"/>
      <c r="K1014" s="215" t="n"/>
      <c r="L1014" s="215" t="n"/>
      <c r="M1014" s="215" t="n"/>
      <c r="N1014" s="215" t="n"/>
      <c r="O1014" s="215" t="n"/>
      <c r="P1014" s="215" t="n"/>
      <c r="Q1014" s="215" t="n"/>
      <c r="R1014" s="215" t="n"/>
      <c r="S1014" s="215" t="n"/>
      <c r="T1014" s="215" t="n"/>
      <c r="U1014" s="215" t="n"/>
      <c r="V1014" s="215" t="n"/>
      <c r="W1014" s="215" t="n"/>
      <c r="X1014" s="215" t="n"/>
      <c r="Y1014" s="215" t="n"/>
      <c r="Z1014" s="215" t="n"/>
      <c r="AA1014" s="215" t="n"/>
      <c r="AB1014" s="215" t="n"/>
      <c r="AC1014" s="215" t="n"/>
      <c r="AD1014" s="215" t="n"/>
      <c r="AE1014" s="215" t="n"/>
      <c r="AF1014" s="215" t="n"/>
      <c r="AG1014" s="215" t="n"/>
      <c r="AH1014" s="215" t="n"/>
      <c r="AI1014" s="215" t="n"/>
      <c r="AJ1014" s="215" t="n"/>
      <c r="AK1014" s="216" t="n"/>
    </row>
    <row r="1015" ht="15" customHeight="1">
      <c r="B1015" s="134" t="n"/>
      <c r="C1015" s="105" t="n"/>
      <c r="D1015" s="105" t="n"/>
      <c r="E1015" s="105" t="n"/>
      <c r="F1015" s="105" t="n"/>
      <c r="G1015" s="105" t="n"/>
      <c r="H1015" s="2" t="n"/>
      <c r="I1015" s="105" t="n"/>
      <c r="K1015" s="215" t="n"/>
      <c r="L1015" s="215" t="n"/>
      <c r="M1015" s="215" t="n"/>
      <c r="N1015" s="215" t="n"/>
      <c r="O1015" s="215" t="n"/>
      <c r="P1015" s="215" t="n"/>
      <c r="Q1015" s="215" t="n"/>
      <c r="R1015" s="215" t="n"/>
      <c r="S1015" s="215" t="n"/>
      <c r="T1015" s="215" t="n"/>
      <c r="U1015" s="215" t="n"/>
      <c r="V1015" s="215" t="n"/>
      <c r="W1015" s="215" t="n"/>
      <c r="X1015" s="215" t="n"/>
      <c r="Y1015" s="215" t="n"/>
      <c r="Z1015" s="215" t="n"/>
      <c r="AA1015" s="215" t="n"/>
      <c r="AB1015" s="215" t="n"/>
      <c r="AC1015" s="215" t="n"/>
      <c r="AD1015" s="215" t="n"/>
      <c r="AE1015" s="215" t="n"/>
      <c r="AF1015" s="215" t="n"/>
      <c r="AG1015" s="215" t="n"/>
      <c r="AH1015" s="215" t="n"/>
      <c r="AI1015" s="215" t="n"/>
      <c r="AJ1015" s="215" t="n"/>
      <c r="AK1015" s="216" t="n"/>
    </row>
    <row r="1016" ht="15" customHeight="1">
      <c r="B1016" s="134" t="n"/>
      <c r="C1016" s="105" t="n"/>
      <c r="D1016" s="105" t="n"/>
      <c r="E1016" s="105" t="n"/>
      <c r="F1016" s="105" t="n"/>
      <c r="G1016" s="105" t="n"/>
      <c r="H1016" s="2" t="n"/>
      <c r="I1016" s="105" t="n"/>
      <c r="K1016" s="215" t="n"/>
      <c r="L1016" s="215" t="n"/>
      <c r="M1016" s="215" t="n"/>
      <c r="N1016" s="215" t="n"/>
      <c r="O1016" s="215" t="n"/>
      <c r="P1016" s="215" t="n"/>
      <c r="Q1016" s="215" t="n"/>
      <c r="R1016" s="215" t="n"/>
      <c r="S1016" s="215" t="n"/>
      <c r="T1016" s="215" t="n"/>
      <c r="U1016" s="215" t="n"/>
      <c r="V1016" s="215" t="n"/>
      <c r="W1016" s="215" t="n"/>
      <c r="X1016" s="215" t="n"/>
      <c r="Y1016" s="215" t="n"/>
      <c r="Z1016" s="215" t="n"/>
      <c r="AA1016" s="215" t="n"/>
      <c r="AB1016" s="215" t="n"/>
      <c r="AC1016" s="215" t="n"/>
      <c r="AD1016" s="215" t="n"/>
      <c r="AE1016" s="215" t="n"/>
      <c r="AF1016" s="215" t="n"/>
      <c r="AG1016" s="215" t="n"/>
      <c r="AH1016" s="215" t="n"/>
      <c r="AI1016" s="215" t="n"/>
      <c r="AJ1016" s="215" t="n"/>
      <c r="AK1016" s="216" t="n"/>
    </row>
    <row r="1017" ht="15" customHeight="1">
      <c r="B1017" s="134" t="n"/>
      <c r="C1017" s="105" t="n"/>
      <c r="D1017" s="105" t="n"/>
      <c r="E1017" s="105" t="n"/>
      <c r="F1017" s="105" t="n"/>
      <c r="G1017" s="105" t="n"/>
      <c r="H1017" s="2" t="n"/>
      <c r="I1017" s="105" t="n"/>
      <c r="K1017" s="215" t="n"/>
      <c r="L1017" s="215" t="n"/>
      <c r="M1017" s="215" t="n"/>
      <c r="N1017" s="215" t="n"/>
      <c r="O1017" s="215" t="n"/>
      <c r="P1017" s="215" t="n"/>
      <c r="Q1017" s="215" t="n"/>
      <c r="R1017" s="215" t="n"/>
      <c r="S1017" s="215" t="n"/>
      <c r="T1017" s="215" t="n"/>
      <c r="U1017" s="215" t="n"/>
      <c r="V1017" s="215" t="n"/>
      <c r="W1017" s="215" t="n"/>
      <c r="X1017" s="215" t="n"/>
      <c r="Y1017" s="215" t="n"/>
      <c r="Z1017" s="215" t="n"/>
      <c r="AA1017" s="215" t="n"/>
      <c r="AB1017" s="215" t="n"/>
      <c r="AC1017" s="215" t="n"/>
      <c r="AD1017" s="215" t="n"/>
      <c r="AE1017" s="215" t="n"/>
      <c r="AF1017" s="215" t="n"/>
      <c r="AG1017" s="215" t="n"/>
      <c r="AH1017" s="215" t="n"/>
      <c r="AI1017" s="215" t="n"/>
      <c r="AJ1017" s="215" t="n"/>
      <c r="AK1017" s="216" t="n"/>
    </row>
    <row r="1018" ht="15" customHeight="1">
      <c r="B1018" s="134" t="n"/>
      <c r="C1018" s="105" t="n"/>
      <c r="D1018" s="105" t="n"/>
      <c r="E1018" s="105" t="n"/>
      <c r="F1018" s="105" t="n"/>
      <c r="G1018" s="105" t="n"/>
      <c r="H1018" s="2" t="n"/>
      <c r="I1018" s="105" t="n"/>
      <c r="K1018" s="215" t="n"/>
      <c r="L1018" s="215" t="n"/>
      <c r="M1018" s="215" t="n"/>
      <c r="N1018" s="215" t="n"/>
      <c r="O1018" s="215" t="n"/>
      <c r="P1018" s="215" t="n"/>
      <c r="Q1018" s="215" t="n"/>
      <c r="R1018" s="215" t="n"/>
      <c r="S1018" s="215" t="n"/>
      <c r="T1018" s="215" t="n"/>
      <c r="U1018" s="215" t="n"/>
      <c r="V1018" s="215" t="n"/>
      <c r="W1018" s="215" t="n"/>
      <c r="X1018" s="215" t="n"/>
      <c r="Y1018" s="215" t="n"/>
      <c r="Z1018" s="215" t="n"/>
      <c r="AA1018" s="215" t="n"/>
      <c r="AB1018" s="215" t="n"/>
      <c r="AC1018" s="215" t="n"/>
      <c r="AD1018" s="215" t="n"/>
      <c r="AE1018" s="215" t="n"/>
      <c r="AF1018" s="215" t="n"/>
      <c r="AG1018" s="215" t="n"/>
      <c r="AH1018" s="215" t="n"/>
      <c r="AI1018" s="215" t="n"/>
      <c r="AJ1018" s="215" t="n"/>
      <c r="AK1018" s="216" t="n"/>
    </row>
    <row r="1019" ht="15" customHeight="1">
      <c r="B1019" s="134" t="n"/>
      <c r="C1019" s="105" t="n"/>
      <c r="D1019" s="105" t="n"/>
      <c r="E1019" s="105" t="n"/>
      <c r="F1019" s="105" t="n"/>
      <c r="G1019" s="105" t="n"/>
      <c r="H1019" s="2" t="n"/>
      <c r="I1019" s="105" t="n"/>
      <c r="K1019" s="215" t="n"/>
      <c r="L1019" s="215" t="n"/>
      <c r="M1019" s="215" t="n"/>
      <c r="N1019" s="215" t="n"/>
      <c r="O1019" s="215" t="n"/>
      <c r="P1019" s="215" t="n"/>
      <c r="Q1019" s="215" t="n"/>
      <c r="R1019" s="215" t="n"/>
      <c r="S1019" s="215" t="n"/>
      <c r="T1019" s="215" t="n"/>
      <c r="U1019" s="215" t="n"/>
      <c r="V1019" s="215" t="n"/>
      <c r="W1019" s="215" t="n"/>
      <c r="X1019" s="215" t="n"/>
      <c r="Y1019" s="215" t="n"/>
      <c r="Z1019" s="215" t="n"/>
      <c r="AA1019" s="215" t="n"/>
      <c r="AB1019" s="215" t="n"/>
      <c r="AC1019" s="215" t="n"/>
      <c r="AD1019" s="215" t="n"/>
      <c r="AE1019" s="215" t="n"/>
      <c r="AF1019" s="215" t="n"/>
      <c r="AG1019" s="215" t="n"/>
      <c r="AH1019" s="215" t="n"/>
      <c r="AI1019" s="215" t="n"/>
      <c r="AJ1019" s="215" t="n"/>
      <c r="AK1019" s="216" t="n"/>
    </row>
    <row r="1020" ht="15" customHeight="1">
      <c r="B1020" s="134" t="n"/>
      <c r="C1020" s="105" t="n"/>
      <c r="D1020" s="105" t="n"/>
      <c r="E1020" s="105" t="n"/>
      <c r="F1020" s="105" t="n"/>
      <c r="G1020" s="105" t="n"/>
      <c r="H1020" s="2" t="n"/>
      <c r="I1020" s="105" t="n"/>
      <c r="K1020" s="215" t="n"/>
      <c r="L1020" s="215" t="n"/>
      <c r="M1020" s="215" t="n"/>
      <c r="N1020" s="215" t="n"/>
      <c r="O1020" s="215" t="n"/>
      <c r="P1020" s="215" t="n"/>
      <c r="Q1020" s="215" t="n"/>
      <c r="R1020" s="215" t="n"/>
      <c r="S1020" s="215" t="n"/>
      <c r="T1020" s="215" t="n"/>
      <c r="U1020" s="215" t="n"/>
      <c r="V1020" s="215" t="n"/>
      <c r="W1020" s="215" t="n"/>
      <c r="X1020" s="215" t="n"/>
      <c r="Y1020" s="215" t="n"/>
      <c r="Z1020" s="215" t="n"/>
      <c r="AA1020" s="215" t="n"/>
      <c r="AB1020" s="215" t="n"/>
      <c r="AC1020" s="215" t="n"/>
      <c r="AD1020" s="215" t="n"/>
      <c r="AE1020" s="215" t="n"/>
      <c r="AF1020" s="215" t="n"/>
      <c r="AG1020" s="215" t="n"/>
      <c r="AH1020" s="215" t="n"/>
      <c r="AI1020" s="215" t="n"/>
      <c r="AJ1020" s="215" t="n"/>
      <c r="AK1020" s="216" t="n"/>
    </row>
    <row r="1021" ht="15" customHeight="1">
      <c r="B1021" s="134" t="n"/>
      <c r="C1021" s="105" t="n"/>
      <c r="D1021" s="105" t="n"/>
      <c r="E1021" s="105" t="n"/>
      <c r="F1021" s="105" t="n"/>
      <c r="G1021" s="105" t="n"/>
      <c r="H1021" s="2" t="n"/>
      <c r="I1021" s="105" t="n"/>
      <c r="K1021" s="215" t="n"/>
      <c r="L1021" s="215" t="n"/>
      <c r="M1021" s="215" t="n"/>
      <c r="N1021" s="215" t="n"/>
      <c r="O1021" s="215" t="n"/>
      <c r="P1021" s="215" t="n"/>
      <c r="Q1021" s="215" t="n"/>
      <c r="R1021" s="215" t="n"/>
      <c r="S1021" s="215" t="n"/>
      <c r="T1021" s="215" t="n"/>
      <c r="U1021" s="215" t="n"/>
      <c r="V1021" s="215" t="n"/>
      <c r="W1021" s="215" t="n"/>
      <c r="X1021" s="215" t="n"/>
      <c r="Y1021" s="215" t="n"/>
      <c r="Z1021" s="215" t="n"/>
      <c r="AA1021" s="215" t="n"/>
      <c r="AB1021" s="215" t="n"/>
      <c r="AC1021" s="215" t="n"/>
      <c r="AD1021" s="215" t="n"/>
      <c r="AE1021" s="215" t="n"/>
      <c r="AF1021" s="215" t="n"/>
      <c r="AG1021" s="215" t="n"/>
      <c r="AH1021" s="215" t="n"/>
      <c r="AI1021" s="215" t="n"/>
      <c r="AJ1021" s="215" t="n"/>
      <c r="AK1021" s="216" t="n"/>
    </row>
    <row r="1022" ht="15" customHeight="1">
      <c r="B1022" s="134" t="n"/>
      <c r="C1022" s="105" t="n"/>
      <c r="D1022" s="105" t="n"/>
      <c r="E1022" s="105" t="n"/>
      <c r="F1022" s="105" t="n"/>
      <c r="G1022" s="105" t="n"/>
      <c r="H1022" s="2" t="n"/>
      <c r="I1022" s="105" t="n"/>
      <c r="K1022" s="215" t="n"/>
      <c r="L1022" s="215" t="n"/>
      <c r="M1022" s="215" t="n"/>
      <c r="N1022" s="215" t="n"/>
      <c r="O1022" s="215" t="n"/>
      <c r="P1022" s="215" t="n"/>
      <c r="Q1022" s="215" t="n"/>
      <c r="R1022" s="215" t="n"/>
      <c r="S1022" s="215" t="n"/>
      <c r="T1022" s="215" t="n"/>
      <c r="U1022" s="215" t="n"/>
      <c r="V1022" s="215" t="n"/>
      <c r="W1022" s="215" t="n"/>
      <c r="X1022" s="215" t="n"/>
      <c r="Y1022" s="215" t="n"/>
      <c r="Z1022" s="215" t="n"/>
      <c r="AA1022" s="215" t="n"/>
      <c r="AB1022" s="215" t="n"/>
      <c r="AC1022" s="215" t="n"/>
      <c r="AD1022" s="215" t="n"/>
      <c r="AE1022" s="215" t="n"/>
      <c r="AF1022" s="215" t="n"/>
      <c r="AG1022" s="215" t="n"/>
      <c r="AH1022" s="215" t="n"/>
      <c r="AI1022" s="215" t="n"/>
      <c r="AJ1022" s="215" t="n"/>
      <c r="AK1022" s="216" t="n"/>
    </row>
    <row r="1023" ht="15" customHeight="1">
      <c r="B1023" s="134" t="n"/>
      <c r="C1023" s="105" t="n"/>
      <c r="D1023" s="105" t="n"/>
      <c r="E1023" s="105" t="n"/>
      <c r="F1023" s="105" t="n"/>
      <c r="G1023" s="105" t="n"/>
      <c r="H1023" s="2" t="n"/>
      <c r="I1023" s="105" t="n"/>
      <c r="K1023" s="215" t="n"/>
      <c r="L1023" s="215" t="n"/>
      <c r="M1023" s="215" t="n"/>
      <c r="N1023" s="215" t="n"/>
      <c r="O1023" s="215" t="n"/>
      <c r="P1023" s="215" t="n"/>
      <c r="Q1023" s="215" t="n"/>
      <c r="R1023" s="215" t="n"/>
      <c r="S1023" s="215" t="n"/>
      <c r="T1023" s="215" t="n"/>
      <c r="U1023" s="215" t="n"/>
      <c r="V1023" s="215" t="n"/>
      <c r="W1023" s="215" t="n"/>
      <c r="X1023" s="215" t="n"/>
      <c r="Y1023" s="215" t="n"/>
      <c r="Z1023" s="215" t="n"/>
      <c r="AA1023" s="215" t="n"/>
      <c r="AB1023" s="215" t="n"/>
      <c r="AC1023" s="215" t="n"/>
      <c r="AD1023" s="215" t="n"/>
      <c r="AE1023" s="215" t="n"/>
      <c r="AF1023" s="215" t="n"/>
      <c r="AG1023" s="215" t="n"/>
      <c r="AH1023" s="215" t="n"/>
      <c r="AI1023" s="215" t="n"/>
      <c r="AJ1023" s="215" t="n"/>
      <c r="AK1023" s="216" t="n"/>
    </row>
    <row r="1024" ht="15" customHeight="1">
      <c r="B1024" s="134" t="n"/>
      <c r="C1024" s="105" t="n"/>
      <c r="D1024" s="105" t="n"/>
      <c r="E1024" s="105" t="n"/>
      <c r="F1024" s="105" t="n"/>
      <c r="G1024" s="105" t="n"/>
      <c r="H1024" s="2" t="n"/>
      <c r="I1024" s="105" t="n"/>
      <c r="K1024" s="215" t="n"/>
      <c r="L1024" s="215" t="n"/>
      <c r="M1024" s="215" t="n"/>
      <c r="N1024" s="215" t="n"/>
      <c r="O1024" s="215" t="n"/>
      <c r="P1024" s="215" t="n"/>
      <c r="Q1024" s="215" t="n"/>
      <c r="R1024" s="215" t="n"/>
      <c r="S1024" s="215" t="n"/>
      <c r="T1024" s="215" t="n"/>
      <c r="U1024" s="215" t="n"/>
      <c r="V1024" s="215" t="n"/>
      <c r="W1024" s="215" t="n"/>
      <c r="X1024" s="215" t="n"/>
      <c r="Y1024" s="215" t="n"/>
      <c r="Z1024" s="215" t="n"/>
      <c r="AA1024" s="215" t="n"/>
      <c r="AB1024" s="215" t="n"/>
      <c r="AC1024" s="215" t="n"/>
      <c r="AD1024" s="215" t="n"/>
      <c r="AE1024" s="215" t="n"/>
      <c r="AF1024" s="215" t="n"/>
      <c r="AG1024" s="215" t="n"/>
      <c r="AH1024" s="215" t="n"/>
      <c r="AI1024" s="215" t="n"/>
      <c r="AJ1024" s="215" t="n"/>
      <c r="AK1024" s="216" t="n"/>
    </row>
    <row r="1025" ht="15" customHeight="1">
      <c r="B1025" s="134" t="n"/>
      <c r="C1025" s="105" t="n"/>
      <c r="D1025" s="105" t="n"/>
      <c r="E1025" s="105" t="n"/>
      <c r="F1025" s="105" t="n"/>
      <c r="G1025" s="105" t="n"/>
      <c r="H1025" s="2" t="n"/>
      <c r="I1025" s="105" t="n"/>
      <c r="K1025" s="215" t="n"/>
      <c r="L1025" s="215" t="n"/>
      <c r="M1025" s="215" t="n"/>
      <c r="N1025" s="215" t="n"/>
      <c r="O1025" s="215" t="n"/>
      <c r="P1025" s="215" t="n"/>
      <c r="Q1025" s="215" t="n"/>
      <c r="R1025" s="215" t="n"/>
      <c r="S1025" s="215" t="n"/>
      <c r="T1025" s="215" t="n"/>
      <c r="U1025" s="215" t="n"/>
      <c r="V1025" s="215" t="n"/>
      <c r="W1025" s="215" t="n"/>
      <c r="X1025" s="215" t="n"/>
      <c r="Y1025" s="215" t="n"/>
      <c r="Z1025" s="215" t="n"/>
      <c r="AA1025" s="215" t="n"/>
      <c r="AB1025" s="215" t="n"/>
      <c r="AC1025" s="215" t="n"/>
      <c r="AD1025" s="215" t="n"/>
      <c r="AE1025" s="215" t="n"/>
      <c r="AF1025" s="215" t="n"/>
      <c r="AG1025" s="215" t="n"/>
      <c r="AH1025" s="215" t="n"/>
      <c r="AI1025" s="215" t="n"/>
      <c r="AJ1025" s="215" t="n"/>
      <c r="AK1025" s="216" t="n"/>
    </row>
    <row r="1026" ht="15" customHeight="1">
      <c r="B1026" s="134" t="n"/>
      <c r="C1026" s="105" t="n"/>
      <c r="D1026" s="105" t="n"/>
      <c r="E1026" s="105" t="n"/>
      <c r="F1026" s="105" t="n"/>
      <c r="G1026" s="105" t="n"/>
      <c r="H1026" s="2" t="n"/>
      <c r="I1026" s="105" t="n"/>
      <c r="K1026" s="215" t="n"/>
      <c r="L1026" s="215" t="n"/>
      <c r="M1026" s="215" t="n"/>
      <c r="N1026" s="215" t="n"/>
      <c r="O1026" s="215" t="n"/>
      <c r="P1026" s="215" t="n"/>
      <c r="Q1026" s="215" t="n"/>
      <c r="R1026" s="215" t="n"/>
      <c r="S1026" s="215" t="n"/>
      <c r="T1026" s="215" t="n"/>
      <c r="U1026" s="215" t="n"/>
      <c r="V1026" s="215" t="n"/>
      <c r="W1026" s="215" t="n"/>
      <c r="X1026" s="215" t="n"/>
      <c r="Y1026" s="215" t="n"/>
      <c r="Z1026" s="215" t="n"/>
      <c r="AA1026" s="215" t="n"/>
      <c r="AB1026" s="215" t="n"/>
      <c r="AC1026" s="215" t="n"/>
      <c r="AD1026" s="215" t="n"/>
      <c r="AE1026" s="215" t="n"/>
      <c r="AF1026" s="215" t="n"/>
      <c r="AG1026" s="215" t="n"/>
      <c r="AH1026" s="215" t="n"/>
      <c r="AI1026" s="215" t="n"/>
      <c r="AJ1026" s="215" t="n"/>
      <c r="AK1026" s="216" t="n"/>
    </row>
    <row r="1027" ht="15" customHeight="1">
      <c r="B1027" s="134" t="n"/>
      <c r="C1027" s="105" t="n"/>
      <c r="D1027" s="105" t="n"/>
      <c r="E1027" s="105" t="n"/>
      <c r="F1027" s="105" t="n"/>
      <c r="G1027" s="105" t="n"/>
      <c r="H1027" s="2" t="n"/>
      <c r="I1027" s="105" t="n"/>
      <c r="K1027" s="215" t="n"/>
      <c r="L1027" s="215" t="n"/>
      <c r="M1027" s="215" t="n"/>
      <c r="N1027" s="215" t="n"/>
      <c r="O1027" s="215" t="n"/>
      <c r="P1027" s="215" t="n"/>
      <c r="Q1027" s="215" t="n"/>
      <c r="R1027" s="215" t="n"/>
      <c r="S1027" s="215" t="n"/>
      <c r="T1027" s="215" t="n"/>
      <c r="U1027" s="215" t="n"/>
      <c r="V1027" s="215" t="n"/>
      <c r="W1027" s="215" t="n"/>
      <c r="X1027" s="215" t="n"/>
      <c r="Y1027" s="215" t="n"/>
      <c r="Z1027" s="215" t="n"/>
      <c r="AA1027" s="215" t="n"/>
      <c r="AB1027" s="215" t="n"/>
      <c r="AC1027" s="215" t="n"/>
      <c r="AD1027" s="215" t="n"/>
      <c r="AE1027" s="215" t="n"/>
      <c r="AF1027" s="215" t="n"/>
      <c r="AG1027" s="215" t="n"/>
      <c r="AH1027" s="215" t="n"/>
      <c r="AI1027" s="215" t="n"/>
      <c r="AJ1027" s="215" t="n"/>
      <c r="AK1027" s="216" t="n"/>
    </row>
    <row r="1028" ht="15" customHeight="1">
      <c r="B1028" s="134" t="n"/>
      <c r="C1028" s="105" t="n"/>
      <c r="D1028" s="105" t="n"/>
      <c r="E1028" s="105" t="n"/>
      <c r="F1028" s="105" t="n"/>
      <c r="G1028" s="105" t="n"/>
      <c r="H1028" s="2" t="n"/>
      <c r="I1028" s="105" t="n"/>
      <c r="K1028" s="215" t="n"/>
      <c r="L1028" s="215" t="n"/>
      <c r="M1028" s="215" t="n"/>
      <c r="N1028" s="215" t="n"/>
      <c r="O1028" s="215" t="n"/>
      <c r="P1028" s="215" t="n"/>
      <c r="Q1028" s="215" t="n"/>
      <c r="R1028" s="215" t="n"/>
      <c r="S1028" s="215" t="n"/>
      <c r="T1028" s="215" t="n"/>
      <c r="U1028" s="215" t="n"/>
      <c r="V1028" s="215" t="n"/>
      <c r="W1028" s="215" t="n"/>
      <c r="X1028" s="215" t="n"/>
      <c r="Y1028" s="215" t="n"/>
      <c r="Z1028" s="215" t="n"/>
      <c r="AA1028" s="215" t="n"/>
      <c r="AB1028" s="215" t="n"/>
      <c r="AC1028" s="215" t="n"/>
      <c r="AD1028" s="215" t="n"/>
      <c r="AE1028" s="215" t="n"/>
      <c r="AF1028" s="215" t="n"/>
      <c r="AG1028" s="215" t="n"/>
      <c r="AH1028" s="215" t="n"/>
      <c r="AI1028" s="215" t="n"/>
      <c r="AJ1028" s="215" t="n"/>
      <c r="AK1028" s="216" t="n"/>
    </row>
    <row r="1029" ht="15" customHeight="1">
      <c r="B1029" s="134" t="n"/>
      <c r="C1029" s="105" t="n"/>
      <c r="D1029" s="105" t="n"/>
      <c r="E1029" s="105" t="n"/>
      <c r="F1029" s="105" t="n"/>
      <c r="G1029" s="105" t="n"/>
      <c r="H1029" s="2" t="n"/>
      <c r="I1029" s="105" t="n"/>
      <c r="K1029" s="215" t="n"/>
      <c r="L1029" s="215" t="n"/>
      <c r="M1029" s="215" t="n"/>
      <c r="N1029" s="215" t="n"/>
      <c r="O1029" s="215" t="n"/>
      <c r="P1029" s="215" t="n"/>
      <c r="Q1029" s="215" t="n"/>
      <c r="R1029" s="215" t="n"/>
      <c r="S1029" s="215" t="n"/>
      <c r="T1029" s="215" t="n"/>
      <c r="U1029" s="215" t="n"/>
      <c r="V1029" s="215" t="n"/>
      <c r="W1029" s="215" t="n"/>
      <c r="X1029" s="215" t="n"/>
      <c r="Y1029" s="215" t="n"/>
      <c r="Z1029" s="215" t="n"/>
      <c r="AA1029" s="215" t="n"/>
      <c r="AB1029" s="215" t="n"/>
      <c r="AC1029" s="215" t="n"/>
      <c r="AD1029" s="215" t="n"/>
      <c r="AE1029" s="215" t="n"/>
      <c r="AF1029" s="215" t="n"/>
      <c r="AG1029" s="215" t="n"/>
      <c r="AH1029" s="215" t="n"/>
      <c r="AI1029" s="215" t="n"/>
      <c r="AJ1029" s="215" t="n"/>
      <c r="AK1029" s="216" t="n"/>
    </row>
    <row r="1030" ht="15" customHeight="1">
      <c r="B1030" s="134" t="n"/>
      <c r="C1030" s="105" t="n"/>
      <c r="D1030" s="105" t="n"/>
      <c r="E1030" s="105" t="n"/>
      <c r="F1030" s="105" t="n"/>
      <c r="G1030" s="105" t="n"/>
      <c r="H1030" s="2" t="n"/>
      <c r="I1030" s="105" t="n"/>
      <c r="K1030" s="215" t="n"/>
      <c r="L1030" s="215" t="n"/>
      <c r="M1030" s="215" t="n"/>
      <c r="N1030" s="215" t="n"/>
      <c r="O1030" s="215" t="n"/>
      <c r="P1030" s="215" t="n"/>
      <c r="Q1030" s="215" t="n"/>
      <c r="R1030" s="215" t="n"/>
      <c r="S1030" s="215" t="n"/>
      <c r="T1030" s="215" t="n"/>
      <c r="U1030" s="215" t="n"/>
      <c r="V1030" s="215" t="n"/>
      <c r="W1030" s="215" t="n"/>
      <c r="X1030" s="215" t="n"/>
      <c r="Y1030" s="215" t="n"/>
      <c r="Z1030" s="215" t="n"/>
      <c r="AA1030" s="215" t="n"/>
      <c r="AB1030" s="215" t="n"/>
      <c r="AC1030" s="215" t="n"/>
      <c r="AD1030" s="215" t="n"/>
      <c r="AE1030" s="215" t="n"/>
      <c r="AF1030" s="215" t="n"/>
      <c r="AG1030" s="215" t="n"/>
      <c r="AH1030" s="215" t="n"/>
      <c r="AI1030" s="215" t="n"/>
      <c r="AJ1030" s="215" t="n"/>
      <c r="AK1030" s="216" t="n"/>
    </row>
    <row r="1031" ht="15" customHeight="1">
      <c r="B1031" s="134" t="n"/>
      <c r="C1031" s="105" t="n"/>
      <c r="D1031" s="105" t="n"/>
      <c r="E1031" s="105" t="n"/>
      <c r="F1031" s="105" t="n"/>
      <c r="G1031" s="105" t="n"/>
      <c r="H1031" s="2" t="n"/>
      <c r="I1031" s="105" t="n"/>
      <c r="K1031" s="215" t="n"/>
      <c r="L1031" s="215" t="n"/>
      <c r="M1031" s="215" t="n"/>
      <c r="N1031" s="215" t="n"/>
      <c r="O1031" s="215" t="n"/>
      <c r="P1031" s="215" t="n"/>
      <c r="Q1031" s="215" t="n"/>
      <c r="R1031" s="215" t="n"/>
      <c r="S1031" s="215" t="n"/>
      <c r="T1031" s="215" t="n"/>
      <c r="U1031" s="215" t="n"/>
      <c r="V1031" s="215" t="n"/>
      <c r="W1031" s="215" t="n"/>
      <c r="X1031" s="215" t="n"/>
      <c r="Y1031" s="215" t="n"/>
      <c r="Z1031" s="215" t="n"/>
      <c r="AA1031" s="215" t="n"/>
      <c r="AB1031" s="215" t="n"/>
      <c r="AC1031" s="215" t="n"/>
      <c r="AD1031" s="215" t="n"/>
      <c r="AE1031" s="215" t="n"/>
      <c r="AF1031" s="215" t="n"/>
      <c r="AG1031" s="215" t="n"/>
      <c r="AH1031" s="215" t="n"/>
      <c r="AI1031" s="215" t="n"/>
      <c r="AJ1031" s="215" t="n"/>
      <c r="AK1031" s="216" t="n"/>
    </row>
    <row r="1032" ht="15" customHeight="1">
      <c r="B1032" s="134" t="n"/>
      <c r="C1032" s="105" t="n"/>
      <c r="D1032" s="105" t="n"/>
      <c r="E1032" s="105" t="n"/>
      <c r="F1032" s="105" t="n"/>
      <c r="G1032" s="105" t="n"/>
      <c r="H1032" s="2" t="n"/>
      <c r="I1032" s="105" t="n"/>
      <c r="K1032" s="215" t="n"/>
      <c r="L1032" s="215" t="n"/>
      <c r="M1032" s="215" t="n"/>
      <c r="N1032" s="215" t="n"/>
      <c r="O1032" s="215" t="n"/>
      <c r="P1032" s="215" t="n"/>
      <c r="Q1032" s="215" t="n"/>
      <c r="R1032" s="215" t="n"/>
      <c r="S1032" s="215" t="n"/>
      <c r="T1032" s="215" t="n"/>
      <c r="U1032" s="215" t="n"/>
      <c r="V1032" s="215" t="n"/>
      <c r="W1032" s="215" t="n"/>
      <c r="X1032" s="215" t="n"/>
      <c r="Y1032" s="215" t="n"/>
      <c r="Z1032" s="215" t="n"/>
      <c r="AA1032" s="215" t="n"/>
      <c r="AB1032" s="215" t="n"/>
      <c r="AC1032" s="215" t="n"/>
      <c r="AD1032" s="215" t="n"/>
      <c r="AE1032" s="215" t="n"/>
      <c r="AF1032" s="215" t="n"/>
      <c r="AG1032" s="215" t="n"/>
      <c r="AH1032" s="215" t="n"/>
      <c r="AI1032" s="215" t="n"/>
      <c r="AJ1032" s="215" t="n"/>
      <c r="AK1032" s="216" t="n"/>
    </row>
    <row r="1033" ht="15" customHeight="1">
      <c r="B1033" s="134" t="n"/>
      <c r="C1033" s="105" t="n"/>
      <c r="D1033" s="105" t="n"/>
      <c r="E1033" s="105" t="n"/>
      <c r="F1033" s="105" t="n"/>
      <c r="G1033" s="105" t="n"/>
      <c r="H1033" s="2" t="n"/>
      <c r="I1033" s="105" t="n"/>
      <c r="K1033" s="215" t="n"/>
      <c r="L1033" s="215" t="n"/>
      <c r="M1033" s="215" t="n"/>
      <c r="N1033" s="215" t="n"/>
      <c r="O1033" s="215" t="n"/>
      <c r="P1033" s="215" t="n"/>
      <c r="Q1033" s="215" t="n"/>
      <c r="R1033" s="215" t="n"/>
      <c r="S1033" s="215" t="n"/>
      <c r="T1033" s="215" t="n"/>
      <c r="U1033" s="215" t="n"/>
      <c r="V1033" s="215" t="n"/>
      <c r="W1033" s="215" t="n"/>
      <c r="X1033" s="215" t="n"/>
      <c r="Y1033" s="215" t="n"/>
      <c r="Z1033" s="215" t="n"/>
      <c r="AA1033" s="215" t="n"/>
      <c r="AB1033" s="215" t="n"/>
      <c r="AC1033" s="215" t="n"/>
      <c r="AD1033" s="215" t="n"/>
      <c r="AE1033" s="215" t="n"/>
      <c r="AF1033" s="215" t="n"/>
      <c r="AG1033" s="215" t="n"/>
      <c r="AH1033" s="215" t="n"/>
      <c r="AI1033" s="215" t="n"/>
      <c r="AJ1033" s="215" t="n"/>
      <c r="AK1033" s="216" t="n"/>
    </row>
    <row r="1034" ht="15" customHeight="1">
      <c r="B1034" s="134" t="n"/>
      <c r="C1034" s="105" t="n"/>
      <c r="D1034" s="105" t="n"/>
      <c r="E1034" s="105" t="n"/>
      <c r="F1034" s="105" t="n"/>
      <c r="G1034" s="105" t="n"/>
      <c r="H1034" s="2" t="n"/>
      <c r="I1034" s="105" t="n"/>
      <c r="K1034" s="215" t="n"/>
      <c r="L1034" s="215" t="n"/>
      <c r="M1034" s="215" t="n"/>
      <c r="N1034" s="215" t="n"/>
      <c r="O1034" s="215" t="n"/>
      <c r="P1034" s="215" t="n"/>
      <c r="Q1034" s="215" t="n"/>
      <c r="R1034" s="215" t="n"/>
      <c r="S1034" s="215" t="n"/>
      <c r="T1034" s="215" t="n"/>
      <c r="U1034" s="215" t="n"/>
      <c r="V1034" s="215" t="n"/>
      <c r="W1034" s="215" t="n"/>
      <c r="X1034" s="215" t="n"/>
      <c r="Y1034" s="215" t="n"/>
      <c r="Z1034" s="215" t="n"/>
      <c r="AA1034" s="215" t="n"/>
      <c r="AB1034" s="215" t="n"/>
      <c r="AC1034" s="215" t="n"/>
      <c r="AD1034" s="215" t="n"/>
      <c r="AE1034" s="215" t="n"/>
      <c r="AF1034" s="215" t="n"/>
      <c r="AG1034" s="215" t="n"/>
      <c r="AH1034" s="215" t="n"/>
      <c r="AI1034" s="215" t="n"/>
      <c r="AJ1034" s="215" t="n"/>
      <c r="AK1034" s="216" t="n"/>
    </row>
    <row r="1035" ht="15" customHeight="1">
      <c r="B1035" s="134" t="n"/>
      <c r="C1035" s="105" t="n"/>
      <c r="D1035" s="105" t="n"/>
      <c r="E1035" s="105" t="n"/>
      <c r="F1035" s="105" t="n"/>
      <c r="G1035" s="105" t="n"/>
      <c r="H1035" s="2" t="n"/>
      <c r="I1035" s="105" t="n"/>
      <c r="K1035" s="215" t="n"/>
      <c r="L1035" s="215" t="n"/>
      <c r="M1035" s="215" t="n"/>
      <c r="N1035" s="215" t="n"/>
      <c r="O1035" s="215" t="n"/>
      <c r="P1035" s="215" t="n"/>
      <c r="Q1035" s="215" t="n"/>
      <c r="R1035" s="215" t="n"/>
      <c r="S1035" s="215" t="n"/>
      <c r="T1035" s="215" t="n"/>
      <c r="U1035" s="215" t="n"/>
      <c r="V1035" s="215" t="n"/>
      <c r="W1035" s="215" t="n"/>
      <c r="X1035" s="215" t="n"/>
      <c r="Y1035" s="215" t="n"/>
      <c r="Z1035" s="215" t="n"/>
      <c r="AA1035" s="215" t="n"/>
      <c r="AB1035" s="215" t="n"/>
      <c r="AC1035" s="215" t="n"/>
      <c r="AD1035" s="215" t="n"/>
      <c r="AE1035" s="215" t="n"/>
      <c r="AF1035" s="215" t="n"/>
      <c r="AG1035" s="215" t="n"/>
      <c r="AH1035" s="215" t="n"/>
      <c r="AI1035" s="215" t="n"/>
      <c r="AJ1035" s="215" t="n"/>
      <c r="AK1035" s="216" t="n"/>
    </row>
    <row r="1036" ht="15" customHeight="1">
      <c r="B1036" s="134" t="n"/>
      <c r="C1036" s="105" t="n"/>
      <c r="D1036" s="105" t="n"/>
      <c r="E1036" s="105" t="n"/>
      <c r="F1036" s="105" t="n"/>
      <c r="G1036" s="105" t="n"/>
      <c r="H1036" s="2" t="n"/>
      <c r="I1036" s="105" t="n"/>
      <c r="K1036" s="215" t="n"/>
      <c r="L1036" s="215" t="n"/>
      <c r="M1036" s="215" t="n"/>
      <c r="N1036" s="215" t="n"/>
      <c r="O1036" s="215" t="n"/>
      <c r="P1036" s="215" t="n"/>
      <c r="Q1036" s="215" t="n"/>
      <c r="R1036" s="215" t="n"/>
      <c r="S1036" s="215" t="n"/>
      <c r="T1036" s="215" t="n"/>
      <c r="U1036" s="215" t="n"/>
      <c r="V1036" s="215" t="n"/>
      <c r="W1036" s="215" t="n"/>
      <c r="X1036" s="215" t="n"/>
      <c r="Y1036" s="215" t="n"/>
      <c r="Z1036" s="215" t="n"/>
      <c r="AA1036" s="215" t="n"/>
      <c r="AB1036" s="215" t="n"/>
      <c r="AC1036" s="215" t="n"/>
      <c r="AD1036" s="215" t="n"/>
      <c r="AE1036" s="215" t="n"/>
      <c r="AF1036" s="215" t="n"/>
      <c r="AG1036" s="215" t="n"/>
      <c r="AH1036" s="215" t="n"/>
      <c r="AI1036" s="215" t="n"/>
      <c r="AJ1036" s="215" t="n"/>
      <c r="AK1036" s="216" t="n"/>
    </row>
    <row r="1037" ht="15" customHeight="1">
      <c r="B1037" s="134" t="n"/>
      <c r="C1037" s="105" t="n"/>
      <c r="D1037" s="105" t="n"/>
      <c r="E1037" s="105" t="n"/>
      <c r="F1037" s="105" t="n"/>
      <c r="G1037" s="105" t="n"/>
      <c r="H1037" s="2" t="n"/>
      <c r="I1037" s="105" t="n"/>
      <c r="K1037" s="215" t="n"/>
      <c r="L1037" s="215" t="n"/>
      <c r="M1037" s="215" t="n"/>
      <c r="N1037" s="215" t="n"/>
      <c r="O1037" s="215" t="n"/>
      <c r="P1037" s="215" t="n"/>
      <c r="Q1037" s="215" t="n"/>
      <c r="R1037" s="215" t="n"/>
      <c r="S1037" s="215" t="n"/>
      <c r="T1037" s="215" t="n"/>
      <c r="U1037" s="215" t="n"/>
      <c r="V1037" s="215" t="n"/>
      <c r="W1037" s="215" t="n"/>
      <c r="X1037" s="215" t="n"/>
      <c r="Y1037" s="215" t="n"/>
      <c r="Z1037" s="215" t="n"/>
      <c r="AA1037" s="215" t="n"/>
      <c r="AB1037" s="215" t="n"/>
      <c r="AC1037" s="215" t="n"/>
      <c r="AD1037" s="215" t="n"/>
      <c r="AE1037" s="215" t="n"/>
      <c r="AF1037" s="215" t="n"/>
      <c r="AG1037" s="215" t="n"/>
      <c r="AH1037" s="215" t="n"/>
      <c r="AI1037" s="215" t="n"/>
      <c r="AJ1037" s="215" t="n"/>
      <c r="AK1037" s="216" t="n"/>
    </row>
    <row r="1038" ht="15" customHeight="1">
      <c r="B1038" s="134" t="n"/>
      <c r="C1038" s="105" t="n"/>
      <c r="D1038" s="105" t="n"/>
      <c r="E1038" s="105" t="n"/>
      <c r="F1038" s="105" t="n"/>
      <c r="G1038" s="105" t="n"/>
      <c r="H1038" s="2" t="n"/>
      <c r="I1038" s="105" t="n"/>
      <c r="K1038" s="215" t="n"/>
      <c r="L1038" s="215" t="n"/>
      <c r="M1038" s="215" t="n"/>
      <c r="N1038" s="215" t="n"/>
      <c r="O1038" s="215" t="n"/>
      <c r="P1038" s="215" t="n"/>
      <c r="Q1038" s="215" t="n"/>
      <c r="R1038" s="215" t="n"/>
      <c r="S1038" s="215" t="n"/>
      <c r="T1038" s="215" t="n"/>
      <c r="U1038" s="215" t="n"/>
      <c r="V1038" s="215" t="n"/>
      <c r="W1038" s="215" t="n"/>
      <c r="X1038" s="215" t="n"/>
      <c r="Y1038" s="215" t="n"/>
      <c r="Z1038" s="215" t="n"/>
      <c r="AA1038" s="215" t="n"/>
      <c r="AB1038" s="215" t="n"/>
      <c r="AC1038" s="215" t="n"/>
      <c r="AD1038" s="215" t="n"/>
      <c r="AE1038" s="215" t="n"/>
      <c r="AF1038" s="215" t="n"/>
      <c r="AG1038" s="215" t="n"/>
      <c r="AH1038" s="215" t="n"/>
      <c r="AI1038" s="215" t="n"/>
      <c r="AJ1038" s="215" t="n"/>
      <c r="AK1038" s="216" t="n"/>
    </row>
    <row r="1039" ht="15" customHeight="1">
      <c r="B1039" s="134" t="n"/>
      <c r="C1039" s="105" t="n"/>
      <c r="D1039" s="105" t="n"/>
      <c r="E1039" s="105" t="n"/>
      <c r="F1039" s="105" t="n"/>
      <c r="G1039" s="105" t="n"/>
      <c r="H1039" s="2" t="n"/>
      <c r="I1039" s="105" t="n"/>
      <c r="K1039" s="215" t="n"/>
      <c r="L1039" s="215" t="n"/>
      <c r="M1039" s="215" t="n"/>
      <c r="N1039" s="215" t="n"/>
      <c r="O1039" s="215" t="n"/>
      <c r="P1039" s="215" t="n"/>
      <c r="Q1039" s="215" t="n"/>
      <c r="R1039" s="215" t="n"/>
      <c r="S1039" s="215" t="n"/>
      <c r="T1039" s="215" t="n"/>
      <c r="U1039" s="215" t="n"/>
      <c r="V1039" s="215" t="n"/>
      <c r="W1039" s="215" t="n"/>
      <c r="X1039" s="215" t="n"/>
      <c r="Y1039" s="215" t="n"/>
      <c r="Z1039" s="215" t="n"/>
      <c r="AA1039" s="215" t="n"/>
      <c r="AB1039" s="215" t="n"/>
      <c r="AC1039" s="215" t="n"/>
      <c r="AD1039" s="215" t="n"/>
      <c r="AE1039" s="215" t="n"/>
      <c r="AF1039" s="215" t="n"/>
      <c r="AG1039" s="215" t="n"/>
      <c r="AH1039" s="215" t="n"/>
      <c r="AI1039" s="215" t="n"/>
      <c r="AJ1039" s="215" t="n"/>
      <c r="AK1039" s="216" t="n"/>
    </row>
    <row r="1040" ht="15" customHeight="1">
      <c r="B1040" s="134" t="n"/>
      <c r="C1040" s="105" t="n"/>
      <c r="D1040" s="105" t="n"/>
      <c r="E1040" s="105" t="n"/>
      <c r="F1040" s="105" t="n"/>
      <c r="G1040" s="105" t="n"/>
      <c r="H1040" s="2" t="n"/>
      <c r="I1040" s="105" t="n"/>
      <c r="K1040" s="215" t="n"/>
      <c r="L1040" s="215" t="n"/>
      <c r="M1040" s="215" t="n"/>
      <c r="N1040" s="215" t="n"/>
      <c r="O1040" s="215" t="n"/>
      <c r="P1040" s="215" t="n"/>
      <c r="Q1040" s="215" t="n"/>
      <c r="R1040" s="215" t="n"/>
      <c r="S1040" s="215" t="n"/>
      <c r="T1040" s="215" t="n"/>
      <c r="U1040" s="215" t="n"/>
      <c r="V1040" s="215" t="n"/>
      <c r="W1040" s="215" t="n"/>
      <c r="X1040" s="215" t="n"/>
      <c r="Y1040" s="215" t="n"/>
      <c r="Z1040" s="215" t="n"/>
      <c r="AA1040" s="215" t="n"/>
      <c r="AB1040" s="215" t="n"/>
      <c r="AC1040" s="215" t="n"/>
      <c r="AD1040" s="215" t="n"/>
      <c r="AE1040" s="215" t="n"/>
      <c r="AF1040" s="215" t="n"/>
      <c r="AG1040" s="215" t="n"/>
      <c r="AH1040" s="215" t="n"/>
      <c r="AI1040" s="215" t="n"/>
      <c r="AJ1040" s="215" t="n"/>
      <c r="AK1040" s="216" t="n"/>
    </row>
    <row r="1041" ht="15" customHeight="1">
      <c r="B1041" s="134" t="n"/>
      <c r="C1041" s="105" t="n"/>
      <c r="D1041" s="105" t="n"/>
      <c r="E1041" s="105" t="n"/>
      <c r="F1041" s="105" t="n"/>
      <c r="G1041" s="105" t="n"/>
      <c r="H1041" s="2" t="n"/>
      <c r="I1041" s="105" t="n"/>
      <c r="K1041" s="215" t="n"/>
      <c r="L1041" s="215" t="n"/>
      <c r="M1041" s="215" t="n"/>
      <c r="N1041" s="215" t="n"/>
      <c r="O1041" s="215" t="n"/>
      <c r="P1041" s="215" t="n"/>
      <c r="Q1041" s="215" t="n"/>
      <c r="R1041" s="215" t="n"/>
      <c r="S1041" s="215" t="n"/>
      <c r="T1041" s="215" t="n"/>
      <c r="U1041" s="215" t="n"/>
      <c r="V1041" s="215" t="n"/>
      <c r="W1041" s="215" t="n"/>
      <c r="X1041" s="215" t="n"/>
      <c r="Y1041" s="215" t="n"/>
      <c r="Z1041" s="215" t="n"/>
      <c r="AA1041" s="215" t="n"/>
      <c r="AB1041" s="215" t="n"/>
      <c r="AC1041" s="215" t="n"/>
      <c r="AD1041" s="215" t="n"/>
      <c r="AE1041" s="215" t="n"/>
      <c r="AF1041" s="215" t="n"/>
      <c r="AG1041" s="215" t="n"/>
      <c r="AH1041" s="215" t="n"/>
      <c r="AI1041" s="215" t="n"/>
      <c r="AJ1041" s="215" t="n"/>
      <c r="AK1041" s="216" t="n"/>
    </row>
    <row r="1042" ht="15" customHeight="1">
      <c r="B1042" s="134" t="n"/>
      <c r="C1042" s="105" t="n"/>
      <c r="D1042" s="105" t="n"/>
      <c r="E1042" s="105" t="n"/>
      <c r="F1042" s="105" t="n"/>
      <c r="G1042" s="105" t="n"/>
      <c r="H1042" s="2" t="n"/>
      <c r="I1042" s="105" t="n"/>
      <c r="K1042" s="215" t="n"/>
      <c r="L1042" s="215" t="n"/>
      <c r="M1042" s="215" t="n"/>
      <c r="N1042" s="215" t="n"/>
      <c r="O1042" s="215" t="n"/>
      <c r="P1042" s="215" t="n"/>
      <c r="Q1042" s="215" t="n"/>
      <c r="R1042" s="215" t="n"/>
      <c r="S1042" s="215" t="n"/>
      <c r="T1042" s="215" t="n"/>
      <c r="U1042" s="215" t="n"/>
      <c r="V1042" s="215" t="n"/>
      <c r="W1042" s="215" t="n"/>
      <c r="X1042" s="215" t="n"/>
      <c r="Y1042" s="215" t="n"/>
      <c r="Z1042" s="215" t="n"/>
      <c r="AA1042" s="215" t="n"/>
      <c r="AB1042" s="215" t="n"/>
      <c r="AC1042" s="215" t="n"/>
      <c r="AD1042" s="215" t="n"/>
      <c r="AE1042" s="215" t="n"/>
      <c r="AF1042" s="215" t="n"/>
      <c r="AG1042" s="215" t="n"/>
      <c r="AH1042" s="215" t="n"/>
      <c r="AI1042" s="215" t="n"/>
      <c r="AJ1042" s="215" t="n"/>
      <c r="AK1042" s="216" t="n"/>
    </row>
    <row r="1043" ht="15" customHeight="1">
      <c r="B1043" s="134" t="n"/>
      <c r="C1043" s="105" t="n"/>
      <c r="D1043" s="105" t="n"/>
      <c r="E1043" s="105" t="n"/>
      <c r="F1043" s="105" t="n"/>
      <c r="G1043" s="105" t="n"/>
      <c r="H1043" s="2" t="n"/>
      <c r="I1043" s="105" t="n"/>
      <c r="K1043" s="215" t="n"/>
      <c r="L1043" s="215" t="n"/>
      <c r="M1043" s="215" t="n"/>
      <c r="N1043" s="215" t="n"/>
      <c r="O1043" s="215" t="n"/>
      <c r="P1043" s="215" t="n"/>
      <c r="Q1043" s="215" t="n"/>
      <c r="R1043" s="215" t="n"/>
      <c r="S1043" s="215" t="n"/>
      <c r="T1043" s="215" t="n"/>
      <c r="U1043" s="215" t="n"/>
      <c r="V1043" s="215" t="n"/>
      <c r="W1043" s="215" t="n"/>
      <c r="X1043" s="215" t="n"/>
      <c r="Y1043" s="215" t="n"/>
      <c r="Z1043" s="215" t="n"/>
      <c r="AA1043" s="215" t="n"/>
      <c r="AB1043" s="215" t="n"/>
      <c r="AC1043" s="215" t="n"/>
      <c r="AD1043" s="215" t="n"/>
      <c r="AE1043" s="215" t="n"/>
      <c r="AF1043" s="215" t="n"/>
      <c r="AG1043" s="215" t="n"/>
      <c r="AH1043" s="215" t="n"/>
      <c r="AI1043" s="215" t="n"/>
      <c r="AJ1043" s="215" t="n"/>
      <c r="AK1043" s="216" t="n"/>
    </row>
    <row r="1044" ht="15" customHeight="1">
      <c r="B1044" s="134" t="n"/>
      <c r="C1044" s="105" t="n"/>
      <c r="D1044" s="105" t="n"/>
      <c r="E1044" s="105" t="n"/>
      <c r="F1044" s="105" t="n"/>
      <c r="G1044" s="105" t="n"/>
      <c r="H1044" s="2" t="n"/>
      <c r="I1044" s="105" t="n"/>
      <c r="K1044" s="215" t="n"/>
      <c r="L1044" s="215" t="n"/>
      <c r="M1044" s="215" t="n"/>
      <c r="N1044" s="215" t="n"/>
      <c r="O1044" s="215" t="n"/>
      <c r="P1044" s="215" t="n"/>
      <c r="Q1044" s="215" t="n"/>
      <c r="R1044" s="215" t="n"/>
      <c r="S1044" s="215" t="n"/>
      <c r="T1044" s="215" t="n"/>
      <c r="U1044" s="215" t="n"/>
      <c r="V1044" s="215" t="n"/>
      <c r="W1044" s="215" t="n"/>
      <c r="X1044" s="215" t="n"/>
      <c r="Y1044" s="215" t="n"/>
      <c r="Z1044" s="215" t="n"/>
      <c r="AA1044" s="215" t="n"/>
      <c r="AB1044" s="215" t="n"/>
      <c r="AC1044" s="215" t="n"/>
      <c r="AD1044" s="215" t="n"/>
      <c r="AE1044" s="215" t="n"/>
      <c r="AF1044" s="215" t="n"/>
      <c r="AG1044" s="215" t="n"/>
      <c r="AH1044" s="215" t="n"/>
      <c r="AI1044" s="215" t="n"/>
      <c r="AJ1044" s="215" t="n"/>
      <c r="AK1044" s="216" t="n"/>
    </row>
    <row r="1045" ht="15" customHeight="1">
      <c r="B1045" s="134" t="n"/>
      <c r="C1045" s="105" t="n"/>
      <c r="D1045" s="105" t="n"/>
      <c r="E1045" s="105" t="n"/>
      <c r="F1045" s="105" t="n"/>
      <c r="G1045" s="105" t="n"/>
      <c r="H1045" s="2" t="n"/>
      <c r="I1045" s="105" t="n"/>
      <c r="K1045" s="215" t="n"/>
      <c r="L1045" s="215" t="n"/>
      <c r="M1045" s="215" t="n"/>
      <c r="N1045" s="215" t="n"/>
      <c r="O1045" s="215" t="n"/>
      <c r="P1045" s="215" t="n"/>
      <c r="Q1045" s="215" t="n"/>
      <c r="R1045" s="215" t="n"/>
      <c r="S1045" s="215" t="n"/>
      <c r="T1045" s="215" t="n"/>
      <c r="U1045" s="215" t="n"/>
      <c r="V1045" s="215" t="n"/>
      <c r="W1045" s="215" t="n"/>
      <c r="X1045" s="215" t="n"/>
      <c r="Y1045" s="215" t="n"/>
      <c r="Z1045" s="215" t="n"/>
      <c r="AA1045" s="215" t="n"/>
      <c r="AB1045" s="215" t="n"/>
      <c r="AC1045" s="215" t="n"/>
      <c r="AD1045" s="215" t="n"/>
      <c r="AE1045" s="215" t="n"/>
      <c r="AF1045" s="215" t="n"/>
      <c r="AG1045" s="215" t="n"/>
      <c r="AH1045" s="215" t="n"/>
      <c r="AI1045" s="215" t="n"/>
      <c r="AJ1045" s="215" t="n"/>
      <c r="AK1045" s="216" t="n"/>
    </row>
    <row r="1046" ht="15" customHeight="1">
      <c r="B1046" s="134" t="n"/>
      <c r="C1046" s="105" t="n"/>
      <c r="D1046" s="105" t="n"/>
      <c r="E1046" s="105" t="n"/>
      <c r="F1046" s="105" t="n"/>
      <c r="G1046" s="105" t="n"/>
      <c r="H1046" s="2" t="n"/>
      <c r="I1046" s="105" t="n"/>
      <c r="K1046" s="215" t="n"/>
      <c r="L1046" s="215" t="n"/>
      <c r="M1046" s="215" t="n"/>
      <c r="N1046" s="215" t="n"/>
      <c r="O1046" s="215" t="n"/>
      <c r="P1046" s="215" t="n"/>
      <c r="Q1046" s="215" t="n"/>
      <c r="R1046" s="215" t="n"/>
      <c r="S1046" s="215" t="n"/>
      <c r="T1046" s="215" t="n"/>
      <c r="U1046" s="215" t="n"/>
      <c r="V1046" s="215" t="n"/>
      <c r="W1046" s="215" t="n"/>
      <c r="X1046" s="215" t="n"/>
      <c r="Y1046" s="215" t="n"/>
      <c r="Z1046" s="215" t="n"/>
      <c r="AA1046" s="215" t="n"/>
      <c r="AB1046" s="215" t="n"/>
      <c r="AC1046" s="215" t="n"/>
      <c r="AD1046" s="215" t="n"/>
      <c r="AE1046" s="215" t="n"/>
      <c r="AF1046" s="215" t="n"/>
      <c r="AG1046" s="215" t="n"/>
      <c r="AH1046" s="215" t="n"/>
      <c r="AI1046" s="215" t="n"/>
      <c r="AJ1046" s="215" t="n"/>
      <c r="AK1046" s="216" t="n"/>
    </row>
    <row r="1047" ht="15" customHeight="1">
      <c r="B1047" s="134" t="n"/>
      <c r="C1047" s="105" t="n"/>
      <c r="D1047" s="105" t="n"/>
      <c r="E1047" s="105" t="n"/>
      <c r="F1047" s="105" t="n"/>
      <c r="G1047" s="105" t="n"/>
      <c r="H1047" s="2" t="n"/>
      <c r="I1047" s="105" t="n"/>
      <c r="K1047" s="215" t="n"/>
      <c r="L1047" s="215" t="n"/>
      <c r="M1047" s="215" t="n"/>
      <c r="N1047" s="215" t="n"/>
      <c r="O1047" s="215" t="n"/>
      <c r="P1047" s="215" t="n"/>
      <c r="Q1047" s="215" t="n"/>
      <c r="R1047" s="215" t="n"/>
      <c r="S1047" s="215" t="n"/>
      <c r="T1047" s="215" t="n"/>
      <c r="U1047" s="215" t="n"/>
      <c r="V1047" s="215" t="n"/>
      <c r="W1047" s="215" t="n"/>
      <c r="X1047" s="215" t="n"/>
      <c r="Y1047" s="215" t="n"/>
      <c r="Z1047" s="215" t="n"/>
      <c r="AA1047" s="215" t="n"/>
      <c r="AB1047" s="215" t="n"/>
      <c r="AC1047" s="215" t="n"/>
      <c r="AD1047" s="215" t="n"/>
      <c r="AE1047" s="215" t="n"/>
      <c r="AF1047" s="215" t="n"/>
      <c r="AG1047" s="215" t="n"/>
      <c r="AH1047" s="215" t="n"/>
      <c r="AI1047" s="215" t="n"/>
      <c r="AJ1047" s="215" t="n"/>
      <c r="AK1047" s="216" t="n"/>
    </row>
    <row r="1048" ht="15" customHeight="1">
      <c r="B1048" s="134" t="n"/>
      <c r="C1048" s="105" t="n"/>
      <c r="D1048" s="105" t="n"/>
      <c r="E1048" s="105" t="n"/>
      <c r="F1048" s="105" t="n"/>
      <c r="G1048" s="105" t="n"/>
      <c r="H1048" s="2" t="n"/>
      <c r="I1048" s="105" t="n"/>
      <c r="K1048" s="215" t="n"/>
      <c r="L1048" s="215" t="n"/>
      <c r="M1048" s="215" t="n"/>
      <c r="N1048" s="215" t="n"/>
      <c r="O1048" s="215" t="n"/>
      <c r="P1048" s="215" t="n"/>
      <c r="Q1048" s="215" t="n"/>
      <c r="R1048" s="215" t="n"/>
      <c r="S1048" s="215" t="n"/>
      <c r="T1048" s="215" t="n"/>
      <c r="U1048" s="215" t="n"/>
      <c r="V1048" s="215" t="n"/>
      <c r="W1048" s="215" t="n"/>
      <c r="X1048" s="215" t="n"/>
      <c r="Y1048" s="215" t="n"/>
      <c r="Z1048" s="215" t="n"/>
      <c r="AA1048" s="215" t="n"/>
      <c r="AB1048" s="215" t="n"/>
      <c r="AC1048" s="215" t="n"/>
      <c r="AD1048" s="215" t="n"/>
      <c r="AE1048" s="215" t="n"/>
      <c r="AF1048" s="215" t="n"/>
      <c r="AG1048" s="215" t="n"/>
      <c r="AH1048" s="215" t="n"/>
      <c r="AI1048" s="215" t="n"/>
      <c r="AJ1048" s="215" t="n"/>
      <c r="AK1048" s="216" t="n"/>
    </row>
    <row r="1049" ht="15" customHeight="1">
      <c r="B1049" s="134" t="n"/>
      <c r="C1049" s="105" t="n"/>
      <c r="D1049" s="105" t="n"/>
      <c r="E1049" s="105" t="n"/>
      <c r="F1049" s="105" t="n"/>
      <c r="G1049" s="105" t="n"/>
      <c r="H1049" s="2" t="n"/>
      <c r="I1049" s="105" t="n"/>
      <c r="K1049" s="215" t="n"/>
      <c r="L1049" s="215" t="n"/>
      <c r="M1049" s="215" t="n"/>
      <c r="N1049" s="215" t="n"/>
      <c r="O1049" s="215" t="n"/>
      <c r="P1049" s="215" t="n"/>
      <c r="Q1049" s="215" t="n"/>
      <c r="R1049" s="215" t="n"/>
      <c r="S1049" s="215" t="n"/>
      <c r="T1049" s="215" t="n"/>
      <c r="U1049" s="215" t="n"/>
      <c r="V1049" s="215" t="n"/>
      <c r="W1049" s="215" t="n"/>
      <c r="X1049" s="215" t="n"/>
      <c r="Y1049" s="215" t="n"/>
      <c r="Z1049" s="215" t="n"/>
      <c r="AA1049" s="215" t="n"/>
      <c r="AB1049" s="215" t="n"/>
      <c r="AC1049" s="215" t="n"/>
      <c r="AD1049" s="215" t="n"/>
      <c r="AE1049" s="215" t="n"/>
      <c r="AF1049" s="215" t="n"/>
      <c r="AG1049" s="215" t="n"/>
      <c r="AH1049" s="215" t="n"/>
      <c r="AI1049" s="215" t="n"/>
      <c r="AJ1049" s="215" t="n"/>
      <c r="AK1049" s="216" t="n"/>
    </row>
    <row r="1050" ht="15" customHeight="1">
      <c r="B1050" s="134" t="n"/>
      <c r="C1050" s="105" t="n"/>
      <c r="D1050" s="105" t="n"/>
      <c r="E1050" s="105" t="n"/>
      <c r="F1050" s="105" t="n"/>
      <c r="G1050" s="105" t="n"/>
      <c r="H1050" s="2" t="n"/>
      <c r="I1050" s="105" t="n"/>
      <c r="K1050" s="215" t="n"/>
      <c r="L1050" s="215" t="n"/>
      <c r="M1050" s="215" t="n"/>
      <c r="N1050" s="215" t="n"/>
      <c r="O1050" s="215" t="n"/>
      <c r="P1050" s="215" t="n"/>
      <c r="Q1050" s="215" t="n"/>
      <c r="R1050" s="215" t="n"/>
      <c r="S1050" s="215" t="n"/>
      <c r="T1050" s="215" t="n"/>
      <c r="U1050" s="215" t="n"/>
      <c r="V1050" s="215" t="n"/>
      <c r="W1050" s="215" t="n"/>
      <c r="X1050" s="215" t="n"/>
      <c r="Y1050" s="215" t="n"/>
      <c r="Z1050" s="215" t="n"/>
      <c r="AA1050" s="215" t="n"/>
      <c r="AB1050" s="215" t="n"/>
      <c r="AC1050" s="215" t="n"/>
      <c r="AD1050" s="215" t="n"/>
      <c r="AE1050" s="215" t="n"/>
      <c r="AF1050" s="215" t="n"/>
      <c r="AG1050" s="215" t="n"/>
      <c r="AH1050" s="215" t="n"/>
      <c r="AI1050" s="215" t="n"/>
      <c r="AJ1050" s="215" t="n"/>
      <c r="AK1050" s="216" t="n"/>
    </row>
    <row r="1051" ht="15" customHeight="1">
      <c r="B1051" s="134" t="n"/>
      <c r="C1051" s="105" t="n"/>
      <c r="D1051" s="105" t="n"/>
      <c r="E1051" s="105" t="n"/>
      <c r="F1051" s="105" t="n"/>
      <c r="G1051" s="105" t="n"/>
      <c r="H1051" s="2" t="n"/>
      <c r="I1051" s="105" t="n"/>
      <c r="K1051" s="215" t="n"/>
      <c r="L1051" s="215" t="n"/>
      <c r="M1051" s="215" t="n"/>
      <c r="N1051" s="215" t="n"/>
      <c r="O1051" s="215" t="n"/>
      <c r="P1051" s="215" t="n"/>
      <c r="Q1051" s="215" t="n"/>
      <c r="R1051" s="215" t="n"/>
      <c r="S1051" s="215" t="n"/>
      <c r="T1051" s="215" t="n"/>
      <c r="U1051" s="215" t="n"/>
      <c r="V1051" s="215" t="n"/>
      <c r="W1051" s="215" t="n"/>
      <c r="X1051" s="215" t="n"/>
      <c r="Y1051" s="215" t="n"/>
      <c r="Z1051" s="215" t="n"/>
      <c r="AA1051" s="215" t="n"/>
      <c r="AB1051" s="215" t="n"/>
      <c r="AC1051" s="215" t="n"/>
      <c r="AD1051" s="215" t="n"/>
      <c r="AE1051" s="215" t="n"/>
      <c r="AF1051" s="215" t="n"/>
      <c r="AG1051" s="215" t="n"/>
      <c r="AH1051" s="215" t="n"/>
      <c r="AI1051" s="215" t="n"/>
      <c r="AJ1051" s="215" t="n"/>
      <c r="AK1051" s="216" t="n"/>
    </row>
    <row r="1052" ht="15" customHeight="1">
      <c r="B1052" s="134" t="n"/>
      <c r="C1052" s="105" t="n"/>
      <c r="D1052" s="105" t="n"/>
      <c r="E1052" s="105" t="n"/>
      <c r="F1052" s="105" t="n"/>
      <c r="G1052" s="105" t="n"/>
      <c r="H1052" s="2" t="n"/>
      <c r="I1052" s="105" t="n"/>
      <c r="K1052" s="215" t="n"/>
      <c r="L1052" s="215" t="n"/>
      <c r="M1052" s="215" t="n"/>
      <c r="N1052" s="215" t="n"/>
      <c r="O1052" s="215" t="n"/>
      <c r="P1052" s="215" t="n"/>
      <c r="Q1052" s="215" t="n"/>
      <c r="R1052" s="215" t="n"/>
      <c r="S1052" s="215" t="n"/>
      <c r="T1052" s="215" t="n"/>
      <c r="U1052" s="215" t="n"/>
      <c r="V1052" s="215" t="n"/>
      <c r="W1052" s="215" t="n"/>
      <c r="X1052" s="215" t="n"/>
      <c r="Y1052" s="215" t="n"/>
      <c r="Z1052" s="215" t="n"/>
      <c r="AA1052" s="215" t="n"/>
      <c r="AB1052" s="215" t="n"/>
      <c r="AC1052" s="215" t="n"/>
      <c r="AD1052" s="215" t="n"/>
      <c r="AE1052" s="215" t="n"/>
      <c r="AF1052" s="215" t="n"/>
      <c r="AG1052" s="215" t="n"/>
      <c r="AH1052" s="215" t="n"/>
      <c r="AI1052" s="215" t="n"/>
      <c r="AJ1052" s="215" t="n"/>
      <c r="AK1052" s="216" t="n"/>
    </row>
    <row r="1053" ht="15" customHeight="1">
      <c r="B1053" s="134" t="n"/>
      <c r="C1053" s="105" t="n"/>
      <c r="D1053" s="105" t="n"/>
      <c r="E1053" s="105" t="n"/>
      <c r="F1053" s="105" t="n"/>
      <c r="G1053" s="105" t="n"/>
      <c r="H1053" s="2" t="n"/>
      <c r="I1053" s="105" t="n"/>
      <c r="K1053" s="215" t="n"/>
      <c r="L1053" s="215" t="n"/>
      <c r="M1053" s="215" t="n"/>
      <c r="N1053" s="215" t="n"/>
      <c r="O1053" s="215" t="n"/>
      <c r="P1053" s="215" t="n"/>
      <c r="Q1053" s="215" t="n"/>
      <c r="R1053" s="215" t="n"/>
      <c r="S1053" s="215" t="n"/>
      <c r="T1053" s="215" t="n"/>
      <c r="U1053" s="215" t="n"/>
      <c r="V1053" s="215" t="n"/>
      <c r="W1053" s="215" t="n"/>
      <c r="X1053" s="215" t="n"/>
      <c r="Y1053" s="215" t="n"/>
      <c r="Z1053" s="215" t="n"/>
      <c r="AA1053" s="215" t="n"/>
      <c r="AB1053" s="215" t="n"/>
      <c r="AC1053" s="215" t="n"/>
      <c r="AD1053" s="215" t="n"/>
      <c r="AE1053" s="215" t="n"/>
      <c r="AF1053" s="215" t="n"/>
      <c r="AG1053" s="215" t="n"/>
      <c r="AH1053" s="215" t="n"/>
      <c r="AI1053" s="215" t="n"/>
      <c r="AJ1053" s="215" t="n"/>
      <c r="AK1053" s="216" t="n"/>
    </row>
    <row r="1054" ht="15" customHeight="1">
      <c r="B1054" s="134" t="n"/>
      <c r="C1054" s="105" t="n"/>
      <c r="D1054" s="105" t="n"/>
      <c r="E1054" s="105" t="n"/>
      <c r="F1054" s="105" t="n"/>
      <c r="G1054" s="105" t="n"/>
      <c r="H1054" s="2" t="n"/>
      <c r="I1054" s="105" t="n"/>
      <c r="K1054" s="215" t="n"/>
      <c r="L1054" s="215" t="n"/>
      <c r="M1054" s="215" t="n"/>
      <c r="N1054" s="215" t="n"/>
      <c r="O1054" s="215" t="n"/>
      <c r="P1054" s="215" t="n"/>
      <c r="Q1054" s="215" t="n"/>
      <c r="R1054" s="215" t="n"/>
      <c r="S1054" s="215" t="n"/>
      <c r="T1054" s="215" t="n"/>
      <c r="U1054" s="215" t="n"/>
      <c r="V1054" s="215" t="n"/>
      <c r="W1054" s="215" t="n"/>
      <c r="X1054" s="215" t="n"/>
      <c r="Y1054" s="215" t="n"/>
      <c r="Z1054" s="215" t="n"/>
      <c r="AA1054" s="215" t="n"/>
      <c r="AB1054" s="215" t="n"/>
      <c r="AC1054" s="215" t="n"/>
      <c r="AD1054" s="215" t="n"/>
      <c r="AE1054" s="215" t="n"/>
      <c r="AF1054" s="215" t="n"/>
      <c r="AG1054" s="215" t="n"/>
      <c r="AH1054" s="215" t="n"/>
      <c r="AI1054" s="215" t="n"/>
      <c r="AJ1054" s="215" t="n"/>
      <c r="AK1054" s="216" t="n"/>
    </row>
    <row r="1055" ht="15" customHeight="1">
      <c r="B1055" s="134" t="n"/>
      <c r="C1055" s="105" t="n"/>
      <c r="D1055" s="105" t="n"/>
      <c r="E1055" s="105" t="n"/>
      <c r="F1055" s="105" t="n"/>
      <c r="G1055" s="105" t="n"/>
      <c r="H1055" s="2" t="n"/>
      <c r="I1055" s="105" t="n"/>
      <c r="K1055" s="215" t="n"/>
      <c r="L1055" s="215" t="n"/>
      <c r="M1055" s="215" t="n"/>
      <c r="N1055" s="215" t="n"/>
      <c r="O1055" s="215" t="n"/>
      <c r="P1055" s="215" t="n"/>
      <c r="Q1055" s="215" t="n"/>
      <c r="R1055" s="215" t="n"/>
      <c r="S1055" s="215" t="n"/>
      <c r="T1055" s="215" t="n"/>
      <c r="U1055" s="215" t="n"/>
      <c r="V1055" s="215" t="n"/>
      <c r="W1055" s="215" t="n"/>
      <c r="X1055" s="215" t="n"/>
      <c r="Y1055" s="215" t="n"/>
      <c r="Z1055" s="215" t="n"/>
      <c r="AA1055" s="215" t="n"/>
      <c r="AB1055" s="215" t="n"/>
      <c r="AC1055" s="215" t="n"/>
      <c r="AD1055" s="215" t="n"/>
      <c r="AE1055" s="215" t="n"/>
      <c r="AF1055" s="215" t="n"/>
      <c r="AG1055" s="215" t="n"/>
      <c r="AH1055" s="215" t="n"/>
      <c r="AI1055" s="215" t="n"/>
      <c r="AJ1055" s="215" t="n"/>
      <c r="AK1055" s="216" t="n"/>
    </row>
    <row r="1056" ht="15" customHeight="1">
      <c r="B1056" s="134" t="n"/>
      <c r="C1056" s="105" t="n"/>
      <c r="D1056" s="105" t="n"/>
      <c r="E1056" s="105" t="n"/>
      <c r="F1056" s="105" t="n"/>
      <c r="G1056" s="105" t="n"/>
      <c r="H1056" s="2" t="n"/>
      <c r="I1056" s="105" t="n"/>
      <c r="K1056" s="215" t="n"/>
      <c r="L1056" s="215" t="n"/>
      <c r="M1056" s="215" t="n"/>
      <c r="N1056" s="215" t="n"/>
      <c r="O1056" s="215" t="n"/>
      <c r="P1056" s="215" t="n"/>
      <c r="Q1056" s="215" t="n"/>
      <c r="R1056" s="215" t="n"/>
      <c r="S1056" s="215" t="n"/>
      <c r="T1056" s="215" t="n"/>
      <c r="U1056" s="215" t="n"/>
      <c r="V1056" s="215" t="n"/>
      <c r="W1056" s="215" t="n"/>
      <c r="X1056" s="215" t="n"/>
      <c r="Y1056" s="215" t="n"/>
      <c r="Z1056" s="215" t="n"/>
      <c r="AA1056" s="215" t="n"/>
      <c r="AB1056" s="215" t="n"/>
      <c r="AC1056" s="215" t="n"/>
      <c r="AD1056" s="215" t="n"/>
      <c r="AE1056" s="215" t="n"/>
      <c r="AF1056" s="215" t="n"/>
      <c r="AG1056" s="215" t="n"/>
      <c r="AH1056" s="215" t="n"/>
      <c r="AI1056" s="215" t="n"/>
      <c r="AJ1056" s="215" t="n"/>
      <c r="AK1056" s="216" t="n"/>
    </row>
    <row r="1057" ht="15" customHeight="1">
      <c r="B1057" s="134" t="n"/>
      <c r="C1057" s="105" t="n"/>
      <c r="D1057" s="105" t="n"/>
      <c r="E1057" s="105" t="n"/>
      <c r="F1057" s="105" t="n"/>
      <c r="G1057" s="105" t="n"/>
      <c r="H1057" s="2" t="n"/>
      <c r="I1057" s="105" t="n"/>
      <c r="K1057" s="215" t="n"/>
      <c r="L1057" s="215" t="n"/>
      <c r="M1057" s="215" t="n"/>
      <c r="N1057" s="215" t="n"/>
      <c r="O1057" s="215" t="n"/>
      <c r="P1057" s="215" t="n"/>
      <c r="Q1057" s="215" t="n"/>
      <c r="R1057" s="215" t="n"/>
      <c r="S1057" s="215" t="n"/>
      <c r="T1057" s="215" t="n"/>
      <c r="U1057" s="215" t="n"/>
      <c r="V1057" s="215" t="n"/>
      <c r="W1057" s="215" t="n"/>
      <c r="X1057" s="215" t="n"/>
      <c r="Y1057" s="215" t="n"/>
      <c r="Z1057" s="215" t="n"/>
      <c r="AA1057" s="215" t="n"/>
      <c r="AB1057" s="215" t="n"/>
      <c r="AC1057" s="215" t="n"/>
      <c r="AD1057" s="215" t="n"/>
      <c r="AE1057" s="215" t="n"/>
      <c r="AF1057" s="215" t="n"/>
      <c r="AG1057" s="215" t="n"/>
      <c r="AH1057" s="215" t="n"/>
      <c r="AI1057" s="215" t="n"/>
      <c r="AJ1057" s="215" t="n"/>
      <c r="AK1057" s="216" t="n"/>
    </row>
    <row r="1058" ht="15" customHeight="1">
      <c r="B1058" s="134" t="n"/>
      <c r="C1058" s="105" t="n"/>
      <c r="D1058" s="105" t="n"/>
      <c r="E1058" s="105" t="n"/>
      <c r="F1058" s="105" t="n"/>
      <c r="G1058" s="105" t="n"/>
      <c r="H1058" s="2" t="n"/>
      <c r="I1058" s="105" t="n"/>
      <c r="K1058" s="215" t="n"/>
      <c r="L1058" s="215" t="n"/>
      <c r="M1058" s="215" t="n"/>
      <c r="N1058" s="215" t="n"/>
      <c r="O1058" s="215" t="n"/>
      <c r="P1058" s="215" t="n"/>
      <c r="Q1058" s="215" t="n"/>
      <c r="R1058" s="215" t="n"/>
      <c r="S1058" s="215" t="n"/>
      <c r="T1058" s="215" t="n"/>
      <c r="U1058" s="215" t="n"/>
      <c r="V1058" s="215" t="n"/>
      <c r="W1058" s="215" t="n"/>
      <c r="X1058" s="215" t="n"/>
      <c r="Y1058" s="215" t="n"/>
      <c r="Z1058" s="215" t="n"/>
      <c r="AA1058" s="215" t="n"/>
      <c r="AB1058" s="215" t="n"/>
      <c r="AC1058" s="215" t="n"/>
      <c r="AD1058" s="215" t="n"/>
      <c r="AE1058" s="215" t="n"/>
      <c r="AF1058" s="215" t="n"/>
      <c r="AG1058" s="215" t="n"/>
      <c r="AH1058" s="215" t="n"/>
      <c r="AI1058" s="215" t="n"/>
      <c r="AJ1058" s="215" t="n"/>
      <c r="AK1058" s="216" t="n"/>
    </row>
    <row r="1059" ht="15" customHeight="1">
      <c r="B1059" s="134" t="n"/>
      <c r="C1059" s="105" t="n"/>
      <c r="D1059" s="105" t="n"/>
      <c r="E1059" s="105" t="n"/>
      <c r="F1059" s="105" t="n"/>
      <c r="G1059" s="105" t="n"/>
      <c r="H1059" s="2" t="n"/>
      <c r="I1059" s="105" t="n"/>
      <c r="K1059" s="215" t="n"/>
      <c r="L1059" s="215" t="n"/>
      <c r="M1059" s="215" t="n"/>
      <c r="N1059" s="215" t="n"/>
      <c r="O1059" s="215" t="n"/>
      <c r="P1059" s="215" t="n"/>
      <c r="Q1059" s="215" t="n"/>
      <c r="R1059" s="215" t="n"/>
      <c r="S1059" s="215" t="n"/>
      <c r="T1059" s="215" t="n"/>
      <c r="U1059" s="215" t="n"/>
      <c r="V1059" s="215" t="n"/>
      <c r="W1059" s="215" t="n"/>
      <c r="X1059" s="215" t="n"/>
      <c r="Y1059" s="215" t="n"/>
      <c r="Z1059" s="215" t="n"/>
      <c r="AA1059" s="215" t="n"/>
      <c r="AB1059" s="215" t="n"/>
      <c r="AC1059" s="215" t="n"/>
      <c r="AD1059" s="215" t="n"/>
      <c r="AE1059" s="215" t="n"/>
      <c r="AF1059" s="215" t="n"/>
      <c r="AG1059" s="215" t="n"/>
      <c r="AH1059" s="215" t="n"/>
      <c r="AI1059" s="215" t="n"/>
      <c r="AJ1059" s="215" t="n"/>
      <c r="AK1059" s="216" t="n"/>
    </row>
    <row r="1060" ht="15" customHeight="1">
      <c r="B1060" s="134" t="n"/>
      <c r="C1060" s="105" t="n"/>
      <c r="D1060" s="105" t="n"/>
      <c r="E1060" s="105" t="n"/>
      <c r="F1060" s="105" t="n"/>
      <c r="G1060" s="105" t="n"/>
      <c r="H1060" s="2" t="n"/>
      <c r="I1060" s="105" t="n"/>
      <c r="K1060" s="215" t="n"/>
      <c r="L1060" s="215" t="n"/>
      <c r="M1060" s="215" t="n"/>
      <c r="N1060" s="215" t="n"/>
      <c r="O1060" s="215" t="n"/>
      <c r="P1060" s="215" t="n"/>
      <c r="Q1060" s="215" t="n"/>
      <c r="R1060" s="215" t="n"/>
      <c r="S1060" s="215" t="n"/>
      <c r="T1060" s="215" t="n"/>
      <c r="U1060" s="215" t="n"/>
      <c r="V1060" s="215" t="n"/>
      <c r="W1060" s="215" t="n"/>
      <c r="X1060" s="215" t="n"/>
      <c r="Y1060" s="215" t="n"/>
      <c r="Z1060" s="215" t="n"/>
      <c r="AA1060" s="215" t="n"/>
      <c r="AB1060" s="215" t="n"/>
      <c r="AC1060" s="215" t="n"/>
      <c r="AD1060" s="215" t="n"/>
      <c r="AE1060" s="215" t="n"/>
      <c r="AF1060" s="215" t="n"/>
      <c r="AG1060" s="215" t="n"/>
      <c r="AH1060" s="215" t="n"/>
      <c r="AI1060" s="215" t="n"/>
      <c r="AJ1060" s="215" t="n"/>
      <c r="AK1060" s="216" t="n"/>
    </row>
    <row r="1061" ht="15" customHeight="1">
      <c r="B1061" s="134" t="n"/>
      <c r="C1061" s="105" t="n"/>
      <c r="D1061" s="105" t="n"/>
      <c r="E1061" s="105" t="n"/>
      <c r="F1061" s="105" t="n"/>
      <c r="G1061" s="105" t="n"/>
      <c r="H1061" s="2" t="n"/>
      <c r="I1061" s="105" t="n"/>
      <c r="K1061" s="215" t="n"/>
      <c r="L1061" s="215" t="n"/>
      <c r="M1061" s="215" t="n"/>
      <c r="N1061" s="215" t="n"/>
      <c r="O1061" s="215" t="n"/>
      <c r="P1061" s="215" t="n"/>
      <c r="Q1061" s="215" t="n"/>
      <c r="R1061" s="215" t="n"/>
      <c r="S1061" s="215" t="n"/>
      <c r="T1061" s="215" t="n"/>
      <c r="U1061" s="215" t="n"/>
      <c r="V1061" s="215" t="n"/>
      <c r="W1061" s="215" t="n"/>
      <c r="X1061" s="215" t="n"/>
      <c r="Y1061" s="215" t="n"/>
      <c r="Z1061" s="215" t="n"/>
      <c r="AA1061" s="215" t="n"/>
      <c r="AB1061" s="215" t="n"/>
      <c r="AC1061" s="215" t="n"/>
      <c r="AD1061" s="215" t="n"/>
      <c r="AE1061" s="215" t="n"/>
      <c r="AF1061" s="215" t="n"/>
      <c r="AG1061" s="215" t="n"/>
      <c r="AH1061" s="215" t="n"/>
      <c r="AI1061" s="215" t="n"/>
      <c r="AJ1061" s="215" t="n"/>
      <c r="AK1061" s="216" t="n"/>
    </row>
    <row r="1062" ht="15" customHeight="1">
      <c r="B1062" s="134" t="n"/>
      <c r="C1062" s="105" t="n"/>
      <c r="D1062" s="105" t="n"/>
      <c r="E1062" s="105" t="n"/>
      <c r="F1062" s="105" t="n"/>
      <c r="G1062" s="105" t="n"/>
      <c r="H1062" s="2" t="n"/>
      <c r="I1062" s="105" t="n"/>
      <c r="K1062" s="215" t="n"/>
      <c r="L1062" s="215" t="n"/>
      <c r="M1062" s="215" t="n"/>
      <c r="N1062" s="215" t="n"/>
      <c r="O1062" s="215" t="n"/>
      <c r="P1062" s="215" t="n"/>
      <c r="Q1062" s="215" t="n"/>
      <c r="R1062" s="215" t="n"/>
      <c r="S1062" s="215" t="n"/>
      <c r="T1062" s="215" t="n"/>
      <c r="U1062" s="215" t="n"/>
      <c r="V1062" s="215" t="n"/>
      <c r="W1062" s="215" t="n"/>
      <c r="X1062" s="215" t="n"/>
      <c r="Y1062" s="215" t="n"/>
      <c r="Z1062" s="215" t="n"/>
      <c r="AA1062" s="215" t="n"/>
      <c r="AB1062" s="215" t="n"/>
      <c r="AC1062" s="215" t="n"/>
      <c r="AD1062" s="215" t="n"/>
      <c r="AE1062" s="215" t="n"/>
      <c r="AF1062" s="215" t="n"/>
      <c r="AG1062" s="215" t="n"/>
      <c r="AH1062" s="215" t="n"/>
      <c r="AI1062" s="215" t="n"/>
      <c r="AJ1062" s="215" t="n"/>
      <c r="AK1062" s="216" t="n"/>
    </row>
    <row r="1063" ht="15" customHeight="1">
      <c r="B1063" s="134" t="n"/>
      <c r="C1063" s="105" t="n"/>
      <c r="D1063" s="105" t="n"/>
      <c r="E1063" s="105" t="n"/>
      <c r="F1063" s="105" t="n"/>
      <c r="G1063" s="105" t="n"/>
      <c r="H1063" s="2" t="n"/>
      <c r="I1063" s="105" t="n"/>
      <c r="K1063" s="215" t="n"/>
      <c r="L1063" s="215" t="n"/>
      <c r="M1063" s="215" t="n"/>
      <c r="N1063" s="215" t="n"/>
      <c r="O1063" s="215" t="n"/>
      <c r="P1063" s="215" t="n"/>
      <c r="Q1063" s="215" t="n"/>
      <c r="R1063" s="215" t="n"/>
      <c r="S1063" s="215" t="n"/>
      <c r="T1063" s="215" t="n"/>
      <c r="U1063" s="215" t="n"/>
      <c r="V1063" s="215" t="n"/>
      <c r="W1063" s="215" t="n"/>
      <c r="X1063" s="215" t="n"/>
      <c r="Y1063" s="215" t="n"/>
      <c r="Z1063" s="215" t="n"/>
      <c r="AA1063" s="215" t="n"/>
      <c r="AB1063" s="215" t="n"/>
      <c r="AC1063" s="215" t="n"/>
      <c r="AD1063" s="215" t="n"/>
      <c r="AE1063" s="215" t="n"/>
      <c r="AF1063" s="215" t="n"/>
      <c r="AG1063" s="215" t="n"/>
      <c r="AH1063" s="215" t="n"/>
      <c r="AI1063" s="215" t="n"/>
      <c r="AJ1063" s="215" t="n"/>
      <c r="AK1063" s="216" t="n"/>
    </row>
    <row r="1064" ht="15" customHeight="1">
      <c r="B1064" s="134" t="n"/>
      <c r="C1064" s="105" t="n"/>
      <c r="D1064" s="105" t="n"/>
      <c r="E1064" s="105" t="n"/>
      <c r="F1064" s="105" t="n"/>
      <c r="G1064" s="105" t="n"/>
      <c r="H1064" s="2" t="n"/>
      <c r="I1064" s="105" t="n"/>
      <c r="K1064" s="215" t="n"/>
      <c r="L1064" s="215" t="n"/>
      <c r="M1064" s="215" t="n"/>
      <c r="N1064" s="215" t="n"/>
      <c r="O1064" s="215" t="n"/>
      <c r="P1064" s="215" t="n"/>
      <c r="Q1064" s="215" t="n"/>
      <c r="R1064" s="215" t="n"/>
      <c r="S1064" s="215" t="n"/>
      <c r="T1064" s="215" t="n"/>
      <c r="U1064" s="215" t="n"/>
      <c r="V1064" s="215" t="n"/>
      <c r="W1064" s="215" t="n"/>
      <c r="X1064" s="215" t="n"/>
      <c r="Y1064" s="215" t="n"/>
      <c r="Z1064" s="215" t="n"/>
      <c r="AA1064" s="215" t="n"/>
      <c r="AB1064" s="215" t="n"/>
      <c r="AC1064" s="215" t="n"/>
      <c r="AD1064" s="215" t="n"/>
      <c r="AE1064" s="215" t="n"/>
      <c r="AF1064" s="215" t="n"/>
      <c r="AG1064" s="215" t="n"/>
      <c r="AH1064" s="215" t="n"/>
      <c r="AI1064" s="215" t="n"/>
      <c r="AJ1064" s="215" t="n"/>
      <c r="AK1064" s="216" t="n"/>
    </row>
    <row r="1065" ht="15" customHeight="1">
      <c r="B1065" s="134" t="n"/>
      <c r="C1065" s="105" t="n"/>
      <c r="D1065" s="105" t="n"/>
      <c r="E1065" s="105" t="n"/>
      <c r="F1065" s="105" t="n"/>
      <c r="G1065" s="105" t="n"/>
      <c r="H1065" s="2" t="n"/>
      <c r="I1065" s="105" t="n"/>
      <c r="K1065" s="215" t="n"/>
      <c r="L1065" s="215" t="n"/>
      <c r="M1065" s="215" t="n"/>
      <c r="N1065" s="215" t="n"/>
      <c r="O1065" s="215" t="n"/>
      <c r="P1065" s="215" t="n"/>
      <c r="Q1065" s="215" t="n"/>
      <c r="R1065" s="215" t="n"/>
      <c r="S1065" s="215" t="n"/>
      <c r="T1065" s="215" t="n"/>
      <c r="U1065" s="215" t="n"/>
      <c r="V1065" s="215" t="n"/>
      <c r="W1065" s="215" t="n"/>
      <c r="X1065" s="215" t="n"/>
      <c r="Y1065" s="215" t="n"/>
      <c r="Z1065" s="215" t="n"/>
      <c r="AA1065" s="215" t="n"/>
      <c r="AB1065" s="215" t="n"/>
      <c r="AC1065" s="215" t="n"/>
      <c r="AD1065" s="215" t="n"/>
      <c r="AE1065" s="215" t="n"/>
      <c r="AF1065" s="215" t="n"/>
      <c r="AG1065" s="215" t="n"/>
      <c r="AH1065" s="215" t="n"/>
      <c r="AI1065" s="215" t="n"/>
      <c r="AJ1065" s="215" t="n"/>
      <c r="AK1065" s="216" t="n"/>
    </row>
    <row r="1066" ht="15" customHeight="1">
      <c r="B1066" s="134" t="n"/>
      <c r="C1066" s="105" t="n"/>
      <c r="D1066" s="105" t="n"/>
      <c r="E1066" s="105" t="n"/>
      <c r="F1066" s="105" t="n"/>
      <c r="G1066" s="105" t="n"/>
      <c r="H1066" s="2" t="n"/>
      <c r="I1066" s="105" t="n"/>
      <c r="K1066" s="215" t="n"/>
      <c r="L1066" s="215" t="n"/>
      <c r="M1066" s="215" t="n"/>
      <c r="N1066" s="215" t="n"/>
      <c r="O1066" s="215" t="n"/>
      <c r="P1066" s="215" t="n"/>
      <c r="Q1066" s="215" t="n"/>
      <c r="R1066" s="215" t="n"/>
      <c r="S1066" s="215" t="n"/>
      <c r="T1066" s="215" t="n"/>
      <c r="U1066" s="215" t="n"/>
      <c r="V1066" s="215" t="n"/>
      <c r="W1066" s="215" t="n"/>
      <c r="X1066" s="215" t="n"/>
      <c r="Y1066" s="215" t="n"/>
      <c r="Z1066" s="215" t="n"/>
      <c r="AA1066" s="215" t="n"/>
      <c r="AB1066" s="215" t="n"/>
      <c r="AC1066" s="215" t="n"/>
      <c r="AD1066" s="215" t="n"/>
      <c r="AE1066" s="215" t="n"/>
      <c r="AF1066" s="215" t="n"/>
      <c r="AG1066" s="215" t="n"/>
      <c r="AH1066" s="215" t="n"/>
      <c r="AI1066" s="215" t="n"/>
      <c r="AJ1066" s="215" t="n"/>
      <c r="AK1066" s="216" t="n"/>
    </row>
    <row r="1067" ht="15" customHeight="1">
      <c r="B1067" s="134" t="n"/>
      <c r="C1067" s="105" t="n"/>
      <c r="D1067" s="105" t="n"/>
      <c r="E1067" s="105" t="n"/>
      <c r="F1067" s="105" t="n"/>
      <c r="G1067" s="105" t="n"/>
      <c r="H1067" s="2" t="n"/>
      <c r="I1067" s="105" t="n"/>
      <c r="K1067" s="215" t="n"/>
      <c r="L1067" s="215" t="n"/>
      <c r="M1067" s="215" t="n"/>
      <c r="N1067" s="215" t="n"/>
      <c r="O1067" s="215" t="n"/>
      <c r="P1067" s="215" t="n"/>
      <c r="Q1067" s="215" t="n"/>
      <c r="R1067" s="215" t="n"/>
      <c r="S1067" s="215" t="n"/>
      <c r="T1067" s="215" t="n"/>
      <c r="U1067" s="215" t="n"/>
      <c r="V1067" s="215" t="n"/>
      <c r="W1067" s="215" t="n"/>
      <c r="X1067" s="215" t="n"/>
      <c r="Y1067" s="215" t="n"/>
      <c r="Z1067" s="215" t="n"/>
      <c r="AA1067" s="215" t="n"/>
      <c r="AB1067" s="215" t="n"/>
      <c r="AC1067" s="215" t="n"/>
      <c r="AD1067" s="215" t="n"/>
      <c r="AE1067" s="215" t="n"/>
      <c r="AF1067" s="215" t="n"/>
      <c r="AG1067" s="215" t="n"/>
      <c r="AH1067" s="215" t="n"/>
      <c r="AI1067" s="215" t="n"/>
      <c r="AJ1067" s="215" t="n"/>
      <c r="AK1067" s="216" t="n"/>
    </row>
    <row r="1068" ht="15" customHeight="1">
      <c r="B1068" s="134" t="n"/>
      <c r="C1068" s="105" t="n"/>
      <c r="D1068" s="105" t="n"/>
      <c r="E1068" s="105" t="n"/>
      <c r="F1068" s="105" t="n"/>
      <c r="G1068" s="105" t="n"/>
      <c r="H1068" s="2" t="n"/>
      <c r="I1068" s="105" t="n"/>
      <c r="K1068" s="215" t="n"/>
      <c r="L1068" s="215" t="n"/>
      <c r="M1068" s="215" t="n"/>
      <c r="N1068" s="215" t="n"/>
      <c r="O1068" s="215" t="n"/>
      <c r="P1068" s="215" t="n"/>
      <c r="Q1068" s="215" t="n"/>
      <c r="R1068" s="215" t="n"/>
      <c r="S1068" s="215" t="n"/>
      <c r="T1068" s="215" t="n"/>
      <c r="U1068" s="215" t="n"/>
      <c r="V1068" s="215" t="n"/>
      <c r="W1068" s="215" t="n"/>
      <c r="X1068" s="215" t="n"/>
      <c r="Y1068" s="215" t="n"/>
      <c r="Z1068" s="215" t="n"/>
      <c r="AA1068" s="215" t="n"/>
      <c r="AB1068" s="215" t="n"/>
      <c r="AC1068" s="215" t="n"/>
      <c r="AD1068" s="215" t="n"/>
      <c r="AE1068" s="215" t="n"/>
      <c r="AF1068" s="215" t="n"/>
      <c r="AG1068" s="215" t="n"/>
      <c r="AH1068" s="215" t="n"/>
      <c r="AI1068" s="215" t="n"/>
      <c r="AJ1068" s="215" t="n"/>
      <c r="AK1068" s="216" t="n"/>
    </row>
    <row r="1069" ht="15" customHeight="1">
      <c r="B1069" s="134" t="n"/>
      <c r="C1069" s="105" t="n"/>
      <c r="D1069" s="105" t="n"/>
      <c r="E1069" s="105" t="n"/>
      <c r="F1069" s="105" t="n"/>
      <c r="G1069" s="105" t="n"/>
      <c r="H1069" s="2" t="n"/>
      <c r="I1069" s="105" t="n"/>
      <c r="K1069" s="215" t="n"/>
      <c r="L1069" s="215" t="n"/>
      <c r="M1069" s="215" t="n"/>
      <c r="N1069" s="215" t="n"/>
      <c r="O1069" s="215" t="n"/>
      <c r="P1069" s="215" t="n"/>
      <c r="Q1069" s="215" t="n"/>
      <c r="R1069" s="215" t="n"/>
      <c r="S1069" s="215" t="n"/>
      <c r="T1069" s="215" t="n"/>
      <c r="U1069" s="215" t="n"/>
      <c r="V1069" s="215" t="n"/>
      <c r="W1069" s="215" t="n"/>
      <c r="X1069" s="215" t="n"/>
      <c r="Y1069" s="215" t="n"/>
      <c r="Z1069" s="215" t="n"/>
      <c r="AA1069" s="215" t="n"/>
      <c r="AB1069" s="215" t="n"/>
      <c r="AC1069" s="215" t="n"/>
      <c r="AD1069" s="215" t="n"/>
      <c r="AE1069" s="215" t="n"/>
      <c r="AF1069" s="215" t="n"/>
      <c r="AG1069" s="215" t="n"/>
      <c r="AH1069" s="215" t="n"/>
      <c r="AI1069" s="215" t="n"/>
      <c r="AJ1069" s="215" t="n"/>
      <c r="AK1069" s="216" t="n"/>
    </row>
    <row r="1070" ht="15" customHeight="1">
      <c r="B1070" s="134" t="n"/>
      <c r="C1070" s="105" t="n"/>
      <c r="D1070" s="105" t="n"/>
      <c r="E1070" s="105" t="n"/>
      <c r="F1070" s="105" t="n"/>
      <c r="G1070" s="105" t="n"/>
      <c r="H1070" s="2" t="n"/>
      <c r="I1070" s="105" t="n"/>
      <c r="K1070" s="215" t="n"/>
      <c r="L1070" s="215" t="n"/>
      <c r="M1070" s="215" t="n"/>
      <c r="N1070" s="215" t="n"/>
      <c r="O1070" s="215" t="n"/>
      <c r="P1070" s="215" t="n"/>
      <c r="Q1070" s="215" t="n"/>
      <c r="R1070" s="215" t="n"/>
      <c r="S1070" s="215" t="n"/>
      <c r="T1070" s="215" t="n"/>
      <c r="U1070" s="215" t="n"/>
      <c r="V1070" s="215" t="n"/>
      <c r="W1070" s="215" t="n"/>
      <c r="X1070" s="215" t="n"/>
      <c r="Y1070" s="215" t="n"/>
      <c r="Z1070" s="215" t="n"/>
      <c r="AA1070" s="215" t="n"/>
      <c r="AB1070" s="215" t="n"/>
      <c r="AC1070" s="215" t="n"/>
      <c r="AD1070" s="215" t="n"/>
      <c r="AE1070" s="215" t="n"/>
      <c r="AF1070" s="215" t="n"/>
      <c r="AG1070" s="215" t="n"/>
      <c r="AH1070" s="215" t="n"/>
      <c r="AI1070" s="215" t="n"/>
      <c r="AJ1070" s="215" t="n"/>
      <c r="AK1070" s="216" t="n"/>
    </row>
    <row r="1071" ht="15" customHeight="1">
      <c r="B1071" s="134" t="n"/>
      <c r="C1071" s="105" t="n"/>
      <c r="D1071" s="105" t="n"/>
      <c r="E1071" s="105" t="n"/>
      <c r="F1071" s="105" t="n"/>
      <c r="G1071" s="105" t="n"/>
      <c r="H1071" s="2" t="n"/>
      <c r="I1071" s="105" t="n"/>
      <c r="K1071" s="215" t="n"/>
      <c r="L1071" s="215" t="n"/>
      <c r="M1071" s="215" t="n"/>
      <c r="N1071" s="215" t="n"/>
      <c r="O1071" s="215" t="n"/>
      <c r="P1071" s="215" t="n"/>
      <c r="Q1071" s="215" t="n"/>
      <c r="R1071" s="215" t="n"/>
      <c r="S1071" s="215" t="n"/>
      <c r="T1071" s="215" t="n"/>
      <c r="U1071" s="215" t="n"/>
      <c r="V1071" s="215" t="n"/>
      <c r="W1071" s="215" t="n"/>
      <c r="X1071" s="215" t="n"/>
      <c r="Y1071" s="215" t="n"/>
      <c r="Z1071" s="215" t="n"/>
      <c r="AA1071" s="215" t="n"/>
      <c r="AB1071" s="215" t="n"/>
      <c r="AC1071" s="215" t="n"/>
      <c r="AD1071" s="215" t="n"/>
      <c r="AE1071" s="215" t="n"/>
      <c r="AF1071" s="215" t="n"/>
      <c r="AG1071" s="215" t="n"/>
      <c r="AH1071" s="215" t="n"/>
      <c r="AI1071" s="215" t="n"/>
      <c r="AJ1071" s="215" t="n"/>
      <c r="AK1071" s="216" t="n"/>
    </row>
    <row r="1072" ht="15" customHeight="1">
      <c r="B1072" s="134" t="n"/>
      <c r="C1072" s="105" t="n"/>
      <c r="D1072" s="105" t="n"/>
      <c r="E1072" s="105" t="n"/>
      <c r="F1072" s="105" t="n"/>
      <c r="G1072" s="105" t="n"/>
      <c r="H1072" s="2" t="n"/>
      <c r="I1072" s="105" t="n"/>
      <c r="K1072" s="215" t="n"/>
      <c r="L1072" s="215" t="n"/>
      <c r="M1072" s="215" t="n"/>
      <c r="N1072" s="215" t="n"/>
      <c r="O1072" s="215" t="n"/>
      <c r="P1072" s="215" t="n"/>
      <c r="Q1072" s="215" t="n"/>
      <c r="R1072" s="215" t="n"/>
      <c r="S1072" s="215" t="n"/>
      <c r="T1072" s="215" t="n"/>
      <c r="U1072" s="215" t="n"/>
      <c r="V1072" s="215" t="n"/>
      <c r="W1072" s="215" t="n"/>
      <c r="X1072" s="215" t="n"/>
      <c r="Y1072" s="215" t="n"/>
      <c r="Z1072" s="215" t="n"/>
      <c r="AA1072" s="215" t="n"/>
      <c r="AB1072" s="215" t="n"/>
      <c r="AC1072" s="215" t="n"/>
      <c r="AD1072" s="215" t="n"/>
      <c r="AE1072" s="215" t="n"/>
      <c r="AF1072" s="215" t="n"/>
      <c r="AG1072" s="215" t="n"/>
      <c r="AH1072" s="215" t="n"/>
      <c r="AI1072" s="215" t="n"/>
      <c r="AJ1072" s="215" t="n"/>
      <c r="AK1072" s="216" t="n"/>
    </row>
    <row r="1073" ht="15" customHeight="1">
      <c r="B1073" s="134" t="n"/>
      <c r="C1073" s="105" t="n"/>
      <c r="D1073" s="105" t="n"/>
      <c r="E1073" s="105" t="n"/>
      <c r="F1073" s="105" t="n"/>
      <c r="G1073" s="105" t="n"/>
      <c r="H1073" s="2" t="n"/>
      <c r="I1073" s="105" t="n"/>
      <c r="K1073" s="215" t="n"/>
      <c r="L1073" s="215" t="n"/>
      <c r="M1073" s="215" t="n"/>
      <c r="N1073" s="215" t="n"/>
      <c r="O1073" s="215" t="n"/>
      <c r="P1073" s="215" t="n"/>
      <c r="Q1073" s="215" t="n"/>
      <c r="R1073" s="215" t="n"/>
      <c r="S1073" s="215" t="n"/>
      <c r="T1073" s="215" t="n"/>
      <c r="U1073" s="215" t="n"/>
      <c r="V1073" s="215" t="n"/>
      <c r="W1073" s="215" t="n"/>
      <c r="X1073" s="215" t="n"/>
      <c r="Y1073" s="215" t="n"/>
      <c r="Z1073" s="215" t="n"/>
      <c r="AA1073" s="215" t="n"/>
      <c r="AB1073" s="215" t="n"/>
      <c r="AC1073" s="215" t="n"/>
      <c r="AD1073" s="215" t="n"/>
      <c r="AE1073" s="215" t="n"/>
      <c r="AF1073" s="215" t="n"/>
      <c r="AG1073" s="215" t="n"/>
      <c r="AH1073" s="215" t="n"/>
      <c r="AI1073" s="215" t="n"/>
      <c r="AJ1073" s="215" t="n"/>
      <c r="AK1073" s="216" t="n"/>
    </row>
    <row r="1074" ht="15" customHeight="1">
      <c r="B1074" s="134" t="n"/>
      <c r="C1074" s="105" t="n"/>
      <c r="D1074" s="105" t="n"/>
      <c r="E1074" s="105" t="n"/>
      <c r="F1074" s="105" t="n"/>
      <c r="G1074" s="105" t="n"/>
      <c r="H1074" s="2" t="n"/>
      <c r="I1074" s="105" t="n"/>
      <c r="K1074" s="215" t="n"/>
      <c r="L1074" s="215" t="n"/>
      <c r="M1074" s="215" t="n"/>
      <c r="N1074" s="215" t="n"/>
      <c r="O1074" s="215" t="n"/>
      <c r="P1074" s="215" t="n"/>
      <c r="Q1074" s="215" t="n"/>
      <c r="R1074" s="215" t="n"/>
      <c r="S1074" s="215" t="n"/>
      <c r="T1074" s="215" t="n"/>
      <c r="U1074" s="215" t="n"/>
      <c r="V1074" s="215" t="n"/>
      <c r="W1074" s="215" t="n"/>
      <c r="X1074" s="215" t="n"/>
      <c r="Y1074" s="215" t="n"/>
      <c r="Z1074" s="215" t="n"/>
      <c r="AA1074" s="215" t="n"/>
      <c r="AB1074" s="215" t="n"/>
      <c r="AC1074" s="215" t="n"/>
      <c r="AD1074" s="215" t="n"/>
      <c r="AE1074" s="215" t="n"/>
      <c r="AF1074" s="215" t="n"/>
      <c r="AG1074" s="215" t="n"/>
      <c r="AH1074" s="215" t="n"/>
      <c r="AI1074" s="215" t="n"/>
      <c r="AJ1074" s="215" t="n"/>
      <c r="AK1074" s="216" t="n"/>
    </row>
    <row r="1075" ht="15" customHeight="1">
      <c r="B1075" s="134" t="n"/>
      <c r="C1075" s="105" t="n"/>
      <c r="D1075" s="105" t="n"/>
      <c r="E1075" s="105" t="n"/>
      <c r="F1075" s="105" t="n"/>
      <c r="G1075" s="105" t="n"/>
      <c r="H1075" s="2" t="n"/>
      <c r="I1075" s="105" t="n"/>
      <c r="K1075" s="215" t="n"/>
      <c r="L1075" s="215" t="n"/>
      <c r="M1075" s="215" t="n"/>
      <c r="N1075" s="215" t="n"/>
      <c r="O1075" s="215" t="n"/>
      <c r="P1075" s="215" t="n"/>
      <c r="Q1075" s="215" t="n"/>
      <c r="R1075" s="215" t="n"/>
      <c r="S1075" s="215" t="n"/>
      <c r="T1075" s="215" t="n"/>
      <c r="U1075" s="215" t="n"/>
      <c r="V1075" s="215" t="n"/>
      <c r="W1075" s="215" t="n"/>
      <c r="X1075" s="215" t="n"/>
      <c r="Y1075" s="215" t="n"/>
      <c r="Z1075" s="215" t="n"/>
      <c r="AA1075" s="215" t="n"/>
      <c r="AB1075" s="215" t="n"/>
      <c r="AC1075" s="215" t="n"/>
      <c r="AD1075" s="215" t="n"/>
      <c r="AE1075" s="215" t="n"/>
      <c r="AF1075" s="215" t="n"/>
      <c r="AG1075" s="215" t="n"/>
      <c r="AH1075" s="215" t="n"/>
      <c r="AI1075" s="215" t="n"/>
      <c r="AJ1075" s="215" t="n"/>
      <c r="AK1075" s="216" t="n"/>
    </row>
    <row r="1076" ht="15" customHeight="1">
      <c r="B1076" s="134" t="n"/>
      <c r="C1076" s="105" t="n"/>
      <c r="D1076" s="105" t="n"/>
      <c r="E1076" s="105" t="n"/>
      <c r="F1076" s="105" t="n"/>
      <c r="G1076" s="105" t="n"/>
      <c r="H1076" s="2" t="n"/>
      <c r="I1076" s="105" t="n"/>
      <c r="K1076" s="215" t="n"/>
      <c r="L1076" s="215" t="n"/>
      <c r="M1076" s="215" t="n"/>
      <c r="N1076" s="215" t="n"/>
      <c r="O1076" s="215" t="n"/>
      <c r="P1076" s="215" t="n"/>
      <c r="Q1076" s="215" t="n"/>
      <c r="R1076" s="215" t="n"/>
      <c r="S1076" s="215" t="n"/>
      <c r="T1076" s="215" t="n"/>
      <c r="U1076" s="215" t="n"/>
      <c r="V1076" s="215" t="n"/>
      <c r="W1076" s="215" t="n"/>
      <c r="X1076" s="215" t="n"/>
      <c r="Y1076" s="215" t="n"/>
      <c r="Z1076" s="215" t="n"/>
      <c r="AA1076" s="215" t="n"/>
      <c r="AB1076" s="215" t="n"/>
      <c r="AC1076" s="215" t="n"/>
      <c r="AD1076" s="215" t="n"/>
      <c r="AE1076" s="215" t="n"/>
      <c r="AF1076" s="215" t="n"/>
      <c r="AG1076" s="215" t="n"/>
      <c r="AH1076" s="215" t="n"/>
      <c r="AI1076" s="215" t="n"/>
      <c r="AJ1076" s="215" t="n"/>
      <c r="AK1076" s="216" t="n"/>
    </row>
    <row r="1077" ht="15" customHeight="1">
      <c r="B1077" s="134" t="n"/>
      <c r="C1077" s="105" t="n"/>
      <c r="D1077" s="105" t="n"/>
      <c r="E1077" s="105" t="n"/>
      <c r="F1077" s="105" t="n"/>
      <c r="G1077" s="105" t="n"/>
      <c r="H1077" s="2" t="n"/>
      <c r="I1077" s="105" t="n"/>
      <c r="K1077" s="215" t="n"/>
      <c r="L1077" s="215" t="n"/>
      <c r="M1077" s="215" t="n"/>
      <c r="N1077" s="215" t="n"/>
      <c r="O1077" s="215" t="n"/>
      <c r="P1077" s="215" t="n"/>
      <c r="Q1077" s="215" t="n"/>
      <c r="R1077" s="215" t="n"/>
      <c r="S1077" s="215" t="n"/>
      <c r="T1077" s="215" t="n"/>
      <c r="U1077" s="215" t="n"/>
      <c r="V1077" s="215" t="n"/>
      <c r="W1077" s="215" t="n"/>
      <c r="X1077" s="215" t="n"/>
      <c r="Y1077" s="215" t="n"/>
      <c r="Z1077" s="215" t="n"/>
      <c r="AA1077" s="215" t="n"/>
      <c r="AB1077" s="215" t="n"/>
      <c r="AC1077" s="215" t="n"/>
      <c r="AD1077" s="215" t="n"/>
      <c r="AE1077" s="215" t="n"/>
      <c r="AF1077" s="215" t="n"/>
      <c r="AG1077" s="215" t="n"/>
      <c r="AH1077" s="215" t="n"/>
      <c r="AI1077" s="215" t="n"/>
      <c r="AJ1077" s="215" t="n"/>
      <c r="AK1077" s="216" t="n"/>
    </row>
    <row r="1078" ht="15" customHeight="1">
      <c r="B1078" s="134" t="n"/>
      <c r="C1078" s="105" t="n"/>
      <c r="D1078" s="105" t="n"/>
      <c r="E1078" s="105" t="n"/>
      <c r="F1078" s="105" t="n"/>
      <c r="G1078" s="105" t="n"/>
      <c r="H1078" s="2" t="n"/>
      <c r="I1078" s="105" t="n"/>
      <c r="K1078" s="215" t="n"/>
      <c r="L1078" s="215" t="n"/>
      <c r="M1078" s="215" t="n"/>
      <c r="N1078" s="215" t="n"/>
      <c r="O1078" s="215" t="n"/>
      <c r="P1078" s="215" t="n"/>
      <c r="Q1078" s="215" t="n"/>
      <c r="R1078" s="215" t="n"/>
      <c r="S1078" s="215" t="n"/>
      <c r="T1078" s="215" t="n"/>
      <c r="U1078" s="215" t="n"/>
      <c r="V1078" s="215" t="n"/>
      <c r="W1078" s="215" t="n"/>
      <c r="X1078" s="215" t="n"/>
      <c r="Y1078" s="215" t="n"/>
      <c r="Z1078" s="215" t="n"/>
      <c r="AA1078" s="215" t="n"/>
      <c r="AB1078" s="215" t="n"/>
      <c r="AC1078" s="215" t="n"/>
      <c r="AD1078" s="215" t="n"/>
      <c r="AE1078" s="215" t="n"/>
      <c r="AF1078" s="215" t="n"/>
      <c r="AG1078" s="215" t="n"/>
      <c r="AH1078" s="215" t="n"/>
      <c r="AI1078" s="215" t="n"/>
      <c r="AJ1078" s="215" t="n"/>
      <c r="AK1078" s="216" t="n"/>
    </row>
    <row r="1079" ht="15" customHeight="1">
      <c r="B1079" s="134" t="n"/>
      <c r="C1079" s="105" t="n"/>
      <c r="D1079" s="105" t="n"/>
      <c r="E1079" s="105" t="n"/>
      <c r="F1079" s="105" t="n"/>
      <c r="G1079" s="105" t="n"/>
      <c r="H1079" s="2" t="n"/>
      <c r="I1079" s="105" t="n"/>
      <c r="K1079" s="215" t="n"/>
      <c r="L1079" s="215" t="n"/>
      <c r="M1079" s="215" t="n"/>
      <c r="N1079" s="215" t="n"/>
      <c r="O1079" s="215" t="n"/>
      <c r="P1079" s="215" t="n"/>
      <c r="Q1079" s="215" t="n"/>
      <c r="R1079" s="215" t="n"/>
      <c r="S1079" s="215" t="n"/>
      <c r="T1079" s="215" t="n"/>
      <c r="U1079" s="215" t="n"/>
      <c r="V1079" s="215" t="n"/>
      <c r="W1079" s="215" t="n"/>
      <c r="X1079" s="215" t="n"/>
      <c r="Y1079" s="215" t="n"/>
      <c r="Z1079" s="215" t="n"/>
      <c r="AA1079" s="215" t="n"/>
      <c r="AB1079" s="215" t="n"/>
      <c r="AC1079" s="215" t="n"/>
      <c r="AD1079" s="215" t="n"/>
      <c r="AE1079" s="215" t="n"/>
      <c r="AF1079" s="215" t="n"/>
      <c r="AG1079" s="215" t="n"/>
      <c r="AH1079" s="215" t="n"/>
      <c r="AI1079" s="215" t="n"/>
      <c r="AJ1079" s="215" t="n"/>
      <c r="AK1079" s="216" t="n"/>
    </row>
    <row r="1080" ht="15" customHeight="1">
      <c r="B1080" s="134" t="n"/>
      <c r="C1080" s="105" t="n"/>
      <c r="D1080" s="105" t="n"/>
      <c r="E1080" s="105" t="n"/>
      <c r="F1080" s="105" t="n"/>
      <c r="G1080" s="105" t="n"/>
      <c r="H1080" s="2" t="n"/>
      <c r="I1080" s="105" t="n"/>
      <c r="K1080" s="215" t="n"/>
      <c r="L1080" s="215" t="n"/>
      <c r="M1080" s="215" t="n"/>
      <c r="N1080" s="215" t="n"/>
      <c r="O1080" s="215" t="n"/>
      <c r="P1080" s="215" t="n"/>
      <c r="Q1080" s="215" t="n"/>
      <c r="R1080" s="215" t="n"/>
      <c r="S1080" s="215" t="n"/>
      <c r="T1080" s="215" t="n"/>
      <c r="U1080" s="215" t="n"/>
      <c r="V1080" s="215" t="n"/>
      <c r="W1080" s="215" t="n"/>
      <c r="X1080" s="215" t="n"/>
      <c r="Y1080" s="215" t="n"/>
      <c r="Z1080" s="215" t="n"/>
      <c r="AA1080" s="215" t="n"/>
      <c r="AB1080" s="215" t="n"/>
      <c r="AC1080" s="215" t="n"/>
      <c r="AD1080" s="215" t="n"/>
      <c r="AE1080" s="215" t="n"/>
      <c r="AF1080" s="215" t="n"/>
      <c r="AG1080" s="215" t="n"/>
      <c r="AH1080" s="215" t="n"/>
      <c r="AI1080" s="215" t="n"/>
      <c r="AJ1080" s="215" t="n"/>
      <c r="AK1080" s="216" t="n"/>
    </row>
    <row r="1081" ht="15" customHeight="1">
      <c r="B1081" s="134" t="n"/>
      <c r="C1081" s="105" t="n"/>
      <c r="D1081" s="105" t="n"/>
      <c r="E1081" s="105" t="n"/>
      <c r="F1081" s="105" t="n"/>
      <c r="G1081" s="105" t="n"/>
      <c r="H1081" s="2" t="n"/>
      <c r="I1081" s="105" t="n"/>
      <c r="K1081" s="215" t="n"/>
      <c r="L1081" s="215" t="n"/>
      <c r="M1081" s="215" t="n"/>
      <c r="N1081" s="215" t="n"/>
      <c r="O1081" s="215" t="n"/>
      <c r="P1081" s="215" t="n"/>
      <c r="Q1081" s="215" t="n"/>
      <c r="R1081" s="215" t="n"/>
      <c r="S1081" s="215" t="n"/>
      <c r="T1081" s="215" t="n"/>
      <c r="U1081" s="215" t="n"/>
      <c r="V1081" s="215" t="n"/>
      <c r="W1081" s="215" t="n"/>
      <c r="X1081" s="215" t="n"/>
      <c r="Y1081" s="215" t="n"/>
      <c r="Z1081" s="215" t="n"/>
      <c r="AA1081" s="215" t="n"/>
      <c r="AB1081" s="215" t="n"/>
      <c r="AC1081" s="215" t="n"/>
      <c r="AD1081" s="215" t="n"/>
      <c r="AE1081" s="215" t="n"/>
      <c r="AF1081" s="215" t="n"/>
      <c r="AG1081" s="215" t="n"/>
      <c r="AH1081" s="215" t="n"/>
      <c r="AI1081" s="215" t="n"/>
      <c r="AJ1081" s="215" t="n"/>
      <c r="AK1081" s="216" t="n"/>
    </row>
    <row r="1082" ht="15" customHeight="1">
      <c r="B1082" s="134" t="n"/>
      <c r="C1082" s="105" t="n"/>
      <c r="D1082" s="105" t="n"/>
      <c r="E1082" s="105" t="n"/>
      <c r="F1082" s="105" t="n"/>
      <c r="G1082" s="105" t="n"/>
      <c r="H1082" s="2" t="n"/>
      <c r="I1082" s="105" t="n"/>
      <c r="K1082" s="215" t="n"/>
      <c r="L1082" s="215" t="n"/>
      <c r="M1082" s="215" t="n"/>
      <c r="N1082" s="215" t="n"/>
      <c r="O1082" s="215" t="n"/>
      <c r="P1082" s="215" t="n"/>
      <c r="Q1082" s="215" t="n"/>
      <c r="R1082" s="215" t="n"/>
      <c r="S1082" s="215" t="n"/>
      <c r="T1082" s="215" t="n"/>
      <c r="U1082" s="215" t="n"/>
      <c r="V1082" s="215" t="n"/>
      <c r="W1082" s="215" t="n"/>
      <c r="X1082" s="215" t="n"/>
      <c r="Y1082" s="215" t="n"/>
      <c r="Z1082" s="215" t="n"/>
      <c r="AA1082" s="215" t="n"/>
      <c r="AB1082" s="215" t="n"/>
      <c r="AC1082" s="215" t="n"/>
      <c r="AD1082" s="215" t="n"/>
      <c r="AE1082" s="215" t="n"/>
      <c r="AF1082" s="215" t="n"/>
      <c r="AG1082" s="215" t="n"/>
      <c r="AH1082" s="215" t="n"/>
      <c r="AI1082" s="215" t="n"/>
      <c r="AJ1082" s="215" t="n"/>
      <c r="AK1082" s="216" t="n"/>
    </row>
    <row r="1083" ht="15" customHeight="1">
      <c r="B1083" s="134" t="n"/>
      <c r="C1083" s="105" t="n"/>
      <c r="D1083" s="105" t="n"/>
      <c r="E1083" s="105" t="n"/>
      <c r="F1083" s="105" t="n"/>
      <c r="G1083" s="105" t="n"/>
      <c r="H1083" s="2" t="n"/>
      <c r="I1083" s="105" t="n"/>
      <c r="K1083" s="215" t="n"/>
      <c r="L1083" s="215" t="n"/>
      <c r="M1083" s="215" t="n"/>
      <c r="N1083" s="215" t="n"/>
      <c r="O1083" s="215" t="n"/>
      <c r="P1083" s="215" t="n"/>
      <c r="Q1083" s="215" t="n"/>
      <c r="R1083" s="215" t="n"/>
      <c r="S1083" s="215" t="n"/>
      <c r="T1083" s="215" t="n"/>
      <c r="U1083" s="215" t="n"/>
      <c r="V1083" s="215" t="n"/>
      <c r="W1083" s="215" t="n"/>
      <c r="X1083" s="215" t="n"/>
      <c r="Y1083" s="215" t="n"/>
      <c r="Z1083" s="215" t="n"/>
      <c r="AA1083" s="215" t="n"/>
      <c r="AB1083" s="215" t="n"/>
      <c r="AC1083" s="215" t="n"/>
      <c r="AD1083" s="215" t="n"/>
      <c r="AE1083" s="215" t="n"/>
      <c r="AF1083" s="215" t="n"/>
      <c r="AG1083" s="215" t="n"/>
      <c r="AH1083" s="215" t="n"/>
      <c r="AI1083" s="215" t="n"/>
      <c r="AJ1083" s="215" t="n"/>
      <c r="AK1083" s="216" t="n"/>
    </row>
    <row r="1084" ht="15" customHeight="1">
      <c r="B1084" s="134" t="n"/>
      <c r="C1084" s="105" t="n"/>
      <c r="D1084" s="105" t="n"/>
      <c r="E1084" s="105" t="n"/>
      <c r="F1084" s="105" t="n"/>
      <c r="G1084" s="105" t="n"/>
      <c r="H1084" s="2" t="n"/>
      <c r="I1084" s="105" t="n"/>
      <c r="K1084" s="215" t="n"/>
      <c r="L1084" s="215" t="n"/>
      <c r="M1084" s="215" t="n"/>
      <c r="N1084" s="215" t="n"/>
      <c r="O1084" s="215" t="n"/>
      <c r="P1084" s="215" t="n"/>
      <c r="Q1084" s="215" t="n"/>
      <c r="R1084" s="215" t="n"/>
      <c r="S1084" s="215" t="n"/>
      <c r="T1084" s="215" t="n"/>
      <c r="U1084" s="215" t="n"/>
      <c r="V1084" s="215" t="n"/>
      <c r="W1084" s="215" t="n"/>
      <c r="X1084" s="215" t="n"/>
      <c r="Y1084" s="215" t="n"/>
      <c r="Z1084" s="215" t="n"/>
      <c r="AA1084" s="215" t="n"/>
      <c r="AB1084" s="215" t="n"/>
      <c r="AC1084" s="215" t="n"/>
      <c r="AD1084" s="215" t="n"/>
      <c r="AE1084" s="215" t="n"/>
      <c r="AF1084" s="215" t="n"/>
      <c r="AG1084" s="215" t="n"/>
      <c r="AH1084" s="215" t="n"/>
      <c r="AI1084" s="215" t="n"/>
      <c r="AJ1084" s="215" t="n"/>
      <c r="AK1084" s="216" t="n"/>
    </row>
    <row r="1085" ht="15" customHeight="1">
      <c r="B1085" s="134" t="n"/>
      <c r="C1085" s="105" t="n"/>
      <c r="D1085" s="105" t="n"/>
      <c r="E1085" s="105" t="n"/>
      <c r="F1085" s="105" t="n"/>
      <c r="G1085" s="105" t="n"/>
      <c r="H1085" s="2" t="n"/>
      <c r="I1085" s="105" t="n"/>
      <c r="K1085" s="215" t="n"/>
      <c r="L1085" s="215" t="n"/>
      <c r="M1085" s="215" t="n"/>
      <c r="N1085" s="215" t="n"/>
      <c r="O1085" s="215" t="n"/>
      <c r="P1085" s="215" t="n"/>
      <c r="Q1085" s="215" t="n"/>
      <c r="R1085" s="215" t="n"/>
      <c r="S1085" s="215" t="n"/>
      <c r="T1085" s="215" t="n"/>
      <c r="U1085" s="215" t="n"/>
      <c r="V1085" s="215" t="n"/>
      <c r="W1085" s="215" t="n"/>
      <c r="X1085" s="215" t="n"/>
      <c r="Y1085" s="215" t="n"/>
      <c r="Z1085" s="215" t="n"/>
      <c r="AA1085" s="215" t="n"/>
      <c r="AB1085" s="215" t="n"/>
      <c r="AC1085" s="215" t="n"/>
      <c r="AD1085" s="215" t="n"/>
      <c r="AE1085" s="215" t="n"/>
      <c r="AF1085" s="215" t="n"/>
      <c r="AG1085" s="215" t="n"/>
      <c r="AH1085" s="215" t="n"/>
      <c r="AI1085" s="215" t="n"/>
      <c r="AJ1085" s="215" t="n"/>
      <c r="AK1085" s="216" t="n"/>
    </row>
    <row r="1086" ht="15" customHeight="1">
      <c r="B1086" s="134" t="n"/>
      <c r="C1086" s="105" t="n"/>
      <c r="D1086" s="105" t="n"/>
      <c r="E1086" s="105" t="n"/>
      <c r="F1086" s="105" t="n"/>
      <c r="G1086" s="105" t="n"/>
      <c r="H1086" s="2" t="n"/>
      <c r="I1086" s="105" t="n"/>
      <c r="K1086" s="215" t="n"/>
      <c r="L1086" s="215" t="n"/>
      <c r="M1086" s="215" t="n"/>
      <c r="N1086" s="215" t="n"/>
      <c r="O1086" s="215" t="n"/>
      <c r="P1086" s="215" t="n"/>
      <c r="Q1086" s="215" t="n"/>
      <c r="R1086" s="215" t="n"/>
      <c r="S1086" s="215" t="n"/>
      <c r="T1086" s="215" t="n"/>
      <c r="U1086" s="215" t="n"/>
      <c r="V1086" s="215" t="n"/>
      <c r="W1086" s="215" t="n"/>
      <c r="X1086" s="215" t="n"/>
      <c r="Y1086" s="215" t="n"/>
      <c r="Z1086" s="215" t="n"/>
      <c r="AA1086" s="215" t="n"/>
      <c r="AB1086" s="215" t="n"/>
      <c r="AC1086" s="215" t="n"/>
      <c r="AD1086" s="215" t="n"/>
      <c r="AE1086" s="215" t="n"/>
      <c r="AF1086" s="215" t="n"/>
      <c r="AG1086" s="215" t="n"/>
      <c r="AH1086" s="215" t="n"/>
      <c r="AI1086" s="215" t="n"/>
      <c r="AJ1086" s="215" t="n"/>
      <c r="AK1086" s="216" t="n"/>
    </row>
    <row r="1087" ht="15" customHeight="1">
      <c r="B1087" s="134" t="n"/>
      <c r="C1087" s="105" t="n"/>
      <c r="D1087" s="105" t="n"/>
      <c r="E1087" s="105" t="n"/>
      <c r="F1087" s="105" t="n"/>
      <c r="G1087" s="105" t="n"/>
      <c r="H1087" s="2" t="n"/>
      <c r="I1087" s="105" t="n"/>
      <c r="K1087" s="215" t="n"/>
      <c r="L1087" s="215" t="n"/>
      <c r="M1087" s="215" t="n"/>
      <c r="N1087" s="215" t="n"/>
      <c r="O1087" s="215" t="n"/>
      <c r="P1087" s="215" t="n"/>
      <c r="Q1087" s="215" t="n"/>
      <c r="R1087" s="215" t="n"/>
      <c r="S1087" s="215" t="n"/>
      <c r="T1087" s="215" t="n"/>
      <c r="U1087" s="215" t="n"/>
      <c r="V1087" s="215" t="n"/>
      <c r="W1087" s="215" t="n"/>
      <c r="X1087" s="215" t="n"/>
      <c r="Y1087" s="215" t="n"/>
      <c r="Z1087" s="215" t="n"/>
      <c r="AA1087" s="215" t="n"/>
      <c r="AB1087" s="215" t="n"/>
      <c r="AC1087" s="215" t="n"/>
      <c r="AD1087" s="215" t="n"/>
      <c r="AE1087" s="215" t="n"/>
      <c r="AF1087" s="215" t="n"/>
      <c r="AG1087" s="215" t="n"/>
      <c r="AH1087" s="215" t="n"/>
      <c r="AI1087" s="215" t="n"/>
      <c r="AJ1087" s="215" t="n"/>
      <c r="AK1087" s="216" t="n"/>
    </row>
    <row r="1088" ht="15" customHeight="1">
      <c r="B1088" s="134" t="n"/>
      <c r="C1088" s="105" t="n"/>
      <c r="D1088" s="105" t="n"/>
      <c r="E1088" s="105" t="n"/>
      <c r="F1088" s="105" t="n"/>
      <c r="G1088" s="105" t="n"/>
      <c r="H1088" s="2" t="n"/>
      <c r="I1088" s="105" t="n"/>
      <c r="K1088" s="215" t="n"/>
      <c r="L1088" s="215" t="n"/>
      <c r="M1088" s="215" t="n"/>
      <c r="N1088" s="215" t="n"/>
      <c r="O1088" s="215" t="n"/>
      <c r="P1088" s="215" t="n"/>
      <c r="Q1088" s="215" t="n"/>
      <c r="R1088" s="215" t="n"/>
      <c r="S1088" s="215" t="n"/>
      <c r="T1088" s="215" t="n"/>
      <c r="U1088" s="215" t="n"/>
      <c r="V1088" s="215" t="n"/>
      <c r="W1088" s="215" t="n"/>
      <c r="X1088" s="215" t="n"/>
      <c r="Y1088" s="215" t="n"/>
      <c r="Z1088" s="215" t="n"/>
      <c r="AA1088" s="215" t="n"/>
      <c r="AB1088" s="215" t="n"/>
      <c r="AC1088" s="215" t="n"/>
      <c r="AD1088" s="215" t="n"/>
      <c r="AE1088" s="215" t="n"/>
      <c r="AF1088" s="215" t="n"/>
      <c r="AG1088" s="215" t="n"/>
      <c r="AH1088" s="215" t="n"/>
      <c r="AI1088" s="215" t="n"/>
      <c r="AJ1088" s="215" t="n"/>
      <c r="AK1088" s="216" t="n"/>
    </row>
    <row r="1089" ht="15" customHeight="1">
      <c r="B1089" s="134" t="n"/>
      <c r="C1089" s="105" t="n"/>
      <c r="D1089" s="105" t="n"/>
      <c r="E1089" s="105" t="n"/>
      <c r="F1089" s="105" t="n"/>
      <c r="G1089" s="105" t="n"/>
      <c r="H1089" s="2" t="n"/>
      <c r="I1089" s="105" t="n"/>
      <c r="K1089" s="215" t="n"/>
      <c r="L1089" s="215" t="n"/>
      <c r="M1089" s="215" t="n"/>
      <c r="N1089" s="215" t="n"/>
      <c r="O1089" s="215" t="n"/>
      <c r="P1089" s="215" t="n"/>
      <c r="Q1089" s="215" t="n"/>
      <c r="R1089" s="215" t="n"/>
      <c r="S1089" s="215" t="n"/>
      <c r="T1089" s="215" t="n"/>
      <c r="U1089" s="215" t="n"/>
      <c r="V1089" s="215" t="n"/>
      <c r="W1089" s="215" t="n"/>
      <c r="X1089" s="215" t="n"/>
      <c r="Y1089" s="215" t="n"/>
      <c r="Z1089" s="215" t="n"/>
      <c r="AA1089" s="215" t="n"/>
      <c r="AB1089" s="215" t="n"/>
      <c r="AC1089" s="215" t="n"/>
      <c r="AD1089" s="215" t="n"/>
      <c r="AE1089" s="215" t="n"/>
      <c r="AF1089" s="215" t="n"/>
      <c r="AG1089" s="215" t="n"/>
      <c r="AH1089" s="215" t="n"/>
      <c r="AI1089" s="215" t="n"/>
      <c r="AJ1089" s="215" t="n"/>
      <c r="AK1089" s="216" t="n"/>
    </row>
    <row r="1090" ht="15" customHeight="1">
      <c r="B1090" s="134" t="n"/>
      <c r="C1090" s="105" t="n"/>
      <c r="D1090" s="105" t="n"/>
      <c r="E1090" s="105" t="n"/>
      <c r="F1090" s="105" t="n"/>
      <c r="G1090" s="105" t="n"/>
      <c r="H1090" s="2" t="n"/>
      <c r="I1090" s="105" t="n"/>
      <c r="K1090" s="215" t="n"/>
      <c r="L1090" s="215" t="n"/>
      <c r="M1090" s="215" t="n"/>
      <c r="N1090" s="215" t="n"/>
      <c r="O1090" s="215" t="n"/>
      <c r="P1090" s="215" t="n"/>
      <c r="Q1090" s="215" t="n"/>
      <c r="R1090" s="215" t="n"/>
      <c r="S1090" s="215" t="n"/>
      <c r="T1090" s="215" t="n"/>
      <c r="U1090" s="215" t="n"/>
      <c r="V1090" s="215" t="n"/>
      <c r="W1090" s="215" t="n"/>
      <c r="X1090" s="215" t="n"/>
      <c r="Y1090" s="215" t="n"/>
      <c r="Z1090" s="215" t="n"/>
      <c r="AA1090" s="215" t="n"/>
      <c r="AB1090" s="215" t="n"/>
      <c r="AC1090" s="215" t="n"/>
      <c r="AD1090" s="215" t="n"/>
      <c r="AE1090" s="215" t="n"/>
      <c r="AF1090" s="215" t="n"/>
      <c r="AG1090" s="215" t="n"/>
      <c r="AH1090" s="215" t="n"/>
      <c r="AI1090" s="215" t="n"/>
      <c r="AJ1090" s="215" t="n"/>
      <c r="AK1090" s="216" t="n"/>
    </row>
    <row r="1091" ht="15" customHeight="1">
      <c r="B1091" s="134" t="n"/>
      <c r="C1091" s="105" t="n"/>
      <c r="D1091" s="105" t="n"/>
      <c r="E1091" s="105" t="n"/>
      <c r="F1091" s="105" t="n"/>
      <c r="G1091" s="105" t="n"/>
      <c r="H1091" s="2" t="n"/>
      <c r="I1091" s="105" t="n"/>
      <c r="K1091" s="215" t="n"/>
      <c r="L1091" s="215" t="n"/>
      <c r="M1091" s="215" t="n"/>
      <c r="N1091" s="215" t="n"/>
      <c r="O1091" s="215" t="n"/>
      <c r="P1091" s="215" t="n"/>
      <c r="Q1091" s="215" t="n"/>
      <c r="R1091" s="215" t="n"/>
      <c r="S1091" s="215" t="n"/>
      <c r="T1091" s="215" t="n"/>
      <c r="U1091" s="215" t="n"/>
      <c r="V1091" s="215" t="n"/>
      <c r="W1091" s="215" t="n"/>
      <c r="X1091" s="215" t="n"/>
      <c r="Y1091" s="215" t="n"/>
      <c r="Z1091" s="215" t="n"/>
      <c r="AA1091" s="215" t="n"/>
      <c r="AB1091" s="215" t="n"/>
      <c r="AC1091" s="215" t="n"/>
      <c r="AD1091" s="215" t="n"/>
      <c r="AE1091" s="215" t="n"/>
      <c r="AF1091" s="215" t="n"/>
      <c r="AG1091" s="215" t="n"/>
      <c r="AH1091" s="215" t="n"/>
      <c r="AI1091" s="215" t="n"/>
      <c r="AJ1091" s="215" t="n"/>
      <c r="AK1091" s="216" t="n"/>
    </row>
    <row r="1092" ht="15" customHeight="1">
      <c r="B1092" s="134" t="n"/>
      <c r="C1092" s="105" t="n"/>
      <c r="D1092" s="105" t="n"/>
      <c r="E1092" s="105" t="n"/>
      <c r="F1092" s="105" t="n"/>
      <c r="G1092" s="105" t="n"/>
      <c r="H1092" s="2" t="n"/>
      <c r="I1092" s="105" t="n"/>
      <c r="K1092" s="215" t="n"/>
      <c r="L1092" s="215" t="n"/>
      <c r="M1092" s="215" t="n"/>
      <c r="N1092" s="215" t="n"/>
      <c r="O1092" s="215" t="n"/>
      <c r="P1092" s="215" t="n"/>
      <c r="Q1092" s="215" t="n"/>
      <c r="R1092" s="215" t="n"/>
      <c r="S1092" s="215" t="n"/>
      <c r="T1092" s="215" t="n"/>
      <c r="U1092" s="215" t="n"/>
      <c r="V1092" s="215" t="n"/>
      <c r="W1092" s="215" t="n"/>
      <c r="X1092" s="215" t="n"/>
      <c r="Y1092" s="215" t="n"/>
      <c r="Z1092" s="215" t="n"/>
      <c r="AA1092" s="215" t="n"/>
      <c r="AB1092" s="215" t="n"/>
      <c r="AC1092" s="215" t="n"/>
      <c r="AD1092" s="215" t="n"/>
      <c r="AE1092" s="215" t="n"/>
      <c r="AF1092" s="215" t="n"/>
      <c r="AG1092" s="215" t="n"/>
      <c r="AH1092" s="215" t="n"/>
      <c r="AI1092" s="215" t="n"/>
      <c r="AJ1092" s="215" t="n"/>
      <c r="AK1092" s="216" t="n"/>
    </row>
    <row r="1093" ht="15" customHeight="1">
      <c r="B1093" s="134" t="n"/>
      <c r="C1093" s="105" t="n"/>
      <c r="D1093" s="105" t="n"/>
      <c r="E1093" s="105" t="n"/>
      <c r="F1093" s="105" t="n"/>
      <c r="G1093" s="105" t="n"/>
      <c r="H1093" s="2" t="n"/>
      <c r="I1093" s="105" t="n"/>
      <c r="K1093" s="215" t="n"/>
      <c r="L1093" s="215" t="n"/>
      <c r="M1093" s="215" t="n"/>
      <c r="N1093" s="215" t="n"/>
      <c r="O1093" s="215" t="n"/>
      <c r="P1093" s="215" t="n"/>
      <c r="Q1093" s="215" t="n"/>
      <c r="R1093" s="215" t="n"/>
      <c r="S1093" s="215" t="n"/>
      <c r="T1093" s="215" t="n"/>
      <c r="U1093" s="215" t="n"/>
      <c r="V1093" s="215" t="n"/>
      <c r="W1093" s="215" t="n"/>
      <c r="X1093" s="215" t="n"/>
      <c r="Y1093" s="215" t="n"/>
      <c r="Z1093" s="215" t="n"/>
      <c r="AA1093" s="215" t="n"/>
      <c r="AB1093" s="215" t="n"/>
      <c r="AC1093" s="215" t="n"/>
      <c r="AD1093" s="215" t="n"/>
      <c r="AE1093" s="215" t="n"/>
      <c r="AF1093" s="215" t="n"/>
      <c r="AG1093" s="215" t="n"/>
      <c r="AH1093" s="215" t="n"/>
      <c r="AI1093" s="215" t="n"/>
      <c r="AJ1093" s="215" t="n"/>
      <c r="AK1093" s="216" t="n"/>
    </row>
    <row r="1094" ht="15" customHeight="1">
      <c r="B1094" s="134" t="n"/>
      <c r="C1094" s="105" t="n"/>
      <c r="D1094" s="105" t="n"/>
      <c r="E1094" s="105" t="n"/>
      <c r="F1094" s="105" t="n"/>
      <c r="G1094" s="105" t="n"/>
      <c r="H1094" s="2" t="n"/>
      <c r="I1094" s="105" t="n"/>
      <c r="K1094" s="215" t="n"/>
      <c r="L1094" s="215" t="n"/>
      <c r="M1094" s="215" t="n"/>
      <c r="N1094" s="215" t="n"/>
      <c r="O1094" s="215" t="n"/>
      <c r="P1094" s="215" t="n"/>
      <c r="Q1094" s="215" t="n"/>
      <c r="R1094" s="215" t="n"/>
      <c r="S1094" s="215" t="n"/>
      <c r="T1094" s="215" t="n"/>
      <c r="U1094" s="215" t="n"/>
      <c r="V1094" s="215" t="n"/>
      <c r="W1094" s="215" t="n"/>
      <c r="X1094" s="215" t="n"/>
      <c r="Y1094" s="215" t="n"/>
      <c r="Z1094" s="215" t="n"/>
      <c r="AA1094" s="215" t="n"/>
      <c r="AB1094" s="215" t="n"/>
      <c r="AC1094" s="215" t="n"/>
      <c r="AD1094" s="215" t="n"/>
      <c r="AE1094" s="215" t="n"/>
      <c r="AF1094" s="215" t="n"/>
      <c r="AG1094" s="215" t="n"/>
      <c r="AH1094" s="215" t="n"/>
      <c r="AI1094" s="215" t="n"/>
      <c r="AJ1094" s="215" t="n"/>
      <c r="AK1094" s="216" t="n"/>
    </row>
    <row r="1095" ht="15" customHeight="1">
      <c r="B1095" s="134" t="n"/>
      <c r="C1095" s="105" t="n"/>
      <c r="D1095" s="105" t="n"/>
      <c r="E1095" s="105" t="n"/>
      <c r="F1095" s="105" t="n"/>
      <c r="G1095" s="105" t="n"/>
      <c r="H1095" s="2" t="n"/>
      <c r="I1095" s="105" t="n"/>
      <c r="K1095" s="215" t="n"/>
      <c r="L1095" s="215" t="n"/>
      <c r="M1095" s="215" t="n"/>
      <c r="N1095" s="215" t="n"/>
      <c r="O1095" s="215" t="n"/>
      <c r="P1095" s="215" t="n"/>
      <c r="Q1095" s="215" t="n"/>
      <c r="R1095" s="215" t="n"/>
      <c r="S1095" s="215" t="n"/>
      <c r="T1095" s="215" t="n"/>
      <c r="U1095" s="215" t="n"/>
      <c r="V1095" s="215" t="n"/>
      <c r="W1095" s="215" t="n"/>
      <c r="X1095" s="215" t="n"/>
      <c r="Y1095" s="215" t="n"/>
      <c r="Z1095" s="215" t="n"/>
      <c r="AA1095" s="215" t="n"/>
      <c r="AB1095" s="215" t="n"/>
      <c r="AC1095" s="215" t="n"/>
      <c r="AD1095" s="215" t="n"/>
      <c r="AE1095" s="215" t="n"/>
      <c r="AF1095" s="215" t="n"/>
      <c r="AG1095" s="215" t="n"/>
      <c r="AH1095" s="215" t="n"/>
      <c r="AI1095" s="215" t="n"/>
      <c r="AJ1095" s="215" t="n"/>
      <c r="AK1095" s="216" t="n"/>
    </row>
    <row r="1096" ht="15" customHeight="1">
      <c r="B1096" s="134" t="n"/>
      <c r="C1096" s="105" t="n"/>
      <c r="D1096" s="105" t="n"/>
      <c r="E1096" s="105" t="n"/>
      <c r="F1096" s="105" t="n"/>
      <c r="G1096" s="105" t="n"/>
      <c r="H1096" s="2" t="n"/>
      <c r="I1096" s="105" t="n"/>
      <c r="K1096" s="215" t="n"/>
      <c r="L1096" s="215" t="n"/>
      <c r="M1096" s="215" t="n"/>
      <c r="N1096" s="215" t="n"/>
      <c r="O1096" s="215" t="n"/>
      <c r="P1096" s="215" t="n"/>
      <c r="Q1096" s="215" t="n"/>
      <c r="R1096" s="215" t="n"/>
      <c r="S1096" s="215" t="n"/>
      <c r="T1096" s="215" t="n"/>
      <c r="U1096" s="215" t="n"/>
      <c r="V1096" s="215" t="n"/>
      <c r="W1096" s="215" t="n"/>
      <c r="X1096" s="215" t="n"/>
      <c r="Y1096" s="215" t="n"/>
      <c r="Z1096" s="215" t="n"/>
      <c r="AA1096" s="215" t="n"/>
      <c r="AB1096" s="215" t="n"/>
      <c r="AC1096" s="215" t="n"/>
      <c r="AD1096" s="215" t="n"/>
      <c r="AE1096" s="215" t="n"/>
      <c r="AF1096" s="215" t="n"/>
      <c r="AG1096" s="215" t="n"/>
      <c r="AH1096" s="215" t="n"/>
      <c r="AI1096" s="215" t="n"/>
      <c r="AJ1096" s="215" t="n"/>
      <c r="AK1096" s="216" t="n"/>
    </row>
    <row r="1097" ht="15" customHeight="1">
      <c r="B1097" s="134" t="n"/>
      <c r="C1097" s="105" t="n"/>
      <c r="D1097" s="105" t="n"/>
      <c r="E1097" s="105" t="n"/>
      <c r="F1097" s="105" t="n"/>
      <c r="G1097" s="105" t="n"/>
      <c r="H1097" s="2" t="n"/>
      <c r="I1097" s="105" t="n"/>
      <c r="K1097" s="215" t="n"/>
      <c r="L1097" s="215" t="n"/>
      <c r="M1097" s="215" t="n"/>
      <c r="N1097" s="215" t="n"/>
      <c r="O1097" s="215" t="n"/>
      <c r="P1097" s="215" t="n"/>
      <c r="Q1097" s="215" t="n"/>
      <c r="R1097" s="215" t="n"/>
      <c r="S1097" s="215" t="n"/>
      <c r="T1097" s="215" t="n"/>
      <c r="U1097" s="215" t="n"/>
      <c r="V1097" s="215" t="n"/>
      <c r="W1097" s="215" t="n"/>
      <c r="X1097" s="215" t="n"/>
      <c r="Y1097" s="215" t="n"/>
      <c r="Z1097" s="215" t="n"/>
      <c r="AA1097" s="215" t="n"/>
      <c r="AB1097" s="215" t="n"/>
      <c r="AC1097" s="215" t="n"/>
      <c r="AD1097" s="215" t="n"/>
      <c r="AE1097" s="215" t="n"/>
      <c r="AF1097" s="215" t="n"/>
      <c r="AG1097" s="215" t="n"/>
      <c r="AH1097" s="215" t="n"/>
      <c r="AI1097" s="215" t="n"/>
      <c r="AJ1097" s="215" t="n"/>
      <c r="AK1097" s="216" t="n"/>
    </row>
    <row r="1098" ht="15" customHeight="1">
      <c r="B1098" s="134" t="n"/>
      <c r="C1098" s="105" t="n"/>
      <c r="D1098" s="105" t="n"/>
      <c r="E1098" s="105" t="n"/>
      <c r="F1098" s="105" t="n"/>
      <c r="G1098" s="105" t="n"/>
      <c r="H1098" s="2" t="n"/>
      <c r="I1098" s="105" t="n"/>
      <c r="K1098" s="215" t="n"/>
      <c r="L1098" s="215" t="n"/>
      <c r="M1098" s="215" t="n"/>
      <c r="N1098" s="215" t="n"/>
      <c r="O1098" s="215" t="n"/>
      <c r="P1098" s="215" t="n"/>
      <c r="Q1098" s="215" t="n"/>
      <c r="R1098" s="215" t="n"/>
      <c r="S1098" s="215" t="n"/>
      <c r="T1098" s="215" t="n"/>
      <c r="U1098" s="215" t="n"/>
      <c r="V1098" s="215" t="n"/>
      <c r="W1098" s="215" t="n"/>
      <c r="X1098" s="215" t="n"/>
      <c r="Y1098" s="215" t="n"/>
      <c r="Z1098" s="215" t="n"/>
      <c r="AA1098" s="215" t="n"/>
      <c r="AB1098" s="215" t="n"/>
      <c r="AC1098" s="215" t="n"/>
      <c r="AD1098" s="215" t="n"/>
      <c r="AE1098" s="215" t="n"/>
      <c r="AF1098" s="215" t="n"/>
      <c r="AG1098" s="215" t="n"/>
      <c r="AH1098" s="215" t="n"/>
      <c r="AI1098" s="215" t="n"/>
      <c r="AJ1098" s="215" t="n"/>
      <c r="AK1098" s="216" t="n"/>
    </row>
    <row r="1099" ht="15" customHeight="1">
      <c r="B1099" s="134" t="n"/>
      <c r="C1099" s="105" t="n"/>
      <c r="D1099" s="105" t="n"/>
      <c r="E1099" s="105" t="n"/>
      <c r="F1099" s="105" t="n"/>
      <c r="G1099" s="105" t="n"/>
      <c r="H1099" s="2" t="n"/>
      <c r="I1099" s="105" t="n"/>
      <c r="K1099" s="215" t="n"/>
      <c r="L1099" s="215" t="n"/>
      <c r="M1099" s="215" t="n"/>
      <c r="N1099" s="215" t="n"/>
      <c r="O1099" s="215" t="n"/>
      <c r="P1099" s="215" t="n"/>
      <c r="Q1099" s="215" t="n"/>
      <c r="R1099" s="215" t="n"/>
      <c r="S1099" s="215" t="n"/>
      <c r="T1099" s="215" t="n"/>
      <c r="U1099" s="215" t="n"/>
      <c r="V1099" s="215" t="n"/>
      <c r="W1099" s="215" t="n"/>
      <c r="X1099" s="215" t="n"/>
      <c r="Y1099" s="215" t="n"/>
      <c r="Z1099" s="215" t="n"/>
      <c r="AA1099" s="215" t="n"/>
      <c r="AB1099" s="215" t="n"/>
      <c r="AC1099" s="215" t="n"/>
      <c r="AD1099" s="215" t="n"/>
      <c r="AE1099" s="215" t="n"/>
      <c r="AF1099" s="215" t="n"/>
      <c r="AG1099" s="215" t="n"/>
      <c r="AH1099" s="215" t="n"/>
      <c r="AI1099" s="215" t="n"/>
      <c r="AJ1099" s="215" t="n"/>
      <c r="AK1099" s="216" t="n"/>
    </row>
    <row r="1100" ht="15" customHeight="1">
      <c r="B1100" s="134" t="n"/>
      <c r="C1100" s="105" t="n"/>
      <c r="D1100" s="105" t="n"/>
      <c r="E1100" s="105" t="n"/>
      <c r="F1100" s="105" t="n"/>
      <c r="G1100" s="105" t="n"/>
      <c r="H1100" s="2" t="n"/>
      <c r="I1100" s="105" t="n"/>
      <c r="K1100" s="215" t="n"/>
      <c r="L1100" s="215" t="n"/>
      <c r="M1100" s="215" t="n"/>
      <c r="N1100" s="215" t="n"/>
      <c r="O1100" s="215" t="n"/>
      <c r="P1100" s="215" t="n"/>
      <c r="Q1100" s="215" t="n"/>
      <c r="R1100" s="215" t="n"/>
      <c r="S1100" s="215" t="n"/>
      <c r="T1100" s="215" t="n"/>
      <c r="U1100" s="215" t="n"/>
      <c r="V1100" s="215" t="n"/>
      <c r="W1100" s="215" t="n"/>
      <c r="X1100" s="215" t="n"/>
      <c r="Y1100" s="215" t="n"/>
      <c r="Z1100" s="215" t="n"/>
      <c r="AA1100" s="215" t="n"/>
      <c r="AB1100" s="215" t="n"/>
      <c r="AC1100" s="215" t="n"/>
      <c r="AD1100" s="215" t="n"/>
      <c r="AE1100" s="215" t="n"/>
      <c r="AF1100" s="215" t="n"/>
      <c r="AG1100" s="215" t="n"/>
      <c r="AH1100" s="215" t="n"/>
      <c r="AI1100" s="215" t="n"/>
      <c r="AJ1100" s="215" t="n"/>
      <c r="AK1100" s="216" t="n"/>
    </row>
    <row r="1101" ht="15" customHeight="1">
      <c r="B1101" s="134" t="n"/>
      <c r="C1101" s="105" t="n"/>
      <c r="D1101" s="105" t="n"/>
      <c r="E1101" s="105" t="n"/>
      <c r="F1101" s="105" t="n"/>
      <c r="G1101" s="105" t="n"/>
      <c r="H1101" s="2" t="n"/>
      <c r="I1101" s="105" t="n"/>
      <c r="K1101" s="215" t="n"/>
      <c r="L1101" s="215" t="n"/>
      <c r="M1101" s="215" t="n"/>
      <c r="N1101" s="215" t="n"/>
      <c r="O1101" s="215" t="n"/>
      <c r="P1101" s="215" t="n"/>
      <c r="Q1101" s="215" t="n"/>
      <c r="R1101" s="215" t="n"/>
      <c r="S1101" s="215" t="n"/>
      <c r="T1101" s="215" t="n"/>
      <c r="U1101" s="215" t="n"/>
      <c r="V1101" s="215" t="n"/>
      <c r="W1101" s="215" t="n"/>
      <c r="X1101" s="215" t="n"/>
      <c r="Y1101" s="215" t="n"/>
      <c r="Z1101" s="215" t="n"/>
      <c r="AA1101" s="215" t="n"/>
      <c r="AB1101" s="215" t="n"/>
      <c r="AC1101" s="215" t="n"/>
      <c r="AD1101" s="215" t="n"/>
      <c r="AE1101" s="215" t="n"/>
      <c r="AF1101" s="215" t="n"/>
      <c r="AG1101" s="215" t="n"/>
      <c r="AH1101" s="215" t="n"/>
      <c r="AI1101" s="215" t="n"/>
      <c r="AJ1101" s="215" t="n"/>
      <c r="AK1101" s="216" t="n"/>
    </row>
    <row r="1102" ht="15" customHeight="1">
      <c r="B1102" s="134" t="n"/>
      <c r="C1102" s="105" t="n"/>
      <c r="D1102" s="105" t="n"/>
      <c r="E1102" s="105" t="n"/>
      <c r="F1102" s="105" t="n"/>
      <c r="G1102" s="105" t="n"/>
      <c r="H1102" s="2" t="n"/>
      <c r="I1102" s="105" t="n"/>
      <c r="K1102" s="215" t="n"/>
      <c r="L1102" s="215" t="n"/>
      <c r="M1102" s="215" t="n"/>
      <c r="N1102" s="215" t="n"/>
      <c r="O1102" s="215" t="n"/>
      <c r="P1102" s="215" t="n"/>
      <c r="Q1102" s="215" t="n"/>
      <c r="R1102" s="215" t="n"/>
      <c r="S1102" s="215" t="n"/>
      <c r="T1102" s="215" t="n"/>
      <c r="U1102" s="215" t="n"/>
      <c r="V1102" s="215" t="n"/>
      <c r="W1102" s="215" t="n"/>
      <c r="X1102" s="215" t="n"/>
      <c r="Y1102" s="215" t="n"/>
      <c r="Z1102" s="215" t="n"/>
      <c r="AA1102" s="215" t="n"/>
      <c r="AB1102" s="215" t="n"/>
      <c r="AC1102" s="215" t="n"/>
      <c r="AD1102" s="215" t="n"/>
      <c r="AE1102" s="215" t="n"/>
      <c r="AF1102" s="215" t="n"/>
      <c r="AG1102" s="215" t="n"/>
      <c r="AH1102" s="215" t="n"/>
      <c r="AI1102" s="215" t="n"/>
      <c r="AJ1102" s="215" t="n"/>
      <c r="AK1102" s="216" t="n"/>
    </row>
    <row r="1103" ht="15" customHeight="1">
      <c r="B1103" s="134" t="n"/>
      <c r="C1103" s="105" t="n"/>
      <c r="D1103" s="105" t="n"/>
      <c r="E1103" s="105" t="n"/>
      <c r="F1103" s="105" t="n"/>
      <c r="G1103" s="105" t="n"/>
      <c r="H1103" s="2" t="n"/>
      <c r="I1103" s="105" t="n"/>
      <c r="K1103" s="215" t="n"/>
      <c r="L1103" s="215" t="n"/>
      <c r="M1103" s="215" t="n"/>
      <c r="N1103" s="215" t="n"/>
      <c r="O1103" s="215" t="n"/>
      <c r="P1103" s="215" t="n"/>
      <c r="Q1103" s="215" t="n"/>
      <c r="R1103" s="215" t="n"/>
      <c r="S1103" s="215" t="n"/>
      <c r="T1103" s="215" t="n"/>
      <c r="U1103" s="215" t="n"/>
      <c r="V1103" s="215" t="n"/>
      <c r="W1103" s="215" t="n"/>
      <c r="X1103" s="215" t="n"/>
      <c r="Y1103" s="215" t="n"/>
      <c r="Z1103" s="215" t="n"/>
      <c r="AA1103" s="215" t="n"/>
      <c r="AB1103" s="215" t="n"/>
      <c r="AC1103" s="215" t="n"/>
      <c r="AD1103" s="215" t="n"/>
      <c r="AE1103" s="215" t="n"/>
      <c r="AF1103" s="215" t="n"/>
      <c r="AG1103" s="215" t="n"/>
      <c r="AH1103" s="215" t="n"/>
      <c r="AI1103" s="215" t="n"/>
      <c r="AJ1103" s="215" t="n"/>
      <c r="AK1103" s="216" t="n"/>
    </row>
    <row r="1104" ht="15" customHeight="1">
      <c r="B1104" s="134" t="n"/>
      <c r="C1104" s="105" t="n"/>
      <c r="D1104" s="105" t="n"/>
      <c r="E1104" s="105" t="n"/>
      <c r="F1104" s="105" t="n"/>
      <c r="G1104" s="105" t="n"/>
      <c r="H1104" s="2" t="n"/>
      <c r="I1104" s="105" t="n"/>
      <c r="K1104" s="215" t="n"/>
      <c r="L1104" s="215" t="n"/>
      <c r="M1104" s="215" t="n"/>
      <c r="N1104" s="215" t="n"/>
      <c r="O1104" s="215" t="n"/>
      <c r="P1104" s="215" t="n"/>
      <c r="Q1104" s="215" t="n"/>
      <c r="R1104" s="215" t="n"/>
      <c r="S1104" s="215" t="n"/>
      <c r="T1104" s="215" t="n"/>
      <c r="U1104" s="215" t="n"/>
      <c r="V1104" s="215" t="n"/>
      <c r="W1104" s="215" t="n"/>
      <c r="X1104" s="215" t="n"/>
      <c r="Y1104" s="215" t="n"/>
      <c r="Z1104" s="215" t="n"/>
      <c r="AA1104" s="215" t="n"/>
      <c r="AB1104" s="215" t="n"/>
      <c r="AC1104" s="215" t="n"/>
      <c r="AD1104" s="215" t="n"/>
      <c r="AE1104" s="215" t="n"/>
      <c r="AF1104" s="215" t="n"/>
      <c r="AG1104" s="215" t="n"/>
      <c r="AH1104" s="215" t="n"/>
      <c r="AI1104" s="215" t="n"/>
      <c r="AJ1104" s="215" t="n"/>
      <c r="AK1104" s="216" t="n"/>
    </row>
    <row r="1105" ht="15" customHeight="1">
      <c r="B1105" s="134" t="n"/>
      <c r="C1105" s="105" t="n"/>
      <c r="D1105" s="105" t="n"/>
      <c r="E1105" s="105" t="n"/>
      <c r="F1105" s="105" t="n"/>
      <c r="G1105" s="105" t="n"/>
      <c r="H1105" s="2" t="n"/>
      <c r="I1105" s="105" t="n"/>
      <c r="K1105" s="215" t="n"/>
      <c r="L1105" s="215" t="n"/>
      <c r="M1105" s="215" t="n"/>
      <c r="N1105" s="215" t="n"/>
      <c r="O1105" s="215" t="n"/>
      <c r="P1105" s="215" t="n"/>
      <c r="Q1105" s="215" t="n"/>
      <c r="R1105" s="215" t="n"/>
      <c r="S1105" s="215" t="n"/>
      <c r="T1105" s="215" t="n"/>
      <c r="U1105" s="215" t="n"/>
      <c r="V1105" s="215" t="n"/>
      <c r="W1105" s="215" t="n"/>
      <c r="X1105" s="215" t="n"/>
      <c r="Y1105" s="215" t="n"/>
      <c r="Z1105" s="215" t="n"/>
      <c r="AA1105" s="215" t="n"/>
      <c r="AB1105" s="215" t="n"/>
      <c r="AC1105" s="215" t="n"/>
      <c r="AD1105" s="215" t="n"/>
      <c r="AE1105" s="215" t="n"/>
      <c r="AF1105" s="215" t="n"/>
      <c r="AG1105" s="215" t="n"/>
      <c r="AH1105" s="215" t="n"/>
      <c r="AI1105" s="215" t="n"/>
      <c r="AJ1105" s="215" t="n"/>
      <c r="AK1105" s="216" t="n"/>
    </row>
    <row r="1106" ht="15" customHeight="1">
      <c r="B1106" s="134" t="n"/>
      <c r="C1106" s="105" t="n"/>
      <c r="D1106" s="105" t="n"/>
      <c r="E1106" s="105" t="n"/>
      <c r="F1106" s="105" t="n"/>
      <c r="G1106" s="105" t="n"/>
      <c r="H1106" s="2" t="n"/>
      <c r="I1106" s="105" t="n"/>
      <c r="K1106" s="215" t="n"/>
      <c r="L1106" s="215" t="n"/>
      <c r="M1106" s="215" t="n"/>
      <c r="N1106" s="215" t="n"/>
      <c r="O1106" s="215" t="n"/>
      <c r="P1106" s="215" t="n"/>
      <c r="Q1106" s="215" t="n"/>
      <c r="R1106" s="215" t="n"/>
      <c r="S1106" s="215" t="n"/>
      <c r="T1106" s="215" t="n"/>
      <c r="U1106" s="215" t="n"/>
      <c r="V1106" s="215" t="n"/>
      <c r="W1106" s="215" t="n"/>
      <c r="X1106" s="215" t="n"/>
      <c r="Y1106" s="215" t="n"/>
      <c r="Z1106" s="215" t="n"/>
      <c r="AA1106" s="215" t="n"/>
      <c r="AB1106" s="215" t="n"/>
      <c r="AC1106" s="215" t="n"/>
      <c r="AD1106" s="215" t="n"/>
      <c r="AE1106" s="215" t="n"/>
      <c r="AF1106" s="215" t="n"/>
      <c r="AG1106" s="215" t="n"/>
      <c r="AH1106" s="215" t="n"/>
      <c r="AI1106" s="215" t="n"/>
      <c r="AJ1106" s="215" t="n"/>
      <c r="AK1106" s="216" t="n"/>
    </row>
    <row r="1107" ht="15" customHeight="1">
      <c r="B1107" s="134" t="n"/>
      <c r="C1107" s="105" t="n"/>
      <c r="D1107" s="105" t="n"/>
      <c r="E1107" s="105" t="n"/>
      <c r="F1107" s="105" t="n"/>
      <c r="G1107" s="105" t="n"/>
      <c r="H1107" s="2" t="n"/>
      <c r="I1107" s="105" t="n"/>
      <c r="K1107" s="215" t="n"/>
      <c r="L1107" s="215" t="n"/>
      <c r="M1107" s="215" t="n"/>
      <c r="N1107" s="215" t="n"/>
      <c r="O1107" s="215" t="n"/>
      <c r="P1107" s="215" t="n"/>
      <c r="Q1107" s="215" t="n"/>
      <c r="R1107" s="215" t="n"/>
      <c r="S1107" s="215" t="n"/>
      <c r="T1107" s="215" t="n"/>
      <c r="U1107" s="215" t="n"/>
      <c r="V1107" s="215" t="n"/>
      <c r="W1107" s="215" t="n"/>
      <c r="X1107" s="215" t="n"/>
      <c r="Y1107" s="215" t="n"/>
      <c r="Z1107" s="215" t="n"/>
      <c r="AA1107" s="215" t="n"/>
      <c r="AB1107" s="215" t="n"/>
      <c r="AC1107" s="215" t="n"/>
      <c r="AD1107" s="215" t="n"/>
      <c r="AE1107" s="215" t="n"/>
      <c r="AF1107" s="215" t="n"/>
      <c r="AG1107" s="215" t="n"/>
      <c r="AH1107" s="215" t="n"/>
      <c r="AI1107" s="215" t="n"/>
      <c r="AJ1107" s="215" t="n"/>
      <c r="AK1107" s="216" t="n"/>
    </row>
    <row r="1108" ht="15" customHeight="1">
      <c r="B1108" s="134" t="n"/>
      <c r="C1108" s="105" t="n"/>
      <c r="D1108" s="105" t="n"/>
      <c r="E1108" s="105" t="n"/>
      <c r="F1108" s="105" t="n"/>
      <c r="G1108" s="105" t="n"/>
      <c r="H1108" s="2" t="n"/>
      <c r="I1108" s="105" t="n"/>
      <c r="K1108" s="215" t="n"/>
      <c r="L1108" s="215" t="n"/>
      <c r="M1108" s="215" t="n"/>
      <c r="N1108" s="215" t="n"/>
      <c r="O1108" s="215" t="n"/>
      <c r="P1108" s="215" t="n"/>
      <c r="Q1108" s="215" t="n"/>
      <c r="R1108" s="215" t="n"/>
      <c r="S1108" s="215" t="n"/>
      <c r="T1108" s="215" t="n"/>
      <c r="U1108" s="215" t="n"/>
      <c r="V1108" s="215" t="n"/>
      <c r="W1108" s="215" t="n"/>
      <c r="X1108" s="215" t="n"/>
      <c r="Y1108" s="215" t="n"/>
      <c r="Z1108" s="215" t="n"/>
      <c r="AA1108" s="215" t="n"/>
      <c r="AB1108" s="215" t="n"/>
      <c r="AC1108" s="215" t="n"/>
      <c r="AD1108" s="215" t="n"/>
      <c r="AE1108" s="215" t="n"/>
      <c r="AF1108" s="215" t="n"/>
      <c r="AG1108" s="215" t="n"/>
      <c r="AH1108" s="215" t="n"/>
      <c r="AI1108" s="215" t="n"/>
      <c r="AJ1108" s="215" t="n"/>
      <c r="AK1108" s="216" t="n"/>
    </row>
    <row r="1109" ht="15" customHeight="1">
      <c r="B1109" s="134" t="n"/>
      <c r="C1109" s="105" t="n"/>
      <c r="D1109" s="105" t="n"/>
      <c r="E1109" s="105" t="n"/>
      <c r="F1109" s="105" t="n"/>
      <c r="G1109" s="105" t="n"/>
      <c r="H1109" s="2" t="n"/>
      <c r="I1109" s="105" t="n"/>
      <c r="K1109" s="215" t="n"/>
      <c r="L1109" s="215" t="n"/>
      <c r="M1109" s="215" t="n"/>
      <c r="N1109" s="215" t="n"/>
      <c r="O1109" s="215" t="n"/>
      <c r="P1109" s="215" t="n"/>
      <c r="Q1109" s="215" t="n"/>
      <c r="R1109" s="215" t="n"/>
      <c r="S1109" s="215" t="n"/>
      <c r="T1109" s="215" t="n"/>
      <c r="U1109" s="215" t="n"/>
      <c r="V1109" s="215" t="n"/>
      <c r="W1109" s="215" t="n"/>
      <c r="X1109" s="215" t="n"/>
      <c r="Y1109" s="215" t="n"/>
      <c r="Z1109" s="215" t="n"/>
      <c r="AA1109" s="215" t="n"/>
      <c r="AB1109" s="215" t="n"/>
      <c r="AC1109" s="215" t="n"/>
      <c r="AD1109" s="215" t="n"/>
      <c r="AE1109" s="215" t="n"/>
      <c r="AF1109" s="215" t="n"/>
      <c r="AG1109" s="215" t="n"/>
      <c r="AH1109" s="215" t="n"/>
      <c r="AI1109" s="215" t="n"/>
      <c r="AJ1109" s="215" t="n"/>
      <c r="AK1109" s="216" t="n"/>
    </row>
    <row r="1110" ht="15" customHeight="1">
      <c r="B1110" s="134" t="n"/>
      <c r="C1110" s="105" t="n"/>
      <c r="D1110" s="105" t="n"/>
      <c r="E1110" s="105" t="n"/>
      <c r="F1110" s="105" t="n"/>
      <c r="G1110" s="105" t="n"/>
      <c r="H1110" s="2" t="n"/>
      <c r="I1110" s="105" t="n"/>
      <c r="K1110" s="215" t="n"/>
      <c r="L1110" s="215" t="n"/>
      <c r="M1110" s="215" t="n"/>
      <c r="N1110" s="215" t="n"/>
      <c r="O1110" s="215" t="n"/>
      <c r="P1110" s="215" t="n"/>
      <c r="Q1110" s="215" t="n"/>
      <c r="R1110" s="215" t="n"/>
      <c r="S1110" s="215" t="n"/>
      <c r="T1110" s="215" t="n"/>
      <c r="U1110" s="215" t="n"/>
      <c r="V1110" s="215" t="n"/>
      <c r="W1110" s="215" t="n"/>
      <c r="X1110" s="215" t="n"/>
      <c r="Y1110" s="215" t="n"/>
      <c r="Z1110" s="215" t="n"/>
      <c r="AA1110" s="215" t="n"/>
      <c r="AB1110" s="215" t="n"/>
      <c r="AC1110" s="215" t="n"/>
      <c r="AD1110" s="215" t="n"/>
      <c r="AE1110" s="215" t="n"/>
      <c r="AF1110" s="215" t="n"/>
      <c r="AG1110" s="215" t="n"/>
      <c r="AH1110" s="215" t="n"/>
      <c r="AI1110" s="215" t="n"/>
      <c r="AJ1110" s="215" t="n"/>
      <c r="AK1110" s="216" t="n"/>
    </row>
    <row r="1111" ht="15" customHeight="1">
      <c r="B1111" s="134" t="n"/>
      <c r="C1111" s="105" t="n"/>
      <c r="D1111" s="105" t="n"/>
      <c r="E1111" s="105" t="n"/>
      <c r="F1111" s="105" t="n"/>
      <c r="G1111" s="105" t="n"/>
      <c r="H1111" s="2" t="n"/>
      <c r="I1111" s="105" t="n"/>
      <c r="K1111" s="215" t="n"/>
      <c r="L1111" s="215" t="n"/>
      <c r="M1111" s="215" t="n"/>
      <c r="N1111" s="215" t="n"/>
      <c r="O1111" s="215" t="n"/>
      <c r="P1111" s="215" t="n"/>
      <c r="Q1111" s="215" t="n"/>
      <c r="R1111" s="215" t="n"/>
      <c r="S1111" s="215" t="n"/>
      <c r="T1111" s="215" t="n"/>
      <c r="U1111" s="215" t="n"/>
      <c r="V1111" s="215" t="n"/>
      <c r="W1111" s="215" t="n"/>
      <c r="X1111" s="215" t="n"/>
      <c r="Y1111" s="215" t="n"/>
      <c r="Z1111" s="215" t="n"/>
      <c r="AA1111" s="215" t="n"/>
      <c r="AB1111" s="215" t="n"/>
      <c r="AC1111" s="215" t="n"/>
      <c r="AD1111" s="215" t="n"/>
      <c r="AE1111" s="215" t="n"/>
      <c r="AF1111" s="215" t="n"/>
      <c r="AG1111" s="215" t="n"/>
      <c r="AH1111" s="215" t="n"/>
      <c r="AI1111" s="215" t="n"/>
      <c r="AJ1111" s="215" t="n"/>
      <c r="AK1111" s="216" t="n"/>
    </row>
    <row r="1112" ht="15" customHeight="1">
      <c r="B1112" s="134" t="n"/>
      <c r="C1112" s="105" t="n"/>
      <c r="D1112" s="105" t="n"/>
      <c r="E1112" s="105" t="n"/>
      <c r="F1112" s="105" t="n"/>
      <c r="G1112" s="105" t="n"/>
      <c r="H1112" s="2" t="n"/>
      <c r="I1112" s="105" t="n"/>
      <c r="K1112" s="215" t="n"/>
      <c r="L1112" s="215" t="n"/>
      <c r="M1112" s="215" t="n"/>
      <c r="N1112" s="215" t="n"/>
      <c r="O1112" s="215" t="n"/>
      <c r="P1112" s="215" t="n"/>
      <c r="Q1112" s="215" t="n"/>
      <c r="R1112" s="215" t="n"/>
      <c r="S1112" s="215" t="n"/>
      <c r="T1112" s="215" t="n"/>
      <c r="U1112" s="215" t="n"/>
      <c r="V1112" s="215" t="n"/>
      <c r="W1112" s="215" t="n"/>
      <c r="X1112" s="215" t="n"/>
      <c r="Y1112" s="215" t="n"/>
      <c r="Z1112" s="215" t="n"/>
      <c r="AA1112" s="215" t="n"/>
      <c r="AB1112" s="215" t="n"/>
      <c r="AC1112" s="215" t="n"/>
      <c r="AD1112" s="215" t="n"/>
      <c r="AE1112" s="215" t="n"/>
      <c r="AF1112" s="215" t="n"/>
      <c r="AG1112" s="215" t="n"/>
      <c r="AH1112" s="215" t="n"/>
      <c r="AI1112" s="215" t="n"/>
      <c r="AJ1112" s="215" t="n"/>
      <c r="AK1112" s="216" t="n"/>
    </row>
    <row r="1113" ht="15" customHeight="1">
      <c r="B1113" s="134" t="n"/>
      <c r="C1113" s="105" t="n"/>
      <c r="D1113" s="105" t="n"/>
      <c r="E1113" s="105" t="n"/>
      <c r="F1113" s="105" t="n"/>
      <c r="G1113" s="105" t="n"/>
      <c r="H1113" s="2" t="n"/>
      <c r="I1113" s="105" t="n"/>
      <c r="K1113" s="215" t="n"/>
      <c r="L1113" s="215" t="n"/>
      <c r="M1113" s="215" t="n"/>
      <c r="N1113" s="215" t="n"/>
      <c r="O1113" s="215" t="n"/>
      <c r="P1113" s="215" t="n"/>
      <c r="Q1113" s="215" t="n"/>
      <c r="R1113" s="215" t="n"/>
      <c r="S1113" s="215" t="n"/>
      <c r="T1113" s="215" t="n"/>
      <c r="U1113" s="215" t="n"/>
      <c r="V1113" s="215" t="n"/>
      <c r="W1113" s="215" t="n"/>
      <c r="X1113" s="215" t="n"/>
      <c r="Y1113" s="215" t="n"/>
      <c r="Z1113" s="215" t="n"/>
      <c r="AA1113" s="215" t="n"/>
      <c r="AB1113" s="215" t="n"/>
      <c r="AC1113" s="215" t="n"/>
      <c r="AD1113" s="215" t="n"/>
      <c r="AE1113" s="215" t="n"/>
      <c r="AF1113" s="215" t="n"/>
      <c r="AG1113" s="215" t="n"/>
      <c r="AH1113" s="215" t="n"/>
      <c r="AI1113" s="215" t="n"/>
      <c r="AJ1113" s="215" t="n"/>
      <c r="AK1113" s="216" t="n"/>
    </row>
    <row r="1114" ht="15" customHeight="1">
      <c r="B1114" s="134" t="n"/>
      <c r="C1114" s="105" t="n"/>
      <c r="D1114" s="105" t="n"/>
      <c r="E1114" s="105" t="n"/>
      <c r="F1114" s="105" t="n"/>
      <c r="G1114" s="105" t="n"/>
      <c r="H1114" s="2" t="n"/>
      <c r="I1114" s="105" t="n"/>
      <c r="K1114" s="215" t="n"/>
      <c r="L1114" s="215" t="n"/>
      <c r="M1114" s="215" t="n"/>
      <c r="N1114" s="215" t="n"/>
      <c r="O1114" s="215" t="n"/>
      <c r="P1114" s="215" t="n"/>
      <c r="Q1114" s="215" t="n"/>
      <c r="R1114" s="215" t="n"/>
      <c r="S1114" s="215" t="n"/>
      <c r="T1114" s="215" t="n"/>
      <c r="U1114" s="215" t="n"/>
      <c r="V1114" s="215" t="n"/>
      <c r="W1114" s="215" t="n"/>
      <c r="X1114" s="215" t="n"/>
      <c r="Y1114" s="215" t="n"/>
      <c r="Z1114" s="215" t="n"/>
      <c r="AA1114" s="215" t="n"/>
      <c r="AB1114" s="215" t="n"/>
      <c r="AC1114" s="215" t="n"/>
      <c r="AD1114" s="215" t="n"/>
      <c r="AE1114" s="215" t="n"/>
      <c r="AF1114" s="215" t="n"/>
      <c r="AG1114" s="215" t="n"/>
      <c r="AH1114" s="215" t="n"/>
      <c r="AI1114" s="215" t="n"/>
      <c r="AJ1114" s="215" t="n"/>
      <c r="AK1114" s="216" t="n"/>
    </row>
    <row r="1115" ht="15" customHeight="1">
      <c r="B1115" s="134" t="n"/>
      <c r="C1115" s="105" t="n"/>
      <c r="D1115" s="105" t="n"/>
      <c r="E1115" s="105" t="n"/>
      <c r="F1115" s="105" t="n"/>
      <c r="G1115" s="105" t="n"/>
      <c r="H1115" s="2" t="n"/>
      <c r="I1115" s="105" t="n"/>
      <c r="K1115" s="215" t="n"/>
      <c r="L1115" s="215" t="n"/>
      <c r="M1115" s="215" t="n"/>
      <c r="N1115" s="215" t="n"/>
      <c r="O1115" s="215" t="n"/>
      <c r="P1115" s="215" t="n"/>
      <c r="Q1115" s="215" t="n"/>
      <c r="R1115" s="215" t="n"/>
      <c r="S1115" s="215" t="n"/>
      <c r="T1115" s="215" t="n"/>
      <c r="U1115" s="215" t="n"/>
      <c r="V1115" s="215" t="n"/>
      <c r="W1115" s="215" t="n"/>
      <c r="X1115" s="215" t="n"/>
      <c r="Y1115" s="215" t="n"/>
      <c r="Z1115" s="215" t="n"/>
      <c r="AA1115" s="215" t="n"/>
      <c r="AB1115" s="215" t="n"/>
      <c r="AC1115" s="215" t="n"/>
      <c r="AD1115" s="215" t="n"/>
      <c r="AE1115" s="215" t="n"/>
      <c r="AF1115" s="215" t="n"/>
      <c r="AG1115" s="215" t="n"/>
      <c r="AH1115" s="215" t="n"/>
      <c r="AI1115" s="215" t="n"/>
      <c r="AJ1115" s="215" t="n"/>
      <c r="AK1115" s="216" t="n"/>
    </row>
    <row r="1116" ht="15" customHeight="1">
      <c r="B1116" s="134" t="n"/>
      <c r="C1116" s="105" t="n"/>
      <c r="D1116" s="105" t="n"/>
      <c r="E1116" s="105" t="n"/>
      <c r="F1116" s="105" t="n"/>
      <c r="G1116" s="105" t="n"/>
      <c r="H1116" s="2" t="n"/>
      <c r="I1116" s="105" t="n"/>
      <c r="K1116" s="215" t="n"/>
      <c r="L1116" s="215" t="n"/>
      <c r="M1116" s="215" t="n"/>
      <c r="N1116" s="215" t="n"/>
      <c r="O1116" s="215" t="n"/>
      <c r="P1116" s="215" t="n"/>
      <c r="Q1116" s="215" t="n"/>
      <c r="R1116" s="215" t="n"/>
      <c r="S1116" s="215" t="n"/>
      <c r="T1116" s="215" t="n"/>
      <c r="U1116" s="215" t="n"/>
      <c r="V1116" s="215" t="n"/>
      <c r="W1116" s="215" t="n"/>
      <c r="X1116" s="215" t="n"/>
      <c r="Y1116" s="215" t="n"/>
      <c r="Z1116" s="215" t="n"/>
      <c r="AA1116" s="215" t="n"/>
      <c r="AB1116" s="215" t="n"/>
      <c r="AC1116" s="215" t="n"/>
      <c r="AD1116" s="215" t="n"/>
      <c r="AE1116" s="215" t="n"/>
      <c r="AF1116" s="215" t="n"/>
      <c r="AG1116" s="215" t="n"/>
      <c r="AH1116" s="215" t="n"/>
      <c r="AI1116" s="215" t="n"/>
      <c r="AJ1116" s="215" t="n"/>
      <c r="AK1116" s="216" t="n"/>
    </row>
    <row r="1117" ht="15" customHeight="1">
      <c r="B1117" s="134" t="n"/>
      <c r="C1117" s="105" t="n"/>
      <c r="D1117" s="105" t="n"/>
      <c r="E1117" s="105" t="n"/>
      <c r="F1117" s="105" t="n"/>
      <c r="G1117" s="105" t="n"/>
      <c r="H1117" s="2" t="n"/>
      <c r="I1117" s="105" t="n"/>
      <c r="K1117" s="215" t="n"/>
      <c r="L1117" s="215" t="n"/>
      <c r="M1117" s="215" t="n"/>
      <c r="N1117" s="215" t="n"/>
      <c r="O1117" s="215" t="n"/>
      <c r="P1117" s="215" t="n"/>
      <c r="Q1117" s="215" t="n"/>
      <c r="R1117" s="215" t="n"/>
      <c r="S1117" s="215" t="n"/>
      <c r="T1117" s="215" t="n"/>
      <c r="U1117" s="215" t="n"/>
      <c r="V1117" s="215" t="n"/>
      <c r="W1117" s="215" t="n"/>
      <c r="X1117" s="215" t="n"/>
      <c r="Y1117" s="215" t="n"/>
      <c r="Z1117" s="215" t="n"/>
      <c r="AA1117" s="215" t="n"/>
      <c r="AB1117" s="215" t="n"/>
      <c r="AC1117" s="215" t="n"/>
      <c r="AD1117" s="215" t="n"/>
      <c r="AE1117" s="215" t="n"/>
      <c r="AF1117" s="215" t="n"/>
      <c r="AG1117" s="215" t="n"/>
      <c r="AH1117" s="215" t="n"/>
      <c r="AI1117" s="215" t="n"/>
      <c r="AJ1117" s="215" t="n"/>
      <c r="AK1117" s="216" t="n"/>
    </row>
    <row r="1118" ht="15" customHeight="1">
      <c r="B1118" s="134" t="n"/>
      <c r="C1118" s="105" t="n"/>
      <c r="D1118" s="105" t="n"/>
      <c r="E1118" s="105" t="n"/>
      <c r="F1118" s="105" t="n"/>
      <c r="G1118" s="105" t="n"/>
      <c r="H1118" s="2" t="n"/>
      <c r="I1118" s="105" t="n"/>
      <c r="K1118" s="215" t="n"/>
      <c r="L1118" s="215" t="n"/>
      <c r="M1118" s="215" t="n"/>
      <c r="N1118" s="215" t="n"/>
      <c r="O1118" s="215" t="n"/>
      <c r="P1118" s="215" t="n"/>
      <c r="Q1118" s="215" t="n"/>
      <c r="R1118" s="215" t="n"/>
      <c r="S1118" s="215" t="n"/>
      <c r="T1118" s="215" t="n"/>
      <c r="U1118" s="215" t="n"/>
      <c r="V1118" s="215" t="n"/>
      <c r="W1118" s="215" t="n"/>
      <c r="X1118" s="215" t="n"/>
      <c r="Y1118" s="215" t="n"/>
      <c r="Z1118" s="215" t="n"/>
      <c r="AA1118" s="215" t="n"/>
      <c r="AB1118" s="215" t="n"/>
      <c r="AC1118" s="215" t="n"/>
      <c r="AD1118" s="215" t="n"/>
      <c r="AE1118" s="215" t="n"/>
      <c r="AF1118" s="215" t="n"/>
      <c r="AG1118" s="215" t="n"/>
      <c r="AH1118" s="215" t="n"/>
      <c r="AI1118" s="215" t="n"/>
      <c r="AJ1118" s="215" t="n"/>
      <c r="AK1118" s="216" t="n"/>
    </row>
    <row r="1119" ht="15" customHeight="1">
      <c r="B1119" s="134" t="n"/>
      <c r="C1119" s="105" t="n"/>
      <c r="D1119" s="105" t="n"/>
      <c r="E1119" s="105" t="n"/>
      <c r="F1119" s="105" t="n"/>
      <c r="G1119" s="105" t="n"/>
      <c r="H1119" s="2" t="n"/>
      <c r="I1119" s="105" t="n"/>
      <c r="K1119" s="215" t="n"/>
      <c r="L1119" s="215" t="n"/>
      <c r="M1119" s="215" t="n"/>
      <c r="N1119" s="215" t="n"/>
      <c r="O1119" s="215" t="n"/>
      <c r="P1119" s="215" t="n"/>
      <c r="Q1119" s="215" t="n"/>
      <c r="R1119" s="215" t="n"/>
      <c r="S1119" s="215" t="n"/>
      <c r="T1119" s="215" t="n"/>
      <c r="U1119" s="215" t="n"/>
      <c r="V1119" s="215" t="n"/>
      <c r="W1119" s="215" t="n"/>
      <c r="X1119" s="215" t="n"/>
      <c r="Y1119" s="215" t="n"/>
      <c r="Z1119" s="215" t="n"/>
      <c r="AA1119" s="215" t="n"/>
      <c r="AB1119" s="215" t="n"/>
      <c r="AC1119" s="215" t="n"/>
      <c r="AD1119" s="215" t="n"/>
      <c r="AE1119" s="215" t="n"/>
      <c r="AF1119" s="215" t="n"/>
      <c r="AG1119" s="215" t="n"/>
      <c r="AH1119" s="215" t="n"/>
      <c r="AI1119" s="215" t="n"/>
      <c r="AJ1119" s="215" t="n"/>
      <c r="AK1119" s="216" t="n"/>
    </row>
    <row r="1120" ht="15" customHeight="1">
      <c r="B1120" s="134" t="n"/>
      <c r="C1120" s="105" t="n"/>
      <c r="D1120" s="105" t="n"/>
      <c r="E1120" s="105" t="n"/>
      <c r="F1120" s="105" t="n"/>
      <c r="G1120" s="105" t="n"/>
      <c r="H1120" s="2" t="n"/>
      <c r="I1120" s="105" t="n"/>
      <c r="K1120" s="215" t="n"/>
      <c r="L1120" s="215" t="n"/>
      <c r="M1120" s="215" t="n"/>
      <c r="N1120" s="215" t="n"/>
      <c r="O1120" s="215" t="n"/>
      <c r="P1120" s="215" t="n"/>
      <c r="Q1120" s="215" t="n"/>
      <c r="R1120" s="215" t="n"/>
      <c r="S1120" s="215" t="n"/>
      <c r="T1120" s="215" t="n"/>
      <c r="U1120" s="215" t="n"/>
      <c r="V1120" s="215" t="n"/>
      <c r="W1120" s="215" t="n"/>
      <c r="X1120" s="215" t="n"/>
      <c r="Y1120" s="215" t="n"/>
      <c r="Z1120" s="215" t="n"/>
      <c r="AA1120" s="215" t="n"/>
      <c r="AB1120" s="215" t="n"/>
      <c r="AC1120" s="215" t="n"/>
      <c r="AD1120" s="215" t="n"/>
      <c r="AE1120" s="215" t="n"/>
      <c r="AF1120" s="215" t="n"/>
      <c r="AG1120" s="215" t="n"/>
      <c r="AH1120" s="215" t="n"/>
      <c r="AI1120" s="215" t="n"/>
      <c r="AJ1120" s="215" t="n"/>
      <c r="AK1120" s="216" t="n"/>
    </row>
    <row r="1121" ht="15" customHeight="1">
      <c r="B1121" s="134" t="n"/>
      <c r="C1121" s="105" t="n"/>
      <c r="D1121" s="105" t="n"/>
      <c r="E1121" s="105" t="n"/>
      <c r="F1121" s="105" t="n"/>
      <c r="G1121" s="105" t="n"/>
      <c r="H1121" s="2" t="n"/>
      <c r="I1121" s="105" t="n"/>
      <c r="K1121" s="215" t="n"/>
      <c r="L1121" s="215" t="n"/>
      <c r="M1121" s="215" t="n"/>
      <c r="N1121" s="215" t="n"/>
      <c r="O1121" s="215" t="n"/>
      <c r="P1121" s="215" t="n"/>
      <c r="Q1121" s="215" t="n"/>
      <c r="R1121" s="215" t="n"/>
      <c r="S1121" s="215" t="n"/>
      <c r="T1121" s="215" t="n"/>
      <c r="U1121" s="215" t="n"/>
      <c r="V1121" s="215" t="n"/>
      <c r="W1121" s="215" t="n"/>
      <c r="X1121" s="215" t="n"/>
      <c r="Y1121" s="215" t="n"/>
      <c r="Z1121" s="215" t="n"/>
      <c r="AA1121" s="215" t="n"/>
      <c r="AB1121" s="215" t="n"/>
      <c r="AC1121" s="215" t="n"/>
      <c r="AD1121" s="215" t="n"/>
      <c r="AE1121" s="215" t="n"/>
      <c r="AF1121" s="215" t="n"/>
      <c r="AG1121" s="215" t="n"/>
      <c r="AH1121" s="215" t="n"/>
      <c r="AI1121" s="215" t="n"/>
      <c r="AJ1121" s="215" t="n"/>
      <c r="AK1121" s="216" t="n"/>
    </row>
    <row r="1122" ht="15" customHeight="1">
      <c r="B1122" s="134" t="n"/>
      <c r="C1122" s="105" t="n"/>
      <c r="D1122" s="105" t="n"/>
      <c r="E1122" s="105" t="n"/>
      <c r="F1122" s="105" t="n"/>
      <c r="G1122" s="105" t="n"/>
      <c r="H1122" s="2" t="n"/>
      <c r="I1122" s="105" t="n"/>
      <c r="K1122" s="215" t="n"/>
      <c r="L1122" s="215" t="n"/>
      <c r="M1122" s="215" t="n"/>
      <c r="N1122" s="215" t="n"/>
      <c r="O1122" s="215" t="n"/>
      <c r="P1122" s="215" t="n"/>
      <c r="Q1122" s="215" t="n"/>
      <c r="R1122" s="215" t="n"/>
      <c r="S1122" s="215" t="n"/>
      <c r="T1122" s="215" t="n"/>
      <c r="U1122" s="215" t="n"/>
      <c r="V1122" s="215" t="n"/>
      <c r="W1122" s="215" t="n"/>
      <c r="X1122" s="215" t="n"/>
      <c r="Y1122" s="215" t="n"/>
      <c r="Z1122" s="215" t="n"/>
      <c r="AA1122" s="215" t="n"/>
      <c r="AB1122" s="215" t="n"/>
      <c r="AC1122" s="215" t="n"/>
      <c r="AD1122" s="215" t="n"/>
      <c r="AE1122" s="215" t="n"/>
      <c r="AF1122" s="215" t="n"/>
      <c r="AG1122" s="215" t="n"/>
      <c r="AH1122" s="215" t="n"/>
      <c r="AI1122" s="215" t="n"/>
      <c r="AJ1122" s="215" t="n"/>
      <c r="AK1122" s="216" t="n"/>
    </row>
    <row r="1123" ht="15" customHeight="1">
      <c r="B1123" s="134" t="n"/>
      <c r="C1123" s="105" t="n"/>
      <c r="D1123" s="105" t="n"/>
      <c r="E1123" s="105" t="n"/>
      <c r="F1123" s="105" t="n"/>
      <c r="G1123" s="105" t="n"/>
      <c r="H1123" s="2" t="n"/>
      <c r="I1123" s="105" t="n"/>
      <c r="K1123" s="215" t="n"/>
      <c r="L1123" s="215" t="n"/>
      <c r="M1123" s="215" t="n"/>
      <c r="N1123" s="215" t="n"/>
      <c r="O1123" s="215" t="n"/>
      <c r="P1123" s="215" t="n"/>
      <c r="Q1123" s="215" t="n"/>
      <c r="R1123" s="215" t="n"/>
      <c r="S1123" s="215" t="n"/>
      <c r="T1123" s="215" t="n"/>
      <c r="U1123" s="215" t="n"/>
      <c r="V1123" s="215" t="n"/>
      <c r="W1123" s="215" t="n"/>
      <c r="X1123" s="215" t="n"/>
      <c r="Y1123" s="215" t="n"/>
      <c r="Z1123" s="215" t="n"/>
      <c r="AA1123" s="215" t="n"/>
      <c r="AB1123" s="215" t="n"/>
      <c r="AC1123" s="215" t="n"/>
      <c r="AD1123" s="215" t="n"/>
      <c r="AE1123" s="215" t="n"/>
      <c r="AF1123" s="215" t="n"/>
      <c r="AG1123" s="215" t="n"/>
      <c r="AH1123" s="215" t="n"/>
      <c r="AI1123" s="215" t="n"/>
      <c r="AJ1123" s="215" t="n"/>
      <c r="AK1123" s="216" t="n"/>
    </row>
    <row r="1124" ht="15" customHeight="1">
      <c r="B1124" s="134" t="n"/>
      <c r="C1124" s="105" t="n"/>
      <c r="D1124" s="105" t="n"/>
      <c r="E1124" s="105" t="n"/>
      <c r="F1124" s="105" t="n"/>
      <c r="G1124" s="105" t="n"/>
      <c r="H1124" s="2" t="n"/>
      <c r="I1124" s="105" t="n"/>
      <c r="K1124" s="215" t="n"/>
      <c r="L1124" s="215" t="n"/>
      <c r="M1124" s="215" t="n"/>
      <c r="N1124" s="215" t="n"/>
      <c r="O1124" s="215" t="n"/>
      <c r="P1124" s="215" t="n"/>
      <c r="Q1124" s="215" t="n"/>
      <c r="R1124" s="215" t="n"/>
      <c r="S1124" s="215" t="n"/>
      <c r="T1124" s="215" t="n"/>
      <c r="U1124" s="215" t="n"/>
      <c r="V1124" s="215" t="n"/>
      <c r="W1124" s="215" t="n"/>
      <c r="X1124" s="215" t="n"/>
      <c r="Y1124" s="215" t="n"/>
      <c r="Z1124" s="215" t="n"/>
      <c r="AA1124" s="215" t="n"/>
      <c r="AB1124" s="215" t="n"/>
      <c r="AC1124" s="215" t="n"/>
      <c r="AD1124" s="215" t="n"/>
      <c r="AE1124" s="215" t="n"/>
      <c r="AF1124" s="215" t="n"/>
      <c r="AG1124" s="215" t="n"/>
      <c r="AH1124" s="215" t="n"/>
      <c r="AI1124" s="215" t="n"/>
      <c r="AJ1124" s="215" t="n"/>
      <c r="AK1124" s="216" t="n"/>
    </row>
    <row r="1125" ht="15" customHeight="1">
      <c r="B1125" s="134" t="n"/>
      <c r="C1125" s="105" t="n"/>
      <c r="D1125" s="105" t="n"/>
      <c r="E1125" s="105" t="n"/>
      <c r="F1125" s="105" t="n"/>
      <c r="G1125" s="105" t="n"/>
      <c r="H1125" s="2" t="n"/>
      <c r="I1125" s="105" t="n"/>
      <c r="K1125" s="215" t="n"/>
      <c r="L1125" s="215" t="n"/>
      <c r="M1125" s="215" t="n"/>
      <c r="N1125" s="215" t="n"/>
      <c r="O1125" s="215" t="n"/>
      <c r="P1125" s="215" t="n"/>
      <c r="Q1125" s="215" t="n"/>
      <c r="R1125" s="215" t="n"/>
      <c r="S1125" s="215" t="n"/>
      <c r="T1125" s="215" t="n"/>
      <c r="U1125" s="215" t="n"/>
      <c r="V1125" s="215" t="n"/>
      <c r="W1125" s="215" t="n"/>
      <c r="X1125" s="215" t="n"/>
      <c r="Y1125" s="215" t="n"/>
      <c r="Z1125" s="215" t="n"/>
      <c r="AA1125" s="215" t="n"/>
      <c r="AB1125" s="215" t="n"/>
      <c r="AC1125" s="215" t="n"/>
      <c r="AD1125" s="215" t="n"/>
      <c r="AE1125" s="215" t="n"/>
      <c r="AF1125" s="215" t="n"/>
      <c r="AG1125" s="215" t="n"/>
      <c r="AH1125" s="215" t="n"/>
      <c r="AI1125" s="215" t="n"/>
      <c r="AJ1125" s="215" t="n"/>
      <c r="AK1125" s="216" t="n"/>
    </row>
    <row r="1126" ht="15" customHeight="1">
      <c r="B1126" s="134" t="n"/>
      <c r="C1126" s="105" t="n"/>
      <c r="D1126" s="105" t="n"/>
      <c r="E1126" s="105" t="n"/>
      <c r="F1126" s="105" t="n"/>
      <c r="G1126" s="105" t="n"/>
      <c r="H1126" s="2" t="n"/>
      <c r="I1126" s="105" t="n"/>
      <c r="K1126" s="215" t="n"/>
      <c r="L1126" s="215" t="n"/>
      <c r="M1126" s="215" t="n"/>
      <c r="N1126" s="215" t="n"/>
      <c r="O1126" s="215" t="n"/>
      <c r="P1126" s="215" t="n"/>
      <c r="Q1126" s="215" t="n"/>
      <c r="R1126" s="215" t="n"/>
      <c r="S1126" s="215" t="n"/>
      <c r="T1126" s="215" t="n"/>
      <c r="U1126" s="215" t="n"/>
      <c r="V1126" s="215" t="n"/>
      <c r="W1126" s="215" t="n"/>
      <c r="X1126" s="215" t="n"/>
      <c r="Y1126" s="215" t="n"/>
      <c r="Z1126" s="215" t="n"/>
      <c r="AA1126" s="215" t="n"/>
      <c r="AB1126" s="215" t="n"/>
      <c r="AC1126" s="215" t="n"/>
      <c r="AD1126" s="215" t="n"/>
      <c r="AE1126" s="215" t="n"/>
      <c r="AF1126" s="215" t="n"/>
      <c r="AG1126" s="215" t="n"/>
      <c r="AH1126" s="215" t="n"/>
      <c r="AI1126" s="215" t="n"/>
      <c r="AJ1126" s="215" t="n"/>
      <c r="AK1126" s="216" t="n"/>
    </row>
    <row r="1127" ht="15" customHeight="1">
      <c r="B1127" s="134" t="n"/>
      <c r="C1127" s="105" t="n"/>
      <c r="D1127" s="105" t="n"/>
      <c r="E1127" s="105" t="n"/>
      <c r="F1127" s="105" t="n"/>
      <c r="G1127" s="105" t="n"/>
      <c r="H1127" s="2" t="n"/>
      <c r="I1127" s="105" t="n"/>
      <c r="K1127" s="215" t="n"/>
      <c r="L1127" s="215" t="n"/>
      <c r="M1127" s="215" t="n"/>
      <c r="N1127" s="215" t="n"/>
      <c r="O1127" s="215" t="n"/>
      <c r="P1127" s="215" t="n"/>
      <c r="Q1127" s="215" t="n"/>
      <c r="R1127" s="215" t="n"/>
      <c r="S1127" s="215" t="n"/>
      <c r="T1127" s="215" t="n"/>
      <c r="U1127" s="215" t="n"/>
      <c r="V1127" s="215" t="n"/>
      <c r="W1127" s="215" t="n"/>
      <c r="X1127" s="215" t="n"/>
      <c r="Y1127" s="215" t="n"/>
      <c r="Z1127" s="215" t="n"/>
      <c r="AA1127" s="215" t="n"/>
      <c r="AB1127" s="215" t="n"/>
      <c r="AC1127" s="215" t="n"/>
      <c r="AD1127" s="215" t="n"/>
      <c r="AE1127" s="215" t="n"/>
      <c r="AF1127" s="215" t="n"/>
      <c r="AG1127" s="215" t="n"/>
      <c r="AH1127" s="215" t="n"/>
      <c r="AI1127" s="215" t="n"/>
      <c r="AJ1127" s="215" t="n"/>
      <c r="AK1127" s="216" t="n"/>
    </row>
    <row r="1128" ht="15" customHeight="1">
      <c r="B1128" s="134" t="n"/>
      <c r="C1128" s="105" t="n"/>
      <c r="D1128" s="105" t="n"/>
      <c r="E1128" s="105" t="n"/>
      <c r="F1128" s="105" t="n"/>
      <c r="G1128" s="105" t="n"/>
      <c r="H1128" s="2" t="n"/>
      <c r="I1128" s="105" t="n"/>
      <c r="K1128" s="215" t="n"/>
      <c r="L1128" s="215" t="n"/>
      <c r="M1128" s="215" t="n"/>
      <c r="N1128" s="215" t="n"/>
      <c r="O1128" s="215" t="n"/>
      <c r="P1128" s="215" t="n"/>
      <c r="Q1128" s="215" t="n"/>
      <c r="R1128" s="215" t="n"/>
      <c r="S1128" s="215" t="n"/>
      <c r="T1128" s="215" t="n"/>
      <c r="U1128" s="215" t="n"/>
      <c r="V1128" s="215" t="n"/>
      <c r="W1128" s="215" t="n"/>
      <c r="X1128" s="215" t="n"/>
      <c r="Y1128" s="215" t="n"/>
      <c r="Z1128" s="215" t="n"/>
      <c r="AA1128" s="215" t="n"/>
      <c r="AB1128" s="215" t="n"/>
      <c r="AC1128" s="215" t="n"/>
      <c r="AD1128" s="215" t="n"/>
      <c r="AE1128" s="215" t="n"/>
      <c r="AF1128" s="215" t="n"/>
      <c r="AG1128" s="215" t="n"/>
      <c r="AH1128" s="215" t="n"/>
      <c r="AI1128" s="215" t="n"/>
      <c r="AJ1128" s="215" t="n"/>
      <c r="AK1128" s="216" t="n"/>
    </row>
    <row r="1129" ht="15" customHeight="1">
      <c r="B1129" s="134" t="n"/>
      <c r="C1129" s="105" t="n"/>
      <c r="D1129" s="105" t="n"/>
      <c r="E1129" s="105" t="n"/>
      <c r="F1129" s="105" t="n"/>
      <c r="G1129" s="105" t="n"/>
      <c r="H1129" s="2" t="n"/>
      <c r="I1129" s="105" t="n"/>
      <c r="K1129" s="215" t="n"/>
      <c r="L1129" s="215" t="n"/>
      <c r="M1129" s="215" t="n"/>
      <c r="N1129" s="215" t="n"/>
      <c r="O1129" s="215" t="n"/>
      <c r="P1129" s="215" t="n"/>
      <c r="Q1129" s="215" t="n"/>
      <c r="R1129" s="215" t="n"/>
      <c r="S1129" s="215" t="n"/>
      <c r="T1129" s="215" t="n"/>
      <c r="U1129" s="215" t="n"/>
      <c r="V1129" s="215" t="n"/>
      <c r="W1129" s="215" t="n"/>
      <c r="X1129" s="215" t="n"/>
      <c r="Y1129" s="215" t="n"/>
      <c r="Z1129" s="215" t="n"/>
      <c r="AA1129" s="215" t="n"/>
      <c r="AB1129" s="215" t="n"/>
      <c r="AC1129" s="215" t="n"/>
      <c r="AD1129" s="215" t="n"/>
      <c r="AE1129" s="215" t="n"/>
      <c r="AF1129" s="215" t="n"/>
      <c r="AG1129" s="215" t="n"/>
      <c r="AH1129" s="215" t="n"/>
      <c r="AI1129" s="215" t="n"/>
      <c r="AJ1129" s="215" t="n"/>
      <c r="AK1129" s="216" t="n"/>
    </row>
    <row r="1130" ht="15" customHeight="1">
      <c r="B1130" s="134" t="n"/>
      <c r="C1130" s="105" t="n"/>
      <c r="D1130" s="105" t="n"/>
      <c r="E1130" s="105" t="n"/>
      <c r="F1130" s="105" t="n"/>
      <c r="G1130" s="105" t="n"/>
      <c r="H1130" s="2" t="n"/>
      <c r="I1130" s="105" t="n"/>
      <c r="K1130" s="215" t="n"/>
      <c r="L1130" s="215" t="n"/>
      <c r="M1130" s="215" t="n"/>
      <c r="N1130" s="215" t="n"/>
      <c r="O1130" s="215" t="n"/>
      <c r="P1130" s="215" t="n"/>
      <c r="Q1130" s="215" t="n"/>
      <c r="R1130" s="215" t="n"/>
      <c r="S1130" s="215" t="n"/>
      <c r="T1130" s="215" t="n"/>
      <c r="U1130" s="215" t="n"/>
      <c r="V1130" s="215" t="n"/>
      <c r="W1130" s="215" t="n"/>
      <c r="X1130" s="215" t="n"/>
      <c r="Y1130" s="215" t="n"/>
      <c r="Z1130" s="215" t="n"/>
      <c r="AA1130" s="215" t="n"/>
      <c r="AB1130" s="215" t="n"/>
      <c r="AC1130" s="215" t="n"/>
      <c r="AD1130" s="215" t="n"/>
      <c r="AE1130" s="215" t="n"/>
      <c r="AF1130" s="215" t="n"/>
      <c r="AG1130" s="215" t="n"/>
      <c r="AH1130" s="215" t="n"/>
      <c r="AI1130" s="215" t="n"/>
      <c r="AJ1130" s="215" t="n"/>
      <c r="AK1130" s="216" t="n"/>
    </row>
    <row r="1131" ht="15" customHeight="1">
      <c r="B1131" s="134" t="n"/>
      <c r="C1131" s="105" t="n"/>
      <c r="D1131" s="105" t="n"/>
      <c r="E1131" s="105" t="n"/>
      <c r="F1131" s="105" t="n"/>
      <c r="G1131" s="105" t="n"/>
      <c r="H1131" s="2" t="n"/>
      <c r="I1131" s="105" t="n"/>
      <c r="K1131" s="215" t="n"/>
      <c r="L1131" s="215" t="n"/>
      <c r="M1131" s="215" t="n"/>
      <c r="N1131" s="215" t="n"/>
      <c r="O1131" s="215" t="n"/>
      <c r="P1131" s="215" t="n"/>
      <c r="Q1131" s="215" t="n"/>
      <c r="R1131" s="215" t="n"/>
      <c r="S1131" s="215" t="n"/>
      <c r="T1131" s="215" t="n"/>
      <c r="U1131" s="215" t="n"/>
      <c r="V1131" s="215" t="n"/>
      <c r="W1131" s="215" t="n"/>
      <c r="X1131" s="215" t="n"/>
      <c r="Y1131" s="215" t="n"/>
      <c r="Z1131" s="215" t="n"/>
      <c r="AA1131" s="215" t="n"/>
      <c r="AB1131" s="215" t="n"/>
      <c r="AC1131" s="215" t="n"/>
      <c r="AD1131" s="215" t="n"/>
      <c r="AE1131" s="215" t="n"/>
      <c r="AF1131" s="215" t="n"/>
      <c r="AG1131" s="215" t="n"/>
      <c r="AH1131" s="215" t="n"/>
      <c r="AI1131" s="215" t="n"/>
      <c r="AJ1131" s="215" t="n"/>
      <c r="AK1131" s="216" t="n"/>
    </row>
    <row r="1132" ht="15" customHeight="1">
      <c r="B1132" s="134" t="n"/>
      <c r="C1132" s="105" t="n"/>
      <c r="D1132" s="105" t="n"/>
      <c r="E1132" s="105" t="n"/>
      <c r="F1132" s="105" t="n"/>
      <c r="G1132" s="105" t="n"/>
      <c r="H1132" s="2" t="n"/>
      <c r="I1132" s="105" t="n"/>
      <c r="K1132" s="215" t="n"/>
      <c r="L1132" s="215" t="n"/>
      <c r="M1132" s="215" t="n"/>
      <c r="N1132" s="215" t="n"/>
      <c r="O1132" s="215" t="n"/>
      <c r="P1132" s="215" t="n"/>
      <c r="Q1132" s="215" t="n"/>
      <c r="R1132" s="215" t="n"/>
      <c r="S1132" s="215" t="n"/>
      <c r="T1132" s="215" t="n"/>
      <c r="U1132" s="215" t="n"/>
      <c r="V1132" s="215" t="n"/>
      <c r="W1132" s="215" t="n"/>
      <c r="X1132" s="215" t="n"/>
      <c r="Y1132" s="215" t="n"/>
      <c r="Z1132" s="215" t="n"/>
      <c r="AA1132" s="215" t="n"/>
      <c r="AB1132" s="215" t="n"/>
      <c r="AC1132" s="215" t="n"/>
      <c r="AD1132" s="215" t="n"/>
      <c r="AE1132" s="215" t="n"/>
      <c r="AF1132" s="215" t="n"/>
      <c r="AG1132" s="215" t="n"/>
      <c r="AH1132" s="215" t="n"/>
      <c r="AI1132" s="215" t="n"/>
      <c r="AJ1132" s="215" t="n"/>
      <c r="AK1132" s="216" t="n"/>
    </row>
    <row r="1133" ht="15" customHeight="1">
      <c r="B1133" s="134" t="n"/>
      <c r="C1133" s="105" t="n"/>
      <c r="D1133" s="105" t="n"/>
      <c r="E1133" s="105" t="n"/>
      <c r="F1133" s="105" t="n"/>
      <c r="G1133" s="105" t="n"/>
      <c r="H1133" s="2" t="n"/>
      <c r="I1133" s="105" t="n"/>
      <c r="K1133" s="215" t="n"/>
      <c r="L1133" s="215" t="n"/>
      <c r="M1133" s="215" t="n"/>
      <c r="N1133" s="215" t="n"/>
      <c r="O1133" s="215" t="n"/>
      <c r="P1133" s="215" t="n"/>
      <c r="Q1133" s="215" t="n"/>
      <c r="R1133" s="215" t="n"/>
      <c r="S1133" s="215" t="n"/>
      <c r="T1133" s="215" t="n"/>
      <c r="U1133" s="215" t="n"/>
      <c r="V1133" s="215" t="n"/>
      <c r="W1133" s="215" t="n"/>
      <c r="X1133" s="215" t="n"/>
      <c r="Y1133" s="215" t="n"/>
      <c r="Z1133" s="215" t="n"/>
      <c r="AA1133" s="215" t="n"/>
      <c r="AB1133" s="215" t="n"/>
      <c r="AC1133" s="215" t="n"/>
      <c r="AD1133" s="215" t="n"/>
      <c r="AE1133" s="215" t="n"/>
      <c r="AF1133" s="215" t="n"/>
      <c r="AG1133" s="215" t="n"/>
      <c r="AH1133" s="215" t="n"/>
      <c r="AI1133" s="215" t="n"/>
      <c r="AJ1133" s="215" t="n"/>
      <c r="AK1133" s="216" t="n"/>
    </row>
    <row r="1134" ht="15" customHeight="1">
      <c r="B1134" s="134" t="n"/>
      <c r="C1134" s="105" t="n"/>
      <c r="D1134" s="105" t="n"/>
      <c r="E1134" s="105" t="n"/>
      <c r="F1134" s="105" t="n"/>
      <c r="G1134" s="105" t="n"/>
      <c r="H1134" s="2" t="n"/>
      <c r="I1134" s="105" t="n"/>
      <c r="K1134" s="215" t="n"/>
      <c r="L1134" s="215" t="n"/>
      <c r="M1134" s="215" t="n"/>
      <c r="N1134" s="215" t="n"/>
      <c r="O1134" s="215" t="n"/>
      <c r="P1134" s="215" t="n"/>
      <c r="Q1134" s="215" t="n"/>
      <c r="R1134" s="215" t="n"/>
      <c r="S1134" s="215" t="n"/>
      <c r="T1134" s="215" t="n"/>
      <c r="U1134" s="215" t="n"/>
      <c r="V1134" s="215" t="n"/>
      <c r="W1134" s="215" t="n"/>
      <c r="X1134" s="215" t="n"/>
      <c r="Y1134" s="215" t="n"/>
      <c r="Z1134" s="215" t="n"/>
      <c r="AA1134" s="215" t="n"/>
      <c r="AB1134" s="215" t="n"/>
      <c r="AC1134" s="215" t="n"/>
      <c r="AD1134" s="215" t="n"/>
      <c r="AE1134" s="215" t="n"/>
      <c r="AF1134" s="215" t="n"/>
      <c r="AG1134" s="215" t="n"/>
      <c r="AH1134" s="215" t="n"/>
      <c r="AI1134" s="215" t="n"/>
      <c r="AJ1134" s="215" t="n"/>
      <c r="AK1134" s="216" t="n"/>
    </row>
    <row r="1135" ht="15" customHeight="1">
      <c r="B1135" s="134" t="n"/>
      <c r="C1135" s="105" t="n"/>
      <c r="D1135" s="105" t="n"/>
      <c r="E1135" s="105" t="n"/>
      <c r="F1135" s="105" t="n"/>
      <c r="G1135" s="105" t="n"/>
      <c r="H1135" s="2" t="n"/>
      <c r="I1135" s="105" t="n"/>
      <c r="K1135" s="215" t="n"/>
      <c r="L1135" s="215" t="n"/>
      <c r="M1135" s="215" t="n"/>
      <c r="N1135" s="215" t="n"/>
      <c r="O1135" s="215" t="n"/>
      <c r="P1135" s="215" t="n"/>
      <c r="Q1135" s="215" t="n"/>
      <c r="R1135" s="215" t="n"/>
      <c r="S1135" s="215" t="n"/>
      <c r="T1135" s="215" t="n"/>
      <c r="U1135" s="215" t="n"/>
      <c r="V1135" s="215" t="n"/>
      <c r="W1135" s="215" t="n"/>
      <c r="X1135" s="215" t="n"/>
      <c r="Y1135" s="215" t="n"/>
      <c r="Z1135" s="215" t="n"/>
      <c r="AA1135" s="215" t="n"/>
      <c r="AB1135" s="215" t="n"/>
      <c r="AC1135" s="215" t="n"/>
      <c r="AD1135" s="215" t="n"/>
      <c r="AE1135" s="215" t="n"/>
      <c r="AF1135" s="215" t="n"/>
      <c r="AG1135" s="215" t="n"/>
      <c r="AH1135" s="215" t="n"/>
      <c r="AI1135" s="215" t="n"/>
      <c r="AJ1135" s="215" t="n"/>
      <c r="AK1135" s="216" t="n"/>
    </row>
    <row r="1136" ht="15" customHeight="1">
      <c r="B1136" s="134" t="n"/>
      <c r="C1136" s="105" t="n"/>
      <c r="D1136" s="105" t="n"/>
      <c r="E1136" s="105" t="n"/>
      <c r="F1136" s="105" t="n"/>
      <c r="G1136" s="105" t="n"/>
      <c r="H1136" s="2" t="n"/>
      <c r="I1136" s="105" t="n"/>
      <c r="K1136" s="215" t="n"/>
      <c r="L1136" s="215" t="n"/>
      <c r="M1136" s="215" t="n"/>
      <c r="N1136" s="215" t="n"/>
      <c r="O1136" s="215" t="n"/>
      <c r="P1136" s="215" t="n"/>
      <c r="Q1136" s="215" t="n"/>
      <c r="R1136" s="215" t="n"/>
      <c r="S1136" s="215" t="n"/>
      <c r="T1136" s="215" t="n"/>
      <c r="U1136" s="215" t="n"/>
      <c r="V1136" s="215" t="n"/>
      <c r="W1136" s="215" t="n"/>
      <c r="X1136" s="215" t="n"/>
      <c r="Y1136" s="215" t="n"/>
      <c r="Z1136" s="215" t="n"/>
      <c r="AA1136" s="215" t="n"/>
      <c r="AB1136" s="215" t="n"/>
      <c r="AC1136" s="215" t="n"/>
      <c r="AD1136" s="215" t="n"/>
      <c r="AE1136" s="215" t="n"/>
      <c r="AF1136" s="215" t="n"/>
      <c r="AG1136" s="215" t="n"/>
      <c r="AH1136" s="215" t="n"/>
      <c r="AI1136" s="215" t="n"/>
      <c r="AJ1136" s="215" t="n"/>
      <c r="AK1136" s="216" t="n"/>
    </row>
    <row r="1137" ht="15" customHeight="1">
      <c r="B1137" s="134" t="n"/>
      <c r="C1137" s="105" t="n"/>
      <c r="D1137" s="105" t="n"/>
      <c r="E1137" s="105" t="n"/>
      <c r="F1137" s="105" t="n"/>
      <c r="G1137" s="105" t="n"/>
      <c r="H1137" s="2" t="n"/>
      <c r="I1137" s="105" t="n"/>
      <c r="K1137" s="215" t="n"/>
      <c r="L1137" s="215" t="n"/>
      <c r="M1137" s="215" t="n"/>
      <c r="N1137" s="215" t="n"/>
      <c r="O1137" s="215" t="n"/>
      <c r="P1137" s="215" t="n"/>
      <c r="Q1137" s="215" t="n"/>
      <c r="R1137" s="215" t="n"/>
      <c r="S1137" s="215" t="n"/>
      <c r="T1137" s="215" t="n"/>
      <c r="U1137" s="215" t="n"/>
      <c r="V1137" s="215" t="n"/>
      <c r="W1137" s="215" t="n"/>
      <c r="X1137" s="215" t="n"/>
      <c r="Y1137" s="215" t="n"/>
      <c r="Z1137" s="215" t="n"/>
      <c r="AA1137" s="215" t="n"/>
      <c r="AB1137" s="215" t="n"/>
      <c r="AC1137" s="215" t="n"/>
      <c r="AD1137" s="215" t="n"/>
      <c r="AE1137" s="215" t="n"/>
      <c r="AF1137" s="215" t="n"/>
      <c r="AG1137" s="215" t="n"/>
      <c r="AH1137" s="215" t="n"/>
      <c r="AI1137" s="215" t="n"/>
      <c r="AJ1137" s="215" t="n"/>
      <c r="AK1137" s="216" t="n"/>
    </row>
    <row r="1138" ht="15" customHeight="1">
      <c r="B1138" s="134" t="n"/>
      <c r="C1138" s="105" t="n"/>
      <c r="D1138" s="105" t="n"/>
      <c r="E1138" s="105" t="n"/>
      <c r="F1138" s="105" t="n"/>
      <c r="G1138" s="105" t="n"/>
      <c r="H1138" s="2" t="n"/>
      <c r="I1138" s="105" t="n"/>
      <c r="K1138" s="215" t="n"/>
      <c r="L1138" s="215" t="n"/>
      <c r="M1138" s="215" t="n"/>
      <c r="N1138" s="215" t="n"/>
      <c r="O1138" s="215" t="n"/>
      <c r="P1138" s="215" t="n"/>
      <c r="Q1138" s="215" t="n"/>
      <c r="R1138" s="215" t="n"/>
      <c r="S1138" s="215" t="n"/>
      <c r="T1138" s="215" t="n"/>
      <c r="U1138" s="215" t="n"/>
      <c r="V1138" s="215" t="n"/>
      <c r="W1138" s="215" t="n"/>
      <c r="X1138" s="215" t="n"/>
      <c r="Y1138" s="215" t="n"/>
      <c r="Z1138" s="215" t="n"/>
      <c r="AA1138" s="215" t="n"/>
      <c r="AB1138" s="215" t="n"/>
      <c r="AC1138" s="215" t="n"/>
      <c r="AD1138" s="215" t="n"/>
      <c r="AE1138" s="215" t="n"/>
      <c r="AF1138" s="215" t="n"/>
      <c r="AG1138" s="215" t="n"/>
      <c r="AH1138" s="215" t="n"/>
      <c r="AI1138" s="215" t="n"/>
      <c r="AJ1138" s="215" t="n"/>
      <c r="AK1138" s="216" t="n"/>
    </row>
    <row r="1139" ht="15" customHeight="1">
      <c r="B1139" s="134" t="n"/>
      <c r="C1139" s="105" t="n"/>
      <c r="D1139" s="105" t="n"/>
      <c r="E1139" s="105" t="n"/>
      <c r="F1139" s="105" t="n"/>
      <c r="G1139" s="105" t="n"/>
      <c r="H1139" s="2" t="n"/>
      <c r="I1139" s="105" t="n"/>
      <c r="K1139" s="215" t="n"/>
      <c r="L1139" s="215" t="n"/>
      <c r="M1139" s="215" t="n"/>
      <c r="N1139" s="215" t="n"/>
      <c r="O1139" s="215" t="n"/>
      <c r="P1139" s="215" t="n"/>
      <c r="Q1139" s="215" t="n"/>
      <c r="R1139" s="215" t="n"/>
      <c r="S1139" s="215" t="n"/>
      <c r="T1139" s="215" t="n"/>
      <c r="U1139" s="215" t="n"/>
      <c r="V1139" s="215" t="n"/>
      <c r="W1139" s="215" t="n"/>
      <c r="X1139" s="215" t="n"/>
      <c r="Y1139" s="215" t="n"/>
      <c r="Z1139" s="215" t="n"/>
      <c r="AA1139" s="215" t="n"/>
      <c r="AB1139" s="215" t="n"/>
      <c r="AC1139" s="215" t="n"/>
      <c r="AD1139" s="215" t="n"/>
      <c r="AE1139" s="215" t="n"/>
      <c r="AF1139" s="215" t="n"/>
      <c r="AG1139" s="215" t="n"/>
      <c r="AH1139" s="215" t="n"/>
      <c r="AI1139" s="215" t="n"/>
      <c r="AJ1139" s="215" t="n"/>
      <c r="AK1139" s="216" t="n"/>
    </row>
    <row r="1140" ht="15" customHeight="1">
      <c r="B1140" s="134" t="n"/>
      <c r="C1140" s="105" t="n"/>
      <c r="D1140" s="105" t="n"/>
      <c r="E1140" s="105" t="n"/>
      <c r="F1140" s="105" t="n"/>
      <c r="G1140" s="105" t="n"/>
      <c r="H1140" s="2" t="n"/>
      <c r="I1140" s="105" t="n"/>
      <c r="K1140" s="215" t="n"/>
      <c r="L1140" s="215" t="n"/>
      <c r="M1140" s="215" t="n"/>
      <c r="N1140" s="215" t="n"/>
      <c r="O1140" s="215" t="n"/>
      <c r="P1140" s="215" t="n"/>
      <c r="Q1140" s="215" t="n"/>
      <c r="R1140" s="215" t="n"/>
      <c r="S1140" s="215" t="n"/>
      <c r="T1140" s="215" t="n"/>
      <c r="U1140" s="215" t="n"/>
      <c r="V1140" s="215" t="n"/>
      <c r="W1140" s="215" t="n"/>
      <c r="X1140" s="215" t="n"/>
      <c r="Y1140" s="215" t="n"/>
      <c r="Z1140" s="215" t="n"/>
      <c r="AA1140" s="215" t="n"/>
      <c r="AB1140" s="215" t="n"/>
      <c r="AC1140" s="215" t="n"/>
      <c r="AD1140" s="215" t="n"/>
      <c r="AE1140" s="215" t="n"/>
      <c r="AF1140" s="215" t="n"/>
      <c r="AG1140" s="215" t="n"/>
      <c r="AH1140" s="215" t="n"/>
      <c r="AI1140" s="215" t="n"/>
      <c r="AJ1140" s="215" t="n"/>
      <c r="AK1140" s="216" t="n"/>
    </row>
    <row r="1141" ht="15" customHeight="1">
      <c r="B1141" s="134" t="n"/>
      <c r="C1141" s="105" t="n"/>
      <c r="D1141" s="105" t="n"/>
      <c r="E1141" s="105" t="n"/>
      <c r="F1141" s="105" t="n"/>
      <c r="G1141" s="105" t="n"/>
      <c r="H1141" s="2" t="n"/>
      <c r="I1141" s="105" t="n"/>
      <c r="K1141" s="215" t="n"/>
      <c r="L1141" s="215" t="n"/>
      <c r="M1141" s="215" t="n"/>
      <c r="N1141" s="215" t="n"/>
      <c r="O1141" s="215" t="n"/>
      <c r="P1141" s="215" t="n"/>
      <c r="Q1141" s="215" t="n"/>
      <c r="R1141" s="215" t="n"/>
      <c r="S1141" s="215" t="n"/>
      <c r="T1141" s="215" t="n"/>
      <c r="U1141" s="215" t="n"/>
      <c r="V1141" s="215" t="n"/>
      <c r="W1141" s="215" t="n"/>
      <c r="X1141" s="215" t="n"/>
      <c r="Y1141" s="215" t="n"/>
      <c r="Z1141" s="215" t="n"/>
      <c r="AA1141" s="215" t="n"/>
      <c r="AB1141" s="215" t="n"/>
      <c r="AC1141" s="215" t="n"/>
      <c r="AD1141" s="215" t="n"/>
      <c r="AE1141" s="215" t="n"/>
      <c r="AF1141" s="215" t="n"/>
      <c r="AG1141" s="215" t="n"/>
      <c r="AH1141" s="215" t="n"/>
      <c r="AI1141" s="215" t="n"/>
      <c r="AJ1141" s="215" t="n"/>
      <c r="AK1141" s="216" t="n"/>
    </row>
    <row r="1142" ht="15" customHeight="1">
      <c r="B1142" s="134" t="n"/>
      <c r="C1142" s="105" t="n"/>
      <c r="D1142" s="105" t="n"/>
      <c r="E1142" s="105" t="n"/>
      <c r="F1142" s="105" t="n"/>
      <c r="G1142" s="105" t="n"/>
      <c r="H1142" s="2" t="n"/>
      <c r="I1142" s="105" t="n"/>
      <c r="K1142" s="215" t="n"/>
      <c r="L1142" s="215" t="n"/>
      <c r="M1142" s="215" t="n"/>
      <c r="N1142" s="215" t="n"/>
      <c r="O1142" s="215" t="n"/>
      <c r="P1142" s="215" t="n"/>
      <c r="Q1142" s="215" t="n"/>
      <c r="R1142" s="215" t="n"/>
      <c r="S1142" s="215" t="n"/>
      <c r="T1142" s="215" t="n"/>
      <c r="U1142" s="215" t="n"/>
      <c r="V1142" s="215" t="n"/>
      <c r="W1142" s="215" t="n"/>
      <c r="X1142" s="215" t="n"/>
      <c r="Y1142" s="215" t="n"/>
      <c r="Z1142" s="215" t="n"/>
      <c r="AA1142" s="215" t="n"/>
      <c r="AB1142" s="215" t="n"/>
      <c r="AC1142" s="215" t="n"/>
      <c r="AD1142" s="215" t="n"/>
      <c r="AE1142" s="215" t="n"/>
      <c r="AF1142" s="215" t="n"/>
      <c r="AG1142" s="215" t="n"/>
      <c r="AH1142" s="215" t="n"/>
      <c r="AI1142" s="215" t="n"/>
      <c r="AJ1142" s="215" t="n"/>
      <c r="AK1142" s="216" t="n"/>
    </row>
    <row r="1143" ht="15" customHeight="1">
      <c r="B1143" s="134" t="n"/>
      <c r="C1143" s="105" t="n"/>
      <c r="D1143" s="105" t="n"/>
      <c r="E1143" s="105" t="n"/>
      <c r="F1143" s="105" t="n"/>
      <c r="G1143" s="105" t="n"/>
      <c r="H1143" s="2" t="n"/>
      <c r="I1143" s="105" t="n"/>
      <c r="K1143" s="215" t="n"/>
      <c r="L1143" s="215" t="n"/>
      <c r="M1143" s="215" t="n"/>
      <c r="N1143" s="215" t="n"/>
      <c r="O1143" s="215" t="n"/>
      <c r="P1143" s="215" t="n"/>
      <c r="Q1143" s="215" t="n"/>
      <c r="R1143" s="215" t="n"/>
      <c r="S1143" s="215" t="n"/>
      <c r="T1143" s="215" t="n"/>
      <c r="U1143" s="215" t="n"/>
      <c r="V1143" s="215" t="n"/>
      <c r="W1143" s="215" t="n"/>
      <c r="X1143" s="215" t="n"/>
      <c r="Y1143" s="215" t="n"/>
      <c r="Z1143" s="215" t="n"/>
      <c r="AA1143" s="215" t="n"/>
      <c r="AB1143" s="215" t="n"/>
      <c r="AC1143" s="215" t="n"/>
      <c r="AD1143" s="215" t="n"/>
      <c r="AE1143" s="215" t="n"/>
      <c r="AF1143" s="215" t="n"/>
      <c r="AG1143" s="215" t="n"/>
      <c r="AH1143" s="215" t="n"/>
      <c r="AI1143" s="215" t="n"/>
      <c r="AJ1143" s="215" t="n"/>
      <c r="AK1143" s="216" t="n"/>
    </row>
    <row r="1144" ht="15" customHeight="1">
      <c r="B1144" s="134" t="n"/>
      <c r="C1144" s="105" t="n"/>
      <c r="D1144" s="105" t="n"/>
      <c r="E1144" s="105" t="n"/>
      <c r="F1144" s="105" t="n"/>
      <c r="G1144" s="105" t="n"/>
      <c r="H1144" s="2" t="n"/>
      <c r="I1144" s="105" t="n"/>
      <c r="K1144" s="215" t="n"/>
      <c r="L1144" s="215" t="n"/>
      <c r="M1144" s="215" t="n"/>
      <c r="N1144" s="215" t="n"/>
      <c r="O1144" s="215" t="n"/>
      <c r="P1144" s="215" t="n"/>
      <c r="Q1144" s="215" t="n"/>
      <c r="R1144" s="215" t="n"/>
      <c r="S1144" s="215" t="n"/>
      <c r="T1144" s="215" t="n"/>
      <c r="U1144" s="215" t="n"/>
      <c r="V1144" s="215" t="n"/>
      <c r="W1144" s="215" t="n"/>
      <c r="X1144" s="215" t="n"/>
      <c r="Y1144" s="215" t="n"/>
      <c r="Z1144" s="215" t="n"/>
      <c r="AA1144" s="215" t="n"/>
      <c r="AB1144" s="215" t="n"/>
      <c r="AC1144" s="215" t="n"/>
      <c r="AD1144" s="215" t="n"/>
      <c r="AE1144" s="215" t="n"/>
      <c r="AF1144" s="215" t="n"/>
      <c r="AG1144" s="215" t="n"/>
      <c r="AH1144" s="215" t="n"/>
      <c r="AI1144" s="215" t="n"/>
      <c r="AJ1144" s="215" t="n"/>
      <c r="AK1144" s="216" t="n"/>
    </row>
    <row r="1145" ht="15" customHeight="1">
      <c r="B1145" s="134" t="n"/>
      <c r="C1145" s="105" t="n"/>
      <c r="D1145" s="105" t="n"/>
      <c r="E1145" s="105" t="n"/>
      <c r="F1145" s="105" t="n"/>
      <c r="G1145" s="105" t="n"/>
      <c r="H1145" s="2" t="n"/>
      <c r="I1145" s="105" t="n"/>
      <c r="K1145" s="215" t="n"/>
      <c r="L1145" s="215" t="n"/>
      <c r="M1145" s="215" t="n"/>
      <c r="N1145" s="215" t="n"/>
      <c r="O1145" s="215" t="n"/>
      <c r="P1145" s="215" t="n"/>
      <c r="Q1145" s="215" t="n"/>
      <c r="R1145" s="215" t="n"/>
      <c r="S1145" s="215" t="n"/>
      <c r="T1145" s="215" t="n"/>
      <c r="U1145" s="215" t="n"/>
      <c r="V1145" s="215" t="n"/>
      <c r="W1145" s="215" t="n"/>
      <c r="X1145" s="215" t="n"/>
      <c r="Y1145" s="215" t="n"/>
      <c r="Z1145" s="215" t="n"/>
      <c r="AA1145" s="215" t="n"/>
      <c r="AB1145" s="215" t="n"/>
      <c r="AC1145" s="215" t="n"/>
      <c r="AD1145" s="215" t="n"/>
      <c r="AE1145" s="215" t="n"/>
      <c r="AF1145" s="215" t="n"/>
      <c r="AG1145" s="215" t="n"/>
      <c r="AH1145" s="215" t="n"/>
      <c r="AI1145" s="215" t="n"/>
      <c r="AJ1145" s="215" t="n"/>
      <c r="AK1145" s="216" t="n"/>
    </row>
    <row r="1146" ht="15" customHeight="1">
      <c r="B1146" s="134" t="n"/>
      <c r="C1146" s="105" t="n"/>
      <c r="D1146" s="105" t="n"/>
      <c r="E1146" s="105" t="n"/>
      <c r="F1146" s="105" t="n"/>
      <c r="G1146" s="105" t="n"/>
      <c r="H1146" s="2" t="n"/>
      <c r="I1146" s="105" t="n"/>
      <c r="K1146" s="215" t="n"/>
      <c r="L1146" s="215" t="n"/>
      <c r="M1146" s="215" t="n"/>
      <c r="N1146" s="215" t="n"/>
      <c r="O1146" s="215" t="n"/>
      <c r="P1146" s="215" t="n"/>
      <c r="Q1146" s="215" t="n"/>
      <c r="R1146" s="215" t="n"/>
      <c r="S1146" s="215" t="n"/>
      <c r="T1146" s="215" t="n"/>
      <c r="U1146" s="215" t="n"/>
      <c r="V1146" s="215" t="n"/>
      <c r="W1146" s="215" t="n"/>
      <c r="X1146" s="215" t="n"/>
      <c r="Y1146" s="215" t="n"/>
      <c r="Z1146" s="215" t="n"/>
      <c r="AA1146" s="215" t="n"/>
      <c r="AB1146" s="215" t="n"/>
      <c r="AC1146" s="215" t="n"/>
      <c r="AD1146" s="215" t="n"/>
      <c r="AE1146" s="215" t="n"/>
      <c r="AF1146" s="215" t="n"/>
      <c r="AG1146" s="215" t="n"/>
      <c r="AH1146" s="215" t="n"/>
      <c r="AI1146" s="215" t="n"/>
      <c r="AJ1146" s="215" t="n"/>
      <c r="AK1146" s="216" t="n"/>
    </row>
    <row r="1147" ht="15" customHeight="1">
      <c r="B1147" s="134" t="n"/>
      <c r="C1147" s="105" t="n"/>
      <c r="D1147" s="105" t="n"/>
      <c r="E1147" s="105" t="n"/>
      <c r="F1147" s="105" t="n"/>
      <c r="G1147" s="105" t="n"/>
      <c r="H1147" s="2" t="n"/>
      <c r="I1147" s="105" t="n"/>
      <c r="K1147" s="215" t="n"/>
      <c r="L1147" s="215" t="n"/>
      <c r="M1147" s="215" t="n"/>
      <c r="N1147" s="215" t="n"/>
      <c r="O1147" s="215" t="n"/>
      <c r="P1147" s="215" t="n"/>
      <c r="Q1147" s="215" t="n"/>
      <c r="R1147" s="215" t="n"/>
      <c r="S1147" s="215" t="n"/>
      <c r="T1147" s="215" t="n"/>
      <c r="U1147" s="215" t="n"/>
      <c r="V1147" s="215" t="n"/>
      <c r="W1147" s="215" t="n"/>
      <c r="X1147" s="215" t="n"/>
      <c r="Y1147" s="215" t="n"/>
      <c r="Z1147" s="215" t="n"/>
      <c r="AA1147" s="215" t="n"/>
      <c r="AB1147" s="215" t="n"/>
      <c r="AC1147" s="215" t="n"/>
      <c r="AD1147" s="215" t="n"/>
      <c r="AE1147" s="215" t="n"/>
      <c r="AF1147" s="215" t="n"/>
      <c r="AG1147" s="215" t="n"/>
      <c r="AH1147" s="215" t="n"/>
      <c r="AI1147" s="215" t="n"/>
      <c r="AJ1147" s="215" t="n"/>
      <c r="AK1147" s="216" t="n"/>
    </row>
    <row r="1148" ht="15" customHeight="1">
      <c r="B1148" s="134" t="n"/>
      <c r="C1148" s="105" t="n"/>
      <c r="D1148" s="105" t="n"/>
      <c r="E1148" s="105" t="n"/>
      <c r="F1148" s="105" t="n"/>
      <c r="G1148" s="105" t="n"/>
      <c r="H1148" s="2" t="n"/>
      <c r="I1148" s="105" t="n"/>
      <c r="K1148" s="215" t="n"/>
      <c r="L1148" s="215" t="n"/>
      <c r="M1148" s="215" t="n"/>
      <c r="N1148" s="215" t="n"/>
      <c r="O1148" s="215" t="n"/>
      <c r="P1148" s="215" t="n"/>
      <c r="Q1148" s="215" t="n"/>
      <c r="R1148" s="215" t="n"/>
      <c r="S1148" s="215" t="n"/>
      <c r="T1148" s="215" t="n"/>
      <c r="U1148" s="215" t="n"/>
      <c r="V1148" s="215" t="n"/>
      <c r="W1148" s="215" t="n"/>
      <c r="X1148" s="215" t="n"/>
      <c r="Y1148" s="215" t="n"/>
      <c r="Z1148" s="215" t="n"/>
      <c r="AA1148" s="215" t="n"/>
      <c r="AB1148" s="215" t="n"/>
      <c r="AC1148" s="215" t="n"/>
      <c r="AD1148" s="215" t="n"/>
      <c r="AE1148" s="215" t="n"/>
      <c r="AF1148" s="215" t="n"/>
      <c r="AG1148" s="215" t="n"/>
      <c r="AH1148" s="215" t="n"/>
      <c r="AI1148" s="215" t="n"/>
      <c r="AJ1148" s="215" t="n"/>
      <c r="AK1148" s="216" t="n"/>
    </row>
    <row r="1149" ht="15" customHeight="1">
      <c r="B1149" s="134" t="n"/>
      <c r="C1149" s="105" t="n"/>
      <c r="D1149" s="105" t="n"/>
      <c r="E1149" s="105" t="n"/>
      <c r="F1149" s="105" t="n"/>
      <c r="G1149" s="105" t="n"/>
      <c r="H1149" s="2" t="n"/>
      <c r="I1149" s="105" t="n"/>
      <c r="K1149" s="215" t="n"/>
      <c r="L1149" s="215" t="n"/>
      <c r="M1149" s="215" t="n"/>
      <c r="N1149" s="215" t="n"/>
      <c r="O1149" s="215" t="n"/>
      <c r="P1149" s="215" t="n"/>
      <c r="Q1149" s="215" t="n"/>
      <c r="R1149" s="215" t="n"/>
      <c r="S1149" s="215" t="n"/>
      <c r="T1149" s="215" t="n"/>
      <c r="U1149" s="215" t="n"/>
      <c r="V1149" s="215" t="n"/>
      <c r="W1149" s="215" t="n"/>
      <c r="X1149" s="215" t="n"/>
      <c r="Y1149" s="215" t="n"/>
      <c r="Z1149" s="215" t="n"/>
      <c r="AA1149" s="215" t="n"/>
      <c r="AB1149" s="215" t="n"/>
      <c r="AC1149" s="215" t="n"/>
      <c r="AD1149" s="215" t="n"/>
      <c r="AE1149" s="215" t="n"/>
      <c r="AF1149" s="215" t="n"/>
      <c r="AG1149" s="215" t="n"/>
      <c r="AH1149" s="215" t="n"/>
      <c r="AI1149" s="215" t="n"/>
      <c r="AJ1149" s="215" t="n"/>
      <c r="AK1149" s="216" t="n"/>
    </row>
    <row r="1150" ht="15" customHeight="1">
      <c r="B1150" s="134" t="n"/>
      <c r="C1150" s="105" t="n"/>
      <c r="D1150" s="105" t="n"/>
      <c r="E1150" s="105" t="n"/>
      <c r="F1150" s="105" t="n"/>
      <c r="G1150" s="105" t="n"/>
      <c r="H1150" s="2" t="n"/>
      <c r="I1150" s="105" t="n"/>
      <c r="K1150" s="215" t="n"/>
      <c r="L1150" s="215" t="n"/>
      <c r="M1150" s="215" t="n"/>
      <c r="N1150" s="215" t="n"/>
      <c r="O1150" s="215" t="n"/>
      <c r="P1150" s="215" t="n"/>
      <c r="Q1150" s="215" t="n"/>
      <c r="R1150" s="215" t="n"/>
      <c r="S1150" s="215" t="n"/>
      <c r="T1150" s="215" t="n"/>
      <c r="U1150" s="215" t="n"/>
      <c r="V1150" s="215" t="n"/>
      <c r="W1150" s="215" t="n"/>
      <c r="X1150" s="215" t="n"/>
      <c r="Y1150" s="215" t="n"/>
      <c r="Z1150" s="215" t="n"/>
      <c r="AA1150" s="215" t="n"/>
      <c r="AB1150" s="215" t="n"/>
      <c r="AC1150" s="215" t="n"/>
      <c r="AD1150" s="215" t="n"/>
      <c r="AE1150" s="215" t="n"/>
      <c r="AF1150" s="215" t="n"/>
      <c r="AG1150" s="215" t="n"/>
      <c r="AH1150" s="215" t="n"/>
      <c r="AI1150" s="215" t="n"/>
      <c r="AJ1150" s="215" t="n"/>
      <c r="AK1150" s="216" t="n"/>
    </row>
    <row r="1151" ht="15" customHeight="1">
      <c r="B1151" s="134" t="n"/>
      <c r="C1151" s="105" t="n"/>
      <c r="D1151" s="105" t="n"/>
      <c r="E1151" s="105" t="n"/>
      <c r="F1151" s="105" t="n"/>
      <c r="G1151" s="105" t="n"/>
      <c r="H1151" s="2" t="n"/>
      <c r="I1151" s="105" t="n"/>
      <c r="K1151" s="215" t="n"/>
      <c r="L1151" s="215" t="n"/>
      <c r="M1151" s="215" t="n"/>
      <c r="N1151" s="215" t="n"/>
      <c r="O1151" s="215" t="n"/>
      <c r="P1151" s="215" t="n"/>
      <c r="Q1151" s="215" t="n"/>
      <c r="R1151" s="215" t="n"/>
      <c r="S1151" s="215" t="n"/>
      <c r="T1151" s="215" t="n"/>
      <c r="U1151" s="215" t="n"/>
      <c r="V1151" s="215" t="n"/>
      <c r="W1151" s="215" t="n"/>
      <c r="X1151" s="215" t="n"/>
      <c r="Y1151" s="215" t="n"/>
      <c r="Z1151" s="215" t="n"/>
      <c r="AA1151" s="215" t="n"/>
      <c r="AB1151" s="215" t="n"/>
      <c r="AC1151" s="215" t="n"/>
      <c r="AD1151" s="215" t="n"/>
      <c r="AE1151" s="215" t="n"/>
      <c r="AF1151" s="215" t="n"/>
      <c r="AG1151" s="215" t="n"/>
      <c r="AH1151" s="215" t="n"/>
      <c r="AI1151" s="215" t="n"/>
      <c r="AJ1151" s="215" t="n"/>
      <c r="AK1151" s="216" t="n"/>
    </row>
    <row r="1152" ht="15" customHeight="1">
      <c r="B1152" s="134" t="n"/>
      <c r="C1152" s="105" t="n"/>
      <c r="D1152" s="105" t="n"/>
      <c r="E1152" s="105" t="n"/>
      <c r="F1152" s="105" t="n"/>
      <c r="G1152" s="105" t="n"/>
      <c r="H1152" s="2" t="n"/>
      <c r="I1152" s="105" t="n"/>
      <c r="K1152" s="215" t="n"/>
      <c r="L1152" s="215" t="n"/>
      <c r="M1152" s="215" t="n"/>
      <c r="N1152" s="215" t="n"/>
      <c r="O1152" s="215" t="n"/>
      <c r="P1152" s="215" t="n"/>
      <c r="Q1152" s="215" t="n"/>
      <c r="R1152" s="215" t="n"/>
      <c r="S1152" s="215" t="n"/>
      <c r="T1152" s="215" t="n"/>
      <c r="U1152" s="215" t="n"/>
      <c r="V1152" s="215" t="n"/>
      <c r="W1152" s="215" t="n"/>
      <c r="X1152" s="215" t="n"/>
      <c r="Y1152" s="215" t="n"/>
      <c r="Z1152" s="215" t="n"/>
      <c r="AA1152" s="215" t="n"/>
      <c r="AB1152" s="215" t="n"/>
      <c r="AC1152" s="215" t="n"/>
      <c r="AD1152" s="215" t="n"/>
      <c r="AE1152" s="215" t="n"/>
      <c r="AF1152" s="215" t="n"/>
      <c r="AG1152" s="215" t="n"/>
      <c r="AH1152" s="215" t="n"/>
      <c r="AI1152" s="215" t="n"/>
      <c r="AJ1152" s="215" t="n"/>
      <c r="AK1152" s="216" t="n"/>
    </row>
    <row r="1153" ht="15" customHeight="1">
      <c r="B1153" s="134" t="n"/>
      <c r="C1153" s="105" t="n"/>
      <c r="D1153" s="105" t="n"/>
      <c r="E1153" s="105" t="n"/>
      <c r="F1153" s="105" t="n"/>
      <c r="G1153" s="105" t="n"/>
      <c r="H1153" s="2" t="n"/>
      <c r="I1153" s="105" t="n"/>
      <c r="K1153" s="215" t="n"/>
      <c r="L1153" s="215" t="n"/>
      <c r="M1153" s="215" t="n"/>
      <c r="N1153" s="215" t="n"/>
      <c r="O1153" s="215" t="n"/>
      <c r="P1153" s="215" t="n"/>
      <c r="Q1153" s="215" t="n"/>
      <c r="R1153" s="215" t="n"/>
      <c r="S1153" s="215" t="n"/>
      <c r="T1153" s="215" t="n"/>
      <c r="U1153" s="215" t="n"/>
      <c r="V1153" s="215" t="n"/>
      <c r="W1153" s="215" t="n"/>
      <c r="X1153" s="215" t="n"/>
      <c r="Y1153" s="215" t="n"/>
      <c r="Z1153" s="215" t="n"/>
      <c r="AA1153" s="215" t="n"/>
      <c r="AB1153" s="215" t="n"/>
      <c r="AC1153" s="215" t="n"/>
      <c r="AD1153" s="215" t="n"/>
      <c r="AE1153" s="215" t="n"/>
      <c r="AF1153" s="215" t="n"/>
      <c r="AG1153" s="215" t="n"/>
      <c r="AH1153" s="215" t="n"/>
      <c r="AI1153" s="215" t="n"/>
      <c r="AJ1153" s="215" t="n"/>
      <c r="AK1153" s="216" t="n"/>
    </row>
    <row r="1154" ht="15" customHeight="1">
      <c r="B1154" s="134" t="n"/>
      <c r="C1154" s="105" t="n"/>
      <c r="D1154" s="105" t="n"/>
      <c r="E1154" s="105" t="n"/>
      <c r="F1154" s="105" t="n"/>
      <c r="G1154" s="105" t="n"/>
      <c r="H1154" s="2" t="n"/>
      <c r="I1154" s="105" t="n"/>
      <c r="K1154" s="215" t="n"/>
      <c r="L1154" s="215" t="n"/>
      <c r="M1154" s="215" t="n"/>
      <c r="N1154" s="215" t="n"/>
      <c r="O1154" s="215" t="n"/>
      <c r="P1154" s="215" t="n"/>
      <c r="Q1154" s="215" t="n"/>
      <c r="R1154" s="215" t="n"/>
      <c r="S1154" s="215" t="n"/>
      <c r="T1154" s="215" t="n"/>
      <c r="U1154" s="215" t="n"/>
      <c r="V1154" s="215" t="n"/>
      <c r="W1154" s="215" t="n"/>
      <c r="X1154" s="215" t="n"/>
      <c r="Y1154" s="215" t="n"/>
      <c r="Z1154" s="215" t="n"/>
      <c r="AA1154" s="215" t="n"/>
      <c r="AB1154" s="215" t="n"/>
      <c r="AC1154" s="215" t="n"/>
      <c r="AD1154" s="215" t="n"/>
      <c r="AE1154" s="215" t="n"/>
      <c r="AF1154" s="215" t="n"/>
      <c r="AG1154" s="215" t="n"/>
      <c r="AH1154" s="215" t="n"/>
      <c r="AI1154" s="215" t="n"/>
      <c r="AJ1154" s="215" t="n"/>
      <c r="AK1154" s="216" t="n"/>
    </row>
    <row r="1155" ht="15" customHeight="1">
      <c r="B1155" s="134" t="n"/>
      <c r="C1155" s="105" t="n"/>
      <c r="D1155" s="105" t="n"/>
      <c r="E1155" s="105" t="n"/>
      <c r="F1155" s="105" t="n"/>
      <c r="G1155" s="105" t="n"/>
      <c r="H1155" s="2" t="n"/>
      <c r="I1155" s="105" t="n"/>
      <c r="K1155" s="215" t="n"/>
      <c r="L1155" s="215" t="n"/>
      <c r="M1155" s="215" t="n"/>
      <c r="N1155" s="215" t="n"/>
      <c r="O1155" s="215" t="n"/>
      <c r="P1155" s="215" t="n"/>
      <c r="Q1155" s="215" t="n"/>
      <c r="R1155" s="215" t="n"/>
      <c r="S1155" s="215" t="n"/>
      <c r="T1155" s="215" t="n"/>
      <c r="U1155" s="215" t="n"/>
      <c r="V1155" s="215" t="n"/>
      <c r="W1155" s="215" t="n"/>
      <c r="X1155" s="215" t="n"/>
      <c r="Y1155" s="215" t="n"/>
      <c r="Z1155" s="215" t="n"/>
      <c r="AA1155" s="215" t="n"/>
      <c r="AB1155" s="215" t="n"/>
      <c r="AC1155" s="215" t="n"/>
      <c r="AD1155" s="215" t="n"/>
      <c r="AE1155" s="215" t="n"/>
      <c r="AF1155" s="215" t="n"/>
      <c r="AG1155" s="215" t="n"/>
      <c r="AH1155" s="215" t="n"/>
      <c r="AI1155" s="215" t="n"/>
      <c r="AJ1155" s="215" t="n"/>
      <c r="AK1155" s="216" t="n"/>
    </row>
    <row r="1156" ht="15" customHeight="1">
      <c r="B1156" s="134" t="n"/>
      <c r="C1156" s="105" t="n"/>
      <c r="D1156" s="105" t="n"/>
      <c r="E1156" s="105" t="n"/>
      <c r="F1156" s="105" t="n"/>
      <c r="G1156" s="105" t="n"/>
      <c r="H1156" s="2" t="n"/>
      <c r="I1156" s="105" t="n"/>
      <c r="K1156" s="215" t="n"/>
      <c r="L1156" s="215" t="n"/>
      <c r="M1156" s="215" t="n"/>
      <c r="N1156" s="215" t="n"/>
      <c r="O1156" s="215" t="n"/>
      <c r="P1156" s="215" t="n"/>
      <c r="Q1156" s="215" t="n"/>
      <c r="R1156" s="215" t="n"/>
      <c r="S1156" s="215" t="n"/>
      <c r="T1156" s="215" t="n"/>
      <c r="U1156" s="215" t="n"/>
      <c r="V1156" s="215" t="n"/>
      <c r="W1156" s="215" t="n"/>
      <c r="X1156" s="215" t="n"/>
      <c r="Y1156" s="215" t="n"/>
      <c r="Z1156" s="215" t="n"/>
      <c r="AA1156" s="215" t="n"/>
      <c r="AB1156" s="215" t="n"/>
      <c r="AC1156" s="215" t="n"/>
      <c r="AD1156" s="215" t="n"/>
      <c r="AE1156" s="215" t="n"/>
      <c r="AF1156" s="215" t="n"/>
      <c r="AG1156" s="215" t="n"/>
      <c r="AH1156" s="215" t="n"/>
      <c r="AI1156" s="215" t="n"/>
      <c r="AJ1156" s="215" t="n"/>
      <c r="AK1156" s="216" t="n"/>
    </row>
    <row r="1157" ht="15" customHeight="1">
      <c r="B1157" s="134" t="n"/>
      <c r="C1157" s="105" t="n"/>
      <c r="D1157" s="105" t="n"/>
      <c r="E1157" s="105" t="n"/>
      <c r="F1157" s="105" t="n"/>
      <c r="G1157" s="105" t="n"/>
      <c r="H1157" s="2" t="n"/>
      <c r="I1157" s="105" t="n"/>
      <c r="K1157" s="215" t="n"/>
      <c r="L1157" s="215" t="n"/>
      <c r="M1157" s="215" t="n"/>
      <c r="N1157" s="215" t="n"/>
      <c r="O1157" s="215" t="n"/>
      <c r="P1157" s="215" t="n"/>
      <c r="Q1157" s="215" t="n"/>
      <c r="R1157" s="215" t="n"/>
      <c r="S1157" s="215" t="n"/>
      <c r="T1157" s="215" t="n"/>
      <c r="U1157" s="215" t="n"/>
      <c r="V1157" s="215" t="n"/>
      <c r="W1157" s="215" t="n"/>
      <c r="X1157" s="215" t="n"/>
      <c r="Y1157" s="215" t="n"/>
      <c r="Z1157" s="215" t="n"/>
      <c r="AA1157" s="215" t="n"/>
      <c r="AB1157" s="215" t="n"/>
      <c r="AC1157" s="215" t="n"/>
      <c r="AD1157" s="215" t="n"/>
      <c r="AE1157" s="215" t="n"/>
      <c r="AF1157" s="215" t="n"/>
      <c r="AG1157" s="215" t="n"/>
      <c r="AH1157" s="215" t="n"/>
      <c r="AI1157" s="215" t="n"/>
      <c r="AJ1157" s="215" t="n"/>
      <c r="AK1157" s="216" t="n"/>
    </row>
    <row r="1158" ht="15" customHeight="1">
      <c r="B1158" s="134" t="n"/>
      <c r="C1158" s="105" t="n"/>
      <c r="D1158" s="105" t="n"/>
      <c r="E1158" s="105" t="n"/>
      <c r="F1158" s="105" t="n"/>
      <c r="G1158" s="105" t="n"/>
      <c r="H1158" s="2" t="n"/>
      <c r="I1158" s="105" t="n"/>
      <c r="K1158" s="215" t="n"/>
      <c r="L1158" s="215" t="n"/>
      <c r="M1158" s="215" t="n"/>
      <c r="N1158" s="215" t="n"/>
      <c r="O1158" s="215" t="n"/>
      <c r="P1158" s="215" t="n"/>
      <c r="Q1158" s="215" t="n"/>
      <c r="R1158" s="215" t="n"/>
      <c r="S1158" s="215" t="n"/>
      <c r="T1158" s="215" t="n"/>
      <c r="U1158" s="215" t="n"/>
      <c r="V1158" s="215" t="n"/>
      <c r="W1158" s="215" t="n"/>
      <c r="X1158" s="215" t="n"/>
      <c r="Y1158" s="215" t="n"/>
      <c r="Z1158" s="215" t="n"/>
      <c r="AA1158" s="215" t="n"/>
      <c r="AB1158" s="215" t="n"/>
      <c r="AC1158" s="215" t="n"/>
      <c r="AD1158" s="215" t="n"/>
      <c r="AE1158" s="215" t="n"/>
      <c r="AF1158" s="215" t="n"/>
      <c r="AG1158" s="215" t="n"/>
      <c r="AH1158" s="215" t="n"/>
      <c r="AI1158" s="215" t="n"/>
      <c r="AJ1158" s="215" t="n"/>
      <c r="AK1158" s="216" t="n"/>
    </row>
    <row r="1159" ht="15" customHeight="1">
      <c r="B1159" s="134" t="n"/>
      <c r="C1159" s="105" t="n"/>
      <c r="D1159" s="105" t="n"/>
      <c r="E1159" s="105" t="n"/>
      <c r="F1159" s="105" t="n"/>
      <c r="G1159" s="105" t="n"/>
      <c r="H1159" s="2" t="n"/>
      <c r="I1159" s="105" t="n"/>
      <c r="K1159" s="215" t="n"/>
      <c r="L1159" s="215" t="n"/>
      <c r="M1159" s="215" t="n"/>
      <c r="N1159" s="215" t="n"/>
      <c r="O1159" s="215" t="n"/>
      <c r="P1159" s="215" t="n"/>
      <c r="Q1159" s="215" t="n"/>
      <c r="R1159" s="215" t="n"/>
      <c r="S1159" s="215" t="n"/>
      <c r="T1159" s="215" t="n"/>
      <c r="U1159" s="215" t="n"/>
      <c r="V1159" s="215" t="n"/>
      <c r="W1159" s="215" t="n"/>
      <c r="X1159" s="215" t="n"/>
      <c r="Y1159" s="215" t="n"/>
      <c r="Z1159" s="215" t="n"/>
      <c r="AA1159" s="215" t="n"/>
      <c r="AB1159" s="215" t="n"/>
      <c r="AC1159" s="215" t="n"/>
      <c r="AD1159" s="215" t="n"/>
      <c r="AE1159" s="215" t="n"/>
      <c r="AF1159" s="215" t="n"/>
      <c r="AG1159" s="215" t="n"/>
      <c r="AH1159" s="215" t="n"/>
      <c r="AI1159" s="215" t="n"/>
      <c r="AJ1159" s="215" t="n"/>
      <c r="AK1159" s="216" t="n"/>
    </row>
    <row r="1160" ht="15" customHeight="1">
      <c r="B1160" s="134" t="n"/>
      <c r="C1160" s="105" t="n"/>
      <c r="D1160" s="105" t="n"/>
      <c r="E1160" s="105" t="n"/>
      <c r="F1160" s="105" t="n"/>
      <c r="G1160" s="105" t="n"/>
      <c r="H1160" s="2" t="n"/>
      <c r="I1160" s="105" t="n"/>
      <c r="K1160" s="215" t="n"/>
      <c r="L1160" s="215" t="n"/>
      <c r="M1160" s="215" t="n"/>
      <c r="N1160" s="215" t="n"/>
      <c r="O1160" s="215" t="n"/>
      <c r="P1160" s="215" t="n"/>
      <c r="Q1160" s="215" t="n"/>
      <c r="R1160" s="215" t="n"/>
      <c r="S1160" s="215" t="n"/>
      <c r="T1160" s="215" t="n"/>
      <c r="U1160" s="215" t="n"/>
      <c r="V1160" s="215" t="n"/>
      <c r="W1160" s="215" t="n"/>
      <c r="X1160" s="215" t="n"/>
      <c r="Y1160" s="215" t="n"/>
      <c r="Z1160" s="215" t="n"/>
      <c r="AA1160" s="215" t="n"/>
      <c r="AB1160" s="215" t="n"/>
      <c r="AC1160" s="215" t="n"/>
      <c r="AD1160" s="215" t="n"/>
      <c r="AE1160" s="215" t="n"/>
      <c r="AF1160" s="215" t="n"/>
      <c r="AG1160" s="215" t="n"/>
      <c r="AH1160" s="215" t="n"/>
      <c r="AI1160" s="215" t="n"/>
      <c r="AJ1160" s="215" t="n"/>
      <c r="AK1160" s="216" t="n"/>
    </row>
    <row r="1161" ht="15" customHeight="1">
      <c r="B1161" s="134" t="n"/>
      <c r="C1161" s="105" t="n"/>
      <c r="D1161" s="105" t="n"/>
      <c r="E1161" s="105" t="n"/>
      <c r="F1161" s="105" t="n"/>
      <c r="G1161" s="105" t="n"/>
      <c r="H1161" s="2" t="n"/>
      <c r="I1161" s="105" t="n"/>
      <c r="K1161" s="215" t="n"/>
      <c r="L1161" s="215" t="n"/>
      <c r="M1161" s="215" t="n"/>
      <c r="N1161" s="215" t="n"/>
      <c r="O1161" s="215" t="n"/>
      <c r="P1161" s="215" t="n"/>
      <c r="Q1161" s="215" t="n"/>
      <c r="R1161" s="215" t="n"/>
      <c r="S1161" s="215" t="n"/>
      <c r="T1161" s="215" t="n"/>
      <c r="U1161" s="215" t="n"/>
      <c r="V1161" s="215" t="n"/>
      <c r="W1161" s="215" t="n"/>
      <c r="X1161" s="215" t="n"/>
      <c r="Y1161" s="215" t="n"/>
      <c r="Z1161" s="215" t="n"/>
      <c r="AA1161" s="215" t="n"/>
      <c r="AB1161" s="215" t="n"/>
      <c r="AC1161" s="215" t="n"/>
      <c r="AD1161" s="215" t="n"/>
      <c r="AE1161" s="215" t="n"/>
      <c r="AF1161" s="215" t="n"/>
      <c r="AG1161" s="215" t="n"/>
      <c r="AH1161" s="215" t="n"/>
      <c r="AI1161" s="215" t="n"/>
      <c r="AJ1161" s="215" t="n"/>
      <c r="AK1161" s="216" t="n"/>
    </row>
    <row r="1162" ht="15" customHeight="1">
      <c r="B1162" s="134" t="n"/>
      <c r="C1162" s="105" t="n"/>
      <c r="D1162" s="105" t="n"/>
      <c r="E1162" s="105" t="n"/>
      <c r="F1162" s="105" t="n"/>
      <c r="G1162" s="105" t="n"/>
      <c r="H1162" s="2" t="n"/>
      <c r="I1162" s="105" t="n"/>
      <c r="K1162" s="215" t="n"/>
      <c r="L1162" s="215" t="n"/>
      <c r="M1162" s="215" t="n"/>
      <c r="N1162" s="215" t="n"/>
      <c r="O1162" s="215" t="n"/>
      <c r="P1162" s="215" t="n"/>
      <c r="Q1162" s="215" t="n"/>
      <c r="R1162" s="215" t="n"/>
      <c r="S1162" s="215" t="n"/>
      <c r="T1162" s="215" t="n"/>
      <c r="U1162" s="215" t="n"/>
      <c r="V1162" s="215" t="n"/>
      <c r="W1162" s="215" t="n"/>
      <c r="X1162" s="215" t="n"/>
      <c r="Y1162" s="215" t="n"/>
      <c r="Z1162" s="215" t="n"/>
      <c r="AA1162" s="215" t="n"/>
      <c r="AB1162" s="215" t="n"/>
      <c r="AC1162" s="215" t="n"/>
      <c r="AD1162" s="215" t="n"/>
      <c r="AE1162" s="215" t="n"/>
      <c r="AF1162" s="215" t="n"/>
      <c r="AG1162" s="215" t="n"/>
      <c r="AH1162" s="215" t="n"/>
      <c r="AI1162" s="215" t="n"/>
      <c r="AJ1162" s="215" t="n"/>
      <c r="AK1162" s="216" t="n"/>
    </row>
    <row r="1163" ht="15" customHeight="1">
      <c r="B1163" s="134" t="n"/>
      <c r="C1163" s="105" t="n"/>
      <c r="D1163" s="105" t="n"/>
      <c r="E1163" s="105" t="n"/>
      <c r="F1163" s="105" t="n"/>
      <c r="G1163" s="105" t="n"/>
      <c r="H1163" s="2" t="n"/>
      <c r="I1163" s="105" t="n"/>
      <c r="K1163" s="215" t="n"/>
      <c r="L1163" s="215" t="n"/>
      <c r="M1163" s="215" t="n"/>
      <c r="N1163" s="215" t="n"/>
      <c r="O1163" s="215" t="n"/>
      <c r="P1163" s="215" t="n"/>
      <c r="Q1163" s="215" t="n"/>
      <c r="R1163" s="215" t="n"/>
      <c r="S1163" s="215" t="n"/>
      <c r="T1163" s="215" t="n"/>
      <c r="U1163" s="215" t="n"/>
      <c r="V1163" s="215" t="n"/>
      <c r="W1163" s="215" t="n"/>
      <c r="X1163" s="215" t="n"/>
      <c r="Y1163" s="215" t="n"/>
      <c r="Z1163" s="215" t="n"/>
      <c r="AA1163" s="215" t="n"/>
      <c r="AB1163" s="215" t="n"/>
      <c r="AC1163" s="215" t="n"/>
      <c r="AD1163" s="215" t="n"/>
      <c r="AE1163" s="215" t="n"/>
      <c r="AF1163" s="215" t="n"/>
      <c r="AG1163" s="215" t="n"/>
      <c r="AH1163" s="215" t="n"/>
      <c r="AI1163" s="215" t="n"/>
      <c r="AJ1163" s="215" t="n"/>
      <c r="AK1163" s="216" t="n"/>
    </row>
    <row r="1164" ht="15" customHeight="1">
      <c r="B1164" s="134" t="n"/>
      <c r="C1164" s="105" t="n"/>
      <c r="D1164" s="105" t="n"/>
      <c r="E1164" s="105" t="n"/>
      <c r="F1164" s="105" t="n"/>
      <c r="G1164" s="105" t="n"/>
      <c r="H1164" s="2" t="n"/>
      <c r="I1164" s="105" t="n"/>
      <c r="K1164" s="215" t="n"/>
      <c r="L1164" s="215" t="n"/>
      <c r="M1164" s="215" t="n"/>
      <c r="N1164" s="215" t="n"/>
      <c r="O1164" s="215" t="n"/>
      <c r="P1164" s="215" t="n"/>
      <c r="Q1164" s="215" t="n"/>
      <c r="R1164" s="215" t="n"/>
      <c r="S1164" s="215" t="n"/>
      <c r="T1164" s="215" t="n"/>
      <c r="U1164" s="215" t="n"/>
      <c r="V1164" s="215" t="n"/>
      <c r="W1164" s="215" t="n"/>
      <c r="X1164" s="215" t="n"/>
      <c r="Y1164" s="215" t="n"/>
      <c r="Z1164" s="215" t="n"/>
      <c r="AA1164" s="215" t="n"/>
      <c r="AB1164" s="215" t="n"/>
      <c r="AC1164" s="215" t="n"/>
      <c r="AD1164" s="215" t="n"/>
      <c r="AE1164" s="215" t="n"/>
      <c r="AF1164" s="215" t="n"/>
      <c r="AG1164" s="215" t="n"/>
      <c r="AH1164" s="215" t="n"/>
      <c r="AI1164" s="215" t="n"/>
      <c r="AJ1164" s="215" t="n"/>
      <c r="AK1164" s="216" t="n"/>
    </row>
    <row r="1165" ht="15" customHeight="1">
      <c r="B1165" s="134" t="n"/>
      <c r="C1165" s="105" t="n"/>
      <c r="D1165" s="105" t="n"/>
      <c r="E1165" s="105" t="n"/>
      <c r="F1165" s="105" t="n"/>
      <c r="G1165" s="105" t="n"/>
      <c r="H1165" s="2" t="n"/>
      <c r="I1165" s="105" t="n"/>
      <c r="K1165" s="215" t="n"/>
      <c r="L1165" s="215" t="n"/>
      <c r="M1165" s="215" t="n"/>
      <c r="N1165" s="215" t="n"/>
      <c r="O1165" s="215" t="n"/>
      <c r="P1165" s="215" t="n"/>
      <c r="Q1165" s="215" t="n"/>
      <c r="R1165" s="215" t="n"/>
      <c r="S1165" s="215" t="n"/>
      <c r="T1165" s="215" t="n"/>
      <c r="U1165" s="215" t="n"/>
      <c r="V1165" s="215" t="n"/>
      <c r="W1165" s="215" t="n"/>
      <c r="X1165" s="215" t="n"/>
      <c r="Y1165" s="215" t="n"/>
      <c r="Z1165" s="215" t="n"/>
      <c r="AA1165" s="215" t="n"/>
      <c r="AB1165" s="215" t="n"/>
      <c r="AC1165" s="215" t="n"/>
      <c r="AD1165" s="215" t="n"/>
      <c r="AE1165" s="215" t="n"/>
      <c r="AF1165" s="215" t="n"/>
      <c r="AG1165" s="215" t="n"/>
      <c r="AH1165" s="215" t="n"/>
      <c r="AI1165" s="215" t="n"/>
      <c r="AJ1165" s="215" t="n"/>
      <c r="AK1165" s="216" t="n"/>
    </row>
    <row r="1166" ht="15" customHeight="1">
      <c r="B1166" s="134" t="n"/>
      <c r="C1166" s="105" t="n"/>
      <c r="D1166" s="105" t="n"/>
      <c r="E1166" s="105" t="n"/>
      <c r="F1166" s="105" t="n"/>
      <c r="G1166" s="105" t="n"/>
      <c r="H1166" s="2" t="n"/>
      <c r="I1166" s="105" t="n"/>
      <c r="K1166" s="215" t="n"/>
      <c r="L1166" s="215" t="n"/>
      <c r="M1166" s="215" t="n"/>
      <c r="N1166" s="215" t="n"/>
      <c r="O1166" s="215" t="n"/>
      <c r="P1166" s="215" t="n"/>
      <c r="Q1166" s="215" t="n"/>
      <c r="R1166" s="215" t="n"/>
      <c r="S1166" s="215" t="n"/>
      <c r="T1166" s="215" t="n"/>
      <c r="U1166" s="215" t="n"/>
      <c r="V1166" s="215" t="n"/>
      <c r="W1166" s="215" t="n"/>
      <c r="X1166" s="215" t="n"/>
      <c r="Y1166" s="215" t="n"/>
      <c r="Z1166" s="215" t="n"/>
      <c r="AA1166" s="215" t="n"/>
      <c r="AB1166" s="215" t="n"/>
      <c r="AC1166" s="215" t="n"/>
      <c r="AD1166" s="215" t="n"/>
      <c r="AE1166" s="215" t="n"/>
      <c r="AF1166" s="215" t="n"/>
      <c r="AG1166" s="215" t="n"/>
      <c r="AH1166" s="215" t="n"/>
      <c r="AI1166" s="215" t="n"/>
      <c r="AJ1166" s="215" t="n"/>
      <c r="AK1166" s="216" t="n"/>
    </row>
    <row r="1167" ht="15" customHeight="1">
      <c r="B1167" s="134" t="n"/>
      <c r="C1167" s="105" t="n"/>
      <c r="D1167" s="105" t="n"/>
      <c r="E1167" s="105" t="n"/>
      <c r="F1167" s="105" t="n"/>
      <c r="G1167" s="105" t="n"/>
      <c r="H1167" s="2" t="n"/>
      <c r="I1167" s="105" t="n"/>
      <c r="K1167" s="215" t="n"/>
      <c r="L1167" s="215" t="n"/>
      <c r="M1167" s="215" t="n"/>
      <c r="N1167" s="215" t="n"/>
      <c r="O1167" s="215" t="n"/>
      <c r="P1167" s="215" t="n"/>
      <c r="Q1167" s="215" t="n"/>
      <c r="R1167" s="215" t="n"/>
      <c r="S1167" s="215" t="n"/>
      <c r="T1167" s="215" t="n"/>
      <c r="U1167" s="215" t="n"/>
      <c r="V1167" s="215" t="n"/>
      <c r="W1167" s="215" t="n"/>
      <c r="X1167" s="215" t="n"/>
      <c r="Y1167" s="215" t="n"/>
      <c r="Z1167" s="215" t="n"/>
      <c r="AA1167" s="215" t="n"/>
      <c r="AB1167" s="215" t="n"/>
      <c r="AC1167" s="215" t="n"/>
      <c r="AD1167" s="215" t="n"/>
      <c r="AE1167" s="215" t="n"/>
      <c r="AF1167" s="215" t="n"/>
      <c r="AG1167" s="215" t="n"/>
      <c r="AH1167" s="215" t="n"/>
      <c r="AI1167" s="215" t="n"/>
      <c r="AJ1167" s="215" t="n"/>
      <c r="AK1167" s="216" t="n"/>
    </row>
    <row r="1168" ht="15" customHeight="1">
      <c r="B1168" s="134" t="n"/>
      <c r="C1168" s="105" t="n"/>
      <c r="D1168" s="105" t="n"/>
      <c r="E1168" s="105" t="n"/>
      <c r="F1168" s="105" t="n"/>
      <c r="G1168" s="105" t="n"/>
      <c r="H1168" s="2" t="n"/>
      <c r="I1168" s="105" t="n"/>
      <c r="K1168" s="215" t="n"/>
      <c r="L1168" s="215" t="n"/>
      <c r="M1168" s="215" t="n"/>
      <c r="N1168" s="215" t="n"/>
      <c r="O1168" s="215" t="n"/>
      <c r="P1168" s="215" t="n"/>
      <c r="Q1168" s="215" t="n"/>
      <c r="R1168" s="215" t="n"/>
      <c r="S1168" s="215" t="n"/>
      <c r="T1168" s="215" t="n"/>
      <c r="U1168" s="215" t="n"/>
      <c r="V1168" s="215" t="n"/>
      <c r="W1168" s="215" t="n"/>
      <c r="X1168" s="215" t="n"/>
      <c r="Y1168" s="215" t="n"/>
      <c r="Z1168" s="215" t="n"/>
      <c r="AA1168" s="215" t="n"/>
      <c r="AB1168" s="215" t="n"/>
      <c r="AC1168" s="215" t="n"/>
      <c r="AD1168" s="215" t="n"/>
      <c r="AE1168" s="215" t="n"/>
      <c r="AF1168" s="215" t="n"/>
      <c r="AG1168" s="215" t="n"/>
      <c r="AH1168" s="215" t="n"/>
      <c r="AI1168" s="215" t="n"/>
      <c r="AJ1168" s="215" t="n"/>
      <c r="AK1168" s="216" t="n"/>
    </row>
    <row r="1169" ht="15" customHeight="1">
      <c r="B1169" s="134" t="n"/>
      <c r="C1169" s="105" t="n"/>
      <c r="D1169" s="105" t="n"/>
      <c r="E1169" s="105" t="n"/>
      <c r="F1169" s="105" t="n"/>
      <c r="G1169" s="105" t="n"/>
      <c r="H1169" s="2" t="n"/>
      <c r="I1169" s="105" t="n"/>
      <c r="K1169" s="215" t="n"/>
      <c r="L1169" s="215" t="n"/>
      <c r="M1169" s="215" t="n"/>
      <c r="N1169" s="215" t="n"/>
      <c r="O1169" s="215" t="n"/>
      <c r="P1169" s="215" t="n"/>
      <c r="Q1169" s="215" t="n"/>
      <c r="R1169" s="215" t="n"/>
      <c r="S1169" s="215" t="n"/>
      <c r="T1169" s="215" t="n"/>
      <c r="U1169" s="215" t="n"/>
      <c r="V1169" s="215" t="n"/>
      <c r="W1169" s="215" t="n"/>
      <c r="X1169" s="215" t="n"/>
      <c r="Y1169" s="215" t="n"/>
      <c r="Z1169" s="215" t="n"/>
      <c r="AA1169" s="215" t="n"/>
      <c r="AB1169" s="215" t="n"/>
      <c r="AC1169" s="215" t="n"/>
      <c r="AD1169" s="215" t="n"/>
      <c r="AE1169" s="215" t="n"/>
      <c r="AF1169" s="215" t="n"/>
      <c r="AG1169" s="215" t="n"/>
      <c r="AH1169" s="215" t="n"/>
      <c r="AI1169" s="215" t="n"/>
      <c r="AJ1169" s="215" t="n"/>
      <c r="AK1169" s="216" t="n"/>
    </row>
    <row r="1170" ht="15" customHeight="1">
      <c r="B1170" s="134" t="n"/>
      <c r="C1170" s="105" t="n"/>
      <c r="D1170" s="105" t="n"/>
      <c r="E1170" s="105" t="n"/>
      <c r="F1170" s="105" t="n"/>
      <c r="G1170" s="105" t="n"/>
      <c r="H1170" s="2" t="n"/>
      <c r="I1170" s="105" t="n"/>
      <c r="K1170" s="215" t="n"/>
      <c r="L1170" s="215" t="n"/>
      <c r="M1170" s="215" t="n"/>
      <c r="N1170" s="215" t="n"/>
      <c r="O1170" s="215" t="n"/>
      <c r="P1170" s="215" t="n"/>
      <c r="Q1170" s="215" t="n"/>
      <c r="R1170" s="215" t="n"/>
      <c r="S1170" s="215" t="n"/>
      <c r="T1170" s="215" t="n"/>
      <c r="U1170" s="215" t="n"/>
      <c r="V1170" s="215" t="n"/>
      <c r="W1170" s="215" t="n"/>
      <c r="X1170" s="215" t="n"/>
      <c r="Y1170" s="215" t="n"/>
      <c r="Z1170" s="215" t="n"/>
      <c r="AA1170" s="215" t="n"/>
      <c r="AB1170" s="215" t="n"/>
      <c r="AC1170" s="215" t="n"/>
      <c r="AD1170" s="215" t="n"/>
      <c r="AE1170" s="215" t="n"/>
      <c r="AF1170" s="215" t="n"/>
      <c r="AG1170" s="215" t="n"/>
      <c r="AH1170" s="215" t="n"/>
      <c r="AI1170" s="215" t="n"/>
      <c r="AJ1170" s="215" t="n"/>
      <c r="AK1170" s="216" t="n"/>
    </row>
    <row r="1171" ht="15" customHeight="1">
      <c r="B1171" s="134" t="n"/>
      <c r="C1171" s="105" t="n"/>
      <c r="D1171" s="105" t="n"/>
      <c r="E1171" s="105" t="n"/>
      <c r="F1171" s="105" t="n"/>
      <c r="G1171" s="105" t="n"/>
      <c r="H1171" s="2" t="n"/>
      <c r="I1171" s="105" t="n"/>
      <c r="K1171" s="215" t="n"/>
      <c r="L1171" s="215" t="n"/>
      <c r="M1171" s="215" t="n"/>
      <c r="N1171" s="215" t="n"/>
      <c r="O1171" s="215" t="n"/>
      <c r="P1171" s="215" t="n"/>
      <c r="Q1171" s="215" t="n"/>
      <c r="R1171" s="215" t="n"/>
      <c r="S1171" s="215" t="n"/>
      <c r="T1171" s="215" t="n"/>
      <c r="U1171" s="215" t="n"/>
      <c r="V1171" s="215" t="n"/>
      <c r="W1171" s="215" t="n"/>
      <c r="X1171" s="215" t="n"/>
      <c r="Y1171" s="215" t="n"/>
      <c r="Z1171" s="215" t="n"/>
      <c r="AA1171" s="215" t="n"/>
      <c r="AB1171" s="215" t="n"/>
      <c r="AC1171" s="215" t="n"/>
      <c r="AD1171" s="215" t="n"/>
      <c r="AE1171" s="215" t="n"/>
      <c r="AF1171" s="215" t="n"/>
      <c r="AG1171" s="215" t="n"/>
      <c r="AH1171" s="215" t="n"/>
      <c r="AI1171" s="215" t="n"/>
      <c r="AJ1171" s="215" t="n"/>
      <c r="AK1171" s="216" t="n"/>
    </row>
    <row r="1172" ht="15" customHeight="1">
      <c r="B1172" s="134" t="n"/>
      <c r="C1172" s="105" t="n"/>
      <c r="D1172" s="105" t="n"/>
      <c r="E1172" s="105" t="n"/>
      <c r="F1172" s="105" t="n"/>
      <c r="G1172" s="105" t="n"/>
      <c r="H1172" s="2" t="n"/>
      <c r="I1172" s="105" t="n"/>
      <c r="K1172" s="215" t="n"/>
      <c r="L1172" s="215" t="n"/>
      <c r="M1172" s="215" t="n"/>
      <c r="N1172" s="215" t="n"/>
      <c r="O1172" s="215" t="n"/>
      <c r="P1172" s="215" t="n"/>
      <c r="Q1172" s="215" t="n"/>
      <c r="R1172" s="215" t="n"/>
      <c r="S1172" s="215" t="n"/>
      <c r="T1172" s="215" t="n"/>
      <c r="U1172" s="215" t="n"/>
      <c r="V1172" s="215" t="n"/>
      <c r="W1172" s="215" t="n"/>
      <c r="X1172" s="215" t="n"/>
      <c r="Y1172" s="215" t="n"/>
      <c r="Z1172" s="215" t="n"/>
      <c r="AA1172" s="215" t="n"/>
      <c r="AB1172" s="215" t="n"/>
      <c r="AC1172" s="215" t="n"/>
      <c r="AD1172" s="215" t="n"/>
      <c r="AE1172" s="215" t="n"/>
      <c r="AF1172" s="215" t="n"/>
      <c r="AG1172" s="215" t="n"/>
      <c r="AH1172" s="215" t="n"/>
      <c r="AI1172" s="215" t="n"/>
      <c r="AJ1172" s="215" t="n"/>
      <c r="AK1172" s="216" t="n"/>
    </row>
    <row r="1173" ht="15" customHeight="1">
      <c r="B1173" s="134" t="n"/>
      <c r="C1173" s="105" t="n"/>
      <c r="D1173" s="105" t="n"/>
      <c r="E1173" s="105" t="n"/>
      <c r="F1173" s="105" t="n"/>
      <c r="G1173" s="105" t="n"/>
      <c r="H1173" s="2" t="n"/>
      <c r="I1173" s="105" t="n"/>
      <c r="K1173" s="215" t="n"/>
      <c r="L1173" s="215" t="n"/>
      <c r="M1173" s="215" t="n"/>
      <c r="N1173" s="215" t="n"/>
      <c r="O1173" s="215" t="n"/>
      <c r="P1173" s="215" t="n"/>
      <c r="Q1173" s="215" t="n"/>
      <c r="R1173" s="215" t="n"/>
      <c r="S1173" s="215" t="n"/>
      <c r="T1173" s="215" t="n"/>
      <c r="U1173" s="215" t="n"/>
      <c r="V1173" s="215" t="n"/>
      <c r="W1173" s="215" t="n"/>
      <c r="X1173" s="215" t="n"/>
      <c r="Y1173" s="215" t="n"/>
      <c r="Z1173" s="215" t="n"/>
      <c r="AA1173" s="215" t="n"/>
      <c r="AB1173" s="215" t="n"/>
      <c r="AC1173" s="215" t="n"/>
      <c r="AD1173" s="215" t="n"/>
      <c r="AE1173" s="215" t="n"/>
      <c r="AF1173" s="215" t="n"/>
      <c r="AG1173" s="215" t="n"/>
      <c r="AH1173" s="215" t="n"/>
      <c r="AI1173" s="215" t="n"/>
      <c r="AJ1173" s="215" t="n"/>
      <c r="AK1173" s="216" t="n"/>
    </row>
    <row r="1174" ht="15" customHeight="1">
      <c r="B1174" s="134" t="n"/>
      <c r="C1174" s="105" t="n"/>
      <c r="D1174" s="105" t="n"/>
      <c r="E1174" s="105" t="n"/>
      <c r="F1174" s="105" t="n"/>
      <c r="G1174" s="105" t="n"/>
      <c r="H1174" s="2" t="n"/>
      <c r="I1174" s="105" t="n"/>
      <c r="K1174" s="215" t="n"/>
      <c r="L1174" s="215" t="n"/>
      <c r="M1174" s="215" t="n"/>
      <c r="N1174" s="215" t="n"/>
      <c r="O1174" s="215" t="n"/>
      <c r="P1174" s="215" t="n"/>
      <c r="Q1174" s="215" t="n"/>
      <c r="R1174" s="215" t="n"/>
      <c r="S1174" s="215" t="n"/>
      <c r="T1174" s="215" t="n"/>
      <c r="U1174" s="215" t="n"/>
      <c r="V1174" s="215" t="n"/>
      <c r="W1174" s="215" t="n"/>
      <c r="X1174" s="215" t="n"/>
      <c r="Y1174" s="215" t="n"/>
      <c r="Z1174" s="215" t="n"/>
      <c r="AA1174" s="215" t="n"/>
      <c r="AB1174" s="215" t="n"/>
      <c r="AC1174" s="215" t="n"/>
      <c r="AD1174" s="215" t="n"/>
      <c r="AE1174" s="215" t="n"/>
      <c r="AF1174" s="215" t="n"/>
      <c r="AG1174" s="215" t="n"/>
      <c r="AH1174" s="215" t="n"/>
      <c r="AI1174" s="215" t="n"/>
      <c r="AJ1174" s="215" t="n"/>
      <c r="AK1174" s="216" t="n"/>
    </row>
    <row r="1175" ht="15" customHeight="1">
      <c r="B1175" s="134" t="n"/>
      <c r="C1175" s="105" t="n"/>
      <c r="D1175" s="105" t="n"/>
      <c r="E1175" s="105" t="n"/>
      <c r="F1175" s="105" t="n"/>
      <c r="G1175" s="105" t="n"/>
      <c r="H1175" s="2" t="n"/>
      <c r="I1175" s="105" t="n"/>
      <c r="K1175" s="215" t="n"/>
      <c r="L1175" s="215" t="n"/>
      <c r="M1175" s="215" t="n"/>
      <c r="N1175" s="215" t="n"/>
      <c r="O1175" s="215" t="n"/>
      <c r="P1175" s="215" t="n"/>
      <c r="Q1175" s="215" t="n"/>
      <c r="R1175" s="215" t="n"/>
      <c r="S1175" s="215" t="n"/>
      <c r="T1175" s="215" t="n"/>
      <c r="U1175" s="215" t="n"/>
      <c r="V1175" s="215" t="n"/>
      <c r="W1175" s="215" t="n"/>
      <c r="X1175" s="215" t="n"/>
      <c r="Y1175" s="215" t="n"/>
      <c r="Z1175" s="215" t="n"/>
      <c r="AA1175" s="215" t="n"/>
      <c r="AB1175" s="215" t="n"/>
      <c r="AC1175" s="215" t="n"/>
      <c r="AD1175" s="215" t="n"/>
      <c r="AE1175" s="215" t="n"/>
      <c r="AF1175" s="215" t="n"/>
      <c r="AG1175" s="215" t="n"/>
      <c r="AH1175" s="215" t="n"/>
      <c r="AI1175" s="215" t="n"/>
      <c r="AJ1175" s="215" t="n"/>
      <c r="AK1175" s="216" t="n"/>
    </row>
    <row r="1176" ht="15" customHeight="1">
      <c r="B1176" s="134" t="n"/>
      <c r="C1176" s="105" t="n"/>
      <c r="D1176" s="105" t="n"/>
      <c r="E1176" s="105" t="n"/>
      <c r="F1176" s="105" t="n"/>
      <c r="G1176" s="105" t="n"/>
      <c r="H1176" s="2" t="n"/>
      <c r="I1176" s="105" t="n"/>
      <c r="K1176" s="215" t="n"/>
      <c r="L1176" s="215" t="n"/>
      <c r="M1176" s="215" t="n"/>
      <c r="N1176" s="215" t="n"/>
      <c r="O1176" s="215" t="n"/>
      <c r="P1176" s="215" t="n"/>
      <c r="Q1176" s="215" t="n"/>
      <c r="R1176" s="215" t="n"/>
      <c r="S1176" s="215" t="n"/>
      <c r="T1176" s="215" t="n"/>
      <c r="U1176" s="215" t="n"/>
      <c r="V1176" s="215" t="n"/>
      <c r="W1176" s="215" t="n"/>
      <c r="X1176" s="215" t="n"/>
      <c r="Y1176" s="215" t="n"/>
      <c r="Z1176" s="215" t="n"/>
      <c r="AA1176" s="215" t="n"/>
      <c r="AB1176" s="215" t="n"/>
      <c r="AC1176" s="215" t="n"/>
      <c r="AD1176" s="215" t="n"/>
      <c r="AE1176" s="215" t="n"/>
      <c r="AF1176" s="215" t="n"/>
      <c r="AG1176" s="215" t="n"/>
      <c r="AH1176" s="215" t="n"/>
      <c r="AI1176" s="215" t="n"/>
      <c r="AJ1176" s="215" t="n"/>
      <c r="AK1176" s="216" t="n"/>
    </row>
    <row r="1177" ht="15" customHeight="1">
      <c r="B1177" s="134" t="n"/>
      <c r="C1177" s="105" t="n"/>
      <c r="D1177" s="105" t="n"/>
      <c r="E1177" s="105" t="n"/>
      <c r="F1177" s="105" t="n"/>
      <c r="G1177" s="105" t="n"/>
      <c r="H1177" s="2" t="n"/>
      <c r="I1177" s="105" t="n"/>
      <c r="K1177" s="215" t="n"/>
      <c r="L1177" s="215" t="n"/>
      <c r="M1177" s="215" t="n"/>
      <c r="N1177" s="215" t="n"/>
      <c r="O1177" s="215" t="n"/>
      <c r="P1177" s="215" t="n"/>
      <c r="Q1177" s="215" t="n"/>
      <c r="R1177" s="215" t="n"/>
      <c r="S1177" s="215" t="n"/>
      <c r="T1177" s="215" t="n"/>
      <c r="U1177" s="215" t="n"/>
      <c r="V1177" s="215" t="n"/>
      <c r="W1177" s="215" t="n"/>
      <c r="X1177" s="215" t="n"/>
      <c r="Y1177" s="215" t="n"/>
      <c r="Z1177" s="215" t="n"/>
      <c r="AA1177" s="215" t="n"/>
      <c r="AB1177" s="215" t="n"/>
      <c r="AC1177" s="215" t="n"/>
      <c r="AD1177" s="215" t="n"/>
      <c r="AE1177" s="215" t="n"/>
      <c r="AF1177" s="215" t="n"/>
      <c r="AG1177" s="215" t="n"/>
      <c r="AH1177" s="215" t="n"/>
      <c r="AI1177" s="215" t="n"/>
      <c r="AJ1177" s="215" t="n"/>
      <c r="AK1177" s="216" t="n"/>
    </row>
    <row r="1178" ht="15" customHeight="1">
      <c r="B1178" s="134" t="n"/>
      <c r="C1178" s="105" t="n"/>
      <c r="D1178" s="105" t="n"/>
      <c r="E1178" s="105" t="n"/>
      <c r="F1178" s="105" t="n"/>
      <c r="G1178" s="105" t="n"/>
      <c r="H1178" s="2" t="n"/>
      <c r="I1178" s="105" t="n"/>
      <c r="K1178" s="215" t="n"/>
      <c r="L1178" s="215" t="n"/>
      <c r="M1178" s="215" t="n"/>
      <c r="N1178" s="215" t="n"/>
      <c r="O1178" s="215" t="n"/>
      <c r="P1178" s="215" t="n"/>
      <c r="Q1178" s="215" t="n"/>
      <c r="R1178" s="215" t="n"/>
      <c r="S1178" s="215" t="n"/>
      <c r="T1178" s="215" t="n"/>
      <c r="U1178" s="215" t="n"/>
      <c r="V1178" s="215" t="n"/>
      <c r="W1178" s="215" t="n"/>
      <c r="X1178" s="215" t="n"/>
      <c r="Y1178" s="215" t="n"/>
      <c r="Z1178" s="215" t="n"/>
      <c r="AA1178" s="215" t="n"/>
      <c r="AB1178" s="215" t="n"/>
      <c r="AC1178" s="215" t="n"/>
      <c r="AD1178" s="215" t="n"/>
      <c r="AE1178" s="215" t="n"/>
      <c r="AF1178" s="215" t="n"/>
      <c r="AG1178" s="215" t="n"/>
      <c r="AH1178" s="215" t="n"/>
      <c r="AI1178" s="215" t="n"/>
      <c r="AJ1178" s="215" t="n"/>
      <c r="AK1178" s="216" t="n"/>
    </row>
    <row r="1179" ht="15" customHeight="1">
      <c r="B1179" s="134" t="n"/>
      <c r="C1179" s="105" t="n"/>
      <c r="D1179" s="105" t="n"/>
      <c r="E1179" s="105" t="n"/>
      <c r="F1179" s="105" t="n"/>
      <c r="G1179" s="105" t="n"/>
      <c r="H1179" s="2" t="n"/>
      <c r="I1179" s="105" t="n"/>
      <c r="K1179" s="215" t="n"/>
      <c r="L1179" s="215" t="n"/>
      <c r="M1179" s="215" t="n"/>
      <c r="N1179" s="215" t="n"/>
      <c r="O1179" s="215" t="n"/>
      <c r="P1179" s="215" t="n"/>
      <c r="Q1179" s="215" t="n"/>
      <c r="R1179" s="215" t="n"/>
      <c r="S1179" s="215" t="n"/>
      <c r="T1179" s="215" t="n"/>
      <c r="U1179" s="215" t="n"/>
      <c r="V1179" s="215" t="n"/>
      <c r="W1179" s="215" t="n"/>
      <c r="X1179" s="215" t="n"/>
      <c r="Y1179" s="215" t="n"/>
      <c r="Z1179" s="215" t="n"/>
      <c r="AA1179" s="215" t="n"/>
      <c r="AB1179" s="215" t="n"/>
      <c r="AC1179" s="215" t="n"/>
      <c r="AD1179" s="215" t="n"/>
      <c r="AE1179" s="215" t="n"/>
      <c r="AF1179" s="215" t="n"/>
      <c r="AG1179" s="215" t="n"/>
      <c r="AH1179" s="215" t="n"/>
      <c r="AI1179" s="215" t="n"/>
      <c r="AJ1179" s="215" t="n"/>
      <c r="AK1179" s="216" t="n"/>
    </row>
    <row r="1180" ht="15" customHeight="1">
      <c r="B1180" s="134" t="n"/>
      <c r="C1180" s="105" t="n"/>
      <c r="D1180" s="105" t="n"/>
      <c r="E1180" s="105" t="n"/>
      <c r="F1180" s="105" t="n"/>
      <c r="G1180" s="105" t="n"/>
      <c r="H1180" s="2" t="n"/>
      <c r="I1180" s="105" t="n"/>
      <c r="K1180" s="215" t="n"/>
      <c r="L1180" s="215" t="n"/>
      <c r="M1180" s="215" t="n"/>
      <c r="N1180" s="215" t="n"/>
      <c r="O1180" s="215" t="n"/>
      <c r="P1180" s="215" t="n"/>
      <c r="Q1180" s="215" t="n"/>
      <c r="R1180" s="215" t="n"/>
      <c r="S1180" s="215" t="n"/>
      <c r="T1180" s="215" t="n"/>
      <c r="U1180" s="215" t="n"/>
      <c r="V1180" s="215" t="n"/>
      <c r="W1180" s="215" t="n"/>
      <c r="X1180" s="215" t="n"/>
      <c r="Y1180" s="215" t="n"/>
      <c r="Z1180" s="215" t="n"/>
      <c r="AA1180" s="215" t="n"/>
      <c r="AB1180" s="215" t="n"/>
      <c r="AC1180" s="215" t="n"/>
      <c r="AD1180" s="215" t="n"/>
      <c r="AE1180" s="215" t="n"/>
      <c r="AF1180" s="215" t="n"/>
      <c r="AG1180" s="215" t="n"/>
      <c r="AH1180" s="215" t="n"/>
      <c r="AI1180" s="215" t="n"/>
      <c r="AJ1180" s="215" t="n"/>
      <c r="AK1180" s="216" t="n"/>
    </row>
    <row r="1181" ht="15" customHeight="1">
      <c r="B1181" s="134" t="n"/>
      <c r="C1181" s="105" t="n"/>
      <c r="D1181" s="105" t="n"/>
      <c r="E1181" s="105" t="n"/>
      <c r="F1181" s="105" t="n"/>
      <c r="G1181" s="105" t="n"/>
      <c r="H1181" s="2" t="n"/>
      <c r="I1181" s="105" t="n"/>
      <c r="K1181" s="215" t="n"/>
      <c r="L1181" s="215" t="n"/>
      <c r="M1181" s="215" t="n"/>
      <c r="N1181" s="215" t="n"/>
      <c r="O1181" s="215" t="n"/>
      <c r="P1181" s="215" t="n"/>
      <c r="Q1181" s="215" t="n"/>
      <c r="R1181" s="215" t="n"/>
      <c r="S1181" s="215" t="n"/>
      <c r="T1181" s="215" t="n"/>
      <c r="U1181" s="215" t="n"/>
      <c r="V1181" s="215" t="n"/>
      <c r="W1181" s="215" t="n"/>
      <c r="X1181" s="215" t="n"/>
      <c r="Y1181" s="215" t="n"/>
      <c r="Z1181" s="215" t="n"/>
      <c r="AA1181" s="215" t="n"/>
      <c r="AB1181" s="215" t="n"/>
      <c r="AC1181" s="215" t="n"/>
      <c r="AD1181" s="215" t="n"/>
      <c r="AE1181" s="215" t="n"/>
      <c r="AF1181" s="215" t="n"/>
      <c r="AG1181" s="215" t="n"/>
      <c r="AH1181" s="215" t="n"/>
      <c r="AI1181" s="215" t="n"/>
      <c r="AJ1181" s="215" t="n"/>
      <c r="AK1181" s="216" t="n"/>
    </row>
    <row r="1182" ht="15" customHeight="1">
      <c r="B1182" s="134" t="n"/>
      <c r="C1182" s="105" t="n"/>
      <c r="D1182" s="105" t="n"/>
      <c r="E1182" s="105" t="n"/>
      <c r="F1182" s="105" t="n"/>
      <c r="G1182" s="105" t="n"/>
      <c r="H1182" s="2" t="n"/>
      <c r="I1182" s="105" t="n"/>
      <c r="K1182" s="215" t="n"/>
      <c r="L1182" s="215" t="n"/>
      <c r="M1182" s="215" t="n"/>
      <c r="N1182" s="215" t="n"/>
      <c r="O1182" s="215" t="n"/>
      <c r="P1182" s="215" t="n"/>
      <c r="Q1182" s="215" t="n"/>
      <c r="R1182" s="215" t="n"/>
      <c r="S1182" s="215" t="n"/>
      <c r="T1182" s="215" t="n"/>
      <c r="U1182" s="215" t="n"/>
      <c r="V1182" s="215" t="n"/>
      <c r="W1182" s="215" t="n"/>
      <c r="X1182" s="215" t="n"/>
      <c r="Y1182" s="215" t="n"/>
      <c r="Z1182" s="215" t="n"/>
      <c r="AA1182" s="215" t="n"/>
      <c r="AB1182" s="215" t="n"/>
      <c r="AC1182" s="215" t="n"/>
      <c r="AD1182" s="215" t="n"/>
      <c r="AE1182" s="215" t="n"/>
      <c r="AF1182" s="215" t="n"/>
      <c r="AG1182" s="215" t="n"/>
      <c r="AH1182" s="215" t="n"/>
      <c r="AI1182" s="215" t="n"/>
      <c r="AJ1182" s="215" t="n"/>
      <c r="AK1182" s="216" t="n"/>
    </row>
    <row r="1183" ht="15" customHeight="1">
      <c r="B1183" s="134" t="n"/>
      <c r="C1183" s="105" t="n"/>
      <c r="D1183" s="105" t="n"/>
      <c r="E1183" s="105" t="n"/>
      <c r="F1183" s="105" t="n"/>
      <c r="G1183" s="105" t="n"/>
      <c r="H1183" s="2" t="n"/>
      <c r="I1183" s="105" t="n"/>
      <c r="K1183" s="215" t="n"/>
      <c r="L1183" s="215" t="n"/>
      <c r="M1183" s="215" t="n"/>
      <c r="N1183" s="215" t="n"/>
      <c r="O1183" s="215" t="n"/>
      <c r="P1183" s="215" t="n"/>
      <c r="Q1183" s="215" t="n"/>
      <c r="R1183" s="215" t="n"/>
      <c r="S1183" s="215" t="n"/>
      <c r="T1183" s="215" t="n"/>
      <c r="U1183" s="215" t="n"/>
      <c r="V1183" s="215" t="n"/>
      <c r="W1183" s="215" t="n"/>
      <c r="X1183" s="215" t="n"/>
      <c r="Y1183" s="215" t="n"/>
      <c r="Z1183" s="215" t="n"/>
      <c r="AA1183" s="215" t="n"/>
      <c r="AB1183" s="215" t="n"/>
      <c r="AC1183" s="215" t="n"/>
      <c r="AD1183" s="215" t="n"/>
      <c r="AE1183" s="215" t="n"/>
      <c r="AF1183" s="215" t="n"/>
      <c r="AG1183" s="215" t="n"/>
      <c r="AH1183" s="215" t="n"/>
      <c r="AI1183" s="215" t="n"/>
      <c r="AJ1183" s="215" t="n"/>
      <c r="AK1183" s="216" t="n"/>
    </row>
    <row r="1184" ht="15" customHeight="1">
      <c r="B1184" s="134" t="n"/>
      <c r="C1184" s="105" t="n"/>
      <c r="D1184" s="105" t="n"/>
      <c r="E1184" s="105" t="n"/>
      <c r="F1184" s="105" t="n"/>
      <c r="G1184" s="105" t="n"/>
      <c r="H1184" s="2" t="n"/>
      <c r="I1184" s="105" t="n"/>
      <c r="K1184" s="215" t="n"/>
      <c r="L1184" s="215" t="n"/>
      <c r="M1184" s="215" t="n"/>
      <c r="N1184" s="215" t="n"/>
      <c r="O1184" s="215" t="n"/>
      <c r="P1184" s="215" t="n"/>
      <c r="Q1184" s="215" t="n"/>
      <c r="R1184" s="215" t="n"/>
      <c r="S1184" s="215" t="n"/>
      <c r="T1184" s="215" t="n"/>
      <c r="U1184" s="215" t="n"/>
      <c r="V1184" s="215" t="n"/>
      <c r="W1184" s="215" t="n"/>
      <c r="X1184" s="215" t="n"/>
      <c r="Y1184" s="215" t="n"/>
      <c r="Z1184" s="215" t="n"/>
      <c r="AA1184" s="215" t="n"/>
      <c r="AB1184" s="215" t="n"/>
      <c r="AC1184" s="215" t="n"/>
      <c r="AD1184" s="215" t="n"/>
      <c r="AE1184" s="215" t="n"/>
      <c r="AF1184" s="215" t="n"/>
      <c r="AG1184" s="215" t="n"/>
      <c r="AH1184" s="215" t="n"/>
      <c r="AI1184" s="215" t="n"/>
      <c r="AJ1184" s="215" t="n"/>
      <c r="AK1184" s="216" t="n"/>
    </row>
    <row r="1185" ht="15" customHeight="1">
      <c r="B1185" s="134" t="n"/>
      <c r="C1185" s="105" t="n"/>
      <c r="D1185" s="105" t="n"/>
      <c r="E1185" s="105" t="n"/>
      <c r="F1185" s="105" t="n"/>
      <c r="G1185" s="105" t="n"/>
      <c r="H1185" s="2" t="n"/>
      <c r="I1185" s="105" t="n"/>
      <c r="K1185" s="215" t="n"/>
      <c r="L1185" s="215" t="n"/>
      <c r="M1185" s="215" t="n"/>
      <c r="N1185" s="215" t="n"/>
      <c r="O1185" s="215" t="n"/>
      <c r="P1185" s="215" t="n"/>
      <c r="Q1185" s="215" t="n"/>
      <c r="R1185" s="215" t="n"/>
      <c r="S1185" s="215" t="n"/>
      <c r="T1185" s="215" t="n"/>
      <c r="U1185" s="215" t="n"/>
      <c r="V1185" s="215" t="n"/>
      <c r="W1185" s="215" t="n"/>
      <c r="X1185" s="215" t="n"/>
      <c r="Y1185" s="215" t="n"/>
      <c r="Z1185" s="215" t="n"/>
      <c r="AA1185" s="215" t="n"/>
      <c r="AB1185" s="215" t="n"/>
      <c r="AC1185" s="215" t="n"/>
      <c r="AD1185" s="215" t="n"/>
      <c r="AE1185" s="215" t="n"/>
      <c r="AF1185" s="215" t="n"/>
      <c r="AG1185" s="215" t="n"/>
      <c r="AH1185" s="215" t="n"/>
      <c r="AI1185" s="215" t="n"/>
      <c r="AJ1185" s="215" t="n"/>
      <c r="AK1185" s="216" t="n"/>
    </row>
    <row r="1186" ht="15" customHeight="1">
      <c r="B1186" s="134" t="n"/>
      <c r="C1186" s="105" t="n"/>
      <c r="D1186" s="105" t="n"/>
      <c r="E1186" s="105" t="n"/>
      <c r="F1186" s="105" t="n"/>
      <c r="G1186" s="105" t="n"/>
      <c r="H1186" s="2" t="n"/>
      <c r="I1186" s="105" t="n"/>
      <c r="K1186" s="215" t="n"/>
      <c r="L1186" s="215" t="n"/>
      <c r="M1186" s="215" t="n"/>
      <c r="N1186" s="215" t="n"/>
      <c r="O1186" s="215" t="n"/>
      <c r="P1186" s="215" t="n"/>
      <c r="Q1186" s="215" t="n"/>
      <c r="R1186" s="215" t="n"/>
      <c r="S1186" s="215" t="n"/>
      <c r="T1186" s="215" t="n"/>
      <c r="U1186" s="215" t="n"/>
      <c r="V1186" s="215" t="n"/>
      <c r="W1186" s="215" t="n"/>
      <c r="X1186" s="215" t="n"/>
      <c r="Y1186" s="215" t="n"/>
      <c r="Z1186" s="215" t="n"/>
      <c r="AA1186" s="215" t="n"/>
      <c r="AB1186" s="215" t="n"/>
      <c r="AC1186" s="215" t="n"/>
      <c r="AD1186" s="215" t="n"/>
      <c r="AE1186" s="215" t="n"/>
      <c r="AF1186" s="215" t="n"/>
      <c r="AG1186" s="215" t="n"/>
      <c r="AH1186" s="215" t="n"/>
      <c r="AI1186" s="215" t="n"/>
      <c r="AJ1186" s="215" t="n"/>
      <c r="AK1186" s="216" t="n"/>
    </row>
    <row r="1187" ht="15" customHeight="1">
      <c r="B1187" s="134" t="n"/>
      <c r="C1187" s="105" t="n"/>
      <c r="D1187" s="105" t="n"/>
      <c r="E1187" s="105" t="n"/>
      <c r="F1187" s="105" t="n"/>
      <c r="G1187" s="105" t="n"/>
      <c r="H1187" s="2" t="n"/>
      <c r="I1187" s="105" t="n"/>
      <c r="K1187" s="215" t="n"/>
      <c r="L1187" s="215" t="n"/>
      <c r="M1187" s="215" t="n"/>
      <c r="N1187" s="215" t="n"/>
      <c r="O1187" s="215" t="n"/>
      <c r="P1187" s="215" t="n"/>
      <c r="Q1187" s="215" t="n"/>
      <c r="R1187" s="215" t="n"/>
      <c r="S1187" s="215" t="n"/>
      <c r="T1187" s="215" t="n"/>
      <c r="U1187" s="215" t="n"/>
      <c r="V1187" s="215" t="n"/>
      <c r="W1187" s="215" t="n"/>
      <c r="X1187" s="215" t="n"/>
      <c r="Y1187" s="215" t="n"/>
      <c r="Z1187" s="215" t="n"/>
      <c r="AA1187" s="215" t="n"/>
      <c r="AB1187" s="215" t="n"/>
      <c r="AC1187" s="215" t="n"/>
      <c r="AD1187" s="215" t="n"/>
      <c r="AE1187" s="215" t="n"/>
      <c r="AF1187" s="215" t="n"/>
      <c r="AG1187" s="215" t="n"/>
      <c r="AH1187" s="215" t="n"/>
      <c r="AI1187" s="215" t="n"/>
      <c r="AJ1187" s="215" t="n"/>
      <c r="AK1187" s="216" t="n"/>
    </row>
    <row r="1188" ht="15" customHeight="1">
      <c r="B1188" s="134" t="n"/>
      <c r="C1188" s="105" t="n"/>
      <c r="D1188" s="105" t="n"/>
      <c r="E1188" s="105" t="n"/>
      <c r="F1188" s="105" t="n"/>
      <c r="G1188" s="105" t="n"/>
      <c r="H1188" s="2" t="n"/>
      <c r="I1188" s="105" t="n"/>
      <c r="K1188" s="215" t="n"/>
      <c r="L1188" s="215" t="n"/>
      <c r="M1188" s="215" t="n"/>
      <c r="N1188" s="215" t="n"/>
      <c r="O1188" s="215" t="n"/>
      <c r="P1188" s="215" t="n"/>
      <c r="Q1188" s="215" t="n"/>
      <c r="R1188" s="215" t="n"/>
      <c r="S1188" s="215" t="n"/>
      <c r="T1188" s="215" t="n"/>
      <c r="U1188" s="215" t="n"/>
      <c r="V1188" s="215" t="n"/>
      <c r="W1188" s="215" t="n"/>
      <c r="X1188" s="215" t="n"/>
      <c r="Y1188" s="215" t="n"/>
      <c r="Z1188" s="215" t="n"/>
      <c r="AA1188" s="215" t="n"/>
      <c r="AB1188" s="215" t="n"/>
      <c r="AC1188" s="215" t="n"/>
      <c r="AD1188" s="215" t="n"/>
      <c r="AE1188" s="215" t="n"/>
      <c r="AF1188" s="215" t="n"/>
      <c r="AG1188" s="215" t="n"/>
      <c r="AH1188" s="215" t="n"/>
      <c r="AI1188" s="215" t="n"/>
      <c r="AJ1188" s="215" t="n"/>
      <c r="AK1188" s="216" t="n"/>
    </row>
    <row r="1189" ht="15" customHeight="1">
      <c r="B1189" s="134" t="n"/>
      <c r="C1189" s="105" t="n"/>
      <c r="D1189" s="105" t="n"/>
      <c r="E1189" s="105" t="n"/>
      <c r="F1189" s="105" t="n"/>
      <c r="G1189" s="105" t="n"/>
      <c r="H1189" s="2" t="n"/>
      <c r="I1189" s="105" t="n"/>
      <c r="K1189" s="215" t="n"/>
      <c r="L1189" s="215" t="n"/>
      <c r="M1189" s="215" t="n"/>
      <c r="N1189" s="215" t="n"/>
      <c r="O1189" s="215" t="n"/>
      <c r="P1189" s="215" t="n"/>
      <c r="Q1189" s="215" t="n"/>
      <c r="R1189" s="215" t="n"/>
      <c r="S1189" s="215" t="n"/>
      <c r="T1189" s="215" t="n"/>
      <c r="U1189" s="215" t="n"/>
      <c r="V1189" s="215" t="n"/>
      <c r="W1189" s="215" t="n"/>
      <c r="X1189" s="215" t="n"/>
      <c r="Y1189" s="215" t="n"/>
      <c r="Z1189" s="215" t="n"/>
      <c r="AA1189" s="215" t="n"/>
      <c r="AB1189" s="215" t="n"/>
      <c r="AC1189" s="215" t="n"/>
      <c r="AD1189" s="215" t="n"/>
      <c r="AE1189" s="215" t="n"/>
      <c r="AF1189" s="215" t="n"/>
      <c r="AG1189" s="215" t="n"/>
      <c r="AH1189" s="215" t="n"/>
      <c r="AI1189" s="215" t="n"/>
      <c r="AJ1189" s="215" t="n"/>
      <c r="AK1189" s="216" t="n"/>
    </row>
    <row r="1190" ht="15" customHeight="1">
      <c r="B1190" s="134" t="n"/>
      <c r="C1190" s="105" t="n"/>
      <c r="D1190" s="105" t="n"/>
      <c r="E1190" s="105" t="n"/>
      <c r="F1190" s="105" t="n"/>
      <c r="G1190" s="105" t="n"/>
      <c r="H1190" s="2" t="n"/>
      <c r="I1190" s="105" t="n"/>
      <c r="K1190" s="215" t="n"/>
      <c r="L1190" s="215" t="n"/>
      <c r="M1190" s="215" t="n"/>
      <c r="N1190" s="215" t="n"/>
      <c r="O1190" s="215" t="n"/>
      <c r="P1190" s="215" t="n"/>
      <c r="Q1190" s="215" t="n"/>
      <c r="R1190" s="215" t="n"/>
      <c r="S1190" s="215" t="n"/>
      <c r="T1190" s="215" t="n"/>
      <c r="U1190" s="215" t="n"/>
      <c r="V1190" s="215" t="n"/>
      <c r="W1190" s="215" t="n"/>
      <c r="X1190" s="215" t="n"/>
      <c r="Y1190" s="215" t="n"/>
      <c r="Z1190" s="215" t="n"/>
      <c r="AA1190" s="215" t="n"/>
      <c r="AB1190" s="215" t="n"/>
      <c r="AC1190" s="215" t="n"/>
      <c r="AD1190" s="215" t="n"/>
      <c r="AE1190" s="215" t="n"/>
      <c r="AF1190" s="215" t="n"/>
      <c r="AG1190" s="215" t="n"/>
      <c r="AH1190" s="215" t="n"/>
      <c r="AI1190" s="215" t="n"/>
      <c r="AJ1190" s="215" t="n"/>
      <c r="AK1190" s="216" t="n"/>
    </row>
    <row r="1191" ht="15" customHeight="1">
      <c r="B1191" s="134" t="n"/>
      <c r="C1191" s="105" t="n"/>
      <c r="D1191" s="105" t="n"/>
      <c r="E1191" s="105" t="n"/>
      <c r="F1191" s="105" t="n"/>
      <c r="G1191" s="105" t="n"/>
      <c r="H1191" s="2" t="n"/>
      <c r="I1191" s="105" t="n"/>
      <c r="K1191" s="215" t="n"/>
      <c r="L1191" s="215" t="n"/>
      <c r="M1191" s="215" t="n"/>
      <c r="N1191" s="215" t="n"/>
      <c r="O1191" s="215" t="n"/>
      <c r="P1191" s="215" t="n"/>
      <c r="Q1191" s="215" t="n"/>
      <c r="R1191" s="215" t="n"/>
      <c r="S1191" s="215" t="n"/>
      <c r="T1191" s="215" t="n"/>
      <c r="U1191" s="215" t="n"/>
      <c r="V1191" s="215" t="n"/>
      <c r="W1191" s="215" t="n"/>
      <c r="X1191" s="215" t="n"/>
      <c r="Y1191" s="215" t="n"/>
      <c r="Z1191" s="215" t="n"/>
      <c r="AA1191" s="215" t="n"/>
      <c r="AB1191" s="215" t="n"/>
      <c r="AC1191" s="215" t="n"/>
      <c r="AD1191" s="215" t="n"/>
      <c r="AE1191" s="215" t="n"/>
      <c r="AF1191" s="215" t="n"/>
      <c r="AG1191" s="215" t="n"/>
      <c r="AH1191" s="215" t="n"/>
      <c r="AI1191" s="215" t="n"/>
      <c r="AJ1191" s="215" t="n"/>
      <c r="AK1191" s="216" t="n"/>
    </row>
    <row r="1192" ht="15" customHeight="1">
      <c r="B1192" s="134" t="n"/>
      <c r="C1192" s="105" t="n"/>
      <c r="D1192" s="105" t="n"/>
      <c r="E1192" s="105" t="n"/>
      <c r="F1192" s="105" t="n"/>
      <c r="G1192" s="105" t="n"/>
      <c r="H1192" s="2" t="n"/>
      <c r="I1192" s="105" t="n"/>
      <c r="K1192" s="215" t="n"/>
      <c r="L1192" s="215" t="n"/>
      <c r="M1192" s="215" t="n"/>
      <c r="N1192" s="215" t="n"/>
      <c r="O1192" s="215" t="n"/>
      <c r="P1192" s="215" t="n"/>
      <c r="Q1192" s="215" t="n"/>
      <c r="R1192" s="215" t="n"/>
      <c r="S1192" s="215" t="n"/>
      <c r="T1192" s="215" t="n"/>
      <c r="U1192" s="215" t="n"/>
      <c r="V1192" s="215" t="n"/>
      <c r="W1192" s="215" t="n"/>
      <c r="X1192" s="215" t="n"/>
      <c r="Y1192" s="215" t="n"/>
      <c r="Z1192" s="215" t="n"/>
      <c r="AA1192" s="215" t="n"/>
      <c r="AB1192" s="215" t="n"/>
      <c r="AC1192" s="215" t="n"/>
      <c r="AD1192" s="215" t="n"/>
      <c r="AE1192" s="215" t="n"/>
      <c r="AF1192" s="215" t="n"/>
      <c r="AG1192" s="215" t="n"/>
      <c r="AH1192" s="215" t="n"/>
      <c r="AI1192" s="215" t="n"/>
      <c r="AJ1192" s="215" t="n"/>
      <c r="AK1192" s="216" t="n"/>
    </row>
    <row r="1193" ht="15" customHeight="1">
      <c r="B1193" s="134" t="n"/>
      <c r="C1193" s="105" t="n"/>
      <c r="D1193" s="105" t="n"/>
      <c r="E1193" s="105" t="n"/>
      <c r="F1193" s="105" t="n"/>
      <c r="G1193" s="105" t="n"/>
      <c r="H1193" s="2" t="n"/>
      <c r="I1193" s="105" t="n"/>
      <c r="K1193" s="215" t="n"/>
      <c r="L1193" s="215" t="n"/>
      <c r="M1193" s="215" t="n"/>
      <c r="N1193" s="215" t="n"/>
      <c r="O1193" s="215" t="n"/>
      <c r="P1193" s="215" t="n"/>
      <c r="Q1193" s="215" t="n"/>
      <c r="R1193" s="215" t="n"/>
      <c r="S1193" s="215" t="n"/>
      <c r="T1193" s="215" t="n"/>
      <c r="U1193" s="215" t="n"/>
      <c r="V1193" s="215" t="n"/>
      <c r="W1193" s="215" t="n"/>
      <c r="X1193" s="215" t="n"/>
      <c r="Y1193" s="215" t="n"/>
      <c r="Z1193" s="215" t="n"/>
      <c r="AA1193" s="215" t="n"/>
      <c r="AB1193" s="215" t="n"/>
      <c r="AC1193" s="215" t="n"/>
      <c r="AD1193" s="215" t="n"/>
      <c r="AE1193" s="215" t="n"/>
      <c r="AF1193" s="215" t="n"/>
      <c r="AG1193" s="215" t="n"/>
      <c r="AH1193" s="215" t="n"/>
      <c r="AI1193" s="215" t="n"/>
      <c r="AJ1193" s="215" t="n"/>
      <c r="AK1193" s="216" t="n"/>
    </row>
    <row r="1194" ht="15" customHeight="1">
      <c r="B1194" s="134" t="n"/>
      <c r="C1194" s="105" t="n"/>
      <c r="D1194" s="105" t="n"/>
      <c r="E1194" s="105" t="n"/>
      <c r="F1194" s="105" t="n"/>
      <c r="G1194" s="105" t="n"/>
      <c r="H1194" s="2" t="n"/>
      <c r="I1194" s="105" t="n"/>
      <c r="K1194" s="215" t="n"/>
      <c r="L1194" s="215" t="n"/>
      <c r="M1194" s="215" t="n"/>
      <c r="N1194" s="215" t="n"/>
      <c r="O1194" s="215" t="n"/>
      <c r="P1194" s="215" t="n"/>
      <c r="Q1194" s="215" t="n"/>
      <c r="R1194" s="215" t="n"/>
      <c r="S1194" s="215" t="n"/>
      <c r="T1194" s="215" t="n"/>
      <c r="U1194" s="215" t="n"/>
      <c r="V1194" s="215" t="n"/>
      <c r="W1194" s="215" t="n"/>
      <c r="X1194" s="215" t="n"/>
      <c r="Y1194" s="215" t="n"/>
      <c r="Z1194" s="215" t="n"/>
      <c r="AA1194" s="215" t="n"/>
      <c r="AB1194" s="215" t="n"/>
      <c r="AC1194" s="215" t="n"/>
      <c r="AD1194" s="215" t="n"/>
      <c r="AE1194" s="215" t="n"/>
      <c r="AF1194" s="215" t="n"/>
      <c r="AG1194" s="215" t="n"/>
      <c r="AH1194" s="215" t="n"/>
      <c r="AI1194" s="215" t="n"/>
      <c r="AJ1194" s="215" t="n"/>
      <c r="AK1194" s="216" t="n"/>
    </row>
    <row r="1195" ht="15" customHeight="1">
      <c r="B1195" s="134" t="n"/>
      <c r="C1195" s="105" t="n"/>
      <c r="D1195" s="105" t="n"/>
      <c r="E1195" s="105" t="n"/>
      <c r="F1195" s="105" t="n"/>
      <c r="G1195" s="105" t="n"/>
      <c r="H1195" s="2" t="n"/>
      <c r="I1195" s="105" t="n"/>
      <c r="K1195" s="215" t="n"/>
      <c r="L1195" s="215" t="n"/>
      <c r="M1195" s="215" t="n"/>
      <c r="N1195" s="215" t="n"/>
      <c r="O1195" s="215" t="n"/>
      <c r="P1195" s="215" t="n"/>
      <c r="Q1195" s="215" t="n"/>
      <c r="R1195" s="215" t="n"/>
      <c r="S1195" s="215" t="n"/>
      <c r="T1195" s="215" t="n"/>
      <c r="U1195" s="215" t="n"/>
      <c r="V1195" s="215" t="n"/>
      <c r="W1195" s="215" t="n"/>
      <c r="X1195" s="215" t="n"/>
      <c r="Y1195" s="215" t="n"/>
      <c r="Z1195" s="215" t="n"/>
      <c r="AA1195" s="215" t="n"/>
      <c r="AB1195" s="215" t="n"/>
      <c r="AC1195" s="215" t="n"/>
      <c r="AD1195" s="215" t="n"/>
      <c r="AE1195" s="215" t="n"/>
      <c r="AF1195" s="215" t="n"/>
      <c r="AG1195" s="215" t="n"/>
      <c r="AH1195" s="215" t="n"/>
      <c r="AI1195" s="215" t="n"/>
      <c r="AJ1195" s="215" t="n"/>
      <c r="AK1195" s="216" t="n"/>
    </row>
    <row r="1196" ht="15" customHeight="1">
      <c r="B1196" s="134" t="n"/>
      <c r="C1196" s="105" t="n"/>
      <c r="D1196" s="105" t="n"/>
      <c r="E1196" s="105" t="n"/>
      <c r="F1196" s="105" t="n"/>
      <c r="G1196" s="105" t="n"/>
      <c r="H1196" s="2" t="n"/>
      <c r="I1196" s="105" t="n"/>
      <c r="K1196" s="215" t="n"/>
      <c r="L1196" s="215" t="n"/>
      <c r="M1196" s="215" t="n"/>
      <c r="N1196" s="215" t="n"/>
      <c r="O1196" s="215" t="n"/>
      <c r="P1196" s="215" t="n"/>
      <c r="Q1196" s="215" t="n"/>
      <c r="R1196" s="215" t="n"/>
      <c r="S1196" s="215" t="n"/>
      <c r="T1196" s="215" t="n"/>
      <c r="U1196" s="215" t="n"/>
      <c r="V1196" s="215" t="n"/>
      <c r="W1196" s="215" t="n"/>
      <c r="X1196" s="215" t="n"/>
      <c r="Y1196" s="215" t="n"/>
      <c r="Z1196" s="215" t="n"/>
      <c r="AA1196" s="215" t="n"/>
      <c r="AB1196" s="215" t="n"/>
      <c r="AC1196" s="215" t="n"/>
      <c r="AD1196" s="215" t="n"/>
      <c r="AE1196" s="215" t="n"/>
      <c r="AF1196" s="215" t="n"/>
      <c r="AG1196" s="215" t="n"/>
      <c r="AH1196" s="215" t="n"/>
      <c r="AI1196" s="215" t="n"/>
      <c r="AJ1196" s="215" t="n"/>
      <c r="AK1196" s="216" t="n"/>
    </row>
    <row r="1197" ht="15" customHeight="1">
      <c r="B1197" s="134" t="n"/>
      <c r="C1197" s="105" t="n"/>
      <c r="D1197" s="105" t="n"/>
      <c r="E1197" s="105" t="n"/>
      <c r="F1197" s="105" t="n"/>
      <c r="G1197" s="105" t="n"/>
      <c r="H1197" s="2" t="n"/>
      <c r="I1197" s="105" t="n"/>
      <c r="K1197" s="215" t="n"/>
      <c r="L1197" s="215" t="n"/>
      <c r="M1197" s="215" t="n"/>
      <c r="N1197" s="215" t="n"/>
      <c r="O1197" s="215" t="n"/>
      <c r="P1197" s="215" t="n"/>
      <c r="Q1197" s="215" t="n"/>
      <c r="R1197" s="215" t="n"/>
      <c r="S1197" s="215" t="n"/>
      <c r="T1197" s="215" t="n"/>
      <c r="U1197" s="215" t="n"/>
      <c r="V1197" s="215" t="n"/>
      <c r="W1197" s="215" t="n"/>
      <c r="X1197" s="215" t="n"/>
      <c r="Y1197" s="215" t="n"/>
      <c r="Z1197" s="215" t="n"/>
      <c r="AA1197" s="215" t="n"/>
      <c r="AB1197" s="215" t="n"/>
      <c r="AC1197" s="215" t="n"/>
      <c r="AD1197" s="215" t="n"/>
      <c r="AE1197" s="215" t="n"/>
      <c r="AF1197" s="215" t="n"/>
      <c r="AG1197" s="215" t="n"/>
      <c r="AH1197" s="215" t="n"/>
      <c r="AI1197" s="215" t="n"/>
      <c r="AJ1197" s="215" t="n"/>
      <c r="AK1197" s="216" t="n"/>
    </row>
    <row r="1198" ht="15" customHeight="1">
      <c r="B1198" s="134" t="n"/>
      <c r="C1198" s="105" t="n"/>
      <c r="D1198" s="105" t="n"/>
      <c r="E1198" s="105" t="n"/>
      <c r="F1198" s="105" t="n"/>
      <c r="G1198" s="105" t="n"/>
      <c r="H1198" s="2" t="n"/>
      <c r="I1198" s="105" t="n"/>
      <c r="K1198" s="215" t="n"/>
      <c r="L1198" s="215" t="n"/>
      <c r="M1198" s="215" t="n"/>
      <c r="N1198" s="215" t="n"/>
      <c r="O1198" s="215" t="n"/>
      <c r="P1198" s="215" t="n"/>
      <c r="Q1198" s="215" t="n"/>
      <c r="R1198" s="215" t="n"/>
      <c r="S1198" s="215" t="n"/>
      <c r="T1198" s="215" t="n"/>
      <c r="U1198" s="215" t="n"/>
      <c r="V1198" s="215" t="n"/>
      <c r="W1198" s="215" t="n"/>
      <c r="X1198" s="215" t="n"/>
      <c r="Y1198" s="215" t="n"/>
      <c r="Z1198" s="215" t="n"/>
      <c r="AA1198" s="215" t="n"/>
      <c r="AB1198" s="215" t="n"/>
      <c r="AC1198" s="215" t="n"/>
      <c r="AD1198" s="215" t="n"/>
      <c r="AE1198" s="215" t="n"/>
      <c r="AF1198" s="215" t="n"/>
      <c r="AG1198" s="215" t="n"/>
      <c r="AH1198" s="215" t="n"/>
      <c r="AI1198" s="215" t="n"/>
      <c r="AJ1198" s="215" t="n"/>
      <c r="AK1198" s="216" t="n"/>
    </row>
    <row r="1199" ht="15" customHeight="1">
      <c r="B1199" s="134" t="n"/>
      <c r="C1199" s="105" t="n"/>
      <c r="D1199" s="105" t="n"/>
      <c r="E1199" s="105" t="n"/>
      <c r="F1199" s="105" t="n"/>
      <c r="G1199" s="105" t="n"/>
      <c r="H1199" s="2" t="n"/>
      <c r="I1199" s="105" t="n"/>
      <c r="K1199" s="215" t="n"/>
      <c r="L1199" s="215" t="n"/>
      <c r="M1199" s="215" t="n"/>
      <c r="N1199" s="215" t="n"/>
      <c r="O1199" s="215" t="n"/>
      <c r="P1199" s="215" t="n"/>
      <c r="Q1199" s="215" t="n"/>
      <c r="R1199" s="215" t="n"/>
      <c r="S1199" s="215" t="n"/>
      <c r="T1199" s="215" t="n"/>
      <c r="U1199" s="215" t="n"/>
      <c r="V1199" s="215" t="n"/>
      <c r="W1199" s="215" t="n"/>
      <c r="X1199" s="215" t="n"/>
      <c r="Y1199" s="215" t="n"/>
      <c r="Z1199" s="215" t="n"/>
      <c r="AA1199" s="215" t="n"/>
      <c r="AB1199" s="215" t="n"/>
      <c r="AC1199" s="215" t="n"/>
      <c r="AD1199" s="215" t="n"/>
      <c r="AE1199" s="215" t="n"/>
      <c r="AF1199" s="215" t="n"/>
      <c r="AG1199" s="215" t="n"/>
      <c r="AH1199" s="215" t="n"/>
      <c r="AI1199" s="215" t="n"/>
      <c r="AJ1199" s="215" t="n"/>
      <c r="AK1199" s="216" t="n"/>
    </row>
    <row r="1200" ht="15" customHeight="1">
      <c r="B1200" s="134" t="n"/>
      <c r="C1200" s="105" t="n"/>
      <c r="D1200" s="105" t="n"/>
      <c r="E1200" s="105" t="n"/>
      <c r="F1200" s="105" t="n"/>
      <c r="G1200" s="105" t="n"/>
      <c r="H1200" s="2" t="n"/>
      <c r="I1200" s="105" t="n"/>
      <c r="K1200" s="215" t="n"/>
      <c r="L1200" s="215" t="n"/>
      <c r="M1200" s="215" t="n"/>
      <c r="N1200" s="215" t="n"/>
      <c r="O1200" s="215" t="n"/>
      <c r="P1200" s="215" t="n"/>
      <c r="Q1200" s="215" t="n"/>
      <c r="R1200" s="215" t="n"/>
      <c r="S1200" s="215" t="n"/>
      <c r="T1200" s="215" t="n"/>
      <c r="U1200" s="215" t="n"/>
      <c r="V1200" s="215" t="n"/>
      <c r="W1200" s="215" t="n"/>
      <c r="X1200" s="215" t="n"/>
      <c r="Y1200" s="215" t="n"/>
      <c r="Z1200" s="215" t="n"/>
      <c r="AA1200" s="215" t="n"/>
      <c r="AB1200" s="215" t="n"/>
      <c r="AC1200" s="215" t="n"/>
      <c r="AD1200" s="215" t="n"/>
      <c r="AE1200" s="215" t="n"/>
      <c r="AF1200" s="215" t="n"/>
      <c r="AG1200" s="215" t="n"/>
      <c r="AH1200" s="215" t="n"/>
      <c r="AI1200" s="215" t="n"/>
      <c r="AJ1200" s="215" t="n"/>
      <c r="AK1200" s="216" t="n"/>
    </row>
    <row r="1201" ht="15" customHeight="1">
      <c r="B1201" s="134" t="n"/>
      <c r="C1201" s="105" t="n"/>
      <c r="D1201" s="105" t="n"/>
      <c r="E1201" s="105" t="n"/>
      <c r="F1201" s="105" t="n"/>
      <c r="G1201" s="105" t="n"/>
      <c r="H1201" s="2" t="n"/>
      <c r="I1201" s="105" t="n"/>
      <c r="K1201" s="215" t="n"/>
      <c r="L1201" s="215" t="n"/>
      <c r="M1201" s="215" t="n"/>
      <c r="N1201" s="215" t="n"/>
      <c r="O1201" s="215" t="n"/>
      <c r="P1201" s="215" t="n"/>
      <c r="Q1201" s="215" t="n"/>
      <c r="R1201" s="215" t="n"/>
      <c r="S1201" s="215" t="n"/>
      <c r="T1201" s="215" t="n"/>
      <c r="U1201" s="215" t="n"/>
      <c r="V1201" s="215" t="n"/>
      <c r="W1201" s="215" t="n"/>
      <c r="X1201" s="215" t="n"/>
      <c r="Y1201" s="215" t="n"/>
      <c r="Z1201" s="215" t="n"/>
      <c r="AA1201" s="215" t="n"/>
      <c r="AB1201" s="215" t="n"/>
      <c r="AC1201" s="215" t="n"/>
      <c r="AD1201" s="215" t="n"/>
      <c r="AE1201" s="215" t="n"/>
      <c r="AF1201" s="215" t="n"/>
      <c r="AG1201" s="215" t="n"/>
      <c r="AH1201" s="215" t="n"/>
      <c r="AI1201" s="215" t="n"/>
      <c r="AJ1201" s="215" t="n"/>
      <c r="AK1201" s="216" t="n"/>
    </row>
    <row r="1202" ht="15" customHeight="1">
      <c r="B1202" s="134" t="n"/>
      <c r="C1202" s="105" t="n"/>
      <c r="D1202" s="105" t="n"/>
      <c r="E1202" s="105" t="n"/>
      <c r="F1202" s="105" t="n"/>
      <c r="G1202" s="105" t="n"/>
      <c r="H1202" s="2" t="n"/>
      <c r="I1202" s="105" t="n"/>
      <c r="K1202" s="215" t="n"/>
      <c r="L1202" s="215" t="n"/>
      <c r="M1202" s="215" t="n"/>
      <c r="N1202" s="215" t="n"/>
      <c r="O1202" s="215" t="n"/>
      <c r="P1202" s="215" t="n"/>
      <c r="Q1202" s="215" t="n"/>
      <c r="R1202" s="215" t="n"/>
      <c r="S1202" s="215" t="n"/>
      <c r="T1202" s="215" t="n"/>
      <c r="U1202" s="215" t="n"/>
      <c r="V1202" s="215" t="n"/>
      <c r="W1202" s="215" t="n"/>
      <c r="X1202" s="215" t="n"/>
      <c r="Y1202" s="215" t="n"/>
      <c r="Z1202" s="215" t="n"/>
      <c r="AA1202" s="215" t="n"/>
      <c r="AB1202" s="215" t="n"/>
      <c r="AC1202" s="215" t="n"/>
      <c r="AD1202" s="215" t="n"/>
      <c r="AE1202" s="215" t="n"/>
      <c r="AF1202" s="215" t="n"/>
      <c r="AG1202" s="215" t="n"/>
      <c r="AH1202" s="215" t="n"/>
      <c r="AI1202" s="215" t="n"/>
      <c r="AJ1202" s="215" t="n"/>
      <c r="AK1202" s="216" t="n"/>
    </row>
    <row r="1203" ht="15" customHeight="1">
      <c r="B1203" s="134" t="n"/>
      <c r="C1203" s="105" t="n"/>
      <c r="D1203" s="105" t="n"/>
      <c r="E1203" s="105" t="n"/>
      <c r="F1203" s="105" t="n"/>
      <c r="G1203" s="105" t="n"/>
      <c r="H1203" s="2" t="n"/>
      <c r="I1203" s="105" t="n"/>
      <c r="K1203" s="215" t="n"/>
      <c r="L1203" s="215" t="n"/>
      <c r="M1203" s="215" t="n"/>
      <c r="N1203" s="215" t="n"/>
      <c r="O1203" s="215" t="n"/>
      <c r="P1203" s="215" t="n"/>
      <c r="Q1203" s="215" t="n"/>
      <c r="R1203" s="215" t="n"/>
      <c r="S1203" s="215" t="n"/>
      <c r="T1203" s="215" t="n"/>
      <c r="U1203" s="215" t="n"/>
      <c r="V1203" s="215" t="n"/>
      <c r="W1203" s="215" t="n"/>
      <c r="X1203" s="215" t="n"/>
      <c r="Y1203" s="215" t="n"/>
      <c r="Z1203" s="215" t="n"/>
      <c r="AA1203" s="215" t="n"/>
      <c r="AB1203" s="215" t="n"/>
      <c r="AC1203" s="215" t="n"/>
      <c r="AD1203" s="215" t="n"/>
      <c r="AE1203" s="215" t="n"/>
      <c r="AF1203" s="215" t="n"/>
      <c r="AG1203" s="215" t="n"/>
      <c r="AH1203" s="215" t="n"/>
      <c r="AI1203" s="215" t="n"/>
      <c r="AJ1203" s="215" t="n"/>
      <c r="AK1203" s="216" t="n"/>
    </row>
    <row r="1204" ht="15" customHeight="1">
      <c r="B1204" s="134" t="n"/>
      <c r="C1204" s="105" t="n"/>
      <c r="D1204" s="105" t="n"/>
      <c r="E1204" s="105" t="n"/>
      <c r="F1204" s="105" t="n"/>
      <c r="G1204" s="105" t="n"/>
      <c r="H1204" s="2" t="n"/>
      <c r="I1204" s="105" t="n"/>
      <c r="K1204" s="215" t="n"/>
      <c r="L1204" s="215" t="n"/>
      <c r="M1204" s="215" t="n"/>
      <c r="N1204" s="215" t="n"/>
      <c r="O1204" s="215" t="n"/>
      <c r="P1204" s="215" t="n"/>
      <c r="Q1204" s="215" t="n"/>
      <c r="R1204" s="215" t="n"/>
      <c r="S1204" s="215" t="n"/>
      <c r="T1204" s="215" t="n"/>
      <c r="U1204" s="215" t="n"/>
      <c r="V1204" s="215" t="n"/>
      <c r="W1204" s="215" t="n"/>
      <c r="X1204" s="215" t="n"/>
      <c r="Y1204" s="215" t="n"/>
      <c r="Z1204" s="215" t="n"/>
      <c r="AA1204" s="215" t="n"/>
      <c r="AB1204" s="215" t="n"/>
      <c r="AC1204" s="215" t="n"/>
      <c r="AD1204" s="215" t="n"/>
      <c r="AE1204" s="215" t="n"/>
      <c r="AF1204" s="215" t="n"/>
      <c r="AG1204" s="215" t="n"/>
      <c r="AH1204" s="215" t="n"/>
      <c r="AI1204" s="215" t="n"/>
      <c r="AJ1204" s="215" t="n"/>
      <c r="AK1204" s="216" t="n"/>
    </row>
    <row r="1205" ht="15" customHeight="1">
      <c r="B1205" s="134" t="n"/>
      <c r="C1205" s="105" t="n"/>
      <c r="D1205" s="105" t="n"/>
      <c r="E1205" s="105" t="n"/>
      <c r="F1205" s="105" t="n"/>
      <c r="G1205" s="105" t="n"/>
      <c r="H1205" s="2" t="n"/>
      <c r="I1205" s="105" t="n"/>
      <c r="K1205" s="215" t="n"/>
      <c r="L1205" s="215" t="n"/>
      <c r="M1205" s="215" t="n"/>
      <c r="N1205" s="215" t="n"/>
      <c r="O1205" s="215" t="n"/>
      <c r="P1205" s="215" t="n"/>
      <c r="Q1205" s="215" t="n"/>
      <c r="R1205" s="215" t="n"/>
      <c r="S1205" s="215" t="n"/>
      <c r="T1205" s="215" t="n"/>
      <c r="U1205" s="215" t="n"/>
      <c r="V1205" s="215" t="n"/>
      <c r="W1205" s="215" t="n"/>
      <c r="X1205" s="215" t="n"/>
      <c r="Y1205" s="215" t="n"/>
      <c r="Z1205" s="215" t="n"/>
      <c r="AA1205" s="215" t="n"/>
      <c r="AB1205" s="215" t="n"/>
      <c r="AC1205" s="215" t="n"/>
      <c r="AD1205" s="215" t="n"/>
      <c r="AE1205" s="215" t="n"/>
      <c r="AF1205" s="215" t="n"/>
      <c r="AG1205" s="215" t="n"/>
      <c r="AH1205" s="215" t="n"/>
      <c r="AI1205" s="215" t="n"/>
      <c r="AJ1205" s="215" t="n"/>
      <c r="AK1205" s="216" t="n"/>
    </row>
    <row r="1206" ht="15" customHeight="1">
      <c r="B1206" s="134" t="n"/>
      <c r="C1206" s="105" t="n"/>
      <c r="D1206" s="105" t="n"/>
      <c r="E1206" s="105" t="n"/>
      <c r="F1206" s="105" t="n"/>
      <c r="G1206" s="105" t="n"/>
      <c r="H1206" s="2" t="n"/>
      <c r="I1206" s="105" t="n"/>
      <c r="K1206" s="215" t="n"/>
      <c r="L1206" s="215" t="n"/>
      <c r="M1206" s="215" t="n"/>
      <c r="N1206" s="215" t="n"/>
      <c r="O1206" s="215" t="n"/>
      <c r="P1206" s="215" t="n"/>
      <c r="Q1206" s="215" t="n"/>
      <c r="R1206" s="215" t="n"/>
      <c r="S1206" s="215" t="n"/>
      <c r="T1206" s="215" t="n"/>
      <c r="U1206" s="215" t="n"/>
      <c r="V1206" s="215" t="n"/>
      <c r="W1206" s="215" t="n"/>
      <c r="X1206" s="215" t="n"/>
      <c r="Y1206" s="215" t="n"/>
      <c r="Z1206" s="215" t="n"/>
      <c r="AA1206" s="215" t="n"/>
      <c r="AB1206" s="215" t="n"/>
      <c r="AC1206" s="215" t="n"/>
      <c r="AD1206" s="215" t="n"/>
      <c r="AE1206" s="215" t="n"/>
      <c r="AF1206" s="215" t="n"/>
      <c r="AG1206" s="215" t="n"/>
      <c r="AH1206" s="215" t="n"/>
      <c r="AI1206" s="215" t="n"/>
      <c r="AJ1206" s="215" t="n"/>
      <c r="AK1206" s="216" t="n"/>
    </row>
    <row r="1207" ht="15" customHeight="1">
      <c r="B1207" s="134" t="n"/>
      <c r="C1207" s="105" t="n"/>
      <c r="D1207" s="105" t="n"/>
      <c r="E1207" s="105" t="n"/>
      <c r="F1207" s="105" t="n"/>
      <c r="G1207" s="105" t="n"/>
      <c r="H1207" s="2" t="n"/>
      <c r="I1207" s="105" t="n"/>
      <c r="K1207" s="215" t="n"/>
      <c r="L1207" s="215" t="n"/>
      <c r="M1207" s="215" t="n"/>
      <c r="N1207" s="215" t="n"/>
      <c r="O1207" s="215" t="n"/>
      <c r="P1207" s="215" t="n"/>
      <c r="Q1207" s="215" t="n"/>
      <c r="R1207" s="215" t="n"/>
      <c r="S1207" s="215" t="n"/>
      <c r="T1207" s="215" t="n"/>
      <c r="U1207" s="215" t="n"/>
      <c r="V1207" s="215" t="n"/>
      <c r="W1207" s="215" t="n"/>
      <c r="X1207" s="215" t="n"/>
      <c r="Y1207" s="215" t="n"/>
      <c r="Z1207" s="215" t="n"/>
      <c r="AA1207" s="215" t="n"/>
      <c r="AB1207" s="215" t="n"/>
      <c r="AC1207" s="215" t="n"/>
      <c r="AD1207" s="215" t="n"/>
      <c r="AE1207" s="215" t="n"/>
      <c r="AF1207" s="215" t="n"/>
      <c r="AG1207" s="215" t="n"/>
      <c r="AH1207" s="215" t="n"/>
      <c r="AI1207" s="215" t="n"/>
      <c r="AJ1207" s="215" t="n"/>
      <c r="AK1207" s="216" t="n"/>
    </row>
    <row r="1208" ht="15" customHeight="1">
      <c r="B1208" s="134" t="n"/>
      <c r="C1208" s="105" t="n"/>
      <c r="D1208" s="105" t="n"/>
      <c r="E1208" s="105" t="n"/>
      <c r="F1208" s="105" t="n"/>
      <c r="G1208" s="105" t="n"/>
      <c r="H1208" s="2" t="n"/>
      <c r="I1208" s="105" t="n"/>
      <c r="K1208" s="215" t="n"/>
      <c r="L1208" s="215" t="n"/>
      <c r="M1208" s="215" t="n"/>
      <c r="N1208" s="215" t="n"/>
      <c r="O1208" s="215" t="n"/>
      <c r="P1208" s="215" t="n"/>
      <c r="Q1208" s="215" t="n"/>
      <c r="R1208" s="215" t="n"/>
      <c r="S1208" s="215" t="n"/>
      <c r="T1208" s="215" t="n"/>
      <c r="U1208" s="215" t="n"/>
      <c r="V1208" s="215" t="n"/>
      <c r="W1208" s="215" t="n"/>
      <c r="X1208" s="215" t="n"/>
      <c r="Y1208" s="215" t="n"/>
      <c r="Z1208" s="215" t="n"/>
      <c r="AA1208" s="215" t="n"/>
      <c r="AB1208" s="215" t="n"/>
      <c r="AC1208" s="215" t="n"/>
      <c r="AD1208" s="215" t="n"/>
      <c r="AE1208" s="215" t="n"/>
      <c r="AF1208" s="215" t="n"/>
      <c r="AG1208" s="215" t="n"/>
      <c r="AH1208" s="215" t="n"/>
      <c r="AI1208" s="215" t="n"/>
      <c r="AJ1208" s="215" t="n"/>
      <c r="AK1208" s="216" t="n"/>
    </row>
    <row r="1209" ht="15" customHeight="1">
      <c r="B1209" s="134" t="n"/>
      <c r="C1209" s="105" t="n"/>
      <c r="D1209" s="105" t="n"/>
      <c r="E1209" s="105" t="n"/>
      <c r="F1209" s="105" t="n"/>
      <c r="G1209" s="105" t="n"/>
      <c r="H1209" s="2" t="n"/>
      <c r="I1209" s="105" t="n"/>
      <c r="K1209" s="215" t="n"/>
      <c r="L1209" s="215" t="n"/>
      <c r="M1209" s="215" t="n"/>
      <c r="N1209" s="215" t="n"/>
      <c r="O1209" s="215" t="n"/>
      <c r="P1209" s="215" t="n"/>
      <c r="Q1209" s="215" t="n"/>
      <c r="R1209" s="215" t="n"/>
      <c r="S1209" s="215" t="n"/>
      <c r="T1209" s="215" t="n"/>
      <c r="U1209" s="215" t="n"/>
      <c r="V1209" s="215" t="n"/>
      <c r="W1209" s="215" t="n"/>
      <c r="X1209" s="215" t="n"/>
      <c r="Y1209" s="215" t="n"/>
      <c r="Z1209" s="215" t="n"/>
      <c r="AA1209" s="215" t="n"/>
      <c r="AB1209" s="215" t="n"/>
      <c r="AC1209" s="215" t="n"/>
      <c r="AD1209" s="215" t="n"/>
      <c r="AE1209" s="215" t="n"/>
      <c r="AF1209" s="215" t="n"/>
      <c r="AG1209" s="215" t="n"/>
      <c r="AH1209" s="215" t="n"/>
      <c r="AI1209" s="215" t="n"/>
      <c r="AJ1209" s="215" t="n"/>
      <c r="AK1209" s="216" t="n"/>
    </row>
    <row r="1210" ht="15" customHeight="1">
      <c r="B1210" s="134" t="n"/>
      <c r="C1210" s="105" t="n"/>
      <c r="D1210" s="105" t="n"/>
      <c r="E1210" s="105" t="n"/>
      <c r="F1210" s="105" t="n"/>
      <c r="G1210" s="105" t="n"/>
      <c r="H1210" s="2" t="n"/>
      <c r="I1210" s="105" t="n"/>
      <c r="K1210" s="215" t="n"/>
      <c r="L1210" s="215" t="n"/>
      <c r="M1210" s="215" t="n"/>
      <c r="N1210" s="215" t="n"/>
      <c r="O1210" s="215" t="n"/>
      <c r="P1210" s="215" t="n"/>
      <c r="Q1210" s="215" t="n"/>
      <c r="R1210" s="215" t="n"/>
      <c r="S1210" s="215" t="n"/>
      <c r="T1210" s="215" t="n"/>
      <c r="U1210" s="215" t="n"/>
      <c r="V1210" s="215" t="n"/>
      <c r="W1210" s="215" t="n"/>
      <c r="X1210" s="215" t="n"/>
      <c r="Y1210" s="215" t="n"/>
      <c r="Z1210" s="215" t="n"/>
      <c r="AA1210" s="215" t="n"/>
      <c r="AB1210" s="215" t="n"/>
      <c r="AC1210" s="215" t="n"/>
      <c r="AD1210" s="215" t="n"/>
      <c r="AE1210" s="215" t="n"/>
      <c r="AF1210" s="215" t="n"/>
      <c r="AG1210" s="215" t="n"/>
      <c r="AH1210" s="215" t="n"/>
      <c r="AI1210" s="215" t="n"/>
      <c r="AJ1210" s="215" t="n"/>
      <c r="AK1210" s="216" t="n"/>
    </row>
    <row r="1211" ht="15" customHeight="1">
      <c r="B1211" s="134" t="n"/>
      <c r="C1211" s="105" t="n"/>
      <c r="D1211" s="105" t="n"/>
      <c r="E1211" s="105" t="n"/>
      <c r="F1211" s="105" t="n"/>
      <c r="G1211" s="105" t="n"/>
      <c r="H1211" s="2" t="n"/>
      <c r="I1211" s="105" t="n"/>
      <c r="K1211" s="215" t="n"/>
      <c r="L1211" s="215" t="n"/>
      <c r="M1211" s="215" t="n"/>
      <c r="N1211" s="215" t="n"/>
      <c r="O1211" s="215" t="n"/>
      <c r="P1211" s="215" t="n"/>
      <c r="Q1211" s="215" t="n"/>
      <c r="R1211" s="215" t="n"/>
      <c r="S1211" s="215" t="n"/>
      <c r="T1211" s="215" t="n"/>
      <c r="U1211" s="215" t="n"/>
      <c r="V1211" s="215" t="n"/>
      <c r="W1211" s="215" t="n"/>
      <c r="X1211" s="215" t="n"/>
      <c r="Y1211" s="215" t="n"/>
      <c r="Z1211" s="215" t="n"/>
      <c r="AA1211" s="215" t="n"/>
      <c r="AB1211" s="215" t="n"/>
      <c r="AC1211" s="215" t="n"/>
      <c r="AD1211" s="215" t="n"/>
      <c r="AE1211" s="215" t="n"/>
      <c r="AF1211" s="215" t="n"/>
      <c r="AG1211" s="215" t="n"/>
      <c r="AH1211" s="215" t="n"/>
      <c r="AI1211" s="215" t="n"/>
      <c r="AJ1211" s="215" t="n"/>
      <c r="AK1211" s="216" t="n"/>
    </row>
    <row r="1212" ht="15" customHeight="1">
      <c r="B1212" s="134" t="n"/>
      <c r="C1212" s="105" t="n"/>
      <c r="D1212" s="105" t="n"/>
      <c r="E1212" s="105" t="n"/>
      <c r="F1212" s="105" t="n"/>
      <c r="G1212" s="105" t="n"/>
      <c r="H1212" s="2" t="n"/>
      <c r="I1212" s="105" t="n"/>
      <c r="K1212" s="215" t="n"/>
      <c r="L1212" s="215" t="n"/>
      <c r="M1212" s="215" t="n"/>
      <c r="N1212" s="215" t="n"/>
      <c r="O1212" s="215" t="n"/>
      <c r="P1212" s="215" t="n"/>
      <c r="Q1212" s="215" t="n"/>
      <c r="R1212" s="215" t="n"/>
      <c r="S1212" s="215" t="n"/>
      <c r="T1212" s="215" t="n"/>
      <c r="U1212" s="215" t="n"/>
      <c r="V1212" s="215" t="n"/>
      <c r="W1212" s="215" t="n"/>
      <c r="X1212" s="215" t="n"/>
      <c r="Y1212" s="215" t="n"/>
      <c r="Z1212" s="215" t="n"/>
      <c r="AA1212" s="215" t="n"/>
      <c r="AB1212" s="215" t="n"/>
      <c r="AC1212" s="215" t="n"/>
      <c r="AD1212" s="215" t="n"/>
      <c r="AE1212" s="215" t="n"/>
      <c r="AF1212" s="215" t="n"/>
      <c r="AG1212" s="215" t="n"/>
      <c r="AH1212" s="215" t="n"/>
      <c r="AI1212" s="215" t="n"/>
      <c r="AJ1212" s="215" t="n"/>
      <c r="AK1212" s="216" t="n"/>
    </row>
    <row r="1213" ht="15" customHeight="1">
      <c r="B1213" s="134" t="n"/>
      <c r="C1213" s="105" t="n"/>
      <c r="D1213" s="105" t="n"/>
      <c r="E1213" s="105" t="n"/>
      <c r="F1213" s="105" t="n"/>
      <c r="G1213" s="105" t="n"/>
      <c r="H1213" s="2" t="n"/>
      <c r="I1213" s="105" t="n"/>
      <c r="K1213" s="215" t="n"/>
      <c r="L1213" s="215" t="n"/>
      <c r="M1213" s="215" t="n"/>
      <c r="N1213" s="215" t="n"/>
      <c r="O1213" s="215" t="n"/>
      <c r="P1213" s="215" t="n"/>
      <c r="Q1213" s="215" t="n"/>
      <c r="R1213" s="215" t="n"/>
      <c r="S1213" s="215" t="n"/>
      <c r="T1213" s="215" t="n"/>
      <c r="U1213" s="215" t="n"/>
      <c r="V1213" s="215" t="n"/>
      <c r="W1213" s="215" t="n"/>
      <c r="X1213" s="215" t="n"/>
      <c r="Y1213" s="215" t="n"/>
      <c r="Z1213" s="215" t="n"/>
      <c r="AA1213" s="215" t="n"/>
      <c r="AB1213" s="215" t="n"/>
      <c r="AC1213" s="215" t="n"/>
      <c r="AD1213" s="215" t="n"/>
      <c r="AE1213" s="215" t="n"/>
      <c r="AF1213" s="215" t="n"/>
      <c r="AG1213" s="215" t="n"/>
      <c r="AH1213" s="215" t="n"/>
      <c r="AI1213" s="215" t="n"/>
      <c r="AJ1213" s="215" t="n"/>
      <c r="AK1213" s="216" t="n"/>
    </row>
    <row r="1214" ht="15" customHeight="1">
      <c r="B1214" s="134" t="n"/>
      <c r="C1214" s="105" t="n"/>
      <c r="D1214" s="105" t="n"/>
      <c r="E1214" s="105" t="n"/>
      <c r="F1214" s="105" t="n"/>
      <c r="G1214" s="105" t="n"/>
      <c r="H1214" s="2" t="n"/>
      <c r="I1214" s="105" t="n"/>
      <c r="K1214" s="215" t="n"/>
      <c r="L1214" s="215" t="n"/>
      <c r="M1214" s="215" t="n"/>
      <c r="N1214" s="215" t="n"/>
      <c r="O1214" s="215" t="n"/>
      <c r="P1214" s="215" t="n"/>
      <c r="Q1214" s="215" t="n"/>
      <c r="R1214" s="215" t="n"/>
      <c r="S1214" s="215" t="n"/>
      <c r="T1214" s="215" t="n"/>
      <c r="U1214" s="215" t="n"/>
      <c r="V1214" s="215" t="n"/>
      <c r="W1214" s="215" t="n"/>
      <c r="X1214" s="215" t="n"/>
      <c r="Y1214" s="215" t="n"/>
      <c r="Z1214" s="215" t="n"/>
      <c r="AA1214" s="215" t="n"/>
      <c r="AB1214" s="215" t="n"/>
      <c r="AC1214" s="215" t="n"/>
      <c r="AD1214" s="215" t="n"/>
      <c r="AE1214" s="215" t="n"/>
      <c r="AF1214" s="215" t="n"/>
      <c r="AG1214" s="215" t="n"/>
      <c r="AH1214" s="215" t="n"/>
      <c r="AI1214" s="215" t="n"/>
      <c r="AJ1214" s="215" t="n"/>
      <c r="AK1214" s="216" t="n"/>
    </row>
    <row r="1215" ht="15" customHeight="1">
      <c r="B1215" s="134" t="n"/>
      <c r="C1215" s="105" t="n"/>
      <c r="D1215" s="105" t="n"/>
      <c r="E1215" s="105" t="n"/>
      <c r="F1215" s="105" t="n"/>
      <c r="G1215" s="105" t="n"/>
      <c r="H1215" s="2" t="n"/>
      <c r="I1215" s="105" t="n"/>
      <c r="K1215" s="215" t="n"/>
      <c r="L1215" s="215" t="n"/>
      <c r="M1215" s="215" t="n"/>
      <c r="N1215" s="215" t="n"/>
      <c r="O1215" s="215" t="n"/>
      <c r="P1215" s="215" t="n"/>
      <c r="Q1215" s="215" t="n"/>
      <c r="R1215" s="215" t="n"/>
      <c r="S1215" s="215" t="n"/>
      <c r="T1215" s="215" t="n"/>
      <c r="U1215" s="215" t="n"/>
      <c r="V1215" s="215" t="n"/>
      <c r="W1215" s="215" t="n"/>
      <c r="X1215" s="215" t="n"/>
      <c r="Y1215" s="215" t="n"/>
      <c r="Z1215" s="215" t="n"/>
      <c r="AA1215" s="215" t="n"/>
      <c r="AB1215" s="215" t="n"/>
      <c r="AC1215" s="215" t="n"/>
      <c r="AD1215" s="215" t="n"/>
      <c r="AE1215" s="215" t="n"/>
      <c r="AF1215" s="215" t="n"/>
      <c r="AG1215" s="215" t="n"/>
      <c r="AH1215" s="215" t="n"/>
      <c r="AI1215" s="215" t="n"/>
      <c r="AJ1215" s="215" t="n"/>
      <c r="AK1215" s="216" t="n"/>
    </row>
    <row r="1216" ht="15" customHeight="1">
      <c r="B1216" s="134" t="n"/>
      <c r="C1216" s="105" t="n"/>
      <c r="D1216" s="105" t="n"/>
      <c r="E1216" s="105" t="n"/>
      <c r="F1216" s="105" t="n"/>
      <c r="G1216" s="105" t="n"/>
      <c r="H1216" s="2" t="n"/>
      <c r="I1216" s="105" t="n"/>
      <c r="K1216" s="215" t="n"/>
      <c r="L1216" s="215" t="n"/>
      <c r="M1216" s="215" t="n"/>
      <c r="N1216" s="215" t="n"/>
      <c r="O1216" s="215" t="n"/>
      <c r="P1216" s="215" t="n"/>
      <c r="Q1216" s="215" t="n"/>
      <c r="R1216" s="215" t="n"/>
      <c r="S1216" s="215" t="n"/>
      <c r="T1216" s="215" t="n"/>
      <c r="U1216" s="215" t="n"/>
      <c r="V1216" s="215" t="n"/>
      <c r="W1216" s="215" t="n"/>
      <c r="X1216" s="215" t="n"/>
      <c r="Y1216" s="215" t="n"/>
      <c r="Z1216" s="215" t="n"/>
      <c r="AA1216" s="215" t="n"/>
      <c r="AB1216" s="215" t="n"/>
      <c r="AC1216" s="215" t="n"/>
      <c r="AD1216" s="215" t="n"/>
      <c r="AE1216" s="215" t="n"/>
      <c r="AF1216" s="215" t="n"/>
      <c r="AG1216" s="215" t="n"/>
      <c r="AH1216" s="215" t="n"/>
      <c r="AI1216" s="215" t="n"/>
      <c r="AJ1216" s="215" t="n"/>
      <c r="AK1216" s="216" t="n"/>
    </row>
    <row r="1217" ht="15" customHeight="1">
      <c r="B1217" s="134" t="n"/>
      <c r="C1217" s="105" t="n"/>
      <c r="D1217" s="105" t="n"/>
      <c r="E1217" s="105" t="n"/>
      <c r="F1217" s="105" t="n"/>
      <c r="G1217" s="105" t="n"/>
      <c r="H1217" s="2" t="n"/>
      <c r="I1217" s="105" t="n"/>
      <c r="K1217" s="215" t="n"/>
      <c r="L1217" s="215" t="n"/>
      <c r="M1217" s="215" t="n"/>
      <c r="N1217" s="215" t="n"/>
      <c r="O1217" s="215" t="n"/>
      <c r="P1217" s="215" t="n"/>
      <c r="Q1217" s="215" t="n"/>
      <c r="R1217" s="215" t="n"/>
      <c r="S1217" s="215" t="n"/>
      <c r="T1217" s="215" t="n"/>
      <c r="U1217" s="215" t="n"/>
      <c r="V1217" s="215" t="n"/>
      <c r="W1217" s="215" t="n"/>
      <c r="X1217" s="215" t="n"/>
      <c r="Y1217" s="215" t="n"/>
      <c r="Z1217" s="215" t="n"/>
      <c r="AA1217" s="215" t="n"/>
      <c r="AB1217" s="215" t="n"/>
      <c r="AC1217" s="215" t="n"/>
      <c r="AD1217" s="215" t="n"/>
      <c r="AE1217" s="215" t="n"/>
      <c r="AF1217" s="215" t="n"/>
      <c r="AG1217" s="215" t="n"/>
      <c r="AH1217" s="215" t="n"/>
      <c r="AI1217" s="215" t="n"/>
      <c r="AJ1217" s="215" t="n"/>
      <c r="AK1217" s="216" t="n"/>
    </row>
    <row r="1218" ht="15" customHeight="1">
      <c r="B1218" s="134" t="n"/>
      <c r="C1218" s="105" t="n"/>
      <c r="D1218" s="105" t="n"/>
      <c r="E1218" s="105" t="n"/>
      <c r="F1218" s="105" t="n"/>
      <c r="G1218" s="105" t="n"/>
      <c r="H1218" s="2" t="n"/>
      <c r="I1218" s="105" t="n"/>
      <c r="K1218" s="215" t="n"/>
      <c r="L1218" s="215" t="n"/>
      <c r="M1218" s="215" t="n"/>
      <c r="N1218" s="215" t="n"/>
      <c r="O1218" s="215" t="n"/>
      <c r="P1218" s="215" t="n"/>
      <c r="Q1218" s="215" t="n"/>
      <c r="R1218" s="215" t="n"/>
      <c r="S1218" s="215" t="n"/>
      <c r="T1218" s="215" t="n"/>
      <c r="U1218" s="215" t="n"/>
      <c r="V1218" s="215" t="n"/>
      <c r="W1218" s="215" t="n"/>
      <c r="X1218" s="215" t="n"/>
      <c r="Y1218" s="215" t="n"/>
      <c r="Z1218" s="215" t="n"/>
      <c r="AA1218" s="215" t="n"/>
      <c r="AB1218" s="215" t="n"/>
      <c r="AC1218" s="215" t="n"/>
      <c r="AD1218" s="215" t="n"/>
      <c r="AE1218" s="215" t="n"/>
      <c r="AF1218" s="215" t="n"/>
      <c r="AG1218" s="215" t="n"/>
      <c r="AH1218" s="215" t="n"/>
      <c r="AI1218" s="215" t="n"/>
      <c r="AJ1218" s="215" t="n"/>
      <c r="AK1218" s="216" t="n"/>
    </row>
    <row r="1219" ht="15" customHeight="1">
      <c r="B1219" s="134" t="n"/>
      <c r="C1219" s="105" t="n"/>
      <c r="D1219" s="105" t="n"/>
      <c r="E1219" s="105" t="n"/>
      <c r="F1219" s="105" t="n"/>
      <c r="G1219" s="105" t="n"/>
      <c r="H1219" s="2" t="n"/>
      <c r="I1219" s="105" t="n"/>
      <c r="K1219" s="215" t="n"/>
      <c r="L1219" s="215" t="n"/>
      <c r="M1219" s="215" t="n"/>
      <c r="N1219" s="215" t="n"/>
      <c r="O1219" s="215" t="n"/>
      <c r="P1219" s="215" t="n"/>
      <c r="Q1219" s="215" t="n"/>
      <c r="R1219" s="215" t="n"/>
      <c r="S1219" s="215" t="n"/>
      <c r="T1219" s="215" t="n"/>
      <c r="U1219" s="215" t="n"/>
      <c r="V1219" s="215" t="n"/>
      <c r="W1219" s="215" t="n"/>
      <c r="X1219" s="215" t="n"/>
      <c r="Y1219" s="215" t="n"/>
      <c r="Z1219" s="215" t="n"/>
      <c r="AA1219" s="215" t="n"/>
      <c r="AB1219" s="215" t="n"/>
      <c r="AC1219" s="215" t="n"/>
      <c r="AD1219" s="215" t="n"/>
      <c r="AE1219" s="215" t="n"/>
      <c r="AF1219" s="215" t="n"/>
      <c r="AG1219" s="215" t="n"/>
      <c r="AH1219" s="215" t="n"/>
      <c r="AI1219" s="215" t="n"/>
      <c r="AJ1219" s="215" t="n"/>
      <c r="AK1219" s="216" t="n"/>
    </row>
    <row r="1220" ht="15" customHeight="1">
      <c r="B1220" s="134" t="n"/>
      <c r="C1220" s="105" t="n"/>
      <c r="D1220" s="105" t="n"/>
      <c r="E1220" s="105" t="n"/>
      <c r="F1220" s="105" t="n"/>
      <c r="G1220" s="105" t="n"/>
      <c r="H1220" s="2" t="n"/>
      <c r="I1220" s="105" t="n"/>
      <c r="K1220" s="215" t="n"/>
      <c r="L1220" s="215" t="n"/>
      <c r="M1220" s="215" t="n"/>
      <c r="N1220" s="215" t="n"/>
      <c r="O1220" s="215" t="n"/>
      <c r="P1220" s="215" t="n"/>
      <c r="Q1220" s="215" t="n"/>
      <c r="R1220" s="215" t="n"/>
      <c r="S1220" s="215" t="n"/>
      <c r="T1220" s="215" t="n"/>
      <c r="U1220" s="215" t="n"/>
      <c r="V1220" s="215" t="n"/>
      <c r="W1220" s="215" t="n"/>
      <c r="X1220" s="215" t="n"/>
      <c r="Y1220" s="215" t="n"/>
      <c r="Z1220" s="215" t="n"/>
      <c r="AA1220" s="215" t="n"/>
      <c r="AB1220" s="215" t="n"/>
      <c r="AC1220" s="215" t="n"/>
      <c r="AD1220" s="215" t="n"/>
      <c r="AE1220" s="215" t="n"/>
      <c r="AF1220" s="215" t="n"/>
      <c r="AG1220" s="215" t="n"/>
      <c r="AH1220" s="215" t="n"/>
      <c r="AI1220" s="215" t="n"/>
      <c r="AJ1220" s="215" t="n"/>
      <c r="AK1220" s="216" t="n"/>
    </row>
    <row r="1221" ht="15" customHeight="1">
      <c r="B1221" s="134" t="n"/>
      <c r="C1221" s="105" t="n"/>
      <c r="D1221" s="105" t="n"/>
      <c r="E1221" s="105" t="n"/>
      <c r="F1221" s="105" t="n"/>
      <c r="G1221" s="105" t="n"/>
      <c r="H1221" s="2" t="n"/>
      <c r="I1221" s="105" t="n"/>
      <c r="K1221" s="215" t="n"/>
      <c r="L1221" s="215" t="n"/>
      <c r="M1221" s="215" t="n"/>
      <c r="N1221" s="215" t="n"/>
      <c r="O1221" s="215" t="n"/>
      <c r="P1221" s="215" t="n"/>
      <c r="Q1221" s="215" t="n"/>
      <c r="R1221" s="215" t="n"/>
      <c r="S1221" s="215" t="n"/>
      <c r="T1221" s="215" t="n"/>
      <c r="U1221" s="215" t="n"/>
      <c r="V1221" s="215" t="n"/>
      <c r="W1221" s="215" t="n"/>
      <c r="X1221" s="215" t="n"/>
      <c r="Y1221" s="215" t="n"/>
      <c r="Z1221" s="215" t="n"/>
      <c r="AA1221" s="215" t="n"/>
      <c r="AB1221" s="215" t="n"/>
      <c r="AC1221" s="215" t="n"/>
      <c r="AD1221" s="215" t="n"/>
      <c r="AE1221" s="215" t="n"/>
      <c r="AF1221" s="215" t="n"/>
      <c r="AG1221" s="215" t="n"/>
      <c r="AH1221" s="215" t="n"/>
      <c r="AI1221" s="215" t="n"/>
      <c r="AJ1221" s="215" t="n"/>
      <c r="AK1221" s="216" t="n"/>
    </row>
    <row r="1222" ht="15" customHeight="1">
      <c r="B1222" s="134" t="n"/>
      <c r="C1222" s="105" t="n"/>
      <c r="D1222" s="105" t="n"/>
      <c r="E1222" s="105" t="n"/>
      <c r="F1222" s="105" t="n"/>
      <c r="G1222" s="105" t="n"/>
      <c r="H1222" s="2" t="n"/>
      <c r="I1222" s="105" t="n"/>
      <c r="K1222" s="215" t="n"/>
      <c r="L1222" s="215" t="n"/>
      <c r="M1222" s="215" t="n"/>
      <c r="N1222" s="215" t="n"/>
      <c r="O1222" s="215" t="n"/>
      <c r="P1222" s="215" t="n"/>
      <c r="Q1222" s="215" t="n"/>
      <c r="R1222" s="215" t="n"/>
      <c r="S1222" s="215" t="n"/>
      <c r="T1222" s="215" t="n"/>
      <c r="U1222" s="215" t="n"/>
      <c r="V1222" s="215" t="n"/>
      <c r="W1222" s="215" t="n"/>
      <c r="X1222" s="215" t="n"/>
      <c r="Y1222" s="215" t="n"/>
      <c r="Z1222" s="215" t="n"/>
      <c r="AA1222" s="215" t="n"/>
      <c r="AB1222" s="215" t="n"/>
      <c r="AC1222" s="215" t="n"/>
      <c r="AD1222" s="215" t="n"/>
      <c r="AE1222" s="215" t="n"/>
      <c r="AF1222" s="215" t="n"/>
      <c r="AG1222" s="215" t="n"/>
      <c r="AH1222" s="215" t="n"/>
      <c r="AI1222" s="215" t="n"/>
      <c r="AJ1222" s="215" t="n"/>
      <c r="AK1222" s="216" t="n"/>
    </row>
    <row r="1223" ht="15" customHeight="1">
      <c r="B1223" s="134" t="n"/>
      <c r="C1223" s="105" t="n"/>
      <c r="D1223" s="105" t="n"/>
      <c r="E1223" s="105" t="n"/>
      <c r="F1223" s="105" t="n"/>
      <c r="G1223" s="105" t="n"/>
      <c r="H1223" s="2" t="n"/>
      <c r="I1223" s="105" t="n"/>
      <c r="K1223" s="215" t="n"/>
      <c r="L1223" s="215" t="n"/>
      <c r="M1223" s="215" t="n"/>
      <c r="N1223" s="215" t="n"/>
      <c r="O1223" s="215" t="n"/>
      <c r="P1223" s="215" t="n"/>
      <c r="Q1223" s="215" t="n"/>
      <c r="R1223" s="215" t="n"/>
      <c r="S1223" s="215" t="n"/>
      <c r="T1223" s="215" t="n"/>
      <c r="U1223" s="215" t="n"/>
      <c r="V1223" s="215" t="n"/>
      <c r="W1223" s="215" t="n"/>
      <c r="X1223" s="215" t="n"/>
      <c r="Y1223" s="215" t="n"/>
      <c r="Z1223" s="215" t="n"/>
      <c r="AA1223" s="215" t="n"/>
      <c r="AB1223" s="215" t="n"/>
      <c r="AC1223" s="215" t="n"/>
      <c r="AD1223" s="215" t="n"/>
      <c r="AE1223" s="215" t="n"/>
      <c r="AF1223" s="215" t="n"/>
      <c r="AG1223" s="215" t="n"/>
      <c r="AH1223" s="215" t="n"/>
      <c r="AI1223" s="215" t="n"/>
      <c r="AJ1223" s="215" t="n"/>
      <c r="AK1223" s="216" t="n"/>
    </row>
    <row r="1224" ht="15" customHeight="1">
      <c r="B1224" s="134" t="n"/>
      <c r="C1224" s="105" t="n"/>
      <c r="D1224" s="105" t="n"/>
      <c r="E1224" s="105" t="n"/>
      <c r="F1224" s="105" t="n"/>
      <c r="G1224" s="105" t="n"/>
      <c r="H1224" s="2" t="n"/>
      <c r="I1224" s="105" t="n"/>
      <c r="K1224" s="215" t="n"/>
      <c r="L1224" s="215" t="n"/>
      <c r="M1224" s="215" t="n"/>
      <c r="N1224" s="215" t="n"/>
      <c r="O1224" s="215" t="n"/>
      <c r="P1224" s="215" t="n"/>
      <c r="Q1224" s="215" t="n"/>
      <c r="R1224" s="215" t="n"/>
      <c r="S1224" s="215" t="n"/>
      <c r="T1224" s="215" t="n"/>
      <c r="U1224" s="215" t="n"/>
      <c r="V1224" s="215" t="n"/>
      <c r="W1224" s="215" t="n"/>
      <c r="X1224" s="215" t="n"/>
      <c r="Y1224" s="215" t="n"/>
      <c r="Z1224" s="215" t="n"/>
      <c r="AA1224" s="215" t="n"/>
      <c r="AB1224" s="215" t="n"/>
      <c r="AC1224" s="215" t="n"/>
      <c r="AD1224" s="215" t="n"/>
      <c r="AE1224" s="215" t="n"/>
      <c r="AF1224" s="215" t="n"/>
      <c r="AG1224" s="215" t="n"/>
      <c r="AH1224" s="215" t="n"/>
      <c r="AI1224" s="215" t="n"/>
      <c r="AJ1224" s="215" t="n"/>
      <c r="AK1224" s="216" t="n"/>
    </row>
    <row r="1225" ht="15" customHeight="1">
      <c r="B1225" s="134" t="n"/>
      <c r="C1225" s="105" t="n"/>
      <c r="D1225" s="105" t="n"/>
      <c r="E1225" s="105" t="n"/>
      <c r="F1225" s="105" t="n"/>
      <c r="G1225" s="105" t="n"/>
      <c r="H1225" s="2" t="n"/>
      <c r="I1225" s="105" t="n"/>
      <c r="K1225" s="215" t="n"/>
      <c r="L1225" s="215" t="n"/>
      <c r="M1225" s="215" t="n"/>
      <c r="N1225" s="215" t="n"/>
      <c r="O1225" s="215" t="n"/>
      <c r="P1225" s="215" t="n"/>
      <c r="Q1225" s="215" t="n"/>
      <c r="R1225" s="215" t="n"/>
      <c r="S1225" s="215" t="n"/>
      <c r="T1225" s="215" t="n"/>
      <c r="U1225" s="215" t="n"/>
      <c r="V1225" s="215" t="n"/>
      <c r="W1225" s="215" t="n"/>
      <c r="X1225" s="215" t="n"/>
      <c r="Y1225" s="215" t="n"/>
      <c r="Z1225" s="215" t="n"/>
      <c r="AA1225" s="215" t="n"/>
      <c r="AB1225" s="215" t="n"/>
      <c r="AC1225" s="215" t="n"/>
      <c r="AD1225" s="215" t="n"/>
      <c r="AE1225" s="215" t="n"/>
      <c r="AF1225" s="215" t="n"/>
      <c r="AG1225" s="215" t="n"/>
      <c r="AH1225" s="215" t="n"/>
      <c r="AI1225" s="215" t="n"/>
      <c r="AJ1225" s="215" t="n"/>
      <c r="AK1225" s="216" t="n"/>
    </row>
    <row r="1226" ht="15" customHeight="1">
      <c r="B1226" s="134" t="n"/>
      <c r="C1226" s="105" t="n"/>
      <c r="D1226" s="105" t="n"/>
      <c r="E1226" s="105" t="n"/>
      <c r="F1226" s="105" t="n"/>
      <c r="G1226" s="105" t="n"/>
      <c r="H1226" s="2" t="n"/>
      <c r="I1226" s="105" t="n"/>
      <c r="K1226" s="215" t="n"/>
      <c r="L1226" s="215" t="n"/>
      <c r="M1226" s="215" t="n"/>
      <c r="N1226" s="215" t="n"/>
      <c r="O1226" s="215" t="n"/>
      <c r="P1226" s="215" t="n"/>
      <c r="Q1226" s="215" t="n"/>
      <c r="R1226" s="215" t="n"/>
      <c r="S1226" s="215" t="n"/>
      <c r="T1226" s="215" t="n"/>
      <c r="U1226" s="215" t="n"/>
      <c r="V1226" s="215" t="n"/>
      <c r="W1226" s="215" t="n"/>
      <c r="X1226" s="215" t="n"/>
      <c r="Y1226" s="215" t="n"/>
      <c r="Z1226" s="215" t="n"/>
      <c r="AA1226" s="215" t="n"/>
      <c r="AB1226" s="215" t="n"/>
      <c r="AC1226" s="215" t="n"/>
      <c r="AD1226" s="215" t="n"/>
      <c r="AE1226" s="215" t="n"/>
      <c r="AF1226" s="215" t="n"/>
      <c r="AG1226" s="215" t="n"/>
      <c r="AH1226" s="215" t="n"/>
      <c r="AI1226" s="215" t="n"/>
      <c r="AJ1226" s="215" t="n"/>
      <c r="AK1226" s="216" t="n"/>
    </row>
    <row r="1227" ht="15" customHeight="1">
      <c r="B1227" s="134" t="n"/>
      <c r="C1227" s="105" t="n"/>
      <c r="D1227" s="105" t="n"/>
      <c r="E1227" s="105" t="n"/>
      <c r="F1227" s="105" t="n"/>
      <c r="G1227" s="105" t="n"/>
      <c r="H1227" s="2" t="n"/>
      <c r="I1227" s="105" t="n"/>
      <c r="K1227" s="215" t="n"/>
      <c r="L1227" s="215" t="n"/>
      <c r="M1227" s="215" t="n"/>
      <c r="N1227" s="215" t="n"/>
      <c r="O1227" s="215" t="n"/>
      <c r="P1227" s="215" t="n"/>
      <c r="Q1227" s="215" t="n"/>
      <c r="R1227" s="215" t="n"/>
      <c r="S1227" s="215" t="n"/>
      <c r="T1227" s="215" t="n"/>
      <c r="U1227" s="215" t="n"/>
      <c r="V1227" s="215" t="n"/>
      <c r="W1227" s="215" t="n"/>
      <c r="X1227" s="215" t="n"/>
      <c r="Y1227" s="215" t="n"/>
      <c r="Z1227" s="215" t="n"/>
      <c r="AA1227" s="215" t="n"/>
      <c r="AB1227" s="215" t="n"/>
      <c r="AC1227" s="215" t="n"/>
      <c r="AD1227" s="215" t="n"/>
      <c r="AE1227" s="215" t="n"/>
      <c r="AF1227" s="215" t="n"/>
      <c r="AG1227" s="215" t="n"/>
      <c r="AH1227" s="215" t="n"/>
      <c r="AI1227" s="215" t="n"/>
      <c r="AJ1227" s="215" t="n"/>
      <c r="AK1227" s="216" t="n"/>
    </row>
    <row r="1228" ht="15" customHeight="1">
      <c r="B1228" s="134" t="n"/>
      <c r="C1228" s="105" t="n"/>
      <c r="D1228" s="105" t="n"/>
      <c r="E1228" s="105" t="n"/>
      <c r="F1228" s="105" t="n"/>
      <c r="G1228" s="105" t="n"/>
      <c r="H1228" s="2" t="n"/>
      <c r="I1228" s="105" t="n"/>
      <c r="K1228" s="215" t="n"/>
      <c r="L1228" s="215" t="n"/>
      <c r="M1228" s="215" t="n"/>
      <c r="N1228" s="215" t="n"/>
      <c r="O1228" s="215" t="n"/>
      <c r="P1228" s="215" t="n"/>
      <c r="Q1228" s="215" t="n"/>
      <c r="R1228" s="215" t="n"/>
      <c r="S1228" s="215" t="n"/>
      <c r="T1228" s="215" t="n"/>
      <c r="U1228" s="215" t="n"/>
      <c r="V1228" s="215" t="n"/>
      <c r="W1228" s="215" t="n"/>
      <c r="X1228" s="215" t="n"/>
      <c r="Y1228" s="215" t="n"/>
      <c r="Z1228" s="215" t="n"/>
      <c r="AA1228" s="215" t="n"/>
      <c r="AB1228" s="215" t="n"/>
      <c r="AC1228" s="215" t="n"/>
      <c r="AD1228" s="215" t="n"/>
      <c r="AE1228" s="215" t="n"/>
      <c r="AF1228" s="215" t="n"/>
      <c r="AG1228" s="215" t="n"/>
      <c r="AH1228" s="215" t="n"/>
      <c r="AI1228" s="215" t="n"/>
      <c r="AJ1228" s="215" t="n"/>
      <c r="AK1228" s="216" t="n"/>
    </row>
    <row r="1229" ht="15" customHeight="1">
      <c r="B1229" s="134" t="n"/>
      <c r="C1229" s="105" t="n"/>
      <c r="D1229" s="105" t="n"/>
      <c r="E1229" s="105" t="n"/>
      <c r="F1229" s="105" t="n"/>
      <c r="G1229" s="105" t="n"/>
      <c r="H1229" s="2" t="n"/>
      <c r="I1229" s="105" t="n"/>
      <c r="K1229" s="215" t="n"/>
      <c r="L1229" s="215" t="n"/>
      <c r="M1229" s="215" t="n"/>
      <c r="N1229" s="215" t="n"/>
      <c r="O1229" s="215" t="n"/>
      <c r="P1229" s="215" t="n"/>
      <c r="Q1229" s="215" t="n"/>
      <c r="R1229" s="215" t="n"/>
      <c r="S1229" s="215" t="n"/>
      <c r="T1229" s="215" t="n"/>
      <c r="U1229" s="215" t="n"/>
      <c r="V1229" s="215" t="n"/>
      <c r="W1229" s="215" t="n"/>
      <c r="X1229" s="215" t="n"/>
      <c r="Y1229" s="215" t="n"/>
      <c r="Z1229" s="215" t="n"/>
      <c r="AA1229" s="215" t="n"/>
      <c r="AB1229" s="215" t="n"/>
      <c r="AC1229" s="215" t="n"/>
      <c r="AD1229" s="215" t="n"/>
      <c r="AE1229" s="215" t="n"/>
      <c r="AF1229" s="215" t="n"/>
      <c r="AG1229" s="215" t="n"/>
      <c r="AH1229" s="215" t="n"/>
      <c r="AI1229" s="215" t="n"/>
      <c r="AJ1229" s="215" t="n"/>
      <c r="AK1229" s="216" t="n"/>
    </row>
    <row r="1230" ht="15" customHeight="1">
      <c r="B1230" s="134" t="n"/>
      <c r="C1230" s="105" t="n"/>
      <c r="D1230" s="105" t="n"/>
      <c r="E1230" s="105" t="n"/>
      <c r="F1230" s="105" t="n"/>
      <c r="G1230" s="105" t="n"/>
      <c r="H1230" s="2" t="n"/>
      <c r="I1230" s="105" t="n"/>
      <c r="K1230" s="215" t="n"/>
      <c r="L1230" s="215" t="n"/>
      <c r="M1230" s="215" t="n"/>
      <c r="N1230" s="215" t="n"/>
      <c r="O1230" s="215" t="n"/>
      <c r="P1230" s="215" t="n"/>
      <c r="Q1230" s="215" t="n"/>
      <c r="R1230" s="215" t="n"/>
      <c r="S1230" s="215" t="n"/>
      <c r="T1230" s="215" t="n"/>
      <c r="U1230" s="215" t="n"/>
      <c r="V1230" s="215" t="n"/>
      <c r="W1230" s="215" t="n"/>
      <c r="X1230" s="215" t="n"/>
      <c r="Y1230" s="215" t="n"/>
      <c r="Z1230" s="215" t="n"/>
      <c r="AA1230" s="215" t="n"/>
      <c r="AB1230" s="215" t="n"/>
      <c r="AC1230" s="215" t="n"/>
      <c r="AD1230" s="215" t="n"/>
      <c r="AE1230" s="215" t="n"/>
      <c r="AF1230" s="215" t="n"/>
      <c r="AG1230" s="215" t="n"/>
      <c r="AH1230" s="215" t="n"/>
      <c r="AI1230" s="215" t="n"/>
      <c r="AJ1230" s="215" t="n"/>
      <c r="AK1230" s="216" t="n"/>
    </row>
    <row r="1231" ht="15" customHeight="1">
      <c r="B1231" s="134" t="n"/>
      <c r="C1231" s="105" t="n"/>
      <c r="D1231" s="105" t="n"/>
      <c r="E1231" s="105" t="n"/>
      <c r="F1231" s="105" t="n"/>
      <c r="G1231" s="105" t="n"/>
      <c r="H1231" s="2" t="n"/>
      <c r="I1231" s="105" t="n"/>
      <c r="K1231" s="215" t="n"/>
      <c r="L1231" s="215" t="n"/>
      <c r="M1231" s="215" t="n"/>
      <c r="N1231" s="215" t="n"/>
      <c r="O1231" s="215" t="n"/>
      <c r="P1231" s="215" t="n"/>
      <c r="Q1231" s="215" t="n"/>
      <c r="R1231" s="215" t="n"/>
      <c r="S1231" s="215" t="n"/>
      <c r="T1231" s="215" t="n"/>
      <c r="U1231" s="215" t="n"/>
      <c r="V1231" s="215" t="n"/>
      <c r="W1231" s="215" t="n"/>
      <c r="X1231" s="215" t="n"/>
      <c r="Y1231" s="215" t="n"/>
      <c r="Z1231" s="215" t="n"/>
      <c r="AA1231" s="215" t="n"/>
      <c r="AB1231" s="215" t="n"/>
      <c r="AC1231" s="215" t="n"/>
      <c r="AD1231" s="215" t="n"/>
      <c r="AE1231" s="215" t="n"/>
      <c r="AF1231" s="215" t="n"/>
      <c r="AG1231" s="215" t="n"/>
      <c r="AH1231" s="215" t="n"/>
      <c r="AI1231" s="215" t="n"/>
      <c r="AJ1231" s="215" t="n"/>
      <c r="AK1231" s="216" t="n"/>
    </row>
    <row r="1232" ht="15" customHeight="1">
      <c r="B1232" s="134" t="n"/>
      <c r="C1232" s="105" t="n"/>
      <c r="D1232" s="105" t="n"/>
      <c r="E1232" s="105" t="n"/>
      <c r="F1232" s="105" t="n"/>
      <c r="G1232" s="105" t="n"/>
      <c r="H1232" s="2" t="n"/>
      <c r="I1232" s="105" t="n"/>
      <c r="K1232" s="215" t="n"/>
      <c r="L1232" s="215" t="n"/>
      <c r="M1232" s="215" t="n"/>
      <c r="N1232" s="215" t="n"/>
      <c r="O1232" s="215" t="n"/>
      <c r="P1232" s="215" t="n"/>
      <c r="Q1232" s="215" t="n"/>
      <c r="R1232" s="215" t="n"/>
      <c r="S1232" s="215" t="n"/>
      <c r="T1232" s="215" t="n"/>
      <c r="U1232" s="215" t="n"/>
      <c r="V1232" s="215" t="n"/>
      <c r="W1232" s="215" t="n"/>
      <c r="X1232" s="215" t="n"/>
      <c r="Y1232" s="215" t="n"/>
      <c r="Z1232" s="215" t="n"/>
      <c r="AA1232" s="215" t="n"/>
      <c r="AB1232" s="215" t="n"/>
      <c r="AC1232" s="215" t="n"/>
      <c r="AD1232" s="215" t="n"/>
      <c r="AE1232" s="215" t="n"/>
      <c r="AF1232" s="215" t="n"/>
      <c r="AG1232" s="215" t="n"/>
      <c r="AH1232" s="215" t="n"/>
      <c r="AI1232" s="215" t="n"/>
      <c r="AJ1232" s="215" t="n"/>
      <c r="AK1232" s="216" t="n"/>
    </row>
    <row r="1233" ht="15" customHeight="1">
      <c r="B1233" s="134" t="n"/>
      <c r="C1233" s="105" t="n"/>
      <c r="D1233" s="105" t="n"/>
      <c r="E1233" s="105" t="n"/>
      <c r="F1233" s="105" t="n"/>
      <c r="G1233" s="105" t="n"/>
      <c r="H1233" s="2" t="n"/>
      <c r="I1233" s="105" t="n"/>
      <c r="K1233" s="215" t="n"/>
      <c r="L1233" s="215" t="n"/>
      <c r="M1233" s="215" t="n"/>
      <c r="N1233" s="215" t="n"/>
      <c r="O1233" s="215" t="n"/>
      <c r="P1233" s="215" t="n"/>
      <c r="Q1233" s="215" t="n"/>
      <c r="R1233" s="215" t="n"/>
      <c r="S1233" s="215" t="n"/>
      <c r="T1233" s="215" t="n"/>
      <c r="U1233" s="215" t="n"/>
      <c r="V1233" s="215" t="n"/>
      <c r="W1233" s="215" t="n"/>
      <c r="X1233" s="215" t="n"/>
      <c r="Y1233" s="215" t="n"/>
      <c r="Z1233" s="215" t="n"/>
      <c r="AA1233" s="215" t="n"/>
      <c r="AB1233" s="215" t="n"/>
      <c r="AC1233" s="215" t="n"/>
      <c r="AD1233" s="215" t="n"/>
      <c r="AE1233" s="215" t="n"/>
      <c r="AF1233" s="215" t="n"/>
      <c r="AG1233" s="215" t="n"/>
      <c r="AH1233" s="215" t="n"/>
      <c r="AI1233" s="215" t="n"/>
      <c r="AJ1233" s="215" t="n"/>
      <c r="AK1233" s="216" t="n"/>
    </row>
    <row r="1234" ht="15" customHeight="1">
      <c r="B1234" s="134" t="n"/>
      <c r="C1234" s="105" t="n"/>
      <c r="D1234" s="105" t="n"/>
      <c r="E1234" s="105" t="n"/>
      <c r="F1234" s="105" t="n"/>
      <c r="G1234" s="105" t="n"/>
      <c r="H1234" s="2" t="n"/>
      <c r="I1234" s="105" t="n"/>
      <c r="K1234" s="215" t="n"/>
      <c r="L1234" s="215" t="n"/>
      <c r="M1234" s="215" t="n"/>
      <c r="N1234" s="215" t="n"/>
      <c r="O1234" s="215" t="n"/>
      <c r="P1234" s="215" t="n"/>
      <c r="Q1234" s="215" t="n"/>
      <c r="R1234" s="215" t="n"/>
      <c r="S1234" s="215" t="n"/>
      <c r="T1234" s="215" t="n"/>
      <c r="U1234" s="215" t="n"/>
      <c r="V1234" s="215" t="n"/>
      <c r="W1234" s="215" t="n"/>
      <c r="X1234" s="215" t="n"/>
      <c r="Y1234" s="215" t="n"/>
      <c r="Z1234" s="215" t="n"/>
      <c r="AA1234" s="215" t="n"/>
      <c r="AB1234" s="215" t="n"/>
      <c r="AC1234" s="215" t="n"/>
      <c r="AD1234" s="215" t="n"/>
      <c r="AE1234" s="215" t="n"/>
      <c r="AF1234" s="215" t="n"/>
      <c r="AG1234" s="215" t="n"/>
      <c r="AH1234" s="215" t="n"/>
      <c r="AI1234" s="215" t="n"/>
      <c r="AJ1234" s="215" t="n"/>
      <c r="AK1234" s="216" t="n"/>
    </row>
    <row r="1235" ht="15" customHeight="1">
      <c r="B1235" s="134" t="n"/>
      <c r="C1235" s="105" t="n"/>
      <c r="D1235" s="105" t="n"/>
      <c r="E1235" s="105" t="n"/>
      <c r="F1235" s="105" t="n"/>
      <c r="G1235" s="105" t="n"/>
      <c r="H1235" s="2" t="n"/>
      <c r="I1235" s="105" t="n"/>
      <c r="K1235" s="215" t="n"/>
      <c r="L1235" s="215" t="n"/>
      <c r="M1235" s="215" t="n"/>
      <c r="N1235" s="215" t="n"/>
      <c r="O1235" s="215" t="n"/>
      <c r="P1235" s="215" t="n"/>
      <c r="Q1235" s="215" t="n"/>
      <c r="R1235" s="215" t="n"/>
      <c r="S1235" s="215" t="n"/>
      <c r="T1235" s="215" t="n"/>
      <c r="U1235" s="215" t="n"/>
      <c r="V1235" s="215" t="n"/>
      <c r="W1235" s="215" t="n"/>
      <c r="X1235" s="215" t="n"/>
      <c r="Y1235" s="215" t="n"/>
      <c r="Z1235" s="215" t="n"/>
      <c r="AA1235" s="215" t="n"/>
      <c r="AB1235" s="215" t="n"/>
      <c r="AC1235" s="215" t="n"/>
      <c r="AD1235" s="215" t="n"/>
      <c r="AE1235" s="215" t="n"/>
      <c r="AF1235" s="215" t="n"/>
      <c r="AG1235" s="215" t="n"/>
      <c r="AH1235" s="215" t="n"/>
      <c r="AI1235" s="215" t="n"/>
      <c r="AJ1235" s="215" t="n"/>
      <c r="AK1235" s="216" t="n"/>
    </row>
    <row r="1236" ht="15" customHeight="1">
      <c r="B1236" s="134" t="n"/>
      <c r="C1236" s="105" t="n"/>
      <c r="D1236" s="105" t="n"/>
      <c r="E1236" s="105" t="n"/>
      <c r="F1236" s="105" t="n"/>
      <c r="G1236" s="105" t="n"/>
      <c r="H1236" s="2" t="n"/>
      <c r="I1236" s="105" t="n"/>
      <c r="K1236" s="215" t="n"/>
      <c r="L1236" s="215" t="n"/>
      <c r="M1236" s="215" t="n"/>
      <c r="N1236" s="215" t="n"/>
      <c r="O1236" s="215" t="n"/>
      <c r="P1236" s="215" t="n"/>
      <c r="Q1236" s="215" t="n"/>
      <c r="R1236" s="215" t="n"/>
      <c r="S1236" s="215" t="n"/>
      <c r="T1236" s="215" t="n"/>
      <c r="U1236" s="215" t="n"/>
      <c r="V1236" s="215" t="n"/>
      <c r="W1236" s="215" t="n"/>
      <c r="X1236" s="215" t="n"/>
      <c r="Y1236" s="215" t="n"/>
      <c r="Z1236" s="215" t="n"/>
      <c r="AA1236" s="215" t="n"/>
      <c r="AB1236" s="215" t="n"/>
      <c r="AC1236" s="215" t="n"/>
      <c r="AD1236" s="215" t="n"/>
      <c r="AE1236" s="215" t="n"/>
      <c r="AF1236" s="215" t="n"/>
      <c r="AG1236" s="215" t="n"/>
      <c r="AH1236" s="215" t="n"/>
      <c r="AI1236" s="215" t="n"/>
      <c r="AJ1236" s="215" t="n"/>
      <c r="AK1236" s="216" t="n"/>
    </row>
    <row r="1237" ht="15" customHeight="1">
      <c r="B1237" s="134" t="n"/>
      <c r="C1237" s="105" t="n"/>
      <c r="D1237" s="105" t="n"/>
      <c r="E1237" s="105" t="n"/>
      <c r="F1237" s="105" t="n"/>
      <c r="G1237" s="105" t="n"/>
      <c r="H1237" s="2" t="n"/>
      <c r="I1237" s="105" t="n"/>
      <c r="K1237" s="215" t="n"/>
      <c r="L1237" s="215" t="n"/>
      <c r="M1237" s="215" t="n"/>
      <c r="N1237" s="215" t="n"/>
      <c r="O1237" s="215" t="n"/>
      <c r="P1237" s="215" t="n"/>
      <c r="Q1237" s="215" t="n"/>
      <c r="R1237" s="215" t="n"/>
      <c r="S1237" s="215" t="n"/>
      <c r="T1237" s="215" t="n"/>
      <c r="U1237" s="215" t="n"/>
      <c r="V1237" s="215" t="n"/>
      <c r="W1237" s="215" t="n"/>
      <c r="X1237" s="215" t="n"/>
      <c r="Y1237" s="215" t="n"/>
      <c r="Z1237" s="215" t="n"/>
      <c r="AA1237" s="215" t="n"/>
      <c r="AB1237" s="215" t="n"/>
      <c r="AC1237" s="215" t="n"/>
      <c r="AD1237" s="215" t="n"/>
      <c r="AE1237" s="215" t="n"/>
      <c r="AF1237" s="215" t="n"/>
      <c r="AG1237" s="215" t="n"/>
      <c r="AH1237" s="215" t="n"/>
      <c r="AI1237" s="215" t="n"/>
      <c r="AJ1237" s="215" t="n"/>
      <c r="AK1237" s="216" t="n"/>
    </row>
    <row r="1238" ht="15" customHeight="1">
      <c r="B1238" s="134" t="n"/>
      <c r="C1238" s="105" t="n"/>
      <c r="D1238" s="105" t="n"/>
      <c r="E1238" s="105" t="n"/>
      <c r="F1238" s="105" t="n"/>
      <c r="G1238" s="105" t="n"/>
      <c r="H1238" s="2" t="n"/>
      <c r="I1238" s="105" t="n"/>
      <c r="K1238" s="215" t="n"/>
      <c r="L1238" s="215" t="n"/>
      <c r="M1238" s="215" t="n"/>
      <c r="N1238" s="215" t="n"/>
      <c r="O1238" s="215" t="n"/>
      <c r="P1238" s="215" t="n"/>
      <c r="Q1238" s="215" t="n"/>
      <c r="R1238" s="215" t="n"/>
      <c r="S1238" s="215" t="n"/>
      <c r="T1238" s="215" t="n"/>
      <c r="U1238" s="215" t="n"/>
      <c r="V1238" s="215" t="n"/>
      <c r="W1238" s="215" t="n"/>
      <c r="X1238" s="215" t="n"/>
      <c r="Y1238" s="215" t="n"/>
      <c r="Z1238" s="215" t="n"/>
      <c r="AA1238" s="215" t="n"/>
      <c r="AB1238" s="215" t="n"/>
      <c r="AC1238" s="215" t="n"/>
      <c r="AD1238" s="215" t="n"/>
      <c r="AE1238" s="215" t="n"/>
      <c r="AF1238" s="215" t="n"/>
      <c r="AG1238" s="215" t="n"/>
      <c r="AH1238" s="215" t="n"/>
      <c r="AI1238" s="215" t="n"/>
      <c r="AJ1238" s="215" t="n"/>
      <c r="AK1238" s="216" t="n"/>
    </row>
    <row r="1239" ht="15" customHeight="1">
      <c r="B1239" s="134" t="n"/>
      <c r="C1239" s="105" t="n"/>
      <c r="D1239" s="105" t="n"/>
      <c r="E1239" s="105" t="n"/>
      <c r="F1239" s="105" t="n"/>
      <c r="G1239" s="105" t="n"/>
      <c r="H1239" s="2" t="n"/>
      <c r="I1239" s="105" t="n"/>
      <c r="K1239" s="215" t="n"/>
      <c r="L1239" s="215" t="n"/>
      <c r="M1239" s="215" t="n"/>
      <c r="N1239" s="215" t="n"/>
      <c r="O1239" s="215" t="n"/>
      <c r="P1239" s="215" t="n"/>
      <c r="Q1239" s="215" t="n"/>
      <c r="R1239" s="215" t="n"/>
      <c r="S1239" s="215" t="n"/>
      <c r="T1239" s="215" t="n"/>
      <c r="U1239" s="215" t="n"/>
      <c r="V1239" s="215" t="n"/>
      <c r="W1239" s="215" t="n"/>
      <c r="X1239" s="215" t="n"/>
      <c r="Y1239" s="215" t="n"/>
      <c r="Z1239" s="215" t="n"/>
      <c r="AA1239" s="215" t="n"/>
      <c r="AB1239" s="215" t="n"/>
      <c r="AC1239" s="215" t="n"/>
      <c r="AD1239" s="215" t="n"/>
      <c r="AE1239" s="215" t="n"/>
      <c r="AF1239" s="215" t="n"/>
      <c r="AG1239" s="215" t="n"/>
      <c r="AH1239" s="215" t="n"/>
      <c r="AI1239" s="215" t="n"/>
      <c r="AJ1239" s="215" t="n"/>
      <c r="AK1239" s="216" t="n"/>
    </row>
    <row r="1240" ht="15" customHeight="1">
      <c r="B1240" s="134" t="n"/>
      <c r="C1240" s="105" t="n"/>
      <c r="D1240" s="105" t="n"/>
      <c r="E1240" s="105" t="n"/>
      <c r="F1240" s="105" t="n"/>
      <c r="G1240" s="105" t="n"/>
      <c r="H1240" s="2" t="n"/>
      <c r="I1240" s="105" t="n"/>
      <c r="K1240" s="215" t="n"/>
      <c r="L1240" s="215" t="n"/>
      <c r="M1240" s="215" t="n"/>
      <c r="N1240" s="215" t="n"/>
      <c r="O1240" s="215" t="n"/>
      <c r="P1240" s="215" t="n"/>
      <c r="Q1240" s="215" t="n"/>
      <c r="R1240" s="215" t="n"/>
      <c r="S1240" s="215" t="n"/>
      <c r="T1240" s="215" t="n"/>
      <c r="U1240" s="215" t="n"/>
      <c r="V1240" s="215" t="n"/>
      <c r="W1240" s="215" t="n"/>
      <c r="X1240" s="215" t="n"/>
      <c r="Y1240" s="215" t="n"/>
      <c r="Z1240" s="215" t="n"/>
      <c r="AA1240" s="215" t="n"/>
      <c r="AB1240" s="215" t="n"/>
      <c r="AC1240" s="215" t="n"/>
      <c r="AD1240" s="215" t="n"/>
      <c r="AE1240" s="215" t="n"/>
      <c r="AF1240" s="215" t="n"/>
      <c r="AG1240" s="215" t="n"/>
      <c r="AH1240" s="215" t="n"/>
      <c r="AI1240" s="215" t="n"/>
      <c r="AJ1240" s="215" t="n"/>
      <c r="AK1240" s="216" t="n"/>
    </row>
    <row r="1241" ht="15" customHeight="1">
      <c r="B1241" s="134" t="n"/>
      <c r="C1241" s="105" t="n"/>
      <c r="D1241" s="105" t="n"/>
      <c r="E1241" s="105" t="n"/>
      <c r="F1241" s="105" t="n"/>
      <c r="G1241" s="105" t="n"/>
      <c r="H1241" s="2" t="n"/>
      <c r="I1241" s="105" t="n"/>
      <c r="K1241" s="215" t="n"/>
      <c r="L1241" s="215" t="n"/>
      <c r="M1241" s="215" t="n"/>
      <c r="N1241" s="215" t="n"/>
      <c r="O1241" s="215" t="n"/>
      <c r="P1241" s="215" t="n"/>
      <c r="Q1241" s="215" t="n"/>
      <c r="R1241" s="215" t="n"/>
      <c r="S1241" s="215" t="n"/>
      <c r="T1241" s="215" t="n"/>
      <c r="U1241" s="215" t="n"/>
      <c r="V1241" s="215" t="n"/>
      <c r="W1241" s="215" t="n"/>
      <c r="X1241" s="215" t="n"/>
      <c r="Y1241" s="215" t="n"/>
      <c r="Z1241" s="215" t="n"/>
      <c r="AA1241" s="215" t="n"/>
      <c r="AB1241" s="215" t="n"/>
      <c r="AC1241" s="215" t="n"/>
      <c r="AD1241" s="215" t="n"/>
      <c r="AE1241" s="215" t="n"/>
      <c r="AF1241" s="215" t="n"/>
      <c r="AG1241" s="215" t="n"/>
      <c r="AH1241" s="215" t="n"/>
      <c r="AI1241" s="215" t="n"/>
      <c r="AJ1241" s="215" t="n"/>
      <c r="AK1241" s="216" t="n"/>
    </row>
    <row r="1242" ht="15" customHeight="1">
      <c r="B1242" s="134" t="n"/>
      <c r="C1242" s="105" t="n"/>
      <c r="D1242" s="105" t="n"/>
      <c r="E1242" s="105" t="n"/>
      <c r="F1242" s="105" t="n"/>
      <c r="G1242" s="105" t="n"/>
      <c r="H1242" s="2" t="n"/>
      <c r="I1242" s="105" t="n"/>
      <c r="K1242" s="215" t="n"/>
      <c r="L1242" s="215" t="n"/>
      <c r="M1242" s="215" t="n"/>
      <c r="N1242" s="215" t="n"/>
      <c r="O1242" s="215" t="n"/>
      <c r="P1242" s="215" t="n"/>
      <c r="Q1242" s="215" t="n"/>
      <c r="R1242" s="215" t="n"/>
      <c r="S1242" s="215" t="n"/>
      <c r="T1242" s="215" t="n"/>
      <c r="U1242" s="215" t="n"/>
      <c r="V1242" s="215" t="n"/>
      <c r="W1242" s="215" t="n"/>
      <c r="X1242" s="215" t="n"/>
      <c r="Y1242" s="215" t="n"/>
      <c r="Z1242" s="215" t="n"/>
      <c r="AA1242" s="215" t="n"/>
      <c r="AB1242" s="215" t="n"/>
      <c r="AC1242" s="215" t="n"/>
      <c r="AD1242" s="215" t="n"/>
      <c r="AE1242" s="215" t="n"/>
      <c r="AF1242" s="215" t="n"/>
      <c r="AG1242" s="215" t="n"/>
      <c r="AH1242" s="215" t="n"/>
      <c r="AI1242" s="215" t="n"/>
      <c r="AJ1242" s="215" t="n"/>
      <c r="AK1242" s="216" t="n"/>
    </row>
    <row r="1243" ht="15" customHeight="1">
      <c r="B1243" s="134" t="n"/>
      <c r="C1243" s="105" t="n"/>
      <c r="D1243" s="105" t="n"/>
      <c r="E1243" s="105" t="n"/>
      <c r="F1243" s="105" t="n"/>
      <c r="G1243" s="105" t="n"/>
      <c r="H1243" s="2" t="n"/>
      <c r="I1243" s="105" t="n"/>
      <c r="K1243" s="215" t="n"/>
      <c r="L1243" s="215" t="n"/>
      <c r="M1243" s="215" t="n"/>
      <c r="N1243" s="215" t="n"/>
      <c r="O1243" s="215" t="n"/>
      <c r="P1243" s="215" t="n"/>
      <c r="Q1243" s="215" t="n"/>
      <c r="R1243" s="215" t="n"/>
      <c r="S1243" s="215" t="n"/>
      <c r="T1243" s="215" t="n"/>
      <c r="U1243" s="215" t="n"/>
      <c r="V1243" s="215" t="n"/>
      <c r="W1243" s="215" t="n"/>
      <c r="X1243" s="215" t="n"/>
      <c r="Y1243" s="215" t="n"/>
      <c r="Z1243" s="215" t="n"/>
      <c r="AA1243" s="215" t="n"/>
      <c r="AB1243" s="215" t="n"/>
      <c r="AC1243" s="215" t="n"/>
      <c r="AD1243" s="215" t="n"/>
      <c r="AE1243" s="215" t="n"/>
      <c r="AF1243" s="215" t="n"/>
      <c r="AG1243" s="215" t="n"/>
      <c r="AH1243" s="215" t="n"/>
      <c r="AI1243" s="215" t="n"/>
      <c r="AJ1243" s="215" t="n"/>
      <c r="AK1243" s="216" t="n"/>
    </row>
    <row r="1244" ht="15" customHeight="1">
      <c r="B1244" s="134" t="n"/>
      <c r="C1244" s="105" t="n"/>
      <c r="D1244" s="105" t="n"/>
      <c r="E1244" s="105" t="n"/>
      <c r="F1244" s="105" t="n"/>
      <c r="G1244" s="105" t="n"/>
      <c r="H1244" s="2" t="n"/>
      <c r="I1244" s="105" t="n"/>
      <c r="K1244" s="215" t="n"/>
      <c r="L1244" s="215" t="n"/>
      <c r="M1244" s="215" t="n"/>
      <c r="N1244" s="215" t="n"/>
      <c r="O1244" s="215" t="n"/>
      <c r="P1244" s="215" t="n"/>
      <c r="Q1244" s="215" t="n"/>
      <c r="R1244" s="215" t="n"/>
      <c r="S1244" s="215" t="n"/>
      <c r="T1244" s="215" t="n"/>
      <c r="U1244" s="215" t="n"/>
      <c r="V1244" s="215" t="n"/>
      <c r="W1244" s="215" t="n"/>
      <c r="X1244" s="215" t="n"/>
      <c r="Y1244" s="215" t="n"/>
      <c r="Z1244" s="215" t="n"/>
      <c r="AA1244" s="215" t="n"/>
      <c r="AB1244" s="215" t="n"/>
      <c r="AC1244" s="215" t="n"/>
      <c r="AD1244" s="215" t="n"/>
      <c r="AE1244" s="215" t="n"/>
      <c r="AF1244" s="215" t="n"/>
      <c r="AG1244" s="215" t="n"/>
      <c r="AH1244" s="215" t="n"/>
      <c r="AI1244" s="215" t="n"/>
      <c r="AJ1244" s="215" t="n"/>
      <c r="AK1244" s="216" t="n"/>
    </row>
    <row r="1245" ht="15" customHeight="1">
      <c r="B1245" s="134" t="n"/>
      <c r="C1245" s="105" t="n"/>
      <c r="D1245" s="105" t="n"/>
      <c r="E1245" s="105" t="n"/>
      <c r="F1245" s="105" t="n"/>
      <c r="G1245" s="105" t="n"/>
      <c r="H1245" s="2" t="n"/>
      <c r="I1245" s="105" t="n"/>
      <c r="K1245" s="215" t="n"/>
      <c r="L1245" s="215" t="n"/>
      <c r="M1245" s="215" t="n"/>
      <c r="N1245" s="215" t="n"/>
      <c r="O1245" s="215" t="n"/>
      <c r="P1245" s="215" t="n"/>
      <c r="Q1245" s="215" t="n"/>
      <c r="R1245" s="215" t="n"/>
      <c r="S1245" s="215" t="n"/>
      <c r="T1245" s="215" t="n"/>
      <c r="U1245" s="215" t="n"/>
      <c r="V1245" s="215" t="n"/>
      <c r="W1245" s="215" t="n"/>
      <c r="X1245" s="215" t="n"/>
      <c r="Y1245" s="215" t="n"/>
      <c r="Z1245" s="215" t="n"/>
      <c r="AA1245" s="215" t="n"/>
      <c r="AB1245" s="215" t="n"/>
      <c r="AC1245" s="215" t="n"/>
      <c r="AD1245" s="215" t="n"/>
      <c r="AE1245" s="215" t="n"/>
      <c r="AF1245" s="215" t="n"/>
      <c r="AG1245" s="215" t="n"/>
      <c r="AH1245" s="215" t="n"/>
      <c r="AI1245" s="215" t="n"/>
      <c r="AJ1245" s="215" t="n"/>
      <c r="AK1245" s="216" t="n"/>
    </row>
    <row r="1246" ht="15" customHeight="1">
      <c r="B1246" s="134" t="n"/>
      <c r="C1246" s="105" t="n"/>
      <c r="D1246" s="105" t="n"/>
      <c r="E1246" s="105" t="n"/>
      <c r="F1246" s="105" t="n"/>
      <c r="G1246" s="105" t="n"/>
      <c r="H1246" s="2" t="n"/>
      <c r="I1246" s="105" t="n"/>
      <c r="K1246" s="215" t="n"/>
      <c r="L1246" s="215" t="n"/>
      <c r="M1246" s="215" t="n"/>
      <c r="N1246" s="215" t="n"/>
      <c r="O1246" s="215" t="n"/>
      <c r="P1246" s="215" t="n"/>
      <c r="Q1246" s="215" t="n"/>
      <c r="R1246" s="215" t="n"/>
      <c r="S1246" s="215" t="n"/>
      <c r="T1246" s="215" t="n"/>
      <c r="U1246" s="215" t="n"/>
      <c r="V1246" s="215" t="n"/>
      <c r="W1246" s="215" t="n"/>
      <c r="X1246" s="215" t="n"/>
      <c r="Y1246" s="215" t="n"/>
      <c r="Z1246" s="215" t="n"/>
      <c r="AA1246" s="215" t="n"/>
      <c r="AB1246" s="215" t="n"/>
      <c r="AC1246" s="215" t="n"/>
      <c r="AD1246" s="215" t="n"/>
      <c r="AE1246" s="215" t="n"/>
      <c r="AF1246" s="215" t="n"/>
      <c r="AG1246" s="215" t="n"/>
      <c r="AH1246" s="215" t="n"/>
      <c r="AI1246" s="215" t="n"/>
      <c r="AJ1246" s="215" t="n"/>
      <c r="AK1246" s="216" t="n"/>
    </row>
    <row r="1247" ht="15" customHeight="1">
      <c r="B1247" s="134" t="n"/>
      <c r="C1247" s="105" t="n"/>
      <c r="D1247" s="105" t="n"/>
      <c r="E1247" s="105" t="n"/>
      <c r="F1247" s="105" t="n"/>
      <c r="G1247" s="105" t="n"/>
      <c r="H1247" s="2" t="n"/>
      <c r="I1247" s="105" t="n"/>
      <c r="K1247" s="215" t="n"/>
      <c r="L1247" s="215" t="n"/>
      <c r="M1247" s="215" t="n"/>
      <c r="N1247" s="215" t="n"/>
      <c r="O1247" s="215" t="n"/>
      <c r="P1247" s="215" t="n"/>
      <c r="Q1247" s="215" t="n"/>
      <c r="R1247" s="215" t="n"/>
      <c r="S1247" s="215" t="n"/>
      <c r="T1247" s="215" t="n"/>
      <c r="U1247" s="215" t="n"/>
      <c r="V1247" s="215" t="n"/>
      <c r="W1247" s="215" t="n"/>
      <c r="X1247" s="215" t="n"/>
      <c r="Y1247" s="215" t="n"/>
      <c r="Z1247" s="215" t="n"/>
      <c r="AA1247" s="215" t="n"/>
      <c r="AB1247" s="215" t="n"/>
      <c r="AC1247" s="215" t="n"/>
      <c r="AD1247" s="215" t="n"/>
      <c r="AE1247" s="215" t="n"/>
      <c r="AF1247" s="215" t="n"/>
      <c r="AG1247" s="215" t="n"/>
      <c r="AH1247" s="215" t="n"/>
      <c r="AI1247" s="215" t="n"/>
      <c r="AJ1247" s="215" t="n"/>
      <c r="AK1247" s="216" t="n"/>
    </row>
    <row r="1248" ht="15" customHeight="1">
      <c r="B1248" s="134" t="n"/>
      <c r="C1248" s="105" t="n"/>
      <c r="D1248" s="105" t="n"/>
      <c r="E1248" s="105" t="n"/>
      <c r="F1248" s="105" t="n"/>
      <c r="G1248" s="105" t="n"/>
      <c r="H1248" s="2" t="n"/>
      <c r="I1248" s="105" t="n"/>
      <c r="K1248" s="215" t="n"/>
      <c r="L1248" s="215" t="n"/>
      <c r="M1248" s="215" t="n"/>
      <c r="N1248" s="215" t="n"/>
      <c r="O1248" s="215" t="n"/>
      <c r="P1248" s="215" t="n"/>
      <c r="Q1248" s="215" t="n"/>
      <c r="R1248" s="215" t="n"/>
      <c r="S1248" s="215" t="n"/>
      <c r="T1248" s="215" t="n"/>
      <c r="U1248" s="215" t="n"/>
      <c r="V1248" s="215" t="n"/>
      <c r="W1248" s="215" t="n"/>
      <c r="X1248" s="215" t="n"/>
      <c r="Y1248" s="215" t="n"/>
      <c r="Z1248" s="215" t="n"/>
      <c r="AA1248" s="215" t="n"/>
      <c r="AB1248" s="215" t="n"/>
      <c r="AC1248" s="215" t="n"/>
      <c r="AD1248" s="215" t="n"/>
      <c r="AE1248" s="215" t="n"/>
      <c r="AF1248" s="215" t="n"/>
      <c r="AG1248" s="215" t="n"/>
      <c r="AH1248" s="215" t="n"/>
      <c r="AI1248" s="215" t="n"/>
      <c r="AJ1248" s="215" t="n"/>
      <c r="AK1248" s="216" t="n"/>
    </row>
    <row r="1249" ht="15" customHeight="1">
      <c r="B1249" s="134" t="n"/>
      <c r="C1249" s="105" t="n"/>
      <c r="D1249" s="105" t="n"/>
      <c r="E1249" s="105" t="n"/>
      <c r="F1249" s="105" t="n"/>
      <c r="G1249" s="105" t="n"/>
      <c r="H1249" s="2" t="n"/>
      <c r="I1249" s="105" t="n"/>
      <c r="K1249" s="215" t="n"/>
      <c r="L1249" s="215" t="n"/>
      <c r="M1249" s="215" t="n"/>
      <c r="N1249" s="215" t="n"/>
      <c r="O1249" s="215" t="n"/>
      <c r="P1249" s="215" t="n"/>
      <c r="Q1249" s="215" t="n"/>
      <c r="R1249" s="215" t="n"/>
      <c r="S1249" s="215" t="n"/>
      <c r="T1249" s="215" t="n"/>
      <c r="U1249" s="215" t="n"/>
      <c r="V1249" s="215" t="n"/>
      <c r="W1249" s="215" t="n"/>
      <c r="X1249" s="215" t="n"/>
      <c r="Y1249" s="215" t="n"/>
      <c r="Z1249" s="215" t="n"/>
      <c r="AA1249" s="215" t="n"/>
      <c r="AB1249" s="215" t="n"/>
      <c r="AC1249" s="215" t="n"/>
      <c r="AD1249" s="215" t="n"/>
      <c r="AE1249" s="215" t="n"/>
      <c r="AF1249" s="215" t="n"/>
      <c r="AG1249" s="215" t="n"/>
      <c r="AH1249" s="215" t="n"/>
      <c r="AI1249" s="215" t="n"/>
      <c r="AJ1249" s="215" t="n"/>
      <c r="AK1249" s="216" t="n"/>
    </row>
    <row r="1250" ht="15" customHeight="1">
      <c r="B1250" s="134" t="n"/>
      <c r="C1250" s="105" t="n"/>
      <c r="D1250" s="105" t="n"/>
      <c r="E1250" s="105" t="n"/>
      <c r="F1250" s="105" t="n"/>
      <c r="G1250" s="105" t="n"/>
      <c r="H1250" s="2" t="n"/>
      <c r="I1250" s="105" t="n"/>
      <c r="K1250" s="215" t="n"/>
      <c r="L1250" s="215" t="n"/>
      <c r="M1250" s="215" t="n"/>
      <c r="N1250" s="215" t="n"/>
      <c r="O1250" s="215" t="n"/>
      <c r="P1250" s="215" t="n"/>
      <c r="Q1250" s="215" t="n"/>
      <c r="R1250" s="215" t="n"/>
      <c r="S1250" s="215" t="n"/>
      <c r="T1250" s="215" t="n"/>
      <c r="U1250" s="215" t="n"/>
      <c r="V1250" s="215" t="n"/>
      <c r="W1250" s="215" t="n"/>
      <c r="X1250" s="215" t="n"/>
      <c r="Y1250" s="215" t="n"/>
      <c r="Z1250" s="215" t="n"/>
      <c r="AA1250" s="215" t="n"/>
      <c r="AB1250" s="215" t="n"/>
      <c r="AC1250" s="215" t="n"/>
      <c r="AD1250" s="215" t="n"/>
      <c r="AE1250" s="215" t="n"/>
      <c r="AF1250" s="215" t="n"/>
      <c r="AG1250" s="215" t="n"/>
      <c r="AH1250" s="215" t="n"/>
      <c r="AI1250" s="215" t="n"/>
      <c r="AJ1250" s="215" t="n"/>
      <c r="AK1250" s="216" t="n"/>
    </row>
    <row r="1251" ht="15" customHeight="1">
      <c r="B1251" s="134" t="n"/>
      <c r="C1251" s="105" t="n"/>
      <c r="D1251" s="105" t="n"/>
      <c r="E1251" s="105" t="n"/>
      <c r="F1251" s="105" t="n"/>
      <c r="G1251" s="105" t="n"/>
      <c r="H1251" s="2" t="n"/>
      <c r="I1251" s="105" t="n"/>
      <c r="K1251" s="215" t="n"/>
      <c r="L1251" s="215" t="n"/>
      <c r="M1251" s="215" t="n"/>
      <c r="N1251" s="215" t="n"/>
      <c r="O1251" s="215" t="n"/>
      <c r="P1251" s="215" t="n"/>
      <c r="Q1251" s="215" t="n"/>
      <c r="R1251" s="215" t="n"/>
      <c r="S1251" s="215" t="n"/>
      <c r="T1251" s="215" t="n"/>
      <c r="U1251" s="215" t="n"/>
      <c r="V1251" s="215" t="n"/>
      <c r="W1251" s="215" t="n"/>
      <c r="X1251" s="215" t="n"/>
      <c r="Y1251" s="215" t="n"/>
      <c r="Z1251" s="215" t="n"/>
      <c r="AA1251" s="215" t="n"/>
      <c r="AB1251" s="215" t="n"/>
      <c r="AC1251" s="215" t="n"/>
      <c r="AD1251" s="215" t="n"/>
      <c r="AE1251" s="215" t="n"/>
      <c r="AF1251" s="215" t="n"/>
      <c r="AG1251" s="215" t="n"/>
      <c r="AH1251" s="215" t="n"/>
      <c r="AI1251" s="215" t="n"/>
      <c r="AJ1251" s="215" t="n"/>
      <c r="AK1251" s="216" t="n"/>
    </row>
    <row r="1252" ht="15" customHeight="1">
      <c r="B1252" s="134" t="n"/>
      <c r="C1252" s="105" t="n"/>
      <c r="D1252" s="105" t="n"/>
      <c r="E1252" s="105" t="n"/>
      <c r="F1252" s="105" t="n"/>
      <c r="G1252" s="105" t="n"/>
      <c r="H1252" s="2" t="n"/>
      <c r="I1252" s="105" t="n"/>
      <c r="K1252" s="215" t="n"/>
      <c r="L1252" s="215" t="n"/>
      <c r="M1252" s="215" t="n"/>
      <c r="N1252" s="215" t="n"/>
      <c r="O1252" s="215" t="n"/>
      <c r="P1252" s="215" t="n"/>
      <c r="Q1252" s="215" t="n"/>
      <c r="R1252" s="215" t="n"/>
      <c r="S1252" s="215" t="n"/>
      <c r="T1252" s="215" t="n"/>
      <c r="U1252" s="215" t="n"/>
      <c r="V1252" s="215" t="n"/>
      <c r="W1252" s="215" t="n"/>
      <c r="X1252" s="215" t="n"/>
      <c r="Y1252" s="215" t="n"/>
      <c r="Z1252" s="215" t="n"/>
      <c r="AA1252" s="215" t="n"/>
      <c r="AB1252" s="215" t="n"/>
      <c r="AC1252" s="215" t="n"/>
      <c r="AD1252" s="215" t="n"/>
      <c r="AE1252" s="215" t="n"/>
      <c r="AF1252" s="215" t="n"/>
      <c r="AG1252" s="215" t="n"/>
      <c r="AH1252" s="215" t="n"/>
      <c r="AI1252" s="215" t="n"/>
      <c r="AJ1252" s="215" t="n"/>
      <c r="AK1252" s="216" t="n"/>
    </row>
    <row r="1253" ht="15" customHeight="1">
      <c r="B1253" s="134" t="n"/>
      <c r="C1253" s="105" t="n"/>
      <c r="D1253" s="105" t="n"/>
      <c r="E1253" s="105" t="n"/>
      <c r="F1253" s="105" t="n"/>
      <c r="G1253" s="105" t="n"/>
      <c r="H1253" s="2" t="n"/>
      <c r="I1253" s="105" t="n"/>
      <c r="K1253" s="215" t="n"/>
      <c r="L1253" s="215" t="n"/>
      <c r="M1253" s="215" t="n"/>
      <c r="N1253" s="215" t="n"/>
      <c r="O1253" s="215" t="n"/>
      <c r="P1253" s="215" t="n"/>
      <c r="Q1253" s="215" t="n"/>
      <c r="R1253" s="215" t="n"/>
      <c r="S1253" s="215" t="n"/>
      <c r="T1253" s="215" t="n"/>
      <c r="U1253" s="215" t="n"/>
      <c r="V1253" s="215" t="n"/>
      <c r="W1253" s="215" t="n"/>
      <c r="X1253" s="215" t="n"/>
      <c r="Y1253" s="215" t="n"/>
      <c r="Z1253" s="215" t="n"/>
      <c r="AA1253" s="215" t="n"/>
      <c r="AB1253" s="215" t="n"/>
      <c r="AC1253" s="215" t="n"/>
      <c r="AD1253" s="215" t="n"/>
      <c r="AE1253" s="215" t="n"/>
      <c r="AF1253" s="215" t="n"/>
      <c r="AG1253" s="215" t="n"/>
      <c r="AH1253" s="215" t="n"/>
      <c r="AI1253" s="215" t="n"/>
      <c r="AJ1253" s="215" t="n"/>
      <c r="AK1253" s="216" t="n"/>
    </row>
    <row r="1254" ht="15" customHeight="1">
      <c r="B1254" s="134" t="n"/>
      <c r="C1254" s="105" t="n"/>
      <c r="D1254" s="105" t="n"/>
      <c r="E1254" s="105" t="n"/>
      <c r="F1254" s="105" t="n"/>
      <c r="G1254" s="105" t="n"/>
      <c r="H1254" s="2" t="n"/>
      <c r="I1254" s="105" t="n"/>
      <c r="K1254" s="215" t="n"/>
      <c r="L1254" s="215" t="n"/>
      <c r="M1254" s="215" t="n"/>
      <c r="N1254" s="215" t="n"/>
      <c r="O1254" s="215" t="n"/>
      <c r="P1254" s="215" t="n"/>
      <c r="Q1254" s="215" t="n"/>
      <c r="R1254" s="215" t="n"/>
      <c r="S1254" s="215" t="n"/>
      <c r="T1254" s="215" t="n"/>
      <c r="U1254" s="215" t="n"/>
      <c r="V1254" s="215" t="n"/>
      <c r="W1254" s="215" t="n"/>
      <c r="X1254" s="215" t="n"/>
      <c r="Y1254" s="215" t="n"/>
      <c r="Z1254" s="215" t="n"/>
      <c r="AA1254" s="215" t="n"/>
      <c r="AB1254" s="215" t="n"/>
      <c r="AC1254" s="215" t="n"/>
      <c r="AD1254" s="215" t="n"/>
      <c r="AE1254" s="215" t="n"/>
      <c r="AF1254" s="215" t="n"/>
      <c r="AG1254" s="215" t="n"/>
      <c r="AH1254" s="215" t="n"/>
      <c r="AI1254" s="215" t="n"/>
      <c r="AJ1254" s="215" t="n"/>
      <c r="AK1254" s="216" t="n"/>
    </row>
    <row r="1255" ht="15" customHeight="1">
      <c r="B1255" s="134" t="n"/>
      <c r="C1255" s="105" t="n"/>
      <c r="D1255" s="105" t="n"/>
      <c r="E1255" s="105" t="n"/>
      <c r="F1255" s="105" t="n"/>
      <c r="G1255" s="105" t="n"/>
      <c r="H1255" s="2" t="n"/>
      <c r="I1255" s="105" t="n"/>
      <c r="K1255" s="215" t="n"/>
      <c r="L1255" s="215" t="n"/>
      <c r="M1255" s="215" t="n"/>
      <c r="N1255" s="215" t="n"/>
      <c r="O1255" s="215" t="n"/>
      <c r="P1255" s="215" t="n"/>
      <c r="Q1255" s="215" t="n"/>
      <c r="R1255" s="215" t="n"/>
      <c r="S1255" s="215" t="n"/>
      <c r="T1255" s="215" t="n"/>
      <c r="U1255" s="215" t="n"/>
      <c r="V1255" s="215" t="n"/>
      <c r="W1255" s="215" t="n"/>
      <c r="X1255" s="215" t="n"/>
      <c r="Y1255" s="215" t="n"/>
      <c r="Z1255" s="215" t="n"/>
      <c r="AA1255" s="215" t="n"/>
      <c r="AB1255" s="215" t="n"/>
      <c r="AC1255" s="215" t="n"/>
      <c r="AD1255" s="215" t="n"/>
      <c r="AE1255" s="215" t="n"/>
      <c r="AF1255" s="215" t="n"/>
      <c r="AG1255" s="215" t="n"/>
      <c r="AH1255" s="215" t="n"/>
      <c r="AI1255" s="215" t="n"/>
      <c r="AJ1255" s="215" t="n"/>
      <c r="AK1255" s="216" t="n"/>
    </row>
    <row r="1256" ht="15" customHeight="1">
      <c r="B1256" s="134" t="n"/>
      <c r="C1256" s="105" t="n"/>
      <c r="D1256" s="105" t="n"/>
      <c r="E1256" s="105" t="n"/>
      <c r="F1256" s="105" t="n"/>
      <c r="G1256" s="105" t="n"/>
      <c r="H1256" s="2" t="n"/>
      <c r="I1256" s="105" t="n"/>
      <c r="K1256" s="215" t="n"/>
      <c r="L1256" s="215" t="n"/>
      <c r="M1256" s="215" t="n"/>
      <c r="N1256" s="215" t="n"/>
      <c r="O1256" s="215" t="n"/>
      <c r="P1256" s="215" t="n"/>
      <c r="Q1256" s="215" t="n"/>
      <c r="R1256" s="215" t="n"/>
      <c r="S1256" s="215" t="n"/>
      <c r="T1256" s="215" t="n"/>
      <c r="U1256" s="215" t="n"/>
      <c r="V1256" s="215" t="n"/>
      <c r="W1256" s="215" t="n"/>
      <c r="X1256" s="215" t="n"/>
      <c r="Y1256" s="215" t="n"/>
      <c r="Z1256" s="215" t="n"/>
      <c r="AA1256" s="215" t="n"/>
      <c r="AB1256" s="215" t="n"/>
      <c r="AC1256" s="215" t="n"/>
      <c r="AD1256" s="215" t="n"/>
      <c r="AE1256" s="215" t="n"/>
      <c r="AF1256" s="215" t="n"/>
      <c r="AG1256" s="215" t="n"/>
      <c r="AH1256" s="215" t="n"/>
      <c r="AI1256" s="215" t="n"/>
      <c r="AJ1256" s="215" t="n"/>
      <c r="AK1256" s="216" t="n"/>
    </row>
    <row r="1257" ht="15" customHeight="1">
      <c r="B1257" s="134" t="n"/>
      <c r="C1257" s="105" t="n"/>
      <c r="D1257" s="105" t="n"/>
      <c r="E1257" s="105" t="n"/>
      <c r="F1257" s="105" t="n"/>
      <c r="G1257" s="105" t="n"/>
      <c r="H1257" s="2" t="n"/>
      <c r="I1257" s="105" t="n"/>
      <c r="K1257" s="215" t="n"/>
      <c r="L1257" s="215" t="n"/>
      <c r="M1257" s="215" t="n"/>
      <c r="N1257" s="215" t="n"/>
      <c r="O1257" s="215" t="n"/>
      <c r="P1257" s="215" t="n"/>
      <c r="Q1257" s="215" t="n"/>
      <c r="R1257" s="215" t="n"/>
      <c r="S1257" s="215" t="n"/>
      <c r="T1257" s="215" t="n"/>
      <c r="U1257" s="215" t="n"/>
      <c r="V1257" s="215" t="n"/>
      <c r="W1257" s="215" t="n"/>
      <c r="X1257" s="215" t="n"/>
      <c r="Y1257" s="215" t="n"/>
      <c r="Z1257" s="215" t="n"/>
      <c r="AA1257" s="215" t="n"/>
      <c r="AB1257" s="215" t="n"/>
      <c r="AC1257" s="215" t="n"/>
      <c r="AD1257" s="215" t="n"/>
      <c r="AE1257" s="215" t="n"/>
      <c r="AF1257" s="215" t="n"/>
      <c r="AG1257" s="215" t="n"/>
      <c r="AH1257" s="215" t="n"/>
      <c r="AI1257" s="215" t="n"/>
      <c r="AJ1257" s="215" t="n"/>
      <c r="AK1257" s="216" t="n"/>
    </row>
    <row r="1258" ht="15" customHeight="1">
      <c r="B1258" s="134" t="n"/>
      <c r="C1258" s="105" t="n"/>
      <c r="D1258" s="105" t="n"/>
      <c r="E1258" s="105" t="n"/>
      <c r="F1258" s="105" t="n"/>
      <c r="G1258" s="105" t="n"/>
      <c r="H1258" s="2" t="n"/>
      <c r="I1258" s="105" t="n"/>
      <c r="K1258" s="215" t="n"/>
      <c r="L1258" s="215" t="n"/>
      <c r="M1258" s="215" t="n"/>
      <c r="N1258" s="215" t="n"/>
      <c r="O1258" s="215" t="n"/>
      <c r="P1258" s="215" t="n"/>
      <c r="Q1258" s="215" t="n"/>
      <c r="R1258" s="215" t="n"/>
      <c r="S1258" s="215" t="n"/>
      <c r="T1258" s="215" t="n"/>
      <c r="U1258" s="215" t="n"/>
      <c r="V1258" s="215" t="n"/>
      <c r="W1258" s="215" t="n"/>
      <c r="X1258" s="215" t="n"/>
      <c r="Y1258" s="215" t="n"/>
      <c r="Z1258" s="215" t="n"/>
      <c r="AA1258" s="215" t="n"/>
      <c r="AB1258" s="215" t="n"/>
      <c r="AC1258" s="215" t="n"/>
      <c r="AD1258" s="215" t="n"/>
      <c r="AE1258" s="215" t="n"/>
      <c r="AF1258" s="215" t="n"/>
      <c r="AG1258" s="215" t="n"/>
      <c r="AH1258" s="215" t="n"/>
      <c r="AI1258" s="215" t="n"/>
      <c r="AJ1258" s="215" t="n"/>
      <c r="AK1258" s="216" t="n"/>
    </row>
    <row r="1259" ht="15" customHeight="1">
      <c r="B1259" s="134" t="n"/>
      <c r="C1259" s="105" t="n"/>
      <c r="D1259" s="105" t="n"/>
      <c r="E1259" s="105" t="n"/>
      <c r="F1259" s="105" t="n"/>
      <c r="G1259" s="105" t="n"/>
      <c r="H1259" s="2" t="n"/>
      <c r="I1259" s="105" t="n"/>
      <c r="K1259" s="215" t="n"/>
      <c r="L1259" s="215" t="n"/>
      <c r="M1259" s="215" t="n"/>
      <c r="N1259" s="215" t="n"/>
      <c r="O1259" s="215" t="n"/>
      <c r="P1259" s="215" t="n"/>
      <c r="Q1259" s="215" t="n"/>
      <c r="R1259" s="215" t="n"/>
      <c r="S1259" s="215" t="n"/>
      <c r="T1259" s="215" t="n"/>
      <c r="U1259" s="215" t="n"/>
      <c r="V1259" s="215" t="n"/>
      <c r="W1259" s="215" t="n"/>
      <c r="X1259" s="215" t="n"/>
      <c r="Y1259" s="215" t="n"/>
      <c r="Z1259" s="215" t="n"/>
      <c r="AA1259" s="215" t="n"/>
      <c r="AB1259" s="215" t="n"/>
      <c r="AC1259" s="215" t="n"/>
      <c r="AD1259" s="215" t="n"/>
      <c r="AE1259" s="215" t="n"/>
      <c r="AF1259" s="215" t="n"/>
      <c r="AG1259" s="215" t="n"/>
      <c r="AH1259" s="215" t="n"/>
      <c r="AI1259" s="215" t="n"/>
      <c r="AJ1259" s="215" t="n"/>
      <c r="AK1259" s="216" t="n"/>
    </row>
    <row r="1260" ht="15" customHeight="1">
      <c r="B1260" s="134" t="n"/>
      <c r="C1260" s="105" t="n"/>
      <c r="D1260" s="105" t="n"/>
      <c r="E1260" s="105" t="n"/>
      <c r="F1260" s="105" t="n"/>
      <c r="G1260" s="105" t="n"/>
      <c r="H1260" s="2" t="n"/>
      <c r="I1260" s="105" t="n"/>
      <c r="K1260" s="215" t="n"/>
      <c r="L1260" s="215" t="n"/>
      <c r="M1260" s="215" t="n"/>
      <c r="N1260" s="215" t="n"/>
      <c r="O1260" s="215" t="n"/>
      <c r="P1260" s="215" t="n"/>
      <c r="Q1260" s="215" t="n"/>
      <c r="R1260" s="215" t="n"/>
      <c r="S1260" s="215" t="n"/>
      <c r="T1260" s="215" t="n"/>
      <c r="U1260" s="215" t="n"/>
      <c r="V1260" s="215" t="n"/>
      <c r="W1260" s="215" t="n"/>
      <c r="X1260" s="215" t="n"/>
      <c r="Y1260" s="215" t="n"/>
      <c r="Z1260" s="215" t="n"/>
      <c r="AA1260" s="215" t="n"/>
      <c r="AB1260" s="215" t="n"/>
      <c r="AC1260" s="215" t="n"/>
      <c r="AD1260" s="215" t="n"/>
      <c r="AE1260" s="215" t="n"/>
      <c r="AF1260" s="215" t="n"/>
      <c r="AG1260" s="215" t="n"/>
      <c r="AH1260" s="215" t="n"/>
      <c r="AI1260" s="215" t="n"/>
      <c r="AJ1260" s="215" t="n"/>
      <c r="AK1260" s="216" t="n"/>
    </row>
    <row r="1261" ht="15" customHeight="1">
      <c r="B1261" s="134" t="n"/>
      <c r="C1261" s="105" t="n"/>
      <c r="D1261" s="105" t="n"/>
      <c r="E1261" s="105" t="n"/>
      <c r="F1261" s="105" t="n"/>
      <c r="G1261" s="105" t="n"/>
      <c r="H1261" s="2" t="n"/>
      <c r="I1261" s="105" t="n"/>
      <c r="K1261" s="215" t="n"/>
      <c r="L1261" s="215" t="n"/>
      <c r="M1261" s="215" t="n"/>
      <c r="N1261" s="215" t="n"/>
      <c r="O1261" s="215" t="n"/>
      <c r="P1261" s="215" t="n"/>
      <c r="Q1261" s="215" t="n"/>
      <c r="R1261" s="215" t="n"/>
      <c r="S1261" s="215" t="n"/>
      <c r="T1261" s="215" t="n"/>
      <c r="U1261" s="215" t="n"/>
      <c r="V1261" s="215" t="n"/>
      <c r="W1261" s="215" t="n"/>
      <c r="X1261" s="215" t="n"/>
      <c r="Y1261" s="215" t="n"/>
      <c r="Z1261" s="215" t="n"/>
      <c r="AA1261" s="215" t="n"/>
      <c r="AB1261" s="215" t="n"/>
      <c r="AC1261" s="215" t="n"/>
      <c r="AD1261" s="215" t="n"/>
      <c r="AE1261" s="215" t="n"/>
      <c r="AF1261" s="215" t="n"/>
      <c r="AG1261" s="215" t="n"/>
      <c r="AH1261" s="215" t="n"/>
      <c r="AI1261" s="215" t="n"/>
      <c r="AJ1261" s="215" t="n"/>
      <c r="AK1261" s="216" t="n"/>
    </row>
    <row r="1262" ht="15" customHeight="1">
      <c r="B1262" s="134" t="n"/>
      <c r="C1262" s="105" t="n"/>
      <c r="D1262" s="105" t="n"/>
      <c r="E1262" s="105" t="n"/>
      <c r="F1262" s="105" t="n"/>
      <c r="G1262" s="105" t="n"/>
      <c r="H1262" s="2" t="n"/>
      <c r="I1262" s="105" t="n"/>
      <c r="K1262" s="215" t="n"/>
      <c r="L1262" s="215" t="n"/>
      <c r="M1262" s="215" t="n"/>
      <c r="N1262" s="215" t="n"/>
      <c r="O1262" s="215" t="n"/>
      <c r="P1262" s="215" t="n"/>
      <c r="Q1262" s="215" t="n"/>
      <c r="R1262" s="215" t="n"/>
      <c r="S1262" s="215" t="n"/>
      <c r="T1262" s="215" t="n"/>
      <c r="U1262" s="215" t="n"/>
      <c r="V1262" s="215" t="n"/>
      <c r="W1262" s="215" t="n"/>
      <c r="X1262" s="215" t="n"/>
      <c r="Y1262" s="215" t="n"/>
      <c r="Z1262" s="215" t="n"/>
      <c r="AA1262" s="215" t="n"/>
      <c r="AB1262" s="215" t="n"/>
      <c r="AC1262" s="215" t="n"/>
      <c r="AD1262" s="215" t="n"/>
      <c r="AE1262" s="215" t="n"/>
      <c r="AF1262" s="215" t="n"/>
      <c r="AG1262" s="215" t="n"/>
      <c r="AH1262" s="215" t="n"/>
      <c r="AI1262" s="215" t="n"/>
      <c r="AJ1262" s="215" t="n"/>
      <c r="AK1262" s="216" t="n"/>
    </row>
    <row r="1263" ht="15" customHeight="1">
      <c r="B1263" s="134" t="n"/>
      <c r="C1263" s="105" t="n"/>
      <c r="D1263" s="105" t="n"/>
      <c r="E1263" s="105" t="n"/>
      <c r="F1263" s="105" t="n"/>
      <c r="G1263" s="105" t="n"/>
      <c r="H1263" s="2" t="n"/>
      <c r="I1263" s="105" t="n"/>
      <c r="K1263" s="215" t="n"/>
      <c r="L1263" s="215" t="n"/>
      <c r="M1263" s="215" t="n"/>
      <c r="N1263" s="215" t="n"/>
      <c r="O1263" s="215" t="n"/>
      <c r="P1263" s="215" t="n"/>
      <c r="Q1263" s="215" t="n"/>
      <c r="R1263" s="215" t="n"/>
      <c r="S1263" s="215" t="n"/>
      <c r="T1263" s="215" t="n"/>
      <c r="U1263" s="215" t="n"/>
      <c r="V1263" s="215" t="n"/>
      <c r="W1263" s="215" t="n"/>
      <c r="X1263" s="215" t="n"/>
      <c r="Y1263" s="215" t="n"/>
      <c r="Z1263" s="215" t="n"/>
      <c r="AA1263" s="215" t="n"/>
      <c r="AB1263" s="215" t="n"/>
      <c r="AC1263" s="215" t="n"/>
      <c r="AD1263" s="215" t="n"/>
      <c r="AE1263" s="215" t="n"/>
      <c r="AF1263" s="215" t="n"/>
      <c r="AG1263" s="215" t="n"/>
      <c r="AH1263" s="215" t="n"/>
      <c r="AI1263" s="215" t="n"/>
      <c r="AJ1263" s="215" t="n"/>
      <c r="AK1263" s="216" t="n"/>
    </row>
    <row r="1264" ht="15" customHeight="1">
      <c r="B1264" s="134" t="n"/>
      <c r="C1264" s="105" t="n"/>
      <c r="D1264" s="105" t="n"/>
      <c r="E1264" s="105" t="n"/>
      <c r="F1264" s="105" t="n"/>
      <c r="G1264" s="105" t="n"/>
      <c r="H1264" s="2" t="n"/>
      <c r="I1264" s="105" t="n"/>
      <c r="K1264" s="215" t="n"/>
      <c r="L1264" s="215" t="n"/>
      <c r="M1264" s="215" t="n"/>
      <c r="N1264" s="215" t="n"/>
      <c r="O1264" s="215" t="n"/>
      <c r="P1264" s="215" t="n"/>
      <c r="Q1264" s="215" t="n"/>
      <c r="R1264" s="215" t="n"/>
      <c r="S1264" s="215" t="n"/>
      <c r="T1264" s="215" t="n"/>
      <c r="U1264" s="215" t="n"/>
      <c r="V1264" s="215" t="n"/>
      <c r="W1264" s="215" t="n"/>
      <c r="X1264" s="215" t="n"/>
      <c r="Y1264" s="215" t="n"/>
      <c r="Z1264" s="215" t="n"/>
      <c r="AA1264" s="215" t="n"/>
      <c r="AB1264" s="215" t="n"/>
      <c r="AC1264" s="215" t="n"/>
      <c r="AD1264" s="215" t="n"/>
      <c r="AE1264" s="215" t="n"/>
      <c r="AF1264" s="215" t="n"/>
      <c r="AG1264" s="215" t="n"/>
      <c r="AH1264" s="215" t="n"/>
      <c r="AI1264" s="215" t="n"/>
      <c r="AJ1264" s="215" t="n"/>
      <c r="AK1264" s="216" t="n"/>
    </row>
    <row r="1265" ht="15" customHeight="1">
      <c r="B1265" s="134" t="n"/>
      <c r="C1265" s="105" t="n"/>
      <c r="D1265" s="105" t="n"/>
      <c r="E1265" s="105" t="n"/>
      <c r="F1265" s="105" t="n"/>
      <c r="G1265" s="105" t="n"/>
      <c r="H1265" s="2" t="n"/>
      <c r="I1265" s="105" t="n"/>
      <c r="K1265" s="215" t="n"/>
      <c r="L1265" s="215" t="n"/>
      <c r="M1265" s="215" t="n"/>
      <c r="N1265" s="215" t="n"/>
      <c r="O1265" s="215" t="n"/>
      <c r="P1265" s="215" t="n"/>
      <c r="Q1265" s="215" t="n"/>
      <c r="R1265" s="215" t="n"/>
      <c r="S1265" s="215" t="n"/>
      <c r="T1265" s="215" t="n"/>
      <c r="U1265" s="215" t="n"/>
      <c r="V1265" s="215" t="n"/>
      <c r="W1265" s="215" t="n"/>
      <c r="X1265" s="215" t="n"/>
      <c r="Y1265" s="215" t="n"/>
      <c r="Z1265" s="215" t="n"/>
      <c r="AA1265" s="215" t="n"/>
      <c r="AB1265" s="215" t="n"/>
      <c r="AC1265" s="215" t="n"/>
      <c r="AD1265" s="215" t="n"/>
      <c r="AE1265" s="215" t="n"/>
      <c r="AF1265" s="215" t="n"/>
      <c r="AG1265" s="215" t="n"/>
      <c r="AH1265" s="215" t="n"/>
      <c r="AI1265" s="215" t="n"/>
      <c r="AJ1265" s="215" t="n"/>
      <c r="AK1265" s="216" t="n"/>
    </row>
    <row r="1266" ht="15" customHeight="1">
      <c r="B1266" s="134" t="n"/>
      <c r="C1266" s="105" t="n"/>
      <c r="D1266" s="105" t="n"/>
      <c r="E1266" s="105" t="n"/>
      <c r="F1266" s="105" t="n"/>
      <c r="G1266" s="105" t="n"/>
      <c r="H1266" s="2" t="n"/>
      <c r="I1266" s="105" t="n"/>
      <c r="K1266" s="215" t="n"/>
      <c r="L1266" s="215" t="n"/>
      <c r="M1266" s="215" t="n"/>
      <c r="N1266" s="215" t="n"/>
      <c r="O1266" s="215" t="n"/>
      <c r="P1266" s="215" t="n"/>
      <c r="Q1266" s="215" t="n"/>
      <c r="R1266" s="215" t="n"/>
      <c r="S1266" s="215" t="n"/>
      <c r="T1266" s="215" t="n"/>
      <c r="U1266" s="215" t="n"/>
      <c r="V1266" s="215" t="n"/>
      <c r="W1266" s="215" t="n"/>
      <c r="X1266" s="215" t="n"/>
      <c r="Y1266" s="215" t="n"/>
      <c r="Z1266" s="215" t="n"/>
      <c r="AA1266" s="215" t="n"/>
      <c r="AB1266" s="215" t="n"/>
      <c r="AC1266" s="215" t="n"/>
      <c r="AD1266" s="215" t="n"/>
      <c r="AE1266" s="215" t="n"/>
      <c r="AF1266" s="215" t="n"/>
      <c r="AG1266" s="215" t="n"/>
      <c r="AH1266" s="215" t="n"/>
      <c r="AI1266" s="215" t="n"/>
      <c r="AJ1266" s="215" t="n"/>
      <c r="AK1266" s="216" t="n"/>
    </row>
    <row r="1267" ht="15" customHeight="1">
      <c r="B1267" s="134" t="n"/>
      <c r="C1267" s="105" t="n"/>
      <c r="D1267" s="105" t="n"/>
      <c r="E1267" s="105" t="n"/>
      <c r="F1267" s="105" t="n"/>
      <c r="G1267" s="105" t="n"/>
      <c r="H1267" s="2" t="n"/>
      <c r="I1267" s="105" t="n"/>
      <c r="K1267" s="215" t="n"/>
      <c r="L1267" s="215" t="n"/>
      <c r="M1267" s="215" t="n"/>
      <c r="N1267" s="215" t="n"/>
      <c r="O1267" s="215" t="n"/>
      <c r="P1267" s="215" t="n"/>
      <c r="Q1267" s="215" t="n"/>
      <c r="R1267" s="215" t="n"/>
      <c r="S1267" s="215" t="n"/>
      <c r="T1267" s="215" t="n"/>
      <c r="U1267" s="215" t="n"/>
      <c r="V1267" s="215" t="n"/>
      <c r="W1267" s="215" t="n"/>
      <c r="X1267" s="215" t="n"/>
      <c r="Y1267" s="215" t="n"/>
      <c r="Z1267" s="215" t="n"/>
      <c r="AA1267" s="215" t="n"/>
      <c r="AB1267" s="215" t="n"/>
      <c r="AC1267" s="215" t="n"/>
      <c r="AD1267" s="215" t="n"/>
      <c r="AE1267" s="215" t="n"/>
      <c r="AF1267" s="215" t="n"/>
      <c r="AG1267" s="215" t="n"/>
      <c r="AH1267" s="215" t="n"/>
      <c r="AI1267" s="215" t="n"/>
      <c r="AJ1267" s="215" t="n"/>
      <c r="AK1267" s="216" t="n"/>
    </row>
    <row r="1268" ht="15" customHeight="1">
      <c r="B1268" s="134" t="n"/>
      <c r="C1268" s="105" t="n"/>
      <c r="D1268" s="105" t="n"/>
      <c r="E1268" s="105" t="n"/>
      <c r="F1268" s="105" t="n"/>
      <c r="G1268" s="105" t="n"/>
      <c r="H1268" s="2" t="n"/>
      <c r="I1268" s="105" t="n"/>
      <c r="K1268" s="215" t="n"/>
      <c r="L1268" s="215" t="n"/>
      <c r="M1268" s="215" t="n"/>
      <c r="N1268" s="215" t="n"/>
      <c r="O1268" s="215" t="n"/>
      <c r="P1268" s="215" t="n"/>
      <c r="Q1268" s="215" t="n"/>
      <c r="R1268" s="215" t="n"/>
      <c r="S1268" s="215" t="n"/>
      <c r="T1268" s="215" t="n"/>
      <c r="U1268" s="215" t="n"/>
      <c r="V1268" s="215" t="n"/>
      <c r="W1268" s="215" t="n"/>
      <c r="X1268" s="215" t="n"/>
      <c r="Y1268" s="215" t="n"/>
      <c r="Z1268" s="215" t="n"/>
      <c r="AA1268" s="215" t="n"/>
      <c r="AB1268" s="215" t="n"/>
      <c r="AC1268" s="215" t="n"/>
      <c r="AD1268" s="215" t="n"/>
      <c r="AE1268" s="215" t="n"/>
      <c r="AF1268" s="215" t="n"/>
      <c r="AG1268" s="215" t="n"/>
      <c r="AH1268" s="215" t="n"/>
      <c r="AI1268" s="215" t="n"/>
      <c r="AJ1268" s="215" t="n"/>
      <c r="AK1268" s="216" t="n"/>
    </row>
    <row r="1269" ht="15" customHeight="1">
      <c r="B1269" s="134" t="n"/>
      <c r="C1269" s="105" t="n"/>
      <c r="D1269" s="105" t="n"/>
      <c r="E1269" s="105" t="n"/>
      <c r="F1269" s="105" t="n"/>
      <c r="G1269" s="105" t="n"/>
      <c r="H1269" s="2" t="n"/>
      <c r="I1269" s="105" t="n"/>
      <c r="K1269" s="215" t="n"/>
      <c r="L1269" s="215" t="n"/>
      <c r="M1269" s="215" t="n"/>
      <c r="N1269" s="215" t="n"/>
      <c r="O1269" s="215" t="n"/>
      <c r="P1269" s="215" t="n"/>
      <c r="Q1269" s="215" t="n"/>
      <c r="R1269" s="215" t="n"/>
      <c r="S1269" s="215" t="n"/>
      <c r="T1269" s="215" t="n"/>
      <c r="U1269" s="215" t="n"/>
      <c r="V1269" s="215" t="n"/>
      <c r="W1269" s="215" t="n"/>
      <c r="X1269" s="215" t="n"/>
      <c r="Y1269" s="215" t="n"/>
      <c r="Z1269" s="215" t="n"/>
      <c r="AA1269" s="215" t="n"/>
      <c r="AB1269" s="215" t="n"/>
      <c r="AC1269" s="215" t="n"/>
      <c r="AD1269" s="215" t="n"/>
      <c r="AE1269" s="215" t="n"/>
      <c r="AF1269" s="215" t="n"/>
      <c r="AG1269" s="215" t="n"/>
      <c r="AH1269" s="215" t="n"/>
      <c r="AI1269" s="215" t="n"/>
      <c r="AJ1269" s="215" t="n"/>
      <c r="AK1269" s="216" t="n"/>
    </row>
    <row r="1270" ht="15" customHeight="1">
      <c r="B1270" s="134" t="n"/>
      <c r="C1270" s="105" t="n"/>
      <c r="D1270" s="105" t="n"/>
      <c r="E1270" s="105" t="n"/>
      <c r="F1270" s="105" t="n"/>
      <c r="G1270" s="105" t="n"/>
      <c r="H1270" s="2" t="n"/>
      <c r="I1270" s="105" t="n"/>
      <c r="K1270" s="215" t="n"/>
      <c r="L1270" s="215" t="n"/>
      <c r="M1270" s="215" t="n"/>
      <c r="N1270" s="215" t="n"/>
      <c r="O1270" s="215" t="n"/>
      <c r="P1270" s="215" t="n"/>
      <c r="Q1270" s="215" t="n"/>
      <c r="R1270" s="215" t="n"/>
      <c r="S1270" s="215" t="n"/>
      <c r="T1270" s="215" t="n"/>
      <c r="U1270" s="215" t="n"/>
      <c r="V1270" s="215" t="n"/>
      <c r="W1270" s="215" t="n"/>
      <c r="X1270" s="215" t="n"/>
      <c r="Y1270" s="215" t="n"/>
      <c r="Z1270" s="215" t="n"/>
      <c r="AA1270" s="215" t="n"/>
      <c r="AB1270" s="215" t="n"/>
      <c r="AC1270" s="215" t="n"/>
      <c r="AD1270" s="215" t="n"/>
      <c r="AE1270" s="215" t="n"/>
      <c r="AF1270" s="215" t="n"/>
      <c r="AG1270" s="215" t="n"/>
      <c r="AH1270" s="215" t="n"/>
      <c r="AI1270" s="215" t="n"/>
      <c r="AJ1270" s="215" t="n"/>
      <c r="AK1270" s="216" t="n"/>
    </row>
    <row r="1271" ht="15" customHeight="1">
      <c r="B1271" s="134" t="n"/>
      <c r="C1271" s="105" t="n"/>
      <c r="D1271" s="105" t="n"/>
      <c r="E1271" s="105" t="n"/>
      <c r="F1271" s="105" t="n"/>
      <c r="G1271" s="105" t="n"/>
      <c r="H1271" s="2" t="n"/>
      <c r="I1271" s="105" t="n"/>
      <c r="K1271" s="215" t="n"/>
      <c r="L1271" s="215" t="n"/>
      <c r="M1271" s="215" t="n"/>
      <c r="N1271" s="215" t="n"/>
      <c r="O1271" s="215" t="n"/>
      <c r="P1271" s="215" t="n"/>
      <c r="Q1271" s="215" t="n"/>
      <c r="R1271" s="215" t="n"/>
      <c r="S1271" s="215" t="n"/>
      <c r="T1271" s="215" t="n"/>
      <c r="U1271" s="215" t="n"/>
      <c r="V1271" s="215" t="n"/>
      <c r="W1271" s="215" t="n"/>
      <c r="X1271" s="215" t="n"/>
      <c r="Y1271" s="215" t="n"/>
      <c r="Z1271" s="215" t="n"/>
      <c r="AA1271" s="215" t="n"/>
      <c r="AB1271" s="215" t="n"/>
      <c r="AC1271" s="215" t="n"/>
      <c r="AD1271" s="215" t="n"/>
      <c r="AE1271" s="215" t="n"/>
      <c r="AF1271" s="215" t="n"/>
      <c r="AG1271" s="215" t="n"/>
      <c r="AH1271" s="215" t="n"/>
      <c r="AI1271" s="215" t="n"/>
      <c r="AJ1271" s="215" t="n"/>
      <c r="AK1271" s="216" t="n"/>
    </row>
    <row r="1272" ht="15" customHeight="1">
      <c r="B1272" s="134" t="n"/>
      <c r="C1272" s="105" t="n"/>
      <c r="D1272" s="105" t="n"/>
      <c r="E1272" s="105" t="n"/>
      <c r="F1272" s="105" t="n"/>
      <c r="G1272" s="105" t="n"/>
      <c r="H1272" s="2" t="n"/>
      <c r="I1272" s="105" t="n"/>
      <c r="K1272" s="215" t="n"/>
      <c r="L1272" s="215" t="n"/>
      <c r="M1272" s="215" t="n"/>
      <c r="N1272" s="215" t="n"/>
      <c r="O1272" s="215" t="n"/>
      <c r="P1272" s="215" t="n"/>
      <c r="Q1272" s="215" t="n"/>
      <c r="R1272" s="215" t="n"/>
      <c r="S1272" s="215" t="n"/>
      <c r="T1272" s="215" t="n"/>
      <c r="U1272" s="215" t="n"/>
      <c r="V1272" s="215" t="n"/>
      <c r="W1272" s="215" t="n"/>
      <c r="X1272" s="215" t="n"/>
      <c r="Y1272" s="215" t="n"/>
      <c r="Z1272" s="215" t="n"/>
      <c r="AA1272" s="215" t="n"/>
      <c r="AB1272" s="215" t="n"/>
      <c r="AC1272" s="215" t="n"/>
      <c r="AD1272" s="215" t="n"/>
      <c r="AE1272" s="215" t="n"/>
      <c r="AF1272" s="215" t="n"/>
      <c r="AG1272" s="215" t="n"/>
      <c r="AH1272" s="215" t="n"/>
      <c r="AI1272" s="215" t="n"/>
      <c r="AJ1272" s="215" t="n"/>
      <c r="AK1272" s="216" t="n"/>
    </row>
    <row r="1273" ht="15" customHeight="1">
      <c r="B1273" s="134" t="n"/>
      <c r="C1273" s="105" t="n"/>
      <c r="D1273" s="105" t="n"/>
      <c r="E1273" s="105" t="n"/>
      <c r="F1273" s="105" t="n"/>
      <c r="G1273" s="105" t="n"/>
      <c r="H1273" s="2" t="n"/>
      <c r="I1273" s="105" t="n"/>
      <c r="K1273" s="215" t="n"/>
      <c r="L1273" s="215" t="n"/>
      <c r="M1273" s="215" t="n"/>
      <c r="N1273" s="215" t="n"/>
      <c r="O1273" s="215" t="n"/>
      <c r="P1273" s="215" t="n"/>
      <c r="Q1273" s="215" t="n"/>
      <c r="R1273" s="215" t="n"/>
      <c r="S1273" s="215" t="n"/>
      <c r="T1273" s="215" t="n"/>
      <c r="U1273" s="215" t="n"/>
      <c r="V1273" s="215" t="n"/>
      <c r="W1273" s="215" t="n"/>
      <c r="X1273" s="215" t="n"/>
      <c r="Y1273" s="215" t="n"/>
      <c r="Z1273" s="215" t="n"/>
      <c r="AA1273" s="215" t="n"/>
      <c r="AB1273" s="215" t="n"/>
      <c r="AC1273" s="215" t="n"/>
      <c r="AD1273" s="215" t="n"/>
      <c r="AE1273" s="215" t="n"/>
      <c r="AF1273" s="215" t="n"/>
      <c r="AG1273" s="215" t="n"/>
      <c r="AH1273" s="215" t="n"/>
      <c r="AI1273" s="215" t="n"/>
      <c r="AJ1273" s="215" t="n"/>
      <c r="AK1273" s="216" t="n"/>
    </row>
    <row r="1274" ht="15" customHeight="1">
      <c r="B1274" s="134" t="n"/>
      <c r="C1274" s="105" t="n"/>
      <c r="D1274" s="105" t="n"/>
      <c r="E1274" s="105" t="n"/>
      <c r="F1274" s="105" t="n"/>
      <c r="G1274" s="105" t="n"/>
      <c r="H1274" s="2" t="n"/>
      <c r="I1274" s="105" t="n"/>
      <c r="K1274" s="215" t="n"/>
      <c r="L1274" s="215" t="n"/>
      <c r="M1274" s="215" t="n"/>
      <c r="N1274" s="215" t="n"/>
      <c r="O1274" s="215" t="n"/>
      <c r="P1274" s="215" t="n"/>
      <c r="Q1274" s="215" t="n"/>
      <c r="R1274" s="215" t="n"/>
      <c r="S1274" s="215" t="n"/>
      <c r="T1274" s="215" t="n"/>
      <c r="U1274" s="215" t="n"/>
      <c r="V1274" s="215" t="n"/>
      <c r="W1274" s="215" t="n"/>
      <c r="X1274" s="215" t="n"/>
      <c r="Y1274" s="215" t="n"/>
      <c r="Z1274" s="215" t="n"/>
      <c r="AA1274" s="215" t="n"/>
      <c r="AB1274" s="215" t="n"/>
      <c r="AC1274" s="215" t="n"/>
      <c r="AD1274" s="215" t="n"/>
      <c r="AE1274" s="215" t="n"/>
      <c r="AF1274" s="215" t="n"/>
      <c r="AG1274" s="215" t="n"/>
      <c r="AH1274" s="215" t="n"/>
      <c r="AI1274" s="215" t="n"/>
      <c r="AJ1274" s="215" t="n"/>
      <c r="AK1274" s="216" t="n"/>
    </row>
    <row r="1275" ht="15" customHeight="1">
      <c r="B1275" s="134" t="n"/>
      <c r="C1275" s="105" t="n"/>
      <c r="D1275" s="105" t="n"/>
      <c r="E1275" s="105" t="n"/>
      <c r="F1275" s="105" t="n"/>
      <c r="G1275" s="105" t="n"/>
      <c r="H1275" s="2" t="n"/>
      <c r="I1275" s="105" t="n"/>
      <c r="K1275" s="215" t="n"/>
      <c r="L1275" s="215" t="n"/>
      <c r="M1275" s="215" t="n"/>
      <c r="N1275" s="215" t="n"/>
      <c r="O1275" s="215" t="n"/>
      <c r="P1275" s="215" t="n"/>
      <c r="Q1275" s="215" t="n"/>
      <c r="R1275" s="215" t="n"/>
      <c r="S1275" s="215" t="n"/>
      <c r="T1275" s="215" t="n"/>
      <c r="U1275" s="215" t="n"/>
      <c r="V1275" s="215" t="n"/>
      <c r="W1275" s="215" t="n"/>
      <c r="X1275" s="215" t="n"/>
      <c r="Y1275" s="215" t="n"/>
      <c r="Z1275" s="215" t="n"/>
      <c r="AA1275" s="215" t="n"/>
      <c r="AB1275" s="215" t="n"/>
      <c r="AC1275" s="215" t="n"/>
      <c r="AD1275" s="215" t="n"/>
      <c r="AE1275" s="215" t="n"/>
      <c r="AF1275" s="215" t="n"/>
      <c r="AG1275" s="215" t="n"/>
      <c r="AH1275" s="215" t="n"/>
      <c r="AI1275" s="215" t="n"/>
      <c r="AJ1275" s="215" t="n"/>
      <c r="AK1275" s="216" t="n"/>
    </row>
    <row r="1276" ht="15" customHeight="1">
      <c r="B1276" s="134" t="n"/>
      <c r="C1276" s="105" t="n"/>
      <c r="D1276" s="105" t="n"/>
      <c r="E1276" s="105" t="n"/>
      <c r="F1276" s="105" t="n"/>
      <c r="G1276" s="105" t="n"/>
      <c r="H1276" s="2" t="n"/>
      <c r="I1276" s="105" t="n"/>
      <c r="K1276" s="215" t="n"/>
      <c r="L1276" s="215" t="n"/>
      <c r="M1276" s="215" t="n"/>
      <c r="N1276" s="215" t="n"/>
      <c r="O1276" s="215" t="n"/>
      <c r="P1276" s="215" t="n"/>
      <c r="Q1276" s="215" t="n"/>
      <c r="R1276" s="215" t="n"/>
      <c r="S1276" s="215" t="n"/>
      <c r="T1276" s="215" t="n"/>
      <c r="U1276" s="215" t="n"/>
      <c r="V1276" s="215" t="n"/>
      <c r="W1276" s="215" t="n"/>
      <c r="X1276" s="215" t="n"/>
      <c r="Y1276" s="215" t="n"/>
      <c r="Z1276" s="215" t="n"/>
      <c r="AA1276" s="215" t="n"/>
      <c r="AB1276" s="215" t="n"/>
      <c r="AC1276" s="215" t="n"/>
      <c r="AD1276" s="215" t="n"/>
      <c r="AE1276" s="215" t="n"/>
      <c r="AF1276" s="215" t="n"/>
      <c r="AG1276" s="215" t="n"/>
      <c r="AH1276" s="215" t="n"/>
      <c r="AI1276" s="215" t="n"/>
      <c r="AJ1276" s="215" t="n"/>
      <c r="AK1276" s="216" t="n"/>
    </row>
    <row r="1277" ht="15" customHeight="1">
      <c r="B1277" s="134" t="n"/>
      <c r="C1277" s="105" t="n"/>
      <c r="D1277" s="105" t="n"/>
      <c r="E1277" s="105" t="n"/>
      <c r="F1277" s="105" t="n"/>
      <c r="G1277" s="105" t="n"/>
      <c r="H1277" s="2" t="n"/>
      <c r="I1277" s="105" t="n"/>
      <c r="K1277" s="215" t="n"/>
      <c r="L1277" s="215" t="n"/>
      <c r="M1277" s="215" t="n"/>
      <c r="N1277" s="215" t="n"/>
      <c r="O1277" s="215" t="n"/>
      <c r="P1277" s="215" t="n"/>
      <c r="Q1277" s="215" t="n"/>
      <c r="R1277" s="215" t="n"/>
      <c r="S1277" s="215" t="n"/>
      <c r="T1277" s="215" t="n"/>
      <c r="U1277" s="215" t="n"/>
      <c r="V1277" s="215" t="n"/>
      <c r="W1277" s="215" t="n"/>
      <c r="X1277" s="215" t="n"/>
      <c r="Y1277" s="215" t="n"/>
      <c r="Z1277" s="215" t="n"/>
      <c r="AA1277" s="215" t="n"/>
      <c r="AB1277" s="215" t="n"/>
      <c r="AC1277" s="215" t="n"/>
      <c r="AD1277" s="215" t="n"/>
      <c r="AE1277" s="215" t="n"/>
      <c r="AF1277" s="215" t="n"/>
      <c r="AG1277" s="215" t="n"/>
      <c r="AH1277" s="215" t="n"/>
      <c r="AI1277" s="215" t="n"/>
      <c r="AJ1277" s="215" t="n"/>
      <c r="AK1277" s="216" t="n"/>
    </row>
    <row r="1278" ht="15" customHeight="1">
      <c r="B1278" s="134" t="n"/>
      <c r="C1278" s="105" t="n"/>
      <c r="D1278" s="105" t="n"/>
      <c r="E1278" s="105" t="n"/>
      <c r="F1278" s="105" t="n"/>
      <c r="G1278" s="105" t="n"/>
      <c r="H1278" s="2" t="n"/>
      <c r="I1278" s="105" t="n"/>
      <c r="K1278" s="215" t="n"/>
      <c r="L1278" s="215" t="n"/>
      <c r="M1278" s="215" t="n"/>
      <c r="N1278" s="215" t="n"/>
      <c r="O1278" s="215" t="n"/>
      <c r="P1278" s="215" t="n"/>
      <c r="Q1278" s="215" t="n"/>
      <c r="R1278" s="215" t="n"/>
      <c r="S1278" s="215" t="n"/>
      <c r="T1278" s="215" t="n"/>
      <c r="U1278" s="215" t="n"/>
      <c r="V1278" s="215" t="n"/>
      <c r="W1278" s="215" t="n"/>
      <c r="X1278" s="215" t="n"/>
      <c r="Y1278" s="215" t="n"/>
      <c r="Z1278" s="215" t="n"/>
      <c r="AA1278" s="215" t="n"/>
      <c r="AB1278" s="215" t="n"/>
      <c r="AC1278" s="215" t="n"/>
      <c r="AD1278" s="215" t="n"/>
      <c r="AE1278" s="215" t="n"/>
      <c r="AF1278" s="215" t="n"/>
      <c r="AG1278" s="215" t="n"/>
      <c r="AH1278" s="215" t="n"/>
      <c r="AI1278" s="215" t="n"/>
      <c r="AJ1278" s="215" t="n"/>
      <c r="AK1278" s="216" t="n"/>
    </row>
    <row r="1279" ht="15" customHeight="1">
      <c r="B1279" s="134" t="n"/>
      <c r="C1279" s="105" t="n"/>
      <c r="D1279" s="105" t="n"/>
      <c r="E1279" s="105" t="n"/>
      <c r="F1279" s="105" t="n"/>
      <c r="G1279" s="105" t="n"/>
      <c r="H1279" s="2" t="n"/>
      <c r="I1279" s="105" t="n"/>
      <c r="K1279" s="215" t="n"/>
      <c r="L1279" s="215" t="n"/>
      <c r="M1279" s="215" t="n"/>
      <c r="N1279" s="215" t="n"/>
      <c r="O1279" s="215" t="n"/>
      <c r="P1279" s="215" t="n"/>
      <c r="Q1279" s="215" t="n"/>
      <c r="R1279" s="215" t="n"/>
      <c r="S1279" s="215" t="n"/>
      <c r="T1279" s="215" t="n"/>
      <c r="U1279" s="215" t="n"/>
      <c r="V1279" s="215" t="n"/>
      <c r="W1279" s="215" t="n"/>
      <c r="X1279" s="215" t="n"/>
      <c r="Y1279" s="215" t="n"/>
      <c r="Z1279" s="215" t="n"/>
      <c r="AA1279" s="215" t="n"/>
      <c r="AB1279" s="215" t="n"/>
      <c r="AC1279" s="215" t="n"/>
      <c r="AD1279" s="215" t="n"/>
      <c r="AE1279" s="215" t="n"/>
      <c r="AF1279" s="215" t="n"/>
      <c r="AG1279" s="215" t="n"/>
      <c r="AH1279" s="215" t="n"/>
      <c r="AI1279" s="215" t="n"/>
      <c r="AJ1279" s="215" t="n"/>
      <c r="AK1279" s="216" t="n"/>
    </row>
    <row r="1280" ht="15" customHeight="1">
      <c r="B1280" s="134" t="n"/>
      <c r="C1280" s="105" t="n"/>
      <c r="D1280" s="105" t="n"/>
      <c r="E1280" s="105" t="n"/>
      <c r="F1280" s="105" t="n"/>
      <c r="G1280" s="105" t="n"/>
      <c r="H1280" s="2" t="n"/>
      <c r="I1280" s="105" t="n"/>
      <c r="K1280" s="215" t="n"/>
      <c r="L1280" s="215" t="n"/>
      <c r="M1280" s="215" t="n"/>
      <c r="N1280" s="215" t="n"/>
      <c r="O1280" s="215" t="n"/>
      <c r="P1280" s="215" t="n"/>
      <c r="Q1280" s="215" t="n"/>
      <c r="R1280" s="215" t="n"/>
      <c r="S1280" s="215" t="n"/>
      <c r="T1280" s="215" t="n"/>
      <c r="U1280" s="215" t="n"/>
      <c r="V1280" s="215" t="n"/>
      <c r="W1280" s="215" t="n"/>
      <c r="X1280" s="215" t="n"/>
      <c r="Y1280" s="215" t="n"/>
      <c r="Z1280" s="215" t="n"/>
      <c r="AA1280" s="215" t="n"/>
      <c r="AB1280" s="215" t="n"/>
      <c r="AC1280" s="215" t="n"/>
      <c r="AD1280" s="215" t="n"/>
      <c r="AE1280" s="215" t="n"/>
      <c r="AF1280" s="215" t="n"/>
      <c r="AG1280" s="215" t="n"/>
      <c r="AH1280" s="215" t="n"/>
      <c r="AI1280" s="215" t="n"/>
      <c r="AJ1280" s="215" t="n"/>
      <c r="AK1280" s="216" t="n"/>
    </row>
    <row r="1281" ht="15" customHeight="1">
      <c r="B1281" s="134" t="n"/>
      <c r="C1281" s="105" t="n"/>
      <c r="D1281" s="105" t="n"/>
      <c r="E1281" s="105" t="n"/>
      <c r="F1281" s="105" t="n"/>
      <c r="G1281" s="105" t="n"/>
      <c r="H1281" s="2" t="n"/>
      <c r="I1281" s="105" t="n"/>
      <c r="K1281" s="215" t="n"/>
      <c r="L1281" s="215" t="n"/>
      <c r="M1281" s="215" t="n"/>
      <c r="N1281" s="215" t="n"/>
      <c r="O1281" s="215" t="n"/>
      <c r="P1281" s="215" t="n"/>
      <c r="Q1281" s="215" t="n"/>
      <c r="R1281" s="215" t="n"/>
      <c r="S1281" s="215" t="n"/>
      <c r="T1281" s="215" t="n"/>
      <c r="U1281" s="215" t="n"/>
      <c r="V1281" s="215" t="n"/>
      <c r="W1281" s="215" t="n"/>
      <c r="X1281" s="215" t="n"/>
      <c r="Y1281" s="215" t="n"/>
      <c r="Z1281" s="215" t="n"/>
      <c r="AA1281" s="215" t="n"/>
      <c r="AB1281" s="215" t="n"/>
      <c r="AC1281" s="215" t="n"/>
      <c r="AD1281" s="215" t="n"/>
      <c r="AE1281" s="215" t="n"/>
      <c r="AF1281" s="215" t="n"/>
      <c r="AG1281" s="215" t="n"/>
      <c r="AH1281" s="215" t="n"/>
      <c r="AI1281" s="215" t="n"/>
      <c r="AJ1281" s="215" t="n"/>
      <c r="AK1281" s="216" t="n"/>
    </row>
    <row r="1282" ht="15" customHeight="1">
      <c r="B1282" s="134" t="n"/>
      <c r="C1282" s="105" t="n"/>
      <c r="D1282" s="105" t="n"/>
      <c r="E1282" s="105" t="n"/>
      <c r="F1282" s="105" t="n"/>
      <c r="G1282" s="105" t="n"/>
      <c r="H1282" s="2" t="n"/>
      <c r="I1282" s="105" t="n"/>
      <c r="K1282" s="215" t="n"/>
      <c r="L1282" s="215" t="n"/>
      <c r="M1282" s="215" t="n"/>
      <c r="N1282" s="215" t="n"/>
      <c r="O1282" s="215" t="n"/>
      <c r="P1282" s="215" t="n"/>
      <c r="Q1282" s="215" t="n"/>
      <c r="R1282" s="215" t="n"/>
      <c r="S1282" s="215" t="n"/>
      <c r="T1282" s="215" t="n"/>
      <c r="U1282" s="215" t="n"/>
      <c r="V1282" s="215" t="n"/>
      <c r="W1282" s="215" t="n"/>
      <c r="X1282" s="215" t="n"/>
      <c r="Y1282" s="215" t="n"/>
      <c r="Z1282" s="215" t="n"/>
      <c r="AA1282" s="215" t="n"/>
      <c r="AB1282" s="215" t="n"/>
      <c r="AC1282" s="215" t="n"/>
      <c r="AD1282" s="215" t="n"/>
      <c r="AE1282" s="215" t="n"/>
      <c r="AF1282" s="215" t="n"/>
      <c r="AG1282" s="215" t="n"/>
      <c r="AH1282" s="215" t="n"/>
      <c r="AI1282" s="215" t="n"/>
      <c r="AJ1282" s="215" t="n"/>
      <c r="AK1282" s="216" t="n"/>
    </row>
    <row r="1283" ht="15" customHeight="1">
      <c r="B1283" s="134" t="n"/>
      <c r="C1283" s="105" t="n"/>
      <c r="D1283" s="105" t="n"/>
      <c r="E1283" s="105" t="n"/>
      <c r="F1283" s="105" t="n"/>
      <c r="G1283" s="105" t="n"/>
      <c r="H1283" s="2" t="n"/>
      <c r="I1283" s="105" t="n"/>
      <c r="K1283" s="215" t="n"/>
      <c r="L1283" s="215" t="n"/>
      <c r="M1283" s="215" t="n"/>
      <c r="N1283" s="215" t="n"/>
      <c r="O1283" s="215" t="n"/>
      <c r="P1283" s="215" t="n"/>
      <c r="Q1283" s="215" t="n"/>
      <c r="R1283" s="215" t="n"/>
      <c r="S1283" s="215" t="n"/>
      <c r="T1283" s="215" t="n"/>
      <c r="U1283" s="215" t="n"/>
      <c r="V1283" s="215" t="n"/>
      <c r="W1283" s="215" t="n"/>
      <c r="X1283" s="215" t="n"/>
      <c r="Y1283" s="215" t="n"/>
      <c r="Z1283" s="215" t="n"/>
      <c r="AA1283" s="215" t="n"/>
      <c r="AB1283" s="215" t="n"/>
      <c r="AC1283" s="215" t="n"/>
      <c r="AD1283" s="215" t="n"/>
      <c r="AE1283" s="215" t="n"/>
      <c r="AF1283" s="215" t="n"/>
      <c r="AG1283" s="215" t="n"/>
      <c r="AH1283" s="215" t="n"/>
      <c r="AI1283" s="215" t="n"/>
      <c r="AJ1283" s="215" t="n"/>
      <c r="AK1283" s="216" t="n"/>
    </row>
    <row r="1284" ht="15" customHeight="1">
      <c r="B1284" s="134" t="n"/>
      <c r="C1284" s="105" t="n"/>
      <c r="D1284" s="105" t="n"/>
      <c r="E1284" s="105" t="n"/>
      <c r="F1284" s="105" t="n"/>
      <c r="G1284" s="105" t="n"/>
      <c r="H1284" s="2" t="n"/>
      <c r="I1284" s="105" t="n"/>
      <c r="K1284" s="215" t="n"/>
      <c r="L1284" s="215" t="n"/>
      <c r="M1284" s="215" t="n"/>
      <c r="N1284" s="215" t="n"/>
      <c r="O1284" s="215" t="n"/>
      <c r="P1284" s="215" t="n"/>
      <c r="Q1284" s="215" t="n"/>
      <c r="R1284" s="215" t="n"/>
      <c r="S1284" s="215" t="n"/>
      <c r="T1284" s="215" t="n"/>
      <c r="U1284" s="215" t="n"/>
      <c r="V1284" s="215" t="n"/>
      <c r="W1284" s="215" t="n"/>
      <c r="X1284" s="215" t="n"/>
      <c r="Y1284" s="215" t="n"/>
      <c r="Z1284" s="215" t="n"/>
      <c r="AA1284" s="215" t="n"/>
      <c r="AB1284" s="215" t="n"/>
      <c r="AC1284" s="215" t="n"/>
      <c r="AD1284" s="215" t="n"/>
      <c r="AE1284" s="215" t="n"/>
      <c r="AF1284" s="215" t="n"/>
      <c r="AG1284" s="215" t="n"/>
      <c r="AH1284" s="215" t="n"/>
      <c r="AI1284" s="215" t="n"/>
      <c r="AJ1284" s="215" t="n"/>
      <c r="AK1284" s="216" t="n"/>
    </row>
    <row r="1285" ht="15" customHeight="1">
      <c r="B1285" s="134" t="n"/>
      <c r="C1285" s="105" t="n"/>
      <c r="D1285" s="105" t="n"/>
      <c r="E1285" s="105" t="n"/>
      <c r="F1285" s="105" t="n"/>
      <c r="G1285" s="105" t="n"/>
      <c r="H1285" s="2" t="n"/>
      <c r="I1285" s="105" t="n"/>
      <c r="K1285" s="215" t="n"/>
      <c r="L1285" s="215" t="n"/>
      <c r="M1285" s="215" t="n"/>
      <c r="N1285" s="215" t="n"/>
      <c r="O1285" s="215" t="n"/>
      <c r="P1285" s="215" t="n"/>
      <c r="Q1285" s="215" t="n"/>
      <c r="R1285" s="215" t="n"/>
      <c r="S1285" s="215" t="n"/>
      <c r="T1285" s="215" t="n"/>
      <c r="U1285" s="215" t="n"/>
      <c r="V1285" s="215" t="n"/>
      <c r="W1285" s="215" t="n"/>
      <c r="X1285" s="215" t="n"/>
      <c r="Y1285" s="215" t="n"/>
      <c r="Z1285" s="215" t="n"/>
      <c r="AA1285" s="215" t="n"/>
      <c r="AB1285" s="215" t="n"/>
      <c r="AC1285" s="215" t="n"/>
      <c r="AD1285" s="215" t="n"/>
      <c r="AE1285" s="215" t="n"/>
      <c r="AF1285" s="215" t="n"/>
      <c r="AG1285" s="215" t="n"/>
      <c r="AH1285" s="215" t="n"/>
      <c r="AI1285" s="215" t="n"/>
      <c r="AJ1285" s="215" t="n"/>
      <c r="AK1285" s="216" t="n"/>
    </row>
    <row r="1286" ht="15" customHeight="1">
      <c r="B1286" s="134" t="n"/>
      <c r="C1286" s="105" t="n"/>
      <c r="D1286" s="105" t="n"/>
      <c r="E1286" s="105" t="n"/>
      <c r="F1286" s="105" t="n"/>
      <c r="G1286" s="105" t="n"/>
      <c r="H1286" s="2" t="n"/>
      <c r="I1286" s="105" t="n"/>
      <c r="K1286" s="215" t="n"/>
      <c r="L1286" s="215" t="n"/>
      <c r="M1286" s="215" t="n"/>
      <c r="N1286" s="215" t="n"/>
      <c r="O1286" s="215" t="n"/>
      <c r="P1286" s="215" t="n"/>
      <c r="Q1286" s="215" t="n"/>
      <c r="R1286" s="215" t="n"/>
      <c r="S1286" s="215" t="n"/>
      <c r="T1286" s="215" t="n"/>
      <c r="U1286" s="215" t="n"/>
      <c r="V1286" s="215" t="n"/>
      <c r="W1286" s="215" t="n"/>
      <c r="X1286" s="215" t="n"/>
      <c r="Y1286" s="215" t="n"/>
      <c r="Z1286" s="215" t="n"/>
      <c r="AA1286" s="215" t="n"/>
      <c r="AB1286" s="215" t="n"/>
      <c r="AC1286" s="215" t="n"/>
      <c r="AD1286" s="215" t="n"/>
      <c r="AE1286" s="215" t="n"/>
      <c r="AF1286" s="215" t="n"/>
      <c r="AG1286" s="215" t="n"/>
      <c r="AH1286" s="215" t="n"/>
      <c r="AI1286" s="215" t="n"/>
      <c r="AJ1286" s="215" t="n"/>
      <c r="AK1286" s="216" t="n"/>
    </row>
    <row r="1287" ht="15" customHeight="1">
      <c r="B1287" s="134" t="n"/>
      <c r="C1287" s="105" t="n"/>
      <c r="D1287" s="105" t="n"/>
      <c r="E1287" s="105" t="n"/>
      <c r="F1287" s="105" t="n"/>
      <c r="G1287" s="105" t="n"/>
      <c r="H1287" s="2" t="n"/>
      <c r="I1287" s="105" t="n"/>
      <c r="K1287" s="215" t="n"/>
      <c r="L1287" s="215" t="n"/>
      <c r="M1287" s="215" t="n"/>
      <c r="N1287" s="215" t="n"/>
      <c r="O1287" s="215" t="n"/>
      <c r="P1287" s="215" t="n"/>
      <c r="Q1287" s="215" t="n"/>
      <c r="R1287" s="215" t="n"/>
      <c r="S1287" s="215" t="n"/>
      <c r="T1287" s="215" t="n"/>
      <c r="U1287" s="215" t="n"/>
      <c r="V1287" s="215" t="n"/>
      <c r="W1287" s="215" t="n"/>
      <c r="X1287" s="215" t="n"/>
      <c r="Y1287" s="215" t="n"/>
      <c r="Z1287" s="215" t="n"/>
      <c r="AA1287" s="215" t="n"/>
      <c r="AB1287" s="215" t="n"/>
      <c r="AC1287" s="215" t="n"/>
      <c r="AD1287" s="215" t="n"/>
      <c r="AE1287" s="215" t="n"/>
      <c r="AF1287" s="215" t="n"/>
      <c r="AG1287" s="215" t="n"/>
      <c r="AH1287" s="215" t="n"/>
      <c r="AI1287" s="215" t="n"/>
      <c r="AJ1287" s="215" t="n"/>
      <c r="AK1287" s="216" t="n"/>
    </row>
    <row r="1288" ht="15" customHeight="1">
      <c r="B1288" s="134" t="n"/>
      <c r="C1288" s="105" t="n"/>
      <c r="D1288" s="105" t="n"/>
      <c r="E1288" s="105" t="n"/>
      <c r="F1288" s="105" t="n"/>
      <c r="G1288" s="105" t="n"/>
      <c r="H1288" s="2" t="n"/>
      <c r="I1288" s="105" t="n"/>
      <c r="K1288" s="215" t="n"/>
      <c r="L1288" s="215" t="n"/>
      <c r="M1288" s="215" t="n"/>
      <c r="N1288" s="215" t="n"/>
      <c r="O1288" s="215" t="n"/>
      <c r="P1288" s="215" t="n"/>
      <c r="Q1288" s="215" t="n"/>
      <c r="R1288" s="215" t="n"/>
      <c r="S1288" s="215" t="n"/>
      <c r="T1288" s="215" t="n"/>
      <c r="U1288" s="215" t="n"/>
      <c r="V1288" s="215" t="n"/>
      <c r="W1288" s="215" t="n"/>
      <c r="X1288" s="215" t="n"/>
      <c r="Y1288" s="215" t="n"/>
      <c r="Z1288" s="215" t="n"/>
      <c r="AA1288" s="215" t="n"/>
      <c r="AB1288" s="215" t="n"/>
      <c r="AC1288" s="215" t="n"/>
      <c r="AD1288" s="215" t="n"/>
      <c r="AE1288" s="215" t="n"/>
      <c r="AF1288" s="215" t="n"/>
      <c r="AG1288" s="215" t="n"/>
      <c r="AH1288" s="215" t="n"/>
      <c r="AI1288" s="215" t="n"/>
      <c r="AJ1288" s="215" t="n"/>
      <c r="AK1288" s="216" t="n"/>
    </row>
    <row r="1289" ht="15" customHeight="1">
      <c r="B1289" s="134" t="n"/>
      <c r="C1289" s="105" t="n"/>
      <c r="D1289" s="105" t="n"/>
      <c r="E1289" s="105" t="n"/>
      <c r="F1289" s="105" t="n"/>
      <c r="G1289" s="105" t="n"/>
      <c r="H1289" s="2" t="n"/>
      <c r="I1289" s="105" t="n"/>
      <c r="K1289" s="215" t="n"/>
      <c r="L1289" s="215" t="n"/>
      <c r="M1289" s="215" t="n"/>
      <c r="N1289" s="215" t="n"/>
      <c r="O1289" s="215" t="n"/>
      <c r="P1289" s="215" t="n"/>
      <c r="Q1289" s="215" t="n"/>
      <c r="R1289" s="215" t="n"/>
      <c r="S1289" s="215" t="n"/>
      <c r="T1289" s="215" t="n"/>
      <c r="U1289" s="215" t="n"/>
      <c r="V1289" s="215" t="n"/>
      <c r="W1289" s="215" t="n"/>
      <c r="X1289" s="215" t="n"/>
      <c r="Y1289" s="215" t="n"/>
      <c r="Z1289" s="215" t="n"/>
      <c r="AA1289" s="215" t="n"/>
      <c r="AB1289" s="215" t="n"/>
      <c r="AC1289" s="215" t="n"/>
      <c r="AD1289" s="215" t="n"/>
      <c r="AE1289" s="215" t="n"/>
      <c r="AF1289" s="215" t="n"/>
      <c r="AG1289" s="215" t="n"/>
      <c r="AH1289" s="215" t="n"/>
      <c r="AI1289" s="215" t="n"/>
      <c r="AJ1289" s="215" t="n"/>
      <c r="AK1289" s="216" t="n"/>
    </row>
    <row r="1290" ht="15" customHeight="1">
      <c r="B1290" s="134" t="n"/>
      <c r="C1290" s="105" t="n"/>
      <c r="D1290" s="105" t="n"/>
      <c r="E1290" s="105" t="n"/>
      <c r="F1290" s="105" t="n"/>
      <c r="G1290" s="105" t="n"/>
      <c r="H1290" s="2" t="n"/>
      <c r="I1290" s="105" t="n"/>
      <c r="K1290" s="215" t="n"/>
      <c r="L1290" s="215" t="n"/>
      <c r="M1290" s="215" t="n"/>
      <c r="N1290" s="215" t="n"/>
      <c r="O1290" s="215" t="n"/>
      <c r="P1290" s="215" t="n"/>
      <c r="Q1290" s="215" t="n"/>
      <c r="R1290" s="215" t="n"/>
      <c r="S1290" s="215" t="n"/>
      <c r="T1290" s="215" t="n"/>
      <c r="U1290" s="215" t="n"/>
      <c r="V1290" s="215" t="n"/>
      <c r="W1290" s="215" t="n"/>
      <c r="X1290" s="215" t="n"/>
      <c r="Y1290" s="215" t="n"/>
      <c r="Z1290" s="215" t="n"/>
      <c r="AA1290" s="215" t="n"/>
      <c r="AB1290" s="215" t="n"/>
      <c r="AC1290" s="215" t="n"/>
      <c r="AD1290" s="215" t="n"/>
      <c r="AE1290" s="215" t="n"/>
      <c r="AF1290" s="215" t="n"/>
      <c r="AG1290" s="215" t="n"/>
      <c r="AH1290" s="215" t="n"/>
      <c r="AI1290" s="215" t="n"/>
      <c r="AJ1290" s="215" t="n"/>
      <c r="AK1290" s="216" t="n"/>
    </row>
    <row r="1291" ht="15" customHeight="1">
      <c r="B1291" s="134" t="n"/>
      <c r="C1291" s="105" t="n"/>
      <c r="D1291" s="105" t="n"/>
      <c r="E1291" s="105" t="n"/>
      <c r="F1291" s="105" t="n"/>
      <c r="G1291" s="105" t="n"/>
      <c r="H1291" s="2" t="n"/>
      <c r="I1291" s="105" t="n"/>
      <c r="K1291" s="215" t="n"/>
      <c r="L1291" s="215" t="n"/>
      <c r="M1291" s="215" t="n"/>
      <c r="N1291" s="215" t="n"/>
      <c r="O1291" s="215" t="n"/>
      <c r="P1291" s="215" t="n"/>
      <c r="Q1291" s="215" t="n"/>
      <c r="R1291" s="215" t="n"/>
      <c r="S1291" s="215" t="n"/>
      <c r="T1291" s="215" t="n"/>
      <c r="U1291" s="215" t="n"/>
      <c r="V1291" s="215" t="n"/>
      <c r="W1291" s="215" t="n"/>
      <c r="X1291" s="215" t="n"/>
      <c r="Y1291" s="215" t="n"/>
      <c r="Z1291" s="215" t="n"/>
      <c r="AA1291" s="215" t="n"/>
      <c r="AB1291" s="215" t="n"/>
      <c r="AC1291" s="215" t="n"/>
      <c r="AD1291" s="215" t="n"/>
      <c r="AE1291" s="215" t="n"/>
      <c r="AF1291" s="215" t="n"/>
      <c r="AG1291" s="215" t="n"/>
      <c r="AH1291" s="215" t="n"/>
      <c r="AI1291" s="215" t="n"/>
      <c r="AJ1291" s="215" t="n"/>
      <c r="AK1291" s="216" t="n"/>
    </row>
    <row r="1292" ht="15" customHeight="1">
      <c r="B1292" s="134" t="n"/>
      <c r="C1292" s="105" t="n"/>
      <c r="D1292" s="105" t="n"/>
      <c r="E1292" s="105" t="n"/>
      <c r="F1292" s="105" t="n"/>
      <c r="G1292" s="105" t="n"/>
      <c r="H1292" s="2" t="n"/>
      <c r="I1292" s="105" t="n"/>
      <c r="K1292" s="215" t="n"/>
      <c r="L1292" s="215" t="n"/>
      <c r="M1292" s="215" t="n"/>
      <c r="N1292" s="215" t="n"/>
      <c r="O1292" s="215" t="n"/>
      <c r="P1292" s="215" t="n"/>
      <c r="Q1292" s="215" t="n"/>
      <c r="R1292" s="215" t="n"/>
      <c r="S1292" s="215" t="n"/>
      <c r="T1292" s="215" t="n"/>
      <c r="U1292" s="215" t="n"/>
      <c r="V1292" s="215" t="n"/>
      <c r="W1292" s="215" t="n"/>
      <c r="X1292" s="215" t="n"/>
      <c r="Y1292" s="215" t="n"/>
      <c r="Z1292" s="215" t="n"/>
      <c r="AA1292" s="215" t="n"/>
      <c r="AB1292" s="215" t="n"/>
      <c r="AC1292" s="215" t="n"/>
      <c r="AD1292" s="215" t="n"/>
      <c r="AE1292" s="215" t="n"/>
      <c r="AF1292" s="215" t="n"/>
      <c r="AG1292" s="215" t="n"/>
      <c r="AH1292" s="215" t="n"/>
      <c r="AI1292" s="215" t="n"/>
      <c r="AJ1292" s="215" t="n"/>
      <c r="AK1292" s="216" t="n"/>
    </row>
    <row r="1293" ht="15" customHeight="1">
      <c r="B1293" s="134" t="n"/>
      <c r="C1293" s="105" t="n"/>
      <c r="D1293" s="105" t="n"/>
      <c r="E1293" s="105" t="n"/>
      <c r="F1293" s="105" t="n"/>
      <c r="G1293" s="105" t="n"/>
      <c r="H1293" s="2" t="n"/>
      <c r="I1293" s="105" t="n"/>
      <c r="K1293" s="215" t="n"/>
      <c r="L1293" s="215" t="n"/>
      <c r="M1293" s="215" t="n"/>
      <c r="N1293" s="215" t="n"/>
      <c r="O1293" s="215" t="n"/>
      <c r="P1293" s="215" t="n"/>
      <c r="Q1293" s="215" t="n"/>
      <c r="R1293" s="215" t="n"/>
      <c r="S1293" s="215" t="n"/>
      <c r="T1293" s="215" t="n"/>
      <c r="U1293" s="215" t="n"/>
      <c r="V1293" s="215" t="n"/>
      <c r="W1293" s="215" t="n"/>
      <c r="X1293" s="215" t="n"/>
      <c r="Y1293" s="215" t="n"/>
      <c r="Z1293" s="215" t="n"/>
      <c r="AA1293" s="215" t="n"/>
      <c r="AB1293" s="215" t="n"/>
      <c r="AC1293" s="215" t="n"/>
      <c r="AD1293" s="215" t="n"/>
      <c r="AE1293" s="215" t="n"/>
      <c r="AF1293" s="215" t="n"/>
      <c r="AG1293" s="215" t="n"/>
      <c r="AH1293" s="215" t="n"/>
      <c r="AI1293" s="215" t="n"/>
      <c r="AJ1293" s="215" t="n"/>
      <c r="AK1293" s="216" t="n"/>
    </row>
    <row r="1294" ht="15" customHeight="1">
      <c r="B1294" s="134" t="n"/>
      <c r="C1294" s="105" t="n"/>
      <c r="D1294" s="105" t="n"/>
      <c r="E1294" s="105" t="n"/>
      <c r="F1294" s="105" t="n"/>
      <c r="G1294" s="105" t="n"/>
      <c r="H1294" s="2" t="n"/>
      <c r="I1294" s="105" t="n"/>
      <c r="K1294" s="215" t="n"/>
      <c r="L1294" s="215" t="n"/>
      <c r="M1294" s="215" t="n"/>
      <c r="N1294" s="215" t="n"/>
      <c r="O1294" s="215" t="n"/>
      <c r="P1294" s="215" t="n"/>
      <c r="Q1294" s="215" t="n"/>
      <c r="R1294" s="215" t="n"/>
      <c r="S1294" s="215" t="n"/>
      <c r="T1294" s="215" t="n"/>
      <c r="U1294" s="215" t="n"/>
      <c r="V1294" s="215" t="n"/>
      <c r="W1294" s="215" t="n"/>
      <c r="X1294" s="215" t="n"/>
      <c r="Y1294" s="215" t="n"/>
      <c r="Z1294" s="215" t="n"/>
      <c r="AA1294" s="215" t="n"/>
      <c r="AB1294" s="215" t="n"/>
      <c r="AC1294" s="215" t="n"/>
      <c r="AD1294" s="215" t="n"/>
      <c r="AE1294" s="215" t="n"/>
      <c r="AF1294" s="215" t="n"/>
      <c r="AG1294" s="215" t="n"/>
      <c r="AH1294" s="215" t="n"/>
      <c r="AI1294" s="215" t="n"/>
      <c r="AJ1294" s="215" t="n"/>
      <c r="AK1294" s="216" t="n"/>
    </row>
    <row r="1295" ht="15" customHeight="1">
      <c r="B1295" s="134" t="n"/>
      <c r="C1295" s="105" t="n"/>
      <c r="D1295" s="105" t="n"/>
      <c r="E1295" s="105" t="n"/>
      <c r="F1295" s="105" t="n"/>
      <c r="G1295" s="105" t="n"/>
      <c r="H1295" s="2" t="n"/>
      <c r="I1295" s="105" t="n"/>
      <c r="K1295" s="215" t="n"/>
      <c r="L1295" s="215" t="n"/>
      <c r="M1295" s="215" t="n"/>
      <c r="N1295" s="215" t="n"/>
      <c r="O1295" s="215" t="n"/>
      <c r="P1295" s="215" t="n"/>
      <c r="Q1295" s="215" t="n"/>
      <c r="R1295" s="215" t="n"/>
      <c r="S1295" s="215" t="n"/>
      <c r="T1295" s="215" t="n"/>
      <c r="U1295" s="215" t="n"/>
      <c r="V1295" s="215" t="n"/>
      <c r="W1295" s="215" t="n"/>
      <c r="X1295" s="215" t="n"/>
      <c r="Y1295" s="215" t="n"/>
      <c r="Z1295" s="215" t="n"/>
      <c r="AA1295" s="215" t="n"/>
      <c r="AB1295" s="215" t="n"/>
      <c r="AC1295" s="215" t="n"/>
      <c r="AD1295" s="215" t="n"/>
      <c r="AE1295" s="215" t="n"/>
      <c r="AF1295" s="215" t="n"/>
      <c r="AG1295" s="215" t="n"/>
      <c r="AH1295" s="215" t="n"/>
      <c r="AI1295" s="215" t="n"/>
      <c r="AJ1295" s="215" t="n"/>
      <c r="AK1295" s="216" t="n"/>
    </row>
    <row r="1296" ht="15" customHeight="1">
      <c r="B1296" s="134" t="n"/>
      <c r="C1296" s="105" t="n"/>
      <c r="D1296" s="105" t="n"/>
      <c r="E1296" s="105" t="n"/>
      <c r="F1296" s="105" t="n"/>
      <c r="G1296" s="105" t="n"/>
      <c r="H1296" s="2" t="n"/>
      <c r="I1296" s="105" t="n"/>
      <c r="K1296" s="215" t="n"/>
      <c r="L1296" s="215" t="n"/>
      <c r="M1296" s="215" t="n"/>
      <c r="N1296" s="215" t="n"/>
      <c r="O1296" s="215" t="n"/>
      <c r="P1296" s="215" t="n"/>
      <c r="Q1296" s="215" t="n"/>
      <c r="R1296" s="215" t="n"/>
      <c r="S1296" s="215" t="n"/>
      <c r="T1296" s="215" t="n"/>
      <c r="U1296" s="215" t="n"/>
      <c r="V1296" s="215" t="n"/>
      <c r="W1296" s="215" t="n"/>
      <c r="X1296" s="215" t="n"/>
      <c r="Y1296" s="215" t="n"/>
      <c r="Z1296" s="215" t="n"/>
      <c r="AA1296" s="215" t="n"/>
      <c r="AB1296" s="215" t="n"/>
      <c r="AC1296" s="215" t="n"/>
      <c r="AD1296" s="215" t="n"/>
      <c r="AE1296" s="215" t="n"/>
      <c r="AF1296" s="215" t="n"/>
      <c r="AG1296" s="215" t="n"/>
      <c r="AH1296" s="215" t="n"/>
      <c r="AI1296" s="215" t="n"/>
      <c r="AJ1296" s="215" t="n"/>
      <c r="AK1296" s="216" t="n"/>
    </row>
    <row r="1297" ht="15" customHeight="1">
      <c r="B1297" s="134" t="n"/>
      <c r="C1297" s="105" t="n"/>
      <c r="D1297" s="105" t="n"/>
      <c r="E1297" s="105" t="n"/>
      <c r="F1297" s="105" t="n"/>
      <c r="G1297" s="105" t="n"/>
      <c r="H1297" s="2" t="n"/>
      <c r="I1297" s="105" t="n"/>
      <c r="K1297" s="215" t="n"/>
      <c r="L1297" s="215" t="n"/>
      <c r="M1297" s="215" t="n"/>
      <c r="N1297" s="215" t="n"/>
      <c r="O1297" s="215" t="n"/>
      <c r="P1297" s="215" t="n"/>
      <c r="Q1297" s="215" t="n"/>
      <c r="R1297" s="215" t="n"/>
      <c r="S1297" s="215" t="n"/>
      <c r="T1297" s="215" t="n"/>
      <c r="U1297" s="215" t="n"/>
      <c r="V1297" s="215" t="n"/>
      <c r="W1297" s="215" t="n"/>
      <c r="X1297" s="215" t="n"/>
      <c r="Y1297" s="215" t="n"/>
      <c r="Z1297" s="215" t="n"/>
      <c r="AA1297" s="215" t="n"/>
      <c r="AB1297" s="215" t="n"/>
      <c r="AC1297" s="215" t="n"/>
      <c r="AD1297" s="215" t="n"/>
      <c r="AE1297" s="215" t="n"/>
      <c r="AF1297" s="215" t="n"/>
      <c r="AG1297" s="215" t="n"/>
      <c r="AH1297" s="215" t="n"/>
      <c r="AI1297" s="215" t="n"/>
      <c r="AJ1297" s="215" t="n"/>
      <c r="AK1297" s="216" t="n"/>
    </row>
    <row r="1298" ht="15" customHeight="1">
      <c r="B1298" s="134" t="n"/>
      <c r="C1298" s="105" t="n"/>
      <c r="D1298" s="105" t="n"/>
      <c r="E1298" s="105" t="n"/>
      <c r="F1298" s="105" t="n"/>
      <c r="G1298" s="105" t="n"/>
      <c r="H1298" s="2" t="n"/>
      <c r="I1298" s="105" t="n"/>
      <c r="K1298" s="215" t="n"/>
      <c r="L1298" s="215" t="n"/>
      <c r="M1298" s="215" t="n"/>
      <c r="N1298" s="215" t="n"/>
      <c r="O1298" s="215" t="n"/>
      <c r="P1298" s="215" t="n"/>
      <c r="Q1298" s="215" t="n"/>
      <c r="R1298" s="215" t="n"/>
      <c r="S1298" s="215" t="n"/>
      <c r="T1298" s="215" t="n"/>
      <c r="U1298" s="215" t="n"/>
      <c r="V1298" s="215" t="n"/>
      <c r="W1298" s="215" t="n"/>
      <c r="X1298" s="215" t="n"/>
      <c r="Y1298" s="215" t="n"/>
      <c r="Z1298" s="215" t="n"/>
      <c r="AA1298" s="215" t="n"/>
      <c r="AB1298" s="215" t="n"/>
      <c r="AC1298" s="215" t="n"/>
      <c r="AD1298" s="215" t="n"/>
      <c r="AE1298" s="215" t="n"/>
      <c r="AF1298" s="215" t="n"/>
      <c r="AG1298" s="215" t="n"/>
      <c r="AH1298" s="215" t="n"/>
      <c r="AI1298" s="215" t="n"/>
      <c r="AJ1298" s="215" t="n"/>
      <c r="AK1298" s="216" t="n"/>
    </row>
    <row r="1299" ht="15" customHeight="1">
      <c r="B1299" s="134" t="n"/>
      <c r="C1299" s="105" t="n"/>
      <c r="D1299" s="105" t="n"/>
      <c r="E1299" s="105" t="n"/>
      <c r="F1299" s="105" t="n"/>
      <c r="G1299" s="105" t="n"/>
      <c r="H1299" s="2" t="n"/>
      <c r="I1299" s="105" t="n"/>
      <c r="K1299" s="215" t="n"/>
      <c r="L1299" s="215" t="n"/>
      <c r="M1299" s="215" t="n"/>
      <c r="N1299" s="215" t="n"/>
      <c r="O1299" s="215" t="n"/>
      <c r="P1299" s="215" t="n"/>
      <c r="Q1299" s="215" t="n"/>
      <c r="R1299" s="215" t="n"/>
      <c r="S1299" s="215" t="n"/>
      <c r="T1299" s="215" t="n"/>
      <c r="U1299" s="215" t="n"/>
      <c r="V1299" s="215" t="n"/>
      <c r="W1299" s="215" t="n"/>
      <c r="X1299" s="215" t="n"/>
      <c r="Y1299" s="215" t="n"/>
      <c r="Z1299" s="215" t="n"/>
      <c r="AA1299" s="215" t="n"/>
      <c r="AB1299" s="215" t="n"/>
      <c r="AC1299" s="215" t="n"/>
      <c r="AD1299" s="215" t="n"/>
      <c r="AE1299" s="215" t="n"/>
      <c r="AF1299" s="215" t="n"/>
      <c r="AG1299" s="215" t="n"/>
      <c r="AH1299" s="215" t="n"/>
      <c r="AI1299" s="215" t="n"/>
      <c r="AJ1299" s="215" t="n"/>
      <c r="AK1299" s="216" t="n"/>
    </row>
    <row r="1300" ht="15" customHeight="1">
      <c r="B1300" s="134" t="n"/>
      <c r="C1300" s="105" t="n"/>
      <c r="D1300" s="105" t="n"/>
      <c r="E1300" s="105" t="n"/>
      <c r="F1300" s="105" t="n"/>
      <c r="G1300" s="105" t="n"/>
      <c r="H1300" s="2" t="n"/>
      <c r="I1300" s="105" t="n"/>
      <c r="K1300" s="215" t="n"/>
      <c r="L1300" s="215" t="n"/>
      <c r="M1300" s="215" t="n"/>
      <c r="N1300" s="215" t="n"/>
      <c r="O1300" s="215" t="n"/>
      <c r="P1300" s="215" t="n"/>
      <c r="Q1300" s="215" t="n"/>
      <c r="R1300" s="215" t="n"/>
      <c r="S1300" s="215" t="n"/>
      <c r="T1300" s="215" t="n"/>
      <c r="U1300" s="215" t="n"/>
      <c r="V1300" s="215" t="n"/>
      <c r="W1300" s="215" t="n"/>
      <c r="X1300" s="215" t="n"/>
      <c r="Y1300" s="215" t="n"/>
      <c r="Z1300" s="215" t="n"/>
      <c r="AA1300" s="215" t="n"/>
      <c r="AB1300" s="215" t="n"/>
      <c r="AC1300" s="215" t="n"/>
      <c r="AD1300" s="215" t="n"/>
      <c r="AE1300" s="215" t="n"/>
      <c r="AF1300" s="215" t="n"/>
      <c r="AG1300" s="215" t="n"/>
      <c r="AH1300" s="215" t="n"/>
      <c r="AI1300" s="215" t="n"/>
      <c r="AJ1300" s="215" t="n"/>
      <c r="AK1300" s="216" t="n"/>
    </row>
    <row r="1301" ht="15" customHeight="1">
      <c r="B1301" s="134" t="n"/>
      <c r="C1301" s="105" t="n"/>
      <c r="D1301" s="105" t="n"/>
      <c r="E1301" s="105" t="n"/>
      <c r="F1301" s="105" t="n"/>
      <c r="G1301" s="105" t="n"/>
      <c r="H1301" s="2" t="n"/>
      <c r="I1301" s="105" t="n"/>
      <c r="K1301" s="215" t="n"/>
      <c r="L1301" s="215" t="n"/>
      <c r="M1301" s="215" t="n"/>
      <c r="N1301" s="215" t="n"/>
      <c r="O1301" s="215" t="n"/>
      <c r="P1301" s="215" t="n"/>
      <c r="Q1301" s="215" t="n"/>
      <c r="R1301" s="215" t="n"/>
      <c r="S1301" s="215" t="n"/>
      <c r="T1301" s="215" t="n"/>
      <c r="U1301" s="215" t="n"/>
      <c r="V1301" s="215" t="n"/>
      <c r="W1301" s="215" t="n"/>
      <c r="X1301" s="215" t="n"/>
      <c r="Y1301" s="215" t="n"/>
      <c r="Z1301" s="215" t="n"/>
      <c r="AA1301" s="215" t="n"/>
      <c r="AB1301" s="215" t="n"/>
      <c r="AC1301" s="215" t="n"/>
      <c r="AD1301" s="215" t="n"/>
      <c r="AE1301" s="215" t="n"/>
      <c r="AF1301" s="215" t="n"/>
      <c r="AG1301" s="215" t="n"/>
      <c r="AH1301" s="215" t="n"/>
      <c r="AI1301" s="215" t="n"/>
      <c r="AJ1301" s="215" t="n"/>
      <c r="AK1301" s="216" t="n"/>
    </row>
    <row r="1302" ht="15" customHeight="1">
      <c r="B1302" s="134" t="n"/>
      <c r="C1302" s="105" t="n"/>
      <c r="D1302" s="105" t="n"/>
      <c r="E1302" s="105" t="n"/>
      <c r="F1302" s="105" t="n"/>
      <c r="G1302" s="105" t="n"/>
      <c r="H1302" s="2" t="n"/>
      <c r="I1302" s="105" t="n"/>
      <c r="K1302" s="215" t="n"/>
      <c r="L1302" s="215" t="n"/>
      <c r="M1302" s="215" t="n"/>
      <c r="N1302" s="215" t="n"/>
      <c r="O1302" s="215" t="n"/>
      <c r="P1302" s="215" t="n"/>
      <c r="Q1302" s="215" t="n"/>
      <c r="R1302" s="215" t="n"/>
      <c r="S1302" s="215" t="n"/>
      <c r="T1302" s="215" t="n"/>
      <c r="U1302" s="215" t="n"/>
      <c r="V1302" s="215" t="n"/>
      <c r="W1302" s="215" t="n"/>
      <c r="X1302" s="215" t="n"/>
      <c r="Y1302" s="215" t="n"/>
      <c r="Z1302" s="215" t="n"/>
      <c r="AA1302" s="215" t="n"/>
      <c r="AB1302" s="215" t="n"/>
      <c r="AC1302" s="215" t="n"/>
      <c r="AD1302" s="215" t="n"/>
      <c r="AE1302" s="215" t="n"/>
      <c r="AF1302" s="215" t="n"/>
      <c r="AG1302" s="215" t="n"/>
      <c r="AH1302" s="215" t="n"/>
      <c r="AI1302" s="215" t="n"/>
      <c r="AJ1302" s="215" t="n"/>
      <c r="AK1302" s="216" t="n"/>
    </row>
    <row r="1303" ht="15" customHeight="1">
      <c r="B1303" s="134" t="n"/>
      <c r="C1303" s="105" t="n"/>
      <c r="D1303" s="105" t="n"/>
      <c r="E1303" s="105" t="n"/>
      <c r="F1303" s="105" t="n"/>
      <c r="G1303" s="105" t="n"/>
      <c r="H1303" s="2" t="n"/>
      <c r="I1303" s="105" t="n"/>
      <c r="K1303" s="215" t="n"/>
      <c r="L1303" s="215" t="n"/>
      <c r="M1303" s="215" t="n"/>
      <c r="N1303" s="215" t="n"/>
      <c r="O1303" s="215" t="n"/>
      <c r="P1303" s="215" t="n"/>
      <c r="Q1303" s="215" t="n"/>
      <c r="R1303" s="215" t="n"/>
      <c r="S1303" s="215" t="n"/>
      <c r="T1303" s="215" t="n"/>
      <c r="U1303" s="215" t="n"/>
      <c r="V1303" s="215" t="n"/>
      <c r="W1303" s="215" t="n"/>
      <c r="X1303" s="215" t="n"/>
      <c r="Y1303" s="215" t="n"/>
      <c r="Z1303" s="215" t="n"/>
      <c r="AA1303" s="215" t="n"/>
      <c r="AB1303" s="215" t="n"/>
      <c r="AC1303" s="215" t="n"/>
      <c r="AD1303" s="215" t="n"/>
      <c r="AE1303" s="215" t="n"/>
      <c r="AF1303" s="215" t="n"/>
      <c r="AG1303" s="215" t="n"/>
      <c r="AH1303" s="215" t="n"/>
      <c r="AI1303" s="215" t="n"/>
      <c r="AJ1303" s="215" t="n"/>
      <c r="AK1303" s="216" t="n"/>
    </row>
    <row r="1304" ht="15" customHeight="1">
      <c r="B1304" s="134" t="n"/>
      <c r="C1304" s="105" t="n"/>
      <c r="D1304" s="105" t="n"/>
      <c r="E1304" s="105" t="n"/>
      <c r="F1304" s="105" t="n"/>
      <c r="G1304" s="105" t="n"/>
      <c r="H1304" s="2" t="n"/>
      <c r="I1304" s="105" t="n"/>
      <c r="K1304" s="215" t="n"/>
      <c r="L1304" s="215" t="n"/>
      <c r="M1304" s="215" t="n"/>
      <c r="N1304" s="215" t="n"/>
      <c r="O1304" s="215" t="n"/>
      <c r="P1304" s="215" t="n"/>
      <c r="Q1304" s="215" t="n"/>
      <c r="R1304" s="215" t="n"/>
      <c r="S1304" s="215" t="n"/>
      <c r="T1304" s="215" t="n"/>
      <c r="U1304" s="215" t="n"/>
      <c r="V1304" s="215" t="n"/>
      <c r="W1304" s="215" t="n"/>
      <c r="X1304" s="215" t="n"/>
      <c r="Y1304" s="215" t="n"/>
      <c r="Z1304" s="215" t="n"/>
      <c r="AA1304" s="215" t="n"/>
      <c r="AB1304" s="215" t="n"/>
      <c r="AC1304" s="215" t="n"/>
      <c r="AD1304" s="215" t="n"/>
      <c r="AE1304" s="215" t="n"/>
      <c r="AF1304" s="215" t="n"/>
      <c r="AG1304" s="215" t="n"/>
      <c r="AH1304" s="215" t="n"/>
      <c r="AI1304" s="215" t="n"/>
      <c r="AJ1304" s="215" t="n"/>
      <c r="AK1304" s="216" t="n"/>
    </row>
    <row r="1305" ht="15" customHeight="1">
      <c r="B1305" s="134" t="n"/>
      <c r="C1305" s="105" t="n"/>
      <c r="D1305" s="105" t="n"/>
      <c r="E1305" s="105" t="n"/>
      <c r="F1305" s="105" t="n"/>
      <c r="G1305" s="105" t="n"/>
      <c r="H1305" s="2" t="n"/>
      <c r="I1305" s="105" t="n"/>
      <c r="K1305" s="215" t="n"/>
      <c r="L1305" s="215" t="n"/>
      <c r="M1305" s="215" t="n"/>
      <c r="N1305" s="215" t="n"/>
      <c r="O1305" s="215" t="n"/>
      <c r="P1305" s="215" t="n"/>
      <c r="Q1305" s="215" t="n"/>
      <c r="R1305" s="215" t="n"/>
      <c r="S1305" s="215" t="n"/>
      <c r="T1305" s="215" t="n"/>
      <c r="U1305" s="215" t="n"/>
      <c r="V1305" s="215" t="n"/>
      <c r="W1305" s="215" t="n"/>
      <c r="X1305" s="215" t="n"/>
      <c r="Y1305" s="215" t="n"/>
      <c r="Z1305" s="215" t="n"/>
      <c r="AA1305" s="215" t="n"/>
      <c r="AB1305" s="215" t="n"/>
      <c r="AC1305" s="215" t="n"/>
      <c r="AD1305" s="215" t="n"/>
      <c r="AE1305" s="215" t="n"/>
      <c r="AF1305" s="215" t="n"/>
      <c r="AG1305" s="215" t="n"/>
      <c r="AH1305" s="215" t="n"/>
      <c r="AI1305" s="215" t="n"/>
      <c r="AJ1305" s="215" t="n"/>
      <c r="AK1305" s="216" t="n"/>
    </row>
    <row r="1306" ht="15" customHeight="1">
      <c r="B1306" s="134" t="n"/>
      <c r="C1306" s="105" t="n"/>
      <c r="D1306" s="105" t="n"/>
      <c r="E1306" s="105" t="n"/>
      <c r="F1306" s="105" t="n"/>
      <c r="G1306" s="105" t="n"/>
      <c r="H1306" s="2" t="n"/>
      <c r="I1306" s="105" t="n"/>
      <c r="K1306" s="215" t="n"/>
      <c r="L1306" s="215" t="n"/>
      <c r="M1306" s="215" t="n"/>
      <c r="N1306" s="215" t="n"/>
      <c r="O1306" s="215" t="n"/>
      <c r="P1306" s="215" t="n"/>
      <c r="Q1306" s="215" t="n"/>
      <c r="R1306" s="215" t="n"/>
      <c r="S1306" s="215" t="n"/>
      <c r="T1306" s="215" t="n"/>
      <c r="U1306" s="215" t="n"/>
      <c r="V1306" s="215" t="n"/>
      <c r="W1306" s="215" t="n"/>
      <c r="X1306" s="215" t="n"/>
      <c r="Y1306" s="215" t="n"/>
      <c r="Z1306" s="215" t="n"/>
      <c r="AA1306" s="215" t="n"/>
      <c r="AB1306" s="215" t="n"/>
      <c r="AC1306" s="215" t="n"/>
      <c r="AD1306" s="215" t="n"/>
      <c r="AE1306" s="215" t="n"/>
      <c r="AF1306" s="215" t="n"/>
      <c r="AG1306" s="215" t="n"/>
      <c r="AH1306" s="215" t="n"/>
      <c r="AI1306" s="215" t="n"/>
      <c r="AJ1306" s="215" t="n"/>
      <c r="AK1306" s="216" t="n"/>
    </row>
    <row r="1307" ht="15" customHeight="1">
      <c r="B1307" s="134" t="n"/>
      <c r="C1307" s="105" t="n"/>
      <c r="D1307" s="105" t="n"/>
      <c r="E1307" s="105" t="n"/>
      <c r="F1307" s="105" t="n"/>
      <c r="G1307" s="105" t="n"/>
      <c r="H1307" s="2" t="n"/>
      <c r="I1307" s="105" t="n"/>
      <c r="K1307" s="215" t="n"/>
      <c r="L1307" s="215" t="n"/>
      <c r="M1307" s="215" t="n"/>
      <c r="N1307" s="215" t="n"/>
      <c r="O1307" s="215" t="n"/>
      <c r="P1307" s="215" t="n"/>
      <c r="Q1307" s="215" t="n"/>
      <c r="R1307" s="215" t="n"/>
      <c r="S1307" s="215" t="n"/>
      <c r="T1307" s="215" t="n"/>
      <c r="U1307" s="215" t="n"/>
      <c r="V1307" s="215" t="n"/>
      <c r="W1307" s="215" t="n"/>
      <c r="X1307" s="215" t="n"/>
      <c r="Y1307" s="215" t="n"/>
      <c r="Z1307" s="215" t="n"/>
      <c r="AA1307" s="215" t="n"/>
      <c r="AB1307" s="215" t="n"/>
      <c r="AC1307" s="215" t="n"/>
      <c r="AD1307" s="215" t="n"/>
      <c r="AE1307" s="215" t="n"/>
      <c r="AF1307" s="215" t="n"/>
      <c r="AG1307" s="215" t="n"/>
      <c r="AH1307" s="215" t="n"/>
      <c r="AI1307" s="215" t="n"/>
      <c r="AJ1307" s="215" t="n"/>
      <c r="AK1307" s="216" t="n"/>
    </row>
    <row r="1308" ht="15" customHeight="1">
      <c r="B1308" s="134" t="n"/>
      <c r="C1308" s="105" t="n"/>
      <c r="D1308" s="105" t="n"/>
      <c r="E1308" s="105" t="n"/>
      <c r="F1308" s="105" t="n"/>
      <c r="G1308" s="105" t="n"/>
      <c r="H1308" s="2" t="n"/>
      <c r="I1308" s="105" t="n"/>
      <c r="K1308" s="215" t="n"/>
      <c r="L1308" s="215" t="n"/>
      <c r="M1308" s="215" t="n"/>
      <c r="N1308" s="215" t="n"/>
      <c r="O1308" s="215" t="n"/>
      <c r="P1308" s="215" t="n"/>
      <c r="Q1308" s="215" t="n"/>
      <c r="R1308" s="215" t="n"/>
      <c r="S1308" s="215" t="n"/>
      <c r="T1308" s="215" t="n"/>
      <c r="U1308" s="215" t="n"/>
      <c r="V1308" s="215" t="n"/>
      <c r="W1308" s="215" t="n"/>
      <c r="X1308" s="215" t="n"/>
      <c r="Y1308" s="215" t="n"/>
      <c r="Z1308" s="215" t="n"/>
      <c r="AA1308" s="215" t="n"/>
      <c r="AB1308" s="215" t="n"/>
      <c r="AC1308" s="215" t="n"/>
      <c r="AD1308" s="215" t="n"/>
      <c r="AE1308" s="215" t="n"/>
      <c r="AF1308" s="215" t="n"/>
      <c r="AG1308" s="215" t="n"/>
      <c r="AH1308" s="215" t="n"/>
      <c r="AI1308" s="215" t="n"/>
      <c r="AJ1308" s="215" t="n"/>
      <c r="AK1308" s="216" t="n"/>
    </row>
    <row r="1309" ht="15" customHeight="1">
      <c r="B1309" s="134" t="n"/>
      <c r="C1309" s="105" t="n"/>
      <c r="D1309" s="105" t="n"/>
      <c r="E1309" s="105" t="n"/>
      <c r="F1309" s="105" t="n"/>
      <c r="G1309" s="105" t="n"/>
      <c r="H1309" s="2" t="n"/>
      <c r="I1309" s="105" t="n"/>
      <c r="K1309" s="215" t="n"/>
      <c r="L1309" s="215" t="n"/>
      <c r="M1309" s="215" t="n"/>
      <c r="N1309" s="215" t="n"/>
      <c r="O1309" s="215" t="n"/>
      <c r="P1309" s="215" t="n"/>
      <c r="Q1309" s="215" t="n"/>
      <c r="R1309" s="215" t="n"/>
      <c r="S1309" s="215" t="n"/>
      <c r="T1309" s="215" t="n"/>
      <c r="U1309" s="215" t="n"/>
      <c r="V1309" s="215" t="n"/>
      <c r="W1309" s="215" t="n"/>
      <c r="X1309" s="215" t="n"/>
      <c r="Y1309" s="215" t="n"/>
      <c r="Z1309" s="215" t="n"/>
      <c r="AA1309" s="215" t="n"/>
      <c r="AB1309" s="215" t="n"/>
      <c r="AC1309" s="215" t="n"/>
      <c r="AD1309" s="215" t="n"/>
      <c r="AE1309" s="215" t="n"/>
      <c r="AF1309" s="215" t="n"/>
      <c r="AG1309" s="215" t="n"/>
      <c r="AH1309" s="215" t="n"/>
      <c r="AI1309" s="215" t="n"/>
      <c r="AJ1309" s="215" t="n"/>
      <c r="AK1309" s="216" t="n"/>
    </row>
    <row r="1310" ht="15" customHeight="1">
      <c r="B1310" s="134" t="n"/>
      <c r="C1310" s="105" t="n"/>
      <c r="D1310" s="105" t="n"/>
      <c r="E1310" s="105" t="n"/>
      <c r="F1310" s="105" t="n"/>
      <c r="G1310" s="105" t="n"/>
      <c r="H1310" s="2" t="n"/>
      <c r="I1310" s="105" t="n"/>
      <c r="K1310" s="215" t="n"/>
      <c r="L1310" s="215" t="n"/>
      <c r="M1310" s="215" t="n"/>
      <c r="N1310" s="215" t="n"/>
      <c r="O1310" s="215" t="n"/>
      <c r="P1310" s="215" t="n"/>
      <c r="Q1310" s="215" t="n"/>
      <c r="R1310" s="215" t="n"/>
      <c r="S1310" s="215" t="n"/>
      <c r="T1310" s="215" t="n"/>
      <c r="U1310" s="215" t="n"/>
      <c r="V1310" s="215" t="n"/>
      <c r="W1310" s="215" t="n"/>
      <c r="X1310" s="215" t="n"/>
      <c r="Y1310" s="215" t="n"/>
      <c r="Z1310" s="215" t="n"/>
      <c r="AA1310" s="215" t="n"/>
      <c r="AB1310" s="215" t="n"/>
      <c r="AC1310" s="215" t="n"/>
      <c r="AD1310" s="215" t="n"/>
      <c r="AE1310" s="215" t="n"/>
      <c r="AF1310" s="215" t="n"/>
      <c r="AG1310" s="215" t="n"/>
      <c r="AH1310" s="215" t="n"/>
      <c r="AI1310" s="215" t="n"/>
      <c r="AJ1310" s="215" t="n"/>
      <c r="AK1310" s="216" t="n"/>
    </row>
    <row r="1311" ht="15" customHeight="1">
      <c r="B1311" s="134" t="n"/>
      <c r="C1311" s="105" t="n"/>
      <c r="D1311" s="105" t="n"/>
      <c r="E1311" s="105" t="n"/>
      <c r="F1311" s="105" t="n"/>
      <c r="G1311" s="105" t="n"/>
      <c r="H1311" s="2" t="n"/>
      <c r="I1311" s="105" t="n"/>
      <c r="K1311" s="215" t="n"/>
      <c r="L1311" s="215" t="n"/>
      <c r="M1311" s="215" t="n"/>
      <c r="N1311" s="215" t="n"/>
      <c r="O1311" s="215" t="n"/>
      <c r="P1311" s="215" t="n"/>
      <c r="Q1311" s="215" t="n"/>
      <c r="R1311" s="215" t="n"/>
      <c r="S1311" s="215" t="n"/>
      <c r="T1311" s="215" t="n"/>
      <c r="U1311" s="215" t="n"/>
      <c r="V1311" s="215" t="n"/>
      <c r="W1311" s="215" t="n"/>
      <c r="X1311" s="215" t="n"/>
      <c r="Y1311" s="215" t="n"/>
      <c r="Z1311" s="215" t="n"/>
      <c r="AA1311" s="215" t="n"/>
      <c r="AB1311" s="215" t="n"/>
      <c r="AC1311" s="215" t="n"/>
      <c r="AD1311" s="215" t="n"/>
      <c r="AE1311" s="215" t="n"/>
      <c r="AF1311" s="215" t="n"/>
      <c r="AG1311" s="215" t="n"/>
      <c r="AH1311" s="215" t="n"/>
      <c r="AI1311" s="215" t="n"/>
      <c r="AJ1311" s="215" t="n"/>
      <c r="AK1311" s="216" t="n"/>
    </row>
    <row r="1312" ht="15" customHeight="1">
      <c r="B1312" s="134" t="n"/>
      <c r="C1312" s="105" t="n"/>
      <c r="D1312" s="105" t="n"/>
      <c r="E1312" s="105" t="n"/>
      <c r="F1312" s="105" t="n"/>
      <c r="G1312" s="105" t="n"/>
      <c r="H1312" s="2" t="n"/>
      <c r="I1312" s="105" t="n"/>
      <c r="K1312" s="215" t="n"/>
      <c r="L1312" s="215" t="n"/>
      <c r="M1312" s="215" t="n"/>
      <c r="N1312" s="215" t="n"/>
      <c r="O1312" s="215" t="n"/>
      <c r="P1312" s="215" t="n"/>
      <c r="Q1312" s="215" t="n"/>
      <c r="R1312" s="215" t="n"/>
      <c r="S1312" s="215" t="n"/>
      <c r="T1312" s="215" t="n"/>
      <c r="U1312" s="215" t="n"/>
      <c r="V1312" s="215" t="n"/>
      <c r="W1312" s="215" t="n"/>
      <c r="X1312" s="215" t="n"/>
      <c r="Y1312" s="215" t="n"/>
      <c r="Z1312" s="215" t="n"/>
      <c r="AA1312" s="215" t="n"/>
      <c r="AB1312" s="215" t="n"/>
      <c r="AC1312" s="215" t="n"/>
      <c r="AD1312" s="215" t="n"/>
      <c r="AE1312" s="215" t="n"/>
      <c r="AF1312" s="215" t="n"/>
      <c r="AG1312" s="215" t="n"/>
      <c r="AH1312" s="215" t="n"/>
      <c r="AI1312" s="215" t="n"/>
      <c r="AJ1312" s="215" t="n"/>
      <c r="AK1312" s="216" t="n"/>
    </row>
    <row r="1313" ht="15" customHeight="1">
      <c r="B1313" s="134" t="n"/>
      <c r="C1313" s="105" t="n"/>
      <c r="D1313" s="105" t="n"/>
      <c r="E1313" s="105" t="n"/>
      <c r="F1313" s="105" t="n"/>
      <c r="G1313" s="105" t="n"/>
      <c r="H1313" s="2" t="n"/>
      <c r="I1313" s="105" t="n"/>
      <c r="K1313" s="215" t="n"/>
      <c r="L1313" s="215" t="n"/>
      <c r="M1313" s="215" t="n"/>
      <c r="N1313" s="215" t="n"/>
      <c r="O1313" s="215" t="n"/>
      <c r="P1313" s="215" t="n"/>
      <c r="Q1313" s="215" t="n"/>
      <c r="R1313" s="215" t="n"/>
      <c r="S1313" s="215" t="n"/>
      <c r="T1313" s="215" t="n"/>
      <c r="U1313" s="215" t="n"/>
      <c r="V1313" s="215" t="n"/>
      <c r="W1313" s="215" t="n"/>
      <c r="X1313" s="215" t="n"/>
      <c r="Y1313" s="215" t="n"/>
      <c r="Z1313" s="215" t="n"/>
      <c r="AA1313" s="215" t="n"/>
      <c r="AB1313" s="215" t="n"/>
      <c r="AC1313" s="215" t="n"/>
      <c r="AD1313" s="215" t="n"/>
      <c r="AE1313" s="215" t="n"/>
      <c r="AF1313" s="215" t="n"/>
      <c r="AG1313" s="215" t="n"/>
      <c r="AH1313" s="215" t="n"/>
      <c r="AI1313" s="215" t="n"/>
      <c r="AJ1313" s="215" t="n"/>
      <c r="AK1313" s="216" t="n"/>
    </row>
    <row r="1314" ht="15" customHeight="1">
      <c r="B1314" s="134" t="n"/>
      <c r="C1314" s="105" t="n"/>
      <c r="D1314" s="105" t="n"/>
      <c r="E1314" s="105" t="n"/>
      <c r="F1314" s="105" t="n"/>
      <c r="G1314" s="105" t="n"/>
      <c r="H1314" s="2" t="n"/>
      <c r="I1314" s="105" t="n"/>
      <c r="K1314" s="215" t="n"/>
      <c r="L1314" s="215" t="n"/>
      <c r="M1314" s="215" t="n"/>
      <c r="N1314" s="215" t="n"/>
      <c r="O1314" s="215" t="n"/>
      <c r="P1314" s="215" t="n"/>
      <c r="Q1314" s="215" t="n"/>
      <c r="R1314" s="215" t="n"/>
      <c r="S1314" s="215" t="n"/>
      <c r="T1314" s="215" t="n"/>
      <c r="U1314" s="215" t="n"/>
      <c r="V1314" s="215" t="n"/>
      <c r="W1314" s="215" t="n"/>
      <c r="X1314" s="215" t="n"/>
      <c r="Y1314" s="215" t="n"/>
      <c r="Z1314" s="215" t="n"/>
      <c r="AA1314" s="215" t="n"/>
      <c r="AB1314" s="215" t="n"/>
      <c r="AC1314" s="215" t="n"/>
      <c r="AD1314" s="215" t="n"/>
      <c r="AE1314" s="215" t="n"/>
      <c r="AF1314" s="215" t="n"/>
      <c r="AG1314" s="215" t="n"/>
      <c r="AH1314" s="215" t="n"/>
      <c r="AI1314" s="215" t="n"/>
      <c r="AJ1314" s="215" t="n"/>
      <c r="AK1314" s="216" t="n"/>
    </row>
    <row r="1315" ht="15" customHeight="1">
      <c r="B1315" s="134" t="n"/>
      <c r="C1315" s="105" t="n"/>
      <c r="D1315" s="105" t="n"/>
      <c r="E1315" s="105" t="n"/>
      <c r="F1315" s="105" t="n"/>
      <c r="G1315" s="105" t="n"/>
      <c r="H1315" s="2" t="n"/>
      <c r="I1315" s="105" t="n"/>
      <c r="K1315" s="215" t="n"/>
      <c r="L1315" s="215" t="n"/>
      <c r="M1315" s="215" t="n"/>
      <c r="N1315" s="215" t="n"/>
      <c r="O1315" s="215" t="n"/>
      <c r="P1315" s="215" t="n"/>
      <c r="Q1315" s="215" t="n"/>
      <c r="R1315" s="215" t="n"/>
      <c r="S1315" s="215" t="n"/>
      <c r="T1315" s="215" t="n"/>
      <c r="U1315" s="215" t="n"/>
      <c r="V1315" s="215" t="n"/>
      <c r="W1315" s="215" t="n"/>
      <c r="X1315" s="215" t="n"/>
      <c r="Y1315" s="215" t="n"/>
      <c r="Z1315" s="215" t="n"/>
      <c r="AA1315" s="215" t="n"/>
      <c r="AB1315" s="215" t="n"/>
      <c r="AC1315" s="215" t="n"/>
      <c r="AD1315" s="215" t="n"/>
      <c r="AE1315" s="215" t="n"/>
      <c r="AF1315" s="215" t="n"/>
      <c r="AG1315" s="215" t="n"/>
      <c r="AH1315" s="215" t="n"/>
      <c r="AI1315" s="215" t="n"/>
      <c r="AJ1315" s="215" t="n"/>
      <c r="AK1315" s="216" t="n"/>
    </row>
    <row r="1316" ht="15" customHeight="1">
      <c r="B1316" s="134" t="n"/>
      <c r="C1316" s="105" t="n"/>
      <c r="D1316" s="105" t="n"/>
      <c r="E1316" s="105" t="n"/>
      <c r="F1316" s="105" t="n"/>
      <c r="G1316" s="105" t="n"/>
      <c r="H1316" s="2" t="n"/>
      <c r="I1316" s="105" t="n"/>
      <c r="K1316" s="215" t="n"/>
      <c r="L1316" s="215" t="n"/>
      <c r="M1316" s="215" t="n"/>
      <c r="N1316" s="215" t="n"/>
      <c r="O1316" s="215" t="n"/>
      <c r="P1316" s="215" t="n"/>
      <c r="Q1316" s="215" t="n"/>
      <c r="R1316" s="215" t="n"/>
      <c r="S1316" s="215" t="n"/>
      <c r="T1316" s="215" t="n"/>
      <c r="U1316" s="215" t="n"/>
      <c r="V1316" s="215" t="n"/>
      <c r="W1316" s="215" t="n"/>
      <c r="X1316" s="215" t="n"/>
      <c r="Y1316" s="215" t="n"/>
      <c r="Z1316" s="215" t="n"/>
      <c r="AA1316" s="215" t="n"/>
      <c r="AB1316" s="215" t="n"/>
      <c r="AC1316" s="215" t="n"/>
      <c r="AD1316" s="215" t="n"/>
      <c r="AE1316" s="215" t="n"/>
      <c r="AF1316" s="215" t="n"/>
      <c r="AG1316" s="215" t="n"/>
      <c r="AH1316" s="215" t="n"/>
      <c r="AI1316" s="215" t="n"/>
      <c r="AJ1316" s="215" t="n"/>
      <c r="AK1316" s="216" t="n"/>
    </row>
    <row r="1317" ht="15" customHeight="1">
      <c r="B1317" s="134" t="n"/>
      <c r="C1317" s="105" t="n"/>
      <c r="D1317" s="105" t="n"/>
      <c r="E1317" s="105" t="n"/>
      <c r="F1317" s="105" t="n"/>
      <c r="G1317" s="105" t="n"/>
      <c r="H1317" s="2" t="n"/>
      <c r="I1317" s="105" t="n"/>
      <c r="K1317" s="215" t="n"/>
      <c r="L1317" s="215" t="n"/>
      <c r="M1317" s="215" t="n"/>
      <c r="N1317" s="215" t="n"/>
      <c r="O1317" s="215" t="n"/>
      <c r="P1317" s="215" t="n"/>
      <c r="Q1317" s="215" t="n"/>
      <c r="R1317" s="215" t="n"/>
      <c r="S1317" s="215" t="n"/>
      <c r="T1317" s="215" t="n"/>
      <c r="U1317" s="215" t="n"/>
      <c r="V1317" s="215" t="n"/>
      <c r="W1317" s="215" t="n"/>
      <c r="X1317" s="215" t="n"/>
      <c r="Y1317" s="215" t="n"/>
      <c r="Z1317" s="215" t="n"/>
      <c r="AA1317" s="215" t="n"/>
      <c r="AB1317" s="215" t="n"/>
      <c r="AC1317" s="215" t="n"/>
      <c r="AD1317" s="215" t="n"/>
      <c r="AE1317" s="215" t="n"/>
      <c r="AF1317" s="215" t="n"/>
      <c r="AG1317" s="215" t="n"/>
      <c r="AH1317" s="215" t="n"/>
      <c r="AI1317" s="215" t="n"/>
      <c r="AJ1317" s="215" t="n"/>
      <c r="AK1317" s="216" t="n"/>
    </row>
    <row r="1318" ht="15" customHeight="1">
      <c r="B1318" s="134" t="n"/>
      <c r="C1318" s="105" t="n"/>
      <c r="D1318" s="105" t="n"/>
      <c r="E1318" s="105" t="n"/>
      <c r="F1318" s="105" t="n"/>
      <c r="G1318" s="105" t="n"/>
      <c r="H1318" s="2" t="n"/>
      <c r="I1318" s="105" t="n"/>
      <c r="K1318" s="215" t="n"/>
      <c r="L1318" s="215" t="n"/>
      <c r="M1318" s="215" t="n"/>
      <c r="N1318" s="215" t="n"/>
      <c r="O1318" s="215" t="n"/>
      <c r="P1318" s="215" t="n"/>
      <c r="Q1318" s="215" t="n"/>
      <c r="R1318" s="215" t="n"/>
      <c r="S1318" s="215" t="n"/>
      <c r="T1318" s="215" t="n"/>
      <c r="U1318" s="215" t="n"/>
      <c r="V1318" s="215" t="n"/>
      <c r="W1318" s="215" t="n"/>
      <c r="X1318" s="215" t="n"/>
      <c r="Y1318" s="215" t="n"/>
      <c r="Z1318" s="215" t="n"/>
      <c r="AA1318" s="215" t="n"/>
      <c r="AB1318" s="215" t="n"/>
      <c r="AC1318" s="215" t="n"/>
      <c r="AD1318" s="215" t="n"/>
      <c r="AE1318" s="215" t="n"/>
      <c r="AF1318" s="215" t="n"/>
      <c r="AG1318" s="215" t="n"/>
      <c r="AH1318" s="215" t="n"/>
      <c r="AI1318" s="215" t="n"/>
      <c r="AJ1318" s="215" t="n"/>
      <c r="AK1318" s="216" t="n"/>
    </row>
    <row r="1319" ht="15" customHeight="1">
      <c r="B1319" s="134" t="n"/>
      <c r="C1319" s="105" t="n"/>
      <c r="D1319" s="105" t="n"/>
      <c r="E1319" s="105" t="n"/>
      <c r="F1319" s="105" t="n"/>
      <c r="G1319" s="105" t="n"/>
      <c r="H1319" s="2" t="n"/>
      <c r="I1319" s="105" t="n"/>
      <c r="K1319" s="215" t="n"/>
      <c r="L1319" s="215" t="n"/>
      <c r="M1319" s="215" t="n"/>
      <c r="N1319" s="215" t="n"/>
      <c r="O1319" s="215" t="n"/>
      <c r="P1319" s="215" t="n"/>
      <c r="Q1319" s="215" t="n"/>
      <c r="R1319" s="215" t="n"/>
      <c r="S1319" s="215" t="n"/>
      <c r="T1319" s="215" t="n"/>
      <c r="U1319" s="215" t="n"/>
      <c r="V1319" s="215" t="n"/>
      <c r="W1319" s="215" t="n"/>
      <c r="X1319" s="215" t="n"/>
      <c r="Y1319" s="215" t="n"/>
      <c r="Z1319" s="215" t="n"/>
      <c r="AA1319" s="215" t="n"/>
      <c r="AB1319" s="215" t="n"/>
      <c r="AC1319" s="215" t="n"/>
      <c r="AD1319" s="215" t="n"/>
      <c r="AE1319" s="215" t="n"/>
      <c r="AF1319" s="215" t="n"/>
      <c r="AG1319" s="215" t="n"/>
      <c r="AH1319" s="215" t="n"/>
      <c r="AI1319" s="215" t="n"/>
      <c r="AJ1319" s="215" t="n"/>
      <c r="AK1319" s="216" t="n"/>
    </row>
    <row r="1320" ht="15" customHeight="1">
      <c r="B1320" s="134" t="n"/>
      <c r="C1320" s="105" t="n"/>
      <c r="D1320" s="105" t="n"/>
      <c r="E1320" s="105" t="n"/>
      <c r="F1320" s="105" t="n"/>
      <c r="G1320" s="105" t="n"/>
      <c r="H1320" s="2" t="n"/>
      <c r="I1320" s="105" t="n"/>
      <c r="K1320" s="215" t="n"/>
      <c r="L1320" s="215" t="n"/>
      <c r="M1320" s="215" t="n"/>
      <c r="N1320" s="215" t="n"/>
      <c r="O1320" s="215" t="n"/>
      <c r="P1320" s="215" t="n"/>
      <c r="Q1320" s="215" t="n"/>
      <c r="R1320" s="215" t="n"/>
      <c r="S1320" s="215" t="n"/>
      <c r="T1320" s="215" t="n"/>
      <c r="U1320" s="215" t="n"/>
      <c r="V1320" s="215" t="n"/>
      <c r="W1320" s="215" t="n"/>
      <c r="X1320" s="215" t="n"/>
      <c r="Y1320" s="215" t="n"/>
      <c r="Z1320" s="215" t="n"/>
      <c r="AA1320" s="215" t="n"/>
      <c r="AB1320" s="215" t="n"/>
      <c r="AC1320" s="215" t="n"/>
      <c r="AD1320" s="215" t="n"/>
      <c r="AE1320" s="215" t="n"/>
      <c r="AF1320" s="215" t="n"/>
      <c r="AG1320" s="215" t="n"/>
      <c r="AH1320" s="215" t="n"/>
      <c r="AI1320" s="215" t="n"/>
      <c r="AJ1320" s="215" t="n"/>
      <c r="AK1320" s="216" t="n"/>
    </row>
    <row r="1321" ht="15" customHeight="1">
      <c r="B1321" s="134" t="n"/>
      <c r="C1321" s="105" t="n"/>
      <c r="D1321" s="105" t="n"/>
      <c r="E1321" s="105" t="n"/>
      <c r="F1321" s="105" t="n"/>
      <c r="G1321" s="105" t="n"/>
      <c r="H1321" s="2" t="n"/>
      <c r="I1321" s="105" t="n"/>
      <c r="K1321" s="215" t="n"/>
      <c r="L1321" s="215" t="n"/>
      <c r="M1321" s="215" t="n"/>
      <c r="N1321" s="215" t="n"/>
      <c r="O1321" s="215" t="n"/>
      <c r="P1321" s="215" t="n"/>
      <c r="Q1321" s="215" t="n"/>
      <c r="R1321" s="215" t="n"/>
      <c r="S1321" s="215" t="n"/>
      <c r="T1321" s="215" t="n"/>
      <c r="U1321" s="215" t="n"/>
      <c r="V1321" s="215" t="n"/>
      <c r="W1321" s="215" t="n"/>
      <c r="X1321" s="215" t="n"/>
      <c r="Y1321" s="215" t="n"/>
      <c r="Z1321" s="215" t="n"/>
      <c r="AA1321" s="215" t="n"/>
      <c r="AB1321" s="215" t="n"/>
      <c r="AC1321" s="215" t="n"/>
      <c r="AD1321" s="215" t="n"/>
      <c r="AE1321" s="215" t="n"/>
      <c r="AF1321" s="215" t="n"/>
      <c r="AG1321" s="215" t="n"/>
      <c r="AH1321" s="215" t="n"/>
      <c r="AI1321" s="215" t="n"/>
      <c r="AJ1321" s="215" t="n"/>
      <c r="AK1321" s="216" t="n"/>
    </row>
    <row r="1322" ht="15" customHeight="1">
      <c r="B1322" s="134" t="n"/>
      <c r="C1322" s="105" t="n"/>
      <c r="D1322" s="105" t="n"/>
      <c r="E1322" s="105" t="n"/>
      <c r="F1322" s="105" t="n"/>
      <c r="G1322" s="105" t="n"/>
      <c r="H1322" s="2" t="n"/>
      <c r="I1322" s="105" t="n"/>
      <c r="K1322" s="215" t="n"/>
      <c r="L1322" s="215" t="n"/>
      <c r="M1322" s="215" t="n"/>
      <c r="N1322" s="215" t="n"/>
      <c r="O1322" s="215" t="n"/>
      <c r="P1322" s="215" t="n"/>
      <c r="Q1322" s="215" t="n"/>
      <c r="R1322" s="215" t="n"/>
      <c r="S1322" s="215" t="n"/>
      <c r="T1322" s="215" t="n"/>
      <c r="U1322" s="215" t="n"/>
      <c r="V1322" s="215" t="n"/>
      <c r="W1322" s="215" t="n"/>
      <c r="X1322" s="215" t="n"/>
      <c r="Y1322" s="215" t="n"/>
      <c r="Z1322" s="215" t="n"/>
      <c r="AA1322" s="215" t="n"/>
      <c r="AB1322" s="215" t="n"/>
      <c r="AC1322" s="215" t="n"/>
      <c r="AD1322" s="215" t="n"/>
      <c r="AE1322" s="215" t="n"/>
      <c r="AF1322" s="215" t="n"/>
      <c r="AG1322" s="215" t="n"/>
      <c r="AH1322" s="215" t="n"/>
      <c r="AI1322" s="215" t="n"/>
      <c r="AJ1322" s="215" t="n"/>
      <c r="AK1322" s="216" t="n"/>
    </row>
    <row r="1323" ht="15" customHeight="1">
      <c r="B1323" s="134" t="n"/>
      <c r="C1323" s="105" t="n"/>
      <c r="D1323" s="105" t="n"/>
      <c r="E1323" s="105" t="n"/>
      <c r="F1323" s="105" t="n"/>
      <c r="G1323" s="105" t="n"/>
      <c r="H1323" s="2" t="n"/>
      <c r="I1323" s="105" t="n"/>
      <c r="K1323" s="215" t="n"/>
      <c r="L1323" s="215" t="n"/>
      <c r="M1323" s="215" t="n"/>
      <c r="N1323" s="215" t="n"/>
      <c r="O1323" s="215" t="n"/>
      <c r="P1323" s="215" t="n"/>
      <c r="Q1323" s="215" t="n"/>
      <c r="R1323" s="215" t="n"/>
      <c r="S1323" s="215" t="n"/>
      <c r="T1323" s="215" t="n"/>
      <c r="U1323" s="215" t="n"/>
      <c r="V1323" s="215" t="n"/>
      <c r="W1323" s="215" t="n"/>
      <c r="X1323" s="215" t="n"/>
      <c r="Y1323" s="215" t="n"/>
      <c r="Z1323" s="215" t="n"/>
      <c r="AA1323" s="215" t="n"/>
      <c r="AB1323" s="215" t="n"/>
      <c r="AC1323" s="215" t="n"/>
      <c r="AD1323" s="215" t="n"/>
      <c r="AE1323" s="215" t="n"/>
      <c r="AF1323" s="215" t="n"/>
      <c r="AG1323" s="215" t="n"/>
      <c r="AH1323" s="215" t="n"/>
      <c r="AI1323" s="215" t="n"/>
      <c r="AJ1323" s="215" t="n"/>
      <c r="AK1323" s="216" t="n"/>
    </row>
    <row r="1324" ht="15" customHeight="1">
      <c r="B1324" s="134" t="n"/>
      <c r="C1324" s="105" t="n"/>
      <c r="D1324" s="105" t="n"/>
      <c r="E1324" s="105" t="n"/>
      <c r="F1324" s="105" t="n"/>
      <c r="G1324" s="105" t="n"/>
      <c r="H1324" s="2" t="n"/>
      <c r="I1324" s="105" t="n"/>
      <c r="K1324" s="215" t="n"/>
      <c r="L1324" s="215" t="n"/>
      <c r="M1324" s="215" t="n"/>
      <c r="N1324" s="215" t="n"/>
      <c r="O1324" s="215" t="n"/>
      <c r="P1324" s="215" t="n"/>
      <c r="Q1324" s="215" t="n"/>
      <c r="R1324" s="215" t="n"/>
      <c r="S1324" s="215" t="n"/>
      <c r="T1324" s="215" t="n"/>
      <c r="U1324" s="215" t="n"/>
      <c r="V1324" s="215" t="n"/>
      <c r="W1324" s="215" t="n"/>
      <c r="X1324" s="215" t="n"/>
      <c r="Y1324" s="215" t="n"/>
      <c r="Z1324" s="215" t="n"/>
      <c r="AA1324" s="215" t="n"/>
      <c r="AB1324" s="215" t="n"/>
      <c r="AC1324" s="215" t="n"/>
      <c r="AD1324" s="215" t="n"/>
      <c r="AE1324" s="215" t="n"/>
      <c r="AF1324" s="215" t="n"/>
      <c r="AG1324" s="215" t="n"/>
      <c r="AH1324" s="215" t="n"/>
      <c r="AI1324" s="215" t="n"/>
      <c r="AJ1324" s="215" t="n"/>
      <c r="AK1324" s="216" t="n"/>
    </row>
    <row r="1325" ht="15" customHeight="1">
      <c r="B1325" s="134" t="n"/>
      <c r="C1325" s="105" t="n"/>
      <c r="D1325" s="105" t="n"/>
      <c r="E1325" s="105" t="n"/>
      <c r="F1325" s="105" t="n"/>
      <c r="G1325" s="105" t="n"/>
      <c r="H1325" s="2" t="n"/>
      <c r="I1325" s="105" t="n"/>
      <c r="K1325" s="215" t="n"/>
      <c r="L1325" s="215" t="n"/>
      <c r="M1325" s="215" t="n"/>
      <c r="N1325" s="215" t="n"/>
      <c r="O1325" s="215" t="n"/>
      <c r="P1325" s="215" t="n"/>
      <c r="Q1325" s="215" t="n"/>
      <c r="R1325" s="215" t="n"/>
      <c r="S1325" s="215" t="n"/>
      <c r="T1325" s="215" t="n"/>
      <c r="U1325" s="215" t="n"/>
      <c r="V1325" s="215" t="n"/>
      <c r="W1325" s="215" t="n"/>
      <c r="X1325" s="215" t="n"/>
      <c r="Y1325" s="215" t="n"/>
      <c r="Z1325" s="215" t="n"/>
      <c r="AA1325" s="215" t="n"/>
      <c r="AB1325" s="215" t="n"/>
      <c r="AC1325" s="215" t="n"/>
      <c r="AD1325" s="215" t="n"/>
      <c r="AE1325" s="215" t="n"/>
      <c r="AF1325" s="215" t="n"/>
      <c r="AG1325" s="215" t="n"/>
      <c r="AH1325" s="215" t="n"/>
      <c r="AI1325" s="215" t="n"/>
      <c r="AJ1325" s="215" t="n"/>
      <c r="AK1325" s="216" t="n"/>
    </row>
    <row r="1326" ht="15" customHeight="1">
      <c r="B1326" s="134" t="n"/>
      <c r="C1326" s="105" t="n"/>
      <c r="D1326" s="105" t="n"/>
      <c r="E1326" s="105" t="n"/>
      <c r="F1326" s="105" t="n"/>
      <c r="G1326" s="105" t="n"/>
      <c r="H1326" s="2" t="n"/>
      <c r="I1326" s="105" t="n"/>
      <c r="K1326" s="215" t="n"/>
      <c r="L1326" s="215" t="n"/>
      <c r="M1326" s="215" t="n"/>
      <c r="N1326" s="215" t="n"/>
      <c r="O1326" s="215" t="n"/>
      <c r="P1326" s="215" t="n"/>
      <c r="Q1326" s="215" t="n"/>
      <c r="R1326" s="215" t="n"/>
      <c r="S1326" s="215" t="n"/>
      <c r="T1326" s="215" t="n"/>
      <c r="U1326" s="215" t="n"/>
      <c r="V1326" s="215" t="n"/>
      <c r="W1326" s="215" t="n"/>
      <c r="X1326" s="215" t="n"/>
      <c r="Y1326" s="215" t="n"/>
      <c r="Z1326" s="215" t="n"/>
      <c r="AA1326" s="215" t="n"/>
      <c r="AB1326" s="215" t="n"/>
      <c r="AC1326" s="215" t="n"/>
      <c r="AD1326" s="215" t="n"/>
      <c r="AE1326" s="215" t="n"/>
      <c r="AF1326" s="215" t="n"/>
      <c r="AG1326" s="215" t="n"/>
      <c r="AH1326" s="215" t="n"/>
      <c r="AI1326" s="215" t="n"/>
      <c r="AJ1326" s="215" t="n"/>
      <c r="AK1326" s="216" t="n"/>
    </row>
    <row r="1327" ht="15" customHeight="1">
      <c r="B1327" s="134" t="n"/>
      <c r="C1327" s="105" t="n"/>
      <c r="D1327" s="105" t="n"/>
      <c r="E1327" s="105" t="n"/>
      <c r="F1327" s="105" t="n"/>
      <c r="G1327" s="105" t="n"/>
      <c r="H1327" s="2" t="n"/>
      <c r="I1327" s="105" t="n"/>
      <c r="K1327" s="215" t="n"/>
      <c r="L1327" s="215" t="n"/>
      <c r="M1327" s="215" t="n"/>
      <c r="N1327" s="215" t="n"/>
      <c r="O1327" s="215" t="n"/>
      <c r="P1327" s="215" t="n"/>
      <c r="Q1327" s="215" t="n"/>
      <c r="R1327" s="215" t="n"/>
      <c r="S1327" s="215" t="n"/>
      <c r="T1327" s="215" t="n"/>
      <c r="U1327" s="215" t="n"/>
      <c r="V1327" s="215" t="n"/>
      <c r="W1327" s="215" t="n"/>
      <c r="X1327" s="215" t="n"/>
      <c r="Y1327" s="215" t="n"/>
      <c r="Z1327" s="215" t="n"/>
      <c r="AA1327" s="215" t="n"/>
      <c r="AB1327" s="215" t="n"/>
      <c r="AC1327" s="215" t="n"/>
      <c r="AD1327" s="215" t="n"/>
      <c r="AE1327" s="215" t="n"/>
      <c r="AF1327" s="215" t="n"/>
      <c r="AG1327" s="215" t="n"/>
      <c r="AH1327" s="215" t="n"/>
      <c r="AI1327" s="215" t="n"/>
      <c r="AJ1327" s="215" t="n"/>
      <c r="AK1327" s="216" t="n"/>
    </row>
    <row r="1328" ht="15" customHeight="1">
      <c r="B1328" s="134" t="n"/>
      <c r="C1328" s="105" t="n"/>
      <c r="D1328" s="105" t="n"/>
      <c r="E1328" s="105" t="n"/>
      <c r="F1328" s="105" t="n"/>
      <c r="G1328" s="105" t="n"/>
      <c r="H1328" s="2" t="n"/>
      <c r="I1328" s="105" t="n"/>
      <c r="K1328" s="215" t="n"/>
      <c r="L1328" s="215" t="n"/>
      <c r="M1328" s="215" t="n"/>
      <c r="N1328" s="215" t="n"/>
      <c r="O1328" s="215" t="n"/>
      <c r="P1328" s="215" t="n"/>
      <c r="Q1328" s="215" t="n"/>
      <c r="R1328" s="215" t="n"/>
      <c r="S1328" s="215" t="n"/>
      <c r="T1328" s="215" t="n"/>
      <c r="U1328" s="215" t="n"/>
      <c r="V1328" s="215" t="n"/>
      <c r="W1328" s="215" t="n"/>
      <c r="X1328" s="215" t="n"/>
      <c r="Y1328" s="215" t="n"/>
      <c r="Z1328" s="215" t="n"/>
      <c r="AA1328" s="215" t="n"/>
      <c r="AB1328" s="215" t="n"/>
      <c r="AC1328" s="215" t="n"/>
      <c r="AD1328" s="215" t="n"/>
      <c r="AE1328" s="215" t="n"/>
      <c r="AF1328" s="215" t="n"/>
      <c r="AG1328" s="215" t="n"/>
      <c r="AH1328" s="215" t="n"/>
      <c r="AI1328" s="215" t="n"/>
      <c r="AJ1328" s="215" t="n"/>
      <c r="AK1328" s="216" t="n"/>
    </row>
    <row r="1329" ht="15" customHeight="1">
      <c r="B1329" s="134" t="n"/>
      <c r="C1329" s="105" t="n"/>
      <c r="D1329" s="105" t="n"/>
      <c r="E1329" s="105" t="n"/>
      <c r="F1329" s="105" t="n"/>
      <c r="G1329" s="105" t="n"/>
      <c r="H1329" s="2" t="n"/>
      <c r="I1329" s="105" t="n"/>
      <c r="K1329" s="215" t="n"/>
      <c r="L1329" s="215" t="n"/>
      <c r="M1329" s="215" t="n"/>
      <c r="N1329" s="215" t="n"/>
      <c r="O1329" s="215" t="n"/>
      <c r="P1329" s="215" t="n"/>
      <c r="Q1329" s="215" t="n"/>
      <c r="R1329" s="215" t="n"/>
      <c r="S1329" s="215" t="n"/>
      <c r="T1329" s="215" t="n"/>
      <c r="U1329" s="215" t="n"/>
      <c r="V1329" s="215" t="n"/>
      <c r="W1329" s="215" t="n"/>
      <c r="X1329" s="215" t="n"/>
      <c r="Y1329" s="215" t="n"/>
      <c r="Z1329" s="215" t="n"/>
      <c r="AA1329" s="215" t="n"/>
      <c r="AB1329" s="215" t="n"/>
      <c r="AC1329" s="215" t="n"/>
      <c r="AD1329" s="215" t="n"/>
      <c r="AE1329" s="215" t="n"/>
      <c r="AF1329" s="215" t="n"/>
      <c r="AG1329" s="215" t="n"/>
      <c r="AH1329" s="215" t="n"/>
      <c r="AI1329" s="215" t="n"/>
      <c r="AJ1329" s="215" t="n"/>
      <c r="AK1329" s="216" t="n"/>
    </row>
    <row r="1330" ht="15" customHeight="1">
      <c r="B1330" s="134" t="n"/>
      <c r="C1330" s="105" t="n"/>
      <c r="D1330" s="105" t="n"/>
      <c r="E1330" s="105" t="n"/>
      <c r="F1330" s="105" t="n"/>
      <c r="G1330" s="105" t="n"/>
      <c r="H1330" s="2" t="n"/>
      <c r="I1330" s="105" t="n"/>
      <c r="K1330" s="215" t="n"/>
      <c r="L1330" s="215" t="n"/>
      <c r="M1330" s="215" t="n"/>
      <c r="N1330" s="215" t="n"/>
      <c r="O1330" s="215" t="n"/>
      <c r="P1330" s="215" t="n"/>
      <c r="Q1330" s="215" t="n"/>
      <c r="R1330" s="215" t="n"/>
      <c r="S1330" s="215" t="n"/>
      <c r="T1330" s="215" t="n"/>
      <c r="U1330" s="215" t="n"/>
      <c r="V1330" s="215" t="n"/>
      <c r="W1330" s="215" t="n"/>
      <c r="X1330" s="215" t="n"/>
      <c r="Y1330" s="215" t="n"/>
      <c r="Z1330" s="215" t="n"/>
      <c r="AA1330" s="215" t="n"/>
      <c r="AB1330" s="215" t="n"/>
      <c r="AC1330" s="215" t="n"/>
      <c r="AD1330" s="215" t="n"/>
      <c r="AE1330" s="215" t="n"/>
      <c r="AF1330" s="215" t="n"/>
      <c r="AG1330" s="215" t="n"/>
      <c r="AH1330" s="215" t="n"/>
      <c r="AI1330" s="215" t="n"/>
      <c r="AJ1330" s="215" t="n"/>
      <c r="AK1330" s="216" t="n"/>
    </row>
    <row r="1331" ht="15" customHeight="1">
      <c r="B1331" s="134" t="n"/>
      <c r="C1331" s="105" t="n"/>
      <c r="D1331" s="105" t="n"/>
      <c r="E1331" s="105" t="n"/>
      <c r="F1331" s="105" t="n"/>
      <c r="G1331" s="105" t="n"/>
      <c r="H1331" s="2" t="n"/>
      <c r="I1331" s="105" t="n"/>
      <c r="K1331" s="215" t="n"/>
      <c r="L1331" s="215" t="n"/>
      <c r="M1331" s="215" t="n"/>
      <c r="N1331" s="215" t="n"/>
      <c r="O1331" s="215" t="n"/>
      <c r="P1331" s="215" t="n"/>
      <c r="Q1331" s="215" t="n"/>
      <c r="R1331" s="215" t="n"/>
      <c r="S1331" s="215" t="n"/>
      <c r="T1331" s="215" t="n"/>
      <c r="U1331" s="215" t="n"/>
      <c r="V1331" s="215" t="n"/>
      <c r="W1331" s="215" t="n"/>
      <c r="X1331" s="215" t="n"/>
      <c r="Y1331" s="215" t="n"/>
      <c r="Z1331" s="215" t="n"/>
      <c r="AA1331" s="215" t="n"/>
      <c r="AB1331" s="215" t="n"/>
      <c r="AC1331" s="215" t="n"/>
      <c r="AD1331" s="215" t="n"/>
      <c r="AE1331" s="215" t="n"/>
      <c r="AF1331" s="215" t="n"/>
      <c r="AG1331" s="215" t="n"/>
      <c r="AH1331" s="215" t="n"/>
      <c r="AI1331" s="215" t="n"/>
      <c r="AJ1331" s="215" t="n"/>
      <c r="AK1331" s="216" t="n"/>
    </row>
    <row r="1332" ht="15" customHeight="1">
      <c r="B1332" s="134" t="n"/>
      <c r="C1332" s="105" t="n"/>
      <c r="D1332" s="105" t="n"/>
      <c r="E1332" s="105" t="n"/>
      <c r="F1332" s="105" t="n"/>
      <c r="G1332" s="105" t="n"/>
      <c r="H1332" s="2" t="n"/>
      <c r="I1332" s="105" t="n"/>
      <c r="K1332" s="215" t="n"/>
      <c r="L1332" s="215" t="n"/>
      <c r="M1332" s="215" t="n"/>
      <c r="N1332" s="215" t="n"/>
      <c r="O1332" s="215" t="n"/>
      <c r="P1332" s="215" t="n"/>
      <c r="Q1332" s="215" t="n"/>
      <c r="R1332" s="215" t="n"/>
      <c r="S1332" s="215" t="n"/>
      <c r="T1332" s="215" t="n"/>
      <c r="U1332" s="215" t="n"/>
      <c r="V1332" s="215" t="n"/>
      <c r="W1332" s="215" t="n"/>
      <c r="X1332" s="215" t="n"/>
      <c r="Y1332" s="215" t="n"/>
      <c r="Z1332" s="215" t="n"/>
      <c r="AA1332" s="215" t="n"/>
      <c r="AB1332" s="215" t="n"/>
      <c r="AC1332" s="215" t="n"/>
      <c r="AD1332" s="215" t="n"/>
      <c r="AE1332" s="215" t="n"/>
      <c r="AF1332" s="215" t="n"/>
      <c r="AG1332" s="215" t="n"/>
      <c r="AH1332" s="215" t="n"/>
      <c r="AI1332" s="215" t="n"/>
      <c r="AJ1332" s="215" t="n"/>
      <c r="AK1332" s="216" t="n"/>
    </row>
    <row r="1333" ht="15" customHeight="1">
      <c r="B1333" s="134" t="n"/>
      <c r="C1333" s="105" t="n"/>
      <c r="D1333" s="105" t="n"/>
      <c r="E1333" s="105" t="n"/>
      <c r="F1333" s="105" t="n"/>
      <c r="G1333" s="105" t="n"/>
      <c r="H1333" s="2" t="n"/>
      <c r="I1333" s="105" t="n"/>
      <c r="K1333" s="215" t="n"/>
      <c r="L1333" s="215" t="n"/>
      <c r="M1333" s="215" t="n"/>
      <c r="N1333" s="215" t="n"/>
      <c r="O1333" s="215" t="n"/>
      <c r="P1333" s="215" t="n"/>
      <c r="Q1333" s="215" t="n"/>
      <c r="R1333" s="215" t="n"/>
      <c r="S1333" s="215" t="n"/>
      <c r="T1333" s="215" t="n"/>
      <c r="U1333" s="215" t="n"/>
      <c r="V1333" s="215" t="n"/>
      <c r="W1333" s="215" t="n"/>
      <c r="X1333" s="215" t="n"/>
      <c r="Y1333" s="215" t="n"/>
      <c r="Z1333" s="215" t="n"/>
      <c r="AA1333" s="215" t="n"/>
      <c r="AB1333" s="215" t="n"/>
      <c r="AC1333" s="215" t="n"/>
      <c r="AD1333" s="215" t="n"/>
      <c r="AE1333" s="215" t="n"/>
      <c r="AF1333" s="215" t="n"/>
      <c r="AG1333" s="215" t="n"/>
      <c r="AH1333" s="215" t="n"/>
      <c r="AI1333" s="215" t="n"/>
      <c r="AJ1333" s="215" t="n"/>
      <c r="AK1333" s="216" t="n"/>
    </row>
    <row r="1334" ht="15" customHeight="1">
      <c r="B1334" s="134" t="n"/>
      <c r="C1334" s="105" t="n"/>
      <c r="D1334" s="105" t="n"/>
      <c r="E1334" s="105" t="n"/>
      <c r="F1334" s="105" t="n"/>
      <c r="G1334" s="105" t="n"/>
      <c r="H1334" s="2" t="n"/>
      <c r="I1334" s="105" t="n"/>
      <c r="K1334" s="215" t="n"/>
      <c r="L1334" s="215" t="n"/>
      <c r="M1334" s="215" t="n"/>
      <c r="N1334" s="215" t="n"/>
      <c r="O1334" s="215" t="n"/>
      <c r="P1334" s="215" t="n"/>
      <c r="Q1334" s="215" t="n"/>
      <c r="R1334" s="215" t="n"/>
      <c r="S1334" s="215" t="n"/>
      <c r="T1334" s="215" t="n"/>
      <c r="U1334" s="215" t="n"/>
      <c r="V1334" s="215" t="n"/>
      <c r="W1334" s="215" t="n"/>
      <c r="X1334" s="215" t="n"/>
      <c r="Y1334" s="215" t="n"/>
      <c r="Z1334" s="215" t="n"/>
      <c r="AA1334" s="215" t="n"/>
      <c r="AB1334" s="215" t="n"/>
      <c r="AC1334" s="215" t="n"/>
      <c r="AD1334" s="215" t="n"/>
      <c r="AE1334" s="215" t="n"/>
      <c r="AF1334" s="215" t="n"/>
      <c r="AG1334" s="215" t="n"/>
      <c r="AH1334" s="215" t="n"/>
      <c r="AI1334" s="215" t="n"/>
      <c r="AJ1334" s="215" t="n"/>
      <c r="AK1334" s="216" t="n"/>
    </row>
    <row r="1335" ht="15" customHeight="1">
      <c r="B1335" s="134" t="n"/>
      <c r="C1335" s="105" t="n"/>
      <c r="D1335" s="105" t="n"/>
      <c r="E1335" s="105" t="n"/>
      <c r="F1335" s="105" t="n"/>
      <c r="G1335" s="105" t="n"/>
      <c r="H1335" s="2" t="n"/>
      <c r="I1335" s="105" t="n"/>
      <c r="K1335" s="215" t="n"/>
      <c r="L1335" s="215" t="n"/>
      <c r="M1335" s="215" t="n"/>
      <c r="N1335" s="215" t="n"/>
      <c r="O1335" s="215" t="n"/>
      <c r="P1335" s="215" t="n"/>
      <c r="Q1335" s="215" t="n"/>
      <c r="R1335" s="215" t="n"/>
      <c r="S1335" s="215" t="n"/>
      <c r="T1335" s="215" t="n"/>
      <c r="U1335" s="215" t="n"/>
      <c r="V1335" s="215" t="n"/>
      <c r="W1335" s="215" t="n"/>
      <c r="X1335" s="215" t="n"/>
      <c r="Y1335" s="215" t="n"/>
      <c r="Z1335" s="215" t="n"/>
      <c r="AA1335" s="215" t="n"/>
      <c r="AB1335" s="215" t="n"/>
      <c r="AC1335" s="215" t="n"/>
      <c r="AD1335" s="215" t="n"/>
      <c r="AE1335" s="215" t="n"/>
      <c r="AF1335" s="215" t="n"/>
      <c r="AG1335" s="215" t="n"/>
      <c r="AH1335" s="215" t="n"/>
      <c r="AI1335" s="215" t="n"/>
      <c r="AJ1335" s="215" t="n"/>
      <c r="AK1335" s="216" t="n"/>
    </row>
    <row r="1336" ht="15" customHeight="1">
      <c r="B1336" s="134" t="n"/>
      <c r="C1336" s="105" t="n"/>
      <c r="D1336" s="105" t="n"/>
      <c r="E1336" s="105" t="n"/>
      <c r="F1336" s="105" t="n"/>
      <c r="G1336" s="105" t="n"/>
      <c r="H1336" s="2" t="n"/>
      <c r="I1336" s="105" t="n"/>
      <c r="K1336" s="215" t="n"/>
      <c r="L1336" s="215" t="n"/>
      <c r="M1336" s="215" t="n"/>
      <c r="N1336" s="215" t="n"/>
      <c r="O1336" s="215" t="n"/>
      <c r="P1336" s="215" t="n"/>
      <c r="Q1336" s="215" t="n"/>
      <c r="R1336" s="215" t="n"/>
      <c r="S1336" s="215" t="n"/>
      <c r="T1336" s="215" t="n"/>
      <c r="U1336" s="215" t="n"/>
      <c r="V1336" s="215" t="n"/>
      <c r="W1336" s="215" t="n"/>
      <c r="X1336" s="215" t="n"/>
      <c r="Y1336" s="215" t="n"/>
      <c r="Z1336" s="215" t="n"/>
      <c r="AA1336" s="215" t="n"/>
      <c r="AB1336" s="215" t="n"/>
      <c r="AC1336" s="215" t="n"/>
      <c r="AD1336" s="215" t="n"/>
      <c r="AE1336" s="215" t="n"/>
      <c r="AF1336" s="215" t="n"/>
      <c r="AG1336" s="215" t="n"/>
      <c r="AH1336" s="215" t="n"/>
      <c r="AI1336" s="215" t="n"/>
      <c r="AJ1336" s="215" t="n"/>
      <c r="AK1336" s="216" t="n"/>
    </row>
    <row r="1337" ht="15" customHeight="1">
      <c r="B1337" s="134" t="n"/>
      <c r="C1337" s="105" t="n"/>
      <c r="D1337" s="105" t="n"/>
      <c r="E1337" s="105" t="n"/>
      <c r="F1337" s="105" t="n"/>
      <c r="G1337" s="105" t="n"/>
      <c r="H1337" s="2" t="n"/>
      <c r="I1337" s="105" t="n"/>
      <c r="K1337" s="215" t="n"/>
      <c r="L1337" s="215" t="n"/>
      <c r="M1337" s="215" t="n"/>
      <c r="N1337" s="215" t="n"/>
      <c r="O1337" s="215" t="n"/>
      <c r="P1337" s="215" t="n"/>
      <c r="Q1337" s="215" t="n"/>
      <c r="R1337" s="215" t="n"/>
      <c r="S1337" s="215" t="n"/>
      <c r="T1337" s="215" t="n"/>
      <c r="U1337" s="215" t="n"/>
      <c r="V1337" s="215" t="n"/>
      <c r="W1337" s="215" t="n"/>
      <c r="X1337" s="215" t="n"/>
      <c r="Y1337" s="215" t="n"/>
      <c r="Z1337" s="215" t="n"/>
      <c r="AA1337" s="215" t="n"/>
      <c r="AB1337" s="215" t="n"/>
      <c r="AC1337" s="215" t="n"/>
      <c r="AD1337" s="215" t="n"/>
      <c r="AE1337" s="215" t="n"/>
      <c r="AF1337" s="215" t="n"/>
      <c r="AG1337" s="215" t="n"/>
      <c r="AH1337" s="215" t="n"/>
      <c r="AI1337" s="215" t="n"/>
      <c r="AJ1337" s="215" t="n"/>
      <c r="AK1337" s="216" t="n"/>
    </row>
    <row r="1338" ht="15" customHeight="1">
      <c r="B1338" s="134" t="n"/>
      <c r="C1338" s="105" t="n"/>
      <c r="D1338" s="105" t="n"/>
      <c r="E1338" s="105" t="n"/>
      <c r="F1338" s="105" t="n"/>
      <c r="G1338" s="105" t="n"/>
      <c r="H1338" s="2" t="n"/>
      <c r="I1338" s="105" t="n"/>
      <c r="K1338" s="215" t="n"/>
      <c r="L1338" s="215" t="n"/>
      <c r="M1338" s="215" t="n"/>
      <c r="N1338" s="215" t="n"/>
      <c r="O1338" s="215" t="n"/>
      <c r="P1338" s="215" t="n"/>
      <c r="Q1338" s="215" t="n"/>
      <c r="R1338" s="215" t="n"/>
      <c r="S1338" s="215" t="n"/>
      <c r="T1338" s="215" t="n"/>
      <c r="U1338" s="215" t="n"/>
      <c r="V1338" s="215" t="n"/>
      <c r="W1338" s="215" t="n"/>
      <c r="X1338" s="215" t="n"/>
      <c r="Y1338" s="215" t="n"/>
      <c r="Z1338" s="215" t="n"/>
      <c r="AA1338" s="215" t="n"/>
      <c r="AB1338" s="215" t="n"/>
      <c r="AC1338" s="215" t="n"/>
      <c r="AD1338" s="215" t="n"/>
      <c r="AE1338" s="215" t="n"/>
      <c r="AF1338" s="215" t="n"/>
      <c r="AG1338" s="215" t="n"/>
      <c r="AH1338" s="215" t="n"/>
      <c r="AI1338" s="215" t="n"/>
      <c r="AJ1338" s="215" t="n"/>
      <c r="AK1338" s="216" t="n"/>
    </row>
    <row r="1339" ht="15" customHeight="1">
      <c r="B1339" s="134" t="n"/>
      <c r="C1339" s="105" t="n"/>
      <c r="D1339" s="105" t="n"/>
      <c r="E1339" s="105" t="n"/>
      <c r="F1339" s="105" t="n"/>
      <c r="G1339" s="105" t="n"/>
      <c r="H1339" s="2" t="n"/>
      <c r="I1339" s="105" t="n"/>
      <c r="K1339" s="215" t="n"/>
      <c r="L1339" s="215" t="n"/>
      <c r="M1339" s="215" t="n"/>
      <c r="N1339" s="215" t="n"/>
      <c r="O1339" s="215" t="n"/>
      <c r="P1339" s="215" t="n"/>
      <c r="Q1339" s="215" t="n"/>
      <c r="R1339" s="215" t="n"/>
      <c r="S1339" s="215" t="n"/>
      <c r="T1339" s="215" t="n"/>
      <c r="U1339" s="215" t="n"/>
      <c r="V1339" s="215" t="n"/>
      <c r="W1339" s="215" t="n"/>
      <c r="X1339" s="215" t="n"/>
      <c r="Y1339" s="215" t="n"/>
      <c r="Z1339" s="215" t="n"/>
      <c r="AA1339" s="215" t="n"/>
      <c r="AB1339" s="215" t="n"/>
      <c r="AC1339" s="215" t="n"/>
      <c r="AD1339" s="215" t="n"/>
      <c r="AE1339" s="215" t="n"/>
      <c r="AF1339" s="215" t="n"/>
      <c r="AG1339" s="215" t="n"/>
      <c r="AH1339" s="215" t="n"/>
      <c r="AI1339" s="215" t="n"/>
      <c r="AJ1339" s="215" t="n"/>
      <c r="AK1339" s="216" t="n"/>
    </row>
    <row r="1340" ht="15" customHeight="1">
      <c r="B1340" s="134" t="n"/>
      <c r="C1340" s="105" t="n"/>
      <c r="D1340" s="105" t="n"/>
      <c r="E1340" s="105" t="n"/>
      <c r="F1340" s="105" t="n"/>
      <c r="G1340" s="105" t="n"/>
      <c r="H1340" s="2" t="n"/>
      <c r="I1340" s="105" t="n"/>
      <c r="K1340" s="215" t="n"/>
      <c r="L1340" s="215" t="n"/>
      <c r="M1340" s="215" t="n"/>
      <c r="N1340" s="215" t="n"/>
      <c r="O1340" s="215" t="n"/>
      <c r="P1340" s="215" t="n"/>
      <c r="Q1340" s="215" t="n"/>
      <c r="R1340" s="215" t="n"/>
      <c r="S1340" s="215" t="n"/>
      <c r="T1340" s="215" t="n"/>
      <c r="U1340" s="215" t="n"/>
      <c r="V1340" s="215" t="n"/>
      <c r="W1340" s="215" t="n"/>
      <c r="X1340" s="215" t="n"/>
      <c r="Y1340" s="215" t="n"/>
      <c r="Z1340" s="215" t="n"/>
      <c r="AA1340" s="215" t="n"/>
      <c r="AB1340" s="215" t="n"/>
      <c r="AC1340" s="215" t="n"/>
      <c r="AD1340" s="215" t="n"/>
      <c r="AE1340" s="215" t="n"/>
      <c r="AF1340" s="215" t="n"/>
      <c r="AG1340" s="215" t="n"/>
      <c r="AH1340" s="215" t="n"/>
      <c r="AI1340" s="215" t="n"/>
      <c r="AJ1340" s="215" t="n"/>
      <c r="AK1340" s="216" t="n"/>
    </row>
    <row r="1341" ht="15" customHeight="1">
      <c r="B1341" s="134" t="n"/>
      <c r="C1341" s="105" t="n"/>
      <c r="D1341" s="105" t="n"/>
      <c r="E1341" s="105" t="n"/>
      <c r="F1341" s="105" t="n"/>
      <c r="G1341" s="105" t="n"/>
      <c r="H1341" s="2" t="n"/>
      <c r="I1341" s="105" t="n"/>
      <c r="K1341" s="215" t="n"/>
      <c r="L1341" s="215" t="n"/>
      <c r="M1341" s="215" t="n"/>
      <c r="N1341" s="215" t="n"/>
      <c r="O1341" s="215" t="n"/>
      <c r="P1341" s="215" t="n"/>
      <c r="Q1341" s="215" t="n"/>
      <c r="R1341" s="215" t="n"/>
      <c r="S1341" s="215" t="n"/>
      <c r="T1341" s="215" t="n"/>
      <c r="U1341" s="215" t="n"/>
      <c r="V1341" s="215" t="n"/>
      <c r="W1341" s="215" t="n"/>
      <c r="X1341" s="215" t="n"/>
      <c r="Y1341" s="215" t="n"/>
      <c r="Z1341" s="215" t="n"/>
      <c r="AA1341" s="215" t="n"/>
      <c r="AB1341" s="215" t="n"/>
      <c r="AC1341" s="215" t="n"/>
      <c r="AD1341" s="215" t="n"/>
      <c r="AE1341" s="215" t="n"/>
      <c r="AF1341" s="215" t="n"/>
      <c r="AG1341" s="215" t="n"/>
      <c r="AH1341" s="215" t="n"/>
      <c r="AI1341" s="215" t="n"/>
      <c r="AJ1341" s="215" t="n"/>
      <c r="AK1341" s="216" t="n"/>
    </row>
    <row r="1342" ht="15" customHeight="1">
      <c r="B1342" s="134" t="n"/>
      <c r="C1342" s="105" t="n"/>
      <c r="D1342" s="105" t="n"/>
      <c r="E1342" s="105" t="n"/>
      <c r="F1342" s="105" t="n"/>
      <c r="G1342" s="105" t="n"/>
      <c r="H1342" s="2" t="n"/>
      <c r="I1342" s="105" t="n"/>
      <c r="K1342" s="215" t="n"/>
      <c r="L1342" s="215" t="n"/>
      <c r="M1342" s="215" t="n"/>
      <c r="N1342" s="215" t="n"/>
      <c r="O1342" s="215" t="n"/>
      <c r="P1342" s="215" t="n"/>
      <c r="Q1342" s="215" t="n"/>
      <c r="R1342" s="215" t="n"/>
      <c r="S1342" s="215" t="n"/>
      <c r="T1342" s="215" t="n"/>
      <c r="U1342" s="215" t="n"/>
      <c r="V1342" s="215" t="n"/>
      <c r="W1342" s="215" t="n"/>
      <c r="X1342" s="215" t="n"/>
      <c r="Y1342" s="215" t="n"/>
      <c r="Z1342" s="215" t="n"/>
      <c r="AA1342" s="215" t="n"/>
      <c r="AB1342" s="215" t="n"/>
      <c r="AC1342" s="215" t="n"/>
      <c r="AD1342" s="215" t="n"/>
      <c r="AE1342" s="215" t="n"/>
      <c r="AF1342" s="215" t="n"/>
      <c r="AG1342" s="215" t="n"/>
      <c r="AH1342" s="215" t="n"/>
      <c r="AI1342" s="215" t="n"/>
      <c r="AJ1342" s="215" t="n"/>
      <c r="AK1342" s="216" t="n"/>
    </row>
    <row r="1343" ht="15" customHeight="1">
      <c r="B1343" s="134" t="n"/>
      <c r="C1343" s="105" t="n"/>
      <c r="D1343" s="105" t="n"/>
      <c r="E1343" s="105" t="n"/>
      <c r="F1343" s="105" t="n"/>
      <c r="G1343" s="105" t="n"/>
      <c r="H1343" s="2" t="n"/>
      <c r="I1343" s="105" t="n"/>
      <c r="K1343" s="215" t="n"/>
      <c r="L1343" s="215" t="n"/>
      <c r="M1343" s="215" t="n"/>
      <c r="N1343" s="215" t="n"/>
      <c r="O1343" s="215" t="n"/>
      <c r="P1343" s="215" t="n"/>
      <c r="Q1343" s="215" t="n"/>
      <c r="R1343" s="215" t="n"/>
      <c r="S1343" s="215" t="n"/>
      <c r="T1343" s="215" t="n"/>
      <c r="U1343" s="215" t="n"/>
      <c r="V1343" s="215" t="n"/>
      <c r="W1343" s="215" t="n"/>
      <c r="X1343" s="215" t="n"/>
      <c r="Y1343" s="215" t="n"/>
      <c r="Z1343" s="215" t="n"/>
      <c r="AA1343" s="215" t="n"/>
      <c r="AB1343" s="215" t="n"/>
      <c r="AC1343" s="215" t="n"/>
      <c r="AD1343" s="215" t="n"/>
      <c r="AE1343" s="215" t="n"/>
      <c r="AF1343" s="215" t="n"/>
      <c r="AG1343" s="215" t="n"/>
      <c r="AH1343" s="215" t="n"/>
      <c r="AI1343" s="215" t="n"/>
      <c r="AJ1343" s="215" t="n"/>
      <c r="AK1343" s="216" t="n"/>
    </row>
    <row r="1344" ht="15" customHeight="1">
      <c r="B1344" s="134" t="n"/>
      <c r="C1344" s="105" t="n"/>
      <c r="D1344" s="105" t="n"/>
      <c r="E1344" s="105" t="n"/>
      <c r="F1344" s="105" t="n"/>
      <c r="G1344" s="105" t="n"/>
      <c r="H1344" s="2" t="n"/>
      <c r="I1344" s="105" t="n"/>
      <c r="K1344" s="215" t="n"/>
      <c r="L1344" s="215" t="n"/>
      <c r="M1344" s="215" t="n"/>
      <c r="N1344" s="215" t="n"/>
      <c r="O1344" s="215" t="n"/>
      <c r="P1344" s="215" t="n"/>
      <c r="Q1344" s="215" t="n"/>
      <c r="R1344" s="215" t="n"/>
      <c r="S1344" s="215" t="n"/>
      <c r="T1344" s="215" t="n"/>
      <c r="U1344" s="215" t="n"/>
      <c r="V1344" s="215" t="n"/>
      <c r="W1344" s="215" t="n"/>
      <c r="X1344" s="215" t="n"/>
      <c r="Y1344" s="215" t="n"/>
      <c r="Z1344" s="215" t="n"/>
      <c r="AA1344" s="215" t="n"/>
      <c r="AB1344" s="215" t="n"/>
      <c r="AC1344" s="215" t="n"/>
      <c r="AD1344" s="215" t="n"/>
      <c r="AE1344" s="215" t="n"/>
      <c r="AF1344" s="215" t="n"/>
      <c r="AG1344" s="215" t="n"/>
      <c r="AH1344" s="215" t="n"/>
      <c r="AI1344" s="215" t="n"/>
      <c r="AJ1344" s="215" t="n"/>
      <c r="AK1344" s="216" t="n"/>
    </row>
    <row r="1345" ht="15" customHeight="1">
      <c r="B1345" s="134" t="n"/>
      <c r="C1345" s="105" t="n"/>
      <c r="D1345" s="105" t="n"/>
      <c r="E1345" s="105" t="n"/>
      <c r="F1345" s="105" t="n"/>
      <c r="G1345" s="105" t="n"/>
      <c r="H1345" s="2" t="n"/>
      <c r="I1345" s="105" t="n"/>
      <c r="K1345" s="215" t="n"/>
      <c r="L1345" s="215" t="n"/>
      <c r="M1345" s="215" t="n"/>
      <c r="N1345" s="215" t="n"/>
      <c r="O1345" s="215" t="n"/>
      <c r="P1345" s="215" t="n"/>
      <c r="Q1345" s="215" t="n"/>
      <c r="R1345" s="215" t="n"/>
      <c r="S1345" s="215" t="n"/>
      <c r="T1345" s="215" t="n"/>
      <c r="U1345" s="215" t="n"/>
      <c r="V1345" s="215" t="n"/>
      <c r="W1345" s="215" t="n"/>
      <c r="X1345" s="215" t="n"/>
      <c r="Y1345" s="215" t="n"/>
      <c r="Z1345" s="215" t="n"/>
      <c r="AA1345" s="215" t="n"/>
      <c r="AB1345" s="215" t="n"/>
      <c r="AC1345" s="215" t="n"/>
      <c r="AD1345" s="215" t="n"/>
      <c r="AE1345" s="215" t="n"/>
      <c r="AF1345" s="215" t="n"/>
      <c r="AG1345" s="215" t="n"/>
      <c r="AH1345" s="215" t="n"/>
      <c r="AI1345" s="215" t="n"/>
      <c r="AJ1345" s="215" t="n"/>
      <c r="AK1345" s="216" t="n"/>
    </row>
    <row r="1346" ht="15" customHeight="1">
      <c r="B1346" s="134" t="n"/>
      <c r="C1346" s="105" t="n"/>
      <c r="D1346" s="105" t="n"/>
      <c r="E1346" s="105" t="n"/>
      <c r="F1346" s="105" t="n"/>
      <c r="G1346" s="105" t="n"/>
      <c r="H1346" s="2" t="n"/>
      <c r="I1346" s="105" t="n"/>
      <c r="K1346" s="215" t="n"/>
      <c r="L1346" s="215" t="n"/>
      <c r="M1346" s="215" t="n"/>
      <c r="N1346" s="215" t="n"/>
      <c r="O1346" s="215" t="n"/>
      <c r="P1346" s="215" t="n"/>
      <c r="Q1346" s="215" t="n"/>
      <c r="R1346" s="215" t="n"/>
      <c r="S1346" s="215" t="n"/>
      <c r="T1346" s="215" t="n"/>
      <c r="U1346" s="215" t="n"/>
      <c r="V1346" s="215" t="n"/>
      <c r="W1346" s="215" t="n"/>
      <c r="X1346" s="215" t="n"/>
      <c r="Y1346" s="215" t="n"/>
      <c r="Z1346" s="215" t="n"/>
      <c r="AA1346" s="215" t="n"/>
      <c r="AB1346" s="215" t="n"/>
      <c r="AC1346" s="215" t="n"/>
      <c r="AD1346" s="215" t="n"/>
      <c r="AE1346" s="215" t="n"/>
      <c r="AF1346" s="215" t="n"/>
      <c r="AG1346" s="215" t="n"/>
      <c r="AH1346" s="215" t="n"/>
      <c r="AI1346" s="215" t="n"/>
      <c r="AJ1346" s="215" t="n"/>
      <c r="AK1346" s="216" t="n"/>
    </row>
    <row r="1347" ht="15" customHeight="1">
      <c r="B1347" s="134" t="n"/>
      <c r="C1347" s="105" t="n"/>
      <c r="D1347" s="105" t="n"/>
      <c r="E1347" s="105" t="n"/>
      <c r="F1347" s="105" t="n"/>
      <c r="G1347" s="105" t="n"/>
      <c r="H1347" s="2" t="n"/>
      <c r="I1347" s="105" t="n"/>
      <c r="K1347" s="215" t="n"/>
      <c r="L1347" s="215" t="n"/>
      <c r="M1347" s="215" t="n"/>
      <c r="N1347" s="215" t="n"/>
      <c r="O1347" s="215" t="n"/>
      <c r="P1347" s="215" t="n"/>
      <c r="Q1347" s="215" t="n"/>
      <c r="R1347" s="215" t="n"/>
      <c r="S1347" s="215" t="n"/>
      <c r="T1347" s="215" t="n"/>
      <c r="U1347" s="215" t="n"/>
      <c r="V1347" s="215" t="n"/>
      <c r="W1347" s="215" t="n"/>
      <c r="X1347" s="215" t="n"/>
      <c r="Y1347" s="215" t="n"/>
      <c r="Z1347" s="215" t="n"/>
      <c r="AA1347" s="215" t="n"/>
      <c r="AB1347" s="215" t="n"/>
      <c r="AC1347" s="215" t="n"/>
      <c r="AD1347" s="215" t="n"/>
      <c r="AE1347" s="215" t="n"/>
      <c r="AF1347" s="215" t="n"/>
      <c r="AG1347" s="215" t="n"/>
      <c r="AH1347" s="215" t="n"/>
      <c r="AI1347" s="215" t="n"/>
      <c r="AJ1347" s="215" t="n"/>
      <c r="AK1347" s="216" t="n"/>
    </row>
    <row r="1348" ht="15" customHeight="1">
      <c r="B1348" s="134" t="n"/>
      <c r="C1348" s="105" t="n"/>
      <c r="D1348" s="105" t="n"/>
      <c r="E1348" s="105" t="n"/>
      <c r="F1348" s="105" t="n"/>
      <c r="G1348" s="105" t="n"/>
      <c r="H1348" s="2" t="n"/>
      <c r="I1348" s="105" t="n"/>
      <c r="K1348" s="215" t="n"/>
      <c r="L1348" s="215" t="n"/>
      <c r="M1348" s="215" t="n"/>
      <c r="N1348" s="215" t="n"/>
      <c r="O1348" s="215" t="n"/>
      <c r="P1348" s="215" t="n"/>
      <c r="Q1348" s="215" t="n"/>
      <c r="R1348" s="215" t="n"/>
      <c r="S1348" s="215" t="n"/>
      <c r="T1348" s="215" t="n"/>
      <c r="U1348" s="215" t="n"/>
      <c r="V1348" s="215" t="n"/>
      <c r="W1348" s="215" t="n"/>
      <c r="X1348" s="215" t="n"/>
      <c r="Y1348" s="215" t="n"/>
      <c r="Z1348" s="215" t="n"/>
      <c r="AA1348" s="215" t="n"/>
      <c r="AB1348" s="215" t="n"/>
      <c r="AC1348" s="215" t="n"/>
      <c r="AD1348" s="215" t="n"/>
      <c r="AE1348" s="215" t="n"/>
      <c r="AF1348" s="215" t="n"/>
      <c r="AG1348" s="215" t="n"/>
      <c r="AH1348" s="215" t="n"/>
      <c r="AI1348" s="215" t="n"/>
      <c r="AJ1348" s="215" t="n"/>
      <c r="AK1348" s="216" t="n"/>
    </row>
    <row r="1349" ht="15" customHeight="1">
      <c r="B1349" s="134" t="n"/>
      <c r="C1349" s="105" t="n"/>
      <c r="D1349" s="105" t="n"/>
      <c r="E1349" s="105" t="n"/>
      <c r="F1349" s="105" t="n"/>
      <c r="G1349" s="105" t="n"/>
      <c r="H1349" s="2" t="n"/>
      <c r="I1349" s="105" t="n"/>
      <c r="K1349" s="215" t="n"/>
      <c r="L1349" s="215" t="n"/>
      <c r="M1349" s="215" t="n"/>
      <c r="N1349" s="215" t="n"/>
      <c r="O1349" s="215" t="n"/>
      <c r="P1349" s="215" t="n"/>
      <c r="Q1349" s="215" t="n"/>
      <c r="R1349" s="215" t="n"/>
      <c r="S1349" s="215" t="n"/>
      <c r="T1349" s="215" t="n"/>
      <c r="U1349" s="215" t="n"/>
      <c r="V1349" s="215" t="n"/>
      <c r="W1349" s="215" t="n"/>
      <c r="X1349" s="215" t="n"/>
      <c r="Y1349" s="215" t="n"/>
      <c r="Z1349" s="215" t="n"/>
      <c r="AA1349" s="215" t="n"/>
      <c r="AB1349" s="215" t="n"/>
      <c r="AC1349" s="215" t="n"/>
      <c r="AD1349" s="215" t="n"/>
      <c r="AE1349" s="215" t="n"/>
      <c r="AF1349" s="215" t="n"/>
      <c r="AG1349" s="215" t="n"/>
      <c r="AH1349" s="215" t="n"/>
      <c r="AI1349" s="215" t="n"/>
      <c r="AJ1349" s="215" t="n"/>
      <c r="AK1349" s="216" t="n"/>
    </row>
    <row r="1350" ht="15" customHeight="1">
      <c r="B1350" s="134" t="n"/>
      <c r="C1350" s="105" t="n"/>
      <c r="D1350" s="105" t="n"/>
      <c r="E1350" s="105" t="n"/>
      <c r="F1350" s="105" t="n"/>
      <c r="G1350" s="105" t="n"/>
      <c r="H1350" s="2" t="n"/>
      <c r="I1350" s="105" t="n"/>
      <c r="K1350" s="215" t="n"/>
      <c r="L1350" s="215" t="n"/>
      <c r="M1350" s="215" t="n"/>
      <c r="N1350" s="215" t="n"/>
      <c r="O1350" s="215" t="n"/>
      <c r="P1350" s="215" t="n"/>
      <c r="Q1350" s="215" t="n"/>
      <c r="R1350" s="215" t="n"/>
      <c r="S1350" s="215" t="n"/>
      <c r="T1350" s="215" t="n"/>
      <c r="U1350" s="215" t="n"/>
      <c r="V1350" s="215" t="n"/>
      <c r="W1350" s="215" t="n"/>
      <c r="X1350" s="215" t="n"/>
      <c r="Y1350" s="215" t="n"/>
      <c r="Z1350" s="215" t="n"/>
      <c r="AA1350" s="215" t="n"/>
      <c r="AB1350" s="215" t="n"/>
      <c r="AC1350" s="215" t="n"/>
      <c r="AD1350" s="215" t="n"/>
      <c r="AE1350" s="215" t="n"/>
      <c r="AF1350" s="215" t="n"/>
      <c r="AG1350" s="215" t="n"/>
      <c r="AH1350" s="215" t="n"/>
      <c r="AI1350" s="215" t="n"/>
      <c r="AJ1350" s="215" t="n"/>
      <c r="AK1350" s="216" t="n"/>
    </row>
    <row r="1351" ht="15" customHeight="1">
      <c r="B1351" s="134" t="n"/>
      <c r="C1351" s="105" t="n"/>
      <c r="D1351" s="105" t="n"/>
      <c r="E1351" s="105" t="n"/>
      <c r="F1351" s="105" t="n"/>
      <c r="G1351" s="105" t="n"/>
      <c r="H1351" s="2" t="n"/>
      <c r="I1351" s="105" t="n"/>
      <c r="K1351" s="215" t="n"/>
      <c r="L1351" s="215" t="n"/>
      <c r="M1351" s="215" t="n"/>
      <c r="N1351" s="215" t="n"/>
      <c r="O1351" s="215" t="n"/>
      <c r="P1351" s="215" t="n"/>
      <c r="Q1351" s="215" t="n"/>
      <c r="R1351" s="215" t="n"/>
      <c r="S1351" s="215" t="n"/>
      <c r="T1351" s="215" t="n"/>
      <c r="U1351" s="215" t="n"/>
      <c r="V1351" s="215" t="n"/>
      <c r="W1351" s="215" t="n"/>
      <c r="X1351" s="215" t="n"/>
      <c r="Y1351" s="215" t="n"/>
      <c r="Z1351" s="215" t="n"/>
      <c r="AA1351" s="215" t="n"/>
      <c r="AB1351" s="215" t="n"/>
      <c r="AC1351" s="215" t="n"/>
      <c r="AD1351" s="215" t="n"/>
      <c r="AE1351" s="215" t="n"/>
      <c r="AF1351" s="215" t="n"/>
      <c r="AG1351" s="215" t="n"/>
      <c r="AH1351" s="215" t="n"/>
      <c r="AI1351" s="215" t="n"/>
      <c r="AJ1351" s="215" t="n"/>
      <c r="AK1351" s="216" t="n"/>
    </row>
    <row r="1352" ht="15" customHeight="1">
      <c r="B1352" s="134" t="n"/>
      <c r="C1352" s="105" t="n"/>
      <c r="D1352" s="105" t="n"/>
      <c r="E1352" s="105" t="n"/>
      <c r="F1352" s="105" t="n"/>
      <c r="G1352" s="105" t="n"/>
      <c r="H1352" s="2" t="n"/>
      <c r="I1352" s="105" t="n"/>
      <c r="K1352" s="215" t="n"/>
      <c r="L1352" s="215" t="n"/>
      <c r="M1352" s="215" t="n"/>
      <c r="N1352" s="215" t="n"/>
      <c r="O1352" s="215" t="n"/>
      <c r="P1352" s="215" t="n"/>
      <c r="Q1352" s="215" t="n"/>
      <c r="R1352" s="215" t="n"/>
      <c r="S1352" s="215" t="n"/>
      <c r="T1352" s="215" t="n"/>
      <c r="U1352" s="215" t="n"/>
      <c r="V1352" s="215" t="n"/>
      <c r="W1352" s="215" t="n"/>
      <c r="X1352" s="215" t="n"/>
      <c r="Y1352" s="215" t="n"/>
      <c r="Z1352" s="215" t="n"/>
      <c r="AA1352" s="215" t="n"/>
      <c r="AB1352" s="215" t="n"/>
      <c r="AC1352" s="215" t="n"/>
      <c r="AD1352" s="215" t="n"/>
      <c r="AE1352" s="215" t="n"/>
      <c r="AF1352" s="215" t="n"/>
      <c r="AG1352" s="215" t="n"/>
      <c r="AH1352" s="215" t="n"/>
      <c r="AI1352" s="215" t="n"/>
      <c r="AJ1352" s="215" t="n"/>
      <c r="AK1352" s="216" t="n"/>
    </row>
    <row r="1353" ht="15" customHeight="1">
      <c r="B1353" s="134" t="n"/>
      <c r="C1353" s="105" t="n"/>
      <c r="D1353" s="105" t="n"/>
      <c r="E1353" s="105" t="n"/>
      <c r="F1353" s="105" t="n"/>
      <c r="G1353" s="105" t="n"/>
      <c r="H1353" s="2" t="n"/>
      <c r="I1353" s="105" t="n"/>
      <c r="K1353" s="215" t="n"/>
      <c r="L1353" s="215" t="n"/>
      <c r="M1353" s="215" t="n"/>
      <c r="N1353" s="215" t="n"/>
      <c r="O1353" s="215" t="n"/>
      <c r="P1353" s="215" t="n"/>
      <c r="Q1353" s="215" t="n"/>
      <c r="R1353" s="215" t="n"/>
      <c r="S1353" s="215" t="n"/>
      <c r="T1353" s="215" t="n"/>
      <c r="U1353" s="215" t="n"/>
      <c r="V1353" s="215" t="n"/>
      <c r="W1353" s="215" t="n"/>
      <c r="X1353" s="215" t="n"/>
      <c r="Y1353" s="215" t="n"/>
      <c r="Z1353" s="215" t="n"/>
      <c r="AA1353" s="215" t="n"/>
      <c r="AB1353" s="215" t="n"/>
      <c r="AC1353" s="215" t="n"/>
      <c r="AD1353" s="215" t="n"/>
      <c r="AE1353" s="215" t="n"/>
      <c r="AF1353" s="215" t="n"/>
      <c r="AG1353" s="215" t="n"/>
      <c r="AH1353" s="215" t="n"/>
      <c r="AI1353" s="215" t="n"/>
      <c r="AJ1353" s="215" t="n"/>
      <c r="AK1353" s="216" t="n"/>
    </row>
    <row r="1354" ht="15" customHeight="1">
      <c r="B1354" s="134" t="n"/>
      <c r="C1354" s="105" t="n"/>
      <c r="D1354" s="105" t="n"/>
      <c r="E1354" s="105" t="n"/>
      <c r="F1354" s="105" t="n"/>
      <c r="G1354" s="105" t="n"/>
      <c r="H1354" s="2" t="n"/>
      <c r="I1354" s="105" t="n"/>
      <c r="K1354" s="215" t="n"/>
      <c r="L1354" s="215" t="n"/>
      <c r="M1354" s="215" t="n"/>
      <c r="N1354" s="215" t="n"/>
      <c r="O1354" s="215" t="n"/>
      <c r="P1354" s="215" t="n"/>
      <c r="Q1354" s="215" t="n"/>
      <c r="R1354" s="215" t="n"/>
      <c r="S1354" s="215" t="n"/>
      <c r="T1354" s="215" t="n"/>
      <c r="U1354" s="215" t="n"/>
      <c r="V1354" s="215" t="n"/>
      <c r="W1354" s="215" t="n"/>
      <c r="X1354" s="215" t="n"/>
      <c r="Y1354" s="215" t="n"/>
      <c r="Z1354" s="215" t="n"/>
      <c r="AA1354" s="215" t="n"/>
      <c r="AB1354" s="215" t="n"/>
      <c r="AC1354" s="215" t="n"/>
      <c r="AD1354" s="215" t="n"/>
      <c r="AE1354" s="215" t="n"/>
      <c r="AF1354" s="215" t="n"/>
      <c r="AG1354" s="215" t="n"/>
      <c r="AH1354" s="215" t="n"/>
      <c r="AI1354" s="215" t="n"/>
      <c r="AJ1354" s="215" t="n"/>
      <c r="AK1354" s="216" t="n"/>
    </row>
    <row r="1355" ht="15" customHeight="1">
      <c r="B1355" s="134" t="n"/>
      <c r="C1355" s="105" t="n"/>
      <c r="D1355" s="105" t="n"/>
      <c r="E1355" s="105" t="n"/>
      <c r="F1355" s="105" t="n"/>
      <c r="G1355" s="105" t="n"/>
      <c r="H1355" s="2" t="n"/>
      <c r="I1355" s="105" t="n"/>
      <c r="K1355" s="215" t="n"/>
      <c r="L1355" s="215" t="n"/>
      <c r="M1355" s="215" t="n"/>
      <c r="N1355" s="215" t="n"/>
      <c r="O1355" s="215" t="n"/>
      <c r="P1355" s="215" t="n"/>
      <c r="Q1355" s="215" t="n"/>
      <c r="R1355" s="215" t="n"/>
      <c r="S1355" s="215" t="n"/>
      <c r="T1355" s="215" t="n"/>
      <c r="U1355" s="215" t="n"/>
      <c r="V1355" s="215" t="n"/>
      <c r="W1355" s="215" t="n"/>
      <c r="X1355" s="215" t="n"/>
      <c r="Y1355" s="215" t="n"/>
      <c r="Z1355" s="215" t="n"/>
      <c r="AA1355" s="215" t="n"/>
      <c r="AB1355" s="215" t="n"/>
      <c r="AC1355" s="215" t="n"/>
      <c r="AD1355" s="215" t="n"/>
      <c r="AE1355" s="215" t="n"/>
      <c r="AF1355" s="215" t="n"/>
      <c r="AG1355" s="215" t="n"/>
      <c r="AH1355" s="215" t="n"/>
      <c r="AI1355" s="215" t="n"/>
      <c r="AJ1355" s="215" t="n"/>
      <c r="AK1355" s="216" t="n"/>
    </row>
    <row r="1356" ht="15" customHeight="1">
      <c r="B1356" s="134" t="n"/>
      <c r="C1356" s="105" t="n"/>
      <c r="D1356" s="105" t="n"/>
      <c r="E1356" s="105" t="n"/>
      <c r="F1356" s="105" t="n"/>
      <c r="G1356" s="105" t="n"/>
      <c r="H1356" s="2" t="n"/>
      <c r="I1356" s="105" t="n"/>
      <c r="K1356" s="215" t="n"/>
      <c r="L1356" s="215" t="n"/>
      <c r="M1356" s="215" t="n"/>
      <c r="N1356" s="215" t="n"/>
      <c r="O1356" s="215" t="n"/>
      <c r="P1356" s="215" t="n"/>
      <c r="Q1356" s="215" t="n"/>
      <c r="R1356" s="215" t="n"/>
      <c r="S1356" s="215" t="n"/>
      <c r="T1356" s="215" t="n"/>
      <c r="U1356" s="215" t="n"/>
      <c r="V1356" s="215" t="n"/>
      <c r="W1356" s="215" t="n"/>
      <c r="X1356" s="215" t="n"/>
      <c r="Y1356" s="215" t="n"/>
      <c r="Z1356" s="215" t="n"/>
      <c r="AA1356" s="215" t="n"/>
      <c r="AB1356" s="215" t="n"/>
      <c r="AC1356" s="215" t="n"/>
      <c r="AD1356" s="215" t="n"/>
      <c r="AE1356" s="215" t="n"/>
      <c r="AF1356" s="215" t="n"/>
      <c r="AG1356" s="215" t="n"/>
      <c r="AH1356" s="215" t="n"/>
      <c r="AI1356" s="215" t="n"/>
      <c r="AJ1356" s="215" t="n"/>
      <c r="AK1356" s="216" t="n"/>
    </row>
    <row r="1357" ht="15" customHeight="1">
      <c r="B1357" s="134" t="n"/>
      <c r="C1357" s="105" t="n"/>
      <c r="D1357" s="105" t="n"/>
      <c r="E1357" s="105" t="n"/>
      <c r="F1357" s="105" t="n"/>
      <c r="G1357" s="105" t="n"/>
      <c r="H1357" s="2" t="n"/>
      <c r="I1357" s="105" t="n"/>
      <c r="K1357" s="215" t="n"/>
      <c r="L1357" s="215" t="n"/>
      <c r="M1357" s="215" t="n"/>
      <c r="N1357" s="215" t="n"/>
      <c r="O1357" s="215" t="n"/>
      <c r="P1357" s="215" t="n"/>
      <c r="Q1357" s="215" t="n"/>
      <c r="R1357" s="215" t="n"/>
      <c r="S1357" s="215" t="n"/>
      <c r="T1357" s="215" t="n"/>
      <c r="U1357" s="215" t="n"/>
      <c r="V1357" s="215" t="n"/>
      <c r="W1357" s="215" t="n"/>
      <c r="X1357" s="215" t="n"/>
      <c r="Y1357" s="215" t="n"/>
      <c r="Z1357" s="215" t="n"/>
      <c r="AA1357" s="215" t="n"/>
      <c r="AB1357" s="215" t="n"/>
      <c r="AC1357" s="215" t="n"/>
      <c r="AD1357" s="215" t="n"/>
      <c r="AE1357" s="215" t="n"/>
      <c r="AF1357" s="215" t="n"/>
      <c r="AG1357" s="215" t="n"/>
      <c r="AH1357" s="215" t="n"/>
      <c r="AI1357" s="215" t="n"/>
      <c r="AJ1357" s="215" t="n"/>
      <c r="AK1357" s="216" t="n"/>
    </row>
    <row r="1358" ht="15" customHeight="1">
      <c r="B1358" s="134" t="n"/>
      <c r="C1358" s="105" t="n"/>
      <c r="D1358" s="105" t="n"/>
      <c r="E1358" s="105" t="n"/>
      <c r="F1358" s="105" t="n"/>
      <c r="G1358" s="105" t="n"/>
      <c r="H1358" s="2" t="n"/>
      <c r="I1358" s="105" t="n"/>
      <c r="K1358" s="215" t="n"/>
      <c r="L1358" s="215" t="n"/>
      <c r="M1358" s="215" t="n"/>
      <c r="N1358" s="215" t="n"/>
      <c r="O1358" s="215" t="n"/>
      <c r="P1358" s="215" t="n"/>
      <c r="Q1358" s="215" t="n"/>
      <c r="R1358" s="215" t="n"/>
      <c r="S1358" s="215" t="n"/>
      <c r="T1358" s="215" t="n"/>
      <c r="U1358" s="215" t="n"/>
      <c r="V1358" s="215" t="n"/>
      <c r="W1358" s="215" t="n"/>
      <c r="X1358" s="215" t="n"/>
      <c r="Y1358" s="215" t="n"/>
      <c r="Z1358" s="215" t="n"/>
      <c r="AA1358" s="215" t="n"/>
      <c r="AB1358" s="215" t="n"/>
      <c r="AC1358" s="215" t="n"/>
      <c r="AD1358" s="215" t="n"/>
      <c r="AE1358" s="215" t="n"/>
      <c r="AF1358" s="215" t="n"/>
      <c r="AG1358" s="215" t="n"/>
      <c r="AH1358" s="215" t="n"/>
      <c r="AI1358" s="215" t="n"/>
      <c r="AJ1358" s="215" t="n"/>
      <c r="AK1358" s="216" t="n"/>
    </row>
    <row r="1359" ht="15" customHeight="1">
      <c r="B1359" s="134" t="n"/>
      <c r="C1359" s="105" t="n"/>
      <c r="D1359" s="105" t="n"/>
      <c r="E1359" s="105" t="n"/>
      <c r="F1359" s="105" t="n"/>
      <c r="G1359" s="105" t="n"/>
      <c r="H1359" s="2" t="n"/>
      <c r="I1359" s="105" t="n"/>
      <c r="K1359" s="215" t="n"/>
      <c r="L1359" s="215" t="n"/>
      <c r="M1359" s="215" t="n"/>
      <c r="N1359" s="215" t="n"/>
      <c r="O1359" s="215" t="n"/>
      <c r="P1359" s="215" t="n"/>
      <c r="Q1359" s="215" t="n"/>
      <c r="R1359" s="215" t="n"/>
      <c r="S1359" s="215" t="n"/>
      <c r="T1359" s="215" t="n"/>
      <c r="U1359" s="215" t="n"/>
      <c r="V1359" s="215" t="n"/>
      <c r="W1359" s="215" t="n"/>
      <c r="X1359" s="215" t="n"/>
      <c r="Y1359" s="215" t="n"/>
      <c r="Z1359" s="215" t="n"/>
      <c r="AA1359" s="215" t="n"/>
      <c r="AB1359" s="215" t="n"/>
      <c r="AC1359" s="215" t="n"/>
      <c r="AD1359" s="215" t="n"/>
      <c r="AE1359" s="215" t="n"/>
      <c r="AF1359" s="215" t="n"/>
      <c r="AG1359" s="215" t="n"/>
      <c r="AH1359" s="215" t="n"/>
      <c r="AI1359" s="215" t="n"/>
      <c r="AJ1359" s="215" t="n"/>
      <c r="AK1359" s="216" t="n"/>
    </row>
    <row r="1360" ht="15" customHeight="1">
      <c r="B1360" s="134" t="n"/>
      <c r="C1360" s="105" t="n"/>
      <c r="D1360" s="105" t="n"/>
      <c r="E1360" s="105" t="n"/>
      <c r="F1360" s="105" t="n"/>
      <c r="G1360" s="105" t="n"/>
      <c r="H1360" s="2" t="n"/>
      <c r="I1360" s="105" t="n"/>
      <c r="K1360" s="215" t="n"/>
      <c r="L1360" s="215" t="n"/>
      <c r="M1360" s="215" t="n"/>
      <c r="N1360" s="215" t="n"/>
      <c r="O1360" s="215" t="n"/>
      <c r="P1360" s="215" t="n"/>
      <c r="Q1360" s="215" t="n"/>
      <c r="R1360" s="215" t="n"/>
      <c r="S1360" s="215" t="n"/>
      <c r="T1360" s="215" t="n"/>
      <c r="U1360" s="215" t="n"/>
      <c r="V1360" s="215" t="n"/>
      <c r="W1360" s="215" t="n"/>
      <c r="X1360" s="215" t="n"/>
      <c r="Y1360" s="215" t="n"/>
      <c r="Z1360" s="215" t="n"/>
      <c r="AA1360" s="215" t="n"/>
      <c r="AB1360" s="215" t="n"/>
      <c r="AC1360" s="215" t="n"/>
      <c r="AD1360" s="215" t="n"/>
      <c r="AE1360" s="215" t="n"/>
      <c r="AF1360" s="215" t="n"/>
      <c r="AG1360" s="215" t="n"/>
      <c r="AH1360" s="215" t="n"/>
      <c r="AI1360" s="215" t="n"/>
      <c r="AJ1360" s="215" t="n"/>
      <c r="AK1360" s="216" t="n"/>
    </row>
    <row r="1361" ht="15" customHeight="1">
      <c r="B1361" s="134" t="n"/>
      <c r="C1361" s="105" t="n"/>
      <c r="D1361" s="105" t="n"/>
      <c r="E1361" s="105" t="n"/>
      <c r="F1361" s="105" t="n"/>
      <c r="G1361" s="105" t="n"/>
      <c r="H1361" s="2" t="n"/>
      <c r="I1361" s="105" t="n"/>
      <c r="K1361" s="215" t="n"/>
      <c r="L1361" s="215" t="n"/>
      <c r="M1361" s="215" t="n"/>
      <c r="N1361" s="215" t="n"/>
      <c r="O1361" s="215" t="n"/>
      <c r="P1361" s="215" t="n"/>
      <c r="Q1361" s="215" t="n"/>
      <c r="R1361" s="215" t="n"/>
      <c r="S1361" s="215" t="n"/>
      <c r="T1361" s="215" t="n"/>
      <c r="U1361" s="215" t="n"/>
      <c r="V1361" s="215" t="n"/>
      <c r="W1361" s="215" t="n"/>
      <c r="X1361" s="215" t="n"/>
      <c r="Y1361" s="215" t="n"/>
      <c r="Z1361" s="215" t="n"/>
      <c r="AA1361" s="215" t="n"/>
      <c r="AB1361" s="215" t="n"/>
      <c r="AC1361" s="215" t="n"/>
      <c r="AD1361" s="215" t="n"/>
      <c r="AE1361" s="215" t="n"/>
      <c r="AF1361" s="215" t="n"/>
      <c r="AG1361" s="215" t="n"/>
      <c r="AH1361" s="215" t="n"/>
      <c r="AI1361" s="215" t="n"/>
      <c r="AJ1361" s="215" t="n"/>
      <c r="AK1361" s="216" t="n"/>
    </row>
    <row r="1362" ht="15" customHeight="1">
      <c r="B1362" s="134" t="n"/>
      <c r="C1362" s="105" t="n"/>
      <c r="D1362" s="105" t="n"/>
      <c r="E1362" s="105" t="n"/>
      <c r="F1362" s="105" t="n"/>
      <c r="G1362" s="105" t="n"/>
      <c r="H1362" s="2" t="n"/>
      <c r="I1362" s="105" t="n"/>
      <c r="K1362" s="215" t="n"/>
      <c r="L1362" s="215" t="n"/>
      <c r="M1362" s="215" t="n"/>
      <c r="N1362" s="215" t="n"/>
      <c r="O1362" s="215" t="n"/>
      <c r="P1362" s="215" t="n"/>
      <c r="Q1362" s="215" t="n"/>
      <c r="R1362" s="215" t="n"/>
      <c r="S1362" s="215" t="n"/>
      <c r="T1362" s="215" t="n"/>
      <c r="U1362" s="215" t="n"/>
      <c r="V1362" s="215" t="n"/>
      <c r="W1362" s="215" t="n"/>
      <c r="X1362" s="215" t="n"/>
      <c r="Y1362" s="215" t="n"/>
      <c r="Z1362" s="215" t="n"/>
      <c r="AA1362" s="215" t="n"/>
      <c r="AB1362" s="215" t="n"/>
      <c r="AC1362" s="215" t="n"/>
      <c r="AD1362" s="215" t="n"/>
      <c r="AE1362" s="215" t="n"/>
      <c r="AF1362" s="215" t="n"/>
      <c r="AG1362" s="215" t="n"/>
      <c r="AH1362" s="215" t="n"/>
      <c r="AI1362" s="215" t="n"/>
      <c r="AJ1362" s="215" t="n"/>
      <c r="AK1362" s="216" t="n"/>
    </row>
    <row r="1363" ht="15" customHeight="1">
      <c r="B1363" s="134" t="n"/>
      <c r="C1363" s="105" t="n"/>
      <c r="D1363" s="105" t="n"/>
      <c r="E1363" s="105" t="n"/>
      <c r="F1363" s="105" t="n"/>
      <c r="G1363" s="105" t="n"/>
      <c r="H1363" s="2" t="n"/>
      <c r="I1363" s="105" t="n"/>
      <c r="K1363" s="215" t="n"/>
      <c r="L1363" s="215" t="n"/>
      <c r="M1363" s="215" t="n"/>
      <c r="N1363" s="215" t="n"/>
      <c r="O1363" s="215" t="n"/>
      <c r="P1363" s="215" t="n"/>
      <c r="Q1363" s="215" t="n"/>
      <c r="R1363" s="215" t="n"/>
      <c r="S1363" s="215" t="n"/>
      <c r="T1363" s="215" t="n"/>
      <c r="U1363" s="215" t="n"/>
      <c r="V1363" s="215" t="n"/>
      <c r="W1363" s="215" t="n"/>
      <c r="X1363" s="215" t="n"/>
      <c r="Y1363" s="215" t="n"/>
      <c r="Z1363" s="215" t="n"/>
      <c r="AA1363" s="215" t="n"/>
      <c r="AB1363" s="215" t="n"/>
      <c r="AC1363" s="215" t="n"/>
      <c r="AD1363" s="215" t="n"/>
      <c r="AE1363" s="215" t="n"/>
      <c r="AF1363" s="215" t="n"/>
      <c r="AG1363" s="215" t="n"/>
      <c r="AH1363" s="215" t="n"/>
      <c r="AI1363" s="215" t="n"/>
      <c r="AJ1363" s="215" t="n"/>
      <c r="AK1363" s="216" t="n"/>
    </row>
    <row r="1364" ht="15" customHeight="1">
      <c r="B1364" s="134" t="n"/>
      <c r="C1364" s="105" t="n"/>
      <c r="D1364" s="105" t="n"/>
      <c r="E1364" s="105" t="n"/>
      <c r="F1364" s="105" t="n"/>
      <c r="G1364" s="105" t="n"/>
      <c r="H1364" s="2" t="n"/>
      <c r="I1364" s="105" t="n"/>
      <c r="K1364" s="215" t="n"/>
      <c r="L1364" s="215" t="n"/>
      <c r="M1364" s="215" t="n"/>
      <c r="N1364" s="215" t="n"/>
      <c r="O1364" s="215" t="n"/>
      <c r="P1364" s="215" t="n"/>
      <c r="Q1364" s="215" t="n"/>
      <c r="R1364" s="215" t="n"/>
      <c r="S1364" s="215" t="n"/>
      <c r="T1364" s="215" t="n"/>
      <c r="U1364" s="215" t="n"/>
      <c r="V1364" s="215" t="n"/>
      <c r="W1364" s="215" t="n"/>
      <c r="X1364" s="215" t="n"/>
      <c r="Y1364" s="215" t="n"/>
      <c r="Z1364" s="215" t="n"/>
      <c r="AA1364" s="215" t="n"/>
      <c r="AB1364" s="215" t="n"/>
      <c r="AC1364" s="215" t="n"/>
      <c r="AD1364" s="215" t="n"/>
      <c r="AE1364" s="215" t="n"/>
      <c r="AF1364" s="215" t="n"/>
      <c r="AG1364" s="215" t="n"/>
      <c r="AH1364" s="215" t="n"/>
      <c r="AI1364" s="215" t="n"/>
      <c r="AJ1364" s="215" t="n"/>
      <c r="AK1364" s="216" t="n"/>
    </row>
    <row r="1365" ht="15" customHeight="1">
      <c r="B1365" s="134" t="n"/>
      <c r="C1365" s="105" t="n"/>
      <c r="D1365" s="105" t="n"/>
      <c r="E1365" s="105" t="n"/>
      <c r="F1365" s="105" t="n"/>
      <c r="G1365" s="105" t="n"/>
      <c r="H1365" s="2" t="n"/>
      <c r="I1365" s="105" t="n"/>
      <c r="K1365" s="215" t="n"/>
      <c r="L1365" s="215" t="n"/>
      <c r="M1365" s="215" t="n"/>
      <c r="N1365" s="215" t="n"/>
      <c r="O1365" s="215" t="n"/>
      <c r="P1365" s="215" t="n"/>
      <c r="Q1365" s="215" t="n"/>
      <c r="R1365" s="215" t="n"/>
      <c r="S1365" s="215" t="n"/>
      <c r="T1365" s="215" t="n"/>
      <c r="U1365" s="215" t="n"/>
      <c r="V1365" s="215" t="n"/>
      <c r="W1365" s="215" t="n"/>
      <c r="X1365" s="215" t="n"/>
      <c r="Y1365" s="215" t="n"/>
      <c r="Z1365" s="215" t="n"/>
      <c r="AA1365" s="215" t="n"/>
      <c r="AB1365" s="215" t="n"/>
      <c r="AC1365" s="215" t="n"/>
      <c r="AD1365" s="215" t="n"/>
      <c r="AE1365" s="215" t="n"/>
      <c r="AF1365" s="215" t="n"/>
      <c r="AG1365" s="215" t="n"/>
      <c r="AH1365" s="215" t="n"/>
      <c r="AI1365" s="215" t="n"/>
      <c r="AJ1365" s="215" t="n"/>
      <c r="AK1365" s="216" t="n"/>
    </row>
    <row r="1366" ht="15" customHeight="1">
      <c r="B1366" s="134" t="n"/>
      <c r="C1366" s="105" t="n"/>
      <c r="D1366" s="105" t="n"/>
      <c r="E1366" s="105" t="n"/>
      <c r="F1366" s="105" t="n"/>
      <c r="G1366" s="105" t="n"/>
      <c r="H1366" s="2" t="n"/>
      <c r="I1366" s="105" t="n"/>
      <c r="K1366" s="215" t="n"/>
      <c r="L1366" s="215" t="n"/>
      <c r="M1366" s="215" t="n"/>
      <c r="N1366" s="215" t="n"/>
      <c r="O1366" s="215" t="n"/>
      <c r="P1366" s="215" t="n"/>
      <c r="Q1366" s="215" t="n"/>
      <c r="R1366" s="215" t="n"/>
      <c r="S1366" s="215" t="n"/>
      <c r="T1366" s="215" t="n"/>
      <c r="U1366" s="215" t="n"/>
      <c r="V1366" s="215" t="n"/>
      <c r="W1366" s="215" t="n"/>
      <c r="X1366" s="215" t="n"/>
      <c r="Y1366" s="215" t="n"/>
      <c r="Z1366" s="215" t="n"/>
      <c r="AA1366" s="215" t="n"/>
      <c r="AB1366" s="215" t="n"/>
      <c r="AC1366" s="215" t="n"/>
      <c r="AD1366" s="215" t="n"/>
      <c r="AE1366" s="215" t="n"/>
      <c r="AF1366" s="215" t="n"/>
      <c r="AG1366" s="215" t="n"/>
      <c r="AH1366" s="215" t="n"/>
      <c r="AI1366" s="215" t="n"/>
      <c r="AJ1366" s="215" t="n"/>
      <c r="AK1366" s="216" t="n"/>
    </row>
    <row r="1367" ht="15" customHeight="1">
      <c r="B1367" s="134" t="n"/>
      <c r="C1367" s="105" t="n"/>
      <c r="D1367" s="105" t="n"/>
      <c r="E1367" s="105" t="n"/>
      <c r="F1367" s="105" t="n"/>
      <c r="G1367" s="105" t="n"/>
      <c r="H1367" s="2" t="n"/>
      <c r="I1367" s="105" t="n"/>
      <c r="K1367" s="215" t="n"/>
      <c r="L1367" s="215" t="n"/>
      <c r="M1367" s="215" t="n"/>
      <c r="N1367" s="215" t="n"/>
      <c r="O1367" s="215" t="n"/>
      <c r="P1367" s="215" t="n"/>
      <c r="Q1367" s="215" t="n"/>
      <c r="R1367" s="215" t="n"/>
      <c r="S1367" s="215" t="n"/>
      <c r="T1367" s="215" t="n"/>
      <c r="U1367" s="215" t="n"/>
      <c r="V1367" s="215" t="n"/>
      <c r="W1367" s="215" t="n"/>
      <c r="X1367" s="215" t="n"/>
      <c r="Y1367" s="215" t="n"/>
      <c r="Z1367" s="215" t="n"/>
      <c r="AA1367" s="215" t="n"/>
      <c r="AB1367" s="215" t="n"/>
      <c r="AC1367" s="215" t="n"/>
      <c r="AD1367" s="215" t="n"/>
      <c r="AE1367" s="215" t="n"/>
      <c r="AF1367" s="215" t="n"/>
      <c r="AG1367" s="215" t="n"/>
      <c r="AH1367" s="215" t="n"/>
      <c r="AI1367" s="215" t="n"/>
      <c r="AJ1367" s="215" t="n"/>
      <c r="AK1367" s="216" t="n"/>
    </row>
    <row r="1368" ht="15" customHeight="1">
      <c r="B1368" s="134" t="n"/>
      <c r="C1368" s="105" t="n"/>
      <c r="D1368" s="105" t="n"/>
      <c r="E1368" s="105" t="n"/>
      <c r="F1368" s="105" t="n"/>
      <c r="G1368" s="105" t="n"/>
      <c r="H1368" s="2" t="n"/>
      <c r="I1368" s="105" t="n"/>
      <c r="K1368" s="215" t="n"/>
      <c r="L1368" s="215" t="n"/>
      <c r="M1368" s="215" t="n"/>
      <c r="N1368" s="215" t="n"/>
      <c r="O1368" s="215" t="n"/>
      <c r="P1368" s="215" t="n"/>
      <c r="Q1368" s="215" t="n"/>
      <c r="R1368" s="215" t="n"/>
      <c r="S1368" s="215" t="n"/>
      <c r="T1368" s="215" t="n"/>
      <c r="U1368" s="215" t="n"/>
      <c r="V1368" s="215" t="n"/>
      <c r="W1368" s="215" t="n"/>
      <c r="X1368" s="215" t="n"/>
      <c r="Y1368" s="215" t="n"/>
      <c r="Z1368" s="215" t="n"/>
      <c r="AA1368" s="215" t="n"/>
      <c r="AB1368" s="215" t="n"/>
      <c r="AC1368" s="215" t="n"/>
      <c r="AD1368" s="215" t="n"/>
      <c r="AE1368" s="215" t="n"/>
      <c r="AF1368" s="215" t="n"/>
      <c r="AG1368" s="215" t="n"/>
      <c r="AH1368" s="215" t="n"/>
      <c r="AI1368" s="215" t="n"/>
      <c r="AJ1368" s="215" t="n"/>
      <c r="AK1368" s="216" t="n"/>
    </row>
    <row r="1369" ht="15" customHeight="1">
      <c r="B1369" s="134" t="n"/>
      <c r="C1369" s="105" t="n"/>
      <c r="D1369" s="105" t="n"/>
      <c r="E1369" s="105" t="n"/>
      <c r="F1369" s="105" t="n"/>
      <c r="G1369" s="105" t="n"/>
      <c r="H1369" s="2" t="n"/>
      <c r="I1369" s="105" t="n"/>
      <c r="K1369" s="215" t="n"/>
      <c r="L1369" s="215" t="n"/>
      <c r="M1369" s="215" t="n"/>
      <c r="N1369" s="215" t="n"/>
      <c r="O1369" s="215" t="n"/>
      <c r="P1369" s="215" t="n"/>
      <c r="Q1369" s="215" t="n"/>
      <c r="R1369" s="215" t="n"/>
      <c r="S1369" s="215" t="n"/>
      <c r="T1369" s="215" t="n"/>
      <c r="U1369" s="215" t="n"/>
      <c r="V1369" s="215" t="n"/>
      <c r="W1369" s="215" t="n"/>
      <c r="X1369" s="215" t="n"/>
      <c r="Y1369" s="215" t="n"/>
      <c r="Z1369" s="215" t="n"/>
      <c r="AA1369" s="215" t="n"/>
      <c r="AB1369" s="215" t="n"/>
      <c r="AC1369" s="215" t="n"/>
      <c r="AD1369" s="215" t="n"/>
      <c r="AE1369" s="215" t="n"/>
      <c r="AF1369" s="215" t="n"/>
      <c r="AG1369" s="215" t="n"/>
      <c r="AH1369" s="215" t="n"/>
      <c r="AI1369" s="215" t="n"/>
      <c r="AJ1369" s="215" t="n"/>
      <c r="AK1369" s="216" t="n"/>
    </row>
    <row r="1370" ht="15" customHeight="1">
      <c r="B1370" s="134" t="n"/>
      <c r="C1370" s="105" t="n"/>
      <c r="D1370" s="105" t="n"/>
      <c r="E1370" s="105" t="n"/>
      <c r="F1370" s="105" t="n"/>
      <c r="G1370" s="105" t="n"/>
      <c r="H1370" s="2" t="n"/>
      <c r="I1370" s="105" t="n"/>
      <c r="K1370" s="215" t="n"/>
      <c r="L1370" s="215" t="n"/>
      <c r="M1370" s="215" t="n"/>
      <c r="N1370" s="215" t="n"/>
      <c r="O1370" s="215" t="n"/>
      <c r="P1370" s="215" t="n"/>
      <c r="Q1370" s="215" t="n"/>
      <c r="R1370" s="215" t="n"/>
      <c r="S1370" s="215" t="n"/>
      <c r="T1370" s="215" t="n"/>
      <c r="U1370" s="215" t="n"/>
      <c r="V1370" s="215" t="n"/>
      <c r="W1370" s="215" t="n"/>
      <c r="X1370" s="215" t="n"/>
      <c r="Y1370" s="215" t="n"/>
      <c r="Z1370" s="215" t="n"/>
      <c r="AA1370" s="215" t="n"/>
      <c r="AB1370" s="215" t="n"/>
      <c r="AC1370" s="215" t="n"/>
      <c r="AD1370" s="215" t="n"/>
      <c r="AE1370" s="215" t="n"/>
      <c r="AF1370" s="215" t="n"/>
      <c r="AG1370" s="215" t="n"/>
      <c r="AH1370" s="215" t="n"/>
      <c r="AI1370" s="215" t="n"/>
      <c r="AJ1370" s="215" t="n"/>
      <c r="AK1370" s="216" t="n"/>
    </row>
    <row r="1371" ht="15" customHeight="1">
      <c r="B1371" s="134" t="n"/>
      <c r="C1371" s="105" t="n"/>
      <c r="D1371" s="105" t="n"/>
      <c r="E1371" s="105" t="n"/>
      <c r="F1371" s="105" t="n"/>
      <c r="G1371" s="105" t="n"/>
      <c r="H1371" s="2" t="n"/>
      <c r="I1371" s="105" t="n"/>
      <c r="K1371" s="215" t="n"/>
      <c r="L1371" s="215" t="n"/>
      <c r="M1371" s="215" t="n"/>
      <c r="N1371" s="215" t="n"/>
      <c r="O1371" s="215" t="n"/>
      <c r="P1371" s="215" t="n"/>
      <c r="Q1371" s="215" t="n"/>
      <c r="R1371" s="215" t="n"/>
      <c r="S1371" s="215" t="n"/>
      <c r="T1371" s="215" t="n"/>
      <c r="U1371" s="215" t="n"/>
      <c r="V1371" s="215" t="n"/>
      <c r="W1371" s="215" t="n"/>
      <c r="X1371" s="215" t="n"/>
      <c r="Y1371" s="215" t="n"/>
      <c r="Z1371" s="215" t="n"/>
      <c r="AA1371" s="215" t="n"/>
      <c r="AB1371" s="215" t="n"/>
      <c r="AC1371" s="215" t="n"/>
      <c r="AD1371" s="215" t="n"/>
      <c r="AE1371" s="215" t="n"/>
      <c r="AF1371" s="215" t="n"/>
      <c r="AG1371" s="215" t="n"/>
      <c r="AH1371" s="215" t="n"/>
      <c r="AI1371" s="215" t="n"/>
      <c r="AJ1371" s="215" t="n"/>
      <c r="AK1371" s="216" t="n"/>
    </row>
    <row r="1372" ht="15" customHeight="1">
      <c r="B1372" s="134" t="n"/>
      <c r="C1372" s="105" t="n"/>
      <c r="D1372" s="105" t="n"/>
      <c r="E1372" s="105" t="n"/>
      <c r="F1372" s="105" t="n"/>
      <c r="G1372" s="105" t="n"/>
      <c r="H1372" s="2" t="n"/>
      <c r="I1372" s="105" t="n"/>
      <c r="K1372" s="215" t="n"/>
      <c r="L1372" s="215" t="n"/>
      <c r="M1372" s="215" t="n"/>
      <c r="N1372" s="215" t="n"/>
      <c r="O1372" s="215" t="n"/>
      <c r="P1372" s="215" t="n"/>
      <c r="Q1372" s="215" t="n"/>
      <c r="R1372" s="215" t="n"/>
      <c r="S1372" s="215" t="n"/>
      <c r="T1372" s="215" t="n"/>
      <c r="U1372" s="215" t="n"/>
      <c r="V1372" s="215" t="n"/>
      <c r="W1372" s="215" t="n"/>
      <c r="X1372" s="215" t="n"/>
      <c r="Y1372" s="215" t="n"/>
      <c r="Z1372" s="215" t="n"/>
      <c r="AA1372" s="215" t="n"/>
      <c r="AB1372" s="215" t="n"/>
      <c r="AC1372" s="215" t="n"/>
      <c r="AD1372" s="215" t="n"/>
      <c r="AE1372" s="215" t="n"/>
      <c r="AF1372" s="215" t="n"/>
      <c r="AG1372" s="215" t="n"/>
      <c r="AH1372" s="215" t="n"/>
      <c r="AI1372" s="215" t="n"/>
      <c r="AJ1372" s="215" t="n"/>
      <c r="AK1372" s="216" t="n"/>
    </row>
    <row r="1373" ht="15" customHeight="1">
      <c r="B1373" s="134" t="n"/>
      <c r="C1373" s="105" t="n"/>
      <c r="D1373" s="105" t="n"/>
      <c r="E1373" s="105" t="n"/>
      <c r="F1373" s="105" t="n"/>
      <c r="G1373" s="105" t="n"/>
      <c r="H1373" s="2" t="n"/>
      <c r="I1373" s="105" t="n"/>
      <c r="K1373" s="215" t="n"/>
      <c r="L1373" s="215" t="n"/>
      <c r="M1373" s="215" t="n"/>
      <c r="N1373" s="215" t="n"/>
      <c r="O1373" s="215" t="n"/>
      <c r="P1373" s="215" t="n"/>
      <c r="Q1373" s="215" t="n"/>
      <c r="R1373" s="215" t="n"/>
      <c r="S1373" s="215" t="n"/>
      <c r="T1373" s="215" t="n"/>
      <c r="U1373" s="215" t="n"/>
      <c r="V1373" s="215" t="n"/>
      <c r="W1373" s="215" t="n"/>
      <c r="X1373" s="215" t="n"/>
      <c r="Y1373" s="215" t="n"/>
      <c r="Z1373" s="215" t="n"/>
      <c r="AA1373" s="215" t="n"/>
      <c r="AB1373" s="215" t="n"/>
      <c r="AC1373" s="215" t="n"/>
      <c r="AD1373" s="215" t="n"/>
      <c r="AE1373" s="215" t="n"/>
      <c r="AF1373" s="215" t="n"/>
      <c r="AG1373" s="215" t="n"/>
      <c r="AH1373" s="215" t="n"/>
      <c r="AI1373" s="215" t="n"/>
      <c r="AJ1373" s="215" t="n"/>
      <c r="AK1373" s="216" t="n"/>
    </row>
    <row r="1374" ht="15" customHeight="1">
      <c r="B1374" s="134" t="n"/>
      <c r="C1374" s="105" t="n"/>
      <c r="D1374" s="105" t="n"/>
      <c r="E1374" s="105" t="n"/>
      <c r="F1374" s="105" t="n"/>
      <c r="G1374" s="105" t="n"/>
      <c r="H1374" s="2" t="n"/>
      <c r="I1374" s="105" t="n"/>
      <c r="K1374" s="215" t="n"/>
      <c r="L1374" s="215" t="n"/>
      <c r="M1374" s="215" t="n"/>
      <c r="N1374" s="215" t="n"/>
      <c r="O1374" s="215" t="n"/>
      <c r="P1374" s="215" t="n"/>
      <c r="Q1374" s="215" t="n"/>
      <c r="R1374" s="215" t="n"/>
      <c r="S1374" s="215" t="n"/>
      <c r="T1374" s="215" t="n"/>
      <c r="U1374" s="215" t="n"/>
      <c r="V1374" s="215" t="n"/>
      <c r="W1374" s="215" t="n"/>
      <c r="X1374" s="215" t="n"/>
      <c r="Y1374" s="215" t="n"/>
      <c r="Z1374" s="215" t="n"/>
      <c r="AA1374" s="215" t="n"/>
      <c r="AB1374" s="215" t="n"/>
      <c r="AC1374" s="215" t="n"/>
      <c r="AD1374" s="215" t="n"/>
      <c r="AE1374" s="215" t="n"/>
      <c r="AF1374" s="215" t="n"/>
      <c r="AG1374" s="215" t="n"/>
      <c r="AH1374" s="215" t="n"/>
      <c r="AI1374" s="215" t="n"/>
      <c r="AJ1374" s="215" t="n"/>
      <c r="AK1374" s="216" t="n"/>
    </row>
    <row r="1375" ht="15" customHeight="1">
      <c r="B1375" s="134" t="n"/>
      <c r="C1375" s="105" t="n"/>
      <c r="D1375" s="105" t="n"/>
      <c r="E1375" s="105" t="n"/>
      <c r="F1375" s="105" t="n"/>
      <c r="G1375" s="105" t="n"/>
      <c r="H1375" s="2" t="n"/>
      <c r="I1375" s="105" t="n"/>
      <c r="K1375" s="215" t="n"/>
      <c r="L1375" s="215" t="n"/>
      <c r="M1375" s="215" t="n"/>
      <c r="N1375" s="215" t="n"/>
      <c r="O1375" s="215" t="n"/>
      <c r="P1375" s="215" t="n"/>
      <c r="Q1375" s="215" t="n"/>
      <c r="R1375" s="215" t="n"/>
      <c r="S1375" s="215" t="n"/>
      <c r="T1375" s="215" t="n"/>
      <c r="U1375" s="215" t="n"/>
      <c r="V1375" s="215" t="n"/>
      <c r="W1375" s="215" t="n"/>
      <c r="X1375" s="215" t="n"/>
      <c r="Y1375" s="215" t="n"/>
      <c r="Z1375" s="215" t="n"/>
      <c r="AA1375" s="215" t="n"/>
      <c r="AB1375" s="215" t="n"/>
      <c r="AC1375" s="215" t="n"/>
      <c r="AD1375" s="215" t="n"/>
      <c r="AE1375" s="215" t="n"/>
      <c r="AF1375" s="215" t="n"/>
      <c r="AG1375" s="215" t="n"/>
      <c r="AH1375" s="215" t="n"/>
      <c r="AI1375" s="215" t="n"/>
      <c r="AJ1375" s="215" t="n"/>
      <c r="AK1375" s="216" t="n"/>
    </row>
    <row r="1376" ht="15" customHeight="1">
      <c r="B1376" s="134" t="n"/>
      <c r="C1376" s="105" t="n"/>
      <c r="D1376" s="105" t="n"/>
      <c r="E1376" s="105" t="n"/>
      <c r="F1376" s="105" t="n"/>
      <c r="G1376" s="105" t="n"/>
      <c r="H1376" s="2" t="n"/>
      <c r="I1376" s="105" t="n"/>
      <c r="K1376" s="215" t="n"/>
      <c r="L1376" s="215" t="n"/>
      <c r="M1376" s="215" t="n"/>
      <c r="N1376" s="215" t="n"/>
      <c r="O1376" s="215" t="n"/>
      <c r="P1376" s="215" t="n"/>
      <c r="Q1376" s="215" t="n"/>
      <c r="R1376" s="215" t="n"/>
      <c r="S1376" s="215" t="n"/>
      <c r="T1376" s="215" t="n"/>
      <c r="U1376" s="215" t="n"/>
      <c r="V1376" s="215" t="n"/>
      <c r="W1376" s="215" t="n"/>
      <c r="X1376" s="215" t="n"/>
      <c r="Y1376" s="215" t="n"/>
      <c r="Z1376" s="215" t="n"/>
      <c r="AA1376" s="215" t="n"/>
      <c r="AB1376" s="215" t="n"/>
      <c r="AC1376" s="215" t="n"/>
      <c r="AD1376" s="215" t="n"/>
      <c r="AE1376" s="215" t="n"/>
      <c r="AF1376" s="215" t="n"/>
      <c r="AG1376" s="215" t="n"/>
      <c r="AH1376" s="215" t="n"/>
      <c r="AI1376" s="215" t="n"/>
      <c r="AJ1376" s="215" t="n"/>
      <c r="AK1376" s="216" t="n"/>
    </row>
    <row r="1377" ht="15" customHeight="1">
      <c r="B1377" s="134" t="n"/>
      <c r="C1377" s="105" t="n"/>
      <c r="D1377" s="105" t="n"/>
      <c r="E1377" s="105" t="n"/>
      <c r="F1377" s="105" t="n"/>
      <c r="G1377" s="105" t="n"/>
      <c r="H1377" s="2" t="n"/>
      <c r="I1377" s="105" t="n"/>
      <c r="K1377" s="215" t="n"/>
      <c r="L1377" s="215" t="n"/>
      <c r="M1377" s="215" t="n"/>
      <c r="N1377" s="215" t="n"/>
      <c r="O1377" s="215" t="n"/>
      <c r="P1377" s="215" t="n"/>
      <c r="Q1377" s="215" t="n"/>
      <c r="R1377" s="215" t="n"/>
      <c r="S1377" s="215" t="n"/>
      <c r="T1377" s="215" t="n"/>
      <c r="U1377" s="215" t="n"/>
      <c r="V1377" s="215" t="n"/>
      <c r="W1377" s="215" t="n"/>
      <c r="X1377" s="215" t="n"/>
      <c r="Y1377" s="215" t="n"/>
      <c r="Z1377" s="215" t="n"/>
      <c r="AA1377" s="215" t="n"/>
      <c r="AB1377" s="215" t="n"/>
      <c r="AC1377" s="215" t="n"/>
      <c r="AD1377" s="215" t="n"/>
      <c r="AE1377" s="215" t="n"/>
      <c r="AF1377" s="215" t="n"/>
      <c r="AG1377" s="215" t="n"/>
      <c r="AH1377" s="215" t="n"/>
      <c r="AI1377" s="215" t="n"/>
      <c r="AJ1377" s="215" t="n"/>
      <c r="AK1377" s="216" t="n"/>
    </row>
    <row r="1378" ht="15" customHeight="1">
      <c r="B1378" s="134" t="n"/>
      <c r="C1378" s="105" t="n"/>
      <c r="D1378" s="105" t="n"/>
      <c r="E1378" s="105" t="n"/>
      <c r="F1378" s="105" t="n"/>
      <c r="G1378" s="105" t="n"/>
      <c r="H1378" s="2" t="n"/>
      <c r="I1378" s="105" t="n"/>
      <c r="K1378" s="215" t="n"/>
      <c r="L1378" s="215" t="n"/>
      <c r="M1378" s="215" t="n"/>
      <c r="N1378" s="215" t="n"/>
      <c r="O1378" s="215" t="n"/>
      <c r="P1378" s="215" t="n"/>
      <c r="Q1378" s="215" t="n"/>
      <c r="R1378" s="215" t="n"/>
      <c r="S1378" s="215" t="n"/>
      <c r="T1378" s="215" t="n"/>
      <c r="U1378" s="215" t="n"/>
      <c r="V1378" s="215" t="n"/>
      <c r="W1378" s="215" t="n"/>
      <c r="X1378" s="215" t="n"/>
      <c r="Y1378" s="215" t="n"/>
      <c r="Z1378" s="215" t="n"/>
      <c r="AA1378" s="215" t="n"/>
      <c r="AB1378" s="215" t="n"/>
      <c r="AC1378" s="215" t="n"/>
      <c r="AD1378" s="215" t="n"/>
      <c r="AE1378" s="215" t="n"/>
      <c r="AF1378" s="215" t="n"/>
      <c r="AG1378" s="215" t="n"/>
      <c r="AH1378" s="215" t="n"/>
      <c r="AI1378" s="215" t="n"/>
      <c r="AJ1378" s="215" t="n"/>
      <c r="AK1378" s="216" t="n"/>
    </row>
    <row r="1379" ht="15" customHeight="1">
      <c r="B1379" s="134" t="n"/>
      <c r="C1379" s="105" t="n"/>
      <c r="D1379" s="105" t="n"/>
      <c r="E1379" s="105" t="n"/>
      <c r="F1379" s="105" t="n"/>
      <c r="G1379" s="105" t="n"/>
      <c r="H1379" s="2" t="n"/>
      <c r="I1379" s="105" t="n"/>
      <c r="K1379" s="215" t="n"/>
      <c r="L1379" s="215" t="n"/>
      <c r="M1379" s="215" t="n"/>
      <c r="N1379" s="215" t="n"/>
      <c r="O1379" s="215" t="n"/>
      <c r="P1379" s="215" t="n"/>
      <c r="Q1379" s="215" t="n"/>
      <c r="R1379" s="215" t="n"/>
      <c r="S1379" s="215" t="n"/>
      <c r="T1379" s="215" t="n"/>
      <c r="U1379" s="215" t="n"/>
      <c r="V1379" s="215" t="n"/>
      <c r="W1379" s="215" t="n"/>
      <c r="X1379" s="215" t="n"/>
      <c r="Y1379" s="215" t="n"/>
      <c r="Z1379" s="215" t="n"/>
      <c r="AA1379" s="215" t="n"/>
      <c r="AB1379" s="215" t="n"/>
      <c r="AC1379" s="215" t="n"/>
      <c r="AD1379" s="215" t="n"/>
      <c r="AE1379" s="215" t="n"/>
      <c r="AF1379" s="215" t="n"/>
      <c r="AG1379" s="215" t="n"/>
      <c r="AH1379" s="215" t="n"/>
      <c r="AI1379" s="215" t="n"/>
      <c r="AJ1379" s="215" t="n"/>
      <c r="AK1379" s="216" t="n"/>
    </row>
    <row r="1380" ht="15" customHeight="1">
      <c r="B1380" s="134" t="n"/>
      <c r="C1380" s="105" t="n"/>
      <c r="D1380" s="105" t="n"/>
      <c r="E1380" s="105" t="n"/>
      <c r="F1380" s="105" t="n"/>
      <c r="G1380" s="105" t="n"/>
      <c r="H1380" s="2" t="n"/>
      <c r="I1380" s="105" t="n"/>
      <c r="K1380" s="215" t="n"/>
      <c r="L1380" s="215" t="n"/>
      <c r="M1380" s="215" t="n"/>
      <c r="N1380" s="215" t="n"/>
      <c r="O1380" s="215" t="n"/>
      <c r="P1380" s="215" t="n"/>
      <c r="Q1380" s="215" t="n"/>
      <c r="R1380" s="215" t="n"/>
      <c r="S1380" s="215" t="n"/>
      <c r="T1380" s="215" t="n"/>
      <c r="U1380" s="215" t="n"/>
      <c r="V1380" s="215" t="n"/>
      <c r="W1380" s="215" t="n"/>
      <c r="X1380" s="215" t="n"/>
      <c r="Y1380" s="215" t="n"/>
      <c r="Z1380" s="215" t="n"/>
      <c r="AA1380" s="215" t="n"/>
      <c r="AB1380" s="215" t="n"/>
      <c r="AC1380" s="215" t="n"/>
      <c r="AD1380" s="215" t="n"/>
      <c r="AE1380" s="215" t="n"/>
      <c r="AF1380" s="215" t="n"/>
      <c r="AG1380" s="215" t="n"/>
      <c r="AH1380" s="215" t="n"/>
      <c r="AI1380" s="215" t="n"/>
      <c r="AJ1380" s="215" t="n"/>
      <c r="AK1380" s="216" t="n"/>
    </row>
    <row r="1381" ht="15" customHeight="1">
      <c r="B1381" s="134" t="n"/>
      <c r="C1381" s="105" t="n"/>
      <c r="D1381" s="105" t="n"/>
      <c r="E1381" s="105" t="n"/>
      <c r="F1381" s="105" t="n"/>
      <c r="G1381" s="105" t="n"/>
      <c r="H1381" s="2" t="n"/>
      <c r="I1381" s="105" t="n"/>
      <c r="K1381" s="215" t="n"/>
      <c r="L1381" s="215" t="n"/>
      <c r="M1381" s="215" t="n"/>
      <c r="N1381" s="215" t="n"/>
      <c r="O1381" s="215" t="n"/>
      <c r="P1381" s="215" t="n"/>
      <c r="Q1381" s="215" t="n"/>
      <c r="R1381" s="215" t="n"/>
      <c r="S1381" s="215" t="n"/>
      <c r="T1381" s="215" t="n"/>
      <c r="U1381" s="215" t="n"/>
      <c r="V1381" s="215" t="n"/>
      <c r="W1381" s="215" t="n"/>
      <c r="X1381" s="215" t="n"/>
      <c r="Y1381" s="215" t="n"/>
      <c r="Z1381" s="215" t="n"/>
      <c r="AA1381" s="215" t="n"/>
      <c r="AB1381" s="215" t="n"/>
      <c r="AC1381" s="215" t="n"/>
      <c r="AD1381" s="215" t="n"/>
      <c r="AE1381" s="215" t="n"/>
      <c r="AF1381" s="215" t="n"/>
      <c r="AG1381" s="215" t="n"/>
      <c r="AH1381" s="215" t="n"/>
      <c r="AI1381" s="215" t="n"/>
      <c r="AJ1381" s="215" t="n"/>
      <c r="AK1381" s="216" t="n"/>
    </row>
    <row r="1382" ht="15" customHeight="1">
      <c r="B1382" s="134" t="n"/>
      <c r="C1382" s="105" t="n"/>
      <c r="D1382" s="105" t="n"/>
      <c r="E1382" s="105" t="n"/>
      <c r="F1382" s="105" t="n"/>
      <c r="G1382" s="105" t="n"/>
      <c r="H1382" s="2" t="n"/>
      <c r="I1382" s="105" t="n"/>
      <c r="K1382" s="215" t="n"/>
      <c r="L1382" s="215" t="n"/>
      <c r="M1382" s="215" t="n"/>
      <c r="N1382" s="215" t="n"/>
      <c r="O1382" s="215" t="n"/>
      <c r="P1382" s="215" t="n"/>
      <c r="Q1382" s="215" t="n"/>
      <c r="R1382" s="215" t="n"/>
      <c r="S1382" s="215" t="n"/>
      <c r="T1382" s="215" t="n"/>
      <c r="U1382" s="215" t="n"/>
      <c r="V1382" s="215" t="n"/>
      <c r="W1382" s="215" t="n"/>
      <c r="X1382" s="215" t="n"/>
      <c r="Y1382" s="215" t="n"/>
      <c r="Z1382" s="215" t="n"/>
      <c r="AA1382" s="215" t="n"/>
      <c r="AB1382" s="215" t="n"/>
      <c r="AC1382" s="215" t="n"/>
      <c r="AD1382" s="215" t="n"/>
      <c r="AE1382" s="215" t="n"/>
      <c r="AF1382" s="215" t="n"/>
      <c r="AG1382" s="215" t="n"/>
      <c r="AH1382" s="215" t="n"/>
      <c r="AI1382" s="215" t="n"/>
      <c r="AJ1382" s="215" t="n"/>
      <c r="AK1382" s="216" t="n"/>
    </row>
    <row r="1383" ht="15" customHeight="1">
      <c r="B1383" s="134" t="n"/>
      <c r="C1383" s="105" t="n"/>
      <c r="D1383" s="105" t="n"/>
      <c r="E1383" s="105" t="n"/>
      <c r="F1383" s="105" t="n"/>
      <c r="G1383" s="105" t="n"/>
      <c r="H1383" s="2" t="n"/>
      <c r="I1383" s="105" t="n"/>
      <c r="K1383" s="215" t="n"/>
      <c r="L1383" s="215" t="n"/>
      <c r="M1383" s="215" t="n"/>
      <c r="N1383" s="215" t="n"/>
      <c r="O1383" s="215" t="n"/>
      <c r="P1383" s="215" t="n"/>
      <c r="Q1383" s="215" t="n"/>
      <c r="R1383" s="215" t="n"/>
      <c r="S1383" s="215" t="n"/>
      <c r="T1383" s="215" t="n"/>
      <c r="U1383" s="215" t="n"/>
      <c r="V1383" s="215" t="n"/>
      <c r="W1383" s="215" t="n"/>
      <c r="X1383" s="215" t="n"/>
      <c r="Y1383" s="215" t="n"/>
      <c r="Z1383" s="215" t="n"/>
      <c r="AA1383" s="215" t="n"/>
      <c r="AB1383" s="215" t="n"/>
      <c r="AC1383" s="215" t="n"/>
      <c r="AD1383" s="215" t="n"/>
      <c r="AE1383" s="215" t="n"/>
      <c r="AF1383" s="215" t="n"/>
      <c r="AG1383" s="215" t="n"/>
      <c r="AH1383" s="215" t="n"/>
      <c r="AI1383" s="215" t="n"/>
      <c r="AJ1383" s="215" t="n"/>
      <c r="AK1383" s="216" t="n"/>
    </row>
    <row r="1384" ht="15" customHeight="1">
      <c r="B1384" s="134" t="n"/>
      <c r="C1384" s="105" t="n"/>
      <c r="D1384" s="105" t="n"/>
      <c r="E1384" s="105" t="n"/>
      <c r="F1384" s="105" t="n"/>
      <c r="G1384" s="105" t="n"/>
      <c r="H1384" s="2" t="n"/>
      <c r="I1384" s="105" t="n"/>
      <c r="K1384" s="215" t="n"/>
      <c r="L1384" s="215" t="n"/>
      <c r="M1384" s="215" t="n"/>
      <c r="N1384" s="215" t="n"/>
      <c r="O1384" s="215" t="n"/>
      <c r="P1384" s="215" t="n"/>
      <c r="Q1384" s="215" t="n"/>
      <c r="R1384" s="215" t="n"/>
      <c r="S1384" s="215" t="n"/>
      <c r="T1384" s="215" t="n"/>
      <c r="U1384" s="215" t="n"/>
      <c r="V1384" s="215" t="n"/>
      <c r="W1384" s="215" t="n"/>
      <c r="X1384" s="215" t="n"/>
      <c r="Y1384" s="215" t="n"/>
      <c r="Z1384" s="215" t="n"/>
      <c r="AA1384" s="215" t="n"/>
      <c r="AB1384" s="215" t="n"/>
      <c r="AC1384" s="215" t="n"/>
      <c r="AD1384" s="215" t="n"/>
      <c r="AE1384" s="215" t="n"/>
      <c r="AF1384" s="215" t="n"/>
      <c r="AG1384" s="215" t="n"/>
      <c r="AH1384" s="215" t="n"/>
      <c r="AI1384" s="215" t="n"/>
      <c r="AJ1384" s="215" t="n"/>
      <c r="AK1384" s="216" t="n"/>
    </row>
    <row r="1385" ht="15" customHeight="1">
      <c r="B1385" s="134" t="n"/>
      <c r="C1385" s="105" t="n"/>
      <c r="D1385" s="105" t="n"/>
      <c r="E1385" s="105" t="n"/>
      <c r="F1385" s="105" t="n"/>
      <c r="G1385" s="105" t="n"/>
      <c r="H1385" s="2" t="n"/>
      <c r="I1385" s="105" t="n"/>
      <c r="K1385" s="215" t="n"/>
      <c r="L1385" s="215" t="n"/>
      <c r="M1385" s="215" t="n"/>
      <c r="N1385" s="215" t="n"/>
      <c r="O1385" s="215" t="n"/>
      <c r="P1385" s="215" t="n"/>
      <c r="Q1385" s="215" t="n"/>
      <c r="R1385" s="215" t="n"/>
      <c r="S1385" s="215" t="n"/>
      <c r="T1385" s="215" t="n"/>
      <c r="U1385" s="215" t="n"/>
      <c r="V1385" s="215" t="n"/>
      <c r="W1385" s="215" t="n"/>
      <c r="X1385" s="215" t="n"/>
      <c r="Y1385" s="215" t="n"/>
      <c r="Z1385" s="215" t="n"/>
      <c r="AA1385" s="215" t="n"/>
      <c r="AB1385" s="215" t="n"/>
      <c r="AC1385" s="215" t="n"/>
      <c r="AD1385" s="215" t="n"/>
      <c r="AE1385" s="215" t="n"/>
      <c r="AF1385" s="215" t="n"/>
      <c r="AG1385" s="215" t="n"/>
      <c r="AH1385" s="215" t="n"/>
      <c r="AI1385" s="215" t="n"/>
      <c r="AJ1385" s="215" t="n"/>
      <c r="AK1385" s="216" t="n"/>
    </row>
    <row r="1386" ht="15" customHeight="1">
      <c r="B1386" s="134" t="n"/>
      <c r="C1386" s="105" t="n"/>
      <c r="D1386" s="105" t="n"/>
      <c r="E1386" s="105" t="n"/>
      <c r="F1386" s="105" t="n"/>
      <c r="G1386" s="105" t="n"/>
      <c r="H1386" s="2" t="n"/>
      <c r="I1386" s="105" t="n"/>
      <c r="K1386" s="215" t="n"/>
      <c r="L1386" s="215" t="n"/>
      <c r="M1386" s="215" t="n"/>
      <c r="N1386" s="215" t="n"/>
      <c r="O1386" s="215" t="n"/>
      <c r="P1386" s="215" t="n"/>
      <c r="Q1386" s="215" t="n"/>
      <c r="R1386" s="215" t="n"/>
      <c r="S1386" s="215" t="n"/>
      <c r="T1386" s="215" t="n"/>
      <c r="U1386" s="215" t="n"/>
      <c r="V1386" s="215" t="n"/>
      <c r="W1386" s="215" t="n"/>
      <c r="X1386" s="215" t="n"/>
      <c r="Y1386" s="215" t="n"/>
      <c r="Z1386" s="215" t="n"/>
      <c r="AA1386" s="215" t="n"/>
      <c r="AB1386" s="215" t="n"/>
      <c r="AC1386" s="215" t="n"/>
      <c r="AD1386" s="215" t="n"/>
      <c r="AE1386" s="215" t="n"/>
      <c r="AF1386" s="215" t="n"/>
      <c r="AG1386" s="215" t="n"/>
      <c r="AH1386" s="215" t="n"/>
      <c r="AI1386" s="215" t="n"/>
      <c r="AJ1386" s="215" t="n"/>
      <c r="AK1386" s="216" t="n"/>
    </row>
    <row r="1387" ht="15" customHeight="1">
      <c r="B1387" s="134" t="n"/>
      <c r="C1387" s="105" t="n"/>
      <c r="D1387" s="105" t="n"/>
      <c r="E1387" s="105" t="n"/>
      <c r="F1387" s="105" t="n"/>
      <c r="G1387" s="105" t="n"/>
      <c r="H1387" s="2" t="n"/>
      <c r="I1387" s="105" t="n"/>
      <c r="K1387" s="215" t="n"/>
      <c r="L1387" s="215" t="n"/>
      <c r="M1387" s="215" t="n"/>
      <c r="N1387" s="215" t="n"/>
      <c r="O1387" s="215" t="n"/>
      <c r="P1387" s="215" t="n"/>
      <c r="Q1387" s="215" t="n"/>
      <c r="R1387" s="215" t="n"/>
      <c r="S1387" s="215" t="n"/>
      <c r="T1387" s="215" t="n"/>
      <c r="U1387" s="215" t="n"/>
      <c r="V1387" s="215" t="n"/>
      <c r="W1387" s="215" t="n"/>
      <c r="X1387" s="215" t="n"/>
      <c r="Y1387" s="215" t="n"/>
      <c r="Z1387" s="215" t="n"/>
      <c r="AA1387" s="215" t="n"/>
      <c r="AB1387" s="215" t="n"/>
      <c r="AC1387" s="215" t="n"/>
      <c r="AD1387" s="215" t="n"/>
      <c r="AE1387" s="215" t="n"/>
      <c r="AF1387" s="215" t="n"/>
      <c r="AG1387" s="215" t="n"/>
      <c r="AH1387" s="215" t="n"/>
      <c r="AI1387" s="215" t="n"/>
      <c r="AJ1387" s="215" t="n"/>
      <c r="AK1387" s="216" t="n"/>
    </row>
    <row r="1388" ht="15" customHeight="1">
      <c r="B1388" s="134" t="n"/>
      <c r="C1388" s="105" t="n"/>
      <c r="D1388" s="105" t="n"/>
      <c r="E1388" s="105" t="n"/>
      <c r="F1388" s="105" t="n"/>
      <c r="G1388" s="105" t="n"/>
      <c r="H1388" s="2" t="n"/>
      <c r="I1388" s="105" t="n"/>
      <c r="K1388" s="215" t="n"/>
      <c r="L1388" s="215" t="n"/>
      <c r="M1388" s="215" t="n"/>
      <c r="N1388" s="215" t="n"/>
      <c r="O1388" s="215" t="n"/>
      <c r="P1388" s="215" t="n"/>
      <c r="Q1388" s="215" t="n"/>
      <c r="R1388" s="215" t="n"/>
      <c r="S1388" s="215" t="n"/>
      <c r="T1388" s="215" t="n"/>
      <c r="U1388" s="215" t="n"/>
      <c r="V1388" s="215" t="n"/>
      <c r="W1388" s="215" t="n"/>
      <c r="X1388" s="215" t="n"/>
      <c r="Y1388" s="215" t="n"/>
      <c r="Z1388" s="215" t="n"/>
      <c r="AA1388" s="215" t="n"/>
      <c r="AB1388" s="215" t="n"/>
      <c r="AC1388" s="215" t="n"/>
      <c r="AD1388" s="215" t="n"/>
      <c r="AE1388" s="215" t="n"/>
      <c r="AF1388" s="215" t="n"/>
      <c r="AG1388" s="215" t="n"/>
      <c r="AH1388" s="215" t="n"/>
      <c r="AI1388" s="215" t="n"/>
      <c r="AJ1388" s="215" t="n"/>
      <c r="AK1388" s="216" t="n"/>
    </row>
    <row r="1389" ht="15" customHeight="1">
      <c r="B1389" s="134" t="n"/>
      <c r="C1389" s="105" t="n"/>
      <c r="D1389" s="105" t="n"/>
      <c r="E1389" s="105" t="n"/>
      <c r="F1389" s="105" t="n"/>
      <c r="G1389" s="105" t="n"/>
      <c r="H1389" s="2" t="n"/>
      <c r="I1389" s="105" t="n"/>
      <c r="K1389" s="215" t="n"/>
      <c r="L1389" s="215" t="n"/>
      <c r="M1389" s="215" t="n"/>
      <c r="N1389" s="215" t="n"/>
      <c r="O1389" s="215" t="n"/>
      <c r="P1389" s="215" t="n"/>
      <c r="Q1389" s="215" t="n"/>
      <c r="R1389" s="215" t="n"/>
      <c r="S1389" s="215" t="n"/>
      <c r="T1389" s="215" t="n"/>
      <c r="U1389" s="215" t="n"/>
      <c r="V1389" s="215" t="n"/>
      <c r="W1389" s="215" t="n"/>
      <c r="X1389" s="215" t="n"/>
      <c r="Y1389" s="215" t="n"/>
      <c r="Z1389" s="215" t="n"/>
      <c r="AA1389" s="215" t="n"/>
      <c r="AB1389" s="215" t="n"/>
      <c r="AC1389" s="215" t="n"/>
      <c r="AD1389" s="215" t="n"/>
      <c r="AE1389" s="215" t="n"/>
      <c r="AF1389" s="215" t="n"/>
      <c r="AG1389" s="215" t="n"/>
      <c r="AH1389" s="215" t="n"/>
      <c r="AI1389" s="215" t="n"/>
      <c r="AJ1389" s="215" t="n"/>
      <c r="AK1389" s="216" t="n"/>
    </row>
    <row r="1390" ht="15" customHeight="1">
      <c r="B1390" s="134" t="n"/>
      <c r="C1390" s="105" t="n"/>
      <c r="D1390" s="105" t="n"/>
      <c r="E1390" s="105" t="n"/>
      <c r="F1390" s="105" t="n"/>
      <c r="G1390" s="105" t="n"/>
      <c r="H1390" s="2" t="n"/>
      <c r="I1390" s="105" t="n"/>
      <c r="K1390" s="215" t="n"/>
      <c r="L1390" s="215" t="n"/>
      <c r="M1390" s="215" t="n"/>
      <c r="N1390" s="215" t="n"/>
      <c r="O1390" s="215" t="n"/>
      <c r="P1390" s="215" t="n"/>
      <c r="Q1390" s="215" t="n"/>
      <c r="R1390" s="215" t="n"/>
      <c r="S1390" s="215" t="n"/>
      <c r="T1390" s="215" t="n"/>
      <c r="U1390" s="215" t="n"/>
      <c r="V1390" s="215" t="n"/>
      <c r="W1390" s="215" t="n"/>
      <c r="X1390" s="215" t="n"/>
      <c r="Y1390" s="215" t="n"/>
      <c r="Z1390" s="215" t="n"/>
      <c r="AA1390" s="215" t="n"/>
      <c r="AB1390" s="215" t="n"/>
      <c r="AC1390" s="215" t="n"/>
      <c r="AD1390" s="215" t="n"/>
      <c r="AE1390" s="215" t="n"/>
      <c r="AF1390" s="215" t="n"/>
      <c r="AG1390" s="215" t="n"/>
      <c r="AH1390" s="215" t="n"/>
      <c r="AI1390" s="215" t="n"/>
      <c r="AJ1390" s="215" t="n"/>
      <c r="AK1390" s="216" t="n"/>
    </row>
    <row r="1391" ht="15" customHeight="1">
      <c r="B1391" s="134" t="n"/>
      <c r="C1391" s="105" t="n"/>
      <c r="D1391" s="105" t="n"/>
      <c r="E1391" s="105" t="n"/>
      <c r="F1391" s="105" t="n"/>
      <c r="G1391" s="105" t="n"/>
      <c r="H1391" s="2" t="n"/>
      <c r="I1391" s="105" t="n"/>
      <c r="K1391" s="215" t="n"/>
      <c r="L1391" s="215" t="n"/>
      <c r="M1391" s="215" t="n"/>
      <c r="N1391" s="215" t="n"/>
      <c r="O1391" s="215" t="n"/>
      <c r="P1391" s="215" t="n"/>
      <c r="Q1391" s="215" t="n"/>
      <c r="R1391" s="215" t="n"/>
      <c r="S1391" s="215" t="n"/>
      <c r="T1391" s="215" t="n"/>
      <c r="U1391" s="215" t="n"/>
      <c r="V1391" s="215" t="n"/>
      <c r="W1391" s="215" t="n"/>
      <c r="X1391" s="215" t="n"/>
      <c r="Y1391" s="215" t="n"/>
      <c r="Z1391" s="215" t="n"/>
      <c r="AA1391" s="215" t="n"/>
      <c r="AB1391" s="215" t="n"/>
      <c r="AC1391" s="215" t="n"/>
      <c r="AD1391" s="215" t="n"/>
      <c r="AE1391" s="215" t="n"/>
      <c r="AF1391" s="215" t="n"/>
      <c r="AG1391" s="215" t="n"/>
      <c r="AH1391" s="215" t="n"/>
      <c r="AI1391" s="215" t="n"/>
      <c r="AJ1391" s="215" t="n"/>
      <c r="AK1391" s="216" t="n"/>
    </row>
    <row r="1392" ht="15" customHeight="1">
      <c r="B1392" s="134" t="n"/>
      <c r="C1392" s="105" t="n"/>
      <c r="D1392" s="105" t="n"/>
      <c r="E1392" s="105" t="n"/>
      <c r="F1392" s="105" t="n"/>
      <c r="G1392" s="105" t="n"/>
      <c r="H1392" s="2" t="n"/>
      <c r="I1392" s="105" t="n"/>
      <c r="K1392" s="215" t="n"/>
      <c r="L1392" s="215" t="n"/>
      <c r="M1392" s="215" t="n"/>
      <c r="N1392" s="215" t="n"/>
      <c r="O1392" s="215" t="n"/>
      <c r="P1392" s="215" t="n"/>
      <c r="Q1392" s="215" t="n"/>
      <c r="R1392" s="215" t="n"/>
      <c r="S1392" s="215" t="n"/>
      <c r="T1392" s="215" t="n"/>
      <c r="U1392" s="215" t="n"/>
      <c r="V1392" s="215" t="n"/>
      <c r="W1392" s="215" t="n"/>
      <c r="X1392" s="215" t="n"/>
      <c r="Y1392" s="215" t="n"/>
      <c r="Z1392" s="215" t="n"/>
      <c r="AA1392" s="215" t="n"/>
      <c r="AB1392" s="215" t="n"/>
      <c r="AC1392" s="215" t="n"/>
      <c r="AD1392" s="215" t="n"/>
      <c r="AE1392" s="215" t="n"/>
      <c r="AF1392" s="215" t="n"/>
      <c r="AG1392" s="215" t="n"/>
      <c r="AH1392" s="215" t="n"/>
      <c r="AI1392" s="215" t="n"/>
      <c r="AJ1392" s="215" t="n"/>
      <c r="AK1392" s="216" t="n"/>
    </row>
    <row r="1393" ht="15" customHeight="1">
      <c r="B1393" s="134" t="n"/>
      <c r="C1393" s="105" t="n"/>
      <c r="D1393" s="105" t="n"/>
      <c r="E1393" s="105" t="n"/>
      <c r="F1393" s="105" t="n"/>
      <c r="G1393" s="105" t="n"/>
      <c r="H1393" s="2" t="n"/>
      <c r="I1393" s="105" t="n"/>
      <c r="K1393" s="215" t="n"/>
      <c r="L1393" s="215" t="n"/>
      <c r="M1393" s="215" t="n"/>
      <c r="N1393" s="215" t="n"/>
      <c r="O1393" s="215" t="n"/>
      <c r="P1393" s="215" t="n"/>
      <c r="Q1393" s="215" t="n"/>
      <c r="R1393" s="215" t="n"/>
      <c r="S1393" s="215" t="n"/>
      <c r="T1393" s="215" t="n"/>
      <c r="U1393" s="215" t="n"/>
      <c r="V1393" s="215" t="n"/>
      <c r="W1393" s="215" t="n"/>
      <c r="X1393" s="215" t="n"/>
      <c r="Y1393" s="215" t="n"/>
      <c r="Z1393" s="215" t="n"/>
      <c r="AA1393" s="215" t="n"/>
      <c r="AB1393" s="215" t="n"/>
      <c r="AC1393" s="215" t="n"/>
      <c r="AD1393" s="215" t="n"/>
      <c r="AE1393" s="215" t="n"/>
      <c r="AF1393" s="215" t="n"/>
      <c r="AG1393" s="215" t="n"/>
      <c r="AH1393" s="215" t="n"/>
      <c r="AI1393" s="215" t="n"/>
      <c r="AJ1393" s="215" t="n"/>
      <c r="AK1393" s="216" t="n"/>
    </row>
    <row r="1394" ht="15" customHeight="1">
      <c r="B1394" s="134" t="n"/>
      <c r="C1394" s="105" t="n"/>
      <c r="D1394" s="105" t="n"/>
      <c r="E1394" s="105" t="n"/>
      <c r="F1394" s="105" t="n"/>
      <c r="G1394" s="105" t="n"/>
      <c r="H1394" s="2" t="n"/>
      <c r="I1394" s="105" t="n"/>
      <c r="K1394" s="215" t="n"/>
      <c r="L1394" s="215" t="n"/>
      <c r="M1394" s="215" t="n"/>
      <c r="N1394" s="215" t="n"/>
      <c r="O1394" s="215" t="n"/>
      <c r="P1394" s="215" t="n"/>
      <c r="Q1394" s="215" t="n"/>
      <c r="R1394" s="215" t="n"/>
      <c r="S1394" s="215" t="n"/>
      <c r="T1394" s="215" t="n"/>
      <c r="U1394" s="215" t="n"/>
      <c r="V1394" s="215" t="n"/>
      <c r="W1394" s="215" t="n"/>
      <c r="X1394" s="215" t="n"/>
      <c r="Y1394" s="215" t="n"/>
      <c r="Z1394" s="215" t="n"/>
      <c r="AA1394" s="215" t="n"/>
      <c r="AB1394" s="215" t="n"/>
      <c r="AC1394" s="215" t="n"/>
      <c r="AD1394" s="215" t="n"/>
      <c r="AE1394" s="215" t="n"/>
      <c r="AF1394" s="215" t="n"/>
      <c r="AG1394" s="215" t="n"/>
      <c r="AH1394" s="215" t="n"/>
      <c r="AI1394" s="215" t="n"/>
      <c r="AJ1394" s="215" t="n"/>
      <c r="AK1394" s="216" t="n"/>
    </row>
    <row r="1395" ht="15" customHeight="1">
      <c r="B1395" s="134" t="n"/>
      <c r="C1395" s="105" t="n"/>
      <c r="D1395" s="105" t="n"/>
      <c r="E1395" s="105" t="n"/>
      <c r="F1395" s="105" t="n"/>
      <c r="G1395" s="105" t="n"/>
      <c r="H1395" s="2" t="n"/>
      <c r="I1395" s="105" t="n"/>
      <c r="K1395" s="215" t="n"/>
      <c r="L1395" s="215" t="n"/>
      <c r="M1395" s="215" t="n"/>
      <c r="N1395" s="215" t="n"/>
      <c r="O1395" s="215" t="n"/>
      <c r="P1395" s="215" t="n"/>
      <c r="Q1395" s="215" t="n"/>
      <c r="R1395" s="215" t="n"/>
      <c r="S1395" s="215" t="n"/>
      <c r="T1395" s="215" t="n"/>
      <c r="U1395" s="215" t="n"/>
      <c r="V1395" s="215" t="n"/>
      <c r="W1395" s="215" t="n"/>
      <c r="X1395" s="215" t="n"/>
      <c r="Y1395" s="215" t="n"/>
      <c r="Z1395" s="215" t="n"/>
      <c r="AA1395" s="215" t="n"/>
      <c r="AB1395" s="215" t="n"/>
      <c r="AC1395" s="215" t="n"/>
      <c r="AD1395" s="215" t="n"/>
      <c r="AE1395" s="215" t="n"/>
      <c r="AF1395" s="215" t="n"/>
      <c r="AG1395" s="215" t="n"/>
      <c r="AH1395" s="215" t="n"/>
      <c r="AI1395" s="215" t="n"/>
      <c r="AJ1395" s="215" t="n"/>
      <c r="AK1395" s="216" t="n"/>
    </row>
    <row r="1396" ht="15" customHeight="1">
      <c r="B1396" s="134" t="n"/>
      <c r="C1396" s="105" t="n"/>
      <c r="D1396" s="105" t="n"/>
      <c r="E1396" s="105" t="n"/>
      <c r="F1396" s="105" t="n"/>
      <c r="G1396" s="105" t="n"/>
      <c r="H1396" s="2" t="n"/>
      <c r="I1396" s="105" t="n"/>
      <c r="K1396" s="215" t="n"/>
      <c r="L1396" s="215" t="n"/>
      <c r="M1396" s="215" t="n"/>
      <c r="N1396" s="215" t="n"/>
      <c r="O1396" s="215" t="n"/>
      <c r="P1396" s="215" t="n"/>
      <c r="Q1396" s="215" t="n"/>
      <c r="R1396" s="215" t="n"/>
      <c r="S1396" s="215" t="n"/>
      <c r="T1396" s="215" t="n"/>
      <c r="U1396" s="215" t="n"/>
      <c r="V1396" s="215" t="n"/>
      <c r="W1396" s="215" t="n"/>
      <c r="X1396" s="215" t="n"/>
      <c r="Y1396" s="215" t="n"/>
      <c r="Z1396" s="215" t="n"/>
      <c r="AA1396" s="215" t="n"/>
      <c r="AB1396" s="215" t="n"/>
      <c r="AC1396" s="215" t="n"/>
      <c r="AD1396" s="215" t="n"/>
      <c r="AE1396" s="215" t="n"/>
      <c r="AF1396" s="215" t="n"/>
      <c r="AG1396" s="215" t="n"/>
      <c r="AH1396" s="215" t="n"/>
      <c r="AI1396" s="215" t="n"/>
      <c r="AJ1396" s="215" t="n"/>
      <c r="AK1396" s="216" t="n"/>
    </row>
    <row r="1397" ht="15" customHeight="1">
      <c r="B1397" s="134" t="n"/>
      <c r="C1397" s="105" t="n"/>
      <c r="D1397" s="105" t="n"/>
      <c r="E1397" s="105" t="n"/>
      <c r="F1397" s="105" t="n"/>
      <c r="G1397" s="105" t="n"/>
      <c r="H1397" s="2" t="n"/>
      <c r="I1397" s="105" t="n"/>
      <c r="K1397" s="215" t="n"/>
      <c r="L1397" s="215" t="n"/>
      <c r="M1397" s="215" t="n"/>
      <c r="N1397" s="215" t="n"/>
      <c r="O1397" s="215" t="n"/>
      <c r="P1397" s="215" t="n"/>
      <c r="Q1397" s="215" t="n"/>
      <c r="R1397" s="215" t="n"/>
      <c r="S1397" s="215" t="n"/>
      <c r="T1397" s="215" t="n"/>
      <c r="U1397" s="215" t="n"/>
      <c r="V1397" s="215" t="n"/>
      <c r="W1397" s="215" t="n"/>
      <c r="X1397" s="215" t="n"/>
      <c r="Y1397" s="215" t="n"/>
      <c r="Z1397" s="215" t="n"/>
      <c r="AA1397" s="215" t="n"/>
      <c r="AB1397" s="215" t="n"/>
      <c r="AC1397" s="215" t="n"/>
      <c r="AD1397" s="215" t="n"/>
      <c r="AE1397" s="215" t="n"/>
      <c r="AF1397" s="215" t="n"/>
      <c r="AG1397" s="215" t="n"/>
      <c r="AH1397" s="215" t="n"/>
      <c r="AI1397" s="215" t="n"/>
      <c r="AJ1397" s="215" t="n"/>
      <c r="AK1397" s="216" t="n"/>
    </row>
    <row r="1398" ht="15" customHeight="1">
      <c r="B1398" s="134" t="n"/>
      <c r="C1398" s="105" t="n"/>
      <c r="D1398" s="105" t="n"/>
      <c r="E1398" s="105" t="n"/>
      <c r="F1398" s="105" t="n"/>
      <c r="G1398" s="105" t="n"/>
      <c r="H1398" s="2" t="n"/>
      <c r="I1398" s="105" t="n"/>
      <c r="K1398" s="215" t="n"/>
      <c r="L1398" s="215" t="n"/>
      <c r="M1398" s="215" t="n"/>
      <c r="N1398" s="215" t="n"/>
      <c r="O1398" s="215" t="n"/>
      <c r="P1398" s="215" t="n"/>
      <c r="Q1398" s="215" t="n"/>
      <c r="R1398" s="215" t="n"/>
      <c r="S1398" s="215" t="n"/>
      <c r="T1398" s="215" t="n"/>
      <c r="U1398" s="215" t="n"/>
      <c r="V1398" s="215" t="n"/>
      <c r="W1398" s="215" t="n"/>
      <c r="X1398" s="215" t="n"/>
      <c r="Y1398" s="215" t="n"/>
      <c r="Z1398" s="215" t="n"/>
      <c r="AA1398" s="215" t="n"/>
      <c r="AB1398" s="215" t="n"/>
      <c r="AC1398" s="215" t="n"/>
      <c r="AD1398" s="215" t="n"/>
      <c r="AE1398" s="215" t="n"/>
      <c r="AF1398" s="215" t="n"/>
      <c r="AG1398" s="215" t="n"/>
      <c r="AH1398" s="215" t="n"/>
      <c r="AI1398" s="215" t="n"/>
      <c r="AJ1398" s="215" t="n"/>
      <c r="AK1398" s="216" t="n"/>
    </row>
    <row r="1399" ht="15" customHeight="1">
      <c r="B1399" s="134" t="n"/>
      <c r="C1399" s="105" t="n"/>
      <c r="D1399" s="105" t="n"/>
      <c r="E1399" s="105" t="n"/>
      <c r="F1399" s="105" t="n"/>
      <c r="G1399" s="105" t="n"/>
      <c r="H1399" s="2" t="n"/>
      <c r="I1399" s="105" t="n"/>
      <c r="K1399" s="215" t="n"/>
      <c r="L1399" s="215" t="n"/>
      <c r="M1399" s="215" t="n"/>
      <c r="N1399" s="215" t="n"/>
      <c r="O1399" s="215" t="n"/>
      <c r="P1399" s="215" t="n"/>
      <c r="Q1399" s="215" t="n"/>
      <c r="R1399" s="215" t="n"/>
      <c r="S1399" s="215" t="n"/>
      <c r="T1399" s="215" t="n"/>
      <c r="U1399" s="215" t="n"/>
      <c r="V1399" s="215" t="n"/>
      <c r="W1399" s="215" t="n"/>
      <c r="X1399" s="215" t="n"/>
      <c r="Y1399" s="215" t="n"/>
      <c r="Z1399" s="215" t="n"/>
      <c r="AA1399" s="215" t="n"/>
      <c r="AB1399" s="215" t="n"/>
      <c r="AC1399" s="215" t="n"/>
      <c r="AD1399" s="215" t="n"/>
      <c r="AE1399" s="215" t="n"/>
      <c r="AF1399" s="215" t="n"/>
      <c r="AG1399" s="215" t="n"/>
      <c r="AH1399" s="215" t="n"/>
      <c r="AI1399" s="215" t="n"/>
      <c r="AJ1399" s="215" t="n"/>
      <c r="AK1399" s="216" t="n"/>
    </row>
    <row r="1400" ht="15" customHeight="1">
      <c r="B1400" s="134" t="n"/>
      <c r="C1400" s="105" t="n"/>
      <c r="D1400" s="105" t="n"/>
      <c r="E1400" s="105" t="n"/>
      <c r="F1400" s="105" t="n"/>
      <c r="G1400" s="105" t="n"/>
      <c r="H1400" s="2" t="n"/>
      <c r="I1400" s="105" t="n"/>
      <c r="K1400" s="215" t="n"/>
      <c r="L1400" s="215" t="n"/>
      <c r="M1400" s="215" t="n"/>
      <c r="N1400" s="215" t="n"/>
      <c r="O1400" s="215" t="n"/>
      <c r="P1400" s="215" t="n"/>
      <c r="Q1400" s="215" t="n"/>
      <c r="R1400" s="215" t="n"/>
      <c r="S1400" s="215" t="n"/>
      <c r="T1400" s="215" t="n"/>
      <c r="U1400" s="215" t="n"/>
      <c r="V1400" s="215" t="n"/>
      <c r="W1400" s="215" t="n"/>
      <c r="X1400" s="215" t="n"/>
      <c r="Y1400" s="215" t="n"/>
      <c r="Z1400" s="215" t="n"/>
      <c r="AA1400" s="215" t="n"/>
      <c r="AB1400" s="215" t="n"/>
      <c r="AC1400" s="215" t="n"/>
      <c r="AD1400" s="215" t="n"/>
      <c r="AE1400" s="215" t="n"/>
      <c r="AF1400" s="215" t="n"/>
      <c r="AG1400" s="215" t="n"/>
      <c r="AH1400" s="215" t="n"/>
      <c r="AI1400" s="215" t="n"/>
      <c r="AJ1400" s="215" t="n"/>
      <c r="AK1400" s="216" t="n"/>
    </row>
    <row r="1401" ht="15" customHeight="1">
      <c r="B1401" s="134" t="n"/>
      <c r="C1401" s="105" t="n"/>
      <c r="D1401" s="105" t="n"/>
      <c r="E1401" s="105" t="n"/>
      <c r="F1401" s="105" t="n"/>
      <c r="G1401" s="105" t="n"/>
      <c r="H1401" s="2" t="n"/>
      <c r="I1401" s="105" t="n"/>
      <c r="K1401" s="215" t="n"/>
      <c r="L1401" s="215" t="n"/>
      <c r="M1401" s="215" t="n"/>
      <c r="N1401" s="215" t="n"/>
      <c r="O1401" s="215" t="n"/>
      <c r="P1401" s="215" t="n"/>
      <c r="Q1401" s="215" t="n"/>
      <c r="R1401" s="215" t="n"/>
      <c r="S1401" s="215" t="n"/>
      <c r="T1401" s="215" t="n"/>
      <c r="U1401" s="215" t="n"/>
      <c r="V1401" s="215" t="n"/>
      <c r="W1401" s="215" t="n"/>
      <c r="X1401" s="215" t="n"/>
      <c r="Y1401" s="215" t="n"/>
      <c r="Z1401" s="215" t="n"/>
      <c r="AA1401" s="215" t="n"/>
      <c r="AB1401" s="215" t="n"/>
      <c r="AC1401" s="215" t="n"/>
      <c r="AD1401" s="215" t="n"/>
      <c r="AE1401" s="215" t="n"/>
      <c r="AF1401" s="215" t="n"/>
      <c r="AG1401" s="215" t="n"/>
      <c r="AH1401" s="215" t="n"/>
      <c r="AI1401" s="215" t="n"/>
      <c r="AJ1401" s="215" t="n"/>
      <c r="AK1401" s="216" t="n"/>
    </row>
    <row r="1402" ht="15" customHeight="1">
      <c r="B1402" s="134" t="n"/>
      <c r="C1402" s="105" t="n"/>
      <c r="D1402" s="105" t="n"/>
      <c r="E1402" s="105" t="n"/>
      <c r="F1402" s="105" t="n"/>
      <c r="G1402" s="105" t="n"/>
      <c r="H1402" s="2" t="n"/>
      <c r="I1402" s="105" t="n"/>
      <c r="K1402" s="215" t="n"/>
      <c r="L1402" s="215" t="n"/>
      <c r="M1402" s="215" t="n"/>
      <c r="N1402" s="215" t="n"/>
      <c r="O1402" s="215" t="n"/>
      <c r="P1402" s="215" t="n"/>
      <c r="Q1402" s="215" t="n"/>
      <c r="R1402" s="215" t="n"/>
      <c r="S1402" s="215" t="n"/>
      <c r="T1402" s="215" t="n"/>
      <c r="U1402" s="215" t="n"/>
      <c r="V1402" s="215" t="n"/>
      <c r="W1402" s="215" t="n"/>
      <c r="X1402" s="215" t="n"/>
      <c r="Y1402" s="215" t="n"/>
      <c r="Z1402" s="215" t="n"/>
      <c r="AA1402" s="215" t="n"/>
      <c r="AB1402" s="215" t="n"/>
      <c r="AC1402" s="215" t="n"/>
      <c r="AD1402" s="215" t="n"/>
      <c r="AE1402" s="215" t="n"/>
      <c r="AF1402" s="215" t="n"/>
      <c r="AG1402" s="215" t="n"/>
      <c r="AH1402" s="215" t="n"/>
      <c r="AI1402" s="215" t="n"/>
      <c r="AJ1402" s="215" t="n"/>
      <c r="AK1402" s="216" t="n"/>
    </row>
    <row r="1403" ht="15" customHeight="1">
      <c r="B1403" s="134" t="n"/>
      <c r="C1403" s="105" t="n"/>
      <c r="D1403" s="105" t="n"/>
      <c r="E1403" s="105" t="n"/>
      <c r="F1403" s="105" t="n"/>
      <c r="G1403" s="105" t="n"/>
      <c r="H1403" s="2" t="n"/>
      <c r="I1403" s="105" t="n"/>
      <c r="K1403" s="215" t="n"/>
      <c r="L1403" s="215" t="n"/>
      <c r="M1403" s="215" t="n"/>
      <c r="N1403" s="215" t="n"/>
      <c r="O1403" s="215" t="n"/>
      <c r="P1403" s="215" t="n"/>
      <c r="Q1403" s="215" t="n"/>
      <c r="R1403" s="215" t="n"/>
      <c r="S1403" s="215" t="n"/>
      <c r="T1403" s="215" t="n"/>
      <c r="U1403" s="215" t="n"/>
      <c r="V1403" s="215" t="n"/>
      <c r="W1403" s="215" t="n"/>
      <c r="X1403" s="215" t="n"/>
      <c r="Y1403" s="215" t="n"/>
      <c r="Z1403" s="215" t="n"/>
      <c r="AA1403" s="215" t="n"/>
      <c r="AB1403" s="215" t="n"/>
      <c r="AC1403" s="215" t="n"/>
      <c r="AD1403" s="215" t="n"/>
      <c r="AE1403" s="215" t="n"/>
      <c r="AF1403" s="215" t="n"/>
      <c r="AG1403" s="215" t="n"/>
      <c r="AH1403" s="215" t="n"/>
      <c r="AI1403" s="215" t="n"/>
      <c r="AJ1403" s="215" t="n"/>
      <c r="AK1403" s="216" t="n"/>
    </row>
    <row r="1404" ht="15" customHeight="1">
      <c r="B1404" s="134" t="n"/>
      <c r="C1404" s="105" t="n"/>
      <c r="D1404" s="105" t="n"/>
      <c r="E1404" s="105" t="n"/>
      <c r="F1404" s="105" t="n"/>
      <c r="G1404" s="105" t="n"/>
      <c r="H1404" s="2" t="n"/>
      <c r="I1404" s="105" t="n"/>
      <c r="K1404" s="215" t="n"/>
      <c r="L1404" s="215" t="n"/>
      <c r="M1404" s="215" t="n"/>
      <c r="N1404" s="215" t="n"/>
      <c r="O1404" s="215" t="n"/>
      <c r="P1404" s="215" t="n"/>
      <c r="Q1404" s="215" t="n"/>
      <c r="R1404" s="215" t="n"/>
      <c r="S1404" s="215" t="n"/>
      <c r="T1404" s="215" t="n"/>
      <c r="U1404" s="215" t="n"/>
      <c r="V1404" s="215" t="n"/>
      <c r="W1404" s="215" t="n"/>
      <c r="X1404" s="215" t="n"/>
      <c r="Y1404" s="215" t="n"/>
      <c r="Z1404" s="215" t="n"/>
      <c r="AA1404" s="215" t="n"/>
      <c r="AB1404" s="215" t="n"/>
      <c r="AC1404" s="215" t="n"/>
      <c r="AD1404" s="215" t="n"/>
      <c r="AE1404" s="215" t="n"/>
      <c r="AF1404" s="215" t="n"/>
      <c r="AG1404" s="215" t="n"/>
      <c r="AH1404" s="215" t="n"/>
      <c r="AI1404" s="215" t="n"/>
      <c r="AJ1404" s="215" t="n"/>
      <c r="AK1404" s="216" t="n"/>
    </row>
    <row r="1405" ht="15" customHeight="1">
      <c r="B1405" s="134" t="n"/>
      <c r="C1405" s="105" t="n"/>
      <c r="D1405" s="105" t="n"/>
      <c r="E1405" s="105" t="n"/>
      <c r="F1405" s="105" t="n"/>
      <c r="G1405" s="105" t="n"/>
      <c r="H1405" s="2" t="n"/>
      <c r="I1405" s="105" t="n"/>
      <c r="K1405" s="215" t="n"/>
      <c r="L1405" s="215" t="n"/>
      <c r="M1405" s="215" t="n"/>
      <c r="N1405" s="215" t="n"/>
      <c r="O1405" s="215" t="n"/>
      <c r="P1405" s="215" t="n"/>
      <c r="Q1405" s="215" t="n"/>
      <c r="R1405" s="215" t="n"/>
      <c r="S1405" s="215" t="n"/>
      <c r="T1405" s="215" t="n"/>
      <c r="U1405" s="215" t="n"/>
      <c r="V1405" s="215" t="n"/>
      <c r="W1405" s="215" t="n"/>
      <c r="X1405" s="215" t="n"/>
      <c r="Y1405" s="215" t="n"/>
      <c r="Z1405" s="215" t="n"/>
      <c r="AA1405" s="215" t="n"/>
      <c r="AB1405" s="215" t="n"/>
      <c r="AC1405" s="215" t="n"/>
      <c r="AD1405" s="215" t="n"/>
      <c r="AE1405" s="215" t="n"/>
      <c r="AF1405" s="215" t="n"/>
      <c r="AG1405" s="215" t="n"/>
      <c r="AH1405" s="215" t="n"/>
      <c r="AI1405" s="215" t="n"/>
      <c r="AJ1405" s="215" t="n"/>
      <c r="AK1405" s="216" t="n"/>
    </row>
    <row r="1406" ht="15" customHeight="1">
      <c r="B1406" s="134" t="n"/>
      <c r="C1406" s="105" t="n"/>
      <c r="D1406" s="105" t="n"/>
      <c r="E1406" s="105" t="n"/>
      <c r="F1406" s="105" t="n"/>
      <c r="G1406" s="105" t="n"/>
      <c r="H1406" s="2" t="n"/>
      <c r="I1406" s="105" t="n"/>
      <c r="K1406" s="215" t="n"/>
      <c r="L1406" s="215" t="n"/>
      <c r="M1406" s="215" t="n"/>
      <c r="N1406" s="215" t="n"/>
      <c r="O1406" s="215" t="n"/>
      <c r="P1406" s="215" t="n"/>
      <c r="Q1406" s="215" t="n"/>
      <c r="R1406" s="215" t="n"/>
      <c r="S1406" s="215" t="n"/>
      <c r="T1406" s="215" t="n"/>
      <c r="U1406" s="215" t="n"/>
      <c r="V1406" s="215" t="n"/>
      <c r="W1406" s="215" t="n"/>
      <c r="X1406" s="215" t="n"/>
      <c r="Y1406" s="215" t="n"/>
      <c r="Z1406" s="215" t="n"/>
      <c r="AA1406" s="215" t="n"/>
      <c r="AB1406" s="215" t="n"/>
      <c r="AC1406" s="215" t="n"/>
      <c r="AD1406" s="215" t="n"/>
      <c r="AE1406" s="215" t="n"/>
      <c r="AF1406" s="215" t="n"/>
      <c r="AG1406" s="215" t="n"/>
      <c r="AH1406" s="215" t="n"/>
      <c r="AI1406" s="215" t="n"/>
      <c r="AJ1406" s="215" t="n"/>
      <c r="AK1406" s="216" t="n"/>
    </row>
    <row r="1407" ht="15" customHeight="1">
      <c r="B1407" s="134" t="n"/>
      <c r="C1407" s="105" t="n"/>
      <c r="D1407" s="105" t="n"/>
      <c r="E1407" s="105" t="n"/>
      <c r="F1407" s="105" t="n"/>
      <c r="G1407" s="105" t="n"/>
      <c r="H1407" s="2" t="n"/>
      <c r="I1407" s="105" t="n"/>
      <c r="K1407" s="215" t="n"/>
      <c r="L1407" s="215" t="n"/>
      <c r="M1407" s="215" t="n"/>
      <c r="N1407" s="215" t="n"/>
      <c r="O1407" s="215" t="n"/>
      <c r="P1407" s="215" t="n"/>
      <c r="Q1407" s="215" t="n"/>
      <c r="R1407" s="215" t="n"/>
      <c r="S1407" s="215" t="n"/>
      <c r="T1407" s="215" t="n"/>
      <c r="U1407" s="215" t="n"/>
      <c r="V1407" s="215" t="n"/>
      <c r="W1407" s="215" t="n"/>
      <c r="X1407" s="215" t="n"/>
      <c r="Y1407" s="215" t="n"/>
      <c r="Z1407" s="215" t="n"/>
      <c r="AA1407" s="215" t="n"/>
      <c r="AB1407" s="215" t="n"/>
      <c r="AC1407" s="215" t="n"/>
      <c r="AD1407" s="215" t="n"/>
      <c r="AE1407" s="215" t="n"/>
      <c r="AF1407" s="215" t="n"/>
      <c r="AG1407" s="215" t="n"/>
      <c r="AH1407" s="215" t="n"/>
      <c r="AI1407" s="215" t="n"/>
      <c r="AJ1407" s="215" t="n"/>
      <c r="AK1407" s="216" t="n"/>
    </row>
    <row r="1408" ht="15" customHeight="1">
      <c r="B1408" s="134" t="n"/>
      <c r="C1408" s="105" t="n"/>
      <c r="D1408" s="105" t="n"/>
      <c r="E1408" s="105" t="n"/>
      <c r="F1408" s="105" t="n"/>
      <c r="G1408" s="105" t="n"/>
      <c r="H1408" s="2" t="n"/>
      <c r="I1408" s="105" t="n"/>
      <c r="K1408" s="215" t="n"/>
      <c r="L1408" s="215" t="n"/>
      <c r="M1408" s="215" t="n"/>
      <c r="N1408" s="215" t="n"/>
      <c r="O1408" s="215" t="n"/>
      <c r="P1408" s="215" t="n"/>
      <c r="Q1408" s="215" t="n"/>
      <c r="R1408" s="215" t="n"/>
      <c r="S1408" s="215" t="n"/>
      <c r="T1408" s="215" t="n"/>
      <c r="U1408" s="215" t="n"/>
      <c r="V1408" s="215" t="n"/>
      <c r="W1408" s="215" t="n"/>
      <c r="X1408" s="215" t="n"/>
      <c r="Y1408" s="215" t="n"/>
      <c r="Z1408" s="215" t="n"/>
      <c r="AA1408" s="215" t="n"/>
      <c r="AB1408" s="215" t="n"/>
      <c r="AC1408" s="215" t="n"/>
      <c r="AD1408" s="215" t="n"/>
      <c r="AE1408" s="215" t="n"/>
      <c r="AF1408" s="215" t="n"/>
      <c r="AG1408" s="215" t="n"/>
      <c r="AH1408" s="215" t="n"/>
      <c r="AI1408" s="215" t="n"/>
      <c r="AJ1408" s="215" t="n"/>
      <c r="AK1408" s="216" t="n"/>
    </row>
    <row r="1409" ht="15" customHeight="1">
      <c r="B1409" s="134" t="n"/>
      <c r="C1409" s="105" t="n"/>
      <c r="D1409" s="105" t="n"/>
      <c r="E1409" s="105" t="n"/>
      <c r="F1409" s="105" t="n"/>
      <c r="G1409" s="105" t="n"/>
      <c r="H1409" s="2" t="n"/>
      <c r="I1409" s="105" t="n"/>
      <c r="K1409" s="215" t="n"/>
      <c r="L1409" s="215" t="n"/>
      <c r="M1409" s="215" t="n"/>
      <c r="N1409" s="215" t="n"/>
      <c r="O1409" s="215" t="n"/>
      <c r="P1409" s="215" t="n"/>
      <c r="Q1409" s="215" t="n"/>
      <c r="R1409" s="215" t="n"/>
      <c r="S1409" s="215" t="n"/>
      <c r="T1409" s="215" t="n"/>
      <c r="U1409" s="215" t="n"/>
      <c r="V1409" s="215" t="n"/>
      <c r="W1409" s="215" t="n"/>
      <c r="X1409" s="215" t="n"/>
      <c r="Y1409" s="215" t="n"/>
      <c r="Z1409" s="215" t="n"/>
      <c r="AA1409" s="215" t="n"/>
      <c r="AB1409" s="215" t="n"/>
      <c r="AC1409" s="215" t="n"/>
      <c r="AD1409" s="215" t="n"/>
      <c r="AE1409" s="215" t="n"/>
      <c r="AF1409" s="215" t="n"/>
      <c r="AG1409" s="215" t="n"/>
      <c r="AH1409" s="215" t="n"/>
      <c r="AI1409" s="215" t="n"/>
      <c r="AJ1409" s="215" t="n"/>
      <c r="AK1409" s="216" t="n"/>
    </row>
    <row r="1410" ht="15" customHeight="1">
      <c r="B1410" s="134" t="n"/>
      <c r="C1410" s="105" t="n"/>
      <c r="D1410" s="105" t="n"/>
      <c r="E1410" s="105" t="n"/>
      <c r="F1410" s="105" t="n"/>
      <c r="G1410" s="105" t="n"/>
      <c r="H1410" s="2" t="n"/>
      <c r="I1410" s="105" t="n"/>
      <c r="K1410" s="215" t="n"/>
      <c r="L1410" s="215" t="n"/>
      <c r="M1410" s="215" t="n"/>
      <c r="N1410" s="215" t="n"/>
      <c r="O1410" s="215" t="n"/>
      <c r="P1410" s="215" t="n"/>
      <c r="Q1410" s="215" t="n"/>
      <c r="R1410" s="215" t="n"/>
      <c r="S1410" s="215" t="n"/>
      <c r="T1410" s="215" t="n"/>
      <c r="U1410" s="215" t="n"/>
      <c r="V1410" s="215" t="n"/>
      <c r="W1410" s="215" t="n"/>
      <c r="X1410" s="215" t="n"/>
      <c r="Y1410" s="215" t="n"/>
      <c r="Z1410" s="215" t="n"/>
      <c r="AA1410" s="215" t="n"/>
      <c r="AB1410" s="215" t="n"/>
      <c r="AC1410" s="215" t="n"/>
      <c r="AD1410" s="215" t="n"/>
      <c r="AE1410" s="215" t="n"/>
      <c r="AF1410" s="215" t="n"/>
      <c r="AG1410" s="215" t="n"/>
      <c r="AH1410" s="215" t="n"/>
      <c r="AI1410" s="215" t="n"/>
      <c r="AJ1410" s="215" t="n"/>
      <c r="AK1410" s="216" t="n"/>
    </row>
    <row r="1411" ht="15" customHeight="1">
      <c r="B1411" s="134" t="n"/>
      <c r="C1411" s="105" t="n"/>
      <c r="D1411" s="105" t="n"/>
      <c r="E1411" s="105" t="n"/>
      <c r="F1411" s="105" t="n"/>
      <c r="G1411" s="105" t="n"/>
      <c r="H1411" s="2" t="n"/>
      <c r="I1411" s="105" t="n"/>
      <c r="K1411" s="215" t="n"/>
      <c r="L1411" s="215" t="n"/>
      <c r="M1411" s="215" t="n"/>
      <c r="N1411" s="215" t="n"/>
      <c r="O1411" s="215" t="n"/>
      <c r="P1411" s="215" t="n"/>
      <c r="Q1411" s="215" t="n"/>
      <c r="R1411" s="215" t="n"/>
      <c r="S1411" s="215" t="n"/>
      <c r="T1411" s="215" t="n"/>
      <c r="U1411" s="215" t="n"/>
      <c r="V1411" s="215" t="n"/>
      <c r="W1411" s="215" t="n"/>
      <c r="X1411" s="215" t="n"/>
      <c r="Y1411" s="215" t="n"/>
      <c r="Z1411" s="215" t="n"/>
      <c r="AA1411" s="215" t="n"/>
      <c r="AB1411" s="215" t="n"/>
      <c r="AC1411" s="215" t="n"/>
      <c r="AD1411" s="215" t="n"/>
      <c r="AE1411" s="215" t="n"/>
      <c r="AF1411" s="215" t="n"/>
      <c r="AG1411" s="215" t="n"/>
      <c r="AH1411" s="215" t="n"/>
      <c r="AI1411" s="215" t="n"/>
      <c r="AJ1411" s="215" t="n"/>
      <c r="AK1411" s="216" t="n"/>
    </row>
    <row r="1412" ht="15" customHeight="1">
      <c r="B1412" s="134" t="n"/>
      <c r="C1412" s="105" t="n"/>
      <c r="D1412" s="105" t="n"/>
      <c r="E1412" s="105" t="n"/>
      <c r="F1412" s="105" t="n"/>
      <c r="G1412" s="105" t="n"/>
      <c r="H1412" s="2" t="n"/>
      <c r="I1412" s="105" t="n"/>
      <c r="K1412" s="215" t="n"/>
      <c r="L1412" s="215" t="n"/>
      <c r="M1412" s="215" t="n"/>
      <c r="N1412" s="215" t="n"/>
      <c r="O1412" s="215" t="n"/>
      <c r="P1412" s="215" t="n"/>
      <c r="Q1412" s="215" t="n"/>
      <c r="R1412" s="215" t="n"/>
      <c r="S1412" s="215" t="n"/>
      <c r="T1412" s="215" t="n"/>
      <c r="U1412" s="215" t="n"/>
      <c r="V1412" s="215" t="n"/>
      <c r="W1412" s="215" t="n"/>
      <c r="X1412" s="215" t="n"/>
      <c r="Y1412" s="215" t="n"/>
      <c r="Z1412" s="215" t="n"/>
      <c r="AA1412" s="215" t="n"/>
      <c r="AB1412" s="215" t="n"/>
      <c r="AC1412" s="215" t="n"/>
      <c r="AD1412" s="215" t="n"/>
      <c r="AE1412" s="215" t="n"/>
      <c r="AF1412" s="215" t="n"/>
      <c r="AG1412" s="215" t="n"/>
      <c r="AH1412" s="215" t="n"/>
      <c r="AI1412" s="215" t="n"/>
      <c r="AJ1412" s="215" t="n"/>
      <c r="AK1412" s="216" t="n"/>
    </row>
    <row r="1413" ht="15" customHeight="1">
      <c r="B1413" s="134" t="n"/>
      <c r="C1413" s="105" t="n"/>
      <c r="D1413" s="105" t="n"/>
      <c r="E1413" s="105" t="n"/>
      <c r="F1413" s="105" t="n"/>
      <c r="G1413" s="105" t="n"/>
      <c r="H1413" s="2" t="n"/>
      <c r="I1413" s="105" t="n"/>
      <c r="K1413" s="215" t="n"/>
      <c r="L1413" s="215" t="n"/>
      <c r="M1413" s="215" t="n"/>
      <c r="N1413" s="215" t="n"/>
      <c r="O1413" s="215" t="n"/>
      <c r="P1413" s="215" t="n"/>
      <c r="Q1413" s="215" t="n"/>
      <c r="R1413" s="215" t="n"/>
      <c r="S1413" s="215" t="n"/>
      <c r="T1413" s="215" t="n"/>
      <c r="U1413" s="215" t="n"/>
      <c r="V1413" s="215" t="n"/>
      <c r="W1413" s="215" t="n"/>
      <c r="X1413" s="215" t="n"/>
      <c r="Y1413" s="215" t="n"/>
      <c r="Z1413" s="215" t="n"/>
      <c r="AA1413" s="215" t="n"/>
      <c r="AB1413" s="215" t="n"/>
      <c r="AC1413" s="215" t="n"/>
      <c r="AD1413" s="215" t="n"/>
      <c r="AE1413" s="215" t="n"/>
      <c r="AF1413" s="215" t="n"/>
      <c r="AG1413" s="215" t="n"/>
      <c r="AH1413" s="215" t="n"/>
      <c r="AI1413" s="215" t="n"/>
      <c r="AJ1413" s="215" t="n"/>
      <c r="AK1413" s="216" t="n"/>
    </row>
    <row r="1414" ht="15" customHeight="1">
      <c r="B1414" s="134" t="n"/>
      <c r="C1414" s="105" t="n"/>
      <c r="D1414" s="105" t="n"/>
      <c r="E1414" s="105" t="n"/>
      <c r="F1414" s="105" t="n"/>
      <c r="G1414" s="105" t="n"/>
      <c r="H1414" s="2" t="n"/>
      <c r="I1414" s="105" t="n"/>
      <c r="K1414" s="215" t="n"/>
      <c r="L1414" s="215" t="n"/>
      <c r="M1414" s="215" t="n"/>
      <c r="N1414" s="215" t="n"/>
      <c r="O1414" s="215" t="n"/>
      <c r="P1414" s="215" t="n"/>
      <c r="Q1414" s="215" t="n"/>
      <c r="R1414" s="215" t="n"/>
      <c r="S1414" s="215" t="n"/>
      <c r="T1414" s="215" t="n"/>
      <c r="U1414" s="215" t="n"/>
      <c r="V1414" s="215" t="n"/>
      <c r="W1414" s="215" t="n"/>
      <c r="X1414" s="215" t="n"/>
      <c r="Y1414" s="215" t="n"/>
      <c r="Z1414" s="215" t="n"/>
      <c r="AA1414" s="215" t="n"/>
      <c r="AB1414" s="215" t="n"/>
      <c r="AC1414" s="215" t="n"/>
      <c r="AD1414" s="215" t="n"/>
      <c r="AE1414" s="215" t="n"/>
      <c r="AF1414" s="215" t="n"/>
      <c r="AG1414" s="215" t="n"/>
      <c r="AH1414" s="215" t="n"/>
      <c r="AI1414" s="215" t="n"/>
      <c r="AJ1414" s="215" t="n"/>
      <c r="AK1414" s="216" t="n"/>
    </row>
    <row r="1415" ht="15" customHeight="1">
      <c r="B1415" s="134" t="n"/>
      <c r="C1415" s="105" t="n"/>
      <c r="D1415" s="105" t="n"/>
      <c r="E1415" s="105" t="n"/>
      <c r="F1415" s="105" t="n"/>
      <c r="G1415" s="105" t="n"/>
      <c r="H1415" s="2" t="n"/>
      <c r="I1415" s="105" t="n"/>
      <c r="K1415" s="215" t="n"/>
      <c r="L1415" s="215" t="n"/>
      <c r="M1415" s="215" t="n"/>
      <c r="N1415" s="215" t="n"/>
      <c r="O1415" s="215" t="n"/>
      <c r="P1415" s="215" t="n"/>
      <c r="Q1415" s="215" t="n"/>
      <c r="R1415" s="215" t="n"/>
      <c r="S1415" s="215" t="n"/>
      <c r="T1415" s="215" t="n"/>
      <c r="U1415" s="215" t="n"/>
      <c r="V1415" s="215" t="n"/>
      <c r="W1415" s="215" t="n"/>
      <c r="X1415" s="215" t="n"/>
      <c r="Y1415" s="215" t="n"/>
      <c r="Z1415" s="215" t="n"/>
      <c r="AA1415" s="215" t="n"/>
      <c r="AB1415" s="215" t="n"/>
      <c r="AC1415" s="215" t="n"/>
      <c r="AD1415" s="215" t="n"/>
      <c r="AE1415" s="215" t="n"/>
      <c r="AF1415" s="215" t="n"/>
      <c r="AG1415" s="215" t="n"/>
      <c r="AH1415" s="215" t="n"/>
      <c r="AI1415" s="215" t="n"/>
      <c r="AJ1415" s="215" t="n"/>
      <c r="AK1415" s="216" t="n"/>
    </row>
    <row r="1416" ht="15" customHeight="1">
      <c r="B1416" s="134" t="n"/>
      <c r="C1416" s="105" t="n"/>
      <c r="D1416" s="105" t="n"/>
      <c r="E1416" s="105" t="n"/>
      <c r="F1416" s="105" t="n"/>
      <c r="G1416" s="105" t="n"/>
      <c r="H1416" s="2" t="n"/>
      <c r="I1416" s="105" t="n"/>
      <c r="K1416" s="215" t="n"/>
      <c r="L1416" s="215" t="n"/>
      <c r="M1416" s="215" t="n"/>
      <c r="N1416" s="215" t="n"/>
      <c r="O1416" s="215" t="n"/>
      <c r="P1416" s="215" t="n"/>
      <c r="Q1416" s="215" t="n"/>
      <c r="R1416" s="215" t="n"/>
      <c r="S1416" s="215" t="n"/>
      <c r="T1416" s="215" t="n"/>
      <c r="U1416" s="215" t="n"/>
      <c r="V1416" s="215" t="n"/>
      <c r="W1416" s="215" t="n"/>
      <c r="X1416" s="215" t="n"/>
      <c r="Y1416" s="215" t="n"/>
      <c r="Z1416" s="215" t="n"/>
      <c r="AA1416" s="215" t="n"/>
      <c r="AB1416" s="215" t="n"/>
      <c r="AC1416" s="215" t="n"/>
      <c r="AD1416" s="215" t="n"/>
      <c r="AE1416" s="215" t="n"/>
      <c r="AF1416" s="215" t="n"/>
      <c r="AG1416" s="215" t="n"/>
      <c r="AH1416" s="215" t="n"/>
      <c r="AI1416" s="215" t="n"/>
      <c r="AJ1416" s="215" t="n"/>
      <c r="AK1416" s="216" t="n"/>
    </row>
    <row r="1417" ht="15" customHeight="1">
      <c r="B1417" s="134" t="n"/>
      <c r="C1417" s="105" t="n"/>
      <c r="D1417" s="105" t="n"/>
      <c r="E1417" s="105" t="n"/>
      <c r="F1417" s="105" t="n"/>
      <c r="G1417" s="105" t="n"/>
      <c r="H1417" s="2" t="n"/>
      <c r="I1417" s="105" t="n"/>
      <c r="K1417" s="215" t="n"/>
      <c r="L1417" s="215" t="n"/>
      <c r="M1417" s="215" t="n"/>
      <c r="N1417" s="215" t="n"/>
      <c r="O1417" s="215" t="n"/>
      <c r="P1417" s="215" t="n"/>
      <c r="Q1417" s="215" t="n"/>
      <c r="R1417" s="215" t="n"/>
      <c r="S1417" s="215" t="n"/>
      <c r="T1417" s="215" t="n"/>
      <c r="U1417" s="215" t="n"/>
      <c r="V1417" s="215" t="n"/>
      <c r="W1417" s="215" t="n"/>
      <c r="X1417" s="215" t="n"/>
      <c r="Y1417" s="215" t="n"/>
      <c r="Z1417" s="215" t="n"/>
      <c r="AA1417" s="215" t="n"/>
      <c r="AB1417" s="215" t="n"/>
      <c r="AC1417" s="215" t="n"/>
      <c r="AD1417" s="215" t="n"/>
      <c r="AE1417" s="215" t="n"/>
      <c r="AF1417" s="215" t="n"/>
      <c r="AG1417" s="215" t="n"/>
      <c r="AH1417" s="215" t="n"/>
      <c r="AI1417" s="215" t="n"/>
      <c r="AJ1417" s="215" t="n"/>
      <c r="AK1417" s="216" t="n"/>
    </row>
    <row r="1418" ht="15" customHeight="1">
      <c r="B1418" s="134" t="n"/>
      <c r="C1418" s="105" t="n"/>
      <c r="D1418" s="105" t="n"/>
      <c r="E1418" s="105" t="n"/>
      <c r="F1418" s="105" t="n"/>
      <c r="G1418" s="105" t="n"/>
      <c r="H1418" s="2" t="n"/>
      <c r="I1418" s="105" t="n"/>
      <c r="K1418" s="215" t="n"/>
      <c r="L1418" s="215" t="n"/>
      <c r="M1418" s="215" t="n"/>
      <c r="N1418" s="215" t="n"/>
      <c r="O1418" s="215" t="n"/>
      <c r="P1418" s="215" t="n"/>
      <c r="Q1418" s="215" t="n"/>
      <c r="R1418" s="215" t="n"/>
      <c r="S1418" s="215" t="n"/>
      <c r="T1418" s="215" t="n"/>
      <c r="U1418" s="215" t="n"/>
      <c r="V1418" s="215" t="n"/>
      <c r="W1418" s="215" t="n"/>
      <c r="X1418" s="215" t="n"/>
      <c r="Y1418" s="215" t="n"/>
      <c r="Z1418" s="215" t="n"/>
      <c r="AA1418" s="215" t="n"/>
      <c r="AB1418" s="215" t="n"/>
      <c r="AC1418" s="215" t="n"/>
      <c r="AD1418" s="215" t="n"/>
      <c r="AE1418" s="215" t="n"/>
      <c r="AF1418" s="215" t="n"/>
      <c r="AG1418" s="215" t="n"/>
      <c r="AH1418" s="215" t="n"/>
      <c r="AI1418" s="215" t="n"/>
      <c r="AJ1418" s="215" t="n"/>
      <c r="AK1418" s="216" t="n"/>
    </row>
    <row r="1419" ht="15" customHeight="1">
      <c r="B1419" s="134" t="n"/>
      <c r="C1419" s="105" t="n"/>
      <c r="D1419" s="105" t="n"/>
      <c r="E1419" s="105" t="n"/>
      <c r="F1419" s="105" t="n"/>
      <c r="G1419" s="105" t="n"/>
      <c r="H1419" s="2" t="n"/>
      <c r="I1419" s="105" t="n"/>
      <c r="K1419" s="215" t="n"/>
      <c r="L1419" s="215" t="n"/>
      <c r="M1419" s="215" t="n"/>
      <c r="N1419" s="215" t="n"/>
      <c r="O1419" s="215" t="n"/>
      <c r="P1419" s="215" t="n"/>
      <c r="Q1419" s="215" t="n"/>
      <c r="R1419" s="215" t="n"/>
      <c r="S1419" s="215" t="n"/>
      <c r="T1419" s="215" t="n"/>
      <c r="U1419" s="215" t="n"/>
      <c r="V1419" s="215" t="n"/>
      <c r="W1419" s="215" t="n"/>
      <c r="X1419" s="215" t="n"/>
      <c r="Y1419" s="215" t="n"/>
      <c r="Z1419" s="215" t="n"/>
      <c r="AA1419" s="215" t="n"/>
      <c r="AB1419" s="215" t="n"/>
      <c r="AC1419" s="215" t="n"/>
      <c r="AD1419" s="215" t="n"/>
      <c r="AE1419" s="215" t="n"/>
      <c r="AF1419" s="215" t="n"/>
      <c r="AG1419" s="215" t="n"/>
      <c r="AH1419" s="215" t="n"/>
      <c r="AI1419" s="215" t="n"/>
      <c r="AJ1419" s="215" t="n"/>
      <c r="AK1419" s="216" t="n"/>
    </row>
    <row r="1420" ht="15" customHeight="1">
      <c r="B1420" s="134" t="n"/>
      <c r="C1420" s="105" t="n"/>
      <c r="D1420" s="105" t="n"/>
      <c r="E1420" s="105" t="n"/>
      <c r="F1420" s="105" t="n"/>
      <c r="G1420" s="105" t="n"/>
      <c r="H1420" s="2" t="n"/>
      <c r="I1420" s="105" t="n"/>
      <c r="K1420" s="215" t="n"/>
      <c r="L1420" s="215" t="n"/>
      <c r="M1420" s="215" t="n"/>
      <c r="N1420" s="215" t="n"/>
      <c r="O1420" s="215" t="n"/>
      <c r="P1420" s="215" t="n"/>
      <c r="Q1420" s="215" t="n"/>
      <c r="R1420" s="215" t="n"/>
      <c r="S1420" s="215" t="n"/>
      <c r="T1420" s="215" t="n"/>
      <c r="U1420" s="215" t="n"/>
      <c r="V1420" s="215" t="n"/>
      <c r="W1420" s="215" t="n"/>
      <c r="X1420" s="215" t="n"/>
      <c r="Y1420" s="215" t="n"/>
      <c r="Z1420" s="215" t="n"/>
      <c r="AA1420" s="215" t="n"/>
      <c r="AB1420" s="215" t="n"/>
      <c r="AC1420" s="215" t="n"/>
      <c r="AD1420" s="215" t="n"/>
      <c r="AE1420" s="215" t="n"/>
      <c r="AF1420" s="215" t="n"/>
      <c r="AG1420" s="215" t="n"/>
      <c r="AH1420" s="215" t="n"/>
      <c r="AI1420" s="215" t="n"/>
      <c r="AJ1420" s="215" t="n"/>
      <c r="AK1420" s="216" t="n"/>
    </row>
    <row r="1421" ht="15" customHeight="1">
      <c r="B1421" s="134" t="n"/>
      <c r="C1421" s="105" t="n"/>
      <c r="D1421" s="105" t="n"/>
      <c r="E1421" s="105" t="n"/>
      <c r="F1421" s="105" t="n"/>
      <c r="G1421" s="105" t="n"/>
      <c r="H1421" s="2" t="n"/>
      <c r="I1421" s="105" t="n"/>
      <c r="K1421" s="215" t="n"/>
      <c r="L1421" s="215" t="n"/>
      <c r="M1421" s="215" t="n"/>
      <c r="N1421" s="215" t="n"/>
      <c r="O1421" s="215" t="n"/>
      <c r="P1421" s="215" t="n"/>
      <c r="Q1421" s="215" t="n"/>
      <c r="R1421" s="215" t="n"/>
      <c r="S1421" s="215" t="n"/>
      <c r="T1421" s="215" t="n"/>
      <c r="U1421" s="215" t="n"/>
      <c r="V1421" s="215" t="n"/>
      <c r="W1421" s="215" t="n"/>
      <c r="X1421" s="215" t="n"/>
      <c r="Y1421" s="215" t="n"/>
      <c r="Z1421" s="215" t="n"/>
      <c r="AA1421" s="215" t="n"/>
      <c r="AB1421" s="215" t="n"/>
      <c r="AC1421" s="215" t="n"/>
      <c r="AD1421" s="215" t="n"/>
      <c r="AE1421" s="215" t="n"/>
      <c r="AF1421" s="215" t="n"/>
      <c r="AG1421" s="215" t="n"/>
      <c r="AH1421" s="215" t="n"/>
      <c r="AI1421" s="215" t="n"/>
      <c r="AJ1421" s="215" t="n"/>
      <c r="AK1421" s="216" t="n"/>
    </row>
    <row r="1422" ht="15" customHeight="1">
      <c r="B1422" s="134" t="n"/>
      <c r="C1422" s="105" t="n"/>
      <c r="D1422" s="105" t="n"/>
      <c r="E1422" s="105" t="n"/>
      <c r="F1422" s="105" t="n"/>
      <c r="G1422" s="105" t="n"/>
      <c r="H1422" s="2" t="n"/>
      <c r="I1422" s="105" t="n"/>
      <c r="K1422" s="215" t="n"/>
      <c r="L1422" s="215" t="n"/>
      <c r="M1422" s="215" t="n"/>
      <c r="N1422" s="215" t="n"/>
      <c r="O1422" s="215" t="n"/>
      <c r="P1422" s="215" t="n"/>
      <c r="Q1422" s="215" t="n"/>
      <c r="R1422" s="215" t="n"/>
      <c r="S1422" s="215" t="n"/>
      <c r="T1422" s="215" t="n"/>
      <c r="U1422" s="215" t="n"/>
      <c r="V1422" s="215" t="n"/>
      <c r="W1422" s="215" t="n"/>
      <c r="X1422" s="215" t="n"/>
      <c r="Y1422" s="215" t="n"/>
      <c r="Z1422" s="215" t="n"/>
      <c r="AA1422" s="215" t="n"/>
      <c r="AB1422" s="215" t="n"/>
      <c r="AC1422" s="215" t="n"/>
      <c r="AD1422" s="215" t="n"/>
      <c r="AE1422" s="215" t="n"/>
      <c r="AF1422" s="215" t="n"/>
      <c r="AG1422" s="215" t="n"/>
      <c r="AH1422" s="215" t="n"/>
      <c r="AI1422" s="215" t="n"/>
      <c r="AJ1422" s="215" t="n"/>
      <c r="AK1422" s="216" t="n"/>
    </row>
    <row r="1423" ht="15" customHeight="1">
      <c r="B1423" s="134" t="n"/>
      <c r="C1423" s="105" t="n"/>
      <c r="D1423" s="105" t="n"/>
      <c r="E1423" s="105" t="n"/>
      <c r="F1423" s="105" t="n"/>
      <c r="G1423" s="105" t="n"/>
      <c r="H1423" s="2" t="n"/>
      <c r="I1423" s="105" t="n"/>
      <c r="K1423" s="215" t="n"/>
      <c r="L1423" s="215" t="n"/>
      <c r="M1423" s="215" t="n"/>
      <c r="N1423" s="215" t="n"/>
      <c r="O1423" s="215" t="n"/>
      <c r="P1423" s="215" t="n"/>
      <c r="Q1423" s="215" t="n"/>
      <c r="R1423" s="215" t="n"/>
      <c r="S1423" s="215" t="n"/>
      <c r="T1423" s="215" t="n"/>
      <c r="U1423" s="215" t="n"/>
      <c r="V1423" s="215" t="n"/>
      <c r="W1423" s="215" t="n"/>
      <c r="X1423" s="215" t="n"/>
      <c r="Y1423" s="215" t="n"/>
      <c r="Z1423" s="215" t="n"/>
      <c r="AA1423" s="215" t="n"/>
      <c r="AB1423" s="215" t="n"/>
      <c r="AC1423" s="215" t="n"/>
      <c r="AD1423" s="215" t="n"/>
      <c r="AE1423" s="215" t="n"/>
      <c r="AF1423" s="215" t="n"/>
      <c r="AG1423" s="215" t="n"/>
      <c r="AH1423" s="215" t="n"/>
      <c r="AI1423" s="215" t="n"/>
      <c r="AJ1423" s="215" t="n"/>
      <c r="AK1423" s="216" t="n"/>
    </row>
    <row r="1424" ht="15" customHeight="1">
      <c r="B1424" s="134" t="n"/>
      <c r="C1424" s="105" t="n"/>
      <c r="D1424" s="105" t="n"/>
      <c r="E1424" s="105" t="n"/>
      <c r="F1424" s="105" t="n"/>
      <c r="G1424" s="105" t="n"/>
      <c r="H1424" s="2" t="n"/>
      <c r="I1424" s="105" t="n"/>
      <c r="K1424" s="215" t="n"/>
      <c r="L1424" s="215" t="n"/>
      <c r="M1424" s="215" t="n"/>
      <c r="N1424" s="215" t="n"/>
      <c r="O1424" s="215" t="n"/>
      <c r="P1424" s="215" t="n"/>
      <c r="Q1424" s="215" t="n"/>
      <c r="R1424" s="215" t="n"/>
      <c r="S1424" s="215" t="n"/>
      <c r="T1424" s="215" t="n"/>
      <c r="U1424" s="215" t="n"/>
      <c r="V1424" s="215" t="n"/>
      <c r="W1424" s="215" t="n"/>
      <c r="X1424" s="215" t="n"/>
      <c r="Y1424" s="215" t="n"/>
      <c r="Z1424" s="215" t="n"/>
      <c r="AA1424" s="215" t="n"/>
      <c r="AB1424" s="215" t="n"/>
      <c r="AC1424" s="215" t="n"/>
      <c r="AD1424" s="215" t="n"/>
      <c r="AE1424" s="215" t="n"/>
      <c r="AF1424" s="215" t="n"/>
      <c r="AG1424" s="215" t="n"/>
      <c r="AH1424" s="215" t="n"/>
      <c r="AI1424" s="215" t="n"/>
      <c r="AJ1424" s="215" t="n"/>
      <c r="AK1424" s="216" t="n"/>
    </row>
    <row r="1425" ht="15" customHeight="1">
      <c r="B1425" s="134" t="n"/>
      <c r="C1425" s="105" t="n"/>
      <c r="D1425" s="105" t="n"/>
      <c r="E1425" s="105" t="n"/>
      <c r="F1425" s="105" t="n"/>
      <c r="G1425" s="105" t="n"/>
      <c r="H1425" s="2" t="n"/>
      <c r="I1425" s="105" t="n"/>
      <c r="K1425" s="215" t="n"/>
      <c r="L1425" s="215" t="n"/>
      <c r="M1425" s="215" t="n"/>
      <c r="N1425" s="215" t="n"/>
      <c r="O1425" s="215" t="n"/>
      <c r="P1425" s="215" t="n"/>
      <c r="Q1425" s="215" t="n"/>
      <c r="R1425" s="215" t="n"/>
      <c r="S1425" s="215" t="n"/>
      <c r="T1425" s="215" t="n"/>
      <c r="U1425" s="215" t="n"/>
      <c r="V1425" s="215" t="n"/>
      <c r="W1425" s="215" t="n"/>
      <c r="X1425" s="215" t="n"/>
      <c r="Y1425" s="215" t="n"/>
      <c r="Z1425" s="215" t="n"/>
      <c r="AA1425" s="215" t="n"/>
      <c r="AB1425" s="215" t="n"/>
      <c r="AC1425" s="215" t="n"/>
      <c r="AD1425" s="215" t="n"/>
      <c r="AE1425" s="215" t="n"/>
      <c r="AF1425" s="215" t="n"/>
      <c r="AG1425" s="215" t="n"/>
      <c r="AH1425" s="215" t="n"/>
      <c r="AI1425" s="215" t="n"/>
      <c r="AJ1425" s="215" t="n"/>
      <c r="AK1425" s="216" t="n"/>
    </row>
    <row r="1426" ht="15" customHeight="1">
      <c r="B1426" s="134" t="n"/>
      <c r="C1426" s="105" t="n"/>
      <c r="D1426" s="105" t="n"/>
      <c r="E1426" s="105" t="n"/>
      <c r="F1426" s="105" t="n"/>
      <c r="G1426" s="105" t="n"/>
      <c r="H1426" s="2" t="n"/>
      <c r="I1426" s="105" t="n"/>
      <c r="K1426" s="215" t="n"/>
      <c r="L1426" s="215" t="n"/>
      <c r="M1426" s="215" t="n"/>
      <c r="N1426" s="215" t="n"/>
      <c r="O1426" s="215" t="n"/>
      <c r="P1426" s="215" t="n"/>
      <c r="Q1426" s="215" t="n"/>
      <c r="R1426" s="215" t="n"/>
      <c r="S1426" s="215" t="n"/>
      <c r="T1426" s="215" t="n"/>
      <c r="U1426" s="215" t="n"/>
      <c r="V1426" s="215" t="n"/>
      <c r="W1426" s="215" t="n"/>
      <c r="X1426" s="215" t="n"/>
      <c r="Y1426" s="215" t="n"/>
      <c r="Z1426" s="215" t="n"/>
      <c r="AA1426" s="215" t="n"/>
      <c r="AB1426" s="215" t="n"/>
      <c r="AC1426" s="215" t="n"/>
      <c r="AD1426" s="215" t="n"/>
      <c r="AE1426" s="215" t="n"/>
      <c r="AF1426" s="215" t="n"/>
      <c r="AG1426" s="215" t="n"/>
      <c r="AH1426" s="215" t="n"/>
      <c r="AI1426" s="215" t="n"/>
      <c r="AJ1426" s="215" t="n"/>
      <c r="AK1426" s="216" t="n"/>
    </row>
    <row r="1427" ht="15" customHeight="1">
      <c r="B1427" s="134" t="n"/>
      <c r="C1427" s="105" t="n"/>
      <c r="D1427" s="105" t="n"/>
      <c r="E1427" s="105" t="n"/>
      <c r="F1427" s="105" t="n"/>
      <c r="G1427" s="105" t="n"/>
      <c r="H1427" s="2" t="n"/>
      <c r="I1427" s="105" t="n"/>
      <c r="K1427" s="215" t="n"/>
      <c r="L1427" s="215" t="n"/>
      <c r="M1427" s="215" t="n"/>
      <c r="N1427" s="215" t="n"/>
      <c r="O1427" s="215" t="n"/>
      <c r="P1427" s="215" t="n"/>
      <c r="Q1427" s="215" t="n"/>
      <c r="R1427" s="215" t="n"/>
      <c r="S1427" s="215" t="n"/>
      <c r="T1427" s="215" t="n"/>
      <c r="U1427" s="215" t="n"/>
      <c r="V1427" s="215" t="n"/>
      <c r="W1427" s="215" t="n"/>
      <c r="X1427" s="215" t="n"/>
      <c r="Y1427" s="215" t="n"/>
      <c r="Z1427" s="215" t="n"/>
      <c r="AA1427" s="215" t="n"/>
      <c r="AB1427" s="215" t="n"/>
      <c r="AC1427" s="215" t="n"/>
      <c r="AD1427" s="215" t="n"/>
      <c r="AE1427" s="215" t="n"/>
      <c r="AF1427" s="215" t="n"/>
      <c r="AG1427" s="215" t="n"/>
      <c r="AH1427" s="215" t="n"/>
      <c r="AI1427" s="215" t="n"/>
      <c r="AJ1427" s="215" t="n"/>
      <c r="AK1427" s="216" t="n"/>
    </row>
    <row r="1428" ht="15" customHeight="1">
      <c r="B1428" s="134" t="n"/>
      <c r="C1428" s="105" t="n"/>
      <c r="D1428" s="105" t="n"/>
      <c r="E1428" s="105" t="n"/>
      <c r="F1428" s="105" t="n"/>
      <c r="G1428" s="105" t="n"/>
      <c r="H1428" s="2" t="n"/>
      <c r="I1428" s="105" t="n"/>
      <c r="K1428" s="215" t="n"/>
      <c r="L1428" s="215" t="n"/>
      <c r="M1428" s="215" t="n"/>
      <c r="N1428" s="215" t="n"/>
      <c r="O1428" s="215" t="n"/>
      <c r="P1428" s="215" t="n"/>
      <c r="Q1428" s="215" t="n"/>
      <c r="R1428" s="215" t="n"/>
      <c r="S1428" s="215" t="n"/>
      <c r="T1428" s="215" t="n"/>
      <c r="U1428" s="215" t="n"/>
      <c r="V1428" s="215" t="n"/>
      <c r="W1428" s="215" t="n"/>
      <c r="X1428" s="215" t="n"/>
      <c r="Y1428" s="215" t="n"/>
      <c r="Z1428" s="215" t="n"/>
      <c r="AA1428" s="215" t="n"/>
      <c r="AB1428" s="215" t="n"/>
      <c r="AC1428" s="215" t="n"/>
      <c r="AD1428" s="215" t="n"/>
      <c r="AE1428" s="215" t="n"/>
      <c r="AF1428" s="215" t="n"/>
      <c r="AG1428" s="215" t="n"/>
      <c r="AH1428" s="215" t="n"/>
      <c r="AI1428" s="215" t="n"/>
      <c r="AJ1428" s="215" t="n"/>
      <c r="AK1428" s="216" t="n"/>
    </row>
    <row r="1429" ht="15" customHeight="1">
      <c r="B1429" s="134" t="n"/>
      <c r="C1429" s="105" t="n"/>
      <c r="D1429" s="105" t="n"/>
      <c r="E1429" s="105" t="n"/>
      <c r="F1429" s="105" t="n"/>
      <c r="G1429" s="105" t="n"/>
      <c r="H1429" s="2" t="n"/>
      <c r="I1429" s="105" t="n"/>
      <c r="K1429" s="215" t="n"/>
      <c r="L1429" s="215" t="n"/>
      <c r="M1429" s="215" t="n"/>
      <c r="N1429" s="215" t="n"/>
      <c r="O1429" s="215" t="n"/>
      <c r="P1429" s="215" t="n"/>
      <c r="Q1429" s="215" t="n"/>
      <c r="R1429" s="215" t="n"/>
      <c r="S1429" s="215" t="n"/>
      <c r="T1429" s="215" t="n"/>
      <c r="U1429" s="215" t="n"/>
      <c r="V1429" s="215" t="n"/>
      <c r="W1429" s="215" t="n"/>
      <c r="X1429" s="215" t="n"/>
      <c r="Y1429" s="215" t="n"/>
      <c r="Z1429" s="215" t="n"/>
      <c r="AA1429" s="215" t="n"/>
      <c r="AB1429" s="215" t="n"/>
      <c r="AC1429" s="215" t="n"/>
      <c r="AD1429" s="215" t="n"/>
      <c r="AE1429" s="215" t="n"/>
      <c r="AF1429" s="215" t="n"/>
      <c r="AG1429" s="215" t="n"/>
      <c r="AH1429" s="215" t="n"/>
      <c r="AI1429" s="215" t="n"/>
      <c r="AJ1429" s="215" t="n"/>
      <c r="AK1429" s="216" t="n"/>
    </row>
    <row r="1430" ht="15" customHeight="1">
      <c r="B1430" s="134" t="n"/>
      <c r="C1430" s="105" t="n"/>
      <c r="D1430" s="105" t="n"/>
      <c r="E1430" s="105" t="n"/>
      <c r="F1430" s="105" t="n"/>
      <c r="G1430" s="105" t="n"/>
      <c r="H1430" s="2" t="n"/>
      <c r="I1430" s="105" t="n"/>
      <c r="K1430" s="215" t="n"/>
      <c r="L1430" s="215" t="n"/>
      <c r="M1430" s="215" t="n"/>
      <c r="N1430" s="215" t="n"/>
      <c r="O1430" s="215" t="n"/>
      <c r="P1430" s="215" t="n"/>
      <c r="Q1430" s="215" t="n"/>
      <c r="R1430" s="215" t="n"/>
      <c r="S1430" s="215" t="n"/>
      <c r="T1430" s="215" t="n"/>
      <c r="U1430" s="215" t="n"/>
      <c r="V1430" s="215" t="n"/>
      <c r="W1430" s="215" t="n"/>
      <c r="X1430" s="215" t="n"/>
      <c r="Y1430" s="215" t="n"/>
      <c r="Z1430" s="215" t="n"/>
      <c r="AA1430" s="215" t="n"/>
      <c r="AB1430" s="215" t="n"/>
      <c r="AC1430" s="215" t="n"/>
      <c r="AD1430" s="215" t="n"/>
      <c r="AE1430" s="215" t="n"/>
      <c r="AF1430" s="215" t="n"/>
      <c r="AG1430" s="215" t="n"/>
      <c r="AH1430" s="215" t="n"/>
      <c r="AI1430" s="215" t="n"/>
      <c r="AJ1430" s="215" t="n"/>
      <c r="AK1430" s="216" t="n"/>
    </row>
    <row r="1431" ht="15" customHeight="1">
      <c r="B1431" s="134" t="n"/>
      <c r="C1431" s="105" t="n"/>
      <c r="D1431" s="105" t="n"/>
      <c r="E1431" s="105" t="n"/>
      <c r="F1431" s="105" t="n"/>
      <c r="G1431" s="105" t="n"/>
      <c r="H1431" s="2" t="n"/>
      <c r="I1431" s="105" t="n"/>
      <c r="K1431" s="215" t="n"/>
      <c r="L1431" s="215" t="n"/>
      <c r="M1431" s="215" t="n"/>
      <c r="N1431" s="215" t="n"/>
      <c r="O1431" s="215" t="n"/>
      <c r="P1431" s="215" t="n"/>
      <c r="Q1431" s="215" t="n"/>
      <c r="R1431" s="215" t="n"/>
      <c r="S1431" s="215" t="n"/>
      <c r="T1431" s="215" t="n"/>
      <c r="U1431" s="215" t="n"/>
      <c r="V1431" s="215" t="n"/>
      <c r="W1431" s="215" t="n"/>
      <c r="X1431" s="215" t="n"/>
      <c r="Y1431" s="215" t="n"/>
      <c r="Z1431" s="215" t="n"/>
      <c r="AA1431" s="215" t="n"/>
      <c r="AB1431" s="215" t="n"/>
      <c r="AC1431" s="215" t="n"/>
      <c r="AD1431" s="215" t="n"/>
      <c r="AE1431" s="215" t="n"/>
      <c r="AF1431" s="215" t="n"/>
      <c r="AG1431" s="215" t="n"/>
      <c r="AH1431" s="215" t="n"/>
      <c r="AI1431" s="215" t="n"/>
      <c r="AJ1431" s="215" t="n"/>
      <c r="AK1431" s="216" t="n"/>
    </row>
    <row r="1432" ht="15" customHeight="1">
      <c r="B1432" s="134" t="n"/>
      <c r="C1432" s="105" t="n"/>
      <c r="D1432" s="105" t="n"/>
      <c r="E1432" s="105" t="n"/>
      <c r="F1432" s="105" t="n"/>
      <c r="G1432" s="105" t="n"/>
      <c r="H1432" s="2" t="n"/>
      <c r="I1432" s="105" t="n"/>
      <c r="K1432" s="215" t="n"/>
      <c r="L1432" s="215" t="n"/>
      <c r="M1432" s="215" t="n"/>
      <c r="N1432" s="215" t="n"/>
      <c r="O1432" s="215" t="n"/>
      <c r="P1432" s="215" t="n"/>
      <c r="Q1432" s="215" t="n"/>
      <c r="R1432" s="215" t="n"/>
      <c r="S1432" s="215" t="n"/>
      <c r="T1432" s="215" t="n"/>
      <c r="U1432" s="215" t="n"/>
      <c r="V1432" s="215" t="n"/>
      <c r="W1432" s="215" t="n"/>
      <c r="X1432" s="215" t="n"/>
      <c r="Y1432" s="215" t="n"/>
      <c r="Z1432" s="215" t="n"/>
      <c r="AA1432" s="215" t="n"/>
      <c r="AB1432" s="215" t="n"/>
      <c r="AC1432" s="215" t="n"/>
      <c r="AD1432" s="215" t="n"/>
      <c r="AE1432" s="215" t="n"/>
      <c r="AF1432" s="215" t="n"/>
      <c r="AG1432" s="215" t="n"/>
      <c r="AH1432" s="215" t="n"/>
      <c r="AI1432" s="215" t="n"/>
      <c r="AJ1432" s="215" t="n"/>
      <c r="AK1432" s="216" t="n"/>
    </row>
    <row r="1433" ht="15" customHeight="1">
      <c r="B1433" s="134" t="n"/>
      <c r="C1433" s="105" t="n"/>
      <c r="D1433" s="105" t="n"/>
      <c r="E1433" s="105" t="n"/>
      <c r="F1433" s="105" t="n"/>
      <c r="G1433" s="105" t="n"/>
      <c r="H1433" s="2" t="n"/>
      <c r="I1433" s="105" t="n"/>
      <c r="K1433" s="215" t="n"/>
      <c r="L1433" s="215" t="n"/>
      <c r="M1433" s="215" t="n"/>
      <c r="N1433" s="215" t="n"/>
      <c r="O1433" s="215" t="n"/>
      <c r="P1433" s="215" t="n"/>
      <c r="Q1433" s="215" t="n"/>
      <c r="R1433" s="215" t="n"/>
      <c r="S1433" s="215" t="n"/>
      <c r="T1433" s="215" t="n"/>
      <c r="U1433" s="215" t="n"/>
      <c r="V1433" s="215" t="n"/>
      <c r="W1433" s="215" t="n"/>
      <c r="X1433" s="215" t="n"/>
      <c r="Y1433" s="215" t="n"/>
      <c r="Z1433" s="215" t="n"/>
      <c r="AA1433" s="215" t="n"/>
      <c r="AB1433" s="215" t="n"/>
      <c r="AC1433" s="215" t="n"/>
      <c r="AD1433" s="215" t="n"/>
      <c r="AE1433" s="215" t="n"/>
      <c r="AF1433" s="215" t="n"/>
      <c r="AG1433" s="215" t="n"/>
      <c r="AH1433" s="215" t="n"/>
      <c r="AI1433" s="215" t="n"/>
      <c r="AJ1433" s="215" t="n"/>
      <c r="AK1433" s="216" t="n"/>
    </row>
    <row r="1434" ht="15" customHeight="1">
      <c r="B1434" s="134" t="n"/>
      <c r="C1434" s="105" t="n"/>
      <c r="D1434" s="105" t="n"/>
      <c r="E1434" s="105" t="n"/>
      <c r="F1434" s="105" t="n"/>
      <c r="G1434" s="105" t="n"/>
      <c r="H1434" s="2" t="n"/>
      <c r="I1434" s="105" t="n"/>
      <c r="K1434" s="215" t="n"/>
      <c r="L1434" s="215" t="n"/>
      <c r="M1434" s="215" t="n"/>
      <c r="N1434" s="215" t="n"/>
      <c r="O1434" s="215" t="n"/>
      <c r="P1434" s="215" t="n"/>
      <c r="Q1434" s="215" t="n"/>
      <c r="R1434" s="215" t="n"/>
      <c r="S1434" s="215" t="n"/>
      <c r="T1434" s="215" t="n"/>
      <c r="U1434" s="215" t="n"/>
      <c r="V1434" s="215" t="n"/>
      <c r="W1434" s="215" t="n"/>
      <c r="X1434" s="215" t="n"/>
      <c r="Y1434" s="215" t="n"/>
      <c r="Z1434" s="215" t="n"/>
      <c r="AA1434" s="215" t="n"/>
      <c r="AB1434" s="215" t="n"/>
      <c r="AC1434" s="215" t="n"/>
      <c r="AD1434" s="215" t="n"/>
      <c r="AE1434" s="215" t="n"/>
      <c r="AF1434" s="215" t="n"/>
      <c r="AG1434" s="215" t="n"/>
      <c r="AH1434" s="215" t="n"/>
      <c r="AI1434" s="215" t="n"/>
      <c r="AJ1434" s="215" t="n"/>
      <c r="AK1434" s="216" t="n"/>
    </row>
    <row r="1435" ht="15" customHeight="1">
      <c r="B1435" s="134" t="n"/>
      <c r="C1435" s="105" t="n"/>
      <c r="D1435" s="105" t="n"/>
      <c r="E1435" s="105" t="n"/>
      <c r="F1435" s="105" t="n"/>
      <c r="G1435" s="105" t="n"/>
      <c r="H1435" s="2" t="n"/>
      <c r="I1435" s="105" t="n"/>
      <c r="K1435" s="215" t="n"/>
      <c r="L1435" s="215" t="n"/>
      <c r="M1435" s="215" t="n"/>
      <c r="N1435" s="215" t="n"/>
      <c r="O1435" s="215" t="n"/>
      <c r="P1435" s="215" t="n"/>
      <c r="Q1435" s="215" t="n"/>
      <c r="R1435" s="215" t="n"/>
      <c r="S1435" s="215" t="n"/>
      <c r="T1435" s="215" t="n"/>
      <c r="U1435" s="215" t="n"/>
      <c r="V1435" s="215" t="n"/>
      <c r="W1435" s="215" t="n"/>
      <c r="X1435" s="215" t="n"/>
      <c r="Y1435" s="215" t="n"/>
      <c r="Z1435" s="215" t="n"/>
      <c r="AA1435" s="215" t="n"/>
      <c r="AB1435" s="215" t="n"/>
      <c r="AC1435" s="215" t="n"/>
      <c r="AD1435" s="215" t="n"/>
      <c r="AE1435" s="215" t="n"/>
      <c r="AF1435" s="215" t="n"/>
      <c r="AG1435" s="215" t="n"/>
      <c r="AH1435" s="215" t="n"/>
      <c r="AI1435" s="215" t="n"/>
      <c r="AJ1435" s="215" t="n"/>
      <c r="AK1435" s="216" t="n"/>
    </row>
    <row r="1436" ht="15" customHeight="1">
      <c r="B1436" s="134" t="n"/>
      <c r="C1436" s="105" t="n"/>
      <c r="D1436" s="105" t="n"/>
      <c r="E1436" s="105" t="n"/>
      <c r="F1436" s="105" t="n"/>
      <c r="G1436" s="105" t="n"/>
      <c r="H1436" s="2" t="n"/>
      <c r="I1436" s="105" t="n"/>
      <c r="K1436" s="215" t="n"/>
      <c r="L1436" s="215" t="n"/>
      <c r="M1436" s="215" t="n"/>
      <c r="N1436" s="215" t="n"/>
      <c r="O1436" s="215" t="n"/>
      <c r="P1436" s="215" t="n"/>
      <c r="Q1436" s="215" t="n"/>
      <c r="R1436" s="215" t="n"/>
      <c r="S1436" s="215" t="n"/>
      <c r="T1436" s="215" t="n"/>
      <c r="U1436" s="215" t="n"/>
      <c r="V1436" s="215" t="n"/>
      <c r="W1436" s="215" t="n"/>
      <c r="X1436" s="215" t="n"/>
      <c r="Y1436" s="215" t="n"/>
      <c r="Z1436" s="215" t="n"/>
      <c r="AA1436" s="215" t="n"/>
      <c r="AB1436" s="215" t="n"/>
      <c r="AC1436" s="215" t="n"/>
      <c r="AD1436" s="215" t="n"/>
      <c r="AE1436" s="215" t="n"/>
      <c r="AF1436" s="215" t="n"/>
      <c r="AG1436" s="215" t="n"/>
      <c r="AH1436" s="215" t="n"/>
      <c r="AI1436" s="215" t="n"/>
      <c r="AJ1436" s="215" t="n"/>
      <c r="AK1436" s="216" t="n"/>
    </row>
    <row r="1437" ht="15" customHeight="1">
      <c r="B1437" s="134" t="n"/>
      <c r="C1437" s="105" t="n"/>
      <c r="D1437" s="105" t="n"/>
      <c r="E1437" s="105" t="n"/>
      <c r="F1437" s="105" t="n"/>
      <c r="G1437" s="105" t="n"/>
      <c r="H1437" s="2" t="n"/>
      <c r="I1437" s="105" t="n"/>
      <c r="K1437" s="215" t="n"/>
      <c r="L1437" s="215" t="n"/>
      <c r="M1437" s="215" t="n"/>
      <c r="N1437" s="215" t="n"/>
      <c r="O1437" s="215" t="n"/>
      <c r="P1437" s="215" t="n"/>
      <c r="Q1437" s="215" t="n"/>
      <c r="R1437" s="215" t="n"/>
      <c r="S1437" s="215" t="n"/>
      <c r="T1437" s="215" t="n"/>
      <c r="U1437" s="215" t="n"/>
      <c r="V1437" s="215" t="n"/>
      <c r="W1437" s="215" t="n"/>
      <c r="X1437" s="215" t="n"/>
      <c r="Y1437" s="215" t="n"/>
      <c r="Z1437" s="215" t="n"/>
      <c r="AA1437" s="215" t="n"/>
      <c r="AB1437" s="215" t="n"/>
      <c r="AC1437" s="215" t="n"/>
      <c r="AD1437" s="215" t="n"/>
      <c r="AE1437" s="215" t="n"/>
      <c r="AF1437" s="215" t="n"/>
      <c r="AG1437" s="215" t="n"/>
      <c r="AH1437" s="215" t="n"/>
      <c r="AI1437" s="215" t="n"/>
      <c r="AJ1437" s="215" t="n"/>
      <c r="AK1437" s="216" t="n"/>
    </row>
    <row r="1438" ht="15" customHeight="1">
      <c r="B1438" s="134" t="n"/>
      <c r="C1438" s="105" t="n"/>
      <c r="D1438" s="105" t="n"/>
      <c r="E1438" s="105" t="n"/>
      <c r="F1438" s="105" t="n"/>
      <c r="G1438" s="105" t="n"/>
      <c r="H1438" s="2" t="n"/>
      <c r="I1438" s="105" t="n"/>
      <c r="K1438" s="215" t="n"/>
      <c r="L1438" s="215" t="n"/>
      <c r="M1438" s="215" t="n"/>
      <c r="N1438" s="215" t="n"/>
      <c r="O1438" s="215" t="n"/>
      <c r="P1438" s="215" t="n"/>
      <c r="Q1438" s="215" t="n"/>
      <c r="R1438" s="215" t="n"/>
      <c r="S1438" s="215" t="n"/>
      <c r="T1438" s="215" t="n"/>
      <c r="U1438" s="215" t="n"/>
      <c r="V1438" s="215" t="n"/>
      <c r="W1438" s="215" t="n"/>
      <c r="X1438" s="215" t="n"/>
      <c r="Y1438" s="215" t="n"/>
      <c r="Z1438" s="215" t="n"/>
      <c r="AA1438" s="215" t="n"/>
      <c r="AB1438" s="215" t="n"/>
      <c r="AC1438" s="215" t="n"/>
      <c r="AD1438" s="215" t="n"/>
      <c r="AE1438" s="215" t="n"/>
      <c r="AF1438" s="215" t="n"/>
      <c r="AG1438" s="215" t="n"/>
      <c r="AH1438" s="215" t="n"/>
      <c r="AI1438" s="215" t="n"/>
      <c r="AJ1438" s="215" t="n"/>
      <c r="AK1438" s="216" t="n"/>
    </row>
    <row r="1439" ht="15" customHeight="1">
      <c r="B1439" s="134" t="n"/>
      <c r="C1439" s="105" t="n"/>
      <c r="D1439" s="105" t="n"/>
      <c r="E1439" s="105" t="n"/>
      <c r="F1439" s="105" t="n"/>
      <c r="G1439" s="105" t="n"/>
      <c r="H1439" s="2" t="n"/>
      <c r="I1439" s="105" t="n"/>
      <c r="K1439" s="215" t="n"/>
      <c r="L1439" s="215" t="n"/>
      <c r="M1439" s="215" t="n"/>
      <c r="N1439" s="215" t="n"/>
      <c r="O1439" s="215" t="n"/>
      <c r="P1439" s="215" t="n"/>
      <c r="Q1439" s="215" t="n"/>
      <c r="R1439" s="215" t="n"/>
      <c r="S1439" s="215" t="n"/>
      <c r="T1439" s="215" t="n"/>
      <c r="U1439" s="215" t="n"/>
      <c r="V1439" s="215" t="n"/>
      <c r="W1439" s="215" t="n"/>
      <c r="X1439" s="215" t="n"/>
      <c r="Y1439" s="215" t="n"/>
      <c r="Z1439" s="215" t="n"/>
      <c r="AA1439" s="215" t="n"/>
      <c r="AB1439" s="215" t="n"/>
      <c r="AC1439" s="215" t="n"/>
      <c r="AD1439" s="215" t="n"/>
      <c r="AE1439" s="215" t="n"/>
      <c r="AF1439" s="215" t="n"/>
      <c r="AG1439" s="215" t="n"/>
      <c r="AH1439" s="215" t="n"/>
      <c r="AI1439" s="215" t="n"/>
      <c r="AJ1439" s="215" t="n"/>
      <c r="AK1439" s="216" t="n"/>
    </row>
    <row r="1440" ht="15" customHeight="1">
      <c r="B1440" s="134" t="n"/>
      <c r="C1440" s="105" t="n"/>
      <c r="D1440" s="105" t="n"/>
      <c r="E1440" s="105" t="n"/>
      <c r="F1440" s="105" t="n"/>
      <c r="G1440" s="105" t="n"/>
      <c r="H1440" s="2" t="n"/>
      <c r="I1440" s="105" t="n"/>
      <c r="K1440" s="215" t="n"/>
      <c r="L1440" s="215" t="n"/>
      <c r="M1440" s="215" t="n"/>
      <c r="N1440" s="215" t="n"/>
      <c r="O1440" s="215" t="n"/>
      <c r="P1440" s="215" t="n"/>
      <c r="Q1440" s="215" t="n"/>
      <c r="R1440" s="215" t="n"/>
      <c r="S1440" s="215" t="n"/>
      <c r="T1440" s="215" t="n"/>
      <c r="U1440" s="215" t="n"/>
      <c r="V1440" s="215" t="n"/>
      <c r="W1440" s="215" t="n"/>
      <c r="X1440" s="215" t="n"/>
      <c r="Y1440" s="215" t="n"/>
      <c r="Z1440" s="215" t="n"/>
      <c r="AA1440" s="215" t="n"/>
      <c r="AB1440" s="215" t="n"/>
      <c r="AC1440" s="215" t="n"/>
      <c r="AD1440" s="215" t="n"/>
      <c r="AE1440" s="215" t="n"/>
      <c r="AF1440" s="215" t="n"/>
      <c r="AG1440" s="215" t="n"/>
      <c r="AH1440" s="215" t="n"/>
      <c r="AI1440" s="215" t="n"/>
      <c r="AJ1440" s="215" t="n"/>
      <c r="AK1440" s="216" t="n"/>
    </row>
    <row r="1441" ht="15" customHeight="1">
      <c r="B1441" s="134" t="n"/>
      <c r="C1441" s="105" t="n"/>
      <c r="D1441" s="105" t="n"/>
      <c r="E1441" s="105" t="n"/>
      <c r="F1441" s="105" t="n"/>
      <c r="G1441" s="105" t="n"/>
      <c r="H1441" s="2" t="n"/>
      <c r="I1441" s="105" t="n"/>
      <c r="K1441" s="215" t="n"/>
      <c r="L1441" s="215" t="n"/>
      <c r="M1441" s="215" t="n"/>
      <c r="N1441" s="215" t="n"/>
      <c r="O1441" s="215" t="n"/>
      <c r="P1441" s="215" t="n"/>
      <c r="Q1441" s="215" t="n"/>
      <c r="R1441" s="215" t="n"/>
      <c r="S1441" s="215" t="n"/>
      <c r="T1441" s="215" t="n"/>
      <c r="U1441" s="215" t="n"/>
      <c r="V1441" s="215" t="n"/>
      <c r="W1441" s="215" t="n"/>
      <c r="X1441" s="215" t="n"/>
      <c r="Y1441" s="215" t="n"/>
      <c r="Z1441" s="215" t="n"/>
      <c r="AA1441" s="215" t="n"/>
      <c r="AB1441" s="215" t="n"/>
      <c r="AC1441" s="215" t="n"/>
      <c r="AD1441" s="215" t="n"/>
      <c r="AE1441" s="215" t="n"/>
      <c r="AF1441" s="215" t="n"/>
      <c r="AG1441" s="215" t="n"/>
      <c r="AH1441" s="215" t="n"/>
      <c r="AI1441" s="215" t="n"/>
      <c r="AJ1441" s="215" t="n"/>
      <c r="AK1441" s="216" t="n"/>
    </row>
    <row r="1442" ht="15" customHeight="1">
      <c r="B1442" s="134" t="n"/>
      <c r="C1442" s="105" t="n"/>
      <c r="D1442" s="105" t="n"/>
      <c r="E1442" s="105" t="n"/>
      <c r="F1442" s="105" t="n"/>
      <c r="G1442" s="105" t="n"/>
      <c r="H1442" s="2" t="n"/>
      <c r="I1442" s="105" t="n"/>
      <c r="K1442" s="215" t="n"/>
      <c r="L1442" s="215" t="n"/>
      <c r="M1442" s="215" t="n"/>
      <c r="N1442" s="215" t="n"/>
      <c r="O1442" s="215" t="n"/>
      <c r="P1442" s="215" t="n"/>
      <c r="Q1442" s="215" t="n"/>
      <c r="R1442" s="215" t="n"/>
      <c r="S1442" s="215" t="n"/>
      <c r="T1442" s="215" t="n"/>
      <c r="U1442" s="215" t="n"/>
      <c r="V1442" s="215" t="n"/>
      <c r="W1442" s="215" t="n"/>
      <c r="X1442" s="215" t="n"/>
      <c r="Y1442" s="215" t="n"/>
      <c r="Z1442" s="215" t="n"/>
      <c r="AA1442" s="215" t="n"/>
      <c r="AB1442" s="215" t="n"/>
      <c r="AC1442" s="215" t="n"/>
      <c r="AD1442" s="215" t="n"/>
      <c r="AE1442" s="215" t="n"/>
      <c r="AF1442" s="215" t="n"/>
      <c r="AG1442" s="215" t="n"/>
      <c r="AH1442" s="215" t="n"/>
      <c r="AI1442" s="215" t="n"/>
      <c r="AJ1442" s="215" t="n"/>
      <c r="AK1442" s="216" t="n"/>
    </row>
    <row r="1443" ht="15" customHeight="1">
      <c r="B1443" s="134" t="n"/>
      <c r="C1443" s="105" t="n"/>
      <c r="D1443" s="105" t="n"/>
      <c r="E1443" s="105" t="n"/>
      <c r="F1443" s="105" t="n"/>
      <c r="G1443" s="105" t="n"/>
      <c r="H1443" s="2" t="n"/>
      <c r="I1443" s="105" t="n"/>
      <c r="K1443" s="215" t="n"/>
      <c r="L1443" s="215" t="n"/>
      <c r="M1443" s="215" t="n"/>
      <c r="N1443" s="215" t="n"/>
      <c r="O1443" s="215" t="n"/>
      <c r="P1443" s="215" t="n"/>
      <c r="Q1443" s="215" t="n"/>
      <c r="R1443" s="215" t="n"/>
      <c r="S1443" s="215" t="n"/>
      <c r="T1443" s="215" t="n"/>
      <c r="U1443" s="215" t="n"/>
      <c r="V1443" s="215" t="n"/>
      <c r="W1443" s="215" t="n"/>
      <c r="X1443" s="215" t="n"/>
      <c r="Y1443" s="215" t="n"/>
      <c r="Z1443" s="215" t="n"/>
      <c r="AA1443" s="215" t="n"/>
      <c r="AB1443" s="215" t="n"/>
      <c r="AC1443" s="215" t="n"/>
      <c r="AD1443" s="215" t="n"/>
      <c r="AE1443" s="215" t="n"/>
      <c r="AF1443" s="215" t="n"/>
      <c r="AG1443" s="215" t="n"/>
      <c r="AH1443" s="215" t="n"/>
      <c r="AI1443" s="215" t="n"/>
      <c r="AJ1443" s="215" t="n"/>
      <c r="AK1443" s="216" t="n"/>
    </row>
    <row r="1444" ht="15" customHeight="1">
      <c r="B1444" s="134" t="n"/>
      <c r="C1444" s="105" t="n"/>
      <c r="D1444" s="105" t="n"/>
      <c r="E1444" s="105" t="n"/>
      <c r="F1444" s="105" t="n"/>
      <c r="G1444" s="105" t="n"/>
      <c r="H1444" s="2" t="n"/>
      <c r="I1444" s="105" t="n"/>
      <c r="K1444" s="215" t="n"/>
      <c r="L1444" s="215" t="n"/>
      <c r="M1444" s="215" t="n"/>
      <c r="N1444" s="215" t="n"/>
      <c r="O1444" s="215" t="n"/>
      <c r="P1444" s="215" t="n"/>
      <c r="Q1444" s="215" t="n"/>
      <c r="R1444" s="215" t="n"/>
      <c r="S1444" s="215" t="n"/>
      <c r="T1444" s="215" t="n"/>
      <c r="U1444" s="215" t="n"/>
      <c r="V1444" s="215" t="n"/>
      <c r="W1444" s="215" t="n"/>
      <c r="X1444" s="215" t="n"/>
      <c r="Y1444" s="215" t="n"/>
      <c r="Z1444" s="215" t="n"/>
      <c r="AA1444" s="215" t="n"/>
      <c r="AB1444" s="215" t="n"/>
      <c r="AC1444" s="215" t="n"/>
      <c r="AD1444" s="215" t="n"/>
      <c r="AE1444" s="215" t="n"/>
      <c r="AF1444" s="215" t="n"/>
      <c r="AG1444" s="215" t="n"/>
      <c r="AH1444" s="215" t="n"/>
      <c r="AI1444" s="215" t="n"/>
      <c r="AJ1444" s="215" t="n"/>
      <c r="AK1444" s="216" t="n"/>
    </row>
    <row r="1445" ht="15" customHeight="1">
      <c r="B1445" s="134" t="n"/>
      <c r="C1445" s="105" t="n"/>
      <c r="D1445" s="105" t="n"/>
      <c r="E1445" s="105" t="n"/>
      <c r="F1445" s="105" t="n"/>
      <c r="G1445" s="105" t="n"/>
      <c r="H1445" s="2" t="n"/>
      <c r="I1445" s="105" t="n"/>
      <c r="K1445" s="215" t="n"/>
      <c r="L1445" s="215" t="n"/>
      <c r="M1445" s="215" t="n"/>
      <c r="N1445" s="215" t="n"/>
      <c r="O1445" s="215" t="n"/>
      <c r="P1445" s="215" t="n"/>
      <c r="Q1445" s="215" t="n"/>
      <c r="R1445" s="215" t="n"/>
      <c r="S1445" s="215" t="n"/>
      <c r="T1445" s="215" t="n"/>
      <c r="U1445" s="215" t="n"/>
      <c r="V1445" s="215" t="n"/>
      <c r="W1445" s="215" t="n"/>
      <c r="X1445" s="215" t="n"/>
      <c r="Y1445" s="215" t="n"/>
      <c r="Z1445" s="215" t="n"/>
      <c r="AA1445" s="215" t="n"/>
      <c r="AB1445" s="215" t="n"/>
      <c r="AC1445" s="215" t="n"/>
      <c r="AD1445" s="215" t="n"/>
      <c r="AE1445" s="215" t="n"/>
      <c r="AF1445" s="215" t="n"/>
      <c r="AG1445" s="215" t="n"/>
      <c r="AH1445" s="215" t="n"/>
      <c r="AI1445" s="215" t="n"/>
      <c r="AJ1445" s="215" t="n"/>
      <c r="AK1445" s="216" t="n"/>
    </row>
    <row r="1446" ht="15" customHeight="1">
      <c r="B1446" s="134" t="n"/>
      <c r="C1446" s="105" t="n"/>
      <c r="D1446" s="105" t="n"/>
      <c r="E1446" s="105" t="n"/>
      <c r="F1446" s="105" t="n"/>
      <c r="G1446" s="105" t="n"/>
      <c r="H1446" s="2" t="n"/>
      <c r="I1446" s="105" t="n"/>
      <c r="K1446" s="215" t="n"/>
      <c r="L1446" s="215" t="n"/>
      <c r="M1446" s="215" t="n"/>
      <c r="N1446" s="215" t="n"/>
      <c r="O1446" s="215" t="n"/>
      <c r="P1446" s="215" t="n"/>
      <c r="Q1446" s="215" t="n"/>
      <c r="R1446" s="215" t="n"/>
      <c r="S1446" s="215" t="n"/>
      <c r="T1446" s="215" t="n"/>
      <c r="U1446" s="215" t="n"/>
      <c r="V1446" s="215" t="n"/>
      <c r="W1446" s="215" t="n"/>
      <c r="X1446" s="215" t="n"/>
      <c r="Y1446" s="215" t="n"/>
      <c r="Z1446" s="215" t="n"/>
      <c r="AA1446" s="215" t="n"/>
      <c r="AB1446" s="215" t="n"/>
      <c r="AC1446" s="215" t="n"/>
      <c r="AD1446" s="215" t="n"/>
      <c r="AE1446" s="215" t="n"/>
      <c r="AF1446" s="215" t="n"/>
      <c r="AG1446" s="215" t="n"/>
      <c r="AH1446" s="215" t="n"/>
      <c r="AI1446" s="215" t="n"/>
      <c r="AJ1446" s="215" t="n"/>
      <c r="AK1446" s="216" t="n"/>
    </row>
    <row r="1447" ht="15" customHeight="1">
      <c r="B1447" s="134" t="n"/>
      <c r="C1447" s="105" t="n"/>
      <c r="D1447" s="105" t="n"/>
      <c r="E1447" s="105" t="n"/>
      <c r="F1447" s="105" t="n"/>
      <c r="G1447" s="105" t="n"/>
      <c r="H1447" s="2" t="n"/>
      <c r="I1447" s="105" t="n"/>
      <c r="K1447" s="215" t="n"/>
      <c r="L1447" s="215" t="n"/>
      <c r="M1447" s="215" t="n"/>
      <c r="N1447" s="215" t="n"/>
      <c r="O1447" s="215" t="n"/>
      <c r="P1447" s="215" t="n"/>
      <c r="Q1447" s="215" t="n"/>
      <c r="R1447" s="215" t="n"/>
      <c r="S1447" s="215" t="n"/>
      <c r="T1447" s="215" t="n"/>
      <c r="U1447" s="215" t="n"/>
      <c r="V1447" s="215" t="n"/>
      <c r="W1447" s="215" t="n"/>
      <c r="X1447" s="215" t="n"/>
      <c r="Y1447" s="215" t="n"/>
      <c r="Z1447" s="215" t="n"/>
      <c r="AA1447" s="215" t="n"/>
      <c r="AB1447" s="215" t="n"/>
      <c r="AC1447" s="215" t="n"/>
      <c r="AD1447" s="215" t="n"/>
      <c r="AE1447" s="215" t="n"/>
      <c r="AF1447" s="215" t="n"/>
      <c r="AG1447" s="215" t="n"/>
      <c r="AH1447" s="215" t="n"/>
      <c r="AI1447" s="215" t="n"/>
      <c r="AJ1447" s="215" t="n"/>
      <c r="AK1447" s="216" t="n"/>
    </row>
    <row r="1448" ht="15" customHeight="1">
      <c r="B1448" s="134" t="n"/>
      <c r="C1448" s="105" t="n"/>
      <c r="D1448" s="105" t="n"/>
      <c r="E1448" s="105" t="n"/>
      <c r="F1448" s="105" t="n"/>
      <c r="G1448" s="105" t="n"/>
      <c r="H1448" s="2" t="n"/>
      <c r="I1448" s="105" t="n"/>
      <c r="K1448" s="215" t="n"/>
      <c r="L1448" s="215" t="n"/>
      <c r="M1448" s="215" t="n"/>
      <c r="N1448" s="215" t="n"/>
      <c r="O1448" s="215" t="n"/>
      <c r="P1448" s="215" t="n"/>
      <c r="Q1448" s="215" t="n"/>
      <c r="R1448" s="215" t="n"/>
      <c r="S1448" s="215" t="n"/>
      <c r="T1448" s="215" t="n"/>
      <c r="U1448" s="215" t="n"/>
      <c r="V1448" s="215" t="n"/>
      <c r="W1448" s="215" t="n"/>
      <c r="X1448" s="215" t="n"/>
      <c r="Y1448" s="215" t="n"/>
      <c r="Z1448" s="215" t="n"/>
      <c r="AA1448" s="215" t="n"/>
      <c r="AB1448" s="215" t="n"/>
      <c r="AC1448" s="215" t="n"/>
      <c r="AD1448" s="215" t="n"/>
      <c r="AE1448" s="215" t="n"/>
      <c r="AF1448" s="215" t="n"/>
      <c r="AG1448" s="215" t="n"/>
      <c r="AH1448" s="215" t="n"/>
      <c r="AI1448" s="215" t="n"/>
      <c r="AJ1448" s="215" t="n"/>
      <c r="AK1448" s="216" t="n"/>
    </row>
    <row r="1449" ht="15" customHeight="1">
      <c r="B1449" s="134" t="n"/>
      <c r="C1449" s="105" t="n"/>
      <c r="D1449" s="105" t="n"/>
      <c r="E1449" s="105" t="n"/>
      <c r="F1449" s="105" t="n"/>
      <c r="G1449" s="105" t="n"/>
      <c r="H1449" s="2" t="n"/>
      <c r="I1449" s="105" t="n"/>
      <c r="K1449" s="215" t="n"/>
      <c r="L1449" s="215" t="n"/>
      <c r="M1449" s="215" t="n"/>
      <c r="N1449" s="215" t="n"/>
      <c r="O1449" s="215" t="n"/>
      <c r="P1449" s="215" t="n"/>
      <c r="Q1449" s="215" t="n"/>
      <c r="R1449" s="215" t="n"/>
      <c r="S1449" s="215" t="n"/>
      <c r="T1449" s="215" t="n"/>
      <c r="U1449" s="215" t="n"/>
      <c r="V1449" s="215" t="n"/>
      <c r="W1449" s="215" t="n"/>
      <c r="X1449" s="215" t="n"/>
      <c r="Y1449" s="215" t="n"/>
      <c r="Z1449" s="215" t="n"/>
      <c r="AA1449" s="215" t="n"/>
      <c r="AB1449" s="215" t="n"/>
      <c r="AC1449" s="215" t="n"/>
      <c r="AD1449" s="215" t="n"/>
      <c r="AE1449" s="215" t="n"/>
      <c r="AF1449" s="215" t="n"/>
      <c r="AG1449" s="215" t="n"/>
      <c r="AH1449" s="215" t="n"/>
      <c r="AI1449" s="215" t="n"/>
      <c r="AJ1449" s="215" t="n"/>
      <c r="AK1449" s="216" t="n"/>
    </row>
    <row r="1450" ht="15" customHeight="1">
      <c r="B1450" s="134" t="n"/>
      <c r="C1450" s="105" t="n"/>
      <c r="D1450" s="105" t="n"/>
      <c r="E1450" s="105" t="n"/>
      <c r="F1450" s="105" t="n"/>
      <c r="G1450" s="105" t="n"/>
      <c r="H1450" s="2" t="n"/>
      <c r="I1450" s="105" t="n"/>
      <c r="K1450" s="215" t="n"/>
      <c r="L1450" s="215" t="n"/>
      <c r="M1450" s="215" t="n"/>
      <c r="N1450" s="215" t="n"/>
      <c r="O1450" s="215" t="n"/>
      <c r="P1450" s="215" t="n"/>
      <c r="Q1450" s="215" t="n"/>
      <c r="R1450" s="215" t="n"/>
      <c r="S1450" s="215" t="n"/>
      <c r="T1450" s="215" t="n"/>
      <c r="U1450" s="215" t="n"/>
      <c r="V1450" s="215" t="n"/>
      <c r="W1450" s="215" t="n"/>
      <c r="X1450" s="215" t="n"/>
      <c r="Y1450" s="215" t="n"/>
      <c r="Z1450" s="215" t="n"/>
      <c r="AA1450" s="215" t="n"/>
      <c r="AB1450" s="215" t="n"/>
      <c r="AC1450" s="215" t="n"/>
      <c r="AD1450" s="215" t="n"/>
      <c r="AE1450" s="215" t="n"/>
      <c r="AF1450" s="215" t="n"/>
      <c r="AG1450" s="215" t="n"/>
      <c r="AH1450" s="215" t="n"/>
      <c r="AI1450" s="215" t="n"/>
      <c r="AJ1450" s="215" t="n"/>
      <c r="AK1450" s="216" t="n"/>
    </row>
    <row r="1451" ht="15" customHeight="1">
      <c r="B1451" s="134" t="n"/>
      <c r="C1451" s="105" t="n"/>
      <c r="D1451" s="105" t="n"/>
      <c r="E1451" s="105" t="n"/>
      <c r="F1451" s="105" t="n"/>
      <c r="G1451" s="105" t="n"/>
      <c r="H1451" s="2" t="n"/>
      <c r="I1451" s="105" t="n"/>
      <c r="K1451" s="215" t="n"/>
      <c r="L1451" s="215" t="n"/>
      <c r="M1451" s="215" t="n"/>
      <c r="N1451" s="215" t="n"/>
      <c r="O1451" s="215" t="n"/>
      <c r="P1451" s="215" t="n"/>
      <c r="Q1451" s="215" t="n"/>
      <c r="R1451" s="215" t="n"/>
      <c r="S1451" s="215" t="n"/>
      <c r="T1451" s="215" t="n"/>
      <c r="U1451" s="215" t="n"/>
      <c r="V1451" s="215" t="n"/>
      <c r="W1451" s="215" t="n"/>
      <c r="X1451" s="215" t="n"/>
      <c r="Y1451" s="215" t="n"/>
      <c r="Z1451" s="215" t="n"/>
      <c r="AA1451" s="215" t="n"/>
      <c r="AB1451" s="215" t="n"/>
      <c r="AC1451" s="215" t="n"/>
      <c r="AD1451" s="215" t="n"/>
      <c r="AE1451" s="215" t="n"/>
      <c r="AF1451" s="215" t="n"/>
      <c r="AG1451" s="215" t="n"/>
      <c r="AH1451" s="215" t="n"/>
      <c r="AI1451" s="215" t="n"/>
      <c r="AJ1451" s="215" t="n"/>
      <c r="AK1451" s="216" t="n"/>
    </row>
    <row r="1452" ht="15" customHeight="1">
      <c r="B1452" s="134" t="n"/>
      <c r="C1452" s="105" t="n"/>
      <c r="D1452" s="105" t="n"/>
      <c r="E1452" s="105" t="n"/>
      <c r="F1452" s="105" t="n"/>
      <c r="G1452" s="105" t="n"/>
      <c r="H1452" s="2" t="n"/>
      <c r="I1452" s="105" t="n"/>
      <c r="K1452" s="215" t="n"/>
      <c r="L1452" s="215" t="n"/>
      <c r="M1452" s="215" t="n"/>
      <c r="N1452" s="215" t="n"/>
      <c r="O1452" s="215" t="n"/>
      <c r="P1452" s="215" t="n"/>
      <c r="Q1452" s="215" t="n"/>
      <c r="R1452" s="215" t="n"/>
      <c r="S1452" s="215" t="n"/>
      <c r="T1452" s="215" t="n"/>
      <c r="U1452" s="215" t="n"/>
      <c r="V1452" s="215" t="n"/>
      <c r="W1452" s="215" t="n"/>
      <c r="X1452" s="215" t="n"/>
      <c r="Y1452" s="215" t="n"/>
      <c r="Z1452" s="215" t="n"/>
      <c r="AA1452" s="215" t="n"/>
      <c r="AB1452" s="215" t="n"/>
      <c r="AC1452" s="215" t="n"/>
      <c r="AD1452" s="215" t="n"/>
      <c r="AE1452" s="215" t="n"/>
      <c r="AF1452" s="215" t="n"/>
      <c r="AG1452" s="215" t="n"/>
      <c r="AH1452" s="215" t="n"/>
      <c r="AI1452" s="215" t="n"/>
      <c r="AJ1452" s="215" t="n"/>
      <c r="AK1452" s="216" t="n"/>
    </row>
    <row r="1453" ht="15" customHeight="1">
      <c r="B1453" s="134" t="n"/>
      <c r="C1453" s="105" t="n"/>
      <c r="D1453" s="105" t="n"/>
      <c r="E1453" s="105" t="n"/>
      <c r="F1453" s="105" t="n"/>
      <c r="G1453" s="105" t="n"/>
      <c r="H1453" s="2" t="n"/>
      <c r="I1453" s="105" t="n"/>
      <c r="K1453" s="215" t="n"/>
      <c r="L1453" s="215" t="n"/>
      <c r="M1453" s="215" t="n"/>
      <c r="N1453" s="215" t="n"/>
      <c r="O1453" s="215" t="n"/>
      <c r="P1453" s="215" t="n"/>
      <c r="Q1453" s="215" t="n"/>
      <c r="R1453" s="215" t="n"/>
      <c r="S1453" s="215" t="n"/>
      <c r="T1453" s="215" t="n"/>
      <c r="U1453" s="215" t="n"/>
      <c r="V1453" s="215" t="n"/>
      <c r="W1453" s="215" t="n"/>
      <c r="X1453" s="215" t="n"/>
      <c r="Y1453" s="215" t="n"/>
      <c r="Z1453" s="215" t="n"/>
      <c r="AA1453" s="215" t="n"/>
      <c r="AB1453" s="215" t="n"/>
      <c r="AC1453" s="215" t="n"/>
      <c r="AD1453" s="215" t="n"/>
      <c r="AE1453" s="215" t="n"/>
      <c r="AF1453" s="215" t="n"/>
      <c r="AG1453" s="215" t="n"/>
      <c r="AH1453" s="215" t="n"/>
      <c r="AI1453" s="215" t="n"/>
      <c r="AJ1453" s="215" t="n"/>
      <c r="AK1453" s="216" t="n"/>
    </row>
    <row r="1454" ht="15" customHeight="1">
      <c r="B1454" s="134" t="n"/>
      <c r="C1454" s="105" t="n"/>
      <c r="D1454" s="105" t="n"/>
      <c r="E1454" s="105" t="n"/>
      <c r="F1454" s="105" t="n"/>
      <c r="G1454" s="105" t="n"/>
      <c r="H1454" s="2" t="n"/>
      <c r="I1454" s="105" t="n"/>
      <c r="K1454" s="215" t="n"/>
      <c r="L1454" s="215" t="n"/>
      <c r="M1454" s="215" t="n"/>
      <c r="N1454" s="215" t="n"/>
      <c r="O1454" s="215" t="n"/>
      <c r="P1454" s="215" t="n"/>
      <c r="Q1454" s="215" t="n"/>
      <c r="R1454" s="215" t="n"/>
      <c r="S1454" s="215" t="n"/>
      <c r="T1454" s="215" t="n"/>
      <c r="U1454" s="215" t="n"/>
      <c r="V1454" s="215" t="n"/>
      <c r="W1454" s="215" t="n"/>
      <c r="X1454" s="215" t="n"/>
      <c r="Y1454" s="215" t="n"/>
      <c r="Z1454" s="215" t="n"/>
      <c r="AA1454" s="215" t="n"/>
      <c r="AB1454" s="215" t="n"/>
      <c r="AC1454" s="215" t="n"/>
      <c r="AD1454" s="215" t="n"/>
      <c r="AE1454" s="215" t="n"/>
      <c r="AF1454" s="215" t="n"/>
      <c r="AG1454" s="215" t="n"/>
      <c r="AH1454" s="215" t="n"/>
      <c r="AI1454" s="215" t="n"/>
      <c r="AJ1454" s="215" t="n"/>
      <c r="AK1454" s="216" t="n"/>
    </row>
    <row r="1455" ht="15" customHeight="1">
      <c r="B1455" s="134" t="n"/>
      <c r="C1455" s="105" t="n"/>
      <c r="D1455" s="105" t="n"/>
      <c r="E1455" s="105" t="n"/>
      <c r="F1455" s="105" t="n"/>
      <c r="G1455" s="105" t="n"/>
      <c r="H1455" s="2" t="n"/>
      <c r="I1455" s="105" t="n"/>
      <c r="K1455" s="215" t="n"/>
      <c r="L1455" s="215" t="n"/>
      <c r="M1455" s="215" t="n"/>
      <c r="N1455" s="215" t="n"/>
      <c r="O1455" s="215" t="n"/>
      <c r="P1455" s="215" t="n"/>
      <c r="Q1455" s="215" t="n"/>
      <c r="R1455" s="215" t="n"/>
      <c r="S1455" s="215" t="n"/>
      <c r="T1455" s="215" t="n"/>
      <c r="U1455" s="215" t="n"/>
      <c r="V1455" s="215" t="n"/>
      <c r="W1455" s="215" t="n"/>
      <c r="X1455" s="215" t="n"/>
      <c r="Y1455" s="215" t="n"/>
      <c r="Z1455" s="215" t="n"/>
      <c r="AA1455" s="215" t="n"/>
      <c r="AB1455" s="215" t="n"/>
      <c r="AC1455" s="215" t="n"/>
      <c r="AD1455" s="215" t="n"/>
      <c r="AE1455" s="215" t="n"/>
      <c r="AF1455" s="215" t="n"/>
      <c r="AG1455" s="215" t="n"/>
      <c r="AH1455" s="215" t="n"/>
      <c r="AI1455" s="215" t="n"/>
      <c r="AJ1455" s="215" t="n"/>
      <c r="AK1455" s="216" t="n"/>
    </row>
    <row r="1456" ht="15" customHeight="1">
      <c r="B1456" s="134" t="n"/>
      <c r="C1456" s="105" t="n"/>
      <c r="D1456" s="105" t="n"/>
      <c r="E1456" s="105" t="n"/>
      <c r="F1456" s="105" t="n"/>
      <c r="G1456" s="105" t="n"/>
      <c r="H1456" s="2" t="n"/>
      <c r="I1456" s="105" t="n"/>
      <c r="K1456" s="215" t="n"/>
      <c r="L1456" s="215" t="n"/>
      <c r="M1456" s="215" t="n"/>
      <c r="N1456" s="215" t="n"/>
      <c r="O1456" s="215" t="n"/>
      <c r="P1456" s="215" t="n"/>
      <c r="Q1456" s="215" t="n"/>
      <c r="R1456" s="215" t="n"/>
      <c r="S1456" s="215" t="n"/>
      <c r="T1456" s="215" t="n"/>
      <c r="U1456" s="215" t="n"/>
      <c r="V1456" s="215" t="n"/>
      <c r="W1456" s="215" t="n"/>
      <c r="X1456" s="215" t="n"/>
      <c r="Y1456" s="215" t="n"/>
      <c r="Z1456" s="215" t="n"/>
      <c r="AA1456" s="215" t="n"/>
      <c r="AB1456" s="215" t="n"/>
      <c r="AC1456" s="215" t="n"/>
      <c r="AD1456" s="215" t="n"/>
      <c r="AE1456" s="215" t="n"/>
      <c r="AF1456" s="215" t="n"/>
      <c r="AG1456" s="215" t="n"/>
      <c r="AH1456" s="215" t="n"/>
      <c r="AI1456" s="215" t="n"/>
      <c r="AJ1456" s="215" t="n"/>
      <c r="AK1456" s="216" t="n"/>
    </row>
    <row r="1457" ht="15" customHeight="1">
      <c r="B1457" s="134" t="n"/>
      <c r="C1457" s="105" t="n"/>
      <c r="D1457" s="105" t="n"/>
      <c r="E1457" s="105" t="n"/>
      <c r="F1457" s="105" t="n"/>
      <c r="G1457" s="105" t="n"/>
      <c r="H1457" s="2" t="n"/>
      <c r="I1457" s="105" t="n"/>
      <c r="K1457" s="215" t="n"/>
      <c r="L1457" s="215" t="n"/>
      <c r="M1457" s="215" t="n"/>
      <c r="N1457" s="215" t="n"/>
      <c r="O1457" s="215" t="n"/>
      <c r="P1457" s="215" t="n"/>
      <c r="Q1457" s="215" t="n"/>
      <c r="R1457" s="215" t="n"/>
      <c r="S1457" s="215" t="n"/>
      <c r="T1457" s="215" t="n"/>
      <c r="U1457" s="215" t="n"/>
      <c r="V1457" s="215" t="n"/>
      <c r="W1457" s="215" t="n"/>
      <c r="X1457" s="215" t="n"/>
      <c r="Y1457" s="215" t="n"/>
      <c r="Z1457" s="215" t="n"/>
      <c r="AA1457" s="215" t="n"/>
      <c r="AB1457" s="215" t="n"/>
      <c r="AC1457" s="215" t="n"/>
      <c r="AD1457" s="215" t="n"/>
      <c r="AE1457" s="215" t="n"/>
      <c r="AF1457" s="215" t="n"/>
      <c r="AG1457" s="215" t="n"/>
      <c r="AH1457" s="215" t="n"/>
      <c r="AI1457" s="215" t="n"/>
      <c r="AJ1457" s="215" t="n"/>
      <c r="AK1457" s="216" t="n"/>
    </row>
    <row r="1458" ht="15" customHeight="1">
      <c r="B1458" s="134" t="n"/>
      <c r="C1458" s="105" t="n"/>
      <c r="D1458" s="105" t="n"/>
      <c r="E1458" s="105" t="n"/>
      <c r="F1458" s="105" t="n"/>
      <c r="G1458" s="105" t="n"/>
      <c r="H1458" s="2" t="n"/>
      <c r="I1458" s="105" t="n"/>
      <c r="K1458" s="215" t="n"/>
      <c r="L1458" s="215" t="n"/>
      <c r="M1458" s="215" t="n"/>
      <c r="N1458" s="215" t="n"/>
      <c r="O1458" s="215" t="n"/>
      <c r="P1458" s="215" t="n"/>
      <c r="Q1458" s="215" t="n"/>
      <c r="R1458" s="215" t="n"/>
      <c r="S1458" s="215" t="n"/>
      <c r="T1458" s="215" t="n"/>
      <c r="U1458" s="215" t="n"/>
      <c r="V1458" s="215" t="n"/>
      <c r="W1458" s="215" t="n"/>
      <c r="X1458" s="215" t="n"/>
      <c r="Y1458" s="215" t="n"/>
      <c r="Z1458" s="215" t="n"/>
      <c r="AA1458" s="215" t="n"/>
      <c r="AB1458" s="215" t="n"/>
      <c r="AC1458" s="215" t="n"/>
      <c r="AD1458" s="215" t="n"/>
      <c r="AE1458" s="215" t="n"/>
      <c r="AF1458" s="215" t="n"/>
      <c r="AG1458" s="215" t="n"/>
      <c r="AH1458" s="215" t="n"/>
      <c r="AI1458" s="215" t="n"/>
      <c r="AJ1458" s="215" t="n"/>
      <c r="AK1458" s="216" t="n"/>
    </row>
    <row r="1459" ht="15" customHeight="1">
      <c r="B1459" s="134" t="n"/>
      <c r="C1459" s="105" t="n"/>
      <c r="D1459" s="105" t="n"/>
      <c r="E1459" s="105" t="n"/>
      <c r="F1459" s="105" t="n"/>
      <c r="G1459" s="105" t="n"/>
      <c r="H1459" s="2" t="n"/>
      <c r="I1459" s="105" t="n"/>
      <c r="K1459" s="215" t="n"/>
      <c r="L1459" s="215" t="n"/>
      <c r="M1459" s="215" t="n"/>
      <c r="N1459" s="215" t="n"/>
      <c r="O1459" s="215" t="n"/>
      <c r="P1459" s="215" t="n"/>
      <c r="Q1459" s="215" t="n"/>
      <c r="R1459" s="215" t="n"/>
      <c r="S1459" s="215" t="n"/>
      <c r="T1459" s="215" t="n"/>
      <c r="U1459" s="215" t="n"/>
      <c r="V1459" s="215" t="n"/>
      <c r="W1459" s="215" t="n"/>
      <c r="X1459" s="215" t="n"/>
      <c r="Y1459" s="215" t="n"/>
      <c r="Z1459" s="215" t="n"/>
      <c r="AA1459" s="215" t="n"/>
      <c r="AB1459" s="215" t="n"/>
      <c r="AC1459" s="215" t="n"/>
      <c r="AD1459" s="215" t="n"/>
      <c r="AE1459" s="215" t="n"/>
      <c r="AF1459" s="215" t="n"/>
      <c r="AG1459" s="215" t="n"/>
      <c r="AH1459" s="215" t="n"/>
      <c r="AI1459" s="215" t="n"/>
      <c r="AJ1459" s="215" t="n"/>
      <c r="AK1459" s="216" t="n"/>
    </row>
    <row r="1460" ht="15" customHeight="1">
      <c r="B1460" s="134" t="n"/>
      <c r="C1460" s="105" t="n"/>
      <c r="D1460" s="105" t="n"/>
      <c r="E1460" s="105" t="n"/>
      <c r="F1460" s="105" t="n"/>
      <c r="G1460" s="105" t="n"/>
      <c r="H1460" s="2" t="n"/>
      <c r="I1460" s="105" t="n"/>
      <c r="K1460" s="215" t="n"/>
      <c r="L1460" s="215" t="n"/>
      <c r="M1460" s="215" t="n"/>
      <c r="N1460" s="215" t="n"/>
      <c r="O1460" s="215" t="n"/>
      <c r="P1460" s="215" t="n"/>
      <c r="Q1460" s="215" t="n"/>
      <c r="R1460" s="215" t="n"/>
      <c r="S1460" s="215" t="n"/>
      <c r="T1460" s="215" t="n"/>
      <c r="U1460" s="215" t="n"/>
      <c r="V1460" s="215" t="n"/>
      <c r="W1460" s="215" t="n"/>
      <c r="X1460" s="215" t="n"/>
      <c r="Y1460" s="215" t="n"/>
      <c r="Z1460" s="215" t="n"/>
      <c r="AA1460" s="215" t="n"/>
      <c r="AB1460" s="215" t="n"/>
      <c r="AC1460" s="215" t="n"/>
      <c r="AD1460" s="215" t="n"/>
      <c r="AE1460" s="215" t="n"/>
      <c r="AF1460" s="215" t="n"/>
      <c r="AG1460" s="215" t="n"/>
      <c r="AH1460" s="215" t="n"/>
      <c r="AI1460" s="215" t="n"/>
      <c r="AJ1460" s="215" t="n"/>
      <c r="AK1460" s="216" t="n"/>
    </row>
    <row r="1461" ht="15" customHeight="1">
      <c r="B1461" s="134" t="n"/>
      <c r="C1461" s="105" t="n"/>
      <c r="D1461" s="105" t="n"/>
      <c r="E1461" s="105" t="n"/>
      <c r="F1461" s="105" t="n"/>
      <c r="G1461" s="105" t="n"/>
      <c r="H1461" s="2" t="n"/>
      <c r="I1461" s="105" t="n"/>
      <c r="K1461" s="215" t="n"/>
      <c r="L1461" s="215" t="n"/>
      <c r="M1461" s="215" t="n"/>
      <c r="N1461" s="215" t="n"/>
      <c r="O1461" s="215" t="n"/>
      <c r="P1461" s="215" t="n"/>
      <c r="Q1461" s="215" t="n"/>
      <c r="R1461" s="215" t="n"/>
      <c r="S1461" s="215" t="n"/>
      <c r="T1461" s="215" t="n"/>
      <c r="U1461" s="215" t="n"/>
      <c r="V1461" s="215" t="n"/>
      <c r="W1461" s="215" t="n"/>
      <c r="X1461" s="215" t="n"/>
      <c r="Y1461" s="215" t="n"/>
      <c r="Z1461" s="215" t="n"/>
      <c r="AA1461" s="215" t="n"/>
      <c r="AB1461" s="215" t="n"/>
      <c r="AC1461" s="215" t="n"/>
      <c r="AD1461" s="215" t="n"/>
      <c r="AE1461" s="215" t="n"/>
      <c r="AF1461" s="215" t="n"/>
      <c r="AG1461" s="215" t="n"/>
      <c r="AH1461" s="215" t="n"/>
      <c r="AI1461" s="215" t="n"/>
      <c r="AJ1461" s="215" t="n"/>
      <c r="AK1461" s="216" t="n"/>
    </row>
    <row r="1462" ht="15" customHeight="1">
      <c r="B1462" s="134" t="n"/>
      <c r="C1462" s="105" t="n"/>
      <c r="D1462" s="105" t="n"/>
      <c r="E1462" s="105" t="n"/>
      <c r="F1462" s="105" t="n"/>
      <c r="G1462" s="105" t="n"/>
      <c r="H1462" s="2" t="n"/>
      <c r="I1462" s="105" t="n"/>
      <c r="K1462" s="215" t="n"/>
      <c r="L1462" s="215" t="n"/>
      <c r="M1462" s="215" t="n"/>
      <c r="N1462" s="215" t="n"/>
      <c r="O1462" s="215" t="n"/>
      <c r="P1462" s="215" t="n"/>
      <c r="Q1462" s="215" t="n"/>
      <c r="R1462" s="215" t="n"/>
      <c r="S1462" s="215" t="n"/>
      <c r="T1462" s="215" t="n"/>
      <c r="U1462" s="215" t="n"/>
      <c r="V1462" s="215" t="n"/>
      <c r="W1462" s="215" t="n"/>
      <c r="X1462" s="215" t="n"/>
      <c r="Y1462" s="215" t="n"/>
      <c r="Z1462" s="215" t="n"/>
      <c r="AA1462" s="215" t="n"/>
      <c r="AB1462" s="215" t="n"/>
      <c r="AC1462" s="215" t="n"/>
      <c r="AD1462" s="215" t="n"/>
      <c r="AE1462" s="215" t="n"/>
      <c r="AF1462" s="215" t="n"/>
      <c r="AG1462" s="215" t="n"/>
      <c r="AH1462" s="215" t="n"/>
      <c r="AI1462" s="215" t="n"/>
      <c r="AJ1462" s="215" t="n"/>
      <c r="AK1462" s="216" t="n"/>
    </row>
    <row r="1463" ht="15" customHeight="1">
      <c r="B1463" s="134" t="n"/>
      <c r="C1463" s="105" t="n"/>
      <c r="D1463" s="105" t="n"/>
      <c r="E1463" s="105" t="n"/>
      <c r="F1463" s="105" t="n"/>
      <c r="G1463" s="105" t="n"/>
      <c r="H1463" s="2" t="n"/>
      <c r="I1463" s="105" t="n"/>
      <c r="K1463" s="215" t="n"/>
      <c r="L1463" s="215" t="n"/>
      <c r="M1463" s="215" t="n"/>
      <c r="N1463" s="215" t="n"/>
      <c r="O1463" s="215" t="n"/>
      <c r="P1463" s="215" t="n"/>
      <c r="Q1463" s="215" t="n"/>
      <c r="R1463" s="215" t="n"/>
      <c r="S1463" s="215" t="n"/>
      <c r="T1463" s="215" t="n"/>
      <c r="U1463" s="215" t="n"/>
      <c r="V1463" s="215" t="n"/>
      <c r="W1463" s="215" t="n"/>
      <c r="X1463" s="215" t="n"/>
      <c r="Y1463" s="215" t="n"/>
      <c r="Z1463" s="215" t="n"/>
      <c r="AA1463" s="215" t="n"/>
      <c r="AB1463" s="215" t="n"/>
      <c r="AC1463" s="215" t="n"/>
      <c r="AD1463" s="215" t="n"/>
      <c r="AE1463" s="215" t="n"/>
      <c r="AF1463" s="215" t="n"/>
      <c r="AG1463" s="215" t="n"/>
      <c r="AH1463" s="215" t="n"/>
      <c r="AI1463" s="215" t="n"/>
      <c r="AJ1463" s="215" t="n"/>
      <c r="AK1463" s="216" t="n"/>
    </row>
    <row r="1464" ht="15" customHeight="1">
      <c r="B1464" s="134" t="n"/>
      <c r="C1464" s="105" t="n"/>
      <c r="D1464" s="105" t="n"/>
      <c r="E1464" s="105" t="n"/>
      <c r="F1464" s="105" t="n"/>
      <c r="G1464" s="105" t="n"/>
      <c r="H1464" s="2" t="n"/>
      <c r="I1464" s="105" t="n"/>
      <c r="K1464" s="215" t="n"/>
      <c r="L1464" s="215" t="n"/>
      <c r="M1464" s="215" t="n"/>
      <c r="N1464" s="215" t="n"/>
      <c r="O1464" s="215" t="n"/>
      <c r="P1464" s="215" t="n"/>
      <c r="Q1464" s="215" t="n"/>
      <c r="R1464" s="215" t="n"/>
      <c r="S1464" s="215" t="n"/>
      <c r="T1464" s="215" t="n"/>
      <c r="U1464" s="215" t="n"/>
      <c r="V1464" s="215" t="n"/>
      <c r="W1464" s="215" t="n"/>
      <c r="X1464" s="215" t="n"/>
      <c r="Y1464" s="215" t="n"/>
      <c r="Z1464" s="215" t="n"/>
      <c r="AA1464" s="215" t="n"/>
      <c r="AB1464" s="215" t="n"/>
      <c r="AC1464" s="215" t="n"/>
      <c r="AD1464" s="215" t="n"/>
      <c r="AE1464" s="215" t="n"/>
      <c r="AF1464" s="215" t="n"/>
      <c r="AG1464" s="215" t="n"/>
      <c r="AH1464" s="215" t="n"/>
      <c r="AI1464" s="215" t="n"/>
      <c r="AJ1464" s="215" t="n"/>
      <c r="AK1464" s="216" t="n"/>
    </row>
    <row r="1465" ht="15" customHeight="1">
      <c r="B1465" s="134" t="n"/>
      <c r="C1465" s="105" t="n"/>
      <c r="D1465" s="105" t="n"/>
      <c r="E1465" s="105" t="n"/>
      <c r="F1465" s="105" t="n"/>
      <c r="G1465" s="105" t="n"/>
      <c r="H1465" s="2" t="n"/>
      <c r="I1465" s="105" t="n"/>
      <c r="K1465" s="215" t="n"/>
      <c r="L1465" s="215" t="n"/>
      <c r="M1465" s="215" t="n"/>
      <c r="N1465" s="215" t="n"/>
      <c r="O1465" s="215" t="n"/>
      <c r="P1465" s="215" t="n"/>
      <c r="Q1465" s="215" t="n"/>
      <c r="R1465" s="215" t="n"/>
      <c r="S1465" s="215" t="n"/>
      <c r="T1465" s="215" t="n"/>
      <c r="U1465" s="215" t="n"/>
      <c r="V1465" s="215" t="n"/>
      <c r="W1465" s="215" t="n"/>
      <c r="X1465" s="215" t="n"/>
      <c r="Y1465" s="215" t="n"/>
      <c r="Z1465" s="215" t="n"/>
      <c r="AA1465" s="215" t="n"/>
      <c r="AB1465" s="215" t="n"/>
      <c r="AC1465" s="215" t="n"/>
      <c r="AD1465" s="215" t="n"/>
      <c r="AE1465" s="215" t="n"/>
      <c r="AF1465" s="215" t="n"/>
      <c r="AG1465" s="215" t="n"/>
      <c r="AH1465" s="215" t="n"/>
      <c r="AI1465" s="215" t="n"/>
      <c r="AJ1465" s="215" t="n"/>
      <c r="AK1465" s="216" t="n"/>
    </row>
    <row r="1466" ht="15" customHeight="1">
      <c r="B1466" s="134" t="n"/>
      <c r="C1466" s="105" t="n"/>
      <c r="D1466" s="105" t="n"/>
      <c r="E1466" s="105" t="n"/>
      <c r="F1466" s="105" t="n"/>
      <c r="G1466" s="105" t="n"/>
      <c r="H1466" s="2" t="n"/>
      <c r="I1466" s="105" t="n"/>
      <c r="K1466" s="215" t="n"/>
      <c r="L1466" s="215" t="n"/>
      <c r="M1466" s="215" t="n"/>
      <c r="N1466" s="215" t="n"/>
      <c r="O1466" s="215" t="n"/>
      <c r="P1466" s="215" t="n"/>
      <c r="Q1466" s="215" t="n"/>
      <c r="R1466" s="215" t="n"/>
      <c r="S1466" s="215" t="n"/>
      <c r="T1466" s="215" t="n"/>
      <c r="U1466" s="215" t="n"/>
      <c r="V1466" s="215" t="n"/>
      <c r="W1466" s="215" t="n"/>
      <c r="X1466" s="215" t="n"/>
      <c r="Y1466" s="215" t="n"/>
      <c r="Z1466" s="215" t="n"/>
      <c r="AA1466" s="215" t="n"/>
      <c r="AB1466" s="215" t="n"/>
      <c r="AC1466" s="215" t="n"/>
      <c r="AD1466" s="215" t="n"/>
      <c r="AE1466" s="215" t="n"/>
      <c r="AF1466" s="215" t="n"/>
      <c r="AG1466" s="215" t="n"/>
      <c r="AH1466" s="215" t="n"/>
      <c r="AI1466" s="215" t="n"/>
      <c r="AJ1466" s="215" t="n"/>
      <c r="AK1466" s="216" t="n"/>
    </row>
    <row r="1467" ht="15" customHeight="1">
      <c r="B1467" s="134" t="n"/>
      <c r="C1467" s="105" t="n"/>
      <c r="D1467" s="105" t="n"/>
      <c r="E1467" s="105" t="n"/>
      <c r="F1467" s="105" t="n"/>
      <c r="G1467" s="105" t="n"/>
      <c r="H1467" s="2" t="n"/>
      <c r="I1467" s="105" t="n"/>
      <c r="K1467" s="215" t="n"/>
      <c r="L1467" s="215" t="n"/>
      <c r="M1467" s="215" t="n"/>
      <c r="N1467" s="215" t="n"/>
      <c r="O1467" s="215" t="n"/>
      <c r="P1467" s="215" t="n"/>
      <c r="Q1467" s="215" t="n"/>
      <c r="R1467" s="215" t="n"/>
      <c r="S1467" s="215" t="n"/>
      <c r="T1467" s="215" t="n"/>
      <c r="U1467" s="215" t="n"/>
      <c r="V1467" s="215" t="n"/>
      <c r="W1467" s="215" t="n"/>
      <c r="X1467" s="215" t="n"/>
      <c r="Y1467" s="215" t="n"/>
      <c r="Z1467" s="215" t="n"/>
      <c r="AA1467" s="215" t="n"/>
      <c r="AB1467" s="215" t="n"/>
      <c r="AC1467" s="215" t="n"/>
      <c r="AD1467" s="215" t="n"/>
      <c r="AE1467" s="215" t="n"/>
      <c r="AF1467" s="215" t="n"/>
      <c r="AG1467" s="215" t="n"/>
      <c r="AH1467" s="215" t="n"/>
      <c r="AI1467" s="215" t="n"/>
      <c r="AJ1467" s="215" t="n"/>
      <c r="AK1467" s="216" t="n"/>
    </row>
    <row r="1468" ht="15" customHeight="1">
      <c r="B1468" s="134" t="n"/>
      <c r="C1468" s="105" t="n"/>
      <c r="D1468" s="105" t="n"/>
      <c r="E1468" s="105" t="n"/>
      <c r="F1468" s="105" t="n"/>
      <c r="G1468" s="105" t="n"/>
      <c r="H1468" s="2" t="n"/>
      <c r="I1468" s="105" t="n"/>
      <c r="K1468" s="215" t="n"/>
      <c r="L1468" s="215" t="n"/>
      <c r="M1468" s="215" t="n"/>
      <c r="N1468" s="215" t="n"/>
      <c r="O1468" s="215" t="n"/>
      <c r="P1468" s="215" t="n"/>
      <c r="Q1468" s="215" t="n"/>
      <c r="R1468" s="215" t="n"/>
      <c r="S1468" s="215" t="n"/>
      <c r="T1468" s="215" t="n"/>
      <c r="U1468" s="215" t="n"/>
      <c r="V1468" s="215" t="n"/>
      <c r="W1468" s="215" t="n"/>
      <c r="X1468" s="215" t="n"/>
      <c r="Y1468" s="215" t="n"/>
      <c r="Z1468" s="215" t="n"/>
      <c r="AA1468" s="215" t="n"/>
      <c r="AB1468" s="215" t="n"/>
      <c r="AC1468" s="215" t="n"/>
      <c r="AD1468" s="215" t="n"/>
      <c r="AE1468" s="215" t="n"/>
      <c r="AF1468" s="215" t="n"/>
      <c r="AG1468" s="215" t="n"/>
      <c r="AH1468" s="215" t="n"/>
      <c r="AI1468" s="215" t="n"/>
      <c r="AJ1468" s="215" t="n"/>
      <c r="AK1468" s="216" t="n"/>
    </row>
    <row r="1469" ht="15" customHeight="1">
      <c r="B1469" s="134" t="n"/>
      <c r="C1469" s="105" t="n"/>
      <c r="D1469" s="105" t="n"/>
      <c r="E1469" s="105" t="n"/>
      <c r="F1469" s="105" t="n"/>
      <c r="G1469" s="105" t="n"/>
      <c r="H1469" s="2" t="n"/>
      <c r="I1469" s="105" t="n"/>
      <c r="K1469" s="215" t="n"/>
      <c r="L1469" s="215" t="n"/>
      <c r="M1469" s="215" t="n"/>
      <c r="N1469" s="215" t="n"/>
      <c r="O1469" s="215" t="n"/>
      <c r="P1469" s="215" t="n"/>
      <c r="Q1469" s="215" t="n"/>
      <c r="R1469" s="215" t="n"/>
      <c r="S1469" s="215" t="n"/>
      <c r="T1469" s="215" t="n"/>
      <c r="U1469" s="215" t="n"/>
      <c r="V1469" s="215" t="n"/>
      <c r="W1469" s="215" t="n"/>
      <c r="X1469" s="215" t="n"/>
      <c r="Y1469" s="215" t="n"/>
      <c r="Z1469" s="215" t="n"/>
      <c r="AA1469" s="215" t="n"/>
      <c r="AB1469" s="215" t="n"/>
      <c r="AC1469" s="215" t="n"/>
      <c r="AD1469" s="215" t="n"/>
      <c r="AE1469" s="215" t="n"/>
      <c r="AF1469" s="215" t="n"/>
      <c r="AG1469" s="215" t="n"/>
      <c r="AH1469" s="215" t="n"/>
      <c r="AI1469" s="215" t="n"/>
      <c r="AJ1469" s="215" t="n"/>
      <c r="AK1469" s="216" t="n"/>
    </row>
    <row r="1470" ht="15" customHeight="1">
      <c r="B1470" s="134" t="n"/>
      <c r="C1470" s="105" t="n"/>
      <c r="D1470" s="105" t="n"/>
      <c r="E1470" s="105" t="n"/>
      <c r="F1470" s="105" t="n"/>
      <c r="G1470" s="105" t="n"/>
      <c r="H1470" s="2" t="n"/>
      <c r="I1470" s="105" t="n"/>
      <c r="K1470" s="215" t="n"/>
      <c r="L1470" s="215" t="n"/>
      <c r="M1470" s="215" t="n"/>
      <c r="N1470" s="215" t="n"/>
      <c r="O1470" s="215" t="n"/>
      <c r="P1470" s="215" t="n"/>
      <c r="Q1470" s="215" t="n"/>
      <c r="R1470" s="215" t="n"/>
      <c r="S1470" s="215" t="n"/>
      <c r="T1470" s="215" t="n"/>
      <c r="U1470" s="215" t="n"/>
      <c r="V1470" s="215" t="n"/>
      <c r="W1470" s="215" t="n"/>
      <c r="X1470" s="215" t="n"/>
      <c r="Y1470" s="215" t="n"/>
      <c r="Z1470" s="215" t="n"/>
      <c r="AA1470" s="215" t="n"/>
      <c r="AB1470" s="215" t="n"/>
      <c r="AC1470" s="215" t="n"/>
      <c r="AD1470" s="215" t="n"/>
      <c r="AE1470" s="215" t="n"/>
      <c r="AF1470" s="215" t="n"/>
      <c r="AG1470" s="215" t="n"/>
      <c r="AH1470" s="215" t="n"/>
      <c r="AI1470" s="215" t="n"/>
      <c r="AJ1470" s="215" t="n"/>
      <c r="AK1470" s="216" t="n"/>
    </row>
    <row r="1471" ht="15" customHeight="1">
      <c r="B1471" s="134" t="n"/>
      <c r="C1471" s="105" t="n"/>
      <c r="D1471" s="105" t="n"/>
      <c r="E1471" s="105" t="n"/>
      <c r="F1471" s="105" t="n"/>
      <c r="G1471" s="105" t="n"/>
      <c r="H1471" s="2" t="n"/>
      <c r="I1471" s="105" t="n"/>
      <c r="K1471" s="215" t="n"/>
      <c r="L1471" s="215" t="n"/>
      <c r="M1471" s="215" t="n"/>
      <c r="N1471" s="215" t="n"/>
      <c r="O1471" s="215" t="n"/>
      <c r="P1471" s="215" t="n"/>
      <c r="Q1471" s="215" t="n"/>
      <c r="R1471" s="215" t="n"/>
      <c r="S1471" s="215" t="n"/>
      <c r="T1471" s="215" t="n"/>
      <c r="U1471" s="215" t="n"/>
      <c r="V1471" s="215" t="n"/>
      <c r="W1471" s="215" t="n"/>
      <c r="X1471" s="215" t="n"/>
      <c r="Y1471" s="215" t="n"/>
      <c r="Z1471" s="215" t="n"/>
      <c r="AA1471" s="215" t="n"/>
      <c r="AB1471" s="215" t="n"/>
      <c r="AC1471" s="215" t="n"/>
      <c r="AD1471" s="215" t="n"/>
      <c r="AE1471" s="215" t="n"/>
      <c r="AF1471" s="215" t="n"/>
      <c r="AG1471" s="215" t="n"/>
      <c r="AH1471" s="215" t="n"/>
      <c r="AI1471" s="215" t="n"/>
      <c r="AJ1471" s="215" t="n"/>
      <c r="AK1471" s="216" t="n"/>
    </row>
    <row r="1472" ht="15" customHeight="1">
      <c r="B1472" s="134" t="n"/>
      <c r="C1472" s="105" t="n"/>
      <c r="D1472" s="105" t="n"/>
      <c r="E1472" s="105" t="n"/>
      <c r="F1472" s="105" t="n"/>
      <c r="G1472" s="105" t="n"/>
      <c r="H1472" s="2" t="n"/>
      <c r="I1472" s="105" t="n"/>
      <c r="K1472" s="215" t="n"/>
      <c r="L1472" s="215" t="n"/>
      <c r="M1472" s="215" t="n"/>
      <c r="N1472" s="215" t="n"/>
      <c r="O1472" s="215" t="n"/>
      <c r="P1472" s="215" t="n"/>
      <c r="Q1472" s="215" t="n"/>
      <c r="R1472" s="215" t="n"/>
      <c r="S1472" s="215" t="n"/>
      <c r="T1472" s="215" t="n"/>
      <c r="U1472" s="215" t="n"/>
      <c r="V1472" s="215" t="n"/>
      <c r="W1472" s="215" t="n"/>
      <c r="X1472" s="215" t="n"/>
      <c r="Y1472" s="215" t="n"/>
      <c r="Z1472" s="215" t="n"/>
      <c r="AA1472" s="215" t="n"/>
      <c r="AB1472" s="215" t="n"/>
      <c r="AC1472" s="215" t="n"/>
      <c r="AD1472" s="215" t="n"/>
      <c r="AE1472" s="215" t="n"/>
      <c r="AF1472" s="215" t="n"/>
      <c r="AG1472" s="215" t="n"/>
      <c r="AH1472" s="215" t="n"/>
      <c r="AI1472" s="215" t="n"/>
      <c r="AJ1472" s="215" t="n"/>
      <c r="AK1472" s="216" t="n"/>
    </row>
    <row r="1473" ht="15" customHeight="1">
      <c r="B1473" s="134" t="n"/>
      <c r="C1473" s="105" t="n"/>
      <c r="D1473" s="105" t="n"/>
      <c r="E1473" s="105" t="n"/>
      <c r="F1473" s="105" t="n"/>
      <c r="G1473" s="105" t="n"/>
      <c r="H1473" s="2" t="n"/>
      <c r="I1473" s="105" t="n"/>
      <c r="K1473" s="215" t="n"/>
      <c r="L1473" s="215" t="n"/>
      <c r="M1473" s="215" t="n"/>
      <c r="N1473" s="215" t="n"/>
      <c r="O1473" s="215" t="n"/>
      <c r="P1473" s="215" t="n"/>
      <c r="Q1473" s="215" t="n"/>
      <c r="R1473" s="215" t="n"/>
      <c r="S1473" s="215" t="n"/>
      <c r="T1473" s="215" t="n"/>
      <c r="U1473" s="215" t="n"/>
      <c r="V1473" s="215" t="n"/>
      <c r="W1473" s="215" t="n"/>
      <c r="X1473" s="215" t="n"/>
      <c r="Y1473" s="215" t="n"/>
      <c r="Z1473" s="215" t="n"/>
      <c r="AA1473" s="215" t="n"/>
      <c r="AB1473" s="215" t="n"/>
      <c r="AC1473" s="215" t="n"/>
      <c r="AD1473" s="215" t="n"/>
      <c r="AE1473" s="215" t="n"/>
      <c r="AF1473" s="215" t="n"/>
      <c r="AG1473" s="215" t="n"/>
      <c r="AH1473" s="215" t="n"/>
      <c r="AI1473" s="215" t="n"/>
      <c r="AJ1473" s="215" t="n"/>
      <c r="AK1473" s="216" t="n"/>
    </row>
    <row r="1474" ht="15" customHeight="1">
      <c r="B1474" s="134" t="n"/>
      <c r="C1474" s="105" t="n"/>
      <c r="D1474" s="105" t="n"/>
      <c r="E1474" s="105" t="n"/>
      <c r="F1474" s="105" t="n"/>
      <c r="G1474" s="105" t="n"/>
      <c r="H1474" s="2" t="n"/>
      <c r="I1474" s="105" t="n"/>
      <c r="K1474" s="215" t="n"/>
      <c r="L1474" s="215" t="n"/>
      <c r="M1474" s="215" t="n"/>
      <c r="N1474" s="215" t="n"/>
      <c r="O1474" s="215" t="n"/>
      <c r="P1474" s="215" t="n"/>
      <c r="Q1474" s="215" t="n"/>
      <c r="R1474" s="215" t="n"/>
      <c r="S1474" s="215" t="n"/>
      <c r="T1474" s="215" t="n"/>
      <c r="U1474" s="215" t="n"/>
      <c r="V1474" s="215" t="n"/>
      <c r="W1474" s="215" t="n"/>
      <c r="X1474" s="215" t="n"/>
      <c r="Y1474" s="215" t="n"/>
      <c r="Z1474" s="215" t="n"/>
      <c r="AA1474" s="215" t="n"/>
      <c r="AB1474" s="215" t="n"/>
      <c r="AC1474" s="215" t="n"/>
      <c r="AD1474" s="215" t="n"/>
      <c r="AE1474" s="215" t="n"/>
      <c r="AF1474" s="215" t="n"/>
      <c r="AG1474" s="215" t="n"/>
      <c r="AH1474" s="215" t="n"/>
      <c r="AI1474" s="215" t="n"/>
      <c r="AJ1474" s="215" t="n"/>
      <c r="AK1474" s="216" t="n"/>
    </row>
    <row r="1475" ht="15" customHeight="1">
      <c r="B1475" s="134" t="n"/>
      <c r="C1475" s="105" t="n"/>
      <c r="D1475" s="105" t="n"/>
      <c r="E1475" s="105" t="n"/>
      <c r="F1475" s="105" t="n"/>
      <c r="G1475" s="105" t="n"/>
      <c r="H1475" s="2" t="n"/>
      <c r="I1475" s="105" t="n"/>
      <c r="K1475" s="215" t="n"/>
      <c r="L1475" s="215" t="n"/>
      <c r="M1475" s="215" t="n"/>
      <c r="N1475" s="215" t="n"/>
      <c r="O1475" s="215" t="n"/>
      <c r="P1475" s="215" t="n"/>
      <c r="Q1475" s="215" t="n"/>
      <c r="R1475" s="215" t="n"/>
      <c r="S1475" s="215" t="n"/>
      <c r="T1475" s="215" t="n"/>
      <c r="U1475" s="215" t="n"/>
      <c r="V1475" s="215" t="n"/>
      <c r="W1475" s="215" t="n"/>
      <c r="X1475" s="215" t="n"/>
      <c r="Y1475" s="215" t="n"/>
      <c r="Z1475" s="215" t="n"/>
      <c r="AA1475" s="215" t="n"/>
      <c r="AB1475" s="215" t="n"/>
      <c r="AC1475" s="215" t="n"/>
      <c r="AD1475" s="215" t="n"/>
      <c r="AE1475" s="215" t="n"/>
      <c r="AF1475" s="215" t="n"/>
      <c r="AG1475" s="215" t="n"/>
      <c r="AH1475" s="215" t="n"/>
      <c r="AI1475" s="215" t="n"/>
      <c r="AJ1475" s="215" t="n"/>
      <c r="AK1475" s="216" t="n"/>
    </row>
    <row r="1476" ht="15" customHeight="1">
      <c r="B1476" s="134" t="n"/>
      <c r="C1476" s="105" t="n"/>
      <c r="D1476" s="105" t="n"/>
      <c r="E1476" s="105" t="n"/>
      <c r="F1476" s="105" t="n"/>
      <c r="G1476" s="105" t="n"/>
      <c r="H1476" s="2" t="n"/>
      <c r="I1476" s="105" t="n"/>
      <c r="K1476" s="215" t="n"/>
      <c r="L1476" s="215" t="n"/>
      <c r="M1476" s="215" t="n"/>
      <c r="N1476" s="215" t="n"/>
      <c r="O1476" s="215" t="n"/>
      <c r="P1476" s="215" t="n"/>
      <c r="Q1476" s="215" t="n"/>
      <c r="R1476" s="215" t="n"/>
      <c r="S1476" s="215" t="n"/>
      <c r="T1476" s="215" t="n"/>
      <c r="U1476" s="215" t="n"/>
      <c r="V1476" s="215" t="n"/>
      <c r="W1476" s="215" t="n"/>
      <c r="X1476" s="215" t="n"/>
      <c r="Y1476" s="215" t="n"/>
      <c r="Z1476" s="215" t="n"/>
      <c r="AA1476" s="215" t="n"/>
      <c r="AB1476" s="215" t="n"/>
      <c r="AC1476" s="215" t="n"/>
      <c r="AD1476" s="215" t="n"/>
      <c r="AE1476" s="215" t="n"/>
      <c r="AF1476" s="215" t="n"/>
      <c r="AG1476" s="215" t="n"/>
      <c r="AH1476" s="215" t="n"/>
      <c r="AI1476" s="215" t="n"/>
      <c r="AJ1476" s="215" t="n"/>
      <c r="AK1476" s="216" t="n"/>
    </row>
    <row r="1477" ht="15" customHeight="1">
      <c r="B1477" s="134" t="n"/>
      <c r="C1477" s="105" t="n"/>
      <c r="D1477" s="105" t="n"/>
      <c r="E1477" s="105" t="n"/>
      <c r="F1477" s="105" t="n"/>
      <c r="G1477" s="105" t="n"/>
      <c r="H1477" s="2" t="n"/>
      <c r="I1477" s="105" t="n"/>
      <c r="K1477" s="215" t="n"/>
      <c r="L1477" s="215" t="n"/>
      <c r="M1477" s="215" t="n"/>
      <c r="N1477" s="215" t="n"/>
      <c r="O1477" s="215" t="n"/>
      <c r="P1477" s="215" t="n"/>
      <c r="Q1477" s="215" t="n"/>
      <c r="R1477" s="215" t="n"/>
      <c r="S1477" s="215" t="n"/>
      <c r="T1477" s="215" t="n"/>
      <c r="U1477" s="215" t="n"/>
      <c r="V1477" s="215" t="n"/>
      <c r="W1477" s="215" t="n"/>
      <c r="X1477" s="215" t="n"/>
      <c r="Y1477" s="215" t="n"/>
      <c r="Z1477" s="215" t="n"/>
      <c r="AA1477" s="215" t="n"/>
      <c r="AB1477" s="215" t="n"/>
      <c r="AC1477" s="215" t="n"/>
      <c r="AD1477" s="215" t="n"/>
      <c r="AE1477" s="215" t="n"/>
      <c r="AF1477" s="215" t="n"/>
      <c r="AG1477" s="215" t="n"/>
      <c r="AH1477" s="215" t="n"/>
      <c r="AI1477" s="215" t="n"/>
      <c r="AJ1477" s="215" t="n"/>
      <c r="AK1477" s="216" t="n"/>
    </row>
    <row r="1478" ht="15" customHeight="1">
      <c r="B1478" s="134" t="n"/>
      <c r="C1478" s="105" t="n"/>
      <c r="D1478" s="105" t="n"/>
      <c r="E1478" s="105" t="n"/>
      <c r="F1478" s="105" t="n"/>
      <c r="G1478" s="105" t="n"/>
      <c r="H1478" s="2" t="n"/>
      <c r="I1478" s="105" t="n"/>
      <c r="K1478" s="215" t="n"/>
      <c r="L1478" s="215" t="n"/>
      <c r="M1478" s="215" t="n"/>
      <c r="N1478" s="215" t="n"/>
      <c r="O1478" s="215" t="n"/>
      <c r="P1478" s="215" t="n"/>
      <c r="Q1478" s="215" t="n"/>
      <c r="R1478" s="215" t="n"/>
      <c r="S1478" s="215" t="n"/>
      <c r="T1478" s="215" t="n"/>
      <c r="U1478" s="215" t="n"/>
      <c r="V1478" s="215" t="n"/>
      <c r="W1478" s="215" t="n"/>
      <c r="X1478" s="215" t="n"/>
      <c r="Y1478" s="215" t="n"/>
      <c r="Z1478" s="215" t="n"/>
      <c r="AA1478" s="215" t="n"/>
      <c r="AB1478" s="215" t="n"/>
      <c r="AC1478" s="215" t="n"/>
      <c r="AD1478" s="215" t="n"/>
      <c r="AE1478" s="215" t="n"/>
      <c r="AF1478" s="215" t="n"/>
      <c r="AG1478" s="215" t="n"/>
      <c r="AH1478" s="215" t="n"/>
      <c r="AI1478" s="215" t="n"/>
      <c r="AJ1478" s="215" t="n"/>
      <c r="AK1478" s="216" t="n"/>
    </row>
    <row r="1479" ht="15" customHeight="1">
      <c r="B1479" s="134" t="n"/>
      <c r="C1479" s="105" t="n"/>
      <c r="D1479" s="105" t="n"/>
      <c r="E1479" s="105" t="n"/>
      <c r="F1479" s="105" t="n"/>
      <c r="G1479" s="105" t="n"/>
      <c r="H1479" s="2" t="n"/>
      <c r="I1479" s="105" t="n"/>
      <c r="K1479" s="215" t="n"/>
      <c r="L1479" s="215" t="n"/>
      <c r="M1479" s="215" t="n"/>
      <c r="N1479" s="215" t="n"/>
      <c r="O1479" s="215" t="n"/>
      <c r="P1479" s="215" t="n"/>
      <c r="Q1479" s="215" t="n"/>
      <c r="R1479" s="215" t="n"/>
      <c r="S1479" s="215" t="n"/>
      <c r="T1479" s="215" t="n"/>
      <c r="U1479" s="215" t="n"/>
      <c r="V1479" s="215" t="n"/>
      <c r="W1479" s="215" t="n"/>
      <c r="X1479" s="215" t="n"/>
      <c r="Y1479" s="215" t="n"/>
      <c r="Z1479" s="215" t="n"/>
      <c r="AA1479" s="215" t="n"/>
      <c r="AB1479" s="215" t="n"/>
      <c r="AC1479" s="215" t="n"/>
      <c r="AD1479" s="215" t="n"/>
      <c r="AE1479" s="215" t="n"/>
      <c r="AF1479" s="215" t="n"/>
      <c r="AG1479" s="215" t="n"/>
      <c r="AH1479" s="215" t="n"/>
      <c r="AI1479" s="215" t="n"/>
      <c r="AJ1479" s="215" t="n"/>
      <c r="AK1479" s="216" t="n"/>
    </row>
    <row r="1480" ht="15" customHeight="1">
      <c r="B1480" s="134" t="n"/>
      <c r="C1480" s="105" t="n"/>
      <c r="D1480" s="105" t="n"/>
      <c r="E1480" s="105" t="n"/>
      <c r="F1480" s="105" t="n"/>
      <c r="G1480" s="105" t="n"/>
      <c r="H1480" s="2" t="n"/>
      <c r="I1480" s="105" t="n"/>
      <c r="K1480" s="215" t="n"/>
      <c r="L1480" s="215" t="n"/>
      <c r="M1480" s="215" t="n"/>
      <c r="N1480" s="215" t="n"/>
      <c r="O1480" s="215" t="n"/>
      <c r="P1480" s="215" t="n"/>
      <c r="Q1480" s="215" t="n"/>
      <c r="R1480" s="215" t="n"/>
      <c r="S1480" s="215" t="n"/>
      <c r="T1480" s="215" t="n"/>
      <c r="U1480" s="215" t="n"/>
      <c r="V1480" s="215" t="n"/>
      <c r="W1480" s="215" t="n"/>
      <c r="X1480" s="215" t="n"/>
      <c r="Y1480" s="215" t="n"/>
      <c r="Z1480" s="215" t="n"/>
      <c r="AA1480" s="215" t="n"/>
      <c r="AB1480" s="215" t="n"/>
      <c r="AC1480" s="215" t="n"/>
      <c r="AD1480" s="215" t="n"/>
      <c r="AE1480" s="215" t="n"/>
      <c r="AF1480" s="215" t="n"/>
      <c r="AG1480" s="215" t="n"/>
      <c r="AH1480" s="215" t="n"/>
      <c r="AI1480" s="215" t="n"/>
      <c r="AJ1480" s="215" t="n"/>
      <c r="AK1480" s="216" t="n"/>
    </row>
    <row r="1481" ht="15" customHeight="1">
      <c r="B1481" s="134" t="n"/>
      <c r="C1481" s="105" t="n"/>
      <c r="D1481" s="105" t="n"/>
      <c r="E1481" s="105" t="n"/>
      <c r="F1481" s="105" t="n"/>
      <c r="G1481" s="105" t="n"/>
      <c r="H1481" s="2" t="n"/>
      <c r="I1481" s="105" t="n"/>
      <c r="K1481" s="215" t="n"/>
      <c r="L1481" s="215" t="n"/>
      <c r="M1481" s="215" t="n"/>
      <c r="N1481" s="215" t="n"/>
      <c r="O1481" s="215" t="n"/>
      <c r="P1481" s="215" t="n"/>
      <c r="Q1481" s="215" t="n"/>
      <c r="R1481" s="215" t="n"/>
      <c r="S1481" s="215" t="n"/>
      <c r="T1481" s="215" t="n"/>
      <c r="U1481" s="215" t="n"/>
      <c r="V1481" s="215" t="n"/>
      <c r="W1481" s="215" t="n"/>
      <c r="X1481" s="215" t="n"/>
      <c r="Y1481" s="215" t="n"/>
      <c r="Z1481" s="215" t="n"/>
      <c r="AA1481" s="215" t="n"/>
      <c r="AB1481" s="215" t="n"/>
      <c r="AC1481" s="215" t="n"/>
      <c r="AD1481" s="215" t="n"/>
      <c r="AE1481" s="215" t="n"/>
      <c r="AF1481" s="215" t="n"/>
      <c r="AG1481" s="215" t="n"/>
      <c r="AH1481" s="215" t="n"/>
      <c r="AI1481" s="215" t="n"/>
      <c r="AJ1481" s="215" t="n"/>
      <c r="AK1481" s="216" t="n"/>
    </row>
    <row r="1482" ht="15" customHeight="1">
      <c r="B1482" s="134" t="n"/>
      <c r="C1482" s="105" t="n"/>
      <c r="D1482" s="105" t="n"/>
      <c r="E1482" s="105" t="n"/>
      <c r="F1482" s="105" t="n"/>
      <c r="G1482" s="105" t="n"/>
      <c r="H1482" s="2" t="n"/>
      <c r="I1482" s="105" t="n"/>
      <c r="K1482" s="215" t="n"/>
      <c r="L1482" s="215" t="n"/>
      <c r="M1482" s="215" t="n"/>
      <c r="N1482" s="215" t="n"/>
      <c r="O1482" s="215" t="n"/>
      <c r="P1482" s="215" t="n"/>
      <c r="Q1482" s="215" t="n"/>
      <c r="R1482" s="215" t="n"/>
      <c r="S1482" s="215" t="n"/>
      <c r="T1482" s="215" t="n"/>
      <c r="U1482" s="215" t="n"/>
      <c r="V1482" s="215" t="n"/>
      <c r="W1482" s="215" t="n"/>
      <c r="X1482" s="215" t="n"/>
      <c r="Y1482" s="215" t="n"/>
      <c r="Z1482" s="215" t="n"/>
      <c r="AA1482" s="215" t="n"/>
      <c r="AB1482" s="215" t="n"/>
      <c r="AC1482" s="215" t="n"/>
      <c r="AD1482" s="215" t="n"/>
      <c r="AE1482" s="215" t="n"/>
      <c r="AF1482" s="215" t="n"/>
      <c r="AG1482" s="215" t="n"/>
      <c r="AH1482" s="215" t="n"/>
      <c r="AI1482" s="215" t="n"/>
      <c r="AJ1482" s="215" t="n"/>
      <c r="AK1482" s="216" t="n"/>
    </row>
    <row r="1483" ht="15" customHeight="1">
      <c r="B1483" s="134" t="n"/>
      <c r="C1483" s="105" t="n"/>
      <c r="D1483" s="105" t="n"/>
      <c r="E1483" s="105" t="n"/>
      <c r="F1483" s="105" t="n"/>
      <c r="G1483" s="105" t="n"/>
      <c r="H1483" s="2" t="n"/>
      <c r="I1483" s="105" t="n"/>
      <c r="K1483" s="215" t="n"/>
      <c r="L1483" s="215" t="n"/>
      <c r="M1483" s="215" t="n"/>
      <c r="N1483" s="215" t="n"/>
      <c r="O1483" s="215" t="n"/>
      <c r="P1483" s="215" t="n"/>
      <c r="Q1483" s="215" t="n"/>
      <c r="R1483" s="215" t="n"/>
      <c r="S1483" s="215" t="n"/>
      <c r="T1483" s="215" t="n"/>
      <c r="U1483" s="215" t="n"/>
      <c r="V1483" s="215" t="n"/>
      <c r="W1483" s="215" t="n"/>
      <c r="X1483" s="215" t="n"/>
      <c r="Y1483" s="215" t="n"/>
      <c r="Z1483" s="215" t="n"/>
      <c r="AA1483" s="215" t="n"/>
      <c r="AB1483" s="215" t="n"/>
      <c r="AC1483" s="215" t="n"/>
      <c r="AD1483" s="215" t="n"/>
      <c r="AE1483" s="215" t="n"/>
      <c r="AF1483" s="215" t="n"/>
      <c r="AG1483" s="215" t="n"/>
      <c r="AH1483" s="215" t="n"/>
      <c r="AI1483" s="215" t="n"/>
      <c r="AJ1483" s="215" t="n"/>
      <c r="AK1483" s="216" t="n"/>
    </row>
    <row r="1484" ht="15" customHeight="1">
      <c r="B1484" s="134" t="n"/>
      <c r="C1484" s="105" t="n"/>
      <c r="D1484" s="105" t="n"/>
      <c r="E1484" s="105" t="n"/>
      <c r="F1484" s="105" t="n"/>
      <c r="G1484" s="105" t="n"/>
      <c r="H1484" s="2" t="n"/>
      <c r="I1484" s="105" t="n"/>
      <c r="K1484" s="215" t="n"/>
      <c r="L1484" s="215" t="n"/>
      <c r="M1484" s="215" t="n"/>
      <c r="N1484" s="215" t="n"/>
      <c r="O1484" s="215" t="n"/>
      <c r="P1484" s="215" t="n"/>
      <c r="Q1484" s="215" t="n"/>
      <c r="R1484" s="215" t="n"/>
      <c r="S1484" s="215" t="n"/>
      <c r="T1484" s="215" t="n"/>
      <c r="U1484" s="215" t="n"/>
      <c r="V1484" s="215" t="n"/>
      <c r="W1484" s="215" t="n"/>
      <c r="X1484" s="215" t="n"/>
      <c r="Y1484" s="215" t="n"/>
      <c r="Z1484" s="215" t="n"/>
      <c r="AA1484" s="215" t="n"/>
      <c r="AB1484" s="215" t="n"/>
      <c r="AC1484" s="215" t="n"/>
      <c r="AD1484" s="215" t="n"/>
      <c r="AE1484" s="215" t="n"/>
      <c r="AF1484" s="215" t="n"/>
      <c r="AG1484" s="215" t="n"/>
      <c r="AH1484" s="215" t="n"/>
      <c r="AI1484" s="215" t="n"/>
      <c r="AJ1484" s="215" t="n"/>
      <c r="AK1484" s="216" t="n"/>
    </row>
    <row r="1485" ht="15" customHeight="1">
      <c r="B1485" s="134" t="n"/>
      <c r="C1485" s="105" t="n"/>
      <c r="D1485" s="105" t="n"/>
      <c r="E1485" s="105" t="n"/>
      <c r="F1485" s="105" t="n"/>
      <c r="G1485" s="105" t="n"/>
      <c r="H1485" s="2" t="n"/>
      <c r="I1485" s="105" t="n"/>
      <c r="K1485" s="215" t="n"/>
      <c r="L1485" s="215" t="n"/>
      <c r="M1485" s="215" t="n"/>
      <c r="N1485" s="215" t="n"/>
      <c r="O1485" s="215" t="n"/>
      <c r="P1485" s="215" t="n"/>
      <c r="Q1485" s="215" t="n"/>
      <c r="R1485" s="215" t="n"/>
      <c r="S1485" s="215" t="n"/>
      <c r="T1485" s="215" t="n"/>
      <c r="U1485" s="215" t="n"/>
      <c r="V1485" s="215" t="n"/>
      <c r="W1485" s="215" t="n"/>
      <c r="X1485" s="215" t="n"/>
      <c r="Y1485" s="215" t="n"/>
      <c r="Z1485" s="215" t="n"/>
      <c r="AA1485" s="215" t="n"/>
      <c r="AB1485" s="215" t="n"/>
      <c r="AC1485" s="215" t="n"/>
      <c r="AD1485" s="215" t="n"/>
      <c r="AE1485" s="215" t="n"/>
      <c r="AF1485" s="215" t="n"/>
      <c r="AG1485" s="215" t="n"/>
      <c r="AH1485" s="215" t="n"/>
      <c r="AI1485" s="215" t="n"/>
      <c r="AJ1485" s="215" t="n"/>
      <c r="AK1485" s="216" t="n"/>
    </row>
    <row r="1486" ht="15" customHeight="1">
      <c r="B1486" s="134" t="n"/>
      <c r="C1486" s="105" t="n"/>
      <c r="D1486" s="105" t="n"/>
      <c r="E1486" s="105" t="n"/>
      <c r="F1486" s="105" t="n"/>
      <c r="G1486" s="105" t="n"/>
      <c r="H1486" s="2" t="n"/>
      <c r="I1486" s="105" t="n"/>
      <c r="K1486" s="215" t="n"/>
      <c r="L1486" s="215" t="n"/>
      <c r="M1486" s="215" t="n"/>
      <c r="N1486" s="215" t="n"/>
      <c r="O1486" s="215" t="n"/>
      <c r="P1486" s="215" t="n"/>
      <c r="Q1486" s="215" t="n"/>
      <c r="R1486" s="215" t="n"/>
      <c r="S1486" s="215" t="n"/>
      <c r="T1486" s="215" t="n"/>
      <c r="U1486" s="215" t="n"/>
      <c r="V1486" s="215" t="n"/>
      <c r="W1486" s="215" t="n"/>
      <c r="X1486" s="215" t="n"/>
      <c r="Y1486" s="215" t="n"/>
      <c r="Z1486" s="215" t="n"/>
      <c r="AA1486" s="215" t="n"/>
      <c r="AB1486" s="215" t="n"/>
      <c r="AC1486" s="215" t="n"/>
      <c r="AD1486" s="215" t="n"/>
      <c r="AE1486" s="215" t="n"/>
      <c r="AF1486" s="215" t="n"/>
      <c r="AG1486" s="215" t="n"/>
      <c r="AH1486" s="215" t="n"/>
      <c r="AI1486" s="215" t="n"/>
      <c r="AJ1486" s="215" t="n"/>
      <c r="AK1486" s="216" t="n"/>
    </row>
    <row r="1487" ht="15" customHeight="1">
      <c r="B1487" s="134" t="n"/>
      <c r="C1487" s="105" t="n"/>
      <c r="D1487" s="105" t="n"/>
      <c r="E1487" s="105" t="n"/>
      <c r="F1487" s="105" t="n"/>
      <c r="G1487" s="105" t="n"/>
      <c r="H1487" s="2" t="n"/>
      <c r="I1487" s="105" t="n"/>
      <c r="K1487" s="215" t="n"/>
      <c r="L1487" s="215" t="n"/>
      <c r="M1487" s="215" t="n"/>
      <c r="N1487" s="215" t="n"/>
      <c r="O1487" s="215" t="n"/>
      <c r="P1487" s="215" t="n"/>
      <c r="Q1487" s="215" t="n"/>
      <c r="R1487" s="215" t="n"/>
      <c r="S1487" s="215" t="n"/>
      <c r="T1487" s="215" t="n"/>
      <c r="U1487" s="215" t="n"/>
      <c r="V1487" s="215" t="n"/>
      <c r="W1487" s="215" t="n"/>
      <c r="X1487" s="215" t="n"/>
      <c r="Y1487" s="215" t="n"/>
      <c r="Z1487" s="215" t="n"/>
      <c r="AA1487" s="215" t="n"/>
      <c r="AB1487" s="215" t="n"/>
      <c r="AC1487" s="215" t="n"/>
      <c r="AD1487" s="215" t="n"/>
      <c r="AE1487" s="215" t="n"/>
      <c r="AF1487" s="215" t="n"/>
      <c r="AG1487" s="215" t="n"/>
      <c r="AH1487" s="215" t="n"/>
      <c r="AI1487" s="215" t="n"/>
      <c r="AJ1487" s="215" t="n"/>
      <c r="AK1487" s="216" t="n"/>
    </row>
    <row r="1488" ht="15" customHeight="1">
      <c r="B1488" s="134" t="n"/>
      <c r="C1488" s="105" t="n"/>
      <c r="D1488" s="105" t="n"/>
      <c r="E1488" s="105" t="n"/>
      <c r="F1488" s="105" t="n"/>
      <c r="G1488" s="105" t="n"/>
      <c r="H1488" s="2" t="n"/>
      <c r="I1488" s="105" t="n"/>
      <c r="K1488" s="215" t="n"/>
      <c r="L1488" s="215" t="n"/>
      <c r="M1488" s="215" t="n"/>
      <c r="N1488" s="215" t="n"/>
      <c r="O1488" s="215" t="n"/>
      <c r="P1488" s="215" t="n"/>
      <c r="Q1488" s="215" t="n"/>
      <c r="R1488" s="215" t="n"/>
      <c r="S1488" s="215" t="n"/>
      <c r="T1488" s="215" t="n"/>
      <c r="U1488" s="215" t="n"/>
      <c r="V1488" s="215" t="n"/>
      <c r="W1488" s="215" t="n"/>
      <c r="X1488" s="215" t="n"/>
      <c r="Y1488" s="215" t="n"/>
      <c r="Z1488" s="215" t="n"/>
      <c r="AA1488" s="215" t="n"/>
      <c r="AB1488" s="215" t="n"/>
      <c r="AC1488" s="215" t="n"/>
      <c r="AD1488" s="215" t="n"/>
      <c r="AE1488" s="215" t="n"/>
      <c r="AF1488" s="215" t="n"/>
      <c r="AG1488" s="215" t="n"/>
      <c r="AH1488" s="215" t="n"/>
      <c r="AI1488" s="215" t="n"/>
      <c r="AJ1488" s="215" t="n"/>
      <c r="AK1488" s="216" t="n"/>
    </row>
    <row r="1489" ht="15" customHeight="1">
      <c r="B1489" s="134" t="n"/>
      <c r="C1489" s="105" t="n"/>
      <c r="D1489" s="105" t="n"/>
      <c r="E1489" s="105" t="n"/>
      <c r="F1489" s="105" t="n"/>
      <c r="G1489" s="105" t="n"/>
      <c r="H1489" s="2" t="n"/>
      <c r="I1489" s="105" t="n"/>
      <c r="K1489" s="215" t="n"/>
      <c r="L1489" s="215" t="n"/>
      <c r="M1489" s="215" t="n"/>
      <c r="N1489" s="215" t="n"/>
      <c r="O1489" s="215" t="n"/>
      <c r="P1489" s="215" t="n"/>
      <c r="Q1489" s="215" t="n"/>
      <c r="R1489" s="215" t="n"/>
      <c r="S1489" s="215" t="n"/>
      <c r="T1489" s="215" t="n"/>
      <c r="U1489" s="215" t="n"/>
      <c r="V1489" s="215" t="n"/>
      <c r="W1489" s="215" t="n"/>
      <c r="X1489" s="215" t="n"/>
      <c r="Y1489" s="215" t="n"/>
      <c r="Z1489" s="215" t="n"/>
      <c r="AA1489" s="215" t="n"/>
      <c r="AB1489" s="215" t="n"/>
      <c r="AC1489" s="215" t="n"/>
      <c r="AD1489" s="215" t="n"/>
      <c r="AE1489" s="215" t="n"/>
      <c r="AF1489" s="215" t="n"/>
      <c r="AG1489" s="215" t="n"/>
      <c r="AH1489" s="215" t="n"/>
      <c r="AI1489" s="215" t="n"/>
      <c r="AJ1489" s="215" t="n"/>
      <c r="AK1489" s="216" t="n"/>
    </row>
    <row r="1490" ht="15" customHeight="1">
      <c r="B1490" s="134" t="n"/>
      <c r="C1490" s="105" t="n"/>
      <c r="D1490" s="105" t="n"/>
      <c r="E1490" s="105" t="n"/>
      <c r="F1490" s="105" t="n"/>
      <c r="G1490" s="105" t="n"/>
      <c r="H1490" s="2" t="n"/>
      <c r="I1490" s="105" t="n"/>
      <c r="K1490" s="215" t="n"/>
      <c r="L1490" s="215" t="n"/>
      <c r="M1490" s="215" t="n"/>
      <c r="N1490" s="215" t="n"/>
      <c r="O1490" s="215" t="n"/>
      <c r="P1490" s="215" t="n"/>
      <c r="Q1490" s="215" t="n"/>
      <c r="R1490" s="215" t="n"/>
      <c r="S1490" s="215" t="n"/>
      <c r="T1490" s="215" t="n"/>
      <c r="U1490" s="215" t="n"/>
      <c r="V1490" s="215" t="n"/>
      <c r="W1490" s="215" t="n"/>
      <c r="X1490" s="215" t="n"/>
      <c r="Y1490" s="215" t="n"/>
      <c r="Z1490" s="215" t="n"/>
      <c r="AA1490" s="215" t="n"/>
      <c r="AB1490" s="215" t="n"/>
      <c r="AC1490" s="215" t="n"/>
      <c r="AD1490" s="215" t="n"/>
      <c r="AE1490" s="215" t="n"/>
      <c r="AF1490" s="215" t="n"/>
      <c r="AG1490" s="215" t="n"/>
      <c r="AH1490" s="215" t="n"/>
      <c r="AI1490" s="215" t="n"/>
      <c r="AJ1490" s="215" t="n"/>
      <c r="AK1490" s="216" t="n"/>
    </row>
    <row r="1491" ht="15" customHeight="1">
      <c r="B1491" s="134" t="n"/>
      <c r="C1491" s="105" t="n"/>
      <c r="D1491" s="105" t="n"/>
      <c r="E1491" s="105" t="n"/>
      <c r="F1491" s="105" t="n"/>
      <c r="G1491" s="105" t="n"/>
      <c r="H1491" s="2" t="n"/>
      <c r="I1491" s="105" t="n"/>
      <c r="K1491" s="215" t="n"/>
      <c r="L1491" s="215" t="n"/>
      <c r="M1491" s="215" t="n"/>
      <c r="N1491" s="215" t="n"/>
      <c r="O1491" s="215" t="n"/>
      <c r="P1491" s="215" t="n"/>
      <c r="Q1491" s="215" t="n"/>
      <c r="R1491" s="215" t="n"/>
      <c r="S1491" s="215" t="n"/>
      <c r="T1491" s="215" t="n"/>
      <c r="U1491" s="215" t="n"/>
      <c r="V1491" s="215" t="n"/>
      <c r="W1491" s="215" t="n"/>
      <c r="X1491" s="215" t="n"/>
      <c r="Y1491" s="215" t="n"/>
      <c r="Z1491" s="215" t="n"/>
      <c r="AA1491" s="215" t="n"/>
      <c r="AB1491" s="215" t="n"/>
      <c r="AC1491" s="215" t="n"/>
      <c r="AD1491" s="215" t="n"/>
      <c r="AE1491" s="215" t="n"/>
      <c r="AF1491" s="215" t="n"/>
      <c r="AG1491" s="215" t="n"/>
      <c r="AH1491" s="215" t="n"/>
      <c r="AI1491" s="215" t="n"/>
      <c r="AJ1491" s="215" t="n"/>
      <c r="AK1491" s="216" t="n"/>
    </row>
    <row r="1492" ht="15" customHeight="1">
      <c r="B1492" s="134" t="n"/>
      <c r="C1492" s="105" t="n"/>
      <c r="D1492" s="105" t="n"/>
      <c r="E1492" s="105" t="n"/>
      <c r="F1492" s="105" t="n"/>
      <c r="G1492" s="105" t="n"/>
      <c r="H1492" s="2" t="n"/>
      <c r="I1492" s="105" t="n"/>
      <c r="K1492" s="215" t="n"/>
      <c r="L1492" s="215" t="n"/>
      <c r="M1492" s="215" t="n"/>
      <c r="N1492" s="215" t="n"/>
      <c r="O1492" s="215" t="n"/>
      <c r="P1492" s="215" t="n"/>
      <c r="Q1492" s="215" t="n"/>
      <c r="R1492" s="215" t="n"/>
      <c r="S1492" s="215" t="n"/>
      <c r="T1492" s="215" t="n"/>
      <c r="U1492" s="215" t="n"/>
      <c r="V1492" s="215" t="n"/>
      <c r="W1492" s="215" t="n"/>
      <c r="X1492" s="215" t="n"/>
      <c r="Y1492" s="215" t="n"/>
      <c r="Z1492" s="215" t="n"/>
      <c r="AA1492" s="215" t="n"/>
      <c r="AB1492" s="215" t="n"/>
      <c r="AC1492" s="215" t="n"/>
      <c r="AD1492" s="215" t="n"/>
      <c r="AE1492" s="215" t="n"/>
      <c r="AF1492" s="215" t="n"/>
      <c r="AG1492" s="215" t="n"/>
      <c r="AH1492" s="215" t="n"/>
      <c r="AI1492" s="215" t="n"/>
      <c r="AJ1492" s="215" t="n"/>
      <c r="AK1492" s="216" t="n"/>
    </row>
    <row r="1493" ht="15" customHeight="1">
      <c r="B1493" s="134" t="n"/>
      <c r="C1493" s="105" t="n"/>
      <c r="D1493" s="105" t="n"/>
      <c r="E1493" s="105" t="n"/>
      <c r="F1493" s="105" t="n"/>
      <c r="G1493" s="105" t="n"/>
      <c r="H1493" s="2" t="n"/>
      <c r="I1493" s="105" t="n"/>
      <c r="K1493" s="215" t="n"/>
      <c r="L1493" s="215" t="n"/>
      <c r="M1493" s="215" t="n"/>
      <c r="N1493" s="215" t="n"/>
      <c r="O1493" s="215" t="n"/>
      <c r="P1493" s="215" t="n"/>
      <c r="Q1493" s="215" t="n"/>
      <c r="R1493" s="215" t="n"/>
      <c r="S1493" s="215" t="n"/>
      <c r="T1493" s="215" t="n"/>
      <c r="U1493" s="215" t="n"/>
      <c r="V1493" s="215" t="n"/>
      <c r="W1493" s="215" t="n"/>
      <c r="X1493" s="215" t="n"/>
      <c r="Y1493" s="215" t="n"/>
      <c r="Z1493" s="215" t="n"/>
      <c r="AA1493" s="215" t="n"/>
      <c r="AB1493" s="215" t="n"/>
      <c r="AC1493" s="215" t="n"/>
      <c r="AD1493" s="215" t="n"/>
      <c r="AE1493" s="215" t="n"/>
      <c r="AF1493" s="215" t="n"/>
      <c r="AG1493" s="215" t="n"/>
      <c r="AH1493" s="215" t="n"/>
      <c r="AI1493" s="215" t="n"/>
      <c r="AJ1493" s="215" t="n"/>
      <c r="AK1493" s="216" t="n"/>
    </row>
    <row r="1494" ht="15" customHeight="1">
      <c r="B1494" s="134" t="n"/>
      <c r="C1494" s="105" t="n"/>
      <c r="D1494" s="105" t="n"/>
      <c r="E1494" s="105" t="n"/>
      <c r="F1494" s="105" t="n"/>
      <c r="G1494" s="105" t="n"/>
      <c r="H1494" s="2" t="n"/>
      <c r="I1494" s="105" t="n"/>
      <c r="K1494" s="215" t="n"/>
      <c r="L1494" s="215" t="n"/>
      <c r="M1494" s="215" t="n"/>
      <c r="N1494" s="215" t="n"/>
      <c r="O1494" s="215" t="n"/>
      <c r="P1494" s="215" t="n"/>
      <c r="Q1494" s="215" t="n"/>
      <c r="R1494" s="215" t="n"/>
      <c r="S1494" s="215" t="n"/>
      <c r="T1494" s="215" t="n"/>
      <c r="U1494" s="215" t="n"/>
      <c r="V1494" s="215" t="n"/>
      <c r="W1494" s="215" t="n"/>
      <c r="X1494" s="215" t="n"/>
      <c r="Y1494" s="215" t="n"/>
      <c r="Z1494" s="215" t="n"/>
      <c r="AA1494" s="215" t="n"/>
      <c r="AB1494" s="215" t="n"/>
      <c r="AC1494" s="215" t="n"/>
      <c r="AD1494" s="215" t="n"/>
      <c r="AE1494" s="215" t="n"/>
      <c r="AF1494" s="215" t="n"/>
      <c r="AG1494" s="215" t="n"/>
      <c r="AH1494" s="215" t="n"/>
      <c r="AI1494" s="215" t="n"/>
      <c r="AJ1494" s="215" t="n"/>
      <c r="AK1494" s="216" t="n"/>
    </row>
    <row r="1495" ht="15" customHeight="1">
      <c r="B1495" s="134" t="n"/>
      <c r="C1495" s="105" t="n"/>
      <c r="D1495" s="105" t="n"/>
      <c r="E1495" s="105" t="n"/>
      <c r="F1495" s="105" t="n"/>
      <c r="G1495" s="105" t="n"/>
      <c r="H1495" s="2" t="n"/>
      <c r="I1495" s="105" t="n"/>
      <c r="K1495" s="215" t="n"/>
      <c r="L1495" s="215" t="n"/>
      <c r="M1495" s="215" t="n"/>
      <c r="N1495" s="215" t="n"/>
      <c r="O1495" s="215" t="n"/>
      <c r="P1495" s="215" t="n"/>
      <c r="Q1495" s="215" t="n"/>
      <c r="R1495" s="215" t="n"/>
      <c r="S1495" s="215" t="n"/>
      <c r="T1495" s="215" t="n"/>
      <c r="U1495" s="215" t="n"/>
      <c r="V1495" s="215" t="n"/>
      <c r="W1495" s="215" t="n"/>
      <c r="X1495" s="215" t="n"/>
      <c r="Y1495" s="215" t="n"/>
      <c r="Z1495" s="215" t="n"/>
      <c r="AA1495" s="215" t="n"/>
      <c r="AB1495" s="215" t="n"/>
      <c r="AC1495" s="215" t="n"/>
      <c r="AD1495" s="215" t="n"/>
      <c r="AE1495" s="215" t="n"/>
      <c r="AF1495" s="215" t="n"/>
      <c r="AG1495" s="215" t="n"/>
      <c r="AH1495" s="215" t="n"/>
      <c r="AI1495" s="215" t="n"/>
      <c r="AJ1495" s="215" t="n"/>
      <c r="AK1495" s="216" t="n"/>
    </row>
    <row r="1496" ht="15" customHeight="1">
      <c r="B1496" s="134" t="n"/>
      <c r="C1496" s="105" t="n"/>
      <c r="D1496" s="105" t="n"/>
      <c r="E1496" s="105" t="n"/>
      <c r="F1496" s="105" t="n"/>
      <c r="G1496" s="105" t="n"/>
      <c r="H1496" s="2" t="n"/>
      <c r="I1496" s="105" t="n"/>
      <c r="K1496" s="215" t="n"/>
      <c r="L1496" s="215" t="n"/>
      <c r="M1496" s="215" t="n"/>
      <c r="N1496" s="215" t="n"/>
      <c r="O1496" s="215" t="n"/>
      <c r="P1496" s="215" t="n"/>
      <c r="Q1496" s="215" t="n"/>
      <c r="R1496" s="215" t="n"/>
      <c r="S1496" s="215" t="n"/>
      <c r="T1496" s="215" t="n"/>
      <c r="U1496" s="215" t="n"/>
      <c r="V1496" s="215" t="n"/>
      <c r="W1496" s="215" t="n"/>
      <c r="X1496" s="215" t="n"/>
      <c r="Y1496" s="215" t="n"/>
      <c r="Z1496" s="215" t="n"/>
      <c r="AA1496" s="215" t="n"/>
      <c r="AB1496" s="215" t="n"/>
      <c r="AC1496" s="215" t="n"/>
      <c r="AD1496" s="215" t="n"/>
      <c r="AE1496" s="215" t="n"/>
      <c r="AF1496" s="215" t="n"/>
      <c r="AG1496" s="215" t="n"/>
      <c r="AH1496" s="215" t="n"/>
      <c r="AI1496" s="215" t="n"/>
      <c r="AJ1496" s="215" t="n"/>
      <c r="AK1496" s="216" t="n"/>
    </row>
    <row r="1497" ht="15" customHeight="1">
      <c r="B1497" s="134" t="n"/>
      <c r="C1497" s="105" t="n"/>
      <c r="D1497" s="105" t="n"/>
      <c r="E1497" s="105" t="n"/>
      <c r="F1497" s="105" t="n"/>
      <c r="G1497" s="105" t="n"/>
      <c r="H1497" s="2" t="n"/>
      <c r="I1497" s="105" t="n"/>
      <c r="K1497" s="215" t="n"/>
      <c r="L1497" s="215" t="n"/>
      <c r="M1497" s="215" t="n"/>
      <c r="N1497" s="215" t="n"/>
      <c r="O1497" s="215" t="n"/>
      <c r="P1497" s="215" t="n"/>
      <c r="Q1497" s="215" t="n"/>
      <c r="R1497" s="215" t="n"/>
      <c r="S1497" s="215" t="n"/>
      <c r="T1497" s="215" t="n"/>
      <c r="U1497" s="215" t="n"/>
      <c r="V1497" s="215" t="n"/>
      <c r="W1497" s="215" t="n"/>
      <c r="X1497" s="215" t="n"/>
      <c r="Y1497" s="215" t="n"/>
      <c r="Z1497" s="215" t="n"/>
      <c r="AA1497" s="215" t="n"/>
      <c r="AB1497" s="215" t="n"/>
      <c r="AC1497" s="215" t="n"/>
      <c r="AD1497" s="215" t="n"/>
      <c r="AE1497" s="215" t="n"/>
      <c r="AF1497" s="215" t="n"/>
      <c r="AG1497" s="215" t="n"/>
      <c r="AH1497" s="215" t="n"/>
      <c r="AI1497" s="215" t="n"/>
      <c r="AJ1497" s="215" t="n"/>
      <c r="AK1497" s="216" t="n"/>
    </row>
    <row r="1498" ht="15" customHeight="1">
      <c r="B1498" s="134" t="n"/>
      <c r="C1498" s="105" t="n"/>
      <c r="D1498" s="105" t="n"/>
      <c r="E1498" s="105" t="n"/>
      <c r="F1498" s="105" t="n"/>
      <c r="G1498" s="105" t="n"/>
      <c r="H1498" s="2" t="n"/>
      <c r="I1498" s="105" t="n"/>
      <c r="K1498" s="215" t="n"/>
      <c r="L1498" s="215" t="n"/>
      <c r="M1498" s="215" t="n"/>
      <c r="N1498" s="215" t="n"/>
      <c r="O1498" s="215" t="n"/>
      <c r="P1498" s="215" t="n"/>
      <c r="Q1498" s="215" t="n"/>
      <c r="R1498" s="215" t="n"/>
      <c r="S1498" s="215" t="n"/>
      <c r="T1498" s="215" t="n"/>
      <c r="U1498" s="215" t="n"/>
      <c r="V1498" s="215" t="n"/>
      <c r="W1498" s="215" t="n"/>
      <c r="X1498" s="215" t="n"/>
      <c r="Y1498" s="215" t="n"/>
      <c r="Z1498" s="215" t="n"/>
      <c r="AA1498" s="215" t="n"/>
      <c r="AB1498" s="215" t="n"/>
      <c r="AC1498" s="215" t="n"/>
      <c r="AD1498" s="215" t="n"/>
      <c r="AE1498" s="215" t="n"/>
      <c r="AF1498" s="215" t="n"/>
      <c r="AG1498" s="215" t="n"/>
      <c r="AH1498" s="215" t="n"/>
      <c r="AI1498" s="215" t="n"/>
      <c r="AJ1498" s="215" t="n"/>
      <c r="AK1498" s="216" t="n"/>
    </row>
    <row r="1499" ht="15" customHeight="1">
      <c r="B1499" s="134" t="n"/>
      <c r="C1499" s="105" t="n"/>
      <c r="D1499" s="105" t="n"/>
      <c r="E1499" s="105" t="n"/>
      <c r="F1499" s="105" t="n"/>
      <c r="G1499" s="105" t="n"/>
      <c r="H1499" s="2" t="n"/>
      <c r="I1499" s="105" t="n"/>
      <c r="K1499" s="215" t="n"/>
      <c r="L1499" s="215" t="n"/>
      <c r="M1499" s="215" t="n"/>
      <c r="N1499" s="215" t="n"/>
      <c r="O1499" s="215" t="n"/>
      <c r="P1499" s="215" t="n"/>
      <c r="Q1499" s="215" t="n"/>
      <c r="R1499" s="215" t="n"/>
      <c r="S1499" s="215" t="n"/>
      <c r="T1499" s="215" t="n"/>
      <c r="U1499" s="215" t="n"/>
      <c r="V1499" s="215" t="n"/>
      <c r="W1499" s="215" t="n"/>
      <c r="X1499" s="215" t="n"/>
      <c r="Y1499" s="215" t="n"/>
      <c r="Z1499" s="215" t="n"/>
      <c r="AA1499" s="215" t="n"/>
      <c r="AB1499" s="215" t="n"/>
      <c r="AC1499" s="215" t="n"/>
      <c r="AD1499" s="215" t="n"/>
      <c r="AE1499" s="215" t="n"/>
      <c r="AF1499" s="215" t="n"/>
      <c r="AG1499" s="215" t="n"/>
      <c r="AH1499" s="215" t="n"/>
      <c r="AI1499" s="215" t="n"/>
      <c r="AJ1499" s="215" t="n"/>
      <c r="AK1499" s="216" t="n"/>
    </row>
    <row r="1500" ht="15" customHeight="1">
      <c r="B1500" s="134" t="n"/>
      <c r="C1500" s="105" t="n"/>
      <c r="D1500" s="105" t="n"/>
      <c r="E1500" s="105" t="n"/>
      <c r="F1500" s="105" t="n"/>
      <c r="G1500" s="105" t="n"/>
      <c r="H1500" s="2" t="n"/>
      <c r="I1500" s="105" t="n"/>
      <c r="K1500" s="215" t="n"/>
      <c r="L1500" s="215" t="n"/>
      <c r="M1500" s="215" t="n"/>
      <c r="N1500" s="215" t="n"/>
      <c r="O1500" s="215" t="n"/>
      <c r="P1500" s="215" t="n"/>
      <c r="Q1500" s="215" t="n"/>
      <c r="R1500" s="215" t="n"/>
      <c r="S1500" s="215" t="n"/>
      <c r="T1500" s="215" t="n"/>
      <c r="U1500" s="215" t="n"/>
      <c r="V1500" s="215" t="n"/>
      <c r="W1500" s="215" t="n"/>
      <c r="X1500" s="215" t="n"/>
      <c r="Y1500" s="215" t="n"/>
      <c r="Z1500" s="215" t="n"/>
      <c r="AA1500" s="215" t="n"/>
      <c r="AB1500" s="215" t="n"/>
      <c r="AC1500" s="215" t="n"/>
      <c r="AD1500" s="215" t="n"/>
      <c r="AE1500" s="215" t="n"/>
      <c r="AF1500" s="215" t="n"/>
      <c r="AG1500" s="215" t="n"/>
      <c r="AH1500" s="215" t="n"/>
      <c r="AI1500" s="215" t="n"/>
      <c r="AJ1500" s="215" t="n"/>
      <c r="AK1500" s="216" t="n"/>
    </row>
    <row r="1501" ht="15" customHeight="1">
      <c r="B1501" s="134" t="n"/>
      <c r="C1501" s="105" t="n"/>
      <c r="D1501" s="105" t="n"/>
      <c r="E1501" s="105" t="n"/>
      <c r="F1501" s="105" t="n"/>
      <c r="G1501" s="105" t="n"/>
      <c r="H1501" s="2" t="n"/>
      <c r="I1501" s="105" t="n"/>
      <c r="K1501" s="215" t="n"/>
      <c r="L1501" s="215" t="n"/>
      <c r="M1501" s="215" t="n"/>
      <c r="N1501" s="215" t="n"/>
      <c r="O1501" s="215" t="n"/>
      <c r="P1501" s="215" t="n"/>
      <c r="Q1501" s="215" t="n"/>
      <c r="R1501" s="215" t="n"/>
      <c r="S1501" s="215" t="n"/>
      <c r="T1501" s="215" t="n"/>
      <c r="U1501" s="215" t="n"/>
      <c r="V1501" s="215" t="n"/>
      <c r="W1501" s="215" t="n"/>
      <c r="X1501" s="215" t="n"/>
      <c r="Y1501" s="215" t="n"/>
      <c r="Z1501" s="215" t="n"/>
      <c r="AA1501" s="215" t="n"/>
      <c r="AB1501" s="215" t="n"/>
      <c r="AC1501" s="215" t="n"/>
      <c r="AD1501" s="215" t="n"/>
      <c r="AE1501" s="215" t="n"/>
      <c r="AF1501" s="215" t="n"/>
      <c r="AG1501" s="215" t="n"/>
      <c r="AH1501" s="215" t="n"/>
      <c r="AI1501" s="215" t="n"/>
      <c r="AJ1501" s="215" t="n"/>
      <c r="AK1501" s="216" t="n"/>
    </row>
    <row r="1502" ht="15" customHeight="1">
      <c r="B1502" s="134" t="n"/>
      <c r="C1502" s="105" t="n"/>
      <c r="D1502" s="105" t="n"/>
      <c r="E1502" s="105" t="n"/>
      <c r="F1502" s="105" t="n"/>
      <c r="G1502" s="105" t="n"/>
      <c r="H1502" s="2" t="n"/>
      <c r="I1502" s="105" t="n"/>
      <c r="K1502" s="215" t="n"/>
      <c r="L1502" s="215" t="n"/>
      <c r="M1502" s="215" t="n"/>
      <c r="N1502" s="215" t="n"/>
      <c r="O1502" s="215" t="n"/>
      <c r="P1502" s="215" t="n"/>
      <c r="Q1502" s="215" t="n"/>
      <c r="R1502" s="215" t="n"/>
      <c r="S1502" s="215" t="n"/>
      <c r="T1502" s="215" t="n"/>
      <c r="U1502" s="215" t="n"/>
      <c r="V1502" s="215" t="n"/>
      <c r="W1502" s="215" t="n"/>
      <c r="X1502" s="215" t="n"/>
      <c r="Y1502" s="215" t="n"/>
      <c r="Z1502" s="215" t="n"/>
      <c r="AA1502" s="215" t="n"/>
      <c r="AB1502" s="215" t="n"/>
      <c r="AC1502" s="215" t="n"/>
      <c r="AD1502" s="215" t="n"/>
      <c r="AE1502" s="215" t="n"/>
      <c r="AF1502" s="215" t="n"/>
      <c r="AG1502" s="215" t="n"/>
      <c r="AH1502" s="215" t="n"/>
      <c r="AI1502" s="215" t="n"/>
      <c r="AJ1502" s="215" t="n"/>
      <c r="AK1502" s="216" t="n"/>
    </row>
    <row r="1503" ht="15" customHeight="1">
      <c r="B1503" s="134" t="n"/>
      <c r="C1503" s="105" t="n"/>
      <c r="D1503" s="105" t="n"/>
      <c r="E1503" s="105" t="n"/>
      <c r="F1503" s="105" t="n"/>
      <c r="G1503" s="105" t="n"/>
      <c r="H1503" s="2" t="n"/>
      <c r="I1503" s="105" t="n"/>
      <c r="K1503" s="215" t="n"/>
      <c r="L1503" s="215" t="n"/>
      <c r="M1503" s="215" t="n"/>
      <c r="N1503" s="215" t="n"/>
      <c r="O1503" s="215" t="n"/>
      <c r="P1503" s="215" t="n"/>
      <c r="Q1503" s="215" t="n"/>
      <c r="R1503" s="215" t="n"/>
      <c r="S1503" s="215" t="n"/>
      <c r="T1503" s="215" t="n"/>
      <c r="U1503" s="215" t="n"/>
      <c r="V1503" s="215" t="n"/>
      <c r="W1503" s="215" t="n"/>
      <c r="X1503" s="215" t="n"/>
      <c r="Y1503" s="215" t="n"/>
      <c r="Z1503" s="215" t="n"/>
      <c r="AA1503" s="215" t="n"/>
      <c r="AB1503" s="215" t="n"/>
      <c r="AC1503" s="215" t="n"/>
      <c r="AD1503" s="215" t="n"/>
      <c r="AE1503" s="215" t="n"/>
      <c r="AF1503" s="215" t="n"/>
      <c r="AG1503" s="215" t="n"/>
      <c r="AH1503" s="215" t="n"/>
      <c r="AI1503" s="215" t="n"/>
      <c r="AJ1503" s="215" t="n"/>
      <c r="AK1503" s="216" t="n"/>
    </row>
    <row r="1504" ht="15" customHeight="1">
      <c r="B1504" s="134" t="n"/>
      <c r="C1504" s="105" t="n"/>
      <c r="D1504" s="105" t="n"/>
      <c r="E1504" s="105" t="n"/>
      <c r="F1504" s="105" t="n"/>
      <c r="G1504" s="105" t="n"/>
      <c r="H1504" s="2" t="n"/>
      <c r="I1504" s="105" t="n"/>
      <c r="K1504" s="215" t="n"/>
      <c r="L1504" s="215" t="n"/>
      <c r="M1504" s="215" t="n"/>
      <c r="N1504" s="215" t="n"/>
      <c r="O1504" s="215" t="n"/>
      <c r="P1504" s="215" t="n"/>
      <c r="Q1504" s="215" t="n"/>
      <c r="R1504" s="215" t="n"/>
      <c r="S1504" s="215" t="n"/>
      <c r="T1504" s="215" t="n"/>
      <c r="U1504" s="215" t="n"/>
      <c r="V1504" s="215" t="n"/>
      <c r="W1504" s="215" t="n"/>
      <c r="X1504" s="215" t="n"/>
      <c r="Y1504" s="215" t="n"/>
      <c r="Z1504" s="215" t="n"/>
      <c r="AA1504" s="215" t="n"/>
      <c r="AB1504" s="215" t="n"/>
      <c r="AC1504" s="215" t="n"/>
      <c r="AD1504" s="215" t="n"/>
      <c r="AE1504" s="215" t="n"/>
      <c r="AF1504" s="215" t="n"/>
      <c r="AG1504" s="215" t="n"/>
      <c r="AH1504" s="215" t="n"/>
      <c r="AI1504" s="215" t="n"/>
      <c r="AJ1504" s="215" t="n"/>
      <c r="AK1504" s="216" t="n"/>
    </row>
    <row r="1505" ht="15" customHeight="1">
      <c r="B1505" s="134" t="n"/>
      <c r="C1505" s="105" t="n"/>
      <c r="D1505" s="105" t="n"/>
      <c r="E1505" s="105" t="n"/>
      <c r="F1505" s="105" t="n"/>
      <c r="G1505" s="105" t="n"/>
      <c r="H1505" s="2" t="n"/>
      <c r="I1505" s="105" t="n"/>
      <c r="K1505" s="215" t="n"/>
      <c r="L1505" s="215" t="n"/>
      <c r="M1505" s="215" t="n"/>
      <c r="N1505" s="215" t="n"/>
      <c r="O1505" s="215" t="n"/>
      <c r="P1505" s="215" t="n"/>
      <c r="Q1505" s="215" t="n"/>
      <c r="R1505" s="215" t="n"/>
      <c r="S1505" s="215" t="n"/>
      <c r="T1505" s="215" t="n"/>
      <c r="U1505" s="215" t="n"/>
      <c r="V1505" s="215" t="n"/>
      <c r="W1505" s="215" t="n"/>
      <c r="X1505" s="215" t="n"/>
      <c r="Y1505" s="215" t="n"/>
      <c r="Z1505" s="215" t="n"/>
      <c r="AA1505" s="215" t="n"/>
      <c r="AB1505" s="215" t="n"/>
      <c r="AC1505" s="215" t="n"/>
      <c r="AD1505" s="215" t="n"/>
      <c r="AE1505" s="215" t="n"/>
      <c r="AF1505" s="215" t="n"/>
      <c r="AG1505" s="215" t="n"/>
      <c r="AH1505" s="215" t="n"/>
      <c r="AI1505" s="215" t="n"/>
      <c r="AJ1505" s="215" t="n"/>
      <c r="AK1505" s="216" t="n"/>
    </row>
    <row r="1506" ht="15" customHeight="1">
      <c r="B1506" s="134" t="n"/>
      <c r="C1506" s="105" t="n"/>
      <c r="D1506" s="105" t="n"/>
      <c r="E1506" s="105" t="n"/>
      <c r="F1506" s="105" t="n"/>
      <c r="G1506" s="105" t="n"/>
      <c r="H1506" s="2" t="n"/>
      <c r="I1506" s="105" t="n"/>
      <c r="K1506" s="215" t="n"/>
      <c r="L1506" s="215" t="n"/>
      <c r="M1506" s="215" t="n"/>
      <c r="N1506" s="215" t="n"/>
      <c r="O1506" s="215" t="n"/>
      <c r="P1506" s="215" t="n"/>
      <c r="Q1506" s="215" t="n"/>
      <c r="R1506" s="215" t="n"/>
      <c r="S1506" s="215" t="n"/>
      <c r="T1506" s="215" t="n"/>
      <c r="U1506" s="215" t="n"/>
      <c r="V1506" s="215" t="n"/>
      <c r="W1506" s="215" t="n"/>
      <c r="X1506" s="215" t="n"/>
      <c r="Y1506" s="215" t="n"/>
      <c r="Z1506" s="215" t="n"/>
      <c r="AA1506" s="215" t="n"/>
      <c r="AB1506" s="215" t="n"/>
      <c r="AC1506" s="215" t="n"/>
      <c r="AD1506" s="215" t="n"/>
      <c r="AE1506" s="215" t="n"/>
      <c r="AF1506" s="215" t="n"/>
      <c r="AG1506" s="215" t="n"/>
      <c r="AH1506" s="215" t="n"/>
      <c r="AI1506" s="215" t="n"/>
      <c r="AJ1506" s="215" t="n"/>
      <c r="AK1506" s="216" t="n"/>
    </row>
    <row r="1507" ht="15" customHeight="1">
      <c r="B1507" s="134" t="n"/>
      <c r="C1507" s="105" t="n"/>
      <c r="D1507" s="105" t="n"/>
      <c r="E1507" s="105" t="n"/>
      <c r="F1507" s="105" t="n"/>
      <c r="G1507" s="105" t="n"/>
      <c r="H1507" s="2" t="n"/>
      <c r="I1507" s="105" t="n"/>
      <c r="K1507" s="215" t="n"/>
      <c r="L1507" s="215" t="n"/>
      <c r="M1507" s="215" t="n"/>
      <c r="N1507" s="215" t="n"/>
      <c r="O1507" s="215" t="n"/>
      <c r="P1507" s="215" t="n"/>
      <c r="Q1507" s="215" t="n"/>
      <c r="R1507" s="215" t="n"/>
      <c r="S1507" s="215" t="n"/>
      <c r="T1507" s="215" t="n"/>
      <c r="U1507" s="215" t="n"/>
      <c r="V1507" s="215" t="n"/>
      <c r="W1507" s="215" t="n"/>
      <c r="X1507" s="215" t="n"/>
      <c r="Y1507" s="215" t="n"/>
      <c r="Z1507" s="215" t="n"/>
      <c r="AA1507" s="215" t="n"/>
      <c r="AB1507" s="215" t="n"/>
      <c r="AC1507" s="215" t="n"/>
      <c r="AD1507" s="215" t="n"/>
      <c r="AE1507" s="215" t="n"/>
      <c r="AF1507" s="215" t="n"/>
      <c r="AG1507" s="215" t="n"/>
      <c r="AH1507" s="215" t="n"/>
      <c r="AI1507" s="215" t="n"/>
      <c r="AJ1507" s="215" t="n"/>
      <c r="AK1507" s="216" t="n"/>
    </row>
    <row r="1508" ht="15" customHeight="1">
      <c r="B1508" s="134" t="n"/>
      <c r="C1508" s="105" t="n"/>
      <c r="D1508" s="105" t="n"/>
      <c r="E1508" s="105" t="n"/>
      <c r="F1508" s="105" t="n"/>
      <c r="G1508" s="105" t="n"/>
      <c r="H1508" s="2" t="n"/>
      <c r="I1508" s="105" t="n"/>
      <c r="K1508" s="215" t="n"/>
      <c r="L1508" s="215" t="n"/>
      <c r="M1508" s="215" t="n"/>
      <c r="N1508" s="215" t="n"/>
      <c r="O1508" s="215" t="n"/>
      <c r="P1508" s="215" t="n"/>
      <c r="Q1508" s="215" t="n"/>
      <c r="R1508" s="215" t="n"/>
      <c r="S1508" s="215" t="n"/>
      <c r="T1508" s="215" t="n"/>
      <c r="U1508" s="215" t="n"/>
      <c r="V1508" s="215" t="n"/>
      <c r="W1508" s="215" t="n"/>
      <c r="X1508" s="215" t="n"/>
      <c r="Y1508" s="215" t="n"/>
      <c r="Z1508" s="215" t="n"/>
      <c r="AA1508" s="215" t="n"/>
      <c r="AB1508" s="215" t="n"/>
      <c r="AC1508" s="215" t="n"/>
      <c r="AD1508" s="215" t="n"/>
      <c r="AE1508" s="215" t="n"/>
      <c r="AF1508" s="215" t="n"/>
      <c r="AG1508" s="215" t="n"/>
      <c r="AH1508" s="215" t="n"/>
      <c r="AI1508" s="215" t="n"/>
      <c r="AJ1508" s="215" t="n"/>
      <c r="AK1508" s="216" t="n"/>
    </row>
    <row r="1509" ht="15" customHeight="1">
      <c r="B1509" s="134" t="n"/>
      <c r="C1509" s="105" t="n"/>
      <c r="D1509" s="105" t="n"/>
      <c r="E1509" s="105" t="n"/>
      <c r="F1509" s="105" t="n"/>
      <c r="G1509" s="105" t="n"/>
      <c r="H1509" s="2" t="n"/>
      <c r="I1509" s="105" t="n"/>
      <c r="K1509" s="215" t="n"/>
      <c r="L1509" s="215" t="n"/>
      <c r="M1509" s="215" t="n"/>
      <c r="N1509" s="215" t="n"/>
      <c r="O1509" s="215" t="n"/>
      <c r="P1509" s="215" t="n"/>
      <c r="Q1509" s="215" t="n"/>
      <c r="R1509" s="215" t="n"/>
      <c r="S1509" s="215" t="n"/>
      <c r="T1509" s="215" t="n"/>
      <c r="U1509" s="215" t="n"/>
      <c r="V1509" s="215" t="n"/>
      <c r="W1509" s="215" t="n"/>
      <c r="X1509" s="215" t="n"/>
      <c r="Y1509" s="215" t="n"/>
      <c r="Z1509" s="215" t="n"/>
      <c r="AA1509" s="215" t="n"/>
      <c r="AB1509" s="215" t="n"/>
      <c r="AC1509" s="215" t="n"/>
      <c r="AD1509" s="215" t="n"/>
      <c r="AE1509" s="215" t="n"/>
      <c r="AF1509" s="215" t="n"/>
      <c r="AG1509" s="215" t="n"/>
      <c r="AH1509" s="215" t="n"/>
      <c r="AI1509" s="215" t="n"/>
      <c r="AJ1509" s="215" t="n"/>
      <c r="AK1509" s="216" t="n"/>
    </row>
    <row r="1510" ht="15" customHeight="1">
      <c r="B1510" s="134" t="n"/>
      <c r="C1510" s="105" t="n"/>
      <c r="D1510" s="105" t="n"/>
      <c r="E1510" s="105" t="n"/>
      <c r="F1510" s="105" t="n"/>
      <c r="G1510" s="105" t="n"/>
      <c r="H1510" s="2" t="n"/>
      <c r="I1510" s="105" t="n"/>
      <c r="K1510" s="215" t="n"/>
      <c r="L1510" s="215" t="n"/>
      <c r="M1510" s="215" t="n"/>
      <c r="N1510" s="215" t="n"/>
      <c r="O1510" s="215" t="n"/>
      <c r="P1510" s="215" t="n"/>
      <c r="Q1510" s="215" t="n"/>
      <c r="R1510" s="215" t="n"/>
      <c r="S1510" s="215" t="n"/>
      <c r="T1510" s="215" t="n"/>
      <c r="U1510" s="215" t="n"/>
      <c r="V1510" s="215" t="n"/>
      <c r="W1510" s="215" t="n"/>
      <c r="X1510" s="215" t="n"/>
      <c r="Y1510" s="215" t="n"/>
      <c r="Z1510" s="215" t="n"/>
      <c r="AA1510" s="215" t="n"/>
      <c r="AB1510" s="215" t="n"/>
      <c r="AC1510" s="215" t="n"/>
      <c r="AD1510" s="215" t="n"/>
      <c r="AE1510" s="215" t="n"/>
      <c r="AF1510" s="215" t="n"/>
      <c r="AG1510" s="215" t="n"/>
      <c r="AH1510" s="215" t="n"/>
      <c r="AI1510" s="215" t="n"/>
      <c r="AJ1510" s="215" t="n"/>
      <c r="AK1510" s="216" t="n"/>
    </row>
    <row r="1511" ht="15" customHeight="1">
      <c r="B1511" s="134" t="n"/>
      <c r="C1511" s="105" t="n"/>
      <c r="D1511" s="105" t="n"/>
      <c r="E1511" s="105" t="n"/>
      <c r="F1511" s="105" t="n"/>
      <c r="G1511" s="105" t="n"/>
      <c r="H1511" s="2" t="n"/>
      <c r="I1511" s="105" t="n"/>
      <c r="K1511" s="215" t="n"/>
      <c r="L1511" s="215" t="n"/>
      <c r="M1511" s="215" t="n"/>
      <c r="N1511" s="215" t="n"/>
      <c r="O1511" s="215" t="n"/>
      <c r="P1511" s="215" t="n"/>
      <c r="Q1511" s="215" t="n"/>
      <c r="R1511" s="215" t="n"/>
      <c r="S1511" s="215" t="n"/>
      <c r="T1511" s="215" t="n"/>
      <c r="U1511" s="215" t="n"/>
      <c r="V1511" s="215" t="n"/>
      <c r="W1511" s="215" t="n"/>
      <c r="X1511" s="215" t="n"/>
      <c r="Y1511" s="215" t="n"/>
      <c r="Z1511" s="215" t="n"/>
      <c r="AA1511" s="215" t="n"/>
      <c r="AB1511" s="215" t="n"/>
      <c r="AC1511" s="215" t="n"/>
      <c r="AD1511" s="215" t="n"/>
      <c r="AE1511" s="215" t="n"/>
      <c r="AF1511" s="215" t="n"/>
      <c r="AG1511" s="215" t="n"/>
      <c r="AH1511" s="215" t="n"/>
      <c r="AI1511" s="215" t="n"/>
      <c r="AJ1511" s="215" t="n"/>
      <c r="AK1511" s="216" t="n"/>
    </row>
    <row r="1512" ht="15" customHeight="1">
      <c r="B1512" s="134" t="n"/>
      <c r="C1512" s="105" t="n"/>
      <c r="D1512" s="105" t="n"/>
      <c r="E1512" s="105" t="n"/>
      <c r="F1512" s="105" t="n"/>
      <c r="G1512" s="105" t="n"/>
      <c r="H1512" s="2" t="n"/>
      <c r="I1512" s="105" t="n"/>
      <c r="K1512" s="215" t="n"/>
      <c r="L1512" s="215" t="n"/>
      <c r="M1512" s="215" t="n"/>
      <c r="N1512" s="215" t="n"/>
      <c r="O1512" s="215" t="n"/>
      <c r="P1512" s="215" t="n"/>
      <c r="Q1512" s="215" t="n"/>
      <c r="R1512" s="215" t="n"/>
      <c r="S1512" s="215" t="n"/>
      <c r="T1512" s="215" t="n"/>
      <c r="U1512" s="215" t="n"/>
      <c r="V1512" s="215" t="n"/>
      <c r="W1512" s="215" t="n"/>
      <c r="X1512" s="215" t="n"/>
      <c r="Y1512" s="215" t="n"/>
      <c r="Z1512" s="215" t="n"/>
      <c r="AA1512" s="215" t="n"/>
      <c r="AB1512" s="215" t="n"/>
      <c r="AC1512" s="215" t="n"/>
      <c r="AD1512" s="215" t="n"/>
      <c r="AE1512" s="215" t="n"/>
      <c r="AF1512" s="215" t="n"/>
      <c r="AG1512" s="215" t="n"/>
      <c r="AH1512" s="215" t="n"/>
      <c r="AI1512" s="215" t="n"/>
      <c r="AJ1512" s="215" t="n"/>
      <c r="AK1512" s="216" t="n"/>
    </row>
    <row r="1513" ht="15" customHeight="1">
      <c r="B1513" s="134" t="n"/>
      <c r="C1513" s="105" t="n"/>
      <c r="D1513" s="105" t="n"/>
      <c r="E1513" s="105" t="n"/>
      <c r="F1513" s="105" t="n"/>
      <c r="G1513" s="105" t="n"/>
      <c r="H1513" s="2" t="n"/>
      <c r="I1513" s="105" t="n"/>
      <c r="K1513" s="215" t="n"/>
      <c r="L1513" s="215" t="n"/>
      <c r="M1513" s="215" t="n"/>
      <c r="N1513" s="215" t="n"/>
      <c r="O1513" s="215" t="n"/>
      <c r="P1513" s="215" t="n"/>
      <c r="Q1513" s="215" t="n"/>
      <c r="R1513" s="215" t="n"/>
      <c r="S1513" s="215" t="n"/>
      <c r="T1513" s="215" t="n"/>
      <c r="U1513" s="215" t="n"/>
      <c r="V1513" s="215" t="n"/>
      <c r="W1513" s="215" t="n"/>
      <c r="X1513" s="215" t="n"/>
      <c r="Y1513" s="215" t="n"/>
      <c r="Z1513" s="215" t="n"/>
      <c r="AA1513" s="215" t="n"/>
      <c r="AB1513" s="215" t="n"/>
      <c r="AC1513" s="215" t="n"/>
      <c r="AD1513" s="215" t="n"/>
      <c r="AE1513" s="215" t="n"/>
      <c r="AF1513" s="215" t="n"/>
      <c r="AG1513" s="215" t="n"/>
      <c r="AH1513" s="215" t="n"/>
      <c r="AI1513" s="215" t="n"/>
      <c r="AJ1513" s="215" t="n"/>
      <c r="AK1513" s="216" t="n"/>
    </row>
    <row r="1514" ht="15" customHeight="1">
      <c r="B1514" s="134" t="n"/>
      <c r="C1514" s="105" t="n"/>
      <c r="D1514" s="105" t="n"/>
      <c r="E1514" s="105" t="n"/>
      <c r="F1514" s="105" t="n"/>
      <c r="G1514" s="105" t="n"/>
      <c r="H1514" s="2" t="n"/>
      <c r="I1514" s="105" t="n"/>
      <c r="K1514" s="215" t="n"/>
      <c r="L1514" s="215" t="n"/>
      <c r="M1514" s="215" t="n"/>
      <c r="N1514" s="215" t="n"/>
      <c r="O1514" s="215" t="n"/>
      <c r="P1514" s="215" t="n"/>
      <c r="Q1514" s="215" t="n"/>
      <c r="R1514" s="215" t="n"/>
      <c r="S1514" s="215" t="n"/>
      <c r="T1514" s="215" t="n"/>
      <c r="U1514" s="215" t="n"/>
      <c r="V1514" s="215" t="n"/>
      <c r="W1514" s="215" t="n"/>
      <c r="X1514" s="215" t="n"/>
      <c r="Y1514" s="215" t="n"/>
      <c r="Z1514" s="215" t="n"/>
      <c r="AA1514" s="215" t="n"/>
      <c r="AB1514" s="215" t="n"/>
      <c r="AC1514" s="215" t="n"/>
      <c r="AD1514" s="215" t="n"/>
      <c r="AE1514" s="215" t="n"/>
      <c r="AF1514" s="215" t="n"/>
      <c r="AG1514" s="215" t="n"/>
      <c r="AH1514" s="215" t="n"/>
      <c r="AI1514" s="215" t="n"/>
      <c r="AJ1514" s="215" t="n"/>
      <c r="AK1514" s="216" t="n"/>
    </row>
    <row r="1515" ht="15" customHeight="1">
      <c r="B1515" s="134" t="n"/>
      <c r="C1515" s="105" t="n"/>
      <c r="D1515" s="105" t="n"/>
      <c r="E1515" s="105" t="n"/>
      <c r="F1515" s="105" t="n"/>
      <c r="G1515" s="105" t="n"/>
      <c r="H1515" s="2" t="n"/>
      <c r="I1515" s="105" t="n"/>
      <c r="K1515" s="215" t="n"/>
      <c r="L1515" s="215" t="n"/>
      <c r="M1515" s="215" t="n"/>
      <c r="N1515" s="215" t="n"/>
      <c r="O1515" s="215" t="n"/>
      <c r="P1515" s="215" t="n"/>
      <c r="Q1515" s="215" t="n"/>
      <c r="R1515" s="215" t="n"/>
      <c r="S1515" s="215" t="n"/>
      <c r="T1515" s="215" t="n"/>
      <c r="U1515" s="215" t="n"/>
      <c r="V1515" s="215" t="n"/>
      <c r="W1515" s="215" t="n"/>
      <c r="X1515" s="215" t="n"/>
      <c r="Y1515" s="215" t="n"/>
      <c r="Z1515" s="215" t="n"/>
      <c r="AA1515" s="215" t="n"/>
      <c r="AB1515" s="215" t="n"/>
      <c r="AC1515" s="215" t="n"/>
      <c r="AD1515" s="215" t="n"/>
      <c r="AE1515" s="215" t="n"/>
      <c r="AF1515" s="215" t="n"/>
      <c r="AG1515" s="215" t="n"/>
      <c r="AH1515" s="215" t="n"/>
      <c r="AI1515" s="215" t="n"/>
      <c r="AJ1515" s="215" t="n"/>
      <c r="AK1515" s="216" t="n"/>
    </row>
    <row r="1516" ht="15" customHeight="1">
      <c r="B1516" s="134" t="n"/>
      <c r="C1516" s="105" t="n"/>
      <c r="D1516" s="105" t="n"/>
      <c r="E1516" s="105" t="n"/>
      <c r="F1516" s="105" t="n"/>
      <c r="G1516" s="105" t="n"/>
      <c r="H1516" s="2" t="n"/>
      <c r="I1516" s="105" t="n"/>
      <c r="K1516" s="215" t="n"/>
      <c r="L1516" s="215" t="n"/>
      <c r="M1516" s="215" t="n"/>
      <c r="N1516" s="215" t="n"/>
      <c r="O1516" s="215" t="n"/>
      <c r="P1516" s="215" t="n"/>
      <c r="Q1516" s="215" t="n"/>
      <c r="R1516" s="215" t="n"/>
      <c r="S1516" s="215" t="n"/>
      <c r="T1516" s="215" t="n"/>
      <c r="U1516" s="215" t="n"/>
      <c r="V1516" s="215" t="n"/>
      <c r="W1516" s="215" t="n"/>
      <c r="X1516" s="215" t="n"/>
      <c r="Y1516" s="215" t="n"/>
      <c r="Z1516" s="215" t="n"/>
      <c r="AA1516" s="215" t="n"/>
      <c r="AB1516" s="215" t="n"/>
      <c r="AC1516" s="215" t="n"/>
      <c r="AD1516" s="215" t="n"/>
      <c r="AE1516" s="215" t="n"/>
      <c r="AF1516" s="215" t="n"/>
      <c r="AG1516" s="215" t="n"/>
      <c r="AH1516" s="215" t="n"/>
      <c r="AI1516" s="215" t="n"/>
      <c r="AJ1516" s="215" t="n"/>
      <c r="AK1516" s="216" t="n"/>
    </row>
    <row r="1517" ht="15" customHeight="1">
      <c r="B1517" s="134" t="n"/>
      <c r="C1517" s="105" t="n"/>
      <c r="D1517" s="105" t="n"/>
      <c r="E1517" s="105" t="n"/>
      <c r="F1517" s="105" t="n"/>
      <c r="G1517" s="105" t="n"/>
      <c r="H1517" s="2" t="n"/>
      <c r="I1517" s="105" t="n"/>
      <c r="K1517" s="215" t="n"/>
      <c r="L1517" s="215" t="n"/>
      <c r="M1517" s="215" t="n"/>
      <c r="N1517" s="215" t="n"/>
      <c r="O1517" s="215" t="n"/>
      <c r="P1517" s="215" t="n"/>
      <c r="Q1517" s="215" t="n"/>
      <c r="R1517" s="215" t="n"/>
      <c r="S1517" s="215" t="n"/>
      <c r="T1517" s="215" t="n"/>
      <c r="U1517" s="215" t="n"/>
      <c r="V1517" s="215" t="n"/>
      <c r="W1517" s="215" t="n"/>
      <c r="X1517" s="215" t="n"/>
      <c r="Y1517" s="215" t="n"/>
      <c r="Z1517" s="215" t="n"/>
      <c r="AA1517" s="215" t="n"/>
      <c r="AB1517" s="215" t="n"/>
      <c r="AC1517" s="215" t="n"/>
      <c r="AD1517" s="215" t="n"/>
      <c r="AE1517" s="215" t="n"/>
      <c r="AF1517" s="215" t="n"/>
      <c r="AG1517" s="215" t="n"/>
      <c r="AH1517" s="215" t="n"/>
      <c r="AI1517" s="215" t="n"/>
      <c r="AJ1517" s="215" t="n"/>
      <c r="AK1517" s="216" t="n"/>
    </row>
    <row r="1518" ht="15" customHeight="1">
      <c r="B1518" s="134" t="n"/>
      <c r="C1518" s="105" t="n"/>
      <c r="D1518" s="105" t="n"/>
      <c r="E1518" s="105" t="n"/>
      <c r="F1518" s="105" t="n"/>
      <c r="G1518" s="105" t="n"/>
      <c r="H1518" s="2" t="n"/>
      <c r="I1518" s="105" t="n"/>
      <c r="K1518" s="215" t="n"/>
      <c r="L1518" s="215" t="n"/>
      <c r="M1518" s="215" t="n"/>
      <c r="N1518" s="215" t="n"/>
      <c r="O1518" s="215" t="n"/>
      <c r="P1518" s="215" t="n"/>
      <c r="Q1518" s="215" t="n"/>
      <c r="R1518" s="215" t="n"/>
      <c r="S1518" s="215" t="n"/>
      <c r="T1518" s="215" t="n"/>
      <c r="U1518" s="215" t="n"/>
      <c r="V1518" s="215" t="n"/>
      <c r="W1518" s="215" t="n"/>
      <c r="X1518" s="215" t="n"/>
      <c r="Y1518" s="215" t="n"/>
      <c r="Z1518" s="215" t="n"/>
      <c r="AA1518" s="215" t="n"/>
      <c r="AB1518" s="215" t="n"/>
      <c r="AC1518" s="215" t="n"/>
      <c r="AD1518" s="215" t="n"/>
      <c r="AE1518" s="215" t="n"/>
      <c r="AF1518" s="215" t="n"/>
      <c r="AG1518" s="215" t="n"/>
      <c r="AH1518" s="215" t="n"/>
      <c r="AI1518" s="215" t="n"/>
      <c r="AJ1518" s="215" t="n"/>
      <c r="AK1518" s="216" t="n"/>
    </row>
    <row r="1519" ht="15" customHeight="1">
      <c r="B1519" s="134" t="n"/>
      <c r="C1519" s="105" t="n"/>
      <c r="D1519" s="105" t="n"/>
      <c r="E1519" s="105" t="n"/>
      <c r="F1519" s="105" t="n"/>
      <c r="G1519" s="105" t="n"/>
      <c r="H1519" s="2" t="n"/>
      <c r="I1519" s="105" t="n"/>
      <c r="K1519" s="215" t="n"/>
      <c r="L1519" s="215" t="n"/>
      <c r="M1519" s="215" t="n"/>
      <c r="N1519" s="215" t="n"/>
      <c r="O1519" s="215" t="n"/>
      <c r="P1519" s="215" t="n"/>
      <c r="Q1519" s="215" t="n"/>
      <c r="R1519" s="215" t="n"/>
      <c r="S1519" s="215" t="n"/>
      <c r="T1519" s="215" t="n"/>
      <c r="U1519" s="215" t="n"/>
      <c r="V1519" s="215" t="n"/>
      <c r="W1519" s="215" t="n"/>
      <c r="X1519" s="215" t="n"/>
      <c r="Y1519" s="215" t="n"/>
      <c r="Z1519" s="215" t="n"/>
      <c r="AA1519" s="215" t="n"/>
      <c r="AB1519" s="215" t="n"/>
      <c r="AC1519" s="215" t="n"/>
      <c r="AD1519" s="215" t="n"/>
      <c r="AE1519" s="215" t="n"/>
      <c r="AF1519" s="215" t="n"/>
      <c r="AG1519" s="215" t="n"/>
      <c r="AH1519" s="215" t="n"/>
      <c r="AI1519" s="215" t="n"/>
      <c r="AJ1519" s="215" t="n"/>
      <c r="AK1519" s="216" t="n"/>
    </row>
    <row r="1520" ht="15" customHeight="1">
      <c r="B1520" s="134" t="n"/>
      <c r="C1520" s="105" t="n"/>
      <c r="D1520" s="105" t="n"/>
      <c r="E1520" s="105" t="n"/>
      <c r="F1520" s="105" t="n"/>
      <c r="G1520" s="105" t="n"/>
      <c r="H1520" s="2" t="n"/>
      <c r="I1520" s="105" t="n"/>
      <c r="K1520" s="215" t="n"/>
      <c r="L1520" s="215" t="n"/>
      <c r="M1520" s="215" t="n"/>
      <c r="N1520" s="215" t="n"/>
      <c r="O1520" s="215" t="n"/>
      <c r="P1520" s="215" t="n"/>
      <c r="Q1520" s="215" t="n"/>
      <c r="R1520" s="215" t="n"/>
      <c r="S1520" s="215" t="n"/>
      <c r="T1520" s="215" t="n"/>
      <c r="U1520" s="215" t="n"/>
      <c r="V1520" s="215" t="n"/>
      <c r="W1520" s="215" t="n"/>
      <c r="X1520" s="215" t="n"/>
      <c r="Y1520" s="215" t="n"/>
      <c r="Z1520" s="215" t="n"/>
      <c r="AA1520" s="215" t="n"/>
      <c r="AB1520" s="215" t="n"/>
      <c r="AC1520" s="215" t="n"/>
      <c r="AD1520" s="215" t="n"/>
      <c r="AE1520" s="215" t="n"/>
      <c r="AF1520" s="215" t="n"/>
      <c r="AG1520" s="215" t="n"/>
      <c r="AH1520" s="215" t="n"/>
      <c r="AI1520" s="215" t="n"/>
      <c r="AJ1520" s="215" t="n"/>
      <c r="AK1520" s="216" t="n"/>
    </row>
    <row r="1521" ht="15" customHeight="1">
      <c r="B1521" s="134" t="n"/>
      <c r="C1521" s="105" t="n"/>
      <c r="D1521" s="105" t="n"/>
      <c r="E1521" s="105" t="n"/>
      <c r="F1521" s="105" t="n"/>
      <c r="G1521" s="105" t="n"/>
      <c r="H1521" s="2" t="n"/>
      <c r="I1521" s="105" t="n"/>
      <c r="K1521" s="215" t="n"/>
      <c r="L1521" s="215" t="n"/>
      <c r="M1521" s="215" t="n"/>
      <c r="N1521" s="215" t="n"/>
      <c r="O1521" s="215" t="n"/>
      <c r="P1521" s="215" t="n"/>
      <c r="Q1521" s="215" t="n"/>
      <c r="R1521" s="215" t="n"/>
      <c r="S1521" s="215" t="n"/>
      <c r="T1521" s="215" t="n"/>
      <c r="U1521" s="215" t="n"/>
      <c r="V1521" s="215" t="n"/>
      <c r="W1521" s="215" t="n"/>
      <c r="X1521" s="215" t="n"/>
      <c r="Y1521" s="215" t="n"/>
      <c r="Z1521" s="215" t="n"/>
      <c r="AA1521" s="215" t="n"/>
      <c r="AB1521" s="215" t="n"/>
      <c r="AC1521" s="215" t="n"/>
      <c r="AD1521" s="215" t="n"/>
      <c r="AE1521" s="215" t="n"/>
      <c r="AF1521" s="215" t="n"/>
      <c r="AG1521" s="215" t="n"/>
      <c r="AH1521" s="215" t="n"/>
      <c r="AI1521" s="215" t="n"/>
      <c r="AJ1521" s="215" t="n"/>
      <c r="AK1521" s="216" t="n"/>
    </row>
    <row r="1522" ht="15" customHeight="1">
      <c r="B1522" s="134" t="n"/>
      <c r="C1522" s="105" t="n"/>
      <c r="D1522" s="105" t="n"/>
      <c r="E1522" s="105" t="n"/>
      <c r="F1522" s="105" t="n"/>
      <c r="G1522" s="105" t="n"/>
      <c r="H1522" s="2" t="n"/>
      <c r="I1522" s="105" t="n"/>
      <c r="K1522" s="215" t="n"/>
      <c r="L1522" s="215" t="n"/>
      <c r="M1522" s="215" t="n"/>
      <c r="N1522" s="215" t="n"/>
      <c r="O1522" s="215" t="n"/>
      <c r="P1522" s="215" t="n"/>
      <c r="Q1522" s="215" t="n"/>
      <c r="R1522" s="215" t="n"/>
      <c r="S1522" s="215" t="n"/>
      <c r="T1522" s="215" t="n"/>
      <c r="U1522" s="215" t="n"/>
      <c r="V1522" s="215" t="n"/>
      <c r="W1522" s="215" t="n"/>
      <c r="X1522" s="215" t="n"/>
      <c r="Y1522" s="215" t="n"/>
      <c r="Z1522" s="215" t="n"/>
      <c r="AA1522" s="215" t="n"/>
      <c r="AB1522" s="215" t="n"/>
      <c r="AC1522" s="215" t="n"/>
      <c r="AD1522" s="215" t="n"/>
      <c r="AE1522" s="215" t="n"/>
      <c r="AF1522" s="215" t="n"/>
      <c r="AG1522" s="215" t="n"/>
      <c r="AH1522" s="215" t="n"/>
      <c r="AI1522" s="215" t="n"/>
      <c r="AJ1522" s="215" t="n"/>
      <c r="AK1522" s="216" t="n"/>
    </row>
    <row r="1523" ht="15" customHeight="1">
      <c r="B1523" s="134" t="n"/>
      <c r="C1523" s="105" t="n"/>
      <c r="D1523" s="105" t="n"/>
      <c r="E1523" s="105" t="n"/>
      <c r="F1523" s="105" t="n"/>
      <c r="G1523" s="105" t="n"/>
      <c r="H1523" s="2" t="n"/>
      <c r="I1523" s="105" t="n"/>
      <c r="K1523" s="215" t="n"/>
      <c r="L1523" s="215" t="n"/>
      <c r="M1523" s="215" t="n"/>
      <c r="N1523" s="215" t="n"/>
      <c r="O1523" s="215" t="n"/>
      <c r="P1523" s="215" t="n"/>
      <c r="Q1523" s="215" t="n"/>
      <c r="R1523" s="215" t="n"/>
      <c r="S1523" s="215" t="n"/>
      <c r="T1523" s="215" t="n"/>
      <c r="U1523" s="215" t="n"/>
      <c r="V1523" s="215" t="n"/>
      <c r="W1523" s="215" t="n"/>
      <c r="X1523" s="215" t="n"/>
      <c r="Y1523" s="215" t="n"/>
      <c r="Z1523" s="215" t="n"/>
      <c r="AA1523" s="215" t="n"/>
      <c r="AB1523" s="215" t="n"/>
      <c r="AC1523" s="215" t="n"/>
      <c r="AD1523" s="215" t="n"/>
      <c r="AE1523" s="215" t="n"/>
      <c r="AF1523" s="215" t="n"/>
      <c r="AG1523" s="215" t="n"/>
      <c r="AH1523" s="215" t="n"/>
      <c r="AI1523" s="215" t="n"/>
      <c r="AJ1523" s="215" t="n"/>
      <c r="AK1523" s="216" t="n"/>
    </row>
    <row r="1524" ht="15" customHeight="1">
      <c r="B1524" s="134" t="n"/>
      <c r="C1524" s="105" t="n"/>
      <c r="D1524" s="105" t="n"/>
      <c r="E1524" s="105" t="n"/>
      <c r="F1524" s="105" t="n"/>
      <c r="G1524" s="105" t="n"/>
      <c r="H1524" s="2" t="n"/>
      <c r="I1524" s="105" t="n"/>
      <c r="K1524" s="215" t="n"/>
      <c r="L1524" s="215" t="n"/>
      <c r="M1524" s="215" t="n"/>
      <c r="N1524" s="215" t="n"/>
      <c r="O1524" s="215" t="n"/>
      <c r="P1524" s="215" t="n"/>
      <c r="Q1524" s="215" t="n"/>
      <c r="R1524" s="215" t="n"/>
      <c r="S1524" s="215" t="n"/>
      <c r="T1524" s="215" t="n"/>
      <c r="U1524" s="215" t="n"/>
      <c r="V1524" s="215" t="n"/>
      <c r="W1524" s="215" t="n"/>
      <c r="X1524" s="215" t="n"/>
      <c r="Y1524" s="215" t="n"/>
      <c r="Z1524" s="215" t="n"/>
      <c r="AA1524" s="215" t="n"/>
      <c r="AB1524" s="215" t="n"/>
      <c r="AC1524" s="215" t="n"/>
      <c r="AD1524" s="215" t="n"/>
      <c r="AE1524" s="215" t="n"/>
      <c r="AF1524" s="215" t="n"/>
      <c r="AG1524" s="215" t="n"/>
      <c r="AH1524" s="215" t="n"/>
      <c r="AI1524" s="215" t="n"/>
      <c r="AJ1524" s="215" t="n"/>
      <c r="AK1524" s="216" t="n"/>
    </row>
    <row r="1525" ht="15" customHeight="1">
      <c r="B1525" s="134" t="n"/>
      <c r="C1525" s="105" t="n"/>
      <c r="D1525" s="105" t="n"/>
      <c r="E1525" s="105" t="n"/>
      <c r="F1525" s="105" t="n"/>
      <c r="G1525" s="105" t="n"/>
      <c r="H1525" s="2" t="n"/>
      <c r="I1525" s="105" t="n"/>
      <c r="K1525" s="215" t="n"/>
      <c r="L1525" s="215" t="n"/>
      <c r="M1525" s="215" t="n"/>
      <c r="N1525" s="215" t="n"/>
      <c r="O1525" s="215" t="n"/>
      <c r="P1525" s="215" t="n"/>
      <c r="Q1525" s="215" t="n"/>
      <c r="R1525" s="215" t="n"/>
      <c r="S1525" s="215" t="n"/>
      <c r="T1525" s="215" t="n"/>
      <c r="U1525" s="215" t="n"/>
      <c r="V1525" s="215" t="n"/>
      <c r="W1525" s="215" t="n"/>
      <c r="X1525" s="215" t="n"/>
      <c r="Y1525" s="215" t="n"/>
      <c r="Z1525" s="215" t="n"/>
      <c r="AA1525" s="215" t="n"/>
      <c r="AB1525" s="215" t="n"/>
      <c r="AC1525" s="215" t="n"/>
      <c r="AD1525" s="215" t="n"/>
      <c r="AE1525" s="215" t="n"/>
      <c r="AF1525" s="215" t="n"/>
      <c r="AG1525" s="215" t="n"/>
      <c r="AH1525" s="215" t="n"/>
      <c r="AI1525" s="215" t="n"/>
      <c r="AJ1525" s="215" t="n"/>
      <c r="AK1525" s="216" t="n"/>
    </row>
    <row r="1526" ht="15" customHeight="1">
      <c r="B1526" s="134" t="n"/>
      <c r="C1526" s="105" t="n"/>
      <c r="D1526" s="105" t="n"/>
      <c r="E1526" s="105" t="n"/>
      <c r="F1526" s="105" t="n"/>
      <c r="G1526" s="105" t="n"/>
      <c r="H1526" s="2" t="n"/>
      <c r="I1526" s="105" t="n"/>
      <c r="K1526" s="215" t="n"/>
      <c r="L1526" s="215" t="n"/>
      <c r="M1526" s="215" t="n"/>
      <c r="N1526" s="215" t="n"/>
      <c r="O1526" s="215" t="n"/>
      <c r="P1526" s="215" t="n"/>
      <c r="Q1526" s="215" t="n"/>
      <c r="R1526" s="215" t="n"/>
      <c r="S1526" s="215" t="n"/>
      <c r="T1526" s="215" t="n"/>
      <c r="U1526" s="215" t="n"/>
      <c r="V1526" s="215" t="n"/>
      <c r="W1526" s="215" t="n"/>
      <c r="X1526" s="215" t="n"/>
      <c r="Y1526" s="215" t="n"/>
      <c r="Z1526" s="215" t="n"/>
      <c r="AA1526" s="215" t="n"/>
      <c r="AB1526" s="215" t="n"/>
      <c r="AC1526" s="215" t="n"/>
      <c r="AD1526" s="215" t="n"/>
      <c r="AE1526" s="215" t="n"/>
      <c r="AF1526" s="215" t="n"/>
      <c r="AG1526" s="215" t="n"/>
      <c r="AH1526" s="215" t="n"/>
      <c r="AI1526" s="215" t="n"/>
      <c r="AJ1526" s="215" t="n"/>
      <c r="AK1526" s="216" t="n"/>
    </row>
    <row r="1527" ht="15" customHeight="1">
      <c r="B1527" s="134" t="n"/>
      <c r="C1527" s="105" t="n"/>
      <c r="D1527" s="105" t="n"/>
      <c r="E1527" s="105" t="n"/>
      <c r="F1527" s="105" t="n"/>
      <c r="G1527" s="105" t="n"/>
      <c r="H1527" s="2" t="n"/>
      <c r="I1527" s="105" t="n"/>
      <c r="K1527" s="215" t="n"/>
      <c r="L1527" s="215" t="n"/>
      <c r="M1527" s="215" t="n"/>
      <c r="N1527" s="215" t="n"/>
      <c r="O1527" s="215" t="n"/>
      <c r="P1527" s="215" t="n"/>
      <c r="Q1527" s="215" t="n"/>
      <c r="R1527" s="215" t="n"/>
      <c r="S1527" s="215" t="n"/>
      <c r="T1527" s="215" t="n"/>
      <c r="U1527" s="215" t="n"/>
      <c r="V1527" s="215" t="n"/>
      <c r="W1527" s="215" t="n"/>
      <c r="X1527" s="215" t="n"/>
      <c r="Y1527" s="215" t="n"/>
      <c r="Z1527" s="215" t="n"/>
      <c r="AA1527" s="215" t="n"/>
      <c r="AB1527" s="215" t="n"/>
      <c r="AC1527" s="215" t="n"/>
      <c r="AD1527" s="215" t="n"/>
      <c r="AE1527" s="215" t="n"/>
      <c r="AF1527" s="215" t="n"/>
      <c r="AG1527" s="215" t="n"/>
      <c r="AH1527" s="215" t="n"/>
      <c r="AI1527" s="215" t="n"/>
      <c r="AJ1527" s="215" t="n"/>
      <c r="AK1527" s="216" t="n"/>
    </row>
    <row r="1528" ht="15" customHeight="1">
      <c r="B1528" s="134" t="n"/>
      <c r="C1528" s="105" t="n"/>
      <c r="D1528" s="105" t="n"/>
      <c r="E1528" s="105" t="n"/>
      <c r="F1528" s="105" t="n"/>
      <c r="G1528" s="105" t="n"/>
      <c r="H1528" s="2" t="n"/>
      <c r="I1528" s="105" t="n"/>
      <c r="K1528" s="215" t="n"/>
      <c r="L1528" s="215" t="n"/>
      <c r="M1528" s="215" t="n"/>
      <c r="N1528" s="215" t="n"/>
      <c r="O1528" s="215" t="n"/>
      <c r="P1528" s="215" t="n"/>
      <c r="Q1528" s="215" t="n"/>
      <c r="R1528" s="215" t="n"/>
      <c r="S1528" s="215" t="n"/>
      <c r="T1528" s="215" t="n"/>
      <c r="U1528" s="215" t="n"/>
      <c r="V1528" s="215" t="n"/>
      <c r="W1528" s="215" t="n"/>
      <c r="X1528" s="215" t="n"/>
      <c r="Y1528" s="215" t="n"/>
      <c r="Z1528" s="215" t="n"/>
      <c r="AA1528" s="215" t="n"/>
      <c r="AB1528" s="215" t="n"/>
      <c r="AC1528" s="215" t="n"/>
      <c r="AD1528" s="215" t="n"/>
      <c r="AE1528" s="215" t="n"/>
      <c r="AF1528" s="215" t="n"/>
      <c r="AG1528" s="215" t="n"/>
      <c r="AH1528" s="215" t="n"/>
      <c r="AI1528" s="215" t="n"/>
      <c r="AJ1528" s="215" t="n"/>
      <c r="AK1528" s="216" t="n"/>
    </row>
    <row r="1529" ht="15" customHeight="1">
      <c r="B1529" s="134" t="n"/>
      <c r="C1529" s="105" t="n"/>
      <c r="D1529" s="105" t="n"/>
      <c r="E1529" s="105" t="n"/>
      <c r="F1529" s="105" t="n"/>
      <c r="G1529" s="105" t="n"/>
      <c r="H1529" s="2" t="n"/>
      <c r="I1529" s="105" t="n"/>
      <c r="K1529" s="215" t="n"/>
      <c r="L1529" s="215" t="n"/>
      <c r="M1529" s="215" t="n"/>
      <c r="N1529" s="215" t="n"/>
      <c r="O1529" s="215" t="n"/>
      <c r="P1529" s="215" t="n"/>
      <c r="Q1529" s="215" t="n"/>
      <c r="R1529" s="215" t="n"/>
      <c r="S1529" s="215" t="n"/>
      <c r="T1529" s="215" t="n"/>
      <c r="U1529" s="215" t="n"/>
      <c r="V1529" s="215" t="n"/>
      <c r="W1529" s="215" t="n"/>
      <c r="X1529" s="215" t="n"/>
      <c r="Y1529" s="215" t="n"/>
      <c r="Z1529" s="215" t="n"/>
      <c r="AA1529" s="215" t="n"/>
      <c r="AB1529" s="215" t="n"/>
      <c r="AC1529" s="215" t="n"/>
      <c r="AD1529" s="215" t="n"/>
      <c r="AE1529" s="215" t="n"/>
      <c r="AF1529" s="215" t="n"/>
      <c r="AG1529" s="215" t="n"/>
      <c r="AH1529" s="215" t="n"/>
      <c r="AI1529" s="215" t="n"/>
      <c r="AJ1529" s="215" t="n"/>
      <c r="AK1529" s="216" t="n"/>
    </row>
    <row r="1530" ht="15" customHeight="1">
      <c r="B1530" s="134" t="n"/>
      <c r="C1530" s="105" t="n"/>
      <c r="D1530" s="105" t="n"/>
      <c r="E1530" s="105" t="n"/>
      <c r="F1530" s="105" t="n"/>
      <c r="G1530" s="105" t="n"/>
      <c r="H1530" s="2" t="n"/>
      <c r="I1530" s="105" t="n"/>
      <c r="K1530" s="215" t="n"/>
      <c r="L1530" s="215" t="n"/>
      <c r="M1530" s="215" t="n"/>
      <c r="N1530" s="215" t="n"/>
      <c r="O1530" s="215" t="n"/>
      <c r="P1530" s="215" t="n"/>
      <c r="Q1530" s="215" t="n"/>
      <c r="R1530" s="215" t="n"/>
      <c r="S1530" s="215" t="n"/>
      <c r="T1530" s="215" t="n"/>
      <c r="U1530" s="215" t="n"/>
      <c r="V1530" s="215" t="n"/>
      <c r="W1530" s="215" t="n"/>
      <c r="X1530" s="215" t="n"/>
      <c r="Y1530" s="215" t="n"/>
      <c r="Z1530" s="215" t="n"/>
      <c r="AA1530" s="215" t="n"/>
      <c r="AB1530" s="215" t="n"/>
      <c r="AC1530" s="215" t="n"/>
      <c r="AD1530" s="215" t="n"/>
      <c r="AE1530" s="215" t="n"/>
      <c r="AF1530" s="215" t="n"/>
      <c r="AG1530" s="215" t="n"/>
      <c r="AH1530" s="215" t="n"/>
      <c r="AI1530" s="215" t="n"/>
      <c r="AJ1530" s="215" t="n"/>
      <c r="AK1530" s="216" t="n"/>
    </row>
    <row r="1531" ht="15" customHeight="1">
      <c r="B1531" s="134" t="n"/>
      <c r="C1531" s="105" t="n"/>
      <c r="D1531" s="105" t="n"/>
      <c r="E1531" s="105" t="n"/>
      <c r="F1531" s="105" t="n"/>
      <c r="G1531" s="105" t="n"/>
      <c r="H1531" s="2" t="n"/>
      <c r="I1531" s="105" t="n"/>
      <c r="K1531" s="215" t="n"/>
      <c r="L1531" s="215" t="n"/>
      <c r="M1531" s="215" t="n"/>
      <c r="N1531" s="215" t="n"/>
      <c r="O1531" s="215" t="n"/>
      <c r="P1531" s="215" t="n"/>
      <c r="Q1531" s="215" t="n"/>
      <c r="R1531" s="215" t="n"/>
      <c r="S1531" s="215" t="n"/>
      <c r="T1531" s="215" t="n"/>
      <c r="U1531" s="215" t="n"/>
      <c r="V1531" s="215" t="n"/>
      <c r="W1531" s="215" t="n"/>
      <c r="X1531" s="215" t="n"/>
      <c r="Y1531" s="215" t="n"/>
      <c r="Z1531" s="215" t="n"/>
      <c r="AA1531" s="215" t="n"/>
      <c r="AB1531" s="215" t="n"/>
      <c r="AC1531" s="215" t="n"/>
      <c r="AD1531" s="215" t="n"/>
      <c r="AE1531" s="215" t="n"/>
      <c r="AF1531" s="215" t="n"/>
      <c r="AG1531" s="215" t="n"/>
      <c r="AH1531" s="215" t="n"/>
      <c r="AI1531" s="215" t="n"/>
      <c r="AJ1531" s="215" t="n"/>
      <c r="AK1531" s="216" t="n"/>
    </row>
    <row r="1532" ht="15" customHeight="1">
      <c r="B1532" s="134" t="n"/>
      <c r="C1532" s="105" t="n"/>
      <c r="D1532" s="105" t="n"/>
      <c r="E1532" s="105" t="n"/>
      <c r="F1532" s="105" t="n"/>
      <c r="G1532" s="105" t="n"/>
      <c r="H1532" s="2" t="n"/>
      <c r="I1532" s="105" t="n"/>
      <c r="K1532" s="215" t="n"/>
      <c r="L1532" s="215" t="n"/>
      <c r="M1532" s="215" t="n"/>
      <c r="N1532" s="215" t="n"/>
      <c r="O1532" s="215" t="n"/>
      <c r="P1532" s="215" t="n"/>
      <c r="Q1532" s="215" t="n"/>
      <c r="R1532" s="215" t="n"/>
      <c r="S1532" s="215" t="n"/>
      <c r="T1532" s="215" t="n"/>
      <c r="U1532" s="215" t="n"/>
      <c r="V1532" s="215" t="n"/>
      <c r="W1532" s="215" t="n"/>
      <c r="X1532" s="215" t="n"/>
      <c r="Y1532" s="215" t="n"/>
      <c r="Z1532" s="215" t="n"/>
      <c r="AA1532" s="215" t="n"/>
      <c r="AB1532" s="215" t="n"/>
      <c r="AC1532" s="215" t="n"/>
      <c r="AD1532" s="215" t="n"/>
      <c r="AE1532" s="215" t="n"/>
      <c r="AF1532" s="215" t="n"/>
      <c r="AG1532" s="215" t="n"/>
      <c r="AH1532" s="215" t="n"/>
      <c r="AI1532" s="215" t="n"/>
      <c r="AJ1532" s="215" t="n"/>
      <c r="AK1532" s="216" t="n"/>
    </row>
    <row r="1533" ht="15" customHeight="1">
      <c r="B1533" s="134" t="n"/>
      <c r="C1533" s="105" t="n"/>
      <c r="D1533" s="105" t="n"/>
      <c r="E1533" s="105" t="n"/>
      <c r="F1533" s="105" t="n"/>
      <c r="G1533" s="105" t="n"/>
      <c r="H1533" s="2" t="n"/>
      <c r="I1533" s="105" t="n"/>
      <c r="K1533" s="215" t="n"/>
      <c r="L1533" s="215" t="n"/>
      <c r="M1533" s="215" t="n"/>
      <c r="N1533" s="215" t="n"/>
      <c r="O1533" s="215" t="n"/>
      <c r="P1533" s="215" t="n"/>
      <c r="Q1533" s="215" t="n"/>
      <c r="R1533" s="215" t="n"/>
      <c r="S1533" s="215" t="n"/>
      <c r="T1533" s="215" t="n"/>
      <c r="U1533" s="215" t="n"/>
      <c r="V1533" s="215" t="n"/>
      <c r="W1533" s="215" t="n"/>
      <c r="X1533" s="215" t="n"/>
      <c r="Y1533" s="215" t="n"/>
      <c r="Z1533" s="215" t="n"/>
      <c r="AA1533" s="215" t="n"/>
      <c r="AB1533" s="215" t="n"/>
      <c r="AC1533" s="215" t="n"/>
      <c r="AD1533" s="215" t="n"/>
      <c r="AE1533" s="215" t="n"/>
      <c r="AF1533" s="215" t="n"/>
      <c r="AG1533" s="215" t="n"/>
      <c r="AH1533" s="215" t="n"/>
      <c r="AI1533" s="215" t="n"/>
      <c r="AJ1533" s="215" t="n"/>
      <c r="AK1533" s="216" t="n"/>
    </row>
    <row r="1534" ht="15" customHeight="1">
      <c r="B1534" s="134" t="n"/>
      <c r="C1534" s="105" t="n"/>
      <c r="D1534" s="105" t="n"/>
      <c r="E1534" s="105" t="n"/>
      <c r="F1534" s="105" t="n"/>
      <c r="G1534" s="105" t="n"/>
      <c r="H1534" s="2" t="n"/>
      <c r="I1534" s="105" t="n"/>
      <c r="K1534" s="215" t="n"/>
      <c r="L1534" s="215" t="n"/>
      <c r="M1534" s="215" t="n"/>
      <c r="N1534" s="215" t="n"/>
      <c r="O1534" s="215" t="n"/>
      <c r="P1534" s="215" t="n"/>
      <c r="Q1534" s="215" t="n"/>
      <c r="R1534" s="215" t="n"/>
      <c r="S1534" s="215" t="n"/>
      <c r="T1534" s="215" t="n"/>
      <c r="U1534" s="215" t="n"/>
      <c r="V1534" s="215" t="n"/>
      <c r="W1534" s="215" t="n"/>
      <c r="X1534" s="215" t="n"/>
      <c r="Y1534" s="215" t="n"/>
      <c r="Z1534" s="215" t="n"/>
      <c r="AA1534" s="215" t="n"/>
      <c r="AB1534" s="215" t="n"/>
      <c r="AC1534" s="215" t="n"/>
      <c r="AD1534" s="215" t="n"/>
      <c r="AE1534" s="215" t="n"/>
      <c r="AF1534" s="215" t="n"/>
      <c r="AG1534" s="215" t="n"/>
      <c r="AH1534" s="215" t="n"/>
      <c r="AI1534" s="215" t="n"/>
      <c r="AJ1534" s="215" t="n"/>
      <c r="AK1534" s="216" t="n"/>
    </row>
    <row r="1535" ht="15" customHeight="1">
      <c r="B1535" s="134" t="n"/>
      <c r="C1535" s="105" t="n"/>
      <c r="D1535" s="105" t="n"/>
      <c r="E1535" s="105" t="n"/>
      <c r="F1535" s="105" t="n"/>
      <c r="G1535" s="105" t="n"/>
      <c r="H1535" s="2" t="n"/>
      <c r="I1535" s="105" t="n"/>
      <c r="K1535" s="215" t="n"/>
      <c r="L1535" s="215" t="n"/>
      <c r="M1535" s="215" t="n"/>
      <c r="N1535" s="215" t="n"/>
      <c r="O1535" s="215" t="n"/>
      <c r="P1535" s="215" t="n"/>
      <c r="Q1535" s="215" t="n"/>
      <c r="R1535" s="215" t="n"/>
      <c r="S1535" s="215" t="n"/>
      <c r="T1535" s="215" t="n"/>
      <c r="U1535" s="215" t="n"/>
      <c r="V1535" s="215" t="n"/>
      <c r="W1535" s="215" t="n"/>
      <c r="X1535" s="215" t="n"/>
      <c r="Y1535" s="215" t="n"/>
      <c r="Z1535" s="215" t="n"/>
      <c r="AA1535" s="215" t="n"/>
      <c r="AB1535" s="215" t="n"/>
      <c r="AC1535" s="215" t="n"/>
      <c r="AD1535" s="215" t="n"/>
      <c r="AE1535" s="215" t="n"/>
      <c r="AF1535" s="215" t="n"/>
      <c r="AG1535" s="215" t="n"/>
      <c r="AH1535" s="215" t="n"/>
      <c r="AI1535" s="215" t="n"/>
      <c r="AJ1535" s="215" t="n"/>
      <c r="AK1535" s="216" t="n"/>
    </row>
    <row r="1536" ht="15" customHeight="1">
      <c r="B1536" s="134" t="n"/>
      <c r="C1536" s="105" t="n"/>
      <c r="D1536" s="105" t="n"/>
      <c r="E1536" s="105" t="n"/>
      <c r="F1536" s="105" t="n"/>
      <c r="G1536" s="105" t="n"/>
      <c r="H1536" s="2" t="n"/>
      <c r="I1536" s="105" t="n"/>
      <c r="K1536" s="215" t="n"/>
      <c r="L1536" s="215" t="n"/>
      <c r="M1536" s="215" t="n"/>
      <c r="N1536" s="215" t="n"/>
      <c r="O1536" s="215" t="n"/>
      <c r="P1536" s="215" t="n"/>
      <c r="Q1536" s="215" t="n"/>
      <c r="R1536" s="215" t="n"/>
      <c r="S1536" s="215" t="n"/>
      <c r="T1536" s="215" t="n"/>
      <c r="U1536" s="215" t="n"/>
      <c r="V1536" s="215" t="n"/>
      <c r="W1536" s="215" t="n"/>
      <c r="X1536" s="215" t="n"/>
      <c r="Y1536" s="215" t="n"/>
      <c r="Z1536" s="215" t="n"/>
      <c r="AA1536" s="215" t="n"/>
      <c r="AB1536" s="215" t="n"/>
      <c r="AC1536" s="215" t="n"/>
      <c r="AD1536" s="215" t="n"/>
      <c r="AE1536" s="215" t="n"/>
      <c r="AF1536" s="215" t="n"/>
      <c r="AG1536" s="215" t="n"/>
      <c r="AH1536" s="215" t="n"/>
      <c r="AI1536" s="215" t="n"/>
      <c r="AJ1536" s="215" t="n"/>
      <c r="AK1536" s="216" t="n"/>
    </row>
    <row r="1537" ht="15" customHeight="1">
      <c r="B1537" s="134" t="n"/>
      <c r="C1537" s="105" t="n"/>
      <c r="D1537" s="105" t="n"/>
      <c r="E1537" s="105" t="n"/>
      <c r="F1537" s="105" t="n"/>
      <c r="G1537" s="105" t="n"/>
      <c r="H1537" s="2" t="n"/>
      <c r="I1537" s="105" t="n"/>
      <c r="K1537" s="215" t="n"/>
      <c r="L1537" s="215" t="n"/>
      <c r="M1537" s="215" t="n"/>
      <c r="N1537" s="215" t="n"/>
      <c r="O1537" s="215" t="n"/>
      <c r="P1537" s="215" t="n"/>
      <c r="Q1537" s="215" t="n"/>
      <c r="R1537" s="215" t="n"/>
      <c r="S1537" s="215" t="n"/>
      <c r="T1537" s="215" t="n"/>
      <c r="U1537" s="215" t="n"/>
      <c r="V1537" s="215" t="n"/>
      <c r="W1537" s="215" t="n"/>
      <c r="X1537" s="215" t="n"/>
      <c r="Y1537" s="215" t="n"/>
      <c r="Z1537" s="215" t="n"/>
      <c r="AA1537" s="215" t="n"/>
      <c r="AB1537" s="215" t="n"/>
      <c r="AC1537" s="215" t="n"/>
      <c r="AD1537" s="215" t="n"/>
      <c r="AE1537" s="215" t="n"/>
      <c r="AF1537" s="215" t="n"/>
      <c r="AG1537" s="215" t="n"/>
      <c r="AH1537" s="215" t="n"/>
      <c r="AI1537" s="215" t="n"/>
      <c r="AJ1537" s="215" t="n"/>
      <c r="AK1537" s="216" t="n"/>
    </row>
    <row r="1538" ht="15" customHeight="1">
      <c r="B1538" s="134" t="n"/>
      <c r="C1538" s="105" t="n"/>
      <c r="D1538" s="105" t="n"/>
      <c r="E1538" s="105" t="n"/>
      <c r="F1538" s="105" t="n"/>
      <c r="G1538" s="105" t="n"/>
      <c r="H1538" s="2" t="n"/>
      <c r="I1538" s="105" t="n"/>
      <c r="K1538" s="215" t="n"/>
      <c r="L1538" s="215" t="n"/>
      <c r="M1538" s="215" t="n"/>
      <c r="N1538" s="215" t="n"/>
      <c r="O1538" s="215" t="n"/>
      <c r="P1538" s="215" t="n"/>
      <c r="Q1538" s="215" t="n"/>
      <c r="R1538" s="215" t="n"/>
      <c r="S1538" s="215" t="n"/>
      <c r="T1538" s="215" t="n"/>
      <c r="U1538" s="215" t="n"/>
      <c r="V1538" s="215" t="n"/>
      <c r="W1538" s="215" t="n"/>
      <c r="X1538" s="215" t="n"/>
      <c r="Y1538" s="215" t="n"/>
      <c r="Z1538" s="215" t="n"/>
      <c r="AA1538" s="215" t="n"/>
      <c r="AB1538" s="215" t="n"/>
      <c r="AC1538" s="215" t="n"/>
      <c r="AD1538" s="215" t="n"/>
      <c r="AE1538" s="215" t="n"/>
      <c r="AF1538" s="215" t="n"/>
      <c r="AG1538" s="215" t="n"/>
      <c r="AH1538" s="215" t="n"/>
      <c r="AI1538" s="215" t="n"/>
      <c r="AJ1538" s="215" t="n"/>
      <c r="AK1538" s="216" t="n"/>
    </row>
    <row r="1539" ht="15" customHeight="1">
      <c r="B1539" s="134" t="n"/>
      <c r="C1539" s="105" t="n"/>
      <c r="D1539" s="105" t="n"/>
      <c r="E1539" s="105" t="n"/>
      <c r="F1539" s="105" t="n"/>
      <c r="G1539" s="105" t="n"/>
      <c r="H1539" s="2" t="n"/>
      <c r="I1539" s="105" t="n"/>
      <c r="K1539" s="215" t="n"/>
      <c r="L1539" s="215" t="n"/>
      <c r="M1539" s="215" t="n"/>
      <c r="N1539" s="215" t="n"/>
      <c r="O1539" s="215" t="n"/>
      <c r="P1539" s="215" t="n"/>
      <c r="Q1539" s="215" t="n"/>
      <c r="R1539" s="215" t="n"/>
      <c r="S1539" s="215" t="n"/>
      <c r="T1539" s="215" t="n"/>
      <c r="U1539" s="215" t="n"/>
      <c r="V1539" s="215" t="n"/>
      <c r="W1539" s="215" t="n"/>
      <c r="X1539" s="215" t="n"/>
      <c r="Y1539" s="215" t="n"/>
      <c r="Z1539" s="215" t="n"/>
      <c r="AA1539" s="215" t="n"/>
      <c r="AB1539" s="215" t="n"/>
      <c r="AC1539" s="215" t="n"/>
      <c r="AD1539" s="215" t="n"/>
      <c r="AE1539" s="215" t="n"/>
      <c r="AF1539" s="215" t="n"/>
      <c r="AG1539" s="215" t="n"/>
      <c r="AH1539" s="215" t="n"/>
      <c r="AI1539" s="215" t="n"/>
      <c r="AJ1539" s="215" t="n"/>
      <c r="AK1539" s="216" t="n"/>
    </row>
    <row r="1540" ht="15" customHeight="1">
      <c r="B1540" s="134" t="n"/>
      <c r="C1540" s="105" t="n"/>
      <c r="D1540" s="105" t="n"/>
      <c r="E1540" s="105" t="n"/>
      <c r="F1540" s="105" t="n"/>
      <c r="G1540" s="105" t="n"/>
      <c r="H1540" s="2" t="n"/>
      <c r="I1540" s="105" t="n"/>
      <c r="K1540" s="215" t="n"/>
      <c r="L1540" s="215" t="n"/>
      <c r="M1540" s="215" t="n"/>
      <c r="N1540" s="215" t="n"/>
      <c r="O1540" s="215" t="n"/>
      <c r="P1540" s="215" t="n"/>
      <c r="Q1540" s="215" t="n"/>
      <c r="R1540" s="215" t="n"/>
      <c r="S1540" s="215" t="n"/>
      <c r="T1540" s="215" t="n"/>
      <c r="U1540" s="215" t="n"/>
      <c r="V1540" s="215" t="n"/>
      <c r="W1540" s="215" t="n"/>
      <c r="X1540" s="215" t="n"/>
      <c r="Y1540" s="215" t="n"/>
      <c r="Z1540" s="215" t="n"/>
      <c r="AA1540" s="215" t="n"/>
      <c r="AB1540" s="215" t="n"/>
      <c r="AC1540" s="215" t="n"/>
      <c r="AD1540" s="215" t="n"/>
      <c r="AE1540" s="215" t="n"/>
      <c r="AF1540" s="215" t="n"/>
      <c r="AG1540" s="215" t="n"/>
      <c r="AH1540" s="215" t="n"/>
      <c r="AI1540" s="215" t="n"/>
      <c r="AJ1540" s="215" t="n"/>
      <c r="AK1540" s="216" t="n"/>
    </row>
    <row r="1541" ht="15" customHeight="1">
      <c r="B1541" s="134" t="n"/>
      <c r="C1541" s="105" t="n"/>
      <c r="D1541" s="105" t="n"/>
      <c r="E1541" s="105" t="n"/>
      <c r="F1541" s="105" t="n"/>
      <c r="G1541" s="105" t="n"/>
      <c r="H1541" s="2" t="n"/>
      <c r="I1541" s="105" t="n"/>
      <c r="K1541" s="215" t="n"/>
      <c r="L1541" s="215" t="n"/>
      <c r="M1541" s="215" t="n"/>
      <c r="N1541" s="215" t="n"/>
      <c r="O1541" s="215" t="n"/>
      <c r="P1541" s="215" t="n"/>
      <c r="Q1541" s="215" t="n"/>
      <c r="R1541" s="215" t="n"/>
      <c r="S1541" s="215" t="n"/>
      <c r="T1541" s="215" t="n"/>
      <c r="U1541" s="215" t="n"/>
      <c r="V1541" s="215" t="n"/>
      <c r="W1541" s="215" t="n"/>
      <c r="X1541" s="215" t="n"/>
      <c r="Y1541" s="215" t="n"/>
      <c r="Z1541" s="215" t="n"/>
      <c r="AA1541" s="215" t="n"/>
      <c r="AB1541" s="215" t="n"/>
      <c r="AC1541" s="215" t="n"/>
      <c r="AD1541" s="215" t="n"/>
      <c r="AE1541" s="215" t="n"/>
      <c r="AF1541" s="215" t="n"/>
      <c r="AG1541" s="215" t="n"/>
      <c r="AH1541" s="215" t="n"/>
      <c r="AI1541" s="215" t="n"/>
      <c r="AJ1541" s="215" t="n"/>
      <c r="AK1541" s="216" t="n"/>
    </row>
    <row r="1542" ht="15" customHeight="1">
      <c r="B1542" s="134" t="n"/>
      <c r="C1542" s="105" t="n"/>
      <c r="D1542" s="105" t="n"/>
      <c r="E1542" s="105" t="n"/>
      <c r="F1542" s="105" t="n"/>
      <c r="G1542" s="105" t="n"/>
      <c r="H1542" s="2" t="n"/>
      <c r="I1542" s="105" t="n"/>
      <c r="K1542" s="215" t="n"/>
      <c r="L1542" s="215" t="n"/>
      <c r="M1542" s="215" t="n"/>
      <c r="N1542" s="215" t="n"/>
      <c r="O1542" s="215" t="n"/>
      <c r="P1542" s="215" t="n"/>
      <c r="Q1542" s="215" t="n"/>
      <c r="R1542" s="215" t="n"/>
      <c r="S1542" s="215" t="n"/>
      <c r="T1542" s="215" t="n"/>
      <c r="U1542" s="215" t="n"/>
      <c r="V1542" s="215" t="n"/>
      <c r="W1542" s="215" t="n"/>
      <c r="X1542" s="215" t="n"/>
      <c r="Y1542" s="215" t="n"/>
      <c r="Z1542" s="215" t="n"/>
      <c r="AA1542" s="215" t="n"/>
      <c r="AB1542" s="215" t="n"/>
      <c r="AC1542" s="215" t="n"/>
      <c r="AD1542" s="215" t="n"/>
      <c r="AE1542" s="215" t="n"/>
      <c r="AF1542" s="215" t="n"/>
      <c r="AG1542" s="215" t="n"/>
      <c r="AH1542" s="215" t="n"/>
      <c r="AI1542" s="215" t="n"/>
      <c r="AJ1542" s="215" t="n"/>
      <c r="AK1542" s="216" t="n"/>
    </row>
    <row r="1543" ht="15" customHeight="1">
      <c r="B1543" s="134" t="n"/>
      <c r="C1543" s="105" t="n"/>
      <c r="D1543" s="105" t="n"/>
      <c r="E1543" s="105" t="n"/>
      <c r="F1543" s="105" t="n"/>
      <c r="G1543" s="105" t="n"/>
      <c r="H1543" s="2" t="n"/>
      <c r="I1543" s="105" t="n"/>
      <c r="K1543" s="215" t="n"/>
      <c r="L1543" s="215" t="n"/>
      <c r="M1543" s="215" t="n"/>
      <c r="N1543" s="215" t="n"/>
      <c r="O1543" s="215" t="n"/>
      <c r="P1543" s="215" t="n"/>
      <c r="Q1543" s="215" t="n"/>
      <c r="R1543" s="215" t="n"/>
      <c r="S1543" s="215" t="n"/>
      <c r="T1543" s="215" t="n"/>
      <c r="U1543" s="215" t="n"/>
      <c r="V1543" s="215" t="n"/>
      <c r="W1543" s="215" t="n"/>
      <c r="X1543" s="215" t="n"/>
      <c r="Y1543" s="215" t="n"/>
      <c r="Z1543" s="215" t="n"/>
      <c r="AA1543" s="215" t="n"/>
      <c r="AB1543" s="215" t="n"/>
      <c r="AC1543" s="215" t="n"/>
      <c r="AD1543" s="215" t="n"/>
      <c r="AE1543" s="215" t="n"/>
      <c r="AF1543" s="215" t="n"/>
      <c r="AG1543" s="215" t="n"/>
      <c r="AH1543" s="215" t="n"/>
      <c r="AI1543" s="215" t="n"/>
      <c r="AJ1543" s="215" t="n"/>
      <c r="AK1543" s="216" t="n"/>
    </row>
    <row r="1544" ht="15" customHeight="1">
      <c r="B1544" s="134" t="n"/>
      <c r="C1544" s="105" t="n"/>
      <c r="D1544" s="105" t="n"/>
      <c r="E1544" s="105" t="n"/>
      <c r="F1544" s="105" t="n"/>
      <c r="G1544" s="105" t="n"/>
      <c r="H1544" s="2" t="n"/>
      <c r="I1544" s="105" t="n"/>
      <c r="K1544" s="215" t="n"/>
      <c r="L1544" s="215" t="n"/>
      <c r="M1544" s="215" t="n"/>
      <c r="N1544" s="215" t="n"/>
      <c r="O1544" s="215" t="n"/>
      <c r="P1544" s="215" t="n"/>
      <c r="Q1544" s="215" t="n"/>
      <c r="R1544" s="215" t="n"/>
      <c r="S1544" s="215" t="n"/>
      <c r="T1544" s="215" t="n"/>
      <c r="U1544" s="215" t="n"/>
      <c r="V1544" s="215" t="n"/>
      <c r="W1544" s="215" t="n"/>
      <c r="X1544" s="215" t="n"/>
      <c r="Y1544" s="215" t="n"/>
      <c r="Z1544" s="215" t="n"/>
      <c r="AA1544" s="215" t="n"/>
      <c r="AB1544" s="215" t="n"/>
      <c r="AC1544" s="215" t="n"/>
      <c r="AD1544" s="215" t="n"/>
      <c r="AE1544" s="215" t="n"/>
      <c r="AF1544" s="215" t="n"/>
      <c r="AG1544" s="215" t="n"/>
      <c r="AH1544" s="215" t="n"/>
      <c r="AI1544" s="215" t="n"/>
      <c r="AJ1544" s="215" t="n"/>
      <c r="AK1544" s="216" t="n"/>
    </row>
    <row r="1545" ht="15" customHeight="1">
      <c r="B1545" s="134" t="n"/>
      <c r="C1545" s="105" t="n"/>
      <c r="D1545" s="105" t="n"/>
      <c r="E1545" s="105" t="n"/>
      <c r="F1545" s="105" t="n"/>
      <c r="G1545" s="105" t="n"/>
      <c r="H1545" s="2" t="n"/>
      <c r="I1545" s="105" t="n"/>
      <c r="K1545" s="215" t="n"/>
      <c r="L1545" s="215" t="n"/>
      <c r="M1545" s="215" t="n"/>
      <c r="N1545" s="215" t="n"/>
      <c r="O1545" s="215" t="n"/>
      <c r="P1545" s="215" t="n"/>
      <c r="Q1545" s="215" t="n"/>
      <c r="R1545" s="215" t="n"/>
      <c r="S1545" s="215" t="n"/>
      <c r="T1545" s="215" t="n"/>
      <c r="U1545" s="215" t="n"/>
      <c r="V1545" s="215" t="n"/>
      <c r="W1545" s="215" t="n"/>
      <c r="X1545" s="215" t="n"/>
      <c r="Y1545" s="215" t="n"/>
      <c r="Z1545" s="215" t="n"/>
      <c r="AA1545" s="215" t="n"/>
      <c r="AB1545" s="215" t="n"/>
      <c r="AC1545" s="215" t="n"/>
      <c r="AD1545" s="215" t="n"/>
      <c r="AE1545" s="215" t="n"/>
      <c r="AF1545" s="215" t="n"/>
      <c r="AG1545" s="215" t="n"/>
      <c r="AH1545" s="215" t="n"/>
      <c r="AI1545" s="215" t="n"/>
      <c r="AJ1545" s="215" t="n"/>
      <c r="AK1545" s="216" t="n"/>
    </row>
    <row r="1546" ht="15" customHeight="1">
      <c r="B1546" s="134" t="n"/>
      <c r="C1546" s="105" t="n"/>
      <c r="D1546" s="105" t="n"/>
      <c r="E1546" s="105" t="n"/>
      <c r="F1546" s="105" t="n"/>
      <c r="G1546" s="105" t="n"/>
      <c r="H1546" s="2" t="n"/>
      <c r="I1546" s="105" t="n"/>
      <c r="K1546" s="215" t="n"/>
      <c r="L1546" s="215" t="n"/>
      <c r="M1546" s="215" t="n"/>
      <c r="N1546" s="215" t="n"/>
      <c r="O1546" s="215" t="n"/>
      <c r="P1546" s="215" t="n"/>
      <c r="Q1546" s="215" t="n"/>
      <c r="R1546" s="215" t="n"/>
      <c r="S1546" s="215" t="n"/>
      <c r="T1546" s="215" t="n"/>
      <c r="U1546" s="215" t="n"/>
      <c r="V1546" s="215" t="n"/>
      <c r="W1546" s="215" t="n"/>
      <c r="X1546" s="215" t="n"/>
      <c r="Y1546" s="215" t="n"/>
      <c r="Z1546" s="215" t="n"/>
      <c r="AA1546" s="215" t="n"/>
      <c r="AB1546" s="215" t="n"/>
      <c r="AC1546" s="215" t="n"/>
      <c r="AD1546" s="215" t="n"/>
      <c r="AE1546" s="215" t="n"/>
      <c r="AF1546" s="215" t="n"/>
      <c r="AG1546" s="215" t="n"/>
      <c r="AH1546" s="215" t="n"/>
      <c r="AI1546" s="215" t="n"/>
      <c r="AJ1546" s="215" t="n"/>
      <c r="AK1546" s="216" t="n"/>
    </row>
    <row r="1547" ht="15" customHeight="1">
      <c r="B1547" s="134" t="n"/>
      <c r="C1547" s="105" t="n"/>
      <c r="D1547" s="105" t="n"/>
      <c r="E1547" s="105" t="n"/>
      <c r="F1547" s="105" t="n"/>
      <c r="G1547" s="105" t="n"/>
      <c r="H1547" s="2" t="n"/>
      <c r="I1547" s="105" t="n"/>
      <c r="K1547" s="215" t="n"/>
      <c r="L1547" s="215" t="n"/>
      <c r="M1547" s="215" t="n"/>
      <c r="N1547" s="215" t="n"/>
      <c r="O1547" s="215" t="n"/>
      <c r="P1547" s="215" t="n"/>
      <c r="Q1547" s="215" t="n"/>
      <c r="R1547" s="215" t="n"/>
      <c r="S1547" s="215" t="n"/>
      <c r="T1547" s="215" t="n"/>
      <c r="U1547" s="215" t="n"/>
      <c r="V1547" s="215" t="n"/>
      <c r="W1547" s="215" t="n"/>
      <c r="X1547" s="215" t="n"/>
      <c r="Y1547" s="215" t="n"/>
      <c r="Z1547" s="215" t="n"/>
      <c r="AA1547" s="215" t="n"/>
      <c r="AB1547" s="215" t="n"/>
      <c r="AC1547" s="215" t="n"/>
      <c r="AD1547" s="215" t="n"/>
      <c r="AE1547" s="215" t="n"/>
      <c r="AF1547" s="215" t="n"/>
      <c r="AG1547" s="215" t="n"/>
      <c r="AH1547" s="215" t="n"/>
      <c r="AI1547" s="215" t="n"/>
      <c r="AJ1547" s="215" t="n"/>
      <c r="AK1547" s="216" t="n"/>
    </row>
    <row r="1548" ht="15" customHeight="1">
      <c r="B1548" s="134" t="n"/>
      <c r="C1548" s="105" t="n"/>
      <c r="D1548" s="105" t="n"/>
      <c r="E1548" s="105" t="n"/>
      <c r="F1548" s="105" t="n"/>
      <c r="G1548" s="105" t="n"/>
      <c r="H1548" s="2" t="n"/>
      <c r="I1548" s="105" t="n"/>
      <c r="K1548" s="215" t="n"/>
      <c r="L1548" s="215" t="n"/>
      <c r="M1548" s="215" t="n"/>
      <c r="N1548" s="215" t="n"/>
      <c r="O1548" s="215" t="n"/>
      <c r="P1548" s="215" t="n"/>
      <c r="Q1548" s="215" t="n"/>
      <c r="R1548" s="215" t="n"/>
      <c r="S1548" s="215" t="n"/>
      <c r="T1548" s="215" t="n"/>
      <c r="U1548" s="215" t="n"/>
      <c r="V1548" s="215" t="n"/>
      <c r="W1548" s="215" t="n"/>
      <c r="X1548" s="215" t="n"/>
      <c r="Y1548" s="215" t="n"/>
      <c r="Z1548" s="215" t="n"/>
      <c r="AA1548" s="215" t="n"/>
      <c r="AB1548" s="215" t="n"/>
      <c r="AC1548" s="215" t="n"/>
      <c r="AD1548" s="215" t="n"/>
      <c r="AE1548" s="215" t="n"/>
      <c r="AF1548" s="215" t="n"/>
      <c r="AG1548" s="215" t="n"/>
      <c r="AH1548" s="215" t="n"/>
      <c r="AI1548" s="215" t="n"/>
      <c r="AJ1548" s="215" t="n"/>
      <c r="AK1548" s="216" t="n"/>
    </row>
    <row r="1549" ht="15" customHeight="1">
      <c r="B1549" s="134" t="n"/>
      <c r="C1549" s="105" t="n"/>
      <c r="D1549" s="105" t="n"/>
      <c r="E1549" s="105" t="n"/>
      <c r="F1549" s="105" t="n"/>
      <c r="G1549" s="105" t="n"/>
      <c r="H1549" s="2" t="n"/>
      <c r="I1549" s="105" t="n"/>
      <c r="K1549" s="215" t="n"/>
      <c r="L1549" s="215" t="n"/>
      <c r="M1549" s="215" t="n"/>
      <c r="N1549" s="215" t="n"/>
      <c r="O1549" s="215" t="n"/>
      <c r="P1549" s="215" t="n"/>
      <c r="Q1549" s="215" t="n"/>
      <c r="R1549" s="215" t="n"/>
      <c r="S1549" s="215" t="n"/>
      <c r="T1549" s="215" t="n"/>
      <c r="U1549" s="215" t="n"/>
      <c r="V1549" s="215" t="n"/>
      <c r="W1549" s="215" t="n"/>
      <c r="X1549" s="215" t="n"/>
      <c r="Y1549" s="215" t="n"/>
      <c r="Z1549" s="215" t="n"/>
      <c r="AA1549" s="215" t="n"/>
      <c r="AB1549" s="215" t="n"/>
      <c r="AC1549" s="215" t="n"/>
      <c r="AD1549" s="215" t="n"/>
      <c r="AE1549" s="215" t="n"/>
      <c r="AF1549" s="215" t="n"/>
      <c r="AG1549" s="215" t="n"/>
      <c r="AH1549" s="215" t="n"/>
      <c r="AI1549" s="215" t="n"/>
      <c r="AJ1549" s="215" t="n"/>
      <c r="AK1549" s="216" t="n"/>
    </row>
    <row r="1550" ht="15" customHeight="1">
      <c r="B1550" s="134" t="n"/>
      <c r="C1550" s="105" t="n"/>
      <c r="D1550" s="105" t="n"/>
      <c r="E1550" s="105" t="n"/>
      <c r="F1550" s="105" t="n"/>
      <c r="G1550" s="105" t="n"/>
      <c r="H1550" s="2" t="n"/>
      <c r="I1550" s="105" t="n"/>
      <c r="K1550" s="215" t="n"/>
      <c r="L1550" s="215" t="n"/>
      <c r="M1550" s="215" t="n"/>
      <c r="N1550" s="215" t="n"/>
      <c r="O1550" s="215" t="n"/>
      <c r="P1550" s="215" t="n"/>
      <c r="Q1550" s="215" t="n"/>
      <c r="R1550" s="215" t="n"/>
      <c r="S1550" s="215" t="n"/>
      <c r="T1550" s="215" t="n"/>
      <c r="U1550" s="215" t="n"/>
      <c r="V1550" s="215" t="n"/>
      <c r="W1550" s="215" t="n"/>
      <c r="X1550" s="215" t="n"/>
      <c r="Y1550" s="215" t="n"/>
      <c r="Z1550" s="215" t="n"/>
      <c r="AA1550" s="215" t="n"/>
      <c r="AB1550" s="215" t="n"/>
      <c r="AC1550" s="215" t="n"/>
      <c r="AD1550" s="215" t="n"/>
      <c r="AE1550" s="215" t="n"/>
      <c r="AF1550" s="215" t="n"/>
      <c r="AG1550" s="215" t="n"/>
      <c r="AH1550" s="215" t="n"/>
      <c r="AI1550" s="215" t="n"/>
      <c r="AJ1550" s="215" t="n"/>
      <c r="AK1550" s="216" t="n"/>
    </row>
    <row r="1551" ht="15" customHeight="1">
      <c r="B1551" s="134" t="n"/>
      <c r="C1551" s="105" t="n"/>
      <c r="D1551" s="105" t="n"/>
      <c r="E1551" s="105" t="n"/>
      <c r="F1551" s="105" t="n"/>
      <c r="G1551" s="105" t="n"/>
      <c r="H1551" s="2" t="n"/>
      <c r="I1551" s="105" t="n"/>
      <c r="K1551" s="215" t="n"/>
      <c r="L1551" s="215" t="n"/>
      <c r="M1551" s="215" t="n"/>
      <c r="N1551" s="215" t="n"/>
      <c r="O1551" s="215" t="n"/>
      <c r="P1551" s="215" t="n"/>
      <c r="Q1551" s="215" t="n"/>
      <c r="R1551" s="215" t="n"/>
      <c r="S1551" s="215" t="n"/>
      <c r="T1551" s="215" t="n"/>
      <c r="U1551" s="215" t="n"/>
      <c r="V1551" s="215" t="n"/>
      <c r="W1551" s="215" t="n"/>
      <c r="X1551" s="215" t="n"/>
      <c r="Y1551" s="215" t="n"/>
      <c r="Z1551" s="215" t="n"/>
      <c r="AA1551" s="215" t="n"/>
      <c r="AB1551" s="215" t="n"/>
      <c r="AC1551" s="215" t="n"/>
      <c r="AD1551" s="215" t="n"/>
      <c r="AE1551" s="215" t="n"/>
      <c r="AF1551" s="215" t="n"/>
      <c r="AG1551" s="215" t="n"/>
      <c r="AH1551" s="215" t="n"/>
      <c r="AI1551" s="215" t="n"/>
      <c r="AJ1551" s="215" t="n"/>
      <c r="AK1551" s="216" t="n"/>
    </row>
    <row r="1552" ht="15" customHeight="1">
      <c r="B1552" s="134" t="n"/>
      <c r="C1552" s="105" t="n"/>
      <c r="D1552" s="105" t="n"/>
      <c r="E1552" s="105" t="n"/>
      <c r="F1552" s="105" t="n"/>
      <c r="G1552" s="105" t="n"/>
      <c r="H1552" s="2" t="n"/>
      <c r="I1552" s="105" t="n"/>
      <c r="K1552" s="215" t="n"/>
      <c r="L1552" s="215" t="n"/>
      <c r="M1552" s="215" t="n"/>
      <c r="N1552" s="215" t="n"/>
      <c r="O1552" s="215" t="n"/>
      <c r="P1552" s="215" t="n"/>
      <c r="Q1552" s="215" t="n"/>
      <c r="R1552" s="215" t="n"/>
      <c r="S1552" s="215" t="n"/>
      <c r="T1552" s="215" t="n"/>
      <c r="U1552" s="215" t="n"/>
      <c r="V1552" s="215" t="n"/>
      <c r="W1552" s="215" t="n"/>
      <c r="X1552" s="215" t="n"/>
      <c r="Y1552" s="215" t="n"/>
      <c r="Z1552" s="215" t="n"/>
      <c r="AA1552" s="215" t="n"/>
      <c r="AB1552" s="215" t="n"/>
      <c r="AC1552" s="215" t="n"/>
      <c r="AD1552" s="215" t="n"/>
      <c r="AE1552" s="215" t="n"/>
      <c r="AF1552" s="215" t="n"/>
      <c r="AG1552" s="215" t="n"/>
      <c r="AH1552" s="215" t="n"/>
      <c r="AI1552" s="215" t="n"/>
      <c r="AJ1552" s="215" t="n"/>
      <c r="AK1552" s="216" t="n"/>
    </row>
    <row r="1553" ht="15" customHeight="1">
      <c r="B1553" s="134" t="n"/>
      <c r="C1553" s="105" t="n"/>
      <c r="D1553" s="105" t="n"/>
      <c r="E1553" s="105" t="n"/>
      <c r="F1553" s="105" t="n"/>
      <c r="G1553" s="105" t="n"/>
      <c r="H1553" s="2" t="n"/>
      <c r="I1553" s="105" t="n"/>
      <c r="K1553" s="215" t="n"/>
      <c r="L1553" s="215" t="n"/>
      <c r="M1553" s="215" t="n"/>
      <c r="N1553" s="215" t="n"/>
      <c r="O1553" s="215" t="n"/>
      <c r="P1553" s="215" t="n"/>
      <c r="Q1553" s="215" t="n"/>
      <c r="R1553" s="215" t="n"/>
      <c r="S1553" s="215" t="n"/>
      <c r="T1553" s="215" t="n"/>
      <c r="U1553" s="215" t="n"/>
      <c r="V1553" s="215" t="n"/>
      <c r="W1553" s="215" t="n"/>
      <c r="X1553" s="215" t="n"/>
      <c r="Y1553" s="215" t="n"/>
      <c r="Z1553" s="215" t="n"/>
      <c r="AA1553" s="215" t="n"/>
      <c r="AB1553" s="215" t="n"/>
      <c r="AC1553" s="215" t="n"/>
      <c r="AD1553" s="215" t="n"/>
      <c r="AE1553" s="215" t="n"/>
      <c r="AF1553" s="215" t="n"/>
      <c r="AG1553" s="215" t="n"/>
      <c r="AH1553" s="215" t="n"/>
      <c r="AI1553" s="215" t="n"/>
      <c r="AJ1553" s="215" t="n"/>
      <c r="AK1553" s="216" t="n"/>
    </row>
    <row r="1554" ht="15" customHeight="1">
      <c r="B1554" s="134" t="n"/>
      <c r="C1554" s="105" t="n"/>
      <c r="D1554" s="105" t="n"/>
      <c r="E1554" s="105" t="n"/>
      <c r="F1554" s="105" t="n"/>
      <c r="G1554" s="105" t="n"/>
      <c r="H1554" s="2" t="n"/>
      <c r="I1554" s="105" t="n"/>
      <c r="K1554" s="215" t="n"/>
      <c r="L1554" s="215" t="n"/>
      <c r="M1554" s="215" t="n"/>
      <c r="N1554" s="215" t="n"/>
      <c r="O1554" s="215" t="n"/>
      <c r="P1554" s="215" t="n"/>
      <c r="Q1554" s="215" t="n"/>
      <c r="R1554" s="215" t="n"/>
      <c r="S1554" s="215" t="n"/>
      <c r="T1554" s="215" t="n"/>
      <c r="U1554" s="215" t="n"/>
      <c r="V1554" s="215" t="n"/>
      <c r="W1554" s="215" t="n"/>
      <c r="X1554" s="215" t="n"/>
      <c r="Y1554" s="215" t="n"/>
      <c r="Z1554" s="215" t="n"/>
      <c r="AA1554" s="215" t="n"/>
      <c r="AB1554" s="215" t="n"/>
      <c r="AC1554" s="215" t="n"/>
      <c r="AD1554" s="215" t="n"/>
      <c r="AE1554" s="215" t="n"/>
      <c r="AF1554" s="215" t="n"/>
      <c r="AG1554" s="215" t="n"/>
      <c r="AH1554" s="215" t="n"/>
      <c r="AI1554" s="215" t="n"/>
      <c r="AJ1554" s="215" t="n"/>
      <c r="AK1554" s="216" t="n"/>
    </row>
    <row r="1555" ht="15" customHeight="1">
      <c r="B1555" s="134" t="n"/>
      <c r="C1555" s="105" t="n"/>
      <c r="D1555" s="105" t="n"/>
      <c r="E1555" s="105" t="n"/>
      <c r="F1555" s="105" t="n"/>
      <c r="G1555" s="105" t="n"/>
      <c r="H1555" s="2" t="n"/>
      <c r="I1555" s="105" t="n"/>
      <c r="K1555" s="215" t="n"/>
      <c r="L1555" s="215" t="n"/>
      <c r="M1555" s="215" t="n"/>
      <c r="N1555" s="215" t="n"/>
      <c r="O1555" s="215" t="n"/>
      <c r="P1555" s="215" t="n"/>
      <c r="Q1555" s="215" t="n"/>
      <c r="R1555" s="215" t="n"/>
      <c r="S1555" s="215" t="n"/>
      <c r="T1555" s="215" t="n"/>
      <c r="U1555" s="215" t="n"/>
      <c r="V1555" s="215" t="n"/>
      <c r="W1555" s="215" t="n"/>
      <c r="X1555" s="215" t="n"/>
      <c r="Y1555" s="215" t="n"/>
      <c r="Z1555" s="215" t="n"/>
      <c r="AA1555" s="215" t="n"/>
      <c r="AB1555" s="215" t="n"/>
      <c r="AC1555" s="215" t="n"/>
      <c r="AD1555" s="215" t="n"/>
      <c r="AE1555" s="215" t="n"/>
      <c r="AF1555" s="215" t="n"/>
      <c r="AG1555" s="215" t="n"/>
      <c r="AH1555" s="215" t="n"/>
      <c r="AI1555" s="215" t="n"/>
      <c r="AJ1555" s="215" t="n"/>
      <c r="AK1555" s="216" t="n"/>
    </row>
    <row r="1556" ht="15" customHeight="1">
      <c r="B1556" s="134" t="n"/>
      <c r="C1556" s="105" t="n"/>
      <c r="D1556" s="105" t="n"/>
      <c r="E1556" s="105" t="n"/>
      <c r="F1556" s="105" t="n"/>
      <c r="G1556" s="105" t="n"/>
      <c r="H1556" s="2" t="n"/>
      <c r="I1556" s="105" t="n"/>
      <c r="K1556" s="215" t="n"/>
      <c r="L1556" s="215" t="n"/>
      <c r="M1556" s="215" t="n"/>
      <c r="N1556" s="215" t="n"/>
      <c r="O1556" s="215" t="n"/>
      <c r="P1556" s="215" t="n"/>
      <c r="Q1556" s="215" t="n"/>
      <c r="R1556" s="215" t="n"/>
      <c r="S1556" s="215" t="n"/>
      <c r="T1556" s="215" t="n"/>
      <c r="U1556" s="215" t="n"/>
      <c r="V1556" s="215" t="n"/>
      <c r="W1556" s="215" t="n"/>
      <c r="X1556" s="215" t="n"/>
      <c r="Y1556" s="215" t="n"/>
      <c r="Z1556" s="215" t="n"/>
      <c r="AA1556" s="215" t="n"/>
      <c r="AB1556" s="215" t="n"/>
      <c r="AC1556" s="215" t="n"/>
      <c r="AD1556" s="215" t="n"/>
      <c r="AE1556" s="215" t="n"/>
      <c r="AF1556" s="215" t="n"/>
      <c r="AG1556" s="215" t="n"/>
      <c r="AH1556" s="215" t="n"/>
      <c r="AI1556" s="215" t="n"/>
      <c r="AJ1556" s="215" t="n"/>
      <c r="AK1556" s="216" t="n"/>
    </row>
    <row r="1557" ht="15" customHeight="1">
      <c r="B1557" s="134" t="n"/>
      <c r="C1557" s="105" t="n"/>
      <c r="D1557" s="105" t="n"/>
      <c r="E1557" s="105" t="n"/>
      <c r="F1557" s="105" t="n"/>
      <c r="G1557" s="105" t="n"/>
      <c r="H1557" s="2" t="n"/>
      <c r="I1557" s="105" t="n"/>
      <c r="K1557" s="215" t="n"/>
      <c r="L1557" s="215" t="n"/>
      <c r="M1557" s="215" t="n"/>
      <c r="N1557" s="215" t="n"/>
      <c r="O1557" s="215" t="n"/>
      <c r="P1557" s="215" t="n"/>
      <c r="Q1557" s="215" t="n"/>
      <c r="R1557" s="215" t="n"/>
      <c r="S1557" s="215" t="n"/>
      <c r="T1557" s="215" t="n"/>
      <c r="U1557" s="215" t="n"/>
      <c r="V1557" s="215" t="n"/>
      <c r="W1557" s="215" t="n"/>
      <c r="X1557" s="215" t="n"/>
      <c r="Y1557" s="215" t="n"/>
      <c r="Z1557" s="215" t="n"/>
      <c r="AA1557" s="215" t="n"/>
      <c r="AB1557" s="215" t="n"/>
      <c r="AC1557" s="215" t="n"/>
      <c r="AD1557" s="215" t="n"/>
      <c r="AE1557" s="215" t="n"/>
      <c r="AF1557" s="215" t="n"/>
      <c r="AG1557" s="215" t="n"/>
      <c r="AH1557" s="215" t="n"/>
      <c r="AI1557" s="215" t="n"/>
      <c r="AJ1557" s="215" t="n"/>
      <c r="AK1557" s="216" t="n"/>
    </row>
    <row r="1558" ht="15" customHeight="1">
      <c r="B1558" s="134" t="n"/>
      <c r="C1558" s="105" t="n"/>
      <c r="D1558" s="105" t="n"/>
      <c r="E1558" s="105" t="n"/>
      <c r="F1558" s="105" t="n"/>
      <c r="G1558" s="105" t="n"/>
      <c r="H1558" s="2" t="n"/>
      <c r="I1558" s="105" t="n"/>
      <c r="K1558" s="215" t="n"/>
      <c r="L1558" s="215" t="n"/>
      <c r="M1558" s="215" t="n"/>
      <c r="N1558" s="215" t="n"/>
      <c r="O1558" s="215" t="n"/>
      <c r="P1558" s="215" t="n"/>
      <c r="Q1558" s="215" t="n"/>
      <c r="R1558" s="215" t="n"/>
      <c r="S1558" s="215" t="n"/>
      <c r="T1558" s="215" t="n"/>
      <c r="U1558" s="215" t="n"/>
      <c r="V1558" s="215" t="n"/>
      <c r="W1558" s="215" t="n"/>
      <c r="X1558" s="215" t="n"/>
      <c r="Y1558" s="215" t="n"/>
      <c r="Z1558" s="215" t="n"/>
      <c r="AA1558" s="215" t="n"/>
      <c r="AB1558" s="215" t="n"/>
      <c r="AC1558" s="215" t="n"/>
      <c r="AD1558" s="215" t="n"/>
      <c r="AE1558" s="215" t="n"/>
      <c r="AF1558" s="215" t="n"/>
      <c r="AG1558" s="215" t="n"/>
      <c r="AH1558" s="215" t="n"/>
      <c r="AI1558" s="215" t="n"/>
      <c r="AJ1558" s="215" t="n"/>
      <c r="AK1558" s="216" t="n"/>
    </row>
    <row r="1559" ht="15" customHeight="1">
      <c r="B1559" s="134" t="n"/>
      <c r="C1559" s="105" t="n"/>
      <c r="D1559" s="105" t="n"/>
      <c r="E1559" s="105" t="n"/>
      <c r="F1559" s="105" t="n"/>
      <c r="G1559" s="105" t="n"/>
      <c r="H1559" s="2" t="n"/>
      <c r="I1559" s="105" t="n"/>
      <c r="K1559" s="215" t="n"/>
      <c r="L1559" s="215" t="n"/>
      <c r="M1559" s="215" t="n"/>
      <c r="N1559" s="215" t="n"/>
      <c r="O1559" s="215" t="n"/>
      <c r="P1559" s="215" t="n"/>
      <c r="Q1559" s="215" t="n"/>
      <c r="R1559" s="215" t="n"/>
      <c r="S1559" s="215" t="n"/>
      <c r="T1559" s="215" t="n"/>
      <c r="U1559" s="215" t="n"/>
      <c r="V1559" s="215" t="n"/>
      <c r="W1559" s="215" t="n"/>
      <c r="X1559" s="215" t="n"/>
      <c r="Y1559" s="215" t="n"/>
      <c r="Z1559" s="215" t="n"/>
      <c r="AA1559" s="215" t="n"/>
      <c r="AB1559" s="215" t="n"/>
      <c r="AC1559" s="215" t="n"/>
      <c r="AD1559" s="215" t="n"/>
      <c r="AE1559" s="215" t="n"/>
      <c r="AF1559" s="215" t="n"/>
      <c r="AG1559" s="215" t="n"/>
      <c r="AH1559" s="215" t="n"/>
      <c r="AI1559" s="215" t="n"/>
      <c r="AJ1559" s="215" t="n"/>
      <c r="AK1559" s="216" t="n"/>
    </row>
    <row r="1560" ht="15" customHeight="1">
      <c r="B1560" s="134" t="n"/>
      <c r="C1560" s="105" t="n"/>
      <c r="D1560" s="105" t="n"/>
      <c r="E1560" s="105" t="n"/>
      <c r="F1560" s="105" t="n"/>
      <c r="G1560" s="105" t="n"/>
      <c r="H1560" s="2" t="n"/>
      <c r="I1560" s="105" t="n"/>
      <c r="K1560" s="215" t="n"/>
      <c r="L1560" s="215" t="n"/>
      <c r="M1560" s="215" t="n"/>
      <c r="N1560" s="215" t="n"/>
      <c r="O1560" s="215" t="n"/>
      <c r="P1560" s="215" t="n"/>
      <c r="Q1560" s="215" t="n"/>
      <c r="R1560" s="215" t="n"/>
      <c r="S1560" s="215" t="n"/>
      <c r="T1560" s="215" t="n"/>
      <c r="U1560" s="215" t="n"/>
      <c r="V1560" s="215" t="n"/>
      <c r="W1560" s="215" t="n"/>
      <c r="X1560" s="215" t="n"/>
      <c r="Y1560" s="215" t="n"/>
      <c r="Z1560" s="215" t="n"/>
      <c r="AA1560" s="215" t="n"/>
      <c r="AB1560" s="215" t="n"/>
      <c r="AC1560" s="215" t="n"/>
      <c r="AD1560" s="215" t="n"/>
      <c r="AE1560" s="215" t="n"/>
      <c r="AF1560" s="215" t="n"/>
      <c r="AG1560" s="215" t="n"/>
      <c r="AH1560" s="215" t="n"/>
      <c r="AI1560" s="215" t="n"/>
      <c r="AJ1560" s="215" t="n"/>
      <c r="AK1560" s="216" t="n"/>
    </row>
    <row r="1561" ht="15" customHeight="1">
      <c r="B1561" s="134" t="n"/>
      <c r="C1561" s="105" t="n"/>
      <c r="D1561" s="105" t="n"/>
      <c r="E1561" s="105" t="n"/>
      <c r="F1561" s="105" t="n"/>
      <c r="G1561" s="105" t="n"/>
      <c r="H1561" s="2" t="n"/>
      <c r="I1561" s="105" t="n"/>
      <c r="K1561" s="215" t="n"/>
      <c r="L1561" s="215" t="n"/>
      <c r="M1561" s="215" t="n"/>
      <c r="N1561" s="215" t="n"/>
      <c r="O1561" s="215" t="n"/>
      <c r="P1561" s="215" t="n"/>
      <c r="Q1561" s="215" t="n"/>
      <c r="R1561" s="215" t="n"/>
      <c r="S1561" s="215" t="n"/>
      <c r="T1561" s="215" t="n"/>
      <c r="U1561" s="215" t="n"/>
      <c r="V1561" s="215" t="n"/>
      <c r="W1561" s="215" t="n"/>
      <c r="X1561" s="215" t="n"/>
      <c r="Y1561" s="215" t="n"/>
      <c r="Z1561" s="215" t="n"/>
      <c r="AA1561" s="215" t="n"/>
      <c r="AB1561" s="215" t="n"/>
      <c r="AC1561" s="215" t="n"/>
      <c r="AD1561" s="215" t="n"/>
      <c r="AE1561" s="215" t="n"/>
      <c r="AF1561" s="215" t="n"/>
      <c r="AG1561" s="215" t="n"/>
      <c r="AH1561" s="215" t="n"/>
      <c r="AI1561" s="215" t="n"/>
      <c r="AJ1561" s="215" t="n"/>
      <c r="AK1561" s="216" t="n"/>
    </row>
    <row r="1562" ht="15" customHeight="1">
      <c r="B1562" s="134" t="n"/>
      <c r="C1562" s="105" t="n"/>
      <c r="D1562" s="105" t="n"/>
      <c r="E1562" s="105" t="n"/>
      <c r="F1562" s="105" t="n"/>
      <c r="G1562" s="105" t="n"/>
      <c r="H1562" s="2" t="n"/>
      <c r="I1562" s="105" t="n"/>
      <c r="K1562" s="215" t="n"/>
      <c r="L1562" s="215" t="n"/>
      <c r="M1562" s="215" t="n"/>
      <c r="N1562" s="215" t="n"/>
      <c r="O1562" s="215" t="n"/>
      <c r="P1562" s="215" t="n"/>
      <c r="Q1562" s="215" t="n"/>
      <c r="R1562" s="215" t="n"/>
      <c r="S1562" s="215" t="n"/>
      <c r="T1562" s="215" t="n"/>
      <c r="U1562" s="215" t="n"/>
      <c r="V1562" s="215" t="n"/>
      <c r="W1562" s="215" t="n"/>
      <c r="X1562" s="215" t="n"/>
      <c r="Y1562" s="215" t="n"/>
      <c r="Z1562" s="215" t="n"/>
      <c r="AA1562" s="215" t="n"/>
      <c r="AB1562" s="215" t="n"/>
      <c r="AC1562" s="215" t="n"/>
      <c r="AD1562" s="215" t="n"/>
      <c r="AE1562" s="215" t="n"/>
      <c r="AF1562" s="215" t="n"/>
      <c r="AG1562" s="215" t="n"/>
      <c r="AH1562" s="215" t="n"/>
      <c r="AI1562" s="215" t="n"/>
      <c r="AJ1562" s="215" t="n"/>
      <c r="AK1562" s="216" t="n"/>
    </row>
    <row r="1563" ht="15" customHeight="1">
      <c r="B1563" s="134" t="n"/>
      <c r="C1563" s="105" t="n"/>
      <c r="D1563" s="105" t="n"/>
      <c r="E1563" s="105" t="n"/>
      <c r="F1563" s="105" t="n"/>
      <c r="G1563" s="105" t="n"/>
      <c r="H1563" s="2" t="n"/>
      <c r="I1563" s="105" t="n"/>
      <c r="K1563" s="215" t="n"/>
      <c r="L1563" s="215" t="n"/>
      <c r="M1563" s="215" t="n"/>
      <c r="N1563" s="215" t="n"/>
      <c r="O1563" s="215" t="n"/>
      <c r="P1563" s="215" t="n"/>
      <c r="Q1563" s="215" t="n"/>
      <c r="R1563" s="215" t="n"/>
      <c r="S1563" s="215" t="n"/>
      <c r="T1563" s="215" t="n"/>
      <c r="U1563" s="215" t="n"/>
      <c r="V1563" s="215" t="n"/>
      <c r="W1563" s="215" t="n"/>
      <c r="X1563" s="215" t="n"/>
      <c r="Y1563" s="215" t="n"/>
      <c r="Z1563" s="215" t="n"/>
      <c r="AA1563" s="215" t="n"/>
      <c r="AB1563" s="215" t="n"/>
      <c r="AC1563" s="215" t="n"/>
      <c r="AD1563" s="215" t="n"/>
      <c r="AE1563" s="215" t="n"/>
      <c r="AF1563" s="215" t="n"/>
      <c r="AG1563" s="215" t="n"/>
      <c r="AH1563" s="215" t="n"/>
      <c r="AI1563" s="215" t="n"/>
      <c r="AJ1563" s="215" t="n"/>
      <c r="AK1563" s="216" t="n"/>
    </row>
    <row r="1564" ht="15" customHeight="1">
      <c r="B1564" s="134" t="n"/>
      <c r="C1564" s="105" t="n"/>
      <c r="D1564" s="105" t="n"/>
      <c r="E1564" s="105" t="n"/>
      <c r="F1564" s="105" t="n"/>
      <c r="G1564" s="105" t="n"/>
      <c r="H1564" s="2" t="n"/>
      <c r="I1564" s="105" t="n"/>
      <c r="K1564" s="215" t="n"/>
      <c r="L1564" s="215" t="n"/>
      <c r="M1564" s="215" t="n"/>
      <c r="N1564" s="215" t="n"/>
      <c r="O1564" s="215" t="n"/>
      <c r="P1564" s="215" t="n"/>
      <c r="Q1564" s="215" t="n"/>
      <c r="R1564" s="215" t="n"/>
      <c r="S1564" s="215" t="n"/>
      <c r="T1564" s="215" t="n"/>
      <c r="U1564" s="215" t="n"/>
      <c r="V1564" s="215" t="n"/>
      <c r="W1564" s="215" t="n"/>
      <c r="X1564" s="215" t="n"/>
      <c r="Y1564" s="215" t="n"/>
      <c r="Z1564" s="215" t="n"/>
      <c r="AA1564" s="215" t="n"/>
      <c r="AB1564" s="215" t="n"/>
      <c r="AC1564" s="215" t="n"/>
      <c r="AD1564" s="215" t="n"/>
      <c r="AE1564" s="215" t="n"/>
      <c r="AF1564" s="215" t="n"/>
      <c r="AG1564" s="215" t="n"/>
      <c r="AH1564" s="215" t="n"/>
      <c r="AI1564" s="215" t="n"/>
      <c r="AJ1564" s="215" t="n"/>
      <c r="AK1564" s="216" t="n"/>
    </row>
    <row r="1565" ht="15" customHeight="1">
      <c r="B1565" s="134" t="n"/>
      <c r="C1565" s="105" t="n"/>
      <c r="D1565" s="105" t="n"/>
      <c r="E1565" s="105" t="n"/>
      <c r="F1565" s="105" t="n"/>
      <c r="G1565" s="105" t="n"/>
      <c r="H1565" s="2" t="n"/>
      <c r="I1565" s="105" t="n"/>
      <c r="K1565" s="215" t="n"/>
      <c r="L1565" s="215" t="n"/>
      <c r="M1565" s="215" t="n"/>
      <c r="N1565" s="215" t="n"/>
      <c r="O1565" s="215" t="n"/>
      <c r="P1565" s="215" t="n"/>
      <c r="Q1565" s="215" t="n"/>
      <c r="R1565" s="215" t="n"/>
      <c r="S1565" s="215" t="n"/>
      <c r="T1565" s="215" t="n"/>
      <c r="U1565" s="215" t="n"/>
      <c r="V1565" s="215" t="n"/>
      <c r="W1565" s="215" t="n"/>
      <c r="X1565" s="215" t="n"/>
      <c r="Y1565" s="215" t="n"/>
      <c r="Z1565" s="215" t="n"/>
      <c r="AA1565" s="215" t="n"/>
      <c r="AB1565" s="215" t="n"/>
      <c r="AC1565" s="215" t="n"/>
      <c r="AD1565" s="215" t="n"/>
      <c r="AE1565" s="215" t="n"/>
      <c r="AF1565" s="215" t="n"/>
      <c r="AG1565" s="215" t="n"/>
      <c r="AH1565" s="215" t="n"/>
      <c r="AI1565" s="215" t="n"/>
      <c r="AJ1565" s="215" t="n"/>
      <c r="AK1565" s="216" t="n"/>
    </row>
    <row r="1566" ht="15" customHeight="1">
      <c r="B1566" s="134" t="n"/>
      <c r="C1566" s="105" t="n"/>
      <c r="D1566" s="105" t="n"/>
      <c r="E1566" s="105" t="n"/>
      <c r="F1566" s="105" t="n"/>
      <c r="G1566" s="105" t="n"/>
      <c r="H1566" s="2" t="n"/>
      <c r="I1566" s="105" t="n"/>
      <c r="K1566" s="215" t="n"/>
      <c r="L1566" s="215" t="n"/>
      <c r="M1566" s="215" t="n"/>
      <c r="N1566" s="215" t="n"/>
      <c r="O1566" s="215" t="n"/>
      <c r="P1566" s="215" t="n"/>
      <c r="Q1566" s="215" t="n"/>
      <c r="R1566" s="215" t="n"/>
      <c r="S1566" s="215" t="n"/>
      <c r="T1566" s="215" t="n"/>
      <c r="U1566" s="215" t="n"/>
      <c r="V1566" s="215" t="n"/>
      <c r="W1566" s="215" t="n"/>
      <c r="X1566" s="215" t="n"/>
      <c r="Y1566" s="215" t="n"/>
      <c r="Z1566" s="215" t="n"/>
      <c r="AA1566" s="215" t="n"/>
      <c r="AB1566" s="215" t="n"/>
      <c r="AC1566" s="215" t="n"/>
      <c r="AD1566" s="215" t="n"/>
      <c r="AE1566" s="215" t="n"/>
      <c r="AF1566" s="215" t="n"/>
      <c r="AG1566" s="215" t="n"/>
      <c r="AH1566" s="215" t="n"/>
      <c r="AI1566" s="215" t="n"/>
      <c r="AJ1566" s="215" t="n"/>
      <c r="AK1566" s="216" t="n"/>
    </row>
    <row r="1567" ht="15" customHeight="1">
      <c r="B1567" s="134" t="n"/>
      <c r="C1567" s="105" t="n"/>
      <c r="D1567" s="105" t="n"/>
      <c r="E1567" s="105" t="n"/>
      <c r="F1567" s="105" t="n"/>
      <c r="G1567" s="105" t="n"/>
      <c r="H1567" s="2" t="n"/>
      <c r="I1567" s="105" t="n"/>
      <c r="K1567" s="215" t="n"/>
      <c r="L1567" s="215" t="n"/>
      <c r="M1567" s="215" t="n"/>
      <c r="N1567" s="215" t="n"/>
      <c r="O1567" s="215" t="n"/>
      <c r="P1567" s="215" t="n"/>
      <c r="Q1567" s="215" t="n"/>
      <c r="R1567" s="215" t="n"/>
      <c r="S1567" s="215" t="n"/>
      <c r="T1567" s="215" t="n"/>
      <c r="U1567" s="215" t="n"/>
      <c r="V1567" s="215" t="n"/>
      <c r="W1567" s="215" t="n"/>
      <c r="X1567" s="215" t="n"/>
      <c r="Y1567" s="215" t="n"/>
      <c r="Z1567" s="215" t="n"/>
      <c r="AA1567" s="215" t="n"/>
      <c r="AB1567" s="215" t="n"/>
      <c r="AC1567" s="215" t="n"/>
      <c r="AD1567" s="215" t="n"/>
      <c r="AE1567" s="215" t="n"/>
      <c r="AF1567" s="215" t="n"/>
      <c r="AG1567" s="215" t="n"/>
      <c r="AH1567" s="215" t="n"/>
      <c r="AI1567" s="215" t="n"/>
      <c r="AJ1567" s="215" t="n"/>
      <c r="AK1567" s="216" t="n"/>
    </row>
    <row r="1568" ht="15" customHeight="1">
      <c r="B1568" s="134" t="n"/>
      <c r="C1568" s="105" t="n"/>
      <c r="D1568" s="105" t="n"/>
      <c r="E1568" s="105" t="n"/>
      <c r="F1568" s="105" t="n"/>
      <c r="G1568" s="105" t="n"/>
      <c r="H1568" s="2" t="n"/>
      <c r="I1568" s="105" t="n"/>
      <c r="K1568" s="215" t="n"/>
      <c r="L1568" s="215" t="n"/>
      <c r="M1568" s="215" t="n"/>
      <c r="N1568" s="215" t="n"/>
      <c r="O1568" s="215" t="n"/>
      <c r="P1568" s="215" t="n"/>
      <c r="Q1568" s="215" t="n"/>
      <c r="R1568" s="215" t="n"/>
      <c r="S1568" s="215" t="n"/>
      <c r="T1568" s="215" t="n"/>
      <c r="U1568" s="215" t="n"/>
      <c r="V1568" s="215" t="n"/>
      <c r="W1568" s="215" t="n"/>
      <c r="X1568" s="215" t="n"/>
      <c r="Y1568" s="215" t="n"/>
      <c r="Z1568" s="215" t="n"/>
      <c r="AA1568" s="215" t="n"/>
      <c r="AB1568" s="215" t="n"/>
      <c r="AC1568" s="215" t="n"/>
      <c r="AD1568" s="215" t="n"/>
      <c r="AE1568" s="215" t="n"/>
      <c r="AF1568" s="215" t="n"/>
      <c r="AG1568" s="215" t="n"/>
      <c r="AH1568" s="215" t="n"/>
      <c r="AI1568" s="215" t="n"/>
      <c r="AJ1568" s="215" t="n"/>
      <c r="AK1568" s="216" t="n"/>
    </row>
    <row r="1569" ht="15" customHeight="1">
      <c r="B1569" s="134" t="n"/>
      <c r="C1569" s="105" t="n"/>
      <c r="D1569" s="105" t="n"/>
      <c r="E1569" s="105" t="n"/>
      <c r="F1569" s="105" t="n"/>
      <c r="G1569" s="105" t="n"/>
      <c r="H1569" s="2" t="n"/>
      <c r="I1569" s="105" t="n"/>
      <c r="K1569" s="215" t="n"/>
      <c r="L1569" s="215" t="n"/>
      <c r="M1569" s="215" t="n"/>
      <c r="N1569" s="215" t="n"/>
      <c r="O1569" s="215" t="n"/>
      <c r="P1569" s="215" t="n"/>
      <c r="Q1569" s="215" t="n"/>
      <c r="R1569" s="215" t="n"/>
      <c r="S1569" s="215" t="n"/>
      <c r="T1569" s="215" t="n"/>
      <c r="U1569" s="215" t="n"/>
      <c r="V1569" s="215" t="n"/>
      <c r="W1569" s="215" t="n"/>
      <c r="X1569" s="215" t="n"/>
      <c r="Y1569" s="215" t="n"/>
      <c r="Z1569" s="215" t="n"/>
      <c r="AA1569" s="215" t="n"/>
      <c r="AB1569" s="215" t="n"/>
      <c r="AC1569" s="215" t="n"/>
      <c r="AD1569" s="215" t="n"/>
      <c r="AE1569" s="215" t="n"/>
      <c r="AF1569" s="215" t="n"/>
      <c r="AG1569" s="215" t="n"/>
      <c r="AH1569" s="215" t="n"/>
      <c r="AI1569" s="215" t="n"/>
      <c r="AJ1569" s="215" t="n"/>
      <c r="AK1569" s="216" t="n"/>
    </row>
    <row r="1570" ht="15" customHeight="1">
      <c r="B1570" s="134" t="n"/>
      <c r="C1570" s="105" t="n"/>
      <c r="D1570" s="105" t="n"/>
      <c r="E1570" s="105" t="n"/>
      <c r="F1570" s="105" t="n"/>
      <c r="G1570" s="105" t="n"/>
      <c r="H1570" s="2" t="n"/>
      <c r="I1570" s="105" t="n"/>
      <c r="K1570" s="215" t="n"/>
      <c r="L1570" s="215" t="n"/>
      <c r="M1570" s="215" t="n"/>
      <c r="N1570" s="215" t="n"/>
      <c r="O1570" s="215" t="n"/>
      <c r="P1570" s="215" t="n"/>
      <c r="Q1570" s="215" t="n"/>
      <c r="R1570" s="215" t="n"/>
      <c r="S1570" s="215" t="n"/>
      <c r="T1570" s="215" t="n"/>
      <c r="U1570" s="215" t="n"/>
      <c r="V1570" s="215" t="n"/>
      <c r="W1570" s="215" t="n"/>
      <c r="X1570" s="215" t="n"/>
      <c r="Y1570" s="215" t="n"/>
      <c r="Z1570" s="215" t="n"/>
      <c r="AA1570" s="215" t="n"/>
      <c r="AB1570" s="215" t="n"/>
      <c r="AC1570" s="215" t="n"/>
      <c r="AD1570" s="215" t="n"/>
      <c r="AE1570" s="215" t="n"/>
      <c r="AF1570" s="215" t="n"/>
      <c r="AG1570" s="215" t="n"/>
      <c r="AH1570" s="215" t="n"/>
      <c r="AI1570" s="215" t="n"/>
      <c r="AJ1570" s="215" t="n"/>
      <c r="AK1570" s="216" t="n"/>
    </row>
    <row r="1571" ht="15" customHeight="1">
      <c r="B1571" s="134" t="n"/>
      <c r="C1571" s="105" t="n"/>
      <c r="D1571" s="105" t="n"/>
      <c r="E1571" s="105" t="n"/>
      <c r="F1571" s="105" t="n"/>
      <c r="G1571" s="105" t="n"/>
      <c r="H1571" s="2" t="n"/>
      <c r="I1571" s="105" t="n"/>
      <c r="K1571" s="215" t="n"/>
      <c r="L1571" s="215" t="n"/>
      <c r="M1571" s="215" t="n"/>
      <c r="N1571" s="215" t="n"/>
      <c r="O1571" s="215" t="n"/>
      <c r="P1571" s="215" t="n"/>
      <c r="Q1571" s="215" t="n"/>
      <c r="R1571" s="215" t="n"/>
      <c r="S1571" s="215" t="n"/>
      <c r="T1571" s="215" t="n"/>
      <c r="U1571" s="215" t="n"/>
      <c r="V1571" s="215" t="n"/>
      <c r="W1571" s="215" t="n"/>
      <c r="X1571" s="215" t="n"/>
      <c r="Y1571" s="215" t="n"/>
      <c r="Z1571" s="215" t="n"/>
      <c r="AA1571" s="215" t="n"/>
      <c r="AB1571" s="215" t="n"/>
      <c r="AC1571" s="215" t="n"/>
      <c r="AD1571" s="215" t="n"/>
      <c r="AE1571" s="215" t="n"/>
      <c r="AF1571" s="215" t="n"/>
      <c r="AG1571" s="215" t="n"/>
      <c r="AH1571" s="215" t="n"/>
      <c r="AI1571" s="215" t="n"/>
      <c r="AJ1571" s="215" t="n"/>
      <c r="AK1571" s="216" t="n"/>
    </row>
    <row r="1572" ht="15" customHeight="1">
      <c r="B1572" s="134" t="n"/>
      <c r="C1572" s="105" t="n"/>
      <c r="D1572" s="105" t="n"/>
      <c r="E1572" s="105" t="n"/>
      <c r="F1572" s="105" t="n"/>
      <c r="G1572" s="105" t="n"/>
      <c r="H1572" s="2" t="n"/>
      <c r="I1572" s="105" t="n"/>
      <c r="K1572" s="215" t="n"/>
      <c r="L1572" s="215" t="n"/>
      <c r="M1572" s="215" t="n"/>
      <c r="N1572" s="215" t="n"/>
      <c r="O1572" s="215" t="n"/>
      <c r="P1572" s="215" t="n"/>
      <c r="Q1572" s="215" t="n"/>
      <c r="R1572" s="215" t="n"/>
      <c r="S1572" s="215" t="n"/>
      <c r="T1572" s="215" t="n"/>
      <c r="U1572" s="215" t="n"/>
      <c r="V1572" s="215" t="n"/>
      <c r="W1572" s="215" t="n"/>
      <c r="X1572" s="215" t="n"/>
      <c r="Y1572" s="215" t="n"/>
      <c r="Z1572" s="215" t="n"/>
      <c r="AA1572" s="215" t="n"/>
      <c r="AB1572" s="215" t="n"/>
      <c r="AC1572" s="215" t="n"/>
      <c r="AD1572" s="215" t="n"/>
      <c r="AE1572" s="215" t="n"/>
      <c r="AF1572" s="215" t="n"/>
      <c r="AG1572" s="215" t="n"/>
      <c r="AH1572" s="215" t="n"/>
      <c r="AI1572" s="215" t="n"/>
      <c r="AJ1572" s="215" t="n"/>
      <c r="AK1572" s="216" t="n"/>
    </row>
    <row r="1573" ht="15" customHeight="1">
      <c r="B1573" s="134" t="n"/>
      <c r="C1573" s="105" t="n"/>
      <c r="D1573" s="105" t="n"/>
      <c r="E1573" s="105" t="n"/>
      <c r="F1573" s="105" t="n"/>
      <c r="G1573" s="105" t="n"/>
      <c r="H1573" s="2" t="n"/>
      <c r="I1573" s="105" t="n"/>
      <c r="K1573" s="215" t="n"/>
      <c r="L1573" s="215" t="n"/>
      <c r="M1573" s="215" t="n"/>
      <c r="N1573" s="215" t="n"/>
      <c r="O1573" s="215" t="n"/>
      <c r="P1573" s="215" t="n"/>
      <c r="Q1573" s="215" t="n"/>
      <c r="R1573" s="215" t="n"/>
      <c r="S1573" s="215" t="n"/>
      <c r="T1573" s="215" t="n"/>
      <c r="U1573" s="215" t="n"/>
      <c r="V1573" s="215" t="n"/>
      <c r="W1573" s="215" t="n"/>
      <c r="X1573" s="215" t="n"/>
      <c r="Y1573" s="215" t="n"/>
      <c r="Z1573" s="215" t="n"/>
      <c r="AA1573" s="215" t="n"/>
      <c r="AB1573" s="215" t="n"/>
      <c r="AC1573" s="215" t="n"/>
      <c r="AD1573" s="215" t="n"/>
      <c r="AE1573" s="215" t="n"/>
      <c r="AF1573" s="215" t="n"/>
      <c r="AG1573" s="215" t="n"/>
      <c r="AH1573" s="215" t="n"/>
      <c r="AI1573" s="215" t="n"/>
      <c r="AJ1573" s="215" t="n"/>
      <c r="AK1573" s="216" t="n"/>
    </row>
    <row r="1574" ht="15" customHeight="1">
      <c r="B1574" s="134" t="n"/>
      <c r="C1574" s="105" t="n"/>
      <c r="D1574" s="105" t="n"/>
      <c r="E1574" s="105" t="n"/>
      <c r="F1574" s="105" t="n"/>
      <c r="G1574" s="105" t="n"/>
      <c r="H1574" s="2" t="n"/>
      <c r="I1574" s="105" t="n"/>
      <c r="K1574" s="215" t="n"/>
      <c r="L1574" s="215" t="n"/>
      <c r="M1574" s="215" t="n"/>
      <c r="N1574" s="215" t="n"/>
      <c r="O1574" s="215" t="n"/>
      <c r="P1574" s="215" t="n"/>
      <c r="Q1574" s="215" t="n"/>
      <c r="R1574" s="215" t="n"/>
      <c r="S1574" s="215" t="n"/>
      <c r="T1574" s="215" t="n"/>
      <c r="U1574" s="215" t="n"/>
      <c r="V1574" s="215" t="n"/>
      <c r="W1574" s="215" t="n"/>
      <c r="X1574" s="215" t="n"/>
      <c r="Y1574" s="215" t="n"/>
      <c r="Z1574" s="215" t="n"/>
      <c r="AA1574" s="215" t="n"/>
      <c r="AB1574" s="215" t="n"/>
      <c r="AC1574" s="215" t="n"/>
      <c r="AD1574" s="215" t="n"/>
      <c r="AE1574" s="215" t="n"/>
      <c r="AF1574" s="215" t="n"/>
      <c r="AG1574" s="215" t="n"/>
      <c r="AH1574" s="215" t="n"/>
      <c r="AI1574" s="215" t="n"/>
      <c r="AJ1574" s="215" t="n"/>
      <c r="AK1574" s="216" t="n"/>
    </row>
    <row r="1575" ht="15" customHeight="1">
      <c r="B1575" s="134" t="n"/>
      <c r="C1575" s="105" t="n"/>
      <c r="D1575" s="105" t="n"/>
      <c r="E1575" s="105" t="n"/>
      <c r="F1575" s="105" t="n"/>
      <c r="G1575" s="105" t="n"/>
      <c r="H1575" s="2" t="n"/>
      <c r="I1575" s="105" t="n"/>
      <c r="K1575" s="215" t="n"/>
      <c r="L1575" s="215" t="n"/>
      <c r="M1575" s="215" t="n"/>
      <c r="N1575" s="215" t="n"/>
      <c r="O1575" s="215" t="n"/>
      <c r="P1575" s="215" t="n"/>
      <c r="Q1575" s="215" t="n"/>
      <c r="R1575" s="215" t="n"/>
      <c r="S1575" s="215" t="n"/>
      <c r="T1575" s="215" t="n"/>
      <c r="U1575" s="215" t="n"/>
      <c r="V1575" s="215" t="n"/>
      <c r="W1575" s="215" t="n"/>
      <c r="X1575" s="215" t="n"/>
      <c r="Y1575" s="215" t="n"/>
      <c r="Z1575" s="215" t="n"/>
      <c r="AA1575" s="215" t="n"/>
      <c r="AB1575" s="215" t="n"/>
      <c r="AC1575" s="215" t="n"/>
      <c r="AD1575" s="215" t="n"/>
      <c r="AE1575" s="215" t="n"/>
      <c r="AF1575" s="215" t="n"/>
      <c r="AG1575" s="215" t="n"/>
      <c r="AH1575" s="215" t="n"/>
      <c r="AI1575" s="215" t="n"/>
      <c r="AJ1575" s="215" t="n"/>
      <c r="AK1575" s="216" t="n"/>
    </row>
    <row r="1576" ht="15" customHeight="1">
      <c r="B1576" s="134" t="n"/>
      <c r="C1576" s="105" t="n"/>
      <c r="D1576" s="105" t="n"/>
      <c r="E1576" s="105" t="n"/>
      <c r="F1576" s="105" t="n"/>
      <c r="G1576" s="105" t="n"/>
      <c r="H1576" s="2" t="n"/>
      <c r="I1576" s="105" t="n"/>
      <c r="K1576" s="215" t="n"/>
      <c r="L1576" s="215" t="n"/>
      <c r="M1576" s="215" t="n"/>
      <c r="N1576" s="215" t="n"/>
      <c r="O1576" s="215" t="n"/>
      <c r="P1576" s="215" t="n"/>
      <c r="Q1576" s="215" t="n"/>
      <c r="R1576" s="215" t="n"/>
      <c r="S1576" s="215" t="n"/>
      <c r="T1576" s="215" t="n"/>
      <c r="U1576" s="215" t="n"/>
      <c r="V1576" s="215" t="n"/>
      <c r="W1576" s="215" t="n"/>
      <c r="X1576" s="215" t="n"/>
      <c r="Y1576" s="215" t="n"/>
      <c r="Z1576" s="215" t="n"/>
      <c r="AA1576" s="215" t="n"/>
      <c r="AB1576" s="215" t="n"/>
      <c r="AC1576" s="215" t="n"/>
      <c r="AD1576" s="215" t="n"/>
      <c r="AE1576" s="215" t="n"/>
      <c r="AF1576" s="215" t="n"/>
      <c r="AG1576" s="215" t="n"/>
      <c r="AH1576" s="215" t="n"/>
      <c r="AI1576" s="215" t="n"/>
      <c r="AJ1576" s="215" t="n"/>
      <c r="AK1576" s="216" t="n"/>
    </row>
    <row r="1577" ht="15" customHeight="1">
      <c r="B1577" s="134" t="n"/>
      <c r="C1577" s="105" t="n"/>
      <c r="D1577" s="105" t="n"/>
      <c r="E1577" s="105" t="n"/>
      <c r="F1577" s="105" t="n"/>
      <c r="G1577" s="105" t="n"/>
      <c r="H1577" s="2" t="n"/>
      <c r="I1577" s="105" t="n"/>
      <c r="K1577" s="215" t="n"/>
      <c r="L1577" s="215" t="n"/>
      <c r="M1577" s="215" t="n"/>
      <c r="N1577" s="215" t="n"/>
      <c r="O1577" s="215" t="n"/>
      <c r="P1577" s="215" t="n"/>
      <c r="Q1577" s="215" t="n"/>
      <c r="R1577" s="215" t="n"/>
      <c r="S1577" s="215" t="n"/>
      <c r="T1577" s="215" t="n"/>
      <c r="U1577" s="215" t="n"/>
      <c r="V1577" s="215" t="n"/>
      <c r="W1577" s="215" t="n"/>
      <c r="X1577" s="215" t="n"/>
      <c r="Y1577" s="215" t="n"/>
      <c r="Z1577" s="215" t="n"/>
      <c r="AA1577" s="215" t="n"/>
      <c r="AB1577" s="215" t="n"/>
      <c r="AC1577" s="215" t="n"/>
      <c r="AD1577" s="215" t="n"/>
      <c r="AE1577" s="215" t="n"/>
      <c r="AF1577" s="215" t="n"/>
      <c r="AG1577" s="215" t="n"/>
      <c r="AH1577" s="215" t="n"/>
      <c r="AI1577" s="215" t="n"/>
      <c r="AJ1577" s="215" t="n"/>
      <c r="AK1577" s="216" t="n"/>
    </row>
    <row r="1578" ht="15" customHeight="1">
      <c r="B1578" s="134" t="n"/>
      <c r="C1578" s="105" t="n"/>
      <c r="D1578" s="105" t="n"/>
      <c r="E1578" s="105" t="n"/>
      <c r="F1578" s="105" t="n"/>
      <c r="G1578" s="105" t="n"/>
      <c r="H1578" s="2" t="n"/>
      <c r="I1578" s="105" t="n"/>
      <c r="K1578" s="215" t="n"/>
      <c r="L1578" s="215" t="n"/>
      <c r="M1578" s="215" t="n"/>
      <c r="N1578" s="215" t="n"/>
      <c r="O1578" s="215" t="n"/>
      <c r="P1578" s="215" t="n"/>
      <c r="Q1578" s="215" t="n"/>
      <c r="R1578" s="215" t="n"/>
      <c r="S1578" s="215" t="n"/>
      <c r="T1578" s="215" t="n"/>
      <c r="U1578" s="215" t="n"/>
      <c r="V1578" s="215" t="n"/>
      <c r="W1578" s="215" t="n"/>
      <c r="X1578" s="215" t="n"/>
      <c r="Y1578" s="215" t="n"/>
      <c r="Z1578" s="215" t="n"/>
      <c r="AA1578" s="215" t="n"/>
      <c r="AB1578" s="215" t="n"/>
      <c r="AC1578" s="215" t="n"/>
      <c r="AD1578" s="215" t="n"/>
      <c r="AE1578" s="215" t="n"/>
      <c r="AF1578" s="215" t="n"/>
      <c r="AG1578" s="215" t="n"/>
      <c r="AH1578" s="215" t="n"/>
      <c r="AI1578" s="215" t="n"/>
      <c r="AJ1578" s="215" t="n"/>
      <c r="AK1578" s="216" t="n"/>
    </row>
    <row r="1579" ht="15" customHeight="1">
      <c r="B1579" s="134" t="n"/>
      <c r="C1579" s="105" t="n"/>
      <c r="D1579" s="105" t="n"/>
      <c r="E1579" s="105" t="n"/>
      <c r="F1579" s="105" t="n"/>
      <c r="G1579" s="105" t="n"/>
      <c r="H1579" s="2" t="n"/>
      <c r="I1579" s="105" t="n"/>
      <c r="K1579" s="215" t="n"/>
      <c r="L1579" s="215" t="n"/>
      <c r="M1579" s="215" t="n"/>
      <c r="N1579" s="215" t="n"/>
      <c r="O1579" s="215" t="n"/>
      <c r="P1579" s="215" t="n"/>
      <c r="Q1579" s="215" t="n"/>
      <c r="R1579" s="215" t="n"/>
      <c r="S1579" s="215" t="n"/>
      <c r="T1579" s="215" t="n"/>
      <c r="U1579" s="215" t="n"/>
      <c r="V1579" s="215" t="n"/>
      <c r="W1579" s="215" t="n"/>
      <c r="X1579" s="215" t="n"/>
      <c r="Y1579" s="215" t="n"/>
      <c r="Z1579" s="215" t="n"/>
      <c r="AA1579" s="215" t="n"/>
      <c r="AB1579" s="215" t="n"/>
      <c r="AC1579" s="215" t="n"/>
      <c r="AD1579" s="215" t="n"/>
      <c r="AE1579" s="215" t="n"/>
      <c r="AF1579" s="215" t="n"/>
      <c r="AG1579" s="215" t="n"/>
      <c r="AH1579" s="215" t="n"/>
      <c r="AI1579" s="215" t="n"/>
      <c r="AJ1579" s="215" t="n"/>
      <c r="AK1579" s="216" t="n"/>
    </row>
    <row r="1580" ht="15" customHeight="1">
      <c r="B1580" s="134" t="n"/>
      <c r="C1580" s="105" t="n"/>
      <c r="D1580" s="105" t="n"/>
      <c r="E1580" s="105" t="n"/>
      <c r="F1580" s="105" t="n"/>
      <c r="G1580" s="105" t="n"/>
      <c r="H1580" s="2" t="n"/>
      <c r="I1580" s="105" t="n"/>
      <c r="K1580" s="215" t="n"/>
      <c r="L1580" s="215" t="n"/>
      <c r="M1580" s="215" t="n"/>
      <c r="N1580" s="215" t="n"/>
      <c r="O1580" s="215" t="n"/>
      <c r="P1580" s="215" t="n"/>
      <c r="Q1580" s="215" t="n"/>
      <c r="R1580" s="215" t="n"/>
      <c r="S1580" s="215" t="n"/>
      <c r="T1580" s="215" t="n"/>
      <c r="U1580" s="215" t="n"/>
      <c r="V1580" s="215" t="n"/>
      <c r="W1580" s="215" t="n"/>
      <c r="X1580" s="215" t="n"/>
      <c r="Y1580" s="215" t="n"/>
      <c r="Z1580" s="215" t="n"/>
      <c r="AA1580" s="215" t="n"/>
      <c r="AB1580" s="215" t="n"/>
      <c r="AC1580" s="215" t="n"/>
      <c r="AD1580" s="215" t="n"/>
      <c r="AE1580" s="215" t="n"/>
      <c r="AF1580" s="215" t="n"/>
      <c r="AG1580" s="215" t="n"/>
      <c r="AH1580" s="215" t="n"/>
      <c r="AI1580" s="215" t="n"/>
      <c r="AJ1580" s="215" t="n"/>
      <c r="AK1580" s="216" t="n"/>
    </row>
    <row r="1581" ht="15" customHeight="1">
      <c r="B1581" s="134" t="n"/>
      <c r="C1581" s="105" t="n"/>
      <c r="D1581" s="105" t="n"/>
      <c r="E1581" s="105" t="n"/>
      <c r="F1581" s="105" t="n"/>
      <c r="G1581" s="105" t="n"/>
      <c r="H1581" s="2" t="n"/>
      <c r="I1581" s="105" t="n"/>
      <c r="K1581" s="215" t="n"/>
      <c r="L1581" s="215" t="n"/>
      <c r="M1581" s="215" t="n"/>
      <c r="N1581" s="215" t="n"/>
      <c r="O1581" s="215" t="n"/>
      <c r="P1581" s="215" t="n"/>
      <c r="Q1581" s="215" t="n"/>
      <c r="R1581" s="215" t="n"/>
      <c r="S1581" s="215" t="n"/>
      <c r="T1581" s="215" t="n"/>
      <c r="U1581" s="215" t="n"/>
      <c r="V1581" s="215" t="n"/>
      <c r="W1581" s="215" t="n"/>
      <c r="X1581" s="215" t="n"/>
      <c r="Y1581" s="215" t="n"/>
      <c r="Z1581" s="215" t="n"/>
      <c r="AA1581" s="215" t="n"/>
      <c r="AB1581" s="215" t="n"/>
      <c r="AC1581" s="215" t="n"/>
      <c r="AD1581" s="215" t="n"/>
      <c r="AE1581" s="215" t="n"/>
      <c r="AF1581" s="215" t="n"/>
      <c r="AG1581" s="215" t="n"/>
      <c r="AH1581" s="215" t="n"/>
      <c r="AI1581" s="215" t="n"/>
      <c r="AJ1581" s="215" t="n"/>
      <c r="AK1581" s="216" t="n"/>
    </row>
    <row r="1582" ht="15" customHeight="1">
      <c r="B1582" s="134" t="n"/>
      <c r="C1582" s="105" t="n"/>
      <c r="D1582" s="105" t="n"/>
      <c r="E1582" s="105" t="n"/>
      <c r="F1582" s="105" t="n"/>
      <c r="G1582" s="105" t="n"/>
      <c r="H1582" s="2" t="n"/>
      <c r="I1582" s="105" t="n"/>
      <c r="K1582" s="215" t="n"/>
      <c r="L1582" s="215" t="n"/>
      <c r="M1582" s="215" t="n"/>
      <c r="N1582" s="215" t="n"/>
      <c r="O1582" s="215" t="n"/>
      <c r="P1582" s="215" t="n"/>
      <c r="Q1582" s="215" t="n"/>
      <c r="R1582" s="215" t="n"/>
      <c r="S1582" s="215" t="n"/>
      <c r="T1582" s="215" t="n"/>
      <c r="U1582" s="215" t="n"/>
      <c r="V1582" s="215" t="n"/>
      <c r="W1582" s="215" t="n"/>
      <c r="X1582" s="215" t="n"/>
      <c r="Y1582" s="215" t="n"/>
      <c r="Z1582" s="215" t="n"/>
      <c r="AA1582" s="215" t="n"/>
      <c r="AB1582" s="215" t="n"/>
      <c r="AC1582" s="215" t="n"/>
      <c r="AD1582" s="215" t="n"/>
      <c r="AE1582" s="215" t="n"/>
      <c r="AF1582" s="215" t="n"/>
      <c r="AG1582" s="215" t="n"/>
      <c r="AH1582" s="215" t="n"/>
      <c r="AI1582" s="215" t="n"/>
      <c r="AJ1582" s="215" t="n"/>
      <c r="AK1582" s="216" t="n"/>
    </row>
    <row r="1583" ht="15" customHeight="1">
      <c r="B1583" s="134" t="n"/>
      <c r="C1583" s="105" t="n"/>
      <c r="D1583" s="105" t="n"/>
      <c r="E1583" s="105" t="n"/>
      <c r="F1583" s="105" t="n"/>
      <c r="G1583" s="105" t="n"/>
      <c r="H1583" s="2" t="n"/>
      <c r="I1583" s="105" t="n"/>
      <c r="K1583" s="215" t="n"/>
      <c r="L1583" s="215" t="n"/>
      <c r="M1583" s="215" t="n"/>
      <c r="N1583" s="215" t="n"/>
      <c r="O1583" s="215" t="n"/>
      <c r="P1583" s="215" t="n"/>
      <c r="Q1583" s="215" t="n"/>
      <c r="R1583" s="215" t="n"/>
      <c r="S1583" s="215" t="n"/>
      <c r="T1583" s="215" t="n"/>
      <c r="U1583" s="215" t="n"/>
      <c r="V1583" s="215" t="n"/>
      <c r="W1583" s="215" t="n"/>
      <c r="X1583" s="215" t="n"/>
      <c r="Y1583" s="215" t="n"/>
      <c r="Z1583" s="215" t="n"/>
      <c r="AA1583" s="215" t="n"/>
      <c r="AB1583" s="215" t="n"/>
      <c r="AC1583" s="215" t="n"/>
      <c r="AD1583" s="215" t="n"/>
      <c r="AE1583" s="215" t="n"/>
      <c r="AF1583" s="215" t="n"/>
      <c r="AG1583" s="215" t="n"/>
      <c r="AH1583" s="215" t="n"/>
      <c r="AI1583" s="215" t="n"/>
      <c r="AJ1583" s="215" t="n"/>
      <c r="AK1583" s="216" t="n"/>
    </row>
    <row r="1584" ht="15" customHeight="1">
      <c r="B1584" s="134" t="n"/>
      <c r="C1584" s="105" t="n"/>
      <c r="D1584" s="105" t="n"/>
      <c r="E1584" s="105" t="n"/>
      <c r="F1584" s="105" t="n"/>
      <c r="G1584" s="105" t="n"/>
      <c r="H1584" s="2" t="n"/>
      <c r="I1584" s="105" t="n"/>
      <c r="K1584" s="215" t="n"/>
      <c r="L1584" s="215" t="n"/>
      <c r="M1584" s="215" t="n"/>
      <c r="N1584" s="215" t="n"/>
      <c r="O1584" s="215" t="n"/>
      <c r="P1584" s="215" t="n"/>
      <c r="Q1584" s="215" t="n"/>
      <c r="R1584" s="215" t="n"/>
      <c r="S1584" s="215" t="n"/>
      <c r="T1584" s="215" t="n"/>
      <c r="U1584" s="215" t="n"/>
      <c r="V1584" s="215" t="n"/>
      <c r="W1584" s="215" t="n"/>
      <c r="X1584" s="215" t="n"/>
      <c r="Y1584" s="215" t="n"/>
      <c r="Z1584" s="215" t="n"/>
      <c r="AA1584" s="215" t="n"/>
      <c r="AB1584" s="215" t="n"/>
      <c r="AC1584" s="215" t="n"/>
      <c r="AD1584" s="215" t="n"/>
      <c r="AE1584" s="215" t="n"/>
      <c r="AF1584" s="215" t="n"/>
      <c r="AG1584" s="215" t="n"/>
      <c r="AH1584" s="215" t="n"/>
      <c r="AI1584" s="215" t="n"/>
      <c r="AJ1584" s="215" t="n"/>
      <c r="AK1584" s="216" t="n"/>
    </row>
    <row r="1585" ht="15" customHeight="1">
      <c r="B1585" s="134" t="n"/>
      <c r="C1585" s="105" t="n"/>
      <c r="D1585" s="105" t="n"/>
      <c r="E1585" s="105" t="n"/>
      <c r="F1585" s="105" t="n"/>
      <c r="G1585" s="105" t="n"/>
      <c r="H1585" s="2" t="n"/>
      <c r="I1585" s="105" t="n"/>
      <c r="K1585" s="215" t="n"/>
      <c r="L1585" s="215" t="n"/>
      <c r="M1585" s="215" t="n"/>
      <c r="N1585" s="215" t="n"/>
      <c r="O1585" s="215" t="n"/>
      <c r="P1585" s="215" t="n"/>
      <c r="Q1585" s="215" t="n"/>
      <c r="R1585" s="215" t="n"/>
      <c r="S1585" s="215" t="n"/>
      <c r="T1585" s="215" t="n"/>
      <c r="U1585" s="215" t="n"/>
      <c r="V1585" s="215" t="n"/>
      <c r="W1585" s="215" t="n"/>
      <c r="X1585" s="215" t="n"/>
      <c r="Y1585" s="215" t="n"/>
      <c r="Z1585" s="215" t="n"/>
      <c r="AA1585" s="215" t="n"/>
      <c r="AB1585" s="215" t="n"/>
      <c r="AC1585" s="215" t="n"/>
      <c r="AD1585" s="215" t="n"/>
      <c r="AE1585" s="215" t="n"/>
      <c r="AF1585" s="215" t="n"/>
      <c r="AG1585" s="215" t="n"/>
      <c r="AH1585" s="215" t="n"/>
      <c r="AI1585" s="215" t="n"/>
      <c r="AJ1585" s="215" t="n"/>
      <c r="AK1585" s="216" t="n"/>
    </row>
    <row r="1586" ht="15" customHeight="1">
      <c r="B1586" s="134" t="n"/>
      <c r="C1586" s="105" t="n"/>
      <c r="D1586" s="105" t="n"/>
      <c r="E1586" s="105" t="n"/>
      <c r="F1586" s="105" t="n"/>
      <c r="G1586" s="105" t="n"/>
      <c r="H1586" s="2" t="n"/>
      <c r="I1586" s="105" t="n"/>
      <c r="K1586" s="215" t="n"/>
      <c r="L1586" s="215" t="n"/>
      <c r="M1586" s="215" t="n"/>
      <c r="N1586" s="215" t="n"/>
      <c r="O1586" s="215" t="n"/>
      <c r="P1586" s="215" t="n"/>
      <c r="Q1586" s="215" t="n"/>
      <c r="R1586" s="215" t="n"/>
      <c r="S1586" s="215" t="n"/>
      <c r="T1586" s="215" t="n"/>
      <c r="U1586" s="215" t="n"/>
      <c r="V1586" s="215" t="n"/>
      <c r="W1586" s="215" t="n"/>
      <c r="X1586" s="215" t="n"/>
      <c r="Y1586" s="215" t="n"/>
      <c r="Z1586" s="215" t="n"/>
      <c r="AA1586" s="215" t="n"/>
      <c r="AB1586" s="215" t="n"/>
      <c r="AC1586" s="215" t="n"/>
      <c r="AD1586" s="215" t="n"/>
      <c r="AE1586" s="215" t="n"/>
      <c r="AF1586" s="215" t="n"/>
      <c r="AG1586" s="215" t="n"/>
      <c r="AH1586" s="215" t="n"/>
      <c r="AI1586" s="215" t="n"/>
      <c r="AJ1586" s="215" t="n"/>
      <c r="AK1586" s="216" t="n"/>
    </row>
    <row r="1587" ht="15" customHeight="1">
      <c r="B1587" s="134" t="n"/>
      <c r="C1587" s="105" t="n"/>
      <c r="D1587" s="105" t="n"/>
      <c r="E1587" s="105" t="n"/>
      <c r="F1587" s="105" t="n"/>
      <c r="G1587" s="105" t="n"/>
      <c r="H1587" s="2" t="n"/>
      <c r="I1587" s="105" t="n"/>
      <c r="K1587" s="215" t="n"/>
      <c r="L1587" s="215" t="n"/>
      <c r="M1587" s="215" t="n"/>
      <c r="N1587" s="215" t="n"/>
      <c r="O1587" s="215" t="n"/>
      <c r="P1587" s="215" t="n"/>
      <c r="Q1587" s="215" t="n"/>
      <c r="R1587" s="215" t="n"/>
      <c r="S1587" s="215" t="n"/>
      <c r="T1587" s="215" t="n"/>
      <c r="U1587" s="215" t="n"/>
      <c r="V1587" s="215" t="n"/>
      <c r="W1587" s="215" t="n"/>
      <c r="X1587" s="215" t="n"/>
      <c r="Y1587" s="215" t="n"/>
      <c r="Z1587" s="215" t="n"/>
      <c r="AA1587" s="215" t="n"/>
      <c r="AB1587" s="215" t="n"/>
      <c r="AC1587" s="215" t="n"/>
      <c r="AD1587" s="215" t="n"/>
      <c r="AE1587" s="215" t="n"/>
      <c r="AF1587" s="215" t="n"/>
      <c r="AG1587" s="215" t="n"/>
      <c r="AH1587" s="215" t="n"/>
      <c r="AI1587" s="215" t="n"/>
      <c r="AJ1587" s="215" t="n"/>
      <c r="AK1587" s="216" t="n"/>
    </row>
    <row r="1588" ht="15" customHeight="1">
      <c r="B1588" s="134" t="n"/>
      <c r="C1588" s="105" t="n"/>
      <c r="D1588" s="105" t="n"/>
      <c r="E1588" s="105" t="n"/>
      <c r="F1588" s="105" t="n"/>
      <c r="G1588" s="105" t="n"/>
      <c r="H1588" s="2" t="n"/>
      <c r="I1588" s="105" t="n"/>
      <c r="K1588" s="215" t="n"/>
      <c r="L1588" s="215" t="n"/>
      <c r="M1588" s="215" t="n"/>
      <c r="N1588" s="215" t="n"/>
      <c r="O1588" s="215" t="n"/>
      <c r="P1588" s="215" t="n"/>
      <c r="Q1588" s="215" t="n"/>
      <c r="R1588" s="215" t="n"/>
      <c r="S1588" s="215" t="n"/>
      <c r="T1588" s="215" t="n"/>
      <c r="U1588" s="215" t="n"/>
      <c r="V1588" s="215" t="n"/>
      <c r="W1588" s="215" t="n"/>
      <c r="X1588" s="215" t="n"/>
      <c r="Y1588" s="215" t="n"/>
      <c r="Z1588" s="215" t="n"/>
      <c r="AA1588" s="215" t="n"/>
      <c r="AB1588" s="215" t="n"/>
      <c r="AC1588" s="215" t="n"/>
      <c r="AD1588" s="215" t="n"/>
      <c r="AE1588" s="215" t="n"/>
      <c r="AF1588" s="215" t="n"/>
      <c r="AG1588" s="215" t="n"/>
      <c r="AH1588" s="215" t="n"/>
      <c r="AI1588" s="215" t="n"/>
      <c r="AJ1588" s="215" t="n"/>
      <c r="AK1588" s="216" t="n"/>
    </row>
    <row r="1589" ht="15" customHeight="1">
      <c r="B1589" s="134" t="n"/>
      <c r="C1589" s="105" t="n"/>
      <c r="D1589" s="105" t="n"/>
      <c r="E1589" s="105" t="n"/>
      <c r="F1589" s="105" t="n"/>
      <c r="G1589" s="105" t="n"/>
      <c r="H1589" s="2" t="n"/>
      <c r="I1589" s="105" t="n"/>
      <c r="K1589" s="215" t="n"/>
      <c r="L1589" s="215" t="n"/>
      <c r="M1589" s="215" t="n"/>
      <c r="N1589" s="215" t="n"/>
      <c r="O1589" s="215" t="n"/>
      <c r="P1589" s="215" t="n"/>
      <c r="Q1589" s="215" t="n"/>
      <c r="R1589" s="215" t="n"/>
      <c r="S1589" s="215" t="n"/>
      <c r="T1589" s="215" t="n"/>
      <c r="U1589" s="215" t="n"/>
      <c r="V1589" s="215" t="n"/>
      <c r="W1589" s="215" t="n"/>
      <c r="X1589" s="215" t="n"/>
      <c r="Y1589" s="215" t="n"/>
      <c r="Z1589" s="215" t="n"/>
      <c r="AA1589" s="215" t="n"/>
      <c r="AB1589" s="215" t="n"/>
      <c r="AC1589" s="215" t="n"/>
      <c r="AD1589" s="215" t="n"/>
      <c r="AE1589" s="215" t="n"/>
      <c r="AF1589" s="215" t="n"/>
      <c r="AG1589" s="215" t="n"/>
      <c r="AH1589" s="215" t="n"/>
      <c r="AI1589" s="215" t="n"/>
      <c r="AJ1589" s="215" t="n"/>
      <c r="AK1589" s="216" t="n"/>
    </row>
    <row r="1590" ht="15" customHeight="1">
      <c r="B1590" s="134" t="n"/>
      <c r="C1590" s="105" t="n"/>
      <c r="D1590" s="105" t="n"/>
      <c r="E1590" s="105" t="n"/>
      <c r="F1590" s="105" t="n"/>
      <c r="G1590" s="105" t="n"/>
      <c r="H1590" s="2" t="n"/>
      <c r="I1590" s="105" t="n"/>
      <c r="K1590" s="215" t="n"/>
      <c r="L1590" s="215" t="n"/>
      <c r="M1590" s="215" t="n"/>
      <c r="N1590" s="215" t="n"/>
      <c r="O1590" s="215" t="n"/>
      <c r="P1590" s="215" t="n"/>
      <c r="Q1590" s="215" t="n"/>
      <c r="R1590" s="215" t="n"/>
      <c r="S1590" s="215" t="n"/>
      <c r="T1590" s="215" t="n"/>
      <c r="U1590" s="215" t="n"/>
      <c r="V1590" s="215" t="n"/>
      <c r="W1590" s="215" t="n"/>
      <c r="X1590" s="215" t="n"/>
      <c r="Y1590" s="215" t="n"/>
      <c r="Z1590" s="215" t="n"/>
      <c r="AA1590" s="215" t="n"/>
      <c r="AB1590" s="215" t="n"/>
      <c r="AC1590" s="215" t="n"/>
      <c r="AD1590" s="215" t="n"/>
      <c r="AE1590" s="215" t="n"/>
      <c r="AF1590" s="215" t="n"/>
      <c r="AG1590" s="215" t="n"/>
      <c r="AH1590" s="215" t="n"/>
      <c r="AI1590" s="215" t="n"/>
      <c r="AJ1590" s="215" t="n"/>
      <c r="AK1590" s="216" t="n"/>
    </row>
    <row r="1591" ht="15" customHeight="1">
      <c r="B1591" s="134" t="n"/>
      <c r="C1591" s="105" t="n"/>
      <c r="D1591" s="105" t="n"/>
      <c r="E1591" s="105" t="n"/>
      <c r="F1591" s="105" t="n"/>
      <c r="G1591" s="105" t="n"/>
      <c r="H1591" s="2" t="n"/>
      <c r="I1591" s="105" t="n"/>
      <c r="K1591" s="215" t="n"/>
      <c r="L1591" s="215" t="n"/>
      <c r="M1591" s="215" t="n"/>
      <c r="N1591" s="215" t="n"/>
      <c r="O1591" s="215" t="n"/>
      <c r="P1591" s="215" t="n"/>
      <c r="Q1591" s="215" t="n"/>
      <c r="R1591" s="215" t="n"/>
      <c r="S1591" s="215" t="n"/>
      <c r="T1591" s="215" t="n"/>
      <c r="U1591" s="215" t="n"/>
      <c r="V1591" s="215" t="n"/>
      <c r="W1591" s="215" t="n"/>
      <c r="X1591" s="215" t="n"/>
      <c r="Y1591" s="215" t="n"/>
      <c r="Z1591" s="215" t="n"/>
      <c r="AA1591" s="215" t="n"/>
      <c r="AB1591" s="215" t="n"/>
      <c r="AC1591" s="215" t="n"/>
      <c r="AD1591" s="215" t="n"/>
      <c r="AE1591" s="215" t="n"/>
      <c r="AF1591" s="215" t="n"/>
      <c r="AG1591" s="215" t="n"/>
      <c r="AH1591" s="215" t="n"/>
      <c r="AI1591" s="215" t="n"/>
      <c r="AJ1591" s="215" t="n"/>
      <c r="AK1591" s="216" t="n"/>
    </row>
    <row r="1592" ht="15" customHeight="1">
      <c r="B1592" s="134" t="n"/>
      <c r="C1592" s="105" t="n"/>
      <c r="D1592" s="105" t="n"/>
      <c r="E1592" s="105" t="n"/>
      <c r="F1592" s="105" t="n"/>
      <c r="G1592" s="105" t="n"/>
      <c r="H1592" s="2" t="n"/>
      <c r="I1592" s="105" t="n"/>
      <c r="K1592" s="215" t="n"/>
      <c r="L1592" s="215" t="n"/>
      <c r="M1592" s="215" t="n"/>
      <c r="N1592" s="215" t="n"/>
      <c r="O1592" s="215" t="n"/>
      <c r="P1592" s="215" t="n"/>
      <c r="Q1592" s="215" t="n"/>
      <c r="R1592" s="215" t="n"/>
      <c r="S1592" s="215" t="n"/>
      <c r="T1592" s="215" t="n"/>
      <c r="U1592" s="215" t="n"/>
      <c r="V1592" s="215" t="n"/>
      <c r="W1592" s="215" t="n"/>
      <c r="X1592" s="215" t="n"/>
      <c r="Y1592" s="215" t="n"/>
      <c r="Z1592" s="215" t="n"/>
      <c r="AA1592" s="215" t="n"/>
      <c r="AB1592" s="215" t="n"/>
      <c r="AC1592" s="215" t="n"/>
      <c r="AD1592" s="215" t="n"/>
      <c r="AE1592" s="215" t="n"/>
      <c r="AF1592" s="215" t="n"/>
      <c r="AG1592" s="215" t="n"/>
      <c r="AH1592" s="215" t="n"/>
      <c r="AI1592" s="215" t="n"/>
      <c r="AJ1592" s="215" t="n"/>
      <c r="AK1592" s="216" t="n"/>
    </row>
    <row r="1593" ht="15" customHeight="1">
      <c r="B1593" s="134" t="n"/>
      <c r="C1593" s="105" t="n"/>
      <c r="D1593" s="105" t="n"/>
      <c r="E1593" s="105" t="n"/>
      <c r="F1593" s="105" t="n"/>
      <c r="G1593" s="105" t="n"/>
      <c r="H1593" s="2" t="n"/>
      <c r="I1593" s="105" t="n"/>
      <c r="K1593" s="215" t="n"/>
      <c r="L1593" s="215" t="n"/>
      <c r="M1593" s="215" t="n"/>
      <c r="N1593" s="215" t="n"/>
      <c r="O1593" s="215" t="n"/>
      <c r="P1593" s="215" t="n"/>
      <c r="Q1593" s="215" t="n"/>
      <c r="R1593" s="215" t="n"/>
      <c r="S1593" s="215" t="n"/>
      <c r="T1593" s="215" t="n"/>
      <c r="U1593" s="215" t="n"/>
      <c r="V1593" s="215" t="n"/>
      <c r="W1593" s="215" t="n"/>
      <c r="X1593" s="215" t="n"/>
      <c r="Y1593" s="215" t="n"/>
      <c r="Z1593" s="215" t="n"/>
      <c r="AA1593" s="215" t="n"/>
      <c r="AB1593" s="215" t="n"/>
      <c r="AC1593" s="215" t="n"/>
      <c r="AD1593" s="215" t="n"/>
      <c r="AE1593" s="215" t="n"/>
      <c r="AF1593" s="215" t="n"/>
      <c r="AG1593" s="215" t="n"/>
      <c r="AH1593" s="215" t="n"/>
      <c r="AI1593" s="215" t="n"/>
      <c r="AJ1593" s="215" t="n"/>
      <c r="AK1593" s="216" t="n"/>
    </row>
    <row r="1594" ht="15" customHeight="1">
      <c r="B1594" s="134" t="n"/>
      <c r="C1594" s="105" t="n"/>
      <c r="D1594" s="105" t="n"/>
      <c r="E1594" s="105" t="n"/>
      <c r="F1594" s="105" t="n"/>
      <c r="G1594" s="105" t="n"/>
      <c r="H1594" s="2" t="n"/>
      <c r="I1594" s="105" t="n"/>
      <c r="K1594" s="215" t="n"/>
      <c r="L1594" s="215" t="n"/>
      <c r="M1594" s="215" t="n"/>
      <c r="N1594" s="215" t="n"/>
      <c r="O1594" s="215" t="n"/>
      <c r="P1594" s="215" t="n"/>
      <c r="Q1594" s="215" t="n"/>
      <c r="R1594" s="215" t="n"/>
      <c r="S1594" s="215" t="n"/>
      <c r="T1594" s="215" t="n"/>
      <c r="U1594" s="215" t="n"/>
      <c r="V1594" s="215" t="n"/>
      <c r="W1594" s="215" t="n"/>
      <c r="X1594" s="215" t="n"/>
      <c r="Y1594" s="215" t="n"/>
      <c r="Z1594" s="215" t="n"/>
      <c r="AA1594" s="215" t="n"/>
      <c r="AB1594" s="215" t="n"/>
      <c r="AC1594" s="215" t="n"/>
      <c r="AD1594" s="215" t="n"/>
      <c r="AE1594" s="215" t="n"/>
      <c r="AF1594" s="215" t="n"/>
      <c r="AG1594" s="215" t="n"/>
      <c r="AH1594" s="215" t="n"/>
      <c r="AI1594" s="215" t="n"/>
      <c r="AJ1594" s="215" t="n"/>
      <c r="AK1594" s="216" t="n"/>
    </row>
    <row r="1595" ht="15" customHeight="1">
      <c r="B1595" s="134" t="n"/>
      <c r="C1595" s="105" t="n"/>
      <c r="D1595" s="105" t="n"/>
      <c r="E1595" s="105" t="n"/>
      <c r="F1595" s="105" t="n"/>
      <c r="G1595" s="105" t="n"/>
      <c r="H1595" s="2" t="n"/>
      <c r="I1595" s="105" t="n"/>
      <c r="K1595" s="215" t="n"/>
      <c r="L1595" s="215" t="n"/>
      <c r="M1595" s="215" t="n"/>
      <c r="N1595" s="215" t="n"/>
      <c r="O1595" s="215" t="n"/>
      <c r="P1595" s="215" t="n"/>
      <c r="Q1595" s="215" t="n"/>
      <c r="R1595" s="215" t="n"/>
      <c r="S1595" s="215" t="n"/>
      <c r="T1595" s="215" t="n"/>
      <c r="U1595" s="215" t="n"/>
      <c r="V1595" s="215" t="n"/>
      <c r="W1595" s="215" t="n"/>
      <c r="X1595" s="215" t="n"/>
      <c r="Y1595" s="215" t="n"/>
      <c r="Z1595" s="215" t="n"/>
      <c r="AA1595" s="215" t="n"/>
      <c r="AB1595" s="215" t="n"/>
      <c r="AC1595" s="215" t="n"/>
      <c r="AD1595" s="215" t="n"/>
      <c r="AE1595" s="215" t="n"/>
      <c r="AF1595" s="215" t="n"/>
      <c r="AG1595" s="215" t="n"/>
      <c r="AH1595" s="215" t="n"/>
      <c r="AI1595" s="215" t="n"/>
      <c r="AJ1595" s="215" t="n"/>
      <c r="AK1595" s="216" t="n"/>
    </row>
    <row r="1596" ht="15" customHeight="1">
      <c r="B1596" s="134" t="n"/>
      <c r="C1596" s="105" t="n"/>
      <c r="D1596" s="105" t="n"/>
      <c r="E1596" s="105" t="n"/>
      <c r="F1596" s="105" t="n"/>
      <c r="G1596" s="105" t="n"/>
      <c r="H1596" s="2" t="n"/>
      <c r="I1596" s="105" t="n"/>
      <c r="K1596" s="215" t="n"/>
      <c r="L1596" s="215" t="n"/>
      <c r="M1596" s="215" t="n"/>
      <c r="N1596" s="215" t="n"/>
      <c r="O1596" s="215" t="n"/>
      <c r="P1596" s="215" t="n"/>
      <c r="Q1596" s="215" t="n"/>
      <c r="R1596" s="215" t="n"/>
      <c r="S1596" s="215" t="n"/>
      <c r="T1596" s="215" t="n"/>
      <c r="U1596" s="215" t="n"/>
      <c r="V1596" s="215" t="n"/>
      <c r="W1596" s="215" t="n"/>
      <c r="X1596" s="215" t="n"/>
      <c r="Y1596" s="215" t="n"/>
      <c r="Z1596" s="215" t="n"/>
      <c r="AA1596" s="215" t="n"/>
      <c r="AB1596" s="215" t="n"/>
      <c r="AC1596" s="215" t="n"/>
      <c r="AD1596" s="215" t="n"/>
      <c r="AE1596" s="215" t="n"/>
      <c r="AF1596" s="215" t="n"/>
      <c r="AG1596" s="215" t="n"/>
      <c r="AH1596" s="215" t="n"/>
      <c r="AI1596" s="215" t="n"/>
      <c r="AJ1596" s="215" t="n"/>
      <c r="AK1596" s="216" t="n"/>
    </row>
    <row r="1597" ht="15" customHeight="1">
      <c r="B1597" s="134" t="n"/>
      <c r="C1597" s="105" t="n"/>
      <c r="D1597" s="105" t="n"/>
      <c r="E1597" s="105" t="n"/>
      <c r="F1597" s="105" t="n"/>
      <c r="G1597" s="105" t="n"/>
      <c r="H1597" s="2" t="n"/>
      <c r="I1597" s="105" t="n"/>
      <c r="K1597" s="215" t="n"/>
      <c r="L1597" s="215" t="n"/>
      <c r="M1597" s="215" t="n"/>
      <c r="N1597" s="215" t="n"/>
      <c r="O1597" s="215" t="n"/>
      <c r="P1597" s="215" t="n"/>
      <c r="Q1597" s="215" t="n"/>
      <c r="R1597" s="215" t="n"/>
      <c r="S1597" s="215" t="n"/>
      <c r="T1597" s="215" t="n"/>
      <c r="U1597" s="215" t="n"/>
      <c r="V1597" s="215" t="n"/>
      <c r="W1597" s="215" t="n"/>
      <c r="X1597" s="215" t="n"/>
      <c r="Y1597" s="215" t="n"/>
      <c r="Z1597" s="215" t="n"/>
      <c r="AA1597" s="215" t="n"/>
      <c r="AB1597" s="215" t="n"/>
      <c r="AC1597" s="215" t="n"/>
      <c r="AD1597" s="215" t="n"/>
      <c r="AE1597" s="215" t="n"/>
      <c r="AF1597" s="215" t="n"/>
      <c r="AG1597" s="215" t="n"/>
      <c r="AH1597" s="215" t="n"/>
      <c r="AI1597" s="215" t="n"/>
      <c r="AJ1597" s="215" t="n"/>
      <c r="AK1597" s="216" t="n"/>
    </row>
    <row r="1598" ht="15" customHeight="1">
      <c r="B1598" s="134" t="n"/>
      <c r="C1598" s="105" t="n"/>
      <c r="D1598" s="105" t="n"/>
      <c r="E1598" s="105" t="n"/>
      <c r="F1598" s="105" t="n"/>
      <c r="G1598" s="105" t="n"/>
      <c r="H1598" s="2" t="n"/>
      <c r="I1598" s="105" t="n"/>
      <c r="K1598" s="215" t="n"/>
      <c r="L1598" s="215" t="n"/>
      <c r="M1598" s="215" t="n"/>
      <c r="N1598" s="215" t="n"/>
      <c r="O1598" s="215" t="n"/>
      <c r="P1598" s="215" t="n"/>
      <c r="Q1598" s="215" t="n"/>
      <c r="R1598" s="215" t="n"/>
      <c r="S1598" s="215" t="n"/>
      <c r="T1598" s="215" t="n"/>
      <c r="U1598" s="215" t="n"/>
      <c r="V1598" s="215" t="n"/>
      <c r="W1598" s="215" t="n"/>
      <c r="X1598" s="215" t="n"/>
      <c r="Y1598" s="215" t="n"/>
      <c r="Z1598" s="215" t="n"/>
      <c r="AA1598" s="215" t="n"/>
      <c r="AB1598" s="215" t="n"/>
      <c r="AC1598" s="215" t="n"/>
      <c r="AD1598" s="215" t="n"/>
      <c r="AE1598" s="215" t="n"/>
      <c r="AF1598" s="215" t="n"/>
      <c r="AG1598" s="215" t="n"/>
      <c r="AH1598" s="215" t="n"/>
      <c r="AI1598" s="215" t="n"/>
      <c r="AJ1598" s="215" t="n"/>
      <c r="AK1598" s="216" t="n"/>
    </row>
    <row r="1599" ht="15" customHeight="1">
      <c r="B1599" s="134" t="n"/>
      <c r="C1599" s="105" t="n"/>
      <c r="D1599" s="105" t="n"/>
      <c r="E1599" s="105" t="n"/>
      <c r="F1599" s="105" t="n"/>
      <c r="G1599" s="105" t="n"/>
      <c r="H1599" s="2" t="n"/>
      <c r="I1599" s="105" t="n"/>
      <c r="K1599" s="215" t="n"/>
      <c r="L1599" s="215" t="n"/>
      <c r="M1599" s="215" t="n"/>
      <c r="N1599" s="215" t="n"/>
      <c r="O1599" s="215" t="n"/>
      <c r="P1599" s="215" t="n"/>
      <c r="Q1599" s="215" t="n"/>
      <c r="R1599" s="215" t="n"/>
      <c r="S1599" s="215" t="n"/>
      <c r="T1599" s="215" t="n"/>
      <c r="U1599" s="215" t="n"/>
      <c r="V1599" s="215" t="n"/>
      <c r="W1599" s="215" t="n"/>
      <c r="X1599" s="215" t="n"/>
      <c r="Y1599" s="215" t="n"/>
      <c r="Z1599" s="215" t="n"/>
      <c r="AA1599" s="215" t="n"/>
      <c r="AB1599" s="215" t="n"/>
      <c r="AC1599" s="215" t="n"/>
      <c r="AD1599" s="215" t="n"/>
      <c r="AE1599" s="215" t="n"/>
      <c r="AF1599" s="215" t="n"/>
      <c r="AG1599" s="215" t="n"/>
      <c r="AH1599" s="215" t="n"/>
      <c r="AI1599" s="215" t="n"/>
      <c r="AJ1599" s="215" t="n"/>
      <c r="AK1599" s="216" t="n"/>
    </row>
    <row r="1600" ht="15" customHeight="1">
      <c r="B1600" s="134" t="n"/>
      <c r="C1600" s="105" t="n"/>
      <c r="D1600" s="105" t="n"/>
      <c r="E1600" s="105" t="n"/>
      <c r="F1600" s="105" t="n"/>
      <c r="G1600" s="105" t="n"/>
      <c r="H1600" s="2" t="n"/>
      <c r="I1600" s="105" t="n"/>
      <c r="K1600" s="215" t="n"/>
      <c r="L1600" s="215" t="n"/>
      <c r="M1600" s="215" t="n"/>
      <c r="N1600" s="215" t="n"/>
      <c r="O1600" s="215" t="n"/>
      <c r="P1600" s="215" t="n"/>
      <c r="Q1600" s="215" t="n"/>
      <c r="R1600" s="215" t="n"/>
      <c r="S1600" s="215" t="n"/>
      <c r="T1600" s="215" t="n"/>
      <c r="U1600" s="215" t="n"/>
      <c r="V1600" s="215" t="n"/>
      <c r="W1600" s="215" t="n"/>
      <c r="X1600" s="215" t="n"/>
      <c r="Y1600" s="215" t="n"/>
      <c r="Z1600" s="215" t="n"/>
      <c r="AA1600" s="215" t="n"/>
      <c r="AB1600" s="215" t="n"/>
      <c r="AC1600" s="215" t="n"/>
      <c r="AD1600" s="215" t="n"/>
      <c r="AE1600" s="215" t="n"/>
      <c r="AF1600" s="215" t="n"/>
      <c r="AG1600" s="215" t="n"/>
      <c r="AH1600" s="215" t="n"/>
      <c r="AI1600" s="215" t="n"/>
      <c r="AJ1600" s="215" t="n"/>
      <c r="AK1600" s="216" t="n"/>
    </row>
    <row r="1601" ht="15" customHeight="1">
      <c r="B1601" s="134" t="n"/>
      <c r="C1601" s="105" t="n"/>
      <c r="D1601" s="105" t="n"/>
      <c r="E1601" s="105" t="n"/>
      <c r="F1601" s="105" t="n"/>
      <c r="G1601" s="105" t="n"/>
      <c r="H1601" s="2" t="n"/>
      <c r="I1601" s="105" t="n"/>
      <c r="K1601" s="215" t="n"/>
      <c r="L1601" s="215" t="n"/>
      <c r="M1601" s="215" t="n"/>
      <c r="N1601" s="215" t="n"/>
      <c r="O1601" s="215" t="n"/>
      <c r="P1601" s="215" t="n"/>
      <c r="Q1601" s="215" t="n"/>
      <c r="R1601" s="215" t="n"/>
      <c r="S1601" s="215" t="n"/>
      <c r="T1601" s="215" t="n"/>
      <c r="U1601" s="215" t="n"/>
      <c r="V1601" s="215" t="n"/>
      <c r="W1601" s="215" t="n"/>
      <c r="X1601" s="215" t="n"/>
      <c r="Y1601" s="215" t="n"/>
      <c r="Z1601" s="215" t="n"/>
      <c r="AA1601" s="215" t="n"/>
      <c r="AB1601" s="215" t="n"/>
      <c r="AC1601" s="215" t="n"/>
      <c r="AD1601" s="215" t="n"/>
      <c r="AE1601" s="215" t="n"/>
      <c r="AF1601" s="215" t="n"/>
      <c r="AG1601" s="215" t="n"/>
      <c r="AH1601" s="215" t="n"/>
      <c r="AI1601" s="215" t="n"/>
      <c r="AJ1601" s="215" t="n"/>
      <c r="AK1601" s="216" t="n"/>
    </row>
    <row r="1602" ht="15" customHeight="1">
      <c r="B1602" s="134" t="n"/>
      <c r="C1602" s="105" t="n"/>
      <c r="D1602" s="105" t="n"/>
      <c r="E1602" s="105" t="n"/>
      <c r="F1602" s="105" t="n"/>
      <c r="G1602" s="105" t="n"/>
      <c r="H1602" s="2" t="n"/>
      <c r="I1602" s="105" t="n"/>
      <c r="K1602" s="215" t="n"/>
      <c r="L1602" s="215" t="n"/>
      <c r="M1602" s="215" t="n"/>
      <c r="N1602" s="215" t="n"/>
      <c r="O1602" s="215" t="n"/>
      <c r="P1602" s="215" t="n"/>
      <c r="Q1602" s="215" t="n"/>
      <c r="R1602" s="215" t="n"/>
      <c r="S1602" s="215" t="n"/>
      <c r="T1602" s="215" t="n"/>
      <c r="U1602" s="215" t="n"/>
      <c r="V1602" s="215" t="n"/>
      <c r="W1602" s="215" t="n"/>
      <c r="X1602" s="215" t="n"/>
      <c r="Y1602" s="215" t="n"/>
      <c r="Z1602" s="215" t="n"/>
      <c r="AA1602" s="215" t="n"/>
      <c r="AB1602" s="215" t="n"/>
      <c r="AC1602" s="215" t="n"/>
      <c r="AD1602" s="215" t="n"/>
      <c r="AE1602" s="215" t="n"/>
      <c r="AF1602" s="215" t="n"/>
      <c r="AG1602" s="215" t="n"/>
      <c r="AH1602" s="215" t="n"/>
      <c r="AI1602" s="215" t="n"/>
      <c r="AJ1602" s="215" t="n"/>
      <c r="AK1602" s="216" t="n"/>
    </row>
    <row r="1603" ht="15" customHeight="1">
      <c r="B1603" s="134" t="n"/>
      <c r="C1603" s="105" t="n"/>
      <c r="D1603" s="105" t="n"/>
      <c r="E1603" s="105" t="n"/>
      <c r="F1603" s="105" t="n"/>
      <c r="G1603" s="105" t="n"/>
      <c r="H1603" s="2" t="n"/>
      <c r="I1603" s="105" t="n"/>
      <c r="K1603" s="215" t="n"/>
      <c r="L1603" s="215" t="n"/>
      <c r="M1603" s="215" t="n"/>
      <c r="N1603" s="215" t="n"/>
      <c r="O1603" s="215" t="n"/>
      <c r="P1603" s="215" t="n"/>
      <c r="Q1603" s="215" t="n"/>
      <c r="R1603" s="215" t="n"/>
      <c r="S1603" s="215" t="n"/>
      <c r="T1603" s="215" t="n"/>
      <c r="U1603" s="215" t="n"/>
      <c r="V1603" s="215" t="n"/>
      <c r="W1603" s="215" t="n"/>
      <c r="X1603" s="215" t="n"/>
      <c r="Y1603" s="215" t="n"/>
      <c r="Z1603" s="215" t="n"/>
      <c r="AA1603" s="215" t="n"/>
      <c r="AB1603" s="215" t="n"/>
      <c r="AC1603" s="215" t="n"/>
      <c r="AD1603" s="215" t="n"/>
      <c r="AE1603" s="215" t="n"/>
      <c r="AF1603" s="215" t="n"/>
      <c r="AG1603" s="215" t="n"/>
      <c r="AH1603" s="215" t="n"/>
      <c r="AI1603" s="215" t="n"/>
      <c r="AJ1603" s="215" t="n"/>
      <c r="AK1603" s="216" t="n"/>
    </row>
    <row r="1604" ht="15" customHeight="1">
      <c r="B1604" s="134" t="n"/>
      <c r="C1604" s="105" t="n"/>
      <c r="D1604" s="105" t="n"/>
      <c r="E1604" s="105" t="n"/>
      <c r="F1604" s="105" t="n"/>
      <c r="G1604" s="105" t="n"/>
      <c r="H1604" s="2" t="n"/>
      <c r="I1604" s="105" t="n"/>
      <c r="K1604" s="215" t="n"/>
      <c r="L1604" s="215" t="n"/>
      <c r="M1604" s="215" t="n"/>
      <c r="N1604" s="215" t="n"/>
      <c r="O1604" s="215" t="n"/>
      <c r="P1604" s="215" t="n"/>
      <c r="Q1604" s="215" t="n"/>
      <c r="R1604" s="215" t="n"/>
      <c r="S1604" s="215" t="n"/>
      <c r="T1604" s="215" t="n"/>
      <c r="U1604" s="215" t="n"/>
      <c r="V1604" s="215" t="n"/>
      <c r="W1604" s="215" t="n"/>
      <c r="X1604" s="215" t="n"/>
      <c r="Y1604" s="215" t="n"/>
      <c r="Z1604" s="215" t="n"/>
      <c r="AA1604" s="215" t="n"/>
      <c r="AB1604" s="215" t="n"/>
      <c r="AC1604" s="215" t="n"/>
      <c r="AD1604" s="215" t="n"/>
      <c r="AE1604" s="215" t="n"/>
      <c r="AF1604" s="215" t="n"/>
      <c r="AG1604" s="215" t="n"/>
      <c r="AH1604" s="215" t="n"/>
      <c r="AI1604" s="215" t="n"/>
      <c r="AJ1604" s="215" t="n"/>
      <c r="AK1604" s="216" t="n"/>
    </row>
    <row r="1605" ht="15" customHeight="1">
      <c r="B1605" s="134" t="n"/>
      <c r="C1605" s="105" t="n"/>
      <c r="D1605" s="105" t="n"/>
      <c r="E1605" s="105" t="n"/>
      <c r="F1605" s="105" t="n"/>
      <c r="G1605" s="105" t="n"/>
      <c r="H1605" s="2" t="n"/>
      <c r="I1605" s="105" t="n"/>
      <c r="K1605" s="215" t="n"/>
      <c r="L1605" s="215" t="n"/>
      <c r="M1605" s="215" t="n"/>
      <c r="N1605" s="215" t="n"/>
      <c r="O1605" s="215" t="n"/>
      <c r="P1605" s="215" t="n"/>
      <c r="Q1605" s="215" t="n"/>
      <c r="R1605" s="215" t="n"/>
      <c r="S1605" s="215" t="n"/>
      <c r="T1605" s="215" t="n"/>
      <c r="U1605" s="215" t="n"/>
      <c r="V1605" s="215" t="n"/>
      <c r="W1605" s="215" t="n"/>
      <c r="X1605" s="215" t="n"/>
      <c r="Y1605" s="215" t="n"/>
      <c r="Z1605" s="215" t="n"/>
      <c r="AA1605" s="215" t="n"/>
      <c r="AB1605" s="215" t="n"/>
      <c r="AC1605" s="215" t="n"/>
      <c r="AD1605" s="215" t="n"/>
      <c r="AE1605" s="215" t="n"/>
      <c r="AF1605" s="215" t="n"/>
      <c r="AG1605" s="215" t="n"/>
      <c r="AH1605" s="215" t="n"/>
      <c r="AI1605" s="215" t="n"/>
      <c r="AJ1605" s="215" t="n"/>
      <c r="AK1605" s="216" t="n"/>
    </row>
    <row r="1606" ht="15" customHeight="1">
      <c r="B1606" s="134" t="n"/>
      <c r="C1606" s="105" t="n"/>
      <c r="D1606" s="105" t="n"/>
      <c r="E1606" s="105" t="n"/>
      <c r="F1606" s="105" t="n"/>
      <c r="G1606" s="105" t="n"/>
      <c r="H1606" s="2" t="n"/>
      <c r="I1606" s="105" t="n"/>
      <c r="K1606" s="215" t="n"/>
      <c r="L1606" s="215" t="n"/>
      <c r="M1606" s="215" t="n"/>
      <c r="N1606" s="215" t="n"/>
      <c r="O1606" s="215" t="n"/>
      <c r="P1606" s="215" t="n"/>
      <c r="Q1606" s="215" t="n"/>
      <c r="R1606" s="215" t="n"/>
      <c r="S1606" s="215" t="n"/>
      <c r="T1606" s="215" t="n"/>
      <c r="U1606" s="215" t="n"/>
      <c r="V1606" s="215" t="n"/>
      <c r="W1606" s="215" t="n"/>
      <c r="X1606" s="215" t="n"/>
      <c r="Y1606" s="215" t="n"/>
      <c r="Z1606" s="215" t="n"/>
      <c r="AA1606" s="215" t="n"/>
      <c r="AB1606" s="215" t="n"/>
      <c r="AC1606" s="215" t="n"/>
      <c r="AD1606" s="215" t="n"/>
      <c r="AE1606" s="215" t="n"/>
      <c r="AF1606" s="215" t="n"/>
      <c r="AG1606" s="215" t="n"/>
      <c r="AH1606" s="215" t="n"/>
      <c r="AI1606" s="215" t="n"/>
      <c r="AJ1606" s="215" t="n"/>
      <c r="AK1606" s="216" t="n"/>
    </row>
    <row r="1607" ht="15" customHeight="1">
      <c r="B1607" s="134" t="n"/>
      <c r="C1607" s="105" t="n"/>
      <c r="D1607" s="105" t="n"/>
      <c r="E1607" s="105" t="n"/>
      <c r="F1607" s="105" t="n"/>
      <c r="G1607" s="105" t="n"/>
      <c r="H1607" s="2" t="n"/>
      <c r="I1607" s="105" t="n"/>
      <c r="K1607" s="215" t="n"/>
      <c r="L1607" s="215" t="n"/>
      <c r="M1607" s="215" t="n"/>
      <c r="N1607" s="215" t="n"/>
      <c r="O1607" s="215" t="n"/>
      <c r="P1607" s="215" t="n"/>
      <c r="Q1607" s="215" t="n"/>
      <c r="R1607" s="215" t="n"/>
      <c r="S1607" s="215" t="n"/>
      <c r="T1607" s="215" t="n"/>
      <c r="U1607" s="215" t="n"/>
      <c r="V1607" s="215" t="n"/>
      <c r="W1607" s="215" t="n"/>
      <c r="X1607" s="215" t="n"/>
      <c r="Y1607" s="215" t="n"/>
      <c r="Z1607" s="215" t="n"/>
      <c r="AA1607" s="215" t="n"/>
      <c r="AB1607" s="215" t="n"/>
      <c r="AC1607" s="215" t="n"/>
      <c r="AD1607" s="215" t="n"/>
      <c r="AE1607" s="215" t="n"/>
      <c r="AF1607" s="215" t="n"/>
      <c r="AG1607" s="215" t="n"/>
      <c r="AH1607" s="215" t="n"/>
      <c r="AI1607" s="215" t="n"/>
      <c r="AJ1607" s="215" t="n"/>
      <c r="AK1607" s="216" t="n"/>
    </row>
    <row r="1608" ht="15" customHeight="1">
      <c r="B1608" s="134" t="n"/>
      <c r="C1608" s="105" t="n"/>
      <c r="D1608" s="105" t="n"/>
      <c r="E1608" s="105" t="n"/>
      <c r="F1608" s="105" t="n"/>
      <c r="G1608" s="105" t="n"/>
      <c r="H1608" s="2" t="n"/>
      <c r="I1608" s="105" t="n"/>
      <c r="K1608" s="215" t="n"/>
      <c r="L1608" s="215" t="n"/>
      <c r="M1608" s="215" t="n"/>
      <c r="N1608" s="215" t="n"/>
      <c r="O1608" s="215" t="n"/>
      <c r="P1608" s="215" t="n"/>
      <c r="Q1608" s="215" t="n"/>
      <c r="R1608" s="215" t="n"/>
      <c r="S1608" s="215" t="n"/>
      <c r="T1608" s="215" t="n"/>
      <c r="U1608" s="215" t="n"/>
      <c r="V1608" s="215" t="n"/>
      <c r="W1608" s="215" t="n"/>
      <c r="X1608" s="215" t="n"/>
      <c r="Y1608" s="215" t="n"/>
      <c r="Z1608" s="215" t="n"/>
      <c r="AA1608" s="215" t="n"/>
      <c r="AB1608" s="215" t="n"/>
      <c r="AC1608" s="215" t="n"/>
      <c r="AD1608" s="215" t="n"/>
      <c r="AE1608" s="215" t="n"/>
      <c r="AF1608" s="215" t="n"/>
      <c r="AG1608" s="215" t="n"/>
      <c r="AH1608" s="215" t="n"/>
      <c r="AI1608" s="215" t="n"/>
      <c r="AJ1608" s="215" t="n"/>
      <c r="AK1608" s="216" t="n"/>
    </row>
    <row r="1609" ht="15" customHeight="1">
      <c r="B1609" s="134" t="n"/>
      <c r="C1609" s="105" t="n"/>
      <c r="D1609" s="105" t="n"/>
      <c r="E1609" s="105" t="n"/>
      <c r="F1609" s="105" t="n"/>
      <c r="G1609" s="105" t="n"/>
      <c r="H1609" s="2" t="n"/>
      <c r="I1609" s="105" t="n"/>
      <c r="K1609" s="215" t="n"/>
      <c r="L1609" s="215" t="n"/>
      <c r="M1609" s="215" t="n"/>
      <c r="N1609" s="215" t="n"/>
      <c r="O1609" s="215" t="n"/>
      <c r="P1609" s="215" t="n"/>
      <c r="Q1609" s="215" t="n"/>
      <c r="R1609" s="215" t="n"/>
      <c r="S1609" s="215" t="n"/>
      <c r="T1609" s="215" t="n"/>
      <c r="U1609" s="215" t="n"/>
      <c r="V1609" s="215" t="n"/>
      <c r="W1609" s="215" t="n"/>
      <c r="X1609" s="215" t="n"/>
      <c r="Y1609" s="215" t="n"/>
      <c r="Z1609" s="215" t="n"/>
      <c r="AA1609" s="215" t="n"/>
      <c r="AB1609" s="215" t="n"/>
      <c r="AC1609" s="215" t="n"/>
      <c r="AD1609" s="215" t="n"/>
      <c r="AE1609" s="215" t="n"/>
      <c r="AF1609" s="215" t="n"/>
      <c r="AG1609" s="215" t="n"/>
      <c r="AH1609" s="215" t="n"/>
      <c r="AI1609" s="215" t="n"/>
      <c r="AJ1609" s="215" t="n"/>
      <c r="AK1609" s="216" t="n"/>
    </row>
    <row r="1610" ht="15" customHeight="1">
      <c r="B1610" s="134" t="n"/>
      <c r="C1610" s="105" t="n"/>
      <c r="D1610" s="105" t="n"/>
      <c r="E1610" s="105" t="n"/>
      <c r="F1610" s="105" t="n"/>
      <c r="G1610" s="105" t="n"/>
      <c r="H1610" s="2" t="n"/>
      <c r="I1610" s="105" t="n"/>
      <c r="K1610" s="215" t="n"/>
      <c r="L1610" s="215" t="n"/>
      <c r="M1610" s="215" t="n"/>
      <c r="N1610" s="215" t="n"/>
      <c r="O1610" s="215" t="n"/>
      <c r="P1610" s="215" t="n"/>
      <c r="Q1610" s="215" t="n"/>
      <c r="R1610" s="215" t="n"/>
      <c r="S1610" s="215" t="n"/>
      <c r="T1610" s="215" t="n"/>
      <c r="U1610" s="215" t="n"/>
      <c r="V1610" s="215" t="n"/>
      <c r="W1610" s="215" t="n"/>
      <c r="X1610" s="215" t="n"/>
      <c r="Y1610" s="215" t="n"/>
      <c r="Z1610" s="215" t="n"/>
      <c r="AA1610" s="215" t="n"/>
      <c r="AB1610" s="215" t="n"/>
      <c r="AC1610" s="215" t="n"/>
      <c r="AD1610" s="215" t="n"/>
      <c r="AE1610" s="215" t="n"/>
      <c r="AF1610" s="215" t="n"/>
      <c r="AG1610" s="215" t="n"/>
      <c r="AH1610" s="215" t="n"/>
      <c r="AI1610" s="215" t="n"/>
      <c r="AJ1610" s="215" t="n"/>
      <c r="AK1610" s="216" t="n"/>
    </row>
    <row r="1611" ht="15" customHeight="1">
      <c r="B1611" s="134" t="n"/>
      <c r="C1611" s="105" t="n"/>
      <c r="D1611" s="105" t="n"/>
      <c r="E1611" s="105" t="n"/>
      <c r="F1611" s="105" t="n"/>
      <c r="G1611" s="105" t="n"/>
      <c r="H1611" s="2" t="n"/>
      <c r="I1611" s="105" t="n"/>
      <c r="K1611" s="215" t="n"/>
      <c r="L1611" s="215" t="n"/>
      <c r="M1611" s="215" t="n"/>
      <c r="N1611" s="215" t="n"/>
      <c r="O1611" s="215" t="n"/>
      <c r="P1611" s="215" t="n"/>
      <c r="Q1611" s="215" t="n"/>
      <c r="R1611" s="215" t="n"/>
      <c r="S1611" s="215" t="n"/>
      <c r="T1611" s="215" t="n"/>
      <c r="U1611" s="215" t="n"/>
      <c r="V1611" s="215" t="n"/>
      <c r="W1611" s="215" t="n"/>
      <c r="X1611" s="215" t="n"/>
      <c r="Y1611" s="215" t="n"/>
      <c r="Z1611" s="215" t="n"/>
      <c r="AA1611" s="215" t="n"/>
      <c r="AB1611" s="215" t="n"/>
      <c r="AC1611" s="215" t="n"/>
      <c r="AD1611" s="215" t="n"/>
      <c r="AE1611" s="215" t="n"/>
      <c r="AF1611" s="215" t="n"/>
      <c r="AG1611" s="215" t="n"/>
      <c r="AH1611" s="215" t="n"/>
      <c r="AI1611" s="215" t="n"/>
      <c r="AJ1611" s="215" t="n"/>
      <c r="AK1611" s="216" t="n"/>
    </row>
    <row r="1612" ht="15" customHeight="1">
      <c r="B1612" s="134" t="n"/>
      <c r="C1612" s="105" t="n"/>
      <c r="D1612" s="105" t="n"/>
      <c r="E1612" s="105" t="n"/>
      <c r="F1612" s="105" t="n"/>
      <c r="G1612" s="105" t="n"/>
      <c r="H1612" s="2" t="n"/>
      <c r="I1612" s="105" t="n"/>
      <c r="K1612" s="215" t="n"/>
      <c r="L1612" s="215" t="n"/>
      <c r="M1612" s="215" t="n"/>
      <c r="N1612" s="215" t="n"/>
      <c r="O1612" s="215" t="n"/>
      <c r="P1612" s="215" t="n"/>
      <c r="Q1612" s="215" t="n"/>
      <c r="R1612" s="215" t="n"/>
      <c r="S1612" s="215" t="n"/>
      <c r="T1612" s="215" t="n"/>
      <c r="U1612" s="215" t="n"/>
      <c r="V1612" s="215" t="n"/>
      <c r="W1612" s="215" t="n"/>
      <c r="X1612" s="215" t="n"/>
      <c r="Y1612" s="215" t="n"/>
      <c r="Z1612" s="215" t="n"/>
      <c r="AA1612" s="215" t="n"/>
      <c r="AB1612" s="215" t="n"/>
      <c r="AC1612" s="215" t="n"/>
      <c r="AD1612" s="215" t="n"/>
      <c r="AE1612" s="215" t="n"/>
      <c r="AF1612" s="215" t="n"/>
      <c r="AG1612" s="215" t="n"/>
      <c r="AH1612" s="215" t="n"/>
      <c r="AI1612" s="215" t="n"/>
      <c r="AJ1612" s="215" t="n"/>
      <c r="AK1612" s="216" t="n"/>
    </row>
    <row r="1613" ht="15" customHeight="1">
      <c r="B1613" s="134" t="n"/>
      <c r="C1613" s="105" t="n"/>
      <c r="D1613" s="105" t="n"/>
      <c r="E1613" s="105" t="n"/>
      <c r="F1613" s="105" t="n"/>
      <c r="G1613" s="105" t="n"/>
      <c r="H1613" s="2" t="n"/>
      <c r="I1613" s="105" t="n"/>
      <c r="K1613" s="215" t="n"/>
      <c r="L1613" s="215" t="n"/>
      <c r="M1613" s="215" t="n"/>
      <c r="N1613" s="215" t="n"/>
      <c r="O1613" s="215" t="n"/>
      <c r="P1613" s="215" t="n"/>
      <c r="Q1613" s="215" t="n"/>
      <c r="R1613" s="215" t="n"/>
      <c r="S1613" s="215" t="n"/>
      <c r="T1613" s="215" t="n"/>
      <c r="U1613" s="215" t="n"/>
      <c r="V1613" s="215" t="n"/>
      <c r="W1613" s="215" t="n"/>
      <c r="X1613" s="215" t="n"/>
      <c r="Y1613" s="215" t="n"/>
      <c r="Z1613" s="215" t="n"/>
      <c r="AA1613" s="215" t="n"/>
      <c r="AB1613" s="215" t="n"/>
      <c r="AC1613" s="215" t="n"/>
      <c r="AD1613" s="215" t="n"/>
      <c r="AE1613" s="215" t="n"/>
      <c r="AF1613" s="215" t="n"/>
      <c r="AG1613" s="215" t="n"/>
      <c r="AH1613" s="215" t="n"/>
      <c r="AI1613" s="215" t="n"/>
      <c r="AJ1613" s="215" t="n"/>
      <c r="AK1613" s="216" t="n"/>
    </row>
    <row r="1614" ht="15" customHeight="1">
      <c r="B1614" s="134" t="n"/>
      <c r="C1614" s="105" t="n"/>
      <c r="D1614" s="105" t="n"/>
      <c r="E1614" s="105" t="n"/>
      <c r="F1614" s="105" t="n"/>
      <c r="G1614" s="105" t="n"/>
      <c r="H1614" s="2" t="n"/>
      <c r="I1614" s="105" t="n"/>
      <c r="K1614" s="215" t="n"/>
      <c r="L1614" s="215" t="n"/>
      <c r="M1614" s="215" t="n"/>
      <c r="N1614" s="215" t="n"/>
      <c r="O1614" s="215" t="n"/>
      <c r="P1614" s="215" t="n"/>
      <c r="Q1614" s="215" t="n"/>
      <c r="R1614" s="215" t="n"/>
      <c r="S1614" s="215" t="n"/>
      <c r="T1614" s="215" t="n"/>
      <c r="U1614" s="215" t="n"/>
      <c r="V1614" s="215" t="n"/>
      <c r="W1614" s="215" t="n"/>
      <c r="X1614" s="215" t="n"/>
      <c r="Y1614" s="215" t="n"/>
      <c r="Z1614" s="215" t="n"/>
      <c r="AA1614" s="215" t="n"/>
      <c r="AB1614" s="215" t="n"/>
      <c r="AC1614" s="215" t="n"/>
      <c r="AD1614" s="215" t="n"/>
      <c r="AE1614" s="215" t="n"/>
      <c r="AF1614" s="215" t="n"/>
      <c r="AG1614" s="215" t="n"/>
      <c r="AH1614" s="215" t="n"/>
      <c r="AI1614" s="215" t="n"/>
      <c r="AJ1614" s="215" t="n"/>
      <c r="AK1614" s="216" t="n"/>
    </row>
    <row r="1615" ht="15" customHeight="1">
      <c r="B1615" s="134" t="n"/>
      <c r="C1615" s="105" t="n"/>
      <c r="D1615" s="105" t="n"/>
      <c r="E1615" s="105" t="n"/>
      <c r="F1615" s="105" t="n"/>
      <c r="G1615" s="105" t="n"/>
      <c r="H1615" s="2" t="n"/>
      <c r="I1615" s="105" t="n"/>
      <c r="K1615" s="215" t="n"/>
      <c r="L1615" s="215" t="n"/>
      <c r="M1615" s="215" t="n"/>
      <c r="N1615" s="215" t="n"/>
      <c r="O1615" s="215" t="n"/>
      <c r="P1615" s="215" t="n"/>
      <c r="Q1615" s="215" t="n"/>
      <c r="R1615" s="215" t="n"/>
      <c r="S1615" s="215" t="n"/>
      <c r="T1615" s="215" t="n"/>
      <c r="U1615" s="215" t="n"/>
      <c r="V1615" s="215" t="n"/>
      <c r="W1615" s="215" t="n"/>
      <c r="X1615" s="215" t="n"/>
      <c r="Y1615" s="215" t="n"/>
      <c r="Z1615" s="215" t="n"/>
      <c r="AA1615" s="215" t="n"/>
      <c r="AB1615" s="215" t="n"/>
      <c r="AC1615" s="215" t="n"/>
      <c r="AD1615" s="215" t="n"/>
      <c r="AE1615" s="215" t="n"/>
      <c r="AF1615" s="215" t="n"/>
      <c r="AG1615" s="215" t="n"/>
      <c r="AH1615" s="215" t="n"/>
      <c r="AI1615" s="215" t="n"/>
      <c r="AJ1615" s="215" t="n"/>
      <c r="AK1615" s="216" t="n"/>
    </row>
    <row r="1616" ht="15" customHeight="1">
      <c r="B1616" s="134" t="n"/>
      <c r="C1616" s="105" t="n"/>
      <c r="D1616" s="105" t="n"/>
      <c r="E1616" s="105" t="n"/>
      <c r="F1616" s="105" t="n"/>
      <c r="G1616" s="105" t="n"/>
      <c r="H1616" s="2" t="n"/>
      <c r="I1616" s="105" t="n"/>
      <c r="K1616" s="215" t="n"/>
      <c r="L1616" s="215" t="n"/>
      <c r="M1616" s="215" t="n"/>
      <c r="N1616" s="215" t="n"/>
      <c r="O1616" s="215" t="n"/>
      <c r="P1616" s="215" t="n"/>
      <c r="Q1616" s="215" t="n"/>
      <c r="R1616" s="215" t="n"/>
      <c r="S1616" s="215" t="n"/>
      <c r="T1616" s="215" t="n"/>
      <c r="U1616" s="215" t="n"/>
      <c r="V1616" s="215" t="n"/>
      <c r="W1616" s="215" t="n"/>
      <c r="X1616" s="215" t="n"/>
      <c r="Y1616" s="215" t="n"/>
      <c r="Z1616" s="215" t="n"/>
      <c r="AA1616" s="215" t="n"/>
      <c r="AB1616" s="215" t="n"/>
      <c r="AC1616" s="215" t="n"/>
      <c r="AD1616" s="215" t="n"/>
      <c r="AE1616" s="215" t="n"/>
      <c r="AF1616" s="215" t="n"/>
      <c r="AG1616" s="215" t="n"/>
      <c r="AH1616" s="215" t="n"/>
      <c r="AI1616" s="215" t="n"/>
      <c r="AJ1616" s="215" t="n"/>
      <c r="AK1616" s="216" t="n"/>
    </row>
    <row r="1617" ht="15" customHeight="1">
      <c r="B1617" s="134" t="n"/>
      <c r="C1617" s="105" t="n"/>
      <c r="D1617" s="105" t="n"/>
      <c r="E1617" s="105" t="n"/>
      <c r="F1617" s="105" t="n"/>
      <c r="G1617" s="105" t="n"/>
      <c r="H1617" s="2" t="n"/>
      <c r="I1617" s="105" t="n"/>
      <c r="K1617" s="215" t="n"/>
      <c r="L1617" s="215" t="n"/>
      <c r="M1617" s="215" t="n"/>
      <c r="N1617" s="215" t="n"/>
      <c r="O1617" s="215" t="n"/>
      <c r="P1617" s="215" t="n"/>
      <c r="Q1617" s="215" t="n"/>
      <c r="R1617" s="215" t="n"/>
      <c r="S1617" s="215" t="n"/>
      <c r="T1617" s="215" t="n"/>
      <c r="U1617" s="215" t="n"/>
      <c r="V1617" s="215" t="n"/>
      <c r="W1617" s="215" t="n"/>
      <c r="X1617" s="215" t="n"/>
      <c r="Y1617" s="215" t="n"/>
      <c r="Z1617" s="215" t="n"/>
      <c r="AA1617" s="215" t="n"/>
      <c r="AB1617" s="215" t="n"/>
      <c r="AC1617" s="215" t="n"/>
      <c r="AD1617" s="215" t="n"/>
      <c r="AE1617" s="215" t="n"/>
      <c r="AF1617" s="215" t="n"/>
      <c r="AG1617" s="215" t="n"/>
      <c r="AH1617" s="215" t="n"/>
      <c r="AI1617" s="215" t="n"/>
      <c r="AJ1617" s="215" t="n"/>
      <c r="AK1617" s="216" t="n"/>
    </row>
    <row r="1618" ht="15" customHeight="1">
      <c r="B1618" s="134" t="n"/>
      <c r="C1618" s="105" t="n"/>
      <c r="D1618" s="105" t="n"/>
      <c r="E1618" s="105" t="n"/>
      <c r="F1618" s="105" t="n"/>
      <c r="G1618" s="105" t="n"/>
      <c r="H1618" s="2" t="n"/>
      <c r="I1618" s="105" t="n"/>
      <c r="K1618" s="215" t="n"/>
      <c r="L1618" s="215" t="n"/>
      <c r="M1618" s="215" t="n"/>
      <c r="N1618" s="215" t="n"/>
      <c r="O1618" s="215" t="n"/>
      <c r="P1618" s="215" t="n"/>
      <c r="Q1618" s="215" t="n"/>
      <c r="R1618" s="215" t="n"/>
      <c r="S1618" s="215" t="n"/>
      <c r="T1618" s="215" t="n"/>
      <c r="U1618" s="215" t="n"/>
      <c r="V1618" s="215" t="n"/>
      <c r="W1618" s="215" t="n"/>
      <c r="X1618" s="215" t="n"/>
      <c r="Y1618" s="215" t="n"/>
      <c r="Z1618" s="215" t="n"/>
      <c r="AA1618" s="215" t="n"/>
      <c r="AB1618" s="215" t="n"/>
      <c r="AC1618" s="215" t="n"/>
      <c r="AD1618" s="215" t="n"/>
      <c r="AE1618" s="215" t="n"/>
      <c r="AF1618" s="215" t="n"/>
      <c r="AG1618" s="215" t="n"/>
      <c r="AH1618" s="215" t="n"/>
      <c r="AI1618" s="215" t="n"/>
      <c r="AJ1618" s="215" t="n"/>
      <c r="AK1618" s="216" t="n"/>
    </row>
    <row r="1619" ht="15" customHeight="1">
      <c r="B1619" s="134" t="n"/>
      <c r="C1619" s="105" t="n"/>
      <c r="D1619" s="105" t="n"/>
      <c r="E1619" s="105" t="n"/>
      <c r="F1619" s="105" t="n"/>
      <c r="G1619" s="105" t="n"/>
      <c r="H1619" s="2" t="n"/>
      <c r="I1619" s="105" t="n"/>
      <c r="K1619" s="215" t="n"/>
      <c r="L1619" s="215" t="n"/>
      <c r="M1619" s="215" t="n"/>
      <c r="N1619" s="215" t="n"/>
      <c r="O1619" s="215" t="n"/>
      <c r="P1619" s="215" t="n"/>
      <c r="Q1619" s="215" t="n"/>
      <c r="R1619" s="215" t="n"/>
      <c r="S1619" s="215" t="n"/>
      <c r="T1619" s="215" t="n"/>
      <c r="U1619" s="215" t="n"/>
      <c r="V1619" s="215" t="n"/>
      <c r="W1619" s="215" t="n"/>
      <c r="X1619" s="215" t="n"/>
      <c r="Y1619" s="215" t="n"/>
      <c r="Z1619" s="215" t="n"/>
      <c r="AA1619" s="215" t="n"/>
      <c r="AB1619" s="215" t="n"/>
      <c r="AC1619" s="215" t="n"/>
      <c r="AD1619" s="215" t="n"/>
      <c r="AE1619" s="215" t="n"/>
      <c r="AF1619" s="215" t="n"/>
      <c r="AG1619" s="215" t="n"/>
      <c r="AH1619" s="215" t="n"/>
      <c r="AI1619" s="215" t="n"/>
      <c r="AJ1619" s="215" t="n"/>
      <c r="AK1619" s="216" t="n"/>
    </row>
    <row r="1620" ht="15" customHeight="1">
      <c r="B1620" s="134" t="n"/>
      <c r="C1620" s="105" t="n"/>
      <c r="D1620" s="105" t="n"/>
      <c r="E1620" s="105" t="n"/>
      <c r="F1620" s="105" t="n"/>
      <c r="G1620" s="105" t="n"/>
      <c r="H1620" s="2" t="n"/>
      <c r="I1620" s="105" t="n"/>
      <c r="K1620" s="215" t="n"/>
      <c r="L1620" s="215" t="n"/>
      <c r="M1620" s="215" t="n"/>
      <c r="N1620" s="215" t="n"/>
      <c r="O1620" s="215" t="n"/>
      <c r="P1620" s="215" t="n"/>
      <c r="Q1620" s="215" t="n"/>
      <c r="R1620" s="215" t="n"/>
      <c r="S1620" s="215" t="n"/>
      <c r="T1620" s="215" t="n"/>
      <c r="U1620" s="215" t="n"/>
      <c r="V1620" s="215" t="n"/>
      <c r="W1620" s="215" t="n"/>
      <c r="X1620" s="215" t="n"/>
      <c r="Y1620" s="215" t="n"/>
      <c r="Z1620" s="215" t="n"/>
      <c r="AA1620" s="215" t="n"/>
      <c r="AB1620" s="215" t="n"/>
      <c r="AC1620" s="215" t="n"/>
      <c r="AD1620" s="215" t="n"/>
      <c r="AE1620" s="215" t="n"/>
      <c r="AF1620" s="215" t="n"/>
      <c r="AG1620" s="215" t="n"/>
      <c r="AH1620" s="215" t="n"/>
      <c r="AI1620" s="215" t="n"/>
      <c r="AJ1620" s="215" t="n"/>
      <c r="AK1620" s="216" t="n"/>
    </row>
    <row r="1621" ht="15" customHeight="1">
      <c r="B1621" s="134" t="n"/>
      <c r="C1621" s="105" t="n"/>
      <c r="D1621" s="105" t="n"/>
      <c r="E1621" s="105" t="n"/>
      <c r="F1621" s="105" t="n"/>
      <c r="G1621" s="105" t="n"/>
      <c r="H1621" s="2" t="n"/>
      <c r="I1621" s="105" t="n"/>
      <c r="K1621" s="215" t="n"/>
      <c r="L1621" s="215" t="n"/>
      <c r="M1621" s="215" t="n"/>
      <c r="N1621" s="215" t="n"/>
      <c r="O1621" s="215" t="n"/>
      <c r="P1621" s="215" t="n"/>
      <c r="Q1621" s="215" t="n"/>
      <c r="R1621" s="215" t="n"/>
      <c r="S1621" s="215" t="n"/>
      <c r="T1621" s="215" t="n"/>
      <c r="U1621" s="215" t="n"/>
      <c r="V1621" s="215" t="n"/>
      <c r="W1621" s="215" t="n"/>
      <c r="X1621" s="215" t="n"/>
      <c r="Y1621" s="215" t="n"/>
      <c r="Z1621" s="215" t="n"/>
      <c r="AA1621" s="215" t="n"/>
      <c r="AB1621" s="215" t="n"/>
      <c r="AC1621" s="215" t="n"/>
      <c r="AD1621" s="215" t="n"/>
      <c r="AE1621" s="215" t="n"/>
      <c r="AF1621" s="215" t="n"/>
      <c r="AG1621" s="215" t="n"/>
      <c r="AH1621" s="215" t="n"/>
      <c r="AI1621" s="215" t="n"/>
      <c r="AJ1621" s="215" t="n"/>
      <c r="AK1621" s="216" t="n"/>
    </row>
    <row r="1622" ht="15" customHeight="1">
      <c r="B1622" s="134" t="n"/>
      <c r="C1622" s="105" t="n"/>
      <c r="D1622" s="105" t="n"/>
      <c r="E1622" s="105" t="n"/>
      <c r="F1622" s="105" t="n"/>
      <c r="G1622" s="105" t="n"/>
      <c r="H1622" s="2" t="n"/>
      <c r="I1622" s="105" t="n"/>
      <c r="K1622" s="215" t="n"/>
      <c r="L1622" s="215" t="n"/>
      <c r="M1622" s="215" t="n"/>
      <c r="N1622" s="215" t="n"/>
      <c r="O1622" s="215" t="n"/>
      <c r="P1622" s="215" t="n"/>
      <c r="Q1622" s="215" t="n"/>
      <c r="R1622" s="215" t="n"/>
      <c r="S1622" s="215" t="n"/>
      <c r="T1622" s="215" t="n"/>
      <c r="U1622" s="215" t="n"/>
      <c r="V1622" s="215" t="n"/>
      <c r="W1622" s="215" t="n"/>
      <c r="X1622" s="215" t="n"/>
      <c r="Y1622" s="215" t="n"/>
      <c r="Z1622" s="215" t="n"/>
      <c r="AA1622" s="215" t="n"/>
      <c r="AB1622" s="215" t="n"/>
      <c r="AC1622" s="215" t="n"/>
      <c r="AD1622" s="215" t="n"/>
      <c r="AE1622" s="215" t="n"/>
      <c r="AF1622" s="215" t="n"/>
      <c r="AG1622" s="215" t="n"/>
      <c r="AH1622" s="215" t="n"/>
      <c r="AI1622" s="215" t="n"/>
      <c r="AJ1622" s="215" t="n"/>
      <c r="AK1622" s="216" t="n"/>
    </row>
    <row r="1623" ht="15" customHeight="1">
      <c r="B1623" s="134" t="n"/>
      <c r="C1623" s="105" t="n"/>
      <c r="D1623" s="105" t="n"/>
      <c r="E1623" s="105" t="n"/>
      <c r="F1623" s="105" t="n"/>
      <c r="G1623" s="105" t="n"/>
      <c r="H1623" s="2" t="n"/>
      <c r="I1623" s="105" t="n"/>
      <c r="K1623" s="215" t="n"/>
      <c r="L1623" s="215" t="n"/>
      <c r="M1623" s="215" t="n"/>
      <c r="N1623" s="215" t="n"/>
      <c r="O1623" s="215" t="n"/>
      <c r="P1623" s="215" t="n"/>
      <c r="Q1623" s="215" t="n"/>
      <c r="R1623" s="215" t="n"/>
      <c r="S1623" s="215" t="n"/>
      <c r="T1623" s="215" t="n"/>
      <c r="U1623" s="215" t="n"/>
      <c r="V1623" s="215" t="n"/>
      <c r="W1623" s="215" t="n"/>
      <c r="X1623" s="215" t="n"/>
      <c r="Y1623" s="215" t="n"/>
      <c r="Z1623" s="215" t="n"/>
      <c r="AA1623" s="215" t="n"/>
      <c r="AB1623" s="215" t="n"/>
      <c r="AC1623" s="215" t="n"/>
      <c r="AD1623" s="215" t="n"/>
      <c r="AE1623" s="215" t="n"/>
      <c r="AF1623" s="215" t="n"/>
      <c r="AG1623" s="215" t="n"/>
      <c r="AH1623" s="215" t="n"/>
      <c r="AI1623" s="215" t="n"/>
      <c r="AJ1623" s="215" t="n"/>
      <c r="AK1623" s="216" t="n"/>
    </row>
    <row r="1624" ht="15" customHeight="1">
      <c r="B1624" s="134" t="n"/>
      <c r="C1624" s="105" t="n"/>
      <c r="D1624" s="105" t="n"/>
      <c r="E1624" s="105" t="n"/>
      <c r="F1624" s="105" t="n"/>
      <c r="G1624" s="105" t="n"/>
      <c r="H1624" s="2" t="n"/>
      <c r="I1624" s="105" t="n"/>
      <c r="K1624" s="215" t="n"/>
      <c r="L1624" s="215" t="n"/>
      <c r="M1624" s="215" t="n"/>
      <c r="N1624" s="215" t="n"/>
      <c r="O1624" s="215" t="n"/>
      <c r="P1624" s="215" t="n"/>
      <c r="Q1624" s="215" t="n"/>
      <c r="R1624" s="215" t="n"/>
      <c r="S1624" s="215" t="n"/>
      <c r="T1624" s="215" t="n"/>
      <c r="U1624" s="215" t="n"/>
      <c r="V1624" s="215" t="n"/>
      <c r="W1624" s="215" t="n"/>
      <c r="X1624" s="215" t="n"/>
      <c r="Y1624" s="215" t="n"/>
      <c r="Z1624" s="215" t="n"/>
      <c r="AA1624" s="215" t="n"/>
      <c r="AB1624" s="215" t="n"/>
      <c r="AC1624" s="215" t="n"/>
      <c r="AD1624" s="215" t="n"/>
      <c r="AE1624" s="215" t="n"/>
      <c r="AF1624" s="215" t="n"/>
      <c r="AG1624" s="215" t="n"/>
      <c r="AH1624" s="215" t="n"/>
      <c r="AI1624" s="215" t="n"/>
      <c r="AJ1624" s="215" t="n"/>
      <c r="AK1624" s="216" t="n"/>
    </row>
    <row r="1625" ht="15" customHeight="1">
      <c r="B1625" s="134" t="n"/>
      <c r="C1625" s="105" t="n"/>
      <c r="D1625" s="105" t="n"/>
      <c r="E1625" s="105" t="n"/>
      <c r="F1625" s="105" t="n"/>
      <c r="G1625" s="105" t="n"/>
      <c r="H1625" s="2" t="n"/>
      <c r="I1625" s="105" t="n"/>
      <c r="K1625" s="215" t="n"/>
      <c r="L1625" s="215" t="n"/>
      <c r="M1625" s="215" t="n"/>
      <c r="N1625" s="215" t="n"/>
      <c r="O1625" s="215" t="n"/>
      <c r="P1625" s="215" t="n"/>
      <c r="Q1625" s="215" t="n"/>
      <c r="R1625" s="215" t="n"/>
      <c r="S1625" s="215" t="n"/>
      <c r="T1625" s="215" t="n"/>
      <c r="U1625" s="215" t="n"/>
      <c r="V1625" s="215" t="n"/>
      <c r="W1625" s="215" t="n"/>
      <c r="X1625" s="215" t="n"/>
      <c r="Y1625" s="215" t="n"/>
      <c r="Z1625" s="215" t="n"/>
      <c r="AA1625" s="215" t="n"/>
      <c r="AB1625" s="215" t="n"/>
      <c r="AC1625" s="215" t="n"/>
      <c r="AD1625" s="215" t="n"/>
      <c r="AE1625" s="215" t="n"/>
      <c r="AF1625" s="215" t="n"/>
      <c r="AG1625" s="215" t="n"/>
      <c r="AH1625" s="215" t="n"/>
      <c r="AI1625" s="215" t="n"/>
      <c r="AJ1625" s="215" t="n"/>
      <c r="AK1625" s="216" t="n"/>
    </row>
    <row r="1626" ht="15" customHeight="1">
      <c r="B1626" s="134" t="n"/>
      <c r="C1626" s="105" t="n"/>
      <c r="D1626" s="105" t="n"/>
      <c r="E1626" s="105" t="n"/>
      <c r="F1626" s="105" t="n"/>
      <c r="G1626" s="105" t="n"/>
      <c r="H1626" s="2" t="n"/>
      <c r="I1626" s="105" t="n"/>
      <c r="K1626" s="215" t="n"/>
      <c r="L1626" s="215" t="n"/>
      <c r="M1626" s="215" t="n"/>
      <c r="N1626" s="215" t="n"/>
      <c r="O1626" s="215" t="n"/>
      <c r="P1626" s="215" t="n"/>
      <c r="Q1626" s="215" t="n"/>
      <c r="R1626" s="215" t="n"/>
      <c r="S1626" s="215" t="n"/>
      <c r="T1626" s="215" t="n"/>
      <c r="U1626" s="215" t="n"/>
      <c r="V1626" s="215" t="n"/>
      <c r="W1626" s="215" t="n"/>
      <c r="X1626" s="215" t="n"/>
      <c r="Y1626" s="215" t="n"/>
      <c r="Z1626" s="215" t="n"/>
      <c r="AA1626" s="215" t="n"/>
      <c r="AB1626" s="215" t="n"/>
      <c r="AC1626" s="215" t="n"/>
      <c r="AD1626" s="215" t="n"/>
      <c r="AE1626" s="215" t="n"/>
      <c r="AF1626" s="215" t="n"/>
      <c r="AG1626" s="215" t="n"/>
      <c r="AH1626" s="215" t="n"/>
      <c r="AI1626" s="215" t="n"/>
      <c r="AJ1626" s="215" t="n"/>
      <c r="AK1626" s="216" t="n"/>
    </row>
    <row r="1627" ht="15" customHeight="1">
      <c r="B1627" s="134" t="n"/>
      <c r="C1627" s="105" t="n"/>
      <c r="D1627" s="105" t="n"/>
      <c r="E1627" s="105" t="n"/>
      <c r="F1627" s="105" t="n"/>
      <c r="G1627" s="105" t="n"/>
      <c r="H1627" s="2" t="n"/>
      <c r="I1627" s="105" t="n"/>
      <c r="K1627" s="215" t="n"/>
      <c r="L1627" s="215" t="n"/>
      <c r="M1627" s="215" t="n"/>
      <c r="N1627" s="215" t="n"/>
      <c r="O1627" s="215" t="n"/>
      <c r="P1627" s="215" t="n"/>
      <c r="Q1627" s="215" t="n"/>
      <c r="R1627" s="215" t="n"/>
      <c r="S1627" s="215" t="n"/>
      <c r="T1627" s="215" t="n"/>
      <c r="U1627" s="215" t="n"/>
      <c r="V1627" s="215" t="n"/>
      <c r="W1627" s="215" t="n"/>
      <c r="X1627" s="215" t="n"/>
      <c r="Y1627" s="215" t="n"/>
      <c r="Z1627" s="215" t="n"/>
      <c r="AA1627" s="215" t="n"/>
      <c r="AB1627" s="215" t="n"/>
      <c r="AC1627" s="215" t="n"/>
      <c r="AD1627" s="215" t="n"/>
      <c r="AE1627" s="215" t="n"/>
      <c r="AF1627" s="215" t="n"/>
      <c r="AG1627" s="215" t="n"/>
      <c r="AH1627" s="215" t="n"/>
      <c r="AI1627" s="215" t="n"/>
      <c r="AJ1627" s="215" t="n"/>
      <c r="AK1627" s="216" t="n"/>
    </row>
    <row r="1628" ht="15" customHeight="1">
      <c r="B1628" s="134" t="n"/>
      <c r="C1628" s="105" t="n"/>
      <c r="D1628" s="105" t="n"/>
      <c r="E1628" s="105" t="n"/>
      <c r="F1628" s="105" t="n"/>
      <c r="G1628" s="105" t="n"/>
      <c r="H1628" s="2" t="n"/>
      <c r="I1628" s="105" t="n"/>
      <c r="K1628" s="215" t="n"/>
      <c r="L1628" s="215" t="n"/>
      <c r="M1628" s="215" t="n"/>
      <c r="N1628" s="215" t="n"/>
      <c r="O1628" s="215" t="n"/>
      <c r="P1628" s="215" t="n"/>
      <c r="Q1628" s="215" t="n"/>
      <c r="R1628" s="215" t="n"/>
      <c r="S1628" s="215" t="n"/>
      <c r="T1628" s="215" t="n"/>
      <c r="U1628" s="215" t="n"/>
      <c r="V1628" s="215" t="n"/>
      <c r="W1628" s="215" t="n"/>
      <c r="X1628" s="215" t="n"/>
      <c r="Y1628" s="215" t="n"/>
      <c r="Z1628" s="215" t="n"/>
      <c r="AA1628" s="215" t="n"/>
      <c r="AB1628" s="215" t="n"/>
      <c r="AC1628" s="215" t="n"/>
      <c r="AD1628" s="215" t="n"/>
      <c r="AE1628" s="215" t="n"/>
      <c r="AF1628" s="215" t="n"/>
      <c r="AG1628" s="215" t="n"/>
      <c r="AH1628" s="215" t="n"/>
      <c r="AI1628" s="215" t="n"/>
      <c r="AJ1628" s="215" t="n"/>
      <c r="AK1628" s="216" t="n"/>
    </row>
    <row r="1629" ht="15" customHeight="1">
      <c r="B1629" s="134" t="n"/>
      <c r="C1629" s="105" t="n"/>
      <c r="D1629" s="105" t="n"/>
      <c r="E1629" s="105" t="n"/>
      <c r="F1629" s="105" t="n"/>
      <c r="G1629" s="105" t="n"/>
      <c r="H1629" s="2" t="n"/>
      <c r="I1629" s="105" t="n"/>
      <c r="K1629" s="215" t="n"/>
      <c r="L1629" s="215" t="n"/>
      <c r="M1629" s="215" t="n"/>
      <c r="N1629" s="215" t="n"/>
      <c r="O1629" s="215" t="n"/>
      <c r="P1629" s="215" t="n"/>
      <c r="Q1629" s="215" t="n"/>
      <c r="R1629" s="215" t="n"/>
      <c r="S1629" s="215" t="n"/>
      <c r="T1629" s="215" t="n"/>
      <c r="U1629" s="215" t="n"/>
      <c r="V1629" s="215" t="n"/>
      <c r="W1629" s="215" t="n"/>
      <c r="X1629" s="215" t="n"/>
      <c r="Y1629" s="215" t="n"/>
      <c r="Z1629" s="215" t="n"/>
      <c r="AA1629" s="215" t="n"/>
      <c r="AB1629" s="215" t="n"/>
      <c r="AC1629" s="215" t="n"/>
      <c r="AD1629" s="215" t="n"/>
      <c r="AE1629" s="215" t="n"/>
      <c r="AF1629" s="215" t="n"/>
      <c r="AG1629" s="215" t="n"/>
      <c r="AH1629" s="215" t="n"/>
      <c r="AI1629" s="215" t="n"/>
      <c r="AJ1629" s="215" t="n"/>
      <c r="AK1629" s="216" t="n"/>
    </row>
    <row r="1630" ht="15" customHeight="1">
      <c r="B1630" s="134" t="n"/>
      <c r="C1630" s="105" t="n"/>
      <c r="D1630" s="105" t="n"/>
      <c r="E1630" s="105" t="n"/>
      <c r="F1630" s="105" t="n"/>
      <c r="G1630" s="105" t="n"/>
      <c r="H1630" s="2" t="n"/>
      <c r="I1630" s="105" t="n"/>
      <c r="K1630" s="215" t="n"/>
      <c r="L1630" s="215" t="n"/>
      <c r="M1630" s="215" t="n"/>
      <c r="N1630" s="215" t="n"/>
      <c r="O1630" s="215" t="n"/>
      <c r="P1630" s="215" t="n"/>
      <c r="Q1630" s="215" t="n"/>
      <c r="R1630" s="215" t="n"/>
      <c r="S1630" s="215" t="n"/>
      <c r="T1630" s="215" t="n"/>
      <c r="U1630" s="215" t="n"/>
      <c r="V1630" s="215" t="n"/>
      <c r="W1630" s="215" t="n"/>
      <c r="X1630" s="215" t="n"/>
      <c r="Y1630" s="215" t="n"/>
      <c r="Z1630" s="215" t="n"/>
      <c r="AA1630" s="215" t="n"/>
      <c r="AB1630" s="215" t="n"/>
      <c r="AC1630" s="215" t="n"/>
      <c r="AD1630" s="215" t="n"/>
      <c r="AE1630" s="215" t="n"/>
      <c r="AF1630" s="215" t="n"/>
      <c r="AG1630" s="215" t="n"/>
      <c r="AH1630" s="215" t="n"/>
      <c r="AI1630" s="215" t="n"/>
      <c r="AJ1630" s="215" t="n"/>
      <c r="AK1630" s="216" t="n"/>
    </row>
    <row r="1631" ht="15" customHeight="1">
      <c r="B1631" s="134" t="n"/>
      <c r="C1631" s="105" t="n"/>
      <c r="D1631" s="105" t="n"/>
      <c r="E1631" s="105" t="n"/>
      <c r="F1631" s="105" t="n"/>
      <c r="G1631" s="105" t="n"/>
      <c r="H1631" s="2" t="n"/>
      <c r="I1631" s="105" t="n"/>
      <c r="K1631" s="215" t="n"/>
      <c r="L1631" s="215" t="n"/>
      <c r="M1631" s="215" t="n"/>
      <c r="N1631" s="215" t="n"/>
      <c r="O1631" s="215" t="n"/>
      <c r="P1631" s="215" t="n"/>
      <c r="Q1631" s="215" t="n"/>
      <c r="R1631" s="215" t="n"/>
      <c r="S1631" s="215" t="n"/>
      <c r="T1631" s="215" t="n"/>
      <c r="U1631" s="215" t="n"/>
      <c r="V1631" s="215" t="n"/>
      <c r="W1631" s="215" t="n"/>
      <c r="X1631" s="215" t="n"/>
      <c r="Y1631" s="215" t="n"/>
      <c r="Z1631" s="215" t="n"/>
      <c r="AA1631" s="215" t="n"/>
      <c r="AB1631" s="215" t="n"/>
      <c r="AC1631" s="215" t="n"/>
      <c r="AD1631" s="215" t="n"/>
      <c r="AE1631" s="215" t="n"/>
      <c r="AF1631" s="215" t="n"/>
      <c r="AG1631" s="215" t="n"/>
      <c r="AH1631" s="215" t="n"/>
      <c r="AI1631" s="215" t="n"/>
      <c r="AJ1631" s="215" t="n"/>
      <c r="AK1631" s="216" t="n"/>
    </row>
    <row r="1632" ht="15" customHeight="1">
      <c r="B1632" s="134" t="n"/>
      <c r="C1632" s="105" t="n"/>
      <c r="D1632" s="105" t="n"/>
      <c r="E1632" s="105" t="n"/>
      <c r="F1632" s="105" t="n"/>
      <c r="G1632" s="105" t="n"/>
      <c r="H1632" s="2" t="n"/>
      <c r="I1632" s="105" t="n"/>
      <c r="K1632" s="215" t="n"/>
      <c r="L1632" s="215" t="n"/>
      <c r="M1632" s="215" t="n"/>
      <c r="N1632" s="215" t="n"/>
      <c r="O1632" s="215" t="n"/>
      <c r="P1632" s="215" t="n"/>
      <c r="Q1632" s="215" t="n"/>
      <c r="R1632" s="215" t="n"/>
      <c r="S1632" s="215" t="n"/>
      <c r="T1632" s="215" t="n"/>
      <c r="U1632" s="215" t="n"/>
      <c r="V1632" s="215" t="n"/>
      <c r="W1632" s="215" t="n"/>
      <c r="X1632" s="215" t="n"/>
      <c r="Y1632" s="215" t="n"/>
      <c r="Z1632" s="215" t="n"/>
      <c r="AA1632" s="215" t="n"/>
      <c r="AB1632" s="215" t="n"/>
      <c r="AC1632" s="215" t="n"/>
      <c r="AD1632" s="215" t="n"/>
      <c r="AE1632" s="215" t="n"/>
      <c r="AF1632" s="215" t="n"/>
      <c r="AG1632" s="215" t="n"/>
      <c r="AH1632" s="215" t="n"/>
      <c r="AI1632" s="215" t="n"/>
      <c r="AJ1632" s="215" t="n"/>
      <c r="AK1632" s="216" t="n"/>
    </row>
    <row r="1633" ht="15" customHeight="1">
      <c r="B1633" s="134" t="n"/>
      <c r="C1633" s="105" t="n"/>
      <c r="D1633" s="105" t="n"/>
      <c r="E1633" s="105" t="n"/>
      <c r="F1633" s="105" t="n"/>
      <c r="G1633" s="105" t="n"/>
      <c r="H1633" s="2" t="n"/>
      <c r="I1633" s="105" t="n"/>
      <c r="K1633" s="215" t="n"/>
      <c r="L1633" s="215" t="n"/>
      <c r="M1633" s="215" t="n"/>
      <c r="N1633" s="215" t="n"/>
      <c r="O1633" s="215" t="n"/>
      <c r="P1633" s="215" t="n"/>
      <c r="Q1633" s="215" t="n"/>
      <c r="R1633" s="215" t="n"/>
      <c r="S1633" s="215" t="n"/>
      <c r="T1633" s="215" t="n"/>
      <c r="U1633" s="215" t="n"/>
      <c r="V1633" s="215" t="n"/>
      <c r="W1633" s="215" t="n"/>
      <c r="X1633" s="215" t="n"/>
      <c r="Y1633" s="215" t="n"/>
      <c r="Z1633" s="215" t="n"/>
      <c r="AA1633" s="215" t="n"/>
      <c r="AB1633" s="215" t="n"/>
      <c r="AC1633" s="215" t="n"/>
      <c r="AD1633" s="215" t="n"/>
      <c r="AE1633" s="215" t="n"/>
      <c r="AF1633" s="215" t="n"/>
      <c r="AG1633" s="215" t="n"/>
      <c r="AH1633" s="215" t="n"/>
      <c r="AI1633" s="215" t="n"/>
      <c r="AJ1633" s="215" t="n"/>
      <c r="AK1633" s="216" t="n"/>
    </row>
    <row r="1634" ht="15" customHeight="1">
      <c r="B1634" s="134" t="n"/>
      <c r="C1634" s="105" t="n"/>
      <c r="D1634" s="105" t="n"/>
      <c r="E1634" s="105" t="n"/>
      <c r="F1634" s="105" t="n"/>
      <c r="G1634" s="105" t="n"/>
      <c r="H1634" s="2" t="n"/>
      <c r="I1634" s="105" t="n"/>
      <c r="K1634" s="215" t="n"/>
      <c r="L1634" s="215" t="n"/>
      <c r="M1634" s="215" t="n"/>
      <c r="N1634" s="215" t="n"/>
      <c r="O1634" s="215" t="n"/>
      <c r="P1634" s="215" t="n"/>
      <c r="Q1634" s="215" t="n"/>
      <c r="R1634" s="215" t="n"/>
      <c r="S1634" s="215" t="n"/>
      <c r="T1634" s="215" t="n"/>
      <c r="U1634" s="215" t="n"/>
      <c r="V1634" s="215" t="n"/>
      <c r="W1634" s="215" t="n"/>
      <c r="X1634" s="215" t="n"/>
      <c r="Y1634" s="215" t="n"/>
      <c r="Z1634" s="215" t="n"/>
      <c r="AA1634" s="215" t="n"/>
      <c r="AB1634" s="215" t="n"/>
      <c r="AC1634" s="215" t="n"/>
      <c r="AD1634" s="215" t="n"/>
      <c r="AE1634" s="215" t="n"/>
      <c r="AF1634" s="215" t="n"/>
      <c r="AG1634" s="215" t="n"/>
      <c r="AH1634" s="215" t="n"/>
      <c r="AI1634" s="215" t="n"/>
      <c r="AJ1634" s="215" t="n"/>
      <c r="AK1634" s="216" t="n"/>
    </row>
    <row r="1635" ht="15" customHeight="1">
      <c r="B1635" s="134" t="n"/>
      <c r="C1635" s="105" t="n"/>
      <c r="D1635" s="105" t="n"/>
      <c r="E1635" s="105" t="n"/>
      <c r="F1635" s="105" t="n"/>
      <c r="G1635" s="105" t="n"/>
      <c r="H1635" s="2" t="n"/>
      <c r="I1635" s="105" t="n"/>
      <c r="K1635" s="215" t="n"/>
      <c r="L1635" s="215" t="n"/>
      <c r="M1635" s="215" t="n"/>
      <c r="N1635" s="215" t="n"/>
      <c r="O1635" s="215" t="n"/>
      <c r="P1635" s="215" t="n"/>
      <c r="Q1635" s="215" t="n"/>
      <c r="R1635" s="215" t="n"/>
      <c r="S1635" s="215" t="n"/>
      <c r="T1635" s="215" t="n"/>
      <c r="U1635" s="215" t="n"/>
      <c r="V1635" s="215" t="n"/>
      <c r="W1635" s="215" t="n"/>
      <c r="X1635" s="215" t="n"/>
      <c r="Y1635" s="215" t="n"/>
      <c r="Z1635" s="215" t="n"/>
      <c r="AA1635" s="215" t="n"/>
      <c r="AB1635" s="215" t="n"/>
      <c r="AC1635" s="215" t="n"/>
      <c r="AD1635" s="215" t="n"/>
      <c r="AE1635" s="215" t="n"/>
      <c r="AF1635" s="215" t="n"/>
      <c r="AG1635" s="215" t="n"/>
      <c r="AH1635" s="215" t="n"/>
      <c r="AI1635" s="215" t="n"/>
      <c r="AJ1635" s="215" t="n"/>
      <c r="AK1635" s="216" t="n"/>
    </row>
    <row r="1636" ht="15" customHeight="1">
      <c r="B1636" s="134" t="n"/>
      <c r="C1636" s="105" t="n"/>
      <c r="D1636" s="105" t="n"/>
      <c r="E1636" s="105" t="n"/>
      <c r="F1636" s="105" t="n"/>
      <c r="G1636" s="105" t="n"/>
      <c r="H1636" s="2" t="n"/>
      <c r="I1636" s="105" t="n"/>
      <c r="K1636" s="215" t="n"/>
      <c r="L1636" s="215" t="n"/>
      <c r="M1636" s="215" t="n"/>
      <c r="N1636" s="215" t="n"/>
      <c r="O1636" s="215" t="n"/>
      <c r="P1636" s="215" t="n"/>
      <c r="Q1636" s="215" t="n"/>
      <c r="R1636" s="215" t="n"/>
      <c r="S1636" s="215" t="n"/>
      <c r="T1636" s="215" t="n"/>
      <c r="U1636" s="215" t="n"/>
      <c r="V1636" s="215" t="n"/>
      <c r="W1636" s="215" t="n"/>
      <c r="X1636" s="215" t="n"/>
      <c r="Y1636" s="215" t="n"/>
      <c r="Z1636" s="215" t="n"/>
      <c r="AA1636" s="215" t="n"/>
      <c r="AB1636" s="215" t="n"/>
      <c r="AC1636" s="215" t="n"/>
      <c r="AD1636" s="215" t="n"/>
      <c r="AE1636" s="215" t="n"/>
      <c r="AF1636" s="215" t="n"/>
      <c r="AG1636" s="215" t="n"/>
      <c r="AH1636" s="215" t="n"/>
      <c r="AI1636" s="215" t="n"/>
      <c r="AJ1636" s="215" t="n"/>
      <c r="AK1636" s="216" t="n"/>
    </row>
    <row r="1637" ht="15" customHeight="1">
      <c r="B1637" s="134" t="n"/>
      <c r="C1637" s="105" t="n"/>
      <c r="D1637" s="105" t="n"/>
      <c r="E1637" s="105" t="n"/>
      <c r="F1637" s="105" t="n"/>
      <c r="G1637" s="105" t="n"/>
      <c r="H1637" s="2" t="n"/>
      <c r="I1637" s="105" t="n"/>
      <c r="K1637" s="215" t="n"/>
      <c r="L1637" s="215" t="n"/>
      <c r="M1637" s="215" t="n"/>
      <c r="N1637" s="215" t="n"/>
      <c r="O1637" s="215" t="n"/>
      <c r="P1637" s="215" t="n"/>
      <c r="Q1637" s="215" t="n"/>
      <c r="R1637" s="215" t="n"/>
      <c r="S1637" s="215" t="n"/>
      <c r="T1637" s="215" t="n"/>
      <c r="U1637" s="215" t="n"/>
      <c r="V1637" s="215" t="n"/>
      <c r="W1637" s="215" t="n"/>
      <c r="X1637" s="215" t="n"/>
      <c r="Y1637" s="215" t="n"/>
      <c r="Z1637" s="215" t="n"/>
      <c r="AA1637" s="215" t="n"/>
      <c r="AB1637" s="215" t="n"/>
      <c r="AC1637" s="215" t="n"/>
      <c r="AD1637" s="215" t="n"/>
      <c r="AE1637" s="215" t="n"/>
      <c r="AF1637" s="215" t="n"/>
      <c r="AG1637" s="215" t="n"/>
      <c r="AH1637" s="215" t="n"/>
      <c r="AI1637" s="215" t="n"/>
      <c r="AJ1637" s="215" t="n"/>
      <c r="AK1637" s="216" t="n"/>
    </row>
    <row r="1638" ht="15" customHeight="1">
      <c r="B1638" s="134" t="n"/>
      <c r="C1638" s="105" t="n"/>
      <c r="D1638" s="105" t="n"/>
      <c r="E1638" s="105" t="n"/>
      <c r="F1638" s="105" t="n"/>
      <c r="G1638" s="105" t="n"/>
      <c r="H1638" s="2" t="n"/>
      <c r="I1638" s="105" t="n"/>
      <c r="K1638" s="215" t="n"/>
      <c r="L1638" s="215" t="n"/>
      <c r="M1638" s="215" t="n"/>
      <c r="N1638" s="215" t="n"/>
      <c r="O1638" s="215" t="n"/>
      <c r="P1638" s="215" t="n"/>
      <c r="Q1638" s="215" t="n"/>
      <c r="R1638" s="215" t="n"/>
      <c r="S1638" s="215" t="n"/>
      <c r="T1638" s="215" t="n"/>
      <c r="U1638" s="215" t="n"/>
      <c r="V1638" s="215" t="n"/>
      <c r="W1638" s="215" t="n"/>
      <c r="X1638" s="215" t="n"/>
      <c r="Y1638" s="215" t="n"/>
      <c r="Z1638" s="215" t="n"/>
      <c r="AA1638" s="215" t="n"/>
      <c r="AB1638" s="215" t="n"/>
      <c r="AC1638" s="215" t="n"/>
      <c r="AD1638" s="215" t="n"/>
      <c r="AE1638" s="215" t="n"/>
      <c r="AF1638" s="215" t="n"/>
      <c r="AG1638" s="215" t="n"/>
      <c r="AH1638" s="215" t="n"/>
      <c r="AI1638" s="215" t="n"/>
      <c r="AJ1638" s="215" t="n"/>
      <c r="AK1638" s="216" t="n"/>
    </row>
    <row r="1639" ht="15" customHeight="1">
      <c r="B1639" s="134" t="n"/>
      <c r="C1639" s="105" t="n"/>
      <c r="D1639" s="105" t="n"/>
      <c r="E1639" s="105" t="n"/>
      <c r="F1639" s="105" t="n"/>
      <c r="G1639" s="105" t="n"/>
      <c r="H1639" s="2" t="n"/>
      <c r="I1639" s="105" t="n"/>
      <c r="K1639" s="215" t="n"/>
      <c r="L1639" s="215" t="n"/>
      <c r="M1639" s="215" t="n"/>
      <c r="N1639" s="215" t="n"/>
      <c r="O1639" s="215" t="n"/>
      <c r="P1639" s="215" t="n"/>
      <c r="Q1639" s="215" t="n"/>
      <c r="R1639" s="215" t="n"/>
      <c r="S1639" s="215" t="n"/>
      <c r="T1639" s="215" t="n"/>
      <c r="U1639" s="215" t="n"/>
      <c r="V1639" s="215" t="n"/>
      <c r="W1639" s="215" t="n"/>
      <c r="X1639" s="215" t="n"/>
      <c r="Y1639" s="215" t="n"/>
      <c r="Z1639" s="215" t="n"/>
      <c r="AA1639" s="215" t="n"/>
      <c r="AB1639" s="215" t="n"/>
      <c r="AC1639" s="215" t="n"/>
      <c r="AD1639" s="215" t="n"/>
      <c r="AE1639" s="215" t="n"/>
      <c r="AF1639" s="215" t="n"/>
      <c r="AG1639" s="215" t="n"/>
      <c r="AH1639" s="215" t="n"/>
      <c r="AI1639" s="215" t="n"/>
      <c r="AJ1639" s="215" t="n"/>
      <c r="AK1639" s="216" t="n"/>
    </row>
    <row r="1640" ht="15" customHeight="1">
      <c r="B1640" s="134" t="n"/>
      <c r="C1640" s="105" t="n"/>
      <c r="D1640" s="105" t="n"/>
      <c r="E1640" s="105" t="n"/>
      <c r="F1640" s="105" t="n"/>
      <c r="G1640" s="105" t="n"/>
      <c r="H1640" s="2" t="n"/>
      <c r="I1640" s="105" t="n"/>
      <c r="K1640" s="215" t="n"/>
      <c r="L1640" s="215" t="n"/>
      <c r="M1640" s="215" t="n"/>
      <c r="N1640" s="215" t="n"/>
      <c r="O1640" s="215" t="n"/>
      <c r="P1640" s="215" t="n"/>
      <c r="Q1640" s="215" t="n"/>
      <c r="R1640" s="215" t="n"/>
      <c r="S1640" s="215" t="n"/>
      <c r="T1640" s="215" t="n"/>
      <c r="U1640" s="215" t="n"/>
      <c r="V1640" s="215" t="n"/>
      <c r="W1640" s="215" t="n"/>
      <c r="X1640" s="215" t="n"/>
      <c r="Y1640" s="215" t="n"/>
      <c r="Z1640" s="215" t="n"/>
      <c r="AA1640" s="215" t="n"/>
      <c r="AB1640" s="215" t="n"/>
      <c r="AC1640" s="215" t="n"/>
      <c r="AD1640" s="215" t="n"/>
      <c r="AE1640" s="215" t="n"/>
      <c r="AF1640" s="215" t="n"/>
      <c r="AG1640" s="215" t="n"/>
      <c r="AH1640" s="215" t="n"/>
      <c r="AI1640" s="215" t="n"/>
      <c r="AJ1640" s="215" t="n"/>
      <c r="AK1640" s="216" t="n"/>
    </row>
    <row r="1641" ht="15" customHeight="1">
      <c r="B1641" s="134" t="n"/>
      <c r="C1641" s="105" t="n"/>
      <c r="D1641" s="105" t="n"/>
      <c r="E1641" s="105" t="n"/>
      <c r="F1641" s="105" t="n"/>
      <c r="G1641" s="105" t="n"/>
      <c r="H1641" s="2" t="n"/>
      <c r="I1641" s="105" t="n"/>
      <c r="K1641" s="215" t="n"/>
      <c r="L1641" s="215" t="n"/>
      <c r="M1641" s="215" t="n"/>
      <c r="N1641" s="215" t="n"/>
      <c r="O1641" s="215" t="n"/>
      <c r="P1641" s="215" t="n"/>
      <c r="Q1641" s="215" t="n"/>
      <c r="R1641" s="215" t="n"/>
      <c r="S1641" s="215" t="n"/>
      <c r="T1641" s="215" t="n"/>
      <c r="U1641" s="215" t="n"/>
      <c r="V1641" s="215" t="n"/>
      <c r="W1641" s="215" t="n"/>
      <c r="X1641" s="215" t="n"/>
      <c r="Y1641" s="215" t="n"/>
      <c r="Z1641" s="215" t="n"/>
      <c r="AA1641" s="215" t="n"/>
      <c r="AB1641" s="215" t="n"/>
      <c r="AC1641" s="215" t="n"/>
      <c r="AD1641" s="215" t="n"/>
      <c r="AE1641" s="215" t="n"/>
      <c r="AF1641" s="215" t="n"/>
      <c r="AG1641" s="215" t="n"/>
      <c r="AH1641" s="215" t="n"/>
      <c r="AI1641" s="215" t="n"/>
      <c r="AJ1641" s="215" t="n"/>
      <c r="AK1641" s="216" t="n"/>
    </row>
    <row r="1642" ht="15" customHeight="1">
      <c r="B1642" s="134" t="n"/>
      <c r="C1642" s="105" t="n"/>
      <c r="D1642" s="105" t="n"/>
      <c r="E1642" s="105" t="n"/>
      <c r="F1642" s="105" t="n"/>
      <c r="G1642" s="105" t="n"/>
      <c r="H1642" s="2" t="n"/>
      <c r="I1642" s="105" t="n"/>
      <c r="K1642" s="215" t="n"/>
      <c r="L1642" s="215" t="n"/>
      <c r="M1642" s="215" t="n"/>
      <c r="N1642" s="215" t="n"/>
      <c r="O1642" s="215" t="n"/>
      <c r="P1642" s="215" t="n"/>
      <c r="Q1642" s="215" t="n"/>
      <c r="R1642" s="215" t="n"/>
      <c r="S1642" s="215" t="n"/>
      <c r="T1642" s="215" t="n"/>
      <c r="U1642" s="215" t="n"/>
      <c r="V1642" s="215" t="n"/>
      <c r="W1642" s="215" t="n"/>
      <c r="X1642" s="215" t="n"/>
      <c r="Y1642" s="215" t="n"/>
      <c r="Z1642" s="215" t="n"/>
      <c r="AA1642" s="215" t="n"/>
      <c r="AB1642" s="215" t="n"/>
      <c r="AC1642" s="215" t="n"/>
      <c r="AD1642" s="215" t="n"/>
      <c r="AE1642" s="215" t="n"/>
      <c r="AF1642" s="215" t="n"/>
      <c r="AG1642" s="215" t="n"/>
      <c r="AH1642" s="215" t="n"/>
      <c r="AI1642" s="215" t="n"/>
      <c r="AJ1642" s="215" t="n"/>
      <c r="AK1642" s="216" t="n"/>
    </row>
    <row r="1643" ht="15" customHeight="1">
      <c r="B1643" s="134" t="n"/>
      <c r="C1643" s="105" t="n"/>
      <c r="D1643" s="105" t="n"/>
      <c r="E1643" s="105" t="n"/>
      <c r="F1643" s="105" t="n"/>
      <c r="G1643" s="105" t="n"/>
      <c r="H1643" s="2" t="n"/>
      <c r="I1643" s="105" t="n"/>
      <c r="K1643" s="215" t="n"/>
      <c r="L1643" s="215" t="n"/>
      <c r="M1643" s="215" t="n"/>
      <c r="N1643" s="215" t="n"/>
      <c r="O1643" s="215" t="n"/>
      <c r="P1643" s="215" t="n"/>
      <c r="Q1643" s="215" t="n"/>
      <c r="R1643" s="215" t="n"/>
      <c r="S1643" s="215" t="n"/>
      <c r="T1643" s="215" t="n"/>
      <c r="U1643" s="215" t="n"/>
      <c r="V1643" s="215" t="n"/>
      <c r="W1643" s="215" t="n"/>
      <c r="X1643" s="215" t="n"/>
      <c r="Y1643" s="215" t="n"/>
      <c r="Z1643" s="215" t="n"/>
      <c r="AA1643" s="215" t="n"/>
      <c r="AB1643" s="215" t="n"/>
      <c r="AC1643" s="215" t="n"/>
      <c r="AD1643" s="215" t="n"/>
      <c r="AE1643" s="215" t="n"/>
      <c r="AF1643" s="215" t="n"/>
      <c r="AG1643" s="215" t="n"/>
      <c r="AH1643" s="215" t="n"/>
      <c r="AI1643" s="215" t="n"/>
      <c r="AJ1643" s="215" t="n"/>
      <c r="AK1643" s="216" t="n"/>
    </row>
    <row r="1644" ht="15" customHeight="1">
      <c r="B1644" s="134" t="n"/>
      <c r="C1644" s="105" t="n"/>
      <c r="D1644" s="105" t="n"/>
      <c r="E1644" s="105" t="n"/>
      <c r="F1644" s="105" t="n"/>
      <c r="G1644" s="105" t="n"/>
      <c r="H1644" s="2" t="n"/>
      <c r="I1644" s="105" t="n"/>
      <c r="K1644" s="215" t="n"/>
      <c r="L1644" s="215" t="n"/>
      <c r="M1644" s="215" t="n"/>
      <c r="N1644" s="215" t="n"/>
      <c r="O1644" s="215" t="n"/>
      <c r="P1644" s="215" t="n"/>
      <c r="Q1644" s="215" t="n"/>
      <c r="R1644" s="215" t="n"/>
      <c r="S1644" s="215" t="n"/>
      <c r="T1644" s="215" t="n"/>
      <c r="U1644" s="215" t="n"/>
      <c r="V1644" s="215" t="n"/>
      <c r="W1644" s="215" t="n"/>
      <c r="X1644" s="215" t="n"/>
      <c r="Y1644" s="215" t="n"/>
      <c r="Z1644" s="215" t="n"/>
      <c r="AA1644" s="215" t="n"/>
      <c r="AB1644" s="215" t="n"/>
      <c r="AC1644" s="215" t="n"/>
      <c r="AD1644" s="215" t="n"/>
      <c r="AE1644" s="215" t="n"/>
      <c r="AF1644" s="215" t="n"/>
      <c r="AG1644" s="215" t="n"/>
      <c r="AH1644" s="215" t="n"/>
      <c r="AI1644" s="215" t="n"/>
      <c r="AJ1644" s="215" t="n"/>
      <c r="AK1644" s="216" t="n"/>
    </row>
    <row r="1645" ht="15" customHeight="1">
      <c r="B1645" s="134" t="n"/>
      <c r="C1645" s="105" t="n"/>
      <c r="D1645" s="105" t="n"/>
      <c r="E1645" s="105" t="n"/>
      <c r="F1645" s="105" t="n"/>
      <c r="G1645" s="105" t="n"/>
      <c r="H1645" s="2" t="n"/>
      <c r="I1645" s="105" t="n"/>
      <c r="K1645" s="215" t="n"/>
      <c r="L1645" s="215" t="n"/>
      <c r="M1645" s="215" t="n"/>
      <c r="N1645" s="215" t="n"/>
      <c r="O1645" s="215" t="n"/>
      <c r="P1645" s="215" t="n"/>
      <c r="Q1645" s="215" t="n"/>
      <c r="R1645" s="215" t="n"/>
      <c r="S1645" s="215" t="n"/>
      <c r="T1645" s="215" t="n"/>
      <c r="U1645" s="215" t="n"/>
      <c r="V1645" s="215" t="n"/>
      <c r="W1645" s="215" t="n"/>
      <c r="X1645" s="215" t="n"/>
      <c r="Y1645" s="215" t="n"/>
      <c r="Z1645" s="215" t="n"/>
      <c r="AA1645" s="215" t="n"/>
      <c r="AB1645" s="215" t="n"/>
      <c r="AC1645" s="215" t="n"/>
      <c r="AD1645" s="215" t="n"/>
      <c r="AE1645" s="215" t="n"/>
      <c r="AF1645" s="215" t="n"/>
      <c r="AG1645" s="215" t="n"/>
      <c r="AH1645" s="215" t="n"/>
      <c r="AI1645" s="215" t="n"/>
      <c r="AJ1645" s="215" t="n"/>
      <c r="AK1645" s="216" t="n"/>
    </row>
    <row r="1646" ht="15" customHeight="1">
      <c r="B1646" s="134" t="n"/>
      <c r="C1646" s="105" t="n"/>
      <c r="D1646" s="105" t="n"/>
      <c r="E1646" s="105" t="n"/>
      <c r="F1646" s="105" t="n"/>
      <c r="G1646" s="105" t="n"/>
      <c r="H1646" s="2" t="n"/>
      <c r="I1646" s="105" t="n"/>
      <c r="K1646" s="215" t="n"/>
      <c r="L1646" s="215" t="n"/>
      <c r="M1646" s="215" t="n"/>
      <c r="N1646" s="215" t="n"/>
      <c r="O1646" s="215" t="n"/>
      <c r="P1646" s="215" t="n"/>
      <c r="Q1646" s="215" t="n"/>
      <c r="R1646" s="215" t="n"/>
      <c r="S1646" s="215" t="n"/>
      <c r="T1646" s="215" t="n"/>
      <c r="U1646" s="215" t="n"/>
      <c r="V1646" s="215" t="n"/>
      <c r="W1646" s="215" t="n"/>
      <c r="X1646" s="215" t="n"/>
      <c r="Y1646" s="215" t="n"/>
      <c r="Z1646" s="215" t="n"/>
      <c r="AA1646" s="215" t="n"/>
      <c r="AB1646" s="215" t="n"/>
      <c r="AC1646" s="215" t="n"/>
      <c r="AD1646" s="215" t="n"/>
      <c r="AE1646" s="215" t="n"/>
      <c r="AF1646" s="215" t="n"/>
      <c r="AG1646" s="215" t="n"/>
      <c r="AH1646" s="215" t="n"/>
      <c r="AI1646" s="215" t="n"/>
      <c r="AJ1646" s="215" t="n"/>
      <c r="AK1646" s="216" t="n"/>
    </row>
    <row r="1647" ht="15" customHeight="1">
      <c r="B1647" s="134" t="n"/>
      <c r="C1647" s="105" t="n"/>
      <c r="D1647" s="105" t="n"/>
      <c r="E1647" s="105" t="n"/>
      <c r="F1647" s="105" t="n"/>
      <c r="G1647" s="105" t="n"/>
      <c r="H1647" s="2" t="n"/>
      <c r="I1647" s="105" t="n"/>
      <c r="K1647" s="215" t="n"/>
      <c r="L1647" s="215" t="n"/>
      <c r="M1647" s="215" t="n"/>
      <c r="N1647" s="215" t="n"/>
      <c r="O1647" s="215" t="n"/>
      <c r="P1647" s="215" t="n"/>
      <c r="Q1647" s="215" t="n"/>
      <c r="R1647" s="215" t="n"/>
      <c r="S1647" s="215" t="n"/>
      <c r="T1647" s="215" t="n"/>
      <c r="U1647" s="215" t="n"/>
      <c r="V1647" s="215" t="n"/>
      <c r="W1647" s="215" t="n"/>
      <c r="X1647" s="215" t="n"/>
      <c r="Y1647" s="215" t="n"/>
      <c r="Z1647" s="215" t="n"/>
      <c r="AA1647" s="215" t="n"/>
      <c r="AB1647" s="215" t="n"/>
      <c r="AC1647" s="215" t="n"/>
      <c r="AD1647" s="215" t="n"/>
      <c r="AE1647" s="215" t="n"/>
      <c r="AF1647" s="215" t="n"/>
      <c r="AG1647" s="215" t="n"/>
      <c r="AH1647" s="215" t="n"/>
      <c r="AI1647" s="215" t="n"/>
      <c r="AJ1647" s="215" t="n"/>
      <c r="AK1647" s="216" t="n"/>
    </row>
    <row r="1648" ht="15" customHeight="1">
      <c r="B1648" s="134" t="n"/>
      <c r="C1648" s="105" t="n"/>
      <c r="D1648" s="105" t="n"/>
      <c r="E1648" s="105" t="n"/>
      <c r="F1648" s="105" t="n"/>
      <c r="G1648" s="105" t="n"/>
      <c r="H1648" s="2" t="n"/>
      <c r="I1648" s="105" t="n"/>
      <c r="K1648" s="215" t="n"/>
      <c r="L1648" s="215" t="n"/>
      <c r="M1648" s="215" t="n"/>
      <c r="N1648" s="215" t="n"/>
      <c r="O1648" s="215" t="n"/>
      <c r="P1648" s="215" t="n"/>
      <c r="Q1648" s="215" t="n"/>
      <c r="R1648" s="215" t="n"/>
      <c r="S1648" s="215" t="n"/>
      <c r="T1648" s="215" t="n"/>
      <c r="U1648" s="215" t="n"/>
      <c r="V1648" s="215" t="n"/>
      <c r="W1648" s="215" t="n"/>
      <c r="X1648" s="215" t="n"/>
      <c r="Y1648" s="215" t="n"/>
      <c r="Z1648" s="215" t="n"/>
      <c r="AA1648" s="215" t="n"/>
      <c r="AB1648" s="215" t="n"/>
      <c r="AC1648" s="215" t="n"/>
      <c r="AD1648" s="215" t="n"/>
      <c r="AE1648" s="215" t="n"/>
      <c r="AF1648" s="215" t="n"/>
      <c r="AG1648" s="215" t="n"/>
      <c r="AH1648" s="215" t="n"/>
      <c r="AI1648" s="215" t="n"/>
      <c r="AJ1648" s="215" t="n"/>
      <c r="AK1648" s="216" t="n"/>
    </row>
    <row r="1649" ht="15" customHeight="1">
      <c r="B1649" s="134" t="n"/>
      <c r="C1649" s="105" t="n"/>
      <c r="D1649" s="105" t="n"/>
      <c r="E1649" s="105" t="n"/>
      <c r="F1649" s="105" t="n"/>
      <c r="G1649" s="105" t="n"/>
      <c r="H1649" s="2" t="n"/>
      <c r="I1649" s="105" t="n"/>
      <c r="K1649" s="215" t="n"/>
      <c r="L1649" s="215" t="n"/>
      <c r="M1649" s="215" t="n"/>
      <c r="N1649" s="215" t="n"/>
      <c r="O1649" s="215" t="n"/>
      <c r="P1649" s="215" t="n"/>
      <c r="Q1649" s="215" t="n"/>
      <c r="R1649" s="215" t="n"/>
      <c r="S1649" s="215" t="n"/>
      <c r="T1649" s="215" t="n"/>
      <c r="U1649" s="215" t="n"/>
      <c r="V1649" s="215" t="n"/>
      <c r="W1649" s="215" t="n"/>
      <c r="X1649" s="215" t="n"/>
      <c r="Y1649" s="215" t="n"/>
      <c r="Z1649" s="215" t="n"/>
      <c r="AA1649" s="215" t="n"/>
      <c r="AB1649" s="215" t="n"/>
      <c r="AC1649" s="215" t="n"/>
      <c r="AD1649" s="215" t="n"/>
      <c r="AE1649" s="215" t="n"/>
      <c r="AF1649" s="215" t="n"/>
      <c r="AG1649" s="215" t="n"/>
      <c r="AH1649" s="215" t="n"/>
      <c r="AI1649" s="215" t="n"/>
      <c r="AJ1649" s="215" t="n"/>
      <c r="AK1649" s="216" t="n"/>
    </row>
    <row r="1650" ht="15" customHeight="1">
      <c r="B1650" s="134" t="n"/>
      <c r="C1650" s="105" t="n"/>
      <c r="D1650" s="105" t="n"/>
      <c r="E1650" s="105" t="n"/>
      <c r="F1650" s="105" t="n"/>
      <c r="G1650" s="105" t="n"/>
      <c r="H1650" s="2" t="n"/>
      <c r="I1650" s="105" t="n"/>
      <c r="K1650" s="215" t="n"/>
      <c r="L1650" s="215" t="n"/>
      <c r="M1650" s="215" t="n"/>
      <c r="N1650" s="215" t="n"/>
      <c r="O1650" s="215" t="n"/>
      <c r="P1650" s="215" t="n"/>
      <c r="Q1650" s="215" t="n"/>
      <c r="R1650" s="215" t="n"/>
      <c r="S1650" s="215" t="n"/>
      <c r="T1650" s="215" t="n"/>
      <c r="U1650" s="215" t="n"/>
      <c r="V1650" s="215" t="n"/>
      <c r="W1650" s="215" t="n"/>
      <c r="X1650" s="215" t="n"/>
      <c r="Y1650" s="215" t="n"/>
      <c r="Z1650" s="215" t="n"/>
      <c r="AA1650" s="215" t="n"/>
      <c r="AB1650" s="215" t="n"/>
      <c r="AC1650" s="215" t="n"/>
      <c r="AD1650" s="215" t="n"/>
      <c r="AE1650" s="215" t="n"/>
      <c r="AF1650" s="215" t="n"/>
      <c r="AG1650" s="215" t="n"/>
      <c r="AH1650" s="215" t="n"/>
      <c r="AI1650" s="215" t="n"/>
      <c r="AJ1650" s="215" t="n"/>
      <c r="AK1650" s="216" t="n"/>
    </row>
    <row r="1651" ht="15" customHeight="1">
      <c r="B1651" s="134" t="n"/>
      <c r="C1651" s="105" t="n"/>
      <c r="D1651" s="105" t="n"/>
      <c r="E1651" s="105" t="n"/>
      <c r="F1651" s="105" t="n"/>
      <c r="G1651" s="105" t="n"/>
      <c r="H1651" s="2" t="n"/>
      <c r="I1651" s="105" t="n"/>
      <c r="K1651" s="215" t="n"/>
      <c r="L1651" s="215" t="n"/>
      <c r="M1651" s="215" t="n"/>
      <c r="N1651" s="215" t="n"/>
      <c r="O1651" s="215" t="n"/>
      <c r="P1651" s="215" t="n"/>
      <c r="Q1651" s="215" t="n"/>
      <c r="R1651" s="215" t="n"/>
      <c r="S1651" s="215" t="n"/>
      <c r="T1651" s="215" t="n"/>
      <c r="U1651" s="215" t="n"/>
      <c r="V1651" s="215" t="n"/>
      <c r="W1651" s="215" t="n"/>
      <c r="X1651" s="215" t="n"/>
      <c r="Y1651" s="215" t="n"/>
      <c r="Z1651" s="215" t="n"/>
      <c r="AA1651" s="215" t="n"/>
      <c r="AB1651" s="215" t="n"/>
      <c r="AC1651" s="215" t="n"/>
      <c r="AD1651" s="215" t="n"/>
      <c r="AE1651" s="215" t="n"/>
      <c r="AF1651" s="215" t="n"/>
      <c r="AG1651" s="215" t="n"/>
      <c r="AH1651" s="215" t="n"/>
      <c r="AI1651" s="215" t="n"/>
      <c r="AJ1651" s="215" t="n"/>
      <c r="AK1651" s="216" t="n"/>
    </row>
    <row r="1652" ht="15" customHeight="1">
      <c r="B1652" s="134" t="n"/>
      <c r="C1652" s="105" t="n"/>
      <c r="D1652" s="105" t="n"/>
      <c r="E1652" s="105" t="n"/>
      <c r="F1652" s="105" t="n"/>
      <c r="G1652" s="105" t="n"/>
      <c r="H1652" s="2" t="n"/>
      <c r="I1652" s="105" t="n"/>
      <c r="K1652" s="215" t="n"/>
      <c r="L1652" s="215" t="n"/>
      <c r="M1652" s="215" t="n"/>
      <c r="N1652" s="215" t="n"/>
      <c r="O1652" s="215" t="n"/>
      <c r="P1652" s="215" t="n"/>
      <c r="Q1652" s="215" t="n"/>
      <c r="R1652" s="215" t="n"/>
      <c r="S1652" s="215" t="n"/>
      <c r="T1652" s="215" t="n"/>
      <c r="U1652" s="215" t="n"/>
      <c r="V1652" s="215" t="n"/>
      <c r="W1652" s="215" t="n"/>
      <c r="X1652" s="215" t="n"/>
      <c r="Y1652" s="215" t="n"/>
      <c r="Z1652" s="215" t="n"/>
      <c r="AA1652" s="215" t="n"/>
      <c r="AB1652" s="215" t="n"/>
      <c r="AC1652" s="215" t="n"/>
      <c r="AD1652" s="215" t="n"/>
      <c r="AE1652" s="215" t="n"/>
      <c r="AF1652" s="215" t="n"/>
      <c r="AG1652" s="215" t="n"/>
      <c r="AH1652" s="215" t="n"/>
      <c r="AI1652" s="215" t="n"/>
      <c r="AJ1652" s="215" t="n"/>
      <c r="AK1652" s="216" t="n"/>
    </row>
    <row r="1653" ht="15" customHeight="1">
      <c r="B1653" s="134" t="n"/>
      <c r="C1653" s="105" t="n"/>
      <c r="D1653" s="105" t="n"/>
      <c r="E1653" s="105" t="n"/>
      <c r="F1653" s="105" t="n"/>
      <c r="G1653" s="105" t="n"/>
      <c r="H1653" s="2" t="n"/>
      <c r="I1653" s="105" t="n"/>
      <c r="K1653" s="215" t="n"/>
      <c r="L1653" s="215" t="n"/>
      <c r="M1653" s="215" t="n"/>
      <c r="N1653" s="215" t="n"/>
      <c r="O1653" s="215" t="n"/>
      <c r="P1653" s="215" t="n"/>
      <c r="Q1653" s="215" t="n"/>
      <c r="R1653" s="215" t="n"/>
      <c r="S1653" s="215" t="n"/>
      <c r="T1653" s="215" t="n"/>
      <c r="U1653" s="215" t="n"/>
      <c r="V1653" s="215" t="n"/>
      <c r="W1653" s="215" t="n"/>
      <c r="X1653" s="215" t="n"/>
      <c r="Y1653" s="215" t="n"/>
      <c r="Z1653" s="215" t="n"/>
      <c r="AA1653" s="215" t="n"/>
      <c r="AB1653" s="215" t="n"/>
      <c r="AC1653" s="215" t="n"/>
      <c r="AD1653" s="215" t="n"/>
      <c r="AE1653" s="215" t="n"/>
      <c r="AF1653" s="215" t="n"/>
      <c r="AG1653" s="215" t="n"/>
      <c r="AH1653" s="215" t="n"/>
      <c r="AI1653" s="215" t="n"/>
      <c r="AJ1653" s="215" t="n"/>
      <c r="AK1653" s="216" t="n"/>
    </row>
    <row r="1654" ht="15" customHeight="1">
      <c r="B1654" s="134" t="n"/>
      <c r="C1654" s="105" t="n"/>
      <c r="D1654" s="105" t="n"/>
      <c r="E1654" s="105" t="n"/>
      <c r="F1654" s="105" t="n"/>
      <c r="G1654" s="105" t="n"/>
      <c r="H1654" s="2" t="n"/>
      <c r="I1654" s="105" t="n"/>
      <c r="K1654" s="215" t="n"/>
      <c r="L1654" s="215" t="n"/>
      <c r="M1654" s="215" t="n"/>
      <c r="N1654" s="215" t="n"/>
      <c r="O1654" s="215" t="n"/>
      <c r="P1654" s="215" t="n"/>
      <c r="Q1654" s="215" t="n"/>
      <c r="R1654" s="215" t="n"/>
      <c r="S1654" s="215" t="n"/>
      <c r="T1654" s="215" t="n"/>
      <c r="U1654" s="215" t="n"/>
      <c r="V1654" s="215" t="n"/>
      <c r="W1654" s="215" t="n"/>
      <c r="X1654" s="215" t="n"/>
      <c r="Y1654" s="215" t="n"/>
      <c r="Z1654" s="215" t="n"/>
      <c r="AA1654" s="215" t="n"/>
      <c r="AB1654" s="215" t="n"/>
      <c r="AC1654" s="215" t="n"/>
      <c r="AD1654" s="215" t="n"/>
      <c r="AE1654" s="215" t="n"/>
      <c r="AF1654" s="215" t="n"/>
      <c r="AG1654" s="215" t="n"/>
      <c r="AH1654" s="215" t="n"/>
      <c r="AI1654" s="215" t="n"/>
      <c r="AJ1654" s="215" t="n"/>
      <c r="AK1654" s="216" t="n"/>
    </row>
    <row r="1655" ht="15" customHeight="1">
      <c r="B1655" s="134" t="n"/>
      <c r="C1655" s="105" t="n"/>
      <c r="D1655" s="105" t="n"/>
      <c r="E1655" s="105" t="n"/>
      <c r="F1655" s="105" t="n"/>
      <c r="G1655" s="105" t="n"/>
      <c r="H1655" s="2" t="n"/>
      <c r="I1655" s="105" t="n"/>
      <c r="K1655" s="215" t="n"/>
      <c r="L1655" s="215" t="n"/>
      <c r="M1655" s="215" t="n"/>
      <c r="N1655" s="215" t="n"/>
      <c r="O1655" s="215" t="n"/>
      <c r="P1655" s="215" t="n"/>
      <c r="Q1655" s="215" t="n"/>
      <c r="R1655" s="215" t="n"/>
      <c r="S1655" s="215" t="n"/>
      <c r="T1655" s="215" t="n"/>
      <c r="U1655" s="215" t="n"/>
      <c r="V1655" s="215" t="n"/>
      <c r="W1655" s="215" t="n"/>
      <c r="X1655" s="215" t="n"/>
      <c r="Y1655" s="215" t="n"/>
      <c r="Z1655" s="215" t="n"/>
      <c r="AA1655" s="215" t="n"/>
      <c r="AB1655" s="215" t="n"/>
      <c r="AC1655" s="215" t="n"/>
      <c r="AD1655" s="215" t="n"/>
      <c r="AE1655" s="215" t="n"/>
      <c r="AF1655" s="215" t="n"/>
      <c r="AG1655" s="215" t="n"/>
      <c r="AH1655" s="215" t="n"/>
      <c r="AI1655" s="215" t="n"/>
      <c r="AJ1655" s="215" t="n"/>
      <c r="AK1655" s="216" t="n"/>
    </row>
    <row r="1656" ht="15" customHeight="1">
      <c r="B1656" s="134" t="n"/>
      <c r="C1656" s="105" t="n"/>
      <c r="D1656" s="105" t="n"/>
      <c r="E1656" s="105" t="n"/>
      <c r="F1656" s="105" t="n"/>
      <c r="G1656" s="105" t="n"/>
      <c r="H1656" s="2" t="n"/>
      <c r="I1656" s="105" t="n"/>
      <c r="K1656" s="215" t="n"/>
      <c r="L1656" s="215" t="n"/>
      <c r="M1656" s="215" t="n"/>
      <c r="N1656" s="215" t="n"/>
      <c r="O1656" s="215" t="n"/>
      <c r="P1656" s="215" t="n"/>
      <c r="Q1656" s="215" t="n"/>
      <c r="R1656" s="215" t="n"/>
      <c r="S1656" s="215" t="n"/>
      <c r="T1656" s="215" t="n"/>
      <c r="U1656" s="215" t="n"/>
      <c r="V1656" s="215" t="n"/>
      <c r="W1656" s="215" t="n"/>
      <c r="X1656" s="215" t="n"/>
      <c r="Y1656" s="215" t="n"/>
      <c r="Z1656" s="215" t="n"/>
      <c r="AA1656" s="215" t="n"/>
      <c r="AB1656" s="215" t="n"/>
      <c r="AC1656" s="215" t="n"/>
      <c r="AD1656" s="215" t="n"/>
      <c r="AE1656" s="215" t="n"/>
      <c r="AF1656" s="215" t="n"/>
      <c r="AG1656" s="215" t="n"/>
      <c r="AH1656" s="215" t="n"/>
      <c r="AI1656" s="215" t="n"/>
      <c r="AJ1656" s="215" t="n"/>
      <c r="AK1656" s="216" t="n"/>
    </row>
    <row r="1657" ht="15" customHeight="1">
      <c r="B1657" s="134" t="n"/>
      <c r="C1657" s="105" t="n"/>
      <c r="D1657" s="105" t="n"/>
      <c r="E1657" s="105" t="n"/>
      <c r="F1657" s="105" t="n"/>
      <c r="G1657" s="105" t="n"/>
      <c r="H1657" s="2" t="n"/>
      <c r="I1657" s="105" t="n"/>
      <c r="K1657" s="215" t="n"/>
      <c r="L1657" s="215" t="n"/>
      <c r="M1657" s="215" t="n"/>
      <c r="N1657" s="215" t="n"/>
      <c r="O1657" s="215" t="n"/>
      <c r="P1657" s="215" t="n"/>
      <c r="Q1657" s="215" t="n"/>
      <c r="R1657" s="215" t="n"/>
      <c r="S1657" s="215" t="n"/>
      <c r="T1657" s="215" t="n"/>
      <c r="U1657" s="215" t="n"/>
      <c r="V1657" s="215" t="n"/>
      <c r="W1657" s="215" t="n"/>
      <c r="X1657" s="215" t="n"/>
      <c r="Y1657" s="215" t="n"/>
      <c r="Z1657" s="215" t="n"/>
      <c r="AA1657" s="215" t="n"/>
      <c r="AB1657" s="215" t="n"/>
      <c r="AC1657" s="215" t="n"/>
      <c r="AD1657" s="215" t="n"/>
      <c r="AE1657" s="215" t="n"/>
      <c r="AF1657" s="215" t="n"/>
      <c r="AG1657" s="215" t="n"/>
      <c r="AH1657" s="215" t="n"/>
      <c r="AI1657" s="215" t="n"/>
      <c r="AJ1657" s="215" t="n"/>
      <c r="AK1657" s="216" t="n"/>
    </row>
    <row r="1658" ht="15" customHeight="1">
      <c r="B1658" s="134" t="n"/>
      <c r="C1658" s="105" t="n"/>
      <c r="D1658" s="105" t="n"/>
      <c r="E1658" s="105" t="n"/>
      <c r="F1658" s="105" t="n"/>
      <c r="G1658" s="105" t="n"/>
      <c r="H1658" s="2" t="n"/>
      <c r="I1658" s="105" t="n"/>
      <c r="K1658" s="215" t="n"/>
      <c r="L1658" s="215" t="n"/>
      <c r="M1658" s="215" t="n"/>
      <c r="N1658" s="215" t="n"/>
      <c r="O1658" s="215" t="n"/>
      <c r="P1658" s="215" t="n"/>
      <c r="Q1658" s="215" t="n"/>
      <c r="R1658" s="215" t="n"/>
      <c r="S1658" s="215" t="n"/>
      <c r="T1658" s="215" t="n"/>
      <c r="U1658" s="215" t="n"/>
      <c r="V1658" s="215" t="n"/>
      <c r="W1658" s="215" t="n"/>
      <c r="X1658" s="215" t="n"/>
      <c r="Y1658" s="215" t="n"/>
      <c r="Z1658" s="215" t="n"/>
      <c r="AA1658" s="215" t="n"/>
      <c r="AB1658" s="215" t="n"/>
      <c r="AC1658" s="215" t="n"/>
      <c r="AD1658" s="215" t="n"/>
      <c r="AE1658" s="215" t="n"/>
      <c r="AF1658" s="215" t="n"/>
      <c r="AG1658" s="215" t="n"/>
      <c r="AH1658" s="215" t="n"/>
      <c r="AI1658" s="215" t="n"/>
      <c r="AJ1658" s="215" t="n"/>
      <c r="AK1658" s="216" t="n"/>
    </row>
    <row r="1659" ht="15" customHeight="1">
      <c r="B1659" s="134" t="n"/>
      <c r="C1659" s="105" t="n"/>
      <c r="D1659" s="105" t="n"/>
      <c r="E1659" s="105" t="n"/>
      <c r="F1659" s="105" t="n"/>
      <c r="G1659" s="105" t="n"/>
      <c r="H1659" s="2" t="n"/>
      <c r="I1659" s="105" t="n"/>
      <c r="K1659" s="215" t="n"/>
      <c r="L1659" s="215" t="n"/>
      <c r="M1659" s="215" t="n"/>
      <c r="N1659" s="215" t="n"/>
      <c r="O1659" s="215" t="n"/>
      <c r="P1659" s="215" t="n"/>
      <c r="Q1659" s="215" t="n"/>
      <c r="R1659" s="215" t="n"/>
      <c r="S1659" s="215" t="n"/>
      <c r="T1659" s="215" t="n"/>
      <c r="U1659" s="215" t="n"/>
      <c r="V1659" s="215" t="n"/>
      <c r="W1659" s="215" t="n"/>
      <c r="X1659" s="215" t="n"/>
      <c r="Y1659" s="215" t="n"/>
      <c r="Z1659" s="215" t="n"/>
      <c r="AA1659" s="215" t="n"/>
      <c r="AB1659" s="215" t="n"/>
      <c r="AC1659" s="215" t="n"/>
      <c r="AD1659" s="215" t="n"/>
      <c r="AE1659" s="215" t="n"/>
      <c r="AF1659" s="215" t="n"/>
      <c r="AG1659" s="215" t="n"/>
      <c r="AH1659" s="215" t="n"/>
      <c r="AI1659" s="215" t="n"/>
      <c r="AJ1659" s="215" t="n"/>
      <c r="AK1659" s="216" t="n"/>
    </row>
    <row r="1660" ht="15" customHeight="1">
      <c r="B1660" s="134" t="n"/>
      <c r="C1660" s="105" t="n"/>
      <c r="D1660" s="105" t="n"/>
      <c r="E1660" s="105" t="n"/>
      <c r="F1660" s="105" t="n"/>
      <c r="G1660" s="105" t="n"/>
      <c r="H1660" s="2" t="n"/>
      <c r="I1660" s="105" t="n"/>
      <c r="K1660" s="215" t="n"/>
      <c r="L1660" s="215" t="n"/>
      <c r="M1660" s="215" t="n"/>
      <c r="N1660" s="215" t="n"/>
      <c r="O1660" s="215" t="n"/>
      <c r="P1660" s="215" t="n"/>
      <c r="Q1660" s="215" t="n"/>
      <c r="R1660" s="215" t="n"/>
      <c r="S1660" s="215" t="n"/>
      <c r="T1660" s="215" t="n"/>
      <c r="U1660" s="215" t="n"/>
      <c r="V1660" s="215" t="n"/>
      <c r="W1660" s="215" t="n"/>
      <c r="X1660" s="215" t="n"/>
      <c r="Y1660" s="215" t="n"/>
      <c r="Z1660" s="215" t="n"/>
      <c r="AA1660" s="215" t="n"/>
      <c r="AB1660" s="215" t="n"/>
      <c r="AC1660" s="215" t="n"/>
      <c r="AD1660" s="215" t="n"/>
      <c r="AE1660" s="215" t="n"/>
      <c r="AF1660" s="215" t="n"/>
      <c r="AG1660" s="215" t="n"/>
      <c r="AH1660" s="215" t="n"/>
      <c r="AI1660" s="215" t="n"/>
      <c r="AJ1660" s="215" t="n"/>
      <c r="AK1660" s="216" t="n"/>
    </row>
    <row r="1661" ht="15" customHeight="1">
      <c r="B1661" s="134" t="n"/>
      <c r="C1661" s="105" t="n"/>
      <c r="D1661" s="105" t="n"/>
      <c r="E1661" s="105" t="n"/>
      <c r="F1661" s="105" t="n"/>
      <c r="G1661" s="105" t="n"/>
      <c r="H1661" s="2" t="n"/>
      <c r="I1661" s="105" t="n"/>
      <c r="K1661" s="215" t="n"/>
      <c r="L1661" s="215" t="n"/>
      <c r="M1661" s="215" t="n"/>
      <c r="N1661" s="215" t="n"/>
      <c r="O1661" s="215" t="n"/>
      <c r="P1661" s="215" t="n"/>
      <c r="Q1661" s="215" t="n"/>
      <c r="R1661" s="215" t="n"/>
      <c r="S1661" s="215" t="n"/>
      <c r="T1661" s="215" t="n"/>
      <c r="U1661" s="215" t="n"/>
      <c r="V1661" s="215" t="n"/>
      <c r="W1661" s="215" t="n"/>
      <c r="X1661" s="215" t="n"/>
      <c r="Y1661" s="215" t="n"/>
      <c r="Z1661" s="215" t="n"/>
      <c r="AA1661" s="215" t="n"/>
      <c r="AB1661" s="215" t="n"/>
      <c r="AC1661" s="215" t="n"/>
      <c r="AD1661" s="215" t="n"/>
      <c r="AE1661" s="215" t="n"/>
      <c r="AF1661" s="215" t="n"/>
      <c r="AG1661" s="215" t="n"/>
      <c r="AH1661" s="215" t="n"/>
      <c r="AI1661" s="215" t="n"/>
      <c r="AJ1661" s="215" t="n"/>
      <c r="AK1661" s="216" t="n"/>
    </row>
    <row r="1662" ht="15" customHeight="1">
      <c r="B1662" s="134" t="n"/>
      <c r="C1662" s="105" t="n"/>
      <c r="D1662" s="105" t="n"/>
      <c r="E1662" s="105" t="n"/>
      <c r="F1662" s="105" t="n"/>
      <c r="G1662" s="105" t="n"/>
      <c r="H1662" s="2" t="n"/>
      <c r="I1662" s="105" t="n"/>
      <c r="K1662" s="215" t="n"/>
      <c r="L1662" s="215" t="n"/>
      <c r="M1662" s="215" t="n"/>
      <c r="N1662" s="215" t="n"/>
      <c r="O1662" s="215" t="n"/>
      <c r="P1662" s="215" t="n"/>
      <c r="Q1662" s="215" t="n"/>
      <c r="R1662" s="215" t="n"/>
      <c r="S1662" s="215" t="n"/>
      <c r="T1662" s="215" t="n"/>
      <c r="U1662" s="215" t="n"/>
      <c r="V1662" s="215" t="n"/>
      <c r="W1662" s="215" t="n"/>
      <c r="X1662" s="215" t="n"/>
      <c r="Y1662" s="215" t="n"/>
      <c r="Z1662" s="215" t="n"/>
      <c r="AA1662" s="215" t="n"/>
      <c r="AB1662" s="215" t="n"/>
      <c r="AC1662" s="215" t="n"/>
      <c r="AD1662" s="215" t="n"/>
      <c r="AE1662" s="215" t="n"/>
      <c r="AF1662" s="215" t="n"/>
      <c r="AG1662" s="215" t="n"/>
      <c r="AH1662" s="215" t="n"/>
      <c r="AI1662" s="215" t="n"/>
      <c r="AJ1662" s="215" t="n"/>
      <c r="AK1662" s="216" t="n"/>
    </row>
    <row r="1663" ht="15" customHeight="1">
      <c r="B1663" s="134" t="n"/>
      <c r="C1663" s="105" t="n"/>
      <c r="D1663" s="105" t="n"/>
      <c r="E1663" s="105" t="n"/>
      <c r="F1663" s="105" t="n"/>
      <c r="G1663" s="105" t="n"/>
      <c r="H1663" s="2" t="n"/>
      <c r="I1663" s="105" t="n"/>
      <c r="K1663" s="215" t="n"/>
      <c r="L1663" s="215" t="n"/>
      <c r="M1663" s="215" t="n"/>
      <c r="N1663" s="215" t="n"/>
      <c r="O1663" s="215" t="n"/>
      <c r="P1663" s="215" t="n"/>
      <c r="Q1663" s="215" t="n"/>
      <c r="R1663" s="215" t="n"/>
      <c r="S1663" s="215" t="n"/>
      <c r="T1663" s="215" t="n"/>
      <c r="U1663" s="215" t="n"/>
      <c r="V1663" s="215" t="n"/>
      <c r="W1663" s="215" t="n"/>
      <c r="X1663" s="215" t="n"/>
      <c r="Y1663" s="215" t="n"/>
      <c r="Z1663" s="215" t="n"/>
      <c r="AA1663" s="215" t="n"/>
      <c r="AB1663" s="215" t="n"/>
      <c r="AC1663" s="215" t="n"/>
      <c r="AD1663" s="215" t="n"/>
      <c r="AE1663" s="215" t="n"/>
      <c r="AF1663" s="215" t="n"/>
      <c r="AG1663" s="215" t="n"/>
      <c r="AH1663" s="215" t="n"/>
      <c r="AI1663" s="215" t="n"/>
      <c r="AJ1663" s="215" t="n"/>
      <c r="AK1663" s="216" t="n"/>
    </row>
    <row r="1664" ht="15" customHeight="1">
      <c r="B1664" s="134" t="n"/>
      <c r="C1664" s="105" t="n"/>
      <c r="D1664" s="105" t="n"/>
      <c r="E1664" s="105" t="n"/>
      <c r="F1664" s="105" t="n"/>
      <c r="G1664" s="105" t="n"/>
      <c r="H1664" s="2" t="n"/>
      <c r="I1664" s="105" t="n"/>
      <c r="K1664" s="215" t="n"/>
      <c r="L1664" s="215" t="n"/>
      <c r="M1664" s="215" t="n"/>
      <c r="N1664" s="215" t="n"/>
      <c r="O1664" s="215" t="n"/>
      <c r="P1664" s="215" t="n"/>
      <c r="Q1664" s="215" t="n"/>
      <c r="R1664" s="215" t="n"/>
      <c r="S1664" s="215" t="n"/>
      <c r="T1664" s="215" t="n"/>
      <c r="U1664" s="215" t="n"/>
      <c r="V1664" s="215" t="n"/>
      <c r="W1664" s="215" t="n"/>
      <c r="X1664" s="215" t="n"/>
      <c r="Y1664" s="215" t="n"/>
      <c r="Z1664" s="215" t="n"/>
      <c r="AA1664" s="215" t="n"/>
      <c r="AB1664" s="215" t="n"/>
      <c r="AC1664" s="215" t="n"/>
      <c r="AD1664" s="215" t="n"/>
      <c r="AE1664" s="215" t="n"/>
      <c r="AF1664" s="215" t="n"/>
      <c r="AG1664" s="215" t="n"/>
      <c r="AH1664" s="215" t="n"/>
      <c r="AI1664" s="215" t="n"/>
      <c r="AJ1664" s="215" t="n"/>
      <c r="AK1664" s="216" t="n"/>
    </row>
    <row r="1665" ht="15" customHeight="1">
      <c r="B1665" s="134" t="n"/>
      <c r="C1665" s="105" t="n"/>
      <c r="D1665" s="105" t="n"/>
      <c r="E1665" s="105" t="n"/>
      <c r="F1665" s="105" t="n"/>
      <c r="G1665" s="105" t="n"/>
      <c r="H1665" s="2" t="n"/>
      <c r="I1665" s="105" t="n"/>
      <c r="K1665" s="215" t="n"/>
      <c r="L1665" s="215" t="n"/>
      <c r="M1665" s="215" t="n"/>
      <c r="N1665" s="215" t="n"/>
      <c r="O1665" s="215" t="n"/>
      <c r="P1665" s="215" t="n"/>
      <c r="Q1665" s="215" t="n"/>
      <c r="R1665" s="215" t="n"/>
      <c r="S1665" s="215" t="n"/>
      <c r="T1665" s="215" t="n"/>
      <c r="U1665" s="215" t="n"/>
      <c r="V1665" s="215" t="n"/>
      <c r="W1665" s="215" t="n"/>
      <c r="X1665" s="215" t="n"/>
      <c r="Y1665" s="215" t="n"/>
      <c r="Z1665" s="215" t="n"/>
      <c r="AA1665" s="215" t="n"/>
      <c r="AB1665" s="215" t="n"/>
      <c r="AC1665" s="215" t="n"/>
      <c r="AD1665" s="215" t="n"/>
      <c r="AE1665" s="215" t="n"/>
      <c r="AF1665" s="215" t="n"/>
      <c r="AG1665" s="215" t="n"/>
      <c r="AH1665" s="215" t="n"/>
      <c r="AI1665" s="215" t="n"/>
      <c r="AJ1665" s="215" t="n"/>
      <c r="AK1665" s="216" t="n"/>
    </row>
    <row r="1666" ht="15" customHeight="1">
      <c r="B1666" s="134" t="n"/>
      <c r="C1666" s="105" t="n"/>
      <c r="D1666" s="105" t="n"/>
      <c r="E1666" s="105" t="n"/>
      <c r="F1666" s="105" t="n"/>
      <c r="G1666" s="105" t="n"/>
      <c r="H1666" s="2" t="n"/>
      <c r="I1666" s="105" t="n"/>
      <c r="K1666" s="215" t="n"/>
      <c r="L1666" s="215" t="n"/>
      <c r="M1666" s="215" t="n"/>
      <c r="N1666" s="215" t="n"/>
      <c r="O1666" s="215" t="n"/>
      <c r="P1666" s="215" t="n"/>
      <c r="Q1666" s="215" t="n"/>
      <c r="R1666" s="215" t="n"/>
      <c r="S1666" s="215" t="n"/>
      <c r="T1666" s="215" t="n"/>
      <c r="U1666" s="215" t="n"/>
      <c r="V1666" s="215" t="n"/>
      <c r="W1666" s="215" t="n"/>
      <c r="X1666" s="215" t="n"/>
      <c r="Y1666" s="215" t="n"/>
      <c r="Z1666" s="215" t="n"/>
      <c r="AA1666" s="215" t="n"/>
      <c r="AB1666" s="215" t="n"/>
      <c r="AC1666" s="215" t="n"/>
      <c r="AD1666" s="215" t="n"/>
      <c r="AE1666" s="215" t="n"/>
      <c r="AF1666" s="215" t="n"/>
      <c r="AG1666" s="215" t="n"/>
      <c r="AH1666" s="215" t="n"/>
      <c r="AI1666" s="215" t="n"/>
      <c r="AJ1666" s="215" t="n"/>
      <c r="AK1666" s="216" t="n"/>
    </row>
    <row r="1667" ht="15" customHeight="1">
      <c r="B1667" s="134" t="n"/>
      <c r="C1667" s="105" t="n"/>
      <c r="D1667" s="105" t="n"/>
      <c r="E1667" s="105" t="n"/>
      <c r="F1667" s="105" t="n"/>
      <c r="G1667" s="105" t="n"/>
      <c r="H1667" s="2" t="n"/>
      <c r="I1667" s="105" t="n"/>
      <c r="K1667" s="215" t="n"/>
      <c r="L1667" s="215" t="n"/>
      <c r="M1667" s="215" t="n"/>
      <c r="N1667" s="215" t="n"/>
      <c r="O1667" s="215" t="n"/>
      <c r="P1667" s="215" t="n"/>
      <c r="Q1667" s="215" t="n"/>
      <c r="R1667" s="215" t="n"/>
      <c r="S1667" s="215" t="n"/>
      <c r="T1667" s="215" t="n"/>
      <c r="U1667" s="215" t="n"/>
      <c r="V1667" s="215" t="n"/>
      <c r="W1667" s="215" t="n"/>
      <c r="X1667" s="215" t="n"/>
      <c r="Y1667" s="215" t="n"/>
      <c r="Z1667" s="215" t="n"/>
      <c r="AA1667" s="215" t="n"/>
      <c r="AB1667" s="215" t="n"/>
      <c r="AC1667" s="215" t="n"/>
      <c r="AD1667" s="215" t="n"/>
      <c r="AE1667" s="215" t="n"/>
      <c r="AF1667" s="215" t="n"/>
      <c r="AG1667" s="215" t="n"/>
      <c r="AH1667" s="215" t="n"/>
      <c r="AI1667" s="215" t="n"/>
      <c r="AJ1667" s="215" t="n"/>
      <c r="AK1667" s="216" t="n"/>
    </row>
    <row r="1668" ht="15" customHeight="1">
      <c r="B1668" s="134" t="n"/>
      <c r="C1668" s="105" t="n"/>
      <c r="D1668" s="105" t="n"/>
      <c r="E1668" s="105" t="n"/>
      <c r="F1668" s="105" t="n"/>
      <c r="G1668" s="105" t="n"/>
      <c r="H1668" s="2" t="n"/>
      <c r="I1668" s="105" t="n"/>
      <c r="K1668" s="215" t="n"/>
      <c r="L1668" s="215" t="n"/>
      <c r="M1668" s="215" t="n"/>
      <c r="N1668" s="215" t="n"/>
      <c r="O1668" s="215" t="n"/>
      <c r="P1668" s="215" t="n"/>
      <c r="Q1668" s="215" t="n"/>
      <c r="R1668" s="215" t="n"/>
      <c r="S1668" s="215" t="n"/>
      <c r="T1668" s="215" t="n"/>
      <c r="U1668" s="215" t="n"/>
      <c r="V1668" s="215" t="n"/>
      <c r="W1668" s="215" t="n"/>
      <c r="X1668" s="215" t="n"/>
      <c r="Y1668" s="215" t="n"/>
      <c r="Z1668" s="215" t="n"/>
      <c r="AA1668" s="215" t="n"/>
      <c r="AB1668" s="215" t="n"/>
      <c r="AC1668" s="215" t="n"/>
      <c r="AD1668" s="215" t="n"/>
      <c r="AE1668" s="215" t="n"/>
      <c r="AF1668" s="215" t="n"/>
      <c r="AG1668" s="215" t="n"/>
      <c r="AH1668" s="215" t="n"/>
      <c r="AI1668" s="215" t="n"/>
      <c r="AJ1668" s="215" t="n"/>
      <c r="AK1668" s="216" t="n"/>
    </row>
    <row r="1669" ht="15" customHeight="1">
      <c r="B1669" s="134" t="n"/>
      <c r="C1669" s="105" t="n"/>
      <c r="D1669" s="105" t="n"/>
      <c r="E1669" s="105" t="n"/>
      <c r="F1669" s="105" t="n"/>
      <c r="G1669" s="105" t="n"/>
      <c r="H1669" s="2" t="n"/>
      <c r="I1669" s="105" t="n"/>
      <c r="K1669" s="215" t="n"/>
      <c r="L1669" s="215" t="n"/>
      <c r="M1669" s="215" t="n"/>
      <c r="N1669" s="215" t="n"/>
      <c r="O1669" s="215" t="n"/>
      <c r="P1669" s="215" t="n"/>
      <c r="Q1669" s="215" t="n"/>
      <c r="R1669" s="215" t="n"/>
      <c r="S1669" s="215" t="n"/>
      <c r="T1669" s="215" t="n"/>
      <c r="U1669" s="215" t="n"/>
      <c r="V1669" s="215" t="n"/>
      <c r="W1669" s="215" t="n"/>
      <c r="X1669" s="215" t="n"/>
      <c r="Y1669" s="215" t="n"/>
      <c r="Z1669" s="215" t="n"/>
      <c r="AA1669" s="215" t="n"/>
      <c r="AB1669" s="215" t="n"/>
      <c r="AC1669" s="215" t="n"/>
      <c r="AD1669" s="215" t="n"/>
      <c r="AE1669" s="215" t="n"/>
      <c r="AF1669" s="215" t="n"/>
      <c r="AG1669" s="215" t="n"/>
      <c r="AH1669" s="215" t="n"/>
      <c r="AI1669" s="215" t="n"/>
      <c r="AJ1669" s="215" t="n"/>
      <c r="AK1669" s="216" t="n"/>
    </row>
    <row r="1670" ht="15" customHeight="1">
      <c r="B1670" s="134" t="n"/>
      <c r="C1670" s="105" t="n"/>
      <c r="D1670" s="105" t="n"/>
      <c r="E1670" s="105" t="n"/>
      <c r="F1670" s="105" t="n"/>
      <c r="G1670" s="105" t="n"/>
      <c r="H1670" s="2" t="n"/>
      <c r="I1670" s="105" t="n"/>
      <c r="K1670" s="215" t="n"/>
      <c r="L1670" s="215" t="n"/>
      <c r="M1670" s="215" t="n"/>
      <c r="N1670" s="215" t="n"/>
      <c r="O1670" s="215" t="n"/>
      <c r="P1670" s="215" t="n"/>
      <c r="Q1670" s="215" t="n"/>
      <c r="R1670" s="215" t="n"/>
      <c r="S1670" s="215" t="n"/>
      <c r="T1670" s="215" t="n"/>
      <c r="U1670" s="215" t="n"/>
      <c r="V1670" s="215" t="n"/>
      <c r="W1670" s="215" t="n"/>
      <c r="X1670" s="215" t="n"/>
      <c r="Y1670" s="215" t="n"/>
      <c r="Z1670" s="215" t="n"/>
      <c r="AA1670" s="215" t="n"/>
      <c r="AB1670" s="215" t="n"/>
      <c r="AC1670" s="215" t="n"/>
      <c r="AD1670" s="215" t="n"/>
      <c r="AE1670" s="215" t="n"/>
      <c r="AF1670" s="215" t="n"/>
      <c r="AG1670" s="215" t="n"/>
      <c r="AH1670" s="215" t="n"/>
      <c r="AI1670" s="215" t="n"/>
      <c r="AJ1670" s="215" t="n"/>
      <c r="AK1670" s="216" t="n"/>
    </row>
    <row r="1671" ht="15" customHeight="1">
      <c r="B1671" s="134" t="n"/>
      <c r="C1671" s="105" t="n"/>
      <c r="D1671" s="105" t="n"/>
      <c r="E1671" s="105" t="n"/>
      <c r="F1671" s="105" t="n"/>
      <c r="G1671" s="105" t="n"/>
      <c r="H1671" s="2" t="n"/>
      <c r="I1671" s="105" t="n"/>
      <c r="K1671" s="215" t="n"/>
      <c r="L1671" s="215" t="n"/>
      <c r="M1671" s="215" t="n"/>
      <c r="N1671" s="215" t="n"/>
      <c r="O1671" s="215" t="n"/>
      <c r="P1671" s="215" t="n"/>
      <c r="Q1671" s="215" t="n"/>
      <c r="R1671" s="215" t="n"/>
      <c r="S1671" s="215" t="n"/>
      <c r="T1671" s="215" t="n"/>
      <c r="U1671" s="215" t="n"/>
      <c r="V1671" s="215" t="n"/>
      <c r="W1671" s="215" t="n"/>
      <c r="X1671" s="215" t="n"/>
      <c r="Y1671" s="215" t="n"/>
      <c r="Z1671" s="215" t="n"/>
      <c r="AA1671" s="215" t="n"/>
      <c r="AB1671" s="215" t="n"/>
      <c r="AC1671" s="215" t="n"/>
      <c r="AD1671" s="215" t="n"/>
      <c r="AE1671" s="215" t="n"/>
      <c r="AF1671" s="215" t="n"/>
      <c r="AG1671" s="215" t="n"/>
      <c r="AH1671" s="215" t="n"/>
      <c r="AI1671" s="215" t="n"/>
      <c r="AJ1671" s="215" t="n"/>
      <c r="AK1671" s="216" t="n"/>
    </row>
    <row r="1672" ht="15" customHeight="1">
      <c r="B1672" s="134" t="n"/>
      <c r="C1672" s="105" t="n"/>
      <c r="D1672" s="105" t="n"/>
      <c r="E1672" s="105" t="n"/>
      <c r="F1672" s="105" t="n"/>
      <c r="G1672" s="105" t="n"/>
      <c r="H1672" s="2" t="n"/>
      <c r="I1672" s="105" t="n"/>
      <c r="K1672" s="215" t="n"/>
      <c r="L1672" s="215" t="n"/>
      <c r="M1672" s="215" t="n"/>
      <c r="N1672" s="215" t="n"/>
      <c r="O1672" s="215" t="n"/>
      <c r="P1672" s="215" t="n"/>
      <c r="Q1672" s="215" t="n"/>
      <c r="R1672" s="215" t="n"/>
      <c r="S1672" s="215" t="n"/>
      <c r="T1672" s="215" t="n"/>
      <c r="U1672" s="215" t="n"/>
      <c r="V1672" s="215" t="n"/>
      <c r="W1672" s="215" t="n"/>
      <c r="X1672" s="215" t="n"/>
      <c r="Y1672" s="215" t="n"/>
      <c r="Z1672" s="215" t="n"/>
      <c r="AA1672" s="215" t="n"/>
      <c r="AB1672" s="215" t="n"/>
      <c r="AC1672" s="215" t="n"/>
      <c r="AD1672" s="215" t="n"/>
      <c r="AE1672" s="215" t="n"/>
      <c r="AF1672" s="215" t="n"/>
      <c r="AG1672" s="215" t="n"/>
      <c r="AH1672" s="215" t="n"/>
      <c r="AI1672" s="215" t="n"/>
      <c r="AJ1672" s="215" t="n"/>
      <c r="AK1672" s="216" t="n"/>
    </row>
    <row r="1673" ht="15" customHeight="1">
      <c r="B1673" s="134" t="n"/>
      <c r="C1673" s="105" t="n"/>
      <c r="D1673" s="105" t="n"/>
      <c r="E1673" s="105" t="n"/>
      <c r="F1673" s="105" t="n"/>
      <c r="G1673" s="105" t="n"/>
      <c r="H1673" s="2" t="n"/>
      <c r="I1673" s="105" t="n"/>
      <c r="K1673" s="215" t="n"/>
      <c r="L1673" s="215" t="n"/>
      <c r="M1673" s="215" t="n"/>
      <c r="N1673" s="215" t="n"/>
      <c r="O1673" s="215" t="n"/>
      <c r="P1673" s="215" t="n"/>
      <c r="Q1673" s="215" t="n"/>
      <c r="R1673" s="215" t="n"/>
      <c r="S1673" s="215" t="n"/>
      <c r="T1673" s="215" t="n"/>
      <c r="U1673" s="215" t="n"/>
      <c r="V1673" s="215" t="n"/>
      <c r="W1673" s="215" t="n"/>
      <c r="X1673" s="215" t="n"/>
      <c r="Y1673" s="215" t="n"/>
      <c r="Z1673" s="215" t="n"/>
      <c r="AA1673" s="215" t="n"/>
      <c r="AB1673" s="215" t="n"/>
      <c r="AC1673" s="215" t="n"/>
      <c r="AD1673" s="215" t="n"/>
      <c r="AE1673" s="215" t="n"/>
      <c r="AF1673" s="215" t="n"/>
      <c r="AG1673" s="215" t="n"/>
      <c r="AH1673" s="215" t="n"/>
      <c r="AI1673" s="215" t="n"/>
      <c r="AJ1673" s="215" t="n"/>
      <c r="AK1673" s="216" t="n"/>
    </row>
    <row r="1674" ht="15" customHeight="1">
      <c r="B1674" s="134" t="n"/>
      <c r="C1674" s="105" t="n"/>
      <c r="D1674" s="105" t="n"/>
      <c r="E1674" s="105" t="n"/>
      <c r="F1674" s="105" t="n"/>
      <c r="G1674" s="105" t="n"/>
      <c r="H1674" s="2" t="n"/>
      <c r="I1674" s="105" t="n"/>
      <c r="K1674" s="215" t="n"/>
      <c r="L1674" s="215" t="n"/>
      <c r="M1674" s="215" t="n"/>
      <c r="N1674" s="215" t="n"/>
      <c r="O1674" s="215" t="n"/>
      <c r="P1674" s="215" t="n"/>
      <c r="Q1674" s="215" t="n"/>
      <c r="R1674" s="215" t="n"/>
      <c r="S1674" s="215" t="n"/>
      <c r="T1674" s="215" t="n"/>
      <c r="U1674" s="215" t="n"/>
      <c r="V1674" s="215" t="n"/>
      <c r="W1674" s="215" t="n"/>
      <c r="X1674" s="215" t="n"/>
      <c r="Y1674" s="215" t="n"/>
      <c r="Z1674" s="215" t="n"/>
      <c r="AA1674" s="215" t="n"/>
      <c r="AB1674" s="215" t="n"/>
      <c r="AC1674" s="215" t="n"/>
      <c r="AD1674" s="215" t="n"/>
      <c r="AE1674" s="215" t="n"/>
      <c r="AF1674" s="215" t="n"/>
      <c r="AG1674" s="215" t="n"/>
      <c r="AH1674" s="215" t="n"/>
      <c r="AI1674" s="215" t="n"/>
      <c r="AJ1674" s="215" t="n"/>
      <c r="AK1674" s="216" t="n"/>
    </row>
    <row r="1675" ht="15" customHeight="1">
      <c r="B1675" s="134" t="n"/>
      <c r="C1675" s="105" t="n"/>
      <c r="D1675" s="105" t="n"/>
      <c r="E1675" s="105" t="n"/>
      <c r="F1675" s="105" t="n"/>
      <c r="G1675" s="105" t="n"/>
      <c r="H1675" s="2" t="n"/>
      <c r="I1675" s="105" t="n"/>
      <c r="K1675" s="215" t="n"/>
      <c r="L1675" s="215" t="n"/>
      <c r="M1675" s="215" t="n"/>
      <c r="N1675" s="215" t="n"/>
      <c r="O1675" s="215" t="n"/>
      <c r="P1675" s="215" t="n"/>
      <c r="Q1675" s="215" t="n"/>
      <c r="R1675" s="215" t="n"/>
      <c r="S1675" s="215" t="n"/>
      <c r="T1675" s="215" t="n"/>
      <c r="U1675" s="215" t="n"/>
      <c r="V1675" s="215" t="n"/>
      <c r="W1675" s="215" t="n"/>
      <c r="X1675" s="215" t="n"/>
      <c r="Y1675" s="215" t="n"/>
      <c r="Z1675" s="215" t="n"/>
      <c r="AA1675" s="215" t="n"/>
      <c r="AB1675" s="215" t="n"/>
      <c r="AC1675" s="215" t="n"/>
      <c r="AD1675" s="215" t="n"/>
      <c r="AE1675" s="215" t="n"/>
      <c r="AF1675" s="215" t="n"/>
      <c r="AG1675" s="215" t="n"/>
      <c r="AH1675" s="215" t="n"/>
      <c r="AI1675" s="215" t="n"/>
      <c r="AJ1675" s="215" t="n"/>
      <c r="AK1675" s="216" t="n"/>
    </row>
    <row r="1676" ht="15" customHeight="1">
      <c r="B1676" s="134" t="n"/>
      <c r="C1676" s="105" t="n"/>
      <c r="D1676" s="105" t="n"/>
      <c r="E1676" s="105" t="n"/>
      <c r="F1676" s="105" t="n"/>
      <c r="G1676" s="105" t="n"/>
      <c r="H1676" s="2" t="n"/>
      <c r="I1676" s="105" t="n"/>
      <c r="K1676" s="215" t="n"/>
      <c r="L1676" s="215" t="n"/>
      <c r="M1676" s="215" t="n"/>
      <c r="N1676" s="215" t="n"/>
      <c r="O1676" s="215" t="n"/>
      <c r="P1676" s="215" t="n"/>
      <c r="Q1676" s="215" t="n"/>
      <c r="R1676" s="215" t="n"/>
      <c r="S1676" s="215" t="n"/>
      <c r="T1676" s="215" t="n"/>
      <c r="U1676" s="215" t="n"/>
      <c r="V1676" s="215" t="n"/>
      <c r="W1676" s="215" t="n"/>
      <c r="X1676" s="215" t="n"/>
      <c r="Y1676" s="215" t="n"/>
      <c r="Z1676" s="215" t="n"/>
      <c r="AA1676" s="215" t="n"/>
      <c r="AB1676" s="215" t="n"/>
      <c r="AC1676" s="215" t="n"/>
      <c r="AD1676" s="215" t="n"/>
      <c r="AE1676" s="215" t="n"/>
      <c r="AF1676" s="215" t="n"/>
      <c r="AG1676" s="215" t="n"/>
      <c r="AH1676" s="215" t="n"/>
      <c r="AI1676" s="215" t="n"/>
      <c r="AJ1676" s="215" t="n"/>
      <c r="AK1676" s="216" t="n"/>
    </row>
    <row r="1677" ht="15" customHeight="1">
      <c r="B1677" s="134" t="n"/>
      <c r="C1677" s="105" t="n"/>
      <c r="D1677" s="105" t="n"/>
      <c r="E1677" s="105" t="n"/>
      <c r="F1677" s="105" t="n"/>
      <c r="G1677" s="105" t="n"/>
      <c r="H1677" s="2" t="n"/>
      <c r="I1677" s="105" t="n"/>
      <c r="K1677" s="215" t="n"/>
      <c r="L1677" s="215" t="n"/>
      <c r="M1677" s="215" t="n"/>
      <c r="N1677" s="215" t="n"/>
      <c r="O1677" s="215" t="n"/>
      <c r="P1677" s="215" t="n"/>
      <c r="Q1677" s="215" t="n"/>
      <c r="R1677" s="215" t="n"/>
      <c r="S1677" s="215" t="n"/>
      <c r="T1677" s="215" t="n"/>
      <c r="U1677" s="215" t="n"/>
      <c r="V1677" s="215" t="n"/>
      <c r="W1677" s="215" t="n"/>
      <c r="X1677" s="215" t="n"/>
      <c r="Y1677" s="215" t="n"/>
      <c r="Z1677" s="215" t="n"/>
      <c r="AA1677" s="215" t="n"/>
      <c r="AB1677" s="215" t="n"/>
      <c r="AC1677" s="215" t="n"/>
      <c r="AD1677" s="215" t="n"/>
      <c r="AE1677" s="215" t="n"/>
      <c r="AF1677" s="215" t="n"/>
      <c r="AG1677" s="215" t="n"/>
      <c r="AH1677" s="215" t="n"/>
      <c r="AI1677" s="215" t="n"/>
      <c r="AJ1677" s="215" t="n"/>
      <c r="AK1677" s="216" t="n"/>
    </row>
    <row r="1678" ht="15" customHeight="1">
      <c r="B1678" s="134" t="n"/>
      <c r="C1678" s="105" t="n"/>
      <c r="D1678" s="105" t="n"/>
      <c r="E1678" s="105" t="n"/>
      <c r="F1678" s="105" t="n"/>
      <c r="G1678" s="105" t="n"/>
      <c r="H1678" s="2" t="n"/>
      <c r="I1678" s="105" t="n"/>
      <c r="K1678" s="215" t="n"/>
      <c r="L1678" s="215" t="n"/>
      <c r="M1678" s="215" t="n"/>
      <c r="N1678" s="215" t="n"/>
      <c r="O1678" s="215" t="n"/>
      <c r="P1678" s="215" t="n"/>
      <c r="Q1678" s="215" t="n"/>
      <c r="R1678" s="215" t="n"/>
      <c r="S1678" s="215" t="n"/>
      <c r="T1678" s="215" t="n"/>
      <c r="U1678" s="215" t="n"/>
      <c r="V1678" s="215" t="n"/>
      <c r="W1678" s="215" t="n"/>
      <c r="X1678" s="215" t="n"/>
      <c r="Y1678" s="215" t="n"/>
      <c r="Z1678" s="215" t="n"/>
      <c r="AA1678" s="215" t="n"/>
      <c r="AB1678" s="215" t="n"/>
      <c r="AC1678" s="215" t="n"/>
      <c r="AD1678" s="215" t="n"/>
      <c r="AE1678" s="215" t="n"/>
      <c r="AF1678" s="215" t="n"/>
      <c r="AG1678" s="215" t="n"/>
      <c r="AH1678" s="215" t="n"/>
      <c r="AI1678" s="215" t="n"/>
      <c r="AJ1678" s="215" t="n"/>
      <c r="AK1678" s="216" t="n"/>
    </row>
    <row r="1679" ht="15" customHeight="1">
      <c r="B1679" s="134" t="n"/>
      <c r="C1679" s="105" t="n"/>
      <c r="D1679" s="105" t="n"/>
      <c r="E1679" s="105" t="n"/>
      <c r="F1679" s="105" t="n"/>
      <c r="G1679" s="105" t="n"/>
      <c r="H1679" s="2" t="n"/>
      <c r="I1679" s="105" t="n"/>
      <c r="K1679" s="215" t="n"/>
      <c r="L1679" s="215" t="n"/>
      <c r="M1679" s="215" t="n"/>
      <c r="N1679" s="215" t="n"/>
      <c r="O1679" s="215" t="n"/>
      <c r="P1679" s="215" t="n"/>
      <c r="Q1679" s="215" t="n"/>
      <c r="R1679" s="215" t="n"/>
      <c r="S1679" s="215" t="n"/>
      <c r="T1679" s="215" t="n"/>
      <c r="U1679" s="215" t="n"/>
      <c r="V1679" s="215" t="n"/>
      <c r="W1679" s="215" t="n"/>
      <c r="X1679" s="215" t="n"/>
      <c r="Y1679" s="215" t="n"/>
      <c r="Z1679" s="215" t="n"/>
      <c r="AA1679" s="215" t="n"/>
      <c r="AB1679" s="215" t="n"/>
      <c r="AC1679" s="215" t="n"/>
      <c r="AD1679" s="215" t="n"/>
      <c r="AE1679" s="215" t="n"/>
      <c r="AF1679" s="215" t="n"/>
      <c r="AG1679" s="215" t="n"/>
      <c r="AH1679" s="215" t="n"/>
      <c r="AI1679" s="215" t="n"/>
      <c r="AJ1679" s="215" t="n"/>
      <c r="AK1679" s="216" t="n"/>
    </row>
    <row r="1680" ht="15" customHeight="1">
      <c r="B1680" s="134" t="n"/>
      <c r="C1680" s="105" t="n"/>
      <c r="D1680" s="105" t="n"/>
      <c r="E1680" s="105" t="n"/>
      <c r="F1680" s="105" t="n"/>
      <c r="G1680" s="105" t="n"/>
      <c r="H1680" s="2" t="n"/>
      <c r="I1680" s="105" t="n"/>
      <c r="K1680" s="215" t="n"/>
      <c r="L1680" s="215" t="n"/>
      <c r="M1680" s="215" t="n"/>
      <c r="N1680" s="215" t="n"/>
      <c r="O1680" s="215" t="n"/>
      <c r="P1680" s="215" t="n"/>
      <c r="Q1680" s="215" t="n"/>
      <c r="R1680" s="215" t="n"/>
      <c r="S1680" s="215" t="n"/>
      <c r="T1680" s="215" t="n"/>
      <c r="U1680" s="215" t="n"/>
      <c r="V1680" s="215" t="n"/>
      <c r="W1680" s="215" t="n"/>
      <c r="X1680" s="215" t="n"/>
      <c r="Y1680" s="215" t="n"/>
      <c r="Z1680" s="215" t="n"/>
      <c r="AA1680" s="215" t="n"/>
      <c r="AB1680" s="215" t="n"/>
      <c r="AC1680" s="215" t="n"/>
      <c r="AD1680" s="215" t="n"/>
      <c r="AE1680" s="215" t="n"/>
      <c r="AF1680" s="215" t="n"/>
      <c r="AG1680" s="215" t="n"/>
      <c r="AH1680" s="215" t="n"/>
      <c r="AI1680" s="215" t="n"/>
      <c r="AJ1680" s="215" t="n"/>
      <c r="AK1680" s="216" t="n"/>
    </row>
    <row r="1681" ht="15" customHeight="1">
      <c r="B1681" s="134" t="n"/>
      <c r="C1681" s="105" t="n"/>
      <c r="D1681" s="105" t="n"/>
      <c r="E1681" s="105" t="n"/>
      <c r="F1681" s="105" t="n"/>
      <c r="G1681" s="105" t="n"/>
      <c r="H1681" s="2" t="n"/>
      <c r="I1681" s="105" t="n"/>
      <c r="K1681" s="215" t="n"/>
      <c r="L1681" s="215" t="n"/>
      <c r="M1681" s="215" t="n"/>
      <c r="N1681" s="215" t="n"/>
      <c r="O1681" s="215" t="n"/>
      <c r="P1681" s="215" t="n"/>
      <c r="Q1681" s="215" t="n"/>
      <c r="R1681" s="215" t="n"/>
      <c r="S1681" s="215" t="n"/>
      <c r="T1681" s="215" t="n"/>
      <c r="U1681" s="215" t="n"/>
      <c r="V1681" s="215" t="n"/>
      <c r="W1681" s="215" t="n"/>
      <c r="X1681" s="215" t="n"/>
      <c r="Y1681" s="215" t="n"/>
      <c r="Z1681" s="215" t="n"/>
      <c r="AA1681" s="215" t="n"/>
      <c r="AB1681" s="215" t="n"/>
      <c r="AC1681" s="215" t="n"/>
      <c r="AD1681" s="215" t="n"/>
      <c r="AE1681" s="215" t="n"/>
      <c r="AF1681" s="215" t="n"/>
      <c r="AG1681" s="215" t="n"/>
      <c r="AH1681" s="215" t="n"/>
      <c r="AI1681" s="215" t="n"/>
      <c r="AJ1681" s="215" t="n"/>
      <c r="AK1681" s="216" t="n"/>
    </row>
    <row r="1682" ht="15" customHeight="1">
      <c r="B1682" s="134" t="n"/>
      <c r="C1682" s="105" t="n"/>
      <c r="D1682" s="105" t="n"/>
      <c r="E1682" s="105" t="n"/>
      <c r="F1682" s="105" t="n"/>
      <c r="G1682" s="105" t="n"/>
      <c r="H1682" s="2" t="n"/>
      <c r="I1682" s="105" t="n"/>
      <c r="K1682" s="215" t="n"/>
      <c r="L1682" s="215" t="n"/>
      <c r="M1682" s="215" t="n"/>
      <c r="N1682" s="215" t="n"/>
      <c r="O1682" s="215" t="n"/>
      <c r="P1682" s="215" t="n"/>
      <c r="Q1682" s="215" t="n"/>
      <c r="R1682" s="215" t="n"/>
      <c r="S1682" s="215" t="n"/>
      <c r="T1682" s="215" t="n"/>
      <c r="U1682" s="215" t="n"/>
      <c r="V1682" s="215" t="n"/>
      <c r="W1682" s="215" t="n"/>
      <c r="X1682" s="215" t="n"/>
      <c r="Y1682" s="215" t="n"/>
      <c r="Z1682" s="215" t="n"/>
      <c r="AA1682" s="215" t="n"/>
      <c r="AB1682" s="215" t="n"/>
      <c r="AC1682" s="215" t="n"/>
      <c r="AD1682" s="215" t="n"/>
      <c r="AE1682" s="215" t="n"/>
      <c r="AF1682" s="215" t="n"/>
      <c r="AG1682" s="215" t="n"/>
      <c r="AH1682" s="215" t="n"/>
      <c r="AI1682" s="215" t="n"/>
      <c r="AJ1682" s="215" t="n"/>
      <c r="AK1682" s="216" t="n"/>
    </row>
    <row r="1683" ht="15" customHeight="1">
      <c r="B1683" s="134" t="n"/>
      <c r="C1683" s="105" t="n"/>
      <c r="D1683" s="105" t="n"/>
      <c r="E1683" s="105" t="n"/>
      <c r="F1683" s="105" t="n"/>
      <c r="G1683" s="105" t="n"/>
      <c r="H1683" s="2" t="n"/>
      <c r="I1683" s="105" t="n"/>
      <c r="K1683" s="215" t="n"/>
      <c r="L1683" s="215" t="n"/>
      <c r="M1683" s="215" t="n"/>
      <c r="N1683" s="215" t="n"/>
      <c r="O1683" s="215" t="n"/>
      <c r="P1683" s="215" t="n"/>
      <c r="Q1683" s="215" t="n"/>
      <c r="R1683" s="215" t="n"/>
      <c r="S1683" s="215" t="n"/>
      <c r="T1683" s="215" t="n"/>
      <c r="U1683" s="215" t="n"/>
      <c r="V1683" s="215" t="n"/>
      <c r="W1683" s="215" t="n"/>
      <c r="X1683" s="215" t="n"/>
      <c r="Y1683" s="215" t="n"/>
      <c r="Z1683" s="215" t="n"/>
      <c r="AA1683" s="215" t="n"/>
      <c r="AB1683" s="215" t="n"/>
      <c r="AC1683" s="215" t="n"/>
      <c r="AD1683" s="215" t="n"/>
      <c r="AE1683" s="215" t="n"/>
      <c r="AF1683" s="215" t="n"/>
      <c r="AG1683" s="215" t="n"/>
      <c r="AH1683" s="215" t="n"/>
      <c r="AI1683" s="215" t="n"/>
      <c r="AJ1683" s="215" t="n"/>
      <c r="AK1683" s="216" t="n"/>
    </row>
    <row r="1684" ht="15" customHeight="1">
      <c r="B1684" s="134" t="n"/>
      <c r="C1684" s="105" t="n"/>
      <c r="D1684" s="105" t="n"/>
      <c r="E1684" s="105" t="n"/>
      <c r="F1684" s="105" t="n"/>
      <c r="G1684" s="105" t="n"/>
      <c r="H1684" s="2" t="n"/>
      <c r="I1684" s="105" t="n"/>
      <c r="K1684" s="215" t="n"/>
      <c r="L1684" s="215" t="n"/>
      <c r="M1684" s="215" t="n"/>
      <c r="N1684" s="215" t="n"/>
      <c r="O1684" s="215" t="n"/>
      <c r="P1684" s="215" t="n"/>
      <c r="Q1684" s="215" t="n"/>
      <c r="R1684" s="215" t="n"/>
      <c r="S1684" s="215" t="n"/>
      <c r="T1684" s="215" t="n"/>
      <c r="U1684" s="215" t="n"/>
      <c r="V1684" s="215" t="n"/>
      <c r="W1684" s="215" t="n"/>
      <c r="X1684" s="215" t="n"/>
      <c r="Y1684" s="215" t="n"/>
      <c r="Z1684" s="215" t="n"/>
      <c r="AA1684" s="215" t="n"/>
      <c r="AB1684" s="215" t="n"/>
      <c r="AC1684" s="215" t="n"/>
      <c r="AD1684" s="215" t="n"/>
      <c r="AE1684" s="215" t="n"/>
      <c r="AF1684" s="215" t="n"/>
      <c r="AG1684" s="215" t="n"/>
      <c r="AH1684" s="215" t="n"/>
      <c r="AI1684" s="215" t="n"/>
      <c r="AJ1684" s="215" t="n"/>
      <c r="AK1684" s="216" t="n"/>
    </row>
    <row r="1685" ht="15" customHeight="1">
      <c r="B1685" s="134" t="n"/>
      <c r="C1685" s="105" t="n"/>
      <c r="D1685" s="105" t="n"/>
      <c r="E1685" s="105" t="n"/>
      <c r="F1685" s="105" t="n"/>
      <c r="G1685" s="105" t="n"/>
      <c r="H1685" s="2" t="n"/>
      <c r="I1685" s="105" t="n"/>
      <c r="K1685" s="215" t="n"/>
      <c r="L1685" s="215" t="n"/>
      <c r="M1685" s="215" t="n"/>
      <c r="N1685" s="215" t="n"/>
      <c r="O1685" s="215" t="n"/>
      <c r="P1685" s="215" t="n"/>
      <c r="Q1685" s="215" t="n"/>
      <c r="R1685" s="215" t="n"/>
      <c r="S1685" s="215" t="n"/>
      <c r="T1685" s="215" t="n"/>
      <c r="U1685" s="215" t="n"/>
      <c r="V1685" s="215" t="n"/>
      <c r="W1685" s="215" t="n"/>
      <c r="X1685" s="215" t="n"/>
      <c r="Y1685" s="215" t="n"/>
      <c r="Z1685" s="215" t="n"/>
      <c r="AA1685" s="215" t="n"/>
      <c r="AB1685" s="215" t="n"/>
      <c r="AC1685" s="215" t="n"/>
      <c r="AD1685" s="215" t="n"/>
      <c r="AE1685" s="215" t="n"/>
      <c r="AF1685" s="215" t="n"/>
      <c r="AG1685" s="215" t="n"/>
      <c r="AH1685" s="215" t="n"/>
      <c r="AI1685" s="215" t="n"/>
      <c r="AJ1685" s="215" t="n"/>
      <c r="AK1685" s="216" t="n"/>
    </row>
    <row r="1686" ht="15" customHeight="1">
      <c r="B1686" s="134" t="n"/>
      <c r="C1686" s="105" t="n"/>
      <c r="D1686" s="105" t="n"/>
      <c r="E1686" s="105" t="n"/>
      <c r="F1686" s="105" t="n"/>
      <c r="G1686" s="105" t="n"/>
      <c r="H1686" s="2" t="n"/>
      <c r="I1686" s="105" t="n"/>
      <c r="K1686" s="215" t="n"/>
      <c r="L1686" s="215" t="n"/>
      <c r="M1686" s="215" t="n"/>
      <c r="N1686" s="215" t="n"/>
      <c r="O1686" s="215" t="n"/>
      <c r="P1686" s="215" t="n"/>
      <c r="Q1686" s="215" t="n"/>
      <c r="R1686" s="215" t="n"/>
      <c r="S1686" s="215" t="n"/>
      <c r="T1686" s="215" t="n"/>
      <c r="U1686" s="215" t="n"/>
      <c r="V1686" s="215" t="n"/>
      <c r="W1686" s="215" t="n"/>
      <c r="X1686" s="215" t="n"/>
      <c r="Y1686" s="215" t="n"/>
      <c r="Z1686" s="215" t="n"/>
      <c r="AA1686" s="215" t="n"/>
      <c r="AB1686" s="215" t="n"/>
      <c r="AC1686" s="215" t="n"/>
      <c r="AD1686" s="215" t="n"/>
      <c r="AE1686" s="215" t="n"/>
      <c r="AF1686" s="215" t="n"/>
      <c r="AG1686" s="215" t="n"/>
      <c r="AH1686" s="215" t="n"/>
      <c r="AI1686" s="215" t="n"/>
      <c r="AJ1686" s="215" t="n"/>
      <c r="AK1686" s="216" t="n"/>
    </row>
    <row r="1687" ht="15" customHeight="1">
      <c r="B1687" s="134" t="n"/>
      <c r="C1687" s="105" t="n"/>
      <c r="D1687" s="105" t="n"/>
      <c r="E1687" s="105" t="n"/>
      <c r="F1687" s="105" t="n"/>
      <c r="G1687" s="105" t="n"/>
      <c r="H1687" s="2" t="n"/>
      <c r="I1687" s="105" t="n"/>
      <c r="K1687" s="215" t="n"/>
      <c r="L1687" s="215" t="n"/>
      <c r="M1687" s="215" t="n"/>
      <c r="N1687" s="215" t="n"/>
      <c r="O1687" s="215" t="n"/>
      <c r="P1687" s="215" t="n"/>
      <c r="Q1687" s="215" t="n"/>
      <c r="R1687" s="215" t="n"/>
      <c r="S1687" s="215" t="n"/>
      <c r="T1687" s="215" t="n"/>
      <c r="U1687" s="215" t="n"/>
      <c r="V1687" s="215" t="n"/>
      <c r="W1687" s="215" t="n"/>
      <c r="X1687" s="215" t="n"/>
      <c r="Y1687" s="215" t="n"/>
      <c r="Z1687" s="215" t="n"/>
      <c r="AA1687" s="215" t="n"/>
      <c r="AB1687" s="215" t="n"/>
      <c r="AC1687" s="215" t="n"/>
      <c r="AD1687" s="215" t="n"/>
      <c r="AE1687" s="215" t="n"/>
      <c r="AF1687" s="215" t="n"/>
      <c r="AG1687" s="215" t="n"/>
      <c r="AH1687" s="215" t="n"/>
      <c r="AI1687" s="215" t="n"/>
      <c r="AJ1687" s="215" t="n"/>
      <c r="AK1687" s="216" t="n"/>
    </row>
    <row r="1688" ht="15" customHeight="1">
      <c r="B1688" s="134" t="n"/>
      <c r="C1688" s="105" t="n"/>
      <c r="D1688" s="105" t="n"/>
      <c r="E1688" s="105" t="n"/>
      <c r="F1688" s="105" t="n"/>
      <c r="G1688" s="105" t="n"/>
      <c r="H1688" s="2" t="n"/>
      <c r="I1688" s="105" t="n"/>
      <c r="K1688" s="215" t="n"/>
      <c r="L1688" s="215" t="n"/>
      <c r="M1688" s="215" t="n"/>
      <c r="N1688" s="215" t="n"/>
      <c r="O1688" s="215" t="n"/>
      <c r="P1688" s="215" t="n"/>
      <c r="Q1688" s="215" t="n"/>
      <c r="R1688" s="215" t="n"/>
      <c r="S1688" s="215" t="n"/>
      <c r="T1688" s="215" t="n"/>
      <c r="U1688" s="215" t="n"/>
      <c r="V1688" s="215" t="n"/>
      <c r="W1688" s="215" t="n"/>
      <c r="X1688" s="215" t="n"/>
      <c r="Y1688" s="215" t="n"/>
      <c r="Z1688" s="215" t="n"/>
      <c r="AA1688" s="215" t="n"/>
      <c r="AB1688" s="215" t="n"/>
      <c r="AC1688" s="215" t="n"/>
      <c r="AD1688" s="215" t="n"/>
      <c r="AE1688" s="215" t="n"/>
      <c r="AF1688" s="215" t="n"/>
      <c r="AG1688" s="215" t="n"/>
      <c r="AH1688" s="215" t="n"/>
      <c r="AI1688" s="215" t="n"/>
      <c r="AJ1688" s="215" t="n"/>
      <c r="AK1688" s="216" t="n"/>
    </row>
    <row r="1689" ht="15" customHeight="1">
      <c r="B1689" s="134" t="n"/>
      <c r="C1689" s="105" t="n"/>
      <c r="D1689" s="105" t="n"/>
      <c r="E1689" s="105" t="n"/>
      <c r="F1689" s="105" t="n"/>
      <c r="G1689" s="105" t="n"/>
      <c r="H1689" s="2" t="n"/>
      <c r="I1689" s="105" t="n"/>
      <c r="K1689" s="215" t="n"/>
      <c r="L1689" s="215" t="n"/>
      <c r="M1689" s="215" t="n"/>
      <c r="N1689" s="215" t="n"/>
      <c r="O1689" s="215" t="n"/>
      <c r="P1689" s="215" t="n"/>
      <c r="Q1689" s="215" t="n"/>
      <c r="R1689" s="215" t="n"/>
      <c r="S1689" s="215" t="n"/>
      <c r="T1689" s="215" t="n"/>
      <c r="U1689" s="215" t="n"/>
      <c r="V1689" s="215" t="n"/>
      <c r="W1689" s="215" t="n"/>
      <c r="X1689" s="215" t="n"/>
      <c r="Y1689" s="215" t="n"/>
      <c r="Z1689" s="215" t="n"/>
      <c r="AA1689" s="215" t="n"/>
      <c r="AB1689" s="215" t="n"/>
      <c r="AC1689" s="215" t="n"/>
      <c r="AD1689" s="215" t="n"/>
      <c r="AE1689" s="215" t="n"/>
      <c r="AF1689" s="215" t="n"/>
      <c r="AG1689" s="215" t="n"/>
      <c r="AH1689" s="215" t="n"/>
      <c r="AI1689" s="215" t="n"/>
      <c r="AJ1689" s="215" t="n"/>
      <c r="AK1689" s="216" t="n"/>
    </row>
    <row r="1690" ht="15" customHeight="1">
      <c r="B1690" s="134" t="n"/>
      <c r="C1690" s="105" t="n"/>
      <c r="D1690" s="105" t="n"/>
      <c r="E1690" s="105" t="n"/>
      <c r="F1690" s="105" t="n"/>
      <c r="G1690" s="105" t="n"/>
      <c r="H1690" s="2" t="n"/>
      <c r="I1690" s="105" t="n"/>
      <c r="K1690" s="215" t="n"/>
      <c r="L1690" s="215" t="n"/>
      <c r="M1690" s="215" t="n"/>
      <c r="N1690" s="215" t="n"/>
      <c r="O1690" s="215" t="n"/>
      <c r="P1690" s="215" t="n"/>
      <c r="Q1690" s="215" t="n"/>
      <c r="R1690" s="215" t="n"/>
      <c r="S1690" s="215" t="n"/>
      <c r="T1690" s="215" t="n"/>
      <c r="U1690" s="215" t="n"/>
      <c r="V1690" s="215" t="n"/>
      <c r="W1690" s="215" t="n"/>
      <c r="X1690" s="215" t="n"/>
      <c r="Y1690" s="215" t="n"/>
      <c r="Z1690" s="215" t="n"/>
      <c r="AA1690" s="215" t="n"/>
      <c r="AB1690" s="215" t="n"/>
      <c r="AC1690" s="215" t="n"/>
      <c r="AD1690" s="215" t="n"/>
      <c r="AE1690" s="215" t="n"/>
      <c r="AF1690" s="215" t="n"/>
      <c r="AG1690" s="215" t="n"/>
      <c r="AH1690" s="215" t="n"/>
      <c r="AI1690" s="215" t="n"/>
      <c r="AJ1690" s="215" t="n"/>
      <c r="AK1690" s="216" t="n"/>
    </row>
    <row r="1691" ht="15" customHeight="1">
      <c r="B1691" s="134" t="n"/>
      <c r="C1691" s="105" t="n"/>
      <c r="D1691" s="105" t="n"/>
      <c r="E1691" s="105" t="n"/>
      <c r="F1691" s="105" t="n"/>
      <c r="G1691" s="105" t="n"/>
      <c r="H1691" s="2" t="n"/>
      <c r="I1691" s="105" t="n"/>
      <c r="K1691" s="215" t="n"/>
      <c r="L1691" s="215" t="n"/>
      <c r="M1691" s="215" t="n"/>
      <c r="N1691" s="215" t="n"/>
      <c r="O1691" s="215" t="n"/>
      <c r="P1691" s="215" t="n"/>
      <c r="Q1691" s="215" t="n"/>
      <c r="R1691" s="215" t="n"/>
      <c r="S1691" s="215" t="n"/>
      <c r="T1691" s="215" t="n"/>
      <c r="U1691" s="215" t="n"/>
      <c r="V1691" s="215" t="n"/>
      <c r="W1691" s="215" t="n"/>
      <c r="X1691" s="215" t="n"/>
      <c r="Y1691" s="215" t="n"/>
      <c r="Z1691" s="215" t="n"/>
      <c r="AA1691" s="215" t="n"/>
      <c r="AB1691" s="215" t="n"/>
      <c r="AC1691" s="215" t="n"/>
      <c r="AD1691" s="215" t="n"/>
      <c r="AE1691" s="215" t="n"/>
      <c r="AF1691" s="215" t="n"/>
      <c r="AG1691" s="215" t="n"/>
      <c r="AH1691" s="215" t="n"/>
      <c r="AI1691" s="215" t="n"/>
      <c r="AJ1691" s="215" t="n"/>
      <c r="AK1691" s="216" t="n"/>
    </row>
    <row r="1692" ht="15" customHeight="1">
      <c r="B1692" s="134" t="n"/>
      <c r="C1692" s="105" t="n"/>
      <c r="D1692" s="105" t="n"/>
      <c r="E1692" s="105" t="n"/>
      <c r="F1692" s="105" t="n"/>
      <c r="G1692" s="105" t="n"/>
      <c r="H1692" s="2" t="n"/>
      <c r="I1692" s="105" t="n"/>
      <c r="K1692" s="215" t="n"/>
      <c r="L1692" s="215" t="n"/>
      <c r="M1692" s="215" t="n"/>
      <c r="N1692" s="215" t="n"/>
      <c r="O1692" s="215" t="n"/>
      <c r="P1692" s="215" t="n"/>
      <c r="Q1692" s="215" t="n"/>
      <c r="R1692" s="215" t="n"/>
      <c r="S1692" s="215" t="n"/>
      <c r="T1692" s="215" t="n"/>
      <c r="U1692" s="215" t="n"/>
      <c r="V1692" s="215" t="n"/>
      <c r="W1692" s="215" t="n"/>
      <c r="X1692" s="215" t="n"/>
      <c r="Y1692" s="215" t="n"/>
      <c r="Z1692" s="215" t="n"/>
      <c r="AA1692" s="215" t="n"/>
      <c r="AB1692" s="215" t="n"/>
      <c r="AC1692" s="215" t="n"/>
      <c r="AD1692" s="215" t="n"/>
      <c r="AE1692" s="215" t="n"/>
      <c r="AF1692" s="215" t="n"/>
      <c r="AG1692" s="215" t="n"/>
      <c r="AH1692" s="215" t="n"/>
      <c r="AI1692" s="215" t="n"/>
      <c r="AJ1692" s="215" t="n"/>
      <c r="AK1692" s="216" t="n"/>
    </row>
    <row r="1693" ht="15" customHeight="1">
      <c r="B1693" s="134" t="n"/>
      <c r="C1693" s="105" t="n"/>
      <c r="D1693" s="105" t="n"/>
      <c r="E1693" s="105" t="n"/>
      <c r="F1693" s="105" t="n"/>
      <c r="G1693" s="105" t="n"/>
      <c r="H1693" s="2" t="n"/>
      <c r="I1693" s="105" t="n"/>
      <c r="K1693" s="215" t="n"/>
      <c r="L1693" s="215" t="n"/>
      <c r="M1693" s="215" t="n"/>
      <c r="N1693" s="215" t="n"/>
      <c r="O1693" s="215" t="n"/>
      <c r="P1693" s="215" t="n"/>
      <c r="Q1693" s="215" t="n"/>
      <c r="R1693" s="215" t="n"/>
      <c r="S1693" s="215" t="n"/>
      <c r="T1693" s="215" t="n"/>
      <c r="U1693" s="215" t="n"/>
      <c r="V1693" s="215" t="n"/>
      <c r="W1693" s="215" t="n"/>
      <c r="X1693" s="215" t="n"/>
      <c r="Y1693" s="215" t="n"/>
      <c r="Z1693" s="215" t="n"/>
      <c r="AA1693" s="215" t="n"/>
      <c r="AB1693" s="215" t="n"/>
      <c r="AC1693" s="215" t="n"/>
      <c r="AD1693" s="215" t="n"/>
      <c r="AE1693" s="215" t="n"/>
      <c r="AF1693" s="215" t="n"/>
      <c r="AG1693" s="215" t="n"/>
      <c r="AH1693" s="215" t="n"/>
      <c r="AI1693" s="215" t="n"/>
      <c r="AJ1693" s="215" t="n"/>
      <c r="AK1693" s="216" t="n"/>
    </row>
    <row r="1694" ht="15" customHeight="1">
      <c r="B1694" s="134" t="n"/>
      <c r="C1694" s="105" t="n"/>
      <c r="D1694" s="105" t="n"/>
      <c r="E1694" s="105" t="n"/>
      <c r="F1694" s="105" t="n"/>
      <c r="G1694" s="105" t="n"/>
      <c r="H1694" s="2" t="n"/>
      <c r="I1694" s="105" t="n"/>
      <c r="K1694" s="215" t="n"/>
      <c r="L1694" s="215" t="n"/>
      <c r="M1694" s="215" t="n"/>
      <c r="N1694" s="215" t="n"/>
      <c r="O1694" s="215" t="n"/>
      <c r="P1694" s="215" t="n"/>
      <c r="Q1694" s="215" t="n"/>
      <c r="R1694" s="215" t="n"/>
      <c r="S1694" s="215" t="n"/>
      <c r="T1694" s="215" t="n"/>
      <c r="U1694" s="215" t="n"/>
      <c r="V1694" s="215" t="n"/>
      <c r="W1694" s="215" t="n"/>
      <c r="X1694" s="215" t="n"/>
      <c r="Y1694" s="215" t="n"/>
      <c r="Z1694" s="215" t="n"/>
      <c r="AA1694" s="215" t="n"/>
      <c r="AB1694" s="215" t="n"/>
      <c r="AC1694" s="215" t="n"/>
      <c r="AD1694" s="215" t="n"/>
      <c r="AE1694" s="215" t="n"/>
      <c r="AF1694" s="215" t="n"/>
      <c r="AG1694" s="215" t="n"/>
      <c r="AH1694" s="215" t="n"/>
      <c r="AI1694" s="215" t="n"/>
      <c r="AJ1694" s="215" t="n"/>
      <c r="AK1694" s="216" t="n"/>
    </row>
    <row r="1695" ht="15" customHeight="1">
      <c r="B1695" s="134" t="n"/>
      <c r="C1695" s="105" t="n"/>
      <c r="D1695" s="105" t="n"/>
      <c r="E1695" s="105" t="n"/>
      <c r="F1695" s="105" t="n"/>
      <c r="G1695" s="105" t="n"/>
      <c r="H1695" s="2" t="n"/>
      <c r="I1695" s="105" t="n"/>
      <c r="K1695" s="215" t="n"/>
      <c r="L1695" s="215" t="n"/>
      <c r="M1695" s="215" t="n"/>
      <c r="N1695" s="215" t="n"/>
      <c r="O1695" s="215" t="n"/>
      <c r="P1695" s="215" t="n"/>
      <c r="Q1695" s="215" t="n"/>
      <c r="R1695" s="215" t="n"/>
      <c r="S1695" s="215" t="n"/>
      <c r="T1695" s="215" t="n"/>
      <c r="U1695" s="215" t="n"/>
      <c r="V1695" s="215" t="n"/>
      <c r="W1695" s="215" t="n"/>
      <c r="X1695" s="215" t="n"/>
      <c r="Y1695" s="215" t="n"/>
      <c r="Z1695" s="215" t="n"/>
      <c r="AA1695" s="215" t="n"/>
      <c r="AB1695" s="215" t="n"/>
      <c r="AC1695" s="215" t="n"/>
      <c r="AD1695" s="215" t="n"/>
      <c r="AE1695" s="215" t="n"/>
      <c r="AF1695" s="215" t="n"/>
      <c r="AG1695" s="215" t="n"/>
      <c r="AH1695" s="215" t="n"/>
      <c r="AI1695" s="215" t="n"/>
      <c r="AJ1695" s="215" t="n"/>
      <c r="AK1695" s="216" t="n"/>
    </row>
    <row r="1696" ht="15" customHeight="1">
      <c r="B1696" s="134" t="n"/>
      <c r="C1696" s="105" t="n"/>
      <c r="D1696" s="105" t="n"/>
      <c r="E1696" s="105" t="n"/>
      <c r="F1696" s="105" t="n"/>
      <c r="G1696" s="105" t="n"/>
      <c r="H1696" s="2" t="n"/>
      <c r="I1696" s="105" t="n"/>
      <c r="K1696" s="215" t="n"/>
      <c r="L1696" s="215" t="n"/>
      <c r="M1696" s="215" t="n"/>
      <c r="N1696" s="215" t="n"/>
      <c r="O1696" s="215" t="n"/>
      <c r="P1696" s="215" t="n"/>
      <c r="Q1696" s="215" t="n"/>
      <c r="R1696" s="215" t="n"/>
      <c r="S1696" s="215" t="n"/>
      <c r="T1696" s="215" t="n"/>
      <c r="U1696" s="215" t="n"/>
      <c r="V1696" s="215" t="n"/>
      <c r="W1696" s="215" t="n"/>
      <c r="X1696" s="215" t="n"/>
      <c r="Y1696" s="215" t="n"/>
      <c r="Z1696" s="215" t="n"/>
      <c r="AA1696" s="215" t="n"/>
      <c r="AB1696" s="215" t="n"/>
      <c r="AC1696" s="215" t="n"/>
      <c r="AD1696" s="215" t="n"/>
      <c r="AE1696" s="215" t="n"/>
      <c r="AF1696" s="215" t="n"/>
      <c r="AG1696" s="215" t="n"/>
      <c r="AH1696" s="215" t="n"/>
      <c r="AI1696" s="215" t="n"/>
      <c r="AJ1696" s="215" t="n"/>
      <c r="AK1696" s="216" t="n"/>
    </row>
    <row r="1697" ht="15" customHeight="1">
      <c r="B1697" s="134" t="n"/>
      <c r="C1697" s="105" t="n"/>
      <c r="D1697" s="105" t="n"/>
      <c r="E1697" s="105" t="n"/>
      <c r="F1697" s="105" t="n"/>
      <c r="G1697" s="105" t="n"/>
      <c r="H1697" s="2" t="n"/>
      <c r="I1697" s="105" t="n"/>
      <c r="K1697" s="215" t="n"/>
      <c r="L1697" s="215" t="n"/>
      <c r="M1697" s="215" t="n"/>
      <c r="N1697" s="215" t="n"/>
      <c r="O1697" s="215" t="n"/>
      <c r="P1697" s="215" t="n"/>
      <c r="Q1697" s="215" t="n"/>
      <c r="R1697" s="215" t="n"/>
      <c r="S1697" s="215" t="n"/>
      <c r="T1697" s="215" t="n"/>
      <c r="U1697" s="215" t="n"/>
      <c r="V1697" s="215" t="n"/>
      <c r="W1697" s="215" t="n"/>
      <c r="X1697" s="215" t="n"/>
      <c r="Y1697" s="215" t="n"/>
      <c r="Z1697" s="215" t="n"/>
      <c r="AA1697" s="215" t="n"/>
      <c r="AB1697" s="215" t="n"/>
      <c r="AC1697" s="215" t="n"/>
      <c r="AD1697" s="215" t="n"/>
      <c r="AE1697" s="215" t="n"/>
      <c r="AF1697" s="215" t="n"/>
      <c r="AG1697" s="215" t="n"/>
      <c r="AH1697" s="215" t="n"/>
      <c r="AI1697" s="215" t="n"/>
      <c r="AJ1697" s="215" t="n"/>
      <c r="AK1697" s="216" t="n"/>
    </row>
    <row r="1698" ht="15" customHeight="1">
      <c r="B1698" s="134" t="n"/>
      <c r="C1698" s="105" t="n"/>
      <c r="D1698" s="105" t="n"/>
      <c r="E1698" s="105" t="n"/>
      <c r="F1698" s="105" t="n"/>
      <c r="G1698" s="105" t="n"/>
      <c r="H1698" s="2" t="n"/>
      <c r="I1698" s="105" t="n"/>
      <c r="K1698" s="215" t="n"/>
      <c r="L1698" s="215" t="n"/>
      <c r="M1698" s="215" t="n"/>
      <c r="N1698" s="215" t="n"/>
      <c r="O1698" s="215" t="n"/>
      <c r="P1698" s="215" t="n"/>
      <c r="Q1698" s="215" t="n"/>
      <c r="R1698" s="215" t="n"/>
      <c r="S1698" s="215" t="n"/>
      <c r="T1698" s="215" t="n"/>
      <c r="U1698" s="215" t="n"/>
      <c r="V1698" s="215" t="n"/>
      <c r="W1698" s="215" t="n"/>
      <c r="X1698" s="215" t="n"/>
      <c r="Y1698" s="215" t="n"/>
      <c r="Z1698" s="215" t="n"/>
      <c r="AA1698" s="215" t="n"/>
      <c r="AB1698" s="215" t="n"/>
      <c r="AC1698" s="215" t="n"/>
      <c r="AD1698" s="215" t="n"/>
      <c r="AE1698" s="215" t="n"/>
      <c r="AF1698" s="215" t="n"/>
      <c r="AG1698" s="215" t="n"/>
      <c r="AH1698" s="215" t="n"/>
      <c r="AI1698" s="215" t="n"/>
      <c r="AJ1698" s="215" t="n"/>
      <c r="AK1698" s="216" t="n"/>
    </row>
    <row r="1699" ht="15" customHeight="1">
      <c r="B1699" s="134" t="n"/>
      <c r="C1699" s="105" t="n"/>
      <c r="D1699" s="105" t="n"/>
      <c r="E1699" s="105" t="n"/>
      <c r="F1699" s="105" t="n"/>
      <c r="G1699" s="105" t="n"/>
      <c r="H1699" s="2" t="n"/>
      <c r="I1699" s="105" t="n"/>
      <c r="K1699" s="215" t="n"/>
      <c r="L1699" s="215" t="n"/>
      <c r="M1699" s="215" t="n"/>
      <c r="N1699" s="215" t="n"/>
      <c r="O1699" s="215" t="n"/>
      <c r="P1699" s="215" t="n"/>
      <c r="Q1699" s="215" t="n"/>
      <c r="R1699" s="215" t="n"/>
      <c r="S1699" s="215" t="n"/>
      <c r="T1699" s="215" t="n"/>
      <c r="U1699" s="215" t="n"/>
      <c r="V1699" s="215" t="n"/>
      <c r="W1699" s="215" t="n"/>
      <c r="X1699" s="215" t="n"/>
      <c r="Y1699" s="215" t="n"/>
      <c r="Z1699" s="215" t="n"/>
      <c r="AA1699" s="215" t="n"/>
      <c r="AB1699" s="215" t="n"/>
      <c r="AC1699" s="215" t="n"/>
      <c r="AD1699" s="215" t="n"/>
      <c r="AE1699" s="215" t="n"/>
      <c r="AF1699" s="215" t="n"/>
      <c r="AG1699" s="215" t="n"/>
      <c r="AH1699" s="215" t="n"/>
      <c r="AI1699" s="215" t="n"/>
      <c r="AJ1699" s="215" t="n"/>
      <c r="AK1699" s="216" t="n"/>
    </row>
    <row r="1700" ht="15" customHeight="1">
      <c r="B1700" s="134" t="n"/>
      <c r="C1700" s="105" t="n"/>
      <c r="D1700" s="105" t="n"/>
      <c r="E1700" s="105" t="n"/>
      <c r="F1700" s="105" t="n"/>
      <c r="G1700" s="105" t="n"/>
      <c r="H1700" s="2" t="n"/>
      <c r="I1700" s="105" t="n"/>
      <c r="K1700" s="215" t="n"/>
      <c r="L1700" s="215" t="n"/>
      <c r="M1700" s="215" t="n"/>
      <c r="N1700" s="215" t="n"/>
      <c r="O1700" s="215" t="n"/>
      <c r="P1700" s="215" t="n"/>
      <c r="Q1700" s="215" t="n"/>
      <c r="R1700" s="215" t="n"/>
      <c r="S1700" s="215" t="n"/>
      <c r="T1700" s="215" t="n"/>
      <c r="U1700" s="215" t="n"/>
      <c r="V1700" s="215" t="n"/>
      <c r="W1700" s="215" t="n"/>
      <c r="X1700" s="215" t="n"/>
      <c r="Y1700" s="215" t="n"/>
      <c r="Z1700" s="215" t="n"/>
      <c r="AA1700" s="215" t="n"/>
      <c r="AB1700" s="215" t="n"/>
      <c r="AC1700" s="215" t="n"/>
      <c r="AD1700" s="215" t="n"/>
      <c r="AE1700" s="215" t="n"/>
      <c r="AF1700" s="215" t="n"/>
      <c r="AG1700" s="215" t="n"/>
      <c r="AH1700" s="215" t="n"/>
      <c r="AI1700" s="215" t="n"/>
      <c r="AJ1700" s="215" t="n"/>
      <c r="AK1700" s="216" t="n"/>
    </row>
    <row r="1701" ht="15" customHeight="1">
      <c r="B1701" s="134" t="n"/>
      <c r="C1701" s="105" t="n"/>
      <c r="D1701" s="105" t="n"/>
      <c r="E1701" s="105" t="n"/>
      <c r="F1701" s="105" t="n"/>
      <c r="G1701" s="105" t="n"/>
      <c r="H1701" s="2" t="n"/>
      <c r="I1701" s="105" t="n"/>
      <c r="K1701" s="215" t="n"/>
      <c r="L1701" s="215" t="n"/>
      <c r="M1701" s="215" t="n"/>
      <c r="N1701" s="215" t="n"/>
      <c r="O1701" s="215" t="n"/>
      <c r="P1701" s="215" t="n"/>
      <c r="Q1701" s="215" t="n"/>
      <c r="R1701" s="215" t="n"/>
      <c r="S1701" s="215" t="n"/>
      <c r="T1701" s="215" t="n"/>
      <c r="U1701" s="215" t="n"/>
      <c r="V1701" s="215" t="n"/>
      <c r="W1701" s="215" t="n"/>
      <c r="X1701" s="215" t="n"/>
      <c r="Y1701" s="215" t="n"/>
      <c r="Z1701" s="215" t="n"/>
      <c r="AA1701" s="215" t="n"/>
      <c r="AB1701" s="215" t="n"/>
      <c r="AC1701" s="215" t="n"/>
      <c r="AD1701" s="215" t="n"/>
      <c r="AE1701" s="215" t="n"/>
      <c r="AF1701" s="215" t="n"/>
      <c r="AG1701" s="215" t="n"/>
      <c r="AH1701" s="215" t="n"/>
      <c r="AI1701" s="215" t="n"/>
      <c r="AJ1701" s="215" t="n"/>
      <c r="AK1701" s="216" t="n"/>
    </row>
    <row r="1702" ht="15" customHeight="1">
      <c r="B1702" s="134" t="n"/>
      <c r="C1702" s="105" t="n"/>
      <c r="D1702" s="105" t="n"/>
      <c r="E1702" s="105" t="n"/>
      <c r="F1702" s="105" t="n"/>
      <c r="G1702" s="105" t="n"/>
      <c r="H1702" s="2" t="n"/>
      <c r="I1702" s="105" t="n"/>
      <c r="K1702" s="215" t="n"/>
      <c r="L1702" s="215" t="n"/>
      <c r="M1702" s="215" t="n"/>
      <c r="N1702" s="215" t="n"/>
      <c r="O1702" s="215" t="n"/>
      <c r="P1702" s="215" t="n"/>
      <c r="Q1702" s="215" t="n"/>
      <c r="R1702" s="215" t="n"/>
      <c r="S1702" s="215" t="n"/>
      <c r="T1702" s="215" t="n"/>
      <c r="U1702" s="215" t="n"/>
      <c r="V1702" s="215" t="n"/>
      <c r="W1702" s="215" t="n"/>
      <c r="X1702" s="215" t="n"/>
      <c r="Y1702" s="215" t="n"/>
      <c r="Z1702" s="215" t="n"/>
      <c r="AA1702" s="215" t="n"/>
      <c r="AB1702" s="215" t="n"/>
      <c r="AC1702" s="215" t="n"/>
      <c r="AD1702" s="215" t="n"/>
      <c r="AE1702" s="215" t="n"/>
      <c r="AF1702" s="215" t="n"/>
      <c r="AG1702" s="215" t="n"/>
      <c r="AH1702" s="215" t="n"/>
      <c r="AI1702" s="215" t="n"/>
      <c r="AJ1702" s="215" t="n"/>
      <c r="AK1702" s="216" t="n"/>
    </row>
    <row r="1703" ht="15" customHeight="1">
      <c r="B1703" s="134" t="n"/>
      <c r="C1703" s="105" t="n"/>
      <c r="D1703" s="105" t="n"/>
      <c r="E1703" s="105" t="n"/>
      <c r="F1703" s="105" t="n"/>
      <c r="G1703" s="105" t="n"/>
      <c r="H1703" s="2" t="n"/>
      <c r="I1703" s="105" t="n"/>
      <c r="K1703" s="215" t="n"/>
      <c r="L1703" s="215" t="n"/>
      <c r="M1703" s="215" t="n"/>
      <c r="N1703" s="215" t="n"/>
      <c r="O1703" s="215" t="n"/>
      <c r="P1703" s="215" t="n"/>
      <c r="Q1703" s="215" t="n"/>
      <c r="R1703" s="215" t="n"/>
      <c r="S1703" s="215" t="n"/>
      <c r="T1703" s="215" t="n"/>
      <c r="U1703" s="215" t="n"/>
      <c r="V1703" s="215" t="n"/>
      <c r="W1703" s="215" t="n"/>
      <c r="X1703" s="215" t="n"/>
      <c r="Y1703" s="215" t="n"/>
      <c r="Z1703" s="215" t="n"/>
      <c r="AA1703" s="215" t="n"/>
      <c r="AB1703" s="215" t="n"/>
      <c r="AC1703" s="215" t="n"/>
      <c r="AD1703" s="215" t="n"/>
      <c r="AE1703" s="215" t="n"/>
      <c r="AF1703" s="215" t="n"/>
      <c r="AG1703" s="215" t="n"/>
      <c r="AH1703" s="215" t="n"/>
      <c r="AI1703" s="215" t="n"/>
      <c r="AJ1703" s="215" t="n"/>
      <c r="AK1703" s="216" t="n"/>
    </row>
    <row r="1704" ht="15" customHeight="1">
      <c r="B1704" s="134" t="n"/>
      <c r="C1704" s="105" t="n"/>
      <c r="D1704" s="105" t="n"/>
      <c r="E1704" s="105" t="n"/>
      <c r="F1704" s="105" t="n"/>
      <c r="G1704" s="105" t="n"/>
      <c r="H1704" s="2" t="n"/>
      <c r="I1704" s="105" t="n"/>
      <c r="K1704" s="215" t="n"/>
      <c r="L1704" s="215" t="n"/>
      <c r="M1704" s="215" t="n"/>
      <c r="N1704" s="215" t="n"/>
      <c r="O1704" s="215" t="n"/>
      <c r="P1704" s="215" t="n"/>
      <c r="Q1704" s="215" t="n"/>
      <c r="R1704" s="215" t="n"/>
      <c r="S1704" s="215" t="n"/>
      <c r="T1704" s="215" t="n"/>
      <c r="U1704" s="215" t="n"/>
      <c r="V1704" s="215" t="n"/>
      <c r="W1704" s="215" t="n"/>
      <c r="X1704" s="215" t="n"/>
      <c r="Y1704" s="215" t="n"/>
      <c r="Z1704" s="215" t="n"/>
      <c r="AA1704" s="215" t="n"/>
      <c r="AB1704" s="215" t="n"/>
      <c r="AC1704" s="215" t="n"/>
      <c r="AD1704" s="215" t="n"/>
      <c r="AE1704" s="215" t="n"/>
      <c r="AF1704" s="215" t="n"/>
      <c r="AG1704" s="215" t="n"/>
      <c r="AH1704" s="215" t="n"/>
      <c r="AI1704" s="215" t="n"/>
      <c r="AJ1704" s="215" t="n"/>
      <c r="AK1704" s="216" t="n"/>
    </row>
    <row r="1705" ht="15" customHeight="1">
      <c r="B1705" s="134" t="n"/>
      <c r="C1705" s="105" t="n"/>
      <c r="D1705" s="105" t="n"/>
      <c r="E1705" s="105" t="n"/>
      <c r="F1705" s="105" t="n"/>
      <c r="G1705" s="105" t="n"/>
      <c r="H1705" s="2" t="n"/>
      <c r="I1705" s="105" t="n"/>
      <c r="K1705" s="215" t="n"/>
      <c r="L1705" s="215" t="n"/>
      <c r="M1705" s="215" t="n"/>
      <c r="N1705" s="215" t="n"/>
      <c r="O1705" s="215" t="n"/>
      <c r="P1705" s="215" t="n"/>
      <c r="Q1705" s="215" t="n"/>
      <c r="R1705" s="215" t="n"/>
      <c r="S1705" s="215" t="n"/>
      <c r="T1705" s="215" t="n"/>
      <c r="U1705" s="215" t="n"/>
      <c r="V1705" s="215" t="n"/>
      <c r="W1705" s="215" t="n"/>
      <c r="X1705" s="215" t="n"/>
      <c r="Y1705" s="215" t="n"/>
      <c r="Z1705" s="215" t="n"/>
      <c r="AA1705" s="215" t="n"/>
      <c r="AB1705" s="215" t="n"/>
      <c r="AC1705" s="215" t="n"/>
      <c r="AD1705" s="215" t="n"/>
      <c r="AE1705" s="215" t="n"/>
      <c r="AF1705" s="215" t="n"/>
      <c r="AG1705" s="215" t="n"/>
      <c r="AH1705" s="215" t="n"/>
      <c r="AI1705" s="215" t="n"/>
      <c r="AJ1705" s="215" t="n"/>
      <c r="AK1705" s="216" t="n"/>
    </row>
    <row r="1706" ht="15" customHeight="1">
      <c r="B1706" s="134" t="n"/>
      <c r="C1706" s="105" t="n"/>
      <c r="D1706" s="105" t="n"/>
      <c r="E1706" s="105" t="n"/>
      <c r="F1706" s="105" t="n"/>
      <c r="G1706" s="105" t="n"/>
      <c r="H1706" s="2" t="n"/>
      <c r="I1706" s="105" t="n"/>
      <c r="K1706" s="215" t="n"/>
      <c r="L1706" s="215" t="n"/>
      <c r="M1706" s="215" t="n"/>
      <c r="N1706" s="215" t="n"/>
      <c r="O1706" s="215" t="n"/>
      <c r="P1706" s="215" t="n"/>
      <c r="Q1706" s="215" t="n"/>
      <c r="R1706" s="215" t="n"/>
      <c r="S1706" s="215" t="n"/>
      <c r="T1706" s="215" t="n"/>
      <c r="U1706" s="215" t="n"/>
      <c r="V1706" s="215" t="n"/>
      <c r="W1706" s="215" t="n"/>
      <c r="X1706" s="215" t="n"/>
      <c r="Y1706" s="215" t="n"/>
      <c r="Z1706" s="215" t="n"/>
      <c r="AA1706" s="215" t="n"/>
      <c r="AB1706" s="215" t="n"/>
      <c r="AC1706" s="215" t="n"/>
      <c r="AD1706" s="215" t="n"/>
      <c r="AE1706" s="215" t="n"/>
      <c r="AF1706" s="215" t="n"/>
      <c r="AG1706" s="215" t="n"/>
      <c r="AH1706" s="215" t="n"/>
      <c r="AI1706" s="215" t="n"/>
      <c r="AJ1706" s="215" t="n"/>
      <c r="AK1706" s="216" t="n"/>
    </row>
    <row r="1707" ht="15" customHeight="1">
      <c r="B1707" s="134" t="n"/>
      <c r="C1707" s="105" t="n"/>
      <c r="D1707" s="105" t="n"/>
      <c r="E1707" s="105" t="n"/>
      <c r="F1707" s="105" t="n"/>
      <c r="G1707" s="105" t="n"/>
      <c r="H1707" s="2" t="n"/>
      <c r="I1707" s="105" t="n"/>
      <c r="K1707" s="215" t="n"/>
      <c r="L1707" s="215" t="n"/>
      <c r="M1707" s="215" t="n"/>
      <c r="N1707" s="215" t="n"/>
      <c r="O1707" s="215" t="n"/>
      <c r="P1707" s="215" t="n"/>
      <c r="Q1707" s="215" t="n"/>
      <c r="R1707" s="215" t="n"/>
      <c r="S1707" s="215" t="n"/>
      <c r="T1707" s="215" t="n"/>
      <c r="U1707" s="215" t="n"/>
      <c r="V1707" s="215" t="n"/>
      <c r="W1707" s="215" t="n"/>
      <c r="X1707" s="215" t="n"/>
      <c r="Y1707" s="215" t="n"/>
      <c r="Z1707" s="215" t="n"/>
      <c r="AA1707" s="215" t="n"/>
      <c r="AB1707" s="215" t="n"/>
      <c r="AC1707" s="215" t="n"/>
      <c r="AD1707" s="215" t="n"/>
      <c r="AE1707" s="215" t="n"/>
      <c r="AF1707" s="215" t="n"/>
      <c r="AG1707" s="215" t="n"/>
      <c r="AH1707" s="215" t="n"/>
      <c r="AI1707" s="215" t="n"/>
      <c r="AJ1707" s="215" t="n"/>
      <c r="AK1707" s="216" t="n"/>
    </row>
    <row r="1708" ht="15" customHeight="1">
      <c r="B1708" s="134" t="n"/>
      <c r="C1708" s="105" t="n"/>
      <c r="D1708" s="105" t="n"/>
      <c r="E1708" s="105" t="n"/>
      <c r="F1708" s="105" t="n"/>
      <c r="G1708" s="105" t="n"/>
      <c r="H1708" s="2" t="n"/>
      <c r="I1708" s="105" t="n"/>
      <c r="K1708" s="215" t="n"/>
      <c r="L1708" s="215" t="n"/>
      <c r="M1708" s="215" t="n"/>
      <c r="N1708" s="215" t="n"/>
      <c r="O1708" s="215" t="n"/>
      <c r="P1708" s="215" t="n"/>
      <c r="Q1708" s="215" t="n"/>
      <c r="R1708" s="215" t="n"/>
      <c r="S1708" s="215" t="n"/>
      <c r="T1708" s="215" t="n"/>
      <c r="U1708" s="215" t="n"/>
      <c r="V1708" s="215" t="n"/>
      <c r="W1708" s="215" t="n"/>
      <c r="X1708" s="215" t="n"/>
      <c r="Y1708" s="215" t="n"/>
      <c r="Z1708" s="215" t="n"/>
      <c r="AA1708" s="215" t="n"/>
      <c r="AB1708" s="215" t="n"/>
      <c r="AC1708" s="215" t="n"/>
      <c r="AD1708" s="215" t="n"/>
      <c r="AE1708" s="215" t="n"/>
      <c r="AF1708" s="215" t="n"/>
      <c r="AG1708" s="215" t="n"/>
      <c r="AH1708" s="215" t="n"/>
      <c r="AI1708" s="215" t="n"/>
      <c r="AJ1708" s="215" t="n"/>
      <c r="AK1708" s="216" t="n"/>
    </row>
    <row r="1709" ht="15" customHeight="1">
      <c r="B1709" s="134" t="n"/>
      <c r="C1709" s="105" t="n"/>
      <c r="D1709" s="105" t="n"/>
      <c r="E1709" s="105" t="n"/>
      <c r="F1709" s="105" t="n"/>
      <c r="G1709" s="105" t="n"/>
      <c r="H1709" s="2" t="n"/>
      <c r="I1709" s="105" t="n"/>
      <c r="K1709" s="215" t="n"/>
      <c r="L1709" s="215" t="n"/>
      <c r="M1709" s="215" t="n"/>
      <c r="N1709" s="215" t="n"/>
      <c r="O1709" s="215" t="n"/>
      <c r="P1709" s="215" t="n"/>
      <c r="Q1709" s="215" t="n"/>
      <c r="R1709" s="215" t="n"/>
      <c r="S1709" s="215" t="n"/>
      <c r="T1709" s="215" t="n"/>
      <c r="U1709" s="215" t="n"/>
      <c r="V1709" s="215" t="n"/>
      <c r="W1709" s="215" t="n"/>
      <c r="X1709" s="215" t="n"/>
      <c r="Y1709" s="215" t="n"/>
      <c r="Z1709" s="215" t="n"/>
      <c r="AA1709" s="215" t="n"/>
      <c r="AB1709" s="215" t="n"/>
      <c r="AC1709" s="215" t="n"/>
      <c r="AD1709" s="215" t="n"/>
      <c r="AE1709" s="215" t="n"/>
      <c r="AF1709" s="215" t="n"/>
      <c r="AG1709" s="215" t="n"/>
      <c r="AH1709" s="215" t="n"/>
      <c r="AI1709" s="215" t="n"/>
      <c r="AJ1709" s="215" t="n"/>
      <c r="AK1709" s="216" t="n"/>
    </row>
    <row r="1710" ht="15" customHeight="1">
      <c r="B1710" s="134" t="n"/>
      <c r="C1710" s="105" t="n"/>
      <c r="D1710" s="105" t="n"/>
      <c r="E1710" s="105" t="n"/>
      <c r="F1710" s="105" t="n"/>
      <c r="G1710" s="105" t="n"/>
      <c r="H1710" s="2" t="n"/>
      <c r="I1710" s="105" t="n"/>
      <c r="K1710" s="215" t="n"/>
      <c r="L1710" s="215" t="n"/>
      <c r="M1710" s="215" t="n"/>
      <c r="N1710" s="215" t="n"/>
      <c r="O1710" s="215" t="n"/>
      <c r="P1710" s="215" t="n"/>
      <c r="Q1710" s="215" t="n"/>
      <c r="R1710" s="215" t="n"/>
      <c r="S1710" s="215" t="n"/>
      <c r="T1710" s="215" t="n"/>
      <c r="U1710" s="215" t="n"/>
      <c r="V1710" s="215" t="n"/>
      <c r="W1710" s="215" t="n"/>
      <c r="X1710" s="215" t="n"/>
      <c r="Y1710" s="215" t="n"/>
      <c r="Z1710" s="215" t="n"/>
      <c r="AA1710" s="215" t="n"/>
      <c r="AB1710" s="215" t="n"/>
      <c r="AC1710" s="215" t="n"/>
      <c r="AD1710" s="215" t="n"/>
      <c r="AE1710" s="215" t="n"/>
      <c r="AF1710" s="215" t="n"/>
      <c r="AG1710" s="215" t="n"/>
      <c r="AH1710" s="215" t="n"/>
      <c r="AI1710" s="215" t="n"/>
      <c r="AJ1710" s="215" t="n"/>
      <c r="AK1710" s="216" t="n"/>
    </row>
    <row r="1711" ht="15" customHeight="1">
      <c r="B1711" s="134" t="n"/>
      <c r="C1711" s="105" t="n"/>
      <c r="D1711" s="105" t="n"/>
      <c r="E1711" s="105" t="n"/>
      <c r="F1711" s="105" t="n"/>
      <c r="G1711" s="105" t="n"/>
      <c r="H1711" s="2" t="n"/>
      <c r="I1711" s="105" t="n"/>
      <c r="K1711" s="215" t="n"/>
      <c r="L1711" s="215" t="n"/>
      <c r="M1711" s="215" t="n"/>
      <c r="N1711" s="215" t="n"/>
      <c r="O1711" s="215" t="n"/>
      <c r="P1711" s="215" t="n"/>
      <c r="Q1711" s="215" t="n"/>
      <c r="R1711" s="215" t="n"/>
      <c r="S1711" s="215" t="n"/>
      <c r="T1711" s="215" t="n"/>
      <c r="U1711" s="215" t="n"/>
      <c r="V1711" s="215" t="n"/>
      <c r="W1711" s="215" t="n"/>
      <c r="X1711" s="215" t="n"/>
      <c r="Y1711" s="215" t="n"/>
      <c r="Z1711" s="215" t="n"/>
      <c r="AA1711" s="215" t="n"/>
      <c r="AB1711" s="215" t="n"/>
      <c r="AC1711" s="215" t="n"/>
      <c r="AD1711" s="215" t="n"/>
      <c r="AE1711" s="215" t="n"/>
      <c r="AF1711" s="215" t="n"/>
      <c r="AG1711" s="215" t="n"/>
      <c r="AH1711" s="215" t="n"/>
      <c r="AI1711" s="215" t="n"/>
      <c r="AJ1711" s="215" t="n"/>
      <c r="AK1711" s="216" t="n"/>
    </row>
    <row r="1712" ht="15" customHeight="1">
      <c r="B1712" s="134" t="n"/>
      <c r="C1712" s="105" t="n"/>
      <c r="D1712" s="105" t="n"/>
      <c r="E1712" s="105" t="n"/>
      <c r="F1712" s="105" t="n"/>
      <c r="G1712" s="105" t="n"/>
      <c r="H1712" s="2" t="n"/>
      <c r="I1712" s="105" t="n"/>
      <c r="K1712" s="215" t="n"/>
      <c r="L1712" s="215" t="n"/>
      <c r="M1712" s="215" t="n"/>
      <c r="N1712" s="215" t="n"/>
      <c r="O1712" s="215" t="n"/>
      <c r="P1712" s="215" t="n"/>
      <c r="Q1712" s="215" t="n"/>
      <c r="R1712" s="215" t="n"/>
      <c r="S1712" s="215" t="n"/>
      <c r="T1712" s="215" t="n"/>
      <c r="U1712" s="215" t="n"/>
      <c r="V1712" s="215" t="n"/>
      <c r="W1712" s="215" t="n"/>
      <c r="X1712" s="215" t="n"/>
      <c r="Y1712" s="215" t="n"/>
      <c r="Z1712" s="215" t="n"/>
      <c r="AA1712" s="215" t="n"/>
      <c r="AB1712" s="215" t="n"/>
      <c r="AC1712" s="215" t="n"/>
      <c r="AD1712" s="215" t="n"/>
      <c r="AE1712" s="215" t="n"/>
      <c r="AF1712" s="215" t="n"/>
      <c r="AG1712" s="215" t="n"/>
      <c r="AH1712" s="215" t="n"/>
      <c r="AI1712" s="215" t="n"/>
      <c r="AJ1712" s="215" t="n"/>
      <c r="AK1712" s="216" t="n"/>
    </row>
    <row r="1713" ht="15" customHeight="1">
      <c r="B1713" s="134" t="n"/>
      <c r="C1713" s="105" t="n"/>
      <c r="D1713" s="105" t="n"/>
      <c r="E1713" s="105" t="n"/>
      <c r="F1713" s="105" t="n"/>
      <c r="G1713" s="105" t="n"/>
      <c r="H1713" s="2" t="n"/>
      <c r="I1713" s="105" t="n"/>
      <c r="K1713" s="215" t="n"/>
      <c r="L1713" s="215" t="n"/>
      <c r="M1713" s="215" t="n"/>
      <c r="N1713" s="215" t="n"/>
      <c r="O1713" s="215" t="n"/>
      <c r="P1713" s="215" t="n"/>
      <c r="Q1713" s="215" t="n"/>
      <c r="R1713" s="215" t="n"/>
      <c r="S1713" s="215" t="n"/>
      <c r="T1713" s="215" t="n"/>
      <c r="U1713" s="215" t="n"/>
      <c r="V1713" s="215" t="n"/>
      <c r="W1713" s="215" t="n"/>
      <c r="X1713" s="215" t="n"/>
      <c r="Y1713" s="215" t="n"/>
      <c r="Z1713" s="215" t="n"/>
      <c r="AA1713" s="215" t="n"/>
      <c r="AB1713" s="215" t="n"/>
      <c r="AC1713" s="215" t="n"/>
      <c r="AD1713" s="215" t="n"/>
      <c r="AE1713" s="215" t="n"/>
      <c r="AF1713" s="215" t="n"/>
      <c r="AG1713" s="215" t="n"/>
      <c r="AH1713" s="215" t="n"/>
      <c r="AI1713" s="215" t="n"/>
      <c r="AJ1713" s="215" t="n"/>
      <c r="AK1713" s="216" t="n"/>
    </row>
    <row r="1714" ht="15" customHeight="1">
      <c r="B1714" s="134" t="n"/>
      <c r="C1714" s="105" t="n"/>
      <c r="D1714" s="105" t="n"/>
      <c r="E1714" s="105" t="n"/>
      <c r="F1714" s="105" t="n"/>
      <c r="G1714" s="105" t="n"/>
      <c r="H1714" s="2" t="n"/>
      <c r="I1714" s="105" t="n"/>
      <c r="K1714" s="215" t="n"/>
      <c r="L1714" s="215" t="n"/>
      <c r="M1714" s="215" t="n"/>
      <c r="N1714" s="215" t="n"/>
      <c r="O1714" s="215" t="n"/>
      <c r="P1714" s="215" t="n"/>
      <c r="Q1714" s="215" t="n"/>
      <c r="R1714" s="215" t="n"/>
      <c r="S1714" s="215" t="n"/>
      <c r="T1714" s="215" t="n"/>
      <c r="U1714" s="215" t="n"/>
      <c r="V1714" s="215" t="n"/>
      <c r="W1714" s="215" t="n"/>
      <c r="X1714" s="215" t="n"/>
      <c r="Y1714" s="215" t="n"/>
      <c r="Z1714" s="215" t="n"/>
      <c r="AA1714" s="215" t="n"/>
      <c r="AB1714" s="215" t="n"/>
      <c r="AC1714" s="215" t="n"/>
      <c r="AD1714" s="215" t="n"/>
      <c r="AE1714" s="215" t="n"/>
      <c r="AF1714" s="215" t="n"/>
      <c r="AG1714" s="215" t="n"/>
      <c r="AH1714" s="215" t="n"/>
      <c r="AI1714" s="215" t="n"/>
      <c r="AJ1714" s="215" t="n"/>
      <c r="AK1714" s="216" t="n"/>
    </row>
    <row r="1715" ht="15" customHeight="1">
      <c r="B1715" s="134" t="n"/>
      <c r="C1715" s="105" t="n"/>
      <c r="D1715" s="105" t="n"/>
      <c r="E1715" s="105" t="n"/>
      <c r="F1715" s="105" t="n"/>
      <c r="G1715" s="105" t="n"/>
      <c r="H1715" s="2" t="n"/>
      <c r="I1715" s="105" t="n"/>
      <c r="K1715" s="215" t="n"/>
      <c r="L1715" s="215" t="n"/>
      <c r="M1715" s="215" t="n"/>
      <c r="N1715" s="215" t="n"/>
      <c r="O1715" s="215" t="n"/>
      <c r="P1715" s="215" t="n"/>
      <c r="Q1715" s="215" t="n"/>
      <c r="R1715" s="215" t="n"/>
      <c r="S1715" s="215" t="n"/>
      <c r="T1715" s="215" t="n"/>
      <c r="U1715" s="215" t="n"/>
      <c r="V1715" s="215" t="n"/>
      <c r="W1715" s="215" t="n"/>
      <c r="X1715" s="215" t="n"/>
      <c r="Y1715" s="215" t="n"/>
      <c r="Z1715" s="215" t="n"/>
      <c r="AA1715" s="215" t="n"/>
      <c r="AB1715" s="215" t="n"/>
      <c r="AC1715" s="215" t="n"/>
      <c r="AD1715" s="215" t="n"/>
      <c r="AE1715" s="215" t="n"/>
      <c r="AF1715" s="215" t="n"/>
      <c r="AG1715" s="215" t="n"/>
      <c r="AH1715" s="215" t="n"/>
      <c r="AI1715" s="215" t="n"/>
      <c r="AJ1715" s="215" t="n"/>
      <c r="AK1715" s="216" t="n"/>
    </row>
    <row r="1716" ht="15" customHeight="1">
      <c r="B1716" s="134" t="n"/>
      <c r="C1716" s="105" t="n"/>
      <c r="D1716" s="105" t="n"/>
      <c r="E1716" s="105" t="n"/>
      <c r="F1716" s="105" t="n"/>
      <c r="G1716" s="105" t="n"/>
      <c r="H1716" s="2" t="n"/>
      <c r="I1716" s="105" t="n"/>
      <c r="K1716" s="215" t="n"/>
      <c r="L1716" s="215" t="n"/>
      <c r="M1716" s="215" t="n"/>
      <c r="N1716" s="215" t="n"/>
      <c r="O1716" s="215" t="n"/>
      <c r="P1716" s="215" t="n"/>
      <c r="Q1716" s="215" t="n"/>
      <c r="R1716" s="215" t="n"/>
      <c r="S1716" s="215" t="n"/>
      <c r="T1716" s="215" t="n"/>
      <c r="U1716" s="215" t="n"/>
      <c r="V1716" s="215" t="n"/>
      <c r="W1716" s="215" t="n"/>
      <c r="X1716" s="215" t="n"/>
      <c r="Y1716" s="215" t="n"/>
      <c r="Z1716" s="215" t="n"/>
      <c r="AA1716" s="215" t="n"/>
      <c r="AB1716" s="215" t="n"/>
      <c r="AC1716" s="215" t="n"/>
      <c r="AD1716" s="215" t="n"/>
      <c r="AE1716" s="215" t="n"/>
      <c r="AF1716" s="215" t="n"/>
      <c r="AG1716" s="215" t="n"/>
      <c r="AH1716" s="215" t="n"/>
      <c r="AI1716" s="215" t="n"/>
      <c r="AJ1716" s="215" t="n"/>
      <c r="AK1716" s="216" t="n"/>
    </row>
    <row r="1717" ht="15" customHeight="1">
      <c r="B1717" s="134" t="n"/>
      <c r="C1717" s="105" t="n"/>
      <c r="D1717" s="105" t="n"/>
      <c r="E1717" s="105" t="n"/>
      <c r="F1717" s="105" t="n"/>
      <c r="G1717" s="105" t="n"/>
      <c r="H1717" s="2" t="n"/>
      <c r="I1717" s="105" t="n"/>
      <c r="K1717" s="215" t="n"/>
      <c r="L1717" s="215" t="n"/>
      <c r="M1717" s="215" t="n"/>
      <c r="N1717" s="215" t="n"/>
      <c r="O1717" s="215" t="n"/>
      <c r="P1717" s="215" t="n"/>
      <c r="Q1717" s="215" t="n"/>
      <c r="R1717" s="215" t="n"/>
      <c r="S1717" s="215" t="n"/>
      <c r="T1717" s="215" t="n"/>
      <c r="U1717" s="215" t="n"/>
      <c r="V1717" s="215" t="n"/>
      <c r="W1717" s="215" t="n"/>
      <c r="X1717" s="215" t="n"/>
      <c r="Y1717" s="215" t="n"/>
      <c r="Z1717" s="215" t="n"/>
      <c r="AA1717" s="215" t="n"/>
      <c r="AB1717" s="215" t="n"/>
      <c r="AC1717" s="215" t="n"/>
      <c r="AD1717" s="215" t="n"/>
      <c r="AE1717" s="215" t="n"/>
      <c r="AF1717" s="215" t="n"/>
      <c r="AG1717" s="215" t="n"/>
      <c r="AH1717" s="215" t="n"/>
      <c r="AI1717" s="215" t="n"/>
      <c r="AJ1717" s="215" t="n"/>
      <c r="AK1717" s="216" t="n"/>
    </row>
    <row r="1718" ht="15" customHeight="1">
      <c r="B1718" s="134" t="n"/>
      <c r="C1718" s="105" t="n"/>
      <c r="D1718" s="105" t="n"/>
      <c r="E1718" s="105" t="n"/>
      <c r="F1718" s="105" t="n"/>
      <c r="G1718" s="105" t="n"/>
      <c r="H1718" s="2" t="n"/>
      <c r="I1718" s="105" t="n"/>
      <c r="K1718" s="215" t="n"/>
      <c r="L1718" s="215" t="n"/>
      <c r="M1718" s="215" t="n"/>
      <c r="N1718" s="215" t="n"/>
      <c r="O1718" s="215" t="n"/>
      <c r="P1718" s="215" t="n"/>
      <c r="Q1718" s="215" t="n"/>
      <c r="R1718" s="215" t="n"/>
      <c r="S1718" s="215" t="n"/>
      <c r="T1718" s="215" t="n"/>
      <c r="U1718" s="215" t="n"/>
      <c r="V1718" s="215" t="n"/>
      <c r="W1718" s="215" t="n"/>
      <c r="X1718" s="215" t="n"/>
      <c r="Y1718" s="215" t="n"/>
      <c r="Z1718" s="215" t="n"/>
      <c r="AA1718" s="215" t="n"/>
      <c r="AB1718" s="215" t="n"/>
      <c r="AC1718" s="215" t="n"/>
      <c r="AD1718" s="215" t="n"/>
      <c r="AE1718" s="215" t="n"/>
      <c r="AF1718" s="215" t="n"/>
      <c r="AG1718" s="215" t="n"/>
      <c r="AH1718" s="215" t="n"/>
      <c r="AI1718" s="215" t="n"/>
      <c r="AJ1718" s="215" t="n"/>
      <c r="AK1718" s="216" t="n"/>
    </row>
    <row r="1719" ht="15" customHeight="1">
      <c r="B1719" s="134" t="n"/>
      <c r="C1719" s="105" t="n"/>
      <c r="D1719" s="105" t="n"/>
      <c r="E1719" s="105" t="n"/>
      <c r="F1719" s="105" t="n"/>
      <c r="G1719" s="105" t="n"/>
      <c r="H1719" s="2" t="n"/>
      <c r="I1719" s="105" t="n"/>
      <c r="K1719" s="215" t="n"/>
      <c r="L1719" s="215" t="n"/>
      <c r="M1719" s="215" t="n"/>
      <c r="N1719" s="215" t="n"/>
      <c r="O1719" s="215" t="n"/>
      <c r="P1719" s="215" t="n"/>
      <c r="Q1719" s="215" t="n"/>
      <c r="R1719" s="215" t="n"/>
      <c r="S1719" s="215" t="n"/>
      <c r="T1719" s="215" t="n"/>
      <c r="U1719" s="215" t="n"/>
      <c r="V1719" s="215" t="n"/>
      <c r="W1719" s="215" t="n"/>
      <c r="X1719" s="215" t="n"/>
      <c r="Y1719" s="215" t="n"/>
      <c r="Z1719" s="215" t="n"/>
      <c r="AA1719" s="215" t="n"/>
      <c r="AB1719" s="215" t="n"/>
      <c r="AC1719" s="215" t="n"/>
      <c r="AD1719" s="215" t="n"/>
      <c r="AE1719" s="215" t="n"/>
      <c r="AF1719" s="215" t="n"/>
      <c r="AG1719" s="215" t="n"/>
      <c r="AH1719" s="215" t="n"/>
      <c r="AI1719" s="215" t="n"/>
      <c r="AJ1719" s="215" t="n"/>
      <c r="AK1719" s="216" t="n"/>
    </row>
    <row r="1720" ht="15" customHeight="1">
      <c r="B1720" s="134" t="n"/>
      <c r="C1720" s="105" t="n"/>
      <c r="D1720" s="105" t="n"/>
      <c r="E1720" s="105" t="n"/>
      <c r="F1720" s="105" t="n"/>
      <c r="G1720" s="105" t="n"/>
      <c r="H1720" s="2" t="n"/>
      <c r="I1720" s="105" t="n"/>
      <c r="K1720" s="215" t="n"/>
      <c r="L1720" s="215" t="n"/>
      <c r="M1720" s="215" t="n"/>
      <c r="N1720" s="215" t="n"/>
      <c r="O1720" s="215" t="n"/>
      <c r="P1720" s="215" t="n"/>
      <c r="Q1720" s="215" t="n"/>
      <c r="R1720" s="215" t="n"/>
      <c r="S1720" s="215" t="n"/>
      <c r="T1720" s="215" t="n"/>
      <c r="U1720" s="215" t="n"/>
      <c r="V1720" s="215" t="n"/>
      <c r="W1720" s="215" t="n"/>
      <c r="X1720" s="215" t="n"/>
      <c r="Y1720" s="215" t="n"/>
      <c r="Z1720" s="215" t="n"/>
      <c r="AA1720" s="215" t="n"/>
      <c r="AB1720" s="215" t="n"/>
      <c r="AC1720" s="215" t="n"/>
      <c r="AD1720" s="215" t="n"/>
      <c r="AE1720" s="215" t="n"/>
      <c r="AF1720" s="215" t="n"/>
      <c r="AG1720" s="215" t="n"/>
      <c r="AH1720" s="215" t="n"/>
      <c r="AI1720" s="215" t="n"/>
      <c r="AJ1720" s="215" t="n"/>
      <c r="AK1720" s="216" t="n"/>
    </row>
    <row r="1721" ht="15" customHeight="1">
      <c r="B1721" s="134" t="n"/>
      <c r="C1721" s="105" t="n"/>
      <c r="D1721" s="105" t="n"/>
      <c r="E1721" s="105" t="n"/>
      <c r="F1721" s="105" t="n"/>
      <c r="G1721" s="105" t="n"/>
      <c r="H1721" s="2" t="n"/>
      <c r="I1721" s="105" t="n"/>
      <c r="K1721" s="215" t="n"/>
      <c r="L1721" s="215" t="n"/>
      <c r="M1721" s="215" t="n"/>
      <c r="N1721" s="215" t="n"/>
      <c r="O1721" s="215" t="n"/>
      <c r="P1721" s="215" t="n"/>
      <c r="Q1721" s="215" t="n"/>
      <c r="R1721" s="215" t="n"/>
      <c r="S1721" s="215" t="n"/>
      <c r="T1721" s="215" t="n"/>
      <c r="U1721" s="215" t="n"/>
      <c r="V1721" s="215" t="n"/>
      <c r="W1721" s="215" t="n"/>
      <c r="X1721" s="215" t="n"/>
      <c r="Y1721" s="215" t="n"/>
      <c r="Z1721" s="215" t="n"/>
      <c r="AA1721" s="215" t="n"/>
      <c r="AB1721" s="215" t="n"/>
      <c r="AC1721" s="215" t="n"/>
      <c r="AD1721" s="215" t="n"/>
      <c r="AE1721" s="215" t="n"/>
      <c r="AF1721" s="215" t="n"/>
      <c r="AG1721" s="215" t="n"/>
      <c r="AH1721" s="215" t="n"/>
      <c r="AI1721" s="215" t="n"/>
      <c r="AJ1721" s="215" t="n"/>
      <c r="AK1721" s="216" t="n"/>
    </row>
    <row r="1722" ht="15" customHeight="1">
      <c r="B1722" s="134" t="n"/>
      <c r="C1722" s="105" t="n"/>
      <c r="D1722" s="105" t="n"/>
      <c r="E1722" s="105" t="n"/>
      <c r="F1722" s="105" t="n"/>
      <c r="G1722" s="105" t="n"/>
      <c r="H1722" s="2" t="n"/>
      <c r="I1722" s="105" t="n"/>
      <c r="K1722" s="215" t="n"/>
      <c r="L1722" s="215" t="n"/>
      <c r="M1722" s="215" t="n"/>
      <c r="N1722" s="215" t="n"/>
      <c r="O1722" s="215" t="n"/>
      <c r="P1722" s="215" t="n"/>
      <c r="Q1722" s="215" t="n"/>
      <c r="R1722" s="215" t="n"/>
      <c r="S1722" s="215" t="n"/>
      <c r="T1722" s="215" t="n"/>
      <c r="U1722" s="215" t="n"/>
      <c r="V1722" s="215" t="n"/>
      <c r="W1722" s="215" t="n"/>
      <c r="X1722" s="215" t="n"/>
      <c r="Y1722" s="215" t="n"/>
      <c r="Z1722" s="215" t="n"/>
      <c r="AA1722" s="215" t="n"/>
      <c r="AB1722" s="215" t="n"/>
      <c r="AC1722" s="215" t="n"/>
      <c r="AD1722" s="215" t="n"/>
      <c r="AE1722" s="215" t="n"/>
      <c r="AF1722" s="215" t="n"/>
      <c r="AG1722" s="215" t="n"/>
      <c r="AH1722" s="215" t="n"/>
      <c r="AI1722" s="215" t="n"/>
      <c r="AJ1722" s="215" t="n"/>
      <c r="AK1722" s="216" t="n"/>
    </row>
    <row r="1723" ht="15" customHeight="1">
      <c r="B1723" s="134" t="n"/>
      <c r="C1723" s="105" t="n"/>
      <c r="D1723" s="105" t="n"/>
      <c r="E1723" s="105" t="n"/>
      <c r="F1723" s="105" t="n"/>
      <c r="G1723" s="105" t="n"/>
      <c r="H1723" s="2" t="n"/>
      <c r="I1723" s="105" t="n"/>
      <c r="K1723" s="215" t="n"/>
      <c r="L1723" s="215" t="n"/>
      <c r="M1723" s="215" t="n"/>
      <c r="N1723" s="215" t="n"/>
      <c r="O1723" s="215" t="n"/>
      <c r="P1723" s="215" t="n"/>
      <c r="Q1723" s="215" t="n"/>
      <c r="R1723" s="215" t="n"/>
      <c r="S1723" s="215" t="n"/>
      <c r="T1723" s="215" t="n"/>
      <c r="U1723" s="215" t="n"/>
      <c r="V1723" s="215" t="n"/>
      <c r="W1723" s="215" t="n"/>
      <c r="X1723" s="215" t="n"/>
      <c r="Y1723" s="215" t="n"/>
      <c r="Z1723" s="215" t="n"/>
      <c r="AA1723" s="215" t="n"/>
      <c r="AB1723" s="215" t="n"/>
      <c r="AC1723" s="215" t="n"/>
      <c r="AD1723" s="215" t="n"/>
      <c r="AE1723" s="215" t="n"/>
      <c r="AF1723" s="215" t="n"/>
      <c r="AG1723" s="215" t="n"/>
      <c r="AH1723" s="215" t="n"/>
      <c r="AI1723" s="215" t="n"/>
      <c r="AJ1723" s="215" t="n"/>
      <c r="AK1723" s="216" t="n"/>
    </row>
    <row r="1724" ht="15" customHeight="1">
      <c r="B1724" s="134" t="n"/>
      <c r="C1724" s="105" t="n"/>
      <c r="D1724" s="105" t="n"/>
      <c r="E1724" s="105" t="n"/>
      <c r="F1724" s="105" t="n"/>
      <c r="G1724" s="105" t="n"/>
      <c r="H1724" s="2" t="n"/>
      <c r="I1724" s="105" t="n"/>
      <c r="K1724" s="215" t="n"/>
      <c r="L1724" s="215" t="n"/>
      <c r="M1724" s="215" t="n"/>
      <c r="N1724" s="215" t="n"/>
      <c r="O1724" s="215" t="n"/>
      <c r="P1724" s="215" t="n"/>
      <c r="Q1724" s="215" t="n"/>
      <c r="R1724" s="215" t="n"/>
      <c r="S1724" s="215" t="n"/>
      <c r="T1724" s="215" t="n"/>
      <c r="U1724" s="215" t="n"/>
      <c r="V1724" s="215" t="n"/>
      <c r="W1724" s="215" t="n"/>
      <c r="X1724" s="215" t="n"/>
      <c r="Y1724" s="215" t="n"/>
      <c r="Z1724" s="215" t="n"/>
      <c r="AA1724" s="215" t="n"/>
      <c r="AB1724" s="215" t="n"/>
      <c r="AC1724" s="215" t="n"/>
      <c r="AD1724" s="215" t="n"/>
      <c r="AE1724" s="215" t="n"/>
      <c r="AF1724" s="215" t="n"/>
      <c r="AG1724" s="215" t="n"/>
      <c r="AH1724" s="215" t="n"/>
      <c r="AI1724" s="215" t="n"/>
      <c r="AJ1724" s="215" t="n"/>
      <c r="AK1724" s="216" t="n"/>
    </row>
    <row r="1725" ht="15" customHeight="1">
      <c r="B1725" s="134" t="n"/>
      <c r="C1725" s="105" t="n"/>
      <c r="D1725" s="105" t="n"/>
      <c r="E1725" s="105" t="n"/>
      <c r="F1725" s="105" t="n"/>
      <c r="G1725" s="105" t="n"/>
      <c r="H1725" s="2" t="n"/>
      <c r="I1725" s="105" t="n"/>
      <c r="K1725" s="215" t="n"/>
      <c r="L1725" s="215" t="n"/>
      <c r="M1725" s="215" t="n"/>
      <c r="N1725" s="215" t="n"/>
      <c r="O1725" s="215" t="n"/>
      <c r="P1725" s="215" t="n"/>
      <c r="Q1725" s="215" t="n"/>
      <c r="R1725" s="215" t="n"/>
      <c r="S1725" s="215" t="n"/>
      <c r="T1725" s="215" t="n"/>
      <c r="U1725" s="215" t="n"/>
      <c r="V1725" s="215" t="n"/>
      <c r="W1725" s="215" t="n"/>
      <c r="X1725" s="215" t="n"/>
      <c r="Y1725" s="215" t="n"/>
      <c r="Z1725" s="215" t="n"/>
      <c r="AA1725" s="215" t="n"/>
      <c r="AB1725" s="215" t="n"/>
      <c r="AC1725" s="215" t="n"/>
      <c r="AD1725" s="215" t="n"/>
      <c r="AE1725" s="215" t="n"/>
      <c r="AF1725" s="215" t="n"/>
      <c r="AG1725" s="215" t="n"/>
      <c r="AH1725" s="215" t="n"/>
      <c r="AI1725" s="215" t="n"/>
      <c r="AJ1725" s="215" t="n"/>
      <c r="AK1725" s="216" t="n"/>
    </row>
    <row r="1726" ht="15" customHeight="1">
      <c r="B1726" s="134" t="n"/>
      <c r="C1726" s="105" t="n"/>
      <c r="D1726" s="105" t="n"/>
      <c r="E1726" s="105" t="n"/>
      <c r="F1726" s="105" t="n"/>
      <c r="G1726" s="105" t="n"/>
      <c r="H1726" s="2" t="n"/>
      <c r="I1726" s="105" t="n"/>
      <c r="K1726" s="215" t="n"/>
      <c r="L1726" s="215" t="n"/>
      <c r="M1726" s="215" t="n"/>
      <c r="N1726" s="215" t="n"/>
      <c r="O1726" s="215" t="n"/>
      <c r="P1726" s="215" t="n"/>
      <c r="Q1726" s="215" t="n"/>
      <c r="R1726" s="215" t="n"/>
      <c r="S1726" s="215" t="n"/>
      <c r="T1726" s="215" t="n"/>
      <c r="U1726" s="215" t="n"/>
      <c r="V1726" s="215" t="n"/>
      <c r="W1726" s="215" t="n"/>
      <c r="X1726" s="215" t="n"/>
      <c r="Y1726" s="215" t="n"/>
      <c r="Z1726" s="215" t="n"/>
      <c r="AA1726" s="215" t="n"/>
      <c r="AB1726" s="215" t="n"/>
      <c r="AC1726" s="215" t="n"/>
      <c r="AD1726" s="215" t="n"/>
      <c r="AE1726" s="215" t="n"/>
      <c r="AF1726" s="215" t="n"/>
      <c r="AG1726" s="215" t="n"/>
      <c r="AH1726" s="215" t="n"/>
      <c r="AI1726" s="215" t="n"/>
      <c r="AJ1726" s="215" t="n"/>
      <c r="AK1726" s="216" t="n"/>
    </row>
    <row r="1727" ht="15" customHeight="1">
      <c r="B1727" s="134" t="n"/>
      <c r="C1727" s="105" t="n"/>
      <c r="D1727" s="105" t="n"/>
      <c r="E1727" s="105" t="n"/>
      <c r="F1727" s="105" t="n"/>
      <c r="G1727" s="105" t="n"/>
      <c r="H1727" s="2" t="n"/>
      <c r="I1727" s="105" t="n"/>
      <c r="K1727" s="215" t="n"/>
      <c r="L1727" s="215" t="n"/>
      <c r="M1727" s="215" t="n"/>
      <c r="N1727" s="215" t="n"/>
      <c r="O1727" s="215" t="n"/>
      <c r="P1727" s="215" t="n"/>
      <c r="Q1727" s="215" t="n"/>
      <c r="R1727" s="215" t="n"/>
      <c r="S1727" s="215" t="n"/>
      <c r="T1727" s="215" t="n"/>
      <c r="U1727" s="215" t="n"/>
      <c r="V1727" s="215" t="n"/>
      <c r="W1727" s="215" t="n"/>
      <c r="X1727" s="215" t="n"/>
      <c r="Y1727" s="215" t="n"/>
      <c r="Z1727" s="215" t="n"/>
      <c r="AA1727" s="215" t="n"/>
      <c r="AB1727" s="215" t="n"/>
      <c r="AC1727" s="215" t="n"/>
      <c r="AD1727" s="215" t="n"/>
      <c r="AE1727" s="215" t="n"/>
      <c r="AF1727" s="215" t="n"/>
      <c r="AG1727" s="215" t="n"/>
      <c r="AH1727" s="215" t="n"/>
      <c r="AI1727" s="215" t="n"/>
      <c r="AJ1727" s="215" t="n"/>
      <c r="AK1727" s="216" t="n"/>
    </row>
    <row r="1728" ht="15" customHeight="1">
      <c r="B1728" s="134" t="n"/>
      <c r="C1728" s="105" t="n"/>
      <c r="D1728" s="105" t="n"/>
      <c r="E1728" s="105" t="n"/>
      <c r="F1728" s="105" t="n"/>
      <c r="G1728" s="105" t="n"/>
      <c r="H1728" s="2" t="n"/>
      <c r="I1728" s="105" t="n"/>
      <c r="K1728" s="215" t="n"/>
      <c r="L1728" s="215" t="n"/>
      <c r="M1728" s="215" t="n"/>
      <c r="N1728" s="215" t="n"/>
      <c r="O1728" s="215" t="n"/>
      <c r="P1728" s="215" t="n"/>
      <c r="Q1728" s="215" t="n"/>
      <c r="R1728" s="215" t="n"/>
      <c r="S1728" s="215" t="n"/>
      <c r="T1728" s="215" t="n"/>
      <c r="U1728" s="215" t="n"/>
      <c r="V1728" s="215" t="n"/>
      <c r="W1728" s="215" t="n"/>
      <c r="X1728" s="215" t="n"/>
      <c r="Y1728" s="215" t="n"/>
      <c r="Z1728" s="215" t="n"/>
      <c r="AA1728" s="215" t="n"/>
      <c r="AB1728" s="215" t="n"/>
      <c r="AC1728" s="215" t="n"/>
      <c r="AD1728" s="215" t="n"/>
      <c r="AE1728" s="215" t="n"/>
      <c r="AF1728" s="215" t="n"/>
      <c r="AG1728" s="215" t="n"/>
      <c r="AH1728" s="215" t="n"/>
      <c r="AI1728" s="215" t="n"/>
      <c r="AJ1728" s="215" t="n"/>
      <c r="AK1728" s="216" t="n"/>
    </row>
    <row r="1729" ht="15" customHeight="1">
      <c r="B1729" s="134" t="n"/>
      <c r="C1729" s="105" t="n"/>
      <c r="D1729" s="105" t="n"/>
      <c r="E1729" s="105" t="n"/>
      <c r="F1729" s="105" t="n"/>
      <c r="G1729" s="105" t="n"/>
      <c r="H1729" s="2" t="n"/>
      <c r="I1729" s="105" t="n"/>
      <c r="K1729" s="215" t="n"/>
      <c r="L1729" s="215" t="n"/>
      <c r="M1729" s="215" t="n"/>
      <c r="N1729" s="215" t="n"/>
      <c r="O1729" s="215" t="n"/>
      <c r="P1729" s="215" t="n"/>
      <c r="Q1729" s="215" t="n"/>
      <c r="R1729" s="215" t="n"/>
      <c r="S1729" s="215" t="n"/>
      <c r="T1729" s="215" t="n"/>
      <c r="U1729" s="215" t="n"/>
      <c r="V1729" s="215" t="n"/>
      <c r="W1729" s="215" t="n"/>
      <c r="X1729" s="215" t="n"/>
      <c r="Y1729" s="215" t="n"/>
      <c r="Z1729" s="215" t="n"/>
      <c r="AA1729" s="215" t="n"/>
      <c r="AB1729" s="215" t="n"/>
      <c r="AC1729" s="215" t="n"/>
      <c r="AD1729" s="215" t="n"/>
      <c r="AE1729" s="215" t="n"/>
      <c r="AF1729" s="215" t="n"/>
      <c r="AG1729" s="215" t="n"/>
      <c r="AH1729" s="215" t="n"/>
      <c r="AI1729" s="215" t="n"/>
      <c r="AJ1729" s="215" t="n"/>
      <c r="AK1729" s="216" t="n"/>
    </row>
    <row r="1730" ht="15" customHeight="1">
      <c r="B1730" s="134" t="n"/>
      <c r="C1730" s="105" t="n"/>
      <c r="D1730" s="105" t="n"/>
      <c r="E1730" s="105" t="n"/>
      <c r="F1730" s="105" t="n"/>
      <c r="G1730" s="105" t="n"/>
      <c r="H1730" s="2" t="n"/>
      <c r="I1730" s="105" t="n"/>
      <c r="K1730" s="215" t="n"/>
      <c r="L1730" s="215" t="n"/>
      <c r="M1730" s="215" t="n"/>
      <c r="N1730" s="215" t="n"/>
      <c r="O1730" s="215" t="n"/>
      <c r="P1730" s="215" t="n"/>
      <c r="Q1730" s="215" t="n"/>
      <c r="R1730" s="215" t="n"/>
      <c r="S1730" s="215" t="n"/>
      <c r="T1730" s="215" t="n"/>
      <c r="U1730" s="215" t="n"/>
      <c r="V1730" s="215" t="n"/>
      <c r="W1730" s="215" t="n"/>
      <c r="X1730" s="215" t="n"/>
      <c r="Y1730" s="215" t="n"/>
      <c r="Z1730" s="215" t="n"/>
      <c r="AA1730" s="215" t="n"/>
      <c r="AB1730" s="215" t="n"/>
      <c r="AC1730" s="215" t="n"/>
      <c r="AD1730" s="215" t="n"/>
      <c r="AE1730" s="215" t="n"/>
      <c r="AF1730" s="215" t="n"/>
      <c r="AG1730" s="215" t="n"/>
      <c r="AH1730" s="215" t="n"/>
      <c r="AI1730" s="215" t="n"/>
      <c r="AJ1730" s="215" t="n"/>
      <c r="AK1730" s="216" t="n"/>
    </row>
    <row r="1731" ht="15" customHeight="1">
      <c r="B1731" s="134" t="n"/>
      <c r="C1731" s="105" t="n"/>
      <c r="D1731" s="105" t="n"/>
      <c r="E1731" s="105" t="n"/>
      <c r="F1731" s="105" t="n"/>
      <c r="G1731" s="105" t="n"/>
      <c r="H1731" s="2" t="n"/>
      <c r="I1731" s="105" t="n"/>
      <c r="K1731" s="215" t="n"/>
      <c r="L1731" s="215" t="n"/>
      <c r="M1731" s="215" t="n"/>
      <c r="N1731" s="215" t="n"/>
      <c r="O1731" s="215" t="n"/>
      <c r="P1731" s="215" t="n"/>
      <c r="Q1731" s="215" t="n"/>
      <c r="R1731" s="215" t="n"/>
      <c r="S1731" s="215" t="n"/>
      <c r="T1731" s="215" t="n"/>
      <c r="U1731" s="215" t="n"/>
      <c r="V1731" s="215" t="n"/>
      <c r="W1731" s="215" t="n"/>
      <c r="X1731" s="215" t="n"/>
      <c r="Y1731" s="215" t="n"/>
      <c r="Z1731" s="215" t="n"/>
      <c r="AA1731" s="215" t="n"/>
      <c r="AB1731" s="215" t="n"/>
      <c r="AC1731" s="215" t="n"/>
      <c r="AD1731" s="215" t="n"/>
      <c r="AE1731" s="215" t="n"/>
      <c r="AF1731" s="215" t="n"/>
      <c r="AG1731" s="215" t="n"/>
      <c r="AH1731" s="215" t="n"/>
      <c r="AI1731" s="215" t="n"/>
      <c r="AJ1731" s="215" t="n"/>
      <c r="AK1731" s="216" t="n"/>
    </row>
    <row r="1732" ht="15" customHeight="1">
      <c r="B1732" s="134" t="n"/>
      <c r="C1732" s="105" t="n"/>
      <c r="D1732" s="105" t="n"/>
      <c r="E1732" s="105" t="n"/>
      <c r="F1732" s="105" t="n"/>
      <c r="G1732" s="105" t="n"/>
      <c r="H1732" s="2" t="n"/>
      <c r="I1732" s="105" t="n"/>
      <c r="K1732" s="215" t="n"/>
      <c r="L1732" s="215" t="n"/>
      <c r="M1732" s="215" t="n"/>
      <c r="N1732" s="215" t="n"/>
      <c r="O1732" s="215" t="n"/>
      <c r="P1732" s="215" t="n"/>
      <c r="Q1732" s="215" t="n"/>
      <c r="R1732" s="215" t="n"/>
      <c r="S1732" s="215" t="n"/>
      <c r="T1732" s="215" t="n"/>
      <c r="U1732" s="215" t="n"/>
      <c r="V1732" s="215" t="n"/>
      <c r="W1732" s="215" t="n"/>
      <c r="X1732" s="215" t="n"/>
      <c r="Y1732" s="215" t="n"/>
      <c r="Z1732" s="215" t="n"/>
      <c r="AA1732" s="215" t="n"/>
      <c r="AB1732" s="215" t="n"/>
      <c r="AC1732" s="215" t="n"/>
      <c r="AD1732" s="215" t="n"/>
      <c r="AE1732" s="215" t="n"/>
      <c r="AF1732" s="215" t="n"/>
      <c r="AG1732" s="215" t="n"/>
      <c r="AH1732" s="215" t="n"/>
      <c r="AI1732" s="215" t="n"/>
      <c r="AJ1732" s="215" t="n"/>
      <c r="AK1732" s="216" t="n"/>
    </row>
    <row r="1733" ht="15" customHeight="1">
      <c r="B1733" s="134" t="n"/>
      <c r="C1733" s="105" t="n"/>
      <c r="D1733" s="105" t="n"/>
      <c r="E1733" s="105" t="n"/>
      <c r="F1733" s="105" t="n"/>
      <c r="G1733" s="105" t="n"/>
      <c r="H1733" s="2" t="n"/>
      <c r="I1733" s="105" t="n"/>
      <c r="K1733" s="215" t="n"/>
      <c r="L1733" s="215" t="n"/>
      <c r="M1733" s="215" t="n"/>
      <c r="N1733" s="215" t="n"/>
      <c r="O1733" s="215" t="n"/>
      <c r="P1733" s="215" t="n"/>
      <c r="Q1733" s="215" t="n"/>
      <c r="R1733" s="215" t="n"/>
      <c r="S1733" s="215" t="n"/>
      <c r="T1733" s="215" t="n"/>
      <c r="U1733" s="215" t="n"/>
      <c r="V1733" s="215" t="n"/>
      <c r="W1733" s="215" t="n"/>
      <c r="X1733" s="215" t="n"/>
      <c r="Y1733" s="215" t="n"/>
      <c r="Z1733" s="215" t="n"/>
      <c r="AA1733" s="215" t="n"/>
      <c r="AB1733" s="215" t="n"/>
      <c r="AC1733" s="215" t="n"/>
      <c r="AD1733" s="215" t="n"/>
      <c r="AE1733" s="215" t="n"/>
      <c r="AF1733" s="215" t="n"/>
      <c r="AG1733" s="215" t="n"/>
      <c r="AH1733" s="215" t="n"/>
      <c r="AI1733" s="215" t="n"/>
      <c r="AJ1733" s="215" t="n"/>
      <c r="AK1733" s="216" t="n"/>
    </row>
    <row r="1734" ht="15" customHeight="1">
      <c r="B1734" s="134" t="n"/>
      <c r="C1734" s="105" t="n"/>
      <c r="D1734" s="105" t="n"/>
      <c r="E1734" s="105" t="n"/>
      <c r="F1734" s="105" t="n"/>
      <c r="G1734" s="105" t="n"/>
      <c r="H1734" s="2" t="n"/>
      <c r="I1734" s="105" t="n"/>
      <c r="K1734" s="215" t="n"/>
      <c r="L1734" s="215" t="n"/>
      <c r="M1734" s="215" t="n"/>
      <c r="N1734" s="215" t="n"/>
      <c r="O1734" s="215" t="n"/>
      <c r="P1734" s="215" t="n"/>
      <c r="Q1734" s="215" t="n"/>
      <c r="R1734" s="215" t="n"/>
      <c r="S1734" s="215" t="n"/>
      <c r="T1734" s="215" t="n"/>
      <c r="U1734" s="215" t="n"/>
      <c r="V1734" s="215" t="n"/>
      <c r="W1734" s="215" t="n"/>
      <c r="X1734" s="215" t="n"/>
      <c r="Y1734" s="215" t="n"/>
      <c r="Z1734" s="215" t="n"/>
      <c r="AA1734" s="215" t="n"/>
      <c r="AB1734" s="215" t="n"/>
      <c r="AC1734" s="215" t="n"/>
      <c r="AD1734" s="215" t="n"/>
      <c r="AE1734" s="215" t="n"/>
      <c r="AF1734" s="215" t="n"/>
      <c r="AG1734" s="215" t="n"/>
      <c r="AH1734" s="215" t="n"/>
      <c r="AI1734" s="215" t="n"/>
      <c r="AJ1734" s="215" t="n"/>
      <c r="AK1734" s="216" t="n"/>
    </row>
    <row r="1735" ht="15" customHeight="1">
      <c r="B1735" s="134" t="n"/>
      <c r="C1735" s="105" t="n"/>
      <c r="D1735" s="105" t="n"/>
      <c r="E1735" s="105" t="n"/>
      <c r="F1735" s="105" t="n"/>
      <c r="G1735" s="105" t="n"/>
      <c r="H1735" s="2" t="n"/>
      <c r="I1735" s="105" t="n"/>
      <c r="K1735" s="215" t="n"/>
      <c r="L1735" s="215" t="n"/>
      <c r="M1735" s="215" t="n"/>
      <c r="N1735" s="215" t="n"/>
      <c r="O1735" s="215" t="n"/>
      <c r="P1735" s="215" t="n"/>
      <c r="Q1735" s="215" t="n"/>
      <c r="R1735" s="215" t="n"/>
      <c r="S1735" s="215" t="n"/>
      <c r="T1735" s="215" t="n"/>
      <c r="U1735" s="215" t="n"/>
      <c r="V1735" s="215" t="n"/>
      <c r="W1735" s="215" t="n"/>
      <c r="X1735" s="215" t="n"/>
      <c r="Y1735" s="215" t="n"/>
      <c r="Z1735" s="215" t="n"/>
      <c r="AA1735" s="215" t="n"/>
      <c r="AB1735" s="215" t="n"/>
      <c r="AC1735" s="215" t="n"/>
      <c r="AD1735" s="215" t="n"/>
      <c r="AE1735" s="215" t="n"/>
      <c r="AF1735" s="215" t="n"/>
      <c r="AG1735" s="215" t="n"/>
      <c r="AH1735" s="215" t="n"/>
      <c r="AI1735" s="215" t="n"/>
      <c r="AJ1735" s="215" t="n"/>
      <c r="AK1735" s="216" t="n"/>
    </row>
    <row r="1736" ht="15" customHeight="1">
      <c r="B1736" s="134" t="n"/>
      <c r="C1736" s="105" t="n"/>
      <c r="D1736" s="105" t="n"/>
      <c r="E1736" s="105" t="n"/>
      <c r="F1736" s="105" t="n"/>
      <c r="G1736" s="105" t="n"/>
      <c r="H1736" s="2" t="n"/>
      <c r="I1736" s="105" t="n"/>
      <c r="K1736" s="215" t="n"/>
      <c r="L1736" s="215" t="n"/>
      <c r="M1736" s="215" t="n"/>
      <c r="N1736" s="215" t="n"/>
      <c r="O1736" s="215" t="n"/>
      <c r="P1736" s="215" t="n"/>
      <c r="Q1736" s="215" t="n"/>
      <c r="R1736" s="215" t="n"/>
      <c r="S1736" s="215" t="n"/>
      <c r="T1736" s="215" t="n"/>
      <c r="U1736" s="215" t="n"/>
      <c r="V1736" s="215" t="n"/>
      <c r="W1736" s="215" t="n"/>
      <c r="X1736" s="215" t="n"/>
      <c r="Y1736" s="215" t="n"/>
      <c r="Z1736" s="215" t="n"/>
      <c r="AA1736" s="215" t="n"/>
      <c r="AB1736" s="215" t="n"/>
      <c r="AC1736" s="215" t="n"/>
      <c r="AD1736" s="215" t="n"/>
      <c r="AE1736" s="215" t="n"/>
      <c r="AF1736" s="215" t="n"/>
      <c r="AG1736" s="215" t="n"/>
      <c r="AH1736" s="215" t="n"/>
      <c r="AI1736" s="215" t="n"/>
      <c r="AJ1736" s="215" t="n"/>
      <c r="AK1736" s="216" t="n"/>
    </row>
    <row r="1737" ht="15" customHeight="1">
      <c r="B1737" s="134" t="n"/>
      <c r="C1737" s="105" t="n"/>
      <c r="D1737" s="105" t="n"/>
      <c r="E1737" s="105" t="n"/>
      <c r="F1737" s="105" t="n"/>
      <c r="G1737" s="105" t="n"/>
      <c r="H1737" s="2" t="n"/>
      <c r="I1737" s="105" t="n"/>
      <c r="K1737" s="215" t="n"/>
      <c r="L1737" s="215" t="n"/>
      <c r="M1737" s="215" t="n"/>
      <c r="N1737" s="215" t="n"/>
      <c r="O1737" s="215" t="n"/>
      <c r="P1737" s="215" t="n"/>
      <c r="Q1737" s="215" t="n"/>
      <c r="R1737" s="215" t="n"/>
      <c r="S1737" s="215" t="n"/>
      <c r="T1737" s="215" t="n"/>
      <c r="U1737" s="215" t="n"/>
      <c r="V1737" s="215" t="n"/>
      <c r="W1737" s="215" t="n"/>
      <c r="X1737" s="215" t="n"/>
      <c r="Y1737" s="215" t="n"/>
      <c r="Z1737" s="215" t="n"/>
      <c r="AA1737" s="215" t="n"/>
      <c r="AB1737" s="215" t="n"/>
      <c r="AC1737" s="215" t="n"/>
      <c r="AD1737" s="215" t="n"/>
      <c r="AE1737" s="215" t="n"/>
      <c r="AF1737" s="215" t="n"/>
      <c r="AG1737" s="215" t="n"/>
      <c r="AH1737" s="215" t="n"/>
      <c r="AI1737" s="215" t="n"/>
      <c r="AJ1737" s="215" t="n"/>
      <c r="AK1737" s="216" t="n"/>
    </row>
    <row r="1738" ht="15" customHeight="1">
      <c r="B1738" s="134" t="n"/>
      <c r="C1738" s="105" t="n"/>
      <c r="D1738" s="105" t="n"/>
      <c r="E1738" s="105" t="n"/>
      <c r="F1738" s="105" t="n"/>
      <c r="G1738" s="105" t="n"/>
      <c r="H1738" s="2" t="n"/>
      <c r="I1738" s="105" t="n"/>
      <c r="K1738" s="215" t="n"/>
      <c r="L1738" s="215" t="n"/>
      <c r="M1738" s="215" t="n"/>
      <c r="N1738" s="215" t="n"/>
      <c r="O1738" s="215" t="n"/>
      <c r="P1738" s="215" t="n"/>
      <c r="Q1738" s="215" t="n"/>
      <c r="R1738" s="215" t="n"/>
      <c r="S1738" s="215" t="n"/>
      <c r="T1738" s="215" t="n"/>
      <c r="U1738" s="215" t="n"/>
      <c r="V1738" s="215" t="n"/>
      <c r="W1738" s="215" t="n"/>
      <c r="X1738" s="215" t="n"/>
      <c r="Y1738" s="215" t="n"/>
      <c r="Z1738" s="215" t="n"/>
      <c r="AA1738" s="215" t="n"/>
      <c r="AB1738" s="215" t="n"/>
      <c r="AC1738" s="215" t="n"/>
      <c r="AD1738" s="215" t="n"/>
      <c r="AE1738" s="215" t="n"/>
      <c r="AF1738" s="215" t="n"/>
      <c r="AG1738" s="215" t="n"/>
      <c r="AH1738" s="215" t="n"/>
      <c r="AI1738" s="215" t="n"/>
      <c r="AJ1738" s="215" t="n"/>
      <c r="AK1738" s="216" t="n"/>
    </row>
    <row r="1739" ht="15" customHeight="1">
      <c r="B1739" s="134" t="n"/>
      <c r="C1739" s="105" t="n"/>
      <c r="D1739" s="105" t="n"/>
      <c r="E1739" s="105" t="n"/>
      <c r="F1739" s="105" t="n"/>
      <c r="G1739" s="105" t="n"/>
      <c r="H1739" s="2" t="n"/>
      <c r="I1739" s="105" t="n"/>
      <c r="K1739" s="215" t="n"/>
      <c r="L1739" s="215" t="n"/>
      <c r="M1739" s="215" t="n"/>
      <c r="N1739" s="215" t="n"/>
      <c r="O1739" s="215" t="n"/>
      <c r="P1739" s="215" t="n"/>
      <c r="Q1739" s="215" t="n"/>
      <c r="R1739" s="215" t="n"/>
      <c r="S1739" s="215" t="n"/>
      <c r="T1739" s="215" t="n"/>
      <c r="U1739" s="215" t="n"/>
      <c r="V1739" s="215" t="n"/>
      <c r="W1739" s="215" t="n"/>
      <c r="X1739" s="215" t="n"/>
      <c r="Y1739" s="215" t="n"/>
      <c r="Z1739" s="215" t="n"/>
      <c r="AA1739" s="215" t="n"/>
      <c r="AB1739" s="215" t="n"/>
      <c r="AC1739" s="215" t="n"/>
      <c r="AD1739" s="215" t="n"/>
      <c r="AE1739" s="215" t="n"/>
      <c r="AF1739" s="215" t="n"/>
      <c r="AG1739" s="215" t="n"/>
      <c r="AH1739" s="215" t="n"/>
      <c r="AI1739" s="215" t="n"/>
      <c r="AJ1739" s="215" t="n"/>
      <c r="AK1739" s="216" t="n"/>
    </row>
    <row r="1740" ht="15" customHeight="1">
      <c r="B1740" s="134" t="n"/>
      <c r="C1740" s="105" t="n"/>
      <c r="D1740" s="105" t="n"/>
      <c r="E1740" s="105" t="n"/>
      <c r="F1740" s="105" t="n"/>
      <c r="G1740" s="105" t="n"/>
      <c r="H1740" s="2" t="n"/>
      <c r="I1740" s="105" t="n"/>
      <c r="K1740" s="215" t="n"/>
      <c r="L1740" s="215" t="n"/>
      <c r="M1740" s="215" t="n"/>
      <c r="N1740" s="215" t="n"/>
      <c r="O1740" s="215" t="n"/>
      <c r="P1740" s="215" t="n"/>
      <c r="Q1740" s="215" t="n"/>
      <c r="R1740" s="215" t="n"/>
      <c r="S1740" s="215" t="n"/>
      <c r="T1740" s="215" t="n"/>
      <c r="U1740" s="215" t="n"/>
      <c r="V1740" s="215" t="n"/>
      <c r="W1740" s="215" t="n"/>
      <c r="X1740" s="215" t="n"/>
      <c r="Y1740" s="215" t="n"/>
      <c r="Z1740" s="215" t="n"/>
      <c r="AA1740" s="215" t="n"/>
      <c r="AB1740" s="215" t="n"/>
      <c r="AC1740" s="215" t="n"/>
      <c r="AD1740" s="215" t="n"/>
      <c r="AE1740" s="215" t="n"/>
      <c r="AF1740" s="215" t="n"/>
      <c r="AG1740" s="215" t="n"/>
      <c r="AH1740" s="215" t="n"/>
      <c r="AI1740" s="215" t="n"/>
      <c r="AJ1740" s="215" t="n"/>
      <c r="AK1740" s="216" t="n"/>
    </row>
    <row r="1741" ht="15" customHeight="1">
      <c r="B1741" s="134" t="n"/>
      <c r="C1741" s="105" t="n"/>
      <c r="D1741" s="105" t="n"/>
      <c r="E1741" s="105" t="n"/>
      <c r="F1741" s="105" t="n"/>
      <c r="G1741" s="105" t="n"/>
      <c r="H1741" s="2" t="n"/>
      <c r="I1741" s="105" t="n"/>
      <c r="K1741" s="215" t="n"/>
      <c r="L1741" s="215" t="n"/>
      <c r="M1741" s="215" t="n"/>
      <c r="N1741" s="215" t="n"/>
      <c r="O1741" s="215" t="n"/>
      <c r="P1741" s="215" t="n"/>
      <c r="Q1741" s="215" t="n"/>
      <c r="R1741" s="215" t="n"/>
      <c r="S1741" s="215" t="n"/>
      <c r="T1741" s="215" t="n"/>
      <c r="U1741" s="215" t="n"/>
      <c r="V1741" s="215" t="n"/>
      <c r="W1741" s="215" t="n"/>
      <c r="X1741" s="215" t="n"/>
      <c r="Y1741" s="215" t="n"/>
      <c r="Z1741" s="215" t="n"/>
      <c r="AA1741" s="215" t="n"/>
      <c r="AB1741" s="215" t="n"/>
      <c r="AC1741" s="215" t="n"/>
      <c r="AD1741" s="215" t="n"/>
      <c r="AE1741" s="215" t="n"/>
      <c r="AF1741" s="215" t="n"/>
      <c r="AG1741" s="215" t="n"/>
      <c r="AH1741" s="215" t="n"/>
      <c r="AI1741" s="215" t="n"/>
      <c r="AJ1741" s="215" t="n"/>
      <c r="AK1741" s="216" t="n"/>
    </row>
    <row r="1742" ht="15" customHeight="1">
      <c r="B1742" s="134" t="n"/>
      <c r="C1742" s="105" t="n"/>
      <c r="D1742" s="105" t="n"/>
      <c r="E1742" s="105" t="n"/>
      <c r="F1742" s="105" t="n"/>
      <c r="G1742" s="105" t="n"/>
      <c r="H1742" s="2" t="n"/>
      <c r="I1742" s="105" t="n"/>
      <c r="K1742" s="215" t="n"/>
      <c r="L1742" s="215" t="n"/>
      <c r="M1742" s="215" t="n"/>
      <c r="N1742" s="215" t="n"/>
      <c r="O1742" s="215" t="n"/>
      <c r="P1742" s="215" t="n"/>
      <c r="Q1742" s="215" t="n"/>
      <c r="R1742" s="215" t="n"/>
      <c r="S1742" s="215" t="n"/>
      <c r="T1742" s="215" t="n"/>
      <c r="U1742" s="215" t="n"/>
      <c r="V1742" s="215" t="n"/>
      <c r="W1742" s="215" t="n"/>
      <c r="X1742" s="215" t="n"/>
      <c r="Y1742" s="215" t="n"/>
      <c r="Z1742" s="215" t="n"/>
      <c r="AA1742" s="215" t="n"/>
      <c r="AB1742" s="215" t="n"/>
      <c r="AC1742" s="215" t="n"/>
      <c r="AD1742" s="215" t="n"/>
      <c r="AE1742" s="215" t="n"/>
      <c r="AF1742" s="215" t="n"/>
      <c r="AG1742" s="215" t="n"/>
      <c r="AH1742" s="215" t="n"/>
      <c r="AI1742" s="215" t="n"/>
      <c r="AJ1742" s="215" t="n"/>
      <c r="AK1742" s="216" t="n"/>
    </row>
    <row r="1743" ht="15" customHeight="1">
      <c r="B1743" s="134" t="n"/>
      <c r="C1743" s="105" t="n"/>
      <c r="D1743" s="105" t="n"/>
      <c r="E1743" s="105" t="n"/>
      <c r="F1743" s="105" t="n"/>
      <c r="G1743" s="105" t="n"/>
      <c r="H1743" s="2" t="n"/>
      <c r="I1743" s="105" t="n"/>
      <c r="K1743" s="215" t="n"/>
      <c r="L1743" s="215" t="n"/>
      <c r="M1743" s="215" t="n"/>
      <c r="N1743" s="215" t="n"/>
      <c r="O1743" s="215" t="n"/>
      <c r="P1743" s="215" t="n"/>
      <c r="Q1743" s="215" t="n"/>
      <c r="R1743" s="215" t="n"/>
      <c r="S1743" s="215" t="n"/>
      <c r="T1743" s="215" t="n"/>
      <c r="U1743" s="215" t="n"/>
      <c r="V1743" s="215" t="n"/>
      <c r="W1743" s="215" t="n"/>
      <c r="X1743" s="215" t="n"/>
      <c r="Y1743" s="215" t="n"/>
      <c r="Z1743" s="215" t="n"/>
      <c r="AA1743" s="215" t="n"/>
      <c r="AB1743" s="215" t="n"/>
      <c r="AC1743" s="215" t="n"/>
      <c r="AD1743" s="215" t="n"/>
      <c r="AE1743" s="215" t="n"/>
      <c r="AF1743" s="215" t="n"/>
      <c r="AG1743" s="215" t="n"/>
      <c r="AH1743" s="215" t="n"/>
      <c r="AI1743" s="215" t="n"/>
      <c r="AJ1743" s="215" t="n"/>
      <c r="AK1743" s="216" t="n"/>
    </row>
    <row r="1744" ht="15" customHeight="1">
      <c r="B1744" s="134" t="n"/>
      <c r="C1744" s="105" t="n"/>
      <c r="D1744" s="105" t="n"/>
      <c r="E1744" s="105" t="n"/>
      <c r="F1744" s="105" t="n"/>
      <c r="G1744" s="105" t="n"/>
      <c r="H1744" s="2" t="n"/>
      <c r="I1744" s="105" t="n"/>
      <c r="K1744" s="215" t="n"/>
      <c r="L1744" s="215" t="n"/>
      <c r="M1744" s="215" t="n"/>
      <c r="N1744" s="215" t="n"/>
      <c r="O1744" s="215" t="n"/>
      <c r="P1744" s="215" t="n"/>
      <c r="Q1744" s="215" t="n"/>
      <c r="R1744" s="215" t="n"/>
      <c r="S1744" s="215" t="n"/>
      <c r="T1744" s="215" t="n"/>
      <c r="U1744" s="215" t="n"/>
      <c r="V1744" s="215" t="n"/>
      <c r="W1744" s="215" t="n"/>
      <c r="X1744" s="215" t="n"/>
      <c r="Y1744" s="215" t="n"/>
      <c r="Z1744" s="215" t="n"/>
      <c r="AA1744" s="215" t="n"/>
      <c r="AB1744" s="215" t="n"/>
      <c r="AC1744" s="215" t="n"/>
      <c r="AD1744" s="215" t="n"/>
      <c r="AE1744" s="215" t="n"/>
      <c r="AF1744" s="215" t="n"/>
      <c r="AG1744" s="215" t="n"/>
      <c r="AH1744" s="215" t="n"/>
      <c r="AI1744" s="215" t="n"/>
      <c r="AJ1744" s="215" t="n"/>
      <c r="AK1744" s="216" t="n"/>
    </row>
    <row r="1745" ht="15" customHeight="1">
      <c r="B1745" s="134" t="n"/>
      <c r="C1745" s="105" t="n"/>
      <c r="D1745" s="105" t="n"/>
      <c r="E1745" s="105" t="n"/>
      <c r="F1745" s="105" t="n"/>
      <c r="G1745" s="105" t="n"/>
      <c r="H1745" s="2" t="n"/>
      <c r="I1745" s="105" t="n"/>
      <c r="K1745" s="215" t="n"/>
      <c r="L1745" s="215" t="n"/>
      <c r="M1745" s="215" t="n"/>
      <c r="N1745" s="215" t="n"/>
      <c r="O1745" s="215" t="n"/>
      <c r="P1745" s="215" t="n"/>
      <c r="Q1745" s="215" t="n"/>
      <c r="R1745" s="215" t="n"/>
      <c r="S1745" s="215" t="n"/>
      <c r="T1745" s="215" t="n"/>
      <c r="U1745" s="215" t="n"/>
      <c r="V1745" s="215" t="n"/>
      <c r="W1745" s="215" t="n"/>
      <c r="X1745" s="215" t="n"/>
      <c r="Y1745" s="215" t="n"/>
      <c r="Z1745" s="215" t="n"/>
      <c r="AA1745" s="215" t="n"/>
      <c r="AB1745" s="215" t="n"/>
      <c r="AC1745" s="215" t="n"/>
      <c r="AD1745" s="215" t="n"/>
      <c r="AE1745" s="215" t="n"/>
      <c r="AF1745" s="215" t="n"/>
      <c r="AG1745" s="215" t="n"/>
      <c r="AH1745" s="215" t="n"/>
      <c r="AI1745" s="215" t="n"/>
      <c r="AJ1745" s="215" t="n"/>
      <c r="AK1745" s="216" t="n"/>
    </row>
    <row r="1746" ht="15" customHeight="1">
      <c r="B1746" s="134" t="n"/>
      <c r="C1746" s="105" t="n"/>
      <c r="D1746" s="105" t="n"/>
      <c r="E1746" s="105" t="n"/>
      <c r="F1746" s="105" t="n"/>
      <c r="G1746" s="105" t="n"/>
      <c r="H1746" s="2" t="n"/>
      <c r="I1746" s="105" t="n"/>
      <c r="K1746" s="215" t="n"/>
      <c r="L1746" s="215" t="n"/>
      <c r="M1746" s="215" t="n"/>
      <c r="N1746" s="215" t="n"/>
      <c r="O1746" s="215" t="n"/>
      <c r="P1746" s="215" t="n"/>
      <c r="Q1746" s="215" t="n"/>
      <c r="R1746" s="215" t="n"/>
      <c r="S1746" s="215" t="n"/>
      <c r="T1746" s="215" t="n"/>
      <c r="U1746" s="215" t="n"/>
      <c r="V1746" s="215" t="n"/>
      <c r="W1746" s="215" t="n"/>
      <c r="X1746" s="215" t="n"/>
      <c r="Y1746" s="215" t="n"/>
      <c r="Z1746" s="215" t="n"/>
      <c r="AA1746" s="215" t="n"/>
      <c r="AB1746" s="215" t="n"/>
      <c r="AC1746" s="215" t="n"/>
      <c r="AD1746" s="215" t="n"/>
      <c r="AE1746" s="215" t="n"/>
      <c r="AF1746" s="215" t="n"/>
      <c r="AG1746" s="215" t="n"/>
      <c r="AH1746" s="215" t="n"/>
      <c r="AI1746" s="215" t="n"/>
      <c r="AJ1746" s="215" t="n"/>
      <c r="AK1746" s="216" t="n"/>
    </row>
    <row r="1747" ht="15" customHeight="1">
      <c r="B1747" s="134" t="n"/>
      <c r="C1747" s="105" t="n"/>
      <c r="D1747" s="105" t="n"/>
      <c r="E1747" s="105" t="n"/>
      <c r="F1747" s="105" t="n"/>
      <c r="G1747" s="105" t="n"/>
      <c r="H1747" s="2" t="n"/>
      <c r="I1747" s="105" t="n"/>
      <c r="K1747" s="215" t="n"/>
      <c r="L1747" s="215" t="n"/>
      <c r="M1747" s="215" t="n"/>
      <c r="N1747" s="215" t="n"/>
      <c r="O1747" s="215" t="n"/>
      <c r="P1747" s="215" t="n"/>
      <c r="Q1747" s="215" t="n"/>
      <c r="R1747" s="215" t="n"/>
      <c r="S1747" s="215" t="n"/>
      <c r="T1747" s="215" t="n"/>
      <c r="U1747" s="215" t="n"/>
      <c r="V1747" s="215" t="n"/>
      <c r="W1747" s="215" t="n"/>
      <c r="X1747" s="215" t="n"/>
      <c r="Y1747" s="215" t="n"/>
      <c r="Z1747" s="215" t="n"/>
      <c r="AA1747" s="215" t="n"/>
      <c r="AB1747" s="215" t="n"/>
      <c r="AC1747" s="215" t="n"/>
      <c r="AD1747" s="215" t="n"/>
      <c r="AE1747" s="215" t="n"/>
      <c r="AF1747" s="215" t="n"/>
      <c r="AG1747" s="215" t="n"/>
      <c r="AH1747" s="215" t="n"/>
      <c r="AI1747" s="215" t="n"/>
      <c r="AJ1747" s="215" t="n"/>
      <c r="AK1747" s="216" t="n"/>
    </row>
    <row r="1748" ht="15" customHeight="1">
      <c r="B1748" s="134" t="n"/>
      <c r="C1748" s="105" t="n"/>
      <c r="D1748" s="105" t="n"/>
      <c r="E1748" s="105" t="n"/>
      <c r="F1748" s="105" t="n"/>
      <c r="G1748" s="105" t="n"/>
      <c r="H1748" s="2" t="n"/>
      <c r="I1748" s="105" t="n"/>
      <c r="K1748" s="215" t="n"/>
      <c r="L1748" s="215" t="n"/>
      <c r="M1748" s="215" t="n"/>
      <c r="N1748" s="215" t="n"/>
      <c r="O1748" s="215" t="n"/>
      <c r="P1748" s="215" t="n"/>
      <c r="Q1748" s="215" t="n"/>
      <c r="R1748" s="215" t="n"/>
      <c r="S1748" s="215" t="n"/>
      <c r="T1748" s="215" t="n"/>
      <c r="U1748" s="215" t="n"/>
      <c r="V1748" s="215" t="n"/>
      <c r="W1748" s="215" t="n"/>
      <c r="X1748" s="215" t="n"/>
      <c r="Y1748" s="215" t="n"/>
      <c r="Z1748" s="215" t="n"/>
      <c r="AA1748" s="215" t="n"/>
      <c r="AB1748" s="215" t="n"/>
      <c r="AC1748" s="215" t="n"/>
      <c r="AD1748" s="215" t="n"/>
      <c r="AE1748" s="215" t="n"/>
      <c r="AF1748" s="215" t="n"/>
      <c r="AG1748" s="215" t="n"/>
      <c r="AH1748" s="215" t="n"/>
      <c r="AI1748" s="215" t="n"/>
      <c r="AJ1748" s="215" t="n"/>
      <c r="AK1748" s="216" t="n"/>
    </row>
    <row r="1749" ht="15" customHeight="1">
      <c r="B1749" s="134" t="n"/>
      <c r="C1749" s="105" t="n"/>
      <c r="D1749" s="105" t="n"/>
      <c r="E1749" s="105" t="n"/>
      <c r="F1749" s="105" t="n"/>
      <c r="G1749" s="105" t="n"/>
      <c r="H1749" s="2" t="n"/>
      <c r="I1749" s="105" t="n"/>
      <c r="K1749" s="215" t="n"/>
      <c r="L1749" s="215" t="n"/>
      <c r="M1749" s="215" t="n"/>
      <c r="N1749" s="215" t="n"/>
      <c r="O1749" s="215" t="n"/>
      <c r="P1749" s="215" t="n"/>
      <c r="Q1749" s="215" t="n"/>
      <c r="R1749" s="215" t="n"/>
      <c r="S1749" s="215" t="n"/>
      <c r="T1749" s="215" t="n"/>
      <c r="U1749" s="215" t="n"/>
      <c r="V1749" s="215" t="n"/>
      <c r="W1749" s="215" t="n"/>
      <c r="X1749" s="215" t="n"/>
      <c r="Y1749" s="215" t="n"/>
      <c r="Z1749" s="215" t="n"/>
      <c r="AA1749" s="215" t="n"/>
      <c r="AB1749" s="215" t="n"/>
      <c r="AC1749" s="215" t="n"/>
      <c r="AD1749" s="215" t="n"/>
      <c r="AE1749" s="215" t="n"/>
      <c r="AF1749" s="215" t="n"/>
      <c r="AG1749" s="215" t="n"/>
      <c r="AH1749" s="215" t="n"/>
      <c r="AI1749" s="215" t="n"/>
      <c r="AJ1749" s="215" t="n"/>
      <c r="AK1749" s="216" t="n"/>
    </row>
    <row r="1750" ht="15" customHeight="1">
      <c r="B1750" s="134" t="n"/>
      <c r="C1750" s="105" t="n"/>
      <c r="D1750" s="105" t="n"/>
      <c r="E1750" s="105" t="n"/>
      <c r="F1750" s="105" t="n"/>
      <c r="G1750" s="105" t="n"/>
      <c r="H1750" s="2" t="n"/>
      <c r="I1750" s="105" t="n"/>
      <c r="K1750" s="215" t="n"/>
      <c r="L1750" s="215" t="n"/>
      <c r="M1750" s="215" t="n"/>
      <c r="N1750" s="215" t="n"/>
      <c r="O1750" s="215" t="n"/>
      <c r="P1750" s="215" t="n"/>
      <c r="Q1750" s="215" t="n"/>
      <c r="R1750" s="215" t="n"/>
      <c r="S1750" s="215" t="n"/>
      <c r="T1750" s="215" t="n"/>
      <c r="U1750" s="215" t="n"/>
      <c r="V1750" s="215" t="n"/>
      <c r="W1750" s="215" t="n"/>
      <c r="X1750" s="215" t="n"/>
      <c r="Y1750" s="215" t="n"/>
      <c r="Z1750" s="215" t="n"/>
      <c r="AA1750" s="215" t="n"/>
      <c r="AB1750" s="215" t="n"/>
      <c r="AC1750" s="215" t="n"/>
      <c r="AD1750" s="215" t="n"/>
      <c r="AE1750" s="215" t="n"/>
      <c r="AF1750" s="215" t="n"/>
      <c r="AG1750" s="215" t="n"/>
      <c r="AH1750" s="215" t="n"/>
      <c r="AI1750" s="215" t="n"/>
      <c r="AJ1750" s="215" t="n"/>
      <c r="AK1750" s="216" t="n"/>
    </row>
    <row r="1751" ht="15" customHeight="1">
      <c r="B1751" s="134" t="n"/>
      <c r="C1751" s="105" t="n"/>
      <c r="D1751" s="105" t="n"/>
      <c r="E1751" s="105" t="n"/>
      <c r="F1751" s="105" t="n"/>
      <c r="G1751" s="105" t="n"/>
      <c r="H1751" s="2" t="n"/>
      <c r="I1751" s="105" t="n"/>
      <c r="K1751" s="215" t="n"/>
      <c r="L1751" s="215" t="n"/>
      <c r="M1751" s="215" t="n"/>
      <c r="N1751" s="215" t="n"/>
      <c r="O1751" s="215" t="n"/>
      <c r="P1751" s="215" t="n"/>
      <c r="Q1751" s="215" t="n"/>
      <c r="R1751" s="215" t="n"/>
      <c r="S1751" s="215" t="n"/>
      <c r="T1751" s="215" t="n"/>
      <c r="U1751" s="215" t="n"/>
      <c r="V1751" s="215" t="n"/>
      <c r="W1751" s="215" t="n"/>
      <c r="X1751" s="215" t="n"/>
      <c r="Y1751" s="215" t="n"/>
      <c r="Z1751" s="215" t="n"/>
      <c r="AA1751" s="215" t="n"/>
      <c r="AB1751" s="215" t="n"/>
      <c r="AC1751" s="215" t="n"/>
      <c r="AD1751" s="215" t="n"/>
      <c r="AE1751" s="215" t="n"/>
      <c r="AF1751" s="215" t="n"/>
      <c r="AG1751" s="215" t="n"/>
      <c r="AH1751" s="215" t="n"/>
      <c r="AI1751" s="215" t="n"/>
      <c r="AJ1751" s="215" t="n"/>
      <c r="AK1751" s="216" t="n"/>
    </row>
    <row r="1752" ht="15" customHeight="1">
      <c r="B1752" s="134" t="n"/>
      <c r="C1752" s="105" t="n"/>
      <c r="D1752" s="105" t="n"/>
      <c r="E1752" s="105" t="n"/>
      <c r="F1752" s="105" t="n"/>
      <c r="G1752" s="105" t="n"/>
      <c r="H1752" s="2" t="n"/>
      <c r="I1752" s="105" t="n"/>
      <c r="K1752" s="215" t="n"/>
      <c r="L1752" s="215" t="n"/>
      <c r="M1752" s="215" t="n"/>
      <c r="N1752" s="215" t="n"/>
      <c r="O1752" s="215" t="n"/>
      <c r="P1752" s="215" t="n"/>
      <c r="Q1752" s="215" t="n"/>
      <c r="R1752" s="215" t="n"/>
      <c r="S1752" s="215" t="n"/>
      <c r="T1752" s="215" t="n"/>
      <c r="U1752" s="215" t="n"/>
      <c r="V1752" s="215" t="n"/>
      <c r="W1752" s="215" t="n"/>
      <c r="X1752" s="215" t="n"/>
      <c r="Y1752" s="215" t="n"/>
      <c r="Z1752" s="215" t="n"/>
      <c r="AA1752" s="215" t="n"/>
      <c r="AB1752" s="215" t="n"/>
      <c r="AC1752" s="215" t="n"/>
      <c r="AD1752" s="215" t="n"/>
      <c r="AE1752" s="215" t="n"/>
      <c r="AF1752" s="215" t="n"/>
      <c r="AG1752" s="215" t="n"/>
      <c r="AH1752" s="215" t="n"/>
      <c r="AI1752" s="215" t="n"/>
      <c r="AJ1752" s="215" t="n"/>
      <c r="AK1752" s="216" t="n"/>
    </row>
    <row r="1753" ht="15" customHeight="1">
      <c r="B1753" s="134" t="n"/>
      <c r="C1753" s="105" t="n"/>
      <c r="D1753" s="105" t="n"/>
      <c r="E1753" s="105" t="n"/>
      <c r="F1753" s="105" t="n"/>
      <c r="G1753" s="105" t="n"/>
      <c r="H1753" s="2" t="n"/>
      <c r="I1753" s="105" t="n"/>
      <c r="K1753" s="215" t="n"/>
      <c r="L1753" s="215" t="n"/>
      <c r="M1753" s="215" t="n"/>
      <c r="N1753" s="215" t="n"/>
      <c r="O1753" s="215" t="n"/>
      <c r="P1753" s="215" t="n"/>
      <c r="Q1753" s="215" t="n"/>
      <c r="R1753" s="215" t="n"/>
      <c r="S1753" s="215" t="n"/>
      <c r="T1753" s="215" t="n"/>
      <c r="U1753" s="215" t="n"/>
      <c r="V1753" s="215" t="n"/>
      <c r="W1753" s="215" t="n"/>
      <c r="X1753" s="215" t="n"/>
      <c r="Y1753" s="215" t="n"/>
      <c r="Z1753" s="215" t="n"/>
      <c r="AA1753" s="215" t="n"/>
      <c r="AB1753" s="215" t="n"/>
      <c r="AC1753" s="215" t="n"/>
      <c r="AD1753" s="215" t="n"/>
      <c r="AE1753" s="215" t="n"/>
      <c r="AF1753" s="215" t="n"/>
      <c r="AG1753" s="215" t="n"/>
      <c r="AH1753" s="215" t="n"/>
      <c r="AI1753" s="215" t="n"/>
      <c r="AJ1753" s="215" t="n"/>
      <c r="AK1753" s="216" t="n"/>
    </row>
    <row r="1754" ht="15" customHeight="1">
      <c r="B1754" s="134" t="n"/>
      <c r="C1754" s="105" t="n"/>
      <c r="D1754" s="105" t="n"/>
      <c r="E1754" s="105" t="n"/>
      <c r="F1754" s="105" t="n"/>
      <c r="G1754" s="105" t="n"/>
      <c r="H1754" s="2" t="n"/>
      <c r="I1754" s="105" t="n"/>
      <c r="K1754" s="215" t="n"/>
      <c r="L1754" s="215" t="n"/>
      <c r="M1754" s="215" t="n"/>
      <c r="N1754" s="215" t="n"/>
      <c r="O1754" s="215" t="n"/>
      <c r="P1754" s="215" t="n"/>
      <c r="Q1754" s="215" t="n"/>
      <c r="R1754" s="215" t="n"/>
      <c r="S1754" s="215" t="n"/>
      <c r="T1754" s="215" t="n"/>
      <c r="U1754" s="215" t="n"/>
      <c r="V1754" s="215" t="n"/>
      <c r="W1754" s="215" t="n"/>
      <c r="X1754" s="215" t="n"/>
      <c r="Y1754" s="215" t="n"/>
      <c r="Z1754" s="215" t="n"/>
      <c r="AA1754" s="215" t="n"/>
      <c r="AB1754" s="215" t="n"/>
      <c r="AC1754" s="215" t="n"/>
      <c r="AD1754" s="215" t="n"/>
      <c r="AE1754" s="215" t="n"/>
      <c r="AF1754" s="215" t="n"/>
      <c r="AG1754" s="215" t="n"/>
      <c r="AH1754" s="215" t="n"/>
      <c r="AI1754" s="215" t="n"/>
      <c r="AJ1754" s="215" t="n"/>
      <c r="AK1754" s="216" t="n"/>
    </row>
    <row r="1755" ht="15" customHeight="1">
      <c r="B1755" s="134" t="n"/>
      <c r="C1755" s="105" t="n"/>
      <c r="D1755" s="105" t="n"/>
      <c r="E1755" s="105" t="n"/>
      <c r="F1755" s="105" t="n"/>
      <c r="G1755" s="105" t="n"/>
      <c r="H1755" s="2" t="n"/>
      <c r="I1755" s="105" t="n"/>
      <c r="K1755" s="215" t="n"/>
      <c r="L1755" s="215" t="n"/>
      <c r="M1755" s="215" t="n"/>
      <c r="N1755" s="215" t="n"/>
      <c r="O1755" s="215" t="n"/>
      <c r="P1755" s="215" t="n"/>
      <c r="Q1755" s="215" t="n"/>
      <c r="R1755" s="215" t="n"/>
      <c r="S1755" s="215" t="n"/>
      <c r="T1755" s="215" t="n"/>
      <c r="U1755" s="215" t="n"/>
      <c r="V1755" s="215" t="n"/>
      <c r="W1755" s="215" t="n"/>
      <c r="X1755" s="215" t="n"/>
      <c r="Y1755" s="215" t="n"/>
      <c r="Z1755" s="215" t="n"/>
      <c r="AA1755" s="215" t="n"/>
      <c r="AB1755" s="215" t="n"/>
      <c r="AC1755" s="215" t="n"/>
      <c r="AD1755" s="215" t="n"/>
      <c r="AE1755" s="215" t="n"/>
      <c r="AF1755" s="215" t="n"/>
      <c r="AG1755" s="215" t="n"/>
      <c r="AH1755" s="215" t="n"/>
      <c r="AI1755" s="215" t="n"/>
      <c r="AJ1755" s="215" t="n"/>
      <c r="AK1755" s="216" t="n"/>
    </row>
    <row r="1756" ht="15" customHeight="1">
      <c r="B1756" s="134" t="n"/>
      <c r="C1756" s="105" t="n"/>
      <c r="D1756" s="105" t="n"/>
      <c r="E1756" s="105" t="n"/>
      <c r="F1756" s="105" t="n"/>
      <c r="G1756" s="105" t="n"/>
      <c r="H1756" s="2" t="n"/>
      <c r="I1756" s="105" t="n"/>
      <c r="K1756" s="215" t="n"/>
      <c r="L1756" s="215" t="n"/>
      <c r="M1756" s="215" t="n"/>
      <c r="N1756" s="215" t="n"/>
      <c r="O1756" s="215" t="n"/>
      <c r="P1756" s="215" t="n"/>
      <c r="Q1756" s="215" t="n"/>
      <c r="R1756" s="215" t="n"/>
      <c r="S1756" s="215" t="n"/>
      <c r="T1756" s="215" t="n"/>
      <c r="U1756" s="215" t="n"/>
      <c r="V1756" s="215" t="n"/>
      <c r="W1756" s="215" t="n"/>
      <c r="X1756" s="215" t="n"/>
      <c r="Y1756" s="215" t="n"/>
      <c r="Z1756" s="215" t="n"/>
      <c r="AA1756" s="215" t="n"/>
      <c r="AB1756" s="215" t="n"/>
      <c r="AC1756" s="215" t="n"/>
      <c r="AD1756" s="215" t="n"/>
      <c r="AE1756" s="215" t="n"/>
      <c r="AF1756" s="215" t="n"/>
      <c r="AG1756" s="215" t="n"/>
      <c r="AH1756" s="215" t="n"/>
      <c r="AI1756" s="215" t="n"/>
      <c r="AJ1756" s="215" t="n"/>
      <c r="AK1756" s="216" t="n"/>
    </row>
    <row r="1757" ht="15" customHeight="1">
      <c r="B1757" s="134" t="n"/>
      <c r="C1757" s="105" t="n"/>
      <c r="D1757" s="105" t="n"/>
      <c r="E1757" s="105" t="n"/>
      <c r="F1757" s="105" t="n"/>
      <c r="G1757" s="105" t="n"/>
      <c r="H1757" s="2" t="n"/>
      <c r="I1757" s="105" t="n"/>
      <c r="K1757" s="215" t="n"/>
      <c r="L1757" s="215" t="n"/>
      <c r="M1757" s="215" t="n"/>
      <c r="N1757" s="215" t="n"/>
      <c r="O1757" s="215" t="n"/>
      <c r="P1757" s="215" t="n"/>
      <c r="Q1757" s="215" t="n"/>
      <c r="R1757" s="215" t="n"/>
      <c r="S1757" s="215" t="n"/>
      <c r="T1757" s="215" t="n"/>
      <c r="U1757" s="215" t="n"/>
      <c r="V1757" s="215" t="n"/>
      <c r="W1757" s="215" t="n"/>
      <c r="X1757" s="215" t="n"/>
      <c r="Y1757" s="215" t="n"/>
      <c r="Z1757" s="215" t="n"/>
      <c r="AA1757" s="215" t="n"/>
      <c r="AB1757" s="215" t="n"/>
      <c r="AC1757" s="215" t="n"/>
      <c r="AD1757" s="215" t="n"/>
      <c r="AE1757" s="215" t="n"/>
      <c r="AF1757" s="215" t="n"/>
      <c r="AG1757" s="215" t="n"/>
      <c r="AH1757" s="215" t="n"/>
      <c r="AI1757" s="215" t="n"/>
      <c r="AJ1757" s="215" t="n"/>
      <c r="AK1757" s="216" t="n"/>
    </row>
    <row r="1758" ht="15" customHeight="1">
      <c r="B1758" s="134" t="n"/>
      <c r="C1758" s="105" t="n"/>
      <c r="D1758" s="105" t="n"/>
      <c r="E1758" s="105" t="n"/>
      <c r="F1758" s="105" t="n"/>
      <c r="G1758" s="105" t="n"/>
      <c r="H1758" s="2" t="n"/>
      <c r="I1758" s="105" t="n"/>
      <c r="K1758" s="215" t="n"/>
      <c r="L1758" s="215" t="n"/>
      <c r="M1758" s="215" t="n"/>
      <c r="N1758" s="215" t="n"/>
      <c r="O1758" s="215" t="n"/>
      <c r="P1758" s="215" t="n"/>
      <c r="Q1758" s="215" t="n"/>
      <c r="R1758" s="215" t="n"/>
      <c r="S1758" s="215" t="n"/>
      <c r="T1758" s="215" t="n"/>
      <c r="U1758" s="215" t="n"/>
      <c r="V1758" s="215" t="n"/>
      <c r="W1758" s="215" t="n"/>
      <c r="X1758" s="215" t="n"/>
      <c r="Y1758" s="215" t="n"/>
      <c r="Z1758" s="215" t="n"/>
      <c r="AA1758" s="215" t="n"/>
      <c r="AB1758" s="215" t="n"/>
      <c r="AC1758" s="215" t="n"/>
      <c r="AD1758" s="215" t="n"/>
      <c r="AE1758" s="215" t="n"/>
      <c r="AF1758" s="215" t="n"/>
      <c r="AG1758" s="215" t="n"/>
      <c r="AH1758" s="215" t="n"/>
      <c r="AI1758" s="215" t="n"/>
      <c r="AJ1758" s="215" t="n"/>
      <c r="AK1758" s="216" t="n"/>
    </row>
    <row r="1759" ht="15" customHeight="1">
      <c r="B1759" s="134" t="n"/>
      <c r="C1759" s="105" t="n"/>
      <c r="D1759" s="105" t="n"/>
      <c r="E1759" s="105" t="n"/>
      <c r="F1759" s="105" t="n"/>
      <c r="G1759" s="105" t="n"/>
      <c r="H1759" s="2" t="n"/>
      <c r="I1759" s="105" t="n"/>
      <c r="K1759" s="215" t="n"/>
      <c r="L1759" s="215" t="n"/>
      <c r="M1759" s="215" t="n"/>
      <c r="N1759" s="215" t="n"/>
      <c r="O1759" s="215" t="n"/>
      <c r="P1759" s="215" t="n"/>
      <c r="Q1759" s="215" t="n"/>
      <c r="R1759" s="215" t="n"/>
      <c r="S1759" s="215" t="n"/>
      <c r="T1759" s="215" t="n"/>
      <c r="U1759" s="215" t="n"/>
      <c r="V1759" s="215" t="n"/>
      <c r="W1759" s="215" t="n"/>
      <c r="X1759" s="215" t="n"/>
      <c r="Y1759" s="215" t="n"/>
      <c r="Z1759" s="215" t="n"/>
      <c r="AA1759" s="215" t="n"/>
      <c r="AB1759" s="215" t="n"/>
      <c r="AC1759" s="215" t="n"/>
      <c r="AD1759" s="215" t="n"/>
      <c r="AE1759" s="215" t="n"/>
      <c r="AF1759" s="215" t="n"/>
      <c r="AG1759" s="215" t="n"/>
      <c r="AH1759" s="215" t="n"/>
      <c r="AI1759" s="215" t="n"/>
      <c r="AJ1759" s="215" t="n"/>
      <c r="AK1759" s="216" t="n"/>
    </row>
    <row r="1760" ht="15" customHeight="1">
      <c r="B1760" s="134" t="n"/>
      <c r="C1760" s="105" t="n"/>
      <c r="D1760" s="105" t="n"/>
      <c r="E1760" s="105" t="n"/>
      <c r="F1760" s="105" t="n"/>
      <c r="G1760" s="105" t="n"/>
      <c r="H1760" s="2" t="n"/>
      <c r="I1760" s="105" t="n"/>
      <c r="K1760" s="215" t="n"/>
      <c r="L1760" s="215" t="n"/>
      <c r="M1760" s="215" t="n"/>
      <c r="N1760" s="215" t="n"/>
      <c r="O1760" s="215" t="n"/>
      <c r="P1760" s="215" t="n"/>
      <c r="Q1760" s="215" t="n"/>
      <c r="R1760" s="215" t="n"/>
      <c r="S1760" s="215" t="n"/>
      <c r="T1760" s="215" t="n"/>
      <c r="U1760" s="215" t="n"/>
      <c r="V1760" s="215" t="n"/>
      <c r="W1760" s="215" t="n"/>
      <c r="X1760" s="215" t="n"/>
      <c r="Y1760" s="215" t="n"/>
      <c r="Z1760" s="215" t="n"/>
      <c r="AA1760" s="215" t="n"/>
      <c r="AB1760" s="215" t="n"/>
      <c r="AC1760" s="215" t="n"/>
      <c r="AD1760" s="215" t="n"/>
      <c r="AE1760" s="215" t="n"/>
      <c r="AF1760" s="215" t="n"/>
      <c r="AG1760" s="215" t="n"/>
      <c r="AH1760" s="215" t="n"/>
      <c r="AI1760" s="215" t="n"/>
      <c r="AJ1760" s="215" t="n"/>
      <c r="AK1760" s="216" t="n"/>
    </row>
    <row r="1761" ht="15" customHeight="1">
      <c r="B1761" s="134" t="n"/>
      <c r="C1761" s="105" t="n"/>
      <c r="D1761" s="105" t="n"/>
      <c r="E1761" s="105" t="n"/>
      <c r="F1761" s="105" t="n"/>
      <c r="G1761" s="105" t="n"/>
      <c r="H1761" s="2" t="n"/>
      <c r="I1761" s="105" t="n"/>
      <c r="K1761" s="215" t="n"/>
      <c r="L1761" s="215" t="n"/>
      <c r="M1761" s="215" t="n"/>
      <c r="N1761" s="215" t="n"/>
      <c r="O1761" s="215" t="n"/>
      <c r="P1761" s="215" t="n"/>
      <c r="Q1761" s="215" t="n"/>
      <c r="R1761" s="215" t="n"/>
      <c r="S1761" s="215" t="n"/>
      <c r="T1761" s="215" t="n"/>
      <c r="U1761" s="215" t="n"/>
      <c r="V1761" s="215" t="n"/>
      <c r="W1761" s="215" t="n"/>
      <c r="X1761" s="215" t="n"/>
      <c r="Y1761" s="215" t="n"/>
      <c r="Z1761" s="215" t="n"/>
      <c r="AA1761" s="215" t="n"/>
      <c r="AB1761" s="215" t="n"/>
      <c r="AC1761" s="215" t="n"/>
      <c r="AD1761" s="215" t="n"/>
      <c r="AE1761" s="215" t="n"/>
      <c r="AF1761" s="215" t="n"/>
      <c r="AG1761" s="215" t="n"/>
      <c r="AH1761" s="215" t="n"/>
      <c r="AI1761" s="215" t="n"/>
      <c r="AJ1761" s="215" t="n"/>
      <c r="AK1761" s="216" t="n"/>
    </row>
    <row r="1762" ht="15" customHeight="1">
      <c r="B1762" s="134" t="n"/>
      <c r="C1762" s="105" t="n"/>
      <c r="D1762" s="105" t="n"/>
      <c r="E1762" s="105" t="n"/>
      <c r="F1762" s="105" t="n"/>
      <c r="G1762" s="105" t="n"/>
      <c r="H1762" s="2" t="n"/>
      <c r="I1762" s="105" t="n"/>
      <c r="K1762" s="215" t="n"/>
      <c r="L1762" s="215" t="n"/>
      <c r="M1762" s="215" t="n"/>
      <c r="N1762" s="215" t="n"/>
      <c r="O1762" s="215" t="n"/>
      <c r="P1762" s="215" t="n"/>
      <c r="Q1762" s="215" t="n"/>
      <c r="R1762" s="215" t="n"/>
      <c r="S1762" s="215" t="n"/>
      <c r="T1762" s="215" t="n"/>
      <c r="U1762" s="215" t="n"/>
      <c r="V1762" s="215" t="n"/>
      <c r="W1762" s="215" t="n"/>
      <c r="X1762" s="215" t="n"/>
      <c r="Y1762" s="215" t="n"/>
      <c r="Z1762" s="215" t="n"/>
      <c r="AA1762" s="215" t="n"/>
      <c r="AB1762" s="215" t="n"/>
      <c r="AC1762" s="215" t="n"/>
      <c r="AD1762" s="215" t="n"/>
      <c r="AE1762" s="215" t="n"/>
      <c r="AF1762" s="215" t="n"/>
      <c r="AG1762" s="215" t="n"/>
      <c r="AH1762" s="215" t="n"/>
      <c r="AI1762" s="215" t="n"/>
      <c r="AJ1762" s="215" t="n"/>
      <c r="AK1762" s="216" t="n"/>
    </row>
    <row r="1763" ht="15" customHeight="1">
      <c r="B1763" s="134" t="n"/>
      <c r="C1763" s="105" t="n"/>
      <c r="D1763" s="105" t="n"/>
      <c r="E1763" s="105" t="n"/>
      <c r="F1763" s="105" t="n"/>
      <c r="G1763" s="105" t="n"/>
      <c r="H1763" s="2" t="n"/>
      <c r="I1763" s="105" t="n"/>
      <c r="K1763" s="215" t="n"/>
      <c r="L1763" s="215" t="n"/>
      <c r="M1763" s="215" t="n"/>
      <c r="N1763" s="215" t="n"/>
      <c r="O1763" s="215" t="n"/>
      <c r="P1763" s="215" t="n"/>
      <c r="Q1763" s="215" t="n"/>
      <c r="R1763" s="215" t="n"/>
      <c r="S1763" s="215" t="n"/>
      <c r="T1763" s="215" t="n"/>
      <c r="U1763" s="215" t="n"/>
      <c r="V1763" s="215" t="n"/>
      <c r="W1763" s="215" t="n"/>
      <c r="X1763" s="215" t="n"/>
      <c r="Y1763" s="215" t="n"/>
      <c r="Z1763" s="215" t="n"/>
      <c r="AA1763" s="215" t="n"/>
      <c r="AB1763" s="215" t="n"/>
      <c r="AC1763" s="215" t="n"/>
      <c r="AD1763" s="215" t="n"/>
      <c r="AE1763" s="215" t="n"/>
      <c r="AF1763" s="215" t="n"/>
      <c r="AG1763" s="215" t="n"/>
      <c r="AH1763" s="215" t="n"/>
      <c r="AI1763" s="215" t="n"/>
      <c r="AJ1763" s="215" t="n"/>
      <c r="AK1763" s="216" t="n"/>
    </row>
    <row r="1764" ht="15" customHeight="1">
      <c r="B1764" s="134" t="n"/>
      <c r="C1764" s="105" t="n"/>
      <c r="D1764" s="105" t="n"/>
      <c r="E1764" s="105" t="n"/>
      <c r="F1764" s="105" t="n"/>
      <c r="G1764" s="105" t="n"/>
      <c r="H1764" s="2" t="n"/>
      <c r="I1764" s="105" t="n"/>
      <c r="K1764" s="215" t="n"/>
      <c r="L1764" s="215" t="n"/>
      <c r="M1764" s="215" t="n"/>
      <c r="N1764" s="215" t="n"/>
      <c r="O1764" s="215" t="n"/>
      <c r="P1764" s="215" t="n"/>
      <c r="Q1764" s="215" t="n"/>
      <c r="R1764" s="215" t="n"/>
      <c r="S1764" s="215" t="n"/>
      <c r="T1764" s="215" t="n"/>
      <c r="U1764" s="215" t="n"/>
      <c r="V1764" s="215" t="n"/>
      <c r="W1764" s="215" t="n"/>
      <c r="X1764" s="215" t="n"/>
      <c r="Y1764" s="215" t="n"/>
      <c r="Z1764" s="215" t="n"/>
      <c r="AA1764" s="215" t="n"/>
      <c r="AB1764" s="215" t="n"/>
      <c r="AC1764" s="215" t="n"/>
      <c r="AD1764" s="215" t="n"/>
      <c r="AE1764" s="215" t="n"/>
      <c r="AF1764" s="215" t="n"/>
      <c r="AG1764" s="215" t="n"/>
      <c r="AH1764" s="215" t="n"/>
      <c r="AI1764" s="215" t="n"/>
      <c r="AJ1764" s="215" t="n"/>
      <c r="AK1764" s="216" t="n"/>
    </row>
    <row r="1765" ht="15" customHeight="1">
      <c r="B1765" s="134" t="n"/>
      <c r="C1765" s="105" t="n"/>
      <c r="D1765" s="105" t="n"/>
      <c r="E1765" s="105" t="n"/>
      <c r="F1765" s="105" t="n"/>
      <c r="G1765" s="105" t="n"/>
      <c r="H1765" s="2" t="n"/>
      <c r="I1765" s="105" t="n"/>
      <c r="K1765" s="215" t="n"/>
      <c r="L1765" s="215" t="n"/>
      <c r="M1765" s="215" t="n"/>
      <c r="N1765" s="215" t="n"/>
      <c r="O1765" s="215" t="n"/>
      <c r="P1765" s="215" t="n"/>
      <c r="Q1765" s="215" t="n"/>
      <c r="R1765" s="215" t="n"/>
      <c r="S1765" s="215" t="n"/>
      <c r="T1765" s="215" t="n"/>
      <c r="U1765" s="215" t="n"/>
      <c r="V1765" s="215" t="n"/>
      <c r="W1765" s="215" t="n"/>
      <c r="X1765" s="215" t="n"/>
      <c r="Y1765" s="215" t="n"/>
      <c r="Z1765" s="215" t="n"/>
      <c r="AA1765" s="215" t="n"/>
      <c r="AB1765" s="215" t="n"/>
      <c r="AC1765" s="215" t="n"/>
      <c r="AD1765" s="215" t="n"/>
      <c r="AE1765" s="215" t="n"/>
      <c r="AF1765" s="215" t="n"/>
      <c r="AG1765" s="215" t="n"/>
      <c r="AH1765" s="215" t="n"/>
      <c r="AI1765" s="215" t="n"/>
      <c r="AJ1765" s="215" t="n"/>
      <c r="AK1765" s="216" t="n"/>
    </row>
    <row r="1766" ht="15" customHeight="1">
      <c r="B1766" s="134" t="n"/>
      <c r="C1766" s="105" t="n"/>
      <c r="D1766" s="105" t="n"/>
      <c r="E1766" s="105" t="n"/>
      <c r="F1766" s="105" t="n"/>
      <c r="G1766" s="105" t="n"/>
      <c r="H1766" s="2" t="n"/>
      <c r="I1766" s="105" t="n"/>
      <c r="K1766" s="215" t="n"/>
      <c r="L1766" s="215" t="n"/>
      <c r="M1766" s="215" t="n"/>
      <c r="N1766" s="215" t="n"/>
      <c r="O1766" s="215" t="n"/>
      <c r="P1766" s="215" t="n"/>
      <c r="Q1766" s="215" t="n"/>
      <c r="R1766" s="215" t="n"/>
      <c r="S1766" s="215" t="n"/>
      <c r="T1766" s="215" t="n"/>
      <c r="U1766" s="215" t="n"/>
      <c r="V1766" s="215" t="n"/>
      <c r="W1766" s="215" t="n"/>
      <c r="X1766" s="215" t="n"/>
      <c r="Y1766" s="215" t="n"/>
      <c r="Z1766" s="215" t="n"/>
      <c r="AA1766" s="215" t="n"/>
      <c r="AB1766" s="215" t="n"/>
      <c r="AC1766" s="215" t="n"/>
      <c r="AD1766" s="215" t="n"/>
      <c r="AE1766" s="215" t="n"/>
      <c r="AF1766" s="215" t="n"/>
      <c r="AG1766" s="215" t="n"/>
      <c r="AH1766" s="215" t="n"/>
      <c r="AI1766" s="215" t="n"/>
      <c r="AJ1766" s="215" t="n"/>
      <c r="AK1766" s="216" t="n"/>
    </row>
    <row r="1767" ht="15" customHeight="1">
      <c r="B1767" s="134" t="n"/>
      <c r="C1767" s="105" t="n"/>
      <c r="D1767" s="105" t="n"/>
      <c r="E1767" s="105" t="n"/>
      <c r="F1767" s="105" t="n"/>
      <c r="G1767" s="105" t="n"/>
      <c r="H1767" s="2" t="n"/>
      <c r="I1767" s="105" t="n"/>
      <c r="K1767" s="215" t="n"/>
      <c r="L1767" s="215" t="n"/>
      <c r="M1767" s="215" t="n"/>
      <c r="N1767" s="215" t="n"/>
      <c r="O1767" s="215" t="n"/>
      <c r="P1767" s="215" t="n"/>
      <c r="Q1767" s="215" t="n"/>
      <c r="R1767" s="215" t="n"/>
      <c r="S1767" s="215" t="n"/>
      <c r="T1767" s="215" t="n"/>
      <c r="U1767" s="215" t="n"/>
      <c r="V1767" s="215" t="n"/>
      <c r="W1767" s="215" t="n"/>
      <c r="X1767" s="215" t="n"/>
      <c r="Y1767" s="215" t="n"/>
      <c r="Z1767" s="215" t="n"/>
      <c r="AA1767" s="215" t="n"/>
      <c r="AB1767" s="215" t="n"/>
      <c r="AC1767" s="215" t="n"/>
      <c r="AD1767" s="215" t="n"/>
      <c r="AE1767" s="215" t="n"/>
      <c r="AF1767" s="215" t="n"/>
      <c r="AG1767" s="215" t="n"/>
      <c r="AH1767" s="215" t="n"/>
      <c r="AI1767" s="215" t="n"/>
      <c r="AJ1767" s="215" t="n"/>
      <c r="AK1767" s="216" t="n"/>
    </row>
    <row r="1768" ht="15" customHeight="1">
      <c r="B1768" s="134" t="n"/>
      <c r="C1768" s="105" t="n"/>
      <c r="D1768" s="105" t="n"/>
      <c r="E1768" s="105" t="n"/>
      <c r="F1768" s="105" t="n"/>
      <c r="G1768" s="105" t="n"/>
      <c r="H1768" s="2" t="n"/>
      <c r="I1768" s="105" t="n"/>
      <c r="K1768" s="215" t="n"/>
      <c r="L1768" s="215" t="n"/>
      <c r="M1768" s="215" t="n"/>
      <c r="N1768" s="215" t="n"/>
      <c r="O1768" s="215" t="n"/>
      <c r="P1768" s="215" t="n"/>
      <c r="Q1768" s="215" t="n"/>
      <c r="R1768" s="215" t="n"/>
      <c r="S1768" s="215" t="n"/>
      <c r="T1768" s="215" t="n"/>
      <c r="U1768" s="215" t="n"/>
      <c r="V1768" s="215" t="n"/>
      <c r="W1768" s="215" t="n"/>
      <c r="X1768" s="215" t="n"/>
      <c r="Y1768" s="215" t="n"/>
      <c r="Z1768" s="215" t="n"/>
      <c r="AA1768" s="215" t="n"/>
      <c r="AB1768" s="215" t="n"/>
      <c r="AC1768" s="215" t="n"/>
      <c r="AD1768" s="215" t="n"/>
      <c r="AE1768" s="215" t="n"/>
      <c r="AF1768" s="215" t="n"/>
      <c r="AG1768" s="215" t="n"/>
      <c r="AH1768" s="215" t="n"/>
      <c r="AI1768" s="215" t="n"/>
      <c r="AJ1768" s="215" t="n"/>
      <c r="AK1768" s="216" t="n"/>
    </row>
    <row r="1769" ht="15" customHeight="1">
      <c r="B1769" s="134" t="n"/>
      <c r="C1769" s="105" t="n"/>
      <c r="D1769" s="105" t="n"/>
      <c r="E1769" s="105" t="n"/>
      <c r="F1769" s="105" t="n"/>
      <c r="G1769" s="105" t="n"/>
      <c r="H1769" s="2" t="n"/>
      <c r="I1769" s="105" t="n"/>
      <c r="K1769" s="215" t="n"/>
      <c r="L1769" s="215" t="n"/>
      <c r="M1769" s="215" t="n"/>
      <c r="N1769" s="215" t="n"/>
      <c r="O1769" s="215" t="n"/>
      <c r="P1769" s="215" t="n"/>
      <c r="Q1769" s="215" t="n"/>
      <c r="R1769" s="215" t="n"/>
      <c r="S1769" s="215" t="n"/>
      <c r="T1769" s="215" t="n"/>
      <c r="U1769" s="215" t="n"/>
      <c r="V1769" s="215" t="n"/>
      <c r="W1769" s="215" t="n"/>
      <c r="X1769" s="215" t="n"/>
      <c r="Y1769" s="215" t="n"/>
      <c r="Z1769" s="215" t="n"/>
      <c r="AA1769" s="215" t="n"/>
      <c r="AB1769" s="215" t="n"/>
      <c r="AC1769" s="215" t="n"/>
      <c r="AD1769" s="215" t="n"/>
      <c r="AE1769" s="215" t="n"/>
      <c r="AF1769" s="215" t="n"/>
      <c r="AG1769" s="215" t="n"/>
      <c r="AH1769" s="215" t="n"/>
      <c r="AI1769" s="215" t="n"/>
      <c r="AJ1769" s="215" t="n"/>
      <c r="AK1769" s="216" t="n"/>
    </row>
    <row r="1770" ht="15" customHeight="1">
      <c r="B1770" s="134" t="n"/>
      <c r="C1770" s="105" t="n"/>
      <c r="D1770" s="105" t="n"/>
      <c r="E1770" s="105" t="n"/>
      <c r="F1770" s="105" t="n"/>
      <c r="G1770" s="105" t="n"/>
      <c r="H1770" s="2" t="n"/>
      <c r="I1770" s="105" t="n"/>
      <c r="K1770" s="215" t="n"/>
      <c r="L1770" s="215" t="n"/>
      <c r="M1770" s="215" t="n"/>
      <c r="N1770" s="215" t="n"/>
      <c r="O1770" s="215" t="n"/>
      <c r="P1770" s="215" t="n"/>
      <c r="Q1770" s="215" t="n"/>
      <c r="R1770" s="215" t="n"/>
      <c r="S1770" s="215" t="n"/>
      <c r="T1770" s="215" t="n"/>
      <c r="U1770" s="215" t="n"/>
      <c r="V1770" s="215" t="n"/>
      <c r="W1770" s="215" t="n"/>
      <c r="X1770" s="215" t="n"/>
      <c r="Y1770" s="215" t="n"/>
      <c r="Z1770" s="215" t="n"/>
      <c r="AA1770" s="215" t="n"/>
      <c r="AB1770" s="215" t="n"/>
      <c r="AC1770" s="215" t="n"/>
      <c r="AD1770" s="215" t="n"/>
      <c r="AE1770" s="215" t="n"/>
      <c r="AF1770" s="215" t="n"/>
      <c r="AG1770" s="215" t="n"/>
      <c r="AH1770" s="215" t="n"/>
      <c r="AI1770" s="215" t="n"/>
      <c r="AJ1770" s="215" t="n"/>
      <c r="AK1770" s="216" t="n"/>
    </row>
    <row r="1771" ht="15" customHeight="1">
      <c r="B1771" s="134" t="n"/>
      <c r="C1771" s="105" t="n"/>
      <c r="D1771" s="105" t="n"/>
      <c r="E1771" s="105" t="n"/>
      <c r="F1771" s="105" t="n"/>
      <c r="G1771" s="105" t="n"/>
      <c r="H1771" s="2" t="n"/>
      <c r="I1771" s="105" t="n"/>
      <c r="K1771" s="215" t="n"/>
      <c r="L1771" s="215" t="n"/>
      <c r="M1771" s="215" t="n"/>
      <c r="N1771" s="215" t="n"/>
      <c r="O1771" s="215" t="n"/>
      <c r="P1771" s="215" t="n"/>
      <c r="Q1771" s="215" t="n"/>
      <c r="R1771" s="215" t="n"/>
      <c r="S1771" s="215" t="n"/>
      <c r="T1771" s="215" t="n"/>
      <c r="U1771" s="215" t="n"/>
      <c r="V1771" s="215" t="n"/>
      <c r="W1771" s="215" t="n"/>
      <c r="X1771" s="215" t="n"/>
      <c r="Y1771" s="215" t="n"/>
      <c r="Z1771" s="215" t="n"/>
      <c r="AA1771" s="215" t="n"/>
      <c r="AB1771" s="215" t="n"/>
      <c r="AC1771" s="215" t="n"/>
      <c r="AD1771" s="215" t="n"/>
      <c r="AE1771" s="215" t="n"/>
      <c r="AF1771" s="215" t="n"/>
      <c r="AG1771" s="215" t="n"/>
      <c r="AH1771" s="215" t="n"/>
      <c r="AI1771" s="215" t="n"/>
      <c r="AJ1771" s="215" t="n"/>
      <c r="AK1771" s="216" t="n"/>
    </row>
    <row r="1772" ht="15" customHeight="1">
      <c r="B1772" s="134" t="n"/>
      <c r="C1772" s="105" t="n"/>
      <c r="D1772" s="105" t="n"/>
      <c r="E1772" s="105" t="n"/>
      <c r="F1772" s="105" t="n"/>
      <c r="G1772" s="105" t="n"/>
      <c r="H1772" s="2" t="n"/>
      <c r="I1772" s="105" t="n"/>
      <c r="K1772" s="215" t="n"/>
      <c r="L1772" s="215" t="n"/>
      <c r="M1772" s="215" t="n"/>
      <c r="N1772" s="215" t="n"/>
      <c r="O1772" s="215" t="n"/>
      <c r="P1772" s="215" t="n"/>
      <c r="Q1772" s="215" t="n"/>
      <c r="R1772" s="215" t="n"/>
      <c r="S1772" s="215" t="n"/>
      <c r="T1772" s="215" t="n"/>
      <c r="U1772" s="215" t="n"/>
      <c r="V1772" s="215" t="n"/>
      <c r="W1772" s="215" t="n"/>
      <c r="X1772" s="215" t="n"/>
      <c r="Y1772" s="215" t="n"/>
      <c r="Z1772" s="215" t="n"/>
      <c r="AA1772" s="215" t="n"/>
      <c r="AB1772" s="215" t="n"/>
      <c r="AC1772" s="215" t="n"/>
      <c r="AD1772" s="215" t="n"/>
      <c r="AE1772" s="215" t="n"/>
      <c r="AF1772" s="215" t="n"/>
      <c r="AG1772" s="215" t="n"/>
      <c r="AH1772" s="215" t="n"/>
      <c r="AI1772" s="215" t="n"/>
      <c r="AJ1772" s="215" t="n"/>
      <c r="AK1772" s="216" t="n"/>
    </row>
    <row r="1773" ht="15" customHeight="1">
      <c r="B1773" s="134" t="n"/>
      <c r="C1773" s="105" t="n"/>
      <c r="D1773" s="105" t="n"/>
      <c r="E1773" s="105" t="n"/>
      <c r="F1773" s="105" t="n"/>
      <c r="G1773" s="105" t="n"/>
      <c r="H1773" s="2" t="n"/>
      <c r="I1773" s="105" t="n"/>
      <c r="K1773" s="215" t="n"/>
      <c r="L1773" s="215" t="n"/>
      <c r="M1773" s="215" t="n"/>
      <c r="N1773" s="215" t="n"/>
      <c r="O1773" s="215" t="n"/>
      <c r="P1773" s="215" t="n"/>
      <c r="Q1773" s="215" t="n"/>
      <c r="R1773" s="215" t="n"/>
      <c r="S1773" s="215" t="n"/>
      <c r="T1773" s="215" t="n"/>
      <c r="U1773" s="215" t="n"/>
      <c r="V1773" s="215" t="n"/>
      <c r="W1773" s="215" t="n"/>
      <c r="X1773" s="215" t="n"/>
      <c r="Y1773" s="215" t="n"/>
      <c r="Z1773" s="215" t="n"/>
      <c r="AA1773" s="215" t="n"/>
      <c r="AB1773" s="215" t="n"/>
      <c r="AC1773" s="215" t="n"/>
      <c r="AD1773" s="215" t="n"/>
      <c r="AE1773" s="215" t="n"/>
      <c r="AF1773" s="215" t="n"/>
      <c r="AG1773" s="215" t="n"/>
      <c r="AH1773" s="215" t="n"/>
      <c r="AI1773" s="215" t="n"/>
      <c r="AJ1773" s="215" t="n"/>
      <c r="AK1773" s="216" t="n"/>
    </row>
    <row r="1774" ht="15" customHeight="1">
      <c r="B1774" s="134" t="n"/>
      <c r="C1774" s="105" t="n"/>
      <c r="D1774" s="105" t="n"/>
      <c r="E1774" s="105" t="n"/>
      <c r="F1774" s="105" t="n"/>
      <c r="G1774" s="105" t="n"/>
      <c r="H1774" s="2" t="n"/>
      <c r="I1774" s="105" t="n"/>
      <c r="K1774" s="215" t="n"/>
      <c r="L1774" s="215" t="n"/>
      <c r="M1774" s="215" t="n"/>
      <c r="N1774" s="215" t="n"/>
      <c r="O1774" s="215" t="n"/>
      <c r="P1774" s="215" t="n"/>
      <c r="Q1774" s="215" t="n"/>
      <c r="R1774" s="215" t="n"/>
      <c r="S1774" s="215" t="n"/>
      <c r="T1774" s="215" t="n"/>
      <c r="U1774" s="215" t="n"/>
      <c r="V1774" s="215" t="n"/>
      <c r="W1774" s="215" t="n"/>
      <c r="X1774" s="215" t="n"/>
      <c r="Y1774" s="215" t="n"/>
      <c r="Z1774" s="215" t="n"/>
      <c r="AA1774" s="215" t="n"/>
      <c r="AB1774" s="215" t="n"/>
      <c r="AC1774" s="215" t="n"/>
      <c r="AD1774" s="215" t="n"/>
      <c r="AE1774" s="215" t="n"/>
      <c r="AF1774" s="215" t="n"/>
      <c r="AG1774" s="215" t="n"/>
      <c r="AH1774" s="215" t="n"/>
      <c r="AI1774" s="215" t="n"/>
      <c r="AJ1774" s="215" t="n"/>
      <c r="AK1774" s="216" t="n"/>
    </row>
    <row r="1775" ht="15" customHeight="1">
      <c r="B1775" s="134" t="n"/>
      <c r="C1775" s="105" t="n"/>
      <c r="D1775" s="105" t="n"/>
      <c r="E1775" s="105" t="n"/>
      <c r="F1775" s="105" t="n"/>
      <c r="G1775" s="105" t="n"/>
      <c r="H1775" s="2" t="n"/>
      <c r="I1775" s="105" t="n"/>
      <c r="K1775" s="215" t="n"/>
      <c r="L1775" s="215" t="n"/>
      <c r="M1775" s="215" t="n"/>
      <c r="N1775" s="215" t="n"/>
      <c r="O1775" s="215" t="n"/>
      <c r="P1775" s="215" t="n"/>
      <c r="Q1775" s="215" t="n"/>
      <c r="R1775" s="215" t="n"/>
      <c r="S1775" s="215" t="n"/>
      <c r="T1775" s="215" t="n"/>
      <c r="U1775" s="215" t="n"/>
      <c r="V1775" s="215" t="n"/>
      <c r="W1775" s="215" t="n"/>
      <c r="X1775" s="215" t="n"/>
      <c r="Y1775" s="215" t="n"/>
      <c r="Z1775" s="215" t="n"/>
      <c r="AA1775" s="215" t="n"/>
      <c r="AB1775" s="215" t="n"/>
      <c r="AC1775" s="215" t="n"/>
      <c r="AD1775" s="215" t="n"/>
      <c r="AE1775" s="215" t="n"/>
      <c r="AF1775" s="215" t="n"/>
      <c r="AG1775" s="215" t="n"/>
      <c r="AH1775" s="215" t="n"/>
      <c r="AI1775" s="215" t="n"/>
      <c r="AJ1775" s="215" t="n"/>
      <c r="AK1775" s="216" t="n"/>
    </row>
    <row r="1776" ht="15" customHeight="1">
      <c r="B1776" s="134" t="n"/>
      <c r="C1776" s="105" t="n"/>
      <c r="D1776" s="105" t="n"/>
      <c r="E1776" s="105" t="n"/>
      <c r="F1776" s="105" t="n"/>
      <c r="G1776" s="105" t="n"/>
      <c r="H1776" s="2" t="n"/>
      <c r="I1776" s="105" t="n"/>
      <c r="K1776" s="215" t="n"/>
      <c r="L1776" s="215" t="n"/>
      <c r="M1776" s="215" t="n"/>
      <c r="N1776" s="215" t="n"/>
      <c r="O1776" s="215" t="n"/>
      <c r="P1776" s="215" t="n"/>
      <c r="Q1776" s="215" t="n"/>
      <c r="R1776" s="215" t="n"/>
      <c r="S1776" s="215" t="n"/>
      <c r="T1776" s="215" t="n"/>
      <c r="U1776" s="215" t="n"/>
      <c r="V1776" s="215" t="n"/>
      <c r="W1776" s="215" t="n"/>
      <c r="X1776" s="215" t="n"/>
      <c r="Y1776" s="215" t="n"/>
      <c r="Z1776" s="215" t="n"/>
      <c r="AA1776" s="215" t="n"/>
      <c r="AB1776" s="215" t="n"/>
      <c r="AC1776" s="215" t="n"/>
      <c r="AD1776" s="215" t="n"/>
      <c r="AE1776" s="215" t="n"/>
      <c r="AF1776" s="215" t="n"/>
      <c r="AG1776" s="215" t="n"/>
      <c r="AH1776" s="215" t="n"/>
      <c r="AI1776" s="215" t="n"/>
      <c r="AJ1776" s="215" t="n"/>
      <c r="AK1776" s="216" t="n"/>
    </row>
    <row r="1777" ht="15" customHeight="1">
      <c r="B1777" s="134" t="n"/>
      <c r="C1777" s="105" t="n"/>
      <c r="D1777" s="105" t="n"/>
      <c r="E1777" s="105" t="n"/>
      <c r="F1777" s="105" t="n"/>
      <c r="G1777" s="105" t="n"/>
      <c r="H1777" s="2" t="n"/>
      <c r="I1777" s="105" t="n"/>
      <c r="K1777" s="215" t="n"/>
      <c r="L1777" s="215" t="n"/>
      <c r="M1777" s="215" t="n"/>
      <c r="N1777" s="215" t="n"/>
      <c r="O1777" s="215" t="n"/>
      <c r="P1777" s="215" t="n"/>
      <c r="Q1777" s="215" t="n"/>
      <c r="R1777" s="215" t="n"/>
      <c r="S1777" s="215" t="n"/>
      <c r="T1777" s="215" t="n"/>
      <c r="U1777" s="215" t="n"/>
      <c r="V1777" s="215" t="n"/>
      <c r="W1777" s="215" t="n"/>
      <c r="X1777" s="215" t="n"/>
      <c r="Y1777" s="215" t="n"/>
      <c r="Z1777" s="215" t="n"/>
      <c r="AA1777" s="215" t="n"/>
      <c r="AB1777" s="215" t="n"/>
      <c r="AC1777" s="215" t="n"/>
      <c r="AD1777" s="215" t="n"/>
      <c r="AE1777" s="215" t="n"/>
      <c r="AF1777" s="215" t="n"/>
      <c r="AG1777" s="215" t="n"/>
      <c r="AH1777" s="215" t="n"/>
      <c r="AI1777" s="215" t="n"/>
      <c r="AJ1777" s="215" t="n"/>
      <c r="AK1777" s="216" t="n"/>
    </row>
    <row r="1778" ht="15" customHeight="1">
      <c r="B1778" s="134" t="n"/>
      <c r="C1778" s="105" t="n"/>
      <c r="D1778" s="105" t="n"/>
      <c r="E1778" s="105" t="n"/>
      <c r="F1778" s="105" t="n"/>
      <c r="G1778" s="105" t="n"/>
      <c r="H1778" s="2" t="n"/>
      <c r="I1778" s="105" t="n"/>
      <c r="K1778" s="215" t="n"/>
      <c r="L1778" s="215" t="n"/>
      <c r="M1778" s="215" t="n"/>
      <c r="N1778" s="215" t="n"/>
      <c r="O1778" s="215" t="n"/>
      <c r="P1778" s="215" t="n"/>
      <c r="Q1778" s="215" t="n"/>
      <c r="R1778" s="215" t="n"/>
      <c r="S1778" s="215" t="n"/>
      <c r="T1778" s="215" t="n"/>
      <c r="U1778" s="215" t="n"/>
      <c r="V1778" s="215" t="n"/>
      <c r="W1778" s="215" t="n"/>
      <c r="X1778" s="215" t="n"/>
      <c r="Y1778" s="215" t="n"/>
      <c r="Z1778" s="215" t="n"/>
      <c r="AA1778" s="215" t="n"/>
      <c r="AB1778" s="215" t="n"/>
      <c r="AC1778" s="215" t="n"/>
      <c r="AD1778" s="215" t="n"/>
      <c r="AE1778" s="215" t="n"/>
      <c r="AF1778" s="215" t="n"/>
      <c r="AG1778" s="215" t="n"/>
      <c r="AH1778" s="215" t="n"/>
      <c r="AI1778" s="215" t="n"/>
      <c r="AJ1778" s="215" t="n"/>
      <c r="AK1778" s="216" t="n"/>
    </row>
    <row r="1779" ht="15" customHeight="1">
      <c r="B1779" s="134" t="n"/>
      <c r="C1779" s="105" t="n"/>
      <c r="D1779" s="105" t="n"/>
      <c r="E1779" s="105" t="n"/>
      <c r="F1779" s="105" t="n"/>
      <c r="G1779" s="105" t="n"/>
      <c r="H1779" s="2" t="n"/>
      <c r="I1779" s="105" t="n"/>
      <c r="K1779" s="215" t="n"/>
      <c r="L1779" s="215" t="n"/>
      <c r="M1779" s="215" t="n"/>
      <c r="N1779" s="215" t="n"/>
      <c r="O1779" s="215" t="n"/>
      <c r="P1779" s="215" t="n"/>
      <c r="Q1779" s="215" t="n"/>
      <c r="R1779" s="215" t="n"/>
      <c r="S1779" s="215" t="n"/>
      <c r="T1779" s="215" t="n"/>
      <c r="U1779" s="215" t="n"/>
      <c r="V1779" s="215" t="n"/>
      <c r="W1779" s="215" t="n"/>
      <c r="X1779" s="215" t="n"/>
      <c r="Y1779" s="215" t="n"/>
      <c r="Z1779" s="215" t="n"/>
      <c r="AA1779" s="215" t="n"/>
      <c r="AB1779" s="215" t="n"/>
      <c r="AC1779" s="215" t="n"/>
      <c r="AD1779" s="215" t="n"/>
      <c r="AE1779" s="215" t="n"/>
      <c r="AF1779" s="215" t="n"/>
      <c r="AG1779" s="215" t="n"/>
      <c r="AH1779" s="215" t="n"/>
      <c r="AI1779" s="215" t="n"/>
      <c r="AJ1779" s="215" t="n"/>
      <c r="AK1779" s="216" t="n"/>
    </row>
    <row r="1780" ht="15" customHeight="1">
      <c r="B1780" s="134" t="n"/>
      <c r="C1780" s="105" t="n"/>
      <c r="D1780" s="105" t="n"/>
      <c r="E1780" s="105" t="n"/>
      <c r="F1780" s="105" t="n"/>
      <c r="G1780" s="105" t="n"/>
      <c r="H1780" s="2" t="n"/>
      <c r="I1780" s="105" t="n"/>
      <c r="K1780" s="215" t="n"/>
      <c r="L1780" s="215" t="n"/>
      <c r="M1780" s="215" t="n"/>
      <c r="N1780" s="215" t="n"/>
      <c r="O1780" s="215" t="n"/>
      <c r="P1780" s="215" t="n"/>
      <c r="Q1780" s="215" t="n"/>
      <c r="R1780" s="215" t="n"/>
      <c r="S1780" s="215" t="n"/>
      <c r="T1780" s="215" t="n"/>
      <c r="U1780" s="215" t="n"/>
      <c r="V1780" s="215" t="n"/>
      <c r="W1780" s="215" t="n"/>
      <c r="X1780" s="215" t="n"/>
      <c r="Y1780" s="215" t="n"/>
      <c r="Z1780" s="215" t="n"/>
      <c r="AA1780" s="215" t="n"/>
      <c r="AB1780" s="215" t="n"/>
      <c r="AC1780" s="215" t="n"/>
      <c r="AD1780" s="215" t="n"/>
      <c r="AE1780" s="215" t="n"/>
      <c r="AF1780" s="215" t="n"/>
      <c r="AG1780" s="215" t="n"/>
      <c r="AH1780" s="215" t="n"/>
      <c r="AI1780" s="215" t="n"/>
      <c r="AJ1780" s="215" t="n"/>
      <c r="AK1780" s="216" t="n"/>
    </row>
    <row r="1781" ht="15" customHeight="1">
      <c r="B1781" s="134" t="n"/>
      <c r="C1781" s="105" t="n"/>
      <c r="D1781" s="105" t="n"/>
      <c r="E1781" s="105" t="n"/>
      <c r="F1781" s="105" t="n"/>
      <c r="G1781" s="105" t="n"/>
      <c r="H1781" s="2" t="n"/>
      <c r="I1781" s="105" t="n"/>
      <c r="K1781" s="215" t="n"/>
      <c r="L1781" s="215" t="n"/>
      <c r="M1781" s="215" t="n"/>
      <c r="N1781" s="215" t="n"/>
      <c r="O1781" s="215" t="n"/>
      <c r="P1781" s="215" t="n"/>
      <c r="Q1781" s="215" t="n"/>
      <c r="R1781" s="215" t="n"/>
      <c r="S1781" s="215" t="n"/>
      <c r="T1781" s="215" t="n"/>
      <c r="U1781" s="215" t="n"/>
      <c r="V1781" s="215" t="n"/>
      <c r="W1781" s="215" t="n"/>
      <c r="X1781" s="215" t="n"/>
      <c r="Y1781" s="215" t="n"/>
      <c r="Z1781" s="215" t="n"/>
      <c r="AA1781" s="215" t="n"/>
      <c r="AB1781" s="215" t="n"/>
      <c r="AC1781" s="215" t="n"/>
      <c r="AD1781" s="215" t="n"/>
      <c r="AE1781" s="215" t="n"/>
      <c r="AF1781" s="215" t="n"/>
      <c r="AG1781" s="215" t="n"/>
      <c r="AH1781" s="215" t="n"/>
      <c r="AI1781" s="215" t="n"/>
      <c r="AJ1781" s="215" t="n"/>
      <c r="AK1781" s="216" t="n"/>
    </row>
    <row r="1782" ht="15" customHeight="1">
      <c r="B1782" s="134" t="n"/>
      <c r="C1782" s="105" t="n"/>
      <c r="D1782" s="105" t="n"/>
      <c r="E1782" s="105" t="n"/>
      <c r="F1782" s="105" t="n"/>
      <c r="G1782" s="105" t="n"/>
      <c r="H1782" s="2" t="n"/>
      <c r="I1782" s="105" t="n"/>
      <c r="K1782" s="215" t="n"/>
      <c r="L1782" s="215" t="n"/>
      <c r="M1782" s="215" t="n"/>
      <c r="N1782" s="215" t="n"/>
      <c r="O1782" s="215" t="n"/>
      <c r="P1782" s="215" t="n"/>
      <c r="Q1782" s="215" t="n"/>
      <c r="R1782" s="215" t="n"/>
      <c r="S1782" s="215" t="n"/>
      <c r="T1782" s="215" t="n"/>
      <c r="U1782" s="215" t="n"/>
      <c r="V1782" s="215" t="n"/>
      <c r="W1782" s="215" t="n"/>
      <c r="X1782" s="215" t="n"/>
      <c r="Y1782" s="215" t="n"/>
      <c r="Z1782" s="215" t="n"/>
      <c r="AA1782" s="215" t="n"/>
      <c r="AB1782" s="215" t="n"/>
      <c r="AC1782" s="215" t="n"/>
      <c r="AD1782" s="215" t="n"/>
      <c r="AE1782" s="215" t="n"/>
      <c r="AF1782" s="215" t="n"/>
      <c r="AG1782" s="215" t="n"/>
      <c r="AH1782" s="215" t="n"/>
      <c r="AI1782" s="215" t="n"/>
      <c r="AJ1782" s="215" t="n"/>
      <c r="AK1782" s="216" t="n"/>
    </row>
    <row r="1783" ht="15" customHeight="1">
      <c r="B1783" s="134" t="n"/>
      <c r="C1783" s="105" t="n"/>
      <c r="D1783" s="105" t="n"/>
      <c r="E1783" s="105" t="n"/>
      <c r="F1783" s="105" t="n"/>
      <c r="G1783" s="105" t="n"/>
      <c r="H1783" s="2" t="n"/>
      <c r="I1783" s="105" t="n"/>
      <c r="K1783" s="215" t="n"/>
      <c r="L1783" s="215" t="n"/>
      <c r="M1783" s="215" t="n"/>
      <c r="N1783" s="215" t="n"/>
      <c r="O1783" s="215" t="n"/>
      <c r="P1783" s="215" t="n"/>
      <c r="Q1783" s="215" t="n"/>
      <c r="R1783" s="215" t="n"/>
      <c r="S1783" s="215" t="n"/>
      <c r="T1783" s="215" t="n"/>
      <c r="U1783" s="215" t="n"/>
      <c r="V1783" s="215" t="n"/>
      <c r="W1783" s="215" t="n"/>
      <c r="X1783" s="215" t="n"/>
      <c r="Y1783" s="215" t="n"/>
      <c r="Z1783" s="215" t="n"/>
      <c r="AA1783" s="215" t="n"/>
      <c r="AB1783" s="215" t="n"/>
      <c r="AC1783" s="215" t="n"/>
      <c r="AD1783" s="215" t="n"/>
      <c r="AE1783" s="215" t="n"/>
      <c r="AF1783" s="215" t="n"/>
      <c r="AG1783" s="215" t="n"/>
      <c r="AH1783" s="215" t="n"/>
      <c r="AI1783" s="215" t="n"/>
      <c r="AJ1783" s="215" t="n"/>
      <c r="AK1783" s="216" t="n"/>
    </row>
    <row r="1784" ht="15" customHeight="1">
      <c r="B1784" s="134" t="n"/>
      <c r="C1784" s="105" t="n"/>
      <c r="D1784" s="105" t="n"/>
      <c r="E1784" s="105" t="n"/>
      <c r="F1784" s="105" t="n"/>
      <c r="G1784" s="105" t="n"/>
      <c r="H1784" s="2" t="n"/>
      <c r="I1784" s="105" t="n"/>
      <c r="K1784" s="215" t="n"/>
      <c r="L1784" s="215" t="n"/>
      <c r="M1784" s="215" t="n"/>
      <c r="N1784" s="215" t="n"/>
      <c r="O1784" s="215" t="n"/>
      <c r="P1784" s="215" t="n"/>
      <c r="Q1784" s="215" t="n"/>
      <c r="R1784" s="215" t="n"/>
      <c r="S1784" s="215" t="n"/>
      <c r="T1784" s="215" t="n"/>
      <c r="U1784" s="215" t="n"/>
      <c r="V1784" s="215" t="n"/>
      <c r="W1784" s="215" t="n"/>
      <c r="X1784" s="215" t="n"/>
      <c r="Y1784" s="215" t="n"/>
      <c r="Z1784" s="215" t="n"/>
      <c r="AA1784" s="215" t="n"/>
      <c r="AB1784" s="215" t="n"/>
      <c r="AC1784" s="215" t="n"/>
      <c r="AD1784" s="215" t="n"/>
      <c r="AE1784" s="215" t="n"/>
      <c r="AF1784" s="215" t="n"/>
      <c r="AG1784" s="215" t="n"/>
      <c r="AH1784" s="215" t="n"/>
      <c r="AI1784" s="215" t="n"/>
      <c r="AJ1784" s="215" t="n"/>
      <c r="AK1784" s="216" t="n"/>
    </row>
    <row r="1785" ht="15" customHeight="1">
      <c r="B1785" s="134" t="n"/>
      <c r="C1785" s="105" t="n"/>
      <c r="D1785" s="105" t="n"/>
      <c r="E1785" s="105" t="n"/>
      <c r="F1785" s="105" t="n"/>
      <c r="G1785" s="105" t="n"/>
      <c r="H1785" s="2" t="n"/>
      <c r="I1785" s="105" t="n"/>
      <c r="K1785" s="215" t="n"/>
      <c r="L1785" s="215" t="n"/>
      <c r="M1785" s="215" t="n"/>
      <c r="N1785" s="215" t="n"/>
      <c r="O1785" s="215" t="n"/>
      <c r="P1785" s="215" t="n"/>
      <c r="Q1785" s="215" t="n"/>
      <c r="R1785" s="215" t="n"/>
      <c r="S1785" s="215" t="n"/>
      <c r="T1785" s="215" t="n"/>
      <c r="U1785" s="215" t="n"/>
      <c r="V1785" s="215" t="n"/>
      <c r="W1785" s="215" t="n"/>
      <c r="X1785" s="215" t="n"/>
      <c r="Y1785" s="215" t="n"/>
      <c r="Z1785" s="215" t="n"/>
      <c r="AA1785" s="215" t="n"/>
      <c r="AB1785" s="215" t="n"/>
      <c r="AC1785" s="215" t="n"/>
      <c r="AD1785" s="215" t="n"/>
      <c r="AE1785" s="215" t="n"/>
      <c r="AF1785" s="215" t="n"/>
      <c r="AG1785" s="215" t="n"/>
      <c r="AH1785" s="215" t="n"/>
      <c r="AI1785" s="215" t="n"/>
      <c r="AJ1785" s="215" t="n"/>
      <c r="AK1785" s="216" t="n"/>
    </row>
    <row r="1786" ht="15" customHeight="1">
      <c r="B1786" s="134" t="n"/>
      <c r="C1786" s="105" t="n"/>
      <c r="D1786" s="105" t="n"/>
      <c r="E1786" s="105" t="n"/>
      <c r="F1786" s="105" t="n"/>
      <c r="G1786" s="105" t="n"/>
      <c r="H1786" s="2" t="n"/>
      <c r="I1786" s="105" t="n"/>
      <c r="K1786" s="215" t="n"/>
      <c r="L1786" s="215" t="n"/>
      <c r="M1786" s="215" t="n"/>
      <c r="N1786" s="215" t="n"/>
      <c r="O1786" s="215" t="n"/>
      <c r="P1786" s="215" t="n"/>
      <c r="Q1786" s="215" t="n"/>
      <c r="R1786" s="215" t="n"/>
      <c r="S1786" s="215" t="n"/>
      <c r="T1786" s="215" t="n"/>
      <c r="U1786" s="215" t="n"/>
      <c r="V1786" s="215" t="n"/>
      <c r="W1786" s="215" t="n"/>
      <c r="X1786" s="215" t="n"/>
      <c r="Y1786" s="215" t="n"/>
      <c r="Z1786" s="215" t="n"/>
      <c r="AA1786" s="215" t="n"/>
      <c r="AB1786" s="215" t="n"/>
      <c r="AC1786" s="215" t="n"/>
      <c r="AD1786" s="215" t="n"/>
      <c r="AE1786" s="215" t="n"/>
      <c r="AF1786" s="215" t="n"/>
      <c r="AG1786" s="215" t="n"/>
      <c r="AH1786" s="215" t="n"/>
      <c r="AI1786" s="215" t="n"/>
      <c r="AJ1786" s="215" t="n"/>
      <c r="AK1786" s="216" t="n"/>
    </row>
    <row r="1787" ht="15" customHeight="1">
      <c r="B1787" s="134" t="n"/>
      <c r="C1787" s="105" t="n"/>
      <c r="D1787" s="105" t="n"/>
      <c r="E1787" s="105" t="n"/>
      <c r="F1787" s="105" t="n"/>
      <c r="G1787" s="105" t="n"/>
      <c r="H1787" s="2" t="n"/>
      <c r="I1787" s="105" t="n"/>
      <c r="K1787" s="215" t="n"/>
      <c r="L1787" s="215" t="n"/>
      <c r="M1787" s="215" t="n"/>
      <c r="N1787" s="215" t="n"/>
      <c r="O1787" s="215" t="n"/>
      <c r="P1787" s="215" t="n"/>
      <c r="Q1787" s="215" t="n"/>
      <c r="R1787" s="215" t="n"/>
      <c r="S1787" s="215" t="n"/>
      <c r="T1787" s="215" t="n"/>
      <c r="U1787" s="215" t="n"/>
      <c r="V1787" s="215" t="n"/>
      <c r="W1787" s="215" t="n"/>
      <c r="X1787" s="215" t="n"/>
      <c r="Y1787" s="215" t="n"/>
      <c r="Z1787" s="215" t="n"/>
      <c r="AA1787" s="215" t="n"/>
      <c r="AB1787" s="215" t="n"/>
      <c r="AC1787" s="215" t="n"/>
      <c r="AD1787" s="215" t="n"/>
      <c r="AE1787" s="215" t="n"/>
      <c r="AF1787" s="215" t="n"/>
      <c r="AG1787" s="215" t="n"/>
      <c r="AH1787" s="215" t="n"/>
      <c r="AI1787" s="215" t="n"/>
      <c r="AJ1787" s="215" t="n"/>
      <c r="AK1787" s="216" t="n"/>
    </row>
    <row r="1788" ht="15" customHeight="1">
      <c r="B1788" s="134" t="n"/>
      <c r="C1788" s="105" t="n"/>
      <c r="D1788" s="105" t="n"/>
      <c r="E1788" s="105" t="n"/>
      <c r="F1788" s="105" t="n"/>
      <c r="G1788" s="105" t="n"/>
      <c r="H1788" s="2" t="n"/>
      <c r="I1788" s="105" t="n"/>
      <c r="K1788" s="215" t="n"/>
      <c r="L1788" s="215" t="n"/>
      <c r="M1788" s="215" t="n"/>
      <c r="N1788" s="215" t="n"/>
      <c r="O1788" s="215" t="n"/>
      <c r="P1788" s="215" t="n"/>
      <c r="Q1788" s="215" t="n"/>
      <c r="R1788" s="215" t="n"/>
      <c r="S1788" s="215" t="n"/>
      <c r="T1788" s="215" t="n"/>
      <c r="U1788" s="215" t="n"/>
      <c r="V1788" s="215" t="n"/>
      <c r="W1788" s="215" t="n"/>
      <c r="X1788" s="215" t="n"/>
      <c r="Y1788" s="215" t="n"/>
      <c r="Z1788" s="215" t="n"/>
      <c r="AA1788" s="215" t="n"/>
      <c r="AB1788" s="215" t="n"/>
      <c r="AC1788" s="215" t="n"/>
      <c r="AD1788" s="215" t="n"/>
      <c r="AE1788" s="215" t="n"/>
      <c r="AF1788" s="215" t="n"/>
      <c r="AG1788" s="215" t="n"/>
      <c r="AH1788" s="215" t="n"/>
      <c r="AI1788" s="215" t="n"/>
      <c r="AJ1788" s="215" t="n"/>
      <c r="AK1788" s="216" t="n"/>
    </row>
    <row r="1789" ht="15" customHeight="1">
      <c r="B1789" s="134" t="n"/>
      <c r="C1789" s="105" t="n"/>
      <c r="D1789" s="105" t="n"/>
      <c r="E1789" s="105" t="n"/>
      <c r="F1789" s="105" t="n"/>
      <c r="G1789" s="105" t="n"/>
      <c r="H1789" s="2" t="n"/>
      <c r="I1789" s="105" t="n"/>
      <c r="K1789" s="215" t="n"/>
      <c r="L1789" s="215" t="n"/>
      <c r="M1789" s="215" t="n"/>
      <c r="N1789" s="215" t="n"/>
      <c r="O1789" s="215" t="n"/>
      <c r="P1789" s="215" t="n"/>
      <c r="Q1789" s="215" t="n"/>
      <c r="R1789" s="215" t="n"/>
      <c r="S1789" s="215" t="n"/>
      <c r="T1789" s="215" t="n"/>
      <c r="U1789" s="215" t="n"/>
      <c r="V1789" s="215" t="n"/>
      <c r="W1789" s="215" t="n"/>
      <c r="X1789" s="215" t="n"/>
      <c r="Y1789" s="215" t="n"/>
      <c r="Z1789" s="215" t="n"/>
      <c r="AA1789" s="215" t="n"/>
      <c r="AB1789" s="215" t="n"/>
      <c r="AC1789" s="215" t="n"/>
      <c r="AD1789" s="215" t="n"/>
      <c r="AE1789" s="215" t="n"/>
      <c r="AF1789" s="215" t="n"/>
      <c r="AG1789" s="215" t="n"/>
      <c r="AH1789" s="215" t="n"/>
      <c r="AI1789" s="215" t="n"/>
      <c r="AJ1789" s="215" t="n"/>
      <c r="AK1789" s="216" t="n"/>
    </row>
    <row r="1790" ht="15" customHeight="1">
      <c r="B1790" s="134" t="n"/>
      <c r="C1790" s="105" t="n"/>
      <c r="D1790" s="105" t="n"/>
      <c r="E1790" s="105" t="n"/>
      <c r="F1790" s="105" t="n"/>
      <c r="G1790" s="105" t="n"/>
      <c r="H1790" s="2" t="n"/>
      <c r="I1790" s="105" t="n"/>
      <c r="K1790" s="215" t="n"/>
      <c r="L1790" s="215" t="n"/>
      <c r="M1790" s="215" t="n"/>
      <c r="N1790" s="215" t="n"/>
      <c r="O1790" s="215" t="n"/>
      <c r="P1790" s="215" t="n"/>
      <c r="Q1790" s="215" t="n"/>
      <c r="R1790" s="215" t="n"/>
      <c r="S1790" s="215" t="n"/>
      <c r="T1790" s="215" t="n"/>
      <c r="U1790" s="215" t="n"/>
      <c r="V1790" s="215" t="n"/>
      <c r="W1790" s="215" t="n"/>
      <c r="X1790" s="215" t="n"/>
      <c r="Y1790" s="215" t="n"/>
      <c r="Z1790" s="215" t="n"/>
      <c r="AA1790" s="215" t="n"/>
      <c r="AB1790" s="215" t="n"/>
      <c r="AC1790" s="215" t="n"/>
      <c r="AD1790" s="215" t="n"/>
      <c r="AE1790" s="215" t="n"/>
      <c r="AF1790" s="215" t="n"/>
      <c r="AG1790" s="215" t="n"/>
      <c r="AH1790" s="215" t="n"/>
      <c r="AI1790" s="215" t="n"/>
      <c r="AJ1790" s="215" t="n"/>
      <c r="AK1790" s="216" t="n"/>
    </row>
    <row r="1791" ht="15" customHeight="1">
      <c r="B1791" s="134" t="n"/>
      <c r="C1791" s="105" t="n"/>
      <c r="D1791" s="105" t="n"/>
      <c r="E1791" s="105" t="n"/>
      <c r="F1791" s="105" t="n"/>
      <c r="G1791" s="105" t="n"/>
      <c r="H1791" s="2" t="n"/>
      <c r="I1791" s="105" t="n"/>
      <c r="K1791" s="215" t="n"/>
      <c r="L1791" s="215" t="n"/>
      <c r="M1791" s="215" t="n"/>
      <c r="N1791" s="215" t="n"/>
      <c r="O1791" s="215" t="n"/>
      <c r="P1791" s="215" t="n"/>
      <c r="Q1791" s="215" t="n"/>
      <c r="R1791" s="215" t="n"/>
      <c r="S1791" s="215" t="n"/>
      <c r="T1791" s="215" t="n"/>
      <c r="U1791" s="215" t="n"/>
      <c r="V1791" s="215" t="n"/>
      <c r="W1791" s="215" t="n"/>
      <c r="X1791" s="215" t="n"/>
      <c r="Y1791" s="215" t="n"/>
      <c r="Z1791" s="215" t="n"/>
      <c r="AA1791" s="215" t="n"/>
      <c r="AB1791" s="215" t="n"/>
      <c r="AC1791" s="215" t="n"/>
      <c r="AD1791" s="215" t="n"/>
      <c r="AE1791" s="215" t="n"/>
      <c r="AF1791" s="215" t="n"/>
      <c r="AG1791" s="215" t="n"/>
      <c r="AH1791" s="215" t="n"/>
      <c r="AI1791" s="215" t="n"/>
      <c r="AJ1791" s="215" t="n"/>
      <c r="AK1791" s="216" t="n"/>
    </row>
    <row r="1792" ht="15" customHeight="1">
      <c r="B1792" s="134" t="n"/>
      <c r="C1792" s="105" t="n"/>
      <c r="D1792" s="105" t="n"/>
      <c r="E1792" s="105" t="n"/>
      <c r="F1792" s="105" t="n"/>
      <c r="G1792" s="105" t="n"/>
      <c r="H1792" s="2" t="n"/>
      <c r="I1792" s="105" t="n"/>
      <c r="K1792" s="215" t="n"/>
      <c r="L1792" s="215" t="n"/>
      <c r="M1792" s="215" t="n"/>
      <c r="N1792" s="215" t="n"/>
      <c r="O1792" s="215" t="n"/>
      <c r="P1792" s="215" t="n"/>
      <c r="Q1792" s="215" t="n"/>
      <c r="R1792" s="215" t="n"/>
      <c r="S1792" s="215" t="n"/>
      <c r="T1792" s="215" t="n"/>
      <c r="U1792" s="215" t="n"/>
      <c r="V1792" s="215" t="n"/>
      <c r="W1792" s="215" t="n"/>
      <c r="X1792" s="215" t="n"/>
      <c r="Y1792" s="215" t="n"/>
      <c r="Z1792" s="215" t="n"/>
      <c r="AA1792" s="215" t="n"/>
      <c r="AB1792" s="215" t="n"/>
      <c r="AC1792" s="215" t="n"/>
      <c r="AD1792" s="215" t="n"/>
      <c r="AE1792" s="215" t="n"/>
      <c r="AF1792" s="215" t="n"/>
      <c r="AG1792" s="215" t="n"/>
      <c r="AH1792" s="215" t="n"/>
      <c r="AI1792" s="215" t="n"/>
      <c r="AJ1792" s="215" t="n"/>
      <c r="AK1792" s="216" t="n"/>
    </row>
    <row r="1793" ht="15" customHeight="1">
      <c r="B1793" s="134" t="n"/>
      <c r="C1793" s="105" t="n"/>
      <c r="D1793" s="105" t="n"/>
      <c r="E1793" s="105" t="n"/>
      <c r="F1793" s="105" t="n"/>
      <c r="G1793" s="105" t="n"/>
      <c r="H1793" s="2" t="n"/>
      <c r="I1793" s="105" t="n"/>
      <c r="K1793" s="215" t="n"/>
      <c r="L1793" s="215" t="n"/>
      <c r="M1793" s="215" t="n"/>
      <c r="N1793" s="215" t="n"/>
      <c r="O1793" s="215" t="n"/>
      <c r="P1793" s="215" t="n"/>
      <c r="Q1793" s="215" t="n"/>
      <c r="R1793" s="215" t="n"/>
      <c r="S1793" s="215" t="n"/>
      <c r="T1793" s="215" t="n"/>
      <c r="U1793" s="215" t="n"/>
      <c r="V1793" s="215" t="n"/>
      <c r="W1793" s="215" t="n"/>
      <c r="X1793" s="215" t="n"/>
      <c r="Y1793" s="215" t="n"/>
      <c r="Z1793" s="215" t="n"/>
      <c r="AA1793" s="215" t="n"/>
      <c r="AB1793" s="215" t="n"/>
      <c r="AC1793" s="215" t="n"/>
      <c r="AD1793" s="215" t="n"/>
      <c r="AE1793" s="215" t="n"/>
      <c r="AF1793" s="215" t="n"/>
      <c r="AG1793" s="215" t="n"/>
      <c r="AH1793" s="215" t="n"/>
      <c r="AI1793" s="215" t="n"/>
      <c r="AJ1793" s="215" t="n"/>
      <c r="AK1793" s="216" t="n"/>
    </row>
    <row r="1794" ht="15" customHeight="1">
      <c r="B1794" s="134" t="n"/>
      <c r="C1794" s="105" t="n"/>
      <c r="D1794" s="105" t="n"/>
      <c r="E1794" s="105" t="n"/>
      <c r="F1794" s="105" t="n"/>
      <c r="G1794" s="105" t="n"/>
      <c r="H1794" s="2" t="n"/>
      <c r="I1794" s="105" t="n"/>
      <c r="K1794" s="215" t="n"/>
      <c r="L1794" s="215" t="n"/>
      <c r="M1794" s="215" t="n"/>
      <c r="N1794" s="215" t="n"/>
      <c r="O1794" s="215" t="n"/>
      <c r="P1794" s="215" t="n"/>
      <c r="Q1794" s="215" t="n"/>
      <c r="R1794" s="215" t="n"/>
      <c r="S1794" s="215" t="n"/>
      <c r="T1794" s="215" t="n"/>
      <c r="U1794" s="215" t="n"/>
      <c r="V1794" s="215" t="n"/>
      <c r="W1794" s="215" t="n"/>
      <c r="X1794" s="215" t="n"/>
      <c r="Y1794" s="215" t="n"/>
      <c r="Z1794" s="215" t="n"/>
      <c r="AA1794" s="215" t="n"/>
      <c r="AB1794" s="215" t="n"/>
      <c r="AC1794" s="215" t="n"/>
      <c r="AD1794" s="215" t="n"/>
      <c r="AE1794" s="215" t="n"/>
      <c r="AF1794" s="215" t="n"/>
      <c r="AG1794" s="215" t="n"/>
      <c r="AH1794" s="215" t="n"/>
      <c r="AI1794" s="215" t="n"/>
      <c r="AJ1794" s="215" t="n"/>
      <c r="AK1794" s="216" t="n"/>
    </row>
    <row r="1795" ht="15" customHeight="1">
      <c r="B1795" s="134" t="n"/>
      <c r="C1795" s="105" t="n"/>
      <c r="D1795" s="105" t="n"/>
      <c r="E1795" s="105" t="n"/>
      <c r="F1795" s="105" t="n"/>
      <c r="G1795" s="105" t="n"/>
      <c r="H1795" s="2" t="n"/>
      <c r="I1795" s="105" t="n"/>
      <c r="K1795" s="215" t="n"/>
      <c r="L1795" s="215" t="n"/>
      <c r="M1795" s="215" t="n"/>
      <c r="N1795" s="215" t="n"/>
      <c r="O1795" s="215" t="n"/>
      <c r="P1795" s="215" t="n"/>
      <c r="Q1795" s="215" t="n"/>
      <c r="R1795" s="215" t="n"/>
      <c r="S1795" s="215" t="n"/>
      <c r="T1795" s="215" t="n"/>
      <c r="U1795" s="215" t="n"/>
      <c r="V1795" s="215" t="n"/>
      <c r="W1795" s="215" t="n"/>
      <c r="X1795" s="215" t="n"/>
      <c r="Y1795" s="215" t="n"/>
      <c r="Z1795" s="215" t="n"/>
      <c r="AA1795" s="215" t="n"/>
      <c r="AB1795" s="215" t="n"/>
      <c r="AC1795" s="215" t="n"/>
      <c r="AD1795" s="215" t="n"/>
      <c r="AE1795" s="215" t="n"/>
      <c r="AF1795" s="215" t="n"/>
      <c r="AG1795" s="215" t="n"/>
      <c r="AH1795" s="215" t="n"/>
      <c r="AI1795" s="215" t="n"/>
      <c r="AJ1795" s="215" t="n"/>
      <c r="AK1795" s="216" t="n"/>
    </row>
    <row r="1796" ht="15" customHeight="1">
      <c r="B1796" s="134" t="n"/>
      <c r="C1796" s="105" t="n"/>
      <c r="D1796" s="105" t="n"/>
      <c r="E1796" s="105" t="n"/>
      <c r="F1796" s="105" t="n"/>
      <c r="G1796" s="105" t="n"/>
      <c r="H1796" s="2" t="n"/>
      <c r="I1796" s="105" t="n"/>
      <c r="K1796" s="215" t="n"/>
      <c r="L1796" s="215" t="n"/>
      <c r="M1796" s="215" t="n"/>
      <c r="N1796" s="215" t="n"/>
      <c r="O1796" s="215" t="n"/>
      <c r="P1796" s="215" t="n"/>
      <c r="Q1796" s="215" t="n"/>
      <c r="R1796" s="215" t="n"/>
      <c r="S1796" s="215" t="n"/>
      <c r="T1796" s="215" t="n"/>
      <c r="U1796" s="215" t="n"/>
      <c r="V1796" s="215" t="n"/>
      <c r="W1796" s="215" t="n"/>
      <c r="X1796" s="215" t="n"/>
      <c r="Y1796" s="215" t="n"/>
      <c r="Z1796" s="215" t="n"/>
      <c r="AA1796" s="215" t="n"/>
      <c r="AB1796" s="215" t="n"/>
      <c r="AC1796" s="215" t="n"/>
      <c r="AD1796" s="215" t="n"/>
      <c r="AE1796" s="215" t="n"/>
      <c r="AF1796" s="215" t="n"/>
      <c r="AG1796" s="215" t="n"/>
      <c r="AH1796" s="215" t="n"/>
      <c r="AI1796" s="215" t="n"/>
      <c r="AJ1796" s="215" t="n"/>
      <c r="AK1796" s="216" t="n"/>
    </row>
    <row r="1797" ht="15" customHeight="1">
      <c r="B1797" s="134" t="n"/>
      <c r="C1797" s="105" t="n"/>
      <c r="D1797" s="105" t="n"/>
      <c r="E1797" s="105" t="n"/>
      <c r="F1797" s="105" t="n"/>
      <c r="G1797" s="105" t="n"/>
      <c r="H1797" s="2" t="n"/>
      <c r="I1797" s="105" t="n"/>
      <c r="K1797" s="215" t="n"/>
      <c r="L1797" s="215" t="n"/>
      <c r="M1797" s="215" t="n"/>
      <c r="N1797" s="215" t="n"/>
      <c r="O1797" s="215" t="n"/>
      <c r="P1797" s="215" t="n"/>
      <c r="Q1797" s="215" t="n"/>
      <c r="R1797" s="215" t="n"/>
      <c r="S1797" s="215" t="n"/>
      <c r="T1797" s="215" t="n"/>
      <c r="U1797" s="215" t="n"/>
      <c r="V1797" s="215" t="n"/>
      <c r="W1797" s="215" t="n"/>
      <c r="X1797" s="215" t="n"/>
      <c r="Y1797" s="215" t="n"/>
      <c r="Z1797" s="215" t="n"/>
      <c r="AA1797" s="215" t="n"/>
      <c r="AB1797" s="215" t="n"/>
      <c r="AC1797" s="215" t="n"/>
      <c r="AD1797" s="215" t="n"/>
      <c r="AE1797" s="215" t="n"/>
      <c r="AF1797" s="215" t="n"/>
      <c r="AG1797" s="215" t="n"/>
      <c r="AH1797" s="215" t="n"/>
      <c r="AI1797" s="215" t="n"/>
      <c r="AJ1797" s="215" t="n"/>
      <c r="AK1797" s="216" t="n"/>
    </row>
    <row r="1798" ht="15" customHeight="1">
      <c r="B1798" s="134" t="n"/>
      <c r="C1798" s="105" t="n"/>
      <c r="D1798" s="105" t="n"/>
      <c r="E1798" s="105" t="n"/>
      <c r="F1798" s="105" t="n"/>
      <c r="G1798" s="105" t="n"/>
      <c r="H1798" s="2" t="n"/>
      <c r="I1798" s="105" t="n"/>
      <c r="K1798" s="215" t="n"/>
      <c r="L1798" s="215" t="n"/>
      <c r="M1798" s="215" t="n"/>
      <c r="N1798" s="215" t="n"/>
      <c r="O1798" s="215" t="n"/>
      <c r="P1798" s="215" t="n"/>
      <c r="Q1798" s="215" t="n"/>
      <c r="R1798" s="215" t="n"/>
      <c r="S1798" s="215" t="n"/>
      <c r="T1798" s="215" t="n"/>
      <c r="U1798" s="215" t="n"/>
      <c r="V1798" s="215" t="n"/>
      <c r="W1798" s="215" t="n"/>
      <c r="X1798" s="215" t="n"/>
      <c r="Y1798" s="215" t="n"/>
      <c r="Z1798" s="215" t="n"/>
      <c r="AA1798" s="215" t="n"/>
      <c r="AB1798" s="215" t="n"/>
      <c r="AC1798" s="215" t="n"/>
      <c r="AD1798" s="215" t="n"/>
      <c r="AE1798" s="215" t="n"/>
      <c r="AF1798" s="215" t="n"/>
      <c r="AG1798" s="215" t="n"/>
      <c r="AH1798" s="215" t="n"/>
      <c r="AI1798" s="215" t="n"/>
      <c r="AJ1798" s="215" t="n"/>
      <c r="AK1798" s="216" t="n"/>
    </row>
    <row r="1799" ht="15" customHeight="1">
      <c r="B1799" s="134" t="n"/>
      <c r="C1799" s="105" t="n"/>
      <c r="D1799" s="105" t="n"/>
      <c r="E1799" s="105" t="n"/>
      <c r="F1799" s="105" t="n"/>
      <c r="G1799" s="105" t="n"/>
      <c r="H1799" s="2" t="n"/>
      <c r="I1799" s="105" t="n"/>
      <c r="K1799" s="215" t="n"/>
      <c r="L1799" s="215" t="n"/>
      <c r="M1799" s="215" t="n"/>
      <c r="N1799" s="215" t="n"/>
      <c r="O1799" s="215" t="n"/>
      <c r="P1799" s="215" t="n"/>
      <c r="Q1799" s="215" t="n"/>
      <c r="R1799" s="215" t="n"/>
      <c r="S1799" s="215" t="n"/>
      <c r="T1799" s="215" t="n"/>
      <c r="U1799" s="215" t="n"/>
      <c r="V1799" s="215" t="n"/>
      <c r="W1799" s="215" t="n"/>
      <c r="X1799" s="215" t="n"/>
      <c r="Y1799" s="215" t="n"/>
      <c r="Z1799" s="215" t="n"/>
      <c r="AA1799" s="215" t="n"/>
      <c r="AB1799" s="215" t="n"/>
      <c r="AC1799" s="215" t="n"/>
      <c r="AD1799" s="215" t="n"/>
      <c r="AE1799" s="215" t="n"/>
      <c r="AF1799" s="215" t="n"/>
      <c r="AG1799" s="215" t="n"/>
      <c r="AH1799" s="215" t="n"/>
      <c r="AI1799" s="215" t="n"/>
      <c r="AJ1799" s="215" t="n"/>
      <c r="AK1799" s="216" t="n"/>
    </row>
    <row r="1800" ht="15" customHeight="1">
      <c r="B1800" s="134" t="n"/>
      <c r="C1800" s="105" t="n"/>
      <c r="D1800" s="105" t="n"/>
      <c r="E1800" s="105" t="n"/>
      <c r="F1800" s="105" t="n"/>
      <c r="G1800" s="105" t="n"/>
      <c r="H1800" s="2" t="n"/>
      <c r="I1800" s="105" t="n"/>
      <c r="K1800" s="215" t="n"/>
      <c r="L1800" s="215" t="n"/>
      <c r="M1800" s="215" t="n"/>
      <c r="N1800" s="215" t="n"/>
      <c r="O1800" s="215" t="n"/>
      <c r="P1800" s="215" t="n"/>
      <c r="Q1800" s="215" t="n"/>
      <c r="R1800" s="215" t="n"/>
      <c r="S1800" s="215" t="n"/>
      <c r="T1800" s="215" t="n"/>
      <c r="U1800" s="215" t="n"/>
      <c r="V1800" s="215" t="n"/>
      <c r="W1800" s="215" t="n"/>
      <c r="X1800" s="215" t="n"/>
      <c r="Y1800" s="215" t="n"/>
      <c r="Z1800" s="215" t="n"/>
      <c r="AA1800" s="215" t="n"/>
      <c r="AB1800" s="215" t="n"/>
      <c r="AC1800" s="215" t="n"/>
      <c r="AD1800" s="215" t="n"/>
      <c r="AE1800" s="215" t="n"/>
      <c r="AF1800" s="215" t="n"/>
      <c r="AG1800" s="215" t="n"/>
      <c r="AH1800" s="215" t="n"/>
      <c r="AI1800" s="215" t="n"/>
      <c r="AJ1800" s="215" t="n"/>
      <c r="AK1800" s="216" t="n"/>
    </row>
    <row r="1801" ht="15" customHeight="1">
      <c r="B1801" s="134" t="n"/>
      <c r="C1801" s="105" t="n"/>
      <c r="D1801" s="105" t="n"/>
      <c r="E1801" s="105" t="n"/>
      <c r="F1801" s="105" t="n"/>
      <c r="G1801" s="105" t="n"/>
      <c r="H1801" s="2" t="n"/>
      <c r="I1801" s="105" t="n"/>
      <c r="K1801" s="215" t="n"/>
      <c r="L1801" s="215" t="n"/>
      <c r="M1801" s="215" t="n"/>
      <c r="N1801" s="215" t="n"/>
      <c r="O1801" s="215" t="n"/>
      <c r="P1801" s="215" t="n"/>
      <c r="Q1801" s="215" t="n"/>
      <c r="R1801" s="215" t="n"/>
      <c r="S1801" s="215" t="n"/>
      <c r="T1801" s="215" t="n"/>
      <c r="U1801" s="215" t="n"/>
      <c r="V1801" s="215" t="n"/>
      <c r="W1801" s="215" t="n"/>
      <c r="X1801" s="215" t="n"/>
      <c r="Y1801" s="215" t="n"/>
      <c r="Z1801" s="215" t="n"/>
      <c r="AA1801" s="215" t="n"/>
      <c r="AB1801" s="215" t="n"/>
      <c r="AC1801" s="215" t="n"/>
      <c r="AD1801" s="215" t="n"/>
      <c r="AE1801" s="215" t="n"/>
      <c r="AF1801" s="215" t="n"/>
      <c r="AG1801" s="215" t="n"/>
      <c r="AH1801" s="215" t="n"/>
      <c r="AI1801" s="215" t="n"/>
      <c r="AJ1801" s="215" t="n"/>
      <c r="AK1801" s="216" t="n"/>
    </row>
    <row r="1802" ht="15" customHeight="1">
      <c r="B1802" s="134" t="n"/>
      <c r="C1802" s="105" t="n"/>
      <c r="D1802" s="105" t="n"/>
      <c r="E1802" s="105" t="n"/>
      <c r="F1802" s="105" t="n"/>
      <c r="G1802" s="105" t="n"/>
      <c r="H1802" s="2" t="n"/>
      <c r="I1802" s="105" t="n"/>
      <c r="K1802" s="215" t="n"/>
      <c r="L1802" s="215" t="n"/>
      <c r="M1802" s="215" t="n"/>
      <c r="N1802" s="215" t="n"/>
      <c r="O1802" s="215" t="n"/>
      <c r="P1802" s="215" t="n"/>
      <c r="Q1802" s="215" t="n"/>
      <c r="R1802" s="215" t="n"/>
      <c r="S1802" s="215" t="n"/>
      <c r="T1802" s="215" t="n"/>
      <c r="U1802" s="215" t="n"/>
      <c r="V1802" s="215" t="n"/>
      <c r="W1802" s="215" t="n"/>
      <c r="X1802" s="215" t="n"/>
      <c r="Y1802" s="215" t="n"/>
      <c r="Z1802" s="215" t="n"/>
      <c r="AA1802" s="215" t="n"/>
      <c r="AB1802" s="215" t="n"/>
      <c r="AC1802" s="215" t="n"/>
      <c r="AD1802" s="215" t="n"/>
      <c r="AE1802" s="215" t="n"/>
      <c r="AF1802" s="215" t="n"/>
      <c r="AG1802" s="215" t="n"/>
      <c r="AH1802" s="215" t="n"/>
      <c r="AI1802" s="215" t="n"/>
      <c r="AJ1802" s="215" t="n"/>
      <c r="AK1802" s="216" t="n"/>
    </row>
    <row r="1803" ht="15" customHeight="1">
      <c r="B1803" s="134" t="n"/>
      <c r="C1803" s="105" t="n"/>
      <c r="D1803" s="105" t="n"/>
      <c r="E1803" s="105" t="n"/>
      <c r="F1803" s="105" t="n"/>
      <c r="G1803" s="105" t="n"/>
      <c r="H1803" s="2" t="n"/>
      <c r="I1803" s="105" t="n"/>
      <c r="K1803" s="215" t="n"/>
      <c r="L1803" s="215" t="n"/>
      <c r="M1803" s="215" t="n"/>
      <c r="N1803" s="215" t="n"/>
      <c r="O1803" s="215" t="n"/>
      <c r="P1803" s="215" t="n"/>
      <c r="Q1803" s="215" t="n"/>
      <c r="R1803" s="215" t="n"/>
      <c r="S1803" s="215" t="n"/>
      <c r="T1803" s="215" t="n"/>
      <c r="U1803" s="215" t="n"/>
      <c r="V1803" s="215" t="n"/>
      <c r="W1803" s="215" t="n"/>
      <c r="X1803" s="215" t="n"/>
      <c r="Y1803" s="215" t="n"/>
      <c r="Z1803" s="215" t="n"/>
      <c r="AA1803" s="215" t="n"/>
      <c r="AB1803" s="215" t="n"/>
      <c r="AC1803" s="215" t="n"/>
      <c r="AD1803" s="215" t="n"/>
      <c r="AE1803" s="215" t="n"/>
      <c r="AF1803" s="215" t="n"/>
      <c r="AG1803" s="215" t="n"/>
      <c r="AH1803" s="215" t="n"/>
      <c r="AI1803" s="215" t="n"/>
      <c r="AJ1803" s="215" t="n"/>
      <c r="AK1803" s="216" t="n"/>
    </row>
    <row r="1804" ht="15" customHeight="1">
      <c r="B1804" s="134" t="n"/>
      <c r="C1804" s="105" t="n"/>
      <c r="D1804" s="105" t="n"/>
      <c r="E1804" s="105" t="n"/>
      <c r="F1804" s="105" t="n"/>
      <c r="G1804" s="105" t="n"/>
      <c r="H1804" s="2" t="n"/>
      <c r="I1804" s="105" t="n"/>
      <c r="K1804" s="215" t="n"/>
      <c r="L1804" s="215" t="n"/>
      <c r="M1804" s="215" t="n"/>
      <c r="N1804" s="215" t="n"/>
      <c r="O1804" s="215" t="n"/>
      <c r="P1804" s="215" t="n"/>
      <c r="Q1804" s="215" t="n"/>
      <c r="R1804" s="215" t="n"/>
      <c r="S1804" s="215" t="n"/>
      <c r="T1804" s="215" t="n"/>
      <c r="U1804" s="215" t="n"/>
      <c r="V1804" s="215" t="n"/>
      <c r="W1804" s="215" t="n"/>
      <c r="X1804" s="215" t="n"/>
      <c r="Y1804" s="215" t="n"/>
      <c r="Z1804" s="215" t="n"/>
      <c r="AA1804" s="215" t="n"/>
      <c r="AB1804" s="215" t="n"/>
      <c r="AC1804" s="215" t="n"/>
      <c r="AD1804" s="215" t="n"/>
      <c r="AE1804" s="215" t="n"/>
      <c r="AF1804" s="215" t="n"/>
      <c r="AG1804" s="215" t="n"/>
      <c r="AH1804" s="215" t="n"/>
      <c r="AI1804" s="215" t="n"/>
      <c r="AJ1804" s="215" t="n"/>
      <c r="AK1804" s="216" t="n"/>
    </row>
    <row r="1805" ht="15" customHeight="1">
      <c r="B1805" s="134" t="n"/>
      <c r="C1805" s="105" t="n"/>
      <c r="D1805" s="105" t="n"/>
      <c r="E1805" s="105" t="n"/>
      <c r="F1805" s="105" t="n"/>
      <c r="G1805" s="105" t="n"/>
      <c r="H1805" s="2" t="n"/>
      <c r="I1805" s="105" t="n"/>
      <c r="K1805" s="215" t="n"/>
      <c r="L1805" s="215" t="n"/>
      <c r="M1805" s="215" t="n"/>
      <c r="N1805" s="215" t="n"/>
      <c r="O1805" s="215" t="n"/>
      <c r="P1805" s="215" t="n"/>
      <c r="Q1805" s="215" t="n"/>
      <c r="R1805" s="215" t="n"/>
      <c r="S1805" s="215" t="n"/>
      <c r="T1805" s="215" t="n"/>
      <c r="U1805" s="215" t="n"/>
      <c r="V1805" s="215" t="n"/>
      <c r="W1805" s="215" t="n"/>
      <c r="X1805" s="215" t="n"/>
      <c r="Y1805" s="215" t="n"/>
      <c r="Z1805" s="215" t="n"/>
      <c r="AA1805" s="215" t="n"/>
      <c r="AB1805" s="215" t="n"/>
      <c r="AC1805" s="215" t="n"/>
      <c r="AD1805" s="215" t="n"/>
      <c r="AE1805" s="215" t="n"/>
      <c r="AF1805" s="215" t="n"/>
      <c r="AG1805" s="215" t="n"/>
      <c r="AH1805" s="215" t="n"/>
      <c r="AI1805" s="215" t="n"/>
      <c r="AJ1805" s="215" t="n"/>
      <c r="AK1805" s="216" t="n"/>
    </row>
    <row r="1806" ht="15" customHeight="1">
      <c r="B1806" s="134" t="n"/>
      <c r="C1806" s="105" t="n"/>
      <c r="D1806" s="105" t="n"/>
      <c r="E1806" s="105" t="n"/>
      <c r="F1806" s="105" t="n"/>
      <c r="G1806" s="105" t="n"/>
      <c r="H1806" s="2" t="n"/>
      <c r="I1806" s="105" t="n"/>
      <c r="K1806" s="215" t="n"/>
      <c r="L1806" s="215" t="n"/>
      <c r="M1806" s="215" t="n"/>
      <c r="N1806" s="215" t="n"/>
      <c r="O1806" s="215" t="n"/>
      <c r="P1806" s="215" t="n"/>
      <c r="Q1806" s="215" t="n"/>
      <c r="R1806" s="215" t="n"/>
      <c r="S1806" s="215" t="n"/>
      <c r="T1806" s="215" t="n"/>
      <c r="U1806" s="215" t="n"/>
      <c r="V1806" s="215" t="n"/>
      <c r="W1806" s="215" t="n"/>
      <c r="X1806" s="215" t="n"/>
      <c r="Y1806" s="215" t="n"/>
      <c r="Z1806" s="215" t="n"/>
      <c r="AA1806" s="215" t="n"/>
      <c r="AB1806" s="215" t="n"/>
      <c r="AC1806" s="215" t="n"/>
      <c r="AD1806" s="215" t="n"/>
      <c r="AE1806" s="215" t="n"/>
      <c r="AF1806" s="215" t="n"/>
      <c r="AG1806" s="215" t="n"/>
      <c r="AH1806" s="215" t="n"/>
      <c r="AI1806" s="215" t="n"/>
      <c r="AJ1806" s="215" t="n"/>
      <c r="AK1806" s="216" t="n"/>
    </row>
    <row r="1807" ht="15" customHeight="1">
      <c r="B1807" s="134" t="n"/>
      <c r="C1807" s="105" t="n"/>
      <c r="D1807" s="105" t="n"/>
      <c r="E1807" s="105" t="n"/>
      <c r="F1807" s="105" t="n"/>
      <c r="G1807" s="105" t="n"/>
      <c r="H1807" s="2" t="n"/>
      <c r="I1807" s="105" t="n"/>
      <c r="K1807" s="215" t="n"/>
      <c r="L1807" s="215" t="n"/>
      <c r="M1807" s="215" t="n"/>
      <c r="N1807" s="215" t="n"/>
      <c r="O1807" s="215" t="n"/>
      <c r="P1807" s="215" t="n"/>
      <c r="Q1807" s="215" t="n"/>
      <c r="R1807" s="215" t="n"/>
      <c r="S1807" s="215" t="n"/>
      <c r="T1807" s="215" t="n"/>
      <c r="U1807" s="215" t="n"/>
      <c r="V1807" s="215" t="n"/>
      <c r="W1807" s="215" t="n"/>
      <c r="X1807" s="215" t="n"/>
      <c r="Y1807" s="215" t="n"/>
      <c r="Z1807" s="215" t="n"/>
      <c r="AA1807" s="215" t="n"/>
      <c r="AB1807" s="215" t="n"/>
      <c r="AC1807" s="215" t="n"/>
      <c r="AD1807" s="215" t="n"/>
      <c r="AE1807" s="215" t="n"/>
      <c r="AF1807" s="215" t="n"/>
      <c r="AG1807" s="215" t="n"/>
      <c r="AH1807" s="215" t="n"/>
      <c r="AI1807" s="215" t="n"/>
      <c r="AJ1807" s="215" t="n"/>
      <c r="AK1807" s="216" t="n"/>
    </row>
    <row r="1808" ht="15" customHeight="1">
      <c r="B1808" s="134" t="n"/>
      <c r="C1808" s="105" t="n"/>
      <c r="D1808" s="105" t="n"/>
      <c r="E1808" s="105" t="n"/>
      <c r="F1808" s="105" t="n"/>
      <c r="G1808" s="105" t="n"/>
      <c r="H1808" s="2" t="n"/>
      <c r="I1808" s="105" t="n"/>
      <c r="K1808" s="215" t="n"/>
      <c r="L1808" s="215" t="n"/>
      <c r="M1808" s="215" t="n"/>
      <c r="N1808" s="215" t="n"/>
      <c r="O1808" s="215" t="n"/>
      <c r="P1808" s="215" t="n"/>
      <c r="Q1808" s="215" t="n"/>
      <c r="R1808" s="215" t="n"/>
      <c r="S1808" s="215" t="n"/>
      <c r="T1808" s="215" t="n"/>
      <c r="U1808" s="215" t="n"/>
      <c r="V1808" s="215" t="n"/>
      <c r="W1808" s="215" t="n"/>
      <c r="X1808" s="215" t="n"/>
      <c r="Y1808" s="215" t="n"/>
      <c r="Z1808" s="215" t="n"/>
      <c r="AA1808" s="215" t="n"/>
      <c r="AB1808" s="215" t="n"/>
      <c r="AC1808" s="215" t="n"/>
      <c r="AD1808" s="215" t="n"/>
      <c r="AE1808" s="215" t="n"/>
      <c r="AF1808" s="215" t="n"/>
      <c r="AG1808" s="215" t="n"/>
      <c r="AH1808" s="215" t="n"/>
      <c r="AI1808" s="215" t="n"/>
      <c r="AJ1808" s="215" t="n"/>
      <c r="AK1808" s="216" t="n"/>
    </row>
    <row r="1809" ht="15" customHeight="1">
      <c r="B1809" s="134" t="n"/>
      <c r="C1809" s="105" t="n"/>
      <c r="D1809" s="105" t="n"/>
      <c r="E1809" s="105" t="n"/>
      <c r="F1809" s="105" t="n"/>
      <c r="G1809" s="105" t="n"/>
      <c r="H1809" s="2" t="n"/>
      <c r="I1809" s="105" t="n"/>
      <c r="K1809" s="215" t="n"/>
      <c r="L1809" s="215" t="n"/>
      <c r="M1809" s="215" t="n"/>
      <c r="N1809" s="215" t="n"/>
      <c r="O1809" s="215" t="n"/>
      <c r="P1809" s="215" t="n"/>
      <c r="Q1809" s="215" t="n"/>
      <c r="R1809" s="215" t="n"/>
      <c r="S1809" s="215" t="n"/>
      <c r="T1809" s="215" t="n"/>
      <c r="U1809" s="215" t="n"/>
      <c r="V1809" s="215" t="n"/>
      <c r="W1809" s="215" t="n"/>
      <c r="X1809" s="215" t="n"/>
      <c r="Y1809" s="215" t="n"/>
      <c r="Z1809" s="215" t="n"/>
      <c r="AA1809" s="215" t="n"/>
      <c r="AB1809" s="215" t="n"/>
      <c r="AC1809" s="215" t="n"/>
      <c r="AD1809" s="215" t="n"/>
      <c r="AE1809" s="215" t="n"/>
      <c r="AF1809" s="215" t="n"/>
      <c r="AG1809" s="215" t="n"/>
      <c r="AH1809" s="215" t="n"/>
      <c r="AI1809" s="215" t="n"/>
      <c r="AJ1809" s="215" t="n"/>
      <c r="AK1809" s="216" t="n"/>
    </row>
    <row r="1810" ht="15" customHeight="1">
      <c r="B1810" s="134" t="n"/>
      <c r="C1810" s="105" t="n"/>
      <c r="D1810" s="105" t="n"/>
      <c r="E1810" s="105" t="n"/>
      <c r="F1810" s="105" t="n"/>
      <c r="G1810" s="105" t="n"/>
      <c r="H1810" s="2" t="n"/>
      <c r="I1810" s="105" t="n"/>
      <c r="K1810" s="215" t="n"/>
      <c r="L1810" s="215" t="n"/>
      <c r="M1810" s="215" t="n"/>
      <c r="N1810" s="215" t="n"/>
      <c r="O1810" s="215" t="n"/>
      <c r="P1810" s="215" t="n"/>
      <c r="Q1810" s="215" t="n"/>
      <c r="R1810" s="215" t="n"/>
      <c r="S1810" s="215" t="n"/>
      <c r="T1810" s="215" t="n"/>
      <c r="U1810" s="215" t="n"/>
      <c r="V1810" s="215" t="n"/>
      <c r="W1810" s="215" t="n"/>
      <c r="X1810" s="215" t="n"/>
      <c r="Y1810" s="215" t="n"/>
      <c r="Z1810" s="215" t="n"/>
      <c r="AA1810" s="215" t="n"/>
      <c r="AB1810" s="215" t="n"/>
      <c r="AC1810" s="215" t="n"/>
      <c r="AD1810" s="215" t="n"/>
      <c r="AE1810" s="215" t="n"/>
      <c r="AF1810" s="215" t="n"/>
      <c r="AG1810" s="215" t="n"/>
      <c r="AH1810" s="215" t="n"/>
      <c r="AI1810" s="215" t="n"/>
      <c r="AJ1810" s="215" t="n"/>
      <c r="AK1810" s="216" t="n"/>
    </row>
    <row r="1811" ht="15" customHeight="1">
      <c r="B1811" s="134" t="n"/>
      <c r="C1811" s="105" t="n"/>
      <c r="D1811" s="105" t="n"/>
      <c r="E1811" s="105" t="n"/>
      <c r="F1811" s="105" t="n"/>
      <c r="G1811" s="105" t="n"/>
      <c r="H1811" s="2" t="n"/>
      <c r="I1811" s="105" t="n"/>
      <c r="K1811" s="215" t="n"/>
      <c r="L1811" s="215" t="n"/>
      <c r="M1811" s="215" t="n"/>
      <c r="N1811" s="215" t="n"/>
      <c r="O1811" s="215" t="n"/>
      <c r="P1811" s="215" t="n"/>
      <c r="Q1811" s="215" t="n"/>
      <c r="R1811" s="215" t="n"/>
      <c r="S1811" s="215" t="n"/>
      <c r="T1811" s="215" t="n"/>
      <c r="U1811" s="215" t="n"/>
      <c r="V1811" s="215" t="n"/>
      <c r="W1811" s="215" t="n"/>
      <c r="X1811" s="215" t="n"/>
      <c r="Y1811" s="215" t="n"/>
      <c r="Z1811" s="215" t="n"/>
      <c r="AA1811" s="215" t="n"/>
      <c r="AB1811" s="215" t="n"/>
      <c r="AC1811" s="215" t="n"/>
      <c r="AD1811" s="215" t="n"/>
      <c r="AE1811" s="215" t="n"/>
      <c r="AF1811" s="215" t="n"/>
      <c r="AG1811" s="215" t="n"/>
      <c r="AH1811" s="215" t="n"/>
      <c r="AI1811" s="215" t="n"/>
      <c r="AJ1811" s="215" t="n"/>
      <c r="AK1811" s="216" t="n"/>
    </row>
    <row r="1812" ht="15" customHeight="1">
      <c r="B1812" s="134" t="n"/>
      <c r="C1812" s="105" t="n"/>
      <c r="D1812" s="105" t="n"/>
      <c r="E1812" s="105" t="n"/>
      <c r="F1812" s="105" t="n"/>
      <c r="G1812" s="105" t="n"/>
      <c r="H1812" s="2" t="n"/>
      <c r="I1812" s="105" t="n"/>
      <c r="K1812" s="215" t="n"/>
      <c r="L1812" s="215" t="n"/>
      <c r="M1812" s="215" t="n"/>
      <c r="N1812" s="215" t="n"/>
      <c r="O1812" s="215" t="n"/>
      <c r="P1812" s="215" t="n"/>
      <c r="Q1812" s="215" t="n"/>
      <c r="R1812" s="215" t="n"/>
      <c r="S1812" s="215" t="n"/>
      <c r="T1812" s="215" t="n"/>
      <c r="U1812" s="215" t="n"/>
      <c r="V1812" s="215" t="n"/>
      <c r="W1812" s="215" t="n"/>
      <c r="X1812" s="215" t="n"/>
      <c r="Y1812" s="215" t="n"/>
      <c r="Z1812" s="215" t="n"/>
      <c r="AA1812" s="215" t="n"/>
      <c r="AB1812" s="215" t="n"/>
      <c r="AC1812" s="215" t="n"/>
      <c r="AD1812" s="215" t="n"/>
      <c r="AE1812" s="215" t="n"/>
      <c r="AF1812" s="215" t="n"/>
      <c r="AG1812" s="215" t="n"/>
      <c r="AH1812" s="215" t="n"/>
      <c r="AI1812" s="215" t="n"/>
      <c r="AJ1812" s="215" t="n"/>
      <c r="AK1812" s="216" t="n"/>
    </row>
    <row r="1813" ht="15" customHeight="1">
      <c r="B1813" s="134" t="n"/>
      <c r="C1813" s="105" t="n"/>
      <c r="D1813" s="105" t="n"/>
      <c r="E1813" s="105" t="n"/>
      <c r="F1813" s="105" t="n"/>
      <c r="G1813" s="105" t="n"/>
      <c r="H1813" s="2" t="n"/>
      <c r="I1813" s="105" t="n"/>
      <c r="K1813" s="215" t="n"/>
      <c r="L1813" s="215" t="n"/>
      <c r="M1813" s="215" t="n"/>
      <c r="N1813" s="215" t="n"/>
      <c r="O1813" s="215" t="n"/>
      <c r="P1813" s="215" t="n"/>
      <c r="Q1813" s="215" t="n"/>
      <c r="R1813" s="215" t="n"/>
      <c r="S1813" s="215" t="n"/>
      <c r="T1813" s="215" t="n"/>
      <c r="U1813" s="215" t="n"/>
      <c r="V1813" s="215" t="n"/>
      <c r="W1813" s="215" t="n"/>
      <c r="X1813" s="215" t="n"/>
      <c r="Y1813" s="215" t="n"/>
      <c r="Z1813" s="215" t="n"/>
      <c r="AA1813" s="215" t="n"/>
      <c r="AB1813" s="215" t="n"/>
      <c r="AC1813" s="215" t="n"/>
      <c r="AD1813" s="215" t="n"/>
      <c r="AE1813" s="215" t="n"/>
      <c r="AF1813" s="215" t="n"/>
      <c r="AG1813" s="215" t="n"/>
      <c r="AH1813" s="215" t="n"/>
      <c r="AI1813" s="215" t="n"/>
      <c r="AJ1813" s="215" t="n"/>
      <c r="AK1813" s="216" t="n"/>
    </row>
    <row r="1814" ht="15" customHeight="1">
      <c r="B1814" s="134" t="n"/>
      <c r="C1814" s="105" t="n"/>
      <c r="D1814" s="105" t="n"/>
      <c r="E1814" s="105" t="n"/>
      <c r="F1814" s="105" t="n"/>
      <c r="G1814" s="105" t="n"/>
      <c r="H1814" s="2" t="n"/>
      <c r="I1814" s="105" t="n"/>
      <c r="K1814" s="215" t="n"/>
      <c r="L1814" s="215" t="n"/>
      <c r="M1814" s="215" t="n"/>
      <c r="N1814" s="215" t="n"/>
      <c r="O1814" s="215" t="n"/>
      <c r="P1814" s="215" t="n"/>
      <c r="Q1814" s="215" t="n"/>
      <c r="R1814" s="215" t="n"/>
      <c r="S1814" s="215" t="n"/>
      <c r="T1814" s="215" t="n"/>
      <c r="U1814" s="215" t="n"/>
      <c r="V1814" s="215" t="n"/>
      <c r="W1814" s="215" t="n"/>
      <c r="X1814" s="215" t="n"/>
      <c r="Y1814" s="215" t="n"/>
      <c r="Z1814" s="215" t="n"/>
      <c r="AA1814" s="215" t="n"/>
      <c r="AB1814" s="215" t="n"/>
      <c r="AC1814" s="215" t="n"/>
      <c r="AD1814" s="215" t="n"/>
      <c r="AE1814" s="215" t="n"/>
      <c r="AF1814" s="215" t="n"/>
      <c r="AG1814" s="215" t="n"/>
      <c r="AH1814" s="215" t="n"/>
      <c r="AI1814" s="215" t="n"/>
      <c r="AJ1814" s="215" t="n"/>
      <c r="AK1814" s="216" t="n"/>
    </row>
    <row r="1815" ht="15" customHeight="1">
      <c r="B1815" s="134" t="n"/>
      <c r="C1815" s="105" t="n"/>
      <c r="D1815" s="105" t="n"/>
      <c r="E1815" s="105" t="n"/>
      <c r="F1815" s="105" t="n"/>
      <c r="G1815" s="105" t="n"/>
      <c r="H1815" s="2" t="n"/>
      <c r="I1815" s="105" t="n"/>
      <c r="K1815" s="215" t="n"/>
      <c r="L1815" s="215" t="n"/>
      <c r="M1815" s="215" t="n"/>
      <c r="N1815" s="215" t="n"/>
      <c r="O1815" s="215" t="n"/>
      <c r="P1815" s="215" t="n"/>
      <c r="Q1815" s="215" t="n"/>
      <c r="R1815" s="215" t="n"/>
      <c r="S1815" s="215" t="n"/>
      <c r="T1815" s="215" t="n"/>
      <c r="U1815" s="215" t="n"/>
      <c r="V1815" s="215" t="n"/>
      <c r="W1815" s="215" t="n"/>
      <c r="X1815" s="215" t="n"/>
      <c r="Y1815" s="215" t="n"/>
      <c r="Z1815" s="215" t="n"/>
      <c r="AA1815" s="215" t="n"/>
      <c r="AB1815" s="215" t="n"/>
      <c r="AC1815" s="215" t="n"/>
      <c r="AD1815" s="215" t="n"/>
      <c r="AE1815" s="215" t="n"/>
      <c r="AF1815" s="215" t="n"/>
      <c r="AG1815" s="215" t="n"/>
      <c r="AH1815" s="215" t="n"/>
      <c r="AI1815" s="215" t="n"/>
      <c r="AJ1815" s="215" t="n"/>
      <c r="AK1815" s="216" t="n"/>
    </row>
    <row r="1816" ht="15" customHeight="1">
      <c r="B1816" s="134" t="n"/>
      <c r="C1816" s="105" t="n"/>
      <c r="D1816" s="105" t="n"/>
      <c r="E1816" s="105" t="n"/>
      <c r="F1816" s="105" t="n"/>
      <c r="G1816" s="105" t="n"/>
      <c r="H1816" s="2" t="n"/>
      <c r="I1816" s="105" t="n"/>
      <c r="K1816" s="215" t="n"/>
      <c r="L1816" s="215" t="n"/>
      <c r="M1816" s="215" t="n"/>
      <c r="N1816" s="215" t="n"/>
      <c r="O1816" s="215" t="n"/>
      <c r="P1816" s="215" t="n"/>
      <c r="Q1816" s="215" t="n"/>
      <c r="R1816" s="215" t="n"/>
      <c r="S1816" s="215" t="n"/>
      <c r="T1816" s="215" t="n"/>
      <c r="U1816" s="215" t="n"/>
      <c r="V1816" s="215" t="n"/>
      <c r="W1816" s="215" t="n"/>
      <c r="X1816" s="215" t="n"/>
      <c r="Y1816" s="215" t="n"/>
      <c r="Z1816" s="215" t="n"/>
      <c r="AA1816" s="215" t="n"/>
      <c r="AB1816" s="215" t="n"/>
      <c r="AC1816" s="215" t="n"/>
      <c r="AD1816" s="215" t="n"/>
      <c r="AE1816" s="215" t="n"/>
      <c r="AF1816" s="215" t="n"/>
      <c r="AG1816" s="215" t="n"/>
      <c r="AH1816" s="215" t="n"/>
      <c r="AI1816" s="215" t="n"/>
      <c r="AJ1816" s="215" t="n"/>
      <c r="AK1816" s="216" t="n"/>
    </row>
    <row r="1817" ht="15" customHeight="1">
      <c r="B1817" s="134" t="n"/>
      <c r="C1817" s="105" t="n"/>
      <c r="D1817" s="105" t="n"/>
      <c r="E1817" s="105" t="n"/>
      <c r="F1817" s="105" t="n"/>
      <c r="G1817" s="105" t="n"/>
      <c r="H1817" s="2" t="n"/>
      <c r="I1817" s="105" t="n"/>
      <c r="K1817" s="215" t="n"/>
      <c r="L1817" s="215" t="n"/>
      <c r="M1817" s="215" t="n"/>
      <c r="N1817" s="215" t="n"/>
      <c r="O1817" s="215" t="n"/>
      <c r="P1817" s="215" t="n"/>
      <c r="Q1817" s="215" t="n"/>
      <c r="R1817" s="215" t="n"/>
      <c r="S1817" s="215" t="n"/>
      <c r="T1817" s="215" t="n"/>
      <c r="U1817" s="215" t="n"/>
      <c r="V1817" s="215" t="n"/>
      <c r="W1817" s="215" t="n"/>
      <c r="X1817" s="215" t="n"/>
      <c r="Y1817" s="215" t="n"/>
      <c r="Z1817" s="215" t="n"/>
      <c r="AA1817" s="215" t="n"/>
      <c r="AB1817" s="215" t="n"/>
      <c r="AC1817" s="215" t="n"/>
      <c r="AD1817" s="215" t="n"/>
      <c r="AE1817" s="215" t="n"/>
      <c r="AF1817" s="215" t="n"/>
      <c r="AG1817" s="215" t="n"/>
      <c r="AH1817" s="215" t="n"/>
      <c r="AI1817" s="215" t="n"/>
      <c r="AJ1817" s="215" t="n"/>
      <c r="AK1817" s="216" t="n"/>
    </row>
    <row r="1818" ht="15" customHeight="1">
      <c r="B1818" s="134" t="n"/>
      <c r="C1818" s="105" t="n"/>
      <c r="D1818" s="105" t="n"/>
      <c r="E1818" s="105" t="n"/>
      <c r="F1818" s="105" t="n"/>
      <c r="G1818" s="105" t="n"/>
      <c r="H1818" s="2" t="n"/>
      <c r="I1818" s="105" t="n"/>
      <c r="K1818" s="215" t="n"/>
      <c r="L1818" s="215" t="n"/>
      <c r="M1818" s="215" t="n"/>
      <c r="N1818" s="215" t="n"/>
      <c r="O1818" s="215" t="n"/>
      <c r="P1818" s="215" t="n"/>
      <c r="Q1818" s="215" t="n"/>
      <c r="R1818" s="215" t="n"/>
      <c r="S1818" s="215" t="n"/>
      <c r="T1818" s="215" t="n"/>
      <c r="U1818" s="215" t="n"/>
      <c r="V1818" s="215" t="n"/>
      <c r="W1818" s="215" t="n"/>
      <c r="X1818" s="215" t="n"/>
      <c r="Y1818" s="215" t="n"/>
      <c r="Z1818" s="215" t="n"/>
      <c r="AA1818" s="215" t="n"/>
      <c r="AB1818" s="215" t="n"/>
      <c r="AC1818" s="215" t="n"/>
      <c r="AD1818" s="215" t="n"/>
      <c r="AE1818" s="215" t="n"/>
      <c r="AF1818" s="215" t="n"/>
      <c r="AG1818" s="215" t="n"/>
      <c r="AH1818" s="215" t="n"/>
      <c r="AI1818" s="215" t="n"/>
      <c r="AJ1818" s="215" t="n"/>
      <c r="AK1818" s="216" t="n"/>
    </row>
    <row r="1819" ht="15" customHeight="1">
      <c r="B1819" s="134" t="n"/>
      <c r="C1819" s="105" t="n"/>
      <c r="D1819" s="105" t="n"/>
      <c r="E1819" s="105" t="n"/>
      <c r="F1819" s="105" t="n"/>
      <c r="G1819" s="105" t="n"/>
      <c r="H1819" s="2" t="n"/>
      <c r="I1819" s="105" t="n"/>
      <c r="K1819" s="215" t="n"/>
      <c r="L1819" s="215" t="n"/>
      <c r="M1819" s="215" t="n"/>
      <c r="N1819" s="215" t="n"/>
      <c r="O1819" s="215" t="n"/>
      <c r="P1819" s="215" t="n"/>
      <c r="Q1819" s="215" t="n"/>
      <c r="R1819" s="215" t="n"/>
      <c r="S1819" s="215" t="n"/>
      <c r="T1819" s="215" t="n"/>
      <c r="U1819" s="215" t="n"/>
      <c r="V1819" s="215" t="n"/>
      <c r="W1819" s="215" t="n"/>
      <c r="X1819" s="215" t="n"/>
      <c r="Y1819" s="215" t="n"/>
      <c r="Z1819" s="215" t="n"/>
      <c r="AA1819" s="215" t="n"/>
      <c r="AB1819" s="215" t="n"/>
      <c r="AC1819" s="215" t="n"/>
      <c r="AD1819" s="215" t="n"/>
      <c r="AE1819" s="215" t="n"/>
      <c r="AF1819" s="215" t="n"/>
      <c r="AG1819" s="215" t="n"/>
      <c r="AH1819" s="215" t="n"/>
      <c r="AI1819" s="215" t="n"/>
      <c r="AJ1819" s="215" t="n"/>
      <c r="AK1819" s="216" t="n"/>
    </row>
    <row r="1820" ht="15" customHeight="1">
      <c r="B1820" s="134" t="n"/>
      <c r="C1820" s="105" t="n"/>
      <c r="D1820" s="105" t="n"/>
      <c r="E1820" s="105" t="n"/>
      <c r="F1820" s="105" t="n"/>
      <c r="G1820" s="105" t="n"/>
      <c r="H1820" s="2" t="n"/>
      <c r="I1820" s="105" t="n"/>
      <c r="K1820" s="215" t="n"/>
      <c r="L1820" s="215" t="n"/>
      <c r="M1820" s="215" t="n"/>
      <c r="N1820" s="215" t="n"/>
      <c r="O1820" s="215" t="n"/>
      <c r="P1820" s="215" t="n"/>
      <c r="Q1820" s="215" t="n"/>
      <c r="R1820" s="215" t="n"/>
      <c r="S1820" s="215" t="n"/>
      <c r="T1820" s="215" t="n"/>
      <c r="U1820" s="215" t="n"/>
      <c r="V1820" s="215" t="n"/>
      <c r="W1820" s="215" t="n"/>
      <c r="X1820" s="215" t="n"/>
      <c r="Y1820" s="215" t="n"/>
      <c r="Z1820" s="215" t="n"/>
      <c r="AA1820" s="215" t="n"/>
      <c r="AB1820" s="215" t="n"/>
      <c r="AC1820" s="215" t="n"/>
      <c r="AD1820" s="215" t="n"/>
      <c r="AE1820" s="215" t="n"/>
      <c r="AF1820" s="215" t="n"/>
      <c r="AG1820" s="215" t="n"/>
      <c r="AH1820" s="215" t="n"/>
      <c r="AI1820" s="215" t="n"/>
      <c r="AJ1820" s="215" t="n"/>
      <c r="AK1820" s="216" t="n"/>
    </row>
    <row r="1821" ht="15" customHeight="1">
      <c r="B1821" s="134" t="n"/>
      <c r="C1821" s="105" t="n"/>
      <c r="D1821" s="105" t="n"/>
      <c r="E1821" s="105" t="n"/>
      <c r="F1821" s="105" t="n"/>
      <c r="G1821" s="105" t="n"/>
      <c r="H1821" s="2" t="n"/>
      <c r="I1821" s="105" t="n"/>
      <c r="K1821" s="215" t="n"/>
      <c r="L1821" s="215" t="n"/>
      <c r="M1821" s="215" t="n"/>
      <c r="N1821" s="215" t="n"/>
      <c r="O1821" s="215" t="n"/>
      <c r="P1821" s="215" t="n"/>
      <c r="Q1821" s="215" t="n"/>
      <c r="R1821" s="215" t="n"/>
      <c r="S1821" s="215" t="n"/>
      <c r="T1821" s="215" t="n"/>
      <c r="U1821" s="215" t="n"/>
      <c r="V1821" s="215" t="n"/>
      <c r="W1821" s="215" t="n"/>
      <c r="X1821" s="215" t="n"/>
      <c r="Y1821" s="215" t="n"/>
      <c r="Z1821" s="215" t="n"/>
      <c r="AA1821" s="215" t="n"/>
      <c r="AB1821" s="215" t="n"/>
      <c r="AC1821" s="215" t="n"/>
      <c r="AD1821" s="215" t="n"/>
      <c r="AE1821" s="215" t="n"/>
      <c r="AF1821" s="215" t="n"/>
      <c r="AG1821" s="215" t="n"/>
      <c r="AH1821" s="215" t="n"/>
      <c r="AI1821" s="215" t="n"/>
      <c r="AJ1821" s="215" t="n"/>
      <c r="AK1821" s="216" t="n"/>
    </row>
    <row r="1822" ht="15" customHeight="1">
      <c r="B1822" s="134" t="n"/>
      <c r="C1822" s="105" t="n"/>
      <c r="D1822" s="105" t="n"/>
      <c r="E1822" s="105" t="n"/>
      <c r="F1822" s="105" t="n"/>
      <c r="G1822" s="105" t="n"/>
      <c r="H1822" s="2" t="n"/>
      <c r="I1822" s="105" t="n"/>
      <c r="K1822" s="215" t="n"/>
      <c r="L1822" s="215" t="n"/>
      <c r="M1822" s="215" t="n"/>
      <c r="N1822" s="215" t="n"/>
      <c r="O1822" s="215" t="n"/>
      <c r="P1822" s="215" t="n"/>
      <c r="Q1822" s="215" t="n"/>
      <c r="R1822" s="215" t="n"/>
      <c r="S1822" s="215" t="n"/>
      <c r="T1822" s="215" t="n"/>
      <c r="U1822" s="215" t="n"/>
      <c r="V1822" s="215" t="n"/>
      <c r="W1822" s="215" t="n"/>
      <c r="X1822" s="215" t="n"/>
      <c r="Y1822" s="215" t="n"/>
      <c r="Z1822" s="215" t="n"/>
      <c r="AA1822" s="215" t="n"/>
      <c r="AB1822" s="215" t="n"/>
      <c r="AC1822" s="215" t="n"/>
      <c r="AD1822" s="215" t="n"/>
      <c r="AE1822" s="215" t="n"/>
      <c r="AF1822" s="215" t="n"/>
      <c r="AG1822" s="215" t="n"/>
      <c r="AH1822" s="215" t="n"/>
      <c r="AI1822" s="215" t="n"/>
      <c r="AJ1822" s="215" t="n"/>
      <c r="AK1822" s="216" t="n"/>
    </row>
    <row r="1823" ht="15" customHeight="1">
      <c r="B1823" s="134" t="n"/>
      <c r="C1823" s="105" t="n"/>
      <c r="D1823" s="105" t="n"/>
      <c r="E1823" s="105" t="n"/>
      <c r="F1823" s="105" t="n"/>
      <c r="G1823" s="105" t="n"/>
      <c r="H1823" s="2" t="n"/>
      <c r="I1823" s="105" t="n"/>
      <c r="K1823" s="215" t="n"/>
      <c r="L1823" s="215" t="n"/>
      <c r="M1823" s="215" t="n"/>
      <c r="N1823" s="215" t="n"/>
      <c r="O1823" s="215" t="n"/>
      <c r="P1823" s="215" t="n"/>
      <c r="Q1823" s="215" t="n"/>
      <c r="R1823" s="215" t="n"/>
      <c r="S1823" s="215" t="n"/>
      <c r="T1823" s="215" t="n"/>
      <c r="U1823" s="215" t="n"/>
      <c r="V1823" s="215" t="n"/>
      <c r="W1823" s="215" t="n"/>
      <c r="X1823" s="215" t="n"/>
      <c r="Y1823" s="215" t="n"/>
      <c r="Z1823" s="215" t="n"/>
      <c r="AA1823" s="215" t="n"/>
      <c r="AB1823" s="215" t="n"/>
      <c r="AC1823" s="215" t="n"/>
      <c r="AD1823" s="215" t="n"/>
      <c r="AE1823" s="215" t="n"/>
      <c r="AF1823" s="215" t="n"/>
      <c r="AG1823" s="215" t="n"/>
      <c r="AH1823" s="215" t="n"/>
      <c r="AI1823" s="215" t="n"/>
      <c r="AJ1823" s="215" t="n"/>
      <c r="AK1823" s="216" t="n"/>
    </row>
    <row r="1824" ht="15" customHeight="1">
      <c r="B1824" s="134" t="n"/>
      <c r="C1824" s="105" t="n"/>
      <c r="D1824" s="105" t="n"/>
      <c r="E1824" s="105" t="n"/>
      <c r="F1824" s="105" t="n"/>
      <c r="G1824" s="105" t="n"/>
      <c r="H1824" s="2" t="n"/>
      <c r="I1824" s="105" t="n"/>
      <c r="K1824" s="215" t="n"/>
      <c r="L1824" s="215" t="n"/>
      <c r="M1824" s="215" t="n"/>
      <c r="N1824" s="215" t="n"/>
      <c r="O1824" s="215" t="n"/>
      <c r="P1824" s="215" t="n"/>
      <c r="Q1824" s="215" t="n"/>
      <c r="R1824" s="215" t="n"/>
      <c r="S1824" s="215" t="n"/>
      <c r="T1824" s="215" t="n"/>
      <c r="U1824" s="215" t="n"/>
      <c r="V1824" s="215" t="n"/>
      <c r="W1824" s="215" t="n"/>
      <c r="X1824" s="215" t="n"/>
      <c r="Y1824" s="215" t="n"/>
      <c r="Z1824" s="215" t="n"/>
      <c r="AA1824" s="215" t="n"/>
      <c r="AB1824" s="215" t="n"/>
      <c r="AC1824" s="215" t="n"/>
      <c r="AD1824" s="215" t="n"/>
      <c r="AE1824" s="215" t="n"/>
      <c r="AF1824" s="215" t="n"/>
      <c r="AG1824" s="215" t="n"/>
      <c r="AH1824" s="215" t="n"/>
      <c r="AI1824" s="215" t="n"/>
      <c r="AJ1824" s="215" t="n"/>
      <c r="AK1824" s="216" t="n"/>
    </row>
    <row r="1825" ht="15" customHeight="1">
      <c r="B1825" s="134" t="n"/>
      <c r="C1825" s="105" t="n"/>
      <c r="D1825" s="105" t="n"/>
      <c r="E1825" s="105" t="n"/>
      <c r="F1825" s="105" t="n"/>
      <c r="G1825" s="105" t="n"/>
      <c r="H1825" s="2" t="n"/>
      <c r="I1825" s="105" t="n"/>
      <c r="K1825" s="215" t="n"/>
      <c r="L1825" s="215" t="n"/>
      <c r="M1825" s="215" t="n"/>
      <c r="N1825" s="215" t="n"/>
      <c r="O1825" s="215" t="n"/>
      <c r="P1825" s="215" t="n"/>
      <c r="Q1825" s="215" t="n"/>
      <c r="R1825" s="215" t="n"/>
      <c r="S1825" s="215" t="n"/>
      <c r="T1825" s="215" t="n"/>
      <c r="U1825" s="215" t="n"/>
      <c r="V1825" s="215" t="n"/>
      <c r="W1825" s="215" t="n"/>
      <c r="X1825" s="215" t="n"/>
      <c r="Y1825" s="215" t="n"/>
      <c r="Z1825" s="215" t="n"/>
      <c r="AA1825" s="215" t="n"/>
      <c r="AB1825" s="215" t="n"/>
      <c r="AC1825" s="215" t="n"/>
      <c r="AD1825" s="215" t="n"/>
      <c r="AE1825" s="215" t="n"/>
      <c r="AF1825" s="215" t="n"/>
      <c r="AG1825" s="215" t="n"/>
      <c r="AH1825" s="215" t="n"/>
      <c r="AI1825" s="215" t="n"/>
      <c r="AJ1825" s="215" t="n"/>
      <c r="AK1825" s="216" t="n"/>
    </row>
    <row r="1826" ht="15" customHeight="1">
      <c r="B1826" s="134" t="n"/>
      <c r="C1826" s="105" t="n"/>
      <c r="D1826" s="105" t="n"/>
      <c r="E1826" s="105" t="n"/>
      <c r="F1826" s="105" t="n"/>
      <c r="G1826" s="105" t="n"/>
      <c r="H1826" s="2" t="n"/>
      <c r="I1826" s="105" t="n"/>
      <c r="K1826" s="215" t="n"/>
      <c r="L1826" s="215" t="n"/>
      <c r="M1826" s="215" t="n"/>
      <c r="N1826" s="215" t="n"/>
      <c r="O1826" s="215" t="n"/>
      <c r="P1826" s="215" t="n"/>
      <c r="Q1826" s="215" t="n"/>
      <c r="R1826" s="215" t="n"/>
      <c r="S1826" s="215" t="n"/>
      <c r="T1826" s="215" t="n"/>
      <c r="U1826" s="215" t="n"/>
      <c r="V1826" s="215" t="n"/>
      <c r="W1826" s="215" t="n"/>
      <c r="X1826" s="215" t="n"/>
      <c r="Y1826" s="215" t="n"/>
      <c r="Z1826" s="215" t="n"/>
      <c r="AA1826" s="215" t="n"/>
      <c r="AB1826" s="215" t="n"/>
      <c r="AC1826" s="215" t="n"/>
      <c r="AD1826" s="215" t="n"/>
      <c r="AE1826" s="215" t="n"/>
      <c r="AF1826" s="215" t="n"/>
      <c r="AG1826" s="215" t="n"/>
      <c r="AH1826" s="215" t="n"/>
      <c r="AI1826" s="215" t="n"/>
      <c r="AJ1826" s="215" t="n"/>
      <c r="AK1826" s="216" t="n"/>
    </row>
    <row r="1827" ht="15" customHeight="1">
      <c r="B1827" s="134" t="n"/>
      <c r="C1827" s="105" t="n"/>
      <c r="D1827" s="105" t="n"/>
      <c r="E1827" s="105" t="n"/>
      <c r="F1827" s="105" t="n"/>
      <c r="G1827" s="105" t="n"/>
      <c r="H1827" s="2" t="n"/>
      <c r="I1827" s="105" t="n"/>
      <c r="K1827" s="215" t="n"/>
      <c r="L1827" s="215" t="n"/>
      <c r="M1827" s="215" t="n"/>
      <c r="N1827" s="215" t="n"/>
      <c r="O1827" s="215" t="n"/>
      <c r="P1827" s="215" t="n"/>
      <c r="Q1827" s="215" t="n"/>
      <c r="R1827" s="215" t="n"/>
      <c r="S1827" s="215" t="n"/>
      <c r="T1827" s="215" t="n"/>
      <c r="U1827" s="215" t="n"/>
      <c r="V1827" s="215" t="n"/>
      <c r="W1827" s="215" t="n"/>
      <c r="X1827" s="215" t="n"/>
      <c r="Y1827" s="215" t="n"/>
      <c r="Z1827" s="215" t="n"/>
      <c r="AA1827" s="215" t="n"/>
      <c r="AB1827" s="215" t="n"/>
      <c r="AC1827" s="215" t="n"/>
      <c r="AD1827" s="215" t="n"/>
      <c r="AE1827" s="215" t="n"/>
      <c r="AF1827" s="215" t="n"/>
      <c r="AG1827" s="215" t="n"/>
      <c r="AH1827" s="215" t="n"/>
      <c r="AI1827" s="215" t="n"/>
      <c r="AJ1827" s="215" t="n"/>
      <c r="AK1827" s="216" t="n"/>
    </row>
    <row r="1828" ht="15" customHeight="1">
      <c r="B1828" s="134" t="n"/>
      <c r="C1828" s="105" t="n"/>
      <c r="D1828" s="105" t="n"/>
      <c r="E1828" s="105" t="n"/>
      <c r="F1828" s="105" t="n"/>
      <c r="G1828" s="105" t="n"/>
      <c r="H1828" s="2" t="n"/>
      <c r="I1828" s="105" t="n"/>
      <c r="K1828" s="215" t="n"/>
      <c r="L1828" s="215" t="n"/>
      <c r="M1828" s="215" t="n"/>
      <c r="N1828" s="215" t="n"/>
      <c r="O1828" s="215" t="n"/>
      <c r="P1828" s="215" t="n"/>
      <c r="Q1828" s="215" t="n"/>
      <c r="R1828" s="215" t="n"/>
      <c r="S1828" s="215" t="n"/>
      <c r="T1828" s="215" t="n"/>
      <c r="U1828" s="215" t="n"/>
      <c r="V1828" s="215" t="n"/>
      <c r="W1828" s="215" t="n"/>
      <c r="X1828" s="215" t="n"/>
      <c r="Y1828" s="215" t="n"/>
      <c r="Z1828" s="215" t="n"/>
      <c r="AA1828" s="215" t="n"/>
      <c r="AB1828" s="215" t="n"/>
      <c r="AC1828" s="215" t="n"/>
      <c r="AD1828" s="215" t="n"/>
      <c r="AE1828" s="215" t="n"/>
      <c r="AF1828" s="215" t="n"/>
      <c r="AG1828" s="215" t="n"/>
      <c r="AH1828" s="215" t="n"/>
      <c r="AI1828" s="215" t="n"/>
      <c r="AJ1828" s="215" t="n"/>
      <c r="AK1828" s="216" t="n"/>
    </row>
    <row r="1829" ht="15" customHeight="1">
      <c r="B1829" s="134" t="n"/>
      <c r="C1829" s="105" t="n"/>
      <c r="D1829" s="105" t="n"/>
      <c r="E1829" s="105" t="n"/>
      <c r="F1829" s="105" t="n"/>
      <c r="G1829" s="105" t="n"/>
      <c r="H1829" s="2" t="n"/>
      <c r="I1829" s="105" t="n"/>
      <c r="K1829" s="215" t="n"/>
      <c r="L1829" s="215" t="n"/>
      <c r="M1829" s="215" t="n"/>
      <c r="N1829" s="215" t="n"/>
      <c r="O1829" s="215" t="n"/>
      <c r="P1829" s="215" t="n"/>
      <c r="Q1829" s="215" t="n"/>
      <c r="R1829" s="215" t="n"/>
      <c r="S1829" s="215" t="n"/>
      <c r="T1829" s="215" t="n"/>
      <c r="U1829" s="215" t="n"/>
      <c r="V1829" s="215" t="n"/>
      <c r="W1829" s="215" t="n"/>
      <c r="X1829" s="215" t="n"/>
      <c r="Y1829" s="215" t="n"/>
      <c r="Z1829" s="215" t="n"/>
      <c r="AA1829" s="215" t="n"/>
      <c r="AB1829" s="215" t="n"/>
      <c r="AC1829" s="215" t="n"/>
      <c r="AD1829" s="215" t="n"/>
      <c r="AE1829" s="215" t="n"/>
      <c r="AF1829" s="215" t="n"/>
      <c r="AG1829" s="215" t="n"/>
      <c r="AH1829" s="215" t="n"/>
      <c r="AI1829" s="215" t="n"/>
      <c r="AJ1829" s="215" t="n"/>
      <c r="AK1829" s="216" t="n"/>
    </row>
    <row r="1830" ht="15" customHeight="1">
      <c r="B1830" s="134" t="n"/>
      <c r="C1830" s="105" t="n"/>
      <c r="D1830" s="105" t="n"/>
      <c r="E1830" s="105" t="n"/>
      <c r="F1830" s="105" t="n"/>
      <c r="G1830" s="105" t="n"/>
      <c r="H1830" s="2" t="n"/>
      <c r="I1830" s="105" t="n"/>
      <c r="K1830" s="215" t="n"/>
      <c r="L1830" s="215" t="n"/>
      <c r="M1830" s="215" t="n"/>
      <c r="N1830" s="215" t="n"/>
      <c r="O1830" s="215" t="n"/>
      <c r="P1830" s="215" t="n"/>
      <c r="Q1830" s="215" t="n"/>
      <c r="R1830" s="215" t="n"/>
      <c r="S1830" s="215" t="n"/>
      <c r="T1830" s="215" t="n"/>
      <c r="U1830" s="215" t="n"/>
      <c r="V1830" s="215" t="n"/>
      <c r="W1830" s="215" t="n"/>
      <c r="X1830" s="215" t="n"/>
      <c r="Y1830" s="215" t="n"/>
      <c r="Z1830" s="215" t="n"/>
      <c r="AA1830" s="215" t="n"/>
      <c r="AB1830" s="215" t="n"/>
      <c r="AC1830" s="215" t="n"/>
      <c r="AD1830" s="215" t="n"/>
      <c r="AE1830" s="215" t="n"/>
      <c r="AF1830" s="215" t="n"/>
      <c r="AG1830" s="215" t="n"/>
      <c r="AH1830" s="215" t="n"/>
      <c r="AI1830" s="215" t="n"/>
      <c r="AJ1830" s="215" t="n"/>
      <c r="AK1830" s="216" t="n"/>
    </row>
    <row r="1831" ht="15" customHeight="1">
      <c r="B1831" s="134" t="n"/>
      <c r="C1831" s="105" t="n"/>
      <c r="D1831" s="105" t="n"/>
      <c r="E1831" s="105" t="n"/>
      <c r="F1831" s="105" t="n"/>
      <c r="G1831" s="105" t="n"/>
      <c r="H1831" s="2" t="n"/>
      <c r="I1831" s="105" t="n"/>
      <c r="K1831" s="215" t="n"/>
      <c r="L1831" s="215" t="n"/>
      <c r="M1831" s="215" t="n"/>
      <c r="N1831" s="215" t="n"/>
      <c r="O1831" s="215" t="n"/>
      <c r="P1831" s="215" t="n"/>
      <c r="Q1831" s="215" t="n"/>
      <c r="R1831" s="215" t="n"/>
      <c r="S1831" s="215" t="n"/>
      <c r="T1831" s="215" t="n"/>
      <c r="U1831" s="215" t="n"/>
      <c r="V1831" s="215" t="n"/>
      <c r="W1831" s="215" t="n"/>
      <c r="X1831" s="215" t="n"/>
      <c r="Y1831" s="215" t="n"/>
      <c r="Z1831" s="215" t="n"/>
      <c r="AA1831" s="215" t="n"/>
      <c r="AB1831" s="215" t="n"/>
      <c r="AC1831" s="215" t="n"/>
      <c r="AD1831" s="215" t="n"/>
      <c r="AE1831" s="215" t="n"/>
      <c r="AF1831" s="215" t="n"/>
      <c r="AG1831" s="215" t="n"/>
      <c r="AH1831" s="215" t="n"/>
      <c r="AI1831" s="215" t="n"/>
      <c r="AJ1831" s="215" t="n"/>
      <c r="AK1831" s="216" t="n"/>
    </row>
    <row r="1832" ht="15" customHeight="1">
      <c r="B1832" s="134" t="n"/>
      <c r="C1832" s="105" t="n"/>
      <c r="D1832" s="105" t="n"/>
      <c r="E1832" s="105" t="n"/>
      <c r="F1832" s="105" t="n"/>
      <c r="G1832" s="105" t="n"/>
      <c r="H1832" s="2" t="n"/>
      <c r="I1832" s="105" t="n"/>
      <c r="K1832" s="215" t="n"/>
      <c r="L1832" s="215" t="n"/>
      <c r="M1832" s="215" t="n"/>
      <c r="N1832" s="215" t="n"/>
      <c r="O1832" s="215" t="n"/>
      <c r="P1832" s="215" t="n"/>
      <c r="Q1832" s="215" t="n"/>
      <c r="R1832" s="215" t="n"/>
      <c r="S1832" s="215" t="n"/>
      <c r="T1832" s="215" t="n"/>
      <c r="U1832" s="215" t="n"/>
      <c r="V1832" s="215" t="n"/>
      <c r="W1832" s="215" t="n"/>
      <c r="X1832" s="215" t="n"/>
      <c r="Y1832" s="215" t="n"/>
      <c r="Z1832" s="215" t="n"/>
      <c r="AA1832" s="215" t="n"/>
      <c r="AB1832" s="215" t="n"/>
      <c r="AC1832" s="215" t="n"/>
      <c r="AD1832" s="215" t="n"/>
      <c r="AE1832" s="215" t="n"/>
      <c r="AF1832" s="215" t="n"/>
      <c r="AG1832" s="215" t="n"/>
      <c r="AH1832" s="215" t="n"/>
      <c r="AI1832" s="215" t="n"/>
      <c r="AJ1832" s="215" t="n"/>
      <c r="AK1832" s="216" t="n"/>
    </row>
    <row r="1833" ht="15" customHeight="1">
      <c r="B1833" s="134" t="n"/>
      <c r="C1833" s="105" t="n"/>
      <c r="D1833" s="105" t="n"/>
      <c r="E1833" s="105" t="n"/>
      <c r="F1833" s="105" t="n"/>
      <c r="G1833" s="105" t="n"/>
      <c r="H1833" s="2" t="n"/>
      <c r="I1833" s="105" t="n"/>
      <c r="K1833" s="215" t="n"/>
      <c r="L1833" s="215" t="n"/>
      <c r="M1833" s="215" t="n"/>
      <c r="N1833" s="215" t="n"/>
      <c r="O1833" s="215" t="n"/>
      <c r="P1833" s="215" t="n"/>
      <c r="Q1833" s="215" t="n"/>
      <c r="R1833" s="215" t="n"/>
      <c r="S1833" s="215" t="n"/>
      <c r="T1833" s="215" t="n"/>
      <c r="U1833" s="215" t="n"/>
      <c r="V1833" s="215" t="n"/>
      <c r="W1833" s="215" t="n"/>
      <c r="X1833" s="215" t="n"/>
      <c r="Y1833" s="215" t="n"/>
      <c r="Z1833" s="215" t="n"/>
      <c r="AA1833" s="215" t="n"/>
      <c r="AB1833" s="215" t="n"/>
      <c r="AC1833" s="215" t="n"/>
      <c r="AD1833" s="215" t="n"/>
      <c r="AE1833" s="215" t="n"/>
      <c r="AF1833" s="215" t="n"/>
      <c r="AG1833" s="215" t="n"/>
      <c r="AH1833" s="215" t="n"/>
      <c r="AI1833" s="215" t="n"/>
      <c r="AJ1833" s="215" t="n"/>
      <c r="AK1833" s="216" t="n"/>
    </row>
    <row r="1834" ht="15" customHeight="1">
      <c r="B1834" s="134" t="n"/>
      <c r="C1834" s="105" t="n"/>
      <c r="D1834" s="105" t="n"/>
      <c r="E1834" s="105" t="n"/>
      <c r="F1834" s="105" t="n"/>
      <c r="G1834" s="105" t="n"/>
      <c r="H1834" s="2" t="n"/>
      <c r="I1834" s="105" t="n"/>
      <c r="K1834" s="215" t="n"/>
      <c r="L1834" s="215" t="n"/>
      <c r="M1834" s="215" t="n"/>
      <c r="N1834" s="215" t="n"/>
      <c r="O1834" s="215" t="n"/>
      <c r="P1834" s="215" t="n"/>
      <c r="Q1834" s="215" t="n"/>
      <c r="R1834" s="215" t="n"/>
      <c r="S1834" s="215" t="n"/>
      <c r="T1834" s="215" t="n"/>
      <c r="U1834" s="215" t="n"/>
      <c r="V1834" s="215" t="n"/>
      <c r="W1834" s="215" t="n"/>
      <c r="X1834" s="215" t="n"/>
      <c r="Y1834" s="215" t="n"/>
      <c r="Z1834" s="215" t="n"/>
      <c r="AA1834" s="215" t="n"/>
      <c r="AB1834" s="215" t="n"/>
      <c r="AC1834" s="215" t="n"/>
      <c r="AD1834" s="215" t="n"/>
      <c r="AE1834" s="215" t="n"/>
      <c r="AF1834" s="215" t="n"/>
      <c r="AG1834" s="215" t="n"/>
      <c r="AH1834" s="215" t="n"/>
      <c r="AI1834" s="215" t="n"/>
      <c r="AJ1834" s="215" t="n"/>
      <c r="AK1834" s="216" t="n"/>
    </row>
    <row r="1835" ht="15" customHeight="1">
      <c r="B1835" s="134" t="n"/>
      <c r="C1835" s="105" t="n"/>
      <c r="D1835" s="105" t="n"/>
      <c r="E1835" s="105" t="n"/>
      <c r="F1835" s="105" t="n"/>
      <c r="G1835" s="105" t="n"/>
      <c r="H1835" s="2" t="n"/>
      <c r="I1835" s="105" t="n"/>
      <c r="K1835" s="215" t="n"/>
      <c r="L1835" s="215" t="n"/>
      <c r="M1835" s="215" t="n"/>
      <c r="N1835" s="215" t="n"/>
      <c r="O1835" s="215" t="n"/>
      <c r="P1835" s="215" t="n"/>
      <c r="Q1835" s="215" t="n"/>
      <c r="R1835" s="215" t="n"/>
      <c r="S1835" s="215" t="n"/>
      <c r="T1835" s="215" t="n"/>
      <c r="U1835" s="215" t="n"/>
      <c r="V1835" s="215" t="n"/>
      <c r="W1835" s="215" t="n"/>
      <c r="X1835" s="215" t="n"/>
      <c r="Y1835" s="215" t="n"/>
      <c r="Z1835" s="215" t="n"/>
      <c r="AA1835" s="215" t="n"/>
      <c r="AB1835" s="215" t="n"/>
      <c r="AC1835" s="215" t="n"/>
      <c r="AD1835" s="215" t="n"/>
      <c r="AE1835" s="215" t="n"/>
      <c r="AF1835" s="215" t="n"/>
      <c r="AG1835" s="215" t="n"/>
      <c r="AH1835" s="215" t="n"/>
      <c r="AI1835" s="215" t="n"/>
      <c r="AJ1835" s="215" t="n"/>
      <c r="AK1835" s="216" t="n"/>
    </row>
    <row r="1836" ht="15" customHeight="1">
      <c r="B1836" s="134" t="n"/>
      <c r="C1836" s="105" t="n"/>
      <c r="D1836" s="105" t="n"/>
      <c r="E1836" s="105" t="n"/>
      <c r="F1836" s="105" t="n"/>
      <c r="G1836" s="105" t="n"/>
      <c r="H1836" s="2" t="n"/>
      <c r="I1836" s="105" t="n"/>
      <c r="K1836" s="215" t="n"/>
      <c r="L1836" s="215" t="n"/>
      <c r="M1836" s="215" t="n"/>
      <c r="N1836" s="215" t="n"/>
      <c r="O1836" s="215" t="n"/>
      <c r="P1836" s="215" t="n"/>
      <c r="Q1836" s="215" t="n"/>
      <c r="R1836" s="215" t="n"/>
      <c r="S1836" s="215" t="n"/>
      <c r="T1836" s="215" t="n"/>
      <c r="U1836" s="215" t="n"/>
      <c r="V1836" s="215" t="n"/>
      <c r="W1836" s="215" t="n"/>
      <c r="X1836" s="215" t="n"/>
      <c r="Y1836" s="215" t="n"/>
      <c r="Z1836" s="215" t="n"/>
      <c r="AA1836" s="215" t="n"/>
      <c r="AB1836" s="215" t="n"/>
      <c r="AC1836" s="215" t="n"/>
      <c r="AD1836" s="215" t="n"/>
      <c r="AE1836" s="215" t="n"/>
      <c r="AF1836" s="215" t="n"/>
      <c r="AG1836" s="215" t="n"/>
      <c r="AH1836" s="215" t="n"/>
      <c r="AI1836" s="215" t="n"/>
      <c r="AJ1836" s="215" t="n"/>
      <c r="AK1836" s="216" t="n"/>
    </row>
    <row r="1837" ht="15" customHeight="1">
      <c r="B1837" s="134" t="n"/>
      <c r="C1837" s="105" t="n"/>
      <c r="D1837" s="105" t="n"/>
      <c r="E1837" s="105" t="n"/>
      <c r="F1837" s="105" t="n"/>
      <c r="G1837" s="105" t="n"/>
      <c r="H1837" s="2" t="n"/>
      <c r="I1837" s="105" t="n"/>
      <c r="K1837" s="215" t="n"/>
      <c r="L1837" s="215" t="n"/>
      <c r="M1837" s="215" t="n"/>
      <c r="N1837" s="215" t="n"/>
      <c r="O1837" s="215" t="n"/>
      <c r="P1837" s="215" t="n"/>
      <c r="Q1837" s="215" t="n"/>
      <c r="R1837" s="215" t="n"/>
      <c r="S1837" s="215" t="n"/>
      <c r="T1837" s="215" t="n"/>
      <c r="U1837" s="215" t="n"/>
      <c r="V1837" s="215" t="n"/>
      <c r="W1837" s="215" t="n"/>
      <c r="X1837" s="215" t="n"/>
      <c r="Y1837" s="215" t="n"/>
      <c r="Z1837" s="215" t="n"/>
      <c r="AA1837" s="215" t="n"/>
      <c r="AB1837" s="215" t="n"/>
      <c r="AC1837" s="215" t="n"/>
      <c r="AD1837" s="215" t="n"/>
      <c r="AE1837" s="215" t="n"/>
      <c r="AF1837" s="215" t="n"/>
      <c r="AG1837" s="215" t="n"/>
      <c r="AH1837" s="215" t="n"/>
      <c r="AI1837" s="215" t="n"/>
      <c r="AJ1837" s="215" t="n"/>
      <c r="AK1837" s="216" t="n"/>
    </row>
    <row r="1838" ht="15" customHeight="1">
      <c r="B1838" s="134" t="n"/>
      <c r="C1838" s="105" t="n"/>
      <c r="D1838" s="105" t="n"/>
      <c r="E1838" s="105" t="n"/>
      <c r="F1838" s="105" t="n"/>
      <c r="G1838" s="105" t="n"/>
      <c r="H1838" s="2" t="n"/>
      <c r="I1838" s="105" t="n"/>
      <c r="K1838" s="215" t="n"/>
      <c r="L1838" s="215" t="n"/>
      <c r="M1838" s="215" t="n"/>
      <c r="N1838" s="215" t="n"/>
      <c r="O1838" s="215" t="n"/>
      <c r="P1838" s="215" t="n"/>
      <c r="Q1838" s="215" t="n"/>
      <c r="R1838" s="215" t="n"/>
      <c r="S1838" s="215" t="n"/>
      <c r="T1838" s="215" t="n"/>
      <c r="U1838" s="215" t="n"/>
      <c r="V1838" s="215" t="n"/>
      <c r="W1838" s="215" t="n"/>
      <c r="X1838" s="215" t="n"/>
      <c r="Y1838" s="215" t="n"/>
      <c r="Z1838" s="215" t="n"/>
      <c r="AA1838" s="215" t="n"/>
      <c r="AB1838" s="215" t="n"/>
      <c r="AC1838" s="215" t="n"/>
      <c r="AD1838" s="215" t="n"/>
      <c r="AE1838" s="215" t="n"/>
      <c r="AF1838" s="215" t="n"/>
      <c r="AG1838" s="215" t="n"/>
      <c r="AH1838" s="215" t="n"/>
      <c r="AI1838" s="215" t="n"/>
      <c r="AJ1838" s="215" t="n"/>
      <c r="AK1838" s="216" t="n"/>
    </row>
    <row r="1839" ht="15" customHeight="1">
      <c r="B1839" s="134" t="n"/>
      <c r="C1839" s="105" t="n"/>
      <c r="D1839" s="105" t="n"/>
      <c r="E1839" s="105" t="n"/>
      <c r="F1839" s="105" t="n"/>
      <c r="G1839" s="105" t="n"/>
      <c r="H1839" s="2" t="n"/>
      <c r="I1839" s="105" t="n"/>
      <c r="K1839" s="215" t="n"/>
      <c r="L1839" s="215" t="n"/>
      <c r="M1839" s="215" t="n"/>
      <c r="N1839" s="215" t="n"/>
      <c r="O1839" s="215" t="n"/>
      <c r="P1839" s="215" t="n"/>
      <c r="Q1839" s="215" t="n"/>
      <c r="R1839" s="215" t="n"/>
      <c r="S1839" s="215" t="n"/>
      <c r="T1839" s="215" t="n"/>
      <c r="U1839" s="215" t="n"/>
      <c r="V1839" s="215" t="n"/>
      <c r="W1839" s="215" t="n"/>
      <c r="X1839" s="215" t="n"/>
      <c r="Y1839" s="215" t="n"/>
      <c r="Z1839" s="215" t="n"/>
      <c r="AA1839" s="215" t="n"/>
      <c r="AB1839" s="215" t="n"/>
      <c r="AC1839" s="215" t="n"/>
      <c r="AD1839" s="215" t="n"/>
      <c r="AE1839" s="215" t="n"/>
      <c r="AF1839" s="215" t="n"/>
      <c r="AG1839" s="215" t="n"/>
      <c r="AH1839" s="215" t="n"/>
      <c r="AI1839" s="215" t="n"/>
      <c r="AJ1839" s="215" t="n"/>
      <c r="AK1839" s="216" t="n"/>
    </row>
    <row r="1840" ht="15" customHeight="1">
      <c r="B1840" s="134" t="n"/>
      <c r="C1840" s="105" t="n"/>
      <c r="D1840" s="105" t="n"/>
      <c r="E1840" s="105" t="n"/>
      <c r="F1840" s="105" t="n"/>
      <c r="G1840" s="105" t="n"/>
      <c r="H1840" s="2" t="n"/>
      <c r="I1840" s="105" t="n"/>
      <c r="K1840" s="215" t="n"/>
      <c r="L1840" s="215" t="n"/>
      <c r="M1840" s="215" t="n"/>
      <c r="N1840" s="215" t="n"/>
      <c r="O1840" s="215" t="n"/>
      <c r="P1840" s="215" t="n"/>
      <c r="Q1840" s="215" t="n"/>
      <c r="R1840" s="215" t="n"/>
      <c r="S1840" s="215" t="n"/>
      <c r="T1840" s="215" t="n"/>
      <c r="U1840" s="215" t="n"/>
      <c r="V1840" s="215" t="n"/>
      <c r="W1840" s="215" t="n"/>
      <c r="X1840" s="215" t="n"/>
      <c r="Y1840" s="215" t="n"/>
      <c r="Z1840" s="215" t="n"/>
      <c r="AA1840" s="215" t="n"/>
      <c r="AB1840" s="215" t="n"/>
      <c r="AC1840" s="215" t="n"/>
      <c r="AD1840" s="215" t="n"/>
      <c r="AE1840" s="215" t="n"/>
      <c r="AF1840" s="215" t="n"/>
      <c r="AG1840" s="215" t="n"/>
      <c r="AH1840" s="215" t="n"/>
      <c r="AI1840" s="215" t="n"/>
      <c r="AJ1840" s="215" t="n"/>
      <c r="AK1840" s="216" t="n"/>
    </row>
    <row r="1841" ht="15" customHeight="1">
      <c r="B1841" s="134" t="n"/>
      <c r="C1841" s="105" t="n"/>
      <c r="D1841" s="105" t="n"/>
      <c r="E1841" s="105" t="n"/>
      <c r="F1841" s="105" t="n"/>
      <c r="G1841" s="105" t="n"/>
      <c r="H1841" s="2" t="n"/>
      <c r="I1841" s="105" t="n"/>
      <c r="K1841" s="215" t="n"/>
      <c r="L1841" s="215" t="n"/>
      <c r="M1841" s="215" t="n"/>
      <c r="N1841" s="215" t="n"/>
      <c r="O1841" s="215" t="n"/>
      <c r="P1841" s="215" t="n"/>
      <c r="Q1841" s="215" t="n"/>
      <c r="R1841" s="215" t="n"/>
      <c r="S1841" s="215" t="n"/>
      <c r="T1841" s="215" t="n"/>
      <c r="U1841" s="215" t="n"/>
      <c r="V1841" s="215" t="n"/>
      <c r="W1841" s="215" t="n"/>
      <c r="X1841" s="215" t="n"/>
      <c r="Y1841" s="215" t="n"/>
      <c r="Z1841" s="215" t="n"/>
      <c r="AA1841" s="215" t="n"/>
      <c r="AB1841" s="215" t="n"/>
      <c r="AC1841" s="215" t="n"/>
      <c r="AD1841" s="215" t="n"/>
      <c r="AE1841" s="215" t="n"/>
      <c r="AF1841" s="215" t="n"/>
      <c r="AG1841" s="215" t="n"/>
      <c r="AH1841" s="215" t="n"/>
      <c r="AI1841" s="215" t="n"/>
      <c r="AJ1841" s="215" t="n"/>
      <c r="AK1841" s="216" t="n"/>
    </row>
    <row r="1842" ht="15" customHeight="1">
      <c r="B1842" s="134" t="n"/>
      <c r="C1842" s="105" t="n"/>
      <c r="D1842" s="105" t="n"/>
      <c r="E1842" s="105" t="n"/>
      <c r="F1842" s="105" t="n"/>
      <c r="G1842" s="105" t="n"/>
      <c r="H1842" s="2" t="n"/>
      <c r="I1842" s="105" t="n"/>
      <c r="K1842" s="215" t="n"/>
      <c r="L1842" s="215" t="n"/>
      <c r="M1842" s="215" t="n"/>
      <c r="N1842" s="215" t="n"/>
      <c r="O1842" s="215" t="n"/>
      <c r="P1842" s="215" t="n"/>
      <c r="Q1842" s="215" t="n"/>
      <c r="R1842" s="215" t="n"/>
      <c r="S1842" s="215" t="n"/>
      <c r="T1842" s="215" t="n"/>
      <c r="U1842" s="215" t="n"/>
      <c r="V1842" s="215" t="n"/>
      <c r="W1842" s="215" t="n"/>
      <c r="X1842" s="215" t="n"/>
      <c r="Y1842" s="215" t="n"/>
      <c r="Z1842" s="215" t="n"/>
      <c r="AA1842" s="215" t="n"/>
      <c r="AB1842" s="215" t="n"/>
      <c r="AC1842" s="215" t="n"/>
      <c r="AD1842" s="215" t="n"/>
      <c r="AE1842" s="215" t="n"/>
      <c r="AF1842" s="215" t="n"/>
      <c r="AG1842" s="215" t="n"/>
      <c r="AH1842" s="215" t="n"/>
      <c r="AI1842" s="215" t="n"/>
      <c r="AJ1842" s="215" t="n"/>
      <c r="AK1842" s="216" t="n"/>
    </row>
    <row r="1843" ht="15" customHeight="1">
      <c r="B1843" s="134" t="n"/>
      <c r="C1843" s="105" t="n"/>
      <c r="D1843" s="105" t="n"/>
      <c r="E1843" s="105" t="n"/>
      <c r="F1843" s="105" t="n"/>
      <c r="G1843" s="105" t="n"/>
      <c r="H1843" s="2" t="n"/>
      <c r="I1843" s="105" t="n"/>
      <c r="K1843" s="215" t="n"/>
      <c r="L1843" s="215" t="n"/>
      <c r="M1843" s="215" t="n"/>
      <c r="N1843" s="215" t="n"/>
      <c r="O1843" s="215" t="n"/>
      <c r="P1843" s="215" t="n"/>
      <c r="Q1843" s="215" t="n"/>
      <c r="R1843" s="215" t="n"/>
      <c r="S1843" s="215" t="n"/>
      <c r="T1843" s="215" t="n"/>
      <c r="U1843" s="215" t="n"/>
      <c r="V1843" s="215" t="n"/>
      <c r="W1843" s="215" t="n"/>
      <c r="X1843" s="215" t="n"/>
      <c r="Y1843" s="215" t="n"/>
      <c r="Z1843" s="215" t="n"/>
      <c r="AA1843" s="215" t="n"/>
      <c r="AB1843" s="215" t="n"/>
      <c r="AC1843" s="215" t="n"/>
      <c r="AD1843" s="215" t="n"/>
      <c r="AE1843" s="215" t="n"/>
      <c r="AF1843" s="215" t="n"/>
      <c r="AG1843" s="215" t="n"/>
      <c r="AH1843" s="215" t="n"/>
      <c r="AI1843" s="215" t="n"/>
      <c r="AJ1843" s="215" t="n"/>
      <c r="AK1843" s="216" t="n"/>
    </row>
    <row r="1844" ht="15" customHeight="1">
      <c r="B1844" s="134" t="n"/>
      <c r="C1844" s="105" t="n"/>
      <c r="D1844" s="105" t="n"/>
      <c r="E1844" s="105" t="n"/>
      <c r="F1844" s="105" t="n"/>
      <c r="G1844" s="105" t="n"/>
      <c r="H1844" s="2" t="n"/>
      <c r="I1844" s="105" t="n"/>
      <c r="K1844" s="215" t="n"/>
      <c r="L1844" s="215" t="n"/>
      <c r="M1844" s="215" t="n"/>
      <c r="N1844" s="215" t="n"/>
      <c r="O1844" s="215" t="n"/>
      <c r="P1844" s="215" t="n"/>
      <c r="Q1844" s="215" t="n"/>
      <c r="R1844" s="215" t="n"/>
      <c r="S1844" s="215" t="n"/>
      <c r="T1844" s="215" t="n"/>
      <c r="U1844" s="215" t="n"/>
      <c r="V1844" s="215" t="n"/>
      <c r="W1844" s="215" t="n"/>
      <c r="X1844" s="215" t="n"/>
      <c r="Y1844" s="215" t="n"/>
      <c r="Z1844" s="215" t="n"/>
      <c r="AA1844" s="215" t="n"/>
      <c r="AB1844" s="215" t="n"/>
      <c r="AC1844" s="215" t="n"/>
      <c r="AD1844" s="215" t="n"/>
      <c r="AE1844" s="215" t="n"/>
      <c r="AF1844" s="215" t="n"/>
      <c r="AG1844" s="215" t="n"/>
      <c r="AH1844" s="215" t="n"/>
      <c r="AI1844" s="215" t="n"/>
      <c r="AJ1844" s="215" t="n"/>
      <c r="AK1844" s="216" t="n"/>
    </row>
    <row r="1845" ht="15" customHeight="1">
      <c r="B1845" s="134" t="n"/>
      <c r="C1845" s="105" t="n"/>
      <c r="D1845" s="105" t="n"/>
      <c r="E1845" s="105" t="n"/>
      <c r="F1845" s="105" t="n"/>
      <c r="G1845" s="105" t="n"/>
      <c r="H1845" s="2" t="n"/>
      <c r="I1845" s="105" t="n"/>
      <c r="K1845" s="215" t="n"/>
      <c r="L1845" s="215" t="n"/>
      <c r="M1845" s="215" t="n"/>
      <c r="N1845" s="215" t="n"/>
      <c r="O1845" s="215" t="n"/>
      <c r="P1845" s="215" t="n"/>
      <c r="Q1845" s="215" t="n"/>
      <c r="R1845" s="215" t="n"/>
      <c r="S1845" s="215" t="n"/>
      <c r="T1845" s="215" t="n"/>
      <c r="U1845" s="215" t="n"/>
      <c r="V1845" s="215" t="n"/>
      <c r="W1845" s="215" t="n"/>
      <c r="X1845" s="215" t="n"/>
      <c r="Y1845" s="215" t="n"/>
      <c r="Z1845" s="215" t="n"/>
      <c r="AA1845" s="215" t="n"/>
      <c r="AB1845" s="215" t="n"/>
      <c r="AC1845" s="215" t="n"/>
      <c r="AD1845" s="215" t="n"/>
      <c r="AE1845" s="215" t="n"/>
      <c r="AF1845" s="215" t="n"/>
      <c r="AG1845" s="215" t="n"/>
      <c r="AH1845" s="215" t="n"/>
      <c r="AI1845" s="215" t="n"/>
      <c r="AJ1845" s="215" t="n"/>
      <c r="AK1845" s="216" t="n"/>
    </row>
    <row r="1846" ht="15" customHeight="1">
      <c r="B1846" s="134" t="n"/>
      <c r="C1846" s="105" t="n"/>
      <c r="D1846" s="105" t="n"/>
      <c r="E1846" s="105" t="n"/>
      <c r="F1846" s="105" t="n"/>
      <c r="G1846" s="105" t="n"/>
      <c r="H1846" s="2" t="n"/>
      <c r="I1846" s="105" t="n"/>
      <c r="K1846" s="215" t="n"/>
      <c r="L1846" s="215" t="n"/>
      <c r="M1846" s="215" t="n"/>
      <c r="N1846" s="215" t="n"/>
      <c r="O1846" s="215" t="n"/>
      <c r="P1846" s="215" t="n"/>
      <c r="Q1846" s="215" t="n"/>
      <c r="R1846" s="215" t="n"/>
      <c r="S1846" s="215" t="n"/>
      <c r="T1846" s="215" t="n"/>
      <c r="U1846" s="215" t="n"/>
      <c r="V1846" s="215" t="n"/>
      <c r="W1846" s="215" t="n"/>
      <c r="X1846" s="215" t="n"/>
      <c r="Y1846" s="215" t="n"/>
      <c r="Z1846" s="215" t="n"/>
      <c r="AA1846" s="215" t="n"/>
      <c r="AB1846" s="215" t="n"/>
      <c r="AC1846" s="215" t="n"/>
      <c r="AD1846" s="215" t="n"/>
      <c r="AE1846" s="215" t="n"/>
      <c r="AF1846" s="215" t="n"/>
      <c r="AG1846" s="215" t="n"/>
      <c r="AH1846" s="215" t="n"/>
      <c r="AI1846" s="215" t="n"/>
      <c r="AJ1846" s="215" t="n"/>
      <c r="AK1846" s="216" t="n"/>
    </row>
    <row r="1847" ht="15" customHeight="1">
      <c r="B1847" s="134" t="n"/>
      <c r="C1847" s="105" t="n"/>
      <c r="D1847" s="105" t="n"/>
      <c r="E1847" s="105" t="n"/>
      <c r="F1847" s="105" t="n"/>
      <c r="G1847" s="105" t="n"/>
      <c r="H1847" s="2" t="n"/>
      <c r="I1847" s="105" t="n"/>
      <c r="K1847" s="215" t="n"/>
      <c r="L1847" s="215" t="n"/>
      <c r="M1847" s="215" t="n"/>
      <c r="N1847" s="215" t="n"/>
      <c r="O1847" s="215" t="n"/>
      <c r="P1847" s="215" t="n"/>
      <c r="Q1847" s="215" t="n"/>
      <c r="R1847" s="215" t="n"/>
      <c r="S1847" s="215" t="n"/>
      <c r="T1847" s="215" t="n"/>
      <c r="U1847" s="215" t="n"/>
      <c r="V1847" s="215" t="n"/>
      <c r="W1847" s="215" t="n"/>
      <c r="X1847" s="215" t="n"/>
      <c r="Y1847" s="215" t="n"/>
      <c r="Z1847" s="215" t="n"/>
      <c r="AA1847" s="215" t="n"/>
      <c r="AB1847" s="215" t="n"/>
      <c r="AC1847" s="215" t="n"/>
      <c r="AD1847" s="215" t="n"/>
      <c r="AE1847" s="215" t="n"/>
      <c r="AF1847" s="215" t="n"/>
      <c r="AG1847" s="215" t="n"/>
      <c r="AH1847" s="215" t="n"/>
      <c r="AI1847" s="215" t="n"/>
      <c r="AJ1847" s="215" t="n"/>
      <c r="AK1847" s="216" t="n"/>
    </row>
    <row r="1848" ht="15" customHeight="1">
      <c r="B1848" s="134" t="n"/>
      <c r="C1848" s="105" t="n"/>
      <c r="D1848" s="105" t="n"/>
      <c r="E1848" s="105" t="n"/>
      <c r="F1848" s="105" t="n"/>
      <c r="G1848" s="105" t="n"/>
      <c r="H1848" s="2" t="n"/>
      <c r="I1848" s="105" t="n"/>
      <c r="K1848" s="215" t="n"/>
      <c r="L1848" s="215" t="n"/>
      <c r="M1848" s="215" t="n"/>
      <c r="N1848" s="215" t="n"/>
      <c r="O1848" s="215" t="n"/>
      <c r="P1848" s="215" t="n"/>
      <c r="Q1848" s="215" t="n"/>
      <c r="R1848" s="215" t="n"/>
      <c r="S1848" s="215" t="n"/>
      <c r="T1848" s="215" t="n"/>
      <c r="U1848" s="215" t="n"/>
      <c r="V1848" s="215" t="n"/>
      <c r="W1848" s="215" t="n"/>
      <c r="X1848" s="215" t="n"/>
      <c r="Y1848" s="215" t="n"/>
      <c r="Z1848" s="215" t="n"/>
      <c r="AA1848" s="215" t="n"/>
      <c r="AB1848" s="215" t="n"/>
      <c r="AC1848" s="215" t="n"/>
      <c r="AD1848" s="215" t="n"/>
      <c r="AE1848" s="215" t="n"/>
      <c r="AF1848" s="215" t="n"/>
      <c r="AG1848" s="215" t="n"/>
      <c r="AH1848" s="215" t="n"/>
      <c r="AI1848" s="215" t="n"/>
      <c r="AJ1848" s="215" t="n"/>
      <c r="AK1848" s="216" t="n"/>
    </row>
    <row r="1849" ht="15" customHeight="1">
      <c r="B1849" s="134" t="n"/>
      <c r="C1849" s="105" t="n"/>
      <c r="D1849" s="105" t="n"/>
      <c r="E1849" s="105" t="n"/>
      <c r="F1849" s="105" t="n"/>
      <c r="G1849" s="105" t="n"/>
      <c r="H1849" s="2" t="n"/>
      <c r="I1849" s="105" t="n"/>
      <c r="K1849" s="215" t="n"/>
      <c r="L1849" s="215" t="n"/>
      <c r="M1849" s="215" t="n"/>
      <c r="N1849" s="215" t="n"/>
      <c r="O1849" s="215" t="n"/>
      <c r="P1849" s="215" t="n"/>
      <c r="Q1849" s="215" t="n"/>
      <c r="R1849" s="215" t="n"/>
      <c r="S1849" s="215" t="n"/>
      <c r="T1849" s="215" t="n"/>
      <c r="U1849" s="215" t="n"/>
      <c r="V1849" s="215" t="n"/>
      <c r="W1849" s="215" t="n"/>
      <c r="X1849" s="215" t="n"/>
      <c r="Y1849" s="215" t="n"/>
      <c r="Z1849" s="215" t="n"/>
      <c r="AA1849" s="215" t="n"/>
      <c r="AB1849" s="215" t="n"/>
      <c r="AC1849" s="215" t="n"/>
      <c r="AD1849" s="215" t="n"/>
      <c r="AE1849" s="215" t="n"/>
      <c r="AF1849" s="215" t="n"/>
      <c r="AG1849" s="215" t="n"/>
      <c r="AH1849" s="215" t="n"/>
      <c r="AI1849" s="215" t="n"/>
      <c r="AJ1849" s="215" t="n"/>
      <c r="AK1849" s="216" t="n"/>
    </row>
    <row r="1850" ht="15" customHeight="1">
      <c r="B1850" s="134" t="n"/>
      <c r="C1850" s="105" t="n"/>
      <c r="D1850" s="105" t="n"/>
      <c r="E1850" s="105" t="n"/>
      <c r="F1850" s="105" t="n"/>
      <c r="G1850" s="105" t="n"/>
      <c r="H1850" s="2" t="n"/>
      <c r="I1850" s="105" t="n"/>
      <c r="K1850" s="215" t="n"/>
      <c r="L1850" s="215" t="n"/>
      <c r="M1850" s="215" t="n"/>
      <c r="N1850" s="215" t="n"/>
      <c r="O1850" s="215" t="n"/>
      <c r="P1850" s="215" t="n"/>
      <c r="Q1850" s="215" t="n"/>
      <c r="R1850" s="215" t="n"/>
      <c r="S1850" s="215" t="n"/>
      <c r="T1850" s="215" t="n"/>
      <c r="U1850" s="215" t="n"/>
      <c r="V1850" s="215" t="n"/>
      <c r="W1850" s="215" t="n"/>
      <c r="X1850" s="215" t="n"/>
      <c r="Y1850" s="215" t="n"/>
      <c r="Z1850" s="215" t="n"/>
      <c r="AA1850" s="215" t="n"/>
      <c r="AB1850" s="215" t="n"/>
      <c r="AC1850" s="215" t="n"/>
      <c r="AD1850" s="215" t="n"/>
      <c r="AE1850" s="215" t="n"/>
      <c r="AF1850" s="215" t="n"/>
      <c r="AG1850" s="215" t="n"/>
      <c r="AH1850" s="215" t="n"/>
      <c r="AI1850" s="215" t="n"/>
      <c r="AJ1850" s="215" t="n"/>
      <c r="AK1850" s="216" t="n"/>
    </row>
    <row r="1851" ht="15" customHeight="1">
      <c r="B1851" s="134" t="n"/>
      <c r="C1851" s="105" t="n"/>
      <c r="D1851" s="105" t="n"/>
      <c r="E1851" s="105" t="n"/>
      <c r="F1851" s="105" t="n"/>
      <c r="G1851" s="105" t="n"/>
      <c r="H1851" s="2" t="n"/>
      <c r="I1851" s="105" t="n"/>
      <c r="K1851" s="215" t="n"/>
      <c r="L1851" s="215" t="n"/>
      <c r="M1851" s="215" t="n"/>
      <c r="N1851" s="215" t="n"/>
      <c r="O1851" s="215" t="n"/>
      <c r="P1851" s="215" t="n"/>
      <c r="Q1851" s="215" t="n"/>
      <c r="R1851" s="215" t="n"/>
      <c r="S1851" s="215" t="n"/>
      <c r="T1851" s="215" t="n"/>
      <c r="U1851" s="215" t="n"/>
      <c r="V1851" s="215" t="n"/>
      <c r="W1851" s="215" t="n"/>
      <c r="X1851" s="215" t="n"/>
      <c r="Y1851" s="215" t="n"/>
      <c r="Z1851" s="215" t="n"/>
      <c r="AA1851" s="215" t="n"/>
      <c r="AB1851" s="215" t="n"/>
      <c r="AC1851" s="215" t="n"/>
      <c r="AD1851" s="215" t="n"/>
      <c r="AE1851" s="215" t="n"/>
      <c r="AF1851" s="215" t="n"/>
      <c r="AG1851" s="215" t="n"/>
      <c r="AH1851" s="215" t="n"/>
      <c r="AI1851" s="215" t="n"/>
      <c r="AJ1851" s="215" t="n"/>
      <c r="AK1851" s="216" t="n"/>
    </row>
    <row r="1852" ht="15" customHeight="1">
      <c r="B1852" s="134" t="n"/>
      <c r="C1852" s="105" t="n"/>
      <c r="D1852" s="105" t="n"/>
      <c r="E1852" s="105" t="n"/>
      <c r="F1852" s="105" t="n"/>
      <c r="G1852" s="105" t="n"/>
      <c r="H1852" s="2" t="n"/>
      <c r="I1852" s="105" t="n"/>
      <c r="K1852" s="215" t="n"/>
      <c r="L1852" s="215" t="n"/>
      <c r="M1852" s="215" t="n"/>
      <c r="N1852" s="215" t="n"/>
      <c r="O1852" s="215" t="n"/>
      <c r="P1852" s="215" t="n"/>
      <c r="Q1852" s="215" t="n"/>
      <c r="R1852" s="215" t="n"/>
      <c r="S1852" s="215" t="n"/>
      <c r="T1852" s="215" t="n"/>
      <c r="U1852" s="215" t="n"/>
      <c r="V1852" s="215" t="n"/>
      <c r="W1852" s="215" t="n"/>
      <c r="X1852" s="215" t="n"/>
      <c r="Y1852" s="215" t="n"/>
      <c r="Z1852" s="215" t="n"/>
      <c r="AA1852" s="215" t="n"/>
      <c r="AB1852" s="215" t="n"/>
      <c r="AC1852" s="215" t="n"/>
      <c r="AD1852" s="215" t="n"/>
      <c r="AE1852" s="215" t="n"/>
      <c r="AF1852" s="215" t="n"/>
      <c r="AG1852" s="215" t="n"/>
      <c r="AH1852" s="215" t="n"/>
      <c r="AI1852" s="215" t="n"/>
      <c r="AJ1852" s="215" t="n"/>
      <c r="AK1852" s="216" t="n"/>
    </row>
    <row r="1853" ht="15" customHeight="1">
      <c r="B1853" s="134" t="n"/>
      <c r="C1853" s="105" t="n"/>
      <c r="D1853" s="105" t="n"/>
      <c r="E1853" s="105" t="n"/>
      <c r="F1853" s="105" t="n"/>
      <c r="G1853" s="105" t="n"/>
      <c r="H1853" s="2" t="n"/>
      <c r="I1853" s="105" t="n"/>
      <c r="K1853" s="215" t="n"/>
      <c r="L1853" s="215" t="n"/>
      <c r="M1853" s="215" t="n"/>
      <c r="N1853" s="215" t="n"/>
      <c r="O1853" s="215" t="n"/>
      <c r="P1853" s="215" t="n"/>
      <c r="Q1853" s="215" t="n"/>
      <c r="R1853" s="215" t="n"/>
      <c r="S1853" s="215" t="n"/>
      <c r="T1853" s="215" t="n"/>
      <c r="U1853" s="215" t="n"/>
      <c r="V1853" s="215" t="n"/>
      <c r="W1853" s="215" t="n"/>
      <c r="X1853" s="215" t="n"/>
      <c r="Y1853" s="215" t="n"/>
      <c r="Z1853" s="215" t="n"/>
      <c r="AA1853" s="215" t="n"/>
      <c r="AB1853" s="215" t="n"/>
      <c r="AC1853" s="215" t="n"/>
      <c r="AD1853" s="215" t="n"/>
      <c r="AE1853" s="215" t="n"/>
      <c r="AF1853" s="215" t="n"/>
      <c r="AG1853" s="215" t="n"/>
      <c r="AH1853" s="215" t="n"/>
      <c r="AI1853" s="215" t="n"/>
      <c r="AJ1853" s="215" t="n"/>
      <c r="AK1853" s="216" t="n"/>
    </row>
    <row r="1854" ht="15" customHeight="1">
      <c r="B1854" s="134" t="n"/>
      <c r="C1854" s="105" t="n"/>
      <c r="D1854" s="105" t="n"/>
      <c r="E1854" s="105" t="n"/>
      <c r="F1854" s="105" t="n"/>
      <c r="G1854" s="105" t="n"/>
      <c r="H1854" s="2" t="n"/>
      <c r="I1854" s="105" t="n"/>
      <c r="K1854" s="215" t="n"/>
      <c r="L1854" s="215" t="n"/>
      <c r="M1854" s="215" t="n"/>
      <c r="N1854" s="215" t="n"/>
      <c r="O1854" s="215" t="n"/>
      <c r="P1854" s="215" t="n"/>
      <c r="Q1854" s="215" t="n"/>
      <c r="R1854" s="215" t="n"/>
      <c r="S1854" s="215" t="n"/>
      <c r="T1854" s="215" t="n"/>
      <c r="U1854" s="215" t="n"/>
      <c r="V1854" s="215" t="n"/>
      <c r="W1854" s="215" t="n"/>
      <c r="X1854" s="215" t="n"/>
      <c r="Y1854" s="215" t="n"/>
      <c r="Z1854" s="215" t="n"/>
      <c r="AA1854" s="215" t="n"/>
      <c r="AB1854" s="215" t="n"/>
      <c r="AC1854" s="215" t="n"/>
      <c r="AD1854" s="215" t="n"/>
      <c r="AE1854" s="215" t="n"/>
      <c r="AF1854" s="215" t="n"/>
      <c r="AG1854" s="215" t="n"/>
      <c r="AH1854" s="215" t="n"/>
      <c r="AI1854" s="215" t="n"/>
      <c r="AJ1854" s="215" t="n"/>
      <c r="AK1854" s="216" t="n"/>
    </row>
    <row r="1855" ht="15" customHeight="1">
      <c r="B1855" s="134" t="n"/>
      <c r="C1855" s="105" t="n"/>
      <c r="D1855" s="105" t="n"/>
      <c r="E1855" s="105" t="n"/>
      <c r="F1855" s="105" t="n"/>
      <c r="G1855" s="105" t="n"/>
      <c r="H1855" s="2" t="n"/>
      <c r="I1855" s="105" t="n"/>
      <c r="K1855" s="215" t="n"/>
      <c r="L1855" s="215" t="n"/>
      <c r="M1855" s="215" t="n"/>
      <c r="N1855" s="215" t="n"/>
      <c r="O1855" s="215" t="n"/>
      <c r="P1855" s="215" t="n"/>
      <c r="Q1855" s="215" t="n"/>
      <c r="R1855" s="215" t="n"/>
      <c r="S1855" s="215" t="n"/>
      <c r="T1855" s="215" t="n"/>
      <c r="U1855" s="215" t="n"/>
      <c r="V1855" s="215" t="n"/>
      <c r="W1855" s="215" t="n"/>
      <c r="X1855" s="215" t="n"/>
      <c r="Y1855" s="215" t="n"/>
      <c r="Z1855" s="215" t="n"/>
      <c r="AA1855" s="215" t="n"/>
      <c r="AB1855" s="215" t="n"/>
      <c r="AC1855" s="215" t="n"/>
      <c r="AD1855" s="215" t="n"/>
      <c r="AE1855" s="215" t="n"/>
      <c r="AF1855" s="215" t="n"/>
      <c r="AG1855" s="215" t="n"/>
      <c r="AH1855" s="215" t="n"/>
      <c r="AI1855" s="215" t="n"/>
      <c r="AJ1855" s="215" t="n"/>
      <c r="AK1855" s="216" t="n"/>
    </row>
    <row r="1856" ht="15" customHeight="1">
      <c r="B1856" s="134" t="n"/>
      <c r="C1856" s="105" t="n"/>
      <c r="D1856" s="105" t="n"/>
      <c r="E1856" s="105" t="n"/>
      <c r="F1856" s="105" t="n"/>
      <c r="G1856" s="105" t="n"/>
      <c r="H1856" s="2" t="n"/>
      <c r="I1856" s="105" t="n"/>
      <c r="K1856" s="215" t="n"/>
      <c r="L1856" s="215" t="n"/>
      <c r="M1856" s="215" t="n"/>
      <c r="N1856" s="215" t="n"/>
      <c r="O1856" s="215" t="n"/>
      <c r="P1856" s="215" t="n"/>
      <c r="Q1856" s="215" t="n"/>
      <c r="R1856" s="215" t="n"/>
      <c r="S1856" s="215" t="n"/>
      <c r="T1856" s="215" t="n"/>
      <c r="U1856" s="215" t="n"/>
      <c r="V1856" s="215" t="n"/>
      <c r="W1856" s="215" t="n"/>
      <c r="X1856" s="215" t="n"/>
      <c r="Y1856" s="215" t="n"/>
      <c r="Z1856" s="215" t="n"/>
      <c r="AA1856" s="215" t="n"/>
      <c r="AB1856" s="215" t="n"/>
      <c r="AC1856" s="215" t="n"/>
      <c r="AD1856" s="215" t="n"/>
      <c r="AE1856" s="215" t="n"/>
      <c r="AF1856" s="215" t="n"/>
      <c r="AG1856" s="215" t="n"/>
      <c r="AH1856" s="215" t="n"/>
      <c r="AI1856" s="215" t="n"/>
      <c r="AJ1856" s="215" t="n"/>
      <c r="AK1856" s="216" t="n"/>
    </row>
    <row r="1857" ht="15" customHeight="1">
      <c r="B1857" s="134" t="n"/>
      <c r="C1857" s="105" t="n"/>
      <c r="D1857" s="105" t="n"/>
      <c r="E1857" s="105" t="n"/>
      <c r="F1857" s="105" t="n"/>
      <c r="G1857" s="105" t="n"/>
      <c r="H1857" s="2" t="n"/>
      <c r="I1857" s="105" t="n"/>
      <c r="K1857" s="215" t="n"/>
      <c r="L1857" s="215" t="n"/>
      <c r="M1857" s="215" t="n"/>
      <c r="N1857" s="215" t="n"/>
      <c r="O1857" s="215" t="n"/>
      <c r="P1857" s="215" t="n"/>
      <c r="Q1857" s="215" t="n"/>
      <c r="R1857" s="215" t="n"/>
      <c r="S1857" s="215" t="n"/>
      <c r="T1857" s="215" t="n"/>
      <c r="U1857" s="215" t="n"/>
      <c r="V1857" s="215" t="n"/>
      <c r="W1857" s="215" t="n"/>
      <c r="X1857" s="215" t="n"/>
      <c r="Y1857" s="215" t="n"/>
      <c r="Z1857" s="215" t="n"/>
      <c r="AA1857" s="215" t="n"/>
      <c r="AB1857" s="215" t="n"/>
      <c r="AC1857" s="215" t="n"/>
      <c r="AD1857" s="215" t="n"/>
      <c r="AE1857" s="215" t="n"/>
      <c r="AF1857" s="215" t="n"/>
      <c r="AG1857" s="215" t="n"/>
      <c r="AH1857" s="215" t="n"/>
      <c r="AI1857" s="215" t="n"/>
      <c r="AJ1857" s="215" t="n"/>
      <c r="AK1857" s="216" t="n"/>
    </row>
    <row r="1858" ht="15" customHeight="1">
      <c r="B1858" s="134" t="n"/>
      <c r="C1858" s="105" t="n"/>
      <c r="D1858" s="105" t="n"/>
      <c r="E1858" s="105" t="n"/>
      <c r="F1858" s="105" t="n"/>
      <c r="G1858" s="105" t="n"/>
      <c r="H1858" s="2" t="n"/>
      <c r="I1858" s="105" t="n"/>
      <c r="K1858" s="215" t="n"/>
      <c r="L1858" s="215" t="n"/>
      <c r="M1858" s="215" t="n"/>
      <c r="N1858" s="215" t="n"/>
      <c r="O1858" s="215" t="n"/>
      <c r="P1858" s="215" t="n"/>
      <c r="Q1858" s="215" t="n"/>
      <c r="R1858" s="215" t="n"/>
      <c r="S1858" s="215" t="n"/>
      <c r="T1858" s="215" t="n"/>
      <c r="U1858" s="215" t="n"/>
      <c r="V1858" s="215" t="n"/>
      <c r="W1858" s="215" t="n"/>
      <c r="X1858" s="215" t="n"/>
      <c r="Y1858" s="215" t="n"/>
      <c r="Z1858" s="215" t="n"/>
      <c r="AA1858" s="215" t="n"/>
      <c r="AB1858" s="215" t="n"/>
      <c r="AC1858" s="215" t="n"/>
      <c r="AD1858" s="215" t="n"/>
      <c r="AE1858" s="215" t="n"/>
      <c r="AF1858" s="215" t="n"/>
      <c r="AG1858" s="215" t="n"/>
      <c r="AH1858" s="215" t="n"/>
      <c r="AI1858" s="215" t="n"/>
      <c r="AJ1858" s="215" t="n"/>
      <c r="AK1858" s="216" t="n"/>
    </row>
    <row r="1859" ht="15" customHeight="1">
      <c r="B1859" s="134" t="n"/>
      <c r="C1859" s="105" t="n"/>
      <c r="D1859" s="105" t="n"/>
      <c r="E1859" s="105" t="n"/>
      <c r="F1859" s="105" t="n"/>
      <c r="G1859" s="105" t="n"/>
      <c r="H1859" s="2" t="n"/>
      <c r="I1859" s="105" t="n"/>
      <c r="K1859" s="215" t="n"/>
      <c r="L1859" s="215" t="n"/>
      <c r="M1859" s="215" t="n"/>
      <c r="N1859" s="215" t="n"/>
      <c r="O1859" s="215" t="n"/>
      <c r="P1859" s="215" t="n"/>
      <c r="Q1859" s="215" t="n"/>
      <c r="R1859" s="215" t="n"/>
      <c r="S1859" s="215" t="n"/>
      <c r="T1859" s="215" t="n"/>
      <c r="U1859" s="215" t="n"/>
      <c r="V1859" s="215" t="n"/>
      <c r="W1859" s="215" t="n"/>
      <c r="X1859" s="215" t="n"/>
      <c r="Y1859" s="215" t="n"/>
      <c r="Z1859" s="215" t="n"/>
      <c r="AA1859" s="215" t="n"/>
      <c r="AB1859" s="215" t="n"/>
      <c r="AC1859" s="215" t="n"/>
      <c r="AD1859" s="215" t="n"/>
      <c r="AE1859" s="215" t="n"/>
      <c r="AF1859" s="215" t="n"/>
      <c r="AG1859" s="215" t="n"/>
      <c r="AH1859" s="215" t="n"/>
      <c r="AI1859" s="215" t="n"/>
      <c r="AJ1859" s="215" t="n"/>
      <c r="AK1859" s="216" t="n"/>
    </row>
    <row r="1860" ht="15" customHeight="1">
      <c r="B1860" s="134" t="n"/>
      <c r="C1860" s="105" t="n"/>
      <c r="D1860" s="105" t="n"/>
      <c r="E1860" s="105" t="n"/>
      <c r="F1860" s="105" t="n"/>
      <c r="G1860" s="105" t="n"/>
      <c r="H1860" s="2" t="n"/>
      <c r="I1860" s="105" t="n"/>
      <c r="K1860" s="215" t="n"/>
      <c r="L1860" s="215" t="n"/>
      <c r="M1860" s="215" t="n"/>
      <c r="N1860" s="215" t="n"/>
      <c r="O1860" s="215" t="n"/>
      <c r="P1860" s="215" t="n"/>
      <c r="Q1860" s="215" t="n"/>
      <c r="R1860" s="215" t="n"/>
      <c r="S1860" s="215" t="n"/>
      <c r="T1860" s="215" t="n"/>
      <c r="U1860" s="215" t="n"/>
      <c r="V1860" s="215" t="n"/>
      <c r="W1860" s="215" t="n"/>
      <c r="X1860" s="215" t="n"/>
      <c r="Y1860" s="215" t="n"/>
      <c r="Z1860" s="215" t="n"/>
      <c r="AA1860" s="215" t="n"/>
      <c r="AB1860" s="215" t="n"/>
      <c r="AC1860" s="215" t="n"/>
      <c r="AD1860" s="215" t="n"/>
      <c r="AE1860" s="215" t="n"/>
      <c r="AF1860" s="215" t="n"/>
      <c r="AG1860" s="215" t="n"/>
      <c r="AH1860" s="215" t="n"/>
      <c r="AI1860" s="215" t="n"/>
      <c r="AJ1860" s="215" t="n"/>
      <c r="AK1860" s="216" t="n"/>
    </row>
    <row r="1861" ht="15" customHeight="1">
      <c r="B1861" s="134" t="n"/>
      <c r="C1861" s="105" t="n"/>
      <c r="D1861" s="105" t="n"/>
      <c r="E1861" s="105" t="n"/>
      <c r="F1861" s="105" t="n"/>
      <c r="G1861" s="105" t="n"/>
      <c r="H1861" s="2" t="n"/>
      <c r="I1861" s="105" t="n"/>
      <c r="K1861" s="215" t="n"/>
      <c r="L1861" s="215" t="n"/>
      <c r="M1861" s="215" t="n"/>
      <c r="N1861" s="215" t="n"/>
      <c r="O1861" s="215" t="n"/>
      <c r="P1861" s="215" t="n"/>
      <c r="Q1861" s="215" t="n"/>
      <c r="R1861" s="215" t="n"/>
      <c r="S1861" s="215" t="n"/>
      <c r="T1861" s="215" t="n"/>
      <c r="U1861" s="215" t="n"/>
      <c r="V1861" s="215" t="n"/>
      <c r="W1861" s="215" t="n"/>
      <c r="X1861" s="215" t="n"/>
      <c r="Y1861" s="215" t="n"/>
      <c r="Z1861" s="215" t="n"/>
      <c r="AA1861" s="215" t="n"/>
      <c r="AB1861" s="215" t="n"/>
      <c r="AC1861" s="215" t="n"/>
      <c r="AD1861" s="215" t="n"/>
      <c r="AE1861" s="215" t="n"/>
      <c r="AF1861" s="215" t="n"/>
      <c r="AG1861" s="215" t="n"/>
      <c r="AH1861" s="215" t="n"/>
      <c r="AI1861" s="215" t="n"/>
      <c r="AJ1861" s="215" t="n"/>
      <c r="AK1861" s="216" t="n"/>
    </row>
    <row r="1862" ht="15" customHeight="1">
      <c r="B1862" s="134" t="n"/>
      <c r="C1862" s="105" t="n"/>
      <c r="D1862" s="105" t="n"/>
      <c r="E1862" s="105" t="n"/>
      <c r="F1862" s="105" t="n"/>
      <c r="G1862" s="105" t="n"/>
      <c r="H1862" s="2" t="n"/>
      <c r="I1862" s="105" t="n"/>
      <c r="K1862" s="215" t="n"/>
      <c r="L1862" s="215" t="n"/>
      <c r="M1862" s="215" t="n"/>
      <c r="N1862" s="215" t="n"/>
      <c r="O1862" s="215" t="n"/>
      <c r="P1862" s="215" t="n"/>
      <c r="Q1862" s="215" t="n"/>
      <c r="R1862" s="215" t="n"/>
      <c r="S1862" s="215" t="n"/>
      <c r="T1862" s="215" t="n"/>
      <c r="U1862" s="215" t="n"/>
      <c r="V1862" s="215" t="n"/>
      <c r="W1862" s="215" t="n"/>
      <c r="X1862" s="215" t="n"/>
      <c r="Y1862" s="215" t="n"/>
      <c r="Z1862" s="215" t="n"/>
      <c r="AA1862" s="215" t="n"/>
      <c r="AB1862" s="215" t="n"/>
      <c r="AC1862" s="215" t="n"/>
      <c r="AD1862" s="215" t="n"/>
      <c r="AE1862" s="215" t="n"/>
      <c r="AF1862" s="215" t="n"/>
      <c r="AG1862" s="215" t="n"/>
      <c r="AH1862" s="215" t="n"/>
      <c r="AI1862" s="215" t="n"/>
      <c r="AJ1862" s="215" t="n"/>
      <c r="AK1862" s="216" t="n"/>
    </row>
    <row r="1863" ht="15" customHeight="1">
      <c r="B1863" s="134" t="n"/>
      <c r="C1863" s="105" t="n"/>
      <c r="D1863" s="105" t="n"/>
      <c r="E1863" s="105" t="n"/>
      <c r="F1863" s="105" t="n"/>
      <c r="G1863" s="105" t="n"/>
      <c r="H1863" s="2" t="n"/>
      <c r="I1863" s="105" t="n"/>
      <c r="K1863" s="215" t="n"/>
      <c r="L1863" s="215" t="n"/>
      <c r="M1863" s="215" t="n"/>
      <c r="N1863" s="215" t="n"/>
      <c r="O1863" s="215" t="n"/>
      <c r="P1863" s="215" t="n"/>
      <c r="Q1863" s="215" t="n"/>
      <c r="R1863" s="215" t="n"/>
      <c r="S1863" s="215" t="n"/>
      <c r="T1863" s="215" t="n"/>
      <c r="U1863" s="215" t="n"/>
      <c r="V1863" s="215" t="n"/>
      <c r="W1863" s="215" t="n"/>
      <c r="X1863" s="215" t="n"/>
      <c r="Y1863" s="215" t="n"/>
      <c r="Z1863" s="215" t="n"/>
      <c r="AA1863" s="215" t="n"/>
      <c r="AB1863" s="215" t="n"/>
      <c r="AC1863" s="215" t="n"/>
      <c r="AD1863" s="215" t="n"/>
      <c r="AE1863" s="215" t="n"/>
      <c r="AF1863" s="215" t="n"/>
      <c r="AG1863" s="215" t="n"/>
      <c r="AH1863" s="215" t="n"/>
      <c r="AI1863" s="215" t="n"/>
      <c r="AJ1863" s="215" t="n"/>
      <c r="AK1863" s="216" t="n"/>
    </row>
    <row r="1864" ht="15" customHeight="1">
      <c r="B1864" s="134" t="n"/>
      <c r="C1864" s="105" t="n"/>
      <c r="D1864" s="105" t="n"/>
      <c r="E1864" s="105" t="n"/>
      <c r="F1864" s="105" t="n"/>
      <c r="G1864" s="105" t="n"/>
      <c r="H1864" s="2" t="n"/>
      <c r="I1864" s="105" t="n"/>
      <c r="K1864" s="215" t="n"/>
      <c r="L1864" s="215" t="n"/>
      <c r="M1864" s="215" t="n"/>
      <c r="N1864" s="215" t="n"/>
      <c r="O1864" s="215" t="n"/>
      <c r="P1864" s="215" t="n"/>
      <c r="Q1864" s="215" t="n"/>
      <c r="R1864" s="215" t="n"/>
      <c r="S1864" s="215" t="n"/>
      <c r="T1864" s="215" t="n"/>
      <c r="U1864" s="215" t="n"/>
      <c r="V1864" s="215" t="n"/>
      <c r="W1864" s="215" t="n"/>
      <c r="X1864" s="215" t="n"/>
      <c r="Y1864" s="215" t="n"/>
      <c r="Z1864" s="215" t="n"/>
      <c r="AA1864" s="215" t="n"/>
      <c r="AB1864" s="215" t="n"/>
      <c r="AC1864" s="215" t="n"/>
      <c r="AD1864" s="215" t="n"/>
      <c r="AE1864" s="215" t="n"/>
      <c r="AF1864" s="215" t="n"/>
      <c r="AG1864" s="215" t="n"/>
      <c r="AH1864" s="215" t="n"/>
      <c r="AI1864" s="215" t="n"/>
      <c r="AJ1864" s="215" t="n"/>
      <c r="AK1864" s="216" t="n"/>
    </row>
    <row r="1865" ht="15" customHeight="1">
      <c r="B1865" s="134" t="n"/>
      <c r="C1865" s="105" t="n"/>
      <c r="D1865" s="105" t="n"/>
      <c r="E1865" s="105" t="n"/>
      <c r="F1865" s="105" t="n"/>
      <c r="G1865" s="105" t="n"/>
      <c r="H1865" s="2" t="n"/>
      <c r="I1865" s="105" t="n"/>
      <c r="K1865" s="215" t="n"/>
      <c r="L1865" s="215" t="n"/>
      <c r="M1865" s="215" t="n"/>
      <c r="N1865" s="215" t="n"/>
      <c r="O1865" s="215" t="n"/>
      <c r="P1865" s="215" t="n"/>
      <c r="Q1865" s="215" t="n"/>
      <c r="R1865" s="215" t="n"/>
      <c r="S1865" s="215" t="n"/>
      <c r="T1865" s="215" t="n"/>
      <c r="U1865" s="215" t="n"/>
      <c r="V1865" s="215" t="n"/>
      <c r="W1865" s="215" t="n"/>
      <c r="X1865" s="215" t="n"/>
      <c r="Y1865" s="215" t="n"/>
      <c r="Z1865" s="215" t="n"/>
      <c r="AA1865" s="215" t="n"/>
      <c r="AB1865" s="215" t="n"/>
      <c r="AC1865" s="215" t="n"/>
      <c r="AD1865" s="215" t="n"/>
      <c r="AE1865" s="215" t="n"/>
      <c r="AF1865" s="215" t="n"/>
      <c r="AG1865" s="215" t="n"/>
      <c r="AH1865" s="215" t="n"/>
      <c r="AI1865" s="215" t="n"/>
      <c r="AJ1865" s="215" t="n"/>
      <c r="AK1865" s="216" t="n"/>
    </row>
    <row r="1866" ht="15" customHeight="1">
      <c r="B1866" s="134" t="n"/>
      <c r="C1866" s="105" t="n"/>
      <c r="D1866" s="105" t="n"/>
      <c r="E1866" s="105" t="n"/>
      <c r="F1866" s="105" t="n"/>
      <c r="G1866" s="105" t="n"/>
      <c r="H1866" s="2" t="n"/>
      <c r="I1866" s="105" t="n"/>
      <c r="K1866" s="215" t="n"/>
      <c r="L1866" s="215" t="n"/>
      <c r="M1866" s="215" t="n"/>
      <c r="N1866" s="215" t="n"/>
      <c r="O1866" s="215" t="n"/>
      <c r="P1866" s="215" t="n"/>
      <c r="Q1866" s="215" t="n"/>
      <c r="R1866" s="215" t="n"/>
      <c r="S1866" s="215" t="n"/>
      <c r="T1866" s="215" t="n"/>
      <c r="U1866" s="215" t="n"/>
      <c r="V1866" s="215" t="n"/>
      <c r="W1866" s="215" t="n"/>
      <c r="X1866" s="215" t="n"/>
      <c r="Y1866" s="215" t="n"/>
      <c r="Z1866" s="215" t="n"/>
      <c r="AA1866" s="215" t="n"/>
      <c r="AB1866" s="215" t="n"/>
      <c r="AC1866" s="215" t="n"/>
      <c r="AD1866" s="215" t="n"/>
      <c r="AE1866" s="215" t="n"/>
      <c r="AF1866" s="215" t="n"/>
      <c r="AG1866" s="215" t="n"/>
      <c r="AH1866" s="215" t="n"/>
      <c r="AI1866" s="215" t="n"/>
      <c r="AJ1866" s="215" t="n"/>
      <c r="AK1866" s="216" t="n"/>
    </row>
    <row r="1867" ht="15" customHeight="1">
      <c r="B1867" s="134" t="n"/>
      <c r="C1867" s="105" t="n"/>
      <c r="D1867" s="105" t="n"/>
      <c r="E1867" s="105" t="n"/>
      <c r="F1867" s="105" t="n"/>
      <c r="G1867" s="105" t="n"/>
      <c r="H1867" s="2" t="n"/>
      <c r="I1867" s="105" t="n"/>
      <c r="K1867" s="215" t="n"/>
      <c r="L1867" s="215" t="n"/>
      <c r="M1867" s="215" t="n"/>
      <c r="N1867" s="215" t="n"/>
      <c r="O1867" s="215" t="n"/>
      <c r="P1867" s="215" t="n"/>
      <c r="Q1867" s="215" t="n"/>
      <c r="R1867" s="215" t="n"/>
      <c r="S1867" s="215" t="n"/>
      <c r="T1867" s="215" t="n"/>
      <c r="U1867" s="215" t="n"/>
      <c r="V1867" s="215" t="n"/>
      <c r="W1867" s="215" t="n"/>
      <c r="X1867" s="215" t="n"/>
      <c r="Y1867" s="215" t="n"/>
      <c r="Z1867" s="215" t="n"/>
      <c r="AA1867" s="215" t="n"/>
      <c r="AB1867" s="215" t="n"/>
      <c r="AC1867" s="215" t="n"/>
      <c r="AD1867" s="215" t="n"/>
      <c r="AE1867" s="215" t="n"/>
      <c r="AF1867" s="215" t="n"/>
      <c r="AG1867" s="215" t="n"/>
      <c r="AH1867" s="215" t="n"/>
      <c r="AI1867" s="215" t="n"/>
      <c r="AJ1867" s="215" t="n"/>
      <c r="AK1867" s="216" t="n"/>
    </row>
    <row r="1868" ht="15" customHeight="1">
      <c r="B1868" s="134" t="n"/>
      <c r="C1868" s="105" t="n"/>
      <c r="D1868" s="105" t="n"/>
      <c r="E1868" s="105" t="n"/>
      <c r="F1868" s="105" t="n"/>
      <c r="G1868" s="105" t="n"/>
      <c r="H1868" s="2" t="n"/>
      <c r="I1868" s="105" t="n"/>
      <c r="K1868" s="215" t="n"/>
      <c r="L1868" s="215" t="n"/>
      <c r="M1868" s="215" t="n"/>
      <c r="N1868" s="215" t="n"/>
      <c r="O1868" s="215" t="n"/>
      <c r="P1868" s="215" t="n"/>
      <c r="Q1868" s="215" t="n"/>
      <c r="R1868" s="215" t="n"/>
      <c r="S1868" s="215" t="n"/>
      <c r="T1868" s="215" t="n"/>
      <c r="U1868" s="215" t="n"/>
      <c r="V1868" s="215" t="n"/>
      <c r="W1868" s="215" t="n"/>
      <c r="X1868" s="215" t="n"/>
      <c r="Y1868" s="215" t="n"/>
      <c r="Z1868" s="215" t="n"/>
      <c r="AA1868" s="215" t="n"/>
      <c r="AB1868" s="215" t="n"/>
      <c r="AC1868" s="215" t="n"/>
      <c r="AD1868" s="215" t="n"/>
      <c r="AE1868" s="215" t="n"/>
      <c r="AF1868" s="215" t="n"/>
      <c r="AG1868" s="215" t="n"/>
      <c r="AH1868" s="215" t="n"/>
      <c r="AI1868" s="215" t="n"/>
      <c r="AJ1868" s="215" t="n"/>
      <c r="AK1868" s="216" t="n"/>
    </row>
    <row r="1869" ht="15" customHeight="1">
      <c r="B1869" s="134" t="n"/>
      <c r="C1869" s="105" t="n"/>
      <c r="D1869" s="105" t="n"/>
      <c r="E1869" s="105" t="n"/>
      <c r="F1869" s="105" t="n"/>
      <c r="G1869" s="105" t="n"/>
      <c r="H1869" s="2" t="n"/>
      <c r="I1869" s="105" t="n"/>
      <c r="K1869" s="215" t="n"/>
      <c r="L1869" s="215" t="n"/>
      <c r="M1869" s="215" t="n"/>
      <c r="N1869" s="215" t="n"/>
      <c r="O1869" s="215" t="n"/>
      <c r="P1869" s="215" t="n"/>
      <c r="Q1869" s="215" t="n"/>
      <c r="R1869" s="215" t="n"/>
      <c r="S1869" s="215" t="n"/>
      <c r="T1869" s="215" t="n"/>
      <c r="U1869" s="215" t="n"/>
      <c r="V1869" s="215" t="n"/>
      <c r="W1869" s="215" t="n"/>
      <c r="X1869" s="215" t="n"/>
      <c r="Y1869" s="215" t="n"/>
      <c r="Z1869" s="215" t="n"/>
      <c r="AA1869" s="215" t="n"/>
      <c r="AB1869" s="215" t="n"/>
      <c r="AC1869" s="215" t="n"/>
      <c r="AD1869" s="215" t="n"/>
      <c r="AE1869" s="215" t="n"/>
      <c r="AF1869" s="215" t="n"/>
      <c r="AG1869" s="215" t="n"/>
      <c r="AH1869" s="215" t="n"/>
      <c r="AI1869" s="215" t="n"/>
      <c r="AJ1869" s="215" t="n"/>
      <c r="AK1869" s="216" t="n"/>
    </row>
    <row r="1870" ht="15" customHeight="1">
      <c r="B1870" s="134" t="n"/>
      <c r="C1870" s="105" t="n"/>
      <c r="D1870" s="105" t="n"/>
      <c r="E1870" s="105" t="n"/>
      <c r="F1870" s="105" t="n"/>
      <c r="G1870" s="105" t="n"/>
      <c r="H1870" s="2" t="n"/>
      <c r="I1870" s="105" t="n"/>
      <c r="K1870" s="215" t="n"/>
      <c r="L1870" s="215" t="n"/>
      <c r="M1870" s="215" t="n"/>
      <c r="N1870" s="215" t="n"/>
      <c r="O1870" s="215" t="n"/>
      <c r="P1870" s="215" t="n"/>
      <c r="Q1870" s="215" t="n"/>
      <c r="R1870" s="215" t="n"/>
      <c r="S1870" s="215" t="n"/>
      <c r="T1870" s="215" t="n"/>
      <c r="U1870" s="215" t="n"/>
      <c r="V1870" s="215" t="n"/>
      <c r="W1870" s="215" t="n"/>
      <c r="X1870" s="215" t="n"/>
      <c r="Y1870" s="215" t="n"/>
      <c r="Z1870" s="215" t="n"/>
      <c r="AA1870" s="215" t="n"/>
      <c r="AB1870" s="215" t="n"/>
      <c r="AC1870" s="215" t="n"/>
      <c r="AD1870" s="215" t="n"/>
      <c r="AE1870" s="215" t="n"/>
      <c r="AF1870" s="215" t="n"/>
      <c r="AG1870" s="215" t="n"/>
      <c r="AH1870" s="215" t="n"/>
      <c r="AI1870" s="215" t="n"/>
      <c r="AJ1870" s="215" t="n"/>
      <c r="AK1870" s="216" t="n"/>
    </row>
    <row r="1871" ht="15" customHeight="1">
      <c r="B1871" s="134" t="n"/>
      <c r="C1871" s="105" t="n"/>
      <c r="D1871" s="105" t="n"/>
      <c r="E1871" s="105" t="n"/>
      <c r="F1871" s="105" t="n"/>
      <c r="G1871" s="105" t="n"/>
      <c r="H1871" s="2" t="n"/>
      <c r="I1871" s="105" t="n"/>
      <c r="K1871" s="215" t="n"/>
      <c r="L1871" s="215" t="n"/>
      <c r="M1871" s="215" t="n"/>
      <c r="N1871" s="215" t="n"/>
      <c r="O1871" s="215" t="n"/>
      <c r="P1871" s="215" t="n"/>
      <c r="Q1871" s="215" t="n"/>
      <c r="R1871" s="215" t="n"/>
      <c r="S1871" s="215" t="n"/>
      <c r="T1871" s="215" t="n"/>
      <c r="U1871" s="215" t="n"/>
      <c r="V1871" s="215" t="n"/>
      <c r="W1871" s="215" t="n"/>
      <c r="X1871" s="215" t="n"/>
      <c r="Y1871" s="215" t="n"/>
      <c r="Z1871" s="215" t="n"/>
      <c r="AA1871" s="215" t="n"/>
      <c r="AB1871" s="215" t="n"/>
      <c r="AC1871" s="215" t="n"/>
      <c r="AD1871" s="215" t="n"/>
      <c r="AE1871" s="215" t="n"/>
      <c r="AF1871" s="215" t="n"/>
      <c r="AG1871" s="215" t="n"/>
      <c r="AH1871" s="215" t="n"/>
      <c r="AI1871" s="215" t="n"/>
      <c r="AJ1871" s="215" t="n"/>
      <c r="AK1871" s="216" t="n"/>
    </row>
    <row r="1872" ht="15" customHeight="1">
      <c r="B1872" s="134" t="n"/>
      <c r="C1872" s="105" t="n"/>
      <c r="D1872" s="105" t="n"/>
      <c r="E1872" s="105" t="n"/>
      <c r="F1872" s="105" t="n"/>
      <c r="G1872" s="105" t="n"/>
      <c r="H1872" s="2" t="n"/>
      <c r="I1872" s="105" t="n"/>
      <c r="K1872" s="215" t="n"/>
      <c r="L1872" s="215" t="n"/>
      <c r="M1872" s="215" t="n"/>
      <c r="N1872" s="215" t="n"/>
      <c r="O1872" s="215" t="n"/>
      <c r="P1872" s="215" t="n"/>
      <c r="Q1872" s="215" t="n"/>
      <c r="R1872" s="215" t="n"/>
      <c r="S1872" s="215" t="n"/>
      <c r="T1872" s="215" t="n"/>
      <c r="U1872" s="215" t="n"/>
      <c r="V1872" s="215" t="n"/>
      <c r="W1872" s="215" t="n"/>
      <c r="X1872" s="215" t="n"/>
      <c r="Y1872" s="215" t="n"/>
      <c r="Z1872" s="215" t="n"/>
      <c r="AA1872" s="215" t="n"/>
      <c r="AB1872" s="215" t="n"/>
      <c r="AC1872" s="215" t="n"/>
      <c r="AD1872" s="215" t="n"/>
      <c r="AE1872" s="215" t="n"/>
      <c r="AF1872" s="215" t="n"/>
      <c r="AG1872" s="215" t="n"/>
      <c r="AH1872" s="215" t="n"/>
      <c r="AI1872" s="215" t="n"/>
      <c r="AJ1872" s="215" t="n"/>
      <c r="AK1872" s="216" t="n"/>
    </row>
    <row r="1873" ht="15" customHeight="1">
      <c r="B1873" s="134" t="n"/>
      <c r="C1873" s="105" t="n"/>
      <c r="D1873" s="105" t="n"/>
      <c r="E1873" s="105" t="n"/>
      <c r="F1873" s="105" t="n"/>
      <c r="G1873" s="105" t="n"/>
      <c r="H1873" s="2" t="n"/>
      <c r="I1873" s="105" t="n"/>
      <c r="K1873" s="215" t="n"/>
      <c r="L1873" s="215" t="n"/>
      <c r="M1873" s="215" t="n"/>
      <c r="N1873" s="215" t="n"/>
      <c r="O1873" s="215" t="n"/>
      <c r="P1873" s="215" t="n"/>
      <c r="Q1873" s="215" t="n"/>
      <c r="R1873" s="215" t="n"/>
      <c r="S1873" s="215" t="n"/>
      <c r="T1873" s="215" t="n"/>
      <c r="U1873" s="215" t="n"/>
      <c r="V1873" s="215" t="n"/>
      <c r="W1873" s="215" t="n"/>
      <c r="X1873" s="215" t="n"/>
      <c r="Y1873" s="215" t="n"/>
      <c r="Z1873" s="215" t="n"/>
      <c r="AA1873" s="215" t="n"/>
      <c r="AB1873" s="215" t="n"/>
      <c r="AC1873" s="215" t="n"/>
      <c r="AD1873" s="215" t="n"/>
      <c r="AE1873" s="215" t="n"/>
      <c r="AF1873" s="215" t="n"/>
      <c r="AG1873" s="215" t="n"/>
      <c r="AH1873" s="215" t="n"/>
      <c r="AI1873" s="215" t="n"/>
      <c r="AJ1873" s="215" t="n"/>
      <c r="AK1873" s="216" t="n"/>
    </row>
    <row r="1874" ht="15" customHeight="1">
      <c r="B1874" s="134" t="n"/>
      <c r="C1874" s="105" t="n"/>
      <c r="D1874" s="105" t="n"/>
      <c r="E1874" s="105" t="n"/>
      <c r="F1874" s="105" t="n"/>
      <c r="G1874" s="105" t="n"/>
      <c r="H1874" s="2" t="n"/>
      <c r="I1874" s="105" t="n"/>
      <c r="K1874" s="215" t="n"/>
      <c r="L1874" s="215" t="n"/>
      <c r="M1874" s="215" t="n"/>
      <c r="N1874" s="215" t="n"/>
      <c r="O1874" s="215" t="n"/>
      <c r="P1874" s="215" t="n"/>
      <c r="Q1874" s="215" t="n"/>
      <c r="R1874" s="215" t="n"/>
      <c r="S1874" s="215" t="n"/>
      <c r="T1874" s="215" t="n"/>
      <c r="U1874" s="215" t="n"/>
      <c r="V1874" s="215" t="n"/>
      <c r="W1874" s="215" t="n"/>
      <c r="X1874" s="215" t="n"/>
      <c r="Y1874" s="215" t="n"/>
      <c r="Z1874" s="215" t="n"/>
      <c r="AA1874" s="215" t="n"/>
      <c r="AB1874" s="215" t="n"/>
      <c r="AC1874" s="215" t="n"/>
      <c r="AD1874" s="215" t="n"/>
      <c r="AE1874" s="215" t="n"/>
      <c r="AF1874" s="215" t="n"/>
      <c r="AG1874" s="215" t="n"/>
      <c r="AH1874" s="215" t="n"/>
      <c r="AI1874" s="215" t="n"/>
      <c r="AJ1874" s="215" t="n"/>
      <c r="AK1874" s="216" t="n"/>
    </row>
    <row r="1875" ht="15" customHeight="1">
      <c r="B1875" s="134" t="n"/>
      <c r="C1875" s="105" t="n"/>
      <c r="D1875" s="105" t="n"/>
      <c r="E1875" s="105" t="n"/>
      <c r="F1875" s="105" t="n"/>
      <c r="G1875" s="105" t="n"/>
      <c r="H1875" s="2" t="n"/>
      <c r="I1875" s="105" t="n"/>
      <c r="K1875" s="215" t="n"/>
      <c r="L1875" s="215" t="n"/>
      <c r="M1875" s="215" t="n"/>
      <c r="N1875" s="215" t="n"/>
      <c r="O1875" s="215" t="n"/>
      <c r="P1875" s="215" t="n"/>
      <c r="Q1875" s="215" t="n"/>
      <c r="R1875" s="215" t="n"/>
      <c r="S1875" s="215" t="n"/>
      <c r="T1875" s="215" t="n"/>
      <c r="U1875" s="215" t="n"/>
      <c r="V1875" s="215" t="n"/>
      <c r="W1875" s="215" t="n"/>
      <c r="X1875" s="215" t="n"/>
      <c r="Y1875" s="215" t="n"/>
      <c r="Z1875" s="215" t="n"/>
      <c r="AA1875" s="215" t="n"/>
      <c r="AB1875" s="215" t="n"/>
      <c r="AC1875" s="215" t="n"/>
      <c r="AD1875" s="215" t="n"/>
      <c r="AE1875" s="215" t="n"/>
      <c r="AF1875" s="215" t="n"/>
      <c r="AG1875" s="215" t="n"/>
      <c r="AH1875" s="215" t="n"/>
      <c r="AI1875" s="215" t="n"/>
      <c r="AJ1875" s="215" t="n"/>
      <c r="AK1875" s="216" t="n"/>
    </row>
    <row r="1876" ht="15" customHeight="1">
      <c r="B1876" s="134" t="n"/>
      <c r="C1876" s="105" t="n"/>
      <c r="D1876" s="105" t="n"/>
      <c r="E1876" s="105" t="n"/>
      <c r="F1876" s="105" t="n"/>
      <c r="G1876" s="105" t="n"/>
      <c r="H1876" s="2" t="n"/>
      <c r="I1876" s="105" t="n"/>
      <c r="K1876" s="215" t="n"/>
      <c r="L1876" s="215" t="n"/>
      <c r="M1876" s="215" t="n"/>
      <c r="N1876" s="215" t="n"/>
      <c r="O1876" s="215" t="n"/>
      <c r="P1876" s="215" t="n"/>
      <c r="Q1876" s="215" t="n"/>
      <c r="R1876" s="215" t="n"/>
      <c r="S1876" s="215" t="n"/>
      <c r="T1876" s="215" t="n"/>
      <c r="U1876" s="215" t="n"/>
      <c r="V1876" s="215" t="n"/>
      <c r="W1876" s="215" t="n"/>
      <c r="X1876" s="215" t="n"/>
      <c r="Y1876" s="215" t="n"/>
      <c r="Z1876" s="215" t="n"/>
      <c r="AA1876" s="215" t="n"/>
      <c r="AB1876" s="215" t="n"/>
      <c r="AC1876" s="215" t="n"/>
      <c r="AD1876" s="215" t="n"/>
      <c r="AE1876" s="215" t="n"/>
      <c r="AF1876" s="215" t="n"/>
      <c r="AG1876" s="215" t="n"/>
      <c r="AH1876" s="215" t="n"/>
      <c r="AI1876" s="215" t="n"/>
      <c r="AJ1876" s="215" t="n"/>
      <c r="AK1876" s="216" t="n"/>
    </row>
    <row r="1877" ht="15" customHeight="1">
      <c r="B1877" s="134" t="n"/>
      <c r="C1877" s="105" t="n"/>
      <c r="D1877" s="105" t="n"/>
      <c r="E1877" s="105" t="n"/>
      <c r="F1877" s="105" t="n"/>
      <c r="G1877" s="105" t="n"/>
      <c r="H1877" s="2" t="n"/>
      <c r="I1877" s="105" t="n"/>
      <c r="K1877" s="215" t="n"/>
      <c r="L1877" s="215" t="n"/>
      <c r="M1877" s="215" t="n"/>
      <c r="N1877" s="215" t="n"/>
      <c r="O1877" s="215" t="n"/>
      <c r="P1877" s="215" t="n"/>
      <c r="Q1877" s="215" t="n"/>
      <c r="R1877" s="215" t="n"/>
      <c r="S1877" s="215" t="n"/>
      <c r="T1877" s="215" t="n"/>
      <c r="U1877" s="215" t="n"/>
      <c r="V1877" s="215" t="n"/>
      <c r="W1877" s="215" t="n"/>
      <c r="X1877" s="215" t="n"/>
      <c r="Y1877" s="215" t="n"/>
      <c r="Z1877" s="215" t="n"/>
      <c r="AA1877" s="215" t="n"/>
      <c r="AB1877" s="215" t="n"/>
      <c r="AC1877" s="215" t="n"/>
      <c r="AD1877" s="215" t="n"/>
      <c r="AE1877" s="215" t="n"/>
      <c r="AF1877" s="215" t="n"/>
      <c r="AG1877" s="215" t="n"/>
      <c r="AH1877" s="215" t="n"/>
      <c r="AI1877" s="215" t="n"/>
      <c r="AJ1877" s="215" t="n"/>
      <c r="AK1877" s="216" t="n"/>
    </row>
    <row r="1878" ht="15" customHeight="1">
      <c r="B1878" s="134" t="n"/>
      <c r="C1878" s="105" t="n"/>
      <c r="D1878" s="105" t="n"/>
      <c r="E1878" s="105" t="n"/>
      <c r="F1878" s="105" t="n"/>
      <c r="G1878" s="105" t="n"/>
      <c r="H1878" s="2" t="n"/>
      <c r="I1878" s="105" t="n"/>
      <c r="K1878" s="215" t="n"/>
      <c r="L1878" s="215" t="n"/>
      <c r="M1878" s="215" t="n"/>
      <c r="N1878" s="215" t="n"/>
      <c r="O1878" s="215" t="n"/>
      <c r="P1878" s="215" t="n"/>
      <c r="Q1878" s="215" t="n"/>
      <c r="R1878" s="215" t="n"/>
      <c r="S1878" s="215" t="n"/>
      <c r="T1878" s="215" t="n"/>
      <c r="U1878" s="215" t="n"/>
      <c r="V1878" s="215" t="n"/>
      <c r="W1878" s="215" t="n"/>
      <c r="X1878" s="215" t="n"/>
      <c r="Y1878" s="215" t="n"/>
      <c r="Z1878" s="215" t="n"/>
      <c r="AA1878" s="215" t="n"/>
      <c r="AB1878" s="215" t="n"/>
      <c r="AC1878" s="215" t="n"/>
      <c r="AD1878" s="215" t="n"/>
      <c r="AE1878" s="215" t="n"/>
      <c r="AF1878" s="215" t="n"/>
      <c r="AG1878" s="215" t="n"/>
      <c r="AH1878" s="215" t="n"/>
      <c r="AI1878" s="215" t="n"/>
      <c r="AJ1878" s="215" t="n"/>
      <c r="AK1878" s="216" t="n"/>
    </row>
    <row r="1879" ht="15" customHeight="1">
      <c r="B1879" s="134" t="n"/>
      <c r="C1879" s="105" t="n"/>
      <c r="D1879" s="105" t="n"/>
      <c r="E1879" s="105" t="n"/>
      <c r="F1879" s="105" t="n"/>
      <c r="G1879" s="105" t="n"/>
      <c r="H1879" s="2" t="n"/>
      <c r="I1879" s="105" t="n"/>
      <c r="K1879" s="215" t="n"/>
      <c r="L1879" s="215" t="n"/>
      <c r="M1879" s="215" t="n"/>
      <c r="N1879" s="215" t="n"/>
      <c r="O1879" s="215" t="n"/>
      <c r="P1879" s="215" t="n"/>
      <c r="Q1879" s="215" t="n"/>
      <c r="R1879" s="215" t="n"/>
      <c r="S1879" s="215" t="n"/>
      <c r="T1879" s="215" t="n"/>
      <c r="U1879" s="215" t="n"/>
      <c r="V1879" s="215" t="n"/>
      <c r="W1879" s="215" t="n"/>
      <c r="X1879" s="215" t="n"/>
      <c r="Y1879" s="215" t="n"/>
      <c r="Z1879" s="215" t="n"/>
      <c r="AA1879" s="215" t="n"/>
      <c r="AB1879" s="215" t="n"/>
      <c r="AC1879" s="215" t="n"/>
      <c r="AD1879" s="215" t="n"/>
      <c r="AE1879" s="215" t="n"/>
      <c r="AF1879" s="215" t="n"/>
      <c r="AG1879" s="215" t="n"/>
      <c r="AH1879" s="215" t="n"/>
      <c r="AI1879" s="215" t="n"/>
      <c r="AJ1879" s="215" t="n"/>
      <c r="AK1879" s="216" t="n"/>
    </row>
    <row r="1880" ht="15" customHeight="1">
      <c r="B1880" s="134" t="n"/>
      <c r="C1880" s="105" t="n"/>
      <c r="D1880" s="105" t="n"/>
      <c r="E1880" s="105" t="n"/>
      <c r="F1880" s="105" t="n"/>
      <c r="G1880" s="105" t="n"/>
      <c r="H1880" s="2" t="n"/>
      <c r="I1880" s="105" t="n"/>
      <c r="K1880" s="215" t="n"/>
      <c r="L1880" s="215" t="n"/>
      <c r="M1880" s="215" t="n"/>
      <c r="N1880" s="215" t="n"/>
      <c r="O1880" s="215" t="n"/>
      <c r="P1880" s="215" t="n"/>
      <c r="Q1880" s="215" t="n"/>
      <c r="R1880" s="215" t="n"/>
      <c r="S1880" s="215" t="n"/>
      <c r="T1880" s="215" t="n"/>
      <c r="U1880" s="215" t="n"/>
      <c r="V1880" s="215" t="n"/>
      <c r="W1880" s="215" t="n"/>
      <c r="X1880" s="215" t="n"/>
      <c r="Y1880" s="215" t="n"/>
      <c r="Z1880" s="215" t="n"/>
      <c r="AA1880" s="215" t="n"/>
      <c r="AB1880" s="215" t="n"/>
      <c r="AC1880" s="215" t="n"/>
      <c r="AD1880" s="215" t="n"/>
      <c r="AE1880" s="215" t="n"/>
      <c r="AF1880" s="215" t="n"/>
      <c r="AG1880" s="215" t="n"/>
      <c r="AH1880" s="215" t="n"/>
      <c r="AI1880" s="215" t="n"/>
      <c r="AJ1880" s="215" t="n"/>
      <c r="AK1880" s="216" t="n"/>
    </row>
    <row r="1881" ht="15" customHeight="1">
      <c r="B1881" s="134" t="n"/>
      <c r="C1881" s="105" t="n"/>
      <c r="D1881" s="105" t="n"/>
      <c r="E1881" s="105" t="n"/>
      <c r="F1881" s="105" t="n"/>
      <c r="G1881" s="105" t="n"/>
      <c r="H1881" s="2" t="n"/>
      <c r="I1881" s="105" t="n"/>
      <c r="K1881" s="215" t="n"/>
      <c r="L1881" s="215" t="n"/>
      <c r="M1881" s="215" t="n"/>
      <c r="N1881" s="215" t="n"/>
      <c r="O1881" s="215" t="n"/>
      <c r="P1881" s="215" t="n"/>
      <c r="Q1881" s="215" t="n"/>
      <c r="R1881" s="215" t="n"/>
      <c r="S1881" s="215" t="n"/>
      <c r="T1881" s="215" t="n"/>
      <c r="U1881" s="215" t="n"/>
      <c r="V1881" s="215" t="n"/>
      <c r="W1881" s="215" t="n"/>
      <c r="X1881" s="215" t="n"/>
      <c r="Y1881" s="215" t="n"/>
      <c r="Z1881" s="215" t="n"/>
      <c r="AA1881" s="215" t="n"/>
      <c r="AB1881" s="215" t="n"/>
      <c r="AC1881" s="215" t="n"/>
      <c r="AD1881" s="215" t="n"/>
      <c r="AE1881" s="215" t="n"/>
      <c r="AF1881" s="215" t="n"/>
      <c r="AG1881" s="215" t="n"/>
      <c r="AH1881" s="215" t="n"/>
      <c r="AI1881" s="215" t="n"/>
      <c r="AJ1881" s="215" t="n"/>
      <c r="AK1881" s="216" t="n"/>
    </row>
    <row r="1882" ht="15" customHeight="1">
      <c r="B1882" s="134" t="n"/>
      <c r="C1882" s="105" t="n"/>
      <c r="D1882" s="105" t="n"/>
      <c r="E1882" s="105" t="n"/>
      <c r="F1882" s="105" t="n"/>
      <c r="G1882" s="105" t="n"/>
      <c r="H1882" s="2" t="n"/>
      <c r="I1882" s="105" t="n"/>
      <c r="K1882" s="215" t="n"/>
      <c r="L1882" s="215" t="n"/>
      <c r="M1882" s="215" t="n"/>
      <c r="N1882" s="215" t="n"/>
      <c r="O1882" s="215" t="n"/>
      <c r="P1882" s="215" t="n"/>
      <c r="Q1882" s="215" t="n"/>
      <c r="R1882" s="215" t="n"/>
      <c r="S1882" s="215" t="n"/>
      <c r="T1882" s="215" t="n"/>
      <c r="U1882" s="215" t="n"/>
      <c r="V1882" s="215" t="n"/>
      <c r="W1882" s="215" t="n"/>
      <c r="X1882" s="215" t="n"/>
      <c r="Y1882" s="215" t="n"/>
      <c r="Z1882" s="215" t="n"/>
      <c r="AA1882" s="215" t="n"/>
      <c r="AB1882" s="215" t="n"/>
      <c r="AC1882" s="215" t="n"/>
      <c r="AD1882" s="215" t="n"/>
      <c r="AE1882" s="215" t="n"/>
      <c r="AF1882" s="215" t="n"/>
      <c r="AG1882" s="215" t="n"/>
      <c r="AH1882" s="215" t="n"/>
      <c r="AI1882" s="215" t="n"/>
      <c r="AJ1882" s="215" t="n"/>
      <c r="AK1882" s="216" t="n"/>
    </row>
    <row r="1883" ht="15" customHeight="1">
      <c r="B1883" s="134" t="n"/>
      <c r="C1883" s="105" t="n"/>
      <c r="D1883" s="105" t="n"/>
      <c r="E1883" s="105" t="n"/>
      <c r="F1883" s="105" t="n"/>
      <c r="G1883" s="105" t="n"/>
      <c r="H1883" s="2" t="n"/>
      <c r="I1883" s="105" t="n"/>
      <c r="K1883" s="215" t="n"/>
      <c r="L1883" s="215" t="n"/>
      <c r="M1883" s="215" t="n"/>
      <c r="N1883" s="215" t="n"/>
      <c r="O1883" s="215" t="n"/>
      <c r="P1883" s="215" t="n"/>
      <c r="Q1883" s="215" t="n"/>
      <c r="R1883" s="215" t="n"/>
      <c r="S1883" s="215" t="n"/>
      <c r="T1883" s="215" t="n"/>
      <c r="U1883" s="215" t="n"/>
      <c r="V1883" s="215" t="n"/>
      <c r="W1883" s="215" t="n"/>
      <c r="X1883" s="215" t="n"/>
      <c r="Y1883" s="215" t="n"/>
      <c r="Z1883" s="215" t="n"/>
      <c r="AA1883" s="215" t="n"/>
      <c r="AB1883" s="215" t="n"/>
      <c r="AC1883" s="215" t="n"/>
      <c r="AD1883" s="215" t="n"/>
      <c r="AE1883" s="215" t="n"/>
      <c r="AF1883" s="215" t="n"/>
      <c r="AG1883" s="215" t="n"/>
      <c r="AH1883" s="215" t="n"/>
      <c r="AI1883" s="215" t="n"/>
      <c r="AJ1883" s="215" t="n"/>
      <c r="AK1883" s="216" t="n"/>
    </row>
    <row r="1884" ht="15" customHeight="1">
      <c r="B1884" s="134" t="n"/>
      <c r="C1884" s="105" t="n"/>
      <c r="D1884" s="105" t="n"/>
      <c r="E1884" s="105" t="n"/>
      <c r="F1884" s="105" t="n"/>
      <c r="G1884" s="105" t="n"/>
      <c r="H1884" s="2" t="n"/>
      <c r="I1884" s="105" t="n"/>
      <c r="K1884" s="215" t="n"/>
      <c r="L1884" s="215" t="n"/>
      <c r="M1884" s="215" t="n"/>
      <c r="N1884" s="215" t="n"/>
      <c r="O1884" s="215" t="n"/>
      <c r="P1884" s="215" t="n"/>
      <c r="Q1884" s="215" t="n"/>
      <c r="R1884" s="215" t="n"/>
      <c r="S1884" s="215" t="n"/>
      <c r="T1884" s="215" t="n"/>
      <c r="U1884" s="215" t="n"/>
      <c r="V1884" s="215" t="n"/>
      <c r="W1884" s="215" t="n"/>
      <c r="X1884" s="215" t="n"/>
      <c r="Y1884" s="215" t="n"/>
      <c r="Z1884" s="215" t="n"/>
      <c r="AA1884" s="215" t="n"/>
      <c r="AB1884" s="215" t="n"/>
      <c r="AC1884" s="215" t="n"/>
      <c r="AD1884" s="215" t="n"/>
      <c r="AE1884" s="215" t="n"/>
      <c r="AF1884" s="215" t="n"/>
      <c r="AG1884" s="215" t="n"/>
      <c r="AH1884" s="215" t="n"/>
      <c r="AI1884" s="215" t="n"/>
      <c r="AJ1884" s="215" t="n"/>
      <c r="AK1884" s="216" t="n"/>
    </row>
    <row r="1885" ht="15" customHeight="1">
      <c r="B1885" s="134" t="n"/>
      <c r="C1885" s="105" t="n"/>
      <c r="D1885" s="105" t="n"/>
      <c r="E1885" s="105" t="n"/>
      <c r="F1885" s="105" t="n"/>
      <c r="G1885" s="105" t="n"/>
      <c r="H1885" s="2" t="n"/>
      <c r="I1885" s="105" t="n"/>
      <c r="K1885" s="215" t="n"/>
      <c r="L1885" s="215" t="n"/>
      <c r="M1885" s="215" t="n"/>
      <c r="N1885" s="215" t="n"/>
      <c r="O1885" s="215" t="n"/>
      <c r="P1885" s="215" t="n"/>
      <c r="Q1885" s="215" t="n"/>
      <c r="R1885" s="215" t="n"/>
      <c r="S1885" s="215" t="n"/>
      <c r="T1885" s="215" t="n"/>
      <c r="U1885" s="215" t="n"/>
      <c r="V1885" s="215" t="n"/>
      <c r="W1885" s="215" t="n"/>
      <c r="X1885" s="215" t="n"/>
      <c r="Y1885" s="215" t="n"/>
      <c r="Z1885" s="215" t="n"/>
      <c r="AA1885" s="215" t="n"/>
      <c r="AB1885" s="215" t="n"/>
      <c r="AC1885" s="215" t="n"/>
      <c r="AD1885" s="215" t="n"/>
      <c r="AE1885" s="215" t="n"/>
      <c r="AF1885" s="215" t="n"/>
      <c r="AG1885" s="215" t="n"/>
      <c r="AH1885" s="215" t="n"/>
      <c r="AI1885" s="215" t="n"/>
      <c r="AJ1885" s="215" t="n"/>
      <c r="AK1885" s="216" t="n"/>
    </row>
    <row r="1886" ht="15" customHeight="1">
      <c r="B1886" s="134" t="n"/>
      <c r="C1886" s="105" t="n"/>
      <c r="D1886" s="105" t="n"/>
      <c r="E1886" s="105" t="n"/>
      <c r="F1886" s="105" t="n"/>
      <c r="G1886" s="105" t="n"/>
      <c r="H1886" s="2" t="n"/>
      <c r="I1886" s="105" t="n"/>
      <c r="K1886" s="215" t="n"/>
      <c r="L1886" s="215" t="n"/>
      <c r="M1886" s="215" t="n"/>
      <c r="N1886" s="215" t="n"/>
      <c r="O1886" s="215" t="n"/>
      <c r="P1886" s="215" t="n"/>
      <c r="Q1886" s="215" t="n"/>
      <c r="R1886" s="215" t="n"/>
      <c r="S1886" s="215" t="n"/>
      <c r="T1886" s="215" t="n"/>
      <c r="U1886" s="215" t="n"/>
      <c r="V1886" s="215" t="n"/>
      <c r="W1886" s="215" t="n"/>
      <c r="X1886" s="215" t="n"/>
      <c r="Y1886" s="215" t="n"/>
      <c r="Z1886" s="215" t="n"/>
      <c r="AA1886" s="215" t="n"/>
      <c r="AB1886" s="215" t="n"/>
      <c r="AC1886" s="215" t="n"/>
      <c r="AD1886" s="215" t="n"/>
      <c r="AE1886" s="215" t="n"/>
      <c r="AF1886" s="215" t="n"/>
      <c r="AG1886" s="215" t="n"/>
      <c r="AH1886" s="215" t="n"/>
      <c r="AI1886" s="215" t="n"/>
      <c r="AJ1886" s="215" t="n"/>
      <c r="AK1886" s="216" t="n"/>
    </row>
    <row r="1887" ht="15" customHeight="1">
      <c r="B1887" s="134" t="n"/>
      <c r="C1887" s="105" t="n"/>
      <c r="D1887" s="105" t="n"/>
      <c r="E1887" s="105" t="n"/>
      <c r="F1887" s="105" t="n"/>
      <c r="G1887" s="105" t="n"/>
      <c r="H1887" s="2" t="n"/>
      <c r="I1887" s="105" t="n"/>
      <c r="K1887" s="215" t="n"/>
      <c r="L1887" s="215" t="n"/>
      <c r="M1887" s="215" t="n"/>
      <c r="N1887" s="215" t="n"/>
      <c r="O1887" s="215" t="n"/>
      <c r="P1887" s="215" t="n"/>
      <c r="Q1887" s="215" t="n"/>
      <c r="R1887" s="215" t="n"/>
      <c r="S1887" s="215" t="n"/>
      <c r="T1887" s="215" t="n"/>
      <c r="U1887" s="215" t="n"/>
      <c r="V1887" s="215" t="n"/>
      <c r="W1887" s="215" t="n"/>
      <c r="X1887" s="215" t="n"/>
      <c r="Y1887" s="215" t="n"/>
      <c r="Z1887" s="215" t="n"/>
      <c r="AA1887" s="215" t="n"/>
      <c r="AB1887" s="215" t="n"/>
      <c r="AC1887" s="215" t="n"/>
      <c r="AD1887" s="215" t="n"/>
      <c r="AE1887" s="215" t="n"/>
      <c r="AF1887" s="215" t="n"/>
      <c r="AG1887" s="215" t="n"/>
      <c r="AH1887" s="215" t="n"/>
      <c r="AI1887" s="215" t="n"/>
      <c r="AJ1887" s="215" t="n"/>
      <c r="AK1887" s="216" t="n"/>
    </row>
    <row r="1888" ht="15" customHeight="1">
      <c r="B1888" s="134" t="n"/>
      <c r="C1888" s="105" t="n"/>
      <c r="D1888" s="105" t="n"/>
      <c r="E1888" s="105" t="n"/>
      <c r="F1888" s="105" t="n"/>
      <c r="G1888" s="105" t="n"/>
      <c r="H1888" s="2" t="n"/>
      <c r="I1888" s="105" t="n"/>
      <c r="K1888" s="215" t="n"/>
      <c r="L1888" s="215" t="n"/>
      <c r="M1888" s="215" t="n"/>
      <c r="N1888" s="215" t="n"/>
      <c r="O1888" s="215" t="n"/>
      <c r="P1888" s="215" t="n"/>
      <c r="Q1888" s="215" t="n"/>
      <c r="R1888" s="215" t="n"/>
      <c r="S1888" s="215" t="n"/>
      <c r="T1888" s="215" t="n"/>
      <c r="U1888" s="215" t="n"/>
      <c r="V1888" s="215" t="n"/>
      <c r="W1888" s="215" t="n"/>
      <c r="X1888" s="215" t="n"/>
      <c r="Y1888" s="215" t="n"/>
      <c r="Z1888" s="215" t="n"/>
      <c r="AA1888" s="215" t="n"/>
      <c r="AB1888" s="215" t="n"/>
      <c r="AC1888" s="215" t="n"/>
      <c r="AD1888" s="215" t="n"/>
      <c r="AE1888" s="215" t="n"/>
      <c r="AF1888" s="215" t="n"/>
      <c r="AG1888" s="215" t="n"/>
      <c r="AH1888" s="215" t="n"/>
      <c r="AI1888" s="215" t="n"/>
      <c r="AJ1888" s="215" t="n"/>
      <c r="AK1888" s="216" t="n"/>
    </row>
    <row r="1889" ht="15" customHeight="1">
      <c r="B1889" s="134" t="n"/>
      <c r="C1889" s="105" t="n"/>
      <c r="D1889" s="105" t="n"/>
      <c r="E1889" s="105" t="n"/>
      <c r="F1889" s="105" t="n"/>
      <c r="G1889" s="105" t="n"/>
      <c r="H1889" s="2" t="n"/>
      <c r="I1889" s="105" t="n"/>
      <c r="K1889" s="215" t="n"/>
      <c r="L1889" s="215" t="n"/>
      <c r="M1889" s="215" t="n"/>
      <c r="N1889" s="215" t="n"/>
      <c r="O1889" s="215" t="n"/>
      <c r="P1889" s="215" t="n"/>
      <c r="Q1889" s="215" t="n"/>
      <c r="R1889" s="215" t="n"/>
      <c r="S1889" s="215" t="n"/>
      <c r="T1889" s="215" t="n"/>
      <c r="U1889" s="215" t="n"/>
      <c r="V1889" s="215" t="n"/>
      <c r="W1889" s="215" t="n"/>
      <c r="X1889" s="215" t="n"/>
      <c r="Y1889" s="215" t="n"/>
      <c r="Z1889" s="215" t="n"/>
      <c r="AA1889" s="215" t="n"/>
      <c r="AB1889" s="215" t="n"/>
      <c r="AC1889" s="215" t="n"/>
      <c r="AD1889" s="215" t="n"/>
      <c r="AE1889" s="215" t="n"/>
      <c r="AF1889" s="215" t="n"/>
      <c r="AG1889" s="215" t="n"/>
      <c r="AH1889" s="215" t="n"/>
      <c r="AI1889" s="215" t="n"/>
      <c r="AJ1889" s="215" t="n"/>
      <c r="AK1889" s="216" t="n"/>
    </row>
    <row r="1890" ht="15" customHeight="1">
      <c r="B1890" s="134" t="n"/>
      <c r="C1890" s="105" t="n"/>
      <c r="D1890" s="105" t="n"/>
      <c r="E1890" s="105" t="n"/>
      <c r="F1890" s="105" t="n"/>
      <c r="G1890" s="105" t="n"/>
      <c r="H1890" s="2" t="n"/>
      <c r="I1890" s="105" t="n"/>
      <c r="K1890" s="215" t="n"/>
      <c r="L1890" s="215" t="n"/>
      <c r="M1890" s="215" t="n"/>
      <c r="N1890" s="215" t="n"/>
      <c r="O1890" s="215" t="n"/>
      <c r="P1890" s="215" t="n"/>
      <c r="Q1890" s="215" t="n"/>
      <c r="R1890" s="215" t="n"/>
      <c r="S1890" s="215" t="n"/>
      <c r="T1890" s="215" t="n"/>
      <c r="U1890" s="215" t="n"/>
      <c r="V1890" s="215" t="n"/>
      <c r="W1890" s="215" t="n"/>
      <c r="X1890" s="215" t="n"/>
      <c r="Y1890" s="215" t="n"/>
      <c r="Z1890" s="215" t="n"/>
      <c r="AA1890" s="215" t="n"/>
      <c r="AB1890" s="215" t="n"/>
      <c r="AC1890" s="215" t="n"/>
      <c r="AD1890" s="215" t="n"/>
      <c r="AE1890" s="215" t="n"/>
      <c r="AF1890" s="215" t="n"/>
      <c r="AG1890" s="215" t="n"/>
      <c r="AH1890" s="215" t="n"/>
      <c r="AI1890" s="215" t="n"/>
      <c r="AJ1890" s="215" t="n"/>
      <c r="AK1890" s="216" t="n"/>
    </row>
    <row r="1891" ht="15" customHeight="1">
      <c r="B1891" s="134" t="n"/>
      <c r="C1891" s="105" t="n"/>
      <c r="D1891" s="105" t="n"/>
      <c r="E1891" s="105" t="n"/>
      <c r="F1891" s="105" t="n"/>
      <c r="G1891" s="105" t="n"/>
      <c r="H1891" s="2" t="n"/>
      <c r="I1891" s="105" t="n"/>
      <c r="K1891" s="215" t="n"/>
      <c r="L1891" s="215" t="n"/>
      <c r="M1891" s="215" t="n"/>
      <c r="N1891" s="215" t="n"/>
      <c r="O1891" s="215" t="n"/>
      <c r="P1891" s="215" t="n"/>
      <c r="Q1891" s="215" t="n"/>
      <c r="R1891" s="215" t="n"/>
      <c r="S1891" s="215" t="n"/>
      <c r="T1891" s="215" t="n"/>
      <c r="U1891" s="215" t="n"/>
      <c r="V1891" s="215" t="n"/>
      <c r="W1891" s="215" t="n"/>
      <c r="X1891" s="215" t="n"/>
      <c r="Y1891" s="215" t="n"/>
      <c r="Z1891" s="215" t="n"/>
      <c r="AA1891" s="215" t="n"/>
      <c r="AB1891" s="215" t="n"/>
      <c r="AC1891" s="215" t="n"/>
      <c r="AD1891" s="215" t="n"/>
      <c r="AE1891" s="215" t="n"/>
      <c r="AF1891" s="215" t="n"/>
      <c r="AG1891" s="215" t="n"/>
      <c r="AH1891" s="215" t="n"/>
      <c r="AI1891" s="215" t="n"/>
      <c r="AJ1891" s="215" t="n"/>
      <c r="AK1891" s="216" t="n"/>
    </row>
    <row r="1892" ht="15" customHeight="1">
      <c r="B1892" s="134" t="n"/>
      <c r="C1892" s="105" t="n"/>
      <c r="D1892" s="105" t="n"/>
      <c r="E1892" s="105" t="n"/>
      <c r="F1892" s="105" t="n"/>
      <c r="G1892" s="105" t="n"/>
      <c r="H1892" s="2" t="n"/>
      <c r="I1892" s="105" t="n"/>
      <c r="K1892" s="215" t="n"/>
      <c r="L1892" s="215" t="n"/>
      <c r="M1892" s="215" t="n"/>
      <c r="N1892" s="215" t="n"/>
      <c r="O1892" s="215" t="n"/>
      <c r="P1892" s="215" t="n"/>
      <c r="Q1892" s="215" t="n"/>
      <c r="R1892" s="215" t="n"/>
      <c r="S1892" s="215" t="n"/>
      <c r="T1892" s="215" t="n"/>
      <c r="U1892" s="215" t="n"/>
      <c r="V1892" s="215" t="n"/>
      <c r="W1892" s="215" t="n"/>
      <c r="X1892" s="215" t="n"/>
      <c r="Y1892" s="215" t="n"/>
      <c r="Z1892" s="215" t="n"/>
      <c r="AA1892" s="215" t="n"/>
      <c r="AB1892" s="215" t="n"/>
      <c r="AC1892" s="215" t="n"/>
      <c r="AD1892" s="215" t="n"/>
      <c r="AE1892" s="215" t="n"/>
      <c r="AF1892" s="215" t="n"/>
      <c r="AG1892" s="215" t="n"/>
      <c r="AH1892" s="215" t="n"/>
      <c r="AI1892" s="215" t="n"/>
      <c r="AJ1892" s="215" t="n"/>
      <c r="AK1892" s="216" t="n"/>
    </row>
    <row r="1893" ht="15" customHeight="1">
      <c r="B1893" s="134" t="n"/>
      <c r="C1893" s="105" t="n"/>
      <c r="D1893" s="105" t="n"/>
      <c r="E1893" s="105" t="n"/>
      <c r="F1893" s="105" t="n"/>
      <c r="G1893" s="105" t="n"/>
      <c r="H1893" s="2" t="n"/>
      <c r="I1893" s="105" t="n"/>
      <c r="K1893" s="215" t="n"/>
      <c r="L1893" s="215" t="n"/>
      <c r="M1893" s="215" t="n"/>
      <c r="N1893" s="215" t="n"/>
      <c r="O1893" s="215" t="n"/>
      <c r="P1893" s="215" t="n"/>
      <c r="Q1893" s="215" t="n"/>
      <c r="R1893" s="215" t="n"/>
      <c r="S1893" s="215" t="n"/>
      <c r="T1893" s="215" t="n"/>
      <c r="U1893" s="215" t="n"/>
      <c r="V1893" s="215" t="n"/>
      <c r="W1893" s="215" t="n"/>
      <c r="X1893" s="215" t="n"/>
      <c r="Y1893" s="215" t="n"/>
      <c r="Z1893" s="215" t="n"/>
      <c r="AA1893" s="215" t="n"/>
      <c r="AB1893" s="215" t="n"/>
      <c r="AC1893" s="215" t="n"/>
      <c r="AD1893" s="215" t="n"/>
      <c r="AE1893" s="215" t="n"/>
      <c r="AF1893" s="215" t="n"/>
      <c r="AG1893" s="215" t="n"/>
      <c r="AH1893" s="215" t="n"/>
      <c r="AI1893" s="215" t="n"/>
      <c r="AJ1893" s="215" t="n"/>
      <c r="AK1893" s="216" t="n"/>
    </row>
    <row r="1894" ht="15" customHeight="1">
      <c r="B1894" s="134" t="n"/>
      <c r="C1894" s="105" t="n"/>
      <c r="D1894" s="105" t="n"/>
      <c r="E1894" s="105" t="n"/>
      <c r="F1894" s="105" t="n"/>
      <c r="G1894" s="105" t="n"/>
      <c r="H1894" s="2" t="n"/>
      <c r="I1894" s="105" t="n"/>
      <c r="K1894" s="215" t="n"/>
      <c r="L1894" s="215" t="n"/>
      <c r="M1894" s="215" t="n"/>
      <c r="N1894" s="215" t="n"/>
      <c r="O1894" s="215" t="n"/>
      <c r="P1894" s="215" t="n"/>
      <c r="Q1894" s="215" t="n"/>
      <c r="R1894" s="215" t="n"/>
      <c r="S1894" s="215" t="n"/>
      <c r="T1894" s="215" t="n"/>
      <c r="U1894" s="215" t="n"/>
      <c r="V1894" s="215" t="n"/>
      <c r="W1894" s="215" t="n"/>
      <c r="X1894" s="215" t="n"/>
      <c r="Y1894" s="215" t="n"/>
      <c r="Z1894" s="215" t="n"/>
      <c r="AA1894" s="215" t="n"/>
      <c r="AB1894" s="215" t="n"/>
      <c r="AC1894" s="215" t="n"/>
      <c r="AD1894" s="215" t="n"/>
      <c r="AE1894" s="215" t="n"/>
      <c r="AF1894" s="215" t="n"/>
      <c r="AG1894" s="215" t="n"/>
      <c r="AH1894" s="215" t="n"/>
      <c r="AI1894" s="215" t="n"/>
      <c r="AJ1894" s="215" t="n"/>
      <c r="AK1894" s="216" t="n"/>
    </row>
    <row r="1895" ht="15" customHeight="1">
      <c r="B1895" s="134" t="n"/>
      <c r="C1895" s="105" t="n"/>
      <c r="D1895" s="105" t="n"/>
      <c r="E1895" s="105" t="n"/>
      <c r="F1895" s="105" t="n"/>
      <c r="G1895" s="105" t="n"/>
      <c r="H1895" s="2" t="n"/>
      <c r="I1895" s="105" t="n"/>
      <c r="K1895" s="215" t="n"/>
      <c r="L1895" s="215" t="n"/>
      <c r="M1895" s="215" t="n"/>
      <c r="N1895" s="215" t="n"/>
      <c r="O1895" s="215" t="n"/>
      <c r="P1895" s="215" t="n"/>
      <c r="Q1895" s="215" t="n"/>
      <c r="R1895" s="215" t="n"/>
      <c r="S1895" s="215" t="n"/>
      <c r="T1895" s="215" t="n"/>
      <c r="U1895" s="215" t="n"/>
      <c r="V1895" s="215" t="n"/>
      <c r="W1895" s="215" t="n"/>
      <c r="X1895" s="215" t="n"/>
      <c r="Y1895" s="215" t="n"/>
      <c r="Z1895" s="215" t="n"/>
      <c r="AA1895" s="215" t="n"/>
      <c r="AB1895" s="215" t="n"/>
      <c r="AC1895" s="215" t="n"/>
      <c r="AD1895" s="215" t="n"/>
      <c r="AE1895" s="215" t="n"/>
      <c r="AF1895" s="215" t="n"/>
      <c r="AG1895" s="215" t="n"/>
      <c r="AH1895" s="215" t="n"/>
      <c r="AI1895" s="215" t="n"/>
      <c r="AJ1895" s="215" t="n"/>
      <c r="AK1895" s="216" t="n"/>
    </row>
    <row r="1896" ht="15" customHeight="1">
      <c r="B1896" s="134" t="n"/>
      <c r="C1896" s="105" t="n"/>
      <c r="D1896" s="105" t="n"/>
      <c r="E1896" s="105" t="n"/>
      <c r="F1896" s="105" t="n"/>
      <c r="G1896" s="105" t="n"/>
      <c r="H1896" s="2" t="n"/>
      <c r="I1896" s="105" t="n"/>
      <c r="K1896" s="215" t="n"/>
      <c r="L1896" s="215" t="n"/>
      <c r="M1896" s="215" t="n"/>
      <c r="N1896" s="215" t="n"/>
      <c r="O1896" s="215" t="n"/>
      <c r="P1896" s="215" t="n"/>
      <c r="Q1896" s="215" t="n"/>
      <c r="R1896" s="215" t="n"/>
      <c r="S1896" s="215" t="n"/>
      <c r="T1896" s="215" t="n"/>
      <c r="U1896" s="215" t="n"/>
      <c r="V1896" s="215" t="n"/>
      <c r="W1896" s="215" t="n"/>
      <c r="X1896" s="215" t="n"/>
      <c r="Y1896" s="215" t="n"/>
      <c r="Z1896" s="215" t="n"/>
      <c r="AA1896" s="215" t="n"/>
      <c r="AB1896" s="215" t="n"/>
      <c r="AC1896" s="215" t="n"/>
      <c r="AD1896" s="215" t="n"/>
      <c r="AE1896" s="215" t="n"/>
      <c r="AF1896" s="215" t="n"/>
      <c r="AG1896" s="215" t="n"/>
      <c r="AH1896" s="215" t="n"/>
      <c r="AI1896" s="215" t="n"/>
      <c r="AJ1896" s="215" t="n"/>
      <c r="AK1896" s="216" t="n"/>
    </row>
    <row r="1897" ht="15" customHeight="1">
      <c r="B1897" s="134" t="n"/>
      <c r="C1897" s="105" t="n"/>
      <c r="D1897" s="105" t="n"/>
      <c r="E1897" s="105" t="n"/>
      <c r="F1897" s="105" t="n"/>
      <c r="G1897" s="105" t="n"/>
      <c r="H1897" s="2" t="n"/>
      <c r="I1897" s="105" t="n"/>
      <c r="K1897" s="215" t="n"/>
      <c r="L1897" s="215" t="n"/>
      <c r="M1897" s="215" t="n"/>
      <c r="N1897" s="215" t="n"/>
      <c r="O1897" s="215" t="n"/>
      <c r="P1897" s="215" t="n"/>
      <c r="Q1897" s="215" t="n"/>
      <c r="R1897" s="215" t="n"/>
      <c r="S1897" s="215" t="n"/>
      <c r="T1897" s="215" t="n"/>
      <c r="U1897" s="215" t="n"/>
      <c r="V1897" s="215" t="n"/>
      <c r="W1897" s="215" t="n"/>
      <c r="X1897" s="215" t="n"/>
      <c r="Y1897" s="215" t="n"/>
      <c r="Z1897" s="215" t="n"/>
      <c r="AA1897" s="215" t="n"/>
      <c r="AB1897" s="215" t="n"/>
      <c r="AC1897" s="215" t="n"/>
      <c r="AD1897" s="215" t="n"/>
      <c r="AE1897" s="215" t="n"/>
      <c r="AF1897" s="215" t="n"/>
      <c r="AG1897" s="215" t="n"/>
      <c r="AH1897" s="215" t="n"/>
      <c r="AI1897" s="215" t="n"/>
      <c r="AJ1897" s="215" t="n"/>
      <c r="AK1897" s="216" t="n"/>
    </row>
    <row r="1898" ht="15" customHeight="1">
      <c r="B1898" s="134" t="n"/>
      <c r="C1898" s="105" t="n"/>
      <c r="D1898" s="105" t="n"/>
      <c r="E1898" s="105" t="n"/>
      <c r="F1898" s="105" t="n"/>
      <c r="G1898" s="105" t="n"/>
      <c r="H1898" s="2" t="n"/>
      <c r="I1898" s="105" t="n"/>
      <c r="K1898" s="215" t="n"/>
      <c r="L1898" s="215" t="n"/>
      <c r="M1898" s="215" t="n"/>
      <c r="N1898" s="215" t="n"/>
      <c r="O1898" s="215" t="n"/>
      <c r="P1898" s="215" t="n"/>
      <c r="Q1898" s="215" t="n"/>
      <c r="R1898" s="215" t="n"/>
      <c r="S1898" s="215" t="n"/>
      <c r="T1898" s="215" t="n"/>
      <c r="U1898" s="215" t="n"/>
      <c r="V1898" s="215" t="n"/>
      <c r="W1898" s="215" t="n"/>
      <c r="X1898" s="215" t="n"/>
      <c r="Y1898" s="215" t="n"/>
      <c r="Z1898" s="215" t="n"/>
      <c r="AA1898" s="215" t="n"/>
      <c r="AB1898" s="215" t="n"/>
      <c r="AC1898" s="215" t="n"/>
      <c r="AD1898" s="215" t="n"/>
      <c r="AE1898" s="215" t="n"/>
      <c r="AF1898" s="215" t="n"/>
      <c r="AG1898" s="215" t="n"/>
      <c r="AH1898" s="215" t="n"/>
      <c r="AI1898" s="215" t="n"/>
      <c r="AJ1898" s="215" t="n"/>
      <c r="AK1898" s="216" t="n"/>
    </row>
    <row r="1899" ht="15" customHeight="1">
      <c r="B1899" s="134" t="n"/>
      <c r="C1899" s="105" t="n"/>
      <c r="D1899" s="105" t="n"/>
      <c r="E1899" s="105" t="n"/>
      <c r="F1899" s="105" t="n"/>
      <c r="G1899" s="105" t="n"/>
      <c r="H1899" s="2" t="n"/>
      <c r="I1899" s="105" t="n"/>
      <c r="K1899" s="215" t="n"/>
      <c r="L1899" s="215" t="n"/>
      <c r="M1899" s="215" t="n"/>
      <c r="N1899" s="215" t="n"/>
      <c r="O1899" s="215" t="n"/>
      <c r="P1899" s="215" t="n"/>
      <c r="Q1899" s="215" t="n"/>
      <c r="R1899" s="215" t="n"/>
      <c r="S1899" s="215" t="n"/>
      <c r="T1899" s="215" t="n"/>
      <c r="U1899" s="215" t="n"/>
      <c r="V1899" s="215" t="n"/>
      <c r="W1899" s="215" t="n"/>
      <c r="X1899" s="215" t="n"/>
      <c r="Y1899" s="215" t="n"/>
      <c r="Z1899" s="215" t="n"/>
      <c r="AA1899" s="215" t="n"/>
      <c r="AB1899" s="215" t="n"/>
      <c r="AC1899" s="215" t="n"/>
      <c r="AD1899" s="215" t="n"/>
      <c r="AE1899" s="215" t="n"/>
      <c r="AF1899" s="215" t="n"/>
      <c r="AG1899" s="215" t="n"/>
      <c r="AH1899" s="215" t="n"/>
      <c r="AI1899" s="215" t="n"/>
      <c r="AJ1899" s="215" t="n"/>
      <c r="AK1899" s="216" t="n"/>
    </row>
    <row r="1900" ht="15" customHeight="1">
      <c r="B1900" s="134" t="n"/>
      <c r="C1900" s="105" t="n"/>
      <c r="D1900" s="105" t="n"/>
      <c r="E1900" s="105" t="n"/>
      <c r="F1900" s="105" t="n"/>
      <c r="G1900" s="105" t="n"/>
      <c r="H1900" s="2" t="n"/>
      <c r="I1900" s="105" t="n"/>
      <c r="K1900" s="215" t="n"/>
      <c r="L1900" s="215" t="n"/>
      <c r="M1900" s="215" t="n"/>
      <c r="N1900" s="215" t="n"/>
      <c r="O1900" s="215" t="n"/>
      <c r="P1900" s="215" t="n"/>
      <c r="Q1900" s="215" t="n"/>
      <c r="R1900" s="215" t="n"/>
      <c r="S1900" s="215" t="n"/>
      <c r="T1900" s="215" t="n"/>
      <c r="U1900" s="215" t="n"/>
      <c r="V1900" s="215" t="n"/>
      <c r="W1900" s="215" t="n"/>
      <c r="X1900" s="215" t="n"/>
      <c r="Y1900" s="215" t="n"/>
      <c r="Z1900" s="215" t="n"/>
      <c r="AA1900" s="215" t="n"/>
      <c r="AB1900" s="215" t="n"/>
      <c r="AC1900" s="215" t="n"/>
      <c r="AD1900" s="215" t="n"/>
      <c r="AE1900" s="215" t="n"/>
      <c r="AF1900" s="215" t="n"/>
      <c r="AG1900" s="215" t="n"/>
      <c r="AH1900" s="215" t="n"/>
      <c r="AI1900" s="215" t="n"/>
      <c r="AJ1900" s="215" t="n"/>
      <c r="AK1900" s="216" t="n"/>
    </row>
    <row r="1901" ht="15" customHeight="1">
      <c r="B1901" s="134" t="n"/>
      <c r="C1901" s="105" t="n"/>
      <c r="D1901" s="105" t="n"/>
      <c r="E1901" s="105" t="n"/>
      <c r="F1901" s="105" t="n"/>
      <c r="G1901" s="105" t="n"/>
      <c r="H1901" s="2" t="n"/>
      <c r="I1901" s="105" t="n"/>
      <c r="K1901" s="215" t="n"/>
      <c r="L1901" s="215" t="n"/>
      <c r="M1901" s="215" t="n"/>
      <c r="N1901" s="215" t="n"/>
      <c r="O1901" s="215" t="n"/>
      <c r="P1901" s="215" t="n"/>
      <c r="Q1901" s="215" t="n"/>
      <c r="R1901" s="215" t="n"/>
      <c r="S1901" s="215" t="n"/>
      <c r="T1901" s="215" t="n"/>
      <c r="U1901" s="215" t="n"/>
      <c r="V1901" s="215" t="n"/>
      <c r="W1901" s="215" t="n"/>
      <c r="X1901" s="215" t="n"/>
      <c r="Y1901" s="215" t="n"/>
      <c r="Z1901" s="215" t="n"/>
      <c r="AA1901" s="215" t="n"/>
      <c r="AB1901" s="215" t="n"/>
      <c r="AC1901" s="215" t="n"/>
      <c r="AD1901" s="215" t="n"/>
      <c r="AE1901" s="215" t="n"/>
      <c r="AF1901" s="215" t="n"/>
      <c r="AG1901" s="215" t="n"/>
      <c r="AH1901" s="215" t="n"/>
      <c r="AI1901" s="215" t="n"/>
      <c r="AJ1901" s="215" t="n"/>
      <c r="AK1901" s="216" t="n"/>
    </row>
    <row r="1902" ht="15" customHeight="1">
      <c r="B1902" s="134" t="n"/>
      <c r="C1902" s="105" t="n"/>
      <c r="D1902" s="105" t="n"/>
      <c r="E1902" s="105" t="n"/>
      <c r="F1902" s="105" t="n"/>
      <c r="G1902" s="105" t="n"/>
      <c r="H1902" s="2" t="n"/>
      <c r="I1902" s="105" t="n"/>
      <c r="K1902" s="215" t="n"/>
      <c r="L1902" s="215" t="n"/>
      <c r="M1902" s="215" t="n"/>
      <c r="N1902" s="215" t="n"/>
      <c r="O1902" s="215" t="n"/>
      <c r="P1902" s="215" t="n"/>
      <c r="Q1902" s="215" t="n"/>
      <c r="R1902" s="215" t="n"/>
      <c r="S1902" s="215" t="n"/>
      <c r="T1902" s="215" t="n"/>
      <c r="U1902" s="215" t="n"/>
      <c r="V1902" s="215" t="n"/>
      <c r="W1902" s="215" t="n"/>
      <c r="X1902" s="215" t="n"/>
      <c r="Y1902" s="215" t="n"/>
      <c r="Z1902" s="215" t="n"/>
      <c r="AA1902" s="215" t="n"/>
      <c r="AB1902" s="215" t="n"/>
      <c r="AC1902" s="215" t="n"/>
      <c r="AD1902" s="215" t="n"/>
      <c r="AE1902" s="215" t="n"/>
      <c r="AF1902" s="215" t="n"/>
      <c r="AG1902" s="215" t="n"/>
      <c r="AH1902" s="215" t="n"/>
      <c r="AI1902" s="215" t="n"/>
      <c r="AJ1902" s="215" t="n"/>
      <c r="AK1902" s="216" t="n"/>
    </row>
    <row r="1903" ht="15" customHeight="1">
      <c r="B1903" s="134" t="n"/>
      <c r="C1903" s="105" t="n"/>
      <c r="D1903" s="105" t="n"/>
      <c r="E1903" s="105" t="n"/>
      <c r="F1903" s="105" t="n"/>
      <c r="G1903" s="105" t="n"/>
      <c r="H1903" s="2" t="n"/>
      <c r="I1903" s="105" t="n"/>
      <c r="K1903" s="215" t="n"/>
      <c r="L1903" s="215" t="n"/>
      <c r="M1903" s="215" t="n"/>
      <c r="N1903" s="215" t="n"/>
      <c r="O1903" s="215" t="n"/>
      <c r="P1903" s="215" t="n"/>
      <c r="Q1903" s="215" t="n"/>
      <c r="R1903" s="215" t="n"/>
      <c r="S1903" s="215" t="n"/>
      <c r="T1903" s="215" t="n"/>
      <c r="U1903" s="215" t="n"/>
      <c r="V1903" s="215" t="n"/>
      <c r="W1903" s="215" t="n"/>
      <c r="X1903" s="215" t="n"/>
      <c r="Y1903" s="215" t="n"/>
      <c r="Z1903" s="215" t="n"/>
      <c r="AA1903" s="215" t="n"/>
      <c r="AB1903" s="215" t="n"/>
      <c r="AC1903" s="215" t="n"/>
      <c r="AD1903" s="215" t="n"/>
      <c r="AE1903" s="215" t="n"/>
      <c r="AF1903" s="215" t="n"/>
      <c r="AG1903" s="215" t="n"/>
      <c r="AH1903" s="215" t="n"/>
      <c r="AI1903" s="215" t="n"/>
      <c r="AJ1903" s="215" t="n"/>
      <c r="AK1903" s="216" t="n"/>
    </row>
    <row r="1904" ht="15" customHeight="1">
      <c r="B1904" s="134" t="n"/>
      <c r="C1904" s="105" t="n"/>
      <c r="D1904" s="105" t="n"/>
      <c r="E1904" s="105" t="n"/>
      <c r="F1904" s="105" t="n"/>
      <c r="G1904" s="105" t="n"/>
      <c r="H1904" s="2" t="n"/>
      <c r="I1904" s="105" t="n"/>
      <c r="K1904" s="215" t="n"/>
      <c r="L1904" s="215" t="n"/>
      <c r="M1904" s="215" t="n"/>
      <c r="N1904" s="215" t="n"/>
      <c r="O1904" s="215" t="n"/>
      <c r="P1904" s="215" t="n"/>
      <c r="Q1904" s="215" t="n"/>
      <c r="R1904" s="215" t="n"/>
      <c r="S1904" s="215" t="n"/>
      <c r="T1904" s="215" t="n"/>
      <c r="U1904" s="215" t="n"/>
      <c r="V1904" s="215" t="n"/>
      <c r="W1904" s="215" t="n"/>
      <c r="X1904" s="215" t="n"/>
      <c r="Y1904" s="215" t="n"/>
      <c r="Z1904" s="215" t="n"/>
      <c r="AA1904" s="215" t="n"/>
      <c r="AB1904" s="215" t="n"/>
      <c r="AC1904" s="215" t="n"/>
      <c r="AD1904" s="215" t="n"/>
      <c r="AE1904" s="215" t="n"/>
      <c r="AF1904" s="215" t="n"/>
      <c r="AG1904" s="215" t="n"/>
      <c r="AH1904" s="215" t="n"/>
      <c r="AI1904" s="215" t="n"/>
      <c r="AJ1904" s="215" t="n"/>
      <c r="AK1904" s="216" t="n"/>
    </row>
    <row r="1905" ht="15" customHeight="1">
      <c r="B1905" s="134" t="n"/>
      <c r="C1905" s="105" t="n"/>
      <c r="D1905" s="105" t="n"/>
      <c r="E1905" s="105" t="n"/>
      <c r="F1905" s="105" t="n"/>
      <c r="G1905" s="105" t="n"/>
      <c r="H1905" s="2" t="n"/>
      <c r="I1905" s="105" t="n"/>
      <c r="K1905" s="215" t="n"/>
      <c r="L1905" s="215" t="n"/>
      <c r="M1905" s="215" t="n"/>
      <c r="N1905" s="215" t="n"/>
      <c r="O1905" s="215" t="n"/>
      <c r="P1905" s="215" t="n"/>
      <c r="Q1905" s="215" t="n"/>
      <c r="R1905" s="215" t="n"/>
      <c r="S1905" s="215" t="n"/>
      <c r="T1905" s="215" t="n"/>
      <c r="U1905" s="215" t="n"/>
      <c r="V1905" s="215" t="n"/>
      <c r="W1905" s="215" t="n"/>
      <c r="X1905" s="215" t="n"/>
      <c r="Y1905" s="215" t="n"/>
      <c r="Z1905" s="215" t="n"/>
      <c r="AA1905" s="215" t="n"/>
      <c r="AB1905" s="215" t="n"/>
      <c r="AC1905" s="215" t="n"/>
      <c r="AD1905" s="215" t="n"/>
      <c r="AE1905" s="215" t="n"/>
      <c r="AF1905" s="215" t="n"/>
      <c r="AG1905" s="215" t="n"/>
      <c r="AH1905" s="215" t="n"/>
      <c r="AI1905" s="215" t="n"/>
      <c r="AJ1905" s="215" t="n"/>
      <c r="AK1905" s="216" t="n"/>
    </row>
    <row r="1906" ht="15" customHeight="1">
      <c r="B1906" s="134" t="n"/>
      <c r="C1906" s="105" t="n"/>
      <c r="D1906" s="105" t="n"/>
      <c r="E1906" s="105" t="n"/>
      <c r="F1906" s="105" t="n"/>
      <c r="G1906" s="105" t="n"/>
      <c r="H1906" s="2" t="n"/>
      <c r="I1906" s="105" t="n"/>
      <c r="K1906" s="215" t="n"/>
      <c r="L1906" s="215" t="n"/>
      <c r="M1906" s="215" t="n"/>
      <c r="N1906" s="215" t="n"/>
      <c r="O1906" s="215" t="n"/>
      <c r="P1906" s="215" t="n"/>
      <c r="Q1906" s="215" t="n"/>
      <c r="R1906" s="215" t="n"/>
      <c r="S1906" s="215" t="n"/>
      <c r="T1906" s="215" t="n"/>
      <c r="U1906" s="215" t="n"/>
      <c r="V1906" s="215" t="n"/>
      <c r="W1906" s="215" t="n"/>
      <c r="X1906" s="215" t="n"/>
      <c r="Y1906" s="215" t="n"/>
      <c r="Z1906" s="215" t="n"/>
      <c r="AA1906" s="215" t="n"/>
      <c r="AB1906" s="215" t="n"/>
      <c r="AC1906" s="215" t="n"/>
      <c r="AD1906" s="215" t="n"/>
      <c r="AE1906" s="215" t="n"/>
      <c r="AF1906" s="215" t="n"/>
      <c r="AG1906" s="215" t="n"/>
      <c r="AH1906" s="215" t="n"/>
      <c r="AI1906" s="215" t="n"/>
      <c r="AJ1906" s="215" t="n"/>
      <c r="AK1906" s="216" t="n"/>
    </row>
    <row r="1907" ht="15" customHeight="1">
      <c r="B1907" s="134" t="n"/>
      <c r="C1907" s="105" t="n"/>
      <c r="D1907" s="105" t="n"/>
      <c r="E1907" s="105" t="n"/>
      <c r="F1907" s="105" t="n"/>
      <c r="G1907" s="105" t="n"/>
      <c r="H1907" s="2" t="n"/>
      <c r="I1907" s="105" t="n"/>
      <c r="K1907" s="215" t="n"/>
      <c r="L1907" s="215" t="n"/>
      <c r="M1907" s="215" t="n"/>
      <c r="N1907" s="215" t="n"/>
      <c r="O1907" s="215" t="n"/>
      <c r="P1907" s="215" t="n"/>
      <c r="Q1907" s="215" t="n"/>
      <c r="R1907" s="215" t="n"/>
      <c r="S1907" s="215" t="n"/>
      <c r="T1907" s="215" t="n"/>
      <c r="U1907" s="215" t="n"/>
      <c r="V1907" s="215" t="n"/>
      <c r="W1907" s="215" t="n"/>
      <c r="X1907" s="215" t="n"/>
      <c r="Y1907" s="215" t="n"/>
      <c r="Z1907" s="215" t="n"/>
      <c r="AA1907" s="215" t="n"/>
      <c r="AB1907" s="215" t="n"/>
      <c r="AC1907" s="215" t="n"/>
      <c r="AD1907" s="215" t="n"/>
      <c r="AE1907" s="215" t="n"/>
      <c r="AF1907" s="215" t="n"/>
      <c r="AG1907" s="215" t="n"/>
      <c r="AH1907" s="215" t="n"/>
      <c r="AI1907" s="215" t="n"/>
      <c r="AJ1907" s="215" t="n"/>
      <c r="AK1907" s="216" t="n"/>
    </row>
    <row r="1908" ht="15" customHeight="1">
      <c r="B1908" s="134" t="n"/>
      <c r="C1908" s="105" t="n"/>
      <c r="D1908" s="105" t="n"/>
      <c r="E1908" s="105" t="n"/>
      <c r="F1908" s="105" t="n"/>
      <c r="G1908" s="105" t="n"/>
      <c r="H1908" s="2" t="n"/>
      <c r="I1908" s="105" t="n"/>
      <c r="K1908" s="215" t="n"/>
      <c r="L1908" s="215" t="n"/>
      <c r="M1908" s="215" t="n"/>
      <c r="N1908" s="215" t="n"/>
      <c r="O1908" s="215" t="n"/>
      <c r="P1908" s="215" t="n"/>
      <c r="Q1908" s="215" t="n"/>
      <c r="R1908" s="215" t="n"/>
      <c r="S1908" s="215" t="n"/>
      <c r="T1908" s="215" t="n"/>
      <c r="U1908" s="215" t="n"/>
      <c r="V1908" s="215" t="n"/>
      <c r="W1908" s="215" t="n"/>
      <c r="X1908" s="215" t="n"/>
      <c r="Y1908" s="215" t="n"/>
      <c r="Z1908" s="215" t="n"/>
      <c r="AA1908" s="215" t="n"/>
      <c r="AB1908" s="215" t="n"/>
      <c r="AC1908" s="215" t="n"/>
      <c r="AD1908" s="215" t="n"/>
      <c r="AE1908" s="215" t="n"/>
      <c r="AF1908" s="215" t="n"/>
      <c r="AG1908" s="215" t="n"/>
      <c r="AH1908" s="215" t="n"/>
      <c r="AI1908" s="215" t="n"/>
      <c r="AJ1908" s="215" t="n"/>
      <c r="AK1908" s="216" t="n"/>
    </row>
    <row r="1909" ht="15" customHeight="1">
      <c r="B1909" s="134" t="n"/>
      <c r="C1909" s="105" t="n"/>
      <c r="D1909" s="105" t="n"/>
      <c r="E1909" s="105" t="n"/>
      <c r="F1909" s="105" t="n"/>
      <c r="G1909" s="105" t="n"/>
      <c r="H1909" s="2" t="n"/>
      <c r="I1909" s="105" t="n"/>
      <c r="K1909" s="215" t="n"/>
      <c r="L1909" s="215" t="n"/>
      <c r="M1909" s="215" t="n"/>
      <c r="N1909" s="215" t="n"/>
      <c r="O1909" s="215" t="n"/>
      <c r="P1909" s="215" t="n"/>
      <c r="Q1909" s="215" t="n"/>
      <c r="R1909" s="215" t="n"/>
      <c r="S1909" s="215" t="n"/>
      <c r="T1909" s="215" t="n"/>
      <c r="U1909" s="215" t="n"/>
      <c r="V1909" s="215" t="n"/>
      <c r="W1909" s="215" t="n"/>
      <c r="X1909" s="215" t="n"/>
      <c r="Y1909" s="215" t="n"/>
      <c r="Z1909" s="215" t="n"/>
      <c r="AA1909" s="215" t="n"/>
      <c r="AB1909" s="215" t="n"/>
      <c r="AC1909" s="215" t="n"/>
      <c r="AD1909" s="215" t="n"/>
      <c r="AE1909" s="215" t="n"/>
      <c r="AF1909" s="215" t="n"/>
      <c r="AG1909" s="215" t="n"/>
      <c r="AH1909" s="215" t="n"/>
      <c r="AI1909" s="215" t="n"/>
      <c r="AJ1909" s="215" t="n"/>
      <c r="AK1909" s="216" t="n"/>
    </row>
    <row r="1910" ht="15" customHeight="1">
      <c r="B1910" s="134" t="n"/>
      <c r="C1910" s="105" t="n"/>
      <c r="D1910" s="105" t="n"/>
      <c r="E1910" s="105" t="n"/>
      <c r="F1910" s="105" t="n"/>
      <c r="G1910" s="105" t="n"/>
      <c r="H1910" s="2" t="n"/>
      <c r="I1910" s="105" t="n"/>
      <c r="K1910" s="215" t="n"/>
      <c r="L1910" s="215" t="n"/>
      <c r="M1910" s="215" t="n"/>
      <c r="N1910" s="215" t="n"/>
      <c r="O1910" s="215" t="n"/>
      <c r="P1910" s="215" t="n"/>
      <c r="Q1910" s="215" t="n"/>
      <c r="R1910" s="215" t="n"/>
      <c r="S1910" s="215" t="n"/>
      <c r="T1910" s="215" t="n"/>
      <c r="U1910" s="215" t="n"/>
      <c r="V1910" s="215" t="n"/>
      <c r="W1910" s="215" t="n"/>
      <c r="X1910" s="215" t="n"/>
      <c r="Y1910" s="215" t="n"/>
      <c r="Z1910" s="215" t="n"/>
      <c r="AA1910" s="215" t="n"/>
      <c r="AB1910" s="215" t="n"/>
      <c r="AC1910" s="215" t="n"/>
      <c r="AD1910" s="215" t="n"/>
      <c r="AE1910" s="215" t="n"/>
      <c r="AF1910" s="215" t="n"/>
      <c r="AG1910" s="215" t="n"/>
      <c r="AH1910" s="215" t="n"/>
      <c r="AI1910" s="215" t="n"/>
      <c r="AJ1910" s="215" t="n"/>
      <c r="AK1910" s="216" t="n"/>
    </row>
    <row r="1911" ht="15" customHeight="1">
      <c r="B1911" s="134" t="n"/>
      <c r="C1911" s="105" t="n"/>
      <c r="D1911" s="105" t="n"/>
      <c r="E1911" s="105" t="n"/>
      <c r="F1911" s="105" t="n"/>
      <c r="G1911" s="105" t="n"/>
      <c r="H1911" s="2" t="n"/>
      <c r="I1911" s="105" t="n"/>
      <c r="K1911" s="215" t="n"/>
      <c r="L1911" s="215" t="n"/>
      <c r="M1911" s="215" t="n"/>
      <c r="N1911" s="215" t="n"/>
      <c r="O1911" s="215" t="n"/>
      <c r="P1911" s="215" t="n"/>
      <c r="Q1911" s="215" t="n"/>
      <c r="R1911" s="215" t="n"/>
      <c r="S1911" s="215" t="n"/>
      <c r="T1911" s="215" t="n"/>
      <c r="U1911" s="215" t="n"/>
      <c r="V1911" s="215" t="n"/>
      <c r="W1911" s="215" t="n"/>
      <c r="X1911" s="215" t="n"/>
      <c r="Y1911" s="215" t="n"/>
      <c r="Z1911" s="215" t="n"/>
      <c r="AA1911" s="215" t="n"/>
      <c r="AB1911" s="215" t="n"/>
      <c r="AC1911" s="215" t="n"/>
      <c r="AD1911" s="215" t="n"/>
      <c r="AE1911" s="215" t="n"/>
      <c r="AF1911" s="215" t="n"/>
      <c r="AG1911" s="215" t="n"/>
      <c r="AH1911" s="215" t="n"/>
      <c r="AI1911" s="215" t="n"/>
      <c r="AJ1911" s="215" t="n"/>
      <c r="AK1911" s="216" t="n"/>
    </row>
    <row r="1912" ht="15" customHeight="1">
      <c r="B1912" s="134" t="n"/>
      <c r="C1912" s="105" t="n"/>
      <c r="D1912" s="105" t="n"/>
      <c r="E1912" s="105" t="n"/>
      <c r="F1912" s="105" t="n"/>
      <c r="G1912" s="105" t="n"/>
      <c r="H1912" s="2" t="n"/>
      <c r="I1912" s="105" t="n"/>
      <c r="K1912" s="215" t="n"/>
      <c r="L1912" s="215" t="n"/>
      <c r="M1912" s="215" t="n"/>
      <c r="N1912" s="215" t="n"/>
      <c r="O1912" s="215" t="n"/>
      <c r="P1912" s="215" t="n"/>
      <c r="Q1912" s="215" t="n"/>
      <c r="R1912" s="215" t="n"/>
      <c r="S1912" s="215" t="n"/>
      <c r="T1912" s="215" t="n"/>
      <c r="U1912" s="215" t="n"/>
      <c r="V1912" s="215" t="n"/>
      <c r="W1912" s="215" t="n"/>
      <c r="X1912" s="215" t="n"/>
      <c r="Y1912" s="215" t="n"/>
      <c r="Z1912" s="215" t="n"/>
      <c r="AA1912" s="215" t="n"/>
      <c r="AB1912" s="215" t="n"/>
      <c r="AC1912" s="215" t="n"/>
      <c r="AD1912" s="215" t="n"/>
      <c r="AE1912" s="215" t="n"/>
      <c r="AF1912" s="215" t="n"/>
      <c r="AG1912" s="215" t="n"/>
      <c r="AH1912" s="215" t="n"/>
      <c r="AI1912" s="215" t="n"/>
      <c r="AJ1912" s="215" t="n"/>
      <c r="AK1912" s="216" t="n"/>
    </row>
    <row r="1913" ht="15" customHeight="1">
      <c r="B1913" s="134" t="n"/>
      <c r="C1913" s="105" t="n"/>
      <c r="D1913" s="105" t="n"/>
      <c r="E1913" s="105" t="n"/>
      <c r="F1913" s="105" t="n"/>
      <c r="G1913" s="105" t="n"/>
      <c r="H1913" s="2" t="n"/>
      <c r="I1913" s="105" t="n"/>
      <c r="K1913" s="215" t="n"/>
      <c r="L1913" s="215" t="n"/>
      <c r="M1913" s="215" t="n"/>
      <c r="N1913" s="215" t="n"/>
      <c r="O1913" s="215" t="n"/>
      <c r="P1913" s="215" t="n"/>
      <c r="Q1913" s="215" t="n"/>
      <c r="R1913" s="215" t="n"/>
      <c r="S1913" s="215" t="n"/>
      <c r="T1913" s="215" t="n"/>
      <c r="U1913" s="215" t="n"/>
      <c r="V1913" s="215" t="n"/>
      <c r="W1913" s="215" t="n"/>
      <c r="X1913" s="215" t="n"/>
      <c r="Y1913" s="215" t="n"/>
      <c r="Z1913" s="215" t="n"/>
      <c r="AA1913" s="215" t="n"/>
      <c r="AB1913" s="215" t="n"/>
      <c r="AC1913" s="215" t="n"/>
      <c r="AD1913" s="215" t="n"/>
      <c r="AE1913" s="215" t="n"/>
      <c r="AF1913" s="215" t="n"/>
      <c r="AG1913" s="215" t="n"/>
      <c r="AH1913" s="215" t="n"/>
      <c r="AI1913" s="215" t="n"/>
      <c r="AJ1913" s="215" t="n"/>
      <c r="AK1913" s="216" t="n"/>
    </row>
    <row r="1914" ht="15" customHeight="1">
      <c r="B1914" s="134" t="n"/>
      <c r="C1914" s="105" t="n"/>
      <c r="D1914" s="105" t="n"/>
      <c r="E1914" s="105" t="n"/>
      <c r="F1914" s="105" t="n"/>
      <c r="G1914" s="105" t="n"/>
      <c r="H1914" s="2" t="n"/>
      <c r="I1914" s="105" t="n"/>
      <c r="K1914" s="215" t="n"/>
      <c r="L1914" s="215" t="n"/>
      <c r="M1914" s="215" t="n"/>
      <c r="N1914" s="215" t="n"/>
      <c r="O1914" s="215" t="n"/>
      <c r="P1914" s="215" t="n"/>
      <c r="Q1914" s="215" t="n"/>
      <c r="R1914" s="215" t="n"/>
      <c r="S1914" s="215" t="n"/>
      <c r="T1914" s="215" t="n"/>
      <c r="U1914" s="215" t="n"/>
      <c r="V1914" s="215" t="n"/>
      <c r="W1914" s="215" t="n"/>
      <c r="X1914" s="215" t="n"/>
      <c r="Y1914" s="215" t="n"/>
      <c r="Z1914" s="215" t="n"/>
      <c r="AA1914" s="215" t="n"/>
      <c r="AB1914" s="215" t="n"/>
      <c r="AC1914" s="215" t="n"/>
      <c r="AD1914" s="215" t="n"/>
      <c r="AE1914" s="215" t="n"/>
      <c r="AF1914" s="215" t="n"/>
      <c r="AG1914" s="215" t="n"/>
      <c r="AH1914" s="215" t="n"/>
      <c r="AI1914" s="215" t="n"/>
      <c r="AJ1914" s="215" t="n"/>
      <c r="AK1914" s="216" t="n"/>
    </row>
    <row r="1915" ht="15" customHeight="1">
      <c r="B1915" s="134" t="n"/>
      <c r="C1915" s="105" t="n"/>
      <c r="D1915" s="105" t="n"/>
      <c r="E1915" s="105" t="n"/>
      <c r="F1915" s="105" t="n"/>
      <c r="G1915" s="105" t="n"/>
      <c r="H1915" s="2" t="n"/>
      <c r="I1915" s="105" t="n"/>
      <c r="K1915" s="215" t="n"/>
      <c r="L1915" s="215" t="n"/>
      <c r="M1915" s="215" t="n"/>
      <c r="N1915" s="215" t="n"/>
      <c r="O1915" s="215" t="n"/>
      <c r="P1915" s="215" t="n"/>
      <c r="Q1915" s="215" t="n"/>
      <c r="R1915" s="215" t="n"/>
      <c r="S1915" s="215" t="n"/>
      <c r="T1915" s="215" t="n"/>
      <c r="U1915" s="215" t="n"/>
      <c r="V1915" s="215" t="n"/>
      <c r="W1915" s="215" t="n"/>
      <c r="X1915" s="215" t="n"/>
      <c r="Y1915" s="215" t="n"/>
      <c r="Z1915" s="215" t="n"/>
      <c r="AA1915" s="215" t="n"/>
      <c r="AB1915" s="215" t="n"/>
      <c r="AC1915" s="215" t="n"/>
      <c r="AD1915" s="215" t="n"/>
      <c r="AE1915" s="215" t="n"/>
      <c r="AF1915" s="215" t="n"/>
      <c r="AG1915" s="215" t="n"/>
      <c r="AH1915" s="215" t="n"/>
      <c r="AI1915" s="215" t="n"/>
      <c r="AJ1915" s="215" t="n"/>
      <c r="AK1915" s="216" t="n"/>
    </row>
    <row r="1916" ht="15" customHeight="1">
      <c r="B1916" s="134" t="n"/>
      <c r="C1916" s="105" t="n"/>
      <c r="D1916" s="105" t="n"/>
      <c r="E1916" s="105" t="n"/>
      <c r="F1916" s="105" t="n"/>
      <c r="G1916" s="105" t="n"/>
      <c r="H1916" s="2" t="n"/>
      <c r="I1916" s="105" t="n"/>
      <c r="K1916" s="215" t="n"/>
      <c r="L1916" s="215" t="n"/>
      <c r="M1916" s="215" t="n"/>
      <c r="N1916" s="215" t="n"/>
      <c r="O1916" s="215" t="n"/>
      <c r="P1916" s="215" t="n"/>
      <c r="Q1916" s="215" t="n"/>
      <c r="R1916" s="215" t="n"/>
      <c r="S1916" s="215" t="n"/>
      <c r="T1916" s="215" t="n"/>
      <c r="U1916" s="215" t="n"/>
      <c r="V1916" s="215" t="n"/>
      <c r="W1916" s="215" t="n"/>
      <c r="X1916" s="215" t="n"/>
      <c r="Y1916" s="215" t="n"/>
      <c r="Z1916" s="215" t="n"/>
      <c r="AA1916" s="215" t="n"/>
      <c r="AB1916" s="215" t="n"/>
      <c r="AC1916" s="215" t="n"/>
      <c r="AD1916" s="215" t="n"/>
      <c r="AE1916" s="215" t="n"/>
      <c r="AF1916" s="215" t="n"/>
      <c r="AG1916" s="215" t="n"/>
      <c r="AH1916" s="215" t="n"/>
      <c r="AI1916" s="215" t="n"/>
      <c r="AJ1916" s="215" t="n"/>
      <c r="AK1916" s="216" t="n"/>
    </row>
    <row r="1917" ht="15" customHeight="1">
      <c r="B1917" s="134" t="n"/>
      <c r="C1917" s="105" t="n"/>
      <c r="D1917" s="105" t="n"/>
      <c r="E1917" s="105" t="n"/>
      <c r="F1917" s="105" t="n"/>
      <c r="G1917" s="105" t="n"/>
      <c r="H1917" s="2" t="n"/>
      <c r="I1917" s="105" t="n"/>
      <c r="K1917" s="215" t="n"/>
      <c r="L1917" s="215" t="n"/>
      <c r="M1917" s="215" t="n"/>
      <c r="N1917" s="215" t="n"/>
      <c r="O1917" s="215" t="n"/>
      <c r="P1917" s="215" t="n"/>
      <c r="Q1917" s="215" t="n"/>
      <c r="R1917" s="215" t="n"/>
      <c r="S1917" s="215" t="n"/>
      <c r="T1917" s="215" t="n"/>
      <c r="U1917" s="215" t="n"/>
      <c r="V1917" s="215" t="n"/>
      <c r="W1917" s="215" t="n"/>
      <c r="X1917" s="215" t="n"/>
      <c r="Y1917" s="215" t="n"/>
      <c r="Z1917" s="215" t="n"/>
      <c r="AA1917" s="215" t="n"/>
      <c r="AB1917" s="215" t="n"/>
      <c r="AC1917" s="215" t="n"/>
      <c r="AD1917" s="215" t="n"/>
      <c r="AE1917" s="215" t="n"/>
      <c r="AF1917" s="215" t="n"/>
      <c r="AG1917" s="215" t="n"/>
      <c r="AH1917" s="215" t="n"/>
      <c r="AI1917" s="215" t="n"/>
      <c r="AJ1917" s="215" t="n"/>
      <c r="AK1917" s="216" t="n"/>
    </row>
    <row r="1918" ht="15" customHeight="1">
      <c r="B1918" s="134" t="n"/>
      <c r="C1918" s="105" t="n"/>
      <c r="D1918" s="105" t="n"/>
      <c r="E1918" s="105" t="n"/>
      <c r="F1918" s="105" t="n"/>
      <c r="G1918" s="105" t="n"/>
      <c r="H1918" s="2" t="n"/>
      <c r="I1918" s="105" t="n"/>
      <c r="K1918" s="215" t="n"/>
      <c r="L1918" s="215" t="n"/>
      <c r="M1918" s="215" t="n"/>
      <c r="N1918" s="215" t="n"/>
      <c r="O1918" s="215" t="n"/>
      <c r="P1918" s="215" t="n"/>
      <c r="Q1918" s="215" t="n"/>
      <c r="R1918" s="215" t="n"/>
      <c r="S1918" s="215" t="n"/>
      <c r="T1918" s="215" t="n"/>
      <c r="U1918" s="215" t="n"/>
      <c r="V1918" s="215" t="n"/>
      <c r="W1918" s="215" t="n"/>
      <c r="X1918" s="215" t="n"/>
      <c r="Y1918" s="215" t="n"/>
      <c r="Z1918" s="215" t="n"/>
      <c r="AA1918" s="215" t="n"/>
      <c r="AB1918" s="215" t="n"/>
      <c r="AC1918" s="215" t="n"/>
      <c r="AD1918" s="215" t="n"/>
      <c r="AE1918" s="215" t="n"/>
      <c r="AF1918" s="215" t="n"/>
      <c r="AG1918" s="215" t="n"/>
      <c r="AH1918" s="215" t="n"/>
      <c r="AI1918" s="215" t="n"/>
      <c r="AJ1918" s="215" t="n"/>
      <c r="AK1918" s="216" t="n"/>
    </row>
    <row r="1919" ht="15" customHeight="1">
      <c r="B1919" s="134" t="n"/>
      <c r="C1919" s="105" t="n"/>
      <c r="D1919" s="105" t="n"/>
      <c r="E1919" s="105" t="n"/>
      <c r="F1919" s="105" t="n"/>
      <c r="G1919" s="105" t="n"/>
      <c r="H1919" s="2" t="n"/>
      <c r="I1919" s="105" t="n"/>
      <c r="K1919" s="215" t="n"/>
      <c r="L1919" s="215" t="n"/>
      <c r="M1919" s="215" t="n"/>
      <c r="N1919" s="215" t="n"/>
      <c r="O1919" s="215" t="n"/>
      <c r="P1919" s="215" t="n"/>
      <c r="Q1919" s="215" t="n"/>
      <c r="R1919" s="215" t="n"/>
      <c r="S1919" s="215" t="n"/>
      <c r="T1919" s="215" t="n"/>
      <c r="U1919" s="215" t="n"/>
      <c r="V1919" s="215" t="n"/>
      <c r="W1919" s="215" t="n"/>
      <c r="X1919" s="215" t="n"/>
      <c r="Y1919" s="215" t="n"/>
      <c r="Z1919" s="215" t="n"/>
      <c r="AA1919" s="215" t="n"/>
      <c r="AB1919" s="215" t="n"/>
      <c r="AC1919" s="215" t="n"/>
      <c r="AD1919" s="215" t="n"/>
      <c r="AE1919" s="215" t="n"/>
      <c r="AF1919" s="215" t="n"/>
      <c r="AG1919" s="215" t="n"/>
      <c r="AH1919" s="215" t="n"/>
      <c r="AI1919" s="215" t="n"/>
      <c r="AJ1919" s="215" t="n"/>
      <c r="AK1919" s="216" t="n"/>
    </row>
    <row r="1920" ht="15" customHeight="1">
      <c r="B1920" s="134" t="n"/>
      <c r="C1920" s="105" t="n"/>
      <c r="D1920" s="105" t="n"/>
      <c r="E1920" s="105" t="n"/>
      <c r="F1920" s="105" t="n"/>
      <c r="G1920" s="105" t="n"/>
      <c r="H1920" s="2" t="n"/>
      <c r="I1920" s="105" t="n"/>
      <c r="K1920" s="215" t="n"/>
      <c r="L1920" s="215" t="n"/>
      <c r="M1920" s="215" t="n"/>
      <c r="N1920" s="215" t="n"/>
      <c r="O1920" s="215" t="n"/>
      <c r="P1920" s="215" t="n"/>
      <c r="Q1920" s="215" t="n"/>
      <c r="R1920" s="215" t="n"/>
      <c r="S1920" s="215" t="n"/>
      <c r="T1920" s="215" t="n"/>
      <c r="U1920" s="215" t="n"/>
      <c r="V1920" s="215" t="n"/>
      <c r="W1920" s="215" t="n"/>
      <c r="X1920" s="215" t="n"/>
      <c r="Y1920" s="215" t="n"/>
      <c r="Z1920" s="215" t="n"/>
      <c r="AA1920" s="215" t="n"/>
      <c r="AB1920" s="215" t="n"/>
      <c r="AC1920" s="215" t="n"/>
      <c r="AD1920" s="215" t="n"/>
      <c r="AE1920" s="215" t="n"/>
      <c r="AF1920" s="215" t="n"/>
      <c r="AG1920" s="215" t="n"/>
      <c r="AH1920" s="215" t="n"/>
      <c r="AI1920" s="215" t="n"/>
      <c r="AJ1920" s="215" t="n"/>
      <c r="AK1920" s="216" t="n"/>
    </row>
    <row r="1921" ht="15" customHeight="1">
      <c r="B1921" s="134" t="n"/>
      <c r="C1921" s="105" t="n"/>
      <c r="D1921" s="105" t="n"/>
      <c r="E1921" s="105" t="n"/>
      <c r="F1921" s="105" t="n"/>
      <c r="G1921" s="105" t="n"/>
      <c r="H1921" s="2" t="n"/>
      <c r="I1921" s="105" t="n"/>
      <c r="K1921" s="215" t="n"/>
      <c r="L1921" s="215" t="n"/>
      <c r="M1921" s="215" t="n"/>
      <c r="N1921" s="215" t="n"/>
      <c r="O1921" s="215" t="n"/>
      <c r="P1921" s="215" t="n"/>
      <c r="Q1921" s="215" t="n"/>
      <c r="R1921" s="215" t="n"/>
      <c r="S1921" s="215" t="n"/>
      <c r="T1921" s="215" t="n"/>
      <c r="U1921" s="215" t="n"/>
      <c r="V1921" s="215" t="n"/>
      <c r="W1921" s="215" t="n"/>
      <c r="X1921" s="215" t="n"/>
      <c r="Y1921" s="215" t="n"/>
      <c r="Z1921" s="215" t="n"/>
      <c r="AA1921" s="215" t="n"/>
      <c r="AB1921" s="215" t="n"/>
      <c r="AC1921" s="215" t="n"/>
      <c r="AD1921" s="215" t="n"/>
      <c r="AE1921" s="215" t="n"/>
      <c r="AF1921" s="215" t="n"/>
      <c r="AG1921" s="215" t="n"/>
      <c r="AH1921" s="215" t="n"/>
      <c r="AI1921" s="215" t="n"/>
      <c r="AJ1921" s="215" t="n"/>
      <c r="AK1921" s="216" t="n"/>
    </row>
    <row r="1922" ht="15" customHeight="1">
      <c r="B1922" s="134" t="n"/>
      <c r="C1922" s="105" t="n"/>
      <c r="D1922" s="105" t="n"/>
      <c r="E1922" s="105" t="n"/>
      <c r="F1922" s="105" t="n"/>
      <c r="G1922" s="105" t="n"/>
      <c r="H1922" s="2" t="n"/>
      <c r="I1922" s="105" t="n"/>
      <c r="K1922" s="215" t="n"/>
      <c r="L1922" s="215" t="n"/>
      <c r="M1922" s="215" t="n"/>
      <c r="N1922" s="215" t="n"/>
      <c r="O1922" s="215" t="n"/>
      <c r="P1922" s="215" t="n"/>
      <c r="Q1922" s="215" t="n"/>
      <c r="R1922" s="215" t="n"/>
      <c r="S1922" s="215" t="n"/>
      <c r="T1922" s="215" t="n"/>
      <c r="U1922" s="215" t="n"/>
      <c r="V1922" s="215" t="n"/>
      <c r="W1922" s="215" t="n"/>
      <c r="X1922" s="215" t="n"/>
      <c r="Y1922" s="215" t="n"/>
      <c r="Z1922" s="215" t="n"/>
      <c r="AA1922" s="215" t="n"/>
      <c r="AB1922" s="215" t="n"/>
      <c r="AC1922" s="215" t="n"/>
      <c r="AD1922" s="215" t="n"/>
      <c r="AE1922" s="215" t="n"/>
      <c r="AF1922" s="215" t="n"/>
      <c r="AG1922" s="215" t="n"/>
      <c r="AH1922" s="215" t="n"/>
      <c r="AI1922" s="215" t="n"/>
      <c r="AJ1922" s="215" t="n"/>
      <c r="AK1922" s="216" t="n"/>
    </row>
    <row r="1923" ht="15" customHeight="1">
      <c r="B1923" s="134" t="n"/>
      <c r="C1923" s="105" t="n"/>
      <c r="D1923" s="105" t="n"/>
      <c r="E1923" s="105" t="n"/>
      <c r="F1923" s="105" t="n"/>
      <c r="G1923" s="105" t="n"/>
      <c r="H1923" s="2" t="n"/>
      <c r="I1923" s="105" t="n"/>
      <c r="K1923" s="215" t="n"/>
      <c r="L1923" s="215" t="n"/>
      <c r="M1923" s="215" t="n"/>
      <c r="N1923" s="215" t="n"/>
      <c r="O1923" s="215" t="n"/>
      <c r="P1923" s="215" t="n"/>
      <c r="Q1923" s="215" t="n"/>
      <c r="R1923" s="215" t="n"/>
      <c r="S1923" s="215" t="n"/>
      <c r="T1923" s="215" t="n"/>
      <c r="U1923" s="215" t="n"/>
      <c r="V1923" s="215" t="n"/>
      <c r="W1923" s="215" t="n"/>
      <c r="X1923" s="215" t="n"/>
      <c r="Y1923" s="215" t="n"/>
      <c r="Z1923" s="215" t="n"/>
      <c r="AA1923" s="215" t="n"/>
      <c r="AB1923" s="215" t="n"/>
      <c r="AC1923" s="215" t="n"/>
      <c r="AD1923" s="215" t="n"/>
      <c r="AE1923" s="215" t="n"/>
      <c r="AF1923" s="215" t="n"/>
      <c r="AG1923" s="215" t="n"/>
      <c r="AH1923" s="215" t="n"/>
      <c r="AI1923" s="215" t="n"/>
      <c r="AJ1923" s="215" t="n"/>
      <c r="AK1923" s="216" t="n"/>
    </row>
    <row r="1924" ht="15" customHeight="1">
      <c r="B1924" s="134" t="n"/>
      <c r="C1924" s="105" t="n"/>
      <c r="D1924" s="105" t="n"/>
      <c r="E1924" s="105" t="n"/>
      <c r="F1924" s="105" t="n"/>
      <c r="G1924" s="105" t="n"/>
      <c r="H1924" s="2" t="n"/>
      <c r="I1924" s="105" t="n"/>
      <c r="K1924" s="215" t="n"/>
      <c r="L1924" s="215" t="n"/>
      <c r="M1924" s="215" t="n"/>
      <c r="N1924" s="215" t="n"/>
      <c r="O1924" s="215" t="n"/>
      <c r="P1924" s="215" t="n"/>
      <c r="Q1924" s="215" t="n"/>
      <c r="R1924" s="215" t="n"/>
      <c r="S1924" s="215" t="n"/>
      <c r="T1924" s="215" t="n"/>
      <c r="U1924" s="215" t="n"/>
      <c r="V1924" s="215" t="n"/>
      <c r="W1924" s="215" t="n"/>
      <c r="X1924" s="215" t="n"/>
      <c r="Y1924" s="215" t="n"/>
      <c r="Z1924" s="215" t="n"/>
      <c r="AA1924" s="215" t="n"/>
      <c r="AB1924" s="215" t="n"/>
      <c r="AC1924" s="215" t="n"/>
      <c r="AD1924" s="215" t="n"/>
      <c r="AE1924" s="215" t="n"/>
      <c r="AF1924" s="215" t="n"/>
      <c r="AG1924" s="215" t="n"/>
      <c r="AH1924" s="215" t="n"/>
      <c r="AI1924" s="215" t="n"/>
      <c r="AJ1924" s="215" t="n"/>
      <c r="AK1924" s="216" t="n"/>
    </row>
    <row r="1925" ht="15" customHeight="1">
      <c r="B1925" s="134" t="n"/>
      <c r="C1925" s="105" t="n"/>
      <c r="D1925" s="105" t="n"/>
      <c r="E1925" s="105" t="n"/>
      <c r="F1925" s="105" t="n"/>
      <c r="G1925" s="105" t="n"/>
      <c r="H1925" s="2" t="n"/>
      <c r="I1925" s="105" t="n"/>
      <c r="K1925" s="215" t="n"/>
      <c r="L1925" s="215" t="n"/>
      <c r="M1925" s="215" t="n"/>
      <c r="N1925" s="215" t="n"/>
      <c r="O1925" s="215" t="n"/>
      <c r="P1925" s="215" t="n"/>
      <c r="Q1925" s="215" t="n"/>
      <c r="R1925" s="215" t="n"/>
      <c r="S1925" s="215" t="n"/>
      <c r="T1925" s="215" t="n"/>
      <c r="U1925" s="215" t="n"/>
      <c r="V1925" s="215" t="n"/>
      <c r="W1925" s="215" t="n"/>
      <c r="X1925" s="215" t="n"/>
      <c r="Y1925" s="215" t="n"/>
      <c r="Z1925" s="215" t="n"/>
      <c r="AA1925" s="215" t="n"/>
      <c r="AB1925" s="215" t="n"/>
      <c r="AC1925" s="215" t="n"/>
      <c r="AD1925" s="215" t="n"/>
      <c r="AE1925" s="215" t="n"/>
      <c r="AF1925" s="215" t="n"/>
      <c r="AG1925" s="215" t="n"/>
      <c r="AH1925" s="215" t="n"/>
      <c r="AI1925" s="215" t="n"/>
      <c r="AJ1925" s="215" t="n"/>
      <c r="AK1925" s="216" t="n"/>
    </row>
    <row r="1926" ht="15" customHeight="1">
      <c r="B1926" s="134" t="n"/>
      <c r="C1926" s="105" t="n"/>
      <c r="D1926" s="105" t="n"/>
      <c r="E1926" s="105" t="n"/>
      <c r="F1926" s="105" t="n"/>
      <c r="G1926" s="105" t="n"/>
      <c r="H1926" s="2" t="n"/>
      <c r="I1926" s="105" t="n"/>
      <c r="K1926" s="215" t="n"/>
      <c r="L1926" s="215" t="n"/>
      <c r="M1926" s="215" t="n"/>
      <c r="N1926" s="215" t="n"/>
      <c r="O1926" s="215" t="n"/>
      <c r="P1926" s="215" t="n"/>
      <c r="Q1926" s="215" t="n"/>
      <c r="R1926" s="215" t="n"/>
      <c r="S1926" s="215" t="n"/>
      <c r="T1926" s="215" t="n"/>
      <c r="U1926" s="215" t="n"/>
      <c r="V1926" s="215" t="n"/>
      <c r="W1926" s="215" t="n"/>
      <c r="X1926" s="215" t="n"/>
      <c r="Y1926" s="215" t="n"/>
      <c r="Z1926" s="215" t="n"/>
      <c r="AA1926" s="215" t="n"/>
      <c r="AB1926" s="215" t="n"/>
      <c r="AC1926" s="215" t="n"/>
      <c r="AD1926" s="215" t="n"/>
      <c r="AE1926" s="215" t="n"/>
      <c r="AF1926" s="215" t="n"/>
      <c r="AG1926" s="215" t="n"/>
      <c r="AH1926" s="215" t="n"/>
      <c r="AI1926" s="215" t="n"/>
      <c r="AJ1926" s="215" t="n"/>
      <c r="AK1926" s="216" t="n"/>
    </row>
    <row r="1927" ht="15" customHeight="1">
      <c r="B1927" s="134" t="n"/>
      <c r="C1927" s="105" t="n"/>
      <c r="D1927" s="105" t="n"/>
      <c r="E1927" s="105" t="n"/>
      <c r="F1927" s="105" t="n"/>
      <c r="G1927" s="105" t="n"/>
      <c r="H1927" s="2" t="n"/>
      <c r="I1927" s="105" t="n"/>
      <c r="K1927" s="215" t="n"/>
      <c r="L1927" s="215" t="n"/>
      <c r="M1927" s="215" t="n"/>
      <c r="N1927" s="215" t="n"/>
      <c r="O1927" s="215" t="n"/>
      <c r="P1927" s="215" t="n"/>
      <c r="Q1927" s="215" t="n"/>
      <c r="R1927" s="215" t="n"/>
      <c r="S1927" s="215" t="n"/>
      <c r="T1927" s="215" t="n"/>
      <c r="U1927" s="215" t="n"/>
      <c r="V1927" s="215" t="n"/>
      <c r="W1927" s="215" t="n"/>
      <c r="X1927" s="215" t="n"/>
      <c r="Y1927" s="215" t="n"/>
      <c r="Z1927" s="215" t="n"/>
      <c r="AA1927" s="215" t="n"/>
      <c r="AB1927" s="215" t="n"/>
      <c r="AC1927" s="215" t="n"/>
      <c r="AD1927" s="215" t="n"/>
      <c r="AE1927" s="215" t="n"/>
      <c r="AF1927" s="215" t="n"/>
      <c r="AG1927" s="215" t="n"/>
      <c r="AH1927" s="215" t="n"/>
      <c r="AI1927" s="215" t="n"/>
      <c r="AJ1927" s="215" t="n"/>
      <c r="AK1927" s="216" t="n"/>
    </row>
    <row r="1928" ht="15" customHeight="1">
      <c r="B1928" s="134" t="n"/>
      <c r="C1928" s="105" t="n"/>
      <c r="D1928" s="105" t="n"/>
      <c r="E1928" s="105" t="n"/>
      <c r="F1928" s="105" t="n"/>
      <c r="G1928" s="105" t="n"/>
      <c r="H1928" s="2" t="n"/>
      <c r="I1928" s="105" t="n"/>
      <c r="K1928" s="215" t="n"/>
      <c r="L1928" s="215" t="n"/>
      <c r="M1928" s="215" t="n"/>
      <c r="N1928" s="215" t="n"/>
      <c r="O1928" s="215" t="n"/>
      <c r="P1928" s="215" t="n"/>
      <c r="Q1928" s="215" t="n"/>
      <c r="R1928" s="215" t="n"/>
      <c r="S1928" s="215" t="n"/>
      <c r="T1928" s="215" t="n"/>
      <c r="U1928" s="215" t="n"/>
      <c r="V1928" s="215" t="n"/>
      <c r="W1928" s="215" t="n"/>
      <c r="X1928" s="215" t="n"/>
      <c r="Y1928" s="215" t="n"/>
      <c r="Z1928" s="215" t="n"/>
      <c r="AA1928" s="215" t="n"/>
      <c r="AB1928" s="215" t="n"/>
      <c r="AC1928" s="215" t="n"/>
      <c r="AD1928" s="215" t="n"/>
      <c r="AE1928" s="215" t="n"/>
      <c r="AF1928" s="215" t="n"/>
      <c r="AG1928" s="215" t="n"/>
      <c r="AH1928" s="215" t="n"/>
      <c r="AI1928" s="215" t="n"/>
      <c r="AJ1928" s="215" t="n"/>
      <c r="AK1928" s="216" t="n"/>
    </row>
    <row r="1929" ht="15" customHeight="1">
      <c r="B1929" s="134" t="n"/>
      <c r="C1929" s="105" t="n"/>
      <c r="D1929" s="105" t="n"/>
      <c r="E1929" s="105" t="n"/>
      <c r="F1929" s="105" t="n"/>
      <c r="G1929" s="105" t="n"/>
      <c r="H1929" s="2" t="n"/>
      <c r="I1929" s="105" t="n"/>
      <c r="K1929" s="215" t="n"/>
      <c r="L1929" s="215" t="n"/>
      <c r="M1929" s="215" t="n"/>
      <c r="N1929" s="215" t="n"/>
      <c r="O1929" s="215" t="n"/>
      <c r="P1929" s="215" t="n"/>
      <c r="Q1929" s="215" t="n"/>
      <c r="R1929" s="215" t="n"/>
      <c r="S1929" s="215" t="n"/>
      <c r="T1929" s="215" t="n"/>
      <c r="U1929" s="215" t="n"/>
      <c r="V1929" s="215" t="n"/>
      <c r="W1929" s="215" t="n"/>
      <c r="X1929" s="215" t="n"/>
      <c r="Y1929" s="215" t="n"/>
      <c r="Z1929" s="215" t="n"/>
      <c r="AA1929" s="215" t="n"/>
      <c r="AB1929" s="215" t="n"/>
      <c r="AC1929" s="215" t="n"/>
      <c r="AD1929" s="215" t="n"/>
      <c r="AE1929" s="215" t="n"/>
      <c r="AF1929" s="215" t="n"/>
      <c r="AG1929" s="215" t="n"/>
      <c r="AH1929" s="215" t="n"/>
      <c r="AI1929" s="215" t="n"/>
      <c r="AJ1929" s="215" t="n"/>
      <c r="AK1929" s="216" t="n"/>
    </row>
    <row r="1930" ht="15" customHeight="1">
      <c r="B1930" s="134" t="n"/>
      <c r="C1930" s="105" t="n"/>
      <c r="D1930" s="105" t="n"/>
      <c r="E1930" s="105" t="n"/>
      <c r="F1930" s="105" t="n"/>
      <c r="G1930" s="105" t="n"/>
      <c r="H1930" s="2" t="n"/>
      <c r="I1930" s="105" t="n"/>
      <c r="K1930" s="215" t="n"/>
      <c r="L1930" s="215" t="n"/>
      <c r="M1930" s="215" t="n"/>
      <c r="N1930" s="215" t="n"/>
      <c r="O1930" s="215" t="n"/>
      <c r="P1930" s="215" t="n"/>
      <c r="Q1930" s="215" t="n"/>
      <c r="R1930" s="215" t="n"/>
      <c r="S1930" s="215" t="n"/>
      <c r="T1930" s="215" t="n"/>
      <c r="U1930" s="215" t="n"/>
      <c r="V1930" s="215" t="n"/>
      <c r="W1930" s="215" t="n"/>
      <c r="X1930" s="215" t="n"/>
      <c r="Y1930" s="215" t="n"/>
      <c r="Z1930" s="215" t="n"/>
      <c r="AA1930" s="215" t="n"/>
      <c r="AB1930" s="215" t="n"/>
      <c r="AC1930" s="215" t="n"/>
      <c r="AD1930" s="215" t="n"/>
      <c r="AE1930" s="215" t="n"/>
      <c r="AF1930" s="215" t="n"/>
      <c r="AG1930" s="215" t="n"/>
      <c r="AH1930" s="215" t="n"/>
      <c r="AI1930" s="215" t="n"/>
      <c r="AJ1930" s="215" t="n"/>
      <c r="AK1930" s="216" t="n"/>
    </row>
    <row r="1931" ht="15" customHeight="1">
      <c r="B1931" s="134" t="n"/>
      <c r="C1931" s="105" t="n"/>
      <c r="D1931" s="105" t="n"/>
      <c r="E1931" s="105" t="n"/>
      <c r="F1931" s="105" t="n"/>
      <c r="G1931" s="105" t="n"/>
      <c r="H1931" s="2" t="n"/>
      <c r="I1931" s="105" t="n"/>
      <c r="K1931" s="215" t="n"/>
      <c r="L1931" s="215" t="n"/>
      <c r="M1931" s="215" t="n"/>
      <c r="N1931" s="215" t="n"/>
      <c r="O1931" s="215" t="n"/>
      <c r="P1931" s="215" t="n"/>
      <c r="Q1931" s="215" t="n"/>
      <c r="R1931" s="215" t="n"/>
      <c r="S1931" s="215" t="n"/>
      <c r="T1931" s="215" t="n"/>
      <c r="U1931" s="215" t="n"/>
      <c r="V1931" s="215" t="n"/>
      <c r="W1931" s="215" t="n"/>
      <c r="X1931" s="215" t="n"/>
      <c r="Y1931" s="215" t="n"/>
      <c r="Z1931" s="215" t="n"/>
      <c r="AA1931" s="215" t="n"/>
      <c r="AB1931" s="215" t="n"/>
      <c r="AC1931" s="215" t="n"/>
      <c r="AD1931" s="215" t="n"/>
      <c r="AE1931" s="215" t="n"/>
      <c r="AF1931" s="215" t="n"/>
      <c r="AG1931" s="215" t="n"/>
      <c r="AH1931" s="215" t="n"/>
      <c r="AI1931" s="215" t="n"/>
      <c r="AJ1931" s="215" t="n"/>
      <c r="AK1931" s="216" t="n"/>
    </row>
    <row r="1932" ht="15" customHeight="1">
      <c r="B1932" s="134" t="n"/>
      <c r="C1932" s="105" t="n"/>
      <c r="D1932" s="105" t="n"/>
      <c r="E1932" s="105" t="n"/>
      <c r="F1932" s="105" t="n"/>
      <c r="G1932" s="105" t="n"/>
      <c r="H1932" s="2" t="n"/>
      <c r="I1932" s="105" t="n"/>
      <c r="K1932" s="215" t="n"/>
      <c r="L1932" s="215" t="n"/>
      <c r="M1932" s="215" t="n"/>
      <c r="N1932" s="215" t="n"/>
      <c r="O1932" s="215" t="n"/>
      <c r="P1932" s="215" t="n"/>
      <c r="Q1932" s="215" t="n"/>
      <c r="R1932" s="215" t="n"/>
      <c r="S1932" s="215" t="n"/>
      <c r="T1932" s="215" t="n"/>
      <c r="U1932" s="215" t="n"/>
      <c r="V1932" s="215" t="n"/>
      <c r="W1932" s="215" t="n"/>
      <c r="X1932" s="215" t="n"/>
      <c r="Y1932" s="215" t="n"/>
      <c r="Z1932" s="215" t="n"/>
      <c r="AA1932" s="215" t="n"/>
      <c r="AB1932" s="215" t="n"/>
      <c r="AC1932" s="215" t="n"/>
      <c r="AD1932" s="215" t="n"/>
      <c r="AE1932" s="215" t="n"/>
      <c r="AF1932" s="215" t="n"/>
      <c r="AG1932" s="215" t="n"/>
      <c r="AH1932" s="215" t="n"/>
      <c r="AI1932" s="215" t="n"/>
      <c r="AJ1932" s="215" t="n"/>
      <c r="AK1932" s="216" t="n"/>
    </row>
    <row r="1933" ht="15" customHeight="1">
      <c r="B1933" s="134" t="n"/>
      <c r="C1933" s="105" t="n"/>
      <c r="D1933" s="105" t="n"/>
      <c r="E1933" s="105" t="n"/>
      <c r="F1933" s="105" t="n"/>
      <c r="G1933" s="105" t="n"/>
      <c r="H1933" s="2" t="n"/>
      <c r="I1933" s="105" t="n"/>
      <c r="K1933" s="215" t="n"/>
      <c r="L1933" s="215" t="n"/>
      <c r="M1933" s="215" t="n"/>
      <c r="N1933" s="215" t="n"/>
      <c r="O1933" s="215" t="n"/>
      <c r="P1933" s="215" t="n"/>
      <c r="Q1933" s="215" t="n"/>
      <c r="R1933" s="215" t="n"/>
      <c r="S1933" s="215" t="n"/>
      <c r="T1933" s="215" t="n"/>
      <c r="U1933" s="215" t="n"/>
      <c r="V1933" s="215" t="n"/>
      <c r="W1933" s="215" t="n"/>
      <c r="X1933" s="215" t="n"/>
      <c r="Y1933" s="215" t="n"/>
      <c r="Z1933" s="215" t="n"/>
      <c r="AA1933" s="215" t="n"/>
      <c r="AB1933" s="215" t="n"/>
      <c r="AC1933" s="215" t="n"/>
      <c r="AD1933" s="215" t="n"/>
      <c r="AE1933" s="215" t="n"/>
      <c r="AF1933" s="215" t="n"/>
      <c r="AG1933" s="215" t="n"/>
      <c r="AH1933" s="215" t="n"/>
      <c r="AI1933" s="215" t="n"/>
      <c r="AJ1933" s="215" t="n"/>
      <c r="AK1933" s="216" t="n"/>
    </row>
    <row r="1934" ht="15" customHeight="1">
      <c r="B1934" s="134" t="n"/>
      <c r="C1934" s="105" t="n"/>
      <c r="D1934" s="105" t="n"/>
      <c r="E1934" s="105" t="n"/>
      <c r="F1934" s="105" t="n"/>
      <c r="G1934" s="105" t="n"/>
      <c r="H1934" s="2" t="n"/>
      <c r="I1934" s="105" t="n"/>
      <c r="K1934" s="215" t="n"/>
      <c r="L1934" s="215" t="n"/>
      <c r="M1934" s="215" t="n"/>
      <c r="N1934" s="215" t="n"/>
      <c r="O1934" s="215" t="n"/>
      <c r="P1934" s="215" t="n"/>
      <c r="Q1934" s="215" t="n"/>
      <c r="R1934" s="215" t="n"/>
      <c r="S1934" s="215" t="n"/>
      <c r="T1934" s="215" t="n"/>
      <c r="U1934" s="215" t="n"/>
      <c r="V1934" s="215" t="n"/>
      <c r="W1934" s="215" t="n"/>
      <c r="X1934" s="215" t="n"/>
      <c r="Y1934" s="215" t="n"/>
      <c r="Z1934" s="215" t="n"/>
      <c r="AA1934" s="215" t="n"/>
      <c r="AB1934" s="215" t="n"/>
      <c r="AC1934" s="215" t="n"/>
      <c r="AD1934" s="215" t="n"/>
      <c r="AE1934" s="215" t="n"/>
      <c r="AF1934" s="215" t="n"/>
      <c r="AG1934" s="215" t="n"/>
      <c r="AH1934" s="215" t="n"/>
      <c r="AI1934" s="215" t="n"/>
      <c r="AJ1934" s="215" t="n"/>
      <c r="AK1934" s="216" t="n"/>
    </row>
    <row r="1935" ht="15" customHeight="1">
      <c r="B1935" s="134" t="n"/>
      <c r="C1935" s="105" t="n"/>
      <c r="D1935" s="105" t="n"/>
      <c r="E1935" s="105" t="n"/>
      <c r="F1935" s="105" t="n"/>
      <c r="G1935" s="105" t="n"/>
      <c r="H1935" s="2" t="n"/>
      <c r="I1935" s="105" t="n"/>
      <c r="K1935" s="215" t="n"/>
      <c r="L1935" s="215" t="n"/>
      <c r="M1935" s="215" t="n"/>
      <c r="N1935" s="215" t="n"/>
      <c r="O1935" s="215" t="n"/>
      <c r="P1935" s="215" t="n"/>
      <c r="Q1935" s="215" t="n"/>
      <c r="R1935" s="215" t="n"/>
      <c r="S1935" s="215" t="n"/>
      <c r="T1935" s="215" t="n"/>
      <c r="U1935" s="215" t="n"/>
      <c r="V1935" s="215" t="n"/>
      <c r="W1935" s="215" t="n"/>
      <c r="X1935" s="215" t="n"/>
      <c r="Y1935" s="215" t="n"/>
      <c r="Z1935" s="215" t="n"/>
      <c r="AA1935" s="215" t="n"/>
      <c r="AB1935" s="215" t="n"/>
      <c r="AC1935" s="215" t="n"/>
      <c r="AD1935" s="215" t="n"/>
      <c r="AE1935" s="215" t="n"/>
      <c r="AF1935" s="215" t="n"/>
      <c r="AG1935" s="215" t="n"/>
      <c r="AH1935" s="215" t="n"/>
      <c r="AI1935" s="215" t="n"/>
      <c r="AJ1935" s="215" t="n"/>
      <c r="AK1935" s="216" t="n"/>
    </row>
    <row r="1936" ht="15" customHeight="1">
      <c r="B1936" s="134" t="n"/>
      <c r="C1936" s="105" t="n"/>
      <c r="D1936" s="105" t="n"/>
      <c r="E1936" s="105" t="n"/>
      <c r="F1936" s="105" t="n"/>
      <c r="G1936" s="105" t="n"/>
      <c r="H1936" s="2" t="n"/>
      <c r="I1936" s="105" t="n"/>
      <c r="K1936" s="215" t="n"/>
      <c r="L1936" s="215" t="n"/>
      <c r="M1936" s="215" t="n"/>
      <c r="N1936" s="215" t="n"/>
      <c r="O1936" s="215" t="n"/>
      <c r="P1936" s="215" t="n"/>
      <c r="Q1936" s="215" t="n"/>
      <c r="R1936" s="215" t="n"/>
      <c r="S1936" s="215" t="n"/>
      <c r="T1936" s="215" t="n"/>
      <c r="U1936" s="215" t="n"/>
      <c r="V1936" s="215" t="n"/>
      <c r="W1936" s="215" t="n"/>
      <c r="X1936" s="215" t="n"/>
      <c r="Y1936" s="215" t="n"/>
      <c r="Z1936" s="215" t="n"/>
      <c r="AA1936" s="215" t="n"/>
      <c r="AB1936" s="215" t="n"/>
      <c r="AC1936" s="215" t="n"/>
      <c r="AD1936" s="215" t="n"/>
      <c r="AE1936" s="215" t="n"/>
      <c r="AF1936" s="215" t="n"/>
      <c r="AG1936" s="215" t="n"/>
      <c r="AH1936" s="215" t="n"/>
      <c r="AI1936" s="215" t="n"/>
      <c r="AJ1936" s="215" t="n"/>
      <c r="AK1936" s="216" t="n"/>
    </row>
    <row r="1937" ht="15" customHeight="1">
      <c r="B1937" s="134" t="n"/>
      <c r="C1937" s="105" t="n"/>
      <c r="D1937" s="105" t="n"/>
      <c r="E1937" s="105" t="n"/>
      <c r="F1937" s="105" t="n"/>
      <c r="G1937" s="105" t="n"/>
      <c r="H1937" s="2" t="n"/>
      <c r="I1937" s="105" t="n"/>
      <c r="K1937" s="215" t="n"/>
      <c r="L1937" s="215" t="n"/>
      <c r="M1937" s="215" t="n"/>
      <c r="N1937" s="215" t="n"/>
      <c r="O1937" s="215" t="n"/>
      <c r="P1937" s="215" t="n"/>
      <c r="Q1937" s="215" t="n"/>
      <c r="R1937" s="215" t="n"/>
      <c r="S1937" s="215" t="n"/>
      <c r="T1937" s="215" t="n"/>
      <c r="U1937" s="215" t="n"/>
      <c r="V1937" s="215" t="n"/>
      <c r="W1937" s="215" t="n"/>
      <c r="X1937" s="215" t="n"/>
      <c r="Y1937" s="215" t="n"/>
      <c r="Z1937" s="215" t="n"/>
      <c r="AA1937" s="215" t="n"/>
      <c r="AB1937" s="215" t="n"/>
      <c r="AC1937" s="215" t="n"/>
      <c r="AD1937" s="215" t="n"/>
      <c r="AE1937" s="215" t="n"/>
      <c r="AF1937" s="215" t="n"/>
      <c r="AG1937" s="215" t="n"/>
      <c r="AH1937" s="215" t="n"/>
      <c r="AI1937" s="215" t="n"/>
      <c r="AJ1937" s="215" t="n"/>
      <c r="AK1937" s="216" t="n"/>
    </row>
    <row r="1938" ht="15" customHeight="1">
      <c r="B1938" s="134" t="n"/>
      <c r="C1938" s="105" t="n"/>
      <c r="D1938" s="105" t="n"/>
      <c r="E1938" s="105" t="n"/>
      <c r="F1938" s="105" t="n"/>
      <c r="G1938" s="105" t="n"/>
      <c r="H1938" s="2" t="n"/>
      <c r="I1938" s="105" t="n"/>
      <c r="K1938" s="215" t="n"/>
      <c r="L1938" s="215" t="n"/>
      <c r="M1938" s="215" t="n"/>
      <c r="N1938" s="215" t="n"/>
      <c r="O1938" s="215" t="n"/>
      <c r="P1938" s="215" t="n"/>
      <c r="Q1938" s="215" t="n"/>
      <c r="R1938" s="215" t="n"/>
      <c r="S1938" s="215" t="n"/>
      <c r="T1938" s="215" t="n"/>
      <c r="U1938" s="215" t="n"/>
      <c r="V1938" s="215" t="n"/>
      <c r="W1938" s="215" t="n"/>
      <c r="X1938" s="215" t="n"/>
      <c r="Y1938" s="215" t="n"/>
      <c r="Z1938" s="215" t="n"/>
      <c r="AA1938" s="215" t="n"/>
      <c r="AB1938" s="215" t="n"/>
      <c r="AC1938" s="215" t="n"/>
      <c r="AD1938" s="215" t="n"/>
      <c r="AE1938" s="215" t="n"/>
      <c r="AF1938" s="215" t="n"/>
      <c r="AG1938" s="215" t="n"/>
      <c r="AH1938" s="215" t="n"/>
      <c r="AI1938" s="215" t="n"/>
      <c r="AJ1938" s="215" t="n"/>
      <c r="AK1938" s="216" t="n"/>
    </row>
    <row r="1939" ht="15" customHeight="1">
      <c r="B1939" s="134" t="n"/>
      <c r="C1939" s="105" t="n"/>
      <c r="D1939" s="105" t="n"/>
      <c r="E1939" s="105" t="n"/>
      <c r="F1939" s="105" t="n"/>
      <c r="G1939" s="105" t="n"/>
      <c r="H1939" s="2" t="n"/>
      <c r="I1939" s="105" t="n"/>
      <c r="K1939" s="215" t="n"/>
      <c r="L1939" s="215" t="n"/>
      <c r="M1939" s="215" t="n"/>
      <c r="N1939" s="215" t="n"/>
      <c r="O1939" s="215" t="n"/>
      <c r="P1939" s="215" t="n"/>
      <c r="Q1939" s="215" t="n"/>
      <c r="R1939" s="215" t="n"/>
      <c r="S1939" s="215" t="n"/>
      <c r="T1939" s="215" t="n"/>
      <c r="U1939" s="215" t="n"/>
      <c r="V1939" s="215" t="n"/>
      <c r="W1939" s="215" t="n"/>
      <c r="X1939" s="215" t="n"/>
      <c r="Y1939" s="215" t="n"/>
      <c r="Z1939" s="215" t="n"/>
      <c r="AA1939" s="215" t="n"/>
      <c r="AB1939" s="215" t="n"/>
      <c r="AC1939" s="215" t="n"/>
      <c r="AD1939" s="215" t="n"/>
      <c r="AE1939" s="215" t="n"/>
      <c r="AF1939" s="215" t="n"/>
      <c r="AG1939" s="215" t="n"/>
      <c r="AH1939" s="215" t="n"/>
      <c r="AI1939" s="215" t="n"/>
      <c r="AJ1939" s="215" t="n"/>
      <c r="AK1939" s="216" t="n"/>
    </row>
    <row r="1940" ht="15" customHeight="1">
      <c r="B1940" s="134" t="n"/>
      <c r="C1940" s="105" t="n"/>
      <c r="D1940" s="105" t="n"/>
      <c r="E1940" s="105" t="n"/>
      <c r="F1940" s="105" t="n"/>
      <c r="G1940" s="105" t="n"/>
      <c r="H1940" s="2" t="n"/>
      <c r="I1940" s="105" t="n"/>
      <c r="K1940" s="215" t="n"/>
      <c r="L1940" s="215" t="n"/>
      <c r="M1940" s="215" t="n"/>
      <c r="N1940" s="215" t="n"/>
      <c r="O1940" s="215" t="n"/>
      <c r="P1940" s="215" t="n"/>
      <c r="Q1940" s="215" t="n"/>
      <c r="R1940" s="215" t="n"/>
      <c r="S1940" s="215" t="n"/>
      <c r="T1940" s="215" t="n"/>
      <c r="U1940" s="215" t="n"/>
      <c r="V1940" s="215" t="n"/>
      <c r="W1940" s="215" t="n"/>
      <c r="X1940" s="215" t="n"/>
      <c r="Y1940" s="215" t="n"/>
      <c r="Z1940" s="215" t="n"/>
      <c r="AA1940" s="215" t="n"/>
      <c r="AB1940" s="215" t="n"/>
      <c r="AC1940" s="215" t="n"/>
      <c r="AD1940" s="215" t="n"/>
      <c r="AE1940" s="215" t="n"/>
      <c r="AF1940" s="215" t="n"/>
      <c r="AG1940" s="215" t="n"/>
      <c r="AH1940" s="215" t="n"/>
      <c r="AI1940" s="215" t="n"/>
      <c r="AJ1940" s="215" t="n"/>
      <c r="AK1940" s="216" t="n"/>
    </row>
    <row r="1941" ht="15" customHeight="1">
      <c r="B1941" s="134" t="n"/>
      <c r="C1941" s="105" t="n"/>
      <c r="D1941" s="105" t="n"/>
      <c r="E1941" s="105" t="n"/>
      <c r="F1941" s="105" t="n"/>
      <c r="G1941" s="105" t="n"/>
      <c r="H1941" s="2" t="n"/>
      <c r="I1941" s="105" t="n"/>
      <c r="K1941" s="215" t="n"/>
      <c r="L1941" s="215" t="n"/>
      <c r="M1941" s="215" t="n"/>
      <c r="N1941" s="215" t="n"/>
      <c r="O1941" s="215" t="n"/>
      <c r="P1941" s="215" t="n"/>
      <c r="Q1941" s="215" t="n"/>
      <c r="R1941" s="215" t="n"/>
      <c r="S1941" s="215" t="n"/>
      <c r="T1941" s="215" t="n"/>
      <c r="U1941" s="215" t="n"/>
      <c r="V1941" s="215" t="n"/>
      <c r="W1941" s="215" t="n"/>
      <c r="X1941" s="215" t="n"/>
      <c r="Y1941" s="215" t="n"/>
      <c r="Z1941" s="215" t="n"/>
      <c r="AA1941" s="215" t="n"/>
      <c r="AB1941" s="215" t="n"/>
      <c r="AC1941" s="215" t="n"/>
      <c r="AD1941" s="215" t="n"/>
      <c r="AE1941" s="215" t="n"/>
      <c r="AF1941" s="215" t="n"/>
      <c r="AG1941" s="215" t="n"/>
      <c r="AH1941" s="215" t="n"/>
      <c r="AI1941" s="215" t="n"/>
      <c r="AJ1941" s="215" t="n"/>
      <c r="AK1941" s="216" t="n"/>
    </row>
    <row r="1942" ht="15" customHeight="1">
      <c r="B1942" s="134" t="n"/>
      <c r="C1942" s="105" t="n"/>
      <c r="D1942" s="105" t="n"/>
      <c r="E1942" s="105" t="n"/>
      <c r="F1942" s="105" t="n"/>
      <c r="G1942" s="105" t="n"/>
      <c r="H1942" s="2" t="n"/>
      <c r="I1942" s="105" t="n"/>
      <c r="K1942" s="215" t="n"/>
      <c r="L1942" s="215" t="n"/>
      <c r="M1942" s="215" t="n"/>
      <c r="N1942" s="215" t="n"/>
      <c r="O1942" s="215" t="n"/>
      <c r="P1942" s="215" t="n"/>
      <c r="Q1942" s="215" t="n"/>
      <c r="R1942" s="215" t="n"/>
      <c r="S1942" s="215" t="n"/>
      <c r="T1942" s="215" t="n"/>
      <c r="U1942" s="215" t="n"/>
      <c r="V1942" s="215" t="n"/>
      <c r="W1942" s="215" t="n"/>
      <c r="X1942" s="215" t="n"/>
      <c r="Y1942" s="215" t="n"/>
      <c r="Z1942" s="215" t="n"/>
      <c r="AA1942" s="215" t="n"/>
      <c r="AB1942" s="215" t="n"/>
      <c r="AC1942" s="215" t="n"/>
      <c r="AD1942" s="215" t="n"/>
      <c r="AE1942" s="215" t="n"/>
      <c r="AF1942" s="215" t="n"/>
      <c r="AG1942" s="215" t="n"/>
      <c r="AH1942" s="215" t="n"/>
      <c r="AI1942" s="215" t="n"/>
      <c r="AJ1942" s="215" t="n"/>
      <c r="AK1942" s="216" t="n"/>
    </row>
    <row r="1943" ht="15" customHeight="1">
      <c r="B1943" s="134" t="n"/>
      <c r="C1943" s="105" t="n"/>
      <c r="D1943" s="105" t="n"/>
      <c r="E1943" s="105" t="n"/>
      <c r="F1943" s="105" t="n"/>
      <c r="G1943" s="105" t="n"/>
      <c r="H1943" s="2" t="n"/>
      <c r="I1943" s="105" t="n"/>
      <c r="K1943" s="215" t="n"/>
      <c r="L1943" s="215" t="n"/>
      <c r="M1943" s="215" t="n"/>
      <c r="N1943" s="215" t="n"/>
      <c r="O1943" s="215" t="n"/>
      <c r="P1943" s="215" t="n"/>
      <c r="Q1943" s="215" t="n"/>
      <c r="R1943" s="215" t="n"/>
      <c r="S1943" s="215" t="n"/>
      <c r="T1943" s="215" t="n"/>
      <c r="U1943" s="215" t="n"/>
      <c r="V1943" s="215" t="n"/>
      <c r="W1943" s="215" t="n"/>
      <c r="X1943" s="215" t="n"/>
      <c r="Y1943" s="215" t="n"/>
      <c r="Z1943" s="215" t="n"/>
      <c r="AA1943" s="215" t="n"/>
      <c r="AB1943" s="215" t="n"/>
      <c r="AC1943" s="215" t="n"/>
      <c r="AD1943" s="215" t="n"/>
      <c r="AE1943" s="215" t="n"/>
      <c r="AF1943" s="215" t="n"/>
      <c r="AG1943" s="215" t="n"/>
      <c r="AH1943" s="215" t="n"/>
      <c r="AI1943" s="215" t="n"/>
      <c r="AJ1943" s="215" t="n"/>
      <c r="AK1943" s="216" t="n"/>
    </row>
    <row r="1944" ht="15" customHeight="1">
      <c r="B1944" s="134" t="n"/>
      <c r="C1944" s="105" t="n"/>
      <c r="D1944" s="105" t="n"/>
      <c r="E1944" s="105" t="n"/>
      <c r="F1944" s="105" t="n"/>
      <c r="G1944" s="105" t="n"/>
      <c r="H1944" s="2" t="n"/>
      <c r="I1944" s="105" t="n"/>
      <c r="K1944" s="215" t="n"/>
      <c r="L1944" s="215" t="n"/>
      <c r="M1944" s="215" t="n"/>
      <c r="N1944" s="215" t="n"/>
      <c r="O1944" s="215" t="n"/>
      <c r="P1944" s="215" t="n"/>
      <c r="Q1944" s="215" t="n"/>
      <c r="R1944" s="215" t="n"/>
      <c r="S1944" s="215" t="n"/>
      <c r="T1944" s="215" t="n"/>
      <c r="U1944" s="215" t="n"/>
      <c r="V1944" s="215" t="n"/>
      <c r="W1944" s="215" t="n"/>
      <c r="X1944" s="215" t="n"/>
      <c r="Y1944" s="215" t="n"/>
      <c r="Z1944" s="215" t="n"/>
      <c r="AA1944" s="215" t="n"/>
      <c r="AB1944" s="215" t="n"/>
      <c r="AC1944" s="215" t="n"/>
      <c r="AD1944" s="215" t="n"/>
      <c r="AE1944" s="215" t="n"/>
      <c r="AF1944" s="215" t="n"/>
      <c r="AG1944" s="215" t="n"/>
      <c r="AH1944" s="215" t="n"/>
      <c r="AI1944" s="215" t="n"/>
      <c r="AJ1944" s="215" t="n"/>
      <c r="AK1944" s="216" t="n"/>
    </row>
    <row r="1945" ht="15" customHeight="1">
      <c r="B1945" s="134" t="n"/>
      <c r="C1945" s="105" t="n"/>
      <c r="D1945" s="105" t="n"/>
      <c r="E1945" s="105" t="n"/>
      <c r="F1945" s="105" t="n"/>
      <c r="G1945" s="105" t="n"/>
      <c r="H1945" s="2" t="n"/>
      <c r="I1945" s="105" t="n"/>
      <c r="K1945" s="215" t="n"/>
      <c r="L1945" s="215" t="n"/>
      <c r="M1945" s="215" t="n"/>
      <c r="N1945" s="215" t="n"/>
      <c r="O1945" s="215" t="n"/>
      <c r="P1945" s="215" t="n"/>
      <c r="Q1945" s="215" t="n"/>
      <c r="R1945" s="215" t="n"/>
      <c r="S1945" s="215" t="n"/>
      <c r="T1945" s="215" t="n"/>
      <c r="U1945" s="215" t="n"/>
      <c r="V1945" s="215" t="n"/>
      <c r="W1945" s="215" t="n"/>
      <c r="X1945" s="215" t="n"/>
      <c r="Y1945" s="215" t="n"/>
      <c r="Z1945" s="215" t="n"/>
      <c r="AA1945" s="215" t="n"/>
      <c r="AB1945" s="215" t="n"/>
      <c r="AC1945" s="215" t="n"/>
      <c r="AD1945" s="215" t="n"/>
      <c r="AE1945" s="215" t="n"/>
      <c r="AF1945" s="215" t="n"/>
      <c r="AG1945" s="215" t="n"/>
      <c r="AH1945" s="215" t="n"/>
      <c r="AI1945" s="215" t="n"/>
      <c r="AJ1945" s="215" t="n"/>
      <c r="AK1945" s="216" t="n"/>
    </row>
    <row r="1946" ht="15" customHeight="1">
      <c r="B1946" s="134" t="n"/>
      <c r="C1946" s="105" t="n"/>
      <c r="D1946" s="105" t="n"/>
      <c r="E1946" s="105" t="n"/>
      <c r="F1946" s="105" t="n"/>
      <c r="G1946" s="105" t="n"/>
      <c r="H1946" s="2" t="n"/>
      <c r="I1946" s="105" t="n"/>
      <c r="K1946" s="215" t="n"/>
      <c r="L1946" s="215" t="n"/>
      <c r="M1946" s="215" t="n"/>
      <c r="N1946" s="215" t="n"/>
      <c r="O1946" s="215" t="n"/>
      <c r="P1946" s="215" t="n"/>
      <c r="Q1946" s="215" t="n"/>
      <c r="R1946" s="215" t="n"/>
      <c r="S1946" s="215" t="n"/>
      <c r="T1946" s="215" t="n"/>
      <c r="U1946" s="215" t="n"/>
      <c r="V1946" s="215" t="n"/>
      <c r="W1946" s="215" t="n"/>
      <c r="X1946" s="215" t="n"/>
      <c r="Y1946" s="215" t="n"/>
      <c r="Z1946" s="215" t="n"/>
      <c r="AA1946" s="215" t="n"/>
      <c r="AB1946" s="215" t="n"/>
      <c r="AC1946" s="215" t="n"/>
      <c r="AD1946" s="215" t="n"/>
      <c r="AE1946" s="215" t="n"/>
      <c r="AF1946" s="215" t="n"/>
      <c r="AG1946" s="215" t="n"/>
      <c r="AH1946" s="215" t="n"/>
      <c r="AI1946" s="215" t="n"/>
      <c r="AJ1946" s="215" t="n"/>
      <c r="AK1946" s="216" t="n"/>
    </row>
    <row r="1947" ht="15" customHeight="1">
      <c r="B1947" s="134" t="n"/>
      <c r="C1947" s="105" t="n"/>
      <c r="D1947" s="105" t="n"/>
      <c r="E1947" s="105" t="n"/>
      <c r="F1947" s="105" t="n"/>
      <c r="G1947" s="105" t="n"/>
      <c r="H1947" s="2" t="n"/>
      <c r="I1947" s="105" t="n"/>
      <c r="K1947" s="215" t="n"/>
      <c r="L1947" s="215" t="n"/>
      <c r="M1947" s="215" t="n"/>
      <c r="N1947" s="215" t="n"/>
      <c r="O1947" s="215" t="n"/>
      <c r="P1947" s="215" t="n"/>
      <c r="Q1947" s="215" t="n"/>
      <c r="R1947" s="215" t="n"/>
      <c r="S1947" s="215" t="n"/>
      <c r="T1947" s="215" t="n"/>
      <c r="U1947" s="215" t="n"/>
      <c r="V1947" s="215" t="n"/>
      <c r="W1947" s="215" t="n"/>
      <c r="X1947" s="215" t="n"/>
      <c r="Y1947" s="215" t="n"/>
      <c r="Z1947" s="215" t="n"/>
      <c r="AA1947" s="215" t="n"/>
      <c r="AB1947" s="215" t="n"/>
      <c r="AC1947" s="215" t="n"/>
      <c r="AD1947" s="215" t="n"/>
      <c r="AE1947" s="215" t="n"/>
      <c r="AF1947" s="215" t="n"/>
      <c r="AG1947" s="215" t="n"/>
      <c r="AH1947" s="215" t="n"/>
      <c r="AI1947" s="215" t="n"/>
      <c r="AJ1947" s="215" t="n"/>
      <c r="AK1947" s="216" t="n"/>
    </row>
    <row r="1948" ht="15" customHeight="1">
      <c r="B1948" s="134" t="n"/>
      <c r="C1948" s="105" t="n"/>
      <c r="D1948" s="105" t="n"/>
      <c r="E1948" s="105" t="n"/>
      <c r="F1948" s="105" t="n"/>
      <c r="G1948" s="105" t="n"/>
      <c r="H1948" s="2" t="n"/>
      <c r="I1948" s="105" t="n"/>
      <c r="K1948" s="215" t="n"/>
      <c r="L1948" s="215" t="n"/>
      <c r="M1948" s="215" t="n"/>
      <c r="N1948" s="215" t="n"/>
      <c r="O1948" s="215" t="n"/>
      <c r="P1948" s="215" t="n"/>
      <c r="Q1948" s="215" t="n"/>
      <c r="R1948" s="215" t="n"/>
      <c r="S1948" s="215" t="n"/>
      <c r="T1948" s="215" t="n"/>
      <c r="U1948" s="215" t="n"/>
      <c r="V1948" s="215" t="n"/>
      <c r="W1948" s="215" t="n"/>
      <c r="X1948" s="215" t="n"/>
      <c r="Y1948" s="215" t="n"/>
      <c r="Z1948" s="215" t="n"/>
      <c r="AA1948" s="215" t="n"/>
      <c r="AB1948" s="215" t="n"/>
      <c r="AC1948" s="215" t="n"/>
      <c r="AD1948" s="215" t="n"/>
      <c r="AE1948" s="215" t="n"/>
      <c r="AF1948" s="215" t="n"/>
      <c r="AG1948" s="215" t="n"/>
      <c r="AH1948" s="215" t="n"/>
      <c r="AI1948" s="215" t="n"/>
      <c r="AJ1948" s="215" t="n"/>
      <c r="AK1948" s="216" t="n"/>
    </row>
    <row r="1949" ht="15" customHeight="1">
      <c r="B1949" s="134" t="n"/>
      <c r="C1949" s="105" t="n"/>
      <c r="D1949" s="105" t="n"/>
      <c r="E1949" s="105" t="n"/>
      <c r="F1949" s="105" t="n"/>
      <c r="G1949" s="105" t="n"/>
      <c r="H1949" s="2" t="n"/>
      <c r="I1949" s="105" t="n"/>
      <c r="K1949" s="215" t="n"/>
      <c r="L1949" s="215" t="n"/>
      <c r="M1949" s="215" t="n"/>
      <c r="N1949" s="215" t="n"/>
      <c r="O1949" s="215" t="n"/>
      <c r="P1949" s="215" t="n"/>
      <c r="Q1949" s="215" t="n"/>
      <c r="R1949" s="215" t="n"/>
      <c r="S1949" s="215" t="n"/>
      <c r="T1949" s="215" t="n"/>
      <c r="U1949" s="215" t="n"/>
      <c r="V1949" s="215" t="n"/>
      <c r="W1949" s="215" t="n"/>
      <c r="X1949" s="215" t="n"/>
      <c r="Y1949" s="215" t="n"/>
      <c r="Z1949" s="215" t="n"/>
      <c r="AA1949" s="215" t="n"/>
      <c r="AB1949" s="215" t="n"/>
      <c r="AC1949" s="215" t="n"/>
      <c r="AD1949" s="215" t="n"/>
      <c r="AE1949" s="215" t="n"/>
      <c r="AF1949" s="215" t="n"/>
      <c r="AG1949" s="215" t="n"/>
      <c r="AH1949" s="215" t="n"/>
      <c r="AI1949" s="215" t="n"/>
      <c r="AJ1949" s="215" t="n"/>
      <c r="AK1949" s="216" t="n"/>
    </row>
    <row r="1950" ht="15" customHeight="1">
      <c r="B1950" s="134" t="n"/>
      <c r="C1950" s="105" t="n"/>
      <c r="D1950" s="105" t="n"/>
      <c r="E1950" s="105" t="n"/>
      <c r="F1950" s="105" t="n"/>
      <c r="G1950" s="105" t="n"/>
      <c r="H1950" s="2" t="n"/>
      <c r="I1950" s="105" t="n"/>
      <c r="K1950" s="215" t="n"/>
      <c r="L1950" s="215" t="n"/>
      <c r="M1950" s="215" t="n"/>
      <c r="N1950" s="215" t="n"/>
      <c r="O1950" s="215" t="n"/>
      <c r="P1950" s="215" t="n"/>
      <c r="Q1950" s="215" t="n"/>
      <c r="R1950" s="215" t="n"/>
      <c r="S1950" s="215" t="n"/>
      <c r="T1950" s="215" t="n"/>
      <c r="U1950" s="215" t="n"/>
      <c r="V1950" s="215" t="n"/>
      <c r="W1950" s="215" t="n"/>
      <c r="X1950" s="215" t="n"/>
      <c r="Y1950" s="215" t="n"/>
      <c r="Z1950" s="215" t="n"/>
      <c r="AA1950" s="215" t="n"/>
      <c r="AB1950" s="215" t="n"/>
      <c r="AC1950" s="215" t="n"/>
      <c r="AD1950" s="215" t="n"/>
      <c r="AE1950" s="215" t="n"/>
      <c r="AF1950" s="215" t="n"/>
      <c r="AG1950" s="215" t="n"/>
      <c r="AH1950" s="215" t="n"/>
      <c r="AI1950" s="215" t="n"/>
      <c r="AJ1950" s="215" t="n"/>
      <c r="AK1950" s="216" t="n"/>
    </row>
    <row r="1951" ht="15" customHeight="1">
      <c r="B1951" s="134" t="n"/>
      <c r="C1951" s="105" t="n"/>
      <c r="D1951" s="105" t="n"/>
      <c r="E1951" s="105" t="n"/>
      <c r="F1951" s="105" t="n"/>
      <c r="G1951" s="105" t="n"/>
      <c r="H1951" s="2" t="n"/>
      <c r="I1951" s="105" t="n"/>
      <c r="K1951" s="215" t="n"/>
      <c r="L1951" s="215" t="n"/>
      <c r="M1951" s="215" t="n"/>
      <c r="N1951" s="215" t="n"/>
      <c r="O1951" s="215" t="n"/>
      <c r="P1951" s="215" t="n"/>
      <c r="Q1951" s="215" t="n"/>
      <c r="R1951" s="215" t="n"/>
      <c r="S1951" s="215" t="n"/>
      <c r="T1951" s="215" t="n"/>
      <c r="U1951" s="215" t="n"/>
      <c r="V1951" s="215" t="n"/>
      <c r="W1951" s="215" t="n"/>
      <c r="X1951" s="215" t="n"/>
      <c r="Y1951" s="215" t="n"/>
      <c r="Z1951" s="215" t="n"/>
      <c r="AA1951" s="215" t="n"/>
      <c r="AB1951" s="215" t="n"/>
      <c r="AC1951" s="215" t="n"/>
      <c r="AD1951" s="215" t="n"/>
      <c r="AE1951" s="215" t="n"/>
      <c r="AF1951" s="215" t="n"/>
      <c r="AG1951" s="215" t="n"/>
      <c r="AH1951" s="215" t="n"/>
      <c r="AI1951" s="215" t="n"/>
      <c r="AJ1951" s="215" t="n"/>
      <c r="AK1951" s="216" t="n"/>
    </row>
    <row r="1952" ht="15" customHeight="1">
      <c r="B1952" s="134" t="n"/>
      <c r="C1952" s="105" t="n"/>
      <c r="D1952" s="105" t="n"/>
      <c r="E1952" s="105" t="n"/>
      <c r="F1952" s="105" t="n"/>
      <c r="G1952" s="105" t="n"/>
      <c r="H1952" s="2" t="n"/>
      <c r="I1952" s="105" t="n"/>
      <c r="K1952" s="215" t="n"/>
      <c r="L1952" s="215" t="n"/>
      <c r="M1952" s="215" t="n"/>
      <c r="N1952" s="215" t="n"/>
      <c r="O1952" s="215" t="n"/>
      <c r="P1952" s="215" t="n"/>
      <c r="Q1952" s="215" t="n"/>
      <c r="R1952" s="215" t="n"/>
      <c r="S1952" s="215" t="n"/>
      <c r="T1952" s="215" t="n"/>
      <c r="U1952" s="215" t="n"/>
      <c r="V1952" s="215" t="n"/>
      <c r="W1952" s="215" t="n"/>
      <c r="X1952" s="215" t="n"/>
      <c r="Y1952" s="215" t="n"/>
      <c r="Z1952" s="215" t="n"/>
      <c r="AA1952" s="215" t="n"/>
      <c r="AB1952" s="215" t="n"/>
      <c r="AC1952" s="215" t="n"/>
      <c r="AD1952" s="215" t="n"/>
      <c r="AE1952" s="215" t="n"/>
      <c r="AF1952" s="215" t="n"/>
      <c r="AG1952" s="215" t="n"/>
      <c r="AH1952" s="215" t="n"/>
      <c r="AI1952" s="215" t="n"/>
      <c r="AJ1952" s="215" t="n"/>
      <c r="AK1952" s="216" t="n"/>
    </row>
    <row r="1953" ht="15" customHeight="1">
      <c r="B1953" s="134" t="n"/>
      <c r="C1953" s="105" t="n"/>
      <c r="D1953" s="105" t="n"/>
      <c r="E1953" s="105" t="n"/>
      <c r="F1953" s="105" t="n"/>
      <c r="G1953" s="105" t="n"/>
      <c r="H1953" s="2" t="n"/>
      <c r="I1953" s="105" t="n"/>
      <c r="K1953" s="215" t="n"/>
      <c r="L1953" s="215" t="n"/>
      <c r="M1953" s="215" t="n"/>
      <c r="N1953" s="215" t="n"/>
      <c r="O1953" s="215" t="n"/>
      <c r="P1953" s="215" t="n"/>
      <c r="Q1953" s="215" t="n"/>
      <c r="R1953" s="215" t="n"/>
      <c r="S1953" s="215" t="n"/>
      <c r="T1953" s="215" t="n"/>
      <c r="U1953" s="215" t="n"/>
      <c r="V1953" s="215" t="n"/>
      <c r="W1953" s="215" t="n"/>
      <c r="X1953" s="215" t="n"/>
      <c r="Y1953" s="215" t="n"/>
      <c r="Z1953" s="215" t="n"/>
      <c r="AA1953" s="215" t="n"/>
      <c r="AB1953" s="215" t="n"/>
      <c r="AC1953" s="215" t="n"/>
      <c r="AD1953" s="215" t="n"/>
      <c r="AE1953" s="215" t="n"/>
      <c r="AF1953" s="215" t="n"/>
      <c r="AG1953" s="215" t="n"/>
      <c r="AH1953" s="215" t="n"/>
      <c r="AI1953" s="215" t="n"/>
      <c r="AJ1953" s="215" t="n"/>
      <c r="AK1953" s="216" t="n"/>
    </row>
    <row r="1954" ht="15" customHeight="1">
      <c r="B1954" s="134" t="n"/>
      <c r="C1954" s="105" t="n"/>
      <c r="D1954" s="105" t="n"/>
      <c r="E1954" s="105" t="n"/>
      <c r="F1954" s="105" t="n"/>
      <c r="G1954" s="105" t="n"/>
      <c r="H1954" s="2" t="n"/>
      <c r="I1954" s="105" t="n"/>
      <c r="K1954" s="215" t="n"/>
      <c r="L1954" s="215" t="n"/>
      <c r="M1954" s="215" t="n"/>
      <c r="N1954" s="215" t="n"/>
      <c r="O1954" s="215" t="n"/>
      <c r="P1954" s="215" t="n"/>
      <c r="Q1954" s="215" t="n"/>
      <c r="R1954" s="215" t="n"/>
      <c r="S1954" s="215" t="n"/>
      <c r="T1954" s="215" t="n"/>
      <c r="U1954" s="215" t="n"/>
      <c r="V1954" s="215" t="n"/>
      <c r="W1954" s="215" t="n"/>
      <c r="X1954" s="215" t="n"/>
      <c r="Y1954" s="215" t="n"/>
      <c r="Z1954" s="215" t="n"/>
      <c r="AA1954" s="215" t="n"/>
      <c r="AB1954" s="215" t="n"/>
      <c r="AC1954" s="215" t="n"/>
      <c r="AD1954" s="215" t="n"/>
      <c r="AE1954" s="215" t="n"/>
      <c r="AF1954" s="215" t="n"/>
      <c r="AG1954" s="215" t="n"/>
      <c r="AH1954" s="215" t="n"/>
      <c r="AI1954" s="215" t="n"/>
      <c r="AJ1954" s="215" t="n"/>
      <c r="AK1954" s="216" t="n"/>
    </row>
    <row r="1955" ht="15" customHeight="1">
      <c r="B1955" s="134" t="n"/>
      <c r="C1955" s="105" t="n"/>
      <c r="D1955" s="105" t="n"/>
      <c r="E1955" s="105" t="n"/>
      <c r="F1955" s="105" t="n"/>
      <c r="G1955" s="105" t="n"/>
      <c r="H1955" s="2" t="n"/>
      <c r="I1955" s="105" t="n"/>
      <c r="K1955" s="215" t="n"/>
      <c r="L1955" s="215" t="n"/>
      <c r="M1955" s="215" t="n"/>
      <c r="N1955" s="215" t="n"/>
      <c r="O1955" s="215" t="n"/>
      <c r="P1955" s="215" t="n"/>
      <c r="Q1955" s="215" t="n"/>
      <c r="R1955" s="215" t="n"/>
      <c r="S1955" s="215" t="n"/>
      <c r="T1955" s="215" t="n"/>
      <c r="U1955" s="215" t="n"/>
      <c r="V1955" s="215" t="n"/>
      <c r="W1955" s="215" t="n"/>
      <c r="X1955" s="215" t="n"/>
      <c r="Y1955" s="215" t="n"/>
      <c r="Z1955" s="215" t="n"/>
      <c r="AA1955" s="215" t="n"/>
      <c r="AB1955" s="215" t="n"/>
      <c r="AC1955" s="215" t="n"/>
      <c r="AD1955" s="215" t="n"/>
      <c r="AE1955" s="215" t="n"/>
      <c r="AF1955" s="215" t="n"/>
      <c r="AG1955" s="215" t="n"/>
      <c r="AH1955" s="215" t="n"/>
      <c r="AI1955" s="215" t="n"/>
      <c r="AJ1955" s="215" t="n"/>
      <c r="AK1955" s="216" t="n"/>
    </row>
    <row r="1956" ht="15" customHeight="1">
      <c r="B1956" s="134" t="n"/>
      <c r="C1956" s="105" t="n"/>
      <c r="D1956" s="105" t="n"/>
      <c r="E1956" s="105" t="n"/>
      <c r="F1956" s="105" t="n"/>
      <c r="G1956" s="105" t="n"/>
      <c r="H1956" s="2" t="n"/>
      <c r="I1956" s="105" t="n"/>
      <c r="K1956" s="215" t="n"/>
      <c r="L1956" s="215" t="n"/>
      <c r="M1956" s="215" t="n"/>
      <c r="N1956" s="215" t="n"/>
      <c r="O1956" s="215" t="n"/>
      <c r="P1956" s="215" t="n"/>
      <c r="Q1956" s="215" t="n"/>
      <c r="R1956" s="215" t="n"/>
      <c r="S1956" s="215" t="n"/>
      <c r="T1956" s="215" t="n"/>
      <c r="U1956" s="215" t="n"/>
      <c r="V1956" s="215" t="n"/>
      <c r="W1956" s="215" t="n"/>
      <c r="X1956" s="215" t="n"/>
      <c r="Y1956" s="215" t="n"/>
      <c r="Z1956" s="215" t="n"/>
      <c r="AA1956" s="215" t="n"/>
      <c r="AB1956" s="215" t="n"/>
      <c r="AC1956" s="215" t="n"/>
      <c r="AD1956" s="215" t="n"/>
      <c r="AE1956" s="215" t="n"/>
      <c r="AF1956" s="215" t="n"/>
      <c r="AG1956" s="215" t="n"/>
      <c r="AH1956" s="215" t="n"/>
      <c r="AI1956" s="215" t="n"/>
      <c r="AJ1956" s="215" t="n"/>
      <c r="AK1956" s="216" t="n"/>
    </row>
    <row r="1957" ht="15" customHeight="1">
      <c r="B1957" s="134" t="n"/>
      <c r="C1957" s="105" t="n"/>
      <c r="D1957" s="105" t="n"/>
      <c r="E1957" s="105" t="n"/>
      <c r="F1957" s="105" t="n"/>
      <c r="G1957" s="105" t="n"/>
      <c r="H1957" s="2" t="n"/>
      <c r="I1957" s="105" t="n"/>
      <c r="K1957" s="215" t="n"/>
      <c r="L1957" s="215" t="n"/>
      <c r="M1957" s="215" t="n"/>
      <c r="N1957" s="215" t="n"/>
      <c r="O1957" s="215" t="n"/>
      <c r="P1957" s="215" t="n"/>
      <c r="Q1957" s="215" t="n"/>
      <c r="R1957" s="215" t="n"/>
      <c r="S1957" s="215" t="n"/>
      <c r="T1957" s="215" t="n"/>
      <c r="U1957" s="215" t="n"/>
      <c r="V1957" s="215" t="n"/>
      <c r="W1957" s="215" t="n"/>
      <c r="X1957" s="215" t="n"/>
      <c r="Y1957" s="215" t="n"/>
      <c r="Z1957" s="215" t="n"/>
      <c r="AA1957" s="215" t="n"/>
      <c r="AB1957" s="215" t="n"/>
      <c r="AC1957" s="215" t="n"/>
      <c r="AD1957" s="215" t="n"/>
      <c r="AE1957" s="215" t="n"/>
      <c r="AF1957" s="215" t="n"/>
      <c r="AG1957" s="215" t="n"/>
      <c r="AH1957" s="215" t="n"/>
      <c r="AI1957" s="215" t="n"/>
      <c r="AJ1957" s="215" t="n"/>
      <c r="AK1957" s="216" t="n"/>
    </row>
    <row r="1958" ht="15" customHeight="1">
      <c r="B1958" s="134" t="n"/>
      <c r="C1958" s="105" t="n"/>
      <c r="D1958" s="105" t="n"/>
      <c r="E1958" s="105" t="n"/>
      <c r="F1958" s="105" t="n"/>
      <c r="G1958" s="105" t="n"/>
      <c r="H1958" s="2" t="n"/>
      <c r="I1958" s="105" t="n"/>
      <c r="K1958" s="215" t="n"/>
      <c r="L1958" s="215" t="n"/>
      <c r="M1958" s="215" t="n"/>
      <c r="N1958" s="215" t="n"/>
      <c r="O1958" s="215" t="n"/>
      <c r="P1958" s="215" t="n"/>
      <c r="Q1958" s="215" t="n"/>
      <c r="R1958" s="215" t="n"/>
      <c r="S1958" s="215" t="n"/>
      <c r="T1958" s="215" t="n"/>
      <c r="U1958" s="215" t="n"/>
      <c r="V1958" s="215" t="n"/>
      <c r="W1958" s="215" t="n"/>
      <c r="X1958" s="215" t="n"/>
      <c r="Y1958" s="215" t="n"/>
      <c r="Z1958" s="215" t="n"/>
      <c r="AA1958" s="215" t="n"/>
      <c r="AB1958" s="215" t="n"/>
      <c r="AC1958" s="215" t="n"/>
      <c r="AD1958" s="215" t="n"/>
      <c r="AE1958" s="215" t="n"/>
      <c r="AF1958" s="215" t="n"/>
      <c r="AG1958" s="215" t="n"/>
      <c r="AH1958" s="215" t="n"/>
      <c r="AI1958" s="215" t="n"/>
      <c r="AJ1958" s="215" t="n"/>
      <c r="AK1958" s="216" t="n"/>
    </row>
    <row r="1959" ht="15" customHeight="1">
      <c r="B1959" s="134" t="n"/>
      <c r="C1959" s="105" t="n"/>
      <c r="D1959" s="105" t="n"/>
      <c r="E1959" s="105" t="n"/>
      <c r="F1959" s="105" t="n"/>
      <c r="G1959" s="105" t="n"/>
      <c r="H1959" s="2" t="n"/>
      <c r="I1959" s="105" t="n"/>
      <c r="K1959" s="215" t="n"/>
      <c r="L1959" s="215" t="n"/>
      <c r="M1959" s="215" t="n"/>
      <c r="N1959" s="215" t="n"/>
      <c r="O1959" s="215" t="n"/>
      <c r="P1959" s="215" t="n"/>
      <c r="Q1959" s="215" t="n"/>
      <c r="R1959" s="215" t="n"/>
      <c r="S1959" s="215" t="n"/>
      <c r="T1959" s="215" t="n"/>
      <c r="U1959" s="215" t="n"/>
      <c r="V1959" s="215" t="n"/>
      <c r="W1959" s="215" t="n"/>
      <c r="X1959" s="215" t="n"/>
      <c r="Y1959" s="215" t="n"/>
      <c r="Z1959" s="215" t="n"/>
      <c r="AA1959" s="215" t="n"/>
      <c r="AB1959" s="215" t="n"/>
      <c r="AC1959" s="215" t="n"/>
      <c r="AD1959" s="215" t="n"/>
      <c r="AE1959" s="215" t="n"/>
      <c r="AF1959" s="215" t="n"/>
      <c r="AG1959" s="215" t="n"/>
      <c r="AH1959" s="215" t="n"/>
      <c r="AI1959" s="215" t="n"/>
      <c r="AJ1959" s="215" t="n"/>
      <c r="AK1959" s="216" t="n"/>
    </row>
    <row r="1960" ht="15" customHeight="1">
      <c r="B1960" s="134" t="n"/>
      <c r="C1960" s="105" t="n"/>
      <c r="D1960" s="105" t="n"/>
      <c r="E1960" s="105" t="n"/>
      <c r="F1960" s="105" t="n"/>
      <c r="G1960" s="105" t="n"/>
      <c r="H1960" s="2" t="n"/>
      <c r="I1960" s="105" t="n"/>
      <c r="K1960" s="215" t="n"/>
      <c r="L1960" s="215" t="n"/>
      <c r="M1960" s="215" t="n"/>
      <c r="N1960" s="215" t="n"/>
      <c r="O1960" s="215" t="n"/>
      <c r="P1960" s="215" t="n"/>
      <c r="Q1960" s="215" t="n"/>
      <c r="R1960" s="215" t="n"/>
      <c r="S1960" s="215" t="n"/>
      <c r="T1960" s="215" t="n"/>
      <c r="U1960" s="215" t="n"/>
      <c r="V1960" s="215" t="n"/>
      <c r="W1960" s="215" t="n"/>
      <c r="X1960" s="215" t="n"/>
      <c r="Y1960" s="215" t="n"/>
      <c r="Z1960" s="215" t="n"/>
      <c r="AA1960" s="215" t="n"/>
      <c r="AB1960" s="215" t="n"/>
      <c r="AC1960" s="215" t="n"/>
      <c r="AD1960" s="215" t="n"/>
      <c r="AE1960" s="215" t="n"/>
      <c r="AF1960" s="215" t="n"/>
      <c r="AG1960" s="215" t="n"/>
      <c r="AH1960" s="215" t="n"/>
      <c r="AI1960" s="215" t="n"/>
      <c r="AJ1960" s="215" t="n"/>
      <c r="AK1960" s="216" t="n"/>
    </row>
    <row r="1961" ht="15" customHeight="1">
      <c r="B1961" s="134" t="n"/>
      <c r="C1961" s="105" t="n"/>
      <c r="D1961" s="105" t="n"/>
      <c r="E1961" s="105" t="n"/>
      <c r="F1961" s="105" t="n"/>
      <c r="G1961" s="105" t="n"/>
      <c r="H1961" s="2" t="n"/>
      <c r="I1961" s="105" t="n"/>
      <c r="K1961" s="215" t="n"/>
      <c r="L1961" s="215" t="n"/>
      <c r="M1961" s="215" t="n"/>
      <c r="N1961" s="215" t="n"/>
      <c r="O1961" s="215" t="n"/>
      <c r="P1961" s="215" t="n"/>
      <c r="Q1961" s="215" t="n"/>
      <c r="R1961" s="215" t="n"/>
      <c r="S1961" s="215" t="n"/>
      <c r="T1961" s="215" t="n"/>
      <c r="U1961" s="215" t="n"/>
      <c r="V1961" s="215" t="n"/>
      <c r="W1961" s="215" t="n"/>
      <c r="X1961" s="215" t="n"/>
      <c r="Y1961" s="215" t="n"/>
      <c r="Z1961" s="215" t="n"/>
      <c r="AA1961" s="215" t="n"/>
      <c r="AB1961" s="215" t="n"/>
      <c r="AC1961" s="215" t="n"/>
      <c r="AD1961" s="215" t="n"/>
      <c r="AE1961" s="215" t="n"/>
      <c r="AF1961" s="215" t="n"/>
      <c r="AG1961" s="215" t="n"/>
      <c r="AH1961" s="215" t="n"/>
      <c r="AI1961" s="215" t="n"/>
      <c r="AJ1961" s="215" t="n"/>
      <c r="AK1961" s="216" t="n"/>
    </row>
    <row r="1962" ht="15" customHeight="1">
      <c r="B1962" s="134" t="n"/>
      <c r="C1962" s="105" t="n"/>
      <c r="D1962" s="105" t="n"/>
      <c r="E1962" s="105" t="n"/>
      <c r="F1962" s="105" t="n"/>
      <c r="G1962" s="105" t="n"/>
      <c r="H1962" s="2" t="n"/>
      <c r="I1962" s="105" t="n"/>
      <c r="K1962" s="215" t="n"/>
      <c r="L1962" s="215" t="n"/>
      <c r="M1962" s="215" t="n"/>
      <c r="N1962" s="215" t="n"/>
      <c r="O1962" s="215" t="n"/>
      <c r="P1962" s="215" t="n"/>
      <c r="Q1962" s="215" t="n"/>
      <c r="R1962" s="215" t="n"/>
      <c r="S1962" s="215" t="n"/>
      <c r="T1962" s="215" t="n"/>
      <c r="U1962" s="215" t="n"/>
      <c r="V1962" s="215" t="n"/>
      <c r="W1962" s="215" t="n"/>
      <c r="X1962" s="215" t="n"/>
      <c r="Y1962" s="215" t="n"/>
      <c r="Z1962" s="215" t="n"/>
      <c r="AA1962" s="215" t="n"/>
      <c r="AB1962" s="215" t="n"/>
      <c r="AC1962" s="215" t="n"/>
      <c r="AD1962" s="215" t="n"/>
      <c r="AE1962" s="215" t="n"/>
      <c r="AF1962" s="215" t="n"/>
      <c r="AG1962" s="215" t="n"/>
      <c r="AH1962" s="215" t="n"/>
      <c r="AI1962" s="215" t="n"/>
      <c r="AJ1962" s="215" t="n"/>
      <c r="AK1962" s="216" t="n"/>
    </row>
    <row r="1963" ht="15" customHeight="1">
      <c r="B1963" s="134" t="n"/>
      <c r="C1963" s="105" t="n"/>
      <c r="D1963" s="105" t="n"/>
      <c r="E1963" s="105" t="n"/>
      <c r="F1963" s="105" t="n"/>
      <c r="G1963" s="105" t="n"/>
      <c r="H1963" s="2" t="n"/>
      <c r="I1963" s="105" t="n"/>
      <c r="K1963" s="215" t="n"/>
      <c r="L1963" s="215" t="n"/>
      <c r="M1963" s="215" t="n"/>
      <c r="N1963" s="215" t="n"/>
      <c r="O1963" s="215" t="n"/>
      <c r="P1963" s="215" t="n"/>
      <c r="Q1963" s="215" t="n"/>
      <c r="R1963" s="215" t="n"/>
      <c r="S1963" s="215" t="n"/>
      <c r="T1963" s="215" t="n"/>
      <c r="U1963" s="215" t="n"/>
      <c r="V1963" s="215" t="n"/>
      <c r="W1963" s="215" t="n"/>
      <c r="X1963" s="215" t="n"/>
      <c r="Y1963" s="215" t="n"/>
      <c r="Z1963" s="215" t="n"/>
      <c r="AA1963" s="215" t="n"/>
      <c r="AB1963" s="215" t="n"/>
      <c r="AC1963" s="215" t="n"/>
      <c r="AD1963" s="215" t="n"/>
      <c r="AE1963" s="215" t="n"/>
      <c r="AF1963" s="215" t="n"/>
      <c r="AG1963" s="215" t="n"/>
      <c r="AH1963" s="215" t="n"/>
      <c r="AI1963" s="215" t="n"/>
      <c r="AJ1963" s="215" t="n"/>
      <c r="AK1963" s="216" t="n"/>
    </row>
    <row r="1964" ht="15" customHeight="1">
      <c r="B1964" s="134" t="n"/>
      <c r="C1964" s="105" t="n"/>
      <c r="D1964" s="105" t="n"/>
      <c r="E1964" s="105" t="n"/>
      <c r="F1964" s="105" t="n"/>
      <c r="G1964" s="105" t="n"/>
      <c r="H1964" s="2" t="n"/>
      <c r="I1964" s="105" t="n"/>
      <c r="K1964" s="215" t="n"/>
      <c r="L1964" s="215" t="n"/>
      <c r="M1964" s="215" t="n"/>
      <c r="N1964" s="215" t="n"/>
      <c r="O1964" s="215" t="n"/>
      <c r="P1964" s="215" t="n"/>
      <c r="Q1964" s="215" t="n"/>
      <c r="R1964" s="215" t="n"/>
      <c r="S1964" s="215" t="n"/>
      <c r="T1964" s="215" t="n"/>
      <c r="U1964" s="215" t="n"/>
      <c r="V1964" s="215" t="n"/>
      <c r="W1964" s="215" t="n"/>
      <c r="X1964" s="215" t="n"/>
      <c r="Y1964" s="215" t="n"/>
      <c r="Z1964" s="215" t="n"/>
      <c r="AA1964" s="215" t="n"/>
      <c r="AB1964" s="215" t="n"/>
      <c r="AC1964" s="215" t="n"/>
      <c r="AD1964" s="215" t="n"/>
      <c r="AE1964" s="215" t="n"/>
      <c r="AF1964" s="215" t="n"/>
      <c r="AG1964" s="215" t="n"/>
      <c r="AH1964" s="215" t="n"/>
      <c r="AI1964" s="215" t="n"/>
      <c r="AJ1964" s="215" t="n"/>
      <c r="AK1964" s="216" t="n"/>
    </row>
    <row r="1965" ht="15" customHeight="1">
      <c r="B1965" s="134" t="n"/>
      <c r="C1965" s="105" t="n"/>
      <c r="D1965" s="105" t="n"/>
      <c r="E1965" s="105" t="n"/>
      <c r="F1965" s="105" t="n"/>
      <c r="G1965" s="105" t="n"/>
      <c r="H1965" s="2" t="n"/>
      <c r="I1965" s="105" t="n"/>
      <c r="K1965" s="215" t="n"/>
      <c r="L1965" s="215" t="n"/>
      <c r="M1965" s="215" t="n"/>
      <c r="N1965" s="215" t="n"/>
      <c r="O1965" s="215" t="n"/>
      <c r="P1965" s="215" t="n"/>
      <c r="Q1965" s="215" t="n"/>
      <c r="R1965" s="215" t="n"/>
      <c r="S1965" s="215" t="n"/>
      <c r="T1965" s="215" t="n"/>
      <c r="U1965" s="215" t="n"/>
      <c r="V1965" s="215" t="n"/>
      <c r="W1965" s="215" t="n"/>
      <c r="X1965" s="215" t="n"/>
      <c r="Y1965" s="215" t="n"/>
      <c r="Z1965" s="215" t="n"/>
      <c r="AA1965" s="215" t="n"/>
      <c r="AB1965" s="215" t="n"/>
      <c r="AC1965" s="215" t="n"/>
      <c r="AD1965" s="215" t="n"/>
      <c r="AE1965" s="215" t="n"/>
      <c r="AF1965" s="215" t="n"/>
      <c r="AG1965" s="215" t="n"/>
      <c r="AH1965" s="215" t="n"/>
      <c r="AI1965" s="215" t="n"/>
      <c r="AJ1965" s="215" t="n"/>
      <c r="AK1965" s="216" t="n"/>
    </row>
    <row r="1966" ht="15" customHeight="1">
      <c r="B1966" s="134" t="n"/>
      <c r="C1966" s="105" t="n"/>
      <c r="D1966" s="105" t="n"/>
      <c r="E1966" s="105" t="n"/>
      <c r="F1966" s="105" t="n"/>
      <c r="G1966" s="105" t="n"/>
      <c r="H1966" s="2" t="n"/>
      <c r="I1966" s="105" t="n"/>
      <c r="K1966" s="215" t="n"/>
      <c r="L1966" s="215" t="n"/>
      <c r="M1966" s="215" t="n"/>
      <c r="N1966" s="215" t="n"/>
      <c r="O1966" s="215" t="n"/>
      <c r="P1966" s="215" t="n"/>
      <c r="Q1966" s="215" t="n"/>
      <c r="R1966" s="215" t="n"/>
      <c r="S1966" s="215" t="n"/>
      <c r="T1966" s="215" t="n"/>
      <c r="U1966" s="215" t="n"/>
      <c r="V1966" s="215" t="n"/>
      <c r="W1966" s="215" t="n"/>
      <c r="X1966" s="215" t="n"/>
      <c r="Y1966" s="215" t="n"/>
      <c r="Z1966" s="215" t="n"/>
      <c r="AA1966" s="215" t="n"/>
      <c r="AB1966" s="215" t="n"/>
      <c r="AC1966" s="215" t="n"/>
      <c r="AD1966" s="215" t="n"/>
      <c r="AE1966" s="215" t="n"/>
      <c r="AF1966" s="215" t="n"/>
      <c r="AG1966" s="215" t="n"/>
      <c r="AH1966" s="215" t="n"/>
      <c r="AI1966" s="215" t="n"/>
      <c r="AJ1966" s="215" t="n"/>
      <c r="AK1966" s="216" t="n"/>
    </row>
    <row r="1967" ht="15" customHeight="1">
      <c r="B1967" s="134" t="n"/>
      <c r="C1967" s="105" t="n"/>
      <c r="D1967" s="105" t="n"/>
      <c r="E1967" s="105" t="n"/>
      <c r="F1967" s="105" t="n"/>
      <c r="G1967" s="105" t="n"/>
      <c r="H1967" s="2" t="n"/>
      <c r="I1967" s="105" t="n"/>
      <c r="K1967" s="215" t="n"/>
      <c r="L1967" s="215" t="n"/>
      <c r="M1967" s="215" t="n"/>
      <c r="N1967" s="215" t="n"/>
      <c r="O1967" s="215" t="n"/>
      <c r="P1967" s="215" t="n"/>
      <c r="Q1967" s="215" t="n"/>
      <c r="R1967" s="215" t="n"/>
      <c r="S1967" s="215" t="n"/>
      <c r="T1967" s="215" t="n"/>
      <c r="U1967" s="215" t="n"/>
      <c r="V1967" s="215" t="n"/>
      <c r="W1967" s="215" t="n"/>
      <c r="X1967" s="215" t="n"/>
      <c r="Y1967" s="215" t="n"/>
      <c r="Z1967" s="215" t="n"/>
      <c r="AA1967" s="215" t="n"/>
      <c r="AB1967" s="215" t="n"/>
      <c r="AC1967" s="215" t="n"/>
      <c r="AD1967" s="215" t="n"/>
      <c r="AE1967" s="215" t="n"/>
      <c r="AF1967" s="215" t="n"/>
      <c r="AG1967" s="215" t="n"/>
      <c r="AH1967" s="215" t="n"/>
      <c r="AI1967" s="215" t="n"/>
      <c r="AJ1967" s="215" t="n"/>
      <c r="AK1967" s="216" t="n"/>
    </row>
    <row r="1968" ht="15" customHeight="1">
      <c r="B1968" s="134" t="n"/>
      <c r="C1968" s="105" t="n"/>
      <c r="D1968" s="105" t="n"/>
      <c r="E1968" s="105" t="n"/>
      <c r="F1968" s="105" t="n"/>
      <c r="G1968" s="105" t="n"/>
      <c r="H1968" s="2" t="n"/>
      <c r="I1968" s="105" t="n"/>
      <c r="K1968" s="215" t="n"/>
      <c r="L1968" s="215" t="n"/>
      <c r="M1968" s="215" t="n"/>
      <c r="N1968" s="215" t="n"/>
      <c r="O1968" s="215" t="n"/>
      <c r="P1968" s="215" t="n"/>
      <c r="Q1968" s="215" t="n"/>
      <c r="R1968" s="215" t="n"/>
      <c r="S1968" s="215" t="n"/>
      <c r="T1968" s="215" t="n"/>
      <c r="U1968" s="215" t="n"/>
      <c r="V1968" s="215" t="n"/>
      <c r="W1968" s="215" t="n"/>
      <c r="X1968" s="215" t="n"/>
      <c r="Y1968" s="215" t="n"/>
      <c r="Z1968" s="215" t="n"/>
      <c r="AA1968" s="215" t="n"/>
      <c r="AB1968" s="215" t="n"/>
      <c r="AC1968" s="215" t="n"/>
      <c r="AD1968" s="215" t="n"/>
      <c r="AE1968" s="215" t="n"/>
      <c r="AF1968" s="215" t="n"/>
      <c r="AG1968" s="215" t="n"/>
      <c r="AH1968" s="215" t="n"/>
      <c r="AI1968" s="215" t="n"/>
      <c r="AJ1968" s="215" t="n"/>
      <c r="AK1968" s="216" t="n"/>
    </row>
    <row r="1969" ht="15" customHeight="1">
      <c r="B1969" s="134" t="n"/>
      <c r="C1969" s="105" t="n"/>
      <c r="D1969" s="105" t="n"/>
      <c r="E1969" s="105" t="n"/>
      <c r="F1969" s="105" t="n"/>
      <c r="G1969" s="105" t="n"/>
      <c r="H1969" s="2" t="n"/>
      <c r="I1969" s="105" t="n"/>
      <c r="K1969" s="215" t="n"/>
      <c r="L1969" s="215" t="n"/>
      <c r="M1969" s="215" t="n"/>
      <c r="N1969" s="215" t="n"/>
      <c r="O1969" s="215" t="n"/>
      <c r="P1969" s="215" t="n"/>
      <c r="Q1969" s="215" t="n"/>
      <c r="R1969" s="215" t="n"/>
      <c r="S1969" s="215" t="n"/>
      <c r="T1969" s="215" t="n"/>
      <c r="U1969" s="215" t="n"/>
      <c r="V1969" s="215" t="n"/>
      <c r="W1969" s="215" t="n"/>
      <c r="X1969" s="215" t="n"/>
      <c r="Y1969" s="215" t="n"/>
      <c r="Z1969" s="215" t="n"/>
      <c r="AA1969" s="215" t="n"/>
      <c r="AB1969" s="215" t="n"/>
      <c r="AC1969" s="215" t="n"/>
      <c r="AD1969" s="215" t="n"/>
      <c r="AE1969" s="215" t="n"/>
      <c r="AF1969" s="215" t="n"/>
      <c r="AG1969" s="215" t="n"/>
      <c r="AH1969" s="215" t="n"/>
      <c r="AI1969" s="215" t="n"/>
      <c r="AJ1969" s="215" t="n"/>
      <c r="AK1969" s="216" t="n"/>
    </row>
    <row r="1970" ht="15" customHeight="1">
      <c r="B1970" s="134" t="n"/>
      <c r="C1970" s="105" t="n"/>
      <c r="D1970" s="105" t="n"/>
      <c r="E1970" s="105" t="n"/>
      <c r="F1970" s="105" t="n"/>
      <c r="G1970" s="105" t="n"/>
      <c r="H1970" s="2" t="n"/>
      <c r="I1970" s="105" t="n"/>
      <c r="K1970" s="215" t="n"/>
      <c r="L1970" s="215" t="n"/>
      <c r="M1970" s="215" t="n"/>
      <c r="N1970" s="215" t="n"/>
      <c r="O1970" s="215" t="n"/>
      <c r="P1970" s="215" t="n"/>
      <c r="Q1970" s="215" t="n"/>
      <c r="R1970" s="215" t="n"/>
      <c r="S1970" s="215" t="n"/>
      <c r="T1970" s="215" t="n"/>
      <c r="U1970" s="215" t="n"/>
      <c r="V1970" s="215" t="n"/>
      <c r="W1970" s="215" t="n"/>
      <c r="X1970" s="215" t="n"/>
      <c r="Y1970" s="215" t="n"/>
      <c r="Z1970" s="215" t="n"/>
      <c r="AA1970" s="215" t="n"/>
      <c r="AB1970" s="215" t="n"/>
      <c r="AC1970" s="215" t="n"/>
      <c r="AD1970" s="215" t="n"/>
      <c r="AE1970" s="215" t="n"/>
      <c r="AF1970" s="215" t="n"/>
      <c r="AG1970" s="215" t="n"/>
      <c r="AH1970" s="215" t="n"/>
      <c r="AI1970" s="215" t="n"/>
      <c r="AJ1970" s="215" t="n"/>
      <c r="AK1970" s="216" t="n"/>
    </row>
    <row r="1971" ht="15" customHeight="1">
      <c r="B1971" s="134" t="n"/>
      <c r="C1971" s="105" t="n"/>
      <c r="D1971" s="105" t="n"/>
      <c r="E1971" s="105" t="n"/>
      <c r="F1971" s="105" t="n"/>
      <c r="G1971" s="105" t="n"/>
      <c r="H1971" s="2" t="n"/>
      <c r="I1971" s="105" t="n"/>
      <c r="K1971" s="215" t="n"/>
      <c r="L1971" s="215" t="n"/>
      <c r="M1971" s="215" t="n"/>
      <c r="N1971" s="215" t="n"/>
      <c r="O1971" s="215" t="n"/>
      <c r="P1971" s="215" t="n"/>
      <c r="Q1971" s="215" t="n"/>
      <c r="R1971" s="215" t="n"/>
      <c r="S1971" s="215" t="n"/>
      <c r="T1971" s="215" t="n"/>
      <c r="U1971" s="215" t="n"/>
      <c r="V1971" s="215" t="n"/>
      <c r="W1971" s="215" t="n"/>
      <c r="X1971" s="215" t="n"/>
      <c r="Y1971" s="215" t="n"/>
      <c r="Z1971" s="215" t="n"/>
      <c r="AA1971" s="215" t="n"/>
      <c r="AB1971" s="215" t="n"/>
      <c r="AC1971" s="215" t="n"/>
      <c r="AD1971" s="215" t="n"/>
      <c r="AE1971" s="215" t="n"/>
      <c r="AF1971" s="215" t="n"/>
      <c r="AG1971" s="215" t="n"/>
      <c r="AH1971" s="215" t="n"/>
      <c r="AI1971" s="215" t="n"/>
      <c r="AJ1971" s="215" t="n"/>
      <c r="AK1971" s="216" t="n"/>
    </row>
    <row r="1972" ht="15" customHeight="1">
      <c r="B1972" s="134" t="n"/>
      <c r="C1972" s="105" t="n"/>
      <c r="D1972" s="105" t="n"/>
      <c r="E1972" s="105" t="n"/>
      <c r="F1972" s="105" t="n"/>
      <c r="G1972" s="105" t="n"/>
      <c r="H1972" s="2" t="n"/>
      <c r="I1972" s="105" t="n"/>
      <c r="K1972" s="215" t="n"/>
      <c r="L1972" s="215" t="n"/>
      <c r="M1972" s="215" t="n"/>
      <c r="N1972" s="215" t="n"/>
      <c r="O1972" s="215" t="n"/>
      <c r="P1972" s="215" t="n"/>
      <c r="Q1972" s="215" t="n"/>
      <c r="R1972" s="215" t="n"/>
      <c r="S1972" s="215" t="n"/>
      <c r="T1972" s="215" t="n"/>
      <c r="U1972" s="215" t="n"/>
      <c r="V1972" s="215" t="n"/>
      <c r="W1972" s="215" t="n"/>
      <c r="X1972" s="215" t="n"/>
      <c r="Y1972" s="215" t="n"/>
      <c r="Z1972" s="215" t="n"/>
      <c r="AA1972" s="215" t="n"/>
      <c r="AB1972" s="215" t="n"/>
      <c r="AC1972" s="215" t="n"/>
      <c r="AD1972" s="215" t="n"/>
      <c r="AE1972" s="215" t="n"/>
      <c r="AF1972" s="215" t="n"/>
      <c r="AG1972" s="215" t="n"/>
      <c r="AH1972" s="215" t="n"/>
      <c r="AI1972" s="215" t="n"/>
      <c r="AJ1972" s="215" t="n"/>
      <c r="AK1972" s="216" t="n"/>
    </row>
    <row r="1973" ht="15" customHeight="1">
      <c r="B1973" s="134" t="n"/>
      <c r="C1973" s="105" t="n"/>
      <c r="D1973" s="105" t="n"/>
      <c r="E1973" s="105" t="n"/>
      <c r="F1973" s="105" t="n"/>
      <c r="G1973" s="105" t="n"/>
      <c r="H1973" s="2" t="n"/>
      <c r="I1973" s="105" t="n"/>
      <c r="K1973" s="215" t="n"/>
      <c r="L1973" s="215" t="n"/>
      <c r="M1973" s="215" t="n"/>
      <c r="N1973" s="215" t="n"/>
      <c r="O1973" s="215" t="n"/>
      <c r="P1973" s="215" t="n"/>
      <c r="Q1973" s="215" t="n"/>
      <c r="R1973" s="215" t="n"/>
      <c r="S1973" s="215" t="n"/>
      <c r="T1973" s="215" t="n"/>
      <c r="U1973" s="215" t="n"/>
      <c r="V1973" s="215" t="n"/>
      <c r="W1973" s="215" t="n"/>
      <c r="X1973" s="215" t="n"/>
      <c r="Y1973" s="215" t="n"/>
      <c r="Z1973" s="215" t="n"/>
      <c r="AA1973" s="215" t="n"/>
      <c r="AB1973" s="215" t="n"/>
      <c r="AC1973" s="215" t="n"/>
      <c r="AD1973" s="215" t="n"/>
      <c r="AE1973" s="215" t="n"/>
      <c r="AF1973" s="215" t="n"/>
      <c r="AG1973" s="215" t="n"/>
      <c r="AH1973" s="215" t="n"/>
      <c r="AI1973" s="215" t="n"/>
      <c r="AJ1973" s="215" t="n"/>
      <c r="AK1973" s="216" t="n"/>
    </row>
    <row r="1974" ht="15" customHeight="1">
      <c r="B1974" s="134" t="n"/>
      <c r="C1974" s="105" t="n"/>
      <c r="D1974" s="105" t="n"/>
      <c r="E1974" s="105" t="n"/>
      <c r="F1974" s="105" t="n"/>
      <c r="G1974" s="105" t="n"/>
      <c r="H1974" s="2" t="n"/>
      <c r="I1974" s="105" t="n"/>
      <c r="K1974" s="215" t="n"/>
      <c r="L1974" s="215" t="n"/>
      <c r="M1974" s="215" t="n"/>
      <c r="N1974" s="215" t="n"/>
      <c r="O1974" s="215" t="n"/>
      <c r="P1974" s="215" t="n"/>
      <c r="Q1974" s="215" t="n"/>
      <c r="R1974" s="215" t="n"/>
      <c r="S1974" s="215" t="n"/>
      <c r="T1974" s="215" t="n"/>
      <c r="U1974" s="215" t="n"/>
      <c r="V1974" s="215" t="n"/>
      <c r="W1974" s="215" t="n"/>
      <c r="X1974" s="215" t="n"/>
      <c r="Y1974" s="215" t="n"/>
      <c r="Z1974" s="215" t="n"/>
      <c r="AA1974" s="215" t="n"/>
      <c r="AB1974" s="215" t="n"/>
      <c r="AC1974" s="215" t="n"/>
      <c r="AD1974" s="215" t="n"/>
      <c r="AE1974" s="215" t="n"/>
      <c r="AF1974" s="215" t="n"/>
      <c r="AG1974" s="215" t="n"/>
      <c r="AH1974" s="215" t="n"/>
      <c r="AI1974" s="215" t="n"/>
      <c r="AJ1974" s="215" t="n"/>
      <c r="AK1974" s="216" t="n"/>
    </row>
    <row r="1975" ht="15" customHeight="1">
      <c r="B1975" s="134" t="n"/>
      <c r="C1975" s="105" t="n"/>
      <c r="D1975" s="105" t="n"/>
      <c r="E1975" s="105" t="n"/>
      <c r="F1975" s="105" t="n"/>
      <c r="G1975" s="105" t="n"/>
      <c r="H1975" s="2" t="n"/>
      <c r="I1975" s="105" t="n"/>
      <c r="K1975" s="215" t="n"/>
      <c r="L1975" s="215" t="n"/>
      <c r="M1975" s="215" t="n"/>
      <c r="N1975" s="215" t="n"/>
      <c r="O1975" s="215" t="n"/>
      <c r="P1975" s="215" t="n"/>
      <c r="Q1975" s="215" t="n"/>
      <c r="R1975" s="215" t="n"/>
      <c r="S1975" s="215" t="n"/>
      <c r="T1975" s="215" t="n"/>
      <c r="U1975" s="215" t="n"/>
      <c r="V1975" s="215" t="n"/>
      <c r="W1975" s="215" t="n"/>
      <c r="X1975" s="215" t="n"/>
      <c r="Y1975" s="215" t="n"/>
      <c r="Z1975" s="215" t="n"/>
      <c r="AA1975" s="215" t="n"/>
      <c r="AB1975" s="215" t="n"/>
      <c r="AC1975" s="215" t="n"/>
      <c r="AD1975" s="215" t="n"/>
      <c r="AE1975" s="215" t="n"/>
      <c r="AF1975" s="215" t="n"/>
      <c r="AG1975" s="215" t="n"/>
      <c r="AH1975" s="215" t="n"/>
      <c r="AI1975" s="215" t="n"/>
      <c r="AJ1975" s="215" t="n"/>
      <c r="AK1975" s="216" t="n"/>
    </row>
    <row r="1976" ht="15" customHeight="1">
      <c r="B1976" s="134" t="n"/>
      <c r="C1976" s="105" t="n"/>
      <c r="D1976" s="105" t="n"/>
      <c r="E1976" s="105" t="n"/>
      <c r="F1976" s="105" t="n"/>
      <c r="G1976" s="105" t="n"/>
      <c r="H1976" s="2" t="n"/>
      <c r="I1976" s="105" t="n"/>
      <c r="K1976" s="215" t="n"/>
      <c r="L1976" s="215" t="n"/>
      <c r="M1976" s="215" t="n"/>
      <c r="N1976" s="215" t="n"/>
      <c r="O1976" s="215" t="n"/>
      <c r="P1976" s="215" t="n"/>
      <c r="Q1976" s="215" t="n"/>
      <c r="R1976" s="215" t="n"/>
      <c r="S1976" s="215" t="n"/>
      <c r="T1976" s="215" t="n"/>
      <c r="U1976" s="215" t="n"/>
      <c r="V1976" s="215" t="n"/>
      <c r="W1976" s="215" t="n"/>
      <c r="X1976" s="215" t="n"/>
      <c r="Y1976" s="215" t="n"/>
      <c r="Z1976" s="215" t="n"/>
      <c r="AA1976" s="215" t="n"/>
      <c r="AB1976" s="215" t="n"/>
      <c r="AC1976" s="215" t="n"/>
      <c r="AD1976" s="215" t="n"/>
      <c r="AE1976" s="215" t="n"/>
      <c r="AF1976" s="215" t="n"/>
      <c r="AG1976" s="215" t="n"/>
      <c r="AH1976" s="215" t="n"/>
      <c r="AI1976" s="215" t="n"/>
      <c r="AJ1976" s="215" t="n"/>
      <c r="AK1976" s="216" t="n"/>
    </row>
    <row r="1977" ht="15" customHeight="1">
      <c r="B1977" s="134" t="n"/>
      <c r="C1977" s="105" t="n"/>
      <c r="D1977" s="105" t="n"/>
      <c r="E1977" s="105" t="n"/>
      <c r="F1977" s="105" t="n"/>
      <c r="G1977" s="105" t="n"/>
      <c r="H1977" s="2" t="n"/>
      <c r="I1977" s="105" t="n"/>
      <c r="K1977" s="215" t="n"/>
      <c r="L1977" s="215" t="n"/>
      <c r="M1977" s="215" t="n"/>
      <c r="N1977" s="215" t="n"/>
      <c r="O1977" s="215" t="n"/>
      <c r="P1977" s="215" t="n"/>
      <c r="Q1977" s="215" t="n"/>
      <c r="R1977" s="215" t="n"/>
      <c r="S1977" s="215" t="n"/>
      <c r="T1977" s="215" t="n"/>
      <c r="U1977" s="215" t="n"/>
      <c r="V1977" s="215" t="n"/>
      <c r="W1977" s="215" t="n"/>
      <c r="X1977" s="215" t="n"/>
      <c r="Y1977" s="215" t="n"/>
      <c r="Z1977" s="215" t="n"/>
      <c r="AA1977" s="215" t="n"/>
      <c r="AB1977" s="215" t="n"/>
      <c r="AC1977" s="215" t="n"/>
      <c r="AD1977" s="215" t="n"/>
      <c r="AE1977" s="215" t="n"/>
      <c r="AF1977" s="215" t="n"/>
      <c r="AG1977" s="215" t="n"/>
      <c r="AH1977" s="215" t="n"/>
      <c r="AI1977" s="215" t="n"/>
      <c r="AJ1977" s="215" t="n"/>
      <c r="AK1977" s="216" t="n"/>
    </row>
    <row r="1978" ht="15" customHeight="1">
      <c r="B1978" s="134" t="n"/>
      <c r="C1978" s="105" t="n"/>
      <c r="D1978" s="105" t="n"/>
      <c r="E1978" s="105" t="n"/>
      <c r="F1978" s="105" t="n"/>
      <c r="G1978" s="105" t="n"/>
      <c r="H1978" s="2" t="n"/>
      <c r="I1978" s="105" t="n"/>
      <c r="K1978" s="215" t="n"/>
      <c r="L1978" s="215" t="n"/>
      <c r="M1978" s="215" t="n"/>
      <c r="N1978" s="215" t="n"/>
      <c r="O1978" s="215" t="n"/>
      <c r="P1978" s="215" t="n"/>
      <c r="Q1978" s="215" t="n"/>
      <c r="R1978" s="215" t="n"/>
      <c r="S1978" s="215" t="n"/>
      <c r="T1978" s="215" t="n"/>
      <c r="U1978" s="215" t="n"/>
      <c r="V1978" s="215" t="n"/>
      <c r="W1978" s="215" t="n"/>
      <c r="X1978" s="215" t="n"/>
      <c r="Y1978" s="215" t="n"/>
      <c r="Z1978" s="215" t="n"/>
      <c r="AA1978" s="215" t="n"/>
      <c r="AB1978" s="215" t="n"/>
      <c r="AC1978" s="215" t="n"/>
      <c r="AD1978" s="215" t="n"/>
      <c r="AE1978" s="215" t="n"/>
      <c r="AF1978" s="215" t="n"/>
      <c r="AG1978" s="215" t="n"/>
      <c r="AH1978" s="215" t="n"/>
      <c r="AI1978" s="215" t="n"/>
      <c r="AJ1978" s="215" t="n"/>
      <c r="AK1978" s="216" t="n"/>
    </row>
    <row r="1979" ht="15" customHeight="1">
      <c r="B1979" s="134" t="n"/>
      <c r="C1979" s="105" t="n"/>
      <c r="D1979" s="105" t="n"/>
      <c r="E1979" s="105" t="n"/>
      <c r="F1979" s="105" t="n"/>
      <c r="G1979" s="105" t="n"/>
      <c r="H1979" s="2" t="n"/>
      <c r="I1979" s="105" t="n"/>
      <c r="K1979" s="215" t="n"/>
      <c r="L1979" s="215" t="n"/>
      <c r="M1979" s="215" t="n"/>
      <c r="N1979" s="215" t="n"/>
      <c r="O1979" s="215" t="n"/>
      <c r="P1979" s="215" t="n"/>
      <c r="Q1979" s="215" t="n"/>
      <c r="R1979" s="215" t="n"/>
      <c r="S1979" s="215" t="n"/>
      <c r="T1979" s="215" t="n"/>
      <c r="U1979" s="215" t="n"/>
      <c r="V1979" s="215" t="n"/>
      <c r="W1979" s="215" t="n"/>
      <c r="X1979" s="215" t="n"/>
      <c r="Y1979" s="215" t="n"/>
      <c r="Z1979" s="215" t="n"/>
      <c r="AA1979" s="215" t="n"/>
      <c r="AB1979" s="215" t="n"/>
      <c r="AC1979" s="215" t="n"/>
      <c r="AD1979" s="215" t="n"/>
      <c r="AE1979" s="215" t="n"/>
      <c r="AF1979" s="215" t="n"/>
      <c r="AG1979" s="215" t="n"/>
      <c r="AH1979" s="215" t="n"/>
      <c r="AI1979" s="215" t="n"/>
      <c r="AJ1979" s="215" t="n"/>
      <c r="AK1979" s="216" t="n"/>
    </row>
    <row r="1980" ht="15" customHeight="1">
      <c r="B1980" s="134" t="n"/>
      <c r="C1980" s="105" t="n"/>
      <c r="D1980" s="105" t="n"/>
      <c r="E1980" s="105" t="n"/>
      <c r="F1980" s="105" t="n"/>
      <c r="G1980" s="105" t="n"/>
      <c r="H1980" s="2" t="n"/>
      <c r="I1980" s="105" t="n"/>
      <c r="K1980" s="215" t="n"/>
      <c r="L1980" s="215" t="n"/>
      <c r="M1980" s="215" t="n"/>
      <c r="N1980" s="215" t="n"/>
      <c r="O1980" s="215" t="n"/>
      <c r="P1980" s="215" t="n"/>
      <c r="Q1980" s="215" t="n"/>
      <c r="R1980" s="215" t="n"/>
      <c r="S1980" s="215" t="n"/>
      <c r="T1980" s="215" t="n"/>
      <c r="U1980" s="215" t="n"/>
      <c r="V1980" s="215" t="n"/>
      <c r="W1980" s="215" t="n"/>
      <c r="X1980" s="215" t="n"/>
      <c r="Y1980" s="215" t="n"/>
      <c r="Z1980" s="215" t="n"/>
      <c r="AA1980" s="215" t="n"/>
      <c r="AB1980" s="215" t="n"/>
      <c r="AC1980" s="215" t="n"/>
      <c r="AD1980" s="215" t="n"/>
      <c r="AE1980" s="215" t="n"/>
      <c r="AF1980" s="215" t="n"/>
      <c r="AG1980" s="215" t="n"/>
      <c r="AH1980" s="215" t="n"/>
      <c r="AI1980" s="215" t="n"/>
      <c r="AJ1980" s="215" t="n"/>
      <c r="AK1980" s="216" t="n"/>
    </row>
    <row r="1981" ht="15" customHeight="1">
      <c r="B1981" s="134" t="n"/>
      <c r="C1981" s="105" t="n"/>
      <c r="D1981" s="105" t="n"/>
      <c r="E1981" s="105" t="n"/>
      <c r="F1981" s="105" t="n"/>
      <c r="G1981" s="105" t="n"/>
      <c r="H1981" s="2" t="n"/>
      <c r="I1981" s="105" t="n"/>
      <c r="K1981" s="215" t="n"/>
      <c r="L1981" s="215" t="n"/>
      <c r="M1981" s="215" t="n"/>
      <c r="N1981" s="215" t="n"/>
      <c r="O1981" s="215" t="n"/>
      <c r="P1981" s="215" t="n"/>
      <c r="Q1981" s="215" t="n"/>
      <c r="R1981" s="215" t="n"/>
      <c r="S1981" s="215" t="n"/>
      <c r="T1981" s="215" t="n"/>
      <c r="U1981" s="215" t="n"/>
      <c r="V1981" s="215" t="n"/>
      <c r="W1981" s="215" t="n"/>
      <c r="X1981" s="215" t="n"/>
      <c r="Y1981" s="215" t="n"/>
      <c r="Z1981" s="215" t="n"/>
      <c r="AA1981" s="215" t="n"/>
      <c r="AB1981" s="215" t="n"/>
      <c r="AC1981" s="215" t="n"/>
      <c r="AD1981" s="215" t="n"/>
      <c r="AE1981" s="215" t="n"/>
      <c r="AF1981" s="215" t="n"/>
      <c r="AG1981" s="215" t="n"/>
      <c r="AH1981" s="215" t="n"/>
      <c r="AI1981" s="215" t="n"/>
      <c r="AJ1981" s="215" t="n"/>
      <c r="AK1981" s="216" t="n"/>
    </row>
    <row r="1982" ht="15" customHeight="1">
      <c r="B1982" s="134" t="n"/>
      <c r="C1982" s="105" t="n"/>
      <c r="D1982" s="105" t="n"/>
      <c r="E1982" s="105" t="n"/>
      <c r="F1982" s="105" t="n"/>
      <c r="G1982" s="105" t="n"/>
      <c r="H1982" s="2" t="n"/>
      <c r="I1982" s="105" t="n"/>
      <c r="K1982" s="215" t="n"/>
      <c r="L1982" s="215" t="n"/>
      <c r="M1982" s="215" t="n"/>
      <c r="N1982" s="215" t="n"/>
      <c r="O1982" s="215" t="n"/>
      <c r="P1982" s="215" t="n"/>
      <c r="Q1982" s="215" t="n"/>
      <c r="R1982" s="215" t="n"/>
      <c r="S1982" s="215" t="n"/>
      <c r="T1982" s="215" t="n"/>
      <c r="U1982" s="215" t="n"/>
      <c r="V1982" s="215" t="n"/>
      <c r="W1982" s="215" t="n"/>
      <c r="X1982" s="215" t="n"/>
      <c r="Y1982" s="215" t="n"/>
      <c r="Z1982" s="215" t="n"/>
      <c r="AA1982" s="215" t="n"/>
      <c r="AB1982" s="215" t="n"/>
      <c r="AC1982" s="215" t="n"/>
      <c r="AD1982" s="215" t="n"/>
      <c r="AE1982" s="215" t="n"/>
      <c r="AF1982" s="215" t="n"/>
      <c r="AG1982" s="215" t="n"/>
      <c r="AH1982" s="215" t="n"/>
      <c r="AI1982" s="215" t="n"/>
      <c r="AJ1982" s="215" t="n"/>
      <c r="AK1982" s="216" t="n"/>
    </row>
    <row r="1983" ht="15" customHeight="1">
      <c r="B1983" s="134" t="n"/>
      <c r="C1983" s="105" t="n"/>
      <c r="D1983" s="105" t="n"/>
      <c r="E1983" s="105" t="n"/>
      <c r="F1983" s="105" t="n"/>
      <c r="G1983" s="105" t="n"/>
      <c r="H1983" s="2" t="n"/>
      <c r="I1983" s="105" t="n"/>
      <c r="K1983" s="215" t="n"/>
      <c r="L1983" s="215" t="n"/>
      <c r="M1983" s="215" t="n"/>
      <c r="N1983" s="215" t="n"/>
      <c r="O1983" s="215" t="n"/>
      <c r="P1983" s="215" t="n"/>
      <c r="Q1983" s="215" t="n"/>
      <c r="R1983" s="215" t="n"/>
      <c r="S1983" s="215" t="n"/>
      <c r="T1983" s="215" t="n"/>
      <c r="U1983" s="215" t="n"/>
      <c r="V1983" s="215" t="n"/>
      <c r="W1983" s="215" t="n"/>
      <c r="X1983" s="215" t="n"/>
      <c r="Y1983" s="215" t="n"/>
      <c r="Z1983" s="215" t="n"/>
      <c r="AA1983" s="215" t="n"/>
      <c r="AB1983" s="215" t="n"/>
      <c r="AC1983" s="215" t="n"/>
      <c r="AD1983" s="215" t="n"/>
      <c r="AE1983" s="215" t="n"/>
      <c r="AF1983" s="215" t="n"/>
      <c r="AG1983" s="215" t="n"/>
      <c r="AH1983" s="215" t="n"/>
      <c r="AI1983" s="215" t="n"/>
      <c r="AJ1983" s="215" t="n"/>
      <c r="AK1983" s="216" t="n"/>
    </row>
    <row r="1984" ht="15" customHeight="1">
      <c r="B1984" s="134" t="n"/>
      <c r="C1984" s="105" t="n"/>
      <c r="D1984" s="105" t="n"/>
      <c r="E1984" s="105" t="n"/>
      <c r="F1984" s="105" t="n"/>
      <c r="G1984" s="105" t="n"/>
      <c r="H1984" s="2" t="n"/>
      <c r="I1984" s="105" t="n"/>
      <c r="K1984" s="215" t="n"/>
      <c r="L1984" s="215" t="n"/>
      <c r="M1984" s="215" t="n"/>
      <c r="N1984" s="215" t="n"/>
      <c r="O1984" s="215" t="n"/>
      <c r="P1984" s="215" t="n"/>
      <c r="Q1984" s="215" t="n"/>
      <c r="R1984" s="215" t="n"/>
      <c r="S1984" s="215" t="n"/>
      <c r="T1984" s="215" t="n"/>
      <c r="U1984" s="215" t="n"/>
      <c r="V1984" s="215" t="n"/>
      <c r="W1984" s="215" t="n"/>
      <c r="X1984" s="215" t="n"/>
      <c r="Y1984" s="215" t="n"/>
      <c r="Z1984" s="215" t="n"/>
      <c r="AA1984" s="215" t="n"/>
      <c r="AB1984" s="215" t="n"/>
      <c r="AC1984" s="215" t="n"/>
      <c r="AD1984" s="215" t="n"/>
      <c r="AE1984" s="215" t="n"/>
      <c r="AF1984" s="215" t="n"/>
      <c r="AG1984" s="215" t="n"/>
      <c r="AH1984" s="215" t="n"/>
      <c r="AI1984" s="215" t="n"/>
      <c r="AJ1984" s="215" t="n"/>
      <c r="AK1984" s="216" t="n"/>
    </row>
    <row r="1985" ht="15" customHeight="1">
      <c r="B1985" s="134" t="n"/>
      <c r="C1985" s="105" t="n"/>
      <c r="D1985" s="105" t="n"/>
      <c r="E1985" s="105" t="n"/>
      <c r="F1985" s="105" t="n"/>
      <c r="G1985" s="105" t="n"/>
      <c r="H1985" s="2" t="n"/>
      <c r="I1985" s="105" t="n"/>
      <c r="K1985" s="215" t="n"/>
      <c r="L1985" s="215" t="n"/>
      <c r="M1985" s="215" t="n"/>
      <c r="N1985" s="215" t="n"/>
      <c r="O1985" s="215" t="n"/>
      <c r="P1985" s="215" t="n"/>
      <c r="Q1985" s="215" t="n"/>
      <c r="R1985" s="215" t="n"/>
      <c r="S1985" s="215" t="n"/>
      <c r="T1985" s="215" t="n"/>
      <c r="U1985" s="215" t="n"/>
      <c r="V1985" s="215" t="n"/>
      <c r="W1985" s="215" t="n"/>
      <c r="X1985" s="215" t="n"/>
      <c r="Y1985" s="215" t="n"/>
      <c r="Z1985" s="215" t="n"/>
      <c r="AA1985" s="215" t="n"/>
      <c r="AB1985" s="215" t="n"/>
      <c r="AC1985" s="215" t="n"/>
      <c r="AD1985" s="215" t="n"/>
      <c r="AE1985" s="215" t="n"/>
      <c r="AF1985" s="215" t="n"/>
      <c r="AG1985" s="215" t="n"/>
      <c r="AH1985" s="215" t="n"/>
      <c r="AI1985" s="215" t="n"/>
      <c r="AJ1985" s="215" t="n"/>
      <c r="AK1985" s="216" t="n"/>
    </row>
    <row r="1986" ht="15" customHeight="1">
      <c r="B1986" s="134" t="n"/>
      <c r="C1986" s="105" t="n"/>
      <c r="D1986" s="105" t="n"/>
      <c r="E1986" s="105" t="n"/>
      <c r="F1986" s="105" t="n"/>
      <c r="G1986" s="105" t="n"/>
      <c r="H1986" s="2" t="n"/>
      <c r="I1986" s="105" t="n"/>
      <c r="K1986" s="215" t="n"/>
      <c r="L1986" s="215" t="n"/>
      <c r="M1986" s="215" t="n"/>
      <c r="N1986" s="215" t="n"/>
      <c r="O1986" s="215" t="n"/>
      <c r="P1986" s="215" t="n"/>
      <c r="Q1986" s="215" t="n"/>
      <c r="R1986" s="215" t="n"/>
      <c r="S1986" s="215" t="n"/>
      <c r="T1986" s="215" t="n"/>
      <c r="U1986" s="215" t="n"/>
      <c r="V1986" s="215" t="n"/>
      <c r="W1986" s="215" t="n"/>
      <c r="X1986" s="215" t="n"/>
      <c r="Y1986" s="215" t="n"/>
      <c r="Z1986" s="215" t="n"/>
      <c r="AA1986" s="215" t="n"/>
      <c r="AB1986" s="215" t="n"/>
      <c r="AC1986" s="215" t="n"/>
      <c r="AD1986" s="215" t="n"/>
      <c r="AE1986" s="215" t="n"/>
      <c r="AF1986" s="215" t="n"/>
      <c r="AG1986" s="215" t="n"/>
      <c r="AH1986" s="215" t="n"/>
      <c r="AI1986" s="215" t="n"/>
      <c r="AJ1986" s="215" t="n"/>
      <c r="AK1986" s="216" t="n"/>
    </row>
    <row r="1987" ht="15" customHeight="1">
      <c r="B1987" s="134" t="n"/>
      <c r="C1987" s="105" t="n"/>
      <c r="D1987" s="105" t="n"/>
      <c r="E1987" s="105" t="n"/>
      <c r="F1987" s="105" t="n"/>
      <c r="G1987" s="105" t="n"/>
      <c r="H1987" s="2" t="n"/>
      <c r="I1987" s="105" t="n"/>
      <c r="K1987" s="215" t="n"/>
      <c r="L1987" s="215" t="n"/>
      <c r="M1987" s="215" t="n"/>
      <c r="N1987" s="215" t="n"/>
      <c r="O1987" s="215" t="n"/>
      <c r="P1987" s="215" t="n"/>
      <c r="Q1987" s="215" t="n"/>
      <c r="R1987" s="215" t="n"/>
      <c r="S1987" s="215" t="n"/>
      <c r="T1987" s="215" t="n"/>
      <c r="U1987" s="215" t="n"/>
      <c r="V1987" s="215" t="n"/>
      <c r="W1987" s="215" t="n"/>
      <c r="X1987" s="215" t="n"/>
      <c r="Y1987" s="215" t="n"/>
      <c r="Z1987" s="215" t="n"/>
      <c r="AA1987" s="215" t="n"/>
      <c r="AB1987" s="215" t="n"/>
      <c r="AC1987" s="215" t="n"/>
      <c r="AD1987" s="215" t="n"/>
      <c r="AE1987" s="215" t="n"/>
      <c r="AF1987" s="215" t="n"/>
      <c r="AG1987" s="215" t="n"/>
      <c r="AH1987" s="215" t="n"/>
      <c r="AI1987" s="215" t="n"/>
      <c r="AJ1987" s="215" t="n"/>
      <c r="AK1987" s="216" t="n"/>
    </row>
    <row r="1988" ht="15" customHeight="1">
      <c r="B1988" s="134" t="n"/>
      <c r="C1988" s="105" t="n"/>
      <c r="D1988" s="105" t="n"/>
      <c r="E1988" s="105" t="n"/>
      <c r="F1988" s="105" t="n"/>
      <c r="G1988" s="105" t="n"/>
      <c r="H1988" s="2" t="n"/>
      <c r="I1988" s="105" t="n"/>
      <c r="K1988" s="215" t="n"/>
      <c r="L1988" s="215" t="n"/>
      <c r="M1988" s="215" t="n"/>
      <c r="N1988" s="215" t="n"/>
      <c r="O1988" s="215" t="n"/>
      <c r="P1988" s="215" t="n"/>
      <c r="Q1988" s="215" t="n"/>
      <c r="R1988" s="215" t="n"/>
      <c r="S1988" s="215" t="n"/>
      <c r="T1988" s="215" t="n"/>
      <c r="U1988" s="215" t="n"/>
      <c r="V1988" s="215" t="n"/>
      <c r="W1988" s="215" t="n"/>
      <c r="X1988" s="215" t="n"/>
      <c r="Y1988" s="215" t="n"/>
      <c r="Z1988" s="215" t="n"/>
      <c r="AA1988" s="215" t="n"/>
      <c r="AB1988" s="215" t="n"/>
      <c r="AC1988" s="215" t="n"/>
      <c r="AD1988" s="215" t="n"/>
      <c r="AE1988" s="215" t="n"/>
      <c r="AF1988" s="215" t="n"/>
      <c r="AG1988" s="215" t="n"/>
      <c r="AH1988" s="215" t="n"/>
      <c r="AI1988" s="215" t="n"/>
      <c r="AJ1988" s="215" t="n"/>
      <c r="AK1988" s="216" t="n"/>
    </row>
    <row r="1989" ht="15" customHeight="1">
      <c r="B1989" s="134" t="n"/>
      <c r="C1989" s="105" t="n"/>
      <c r="D1989" s="105" t="n"/>
      <c r="E1989" s="105" t="n"/>
      <c r="F1989" s="105" t="n"/>
      <c r="G1989" s="105" t="n"/>
      <c r="H1989" s="2" t="n"/>
      <c r="I1989" s="105" t="n"/>
      <c r="K1989" s="215" t="n"/>
      <c r="L1989" s="215" t="n"/>
      <c r="M1989" s="215" t="n"/>
      <c r="N1989" s="215" t="n"/>
      <c r="O1989" s="215" t="n"/>
      <c r="P1989" s="215" t="n"/>
      <c r="Q1989" s="215" t="n"/>
      <c r="R1989" s="215" t="n"/>
      <c r="S1989" s="215" t="n"/>
      <c r="T1989" s="215" t="n"/>
      <c r="U1989" s="215" t="n"/>
      <c r="V1989" s="215" t="n"/>
      <c r="W1989" s="215" t="n"/>
      <c r="X1989" s="215" t="n"/>
      <c r="Y1989" s="215" t="n"/>
      <c r="Z1989" s="215" t="n"/>
      <c r="AA1989" s="215" t="n"/>
      <c r="AB1989" s="215" t="n"/>
      <c r="AC1989" s="215" t="n"/>
      <c r="AD1989" s="215" t="n"/>
      <c r="AE1989" s="215" t="n"/>
      <c r="AF1989" s="215" t="n"/>
      <c r="AG1989" s="215" t="n"/>
      <c r="AH1989" s="215" t="n"/>
      <c r="AI1989" s="215" t="n"/>
      <c r="AJ1989" s="215" t="n"/>
      <c r="AK1989" s="216" t="n"/>
    </row>
    <row r="1990" ht="15" customHeight="1">
      <c r="B1990" s="134" t="n"/>
      <c r="C1990" s="105" t="n"/>
      <c r="D1990" s="105" t="n"/>
      <c r="E1990" s="105" t="n"/>
      <c r="F1990" s="105" t="n"/>
      <c r="G1990" s="105" t="n"/>
      <c r="H1990" s="2" t="n"/>
      <c r="I1990" s="105" t="n"/>
      <c r="K1990" s="215" t="n"/>
      <c r="L1990" s="215" t="n"/>
      <c r="M1990" s="215" t="n"/>
      <c r="N1990" s="215" t="n"/>
      <c r="O1990" s="215" t="n"/>
      <c r="P1990" s="215" t="n"/>
      <c r="Q1990" s="215" t="n"/>
      <c r="R1990" s="215" t="n"/>
      <c r="S1990" s="215" t="n"/>
      <c r="T1990" s="215" t="n"/>
      <c r="U1990" s="215" t="n"/>
      <c r="V1990" s="215" t="n"/>
      <c r="W1990" s="215" t="n"/>
      <c r="X1990" s="215" t="n"/>
      <c r="Y1990" s="215" t="n"/>
      <c r="Z1990" s="215" t="n"/>
      <c r="AA1990" s="215" t="n"/>
      <c r="AB1990" s="215" t="n"/>
      <c r="AC1990" s="215" t="n"/>
      <c r="AD1990" s="215" t="n"/>
      <c r="AE1990" s="215" t="n"/>
      <c r="AF1990" s="215" t="n"/>
      <c r="AG1990" s="215" t="n"/>
      <c r="AH1990" s="215" t="n"/>
      <c r="AI1990" s="215" t="n"/>
      <c r="AJ1990" s="215" t="n"/>
      <c r="AK1990" s="216" t="n"/>
    </row>
    <row r="1991" ht="15" customHeight="1">
      <c r="B1991" s="134" t="n"/>
      <c r="C1991" s="105" t="n"/>
      <c r="D1991" s="105" t="n"/>
      <c r="E1991" s="105" t="n"/>
      <c r="F1991" s="105" t="n"/>
      <c r="G1991" s="105" t="n"/>
      <c r="H1991" s="2" t="n"/>
      <c r="I1991" s="105" t="n"/>
      <c r="K1991" s="215" t="n"/>
      <c r="L1991" s="215" t="n"/>
      <c r="M1991" s="215" t="n"/>
      <c r="N1991" s="215" t="n"/>
      <c r="O1991" s="215" t="n"/>
      <c r="P1991" s="215" t="n"/>
      <c r="Q1991" s="215" t="n"/>
      <c r="R1991" s="215" t="n"/>
      <c r="S1991" s="215" t="n"/>
      <c r="T1991" s="215" t="n"/>
      <c r="U1991" s="215" t="n"/>
      <c r="V1991" s="215" t="n"/>
      <c r="W1991" s="215" t="n"/>
      <c r="X1991" s="215" t="n"/>
      <c r="Y1991" s="215" t="n"/>
      <c r="Z1991" s="215" t="n"/>
      <c r="AA1991" s="215" t="n"/>
      <c r="AB1991" s="215" t="n"/>
      <c r="AC1991" s="215" t="n"/>
      <c r="AD1991" s="215" t="n"/>
      <c r="AE1991" s="215" t="n"/>
      <c r="AF1991" s="215" t="n"/>
      <c r="AG1991" s="215" t="n"/>
      <c r="AH1991" s="215" t="n"/>
      <c r="AI1991" s="215" t="n"/>
      <c r="AJ1991" s="215" t="n"/>
      <c r="AK1991" s="216" t="n"/>
    </row>
    <row r="1992" ht="15" customHeight="1">
      <c r="B1992" s="134" t="n"/>
      <c r="C1992" s="105" t="n"/>
      <c r="D1992" s="105" t="n"/>
      <c r="E1992" s="105" t="n"/>
      <c r="F1992" s="105" t="n"/>
      <c r="G1992" s="105" t="n"/>
      <c r="H1992" s="2" t="n"/>
      <c r="I1992" s="105" t="n"/>
      <c r="K1992" s="215" t="n"/>
      <c r="L1992" s="215" t="n"/>
      <c r="M1992" s="215" t="n"/>
      <c r="N1992" s="215" t="n"/>
      <c r="O1992" s="215" t="n"/>
      <c r="P1992" s="215" t="n"/>
      <c r="Q1992" s="215" t="n"/>
      <c r="R1992" s="215" t="n"/>
      <c r="S1992" s="215" t="n"/>
      <c r="T1992" s="215" t="n"/>
      <c r="U1992" s="215" t="n"/>
      <c r="V1992" s="215" t="n"/>
      <c r="W1992" s="215" t="n"/>
      <c r="X1992" s="215" t="n"/>
      <c r="Y1992" s="215" t="n"/>
      <c r="Z1992" s="215" t="n"/>
      <c r="AA1992" s="215" t="n"/>
      <c r="AB1992" s="215" t="n"/>
      <c r="AC1992" s="215" t="n"/>
      <c r="AD1992" s="215" t="n"/>
      <c r="AE1992" s="215" t="n"/>
      <c r="AF1992" s="215" t="n"/>
      <c r="AG1992" s="215" t="n"/>
      <c r="AH1992" s="215" t="n"/>
      <c r="AI1992" s="215" t="n"/>
      <c r="AJ1992" s="215" t="n"/>
      <c r="AK1992" s="216" t="n"/>
    </row>
    <row r="1993" ht="15" customHeight="1">
      <c r="B1993" s="134" t="n"/>
      <c r="C1993" s="105" t="n"/>
      <c r="D1993" s="105" t="n"/>
      <c r="E1993" s="105" t="n"/>
      <c r="F1993" s="105" t="n"/>
      <c r="G1993" s="105" t="n"/>
      <c r="H1993" s="2" t="n"/>
      <c r="I1993" s="105" t="n"/>
      <c r="K1993" s="215" t="n"/>
      <c r="L1993" s="215" t="n"/>
      <c r="M1993" s="215" t="n"/>
      <c r="N1993" s="215" t="n"/>
      <c r="O1993" s="215" t="n"/>
      <c r="P1993" s="215" t="n"/>
      <c r="Q1993" s="215" t="n"/>
      <c r="R1993" s="215" t="n"/>
      <c r="S1993" s="215" t="n"/>
      <c r="T1993" s="215" t="n"/>
      <c r="U1993" s="215" t="n"/>
      <c r="V1993" s="215" t="n"/>
      <c r="W1993" s="215" t="n"/>
      <c r="X1993" s="215" t="n"/>
      <c r="Y1993" s="215" t="n"/>
      <c r="Z1993" s="215" t="n"/>
      <c r="AA1993" s="215" t="n"/>
      <c r="AB1993" s="215" t="n"/>
      <c r="AC1993" s="215" t="n"/>
      <c r="AD1993" s="215" t="n"/>
      <c r="AE1993" s="215" t="n"/>
      <c r="AF1993" s="215" t="n"/>
      <c r="AG1993" s="215" t="n"/>
      <c r="AH1993" s="215" t="n"/>
      <c r="AI1993" s="215" t="n"/>
      <c r="AJ1993" s="215" t="n"/>
      <c r="AK1993" s="216" t="n"/>
    </row>
    <row r="1994" ht="15" customHeight="1">
      <c r="B1994" s="134" t="n"/>
      <c r="C1994" s="105" t="n"/>
      <c r="D1994" s="105" t="n"/>
      <c r="E1994" s="105" t="n"/>
      <c r="F1994" s="105" t="n"/>
      <c r="G1994" s="105" t="n"/>
      <c r="H1994" s="2" t="n"/>
      <c r="I1994" s="105" t="n"/>
      <c r="K1994" s="215" t="n"/>
      <c r="L1994" s="215" t="n"/>
      <c r="M1994" s="215" t="n"/>
      <c r="N1994" s="215" t="n"/>
      <c r="O1994" s="215" t="n"/>
      <c r="P1994" s="215" t="n"/>
      <c r="Q1994" s="215" t="n"/>
      <c r="R1994" s="215" t="n"/>
      <c r="S1994" s="215" t="n"/>
      <c r="T1994" s="215" t="n"/>
      <c r="U1994" s="215" t="n"/>
      <c r="V1994" s="215" t="n"/>
      <c r="W1994" s="215" t="n"/>
      <c r="X1994" s="215" t="n"/>
      <c r="Y1994" s="215" t="n"/>
      <c r="Z1994" s="215" t="n"/>
      <c r="AA1994" s="215" t="n"/>
      <c r="AB1994" s="215" t="n"/>
      <c r="AC1994" s="215" t="n"/>
      <c r="AD1994" s="215" t="n"/>
      <c r="AE1994" s="215" t="n"/>
      <c r="AF1994" s="215" t="n"/>
      <c r="AG1994" s="215" t="n"/>
      <c r="AH1994" s="215" t="n"/>
      <c r="AI1994" s="215" t="n"/>
      <c r="AJ1994" s="215" t="n"/>
      <c r="AK1994" s="216" t="n"/>
    </row>
    <row r="1995" ht="15" customHeight="1">
      <c r="B1995" s="134" t="n"/>
      <c r="C1995" s="105" t="n"/>
      <c r="D1995" s="105" t="n"/>
      <c r="E1995" s="105" t="n"/>
      <c r="F1995" s="105" t="n"/>
      <c r="G1995" s="105" t="n"/>
      <c r="H1995" s="2" t="n"/>
      <c r="I1995" s="105" t="n"/>
      <c r="K1995" s="215" t="n"/>
      <c r="L1995" s="215" t="n"/>
      <c r="M1995" s="215" t="n"/>
      <c r="N1995" s="215" t="n"/>
      <c r="O1995" s="215" t="n"/>
      <c r="P1995" s="215" t="n"/>
      <c r="Q1995" s="215" t="n"/>
      <c r="R1995" s="215" t="n"/>
      <c r="S1995" s="215" t="n"/>
      <c r="T1995" s="215" t="n"/>
      <c r="U1995" s="215" t="n"/>
      <c r="V1995" s="215" t="n"/>
      <c r="W1995" s="215" t="n"/>
      <c r="X1995" s="215" t="n"/>
      <c r="Y1995" s="215" t="n"/>
      <c r="Z1995" s="215" t="n"/>
      <c r="AA1995" s="215" t="n"/>
      <c r="AB1995" s="215" t="n"/>
      <c r="AC1995" s="215" t="n"/>
      <c r="AD1995" s="215" t="n"/>
      <c r="AE1995" s="215" t="n"/>
      <c r="AF1995" s="215" t="n"/>
      <c r="AG1995" s="215" t="n"/>
      <c r="AH1995" s="215" t="n"/>
      <c r="AI1995" s="215" t="n"/>
      <c r="AJ1995" s="215" t="n"/>
      <c r="AK1995" s="216" t="n"/>
    </row>
    <row r="1996" ht="15" customHeight="1">
      <c r="B1996" s="134" t="n"/>
      <c r="C1996" s="105" t="n"/>
      <c r="D1996" s="105" t="n"/>
      <c r="E1996" s="105" t="n"/>
      <c r="F1996" s="105" t="n"/>
      <c r="G1996" s="105" t="n"/>
      <c r="H1996" s="2" t="n"/>
      <c r="I1996" s="105" t="n"/>
      <c r="K1996" s="215" t="n"/>
      <c r="L1996" s="215" t="n"/>
      <c r="M1996" s="215" t="n"/>
      <c r="N1996" s="215" t="n"/>
      <c r="O1996" s="215" t="n"/>
      <c r="P1996" s="215" t="n"/>
      <c r="Q1996" s="215" t="n"/>
      <c r="R1996" s="215" t="n"/>
      <c r="S1996" s="215" t="n"/>
      <c r="T1996" s="215" t="n"/>
      <c r="U1996" s="215" t="n"/>
      <c r="V1996" s="215" t="n"/>
      <c r="W1996" s="215" t="n"/>
      <c r="X1996" s="215" t="n"/>
      <c r="Y1996" s="215" t="n"/>
      <c r="Z1996" s="215" t="n"/>
      <c r="AA1996" s="215" t="n"/>
      <c r="AB1996" s="215" t="n"/>
      <c r="AC1996" s="215" t="n"/>
      <c r="AD1996" s="215" t="n"/>
      <c r="AE1996" s="215" t="n"/>
      <c r="AF1996" s="215" t="n"/>
      <c r="AG1996" s="215" t="n"/>
      <c r="AH1996" s="215" t="n"/>
      <c r="AI1996" s="215" t="n"/>
      <c r="AJ1996" s="215" t="n"/>
      <c r="AK1996" s="216" t="n"/>
    </row>
    <row r="1997" ht="15" customHeight="1">
      <c r="B1997" s="134" t="n"/>
      <c r="C1997" s="105" t="n"/>
      <c r="D1997" s="105" t="n"/>
      <c r="E1997" s="105" t="n"/>
      <c r="F1997" s="105" t="n"/>
      <c r="G1997" s="105" t="n"/>
      <c r="H1997" s="2" t="n"/>
      <c r="I1997" s="105" t="n"/>
      <c r="K1997" s="215" t="n"/>
      <c r="L1997" s="215" t="n"/>
      <c r="M1997" s="215" t="n"/>
      <c r="N1997" s="215" t="n"/>
      <c r="O1997" s="215" t="n"/>
      <c r="P1997" s="215" t="n"/>
      <c r="Q1997" s="215" t="n"/>
      <c r="R1997" s="215" t="n"/>
      <c r="S1997" s="215" t="n"/>
      <c r="T1997" s="215" t="n"/>
      <c r="U1997" s="215" t="n"/>
      <c r="V1997" s="215" t="n"/>
      <c r="W1997" s="215" t="n"/>
      <c r="X1997" s="215" t="n"/>
      <c r="Y1997" s="215" t="n"/>
      <c r="Z1997" s="215" t="n"/>
      <c r="AA1997" s="215" t="n"/>
      <c r="AB1997" s="215" t="n"/>
      <c r="AC1997" s="215" t="n"/>
      <c r="AD1997" s="215" t="n"/>
      <c r="AE1997" s="215" t="n"/>
      <c r="AF1997" s="215" t="n"/>
      <c r="AG1997" s="215" t="n"/>
      <c r="AH1997" s="215" t="n"/>
      <c r="AI1997" s="215" t="n"/>
      <c r="AJ1997" s="215" t="n"/>
      <c r="AK1997" s="216" t="n"/>
    </row>
    <row r="1998" ht="15" customHeight="1">
      <c r="B1998" s="134" t="n"/>
      <c r="C1998" s="105" t="n"/>
      <c r="D1998" s="105" t="n"/>
      <c r="E1998" s="105" t="n"/>
      <c r="F1998" s="105" t="n"/>
      <c r="G1998" s="105" t="n"/>
      <c r="H1998" s="2" t="n"/>
      <c r="I1998" s="105" t="n"/>
      <c r="K1998" s="215" t="n"/>
      <c r="L1998" s="215" t="n"/>
      <c r="M1998" s="215" t="n"/>
      <c r="N1998" s="215" t="n"/>
      <c r="O1998" s="215" t="n"/>
      <c r="P1998" s="215" t="n"/>
      <c r="Q1998" s="215" t="n"/>
      <c r="R1998" s="215" t="n"/>
      <c r="S1998" s="215" t="n"/>
      <c r="T1998" s="215" t="n"/>
      <c r="U1998" s="215" t="n"/>
      <c r="V1998" s="215" t="n"/>
      <c r="W1998" s="215" t="n"/>
      <c r="X1998" s="215" t="n"/>
      <c r="Y1998" s="215" t="n"/>
      <c r="Z1998" s="215" t="n"/>
      <c r="AA1998" s="215" t="n"/>
      <c r="AB1998" s="215" t="n"/>
      <c r="AC1998" s="215" t="n"/>
      <c r="AD1998" s="215" t="n"/>
      <c r="AE1998" s="215" t="n"/>
      <c r="AF1998" s="215" t="n"/>
      <c r="AG1998" s="215" t="n"/>
      <c r="AH1998" s="215" t="n"/>
      <c r="AI1998" s="215" t="n"/>
      <c r="AJ1998" s="215" t="n"/>
      <c r="AK1998" s="216" t="n"/>
    </row>
    <row r="1999" ht="15" customHeight="1">
      <c r="B1999" s="134" t="n"/>
      <c r="C1999" s="105" t="n"/>
      <c r="D1999" s="105" t="n"/>
      <c r="E1999" s="105" t="n"/>
      <c r="F1999" s="105" t="n"/>
      <c r="G1999" s="105" t="n"/>
      <c r="H1999" s="2" t="n"/>
      <c r="I1999" s="105" t="n"/>
      <c r="K1999" s="215" t="n"/>
      <c r="L1999" s="215" t="n"/>
      <c r="M1999" s="215" t="n"/>
      <c r="N1999" s="215" t="n"/>
      <c r="O1999" s="215" t="n"/>
      <c r="P1999" s="215" t="n"/>
      <c r="Q1999" s="215" t="n"/>
      <c r="R1999" s="215" t="n"/>
      <c r="S1999" s="215" t="n"/>
      <c r="T1999" s="215" t="n"/>
      <c r="U1999" s="215" t="n"/>
      <c r="V1999" s="215" t="n"/>
      <c r="W1999" s="215" t="n"/>
      <c r="X1999" s="215" t="n"/>
      <c r="Y1999" s="215" t="n"/>
      <c r="Z1999" s="215" t="n"/>
      <c r="AA1999" s="215" t="n"/>
      <c r="AB1999" s="215" t="n"/>
      <c r="AC1999" s="215" t="n"/>
      <c r="AD1999" s="215" t="n"/>
      <c r="AE1999" s="215" t="n"/>
      <c r="AF1999" s="215" t="n"/>
      <c r="AG1999" s="215" t="n"/>
      <c r="AH1999" s="215" t="n"/>
      <c r="AI1999" s="215" t="n"/>
      <c r="AJ1999" s="215" t="n"/>
      <c r="AK1999" s="216" t="n"/>
    </row>
    <row r="2000" ht="15" customHeight="1">
      <c r="B2000" s="134" t="n"/>
      <c r="C2000" s="105" t="n"/>
      <c r="D2000" s="105" t="n"/>
      <c r="E2000" s="105" t="n"/>
      <c r="F2000" s="105" t="n"/>
      <c r="G2000" s="105" t="n"/>
      <c r="H2000" s="2" t="n"/>
      <c r="I2000" s="105" t="n"/>
      <c r="K2000" s="215" t="n"/>
      <c r="L2000" s="215" t="n"/>
      <c r="M2000" s="215" t="n"/>
      <c r="N2000" s="215" t="n"/>
      <c r="O2000" s="215" t="n"/>
      <c r="P2000" s="215" t="n"/>
      <c r="Q2000" s="215" t="n"/>
      <c r="R2000" s="215" t="n"/>
      <c r="S2000" s="215" t="n"/>
      <c r="T2000" s="215" t="n"/>
      <c r="U2000" s="215" t="n"/>
      <c r="V2000" s="215" t="n"/>
      <c r="W2000" s="215" t="n"/>
      <c r="X2000" s="215" t="n"/>
      <c r="Y2000" s="215" t="n"/>
      <c r="Z2000" s="215" t="n"/>
      <c r="AA2000" s="215" t="n"/>
      <c r="AB2000" s="215" t="n"/>
      <c r="AC2000" s="215" t="n"/>
      <c r="AD2000" s="215" t="n"/>
      <c r="AE2000" s="215" t="n"/>
      <c r="AF2000" s="215" t="n"/>
      <c r="AG2000" s="215" t="n"/>
      <c r="AH2000" s="215" t="n"/>
      <c r="AI2000" s="215" t="n"/>
      <c r="AJ2000" s="215" t="n"/>
      <c r="AK2000" s="216" t="n"/>
    </row>
    <row r="2001" ht="15" customHeight="1">
      <c r="B2001" s="134" t="n"/>
      <c r="C2001" s="105" t="n"/>
      <c r="D2001" s="105" t="n"/>
      <c r="E2001" s="105" t="n"/>
      <c r="F2001" s="105" t="n"/>
      <c r="G2001" s="105" t="n"/>
      <c r="H2001" s="2" t="n"/>
      <c r="I2001" s="105" t="n"/>
      <c r="K2001" s="215" t="n"/>
      <c r="L2001" s="215" t="n"/>
      <c r="M2001" s="215" t="n"/>
      <c r="N2001" s="215" t="n"/>
      <c r="O2001" s="215" t="n"/>
      <c r="P2001" s="215" t="n"/>
      <c r="Q2001" s="215" t="n"/>
      <c r="R2001" s="215" t="n"/>
      <c r="S2001" s="215" t="n"/>
      <c r="T2001" s="215" t="n"/>
      <c r="U2001" s="215" t="n"/>
      <c r="V2001" s="215" t="n"/>
      <c r="W2001" s="215" t="n"/>
      <c r="X2001" s="215" t="n"/>
      <c r="Y2001" s="215" t="n"/>
      <c r="Z2001" s="215" t="n"/>
      <c r="AA2001" s="215" t="n"/>
      <c r="AB2001" s="215" t="n"/>
      <c r="AC2001" s="215" t="n"/>
      <c r="AD2001" s="215" t="n"/>
      <c r="AE2001" s="215" t="n"/>
      <c r="AF2001" s="215" t="n"/>
      <c r="AG2001" s="215" t="n"/>
      <c r="AH2001" s="215" t="n"/>
      <c r="AI2001" s="215" t="n"/>
      <c r="AJ2001" s="215" t="n"/>
      <c r="AK2001" s="216" t="n"/>
    </row>
    <row r="2002" ht="15" customHeight="1">
      <c r="B2002" s="134" t="n"/>
      <c r="C2002" s="105" t="n"/>
      <c r="D2002" s="105" t="n"/>
      <c r="E2002" s="105" t="n"/>
      <c r="F2002" s="105" t="n"/>
      <c r="G2002" s="105" t="n"/>
      <c r="H2002" s="2" t="n"/>
      <c r="I2002" s="105" t="n"/>
      <c r="K2002" s="215" t="n"/>
      <c r="L2002" s="215" t="n"/>
      <c r="M2002" s="215" t="n"/>
      <c r="N2002" s="215" t="n"/>
      <c r="O2002" s="215" t="n"/>
      <c r="P2002" s="215" t="n"/>
      <c r="Q2002" s="215" t="n"/>
      <c r="R2002" s="215" t="n"/>
      <c r="S2002" s="215" t="n"/>
      <c r="T2002" s="215" t="n"/>
      <c r="U2002" s="215" t="n"/>
      <c r="V2002" s="215" t="n"/>
      <c r="W2002" s="215" t="n"/>
      <c r="X2002" s="215" t="n"/>
      <c r="Y2002" s="215" t="n"/>
      <c r="Z2002" s="215" t="n"/>
      <c r="AA2002" s="215" t="n"/>
      <c r="AB2002" s="215" t="n"/>
      <c r="AC2002" s="215" t="n"/>
      <c r="AD2002" s="215" t="n"/>
      <c r="AE2002" s="215" t="n"/>
      <c r="AF2002" s="215" t="n"/>
      <c r="AG2002" s="215" t="n"/>
      <c r="AH2002" s="215" t="n"/>
      <c r="AI2002" s="215" t="n"/>
      <c r="AJ2002" s="215" t="n"/>
      <c r="AK2002" s="216" t="n"/>
    </row>
    <row r="2003" ht="15" customHeight="1">
      <c r="B2003" s="134" t="n"/>
      <c r="C2003" s="105" t="n"/>
      <c r="D2003" s="105" t="n"/>
      <c r="E2003" s="105" t="n"/>
      <c r="F2003" s="105" t="n"/>
      <c r="G2003" s="105" t="n"/>
      <c r="H2003" s="2" t="n"/>
      <c r="I2003" s="105" t="n"/>
      <c r="K2003" s="215" t="n"/>
      <c r="L2003" s="215" t="n"/>
      <c r="M2003" s="215" t="n"/>
      <c r="N2003" s="215" t="n"/>
      <c r="O2003" s="215" t="n"/>
      <c r="P2003" s="215" t="n"/>
      <c r="Q2003" s="215" t="n"/>
      <c r="R2003" s="215" t="n"/>
      <c r="S2003" s="215" t="n"/>
      <c r="T2003" s="215" t="n"/>
      <c r="U2003" s="215" t="n"/>
      <c r="V2003" s="215" t="n"/>
      <c r="W2003" s="215" t="n"/>
      <c r="X2003" s="215" t="n"/>
      <c r="Y2003" s="215" t="n"/>
      <c r="Z2003" s="215" t="n"/>
      <c r="AA2003" s="215" t="n"/>
      <c r="AB2003" s="215" t="n"/>
      <c r="AC2003" s="215" t="n"/>
      <c r="AD2003" s="215" t="n"/>
      <c r="AE2003" s="215" t="n"/>
      <c r="AF2003" s="215" t="n"/>
      <c r="AG2003" s="215" t="n"/>
      <c r="AH2003" s="215" t="n"/>
      <c r="AI2003" s="215" t="n"/>
      <c r="AJ2003" s="215" t="n"/>
      <c r="AK2003" s="216" t="n"/>
    </row>
    <row r="2004" ht="15" customHeight="1">
      <c r="B2004" s="134" t="n"/>
      <c r="C2004" s="105" t="n"/>
      <c r="D2004" s="105" t="n"/>
      <c r="E2004" s="105" t="n"/>
      <c r="F2004" s="105" t="n"/>
      <c r="G2004" s="105" t="n"/>
      <c r="H2004" s="2" t="n"/>
      <c r="I2004" s="105" t="n"/>
      <c r="K2004" s="215" t="n"/>
      <c r="L2004" s="215" t="n"/>
      <c r="M2004" s="215" t="n"/>
      <c r="N2004" s="215" t="n"/>
      <c r="O2004" s="215" t="n"/>
      <c r="P2004" s="215" t="n"/>
      <c r="Q2004" s="215" t="n"/>
      <c r="R2004" s="215" t="n"/>
      <c r="S2004" s="215" t="n"/>
      <c r="T2004" s="215" t="n"/>
      <c r="U2004" s="215" t="n"/>
      <c r="V2004" s="215" t="n"/>
      <c r="W2004" s="215" t="n"/>
      <c r="X2004" s="215" t="n"/>
      <c r="Y2004" s="215" t="n"/>
      <c r="Z2004" s="215" t="n"/>
      <c r="AA2004" s="215" t="n"/>
      <c r="AB2004" s="215" t="n"/>
      <c r="AC2004" s="215" t="n"/>
      <c r="AD2004" s="215" t="n"/>
      <c r="AE2004" s="215" t="n"/>
      <c r="AF2004" s="215" t="n"/>
      <c r="AG2004" s="215" t="n"/>
      <c r="AH2004" s="215" t="n"/>
      <c r="AI2004" s="215" t="n"/>
      <c r="AJ2004" s="215" t="n"/>
      <c r="AK2004" s="216" t="n"/>
    </row>
    <row r="2005" ht="15" customHeight="1">
      <c r="B2005" s="134" t="n"/>
      <c r="C2005" s="105" t="n"/>
      <c r="D2005" s="105" t="n"/>
      <c r="E2005" s="105" t="n"/>
      <c r="F2005" s="105" t="n"/>
      <c r="G2005" s="105" t="n"/>
      <c r="H2005" s="2" t="n"/>
      <c r="I2005" s="105" t="n"/>
      <c r="K2005" s="215" t="n"/>
      <c r="L2005" s="215" t="n"/>
      <c r="M2005" s="215" t="n"/>
      <c r="N2005" s="215" t="n"/>
      <c r="O2005" s="215" t="n"/>
      <c r="P2005" s="215" t="n"/>
      <c r="Q2005" s="215" t="n"/>
      <c r="R2005" s="215" t="n"/>
      <c r="S2005" s="215" t="n"/>
      <c r="T2005" s="215" t="n"/>
      <c r="U2005" s="215" t="n"/>
      <c r="V2005" s="215" t="n"/>
      <c r="W2005" s="215" t="n"/>
      <c r="X2005" s="215" t="n"/>
      <c r="Y2005" s="215" t="n"/>
      <c r="Z2005" s="215" t="n"/>
      <c r="AA2005" s="215" t="n"/>
      <c r="AB2005" s="215" t="n"/>
      <c r="AC2005" s="215" t="n"/>
      <c r="AD2005" s="215" t="n"/>
      <c r="AE2005" s="215" t="n"/>
      <c r="AF2005" s="215" t="n"/>
      <c r="AG2005" s="215" t="n"/>
      <c r="AH2005" s="215" t="n"/>
      <c r="AI2005" s="215" t="n"/>
      <c r="AJ2005" s="215" t="n"/>
      <c r="AK2005" s="216" t="n"/>
    </row>
    <row r="2006" ht="15" customHeight="1">
      <c r="B2006" s="134" t="n"/>
      <c r="C2006" s="105" t="n"/>
      <c r="D2006" s="105" t="n"/>
      <c r="E2006" s="105" t="n"/>
      <c r="F2006" s="105" t="n"/>
      <c r="G2006" s="105" t="n"/>
      <c r="H2006" s="2" t="n"/>
      <c r="I2006" s="105" t="n"/>
      <c r="K2006" s="215" t="n"/>
      <c r="L2006" s="215" t="n"/>
      <c r="M2006" s="215" t="n"/>
      <c r="N2006" s="215" t="n"/>
      <c r="O2006" s="215" t="n"/>
      <c r="P2006" s="215" t="n"/>
      <c r="Q2006" s="215" t="n"/>
      <c r="R2006" s="215" t="n"/>
      <c r="S2006" s="215" t="n"/>
      <c r="T2006" s="215" t="n"/>
      <c r="U2006" s="215" t="n"/>
      <c r="V2006" s="215" t="n"/>
      <c r="W2006" s="215" t="n"/>
      <c r="X2006" s="215" t="n"/>
      <c r="Y2006" s="215" t="n"/>
      <c r="Z2006" s="215" t="n"/>
      <c r="AA2006" s="215" t="n"/>
      <c r="AB2006" s="215" t="n"/>
      <c r="AC2006" s="215" t="n"/>
      <c r="AD2006" s="215" t="n"/>
      <c r="AE2006" s="215" t="n"/>
      <c r="AF2006" s="215" t="n"/>
      <c r="AG2006" s="215" t="n"/>
      <c r="AH2006" s="215" t="n"/>
      <c r="AI2006" s="215" t="n"/>
      <c r="AJ2006" s="215" t="n"/>
      <c r="AK2006" s="216" t="n"/>
    </row>
    <row r="2007" ht="15" customHeight="1">
      <c r="B2007" s="134" t="n"/>
      <c r="C2007" s="105" t="n"/>
      <c r="D2007" s="105" t="n"/>
      <c r="E2007" s="105" t="n"/>
      <c r="F2007" s="105" t="n"/>
      <c r="G2007" s="105" t="n"/>
      <c r="H2007" s="2" t="n"/>
      <c r="I2007" s="105" t="n"/>
      <c r="K2007" s="215" t="n"/>
      <c r="L2007" s="215" t="n"/>
      <c r="M2007" s="215" t="n"/>
      <c r="N2007" s="215" t="n"/>
      <c r="O2007" s="215" t="n"/>
      <c r="P2007" s="215" t="n"/>
      <c r="Q2007" s="215" t="n"/>
      <c r="R2007" s="215" t="n"/>
      <c r="S2007" s="215" t="n"/>
      <c r="T2007" s="215" t="n"/>
      <c r="U2007" s="215" t="n"/>
      <c r="V2007" s="215" t="n"/>
      <c r="W2007" s="215" t="n"/>
      <c r="X2007" s="215" t="n"/>
      <c r="Y2007" s="215" t="n"/>
      <c r="Z2007" s="215" t="n"/>
      <c r="AA2007" s="215" t="n"/>
      <c r="AB2007" s="215" t="n"/>
      <c r="AC2007" s="215" t="n"/>
      <c r="AD2007" s="215" t="n"/>
      <c r="AE2007" s="215" t="n"/>
      <c r="AF2007" s="215" t="n"/>
      <c r="AG2007" s="215" t="n"/>
      <c r="AH2007" s="215" t="n"/>
      <c r="AI2007" s="215" t="n"/>
      <c r="AJ2007" s="215" t="n"/>
      <c r="AK2007" s="216" t="n"/>
    </row>
    <row r="2008" ht="15" customHeight="1">
      <c r="B2008" s="134" t="n"/>
      <c r="C2008" s="105" t="n"/>
      <c r="D2008" s="105" t="n"/>
      <c r="E2008" s="105" t="n"/>
      <c r="F2008" s="105" t="n"/>
      <c r="G2008" s="105" t="n"/>
      <c r="H2008" s="2" t="n"/>
      <c r="I2008" s="105" t="n"/>
      <c r="K2008" s="215" t="n"/>
      <c r="L2008" s="215" t="n"/>
      <c r="M2008" s="215" t="n"/>
      <c r="N2008" s="215" t="n"/>
      <c r="O2008" s="215" t="n"/>
      <c r="P2008" s="215" t="n"/>
      <c r="Q2008" s="215" t="n"/>
      <c r="R2008" s="215" t="n"/>
      <c r="S2008" s="215" t="n"/>
      <c r="T2008" s="215" t="n"/>
      <c r="U2008" s="215" t="n"/>
      <c r="V2008" s="215" t="n"/>
      <c r="W2008" s="215" t="n"/>
      <c r="X2008" s="215" t="n"/>
      <c r="Y2008" s="215" t="n"/>
      <c r="Z2008" s="215" t="n"/>
      <c r="AA2008" s="215" t="n"/>
      <c r="AB2008" s="215" t="n"/>
      <c r="AC2008" s="215" t="n"/>
      <c r="AD2008" s="215" t="n"/>
      <c r="AE2008" s="215" t="n"/>
      <c r="AF2008" s="215" t="n"/>
      <c r="AG2008" s="215" t="n"/>
      <c r="AH2008" s="215" t="n"/>
      <c r="AI2008" s="215" t="n"/>
      <c r="AJ2008" s="215" t="n"/>
      <c r="AK2008" s="216" t="n"/>
    </row>
    <row r="2009" ht="15" customHeight="1">
      <c r="B2009" s="134" t="n"/>
      <c r="C2009" s="105" t="n"/>
      <c r="D2009" s="105" t="n"/>
      <c r="E2009" s="105" t="n"/>
      <c r="F2009" s="105" t="n"/>
      <c r="G2009" s="105" t="n"/>
      <c r="H2009" s="2" t="n"/>
      <c r="I2009" s="105" t="n"/>
      <c r="K2009" s="215" t="n"/>
      <c r="L2009" s="215" t="n"/>
      <c r="M2009" s="215" t="n"/>
      <c r="N2009" s="215" t="n"/>
      <c r="O2009" s="215" t="n"/>
      <c r="P2009" s="215" t="n"/>
      <c r="Q2009" s="215" t="n"/>
      <c r="R2009" s="215" t="n"/>
      <c r="S2009" s="215" t="n"/>
      <c r="T2009" s="215" t="n"/>
      <c r="U2009" s="215" t="n"/>
      <c r="V2009" s="215" t="n"/>
      <c r="W2009" s="215" t="n"/>
      <c r="X2009" s="215" t="n"/>
      <c r="Y2009" s="215" t="n"/>
      <c r="Z2009" s="215" t="n"/>
      <c r="AA2009" s="215" t="n"/>
      <c r="AB2009" s="215" t="n"/>
      <c r="AC2009" s="215" t="n"/>
      <c r="AD2009" s="215" t="n"/>
      <c r="AE2009" s="215" t="n"/>
      <c r="AF2009" s="215" t="n"/>
      <c r="AG2009" s="215" t="n"/>
      <c r="AH2009" s="215" t="n"/>
      <c r="AI2009" s="215" t="n"/>
      <c r="AJ2009" s="215" t="n"/>
      <c r="AK2009" s="216" t="n"/>
    </row>
    <row r="2010" ht="15" customHeight="1">
      <c r="B2010" s="134" t="n"/>
      <c r="C2010" s="105" t="n"/>
      <c r="D2010" s="105" t="n"/>
      <c r="E2010" s="105" t="n"/>
      <c r="F2010" s="105" t="n"/>
      <c r="G2010" s="105" t="n"/>
      <c r="H2010" s="2" t="n"/>
      <c r="I2010" s="105" t="n"/>
      <c r="K2010" s="215" t="n"/>
      <c r="L2010" s="215" t="n"/>
      <c r="M2010" s="215" t="n"/>
      <c r="N2010" s="215" t="n"/>
      <c r="O2010" s="215" t="n"/>
      <c r="P2010" s="215" t="n"/>
      <c r="Q2010" s="215" t="n"/>
      <c r="R2010" s="215" t="n"/>
      <c r="S2010" s="215" t="n"/>
      <c r="T2010" s="215" t="n"/>
      <c r="U2010" s="215" t="n"/>
      <c r="V2010" s="215" t="n"/>
      <c r="W2010" s="215" t="n"/>
      <c r="X2010" s="215" t="n"/>
      <c r="Y2010" s="215" t="n"/>
      <c r="Z2010" s="215" t="n"/>
      <c r="AA2010" s="215" t="n"/>
      <c r="AB2010" s="215" t="n"/>
      <c r="AC2010" s="215" t="n"/>
      <c r="AD2010" s="215" t="n"/>
      <c r="AE2010" s="215" t="n"/>
      <c r="AF2010" s="215" t="n"/>
      <c r="AG2010" s="215" t="n"/>
      <c r="AH2010" s="215" t="n"/>
      <c r="AI2010" s="215" t="n"/>
      <c r="AJ2010" s="215" t="n"/>
      <c r="AK2010" s="216" t="n"/>
    </row>
    <row r="2011" ht="15" customHeight="1">
      <c r="B2011" s="134" t="n"/>
      <c r="C2011" s="105" t="n"/>
      <c r="D2011" s="105" t="n"/>
      <c r="E2011" s="105" t="n"/>
      <c r="F2011" s="105" t="n"/>
      <c r="G2011" s="105" t="n"/>
      <c r="H2011" s="2" t="n"/>
      <c r="I2011" s="105" t="n"/>
      <c r="K2011" s="215" t="n"/>
      <c r="L2011" s="215" t="n"/>
      <c r="M2011" s="215" t="n"/>
      <c r="N2011" s="215" t="n"/>
      <c r="O2011" s="215" t="n"/>
      <c r="P2011" s="215" t="n"/>
      <c r="Q2011" s="215" t="n"/>
      <c r="R2011" s="215" t="n"/>
      <c r="S2011" s="215" t="n"/>
      <c r="T2011" s="215" t="n"/>
      <c r="U2011" s="215" t="n"/>
      <c r="V2011" s="215" t="n"/>
      <c r="W2011" s="215" t="n"/>
      <c r="X2011" s="215" t="n"/>
      <c r="Y2011" s="215" t="n"/>
      <c r="Z2011" s="215" t="n"/>
      <c r="AA2011" s="215" t="n"/>
      <c r="AB2011" s="215" t="n"/>
      <c r="AC2011" s="215" t="n"/>
      <c r="AD2011" s="215" t="n"/>
      <c r="AE2011" s="215" t="n"/>
      <c r="AF2011" s="215" t="n"/>
      <c r="AG2011" s="215" t="n"/>
      <c r="AH2011" s="215" t="n"/>
      <c r="AI2011" s="215" t="n"/>
      <c r="AJ2011" s="215" t="n"/>
      <c r="AK2011" s="216" t="n"/>
    </row>
    <row r="2012" ht="15" customHeight="1">
      <c r="B2012" s="134" t="n"/>
      <c r="C2012" s="105" t="n"/>
      <c r="D2012" s="105" t="n"/>
      <c r="E2012" s="105" t="n"/>
      <c r="F2012" s="105" t="n"/>
      <c r="G2012" s="105" t="n"/>
      <c r="H2012" s="2" t="n"/>
      <c r="I2012" s="105" t="n"/>
      <c r="K2012" s="215" t="n"/>
      <c r="L2012" s="215" t="n"/>
      <c r="M2012" s="215" t="n"/>
      <c r="N2012" s="215" t="n"/>
      <c r="O2012" s="215" t="n"/>
      <c r="P2012" s="215" t="n"/>
      <c r="Q2012" s="215" t="n"/>
      <c r="R2012" s="215" t="n"/>
      <c r="S2012" s="215" t="n"/>
      <c r="T2012" s="215" t="n"/>
      <c r="U2012" s="215" t="n"/>
      <c r="V2012" s="215" t="n"/>
      <c r="W2012" s="215" t="n"/>
      <c r="X2012" s="215" t="n"/>
      <c r="Y2012" s="215" t="n"/>
      <c r="Z2012" s="215" t="n"/>
      <c r="AA2012" s="215" t="n"/>
      <c r="AB2012" s="215" t="n"/>
      <c r="AC2012" s="215" t="n"/>
      <c r="AD2012" s="215" t="n"/>
      <c r="AE2012" s="215" t="n"/>
      <c r="AF2012" s="215" t="n"/>
      <c r="AG2012" s="215" t="n"/>
      <c r="AH2012" s="215" t="n"/>
      <c r="AI2012" s="215" t="n"/>
      <c r="AJ2012" s="215" t="n"/>
      <c r="AK2012" s="216" t="n"/>
    </row>
    <row r="2013" ht="15" customHeight="1">
      <c r="B2013" s="134" t="n"/>
      <c r="C2013" s="105" t="n"/>
      <c r="D2013" s="105" t="n"/>
      <c r="E2013" s="105" t="n"/>
      <c r="F2013" s="105" t="n"/>
      <c r="G2013" s="105" t="n"/>
      <c r="H2013" s="2" t="n"/>
      <c r="I2013" s="105" t="n"/>
      <c r="K2013" s="215" t="n"/>
      <c r="L2013" s="215" t="n"/>
      <c r="M2013" s="215" t="n"/>
      <c r="N2013" s="215" t="n"/>
      <c r="O2013" s="215" t="n"/>
      <c r="P2013" s="215" t="n"/>
      <c r="Q2013" s="215" t="n"/>
      <c r="R2013" s="215" t="n"/>
      <c r="S2013" s="215" t="n"/>
      <c r="T2013" s="215" t="n"/>
      <c r="U2013" s="215" t="n"/>
      <c r="V2013" s="215" t="n"/>
      <c r="W2013" s="215" t="n"/>
      <c r="X2013" s="215" t="n"/>
      <c r="Y2013" s="215" t="n"/>
      <c r="Z2013" s="215" t="n"/>
      <c r="AA2013" s="215" t="n"/>
      <c r="AB2013" s="215" t="n"/>
      <c r="AC2013" s="215" t="n"/>
      <c r="AD2013" s="215" t="n"/>
      <c r="AE2013" s="215" t="n"/>
      <c r="AF2013" s="215" t="n"/>
      <c r="AG2013" s="215" t="n"/>
      <c r="AH2013" s="215" t="n"/>
      <c r="AI2013" s="215" t="n"/>
      <c r="AJ2013" s="215" t="n"/>
      <c r="AK2013" s="216" t="n"/>
    </row>
    <row r="2014" ht="15" customHeight="1">
      <c r="B2014" s="134" t="n"/>
      <c r="C2014" s="105" t="n"/>
      <c r="D2014" s="105" t="n"/>
      <c r="E2014" s="105" t="n"/>
      <c r="F2014" s="105" t="n"/>
      <c r="G2014" s="105" t="n"/>
      <c r="H2014" s="2" t="n"/>
      <c r="I2014" s="105" t="n"/>
      <c r="K2014" s="215" t="n"/>
      <c r="L2014" s="215" t="n"/>
      <c r="M2014" s="215" t="n"/>
      <c r="N2014" s="215" t="n"/>
      <c r="O2014" s="215" t="n"/>
      <c r="P2014" s="215" t="n"/>
      <c r="Q2014" s="215" t="n"/>
      <c r="R2014" s="215" t="n"/>
      <c r="S2014" s="215" t="n"/>
      <c r="T2014" s="215" t="n"/>
      <c r="U2014" s="215" t="n"/>
      <c r="V2014" s="215" t="n"/>
      <c r="W2014" s="215" t="n"/>
      <c r="X2014" s="215" t="n"/>
      <c r="Y2014" s="215" t="n"/>
      <c r="Z2014" s="215" t="n"/>
      <c r="AA2014" s="215" t="n"/>
      <c r="AB2014" s="215" t="n"/>
      <c r="AC2014" s="215" t="n"/>
      <c r="AD2014" s="215" t="n"/>
      <c r="AE2014" s="215" t="n"/>
      <c r="AF2014" s="215" t="n"/>
      <c r="AG2014" s="215" t="n"/>
      <c r="AH2014" s="215" t="n"/>
      <c r="AI2014" s="215" t="n"/>
      <c r="AJ2014" s="215" t="n"/>
      <c r="AK2014" s="216" t="n"/>
    </row>
    <row r="2015" ht="15" customHeight="1">
      <c r="B2015" s="134" t="n"/>
      <c r="C2015" s="105" t="n"/>
      <c r="D2015" s="105" t="n"/>
      <c r="E2015" s="105" t="n"/>
      <c r="F2015" s="105" t="n"/>
      <c r="G2015" s="105" t="n"/>
      <c r="H2015" s="2" t="n"/>
      <c r="I2015" s="105" t="n"/>
      <c r="K2015" s="215" t="n"/>
      <c r="L2015" s="215" t="n"/>
      <c r="M2015" s="215" t="n"/>
      <c r="N2015" s="215" t="n"/>
      <c r="O2015" s="215" t="n"/>
      <c r="P2015" s="215" t="n"/>
      <c r="Q2015" s="215" t="n"/>
      <c r="R2015" s="215" t="n"/>
      <c r="S2015" s="215" t="n"/>
      <c r="T2015" s="215" t="n"/>
      <c r="U2015" s="215" t="n"/>
      <c r="V2015" s="215" t="n"/>
      <c r="W2015" s="215" t="n"/>
      <c r="X2015" s="215" t="n"/>
      <c r="Y2015" s="215" t="n"/>
      <c r="Z2015" s="215" t="n"/>
      <c r="AA2015" s="215" t="n"/>
      <c r="AB2015" s="215" t="n"/>
      <c r="AC2015" s="215" t="n"/>
      <c r="AD2015" s="215" t="n"/>
      <c r="AE2015" s="215" t="n"/>
      <c r="AF2015" s="215" t="n"/>
      <c r="AG2015" s="215" t="n"/>
      <c r="AH2015" s="215" t="n"/>
      <c r="AI2015" s="215" t="n"/>
      <c r="AJ2015" s="215" t="n"/>
      <c r="AK2015" s="216" t="n"/>
    </row>
    <row r="2016" ht="15" customHeight="1">
      <c r="B2016" s="134" t="n"/>
      <c r="C2016" s="105" t="n"/>
      <c r="D2016" s="105" t="n"/>
      <c r="E2016" s="105" t="n"/>
      <c r="F2016" s="105" t="n"/>
      <c r="G2016" s="105" t="n"/>
      <c r="H2016" s="2" t="n"/>
      <c r="I2016" s="105" t="n"/>
      <c r="K2016" s="215" t="n"/>
      <c r="L2016" s="215" t="n"/>
      <c r="M2016" s="215" t="n"/>
      <c r="N2016" s="215" t="n"/>
      <c r="O2016" s="215" t="n"/>
      <c r="P2016" s="215" t="n"/>
      <c r="Q2016" s="215" t="n"/>
      <c r="R2016" s="215" t="n"/>
      <c r="S2016" s="215" t="n"/>
      <c r="T2016" s="215" t="n"/>
      <c r="U2016" s="215" t="n"/>
      <c r="V2016" s="215" t="n"/>
      <c r="W2016" s="215" t="n"/>
      <c r="X2016" s="215" t="n"/>
      <c r="Y2016" s="215" t="n"/>
      <c r="Z2016" s="215" t="n"/>
      <c r="AA2016" s="215" t="n"/>
      <c r="AB2016" s="215" t="n"/>
      <c r="AC2016" s="215" t="n"/>
      <c r="AD2016" s="215" t="n"/>
      <c r="AE2016" s="215" t="n"/>
      <c r="AF2016" s="215" t="n"/>
      <c r="AG2016" s="215" t="n"/>
      <c r="AH2016" s="215" t="n"/>
      <c r="AI2016" s="215" t="n"/>
      <c r="AJ2016" s="215" t="n"/>
      <c r="AK2016" s="216" t="n"/>
    </row>
    <row r="2017" ht="15" customHeight="1">
      <c r="B2017" s="134" t="n"/>
      <c r="C2017" s="105" t="n"/>
      <c r="D2017" s="105" t="n"/>
      <c r="E2017" s="105" t="n"/>
      <c r="F2017" s="105" t="n"/>
      <c r="G2017" s="105" t="n"/>
      <c r="H2017" s="2" t="n"/>
      <c r="I2017" s="105" t="n"/>
      <c r="K2017" s="215" t="n"/>
      <c r="L2017" s="215" t="n"/>
      <c r="M2017" s="215" t="n"/>
      <c r="N2017" s="215" t="n"/>
      <c r="O2017" s="215" t="n"/>
      <c r="P2017" s="215" t="n"/>
      <c r="Q2017" s="215" t="n"/>
      <c r="R2017" s="215" t="n"/>
      <c r="S2017" s="215" t="n"/>
      <c r="T2017" s="215" t="n"/>
      <c r="U2017" s="215" t="n"/>
      <c r="V2017" s="215" t="n"/>
      <c r="W2017" s="215" t="n"/>
      <c r="X2017" s="215" t="n"/>
      <c r="Y2017" s="215" t="n"/>
      <c r="Z2017" s="215" t="n"/>
      <c r="AA2017" s="215" t="n"/>
      <c r="AB2017" s="215" t="n"/>
      <c r="AC2017" s="215" t="n"/>
      <c r="AD2017" s="215" t="n"/>
      <c r="AE2017" s="215" t="n"/>
      <c r="AF2017" s="215" t="n"/>
      <c r="AG2017" s="215" t="n"/>
      <c r="AH2017" s="215" t="n"/>
      <c r="AI2017" s="215" t="n"/>
      <c r="AJ2017" s="215" t="n"/>
      <c r="AK2017" s="216" t="n"/>
    </row>
    <row r="2018" ht="15" customHeight="1">
      <c r="B2018" s="134" t="n"/>
      <c r="C2018" s="105" t="n"/>
      <c r="D2018" s="105" t="n"/>
      <c r="E2018" s="105" t="n"/>
      <c r="F2018" s="105" t="n"/>
      <c r="G2018" s="105" t="n"/>
      <c r="H2018" s="2" t="n"/>
      <c r="I2018" s="105" t="n"/>
      <c r="K2018" s="215" t="n"/>
      <c r="L2018" s="215" t="n"/>
      <c r="M2018" s="215" t="n"/>
      <c r="N2018" s="215" t="n"/>
      <c r="O2018" s="215" t="n"/>
      <c r="P2018" s="215" t="n"/>
      <c r="Q2018" s="215" t="n"/>
      <c r="R2018" s="215" t="n"/>
      <c r="S2018" s="215" t="n"/>
      <c r="T2018" s="215" t="n"/>
      <c r="U2018" s="215" t="n"/>
      <c r="V2018" s="215" t="n"/>
      <c r="W2018" s="215" t="n"/>
      <c r="X2018" s="215" t="n"/>
      <c r="Y2018" s="215" t="n"/>
      <c r="Z2018" s="215" t="n"/>
      <c r="AA2018" s="215" t="n"/>
      <c r="AB2018" s="215" t="n"/>
      <c r="AC2018" s="215" t="n"/>
      <c r="AD2018" s="215" t="n"/>
      <c r="AE2018" s="215" t="n"/>
      <c r="AF2018" s="215" t="n"/>
      <c r="AG2018" s="215" t="n"/>
      <c r="AH2018" s="215" t="n"/>
      <c r="AI2018" s="215" t="n"/>
      <c r="AJ2018" s="215" t="n"/>
      <c r="AK2018" s="216" t="n"/>
    </row>
    <row r="2019" ht="15" customHeight="1">
      <c r="B2019" s="134" t="n"/>
      <c r="C2019" s="105" t="n"/>
      <c r="D2019" s="105" t="n"/>
      <c r="E2019" s="105" t="n"/>
      <c r="F2019" s="105" t="n"/>
      <c r="G2019" s="105" t="n"/>
      <c r="H2019" s="2" t="n"/>
      <c r="I2019" s="105" t="n"/>
      <c r="K2019" s="215" t="n"/>
      <c r="L2019" s="215" t="n"/>
      <c r="M2019" s="215" t="n"/>
      <c r="N2019" s="215" t="n"/>
      <c r="O2019" s="215" t="n"/>
      <c r="P2019" s="215" t="n"/>
      <c r="Q2019" s="215" t="n"/>
      <c r="R2019" s="215" t="n"/>
      <c r="S2019" s="215" t="n"/>
      <c r="T2019" s="215" t="n"/>
      <c r="U2019" s="215" t="n"/>
      <c r="V2019" s="215" t="n"/>
      <c r="W2019" s="215" t="n"/>
      <c r="X2019" s="215" t="n"/>
      <c r="Y2019" s="215" t="n"/>
      <c r="Z2019" s="215" t="n"/>
      <c r="AA2019" s="215" t="n"/>
      <c r="AB2019" s="215" t="n"/>
      <c r="AC2019" s="215" t="n"/>
      <c r="AD2019" s="215" t="n"/>
      <c r="AE2019" s="215" t="n"/>
      <c r="AF2019" s="215" t="n"/>
      <c r="AG2019" s="215" t="n"/>
      <c r="AH2019" s="215" t="n"/>
      <c r="AI2019" s="215" t="n"/>
      <c r="AJ2019" s="215" t="n"/>
      <c r="AK2019" s="216" t="n"/>
    </row>
    <row r="2020" ht="15" customHeight="1">
      <c r="B2020" s="134" t="n"/>
      <c r="C2020" s="105" t="n"/>
      <c r="D2020" s="105" t="n"/>
      <c r="E2020" s="105" t="n"/>
      <c r="F2020" s="105" t="n"/>
      <c r="G2020" s="105" t="n"/>
      <c r="H2020" s="2" t="n"/>
      <c r="I2020" s="105" t="n"/>
      <c r="K2020" s="215" t="n"/>
      <c r="L2020" s="215" t="n"/>
      <c r="M2020" s="215" t="n"/>
      <c r="N2020" s="215" t="n"/>
      <c r="O2020" s="215" t="n"/>
      <c r="P2020" s="215" t="n"/>
      <c r="Q2020" s="215" t="n"/>
      <c r="R2020" s="215" t="n"/>
      <c r="S2020" s="215" t="n"/>
      <c r="T2020" s="215" t="n"/>
      <c r="U2020" s="215" t="n"/>
      <c r="V2020" s="215" t="n"/>
      <c r="W2020" s="215" t="n"/>
      <c r="X2020" s="215" t="n"/>
      <c r="Y2020" s="215" t="n"/>
      <c r="Z2020" s="215" t="n"/>
      <c r="AA2020" s="215" t="n"/>
      <c r="AB2020" s="215" t="n"/>
      <c r="AC2020" s="215" t="n"/>
      <c r="AD2020" s="215" t="n"/>
      <c r="AE2020" s="215" t="n"/>
      <c r="AF2020" s="215" t="n"/>
      <c r="AG2020" s="215" t="n"/>
      <c r="AH2020" s="215" t="n"/>
      <c r="AI2020" s="215" t="n"/>
      <c r="AJ2020" s="215" t="n"/>
      <c r="AK2020" s="216" t="n"/>
    </row>
    <row r="2021" ht="15" customHeight="1">
      <c r="B2021" s="134" t="n"/>
      <c r="C2021" s="105" t="n"/>
      <c r="D2021" s="105" t="n"/>
      <c r="E2021" s="105" t="n"/>
      <c r="F2021" s="105" t="n"/>
      <c r="G2021" s="105" t="n"/>
      <c r="H2021" s="2" t="n"/>
      <c r="I2021" s="105" t="n"/>
      <c r="K2021" s="215" t="n"/>
      <c r="L2021" s="215" t="n"/>
      <c r="M2021" s="215" t="n"/>
      <c r="N2021" s="215" t="n"/>
      <c r="O2021" s="215" t="n"/>
      <c r="P2021" s="215" t="n"/>
      <c r="Q2021" s="215" t="n"/>
      <c r="R2021" s="215" t="n"/>
      <c r="S2021" s="215" t="n"/>
      <c r="T2021" s="215" t="n"/>
      <c r="U2021" s="215" t="n"/>
      <c r="V2021" s="215" t="n"/>
      <c r="W2021" s="215" t="n"/>
      <c r="X2021" s="215" t="n"/>
      <c r="Y2021" s="215" t="n"/>
      <c r="Z2021" s="215" t="n"/>
      <c r="AA2021" s="215" t="n"/>
      <c r="AB2021" s="215" t="n"/>
      <c r="AC2021" s="215" t="n"/>
      <c r="AD2021" s="215" t="n"/>
      <c r="AE2021" s="215" t="n"/>
      <c r="AF2021" s="215" t="n"/>
      <c r="AG2021" s="215" t="n"/>
      <c r="AH2021" s="215" t="n"/>
      <c r="AI2021" s="215" t="n"/>
      <c r="AJ2021" s="215" t="n"/>
      <c r="AK2021" s="216" t="n"/>
    </row>
    <row r="2022" ht="15" customHeight="1">
      <c r="B2022" s="134" t="n"/>
      <c r="C2022" s="105" t="n"/>
      <c r="D2022" s="105" t="n"/>
      <c r="E2022" s="105" t="n"/>
      <c r="F2022" s="105" t="n"/>
      <c r="G2022" s="105" t="n"/>
      <c r="H2022" s="2" t="n"/>
      <c r="I2022" s="105" t="n"/>
      <c r="K2022" s="215" t="n"/>
      <c r="L2022" s="215" t="n"/>
      <c r="M2022" s="215" t="n"/>
      <c r="N2022" s="215" t="n"/>
      <c r="O2022" s="215" t="n"/>
      <c r="P2022" s="215" t="n"/>
      <c r="Q2022" s="215" t="n"/>
      <c r="R2022" s="215" t="n"/>
      <c r="S2022" s="215" t="n"/>
      <c r="T2022" s="215" t="n"/>
      <c r="U2022" s="215" t="n"/>
      <c r="V2022" s="215" t="n"/>
      <c r="W2022" s="215" t="n"/>
      <c r="X2022" s="215" t="n"/>
      <c r="Y2022" s="215" t="n"/>
      <c r="Z2022" s="215" t="n"/>
      <c r="AA2022" s="215" t="n"/>
      <c r="AB2022" s="215" t="n"/>
      <c r="AC2022" s="215" t="n"/>
      <c r="AD2022" s="215" t="n"/>
      <c r="AE2022" s="215" t="n"/>
      <c r="AF2022" s="215" t="n"/>
      <c r="AG2022" s="215" t="n"/>
      <c r="AH2022" s="215" t="n"/>
      <c r="AI2022" s="215" t="n"/>
      <c r="AJ2022" s="215" t="n"/>
      <c r="AK2022" s="216" t="n"/>
    </row>
    <row r="2023" ht="15" customHeight="1">
      <c r="B2023" s="134" t="n"/>
      <c r="C2023" s="105" t="n"/>
      <c r="D2023" s="105" t="n"/>
      <c r="E2023" s="105" t="n"/>
      <c r="F2023" s="105" t="n"/>
      <c r="G2023" s="105" t="n"/>
      <c r="H2023" s="2" t="n"/>
      <c r="I2023" s="105" t="n"/>
      <c r="K2023" s="215" t="n"/>
      <c r="L2023" s="215" t="n"/>
      <c r="M2023" s="215" t="n"/>
      <c r="N2023" s="215" t="n"/>
      <c r="O2023" s="215" t="n"/>
      <c r="P2023" s="215" t="n"/>
      <c r="Q2023" s="215" t="n"/>
      <c r="R2023" s="215" t="n"/>
      <c r="S2023" s="215" t="n"/>
      <c r="T2023" s="215" t="n"/>
      <c r="U2023" s="215" t="n"/>
      <c r="V2023" s="215" t="n"/>
      <c r="W2023" s="215" t="n"/>
      <c r="X2023" s="215" t="n"/>
      <c r="Y2023" s="215" t="n"/>
      <c r="Z2023" s="215" t="n"/>
      <c r="AA2023" s="215" t="n"/>
      <c r="AB2023" s="215" t="n"/>
      <c r="AC2023" s="215" t="n"/>
      <c r="AD2023" s="215" t="n"/>
      <c r="AE2023" s="215" t="n"/>
      <c r="AF2023" s="215" t="n"/>
      <c r="AG2023" s="215" t="n"/>
      <c r="AH2023" s="215" t="n"/>
      <c r="AI2023" s="215" t="n"/>
      <c r="AJ2023" s="215" t="n"/>
      <c r="AK2023" s="216" t="n"/>
    </row>
    <row r="2024" ht="15" customHeight="1">
      <c r="B2024" s="134" t="n"/>
      <c r="C2024" s="105" t="n"/>
      <c r="D2024" s="105" t="n"/>
      <c r="E2024" s="105" t="n"/>
      <c r="F2024" s="105" t="n"/>
      <c r="G2024" s="105" t="n"/>
      <c r="H2024" s="2" t="n"/>
      <c r="I2024" s="105" t="n"/>
      <c r="K2024" s="215" t="n"/>
      <c r="L2024" s="215" t="n"/>
      <c r="M2024" s="215" t="n"/>
      <c r="N2024" s="215" t="n"/>
      <c r="O2024" s="215" t="n"/>
      <c r="P2024" s="215" t="n"/>
      <c r="Q2024" s="215" t="n"/>
      <c r="R2024" s="215" t="n"/>
      <c r="S2024" s="215" t="n"/>
      <c r="T2024" s="215" t="n"/>
      <c r="U2024" s="215" t="n"/>
      <c r="V2024" s="215" t="n"/>
      <c r="W2024" s="215" t="n"/>
      <c r="X2024" s="215" t="n"/>
      <c r="Y2024" s="215" t="n"/>
      <c r="Z2024" s="215" t="n"/>
      <c r="AA2024" s="215" t="n"/>
      <c r="AB2024" s="215" t="n"/>
      <c r="AC2024" s="215" t="n"/>
      <c r="AD2024" s="215" t="n"/>
      <c r="AE2024" s="215" t="n"/>
      <c r="AF2024" s="215" t="n"/>
      <c r="AG2024" s="215" t="n"/>
      <c r="AH2024" s="215" t="n"/>
      <c r="AI2024" s="215" t="n"/>
      <c r="AJ2024" s="215" t="n"/>
      <c r="AK2024" s="216" t="n"/>
    </row>
    <row r="2025" ht="15" customHeight="1">
      <c r="B2025" s="134" t="n"/>
      <c r="C2025" s="105" t="n"/>
      <c r="D2025" s="105" t="n"/>
      <c r="E2025" s="105" t="n"/>
      <c r="F2025" s="105" t="n"/>
      <c r="G2025" s="105" t="n"/>
      <c r="H2025" s="2" t="n"/>
      <c r="I2025" s="105" t="n"/>
      <c r="K2025" s="215" t="n"/>
      <c r="L2025" s="215" t="n"/>
      <c r="M2025" s="215" t="n"/>
      <c r="N2025" s="215" t="n"/>
      <c r="O2025" s="215" t="n"/>
      <c r="P2025" s="215" t="n"/>
      <c r="Q2025" s="215" t="n"/>
      <c r="R2025" s="215" t="n"/>
      <c r="S2025" s="215" t="n"/>
      <c r="T2025" s="215" t="n"/>
      <c r="U2025" s="215" t="n"/>
      <c r="V2025" s="215" t="n"/>
      <c r="W2025" s="215" t="n"/>
      <c r="X2025" s="215" t="n"/>
      <c r="Y2025" s="215" t="n"/>
      <c r="Z2025" s="215" t="n"/>
      <c r="AA2025" s="215" t="n"/>
      <c r="AB2025" s="215" t="n"/>
      <c r="AC2025" s="215" t="n"/>
      <c r="AD2025" s="215" t="n"/>
      <c r="AE2025" s="215" t="n"/>
      <c r="AF2025" s="215" t="n"/>
      <c r="AG2025" s="215" t="n"/>
      <c r="AH2025" s="215" t="n"/>
      <c r="AI2025" s="215" t="n"/>
      <c r="AJ2025" s="215" t="n"/>
      <c r="AK2025" s="216" t="n"/>
    </row>
    <row r="2026" ht="15" customHeight="1">
      <c r="B2026" s="134" t="n"/>
      <c r="C2026" s="105" t="n"/>
      <c r="D2026" s="105" t="n"/>
      <c r="E2026" s="105" t="n"/>
      <c r="F2026" s="105" t="n"/>
      <c r="G2026" s="105" t="n"/>
      <c r="H2026" s="2" t="n"/>
      <c r="I2026" s="105" t="n"/>
      <c r="K2026" s="215" t="n"/>
      <c r="L2026" s="215" t="n"/>
      <c r="M2026" s="215" t="n"/>
      <c r="N2026" s="215" t="n"/>
      <c r="O2026" s="215" t="n"/>
      <c r="P2026" s="215" t="n"/>
      <c r="Q2026" s="215" t="n"/>
      <c r="R2026" s="215" t="n"/>
      <c r="S2026" s="215" t="n"/>
      <c r="T2026" s="215" t="n"/>
      <c r="U2026" s="215" t="n"/>
      <c r="V2026" s="215" t="n"/>
      <c r="W2026" s="215" t="n"/>
      <c r="X2026" s="215" t="n"/>
      <c r="Y2026" s="215" t="n"/>
      <c r="Z2026" s="215" t="n"/>
      <c r="AA2026" s="215" t="n"/>
      <c r="AB2026" s="215" t="n"/>
      <c r="AC2026" s="215" t="n"/>
      <c r="AD2026" s="215" t="n"/>
      <c r="AE2026" s="215" t="n"/>
      <c r="AF2026" s="215" t="n"/>
      <c r="AG2026" s="215" t="n"/>
      <c r="AH2026" s="215" t="n"/>
      <c r="AI2026" s="215" t="n"/>
      <c r="AJ2026" s="215" t="n"/>
      <c r="AK2026" s="216" t="n"/>
    </row>
    <row r="2027" ht="15" customHeight="1">
      <c r="B2027" s="134" t="n"/>
      <c r="C2027" s="105" t="n"/>
      <c r="D2027" s="105" t="n"/>
      <c r="E2027" s="105" t="n"/>
      <c r="F2027" s="105" t="n"/>
      <c r="G2027" s="105" t="n"/>
      <c r="H2027" s="2" t="n"/>
      <c r="I2027" s="105" t="n"/>
      <c r="K2027" s="215" t="n"/>
      <c r="L2027" s="215" t="n"/>
      <c r="M2027" s="215" t="n"/>
      <c r="N2027" s="215" t="n"/>
      <c r="O2027" s="215" t="n"/>
      <c r="P2027" s="215" t="n"/>
      <c r="Q2027" s="215" t="n"/>
      <c r="R2027" s="215" t="n"/>
      <c r="S2027" s="215" t="n"/>
      <c r="T2027" s="215" t="n"/>
      <c r="U2027" s="215" t="n"/>
      <c r="V2027" s="215" t="n"/>
      <c r="W2027" s="215" t="n"/>
      <c r="X2027" s="215" t="n"/>
      <c r="Y2027" s="215" t="n"/>
      <c r="Z2027" s="215" t="n"/>
      <c r="AA2027" s="215" t="n"/>
      <c r="AB2027" s="215" t="n"/>
      <c r="AC2027" s="215" t="n"/>
      <c r="AD2027" s="215" t="n"/>
      <c r="AE2027" s="215" t="n"/>
      <c r="AF2027" s="215" t="n"/>
      <c r="AG2027" s="215" t="n"/>
      <c r="AH2027" s="215" t="n"/>
      <c r="AI2027" s="215" t="n"/>
      <c r="AJ2027" s="215" t="n"/>
      <c r="AK2027" s="216" t="n"/>
    </row>
    <row r="2028" ht="15" customHeight="1">
      <c r="B2028" s="134" t="n"/>
      <c r="C2028" s="105" t="n"/>
      <c r="D2028" s="105" t="n"/>
      <c r="E2028" s="105" t="n"/>
      <c r="F2028" s="105" t="n"/>
      <c r="G2028" s="105" t="n"/>
      <c r="H2028" s="2" t="n"/>
      <c r="I2028" s="105" t="n"/>
      <c r="K2028" s="215" t="n"/>
      <c r="L2028" s="215" t="n"/>
      <c r="M2028" s="215" t="n"/>
      <c r="N2028" s="215" t="n"/>
      <c r="O2028" s="215" t="n"/>
      <c r="P2028" s="215" t="n"/>
      <c r="Q2028" s="215" t="n"/>
      <c r="R2028" s="215" t="n"/>
      <c r="S2028" s="215" t="n"/>
      <c r="T2028" s="215" t="n"/>
      <c r="U2028" s="215" t="n"/>
      <c r="V2028" s="215" t="n"/>
      <c r="W2028" s="215" t="n"/>
      <c r="X2028" s="215" t="n"/>
      <c r="Y2028" s="215" t="n"/>
      <c r="Z2028" s="215" t="n"/>
      <c r="AA2028" s="215" t="n"/>
      <c r="AB2028" s="215" t="n"/>
      <c r="AC2028" s="215" t="n"/>
      <c r="AD2028" s="215" t="n"/>
      <c r="AE2028" s="215" t="n"/>
      <c r="AF2028" s="215" t="n"/>
      <c r="AG2028" s="215" t="n"/>
      <c r="AH2028" s="215" t="n"/>
      <c r="AI2028" s="215" t="n"/>
      <c r="AJ2028" s="215" t="n"/>
      <c r="AK2028" s="216" t="n"/>
    </row>
    <row r="2029" ht="15" customHeight="1">
      <c r="B2029" s="134" t="n"/>
      <c r="C2029" s="105" t="n"/>
      <c r="D2029" s="105" t="n"/>
      <c r="E2029" s="105" t="n"/>
      <c r="F2029" s="105" t="n"/>
      <c r="G2029" s="105" t="n"/>
      <c r="H2029" s="2" t="n"/>
      <c r="I2029" s="105" t="n"/>
      <c r="K2029" s="215" t="n"/>
      <c r="L2029" s="215" t="n"/>
      <c r="M2029" s="215" t="n"/>
      <c r="N2029" s="215" t="n"/>
      <c r="O2029" s="215" t="n"/>
      <c r="P2029" s="215" t="n"/>
      <c r="Q2029" s="215" t="n"/>
      <c r="R2029" s="215" t="n"/>
      <c r="S2029" s="215" t="n"/>
      <c r="T2029" s="215" t="n"/>
      <c r="U2029" s="215" t="n"/>
      <c r="V2029" s="215" t="n"/>
      <c r="W2029" s="215" t="n"/>
      <c r="X2029" s="215" t="n"/>
      <c r="Y2029" s="215" t="n"/>
      <c r="Z2029" s="215" t="n"/>
      <c r="AA2029" s="215" t="n"/>
      <c r="AB2029" s="215" t="n"/>
      <c r="AC2029" s="215" t="n"/>
      <c r="AD2029" s="215" t="n"/>
      <c r="AE2029" s="215" t="n"/>
      <c r="AF2029" s="215" t="n"/>
      <c r="AG2029" s="215" t="n"/>
      <c r="AH2029" s="215" t="n"/>
      <c r="AI2029" s="215" t="n"/>
      <c r="AJ2029" s="215" t="n"/>
      <c r="AK2029" s="216" t="n"/>
    </row>
    <row r="2030" ht="15" customHeight="1">
      <c r="B2030" s="134" t="n"/>
      <c r="C2030" s="105" t="n"/>
      <c r="D2030" s="105" t="n"/>
      <c r="E2030" s="105" t="n"/>
      <c r="F2030" s="105" t="n"/>
      <c r="G2030" s="105" t="n"/>
      <c r="H2030" s="2" t="n"/>
      <c r="I2030" s="105" t="n"/>
      <c r="K2030" s="215" t="n"/>
      <c r="L2030" s="215" t="n"/>
      <c r="M2030" s="215" t="n"/>
      <c r="N2030" s="215" t="n"/>
      <c r="O2030" s="215" t="n"/>
      <c r="P2030" s="215" t="n"/>
      <c r="Q2030" s="215" t="n"/>
      <c r="R2030" s="215" t="n"/>
      <c r="S2030" s="215" t="n"/>
      <c r="T2030" s="215" t="n"/>
      <c r="U2030" s="215" t="n"/>
      <c r="V2030" s="215" t="n"/>
      <c r="W2030" s="215" t="n"/>
      <c r="X2030" s="215" t="n"/>
      <c r="Y2030" s="215" t="n"/>
      <c r="Z2030" s="215" t="n"/>
      <c r="AA2030" s="215" t="n"/>
      <c r="AB2030" s="215" t="n"/>
      <c r="AC2030" s="215" t="n"/>
      <c r="AD2030" s="215" t="n"/>
      <c r="AE2030" s="215" t="n"/>
      <c r="AF2030" s="215" t="n"/>
      <c r="AG2030" s="215" t="n"/>
      <c r="AH2030" s="215" t="n"/>
      <c r="AI2030" s="215" t="n"/>
      <c r="AJ2030" s="215" t="n"/>
      <c r="AK2030" s="216" t="n"/>
    </row>
    <row r="2031" ht="15" customHeight="1">
      <c r="B2031" s="134" t="n"/>
      <c r="C2031" s="105" t="n"/>
      <c r="D2031" s="105" t="n"/>
      <c r="E2031" s="105" t="n"/>
      <c r="F2031" s="105" t="n"/>
      <c r="G2031" s="105" t="n"/>
      <c r="H2031" s="2" t="n"/>
      <c r="I2031" s="105" t="n"/>
      <c r="K2031" s="215" t="n"/>
      <c r="L2031" s="215" t="n"/>
      <c r="M2031" s="215" t="n"/>
      <c r="N2031" s="215" t="n"/>
      <c r="O2031" s="215" t="n"/>
      <c r="P2031" s="215" t="n"/>
      <c r="Q2031" s="215" t="n"/>
      <c r="R2031" s="215" t="n"/>
      <c r="S2031" s="215" t="n"/>
      <c r="T2031" s="215" t="n"/>
      <c r="U2031" s="215" t="n"/>
      <c r="V2031" s="215" t="n"/>
      <c r="W2031" s="215" t="n"/>
      <c r="X2031" s="215" t="n"/>
      <c r="Y2031" s="215" t="n"/>
      <c r="Z2031" s="215" t="n"/>
      <c r="AA2031" s="215" t="n"/>
      <c r="AB2031" s="215" t="n"/>
      <c r="AC2031" s="215" t="n"/>
      <c r="AD2031" s="215" t="n"/>
      <c r="AE2031" s="215" t="n"/>
      <c r="AF2031" s="215" t="n"/>
      <c r="AG2031" s="215" t="n"/>
      <c r="AH2031" s="215" t="n"/>
      <c r="AI2031" s="215" t="n"/>
      <c r="AJ2031" s="215" t="n"/>
      <c r="AK2031" s="216" t="n"/>
    </row>
    <row r="2032" ht="15" customHeight="1">
      <c r="B2032" s="134" t="n"/>
      <c r="C2032" s="105" t="n"/>
      <c r="D2032" s="105" t="n"/>
      <c r="E2032" s="105" t="n"/>
      <c r="F2032" s="105" t="n"/>
      <c r="G2032" s="105" t="n"/>
      <c r="H2032" s="2" t="n"/>
      <c r="I2032" s="105" t="n"/>
      <c r="K2032" s="215" t="n"/>
      <c r="L2032" s="215" t="n"/>
      <c r="M2032" s="215" t="n"/>
      <c r="N2032" s="215" t="n"/>
      <c r="O2032" s="215" t="n"/>
      <c r="P2032" s="215" t="n"/>
      <c r="Q2032" s="215" t="n"/>
      <c r="R2032" s="215" t="n"/>
      <c r="S2032" s="215" t="n"/>
      <c r="T2032" s="215" t="n"/>
      <c r="U2032" s="215" t="n"/>
      <c r="V2032" s="215" t="n"/>
      <c r="W2032" s="215" t="n"/>
      <c r="X2032" s="215" t="n"/>
      <c r="Y2032" s="215" t="n"/>
      <c r="Z2032" s="215" t="n"/>
      <c r="AA2032" s="215" t="n"/>
      <c r="AB2032" s="215" t="n"/>
      <c r="AC2032" s="215" t="n"/>
      <c r="AD2032" s="215" t="n"/>
      <c r="AE2032" s="215" t="n"/>
      <c r="AF2032" s="215" t="n"/>
      <c r="AG2032" s="215" t="n"/>
      <c r="AH2032" s="215" t="n"/>
      <c r="AI2032" s="215" t="n"/>
      <c r="AJ2032" s="215" t="n"/>
      <c r="AK2032" s="216" t="n"/>
    </row>
    <row r="2033" ht="15" customHeight="1">
      <c r="B2033" s="134" t="n"/>
      <c r="C2033" s="105" t="n"/>
      <c r="D2033" s="105" t="n"/>
      <c r="E2033" s="105" t="n"/>
      <c r="F2033" s="105" t="n"/>
      <c r="G2033" s="105" t="n"/>
      <c r="H2033" s="2" t="n"/>
      <c r="I2033" s="105" t="n"/>
      <c r="K2033" s="215" t="n"/>
      <c r="L2033" s="215" t="n"/>
      <c r="M2033" s="215" t="n"/>
      <c r="N2033" s="215" t="n"/>
      <c r="O2033" s="215" t="n"/>
      <c r="P2033" s="215" t="n"/>
      <c r="Q2033" s="215" t="n"/>
      <c r="R2033" s="215" t="n"/>
      <c r="S2033" s="215" t="n"/>
      <c r="T2033" s="215" t="n"/>
      <c r="U2033" s="215" t="n"/>
      <c r="V2033" s="215" t="n"/>
      <c r="W2033" s="215" t="n"/>
      <c r="X2033" s="215" t="n"/>
      <c r="Y2033" s="215" t="n"/>
      <c r="Z2033" s="215" t="n"/>
      <c r="AA2033" s="215" t="n"/>
      <c r="AB2033" s="215" t="n"/>
      <c r="AC2033" s="215" t="n"/>
      <c r="AD2033" s="215" t="n"/>
      <c r="AE2033" s="215" t="n"/>
      <c r="AF2033" s="215" t="n"/>
      <c r="AG2033" s="215" t="n"/>
      <c r="AH2033" s="215" t="n"/>
      <c r="AI2033" s="215" t="n"/>
      <c r="AJ2033" s="215" t="n"/>
      <c r="AK2033" s="216" t="n"/>
    </row>
    <row r="2034" ht="15" customHeight="1">
      <c r="B2034" s="134" t="n"/>
      <c r="C2034" s="105" t="n"/>
      <c r="D2034" s="105" t="n"/>
      <c r="E2034" s="105" t="n"/>
      <c r="F2034" s="105" t="n"/>
      <c r="G2034" s="105" t="n"/>
      <c r="H2034" s="2" t="n"/>
      <c r="I2034" s="105" t="n"/>
      <c r="K2034" s="215" t="n"/>
      <c r="L2034" s="215" t="n"/>
      <c r="M2034" s="215" t="n"/>
      <c r="N2034" s="215" t="n"/>
      <c r="O2034" s="215" t="n"/>
      <c r="P2034" s="215" t="n"/>
      <c r="Q2034" s="215" t="n"/>
      <c r="R2034" s="215" t="n"/>
      <c r="S2034" s="215" t="n"/>
      <c r="T2034" s="215" t="n"/>
      <c r="U2034" s="215" t="n"/>
      <c r="V2034" s="215" t="n"/>
      <c r="W2034" s="215" t="n"/>
      <c r="X2034" s="215" t="n"/>
      <c r="Y2034" s="215" t="n"/>
      <c r="Z2034" s="215" t="n"/>
      <c r="AA2034" s="215" t="n"/>
      <c r="AB2034" s="215" t="n"/>
      <c r="AC2034" s="215" t="n"/>
      <c r="AD2034" s="215" t="n"/>
      <c r="AE2034" s="215" t="n"/>
      <c r="AF2034" s="215" t="n"/>
      <c r="AG2034" s="215" t="n"/>
      <c r="AH2034" s="215" t="n"/>
      <c r="AI2034" s="215" t="n"/>
      <c r="AJ2034" s="215" t="n"/>
      <c r="AK2034" s="216" t="n"/>
    </row>
    <row r="2035" ht="15" customHeight="1">
      <c r="B2035" s="134" t="n"/>
      <c r="C2035" s="105" t="n"/>
      <c r="D2035" s="105" t="n"/>
      <c r="E2035" s="105" t="n"/>
      <c r="F2035" s="105" t="n"/>
      <c r="G2035" s="105" t="n"/>
      <c r="H2035" s="2" t="n"/>
      <c r="I2035" s="105" t="n"/>
      <c r="K2035" s="215" t="n"/>
      <c r="L2035" s="215" t="n"/>
      <c r="M2035" s="215" t="n"/>
      <c r="N2035" s="215" t="n"/>
      <c r="O2035" s="215" t="n"/>
      <c r="P2035" s="215" t="n"/>
      <c r="Q2035" s="215" t="n"/>
      <c r="R2035" s="215" t="n"/>
      <c r="S2035" s="215" t="n"/>
      <c r="T2035" s="215" t="n"/>
      <c r="U2035" s="215" t="n"/>
      <c r="V2035" s="215" t="n"/>
      <c r="W2035" s="215" t="n"/>
      <c r="X2035" s="215" t="n"/>
      <c r="Y2035" s="215" t="n"/>
      <c r="Z2035" s="215" t="n"/>
      <c r="AA2035" s="215" t="n"/>
      <c r="AB2035" s="215" t="n"/>
      <c r="AC2035" s="215" t="n"/>
      <c r="AD2035" s="215" t="n"/>
      <c r="AE2035" s="215" t="n"/>
      <c r="AF2035" s="215" t="n"/>
      <c r="AG2035" s="215" t="n"/>
      <c r="AH2035" s="215" t="n"/>
      <c r="AI2035" s="215" t="n"/>
      <c r="AJ2035" s="215" t="n"/>
      <c r="AK2035" s="216" t="n"/>
    </row>
    <row r="2036" ht="15" customHeight="1">
      <c r="B2036" s="134" t="n"/>
      <c r="C2036" s="105" t="n"/>
      <c r="D2036" s="105" t="n"/>
      <c r="E2036" s="105" t="n"/>
      <c r="F2036" s="105" t="n"/>
      <c r="G2036" s="105" t="n"/>
      <c r="H2036" s="2" t="n"/>
      <c r="I2036" s="105" t="n"/>
      <c r="K2036" s="215" t="n"/>
      <c r="L2036" s="215" t="n"/>
      <c r="M2036" s="215" t="n"/>
      <c r="N2036" s="215" t="n"/>
      <c r="O2036" s="215" t="n"/>
      <c r="P2036" s="215" t="n"/>
      <c r="Q2036" s="215" t="n"/>
      <c r="R2036" s="215" t="n"/>
      <c r="S2036" s="215" t="n"/>
      <c r="T2036" s="215" t="n"/>
      <c r="U2036" s="215" t="n"/>
      <c r="V2036" s="215" t="n"/>
      <c r="W2036" s="215" t="n"/>
      <c r="X2036" s="215" t="n"/>
      <c r="Y2036" s="215" t="n"/>
      <c r="Z2036" s="215" t="n"/>
      <c r="AA2036" s="215" t="n"/>
      <c r="AB2036" s="215" t="n"/>
      <c r="AC2036" s="215" t="n"/>
      <c r="AD2036" s="215" t="n"/>
      <c r="AE2036" s="215" t="n"/>
      <c r="AF2036" s="215" t="n"/>
      <c r="AG2036" s="215" t="n"/>
      <c r="AH2036" s="215" t="n"/>
      <c r="AI2036" s="215" t="n"/>
      <c r="AJ2036" s="215" t="n"/>
      <c r="AK2036" s="216" t="n"/>
    </row>
    <row r="2037" ht="15" customHeight="1">
      <c r="B2037" s="134" t="n"/>
      <c r="C2037" s="105" t="n"/>
      <c r="D2037" s="105" t="n"/>
      <c r="E2037" s="105" t="n"/>
      <c r="F2037" s="105" t="n"/>
      <c r="G2037" s="105" t="n"/>
      <c r="H2037" s="2" t="n"/>
      <c r="I2037" s="105" t="n"/>
      <c r="K2037" s="215" t="n"/>
      <c r="L2037" s="215" t="n"/>
      <c r="M2037" s="215" t="n"/>
      <c r="N2037" s="215" t="n"/>
      <c r="O2037" s="215" t="n"/>
      <c r="P2037" s="215" t="n"/>
      <c r="Q2037" s="215" t="n"/>
      <c r="R2037" s="215" t="n"/>
      <c r="S2037" s="215" t="n"/>
      <c r="T2037" s="215" t="n"/>
      <c r="U2037" s="215" t="n"/>
      <c r="V2037" s="215" t="n"/>
      <c r="W2037" s="215" t="n"/>
      <c r="X2037" s="215" t="n"/>
      <c r="Y2037" s="215" t="n"/>
      <c r="Z2037" s="215" t="n"/>
      <c r="AA2037" s="215" t="n"/>
      <c r="AB2037" s="215" t="n"/>
      <c r="AC2037" s="215" t="n"/>
      <c r="AD2037" s="215" t="n"/>
      <c r="AE2037" s="215" t="n"/>
      <c r="AF2037" s="215" t="n"/>
      <c r="AG2037" s="215" t="n"/>
      <c r="AH2037" s="215" t="n"/>
      <c r="AI2037" s="215" t="n"/>
      <c r="AJ2037" s="215" t="n"/>
      <c r="AK2037" s="216" t="n"/>
    </row>
    <row r="2038" ht="15" customHeight="1">
      <c r="B2038" s="134" t="n"/>
      <c r="C2038" s="105" t="n"/>
      <c r="D2038" s="105" t="n"/>
      <c r="E2038" s="105" t="n"/>
      <c r="F2038" s="105" t="n"/>
      <c r="G2038" s="105" t="n"/>
      <c r="H2038" s="2" t="n"/>
      <c r="I2038" s="105" t="n"/>
      <c r="K2038" s="215" t="n"/>
      <c r="L2038" s="215" t="n"/>
      <c r="M2038" s="215" t="n"/>
      <c r="N2038" s="215" t="n"/>
      <c r="O2038" s="215" t="n"/>
      <c r="P2038" s="215" t="n"/>
      <c r="Q2038" s="215" t="n"/>
      <c r="R2038" s="215" t="n"/>
      <c r="S2038" s="215" t="n"/>
      <c r="T2038" s="215" t="n"/>
      <c r="U2038" s="215" t="n"/>
      <c r="V2038" s="215" t="n"/>
      <c r="W2038" s="215" t="n"/>
      <c r="X2038" s="215" t="n"/>
      <c r="Y2038" s="215" t="n"/>
      <c r="Z2038" s="215" t="n"/>
      <c r="AA2038" s="215" t="n"/>
      <c r="AB2038" s="215" t="n"/>
      <c r="AC2038" s="215" t="n"/>
      <c r="AD2038" s="215" t="n"/>
      <c r="AE2038" s="215" t="n"/>
      <c r="AF2038" s="215" t="n"/>
      <c r="AG2038" s="215" t="n"/>
      <c r="AH2038" s="215" t="n"/>
      <c r="AI2038" s="215" t="n"/>
      <c r="AJ2038" s="215" t="n"/>
      <c r="AK2038" s="216" t="n"/>
    </row>
    <row r="2039" ht="15" customHeight="1">
      <c r="B2039" s="134" t="n"/>
      <c r="C2039" s="105" t="n"/>
      <c r="D2039" s="105" t="n"/>
      <c r="E2039" s="105" t="n"/>
      <c r="F2039" s="105" t="n"/>
      <c r="G2039" s="105" t="n"/>
      <c r="H2039" s="2" t="n"/>
      <c r="I2039" s="105" t="n"/>
      <c r="K2039" s="215" t="n"/>
      <c r="L2039" s="215" t="n"/>
      <c r="M2039" s="215" t="n"/>
      <c r="N2039" s="215" t="n"/>
      <c r="O2039" s="215" t="n"/>
      <c r="P2039" s="215" t="n"/>
      <c r="Q2039" s="215" t="n"/>
      <c r="R2039" s="215" t="n"/>
      <c r="S2039" s="215" t="n"/>
      <c r="T2039" s="215" t="n"/>
      <c r="U2039" s="215" t="n"/>
      <c r="V2039" s="215" t="n"/>
      <c r="W2039" s="215" t="n"/>
      <c r="X2039" s="215" t="n"/>
      <c r="Y2039" s="215" t="n"/>
      <c r="Z2039" s="215" t="n"/>
      <c r="AA2039" s="215" t="n"/>
      <c r="AB2039" s="215" t="n"/>
      <c r="AC2039" s="215" t="n"/>
      <c r="AD2039" s="215" t="n"/>
      <c r="AE2039" s="215" t="n"/>
      <c r="AF2039" s="215" t="n"/>
      <c r="AG2039" s="215" t="n"/>
      <c r="AH2039" s="215" t="n"/>
      <c r="AI2039" s="215" t="n"/>
      <c r="AJ2039" s="215" t="n"/>
      <c r="AK2039" s="216" t="n"/>
    </row>
    <row r="2040" ht="15" customHeight="1">
      <c r="B2040" s="134" t="n"/>
      <c r="C2040" s="105" t="n"/>
      <c r="D2040" s="105" t="n"/>
      <c r="E2040" s="105" t="n"/>
      <c r="F2040" s="105" t="n"/>
      <c r="G2040" s="105" t="n"/>
      <c r="H2040" s="2" t="n"/>
      <c r="I2040" s="105" t="n"/>
      <c r="K2040" s="215" t="n"/>
      <c r="L2040" s="215" t="n"/>
      <c r="M2040" s="215" t="n"/>
      <c r="N2040" s="215" t="n"/>
      <c r="O2040" s="215" t="n"/>
      <c r="P2040" s="215" t="n"/>
      <c r="Q2040" s="215" t="n"/>
      <c r="R2040" s="215" t="n"/>
      <c r="S2040" s="215" t="n"/>
      <c r="T2040" s="215" t="n"/>
      <c r="U2040" s="215" t="n"/>
      <c r="V2040" s="215" t="n"/>
      <c r="W2040" s="215" t="n"/>
      <c r="X2040" s="215" t="n"/>
      <c r="Y2040" s="215" t="n"/>
      <c r="Z2040" s="215" t="n"/>
      <c r="AA2040" s="215" t="n"/>
      <c r="AB2040" s="215" t="n"/>
      <c r="AC2040" s="215" t="n"/>
      <c r="AD2040" s="215" t="n"/>
      <c r="AE2040" s="215" t="n"/>
      <c r="AF2040" s="215" t="n"/>
      <c r="AG2040" s="215" t="n"/>
      <c r="AH2040" s="215" t="n"/>
      <c r="AI2040" s="215" t="n"/>
      <c r="AJ2040" s="215" t="n"/>
      <c r="AK2040" s="216" t="n"/>
    </row>
    <row r="2041" ht="15" customHeight="1">
      <c r="B2041" s="134" t="n"/>
      <c r="C2041" s="105" t="n"/>
      <c r="D2041" s="105" t="n"/>
      <c r="E2041" s="105" t="n"/>
      <c r="F2041" s="105" t="n"/>
      <c r="G2041" s="105" t="n"/>
      <c r="H2041" s="2" t="n"/>
      <c r="I2041" s="105" t="n"/>
      <c r="K2041" s="215" t="n"/>
      <c r="L2041" s="215" t="n"/>
      <c r="M2041" s="215" t="n"/>
      <c r="N2041" s="215" t="n"/>
      <c r="O2041" s="215" t="n"/>
      <c r="P2041" s="215" t="n"/>
      <c r="Q2041" s="215" t="n"/>
      <c r="R2041" s="215" t="n"/>
      <c r="S2041" s="215" t="n"/>
      <c r="T2041" s="215" t="n"/>
      <c r="U2041" s="215" t="n"/>
      <c r="V2041" s="215" t="n"/>
      <c r="W2041" s="215" t="n"/>
      <c r="X2041" s="215" t="n"/>
      <c r="Y2041" s="215" t="n"/>
      <c r="Z2041" s="215" t="n"/>
      <c r="AA2041" s="215" t="n"/>
      <c r="AB2041" s="215" t="n"/>
      <c r="AC2041" s="215" t="n"/>
      <c r="AD2041" s="215" t="n"/>
      <c r="AE2041" s="215" t="n"/>
      <c r="AF2041" s="215" t="n"/>
      <c r="AG2041" s="215" t="n"/>
      <c r="AH2041" s="215" t="n"/>
      <c r="AI2041" s="215" t="n"/>
      <c r="AJ2041" s="215" t="n"/>
      <c r="AK2041" s="216" t="n"/>
    </row>
    <row r="2042" ht="15" customHeight="1">
      <c r="B2042" s="134" t="n"/>
      <c r="C2042" s="105" t="n"/>
      <c r="D2042" s="105" t="n"/>
      <c r="E2042" s="105" t="n"/>
      <c r="F2042" s="105" t="n"/>
      <c r="G2042" s="105" t="n"/>
      <c r="H2042" s="2" t="n"/>
      <c r="I2042" s="105" t="n"/>
      <c r="K2042" s="215" t="n"/>
      <c r="L2042" s="215" t="n"/>
      <c r="M2042" s="215" t="n"/>
      <c r="N2042" s="215" t="n"/>
      <c r="O2042" s="215" t="n"/>
      <c r="P2042" s="215" t="n"/>
      <c r="Q2042" s="215" t="n"/>
      <c r="R2042" s="215" t="n"/>
      <c r="S2042" s="215" t="n"/>
      <c r="T2042" s="215" t="n"/>
      <c r="U2042" s="215" t="n"/>
      <c r="V2042" s="215" t="n"/>
      <c r="W2042" s="215" t="n"/>
      <c r="X2042" s="215" t="n"/>
      <c r="Y2042" s="215" t="n"/>
      <c r="Z2042" s="215" t="n"/>
      <c r="AA2042" s="215" t="n"/>
      <c r="AB2042" s="215" t="n"/>
      <c r="AC2042" s="215" t="n"/>
      <c r="AD2042" s="215" t="n"/>
      <c r="AE2042" s="215" t="n"/>
      <c r="AF2042" s="215" t="n"/>
      <c r="AG2042" s="215" t="n"/>
      <c r="AH2042" s="215" t="n"/>
      <c r="AI2042" s="215" t="n"/>
      <c r="AJ2042" s="215" t="n"/>
      <c r="AK2042" s="216" t="n"/>
    </row>
    <row r="2043" ht="15" customHeight="1">
      <c r="B2043" s="134" t="n"/>
      <c r="C2043" s="105" t="n"/>
      <c r="D2043" s="105" t="n"/>
      <c r="E2043" s="105" t="n"/>
      <c r="F2043" s="105" t="n"/>
      <c r="G2043" s="105" t="n"/>
      <c r="H2043" s="2" t="n"/>
      <c r="I2043" s="105" t="n"/>
      <c r="K2043" s="215" t="n"/>
      <c r="L2043" s="215" t="n"/>
      <c r="M2043" s="215" t="n"/>
      <c r="N2043" s="215" t="n"/>
      <c r="O2043" s="215" t="n"/>
      <c r="P2043" s="215" t="n"/>
      <c r="Q2043" s="215" t="n"/>
      <c r="R2043" s="215" t="n"/>
      <c r="S2043" s="215" t="n"/>
      <c r="T2043" s="215" t="n"/>
      <c r="U2043" s="215" t="n"/>
      <c r="V2043" s="215" t="n"/>
      <c r="W2043" s="215" t="n"/>
      <c r="X2043" s="215" t="n"/>
      <c r="Y2043" s="215" t="n"/>
      <c r="Z2043" s="215" t="n"/>
      <c r="AA2043" s="215" t="n"/>
      <c r="AB2043" s="215" t="n"/>
      <c r="AC2043" s="215" t="n"/>
      <c r="AD2043" s="215" t="n"/>
      <c r="AE2043" s="215" t="n"/>
      <c r="AF2043" s="215" t="n"/>
      <c r="AG2043" s="215" t="n"/>
      <c r="AH2043" s="215" t="n"/>
      <c r="AI2043" s="215" t="n"/>
      <c r="AJ2043" s="215" t="n"/>
      <c r="AK2043" s="216" t="n"/>
    </row>
    <row r="2044" ht="15" customHeight="1">
      <c r="B2044" s="134" t="n"/>
      <c r="C2044" s="105" t="n"/>
      <c r="D2044" s="105" t="n"/>
      <c r="E2044" s="105" t="n"/>
      <c r="F2044" s="105" t="n"/>
      <c r="G2044" s="105" t="n"/>
      <c r="H2044" s="2" t="n"/>
      <c r="I2044" s="105" t="n"/>
      <c r="K2044" s="215" t="n"/>
      <c r="L2044" s="215" t="n"/>
      <c r="M2044" s="215" t="n"/>
      <c r="N2044" s="215" t="n"/>
      <c r="O2044" s="215" t="n"/>
      <c r="P2044" s="215" t="n"/>
      <c r="Q2044" s="215" t="n"/>
      <c r="R2044" s="215" t="n"/>
      <c r="S2044" s="215" t="n"/>
      <c r="T2044" s="215" t="n"/>
      <c r="U2044" s="215" t="n"/>
      <c r="V2044" s="215" t="n"/>
      <c r="W2044" s="215" t="n"/>
      <c r="X2044" s="215" t="n"/>
      <c r="Y2044" s="215" t="n"/>
      <c r="Z2044" s="215" t="n"/>
      <c r="AA2044" s="215" t="n"/>
      <c r="AB2044" s="215" t="n"/>
      <c r="AC2044" s="215" t="n"/>
      <c r="AD2044" s="215" t="n"/>
      <c r="AE2044" s="215" t="n"/>
      <c r="AF2044" s="215" t="n"/>
      <c r="AG2044" s="215" t="n"/>
      <c r="AH2044" s="215" t="n"/>
      <c r="AI2044" s="215" t="n"/>
      <c r="AJ2044" s="215" t="n"/>
      <c r="AK2044" s="216" t="n"/>
    </row>
    <row r="2045" ht="15" customHeight="1">
      <c r="B2045" s="134" t="n"/>
      <c r="C2045" s="105" t="n"/>
      <c r="D2045" s="105" t="n"/>
      <c r="E2045" s="105" t="n"/>
      <c r="F2045" s="105" t="n"/>
      <c r="G2045" s="105" t="n"/>
      <c r="H2045" s="2" t="n"/>
      <c r="I2045" s="105" t="n"/>
      <c r="K2045" s="215" t="n"/>
      <c r="L2045" s="215" t="n"/>
      <c r="M2045" s="215" t="n"/>
      <c r="N2045" s="215" t="n"/>
      <c r="O2045" s="215" t="n"/>
      <c r="P2045" s="215" t="n"/>
      <c r="Q2045" s="215" t="n"/>
      <c r="R2045" s="215" t="n"/>
      <c r="S2045" s="215" t="n"/>
      <c r="T2045" s="215" t="n"/>
      <c r="U2045" s="215" t="n"/>
      <c r="V2045" s="215" t="n"/>
      <c r="W2045" s="215" t="n"/>
      <c r="X2045" s="215" t="n"/>
      <c r="Y2045" s="215" t="n"/>
      <c r="Z2045" s="215" t="n"/>
      <c r="AA2045" s="215" t="n"/>
      <c r="AB2045" s="215" t="n"/>
      <c r="AC2045" s="215" t="n"/>
      <c r="AD2045" s="215" t="n"/>
      <c r="AE2045" s="215" t="n"/>
      <c r="AF2045" s="215" t="n"/>
      <c r="AG2045" s="215" t="n"/>
      <c r="AH2045" s="215" t="n"/>
      <c r="AI2045" s="215" t="n"/>
      <c r="AJ2045" s="215" t="n"/>
      <c r="AK2045" s="216" t="n"/>
    </row>
    <row r="2046" ht="15" customHeight="1">
      <c r="B2046" s="134" t="n"/>
      <c r="C2046" s="105" t="n"/>
      <c r="D2046" s="105" t="n"/>
      <c r="E2046" s="105" t="n"/>
      <c r="F2046" s="105" t="n"/>
      <c r="G2046" s="105" t="n"/>
      <c r="H2046" s="2" t="n"/>
      <c r="I2046" s="105" t="n"/>
      <c r="K2046" s="215" t="n"/>
      <c r="L2046" s="215" t="n"/>
      <c r="M2046" s="215" t="n"/>
      <c r="N2046" s="215" t="n"/>
      <c r="O2046" s="215" t="n"/>
      <c r="P2046" s="215" t="n"/>
      <c r="Q2046" s="215" t="n"/>
      <c r="R2046" s="215" t="n"/>
      <c r="S2046" s="215" t="n"/>
      <c r="T2046" s="215" t="n"/>
      <c r="U2046" s="215" t="n"/>
      <c r="V2046" s="215" t="n"/>
      <c r="W2046" s="215" t="n"/>
      <c r="X2046" s="215" t="n"/>
      <c r="Y2046" s="215" t="n"/>
      <c r="Z2046" s="215" t="n"/>
      <c r="AA2046" s="215" t="n"/>
      <c r="AB2046" s="215" t="n"/>
      <c r="AC2046" s="215" t="n"/>
      <c r="AD2046" s="215" t="n"/>
      <c r="AE2046" s="215" t="n"/>
      <c r="AF2046" s="215" t="n"/>
      <c r="AG2046" s="215" t="n"/>
      <c r="AH2046" s="215" t="n"/>
      <c r="AI2046" s="215" t="n"/>
      <c r="AJ2046" s="215" t="n"/>
      <c r="AK2046" s="216" t="n"/>
    </row>
    <row r="2047" ht="15" customHeight="1">
      <c r="B2047" s="134" t="n"/>
      <c r="C2047" s="105" t="n"/>
      <c r="D2047" s="105" t="n"/>
      <c r="E2047" s="105" t="n"/>
      <c r="F2047" s="105" t="n"/>
      <c r="G2047" s="105" t="n"/>
      <c r="H2047" s="2" t="n"/>
      <c r="I2047" s="105" t="n"/>
      <c r="K2047" s="215" t="n"/>
      <c r="L2047" s="215" t="n"/>
      <c r="M2047" s="215" t="n"/>
      <c r="N2047" s="215" t="n"/>
      <c r="O2047" s="215" t="n"/>
      <c r="P2047" s="215" t="n"/>
      <c r="Q2047" s="215" t="n"/>
      <c r="R2047" s="215" t="n"/>
      <c r="S2047" s="215" t="n"/>
      <c r="T2047" s="215" t="n"/>
      <c r="U2047" s="215" t="n"/>
      <c r="V2047" s="215" t="n"/>
      <c r="W2047" s="215" t="n"/>
      <c r="X2047" s="215" t="n"/>
      <c r="Y2047" s="215" t="n"/>
      <c r="Z2047" s="215" t="n"/>
      <c r="AA2047" s="215" t="n"/>
      <c r="AB2047" s="215" t="n"/>
      <c r="AC2047" s="215" t="n"/>
      <c r="AD2047" s="215" t="n"/>
      <c r="AE2047" s="215" t="n"/>
      <c r="AF2047" s="215" t="n"/>
      <c r="AG2047" s="215" t="n"/>
      <c r="AH2047" s="215" t="n"/>
      <c r="AI2047" s="215" t="n"/>
      <c r="AJ2047" s="215" t="n"/>
      <c r="AK2047" s="216" t="n"/>
    </row>
    <row r="2048" ht="15" customHeight="1">
      <c r="B2048" s="134" t="n"/>
      <c r="C2048" s="105" t="n"/>
      <c r="D2048" s="105" t="n"/>
      <c r="E2048" s="105" t="n"/>
      <c r="F2048" s="105" t="n"/>
      <c r="G2048" s="105" t="n"/>
      <c r="H2048" s="2" t="n"/>
      <c r="I2048" s="105" t="n"/>
      <c r="K2048" s="215" t="n"/>
      <c r="L2048" s="215" t="n"/>
      <c r="M2048" s="215" t="n"/>
      <c r="N2048" s="215" t="n"/>
      <c r="O2048" s="215" t="n"/>
      <c r="P2048" s="215" t="n"/>
      <c r="Q2048" s="215" t="n"/>
      <c r="R2048" s="215" t="n"/>
      <c r="S2048" s="215" t="n"/>
      <c r="T2048" s="215" t="n"/>
      <c r="U2048" s="215" t="n"/>
      <c r="V2048" s="215" t="n"/>
      <c r="W2048" s="215" t="n"/>
      <c r="X2048" s="215" t="n"/>
      <c r="Y2048" s="215" t="n"/>
      <c r="Z2048" s="215" t="n"/>
      <c r="AA2048" s="215" t="n"/>
      <c r="AB2048" s="215" t="n"/>
      <c r="AC2048" s="215" t="n"/>
      <c r="AD2048" s="215" t="n"/>
      <c r="AE2048" s="215" t="n"/>
      <c r="AF2048" s="215" t="n"/>
      <c r="AG2048" s="215" t="n"/>
      <c r="AH2048" s="215" t="n"/>
      <c r="AI2048" s="215" t="n"/>
      <c r="AJ2048" s="215" t="n"/>
      <c r="AK2048" s="216" t="n"/>
    </row>
    <row r="2049" ht="15" customHeight="1">
      <c r="B2049" s="134" t="n"/>
      <c r="C2049" s="105" t="n"/>
      <c r="D2049" s="105" t="n"/>
      <c r="E2049" s="105" t="n"/>
      <c r="F2049" s="105" t="n"/>
      <c r="G2049" s="105" t="n"/>
      <c r="H2049" s="2" t="n"/>
      <c r="I2049" s="105" t="n"/>
      <c r="K2049" s="215" t="n"/>
      <c r="L2049" s="215" t="n"/>
      <c r="M2049" s="215" t="n"/>
      <c r="N2049" s="215" t="n"/>
      <c r="O2049" s="215" t="n"/>
      <c r="P2049" s="215" t="n"/>
      <c r="Q2049" s="215" t="n"/>
      <c r="R2049" s="215" t="n"/>
      <c r="S2049" s="215" t="n"/>
      <c r="T2049" s="215" t="n"/>
      <c r="U2049" s="215" t="n"/>
      <c r="V2049" s="215" t="n"/>
      <c r="W2049" s="215" t="n"/>
      <c r="X2049" s="215" t="n"/>
      <c r="Y2049" s="215" t="n"/>
      <c r="Z2049" s="215" t="n"/>
      <c r="AA2049" s="215" t="n"/>
      <c r="AB2049" s="215" t="n"/>
      <c r="AC2049" s="215" t="n"/>
      <c r="AD2049" s="215" t="n"/>
      <c r="AE2049" s="215" t="n"/>
      <c r="AF2049" s="215" t="n"/>
      <c r="AG2049" s="215" t="n"/>
      <c r="AH2049" s="215" t="n"/>
      <c r="AI2049" s="215" t="n"/>
      <c r="AJ2049" s="215" t="n"/>
      <c r="AK2049" s="216" t="n"/>
    </row>
    <row r="2050" ht="15" customHeight="1">
      <c r="B2050" s="134" t="n"/>
      <c r="C2050" s="105" t="n"/>
      <c r="D2050" s="105" t="n"/>
      <c r="E2050" s="105" t="n"/>
      <c r="F2050" s="105" t="n"/>
      <c r="G2050" s="105" t="n"/>
      <c r="H2050" s="2" t="n"/>
      <c r="I2050" s="105" t="n"/>
      <c r="K2050" s="215" t="n"/>
      <c r="L2050" s="215" t="n"/>
      <c r="M2050" s="215" t="n"/>
      <c r="N2050" s="215" t="n"/>
      <c r="O2050" s="215" t="n"/>
      <c r="P2050" s="215" t="n"/>
      <c r="Q2050" s="215" t="n"/>
      <c r="R2050" s="215" t="n"/>
      <c r="S2050" s="215" t="n"/>
      <c r="T2050" s="215" t="n"/>
      <c r="U2050" s="215" t="n"/>
      <c r="V2050" s="215" t="n"/>
      <c r="W2050" s="215" t="n"/>
      <c r="X2050" s="215" t="n"/>
      <c r="Y2050" s="215" t="n"/>
      <c r="Z2050" s="215" t="n"/>
      <c r="AA2050" s="215" t="n"/>
      <c r="AB2050" s="215" t="n"/>
      <c r="AC2050" s="215" t="n"/>
      <c r="AD2050" s="215" t="n"/>
      <c r="AE2050" s="215" t="n"/>
      <c r="AF2050" s="215" t="n"/>
      <c r="AG2050" s="215" t="n"/>
      <c r="AH2050" s="215" t="n"/>
      <c r="AI2050" s="215" t="n"/>
      <c r="AJ2050" s="215" t="n"/>
      <c r="AK2050" s="216" t="n"/>
    </row>
    <row r="2051" ht="15" customHeight="1">
      <c r="B2051" s="134" t="n"/>
      <c r="C2051" s="105" t="n"/>
      <c r="D2051" s="105" t="n"/>
      <c r="E2051" s="105" t="n"/>
      <c r="F2051" s="105" t="n"/>
      <c r="G2051" s="105" t="n"/>
      <c r="H2051" s="2" t="n"/>
      <c r="I2051" s="105" t="n"/>
      <c r="K2051" s="215" t="n"/>
      <c r="L2051" s="215" t="n"/>
      <c r="M2051" s="215" t="n"/>
      <c r="N2051" s="215" t="n"/>
      <c r="O2051" s="215" t="n"/>
      <c r="P2051" s="215" t="n"/>
      <c r="Q2051" s="215" t="n"/>
      <c r="R2051" s="215" t="n"/>
      <c r="S2051" s="215" t="n"/>
      <c r="T2051" s="215" t="n"/>
      <c r="U2051" s="215" t="n"/>
      <c r="V2051" s="215" t="n"/>
      <c r="W2051" s="215" t="n"/>
      <c r="X2051" s="215" t="n"/>
      <c r="Y2051" s="215" t="n"/>
      <c r="Z2051" s="215" t="n"/>
      <c r="AA2051" s="215" t="n"/>
      <c r="AB2051" s="215" t="n"/>
      <c r="AC2051" s="215" t="n"/>
      <c r="AD2051" s="215" t="n"/>
      <c r="AE2051" s="215" t="n"/>
      <c r="AF2051" s="215" t="n"/>
      <c r="AG2051" s="215" t="n"/>
      <c r="AH2051" s="215" t="n"/>
      <c r="AI2051" s="215" t="n"/>
      <c r="AJ2051" s="215" t="n"/>
      <c r="AK2051" s="216" t="n"/>
    </row>
    <row r="2052" ht="15" customHeight="1">
      <c r="B2052" s="134" t="n"/>
      <c r="C2052" s="105" t="n"/>
      <c r="D2052" s="105" t="n"/>
      <c r="E2052" s="105" t="n"/>
      <c r="F2052" s="105" t="n"/>
      <c r="G2052" s="105" t="n"/>
      <c r="H2052" s="2" t="n"/>
      <c r="I2052" s="105" t="n"/>
      <c r="K2052" s="215" t="n"/>
      <c r="L2052" s="215" t="n"/>
      <c r="M2052" s="215" t="n"/>
      <c r="N2052" s="215" t="n"/>
      <c r="O2052" s="215" t="n"/>
      <c r="P2052" s="215" t="n"/>
      <c r="Q2052" s="215" t="n"/>
      <c r="R2052" s="215" t="n"/>
      <c r="S2052" s="215" t="n"/>
      <c r="T2052" s="215" t="n"/>
      <c r="U2052" s="215" t="n"/>
      <c r="V2052" s="215" t="n"/>
      <c r="W2052" s="215" t="n"/>
      <c r="X2052" s="215" t="n"/>
      <c r="Y2052" s="215" t="n"/>
      <c r="Z2052" s="215" t="n"/>
      <c r="AA2052" s="215" t="n"/>
      <c r="AB2052" s="215" t="n"/>
      <c r="AC2052" s="215" t="n"/>
      <c r="AD2052" s="215" t="n"/>
      <c r="AE2052" s="215" t="n"/>
      <c r="AF2052" s="215" t="n"/>
      <c r="AG2052" s="215" t="n"/>
      <c r="AH2052" s="215" t="n"/>
      <c r="AI2052" s="215" t="n"/>
      <c r="AJ2052" s="215" t="n"/>
      <c r="AK2052" s="216" t="n"/>
    </row>
    <row r="2053" ht="15" customHeight="1">
      <c r="B2053" s="134" t="n"/>
      <c r="C2053" s="105" t="n"/>
      <c r="D2053" s="105" t="n"/>
      <c r="E2053" s="105" t="n"/>
      <c r="F2053" s="105" t="n"/>
      <c r="G2053" s="105" t="n"/>
      <c r="H2053" s="2" t="n"/>
      <c r="I2053" s="105" t="n"/>
      <c r="K2053" s="215" t="n"/>
      <c r="L2053" s="215" t="n"/>
      <c r="M2053" s="215" t="n"/>
      <c r="N2053" s="215" t="n"/>
      <c r="O2053" s="215" t="n"/>
      <c r="P2053" s="215" t="n"/>
      <c r="Q2053" s="215" t="n"/>
      <c r="R2053" s="215" t="n"/>
      <c r="S2053" s="215" t="n"/>
      <c r="T2053" s="215" t="n"/>
      <c r="U2053" s="215" t="n"/>
      <c r="V2053" s="215" t="n"/>
      <c r="W2053" s="215" t="n"/>
      <c r="X2053" s="215" t="n"/>
      <c r="Y2053" s="215" t="n"/>
      <c r="Z2053" s="215" t="n"/>
      <c r="AA2053" s="215" t="n"/>
      <c r="AB2053" s="215" t="n"/>
      <c r="AC2053" s="215" t="n"/>
      <c r="AD2053" s="215" t="n"/>
      <c r="AE2053" s="215" t="n"/>
      <c r="AF2053" s="215" t="n"/>
      <c r="AG2053" s="215" t="n"/>
      <c r="AH2053" s="215" t="n"/>
      <c r="AI2053" s="215" t="n"/>
      <c r="AJ2053" s="215" t="n"/>
      <c r="AK2053" s="216" t="n"/>
    </row>
    <row r="2054" ht="15" customHeight="1">
      <c r="B2054" s="134" t="n"/>
      <c r="C2054" s="105" t="n"/>
      <c r="D2054" s="105" t="n"/>
      <c r="E2054" s="105" t="n"/>
      <c r="F2054" s="105" t="n"/>
      <c r="G2054" s="105" t="n"/>
      <c r="H2054" s="2" t="n"/>
      <c r="I2054" s="105" t="n"/>
      <c r="K2054" s="215" t="n"/>
      <c r="L2054" s="215" t="n"/>
      <c r="M2054" s="215" t="n"/>
      <c r="N2054" s="215" t="n"/>
      <c r="O2054" s="215" t="n"/>
      <c r="P2054" s="215" t="n"/>
      <c r="Q2054" s="215" t="n"/>
      <c r="R2054" s="215" t="n"/>
      <c r="S2054" s="215" t="n"/>
      <c r="T2054" s="215" t="n"/>
      <c r="U2054" s="215" t="n"/>
      <c r="V2054" s="215" t="n"/>
      <c r="W2054" s="215" t="n"/>
      <c r="X2054" s="215" t="n"/>
      <c r="Y2054" s="215" t="n"/>
      <c r="Z2054" s="215" t="n"/>
      <c r="AA2054" s="215" t="n"/>
      <c r="AB2054" s="215" t="n"/>
      <c r="AC2054" s="215" t="n"/>
      <c r="AD2054" s="215" t="n"/>
      <c r="AE2054" s="215" t="n"/>
      <c r="AF2054" s="215" t="n"/>
      <c r="AG2054" s="215" t="n"/>
      <c r="AH2054" s="215" t="n"/>
      <c r="AI2054" s="215" t="n"/>
      <c r="AJ2054" s="215" t="n"/>
      <c r="AK2054" s="216" t="n"/>
    </row>
    <row r="2055" ht="15" customHeight="1">
      <c r="B2055" s="134" t="n"/>
      <c r="C2055" s="105" t="n"/>
      <c r="D2055" s="105" t="n"/>
      <c r="E2055" s="105" t="n"/>
      <c r="F2055" s="105" t="n"/>
      <c r="G2055" s="105" t="n"/>
      <c r="H2055" s="2" t="n"/>
      <c r="I2055" s="105" t="n"/>
      <c r="K2055" s="215" t="n"/>
      <c r="L2055" s="215" t="n"/>
      <c r="M2055" s="215" t="n"/>
      <c r="N2055" s="215" t="n"/>
      <c r="O2055" s="215" t="n"/>
      <c r="P2055" s="215" t="n"/>
      <c r="Q2055" s="215" t="n"/>
      <c r="R2055" s="215" t="n"/>
      <c r="S2055" s="215" t="n"/>
      <c r="T2055" s="215" t="n"/>
      <c r="U2055" s="215" t="n"/>
      <c r="V2055" s="215" t="n"/>
      <c r="W2055" s="215" t="n"/>
      <c r="X2055" s="215" t="n"/>
      <c r="Y2055" s="215" t="n"/>
      <c r="Z2055" s="215" t="n"/>
      <c r="AA2055" s="215" t="n"/>
      <c r="AB2055" s="215" t="n"/>
      <c r="AC2055" s="215" t="n"/>
      <c r="AD2055" s="215" t="n"/>
      <c r="AE2055" s="215" t="n"/>
      <c r="AF2055" s="215" t="n"/>
      <c r="AG2055" s="215" t="n"/>
      <c r="AH2055" s="215" t="n"/>
      <c r="AI2055" s="215" t="n"/>
      <c r="AJ2055" s="215" t="n"/>
      <c r="AK2055" s="216" t="n"/>
    </row>
    <row r="2056" ht="15" customHeight="1">
      <c r="B2056" s="134" t="n"/>
      <c r="C2056" s="105" t="n"/>
      <c r="D2056" s="105" t="n"/>
      <c r="E2056" s="105" t="n"/>
      <c r="F2056" s="105" t="n"/>
      <c r="G2056" s="105" t="n"/>
      <c r="H2056" s="2" t="n"/>
      <c r="I2056" s="105" t="n"/>
      <c r="K2056" s="215" t="n"/>
      <c r="L2056" s="215" t="n"/>
      <c r="M2056" s="215" t="n"/>
      <c r="N2056" s="215" t="n"/>
      <c r="O2056" s="215" t="n"/>
      <c r="P2056" s="215" t="n"/>
      <c r="Q2056" s="215" t="n"/>
      <c r="R2056" s="215" t="n"/>
      <c r="S2056" s="215" t="n"/>
      <c r="T2056" s="215" t="n"/>
      <c r="U2056" s="215" t="n"/>
      <c r="V2056" s="215" t="n"/>
      <c r="W2056" s="215" t="n"/>
      <c r="X2056" s="215" t="n"/>
      <c r="Y2056" s="215" t="n"/>
      <c r="Z2056" s="215" t="n"/>
      <c r="AA2056" s="215" t="n"/>
      <c r="AB2056" s="215" t="n"/>
      <c r="AC2056" s="215" t="n"/>
      <c r="AD2056" s="215" t="n"/>
      <c r="AE2056" s="215" t="n"/>
      <c r="AF2056" s="215" t="n"/>
      <c r="AG2056" s="215" t="n"/>
      <c r="AH2056" s="215" t="n"/>
      <c r="AI2056" s="215" t="n"/>
      <c r="AJ2056" s="215" t="n"/>
      <c r="AK2056" s="216" t="n"/>
    </row>
    <row r="2057" ht="15" customHeight="1">
      <c r="B2057" s="134" t="n"/>
      <c r="C2057" s="105" t="n"/>
      <c r="D2057" s="105" t="n"/>
      <c r="E2057" s="105" t="n"/>
      <c r="F2057" s="105" t="n"/>
      <c r="G2057" s="105" t="n"/>
      <c r="H2057" s="2" t="n"/>
      <c r="I2057" s="105" t="n"/>
      <c r="K2057" s="215" t="n"/>
      <c r="L2057" s="215" t="n"/>
      <c r="M2057" s="215" t="n"/>
      <c r="N2057" s="215" t="n"/>
      <c r="O2057" s="215" t="n"/>
      <c r="P2057" s="215" t="n"/>
      <c r="Q2057" s="215" t="n"/>
      <c r="R2057" s="215" t="n"/>
      <c r="S2057" s="215" t="n"/>
      <c r="T2057" s="215" t="n"/>
      <c r="U2057" s="215" t="n"/>
      <c r="V2057" s="215" t="n"/>
      <c r="W2057" s="215" t="n"/>
      <c r="X2057" s="215" t="n"/>
      <c r="Y2057" s="215" t="n"/>
      <c r="Z2057" s="215" t="n"/>
      <c r="AA2057" s="215" t="n"/>
      <c r="AB2057" s="215" t="n"/>
      <c r="AC2057" s="215" t="n"/>
      <c r="AD2057" s="215" t="n"/>
      <c r="AE2057" s="215" t="n"/>
      <c r="AF2057" s="215" t="n"/>
      <c r="AG2057" s="215" t="n"/>
      <c r="AH2057" s="215" t="n"/>
      <c r="AI2057" s="215" t="n"/>
      <c r="AJ2057" s="215" t="n"/>
      <c r="AK2057" s="216" t="n"/>
    </row>
    <row r="2058" ht="15" customHeight="1">
      <c r="B2058" s="134" t="n"/>
      <c r="C2058" s="105" t="n"/>
      <c r="D2058" s="105" t="n"/>
      <c r="E2058" s="105" t="n"/>
      <c r="F2058" s="105" t="n"/>
      <c r="G2058" s="105" t="n"/>
      <c r="H2058" s="2" t="n"/>
      <c r="I2058" s="105" t="n"/>
      <c r="K2058" s="215" t="n"/>
      <c r="L2058" s="215" t="n"/>
      <c r="M2058" s="215" t="n"/>
      <c r="N2058" s="215" t="n"/>
      <c r="O2058" s="215" t="n"/>
      <c r="P2058" s="215" t="n"/>
      <c r="Q2058" s="215" t="n"/>
      <c r="R2058" s="215" t="n"/>
      <c r="S2058" s="215" t="n"/>
      <c r="T2058" s="215" t="n"/>
      <c r="U2058" s="215" t="n"/>
      <c r="V2058" s="215" t="n"/>
      <c r="W2058" s="215" t="n"/>
      <c r="X2058" s="215" t="n"/>
      <c r="Y2058" s="215" t="n"/>
      <c r="Z2058" s="215" t="n"/>
      <c r="AA2058" s="215" t="n"/>
      <c r="AB2058" s="215" t="n"/>
      <c r="AC2058" s="215" t="n"/>
      <c r="AD2058" s="215" t="n"/>
      <c r="AE2058" s="215" t="n"/>
      <c r="AF2058" s="215" t="n"/>
      <c r="AG2058" s="215" t="n"/>
      <c r="AH2058" s="215" t="n"/>
      <c r="AI2058" s="215" t="n"/>
      <c r="AJ2058" s="215" t="n"/>
      <c r="AK2058" s="216" t="n"/>
    </row>
    <row r="2059" ht="15" customHeight="1">
      <c r="B2059" s="134" t="n"/>
      <c r="C2059" s="105" t="n"/>
      <c r="D2059" s="105" t="n"/>
      <c r="E2059" s="105" t="n"/>
      <c r="F2059" s="105" t="n"/>
      <c r="G2059" s="105" t="n"/>
      <c r="H2059" s="2" t="n"/>
      <c r="I2059" s="105" t="n"/>
      <c r="K2059" s="215" t="n"/>
      <c r="L2059" s="215" t="n"/>
      <c r="M2059" s="215" t="n"/>
      <c r="N2059" s="215" t="n"/>
      <c r="O2059" s="215" t="n"/>
      <c r="P2059" s="215" t="n"/>
      <c r="Q2059" s="215" t="n"/>
      <c r="R2059" s="215" t="n"/>
      <c r="S2059" s="215" t="n"/>
      <c r="T2059" s="215" t="n"/>
      <c r="U2059" s="215" t="n"/>
      <c r="V2059" s="215" t="n"/>
      <c r="W2059" s="215" t="n"/>
      <c r="X2059" s="215" t="n"/>
      <c r="Y2059" s="215" t="n"/>
      <c r="Z2059" s="215" t="n"/>
      <c r="AA2059" s="215" t="n"/>
      <c r="AB2059" s="215" t="n"/>
      <c r="AC2059" s="215" t="n"/>
      <c r="AD2059" s="215" t="n"/>
      <c r="AE2059" s="215" t="n"/>
      <c r="AF2059" s="215" t="n"/>
      <c r="AG2059" s="215" t="n"/>
      <c r="AH2059" s="215" t="n"/>
      <c r="AI2059" s="215" t="n"/>
      <c r="AJ2059" s="215" t="n"/>
      <c r="AK2059" s="216" t="n"/>
    </row>
    <row r="2060" ht="15" customHeight="1">
      <c r="B2060" s="134" t="n"/>
      <c r="C2060" s="105" t="n"/>
      <c r="D2060" s="105" t="n"/>
      <c r="E2060" s="105" t="n"/>
      <c r="F2060" s="105" t="n"/>
      <c r="G2060" s="105" t="n"/>
      <c r="H2060" s="2" t="n"/>
      <c r="I2060" s="105" t="n"/>
      <c r="K2060" s="215" t="n"/>
      <c r="L2060" s="215" t="n"/>
      <c r="M2060" s="215" t="n"/>
      <c r="N2060" s="215" t="n"/>
      <c r="O2060" s="215" t="n"/>
      <c r="P2060" s="215" t="n"/>
      <c r="Q2060" s="215" t="n"/>
      <c r="R2060" s="215" t="n"/>
      <c r="S2060" s="215" t="n"/>
      <c r="T2060" s="215" t="n"/>
      <c r="U2060" s="215" t="n"/>
      <c r="V2060" s="215" t="n"/>
      <c r="W2060" s="215" t="n"/>
      <c r="X2060" s="215" t="n"/>
      <c r="Y2060" s="215" t="n"/>
      <c r="Z2060" s="215" t="n"/>
      <c r="AA2060" s="215" t="n"/>
      <c r="AB2060" s="215" t="n"/>
      <c r="AC2060" s="215" t="n"/>
      <c r="AD2060" s="215" t="n"/>
      <c r="AE2060" s="215" t="n"/>
      <c r="AF2060" s="215" t="n"/>
      <c r="AG2060" s="215" t="n"/>
      <c r="AH2060" s="215" t="n"/>
      <c r="AI2060" s="215" t="n"/>
      <c r="AJ2060" s="215" t="n"/>
      <c r="AK2060" s="216" t="n"/>
    </row>
    <row r="2061" ht="15" customHeight="1">
      <c r="B2061" s="134" t="n"/>
      <c r="C2061" s="105" t="n"/>
      <c r="D2061" s="105" t="n"/>
      <c r="E2061" s="105" t="n"/>
      <c r="F2061" s="105" t="n"/>
      <c r="G2061" s="105" t="n"/>
      <c r="H2061" s="2" t="n"/>
      <c r="I2061" s="105" t="n"/>
      <c r="K2061" s="215" t="n"/>
      <c r="L2061" s="215" t="n"/>
      <c r="M2061" s="215" t="n"/>
      <c r="N2061" s="215" t="n"/>
      <c r="O2061" s="215" t="n"/>
      <c r="P2061" s="215" t="n"/>
      <c r="Q2061" s="215" t="n"/>
      <c r="R2061" s="215" t="n"/>
      <c r="S2061" s="215" t="n"/>
      <c r="T2061" s="215" t="n"/>
      <c r="U2061" s="215" t="n"/>
      <c r="V2061" s="215" t="n"/>
      <c r="W2061" s="215" t="n"/>
      <c r="X2061" s="215" t="n"/>
      <c r="Y2061" s="215" t="n"/>
      <c r="Z2061" s="215" t="n"/>
      <c r="AA2061" s="215" t="n"/>
      <c r="AB2061" s="215" t="n"/>
      <c r="AC2061" s="215" t="n"/>
      <c r="AD2061" s="215" t="n"/>
      <c r="AE2061" s="215" t="n"/>
      <c r="AF2061" s="215" t="n"/>
      <c r="AG2061" s="215" t="n"/>
      <c r="AH2061" s="215" t="n"/>
      <c r="AI2061" s="215" t="n"/>
      <c r="AJ2061" s="215" t="n"/>
      <c r="AK2061" s="216" t="n"/>
    </row>
    <row r="2062" ht="15" customHeight="1">
      <c r="B2062" s="134" t="n"/>
      <c r="C2062" s="105" t="n"/>
      <c r="D2062" s="105" t="n"/>
      <c r="E2062" s="105" t="n"/>
      <c r="F2062" s="105" t="n"/>
      <c r="G2062" s="105" t="n"/>
      <c r="H2062" s="2" t="n"/>
      <c r="I2062" s="105" t="n"/>
      <c r="K2062" s="215" t="n"/>
      <c r="L2062" s="215" t="n"/>
      <c r="M2062" s="215" t="n"/>
      <c r="N2062" s="215" t="n"/>
      <c r="O2062" s="215" t="n"/>
      <c r="P2062" s="215" t="n"/>
      <c r="Q2062" s="215" t="n"/>
      <c r="R2062" s="215" t="n"/>
      <c r="S2062" s="215" t="n"/>
      <c r="T2062" s="215" t="n"/>
      <c r="U2062" s="215" t="n"/>
      <c r="V2062" s="215" t="n"/>
      <c r="W2062" s="215" t="n"/>
      <c r="X2062" s="215" t="n"/>
      <c r="Y2062" s="215" t="n"/>
      <c r="Z2062" s="215" t="n"/>
      <c r="AA2062" s="215" t="n"/>
      <c r="AB2062" s="215" t="n"/>
      <c r="AC2062" s="215" t="n"/>
      <c r="AD2062" s="215" t="n"/>
      <c r="AE2062" s="215" t="n"/>
      <c r="AF2062" s="215" t="n"/>
      <c r="AG2062" s="215" t="n"/>
      <c r="AH2062" s="215" t="n"/>
      <c r="AI2062" s="215" t="n"/>
      <c r="AJ2062" s="215" t="n"/>
      <c r="AK2062" s="216" t="n"/>
    </row>
    <row r="2063" ht="15" customHeight="1">
      <c r="B2063" s="134" t="n"/>
      <c r="C2063" s="105" t="n"/>
      <c r="D2063" s="105" t="n"/>
      <c r="E2063" s="105" t="n"/>
      <c r="F2063" s="105" t="n"/>
      <c r="G2063" s="105" t="n"/>
      <c r="H2063" s="2" t="n"/>
      <c r="I2063" s="105" t="n"/>
      <c r="K2063" s="215" t="n"/>
      <c r="L2063" s="215" t="n"/>
      <c r="M2063" s="215" t="n"/>
      <c r="N2063" s="215" t="n"/>
      <c r="O2063" s="215" t="n"/>
      <c r="P2063" s="215" t="n"/>
      <c r="Q2063" s="215" t="n"/>
      <c r="R2063" s="215" t="n"/>
      <c r="S2063" s="215" t="n"/>
      <c r="T2063" s="215" t="n"/>
      <c r="U2063" s="215" t="n"/>
      <c r="V2063" s="215" t="n"/>
      <c r="W2063" s="215" t="n"/>
      <c r="X2063" s="215" t="n"/>
      <c r="Y2063" s="215" t="n"/>
      <c r="Z2063" s="215" t="n"/>
      <c r="AA2063" s="215" t="n"/>
      <c r="AB2063" s="215" t="n"/>
      <c r="AC2063" s="215" t="n"/>
      <c r="AD2063" s="215" t="n"/>
      <c r="AE2063" s="215" t="n"/>
      <c r="AF2063" s="215" t="n"/>
      <c r="AG2063" s="215" t="n"/>
      <c r="AH2063" s="215" t="n"/>
      <c r="AI2063" s="215" t="n"/>
      <c r="AJ2063" s="215" t="n"/>
      <c r="AK2063" s="216" t="n"/>
    </row>
    <row r="2064" ht="15" customHeight="1">
      <c r="B2064" s="134" t="n"/>
      <c r="C2064" s="105" t="n"/>
      <c r="D2064" s="105" t="n"/>
      <c r="E2064" s="105" t="n"/>
      <c r="F2064" s="105" t="n"/>
      <c r="G2064" s="105" t="n"/>
      <c r="H2064" s="2" t="n"/>
      <c r="I2064" s="105" t="n"/>
      <c r="K2064" s="215" t="n"/>
      <c r="L2064" s="215" t="n"/>
      <c r="M2064" s="215" t="n"/>
      <c r="N2064" s="215" t="n"/>
      <c r="O2064" s="215" t="n"/>
      <c r="P2064" s="215" t="n"/>
      <c r="Q2064" s="215" t="n"/>
      <c r="R2064" s="215" t="n"/>
      <c r="S2064" s="215" t="n"/>
      <c r="T2064" s="215" t="n"/>
      <c r="U2064" s="215" t="n"/>
      <c r="V2064" s="215" t="n"/>
      <c r="W2064" s="215" t="n"/>
      <c r="X2064" s="215" t="n"/>
      <c r="Y2064" s="215" t="n"/>
      <c r="Z2064" s="215" t="n"/>
      <c r="AA2064" s="215" t="n"/>
      <c r="AB2064" s="215" t="n"/>
      <c r="AC2064" s="215" t="n"/>
      <c r="AD2064" s="215" t="n"/>
      <c r="AE2064" s="215" t="n"/>
      <c r="AF2064" s="215" t="n"/>
      <c r="AG2064" s="215" t="n"/>
      <c r="AH2064" s="215" t="n"/>
      <c r="AI2064" s="215" t="n"/>
      <c r="AJ2064" s="215" t="n"/>
      <c r="AK2064" s="216" t="n"/>
    </row>
    <row r="2065" ht="15" customHeight="1">
      <c r="B2065" s="134" t="n"/>
      <c r="C2065" s="105" t="n"/>
      <c r="D2065" s="105" t="n"/>
      <c r="E2065" s="105" t="n"/>
      <c r="F2065" s="105" t="n"/>
      <c r="G2065" s="105" t="n"/>
      <c r="H2065" s="2" t="n"/>
      <c r="I2065" s="105" t="n"/>
      <c r="K2065" s="215" t="n"/>
      <c r="L2065" s="215" t="n"/>
      <c r="M2065" s="215" t="n"/>
      <c r="N2065" s="215" t="n"/>
      <c r="O2065" s="215" t="n"/>
      <c r="P2065" s="215" t="n"/>
      <c r="Q2065" s="215" t="n"/>
      <c r="R2065" s="215" t="n"/>
      <c r="S2065" s="215" t="n"/>
      <c r="T2065" s="215" t="n"/>
      <c r="U2065" s="215" t="n"/>
      <c r="V2065" s="215" t="n"/>
      <c r="W2065" s="215" t="n"/>
      <c r="X2065" s="215" t="n"/>
      <c r="Y2065" s="215" t="n"/>
      <c r="Z2065" s="215" t="n"/>
      <c r="AA2065" s="215" t="n"/>
      <c r="AB2065" s="215" t="n"/>
      <c r="AC2065" s="215" t="n"/>
      <c r="AD2065" s="215" t="n"/>
      <c r="AE2065" s="215" t="n"/>
      <c r="AF2065" s="215" t="n"/>
      <c r="AG2065" s="215" t="n"/>
      <c r="AH2065" s="215" t="n"/>
      <c r="AI2065" s="215" t="n"/>
      <c r="AJ2065" s="215" t="n"/>
      <c r="AK2065" s="216" t="n"/>
    </row>
    <row r="2066" ht="15" customHeight="1">
      <c r="B2066" s="134" t="n"/>
      <c r="C2066" s="105" t="n"/>
      <c r="D2066" s="105" t="n"/>
      <c r="E2066" s="105" t="n"/>
      <c r="F2066" s="105" t="n"/>
      <c r="G2066" s="105" t="n"/>
      <c r="H2066" s="2" t="n"/>
      <c r="I2066" s="105" t="n"/>
      <c r="K2066" s="215" t="n"/>
      <c r="L2066" s="215" t="n"/>
      <c r="M2066" s="215" t="n"/>
      <c r="N2066" s="215" t="n"/>
      <c r="O2066" s="215" t="n"/>
      <c r="P2066" s="215" t="n"/>
      <c r="Q2066" s="215" t="n"/>
      <c r="R2066" s="215" t="n"/>
      <c r="S2066" s="215" t="n"/>
      <c r="T2066" s="215" t="n"/>
      <c r="U2066" s="215" t="n"/>
      <c r="V2066" s="215" t="n"/>
      <c r="W2066" s="215" t="n"/>
      <c r="X2066" s="215" t="n"/>
      <c r="Y2066" s="215" t="n"/>
      <c r="Z2066" s="215" t="n"/>
      <c r="AA2066" s="215" t="n"/>
      <c r="AB2066" s="215" t="n"/>
      <c r="AC2066" s="215" t="n"/>
      <c r="AD2066" s="215" t="n"/>
      <c r="AE2066" s="215" t="n"/>
      <c r="AF2066" s="215" t="n"/>
      <c r="AG2066" s="215" t="n"/>
      <c r="AH2066" s="215" t="n"/>
      <c r="AI2066" s="215" t="n"/>
      <c r="AJ2066" s="215" t="n"/>
      <c r="AK2066" s="216" t="n"/>
    </row>
    <row r="2067" ht="15" customHeight="1">
      <c r="B2067" s="134" t="n"/>
      <c r="C2067" s="105" t="n"/>
      <c r="D2067" s="105" t="n"/>
      <c r="E2067" s="105" t="n"/>
      <c r="F2067" s="105" t="n"/>
      <c r="G2067" s="105" t="n"/>
      <c r="H2067" s="2" t="n"/>
      <c r="I2067" s="105" t="n"/>
      <c r="K2067" s="215" t="n"/>
      <c r="L2067" s="215" t="n"/>
      <c r="M2067" s="215" t="n"/>
      <c r="N2067" s="215" t="n"/>
      <c r="O2067" s="215" t="n"/>
      <c r="P2067" s="215" t="n"/>
      <c r="Q2067" s="215" t="n"/>
      <c r="R2067" s="215" t="n"/>
      <c r="S2067" s="215" t="n"/>
      <c r="T2067" s="215" t="n"/>
      <c r="U2067" s="215" t="n"/>
      <c r="V2067" s="215" t="n"/>
      <c r="W2067" s="215" t="n"/>
      <c r="X2067" s="215" t="n"/>
      <c r="Y2067" s="215" t="n"/>
      <c r="Z2067" s="215" t="n"/>
      <c r="AA2067" s="215" t="n"/>
      <c r="AB2067" s="215" t="n"/>
      <c r="AC2067" s="215" t="n"/>
      <c r="AD2067" s="215" t="n"/>
      <c r="AE2067" s="215" t="n"/>
      <c r="AF2067" s="215" t="n"/>
      <c r="AG2067" s="215" t="n"/>
      <c r="AH2067" s="215" t="n"/>
      <c r="AI2067" s="215" t="n"/>
      <c r="AJ2067" s="215" t="n"/>
      <c r="AK2067" s="216" t="n"/>
    </row>
    <row r="2068" ht="15" customHeight="1">
      <c r="B2068" s="134" t="n"/>
      <c r="C2068" s="105" t="n"/>
      <c r="D2068" s="105" t="n"/>
      <c r="E2068" s="105" t="n"/>
      <c r="F2068" s="105" t="n"/>
      <c r="G2068" s="105" t="n"/>
      <c r="H2068" s="2" t="n"/>
      <c r="I2068" s="105" t="n"/>
      <c r="K2068" s="215" t="n"/>
      <c r="L2068" s="215" t="n"/>
      <c r="M2068" s="215" t="n"/>
      <c r="N2068" s="215" t="n"/>
      <c r="O2068" s="215" t="n"/>
      <c r="P2068" s="215" t="n"/>
      <c r="Q2068" s="215" t="n"/>
      <c r="R2068" s="215" t="n"/>
      <c r="S2068" s="215" t="n"/>
      <c r="T2068" s="215" t="n"/>
      <c r="U2068" s="215" t="n"/>
      <c r="V2068" s="215" t="n"/>
      <c r="W2068" s="215" t="n"/>
      <c r="X2068" s="215" t="n"/>
      <c r="Y2068" s="215" t="n"/>
      <c r="Z2068" s="215" t="n"/>
      <c r="AA2068" s="215" t="n"/>
      <c r="AB2068" s="215" t="n"/>
      <c r="AC2068" s="215" t="n"/>
      <c r="AD2068" s="215" t="n"/>
      <c r="AE2068" s="215" t="n"/>
      <c r="AF2068" s="215" t="n"/>
      <c r="AG2068" s="215" t="n"/>
      <c r="AH2068" s="215" t="n"/>
      <c r="AI2068" s="215" t="n"/>
      <c r="AJ2068" s="215" t="n"/>
      <c r="AK2068" s="216" t="n"/>
    </row>
    <row r="2069" ht="15" customHeight="1">
      <c r="B2069" s="134" t="n"/>
      <c r="C2069" s="105" t="n"/>
      <c r="D2069" s="105" t="n"/>
      <c r="E2069" s="105" t="n"/>
      <c r="F2069" s="105" t="n"/>
      <c r="G2069" s="105" t="n"/>
      <c r="H2069" s="2" t="n"/>
      <c r="I2069" s="105" t="n"/>
      <c r="K2069" s="215" t="n"/>
      <c r="L2069" s="215" t="n"/>
      <c r="M2069" s="215" t="n"/>
      <c r="N2069" s="215" t="n"/>
      <c r="O2069" s="215" t="n"/>
      <c r="P2069" s="215" t="n"/>
      <c r="Q2069" s="215" t="n"/>
      <c r="R2069" s="215" t="n"/>
      <c r="S2069" s="215" t="n"/>
      <c r="T2069" s="215" t="n"/>
      <c r="U2069" s="215" t="n"/>
      <c r="V2069" s="215" t="n"/>
      <c r="W2069" s="215" t="n"/>
      <c r="X2069" s="215" t="n"/>
      <c r="Y2069" s="215" t="n"/>
      <c r="Z2069" s="215" t="n"/>
      <c r="AA2069" s="215" t="n"/>
      <c r="AB2069" s="215" t="n"/>
      <c r="AC2069" s="215" t="n"/>
      <c r="AD2069" s="215" t="n"/>
      <c r="AE2069" s="215" t="n"/>
      <c r="AF2069" s="215" t="n"/>
      <c r="AG2069" s="215" t="n"/>
      <c r="AH2069" s="215" t="n"/>
      <c r="AI2069" s="215" t="n"/>
      <c r="AJ2069" s="215" t="n"/>
      <c r="AK2069" s="216" t="n"/>
    </row>
    <row r="2070" ht="15" customHeight="1">
      <c r="B2070" s="134" t="n"/>
      <c r="C2070" s="105" t="n"/>
      <c r="D2070" s="105" t="n"/>
      <c r="E2070" s="105" t="n"/>
      <c r="F2070" s="105" t="n"/>
      <c r="G2070" s="105" t="n"/>
      <c r="H2070" s="2" t="n"/>
      <c r="I2070" s="105" t="n"/>
      <c r="K2070" s="215" t="n"/>
      <c r="L2070" s="215" t="n"/>
      <c r="M2070" s="215" t="n"/>
      <c r="N2070" s="215" t="n"/>
      <c r="O2070" s="215" t="n"/>
      <c r="P2070" s="215" t="n"/>
      <c r="Q2070" s="215" t="n"/>
      <c r="R2070" s="215" t="n"/>
      <c r="S2070" s="215" t="n"/>
      <c r="T2070" s="215" t="n"/>
      <c r="U2070" s="215" t="n"/>
      <c r="V2070" s="215" t="n"/>
      <c r="W2070" s="215" t="n"/>
      <c r="X2070" s="215" t="n"/>
      <c r="Y2070" s="215" t="n"/>
      <c r="Z2070" s="215" t="n"/>
      <c r="AA2070" s="215" t="n"/>
      <c r="AB2070" s="215" t="n"/>
      <c r="AC2070" s="215" t="n"/>
      <c r="AD2070" s="215" t="n"/>
      <c r="AE2070" s="215" t="n"/>
      <c r="AF2070" s="215" t="n"/>
      <c r="AG2070" s="215" t="n"/>
      <c r="AH2070" s="215" t="n"/>
      <c r="AI2070" s="215" t="n"/>
      <c r="AJ2070" s="215" t="n"/>
      <c r="AK2070" s="216" t="n"/>
    </row>
    <row r="2071" ht="15" customHeight="1">
      <c r="B2071" s="134" t="n"/>
      <c r="C2071" s="105" t="n"/>
      <c r="D2071" s="105" t="n"/>
      <c r="E2071" s="105" t="n"/>
      <c r="F2071" s="105" t="n"/>
      <c r="G2071" s="105" t="n"/>
      <c r="H2071" s="2" t="n"/>
      <c r="I2071" s="105" t="n"/>
      <c r="K2071" s="215" t="n"/>
      <c r="L2071" s="215" t="n"/>
      <c r="M2071" s="215" t="n"/>
      <c r="N2071" s="215" t="n"/>
      <c r="O2071" s="215" t="n"/>
      <c r="P2071" s="215" t="n"/>
      <c r="Q2071" s="215" t="n"/>
      <c r="R2071" s="215" t="n"/>
      <c r="S2071" s="215" t="n"/>
      <c r="T2071" s="215" t="n"/>
      <c r="U2071" s="215" t="n"/>
      <c r="V2071" s="215" t="n"/>
      <c r="W2071" s="215" t="n"/>
      <c r="X2071" s="215" t="n"/>
      <c r="Y2071" s="215" t="n"/>
      <c r="Z2071" s="215" t="n"/>
      <c r="AA2071" s="215" t="n"/>
      <c r="AB2071" s="215" t="n"/>
      <c r="AC2071" s="215" t="n"/>
      <c r="AD2071" s="215" t="n"/>
      <c r="AE2071" s="215" t="n"/>
      <c r="AF2071" s="215" t="n"/>
      <c r="AG2071" s="215" t="n"/>
      <c r="AH2071" s="215" t="n"/>
      <c r="AI2071" s="215" t="n"/>
      <c r="AJ2071" s="215" t="n"/>
      <c r="AK2071" s="216" t="n"/>
    </row>
    <row r="2072" ht="15" customHeight="1">
      <c r="B2072" s="134" t="n"/>
      <c r="C2072" s="105" t="n"/>
      <c r="D2072" s="105" t="n"/>
      <c r="E2072" s="105" t="n"/>
      <c r="F2072" s="105" t="n"/>
      <c r="G2072" s="105" t="n"/>
      <c r="H2072" s="2" t="n"/>
      <c r="I2072" s="105" t="n"/>
      <c r="K2072" s="215" t="n"/>
      <c r="L2072" s="215" t="n"/>
      <c r="M2072" s="215" t="n"/>
      <c r="N2072" s="215" t="n"/>
      <c r="O2072" s="215" t="n"/>
      <c r="P2072" s="215" t="n"/>
      <c r="Q2072" s="215" t="n"/>
      <c r="R2072" s="215" t="n"/>
      <c r="S2072" s="215" t="n"/>
      <c r="T2072" s="215" t="n"/>
      <c r="U2072" s="215" t="n"/>
      <c r="V2072" s="215" t="n"/>
      <c r="W2072" s="215" t="n"/>
      <c r="X2072" s="215" t="n"/>
      <c r="Y2072" s="215" t="n"/>
      <c r="Z2072" s="215" t="n"/>
      <c r="AA2072" s="215" t="n"/>
      <c r="AB2072" s="215" t="n"/>
      <c r="AC2072" s="215" t="n"/>
      <c r="AD2072" s="215" t="n"/>
      <c r="AE2072" s="215" t="n"/>
      <c r="AF2072" s="215" t="n"/>
      <c r="AG2072" s="215" t="n"/>
      <c r="AH2072" s="215" t="n"/>
      <c r="AI2072" s="215" t="n"/>
      <c r="AJ2072" s="215" t="n"/>
      <c r="AK2072" s="216" t="n"/>
    </row>
    <row r="2073" ht="15" customHeight="1">
      <c r="B2073" s="134" t="n"/>
      <c r="C2073" s="105" t="n"/>
      <c r="D2073" s="105" t="n"/>
      <c r="E2073" s="105" t="n"/>
      <c r="F2073" s="105" t="n"/>
      <c r="G2073" s="105" t="n"/>
      <c r="H2073" s="2" t="n"/>
      <c r="I2073" s="105" t="n"/>
      <c r="K2073" s="215" t="n"/>
      <c r="L2073" s="215" t="n"/>
      <c r="M2073" s="215" t="n"/>
      <c r="N2073" s="215" t="n"/>
      <c r="O2073" s="215" t="n"/>
      <c r="P2073" s="215" t="n"/>
      <c r="Q2073" s="215" t="n"/>
      <c r="R2073" s="215" t="n"/>
      <c r="S2073" s="215" t="n"/>
      <c r="T2073" s="215" t="n"/>
      <c r="U2073" s="215" t="n"/>
      <c r="V2073" s="215" t="n"/>
      <c r="W2073" s="215" t="n"/>
      <c r="X2073" s="215" t="n"/>
      <c r="Y2073" s="215" t="n"/>
      <c r="Z2073" s="215" t="n"/>
      <c r="AA2073" s="215" t="n"/>
      <c r="AB2073" s="215" t="n"/>
      <c r="AC2073" s="215" t="n"/>
      <c r="AD2073" s="215" t="n"/>
      <c r="AE2073" s="215" t="n"/>
      <c r="AF2073" s="215" t="n"/>
      <c r="AG2073" s="215" t="n"/>
      <c r="AH2073" s="215" t="n"/>
      <c r="AI2073" s="215" t="n"/>
      <c r="AJ2073" s="215" t="n"/>
      <c r="AK2073" s="216" t="n"/>
    </row>
    <row r="2074" ht="15" customHeight="1">
      <c r="B2074" s="134" t="n"/>
      <c r="C2074" s="105" t="n"/>
      <c r="D2074" s="105" t="n"/>
      <c r="E2074" s="105" t="n"/>
      <c r="F2074" s="105" t="n"/>
      <c r="G2074" s="105" t="n"/>
      <c r="H2074" s="2" t="n"/>
      <c r="I2074" s="105" t="n"/>
      <c r="K2074" s="215" t="n"/>
      <c r="L2074" s="215" t="n"/>
      <c r="M2074" s="215" t="n"/>
      <c r="N2074" s="215" t="n"/>
      <c r="O2074" s="215" t="n"/>
      <c r="P2074" s="215" t="n"/>
      <c r="Q2074" s="215" t="n"/>
      <c r="R2074" s="215" t="n"/>
      <c r="S2074" s="215" t="n"/>
      <c r="T2074" s="215" t="n"/>
      <c r="U2074" s="215" t="n"/>
      <c r="V2074" s="215" t="n"/>
      <c r="W2074" s="215" t="n"/>
      <c r="X2074" s="215" t="n"/>
      <c r="Y2074" s="215" t="n"/>
      <c r="Z2074" s="215" t="n"/>
      <c r="AA2074" s="215" t="n"/>
      <c r="AB2074" s="215" t="n"/>
      <c r="AC2074" s="215" t="n"/>
      <c r="AD2074" s="215" t="n"/>
      <c r="AE2074" s="215" t="n"/>
      <c r="AF2074" s="215" t="n"/>
      <c r="AG2074" s="215" t="n"/>
      <c r="AH2074" s="215" t="n"/>
      <c r="AI2074" s="215" t="n"/>
      <c r="AJ2074" s="215" t="n"/>
      <c r="AK2074" s="216" t="n"/>
    </row>
    <row r="2075" ht="15" customHeight="1">
      <c r="B2075" s="134" t="n"/>
      <c r="C2075" s="105" t="n"/>
      <c r="D2075" s="105" t="n"/>
      <c r="E2075" s="105" t="n"/>
      <c r="F2075" s="105" t="n"/>
      <c r="G2075" s="105" t="n"/>
      <c r="H2075" s="2" t="n"/>
      <c r="I2075" s="105" t="n"/>
      <c r="K2075" s="215" t="n"/>
      <c r="L2075" s="215" t="n"/>
      <c r="M2075" s="215" t="n"/>
      <c r="N2075" s="215" t="n"/>
      <c r="O2075" s="215" t="n"/>
      <c r="P2075" s="215" t="n"/>
      <c r="Q2075" s="215" t="n"/>
      <c r="R2075" s="215" t="n"/>
      <c r="S2075" s="215" t="n"/>
      <c r="T2075" s="215" t="n"/>
      <c r="U2075" s="215" t="n"/>
      <c r="V2075" s="215" t="n"/>
      <c r="W2075" s="215" t="n"/>
      <c r="X2075" s="215" t="n"/>
      <c r="Y2075" s="215" t="n"/>
      <c r="Z2075" s="215" t="n"/>
      <c r="AA2075" s="215" t="n"/>
      <c r="AB2075" s="215" t="n"/>
      <c r="AC2075" s="215" t="n"/>
      <c r="AD2075" s="215" t="n"/>
      <c r="AE2075" s="215" t="n"/>
      <c r="AF2075" s="215" t="n"/>
      <c r="AG2075" s="215" t="n"/>
      <c r="AH2075" s="215" t="n"/>
      <c r="AI2075" s="215" t="n"/>
      <c r="AJ2075" s="215" t="n"/>
      <c r="AK2075" s="216" t="n"/>
    </row>
    <row r="2076" ht="15" customHeight="1">
      <c r="B2076" s="134" t="n"/>
      <c r="C2076" s="105" t="n"/>
      <c r="D2076" s="105" t="n"/>
      <c r="E2076" s="105" t="n"/>
      <c r="F2076" s="105" t="n"/>
      <c r="G2076" s="105" t="n"/>
      <c r="H2076" s="2" t="n"/>
      <c r="I2076" s="105" t="n"/>
      <c r="K2076" s="215" t="n"/>
      <c r="L2076" s="215" t="n"/>
      <c r="M2076" s="215" t="n"/>
      <c r="N2076" s="215" t="n"/>
      <c r="O2076" s="215" t="n"/>
      <c r="P2076" s="215" t="n"/>
      <c r="Q2076" s="215" t="n"/>
      <c r="R2076" s="215" t="n"/>
      <c r="S2076" s="215" t="n"/>
      <c r="T2076" s="215" t="n"/>
      <c r="U2076" s="215" t="n"/>
      <c r="V2076" s="215" t="n"/>
      <c r="W2076" s="215" t="n"/>
      <c r="X2076" s="215" t="n"/>
      <c r="Y2076" s="215" t="n"/>
      <c r="Z2076" s="215" t="n"/>
      <c r="AA2076" s="215" t="n"/>
      <c r="AB2076" s="215" t="n"/>
      <c r="AC2076" s="215" t="n"/>
      <c r="AD2076" s="215" t="n"/>
      <c r="AE2076" s="215" t="n"/>
      <c r="AF2076" s="215" t="n"/>
      <c r="AG2076" s="215" t="n"/>
      <c r="AH2076" s="215" t="n"/>
      <c r="AI2076" s="215" t="n"/>
      <c r="AJ2076" s="215" t="n"/>
      <c r="AK2076" s="216" t="n"/>
    </row>
    <row r="2077" ht="15" customHeight="1">
      <c r="B2077" s="134" t="n"/>
      <c r="C2077" s="105" t="n"/>
      <c r="D2077" s="105" t="n"/>
      <c r="E2077" s="105" t="n"/>
      <c r="F2077" s="105" t="n"/>
      <c r="G2077" s="105" t="n"/>
      <c r="H2077" s="2" t="n"/>
      <c r="I2077" s="105" t="n"/>
      <c r="K2077" s="215" t="n"/>
      <c r="L2077" s="215" t="n"/>
      <c r="M2077" s="215" t="n"/>
      <c r="N2077" s="215" t="n"/>
      <c r="O2077" s="215" t="n"/>
      <c r="P2077" s="215" t="n"/>
      <c r="Q2077" s="215" t="n"/>
      <c r="R2077" s="215" t="n"/>
      <c r="S2077" s="215" t="n"/>
      <c r="T2077" s="215" t="n"/>
      <c r="U2077" s="215" t="n"/>
      <c r="V2077" s="215" t="n"/>
      <c r="W2077" s="215" t="n"/>
      <c r="X2077" s="215" t="n"/>
      <c r="Y2077" s="215" t="n"/>
      <c r="Z2077" s="215" t="n"/>
      <c r="AA2077" s="215" t="n"/>
      <c r="AB2077" s="215" t="n"/>
      <c r="AC2077" s="215" t="n"/>
      <c r="AD2077" s="215" t="n"/>
      <c r="AE2077" s="215" t="n"/>
      <c r="AF2077" s="215" t="n"/>
      <c r="AG2077" s="215" t="n"/>
      <c r="AH2077" s="215" t="n"/>
      <c r="AI2077" s="215" t="n"/>
      <c r="AJ2077" s="215" t="n"/>
      <c r="AK2077" s="216" t="n"/>
    </row>
    <row r="2078" ht="15" customHeight="1">
      <c r="B2078" s="134" t="n"/>
      <c r="C2078" s="105" t="n"/>
      <c r="D2078" s="105" t="n"/>
      <c r="E2078" s="105" t="n"/>
      <c r="F2078" s="105" t="n"/>
      <c r="G2078" s="105" t="n"/>
      <c r="H2078" s="2" t="n"/>
      <c r="I2078" s="105" t="n"/>
      <c r="K2078" s="215" t="n"/>
      <c r="L2078" s="215" t="n"/>
      <c r="M2078" s="215" t="n"/>
      <c r="N2078" s="215" t="n"/>
      <c r="O2078" s="215" t="n"/>
      <c r="P2078" s="215" t="n"/>
      <c r="Q2078" s="215" t="n"/>
      <c r="R2078" s="215" t="n"/>
      <c r="S2078" s="215" t="n"/>
      <c r="T2078" s="215" t="n"/>
      <c r="U2078" s="215" t="n"/>
      <c r="V2078" s="215" t="n"/>
      <c r="W2078" s="215" t="n"/>
      <c r="X2078" s="215" t="n"/>
      <c r="Y2078" s="215" t="n"/>
      <c r="Z2078" s="215" t="n"/>
      <c r="AA2078" s="215" t="n"/>
      <c r="AB2078" s="215" t="n"/>
      <c r="AC2078" s="215" t="n"/>
      <c r="AD2078" s="215" t="n"/>
      <c r="AE2078" s="215" t="n"/>
      <c r="AF2078" s="215" t="n"/>
      <c r="AG2078" s="215" t="n"/>
      <c r="AH2078" s="215" t="n"/>
      <c r="AI2078" s="215" t="n"/>
      <c r="AJ2078" s="215" t="n"/>
      <c r="AK2078" s="216" t="n"/>
    </row>
    <row r="2079" ht="15" customHeight="1">
      <c r="B2079" s="134" t="n"/>
      <c r="C2079" s="105" t="n"/>
      <c r="D2079" s="105" t="n"/>
      <c r="E2079" s="105" t="n"/>
      <c r="F2079" s="105" t="n"/>
      <c r="G2079" s="105" t="n"/>
      <c r="H2079" s="2" t="n"/>
      <c r="I2079" s="105" t="n"/>
      <c r="K2079" s="215" t="n"/>
      <c r="L2079" s="215" t="n"/>
      <c r="M2079" s="215" t="n"/>
      <c r="N2079" s="215" t="n"/>
      <c r="O2079" s="215" t="n"/>
      <c r="P2079" s="215" t="n"/>
      <c r="Q2079" s="215" t="n"/>
      <c r="R2079" s="215" t="n"/>
      <c r="S2079" s="215" t="n"/>
      <c r="T2079" s="215" t="n"/>
      <c r="U2079" s="215" t="n"/>
      <c r="V2079" s="215" t="n"/>
      <c r="W2079" s="215" t="n"/>
      <c r="X2079" s="215" t="n"/>
      <c r="Y2079" s="215" t="n"/>
      <c r="Z2079" s="215" t="n"/>
      <c r="AA2079" s="215" t="n"/>
      <c r="AB2079" s="215" t="n"/>
      <c r="AC2079" s="215" t="n"/>
      <c r="AD2079" s="215" t="n"/>
      <c r="AE2079" s="215" t="n"/>
      <c r="AF2079" s="215" t="n"/>
      <c r="AG2079" s="215" t="n"/>
      <c r="AH2079" s="215" t="n"/>
      <c r="AI2079" s="215" t="n"/>
      <c r="AJ2079" s="215" t="n"/>
      <c r="AK2079" s="216" t="n"/>
    </row>
    <row r="2080" ht="15" customHeight="1">
      <c r="B2080" s="134" t="n"/>
      <c r="C2080" s="105" t="n"/>
      <c r="D2080" s="105" t="n"/>
      <c r="E2080" s="105" t="n"/>
      <c r="F2080" s="105" t="n"/>
      <c r="G2080" s="105" t="n"/>
      <c r="H2080" s="2" t="n"/>
      <c r="I2080" s="105" t="n"/>
      <c r="K2080" s="215" t="n"/>
      <c r="L2080" s="215" t="n"/>
      <c r="M2080" s="215" t="n"/>
      <c r="N2080" s="215" t="n"/>
      <c r="O2080" s="215" t="n"/>
      <c r="P2080" s="215" t="n"/>
      <c r="Q2080" s="215" t="n"/>
      <c r="R2080" s="215" t="n"/>
      <c r="S2080" s="215" t="n"/>
      <c r="T2080" s="215" t="n"/>
      <c r="U2080" s="215" t="n"/>
      <c r="V2080" s="215" t="n"/>
      <c r="W2080" s="215" t="n"/>
      <c r="X2080" s="215" t="n"/>
      <c r="Y2080" s="215" t="n"/>
      <c r="Z2080" s="215" t="n"/>
      <c r="AA2080" s="215" t="n"/>
      <c r="AB2080" s="215" t="n"/>
      <c r="AC2080" s="215" t="n"/>
      <c r="AD2080" s="215" t="n"/>
      <c r="AE2080" s="215" t="n"/>
      <c r="AF2080" s="215" t="n"/>
      <c r="AG2080" s="215" t="n"/>
      <c r="AH2080" s="215" t="n"/>
      <c r="AI2080" s="215" t="n"/>
      <c r="AJ2080" s="215" t="n"/>
      <c r="AK2080" s="216" t="n"/>
    </row>
    <row r="2081" ht="15" customHeight="1">
      <c r="B2081" s="134" t="n"/>
      <c r="C2081" s="105" t="n"/>
      <c r="D2081" s="105" t="n"/>
      <c r="E2081" s="105" t="n"/>
      <c r="F2081" s="105" t="n"/>
      <c r="G2081" s="105" t="n"/>
      <c r="H2081" s="2" t="n"/>
      <c r="I2081" s="105" t="n"/>
      <c r="K2081" s="215" t="n"/>
      <c r="L2081" s="215" t="n"/>
      <c r="M2081" s="215" t="n"/>
      <c r="N2081" s="215" t="n"/>
      <c r="O2081" s="215" t="n"/>
      <c r="P2081" s="215" t="n"/>
      <c r="Q2081" s="215" t="n"/>
      <c r="R2081" s="215" t="n"/>
      <c r="S2081" s="215" t="n"/>
      <c r="T2081" s="215" t="n"/>
      <c r="U2081" s="215" t="n"/>
      <c r="V2081" s="215" t="n"/>
      <c r="W2081" s="215" t="n"/>
      <c r="X2081" s="215" t="n"/>
      <c r="Y2081" s="215" t="n"/>
      <c r="Z2081" s="215" t="n"/>
      <c r="AA2081" s="215" t="n"/>
      <c r="AB2081" s="215" t="n"/>
      <c r="AC2081" s="215" t="n"/>
      <c r="AD2081" s="215" t="n"/>
      <c r="AE2081" s="215" t="n"/>
      <c r="AF2081" s="215" t="n"/>
      <c r="AG2081" s="215" t="n"/>
      <c r="AH2081" s="215" t="n"/>
      <c r="AI2081" s="215" t="n"/>
      <c r="AJ2081" s="215" t="n"/>
      <c r="AK2081" s="216" t="n"/>
    </row>
    <row r="2082" ht="15" customHeight="1">
      <c r="B2082" s="134" t="n"/>
      <c r="C2082" s="105" t="n"/>
      <c r="D2082" s="105" t="n"/>
      <c r="E2082" s="105" t="n"/>
      <c r="F2082" s="105" t="n"/>
      <c r="G2082" s="105" t="n"/>
      <c r="H2082" s="2" t="n"/>
      <c r="I2082" s="105" t="n"/>
      <c r="K2082" s="215" t="n"/>
      <c r="L2082" s="215" t="n"/>
      <c r="M2082" s="215" t="n"/>
      <c r="N2082" s="215" t="n"/>
      <c r="O2082" s="215" t="n"/>
      <c r="P2082" s="215" t="n"/>
      <c r="Q2082" s="215" t="n"/>
      <c r="R2082" s="215" t="n"/>
      <c r="S2082" s="215" t="n"/>
      <c r="T2082" s="215" t="n"/>
      <c r="U2082" s="215" t="n"/>
      <c r="V2082" s="215" t="n"/>
      <c r="W2082" s="215" t="n"/>
      <c r="X2082" s="215" t="n"/>
      <c r="Y2082" s="215" t="n"/>
      <c r="Z2082" s="215" t="n"/>
      <c r="AA2082" s="215" t="n"/>
      <c r="AB2082" s="215" t="n"/>
      <c r="AC2082" s="215" t="n"/>
      <c r="AD2082" s="215" t="n"/>
      <c r="AE2082" s="215" t="n"/>
      <c r="AF2082" s="215" t="n"/>
      <c r="AG2082" s="215" t="n"/>
      <c r="AH2082" s="215" t="n"/>
      <c r="AI2082" s="215" t="n"/>
      <c r="AJ2082" s="215" t="n"/>
      <c r="AK2082" s="216" t="n"/>
    </row>
    <row r="2083" ht="15" customHeight="1">
      <c r="B2083" s="134" t="n"/>
      <c r="C2083" s="105" t="n"/>
      <c r="D2083" s="105" t="n"/>
      <c r="E2083" s="105" t="n"/>
      <c r="F2083" s="105" t="n"/>
      <c r="G2083" s="105" t="n"/>
      <c r="H2083" s="2" t="n"/>
      <c r="I2083" s="105" t="n"/>
      <c r="K2083" s="215" t="n"/>
      <c r="L2083" s="215" t="n"/>
      <c r="M2083" s="215" t="n"/>
      <c r="N2083" s="215" t="n"/>
      <c r="O2083" s="215" t="n"/>
      <c r="P2083" s="215" t="n"/>
      <c r="Q2083" s="215" t="n"/>
      <c r="R2083" s="215" t="n"/>
      <c r="S2083" s="215" t="n"/>
      <c r="T2083" s="215" t="n"/>
      <c r="U2083" s="215" t="n"/>
      <c r="V2083" s="215" t="n"/>
      <c r="W2083" s="215" t="n"/>
      <c r="X2083" s="215" t="n"/>
      <c r="Y2083" s="215" t="n"/>
      <c r="Z2083" s="215" t="n"/>
      <c r="AA2083" s="215" t="n"/>
      <c r="AB2083" s="215" t="n"/>
      <c r="AC2083" s="215" t="n"/>
      <c r="AD2083" s="215" t="n"/>
      <c r="AE2083" s="215" t="n"/>
      <c r="AF2083" s="215" t="n"/>
      <c r="AG2083" s="215" t="n"/>
      <c r="AH2083" s="215" t="n"/>
      <c r="AI2083" s="215" t="n"/>
      <c r="AJ2083" s="215" t="n"/>
      <c r="AK2083" s="216" t="n"/>
    </row>
    <row r="2084" ht="15" customHeight="1">
      <c r="B2084" s="134" t="n"/>
      <c r="C2084" s="105" t="n"/>
      <c r="D2084" s="105" t="n"/>
      <c r="E2084" s="105" t="n"/>
      <c r="F2084" s="105" t="n"/>
      <c r="G2084" s="105" t="n"/>
      <c r="H2084" s="2" t="n"/>
      <c r="I2084" s="105" t="n"/>
      <c r="K2084" s="215" t="n"/>
      <c r="L2084" s="215" t="n"/>
      <c r="M2084" s="215" t="n"/>
      <c r="N2084" s="215" t="n"/>
      <c r="O2084" s="215" t="n"/>
      <c r="P2084" s="215" t="n"/>
      <c r="Q2084" s="215" t="n"/>
      <c r="R2084" s="215" t="n"/>
      <c r="S2084" s="215" t="n"/>
      <c r="T2084" s="215" t="n"/>
      <c r="U2084" s="215" t="n"/>
      <c r="V2084" s="215" t="n"/>
      <c r="W2084" s="215" t="n"/>
      <c r="X2084" s="215" t="n"/>
      <c r="Y2084" s="215" t="n"/>
      <c r="Z2084" s="215" t="n"/>
      <c r="AA2084" s="215" t="n"/>
      <c r="AB2084" s="215" t="n"/>
      <c r="AC2084" s="215" t="n"/>
      <c r="AD2084" s="215" t="n"/>
      <c r="AE2084" s="215" t="n"/>
      <c r="AF2084" s="215" t="n"/>
      <c r="AG2084" s="215" t="n"/>
      <c r="AH2084" s="215" t="n"/>
      <c r="AI2084" s="215" t="n"/>
      <c r="AJ2084" s="215" t="n"/>
      <c r="AK2084" s="216" t="n"/>
    </row>
    <row r="2085" ht="15" customHeight="1">
      <c r="B2085" s="134" t="n"/>
      <c r="C2085" s="105" t="n"/>
      <c r="D2085" s="105" t="n"/>
      <c r="E2085" s="105" t="n"/>
      <c r="F2085" s="105" t="n"/>
      <c r="G2085" s="105" t="n"/>
      <c r="H2085" s="2" t="n"/>
      <c r="I2085" s="105" t="n"/>
      <c r="K2085" s="215" t="n"/>
      <c r="L2085" s="215" t="n"/>
      <c r="M2085" s="215" t="n"/>
      <c r="N2085" s="215" t="n"/>
      <c r="O2085" s="215" t="n"/>
      <c r="P2085" s="215" t="n"/>
      <c r="Q2085" s="215" t="n"/>
      <c r="R2085" s="215" t="n"/>
      <c r="S2085" s="215" t="n"/>
      <c r="T2085" s="215" t="n"/>
      <c r="U2085" s="215" t="n"/>
      <c r="V2085" s="215" t="n"/>
      <c r="W2085" s="215" t="n"/>
      <c r="X2085" s="215" t="n"/>
      <c r="Y2085" s="215" t="n"/>
      <c r="Z2085" s="215" t="n"/>
      <c r="AA2085" s="215" t="n"/>
      <c r="AB2085" s="215" t="n"/>
      <c r="AC2085" s="215" t="n"/>
      <c r="AD2085" s="215" t="n"/>
      <c r="AE2085" s="215" t="n"/>
      <c r="AF2085" s="215" t="n"/>
      <c r="AG2085" s="215" t="n"/>
      <c r="AH2085" s="215" t="n"/>
      <c r="AI2085" s="215" t="n"/>
      <c r="AJ2085" s="215" t="n"/>
      <c r="AK2085" s="216" t="n"/>
    </row>
    <row r="2086" ht="15" customHeight="1">
      <c r="B2086" s="134" t="n"/>
      <c r="C2086" s="105" t="n"/>
      <c r="D2086" s="105" t="n"/>
      <c r="E2086" s="105" t="n"/>
      <c r="F2086" s="105" t="n"/>
      <c r="G2086" s="105" t="n"/>
      <c r="H2086" s="2" t="n"/>
      <c r="I2086" s="105" t="n"/>
      <c r="K2086" s="215" t="n"/>
      <c r="L2086" s="215" t="n"/>
      <c r="M2086" s="215" t="n"/>
      <c r="N2086" s="215" t="n"/>
      <c r="O2086" s="215" t="n"/>
      <c r="P2086" s="215" t="n"/>
      <c r="Q2086" s="215" t="n"/>
      <c r="R2086" s="215" t="n"/>
      <c r="S2086" s="215" t="n"/>
      <c r="T2086" s="215" t="n"/>
      <c r="U2086" s="215" t="n"/>
      <c r="V2086" s="215" t="n"/>
      <c r="W2086" s="215" t="n"/>
      <c r="X2086" s="215" t="n"/>
      <c r="Y2086" s="215" t="n"/>
      <c r="Z2086" s="215" t="n"/>
      <c r="AA2086" s="215" t="n"/>
      <c r="AB2086" s="215" t="n"/>
      <c r="AC2086" s="215" t="n"/>
      <c r="AD2086" s="215" t="n"/>
      <c r="AE2086" s="215" t="n"/>
      <c r="AF2086" s="215" t="n"/>
      <c r="AG2086" s="215" t="n"/>
      <c r="AH2086" s="215" t="n"/>
      <c r="AI2086" s="215" t="n"/>
      <c r="AJ2086" s="215" t="n"/>
      <c r="AK2086" s="216" t="n"/>
    </row>
    <row r="2087" ht="15" customHeight="1">
      <c r="B2087" s="134" t="n"/>
      <c r="C2087" s="105" t="n"/>
      <c r="D2087" s="105" t="n"/>
      <c r="E2087" s="105" t="n"/>
      <c r="F2087" s="105" t="n"/>
      <c r="G2087" s="105" t="n"/>
      <c r="H2087" s="2" t="n"/>
      <c r="I2087" s="105" t="n"/>
      <c r="K2087" s="215" t="n"/>
      <c r="L2087" s="215" t="n"/>
      <c r="M2087" s="215" t="n"/>
      <c r="N2087" s="215" t="n"/>
      <c r="O2087" s="215" t="n"/>
      <c r="P2087" s="215" t="n"/>
      <c r="Q2087" s="215" t="n"/>
      <c r="R2087" s="215" t="n"/>
      <c r="S2087" s="215" t="n"/>
      <c r="T2087" s="215" t="n"/>
      <c r="U2087" s="215" t="n"/>
      <c r="V2087" s="215" t="n"/>
      <c r="W2087" s="215" t="n"/>
      <c r="X2087" s="215" t="n"/>
      <c r="Y2087" s="215" t="n"/>
      <c r="Z2087" s="215" t="n"/>
      <c r="AA2087" s="215" t="n"/>
      <c r="AB2087" s="215" t="n"/>
      <c r="AC2087" s="215" t="n"/>
      <c r="AD2087" s="215" t="n"/>
      <c r="AE2087" s="215" t="n"/>
      <c r="AF2087" s="215" t="n"/>
      <c r="AG2087" s="215" t="n"/>
      <c r="AH2087" s="215" t="n"/>
      <c r="AI2087" s="215" t="n"/>
      <c r="AJ2087" s="215" t="n"/>
      <c r="AK2087" s="216" t="n"/>
    </row>
    <row r="2088" ht="15" customHeight="1">
      <c r="B2088" s="134" t="n"/>
      <c r="C2088" s="105" t="n"/>
      <c r="D2088" s="105" t="n"/>
      <c r="E2088" s="105" t="n"/>
      <c r="F2088" s="105" t="n"/>
      <c r="G2088" s="105" t="n"/>
      <c r="H2088" s="2" t="n"/>
      <c r="I2088" s="105" t="n"/>
      <c r="K2088" s="215" t="n"/>
      <c r="L2088" s="215" t="n"/>
      <c r="M2088" s="215" t="n"/>
      <c r="N2088" s="215" t="n"/>
      <c r="O2088" s="215" t="n"/>
      <c r="P2088" s="215" t="n"/>
      <c r="Q2088" s="215" t="n"/>
      <c r="R2088" s="215" t="n"/>
      <c r="S2088" s="215" t="n"/>
      <c r="T2088" s="215" t="n"/>
      <c r="U2088" s="215" t="n"/>
      <c r="V2088" s="215" t="n"/>
      <c r="W2088" s="215" t="n"/>
      <c r="X2088" s="215" t="n"/>
      <c r="Y2088" s="215" t="n"/>
      <c r="Z2088" s="215" t="n"/>
      <c r="AA2088" s="215" t="n"/>
      <c r="AB2088" s="215" t="n"/>
      <c r="AC2088" s="215" t="n"/>
      <c r="AD2088" s="215" t="n"/>
      <c r="AE2088" s="215" t="n"/>
      <c r="AF2088" s="215" t="n"/>
      <c r="AG2088" s="215" t="n"/>
      <c r="AH2088" s="215" t="n"/>
      <c r="AI2088" s="215" t="n"/>
      <c r="AJ2088" s="215" t="n"/>
      <c r="AK2088" s="216" t="n"/>
    </row>
    <row r="2089" ht="15" customHeight="1">
      <c r="B2089" s="134" t="n"/>
      <c r="C2089" s="105" t="n"/>
      <c r="D2089" s="105" t="n"/>
      <c r="E2089" s="105" t="n"/>
      <c r="F2089" s="105" t="n"/>
      <c r="G2089" s="105" t="n"/>
      <c r="H2089" s="2" t="n"/>
      <c r="I2089" s="105" t="n"/>
      <c r="K2089" s="215" t="n"/>
      <c r="L2089" s="215" t="n"/>
      <c r="M2089" s="215" t="n"/>
      <c r="N2089" s="215" t="n"/>
      <c r="O2089" s="215" t="n"/>
      <c r="P2089" s="215" t="n"/>
      <c r="Q2089" s="215" t="n"/>
      <c r="R2089" s="215" t="n"/>
      <c r="S2089" s="215" t="n"/>
      <c r="T2089" s="215" t="n"/>
      <c r="U2089" s="215" t="n"/>
      <c r="V2089" s="215" t="n"/>
      <c r="W2089" s="215" t="n"/>
      <c r="X2089" s="215" t="n"/>
      <c r="Y2089" s="215" t="n"/>
      <c r="Z2089" s="215" t="n"/>
      <c r="AA2089" s="215" t="n"/>
      <c r="AB2089" s="215" t="n"/>
      <c r="AC2089" s="215" t="n"/>
      <c r="AD2089" s="215" t="n"/>
      <c r="AE2089" s="215" t="n"/>
      <c r="AF2089" s="215" t="n"/>
      <c r="AG2089" s="215" t="n"/>
      <c r="AH2089" s="215" t="n"/>
      <c r="AI2089" s="215" t="n"/>
      <c r="AJ2089" s="215" t="n"/>
      <c r="AK2089" s="216" t="n"/>
    </row>
    <row r="2090" ht="15" customHeight="1">
      <c r="B2090" s="134" t="n"/>
      <c r="C2090" s="105" t="n"/>
      <c r="D2090" s="105" t="n"/>
      <c r="E2090" s="105" t="n"/>
      <c r="F2090" s="105" t="n"/>
      <c r="G2090" s="105" t="n"/>
      <c r="H2090" s="2" t="n"/>
      <c r="I2090" s="105" t="n"/>
      <c r="K2090" s="215" t="n"/>
      <c r="L2090" s="215" t="n"/>
      <c r="M2090" s="215" t="n"/>
      <c r="N2090" s="215" t="n"/>
      <c r="O2090" s="215" t="n"/>
      <c r="P2090" s="215" t="n"/>
      <c r="Q2090" s="215" t="n"/>
      <c r="R2090" s="215" t="n"/>
      <c r="S2090" s="215" t="n"/>
      <c r="T2090" s="215" t="n"/>
      <c r="U2090" s="215" t="n"/>
      <c r="V2090" s="215" t="n"/>
      <c r="W2090" s="215" t="n"/>
      <c r="X2090" s="215" t="n"/>
      <c r="Y2090" s="215" t="n"/>
      <c r="Z2090" s="215" t="n"/>
      <c r="AA2090" s="215" t="n"/>
      <c r="AB2090" s="215" t="n"/>
      <c r="AC2090" s="215" t="n"/>
      <c r="AD2090" s="215" t="n"/>
      <c r="AE2090" s="215" t="n"/>
      <c r="AF2090" s="215" t="n"/>
      <c r="AG2090" s="215" t="n"/>
      <c r="AH2090" s="215" t="n"/>
      <c r="AI2090" s="215" t="n"/>
      <c r="AJ2090" s="215" t="n"/>
      <c r="AK2090" s="216" t="n"/>
    </row>
    <row r="2091" ht="15" customHeight="1">
      <c r="B2091" s="134" t="n"/>
      <c r="C2091" s="105" t="n"/>
      <c r="D2091" s="105" t="n"/>
      <c r="E2091" s="105" t="n"/>
      <c r="F2091" s="105" t="n"/>
      <c r="G2091" s="105" t="n"/>
      <c r="H2091" s="2" t="n"/>
      <c r="I2091" s="105" t="n"/>
      <c r="K2091" s="215" t="n"/>
      <c r="L2091" s="215" t="n"/>
      <c r="M2091" s="215" t="n"/>
      <c r="N2091" s="215" t="n"/>
      <c r="O2091" s="215" t="n"/>
      <c r="P2091" s="215" t="n"/>
      <c r="Q2091" s="215" t="n"/>
      <c r="R2091" s="215" t="n"/>
      <c r="S2091" s="215" t="n"/>
      <c r="T2091" s="215" t="n"/>
      <c r="U2091" s="215" t="n"/>
      <c r="V2091" s="215" t="n"/>
      <c r="W2091" s="215" t="n"/>
      <c r="X2091" s="215" t="n"/>
      <c r="Y2091" s="215" t="n"/>
      <c r="Z2091" s="215" t="n"/>
      <c r="AA2091" s="215" t="n"/>
      <c r="AB2091" s="215" t="n"/>
      <c r="AC2091" s="215" t="n"/>
      <c r="AD2091" s="215" t="n"/>
      <c r="AE2091" s="215" t="n"/>
      <c r="AF2091" s="215" t="n"/>
      <c r="AG2091" s="215" t="n"/>
      <c r="AH2091" s="215" t="n"/>
      <c r="AI2091" s="215" t="n"/>
      <c r="AJ2091" s="215" t="n"/>
      <c r="AK2091" s="216" t="n"/>
    </row>
    <row r="2092" ht="15" customHeight="1">
      <c r="B2092" s="134" t="n"/>
      <c r="C2092" s="105" t="n"/>
      <c r="D2092" s="105" t="n"/>
      <c r="E2092" s="105" t="n"/>
      <c r="F2092" s="105" t="n"/>
      <c r="G2092" s="105" t="n"/>
      <c r="H2092" s="2" t="n"/>
      <c r="I2092" s="105" t="n"/>
      <c r="K2092" s="215" t="n"/>
      <c r="L2092" s="215" t="n"/>
      <c r="M2092" s="215" t="n"/>
      <c r="N2092" s="215" t="n"/>
      <c r="O2092" s="215" t="n"/>
      <c r="P2092" s="215" t="n"/>
      <c r="Q2092" s="215" t="n"/>
      <c r="R2092" s="215" t="n"/>
      <c r="S2092" s="215" t="n"/>
      <c r="T2092" s="215" t="n"/>
      <c r="U2092" s="215" t="n"/>
      <c r="V2092" s="215" t="n"/>
      <c r="W2092" s="215" t="n"/>
      <c r="X2092" s="215" t="n"/>
      <c r="Y2092" s="215" t="n"/>
      <c r="Z2092" s="215" t="n"/>
      <c r="AA2092" s="215" t="n"/>
      <c r="AB2092" s="215" t="n"/>
      <c r="AC2092" s="215" t="n"/>
      <c r="AD2092" s="215" t="n"/>
      <c r="AE2092" s="215" t="n"/>
      <c r="AF2092" s="215" t="n"/>
      <c r="AG2092" s="215" t="n"/>
      <c r="AH2092" s="215" t="n"/>
      <c r="AI2092" s="215" t="n"/>
      <c r="AJ2092" s="215" t="n"/>
      <c r="AK2092" s="216" t="n"/>
    </row>
    <row r="2093" ht="15" customHeight="1">
      <c r="B2093" s="134" t="n"/>
      <c r="C2093" s="105" t="n"/>
      <c r="D2093" s="105" t="n"/>
      <c r="E2093" s="105" t="n"/>
      <c r="F2093" s="105" t="n"/>
      <c r="G2093" s="105" t="n"/>
      <c r="H2093" s="2" t="n"/>
      <c r="I2093" s="105" t="n"/>
      <c r="K2093" s="215" t="n"/>
      <c r="L2093" s="215" t="n"/>
      <c r="M2093" s="215" t="n"/>
      <c r="N2093" s="215" t="n"/>
      <c r="O2093" s="215" t="n"/>
      <c r="P2093" s="215" t="n"/>
      <c r="Q2093" s="215" t="n"/>
      <c r="R2093" s="215" t="n"/>
      <c r="S2093" s="215" t="n"/>
      <c r="T2093" s="215" t="n"/>
      <c r="U2093" s="215" t="n"/>
      <c r="V2093" s="215" t="n"/>
      <c r="W2093" s="215" t="n"/>
      <c r="X2093" s="215" t="n"/>
      <c r="Y2093" s="215" t="n"/>
      <c r="Z2093" s="215" t="n"/>
      <c r="AA2093" s="215" t="n"/>
      <c r="AB2093" s="215" t="n"/>
      <c r="AC2093" s="215" t="n"/>
      <c r="AD2093" s="215" t="n"/>
      <c r="AE2093" s="215" t="n"/>
      <c r="AF2093" s="215" t="n"/>
      <c r="AG2093" s="215" t="n"/>
      <c r="AH2093" s="215" t="n"/>
      <c r="AI2093" s="215" t="n"/>
      <c r="AJ2093" s="215" t="n"/>
      <c r="AK2093" s="216" t="n"/>
    </row>
    <row r="2094" ht="15" customHeight="1">
      <c r="B2094" s="134" t="n"/>
      <c r="C2094" s="105" t="n"/>
      <c r="D2094" s="105" t="n"/>
      <c r="E2094" s="105" t="n"/>
      <c r="F2094" s="105" t="n"/>
      <c r="G2094" s="105" t="n"/>
      <c r="H2094" s="2" t="n"/>
      <c r="I2094" s="105" t="n"/>
      <c r="K2094" s="215" t="n"/>
      <c r="L2094" s="215" t="n"/>
      <c r="M2094" s="215" t="n"/>
      <c r="N2094" s="215" t="n"/>
      <c r="O2094" s="215" t="n"/>
      <c r="P2094" s="215" t="n"/>
      <c r="Q2094" s="215" t="n"/>
      <c r="R2094" s="215" t="n"/>
      <c r="S2094" s="215" t="n"/>
      <c r="T2094" s="215" t="n"/>
      <c r="U2094" s="215" t="n"/>
      <c r="V2094" s="215" t="n"/>
      <c r="W2094" s="215" t="n"/>
      <c r="X2094" s="215" t="n"/>
      <c r="Y2094" s="215" t="n"/>
      <c r="Z2094" s="215" t="n"/>
      <c r="AA2094" s="215" t="n"/>
      <c r="AB2094" s="215" t="n"/>
      <c r="AC2094" s="215" t="n"/>
      <c r="AD2094" s="215" t="n"/>
      <c r="AE2094" s="215" t="n"/>
      <c r="AF2094" s="215" t="n"/>
      <c r="AG2094" s="215" t="n"/>
      <c r="AH2094" s="215" t="n"/>
      <c r="AI2094" s="215" t="n"/>
      <c r="AJ2094" s="215" t="n"/>
      <c r="AK2094" s="216" t="n"/>
    </row>
    <row r="2095" ht="15" customHeight="1">
      <c r="B2095" s="134" t="n"/>
      <c r="C2095" s="105" t="n"/>
      <c r="D2095" s="105" t="n"/>
      <c r="E2095" s="105" t="n"/>
      <c r="F2095" s="105" t="n"/>
      <c r="G2095" s="105" t="n"/>
      <c r="H2095" s="2" t="n"/>
      <c r="I2095" s="105" t="n"/>
      <c r="K2095" s="215" t="n"/>
      <c r="L2095" s="215" t="n"/>
      <c r="M2095" s="215" t="n"/>
      <c r="N2095" s="215" t="n"/>
      <c r="O2095" s="215" t="n"/>
      <c r="P2095" s="215" t="n"/>
      <c r="Q2095" s="215" t="n"/>
      <c r="R2095" s="215" t="n"/>
      <c r="S2095" s="215" t="n"/>
      <c r="T2095" s="215" t="n"/>
      <c r="U2095" s="215" t="n"/>
      <c r="V2095" s="215" t="n"/>
      <c r="W2095" s="215" t="n"/>
      <c r="X2095" s="215" t="n"/>
      <c r="Y2095" s="215" t="n"/>
      <c r="Z2095" s="215" t="n"/>
      <c r="AA2095" s="215" t="n"/>
      <c r="AB2095" s="215" t="n"/>
      <c r="AC2095" s="215" t="n"/>
      <c r="AD2095" s="215" t="n"/>
      <c r="AE2095" s="215" t="n"/>
      <c r="AF2095" s="215" t="n"/>
      <c r="AG2095" s="215" t="n"/>
      <c r="AH2095" s="215" t="n"/>
      <c r="AI2095" s="215" t="n"/>
      <c r="AJ2095" s="215" t="n"/>
      <c r="AK2095" s="216" t="n"/>
    </row>
    <row r="2096" ht="15" customHeight="1">
      <c r="B2096" s="134" t="n"/>
      <c r="C2096" s="105" t="n"/>
      <c r="D2096" s="105" t="n"/>
      <c r="E2096" s="105" t="n"/>
      <c r="F2096" s="105" t="n"/>
      <c r="G2096" s="105" t="n"/>
      <c r="H2096" s="2" t="n"/>
      <c r="I2096" s="105" t="n"/>
      <c r="K2096" s="215" t="n"/>
      <c r="L2096" s="215" t="n"/>
      <c r="M2096" s="215" t="n"/>
      <c r="N2096" s="215" t="n"/>
      <c r="O2096" s="215" t="n"/>
      <c r="P2096" s="215" t="n"/>
      <c r="Q2096" s="215" t="n"/>
      <c r="R2096" s="215" t="n"/>
      <c r="S2096" s="215" t="n"/>
      <c r="T2096" s="215" t="n"/>
      <c r="U2096" s="215" t="n"/>
      <c r="V2096" s="215" t="n"/>
      <c r="W2096" s="215" t="n"/>
      <c r="X2096" s="215" t="n"/>
      <c r="Y2096" s="215" t="n"/>
      <c r="Z2096" s="215" t="n"/>
      <c r="AA2096" s="215" t="n"/>
      <c r="AB2096" s="215" t="n"/>
      <c r="AC2096" s="215" t="n"/>
      <c r="AD2096" s="215" t="n"/>
      <c r="AE2096" s="215" t="n"/>
      <c r="AF2096" s="215" t="n"/>
      <c r="AG2096" s="215" t="n"/>
      <c r="AH2096" s="215" t="n"/>
      <c r="AI2096" s="215" t="n"/>
      <c r="AJ2096" s="215" t="n"/>
      <c r="AK2096" s="216" t="n"/>
    </row>
    <row r="2097" ht="15" customHeight="1">
      <c r="B2097" s="134" t="n"/>
      <c r="C2097" s="105" t="n"/>
      <c r="D2097" s="105" t="n"/>
      <c r="E2097" s="105" t="n"/>
      <c r="F2097" s="105" t="n"/>
      <c r="G2097" s="105" t="n"/>
      <c r="H2097" s="2" t="n"/>
      <c r="I2097" s="105" t="n"/>
      <c r="K2097" s="215" t="n"/>
      <c r="L2097" s="215" t="n"/>
      <c r="M2097" s="215" t="n"/>
      <c r="N2097" s="215" t="n"/>
      <c r="O2097" s="215" t="n"/>
      <c r="P2097" s="215" t="n"/>
      <c r="Q2097" s="215" t="n"/>
      <c r="R2097" s="215" t="n"/>
      <c r="S2097" s="215" t="n"/>
      <c r="T2097" s="215" t="n"/>
      <c r="U2097" s="215" t="n"/>
      <c r="V2097" s="215" t="n"/>
      <c r="W2097" s="215" t="n"/>
      <c r="X2097" s="215" t="n"/>
      <c r="Y2097" s="215" t="n"/>
      <c r="Z2097" s="215" t="n"/>
      <c r="AA2097" s="215" t="n"/>
      <c r="AB2097" s="215" t="n"/>
      <c r="AC2097" s="215" t="n"/>
      <c r="AD2097" s="215" t="n"/>
      <c r="AE2097" s="215" t="n"/>
      <c r="AF2097" s="215" t="n"/>
      <c r="AG2097" s="215" t="n"/>
      <c r="AH2097" s="215" t="n"/>
      <c r="AI2097" s="215" t="n"/>
      <c r="AJ2097" s="215" t="n"/>
      <c r="AK2097" s="216" t="n"/>
    </row>
    <row r="2098" ht="15" customHeight="1">
      <c r="B2098" s="134" t="n"/>
      <c r="C2098" s="105" t="n"/>
      <c r="D2098" s="105" t="n"/>
      <c r="E2098" s="105" t="n"/>
      <c r="F2098" s="105" t="n"/>
      <c r="G2098" s="105" t="n"/>
      <c r="H2098" s="2" t="n"/>
      <c r="I2098" s="105" t="n"/>
      <c r="K2098" s="215" t="n"/>
      <c r="L2098" s="215" t="n"/>
      <c r="M2098" s="215" t="n"/>
      <c r="N2098" s="215" t="n"/>
      <c r="O2098" s="215" t="n"/>
      <c r="P2098" s="215" t="n"/>
      <c r="Q2098" s="215" t="n"/>
      <c r="R2098" s="215" t="n"/>
      <c r="S2098" s="215" t="n"/>
      <c r="T2098" s="215" t="n"/>
      <c r="U2098" s="215" t="n"/>
      <c r="V2098" s="215" t="n"/>
      <c r="W2098" s="215" t="n"/>
      <c r="X2098" s="215" t="n"/>
      <c r="Y2098" s="215" t="n"/>
      <c r="Z2098" s="215" t="n"/>
      <c r="AA2098" s="215" t="n"/>
      <c r="AB2098" s="215" t="n"/>
      <c r="AC2098" s="215" t="n"/>
      <c r="AD2098" s="215" t="n"/>
      <c r="AE2098" s="215" t="n"/>
      <c r="AF2098" s="215" t="n"/>
      <c r="AG2098" s="215" t="n"/>
      <c r="AH2098" s="215" t="n"/>
      <c r="AI2098" s="215" t="n"/>
      <c r="AJ2098" s="215" t="n"/>
      <c r="AK2098" s="216" t="n"/>
    </row>
    <row r="2099" ht="15" customHeight="1">
      <c r="B2099" s="134" t="n"/>
      <c r="C2099" s="105" t="n"/>
      <c r="D2099" s="105" t="n"/>
      <c r="E2099" s="105" t="n"/>
      <c r="F2099" s="105" t="n"/>
      <c r="G2099" s="105" t="n"/>
      <c r="H2099" s="2" t="n"/>
      <c r="I2099" s="105" t="n"/>
      <c r="K2099" s="215" t="n"/>
      <c r="L2099" s="215" t="n"/>
      <c r="M2099" s="215" t="n"/>
      <c r="N2099" s="215" t="n"/>
      <c r="O2099" s="215" t="n"/>
      <c r="P2099" s="215" t="n"/>
      <c r="Q2099" s="215" t="n"/>
      <c r="R2099" s="215" t="n"/>
      <c r="S2099" s="215" t="n"/>
      <c r="T2099" s="215" t="n"/>
      <c r="U2099" s="215" t="n"/>
      <c r="V2099" s="215" t="n"/>
      <c r="W2099" s="215" t="n"/>
      <c r="X2099" s="215" t="n"/>
      <c r="Y2099" s="215" t="n"/>
      <c r="Z2099" s="215" t="n"/>
      <c r="AA2099" s="215" t="n"/>
      <c r="AB2099" s="215" t="n"/>
      <c r="AC2099" s="215" t="n"/>
      <c r="AD2099" s="215" t="n"/>
      <c r="AE2099" s="215" t="n"/>
      <c r="AF2099" s="215" t="n"/>
      <c r="AG2099" s="215" t="n"/>
      <c r="AH2099" s="215" t="n"/>
      <c r="AI2099" s="215" t="n"/>
      <c r="AJ2099" s="215" t="n"/>
      <c r="AK2099" s="216" t="n"/>
    </row>
    <row r="2100" ht="15" customHeight="1">
      <c r="B2100" s="134" t="n"/>
      <c r="C2100" s="105" t="n"/>
      <c r="D2100" s="105" t="n"/>
      <c r="E2100" s="105" t="n"/>
      <c r="F2100" s="105" t="n"/>
      <c r="G2100" s="105" t="n"/>
      <c r="H2100" s="2" t="n"/>
      <c r="I2100" s="105" t="n"/>
      <c r="K2100" s="215" t="n"/>
      <c r="L2100" s="215" t="n"/>
      <c r="M2100" s="215" t="n"/>
      <c r="N2100" s="215" t="n"/>
      <c r="O2100" s="215" t="n"/>
      <c r="P2100" s="215" t="n"/>
      <c r="Q2100" s="215" t="n"/>
      <c r="R2100" s="215" t="n"/>
      <c r="S2100" s="215" t="n"/>
      <c r="T2100" s="215" t="n"/>
      <c r="U2100" s="215" t="n"/>
      <c r="V2100" s="215" t="n"/>
      <c r="W2100" s="215" t="n"/>
      <c r="X2100" s="215" t="n"/>
      <c r="Y2100" s="215" t="n"/>
      <c r="Z2100" s="215" t="n"/>
      <c r="AA2100" s="215" t="n"/>
      <c r="AB2100" s="215" t="n"/>
      <c r="AC2100" s="215" t="n"/>
      <c r="AD2100" s="215" t="n"/>
      <c r="AE2100" s="215" t="n"/>
      <c r="AF2100" s="215" t="n"/>
      <c r="AG2100" s="215" t="n"/>
      <c r="AH2100" s="215" t="n"/>
      <c r="AI2100" s="215" t="n"/>
      <c r="AJ2100" s="215" t="n"/>
      <c r="AK2100" s="216" t="n"/>
    </row>
    <row r="2101" ht="15" customHeight="1">
      <c r="B2101" s="134" t="n"/>
      <c r="C2101" s="105" t="n"/>
      <c r="D2101" s="105" t="n"/>
      <c r="E2101" s="105" t="n"/>
      <c r="F2101" s="105" t="n"/>
      <c r="G2101" s="105" t="n"/>
      <c r="H2101" s="2" t="n"/>
      <c r="I2101" s="105" t="n"/>
      <c r="K2101" s="215" t="n"/>
      <c r="L2101" s="215" t="n"/>
      <c r="M2101" s="215" t="n"/>
      <c r="N2101" s="215" t="n"/>
      <c r="O2101" s="215" t="n"/>
      <c r="P2101" s="215" t="n"/>
      <c r="Q2101" s="215" t="n"/>
      <c r="R2101" s="215" t="n"/>
      <c r="S2101" s="215" t="n"/>
      <c r="T2101" s="215" t="n"/>
      <c r="U2101" s="215" t="n"/>
      <c r="V2101" s="215" t="n"/>
      <c r="W2101" s="215" t="n"/>
      <c r="X2101" s="215" t="n"/>
      <c r="Y2101" s="215" t="n"/>
      <c r="Z2101" s="215" t="n"/>
      <c r="AA2101" s="215" t="n"/>
      <c r="AB2101" s="215" t="n"/>
      <c r="AC2101" s="215" t="n"/>
      <c r="AD2101" s="215" t="n"/>
      <c r="AE2101" s="215" t="n"/>
      <c r="AF2101" s="215" t="n"/>
      <c r="AG2101" s="215" t="n"/>
      <c r="AH2101" s="215" t="n"/>
      <c r="AI2101" s="215" t="n"/>
      <c r="AJ2101" s="215" t="n"/>
      <c r="AK2101" s="216" t="n"/>
    </row>
    <row r="2102" ht="15" customHeight="1">
      <c r="B2102" s="134" t="n"/>
      <c r="C2102" s="105" t="n"/>
      <c r="D2102" s="105" t="n"/>
      <c r="E2102" s="105" t="n"/>
      <c r="F2102" s="105" t="n"/>
      <c r="G2102" s="105" t="n"/>
      <c r="H2102" s="2" t="n"/>
      <c r="I2102" s="105" t="n"/>
      <c r="K2102" s="215" t="n"/>
      <c r="L2102" s="215" t="n"/>
      <c r="M2102" s="215" t="n"/>
      <c r="N2102" s="215" t="n"/>
      <c r="O2102" s="215" t="n"/>
      <c r="P2102" s="215" t="n"/>
      <c r="Q2102" s="215" t="n"/>
      <c r="R2102" s="215" t="n"/>
      <c r="S2102" s="215" t="n"/>
      <c r="T2102" s="215" t="n"/>
      <c r="U2102" s="215" t="n"/>
      <c r="V2102" s="215" t="n"/>
      <c r="W2102" s="215" t="n"/>
      <c r="X2102" s="215" t="n"/>
      <c r="Y2102" s="215" t="n"/>
      <c r="Z2102" s="215" t="n"/>
      <c r="AA2102" s="215" t="n"/>
      <c r="AB2102" s="215" t="n"/>
      <c r="AC2102" s="215" t="n"/>
      <c r="AD2102" s="215" t="n"/>
      <c r="AE2102" s="215" t="n"/>
      <c r="AF2102" s="215" t="n"/>
      <c r="AG2102" s="215" t="n"/>
      <c r="AH2102" s="215" t="n"/>
      <c r="AI2102" s="215" t="n"/>
      <c r="AJ2102" s="215" t="n"/>
      <c r="AK2102" s="216" t="n"/>
    </row>
    <row r="2103" ht="15" customHeight="1">
      <c r="B2103" s="134" t="n"/>
      <c r="C2103" s="105" t="n"/>
      <c r="D2103" s="105" t="n"/>
      <c r="E2103" s="105" t="n"/>
      <c r="F2103" s="105" t="n"/>
      <c r="G2103" s="105" t="n"/>
      <c r="H2103" s="2" t="n"/>
      <c r="I2103" s="105" t="n"/>
      <c r="K2103" s="215" t="n"/>
      <c r="L2103" s="215" t="n"/>
      <c r="M2103" s="215" t="n"/>
      <c r="N2103" s="215" t="n"/>
      <c r="O2103" s="215" t="n"/>
      <c r="P2103" s="215" t="n"/>
      <c r="Q2103" s="215" t="n"/>
      <c r="R2103" s="215" t="n"/>
      <c r="S2103" s="215" t="n"/>
      <c r="T2103" s="215" t="n"/>
      <c r="U2103" s="215" t="n"/>
      <c r="V2103" s="215" t="n"/>
      <c r="W2103" s="215" t="n"/>
      <c r="X2103" s="215" t="n"/>
      <c r="Y2103" s="215" t="n"/>
      <c r="Z2103" s="215" t="n"/>
      <c r="AA2103" s="215" t="n"/>
      <c r="AB2103" s="215" t="n"/>
      <c r="AC2103" s="215" t="n"/>
      <c r="AD2103" s="215" t="n"/>
      <c r="AE2103" s="215" t="n"/>
      <c r="AF2103" s="215" t="n"/>
      <c r="AG2103" s="215" t="n"/>
      <c r="AH2103" s="215" t="n"/>
      <c r="AI2103" s="215" t="n"/>
      <c r="AJ2103" s="215" t="n"/>
      <c r="AK2103" s="216" t="n"/>
    </row>
    <row r="2104" ht="15" customHeight="1">
      <c r="B2104" s="134" t="n"/>
      <c r="C2104" s="105" t="n"/>
      <c r="D2104" s="105" t="n"/>
      <c r="E2104" s="105" t="n"/>
      <c r="F2104" s="105" t="n"/>
      <c r="G2104" s="105" t="n"/>
      <c r="H2104" s="2" t="n"/>
      <c r="I2104" s="105" t="n"/>
      <c r="K2104" s="215" t="n"/>
      <c r="L2104" s="215" t="n"/>
      <c r="M2104" s="215" t="n"/>
      <c r="N2104" s="215" t="n"/>
      <c r="O2104" s="215" t="n"/>
      <c r="P2104" s="215" t="n"/>
      <c r="Q2104" s="215" t="n"/>
      <c r="R2104" s="215" t="n"/>
      <c r="S2104" s="215" t="n"/>
      <c r="T2104" s="215" t="n"/>
      <c r="U2104" s="215" t="n"/>
      <c r="V2104" s="215" t="n"/>
      <c r="W2104" s="215" t="n"/>
      <c r="X2104" s="215" t="n"/>
      <c r="Y2104" s="215" t="n"/>
      <c r="Z2104" s="215" t="n"/>
      <c r="AA2104" s="215" t="n"/>
      <c r="AB2104" s="215" t="n"/>
      <c r="AC2104" s="215" t="n"/>
      <c r="AD2104" s="215" t="n"/>
      <c r="AE2104" s="215" t="n"/>
      <c r="AF2104" s="215" t="n"/>
      <c r="AG2104" s="215" t="n"/>
      <c r="AH2104" s="215" t="n"/>
      <c r="AI2104" s="215" t="n"/>
      <c r="AJ2104" s="215" t="n"/>
      <c r="AK2104" s="216" t="n"/>
    </row>
    <row r="2105" ht="15" customHeight="1">
      <c r="B2105" s="134" t="n"/>
      <c r="C2105" s="105" t="n"/>
      <c r="D2105" s="105" t="n"/>
      <c r="E2105" s="105" t="n"/>
      <c r="F2105" s="105" t="n"/>
      <c r="G2105" s="105" t="n"/>
      <c r="H2105" s="2" t="n"/>
      <c r="I2105" s="105" t="n"/>
      <c r="K2105" s="215" t="n"/>
      <c r="L2105" s="215" t="n"/>
      <c r="M2105" s="215" t="n"/>
      <c r="N2105" s="215" t="n"/>
      <c r="O2105" s="215" t="n"/>
      <c r="P2105" s="215" t="n"/>
      <c r="Q2105" s="215" t="n"/>
      <c r="R2105" s="215" t="n"/>
      <c r="S2105" s="215" t="n"/>
      <c r="T2105" s="215" t="n"/>
      <c r="U2105" s="215" t="n"/>
      <c r="V2105" s="215" t="n"/>
      <c r="W2105" s="215" t="n"/>
      <c r="X2105" s="215" t="n"/>
      <c r="Y2105" s="215" t="n"/>
      <c r="Z2105" s="215" t="n"/>
      <c r="AA2105" s="215" t="n"/>
      <c r="AB2105" s="215" t="n"/>
      <c r="AC2105" s="215" t="n"/>
      <c r="AD2105" s="215" t="n"/>
      <c r="AE2105" s="215" t="n"/>
      <c r="AF2105" s="215" t="n"/>
      <c r="AG2105" s="215" t="n"/>
      <c r="AH2105" s="215" t="n"/>
      <c r="AI2105" s="215" t="n"/>
      <c r="AJ2105" s="215" t="n"/>
      <c r="AK2105" s="216" t="n"/>
    </row>
    <row r="2106" ht="15" customHeight="1">
      <c r="B2106" s="134" t="n"/>
      <c r="C2106" s="105" t="n"/>
      <c r="D2106" s="105" t="n"/>
      <c r="E2106" s="105" t="n"/>
      <c r="F2106" s="105" t="n"/>
      <c r="G2106" s="105" t="n"/>
      <c r="H2106" s="2" t="n"/>
      <c r="I2106" s="105" t="n"/>
      <c r="K2106" s="215" t="n"/>
      <c r="L2106" s="215" t="n"/>
      <c r="M2106" s="215" t="n"/>
      <c r="N2106" s="215" t="n"/>
      <c r="O2106" s="215" t="n"/>
      <c r="P2106" s="215" t="n"/>
      <c r="Q2106" s="215" t="n"/>
      <c r="R2106" s="215" t="n"/>
      <c r="S2106" s="215" t="n"/>
      <c r="T2106" s="215" t="n"/>
      <c r="U2106" s="215" t="n"/>
      <c r="V2106" s="215" t="n"/>
      <c r="W2106" s="215" t="n"/>
      <c r="X2106" s="215" t="n"/>
      <c r="Y2106" s="215" t="n"/>
      <c r="Z2106" s="215" t="n"/>
      <c r="AA2106" s="215" t="n"/>
      <c r="AB2106" s="215" t="n"/>
      <c r="AC2106" s="215" t="n"/>
      <c r="AD2106" s="215" t="n"/>
      <c r="AE2106" s="215" t="n"/>
      <c r="AF2106" s="215" t="n"/>
      <c r="AG2106" s="215" t="n"/>
      <c r="AH2106" s="215" t="n"/>
      <c r="AI2106" s="215" t="n"/>
      <c r="AJ2106" s="215" t="n"/>
      <c r="AK2106" s="216" t="n"/>
    </row>
    <row r="2107" ht="15" customHeight="1">
      <c r="B2107" s="134" t="n"/>
      <c r="C2107" s="105" t="n"/>
      <c r="D2107" s="105" t="n"/>
      <c r="E2107" s="105" t="n"/>
      <c r="F2107" s="105" t="n"/>
      <c r="G2107" s="105" t="n"/>
      <c r="H2107" s="2" t="n"/>
      <c r="I2107" s="105" t="n"/>
      <c r="K2107" s="215" t="n"/>
      <c r="L2107" s="215" t="n"/>
      <c r="M2107" s="215" t="n"/>
      <c r="N2107" s="215" t="n"/>
      <c r="O2107" s="215" t="n"/>
      <c r="P2107" s="215" t="n"/>
      <c r="Q2107" s="215" t="n"/>
      <c r="R2107" s="215" t="n"/>
      <c r="S2107" s="215" t="n"/>
      <c r="T2107" s="215" t="n"/>
      <c r="U2107" s="215" t="n"/>
      <c r="V2107" s="215" t="n"/>
      <c r="W2107" s="215" t="n"/>
      <c r="X2107" s="215" t="n"/>
      <c r="Y2107" s="215" t="n"/>
      <c r="Z2107" s="215" t="n"/>
      <c r="AA2107" s="215" t="n"/>
      <c r="AB2107" s="215" t="n"/>
      <c r="AC2107" s="215" t="n"/>
      <c r="AD2107" s="215" t="n"/>
      <c r="AE2107" s="215" t="n"/>
      <c r="AF2107" s="215" t="n"/>
      <c r="AG2107" s="215" t="n"/>
      <c r="AH2107" s="215" t="n"/>
      <c r="AI2107" s="215" t="n"/>
      <c r="AJ2107" s="215" t="n"/>
      <c r="AK2107" s="216" t="n"/>
    </row>
    <row r="2108" ht="15" customHeight="1">
      <c r="B2108" s="134" t="n"/>
      <c r="C2108" s="105" t="n"/>
      <c r="D2108" s="105" t="n"/>
      <c r="E2108" s="105" t="n"/>
      <c r="F2108" s="105" t="n"/>
      <c r="G2108" s="105" t="n"/>
      <c r="H2108" s="2" t="n"/>
      <c r="I2108" s="105" t="n"/>
      <c r="K2108" s="215" t="n"/>
      <c r="L2108" s="215" t="n"/>
      <c r="M2108" s="215" t="n"/>
      <c r="N2108" s="215" t="n"/>
      <c r="O2108" s="215" t="n"/>
      <c r="P2108" s="215" t="n"/>
      <c r="Q2108" s="215" t="n"/>
      <c r="R2108" s="215" t="n"/>
      <c r="S2108" s="215" t="n"/>
      <c r="T2108" s="215" t="n"/>
      <c r="U2108" s="215" t="n"/>
      <c r="V2108" s="215" t="n"/>
      <c r="W2108" s="215" t="n"/>
      <c r="X2108" s="215" t="n"/>
      <c r="Y2108" s="215" t="n"/>
      <c r="Z2108" s="215" t="n"/>
      <c r="AA2108" s="215" t="n"/>
      <c r="AB2108" s="215" t="n"/>
      <c r="AC2108" s="215" t="n"/>
      <c r="AD2108" s="215" t="n"/>
      <c r="AE2108" s="215" t="n"/>
      <c r="AF2108" s="215" t="n"/>
      <c r="AG2108" s="215" t="n"/>
      <c r="AH2108" s="215" t="n"/>
      <c r="AI2108" s="215" t="n"/>
      <c r="AJ2108" s="215" t="n"/>
      <c r="AK2108" s="216" t="n"/>
    </row>
    <row r="2109" ht="15" customHeight="1">
      <c r="B2109" s="134" t="n"/>
      <c r="C2109" s="105" t="n"/>
      <c r="D2109" s="105" t="n"/>
      <c r="E2109" s="105" t="n"/>
      <c r="F2109" s="105" t="n"/>
      <c r="G2109" s="105" t="n"/>
      <c r="H2109" s="2" t="n"/>
      <c r="I2109" s="105" t="n"/>
      <c r="K2109" s="215" t="n"/>
      <c r="L2109" s="215" t="n"/>
      <c r="M2109" s="215" t="n"/>
      <c r="N2109" s="215" t="n"/>
      <c r="O2109" s="215" t="n"/>
      <c r="P2109" s="215" t="n"/>
      <c r="Q2109" s="215" t="n"/>
      <c r="R2109" s="215" t="n"/>
      <c r="S2109" s="215" t="n"/>
      <c r="T2109" s="215" t="n"/>
      <c r="U2109" s="215" t="n"/>
      <c r="V2109" s="215" t="n"/>
      <c r="W2109" s="215" t="n"/>
      <c r="X2109" s="215" t="n"/>
      <c r="Y2109" s="215" t="n"/>
      <c r="Z2109" s="215" t="n"/>
      <c r="AA2109" s="215" t="n"/>
      <c r="AB2109" s="215" t="n"/>
      <c r="AC2109" s="215" t="n"/>
      <c r="AD2109" s="215" t="n"/>
      <c r="AE2109" s="215" t="n"/>
      <c r="AF2109" s="215" t="n"/>
      <c r="AG2109" s="215" t="n"/>
      <c r="AH2109" s="215" t="n"/>
      <c r="AI2109" s="215" t="n"/>
      <c r="AJ2109" s="215" t="n"/>
      <c r="AK2109" s="216" t="n"/>
    </row>
    <row r="2110" ht="15" customHeight="1">
      <c r="B2110" s="134" t="n"/>
      <c r="C2110" s="105" t="n"/>
      <c r="D2110" s="105" t="n"/>
      <c r="E2110" s="105" t="n"/>
      <c r="F2110" s="105" t="n"/>
      <c r="G2110" s="105" t="n"/>
      <c r="H2110" s="2" t="n"/>
      <c r="I2110" s="105" t="n"/>
      <c r="K2110" s="215" t="n"/>
      <c r="L2110" s="215" t="n"/>
      <c r="M2110" s="215" t="n"/>
      <c r="N2110" s="215" t="n"/>
      <c r="O2110" s="215" t="n"/>
      <c r="P2110" s="215" t="n"/>
      <c r="Q2110" s="215" t="n"/>
      <c r="R2110" s="215" t="n"/>
      <c r="S2110" s="215" t="n"/>
      <c r="T2110" s="215" t="n"/>
      <c r="U2110" s="215" t="n"/>
      <c r="V2110" s="215" t="n"/>
      <c r="W2110" s="215" t="n"/>
      <c r="X2110" s="215" t="n"/>
      <c r="Y2110" s="215" t="n"/>
      <c r="Z2110" s="215" t="n"/>
      <c r="AA2110" s="215" t="n"/>
      <c r="AB2110" s="215" t="n"/>
      <c r="AC2110" s="215" t="n"/>
      <c r="AD2110" s="215" t="n"/>
      <c r="AE2110" s="215" t="n"/>
      <c r="AF2110" s="215" t="n"/>
      <c r="AG2110" s="215" t="n"/>
      <c r="AH2110" s="215" t="n"/>
      <c r="AI2110" s="215" t="n"/>
      <c r="AJ2110" s="215" t="n"/>
      <c r="AK2110" s="216" t="n"/>
    </row>
    <row r="2111" ht="15" customHeight="1">
      <c r="B2111" s="134" t="n"/>
      <c r="C2111" s="105" t="n"/>
      <c r="D2111" s="105" t="n"/>
      <c r="E2111" s="105" t="n"/>
      <c r="F2111" s="105" t="n"/>
      <c r="G2111" s="105" t="n"/>
      <c r="H2111" s="2" t="n"/>
      <c r="I2111" s="105" t="n"/>
      <c r="K2111" s="215" t="n"/>
      <c r="L2111" s="215" t="n"/>
      <c r="M2111" s="215" t="n"/>
      <c r="N2111" s="215" t="n"/>
      <c r="O2111" s="215" t="n"/>
      <c r="P2111" s="215" t="n"/>
      <c r="Q2111" s="215" t="n"/>
      <c r="R2111" s="215" t="n"/>
      <c r="S2111" s="215" t="n"/>
      <c r="T2111" s="215" t="n"/>
      <c r="U2111" s="215" t="n"/>
      <c r="V2111" s="215" t="n"/>
      <c r="W2111" s="215" t="n"/>
      <c r="X2111" s="215" t="n"/>
      <c r="Y2111" s="215" t="n"/>
      <c r="Z2111" s="215" t="n"/>
      <c r="AA2111" s="215" t="n"/>
      <c r="AB2111" s="215" t="n"/>
      <c r="AC2111" s="215" t="n"/>
      <c r="AD2111" s="215" t="n"/>
      <c r="AE2111" s="215" t="n"/>
      <c r="AF2111" s="215" t="n"/>
      <c r="AG2111" s="215" t="n"/>
      <c r="AH2111" s="215" t="n"/>
      <c r="AI2111" s="215" t="n"/>
      <c r="AJ2111" s="215" t="n"/>
      <c r="AK2111" s="216" t="n"/>
    </row>
    <row r="2112" ht="15" customHeight="1">
      <c r="B2112" s="134" t="n"/>
      <c r="C2112" s="105" t="n"/>
      <c r="D2112" s="105" t="n"/>
      <c r="E2112" s="105" t="n"/>
      <c r="F2112" s="105" t="n"/>
      <c r="G2112" s="105" t="n"/>
      <c r="H2112" s="2" t="n"/>
      <c r="I2112" s="105" t="n"/>
      <c r="K2112" s="215" t="n"/>
      <c r="L2112" s="215" t="n"/>
      <c r="M2112" s="215" t="n"/>
      <c r="N2112" s="215" t="n"/>
      <c r="O2112" s="215" t="n"/>
      <c r="P2112" s="215" t="n"/>
      <c r="Q2112" s="215" t="n"/>
      <c r="R2112" s="215" t="n"/>
      <c r="S2112" s="215" t="n"/>
      <c r="T2112" s="215" t="n"/>
      <c r="U2112" s="215" t="n"/>
      <c r="V2112" s="215" t="n"/>
      <c r="W2112" s="215" t="n"/>
      <c r="X2112" s="215" t="n"/>
      <c r="Y2112" s="215" t="n"/>
      <c r="Z2112" s="215" t="n"/>
      <c r="AA2112" s="215" t="n"/>
      <c r="AB2112" s="215" t="n"/>
      <c r="AC2112" s="215" t="n"/>
      <c r="AD2112" s="215" t="n"/>
      <c r="AE2112" s="215" t="n"/>
      <c r="AF2112" s="215" t="n"/>
      <c r="AG2112" s="215" t="n"/>
      <c r="AH2112" s="215" t="n"/>
      <c r="AI2112" s="215" t="n"/>
      <c r="AJ2112" s="215" t="n"/>
      <c r="AK2112" s="216" t="n"/>
    </row>
    <row r="2113" ht="15" customHeight="1">
      <c r="B2113" s="134" t="n"/>
      <c r="C2113" s="105" t="n"/>
      <c r="D2113" s="105" t="n"/>
      <c r="E2113" s="105" t="n"/>
      <c r="F2113" s="105" t="n"/>
      <c r="G2113" s="105" t="n"/>
      <c r="H2113" s="2" t="n"/>
      <c r="I2113" s="105" t="n"/>
      <c r="K2113" s="215" t="n"/>
      <c r="L2113" s="215" t="n"/>
      <c r="M2113" s="215" t="n"/>
      <c r="N2113" s="215" t="n"/>
      <c r="O2113" s="215" t="n"/>
      <c r="P2113" s="215" t="n"/>
      <c r="Q2113" s="215" t="n"/>
      <c r="R2113" s="215" t="n"/>
      <c r="S2113" s="215" t="n"/>
      <c r="T2113" s="215" t="n"/>
      <c r="U2113" s="215" t="n"/>
      <c r="V2113" s="215" t="n"/>
      <c r="W2113" s="215" t="n"/>
      <c r="X2113" s="215" t="n"/>
      <c r="Y2113" s="215" t="n"/>
      <c r="Z2113" s="215" t="n"/>
      <c r="AA2113" s="215" t="n"/>
      <c r="AB2113" s="215" t="n"/>
      <c r="AC2113" s="215" t="n"/>
      <c r="AD2113" s="215" t="n"/>
      <c r="AE2113" s="215" t="n"/>
      <c r="AF2113" s="215" t="n"/>
      <c r="AG2113" s="215" t="n"/>
      <c r="AH2113" s="215" t="n"/>
      <c r="AI2113" s="215" t="n"/>
      <c r="AJ2113" s="215" t="n"/>
      <c r="AK2113" s="216" t="n"/>
    </row>
    <row r="2114" ht="15" customHeight="1">
      <c r="B2114" s="134" t="n"/>
      <c r="C2114" s="105" t="n"/>
      <c r="D2114" s="105" t="n"/>
      <c r="E2114" s="105" t="n"/>
      <c r="F2114" s="105" t="n"/>
      <c r="G2114" s="105" t="n"/>
      <c r="H2114" s="2" t="n"/>
      <c r="I2114" s="105" t="n"/>
      <c r="K2114" s="215" t="n"/>
      <c r="L2114" s="215" t="n"/>
      <c r="M2114" s="215" t="n"/>
      <c r="N2114" s="215" t="n"/>
      <c r="O2114" s="215" t="n"/>
      <c r="P2114" s="215" t="n"/>
      <c r="Q2114" s="215" t="n"/>
      <c r="R2114" s="215" t="n"/>
      <c r="S2114" s="215" t="n"/>
      <c r="T2114" s="215" t="n"/>
      <c r="U2114" s="215" t="n"/>
      <c r="V2114" s="215" t="n"/>
      <c r="W2114" s="215" t="n"/>
      <c r="X2114" s="215" t="n"/>
      <c r="Y2114" s="215" t="n"/>
      <c r="Z2114" s="215" t="n"/>
      <c r="AA2114" s="215" t="n"/>
      <c r="AB2114" s="215" t="n"/>
      <c r="AC2114" s="215" t="n"/>
      <c r="AD2114" s="215" t="n"/>
      <c r="AE2114" s="215" t="n"/>
      <c r="AF2114" s="215" t="n"/>
      <c r="AG2114" s="215" t="n"/>
      <c r="AH2114" s="215" t="n"/>
      <c r="AI2114" s="215" t="n"/>
      <c r="AJ2114" s="215" t="n"/>
      <c r="AK2114" s="216" t="n"/>
    </row>
    <row r="2115" ht="15" customHeight="1">
      <c r="B2115" s="134" t="n"/>
      <c r="C2115" s="105" t="n"/>
      <c r="D2115" s="105" t="n"/>
      <c r="E2115" s="105" t="n"/>
      <c r="F2115" s="105" t="n"/>
      <c r="G2115" s="105" t="n"/>
      <c r="H2115" s="2" t="n"/>
      <c r="I2115" s="105" t="n"/>
      <c r="K2115" s="215" t="n"/>
      <c r="L2115" s="215" t="n"/>
      <c r="M2115" s="215" t="n"/>
      <c r="N2115" s="215" t="n"/>
      <c r="O2115" s="215" t="n"/>
      <c r="P2115" s="215" t="n"/>
      <c r="Q2115" s="215" t="n"/>
      <c r="R2115" s="215" t="n"/>
      <c r="S2115" s="215" t="n"/>
      <c r="T2115" s="215" t="n"/>
      <c r="U2115" s="215" t="n"/>
      <c r="V2115" s="215" t="n"/>
      <c r="W2115" s="215" t="n"/>
      <c r="X2115" s="215" t="n"/>
      <c r="Y2115" s="215" t="n"/>
      <c r="Z2115" s="215" t="n"/>
      <c r="AA2115" s="215" t="n"/>
      <c r="AB2115" s="215" t="n"/>
      <c r="AC2115" s="215" t="n"/>
      <c r="AD2115" s="215" t="n"/>
      <c r="AE2115" s="215" t="n"/>
      <c r="AF2115" s="215" t="n"/>
      <c r="AG2115" s="215" t="n"/>
      <c r="AH2115" s="215" t="n"/>
      <c r="AI2115" s="215" t="n"/>
      <c r="AJ2115" s="215" t="n"/>
      <c r="AK2115" s="216" t="n"/>
    </row>
    <row r="2116" ht="15" customHeight="1">
      <c r="B2116" s="134" t="n"/>
      <c r="C2116" s="105" t="n"/>
      <c r="D2116" s="105" t="n"/>
      <c r="E2116" s="105" t="n"/>
      <c r="F2116" s="105" t="n"/>
      <c r="G2116" s="105" t="n"/>
      <c r="H2116" s="2" t="n"/>
      <c r="I2116" s="105" t="n"/>
      <c r="K2116" s="215" t="n"/>
      <c r="L2116" s="215" t="n"/>
      <c r="M2116" s="215" t="n"/>
      <c r="N2116" s="215" t="n"/>
      <c r="O2116" s="215" t="n"/>
      <c r="P2116" s="215" t="n"/>
      <c r="Q2116" s="215" t="n"/>
      <c r="R2116" s="215" t="n"/>
      <c r="S2116" s="215" t="n"/>
      <c r="T2116" s="215" t="n"/>
      <c r="U2116" s="215" t="n"/>
      <c r="V2116" s="215" t="n"/>
      <c r="W2116" s="215" t="n"/>
      <c r="X2116" s="215" t="n"/>
      <c r="Y2116" s="215" t="n"/>
      <c r="Z2116" s="215" t="n"/>
      <c r="AA2116" s="215" t="n"/>
      <c r="AB2116" s="215" t="n"/>
      <c r="AC2116" s="215" t="n"/>
      <c r="AD2116" s="215" t="n"/>
      <c r="AE2116" s="215" t="n"/>
      <c r="AF2116" s="215" t="n"/>
      <c r="AG2116" s="215" t="n"/>
      <c r="AH2116" s="215" t="n"/>
      <c r="AI2116" s="215" t="n"/>
      <c r="AJ2116" s="215" t="n"/>
      <c r="AK2116" s="216" t="n"/>
    </row>
    <row r="2117" ht="15" customHeight="1">
      <c r="B2117" s="134" t="n"/>
      <c r="C2117" s="105" t="n"/>
      <c r="D2117" s="105" t="n"/>
      <c r="E2117" s="105" t="n"/>
      <c r="F2117" s="105" t="n"/>
      <c r="G2117" s="105" t="n"/>
      <c r="H2117" s="2" t="n"/>
      <c r="I2117" s="105" t="n"/>
      <c r="K2117" s="215" t="n"/>
      <c r="L2117" s="215" t="n"/>
      <c r="M2117" s="215" t="n"/>
      <c r="N2117" s="215" t="n"/>
      <c r="O2117" s="215" t="n"/>
      <c r="P2117" s="215" t="n"/>
      <c r="Q2117" s="215" t="n"/>
      <c r="R2117" s="215" t="n"/>
      <c r="S2117" s="215" t="n"/>
      <c r="T2117" s="215" t="n"/>
      <c r="U2117" s="215" t="n"/>
      <c r="V2117" s="215" t="n"/>
      <c r="W2117" s="215" t="n"/>
      <c r="X2117" s="215" t="n"/>
      <c r="Y2117" s="215" t="n"/>
      <c r="Z2117" s="215" t="n"/>
      <c r="AA2117" s="215" t="n"/>
      <c r="AB2117" s="215" t="n"/>
      <c r="AC2117" s="215" t="n"/>
      <c r="AD2117" s="215" t="n"/>
      <c r="AE2117" s="215" t="n"/>
      <c r="AF2117" s="215" t="n"/>
      <c r="AG2117" s="215" t="n"/>
      <c r="AH2117" s="215" t="n"/>
      <c r="AI2117" s="215" t="n"/>
      <c r="AJ2117" s="215" t="n"/>
      <c r="AK2117" s="216" t="n"/>
    </row>
    <row r="2118" ht="15" customHeight="1">
      <c r="B2118" s="134" t="n"/>
      <c r="C2118" s="105" t="n"/>
      <c r="D2118" s="105" t="n"/>
      <c r="E2118" s="105" t="n"/>
      <c r="F2118" s="105" t="n"/>
      <c r="G2118" s="105" t="n"/>
      <c r="H2118" s="2" t="n"/>
      <c r="I2118" s="105" t="n"/>
      <c r="K2118" s="215" t="n"/>
      <c r="L2118" s="215" t="n"/>
      <c r="M2118" s="215" t="n"/>
      <c r="N2118" s="215" t="n"/>
      <c r="O2118" s="215" t="n"/>
      <c r="P2118" s="215" t="n"/>
      <c r="Q2118" s="215" t="n"/>
      <c r="R2118" s="215" t="n"/>
      <c r="S2118" s="215" t="n"/>
      <c r="T2118" s="215" t="n"/>
      <c r="U2118" s="215" t="n"/>
      <c r="V2118" s="215" t="n"/>
      <c r="W2118" s="215" t="n"/>
      <c r="X2118" s="215" t="n"/>
      <c r="Y2118" s="215" t="n"/>
      <c r="Z2118" s="215" t="n"/>
      <c r="AA2118" s="215" t="n"/>
      <c r="AB2118" s="215" t="n"/>
      <c r="AC2118" s="215" t="n"/>
      <c r="AD2118" s="215" t="n"/>
      <c r="AE2118" s="215" t="n"/>
      <c r="AF2118" s="215" t="n"/>
      <c r="AG2118" s="215" t="n"/>
      <c r="AH2118" s="215" t="n"/>
      <c r="AI2118" s="215" t="n"/>
      <c r="AJ2118" s="215" t="n"/>
      <c r="AK2118" s="216" t="n"/>
    </row>
    <row r="2119" ht="15" customHeight="1">
      <c r="B2119" s="134" t="n"/>
      <c r="C2119" s="105" t="n"/>
      <c r="D2119" s="105" t="n"/>
      <c r="E2119" s="105" t="n"/>
      <c r="F2119" s="105" t="n"/>
      <c r="G2119" s="105" t="n"/>
      <c r="H2119" s="2" t="n"/>
      <c r="I2119" s="105" t="n"/>
      <c r="K2119" s="215" t="n"/>
      <c r="L2119" s="215" t="n"/>
      <c r="M2119" s="215" t="n"/>
      <c r="N2119" s="215" t="n"/>
      <c r="O2119" s="215" t="n"/>
      <c r="P2119" s="215" t="n"/>
      <c r="Q2119" s="215" t="n"/>
      <c r="R2119" s="215" t="n"/>
      <c r="S2119" s="215" t="n"/>
      <c r="T2119" s="215" t="n"/>
      <c r="U2119" s="215" t="n"/>
      <c r="V2119" s="215" t="n"/>
      <c r="W2119" s="215" t="n"/>
      <c r="X2119" s="215" t="n"/>
      <c r="Y2119" s="215" t="n"/>
      <c r="Z2119" s="215" t="n"/>
      <c r="AA2119" s="215" t="n"/>
      <c r="AB2119" s="215" t="n"/>
      <c r="AC2119" s="215" t="n"/>
      <c r="AD2119" s="215" t="n"/>
      <c r="AE2119" s="215" t="n"/>
      <c r="AF2119" s="215" t="n"/>
      <c r="AG2119" s="215" t="n"/>
      <c r="AH2119" s="215" t="n"/>
      <c r="AI2119" s="215" t="n"/>
      <c r="AJ2119" s="215" t="n"/>
      <c r="AK2119" s="216" t="n"/>
    </row>
    <row r="2120" ht="15" customHeight="1">
      <c r="B2120" s="134" t="n"/>
      <c r="C2120" s="105" t="n"/>
      <c r="D2120" s="105" t="n"/>
      <c r="E2120" s="105" t="n"/>
      <c r="F2120" s="105" t="n"/>
      <c r="G2120" s="105" t="n"/>
      <c r="H2120" s="2" t="n"/>
      <c r="I2120" s="105" t="n"/>
      <c r="K2120" s="215" t="n"/>
      <c r="L2120" s="215" t="n"/>
      <c r="M2120" s="215" t="n"/>
      <c r="N2120" s="215" t="n"/>
      <c r="O2120" s="215" t="n"/>
      <c r="P2120" s="215" t="n"/>
      <c r="Q2120" s="215" t="n"/>
      <c r="R2120" s="215" t="n"/>
      <c r="S2120" s="215" t="n"/>
      <c r="T2120" s="215" t="n"/>
      <c r="U2120" s="215" t="n"/>
      <c r="V2120" s="215" t="n"/>
      <c r="W2120" s="215" t="n"/>
      <c r="X2120" s="215" t="n"/>
      <c r="Y2120" s="215" t="n"/>
      <c r="Z2120" s="215" t="n"/>
      <c r="AA2120" s="215" t="n"/>
      <c r="AB2120" s="215" t="n"/>
      <c r="AC2120" s="215" t="n"/>
      <c r="AD2120" s="215" t="n"/>
      <c r="AE2120" s="215" t="n"/>
      <c r="AF2120" s="215" t="n"/>
      <c r="AG2120" s="215" t="n"/>
      <c r="AH2120" s="215" t="n"/>
      <c r="AI2120" s="215" t="n"/>
      <c r="AJ2120" s="215" t="n"/>
      <c r="AK2120" s="216" t="n"/>
    </row>
    <row r="2121" ht="15" customHeight="1">
      <c r="B2121" s="134" t="n"/>
      <c r="C2121" s="105" t="n"/>
      <c r="D2121" s="105" t="n"/>
      <c r="E2121" s="105" t="n"/>
      <c r="F2121" s="105" t="n"/>
      <c r="G2121" s="105" t="n"/>
      <c r="H2121" s="2" t="n"/>
      <c r="I2121" s="105" t="n"/>
      <c r="K2121" s="215" t="n"/>
      <c r="L2121" s="215" t="n"/>
      <c r="M2121" s="215" t="n"/>
      <c r="N2121" s="215" t="n"/>
      <c r="O2121" s="215" t="n"/>
      <c r="P2121" s="215" t="n"/>
      <c r="Q2121" s="215" t="n"/>
      <c r="R2121" s="215" t="n"/>
      <c r="S2121" s="215" t="n"/>
      <c r="T2121" s="215" t="n"/>
      <c r="U2121" s="215" t="n"/>
      <c r="V2121" s="215" t="n"/>
      <c r="W2121" s="215" t="n"/>
      <c r="X2121" s="215" t="n"/>
      <c r="Y2121" s="215" t="n"/>
      <c r="Z2121" s="215" t="n"/>
      <c r="AA2121" s="215" t="n"/>
      <c r="AB2121" s="215" t="n"/>
      <c r="AC2121" s="215" t="n"/>
      <c r="AD2121" s="215" t="n"/>
      <c r="AE2121" s="215" t="n"/>
      <c r="AF2121" s="215" t="n"/>
      <c r="AG2121" s="215" t="n"/>
      <c r="AH2121" s="215" t="n"/>
      <c r="AI2121" s="215" t="n"/>
      <c r="AJ2121" s="215" t="n"/>
      <c r="AK2121" s="216" t="n"/>
    </row>
    <row r="2122" ht="15" customHeight="1">
      <c r="B2122" s="134" t="n"/>
      <c r="C2122" s="105" t="n"/>
      <c r="D2122" s="105" t="n"/>
      <c r="E2122" s="105" t="n"/>
      <c r="F2122" s="105" t="n"/>
      <c r="G2122" s="105" t="n"/>
      <c r="H2122" s="2" t="n"/>
      <c r="I2122" s="105" t="n"/>
      <c r="K2122" s="215" t="n"/>
      <c r="L2122" s="215" t="n"/>
      <c r="M2122" s="215" t="n"/>
      <c r="N2122" s="215" t="n"/>
      <c r="O2122" s="215" t="n"/>
      <c r="P2122" s="215" t="n"/>
      <c r="Q2122" s="215" t="n"/>
      <c r="R2122" s="215" t="n"/>
      <c r="S2122" s="215" t="n"/>
      <c r="T2122" s="215" t="n"/>
      <c r="U2122" s="215" t="n"/>
      <c r="V2122" s="215" t="n"/>
      <c r="W2122" s="215" t="n"/>
      <c r="X2122" s="215" t="n"/>
      <c r="Y2122" s="215" t="n"/>
      <c r="Z2122" s="215" t="n"/>
      <c r="AA2122" s="215" t="n"/>
      <c r="AB2122" s="215" t="n"/>
      <c r="AC2122" s="215" t="n"/>
      <c r="AD2122" s="215" t="n"/>
      <c r="AE2122" s="215" t="n"/>
      <c r="AF2122" s="215" t="n"/>
      <c r="AG2122" s="215" t="n"/>
      <c r="AH2122" s="215" t="n"/>
      <c r="AI2122" s="215" t="n"/>
      <c r="AJ2122" s="215" t="n"/>
      <c r="AK2122" s="216" t="n"/>
    </row>
    <row r="2123" ht="15" customHeight="1">
      <c r="B2123" s="134" t="n"/>
      <c r="C2123" s="105" t="n"/>
      <c r="D2123" s="105" t="n"/>
      <c r="E2123" s="105" t="n"/>
      <c r="F2123" s="105" t="n"/>
      <c r="G2123" s="105" t="n"/>
      <c r="H2123" s="2" t="n"/>
      <c r="I2123" s="105" t="n"/>
      <c r="K2123" s="215" t="n"/>
      <c r="L2123" s="215" t="n"/>
      <c r="M2123" s="215" t="n"/>
      <c r="N2123" s="215" t="n"/>
      <c r="O2123" s="215" t="n"/>
      <c r="P2123" s="215" t="n"/>
      <c r="Q2123" s="215" t="n"/>
      <c r="R2123" s="215" t="n"/>
      <c r="S2123" s="215" t="n"/>
      <c r="T2123" s="215" t="n"/>
      <c r="U2123" s="215" t="n"/>
      <c r="V2123" s="215" t="n"/>
      <c r="W2123" s="215" t="n"/>
      <c r="X2123" s="215" t="n"/>
      <c r="Y2123" s="215" t="n"/>
      <c r="Z2123" s="215" t="n"/>
      <c r="AA2123" s="215" t="n"/>
      <c r="AB2123" s="215" t="n"/>
      <c r="AC2123" s="215" t="n"/>
      <c r="AD2123" s="215" t="n"/>
      <c r="AE2123" s="215" t="n"/>
      <c r="AF2123" s="215" t="n"/>
      <c r="AG2123" s="215" t="n"/>
      <c r="AH2123" s="215" t="n"/>
      <c r="AI2123" s="215" t="n"/>
      <c r="AJ2123" s="215" t="n"/>
      <c r="AK2123" s="216" t="n"/>
    </row>
    <row r="2124" ht="15" customHeight="1">
      <c r="B2124" s="134" t="n"/>
      <c r="C2124" s="105" t="n"/>
      <c r="D2124" s="105" t="n"/>
      <c r="E2124" s="105" t="n"/>
      <c r="F2124" s="105" t="n"/>
      <c r="G2124" s="105" t="n"/>
      <c r="H2124" s="2" t="n"/>
      <c r="I2124" s="105" t="n"/>
      <c r="K2124" s="215" t="n"/>
      <c r="L2124" s="215" t="n"/>
      <c r="M2124" s="215" t="n"/>
      <c r="N2124" s="215" t="n"/>
      <c r="O2124" s="215" t="n"/>
      <c r="P2124" s="215" t="n"/>
      <c r="Q2124" s="215" t="n"/>
      <c r="R2124" s="215" t="n"/>
      <c r="S2124" s="215" t="n"/>
      <c r="T2124" s="215" t="n"/>
      <c r="U2124" s="215" t="n"/>
      <c r="V2124" s="215" t="n"/>
      <c r="W2124" s="215" t="n"/>
      <c r="X2124" s="215" t="n"/>
      <c r="Y2124" s="215" t="n"/>
      <c r="Z2124" s="215" t="n"/>
      <c r="AA2124" s="215" t="n"/>
      <c r="AB2124" s="215" t="n"/>
      <c r="AC2124" s="215" t="n"/>
      <c r="AD2124" s="215" t="n"/>
      <c r="AE2124" s="215" t="n"/>
      <c r="AF2124" s="215" t="n"/>
      <c r="AG2124" s="215" t="n"/>
      <c r="AH2124" s="215" t="n"/>
      <c r="AI2124" s="215" t="n"/>
      <c r="AJ2124" s="215" t="n"/>
      <c r="AK2124" s="216" t="n"/>
    </row>
    <row r="2125" ht="15" customHeight="1">
      <c r="B2125" s="134" t="n"/>
      <c r="C2125" s="105" t="n"/>
      <c r="D2125" s="105" t="n"/>
      <c r="E2125" s="105" t="n"/>
      <c r="F2125" s="105" t="n"/>
      <c r="G2125" s="105" t="n"/>
      <c r="H2125" s="2" t="n"/>
      <c r="I2125" s="105" t="n"/>
      <c r="K2125" s="215" t="n"/>
      <c r="L2125" s="215" t="n"/>
      <c r="M2125" s="215" t="n"/>
      <c r="N2125" s="215" t="n"/>
      <c r="O2125" s="215" t="n"/>
      <c r="P2125" s="215" t="n"/>
      <c r="Q2125" s="215" t="n"/>
      <c r="R2125" s="215" t="n"/>
      <c r="S2125" s="215" t="n"/>
      <c r="T2125" s="215" t="n"/>
      <c r="U2125" s="215" t="n"/>
      <c r="V2125" s="215" t="n"/>
      <c r="W2125" s="215" t="n"/>
      <c r="X2125" s="215" t="n"/>
      <c r="Y2125" s="215" t="n"/>
      <c r="Z2125" s="215" t="n"/>
      <c r="AA2125" s="215" t="n"/>
      <c r="AB2125" s="215" t="n"/>
      <c r="AC2125" s="215" t="n"/>
      <c r="AD2125" s="215" t="n"/>
      <c r="AE2125" s="215" t="n"/>
      <c r="AF2125" s="215" t="n"/>
      <c r="AG2125" s="215" t="n"/>
      <c r="AH2125" s="215" t="n"/>
      <c r="AI2125" s="215" t="n"/>
      <c r="AJ2125" s="215" t="n"/>
      <c r="AK2125" s="216" t="n"/>
    </row>
    <row r="2126" ht="15" customHeight="1">
      <c r="B2126" s="134" t="n"/>
      <c r="C2126" s="105" t="n"/>
      <c r="D2126" s="105" t="n"/>
      <c r="E2126" s="105" t="n"/>
      <c r="F2126" s="105" t="n"/>
      <c r="G2126" s="105" t="n"/>
      <c r="H2126" s="2" t="n"/>
      <c r="I2126" s="105" t="n"/>
      <c r="K2126" s="215" t="n"/>
      <c r="L2126" s="215" t="n"/>
      <c r="M2126" s="215" t="n"/>
      <c r="N2126" s="215" t="n"/>
      <c r="O2126" s="215" t="n"/>
      <c r="P2126" s="215" t="n"/>
      <c r="Q2126" s="215" t="n"/>
      <c r="R2126" s="215" t="n"/>
      <c r="S2126" s="215" t="n"/>
      <c r="T2126" s="215" t="n"/>
      <c r="U2126" s="215" t="n"/>
      <c r="V2126" s="215" t="n"/>
      <c r="W2126" s="215" t="n"/>
      <c r="X2126" s="215" t="n"/>
      <c r="Y2126" s="215" t="n"/>
      <c r="Z2126" s="215" t="n"/>
      <c r="AA2126" s="215" t="n"/>
      <c r="AB2126" s="215" t="n"/>
      <c r="AC2126" s="215" t="n"/>
      <c r="AD2126" s="215" t="n"/>
      <c r="AE2126" s="215" t="n"/>
      <c r="AF2126" s="215" t="n"/>
      <c r="AG2126" s="215" t="n"/>
      <c r="AH2126" s="215" t="n"/>
      <c r="AI2126" s="215" t="n"/>
      <c r="AJ2126" s="215" t="n"/>
      <c r="AK2126" s="216" t="n"/>
    </row>
    <row r="2127" ht="15" customHeight="1">
      <c r="B2127" s="134" t="n"/>
      <c r="C2127" s="105" t="n"/>
      <c r="D2127" s="105" t="n"/>
      <c r="E2127" s="105" t="n"/>
      <c r="F2127" s="105" t="n"/>
      <c r="G2127" s="105" t="n"/>
      <c r="H2127" s="2" t="n"/>
      <c r="I2127" s="105" t="n"/>
      <c r="K2127" s="215" t="n"/>
      <c r="L2127" s="215" t="n"/>
      <c r="M2127" s="215" t="n"/>
      <c r="N2127" s="215" t="n"/>
      <c r="O2127" s="215" t="n"/>
      <c r="P2127" s="215" t="n"/>
      <c r="Q2127" s="215" t="n"/>
      <c r="R2127" s="215" t="n"/>
      <c r="S2127" s="215" t="n"/>
      <c r="T2127" s="215" t="n"/>
      <c r="U2127" s="215" t="n"/>
      <c r="V2127" s="215" t="n"/>
      <c r="W2127" s="215" t="n"/>
      <c r="X2127" s="215" t="n"/>
      <c r="Y2127" s="215" t="n"/>
      <c r="Z2127" s="215" t="n"/>
      <c r="AA2127" s="215" t="n"/>
      <c r="AB2127" s="215" t="n"/>
      <c r="AC2127" s="215" t="n"/>
      <c r="AD2127" s="215" t="n"/>
      <c r="AE2127" s="215" t="n"/>
      <c r="AF2127" s="215" t="n"/>
      <c r="AG2127" s="215" t="n"/>
      <c r="AH2127" s="215" t="n"/>
      <c r="AI2127" s="215" t="n"/>
      <c r="AJ2127" s="215" t="n"/>
      <c r="AK2127" s="216" t="n"/>
    </row>
    <row r="2128" ht="15" customHeight="1">
      <c r="B2128" s="134" t="n"/>
      <c r="C2128" s="105" t="n"/>
      <c r="D2128" s="105" t="n"/>
      <c r="E2128" s="105" t="n"/>
      <c r="F2128" s="105" t="n"/>
      <c r="G2128" s="105" t="n"/>
      <c r="H2128" s="2" t="n"/>
      <c r="I2128" s="105" t="n"/>
      <c r="K2128" s="215" t="n"/>
      <c r="L2128" s="215" t="n"/>
      <c r="M2128" s="215" t="n"/>
      <c r="N2128" s="215" t="n"/>
      <c r="O2128" s="215" t="n"/>
      <c r="P2128" s="215" t="n"/>
      <c r="Q2128" s="215" t="n"/>
      <c r="R2128" s="215" t="n"/>
      <c r="S2128" s="215" t="n"/>
      <c r="T2128" s="215" t="n"/>
      <c r="U2128" s="215" t="n"/>
      <c r="V2128" s="215" t="n"/>
      <c r="W2128" s="215" t="n"/>
      <c r="X2128" s="215" t="n"/>
      <c r="Y2128" s="215" t="n"/>
      <c r="Z2128" s="215" t="n"/>
      <c r="AA2128" s="215" t="n"/>
      <c r="AB2128" s="215" t="n"/>
      <c r="AC2128" s="215" t="n"/>
      <c r="AD2128" s="215" t="n"/>
      <c r="AE2128" s="215" t="n"/>
      <c r="AF2128" s="215" t="n"/>
      <c r="AG2128" s="215" t="n"/>
      <c r="AH2128" s="215" t="n"/>
      <c r="AI2128" s="215" t="n"/>
      <c r="AJ2128" s="215" t="n"/>
      <c r="AK2128" s="216" t="n"/>
    </row>
    <row r="2129" ht="15" customHeight="1">
      <c r="B2129" s="134" t="n"/>
      <c r="C2129" s="105" t="n"/>
      <c r="D2129" s="105" t="n"/>
      <c r="E2129" s="105" t="n"/>
      <c r="F2129" s="105" t="n"/>
      <c r="G2129" s="105" t="n"/>
      <c r="H2129" s="2" t="n"/>
      <c r="I2129" s="105" t="n"/>
      <c r="K2129" s="215" t="n"/>
      <c r="L2129" s="215" t="n"/>
      <c r="M2129" s="215" t="n"/>
      <c r="N2129" s="215" t="n"/>
      <c r="O2129" s="215" t="n"/>
      <c r="P2129" s="215" t="n"/>
      <c r="Q2129" s="215" t="n"/>
      <c r="R2129" s="215" t="n"/>
      <c r="S2129" s="215" t="n"/>
      <c r="T2129" s="215" t="n"/>
      <c r="U2129" s="215" t="n"/>
      <c r="V2129" s="215" t="n"/>
      <c r="W2129" s="215" t="n"/>
      <c r="X2129" s="215" t="n"/>
      <c r="Y2129" s="215" t="n"/>
      <c r="Z2129" s="215" t="n"/>
      <c r="AA2129" s="215" t="n"/>
      <c r="AB2129" s="215" t="n"/>
      <c r="AC2129" s="215" t="n"/>
      <c r="AD2129" s="215" t="n"/>
      <c r="AE2129" s="215" t="n"/>
      <c r="AF2129" s="215" t="n"/>
      <c r="AG2129" s="215" t="n"/>
      <c r="AH2129" s="215" t="n"/>
      <c r="AI2129" s="215" t="n"/>
      <c r="AJ2129" s="215" t="n"/>
      <c r="AK2129" s="216" t="n"/>
    </row>
    <row r="2130" ht="15" customHeight="1">
      <c r="B2130" s="134" t="n"/>
      <c r="C2130" s="105" t="n"/>
      <c r="D2130" s="105" t="n"/>
      <c r="E2130" s="105" t="n"/>
      <c r="F2130" s="105" t="n"/>
      <c r="G2130" s="105" t="n"/>
      <c r="H2130" s="2" t="n"/>
      <c r="I2130" s="105" t="n"/>
      <c r="K2130" s="215" t="n"/>
      <c r="L2130" s="215" t="n"/>
      <c r="M2130" s="215" t="n"/>
      <c r="N2130" s="215" t="n"/>
      <c r="O2130" s="215" t="n"/>
      <c r="P2130" s="215" t="n"/>
      <c r="Q2130" s="215" t="n"/>
      <c r="R2130" s="215" t="n"/>
      <c r="S2130" s="215" t="n"/>
      <c r="T2130" s="215" t="n"/>
      <c r="U2130" s="215" t="n"/>
      <c r="V2130" s="215" t="n"/>
      <c r="W2130" s="215" t="n"/>
      <c r="X2130" s="215" t="n"/>
      <c r="Y2130" s="215" t="n"/>
      <c r="Z2130" s="215" t="n"/>
      <c r="AA2130" s="215" t="n"/>
      <c r="AB2130" s="215" t="n"/>
      <c r="AC2130" s="215" t="n"/>
      <c r="AD2130" s="215" t="n"/>
      <c r="AE2130" s="215" t="n"/>
      <c r="AF2130" s="215" t="n"/>
      <c r="AG2130" s="215" t="n"/>
      <c r="AH2130" s="215" t="n"/>
      <c r="AI2130" s="215" t="n"/>
      <c r="AJ2130" s="215" t="n"/>
      <c r="AK2130" s="216" t="n"/>
    </row>
    <row r="2131" ht="15" customHeight="1">
      <c r="B2131" s="134" t="n"/>
      <c r="C2131" s="105" t="n"/>
      <c r="D2131" s="105" t="n"/>
      <c r="E2131" s="105" t="n"/>
      <c r="F2131" s="105" t="n"/>
      <c r="G2131" s="105" t="n"/>
      <c r="H2131" s="2" t="n"/>
      <c r="I2131" s="105" t="n"/>
      <c r="K2131" s="215" t="n"/>
      <c r="L2131" s="215" t="n"/>
      <c r="M2131" s="215" t="n"/>
      <c r="N2131" s="215" t="n"/>
      <c r="O2131" s="215" t="n"/>
      <c r="P2131" s="215" t="n"/>
      <c r="Q2131" s="215" t="n"/>
      <c r="R2131" s="215" t="n"/>
      <c r="S2131" s="215" t="n"/>
      <c r="T2131" s="215" t="n"/>
      <c r="U2131" s="215" t="n"/>
      <c r="V2131" s="215" t="n"/>
      <c r="W2131" s="215" t="n"/>
      <c r="X2131" s="215" t="n"/>
      <c r="Y2131" s="215" t="n"/>
      <c r="Z2131" s="215" t="n"/>
      <c r="AA2131" s="215" t="n"/>
      <c r="AB2131" s="215" t="n"/>
      <c r="AC2131" s="215" t="n"/>
      <c r="AD2131" s="215" t="n"/>
      <c r="AE2131" s="215" t="n"/>
      <c r="AF2131" s="215" t="n"/>
      <c r="AG2131" s="215" t="n"/>
      <c r="AH2131" s="215" t="n"/>
      <c r="AI2131" s="215" t="n"/>
      <c r="AJ2131" s="215" t="n"/>
      <c r="AK2131" s="216" t="n"/>
    </row>
    <row r="2132" ht="15" customHeight="1">
      <c r="B2132" s="134" t="n"/>
      <c r="C2132" s="105" t="n"/>
      <c r="D2132" s="105" t="n"/>
      <c r="E2132" s="105" t="n"/>
      <c r="F2132" s="105" t="n"/>
      <c r="G2132" s="105" t="n"/>
      <c r="H2132" s="2" t="n"/>
      <c r="I2132" s="105" t="n"/>
      <c r="K2132" s="215" t="n"/>
      <c r="L2132" s="215" t="n"/>
      <c r="M2132" s="215" t="n"/>
      <c r="N2132" s="215" t="n"/>
      <c r="O2132" s="215" t="n"/>
      <c r="P2132" s="215" t="n"/>
      <c r="Q2132" s="215" t="n"/>
      <c r="R2132" s="215" t="n"/>
      <c r="S2132" s="215" t="n"/>
      <c r="T2132" s="215" t="n"/>
      <c r="U2132" s="215" t="n"/>
      <c r="V2132" s="215" t="n"/>
      <c r="W2132" s="215" t="n"/>
      <c r="X2132" s="215" t="n"/>
      <c r="Y2132" s="215" t="n"/>
      <c r="Z2132" s="215" t="n"/>
      <c r="AA2132" s="215" t="n"/>
      <c r="AB2132" s="215" t="n"/>
      <c r="AC2132" s="215" t="n"/>
      <c r="AD2132" s="215" t="n"/>
      <c r="AE2132" s="215" t="n"/>
      <c r="AF2132" s="215" t="n"/>
      <c r="AG2132" s="215" t="n"/>
      <c r="AH2132" s="215" t="n"/>
      <c r="AI2132" s="215" t="n"/>
      <c r="AJ2132" s="215" t="n"/>
      <c r="AK2132" s="216" t="n"/>
    </row>
    <row r="2133" ht="15" customHeight="1">
      <c r="B2133" s="134" t="n"/>
      <c r="C2133" s="105" t="n"/>
      <c r="D2133" s="105" t="n"/>
      <c r="E2133" s="105" t="n"/>
      <c r="F2133" s="105" t="n"/>
      <c r="G2133" s="105" t="n"/>
      <c r="H2133" s="2" t="n"/>
      <c r="I2133" s="105" t="n"/>
      <c r="K2133" s="215" t="n"/>
      <c r="L2133" s="215" t="n"/>
      <c r="M2133" s="215" t="n"/>
      <c r="N2133" s="215" t="n"/>
      <c r="O2133" s="215" t="n"/>
      <c r="P2133" s="215" t="n"/>
      <c r="Q2133" s="215" t="n"/>
      <c r="R2133" s="215" t="n"/>
      <c r="S2133" s="215" t="n"/>
      <c r="T2133" s="215" t="n"/>
      <c r="U2133" s="215" t="n"/>
      <c r="V2133" s="215" t="n"/>
      <c r="W2133" s="215" t="n"/>
      <c r="X2133" s="215" t="n"/>
      <c r="Y2133" s="215" t="n"/>
      <c r="Z2133" s="215" t="n"/>
      <c r="AA2133" s="215" t="n"/>
      <c r="AB2133" s="215" t="n"/>
      <c r="AC2133" s="215" t="n"/>
      <c r="AD2133" s="215" t="n"/>
      <c r="AE2133" s="215" t="n"/>
      <c r="AF2133" s="215" t="n"/>
      <c r="AG2133" s="215" t="n"/>
      <c r="AH2133" s="215" t="n"/>
      <c r="AI2133" s="215" t="n"/>
      <c r="AJ2133" s="215" t="n"/>
      <c r="AK2133" s="216" t="n"/>
    </row>
    <row r="2134" ht="15" customHeight="1">
      <c r="B2134" s="134" t="n"/>
      <c r="C2134" s="105" t="n"/>
      <c r="D2134" s="105" t="n"/>
      <c r="E2134" s="105" t="n"/>
      <c r="F2134" s="105" t="n"/>
      <c r="G2134" s="105" t="n"/>
      <c r="H2134" s="2" t="n"/>
      <c r="I2134" s="105" t="n"/>
      <c r="K2134" s="215" t="n"/>
      <c r="L2134" s="215" t="n"/>
      <c r="M2134" s="215" t="n"/>
      <c r="N2134" s="215" t="n"/>
      <c r="O2134" s="215" t="n"/>
      <c r="P2134" s="215" t="n"/>
      <c r="Q2134" s="215" t="n"/>
      <c r="R2134" s="215" t="n"/>
      <c r="S2134" s="215" t="n"/>
      <c r="T2134" s="215" t="n"/>
      <c r="U2134" s="215" t="n"/>
      <c r="V2134" s="215" t="n"/>
      <c r="W2134" s="215" t="n"/>
      <c r="X2134" s="215" t="n"/>
      <c r="Y2134" s="215" t="n"/>
      <c r="Z2134" s="215" t="n"/>
      <c r="AA2134" s="215" t="n"/>
      <c r="AB2134" s="215" t="n"/>
      <c r="AC2134" s="215" t="n"/>
      <c r="AD2134" s="215" t="n"/>
      <c r="AE2134" s="215" t="n"/>
      <c r="AF2134" s="215" t="n"/>
      <c r="AG2134" s="215" t="n"/>
      <c r="AH2134" s="215" t="n"/>
      <c r="AI2134" s="215" t="n"/>
      <c r="AJ2134" s="215" t="n"/>
      <c r="AK2134" s="216" t="n"/>
    </row>
    <row r="2135" ht="15" customHeight="1">
      <c r="B2135" s="134" t="n"/>
      <c r="C2135" s="105" t="n"/>
      <c r="D2135" s="105" t="n"/>
      <c r="E2135" s="105" t="n"/>
      <c r="F2135" s="105" t="n"/>
      <c r="G2135" s="105" t="n"/>
      <c r="H2135" s="2" t="n"/>
      <c r="I2135" s="105" t="n"/>
      <c r="K2135" s="215" t="n"/>
      <c r="L2135" s="215" t="n"/>
      <c r="M2135" s="215" t="n"/>
      <c r="N2135" s="215" t="n"/>
      <c r="O2135" s="215" t="n"/>
      <c r="P2135" s="215" t="n"/>
      <c r="Q2135" s="215" t="n"/>
      <c r="R2135" s="215" t="n"/>
      <c r="S2135" s="215" t="n"/>
      <c r="T2135" s="215" t="n"/>
      <c r="U2135" s="215" t="n"/>
      <c r="V2135" s="215" t="n"/>
      <c r="W2135" s="215" t="n"/>
      <c r="X2135" s="215" t="n"/>
      <c r="Y2135" s="215" t="n"/>
      <c r="Z2135" s="215" t="n"/>
      <c r="AA2135" s="215" t="n"/>
      <c r="AB2135" s="215" t="n"/>
      <c r="AC2135" s="215" t="n"/>
      <c r="AD2135" s="215" t="n"/>
      <c r="AE2135" s="215" t="n"/>
      <c r="AF2135" s="215" t="n"/>
      <c r="AG2135" s="215" t="n"/>
      <c r="AH2135" s="215" t="n"/>
      <c r="AI2135" s="215" t="n"/>
      <c r="AJ2135" s="215" t="n"/>
      <c r="AK2135" s="216" t="n"/>
    </row>
    <row r="2136" ht="15" customHeight="1">
      <c r="B2136" s="134" t="n"/>
      <c r="C2136" s="105" t="n"/>
      <c r="D2136" s="105" t="n"/>
      <c r="E2136" s="105" t="n"/>
      <c r="F2136" s="105" t="n"/>
      <c r="G2136" s="105" t="n"/>
      <c r="H2136" s="2" t="n"/>
      <c r="I2136" s="105" t="n"/>
      <c r="K2136" s="215" t="n"/>
      <c r="L2136" s="215" t="n"/>
      <c r="M2136" s="215" t="n"/>
      <c r="N2136" s="215" t="n"/>
      <c r="O2136" s="215" t="n"/>
      <c r="P2136" s="215" t="n"/>
      <c r="Q2136" s="215" t="n"/>
      <c r="R2136" s="215" t="n"/>
      <c r="S2136" s="215" t="n"/>
      <c r="T2136" s="215" t="n"/>
      <c r="U2136" s="215" t="n"/>
      <c r="V2136" s="215" t="n"/>
      <c r="W2136" s="215" t="n"/>
      <c r="X2136" s="215" t="n"/>
      <c r="Y2136" s="215" t="n"/>
      <c r="Z2136" s="215" t="n"/>
      <c r="AA2136" s="215" t="n"/>
      <c r="AB2136" s="215" t="n"/>
      <c r="AC2136" s="215" t="n"/>
      <c r="AD2136" s="215" t="n"/>
      <c r="AE2136" s="215" t="n"/>
      <c r="AF2136" s="215" t="n"/>
      <c r="AG2136" s="215" t="n"/>
      <c r="AH2136" s="215" t="n"/>
      <c r="AI2136" s="215" t="n"/>
      <c r="AJ2136" s="215" t="n"/>
      <c r="AK2136" s="216" t="n"/>
    </row>
    <row r="2137" ht="15" customHeight="1">
      <c r="B2137" s="134" t="n"/>
      <c r="C2137" s="105" t="n"/>
      <c r="D2137" s="105" t="n"/>
      <c r="E2137" s="105" t="n"/>
      <c r="F2137" s="105" t="n"/>
      <c r="G2137" s="105" t="n"/>
      <c r="H2137" s="2" t="n"/>
      <c r="I2137" s="105" t="n"/>
      <c r="K2137" s="215" t="n"/>
      <c r="L2137" s="215" t="n"/>
      <c r="M2137" s="215" t="n"/>
      <c r="N2137" s="215" t="n"/>
      <c r="O2137" s="215" t="n"/>
      <c r="P2137" s="215" t="n"/>
      <c r="Q2137" s="215" t="n"/>
      <c r="R2137" s="215" t="n"/>
      <c r="S2137" s="215" t="n"/>
      <c r="T2137" s="215" t="n"/>
      <c r="U2137" s="215" t="n"/>
      <c r="V2137" s="215" t="n"/>
      <c r="W2137" s="215" t="n"/>
      <c r="X2137" s="215" t="n"/>
      <c r="Y2137" s="215" t="n"/>
      <c r="Z2137" s="215" t="n"/>
      <c r="AA2137" s="215" t="n"/>
      <c r="AB2137" s="215" t="n"/>
      <c r="AC2137" s="215" t="n"/>
      <c r="AD2137" s="215" t="n"/>
      <c r="AE2137" s="215" t="n"/>
      <c r="AF2137" s="215" t="n"/>
      <c r="AG2137" s="215" t="n"/>
      <c r="AH2137" s="215" t="n"/>
      <c r="AI2137" s="215" t="n"/>
      <c r="AJ2137" s="215" t="n"/>
      <c r="AK2137" s="216" t="n"/>
    </row>
    <row r="2138" ht="15" customHeight="1">
      <c r="B2138" s="134" t="n"/>
      <c r="C2138" s="105" t="n"/>
      <c r="D2138" s="105" t="n"/>
      <c r="E2138" s="105" t="n"/>
      <c r="F2138" s="105" t="n"/>
      <c r="G2138" s="105" t="n"/>
      <c r="H2138" s="2" t="n"/>
      <c r="I2138" s="105" t="n"/>
      <c r="K2138" s="215" t="n"/>
      <c r="L2138" s="215" t="n"/>
      <c r="M2138" s="215" t="n"/>
      <c r="N2138" s="215" t="n"/>
      <c r="O2138" s="215" t="n"/>
      <c r="P2138" s="215" t="n"/>
      <c r="Q2138" s="215" t="n"/>
      <c r="R2138" s="215" t="n"/>
      <c r="S2138" s="215" t="n"/>
      <c r="T2138" s="215" t="n"/>
      <c r="U2138" s="215" t="n"/>
      <c r="V2138" s="215" t="n"/>
      <c r="W2138" s="215" t="n"/>
      <c r="X2138" s="215" t="n"/>
      <c r="Y2138" s="215" t="n"/>
      <c r="Z2138" s="215" t="n"/>
      <c r="AA2138" s="215" t="n"/>
      <c r="AB2138" s="215" t="n"/>
      <c r="AC2138" s="215" t="n"/>
      <c r="AD2138" s="215" t="n"/>
      <c r="AE2138" s="215" t="n"/>
      <c r="AF2138" s="215" t="n"/>
      <c r="AG2138" s="215" t="n"/>
      <c r="AH2138" s="215" t="n"/>
      <c r="AI2138" s="215" t="n"/>
      <c r="AJ2138" s="215" t="n"/>
      <c r="AK2138" s="216" t="n"/>
    </row>
    <row r="2139" ht="15" customHeight="1">
      <c r="B2139" s="134" t="n"/>
      <c r="C2139" s="105" t="n"/>
      <c r="D2139" s="105" t="n"/>
      <c r="E2139" s="105" t="n"/>
      <c r="F2139" s="105" t="n"/>
      <c r="G2139" s="105" t="n"/>
      <c r="H2139" s="2" t="n"/>
      <c r="I2139" s="105" t="n"/>
      <c r="K2139" s="215" t="n"/>
      <c r="L2139" s="215" t="n"/>
      <c r="M2139" s="215" t="n"/>
      <c r="N2139" s="215" t="n"/>
      <c r="O2139" s="215" t="n"/>
      <c r="P2139" s="215" t="n"/>
      <c r="Q2139" s="215" t="n"/>
      <c r="R2139" s="215" t="n"/>
      <c r="S2139" s="215" t="n"/>
      <c r="T2139" s="215" t="n"/>
      <c r="U2139" s="215" t="n"/>
      <c r="V2139" s="215" t="n"/>
      <c r="W2139" s="215" t="n"/>
      <c r="X2139" s="215" t="n"/>
      <c r="Y2139" s="215" t="n"/>
      <c r="Z2139" s="215" t="n"/>
      <c r="AA2139" s="215" t="n"/>
      <c r="AB2139" s="215" t="n"/>
      <c r="AC2139" s="215" t="n"/>
      <c r="AD2139" s="215" t="n"/>
      <c r="AE2139" s="215" t="n"/>
      <c r="AF2139" s="215" t="n"/>
      <c r="AG2139" s="215" t="n"/>
      <c r="AH2139" s="215" t="n"/>
      <c r="AI2139" s="215" t="n"/>
      <c r="AJ2139" s="215" t="n"/>
      <c r="AK2139" s="216" t="n"/>
    </row>
    <row r="2140" ht="15" customHeight="1">
      <c r="B2140" s="134" t="n"/>
      <c r="C2140" s="105" t="n"/>
      <c r="D2140" s="105" t="n"/>
      <c r="E2140" s="105" t="n"/>
      <c r="F2140" s="105" t="n"/>
      <c r="G2140" s="105" t="n"/>
      <c r="H2140" s="2" t="n"/>
      <c r="I2140" s="105" t="n"/>
      <c r="K2140" s="215" t="n"/>
      <c r="L2140" s="215" t="n"/>
      <c r="M2140" s="215" t="n"/>
      <c r="N2140" s="215" t="n"/>
      <c r="O2140" s="215" t="n"/>
      <c r="P2140" s="215" t="n"/>
      <c r="Q2140" s="215" t="n"/>
      <c r="R2140" s="215" t="n"/>
      <c r="S2140" s="215" t="n"/>
      <c r="T2140" s="215" t="n"/>
      <c r="U2140" s="215" t="n"/>
      <c r="V2140" s="215" t="n"/>
      <c r="W2140" s="215" t="n"/>
      <c r="X2140" s="215" t="n"/>
      <c r="Y2140" s="215" t="n"/>
      <c r="Z2140" s="215" t="n"/>
      <c r="AA2140" s="215" t="n"/>
      <c r="AB2140" s="215" t="n"/>
      <c r="AC2140" s="215" t="n"/>
      <c r="AD2140" s="215" t="n"/>
      <c r="AE2140" s="215" t="n"/>
      <c r="AF2140" s="215" t="n"/>
      <c r="AG2140" s="215" t="n"/>
      <c r="AH2140" s="215" t="n"/>
      <c r="AI2140" s="215" t="n"/>
      <c r="AJ2140" s="215" t="n"/>
      <c r="AK2140" s="216" t="n"/>
    </row>
    <row r="2141" ht="15" customHeight="1">
      <c r="B2141" s="134" t="n"/>
      <c r="C2141" s="105" t="n"/>
      <c r="D2141" s="105" t="n"/>
      <c r="E2141" s="105" t="n"/>
      <c r="F2141" s="105" t="n"/>
      <c r="G2141" s="105" t="n"/>
      <c r="H2141" s="2" t="n"/>
      <c r="I2141" s="105" t="n"/>
      <c r="K2141" s="215" t="n"/>
      <c r="L2141" s="215" t="n"/>
      <c r="M2141" s="215" t="n"/>
      <c r="N2141" s="215" t="n"/>
      <c r="O2141" s="215" t="n"/>
      <c r="P2141" s="215" t="n"/>
      <c r="Q2141" s="215" t="n"/>
      <c r="R2141" s="215" t="n"/>
      <c r="S2141" s="215" t="n"/>
      <c r="T2141" s="215" t="n"/>
      <c r="U2141" s="215" t="n"/>
      <c r="V2141" s="215" t="n"/>
      <c r="W2141" s="215" t="n"/>
      <c r="X2141" s="215" t="n"/>
      <c r="Y2141" s="215" t="n"/>
      <c r="Z2141" s="215" t="n"/>
      <c r="AA2141" s="215" t="n"/>
      <c r="AB2141" s="215" t="n"/>
      <c r="AC2141" s="215" t="n"/>
      <c r="AD2141" s="215" t="n"/>
      <c r="AE2141" s="215" t="n"/>
      <c r="AF2141" s="215" t="n"/>
      <c r="AG2141" s="215" t="n"/>
      <c r="AH2141" s="215" t="n"/>
      <c r="AI2141" s="215" t="n"/>
      <c r="AJ2141" s="215" t="n"/>
      <c r="AK2141" s="216" t="n"/>
    </row>
    <row r="2142" ht="15" customHeight="1">
      <c r="B2142" s="134" t="n"/>
      <c r="C2142" s="105" t="n"/>
      <c r="D2142" s="105" t="n"/>
      <c r="E2142" s="105" t="n"/>
      <c r="F2142" s="105" t="n"/>
      <c r="G2142" s="105" t="n"/>
      <c r="H2142" s="2" t="n"/>
      <c r="I2142" s="105" t="n"/>
      <c r="K2142" s="215" t="n"/>
      <c r="L2142" s="215" t="n"/>
      <c r="M2142" s="215" t="n"/>
      <c r="N2142" s="215" t="n"/>
      <c r="O2142" s="215" t="n"/>
      <c r="P2142" s="215" t="n"/>
      <c r="Q2142" s="215" t="n"/>
      <c r="R2142" s="215" t="n"/>
      <c r="S2142" s="215" t="n"/>
      <c r="T2142" s="215" t="n"/>
      <c r="U2142" s="215" t="n"/>
      <c r="V2142" s="215" t="n"/>
      <c r="W2142" s="215" t="n"/>
      <c r="X2142" s="215" t="n"/>
      <c r="Y2142" s="215" t="n"/>
      <c r="Z2142" s="215" t="n"/>
      <c r="AA2142" s="215" t="n"/>
      <c r="AB2142" s="215" t="n"/>
      <c r="AC2142" s="215" t="n"/>
      <c r="AD2142" s="215" t="n"/>
      <c r="AE2142" s="215" t="n"/>
      <c r="AF2142" s="215" t="n"/>
      <c r="AG2142" s="215" t="n"/>
      <c r="AH2142" s="215" t="n"/>
      <c r="AI2142" s="215" t="n"/>
      <c r="AJ2142" s="215" t="n"/>
      <c r="AK2142" s="216" t="n"/>
    </row>
    <row r="2143" ht="15" customHeight="1">
      <c r="B2143" s="134" t="n"/>
      <c r="C2143" s="105" t="n"/>
      <c r="D2143" s="105" t="n"/>
      <c r="E2143" s="105" t="n"/>
      <c r="F2143" s="105" t="n"/>
      <c r="G2143" s="105" t="n"/>
      <c r="H2143" s="2" t="n"/>
      <c r="I2143" s="105" t="n"/>
      <c r="K2143" s="215" t="n"/>
      <c r="L2143" s="215" t="n"/>
      <c r="M2143" s="215" t="n"/>
      <c r="N2143" s="215" t="n"/>
      <c r="O2143" s="215" t="n"/>
      <c r="P2143" s="215" t="n"/>
      <c r="Q2143" s="215" t="n"/>
      <c r="R2143" s="215" t="n"/>
      <c r="S2143" s="215" t="n"/>
      <c r="T2143" s="215" t="n"/>
      <c r="U2143" s="215" t="n"/>
      <c r="V2143" s="215" t="n"/>
      <c r="W2143" s="215" t="n"/>
      <c r="X2143" s="215" t="n"/>
      <c r="Y2143" s="215" t="n"/>
      <c r="Z2143" s="215" t="n"/>
      <c r="AA2143" s="215" t="n"/>
      <c r="AB2143" s="215" t="n"/>
      <c r="AC2143" s="215" t="n"/>
      <c r="AD2143" s="215" t="n"/>
      <c r="AE2143" s="215" t="n"/>
      <c r="AF2143" s="215" t="n"/>
      <c r="AG2143" s="215" t="n"/>
      <c r="AH2143" s="215" t="n"/>
      <c r="AI2143" s="215" t="n"/>
      <c r="AJ2143" s="215" t="n"/>
      <c r="AK2143" s="216" t="n"/>
    </row>
    <row r="2144" ht="15" customHeight="1">
      <c r="B2144" s="134" t="n"/>
      <c r="C2144" s="105" t="n"/>
      <c r="D2144" s="105" t="n"/>
      <c r="E2144" s="105" t="n"/>
      <c r="F2144" s="105" t="n"/>
      <c r="G2144" s="105" t="n"/>
      <c r="H2144" s="2" t="n"/>
      <c r="I2144" s="105" t="n"/>
      <c r="K2144" s="215" t="n"/>
      <c r="L2144" s="215" t="n"/>
      <c r="M2144" s="215" t="n"/>
      <c r="N2144" s="215" t="n"/>
      <c r="O2144" s="215" t="n"/>
      <c r="P2144" s="215" t="n"/>
      <c r="Q2144" s="215" t="n"/>
      <c r="R2144" s="215" t="n"/>
      <c r="S2144" s="215" t="n"/>
      <c r="T2144" s="215" t="n"/>
      <c r="U2144" s="215" t="n"/>
      <c r="V2144" s="215" t="n"/>
      <c r="W2144" s="215" t="n"/>
      <c r="X2144" s="215" t="n"/>
      <c r="Y2144" s="215" t="n"/>
      <c r="Z2144" s="215" t="n"/>
      <c r="AA2144" s="215" t="n"/>
      <c r="AB2144" s="215" t="n"/>
      <c r="AC2144" s="215" t="n"/>
      <c r="AD2144" s="215" t="n"/>
      <c r="AE2144" s="215" t="n"/>
      <c r="AF2144" s="215" t="n"/>
      <c r="AG2144" s="215" t="n"/>
      <c r="AH2144" s="215" t="n"/>
      <c r="AI2144" s="215" t="n"/>
      <c r="AJ2144" s="215" t="n"/>
      <c r="AK2144" s="216" t="n"/>
    </row>
    <row r="2145" ht="15" customHeight="1">
      <c r="B2145" s="134" t="n"/>
      <c r="C2145" s="105" t="n"/>
      <c r="D2145" s="105" t="n"/>
      <c r="E2145" s="105" t="n"/>
      <c r="F2145" s="105" t="n"/>
      <c r="G2145" s="105" t="n"/>
      <c r="H2145" s="2" t="n"/>
      <c r="I2145" s="105" t="n"/>
      <c r="K2145" s="215" t="n"/>
      <c r="L2145" s="215" t="n"/>
      <c r="M2145" s="215" t="n"/>
      <c r="N2145" s="215" t="n"/>
      <c r="O2145" s="215" t="n"/>
      <c r="P2145" s="215" t="n"/>
      <c r="Q2145" s="215" t="n"/>
      <c r="R2145" s="215" t="n"/>
      <c r="S2145" s="215" t="n"/>
      <c r="T2145" s="215" t="n"/>
      <c r="U2145" s="215" t="n"/>
      <c r="V2145" s="215" t="n"/>
      <c r="W2145" s="215" t="n"/>
      <c r="X2145" s="215" t="n"/>
      <c r="Y2145" s="215" t="n"/>
      <c r="Z2145" s="215" t="n"/>
      <c r="AA2145" s="215" t="n"/>
      <c r="AB2145" s="215" t="n"/>
      <c r="AC2145" s="215" t="n"/>
      <c r="AD2145" s="215" t="n"/>
      <c r="AE2145" s="215" t="n"/>
      <c r="AF2145" s="215" t="n"/>
      <c r="AG2145" s="215" t="n"/>
      <c r="AH2145" s="215" t="n"/>
      <c r="AI2145" s="215" t="n"/>
      <c r="AJ2145" s="215" t="n"/>
      <c r="AK2145" s="216" t="n"/>
    </row>
    <row r="2146" ht="15" customHeight="1">
      <c r="B2146" s="134" t="n"/>
      <c r="C2146" s="105" t="n"/>
      <c r="D2146" s="105" t="n"/>
      <c r="E2146" s="105" t="n"/>
      <c r="F2146" s="105" t="n"/>
      <c r="G2146" s="105" t="n"/>
      <c r="H2146" s="2" t="n"/>
      <c r="I2146" s="105" t="n"/>
      <c r="K2146" s="215" t="n"/>
      <c r="L2146" s="215" t="n"/>
      <c r="M2146" s="215" t="n"/>
      <c r="N2146" s="215" t="n"/>
      <c r="O2146" s="215" t="n"/>
      <c r="P2146" s="215" t="n"/>
      <c r="Q2146" s="215" t="n"/>
      <c r="R2146" s="215" t="n"/>
      <c r="S2146" s="215" t="n"/>
      <c r="T2146" s="215" t="n"/>
      <c r="U2146" s="215" t="n"/>
      <c r="V2146" s="215" t="n"/>
      <c r="W2146" s="215" t="n"/>
      <c r="X2146" s="215" t="n"/>
      <c r="Y2146" s="215" t="n"/>
      <c r="Z2146" s="215" t="n"/>
      <c r="AA2146" s="215" t="n"/>
      <c r="AB2146" s="215" t="n"/>
      <c r="AC2146" s="215" t="n"/>
      <c r="AD2146" s="215" t="n"/>
      <c r="AE2146" s="215" t="n"/>
      <c r="AF2146" s="215" t="n"/>
      <c r="AG2146" s="215" t="n"/>
      <c r="AH2146" s="215" t="n"/>
      <c r="AI2146" s="215" t="n"/>
      <c r="AJ2146" s="215" t="n"/>
      <c r="AK2146" s="216" t="n"/>
    </row>
    <row r="2147" ht="15" customHeight="1">
      <c r="B2147" s="134" t="n"/>
      <c r="C2147" s="105" t="n"/>
      <c r="D2147" s="105" t="n"/>
      <c r="E2147" s="105" t="n"/>
      <c r="F2147" s="105" t="n"/>
      <c r="G2147" s="105" t="n"/>
      <c r="H2147" s="2" t="n"/>
      <c r="I2147" s="105" t="n"/>
      <c r="K2147" s="215" t="n"/>
      <c r="L2147" s="215" t="n"/>
      <c r="M2147" s="215" t="n"/>
      <c r="N2147" s="215" t="n"/>
      <c r="O2147" s="215" t="n"/>
      <c r="P2147" s="215" t="n"/>
      <c r="Q2147" s="215" t="n"/>
      <c r="R2147" s="215" t="n"/>
      <c r="S2147" s="215" t="n"/>
      <c r="T2147" s="215" t="n"/>
      <c r="U2147" s="215" t="n"/>
      <c r="V2147" s="215" t="n"/>
      <c r="W2147" s="215" t="n"/>
      <c r="X2147" s="215" t="n"/>
      <c r="Y2147" s="215" t="n"/>
      <c r="Z2147" s="215" t="n"/>
      <c r="AA2147" s="215" t="n"/>
      <c r="AB2147" s="215" t="n"/>
      <c r="AC2147" s="215" t="n"/>
      <c r="AD2147" s="215" t="n"/>
      <c r="AE2147" s="215" t="n"/>
      <c r="AF2147" s="215" t="n"/>
      <c r="AG2147" s="215" t="n"/>
      <c r="AH2147" s="215" t="n"/>
      <c r="AI2147" s="215" t="n"/>
      <c r="AJ2147" s="215" t="n"/>
      <c r="AK2147" s="216" t="n"/>
    </row>
    <row r="2148" ht="15" customHeight="1">
      <c r="B2148" s="134" t="n"/>
      <c r="C2148" s="105" t="n"/>
      <c r="D2148" s="105" t="n"/>
      <c r="E2148" s="105" t="n"/>
      <c r="F2148" s="105" t="n"/>
      <c r="G2148" s="105" t="n"/>
      <c r="H2148" s="2" t="n"/>
      <c r="I2148" s="105" t="n"/>
      <c r="K2148" s="215" t="n"/>
      <c r="L2148" s="215" t="n"/>
      <c r="M2148" s="215" t="n"/>
      <c r="N2148" s="215" t="n"/>
      <c r="O2148" s="215" t="n"/>
      <c r="P2148" s="215" t="n"/>
      <c r="Q2148" s="215" t="n"/>
      <c r="R2148" s="215" t="n"/>
      <c r="S2148" s="215" t="n"/>
      <c r="T2148" s="215" t="n"/>
      <c r="U2148" s="215" t="n"/>
      <c r="V2148" s="215" t="n"/>
      <c r="W2148" s="215" t="n"/>
      <c r="X2148" s="215" t="n"/>
      <c r="Y2148" s="215" t="n"/>
      <c r="Z2148" s="215" t="n"/>
      <c r="AA2148" s="215" t="n"/>
      <c r="AB2148" s="215" t="n"/>
      <c r="AC2148" s="215" t="n"/>
      <c r="AD2148" s="215" t="n"/>
      <c r="AE2148" s="215" t="n"/>
      <c r="AF2148" s="215" t="n"/>
      <c r="AG2148" s="215" t="n"/>
      <c r="AH2148" s="215" t="n"/>
      <c r="AI2148" s="215" t="n"/>
      <c r="AJ2148" s="215" t="n"/>
      <c r="AK2148" s="216" t="n"/>
    </row>
    <row r="2149" ht="15" customHeight="1">
      <c r="B2149" s="134" t="n"/>
      <c r="C2149" s="105" t="n"/>
      <c r="D2149" s="105" t="n"/>
      <c r="E2149" s="105" t="n"/>
      <c r="F2149" s="105" t="n"/>
      <c r="G2149" s="105" t="n"/>
      <c r="H2149" s="2" t="n"/>
      <c r="I2149" s="105" t="n"/>
      <c r="K2149" s="215" t="n"/>
      <c r="L2149" s="215" t="n"/>
      <c r="M2149" s="215" t="n"/>
      <c r="N2149" s="215" t="n"/>
      <c r="O2149" s="215" t="n"/>
      <c r="P2149" s="215" t="n"/>
      <c r="Q2149" s="215" t="n"/>
      <c r="R2149" s="215" t="n"/>
      <c r="S2149" s="215" t="n"/>
      <c r="T2149" s="215" t="n"/>
      <c r="U2149" s="215" t="n"/>
      <c r="V2149" s="215" t="n"/>
      <c r="W2149" s="215" t="n"/>
      <c r="X2149" s="215" t="n"/>
      <c r="Y2149" s="215" t="n"/>
      <c r="Z2149" s="215" t="n"/>
      <c r="AA2149" s="215" t="n"/>
      <c r="AB2149" s="215" t="n"/>
      <c r="AC2149" s="215" t="n"/>
      <c r="AD2149" s="215" t="n"/>
      <c r="AE2149" s="215" t="n"/>
      <c r="AF2149" s="215" t="n"/>
      <c r="AG2149" s="215" t="n"/>
      <c r="AH2149" s="215" t="n"/>
      <c r="AI2149" s="215" t="n"/>
      <c r="AJ2149" s="215" t="n"/>
      <c r="AK2149" s="216" t="n"/>
    </row>
    <row r="2150" ht="15" customHeight="1">
      <c r="B2150" s="134" t="n"/>
      <c r="C2150" s="105" t="n"/>
      <c r="D2150" s="105" t="n"/>
      <c r="E2150" s="105" t="n"/>
      <c r="F2150" s="105" t="n"/>
      <c r="G2150" s="105" t="n"/>
      <c r="H2150" s="2" t="n"/>
      <c r="I2150" s="105" t="n"/>
      <c r="K2150" s="215" t="n"/>
      <c r="L2150" s="215" t="n"/>
      <c r="M2150" s="215" t="n"/>
      <c r="N2150" s="215" t="n"/>
      <c r="O2150" s="215" t="n"/>
      <c r="P2150" s="215" t="n"/>
      <c r="Q2150" s="215" t="n"/>
      <c r="R2150" s="215" t="n"/>
      <c r="S2150" s="215" t="n"/>
      <c r="T2150" s="215" t="n"/>
      <c r="U2150" s="215" t="n"/>
      <c r="V2150" s="215" t="n"/>
      <c r="W2150" s="215" t="n"/>
      <c r="X2150" s="215" t="n"/>
      <c r="Y2150" s="215" t="n"/>
      <c r="Z2150" s="215" t="n"/>
      <c r="AA2150" s="215" t="n"/>
      <c r="AB2150" s="215" t="n"/>
      <c r="AC2150" s="215" t="n"/>
      <c r="AD2150" s="215" t="n"/>
      <c r="AE2150" s="215" t="n"/>
      <c r="AF2150" s="215" t="n"/>
      <c r="AG2150" s="215" t="n"/>
      <c r="AH2150" s="215" t="n"/>
      <c r="AI2150" s="215" t="n"/>
      <c r="AJ2150" s="215" t="n"/>
      <c r="AK2150" s="216" t="n"/>
    </row>
    <row r="2151" ht="15" customHeight="1">
      <c r="B2151" s="134" t="n"/>
      <c r="C2151" s="105" t="n"/>
      <c r="D2151" s="105" t="n"/>
      <c r="E2151" s="105" t="n"/>
      <c r="F2151" s="105" t="n"/>
      <c r="G2151" s="105" t="n"/>
      <c r="H2151" s="2" t="n"/>
      <c r="I2151" s="105" t="n"/>
      <c r="K2151" s="215" t="n"/>
      <c r="L2151" s="215" t="n"/>
      <c r="M2151" s="215" t="n"/>
      <c r="N2151" s="215" t="n"/>
      <c r="O2151" s="215" t="n"/>
      <c r="P2151" s="215" t="n"/>
      <c r="Q2151" s="215" t="n"/>
      <c r="R2151" s="215" t="n"/>
      <c r="S2151" s="215" t="n"/>
      <c r="T2151" s="215" t="n"/>
      <c r="U2151" s="215" t="n"/>
      <c r="V2151" s="215" t="n"/>
      <c r="W2151" s="215" t="n"/>
      <c r="X2151" s="215" t="n"/>
      <c r="Y2151" s="215" t="n"/>
      <c r="Z2151" s="215" t="n"/>
      <c r="AA2151" s="215" t="n"/>
      <c r="AB2151" s="215" t="n"/>
      <c r="AC2151" s="215" t="n"/>
      <c r="AD2151" s="215" t="n"/>
      <c r="AE2151" s="215" t="n"/>
      <c r="AF2151" s="215" t="n"/>
      <c r="AG2151" s="215" t="n"/>
      <c r="AH2151" s="215" t="n"/>
      <c r="AI2151" s="215" t="n"/>
      <c r="AJ2151" s="215" t="n"/>
      <c r="AK2151" s="216" t="n"/>
    </row>
    <row r="2152" ht="15" customHeight="1">
      <c r="B2152" s="134" t="n"/>
      <c r="C2152" s="105" t="n"/>
      <c r="D2152" s="105" t="n"/>
      <c r="E2152" s="105" t="n"/>
      <c r="F2152" s="105" t="n"/>
      <c r="G2152" s="105" t="n"/>
      <c r="H2152" s="2" t="n"/>
      <c r="I2152" s="105" t="n"/>
      <c r="K2152" s="215" t="n"/>
      <c r="L2152" s="215" t="n"/>
      <c r="M2152" s="215" t="n"/>
      <c r="N2152" s="215" t="n"/>
      <c r="O2152" s="215" t="n"/>
      <c r="P2152" s="215" t="n"/>
      <c r="Q2152" s="215" t="n"/>
      <c r="R2152" s="215" t="n"/>
      <c r="S2152" s="215" t="n"/>
      <c r="T2152" s="215" t="n"/>
      <c r="U2152" s="215" t="n"/>
      <c r="V2152" s="215" t="n"/>
      <c r="W2152" s="215" t="n"/>
      <c r="X2152" s="215" t="n"/>
      <c r="Y2152" s="215" t="n"/>
      <c r="Z2152" s="215" t="n"/>
      <c r="AA2152" s="215" t="n"/>
      <c r="AB2152" s="215" t="n"/>
      <c r="AC2152" s="215" t="n"/>
      <c r="AD2152" s="215" t="n"/>
      <c r="AE2152" s="215" t="n"/>
      <c r="AF2152" s="215" t="n"/>
      <c r="AG2152" s="215" t="n"/>
      <c r="AH2152" s="215" t="n"/>
      <c r="AI2152" s="215" t="n"/>
      <c r="AJ2152" s="215" t="n"/>
      <c r="AK2152" s="216" t="n"/>
    </row>
    <row r="2153" ht="15" customHeight="1">
      <c r="B2153" s="134" t="n"/>
      <c r="C2153" s="105" t="n"/>
      <c r="D2153" s="105" t="n"/>
      <c r="E2153" s="105" t="n"/>
      <c r="F2153" s="105" t="n"/>
      <c r="G2153" s="105" t="n"/>
      <c r="H2153" s="2" t="n"/>
      <c r="I2153" s="105" t="n"/>
      <c r="K2153" s="215" t="n"/>
      <c r="L2153" s="215" t="n"/>
      <c r="M2153" s="215" t="n"/>
      <c r="N2153" s="215" t="n"/>
      <c r="O2153" s="215" t="n"/>
      <c r="P2153" s="215" t="n"/>
      <c r="Q2153" s="215" t="n"/>
      <c r="R2153" s="215" t="n"/>
      <c r="S2153" s="215" t="n"/>
      <c r="T2153" s="215" t="n"/>
      <c r="U2153" s="215" t="n"/>
      <c r="V2153" s="215" t="n"/>
      <c r="W2153" s="215" t="n"/>
      <c r="X2153" s="215" t="n"/>
      <c r="Y2153" s="215" t="n"/>
      <c r="Z2153" s="215" t="n"/>
      <c r="AA2153" s="215" t="n"/>
      <c r="AB2153" s="215" t="n"/>
      <c r="AC2153" s="215" t="n"/>
      <c r="AD2153" s="215" t="n"/>
      <c r="AE2153" s="215" t="n"/>
      <c r="AF2153" s="215" t="n"/>
      <c r="AG2153" s="215" t="n"/>
      <c r="AH2153" s="215" t="n"/>
      <c r="AI2153" s="215" t="n"/>
      <c r="AJ2153" s="215" t="n"/>
      <c r="AK2153" s="216" t="n"/>
    </row>
    <row r="2154" ht="15" customHeight="1">
      <c r="B2154" s="134" t="n"/>
      <c r="C2154" s="105" t="n"/>
      <c r="D2154" s="105" t="n"/>
      <c r="E2154" s="105" t="n"/>
      <c r="F2154" s="105" t="n"/>
      <c r="G2154" s="105" t="n"/>
      <c r="H2154" s="2" t="n"/>
      <c r="I2154" s="105" t="n"/>
      <c r="K2154" s="215" t="n"/>
      <c r="L2154" s="215" t="n"/>
      <c r="M2154" s="215" t="n"/>
      <c r="N2154" s="215" t="n"/>
      <c r="O2154" s="215" t="n"/>
      <c r="P2154" s="215" t="n"/>
      <c r="Q2154" s="215" t="n"/>
      <c r="R2154" s="215" t="n"/>
      <c r="S2154" s="215" t="n"/>
      <c r="T2154" s="215" t="n"/>
      <c r="U2154" s="215" t="n"/>
      <c r="V2154" s="215" t="n"/>
      <c r="W2154" s="215" t="n"/>
      <c r="X2154" s="215" t="n"/>
      <c r="Y2154" s="215" t="n"/>
      <c r="Z2154" s="215" t="n"/>
      <c r="AA2154" s="215" t="n"/>
      <c r="AB2154" s="215" t="n"/>
      <c r="AC2154" s="215" t="n"/>
      <c r="AD2154" s="215" t="n"/>
      <c r="AE2154" s="215" t="n"/>
      <c r="AF2154" s="215" t="n"/>
      <c r="AG2154" s="215" t="n"/>
      <c r="AH2154" s="215" t="n"/>
      <c r="AI2154" s="215" t="n"/>
      <c r="AJ2154" s="215" t="n"/>
      <c r="AK2154" s="216" t="n"/>
    </row>
    <row r="2155" ht="15" customHeight="1">
      <c r="B2155" s="134" t="n"/>
      <c r="C2155" s="105" t="n"/>
      <c r="D2155" s="105" t="n"/>
      <c r="E2155" s="105" t="n"/>
      <c r="F2155" s="105" t="n"/>
      <c r="G2155" s="105" t="n"/>
      <c r="H2155" s="2" t="n"/>
      <c r="I2155" s="105" t="n"/>
      <c r="K2155" s="215" t="n"/>
      <c r="L2155" s="215" t="n"/>
      <c r="M2155" s="215" t="n"/>
      <c r="N2155" s="215" t="n"/>
      <c r="O2155" s="215" t="n"/>
      <c r="P2155" s="215" t="n"/>
      <c r="Q2155" s="215" t="n"/>
      <c r="R2155" s="215" t="n"/>
      <c r="S2155" s="215" t="n"/>
      <c r="T2155" s="215" t="n"/>
      <c r="U2155" s="215" t="n"/>
      <c r="V2155" s="215" t="n"/>
      <c r="W2155" s="215" t="n"/>
      <c r="X2155" s="215" t="n"/>
      <c r="Y2155" s="215" t="n"/>
      <c r="Z2155" s="215" t="n"/>
      <c r="AA2155" s="215" t="n"/>
      <c r="AB2155" s="215" t="n"/>
      <c r="AC2155" s="215" t="n"/>
      <c r="AD2155" s="215" t="n"/>
      <c r="AE2155" s="215" t="n"/>
      <c r="AF2155" s="215" t="n"/>
      <c r="AG2155" s="215" t="n"/>
      <c r="AH2155" s="215" t="n"/>
      <c r="AI2155" s="215" t="n"/>
      <c r="AJ2155" s="215" t="n"/>
      <c r="AK2155" s="216" t="n"/>
    </row>
    <row r="2156" ht="15" customHeight="1">
      <c r="B2156" s="134" t="n"/>
      <c r="C2156" s="105" t="n"/>
      <c r="D2156" s="105" t="n"/>
      <c r="E2156" s="105" t="n"/>
      <c r="F2156" s="105" t="n"/>
      <c r="G2156" s="105" t="n"/>
      <c r="H2156" s="2" t="n"/>
      <c r="I2156" s="105" t="n"/>
      <c r="K2156" s="215" t="n"/>
      <c r="L2156" s="215" t="n"/>
      <c r="M2156" s="215" t="n"/>
      <c r="N2156" s="215" t="n"/>
      <c r="O2156" s="215" t="n"/>
      <c r="P2156" s="215" t="n"/>
      <c r="Q2156" s="215" t="n"/>
      <c r="R2156" s="215" t="n"/>
      <c r="S2156" s="215" t="n"/>
      <c r="T2156" s="215" t="n"/>
      <c r="U2156" s="215" t="n"/>
      <c r="V2156" s="215" t="n"/>
      <c r="W2156" s="215" t="n"/>
      <c r="X2156" s="215" t="n"/>
      <c r="Y2156" s="215" t="n"/>
      <c r="Z2156" s="215" t="n"/>
      <c r="AA2156" s="215" t="n"/>
      <c r="AB2156" s="215" t="n"/>
      <c r="AC2156" s="215" t="n"/>
      <c r="AD2156" s="215" t="n"/>
      <c r="AE2156" s="215" t="n"/>
      <c r="AF2156" s="215" t="n"/>
      <c r="AG2156" s="215" t="n"/>
      <c r="AH2156" s="215" t="n"/>
      <c r="AI2156" s="215" t="n"/>
      <c r="AJ2156" s="215" t="n"/>
      <c r="AK2156" s="216" t="n"/>
    </row>
    <row r="2157" ht="15" customHeight="1">
      <c r="B2157" s="134" t="n"/>
      <c r="C2157" s="105" t="n"/>
      <c r="D2157" s="105" t="n"/>
      <c r="E2157" s="105" t="n"/>
      <c r="F2157" s="105" t="n"/>
      <c r="G2157" s="105" t="n"/>
      <c r="H2157" s="2" t="n"/>
      <c r="I2157" s="105" t="n"/>
      <c r="K2157" s="215" t="n"/>
      <c r="L2157" s="215" t="n"/>
      <c r="M2157" s="215" t="n"/>
      <c r="N2157" s="215" t="n"/>
      <c r="O2157" s="215" t="n"/>
      <c r="P2157" s="215" t="n"/>
      <c r="Q2157" s="215" t="n"/>
      <c r="R2157" s="215" t="n"/>
      <c r="S2157" s="215" t="n"/>
      <c r="T2157" s="215" t="n"/>
      <c r="U2157" s="215" t="n"/>
      <c r="V2157" s="215" t="n"/>
      <c r="W2157" s="215" t="n"/>
      <c r="X2157" s="215" t="n"/>
      <c r="Y2157" s="215" t="n"/>
      <c r="Z2157" s="215" t="n"/>
      <c r="AA2157" s="215" t="n"/>
      <c r="AB2157" s="215" t="n"/>
      <c r="AC2157" s="215" t="n"/>
      <c r="AD2157" s="215" t="n"/>
      <c r="AE2157" s="215" t="n"/>
      <c r="AF2157" s="215" t="n"/>
      <c r="AG2157" s="215" t="n"/>
      <c r="AH2157" s="215" t="n"/>
      <c r="AI2157" s="215" t="n"/>
      <c r="AJ2157" s="215" t="n"/>
      <c r="AK2157" s="216" t="n"/>
    </row>
    <row r="2158" ht="15" customHeight="1">
      <c r="B2158" s="134" t="n"/>
      <c r="C2158" s="105" t="n"/>
      <c r="D2158" s="105" t="n"/>
      <c r="E2158" s="105" t="n"/>
      <c r="F2158" s="105" t="n"/>
      <c r="G2158" s="105" t="n"/>
      <c r="H2158" s="2" t="n"/>
      <c r="I2158" s="105" t="n"/>
      <c r="K2158" s="215" t="n"/>
      <c r="L2158" s="215" t="n"/>
      <c r="M2158" s="215" t="n"/>
      <c r="N2158" s="215" t="n"/>
      <c r="O2158" s="215" t="n"/>
      <c r="P2158" s="215" t="n"/>
      <c r="Q2158" s="215" t="n"/>
      <c r="R2158" s="215" t="n"/>
      <c r="S2158" s="215" t="n"/>
      <c r="T2158" s="215" t="n"/>
      <c r="U2158" s="215" t="n"/>
      <c r="V2158" s="215" t="n"/>
      <c r="W2158" s="215" t="n"/>
      <c r="X2158" s="215" t="n"/>
      <c r="Y2158" s="215" t="n"/>
      <c r="Z2158" s="215" t="n"/>
      <c r="AA2158" s="215" t="n"/>
      <c r="AB2158" s="215" t="n"/>
      <c r="AC2158" s="215" t="n"/>
      <c r="AD2158" s="215" t="n"/>
      <c r="AE2158" s="215" t="n"/>
      <c r="AF2158" s="215" t="n"/>
      <c r="AG2158" s="215" t="n"/>
      <c r="AH2158" s="215" t="n"/>
      <c r="AI2158" s="215" t="n"/>
      <c r="AJ2158" s="215" t="n"/>
      <c r="AK2158" s="216" t="n"/>
    </row>
    <row r="2159" ht="15" customHeight="1">
      <c r="B2159" s="134" t="n"/>
      <c r="C2159" s="105" t="n"/>
      <c r="D2159" s="105" t="n"/>
      <c r="E2159" s="105" t="n"/>
      <c r="F2159" s="105" t="n"/>
      <c r="G2159" s="105" t="n"/>
      <c r="H2159" s="2" t="n"/>
      <c r="I2159" s="105" t="n"/>
      <c r="K2159" s="215" t="n"/>
      <c r="L2159" s="215" t="n"/>
      <c r="M2159" s="215" t="n"/>
      <c r="N2159" s="215" t="n"/>
      <c r="O2159" s="215" t="n"/>
      <c r="P2159" s="215" t="n"/>
      <c r="Q2159" s="215" t="n"/>
      <c r="R2159" s="215" t="n"/>
      <c r="S2159" s="215" t="n"/>
      <c r="T2159" s="215" t="n"/>
      <c r="U2159" s="215" t="n"/>
      <c r="V2159" s="215" t="n"/>
      <c r="W2159" s="215" t="n"/>
      <c r="X2159" s="215" t="n"/>
      <c r="Y2159" s="215" t="n"/>
      <c r="Z2159" s="215" t="n"/>
      <c r="AA2159" s="215" t="n"/>
      <c r="AB2159" s="215" t="n"/>
      <c r="AC2159" s="215" t="n"/>
      <c r="AD2159" s="215" t="n"/>
      <c r="AE2159" s="215" t="n"/>
      <c r="AF2159" s="215" t="n"/>
      <c r="AG2159" s="215" t="n"/>
      <c r="AH2159" s="215" t="n"/>
      <c r="AI2159" s="215" t="n"/>
      <c r="AJ2159" s="215" t="n"/>
      <c r="AK2159" s="216" t="n"/>
    </row>
    <row r="2160" ht="15" customHeight="1">
      <c r="B2160" s="134" t="n"/>
      <c r="C2160" s="105" t="n"/>
      <c r="D2160" s="105" t="n"/>
      <c r="E2160" s="105" t="n"/>
      <c r="F2160" s="105" t="n"/>
      <c r="G2160" s="105" t="n"/>
      <c r="H2160" s="2" t="n"/>
      <c r="I2160" s="105" t="n"/>
      <c r="K2160" s="215" t="n"/>
      <c r="L2160" s="215" t="n"/>
      <c r="M2160" s="215" t="n"/>
      <c r="N2160" s="215" t="n"/>
      <c r="O2160" s="215" t="n"/>
      <c r="P2160" s="215" t="n"/>
      <c r="Q2160" s="215" t="n"/>
      <c r="R2160" s="215" t="n"/>
      <c r="S2160" s="215" t="n"/>
      <c r="T2160" s="215" t="n"/>
      <c r="U2160" s="215" t="n"/>
      <c r="V2160" s="215" t="n"/>
      <c r="W2160" s="215" t="n"/>
      <c r="X2160" s="215" t="n"/>
      <c r="Y2160" s="215" t="n"/>
      <c r="Z2160" s="215" t="n"/>
      <c r="AA2160" s="215" t="n"/>
      <c r="AB2160" s="215" t="n"/>
      <c r="AC2160" s="215" t="n"/>
      <c r="AD2160" s="215" t="n"/>
      <c r="AE2160" s="215" t="n"/>
      <c r="AF2160" s="215" t="n"/>
      <c r="AG2160" s="215" t="n"/>
      <c r="AH2160" s="215" t="n"/>
      <c r="AI2160" s="215" t="n"/>
      <c r="AJ2160" s="215" t="n"/>
      <c r="AK2160" s="216" t="n"/>
    </row>
    <row r="2161" ht="15" customHeight="1">
      <c r="B2161" s="134" t="n"/>
      <c r="C2161" s="105" t="n"/>
      <c r="D2161" s="105" t="n"/>
      <c r="E2161" s="105" t="n"/>
      <c r="F2161" s="105" t="n"/>
      <c r="G2161" s="105" t="n"/>
      <c r="H2161" s="2" t="n"/>
      <c r="I2161" s="105" t="n"/>
      <c r="K2161" s="215" t="n"/>
      <c r="L2161" s="215" t="n"/>
      <c r="M2161" s="215" t="n"/>
      <c r="N2161" s="215" t="n"/>
      <c r="O2161" s="215" t="n"/>
      <c r="P2161" s="215" t="n"/>
      <c r="Q2161" s="215" t="n"/>
      <c r="R2161" s="215" t="n"/>
      <c r="S2161" s="215" t="n"/>
      <c r="T2161" s="215" t="n"/>
      <c r="U2161" s="215" t="n"/>
      <c r="V2161" s="215" t="n"/>
      <c r="W2161" s="215" t="n"/>
      <c r="X2161" s="215" t="n"/>
      <c r="Y2161" s="215" t="n"/>
      <c r="Z2161" s="215" t="n"/>
      <c r="AA2161" s="215" t="n"/>
      <c r="AB2161" s="215" t="n"/>
      <c r="AC2161" s="215" t="n"/>
      <c r="AD2161" s="215" t="n"/>
      <c r="AE2161" s="215" t="n"/>
      <c r="AF2161" s="215" t="n"/>
      <c r="AG2161" s="215" t="n"/>
      <c r="AH2161" s="215" t="n"/>
      <c r="AI2161" s="215" t="n"/>
      <c r="AJ2161" s="215" t="n"/>
      <c r="AK2161" s="216" t="n"/>
    </row>
    <row r="2162" ht="15" customHeight="1">
      <c r="B2162" s="134" t="n"/>
      <c r="C2162" s="105" t="n"/>
      <c r="D2162" s="105" t="n"/>
      <c r="E2162" s="105" t="n"/>
      <c r="F2162" s="105" t="n"/>
      <c r="G2162" s="105" t="n"/>
      <c r="H2162" s="2" t="n"/>
      <c r="I2162" s="105" t="n"/>
      <c r="K2162" s="215" t="n"/>
      <c r="L2162" s="215" t="n"/>
      <c r="M2162" s="215" t="n"/>
      <c r="N2162" s="215" t="n"/>
      <c r="O2162" s="215" t="n"/>
      <c r="P2162" s="215" t="n"/>
      <c r="Q2162" s="215" t="n"/>
      <c r="R2162" s="215" t="n"/>
      <c r="S2162" s="215" t="n"/>
      <c r="T2162" s="215" t="n"/>
      <c r="U2162" s="215" t="n"/>
      <c r="V2162" s="215" t="n"/>
      <c r="W2162" s="215" t="n"/>
      <c r="X2162" s="215" t="n"/>
      <c r="Y2162" s="215" t="n"/>
      <c r="Z2162" s="215" t="n"/>
      <c r="AA2162" s="215" t="n"/>
      <c r="AB2162" s="215" t="n"/>
      <c r="AC2162" s="215" t="n"/>
      <c r="AD2162" s="215" t="n"/>
      <c r="AE2162" s="215" t="n"/>
      <c r="AF2162" s="215" t="n"/>
      <c r="AG2162" s="215" t="n"/>
      <c r="AH2162" s="215" t="n"/>
      <c r="AI2162" s="215" t="n"/>
      <c r="AJ2162" s="215" t="n"/>
      <c r="AK2162" s="216" t="n"/>
    </row>
    <row r="2163" ht="15" customHeight="1">
      <c r="B2163" s="134" t="n"/>
      <c r="C2163" s="105" t="n"/>
      <c r="D2163" s="105" t="n"/>
      <c r="E2163" s="105" t="n"/>
      <c r="F2163" s="105" t="n"/>
      <c r="G2163" s="105" t="n"/>
      <c r="H2163" s="2" t="n"/>
      <c r="I2163" s="105" t="n"/>
      <c r="K2163" s="215" t="n"/>
      <c r="L2163" s="215" t="n"/>
      <c r="M2163" s="215" t="n"/>
      <c r="N2163" s="215" t="n"/>
      <c r="O2163" s="215" t="n"/>
      <c r="P2163" s="215" t="n"/>
      <c r="Q2163" s="215" t="n"/>
      <c r="R2163" s="215" t="n"/>
      <c r="S2163" s="215" t="n"/>
      <c r="T2163" s="215" t="n"/>
      <c r="U2163" s="215" t="n"/>
      <c r="V2163" s="215" t="n"/>
      <c r="W2163" s="215" t="n"/>
      <c r="X2163" s="215" t="n"/>
      <c r="Y2163" s="215" t="n"/>
      <c r="Z2163" s="215" t="n"/>
      <c r="AA2163" s="215" t="n"/>
      <c r="AB2163" s="215" t="n"/>
      <c r="AC2163" s="215" t="n"/>
      <c r="AD2163" s="215" t="n"/>
      <c r="AE2163" s="215" t="n"/>
      <c r="AF2163" s="215" t="n"/>
      <c r="AG2163" s="215" t="n"/>
      <c r="AH2163" s="215" t="n"/>
      <c r="AI2163" s="215" t="n"/>
      <c r="AJ2163" s="215" t="n"/>
      <c r="AK2163" s="216" t="n"/>
    </row>
    <row r="2164" ht="15" customHeight="1">
      <c r="B2164" s="134" t="n"/>
      <c r="C2164" s="105" t="n"/>
      <c r="D2164" s="105" t="n"/>
      <c r="E2164" s="105" t="n"/>
      <c r="F2164" s="105" t="n"/>
      <c r="G2164" s="105" t="n"/>
      <c r="H2164" s="2" t="n"/>
      <c r="I2164" s="105" t="n"/>
      <c r="K2164" s="215" t="n"/>
      <c r="L2164" s="215" t="n"/>
      <c r="M2164" s="215" t="n"/>
      <c r="N2164" s="215" t="n"/>
      <c r="O2164" s="215" t="n"/>
      <c r="P2164" s="215" t="n"/>
      <c r="Q2164" s="215" t="n"/>
      <c r="R2164" s="215" t="n"/>
      <c r="S2164" s="215" t="n"/>
      <c r="T2164" s="215" t="n"/>
      <c r="U2164" s="215" t="n"/>
      <c r="V2164" s="215" t="n"/>
      <c r="W2164" s="215" t="n"/>
      <c r="X2164" s="215" t="n"/>
      <c r="Y2164" s="215" t="n"/>
      <c r="Z2164" s="215" t="n"/>
      <c r="AA2164" s="215" t="n"/>
      <c r="AB2164" s="215" t="n"/>
      <c r="AC2164" s="215" t="n"/>
      <c r="AD2164" s="215" t="n"/>
      <c r="AE2164" s="215" t="n"/>
      <c r="AF2164" s="215" t="n"/>
      <c r="AG2164" s="215" t="n"/>
      <c r="AH2164" s="215" t="n"/>
      <c r="AI2164" s="215" t="n"/>
      <c r="AJ2164" s="215" t="n"/>
      <c r="AK2164" s="216" t="n"/>
    </row>
    <row r="2165" ht="15" customHeight="1">
      <c r="B2165" s="134" t="n"/>
      <c r="C2165" s="105" t="n"/>
      <c r="D2165" s="105" t="n"/>
      <c r="E2165" s="105" t="n"/>
      <c r="F2165" s="105" t="n"/>
      <c r="G2165" s="105" t="n"/>
      <c r="H2165" s="2" t="n"/>
      <c r="I2165" s="105" t="n"/>
      <c r="K2165" s="215" t="n"/>
      <c r="L2165" s="215" t="n"/>
      <c r="M2165" s="215" t="n"/>
      <c r="N2165" s="215" t="n"/>
      <c r="O2165" s="215" t="n"/>
      <c r="P2165" s="215" t="n"/>
      <c r="Q2165" s="215" t="n"/>
      <c r="R2165" s="215" t="n"/>
      <c r="S2165" s="215" t="n"/>
      <c r="T2165" s="215" t="n"/>
      <c r="U2165" s="215" t="n"/>
      <c r="V2165" s="215" t="n"/>
      <c r="W2165" s="215" t="n"/>
      <c r="X2165" s="215" t="n"/>
      <c r="Y2165" s="215" t="n"/>
      <c r="Z2165" s="215" t="n"/>
      <c r="AA2165" s="215" t="n"/>
      <c r="AB2165" s="215" t="n"/>
      <c r="AC2165" s="215" t="n"/>
      <c r="AD2165" s="215" t="n"/>
      <c r="AE2165" s="215" t="n"/>
      <c r="AF2165" s="215" t="n"/>
      <c r="AG2165" s="215" t="n"/>
      <c r="AH2165" s="215" t="n"/>
      <c r="AI2165" s="215" t="n"/>
      <c r="AJ2165" s="215" t="n"/>
      <c r="AK2165" s="216" t="n"/>
    </row>
    <row r="2166" ht="15" customHeight="1">
      <c r="B2166" s="134" t="n"/>
      <c r="C2166" s="105" t="n"/>
      <c r="D2166" s="105" t="n"/>
      <c r="E2166" s="105" t="n"/>
      <c r="F2166" s="105" t="n"/>
      <c r="G2166" s="105" t="n"/>
      <c r="H2166" s="2" t="n"/>
      <c r="I2166" s="105" t="n"/>
      <c r="K2166" s="215" t="n"/>
      <c r="L2166" s="215" t="n"/>
      <c r="M2166" s="215" t="n"/>
      <c r="N2166" s="215" t="n"/>
      <c r="O2166" s="215" t="n"/>
      <c r="P2166" s="215" t="n"/>
      <c r="Q2166" s="215" t="n"/>
      <c r="R2166" s="215" t="n"/>
      <c r="S2166" s="215" t="n"/>
      <c r="T2166" s="215" t="n"/>
      <c r="U2166" s="215" t="n"/>
      <c r="V2166" s="215" t="n"/>
      <c r="W2166" s="215" t="n"/>
      <c r="X2166" s="215" t="n"/>
      <c r="Y2166" s="215" t="n"/>
      <c r="Z2166" s="215" t="n"/>
      <c r="AA2166" s="215" t="n"/>
      <c r="AB2166" s="215" t="n"/>
      <c r="AC2166" s="215" t="n"/>
      <c r="AD2166" s="215" t="n"/>
      <c r="AE2166" s="215" t="n"/>
      <c r="AF2166" s="215" t="n"/>
      <c r="AG2166" s="215" t="n"/>
      <c r="AH2166" s="215" t="n"/>
      <c r="AI2166" s="215" t="n"/>
      <c r="AJ2166" s="215" t="n"/>
      <c r="AK2166" s="216" t="n"/>
    </row>
    <row r="2167" ht="15" customHeight="1">
      <c r="B2167" s="134" t="n"/>
      <c r="C2167" s="105" t="n"/>
      <c r="D2167" s="105" t="n"/>
      <c r="E2167" s="105" t="n"/>
      <c r="F2167" s="105" t="n"/>
      <c r="G2167" s="105" t="n"/>
      <c r="H2167" s="2" t="n"/>
      <c r="I2167" s="105" t="n"/>
      <c r="K2167" s="215" t="n"/>
      <c r="L2167" s="215" t="n"/>
      <c r="M2167" s="215" t="n"/>
      <c r="N2167" s="215" t="n"/>
      <c r="O2167" s="215" t="n"/>
      <c r="P2167" s="215" t="n"/>
      <c r="Q2167" s="215" t="n"/>
      <c r="R2167" s="215" t="n"/>
      <c r="S2167" s="215" t="n"/>
      <c r="T2167" s="215" t="n"/>
      <c r="U2167" s="215" t="n"/>
      <c r="V2167" s="215" t="n"/>
      <c r="W2167" s="215" t="n"/>
      <c r="X2167" s="215" t="n"/>
      <c r="Y2167" s="215" t="n"/>
      <c r="Z2167" s="215" t="n"/>
      <c r="AA2167" s="215" t="n"/>
      <c r="AB2167" s="215" t="n"/>
      <c r="AC2167" s="215" t="n"/>
      <c r="AD2167" s="215" t="n"/>
      <c r="AE2167" s="215" t="n"/>
      <c r="AF2167" s="215" t="n"/>
      <c r="AG2167" s="215" t="n"/>
      <c r="AH2167" s="215" t="n"/>
      <c r="AI2167" s="215" t="n"/>
      <c r="AJ2167" s="215" t="n"/>
      <c r="AK2167" s="216" t="n"/>
    </row>
    <row r="2168" ht="15" customHeight="1">
      <c r="B2168" s="134" t="n"/>
      <c r="C2168" s="105" t="n"/>
      <c r="D2168" s="105" t="n"/>
      <c r="E2168" s="105" t="n"/>
      <c r="F2168" s="105" t="n"/>
      <c r="G2168" s="105" t="n"/>
      <c r="H2168" s="2" t="n"/>
      <c r="I2168" s="105" t="n"/>
      <c r="K2168" s="215" t="n"/>
      <c r="L2168" s="215" t="n"/>
      <c r="M2168" s="215" t="n"/>
      <c r="N2168" s="215" t="n"/>
      <c r="O2168" s="215" t="n"/>
      <c r="P2168" s="215" t="n"/>
      <c r="Q2168" s="215" t="n"/>
      <c r="R2168" s="215" t="n"/>
      <c r="S2168" s="215" t="n"/>
      <c r="T2168" s="215" t="n"/>
      <c r="U2168" s="215" t="n"/>
      <c r="V2168" s="215" t="n"/>
      <c r="W2168" s="215" t="n"/>
      <c r="X2168" s="215" t="n"/>
      <c r="Y2168" s="215" t="n"/>
      <c r="Z2168" s="215" t="n"/>
      <c r="AA2168" s="215" t="n"/>
      <c r="AB2168" s="215" t="n"/>
      <c r="AC2168" s="215" t="n"/>
      <c r="AD2168" s="215" t="n"/>
      <c r="AE2168" s="215" t="n"/>
      <c r="AF2168" s="215" t="n"/>
      <c r="AG2168" s="215" t="n"/>
      <c r="AH2168" s="215" t="n"/>
      <c r="AI2168" s="215" t="n"/>
      <c r="AJ2168" s="215" t="n"/>
      <c r="AK2168" s="216" t="n"/>
    </row>
    <row r="2169" ht="15" customHeight="1">
      <c r="B2169" s="134" t="n"/>
      <c r="C2169" s="105" t="n"/>
      <c r="D2169" s="105" t="n"/>
      <c r="E2169" s="105" t="n"/>
      <c r="F2169" s="105" t="n"/>
      <c r="G2169" s="105" t="n"/>
      <c r="H2169" s="2" t="n"/>
      <c r="I2169" s="105" t="n"/>
      <c r="K2169" s="215" t="n"/>
      <c r="L2169" s="215" t="n"/>
      <c r="M2169" s="215" t="n"/>
      <c r="N2169" s="215" t="n"/>
      <c r="O2169" s="215" t="n"/>
      <c r="P2169" s="215" t="n"/>
      <c r="Q2169" s="215" t="n"/>
      <c r="R2169" s="215" t="n"/>
      <c r="S2169" s="215" t="n"/>
      <c r="T2169" s="215" t="n"/>
      <c r="U2169" s="215" t="n"/>
      <c r="V2169" s="215" t="n"/>
      <c r="W2169" s="215" t="n"/>
      <c r="X2169" s="215" t="n"/>
      <c r="Y2169" s="215" t="n"/>
      <c r="Z2169" s="215" t="n"/>
      <c r="AA2169" s="215" t="n"/>
      <c r="AB2169" s="215" t="n"/>
      <c r="AC2169" s="215" t="n"/>
      <c r="AD2169" s="215" t="n"/>
      <c r="AE2169" s="215" t="n"/>
      <c r="AF2169" s="215" t="n"/>
      <c r="AG2169" s="215" t="n"/>
      <c r="AH2169" s="215" t="n"/>
      <c r="AI2169" s="215" t="n"/>
      <c r="AJ2169" s="215" t="n"/>
      <c r="AK2169" s="216" t="n"/>
    </row>
    <row r="2170" ht="15" customHeight="1">
      <c r="B2170" s="134" t="n"/>
      <c r="C2170" s="105" t="n"/>
      <c r="D2170" s="105" t="n"/>
      <c r="E2170" s="105" t="n"/>
      <c r="F2170" s="105" t="n"/>
      <c r="G2170" s="105" t="n"/>
      <c r="H2170" s="2" t="n"/>
      <c r="I2170" s="105" t="n"/>
      <c r="K2170" s="215" t="n"/>
      <c r="L2170" s="215" t="n"/>
      <c r="M2170" s="215" t="n"/>
      <c r="N2170" s="215" t="n"/>
      <c r="O2170" s="215" t="n"/>
      <c r="P2170" s="215" t="n"/>
      <c r="Q2170" s="215" t="n"/>
      <c r="R2170" s="215" t="n"/>
      <c r="S2170" s="215" t="n"/>
      <c r="T2170" s="215" t="n"/>
      <c r="U2170" s="215" t="n"/>
      <c r="V2170" s="215" t="n"/>
      <c r="W2170" s="215" t="n"/>
      <c r="X2170" s="215" t="n"/>
      <c r="Y2170" s="215" t="n"/>
      <c r="Z2170" s="215" t="n"/>
      <c r="AA2170" s="215" t="n"/>
      <c r="AB2170" s="215" t="n"/>
      <c r="AC2170" s="215" t="n"/>
      <c r="AD2170" s="215" t="n"/>
      <c r="AE2170" s="215" t="n"/>
      <c r="AF2170" s="215" t="n"/>
      <c r="AG2170" s="215" t="n"/>
      <c r="AH2170" s="215" t="n"/>
      <c r="AI2170" s="215" t="n"/>
      <c r="AJ2170" s="215" t="n"/>
      <c r="AK2170" s="216" t="n"/>
    </row>
    <row r="2171" ht="15" customHeight="1">
      <c r="B2171" s="134" t="n"/>
      <c r="C2171" s="105" t="n"/>
      <c r="D2171" s="105" t="n"/>
      <c r="E2171" s="105" t="n"/>
      <c r="F2171" s="105" t="n"/>
      <c r="G2171" s="105" t="n"/>
      <c r="H2171" s="2" t="n"/>
      <c r="I2171" s="105" t="n"/>
      <c r="K2171" s="215" t="n"/>
      <c r="L2171" s="215" t="n"/>
      <c r="M2171" s="215" t="n"/>
      <c r="N2171" s="215" t="n"/>
      <c r="O2171" s="215" t="n"/>
      <c r="P2171" s="215" t="n"/>
      <c r="Q2171" s="215" t="n"/>
      <c r="R2171" s="215" t="n"/>
      <c r="S2171" s="215" t="n"/>
      <c r="T2171" s="215" t="n"/>
      <c r="U2171" s="215" t="n"/>
      <c r="V2171" s="215" t="n"/>
      <c r="W2171" s="215" t="n"/>
      <c r="X2171" s="215" t="n"/>
      <c r="Y2171" s="215" t="n"/>
      <c r="Z2171" s="215" t="n"/>
      <c r="AA2171" s="215" t="n"/>
      <c r="AB2171" s="215" t="n"/>
      <c r="AC2171" s="215" t="n"/>
      <c r="AD2171" s="215" t="n"/>
      <c r="AE2171" s="215" t="n"/>
      <c r="AF2171" s="215" t="n"/>
      <c r="AG2171" s="215" t="n"/>
      <c r="AH2171" s="215" t="n"/>
      <c r="AI2171" s="215" t="n"/>
      <c r="AJ2171" s="215" t="n"/>
      <c r="AK2171" s="216" t="n"/>
    </row>
    <row r="2172" ht="15" customHeight="1">
      <c r="B2172" s="134" t="n"/>
      <c r="C2172" s="105" t="n"/>
      <c r="D2172" s="105" t="n"/>
      <c r="E2172" s="105" t="n"/>
      <c r="F2172" s="105" t="n"/>
      <c r="G2172" s="105" t="n"/>
      <c r="H2172" s="2" t="n"/>
      <c r="I2172" s="105" t="n"/>
      <c r="K2172" s="215" t="n"/>
      <c r="L2172" s="215" t="n"/>
      <c r="M2172" s="215" t="n"/>
      <c r="N2172" s="215" t="n"/>
      <c r="O2172" s="215" t="n"/>
      <c r="P2172" s="215" t="n"/>
      <c r="Q2172" s="215" t="n"/>
      <c r="R2172" s="215" t="n"/>
      <c r="S2172" s="215" t="n"/>
      <c r="T2172" s="215" t="n"/>
      <c r="U2172" s="215" t="n"/>
      <c r="V2172" s="215" t="n"/>
      <c r="W2172" s="215" t="n"/>
      <c r="X2172" s="215" t="n"/>
      <c r="Y2172" s="215" t="n"/>
      <c r="Z2172" s="215" t="n"/>
      <c r="AA2172" s="215" t="n"/>
      <c r="AB2172" s="215" t="n"/>
      <c r="AC2172" s="215" t="n"/>
      <c r="AD2172" s="215" t="n"/>
      <c r="AE2172" s="215" t="n"/>
      <c r="AF2172" s="215" t="n"/>
      <c r="AG2172" s="215" t="n"/>
      <c r="AH2172" s="215" t="n"/>
      <c r="AI2172" s="215" t="n"/>
      <c r="AJ2172" s="215" t="n"/>
      <c r="AK2172" s="216" t="n"/>
    </row>
    <row r="2173" ht="15" customHeight="1">
      <c r="B2173" s="134" t="n"/>
      <c r="C2173" s="105" t="n"/>
      <c r="D2173" s="105" t="n"/>
      <c r="E2173" s="105" t="n"/>
      <c r="F2173" s="105" t="n"/>
      <c r="G2173" s="105" t="n"/>
      <c r="H2173" s="2" t="n"/>
      <c r="I2173" s="105" t="n"/>
      <c r="K2173" s="215" t="n"/>
      <c r="L2173" s="215" t="n"/>
      <c r="M2173" s="215" t="n"/>
      <c r="N2173" s="215" t="n"/>
      <c r="O2173" s="215" t="n"/>
      <c r="P2173" s="215" t="n"/>
      <c r="Q2173" s="215" t="n"/>
      <c r="R2173" s="215" t="n"/>
      <c r="S2173" s="215" t="n"/>
      <c r="T2173" s="215" t="n"/>
      <c r="U2173" s="215" t="n"/>
      <c r="V2173" s="215" t="n"/>
      <c r="W2173" s="215" t="n"/>
      <c r="X2173" s="215" t="n"/>
      <c r="Y2173" s="215" t="n"/>
      <c r="Z2173" s="215" t="n"/>
      <c r="AA2173" s="215" t="n"/>
      <c r="AB2173" s="215" t="n"/>
      <c r="AC2173" s="215" t="n"/>
      <c r="AD2173" s="215" t="n"/>
      <c r="AE2173" s="215" t="n"/>
      <c r="AF2173" s="215" t="n"/>
      <c r="AG2173" s="215" t="n"/>
      <c r="AH2173" s="215" t="n"/>
      <c r="AI2173" s="215" t="n"/>
      <c r="AJ2173" s="215" t="n"/>
      <c r="AK2173" s="216" t="n"/>
    </row>
    <row r="2174" ht="15" customHeight="1">
      <c r="B2174" s="134" t="n"/>
      <c r="C2174" s="105" t="n"/>
      <c r="D2174" s="105" t="n"/>
      <c r="E2174" s="105" t="n"/>
      <c r="F2174" s="105" t="n"/>
      <c r="G2174" s="105" t="n"/>
      <c r="H2174" s="2" t="n"/>
      <c r="I2174" s="105" t="n"/>
      <c r="K2174" s="215" t="n"/>
      <c r="L2174" s="215" t="n"/>
      <c r="M2174" s="215" t="n"/>
      <c r="N2174" s="215" t="n"/>
      <c r="O2174" s="215" t="n"/>
      <c r="P2174" s="215" t="n"/>
      <c r="Q2174" s="215" t="n"/>
      <c r="R2174" s="215" t="n"/>
      <c r="S2174" s="215" t="n"/>
      <c r="T2174" s="215" t="n"/>
      <c r="U2174" s="215" t="n"/>
      <c r="V2174" s="215" t="n"/>
      <c r="W2174" s="215" t="n"/>
      <c r="X2174" s="215" t="n"/>
      <c r="Y2174" s="215" t="n"/>
      <c r="Z2174" s="215" t="n"/>
      <c r="AA2174" s="215" t="n"/>
      <c r="AB2174" s="215" t="n"/>
      <c r="AC2174" s="215" t="n"/>
      <c r="AD2174" s="215" t="n"/>
      <c r="AE2174" s="215" t="n"/>
      <c r="AF2174" s="215" t="n"/>
      <c r="AG2174" s="215" t="n"/>
      <c r="AH2174" s="215" t="n"/>
      <c r="AI2174" s="215" t="n"/>
      <c r="AJ2174" s="215" t="n"/>
      <c r="AK2174" s="216" t="n"/>
    </row>
    <row r="2175" ht="15" customHeight="1">
      <c r="B2175" s="134" t="n"/>
      <c r="C2175" s="105" t="n"/>
      <c r="D2175" s="105" t="n"/>
      <c r="E2175" s="105" t="n"/>
      <c r="F2175" s="105" t="n"/>
      <c r="G2175" s="105" t="n"/>
      <c r="H2175" s="2" t="n"/>
      <c r="I2175" s="105" t="n"/>
      <c r="K2175" s="215" t="n"/>
      <c r="L2175" s="215" t="n"/>
      <c r="M2175" s="215" t="n"/>
      <c r="N2175" s="215" t="n"/>
      <c r="O2175" s="215" t="n"/>
      <c r="P2175" s="215" t="n"/>
      <c r="Q2175" s="215" t="n"/>
      <c r="R2175" s="215" t="n"/>
      <c r="S2175" s="215" t="n"/>
      <c r="T2175" s="215" t="n"/>
      <c r="U2175" s="215" t="n"/>
      <c r="V2175" s="215" t="n"/>
      <c r="W2175" s="215" t="n"/>
      <c r="X2175" s="215" t="n"/>
      <c r="Y2175" s="215" t="n"/>
      <c r="Z2175" s="215" t="n"/>
      <c r="AA2175" s="215" t="n"/>
      <c r="AB2175" s="215" t="n"/>
      <c r="AC2175" s="215" t="n"/>
      <c r="AD2175" s="215" t="n"/>
      <c r="AE2175" s="215" t="n"/>
      <c r="AF2175" s="215" t="n"/>
      <c r="AG2175" s="215" t="n"/>
      <c r="AH2175" s="215" t="n"/>
      <c r="AI2175" s="215" t="n"/>
      <c r="AJ2175" s="215" t="n"/>
      <c r="AK2175" s="216" t="n"/>
    </row>
    <row r="2176" ht="15" customHeight="1">
      <c r="B2176" s="134" t="n"/>
      <c r="C2176" s="105" t="n"/>
      <c r="D2176" s="105" t="n"/>
      <c r="E2176" s="105" t="n"/>
      <c r="F2176" s="105" t="n"/>
      <c r="G2176" s="105" t="n"/>
      <c r="H2176" s="2" t="n"/>
      <c r="I2176" s="105" t="n"/>
      <c r="K2176" s="215" t="n"/>
      <c r="L2176" s="215" t="n"/>
      <c r="M2176" s="215" t="n"/>
      <c r="N2176" s="215" t="n"/>
      <c r="O2176" s="215" t="n"/>
      <c r="P2176" s="215" t="n"/>
      <c r="Q2176" s="215" t="n"/>
      <c r="R2176" s="215" t="n"/>
      <c r="S2176" s="215" t="n"/>
      <c r="T2176" s="215" t="n"/>
      <c r="U2176" s="215" t="n"/>
      <c r="V2176" s="215" t="n"/>
      <c r="W2176" s="215" t="n"/>
      <c r="X2176" s="215" t="n"/>
      <c r="Y2176" s="215" t="n"/>
      <c r="Z2176" s="215" t="n"/>
      <c r="AA2176" s="215" t="n"/>
      <c r="AB2176" s="215" t="n"/>
      <c r="AC2176" s="215" t="n"/>
      <c r="AD2176" s="215" t="n"/>
      <c r="AE2176" s="215" t="n"/>
      <c r="AF2176" s="215" t="n"/>
      <c r="AG2176" s="215" t="n"/>
      <c r="AH2176" s="215" t="n"/>
      <c r="AI2176" s="215" t="n"/>
      <c r="AJ2176" s="215" t="n"/>
      <c r="AK2176" s="216" t="n"/>
    </row>
    <row r="2177" ht="15" customHeight="1">
      <c r="B2177" s="134" t="n"/>
      <c r="C2177" s="105" t="n"/>
      <c r="D2177" s="105" t="n"/>
      <c r="E2177" s="105" t="n"/>
      <c r="F2177" s="105" t="n"/>
      <c r="G2177" s="105" t="n"/>
      <c r="H2177" s="2" t="n"/>
      <c r="I2177" s="105" t="n"/>
      <c r="K2177" s="215" t="n"/>
      <c r="L2177" s="215" t="n"/>
      <c r="M2177" s="215" t="n"/>
      <c r="N2177" s="215" t="n"/>
      <c r="O2177" s="215" t="n"/>
      <c r="P2177" s="215" t="n"/>
      <c r="Q2177" s="215" t="n"/>
      <c r="R2177" s="215" t="n"/>
      <c r="S2177" s="215" t="n"/>
      <c r="T2177" s="215" t="n"/>
      <c r="U2177" s="215" t="n"/>
      <c r="V2177" s="215" t="n"/>
      <c r="W2177" s="215" t="n"/>
      <c r="X2177" s="215" t="n"/>
      <c r="Y2177" s="215" t="n"/>
      <c r="Z2177" s="215" t="n"/>
      <c r="AA2177" s="215" t="n"/>
      <c r="AB2177" s="215" t="n"/>
      <c r="AC2177" s="215" t="n"/>
      <c r="AD2177" s="215" t="n"/>
      <c r="AE2177" s="215" t="n"/>
      <c r="AF2177" s="215" t="n"/>
      <c r="AG2177" s="215" t="n"/>
      <c r="AH2177" s="215" t="n"/>
      <c r="AI2177" s="215" t="n"/>
      <c r="AJ2177" s="215" t="n"/>
      <c r="AK2177" s="216" t="n"/>
    </row>
    <row r="2178" ht="15" customHeight="1">
      <c r="B2178" s="134" t="n"/>
      <c r="C2178" s="105" t="n"/>
      <c r="D2178" s="105" t="n"/>
      <c r="E2178" s="105" t="n"/>
      <c r="F2178" s="105" t="n"/>
      <c r="G2178" s="105" t="n"/>
      <c r="H2178" s="2" t="n"/>
      <c r="I2178" s="105" t="n"/>
      <c r="K2178" s="215" t="n"/>
      <c r="L2178" s="215" t="n"/>
      <c r="M2178" s="215" t="n"/>
      <c r="N2178" s="215" t="n"/>
      <c r="O2178" s="215" t="n"/>
      <c r="P2178" s="215" t="n"/>
      <c r="Q2178" s="215" t="n"/>
      <c r="R2178" s="215" t="n"/>
      <c r="S2178" s="215" t="n"/>
      <c r="T2178" s="215" t="n"/>
      <c r="U2178" s="215" t="n"/>
      <c r="V2178" s="215" t="n"/>
      <c r="W2178" s="215" t="n"/>
      <c r="X2178" s="215" t="n"/>
      <c r="Y2178" s="215" t="n"/>
      <c r="Z2178" s="215" t="n"/>
      <c r="AA2178" s="215" t="n"/>
      <c r="AB2178" s="215" t="n"/>
      <c r="AC2178" s="215" t="n"/>
      <c r="AD2178" s="215" t="n"/>
      <c r="AE2178" s="215" t="n"/>
      <c r="AF2178" s="215" t="n"/>
      <c r="AG2178" s="215" t="n"/>
      <c r="AH2178" s="215" t="n"/>
      <c r="AI2178" s="215" t="n"/>
      <c r="AJ2178" s="215" t="n"/>
      <c r="AK2178" s="216" t="n"/>
    </row>
    <row r="2179" ht="15" customHeight="1">
      <c r="B2179" s="134" t="n"/>
      <c r="C2179" s="105" t="n"/>
      <c r="D2179" s="105" t="n"/>
      <c r="E2179" s="105" t="n"/>
      <c r="F2179" s="105" t="n"/>
      <c r="G2179" s="105" t="n"/>
      <c r="H2179" s="2" t="n"/>
      <c r="I2179" s="105" t="n"/>
      <c r="K2179" s="215" t="n"/>
      <c r="L2179" s="215" t="n"/>
      <c r="M2179" s="215" t="n"/>
      <c r="N2179" s="215" t="n"/>
      <c r="O2179" s="215" t="n"/>
      <c r="P2179" s="215" t="n"/>
      <c r="Q2179" s="215" t="n"/>
      <c r="R2179" s="215" t="n"/>
      <c r="S2179" s="215" t="n"/>
      <c r="T2179" s="215" t="n"/>
      <c r="U2179" s="215" t="n"/>
      <c r="V2179" s="215" t="n"/>
      <c r="W2179" s="215" t="n"/>
      <c r="X2179" s="215" t="n"/>
      <c r="Y2179" s="215" t="n"/>
      <c r="Z2179" s="215" t="n"/>
      <c r="AA2179" s="215" t="n"/>
      <c r="AB2179" s="215" t="n"/>
      <c r="AC2179" s="215" t="n"/>
      <c r="AD2179" s="215" t="n"/>
      <c r="AE2179" s="215" t="n"/>
      <c r="AF2179" s="215" t="n"/>
      <c r="AG2179" s="215" t="n"/>
      <c r="AH2179" s="215" t="n"/>
      <c r="AI2179" s="215" t="n"/>
      <c r="AJ2179" s="215" t="n"/>
      <c r="AK2179" s="216" t="n"/>
    </row>
    <row r="2180" ht="15" customHeight="1">
      <c r="B2180" s="134" t="n"/>
      <c r="C2180" s="105" t="n"/>
      <c r="D2180" s="105" t="n"/>
      <c r="E2180" s="105" t="n"/>
      <c r="F2180" s="105" t="n"/>
      <c r="G2180" s="105" t="n"/>
      <c r="H2180" s="2" t="n"/>
      <c r="I2180" s="105" t="n"/>
      <c r="K2180" s="215" t="n"/>
      <c r="L2180" s="215" t="n"/>
      <c r="M2180" s="215" t="n"/>
      <c r="N2180" s="215" t="n"/>
      <c r="O2180" s="215" t="n"/>
      <c r="P2180" s="215" t="n"/>
      <c r="Q2180" s="215" t="n"/>
      <c r="R2180" s="215" t="n"/>
      <c r="S2180" s="215" t="n"/>
      <c r="T2180" s="215" t="n"/>
      <c r="U2180" s="215" t="n"/>
      <c r="V2180" s="215" t="n"/>
      <c r="W2180" s="215" t="n"/>
      <c r="X2180" s="215" t="n"/>
      <c r="Y2180" s="215" t="n"/>
      <c r="Z2180" s="215" t="n"/>
      <c r="AA2180" s="215" t="n"/>
      <c r="AB2180" s="215" t="n"/>
      <c r="AC2180" s="215" t="n"/>
      <c r="AD2180" s="215" t="n"/>
      <c r="AE2180" s="215" t="n"/>
      <c r="AF2180" s="215" t="n"/>
      <c r="AG2180" s="215" t="n"/>
      <c r="AH2180" s="215" t="n"/>
      <c r="AI2180" s="215" t="n"/>
      <c r="AJ2180" s="215" t="n"/>
      <c r="AK2180" s="216" t="n"/>
    </row>
    <row r="2181" ht="15" customHeight="1">
      <c r="B2181" s="134" t="n"/>
      <c r="C2181" s="105" t="n"/>
      <c r="D2181" s="105" t="n"/>
      <c r="E2181" s="105" t="n"/>
      <c r="F2181" s="105" t="n"/>
      <c r="G2181" s="105" t="n"/>
      <c r="H2181" s="2" t="n"/>
      <c r="I2181" s="105" t="n"/>
      <c r="K2181" s="215" t="n"/>
      <c r="L2181" s="215" t="n"/>
      <c r="M2181" s="215" t="n"/>
      <c r="N2181" s="215" t="n"/>
      <c r="O2181" s="215" t="n"/>
      <c r="P2181" s="215" t="n"/>
      <c r="Q2181" s="215" t="n"/>
      <c r="R2181" s="215" t="n"/>
      <c r="S2181" s="215" t="n"/>
      <c r="T2181" s="215" t="n"/>
      <c r="U2181" s="215" t="n"/>
      <c r="V2181" s="215" t="n"/>
      <c r="W2181" s="215" t="n"/>
      <c r="X2181" s="215" t="n"/>
      <c r="Y2181" s="215" t="n"/>
      <c r="Z2181" s="215" t="n"/>
      <c r="AA2181" s="215" t="n"/>
      <c r="AB2181" s="215" t="n"/>
      <c r="AC2181" s="215" t="n"/>
      <c r="AD2181" s="215" t="n"/>
      <c r="AE2181" s="215" t="n"/>
      <c r="AF2181" s="215" t="n"/>
      <c r="AG2181" s="215" t="n"/>
      <c r="AH2181" s="215" t="n"/>
      <c r="AI2181" s="215" t="n"/>
      <c r="AJ2181" s="215" t="n"/>
      <c r="AK2181" s="216" t="n"/>
    </row>
    <row r="2182" ht="15" customHeight="1">
      <c r="B2182" s="134" t="n"/>
      <c r="C2182" s="105" t="n"/>
      <c r="D2182" s="105" t="n"/>
      <c r="E2182" s="105" t="n"/>
      <c r="F2182" s="105" t="n"/>
      <c r="G2182" s="105" t="n"/>
      <c r="H2182" s="2" t="n"/>
      <c r="I2182" s="105" t="n"/>
      <c r="K2182" s="215" t="n"/>
      <c r="L2182" s="215" t="n"/>
      <c r="M2182" s="215" t="n"/>
      <c r="N2182" s="215" t="n"/>
      <c r="O2182" s="215" t="n"/>
      <c r="P2182" s="215" t="n"/>
      <c r="Q2182" s="215" t="n"/>
      <c r="R2182" s="215" t="n"/>
      <c r="S2182" s="215" t="n"/>
      <c r="T2182" s="215" t="n"/>
      <c r="U2182" s="215" t="n"/>
      <c r="V2182" s="215" t="n"/>
      <c r="W2182" s="215" t="n"/>
      <c r="X2182" s="215" t="n"/>
      <c r="Y2182" s="215" t="n"/>
      <c r="Z2182" s="215" t="n"/>
      <c r="AA2182" s="215" t="n"/>
      <c r="AB2182" s="215" t="n"/>
      <c r="AC2182" s="215" t="n"/>
      <c r="AD2182" s="215" t="n"/>
      <c r="AE2182" s="215" t="n"/>
      <c r="AF2182" s="215" t="n"/>
      <c r="AG2182" s="215" t="n"/>
      <c r="AH2182" s="215" t="n"/>
      <c r="AI2182" s="215" t="n"/>
      <c r="AJ2182" s="215" t="n"/>
      <c r="AK2182" s="216" t="n"/>
    </row>
    <row r="2183" ht="15" customHeight="1">
      <c r="B2183" s="134" t="n"/>
      <c r="C2183" s="105" t="n"/>
      <c r="D2183" s="105" t="n"/>
      <c r="E2183" s="105" t="n"/>
      <c r="F2183" s="105" t="n"/>
      <c r="G2183" s="105" t="n"/>
      <c r="H2183" s="2" t="n"/>
      <c r="I2183" s="105" t="n"/>
      <c r="K2183" s="215" t="n"/>
      <c r="L2183" s="215" t="n"/>
      <c r="M2183" s="215" t="n"/>
      <c r="N2183" s="215" t="n"/>
      <c r="O2183" s="215" t="n"/>
      <c r="P2183" s="215" t="n"/>
      <c r="Q2183" s="215" t="n"/>
      <c r="R2183" s="215" t="n"/>
      <c r="S2183" s="215" t="n"/>
      <c r="T2183" s="215" t="n"/>
      <c r="U2183" s="215" t="n"/>
      <c r="V2183" s="215" t="n"/>
      <c r="W2183" s="215" t="n"/>
      <c r="X2183" s="215" t="n"/>
      <c r="Y2183" s="215" t="n"/>
      <c r="Z2183" s="215" t="n"/>
      <c r="AA2183" s="215" t="n"/>
      <c r="AB2183" s="215" t="n"/>
      <c r="AC2183" s="215" t="n"/>
      <c r="AD2183" s="215" t="n"/>
      <c r="AE2183" s="215" t="n"/>
      <c r="AF2183" s="215" t="n"/>
      <c r="AG2183" s="215" t="n"/>
      <c r="AH2183" s="215" t="n"/>
      <c r="AI2183" s="215" t="n"/>
      <c r="AJ2183" s="215" t="n"/>
      <c r="AK2183" s="216" t="n"/>
    </row>
    <row r="2184" ht="15" customHeight="1">
      <c r="B2184" s="134" t="n"/>
      <c r="C2184" s="105" t="n"/>
      <c r="D2184" s="105" t="n"/>
      <c r="E2184" s="105" t="n"/>
      <c r="F2184" s="105" t="n"/>
      <c r="G2184" s="105" t="n"/>
      <c r="H2184" s="2" t="n"/>
      <c r="I2184" s="105" t="n"/>
      <c r="K2184" s="215" t="n"/>
      <c r="L2184" s="215" t="n"/>
      <c r="M2184" s="215" t="n"/>
      <c r="N2184" s="215" t="n"/>
      <c r="O2184" s="215" t="n"/>
      <c r="P2184" s="215" t="n"/>
      <c r="Q2184" s="215" t="n"/>
      <c r="R2184" s="215" t="n"/>
      <c r="S2184" s="215" t="n"/>
      <c r="T2184" s="215" t="n"/>
      <c r="U2184" s="215" t="n"/>
      <c r="V2184" s="215" t="n"/>
      <c r="W2184" s="215" t="n"/>
      <c r="X2184" s="215" t="n"/>
      <c r="Y2184" s="215" t="n"/>
      <c r="Z2184" s="215" t="n"/>
      <c r="AA2184" s="215" t="n"/>
      <c r="AB2184" s="215" t="n"/>
      <c r="AC2184" s="215" t="n"/>
      <c r="AD2184" s="215" t="n"/>
      <c r="AE2184" s="215" t="n"/>
      <c r="AF2184" s="215" t="n"/>
      <c r="AG2184" s="215" t="n"/>
      <c r="AH2184" s="215" t="n"/>
      <c r="AI2184" s="215" t="n"/>
      <c r="AJ2184" s="215" t="n"/>
      <c r="AK2184" s="216" t="n"/>
    </row>
    <row r="2185" ht="15" customHeight="1">
      <c r="B2185" s="134" t="n"/>
      <c r="C2185" s="105" t="n"/>
      <c r="D2185" s="105" t="n"/>
      <c r="E2185" s="105" t="n"/>
      <c r="F2185" s="105" t="n"/>
      <c r="G2185" s="105" t="n"/>
      <c r="H2185" s="2" t="n"/>
      <c r="I2185" s="105" t="n"/>
      <c r="K2185" s="215" t="n"/>
      <c r="L2185" s="215" t="n"/>
      <c r="M2185" s="215" t="n"/>
      <c r="N2185" s="215" t="n"/>
      <c r="O2185" s="215" t="n"/>
      <c r="P2185" s="215" t="n"/>
      <c r="Q2185" s="215" t="n"/>
      <c r="R2185" s="215" t="n"/>
      <c r="S2185" s="215" t="n"/>
      <c r="T2185" s="215" t="n"/>
      <c r="U2185" s="215" t="n"/>
      <c r="V2185" s="215" t="n"/>
      <c r="W2185" s="215" t="n"/>
      <c r="X2185" s="215" t="n"/>
      <c r="Y2185" s="215" t="n"/>
      <c r="Z2185" s="215" t="n"/>
      <c r="AA2185" s="215" t="n"/>
      <c r="AB2185" s="215" t="n"/>
      <c r="AC2185" s="215" t="n"/>
      <c r="AD2185" s="215" t="n"/>
      <c r="AE2185" s="215" t="n"/>
      <c r="AF2185" s="215" t="n"/>
      <c r="AG2185" s="215" t="n"/>
      <c r="AH2185" s="215" t="n"/>
      <c r="AI2185" s="215" t="n"/>
      <c r="AJ2185" s="215" t="n"/>
      <c r="AK2185" s="216" t="n"/>
    </row>
    <row r="2186" ht="15" customHeight="1">
      <c r="B2186" s="134" t="n"/>
      <c r="C2186" s="105" t="n"/>
      <c r="D2186" s="105" t="n"/>
      <c r="E2186" s="105" t="n"/>
      <c r="F2186" s="105" t="n"/>
      <c r="G2186" s="105" t="n"/>
      <c r="H2186" s="2" t="n"/>
      <c r="I2186" s="105" t="n"/>
      <c r="K2186" s="215" t="n"/>
      <c r="L2186" s="215" t="n"/>
      <c r="M2186" s="215" t="n"/>
      <c r="N2186" s="215" t="n"/>
      <c r="O2186" s="215" t="n"/>
      <c r="P2186" s="215" t="n"/>
      <c r="Q2186" s="215" t="n"/>
      <c r="R2186" s="215" t="n"/>
      <c r="S2186" s="215" t="n"/>
      <c r="T2186" s="215" t="n"/>
      <c r="U2186" s="215" t="n"/>
      <c r="V2186" s="215" t="n"/>
      <c r="W2186" s="215" t="n"/>
      <c r="X2186" s="215" t="n"/>
      <c r="Y2186" s="215" t="n"/>
      <c r="Z2186" s="215" t="n"/>
      <c r="AA2186" s="215" t="n"/>
      <c r="AB2186" s="215" t="n"/>
      <c r="AC2186" s="215" t="n"/>
      <c r="AD2186" s="215" t="n"/>
      <c r="AE2186" s="215" t="n"/>
      <c r="AF2186" s="215" t="n"/>
      <c r="AG2186" s="215" t="n"/>
      <c r="AH2186" s="215" t="n"/>
      <c r="AI2186" s="215" t="n"/>
      <c r="AJ2186" s="215" t="n"/>
      <c r="AK2186" s="216" t="n"/>
    </row>
    <row r="2187" ht="15" customHeight="1">
      <c r="B2187" s="134" t="n"/>
      <c r="C2187" s="105" t="n"/>
      <c r="D2187" s="105" t="n"/>
      <c r="E2187" s="105" t="n"/>
      <c r="F2187" s="105" t="n"/>
      <c r="G2187" s="105" t="n"/>
      <c r="H2187" s="2" t="n"/>
      <c r="I2187" s="105" t="n"/>
      <c r="K2187" s="215" t="n"/>
      <c r="L2187" s="215" t="n"/>
      <c r="M2187" s="215" t="n"/>
      <c r="N2187" s="215" t="n"/>
      <c r="O2187" s="215" t="n"/>
      <c r="P2187" s="215" t="n"/>
      <c r="Q2187" s="215" t="n"/>
      <c r="R2187" s="215" t="n"/>
      <c r="S2187" s="215" t="n"/>
      <c r="T2187" s="215" t="n"/>
      <c r="U2187" s="215" t="n"/>
      <c r="V2187" s="215" t="n"/>
      <c r="W2187" s="215" t="n"/>
      <c r="X2187" s="215" t="n"/>
      <c r="Y2187" s="215" t="n"/>
      <c r="Z2187" s="215" t="n"/>
      <c r="AA2187" s="215" t="n"/>
      <c r="AB2187" s="215" t="n"/>
      <c r="AC2187" s="215" t="n"/>
      <c r="AD2187" s="215" t="n"/>
      <c r="AE2187" s="215" t="n"/>
      <c r="AF2187" s="215" t="n"/>
      <c r="AG2187" s="215" t="n"/>
      <c r="AH2187" s="215" t="n"/>
      <c r="AI2187" s="215" t="n"/>
      <c r="AJ2187" s="215" t="n"/>
      <c r="AK2187" s="216" t="n"/>
    </row>
    <row r="2188" ht="15" customHeight="1">
      <c r="B2188" s="134" t="n"/>
      <c r="C2188" s="105" t="n"/>
      <c r="D2188" s="105" t="n"/>
      <c r="E2188" s="105" t="n"/>
      <c r="F2188" s="105" t="n"/>
      <c r="G2188" s="105" t="n"/>
      <c r="H2188" s="2" t="n"/>
      <c r="I2188" s="105" t="n"/>
      <c r="K2188" s="215" t="n"/>
      <c r="L2188" s="215" t="n"/>
      <c r="M2188" s="215" t="n"/>
      <c r="N2188" s="215" t="n"/>
      <c r="O2188" s="215" t="n"/>
      <c r="P2188" s="215" t="n"/>
      <c r="Q2188" s="215" t="n"/>
      <c r="R2188" s="215" t="n"/>
      <c r="S2188" s="215" t="n"/>
      <c r="T2188" s="215" t="n"/>
      <c r="U2188" s="215" t="n"/>
      <c r="V2188" s="215" t="n"/>
      <c r="W2188" s="215" t="n"/>
      <c r="X2188" s="215" t="n"/>
      <c r="Y2188" s="215" t="n"/>
      <c r="Z2188" s="215" t="n"/>
      <c r="AA2188" s="215" t="n"/>
      <c r="AB2188" s="215" t="n"/>
      <c r="AC2188" s="215" t="n"/>
      <c r="AD2188" s="215" t="n"/>
      <c r="AE2188" s="215" t="n"/>
      <c r="AF2188" s="215" t="n"/>
      <c r="AG2188" s="215" t="n"/>
      <c r="AH2188" s="215" t="n"/>
      <c r="AI2188" s="215" t="n"/>
      <c r="AJ2188" s="215" t="n"/>
      <c r="AK2188" s="216" t="n"/>
    </row>
    <row r="2189" ht="15" customHeight="1">
      <c r="B2189" s="134" t="n"/>
      <c r="C2189" s="105" t="n"/>
      <c r="D2189" s="105" t="n"/>
      <c r="E2189" s="105" t="n"/>
      <c r="F2189" s="105" t="n"/>
      <c r="G2189" s="105" t="n"/>
      <c r="H2189" s="2" t="n"/>
      <c r="I2189" s="105" t="n"/>
      <c r="K2189" s="215" t="n"/>
      <c r="L2189" s="215" t="n"/>
      <c r="M2189" s="215" t="n"/>
      <c r="N2189" s="215" t="n"/>
      <c r="O2189" s="215" t="n"/>
      <c r="P2189" s="215" t="n"/>
      <c r="Q2189" s="215" t="n"/>
      <c r="R2189" s="215" t="n"/>
      <c r="S2189" s="215" t="n"/>
      <c r="T2189" s="215" t="n"/>
      <c r="U2189" s="215" t="n"/>
      <c r="V2189" s="215" t="n"/>
      <c r="W2189" s="215" t="n"/>
      <c r="X2189" s="215" t="n"/>
      <c r="Y2189" s="215" t="n"/>
      <c r="Z2189" s="215" t="n"/>
      <c r="AA2189" s="215" t="n"/>
      <c r="AB2189" s="215" t="n"/>
      <c r="AC2189" s="215" t="n"/>
      <c r="AD2189" s="215" t="n"/>
      <c r="AE2189" s="215" t="n"/>
      <c r="AF2189" s="215" t="n"/>
      <c r="AG2189" s="215" t="n"/>
      <c r="AH2189" s="215" t="n"/>
      <c r="AI2189" s="215" t="n"/>
      <c r="AJ2189" s="215" t="n"/>
      <c r="AK2189" s="216" t="n"/>
    </row>
    <row r="2190" ht="15" customHeight="1">
      <c r="B2190" s="134" t="n"/>
      <c r="C2190" s="105" t="n"/>
      <c r="D2190" s="105" t="n"/>
      <c r="E2190" s="105" t="n"/>
      <c r="F2190" s="105" t="n"/>
      <c r="G2190" s="105" t="n"/>
      <c r="H2190" s="2" t="n"/>
      <c r="I2190" s="105" t="n"/>
      <c r="K2190" s="215" t="n"/>
      <c r="L2190" s="215" t="n"/>
      <c r="M2190" s="215" t="n"/>
      <c r="N2190" s="215" t="n"/>
      <c r="O2190" s="215" t="n"/>
      <c r="P2190" s="215" t="n"/>
      <c r="Q2190" s="215" t="n"/>
      <c r="R2190" s="215" t="n"/>
      <c r="S2190" s="215" t="n"/>
      <c r="T2190" s="215" t="n"/>
      <c r="U2190" s="215" t="n"/>
      <c r="V2190" s="215" t="n"/>
      <c r="W2190" s="215" t="n"/>
      <c r="X2190" s="215" t="n"/>
      <c r="Y2190" s="215" t="n"/>
      <c r="Z2190" s="215" t="n"/>
      <c r="AA2190" s="215" t="n"/>
      <c r="AB2190" s="215" t="n"/>
      <c r="AC2190" s="215" t="n"/>
      <c r="AD2190" s="215" t="n"/>
      <c r="AE2190" s="215" t="n"/>
      <c r="AF2190" s="215" t="n"/>
      <c r="AG2190" s="215" t="n"/>
      <c r="AH2190" s="215" t="n"/>
      <c r="AI2190" s="215" t="n"/>
      <c r="AJ2190" s="215" t="n"/>
      <c r="AK2190" s="216" t="n"/>
    </row>
    <row r="2191" ht="15" customHeight="1">
      <c r="B2191" s="134" t="n"/>
      <c r="C2191" s="105" t="n"/>
      <c r="D2191" s="105" t="n"/>
      <c r="E2191" s="105" t="n"/>
      <c r="F2191" s="105" t="n"/>
      <c r="G2191" s="105" t="n"/>
      <c r="H2191" s="2" t="n"/>
      <c r="I2191" s="105" t="n"/>
      <c r="K2191" s="215" t="n"/>
      <c r="L2191" s="215" t="n"/>
      <c r="M2191" s="215" t="n"/>
      <c r="N2191" s="215" t="n"/>
      <c r="O2191" s="215" t="n"/>
      <c r="P2191" s="215" t="n"/>
      <c r="Q2191" s="215" t="n"/>
      <c r="R2191" s="215" t="n"/>
      <c r="S2191" s="215" t="n"/>
      <c r="T2191" s="215" t="n"/>
      <c r="U2191" s="215" t="n"/>
      <c r="V2191" s="215" t="n"/>
      <c r="W2191" s="215" t="n"/>
      <c r="X2191" s="215" t="n"/>
      <c r="Y2191" s="215" t="n"/>
      <c r="Z2191" s="215" t="n"/>
      <c r="AA2191" s="215" t="n"/>
      <c r="AB2191" s="215" t="n"/>
      <c r="AC2191" s="215" t="n"/>
      <c r="AD2191" s="215" t="n"/>
      <c r="AE2191" s="215" t="n"/>
      <c r="AF2191" s="215" t="n"/>
      <c r="AG2191" s="215" t="n"/>
      <c r="AH2191" s="215" t="n"/>
      <c r="AI2191" s="215" t="n"/>
      <c r="AJ2191" s="215" t="n"/>
      <c r="AK2191" s="216" t="n"/>
    </row>
    <row r="2192" ht="15" customHeight="1">
      <c r="B2192" s="134" t="n"/>
      <c r="C2192" s="105" t="n"/>
      <c r="D2192" s="105" t="n"/>
      <c r="E2192" s="105" t="n"/>
      <c r="F2192" s="105" t="n"/>
      <c r="G2192" s="105" t="n"/>
      <c r="H2192" s="2" t="n"/>
      <c r="I2192" s="105" t="n"/>
      <c r="K2192" s="215" t="n"/>
      <c r="L2192" s="215" t="n"/>
      <c r="M2192" s="215" t="n"/>
      <c r="N2192" s="215" t="n"/>
      <c r="O2192" s="215" t="n"/>
      <c r="P2192" s="215" t="n"/>
      <c r="Q2192" s="215" t="n"/>
      <c r="R2192" s="215" t="n"/>
      <c r="S2192" s="215" t="n"/>
      <c r="T2192" s="215" t="n"/>
      <c r="U2192" s="215" t="n"/>
      <c r="V2192" s="215" t="n"/>
      <c r="W2192" s="215" t="n"/>
      <c r="X2192" s="215" t="n"/>
      <c r="Y2192" s="215" t="n"/>
      <c r="Z2192" s="215" t="n"/>
      <c r="AA2192" s="215" t="n"/>
      <c r="AB2192" s="215" t="n"/>
      <c r="AC2192" s="215" t="n"/>
      <c r="AD2192" s="215" t="n"/>
      <c r="AE2192" s="215" t="n"/>
      <c r="AF2192" s="215" t="n"/>
      <c r="AG2192" s="215" t="n"/>
      <c r="AH2192" s="215" t="n"/>
      <c r="AI2192" s="215" t="n"/>
      <c r="AJ2192" s="215" t="n"/>
      <c r="AK2192" s="216" t="n"/>
    </row>
    <row r="2193" ht="15" customHeight="1">
      <c r="B2193" s="134" t="n"/>
      <c r="C2193" s="105" t="n"/>
      <c r="D2193" s="105" t="n"/>
      <c r="E2193" s="105" t="n"/>
      <c r="F2193" s="105" t="n"/>
      <c r="G2193" s="105" t="n"/>
      <c r="H2193" s="2" t="n"/>
      <c r="I2193" s="105" t="n"/>
      <c r="K2193" s="215" t="n"/>
      <c r="L2193" s="215" t="n"/>
      <c r="M2193" s="215" t="n"/>
      <c r="N2193" s="215" t="n"/>
      <c r="O2193" s="215" t="n"/>
      <c r="P2193" s="215" t="n"/>
      <c r="Q2193" s="215" t="n"/>
      <c r="R2193" s="215" t="n"/>
      <c r="S2193" s="215" t="n"/>
      <c r="T2193" s="215" t="n"/>
      <c r="U2193" s="215" t="n"/>
      <c r="V2193" s="215" t="n"/>
      <c r="W2193" s="215" t="n"/>
      <c r="X2193" s="215" t="n"/>
      <c r="Y2193" s="215" t="n"/>
      <c r="Z2193" s="215" t="n"/>
      <c r="AA2193" s="215" t="n"/>
      <c r="AB2193" s="215" t="n"/>
      <c r="AC2193" s="215" t="n"/>
      <c r="AD2193" s="215" t="n"/>
      <c r="AE2193" s="215" t="n"/>
      <c r="AF2193" s="215" t="n"/>
      <c r="AG2193" s="215" t="n"/>
      <c r="AH2193" s="215" t="n"/>
      <c r="AI2193" s="215" t="n"/>
      <c r="AJ2193" s="215" t="n"/>
      <c r="AK2193" s="216" t="n"/>
    </row>
    <row r="2194" ht="15" customHeight="1">
      <c r="B2194" s="134" t="n"/>
      <c r="C2194" s="105" t="n"/>
      <c r="D2194" s="105" t="n"/>
      <c r="E2194" s="105" t="n"/>
      <c r="F2194" s="105" t="n"/>
      <c r="G2194" s="105" t="n"/>
      <c r="H2194" s="2" t="n"/>
      <c r="I2194" s="105" t="n"/>
      <c r="K2194" s="215" t="n"/>
      <c r="L2194" s="215" t="n"/>
      <c r="M2194" s="215" t="n"/>
      <c r="N2194" s="215" t="n"/>
      <c r="O2194" s="215" t="n"/>
      <c r="P2194" s="215" t="n"/>
      <c r="Q2194" s="215" t="n"/>
      <c r="R2194" s="215" t="n"/>
      <c r="S2194" s="215" t="n"/>
      <c r="T2194" s="215" t="n"/>
      <c r="U2194" s="215" t="n"/>
      <c r="V2194" s="215" t="n"/>
      <c r="W2194" s="215" t="n"/>
      <c r="X2194" s="215" t="n"/>
      <c r="Y2194" s="215" t="n"/>
      <c r="Z2194" s="215" t="n"/>
      <c r="AA2194" s="215" t="n"/>
      <c r="AB2194" s="215" t="n"/>
      <c r="AC2194" s="215" t="n"/>
      <c r="AD2194" s="215" t="n"/>
      <c r="AE2194" s="215" t="n"/>
      <c r="AF2194" s="215" t="n"/>
      <c r="AG2194" s="215" t="n"/>
      <c r="AH2194" s="215" t="n"/>
      <c r="AI2194" s="215" t="n"/>
      <c r="AJ2194" s="215" t="n"/>
      <c r="AK2194" s="216" t="n"/>
    </row>
    <row r="2195" ht="15" customHeight="1">
      <c r="B2195" s="134" t="n"/>
      <c r="C2195" s="105" t="n"/>
      <c r="D2195" s="105" t="n"/>
      <c r="E2195" s="105" t="n"/>
      <c r="F2195" s="105" t="n"/>
      <c r="G2195" s="105" t="n"/>
      <c r="H2195" s="2" t="n"/>
      <c r="I2195" s="105" t="n"/>
      <c r="K2195" s="215" t="n"/>
      <c r="L2195" s="215" t="n"/>
      <c r="M2195" s="215" t="n"/>
      <c r="N2195" s="215" t="n"/>
      <c r="O2195" s="215" t="n"/>
      <c r="P2195" s="215" t="n"/>
      <c r="Q2195" s="215" t="n"/>
      <c r="R2195" s="215" t="n"/>
      <c r="S2195" s="215" t="n"/>
      <c r="T2195" s="215" t="n"/>
      <c r="U2195" s="215" t="n"/>
      <c r="V2195" s="215" t="n"/>
      <c r="W2195" s="215" t="n"/>
      <c r="X2195" s="215" t="n"/>
      <c r="Y2195" s="215" t="n"/>
      <c r="Z2195" s="215" t="n"/>
      <c r="AA2195" s="215" t="n"/>
      <c r="AB2195" s="215" t="n"/>
      <c r="AC2195" s="215" t="n"/>
      <c r="AD2195" s="215" t="n"/>
      <c r="AE2195" s="215" t="n"/>
      <c r="AF2195" s="215" t="n"/>
      <c r="AG2195" s="215" t="n"/>
      <c r="AH2195" s="215" t="n"/>
      <c r="AI2195" s="215" t="n"/>
      <c r="AJ2195" s="215" t="n"/>
      <c r="AK2195" s="216" t="n"/>
    </row>
    <row r="2196" ht="15" customHeight="1">
      <c r="B2196" s="134" t="n"/>
      <c r="C2196" s="105" t="n"/>
      <c r="D2196" s="105" t="n"/>
      <c r="E2196" s="105" t="n"/>
      <c r="F2196" s="105" t="n"/>
      <c r="G2196" s="105" t="n"/>
      <c r="H2196" s="2" t="n"/>
      <c r="I2196" s="105" t="n"/>
      <c r="K2196" s="215" t="n"/>
      <c r="L2196" s="215" t="n"/>
      <c r="M2196" s="215" t="n"/>
      <c r="N2196" s="215" t="n"/>
      <c r="O2196" s="215" t="n"/>
      <c r="P2196" s="215" t="n"/>
      <c r="Q2196" s="215" t="n"/>
      <c r="R2196" s="215" t="n"/>
      <c r="S2196" s="215" t="n"/>
      <c r="T2196" s="215" t="n"/>
      <c r="U2196" s="215" t="n"/>
      <c r="V2196" s="215" t="n"/>
      <c r="W2196" s="215" t="n"/>
      <c r="X2196" s="215" t="n"/>
      <c r="Y2196" s="215" t="n"/>
      <c r="Z2196" s="215" t="n"/>
      <c r="AA2196" s="215" t="n"/>
      <c r="AB2196" s="215" t="n"/>
      <c r="AC2196" s="215" t="n"/>
      <c r="AD2196" s="215" t="n"/>
      <c r="AE2196" s="215" t="n"/>
      <c r="AF2196" s="215" t="n"/>
      <c r="AG2196" s="215" t="n"/>
      <c r="AH2196" s="215" t="n"/>
      <c r="AI2196" s="215" t="n"/>
      <c r="AJ2196" s="215" t="n"/>
      <c r="AK2196" s="216" t="n"/>
    </row>
    <row r="2197" ht="15" customHeight="1">
      <c r="B2197" s="134" t="n"/>
      <c r="C2197" s="105" t="n"/>
      <c r="D2197" s="105" t="n"/>
      <c r="E2197" s="105" t="n"/>
      <c r="F2197" s="105" t="n"/>
      <c r="G2197" s="105" t="n"/>
      <c r="H2197" s="2" t="n"/>
      <c r="I2197" s="105" t="n"/>
      <c r="K2197" s="215" t="n"/>
      <c r="L2197" s="215" t="n"/>
      <c r="M2197" s="215" t="n"/>
      <c r="N2197" s="215" t="n"/>
      <c r="O2197" s="215" t="n"/>
      <c r="P2197" s="215" t="n"/>
      <c r="Q2197" s="215" t="n"/>
      <c r="R2197" s="215" t="n"/>
      <c r="S2197" s="215" t="n"/>
      <c r="T2197" s="215" t="n"/>
      <c r="U2197" s="215" t="n"/>
      <c r="V2197" s="215" t="n"/>
      <c r="W2197" s="215" t="n"/>
      <c r="X2197" s="215" t="n"/>
      <c r="Y2197" s="215" t="n"/>
      <c r="Z2197" s="215" t="n"/>
      <c r="AA2197" s="215" t="n"/>
      <c r="AB2197" s="215" t="n"/>
      <c r="AC2197" s="215" t="n"/>
      <c r="AD2197" s="215" t="n"/>
      <c r="AE2197" s="215" t="n"/>
      <c r="AF2197" s="215" t="n"/>
      <c r="AG2197" s="215" t="n"/>
      <c r="AH2197" s="215" t="n"/>
      <c r="AI2197" s="215" t="n"/>
      <c r="AJ2197" s="215" t="n"/>
      <c r="AK2197" s="216" t="n"/>
    </row>
    <row r="2198" ht="15" customHeight="1">
      <c r="B2198" s="134" t="n"/>
      <c r="C2198" s="105" t="n"/>
      <c r="D2198" s="105" t="n"/>
      <c r="E2198" s="105" t="n"/>
      <c r="F2198" s="105" t="n"/>
      <c r="G2198" s="105" t="n"/>
      <c r="H2198" s="2" t="n"/>
      <c r="I2198" s="105" t="n"/>
      <c r="K2198" s="215" t="n"/>
      <c r="L2198" s="215" t="n"/>
      <c r="M2198" s="215" t="n"/>
      <c r="N2198" s="215" t="n"/>
      <c r="O2198" s="215" t="n"/>
      <c r="P2198" s="215" t="n"/>
      <c r="Q2198" s="215" t="n"/>
      <c r="R2198" s="215" t="n"/>
      <c r="S2198" s="215" t="n"/>
      <c r="T2198" s="215" t="n"/>
      <c r="U2198" s="215" t="n"/>
      <c r="V2198" s="215" t="n"/>
      <c r="W2198" s="215" t="n"/>
      <c r="X2198" s="215" t="n"/>
      <c r="Y2198" s="215" t="n"/>
      <c r="Z2198" s="215" t="n"/>
      <c r="AA2198" s="215" t="n"/>
      <c r="AB2198" s="215" t="n"/>
      <c r="AC2198" s="215" t="n"/>
      <c r="AD2198" s="215" t="n"/>
      <c r="AE2198" s="215" t="n"/>
      <c r="AF2198" s="215" t="n"/>
      <c r="AG2198" s="215" t="n"/>
      <c r="AH2198" s="215" t="n"/>
      <c r="AI2198" s="215" t="n"/>
      <c r="AJ2198" s="215" t="n"/>
      <c r="AK2198" s="216" t="n"/>
    </row>
    <row r="2199" ht="15" customHeight="1">
      <c r="B2199" s="134" t="n"/>
      <c r="C2199" s="105" t="n"/>
      <c r="D2199" s="105" t="n"/>
      <c r="E2199" s="105" t="n"/>
      <c r="F2199" s="105" t="n"/>
      <c r="G2199" s="105" t="n"/>
      <c r="H2199" s="2" t="n"/>
      <c r="I2199" s="105" t="n"/>
      <c r="K2199" s="215" t="n"/>
      <c r="L2199" s="215" t="n"/>
      <c r="M2199" s="215" t="n"/>
      <c r="N2199" s="215" t="n"/>
      <c r="O2199" s="215" t="n"/>
      <c r="P2199" s="215" t="n"/>
      <c r="Q2199" s="215" t="n"/>
      <c r="R2199" s="215" t="n"/>
      <c r="S2199" s="215" t="n"/>
      <c r="T2199" s="215" t="n"/>
      <c r="U2199" s="215" t="n"/>
      <c r="V2199" s="215" t="n"/>
      <c r="W2199" s="215" t="n"/>
      <c r="X2199" s="215" t="n"/>
      <c r="Y2199" s="215" t="n"/>
      <c r="Z2199" s="215" t="n"/>
      <c r="AA2199" s="215" t="n"/>
      <c r="AB2199" s="215" t="n"/>
      <c r="AC2199" s="215" t="n"/>
      <c r="AD2199" s="215" t="n"/>
      <c r="AE2199" s="215" t="n"/>
      <c r="AF2199" s="215" t="n"/>
      <c r="AG2199" s="215" t="n"/>
      <c r="AH2199" s="215" t="n"/>
      <c r="AI2199" s="215" t="n"/>
      <c r="AJ2199" s="215" t="n"/>
      <c r="AK2199" s="216" t="n"/>
    </row>
    <row r="2200" ht="15" customHeight="1">
      <c r="B2200" s="134" t="n"/>
      <c r="C2200" s="105" t="n"/>
      <c r="D2200" s="105" t="n"/>
      <c r="E2200" s="105" t="n"/>
      <c r="F2200" s="105" t="n"/>
      <c r="G2200" s="105" t="n"/>
      <c r="H2200" s="2" t="n"/>
      <c r="I2200" s="105" t="n"/>
      <c r="K2200" s="215" t="n"/>
      <c r="L2200" s="215" t="n"/>
      <c r="M2200" s="215" t="n"/>
      <c r="N2200" s="215" t="n"/>
      <c r="O2200" s="215" t="n"/>
      <c r="P2200" s="215" t="n"/>
      <c r="Q2200" s="215" t="n"/>
      <c r="R2200" s="215" t="n"/>
      <c r="S2200" s="215" t="n"/>
      <c r="T2200" s="215" t="n"/>
      <c r="U2200" s="215" t="n"/>
      <c r="V2200" s="215" t="n"/>
      <c r="W2200" s="215" t="n"/>
      <c r="X2200" s="215" t="n"/>
      <c r="Y2200" s="215" t="n"/>
      <c r="Z2200" s="215" t="n"/>
      <c r="AA2200" s="215" t="n"/>
      <c r="AB2200" s="215" t="n"/>
      <c r="AC2200" s="215" t="n"/>
      <c r="AD2200" s="215" t="n"/>
      <c r="AE2200" s="215" t="n"/>
      <c r="AF2200" s="215" t="n"/>
      <c r="AG2200" s="215" t="n"/>
      <c r="AH2200" s="215" t="n"/>
      <c r="AI2200" s="215" t="n"/>
      <c r="AJ2200" s="215" t="n"/>
      <c r="AK2200" s="216" t="n"/>
    </row>
    <row r="2201" ht="15" customHeight="1">
      <c r="B2201" s="134" t="n"/>
      <c r="C2201" s="105" t="n"/>
      <c r="D2201" s="105" t="n"/>
      <c r="E2201" s="105" t="n"/>
      <c r="F2201" s="105" t="n"/>
      <c r="G2201" s="105" t="n"/>
      <c r="H2201" s="2" t="n"/>
      <c r="I2201" s="105" t="n"/>
      <c r="K2201" s="215" t="n"/>
      <c r="L2201" s="215" t="n"/>
      <c r="M2201" s="215" t="n"/>
      <c r="N2201" s="215" t="n"/>
      <c r="O2201" s="215" t="n"/>
      <c r="P2201" s="215" t="n"/>
      <c r="Q2201" s="215" t="n"/>
      <c r="R2201" s="215" t="n"/>
      <c r="S2201" s="215" t="n"/>
      <c r="T2201" s="215" t="n"/>
      <c r="U2201" s="215" t="n"/>
      <c r="V2201" s="215" t="n"/>
      <c r="W2201" s="215" t="n"/>
      <c r="X2201" s="215" t="n"/>
      <c r="Y2201" s="215" t="n"/>
      <c r="Z2201" s="215" t="n"/>
      <c r="AA2201" s="215" t="n"/>
      <c r="AB2201" s="215" t="n"/>
      <c r="AC2201" s="215" t="n"/>
      <c r="AD2201" s="215" t="n"/>
      <c r="AE2201" s="215" t="n"/>
      <c r="AF2201" s="215" t="n"/>
      <c r="AG2201" s="215" t="n"/>
      <c r="AH2201" s="215" t="n"/>
      <c r="AI2201" s="215" t="n"/>
      <c r="AJ2201" s="215" t="n"/>
      <c r="AK2201" s="216" t="n"/>
    </row>
    <row r="2202" ht="15" customHeight="1">
      <c r="B2202" s="134" t="n"/>
      <c r="C2202" s="105" t="n"/>
      <c r="D2202" s="105" t="n"/>
      <c r="E2202" s="105" t="n"/>
      <c r="F2202" s="105" t="n"/>
      <c r="G2202" s="105" t="n"/>
      <c r="H2202" s="2" t="n"/>
      <c r="I2202" s="105" t="n"/>
      <c r="K2202" s="215" t="n"/>
      <c r="L2202" s="215" t="n"/>
      <c r="M2202" s="215" t="n"/>
      <c r="N2202" s="215" t="n"/>
      <c r="O2202" s="215" t="n"/>
      <c r="P2202" s="215" t="n"/>
      <c r="Q2202" s="215" t="n"/>
      <c r="R2202" s="215" t="n"/>
      <c r="S2202" s="215" t="n"/>
      <c r="T2202" s="215" t="n"/>
      <c r="U2202" s="215" t="n"/>
      <c r="V2202" s="215" t="n"/>
      <c r="W2202" s="215" t="n"/>
      <c r="X2202" s="215" t="n"/>
      <c r="Y2202" s="215" t="n"/>
      <c r="Z2202" s="215" t="n"/>
      <c r="AA2202" s="215" t="n"/>
      <c r="AB2202" s="215" t="n"/>
      <c r="AC2202" s="215" t="n"/>
      <c r="AD2202" s="215" t="n"/>
      <c r="AE2202" s="215" t="n"/>
      <c r="AF2202" s="215" t="n"/>
      <c r="AG2202" s="215" t="n"/>
      <c r="AH2202" s="215" t="n"/>
      <c r="AI2202" s="215" t="n"/>
      <c r="AJ2202" s="215" t="n"/>
      <c r="AK2202" s="216" t="n"/>
    </row>
    <row r="2203" ht="15" customHeight="1">
      <c r="B2203" s="134" t="n"/>
      <c r="C2203" s="105" t="n"/>
      <c r="D2203" s="105" t="n"/>
      <c r="E2203" s="105" t="n"/>
      <c r="F2203" s="105" t="n"/>
      <c r="G2203" s="105" t="n"/>
      <c r="H2203" s="2" t="n"/>
      <c r="I2203" s="105" t="n"/>
      <c r="K2203" s="215" t="n"/>
      <c r="L2203" s="215" t="n"/>
      <c r="M2203" s="215" t="n"/>
      <c r="N2203" s="215" t="n"/>
      <c r="O2203" s="215" t="n"/>
      <c r="P2203" s="215" t="n"/>
      <c r="Q2203" s="215" t="n"/>
      <c r="R2203" s="215" t="n"/>
      <c r="S2203" s="215" t="n"/>
      <c r="T2203" s="215" t="n"/>
      <c r="U2203" s="215" t="n"/>
      <c r="V2203" s="215" t="n"/>
      <c r="W2203" s="215" t="n"/>
      <c r="X2203" s="215" t="n"/>
      <c r="Y2203" s="215" t="n"/>
      <c r="Z2203" s="215" t="n"/>
      <c r="AA2203" s="215" t="n"/>
      <c r="AB2203" s="215" t="n"/>
      <c r="AC2203" s="215" t="n"/>
      <c r="AD2203" s="215" t="n"/>
      <c r="AE2203" s="215" t="n"/>
      <c r="AF2203" s="215" t="n"/>
      <c r="AG2203" s="215" t="n"/>
      <c r="AH2203" s="215" t="n"/>
      <c r="AI2203" s="215" t="n"/>
      <c r="AJ2203" s="215" t="n"/>
      <c r="AK2203" s="216" t="n"/>
    </row>
    <row r="2204" ht="15" customHeight="1">
      <c r="B2204" s="134" t="n"/>
      <c r="C2204" s="105" t="n"/>
      <c r="D2204" s="105" t="n"/>
      <c r="E2204" s="105" t="n"/>
      <c r="F2204" s="105" t="n"/>
      <c r="G2204" s="105" t="n"/>
      <c r="H2204" s="2" t="n"/>
      <c r="I2204" s="105" t="n"/>
      <c r="K2204" s="215" t="n"/>
      <c r="L2204" s="215" t="n"/>
      <c r="M2204" s="215" t="n"/>
      <c r="N2204" s="215" t="n"/>
      <c r="O2204" s="215" t="n"/>
      <c r="P2204" s="215" t="n"/>
      <c r="Q2204" s="215" t="n"/>
      <c r="R2204" s="215" t="n"/>
      <c r="S2204" s="215" t="n"/>
      <c r="T2204" s="215" t="n"/>
      <c r="U2204" s="215" t="n"/>
      <c r="V2204" s="215" t="n"/>
      <c r="W2204" s="215" t="n"/>
      <c r="X2204" s="215" t="n"/>
      <c r="Y2204" s="215" t="n"/>
      <c r="Z2204" s="215" t="n"/>
      <c r="AA2204" s="215" t="n"/>
      <c r="AB2204" s="215" t="n"/>
      <c r="AC2204" s="215" t="n"/>
      <c r="AD2204" s="215" t="n"/>
      <c r="AE2204" s="215" t="n"/>
      <c r="AF2204" s="215" t="n"/>
      <c r="AG2204" s="215" t="n"/>
      <c r="AH2204" s="215" t="n"/>
      <c r="AI2204" s="215" t="n"/>
      <c r="AJ2204" s="215" t="n"/>
      <c r="AK2204" s="216" t="n"/>
    </row>
    <row r="2205" ht="15" customHeight="1">
      <c r="B2205" s="134" t="n"/>
      <c r="C2205" s="105" t="n"/>
      <c r="D2205" s="105" t="n"/>
      <c r="E2205" s="105" t="n"/>
      <c r="F2205" s="105" t="n"/>
      <c r="G2205" s="105" t="n"/>
      <c r="H2205" s="2" t="n"/>
      <c r="I2205" s="105" t="n"/>
      <c r="K2205" s="215" t="n"/>
      <c r="L2205" s="215" t="n"/>
      <c r="M2205" s="215" t="n"/>
      <c r="N2205" s="215" t="n"/>
      <c r="O2205" s="215" t="n"/>
      <c r="P2205" s="215" t="n"/>
      <c r="Q2205" s="215" t="n"/>
      <c r="R2205" s="215" t="n"/>
      <c r="S2205" s="215" t="n"/>
      <c r="T2205" s="215" t="n"/>
      <c r="U2205" s="215" t="n"/>
      <c r="V2205" s="215" t="n"/>
      <c r="W2205" s="215" t="n"/>
      <c r="X2205" s="215" t="n"/>
      <c r="Y2205" s="215" t="n"/>
      <c r="Z2205" s="215" t="n"/>
      <c r="AA2205" s="215" t="n"/>
      <c r="AB2205" s="215" t="n"/>
      <c r="AC2205" s="215" t="n"/>
      <c r="AD2205" s="215" t="n"/>
      <c r="AE2205" s="215" t="n"/>
      <c r="AF2205" s="215" t="n"/>
      <c r="AG2205" s="215" t="n"/>
      <c r="AH2205" s="215" t="n"/>
      <c r="AI2205" s="215" t="n"/>
      <c r="AJ2205" s="215" t="n"/>
      <c r="AK2205" s="216" t="n"/>
    </row>
    <row r="2206" ht="15" customHeight="1">
      <c r="B2206" s="134" t="n"/>
      <c r="C2206" s="105" t="n"/>
      <c r="D2206" s="105" t="n"/>
      <c r="E2206" s="105" t="n"/>
      <c r="F2206" s="105" t="n"/>
      <c r="G2206" s="105" t="n"/>
      <c r="H2206" s="2" t="n"/>
      <c r="I2206" s="105" t="n"/>
      <c r="K2206" s="215" t="n"/>
      <c r="L2206" s="215" t="n"/>
      <c r="M2206" s="215" t="n"/>
      <c r="N2206" s="215" t="n"/>
      <c r="O2206" s="215" t="n"/>
      <c r="P2206" s="215" t="n"/>
      <c r="Q2206" s="215" t="n"/>
      <c r="R2206" s="215" t="n"/>
      <c r="S2206" s="215" t="n"/>
      <c r="T2206" s="215" t="n"/>
      <c r="U2206" s="215" t="n"/>
      <c r="V2206" s="215" t="n"/>
      <c r="W2206" s="215" t="n"/>
      <c r="X2206" s="215" t="n"/>
      <c r="Y2206" s="215" t="n"/>
      <c r="Z2206" s="215" t="n"/>
      <c r="AA2206" s="215" t="n"/>
      <c r="AB2206" s="215" t="n"/>
      <c r="AC2206" s="215" t="n"/>
      <c r="AD2206" s="215" t="n"/>
      <c r="AE2206" s="215" t="n"/>
      <c r="AF2206" s="215" t="n"/>
      <c r="AG2206" s="215" t="n"/>
      <c r="AH2206" s="215" t="n"/>
      <c r="AI2206" s="215" t="n"/>
      <c r="AJ2206" s="215" t="n"/>
      <c r="AK2206" s="216" t="n"/>
    </row>
    <row r="2207" ht="15" customHeight="1">
      <c r="B2207" s="134" t="n"/>
      <c r="C2207" s="105" t="n"/>
      <c r="D2207" s="105" t="n"/>
      <c r="E2207" s="105" t="n"/>
      <c r="F2207" s="105" t="n"/>
      <c r="G2207" s="105" t="n"/>
      <c r="H2207" s="2" t="n"/>
      <c r="I2207" s="105" t="n"/>
      <c r="K2207" s="215" t="n"/>
      <c r="L2207" s="215" t="n"/>
      <c r="M2207" s="215" t="n"/>
      <c r="N2207" s="215" t="n"/>
      <c r="O2207" s="215" t="n"/>
      <c r="P2207" s="215" t="n"/>
      <c r="Q2207" s="215" t="n"/>
      <c r="R2207" s="215" t="n"/>
      <c r="S2207" s="215" t="n"/>
      <c r="T2207" s="215" t="n"/>
      <c r="U2207" s="215" t="n"/>
      <c r="V2207" s="215" t="n"/>
      <c r="W2207" s="215" t="n"/>
      <c r="X2207" s="215" t="n"/>
      <c r="Y2207" s="215" t="n"/>
      <c r="Z2207" s="215" t="n"/>
      <c r="AA2207" s="215" t="n"/>
      <c r="AB2207" s="215" t="n"/>
      <c r="AC2207" s="215" t="n"/>
      <c r="AD2207" s="215" t="n"/>
      <c r="AE2207" s="215" t="n"/>
      <c r="AF2207" s="215" t="n"/>
      <c r="AG2207" s="215" t="n"/>
      <c r="AH2207" s="215" t="n"/>
      <c r="AI2207" s="215" t="n"/>
      <c r="AJ2207" s="215" t="n"/>
      <c r="AK2207" s="216" t="n"/>
    </row>
    <row r="2208" ht="15" customHeight="1">
      <c r="B2208" s="134" t="n"/>
      <c r="C2208" s="105" t="n"/>
      <c r="D2208" s="105" t="n"/>
      <c r="E2208" s="105" t="n"/>
      <c r="F2208" s="105" t="n"/>
      <c r="G2208" s="105" t="n"/>
      <c r="H2208" s="2" t="n"/>
      <c r="I2208" s="105" t="n"/>
      <c r="K2208" s="215" t="n"/>
      <c r="L2208" s="215" t="n"/>
      <c r="M2208" s="215" t="n"/>
      <c r="N2208" s="215" t="n"/>
      <c r="O2208" s="215" t="n"/>
      <c r="P2208" s="215" t="n"/>
      <c r="Q2208" s="215" t="n"/>
      <c r="R2208" s="215" t="n"/>
      <c r="S2208" s="215" t="n"/>
      <c r="T2208" s="215" t="n"/>
      <c r="U2208" s="215" t="n"/>
      <c r="V2208" s="215" t="n"/>
      <c r="W2208" s="215" t="n"/>
      <c r="X2208" s="215" t="n"/>
      <c r="Y2208" s="215" t="n"/>
      <c r="Z2208" s="215" t="n"/>
      <c r="AA2208" s="215" t="n"/>
      <c r="AB2208" s="215" t="n"/>
      <c r="AC2208" s="215" t="n"/>
      <c r="AD2208" s="215" t="n"/>
      <c r="AE2208" s="215" t="n"/>
      <c r="AF2208" s="215" t="n"/>
      <c r="AG2208" s="215" t="n"/>
      <c r="AH2208" s="215" t="n"/>
      <c r="AI2208" s="215" t="n"/>
      <c r="AJ2208" s="215" t="n"/>
      <c r="AK2208" s="216" t="n"/>
    </row>
    <row r="2209" ht="15" customHeight="1">
      <c r="B2209" s="134" t="n"/>
      <c r="C2209" s="105" t="n"/>
      <c r="D2209" s="105" t="n"/>
      <c r="E2209" s="105" t="n"/>
      <c r="F2209" s="105" t="n"/>
      <c r="G2209" s="105" t="n"/>
      <c r="H2209" s="2" t="n"/>
      <c r="I2209" s="105" t="n"/>
      <c r="K2209" s="215" t="n"/>
      <c r="L2209" s="215" t="n"/>
      <c r="M2209" s="215" t="n"/>
      <c r="N2209" s="215" t="n"/>
      <c r="O2209" s="215" t="n"/>
      <c r="P2209" s="215" t="n"/>
      <c r="Q2209" s="215" t="n"/>
      <c r="R2209" s="215" t="n"/>
      <c r="S2209" s="215" t="n"/>
      <c r="T2209" s="215" t="n"/>
      <c r="U2209" s="215" t="n"/>
      <c r="V2209" s="215" t="n"/>
      <c r="W2209" s="215" t="n"/>
      <c r="X2209" s="215" t="n"/>
      <c r="Y2209" s="215" t="n"/>
      <c r="Z2209" s="215" t="n"/>
      <c r="AA2209" s="215" t="n"/>
      <c r="AB2209" s="215" t="n"/>
      <c r="AC2209" s="215" t="n"/>
      <c r="AD2209" s="215" t="n"/>
      <c r="AE2209" s="215" t="n"/>
      <c r="AF2209" s="215" t="n"/>
      <c r="AG2209" s="215" t="n"/>
      <c r="AH2209" s="215" t="n"/>
      <c r="AI2209" s="215" t="n"/>
      <c r="AJ2209" s="215" t="n"/>
      <c r="AK2209" s="216" t="n"/>
    </row>
    <row r="2210" ht="15" customHeight="1">
      <c r="B2210" s="134" t="n"/>
      <c r="C2210" s="105" t="n"/>
      <c r="D2210" s="105" t="n"/>
      <c r="E2210" s="105" t="n"/>
      <c r="F2210" s="105" t="n"/>
      <c r="G2210" s="105" t="n"/>
      <c r="H2210" s="2" t="n"/>
      <c r="I2210" s="105" t="n"/>
      <c r="K2210" s="215" t="n"/>
      <c r="L2210" s="215" t="n"/>
      <c r="M2210" s="215" t="n"/>
      <c r="N2210" s="215" t="n"/>
      <c r="O2210" s="215" t="n"/>
      <c r="P2210" s="215" t="n"/>
      <c r="Q2210" s="215" t="n"/>
      <c r="R2210" s="215" t="n"/>
      <c r="S2210" s="215" t="n"/>
      <c r="T2210" s="215" t="n"/>
      <c r="U2210" s="215" t="n"/>
      <c r="V2210" s="215" t="n"/>
      <c r="W2210" s="215" t="n"/>
      <c r="X2210" s="215" t="n"/>
      <c r="Y2210" s="215" t="n"/>
      <c r="Z2210" s="215" t="n"/>
      <c r="AA2210" s="215" t="n"/>
      <c r="AB2210" s="215" t="n"/>
      <c r="AC2210" s="215" t="n"/>
      <c r="AD2210" s="215" t="n"/>
      <c r="AE2210" s="215" t="n"/>
      <c r="AF2210" s="215" t="n"/>
      <c r="AG2210" s="215" t="n"/>
      <c r="AH2210" s="215" t="n"/>
      <c r="AI2210" s="215" t="n"/>
      <c r="AJ2210" s="215" t="n"/>
      <c r="AK2210" s="216" t="n"/>
    </row>
    <row r="2211" ht="15" customHeight="1">
      <c r="B2211" s="134" t="n"/>
      <c r="C2211" s="105" t="n"/>
      <c r="D2211" s="105" t="n"/>
      <c r="E2211" s="105" t="n"/>
      <c r="F2211" s="105" t="n"/>
      <c r="G2211" s="105" t="n"/>
      <c r="H2211" s="2" t="n"/>
      <c r="I2211" s="105" t="n"/>
      <c r="K2211" s="215" t="n"/>
      <c r="L2211" s="215" t="n"/>
      <c r="M2211" s="215" t="n"/>
      <c r="N2211" s="215" t="n"/>
      <c r="O2211" s="215" t="n"/>
      <c r="P2211" s="215" t="n"/>
      <c r="Q2211" s="215" t="n"/>
      <c r="R2211" s="215" t="n"/>
      <c r="S2211" s="215" t="n"/>
      <c r="T2211" s="215" t="n"/>
      <c r="U2211" s="215" t="n"/>
      <c r="V2211" s="215" t="n"/>
      <c r="W2211" s="215" t="n"/>
      <c r="X2211" s="215" t="n"/>
      <c r="Y2211" s="215" t="n"/>
      <c r="Z2211" s="215" t="n"/>
      <c r="AA2211" s="215" t="n"/>
      <c r="AB2211" s="215" t="n"/>
      <c r="AC2211" s="215" t="n"/>
      <c r="AD2211" s="215" t="n"/>
      <c r="AE2211" s="215" t="n"/>
      <c r="AF2211" s="215" t="n"/>
      <c r="AG2211" s="215" t="n"/>
      <c r="AH2211" s="215" t="n"/>
      <c r="AI2211" s="215" t="n"/>
      <c r="AJ2211" s="215" t="n"/>
      <c r="AK2211" s="216" t="n"/>
    </row>
    <row r="2212" ht="15" customHeight="1">
      <c r="B2212" s="134" t="n"/>
      <c r="C2212" s="105" t="n"/>
      <c r="D2212" s="105" t="n"/>
      <c r="E2212" s="105" t="n"/>
      <c r="F2212" s="105" t="n"/>
      <c r="G2212" s="105" t="n"/>
      <c r="H2212" s="2" t="n"/>
      <c r="I2212" s="105" t="n"/>
      <c r="K2212" s="215" t="n"/>
      <c r="L2212" s="215" t="n"/>
      <c r="M2212" s="215" t="n"/>
      <c r="N2212" s="215" t="n"/>
      <c r="O2212" s="215" t="n"/>
      <c r="P2212" s="215" t="n"/>
      <c r="Q2212" s="215" t="n"/>
      <c r="R2212" s="215" t="n"/>
      <c r="S2212" s="215" t="n"/>
      <c r="T2212" s="215" t="n"/>
      <c r="U2212" s="215" t="n"/>
      <c r="V2212" s="215" t="n"/>
      <c r="W2212" s="215" t="n"/>
      <c r="X2212" s="215" t="n"/>
      <c r="Y2212" s="215" t="n"/>
      <c r="Z2212" s="215" t="n"/>
      <c r="AA2212" s="215" t="n"/>
      <c r="AB2212" s="215" t="n"/>
      <c r="AC2212" s="215" t="n"/>
      <c r="AD2212" s="215" t="n"/>
      <c r="AE2212" s="215" t="n"/>
      <c r="AF2212" s="215" t="n"/>
      <c r="AG2212" s="215" t="n"/>
      <c r="AH2212" s="215" t="n"/>
      <c r="AI2212" s="215" t="n"/>
      <c r="AJ2212" s="215" t="n"/>
      <c r="AK2212" s="216" t="n"/>
    </row>
    <row r="2213" ht="15" customHeight="1">
      <c r="B2213" s="134" t="n"/>
      <c r="C2213" s="105" t="n"/>
      <c r="D2213" s="105" t="n"/>
      <c r="E2213" s="105" t="n"/>
      <c r="F2213" s="105" t="n"/>
      <c r="G2213" s="105" t="n"/>
      <c r="H2213" s="2" t="n"/>
      <c r="I2213" s="105" t="n"/>
      <c r="K2213" s="215" t="n"/>
      <c r="L2213" s="215" t="n"/>
      <c r="M2213" s="215" t="n"/>
      <c r="N2213" s="215" t="n"/>
      <c r="O2213" s="215" t="n"/>
      <c r="P2213" s="215" t="n"/>
      <c r="Q2213" s="215" t="n"/>
      <c r="R2213" s="215" t="n"/>
      <c r="S2213" s="215" t="n"/>
      <c r="T2213" s="215" t="n"/>
      <c r="U2213" s="215" t="n"/>
      <c r="V2213" s="215" t="n"/>
      <c r="W2213" s="215" t="n"/>
      <c r="X2213" s="215" t="n"/>
      <c r="Y2213" s="215" t="n"/>
      <c r="Z2213" s="215" t="n"/>
      <c r="AA2213" s="215" t="n"/>
      <c r="AB2213" s="215" t="n"/>
      <c r="AC2213" s="215" t="n"/>
      <c r="AD2213" s="215" t="n"/>
      <c r="AE2213" s="215" t="n"/>
      <c r="AF2213" s="215" t="n"/>
      <c r="AG2213" s="215" t="n"/>
      <c r="AH2213" s="215" t="n"/>
      <c r="AI2213" s="215" t="n"/>
      <c r="AJ2213" s="215" t="n"/>
      <c r="AK2213" s="216" t="n"/>
    </row>
    <row r="2214" ht="15" customHeight="1">
      <c r="B2214" s="134" t="n"/>
      <c r="C2214" s="105" t="n"/>
      <c r="D2214" s="105" t="n"/>
      <c r="E2214" s="105" t="n"/>
      <c r="F2214" s="105" t="n"/>
      <c r="G2214" s="105" t="n"/>
      <c r="H2214" s="2" t="n"/>
      <c r="I2214" s="105" t="n"/>
      <c r="K2214" s="215" t="n"/>
      <c r="L2214" s="215" t="n"/>
      <c r="M2214" s="215" t="n"/>
      <c r="N2214" s="215" t="n"/>
      <c r="O2214" s="215" t="n"/>
      <c r="P2214" s="215" t="n"/>
      <c r="Q2214" s="215" t="n"/>
      <c r="R2214" s="215" t="n"/>
      <c r="S2214" s="215" t="n"/>
      <c r="T2214" s="215" t="n"/>
      <c r="U2214" s="215" t="n"/>
      <c r="V2214" s="215" t="n"/>
      <c r="W2214" s="215" t="n"/>
      <c r="X2214" s="215" t="n"/>
      <c r="Y2214" s="215" t="n"/>
      <c r="Z2214" s="215" t="n"/>
      <c r="AA2214" s="215" t="n"/>
      <c r="AB2214" s="215" t="n"/>
      <c r="AC2214" s="215" t="n"/>
      <c r="AD2214" s="215" t="n"/>
      <c r="AE2214" s="215" t="n"/>
      <c r="AF2214" s="215" t="n"/>
      <c r="AG2214" s="215" t="n"/>
      <c r="AH2214" s="215" t="n"/>
      <c r="AI2214" s="215" t="n"/>
      <c r="AJ2214" s="215" t="n"/>
      <c r="AK2214" s="216" t="n"/>
    </row>
    <row r="2215" ht="15" customHeight="1">
      <c r="B2215" s="134" t="n"/>
      <c r="C2215" s="105" t="n"/>
      <c r="D2215" s="105" t="n"/>
      <c r="E2215" s="105" t="n"/>
      <c r="F2215" s="105" t="n"/>
      <c r="G2215" s="105" t="n"/>
      <c r="H2215" s="2" t="n"/>
      <c r="I2215" s="105" t="n"/>
      <c r="K2215" s="215" t="n"/>
      <c r="L2215" s="215" t="n"/>
      <c r="M2215" s="215" t="n"/>
      <c r="N2215" s="215" t="n"/>
      <c r="O2215" s="215" t="n"/>
      <c r="P2215" s="215" t="n"/>
      <c r="Q2215" s="215" t="n"/>
      <c r="R2215" s="215" t="n"/>
      <c r="S2215" s="215" t="n"/>
      <c r="T2215" s="215" t="n"/>
      <c r="U2215" s="215" t="n"/>
      <c r="V2215" s="215" t="n"/>
      <c r="W2215" s="215" t="n"/>
      <c r="X2215" s="215" t="n"/>
      <c r="Y2215" s="215" t="n"/>
      <c r="Z2215" s="215" t="n"/>
      <c r="AA2215" s="215" t="n"/>
      <c r="AB2215" s="215" t="n"/>
      <c r="AC2215" s="215" t="n"/>
      <c r="AD2215" s="215" t="n"/>
      <c r="AE2215" s="215" t="n"/>
      <c r="AF2215" s="215" t="n"/>
      <c r="AG2215" s="215" t="n"/>
      <c r="AH2215" s="215" t="n"/>
      <c r="AI2215" s="215" t="n"/>
      <c r="AJ2215" s="215" t="n"/>
      <c r="AK2215" s="216" t="n"/>
    </row>
    <row r="2216" ht="15" customHeight="1">
      <c r="B2216" s="134" t="n"/>
      <c r="C2216" s="105" t="n"/>
      <c r="D2216" s="105" t="n"/>
      <c r="E2216" s="105" t="n"/>
      <c r="F2216" s="105" t="n"/>
      <c r="G2216" s="105" t="n"/>
      <c r="H2216" s="2" t="n"/>
      <c r="I2216" s="105" t="n"/>
      <c r="K2216" s="215" t="n"/>
      <c r="L2216" s="215" t="n"/>
      <c r="M2216" s="215" t="n"/>
      <c r="N2216" s="215" t="n"/>
      <c r="O2216" s="215" t="n"/>
      <c r="P2216" s="215" t="n"/>
      <c r="Q2216" s="215" t="n"/>
      <c r="R2216" s="215" t="n"/>
      <c r="S2216" s="215" t="n"/>
      <c r="T2216" s="215" t="n"/>
      <c r="U2216" s="215" t="n"/>
      <c r="V2216" s="215" t="n"/>
      <c r="W2216" s="215" t="n"/>
      <c r="X2216" s="215" t="n"/>
      <c r="Y2216" s="215" t="n"/>
      <c r="Z2216" s="215" t="n"/>
      <c r="AA2216" s="215" t="n"/>
      <c r="AB2216" s="215" t="n"/>
      <c r="AC2216" s="215" t="n"/>
      <c r="AD2216" s="215" t="n"/>
      <c r="AE2216" s="215" t="n"/>
      <c r="AF2216" s="215" t="n"/>
      <c r="AG2216" s="215" t="n"/>
      <c r="AH2216" s="215" t="n"/>
      <c r="AI2216" s="215" t="n"/>
      <c r="AJ2216" s="215" t="n"/>
      <c r="AK2216" s="216" t="n"/>
    </row>
    <row r="2217" ht="15" customHeight="1">
      <c r="B2217" s="134" t="n"/>
      <c r="C2217" s="105" t="n"/>
      <c r="D2217" s="105" t="n"/>
      <c r="E2217" s="105" t="n"/>
      <c r="F2217" s="105" t="n"/>
      <c r="G2217" s="105" t="n"/>
      <c r="H2217" s="2" t="n"/>
      <c r="I2217" s="105" t="n"/>
      <c r="K2217" s="215" t="n"/>
      <c r="L2217" s="215" t="n"/>
      <c r="M2217" s="215" t="n"/>
      <c r="N2217" s="215" t="n"/>
      <c r="O2217" s="215" t="n"/>
      <c r="P2217" s="215" t="n"/>
      <c r="Q2217" s="215" t="n"/>
      <c r="R2217" s="215" t="n"/>
      <c r="S2217" s="215" t="n"/>
      <c r="T2217" s="215" t="n"/>
      <c r="U2217" s="215" t="n"/>
      <c r="V2217" s="215" t="n"/>
      <c r="W2217" s="215" t="n"/>
      <c r="X2217" s="215" t="n"/>
      <c r="Y2217" s="215" t="n"/>
      <c r="Z2217" s="215" t="n"/>
      <c r="AA2217" s="215" t="n"/>
      <c r="AB2217" s="215" t="n"/>
      <c r="AC2217" s="215" t="n"/>
      <c r="AD2217" s="215" t="n"/>
      <c r="AE2217" s="215" t="n"/>
      <c r="AF2217" s="215" t="n"/>
      <c r="AG2217" s="215" t="n"/>
      <c r="AH2217" s="215" t="n"/>
      <c r="AI2217" s="215" t="n"/>
      <c r="AJ2217" s="215" t="n"/>
      <c r="AK2217" s="216" t="n"/>
    </row>
    <row r="2218" ht="15" customHeight="1">
      <c r="B2218" s="134" t="n"/>
      <c r="C2218" s="105" t="n"/>
      <c r="D2218" s="105" t="n"/>
      <c r="E2218" s="105" t="n"/>
      <c r="F2218" s="105" t="n"/>
      <c r="G2218" s="105" t="n"/>
      <c r="H2218" s="2" t="n"/>
      <c r="I2218" s="105" t="n"/>
      <c r="K2218" s="215" t="n"/>
      <c r="L2218" s="215" t="n"/>
      <c r="M2218" s="215" t="n"/>
      <c r="N2218" s="215" t="n"/>
      <c r="O2218" s="215" t="n"/>
      <c r="P2218" s="215" t="n"/>
      <c r="Q2218" s="215" t="n"/>
      <c r="R2218" s="215" t="n"/>
      <c r="S2218" s="215" t="n"/>
      <c r="T2218" s="215" t="n"/>
      <c r="U2218" s="215" t="n"/>
      <c r="V2218" s="215" t="n"/>
      <c r="W2218" s="215" t="n"/>
      <c r="X2218" s="215" t="n"/>
      <c r="Y2218" s="215" t="n"/>
      <c r="Z2218" s="215" t="n"/>
      <c r="AA2218" s="215" t="n"/>
      <c r="AB2218" s="215" t="n"/>
      <c r="AC2218" s="215" t="n"/>
      <c r="AD2218" s="215" t="n"/>
      <c r="AE2218" s="215" t="n"/>
      <c r="AF2218" s="215" t="n"/>
      <c r="AG2218" s="215" t="n"/>
      <c r="AH2218" s="215" t="n"/>
      <c r="AI2218" s="215" t="n"/>
      <c r="AJ2218" s="215" t="n"/>
      <c r="AK2218" s="216" t="n"/>
    </row>
    <row r="2219" ht="15" customHeight="1">
      <c r="B2219" s="134" t="n"/>
      <c r="C2219" s="105" t="n"/>
      <c r="D2219" s="105" t="n"/>
      <c r="E2219" s="105" t="n"/>
      <c r="F2219" s="105" t="n"/>
      <c r="G2219" s="105" t="n"/>
      <c r="H2219" s="2" t="n"/>
      <c r="I2219" s="105" t="n"/>
      <c r="K2219" s="215" t="n"/>
      <c r="L2219" s="215" t="n"/>
      <c r="M2219" s="215" t="n"/>
      <c r="N2219" s="215" t="n"/>
      <c r="O2219" s="215" t="n"/>
      <c r="P2219" s="215" t="n"/>
      <c r="Q2219" s="215" t="n"/>
      <c r="R2219" s="215" t="n"/>
      <c r="S2219" s="215" t="n"/>
      <c r="T2219" s="215" t="n"/>
      <c r="U2219" s="215" t="n"/>
      <c r="V2219" s="215" t="n"/>
      <c r="W2219" s="215" t="n"/>
      <c r="X2219" s="215" t="n"/>
      <c r="Y2219" s="215" t="n"/>
      <c r="Z2219" s="215" t="n"/>
      <c r="AA2219" s="215" t="n"/>
      <c r="AB2219" s="215" t="n"/>
      <c r="AC2219" s="215" t="n"/>
      <c r="AD2219" s="215" t="n"/>
      <c r="AE2219" s="215" t="n"/>
      <c r="AF2219" s="215" t="n"/>
      <c r="AG2219" s="215" t="n"/>
      <c r="AH2219" s="215" t="n"/>
      <c r="AI2219" s="215" t="n"/>
      <c r="AJ2219" s="215" t="n"/>
      <c r="AK2219" s="216" t="n"/>
    </row>
    <row r="2220" ht="15" customHeight="1">
      <c r="B2220" s="134" t="n"/>
      <c r="C2220" s="105" t="n"/>
      <c r="D2220" s="105" t="n"/>
      <c r="E2220" s="105" t="n"/>
      <c r="F2220" s="105" t="n"/>
      <c r="G2220" s="105" t="n"/>
      <c r="H2220" s="2" t="n"/>
      <c r="I2220" s="105" t="n"/>
      <c r="K2220" s="215" t="n"/>
      <c r="L2220" s="215" t="n"/>
      <c r="M2220" s="215" t="n"/>
      <c r="N2220" s="215" t="n"/>
      <c r="O2220" s="215" t="n"/>
      <c r="P2220" s="215" t="n"/>
      <c r="Q2220" s="215" t="n"/>
      <c r="R2220" s="215" t="n"/>
      <c r="S2220" s="215" t="n"/>
      <c r="T2220" s="215" t="n"/>
      <c r="U2220" s="215" t="n"/>
      <c r="V2220" s="215" t="n"/>
      <c r="W2220" s="215" t="n"/>
      <c r="X2220" s="215" t="n"/>
      <c r="Y2220" s="215" t="n"/>
      <c r="Z2220" s="215" t="n"/>
      <c r="AA2220" s="215" t="n"/>
      <c r="AB2220" s="215" t="n"/>
      <c r="AC2220" s="215" t="n"/>
      <c r="AD2220" s="215" t="n"/>
      <c r="AE2220" s="215" t="n"/>
      <c r="AF2220" s="215" t="n"/>
      <c r="AG2220" s="215" t="n"/>
      <c r="AH2220" s="215" t="n"/>
      <c r="AI2220" s="215" t="n"/>
      <c r="AJ2220" s="215" t="n"/>
      <c r="AK2220" s="216" t="n"/>
    </row>
    <row r="2221" ht="15" customHeight="1">
      <c r="B2221" s="134" t="n"/>
      <c r="C2221" s="105" t="n"/>
      <c r="D2221" s="105" t="n"/>
      <c r="E2221" s="105" t="n"/>
      <c r="F2221" s="105" t="n"/>
      <c r="G2221" s="105" t="n"/>
      <c r="H2221" s="2" t="n"/>
      <c r="I2221" s="105" t="n"/>
      <c r="K2221" s="215" t="n"/>
      <c r="L2221" s="215" t="n"/>
      <c r="M2221" s="215" t="n"/>
      <c r="N2221" s="215" t="n"/>
      <c r="O2221" s="215" t="n"/>
      <c r="P2221" s="215" t="n"/>
      <c r="Q2221" s="215" t="n"/>
      <c r="R2221" s="215" t="n"/>
      <c r="S2221" s="215" t="n"/>
      <c r="T2221" s="215" t="n"/>
      <c r="U2221" s="215" t="n"/>
      <c r="V2221" s="215" t="n"/>
      <c r="W2221" s="215" t="n"/>
      <c r="X2221" s="215" t="n"/>
      <c r="Y2221" s="215" t="n"/>
      <c r="Z2221" s="215" t="n"/>
      <c r="AA2221" s="215" t="n"/>
      <c r="AB2221" s="215" t="n"/>
      <c r="AC2221" s="215" t="n"/>
      <c r="AD2221" s="215" t="n"/>
      <c r="AE2221" s="215" t="n"/>
      <c r="AF2221" s="215" t="n"/>
      <c r="AG2221" s="215" t="n"/>
      <c r="AH2221" s="215" t="n"/>
      <c r="AI2221" s="215" t="n"/>
      <c r="AJ2221" s="215" t="n"/>
      <c r="AK2221" s="216" t="n"/>
    </row>
    <row r="2222" ht="15" customHeight="1">
      <c r="B2222" s="134" t="n"/>
      <c r="C2222" s="105" t="n"/>
      <c r="D2222" s="105" t="n"/>
      <c r="E2222" s="105" t="n"/>
      <c r="F2222" s="105" t="n"/>
      <c r="G2222" s="105" t="n"/>
      <c r="H2222" s="2" t="n"/>
      <c r="I2222" s="105" t="n"/>
      <c r="K2222" s="215" t="n"/>
      <c r="L2222" s="215" t="n"/>
      <c r="M2222" s="215" t="n"/>
      <c r="N2222" s="215" t="n"/>
      <c r="O2222" s="215" t="n"/>
      <c r="P2222" s="215" t="n"/>
      <c r="Q2222" s="215" t="n"/>
      <c r="R2222" s="215" t="n"/>
      <c r="S2222" s="215" t="n"/>
      <c r="T2222" s="215" t="n"/>
      <c r="U2222" s="215" t="n"/>
      <c r="V2222" s="215" t="n"/>
      <c r="W2222" s="215" t="n"/>
      <c r="X2222" s="215" t="n"/>
      <c r="Y2222" s="215" t="n"/>
      <c r="Z2222" s="215" t="n"/>
      <c r="AA2222" s="215" t="n"/>
      <c r="AB2222" s="215" t="n"/>
      <c r="AC2222" s="215" t="n"/>
      <c r="AD2222" s="215" t="n"/>
      <c r="AE2222" s="215" t="n"/>
      <c r="AF2222" s="215" t="n"/>
      <c r="AG2222" s="215" t="n"/>
      <c r="AH2222" s="215" t="n"/>
      <c r="AI2222" s="215" t="n"/>
      <c r="AJ2222" s="215" t="n"/>
      <c r="AK2222" s="216" t="n"/>
    </row>
    <row r="2223" ht="15" customHeight="1">
      <c r="B2223" s="134" t="n"/>
      <c r="C2223" s="105" t="n"/>
      <c r="D2223" s="105" t="n"/>
      <c r="E2223" s="105" t="n"/>
      <c r="F2223" s="105" t="n"/>
      <c r="G2223" s="105" t="n"/>
      <c r="H2223" s="2" t="n"/>
      <c r="I2223" s="105" t="n"/>
      <c r="K2223" s="215" t="n"/>
      <c r="L2223" s="215" t="n"/>
      <c r="M2223" s="215" t="n"/>
      <c r="N2223" s="215" t="n"/>
      <c r="O2223" s="215" t="n"/>
      <c r="P2223" s="215" t="n"/>
      <c r="Q2223" s="215" t="n"/>
      <c r="R2223" s="215" t="n"/>
      <c r="S2223" s="215" t="n"/>
      <c r="T2223" s="215" t="n"/>
      <c r="U2223" s="215" t="n"/>
      <c r="V2223" s="215" t="n"/>
      <c r="W2223" s="215" t="n"/>
      <c r="X2223" s="215" t="n"/>
      <c r="Y2223" s="215" t="n"/>
      <c r="Z2223" s="215" t="n"/>
      <c r="AA2223" s="215" t="n"/>
      <c r="AB2223" s="215" t="n"/>
      <c r="AC2223" s="215" t="n"/>
      <c r="AD2223" s="215" t="n"/>
      <c r="AE2223" s="215" t="n"/>
      <c r="AF2223" s="215" t="n"/>
      <c r="AG2223" s="215" t="n"/>
      <c r="AH2223" s="215" t="n"/>
      <c r="AI2223" s="215" t="n"/>
      <c r="AJ2223" s="215" t="n"/>
      <c r="AK2223" s="216" t="n"/>
    </row>
    <row r="2224" ht="15" customHeight="1">
      <c r="B2224" s="134" t="n"/>
      <c r="C2224" s="105" t="n"/>
      <c r="D2224" s="105" t="n"/>
      <c r="E2224" s="105" t="n"/>
      <c r="F2224" s="105" t="n"/>
      <c r="G2224" s="105" t="n"/>
      <c r="H2224" s="2" t="n"/>
      <c r="I2224" s="105" t="n"/>
      <c r="K2224" s="215" t="n"/>
      <c r="L2224" s="215" t="n"/>
      <c r="M2224" s="215" t="n"/>
      <c r="N2224" s="215" t="n"/>
      <c r="O2224" s="215" t="n"/>
      <c r="P2224" s="215" t="n"/>
      <c r="Q2224" s="215" t="n"/>
      <c r="R2224" s="215" t="n"/>
      <c r="S2224" s="215" t="n"/>
      <c r="T2224" s="215" t="n"/>
      <c r="U2224" s="215" t="n"/>
      <c r="V2224" s="215" t="n"/>
      <c r="W2224" s="215" t="n"/>
      <c r="X2224" s="215" t="n"/>
      <c r="Y2224" s="215" t="n"/>
      <c r="Z2224" s="215" t="n"/>
      <c r="AA2224" s="215" t="n"/>
      <c r="AB2224" s="215" t="n"/>
      <c r="AC2224" s="215" t="n"/>
      <c r="AD2224" s="215" t="n"/>
      <c r="AE2224" s="215" t="n"/>
      <c r="AF2224" s="215" t="n"/>
      <c r="AG2224" s="215" t="n"/>
      <c r="AH2224" s="215" t="n"/>
      <c r="AI2224" s="215" t="n"/>
      <c r="AJ2224" s="215" t="n"/>
      <c r="AK2224" s="216" t="n"/>
    </row>
    <row r="2225" ht="15" customHeight="1">
      <c r="B2225" s="134" t="n"/>
      <c r="C2225" s="105" t="n"/>
      <c r="D2225" s="105" t="n"/>
      <c r="E2225" s="105" t="n"/>
      <c r="F2225" s="105" t="n"/>
      <c r="G2225" s="105" t="n"/>
      <c r="H2225" s="2" t="n"/>
      <c r="I2225" s="105" t="n"/>
      <c r="K2225" s="215" t="n"/>
      <c r="L2225" s="215" t="n"/>
      <c r="M2225" s="215" t="n"/>
      <c r="N2225" s="215" t="n"/>
      <c r="O2225" s="215" t="n"/>
      <c r="P2225" s="215" t="n"/>
      <c r="Q2225" s="215" t="n"/>
      <c r="R2225" s="215" t="n"/>
      <c r="S2225" s="215" t="n"/>
      <c r="T2225" s="215" t="n"/>
      <c r="U2225" s="215" t="n"/>
      <c r="V2225" s="215" t="n"/>
      <c r="W2225" s="215" t="n"/>
      <c r="X2225" s="215" t="n"/>
      <c r="Y2225" s="215" t="n"/>
      <c r="Z2225" s="215" t="n"/>
      <c r="AA2225" s="215" t="n"/>
      <c r="AB2225" s="215" t="n"/>
      <c r="AC2225" s="215" t="n"/>
      <c r="AD2225" s="215" t="n"/>
      <c r="AE2225" s="215" t="n"/>
      <c r="AF2225" s="215" t="n"/>
      <c r="AG2225" s="215" t="n"/>
      <c r="AH2225" s="215" t="n"/>
      <c r="AI2225" s="215" t="n"/>
      <c r="AJ2225" s="215" t="n"/>
      <c r="AK2225" s="216" t="n"/>
    </row>
    <row r="2226" ht="15" customHeight="1">
      <c r="B2226" s="134" t="n"/>
      <c r="C2226" s="105" t="n"/>
      <c r="D2226" s="105" t="n"/>
      <c r="E2226" s="105" t="n"/>
      <c r="F2226" s="105" t="n"/>
      <c r="G2226" s="105" t="n"/>
      <c r="H2226" s="2" t="n"/>
      <c r="I2226" s="105" t="n"/>
      <c r="K2226" s="215" t="n"/>
      <c r="L2226" s="215" t="n"/>
      <c r="M2226" s="215" t="n"/>
      <c r="N2226" s="215" t="n"/>
      <c r="O2226" s="215" t="n"/>
      <c r="P2226" s="215" t="n"/>
      <c r="Q2226" s="215" t="n"/>
      <c r="R2226" s="215" t="n"/>
      <c r="S2226" s="215" t="n"/>
      <c r="T2226" s="215" t="n"/>
      <c r="U2226" s="215" t="n"/>
      <c r="V2226" s="215" t="n"/>
      <c r="W2226" s="215" t="n"/>
      <c r="X2226" s="215" t="n"/>
      <c r="Y2226" s="215" t="n"/>
      <c r="Z2226" s="215" t="n"/>
      <c r="AA2226" s="215" t="n"/>
      <c r="AB2226" s="215" t="n"/>
      <c r="AC2226" s="215" t="n"/>
      <c r="AD2226" s="215" t="n"/>
      <c r="AE2226" s="215" t="n"/>
      <c r="AF2226" s="215" t="n"/>
      <c r="AG2226" s="215" t="n"/>
      <c r="AH2226" s="215" t="n"/>
      <c r="AI2226" s="215" t="n"/>
      <c r="AJ2226" s="215" t="n"/>
      <c r="AK2226" s="216" t="n"/>
    </row>
    <row r="2227" ht="15" customHeight="1">
      <c r="B2227" s="134" t="n"/>
      <c r="C2227" s="105" t="n"/>
      <c r="D2227" s="105" t="n"/>
      <c r="E2227" s="105" t="n"/>
      <c r="F2227" s="105" t="n"/>
      <c r="G2227" s="105" t="n"/>
      <c r="H2227" s="2" t="n"/>
      <c r="I2227" s="105" t="n"/>
      <c r="K2227" s="215" t="n"/>
      <c r="L2227" s="215" t="n"/>
      <c r="M2227" s="215" t="n"/>
      <c r="N2227" s="215" t="n"/>
      <c r="O2227" s="215" t="n"/>
      <c r="P2227" s="215" t="n"/>
      <c r="Q2227" s="215" t="n"/>
      <c r="R2227" s="215" t="n"/>
      <c r="S2227" s="215" t="n"/>
      <c r="T2227" s="215" t="n"/>
      <c r="U2227" s="215" t="n"/>
      <c r="V2227" s="215" t="n"/>
      <c r="W2227" s="215" t="n"/>
      <c r="X2227" s="215" t="n"/>
      <c r="Y2227" s="215" t="n"/>
      <c r="Z2227" s="215" t="n"/>
      <c r="AA2227" s="215" t="n"/>
      <c r="AB2227" s="215" t="n"/>
      <c r="AC2227" s="215" t="n"/>
      <c r="AD2227" s="215" t="n"/>
      <c r="AE2227" s="215" t="n"/>
      <c r="AF2227" s="215" t="n"/>
      <c r="AG2227" s="215" t="n"/>
      <c r="AH2227" s="215" t="n"/>
      <c r="AI2227" s="215" t="n"/>
      <c r="AJ2227" s="215" t="n"/>
      <c r="AK2227" s="216" t="n"/>
    </row>
    <row r="2228" ht="15" customHeight="1">
      <c r="B2228" s="134" t="n"/>
      <c r="C2228" s="105" t="n"/>
      <c r="D2228" s="105" t="n"/>
      <c r="E2228" s="105" t="n"/>
      <c r="F2228" s="105" t="n"/>
      <c r="G2228" s="105" t="n"/>
      <c r="H2228" s="2" t="n"/>
      <c r="I2228" s="105" t="n"/>
      <c r="K2228" s="215" t="n"/>
      <c r="L2228" s="215" t="n"/>
      <c r="M2228" s="215" t="n"/>
      <c r="N2228" s="215" t="n"/>
      <c r="O2228" s="215" t="n"/>
      <c r="P2228" s="215" t="n"/>
      <c r="Q2228" s="215" t="n"/>
      <c r="R2228" s="215" t="n"/>
      <c r="S2228" s="215" t="n"/>
      <c r="T2228" s="215" t="n"/>
      <c r="U2228" s="215" t="n"/>
      <c r="V2228" s="215" t="n"/>
      <c r="W2228" s="215" t="n"/>
      <c r="X2228" s="215" t="n"/>
      <c r="Y2228" s="215" t="n"/>
      <c r="Z2228" s="215" t="n"/>
      <c r="AA2228" s="215" t="n"/>
      <c r="AB2228" s="215" t="n"/>
      <c r="AC2228" s="215" t="n"/>
      <c r="AD2228" s="215" t="n"/>
      <c r="AE2228" s="215" t="n"/>
      <c r="AF2228" s="215" t="n"/>
      <c r="AG2228" s="215" t="n"/>
      <c r="AH2228" s="215" t="n"/>
      <c r="AI2228" s="215" t="n"/>
      <c r="AJ2228" s="215" t="n"/>
      <c r="AK2228" s="216" t="n"/>
    </row>
    <row r="2229" ht="15" customHeight="1">
      <c r="B2229" s="134" t="n"/>
      <c r="C2229" s="105" t="n"/>
      <c r="D2229" s="105" t="n"/>
      <c r="E2229" s="105" t="n"/>
      <c r="F2229" s="105" t="n"/>
      <c r="G2229" s="105" t="n"/>
      <c r="H2229" s="2" t="n"/>
      <c r="I2229" s="105" t="n"/>
      <c r="K2229" s="215" t="n"/>
      <c r="L2229" s="215" t="n"/>
      <c r="M2229" s="215" t="n"/>
      <c r="N2229" s="215" t="n"/>
      <c r="O2229" s="215" t="n"/>
      <c r="P2229" s="215" t="n"/>
      <c r="Q2229" s="215" t="n"/>
      <c r="R2229" s="215" t="n"/>
      <c r="S2229" s="215" t="n"/>
      <c r="T2229" s="215" t="n"/>
      <c r="U2229" s="215" t="n"/>
      <c r="V2229" s="215" t="n"/>
      <c r="W2229" s="215" t="n"/>
      <c r="X2229" s="215" t="n"/>
      <c r="Y2229" s="215" t="n"/>
      <c r="Z2229" s="215" t="n"/>
      <c r="AA2229" s="215" t="n"/>
      <c r="AB2229" s="215" t="n"/>
      <c r="AC2229" s="215" t="n"/>
      <c r="AD2229" s="215" t="n"/>
      <c r="AE2229" s="215" t="n"/>
      <c r="AF2229" s="215" t="n"/>
      <c r="AG2229" s="215" t="n"/>
      <c r="AH2229" s="215" t="n"/>
      <c r="AI2229" s="215" t="n"/>
      <c r="AJ2229" s="215" t="n"/>
      <c r="AK2229" s="216" t="n"/>
    </row>
    <row r="2230" ht="15" customHeight="1">
      <c r="B2230" s="134" t="n"/>
      <c r="C2230" s="105" t="n"/>
      <c r="D2230" s="105" t="n"/>
      <c r="E2230" s="105" t="n"/>
      <c r="F2230" s="105" t="n"/>
      <c r="G2230" s="105" t="n"/>
      <c r="H2230" s="2" t="n"/>
      <c r="I2230" s="105" t="n"/>
      <c r="K2230" s="215" t="n"/>
      <c r="L2230" s="215" t="n"/>
      <c r="M2230" s="215" t="n"/>
      <c r="N2230" s="215" t="n"/>
      <c r="O2230" s="215" t="n"/>
      <c r="P2230" s="215" t="n"/>
      <c r="Q2230" s="215" t="n"/>
      <c r="R2230" s="215" t="n"/>
      <c r="S2230" s="215" t="n"/>
      <c r="T2230" s="215" t="n"/>
      <c r="U2230" s="215" t="n"/>
      <c r="V2230" s="215" t="n"/>
      <c r="W2230" s="215" t="n"/>
      <c r="X2230" s="215" t="n"/>
      <c r="Y2230" s="215" t="n"/>
      <c r="Z2230" s="215" t="n"/>
      <c r="AA2230" s="215" t="n"/>
      <c r="AB2230" s="215" t="n"/>
      <c r="AC2230" s="215" t="n"/>
      <c r="AD2230" s="215" t="n"/>
      <c r="AE2230" s="215" t="n"/>
      <c r="AF2230" s="215" t="n"/>
      <c r="AG2230" s="215" t="n"/>
      <c r="AH2230" s="215" t="n"/>
      <c r="AI2230" s="215" t="n"/>
      <c r="AJ2230" s="215" t="n"/>
      <c r="AK2230" s="216" t="n"/>
    </row>
    <row r="2231" ht="15" customHeight="1">
      <c r="B2231" s="134" t="n"/>
      <c r="C2231" s="105" t="n"/>
      <c r="D2231" s="105" t="n"/>
      <c r="E2231" s="105" t="n"/>
      <c r="F2231" s="105" t="n"/>
      <c r="G2231" s="105" t="n"/>
      <c r="H2231" s="2" t="n"/>
      <c r="I2231" s="105" t="n"/>
      <c r="K2231" s="215" t="n"/>
      <c r="L2231" s="215" t="n"/>
      <c r="M2231" s="215" t="n"/>
      <c r="N2231" s="215" t="n"/>
      <c r="O2231" s="215" t="n"/>
      <c r="P2231" s="215" t="n"/>
      <c r="Q2231" s="215" t="n"/>
      <c r="R2231" s="215" t="n"/>
      <c r="S2231" s="215" t="n"/>
      <c r="T2231" s="215" t="n"/>
      <c r="U2231" s="215" t="n"/>
      <c r="V2231" s="215" t="n"/>
      <c r="W2231" s="215" t="n"/>
      <c r="X2231" s="215" t="n"/>
      <c r="Y2231" s="215" t="n"/>
      <c r="Z2231" s="215" t="n"/>
      <c r="AA2231" s="215" t="n"/>
      <c r="AB2231" s="215" t="n"/>
      <c r="AC2231" s="215" t="n"/>
      <c r="AD2231" s="215" t="n"/>
      <c r="AE2231" s="215" t="n"/>
      <c r="AF2231" s="215" t="n"/>
      <c r="AG2231" s="215" t="n"/>
      <c r="AH2231" s="215" t="n"/>
      <c r="AI2231" s="215" t="n"/>
      <c r="AJ2231" s="215" t="n"/>
      <c r="AK2231" s="216" t="n"/>
    </row>
    <row r="2232" ht="15" customHeight="1">
      <c r="B2232" s="134" t="n"/>
      <c r="C2232" s="105" t="n"/>
      <c r="D2232" s="105" t="n"/>
      <c r="E2232" s="105" t="n"/>
      <c r="F2232" s="105" t="n"/>
      <c r="G2232" s="105" t="n"/>
      <c r="H2232" s="2" t="n"/>
      <c r="I2232" s="105" t="n"/>
      <c r="K2232" s="215" t="n"/>
      <c r="L2232" s="215" t="n"/>
      <c r="M2232" s="215" t="n"/>
      <c r="N2232" s="215" t="n"/>
      <c r="O2232" s="215" t="n"/>
      <c r="P2232" s="215" t="n"/>
      <c r="Q2232" s="215" t="n"/>
      <c r="R2232" s="215" t="n"/>
      <c r="S2232" s="215" t="n"/>
      <c r="T2232" s="215" t="n"/>
      <c r="U2232" s="215" t="n"/>
      <c r="V2232" s="215" t="n"/>
      <c r="W2232" s="215" t="n"/>
      <c r="X2232" s="215" t="n"/>
      <c r="Y2232" s="215" t="n"/>
      <c r="Z2232" s="215" t="n"/>
      <c r="AA2232" s="215" t="n"/>
      <c r="AB2232" s="215" t="n"/>
      <c r="AC2232" s="215" t="n"/>
      <c r="AD2232" s="215" t="n"/>
      <c r="AE2232" s="215" t="n"/>
      <c r="AF2232" s="215" t="n"/>
      <c r="AG2232" s="215" t="n"/>
      <c r="AH2232" s="215" t="n"/>
      <c r="AI2232" s="215" t="n"/>
      <c r="AJ2232" s="215" t="n"/>
      <c r="AK2232" s="216" t="n"/>
    </row>
    <row r="2233" ht="15" customHeight="1">
      <c r="B2233" s="134" t="n"/>
      <c r="C2233" s="105" t="n"/>
      <c r="D2233" s="105" t="n"/>
      <c r="E2233" s="105" t="n"/>
      <c r="F2233" s="105" t="n"/>
      <c r="G2233" s="105" t="n"/>
      <c r="H2233" s="2" t="n"/>
      <c r="I2233" s="105" t="n"/>
      <c r="K2233" s="215" t="n"/>
      <c r="L2233" s="215" t="n"/>
      <c r="M2233" s="215" t="n"/>
      <c r="N2233" s="215" t="n"/>
      <c r="O2233" s="215" t="n"/>
      <c r="P2233" s="215" t="n"/>
      <c r="Q2233" s="215" t="n"/>
      <c r="R2233" s="215" t="n"/>
      <c r="S2233" s="215" t="n"/>
      <c r="T2233" s="215" t="n"/>
      <c r="U2233" s="215" t="n"/>
      <c r="V2233" s="215" t="n"/>
      <c r="W2233" s="215" t="n"/>
      <c r="X2233" s="215" t="n"/>
      <c r="Y2233" s="215" t="n"/>
      <c r="Z2233" s="215" t="n"/>
      <c r="AA2233" s="215" t="n"/>
      <c r="AB2233" s="215" t="n"/>
      <c r="AC2233" s="215" t="n"/>
      <c r="AD2233" s="215" t="n"/>
      <c r="AE2233" s="215" t="n"/>
      <c r="AF2233" s="215" t="n"/>
      <c r="AG2233" s="215" t="n"/>
      <c r="AH2233" s="215" t="n"/>
      <c r="AI2233" s="215" t="n"/>
      <c r="AJ2233" s="215" t="n"/>
      <c r="AK2233" s="216" t="n"/>
    </row>
    <row r="2234" ht="15" customHeight="1">
      <c r="B2234" s="134" t="n"/>
      <c r="C2234" s="105" t="n"/>
      <c r="D2234" s="105" t="n"/>
      <c r="E2234" s="105" t="n"/>
      <c r="F2234" s="105" t="n"/>
      <c r="G2234" s="105" t="n"/>
      <c r="H2234" s="2" t="n"/>
      <c r="I2234" s="105" t="n"/>
      <c r="K2234" s="215" t="n"/>
      <c r="L2234" s="215" t="n"/>
      <c r="M2234" s="215" t="n"/>
      <c r="N2234" s="215" t="n"/>
      <c r="O2234" s="215" t="n"/>
      <c r="P2234" s="215" t="n"/>
      <c r="Q2234" s="215" t="n"/>
      <c r="R2234" s="215" t="n"/>
      <c r="S2234" s="215" t="n"/>
      <c r="T2234" s="215" t="n"/>
      <c r="U2234" s="215" t="n"/>
      <c r="V2234" s="215" t="n"/>
      <c r="W2234" s="215" t="n"/>
      <c r="X2234" s="215" t="n"/>
      <c r="Y2234" s="215" t="n"/>
      <c r="Z2234" s="215" t="n"/>
      <c r="AA2234" s="215" t="n"/>
      <c r="AB2234" s="215" t="n"/>
      <c r="AC2234" s="215" t="n"/>
      <c r="AD2234" s="215" t="n"/>
      <c r="AE2234" s="215" t="n"/>
      <c r="AF2234" s="215" t="n"/>
      <c r="AG2234" s="215" t="n"/>
      <c r="AH2234" s="215" t="n"/>
      <c r="AI2234" s="215" t="n"/>
      <c r="AJ2234" s="215" t="n"/>
      <c r="AK2234" s="216" t="n"/>
    </row>
    <row r="2235" ht="15" customHeight="1">
      <c r="B2235" s="134" t="n"/>
      <c r="C2235" s="105" t="n"/>
      <c r="D2235" s="105" t="n"/>
      <c r="E2235" s="105" t="n"/>
      <c r="F2235" s="105" t="n"/>
      <c r="G2235" s="105" t="n"/>
      <c r="H2235" s="2" t="n"/>
      <c r="I2235" s="105" t="n"/>
      <c r="K2235" s="215" t="n"/>
      <c r="L2235" s="215" t="n"/>
      <c r="M2235" s="215" t="n"/>
      <c r="N2235" s="215" t="n"/>
      <c r="O2235" s="215" t="n"/>
      <c r="P2235" s="215" t="n"/>
      <c r="Q2235" s="215" t="n"/>
      <c r="R2235" s="215" t="n"/>
      <c r="S2235" s="215" t="n"/>
      <c r="T2235" s="215" t="n"/>
      <c r="U2235" s="215" t="n"/>
      <c r="V2235" s="215" t="n"/>
      <c r="W2235" s="215" t="n"/>
      <c r="X2235" s="215" t="n"/>
      <c r="Y2235" s="215" t="n"/>
      <c r="Z2235" s="215" t="n"/>
      <c r="AA2235" s="215" t="n"/>
      <c r="AB2235" s="215" t="n"/>
      <c r="AC2235" s="215" t="n"/>
      <c r="AD2235" s="215" t="n"/>
      <c r="AE2235" s="215" t="n"/>
      <c r="AF2235" s="215" t="n"/>
      <c r="AG2235" s="215" t="n"/>
      <c r="AH2235" s="215" t="n"/>
      <c r="AI2235" s="215" t="n"/>
      <c r="AJ2235" s="215" t="n"/>
      <c r="AK2235" s="216" t="n"/>
    </row>
    <row r="2236" ht="15" customHeight="1">
      <c r="B2236" s="134" t="n"/>
      <c r="C2236" s="105" t="n"/>
      <c r="D2236" s="105" t="n"/>
      <c r="E2236" s="105" t="n"/>
      <c r="F2236" s="105" t="n"/>
      <c r="G2236" s="105" t="n"/>
      <c r="H2236" s="2" t="n"/>
      <c r="I2236" s="105" t="n"/>
      <c r="K2236" s="215" t="n"/>
      <c r="L2236" s="215" t="n"/>
      <c r="M2236" s="215" t="n"/>
      <c r="N2236" s="215" t="n"/>
      <c r="O2236" s="215" t="n"/>
      <c r="P2236" s="215" t="n"/>
      <c r="Q2236" s="215" t="n"/>
      <c r="R2236" s="215" t="n"/>
      <c r="S2236" s="215" t="n"/>
      <c r="T2236" s="215" t="n"/>
      <c r="U2236" s="215" t="n"/>
      <c r="V2236" s="215" t="n"/>
      <c r="W2236" s="215" t="n"/>
      <c r="X2236" s="215" t="n"/>
      <c r="Y2236" s="215" t="n"/>
      <c r="Z2236" s="215" t="n"/>
      <c r="AA2236" s="215" t="n"/>
      <c r="AB2236" s="215" t="n"/>
      <c r="AC2236" s="215" t="n"/>
      <c r="AD2236" s="215" t="n"/>
      <c r="AE2236" s="215" t="n"/>
      <c r="AF2236" s="215" t="n"/>
      <c r="AG2236" s="215" t="n"/>
      <c r="AH2236" s="215" t="n"/>
      <c r="AI2236" s="215" t="n"/>
      <c r="AJ2236" s="215" t="n"/>
      <c r="AK2236" s="216" t="n"/>
    </row>
    <row r="2237" ht="15" customHeight="1">
      <c r="B2237" s="134" t="n"/>
      <c r="C2237" s="105" t="n"/>
      <c r="D2237" s="105" t="n"/>
      <c r="E2237" s="105" t="n"/>
      <c r="F2237" s="105" t="n"/>
      <c r="G2237" s="105" t="n"/>
      <c r="H2237" s="2" t="n"/>
      <c r="I2237" s="105" t="n"/>
      <c r="K2237" s="215" t="n"/>
      <c r="L2237" s="215" t="n"/>
      <c r="M2237" s="215" t="n"/>
      <c r="N2237" s="215" t="n"/>
      <c r="O2237" s="215" t="n"/>
      <c r="P2237" s="215" t="n"/>
      <c r="Q2237" s="215" t="n"/>
      <c r="R2237" s="215" t="n"/>
      <c r="S2237" s="215" t="n"/>
      <c r="T2237" s="215" t="n"/>
      <c r="U2237" s="215" t="n"/>
      <c r="V2237" s="215" t="n"/>
      <c r="W2237" s="215" t="n"/>
      <c r="X2237" s="215" t="n"/>
      <c r="Y2237" s="215" t="n"/>
      <c r="Z2237" s="215" t="n"/>
      <c r="AA2237" s="215" t="n"/>
      <c r="AB2237" s="215" t="n"/>
      <c r="AC2237" s="215" t="n"/>
      <c r="AD2237" s="215" t="n"/>
      <c r="AE2237" s="215" t="n"/>
      <c r="AF2237" s="215" t="n"/>
      <c r="AG2237" s="215" t="n"/>
      <c r="AH2237" s="215" t="n"/>
      <c r="AI2237" s="215" t="n"/>
      <c r="AJ2237" s="215" t="n"/>
      <c r="AK2237" s="216" t="n"/>
    </row>
    <row r="2238" ht="15" customHeight="1">
      <c r="B2238" s="134" t="n"/>
      <c r="C2238" s="105" t="n"/>
      <c r="D2238" s="105" t="n"/>
      <c r="E2238" s="105" t="n"/>
      <c r="F2238" s="105" t="n"/>
      <c r="G2238" s="105" t="n"/>
      <c r="H2238" s="2" t="n"/>
      <c r="I2238" s="105" t="n"/>
      <c r="K2238" s="215" t="n"/>
      <c r="L2238" s="215" t="n"/>
      <c r="M2238" s="215" t="n"/>
      <c r="N2238" s="215" t="n"/>
      <c r="O2238" s="215" t="n"/>
      <c r="P2238" s="215" t="n"/>
      <c r="Q2238" s="215" t="n"/>
      <c r="R2238" s="215" t="n"/>
      <c r="S2238" s="215" t="n"/>
      <c r="T2238" s="215" t="n"/>
      <c r="U2238" s="215" t="n"/>
      <c r="V2238" s="215" t="n"/>
      <c r="W2238" s="215" t="n"/>
      <c r="X2238" s="215" t="n"/>
      <c r="Y2238" s="215" t="n"/>
      <c r="Z2238" s="215" t="n"/>
      <c r="AA2238" s="215" t="n"/>
      <c r="AB2238" s="215" t="n"/>
      <c r="AC2238" s="215" t="n"/>
      <c r="AD2238" s="215" t="n"/>
      <c r="AE2238" s="215" t="n"/>
      <c r="AF2238" s="215" t="n"/>
      <c r="AG2238" s="215" t="n"/>
      <c r="AH2238" s="215" t="n"/>
      <c r="AI2238" s="215" t="n"/>
      <c r="AJ2238" s="215" t="n"/>
      <c r="AK2238" s="216" t="n"/>
    </row>
    <row r="2239" ht="15" customHeight="1">
      <c r="B2239" s="134" t="n"/>
      <c r="C2239" s="105" t="n"/>
      <c r="D2239" s="105" t="n"/>
      <c r="E2239" s="105" t="n"/>
      <c r="F2239" s="105" t="n"/>
      <c r="G2239" s="105" t="n"/>
      <c r="H2239" s="2" t="n"/>
      <c r="I2239" s="105" t="n"/>
      <c r="K2239" s="215" t="n"/>
      <c r="L2239" s="215" t="n"/>
      <c r="M2239" s="215" t="n"/>
      <c r="N2239" s="215" t="n"/>
      <c r="O2239" s="215" t="n"/>
      <c r="P2239" s="215" t="n"/>
      <c r="Q2239" s="215" t="n"/>
      <c r="R2239" s="215" t="n"/>
      <c r="S2239" s="215" t="n"/>
      <c r="T2239" s="215" t="n"/>
      <c r="U2239" s="215" t="n"/>
      <c r="V2239" s="215" t="n"/>
      <c r="W2239" s="215" t="n"/>
      <c r="X2239" s="215" t="n"/>
      <c r="Y2239" s="215" t="n"/>
      <c r="Z2239" s="215" t="n"/>
      <c r="AA2239" s="215" t="n"/>
      <c r="AB2239" s="215" t="n"/>
      <c r="AC2239" s="215" t="n"/>
      <c r="AD2239" s="215" t="n"/>
      <c r="AE2239" s="215" t="n"/>
      <c r="AF2239" s="215" t="n"/>
      <c r="AG2239" s="215" t="n"/>
      <c r="AH2239" s="215" t="n"/>
      <c r="AI2239" s="215" t="n"/>
      <c r="AJ2239" s="215" t="n"/>
      <c r="AK2239" s="216" t="n"/>
    </row>
    <row r="2240" ht="15" customHeight="1">
      <c r="B2240" s="134" t="n"/>
      <c r="C2240" s="105" t="n"/>
      <c r="D2240" s="105" t="n"/>
      <c r="E2240" s="105" t="n"/>
      <c r="F2240" s="105" t="n"/>
      <c r="G2240" s="105" t="n"/>
      <c r="H2240" s="2" t="n"/>
      <c r="I2240" s="105" t="n"/>
      <c r="K2240" s="215" t="n"/>
      <c r="L2240" s="215" t="n"/>
      <c r="M2240" s="215" t="n"/>
      <c r="N2240" s="215" t="n"/>
      <c r="O2240" s="215" t="n"/>
      <c r="P2240" s="215" t="n"/>
      <c r="Q2240" s="215" t="n"/>
      <c r="R2240" s="215" t="n"/>
      <c r="S2240" s="215" t="n"/>
      <c r="T2240" s="215" t="n"/>
      <c r="U2240" s="215" t="n"/>
      <c r="V2240" s="215" t="n"/>
      <c r="W2240" s="215" t="n"/>
      <c r="X2240" s="215" t="n"/>
      <c r="Y2240" s="215" t="n"/>
      <c r="Z2240" s="215" t="n"/>
      <c r="AA2240" s="215" t="n"/>
      <c r="AB2240" s="215" t="n"/>
      <c r="AC2240" s="215" t="n"/>
      <c r="AD2240" s="215" t="n"/>
      <c r="AE2240" s="215" t="n"/>
      <c r="AF2240" s="215" t="n"/>
      <c r="AG2240" s="215" t="n"/>
      <c r="AH2240" s="215" t="n"/>
      <c r="AI2240" s="215" t="n"/>
      <c r="AJ2240" s="215" t="n"/>
      <c r="AK2240" s="216" t="n"/>
    </row>
    <row r="2241" ht="15" customHeight="1">
      <c r="B2241" s="134" t="n"/>
      <c r="C2241" s="105" t="n"/>
      <c r="D2241" s="105" t="n"/>
      <c r="E2241" s="105" t="n"/>
      <c r="F2241" s="105" t="n"/>
      <c r="G2241" s="105" t="n"/>
      <c r="H2241" s="2" t="n"/>
      <c r="I2241" s="105" t="n"/>
      <c r="K2241" s="215" t="n"/>
      <c r="L2241" s="215" t="n"/>
      <c r="M2241" s="215" t="n"/>
      <c r="N2241" s="215" t="n"/>
      <c r="O2241" s="215" t="n"/>
      <c r="P2241" s="215" t="n"/>
      <c r="Q2241" s="215" t="n"/>
      <c r="R2241" s="215" t="n"/>
      <c r="S2241" s="215" t="n"/>
      <c r="T2241" s="215" t="n"/>
      <c r="U2241" s="215" t="n"/>
      <c r="V2241" s="215" t="n"/>
      <c r="W2241" s="215" t="n"/>
      <c r="X2241" s="215" t="n"/>
      <c r="Y2241" s="215" t="n"/>
      <c r="Z2241" s="215" t="n"/>
      <c r="AA2241" s="215" t="n"/>
      <c r="AB2241" s="215" t="n"/>
      <c r="AC2241" s="215" t="n"/>
      <c r="AD2241" s="215" t="n"/>
      <c r="AE2241" s="215" t="n"/>
      <c r="AF2241" s="215" t="n"/>
      <c r="AG2241" s="215" t="n"/>
      <c r="AH2241" s="215" t="n"/>
      <c r="AI2241" s="215" t="n"/>
      <c r="AJ2241" s="215" t="n"/>
      <c r="AK2241" s="216" t="n"/>
    </row>
    <row r="2242" ht="15" customHeight="1">
      <c r="B2242" s="134" t="n"/>
      <c r="C2242" s="105" t="n"/>
      <c r="D2242" s="105" t="n"/>
      <c r="E2242" s="105" t="n"/>
      <c r="F2242" s="105" t="n"/>
      <c r="G2242" s="105" t="n"/>
      <c r="H2242" s="2" t="n"/>
      <c r="I2242" s="105" t="n"/>
      <c r="K2242" s="215" t="n"/>
      <c r="L2242" s="215" t="n"/>
      <c r="M2242" s="215" t="n"/>
      <c r="N2242" s="215" t="n"/>
      <c r="O2242" s="215" t="n"/>
      <c r="P2242" s="215" t="n"/>
      <c r="Q2242" s="215" t="n"/>
      <c r="R2242" s="215" t="n"/>
      <c r="S2242" s="215" t="n"/>
      <c r="T2242" s="215" t="n"/>
      <c r="U2242" s="215" t="n"/>
      <c r="V2242" s="215" t="n"/>
      <c r="W2242" s="215" t="n"/>
      <c r="X2242" s="215" t="n"/>
      <c r="Y2242" s="215" t="n"/>
      <c r="Z2242" s="215" t="n"/>
      <c r="AA2242" s="215" t="n"/>
      <c r="AB2242" s="215" t="n"/>
      <c r="AC2242" s="215" t="n"/>
      <c r="AD2242" s="215" t="n"/>
      <c r="AE2242" s="215" t="n"/>
      <c r="AF2242" s="215" t="n"/>
      <c r="AG2242" s="215" t="n"/>
      <c r="AH2242" s="215" t="n"/>
      <c r="AI2242" s="215" t="n"/>
      <c r="AJ2242" s="215" t="n"/>
      <c r="AK2242" s="216" t="n"/>
    </row>
    <row r="2243" ht="15" customHeight="1">
      <c r="B2243" s="134" t="n"/>
      <c r="C2243" s="105" t="n"/>
      <c r="D2243" s="105" t="n"/>
      <c r="E2243" s="105" t="n"/>
      <c r="F2243" s="105" t="n"/>
      <c r="G2243" s="105" t="n"/>
      <c r="H2243" s="2" t="n"/>
      <c r="I2243" s="105" t="n"/>
      <c r="K2243" s="215" t="n"/>
      <c r="L2243" s="215" t="n"/>
      <c r="M2243" s="215" t="n"/>
      <c r="N2243" s="215" t="n"/>
      <c r="O2243" s="215" t="n"/>
      <c r="P2243" s="215" t="n"/>
      <c r="Q2243" s="215" t="n"/>
      <c r="R2243" s="215" t="n"/>
      <c r="S2243" s="215" t="n"/>
      <c r="T2243" s="215" t="n"/>
      <c r="U2243" s="215" t="n"/>
      <c r="V2243" s="215" t="n"/>
      <c r="W2243" s="215" t="n"/>
      <c r="X2243" s="215" t="n"/>
      <c r="Y2243" s="215" t="n"/>
      <c r="Z2243" s="215" t="n"/>
      <c r="AA2243" s="215" t="n"/>
      <c r="AB2243" s="215" t="n"/>
      <c r="AC2243" s="215" t="n"/>
      <c r="AD2243" s="215" t="n"/>
      <c r="AE2243" s="215" t="n"/>
      <c r="AF2243" s="215" t="n"/>
      <c r="AG2243" s="215" t="n"/>
      <c r="AH2243" s="215" t="n"/>
      <c r="AI2243" s="215" t="n"/>
      <c r="AJ2243" s="215" t="n"/>
      <c r="AK2243" s="216" t="n"/>
    </row>
    <row r="2244" ht="15" customHeight="1">
      <c r="B2244" s="134" t="n"/>
      <c r="C2244" s="105" t="n"/>
      <c r="D2244" s="105" t="n"/>
      <c r="E2244" s="105" t="n"/>
      <c r="F2244" s="105" t="n"/>
      <c r="G2244" s="105" t="n"/>
      <c r="H2244" s="2" t="n"/>
      <c r="I2244" s="105" t="n"/>
      <c r="K2244" s="215" t="n"/>
      <c r="L2244" s="215" t="n"/>
      <c r="M2244" s="215" t="n"/>
      <c r="N2244" s="215" t="n"/>
      <c r="O2244" s="215" t="n"/>
      <c r="P2244" s="215" t="n"/>
      <c r="Q2244" s="215" t="n"/>
      <c r="R2244" s="215" t="n"/>
      <c r="S2244" s="215" t="n"/>
      <c r="T2244" s="215" t="n"/>
      <c r="U2244" s="215" t="n"/>
      <c r="V2244" s="215" t="n"/>
      <c r="W2244" s="215" t="n"/>
      <c r="X2244" s="215" t="n"/>
      <c r="Y2244" s="215" t="n"/>
      <c r="Z2244" s="215" t="n"/>
      <c r="AA2244" s="215" t="n"/>
      <c r="AB2244" s="215" t="n"/>
      <c r="AC2244" s="215" t="n"/>
      <c r="AD2244" s="215" t="n"/>
      <c r="AE2244" s="215" t="n"/>
      <c r="AF2244" s="215" t="n"/>
      <c r="AG2244" s="215" t="n"/>
      <c r="AH2244" s="215" t="n"/>
      <c r="AI2244" s="215" t="n"/>
      <c r="AJ2244" s="215" t="n"/>
      <c r="AK2244" s="216" t="n"/>
    </row>
    <row r="2245" ht="15" customHeight="1">
      <c r="B2245" s="134" t="n"/>
      <c r="C2245" s="105" t="n"/>
      <c r="D2245" s="105" t="n"/>
      <c r="E2245" s="105" t="n"/>
      <c r="F2245" s="105" t="n"/>
      <c r="G2245" s="105" t="n"/>
      <c r="H2245" s="2" t="n"/>
      <c r="I2245" s="105" t="n"/>
      <c r="K2245" s="215" t="n"/>
      <c r="L2245" s="215" t="n"/>
      <c r="M2245" s="215" t="n"/>
      <c r="N2245" s="215" t="n"/>
      <c r="O2245" s="215" t="n"/>
      <c r="P2245" s="215" t="n"/>
      <c r="Q2245" s="215" t="n"/>
      <c r="R2245" s="215" t="n"/>
      <c r="S2245" s="215" t="n"/>
      <c r="T2245" s="215" t="n"/>
      <c r="U2245" s="215" t="n"/>
      <c r="V2245" s="215" t="n"/>
      <c r="W2245" s="215" t="n"/>
      <c r="X2245" s="215" t="n"/>
      <c r="Y2245" s="215" t="n"/>
      <c r="Z2245" s="215" t="n"/>
      <c r="AA2245" s="215" t="n"/>
      <c r="AB2245" s="215" t="n"/>
      <c r="AC2245" s="215" t="n"/>
      <c r="AD2245" s="215" t="n"/>
      <c r="AE2245" s="215" t="n"/>
      <c r="AF2245" s="215" t="n"/>
      <c r="AG2245" s="215" t="n"/>
      <c r="AH2245" s="215" t="n"/>
      <c r="AI2245" s="215" t="n"/>
      <c r="AJ2245" s="215" t="n"/>
      <c r="AK2245" s="216" t="n"/>
    </row>
    <row r="2246" ht="15" customHeight="1">
      <c r="B2246" s="134" t="n"/>
      <c r="C2246" s="105" t="n"/>
      <c r="D2246" s="105" t="n"/>
      <c r="E2246" s="105" t="n"/>
      <c r="F2246" s="105" t="n"/>
      <c r="G2246" s="105" t="n"/>
      <c r="H2246" s="2" t="n"/>
      <c r="I2246" s="105" t="n"/>
      <c r="K2246" s="215" t="n"/>
      <c r="L2246" s="215" t="n"/>
      <c r="M2246" s="215" t="n"/>
      <c r="N2246" s="215" t="n"/>
      <c r="O2246" s="215" t="n"/>
      <c r="P2246" s="215" t="n"/>
      <c r="Q2246" s="215" t="n"/>
      <c r="R2246" s="215" t="n"/>
      <c r="S2246" s="215" t="n"/>
      <c r="T2246" s="215" t="n"/>
      <c r="U2246" s="215" t="n"/>
      <c r="V2246" s="215" t="n"/>
      <c r="W2246" s="215" t="n"/>
      <c r="X2246" s="215" t="n"/>
      <c r="Y2246" s="215" t="n"/>
      <c r="Z2246" s="215" t="n"/>
      <c r="AA2246" s="215" t="n"/>
      <c r="AB2246" s="215" t="n"/>
      <c r="AC2246" s="215" t="n"/>
      <c r="AD2246" s="215" t="n"/>
      <c r="AE2246" s="215" t="n"/>
      <c r="AF2246" s="215" t="n"/>
      <c r="AG2246" s="215" t="n"/>
      <c r="AH2246" s="215" t="n"/>
      <c r="AI2246" s="215" t="n"/>
      <c r="AJ2246" s="215" t="n"/>
      <c r="AK2246" s="216" t="n"/>
    </row>
    <row r="2247" ht="15" customHeight="1">
      <c r="B2247" s="134" t="n"/>
      <c r="C2247" s="105" t="n"/>
      <c r="D2247" s="105" t="n"/>
      <c r="E2247" s="105" t="n"/>
      <c r="F2247" s="105" t="n"/>
      <c r="G2247" s="105" t="n"/>
      <c r="H2247" s="2" t="n"/>
      <c r="I2247" s="105" t="n"/>
      <c r="K2247" s="215" t="n"/>
      <c r="L2247" s="215" t="n"/>
      <c r="M2247" s="215" t="n"/>
      <c r="N2247" s="215" t="n"/>
      <c r="O2247" s="215" t="n"/>
      <c r="P2247" s="215" t="n"/>
      <c r="Q2247" s="215" t="n"/>
      <c r="R2247" s="215" t="n"/>
      <c r="S2247" s="215" t="n"/>
      <c r="T2247" s="215" t="n"/>
      <c r="U2247" s="215" t="n"/>
      <c r="V2247" s="215" t="n"/>
      <c r="W2247" s="215" t="n"/>
      <c r="X2247" s="215" t="n"/>
      <c r="Y2247" s="215" t="n"/>
      <c r="Z2247" s="215" t="n"/>
      <c r="AA2247" s="215" t="n"/>
      <c r="AB2247" s="215" t="n"/>
      <c r="AC2247" s="215" t="n"/>
      <c r="AD2247" s="215" t="n"/>
      <c r="AE2247" s="215" t="n"/>
      <c r="AF2247" s="215" t="n"/>
      <c r="AG2247" s="215" t="n"/>
      <c r="AH2247" s="215" t="n"/>
      <c r="AI2247" s="215" t="n"/>
      <c r="AJ2247" s="215" t="n"/>
      <c r="AK2247" s="216" t="n"/>
    </row>
    <row r="2248" ht="15" customHeight="1">
      <c r="B2248" s="134" t="n"/>
      <c r="C2248" s="105" t="n"/>
      <c r="D2248" s="105" t="n"/>
      <c r="E2248" s="105" t="n"/>
      <c r="F2248" s="105" t="n"/>
      <c r="G2248" s="105" t="n"/>
      <c r="H2248" s="2" t="n"/>
      <c r="I2248" s="105" t="n"/>
      <c r="K2248" s="215" t="n"/>
      <c r="L2248" s="215" t="n"/>
      <c r="M2248" s="215" t="n"/>
      <c r="N2248" s="215" t="n"/>
      <c r="O2248" s="215" t="n"/>
      <c r="P2248" s="215" t="n"/>
      <c r="Q2248" s="215" t="n"/>
      <c r="R2248" s="215" t="n"/>
      <c r="S2248" s="215" t="n"/>
      <c r="T2248" s="215" t="n"/>
      <c r="U2248" s="215" t="n"/>
      <c r="V2248" s="215" t="n"/>
      <c r="W2248" s="215" t="n"/>
      <c r="X2248" s="215" t="n"/>
      <c r="Y2248" s="215" t="n"/>
      <c r="Z2248" s="215" t="n"/>
      <c r="AA2248" s="215" t="n"/>
      <c r="AB2248" s="215" t="n"/>
      <c r="AC2248" s="215" t="n"/>
      <c r="AD2248" s="215" t="n"/>
      <c r="AE2248" s="215" t="n"/>
      <c r="AF2248" s="215" t="n"/>
      <c r="AG2248" s="215" t="n"/>
      <c r="AH2248" s="215" t="n"/>
      <c r="AI2248" s="215" t="n"/>
      <c r="AJ2248" s="215" t="n"/>
      <c r="AK2248" s="216" t="n"/>
    </row>
    <row r="2249" ht="15" customHeight="1">
      <c r="B2249" s="134" t="n"/>
      <c r="C2249" s="105" t="n"/>
      <c r="D2249" s="105" t="n"/>
      <c r="E2249" s="105" t="n"/>
      <c r="F2249" s="105" t="n"/>
      <c r="G2249" s="105" t="n"/>
      <c r="H2249" s="2" t="n"/>
      <c r="I2249" s="105" t="n"/>
      <c r="K2249" s="215" t="n"/>
      <c r="L2249" s="215" t="n"/>
      <c r="M2249" s="215" t="n"/>
      <c r="N2249" s="215" t="n"/>
      <c r="O2249" s="215" t="n"/>
      <c r="P2249" s="215" t="n"/>
      <c r="Q2249" s="215" t="n"/>
      <c r="R2249" s="215" t="n"/>
      <c r="S2249" s="215" t="n"/>
      <c r="T2249" s="215" t="n"/>
      <c r="U2249" s="215" t="n"/>
      <c r="V2249" s="215" t="n"/>
      <c r="W2249" s="215" t="n"/>
      <c r="X2249" s="215" t="n"/>
      <c r="Y2249" s="215" t="n"/>
      <c r="Z2249" s="215" t="n"/>
      <c r="AA2249" s="215" t="n"/>
      <c r="AB2249" s="215" t="n"/>
      <c r="AC2249" s="215" t="n"/>
      <c r="AD2249" s="215" t="n"/>
      <c r="AE2249" s="215" t="n"/>
      <c r="AF2249" s="215" t="n"/>
      <c r="AG2249" s="215" t="n"/>
      <c r="AH2249" s="215" t="n"/>
      <c r="AI2249" s="215" t="n"/>
      <c r="AJ2249" s="215" t="n"/>
      <c r="AK2249" s="216" t="n"/>
    </row>
    <row r="2250" ht="15" customHeight="1">
      <c r="B2250" s="134" t="n"/>
      <c r="C2250" s="105" t="n"/>
      <c r="D2250" s="105" t="n"/>
      <c r="E2250" s="105" t="n"/>
      <c r="F2250" s="105" t="n"/>
      <c r="G2250" s="105" t="n"/>
      <c r="H2250" s="2" t="n"/>
      <c r="I2250" s="105" t="n"/>
      <c r="K2250" s="215" t="n"/>
      <c r="L2250" s="215" t="n"/>
      <c r="M2250" s="215" t="n"/>
      <c r="N2250" s="215" t="n"/>
      <c r="O2250" s="215" t="n"/>
      <c r="P2250" s="215" t="n"/>
      <c r="Q2250" s="215" t="n"/>
      <c r="R2250" s="215" t="n"/>
      <c r="S2250" s="215" t="n"/>
      <c r="T2250" s="215" t="n"/>
      <c r="U2250" s="215" t="n"/>
      <c r="V2250" s="215" t="n"/>
      <c r="W2250" s="215" t="n"/>
      <c r="X2250" s="215" t="n"/>
      <c r="Y2250" s="215" t="n"/>
      <c r="Z2250" s="215" t="n"/>
      <c r="AA2250" s="215" t="n"/>
      <c r="AB2250" s="215" t="n"/>
      <c r="AC2250" s="215" t="n"/>
      <c r="AD2250" s="215" t="n"/>
      <c r="AE2250" s="215" t="n"/>
      <c r="AF2250" s="215" t="n"/>
      <c r="AG2250" s="215" t="n"/>
      <c r="AH2250" s="215" t="n"/>
      <c r="AI2250" s="215" t="n"/>
      <c r="AJ2250" s="215" t="n"/>
      <c r="AK2250" s="216" t="n"/>
    </row>
    <row r="2251" ht="15" customHeight="1">
      <c r="B2251" s="134" t="n"/>
      <c r="C2251" s="105" t="n"/>
      <c r="D2251" s="105" t="n"/>
      <c r="E2251" s="105" t="n"/>
      <c r="F2251" s="105" t="n"/>
      <c r="G2251" s="105" t="n"/>
      <c r="H2251" s="2" t="n"/>
      <c r="I2251" s="105" t="n"/>
      <c r="K2251" s="215" t="n"/>
      <c r="L2251" s="215" t="n"/>
      <c r="M2251" s="215" t="n"/>
      <c r="N2251" s="215" t="n"/>
      <c r="O2251" s="215" t="n"/>
      <c r="P2251" s="215" t="n"/>
      <c r="Q2251" s="215" t="n"/>
      <c r="R2251" s="215" t="n"/>
      <c r="S2251" s="215" t="n"/>
      <c r="T2251" s="215" t="n"/>
      <c r="U2251" s="215" t="n"/>
      <c r="V2251" s="215" t="n"/>
      <c r="W2251" s="215" t="n"/>
      <c r="X2251" s="215" t="n"/>
      <c r="Y2251" s="215" t="n"/>
      <c r="Z2251" s="215" t="n"/>
      <c r="AA2251" s="215" t="n"/>
      <c r="AB2251" s="215" t="n"/>
      <c r="AC2251" s="215" t="n"/>
      <c r="AD2251" s="215" t="n"/>
      <c r="AE2251" s="215" t="n"/>
      <c r="AF2251" s="215" t="n"/>
      <c r="AG2251" s="215" t="n"/>
      <c r="AH2251" s="215" t="n"/>
      <c r="AI2251" s="215" t="n"/>
      <c r="AJ2251" s="215" t="n"/>
      <c r="AK2251" s="216" t="n"/>
    </row>
    <row r="2252" ht="15" customHeight="1">
      <c r="B2252" s="134" t="n"/>
      <c r="C2252" s="105" t="n"/>
      <c r="D2252" s="105" t="n"/>
      <c r="E2252" s="105" t="n"/>
      <c r="F2252" s="105" t="n"/>
      <c r="G2252" s="105" t="n"/>
      <c r="H2252" s="2" t="n"/>
      <c r="I2252" s="105" t="n"/>
      <c r="K2252" s="215" t="n"/>
      <c r="L2252" s="215" t="n"/>
      <c r="M2252" s="215" t="n"/>
      <c r="N2252" s="215" t="n"/>
      <c r="O2252" s="215" t="n"/>
      <c r="P2252" s="215" t="n"/>
      <c r="Q2252" s="215" t="n"/>
      <c r="R2252" s="215" t="n"/>
      <c r="S2252" s="215" t="n"/>
      <c r="T2252" s="215" t="n"/>
      <c r="U2252" s="215" t="n"/>
      <c r="V2252" s="215" t="n"/>
      <c r="W2252" s="215" t="n"/>
      <c r="X2252" s="215" t="n"/>
      <c r="Y2252" s="215" t="n"/>
      <c r="Z2252" s="215" t="n"/>
      <c r="AA2252" s="215" t="n"/>
      <c r="AB2252" s="215" t="n"/>
      <c r="AC2252" s="215" t="n"/>
      <c r="AD2252" s="215" t="n"/>
      <c r="AE2252" s="215" t="n"/>
      <c r="AF2252" s="215" t="n"/>
      <c r="AG2252" s="215" t="n"/>
      <c r="AH2252" s="215" t="n"/>
      <c r="AI2252" s="215" t="n"/>
      <c r="AJ2252" s="215" t="n"/>
      <c r="AK2252" s="216" t="n"/>
    </row>
    <row r="2253" ht="15" customHeight="1">
      <c r="B2253" s="134" t="n"/>
      <c r="C2253" s="105" t="n"/>
      <c r="D2253" s="105" t="n"/>
      <c r="E2253" s="105" t="n"/>
      <c r="F2253" s="105" t="n"/>
      <c r="G2253" s="105" t="n"/>
      <c r="H2253" s="2" t="n"/>
      <c r="I2253" s="105" t="n"/>
      <c r="K2253" s="215" t="n"/>
      <c r="L2253" s="215" t="n"/>
      <c r="M2253" s="215" t="n"/>
      <c r="N2253" s="215" t="n"/>
      <c r="O2253" s="215" t="n"/>
      <c r="P2253" s="215" t="n"/>
      <c r="Q2253" s="215" t="n"/>
      <c r="R2253" s="215" t="n"/>
      <c r="S2253" s="215" t="n"/>
      <c r="T2253" s="215" t="n"/>
      <c r="U2253" s="215" t="n"/>
      <c r="V2253" s="215" t="n"/>
      <c r="W2253" s="215" t="n"/>
      <c r="X2253" s="215" t="n"/>
      <c r="Y2253" s="215" t="n"/>
      <c r="Z2253" s="215" t="n"/>
      <c r="AA2253" s="215" t="n"/>
      <c r="AB2253" s="215" t="n"/>
      <c r="AC2253" s="215" t="n"/>
      <c r="AD2253" s="215" t="n"/>
      <c r="AE2253" s="215" t="n"/>
      <c r="AF2253" s="215" t="n"/>
      <c r="AG2253" s="215" t="n"/>
      <c r="AH2253" s="215" t="n"/>
      <c r="AI2253" s="215" t="n"/>
      <c r="AJ2253" s="215" t="n"/>
      <c r="AK2253" s="216" t="n"/>
    </row>
    <row r="2254" ht="15" customHeight="1">
      <c r="B2254" s="134" t="n"/>
      <c r="C2254" s="105" t="n"/>
      <c r="D2254" s="105" t="n"/>
      <c r="E2254" s="105" t="n"/>
      <c r="F2254" s="105" t="n"/>
      <c r="G2254" s="105" t="n"/>
      <c r="H2254" s="2" t="n"/>
      <c r="I2254" s="105" t="n"/>
      <c r="K2254" s="215" t="n"/>
      <c r="L2254" s="215" t="n"/>
      <c r="M2254" s="215" t="n"/>
      <c r="N2254" s="215" t="n"/>
      <c r="O2254" s="215" t="n"/>
      <c r="P2254" s="215" t="n"/>
      <c r="Q2254" s="215" t="n"/>
      <c r="R2254" s="215" t="n"/>
      <c r="S2254" s="215" t="n"/>
      <c r="T2254" s="215" t="n"/>
      <c r="U2254" s="215" t="n"/>
      <c r="V2254" s="215" t="n"/>
      <c r="W2254" s="215" t="n"/>
      <c r="X2254" s="215" t="n"/>
      <c r="Y2254" s="215" t="n"/>
      <c r="Z2254" s="215" t="n"/>
      <c r="AA2254" s="215" t="n"/>
      <c r="AB2254" s="215" t="n"/>
      <c r="AC2254" s="215" t="n"/>
      <c r="AD2254" s="215" t="n"/>
      <c r="AE2254" s="215" t="n"/>
      <c r="AF2254" s="215" t="n"/>
      <c r="AG2254" s="215" t="n"/>
      <c r="AH2254" s="215" t="n"/>
      <c r="AI2254" s="215" t="n"/>
      <c r="AJ2254" s="215" t="n"/>
      <c r="AK2254" s="216" t="n"/>
    </row>
    <row r="2255" ht="15" customHeight="1">
      <c r="B2255" s="134" t="n"/>
      <c r="C2255" s="105" t="n"/>
      <c r="D2255" s="105" t="n"/>
      <c r="E2255" s="105" t="n"/>
      <c r="F2255" s="105" t="n"/>
      <c r="G2255" s="105" t="n"/>
      <c r="H2255" s="2" t="n"/>
      <c r="I2255" s="105" t="n"/>
      <c r="K2255" s="215" t="n"/>
      <c r="L2255" s="215" t="n"/>
      <c r="M2255" s="215" t="n"/>
      <c r="N2255" s="215" t="n"/>
      <c r="O2255" s="215" t="n"/>
      <c r="P2255" s="215" t="n"/>
      <c r="Q2255" s="215" t="n"/>
      <c r="R2255" s="215" t="n"/>
      <c r="S2255" s="215" t="n"/>
      <c r="T2255" s="215" t="n"/>
      <c r="U2255" s="215" t="n"/>
      <c r="V2255" s="215" t="n"/>
      <c r="W2255" s="215" t="n"/>
      <c r="X2255" s="215" t="n"/>
      <c r="Y2255" s="215" t="n"/>
      <c r="Z2255" s="215" t="n"/>
      <c r="AA2255" s="215" t="n"/>
      <c r="AB2255" s="215" t="n"/>
      <c r="AC2255" s="215" t="n"/>
      <c r="AD2255" s="215" t="n"/>
      <c r="AE2255" s="215" t="n"/>
      <c r="AF2255" s="215" t="n"/>
      <c r="AG2255" s="215" t="n"/>
      <c r="AH2255" s="215" t="n"/>
      <c r="AI2255" s="215" t="n"/>
      <c r="AJ2255" s="215" t="n"/>
      <c r="AK2255" s="216" t="n"/>
    </row>
    <row r="2256" ht="15" customHeight="1">
      <c r="B2256" s="134" t="n"/>
      <c r="C2256" s="105" t="n"/>
      <c r="D2256" s="105" t="n"/>
      <c r="E2256" s="105" t="n"/>
      <c r="F2256" s="105" t="n"/>
      <c r="G2256" s="105" t="n"/>
      <c r="H2256" s="2" t="n"/>
      <c r="I2256" s="105" t="n"/>
      <c r="K2256" s="215" t="n"/>
      <c r="L2256" s="215" t="n"/>
      <c r="M2256" s="215" t="n"/>
      <c r="N2256" s="215" t="n"/>
      <c r="O2256" s="215" t="n"/>
      <c r="P2256" s="215" t="n"/>
      <c r="Q2256" s="215" t="n"/>
      <c r="R2256" s="215" t="n"/>
      <c r="S2256" s="215" t="n"/>
      <c r="T2256" s="215" t="n"/>
      <c r="U2256" s="215" t="n"/>
      <c r="V2256" s="215" t="n"/>
      <c r="W2256" s="215" t="n"/>
      <c r="X2256" s="215" t="n"/>
      <c r="Y2256" s="215" t="n"/>
      <c r="Z2256" s="215" t="n"/>
      <c r="AA2256" s="215" t="n"/>
      <c r="AB2256" s="215" t="n"/>
      <c r="AC2256" s="215" t="n"/>
      <c r="AD2256" s="215" t="n"/>
      <c r="AE2256" s="215" t="n"/>
      <c r="AF2256" s="215" t="n"/>
      <c r="AG2256" s="215" t="n"/>
      <c r="AH2256" s="215" t="n"/>
      <c r="AI2256" s="215" t="n"/>
      <c r="AJ2256" s="215" t="n"/>
      <c r="AK2256" s="216" t="n"/>
    </row>
    <row r="2257" ht="15" customHeight="1">
      <c r="B2257" s="134" t="n"/>
      <c r="C2257" s="105" t="n"/>
      <c r="D2257" s="105" t="n"/>
      <c r="E2257" s="105" t="n"/>
      <c r="F2257" s="105" t="n"/>
      <c r="G2257" s="105" t="n"/>
      <c r="H2257" s="2" t="n"/>
      <c r="I2257" s="105" t="n"/>
      <c r="K2257" s="215" t="n"/>
      <c r="L2257" s="215" t="n"/>
      <c r="M2257" s="215" t="n"/>
      <c r="N2257" s="215" t="n"/>
      <c r="O2257" s="215" t="n"/>
      <c r="P2257" s="215" t="n"/>
      <c r="Q2257" s="215" t="n"/>
      <c r="R2257" s="215" t="n"/>
      <c r="S2257" s="215" t="n"/>
      <c r="T2257" s="215" t="n"/>
      <c r="U2257" s="215" t="n"/>
      <c r="V2257" s="215" t="n"/>
      <c r="W2257" s="215" t="n"/>
      <c r="X2257" s="215" t="n"/>
      <c r="Y2257" s="215" t="n"/>
      <c r="Z2257" s="215" t="n"/>
      <c r="AA2257" s="215" t="n"/>
      <c r="AB2257" s="215" t="n"/>
      <c r="AC2257" s="215" t="n"/>
      <c r="AD2257" s="215" t="n"/>
      <c r="AE2257" s="215" t="n"/>
      <c r="AF2257" s="215" t="n"/>
      <c r="AG2257" s="215" t="n"/>
      <c r="AH2257" s="215" t="n"/>
      <c r="AI2257" s="215" t="n"/>
      <c r="AJ2257" s="215" t="n"/>
      <c r="AK2257" s="216" t="n"/>
    </row>
    <row r="2258" ht="15" customHeight="1">
      <c r="B2258" s="134" t="n"/>
      <c r="C2258" s="105" t="n"/>
      <c r="D2258" s="105" t="n"/>
      <c r="E2258" s="105" t="n"/>
      <c r="F2258" s="105" t="n"/>
      <c r="G2258" s="105" t="n"/>
      <c r="H2258" s="2" t="n"/>
      <c r="I2258" s="105" t="n"/>
      <c r="K2258" s="215" t="n"/>
      <c r="L2258" s="215" t="n"/>
      <c r="M2258" s="215" t="n"/>
      <c r="N2258" s="215" t="n"/>
      <c r="O2258" s="215" t="n"/>
      <c r="P2258" s="215" t="n"/>
      <c r="Q2258" s="215" t="n"/>
      <c r="R2258" s="215" t="n"/>
      <c r="S2258" s="215" t="n"/>
      <c r="T2258" s="215" t="n"/>
      <c r="U2258" s="215" t="n"/>
      <c r="V2258" s="215" t="n"/>
      <c r="W2258" s="215" t="n"/>
      <c r="X2258" s="215" t="n"/>
      <c r="Y2258" s="215" t="n"/>
      <c r="Z2258" s="215" t="n"/>
      <c r="AA2258" s="215" t="n"/>
      <c r="AB2258" s="215" t="n"/>
      <c r="AC2258" s="215" t="n"/>
      <c r="AD2258" s="215" t="n"/>
      <c r="AE2258" s="215" t="n"/>
      <c r="AF2258" s="215" t="n"/>
      <c r="AG2258" s="215" t="n"/>
      <c r="AH2258" s="215" t="n"/>
      <c r="AI2258" s="215" t="n"/>
      <c r="AJ2258" s="215" t="n"/>
      <c r="AK2258" s="216" t="n"/>
    </row>
    <row r="2259" ht="15" customHeight="1">
      <c r="B2259" s="134" t="n"/>
      <c r="C2259" s="105" t="n"/>
      <c r="D2259" s="105" t="n"/>
      <c r="E2259" s="105" t="n"/>
      <c r="F2259" s="105" t="n"/>
      <c r="G2259" s="105" t="n"/>
      <c r="H2259" s="2" t="n"/>
      <c r="I2259" s="105" t="n"/>
      <c r="K2259" s="215" t="n"/>
      <c r="L2259" s="215" t="n"/>
      <c r="M2259" s="215" t="n"/>
      <c r="N2259" s="215" t="n"/>
      <c r="O2259" s="215" t="n"/>
      <c r="P2259" s="215" t="n"/>
      <c r="Q2259" s="215" t="n"/>
      <c r="R2259" s="215" t="n"/>
      <c r="S2259" s="215" t="n"/>
      <c r="T2259" s="215" t="n"/>
      <c r="U2259" s="215" t="n"/>
      <c r="V2259" s="215" t="n"/>
      <c r="W2259" s="215" t="n"/>
      <c r="X2259" s="215" t="n"/>
      <c r="Y2259" s="215" t="n"/>
      <c r="Z2259" s="215" t="n"/>
      <c r="AA2259" s="215" t="n"/>
      <c r="AB2259" s="215" t="n"/>
      <c r="AC2259" s="215" t="n"/>
      <c r="AD2259" s="215" t="n"/>
      <c r="AE2259" s="215" t="n"/>
      <c r="AF2259" s="215" t="n"/>
      <c r="AG2259" s="215" t="n"/>
      <c r="AH2259" s="215" t="n"/>
      <c r="AI2259" s="215" t="n"/>
      <c r="AJ2259" s="215" t="n"/>
      <c r="AK2259" s="216" t="n"/>
    </row>
    <row r="2260" ht="15" customHeight="1">
      <c r="B2260" s="134" t="n"/>
      <c r="C2260" s="105" t="n"/>
      <c r="D2260" s="105" t="n"/>
      <c r="E2260" s="105" t="n"/>
      <c r="F2260" s="105" t="n"/>
      <c r="G2260" s="105" t="n"/>
      <c r="H2260" s="2" t="n"/>
      <c r="I2260" s="105" t="n"/>
      <c r="K2260" s="215" t="n"/>
      <c r="L2260" s="215" t="n"/>
      <c r="M2260" s="215" t="n"/>
      <c r="N2260" s="215" t="n"/>
      <c r="O2260" s="215" t="n"/>
      <c r="P2260" s="215" t="n"/>
      <c r="Q2260" s="215" t="n"/>
      <c r="R2260" s="215" t="n"/>
      <c r="S2260" s="215" t="n"/>
      <c r="T2260" s="215" t="n"/>
      <c r="U2260" s="215" t="n"/>
      <c r="V2260" s="215" t="n"/>
      <c r="W2260" s="215" t="n"/>
      <c r="X2260" s="215" t="n"/>
      <c r="Y2260" s="215" t="n"/>
      <c r="Z2260" s="215" t="n"/>
      <c r="AA2260" s="215" t="n"/>
      <c r="AB2260" s="215" t="n"/>
      <c r="AC2260" s="215" t="n"/>
      <c r="AD2260" s="215" t="n"/>
      <c r="AE2260" s="215" t="n"/>
      <c r="AF2260" s="215" t="n"/>
      <c r="AG2260" s="215" t="n"/>
      <c r="AH2260" s="215" t="n"/>
      <c r="AI2260" s="215" t="n"/>
      <c r="AJ2260" s="215" t="n"/>
      <c r="AK2260" s="216" t="n"/>
    </row>
    <row r="2261" ht="15" customHeight="1">
      <c r="B2261" s="134" t="n"/>
      <c r="C2261" s="105" t="n"/>
      <c r="D2261" s="105" t="n"/>
      <c r="E2261" s="105" t="n"/>
      <c r="F2261" s="105" t="n"/>
      <c r="G2261" s="105" t="n"/>
      <c r="H2261" s="2" t="n"/>
      <c r="I2261" s="105" t="n"/>
      <c r="K2261" s="215" t="n"/>
      <c r="L2261" s="215" t="n"/>
      <c r="M2261" s="215" t="n"/>
      <c r="N2261" s="215" t="n"/>
      <c r="O2261" s="215" t="n"/>
      <c r="P2261" s="215" t="n"/>
      <c r="Q2261" s="215" t="n"/>
      <c r="R2261" s="215" t="n"/>
      <c r="S2261" s="215" t="n"/>
      <c r="T2261" s="215" t="n"/>
      <c r="U2261" s="215" t="n"/>
      <c r="V2261" s="215" t="n"/>
      <c r="W2261" s="215" t="n"/>
      <c r="X2261" s="215" t="n"/>
      <c r="Y2261" s="215" t="n"/>
      <c r="Z2261" s="215" t="n"/>
      <c r="AA2261" s="215" t="n"/>
      <c r="AB2261" s="215" t="n"/>
      <c r="AC2261" s="215" t="n"/>
      <c r="AD2261" s="215" t="n"/>
      <c r="AE2261" s="215" t="n"/>
      <c r="AF2261" s="215" t="n"/>
      <c r="AG2261" s="215" t="n"/>
      <c r="AH2261" s="215" t="n"/>
      <c r="AI2261" s="215" t="n"/>
      <c r="AJ2261" s="215" t="n"/>
      <c r="AK2261" s="216" t="n"/>
    </row>
    <row r="2262" ht="15" customHeight="1">
      <c r="B2262" s="134" t="n"/>
      <c r="C2262" s="105" t="n"/>
      <c r="D2262" s="105" t="n"/>
      <c r="E2262" s="105" t="n"/>
      <c r="F2262" s="105" t="n"/>
      <c r="G2262" s="105" t="n"/>
      <c r="H2262" s="2" t="n"/>
      <c r="I2262" s="105" t="n"/>
      <c r="K2262" s="215" t="n"/>
      <c r="L2262" s="215" t="n"/>
      <c r="M2262" s="215" t="n"/>
      <c r="N2262" s="215" t="n"/>
      <c r="O2262" s="215" t="n"/>
      <c r="P2262" s="215" t="n"/>
      <c r="Q2262" s="215" t="n"/>
      <c r="R2262" s="215" t="n"/>
      <c r="S2262" s="215" t="n"/>
      <c r="T2262" s="215" t="n"/>
      <c r="U2262" s="215" t="n"/>
      <c r="V2262" s="215" t="n"/>
      <c r="W2262" s="215" t="n"/>
      <c r="X2262" s="215" t="n"/>
      <c r="Y2262" s="215" t="n"/>
      <c r="Z2262" s="215" t="n"/>
      <c r="AA2262" s="215" t="n"/>
      <c r="AB2262" s="215" t="n"/>
      <c r="AC2262" s="215" t="n"/>
      <c r="AD2262" s="215" t="n"/>
      <c r="AE2262" s="215" t="n"/>
      <c r="AF2262" s="215" t="n"/>
      <c r="AG2262" s="215" t="n"/>
      <c r="AH2262" s="215" t="n"/>
      <c r="AI2262" s="215" t="n"/>
      <c r="AJ2262" s="215" t="n"/>
      <c r="AK2262" s="216" t="n"/>
    </row>
    <row r="2263" ht="15" customHeight="1">
      <c r="B2263" s="134" t="n"/>
      <c r="C2263" s="105" t="n"/>
      <c r="D2263" s="105" t="n"/>
      <c r="E2263" s="105" t="n"/>
      <c r="F2263" s="105" t="n"/>
      <c r="G2263" s="105" t="n"/>
      <c r="H2263" s="2" t="n"/>
      <c r="I2263" s="105" t="n"/>
      <c r="K2263" s="215" t="n"/>
      <c r="L2263" s="215" t="n"/>
      <c r="M2263" s="215" t="n"/>
      <c r="N2263" s="215" t="n"/>
      <c r="O2263" s="215" t="n"/>
      <c r="P2263" s="215" t="n"/>
      <c r="Q2263" s="215" t="n"/>
      <c r="R2263" s="215" t="n"/>
      <c r="S2263" s="215" t="n"/>
      <c r="T2263" s="215" t="n"/>
      <c r="U2263" s="215" t="n"/>
      <c r="V2263" s="215" t="n"/>
      <c r="W2263" s="215" t="n"/>
      <c r="X2263" s="215" t="n"/>
      <c r="Y2263" s="215" t="n"/>
      <c r="Z2263" s="215" t="n"/>
      <c r="AA2263" s="215" t="n"/>
      <c r="AB2263" s="215" t="n"/>
      <c r="AC2263" s="215" t="n"/>
      <c r="AD2263" s="215" t="n"/>
      <c r="AE2263" s="215" t="n"/>
      <c r="AF2263" s="215" t="n"/>
      <c r="AG2263" s="215" t="n"/>
      <c r="AH2263" s="215" t="n"/>
      <c r="AI2263" s="215" t="n"/>
      <c r="AJ2263" s="215" t="n"/>
      <c r="AK2263" s="216" t="n"/>
    </row>
    <row r="2264" ht="15" customHeight="1">
      <c r="B2264" s="134" t="n"/>
      <c r="C2264" s="105" t="n"/>
      <c r="D2264" s="105" t="n"/>
      <c r="E2264" s="105" t="n"/>
      <c r="F2264" s="105" t="n"/>
      <c r="G2264" s="105" t="n"/>
      <c r="H2264" s="2" t="n"/>
      <c r="I2264" s="105" t="n"/>
      <c r="K2264" s="215" t="n"/>
      <c r="L2264" s="215" t="n"/>
      <c r="M2264" s="215" t="n"/>
      <c r="N2264" s="215" t="n"/>
      <c r="O2264" s="215" t="n"/>
      <c r="P2264" s="215" t="n"/>
      <c r="Q2264" s="215" t="n"/>
      <c r="R2264" s="215" t="n"/>
      <c r="S2264" s="215" t="n"/>
      <c r="T2264" s="215" t="n"/>
      <c r="U2264" s="215" t="n"/>
      <c r="V2264" s="215" t="n"/>
      <c r="W2264" s="215" t="n"/>
      <c r="X2264" s="215" t="n"/>
      <c r="Y2264" s="215" t="n"/>
      <c r="Z2264" s="215" t="n"/>
      <c r="AA2264" s="215" t="n"/>
      <c r="AB2264" s="215" t="n"/>
      <c r="AC2264" s="215" t="n"/>
      <c r="AD2264" s="215" t="n"/>
      <c r="AE2264" s="215" t="n"/>
      <c r="AF2264" s="215" t="n"/>
      <c r="AG2264" s="215" t="n"/>
      <c r="AH2264" s="215" t="n"/>
      <c r="AI2264" s="215" t="n"/>
      <c r="AJ2264" s="215" t="n"/>
      <c r="AK2264" s="216" t="n"/>
    </row>
    <row r="2265" ht="15" customHeight="1">
      <c r="B2265" s="134" t="n"/>
      <c r="C2265" s="105" t="n"/>
      <c r="D2265" s="105" t="n"/>
      <c r="E2265" s="105" t="n"/>
      <c r="F2265" s="105" t="n"/>
      <c r="G2265" s="105" t="n"/>
      <c r="H2265" s="2" t="n"/>
      <c r="I2265" s="105" t="n"/>
      <c r="K2265" s="215" t="n"/>
      <c r="L2265" s="215" t="n"/>
      <c r="M2265" s="215" t="n"/>
      <c r="N2265" s="215" t="n"/>
      <c r="O2265" s="215" t="n"/>
      <c r="P2265" s="215" t="n"/>
      <c r="Q2265" s="215" t="n"/>
      <c r="R2265" s="215" t="n"/>
      <c r="S2265" s="215" t="n"/>
      <c r="T2265" s="215" t="n"/>
      <c r="U2265" s="215" t="n"/>
      <c r="V2265" s="215" t="n"/>
      <c r="W2265" s="215" t="n"/>
      <c r="X2265" s="215" t="n"/>
      <c r="Y2265" s="215" t="n"/>
      <c r="Z2265" s="215" t="n"/>
      <c r="AA2265" s="215" t="n"/>
      <c r="AB2265" s="215" t="n"/>
      <c r="AC2265" s="215" t="n"/>
      <c r="AD2265" s="215" t="n"/>
      <c r="AE2265" s="215" t="n"/>
      <c r="AF2265" s="215" t="n"/>
      <c r="AG2265" s="215" t="n"/>
      <c r="AH2265" s="215" t="n"/>
      <c r="AI2265" s="215" t="n"/>
      <c r="AJ2265" s="215" t="n"/>
      <c r="AK2265" s="216" t="n"/>
    </row>
    <row r="2266" ht="15" customHeight="1">
      <c r="B2266" s="134" t="n"/>
      <c r="C2266" s="105" t="n"/>
      <c r="D2266" s="105" t="n"/>
      <c r="E2266" s="105" t="n"/>
      <c r="F2266" s="105" t="n"/>
      <c r="G2266" s="105" t="n"/>
      <c r="H2266" s="2" t="n"/>
      <c r="I2266" s="105" t="n"/>
      <c r="K2266" s="215" t="n"/>
      <c r="L2266" s="215" t="n"/>
      <c r="M2266" s="215" t="n"/>
      <c r="N2266" s="215" t="n"/>
      <c r="O2266" s="215" t="n"/>
      <c r="P2266" s="215" t="n"/>
      <c r="Q2266" s="215" t="n"/>
      <c r="R2266" s="215" t="n"/>
      <c r="S2266" s="215" t="n"/>
      <c r="T2266" s="215" t="n"/>
      <c r="U2266" s="215" t="n"/>
      <c r="V2266" s="215" t="n"/>
      <c r="W2266" s="215" t="n"/>
      <c r="X2266" s="215" t="n"/>
      <c r="Y2266" s="215" t="n"/>
      <c r="Z2266" s="215" t="n"/>
      <c r="AA2266" s="215" t="n"/>
      <c r="AB2266" s="215" t="n"/>
      <c r="AC2266" s="215" t="n"/>
      <c r="AD2266" s="215" t="n"/>
      <c r="AE2266" s="215" t="n"/>
      <c r="AF2266" s="215" t="n"/>
      <c r="AG2266" s="215" t="n"/>
      <c r="AH2266" s="215" t="n"/>
      <c r="AI2266" s="215" t="n"/>
      <c r="AJ2266" s="215" t="n"/>
      <c r="AK2266" s="216" t="n"/>
    </row>
    <row r="2267" ht="15" customHeight="1">
      <c r="B2267" s="134" t="n"/>
      <c r="C2267" s="105" t="n"/>
      <c r="D2267" s="105" t="n"/>
      <c r="E2267" s="105" t="n"/>
      <c r="F2267" s="105" t="n"/>
      <c r="G2267" s="105" t="n"/>
      <c r="H2267" s="2" t="n"/>
      <c r="I2267" s="105" t="n"/>
      <c r="K2267" s="215" t="n"/>
      <c r="L2267" s="215" t="n"/>
      <c r="M2267" s="215" t="n"/>
      <c r="N2267" s="215" t="n"/>
      <c r="O2267" s="215" t="n"/>
      <c r="P2267" s="215" t="n"/>
      <c r="Q2267" s="215" t="n"/>
      <c r="R2267" s="215" t="n"/>
      <c r="S2267" s="215" t="n"/>
      <c r="T2267" s="215" t="n"/>
      <c r="U2267" s="215" t="n"/>
      <c r="V2267" s="215" t="n"/>
      <c r="W2267" s="215" t="n"/>
      <c r="X2267" s="215" t="n"/>
      <c r="Y2267" s="215" t="n"/>
      <c r="Z2267" s="215" t="n"/>
      <c r="AA2267" s="215" t="n"/>
      <c r="AB2267" s="215" t="n"/>
      <c r="AC2267" s="215" t="n"/>
      <c r="AD2267" s="215" t="n"/>
      <c r="AE2267" s="215" t="n"/>
      <c r="AF2267" s="215" t="n"/>
      <c r="AG2267" s="215" t="n"/>
      <c r="AH2267" s="215" t="n"/>
      <c r="AI2267" s="215" t="n"/>
      <c r="AJ2267" s="215" t="n"/>
      <c r="AK2267" s="216" t="n"/>
    </row>
    <row r="2268" ht="15" customHeight="1">
      <c r="B2268" s="134" t="n"/>
      <c r="C2268" s="105" t="n"/>
      <c r="D2268" s="105" t="n"/>
      <c r="E2268" s="105" t="n"/>
      <c r="F2268" s="105" t="n"/>
      <c r="G2268" s="105" t="n"/>
      <c r="H2268" s="2" t="n"/>
      <c r="I2268" s="105" t="n"/>
      <c r="K2268" s="215" t="n"/>
      <c r="L2268" s="215" t="n"/>
      <c r="M2268" s="215" t="n"/>
      <c r="N2268" s="215" t="n"/>
      <c r="O2268" s="215" t="n"/>
      <c r="P2268" s="215" t="n"/>
      <c r="Q2268" s="215" t="n"/>
      <c r="R2268" s="215" t="n"/>
      <c r="S2268" s="215" t="n"/>
      <c r="T2268" s="215" t="n"/>
      <c r="U2268" s="215" t="n"/>
      <c r="V2268" s="215" t="n"/>
      <c r="W2268" s="215" t="n"/>
      <c r="X2268" s="215" t="n"/>
      <c r="Y2268" s="215" t="n"/>
      <c r="Z2268" s="215" t="n"/>
      <c r="AA2268" s="215" t="n"/>
      <c r="AB2268" s="215" t="n"/>
      <c r="AC2268" s="215" t="n"/>
      <c r="AD2268" s="215" t="n"/>
      <c r="AE2268" s="215" t="n"/>
      <c r="AF2268" s="215" t="n"/>
      <c r="AG2268" s="215" t="n"/>
      <c r="AH2268" s="215" t="n"/>
      <c r="AI2268" s="215" t="n"/>
      <c r="AJ2268" s="215" t="n"/>
      <c r="AK2268" s="216" t="n"/>
    </row>
    <row r="2269" ht="15" customHeight="1">
      <c r="B2269" s="134" t="n"/>
      <c r="C2269" s="105" t="n"/>
      <c r="D2269" s="105" t="n"/>
      <c r="E2269" s="105" t="n"/>
      <c r="F2269" s="105" t="n"/>
      <c r="G2269" s="105" t="n"/>
      <c r="H2269" s="2" t="n"/>
      <c r="I2269" s="105" t="n"/>
      <c r="K2269" s="215" t="n"/>
      <c r="L2269" s="215" t="n"/>
      <c r="M2269" s="215" t="n"/>
      <c r="N2269" s="215" t="n"/>
      <c r="O2269" s="215" t="n"/>
      <c r="P2269" s="215" t="n"/>
      <c r="Q2269" s="215" t="n"/>
      <c r="R2269" s="215" t="n"/>
      <c r="S2269" s="215" t="n"/>
      <c r="T2269" s="215" t="n"/>
      <c r="U2269" s="215" t="n"/>
      <c r="V2269" s="215" t="n"/>
      <c r="W2269" s="215" t="n"/>
      <c r="X2269" s="215" t="n"/>
      <c r="Y2269" s="215" t="n"/>
      <c r="Z2269" s="215" t="n"/>
      <c r="AA2269" s="215" t="n"/>
      <c r="AB2269" s="215" t="n"/>
      <c r="AC2269" s="215" t="n"/>
      <c r="AD2269" s="215" t="n"/>
      <c r="AE2269" s="215" t="n"/>
      <c r="AF2269" s="215" t="n"/>
      <c r="AG2269" s="215" t="n"/>
      <c r="AH2269" s="215" t="n"/>
      <c r="AI2269" s="215" t="n"/>
      <c r="AJ2269" s="215" t="n"/>
      <c r="AK2269" s="216" t="n"/>
    </row>
    <row r="2270" ht="15" customHeight="1">
      <c r="B2270" s="134" t="n"/>
      <c r="C2270" s="105" t="n"/>
      <c r="D2270" s="105" t="n"/>
      <c r="E2270" s="105" t="n"/>
      <c r="F2270" s="105" t="n"/>
      <c r="G2270" s="105" t="n"/>
      <c r="H2270" s="2" t="n"/>
      <c r="I2270" s="105" t="n"/>
      <c r="K2270" s="215" t="n"/>
      <c r="L2270" s="215" t="n"/>
      <c r="M2270" s="215" t="n"/>
      <c r="N2270" s="215" t="n"/>
      <c r="O2270" s="215" t="n"/>
      <c r="P2270" s="215" t="n"/>
      <c r="Q2270" s="215" t="n"/>
      <c r="R2270" s="215" t="n"/>
      <c r="S2270" s="215" t="n"/>
      <c r="T2270" s="215" t="n"/>
      <c r="U2270" s="215" t="n"/>
      <c r="V2270" s="215" t="n"/>
      <c r="W2270" s="215" t="n"/>
      <c r="X2270" s="215" t="n"/>
      <c r="Y2270" s="215" t="n"/>
      <c r="Z2270" s="215" t="n"/>
      <c r="AA2270" s="215" t="n"/>
      <c r="AB2270" s="215" t="n"/>
      <c r="AC2270" s="215" t="n"/>
      <c r="AD2270" s="215" t="n"/>
      <c r="AE2270" s="215" t="n"/>
      <c r="AF2270" s="215" t="n"/>
      <c r="AG2270" s="215" t="n"/>
      <c r="AH2270" s="215" t="n"/>
      <c r="AI2270" s="215" t="n"/>
      <c r="AJ2270" s="215" t="n"/>
      <c r="AK2270" s="216" t="n"/>
    </row>
    <row r="2271" ht="15" customHeight="1">
      <c r="B2271" s="134" t="n"/>
      <c r="C2271" s="105" t="n"/>
      <c r="D2271" s="105" t="n"/>
      <c r="E2271" s="105" t="n"/>
      <c r="F2271" s="105" t="n"/>
      <c r="G2271" s="105" t="n"/>
      <c r="H2271" s="2" t="n"/>
      <c r="I2271" s="105" t="n"/>
      <c r="K2271" s="215" t="n"/>
      <c r="L2271" s="215" t="n"/>
      <c r="M2271" s="215" t="n"/>
      <c r="N2271" s="215" t="n"/>
      <c r="O2271" s="215" t="n"/>
      <c r="P2271" s="215" t="n"/>
      <c r="Q2271" s="215" t="n"/>
      <c r="R2271" s="215" t="n"/>
      <c r="S2271" s="215" t="n"/>
      <c r="T2271" s="215" t="n"/>
      <c r="U2271" s="215" t="n"/>
      <c r="V2271" s="215" t="n"/>
      <c r="W2271" s="215" t="n"/>
      <c r="X2271" s="215" t="n"/>
      <c r="Y2271" s="215" t="n"/>
      <c r="Z2271" s="215" t="n"/>
      <c r="AA2271" s="215" t="n"/>
      <c r="AB2271" s="215" t="n"/>
      <c r="AC2271" s="215" t="n"/>
      <c r="AD2271" s="215" t="n"/>
      <c r="AE2271" s="215" t="n"/>
      <c r="AF2271" s="215" t="n"/>
      <c r="AG2271" s="215" t="n"/>
      <c r="AH2271" s="215" t="n"/>
      <c r="AI2271" s="215" t="n"/>
      <c r="AJ2271" s="215" t="n"/>
      <c r="AK2271" s="216" t="n"/>
    </row>
    <row r="2272" ht="15" customHeight="1">
      <c r="B2272" s="134" t="n"/>
      <c r="C2272" s="105" t="n"/>
      <c r="D2272" s="105" t="n"/>
      <c r="E2272" s="105" t="n"/>
      <c r="F2272" s="105" t="n"/>
      <c r="G2272" s="105" t="n"/>
      <c r="H2272" s="2" t="n"/>
      <c r="I2272" s="105" t="n"/>
      <c r="K2272" s="215" t="n"/>
      <c r="L2272" s="215" t="n"/>
      <c r="M2272" s="215" t="n"/>
      <c r="N2272" s="215" t="n"/>
      <c r="O2272" s="215" t="n"/>
      <c r="P2272" s="215" t="n"/>
      <c r="Q2272" s="215" t="n"/>
      <c r="R2272" s="215" t="n"/>
      <c r="S2272" s="215" t="n"/>
      <c r="T2272" s="215" t="n"/>
      <c r="U2272" s="215" t="n"/>
      <c r="V2272" s="215" t="n"/>
      <c r="W2272" s="215" t="n"/>
      <c r="X2272" s="215" t="n"/>
      <c r="Y2272" s="215" t="n"/>
      <c r="Z2272" s="215" t="n"/>
      <c r="AA2272" s="215" t="n"/>
      <c r="AB2272" s="215" t="n"/>
      <c r="AC2272" s="215" t="n"/>
      <c r="AD2272" s="215" t="n"/>
      <c r="AE2272" s="215" t="n"/>
      <c r="AF2272" s="215" t="n"/>
      <c r="AG2272" s="215" t="n"/>
      <c r="AH2272" s="215" t="n"/>
      <c r="AI2272" s="215" t="n"/>
      <c r="AJ2272" s="215" t="n"/>
      <c r="AK2272" s="216" t="n"/>
    </row>
    <row r="2273" ht="15" customHeight="1">
      <c r="B2273" s="134" t="n"/>
      <c r="C2273" s="105" t="n"/>
      <c r="D2273" s="105" t="n"/>
      <c r="E2273" s="105" t="n"/>
      <c r="F2273" s="105" t="n"/>
      <c r="G2273" s="105" t="n"/>
      <c r="H2273" s="2" t="n"/>
      <c r="I2273" s="105" t="n"/>
      <c r="K2273" s="215" t="n"/>
      <c r="L2273" s="215" t="n"/>
      <c r="M2273" s="215" t="n"/>
      <c r="N2273" s="215" t="n"/>
      <c r="O2273" s="215" t="n"/>
      <c r="P2273" s="215" t="n"/>
      <c r="Q2273" s="215" t="n"/>
      <c r="R2273" s="215" t="n"/>
      <c r="S2273" s="215" t="n"/>
      <c r="T2273" s="215" t="n"/>
      <c r="U2273" s="215" t="n"/>
      <c r="V2273" s="215" t="n"/>
      <c r="W2273" s="215" t="n"/>
      <c r="X2273" s="215" t="n"/>
      <c r="Y2273" s="215" t="n"/>
      <c r="Z2273" s="215" t="n"/>
      <c r="AA2273" s="215" t="n"/>
      <c r="AB2273" s="215" t="n"/>
      <c r="AC2273" s="215" t="n"/>
      <c r="AD2273" s="215" t="n"/>
      <c r="AE2273" s="215" t="n"/>
      <c r="AF2273" s="215" t="n"/>
      <c r="AG2273" s="215" t="n"/>
      <c r="AH2273" s="215" t="n"/>
      <c r="AI2273" s="215" t="n"/>
      <c r="AJ2273" s="215" t="n"/>
      <c r="AK2273" s="216" t="n"/>
    </row>
    <row r="2274" ht="15" customHeight="1">
      <c r="B2274" s="134" t="n"/>
      <c r="C2274" s="105" t="n"/>
      <c r="D2274" s="105" t="n"/>
      <c r="E2274" s="105" t="n"/>
      <c r="F2274" s="105" t="n"/>
      <c r="G2274" s="105" t="n"/>
      <c r="H2274" s="2" t="n"/>
      <c r="I2274" s="105" t="n"/>
      <c r="K2274" s="215" t="n"/>
      <c r="L2274" s="215" t="n"/>
      <c r="M2274" s="215" t="n"/>
      <c r="N2274" s="215" t="n"/>
      <c r="O2274" s="215" t="n"/>
      <c r="P2274" s="215" t="n"/>
      <c r="Q2274" s="215" t="n"/>
      <c r="R2274" s="215" t="n"/>
      <c r="S2274" s="215" t="n"/>
      <c r="T2274" s="215" t="n"/>
      <c r="U2274" s="215" t="n"/>
      <c r="V2274" s="215" t="n"/>
      <c r="W2274" s="215" t="n"/>
      <c r="X2274" s="215" t="n"/>
      <c r="Y2274" s="215" t="n"/>
      <c r="Z2274" s="215" t="n"/>
      <c r="AA2274" s="215" t="n"/>
      <c r="AB2274" s="215" t="n"/>
      <c r="AC2274" s="215" t="n"/>
      <c r="AD2274" s="215" t="n"/>
      <c r="AE2274" s="215" t="n"/>
      <c r="AF2274" s="215" t="n"/>
      <c r="AG2274" s="215" t="n"/>
      <c r="AH2274" s="215" t="n"/>
      <c r="AI2274" s="215" t="n"/>
      <c r="AJ2274" s="215" t="n"/>
      <c r="AK2274" s="216" t="n"/>
    </row>
    <row r="2275" ht="15" customHeight="1">
      <c r="B2275" s="134" t="n"/>
      <c r="C2275" s="105" t="n"/>
      <c r="D2275" s="105" t="n"/>
      <c r="E2275" s="105" t="n"/>
      <c r="F2275" s="105" t="n"/>
      <c r="G2275" s="105" t="n"/>
      <c r="H2275" s="2" t="n"/>
      <c r="I2275" s="105" t="n"/>
      <c r="K2275" s="215" t="n"/>
      <c r="L2275" s="215" t="n"/>
      <c r="M2275" s="215" t="n"/>
      <c r="N2275" s="215" t="n"/>
      <c r="O2275" s="215" t="n"/>
      <c r="P2275" s="215" t="n"/>
      <c r="Q2275" s="215" t="n"/>
      <c r="R2275" s="215" t="n"/>
      <c r="S2275" s="215" t="n"/>
      <c r="T2275" s="215" t="n"/>
      <c r="U2275" s="215" t="n"/>
      <c r="V2275" s="215" t="n"/>
      <c r="W2275" s="215" t="n"/>
      <c r="X2275" s="215" t="n"/>
      <c r="Y2275" s="215" t="n"/>
      <c r="Z2275" s="215" t="n"/>
      <c r="AA2275" s="215" t="n"/>
      <c r="AB2275" s="215" t="n"/>
      <c r="AC2275" s="215" t="n"/>
      <c r="AD2275" s="215" t="n"/>
      <c r="AE2275" s="215" t="n"/>
      <c r="AF2275" s="215" t="n"/>
      <c r="AG2275" s="215" t="n"/>
      <c r="AH2275" s="215" t="n"/>
      <c r="AI2275" s="215" t="n"/>
      <c r="AJ2275" s="215" t="n"/>
      <c r="AK2275" s="216" t="n"/>
    </row>
    <row r="2276" ht="15" customHeight="1">
      <c r="B2276" s="134" t="n"/>
      <c r="C2276" s="105" t="n"/>
      <c r="D2276" s="105" t="n"/>
      <c r="E2276" s="105" t="n"/>
      <c r="F2276" s="105" t="n"/>
      <c r="G2276" s="105" t="n"/>
      <c r="H2276" s="2" t="n"/>
      <c r="I2276" s="105" t="n"/>
      <c r="K2276" s="215" t="n"/>
      <c r="L2276" s="215" t="n"/>
      <c r="M2276" s="215" t="n"/>
      <c r="N2276" s="215" t="n"/>
      <c r="O2276" s="215" t="n"/>
      <c r="P2276" s="215" t="n"/>
      <c r="Q2276" s="215" t="n"/>
      <c r="R2276" s="215" t="n"/>
      <c r="S2276" s="215" t="n"/>
      <c r="T2276" s="215" t="n"/>
      <c r="U2276" s="215" t="n"/>
      <c r="V2276" s="215" t="n"/>
      <c r="W2276" s="215" t="n"/>
      <c r="X2276" s="215" t="n"/>
      <c r="Y2276" s="215" t="n"/>
      <c r="Z2276" s="215" t="n"/>
      <c r="AA2276" s="215" t="n"/>
      <c r="AB2276" s="215" t="n"/>
      <c r="AC2276" s="215" t="n"/>
      <c r="AD2276" s="215" t="n"/>
      <c r="AE2276" s="215" t="n"/>
      <c r="AF2276" s="215" t="n"/>
      <c r="AG2276" s="215" t="n"/>
      <c r="AH2276" s="215" t="n"/>
      <c r="AI2276" s="215" t="n"/>
      <c r="AJ2276" s="215" t="n"/>
      <c r="AK2276" s="216" t="n"/>
    </row>
    <row r="2277" ht="15" customHeight="1">
      <c r="B2277" s="134" t="n"/>
      <c r="C2277" s="105" t="n"/>
      <c r="D2277" s="105" t="n"/>
      <c r="E2277" s="105" t="n"/>
      <c r="F2277" s="105" t="n"/>
      <c r="G2277" s="105" t="n"/>
      <c r="H2277" s="2" t="n"/>
      <c r="I2277" s="105" t="n"/>
      <c r="K2277" s="215" t="n"/>
      <c r="L2277" s="215" t="n"/>
      <c r="M2277" s="215" t="n"/>
      <c r="N2277" s="215" t="n"/>
      <c r="O2277" s="215" t="n"/>
      <c r="P2277" s="215" t="n"/>
      <c r="Q2277" s="215" t="n"/>
      <c r="R2277" s="215" t="n"/>
      <c r="S2277" s="215" t="n"/>
      <c r="T2277" s="215" t="n"/>
      <c r="U2277" s="215" t="n"/>
      <c r="V2277" s="215" t="n"/>
      <c r="W2277" s="215" t="n"/>
      <c r="X2277" s="215" t="n"/>
      <c r="Y2277" s="215" t="n"/>
      <c r="Z2277" s="215" t="n"/>
      <c r="AA2277" s="215" t="n"/>
      <c r="AB2277" s="215" t="n"/>
      <c r="AC2277" s="215" t="n"/>
      <c r="AD2277" s="215" t="n"/>
      <c r="AE2277" s="215" t="n"/>
      <c r="AF2277" s="215" t="n"/>
      <c r="AG2277" s="215" t="n"/>
      <c r="AH2277" s="215" t="n"/>
      <c r="AI2277" s="215" t="n"/>
      <c r="AJ2277" s="215" t="n"/>
      <c r="AK2277" s="216" t="n"/>
    </row>
    <row r="2278" ht="15" customHeight="1">
      <c r="B2278" s="134" t="n"/>
      <c r="C2278" s="105" t="n"/>
      <c r="D2278" s="105" t="n"/>
      <c r="E2278" s="105" t="n"/>
      <c r="F2278" s="105" t="n"/>
      <c r="G2278" s="105" t="n"/>
      <c r="H2278" s="2" t="n"/>
      <c r="I2278" s="105" t="n"/>
      <c r="K2278" s="215" t="n"/>
      <c r="L2278" s="215" t="n"/>
      <c r="M2278" s="215" t="n"/>
      <c r="N2278" s="215" t="n"/>
      <c r="O2278" s="215" t="n"/>
      <c r="P2278" s="215" t="n"/>
      <c r="Q2278" s="215" t="n"/>
      <c r="R2278" s="215" t="n"/>
      <c r="S2278" s="215" t="n"/>
      <c r="T2278" s="215" t="n"/>
      <c r="U2278" s="215" t="n"/>
      <c r="V2278" s="215" t="n"/>
      <c r="W2278" s="215" t="n"/>
      <c r="X2278" s="215" t="n"/>
      <c r="Y2278" s="215" t="n"/>
      <c r="Z2278" s="215" t="n"/>
      <c r="AA2278" s="215" t="n"/>
      <c r="AB2278" s="215" t="n"/>
      <c r="AC2278" s="215" t="n"/>
      <c r="AD2278" s="215" t="n"/>
      <c r="AE2278" s="215" t="n"/>
      <c r="AF2278" s="215" t="n"/>
      <c r="AG2278" s="215" t="n"/>
      <c r="AH2278" s="215" t="n"/>
      <c r="AI2278" s="215" t="n"/>
      <c r="AJ2278" s="215" t="n"/>
      <c r="AK2278" s="216" t="n"/>
    </row>
    <row r="2279" ht="15" customHeight="1">
      <c r="B2279" s="134" t="n"/>
      <c r="C2279" s="105" t="n"/>
      <c r="D2279" s="105" t="n"/>
      <c r="E2279" s="105" t="n"/>
      <c r="F2279" s="105" t="n"/>
      <c r="G2279" s="105" t="n"/>
      <c r="H2279" s="2" t="n"/>
      <c r="I2279" s="105" t="n"/>
      <c r="K2279" s="215" t="n"/>
      <c r="L2279" s="215" t="n"/>
      <c r="M2279" s="215" t="n"/>
      <c r="N2279" s="215" t="n"/>
      <c r="O2279" s="215" t="n"/>
      <c r="P2279" s="215" t="n"/>
      <c r="Q2279" s="215" t="n"/>
      <c r="R2279" s="215" t="n"/>
      <c r="S2279" s="215" t="n"/>
      <c r="T2279" s="215" t="n"/>
      <c r="U2279" s="215" t="n"/>
      <c r="V2279" s="215" t="n"/>
      <c r="W2279" s="215" t="n"/>
      <c r="X2279" s="215" t="n"/>
      <c r="Y2279" s="215" t="n"/>
      <c r="Z2279" s="215" t="n"/>
      <c r="AA2279" s="215" t="n"/>
      <c r="AB2279" s="215" t="n"/>
      <c r="AC2279" s="215" t="n"/>
      <c r="AD2279" s="215" t="n"/>
      <c r="AE2279" s="215" t="n"/>
      <c r="AF2279" s="215" t="n"/>
      <c r="AG2279" s="215" t="n"/>
      <c r="AH2279" s="215" t="n"/>
      <c r="AI2279" s="215" t="n"/>
      <c r="AJ2279" s="215" t="n"/>
      <c r="AK2279" s="216" t="n"/>
    </row>
    <row r="2280" ht="15" customHeight="1">
      <c r="B2280" s="134" t="n"/>
      <c r="C2280" s="105" t="n"/>
      <c r="D2280" s="105" t="n"/>
      <c r="E2280" s="105" t="n"/>
      <c r="F2280" s="105" t="n"/>
      <c r="G2280" s="105" t="n"/>
      <c r="H2280" s="2" t="n"/>
      <c r="I2280" s="105" t="n"/>
      <c r="K2280" s="215" t="n"/>
      <c r="L2280" s="215" t="n"/>
      <c r="M2280" s="215" t="n"/>
      <c r="N2280" s="215" t="n"/>
      <c r="O2280" s="215" t="n"/>
      <c r="P2280" s="215" t="n"/>
      <c r="Q2280" s="215" t="n"/>
      <c r="R2280" s="215" t="n"/>
      <c r="S2280" s="215" t="n"/>
      <c r="T2280" s="215" t="n"/>
      <c r="U2280" s="215" t="n"/>
      <c r="V2280" s="215" t="n"/>
      <c r="W2280" s="215" t="n"/>
      <c r="X2280" s="215" t="n"/>
      <c r="Y2280" s="215" t="n"/>
      <c r="Z2280" s="215" t="n"/>
      <c r="AA2280" s="215" t="n"/>
      <c r="AB2280" s="215" t="n"/>
      <c r="AC2280" s="215" t="n"/>
      <c r="AD2280" s="215" t="n"/>
      <c r="AE2280" s="215" t="n"/>
      <c r="AF2280" s="215" t="n"/>
      <c r="AG2280" s="215" t="n"/>
      <c r="AH2280" s="215" t="n"/>
      <c r="AI2280" s="215" t="n"/>
      <c r="AJ2280" s="215" t="n"/>
      <c r="AK2280" s="216" t="n"/>
    </row>
    <row r="2281" ht="15" customHeight="1">
      <c r="B2281" s="134" t="n"/>
      <c r="C2281" s="105" t="n"/>
      <c r="D2281" s="105" t="n"/>
      <c r="E2281" s="105" t="n"/>
      <c r="F2281" s="105" t="n"/>
      <c r="G2281" s="105" t="n"/>
      <c r="H2281" s="2" t="n"/>
      <c r="I2281" s="105" t="n"/>
      <c r="K2281" s="215" t="n"/>
      <c r="L2281" s="215" t="n"/>
      <c r="M2281" s="215" t="n"/>
      <c r="N2281" s="215" t="n"/>
      <c r="O2281" s="215" t="n"/>
      <c r="P2281" s="215" t="n"/>
      <c r="Q2281" s="215" t="n"/>
      <c r="R2281" s="215" t="n"/>
      <c r="S2281" s="215" t="n"/>
      <c r="T2281" s="215" t="n"/>
      <c r="U2281" s="215" t="n"/>
      <c r="V2281" s="215" t="n"/>
      <c r="W2281" s="215" t="n"/>
      <c r="X2281" s="215" t="n"/>
      <c r="Y2281" s="215" t="n"/>
      <c r="Z2281" s="215" t="n"/>
      <c r="AA2281" s="215" t="n"/>
      <c r="AB2281" s="215" t="n"/>
      <c r="AC2281" s="215" t="n"/>
      <c r="AD2281" s="215" t="n"/>
      <c r="AE2281" s="215" t="n"/>
      <c r="AF2281" s="215" t="n"/>
      <c r="AG2281" s="215" t="n"/>
      <c r="AH2281" s="215" t="n"/>
      <c r="AI2281" s="215" t="n"/>
      <c r="AJ2281" s="215" t="n"/>
      <c r="AK2281" s="216" t="n"/>
    </row>
    <row r="2282" ht="15" customHeight="1">
      <c r="B2282" s="134" t="n"/>
      <c r="C2282" s="105" t="n"/>
      <c r="D2282" s="105" t="n"/>
      <c r="E2282" s="105" t="n"/>
      <c r="F2282" s="105" t="n"/>
      <c r="G2282" s="105" t="n"/>
      <c r="H2282" s="2" t="n"/>
      <c r="I2282" s="105" t="n"/>
      <c r="K2282" s="215" t="n"/>
      <c r="L2282" s="215" t="n"/>
      <c r="M2282" s="215" t="n"/>
      <c r="N2282" s="215" t="n"/>
      <c r="O2282" s="215" t="n"/>
      <c r="P2282" s="215" t="n"/>
      <c r="Q2282" s="215" t="n"/>
      <c r="R2282" s="215" t="n"/>
      <c r="S2282" s="215" t="n"/>
      <c r="T2282" s="215" t="n"/>
      <c r="U2282" s="215" t="n"/>
      <c r="V2282" s="215" t="n"/>
      <c r="W2282" s="215" t="n"/>
      <c r="X2282" s="215" t="n"/>
      <c r="Y2282" s="215" t="n"/>
      <c r="Z2282" s="215" t="n"/>
      <c r="AA2282" s="215" t="n"/>
      <c r="AB2282" s="215" t="n"/>
      <c r="AC2282" s="215" t="n"/>
      <c r="AD2282" s="215" t="n"/>
      <c r="AE2282" s="215" t="n"/>
      <c r="AF2282" s="215" t="n"/>
      <c r="AG2282" s="215" t="n"/>
      <c r="AH2282" s="215" t="n"/>
      <c r="AI2282" s="215" t="n"/>
      <c r="AJ2282" s="215" t="n"/>
      <c r="AK2282" s="216" t="n"/>
    </row>
    <row r="2283" ht="15" customHeight="1">
      <c r="B2283" s="134" t="n"/>
      <c r="C2283" s="105" t="n"/>
      <c r="D2283" s="105" t="n"/>
      <c r="E2283" s="105" t="n"/>
      <c r="F2283" s="105" t="n"/>
      <c r="G2283" s="105" t="n"/>
      <c r="H2283" s="2" t="n"/>
      <c r="I2283" s="105" t="n"/>
      <c r="K2283" s="215" t="n"/>
      <c r="L2283" s="215" t="n"/>
      <c r="M2283" s="215" t="n"/>
      <c r="N2283" s="215" t="n"/>
      <c r="O2283" s="215" t="n"/>
      <c r="P2283" s="215" t="n"/>
      <c r="Q2283" s="215" t="n"/>
      <c r="R2283" s="215" t="n"/>
      <c r="S2283" s="215" t="n"/>
      <c r="T2283" s="215" t="n"/>
      <c r="U2283" s="215" t="n"/>
      <c r="V2283" s="215" t="n"/>
      <c r="W2283" s="215" t="n"/>
      <c r="X2283" s="215" t="n"/>
      <c r="Y2283" s="215" t="n"/>
      <c r="Z2283" s="215" t="n"/>
      <c r="AA2283" s="215" t="n"/>
      <c r="AB2283" s="215" t="n"/>
      <c r="AC2283" s="215" t="n"/>
      <c r="AD2283" s="215" t="n"/>
      <c r="AE2283" s="215" t="n"/>
      <c r="AF2283" s="215" t="n"/>
      <c r="AG2283" s="215" t="n"/>
      <c r="AH2283" s="215" t="n"/>
      <c r="AI2283" s="215" t="n"/>
      <c r="AJ2283" s="215" t="n"/>
      <c r="AK2283" s="216" t="n"/>
    </row>
    <row r="2284" ht="15" customHeight="1">
      <c r="B2284" s="134" t="n"/>
      <c r="C2284" s="105" t="n"/>
      <c r="D2284" s="105" t="n"/>
      <c r="E2284" s="105" t="n"/>
      <c r="F2284" s="105" t="n"/>
      <c r="G2284" s="105" t="n"/>
      <c r="H2284" s="2" t="n"/>
      <c r="I2284" s="105" t="n"/>
      <c r="K2284" s="215" t="n"/>
      <c r="L2284" s="215" t="n"/>
      <c r="M2284" s="215" t="n"/>
      <c r="N2284" s="215" t="n"/>
      <c r="O2284" s="215" t="n"/>
      <c r="P2284" s="215" t="n"/>
      <c r="Q2284" s="215" t="n"/>
      <c r="R2284" s="215" t="n"/>
      <c r="S2284" s="215" t="n"/>
      <c r="T2284" s="215" t="n"/>
      <c r="U2284" s="215" t="n"/>
      <c r="V2284" s="215" t="n"/>
      <c r="W2284" s="215" t="n"/>
      <c r="X2284" s="215" t="n"/>
      <c r="Y2284" s="215" t="n"/>
      <c r="Z2284" s="215" t="n"/>
      <c r="AA2284" s="215" t="n"/>
      <c r="AB2284" s="215" t="n"/>
      <c r="AC2284" s="215" t="n"/>
      <c r="AD2284" s="215" t="n"/>
      <c r="AE2284" s="215" t="n"/>
      <c r="AF2284" s="215" t="n"/>
      <c r="AG2284" s="215" t="n"/>
      <c r="AH2284" s="215" t="n"/>
      <c r="AI2284" s="215" t="n"/>
      <c r="AJ2284" s="215" t="n"/>
      <c r="AK2284" s="216" t="n"/>
    </row>
    <row r="2285" ht="15" customHeight="1">
      <c r="B2285" s="134" t="n"/>
      <c r="C2285" s="105" t="n"/>
      <c r="D2285" s="105" t="n"/>
      <c r="E2285" s="105" t="n"/>
      <c r="F2285" s="105" t="n"/>
      <c r="G2285" s="105" t="n"/>
      <c r="H2285" s="2" t="n"/>
      <c r="I2285" s="105" t="n"/>
      <c r="K2285" s="215" t="n"/>
      <c r="L2285" s="215" t="n"/>
      <c r="M2285" s="215" t="n"/>
      <c r="N2285" s="215" t="n"/>
      <c r="O2285" s="215" t="n"/>
      <c r="P2285" s="215" t="n"/>
      <c r="Q2285" s="215" t="n"/>
      <c r="R2285" s="215" t="n"/>
      <c r="S2285" s="215" t="n"/>
      <c r="T2285" s="215" t="n"/>
      <c r="U2285" s="215" t="n"/>
      <c r="V2285" s="215" t="n"/>
      <c r="W2285" s="215" t="n"/>
      <c r="X2285" s="215" t="n"/>
      <c r="Y2285" s="215" t="n"/>
      <c r="Z2285" s="215" t="n"/>
      <c r="AA2285" s="215" t="n"/>
      <c r="AB2285" s="215" t="n"/>
      <c r="AC2285" s="215" t="n"/>
      <c r="AD2285" s="215" t="n"/>
      <c r="AE2285" s="215" t="n"/>
      <c r="AF2285" s="215" t="n"/>
      <c r="AG2285" s="215" t="n"/>
      <c r="AH2285" s="215" t="n"/>
      <c r="AI2285" s="215" t="n"/>
      <c r="AJ2285" s="215" t="n"/>
      <c r="AK2285" s="216" t="n"/>
    </row>
    <row r="2286" ht="15" customHeight="1">
      <c r="B2286" s="134" t="n"/>
      <c r="C2286" s="105" t="n"/>
      <c r="D2286" s="105" t="n"/>
      <c r="E2286" s="105" t="n"/>
      <c r="F2286" s="105" t="n"/>
      <c r="G2286" s="105" t="n"/>
      <c r="H2286" s="2" t="n"/>
      <c r="I2286" s="105" t="n"/>
      <c r="K2286" s="215" t="n"/>
      <c r="L2286" s="215" t="n"/>
      <c r="M2286" s="215" t="n"/>
      <c r="N2286" s="215" t="n"/>
      <c r="O2286" s="215" t="n"/>
      <c r="P2286" s="215" t="n"/>
      <c r="Q2286" s="215" t="n"/>
      <c r="R2286" s="215" t="n"/>
      <c r="S2286" s="215" t="n"/>
      <c r="T2286" s="215" t="n"/>
      <c r="U2286" s="215" t="n"/>
      <c r="V2286" s="215" t="n"/>
      <c r="W2286" s="215" t="n"/>
      <c r="X2286" s="215" t="n"/>
      <c r="Y2286" s="215" t="n"/>
      <c r="Z2286" s="215" t="n"/>
      <c r="AA2286" s="215" t="n"/>
      <c r="AB2286" s="215" t="n"/>
      <c r="AC2286" s="215" t="n"/>
      <c r="AD2286" s="215" t="n"/>
      <c r="AE2286" s="215" t="n"/>
      <c r="AF2286" s="215" t="n"/>
      <c r="AG2286" s="215" t="n"/>
      <c r="AH2286" s="215" t="n"/>
      <c r="AI2286" s="215" t="n"/>
      <c r="AJ2286" s="215" t="n"/>
      <c r="AK2286" s="216" t="n"/>
    </row>
    <row r="2287" ht="15" customHeight="1">
      <c r="B2287" s="134" t="n"/>
      <c r="C2287" s="105" t="n"/>
      <c r="D2287" s="105" t="n"/>
      <c r="E2287" s="105" t="n"/>
      <c r="F2287" s="105" t="n"/>
      <c r="G2287" s="105" t="n"/>
      <c r="H2287" s="2" t="n"/>
      <c r="I2287" s="105" t="n"/>
      <c r="K2287" s="215" t="n"/>
      <c r="L2287" s="215" t="n"/>
      <c r="M2287" s="215" t="n"/>
      <c r="N2287" s="215" t="n"/>
      <c r="O2287" s="215" t="n"/>
      <c r="P2287" s="215" t="n"/>
      <c r="Q2287" s="215" t="n"/>
      <c r="R2287" s="215" t="n"/>
      <c r="S2287" s="215" t="n"/>
      <c r="T2287" s="215" t="n"/>
      <c r="U2287" s="215" t="n"/>
      <c r="V2287" s="215" t="n"/>
      <c r="W2287" s="215" t="n"/>
      <c r="X2287" s="215" t="n"/>
      <c r="Y2287" s="215" t="n"/>
      <c r="Z2287" s="215" t="n"/>
      <c r="AA2287" s="215" t="n"/>
      <c r="AB2287" s="215" t="n"/>
      <c r="AC2287" s="215" t="n"/>
      <c r="AD2287" s="215" t="n"/>
      <c r="AE2287" s="215" t="n"/>
      <c r="AF2287" s="215" t="n"/>
      <c r="AG2287" s="215" t="n"/>
      <c r="AH2287" s="215" t="n"/>
      <c r="AI2287" s="215" t="n"/>
      <c r="AJ2287" s="215" t="n"/>
      <c r="AK2287" s="216" t="n"/>
    </row>
    <row r="2288" ht="15" customHeight="1">
      <c r="B2288" s="134" t="n"/>
      <c r="C2288" s="105" t="n"/>
      <c r="D2288" s="105" t="n"/>
      <c r="E2288" s="105" t="n"/>
      <c r="F2288" s="105" t="n"/>
      <c r="G2288" s="105" t="n"/>
      <c r="H2288" s="2" t="n"/>
      <c r="I2288" s="105" t="n"/>
      <c r="K2288" s="215" t="n"/>
      <c r="L2288" s="215" t="n"/>
      <c r="M2288" s="215" t="n"/>
      <c r="N2288" s="215" t="n"/>
      <c r="O2288" s="215" t="n"/>
      <c r="P2288" s="215" t="n"/>
      <c r="Q2288" s="215" t="n"/>
      <c r="R2288" s="215" t="n"/>
      <c r="S2288" s="215" t="n"/>
      <c r="T2288" s="215" t="n"/>
      <c r="U2288" s="215" t="n"/>
      <c r="V2288" s="215" t="n"/>
      <c r="W2288" s="215" t="n"/>
      <c r="X2288" s="215" t="n"/>
      <c r="Y2288" s="215" t="n"/>
      <c r="Z2288" s="215" t="n"/>
      <c r="AA2288" s="215" t="n"/>
      <c r="AB2288" s="215" t="n"/>
      <c r="AC2288" s="215" t="n"/>
      <c r="AD2288" s="215" t="n"/>
      <c r="AE2288" s="215" t="n"/>
      <c r="AF2288" s="215" t="n"/>
      <c r="AG2288" s="215" t="n"/>
      <c r="AH2288" s="215" t="n"/>
      <c r="AI2288" s="215" t="n"/>
      <c r="AJ2288" s="215" t="n"/>
      <c r="AK2288" s="216" t="n"/>
    </row>
    <row r="2289" ht="15" customHeight="1">
      <c r="B2289" s="134" t="n"/>
      <c r="C2289" s="105" t="n"/>
      <c r="D2289" s="105" t="n"/>
      <c r="E2289" s="105" t="n"/>
      <c r="F2289" s="105" t="n"/>
      <c r="G2289" s="105" t="n"/>
      <c r="H2289" s="2" t="n"/>
      <c r="I2289" s="105" t="n"/>
      <c r="K2289" s="215" t="n"/>
      <c r="L2289" s="215" t="n"/>
      <c r="M2289" s="215" t="n"/>
      <c r="N2289" s="215" t="n"/>
      <c r="O2289" s="215" t="n"/>
      <c r="P2289" s="215" t="n"/>
      <c r="Q2289" s="215" t="n"/>
      <c r="R2289" s="215" t="n"/>
      <c r="S2289" s="215" t="n"/>
      <c r="T2289" s="215" t="n"/>
      <c r="U2289" s="215" t="n"/>
      <c r="V2289" s="215" t="n"/>
      <c r="W2289" s="215" t="n"/>
      <c r="X2289" s="215" t="n"/>
      <c r="Y2289" s="215" t="n"/>
      <c r="Z2289" s="215" t="n"/>
      <c r="AA2289" s="215" t="n"/>
      <c r="AB2289" s="215" t="n"/>
      <c r="AC2289" s="215" t="n"/>
      <c r="AD2289" s="215" t="n"/>
      <c r="AE2289" s="215" t="n"/>
      <c r="AF2289" s="215" t="n"/>
      <c r="AG2289" s="215" t="n"/>
      <c r="AH2289" s="215" t="n"/>
      <c r="AI2289" s="215" t="n"/>
      <c r="AJ2289" s="215" t="n"/>
      <c r="AK2289" s="216" t="n"/>
    </row>
    <row r="2290" ht="15" customHeight="1">
      <c r="B2290" s="134" t="n"/>
      <c r="C2290" s="105" t="n"/>
      <c r="D2290" s="105" t="n"/>
      <c r="E2290" s="105" t="n"/>
      <c r="F2290" s="105" t="n"/>
      <c r="G2290" s="105" t="n"/>
      <c r="H2290" s="2" t="n"/>
      <c r="I2290" s="105" t="n"/>
      <c r="K2290" s="215" t="n"/>
      <c r="L2290" s="215" t="n"/>
      <c r="M2290" s="215" t="n"/>
      <c r="N2290" s="215" t="n"/>
      <c r="O2290" s="215" t="n"/>
      <c r="P2290" s="215" t="n"/>
      <c r="Q2290" s="215" t="n"/>
      <c r="R2290" s="215" t="n"/>
      <c r="S2290" s="215" t="n"/>
      <c r="T2290" s="215" t="n"/>
      <c r="U2290" s="215" t="n"/>
      <c r="V2290" s="215" t="n"/>
      <c r="W2290" s="215" t="n"/>
      <c r="X2290" s="215" t="n"/>
      <c r="Y2290" s="215" t="n"/>
      <c r="Z2290" s="215" t="n"/>
      <c r="AA2290" s="215" t="n"/>
      <c r="AB2290" s="215" t="n"/>
      <c r="AC2290" s="215" t="n"/>
      <c r="AD2290" s="215" t="n"/>
      <c r="AE2290" s="215" t="n"/>
      <c r="AF2290" s="215" t="n"/>
      <c r="AG2290" s="215" t="n"/>
      <c r="AH2290" s="215" t="n"/>
      <c r="AI2290" s="215" t="n"/>
      <c r="AJ2290" s="215" t="n"/>
      <c r="AK2290" s="216" t="n"/>
    </row>
    <row r="2291" ht="15" customHeight="1">
      <c r="B2291" s="134" t="n"/>
      <c r="C2291" s="105" t="n"/>
      <c r="D2291" s="105" t="n"/>
      <c r="E2291" s="105" t="n"/>
      <c r="F2291" s="105" t="n"/>
      <c r="G2291" s="105" t="n"/>
      <c r="H2291" s="2" t="n"/>
      <c r="I2291" s="105" t="n"/>
      <c r="K2291" s="215" t="n"/>
      <c r="L2291" s="215" t="n"/>
      <c r="M2291" s="215" t="n"/>
      <c r="N2291" s="215" t="n"/>
      <c r="O2291" s="215" t="n"/>
      <c r="P2291" s="215" t="n"/>
      <c r="Q2291" s="215" t="n"/>
      <c r="R2291" s="215" t="n"/>
      <c r="S2291" s="215" t="n"/>
      <c r="T2291" s="215" t="n"/>
      <c r="U2291" s="215" t="n"/>
      <c r="V2291" s="215" t="n"/>
      <c r="W2291" s="215" t="n"/>
      <c r="X2291" s="215" t="n"/>
      <c r="Y2291" s="215" t="n"/>
      <c r="Z2291" s="215" t="n"/>
      <c r="AA2291" s="215" t="n"/>
      <c r="AB2291" s="215" t="n"/>
      <c r="AC2291" s="215" t="n"/>
      <c r="AD2291" s="215" t="n"/>
      <c r="AE2291" s="215" t="n"/>
      <c r="AF2291" s="215" t="n"/>
      <c r="AG2291" s="215" t="n"/>
      <c r="AH2291" s="215" t="n"/>
      <c r="AI2291" s="215" t="n"/>
      <c r="AJ2291" s="215" t="n"/>
      <c r="AK2291" s="216" t="n"/>
    </row>
    <row r="2292" ht="15" customHeight="1">
      <c r="B2292" s="134" t="n"/>
      <c r="C2292" s="105" t="n"/>
      <c r="D2292" s="105" t="n"/>
      <c r="E2292" s="105" t="n"/>
      <c r="F2292" s="105" t="n"/>
      <c r="G2292" s="105" t="n"/>
      <c r="H2292" s="2" t="n"/>
      <c r="I2292" s="105" t="n"/>
      <c r="K2292" s="215" t="n"/>
      <c r="L2292" s="215" t="n"/>
      <c r="M2292" s="215" t="n"/>
      <c r="N2292" s="215" t="n"/>
      <c r="O2292" s="215" t="n"/>
      <c r="P2292" s="215" t="n"/>
      <c r="Q2292" s="215" t="n"/>
      <c r="R2292" s="215" t="n"/>
      <c r="S2292" s="215" t="n"/>
      <c r="T2292" s="215" t="n"/>
      <c r="U2292" s="215" t="n"/>
      <c r="V2292" s="215" t="n"/>
      <c r="W2292" s="215" t="n"/>
      <c r="X2292" s="215" t="n"/>
      <c r="Y2292" s="215" t="n"/>
      <c r="Z2292" s="215" t="n"/>
      <c r="AA2292" s="215" t="n"/>
      <c r="AB2292" s="215" t="n"/>
      <c r="AC2292" s="215" t="n"/>
      <c r="AD2292" s="215" t="n"/>
      <c r="AE2292" s="215" t="n"/>
      <c r="AF2292" s="215" t="n"/>
      <c r="AG2292" s="215" t="n"/>
      <c r="AH2292" s="215" t="n"/>
      <c r="AI2292" s="215" t="n"/>
      <c r="AJ2292" s="215" t="n"/>
      <c r="AK2292" s="216" t="n"/>
    </row>
    <row r="2293" ht="15" customHeight="1">
      <c r="B2293" s="134" t="n"/>
      <c r="C2293" s="105" t="n"/>
      <c r="D2293" s="105" t="n"/>
      <c r="E2293" s="105" t="n"/>
      <c r="F2293" s="105" t="n"/>
      <c r="G2293" s="105" t="n"/>
      <c r="H2293" s="2" t="n"/>
      <c r="I2293" s="105" t="n"/>
      <c r="K2293" s="215" t="n"/>
      <c r="L2293" s="215" t="n"/>
      <c r="M2293" s="215" t="n"/>
      <c r="N2293" s="215" t="n"/>
      <c r="O2293" s="215" t="n"/>
      <c r="P2293" s="215" t="n"/>
      <c r="Q2293" s="215" t="n"/>
      <c r="R2293" s="215" t="n"/>
      <c r="S2293" s="215" t="n"/>
      <c r="T2293" s="215" t="n"/>
      <c r="U2293" s="215" t="n"/>
      <c r="V2293" s="215" t="n"/>
      <c r="W2293" s="215" t="n"/>
      <c r="X2293" s="215" t="n"/>
      <c r="Y2293" s="215" t="n"/>
      <c r="Z2293" s="215" t="n"/>
      <c r="AA2293" s="215" t="n"/>
      <c r="AB2293" s="215" t="n"/>
      <c r="AC2293" s="215" t="n"/>
      <c r="AD2293" s="215" t="n"/>
      <c r="AE2293" s="215" t="n"/>
      <c r="AF2293" s="215" t="n"/>
      <c r="AG2293" s="215" t="n"/>
      <c r="AH2293" s="215" t="n"/>
      <c r="AI2293" s="215" t="n"/>
      <c r="AJ2293" s="215" t="n"/>
      <c r="AK2293" s="216" t="n"/>
    </row>
    <row r="2294" ht="15" customHeight="1">
      <c r="B2294" s="134" t="n"/>
      <c r="C2294" s="105" t="n"/>
      <c r="D2294" s="105" t="n"/>
      <c r="E2294" s="105" t="n"/>
      <c r="F2294" s="105" t="n"/>
      <c r="G2294" s="105" t="n"/>
      <c r="H2294" s="2" t="n"/>
      <c r="I2294" s="105" t="n"/>
      <c r="K2294" s="215" t="n"/>
      <c r="L2294" s="215" t="n"/>
      <c r="M2294" s="215" t="n"/>
      <c r="N2294" s="215" t="n"/>
      <c r="O2294" s="215" t="n"/>
      <c r="P2294" s="215" t="n"/>
      <c r="Q2294" s="215" t="n"/>
      <c r="R2294" s="215" t="n"/>
      <c r="S2294" s="215" t="n"/>
      <c r="T2294" s="215" t="n"/>
      <c r="U2294" s="215" t="n"/>
      <c r="V2294" s="215" t="n"/>
      <c r="W2294" s="215" t="n"/>
      <c r="X2294" s="215" t="n"/>
      <c r="Y2294" s="215" t="n"/>
      <c r="Z2294" s="215" t="n"/>
      <c r="AA2294" s="215" t="n"/>
      <c r="AB2294" s="215" t="n"/>
      <c r="AC2294" s="215" t="n"/>
      <c r="AD2294" s="215" t="n"/>
      <c r="AE2294" s="215" t="n"/>
      <c r="AF2294" s="215" t="n"/>
      <c r="AG2294" s="215" t="n"/>
      <c r="AH2294" s="215" t="n"/>
      <c r="AI2294" s="215" t="n"/>
      <c r="AJ2294" s="215" t="n"/>
      <c r="AK2294" s="216" t="n"/>
    </row>
    <row r="2295" ht="15" customHeight="1">
      <c r="B2295" s="134" t="n"/>
      <c r="C2295" s="105" t="n"/>
      <c r="D2295" s="105" t="n"/>
      <c r="E2295" s="105" t="n"/>
      <c r="F2295" s="105" t="n"/>
      <c r="G2295" s="105" t="n"/>
      <c r="H2295" s="2" t="n"/>
      <c r="I2295" s="105" t="n"/>
      <c r="K2295" s="215" t="n"/>
      <c r="L2295" s="215" t="n"/>
      <c r="M2295" s="215" t="n"/>
      <c r="N2295" s="215" t="n"/>
      <c r="O2295" s="215" t="n"/>
      <c r="P2295" s="215" t="n"/>
      <c r="Q2295" s="215" t="n"/>
      <c r="R2295" s="215" t="n"/>
      <c r="S2295" s="215" t="n"/>
      <c r="T2295" s="215" t="n"/>
      <c r="U2295" s="215" t="n"/>
      <c r="V2295" s="215" t="n"/>
      <c r="W2295" s="215" t="n"/>
      <c r="X2295" s="215" t="n"/>
      <c r="Y2295" s="215" t="n"/>
      <c r="Z2295" s="215" t="n"/>
      <c r="AA2295" s="215" t="n"/>
      <c r="AB2295" s="215" t="n"/>
      <c r="AC2295" s="215" t="n"/>
      <c r="AD2295" s="215" t="n"/>
      <c r="AE2295" s="215" t="n"/>
      <c r="AF2295" s="215" t="n"/>
      <c r="AG2295" s="215" t="n"/>
      <c r="AH2295" s="215" t="n"/>
      <c r="AI2295" s="215" t="n"/>
      <c r="AJ2295" s="215" t="n"/>
      <c r="AK2295" s="216" t="n"/>
    </row>
    <row r="2296" ht="15" customHeight="1">
      <c r="B2296" s="134" t="n"/>
      <c r="C2296" s="105" t="n"/>
      <c r="D2296" s="105" t="n"/>
      <c r="E2296" s="105" t="n"/>
      <c r="F2296" s="105" t="n"/>
      <c r="G2296" s="105" t="n"/>
      <c r="H2296" s="2" t="n"/>
      <c r="I2296" s="105" t="n"/>
      <c r="K2296" s="215" t="n"/>
      <c r="L2296" s="215" t="n"/>
      <c r="M2296" s="215" t="n"/>
      <c r="N2296" s="215" t="n"/>
      <c r="O2296" s="215" t="n"/>
      <c r="P2296" s="215" t="n"/>
      <c r="Q2296" s="215" t="n"/>
      <c r="R2296" s="215" t="n"/>
      <c r="S2296" s="215" t="n"/>
      <c r="T2296" s="215" t="n"/>
      <c r="U2296" s="215" t="n"/>
      <c r="V2296" s="215" t="n"/>
      <c r="W2296" s="215" t="n"/>
      <c r="X2296" s="215" t="n"/>
      <c r="Y2296" s="215" t="n"/>
      <c r="Z2296" s="215" t="n"/>
      <c r="AA2296" s="215" t="n"/>
      <c r="AB2296" s="215" t="n"/>
      <c r="AC2296" s="215" t="n"/>
      <c r="AD2296" s="215" t="n"/>
      <c r="AE2296" s="215" t="n"/>
      <c r="AF2296" s="215" t="n"/>
      <c r="AG2296" s="215" t="n"/>
      <c r="AH2296" s="215" t="n"/>
      <c r="AI2296" s="215" t="n"/>
      <c r="AJ2296" s="215" t="n"/>
      <c r="AK2296" s="216" t="n"/>
    </row>
    <row r="2297" ht="15" customHeight="1">
      <c r="B2297" s="134" t="n"/>
      <c r="C2297" s="105" t="n"/>
      <c r="D2297" s="105" t="n"/>
      <c r="E2297" s="105" t="n"/>
      <c r="F2297" s="105" t="n"/>
      <c r="G2297" s="105" t="n"/>
      <c r="H2297" s="2" t="n"/>
      <c r="I2297" s="105" t="n"/>
      <c r="K2297" s="215" t="n"/>
      <c r="L2297" s="215" t="n"/>
      <c r="M2297" s="215" t="n"/>
      <c r="N2297" s="215" t="n"/>
      <c r="O2297" s="215" t="n"/>
      <c r="P2297" s="215" t="n"/>
      <c r="Q2297" s="215" t="n"/>
      <c r="R2297" s="215" t="n"/>
      <c r="S2297" s="215" t="n"/>
      <c r="T2297" s="215" t="n"/>
      <c r="U2297" s="215" t="n"/>
      <c r="V2297" s="215" t="n"/>
      <c r="W2297" s="215" t="n"/>
      <c r="X2297" s="215" t="n"/>
      <c r="Y2297" s="215" t="n"/>
      <c r="Z2297" s="215" t="n"/>
      <c r="AA2297" s="215" t="n"/>
      <c r="AB2297" s="215" t="n"/>
      <c r="AC2297" s="215" t="n"/>
      <c r="AD2297" s="215" t="n"/>
      <c r="AE2297" s="215" t="n"/>
      <c r="AF2297" s="215" t="n"/>
      <c r="AG2297" s="215" t="n"/>
      <c r="AH2297" s="215" t="n"/>
      <c r="AI2297" s="215" t="n"/>
      <c r="AJ2297" s="215" t="n"/>
      <c r="AK2297" s="216" t="n"/>
    </row>
    <row r="2298" ht="15" customHeight="1">
      <c r="B2298" s="134" t="n"/>
      <c r="C2298" s="105" t="n"/>
      <c r="D2298" s="105" t="n"/>
      <c r="E2298" s="105" t="n"/>
      <c r="F2298" s="105" t="n"/>
      <c r="G2298" s="105" t="n"/>
      <c r="H2298" s="2" t="n"/>
      <c r="I2298" s="105" t="n"/>
      <c r="K2298" s="215" t="n"/>
      <c r="L2298" s="215" t="n"/>
      <c r="M2298" s="215" t="n"/>
      <c r="N2298" s="215" t="n"/>
      <c r="O2298" s="215" t="n"/>
      <c r="P2298" s="215" t="n"/>
      <c r="Q2298" s="215" t="n"/>
      <c r="R2298" s="215" t="n"/>
      <c r="S2298" s="215" t="n"/>
      <c r="T2298" s="215" t="n"/>
      <c r="U2298" s="215" t="n"/>
      <c r="V2298" s="215" t="n"/>
      <c r="W2298" s="215" t="n"/>
      <c r="X2298" s="215" t="n"/>
      <c r="Y2298" s="215" t="n"/>
      <c r="Z2298" s="215" t="n"/>
      <c r="AA2298" s="215" t="n"/>
      <c r="AB2298" s="215" t="n"/>
      <c r="AC2298" s="215" t="n"/>
      <c r="AD2298" s="215" t="n"/>
      <c r="AE2298" s="215" t="n"/>
      <c r="AF2298" s="215" t="n"/>
      <c r="AG2298" s="215" t="n"/>
      <c r="AH2298" s="215" t="n"/>
      <c r="AI2298" s="215" t="n"/>
      <c r="AJ2298" s="215" t="n"/>
      <c r="AK2298" s="216" t="n"/>
    </row>
    <row r="2299" ht="15" customHeight="1">
      <c r="B2299" s="134" t="n"/>
      <c r="C2299" s="105" t="n"/>
      <c r="D2299" s="105" t="n"/>
      <c r="E2299" s="105" t="n"/>
      <c r="F2299" s="105" t="n"/>
      <c r="G2299" s="105" t="n"/>
      <c r="H2299" s="2" t="n"/>
      <c r="I2299" s="105" t="n"/>
      <c r="K2299" s="215" t="n"/>
      <c r="L2299" s="215" t="n"/>
      <c r="M2299" s="215" t="n"/>
      <c r="N2299" s="215" t="n"/>
      <c r="O2299" s="215" t="n"/>
      <c r="P2299" s="215" t="n"/>
      <c r="Q2299" s="215" t="n"/>
      <c r="R2299" s="215" t="n"/>
      <c r="S2299" s="215" t="n"/>
      <c r="T2299" s="215" t="n"/>
      <c r="U2299" s="215" t="n"/>
      <c r="V2299" s="215" t="n"/>
      <c r="W2299" s="215" t="n"/>
      <c r="X2299" s="215" t="n"/>
      <c r="Y2299" s="215" t="n"/>
      <c r="Z2299" s="215" t="n"/>
      <c r="AA2299" s="215" t="n"/>
      <c r="AB2299" s="215" t="n"/>
      <c r="AC2299" s="215" t="n"/>
      <c r="AD2299" s="215" t="n"/>
      <c r="AE2299" s="215" t="n"/>
      <c r="AF2299" s="215" t="n"/>
      <c r="AG2299" s="215" t="n"/>
      <c r="AH2299" s="215" t="n"/>
      <c r="AI2299" s="215" t="n"/>
      <c r="AJ2299" s="215" t="n"/>
      <c r="AK2299" s="216" t="n"/>
    </row>
    <row r="2300" ht="15" customHeight="1">
      <c r="B2300" s="134" t="n"/>
      <c r="C2300" s="105" t="n"/>
      <c r="D2300" s="105" t="n"/>
      <c r="E2300" s="105" t="n"/>
      <c r="F2300" s="105" t="n"/>
      <c r="G2300" s="105" t="n"/>
      <c r="H2300" s="2" t="n"/>
      <c r="I2300" s="105" t="n"/>
      <c r="K2300" s="215" t="n"/>
      <c r="L2300" s="215" t="n"/>
      <c r="M2300" s="215" t="n"/>
      <c r="N2300" s="215" t="n"/>
      <c r="O2300" s="215" t="n"/>
      <c r="P2300" s="215" t="n"/>
      <c r="Q2300" s="215" t="n"/>
      <c r="R2300" s="215" t="n"/>
      <c r="S2300" s="215" t="n"/>
      <c r="T2300" s="215" t="n"/>
      <c r="U2300" s="215" t="n"/>
      <c r="V2300" s="215" t="n"/>
      <c r="W2300" s="215" t="n"/>
      <c r="X2300" s="215" t="n"/>
      <c r="Y2300" s="215" t="n"/>
      <c r="Z2300" s="215" t="n"/>
      <c r="AA2300" s="215" t="n"/>
      <c r="AB2300" s="215" t="n"/>
      <c r="AC2300" s="215" t="n"/>
      <c r="AD2300" s="215" t="n"/>
      <c r="AE2300" s="215" t="n"/>
      <c r="AF2300" s="215" t="n"/>
      <c r="AG2300" s="215" t="n"/>
      <c r="AH2300" s="215" t="n"/>
      <c r="AI2300" s="215" t="n"/>
      <c r="AJ2300" s="215" t="n"/>
      <c r="AK2300" s="216" t="n"/>
    </row>
    <row r="2301" ht="15" customHeight="1">
      <c r="B2301" s="134" t="n"/>
      <c r="C2301" s="105" t="n"/>
      <c r="D2301" s="105" t="n"/>
      <c r="E2301" s="105" t="n"/>
      <c r="F2301" s="105" t="n"/>
      <c r="G2301" s="105" t="n"/>
      <c r="H2301" s="2" t="n"/>
      <c r="I2301" s="105" t="n"/>
      <c r="K2301" s="215" t="n"/>
      <c r="L2301" s="215" t="n"/>
      <c r="M2301" s="215" t="n"/>
      <c r="N2301" s="215" t="n"/>
      <c r="O2301" s="215" t="n"/>
      <c r="P2301" s="215" t="n"/>
      <c r="Q2301" s="215" t="n"/>
      <c r="R2301" s="215" t="n"/>
      <c r="S2301" s="215" t="n"/>
      <c r="T2301" s="215" t="n"/>
      <c r="U2301" s="215" t="n"/>
      <c r="V2301" s="215" t="n"/>
      <c r="W2301" s="215" t="n"/>
      <c r="X2301" s="215" t="n"/>
      <c r="Y2301" s="215" t="n"/>
      <c r="Z2301" s="215" t="n"/>
      <c r="AA2301" s="215" t="n"/>
      <c r="AB2301" s="215" t="n"/>
      <c r="AC2301" s="215" t="n"/>
      <c r="AD2301" s="215" t="n"/>
      <c r="AE2301" s="215" t="n"/>
      <c r="AF2301" s="215" t="n"/>
      <c r="AG2301" s="215" t="n"/>
      <c r="AH2301" s="215" t="n"/>
      <c r="AI2301" s="215" t="n"/>
      <c r="AJ2301" s="215" t="n"/>
      <c r="AK2301" s="216" t="n"/>
    </row>
    <row r="2302" ht="15" customHeight="1">
      <c r="B2302" s="134" t="n"/>
      <c r="C2302" s="105" t="n"/>
      <c r="D2302" s="105" t="n"/>
      <c r="E2302" s="105" t="n"/>
      <c r="F2302" s="105" t="n"/>
      <c r="G2302" s="105" t="n"/>
      <c r="H2302" s="2" t="n"/>
      <c r="I2302" s="105" t="n"/>
      <c r="K2302" s="215" t="n"/>
      <c r="L2302" s="215" t="n"/>
      <c r="M2302" s="215" t="n"/>
      <c r="N2302" s="215" t="n"/>
      <c r="O2302" s="215" t="n"/>
      <c r="P2302" s="215" t="n"/>
      <c r="Q2302" s="215" t="n"/>
      <c r="R2302" s="215" t="n"/>
      <c r="S2302" s="215" t="n"/>
      <c r="T2302" s="215" t="n"/>
      <c r="U2302" s="215" t="n"/>
      <c r="V2302" s="215" t="n"/>
      <c r="W2302" s="215" t="n"/>
      <c r="X2302" s="215" t="n"/>
      <c r="Y2302" s="215" t="n"/>
      <c r="Z2302" s="215" t="n"/>
      <c r="AA2302" s="215" t="n"/>
      <c r="AB2302" s="215" t="n"/>
      <c r="AC2302" s="215" t="n"/>
      <c r="AD2302" s="215" t="n"/>
      <c r="AE2302" s="215" t="n"/>
      <c r="AF2302" s="215" t="n"/>
      <c r="AG2302" s="215" t="n"/>
      <c r="AH2302" s="215" t="n"/>
      <c r="AI2302" s="215" t="n"/>
      <c r="AJ2302" s="215" t="n"/>
      <c r="AK2302" s="216" t="n"/>
    </row>
    <row r="2303" ht="15" customHeight="1">
      <c r="B2303" s="134" t="n"/>
      <c r="C2303" s="105" t="n"/>
      <c r="D2303" s="105" t="n"/>
      <c r="E2303" s="105" t="n"/>
      <c r="F2303" s="105" t="n"/>
      <c r="G2303" s="105" t="n"/>
      <c r="H2303" s="2" t="n"/>
      <c r="I2303" s="105" t="n"/>
      <c r="K2303" s="215" t="n"/>
      <c r="L2303" s="215" t="n"/>
      <c r="M2303" s="215" t="n"/>
      <c r="N2303" s="215" t="n"/>
      <c r="O2303" s="215" t="n"/>
      <c r="P2303" s="215" t="n"/>
      <c r="Q2303" s="215" t="n"/>
      <c r="R2303" s="215" t="n"/>
      <c r="S2303" s="215" t="n"/>
      <c r="T2303" s="215" t="n"/>
      <c r="U2303" s="215" t="n"/>
      <c r="V2303" s="215" t="n"/>
      <c r="W2303" s="215" t="n"/>
      <c r="X2303" s="215" t="n"/>
      <c r="Y2303" s="215" t="n"/>
      <c r="Z2303" s="215" t="n"/>
      <c r="AA2303" s="215" t="n"/>
      <c r="AB2303" s="215" t="n"/>
      <c r="AC2303" s="215" t="n"/>
      <c r="AD2303" s="215" t="n"/>
      <c r="AE2303" s="215" t="n"/>
      <c r="AF2303" s="215" t="n"/>
      <c r="AG2303" s="215" t="n"/>
      <c r="AH2303" s="215" t="n"/>
      <c r="AI2303" s="215" t="n"/>
      <c r="AJ2303" s="215" t="n"/>
      <c r="AK2303" s="216" t="n"/>
    </row>
    <row r="2304" ht="15" customHeight="1">
      <c r="B2304" s="134" t="n"/>
      <c r="C2304" s="105" t="n"/>
      <c r="D2304" s="105" t="n"/>
      <c r="E2304" s="105" t="n"/>
      <c r="F2304" s="105" t="n"/>
      <c r="G2304" s="105" t="n"/>
      <c r="H2304" s="2" t="n"/>
      <c r="I2304" s="105" t="n"/>
      <c r="K2304" s="215" t="n"/>
      <c r="L2304" s="215" t="n"/>
      <c r="M2304" s="215" t="n"/>
      <c r="N2304" s="215" t="n"/>
      <c r="O2304" s="215" t="n"/>
      <c r="P2304" s="215" t="n"/>
      <c r="Q2304" s="215" t="n"/>
      <c r="R2304" s="215" t="n"/>
      <c r="S2304" s="215" t="n"/>
      <c r="T2304" s="215" t="n"/>
      <c r="U2304" s="215" t="n"/>
      <c r="V2304" s="215" t="n"/>
      <c r="W2304" s="215" t="n"/>
      <c r="X2304" s="215" t="n"/>
      <c r="Y2304" s="215" t="n"/>
      <c r="Z2304" s="215" t="n"/>
      <c r="AA2304" s="215" t="n"/>
      <c r="AB2304" s="215" t="n"/>
      <c r="AC2304" s="215" t="n"/>
      <c r="AD2304" s="215" t="n"/>
      <c r="AE2304" s="215" t="n"/>
      <c r="AF2304" s="215" t="n"/>
      <c r="AG2304" s="215" t="n"/>
      <c r="AH2304" s="215" t="n"/>
      <c r="AI2304" s="215" t="n"/>
      <c r="AJ2304" s="215" t="n"/>
      <c r="AK2304" s="216" t="n"/>
    </row>
    <row r="2305" ht="15" customHeight="1">
      <c r="B2305" s="134" t="n"/>
      <c r="C2305" s="105" t="n"/>
      <c r="D2305" s="105" t="n"/>
      <c r="E2305" s="105" t="n"/>
      <c r="F2305" s="105" t="n"/>
      <c r="G2305" s="105" t="n"/>
      <c r="H2305" s="2" t="n"/>
      <c r="I2305" s="105" t="n"/>
      <c r="K2305" s="215" t="n"/>
      <c r="L2305" s="215" t="n"/>
      <c r="M2305" s="215" t="n"/>
      <c r="N2305" s="215" t="n"/>
      <c r="O2305" s="215" t="n"/>
      <c r="P2305" s="215" t="n"/>
      <c r="Q2305" s="215" t="n"/>
      <c r="R2305" s="215" t="n"/>
      <c r="S2305" s="215" t="n"/>
      <c r="T2305" s="215" t="n"/>
      <c r="U2305" s="215" t="n"/>
      <c r="V2305" s="215" t="n"/>
      <c r="W2305" s="215" t="n"/>
      <c r="X2305" s="215" t="n"/>
      <c r="Y2305" s="215" t="n"/>
      <c r="Z2305" s="215" t="n"/>
      <c r="AA2305" s="215" t="n"/>
      <c r="AB2305" s="215" t="n"/>
      <c r="AC2305" s="215" t="n"/>
      <c r="AD2305" s="215" t="n"/>
      <c r="AE2305" s="215" t="n"/>
      <c r="AF2305" s="215" t="n"/>
      <c r="AG2305" s="215" t="n"/>
      <c r="AH2305" s="215" t="n"/>
      <c r="AI2305" s="215" t="n"/>
      <c r="AJ2305" s="215" t="n"/>
      <c r="AK2305" s="216" t="n"/>
    </row>
    <row r="2306" ht="15" customHeight="1">
      <c r="B2306" s="134" t="n"/>
      <c r="C2306" s="105" t="n"/>
      <c r="D2306" s="105" t="n"/>
      <c r="E2306" s="105" t="n"/>
      <c r="F2306" s="105" t="n"/>
      <c r="G2306" s="105" t="n"/>
      <c r="H2306" s="2" t="n"/>
      <c r="I2306" s="105" t="n"/>
      <c r="K2306" s="215" t="n"/>
      <c r="L2306" s="215" t="n"/>
      <c r="M2306" s="215" t="n"/>
      <c r="N2306" s="215" t="n"/>
      <c r="O2306" s="215" t="n"/>
      <c r="P2306" s="215" t="n"/>
      <c r="Q2306" s="215" t="n"/>
      <c r="R2306" s="215" t="n"/>
      <c r="S2306" s="215" t="n"/>
      <c r="T2306" s="215" t="n"/>
      <c r="U2306" s="215" t="n"/>
      <c r="V2306" s="215" t="n"/>
      <c r="W2306" s="215" t="n"/>
      <c r="X2306" s="215" t="n"/>
      <c r="Y2306" s="215" t="n"/>
      <c r="Z2306" s="215" t="n"/>
      <c r="AA2306" s="215" t="n"/>
      <c r="AB2306" s="215" t="n"/>
      <c r="AC2306" s="215" t="n"/>
      <c r="AD2306" s="215" t="n"/>
      <c r="AE2306" s="215" t="n"/>
      <c r="AF2306" s="215" t="n"/>
      <c r="AG2306" s="215" t="n"/>
      <c r="AH2306" s="215" t="n"/>
      <c r="AI2306" s="215" t="n"/>
      <c r="AJ2306" s="215" t="n"/>
      <c r="AK2306" s="216" t="n"/>
    </row>
    <row r="2307" ht="15" customHeight="1">
      <c r="B2307" s="134" t="n"/>
      <c r="C2307" s="105" t="n"/>
      <c r="D2307" s="105" t="n"/>
      <c r="E2307" s="105" t="n"/>
      <c r="F2307" s="105" t="n"/>
      <c r="G2307" s="105" t="n"/>
      <c r="H2307" s="2" t="n"/>
      <c r="I2307" s="105" t="n"/>
      <c r="K2307" s="215" t="n"/>
      <c r="L2307" s="215" t="n"/>
      <c r="M2307" s="215" t="n"/>
      <c r="N2307" s="215" t="n"/>
      <c r="O2307" s="215" t="n"/>
      <c r="P2307" s="215" t="n"/>
      <c r="Q2307" s="215" t="n"/>
      <c r="R2307" s="215" t="n"/>
      <c r="S2307" s="215" t="n"/>
      <c r="T2307" s="215" t="n"/>
      <c r="U2307" s="215" t="n"/>
      <c r="V2307" s="215" t="n"/>
      <c r="W2307" s="215" t="n"/>
      <c r="X2307" s="215" t="n"/>
      <c r="Y2307" s="215" t="n"/>
      <c r="Z2307" s="215" t="n"/>
      <c r="AA2307" s="215" t="n"/>
      <c r="AB2307" s="215" t="n"/>
      <c r="AC2307" s="215" t="n"/>
      <c r="AD2307" s="215" t="n"/>
      <c r="AE2307" s="215" t="n"/>
      <c r="AF2307" s="215" t="n"/>
      <c r="AG2307" s="215" t="n"/>
      <c r="AH2307" s="215" t="n"/>
      <c r="AI2307" s="215" t="n"/>
      <c r="AJ2307" s="215" t="n"/>
      <c r="AK2307" s="216" t="n"/>
    </row>
    <row r="2308" ht="15" customHeight="1">
      <c r="B2308" s="134" t="n"/>
      <c r="C2308" s="105" t="n"/>
      <c r="D2308" s="105" t="n"/>
      <c r="E2308" s="105" t="n"/>
      <c r="F2308" s="105" t="n"/>
      <c r="G2308" s="105" t="n"/>
      <c r="H2308" s="2" t="n"/>
      <c r="I2308" s="105" t="n"/>
      <c r="K2308" s="215" t="n"/>
      <c r="L2308" s="215" t="n"/>
      <c r="M2308" s="215" t="n"/>
      <c r="N2308" s="215" t="n"/>
      <c r="O2308" s="215" t="n"/>
      <c r="P2308" s="215" t="n"/>
      <c r="Q2308" s="215" t="n"/>
      <c r="R2308" s="215" t="n"/>
      <c r="S2308" s="215" t="n"/>
      <c r="T2308" s="215" t="n"/>
      <c r="U2308" s="215" t="n"/>
      <c r="V2308" s="215" t="n"/>
      <c r="W2308" s="215" t="n"/>
      <c r="X2308" s="215" t="n"/>
      <c r="Y2308" s="215" t="n"/>
      <c r="Z2308" s="215" t="n"/>
      <c r="AA2308" s="215" t="n"/>
      <c r="AB2308" s="215" t="n"/>
      <c r="AC2308" s="215" t="n"/>
      <c r="AD2308" s="215" t="n"/>
      <c r="AE2308" s="215" t="n"/>
      <c r="AF2308" s="215" t="n"/>
      <c r="AG2308" s="215" t="n"/>
      <c r="AH2308" s="215" t="n"/>
      <c r="AI2308" s="215" t="n"/>
      <c r="AJ2308" s="215" t="n"/>
      <c r="AK2308" s="216" t="n"/>
    </row>
    <row r="2309" ht="15" customHeight="1">
      <c r="B2309" s="134" t="n"/>
      <c r="C2309" s="105" t="n"/>
      <c r="D2309" s="105" t="n"/>
      <c r="E2309" s="105" t="n"/>
      <c r="F2309" s="105" t="n"/>
      <c r="G2309" s="105" t="n"/>
      <c r="H2309" s="2" t="n"/>
      <c r="I2309" s="105" t="n"/>
      <c r="K2309" s="215" t="n"/>
      <c r="L2309" s="215" t="n"/>
      <c r="M2309" s="215" t="n"/>
      <c r="N2309" s="215" t="n"/>
      <c r="O2309" s="215" t="n"/>
      <c r="P2309" s="215" t="n"/>
      <c r="Q2309" s="215" t="n"/>
      <c r="R2309" s="215" t="n"/>
      <c r="S2309" s="215" t="n"/>
      <c r="T2309" s="215" t="n"/>
      <c r="U2309" s="215" t="n"/>
      <c r="V2309" s="215" t="n"/>
      <c r="W2309" s="215" t="n"/>
      <c r="X2309" s="215" t="n"/>
      <c r="Y2309" s="215" t="n"/>
      <c r="Z2309" s="215" t="n"/>
      <c r="AA2309" s="215" t="n"/>
      <c r="AB2309" s="215" t="n"/>
      <c r="AC2309" s="215" t="n"/>
      <c r="AD2309" s="215" t="n"/>
      <c r="AE2309" s="215" t="n"/>
      <c r="AF2309" s="215" t="n"/>
      <c r="AG2309" s="215" t="n"/>
      <c r="AH2309" s="215" t="n"/>
      <c r="AI2309" s="215" t="n"/>
      <c r="AJ2309" s="215" t="n"/>
      <c r="AK2309" s="216" t="n"/>
    </row>
    <row r="2310" ht="15" customHeight="1">
      <c r="B2310" s="134" t="n"/>
      <c r="C2310" s="105" t="n"/>
      <c r="D2310" s="105" t="n"/>
      <c r="E2310" s="105" t="n"/>
      <c r="F2310" s="105" t="n"/>
      <c r="G2310" s="105" t="n"/>
      <c r="H2310" s="2" t="n"/>
      <c r="I2310" s="105" t="n"/>
      <c r="K2310" s="215" t="n"/>
      <c r="L2310" s="215" t="n"/>
      <c r="M2310" s="215" t="n"/>
      <c r="N2310" s="215" t="n"/>
      <c r="O2310" s="215" t="n"/>
      <c r="P2310" s="215" t="n"/>
      <c r="Q2310" s="215" t="n"/>
      <c r="R2310" s="215" t="n"/>
      <c r="S2310" s="215" t="n"/>
      <c r="T2310" s="215" t="n"/>
      <c r="U2310" s="215" t="n"/>
      <c r="V2310" s="215" t="n"/>
      <c r="W2310" s="215" t="n"/>
      <c r="X2310" s="215" t="n"/>
      <c r="Y2310" s="215" t="n"/>
      <c r="Z2310" s="215" t="n"/>
      <c r="AA2310" s="215" t="n"/>
      <c r="AB2310" s="215" t="n"/>
      <c r="AC2310" s="215" t="n"/>
      <c r="AD2310" s="215" t="n"/>
      <c r="AE2310" s="215" t="n"/>
      <c r="AF2310" s="215" t="n"/>
      <c r="AG2310" s="215" t="n"/>
      <c r="AH2310" s="215" t="n"/>
      <c r="AI2310" s="215" t="n"/>
      <c r="AJ2310" s="215" t="n"/>
      <c r="AK2310" s="216" t="n"/>
    </row>
    <row r="2311" ht="15" customHeight="1">
      <c r="B2311" s="134" t="n"/>
      <c r="C2311" s="105" t="n"/>
      <c r="D2311" s="105" t="n"/>
      <c r="E2311" s="105" t="n"/>
      <c r="F2311" s="105" t="n"/>
      <c r="G2311" s="105" t="n"/>
      <c r="H2311" s="2" t="n"/>
      <c r="I2311" s="105" t="n"/>
      <c r="K2311" s="215" t="n"/>
      <c r="L2311" s="215" t="n"/>
      <c r="M2311" s="215" t="n"/>
      <c r="N2311" s="215" t="n"/>
      <c r="O2311" s="215" t="n"/>
      <c r="P2311" s="215" t="n"/>
      <c r="Q2311" s="215" t="n"/>
      <c r="R2311" s="215" t="n"/>
      <c r="S2311" s="215" t="n"/>
      <c r="T2311" s="215" t="n"/>
      <c r="U2311" s="215" t="n"/>
      <c r="V2311" s="215" t="n"/>
      <c r="W2311" s="215" t="n"/>
      <c r="X2311" s="215" t="n"/>
      <c r="Y2311" s="215" t="n"/>
      <c r="Z2311" s="215" t="n"/>
      <c r="AA2311" s="215" t="n"/>
      <c r="AB2311" s="215" t="n"/>
      <c r="AC2311" s="215" t="n"/>
      <c r="AD2311" s="215" t="n"/>
      <c r="AE2311" s="215" t="n"/>
      <c r="AF2311" s="215" t="n"/>
      <c r="AG2311" s="215" t="n"/>
      <c r="AH2311" s="215" t="n"/>
      <c r="AI2311" s="215" t="n"/>
      <c r="AJ2311" s="215" t="n"/>
      <c r="AK2311" s="216" t="n"/>
    </row>
    <row r="2312" ht="15" customHeight="1">
      <c r="B2312" s="134" t="n"/>
      <c r="C2312" s="105" t="n"/>
      <c r="D2312" s="105" t="n"/>
      <c r="E2312" s="105" t="n"/>
      <c r="F2312" s="105" t="n"/>
      <c r="G2312" s="105" t="n"/>
      <c r="H2312" s="2" t="n"/>
      <c r="I2312" s="105" t="n"/>
      <c r="K2312" s="215" t="n"/>
      <c r="L2312" s="215" t="n"/>
      <c r="M2312" s="215" t="n"/>
      <c r="N2312" s="215" t="n"/>
      <c r="O2312" s="215" t="n"/>
      <c r="P2312" s="215" t="n"/>
      <c r="Q2312" s="215" t="n"/>
      <c r="R2312" s="215" t="n"/>
      <c r="S2312" s="215" t="n"/>
      <c r="T2312" s="215" t="n"/>
      <c r="U2312" s="215" t="n"/>
      <c r="V2312" s="215" t="n"/>
      <c r="W2312" s="215" t="n"/>
      <c r="X2312" s="215" t="n"/>
      <c r="Y2312" s="215" t="n"/>
      <c r="Z2312" s="215" t="n"/>
      <c r="AA2312" s="215" t="n"/>
      <c r="AB2312" s="215" t="n"/>
      <c r="AC2312" s="215" t="n"/>
      <c r="AD2312" s="215" t="n"/>
      <c r="AE2312" s="215" t="n"/>
      <c r="AF2312" s="215" t="n"/>
      <c r="AG2312" s="215" t="n"/>
      <c r="AH2312" s="215" t="n"/>
      <c r="AI2312" s="215" t="n"/>
      <c r="AJ2312" s="215" t="n"/>
      <c r="AK2312" s="216" t="n"/>
    </row>
    <row r="2313" ht="15" customHeight="1">
      <c r="B2313" s="134" t="n"/>
      <c r="C2313" s="105" t="n"/>
      <c r="D2313" s="105" t="n"/>
      <c r="E2313" s="105" t="n"/>
      <c r="F2313" s="105" t="n"/>
      <c r="G2313" s="105" t="n"/>
      <c r="H2313" s="2" t="n"/>
      <c r="I2313" s="105" t="n"/>
      <c r="K2313" s="215" t="n"/>
      <c r="L2313" s="215" t="n"/>
      <c r="M2313" s="215" t="n"/>
      <c r="N2313" s="215" t="n"/>
      <c r="O2313" s="215" t="n"/>
      <c r="P2313" s="215" t="n"/>
      <c r="Q2313" s="215" t="n"/>
      <c r="R2313" s="215" t="n"/>
      <c r="S2313" s="215" t="n"/>
      <c r="T2313" s="215" t="n"/>
      <c r="U2313" s="215" t="n"/>
      <c r="V2313" s="215" t="n"/>
      <c r="W2313" s="215" t="n"/>
      <c r="X2313" s="215" t="n"/>
      <c r="Y2313" s="215" t="n"/>
      <c r="Z2313" s="215" t="n"/>
      <c r="AA2313" s="215" t="n"/>
      <c r="AB2313" s="215" t="n"/>
      <c r="AC2313" s="215" t="n"/>
      <c r="AD2313" s="215" t="n"/>
      <c r="AE2313" s="215" t="n"/>
      <c r="AF2313" s="215" t="n"/>
      <c r="AG2313" s="215" t="n"/>
      <c r="AH2313" s="215" t="n"/>
      <c r="AI2313" s="215" t="n"/>
      <c r="AJ2313" s="215" t="n"/>
      <c r="AK2313" s="216" t="n"/>
    </row>
    <row r="2314" ht="15" customHeight="1">
      <c r="B2314" s="134" t="n"/>
      <c r="C2314" s="105" t="n"/>
      <c r="D2314" s="105" t="n"/>
      <c r="E2314" s="105" t="n"/>
      <c r="F2314" s="105" t="n"/>
      <c r="G2314" s="105" t="n"/>
      <c r="H2314" s="2" t="n"/>
      <c r="I2314" s="105" t="n"/>
      <c r="K2314" s="215" t="n"/>
      <c r="L2314" s="215" t="n"/>
      <c r="M2314" s="215" t="n"/>
      <c r="N2314" s="215" t="n"/>
      <c r="O2314" s="215" t="n"/>
      <c r="P2314" s="215" t="n"/>
      <c r="Q2314" s="215" t="n"/>
      <c r="R2314" s="215" t="n"/>
      <c r="S2314" s="215" t="n"/>
      <c r="T2314" s="215" t="n"/>
      <c r="U2314" s="215" t="n"/>
      <c r="V2314" s="215" t="n"/>
      <c r="W2314" s="215" t="n"/>
      <c r="X2314" s="215" t="n"/>
      <c r="Y2314" s="215" t="n"/>
      <c r="Z2314" s="215" t="n"/>
      <c r="AA2314" s="215" t="n"/>
      <c r="AB2314" s="215" t="n"/>
      <c r="AC2314" s="215" t="n"/>
      <c r="AD2314" s="215" t="n"/>
      <c r="AE2314" s="215" t="n"/>
      <c r="AF2314" s="215" t="n"/>
      <c r="AG2314" s="215" t="n"/>
      <c r="AH2314" s="215" t="n"/>
      <c r="AI2314" s="215" t="n"/>
      <c r="AJ2314" s="215" t="n"/>
      <c r="AK2314" s="216" t="n"/>
    </row>
    <row r="2315" ht="15" customHeight="1">
      <c r="B2315" s="134" t="n"/>
      <c r="C2315" s="105" t="n"/>
      <c r="D2315" s="105" t="n"/>
      <c r="E2315" s="105" t="n"/>
      <c r="F2315" s="105" t="n"/>
      <c r="G2315" s="105" t="n"/>
      <c r="H2315" s="2" t="n"/>
      <c r="I2315" s="105" t="n"/>
      <c r="K2315" s="215" t="n"/>
      <c r="L2315" s="215" t="n"/>
      <c r="M2315" s="215" t="n"/>
      <c r="N2315" s="215" t="n"/>
      <c r="O2315" s="215" t="n"/>
      <c r="P2315" s="215" t="n"/>
      <c r="Q2315" s="215" t="n"/>
      <c r="R2315" s="215" t="n"/>
      <c r="S2315" s="215" t="n"/>
      <c r="T2315" s="215" t="n"/>
      <c r="U2315" s="215" t="n"/>
      <c r="V2315" s="215" t="n"/>
      <c r="W2315" s="215" t="n"/>
      <c r="X2315" s="215" t="n"/>
      <c r="Y2315" s="215" t="n"/>
      <c r="Z2315" s="215" t="n"/>
      <c r="AA2315" s="215" t="n"/>
      <c r="AB2315" s="215" t="n"/>
      <c r="AC2315" s="215" t="n"/>
      <c r="AD2315" s="215" t="n"/>
      <c r="AE2315" s="215" t="n"/>
      <c r="AF2315" s="215" t="n"/>
      <c r="AG2315" s="215" t="n"/>
      <c r="AH2315" s="215" t="n"/>
      <c r="AI2315" s="215" t="n"/>
      <c r="AJ2315" s="215" t="n"/>
      <c r="AK2315" s="216" t="n"/>
    </row>
    <row r="2316" ht="15" customHeight="1">
      <c r="B2316" s="134" t="n"/>
      <c r="C2316" s="105" t="n"/>
      <c r="D2316" s="105" t="n"/>
      <c r="E2316" s="105" t="n"/>
      <c r="F2316" s="105" t="n"/>
      <c r="G2316" s="105" t="n"/>
      <c r="H2316" s="2" t="n"/>
      <c r="I2316" s="105" t="n"/>
      <c r="K2316" s="215" t="n"/>
      <c r="L2316" s="215" t="n"/>
      <c r="M2316" s="215" t="n"/>
      <c r="N2316" s="215" t="n"/>
      <c r="O2316" s="215" t="n"/>
      <c r="P2316" s="215" t="n"/>
      <c r="Q2316" s="215" t="n"/>
      <c r="R2316" s="215" t="n"/>
      <c r="S2316" s="215" t="n"/>
      <c r="T2316" s="215" t="n"/>
      <c r="U2316" s="215" t="n"/>
      <c r="V2316" s="215" t="n"/>
      <c r="W2316" s="215" t="n"/>
      <c r="X2316" s="215" t="n"/>
      <c r="Y2316" s="215" t="n"/>
      <c r="Z2316" s="215" t="n"/>
      <c r="AA2316" s="215" t="n"/>
      <c r="AB2316" s="215" t="n"/>
      <c r="AC2316" s="215" t="n"/>
      <c r="AD2316" s="215" t="n"/>
      <c r="AE2316" s="215" t="n"/>
      <c r="AF2316" s="215" t="n"/>
      <c r="AG2316" s="215" t="n"/>
      <c r="AH2316" s="215" t="n"/>
      <c r="AI2316" s="215" t="n"/>
      <c r="AJ2316" s="215" t="n"/>
      <c r="AK2316" s="216" t="n"/>
    </row>
    <row r="2317" ht="15" customHeight="1">
      <c r="B2317" s="134" t="n"/>
      <c r="C2317" s="105" t="n"/>
      <c r="D2317" s="105" t="n"/>
      <c r="E2317" s="105" t="n"/>
      <c r="F2317" s="105" t="n"/>
      <c r="G2317" s="105" t="n"/>
      <c r="H2317" s="2" t="n"/>
      <c r="I2317" s="105" t="n"/>
      <c r="K2317" s="215" t="n"/>
      <c r="L2317" s="215" t="n"/>
      <c r="M2317" s="215" t="n"/>
      <c r="N2317" s="215" t="n"/>
      <c r="O2317" s="215" t="n"/>
      <c r="P2317" s="215" t="n"/>
      <c r="Q2317" s="215" t="n"/>
      <c r="R2317" s="215" t="n"/>
      <c r="S2317" s="215" t="n"/>
      <c r="T2317" s="215" t="n"/>
      <c r="U2317" s="215" t="n"/>
      <c r="V2317" s="215" t="n"/>
      <c r="W2317" s="215" t="n"/>
      <c r="X2317" s="215" t="n"/>
      <c r="Y2317" s="215" t="n"/>
      <c r="Z2317" s="215" t="n"/>
      <c r="AA2317" s="215" t="n"/>
      <c r="AB2317" s="215" t="n"/>
      <c r="AC2317" s="215" t="n"/>
      <c r="AD2317" s="215" t="n"/>
      <c r="AE2317" s="215" t="n"/>
      <c r="AF2317" s="215" t="n"/>
      <c r="AG2317" s="215" t="n"/>
      <c r="AH2317" s="215" t="n"/>
      <c r="AI2317" s="215" t="n"/>
      <c r="AJ2317" s="215" t="n"/>
      <c r="AK2317" s="216" t="n"/>
    </row>
    <row r="2318" ht="15" customHeight="1">
      <c r="B2318" s="134" t="n"/>
      <c r="C2318" s="105" t="n"/>
      <c r="D2318" s="105" t="n"/>
      <c r="E2318" s="105" t="n"/>
      <c r="F2318" s="105" t="n"/>
      <c r="G2318" s="105" t="n"/>
      <c r="H2318" s="2" t="n"/>
      <c r="I2318" s="105" t="n"/>
      <c r="K2318" s="215" t="n"/>
      <c r="L2318" s="215" t="n"/>
      <c r="M2318" s="215" t="n"/>
      <c r="N2318" s="215" t="n"/>
      <c r="O2318" s="215" t="n"/>
      <c r="P2318" s="215" t="n"/>
      <c r="Q2318" s="215" t="n"/>
      <c r="R2318" s="215" t="n"/>
      <c r="S2318" s="215" t="n"/>
      <c r="T2318" s="215" t="n"/>
      <c r="U2318" s="215" t="n"/>
      <c r="V2318" s="215" t="n"/>
      <c r="W2318" s="215" t="n"/>
      <c r="X2318" s="215" t="n"/>
      <c r="Y2318" s="215" t="n"/>
      <c r="Z2318" s="215" t="n"/>
      <c r="AA2318" s="215" t="n"/>
      <c r="AB2318" s="215" t="n"/>
      <c r="AC2318" s="215" t="n"/>
      <c r="AD2318" s="215" t="n"/>
      <c r="AE2318" s="215" t="n"/>
      <c r="AF2318" s="215" t="n"/>
      <c r="AG2318" s="215" t="n"/>
      <c r="AH2318" s="215" t="n"/>
      <c r="AI2318" s="215" t="n"/>
      <c r="AJ2318" s="215" t="n"/>
      <c r="AK2318" s="216" t="n"/>
    </row>
    <row r="2319" ht="15" customHeight="1">
      <c r="B2319" s="134" t="n"/>
      <c r="C2319" s="105" t="n"/>
      <c r="D2319" s="105" t="n"/>
      <c r="E2319" s="105" t="n"/>
      <c r="F2319" s="105" t="n"/>
      <c r="G2319" s="105" t="n"/>
      <c r="H2319" s="2" t="n"/>
      <c r="I2319" s="105" t="n"/>
      <c r="K2319" s="215" t="n"/>
      <c r="L2319" s="215" t="n"/>
      <c r="M2319" s="215" t="n"/>
      <c r="N2319" s="215" t="n"/>
      <c r="O2319" s="215" t="n"/>
      <c r="P2319" s="215" t="n"/>
      <c r="Q2319" s="215" t="n"/>
      <c r="R2319" s="215" t="n"/>
      <c r="S2319" s="215" t="n"/>
      <c r="T2319" s="215" t="n"/>
      <c r="U2319" s="215" t="n"/>
      <c r="V2319" s="215" t="n"/>
      <c r="W2319" s="215" t="n"/>
      <c r="X2319" s="215" t="n"/>
      <c r="Y2319" s="215" t="n"/>
      <c r="Z2319" s="215" t="n"/>
      <c r="AA2319" s="215" t="n"/>
      <c r="AB2319" s="215" t="n"/>
      <c r="AC2319" s="215" t="n"/>
      <c r="AD2319" s="215" t="n"/>
      <c r="AE2319" s="215" t="n"/>
      <c r="AF2319" s="215" t="n"/>
      <c r="AG2319" s="215" t="n"/>
      <c r="AH2319" s="215" t="n"/>
      <c r="AI2319" s="215" t="n"/>
      <c r="AJ2319" s="215" t="n"/>
      <c r="AK2319" s="216" t="n"/>
    </row>
    <row r="2320" ht="15" customHeight="1">
      <c r="B2320" s="134" t="n"/>
      <c r="C2320" s="105" t="n"/>
      <c r="D2320" s="105" t="n"/>
      <c r="E2320" s="105" t="n"/>
      <c r="F2320" s="105" t="n"/>
      <c r="G2320" s="105" t="n"/>
      <c r="H2320" s="2" t="n"/>
      <c r="I2320" s="105" t="n"/>
      <c r="K2320" s="215" t="n"/>
      <c r="L2320" s="215" t="n"/>
      <c r="M2320" s="215" t="n"/>
      <c r="N2320" s="215" t="n"/>
      <c r="O2320" s="215" t="n"/>
      <c r="P2320" s="215" t="n"/>
      <c r="Q2320" s="215" t="n"/>
      <c r="R2320" s="215" t="n"/>
      <c r="S2320" s="215" t="n"/>
      <c r="T2320" s="215" t="n"/>
      <c r="U2320" s="215" t="n"/>
      <c r="V2320" s="215" t="n"/>
      <c r="W2320" s="215" t="n"/>
      <c r="X2320" s="215" t="n"/>
      <c r="Y2320" s="215" t="n"/>
      <c r="Z2320" s="215" t="n"/>
      <c r="AA2320" s="215" t="n"/>
      <c r="AB2320" s="215" t="n"/>
      <c r="AC2320" s="215" t="n"/>
      <c r="AD2320" s="215" t="n"/>
      <c r="AE2320" s="215" t="n"/>
      <c r="AF2320" s="215" t="n"/>
      <c r="AG2320" s="215" t="n"/>
      <c r="AH2320" s="215" t="n"/>
      <c r="AI2320" s="215" t="n"/>
      <c r="AJ2320" s="215" t="n"/>
      <c r="AK2320" s="216" t="n"/>
    </row>
    <row r="2321" ht="15" customHeight="1">
      <c r="B2321" s="134" t="n"/>
      <c r="C2321" s="105" t="n"/>
      <c r="D2321" s="105" t="n"/>
      <c r="E2321" s="105" t="n"/>
      <c r="F2321" s="105" t="n"/>
      <c r="G2321" s="105" t="n"/>
      <c r="H2321" s="2" t="n"/>
      <c r="I2321" s="105" t="n"/>
      <c r="K2321" s="215" t="n"/>
      <c r="L2321" s="215" t="n"/>
      <c r="M2321" s="215" t="n"/>
      <c r="N2321" s="215" t="n"/>
      <c r="O2321" s="215" t="n"/>
      <c r="P2321" s="215" t="n"/>
      <c r="Q2321" s="215" t="n"/>
      <c r="R2321" s="215" t="n"/>
      <c r="S2321" s="215" t="n"/>
      <c r="T2321" s="215" t="n"/>
      <c r="U2321" s="215" t="n"/>
      <c r="V2321" s="215" t="n"/>
      <c r="W2321" s="215" t="n"/>
      <c r="X2321" s="215" t="n"/>
      <c r="Y2321" s="215" t="n"/>
      <c r="Z2321" s="215" t="n"/>
      <c r="AA2321" s="215" t="n"/>
      <c r="AB2321" s="215" t="n"/>
      <c r="AC2321" s="215" t="n"/>
      <c r="AD2321" s="215" t="n"/>
      <c r="AE2321" s="215" t="n"/>
      <c r="AF2321" s="215" t="n"/>
      <c r="AG2321" s="215" t="n"/>
      <c r="AH2321" s="215" t="n"/>
      <c r="AI2321" s="215" t="n"/>
      <c r="AJ2321" s="215" t="n"/>
      <c r="AK2321" s="216" t="n"/>
    </row>
    <row r="2322" ht="15" customHeight="1">
      <c r="B2322" s="134" t="n"/>
      <c r="C2322" s="105" t="n"/>
      <c r="D2322" s="105" t="n"/>
      <c r="E2322" s="105" t="n"/>
      <c r="F2322" s="105" t="n"/>
      <c r="G2322" s="105" t="n"/>
      <c r="H2322" s="2" t="n"/>
      <c r="I2322" s="105" t="n"/>
      <c r="K2322" s="215" t="n"/>
      <c r="L2322" s="215" t="n"/>
      <c r="M2322" s="215" t="n"/>
      <c r="N2322" s="215" t="n"/>
      <c r="O2322" s="215" t="n"/>
      <c r="P2322" s="215" t="n"/>
      <c r="Q2322" s="215" t="n"/>
      <c r="R2322" s="215" t="n"/>
      <c r="S2322" s="215" t="n"/>
      <c r="T2322" s="215" t="n"/>
      <c r="U2322" s="215" t="n"/>
      <c r="V2322" s="215" t="n"/>
      <c r="W2322" s="215" t="n"/>
      <c r="X2322" s="215" t="n"/>
      <c r="Y2322" s="215" t="n"/>
      <c r="Z2322" s="215" t="n"/>
      <c r="AA2322" s="215" t="n"/>
      <c r="AB2322" s="215" t="n"/>
      <c r="AC2322" s="215" t="n"/>
      <c r="AD2322" s="215" t="n"/>
      <c r="AE2322" s="215" t="n"/>
      <c r="AF2322" s="215" t="n"/>
      <c r="AG2322" s="215" t="n"/>
      <c r="AH2322" s="215" t="n"/>
      <c r="AI2322" s="215" t="n"/>
      <c r="AJ2322" s="215" t="n"/>
      <c r="AK2322" s="216" t="n"/>
    </row>
    <row r="2323" ht="15" customHeight="1">
      <c r="B2323" s="134" t="n"/>
      <c r="C2323" s="105" t="n"/>
      <c r="D2323" s="105" t="n"/>
      <c r="E2323" s="105" t="n"/>
      <c r="F2323" s="105" t="n"/>
      <c r="G2323" s="105" t="n"/>
      <c r="H2323" s="2" t="n"/>
      <c r="I2323" s="105" t="n"/>
      <c r="K2323" s="215" t="n"/>
      <c r="L2323" s="215" t="n"/>
      <c r="M2323" s="215" t="n"/>
      <c r="N2323" s="215" t="n"/>
      <c r="O2323" s="215" t="n"/>
      <c r="P2323" s="215" t="n"/>
      <c r="Q2323" s="215" t="n"/>
      <c r="R2323" s="215" t="n"/>
      <c r="S2323" s="215" t="n"/>
      <c r="T2323" s="215" t="n"/>
      <c r="U2323" s="215" t="n"/>
      <c r="V2323" s="215" t="n"/>
      <c r="W2323" s="215" t="n"/>
      <c r="X2323" s="215" t="n"/>
      <c r="Y2323" s="215" t="n"/>
      <c r="Z2323" s="215" t="n"/>
      <c r="AA2323" s="215" t="n"/>
      <c r="AB2323" s="215" t="n"/>
      <c r="AC2323" s="215" t="n"/>
      <c r="AD2323" s="215" t="n"/>
      <c r="AE2323" s="215" t="n"/>
      <c r="AF2323" s="215" t="n"/>
      <c r="AG2323" s="215" t="n"/>
      <c r="AH2323" s="215" t="n"/>
      <c r="AI2323" s="215" t="n"/>
      <c r="AJ2323" s="215" t="n"/>
      <c r="AK2323" s="216" t="n"/>
    </row>
    <row r="2324" ht="15" customHeight="1">
      <c r="B2324" s="134" t="n"/>
      <c r="C2324" s="105" t="n"/>
      <c r="D2324" s="105" t="n"/>
      <c r="E2324" s="105" t="n"/>
      <c r="F2324" s="105" t="n"/>
      <c r="G2324" s="105" t="n"/>
      <c r="H2324" s="2" t="n"/>
      <c r="I2324" s="105" t="n"/>
      <c r="K2324" s="215" t="n"/>
      <c r="L2324" s="215" t="n"/>
      <c r="M2324" s="215" t="n"/>
      <c r="N2324" s="215" t="n"/>
      <c r="O2324" s="215" t="n"/>
      <c r="P2324" s="215" t="n"/>
      <c r="Q2324" s="215" t="n"/>
      <c r="R2324" s="215" t="n"/>
      <c r="S2324" s="215" t="n"/>
      <c r="T2324" s="215" t="n"/>
      <c r="U2324" s="215" t="n"/>
      <c r="V2324" s="215" t="n"/>
      <c r="W2324" s="215" t="n"/>
      <c r="X2324" s="215" t="n"/>
      <c r="Y2324" s="215" t="n"/>
      <c r="Z2324" s="215" t="n"/>
      <c r="AA2324" s="215" t="n"/>
      <c r="AB2324" s="215" t="n"/>
      <c r="AC2324" s="215" t="n"/>
      <c r="AD2324" s="215" t="n"/>
      <c r="AE2324" s="215" t="n"/>
      <c r="AF2324" s="215" t="n"/>
      <c r="AG2324" s="215" t="n"/>
      <c r="AH2324" s="215" t="n"/>
      <c r="AI2324" s="215" t="n"/>
      <c r="AJ2324" s="215" t="n"/>
      <c r="AK2324" s="216" t="n"/>
    </row>
    <row r="2325" ht="15" customHeight="1">
      <c r="B2325" s="134" t="n"/>
      <c r="C2325" s="105" t="n"/>
      <c r="D2325" s="105" t="n"/>
      <c r="E2325" s="105" t="n"/>
      <c r="F2325" s="105" t="n"/>
      <c r="G2325" s="105" t="n"/>
      <c r="H2325" s="2" t="n"/>
      <c r="I2325" s="105" t="n"/>
      <c r="K2325" s="215" t="n"/>
      <c r="L2325" s="215" t="n"/>
      <c r="M2325" s="215" t="n"/>
      <c r="N2325" s="215" t="n"/>
      <c r="O2325" s="215" t="n"/>
      <c r="P2325" s="215" t="n"/>
      <c r="Q2325" s="215" t="n"/>
      <c r="R2325" s="215" t="n"/>
      <c r="S2325" s="215" t="n"/>
      <c r="T2325" s="215" t="n"/>
      <c r="U2325" s="215" t="n"/>
      <c r="V2325" s="215" t="n"/>
      <c r="W2325" s="215" t="n"/>
      <c r="X2325" s="215" t="n"/>
      <c r="Y2325" s="215" t="n"/>
      <c r="Z2325" s="215" t="n"/>
      <c r="AA2325" s="215" t="n"/>
      <c r="AB2325" s="215" t="n"/>
      <c r="AC2325" s="215" t="n"/>
      <c r="AD2325" s="215" t="n"/>
      <c r="AE2325" s="215" t="n"/>
      <c r="AF2325" s="215" t="n"/>
      <c r="AG2325" s="215" t="n"/>
      <c r="AH2325" s="215" t="n"/>
      <c r="AI2325" s="215" t="n"/>
      <c r="AJ2325" s="215" t="n"/>
      <c r="AK2325" s="216" t="n"/>
    </row>
    <row r="2326" ht="15" customHeight="1">
      <c r="B2326" s="134" t="n"/>
      <c r="C2326" s="105" t="n"/>
      <c r="D2326" s="105" t="n"/>
      <c r="E2326" s="105" t="n"/>
      <c r="F2326" s="105" t="n"/>
      <c r="G2326" s="105" t="n"/>
      <c r="H2326" s="2" t="n"/>
      <c r="I2326" s="105" t="n"/>
      <c r="K2326" s="215" t="n"/>
      <c r="L2326" s="215" t="n"/>
      <c r="M2326" s="215" t="n"/>
      <c r="N2326" s="215" t="n"/>
      <c r="O2326" s="215" t="n"/>
      <c r="P2326" s="215" t="n"/>
      <c r="Q2326" s="215" t="n"/>
      <c r="R2326" s="215" t="n"/>
      <c r="S2326" s="215" t="n"/>
      <c r="T2326" s="215" t="n"/>
      <c r="U2326" s="215" t="n"/>
      <c r="V2326" s="215" t="n"/>
      <c r="W2326" s="215" t="n"/>
      <c r="X2326" s="215" t="n"/>
      <c r="Y2326" s="215" t="n"/>
      <c r="Z2326" s="215" t="n"/>
      <c r="AA2326" s="215" t="n"/>
      <c r="AB2326" s="215" t="n"/>
      <c r="AC2326" s="215" t="n"/>
      <c r="AD2326" s="215" t="n"/>
      <c r="AE2326" s="215" t="n"/>
      <c r="AF2326" s="215" t="n"/>
      <c r="AG2326" s="215" t="n"/>
      <c r="AH2326" s="215" t="n"/>
      <c r="AI2326" s="215" t="n"/>
      <c r="AJ2326" s="215" t="n"/>
      <c r="AK2326" s="216" t="n"/>
    </row>
    <row r="2327" ht="15" customHeight="1">
      <c r="B2327" s="134" t="n"/>
      <c r="C2327" s="105" t="n"/>
      <c r="D2327" s="105" t="n"/>
      <c r="E2327" s="105" t="n"/>
      <c r="F2327" s="105" t="n"/>
      <c r="G2327" s="105" t="n"/>
      <c r="H2327" s="2" t="n"/>
      <c r="I2327" s="105" t="n"/>
      <c r="K2327" s="215" t="n"/>
      <c r="L2327" s="215" t="n"/>
      <c r="M2327" s="215" t="n"/>
      <c r="N2327" s="215" t="n"/>
      <c r="O2327" s="215" t="n"/>
      <c r="P2327" s="215" t="n"/>
      <c r="Q2327" s="215" t="n"/>
      <c r="R2327" s="215" t="n"/>
      <c r="S2327" s="215" t="n"/>
      <c r="T2327" s="215" t="n"/>
      <c r="U2327" s="215" t="n"/>
      <c r="V2327" s="215" t="n"/>
      <c r="W2327" s="215" t="n"/>
      <c r="X2327" s="215" t="n"/>
      <c r="Y2327" s="215" t="n"/>
      <c r="Z2327" s="215" t="n"/>
      <c r="AA2327" s="215" t="n"/>
      <c r="AB2327" s="215" t="n"/>
      <c r="AC2327" s="215" t="n"/>
      <c r="AD2327" s="215" t="n"/>
      <c r="AE2327" s="215" t="n"/>
      <c r="AF2327" s="215" t="n"/>
      <c r="AG2327" s="215" t="n"/>
      <c r="AH2327" s="215" t="n"/>
      <c r="AI2327" s="215" t="n"/>
      <c r="AJ2327" s="215" t="n"/>
      <c r="AK2327" s="216" t="n"/>
    </row>
    <row r="2328" ht="15" customHeight="1">
      <c r="B2328" s="134" t="n"/>
      <c r="C2328" s="105" t="n"/>
      <c r="D2328" s="105" t="n"/>
      <c r="E2328" s="105" t="n"/>
      <c r="F2328" s="105" t="n"/>
      <c r="G2328" s="105" t="n"/>
      <c r="H2328" s="2" t="n"/>
      <c r="I2328" s="105" t="n"/>
      <c r="K2328" s="215" t="n"/>
      <c r="L2328" s="215" t="n"/>
      <c r="M2328" s="215" t="n"/>
      <c r="N2328" s="215" t="n"/>
      <c r="O2328" s="215" t="n"/>
      <c r="P2328" s="215" t="n"/>
      <c r="Q2328" s="215" t="n"/>
      <c r="R2328" s="215" t="n"/>
      <c r="S2328" s="215" t="n"/>
      <c r="T2328" s="215" t="n"/>
      <c r="U2328" s="215" t="n"/>
      <c r="V2328" s="215" t="n"/>
      <c r="W2328" s="215" t="n"/>
      <c r="X2328" s="215" t="n"/>
      <c r="Y2328" s="215" t="n"/>
      <c r="Z2328" s="215" t="n"/>
      <c r="AA2328" s="215" t="n"/>
      <c r="AB2328" s="215" t="n"/>
      <c r="AC2328" s="215" t="n"/>
      <c r="AD2328" s="215" t="n"/>
      <c r="AE2328" s="215" t="n"/>
      <c r="AF2328" s="215" t="n"/>
      <c r="AG2328" s="215" t="n"/>
      <c r="AH2328" s="215" t="n"/>
      <c r="AI2328" s="215" t="n"/>
      <c r="AJ2328" s="215" t="n"/>
      <c r="AK2328" s="216" t="n"/>
    </row>
    <row r="2329" ht="15" customHeight="1">
      <c r="B2329" s="134" t="n"/>
      <c r="C2329" s="105" t="n"/>
      <c r="D2329" s="105" t="n"/>
      <c r="E2329" s="105" t="n"/>
      <c r="F2329" s="105" t="n"/>
      <c r="G2329" s="105" t="n"/>
      <c r="H2329" s="2" t="n"/>
      <c r="I2329" s="105" t="n"/>
      <c r="K2329" s="215" t="n"/>
      <c r="L2329" s="215" t="n"/>
      <c r="M2329" s="215" t="n"/>
      <c r="N2329" s="215" t="n"/>
      <c r="O2329" s="215" t="n"/>
      <c r="P2329" s="215" t="n"/>
      <c r="Q2329" s="215" t="n"/>
      <c r="R2329" s="215" t="n"/>
      <c r="S2329" s="215" t="n"/>
      <c r="T2329" s="215" t="n"/>
      <c r="U2329" s="215" t="n"/>
      <c r="V2329" s="215" t="n"/>
      <c r="W2329" s="215" t="n"/>
      <c r="X2329" s="215" t="n"/>
      <c r="Y2329" s="215" t="n"/>
      <c r="Z2329" s="215" t="n"/>
      <c r="AA2329" s="215" t="n"/>
      <c r="AB2329" s="215" t="n"/>
      <c r="AC2329" s="215" t="n"/>
      <c r="AD2329" s="215" t="n"/>
      <c r="AE2329" s="215" t="n"/>
      <c r="AF2329" s="215" t="n"/>
      <c r="AG2329" s="215" t="n"/>
      <c r="AH2329" s="215" t="n"/>
      <c r="AI2329" s="215" t="n"/>
      <c r="AJ2329" s="215" t="n"/>
      <c r="AK2329" s="216" t="n"/>
    </row>
    <row r="2330" ht="15" customHeight="1">
      <c r="B2330" s="134" t="n"/>
      <c r="C2330" s="105" t="n"/>
      <c r="D2330" s="105" t="n"/>
      <c r="E2330" s="105" t="n"/>
      <c r="F2330" s="105" t="n"/>
      <c r="G2330" s="105" t="n"/>
      <c r="H2330" s="2" t="n"/>
      <c r="I2330" s="105" t="n"/>
      <c r="K2330" s="215" t="n"/>
      <c r="L2330" s="215" t="n"/>
      <c r="M2330" s="215" t="n"/>
      <c r="N2330" s="215" t="n"/>
      <c r="O2330" s="215" t="n"/>
      <c r="P2330" s="215" t="n"/>
      <c r="Q2330" s="215" t="n"/>
      <c r="R2330" s="215" t="n"/>
      <c r="S2330" s="215" t="n"/>
      <c r="T2330" s="215" t="n"/>
      <c r="U2330" s="215" t="n"/>
      <c r="V2330" s="215" t="n"/>
      <c r="W2330" s="215" t="n"/>
      <c r="X2330" s="215" t="n"/>
      <c r="Y2330" s="215" t="n"/>
      <c r="Z2330" s="215" t="n"/>
      <c r="AA2330" s="215" t="n"/>
      <c r="AB2330" s="215" t="n"/>
      <c r="AC2330" s="215" t="n"/>
      <c r="AD2330" s="215" t="n"/>
      <c r="AE2330" s="215" t="n"/>
      <c r="AF2330" s="215" t="n"/>
      <c r="AG2330" s="215" t="n"/>
      <c r="AH2330" s="215" t="n"/>
      <c r="AI2330" s="215" t="n"/>
      <c r="AJ2330" s="215" t="n"/>
      <c r="AK2330" s="216" t="n"/>
    </row>
    <row r="2331" ht="15" customHeight="1">
      <c r="B2331" s="134" t="n"/>
      <c r="C2331" s="105" t="n"/>
      <c r="D2331" s="105" t="n"/>
      <c r="E2331" s="105" t="n"/>
      <c r="F2331" s="105" t="n"/>
      <c r="G2331" s="105" t="n"/>
      <c r="H2331" s="2" t="n"/>
      <c r="I2331" s="105" t="n"/>
      <c r="K2331" s="215" t="n"/>
      <c r="L2331" s="215" t="n"/>
      <c r="M2331" s="215" t="n"/>
      <c r="N2331" s="215" t="n"/>
      <c r="O2331" s="215" t="n"/>
      <c r="P2331" s="215" t="n"/>
      <c r="Q2331" s="215" t="n"/>
      <c r="R2331" s="215" t="n"/>
      <c r="S2331" s="215" t="n"/>
      <c r="T2331" s="215" t="n"/>
      <c r="U2331" s="215" t="n"/>
      <c r="V2331" s="215" t="n"/>
      <c r="W2331" s="215" t="n"/>
      <c r="X2331" s="215" t="n"/>
      <c r="Y2331" s="215" t="n"/>
      <c r="Z2331" s="215" t="n"/>
      <c r="AA2331" s="215" t="n"/>
      <c r="AB2331" s="215" t="n"/>
      <c r="AC2331" s="215" t="n"/>
      <c r="AD2331" s="215" t="n"/>
      <c r="AE2331" s="215" t="n"/>
      <c r="AF2331" s="215" t="n"/>
      <c r="AG2331" s="215" t="n"/>
      <c r="AH2331" s="215" t="n"/>
      <c r="AI2331" s="215" t="n"/>
      <c r="AJ2331" s="215" t="n"/>
      <c r="AK2331" s="216" t="n"/>
    </row>
    <row r="2332" ht="15" customHeight="1">
      <c r="B2332" s="134" t="n"/>
      <c r="C2332" s="105" t="n"/>
      <c r="D2332" s="105" t="n"/>
      <c r="E2332" s="105" t="n"/>
      <c r="F2332" s="105" t="n"/>
      <c r="G2332" s="105" t="n"/>
      <c r="H2332" s="2" t="n"/>
      <c r="I2332" s="105" t="n"/>
      <c r="K2332" s="215" t="n"/>
      <c r="L2332" s="215" t="n"/>
      <c r="M2332" s="215" t="n"/>
      <c r="N2332" s="215" t="n"/>
      <c r="O2332" s="215" t="n"/>
      <c r="P2332" s="215" t="n"/>
      <c r="Q2332" s="215" t="n"/>
      <c r="R2332" s="215" t="n"/>
      <c r="S2332" s="215" t="n"/>
      <c r="T2332" s="215" t="n"/>
      <c r="U2332" s="215" t="n"/>
      <c r="V2332" s="215" t="n"/>
      <c r="W2332" s="215" t="n"/>
      <c r="X2332" s="215" t="n"/>
      <c r="Y2332" s="215" t="n"/>
      <c r="Z2332" s="215" t="n"/>
      <c r="AA2332" s="215" t="n"/>
      <c r="AB2332" s="215" t="n"/>
      <c r="AC2332" s="215" t="n"/>
      <c r="AD2332" s="215" t="n"/>
      <c r="AE2332" s="215" t="n"/>
      <c r="AF2332" s="215" t="n"/>
      <c r="AG2332" s="215" t="n"/>
      <c r="AH2332" s="215" t="n"/>
      <c r="AI2332" s="215" t="n"/>
      <c r="AJ2332" s="215" t="n"/>
      <c r="AK2332" s="216" t="n"/>
    </row>
    <row r="2333" ht="15" customHeight="1">
      <c r="B2333" s="134" t="n"/>
      <c r="C2333" s="105" t="n"/>
      <c r="D2333" s="105" t="n"/>
      <c r="E2333" s="105" t="n"/>
      <c r="F2333" s="105" t="n"/>
      <c r="G2333" s="105" t="n"/>
      <c r="H2333" s="2" t="n"/>
      <c r="I2333" s="105" t="n"/>
      <c r="K2333" s="215" t="n"/>
      <c r="L2333" s="215" t="n"/>
      <c r="M2333" s="215" t="n"/>
      <c r="N2333" s="215" t="n"/>
      <c r="O2333" s="215" t="n"/>
      <c r="P2333" s="215" t="n"/>
      <c r="Q2333" s="215" t="n"/>
      <c r="R2333" s="215" t="n"/>
      <c r="S2333" s="215" t="n"/>
      <c r="T2333" s="215" t="n"/>
      <c r="U2333" s="215" t="n"/>
      <c r="V2333" s="215" t="n"/>
      <c r="W2333" s="215" t="n"/>
      <c r="X2333" s="215" t="n"/>
      <c r="Y2333" s="215" t="n"/>
      <c r="Z2333" s="215" t="n"/>
      <c r="AA2333" s="215" t="n"/>
      <c r="AB2333" s="215" t="n"/>
      <c r="AC2333" s="215" t="n"/>
      <c r="AD2333" s="215" t="n"/>
      <c r="AE2333" s="215" t="n"/>
      <c r="AF2333" s="215" t="n"/>
      <c r="AG2333" s="215" t="n"/>
      <c r="AH2333" s="215" t="n"/>
      <c r="AI2333" s="215" t="n"/>
      <c r="AJ2333" s="215" t="n"/>
      <c r="AK2333" s="216" t="n"/>
    </row>
    <row r="2334" ht="15" customHeight="1">
      <c r="B2334" s="134" t="n"/>
      <c r="C2334" s="105" t="n"/>
      <c r="D2334" s="105" t="n"/>
      <c r="E2334" s="105" t="n"/>
      <c r="F2334" s="105" t="n"/>
      <c r="G2334" s="105" t="n"/>
      <c r="H2334" s="2" t="n"/>
      <c r="I2334" s="105" t="n"/>
      <c r="K2334" s="215" t="n"/>
      <c r="L2334" s="215" t="n"/>
      <c r="M2334" s="215" t="n"/>
      <c r="N2334" s="215" t="n"/>
      <c r="O2334" s="215" t="n"/>
      <c r="P2334" s="215" t="n"/>
      <c r="Q2334" s="215" t="n"/>
      <c r="R2334" s="215" t="n"/>
      <c r="S2334" s="215" t="n"/>
      <c r="T2334" s="215" t="n"/>
      <c r="U2334" s="215" t="n"/>
      <c r="V2334" s="215" t="n"/>
      <c r="W2334" s="215" t="n"/>
      <c r="X2334" s="215" t="n"/>
      <c r="Y2334" s="215" t="n"/>
      <c r="Z2334" s="215" t="n"/>
      <c r="AA2334" s="215" t="n"/>
      <c r="AB2334" s="215" t="n"/>
      <c r="AC2334" s="215" t="n"/>
      <c r="AD2334" s="215" t="n"/>
      <c r="AE2334" s="215" t="n"/>
      <c r="AF2334" s="215" t="n"/>
      <c r="AG2334" s="215" t="n"/>
      <c r="AH2334" s="215" t="n"/>
      <c r="AI2334" s="215" t="n"/>
      <c r="AJ2334" s="215" t="n"/>
      <c r="AK2334" s="216" t="n"/>
    </row>
    <row r="2335" ht="15" customHeight="1">
      <c r="B2335" s="134" t="n"/>
      <c r="C2335" s="105" t="n"/>
      <c r="D2335" s="105" t="n"/>
      <c r="E2335" s="105" t="n"/>
      <c r="F2335" s="105" t="n"/>
      <c r="G2335" s="105" t="n"/>
      <c r="H2335" s="2" t="n"/>
      <c r="I2335" s="105" t="n"/>
      <c r="K2335" s="215" t="n"/>
      <c r="L2335" s="215" t="n"/>
      <c r="M2335" s="215" t="n"/>
      <c r="N2335" s="215" t="n"/>
      <c r="O2335" s="215" t="n"/>
      <c r="P2335" s="215" t="n"/>
      <c r="Q2335" s="215" t="n"/>
      <c r="R2335" s="215" t="n"/>
      <c r="S2335" s="215" t="n"/>
      <c r="T2335" s="215" t="n"/>
      <c r="U2335" s="215" t="n"/>
      <c r="V2335" s="215" t="n"/>
      <c r="W2335" s="215" t="n"/>
      <c r="X2335" s="215" t="n"/>
      <c r="Y2335" s="215" t="n"/>
      <c r="Z2335" s="215" t="n"/>
      <c r="AA2335" s="215" t="n"/>
      <c r="AB2335" s="215" t="n"/>
      <c r="AC2335" s="215" t="n"/>
      <c r="AD2335" s="215" t="n"/>
      <c r="AE2335" s="215" t="n"/>
      <c r="AF2335" s="215" t="n"/>
      <c r="AG2335" s="215" t="n"/>
      <c r="AH2335" s="215" t="n"/>
      <c r="AI2335" s="215" t="n"/>
      <c r="AJ2335" s="215" t="n"/>
      <c r="AK2335" s="216" t="n"/>
    </row>
    <row r="2336" ht="15" customHeight="1">
      <c r="B2336" s="134" t="n"/>
      <c r="C2336" s="105" t="n"/>
      <c r="D2336" s="105" t="n"/>
      <c r="E2336" s="105" t="n"/>
      <c r="F2336" s="105" t="n"/>
      <c r="G2336" s="105" t="n"/>
      <c r="H2336" s="2" t="n"/>
      <c r="I2336" s="105" t="n"/>
      <c r="K2336" s="215" t="n"/>
      <c r="L2336" s="215" t="n"/>
      <c r="M2336" s="215" t="n"/>
      <c r="N2336" s="215" t="n"/>
      <c r="O2336" s="215" t="n"/>
      <c r="P2336" s="215" t="n"/>
      <c r="Q2336" s="215" t="n"/>
      <c r="R2336" s="215" t="n"/>
      <c r="S2336" s="215" t="n"/>
      <c r="T2336" s="215" t="n"/>
      <c r="U2336" s="215" t="n"/>
      <c r="V2336" s="215" t="n"/>
      <c r="W2336" s="215" t="n"/>
      <c r="X2336" s="215" t="n"/>
      <c r="Y2336" s="215" t="n"/>
      <c r="Z2336" s="215" t="n"/>
      <c r="AA2336" s="215" t="n"/>
      <c r="AB2336" s="215" t="n"/>
      <c r="AC2336" s="215" t="n"/>
      <c r="AD2336" s="215" t="n"/>
      <c r="AE2336" s="215" t="n"/>
      <c r="AF2336" s="215" t="n"/>
      <c r="AG2336" s="215" t="n"/>
      <c r="AH2336" s="215" t="n"/>
      <c r="AI2336" s="215" t="n"/>
      <c r="AJ2336" s="215" t="n"/>
      <c r="AK2336" s="216" t="n"/>
    </row>
    <row r="2337" ht="15" customHeight="1">
      <c r="B2337" s="134" t="n"/>
      <c r="C2337" s="105" t="n"/>
      <c r="D2337" s="105" t="n"/>
      <c r="E2337" s="105" t="n"/>
      <c r="F2337" s="105" t="n"/>
      <c r="G2337" s="105" t="n"/>
      <c r="H2337" s="2" t="n"/>
      <c r="I2337" s="105" t="n"/>
      <c r="K2337" s="215" t="n"/>
      <c r="L2337" s="215" t="n"/>
      <c r="M2337" s="215" t="n"/>
      <c r="N2337" s="215" t="n"/>
      <c r="O2337" s="215" t="n"/>
      <c r="P2337" s="215" t="n"/>
      <c r="Q2337" s="215" t="n"/>
      <c r="R2337" s="215" t="n"/>
      <c r="S2337" s="215" t="n"/>
      <c r="T2337" s="215" t="n"/>
      <c r="U2337" s="215" t="n"/>
      <c r="V2337" s="215" t="n"/>
      <c r="W2337" s="215" t="n"/>
      <c r="X2337" s="215" t="n"/>
      <c r="Y2337" s="215" t="n"/>
      <c r="Z2337" s="215" t="n"/>
      <c r="AA2337" s="215" t="n"/>
      <c r="AB2337" s="215" t="n"/>
      <c r="AC2337" s="215" t="n"/>
      <c r="AD2337" s="215" t="n"/>
      <c r="AE2337" s="215" t="n"/>
      <c r="AF2337" s="215" t="n"/>
      <c r="AG2337" s="215" t="n"/>
      <c r="AH2337" s="215" t="n"/>
      <c r="AI2337" s="215" t="n"/>
      <c r="AJ2337" s="215" t="n"/>
      <c r="AK2337" s="216" t="n"/>
    </row>
    <row r="2338" ht="15" customHeight="1">
      <c r="B2338" s="134" t="n"/>
      <c r="C2338" s="105" t="n"/>
      <c r="D2338" s="105" t="n"/>
      <c r="E2338" s="105" t="n"/>
      <c r="F2338" s="105" t="n"/>
      <c r="G2338" s="105" t="n"/>
      <c r="H2338" s="2" t="n"/>
      <c r="I2338" s="105" t="n"/>
      <c r="K2338" s="215" t="n"/>
      <c r="L2338" s="215" t="n"/>
      <c r="M2338" s="215" t="n"/>
      <c r="N2338" s="215" t="n"/>
      <c r="O2338" s="215" t="n"/>
      <c r="P2338" s="215" t="n"/>
      <c r="Q2338" s="215" t="n"/>
      <c r="R2338" s="215" t="n"/>
      <c r="S2338" s="215" t="n"/>
      <c r="T2338" s="215" t="n"/>
      <c r="U2338" s="215" t="n"/>
      <c r="V2338" s="215" t="n"/>
      <c r="W2338" s="215" t="n"/>
      <c r="X2338" s="215" t="n"/>
      <c r="Y2338" s="215" t="n"/>
      <c r="Z2338" s="215" t="n"/>
      <c r="AA2338" s="215" t="n"/>
      <c r="AB2338" s="215" t="n"/>
      <c r="AC2338" s="215" t="n"/>
      <c r="AD2338" s="215" t="n"/>
      <c r="AE2338" s="215" t="n"/>
      <c r="AF2338" s="215" t="n"/>
      <c r="AG2338" s="215" t="n"/>
      <c r="AH2338" s="215" t="n"/>
      <c r="AI2338" s="215" t="n"/>
      <c r="AJ2338" s="215" t="n"/>
      <c r="AK2338" s="216" t="n"/>
    </row>
    <row r="2339" ht="15" customHeight="1">
      <c r="B2339" s="134" t="n"/>
      <c r="C2339" s="105" t="n"/>
      <c r="D2339" s="105" t="n"/>
      <c r="E2339" s="105" t="n"/>
      <c r="F2339" s="105" t="n"/>
      <c r="G2339" s="105" t="n"/>
      <c r="H2339" s="2" t="n"/>
      <c r="I2339" s="105" t="n"/>
      <c r="K2339" s="215" t="n"/>
      <c r="L2339" s="215" t="n"/>
      <c r="M2339" s="215" t="n"/>
      <c r="N2339" s="215" t="n"/>
      <c r="O2339" s="215" t="n"/>
      <c r="P2339" s="215" t="n"/>
      <c r="Q2339" s="215" t="n"/>
      <c r="R2339" s="215" t="n"/>
      <c r="S2339" s="215" t="n"/>
      <c r="T2339" s="215" t="n"/>
      <c r="U2339" s="215" t="n"/>
      <c r="V2339" s="215" t="n"/>
      <c r="W2339" s="215" t="n"/>
      <c r="X2339" s="215" t="n"/>
      <c r="Y2339" s="215" t="n"/>
      <c r="Z2339" s="215" t="n"/>
      <c r="AA2339" s="215" t="n"/>
      <c r="AB2339" s="215" t="n"/>
      <c r="AC2339" s="215" t="n"/>
      <c r="AD2339" s="215" t="n"/>
      <c r="AE2339" s="215" t="n"/>
      <c r="AF2339" s="215" t="n"/>
      <c r="AG2339" s="215" t="n"/>
      <c r="AH2339" s="215" t="n"/>
      <c r="AI2339" s="215" t="n"/>
      <c r="AJ2339" s="215" t="n"/>
      <c r="AK2339" s="216" t="n"/>
    </row>
    <row r="2340" ht="15" customHeight="1">
      <c r="B2340" s="134" t="n"/>
      <c r="C2340" s="105" t="n"/>
      <c r="D2340" s="105" t="n"/>
      <c r="E2340" s="105" t="n"/>
      <c r="F2340" s="105" t="n"/>
      <c r="G2340" s="105" t="n"/>
      <c r="H2340" s="2" t="n"/>
      <c r="I2340" s="105" t="n"/>
      <c r="K2340" s="215" t="n"/>
      <c r="L2340" s="215" t="n"/>
      <c r="M2340" s="215" t="n"/>
      <c r="N2340" s="215" t="n"/>
      <c r="O2340" s="215" t="n"/>
      <c r="P2340" s="215" t="n"/>
      <c r="Q2340" s="215" t="n"/>
      <c r="R2340" s="215" t="n"/>
      <c r="S2340" s="215" t="n"/>
      <c r="T2340" s="215" t="n"/>
      <c r="U2340" s="215" t="n"/>
      <c r="V2340" s="215" t="n"/>
      <c r="W2340" s="215" t="n"/>
      <c r="X2340" s="215" t="n"/>
      <c r="Y2340" s="215" t="n"/>
      <c r="Z2340" s="215" t="n"/>
      <c r="AA2340" s="215" t="n"/>
      <c r="AB2340" s="215" t="n"/>
      <c r="AC2340" s="215" t="n"/>
      <c r="AD2340" s="215" t="n"/>
      <c r="AE2340" s="215" t="n"/>
      <c r="AF2340" s="215" t="n"/>
      <c r="AG2340" s="215" t="n"/>
      <c r="AH2340" s="215" t="n"/>
      <c r="AI2340" s="215" t="n"/>
      <c r="AJ2340" s="215" t="n"/>
      <c r="AK2340" s="216" t="n"/>
    </row>
    <row r="2341" ht="15" customHeight="1">
      <c r="B2341" s="134" t="n"/>
      <c r="C2341" s="105" t="n"/>
      <c r="D2341" s="105" t="n"/>
      <c r="E2341" s="105" t="n"/>
      <c r="F2341" s="105" t="n"/>
      <c r="G2341" s="105" t="n"/>
      <c r="H2341" s="2" t="n"/>
      <c r="I2341" s="105" t="n"/>
      <c r="K2341" s="215" t="n"/>
      <c r="L2341" s="215" t="n"/>
      <c r="M2341" s="215" t="n"/>
      <c r="N2341" s="215" t="n"/>
      <c r="O2341" s="215" t="n"/>
      <c r="P2341" s="215" t="n"/>
      <c r="Q2341" s="215" t="n"/>
      <c r="R2341" s="215" t="n"/>
      <c r="S2341" s="215" t="n"/>
      <c r="T2341" s="215" t="n"/>
      <c r="U2341" s="215" t="n"/>
      <c r="V2341" s="215" t="n"/>
      <c r="W2341" s="215" t="n"/>
      <c r="X2341" s="215" t="n"/>
      <c r="Y2341" s="215" t="n"/>
      <c r="Z2341" s="215" t="n"/>
      <c r="AA2341" s="215" t="n"/>
      <c r="AB2341" s="215" t="n"/>
      <c r="AC2341" s="215" t="n"/>
      <c r="AD2341" s="215" t="n"/>
      <c r="AE2341" s="215" t="n"/>
      <c r="AF2341" s="215" t="n"/>
      <c r="AG2341" s="215" t="n"/>
      <c r="AH2341" s="215" t="n"/>
      <c r="AI2341" s="215" t="n"/>
      <c r="AJ2341" s="215" t="n"/>
      <c r="AK2341" s="216" t="n"/>
    </row>
    <row r="2342" ht="15" customHeight="1">
      <c r="B2342" s="134" t="n"/>
      <c r="C2342" s="105" t="n"/>
      <c r="D2342" s="105" t="n"/>
      <c r="E2342" s="105" t="n"/>
      <c r="F2342" s="105" t="n"/>
      <c r="G2342" s="105" t="n"/>
      <c r="H2342" s="2" t="n"/>
      <c r="I2342" s="105" t="n"/>
      <c r="K2342" s="215" t="n"/>
      <c r="L2342" s="215" t="n"/>
      <c r="M2342" s="215" t="n"/>
      <c r="N2342" s="215" t="n"/>
      <c r="O2342" s="215" t="n"/>
      <c r="P2342" s="215" t="n"/>
      <c r="Q2342" s="215" t="n"/>
      <c r="R2342" s="215" t="n"/>
      <c r="S2342" s="215" t="n"/>
      <c r="T2342" s="215" t="n"/>
      <c r="U2342" s="215" t="n"/>
      <c r="V2342" s="215" t="n"/>
      <c r="W2342" s="215" t="n"/>
      <c r="X2342" s="215" t="n"/>
      <c r="Y2342" s="215" t="n"/>
      <c r="Z2342" s="215" t="n"/>
      <c r="AA2342" s="215" t="n"/>
      <c r="AB2342" s="215" t="n"/>
      <c r="AC2342" s="215" t="n"/>
      <c r="AD2342" s="215" t="n"/>
      <c r="AE2342" s="215" t="n"/>
      <c r="AF2342" s="215" t="n"/>
      <c r="AG2342" s="215" t="n"/>
      <c r="AH2342" s="215" t="n"/>
      <c r="AI2342" s="215" t="n"/>
      <c r="AJ2342" s="215" t="n"/>
      <c r="AK2342" s="216" t="n"/>
    </row>
    <row r="2343" ht="15" customHeight="1">
      <c r="B2343" s="134" t="n"/>
      <c r="C2343" s="105" t="n"/>
      <c r="D2343" s="105" t="n"/>
      <c r="E2343" s="105" t="n"/>
      <c r="F2343" s="105" t="n"/>
      <c r="G2343" s="105" t="n"/>
      <c r="H2343" s="2" t="n"/>
      <c r="I2343" s="105" t="n"/>
      <c r="K2343" s="215" t="n"/>
      <c r="L2343" s="215" t="n"/>
      <c r="M2343" s="215" t="n"/>
      <c r="N2343" s="215" t="n"/>
      <c r="O2343" s="215" t="n"/>
      <c r="P2343" s="215" t="n"/>
      <c r="Q2343" s="215" t="n"/>
      <c r="R2343" s="215" t="n"/>
      <c r="S2343" s="215" t="n"/>
      <c r="T2343" s="215" t="n"/>
      <c r="U2343" s="215" t="n"/>
      <c r="V2343" s="215" t="n"/>
      <c r="W2343" s="215" t="n"/>
      <c r="X2343" s="215" t="n"/>
      <c r="Y2343" s="215" t="n"/>
      <c r="Z2343" s="215" t="n"/>
      <c r="AA2343" s="215" t="n"/>
      <c r="AB2343" s="215" t="n"/>
      <c r="AC2343" s="215" t="n"/>
      <c r="AD2343" s="215" t="n"/>
      <c r="AE2343" s="215" t="n"/>
      <c r="AF2343" s="215" t="n"/>
      <c r="AG2343" s="215" t="n"/>
      <c r="AH2343" s="215" t="n"/>
      <c r="AI2343" s="215" t="n"/>
      <c r="AJ2343" s="215" t="n"/>
      <c r="AK2343" s="216" t="n"/>
    </row>
    <row r="2344" ht="15" customHeight="1">
      <c r="B2344" s="134" t="n"/>
      <c r="C2344" s="105" t="n"/>
      <c r="D2344" s="105" t="n"/>
      <c r="E2344" s="105" t="n"/>
      <c r="F2344" s="105" t="n"/>
      <c r="G2344" s="105" t="n"/>
      <c r="H2344" s="2" t="n"/>
      <c r="I2344" s="105" t="n"/>
      <c r="K2344" s="215" t="n"/>
      <c r="L2344" s="215" t="n"/>
      <c r="M2344" s="215" t="n"/>
      <c r="N2344" s="215" t="n"/>
      <c r="O2344" s="215" t="n"/>
      <c r="P2344" s="215" t="n"/>
      <c r="Q2344" s="215" t="n"/>
      <c r="R2344" s="215" t="n"/>
      <c r="S2344" s="215" t="n"/>
      <c r="T2344" s="215" t="n"/>
      <c r="U2344" s="215" t="n"/>
      <c r="V2344" s="215" t="n"/>
      <c r="W2344" s="215" t="n"/>
      <c r="X2344" s="215" t="n"/>
      <c r="Y2344" s="215" t="n"/>
      <c r="Z2344" s="215" t="n"/>
      <c r="AA2344" s="215" t="n"/>
      <c r="AB2344" s="215" t="n"/>
      <c r="AC2344" s="215" t="n"/>
      <c r="AD2344" s="215" t="n"/>
      <c r="AE2344" s="215" t="n"/>
      <c r="AF2344" s="215" t="n"/>
      <c r="AG2344" s="215" t="n"/>
      <c r="AH2344" s="215" t="n"/>
      <c r="AI2344" s="215" t="n"/>
      <c r="AJ2344" s="215" t="n"/>
      <c r="AK2344" s="216" t="n"/>
    </row>
    <row r="2345" ht="15" customHeight="1">
      <c r="B2345" s="134" t="n"/>
      <c r="C2345" s="105" t="n"/>
      <c r="D2345" s="105" t="n"/>
      <c r="E2345" s="105" t="n"/>
      <c r="F2345" s="105" t="n"/>
      <c r="G2345" s="105" t="n"/>
      <c r="H2345" s="2" t="n"/>
      <c r="I2345" s="105" t="n"/>
      <c r="K2345" s="215" t="n"/>
      <c r="L2345" s="215" t="n"/>
      <c r="M2345" s="215" t="n"/>
      <c r="N2345" s="215" t="n"/>
      <c r="O2345" s="215" t="n"/>
      <c r="P2345" s="215" t="n"/>
      <c r="Q2345" s="215" t="n"/>
      <c r="R2345" s="215" t="n"/>
      <c r="S2345" s="215" t="n"/>
      <c r="T2345" s="215" t="n"/>
      <c r="U2345" s="215" t="n"/>
      <c r="V2345" s="215" t="n"/>
      <c r="W2345" s="215" t="n"/>
      <c r="X2345" s="215" t="n"/>
      <c r="Y2345" s="215" t="n"/>
      <c r="Z2345" s="215" t="n"/>
      <c r="AA2345" s="215" t="n"/>
      <c r="AB2345" s="215" t="n"/>
      <c r="AC2345" s="215" t="n"/>
      <c r="AD2345" s="215" t="n"/>
      <c r="AE2345" s="215" t="n"/>
      <c r="AF2345" s="215" t="n"/>
      <c r="AG2345" s="215" t="n"/>
      <c r="AH2345" s="215" t="n"/>
      <c r="AI2345" s="215" t="n"/>
      <c r="AJ2345" s="215" t="n"/>
      <c r="AK2345" s="216" t="n"/>
    </row>
    <row r="2346" ht="15" customHeight="1">
      <c r="B2346" s="134" t="n"/>
      <c r="C2346" s="105" t="n"/>
      <c r="D2346" s="105" t="n"/>
      <c r="E2346" s="105" t="n"/>
      <c r="F2346" s="105" t="n"/>
      <c r="G2346" s="105" t="n"/>
      <c r="H2346" s="2" t="n"/>
      <c r="I2346" s="105" t="n"/>
      <c r="K2346" s="215" t="n"/>
      <c r="L2346" s="215" t="n"/>
      <c r="M2346" s="215" t="n"/>
      <c r="N2346" s="215" t="n"/>
      <c r="O2346" s="215" t="n"/>
      <c r="P2346" s="215" t="n"/>
      <c r="Q2346" s="215" t="n"/>
      <c r="R2346" s="215" t="n"/>
      <c r="S2346" s="215" t="n"/>
      <c r="T2346" s="215" t="n"/>
      <c r="U2346" s="215" t="n"/>
      <c r="V2346" s="215" t="n"/>
      <c r="W2346" s="215" t="n"/>
      <c r="X2346" s="215" t="n"/>
      <c r="Y2346" s="215" t="n"/>
      <c r="Z2346" s="215" t="n"/>
      <c r="AA2346" s="215" t="n"/>
      <c r="AB2346" s="215" t="n"/>
      <c r="AC2346" s="215" t="n"/>
      <c r="AD2346" s="215" t="n"/>
      <c r="AE2346" s="215" t="n"/>
      <c r="AF2346" s="215" t="n"/>
      <c r="AG2346" s="215" t="n"/>
      <c r="AH2346" s="215" t="n"/>
      <c r="AI2346" s="215" t="n"/>
      <c r="AJ2346" s="215" t="n"/>
      <c r="AK2346" s="216" t="n"/>
    </row>
    <row r="2347" ht="15" customHeight="1">
      <c r="B2347" s="134" t="n"/>
      <c r="C2347" s="105" t="n"/>
      <c r="D2347" s="105" t="n"/>
      <c r="E2347" s="105" t="n"/>
      <c r="F2347" s="105" t="n"/>
      <c r="G2347" s="105" t="n"/>
      <c r="H2347" s="2" t="n"/>
      <c r="I2347" s="105" t="n"/>
      <c r="K2347" s="215" t="n"/>
      <c r="L2347" s="215" t="n"/>
      <c r="M2347" s="215" t="n"/>
      <c r="N2347" s="215" t="n"/>
      <c r="O2347" s="215" t="n"/>
      <c r="P2347" s="215" t="n"/>
      <c r="Q2347" s="215" t="n"/>
      <c r="R2347" s="215" t="n"/>
      <c r="S2347" s="215" t="n"/>
      <c r="T2347" s="215" t="n"/>
      <c r="U2347" s="215" t="n"/>
      <c r="V2347" s="215" t="n"/>
      <c r="W2347" s="215" t="n"/>
      <c r="X2347" s="215" t="n"/>
      <c r="Y2347" s="215" t="n"/>
      <c r="Z2347" s="215" t="n"/>
      <c r="AA2347" s="215" t="n"/>
      <c r="AB2347" s="215" t="n"/>
      <c r="AC2347" s="215" t="n"/>
      <c r="AD2347" s="215" t="n"/>
      <c r="AE2347" s="215" t="n"/>
      <c r="AF2347" s="215" t="n"/>
      <c r="AG2347" s="215" t="n"/>
      <c r="AH2347" s="215" t="n"/>
      <c r="AI2347" s="215" t="n"/>
      <c r="AJ2347" s="215" t="n"/>
      <c r="AK2347" s="216" t="n"/>
    </row>
    <row r="2348" ht="15" customHeight="1">
      <c r="B2348" s="134" t="n"/>
      <c r="C2348" s="105" t="n"/>
      <c r="D2348" s="105" t="n"/>
      <c r="E2348" s="105" t="n"/>
      <c r="F2348" s="105" t="n"/>
      <c r="G2348" s="105" t="n"/>
      <c r="H2348" s="2" t="n"/>
      <c r="I2348" s="105" t="n"/>
      <c r="K2348" s="215" t="n"/>
      <c r="L2348" s="215" t="n"/>
      <c r="M2348" s="215" t="n"/>
      <c r="N2348" s="215" t="n"/>
      <c r="O2348" s="215" t="n"/>
      <c r="P2348" s="215" t="n"/>
      <c r="Q2348" s="215" t="n"/>
      <c r="R2348" s="215" t="n"/>
      <c r="S2348" s="215" t="n"/>
      <c r="T2348" s="215" t="n"/>
      <c r="U2348" s="215" t="n"/>
      <c r="V2348" s="215" t="n"/>
      <c r="W2348" s="215" t="n"/>
      <c r="X2348" s="215" t="n"/>
      <c r="Y2348" s="215" t="n"/>
      <c r="Z2348" s="215" t="n"/>
      <c r="AA2348" s="215" t="n"/>
      <c r="AB2348" s="215" t="n"/>
      <c r="AC2348" s="215" t="n"/>
      <c r="AD2348" s="215" t="n"/>
      <c r="AE2348" s="215" t="n"/>
      <c r="AF2348" s="215" t="n"/>
      <c r="AG2348" s="215" t="n"/>
      <c r="AH2348" s="215" t="n"/>
      <c r="AI2348" s="215" t="n"/>
      <c r="AJ2348" s="215" t="n"/>
      <c r="AK2348" s="216" t="n"/>
    </row>
    <row r="2349" ht="15" customHeight="1">
      <c r="B2349" s="134" t="n"/>
      <c r="C2349" s="105" t="n"/>
      <c r="D2349" s="105" t="n"/>
      <c r="E2349" s="105" t="n"/>
      <c r="F2349" s="105" t="n"/>
      <c r="G2349" s="105" t="n"/>
      <c r="H2349" s="2" t="n"/>
      <c r="I2349" s="105" t="n"/>
      <c r="K2349" s="215" t="n"/>
      <c r="L2349" s="215" t="n"/>
      <c r="M2349" s="215" t="n"/>
      <c r="N2349" s="215" t="n"/>
      <c r="O2349" s="215" t="n"/>
      <c r="P2349" s="215" t="n"/>
      <c r="Q2349" s="215" t="n"/>
      <c r="R2349" s="215" t="n"/>
      <c r="S2349" s="215" t="n"/>
      <c r="T2349" s="215" t="n"/>
      <c r="U2349" s="215" t="n"/>
      <c r="V2349" s="215" t="n"/>
      <c r="W2349" s="215" t="n"/>
      <c r="X2349" s="215" t="n"/>
      <c r="Y2349" s="215" t="n"/>
      <c r="Z2349" s="215" t="n"/>
      <c r="AA2349" s="215" t="n"/>
      <c r="AB2349" s="215" t="n"/>
      <c r="AC2349" s="215" t="n"/>
      <c r="AD2349" s="215" t="n"/>
      <c r="AE2349" s="215" t="n"/>
      <c r="AF2349" s="215" t="n"/>
      <c r="AG2349" s="215" t="n"/>
      <c r="AH2349" s="215" t="n"/>
      <c r="AI2349" s="215" t="n"/>
      <c r="AJ2349" s="215" t="n"/>
      <c r="AK2349" s="216" t="n"/>
    </row>
    <row r="2350" ht="15" customHeight="1">
      <c r="B2350" s="134" t="n"/>
      <c r="C2350" s="105" t="n"/>
      <c r="D2350" s="105" t="n"/>
      <c r="E2350" s="105" t="n"/>
      <c r="F2350" s="105" t="n"/>
      <c r="G2350" s="105" t="n"/>
      <c r="H2350" s="2" t="n"/>
      <c r="I2350" s="105" t="n"/>
      <c r="K2350" s="215" t="n"/>
      <c r="L2350" s="215" t="n"/>
      <c r="M2350" s="215" t="n"/>
      <c r="N2350" s="215" t="n"/>
      <c r="O2350" s="215" t="n"/>
      <c r="P2350" s="215" t="n"/>
      <c r="Q2350" s="215" t="n"/>
      <c r="R2350" s="215" t="n"/>
      <c r="S2350" s="215" t="n"/>
      <c r="T2350" s="215" t="n"/>
      <c r="U2350" s="215" t="n"/>
      <c r="V2350" s="215" t="n"/>
      <c r="W2350" s="215" t="n"/>
      <c r="X2350" s="215" t="n"/>
      <c r="Y2350" s="215" t="n"/>
      <c r="Z2350" s="215" t="n"/>
      <c r="AA2350" s="215" t="n"/>
      <c r="AB2350" s="215" t="n"/>
      <c r="AC2350" s="215" t="n"/>
      <c r="AD2350" s="215" t="n"/>
      <c r="AE2350" s="215" t="n"/>
      <c r="AF2350" s="215" t="n"/>
      <c r="AG2350" s="215" t="n"/>
      <c r="AH2350" s="215" t="n"/>
      <c r="AI2350" s="215" t="n"/>
      <c r="AJ2350" s="215" t="n"/>
      <c r="AK2350" s="216" t="n"/>
    </row>
    <row r="2351" ht="15" customHeight="1">
      <c r="B2351" s="134" t="n"/>
      <c r="C2351" s="105" t="n"/>
      <c r="D2351" s="105" t="n"/>
      <c r="E2351" s="105" t="n"/>
      <c r="F2351" s="105" t="n"/>
      <c r="G2351" s="105" t="n"/>
      <c r="H2351" s="2" t="n"/>
      <c r="I2351" s="105" t="n"/>
      <c r="K2351" s="215" t="n"/>
      <c r="L2351" s="215" t="n"/>
      <c r="M2351" s="215" t="n"/>
      <c r="N2351" s="215" t="n"/>
      <c r="O2351" s="215" t="n"/>
      <c r="P2351" s="215" t="n"/>
      <c r="Q2351" s="215" t="n"/>
      <c r="R2351" s="215" t="n"/>
      <c r="S2351" s="215" t="n"/>
      <c r="T2351" s="215" t="n"/>
      <c r="U2351" s="215" t="n"/>
      <c r="V2351" s="215" t="n"/>
      <c r="W2351" s="215" t="n"/>
      <c r="X2351" s="215" t="n"/>
      <c r="Y2351" s="215" t="n"/>
      <c r="Z2351" s="215" t="n"/>
      <c r="AA2351" s="215" t="n"/>
      <c r="AB2351" s="215" t="n"/>
      <c r="AC2351" s="215" t="n"/>
      <c r="AD2351" s="215" t="n"/>
      <c r="AE2351" s="215" t="n"/>
      <c r="AF2351" s="215" t="n"/>
      <c r="AG2351" s="215" t="n"/>
      <c r="AH2351" s="215" t="n"/>
      <c r="AI2351" s="215" t="n"/>
      <c r="AJ2351" s="215" t="n"/>
      <c r="AK2351" s="216" t="n"/>
    </row>
    <row r="2352" ht="15" customHeight="1">
      <c r="B2352" s="134" t="n"/>
      <c r="C2352" s="105" t="n"/>
      <c r="D2352" s="105" t="n"/>
      <c r="E2352" s="105" t="n"/>
      <c r="F2352" s="105" t="n"/>
      <c r="G2352" s="105" t="n"/>
      <c r="H2352" s="2" t="n"/>
      <c r="I2352" s="105" t="n"/>
      <c r="K2352" s="215" t="n"/>
      <c r="L2352" s="215" t="n"/>
      <c r="M2352" s="215" t="n"/>
      <c r="N2352" s="215" t="n"/>
      <c r="O2352" s="215" t="n"/>
      <c r="P2352" s="215" t="n"/>
      <c r="Q2352" s="215" t="n"/>
      <c r="R2352" s="215" t="n"/>
      <c r="S2352" s="215" t="n"/>
      <c r="T2352" s="215" t="n"/>
      <c r="U2352" s="215" t="n"/>
      <c r="V2352" s="215" t="n"/>
      <c r="W2352" s="215" t="n"/>
      <c r="X2352" s="215" t="n"/>
      <c r="Y2352" s="215" t="n"/>
      <c r="Z2352" s="215" t="n"/>
      <c r="AA2352" s="215" t="n"/>
      <c r="AB2352" s="215" t="n"/>
      <c r="AC2352" s="215" t="n"/>
      <c r="AD2352" s="215" t="n"/>
      <c r="AE2352" s="215" t="n"/>
      <c r="AF2352" s="215" t="n"/>
      <c r="AG2352" s="215" t="n"/>
      <c r="AH2352" s="215" t="n"/>
      <c r="AI2352" s="215" t="n"/>
      <c r="AJ2352" s="215" t="n"/>
      <c r="AK2352" s="216" t="n"/>
    </row>
    <row r="2353" ht="15" customHeight="1">
      <c r="B2353" s="134" t="n"/>
      <c r="C2353" s="105" t="n"/>
      <c r="D2353" s="105" t="n"/>
      <c r="E2353" s="105" t="n"/>
      <c r="F2353" s="105" t="n"/>
      <c r="G2353" s="105" t="n"/>
      <c r="H2353" s="2" t="n"/>
      <c r="I2353" s="105" t="n"/>
      <c r="K2353" s="215" t="n"/>
      <c r="L2353" s="215" t="n"/>
      <c r="M2353" s="215" t="n"/>
      <c r="N2353" s="215" t="n"/>
      <c r="O2353" s="215" t="n"/>
      <c r="P2353" s="215" t="n"/>
      <c r="Q2353" s="215" t="n"/>
      <c r="R2353" s="215" t="n"/>
      <c r="S2353" s="215" t="n"/>
      <c r="T2353" s="215" t="n"/>
      <c r="U2353" s="215" t="n"/>
      <c r="V2353" s="215" t="n"/>
      <c r="W2353" s="215" t="n"/>
      <c r="X2353" s="215" t="n"/>
      <c r="Y2353" s="215" t="n"/>
      <c r="Z2353" s="215" t="n"/>
      <c r="AA2353" s="215" t="n"/>
      <c r="AB2353" s="215" t="n"/>
      <c r="AC2353" s="215" t="n"/>
      <c r="AD2353" s="215" t="n"/>
      <c r="AE2353" s="215" t="n"/>
      <c r="AF2353" s="215" t="n"/>
      <c r="AG2353" s="215" t="n"/>
      <c r="AH2353" s="215" t="n"/>
      <c r="AI2353" s="215" t="n"/>
      <c r="AJ2353" s="215" t="n"/>
      <c r="AK2353" s="216" t="n"/>
    </row>
    <row r="2354" ht="15" customHeight="1">
      <c r="B2354" s="134" t="n"/>
      <c r="C2354" s="105" t="n"/>
      <c r="D2354" s="105" t="n"/>
      <c r="E2354" s="105" t="n"/>
      <c r="F2354" s="105" t="n"/>
      <c r="G2354" s="105" t="n"/>
      <c r="H2354" s="2" t="n"/>
      <c r="I2354" s="105" t="n"/>
      <c r="K2354" s="215" t="n"/>
      <c r="L2354" s="215" t="n"/>
      <c r="M2354" s="215" t="n"/>
      <c r="N2354" s="215" t="n"/>
      <c r="O2354" s="215" t="n"/>
      <c r="P2354" s="215" t="n"/>
      <c r="Q2354" s="215" t="n"/>
      <c r="R2354" s="215" t="n"/>
      <c r="S2354" s="215" t="n"/>
      <c r="T2354" s="215" t="n"/>
      <c r="U2354" s="215" t="n"/>
      <c r="V2354" s="215" t="n"/>
      <c r="W2354" s="215" t="n"/>
      <c r="X2354" s="215" t="n"/>
      <c r="Y2354" s="215" t="n"/>
      <c r="Z2354" s="215" t="n"/>
      <c r="AA2354" s="215" t="n"/>
      <c r="AB2354" s="215" t="n"/>
      <c r="AC2354" s="215" t="n"/>
      <c r="AD2354" s="215" t="n"/>
      <c r="AE2354" s="215" t="n"/>
      <c r="AF2354" s="215" t="n"/>
      <c r="AG2354" s="215" t="n"/>
      <c r="AH2354" s="215" t="n"/>
      <c r="AI2354" s="215" t="n"/>
      <c r="AJ2354" s="215" t="n"/>
      <c r="AK2354" s="216" t="n"/>
    </row>
    <row r="2355" ht="15" customHeight="1">
      <c r="B2355" s="134" t="n"/>
      <c r="C2355" s="105" t="n"/>
      <c r="D2355" s="105" t="n"/>
      <c r="E2355" s="105" t="n"/>
      <c r="F2355" s="105" t="n"/>
      <c r="G2355" s="105" t="n"/>
      <c r="H2355" s="2" t="n"/>
      <c r="I2355" s="105" t="n"/>
      <c r="K2355" s="215" t="n"/>
      <c r="L2355" s="215" t="n"/>
      <c r="M2355" s="215" t="n"/>
      <c r="N2355" s="215" t="n"/>
      <c r="O2355" s="215" t="n"/>
      <c r="P2355" s="215" t="n"/>
      <c r="Q2355" s="215" t="n"/>
      <c r="R2355" s="215" t="n"/>
      <c r="S2355" s="215" t="n"/>
      <c r="T2355" s="215" t="n"/>
      <c r="U2355" s="215" t="n"/>
      <c r="V2355" s="215" t="n"/>
      <c r="W2355" s="215" t="n"/>
      <c r="X2355" s="215" t="n"/>
      <c r="Y2355" s="215" t="n"/>
      <c r="Z2355" s="215" t="n"/>
      <c r="AA2355" s="215" t="n"/>
      <c r="AB2355" s="215" t="n"/>
      <c r="AC2355" s="215" t="n"/>
      <c r="AD2355" s="215" t="n"/>
      <c r="AE2355" s="215" t="n"/>
      <c r="AF2355" s="215" t="n"/>
      <c r="AG2355" s="215" t="n"/>
      <c r="AH2355" s="215" t="n"/>
      <c r="AI2355" s="215" t="n"/>
      <c r="AJ2355" s="215" t="n"/>
      <c r="AK2355" s="216" t="n"/>
    </row>
    <row r="2356" ht="15" customHeight="1">
      <c r="B2356" s="134" t="n"/>
      <c r="C2356" s="105" t="n"/>
      <c r="D2356" s="105" t="n"/>
      <c r="E2356" s="105" t="n"/>
      <c r="F2356" s="105" t="n"/>
      <c r="G2356" s="105" t="n"/>
      <c r="H2356" s="2" t="n"/>
      <c r="I2356" s="105" t="n"/>
      <c r="K2356" s="215" t="n"/>
      <c r="L2356" s="215" t="n"/>
      <c r="M2356" s="215" t="n"/>
      <c r="N2356" s="215" t="n"/>
      <c r="O2356" s="215" t="n"/>
      <c r="P2356" s="215" t="n"/>
      <c r="Q2356" s="215" t="n"/>
      <c r="R2356" s="215" t="n"/>
      <c r="S2356" s="215" t="n"/>
      <c r="T2356" s="215" t="n"/>
      <c r="U2356" s="215" t="n"/>
      <c r="V2356" s="215" t="n"/>
      <c r="W2356" s="215" t="n"/>
      <c r="X2356" s="215" t="n"/>
      <c r="Y2356" s="215" t="n"/>
      <c r="Z2356" s="215" t="n"/>
      <c r="AA2356" s="215" t="n"/>
      <c r="AB2356" s="215" t="n"/>
      <c r="AC2356" s="215" t="n"/>
      <c r="AD2356" s="215" t="n"/>
      <c r="AE2356" s="215" t="n"/>
      <c r="AF2356" s="215" t="n"/>
      <c r="AG2356" s="215" t="n"/>
      <c r="AH2356" s="215" t="n"/>
      <c r="AI2356" s="215" t="n"/>
      <c r="AJ2356" s="215" t="n"/>
      <c r="AK2356" s="216" t="n"/>
    </row>
    <row r="2357" ht="15" customHeight="1">
      <c r="B2357" s="134" t="n"/>
      <c r="C2357" s="105" t="n"/>
      <c r="D2357" s="105" t="n"/>
      <c r="E2357" s="105" t="n"/>
      <c r="F2357" s="105" t="n"/>
      <c r="G2357" s="105" t="n"/>
      <c r="H2357" s="2" t="n"/>
      <c r="I2357" s="105" t="n"/>
      <c r="K2357" s="215" t="n"/>
      <c r="L2357" s="215" t="n"/>
      <c r="M2357" s="215" t="n"/>
      <c r="N2357" s="215" t="n"/>
      <c r="O2357" s="215" t="n"/>
      <c r="P2357" s="215" t="n"/>
      <c r="Q2357" s="215" t="n"/>
      <c r="R2357" s="215" t="n"/>
      <c r="S2357" s="215" t="n"/>
      <c r="T2357" s="215" t="n"/>
      <c r="U2357" s="215" t="n"/>
      <c r="V2357" s="215" t="n"/>
      <c r="W2357" s="215" t="n"/>
      <c r="X2357" s="215" t="n"/>
      <c r="Y2357" s="215" t="n"/>
      <c r="Z2357" s="215" t="n"/>
      <c r="AA2357" s="215" t="n"/>
      <c r="AB2357" s="215" t="n"/>
      <c r="AC2357" s="215" t="n"/>
      <c r="AD2357" s="215" t="n"/>
      <c r="AE2357" s="215" t="n"/>
      <c r="AF2357" s="215" t="n"/>
      <c r="AG2357" s="215" t="n"/>
      <c r="AH2357" s="215" t="n"/>
      <c r="AI2357" s="215" t="n"/>
      <c r="AJ2357" s="215" t="n"/>
      <c r="AK2357" s="216" t="n"/>
    </row>
    <row r="2358" ht="15" customHeight="1">
      <c r="B2358" s="134" t="n"/>
      <c r="C2358" s="105" t="n"/>
      <c r="D2358" s="105" t="n"/>
      <c r="E2358" s="105" t="n"/>
      <c r="F2358" s="105" t="n"/>
      <c r="G2358" s="105" t="n"/>
      <c r="H2358" s="2" t="n"/>
      <c r="I2358" s="105" t="n"/>
      <c r="K2358" s="215" t="n"/>
      <c r="L2358" s="215" t="n"/>
      <c r="M2358" s="215" t="n"/>
      <c r="N2358" s="215" t="n"/>
      <c r="O2358" s="215" t="n"/>
      <c r="P2358" s="215" t="n"/>
      <c r="Q2358" s="215" t="n"/>
      <c r="R2358" s="215" t="n"/>
      <c r="S2358" s="215" t="n"/>
      <c r="T2358" s="215" t="n"/>
      <c r="U2358" s="215" t="n"/>
      <c r="V2358" s="215" t="n"/>
      <c r="W2358" s="215" t="n"/>
      <c r="X2358" s="215" t="n"/>
      <c r="Y2358" s="215" t="n"/>
      <c r="Z2358" s="215" t="n"/>
      <c r="AA2358" s="215" t="n"/>
      <c r="AB2358" s="215" t="n"/>
      <c r="AC2358" s="215" t="n"/>
      <c r="AD2358" s="215" t="n"/>
      <c r="AE2358" s="215" t="n"/>
      <c r="AF2358" s="215" t="n"/>
      <c r="AG2358" s="215" t="n"/>
      <c r="AH2358" s="215" t="n"/>
      <c r="AI2358" s="215" t="n"/>
      <c r="AJ2358" s="215" t="n"/>
      <c r="AK2358" s="216" t="n"/>
    </row>
    <row r="2359" ht="15" customHeight="1">
      <c r="B2359" s="134" t="n"/>
      <c r="C2359" s="105" t="n"/>
      <c r="D2359" s="105" t="n"/>
      <c r="E2359" s="105" t="n"/>
      <c r="F2359" s="105" t="n"/>
      <c r="G2359" s="105" t="n"/>
      <c r="H2359" s="2" t="n"/>
      <c r="I2359" s="105" t="n"/>
      <c r="K2359" s="215" t="n"/>
      <c r="L2359" s="215" t="n"/>
      <c r="M2359" s="215" t="n"/>
      <c r="N2359" s="215" t="n"/>
      <c r="O2359" s="215" t="n"/>
      <c r="P2359" s="215" t="n"/>
      <c r="Q2359" s="215" t="n"/>
      <c r="R2359" s="215" t="n"/>
      <c r="S2359" s="215" t="n"/>
      <c r="T2359" s="215" t="n"/>
      <c r="U2359" s="215" t="n"/>
      <c r="V2359" s="215" t="n"/>
      <c r="W2359" s="215" t="n"/>
      <c r="X2359" s="215" t="n"/>
      <c r="Y2359" s="215" t="n"/>
      <c r="Z2359" s="215" t="n"/>
      <c r="AA2359" s="215" t="n"/>
      <c r="AB2359" s="215" t="n"/>
      <c r="AC2359" s="215" t="n"/>
      <c r="AD2359" s="215" t="n"/>
      <c r="AE2359" s="215" t="n"/>
      <c r="AF2359" s="215" t="n"/>
      <c r="AG2359" s="215" t="n"/>
      <c r="AH2359" s="215" t="n"/>
      <c r="AI2359" s="215" t="n"/>
      <c r="AJ2359" s="215" t="n"/>
      <c r="AK2359" s="216" t="n"/>
    </row>
    <row r="2360" ht="15" customHeight="1">
      <c r="B2360" s="134" t="n"/>
      <c r="C2360" s="105" t="n"/>
      <c r="D2360" s="105" t="n"/>
      <c r="E2360" s="105" t="n"/>
      <c r="F2360" s="105" t="n"/>
      <c r="G2360" s="105" t="n"/>
      <c r="H2360" s="2" t="n"/>
      <c r="I2360" s="105" t="n"/>
      <c r="K2360" s="215" t="n"/>
      <c r="L2360" s="215" t="n"/>
      <c r="M2360" s="215" t="n"/>
      <c r="N2360" s="215" t="n"/>
      <c r="O2360" s="215" t="n"/>
      <c r="P2360" s="215" t="n"/>
      <c r="Q2360" s="215" t="n"/>
      <c r="R2360" s="215" t="n"/>
      <c r="S2360" s="215" t="n"/>
      <c r="T2360" s="215" t="n"/>
      <c r="U2360" s="215" t="n"/>
      <c r="V2360" s="215" t="n"/>
      <c r="W2360" s="215" t="n"/>
      <c r="X2360" s="215" t="n"/>
      <c r="Y2360" s="215" t="n"/>
      <c r="Z2360" s="215" t="n"/>
      <c r="AA2360" s="215" t="n"/>
      <c r="AB2360" s="215" t="n"/>
      <c r="AC2360" s="215" t="n"/>
      <c r="AD2360" s="215" t="n"/>
      <c r="AE2360" s="215" t="n"/>
      <c r="AF2360" s="215" t="n"/>
      <c r="AG2360" s="215" t="n"/>
      <c r="AH2360" s="215" t="n"/>
      <c r="AI2360" s="215" t="n"/>
      <c r="AJ2360" s="215" t="n"/>
      <c r="AK2360" s="216" t="n"/>
    </row>
    <row r="2361" ht="15" customHeight="1">
      <c r="B2361" s="134" t="n"/>
      <c r="C2361" s="105" t="n"/>
      <c r="D2361" s="105" t="n"/>
      <c r="E2361" s="105" t="n"/>
      <c r="F2361" s="105" t="n"/>
      <c r="G2361" s="105" t="n"/>
      <c r="H2361" s="2" t="n"/>
      <c r="I2361" s="105" t="n"/>
      <c r="K2361" s="215" t="n"/>
      <c r="L2361" s="215" t="n"/>
      <c r="M2361" s="215" t="n"/>
      <c r="N2361" s="215" t="n"/>
      <c r="O2361" s="215" t="n"/>
      <c r="P2361" s="215" t="n"/>
      <c r="Q2361" s="215" t="n"/>
      <c r="R2361" s="215" t="n"/>
      <c r="S2361" s="215" t="n"/>
      <c r="T2361" s="215" t="n"/>
      <c r="U2361" s="215" t="n"/>
      <c r="V2361" s="215" t="n"/>
      <c r="W2361" s="215" t="n"/>
      <c r="X2361" s="215" t="n"/>
      <c r="Y2361" s="215" t="n"/>
      <c r="Z2361" s="215" t="n"/>
      <c r="AA2361" s="215" t="n"/>
      <c r="AB2361" s="215" t="n"/>
      <c r="AC2361" s="215" t="n"/>
      <c r="AD2361" s="215" t="n"/>
      <c r="AE2361" s="215" t="n"/>
      <c r="AF2361" s="215" t="n"/>
      <c r="AG2361" s="215" t="n"/>
      <c r="AH2361" s="215" t="n"/>
      <c r="AI2361" s="215" t="n"/>
      <c r="AJ2361" s="215" t="n"/>
      <c r="AK2361" s="216" t="n"/>
    </row>
    <row r="2362" ht="15" customHeight="1">
      <c r="B2362" s="134" t="n"/>
      <c r="C2362" s="105" t="n"/>
      <c r="D2362" s="105" t="n"/>
      <c r="E2362" s="105" t="n"/>
      <c r="F2362" s="105" t="n"/>
      <c r="G2362" s="105" t="n"/>
      <c r="H2362" s="2" t="n"/>
      <c r="I2362" s="105" t="n"/>
      <c r="K2362" s="215" t="n"/>
      <c r="L2362" s="215" t="n"/>
      <c r="M2362" s="215" t="n"/>
      <c r="N2362" s="215" t="n"/>
      <c r="O2362" s="215" t="n"/>
      <c r="P2362" s="215" t="n"/>
      <c r="Q2362" s="215" t="n"/>
      <c r="R2362" s="215" t="n"/>
      <c r="S2362" s="215" t="n"/>
      <c r="T2362" s="215" t="n"/>
      <c r="U2362" s="215" t="n"/>
      <c r="V2362" s="215" t="n"/>
      <c r="W2362" s="215" t="n"/>
      <c r="X2362" s="215" t="n"/>
      <c r="Y2362" s="215" t="n"/>
      <c r="Z2362" s="215" t="n"/>
      <c r="AA2362" s="215" t="n"/>
      <c r="AB2362" s="215" t="n"/>
      <c r="AC2362" s="215" t="n"/>
      <c r="AD2362" s="215" t="n"/>
      <c r="AE2362" s="215" t="n"/>
      <c r="AF2362" s="215" t="n"/>
      <c r="AG2362" s="215" t="n"/>
      <c r="AH2362" s="215" t="n"/>
      <c r="AI2362" s="215" t="n"/>
      <c r="AJ2362" s="215" t="n"/>
      <c r="AK2362" s="216" t="n"/>
    </row>
    <row r="2363" ht="15" customHeight="1">
      <c r="B2363" s="134" t="n"/>
      <c r="C2363" s="105" t="n"/>
      <c r="D2363" s="105" t="n"/>
      <c r="E2363" s="105" t="n"/>
      <c r="F2363" s="105" t="n"/>
      <c r="G2363" s="105" t="n"/>
      <c r="H2363" s="2" t="n"/>
      <c r="I2363" s="105" t="n"/>
      <c r="K2363" s="215" t="n"/>
      <c r="L2363" s="215" t="n"/>
      <c r="M2363" s="215" t="n"/>
      <c r="N2363" s="215" t="n"/>
      <c r="O2363" s="215" t="n"/>
      <c r="P2363" s="215" t="n"/>
      <c r="Q2363" s="215" t="n"/>
      <c r="R2363" s="215" t="n"/>
      <c r="S2363" s="215" t="n"/>
      <c r="T2363" s="215" t="n"/>
      <c r="U2363" s="215" t="n"/>
      <c r="V2363" s="215" t="n"/>
      <c r="W2363" s="215" t="n"/>
      <c r="X2363" s="215" t="n"/>
      <c r="Y2363" s="215" t="n"/>
      <c r="Z2363" s="215" t="n"/>
      <c r="AA2363" s="215" t="n"/>
      <c r="AB2363" s="215" t="n"/>
      <c r="AC2363" s="215" t="n"/>
      <c r="AD2363" s="215" t="n"/>
      <c r="AE2363" s="215" t="n"/>
      <c r="AF2363" s="215" t="n"/>
      <c r="AG2363" s="215" t="n"/>
      <c r="AH2363" s="215" t="n"/>
      <c r="AI2363" s="215" t="n"/>
      <c r="AJ2363" s="215" t="n"/>
      <c r="AK2363" s="216" t="n"/>
    </row>
    <row r="2364" ht="15" customHeight="1">
      <c r="B2364" s="134" t="n"/>
      <c r="C2364" s="105" t="n"/>
      <c r="D2364" s="105" t="n"/>
      <c r="E2364" s="105" t="n"/>
      <c r="F2364" s="105" t="n"/>
      <c r="G2364" s="105" t="n"/>
      <c r="H2364" s="2" t="n"/>
      <c r="I2364" s="105" t="n"/>
      <c r="K2364" s="215" t="n"/>
      <c r="L2364" s="215" t="n"/>
      <c r="M2364" s="215" t="n"/>
      <c r="N2364" s="215" t="n"/>
      <c r="O2364" s="215" t="n"/>
      <c r="P2364" s="215" t="n"/>
      <c r="Q2364" s="215" t="n"/>
      <c r="R2364" s="215" t="n"/>
      <c r="S2364" s="215" t="n"/>
      <c r="T2364" s="215" t="n"/>
      <c r="U2364" s="215" t="n"/>
      <c r="V2364" s="215" t="n"/>
      <c r="W2364" s="215" t="n"/>
      <c r="X2364" s="215" t="n"/>
      <c r="Y2364" s="215" t="n"/>
      <c r="Z2364" s="215" t="n"/>
      <c r="AA2364" s="215" t="n"/>
      <c r="AB2364" s="215" t="n"/>
      <c r="AC2364" s="215" t="n"/>
      <c r="AD2364" s="215" t="n"/>
      <c r="AE2364" s="215" t="n"/>
      <c r="AF2364" s="215" t="n"/>
      <c r="AG2364" s="215" t="n"/>
      <c r="AH2364" s="215" t="n"/>
      <c r="AI2364" s="215" t="n"/>
      <c r="AJ2364" s="215" t="n"/>
      <c r="AK2364" s="216" t="n"/>
    </row>
    <row r="2365" ht="15" customHeight="1">
      <c r="B2365" s="134" t="n"/>
      <c r="C2365" s="105" t="n"/>
      <c r="D2365" s="105" t="n"/>
      <c r="E2365" s="105" t="n"/>
      <c r="F2365" s="105" t="n"/>
      <c r="G2365" s="105" t="n"/>
      <c r="H2365" s="2" t="n"/>
      <c r="I2365" s="105" t="n"/>
      <c r="K2365" s="215" t="n"/>
      <c r="L2365" s="215" t="n"/>
      <c r="M2365" s="215" t="n"/>
      <c r="N2365" s="215" t="n"/>
      <c r="O2365" s="215" t="n"/>
      <c r="P2365" s="215" t="n"/>
      <c r="Q2365" s="215" t="n"/>
      <c r="R2365" s="215" t="n"/>
      <c r="S2365" s="215" t="n"/>
      <c r="T2365" s="215" t="n"/>
      <c r="U2365" s="215" t="n"/>
      <c r="V2365" s="215" t="n"/>
      <c r="W2365" s="215" t="n"/>
      <c r="X2365" s="215" t="n"/>
      <c r="Y2365" s="215" t="n"/>
      <c r="Z2365" s="215" t="n"/>
      <c r="AA2365" s="215" t="n"/>
      <c r="AB2365" s="215" t="n"/>
      <c r="AC2365" s="215" t="n"/>
      <c r="AD2365" s="215" t="n"/>
      <c r="AE2365" s="215" t="n"/>
      <c r="AF2365" s="215" t="n"/>
      <c r="AG2365" s="215" t="n"/>
      <c r="AH2365" s="215" t="n"/>
      <c r="AI2365" s="215" t="n"/>
      <c r="AJ2365" s="215" t="n"/>
      <c r="AK2365" s="216" t="n"/>
    </row>
    <row r="2366" ht="15" customHeight="1">
      <c r="B2366" s="134" t="n"/>
      <c r="C2366" s="105" t="n"/>
      <c r="D2366" s="105" t="n"/>
      <c r="E2366" s="105" t="n"/>
      <c r="F2366" s="105" t="n"/>
      <c r="G2366" s="105" t="n"/>
      <c r="H2366" s="2" t="n"/>
      <c r="I2366" s="105" t="n"/>
      <c r="K2366" s="215" t="n"/>
      <c r="L2366" s="215" t="n"/>
      <c r="M2366" s="215" t="n"/>
      <c r="N2366" s="215" t="n"/>
      <c r="O2366" s="215" t="n"/>
      <c r="P2366" s="215" t="n"/>
      <c r="Q2366" s="215" t="n"/>
      <c r="R2366" s="215" t="n"/>
      <c r="S2366" s="215" t="n"/>
      <c r="T2366" s="215" t="n"/>
      <c r="U2366" s="215" t="n"/>
      <c r="V2366" s="215" t="n"/>
      <c r="W2366" s="215" t="n"/>
      <c r="X2366" s="215" t="n"/>
      <c r="Y2366" s="215" t="n"/>
      <c r="Z2366" s="215" t="n"/>
      <c r="AA2366" s="215" t="n"/>
      <c r="AB2366" s="215" t="n"/>
      <c r="AC2366" s="215" t="n"/>
      <c r="AD2366" s="215" t="n"/>
      <c r="AE2366" s="215" t="n"/>
      <c r="AF2366" s="215" t="n"/>
      <c r="AG2366" s="215" t="n"/>
      <c r="AH2366" s="215" t="n"/>
      <c r="AI2366" s="215" t="n"/>
      <c r="AJ2366" s="215" t="n"/>
      <c r="AK2366" s="216" t="n"/>
    </row>
    <row r="2367" ht="15" customHeight="1">
      <c r="B2367" s="134" t="n"/>
      <c r="C2367" s="105" t="n"/>
      <c r="D2367" s="105" t="n"/>
      <c r="E2367" s="105" t="n"/>
      <c r="F2367" s="105" t="n"/>
      <c r="G2367" s="105" t="n"/>
      <c r="H2367" s="2" t="n"/>
      <c r="I2367" s="105" t="n"/>
      <c r="K2367" s="215" t="n"/>
      <c r="L2367" s="215" t="n"/>
      <c r="M2367" s="215" t="n"/>
      <c r="N2367" s="215" t="n"/>
      <c r="O2367" s="215" t="n"/>
      <c r="P2367" s="215" t="n"/>
      <c r="Q2367" s="215" t="n"/>
      <c r="R2367" s="215" t="n"/>
      <c r="S2367" s="215" t="n"/>
      <c r="T2367" s="215" t="n"/>
      <c r="U2367" s="215" t="n"/>
      <c r="V2367" s="215" t="n"/>
      <c r="W2367" s="215" t="n"/>
      <c r="X2367" s="215" t="n"/>
      <c r="Y2367" s="215" t="n"/>
      <c r="Z2367" s="215" t="n"/>
      <c r="AA2367" s="215" t="n"/>
      <c r="AB2367" s="215" t="n"/>
      <c r="AC2367" s="215" t="n"/>
      <c r="AD2367" s="215" t="n"/>
      <c r="AE2367" s="215" t="n"/>
      <c r="AF2367" s="215" t="n"/>
      <c r="AG2367" s="215" t="n"/>
      <c r="AH2367" s="215" t="n"/>
      <c r="AI2367" s="215" t="n"/>
      <c r="AJ2367" s="215" t="n"/>
      <c r="AK2367" s="216" t="n"/>
    </row>
    <row r="2368" ht="15" customHeight="1">
      <c r="B2368" s="134" t="n"/>
      <c r="C2368" s="105" t="n"/>
      <c r="D2368" s="105" t="n"/>
      <c r="E2368" s="105" t="n"/>
      <c r="F2368" s="105" t="n"/>
      <c r="G2368" s="105" t="n"/>
      <c r="H2368" s="2" t="n"/>
      <c r="I2368" s="105" t="n"/>
      <c r="K2368" s="215" t="n"/>
      <c r="L2368" s="215" t="n"/>
      <c r="M2368" s="215" t="n"/>
      <c r="N2368" s="215" t="n"/>
      <c r="O2368" s="215" t="n"/>
      <c r="P2368" s="215" t="n"/>
      <c r="Q2368" s="215" t="n"/>
      <c r="R2368" s="215" t="n"/>
      <c r="S2368" s="215" t="n"/>
      <c r="T2368" s="215" t="n"/>
      <c r="U2368" s="215" t="n"/>
      <c r="V2368" s="215" t="n"/>
      <c r="W2368" s="215" t="n"/>
      <c r="X2368" s="215" t="n"/>
      <c r="Y2368" s="215" t="n"/>
      <c r="Z2368" s="215" t="n"/>
      <c r="AA2368" s="215" t="n"/>
      <c r="AB2368" s="215" t="n"/>
      <c r="AC2368" s="215" t="n"/>
      <c r="AD2368" s="215" t="n"/>
      <c r="AE2368" s="215" t="n"/>
      <c r="AF2368" s="215" t="n"/>
      <c r="AG2368" s="215" t="n"/>
      <c r="AH2368" s="215" t="n"/>
      <c r="AI2368" s="215" t="n"/>
      <c r="AJ2368" s="215" t="n"/>
      <c r="AK2368" s="216" t="n"/>
    </row>
    <row r="2369" ht="15" customHeight="1">
      <c r="B2369" s="134" t="n"/>
      <c r="C2369" s="105" t="n"/>
      <c r="D2369" s="105" t="n"/>
      <c r="E2369" s="105" t="n"/>
      <c r="F2369" s="105" t="n"/>
      <c r="G2369" s="105" t="n"/>
      <c r="H2369" s="2" t="n"/>
      <c r="I2369" s="105" t="n"/>
      <c r="K2369" s="215" t="n"/>
      <c r="L2369" s="215" t="n"/>
      <c r="M2369" s="215" t="n"/>
      <c r="N2369" s="215" t="n"/>
      <c r="O2369" s="215" t="n"/>
      <c r="P2369" s="215" t="n"/>
      <c r="Q2369" s="215" t="n"/>
      <c r="R2369" s="215" t="n"/>
      <c r="S2369" s="215" t="n"/>
      <c r="T2369" s="215" t="n"/>
      <c r="U2369" s="215" t="n"/>
      <c r="V2369" s="215" t="n"/>
      <c r="W2369" s="215" t="n"/>
      <c r="X2369" s="215" t="n"/>
      <c r="Y2369" s="215" t="n"/>
      <c r="Z2369" s="215" t="n"/>
      <c r="AA2369" s="215" t="n"/>
      <c r="AB2369" s="215" t="n"/>
      <c r="AC2369" s="215" t="n"/>
      <c r="AD2369" s="215" t="n"/>
      <c r="AE2369" s="215" t="n"/>
      <c r="AF2369" s="215" t="n"/>
      <c r="AG2369" s="215" t="n"/>
      <c r="AH2369" s="215" t="n"/>
      <c r="AI2369" s="215" t="n"/>
      <c r="AJ2369" s="215" t="n"/>
      <c r="AK2369" s="216" t="n"/>
    </row>
    <row r="2370" ht="15" customHeight="1">
      <c r="B2370" s="134" t="n"/>
      <c r="C2370" s="105" t="n"/>
      <c r="D2370" s="105" t="n"/>
      <c r="E2370" s="105" t="n"/>
      <c r="F2370" s="105" t="n"/>
      <c r="G2370" s="105" t="n"/>
      <c r="H2370" s="2" t="n"/>
      <c r="I2370" s="105" t="n"/>
      <c r="K2370" s="215" t="n"/>
      <c r="L2370" s="215" t="n"/>
      <c r="M2370" s="215" t="n"/>
      <c r="N2370" s="215" t="n"/>
      <c r="O2370" s="215" t="n"/>
      <c r="P2370" s="215" t="n"/>
      <c r="Q2370" s="215" t="n"/>
      <c r="R2370" s="215" t="n"/>
      <c r="S2370" s="215" t="n"/>
      <c r="T2370" s="215" t="n"/>
      <c r="U2370" s="215" t="n"/>
      <c r="V2370" s="215" t="n"/>
      <c r="W2370" s="215" t="n"/>
      <c r="X2370" s="215" t="n"/>
      <c r="Y2370" s="215" t="n"/>
      <c r="Z2370" s="215" t="n"/>
      <c r="AA2370" s="215" t="n"/>
      <c r="AB2370" s="215" t="n"/>
      <c r="AC2370" s="215" t="n"/>
      <c r="AD2370" s="215" t="n"/>
      <c r="AE2370" s="215" t="n"/>
      <c r="AF2370" s="215" t="n"/>
      <c r="AG2370" s="215" t="n"/>
      <c r="AH2370" s="215" t="n"/>
      <c r="AI2370" s="215" t="n"/>
      <c r="AJ2370" s="215" t="n"/>
      <c r="AK2370" s="216" t="n"/>
    </row>
    <row r="2371" ht="15" customHeight="1">
      <c r="B2371" s="134" t="n"/>
      <c r="C2371" s="105" t="n"/>
      <c r="D2371" s="105" t="n"/>
      <c r="E2371" s="105" t="n"/>
      <c r="F2371" s="105" t="n"/>
      <c r="G2371" s="105" t="n"/>
      <c r="H2371" s="2" t="n"/>
      <c r="I2371" s="105" t="n"/>
      <c r="K2371" s="215" t="n"/>
      <c r="L2371" s="215" t="n"/>
      <c r="M2371" s="215" t="n"/>
      <c r="N2371" s="215" t="n"/>
      <c r="O2371" s="215" t="n"/>
      <c r="P2371" s="215" t="n"/>
      <c r="Q2371" s="215" t="n"/>
      <c r="R2371" s="215" t="n"/>
      <c r="S2371" s="215" t="n"/>
      <c r="T2371" s="215" t="n"/>
      <c r="U2371" s="215" t="n"/>
      <c r="V2371" s="215" t="n"/>
      <c r="W2371" s="215" t="n"/>
      <c r="X2371" s="215" t="n"/>
      <c r="Y2371" s="215" t="n"/>
      <c r="Z2371" s="215" t="n"/>
      <c r="AA2371" s="215" t="n"/>
      <c r="AB2371" s="215" t="n"/>
      <c r="AC2371" s="215" t="n"/>
      <c r="AD2371" s="215" t="n"/>
      <c r="AE2371" s="215" t="n"/>
      <c r="AF2371" s="215" t="n"/>
      <c r="AG2371" s="215" t="n"/>
      <c r="AH2371" s="215" t="n"/>
      <c r="AI2371" s="215" t="n"/>
      <c r="AJ2371" s="215" t="n"/>
      <c r="AK2371" s="216" t="n"/>
    </row>
    <row r="2372" ht="15" customHeight="1">
      <c r="B2372" s="134" t="n"/>
      <c r="C2372" s="105" t="n"/>
      <c r="D2372" s="105" t="n"/>
      <c r="E2372" s="105" t="n"/>
      <c r="F2372" s="105" t="n"/>
      <c r="G2372" s="105" t="n"/>
      <c r="H2372" s="2" t="n"/>
      <c r="I2372" s="105" t="n"/>
      <c r="K2372" s="215" t="n"/>
      <c r="L2372" s="215" t="n"/>
      <c r="M2372" s="215" t="n"/>
      <c r="N2372" s="215" t="n"/>
      <c r="O2372" s="215" t="n"/>
      <c r="P2372" s="215" t="n"/>
      <c r="Q2372" s="215" t="n"/>
      <c r="R2372" s="215" t="n"/>
      <c r="S2372" s="215" t="n"/>
      <c r="T2372" s="215" t="n"/>
      <c r="U2372" s="215" t="n"/>
      <c r="V2372" s="215" t="n"/>
      <c r="W2372" s="215" t="n"/>
      <c r="X2372" s="215" t="n"/>
      <c r="Y2372" s="215" t="n"/>
      <c r="Z2372" s="215" t="n"/>
      <c r="AA2372" s="215" t="n"/>
      <c r="AB2372" s="215" t="n"/>
      <c r="AC2372" s="215" t="n"/>
      <c r="AD2372" s="215" t="n"/>
      <c r="AE2372" s="215" t="n"/>
      <c r="AF2372" s="215" t="n"/>
      <c r="AG2372" s="215" t="n"/>
      <c r="AH2372" s="215" t="n"/>
      <c r="AI2372" s="215" t="n"/>
      <c r="AJ2372" s="215" t="n"/>
      <c r="AK2372" s="216" t="n"/>
    </row>
    <row r="2373" ht="15" customHeight="1">
      <c r="B2373" s="134" t="n"/>
      <c r="C2373" s="105" t="n"/>
      <c r="D2373" s="105" t="n"/>
      <c r="E2373" s="105" t="n"/>
      <c r="F2373" s="105" t="n"/>
      <c r="G2373" s="105" t="n"/>
      <c r="H2373" s="2" t="n"/>
      <c r="I2373" s="105" t="n"/>
      <c r="K2373" s="215" t="n"/>
      <c r="L2373" s="215" t="n"/>
      <c r="M2373" s="215" t="n"/>
      <c r="N2373" s="215" t="n"/>
      <c r="O2373" s="215" t="n"/>
      <c r="P2373" s="215" t="n"/>
      <c r="Q2373" s="215" t="n"/>
      <c r="R2373" s="215" t="n"/>
      <c r="S2373" s="215" t="n"/>
      <c r="T2373" s="215" t="n"/>
      <c r="U2373" s="215" t="n"/>
      <c r="V2373" s="215" t="n"/>
      <c r="W2373" s="215" t="n"/>
      <c r="X2373" s="215" t="n"/>
      <c r="Y2373" s="215" t="n"/>
      <c r="Z2373" s="215" t="n"/>
      <c r="AA2373" s="215" t="n"/>
      <c r="AB2373" s="215" t="n"/>
      <c r="AC2373" s="215" t="n"/>
      <c r="AD2373" s="215" t="n"/>
      <c r="AE2373" s="215" t="n"/>
      <c r="AF2373" s="215" t="n"/>
      <c r="AG2373" s="215" t="n"/>
      <c r="AH2373" s="215" t="n"/>
      <c r="AI2373" s="215" t="n"/>
      <c r="AJ2373" s="215" t="n"/>
      <c r="AK2373" s="216" t="n"/>
    </row>
    <row r="2374" ht="15" customHeight="1">
      <c r="B2374" s="134" t="n"/>
      <c r="C2374" s="105" t="n"/>
      <c r="D2374" s="105" t="n"/>
      <c r="E2374" s="105" t="n"/>
      <c r="F2374" s="105" t="n"/>
      <c r="G2374" s="105" t="n"/>
      <c r="H2374" s="2" t="n"/>
      <c r="I2374" s="105" t="n"/>
      <c r="K2374" s="215" t="n"/>
      <c r="L2374" s="215" t="n"/>
      <c r="M2374" s="215" t="n"/>
      <c r="N2374" s="215" t="n"/>
      <c r="O2374" s="215" t="n"/>
      <c r="P2374" s="215" t="n"/>
      <c r="Q2374" s="215" t="n"/>
      <c r="R2374" s="215" t="n"/>
      <c r="S2374" s="215" t="n"/>
      <c r="T2374" s="215" t="n"/>
      <c r="U2374" s="215" t="n"/>
      <c r="V2374" s="215" t="n"/>
      <c r="W2374" s="215" t="n"/>
      <c r="X2374" s="215" t="n"/>
      <c r="Y2374" s="215" t="n"/>
      <c r="Z2374" s="215" t="n"/>
      <c r="AA2374" s="215" t="n"/>
      <c r="AB2374" s="215" t="n"/>
      <c r="AC2374" s="215" t="n"/>
      <c r="AD2374" s="215" t="n"/>
      <c r="AE2374" s="215" t="n"/>
      <c r="AF2374" s="215" t="n"/>
      <c r="AG2374" s="215" t="n"/>
      <c r="AH2374" s="215" t="n"/>
      <c r="AI2374" s="215" t="n"/>
      <c r="AJ2374" s="215" t="n"/>
      <c r="AK2374" s="216" t="n"/>
    </row>
    <row r="2375" ht="15" customHeight="1">
      <c r="B2375" s="134" t="n"/>
      <c r="C2375" s="105" t="n"/>
      <c r="D2375" s="105" t="n"/>
      <c r="E2375" s="105" t="n"/>
      <c r="F2375" s="105" t="n"/>
      <c r="G2375" s="105" t="n"/>
      <c r="H2375" s="2" t="n"/>
      <c r="I2375" s="105" t="n"/>
      <c r="K2375" s="215" t="n"/>
      <c r="L2375" s="215" t="n"/>
      <c r="M2375" s="215" t="n"/>
      <c r="N2375" s="215" t="n"/>
      <c r="O2375" s="215" t="n"/>
      <c r="P2375" s="215" t="n"/>
      <c r="Q2375" s="215" t="n"/>
      <c r="R2375" s="215" t="n"/>
      <c r="S2375" s="215" t="n"/>
      <c r="T2375" s="215" t="n"/>
      <c r="U2375" s="215" t="n"/>
      <c r="V2375" s="215" t="n"/>
      <c r="W2375" s="215" t="n"/>
      <c r="X2375" s="215" t="n"/>
      <c r="Y2375" s="215" t="n"/>
      <c r="Z2375" s="215" t="n"/>
      <c r="AA2375" s="215" t="n"/>
      <c r="AB2375" s="215" t="n"/>
      <c r="AC2375" s="215" t="n"/>
      <c r="AD2375" s="215" t="n"/>
      <c r="AE2375" s="215" t="n"/>
      <c r="AF2375" s="215" t="n"/>
      <c r="AG2375" s="215" t="n"/>
      <c r="AH2375" s="215" t="n"/>
      <c r="AI2375" s="215" t="n"/>
      <c r="AJ2375" s="215" t="n"/>
      <c r="AK2375" s="216" t="n"/>
    </row>
    <row r="2376" ht="15" customHeight="1">
      <c r="B2376" s="134" t="n"/>
      <c r="C2376" s="105" t="n"/>
      <c r="D2376" s="105" t="n"/>
      <c r="E2376" s="105" t="n"/>
      <c r="F2376" s="105" t="n"/>
      <c r="G2376" s="105" t="n"/>
      <c r="H2376" s="2" t="n"/>
      <c r="I2376" s="105" t="n"/>
      <c r="K2376" s="215" t="n"/>
      <c r="L2376" s="215" t="n"/>
      <c r="M2376" s="215" t="n"/>
      <c r="N2376" s="215" t="n"/>
      <c r="O2376" s="215" t="n"/>
      <c r="P2376" s="215" t="n"/>
      <c r="Q2376" s="215" t="n"/>
      <c r="R2376" s="215" t="n"/>
      <c r="S2376" s="215" t="n"/>
      <c r="T2376" s="215" t="n"/>
      <c r="U2376" s="215" t="n"/>
      <c r="V2376" s="215" t="n"/>
      <c r="W2376" s="215" t="n"/>
      <c r="X2376" s="215" t="n"/>
      <c r="Y2376" s="215" t="n"/>
      <c r="Z2376" s="215" t="n"/>
      <c r="AA2376" s="215" t="n"/>
      <c r="AB2376" s="215" t="n"/>
      <c r="AC2376" s="215" t="n"/>
      <c r="AD2376" s="215" t="n"/>
      <c r="AE2376" s="215" t="n"/>
      <c r="AF2376" s="215" t="n"/>
      <c r="AG2376" s="215" t="n"/>
      <c r="AH2376" s="215" t="n"/>
      <c r="AI2376" s="215" t="n"/>
      <c r="AJ2376" s="215" t="n"/>
      <c r="AK2376" s="216" t="n"/>
    </row>
    <row r="2377" ht="15" customHeight="1">
      <c r="B2377" s="134" t="n"/>
      <c r="C2377" s="105" t="n"/>
      <c r="D2377" s="105" t="n"/>
      <c r="E2377" s="105" t="n"/>
      <c r="F2377" s="105" t="n"/>
      <c r="G2377" s="105" t="n"/>
      <c r="H2377" s="2" t="n"/>
      <c r="I2377" s="105" t="n"/>
      <c r="K2377" s="215" t="n"/>
      <c r="L2377" s="215" t="n"/>
      <c r="M2377" s="215" t="n"/>
      <c r="N2377" s="215" t="n"/>
      <c r="O2377" s="215" t="n"/>
      <c r="P2377" s="215" t="n"/>
      <c r="Q2377" s="215" t="n"/>
      <c r="R2377" s="215" t="n"/>
      <c r="S2377" s="215" t="n"/>
      <c r="T2377" s="215" t="n"/>
      <c r="U2377" s="215" t="n"/>
      <c r="V2377" s="215" t="n"/>
      <c r="W2377" s="215" t="n"/>
      <c r="X2377" s="215" t="n"/>
      <c r="Y2377" s="215" t="n"/>
      <c r="Z2377" s="215" t="n"/>
      <c r="AA2377" s="215" t="n"/>
      <c r="AB2377" s="215" t="n"/>
      <c r="AC2377" s="215" t="n"/>
      <c r="AD2377" s="215" t="n"/>
      <c r="AE2377" s="215" t="n"/>
      <c r="AF2377" s="215" t="n"/>
      <c r="AG2377" s="215" t="n"/>
      <c r="AH2377" s="215" t="n"/>
      <c r="AI2377" s="215" t="n"/>
      <c r="AJ2377" s="215" t="n"/>
      <c r="AK2377" s="216" t="n"/>
    </row>
    <row r="2378" ht="15" customHeight="1">
      <c r="B2378" s="134" t="n"/>
      <c r="C2378" s="105" t="n"/>
      <c r="D2378" s="105" t="n"/>
      <c r="E2378" s="105" t="n"/>
      <c r="F2378" s="105" t="n"/>
      <c r="G2378" s="105" t="n"/>
      <c r="H2378" s="2" t="n"/>
      <c r="I2378" s="105" t="n"/>
      <c r="K2378" s="215" t="n"/>
      <c r="L2378" s="215" t="n"/>
      <c r="M2378" s="215" t="n"/>
      <c r="N2378" s="215" t="n"/>
      <c r="O2378" s="215" t="n"/>
      <c r="P2378" s="215" t="n"/>
      <c r="Q2378" s="215" t="n"/>
      <c r="R2378" s="215" t="n"/>
      <c r="S2378" s="215" t="n"/>
      <c r="T2378" s="215" t="n"/>
      <c r="U2378" s="215" t="n"/>
      <c r="V2378" s="215" t="n"/>
      <c r="W2378" s="215" t="n"/>
      <c r="X2378" s="215" t="n"/>
      <c r="Y2378" s="215" t="n"/>
      <c r="Z2378" s="215" t="n"/>
      <c r="AA2378" s="215" t="n"/>
      <c r="AB2378" s="215" t="n"/>
      <c r="AC2378" s="215" t="n"/>
      <c r="AD2378" s="215" t="n"/>
      <c r="AE2378" s="215" t="n"/>
      <c r="AF2378" s="215" t="n"/>
      <c r="AG2378" s="215" t="n"/>
      <c r="AH2378" s="215" t="n"/>
      <c r="AI2378" s="215" t="n"/>
      <c r="AJ2378" s="215" t="n"/>
      <c r="AK2378" s="216" t="n"/>
    </row>
    <row r="2379" ht="15" customHeight="1">
      <c r="B2379" s="134" t="n"/>
      <c r="C2379" s="105" t="n"/>
      <c r="D2379" s="105" t="n"/>
      <c r="E2379" s="105" t="n"/>
      <c r="F2379" s="105" t="n"/>
      <c r="G2379" s="105" t="n"/>
      <c r="H2379" s="2" t="n"/>
      <c r="I2379" s="105" t="n"/>
      <c r="K2379" s="215" t="n"/>
      <c r="L2379" s="215" t="n"/>
      <c r="M2379" s="215" t="n"/>
      <c r="N2379" s="215" t="n"/>
      <c r="O2379" s="215" t="n"/>
      <c r="P2379" s="215" t="n"/>
      <c r="Q2379" s="215" t="n"/>
      <c r="R2379" s="215" t="n"/>
      <c r="S2379" s="215" t="n"/>
      <c r="T2379" s="215" t="n"/>
      <c r="U2379" s="215" t="n"/>
      <c r="V2379" s="215" t="n"/>
      <c r="W2379" s="215" t="n"/>
      <c r="X2379" s="215" t="n"/>
      <c r="Y2379" s="215" t="n"/>
      <c r="Z2379" s="215" t="n"/>
      <c r="AA2379" s="215" t="n"/>
      <c r="AB2379" s="215" t="n"/>
      <c r="AC2379" s="215" t="n"/>
      <c r="AD2379" s="215" t="n"/>
      <c r="AE2379" s="215" t="n"/>
      <c r="AF2379" s="215" t="n"/>
      <c r="AG2379" s="215" t="n"/>
      <c r="AH2379" s="215" t="n"/>
      <c r="AI2379" s="215" t="n"/>
      <c r="AJ2379" s="215" t="n"/>
      <c r="AK2379" s="216" t="n"/>
    </row>
    <row r="2380" ht="15" customHeight="1">
      <c r="B2380" s="134" t="n"/>
      <c r="C2380" s="105" t="n"/>
      <c r="D2380" s="105" t="n"/>
      <c r="E2380" s="105" t="n"/>
      <c r="F2380" s="105" t="n"/>
      <c r="G2380" s="105" t="n"/>
      <c r="H2380" s="2" t="n"/>
      <c r="I2380" s="105" t="n"/>
      <c r="K2380" s="215" t="n"/>
      <c r="L2380" s="215" t="n"/>
      <c r="M2380" s="215" t="n"/>
      <c r="N2380" s="215" t="n"/>
      <c r="O2380" s="215" t="n"/>
      <c r="P2380" s="215" t="n"/>
      <c r="Q2380" s="215" t="n"/>
      <c r="R2380" s="215" t="n"/>
      <c r="S2380" s="215" t="n"/>
      <c r="T2380" s="215" t="n"/>
      <c r="U2380" s="215" t="n"/>
      <c r="V2380" s="215" t="n"/>
      <c r="W2380" s="215" t="n"/>
      <c r="X2380" s="215" t="n"/>
      <c r="Y2380" s="215" t="n"/>
      <c r="Z2380" s="215" t="n"/>
      <c r="AA2380" s="215" t="n"/>
      <c r="AB2380" s="215" t="n"/>
      <c r="AC2380" s="215" t="n"/>
      <c r="AD2380" s="215" t="n"/>
      <c r="AE2380" s="215" t="n"/>
      <c r="AF2380" s="215" t="n"/>
      <c r="AG2380" s="215" t="n"/>
      <c r="AH2380" s="215" t="n"/>
      <c r="AI2380" s="215" t="n"/>
      <c r="AJ2380" s="215" t="n"/>
      <c r="AK2380" s="216" t="n"/>
    </row>
    <row r="2381" ht="15" customHeight="1">
      <c r="B2381" s="134" t="n"/>
      <c r="C2381" s="105" t="n"/>
      <c r="D2381" s="105" t="n"/>
      <c r="E2381" s="105" t="n"/>
      <c r="F2381" s="105" t="n"/>
      <c r="G2381" s="105" t="n"/>
      <c r="H2381" s="2" t="n"/>
      <c r="I2381" s="105" t="n"/>
      <c r="K2381" s="215" t="n"/>
      <c r="L2381" s="215" t="n"/>
      <c r="M2381" s="215" t="n"/>
      <c r="N2381" s="215" t="n"/>
      <c r="O2381" s="215" t="n"/>
      <c r="P2381" s="215" t="n"/>
      <c r="Q2381" s="215" t="n"/>
      <c r="R2381" s="215" t="n"/>
      <c r="S2381" s="215" t="n"/>
      <c r="T2381" s="215" t="n"/>
      <c r="U2381" s="215" t="n"/>
      <c r="V2381" s="215" t="n"/>
      <c r="W2381" s="215" t="n"/>
      <c r="X2381" s="215" t="n"/>
      <c r="Y2381" s="215" t="n"/>
      <c r="Z2381" s="215" t="n"/>
      <c r="AA2381" s="215" t="n"/>
      <c r="AB2381" s="215" t="n"/>
      <c r="AC2381" s="215" t="n"/>
      <c r="AD2381" s="215" t="n"/>
      <c r="AE2381" s="215" t="n"/>
      <c r="AF2381" s="215" t="n"/>
      <c r="AG2381" s="215" t="n"/>
      <c r="AH2381" s="215" t="n"/>
      <c r="AI2381" s="215" t="n"/>
      <c r="AJ2381" s="215" t="n"/>
      <c r="AK2381" s="216" t="n"/>
    </row>
    <row r="2382" ht="15" customHeight="1">
      <c r="B2382" s="134" t="n"/>
      <c r="C2382" s="105" t="n"/>
      <c r="D2382" s="105" t="n"/>
      <c r="E2382" s="105" t="n"/>
      <c r="F2382" s="105" t="n"/>
      <c r="G2382" s="105" t="n"/>
      <c r="H2382" s="2" t="n"/>
      <c r="I2382" s="105" t="n"/>
      <c r="K2382" s="215" t="n"/>
      <c r="L2382" s="215" t="n"/>
      <c r="M2382" s="215" t="n"/>
      <c r="N2382" s="215" t="n"/>
      <c r="O2382" s="215" t="n"/>
      <c r="P2382" s="215" t="n"/>
      <c r="Q2382" s="215" t="n"/>
      <c r="R2382" s="215" t="n"/>
      <c r="S2382" s="215" t="n"/>
      <c r="T2382" s="215" t="n"/>
      <c r="U2382" s="215" t="n"/>
      <c r="V2382" s="215" t="n"/>
      <c r="W2382" s="215" t="n"/>
      <c r="X2382" s="215" t="n"/>
      <c r="Y2382" s="215" t="n"/>
      <c r="Z2382" s="215" t="n"/>
      <c r="AA2382" s="215" t="n"/>
      <c r="AB2382" s="215" t="n"/>
      <c r="AC2382" s="215" t="n"/>
      <c r="AD2382" s="215" t="n"/>
      <c r="AE2382" s="215" t="n"/>
      <c r="AF2382" s="215" t="n"/>
      <c r="AG2382" s="215" t="n"/>
      <c r="AH2382" s="215" t="n"/>
      <c r="AI2382" s="215" t="n"/>
      <c r="AJ2382" s="215" t="n"/>
      <c r="AK2382" s="216" t="n"/>
    </row>
    <row r="2383" ht="15" customHeight="1">
      <c r="B2383" s="134" t="n"/>
      <c r="C2383" s="105" t="n"/>
      <c r="D2383" s="105" t="n"/>
      <c r="E2383" s="105" t="n"/>
      <c r="F2383" s="105" t="n"/>
      <c r="G2383" s="105" t="n"/>
      <c r="H2383" s="2" t="n"/>
      <c r="I2383" s="105" t="n"/>
      <c r="K2383" s="215" t="n"/>
      <c r="L2383" s="215" t="n"/>
      <c r="M2383" s="215" t="n"/>
      <c r="N2383" s="215" t="n"/>
      <c r="O2383" s="215" t="n"/>
      <c r="P2383" s="215" t="n"/>
      <c r="Q2383" s="215" t="n"/>
      <c r="R2383" s="215" t="n"/>
      <c r="S2383" s="215" t="n"/>
      <c r="T2383" s="215" t="n"/>
      <c r="U2383" s="215" t="n"/>
      <c r="V2383" s="215" t="n"/>
      <c r="W2383" s="215" t="n"/>
      <c r="X2383" s="215" t="n"/>
      <c r="Y2383" s="215" t="n"/>
      <c r="Z2383" s="215" t="n"/>
      <c r="AA2383" s="215" t="n"/>
      <c r="AB2383" s="215" t="n"/>
      <c r="AC2383" s="215" t="n"/>
      <c r="AD2383" s="215" t="n"/>
      <c r="AE2383" s="215" t="n"/>
      <c r="AF2383" s="215" t="n"/>
      <c r="AG2383" s="215" t="n"/>
      <c r="AH2383" s="215" t="n"/>
      <c r="AI2383" s="215" t="n"/>
      <c r="AJ2383" s="215" t="n"/>
      <c r="AK2383" s="216" t="n"/>
    </row>
    <row r="2384" ht="15" customHeight="1">
      <c r="B2384" s="134" t="n"/>
      <c r="C2384" s="105" t="n"/>
      <c r="D2384" s="105" t="n"/>
      <c r="E2384" s="105" t="n"/>
      <c r="F2384" s="105" t="n"/>
      <c r="G2384" s="105" t="n"/>
      <c r="H2384" s="2" t="n"/>
      <c r="I2384" s="105" t="n"/>
      <c r="K2384" s="215" t="n"/>
      <c r="L2384" s="215" t="n"/>
      <c r="M2384" s="215" t="n"/>
      <c r="N2384" s="215" t="n"/>
      <c r="O2384" s="215" t="n"/>
      <c r="P2384" s="215" t="n"/>
      <c r="Q2384" s="215" t="n"/>
      <c r="R2384" s="215" t="n"/>
      <c r="S2384" s="215" t="n"/>
      <c r="T2384" s="215" t="n"/>
      <c r="U2384" s="215" t="n"/>
      <c r="V2384" s="215" t="n"/>
      <c r="W2384" s="215" t="n"/>
      <c r="X2384" s="215" t="n"/>
      <c r="Y2384" s="215" t="n"/>
      <c r="Z2384" s="215" t="n"/>
      <c r="AA2384" s="215" t="n"/>
      <c r="AB2384" s="215" t="n"/>
      <c r="AC2384" s="215" t="n"/>
      <c r="AD2384" s="215" t="n"/>
      <c r="AE2384" s="215" t="n"/>
      <c r="AF2384" s="215" t="n"/>
      <c r="AG2384" s="215" t="n"/>
      <c r="AH2384" s="215" t="n"/>
      <c r="AI2384" s="215" t="n"/>
      <c r="AJ2384" s="215" t="n"/>
      <c r="AK2384" s="216" t="n"/>
    </row>
    <row r="2385" ht="15" customHeight="1">
      <c r="B2385" s="134" t="n"/>
      <c r="C2385" s="105" t="n"/>
      <c r="D2385" s="105" t="n"/>
      <c r="E2385" s="105" t="n"/>
      <c r="F2385" s="105" t="n"/>
      <c r="G2385" s="105" t="n"/>
      <c r="H2385" s="2" t="n"/>
      <c r="I2385" s="105" t="n"/>
      <c r="K2385" s="215" t="n"/>
      <c r="L2385" s="215" t="n"/>
      <c r="M2385" s="215" t="n"/>
      <c r="N2385" s="215" t="n"/>
      <c r="O2385" s="215" t="n"/>
      <c r="P2385" s="215" t="n"/>
      <c r="Q2385" s="215" t="n"/>
      <c r="R2385" s="215" t="n"/>
      <c r="S2385" s="215" t="n"/>
      <c r="T2385" s="215" t="n"/>
      <c r="U2385" s="215" t="n"/>
      <c r="V2385" s="215" t="n"/>
      <c r="W2385" s="215" t="n"/>
      <c r="X2385" s="215" t="n"/>
      <c r="Y2385" s="215" t="n"/>
      <c r="Z2385" s="215" t="n"/>
      <c r="AA2385" s="215" t="n"/>
      <c r="AB2385" s="215" t="n"/>
      <c r="AC2385" s="215" t="n"/>
      <c r="AD2385" s="215" t="n"/>
      <c r="AE2385" s="215" t="n"/>
      <c r="AF2385" s="215" t="n"/>
      <c r="AG2385" s="215" t="n"/>
      <c r="AH2385" s="215" t="n"/>
      <c r="AI2385" s="215" t="n"/>
      <c r="AJ2385" s="215" t="n"/>
      <c r="AK2385" s="216" t="n"/>
    </row>
    <row r="2386" ht="15" customHeight="1">
      <c r="B2386" s="134" t="n"/>
      <c r="C2386" s="105" t="n"/>
      <c r="D2386" s="105" t="n"/>
      <c r="E2386" s="105" t="n"/>
      <c r="F2386" s="105" t="n"/>
      <c r="G2386" s="105" t="n"/>
      <c r="H2386" s="2" t="n"/>
      <c r="I2386" s="105" t="n"/>
      <c r="K2386" s="215" t="n"/>
      <c r="L2386" s="215" t="n"/>
      <c r="M2386" s="215" t="n"/>
      <c r="N2386" s="215" t="n"/>
      <c r="O2386" s="215" t="n"/>
      <c r="P2386" s="215" t="n"/>
      <c r="Q2386" s="215" t="n"/>
      <c r="R2386" s="215" t="n"/>
      <c r="S2386" s="215" t="n"/>
      <c r="T2386" s="215" t="n"/>
      <c r="U2386" s="215" t="n"/>
      <c r="V2386" s="215" t="n"/>
      <c r="W2386" s="215" t="n"/>
      <c r="X2386" s="215" t="n"/>
      <c r="Y2386" s="215" t="n"/>
      <c r="Z2386" s="215" t="n"/>
      <c r="AA2386" s="215" t="n"/>
      <c r="AB2386" s="215" t="n"/>
      <c r="AC2386" s="215" t="n"/>
      <c r="AD2386" s="215" t="n"/>
      <c r="AE2386" s="215" t="n"/>
      <c r="AF2386" s="215" t="n"/>
      <c r="AG2386" s="215" t="n"/>
      <c r="AH2386" s="215" t="n"/>
      <c r="AI2386" s="215" t="n"/>
      <c r="AJ2386" s="215" t="n"/>
      <c r="AK2386" s="216" t="n"/>
    </row>
    <row r="2387" ht="15" customHeight="1">
      <c r="B2387" s="134" t="n"/>
      <c r="C2387" s="105" t="n"/>
      <c r="D2387" s="105" t="n"/>
      <c r="E2387" s="105" t="n"/>
      <c r="F2387" s="105" t="n"/>
      <c r="G2387" s="105" t="n"/>
      <c r="H2387" s="2" t="n"/>
      <c r="I2387" s="105" t="n"/>
      <c r="K2387" s="215" t="n"/>
      <c r="L2387" s="215" t="n"/>
      <c r="M2387" s="215" t="n"/>
      <c r="N2387" s="215" t="n"/>
      <c r="O2387" s="215" t="n"/>
      <c r="P2387" s="215" t="n"/>
      <c r="Q2387" s="215" t="n"/>
      <c r="R2387" s="215" t="n"/>
      <c r="S2387" s="215" t="n"/>
      <c r="T2387" s="215" t="n"/>
      <c r="U2387" s="215" t="n"/>
      <c r="V2387" s="215" t="n"/>
      <c r="W2387" s="215" t="n"/>
      <c r="X2387" s="215" t="n"/>
      <c r="Y2387" s="215" t="n"/>
      <c r="Z2387" s="215" t="n"/>
      <c r="AA2387" s="215" t="n"/>
      <c r="AB2387" s="215" t="n"/>
      <c r="AC2387" s="215" t="n"/>
      <c r="AD2387" s="215" t="n"/>
      <c r="AE2387" s="215" t="n"/>
      <c r="AF2387" s="215" t="n"/>
      <c r="AG2387" s="215" t="n"/>
      <c r="AH2387" s="215" t="n"/>
      <c r="AI2387" s="215" t="n"/>
      <c r="AJ2387" s="215" t="n"/>
      <c r="AK2387" s="216" t="n"/>
    </row>
    <row r="2388" ht="15" customHeight="1">
      <c r="B2388" s="134" t="n"/>
      <c r="C2388" s="105" t="n"/>
      <c r="D2388" s="105" t="n"/>
      <c r="E2388" s="105" t="n"/>
      <c r="F2388" s="105" t="n"/>
      <c r="G2388" s="105" t="n"/>
      <c r="H2388" s="2" t="n"/>
      <c r="I2388" s="105" t="n"/>
      <c r="K2388" s="215" t="n"/>
      <c r="L2388" s="215" t="n"/>
      <c r="M2388" s="215" t="n"/>
      <c r="N2388" s="215" t="n"/>
      <c r="O2388" s="215" t="n"/>
      <c r="P2388" s="215" t="n"/>
      <c r="Q2388" s="215" t="n"/>
      <c r="R2388" s="215" t="n"/>
      <c r="S2388" s="215" t="n"/>
      <c r="T2388" s="215" t="n"/>
      <c r="U2388" s="215" t="n"/>
      <c r="V2388" s="215" t="n"/>
      <c r="W2388" s="215" t="n"/>
      <c r="X2388" s="215" t="n"/>
      <c r="Y2388" s="215" t="n"/>
      <c r="Z2388" s="215" t="n"/>
      <c r="AA2388" s="215" t="n"/>
      <c r="AB2388" s="215" t="n"/>
      <c r="AC2388" s="215" t="n"/>
      <c r="AD2388" s="215" t="n"/>
      <c r="AE2388" s="215" t="n"/>
      <c r="AF2388" s="215" t="n"/>
      <c r="AG2388" s="215" t="n"/>
      <c r="AH2388" s="215" t="n"/>
      <c r="AI2388" s="215" t="n"/>
      <c r="AJ2388" s="215" t="n"/>
      <c r="AK2388" s="216" t="n"/>
    </row>
    <row r="2389" ht="15" customHeight="1">
      <c r="B2389" s="134" t="n"/>
      <c r="C2389" s="105" t="n"/>
      <c r="D2389" s="105" t="n"/>
      <c r="E2389" s="105" t="n"/>
      <c r="F2389" s="105" t="n"/>
      <c r="G2389" s="105" t="n"/>
      <c r="H2389" s="2" t="n"/>
      <c r="I2389" s="105" t="n"/>
      <c r="K2389" s="215" t="n"/>
      <c r="L2389" s="215" t="n"/>
      <c r="M2389" s="215" t="n"/>
      <c r="N2389" s="215" t="n"/>
      <c r="O2389" s="215" t="n"/>
      <c r="P2389" s="215" t="n"/>
      <c r="Q2389" s="215" t="n"/>
      <c r="R2389" s="215" t="n"/>
      <c r="S2389" s="215" t="n"/>
      <c r="T2389" s="215" t="n"/>
      <c r="U2389" s="215" t="n"/>
      <c r="V2389" s="215" t="n"/>
      <c r="W2389" s="215" t="n"/>
      <c r="X2389" s="215" t="n"/>
      <c r="Y2389" s="215" t="n"/>
      <c r="Z2389" s="215" t="n"/>
      <c r="AA2389" s="215" t="n"/>
      <c r="AB2389" s="215" t="n"/>
      <c r="AC2389" s="215" t="n"/>
      <c r="AD2389" s="215" t="n"/>
      <c r="AE2389" s="215" t="n"/>
      <c r="AF2389" s="215" t="n"/>
      <c r="AG2389" s="215" t="n"/>
      <c r="AH2389" s="215" t="n"/>
      <c r="AI2389" s="215" t="n"/>
      <c r="AJ2389" s="215" t="n"/>
      <c r="AK2389" s="216" t="n"/>
    </row>
    <row r="2390" ht="15" customHeight="1">
      <c r="B2390" s="134" t="n"/>
      <c r="C2390" s="105" t="n"/>
      <c r="D2390" s="105" t="n"/>
      <c r="E2390" s="105" t="n"/>
      <c r="F2390" s="105" t="n"/>
      <c r="G2390" s="105" t="n"/>
      <c r="H2390" s="2" t="n"/>
      <c r="I2390" s="105" t="n"/>
      <c r="K2390" s="215" t="n"/>
      <c r="L2390" s="215" t="n"/>
      <c r="M2390" s="215" t="n"/>
      <c r="N2390" s="215" t="n"/>
      <c r="O2390" s="215" t="n"/>
      <c r="P2390" s="215" t="n"/>
      <c r="Q2390" s="215" t="n"/>
      <c r="R2390" s="215" t="n"/>
      <c r="S2390" s="215" t="n"/>
      <c r="T2390" s="215" t="n"/>
      <c r="U2390" s="215" t="n"/>
      <c r="V2390" s="215" t="n"/>
      <c r="W2390" s="215" t="n"/>
      <c r="X2390" s="215" t="n"/>
      <c r="Y2390" s="215" t="n"/>
      <c r="Z2390" s="215" t="n"/>
      <c r="AA2390" s="215" t="n"/>
      <c r="AB2390" s="215" t="n"/>
      <c r="AC2390" s="215" t="n"/>
      <c r="AD2390" s="215" t="n"/>
      <c r="AE2390" s="215" t="n"/>
      <c r="AF2390" s="215" t="n"/>
      <c r="AG2390" s="215" t="n"/>
      <c r="AH2390" s="215" t="n"/>
      <c r="AI2390" s="215" t="n"/>
      <c r="AJ2390" s="215" t="n"/>
      <c r="AK2390" s="216" t="n"/>
    </row>
    <row r="2391" ht="15" customHeight="1">
      <c r="B2391" s="134" t="n"/>
      <c r="C2391" s="105" t="n"/>
      <c r="D2391" s="105" t="n"/>
      <c r="E2391" s="105" t="n"/>
      <c r="F2391" s="105" t="n"/>
      <c r="G2391" s="105" t="n"/>
      <c r="H2391" s="2" t="n"/>
      <c r="I2391" s="105" t="n"/>
      <c r="K2391" s="215" t="n"/>
      <c r="L2391" s="215" t="n"/>
      <c r="M2391" s="215" t="n"/>
      <c r="N2391" s="215" t="n"/>
      <c r="O2391" s="215" t="n"/>
      <c r="P2391" s="215" t="n"/>
      <c r="Q2391" s="215" t="n"/>
      <c r="R2391" s="215" t="n"/>
      <c r="S2391" s="215" t="n"/>
      <c r="T2391" s="215" t="n"/>
      <c r="U2391" s="215" t="n"/>
      <c r="V2391" s="215" t="n"/>
      <c r="W2391" s="215" t="n"/>
      <c r="X2391" s="215" t="n"/>
      <c r="Y2391" s="215" t="n"/>
      <c r="Z2391" s="215" t="n"/>
      <c r="AA2391" s="215" t="n"/>
      <c r="AB2391" s="215" t="n"/>
      <c r="AC2391" s="215" t="n"/>
      <c r="AD2391" s="215" t="n"/>
      <c r="AE2391" s="215" t="n"/>
      <c r="AF2391" s="215" t="n"/>
      <c r="AG2391" s="215" t="n"/>
      <c r="AH2391" s="215" t="n"/>
      <c r="AI2391" s="215" t="n"/>
      <c r="AJ2391" s="215" t="n"/>
      <c r="AK2391" s="216" t="n"/>
    </row>
    <row r="2392" ht="15" customHeight="1">
      <c r="B2392" s="134" t="n"/>
      <c r="C2392" s="105" t="n"/>
      <c r="D2392" s="105" t="n"/>
      <c r="E2392" s="105" t="n"/>
      <c r="F2392" s="105" t="n"/>
      <c r="G2392" s="105" t="n"/>
      <c r="H2392" s="2" t="n"/>
      <c r="I2392" s="105" t="n"/>
      <c r="K2392" s="215" t="n"/>
      <c r="L2392" s="215" t="n"/>
      <c r="M2392" s="215" t="n"/>
      <c r="N2392" s="215" t="n"/>
      <c r="O2392" s="215" t="n"/>
      <c r="P2392" s="215" t="n"/>
      <c r="Q2392" s="215" t="n"/>
      <c r="R2392" s="215" t="n"/>
      <c r="S2392" s="215" t="n"/>
      <c r="T2392" s="215" t="n"/>
      <c r="U2392" s="215" t="n"/>
      <c r="V2392" s="215" t="n"/>
      <c r="W2392" s="215" t="n"/>
      <c r="X2392" s="215" t="n"/>
      <c r="Y2392" s="215" t="n"/>
      <c r="Z2392" s="215" t="n"/>
      <c r="AA2392" s="215" t="n"/>
      <c r="AB2392" s="215" t="n"/>
      <c r="AC2392" s="215" t="n"/>
      <c r="AD2392" s="215" t="n"/>
      <c r="AE2392" s="215" t="n"/>
      <c r="AF2392" s="215" t="n"/>
      <c r="AG2392" s="215" t="n"/>
      <c r="AH2392" s="215" t="n"/>
      <c r="AI2392" s="215" t="n"/>
      <c r="AJ2392" s="215" t="n"/>
      <c r="AK2392" s="216" t="n"/>
    </row>
    <row r="2393" ht="15" customHeight="1">
      <c r="B2393" s="134" t="n"/>
      <c r="C2393" s="105" t="n"/>
      <c r="D2393" s="105" t="n"/>
      <c r="E2393" s="105" t="n"/>
      <c r="F2393" s="105" t="n"/>
      <c r="G2393" s="105" t="n"/>
      <c r="H2393" s="2" t="n"/>
      <c r="I2393" s="105" t="n"/>
      <c r="K2393" s="215" t="n"/>
      <c r="L2393" s="215" t="n"/>
      <c r="M2393" s="215" t="n"/>
      <c r="N2393" s="215" t="n"/>
      <c r="O2393" s="215" t="n"/>
      <c r="P2393" s="215" t="n"/>
      <c r="Q2393" s="215" t="n"/>
      <c r="R2393" s="215" t="n"/>
      <c r="S2393" s="215" t="n"/>
      <c r="T2393" s="215" t="n"/>
      <c r="U2393" s="215" t="n"/>
      <c r="V2393" s="215" t="n"/>
      <c r="W2393" s="215" t="n"/>
      <c r="X2393" s="215" t="n"/>
      <c r="Y2393" s="215" t="n"/>
      <c r="Z2393" s="215" t="n"/>
      <c r="AA2393" s="215" t="n"/>
      <c r="AB2393" s="215" t="n"/>
      <c r="AC2393" s="215" t="n"/>
      <c r="AD2393" s="215" t="n"/>
      <c r="AE2393" s="215" t="n"/>
      <c r="AF2393" s="215" t="n"/>
      <c r="AG2393" s="215" t="n"/>
      <c r="AH2393" s="215" t="n"/>
      <c r="AI2393" s="215" t="n"/>
      <c r="AJ2393" s="215" t="n"/>
      <c r="AK2393" s="216" t="n"/>
    </row>
    <row r="2394" ht="15" customHeight="1">
      <c r="B2394" s="134" t="n"/>
      <c r="C2394" s="105" t="n"/>
      <c r="D2394" s="105" t="n"/>
      <c r="E2394" s="105" t="n"/>
      <c r="F2394" s="105" t="n"/>
      <c r="G2394" s="105" t="n"/>
      <c r="H2394" s="2" t="n"/>
      <c r="I2394" s="105" t="n"/>
      <c r="K2394" s="215" t="n"/>
      <c r="L2394" s="215" t="n"/>
      <c r="M2394" s="215" t="n"/>
      <c r="N2394" s="215" t="n"/>
      <c r="O2394" s="215" t="n"/>
      <c r="P2394" s="215" t="n"/>
      <c r="Q2394" s="215" t="n"/>
      <c r="R2394" s="215" t="n"/>
      <c r="S2394" s="215" t="n"/>
      <c r="T2394" s="215" t="n"/>
      <c r="U2394" s="215" t="n"/>
      <c r="V2394" s="215" t="n"/>
      <c r="W2394" s="215" t="n"/>
      <c r="X2394" s="215" t="n"/>
      <c r="Y2394" s="215" t="n"/>
      <c r="Z2394" s="215" t="n"/>
      <c r="AA2394" s="215" t="n"/>
      <c r="AB2394" s="215" t="n"/>
      <c r="AC2394" s="215" t="n"/>
      <c r="AD2394" s="215" t="n"/>
      <c r="AE2394" s="215" t="n"/>
      <c r="AF2394" s="215" t="n"/>
      <c r="AG2394" s="215" t="n"/>
      <c r="AH2394" s="215" t="n"/>
      <c r="AI2394" s="215" t="n"/>
      <c r="AJ2394" s="215" t="n"/>
      <c r="AK2394" s="216" t="n"/>
    </row>
    <row r="2395" ht="15" customHeight="1">
      <c r="B2395" s="134" t="n"/>
      <c r="C2395" s="105" t="n"/>
      <c r="D2395" s="105" t="n"/>
      <c r="E2395" s="105" t="n"/>
      <c r="F2395" s="105" t="n"/>
      <c r="G2395" s="105" t="n"/>
      <c r="H2395" s="2" t="n"/>
      <c r="I2395" s="105" t="n"/>
      <c r="K2395" s="215" t="n"/>
      <c r="L2395" s="215" t="n"/>
      <c r="M2395" s="215" t="n"/>
      <c r="N2395" s="215" t="n"/>
      <c r="O2395" s="215" t="n"/>
      <c r="P2395" s="215" t="n"/>
      <c r="Q2395" s="215" t="n"/>
      <c r="R2395" s="215" t="n"/>
      <c r="S2395" s="215" t="n"/>
      <c r="T2395" s="215" t="n"/>
      <c r="U2395" s="215" t="n"/>
      <c r="V2395" s="215" t="n"/>
      <c r="W2395" s="215" t="n"/>
      <c r="X2395" s="215" t="n"/>
      <c r="Y2395" s="215" t="n"/>
      <c r="Z2395" s="215" t="n"/>
      <c r="AA2395" s="215" t="n"/>
      <c r="AB2395" s="215" t="n"/>
      <c r="AC2395" s="215" t="n"/>
      <c r="AD2395" s="215" t="n"/>
      <c r="AE2395" s="215" t="n"/>
      <c r="AF2395" s="215" t="n"/>
      <c r="AG2395" s="215" t="n"/>
      <c r="AH2395" s="215" t="n"/>
      <c r="AI2395" s="215" t="n"/>
      <c r="AJ2395" s="215" t="n"/>
      <c r="AK2395" s="216" t="n"/>
    </row>
    <row r="2396" ht="15" customHeight="1">
      <c r="B2396" s="134" t="n"/>
      <c r="C2396" s="105" t="n"/>
      <c r="D2396" s="105" t="n"/>
      <c r="E2396" s="105" t="n"/>
      <c r="F2396" s="105" t="n"/>
      <c r="G2396" s="105" t="n"/>
      <c r="H2396" s="2" t="n"/>
      <c r="I2396" s="105" t="n"/>
      <c r="K2396" s="215" t="n"/>
      <c r="L2396" s="215" t="n"/>
      <c r="M2396" s="215" t="n"/>
      <c r="N2396" s="215" t="n"/>
      <c r="O2396" s="215" t="n"/>
      <c r="P2396" s="215" t="n"/>
      <c r="Q2396" s="215" t="n"/>
      <c r="R2396" s="215" t="n"/>
      <c r="S2396" s="215" t="n"/>
      <c r="T2396" s="215" t="n"/>
      <c r="U2396" s="215" t="n"/>
      <c r="V2396" s="215" t="n"/>
      <c r="W2396" s="215" t="n"/>
      <c r="X2396" s="215" t="n"/>
      <c r="Y2396" s="215" t="n"/>
      <c r="Z2396" s="215" t="n"/>
      <c r="AA2396" s="215" t="n"/>
      <c r="AB2396" s="215" t="n"/>
      <c r="AC2396" s="215" t="n"/>
      <c r="AD2396" s="215" t="n"/>
      <c r="AE2396" s="215" t="n"/>
      <c r="AF2396" s="215" t="n"/>
      <c r="AG2396" s="215" t="n"/>
      <c r="AH2396" s="215" t="n"/>
      <c r="AI2396" s="215" t="n"/>
      <c r="AJ2396" s="215" t="n"/>
      <c r="AK2396" s="216" t="n"/>
    </row>
    <row r="2397" ht="15" customHeight="1">
      <c r="B2397" s="134" t="n"/>
      <c r="C2397" s="105" t="n"/>
      <c r="D2397" s="105" t="n"/>
      <c r="E2397" s="105" t="n"/>
      <c r="F2397" s="105" t="n"/>
      <c r="G2397" s="105" t="n"/>
      <c r="H2397" s="2" t="n"/>
      <c r="I2397" s="105" t="n"/>
      <c r="K2397" s="215" t="n"/>
      <c r="L2397" s="215" t="n"/>
      <c r="M2397" s="215" t="n"/>
      <c r="N2397" s="215" t="n"/>
      <c r="O2397" s="215" t="n"/>
      <c r="P2397" s="215" t="n"/>
      <c r="Q2397" s="215" t="n"/>
      <c r="R2397" s="215" t="n"/>
      <c r="S2397" s="215" t="n"/>
      <c r="T2397" s="215" t="n"/>
      <c r="U2397" s="215" t="n"/>
      <c r="V2397" s="215" t="n"/>
      <c r="W2397" s="215" t="n"/>
      <c r="X2397" s="215" t="n"/>
      <c r="Y2397" s="215" t="n"/>
      <c r="Z2397" s="215" t="n"/>
      <c r="AA2397" s="215" t="n"/>
      <c r="AB2397" s="215" t="n"/>
      <c r="AC2397" s="215" t="n"/>
      <c r="AD2397" s="215" t="n"/>
      <c r="AE2397" s="215" t="n"/>
      <c r="AF2397" s="215" t="n"/>
      <c r="AG2397" s="215" t="n"/>
      <c r="AH2397" s="215" t="n"/>
      <c r="AI2397" s="215" t="n"/>
      <c r="AJ2397" s="215" t="n"/>
      <c r="AK2397" s="216" t="n"/>
    </row>
    <row r="2398" ht="15" customHeight="1">
      <c r="B2398" s="134" t="n"/>
      <c r="C2398" s="105" t="n"/>
      <c r="D2398" s="105" t="n"/>
      <c r="E2398" s="105" t="n"/>
      <c r="F2398" s="105" t="n"/>
      <c r="G2398" s="105" t="n"/>
      <c r="H2398" s="2" t="n"/>
      <c r="I2398" s="105" t="n"/>
      <c r="K2398" s="215" t="n"/>
      <c r="L2398" s="215" t="n"/>
      <c r="M2398" s="215" t="n"/>
      <c r="N2398" s="215" t="n"/>
      <c r="O2398" s="215" t="n"/>
      <c r="P2398" s="215" t="n"/>
      <c r="Q2398" s="215" t="n"/>
      <c r="R2398" s="215" t="n"/>
      <c r="S2398" s="215" t="n"/>
      <c r="T2398" s="215" t="n"/>
      <c r="U2398" s="215" t="n"/>
      <c r="V2398" s="215" t="n"/>
      <c r="W2398" s="215" t="n"/>
      <c r="X2398" s="215" t="n"/>
      <c r="Y2398" s="215" t="n"/>
      <c r="Z2398" s="215" t="n"/>
      <c r="AA2398" s="215" t="n"/>
      <c r="AB2398" s="215" t="n"/>
      <c r="AC2398" s="215" t="n"/>
      <c r="AD2398" s="215" t="n"/>
      <c r="AE2398" s="215" t="n"/>
      <c r="AF2398" s="215" t="n"/>
      <c r="AG2398" s="215" t="n"/>
      <c r="AH2398" s="215" t="n"/>
      <c r="AI2398" s="215" t="n"/>
      <c r="AJ2398" s="215" t="n"/>
      <c r="AK2398" s="216" t="n"/>
    </row>
    <row r="2399" ht="15" customHeight="1">
      <c r="B2399" s="134" t="n"/>
      <c r="C2399" s="105" t="n"/>
      <c r="D2399" s="105" t="n"/>
      <c r="E2399" s="105" t="n"/>
      <c r="F2399" s="105" t="n"/>
      <c r="G2399" s="105" t="n"/>
      <c r="H2399" s="2" t="n"/>
      <c r="I2399" s="105" t="n"/>
      <c r="K2399" s="215" t="n"/>
      <c r="L2399" s="215" t="n"/>
      <c r="M2399" s="215" t="n"/>
      <c r="N2399" s="215" t="n"/>
      <c r="O2399" s="215" t="n"/>
      <c r="P2399" s="215" t="n"/>
      <c r="Q2399" s="215" t="n"/>
      <c r="R2399" s="215" t="n"/>
      <c r="S2399" s="215" t="n"/>
      <c r="T2399" s="215" t="n"/>
      <c r="U2399" s="215" t="n"/>
      <c r="V2399" s="215" t="n"/>
      <c r="W2399" s="215" t="n"/>
      <c r="X2399" s="215" t="n"/>
      <c r="Y2399" s="215" t="n"/>
      <c r="Z2399" s="215" t="n"/>
      <c r="AA2399" s="215" t="n"/>
      <c r="AB2399" s="215" t="n"/>
      <c r="AC2399" s="215" t="n"/>
      <c r="AD2399" s="215" t="n"/>
      <c r="AE2399" s="215" t="n"/>
      <c r="AF2399" s="215" t="n"/>
      <c r="AG2399" s="215" t="n"/>
      <c r="AH2399" s="215" t="n"/>
      <c r="AI2399" s="215" t="n"/>
      <c r="AJ2399" s="215" t="n"/>
      <c r="AK2399" s="216" t="n"/>
    </row>
    <row r="2400" ht="15" customHeight="1">
      <c r="B2400" s="134" t="n"/>
      <c r="C2400" s="105" t="n"/>
      <c r="D2400" s="105" t="n"/>
      <c r="E2400" s="105" t="n"/>
      <c r="F2400" s="105" t="n"/>
      <c r="G2400" s="105" t="n"/>
      <c r="H2400" s="2" t="n"/>
      <c r="I2400" s="105" t="n"/>
      <c r="K2400" s="215" t="n"/>
      <c r="L2400" s="215" t="n"/>
      <c r="M2400" s="215" t="n"/>
      <c r="N2400" s="215" t="n"/>
      <c r="O2400" s="215" t="n"/>
      <c r="P2400" s="215" t="n"/>
      <c r="Q2400" s="215" t="n"/>
      <c r="R2400" s="215" t="n"/>
      <c r="S2400" s="215" t="n"/>
      <c r="T2400" s="215" t="n"/>
      <c r="U2400" s="215" t="n"/>
      <c r="V2400" s="215" t="n"/>
      <c r="W2400" s="215" t="n"/>
      <c r="X2400" s="215" t="n"/>
      <c r="Y2400" s="215" t="n"/>
      <c r="Z2400" s="215" t="n"/>
      <c r="AA2400" s="215" t="n"/>
      <c r="AB2400" s="215" t="n"/>
      <c r="AC2400" s="215" t="n"/>
      <c r="AD2400" s="215" t="n"/>
      <c r="AE2400" s="215" t="n"/>
      <c r="AF2400" s="215" t="n"/>
      <c r="AG2400" s="215" t="n"/>
      <c r="AH2400" s="215" t="n"/>
      <c r="AI2400" s="215" t="n"/>
      <c r="AJ2400" s="215" t="n"/>
      <c r="AK2400" s="216" t="n"/>
    </row>
    <row r="2401" ht="15" customHeight="1">
      <c r="B2401" s="134" t="n"/>
      <c r="C2401" s="105" t="n"/>
      <c r="D2401" s="105" t="n"/>
      <c r="E2401" s="105" t="n"/>
      <c r="F2401" s="105" t="n"/>
      <c r="G2401" s="105" t="n"/>
      <c r="H2401" s="2" t="n"/>
      <c r="I2401" s="105" t="n"/>
      <c r="K2401" s="215" t="n"/>
      <c r="L2401" s="215" t="n"/>
      <c r="M2401" s="215" t="n"/>
      <c r="N2401" s="215" t="n"/>
      <c r="O2401" s="215" t="n"/>
      <c r="P2401" s="215" t="n"/>
      <c r="Q2401" s="215" t="n"/>
      <c r="R2401" s="215" t="n"/>
      <c r="S2401" s="215" t="n"/>
      <c r="T2401" s="215" t="n"/>
      <c r="U2401" s="215" t="n"/>
      <c r="V2401" s="215" t="n"/>
      <c r="W2401" s="215" t="n"/>
      <c r="X2401" s="215" t="n"/>
      <c r="Y2401" s="215" t="n"/>
      <c r="Z2401" s="215" t="n"/>
      <c r="AA2401" s="215" t="n"/>
      <c r="AB2401" s="215" t="n"/>
      <c r="AC2401" s="215" t="n"/>
      <c r="AD2401" s="215" t="n"/>
      <c r="AE2401" s="215" t="n"/>
      <c r="AF2401" s="215" t="n"/>
      <c r="AG2401" s="215" t="n"/>
      <c r="AH2401" s="215" t="n"/>
      <c r="AI2401" s="215" t="n"/>
      <c r="AJ2401" s="215" t="n"/>
      <c r="AK2401" s="216" t="n"/>
    </row>
    <row r="2402" ht="15" customHeight="1">
      <c r="B2402" s="134" t="n"/>
      <c r="C2402" s="105" t="n"/>
      <c r="D2402" s="105" t="n"/>
      <c r="E2402" s="105" t="n"/>
      <c r="F2402" s="105" t="n"/>
      <c r="G2402" s="105" t="n"/>
      <c r="H2402" s="2" t="n"/>
      <c r="I2402" s="105" t="n"/>
      <c r="K2402" s="215" t="n"/>
      <c r="L2402" s="215" t="n"/>
      <c r="M2402" s="215" t="n"/>
      <c r="N2402" s="215" t="n"/>
      <c r="O2402" s="215" t="n"/>
      <c r="P2402" s="215" t="n"/>
      <c r="Q2402" s="215" t="n"/>
      <c r="R2402" s="215" t="n"/>
      <c r="S2402" s="215" t="n"/>
      <c r="T2402" s="215" t="n"/>
      <c r="U2402" s="215" t="n"/>
      <c r="V2402" s="215" t="n"/>
      <c r="W2402" s="215" t="n"/>
      <c r="X2402" s="215" t="n"/>
      <c r="Y2402" s="215" t="n"/>
      <c r="Z2402" s="215" t="n"/>
      <c r="AA2402" s="215" t="n"/>
      <c r="AB2402" s="215" t="n"/>
      <c r="AC2402" s="215" t="n"/>
      <c r="AD2402" s="215" t="n"/>
      <c r="AE2402" s="215" t="n"/>
      <c r="AF2402" s="215" t="n"/>
      <c r="AG2402" s="215" t="n"/>
      <c r="AH2402" s="215" t="n"/>
      <c r="AI2402" s="215" t="n"/>
      <c r="AJ2402" s="215" t="n"/>
      <c r="AK2402" s="216" t="n"/>
    </row>
    <row r="2403" ht="15" customHeight="1">
      <c r="B2403" s="134" t="n"/>
      <c r="C2403" s="105" t="n"/>
      <c r="D2403" s="105" t="n"/>
      <c r="E2403" s="105" t="n"/>
      <c r="F2403" s="105" t="n"/>
      <c r="G2403" s="105" t="n"/>
      <c r="H2403" s="2" t="n"/>
      <c r="I2403" s="105" t="n"/>
      <c r="K2403" s="215" t="n"/>
      <c r="L2403" s="215" t="n"/>
      <c r="M2403" s="215" t="n"/>
      <c r="N2403" s="215" t="n"/>
      <c r="O2403" s="215" t="n"/>
      <c r="P2403" s="215" t="n"/>
      <c r="Q2403" s="215" t="n"/>
      <c r="R2403" s="215" t="n"/>
      <c r="S2403" s="215" t="n"/>
      <c r="T2403" s="215" t="n"/>
      <c r="U2403" s="215" t="n"/>
      <c r="V2403" s="215" t="n"/>
      <c r="W2403" s="215" t="n"/>
      <c r="X2403" s="215" t="n"/>
      <c r="Y2403" s="215" t="n"/>
      <c r="Z2403" s="215" t="n"/>
      <c r="AA2403" s="215" t="n"/>
      <c r="AB2403" s="215" t="n"/>
      <c r="AC2403" s="215" t="n"/>
      <c r="AD2403" s="215" t="n"/>
      <c r="AE2403" s="215" t="n"/>
      <c r="AF2403" s="215" t="n"/>
      <c r="AG2403" s="215" t="n"/>
      <c r="AH2403" s="215" t="n"/>
      <c r="AI2403" s="215" t="n"/>
      <c r="AJ2403" s="215" t="n"/>
      <c r="AK2403" s="216" t="n"/>
    </row>
    <row r="2404" ht="15" customHeight="1">
      <c r="B2404" s="134" t="n"/>
      <c r="C2404" s="105" t="n"/>
      <c r="D2404" s="105" t="n"/>
      <c r="E2404" s="105" t="n"/>
      <c r="F2404" s="105" t="n"/>
      <c r="G2404" s="105" t="n"/>
      <c r="H2404" s="2" t="n"/>
      <c r="I2404" s="105" t="n"/>
      <c r="K2404" s="215" t="n"/>
      <c r="L2404" s="215" t="n"/>
      <c r="M2404" s="215" t="n"/>
      <c r="N2404" s="215" t="n"/>
      <c r="O2404" s="215" t="n"/>
      <c r="P2404" s="215" t="n"/>
      <c r="Q2404" s="215" t="n"/>
      <c r="R2404" s="215" t="n"/>
      <c r="S2404" s="215" t="n"/>
      <c r="T2404" s="215" t="n"/>
      <c r="U2404" s="215" t="n"/>
      <c r="V2404" s="215" t="n"/>
      <c r="W2404" s="215" t="n"/>
      <c r="X2404" s="215" t="n"/>
      <c r="Y2404" s="215" t="n"/>
      <c r="Z2404" s="215" t="n"/>
      <c r="AA2404" s="215" t="n"/>
      <c r="AB2404" s="215" t="n"/>
      <c r="AC2404" s="215" t="n"/>
      <c r="AD2404" s="215" t="n"/>
      <c r="AE2404" s="215" t="n"/>
      <c r="AF2404" s="215" t="n"/>
      <c r="AG2404" s="215" t="n"/>
      <c r="AH2404" s="215" t="n"/>
      <c r="AI2404" s="215" t="n"/>
      <c r="AJ2404" s="215" t="n"/>
      <c r="AK2404" s="216" t="n"/>
    </row>
    <row r="2405" ht="15" customHeight="1">
      <c r="B2405" s="134" t="n"/>
      <c r="C2405" s="105" t="n"/>
      <c r="D2405" s="105" t="n"/>
      <c r="E2405" s="105" t="n"/>
      <c r="F2405" s="105" t="n"/>
      <c r="G2405" s="105" t="n"/>
      <c r="H2405" s="2" t="n"/>
      <c r="I2405" s="105" t="n"/>
      <c r="K2405" s="215" t="n"/>
      <c r="L2405" s="215" t="n"/>
      <c r="M2405" s="215" t="n"/>
      <c r="N2405" s="215" t="n"/>
      <c r="O2405" s="215" t="n"/>
      <c r="P2405" s="215" t="n"/>
      <c r="Q2405" s="215" t="n"/>
      <c r="R2405" s="215" t="n"/>
      <c r="S2405" s="215" t="n"/>
      <c r="T2405" s="215" t="n"/>
      <c r="U2405" s="215" t="n"/>
      <c r="V2405" s="215" t="n"/>
      <c r="W2405" s="215" t="n"/>
      <c r="X2405" s="215" t="n"/>
      <c r="Y2405" s="215" t="n"/>
      <c r="Z2405" s="215" t="n"/>
      <c r="AA2405" s="215" t="n"/>
      <c r="AB2405" s="215" t="n"/>
      <c r="AC2405" s="215" t="n"/>
      <c r="AD2405" s="215" t="n"/>
      <c r="AE2405" s="215" t="n"/>
      <c r="AF2405" s="215" t="n"/>
      <c r="AG2405" s="215" t="n"/>
      <c r="AH2405" s="215" t="n"/>
      <c r="AI2405" s="215" t="n"/>
      <c r="AJ2405" s="215" t="n"/>
      <c r="AK2405" s="216" t="n"/>
    </row>
    <row r="2406" ht="15" customHeight="1">
      <c r="B2406" s="134" t="n"/>
      <c r="C2406" s="105" t="n"/>
      <c r="D2406" s="105" t="n"/>
      <c r="E2406" s="105" t="n"/>
      <c r="F2406" s="105" t="n"/>
      <c r="G2406" s="105" t="n"/>
      <c r="H2406" s="2" t="n"/>
      <c r="I2406" s="105" t="n"/>
      <c r="K2406" s="215" t="n"/>
      <c r="L2406" s="215" t="n"/>
      <c r="M2406" s="215" t="n"/>
      <c r="N2406" s="215" t="n"/>
      <c r="O2406" s="215" t="n"/>
      <c r="P2406" s="215" t="n"/>
      <c r="Q2406" s="215" t="n"/>
      <c r="R2406" s="215" t="n"/>
      <c r="S2406" s="215" t="n"/>
      <c r="T2406" s="215" t="n"/>
      <c r="U2406" s="215" t="n"/>
      <c r="V2406" s="215" t="n"/>
      <c r="W2406" s="215" t="n"/>
      <c r="X2406" s="215" t="n"/>
      <c r="Y2406" s="215" t="n"/>
      <c r="Z2406" s="215" t="n"/>
      <c r="AA2406" s="215" t="n"/>
      <c r="AB2406" s="215" t="n"/>
      <c r="AC2406" s="215" t="n"/>
      <c r="AD2406" s="215" t="n"/>
      <c r="AE2406" s="215" t="n"/>
      <c r="AF2406" s="215" t="n"/>
      <c r="AG2406" s="215" t="n"/>
      <c r="AH2406" s="215" t="n"/>
      <c r="AI2406" s="215" t="n"/>
      <c r="AJ2406" s="215" t="n"/>
      <c r="AK2406" s="216" t="n"/>
    </row>
    <row r="2407" ht="15" customHeight="1">
      <c r="B2407" s="134" t="n"/>
      <c r="C2407" s="105" t="n"/>
      <c r="D2407" s="105" t="n"/>
      <c r="E2407" s="105" t="n"/>
      <c r="F2407" s="105" t="n"/>
      <c r="G2407" s="105" t="n"/>
      <c r="H2407" s="2" t="n"/>
      <c r="I2407" s="105" t="n"/>
      <c r="K2407" s="215" t="n"/>
      <c r="L2407" s="215" t="n"/>
      <c r="M2407" s="215" t="n"/>
      <c r="N2407" s="215" t="n"/>
      <c r="O2407" s="215" t="n"/>
      <c r="P2407" s="215" t="n"/>
      <c r="Q2407" s="215" t="n"/>
      <c r="R2407" s="215" t="n"/>
      <c r="S2407" s="215" t="n"/>
      <c r="T2407" s="215" t="n"/>
      <c r="U2407" s="215" t="n"/>
      <c r="V2407" s="215" t="n"/>
      <c r="W2407" s="215" t="n"/>
      <c r="X2407" s="215" t="n"/>
      <c r="Y2407" s="215" t="n"/>
      <c r="Z2407" s="215" t="n"/>
      <c r="AA2407" s="215" t="n"/>
      <c r="AB2407" s="215" t="n"/>
      <c r="AC2407" s="215" t="n"/>
      <c r="AD2407" s="215" t="n"/>
      <c r="AE2407" s="215" t="n"/>
      <c r="AF2407" s="215" t="n"/>
      <c r="AG2407" s="215" t="n"/>
      <c r="AH2407" s="215" t="n"/>
      <c r="AI2407" s="215" t="n"/>
      <c r="AJ2407" s="215" t="n"/>
      <c r="AK2407" s="216" t="n"/>
    </row>
    <row r="2408" ht="15" customHeight="1">
      <c r="B2408" s="134" t="n"/>
      <c r="C2408" s="105" t="n"/>
      <c r="D2408" s="105" t="n"/>
      <c r="E2408" s="105" t="n"/>
      <c r="F2408" s="105" t="n"/>
      <c r="G2408" s="105" t="n"/>
      <c r="H2408" s="2" t="n"/>
      <c r="I2408" s="105" t="n"/>
      <c r="K2408" s="215" t="n"/>
      <c r="L2408" s="215" t="n"/>
      <c r="M2408" s="215" t="n"/>
      <c r="N2408" s="215" t="n"/>
      <c r="O2408" s="215" t="n"/>
      <c r="P2408" s="215" t="n"/>
      <c r="Q2408" s="215" t="n"/>
      <c r="R2408" s="215" t="n"/>
      <c r="S2408" s="215" t="n"/>
      <c r="T2408" s="215" t="n"/>
      <c r="U2408" s="215" t="n"/>
      <c r="V2408" s="215" t="n"/>
      <c r="W2408" s="215" t="n"/>
      <c r="X2408" s="215" t="n"/>
      <c r="Y2408" s="215" t="n"/>
      <c r="Z2408" s="215" t="n"/>
      <c r="AA2408" s="215" t="n"/>
      <c r="AB2408" s="215" t="n"/>
      <c r="AC2408" s="215" t="n"/>
      <c r="AD2408" s="215" t="n"/>
      <c r="AE2408" s="215" t="n"/>
      <c r="AF2408" s="215" t="n"/>
      <c r="AG2408" s="215" t="n"/>
      <c r="AH2408" s="215" t="n"/>
      <c r="AI2408" s="215" t="n"/>
      <c r="AJ2408" s="215" t="n"/>
      <c r="AK2408" s="216" t="n"/>
    </row>
    <row r="2409" ht="15" customHeight="1">
      <c r="B2409" s="134" t="n"/>
      <c r="C2409" s="105" t="n"/>
      <c r="D2409" s="105" t="n"/>
      <c r="E2409" s="105" t="n"/>
      <c r="F2409" s="105" t="n"/>
      <c r="G2409" s="105" t="n"/>
      <c r="H2409" s="2" t="n"/>
      <c r="I2409" s="105" t="n"/>
      <c r="K2409" s="215" t="n"/>
      <c r="L2409" s="215" t="n"/>
      <c r="M2409" s="215" t="n"/>
      <c r="N2409" s="215" t="n"/>
      <c r="O2409" s="215" t="n"/>
      <c r="P2409" s="215" t="n"/>
      <c r="Q2409" s="215" t="n"/>
      <c r="R2409" s="215" t="n"/>
      <c r="S2409" s="215" t="n"/>
      <c r="T2409" s="215" t="n"/>
      <c r="U2409" s="215" t="n"/>
      <c r="V2409" s="215" t="n"/>
      <c r="W2409" s="215" t="n"/>
      <c r="X2409" s="215" t="n"/>
      <c r="Y2409" s="215" t="n"/>
      <c r="Z2409" s="215" t="n"/>
      <c r="AA2409" s="215" t="n"/>
      <c r="AB2409" s="215" t="n"/>
      <c r="AC2409" s="215" t="n"/>
      <c r="AD2409" s="215" t="n"/>
      <c r="AE2409" s="215" t="n"/>
      <c r="AF2409" s="215" t="n"/>
      <c r="AG2409" s="215" t="n"/>
      <c r="AH2409" s="215" t="n"/>
      <c r="AI2409" s="215" t="n"/>
      <c r="AJ2409" s="215" t="n"/>
      <c r="AK2409" s="216" t="n"/>
    </row>
    <row r="2410" ht="15" customHeight="1">
      <c r="B2410" s="134" t="n"/>
      <c r="C2410" s="105" t="n"/>
      <c r="D2410" s="105" t="n"/>
      <c r="E2410" s="105" t="n"/>
      <c r="F2410" s="105" t="n"/>
      <c r="G2410" s="105" t="n"/>
      <c r="H2410" s="2" t="n"/>
      <c r="I2410" s="105" t="n"/>
      <c r="K2410" s="215" t="n"/>
      <c r="L2410" s="215" t="n"/>
      <c r="M2410" s="215" t="n"/>
      <c r="N2410" s="215" t="n"/>
      <c r="O2410" s="215" t="n"/>
      <c r="P2410" s="215" t="n"/>
      <c r="Q2410" s="215" t="n"/>
      <c r="R2410" s="215" t="n"/>
      <c r="S2410" s="215" t="n"/>
      <c r="T2410" s="215" t="n"/>
      <c r="U2410" s="215" t="n"/>
      <c r="V2410" s="215" t="n"/>
      <c r="W2410" s="215" t="n"/>
      <c r="X2410" s="215" t="n"/>
      <c r="Y2410" s="215" t="n"/>
      <c r="Z2410" s="215" t="n"/>
      <c r="AA2410" s="215" t="n"/>
      <c r="AB2410" s="215" t="n"/>
      <c r="AC2410" s="215" t="n"/>
      <c r="AD2410" s="215" t="n"/>
      <c r="AE2410" s="215" t="n"/>
      <c r="AF2410" s="215" t="n"/>
      <c r="AG2410" s="215" t="n"/>
      <c r="AH2410" s="215" t="n"/>
      <c r="AI2410" s="215" t="n"/>
      <c r="AJ2410" s="215" t="n"/>
      <c r="AK2410" s="216" t="n"/>
    </row>
    <row r="2411" ht="15" customHeight="1">
      <c r="B2411" s="134" t="n"/>
      <c r="C2411" s="105" t="n"/>
      <c r="D2411" s="105" t="n"/>
      <c r="E2411" s="105" t="n"/>
      <c r="F2411" s="105" t="n"/>
      <c r="G2411" s="105" t="n"/>
      <c r="H2411" s="2" t="n"/>
      <c r="I2411" s="105" t="n"/>
      <c r="K2411" s="215" t="n"/>
      <c r="L2411" s="215" t="n"/>
      <c r="M2411" s="215" t="n"/>
      <c r="N2411" s="215" t="n"/>
      <c r="O2411" s="215" t="n"/>
      <c r="P2411" s="215" t="n"/>
      <c r="Q2411" s="215" t="n"/>
      <c r="R2411" s="215" t="n"/>
      <c r="S2411" s="215" t="n"/>
      <c r="T2411" s="215" t="n"/>
      <c r="U2411" s="215" t="n"/>
      <c r="V2411" s="215" t="n"/>
      <c r="W2411" s="215" t="n"/>
      <c r="X2411" s="215" t="n"/>
      <c r="Y2411" s="215" t="n"/>
      <c r="Z2411" s="215" t="n"/>
      <c r="AA2411" s="215" t="n"/>
      <c r="AB2411" s="215" t="n"/>
      <c r="AC2411" s="215" t="n"/>
      <c r="AD2411" s="215" t="n"/>
      <c r="AE2411" s="215" t="n"/>
      <c r="AF2411" s="215" t="n"/>
      <c r="AG2411" s="215" t="n"/>
      <c r="AH2411" s="215" t="n"/>
      <c r="AI2411" s="215" t="n"/>
      <c r="AJ2411" s="215" t="n"/>
      <c r="AK2411" s="216" t="n"/>
    </row>
    <row r="2412" ht="15" customHeight="1">
      <c r="B2412" s="134" t="n"/>
      <c r="C2412" s="105" t="n"/>
      <c r="D2412" s="105" t="n"/>
      <c r="E2412" s="105" t="n"/>
      <c r="F2412" s="105" t="n"/>
      <c r="G2412" s="105" t="n"/>
      <c r="H2412" s="2" t="n"/>
      <c r="I2412" s="105" t="n"/>
      <c r="K2412" s="215" t="n"/>
      <c r="L2412" s="215" t="n"/>
      <c r="M2412" s="215" t="n"/>
      <c r="N2412" s="215" t="n"/>
      <c r="O2412" s="215" t="n"/>
      <c r="P2412" s="215" t="n"/>
      <c r="Q2412" s="215" t="n"/>
      <c r="R2412" s="215" t="n"/>
      <c r="S2412" s="215" t="n"/>
      <c r="T2412" s="215" t="n"/>
      <c r="U2412" s="215" t="n"/>
      <c r="V2412" s="215" t="n"/>
      <c r="W2412" s="215" t="n"/>
      <c r="X2412" s="215" t="n"/>
      <c r="Y2412" s="215" t="n"/>
      <c r="Z2412" s="215" t="n"/>
      <c r="AA2412" s="215" t="n"/>
      <c r="AB2412" s="215" t="n"/>
      <c r="AC2412" s="215" t="n"/>
      <c r="AD2412" s="215" t="n"/>
      <c r="AE2412" s="215" t="n"/>
      <c r="AF2412" s="215" t="n"/>
      <c r="AG2412" s="215" t="n"/>
      <c r="AH2412" s="215" t="n"/>
      <c r="AI2412" s="215" t="n"/>
      <c r="AJ2412" s="215" t="n"/>
      <c r="AK2412" s="216" t="n"/>
    </row>
    <row r="2413" ht="15" customHeight="1">
      <c r="B2413" s="134" t="n"/>
      <c r="C2413" s="105" t="n"/>
      <c r="D2413" s="105" t="n"/>
      <c r="E2413" s="105" t="n"/>
      <c r="F2413" s="105" t="n"/>
      <c r="G2413" s="105" t="n"/>
      <c r="H2413" s="2" t="n"/>
      <c r="I2413" s="105" t="n"/>
      <c r="K2413" s="215" t="n"/>
      <c r="L2413" s="215" t="n"/>
      <c r="M2413" s="215" t="n"/>
      <c r="N2413" s="215" t="n"/>
      <c r="O2413" s="215" t="n"/>
      <c r="P2413" s="215" t="n"/>
      <c r="Q2413" s="215" t="n"/>
      <c r="R2413" s="215" t="n"/>
      <c r="S2413" s="215" t="n"/>
      <c r="T2413" s="215" t="n"/>
      <c r="U2413" s="215" t="n"/>
      <c r="V2413" s="215" t="n"/>
      <c r="W2413" s="215" t="n"/>
      <c r="X2413" s="215" t="n"/>
      <c r="Y2413" s="215" t="n"/>
      <c r="Z2413" s="215" t="n"/>
      <c r="AA2413" s="215" t="n"/>
      <c r="AB2413" s="215" t="n"/>
      <c r="AC2413" s="215" t="n"/>
      <c r="AD2413" s="215" t="n"/>
      <c r="AE2413" s="215" t="n"/>
      <c r="AF2413" s="215" t="n"/>
      <c r="AG2413" s="215" t="n"/>
      <c r="AH2413" s="215" t="n"/>
      <c r="AI2413" s="215" t="n"/>
      <c r="AJ2413" s="215" t="n"/>
      <c r="AK2413" s="216" t="n"/>
    </row>
    <row r="2414" ht="15" customHeight="1">
      <c r="B2414" s="134" t="n"/>
      <c r="C2414" s="105" t="n"/>
      <c r="D2414" s="105" t="n"/>
      <c r="E2414" s="105" t="n"/>
      <c r="F2414" s="105" t="n"/>
      <c r="G2414" s="105" t="n"/>
      <c r="H2414" s="2" t="n"/>
      <c r="I2414" s="105" t="n"/>
      <c r="K2414" s="215" t="n"/>
      <c r="L2414" s="215" t="n"/>
      <c r="M2414" s="215" t="n"/>
      <c r="N2414" s="215" t="n"/>
      <c r="O2414" s="215" t="n"/>
      <c r="P2414" s="215" t="n"/>
      <c r="Q2414" s="215" t="n"/>
      <c r="R2414" s="215" t="n"/>
      <c r="S2414" s="215" t="n"/>
      <c r="T2414" s="215" t="n"/>
      <c r="U2414" s="215" t="n"/>
      <c r="V2414" s="215" t="n"/>
      <c r="W2414" s="215" t="n"/>
      <c r="X2414" s="215" t="n"/>
      <c r="Y2414" s="215" t="n"/>
      <c r="Z2414" s="215" t="n"/>
      <c r="AA2414" s="215" t="n"/>
      <c r="AB2414" s="215" t="n"/>
      <c r="AC2414" s="215" t="n"/>
      <c r="AD2414" s="215" t="n"/>
      <c r="AE2414" s="215" t="n"/>
      <c r="AF2414" s="215" t="n"/>
      <c r="AG2414" s="215" t="n"/>
      <c r="AH2414" s="215" t="n"/>
      <c r="AI2414" s="215" t="n"/>
      <c r="AJ2414" s="215" t="n"/>
      <c r="AK2414" s="216" t="n"/>
    </row>
    <row r="2415" ht="15" customHeight="1">
      <c r="B2415" s="134" t="n"/>
      <c r="C2415" s="105" t="n"/>
      <c r="D2415" s="105" t="n"/>
      <c r="E2415" s="105" t="n"/>
      <c r="F2415" s="105" t="n"/>
      <c r="G2415" s="105" t="n"/>
      <c r="H2415" s="2" t="n"/>
      <c r="I2415" s="105" t="n"/>
      <c r="K2415" s="215" t="n"/>
      <c r="L2415" s="215" t="n"/>
      <c r="M2415" s="215" t="n"/>
      <c r="N2415" s="215" t="n"/>
      <c r="O2415" s="215" t="n"/>
      <c r="P2415" s="215" t="n"/>
      <c r="Q2415" s="215" t="n"/>
      <c r="R2415" s="215" t="n"/>
      <c r="S2415" s="215" t="n"/>
      <c r="T2415" s="215" t="n"/>
      <c r="U2415" s="215" t="n"/>
      <c r="V2415" s="215" t="n"/>
      <c r="W2415" s="215" t="n"/>
      <c r="X2415" s="215" t="n"/>
      <c r="Y2415" s="215" t="n"/>
      <c r="Z2415" s="215" t="n"/>
      <c r="AA2415" s="215" t="n"/>
      <c r="AB2415" s="215" t="n"/>
      <c r="AC2415" s="215" t="n"/>
      <c r="AD2415" s="215" t="n"/>
      <c r="AE2415" s="215" t="n"/>
      <c r="AF2415" s="215" t="n"/>
      <c r="AG2415" s="215" t="n"/>
      <c r="AH2415" s="215" t="n"/>
      <c r="AI2415" s="215" t="n"/>
      <c r="AJ2415" s="215" t="n"/>
      <c r="AK2415" s="216" t="n"/>
    </row>
    <row r="2416" ht="15" customHeight="1">
      <c r="B2416" s="134" t="n"/>
      <c r="C2416" s="105" t="n"/>
      <c r="D2416" s="105" t="n"/>
      <c r="E2416" s="105" t="n"/>
      <c r="F2416" s="105" t="n"/>
      <c r="G2416" s="105" t="n"/>
      <c r="H2416" s="2" t="n"/>
      <c r="I2416" s="105" t="n"/>
      <c r="K2416" s="215" t="n"/>
      <c r="L2416" s="215" t="n"/>
      <c r="M2416" s="215" t="n"/>
      <c r="N2416" s="215" t="n"/>
      <c r="O2416" s="215" t="n"/>
      <c r="P2416" s="215" t="n"/>
      <c r="Q2416" s="215" t="n"/>
      <c r="R2416" s="215" t="n"/>
      <c r="S2416" s="215" t="n"/>
      <c r="T2416" s="215" t="n"/>
      <c r="U2416" s="215" t="n"/>
      <c r="V2416" s="215" t="n"/>
      <c r="W2416" s="215" t="n"/>
      <c r="X2416" s="215" t="n"/>
      <c r="Y2416" s="215" t="n"/>
      <c r="Z2416" s="215" t="n"/>
      <c r="AA2416" s="215" t="n"/>
      <c r="AB2416" s="215" t="n"/>
      <c r="AC2416" s="215" t="n"/>
      <c r="AD2416" s="215" t="n"/>
      <c r="AE2416" s="215" t="n"/>
      <c r="AF2416" s="215" t="n"/>
      <c r="AG2416" s="215" t="n"/>
      <c r="AH2416" s="215" t="n"/>
      <c r="AI2416" s="215" t="n"/>
      <c r="AJ2416" s="215" t="n"/>
      <c r="AK2416" s="216" t="n"/>
    </row>
    <row r="2417" ht="15" customHeight="1">
      <c r="B2417" s="134" t="n"/>
      <c r="C2417" s="105" t="n"/>
      <c r="D2417" s="105" t="n"/>
      <c r="E2417" s="105" t="n"/>
      <c r="F2417" s="105" t="n"/>
      <c r="G2417" s="105" t="n"/>
      <c r="H2417" s="2" t="n"/>
      <c r="I2417" s="105" t="n"/>
      <c r="K2417" s="215" t="n"/>
      <c r="L2417" s="215" t="n"/>
      <c r="M2417" s="215" t="n"/>
      <c r="N2417" s="215" t="n"/>
      <c r="O2417" s="215" t="n"/>
      <c r="P2417" s="215" t="n"/>
      <c r="Q2417" s="215" t="n"/>
      <c r="R2417" s="215" t="n"/>
      <c r="S2417" s="215" t="n"/>
      <c r="T2417" s="215" t="n"/>
      <c r="U2417" s="215" t="n"/>
      <c r="V2417" s="215" t="n"/>
      <c r="W2417" s="215" t="n"/>
      <c r="X2417" s="215" t="n"/>
      <c r="Y2417" s="215" t="n"/>
      <c r="Z2417" s="215" t="n"/>
      <c r="AA2417" s="215" t="n"/>
      <c r="AB2417" s="215" t="n"/>
      <c r="AC2417" s="215" t="n"/>
      <c r="AD2417" s="215" t="n"/>
      <c r="AE2417" s="215" t="n"/>
      <c r="AF2417" s="215" t="n"/>
      <c r="AG2417" s="215" t="n"/>
      <c r="AH2417" s="215" t="n"/>
      <c r="AI2417" s="215" t="n"/>
      <c r="AJ2417" s="215" t="n"/>
      <c r="AK2417" s="216" t="n"/>
    </row>
    <row r="2418" ht="15" customHeight="1">
      <c r="B2418" s="134" t="n"/>
      <c r="C2418" s="105" t="n"/>
      <c r="D2418" s="105" t="n"/>
      <c r="E2418" s="105" t="n"/>
      <c r="F2418" s="105" t="n"/>
      <c r="G2418" s="105" t="n"/>
      <c r="H2418" s="2" t="n"/>
      <c r="I2418" s="105" t="n"/>
      <c r="K2418" s="215" t="n"/>
      <c r="L2418" s="215" t="n"/>
      <c r="M2418" s="215" t="n"/>
      <c r="N2418" s="215" t="n"/>
      <c r="O2418" s="215" t="n"/>
      <c r="P2418" s="215" t="n"/>
      <c r="Q2418" s="215" t="n"/>
      <c r="R2418" s="215" t="n"/>
      <c r="S2418" s="215" t="n"/>
      <c r="T2418" s="215" t="n"/>
      <c r="U2418" s="215" t="n"/>
      <c r="V2418" s="215" t="n"/>
      <c r="W2418" s="215" t="n"/>
      <c r="X2418" s="215" t="n"/>
      <c r="Y2418" s="215" t="n"/>
      <c r="Z2418" s="215" t="n"/>
      <c r="AA2418" s="215" t="n"/>
      <c r="AB2418" s="215" t="n"/>
      <c r="AC2418" s="215" t="n"/>
      <c r="AD2418" s="215" t="n"/>
      <c r="AE2418" s="215" t="n"/>
      <c r="AF2418" s="215" t="n"/>
      <c r="AG2418" s="215" t="n"/>
      <c r="AH2418" s="215" t="n"/>
      <c r="AI2418" s="215" t="n"/>
      <c r="AJ2418" s="215" t="n"/>
      <c r="AK2418" s="216" t="n"/>
    </row>
    <row r="2419" ht="15" customHeight="1">
      <c r="B2419" s="134" t="n"/>
      <c r="C2419" s="105" t="n"/>
      <c r="D2419" s="105" t="n"/>
      <c r="E2419" s="105" t="n"/>
      <c r="F2419" s="105" t="n"/>
      <c r="G2419" s="105" t="n"/>
      <c r="H2419" s="2" t="n"/>
      <c r="I2419" s="105" t="n"/>
      <c r="K2419" s="215" t="n"/>
      <c r="L2419" s="215" t="n"/>
      <c r="M2419" s="215" t="n"/>
      <c r="N2419" s="215" t="n"/>
      <c r="O2419" s="215" t="n"/>
      <c r="P2419" s="215" t="n"/>
      <c r="Q2419" s="215" t="n"/>
      <c r="R2419" s="215" t="n"/>
      <c r="S2419" s="215" t="n"/>
      <c r="T2419" s="215" t="n"/>
      <c r="U2419" s="215" t="n"/>
      <c r="V2419" s="215" t="n"/>
      <c r="W2419" s="215" t="n"/>
      <c r="X2419" s="215" t="n"/>
      <c r="Y2419" s="215" t="n"/>
      <c r="Z2419" s="215" t="n"/>
      <c r="AA2419" s="215" t="n"/>
      <c r="AB2419" s="215" t="n"/>
      <c r="AC2419" s="215" t="n"/>
      <c r="AD2419" s="215" t="n"/>
      <c r="AE2419" s="215" t="n"/>
      <c r="AF2419" s="215" t="n"/>
      <c r="AG2419" s="215" t="n"/>
      <c r="AH2419" s="215" t="n"/>
      <c r="AI2419" s="215" t="n"/>
      <c r="AJ2419" s="215" t="n"/>
      <c r="AK2419" s="216" t="n"/>
    </row>
    <row r="2420" ht="15" customHeight="1">
      <c r="B2420" s="134" t="n"/>
      <c r="C2420" s="105" t="n"/>
      <c r="D2420" s="105" t="n"/>
      <c r="E2420" s="105" t="n"/>
      <c r="F2420" s="105" t="n"/>
      <c r="G2420" s="105" t="n"/>
      <c r="H2420" s="2" t="n"/>
      <c r="I2420" s="105" t="n"/>
      <c r="K2420" s="215" t="n"/>
      <c r="L2420" s="215" t="n"/>
      <c r="M2420" s="215" t="n"/>
      <c r="N2420" s="215" t="n"/>
      <c r="O2420" s="215" t="n"/>
      <c r="P2420" s="215" t="n"/>
      <c r="Q2420" s="215" t="n"/>
      <c r="R2420" s="215" t="n"/>
      <c r="S2420" s="215" t="n"/>
      <c r="T2420" s="215" t="n"/>
      <c r="U2420" s="215" t="n"/>
      <c r="V2420" s="215" t="n"/>
      <c r="W2420" s="215" t="n"/>
      <c r="X2420" s="215" t="n"/>
      <c r="Y2420" s="215" t="n"/>
      <c r="Z2420" s="215" t="n"/>
      <c r="AA2420" s="215" t="n"/>
      <c r="AB2420" s="215" t="n"/>
      <c r="AC2420" s="215" t="n"/>
      <c r="AD2420" s="215" t="n"/>
      <c r="AE2420" s="215" t="n"/>
      <c r="AF2420" s="215" t="n"/>
      <c r="AG2420" s="215" t="n"/>
      <c r="AH2420" s="215" t="n"/>
      <c r="AI2420" s="215" t="n"/>
      <c r="AJ2420" s="215" t="n"/>
      <c r="AK2420" s="216" t="n"/>
    </row>
    <row r="2421" ht="15" customHeight="1">
      <c r="B2421" s="134" t="n"/>
      <c r="C2421" s="105" t="n"/>
      <c r="D2421" s="105" t="n"/>
      <c r="E2421" s="105" t="n"/>
      <c r="F2421" s="105" t="n"/>
      <c r="G2421" s="105" t="n"/>
      <c r="H2421" s="2" t="n"/>
      <c r="I2421" s="105" t="n"/>
      <c r="K2421" s="215" t="n"/>
      <c r="L2421" s="215" t="n"/>
      <c r="M2421" s="215" t="n"/>
      <c r="N2421" s="215" t="n"/>
      <c r="O2421" s="215" t="n"/>
      <c r="P2421" s="215" t="n"/>
      <c r="Q2421" s="215" t="n"/>
      <c r="R2421" s="215" t="n"/>
      <c r="S2421" s="215" t="n"/>
      <c r="T2421" s="215" t="n"/>
      <c r="U2421" s="215" t="n"/>
      <c r="V2421" s="215" t="n"/>
      <c r="W2421" s="215" t="n"/>
      <c r="X2421" s="215" t="n"/>
      <c r="Y2421" s="215" t="n"/>
      <c r="Z2421" s="215" t="n"/>
      <c r="AA2421" s="215" t="n"/>
      <c r="AB2421" s="215" t="n"/>
      <c r="AC2421" s="215" t="n"/>
      <c r="AD2421" s="215" t="n"/>
      <c r="AE2421" s="215" t="n"/>
      <c r="AF2421" s="215" t="n"/>
      <c r="AG2421" s="215" t="n"/>
      <c r="AH2421" s="215" t="n"/>
      <c r="AI2421" s="215" t="n"/>
      <c r="AJ2421" s="215" t="n"/>
      <c r="AK2421" s="216" t="n"/>
    </row>
    <row r="2422" ht="15" customHeight="1">
      <c r="B2422" s="134" t="n"/>
      <c r="C2422" s="105" t="n"/>
      <c r="D2422" s="105" t="n"/>
      <c r="E2422" s="105" t="n"/>
      <c r="F2422" s="105" t="n"/>
      <c r="G2422" s="105" t="n"/>
      <c r="H2422" s="2" t="n"/>
      <c r="I2422" s="105" t="n"/>
      <c r="K2422" s="215" t="n"/>
      <c r="L2422" s="215" t="n"/>
      <c r="M2422" s="215" t="n"/>
      <c r="N2422" s="215" t="n"/>
      <c r="O2422" s="215" t="n"/>
      <c r="P2422" s="215" t="n"/>
      <c r="Q2422" s="215" t="n"/>
      <c r="R2422" s="215" t="n"/>
      <c r="S2422" s="215" t="n"/>
      <c r="T2422" s="215" t="n"/>
      <c r="U2422" s="215" t="n"/>
      <c r="V2422" s="215" t="n"/>
      <c r="W2422" s="215" t="n"/>
      <c r="X2422" s="215" t="n"/>
      <c r="Y2422" s="215" t="n"/>
      <c r="Z2422" s="215" t="n"/>
      <c r="AA2422" s="215" t="n"/>
      <c r="AB2422" s="215" t="n"/>
      <c r="AC2422" s="215" t="n"/>
      <c r="AD2422" s="215" t="n"/>
      <c r="AE2422" s="215" t="n"/>
      <c r="AF2422" s="215" t="n"/>
      <c r="AG2422" s="215" t="n"/>
      <c r="AH2422" s="215" t="n"/>
      <c r="AI2422" s="215" t="n"/>
      <c r="AJ2422" s="215" t="n"/>
      <c r="AK2422" s="216" t="n"/>
    </row>
    <row r="2423" ht="15" customHeight="1">
      <c r="B2423" s="134" t="n"/>
      <c r="C2423" s="105" t="n"/>
      <c r="D2423" s="105" t="n"/>
      <c r="E2423" s="105" t="n"/>
      <c r="F2423" s="105" t="n"/>
      <c r="G2423" s="105" t="n"/>
      <c r="H2423" s="2" t="n"/>
      <c r="I2423" s="105" t="n"/>
      <c r="K2423" s="215" t="n"/>
      <c r="L2423" s="215" t="n"/>
      <c r="M2423" s="215" t="n"/>
      <c r="N2423" s="215" t="n"/>
      <c r="O2423" s="215" t="n"/>
      <c r="P2423" s="215" t="n"/>
      <c r="Q2423" s="215" t="n"/>
      <c r="R2423" s="215" t="n"/>
      <c r="S2423" s="215" t="n"/>
      <c r="T2423" s="215" t="n"/>
      <c r="U2423" s="215" t="n"/>
      <c r="V2423" s="215" t="n"/>
      <c r="W2423" s="215" t="n"/>
      <c r="X2423" s="215" t="n"/>
      <c r="Y2423" s="215" t="n"/>
      <c r="Z2423" s="215" t="n"/>
      <c r="AA2423" s="215" t="n"/>
      <c r="AB2423" s="215" t="n"/>
      <c r="AC2423" s="215" t="n"/>
      <c r="AD2423" s="215" t="n"/>
      <c r="AE2423" s="215" t="n"/>
      <c r="AF2423" s="215" t="n"/>
      <c r="AG2423" s="215" t="n"/>
      <c r="AH2423" s="215" t="n"/>
      <c r="AI2423" s="215" t="n"/>
      <c r="AJ2423" s="215" t="n"/>
      <c r="AK2423" s="216" t="n"/>
    </row>
    <row r="2424" ht="15" customHeight="1">
      <c r="B2424" s="134" t="n"/>
      <c r="C2424" s="105" t="n"/>
      <c r="D2424" s="105" t="n"/>
      <c r="E2424" s="105" t="n"/>
      <c r="F2424" s="105" t="n"/>
      <c r="G2424" s="105" t="n"/>
      <c r="H2424" s="2" t="n"/>
      <c r="I2424" s="105" t="n"/>
      <c r="K2424" s="215" t="n"/>
      <c r="L2424" s="215" t="n"/>
      <c r="M2424" s="215" t="n"/>
      <c r="N2424" s="215" t="n"/>
      <c r="O2424" s="215" t="n"/>
      <c r="P2424" s="215" t="n"/>
      <c r="Q2424" s="215" t="n"/>
      <c r="R2424" s="215" t="n"/>
      <c r="S2424" s="215" t="n"/>
      <c r="T2424" s="215" t="n"/>
      <c r="U2424" s="215" t="n"/>
      <c r="V2424" s="215" t="n"/>
      <c r="W2424" s="215" t="n"/>
      <c r="X2424" s="215" t="n"/>
      <c r="Y2424" s="215" t="n"/>
      <c r="Z2424" s="215" t="n"/>
      <c r="AA2424" s="215" t="n"/>
      <c r="AB2424" s="215" t="n"/>
      <c r="AC2424" s="215" t="n"/>
      <c r="AD2424" s="215" t="n"/>
      <c r="AE2424" s="215" t="n"/>
      <c r="AF2424" s="215" t="n"/>
      <c r="AG2424" s="215" t="n"/>
      <c r="AH2424" s="215" t="n"/>
      <c r="AI2424" s="215" t="n"/>
      <c r="AJ2424" s="215" t="n"/>
      <c r="AK2424" s="216" t="n"/>
    </row>
    <row r="2425" ht="15" customHeight="1">
      <c r="B2425" s="134" t="n"/>
      <c r="C2425" s="105" t="n"/>
      <c r="D2425" s="105" t="n"/>
      <c r="E2425" s="105" t="n"/>
      <c r="F2425" s="105" t="n"/>
      <c r="G2425" s="105" t="n"/>
      <c r="H2425" s="2" t="n"/>
      <c r="I2425" s="105" t="n"/>
      <c r="K2425" s="215" t="n"/>
      <c r="L2425" s="215" t="n"/>
      <c r="M2425" s="215" t="n"/>
      <c r="N2425" s="215" t="n"/>
      <c r="O2425" s="215" t="n"/>
      <c r="P2425" s="215" t="n"/>
      <c r="Q2425" s="215" t="n"/>
      <c r="R2425" s="215" t="n"/>
      <c r="S2425" s="215" t="n"/>
      <c r="T2425" s="215" t="n"/>
      <c r="U2425" s="215" t="n"/>
      <c r="V2425" s="215" t="n"/>
      <c r="W2425" s="215" t="n"/>
      <c r="X2425" s="215" t="n"/>
      <c r="Y2425" s="215" t="n"/>
      <c r="Z2425" s="215" t="n"/>
      <c r="AA2425" s="215" t="n"/>
      <c r="AB2425" s="215" t="n"/>
      <c r="AC2425" s="215" t="n"/>
      <c r="AD2425" s="215" t="n"/>
      <c r="AE2425" s="215" t="n"/>
      <c r="AF2425" s="215" t="n"/>
      <c r="AG2425" s="215" t="n"/>
      <c r="AH2425" s="215" t="n"/>
      <c r="AI2425" s="215" t="n"/>
      <c r="AJ2425" s="215" t="n"/>
      <c r="AK2425" s="216" t="n"/>
    </row>
    <row r="2426" ht="15" customHeight="1">
      <c r="B2426" s="134" t="n"/>
      <c r="C2426" s="105" t="n"/>
      <c r="D2426" s="105" t="n"/>
      <c r="E2426" s="105" t="n"/>
      <c r="F2426" s="105" t="n"/>
      <c r="G2426" s="105" t="n"/>
      <c r="H2426" s="2" t="n"/>
      <c r="I2426" s="105" t="n"/>
      <c r="K2426" s="215" t="n"/>
      <c r="L2426" s="215" t="n"/>
      <c r="M2426" s="215" t="n"/>
      <c r="N2426" s="215" t="n"/>
      <c r="O2426" s="215" t="n"/>
      <c r="P2426" s="215" t="n"/>
      <c r="Q2426" s="215" t="n"/>
      <c r="R2426" s="215" t="n"/>
      <c r="S2426" s="215" t="n"/>
      <c r="T2426" s="215" t="n"/>
      <c r="U2426" s="215" t="n"/>
      <c r="V2426" s="215" t="n"/>
      <c r="W2426" s="215" t="n"/>
      <c r="X2426" s="215" t="n"/>
      <c r="Y2426" s="215" t="n"/>
      <c r="Z2426" s="215" t="n"/>
      <c r="AA2426" s="215" t="n"/>
      <c r="AB2426" s="215" t="n"/>
      <c r="AC2426" s="215" t="n"/>
      <c r="AD2426" s="215" t="n"/>
      <c r="AE2426" s="215" t="n"/>
      <c r="AF2426" s="215" t="n"/>
      <c r="AG2426" s="215" t="n"/>
      <c r="AH2426" s="215" t="n"/>
      <c r="AI2426" s="215" t="n"/>
      <c r="AJ2426" s="215" t="n"/>
      <c r="AK2426" s="216" t="n"/>
    </row>
    <row r="2427" ht="15" customHeight="1">
      <c r="B2427" s="134" t="n"/>
      <c r="C2427" s="105" t="n"/>
      <c r="D2427" s="105" t="n"/>
      <c r="E2427" s="105" t="n"/>
      <c r="F2427" s="105" t="n"/>
      <c r="G2427" s="105" t="n"/>
      <c r="H2427" s="2" t="n"/>
      <c r="I2427" s="105" t="n"/>
      <c r="K2427" s="215" t="n"/>
      <c r="L2427" s="215" t="n"/>
      <c r="M2427" s="215" t="n"/>
      <c r="N2427" s="215" t="n"/>
      <c r="O2427" s="215" t="n"/>
      <c r="P2427" s="215" t="n"/>
      <c r="Q2427" s="215" t="n"/>
      <c r="R2427" s="215" t="n"/>
      <c r="S2427" s="215" t="n"/>
      <c r="T2427" s="215" t="n"/>
      <c r="U2427" s="215" t="n"/>
      <c r="V2427" s="215" t="n"/>
      <c r="W2427" s="215" t="n"/>
      <c r="X2427" s="215" t="n"/>
      <c r="Y2427" s="215" t="n"/>
      <c r="Z2427" s="215" t="n"/>
      <c r="AA2427" s="215" t="n"/>
      <c r="AB2427" s="215" t="n"/>
      <c r="AC2427" s="215" t="n"/>
      <c r="AD2427" s="215" t="n"/>
      <c r="AE2427" s="215" t="n"/>
      <c r="AF2427" s="215" t="n"/>
      <c r="AG2427" s="215" t="n"/>
      <c r="AH2427" s="215" t="n"/>
      <c r="AI2427" s="215" t="n"/>
      <c r="AJ2427" s="215" t="n"/>
      <c r="AK2427" s="216" t="n"/>
    </row>
    <row r="2428" ht="15" customHeight="1">
      <c r="B2428" s="134" t="n"/>
      <c r="C2428" s="105" t="n"/>
      <c r="D2428" s="105" t="n"/>
      <c r="E2428" s="105" t="n"/>
      <c r="F2428" s="105" t="n"/>
      <c r="G2428" s="105" t="n"/>
      <c r="H2428" s="2" t="n"/>
      <c r="I2428" s="105" t="n"/>
      <c r="K2428" s="215" t="n"/>
      <c r="L2428" s="215" t="n"/>
      <c r="M2428" s="215" t="n"/>
      <c r="N2428" s="215" t="n"/>
      <c r="O2428" s="215" t="n"/>
      <c r="P2428" s="215" t="n"/>
      <c r="Q2428" s="215" t="n"/>
      <c r="R2428" s="215" t="n"/>
      <c r="S2428" s="215" t="n"/>
      <c r="T2428" s="215" t="n"/>
      <c r="U2428" s="215" t="n"/>
      <c r="V2428" s="215" t="n"/>
      <c r="W2428" s="215" t="n"/>
      <c r="X2428" s="215" t="n"/>
      <c r="Y2428" s="215" t="n"/>
      <c r="Z2428" s="215" t="n"/>
      <c r="AA2428" s="215" t="n"/>
      <c r="AB2428" s="215" t="n"/>
      <c r="AC2428" s="215" t="n"/>
      <c r="AD2428" s="215" t="n"/>
      <c r="AE2428" s="215" t="n"/>
      <c r="AF2428" s="215" t="n"/>
      <c r="AG2428" s="215" t="n"/>
      <c r="AH2428" s="215" t="n"/>
      <c r="AI2428" s="215" t="n"/>
      <c r="AJ2428" s="215" t="n"/>
      <c r="AK2428" s="216" t="n"/>
    </row>
    <row r="2429" ht="15" customHeight="1">
      <c r="B2429" s="134" t="n"/>
      <c r="C2429" s="105" t="n"/>
      <c r="D2429" s="105" t="n"/>
      <c r="E2429" s="105" t="n"/>
      <c r="F2429" s="105" t="n"/>
      <c r="G2429" s="105" t="n"/>
      <c r="H2429" s="2" t="n"/>
      <c r="I2429" s="105" t="n"/>
      <c r="K2429" s="215" t="n"/>
      <c r="L2429" s="215" t="n"/>
      <c r="M2429" s="215" t="n"/>
      <c r="N2429" s="215" t="n"/>
      <c r="O2429" s="215" t="n"/>
      <c r="P2429" s="215" t="n"/>
      <c r="Q2429" s="215" t="n"/>
      <c r="R2429" s="215" t="n"/>
      <c r="S2429" s="215" t="n"/>
      <c r="T2429" s="215" t="n"/>
      <c r="U2429" s="215" t="n"/>
      <c r="V2429" s="215" t="n"/>
      <c r="W2429" s="215" t="n"/>
      <c r="X2429" s="215" t="n"/>
      <c r="Y2429" s="215" t="n"/>
      <c r="Z2429" s="215" t="n"/>
      <c r="AA2429" s="215" t="n"/>
      <c r="AB2429" s="215" t="n"/>
      <c r="AC2429" s="215" t="n"/>
      <c r="AD2429" s="215" t="n"/>
      <c r="AE2429" s="215" t="n"/>
      <c r="AF2429" s="215" t="n"/>
      <c r="AG2429" s="215" t="n"/>
      <c r="AH2429" s="215" t="n"/>
      <c r="AI2429" s="215" t="n"/>
      <c r="AJ2429" s="215" t="n"/>
      <c r="AK2429" s="216" t="n"/>
    </row>
    <row r="2430" ht="15" customHeight="1">
      <c r="B2430" s="134" t="n"/>
      <c r="C2430" s="105" t="n"/>
      <c r="D2430" s="105" t="n"/>
      <c r="E2430" s="105" t="n"/>
      <c r="F2430" s="105" t="n"/>
      <c r="G2430" s="105" t="n"/>
      <c r="H2430" s="2" t="n"/>
      <c r="I2430" s="105" t="n"/>
      <c r="K2430" s="215" t="n"/>
      <c r="L2430" s="215" t="n"/>
      <c r="M2430" s="215" t="n"/>
      <c r="N2430" s="215" t="n"/>
      <c r="O2430" s="215" t="n"/>
      <c r="P2430" s="215" t="n"/>
      <c r="Q2430" s="215" t="n"/>
      <c r="R2430" s="215" t="n"/>
      <c r="S2430" s="215" t="n"/>
      <c r="T2430" s="215" t="n"/>
      <c r="U2430" s="215" t="n"/>
      <c r="V2430" s="215" t="n"/>
      <c r="W2430" s="215" t="n"/>
      <c r="X2430" s="215" t="n"/>
      <c r="Y2430" s="215" t="n"/>
      <c r="Z2430" s="215" t="n"/>
      <c r="AA2430" s="215" t="n"/>
      <c r="AB2430" s="215" t="n"/>
      <c r="AC2430" s="215" t="n"/>
      <c r="AD2430" s="215" t="n"/>
      <c r="AE2430" s="215" t="n"/>
      <c r="AF2430" s="215" t="n"/>
      <c r="AG2430" s="215" t="n"/>
      <c r="AH2430" s="215" t="n"/>
      <c r="AI2430" s="215" t="n"/>
      <c r="AJ2430" s="215" t="n"/>
      <c r="AK2430" s="216" t="n"/>
    </row>
    <row r="2431" ht="15" customHeight="1">
      <c r="B2431" s="134" t="n"/>
      <c r="C2431" s="105" t="n"/>
      <c r="D2431" s="105" t="n"/>
      <c r="E2431" s="105" t="n"/>
      <c r="F2431" s="105" t="n"/>
      <c r="G2431" s="105" t="n"/>
      <c r="H2431" s="2" t="n"/>
      <c r="I2431" s="105" t="n"/>
      <c r="K2431" s="215" t="n"/>
      <c r="L2431" s="215" t="n"/>
      <c r="M2431" s="215" t="n"/>
      <c r="N2431" s="215" t="n"/>
      <c r="O2431" s="215" t="n"/>
      <c r="P2431" s="215" t="n"/>
      <c r="Q2431" s="215" t="n"/>
      <c r="R2431" s="215" t="n"/>
      <c r="S2431" s="215" t="n"/>
      <c r="T2431" s="215" t="n"/>
      <c r="U2431" s="215" t="n"/>
      <c r="V2431" s="215" t="n"/>
      <c r="W2431" s="215" t="n"/>
      <c r="X2431" s="215" t="n"/>
      <c r="Y2431" s="215" t="n"/>
      <c r="Z2431" s="215" t="n"/>
      <c r="AA2431" s="215" t="n"/>
      <c r="AB2431" s="215" t="n"/>
      <c r="AC2431" s="215" t="n"/>
      <c r="AD2431" s="215" t="n"/>
      <c r="AE2431" s="215" t="n"/>
      <c r="AF2431" s="215" t="n"/>
      <c r="AG2431" s="215" t="n"/>
      <c r="AH2431" s="215" t="n"/>
      <c r="AI2431" s="215" t="n"/>
      <c r="AJ2431" s="215" t="n"/>
      <c r="AK2431" s="216" t="n"/>
    </row>
    <row r="2432" ht="15" customHeight="1">
      <c r="B2432" s="134" t="n"/>
      <c r="C2432" s="105" t="n"/>
      <c r="D2432" s="105" t="n"/>
      <c r="E2432" s="105" t="n"/>
      <c r="F2432" s="105" t="n"/>
      <c r="G2432" s="105" t="n"/>
      <c r="H2432" s="2" t="n"/>
      <c r="I2432" s="105" t="n"/>
      <c r="K2432" s="215" t="n"/>
      <c r="L2432" s="215" t="n"/>
      <c r="M2432" s="215" t="n"/>
      <c r="N2432" s="215" t="n"/>
      <c r="O2432" s="215" t="n"/>
      <c r="P2432" s="215" t="n"/>
      <c r="Q2432" s="215" t="n"/>
      <c r="R2432" s="215" t="n"/>
      <c r="S2432" s="215" t="n"/>
      <c r="T2432" s="215" t="n"/>
      <c r="U2432" s="215" t="n"/>
      <c r="V2432" s="215" t="n"/>
      <c r="W2432" s="215" t="n"/>
      <c r="X2432" s="215" t="n"/>
      <c r="Y2432" s="215" t="n"/>
      <c r="Z2432" s="215" t="n"/>
      <c r="AA2432" s="215" t="n"/>
      <c r="AB2432" s="215" t="n"/>
      <c r="AC2432" s="215" t="n"/>
      <c r="AD2432" s="215" t="n"/>
      <c r="AE2432" s="215" t="n"/>
      <c r="AF2432" s="215" t="n"/>
      <c r="AG2432" s="215" t="n"/>
      <c r="AH2432" s="215" t="n"/>
      <c r="AI2432" s="215" t="n"/>
      <c r="AJ2432" s="215" t="n"/>
      <c r="AK2432" s="216" t="n"/>
    </row>
    <row r="2433" ht="15" customHeight="1">
      <c r="B2433" s="134" t="n"/>
      <c r="C2433" s="105" t="n"/>
      <c r="D2433" s="105" t="n"/>
      <c r="E2433" s="105" t="n"/>
      <c r="F2433" s="105" t="n"/>
      <c r="G2433" s="105" t="n"/>
      <c r="H2433" s="2" t="n"/>
      <c r="I2433" s="105" t="n"/>
      <c r="K2433" s="215" t="n"/>
      <c r="L2433" s="215" t="n"/>
      <c r="M2433" s="215" t="n"/>
      <c r="N2433" s="215" t="n"/>
      <c r="O2433" s="215" t="n"/>
      <c r="P2433" s="215" t="n"/>
      <c r="Q2433" s="215" t="n"/>
      <c r="R2433" s="215" t="n"/>
      <c r="S2433" s="215" t="n"/>
      <c r="T2433" s="215" t="n"/>
      <c r="U2433" s="215" t="n"/>
      <c r="V2433" s="215" t="n"/>
      <c r="W2433" s="215" t="n"/>
      <c r="X2433" s="215" t="n"/>
      <c r="Y2433" s="215" t="n"/>
      <c r="Z2433" s="215" t="n"/>
      <c r="AA2433" s="215" t="n"/>
      <c r="AB2433" s="215" t="n"/>
      <c r="AC2433" s="215" t="n"/>
      <c r="AD2433" s="215" t="n"/>
      <c r="AE2433" s="215" t="n"/>
      <c r="AF2433" s="215" t="n"/>
      <c r="AG2433" s="215" t="n"/>
      <c r="AH2433" s="215" t="n"/>
      <c r="AI2433" s="215" t="n"/>
      <c r="AJ2433" s="215" t="n"/>
      <c r="AK2433" s="216" t="n"/>
    </row>
    <row r="2434" ht="15" customHeight="1">
      <c r="B2434" s="134" t="n"/>
      <c r="C2434" s="105" t="n"/>
      <c r="D2434" s="105" t="n"/>
      <c r="E2434" s="105" t="n"/>
      <c r="F2434" s="105" t="n"/>
      <c r="G2434" s="105" t="n"/>
      <c r="H2434" s="2" t="n"/>
      <c r="I2434" s="105" t="n"/>
      <c r="K2434" s="215" t="n"/>
      <c r="L2434" s="215" t="n"/>
      <c r="M2434" s="215" t="n"/>
      <c r="N2434" s="215" t="n"/>
      <c r="O2434" s="215" t="n"/>
      <c r="P2434" s="215" t="n"/>
      <c r="Q2434" s="215" t="n"/>
      <c r="R2434" s="215" t="n"/>
      <c r="S2434" s="215" t="n"/>
      <c r="T2434" s="215" t="n"/>
      <c r="U2434" s="215" t="n"/>
      <c r="V2434" s="215" t="n"/>
      <c r="W2434" s="215" t="n"/>
      <c r="X2434" s="215" t="n"/>
      <c r="Y2434" s="215" t="n"/>
      <c r="Z2434" s="215" t="n"/>
      <c r="AA2434" s="215" t="n"/>
      <c r="AB2434" s="215" t="n"/>
      <c r="AC2434" s="215" t="n"/>
      <c r="AD2434" s="215" t="n"/>
      <c r="AE2434" s="215" t="n"/>
      <c r="AF2434" s="215" t="n"/>
      <c r="AG2434" s="215" t="n"/>
      <c r="AH2434" s="215" t="n"/>
      <c r="AI2434" s="215" t="n"/>
      <c r="AJ2434" s="215" t="n"/>
      <c r="AK2434" s="216" t="n"/>
    </row>
    <row r="2435" ht="15" customHeight="1">
      <c r="B2435" s="134" t="n"/>
      <c r="C2435" s="105" t="n"/>
      <c r="D2435" s="105" t="n"/>
      <c r="E2435" s="105" t="n"/>
      <c r="F2435" s="105" t="n"/>
      <c r="G2435" s="105" t="n"/>
      <c r="H2435" s="2" t="n"/>
      <c r="I2435" s="105" t="n"/>
      <c r="K2435" s="215" t="n"/>
      <c r="L2435" s="215" t="n"/>
      <c r="M2435" s="215" t="n"/>
      <c r="N2435" s="215" t="n"/>
      <c r="O2435" s="215" t="n"/>
      <c r="P2435" s="215" t="n"/>
      <c r="Q2435" s="215" t="n"/>
      <c r="R2435" s="215" t="n"/>
      <c r="S2435" s="215" t="n"/>
      <c r="T2435" s="215" t="n"/>
      <c r="U2435" s="215" t="n"/>
      <c r="V2435" s="215" t="n"/>
      <c r="W2435" s="215" t="n"/>
      <c r="X2435" s="215" t="n"/>
      <c r="Y2435" s="215" t="n"/>
      <c r="Z2435" s="215" t="n"/>
      <c r="AA2435" s="215" t="n"/>
      <c r="AB2435" s="215" t="n"/>
      <c r="AC2435" s="215" t="n"/>
      <c r="AD2435" s="215" t="n"/>
      <c r="AE2435" s="215" t="n"/>
      <c r="AF2435" s="215" t="n"/>
      <c r="AG2435" s="215" t="n"/>
      <c r="AH2435" s="215" t="n"/>
      <c r="AI2435" s="215" t="n"/>
      <c r="AJ2435" s="215" t="n"/>
      <c r="AK2435" s="216" t="n"/>
    </row>
    <row r="2436" ht="15" customHeight="1">
      <c r="B2436" s="134" t="n"/>
      <c r="C2436" s="105" t="n"/>
      <c r="D2436" s="105" t="n"/>
      <c r="E2436" s="105" t="n"/>
      <c r="F2436" s="105" t="n"/>
      <c r="G2436" s="105" t="n"/>
      <c r="H2436" s="2" t="n"/>
      <c r="I2436" s="105" t="n"/>
      <c r="K2436" s="215" t="n"/>
      <c r="L2436" s="215" t="n"/>
      <c r="M2436" s="215" t="n"/>
      <c r="N2436" s="215" t="n"/>
      <c r="O2436" s="215" t="n"/>
      <c r="P2436" s="215" t="n"/>
      <c r="Q2436" s="215" t="n"/>
      <c r="R2436" s="215" t="n"/>
      <c r="S2436" s="215" t="n"/>
      <c r="T2436" s="215" t="n"/>
      <c r="U2436" s="215" t="n"/>
      <c r="V2436" s="215" t="n"/>
      <c r="W2436" s="215" t="n"/>
      <c r="X2436" s="215" t="n"/>
      <c r="Y2436" s="215" t="n"/>
      <c r="Z2436" s="215" t="n"/>
      <c r="AA2436" s="215" t="n"/>
      <c r="AB2436" s="215" t="n"/>
      <c r="AC2436" s="215" t="n"/>
      <c r="AD2436" s="215" t="n"/>
      <c r="AE2436" s="215" t="n"/>
      <c r="AF2436" s="215" t="n"/>
      <c r="AG2436" s="215" t="n"/>
      <c r="AH2436" s="215" t="n"/>
      <c r="AI2436" s="215" t="n"/>
      <c r="AJ2436" s="215" t="n"/>
      <c r="AK2436" s="216" t="n"/>
    </row>
    <row r="2437" ht="15" customHeight="1">
      <c r="B2437" s="134" t="n"/>
      <c r="C2437" s="105" t="n"/>
      <c r="D2437" s="105" t="n"/>
      <c r="E2437" s="105" t="n"/>
      <c r="F2437" s="105" t="n"/>
      <c r="G2437" s="105" t="n"/>
      <c r="H2437" s="2" t="n"/>
      <c r="I2437" s="105" t="n"/>
      <c r="K2437" s="215" t="n"/>
      <c r="L2437" s="215" t="n"/>
      <c r="M2437" s="215" t="n"/>
      <c r="N2437" s="215" t="n"/>
      <c r="O2437" s="215" t="n"/>
      <c r="P2437" s="215" t="n"/>
      <c r="Q2437" s="215" t="n"/>
      <c r="R2437" s="215" t="n"/>
      <c r="S2437" s="215" t="n"/>
      <c r="T2437" s="215" t="n"/>
      <c r="U2437" s="215" t="n"/>
      <c r="V2437" s="215" t="n"/>
      <c r="W2437" s="215" t="n"/>
      <c r="X2437" s="215" t="n"/>
      <c r="Y2437" s="215" t="n"/>
      <c r="Z2437" s="215" t="n"/>
      <c r="AA2437" s="215" t="n"/>
      <c r="AB2437" s="215" t="n"/>
      <c r="AC2437" s="215" t="n"/>
      <c r="AD2437" s="215" t="n"/>
      <c r="AE2437" s="215" t="n"/>
      <c r="AF2437" s="215" t="n"/>
      <c r="AG2437" s="215" t="n"/>
      <c r="AH2437" s="215" t="n"/>
      <c r="AI2437" s="215" t="n"/>
      <c r="AJ2437" s="215" t="n"/>
      <c r="AK2437" s="216" t="n"/>
    </row>
    <row r="2438" ht="15" customHeight="1">
      <c r="B2438" s="134" t="n"/>
      <c r="C2438" s="105" t="n"/>
      <c r="D2438" s="105" t="n"/>
      <c r="E2438" s="105" t="n"/>
      <c r="F2438" s="105" t="n"/>
      <c r="G2438" s="105" t="n"/>
      <c r="H2438" s="2" t="n"/>
      <c r="I2438" s="105" t="n"/>
      <c r="K2438" s="215" t="n"/>
      <c r="L2438" s="215" t="n"/>
      <c r="M2438" s="215" t="n"/>
      <c r="N2438" s="215" t="n"/>
      <c r="O2438" s="215" t="n"/>
      <c r="P2438" s="215" t="n"/>
      <c r="Q2438" s="215" t="n"/>
      <c r="R2438" s="215" t="n"/>
      <c r="S2438" s="215" t="n"/>
      <c r="T2438" s="215" t="n"/>
      <c r="U2438" s="215" t="n"/>
      <c r="V2438" s="215" t="n"/>
      <c r="W2438" s="215" t="n"/>
      <c r="X2438" s="215" t="n"/>
      <c r="Y2438" s="215" t="n"/>
      <c r="Z2438" s="215" t="n"/>
      <c r="AA2438" s="215" t="n"/>
      <c r="AB2438" s="215" t="n"/>
      <c r="AC2438" s="215" t="n"/>
      <c r="AD2438" s="215" t="n"/>
      <c r="AE2438" s="215" t="n"/>
      <c r="AF2438" s="215" t="n"/>
      <c r="AG2438" s="215" t="n"/>
      <c r="AH2438" s="215" t="n"/>
      <c r="AI2438" s="215" t="n"/>
      <c r="AJ2438" s="215" t="n"/>
      <c r="AK2438" s="216" t="n"/>
    </row>
    <row r="2439" ht="15" customHeight="1">
      <c r="B2439" s="134" t="n"/>
      <c r="C2439" s="105" t="n"/>
      <c r="D2439" s="105" t="n"/>
      <c r="E2439" s="105" t="n"/>
      <c r="F2439" s="105" t="n"/>
      <c r="G2439" s="105" t="n"/>
      <c r="H2439" s="2" t="n"/>
      <c r="I2439" s="105" t="n"/>
      <c r="K2439" s="215" t="n"/>
      <c r="L2439" s="215" t="n"/>
      <c r="M2439" s="215" t="n"/>
      <c r="N2439" s="215" t="n"/>
      <c r="O2439" s="215" t="n"/>
      <c r="P2439" s="215" t="n"/>
      <c r="Q2439" s="215" t="n"/>
      <c r="R2439" s="215" t="n"/>
      <c r="S2439" s="215" t="n"/>
      <c r="T2439" s="215" t="n"/>
      <c r="U2439" s="215" t="n"/>
      <c r="V2439" s="215" t="n"/>
      <c r="W2439" s="215" t="n"/>
      <c r="X2439" s="215" t="n"/>
      <c r="Y2439" s="215" t="n"/>
      <c r="Z2439" s="215" t="n"/>
      <c r="AA2439" s="215" t="n"/>
      <c r="AB2439" s="215" t="n"/>
      <c r="AC2439" s="215" t="n"/>
      <c r="AD2439" s="215" t="n"/>
      <c r="AE2439" s="215" t="n"/>
      <c r="AF2439" s="215" t="n"/>
      <c r="AG2439" s="215" t="n"/>
      <c r="AH2439" s="215" t="n"/>
      <c r="AI2439" s="215" t="n"/>
      <c r="AJ2439" s="215" t="n"/>
      <c r="AK2439" s="216" t="n"/>
    </row>
    <row r="2440" ht="15" customHeight="1">
      <c r="B2440" s="134" t="n"/>
      <c r="C2440" s="105" t="n"/>
      <c r="D2440" s="105" t="n"/>
      <c r="E2440" s="105" t="n"/>
      <c r="F2440" s="105" t="n"/>
      <c r="G2440" s="105" t="n"/>
      <c r="H2440" s="2" t="n"/>
      <c r="I2440" s="105" t="n"/>
      <c r="K2440" s="215" t="n"/>
      <c r="L2440" s="215" t="n"/>
      <c r="M2440" s="215" t="n"/>
      <c r="N2440" s="215" t="n"/>
      <c r="O2440" s="215" t="n"/>
      <c r="P2440" s="215" t="n"/>
      <c r="Q2440" s="215" t="n"/>
      <c r="R2440" s="215" t="n"/>
      <c r="S2440" s="215" t="n"/>
      <c r="T2440" s="215" t="n"/>
      <c r="U2440" s="215" t="n"/>
      <c r="V2440" s="215" t="n"/>
      <c r="W2440" s="215" t="n"/>
      <c r="X2440" s="215" t="n"/>
      <c r="Y2440" s="215" t="n"/>
      <c r="Z2440" s="215" t="n"/>
      <c r="AA2440" s="215" t="n"/>
      <c r="AB2440" s="215" t="n"/>
      <c r="AC2440" s="215" t="n"/>
      <c r="AD2440" s="215" t="n"/>
      <c r="AE2440" s="215" t="n"/>
      <c r="AF2440" s="215" t="n"/>
      <c r="AG2440" s="215" t="n"/>
      <c r="AH2440" s="215" t="n"/>
      <c r="AI2440" s="215" t="n"/>
      <c r="AJ2440" s="215" t="n"/>
      <c r="AK2440" s="216" t="n"/>
    </row>
    <row r="2441" ht="15" customHeight="1">
      <c r="B2441" s="134" t="n"/>
      <c r="C2441" s="105" t="n"/>
      <c r="D2441" s="105" t="n"/>
      <c r="E2441" s="105" t="n"/>
      <c r="F2441" s="105" t="n"/>
      <c r="G2441" s="105" t="n"/>
      <c r="H2441" s="2" t="n"/>
      <c r="I2441" s="105" t="n"/>
      <c r="K2441" s="215" t="n"/>
      <c r="L2441" s="215" t="n"/>
      <c r="M2441" s="215" t="n"/>
      <c r="N2441" s="215" t="n"/>
      <c r="O2441" s="215" t="n"/>
      <c r="P2441" s="215" t="n"/>
      <c r="Q2441" s="215" t="n"/>
      <c r="R2441" s="215" t="n"/>
      <c r="S2441" s="215" t="n"/>
      <c r="T2441" s="215" t="n"/>
      <c r="U2441" s="215" t="n"/>
      <c r="V2441" s="215" t="n"/>
      <c r="W2441" s="215" t="n"/>
      <c r="X2441" s="215" t="n"/>
      <c r="Y2441" s="215" t="n"/>
      <c r="Z2441" s="215" t="n"/>
      <c r="AA2441" s="215" t="n"/>
      <c r="AB2441" s="215" t="n"/>
      <c r="AC2441" s="215" t="n"/>
      <c r="AD2441" s="215" t="n"/>
      <c r="AE2441" s="215" t="n"/>
      <c r="AF2441" s="215" t="n"/>
      <c r="AG2441" s="215" t="n"/>
      <c r="AH2441" s="215" t="n"/>
      <c r="AI2441" s="215" t="n"/>
      <c r="AJ2441" s="215" t="n"/>
      <c r="AK2441" s="216" t="n"/>
    </row>
    <row r="2442" ht="15" customHeight="1">
      <c r="B2442" s="134" t="n"/>
      <c r="C2442" s="105" t="n"/>
      <c r="D2442" s="105" t="n"/>
      <c r="E2442" s="105" t="n"/>
      <c r="F2442" s="105" t="n"/>
      <c r="G2442" s="105" t="n"/>
      <c r="H2442" s="2" t="n"/>
      <c r="I2442" s="105" t="n"/>
      <c r="K2442" s="215" t="n"/>
      <c r="L2442" s="215" t="n"/>
      <c r="M2442" s="215" t="n"/>
      <c r="N2442" s="215" t="n"/>
      <c r="O2442" s="215" t="n"/>
      <c r="P2442" s="215" t="n"/>
      <c r="Q2442" s="215" t="n"/>
      <c r="R2442" s="215" t="n"/>
      <c r="S2442" s="215" t="n"/>
      <c r="T2442" s="215" t="n"/>
      <c r="U2442" s="215" t="n"/>
      <c r="V2442" s="215" t="n"/>
      <c r="W2442" s="215" t="n"/>
      <c r="X2442" s="215" t="n"/>
      <c r="Y2442" s="215" t="n"/>
      <c r="Z2442" s="215" t="n"/>
      <c r="AA2442" s="215" t="n"/>
      <c r="AB2442" s="215" t="n"/>
      <c r="AC2442" s="215" t="n"/>
      <c r="AD2442" s="215" t="n"/>
      <c r="AE2442" s="215" t="n"/>
      <c r="AF2442" s="215" t="n"/>
      <c r="AG2442" s="215" t="n"/>
      <c r="AH2442" s="215" t="n"/>
      <c r="AI2442" s="215" t="n"/>
      <c r="AJ2442" s="215" t="n"/>
      <c r="AK2442" s="216" t="n"/>
    </row>
    <row r="2443" ht="15" customHeight="1">
      <c r="B2443" s="134" t="n"/>
      <c r="C2443" s="105" t="n"/>
      <c r="D2443" s="105" t="n"/>
      <c r="E2443" s="105" t="n"/>
      <c r="F2443" s="105" t="n"/>
      <c r="G2443" s="105" t="n"/>
      <c r="H2443" s="2" t="n"/>
      <c r="I2443" s="105" t="n"/>
      <c r="K2443" s="215" t="n"/>
      <c r="L2443" s="215" t="n"/>
      <c r="M2443" s="215" t="n"/>
      <c r="N2443" s="215" t="n"/>
      <c r="O2443" s="215" t="n"/>
      <c r="P2443" s="215" t="n"/>
      <c r="Q2443" s="215" t="n"/>
      <c r="R2443" s="215" t="n"/>
      <c r="S2443" s="215" t="n"/>
      <c r="T2443" s="215" t="n"/>
      <c r="U2443" s="215" t="n"/>
      <c r="V2443" s="215" t="n"/>
      <c r="W2443" s="215" t="n"/>
      <c r="X2443" s="215" t="n"/>
      <c r="Y2443" s="215" t="n"/>
      <c r="Z2443" s="215" t="n"/>
      <c r="AA2443" s="215" t="n"/>
      <c r="AB2443" s="215" t="n"/>
      <c r="AC2443" s="215" t="n"/>
      <c r="AD2443" s="215" t="n"/>
      <c r="AE2443" s="215" t="n"/>
      <c r="AF2443" s="215" t="n"/>
      <c r="AG2443" s="215" t="n"/>
      <c r="AH2443" s="215" t="n"/>
      <c r="AI2443" s="215" t="n"/>
      <c r="AJ2443" s="215" t="n"/>
      <c r="AK2443" s="216" t="n"/>
    </row>
    <row r="2444" ht="15" customHeight="1">
      <c r="B2444" s="134" t="n"/>
      <c r="C2444" s="105" t="n"/>
      <c r="D2444" s="105" t="n"/>
      <c r="E2444" s="105" t="n"/>
      <c r="F2444" s="105" t="n"/>
      <c r="G2444" s="105" t="n"/>
      <c r="H2444" s="2" t="n"/>
      <c r="I2444" s="105" t="n"/>
      <c r="K2444" s="215" t="n"/>
      <c r="L2444" s="215" t="n"/>
      <c r="M2444" s="215" t="n"/>
      <c r="N2444" s="215" t="n"/>
      <c r="O2444" s="215" t="n"/>
      <c r="P2444" s="215" t="n"/>
      <c r="Q2444" s="215" t="n"/>
      <c r="R2444" s="215" t="n"/>
      <c r="S2444" s="215" t="n"/>
      <c r="T2444" s="215" t="n"/>
      <c r="U2444" s="215" t="n"/>
      <c r="V2444" s="215" t="n"/>
      <c r="W2444" s="215" t="n"/>
      <c r="X2444" s="215" t="n"/>
      <c r="Y2444" s="215" t="n"/>
      <c r="Z2444" s="215" t="n"/>
      <c r="AA2444" s="215" t="n"/>
      <c r="AB2444" s="215" t="n"/>
      <c r="AC2444" s="215" t="n"/>
      <c r="AD2444" s="215" t="n"/>
      <c r="AE2444" s="215" t="n"/>
      <c r="AF2444" s="215" t="n"/>
      <c r="AG2444" s="215" t="n"/>
      <c r="AH2444" s="215" t="n"/>
      <c r="AI2444" s="215" t="n"/>
      <c r="AJ2444" s="215" t="n"/>
      <c r="AK2444" s="216" t="n"/>
    </row>
    <row r="2445" ht="15" customHeight="1">
      <c r="B2445" s="134" t="n"/>
      <c r="C2445" s="105" t="n"/>
      <c r="D2445" s="105" t="n"/>
      <c r="E2445" s="105" t="n"/>
      <c r="F2445" s="105" t="n"/>
      <c r="G2445" s="105" t="n"/>
      <c r="H2445" s="2" t="n"/>
      <c r="I2445" s="105" t="n"/>
      <c r="K2445" s="215" t="n"/>
      <c r="L2445" s="215" t="n"/>
      <c r="M2445" s="215" t="n"/>
      <c r="N2445" s="215" t="n"/>
      <c r="O2445" s="215" t="n"/>
      <c r="P2445" s="215" t="n"/>
      <c r="Q2445" s="215" t="n"/>
      <c r="R2445" s="215" t="n"/>
      <c r="S2445" s="215" t="n"/>
      <c r="T2445" s="215" t="n"/>
      <c r="U2445" s="215" t="n"/>
      <c r="V2445" s="215" t="n"/>
      <c r="W2445" s="215" t="n"/>
      <c r="X2445" s="215" t="n"/>
      <c r="Y2445" s="215" t="n"/>
      <c r="Z2445" s="215" t="n"/>
      <c r="AA2445" s="215" t="n"/>
      <c r="AB2445" s="215" t="n"/>
      <c r="AC2445" s="215" t="n"/>
      <c r="AD2445" s="215" t="n"/>
      <c r="AE2445" s="215" t="n"/>
      <c r="AF2445" s="215" t="n"/>
      <c r="AG2445" s="215" t="n"/>
      <c r="AH2445" s="215" t="n"/>
      <c r="AI2445" s="215" t="n"/>
      <c r="AJ2445" s="215" t="n"/>
      <c r="AK2445" s="216" t="n"/>
    </row>
    <row r="2446" ht="15" customHeight="1">
      <c r="B2446" s="134" t="n"/>
      <c r="C2446" s="105" t="n"/>
      <c r="D2446" s="105" t="n"/>
      <c r="E2446" s="105" t="n"/>
      <c r="F2446" s="105" t="n"/>
      <c r="G2446" s="105" t="n"/>
      <c r="H2446" s="2" t="n"/>
      <c r="I2446" s="105" t="n"/>
      <c r="K2446" s="215" t="n"/>
      <c r="L2446" s="215" t="n"/>
      <c r="M2446" s="215" t="n"/>
      <c r="N2446" s="215" t="n"/>
      <c r="O2446" s="215" t="n"/>
      <c r="P2446" s="215" t="n"/>
      <c r="Q2446" s="215" t="n"/>
      <c r="R2446" s="215" t="n"/>
      <c r="S2446" s="215" t="n"/>
      <c r="T2446" s="215" t="n"/>
      <c r="U2446" s="215" t="n"/>
      <c r="V2446" s="215" t="n"/>
      <c r="W2446" s="215" t="n"/>
      <c r="X2446" s="215" t="n"/>
      <c r="Y2446" s="215" t="n"/>
      <c r="Z2446" s="215" t="n"/>
      <c r="AA2446" s="215" t="n"/>
      <c r="AB2446" s="215" t="n"/>
      <c r="AC2446" s="215" t="n"/>
      <c r="AD2446" s="215" t="n"/>
      <c r="AE2446" s="215" t="n"/>
      <c r="AF2446" s="215" t="n"/>
      <c r="AG2446" s="215" t="n"/>
      <c r="AH2446" s="215" t="n"/>
      <c r="AI2446" s="215" t="n"/>
      <c r="AJ2446" s="215" t="n"/>
      <c r="AK2446" s="216" t="n"/>
    </row>
    <row r="2447" ht="15" customHeight="1">
      <c r="B2447" s="134" t="n"/>
      <c r="C2447" s="105" t="n"/>
      <c r="D2447" s="105" t="n"/>
      <c r="E2447" s="105" t="n"/>
      <c r="F2447" s="105" t="n"/>
      <c r="G2447" s="105" t="n"/>
      <c r="H2447" s="2" t="n"/>
      <c r="I2447" s="105" t="n"/>
      <c r="K2447" s="215" t="n"/>
      <c r="L2447" s="215" t="n"/>
      <c r="M2447" s="215" t="n"/>
      <c r="N2447" s="215" t="n"/>
      <c r="O2447" s="215" t="n"/>
      <c r="P2447" s="215" t="n"/>
      <c r="Q2447" s="215" t="n"/>
      <c r="R2447" s="215" t="n"/>
      <c r="S2447" s="215" t="n"/>
      <c r="T2447" s="215" t="n"/>
      <c r="U2447" s="215" t="n"/>
      <c r="V2447" s="215" t="n"/>
      <c r="W2447" s="215" t="n"/>
      <c r="X2447" s="215" t="n"/>
      <c r="Y2447" s="215" t="n"/>
      <c r="Z2447" s="215" t="n"/>
      <c r="AA2447" s="215" t="n"/>
      <c r="AB2447" s="215" t="n"/>
      <c r="AC2447" s="215" t="n"/>
      <c r="AD2447" s="215" t="n"/>
      <c r="AE2447" s="215" t="n"/>
      <c r="AF2447" s="215" t="n"/>
      <c r="AG2447" s="215" t="n"/>
      <c r="AH2447" s="215" t="n"/>
      <c r="AI2447" s="215" t="n"/>
      <c r="AJ2447" s="215" t="n"/>
      <c r="AK2447" s="216" t="n"/>
    </row>
    <row r="2448" ht="15" customHeight="1">
      <c r="B2448" s="134" t="n"/>
      <c r="C2448" s="105" t="n"/>
      <c r="D2448" s="105" t="n"/>
      <c r="E2448" s="105" t="n"/>
      <c r="F2448" s="105" t="n"/>
      <c r="G2448" s="105" t="n"/>
      <c r="H2448" s="2" t="n"/>
      <c r="I2448" s="105" t="n"/>
      <c r="K2448" s="215" t="n"/>
      <c r="L2448" s="215" t="n"/>
      <c r="M2448" s="215" t="n"/>
      <c r="N2448" s="215" t="n"/>
      <c r="O2448" s="215" t="n"/>
      <c r="P2448" s="215" t="n"/>
      <c r="Q2448" s="215" t="n"/>
      <c r="R2448" s="215" t="n"/>
      <c r="S2448" s="215" t="n"/>
      <c r="T2448" s="215" t="n"/>
      <c r="U2448" s="215" t="n"/>
      <c r="V2448" s="215" t="n"/>
      <c r="W2448" s="215" t="n"/>
      <c r="X2448" s="215" t="n"/>
      <c r="Y2448" s="215" t="n"/>
      <c r="Z2448" s="215" t="n"/>
      <c r="AA2448" s="215" t="n"/>
      <c r="AB2448" s="215" t="n"/>
      <c r="AC2448" s="215" t="n"/>
      <c r="AD2448" s="215" t="n"/>
      <c r="AE2448" s="215" t="n"/>
      <c r="AF2448" s="215" t="n"/>
      <c r="AG2448" s="215" t="n"/>
      <c r="AH2448" s="215" t="n"/>
      <c r="AI2448" s="215" t="n"/>
      <c r="AJ2448" s="215" t="n"/>
      <c r="AK2448" s="216" t="n"/>
    </row>
    <row r="2449" ht="15" customHeight="1">
      <c r="B2449" s="134" t="n"/>
      <c r="C2449" s="105" t="n"/>
      <c r="D2449" s="105" t="n"/>
      <c r="E2449" s="105" t="n"/>
      <c r="F2449" s="105" t="n"/>
      <c r="G2449" s="105" t="n"/>
      <c r="H2449" s="2" t="n"/>
      <c r="I2449" s="105" t="n"/>
      <c r="K2449" s="215" t="n"/>
      <c r="L2449" s="215" t="n"/>
      <c r="M2449" s="215" t="n"/>
      <c r="N2449" s="215" t="n"/>
      <c r="O2449" s="215" t="n"/>
      <c r="P2449" s="215" t="n"/>
      <c r="Q2449" s="215" t="n"/>
      <c r="R2449" s="215" t="n"/>
      <c r="S2449" s="215" t="n"/>
      <c r="T2449" s="215" t="n"/>
      <c r="U2449" s="215" t="n"/>
      <c r="V2449" s="215" t="n"/>
      <c r="W2449" s="215" t="n"/>
      <c r="X2449" s="215" t="n"/>
      <c r="Y2449" s="215" t="n"/>
      <c r="Z2449" s="215" t="n"/>
      <c r="AA2449" s="215" t="n"/>
      <c r="AB2449" s="215" t="n"/>
      <c r="AC2449" s="215" t="n"/>
      <c r="AD2449" s="215" t="n"/>
      <c r="AE2449" s="215" t="n"/>
      <c r="AF2449" s="215" t="n"/>
      <c r="AG2449" s="215" t="n"/>
      <c r="AH2449" s="215" t="n"/>
      <c r="AI2449" s="215" t="n"/>
      <c r="AJ2449" s="215" t="n"/>
      <c r="AK2449" s="216" t="n"/>
    </row>
    <row r="2450" ht="15" customHeight="1">
      <c r="B2450" s="134" t="n"/>
      <c r="C2450" s="105" t="n"/>
      <c r="D2450" s="105" t="n"/>
      <c r="E2450" s="105" t="n"/>
      <c r="F2450" s="105" t="n"/>
      <c r="G2450" s="105" t="n"/>
      <c r="H2450" s="2" t="n"/>
      <c r="I2450" s="105" t="n"/>
      <c r="K2450" s="215" t="n"/>
      <c r="L2450" s="215" t="n"/>
      <c r="M2450" s="215" t="n"/>
      <c r="N2450" s="215" t="n"/>
      <c r="O2450" s="215" t="n"/>
      <c r="P2450" s="215" t="n"/>
      <c r="Q2450" s="215" t="n"/>
      <c r="R2450" s="215" t="n"/>
      <c r="S2450" s="215" t="n"/>
      <c r="T2450" s="215" t="n"/>
      <c r="U2450" s="215" t="n"/>
      <c r="V2450" s="215" t="n"/>
      <c r="W2450" s="215" t="n"/>
      <c r="X2450" s="215" t="n"/>
      <c r="Y2450" s="215" t="n"/>
      <c r="Z2450" s="215" t="n"/>
      <c r="AA2450" s="215" t="n"/>
      <c r="AB2450" s="215" t="n"/>
      <c r="AC2450" s="215" t="n"/>
      <c r="AD2450" s="215" t="n"/>
      <c r="AE2450" s="215" t="n"/>
      <c r="AF2450" s="215" t="n"/>
      <c r="AG2450" s="215" t="n"/>
      <c r="AH2450" s="215" t="n"/>
      <c r="AI2450" s="215" t="n"/>
      <c r="AJ2450" s="215" t="n"/>
      <c r="AK2450" s="216" t="n"/>
    </row>
    <row r="2451" ht="15" customHeight="1">
      <c r="B2451" s="134" t="n"/>
      <c r="C2451" s="105" t="n"/>
      <c r="D2451" s="105" t="n"/>
      <c r="E2451" s="105" t="n"/>
      <c r="F2451" s="105" t="n"/>
      <c r="G2451" s="105" t="n"/>
      <c r="H2451" s="2" t="n"/>
      <c r="I2451" s="105" t="n"/>
      <c r="K2451" s="215" t="n"/>
      <c r="L2451" s="215" t="n"/>
      <c r="M2451" s="215" t="n"/>
      <c r="N2451" s="215" t="n"/>
      <c r="O2451" s="215" t="n"/>
      <c r="P2451" s="215" t="n"/>
      <c r="Q2451" s="215" t="n"/>
      <c r="R2451" s="215" t="n"/>
      <c r="S2451" s="215" t="n"/>
      <c r="T2451" s="215" t="n"/>
      <c r="U2451" s="215" t="n"/>
      <c r="V2451" s="215" t="n"/>
      <c r="W2451" s="215" t="n"/>
      <c r="X2451" s="215" t="n"/>
      <c r="Y2451" s="215" t="n"/>
      <c r="Z2451" s="215" t="n"/>
      <c r="AA2451" s="215" t="n"/>
      <c r="AB2451" s="215" t="n"/>
      <c r="AC2451" s="215" t="n"/>
      <c r="AD2451" s="215" t="n"/>
      <c r="AE2451" s="215" t="n"/>
      <c r="AF2451" s="215" t="n"/>
      <c r="AG2451" s="215" t="n"/>
      <c r="AH2451" s="215" t="n"/>
      <c r="AI2451" s="215" t="n"/>
      <c r="AJ2451" s="215" t="n"/>
      <c r="AK2451" s="216" t="n"/>
    </row>
    <row r="2452" ht="15" customHeight="1">
      <c r="B2452" s="134" t="n"/>
      <c r="C2452" s="105" t="n"/>
      <c r="D2452" s="105" t="n"/>
      <c r="E2452" s="105" t="n"/>
      <c r="F2452" s="105" t="n"/>
      <c r="G2452" s="105" t="n"/>
      <c r="H2452" s="2" t="n"/>
      <c r="I2452" s="105" t="n"/>
      <c r="K2452" s="215" t="n"/>
      <c r="L2452" s="215" t="n"/>
      <c r="M2452" s="215" t="n"/>
      <c r="N2452" s="215" t="n"/>
      <c r="O2452" s="215" t="n"/>
      <c r="P2452" s="215" t="n"/>
      <c r="Q2452" s="215" t="n"/>
      <c r="R2452" s="215" t="n"/>
      <c r="S2452" s="215" t="n"/>
      <c r="T2452" s="215" t="n"/>
      <c r="U2452" s="215" t="n"/>
      <c r="V2452" s="215" t="n"/>
      <c r="W2452" s="215" t="n"/>
      <c r="X2452" s="215" t="n"/>
      <c r="Y2452" s="215" t="n"/>
      <c r="Z2452" s="215" t="n"/>
      <c r="AA2452" s="215" t="n"/>
      <c r="AB2452" s="215" t="n"/>
      <c r="AC2452" s="215" t="n"/>
      <c r="AD2452" s="215" t="n"/>
      <c r="AE2452" s="215" t="n"/>
      <c r="AF2452" s="215" t="n"/>
      <c r="AG2452" s="215" t="n"/>
      <c r="AH2452" s="215" t="n"/>
      <c r="AI2452" s="215" t="n"/>
      <c r="AJ2452" s="215" t="n"/>
      <c r="AK2452" s="216" t="n"/>
    </row>
    <row r="2453" ht="15" customHeight="1">
      <c r="B2453" s="134" t="n"/>
      <c r="C2453" s="105" t="n"/>
      <c r="D2453" s="105" t="n"/>
      <c r="E2453" s="105" t="n"/>
      <c r="F2453" s="105" t="n"/>
      <c r="G2453" s="105" t="n"/>
      <c r="H2453" s="2" t="n"/>
      <c r="I2453" s="105" t="n"/>
      <c r="K2453" s="215" t="n"/>
      <c r="L2453" s="215" t="n"/>
      <c r="M2453" s="215" t="n"/>
      <c r="N2453" s="215" t="n"/>
      <c r="O2453" s="215" t="n"/>
      <c r="P2453" s="215" t="n"/>
      <c r="Q2453" s="215" t="n"/>
      <c r="R2453" s="215" t="n"/>
      <c r="S2453" s="215" t="n"/>
      <c r="T2453" s="215" t="n"/>
      <c r="U2453" s="215" t="n"/>
      <c r="V2453" s="215" t="n"/>
      <c r="W2453" s="215" t="n"/>
      <c r="X2453" s="215" t="n"/>
      <c r="Y2453" s="215" t="n"/>
      <c r="Z2453" s="215" t="n"/>
      <c r="AA2453" s="215" t="n"/>
      <c r="AB2453" s="215" t="n"/>
      <c r="AC2453" s="215" t="n"/>
      <c r="AD2453" s="215" t="n"/>
      <c r="AE2453" s="215" t="n"/>
      <c r="AF2453" s="215" t="n"/>
      <c r="AG2453" s="215" t="n"/>
      <c r="AH2453" s="215" t="n"/>
      <c r="AI2453" s="215" t="n"/>
      <c r="AJ2453" s="215" t="n"/>
      <c r="AK2453" s="216" t="n"/>
    </row>
    <row r="2454" ht="15" customHeight="1">
      <c r="B2454" s="134" t="n"/>
      <c r="C2454" s="105" t="n"/>
      <c r="D2454" s="105" t="n"/>
      <c r="E2454" s="105" t="n"/>
      <c r="F2454" s="105" t="n"/>
      <c r="G2454" s="105" t="n"/>
      <c r="H2454" s="2" t="n"/>
      <c r="I2454" s="105" t="n"/>
      <c r="K2454" s="215" t="n"/>
      <c r="L2454" s="215" t="n"/>
      <c r="M2454" s="215" t="n"/>
      <c r="N2454" s="215" t="n"/>
      <c r="O2454" s="215" t="n"/>
      <c r="P2454" s="215" t="n"/>
      <c r="Q2454" s="215" t="n"/>
      <c r="R2454" s="215" t="n"/>
      <c r="S2454" s="215" t="n"/>
      <c r="T2454" s="215" t="n"/>
      <c r="U2454" s="215" t="n"/>
      <c r="V2454" s="215" t="n"/>
      <c r="W2454" s="215" t="n"/>
      <c r="X2454" s="215" t="n"/>
      <c r="Y2454" s="215" t="n"/>
      <c r="Z2454" s="215" t="n"/>
      <c r="AA2454" s="215" t="n"/>
      <c r="AB2454" s="215" t="n"/>
      <c r="AC2454" s="215" t="n"/>
      <c r="AD2454" s="215" t="n"/>
      <c r="AE2454" s="215" t="n"/>
      <c r="AF2454" s="215" t="n"/>
      <c r="AG2454" s="215" t="n"/>
      <c r="AH2454" s="215" t="n"/>
      <c r="AI2454" s="215" t="n"/>
      <c r="AJ2454" s="215" t="n"/>
      <c r="AK2454" s="216" t="n"/>
    </row>
    <row r="2455" ht="15" customHeight="1">
      <c r="B2455" s="134" t="n"/>
      <c r="C2455" s="105" t="n"/>
      <c r="D2455" s="105" t="n"/>
      <c r="E2455" s="105" t="n"/>
      <c r="F2455" s="105" t="n"/>
      <c r="G2455" s="105" t="n"/>
      <c r="H2455" s="2" t="n"/>
      <c r="I2455" s="105" t="n"/>
      <c r="K2455" s="215" t="n"/>
      <c r="L2455" s="215" t="n"/>
      <c r="M2455" s="215" t="n"/>
      <c r="N2455" s="215" t="n"/>
      <c r="O2455" s="215" t="n"/>
      <c r="P2455" s="215" t="n"/>
      <c r="Q2455" s="215" t="n"/>
      <c r="R2455" s="215" t="n"/>
      <c r="S2455" s="215" t="n"/>
      <c r="T2455" s="215" t="n"/>
      <c r="U2455" s="215" t="n"/>
      <c r="V2455" s="215" t="n"/>
      <c r="W2455" s="215" t="n"/>
      <c r="X2455" s="215" t="n"/>
      <c r="Y2455" s="215" t="n"/>
      <c r="Z2455" s="215" t="n"/>
      <c r="AA2455" s="215" t="n"/>
      <c r="AB2455" s="215" t="n"/>
      <c r="AC2455" s="215" t="n"/>
      <c r="AD2455" s="215" t="n"/>
      <c r="AE2455" s="215" t="n"/>
      <c r="AF2455" s="215" t="n"/>
      <c r="AG2455" s="215" t="n"/>
      <c r="AH2455" s="215" t="n"/>
      <c r="AI2455" s="215" t="n"/>
      <c r="AJ2455" s="215" t="n"/>
      <c r="AK2455" s="216" t="n"/>
    </row>
    <row r="2456" ht="15" customHeight="1">
      <c r="B2456" s="134" t="n"/>
      <c r="C2456" s="105" t="n"/>
      <c r="D2456" s="105" t="n"/>
      <c r="E2456" s="105" t="n"/>
      <c r="F2456" s="105" t="n"/>
      <c r="G2456" s="105" t="n"/>
      <c r="H2456" s="2" t="n"/>
      <c r="I2456" s="105" t="n"/>
      <c r="K2456" s="215" t="n"/>
      <c r="L2456" s="215" t="n"/>
      <c r="M2456" s="215" t="n"/>
      <c r="N2456" s="215" t="n"/>
      <c r="O2456" s="215" t="n"/>
      <c r="P2456" s="215" t="n"/>
      <c r="Q2456" s="215" t="n"/>
      <c r="R2456" s="215" t="n"/>
      <c r="S2456" s="215" t="n"/>
      <c r="T2456" s="215" t="n"/>
      <c r="U2456" s="215" t="n"/>
      <c r="V2456" s="215" t="n"/>
      <c r="W2456" s="215" t="n"/>
      <c r="X2456" s="215" t="n"/>
      <c r="Y2456" s="215" t="n"/>
      <c r="Z2456" s="215" t="n"/>
      <c r="AA2456" s="215" t="n"/>
      <c r="AB2456" s="215" t="n"/>
      <c r="AC2456" s="215" t="n"/>
      <c r="AD2456" s="215" t="n"/>
      <c r="AE2456" s="215" t="n"/>
      <c r="AF2456" s="215" t="n"/>
      <c r="AG2456" s="215" t="n"/>
      <c r="AH2456" s="215" t="n"/>
      <c r="AI2456" s="215" t="n"/>
      <c r="AJ2456" s="215" t="n"/>
      <c r="AK2456" s="216" t="n"/>
    </row>
    <row r="2457" ht="15" customHeight="1">
      <c r="B2457" s="134" t="n"/>
      <c r="C2457" s="105" t="n"/>
      <c r="D2457" s="105" t="n"/>
      <c r="E2457" s="105" t="n"/>
      <c r="F2457" s="105" t="n"/>
      <c r="G2457" s="105" t="n"/>
      <c r="H2457" s="2" t="n"/>
      <c r="I2457" s="105" t="n"/>
      <c r="K2457" s="215" t="n"/>
      <c r="L2457" s="215" t="n"/>
      <c r="M2457" s="215" t="n"/>
      <c r="N2457" s="215" t="n"/>
      <c r="O2457" s="215" t="n"/>
      <c r="P2457" s="215" t="n"/>
      <c r="Q2457" s="215" t="n"/>
      <c r="R2457" s="215" t="n"/>
      <c r="S2457" s="215" t="n"/>
      <c r="T2457" s="215" t="n"/>
      <c r="U2457" s="215" t="n"/>
      <c r="V2457" s="215" t="n"/>
      <c r="W2457" s="215" t="n"/>
      <c r="X2457" s="215" t="n"/>
      <c r="Y2457" s="215" t="n"/>
      <c r="Z2457" s="215" t="n"/>
      <c r="AA2457" s="215" t="n"/>
      <c r="AB2457" s="215" t="n"/>
      <c r="AC2457" s="215" t="n"/>
      <c r="AD2457" s="215" t="n"/>
      <c r="AE2457" s="215" t="n"/>
      <c r="AF2457" s="215" t="n"/>
      <c r="AG2457" s="215" t="n"/>
      <c r="AH2457" s="215" t="n"/>
      <c r="AI2457" s="215" t="n"/>
      <c r="AJ2457" s="215" t="n"/>
      <c r="AK2457" s="216" t="n"/>
    </row>
    <row r="2458" ht="15" customHeight="1">
      <c r="B2458" s="134" t="n"/>
      <c r="C2458" s="105" t="n"/>
      <c r="D2458" s="105" t="n"/>
      <c r="E2458" s="105" t="n"/>
      <c r="F2458" s="105" t="n"/>
      <c r="G2458" s="105" t="n"/>
      <c r="H2458" s="2" t="n"/>
      <c r="I2458" s="105" t="n"/>
      <c r="K2458" s="215" t="n"/>
      <c r="L2458" s="215" t="n"/>
      <c r="M2458" s="215" t="n"/>
      <c r="N2458" s="215" t="n"/>
      <c r="O2458" s="215" t="n"/>
      <c r="P2458" s="215" t="n"/>
      <c r="Q2458" s="215" t="n"/>
      <c r="R2458" s="215" t="n"/>
      <c r="S2458" s="215" t="n"/>
      <c r="T2458" s="215" t="n"/>
      <c r="U2458" s="215" t="n"/>
      <c r="V2458" s="215" t="n"/>
      <c r="W2458" s="215" t="n"/>
      <c r="X2458" s="215" t="n"/>
      <c r="Y2458" s="215" t="n"/>
      <c r="Z2458" s="215" t="n"/>
      <c r="AA2458" s="215" t="n"/>
      <c r="AB2458" s="215" t="n"/>
      <c r="AC2458" s="215" t="n"/>
      <c r="AD2458" s="215" t="n"/>
      <c r="AE2458" s="215" t="n"/>
      <c r="AF2458" s="215" t="n"/>
      <c r="AG2458" s="215" t="n"/>
      <c r="AH2458" s="215" t="n"/>
      <c r="AI2458" s="215" t="n"/>
      <c r="AJ2458" s="215" t="n"/>
      <c r="AK2458" s="216" t="n"/>
    </row>
    <row r="2459" ht="15" customHeight="1">
      <c r="B2459" s="134" t="n"/>
      <c r="C2459" s="105" t="n"/>
      <c r="D2459" s="105" t="n"/>
      <c r="E2459" s="105" t="n"/>
      <c r="F2459" s="105" t="n"/>
      <c r="G2459" s="105" t="n"/>
      <c r="H2459" s="2" t="n"/>
      <c r="I2459" s="105" t="n"/>
      <c r="K2459" s="215" t="n"/>
      <c r="L2459" s="215" t="n"/>
      <c r="M2459" s="215" t="n"/>
      <c r="N2459" s="215" t="n"/>
      <c r="O2459" s="215" t="n"/>
      <c r="P2459" s="215" t="n"/>
      <c r="Q2459" s="215" t="n"/>
      <c r="R2459" s="215" t="n"/>
      <c r="S2459" s="215" t="n"/>
      <c r="T2459" s="215" t="n"/>
      <c r="U2459" s="215" t="n"/>
      <c r="V2459" s="215" t="n"/>
      <c r="W2459" s="215" t="n"/>
      <c r="X2459" s="215" t="n"/>
      <c r="Y2459" s="215" t="n"/>
      <c r="Z2459" s="215" t="n"/>
      <c r="AA2459" s="215" t="n"/>
      <c r="AB2459" s="215" t="n"/>
      <c r="AC2459" s="215" t="n"/>
      <c r="AD2459" s="215" t="n"/>
      <c r="AE2459" s="215" t="n"/>
      <c r="AF2459" s="215" t="n"/>
      <c r="AG2459" s="215" t="n"/>
      <c r="AH2459" s="215" t="n"/>
      <c r="AI2459" s="215" t="n"/>
      <c r="AJ2459" s="215" t="n"/>
      <c r="AK2459" s="216" t="n"/>
    </row>
    <row r="2460" ht="15" customHeight="1">
      <c r="B2460" s="134" t="n"/>
      <c r="C2460" s="105" t="n"/>
      <c r="D2460" s="105" t="n"/>
      <c r="E2460" s="105" t="n"/>
      <c r="F2460" s="105" t="n"/>
      <c r="G2460" s="105" t="n"/>
      <c r="H2460" s="2" t="n"/>
      <c r="I2460" s="105" t="n"/>
      <c r="K2460" s="215" t="n"/>
      <c r="L2460" s="215" t="n"/>
      <c r="M2460" s="215" t="n"/>
      <c r="N2460" s="215" t="n"/>
      <c r="O2460" s="215" t="n"/>
      <c r="P2460" s="215" t="n"/>
      <c r="Q2460" s="215" t="n"/>
      <c r="R2460" s="215" t="n"/>
      <c r="S2460" s="215" t="n"/>
      <c r="T2460" s="215" t="n"/>
      <c r="U2460" s="215" t="n"/>
      <c r="V2460" s="215" t="n"/>
      <c r="W2460" s="215" t="n"/>
      <c r="X2460" s="215" t="n"/>
      <c r="Y2460" s="215" t="n"/>
      <c r="Z2460" s="215" t="n"/>
      <c r="AA2460" s="215" t="n"/>
      <c r="AB2460" s="215" t="n"/>
      <c r="AC2460" s="215" t="n"/>
      <c r="AD2460" s="215" t="n"/>
      <c r="AE2460" s="215" t="n"/>
      <c r="AF2460" s="215" t="n"/>
      <c r="AG2460" s="215" t="n"/>
      <c r="AH2460" s="215" t="n"/>
      <c r="AI2460" s="215" t="n"/>
      <c r="AJ2460" s="215" t="n"/>
      <c r="AK2460" s="216" t="n"/>
    </row>
    <row r="2461" ht="15" customHeight="1">
      <c r="B2461" s="134" t="n"/>
      <c r="C2461" s="105" t="n"/>
      <c r="D2461" s="105" t="n"/>
      <c r="E2461" s="105" t="n"/>
      <c r="F2461" s="105" t="n"/>
      <c r="G2461" s="105" t="n"/>
      <c r="H2461" s="2" t="n"/>
      <c r="I2461" s="105" t="n"/>
      <c r="K2461" s="215" t="n"/>
      <c r="L2461" s="215" t="n"/>
      <c r="M2461" s="215" t="n"/>
      <c r="N2461" s="215" t="n"/>
      <c r="O2461" s="215" t="n"/>
      <c r="P2461" s="215" t="n"/>
      <c r="Q2461" s="215" t="n"/>
      <c r="R2461" s="215" t="n"/>
      <c r="S2461" s="215" t="n"/>
      <c r="T2461" s="215" t="n"/>
      <c r="U2461" s="215" t="n"/>
      <c r="V2461" s="215" t="n"/>
      <c r="W2461" s="215" t="n"/>
      <c r="X2461" s="215" t="n"/>
      <c r="Y2461" s="215" t="n"/>
      <c r="Z2461" s="215" t="n"/>
      <c r="AA2461" s="215" t="n"/>
      <c r="AB2461" s="215" t="n"/>
      <c r="AC2461" s="215" t="n"/>
      <c r="AD2461" s="215" t="n"/>
      <c r="AE2461" s="215" t="n"/>
      <c r="AF2461" s="215" t="n"/>
      <c r="AG2461" s="215" t="n"/>
      <c r="AH2461" s="215" t="n"/>
      <c r="AI2461" s="215" t="n"/>
      <c r="AJ2461" s="215" t="n"/>
      <c r="AK2461" s="216" t="n"/>
    </row>
    <row r="2462" ht="15" customHeight="1">
      <c r="B2462" s="134" t="n"/>
      <c r="C2462" s="105" t="n"/>
      <c r="D2462" s="105" t="n"/>
      <c r="E2462" s="105" t="n"/>
      <c r="F2462" s="105" t="n"/>
      <c r="G2462" s="105" t="n"/>
      <c r="H2462" s="2" t="n"/>
      <c r="I2462" s="105" t="n"/>
      <c r="K2462" s="215" t="n"/>
      <c r="L2462" s="215" t="n"/>
      <c r="M2462" s="215" t="n"/>
      <c r="N2462" s="215" t="n"/>
      <c r="O2462" s="215" t="n"/>
      <c r="P2462" s="215" t="n"/>
      <c r="Q2462" s="215" t="n"/>
      <c r="R2462" s="215" t="n"/>
      <c r="S2462" s="215" t="n"/>
      <c r="T2462" s="215" t="n"/>
      <c r="U2462" s="215" t="n"/>
      <c r="V2462" s="215" t="n"/>
      <c r="W2462" s="215" t="n"/>
      <c r="X2462" s="215" t="n"/>
      <c r="Y2462" s="215" t="n"/>
      <c r="Z2462" s="215" t="n"/>
      <c r="AA2462" s="215" t="n"/>
      <c r="AB2462" s="215" t="n"/>
      <c r="AC2462" s="215" t="n"/>
      <c r="AD2462" s="215" t="n"/>
      <c r="AE2462" s="215" t="n"/>
      <c r="AF2462" s="215" t="n"/>
      <c r="AG2462" s="215" t="n"/>
      <c r="AH2462" s="215" t="n"/>
      <c r="AI2462" s="215" t="n"/>
      <c r="AJ2462" s="215" t="n"/>
      <c r="AK2462" s="216" t="n"/>
    </row>
    <row r="2463" ht="15" customHeight="1">
      <c r="B2463" s="134" t="n"/>
      <c r="C2463" s="105" t="n"/>
      <c r="D2463" s="105" t="n"/>
      <c r="E2463" s="105" t="n"/>
      <c r="F2463" s="105" t="n"/>
      <c r="G2463" s="105" t="n"/>
      <c r="H2463" s="2" t="n"/>
      <c r="I2463" s="105" t="n"/>
      <c r="K2463" s="215" t="n"/>
      <c r="L2463" s="215" t="n"/>
      <c r="M2463" s="215" t="n"/>
      <c r="N2463" s="215" t="n"/>
      <c r="O2463" s="215" t="n"/>
      <c r="P2463" s="215" t="n"/>
      <c r="Q2463" s="215" t="n"/>
      <c r="R2463" s="215" t="n"/>
      <c r="S2463" s="215" t="n"/>
      <c r="T2463" s="215" t="n"/>
      <c r="U2463" s="215" t="n"/>
      <c r="V2463" s="215" t="n"/>
      <c r="W2463" s="215" t="n"/>
      <c r="X2463" s="215" t="n"/>
      <c r="Y2463" s="215" t="n"/>
      <c r="Z2463" s="215" t="n"/>
      <c r="AA2463" s="215" t="n"/>
      <c r="AB2463" s="215" t="n"/>
      <c r="AC2463" s="215" t="n"/>
      <c r="AD2463" s="215" t="n"/>
      <c r="AE2463" s="215" t="n"/>
      <c r="AF2463" s="215" t="n"/>
      <c r="AG2463" s="215" t="n"/>
      <c r="AH2463" s="215" t="n"/>
      <c r="AI2463" s="215" t="n"/>
      <c r="AJ2463" s="215" t="n"/>
      <c r="AK2463" s="216" t="n"/>
    </row>
    <row r="2464" ht="15" customHeight="1">
      <c r="B2464" s="134" t="n"/>
      <c r="C2464" s="105" t="n"/>
      <c r="D2464" s="105" t="n"/>
      <c r="E2464" s="105" t="n"/>
      <c r="F2464" s="105" t="n"/>
      <c r="G2464" s="105" t="n"/>
      <c r="H2464" s="2" t="n"/>
      <c r="I2464" s="105" t="n"/>
      <c r="K2464" s="215" t="n"/>
      <c r="L2464" s="215" t="n"/>
      <c r="M2464" s="215" t="n"/>
      <c r="N2464" s="215" t="n"/>
      <c r="O2464" s="215" t="n"/>
      <c r="P2464" s="215" t="n"/>
      <c r="Q2464" s="215" t="n"/>
      <c r="R2464" s="215" t="n"/>
      <c r="S2464" s="215" t="n"/>
      <c r="T2464" s="215" t="n"/>
      <c r="U2464" s="215" t="n"/>
      <c r="V2464" s="215" t="n"/>
      <c r="W2464" s="215" t="n"/>
      <c r="X2464" s="215" t="n"/>
      <c r="Y2464" s="215" t="n"/>
      <c r="Z2464" s="215" t="n"/>
      <c r="AA2464" s="215" t="n"/>
      <c r="AB2464" s="215" t="n"/>
      <c r="AC2464" s="215" t="n"/>
      <c r="AD2464" s="215" t="n"/>
      <c r="AE2464" s="215" t="n"/>
      <c r="AF2464" s="215" t="n"/>
      <c r="AG2464" s="215" t="n"/>
      <c r="AH2464" s="215" t="n"/>
      <c r="AI2464" s="215" t="n"/>
      <c r="AJ2464" s="215" t="n"/>
      <c r="AK2464" s="216" t="n"/>
    </row>
    <row r="2465" ht="15" customHeight="1">
      <c r="B2465" s="134" t="n"/>
      <c r="C2465" s="105" t="n"/>
      <c r="D2465" s="105" t="n"/>
      <c r="E2465" s="105" t="n"/>
      <c r="F2465" s="105" t="n"/>
      <c r="G2465" s="105" t="n"/>
      <c r="H2465" s="2" t="n"/>
      <c r="I2465" s="105" t="n"/>
      <c r="K2465" s="215" t="n"/>
      <c r="L2465" s="215" t="n"/>
      <c r="M2465" s="215" t="n"/>
      <c r="N2465" s="215" t="n"/>
      <c r="O2465" s="215" t="n"/>
      <c r="P2465" s="215" t="n"/>
      <c r="Q2465" s="215" t="n"/>
      <c r="R2465" s="215" t="n"/>
      <c r="S2465" s="215" t="n"/>
      <c r="T2465" s="215" t="n"/>
      <c r="U2465" s="215" t="n"/>
      <c r="V2465" s="215" t="n"/>
      <c r="W2465" s="215" t="n"/>
      <c r="X2465" s="215" t="n"/>
      <c r="Y2465" s="215" t="n"/>
      <c r="Z2465" s="215" t="n"/>
      <c r="AA2465" s="215" t="n"/>
      <c r="AB2465" s="215" t="n"/>
      <c r="AC2465" s="215" t="n"/>
      <c r="AD2465" s="215" t="n"/>
      <c r="AE2465" s="215" t="n"/>
      <c r="AF2465" s="215" t="n"/>
      <c r="AG2465" s="215" t="n"/>
      <c r="AH2465" s="215" t="n"/>
      <c r="AI2465" s="215" t="n"/>
      <c r="AJ2465" s="215" t="n"/>
      <c r="AK2465" s="216" t="n"/>
    </row>
    <row r="2466" ht="15" customHeight="1">
      <c r="B2466" s="134" t="n"/>
      <c r="C2466" s="105" t="n"/>
      <c r="D2466" s="105" t="n"/>
      <c r="E2466" s="105" t="n"/>
      <c r="F2466" s="105" t="n"/>
      <c r="G2466" s="105" t="n"/>
      <c r="H2466" s="2" t="n"/>
      <c r="I2466" s="105" t="n"/>
      <c r="K2466" s="215" t="n"/>
      <c r="L2466" s="215" t="n"/>
      <c r="M2466" s="215" t="n"/>
      <c r="N2466" s="215" t="n"/>
      <c r="O2466" s="215" t="n"/>
      <c r="P2466" s="215" t="n"/>
      <c r="Q2466" s="215" t="n"/>
      <c r="R2466" s="215" t="n"/>
      <c r="S2466" s="215" t="n"/>
      <c r="T2466" s="215" t="n"/>
      <c r="U2466" s="215" t="n"/>
      <c r="V2466" s="215" t="n"/>
      <c r="W2466" s="215" t="n"/>
      <c r="X2466" s="215" t="n"/>
      <c r="Y2466" s="215" t="n"/>
      <c r="Z2466" s="215" t="n"/>
      <c r="AA2466" s="215" t="n"/>
      <c r="AB2466" s="215" t="n"/>
      <c r="AC2466" s="215" t="n"/>
      <c r="AD2466" s="215" t="n"/>
      <c r="AE2466" s="215" t="n"/>
      <c r="AF2466" s="215" t="n"/>
      <c r="AG2466" s="215" t="n"/>
      <c r="AH2466" s="215" t="n"/>
      <c r="AI2466" s="215" t="n"/>
      <c r="AJ2466" s="215" t="n"/>
      <c r="AK2466" s="216" t="n"/>
    </row>
    <row r="2467" ht="15" customHeight="1">
      <c r="B2467" s="134" t="n"/>
      <c r="C2467" s="105" t="n"/>
      <c r="D2467" s="105" t="n"/>
      <c r="E2467" s="105" t="n"/>
      <c r="F2467" s="105" t="n"/>
      <c r="G2467" s="105" t="n"/>
      <c r="H2467" s="2" t="n"/>
      <c r="I2467" s="105" t="n"/>
      <c r="K2467" s="215" t="n"/>
      <c r="L2467" s="215" t="n"/>
      <c r="M2467" s="215" t="n"/>
      <c r="N2467" s="215" t="n"/>
      <c r="O2467" s="215" t="n"/>
      <c r="P2467" s="215" t="n"/>
      <c r="Q2467" s="215" t="n"/>
      <c r="R2467" s="215" t="n"/>
      <c r="S2467" s="215" t="n"/>
      <c r="T2467" s="215" t="n"/>
      <c r="U2467" s="215" t="n"/>
      <c r="V2467" s="215" t="n"/>
      <c r="W2467" s="215" t="n"/>
      <c r="X2467" s="215" t="n"/>
      <c r="Y2467" s="215" t="n"/>
      <c r="Z2467" s="215" t="n"/>
      <c r="AA2467" s="215" t="n"/>
      <c r="AB2467" s="215" t="n"/>
      <c r="AC2467" s="215" t="n"/>
      <c r="AD2467" s="215" t="n"/>
      <c r="AE2467" s="215" t="n"/>
      <c r="AF2467" s="215" t="n"/>
      <c r="AG2467" s="215" t="n"/>
      <c r="AH2467" s="215" t="n"/>
      <c r="AI2467" s="215" t="n"/>
      <c r="AJ2467" s="215" t="n"/>
      <c r="AK2467" s="216" t="n"/>
    </row>
    <row r="2468" ht="15" customHeight="1">
      <c r="B2468" s="134" t="n"/>
      <c r="C2468" s="105" t="n"/>
      <c r="D2468" s="105" t="n"/>
      <c r="E2468" s="105" t="n"/>
      <c r="F2468" s="105" t="n"/>
      <c r="G2468" s="105" t="n"/>
      <c r="H2468" s="2" t="n"/>
      <c r="I2468" s="105" t="n"/>
      <c r="K2468" s="215" t="n"/>
      <c r="L2468" s="215" t="n"/>
      <c r="M2468" s="215" t="n"/>
      <c r="N2468" s="215" t="n"/>
      <c r="O2468" s="215" t="n"/>
      <c r="P2468" s="215" t="n"/>
      <c r="Q2468" s="215" t="n"/>
      <c r="R2468" s="215" t="n"/>
      <c r="S2468" s="215" t="n"/>
      <c r="T2468" s="215" t="n"/>
      <c r="U2468" s="215" t="n"/>
      <c r="V2468" s="215" t="n"/>
      <c r="W2468" s="215" t="n"/>
      <c r="X2468" s="215" t="n"/>
      <c r="Y2468" s="215" t="n"/>
      <c r="Z2468" s="215" t="n"/>
      <c r="AA2468" s="215" t="n"/>
      <c r="AB2468" s="215" t="n"/>
      <c r="AC2468" s="215" t="n"/>
      <c r="AD2468" s="215" t="n"/>
      <c r="AE2468" s="215" t="n"/>
      <c r="AF2468" s="215" t="n"/>
      <c r="AG2468" s="215" t="n"/>
      <c r="AH2468" s="215" t="n"/>
      <c r="AI2468" s="215" t="n"/>
      <c r="AJ2468" s="215" t="n"/>
      <c r="AK2468" s="216" t="n"/>
    </row>
    <row r="2469" ht="15" customHeight="1">
      <c r="B2469" s="134" t="n"/>
      <c r="C2469" s="105" t="n"/>
      <c r="D2469" s="105" t="n"/>
      <c r="E2469" s="105" t="n"/>
      <c r="F2469" s="105" t="n"/>
      <c r="G2469" s="105" t="n"/>
      <c r="H2469" s="2" t="n"/>
      <c r="I2469" s="105" t="n"/>
      <c r="K2469" s="215" t="n"/>
      <c r="L2469" s="215" t="n"/>
      <c r="M2469" s="215" t="n"/>
      <c r="N2469" s="215" t="n"/>
      <c r="O2469" s="215" t="n"/>
      <c r="P2469" s="215" t="n"/>
      <c r="Q2469" s="215" t="n"/>
      <c r="R2469" s="215" t="n"/>
      <c r="S2469" s="215" t="n"/>
      <c r="T2469" s="215" t="n"/>
      <c r="U2469" s="215" t="n"/>
      <c r="V2469" s="215" t="n"/>
      <c r="W2469" s="215" t="n"/>
      <c r="X2469" s="215" t="n"/>
      <c r="Y2469" s="215" t="n"/>
      <c r="Z2469" s="215" t="n"/>
      <c r="AA2469" s="215" t="n"/>
      <c r="AB2469" s="215" t="n"/>
      <c r="AC2469" s="215" t="n"/>
      <c r="AD2469" s="215" t="n"/>
      <c r="AE2469" s="215" t="n"/>
      <c r="AF2469" s="215" t="n"/>
      <c r="AG2469" s="215" t="n"/>
      <c r="AH2469" s="215" t="n"/>
      <c r="AI2469" s="215" t="n"/>
      <c r="AJ2469" s="215" t="n"/>
      <c r="AK2469" s="216" t="n"/>
    </row>
    <row r="2470" ht="15" customHeight="1">
      <c r="B2470" s="134" t="n"/>
      <c r="C2470" s="105" t="n"/>
      <c r="D2470" s="105" t="n"/>
      <c r="E2470" s="105" t="n"/>
      <c r="F2470" s="105" t="n"/>
      <c r="G2470" s="105" t="n"/>
      <c r="H2470" s="2" t="n"/>
      <c r="I2470" s="105" t="n"/>
      <c r="K2470" s="215" t="n"/>
      <c r="L2470" s="215" t="n"/>
      <c r="M2470" s="215" t="n"/>
      <c r="N2470" s="215" t="n"/>
      <c r="O2470" s="215" t="n"/>
      <c r="P2470" s="215" t="n"/>
      <c r="Q2470" s="215" t="n"/>
      <c r="R2470" s="215" t="n"/>
      <c r="S2470" s="215" t="n"/>
      <c r="T2470" s="215" t="n"/>
      <c r="U2470" s="215" t="n"/>
      <c r="V2470" s="215" t="n"/>
      <c r="W2470" s="215" t="n"/>
      <c r="X2470" s="215" t="n"/>
      <c r="Y2470" s="215" t="n"/>
      <c r="Z2470" s="215" t="n"/>
      <c r="AA2470" s="215" t="n"/>
      <c r="AB2470" s="215" t="n"/>
      <c r="AC2470" s="215" t="n"/>
      <c r="AD2470" s="215" t="n"/>
      <c r="AE2470" s="215" t="n"/>
      <c r="AF2470" s="215" t="n"/>
      <c r="AG2470" s="215" t="n"/>
      <c r="AH2470" s="215" t="n"/>
      <c r="AI2470" s="215" t="n"/>
      <c r="AJ2470" s="215" t="n"/>
      <c r="AK2470" s="216" t="n"/>
    </row>
    <row r="2471" ht="15" customHeight="1">
      <c r="B2471" s="134" t="n"/>
      <c r="C2471" s="105" t="n"/>
      <c r="D2471" s="105" t="n"/>
      <c r="E2471" s="105" t="n"/>
      <c r="F2471" s="105" t="n"/>
      <c r="G2471" s="105" t="n"/>
      <c r="H2471" s="2" t="n"/>
      <c r="I2471" s="105" t="n"/>
      <c r="K2471" s="215" t="n"/>
      <c r="L2471" s="215" t="n"/>
      <c r="M2471" s="215" t="n"/>
      <c r="N2471" s="215" t="n"/>
      <c r="O2471" s="215" t="n"/>
      <c r="P2471" s="215" t="n"/>
      <c r="Q2471" s="215" t="n"/>
      <c r="R2471" s="215" t="n"/>
      <c r="S2471" s="215" t="n"/>
      <c r="T2471" s="215" t="n"/>
      <c r="U2471" s="215" t="n"/>
      <c r="V2471" s="215" t="n"/>
      <c r="W2471" s="215" t="n"/>
      <c r="X2471" s="215" t="n"/>
      <c r="Y2471" s="215" t="n"/>
      <c r="Z2471" s="215" t="n"/>
      <c r="AA2471" s="215" t="n"/>
      <c r="AB2471" s="215" t="n"/>
      <c r="AC2471" s="215" t="n"/>
      <c r="AD2471" s="215" t="n"/>
      <c r="AE2471" s="215" t="n"/>
      <c r="AF2471" s="215" t="n"/>
      <c r="AG2471" s="215" t="n"/>
      <c r="AH2471" s="215" t="n"/>
      <c r="AI2471" s="215" t="n"/>
      <c r="AJ2471" s="215" t="n"/>
      <c r="AK2471" s="216" t="n"/>
    </row>
    <row r="2472" ht="15" customHeight="1">
      <c r="B2472" s="134" t="n"/>
      <c r="C2472" s="105" t="n"/>
      <c r="D2472" s="105" t="n"/>
      <c r="E2472" s="105" t="n"/>
      <c r="F2472" s="105" t="n"/>
      <c r="G2472" s="105" t="n"/>
      <c r="H2472" s="2" t="n"/>
      <c r="I2472" s="105" t="n"/>
      <c r="K2472" s="215" t="n"/>
      <c r="L2472" s="215" t="n"/>
      <c r="M2472" s="215" t="n"/>
      <c r="N2472" s="215" t="n"/>
      <c r="O2472" s="215" t="n"/>
      <c r="P2472" s="215" t="n"/>
      <c r="Q2472" s="215" t="n"/>
      <c r="R2472" s="215" t="n"/>
      <c r="S2472" s="215" t="n"/>
      <c r="T2472" s="215" t="n"/>
      <c r="U2472" s="215" t="n"/>
      <c r="V2472" s="215" t="n"/>
      <c r="W2472" s="215" t="n"/>
      <c r="X2472" s="215" t="n"/>
      <c r="Y2472" s="215" t="n"/>
      <c r="Z2472" s="215" t="n"/>
      <c r="AA2472" s="215" t="n"/>
      <c r="AB2472" s="215" t="n"/>
      <c r="AC2472" s="215" t="n"/>
      <c r="AD2472" s="215" t="n"/>
      <c r="AE2472" s="215" t="n"/>
      <c r="AF2472" s="215" t="n"/>
      <c r="AG2472" s="215" t="n"/>
      <c r="AH2472" s="215" t="n"/>
      <c r="AI2472" s="215" t="n"/>
      <c r="AJ2472" s="215" t="n"/>
      <c r="AK2472" s="216" t="n"/>
    </row>
    <row r="2473" ht="15" customHeight="1">
      <c r="B2473" s="134" t="n"/>
      <c r="C2473" s="105" t="n"/>
      <c r="D2473" s="105" t="n"/>
      <c r="E2473" s="105" t="n"/>
      <c r="F2473" s="105" t="n"/>
      <c r="G2473" s="105" t="n"/>
      <c r="H2473" s="2" t="n"/>
      <c r="I2473" s="105" t="n"/>
      <c r="K2473" s="215" t="n"/>
      <c r="L2473" s="215" t="n"/>
      <c r="M2473" s="215" t="n"/>
      <c r="N2473" s="215" t="n"/>
      <c r="O2473" s="215" t="n"/>
      <c r="P2473" s="215" t="n"/>
      <c r="Q2473" s="215" t="n"/>
      <c r="R2473" s="215" t="n"/>
      <c r="S2473" s="215" t="n"/>
      <c r="T2473" s="215" t="n"/>
      <c r="U2473" s="215" t="n"/>
      <c r="V2473" s="215" t="n"/>
      <c r="W2473" s="215" t="n"/>
      <c r="X2473" s="215" t="n"/>
      <c r="Y2473" s="215" t="n"/>
      <c r="Z2473" s="215" t="n"/>
      <c r="AA2473" s="215" t="n"/>
      <c r="AB2473" s="215" t="n"/>
      <c r="AC2473" s="215" t="n"/>
      <c r="AD2473" s="215" t="n"/>
      <c r="AE2473" s="215" t="n"/>
      <c r="AF2473" s="215" t="n"/>
      <c r="AG2473" s="215" t="n"/>
      <c r="AH2473" s="215" t="n"/>
      <c r="AI2473" s="215" t="n"/>
      <c r="AJ2473" s="215" t="n"/>
      <c r="AK2473" s="216" t="n"/>
    </row>
    <row r="2474" ht="15" customHeight="1">
      <c r="B2474" s="134" t="n"/>
      <c r="C2474" s="105" t="n"/>
      <c r="D2474" s="105" t="n"/>
      <c r="E2474" s="105" t="n"/>
      <c r="F2474" s="105" t="n"/>
      <c r="G2474" s="105" t="n"/>
      <c r="H2474" s="2" t="n"/>
      <c r="I2474" s="105" t="n"/>
      <c r="K2474" s="215" t="n"/>
      <c r="L2474" s="215" t="n"/>
      <c r="M2474" s="215" t="n"/>
      <c r="N2474" s="215" t="n"/>
      <c r="O2474" s="215" t="n"/>
      <c r="P2474" s="215" t="n"/>
      <c r="Q2474" s="215" t="n"/>
      <c r="R2474" s="215" t="n"/>
      <c r="S2474" s="215" t="n"/>
      <c r="T2474" s="215" t="n"/>
      <c r="U2474" s="215" t="n"/>
      <c r="V2474" s="215" t="n"/>
      <c r="W2474" s="215" t="n"/>
      <c r="X2474" s="215" t="n"/>
      <c r="Y2474" s="215" t="n"/>
      <c r="Z2474" s="215" t="n"/>
      <c r="AA2474" s="215" t="n"/>
      <c r="AB2474" s="215" t="n"/>
      <c r="AC2474" s="215" t="n"/>
      <c r="AD2474" s="215" t="n"/>
      <c r="AE2474" s="215" t="n"/>
      <c r="AF2474" s="215" t="n"/>
      <c r="AG2474" s="215" t="n"/>
      <c r="AH2474" s="215" t="n"/>
      <c r="AI2474" s="215" t="n"/>
      <c r="AJ2474" s="215" t="n"/>
      <c r="AK2474" s="216" t="n"/>
    </row>
    <row r="2475" ht="15" customHeight="1">
      <c r="B2475" s="134" t="n"/>
      <c r="C2475" s="105" t="n"/>
      <c r="D2475" s="105" t="n"/>
      <c r="E2475" s="105" t="n"/>
      <c r="F2475" s="105" t="n"/>
      <c r="G2475" s="105" t="n"/>
      <c r="H2475" s="2" t="n"/>
      <c r="I2475" s="105" t="n"/>
      <c r="K2475" s="215" t="n"/>
      <c r="L2475" s="215" t="n"/>
      <c r="M2475" s="215" t="n"/>
      <c r="N2475" s="215" t="n"/>
      <c r="O2475" s="215" t="n"/>
      <c r="P2475" s="215" t="n"/>
      <c r="Q2475" s="215" t="n"/>
      <c r="R2475" s="215" t="n"/>
      <c r="S2475" s="215" t="n"/>
      <c r="T2475" s="215" t="n"/>
      <c r="U2475" s="215" t="n"/>
      <c r="V2475" s="215" t="n"/>
      <c r="W2475" s="215" t="n"/>
      <c r="X2475" s="215" t="n"/>
      <c r="Y2475" s="215" t="n"/>
      <c r="Z2475" s="215" t="n"/>
      <c r="AA2475" s="215" t="n"/>
      <c r="AB2475" s="215" t="n"/>
      <c r="AC2475" s="215" t="n"/>
      <c r="AD2475" s="215" t="n"/>
      <c r="AE2475" s="215" t="n"/>
      <c r="AF2475" s="215" t="n"/>
      <c r="AG2475" s="215" t="n"/>
      <c r="AH2475" s="215" t="n"/>
      <c r="AI2475" s="215" t="n"/>
      <c r="AJ2475" s="215" t="n"/>
      <c r="AK2475" s="216" t="n"/>
    </row>
    <row r="2476" ht="15" customHeight="1">
      <c r="B2476" s="134" t="n"/>
      <c r="C2476" s="105" t="n"/>
      <c r="D2476" s="105" t="n"/>
      <c r="E2476" s="105" t="n"/>
      <c r="F2476" s="105" t="n"/>
      <c r="G2476" s="105" t="n"/>
      <c r="H2476" s="2" t="n"/>
      <c r="I2476" s="105" t="n"/>
      <c r="K2476" s="215" t="n"/>
      <c r="L2476" s="215" t="n"/>
      <c r="M2476" s="215" t="n"/>
      <c r="N2476" s="215" t="n"/>
      <c r="O2476" s="215" t="n"/>
      <c r="P2476" s="215" t="n"/>
      <c r="Q2476" s="215" t="n"/>
      <c r="R2476" s="215" t="n"/>
      <c r="S2476" s="215" t="n"/>
      <c r="T2476" s="215" t="n"/>
      <c r="U2476" s="215" t="n"/>
      <c r="V2476" s="215" t="n"/>
      <c r="W2476" s="215" t="n"/>
      <c r="X2476" s="215" t="n"/>
      <c r="Y2476" s="215" t="n"/>
      <c r="Z2476" s="215" t="n"/>
      <c r="AA2476" s="215" t="n"/>
      <c r="AB2476" s="215" t="n"/>
      <c r="AC2476" s="215" t="n"/>
      <c r="AD2476" s="215" t="n"/>
      <c r="AE2476" s="215" t="n"/>
      <c r="AF2476" s="215" t="n"/>
      <c r="AG2476" s="215" t="n"/>
      <c r="AH2476" s="215" t="n"/>
      <c r="AI2476" s="215" t="n"/>
      <c r="AJ2476" s="215" t="n"/>
      <c r="AK2476" s="216" t="n"/>
    </row>
    <row r="2477" ht="15" customHeight="1">
      <c r="B2477" s="134" t="n"/>
      <c r="C2477" s="105" t="n"/>
      <c r="D2477" s="105" t="n"/>
      <c r="E2477" s="105" t="n"/>
      <c r="F2477" s="105" t="n"/>
      <c r="G2477" s="105" t="n"/>
      <c r="H2477" s="2" t="n"/>
      <c r="I2477" s="105" t="n"/>
      <c r="K2477" s="215" t="n"/>
      <c r="L2477" s="215" t="n"/>
      <c r="M2477" s="215" t="n"/>
      <c r="N2477" s="215" t="n"/>
      <c r="O2477" s="215" t="n"/>
      <c r="P2477" s="215" t="n"/>
      <c r="Q2477" s="215" t="n"/>
      <c r="R2477" s="215" t="n"/>
      <c r="S2477" s="215" t="n"/>
      <c r="T2477" s="215" t="n"/>
      <c r="U2477" s="215" t="n"/>
      <c r="V2477" s="215" t="n"/>
      <c r="W2477" s="215" t="n"/>
      <c r="X2477" s="215" t="n"/>
      <c r="Y2477" s="215" t="n"/>
      <c r="Z2477" s="215" t="n"/>
      <c r="AA2477" s="215" t="n"/>
      <c r="AB2477" s="215" t="n"/>
      <c r="AC2477" s="215" t="n"/>
      <c r="AD2477" s="215" t="n"/>
      <c r="AE2477" s="215" t="n"/>
      <c r="AF2477" s="215" t="n"/>
      <c r="AG2477" s="215" t="n"/>
      <c r="AH2477" s="215" t="n"/>
      <c r="AI2477" s="215" t="n"/>
      <c r="AJ2477" s="215" t="n"/>
      <c r="AK2477" s="216" t="n"/>
    </row>
    <row r="2478" ht="15" customHeight="1">
      <c r="B2478" s="134" t="n"/>
      <c r="C2478" s="105" t="n"/>
      <c r="D2478" s="105" t="n"/>
      <c r="E2478" s="105" t="n"/>
      <c r="F2478" s="105" t="n"/>
      <c r="G2478" s="105" t="n"/>
      <c r="H2478" s="2" t="n"/>
      <c r="I2478" s="105" t="n"/>
      <c r="K2478" s="215" t="n"/>
      <c r="L2478" s="215" t="n"/>
      <c r="M2478" s="215" t="n"/>
      <c r="N2478" s="215" t="n"/>
      <c r="O2478" s="215" t="n"/>
      <c r="P2478" s="215" t="n"/>
      <c r="Q2478" s="215" t="n"/>
      <c r="R2478" s="215" t="n"/>
      <c r="S2478" s="215" t="n"/>
      <c r="T2478" s="215" t="n"/>
      <c r="U2478" s="215" t="n"/>
      <c r="V2478" s="215" t="n"/>
      <c r="W2478" s="215" t="n"/>
      <c r="X2478" s="215" t="n"/>
      <c r="Y2478" s="215" t="n"/>
      <c r="Z2478" s="215" t="n"/>
      <c r="AA2478" s="215" t="n"/>
      <c r="AB2478" s="215" t="n"/>
      <c r="AC2478" s="215" t="n"/>
      <c r="AD2478" s="215" t="n"/>
      <c r="AE2478" s="215" t="n"/>
      <c r="AF2478" s="215" t="n"/>
      <c r="AG2478" s="215" t="n"/>
      <c r="AH2478" s="215" t="n"/>
      <c r="AI2478" s="215" t="n"/>
      <c r="AJ2478" s="215" t="n"/>
      <c r="AK2478" s="216" t="n"/>
    </row>
    <row r="2479" ht="15" customHeight="1">
      <c r="B2479" s="134" t="n"/>
      <c r="C2479" s="105" t="n"/>
      <c r="D2479" s="105" t="n"/>
      <c r="E2479" s="105" t="n"/>
      <c r="F2479" s="105" t="n"/>
      <c r="G2479" s="105" t="n"/>
      <c r="H2479" s="2" t="n"/>
      <c r="I2479" s="105" t="n"/>
      <c r="K2479" s="215" t="n"/>
      <c r="L2479" s="215" t="n"/>
      <c r="M2479" s="215" t="n"/>
      <c r="N2479" s="215" t="n"/>
      <c r="O2479" s="215" t="n"/>
      <c r="P2479" s="215" t="n"/>
      <c r="Q2479" s="215" t="n"/>
      <c r="R2479" s="215" t="n"/>
      <c r="S2479" s="215" t="n"/>
      <c r="T2479" s="215" t="n"/>
      <c r="U2479" s="215" t="n"/>
      <c r="V2479" s="215" t="n"/>
      <c r="W2479" s="215" t="n"/>
      <c r="X2479" s="215" t="n"/>
      <c r="Y2479" s="215" t="n"/>
      <c r="Z2479" s="215" t="n"/>
      <c r="AA2479" s="215" t="n"/>
      <c r="AB2479" s="215" t="n"/>
      <c r="AC2479" s="215" t="n"/>
      <c r="AD2479" s="215" t="n"/>
      <c r="AE2479" s="215" t="n"/>
      <c r="AF2479" s="215" t="n"/>
      <c r="AG2479" s="215" t="n"/>
      <c r="AH2479" s="215" t="n"/>
      <c r="AI2479" s="215" t="n"/>
      <c r="AJ2479" s="215" t="n"/>
      <c r="AK2479" s="216" t="n"/>
    </row>
    <row r="2480" ht="15" customHeight="1">
      <c r="B2480" s="134" t="n"/>
      <c r="C2480" s="105" t="n"/>
      <c r="D2480" s="105" t="n"/>
      <c r="E2480" s="105" t="n"/>
      <c r="F2480" s="105" t="n"/>
      <c r="G2480" s="105" t="n"/>
      <c r="H2480" s="2" t="n"/>
      <c r="I2480" s="105" t="n"/>
      <c r="K2480" s="215" t="n"/>
      <c r="L2480" s="215" t="n"/>
      <c r="M2480" s="215" t="n"/>
      <c r="N2480" s="215" t="n"/>
      <c r="O2480" s="215" t="n"/>
      <c r="P2480" s="215" t="n"/>
      <c r="Q2480" s="215" t="n"/>
      <c r="R2480" s="215" t="n"/>
      <c r="S2480" s="215" t="n"/>
      <c r="T2480" s="215" t="n"/>
      <c r="U2480" s="215" t="n"/>
      <c r="V2480" s="215" t="n"/>
      <c r="W2480" s="215" t="n"/>
      <c r="X2480" s="215" t="n"/>
      <c r="Y2480" s="215" t="n"/>
      <c r="Z2480" s="215" t="n"/>
      <c r="AA2480" s="215" t="n"/>
      <c r="AB2480" s="215" t="n"/>
      <c r="AC2480" s="215" t="n"/>
      <c r="AD2480" s="215" t="n"/>
      <c r="AE2480" s="215" t="n"/>
      <c r="AF2480" s="215" t="n"/>
      <c r="AG2480" s="215" t="n"/>
      <c r="AH2480" s="215" t="n"/>
      <c r="AI2480" s="215" t="n"/>
      <c r="AJ2480" s="215" t="n"/>
      <c r="AK2480" s="216" t="n"/>
    </row>
    <row r="2481" ht="15" customHeight="1">
      <c r="B2481" s="134" t="n"/>
      <c r="C2481" s="105" t="n"/>
      <c r="D2481" s="105" t="n"/>
      <c r="E2481" s="105" t="n"/>
      <c r="F2481" s="105" t="n"/>
      <c r="G2481" s="105" t="n"/>
      <c r="H2481" s="2" t="n"/>
      <c r="I2481" s="105" t="n"/>
      <c r="K2481" s="215" t="n"/>
      <c r="L2481" s="215" t="n"/>
      <c r="M2481" s="215" t="n"/>
      <c r="N2481" s="215" t="n"/>
      <c r="O2481" s="215" t="n"/>
      <c r="P2481" s="215" t="n"/>
      <c r="Q2481" s="215" t="n"/>
      <c r="R2481" s="215" t="n"/>
      <c r="S2481" s="215" t="n"/>
      <c r="T2481" s="215" t="n"/>
      <c r="U2481" s="215" t="n"/>
      <c r="V2481" s="215" t="n"/>
      <c r="W2481" s="215" t="n"/>
      <c r="X2481" s="215" t="n"/>
      <c r="Y2481" s="215" t="n"/>
      <c r="Z2481" s="215" t="n"/>
      <c r="AA2481" s="215" t="n"/>
      <c r="AB2481" s="215" t="n"/>
      <c r="AC2481" s="215" t="n"/>
      <c r="AD2481" s="215" t="n"/>
      <c r="AE2481" s="215" t="n"/>
      <c r="AF2481" s="215" t="n"/>
      <c r="AG2481" s="215" t="n"/>
      <c r="AH2481" s="215" t="n"/>
      <c r="AI2481" s="215" t="n"/>
      <c r="AJ2481" s="215" t="n"/>
      <c r="AK2481" s="216" t="n"/>
    </row>
    <row r="2482" ht="15" customHeight="1">
      <c r="B2482" s="134" t="n"/>
      <c r="C2482" s="105" t="n"/>
      <c r="D2482" s="105" t="n"/>
      <c r="E2482" s="105" t="n"/>
      <c r="F2482" s="105" t="n"/>
      <c r="G2482" s="105" t="n"/>
      <c r="H2482" s="2" t="n"/>
      <c r="I2482" s="105" t="n"/>
      <c r="K2482" s="215" t="n"/>
      <c r="L2482" s="215" t="n"/>
      <c r="M2482" s="215" t="n"/>
      <c r="N2482" s="215" t="n"/>
      <c r="O2482" s="215" t="n"/>
      <c r="P2482" s="215" t="n"/>
      <c r="Q2482" s="215" t="n"/>
      <c r="R2482" s="215" t="n"/>
      <c r="S2482" s="215" t="n"/>
      <c r="T2482" s="215" t="n"/>
      <c r="U2482" s="215" t="n"/>
      <c r="V2482" s="215" t="n"/>
      <c r="W2482" s="215" t="n"/>
      <c r="X2482" s="215" t="n"/>
      <c r="Y2482" s="215" t="n"/>
      <c r="Z2482" s="215" t="n"/>
      <c r="AA2482" s="215" t="n"/>
      <c r="AB2482" s="215" t="n"/>
      <c r="AC2482" s="215" t="n"/>
      <c r="AD2482" s="215" t="n"/>
      <c r="AE2482" s="215" t="n"/>
      <c r="AF2482" s="215" t="n"/>
      <c r="AG2482" s="215" t="n"/>
      <c r="AH2482" s="215" t="n"/>
      <c r="AI2482" s="215" t="n"/>
      <c r="AJ2482" s="215" t="n"/>
      <c r="AK2482" s="216" t="n"/>
    </row>
    <row r="2483" ht="15" customHeight="1">
      <c r="B2483" s="134" t="n"/>
      <c r="C2483" s="105" t="n"/>
      <c r="D2483" s="105" t="n"/>
      <c r="E2483" s="105" t="n"/>
      <c r="F2483" s="105" t="n"/>
      <c r="G2483" s="105" t="n"/>
      <c r="H2483" s="2" t="n"/>
      <c r="I2483" s="105" t="n"/>
      <c r="K2483" s="215" t="n"/>
      <c r="L2483" s="215" t="n"/>
      <c r="M2483" s="215" t="n"/>
      <c r="N2483" s="215" t="n"/>
      <c r="O2483" s="215" t="n"/>
      <c r="P2483" s="215" t="n"/>
      <c r="Q2483" s="215" t="n"/>
      <c r="R2483" s="215" t="n"/>
      <c r="S2483" s="215" t="n"/>
      <c r="T2483" s="215" t="n"/>
      <c r="U2483" s="215" t="n"/>
      <c r="V2483" s="215" t="n"/>
      <c r="W2483" s="215" t="n"/>
      <c r="X2483" s="215" t="n"/>
      <c r="Y2483" s="215" t="n"/>
      <c r="Z2483" s="215" t="n"/>
      <c r="AA2483" s="215" t="n"/>
      <c r="AB2483" s="215" t="n"/>
      <c r="AC2483" s="215" t="n"/>
      <c r="AD2483" s="215" t="n"/>
      <c r="AE2483" s="215" t="n"/>
      <c r="AF2483" s="215" t="n"/>
      <c r="AG2483" s="215" t="n"/>
      <c r="AH2483" s="215" t="n"/>
      <c r="AI2483" s="215" t="n"/>
      <c r="AJ2483" s="215" t="n"/>
      <c r="AK2483" s="216" t="n"/>
    </row>
    <row r="2484" ht="15" customHeight="1">
      <c r="B2484" s="134" t="n"/>
      <c r="C2484" s="105" t="n"/>
      <c r="D2484" s="105" t="n"/>
      <c r="E2484" s="105" t="n"/>
      <c r="F2484" s="105" t="n"/>
      <c r="G2484" s="105" t="n"/>
      <c r="H2484" s="2" t="n"/>
      <c r="I2484" s="105" t="n"/>
      <c r="K2484" s="215" t="n"/>
      <c r="L2484" s="215" t="n"/>
      <c r="M2484" s="215" t="n"/>
      <c r="N2484" s="215" t="n"/>
      <c r="O2484" s="215" t="n"/>
      <c r="P2484" s="215" t="n"/>
      <c r="Q2484" s="215" t="n"/>
      <c r="R2484" s="215" t="n"/>
      <c r="S2484" s="215" t="n"/>
      <c r="T2484" s="215" t="n"/>
      <c r="U2484" s="215" t="n"/>
      <c r="V2484" s="215" t="n"/>
      <c r="W2484" s="215" t="n"/>
      <c r="X2484" s="215" t="n"/>
      <c r="Y2484" s="215" t="n"/>
      <c r="Z2484" s="215" t="n"/>
      <c r="AA2484" s="215" t="n"/>
      <c r="AB2484" s="215" t="n"/>
      <c r="AC2484" s="215" t="n"/>
      <c r="AD2484" s="215" t="n"/>
      <c r="AE2484" s="215" t="n"/>
      <c r="AF2484" s="215" t="n"/>
      <c r="AG2484" s="215" t="n"/>
      <c r="AH2484" s="215" t="n"/>
      <c r="AI2484" s="215" t="n"/>
      <c r="AJ2484" s="215" t="n"/>
      <c r="AK2484" s="216" t="n"/>
    </row>
    <row r="2485" ht="15" customHeight="1">
      <c r="B2485" s="134" t="n"/>
      <c r="C2485" s="105" t="n"/>
      <c r="D2485" s="105" t="n"/>
      <c r="E2485" s="105" t="n"/>
      <c r="F2485" s="105" t="n"/>
      <c r="G2485" s="105" t="n"/>
      <c r="H2485" s="2" t="n"/>
      <c r="I2485" s="105" t="n"/>
      <c r="K2485" s="215" t="n"/>
      <c r="L2485" s="215" t="n"/>
      <c r="M2485" s="215" t="n"/>
      <c r="N2485" s="215" t="n"/>
      <c r="O2485" s="215" t="n"/>
      <c r="P2485" s="215" t="n"/>
      <c r="Q2485" s="215" t="n"/>
      <c r="R2485" s="215" t="n"/>
      <c r="S2485" s="215" t="n"/>
      <c r="T2485" s="215" t="n"/>
      <c r="U2485" s="215" t="n"/>
      <c r="V2485" s="215" t="n"/>
      <c r="W2485" s="215" t="n"/>
      <c r="X2485" s="215" t="n"/>
      <c r="Y2485" s="215" t="n"/>
      <c r="Z2485" s="215" t="n"/>
      <c r="AA2485" s="215" t="n"/>
      <c r="AB2485" s="215" t="n"/>
      <c r="AC2485" s="215" t="n"/>
      <c r="AD2485" s="215" t="n"/>
      <c r="AE2485" s="215" t="n"/>
      <c r="AF2485" s="215" t="n"/>
      <c r="AG2485" s="215" t="n"/>
      <c r="AH2485" s="215" t="n"/>
      <c r="AI2485" s="215" t="n"/>
      <c r="AJ2485" s="215" t="n"/>
      <c r="AK2485" s="216" t="n"/>
    </row>
    <row r="2486" ht="15" customHeight="1">
      <c r="B2486" s="134" t="n"/>
      <c r="C2486" s="105" t="n"/>
      <c r="D2486" s="105" t="n"/>
      <c r="E2486" s="105" t="n"/>
      <c r="F2486" s="105" t="n"/>
      <c r="G2486" s="105" t="n"/>
      <c r="H2486" s="2" t="n"/>
      <c r="I2486" s="105" t="n"/>
      <c r="K2486" s="215" t="n"/>
      <c r="L2486" s="215" t="n"/>
      <c r="M2486" s="215" t="n"/>
      <c r="N2486" s="215" t="n"/>
      <c r="O2486" s="215" t="n"/>
      <c r="P2486" s="215" t="n"/>
      <c r="Q2486" s="215" t="n"/>
      <c r="R2486" s="215" t="n"/>
      <c r="S2486" s="215" t="n"/>
      <c r="T2486" s="215" t="n"/>
      <c r="U2486" s="215" t="n"/>
      <c r="V2486" s="215" t="n"/>
      <c r="W2486" s="215" t="n"/>
      <c r="X2486" s="215" t="n"/>
      <c r="Y2486" s="215" t="n"/>
      <c r="Z2486" s="215" t="n"/>
      <c r="AA2486" s="215" t="n"/>
      <c r="AB2486" s="215" t="n"/>
      <c r="AC2486" s="215" t="n"/>
      <c r="AD2486" s="215" t="n"/>
      <c r="AE2486" s="215" t="n"/>
      <c r="AF2486" s="215" t="n"/>
      <c r="AG2486" s="215" t="n"/>
      <c r="AH2486" s="215" t="n"/>
      <c r="AI2486" s="215" t="n"/>
      <c r="AJ2486" s="215" t="n"/>
      <c r="AK2486" s="216" t="n"/>
    </row>
    <row r="2487" ht="15" customHeight="1">
      <c r="B2487" s="134" t="n"/>
      <c r="C2487" s="105" t="n"/>
      <c r="D2487" s="105" t="n"/>
      <c r="E2487" s="105" t="n"/>
      <c r="F2487" s="105" t="n"/>
      <c r="G2487" s="105" t="n"/>
      <c r="H2487" s="2" t="n"/>
      <c r="I2487" s="105" t="n"/>
      <c r="K2487" s="215" t="n"/>
      <c r="L2487" s="215" t="n"/>
      <c r="M2487" s="215" t="n"/>
      <c r="N2487" s="215" t="n"/>
      <c r="O2487" s="215" t="n"/>
      <c r="P2487" s="215" t="n"/>
      <c r="Q2487" s="215" t="n"/>
      <c r="R2487" s="215" t="n"/>
      <c r="S2487" s="215" t="n"/>
      <c r="T2487" s="215" t="n"/>
      <c r="U2487" s="215" t="n"/>
      <c r="V2487" s="215" t="n"/>
      <c r="W2487" s="215" t="n"/>
      <c r="X2487" s="215" t="n"/>
      <c r="Y2487" s="215" t="n"/>
      <c r="Z2487" s="215" t="n"/>
      <c r="AA2487" s="215" t="n"/>
      <c r="AB2487" s="215" t="n"/>
      <c r="AC2487" s="215" t="n"/>
      <c r="AD2487" s="215" t="n"/>
      <c r="AE2487" s="215" t="n"/>
      <c r="AF2487" s="215" t="n"/>
      <c r="AG2487" s="215" t="n"/>
      <c r="AH2487" s="215" t="n"/>
      <c r="AI2487" s="215" t="n"/>
      <c r="AJ2487" s="215" t="n"/>
      <c r="AK2487" s="216" t="n"/>
    </row>
    <row r="2488" ht="15" customHeight="1">
      <c r="B2488" s="134" t="n"/>
      <c r="C2488" s="105" t="n"/>
      <c r="D2488" s="105" t="n"/>
      <c r="E2488" s="105" t="n"/>
      <c r="F2488" s="105" t="n"/>
      <c r="G2488" s="105" t="n"/>
      <c r="H2488" s="2" t="n"/>
      <c r="I2488" s="105" t="n"/>
      <c r="K2488" s="215" t="n"/>
      <c r="L2488" s="215" t="n"/>
      <c r="M2488" s="215" t="n"/>
      <c r="N2488" s="215" t="n"/>
      <c r="O2488" s="215" t="n"/>
      <c r="P2488" s="215" t="n"/>
      <c r="Q2488" s="215" t="n"/>
      <c r="R2488" s="215" t="n"/>
      <c r="S2488" s="215" t="n"/>
      <c r="T2488" s="215" t="n"/>
      <c r="U2488" s="215" t="n"/>
      <c r="V2488" s="215" t="n"/>
      <c r="W2488" s="215" t="n"/>
      <c r="X2488" s="215" t="n"/>
      <c r="Y2488" s="215" t="n"/>
      <c r="Z2488" s="215" t="n"/>
      <c r="AA2488" s="215" t="n"/>
      <c r="AB2488" s="215" t="n"/>
      <c r="AC2488" s="215" t="n"/>
      <c r="AD2488" s="215" t="n"/>
      <c r="AE2488" s="215" t="n"/>
      <c r="AF2488" s="215" t="n"/>
      <c r="AG2488" s="215" t="n"/>
      <c r="AH2488" s="215" t="n"/>
      <c r="AI2488" s="215" t="n"/>
      <c r="AJ2488" s="215" t="n"/>
      <c r="AK2488" s="216" t="n"/>
    </row>
    <row r="2489" ht="15" customHeight="1">
      <c r="B2489" s="134" t="n"/>
      <c r="C2489" s="105" t="n"/>
      <c r="D2489" s="105" t="n"/>
      <c r="E2489" s="105" t="n"/>
      <c r="F2489" s="105" t="n"/>
      <c r="G2489" s="105" t="n"/>
      <c r="H2489" s="2" t="n"/>
      <c r="I2489" s="105" t="n"/>
      <c r="K2489" s="215" t="n"/>
      <c r="L2489" s="215" t="n"/>
      <c r="M2489" s="215" t="n"/>
      <c r="N2489" s="215" t="n"/>
      <c r="O2489" s="215" t="n"/>
      <c r="P2489" s="215" t="n"/>
      <c r="Q2489" s="215" t="n"/>
      <c r="R2489" s="215" t="n"/>
      <c r="S2489" s="215" t="n"/>
      <c r="T2489" s="215" t="n"/>
      <c r="U2489" s="215" t="n"/>
      <c r="V2489" s="215" t="n"/>
      <c r="W2489" s="215" t="n"/>
      <c r="X2489" s="215" t="n"/>
      <c r="Y2489" s="215" t="n"/>
      <c r="Z2489" s="215" t="n"/>
      <c r="AA2489" s="215" t="n"/>
      <c r="AB2489" s="215" t="n"/>
      <c r="AC2489" s="215" t="n"/>
      <c r="AD2489" s="215" t="n"/>
      <c r="AE2489" s="215" t="n"/>
      <c r="AF2489" s="215" t="n"/>
      <c r="AG2489" s="215" t="n"/>
      <c r="AH2489" s="215" t="n"/>
      <c r="AI2489" s="215" t="n"/>
      <c r="AJ2489" s="215" t="n"/>
      <c r="AK2489" s="216" t="n"/>
    </row>
    <row r="2490" ht="15" customHeight="1">
      <c r="B2490" s="134" t="n"/>
      <c r="C2490" s="105" t="n"/>
      <c r="D2490" s="105" t="n"/>
      <c r="E2490" s="105" t="n"/>
      <c r="F2490" s="105" t="n"/>
      <c r="G2490" s="105" t="n"/>
      <c r="H2490" s="2" t="n"/>
      <c r="I2490" s="105" t="n"/>
      <c r="K2490" s="215" t="n"/>
      <c r="L2490" s="215" t="n"/>
      <c r="M2490" s="215" t="n"/>
      <c r="N2490" s="215" t="n"/>
      <c r="O2490" s="215" t="n"/>
      <c r="P2490" s="215" t="n"/>
      <c r="Q2490" s="215" t="n"/>
      <c r="R2490" s="215" t="n"/>
      <c r="S2490" s="215" t="n"/>
      <c r="T2490" s="215" t="n"/>
      <c r="U2490" s="215" t="n"/>
      <c r="V2490" s="215" t="n"/>
      <c r="W2490" s="215" t="n"/>
      <c r="X2490" s="215" t="n"/>
      <c r="Y2490" s="215" t="n"/>
      <c r="Z2490" s="215" t="n"/>
      <c r="AA2490" s="215" t="n"/>
      <c r="AB2490" s="215" t="n"/>
      <c r="AC2490" s="215" t="n"/>
      <c r="AD2490" s="215" t="n"/>
      <c r="AE2490" s="215" t="n"/>
      <c r="AF2490" s="215" t="n"/>
      <c r="AG2490" s="215" t="n"/>
      <c r="AH2490" s="215" t="n"/>
      <c r="AI2490" s="215" t="n"/>
      <c r="AJ2490" s="215" t="n"/>
      <c r="AK2490" s="216" t="n"/>
    </row>
    <row r="2491" ht="15" customHeight="1">
      <c r="B2491" s="134" t="n"/>
      <c r="C2491" s="105" t="n"/>
      <c r="D2491" s="105" t="n"/>
      <c r="E2491" s="105" t="n"/>
      <c r="F2491" s="105" t="n"/>
      <c r="G2491" s="105" t="n"/>
      <c r="H2491" s="2" t="n"/>
      <c r="I2491" s="105" t="n"/>
      <c r="K2491" s="215" t="n"/>
      <c r="L2491" s="215" t="n"/>
      <c r="M2491" s="215" t="n"/>
      <c r="N2491" s="215" t="n"/>
      <c r="O2491" s="215" t="n"/>
      <c r="P2491" s="215" t="n"/>
      <c r="Q2491" s="215" t="n"/>
      <c r="R2491" s="215" t="n"/>
      <c r="S2491" s="215" t="n"/>
      <c r="T2491" s="215" t="n"/>
      <c r="U2491" s="215" t="n"/>
      <c r="V2491" s="215" t="n"/>
      <c r="W2491" s="215" t="n"/>
      <c r="X2491" s="215" t="n"/>
      <c r="Y2491" s="215" t="n"/>
      <c r="Z2491" s="215" t="n"/>
      <c r="AA2491" s="215" t="n"/>
      <c r="AB2491" s="215" t="n"/>
      <c r="AC2491" s="215" t="n"/>
      <c r="AD2491" s="215" t="n"/>
      <c r="AE2491" s="215" t="n"/>
      <c r="AF2491" s="215" t="n"/>
      <c r="AG2491" s="215" t="n"/>
      <c r="AH2491" s="215" t="n"/>
      <c r="AI2491" s="215" t="n"/>
      <c r="AJ2491" s="215" t="n"/>
      <c r="AK2491" s="216" t="n"/>
    </row>
    <row r="2492" ht="15" customHeight="1">
      <c r="B2492" s="134" t="n"/>
      <c r="C2492" s="105" t="n"/>
      <c r="D2492" s="105" t="n"/>
      <c r="E2492" s="105" t="n"/>
      <c r="F2492" s="105" t="n"/>
      <c r="G2492" s="105" t="n"/>
      <c r="H2492" s="2" t="n"/>
      <c r="I2492" s="105" t="n"/>
      <c r="K2492" s="215" t="n"/>
      <c r="L2492" s="215" t="n"/>
      <c r="M2492" s="215" t="n"/>
      <c r="N2492" s="215" t="n"/>
      <c r="O2492" s="215" t="n"/>
      <c r="P2492" s="215" t="n"/>
      <c r="Q2492" s="215" t="n"/>
      <c r="R2492" s="215" t="n"/>
      <c r="S2492" s="215" t="n"/>
      <c r="T2492" s="215" t="n"/>
      <c r="U2492" s="215" t="n"/>
      <c r="V2492" s="215" t="n"/>
      <c r="W2492" s="215" t="n"/>
      <c r="X2492" s="215" t="n"/>
      <c r="Y2492" s="215" t="n"/>
      <c r="Z2492" s="215" t="n"/>
      <c r="AA2492" s="215" t="n"/>
      <c r="AB2492" s="215" t="n"/>
      <c r="AC2492" s="215" t="n"/>
      <c r="AD2492" s="215" t="n"/>
      <c r="AE2492" s="215" t="n"/>
      <c r="AF2492" s="215" t="n"/>
      <c r="AG2492" s="215" t="n"/>
      <c r="AH2492" s="215" t="n"/>
      <c r="AI2492" s="215" t="n"/>
      <c r="AJ2492" s="215" t="n"/>
      <c r="AK2492" s="216" t="n"/>
    </row>
    <row r="2493" ht="15" customHeight="1">
      <c r="B2493" s="134" t="n"/>
      <c r="C2493" s="105" t="n"/>
      <c r="D2493" s="105" t="n"/>
      <c r="E2493" s="105" t="n"/>
      <c r="F2493" s="105" t="n"/>
      <c r="G2493" s="105" t="n"/>
      <c r="H2493" s="2" t="n"/>
      <c r="I2493" s="105" t="n"/>
      <c r="K2493" s="215" t="n"/>
      <c r="L2493" s="215" t="n"/>
      <c r="M2493" s="215" t="n"/>
      <c r="N2493" s="215" t="n"/>
      <c r="O2493" s="215" t="n"/>
      <c r="P2493" s="215" t="n"/>
      <c r="Q2493" s="215" t="n"/>
      <c r="R2493" s="215" t="n"/>
      <c r="S2493" s="215" t="n"/>
      <c r="T2493" s="215" t="n"/>
      <c r="U2493" s="215" t="n"/>
      <c r="V2493" s="215" t="n"/>
      <c r="W2493" s="215" t="n"/>
      <c r="X2493" s="215" t="n"/>
      <c r="Y2493" s="215" t="n"/>
      <c r="Z2493" s="215" t="n"/>
      <c r="AA2493" s="215" t="n"/>
      <c r="AB2493" s="215" t="n"/>
      <c r="AC2493" s="215" t="n"/>
      <c r="AD2493" s="215" t="n"/>
      <c r="AE2493" s="215" t="n"/>
      <c r="AF2493" s="215" t="n"/>
      <c r="AG2493" s="215" t="n"/>
      <c r="AH2493" s="215" t="n"/>
      <c r="AI2493" s="215" t="n"/>
      <c r="AJ2493" s="215" t="n"/>
      <c r="AK2493" s="216" t="n"/>
    </row>
    <row r="2494" ht="15" customHeight="1">
      <c r="B2494" s="134" t="n"/>
      <c r="C2494" s="105" t="n"/>
      <c r="D2494" s="105" t="n"/>
      <c r="E2494" s="105" t="n"/>
      <c r="F2494" s="105" t="n"/>
      <c r="G2494" s="105" t="n"/>
      <c r="H2494" s="2" t="n"/>
      <c r="I2494" s="105" t="n"/>
      <c r="K2494" s="215" t="n"/>
      <c r="L2494" s="215" t="n"/>
      <c r="M2494" s="215" t="n"/>
      <c r="N2494" s="215" t="n"/>
      <c r="O2494" s="215" t="n"/>
      <c r="P2494" s="215" t="n"/>
      <c r="Q2494" s="215" t="n"/>
      <c r="R2494" s="215" t="n"/>
      <c r="S2494" s="215" t="n"/>
      <c r="T2494" s="215" t="n"/>
      <c r="U2494" s="215" t="n"/>
      <c r="V2494" s="215" t="n"/>
      <c r="W2494" s="215" t="n"/>
      <c r="X2494" s="215" t="n"/>
      <c r="Y2494" s="215" t="n"/>
      <c r="Z2494" s="215" t="n"/>
      <c r="AA2494" s="215" t="n"/>
      <c r="AB2494" s="215" t="n"/>
      <c r="AC2494" s="215" t="n"/>
      <c r="AD2494" s="215" t="n"/>
      <c r="AE2494" s="215" t="n"/>
      <c r="AF2494" s="215" t="n"/>
      <c r="AG2494" s="215" t="n"/>
      <c r="AH2494" s="215" t="n"/>
      <c r="AI2494" s="215" t="n"/>
      <c r="AJ2494" s="215" t="n"/>
      <c r="AK2494" s="216" t="n"/>
    </row>
    <row r="2495" ht="15" customHeight="1">
      <c r="B2495" s="134" t="n"/>
      <c r="C2495" s="105" t="n"/>
      <c r="D2495" s="105" t="n"/>
      <c r="E2495" s="105" t="n"/>
      <c r="F2495" s="105" t="n"/>
      <c r="G2495" s="105" t="n"/>
      <c r="H2495" s="2" t="n"/>
      <c r="I2495" s="105" t="n"/>
      <c r="K2495" s="215" t="n"/>
      <c r="L2495" s="215" t="n"/>
      <c r="M2495" s="215" t="n"/>
      <c r="N2495" s="215" t="n"/>
      <c r="O2495" s="215" t="n"/>
      <c r="P2495" s="215" t="n"/>
      <c r="Q2495" s="215" t="n"/>
      <c r="R2495" s="215" t="n"/>
      <c r="S2495" s="215" t="n"/>
      <c r="T2495" s="215" t="n"/>
      <c r="U2495" s="215" t="n"/>
      <c r="V2495" s="215" t="n"/>
      <c r="W2495" s="215" t="n"/>
      <c r="X2495" s="215" t="n"/>
      <c r="Y2495" s="215" t="n"/>
      <c r="Z2495" s="215" t="n"/>
      <c r="AA2495" s="215" t="n"/>
      <c r="AB2495" s="215" t="n"/>
      <c r="AC2495" s="215" t="n"/>
      <c r="AD2495" s="215" t="n"/>
      <c r="AE2495" s="215" t="n"/>
      <c r="AF2495" s="215" t="n"/>
      <c r="AG2495" s="215" t="n"/>
      <c r="AH2495" s="215" t="n"/>
      <c r="AI2495" s="215" t="n"/>
      <c r="AJ2495" s="215" t="n"/>
      <c r="AK2495" s="216" t="n"/>
    </row>
    <row r="2496" ht="15" customHeight="1">
      <c r="B2496" s="134" t="n"/>
      <c r="C2496" s="105" t="n"/>
      <c r="D2496" s="105" t="n"/>
      <c r="E2496" s="105" t="n"/>
      <c r="F2496" s="105" t="n"/>
      <c r="G2496" s="105" t="n"/>
      <c r="H2496" s="2" t="n"/>
      <c r="I2496" s="105" t="n"/>
      <c r="K2496" s="215" t="n"/>
      <c r="L2496" s="215" t="n"/>
      <c r="M2496" s="215" t="n"/>
      <c r="N2496" s="215" t="n"/>
      <c r="O2496" s="215" t="n"/>
      <c r="P2496" s="215" t="n"/>
      <c r="Q2496" s="215" t="n"/>
      <c r="R2496" s="215" t="n"/>
      <c r="S2496" s="215" t="n"/>
      <c r="T2496" s="215" t="n"/>
      <c r="U2496" s="215" t="n"/>
      <c r="V2496" s="215" t="n"/>
      <c r="W2496" s="215" t="n"/>
      <c r="X2496" s="215" t="n"/>
      <c r="Y2496" s="215" t="n"/>
      <c r="Z2496" s="215" t="n"/>
      <c r="AA2496" s="215" t="n"/>
      <c r="AB2496" s="215" t="n"/>
      <c r="AC2496" s="215" t="n"/>
      <c r="AD2496" s="215" t="n"/>
      <c r="AE2496" s="215" t="n"/>
      <c r="AF2496" s="215" t="n"/>
      <c r="AG2496" s="215" t="n"/>
      <c r="AH2496" s="215" t="n"/>
      <c r="AI2496" s="215" t="n"/>
      <c r="AJ2496" s="215" t="n"/>
      <c r="AK2496" s="216" t="n"/>
    </row>
    <row r="2497" ht="15" customHeight="1">
      <c r="B2497" s="134" t="n"/>
      <c r="C2497" s="105" t="n"/>
      <c r="D2497" s="105" t="n"/>
      <c r="E2497" s="105" t="n"/>
      <c r="F2497" s="105" t="n"/>
      <c r="G2497" s="105" t="n"/>
      <c r="H2497" s="2" t="n"/>
      <c r="I2497" s="105" t="n"/>
      <c r="K2497" s="215" t="n"/>
      <c r="L2497" s="215" t="n"/>
      <c r="M2497" s="215" t="n"/>
      <c r="N2497" s="215" t="n"/>
      <c r="O2497" s="215" t="n"/>
      <c r="P2497" s="215" t="n"/>
      <c r="Q2497" s="215" t="n"/>
      <c r="R2497" s="215" t="n"/>
      <c r="S2497" s="215" t="n"/>
      <c r="T2497" s="215" t="n"/>
      <c r="U2497" s="215" t="n"/>
      <c r="V2497" s="215" t="n"/>
      <c r="W2497" s="215" t="n"/>
      <c r="X2497" s="215" t="n"/>
      <c r="Y2497" s="215" t="n"/>
      <c r="Z2497" s="215" t="n"/>
      <c r="AA2497" s="215" t="n"/>
      <c r="AB2497" s="215" t="n"/>
      <c r="AC2497" s="215" t="n"/>
      <c r="AD2497" s="215" t="n"/>
      <c r="AE2497" s="215" t="n"/>
      <c r="AF2497" s="215" t="n"/>
      <c r="AG2497" s="215" t="n"/>
      <c r="AH2497" s="215" t="n"/>
      <c r="AI2497" s="215" t="n"/>
      <c r="AJ2497" s="215" t="n"/>
      <c r="AK2497" s="216" t="n"/>
    </row>
    <row r="2498" ht="15" customHeight="1">
      <c r="B2498" s="134" t="n"/>
      <c r="C2498" s="105" t="n"/>
      <c r="D2498" s="105" t="n"/>
      <c r="E2498" s="105" t="n"/>
      <c r="F2498" s="105" t="n"/>
      <c r="G2498" s="105" t="n"/>
      <c r="H2498" s="2" t="n"/>
      <c r="I2498" s="105" t="n"/>
      <c r="K2498" s="215" t="n"/>
      <c r="L2498" s="215" t="n"/>
      <c r="M2498" s="215" t="n"/>
      <c r="N2498" s="215" t="n"/>
      <c r="O2498" s="215" t="n"/>
      <c r="P2498" s="215" t="n"/>
      <c r="Q2498" s="215" t="n"/>
      <c r="R2498" s="215" t="n"/>
      <c r="S2498" s="215" t="n"/>
      <c r="T2498" s="215" t="n"/>
      <c r="U2498" s="215" t="n"/>
      <c r="V2498" s="215" t="n"/>
      <c r="W2498" s="215" t="n"/>
      <c r="X2498" s="215" t="n"/>
      <c r="Y2498" s="215" t="n"/>
      <c r="Z2498" s="215" t="n"/>
      <c r="AA2498" s="215" t="n"/>
      <c r="AB2498" s="215" t="n"/>
      <c r="AC2498" s="215" t="n"/>
      <c r="AD2498" s="215" t="n"/>
      <c r="AE2498" s="215" t="n"/>
      <c r="AF2498" s="215" t="n"/>
      <c r="AG2498" s="215" t="n"/>
      <c r="AH2498" s="215" t="n"/>
      <c r="AI2498" s="215" t="n"/>
      <c r="AJ2498" s="215" t="n"/>
      <c r="AK2498" s="216" t="n"/>
    </row>
    <row r="2499" ht="15" customHeight="1">
      <c r="B2499" s="134" t="n"/>
      <c r="C2499" s="105" t="n"/>
      <c r="D2499" s="105" t="n"/>
      <c r="E2499" s="105" t="n"/>
      <c r="F2499" s="105" t="n"/>
      <c r="G2499" s="105" t="n"/>
      <c r="H2499" s="2" t="n"/>
      <c r="I2499" s="105" t="n"/>
      <c r="K2499" s="215" t="n"/>
      <c r="L2499" s="215" t="n"/>
      <c r="M2499" s="215" t="n"/>
      <c r="N2499" s="215" t="n"/>
      <c r="O2499" s="215" t="n"/>
      <c r="P2499" s="215" t="n"/>
      <c r="Q2499" s="215" t="n"/>
      <c r="R2499" s="215" t="n"/>
      <c r="S2499" s="215" t="n"/>
      <c r="T2499" s="215" t="n"/>
      <c r="U2499" s="215" t="n"/>
      <c r="V2499" s="215" t="n"/>
      <c r="W2499" s="215" t="n"/>
      <c r="X2499" s="215" t="n"/>
      <c r="Y2499" s="215" t="n"/>
      <c r="Z2499" s="215" t="n"/>
      <c r="AA2499" s="215" t="n"/>
      <c r="AB2499" s="215" t="n"/>
      <c r="AC2499" s="215" t="n"/>
      <c r="AD2499" s="215" t="n"/>
      <c r="AE2499" s="215" t="n"/>
      <c r="AF2499" s="215" t="n"/>
      <c r="AG2499" s="215" t="n"/>
      <c r="AH2499" s="215" t="n"/>
      <c r="AI2499" s="215" t="n"/>
      <c r="AJ2499" s="215" t="n"/>
      <c r="AK2499" s="216" t="n"/>
    </row>
    <row r="2500" ht="15" customHeight="1">
      <c r="B2500" s="134" t="n"/>
      <c r="C2500" s="105" t="n"/>
      <c r="D2500" s="105" t="n"/>
      <c r="E2500" s="105" t="n"/>
      <c r="F2500" s="105" t="n"/>
      <c r="G2500" s="105" t="n"/>
      <c r="H2500" s="2" t="n"/>
      <c r="I2500" s="105" t="n"/>
      <c r="K2500" s="215" t="n"/>
      <c r="L2500" s="215" t="n"/>
      <c r="M2500" s="215" t="n"/>
      <c r="N2500" s="215" t="n"/>
      <c r="O2500" s="215" t="n"/>
      <c r="P2500" s="215" t="n"/>
      <c r="Q2500" s="215" t="n"/>
      <c r="R2500" s="215" t="n"/>
      <c r="S2500" s="215" t="n"/>
      <c r="T2500" s="215" t="n"/>
      <c r="U2500" s="215" t="n"/>
      <c r="V2500" s="215" t="n"/>
      <c r="W2500" s="215" t="n"/>
      <c r="X2500" s="215" t="n"/>
      <c r="Y2500" s="215" t="n"/>
      <c r="Z2500" s="215" t="n"/>
      <c r="AA2500" s="215" t="n"/>
      <c r="AB2500" s="215" t="n"/>
      <c r="AC2500" s="215" t="n"/>
      <c r="AD2500" s="215" t="n"/>
      <c r="AE2500" s="215" t="n"/>
      <c r="AF2500" s="215" t="n"/>
      <c r="AG2500" s="215" t="n"/>
      <c r="AH2500" s="215" t="n"/>
      <c r="AI2500" s="215" t="n"/>
      <c r="AJ2500" s="215" t="n"/>
      <c r="AK2500" s="216" t="n"/>
    </row>
    <row r="2501" ht="15" customHeight="1">
      <c r="B2501" s="134" t="n"/>
      <c r="C2501" s="105" t="n"/>
      <c r="D2501" s="105" t="n"/>
      <c r="E2501" s="105" t="n"/>
      <c r="F2501" s="105" t="n"/>
      <c r="G2501" s="105" t="n"/>
      <c r="H2501" s="2" t="n"/>
      <c r="I2501" s="105" t="n"/>
      <c r="K2501" s="215" t="n"/>
      <c r="L2501" s="215" t="n"/>
      <c r="M2501" s="215" t="n"/>
      <c r="N2501" s="215" t="n"/>
      <c r="O2501" s="215" t="n"/>
      <c r="P2501" s="215" t="n"/>
      <c r="Q2501" s="215" t="n"/>
      <c r="R2501" s="215" t="n"/>
      <c r="S2501" s="215" t="n"/>
      <c r="T2501" s="215" t="n"/>
      <c r="U2501" s="215" t="n"/>
      <c r="V2501" s="215" t="n"/>
      <c r="W2501" s="215" t="n"/>
      <c r="X2501" s="215" t="n"/>
      <c r="Y2501" s="215" t="n"/>
      <c r="Z2501" s="215" t="n"/>
      <c r="AA2501" s="215" t="n"/>
      <c r="AB2501" s="215" t="n"/>
      <c r="AC2501" s="215" t="n"/>
      <c r="AD2501" s="215" t="n"/>
      <c r="AE2501" s="215" t="n"/>
      <c r="AF2501" s="215" t="n"/>
      <c r="AG2501" s="215" t="n"/>
      <c r="AH2501" s="215" t="n"/>
      <c r="AI2501" s="215" t="n"/>
      <c r="AJ2501" s="215" t="n"/>
      <c r="AK2501" s="216" t="n"/>
    </row>
    <row r="2502" ht="15" customHeight="1">
      <c r="B2502" s="134" t="n"/>
      <c r="C2502" s="105" t="n"/>
      <c r="D2502" s="105" t="n"/>
      <c r="E2502" s="105" t="n"/>
      <c r="F2502" s="105" t="n"/>
      <c r="G2502" s="105" t="n"/>
      <c r="H2502" s="2" t="n"/>
      <c r="I2502" s="105" t="n"/>
      <c r="K2502" s="215" t="n"/>
      <c r="L2502" s="215" t="n"/>
      <c r="M2502" s="215" t="n"/>
      <c r="N2502" s="215" t="n"/>
      <c r="O2502" s="215" t="n"/>
      <c r="P2502" s="215" t="n"/>
      <c r="Q2502" s="215" t="n"/>
      <c r="R2502" s="215" t="n"/>
      <c r="S2502" s="215" t="n"/>
      <c r="T2502" s="215" t="n"/>
      <c r="U2502" s="215" t="n"/>
      <c r="V2502" s="215" t="n"/>
      <c r="W2502" s="215" t="n"/>
      <c r="X2502" s="215" t="n"/>
      <c r="Y2502" s="215" t="n"/>
      <c r="Z2502" s="215" t="n"/>
      <c r="AA2502" s="215" t="n"/>
      <c r="AB2502" s="215" t="n"/>
      <c r="AC2502" s="215" t="n"/>
      <c r="AD2502" s="215" t="n"/>
      <c r="AE2502" s="215" t="n"/>
      <c r="AF2502" s="215" t="n"/>
      <c r="AG2502" s="215" t="n"/>
      <c r="AH2502" s="215" t="n"/>
      <c r="AI2502" s="215" t="n"/>
      <c r="AJ2502" s="215" t="n"/>
      <c r="AK2502" s="216" t="n"/>
    </row>
    <row r="2503" ht="15" customHeight="1">
      <c r="B2503" s="134" t="n"/>
      <c r="C2503" s="105" t="n"/>
      <c r="D2503" s="105" t="n"/>
      <c r="E2503" s="105" t="n"/>
      <c r="F2503" s="105" t="n"/>
      <c r="G2503" s="105" t="n"/>
      <c r="H2503" s="2" t="n"/>
      <c r="I2503" s="105" t="n"/>
      <c r="K2503" s="215" t="n"/>
      <c r="L2503" s="215" t="n"/>
      <c r="M2503" s="215" t="n"/>
      <c r="N2503" s="215" t="n"/>
      <c r="O2503" s="215" t="n"/>
      <c r="P2503" s="215" t="n"/>
      <c r="Q2503" s="215" t="n"/>
      <c r="R2503" s="215" t="n"/>
      <c r="S2503" s="215" t="n"/>
      <c r="T2503" s="215" t="n"/>
      <c r="U2503" s="215" t="n"/>
      <c r="V2503" s="215" t="n"/>
      <c r="W2503" s="215" t="n"/>
      <c r="X2503" s="215" t="n"/>
      <c r="Y2503" s="215" t="n"/>
      <c r="Z2503" s="215" t="n"/>
      <c r="AA2503" s="215" t="n"/>
      <c r="AB2503" s="215" t="n"/>
      <c r="AC2503" s="215" t="n"/>
      <c r="AD2503" s="215" t="n"/>
      <c r="AE2503" s="215" t="n"/>
      <c r="AF2503" s="215" t="n"/>
      <c r="AG2503" s="215" t="n"/>
      <c r="AH2503" s="215" t="n"/>
      <c r="AI2503" s="215" t="n"/>
      <c r="AJ2503" s="215" t="n"/>
      <c r="AK2503" s="216" t="n"/>
    </row>
    <row r="2504" ht="15" customHeight="1">
      <c r="B2504" s="134" t="n"/>
      <c r="C2504" s="105" t="n"/>
      <c r="D2504" s="105" t="n"/>
      <c r="E2504" s="105" t="n"/>
      <c r="F2504" s="105" t="n"/>
      <c r="G2504" s="105" t="n"/>
      <c r="H2504" s="2" t="n"/>
      <c r="I2504" s="105" t="n"/>
      <c r="K2504" s="215" t="n"/>
      <c r="L2504" s="215" t="n"/>
      <c r="M2504" s="215" t="n"/>
      <c r="N2504" s="215" t="n"/>
      <c r="O2504" s="215" t="n"/>
      <c r="P2504" s="215" t="n"/>
      <c r="Q2504" s="215" t="n"/>
      <c r="R2504" s="215" t="n"/>
      <c r="S2504" s="215" t="n"/>
      <c r="T2504" s="215" t="n"/>
      <c r="U2504" s="215" t="n"/>
      <c r="V2504" s="215" t="n"/>
      <c r="W2504" s="215" t="n"/>
      <c r="X2504" s="215" t="n"/>
      <c r="Y2504" s="215" t="n"/>
      <c r="Z2504" s="215" t="n"/>
      <c r="AA2504" s="215" t="n"/>
      <c r="AB2504" s="215" t="n"/>
      <c r="AC2504" s="215" t="n"/>
      <c r="AD2504" s="215" t="n"/>
      <c r="AE2504" s="215" t="n"/>
      <c r="AF2504" s="215" t="n"/>
      <c r="AG2504" s="215" t="n"/>
      <c r="AH2504" s="215" t="n"/>
      <c r="AI2504" s="215" t="n"/>
      <c r="AJ2504" s="215" t="n"/>
      <c r="AK2504" s="216" t="n"/>
    </row>
    <row r="2505" ht="15" customHeight="1">
      <c r="B2505" s="134" t="n"/>
      <c r="C2505" s="105" t="n"/>
      <c r="D2505" s="105" t="n"/>
      <c r="E2505" s="105" t="n"/>
      <c r="F2505" s="105" t="n"/>
      <c r="G2505" s="105" t="n"/>
      <c r="H2505" s="2" t="n"/>
      <c r="I2505" s="105" t="n"/>
      <c r="K2505" s="215" t="n"/>
      <c r="L2505" s="215" t="n"/>
      <c r="M2505" s="215" t="n"/>
      <c r="N2505" s="215" t="n"/>
      <c r="O2505" s="215" t="n"/>
      <c r="P2505" s="215" t="n"/>
      <c r="Q2505" s="215" t="n"/>
      <c r="R2505" s="215" t="n"/>
      <c r="S2505" s="215" t="n"/>
      <c r="T2505" s="215" t="n"/>
      <c r="U2505" s="215" t="n"/>
      <c r="V2505" s="215" t="n"/>
      <c r="W2505" s="215" t="n"/>
      <c r="X2505" s="215" t="n"/>
      <c r="Y2505" s="215" t="n"/>
      <c r="Z2505" s="215" t="n"/>
      <c r="AA2505" s="215" t="n"/>
      <c r="AB2505" s="215" t="n"/>
      <c r="AC2505" s="215" t="n"/>
      <c r="AD2505" s="215" t="n"/>
      <c r="AE2505" s="215" t="n"/>
      <c r="AF2505" s="215" t="n"/>
      <c r="AG2505" s="215" t="n"/>
      <c r="AH2505" s="215" t="n"/>
      <c r="AI2505" s="215" t="n"/>
      <c r="AJ2505" s="215" t="n"/>
      <c r="AK2505" s="216" t="n"/>
    </row>
    <row r="2506" ht="15" customHeight="1">
      <c r="B2506" s="134" t="n"/>
      <c r="C2506" s="105" t="n"/>
      <c r="D2506" s="105" t="n"/>
      <c r="E2506" s="105" t="n"/>
      <c r="F2506" s="105" t="n"/>
      <c r="G2506" s="105" t="n"/>
      <c r="H2506" s="2" t="n"/>
      <c r="I2506" s="105" t="n"/>
      <c r="K2506" s="215" t="n"/>
      <c r="L2506" s="215" t="n"/>
      <c r="M2506" s="215" t="n"/>
      <c r="N2506" s="215" t="n"/>
      <c r="O2506" s="215" t="n"/>
      <c r="P2506" s="215" t="n"/>
      <c r="Q2506" s="215" t="n"/>
      <c r="R2506" s="215" t="n"/>
      <c r="S2506" s="215" t="n"/>
      <c r="T2506" s="215" t="n"/>
      <c r="U2506" s="215" t="n"/>
      <c r="V2506" s="215" t="n"/>
      <c r="W2506" s="215" t="n"/>
      <c r="X2506" s="215" t="n"/>
      <c r="Y2506" s="215" t="n"/>
      <c r="Z2506" s="215" t="n"/>
      <c r="AA2506" s="215" t="n"/>
      <c r="AB2506" s="215" t="n"/>
      <c r="AC2506" s="215" t="n"/>
      <c r="AD2506" s="215" t="n"/>
      <c r="AE2506" s="215" t="n"/>
      <c r="AF2506" s="215" t="n"/>
      <c r="AG2506" s="215" t="n"/>
      <c r="AH2506" s="215" t="n"/>
      <c r="AI2506" s="215" t="n"/>
      <c r="AJ2506" s="215" t="n"/>
      <c r="AK2506" s="216" t="n"/>
    </row>
    <row r="2507" ht="15" customHeight="1">
      <c r="B2507" s="134" t="n"/>
      <c r="C2507" s="105" t="n"/>
      <c r="D2507" s="105" t="n"/>
      <c r="E2507" s="105" t="n"/>
      <c r="F2507" s="105" t="n"/>
      <c r="G2507" s="105" t="n"/>
      <c r="H2507" s="2" t="n"/>
      <c r="I2507" s="105" t="n"/>
      <c r="K2507" s="215" t="n"/>
      <c r="L2507" s="215" t="n"/>
      <c r="M2507" s="215" t="n"/>
      <c r="N2507" s="215" t="n"/>
      <c r="O2507" s="215" t="n"/>
      <c r="P2507" s="215" t="n"/>
      <c r="Q2507" s="215" t="n"/>
      <c r="R2507" s="215" t="n"/>
      <c r="S2507" s="215" t="n"/>
      <c r="T2507" s="215" t="n"/>
      <c r="U2507" s="215" t="n"/>
      <c r="V2507" s="215" t="n"/>
      <c r="W2507" s="215" t="n"/>
      <c r="X2507" s="215" t="n"/>
      <c r="Y2507" s="215" t="n"/>
      <c r="Z2507" s="215" t="n"/>
      <c r="AA2507" s="215" t="n"/>
      <c r="AB2507" s="215" t="n"/>
      <c r="AC2507" s="215" t="n"/>
      <c r="AD2507" s="215" t="n"/>
      <c r="AE2507" s="215" t="n"/>
      <c r="AF2507" s="215" t="n"/>
      <c r="AG2507" s="215" t="n"/>
      <c r="AH2507" s="215" t="n"/>
      <c r="AI2507" s="215" t="n"/>
      <c r="AJ2507" s="215" t="n"/>
      <c r="AK2507" s="216" t="n"/>
    </row>
    <row r="2508" ht="15" customHeight="1">
      <c r="B2508" s="134" t="n"/>
      <c r="C2508" s="105" t="n"/>
      <c r="D2508" s="105" t="n"/>
      <c r="E2508" s="105" t="n"/>
      <c r="F2508" s="105" t="n"/>
      <c r="G2508" s="105" t="n"/>
      <c r="H2508" s="2" t="n"/>
      <c r="I2508" s="105" t="n"/>
      <c r="K2508" s="215" t="n"/>
      <c r="L2508" s="215" t="n"/>
      <c r="M2508" s="215" t="n"/>
      <c r="N2508" s="215" t="n"/>
      <c r="O2508" s="215" t="n"/>
      <c r="P2508" s="215" t="n"/>
      <c r="Q2508" s="215" t="n"/>
      <c r="R2508" s="215" t="n"/>
      <c r="S2508" s="215" t="n"/>
      <c r="T2508" s="215" t="n"/>
      <c r="U2508" s="215" t="n"/>
      <c r="V2508" s="215" t="n"/>
      <c r="W2508" s="215" t="n"/>
      <c r="X2508" s="215" t="n"/>
      <c r="Y2508" s="215" t="n"/>
      <c r="Z2508" s="215" t="n"/>
      <c r="AA2508" s="215" t="n"/>
      <c r="AB2508" s="215" t="n"/>
      <c r="AC2508" s="215" t="n"/>
      <c r="AD2508" s="215" t="n"/>
      <c r="AE2508" s="215" t="n"/>
      <c r="AF2508" s="215" t="n"/>
      <c r="AG2508" s="215" t="n"/>
      <c r="AH2508" s="215" t="n"/>
      <c r="AI2508" s="215" t="n"/>
      <c r="AJ2508" s="215" t="n"/>
      <c r="AK2508" s="216" t="n"/>
    </row>
    <row r="2509" ht="15" customHeight="1">
      <c r="B2509" s="134" t="n"/>
      <c r="C2509" s="105" t="n"/>
      <c r="D2509" s="105" t="n"/>
      <c r="E2509" s="105" t="n"/>
      <c r="F2509" s="105" t="n"/>
      <c r="G2509" s="105" t="n"/>
      <c r="H2509" s="2" t="n"/>
      <c r="I2509" s="105" t="n"/>
      <c r="K2509" s="215" t="n"/>
      <c r="L2509" s="215" t="n"/>
      <c r="M2509" s="215" t="n"/>
      <c r="N2509" s="215" t="n"/>
      <c r="O2509" s="215" t="n"/>
      <c r="P2509" s="215" t="n"/>
      <c r="Q2509" s="215" t="n"/>
      <c r="R2509" s="215" t="n"/>
      <c r="S2509" s="215" t="n"/>
      <c r="T2509" s="215" t="n"/>
      <c r="U2509" s="215" t="n"/>
      <c r="V2509" s="215" t="n"/>
      <c r="W2509" s="215" t="n"/>
      <c r="X2509" s="215" t="n"/>
      <c r="Y2509" s="215" t="n"/>
      <c r="Z2509" s="215" t="n"/>
      <c r="AA2509" s="215" t="n"/>
      <c r="AB2509" s="215" t="n"/>
      <c r="AC2509" s="215" t="n"/>
      <c r="AD2509" s="215" t="n"/>
      <c r="AE2509" s="215" t="n"/>
      <c r="AF2509" s="215" t="n"/>
      <c r="AG2509" s="215" t="n"/>
      <c r="AH2509" s="215" t="n"/>
      <c r="AI2509" s="215" t="n"/>
      <c r="AJ2509" s="215" t="n"/>
      <c r="AK2509" s="216" t="n"/>
    </row>
    <row r="2510" ht="15" customHeight="1">
      <c r="B2510" s="134" t="n"/>
      <c r="C2510" s="105" t="n"/>
      <c r="D2510" s="105" t="n"/>
      <c r="E2510" s="105" t="n"/>
      <c r="F2510" s="105" t="n"/>
      <c r="G2510" s="105" t="n"/>
      <c r="H2510" s="2" t="n"/>
      <c r="I2510" s="105" t="n"/>
      <c r="K2510" s="215" t="n"/>
      <c r="L2510" s="215" t="n"/>
      <c r="M2510" s="215" t="n"/>
      <c r="N2510" s="215" t="n"/>
      <c r="O2510" s="215" t="n"/>
      <c r="P2510" s="215" t="n"/>
      <c r="Q2510" s="215" t="n"/>
      <c r="R2510" s="215" t="n"/>
      <c r="S2510" s="215" t="n"/>
      <c r="T2510" s="215" t="n"/>
      <c r="U2510" s="215" t="n"/>
      <c r="V2510" s="215" t="n"/>
      <c r="W2510" s="215" t="n"/>
      <c r="X2510" s="215" t="n"/>
      <c r="Y2510" s="215" t="n"/>
      <c r="Z2510" s="215" t="n"/>
      <c r="AA2510" s="215" t="n"/>
      <c r="AB2510" s="215" t="n"/>
      <c r="AC2510" s="215" t="n"/>
      <c r="AD2510" s="215" t="n"/>
      <c r="AE2510" s="215" t="n"/>
      <c r="AF2510" s="215" t="n"/>
      <c r="AG2510" s="215" t="n"/>
      <c r="AH2510" s="215" t="n"/>
      <c r="AI2510" s="215" t="n"/>
      <c r="AJ2510" s="215" t="n"/>
      <c r="AK2510" s="216" t="n"/>
    </row>
    <row r="2511" ht="15" customHeight="1">
      <c r="B2511" s="134" t="n"/>
      <c r="C2511" s="105" t="n"/>
      <c r="D2511" s="105" t="n"/>
      <c r="E2511" s="105" t="n"/>
      <c r="F2511" s="105" t="n"/>
      <c r="G2511" s="105" t="n"/>
      <c r="H2511" s="2" t="n"/>
      <c r="I2511" s="105" t="n"/>
      <c r="K2511" s="215" t="n"/>
      <c r="L2511" s="215" t="n"/>
      <c r="M2511" s="215" t="n"/>
      <c r="N2511" s="215" t="n"/>
      <c r="O2511" s="215" t="n"/>
      <c r="P2511" s="215" t="n"/>
      <c r="Q2511" s="215" t="n"/>
      <c r="R2511" s="215" t="n"/>
      <c r="S2511" s="215" t="n"/>
      <c r="T2511" s="215" t="n"/>
      <c r="U2511" s="215" t="n"/>
      <c r="V2511" s="215" t="n"/>
      <c r="W2511" s="215" t="n"/>
      <c r="X2511" s="215" t="n"/>
      <c r="Y2511" s="215" t="n"/>
      <c r="Z2511" s="215" t="n"/>
      <c r="AA2511" s="215" t="n"/>
      <c r="AB2511" s="215" t="n"/>
      <c r="AC2511" s="215" t="n"/>
      <c r="AD2511" s="215" t="n"/>
      <c r="AE2511" s="215" t="n"/>
      <c r="AF2511" s="215" t="n"/>
      <c r="AG2511" s="215" t="n"/>
      <c r="AH2511" s="215" t="n"/>
      <c r="AI2511" s="215" t="n"/>
      <c r="AJ2511" s="215" t="n"/>
      <c r="AK2511" s="216" t="n"/>
    </row>
    <row r="2512" ht="15" customHeight="1">
      <c r="B2512" s="134" t="n"/>
      <c r="C2512" s="105" t="n"/>
      <c r="D2512" s="105" t="n"/>
      <c r="E2512" s="105" t="n"/>
      <c r="F2512" s="105" t="n"/>
      <c r="G2512" s="105" t="n"/>
      <c r="H2512" s="2" t="n"/>
      <c r="I2512" s="105" t="n"/>
      <c r="K2512" s="215" t="n"/>
      <c r="L2512" s="215" t="n"/>
      <c r="M2512" s="215" t="n"/>
      <c r="N2512" s="215" t="n"/>
      <c r="O2512" s="215" t="n"/>
      <c r="P2512" s="215" t="n"/>
      <c r="Q2512" s="215" t="n"/>
      <c r="R2512" s="215" t="n"/>
      <c r="S2512" s="215" t="n"/>
      <c r="T2512" s="215" t="n"/>
      <c r="U2512" s="215" t="n"/>
      <c r="V2512" s="215" t="n"/>
      <c r="W2512" s="215" t="n"/>
      <c r="X2512" s="215" t="n"/>
      <c r="Y2512" s="215" t="n"/>
      <c r="Z2512" s="215" t="n"/>
      <c r="AA2512" s="215" t="n"/>
      <c r="AB2512" s="215" t="n"/>
      <c r="AC2512" s="215" t="n"/>
      <c r="AD2512" s="215" t="n"/>
      <c r="AE2512" s="215" t="n"/>
      <c r="AF2512" s="215" t="n"/>
      <c r="AG2512" s="215" t="n"/>
      <c r="AH2512" s="215" t="n"/>
      <c r="AI2512" s="215" t="n"/>
      <c r="AJ2512" s="215" t="n"/>
      <c r="AK2512" s="216" t="n"/>
    </row>
    <row r="2513" ht="15" customHeight="1">
      <c r="B2513" s="134" t="n"/>
      <c r="C2513" s="105" t="n"/>
      <c r="D2513" s="105" t="n"/>
      <c r="E2513" s="105" t="n"/>
      <c r="F2513" s="105" t="n"/>
      <c r="G2513" s="105" t="n"/>
      <c r="H2513" s="2" t="n"/>
      <c r="I2513" s="105" t="n"/>
      <c r="K2513" s="215" t="n"/>
      <c r="L2513" s="215" t="n"/>
      <c r="M2513" s="215" t="n"/>
      <c r="N2513" s="215" t="n"/>
      <c r="O2513" s="215" t="n"/>
      <c r="P2513" s="215" t="n"/>
      <c r="Q2513" s="215" t="n"/>
      <c r="R2513" s="215" t="n"/>
      <c r="S2513" s="215" t="n"/>
      <c r="T2513" s="215" t="n"/>
      <c r="U2513" s="215" t="n"/>
      <c r="V2513" s="215" t="n"/>
      <c r="W2513" s="215" t="n"/>
      <c r="X2513" s="215" t="n"/>
      <c r="Y2513" s="215" t="n"/>
      <c r="Z2513" s="215" t="n"/>
      <c r="AA2513" s="215" t="n"/>
      <c r="AB2513" s="215" t="n"/>
      <c r="AC2513" s="215" t="n"/>
      <c r="AD2513" s="215" t="n"/>
      <c r="AE2513" s="215" t="n"/>
      <c r="AF2513" s="215" t="n"/>
      <c r="AG2513" s="215" t="n"/>
      <c r="AH2513" s="215" t="n"/>
      <c r="AI2513" s="215" t="n"/>
      <c r="AJ2513" s="215" t="n"/>
      <c r="AK2513" s="216" t="n"/>
    </row>
    <row r="2514" ht="15" customHeight="1">
      <c r="B2514" s="134" t="n"/>
      <c r="C2514" s="105" t="n"/>
      <c r="D2514" s="105" t="n"/>
      <c r="E2514" s="105" t="n"/>
      <c r="F2514" s="105" t="n"/>
      <c r="G2514" s="105" t="n"/>
      <c r="H2514" s="2" t="n"/>
      <c r="I2514" s="105" t="n"/>
      <c r="K2514" s="215" t="n"/>
      <c r="L2514" s="215" t="n"/>
      <c r="M2514" s="215" t="n"/>
      <c r="N2514" s="215" t="n"/>
      <c r="O2514" s="215" t="n"/>
      <c r="P2514" s="215" t="n"/>
      <c r="Q2514" s="215" t="n"/>
      <c r="R2514" s="215" t="n"/>
      <c r="S2514" s="215" t="n"/>
      <c r="T2514" s="215" t="n"/>
      <c r="U2514" s="215" t="n"/>
      <c r="V2514" s="215" t="n"/>
      <c r="W2514" s="215" t="n"/>
      <c r="X2514" s="215" t="n"/>
      <c r="Y2514" s="215" t="n"/>
      <c r="Z2514" s="215" t="n"/>
      <c r="AA2514" s="215" t="n"/>
      <c r="AB2514" s="215" t="n"/>
      <c r="AC2514" s="215" t="n"/>
      <c r="AD2514" s="215" t="n"/>
      <c r="AE2514" s="215" t="n"/>
      <c r="AF2514" s="215" t="n"/>
      <c r="AG2514" s="215" t="n"/>
      <c r="AH2514" s="215" t="n"/>
      <c r="AI2514" s="215" t="n"/>
      <c r="AJ2514" s="215" t="n"/>
      <c r="AK2514" s="216" t="n"/>
    </row>
    <row r="2515" ht="15" customHeight="1">
      <c r="B2515" s="134" t="n"/>
      <c r="C2515" s="105" t="n"/>
      <c r="D2515" s="105" t="n"/>
      <c r="E2515" s="105" t="n"/>
      <c r="F2515" s="105" t="n"/>
      <c r="G2515" s="105" t="n"/>
      <c r="H2515" s="2" t="n"/>
      <c r="I2515" s="105" t="n"/>
      <c r="K2515" s="215" t="n"/>
      <c r="L2515" s="215" t="n"/>
      <c r="M2515" s="215" t="n"/>
      <c r="N2515" s="215" t="n"/>
      <c r="O2515" s="215" t="n"/>
      <c r="P2515" s="215" t="n"/>
      <c r="Q2515" s="215" t="n"/>
      <c r="R2515" s="215" t="n"/>
      <c r="S2515" s="215" t="n"/>
      <c r="T2515" s="215" t="n"/>
      <c r="U2515" s="215" t="n"/>
      <c r="V2515" s="215" t="n"/>
      <c r="W2515" s="215" t="n"/>
      <c r="X2515" s="215" t="n"/>
      <c r="Y2515" s="215" t="n"/>
      <c r="Z2515" s="215" t="n"/>
      <c r="AA2515" s="215" t="n"/>
      <c r="AB2515" s="215" t="n"/>
      <c r="AC2515" s="215" t="n"/>
      <c r="AD2515" s="215" t="n"/>
      <c r="AE2515" s="215" t="n"/>
      <c r="AF2515" s="215" t="n"/>
      <c r="AG2515" s="215" t="n"/>
      <c r="AH2515" s="215" t="n"/>
      <c r="AI2515" s="215" t="n"/>
      <c r="AJ2515" s="215" t="n"/>
      <c r="AK2515" s="216" t="n"/>
    </row>
    <row r="2516" ht="15" customHeight="1">
      <c r="B2516" s="134" t="n"/>
      <c r="C2516" s="105" t="n"/>
      <c r="D2516" s="105" t="n"/>
      <c r="E2516" s="105" t="n"/>
      <c r="F2516" s="105" t="n"/>
      <c r="G2516" s="105" t="n"/>
      <c r="H2516" s="2" t="n"/>
      <c r="I2516" s="105" t="n"/>
      <c r="K2516" s="215" t="n"/>
      <c r="L2516" s="215" t="n"/>
      <c r="M2516" s="215" t="n"/>
      <c r="N2516" s="215" t="n"/>
      <c r="O2516" s="215" t="n"/>
      <c r="P2516" s="215" t="n"/>
      <c r="Q2516" s="215" t="n"/>
      <c r="R2516" s="215" t="n"/>
      <c r="S2516" s="215" t="n"/>
      <c r="T2516" s="215" t="n"/>
      <c r="U2516" s="215" t="n"/>
      <c r="V2516" s="215" t="n"/>
      <c r="W2516" s="215" t="n"/>
      <c r="X2516" s="215" t="n"/>
      <c r="Y2516" s="215" t="n"/>
      <c r="Z2516" s="215" t="n"/>
      <c r="AA2516" s="215" t="n"/>
      <c r="AB2516" s="215" t="n"/>
      <c r="AC2516" s="215" t="n"/>
      <c r="AD2516" s="215" t="n"/>
      <c r="AE2516" s="215" t="n"/>
      <c r="AF2516" s="215" t="n"/>
      <c r="AG2516" s="215" t="n"/>
      <c r="AH2516" s="215" t="n"/>
      <c r="AI2516" s="215" t="n"/>
      <c r="AJ2516" s="215" t="n"/>
      <c r="AK2516" s="216" t="n"/>
    </row>
    <row r="2517" ht="15" customHeight="1">
      <c r="B2517" s="134" t="n"/>
      <c r="C2517" s="105" t="n"/>
      <c r="D2517" s="105" t="n"/>
      <c r="E2517" s="105" t="n"/>
      <c r="F2517" s="105" t="n"/>
      <c r="G2517" s="105" t="n"/>
      <c r="H2517" s="2" t="n"/>
      <c r="I2517" s="105" t="n"/>
      <c r="K2517" s="215" t="n"/>
      <c r="L2517" s="215" t="n"/>
      <c r="M2517" s="215" t="n"/>
      <c r="N2517" s="215" t="n"/>
      <c r="O2517" s="215" t="n"/>
      <c r="P2517" s="215" t="n"/>
      <c r="Q2517" s="215" t="n"/>
      <c r="R2517" s="215" t="n"/>
      <c r="S2517" s="215" t="n"/>
      <c r="T2517" s="215" t="n"/>
      <c r="U2517" s="215" t="n"/>
      <c r="V2517" s="215" t="n"/>
      <c r="W2517" s="215" t="n"/>
      <c r="X2517" s="215" t="n"/>
      <c r="Y2517" s="215" t="n"/>
      <c r="Z2517" s="215" t="n"/>
      <c r="AA2517" s="215" t="n"/>
      <c r="AB2517" s="215" t="n"/>
      <c r="AC2517" s="215" t="n"/>
      <c r="AD2517" s="215" t="n"/>
      <c r="AE2517" s="215" t="n"/>
      <c r="AF2517" s="215" t="n"/>
      <c r="AG2517" s="215" t="n"/>
      <c r="AH2517" s="215" t="n"/>
      <c r="AI2517" s="215" t="n"/>
      <c r="AJ2517" s="215" t="n"/>
      <c r="AK2517" s="216" t="n"/>
    </row>
    <row r="2518" ht="15" customHeight="1">
      <c r="B2518" s="134" t="n"/>
      <c r="C2518" s="105" t="n"/>
      <c r="D2518" s="105" t="n"/>
      <c r="E2518" s="105" t="n"/>
      <c r="F2518" s="105" t="n"/>
      <c r="G2518" s="105" t="n"/>
      <c r="H2518" s="2" t="n"/>
      <c r="I2518" s="105" t="n"/>
      <c r="K2518" s="215" t="n"/>
      <c r="L2518" s="215" t="n"/>
      <c r="M2518" s="215" t="n"/>
      <c r="N2518" s="215" t="n"/>
      <c r="O2518" s="215" t="n"/>
      <c r="P2518" s="215" t="n"/>
      <c r="Q2518" s="215" t="n"/>
      <c r="R2518" s="215" t="n"/>
      <c r="S2518" s="215" t="n"/>
      <c r="T2518" s="215" t="n"/>
      <c r="U2518" s="215" t="n"/>
      <c r="V2518" s="215" t="n"/>
      <c r="W2518" s="215" t="n"/>
      <c r="X2518" s="215" t="n"/>
      <c r="Y2518" s="215" t="n"/>
      <c r="Z2518" s="215" t="n"/>
      <c r="AA2518" s="215" t="n"/>
      <c r="AB2518" s="215" t="n"/>
      <c r="AC2518" s="215" t="n"/>
      <c r="AD2518" s="215" t="n"/>
      <c r="AE2518" s="215" t="n"/>
      <c r="AF2518" s="215" t="n"/>
      <c r="AG2518" s="215" t="n"/>
      <c r="AH2518" s="215" t="n"/>
      <c r="AI2518" s="215" t="n"/>
      <c r="AJ2518" s="215" t="n"/>
      <c r="AK2518" s="216" t="n"/>
    </row>
    <row r="2519" ht="15" customHeight="1">
      <c r="B2519" s="134" t="n"/>
      <c r="C2519" s="105" t="n"/>
      <c r="D2519" s="105" t="n"/>
      <c r="E2519" s="105" t="n"/>
      <c r="F2519" s="105" t="n"/>
      <c r="G2519" s="105" t="n"/>
      <c r="H2519" s="2" t="n"/>
      <c r="I2519" s="105" t="n"/>
      <c r="K2519" s="215" t="n"/>
      <c r="L2519" s="215" t="n"/>
      <c r="M2519" s="215" t="n"/>
      <c r="N2519" s="215" t="n"/>
      <c r="O2519" s="215" t="n"/>
      <c r="P2519" s="215" t="n"/>
      <c r="Q2519" s="215" t="n"/>
      <c r="R2519" s="215" t="n"/>
      <c r="S2519" s="215" t="n"/>
      <c r="T2519" s="215" t="n"/>
      <c r="U2519" s="215" t="n"/>
      <c r="V2519" s="215" t="n"/>
      <c r="W2519" s="215" t="n"/>
      <c r="X2519" s="215" t="n"/>
      <c r="Y2519" s="215" t="n"/>
      <c r="Z2519" s="215" t="n"/>
      <c r="AA2519" s="215" t="n"/>
      <c r="AB2519" s="215" t="n"/>
      <c r="AC2519" s="215" t="n"/>
      <c r="AD2519" s="215" t="n"/>
      <c r="AE2519" s="215" t="n"/>
      <c r="AF2519" s="215" t="n"/>
      <c r="AG2519" s="215" t="n"/>
      <c r="AH2519" s="215" t="n"/>
      <c r="AI2519" s="215" t="n"/>
      <c r="AJ2519" s="215" t="n"/>
      <c r="AK2519" s="216" t="n"/>
    </row>
    <row r="2520" ht="15" customHeight="1">
      <c r="B2520" s="134" t="n"/>
      <c r="C2520" s="105" t="n"/>
      <c r="D2520" s="105" t="n"/>
      <c r="E2520" s="105" t="n"/>
      <c r="F2520" s="105" t="n"/>
      <c r="G2520" s="105" t="n"/>
      <c r="H2520" s="2" t="n"/>
      <c r="I2520" s="105" t="n"/>
      <c r="K2520" s="215" t="n"/>
      <c r="L2520" s="215" t="n"/>
      <c r="M2520" s="215" t="n"/>
      <c r="N2520" s="215" t="n"/>
      <c r="O2520" s="215" t="n"/>
      <c r="P2520" s="215" t="n"/>
      <c r="Q2520" s="215" t="n"/>
      <c r="R2520" s="215" t="n"/>
      <c r="S2520" s="215" t="n"/>
      <c r="T2520" s="215" t="n"/>
      <c r="U2520" s="215" t="n"/>
      <c r="V2520" s="215" t="n"/>
      <c r="W2520" s="215" t="n"/>
      <c r="X2520" s="215" t="n"/>
      <c r="Y2520" s="215" t="n"/>
      <c r="Z2520" s="215" t="n"/>
      <c r="AA2520" s="215" t="n"/>
      <c r="AB2520" s="215" t="n"/>
      <c r="AC2520" s="215" t="n"/>
      <c r="AD2520" s="215" t="n"/>
      <c r="AE2520" s="215" t="n"/>
      <c r="AF2520" s="215" t="n"/>
      <c r="AG2520" s="215" t="n"/>
      <c r="AH2520" s="215" t="n"/>
      <c r="AI2520" s="215" t="n"/>
      <c r="AJ2520" s="215" t="n"/>
      <c r="AK2520" s="216" t="n"/>
    </row>
    <row r="2521" ht="15" customHeight="1">
      <c r="B2521" s="134" t="n"/>
      <c r="C2521" s="105" t="n"/>
      <c r="D2521" s="105" t="n"/>
      <c r="E2521" s="105" t="n"/>
      <c r="F2521" s="105" t="n"/>
      <c r="G2521" s="105" t="n"/>
      <c r="H2521" s="2" t="n"/>
      <c r="I2521" s="105" t="n"/>
      <c r="K2521" s="215" t="n"/>
      <c r="L2521" s="215" t="n"/>
      <c r="M2521" s="215" t="n"/>
      <c r="N2521" s="215" t="n"/>
      <c r="O2521" s="215" t="n"/>
      <c r="P2521" s="215" t="n"/>
      <c r="Q2521" s="215" t="n"/>
      <c r="R2521" s="215" t="n"/>
      <c r="S2521" s="215" t="n"/>
      <c r="T2521" s="215" t="n"/>
      <c r="U2521" s="215" t="n"/>
      <c r="V2521" s="215" t="n"/>
      <c r="W2521" s="215" t="n"/>
      <c r="X2521" s="215" t="n"/>
      <c r="Y2521" s="215" t="n"/>
      <c r="Z2521" s="215" t="n"/>
      <c r="AA2521" s="215" t="n"/>
      <c r="AB2521" s="215" t="n"/>
      <c r="AC2521" s="215" t="n"/>
      <c r="AD2521" s="215" t="n"/>
      <c r="AE2521" s="215" t="n"/>
      <c r="AF2521" s="215" t="n"/>
      <c r="AG2521" s="215" t="n"/>
      <c r="AH2521" s="215" t="n"/>
      <c r="AI2521" s="215" t="n"/>
      <c r="AJ2521" s="215" t="n"/>
      <c r="AK2521" s="216" t="n"/>
    </row>
    <row r="2522" ht="15" customHeight="1">
      <c r="B2522" s="134" t="n"/>
      <c r="C2522" s="105" t="n"/>
      <c r="D2522" s="105" t="n"/>
      <c r="E2522" s="105" t="n"/>
      <c r="F2522" s="105" t="n"/>
      <c r="G2522" s="105" t="n"/>
      <c r="H2522" s="2" t="n"/>
      <c r="I2522" s="105" t="n"/>
      <c r="K2522" s="215" t="n"/>
      <c r="L2522" s="215" t="n"/>
      <c r="M2522" s="215" t="n"/>
      <c r="N2522" s="215" t="n"/>
      <c r="O2522" s="215" t="n"/>
      <c r="P2522" s="215" t="n"/>
      <c r="Q2522" s="215" t="n"/>
      <c r="R2522" s="215" t="n"/>
      <c r="S2522" s="215" t="n"/>
      <c r="T2522" s="215" t="n"/>
      <c r="U2522" s="215" t="n"/>
      <c r="V2522" s="215" t="n"/>
      <c r="W2522" s="215" t="n"/>
      <c r="X2522" s="215" t="n"/>
      <c r="Y2522" s="215" t="n"/>
      <c r="Z2522" s="215" t="n"/>
      <c r="AA2522" s="215" t="n"/>
      <c r="AB2522" s="215" t="n"/>
      <c r="AC2522" s="215" t="n"/>
      <c r="AD2522" s="215" t="n"/>
      <c r="AE2522" s="215" t="n"/>
      <c r="AF2522" s="215" t="n"/>
      <c r="AG2522" s="215" t="n"/>
      <c r="AH2522" s="215" t="n"/>
      <c r="AI2522" s="215" t="n"/>
      <c r="AJ2522" s="215" t="n"/>
      <c r="AK2522" s="216" t="n"/>
    </row>
    <row r="2523" ht="15" customHeight="1">
      <c r="B2523" s="134" t="n"/>
      <c r="C2523" s="105" t="n"/>
      <c r="D2523" s="105" t="n"/>
      <c r="E2523" s="105" t="n"/>
      <c r="F2523" s="105" t="n"/>
      <c r="G2523" s="105" t="n"/>
      <c r="H2523" s="2" t="n"/>
      <c r="I2523" s="105" t="n"/>
      <c r="K2523" s="215" t="n"/>
      <c r="L2523" s="215" t="n"/>
      <c r="M2523" s="215" t="n"/>
      <c r="N2523" s="215" t="n"/>
      <c r="O2523" s="215" t="n"/>
      <c r="P2523" s="215" t="n"/>
      <c r="Q2523" s="215" t="n"/>
      <c r="R2523" s="215" t="n"/>
      <c r="S2523" s="215" t="n"/>
      <c r="T2523" s="215" t="n"/>
      <c r="U2523" s="215" t="n"/>
      <c r="V2523" s="215" t="n"/>
      <c r="W2523" s="215" t="n"/>
      <c r="X2523" s="215" t="n"/>
      <c r="Y2523" s="215" t="n"/>
      <c r="Z2523" s="215" t="n"/>
      <c r="AA2523" s="215" t="n"/>
      <c r="AB2523" s="215" t="n"/>
      <c r="AC2523" s="215" t="n"/>
      <c r="AD2523" s="215" t="n"/>
      <c r="AE2523" s="215" t="n"/>
      <c r="AF2523" s="215" t="n"/>
      <c r="AG2523" s="215" t="n"/>
      <c r="AH2523" s="215" t="n"/>
      <c r="AI2523" s="215" t="n"/>
      <c r="AJ2523" s="215" t="n"/>
      <c r="AK2523" s="216" t="n"/>
    </row>
    <row r="2524" ht="15" customHeight="1">
      <c r="B2524" s="134" t="n"/>
      <c r="C2524" s="105" t="n"/>
      <c r="D2524" s="105" t="n"/>
      <c r="E2524" s="105" t="n"/>
      <c r="F2524" s="105" t="n"/>
      <c r="G2524" s="105" t="n"/>
      <c r="H2524" s="2" t="n"/>
      <c r="I2524" s="105" t="n"/>
      <c r="K2524" s="215" t="n"/>
      <c r="L2524" s="215" t="n"/>
      <c r="M2524" s="215" t="n"/>
      <c r="N2524" s="215" t="n"/>
      <c r="O2524" s="215" t="n"/>
      <c r="P2524" s="215" t="n"/>
      <c r="Q2524" s="215" t="n"/>
      <c r="R2524" s="215" t="n"/>
      <c r="S2524" s="215" t="n"/>
      <c r="T2524" s="215" t="n"/>
      <c r="U2524" s="215" t="n"/>
      <c r="V2524" s="215" t="n"/>
      <c r="W2524" s="215" t="n"/>
      <c r="X2524" s="215" t="n"/>
      <c r="Y2524" s="215" t="n"/>
      <c r="Z2524" s="215" t="n"/>
      <c r="AA2524" s="215" t="n"/>
      <c r="AB2524" s="215" t="n"/>
      <c r="AC2524" s="215" t="n"/>
      <c r="AD2524" s="215" t="n"/>
      <c r="AE2524" s="215" t="n"/>
      <c r="AF2524" s="215" t="n"/>
      <c r="AG2524" s="215" t="n"/>
      <c r="AH2524" s="215" t="n"/>
      <c r="AI2524" s="215" t="n"/>
      <c r="AJ2524" s="215" t="n"/>
      <c r="AK2524" s="216" t="n"/>
    </row>
    <row r="2525" ht="15" customHeight="1">
      <c r="B2525" s="134" t="n"/>
      <c r="C2525" s="105" t="n"/>
      <c r="D2525" s="105" t="n"/>
      <c r="E2525" s="105" t="n"/>
      <c r="F2525" s="105" t="n"/>
      <c r="G2525" s="105" t="n"/>
      <c r="H2525" s="2" t="n"/>
      <c r="I2525" s="105" t="n"/>
      <c r="K2525" s="215" t="n"/>
      <c r="L2525" s="215" t="n"/>
      <c r="M2525" s="215" t="n"/>
      <c r="N2525" s="215" t="n"/>
      <c r="O2525" s="215" t="n"/>
      <c r="P2525" s="215" t="n"/>
      <c r="Q2525" s="215" t="n"/>
      <c r="R2525" s="215" t="n"/>
      <c r="S2525" s="215" t="n"/>
      <c r="T2525" s="215" t="n"/>
      <c r="U2525" s="215" t="n"/>
      <c r="V2525" s="215" t="n"/>
      <c r="W2525" s="215" t="n"/>
      <c r="X2525" s="215" t="n"/>
      <c r="Y2525" s="215" t="n"/>
      <c r="Z2525" s="215" t="n"/>
      <c r="AA2525" s="215" t="n"/>
      <c r="AB2525" s="215" t="n"/>
      <c r="AC2525" s="215" t="n"/>
      <c r="AD2525" s="215" t="n"/>
      <c r="AE2525" s="215" t="n"/>
      <c r="AF2525" s="215" t="n"/>
      <c r="AG2525" s="215" t="n"/>
      <c r="AH2525" s="215" t="n"/>
      <c r="AI2525" s="215" t="n"/>
      <c r="AJ2525" s="215" t="n"/>
      <c r="AK2525" s="216" t="n"/>
    </row>
    <row r="2526" ht="15" customHeight="1">
      <c r="B2526" s="134" t="n"/>
      <c r="C2526" s="105" t="n"/>
      <c r="D2526" s="105" t="n"/>
      <c r="E2526" s="105" t="n"/>
      <c r="F2526" s="105" t="n"/>
      <c r="G2526" s="105" t="n"/>
      <c r="H2526" s="2" t="n"/>
      <c r="I2526" s="105" t="n"/>
      <c r="K2526" s="215" t="n"/>
      <c r="L2526" s="215" t="n"/>
      <c r="M2526" s="215" t="n"/>
      <c r="N2526" s="215" t="n"/>
      <c r="O2526" s="215" t="n"/>
      <c r="P2526" s="215" t="n"/>
      <c r="Q2526" s="215" t="n"/>
      <c r="R2526" s="215" t="n"/>
      <c r="S2526" s="215" t="n"/>
      <c r="T2526" s="215" t="n"/>
      <c r="U2526" s="215" t="n"/>
      <c r="V2526" s="215" t="n"/>
      <c r="W2526" s="215" t="n"/>
      <c r="X2526" s="215" t="n"/>
      <c r="Y2526" s="215" t="n"/>
      <c r="Z2526" s="215" t="n"/>
      <c r="AA2526" s="215" t="n"/>
      <c r="AB2526" s="215" t="n"/>
      <c r="AC2526" s="215" t="n"/>
      <c r="AD2526" s="215" t="n"/>
      <c r="AE2526" s="215" t="n"/>
      <c r="AF2526" s="215" t="n"/>
      <c r="AG2526" s="215" t="n"/>
      <c r="AH2526" s="215" t="n"/>
      <c r="AI2526" s="215" t="n"/>
      <c r="AJ2526" s="215" t="n"/>
      <c r="AK2526" s="216" t="n"/>
    </row>
    <row r="2527" ht="15" customHeight="1">
      <c r="B2527" s="134" t="n"/>
      <c r="C2527" s="105" t="n"/>
      <c r="D2527" s="105" t="n"/>
      <c r="E2527" s="105" t="n"/>
      <c r="F2527" s="105" t="n"/>
      <c r="G2527" s="105" t="n"/>
      <c r="H2527" s="2" t="n"/>
      <c r="I2527" s="105" t="n"/>
      <c r="K2527" s="215" t="n"/>
      <c r="L2527" s="215" t="n"/>
      <c r="M2527" s="215" t="n"/>
      <c r="N2527" s="215" t="n"/>
      <c r="O2527" s="215" t="n"/>
      <c r="P2527" s="215" t="n"/>
      <c r="Q2527" s="215" t="n"/>
      <c r="R2527" s="215" t="n"/>
      <c r="S2527" s="215" t="n"/>
      <c r="T2527" s="215" t="n"/>
      <c r="U2527" s="215" t="n"/>
      <c r="V2527" s="215" t="n"/>
      <c r="W2527" s="215" t="n"/>
      <c r="X2527" s="215" t="n"/>
      <c r="Y2527" s="215" t="n"/>
      <c r="Z2527" s="215" t="n"/>
      <c r="AA2527" s="215" t="n"/>
      <c r="AB2527" s="215" t="n"/>
      <c r="AC2527" s="215" t="n"/>
      <c r="AD2527" s="215" t="n"/>
      <c r="AE2527" s="215" t="n"/>
      <c r="AF2527" s="215" t="n"/>
      <c r="AG2527" s="215" t="n"/>
      <c r="AH2527" s="215" t="n"/>
      <c r="AI2527" s="215" t="n"/>
      <c r="AJ2527" s="215" t="n"/>
      <c r="AK2527" s="216" t="n"/>
    </row>
    <row r="2528" ht="15" customHeight="1">
      <c r="B2528" s="134" t="n"/>
      <c r="C2528" s="105" t="n"/>
      <c r="D2528" s="105" t="n"/>
      <c r="E2528" s="105" t="n"/>
      <c r="F2528" s="105" t="n"/>
      <c r="G2528" s="105" t="n"/>
      <c r="H2528" s="2" t="n"/>
      <c r="I2528" s="105" t="n"/>
      <c r="K2528" s="215" t="n"/>
      <c r="L2528" s="215" t="n"/>
      <c r="M2528" s="215" t="n"/>
      <c r="N2528" s="215" t="n"/>
      <c r="O2528" s="215" t="n"/>
      <c r="P2528" s="215" t="n"/>
      <c r="Q2528" s="215" t="n"/>
      <c r="R2528" s="215" t="n"/>
      <c r="S2528" s="215" t="n"/>
      <c r="T2528" s="215" t="n"/>
      <c r="U2528" s="215" t="n"/>
      <c r="V2528" s="215" t="n"/>
      <c r="W2528" s="215" t="n"/>
      <c r="X2528" s="215" t="n"/>
      <c r="Y2528" s="215" t="n"/>
      <c r="Z2528" s="215" t="n"/>
      <c r="AA2528" s="215" t="n"/>
      <c r="AB2528" s="215" t="n"/>
      <c r="AC2528" s="215" t="n"/>
      <c r="AD2528" s="215" t="n"/>
      <c r="AE2528" s="215" t="n"/>
      <c r="AF2528" s="215" t="n"/>
      <c r="AG2528" s="215" t="n"/>
      <c r="AH2528" s="215" t="n"/>
      <c r="AI2528" s="215" t="n"/>
      <c r="AJ2528" s="215" t="n"/>
      <c r="AK2528" s="216" t="n"/>
    </row>
    <row r="2529" ht="15" customHeight="1">
      <c r="B2529" s="134" t="n"/>
      <c r="C2529" s="105" t="n"/>
      <c r="D2529" s="105" t="n"/>
      <c r="E2529" s="105" t="n"/>
      <c r="F2529" s="105" t="n"/>
      <c r="G2529" s="105" t="n"/>
      <c r="H2529" s="2" t="n"/>
      <c r="I2529" s="105" t="n"/>
      <c r="K2529" s="215" t="n"/>
      <c r="L2529" s="215" t="n"/>
      <c r="M2529" s="215" t="n"/>
      <c r="N2529" s="215" t="n"/>
      <c r="O2529" s="215" t="n"/>
      <c r="P2529" s="215" t="n"/>
      <c r="Q2529" s="215" t="n"/>
      <c r="R2529" s="215" t="n"/>
      <c r="S2529" s="215" t="n"/>
      <c r="T2529" s="215" t="n"/>
      <c r="U2529" s="215" t="n"/>
      <c r="V2529" s="215" t="n"/>
      <c r="W2529" s="215" t="n"/>
      <c r="X2529" s="215" t="n"/>
      <c r="Y2529" s="215" t="n"/>
      <c r="Z2529" s="215" t="n"/>
      <c r="AA2529" s="215" t="n"/>
      <c r="AB2529" s="215" t="n"/>
      <c r="AC2529" s="215" t="n"/>
      <c r="AD2529" s="215" t="n"/>
      <c r="AE2529" s="215" t="n"/>
      <c r="AF2529" s="215" t="n"/>
      <c r="AG2529" s="215" t="n"/>
      <c r="AH2529" s="215" t="n"/>
      <c r="AI2529" s="215" t="n"/>
      <c r="AJ2529" s="215" t="n"/>
      <c r="AK2529" s="216" t="n"/>
    </row>
    <row r="2530" ht="15" customHeight="1">
      <c r="B2530" s="134" t="n"/>
      <c r="C2530" s="105" t="n"/>
      <c r="D2530" s="105" t="n"/>
      <c r="E2530" s="105" t="n"/>
      <c r="F2530" s="105" t="n"/>
      <c r="G2530" s="105" t="n"/>
      <c r="H2530" s="2" t="n"/>
      <c r="I2530" s="105" t="n"/>
      <c r="K2530" s="215" t="n"/>
      <c r="L2530" s="215" t="n"/>
      <c r="M2530" s="215" t="n"/>
      <c r="N2530" s="215" t="n"/>
      <c r="O2530" s="215" t="n"/>
      <c r="P2530" s="215" t="n"/>
      <c r="Q2530" s="215" t="n"/>
      <c r="R2530" s="215" t="n"/>
      <c r="S2530" s="215" t="n"/>
      <c r="T2530" s="215" t="n"/>
      <c r="U2530" s="215" t="n"/>
      <c r="V2530" s="215" t="n"/>
      <c r="W2530" s="215" t="n"/>
      <c r="X2530" s="215" t="n"/>
      <c r="Y2530" s="215" t="n"/>
      <c r="Z2530" s="215" t="n"/>
      <c r="AA2530" s="215" t="n"/>
      <c r="AB2530" s="215" t="n"/>
      <c r="AC2530" s="215" t="n"/>
      <c r="AD2530" s="215" t="n"/>
      <c r="AE2530" s="215" t="n"/>
      <c r="AF2530" s="215" t="n"/>
      <c r="AG2530" s="215" t="n"/>
      <c r="AH2530" s="215" t="n"/>
      <c r="AI2530" s="215" t="n"/>
      <c r="AJ2530" s="215" t="n"/>
      <c r="AK2530" s="216" t="n"/>
    </row>
    <row r="2531" ht="15" customHeight="1">
      <c r="B2531" s="134" t="n"/>
      <c r="C2531" s="105" t="n"/>
      <c r="D2531" s="105" t="n"/>
      <c r="E2531" s="105" t="n"/>
      <c r="F2531" s="105" t="n"/>
      <c r="G2531" s="105" t="n"/>
      <c r="H2531" s="2" t="n"/>
      <c r="I2531" s="105" t="n"/>
      <c r="K2531" s="215" t="n"/>
      <c r="L2531" s="215" t="n"/>
      <c r="M2531" s="215" t="n"/>
      <c r="N2531" s="215" t="n"/>
      <c r="O2531" s="215" t="n"/>
      <c r="P2531" s="215" t="n"/>
      <c r="Q2531" s="215" t="n"/>
      <c r="R2531" s="215" t="n"/>
      <c r="S2531" s="215" t="n"/>
      <c r="T2531" s="215" t="n"/>
      <c r="U2531" s="215" t="n"/>
      <c r="V2531" s="215" t="n"/>
      <c r="W2531" s="215" t="n"/>
      <c r="X2531" s="215" t="n"/>
      <c r="Y2531" s="215" t="n"/>
      <c r="Z2531" s="215" t="n"/>
      <c r="AA2531" s="215" t="n"/>
      <c r="AB2531" s="215" t="n"/>
      <c r="AC2531" s="215" t="n"/>
      <c r="AD2531" s="215" t="n"/>
      <c r="AE2531" s="215" t="n"/>
      <c r="AF2531" s="215" t="n"/>
      <c r="AG2531" s="215" t="n"/>
      <c r="AH2531" s="215" t="n"/>
      <c r="AI2531" s="215" t="n"/>
      <c r="AJ2531" s="215" t="n"/>
      <c r="AK2531" s="216" t="n"/>
    </row>
    <row r="2532" ht="15" customHeight="1">
      <c r="B2532" s="134" t="n"/>
      <c r="C2532" s="105" t="n"/>
      <c r="D2532" s="105" t="n"/>
      <c r="E2532" s="105" t="n"/>
      <c r="F2532" s="105" t="n"/>
      <c r="G2532" s="105" t="n"/>
      <c r="H2532" s="2" t="n"/>
      <c r="I2532" s="105" t="n"/>
      <c r="K2532" s="215" t="n"/>
      <c r="L2532" s="215" t="n"/>
      <c r="M2532" s="215" t="n"/>
      <c r="N2532" s="215" t="n"/>
      <c r="O2532" s="215" t="n"/>
      <c r="P2532" s="215" t="n"/>
      <c r="Q2532" s="215" t="n"/>
      <c r="R2532" s="215" t="n"/>
      <c r="S2532" s="215" t="n"/>
      <c r="T2532" s="215" t="n"/>
      <c r="U2532" s="215" t="n"/>
      <c r="V2532" s="215" t="n"/>
      <c r="W2532" s="215" t="n"/>
      <c r="X2532" s="215" t="n"/>
      <c r="Y2532" s="215" t="n"/>
      <c r="Z2532" s="215" t="n"/>
      <c r="AA2532" s="215" t="n"/>
      <c r="AB2532" s="215" t="n"/>
      <c r="AC2532" s="215" t="n"/>
      <c r="AD2532" s="215" t="n"/>
      <c r="AE2532" s="215" t="n"/>
      <c r="AF2532" s="215" t="n"/>
      <c r="AG2532" s="215" t="n"/>
      <c r="AH2532" s="215" t="n"/>
      <c r="AI2532" s="215" t="n"/>
      <c r="AJ2532" s="215" t="n"/>
      <c r="AK2532" s="216" t="n"/>
    </row>
    <row r="2533" ht="15" customHeight="1">
      <c r="B2533" s="134" t="n"/>
      <c r="C2533" s="105" t="n"/>
      <c r="D2533" s="105" t="n"/>
      <c r="E2533" s="105" t="n"/>
      <c r="F2533" s="105" t="n"/>
      <c r="G2533" s="105" t="n"/>
      <c r="H2533" s="2" t="n"/>
      <c r="I2533" s="105" t="n"/>
      <c r="K2533" s="215" t="n"/>
      <c r="L2533" s="215" t="n"/>
      <c r="M2533" s="215" t="n"/>
      <c r="N2533" s="215" t="n"/>
      <c r="O2533" s="215" t="n"/>
      <c r="P2533" s="215" t="n"/>
      <c r="Q2533" s="215" t="n"/>
      <c r="R2533" s="215" t="n"/>
      <c r="S2533" s="215" t="n"/>
      <c r="T2533" s="215" t="n"/>
      <c r="U2533" s="215" t="n"/>
      <c r="V2533" s="215" t="n"/>
      <c r="W2533" s="215" t="n"/>
      <c r="X2533" s="215" t="n"/>
      <c r="Y2533" s="215" t="n"/>
      <c r="Z2533" s="215" t="n"/>
      <c r="AA2533" s="215" t="n"/>
      <c r="AB2533" s="215" t="n"/>
      <c r="AC2533" s="215" t="n"/>
      <c r="AD2533" s="215" t="n"/>
      <c r="AE2533" s="215" t="n"/>
      <c r="AF2533" s="215" t="n"/>
      <c r="AG2533" s="215" t="n"/>
      <c r="AH2533" s="215" t="n"/>
      <c r="AI2533" s="215" t="n"/>
      <c r="AJ2533" s="215" t="n"/>
      <c r="AK2533" s="216" t="n"/>
    </row>
    <row r="2534" ht="15" customHeight="1">
      <c r="B2534" s="134" t="n"/>
      <c r="C2534" s="105" t="n"/>
      <c r="D2534" s="105" t="n"/>
      <c r="E2534" s="105" t="n"/>
      <c r="F2534" s="105" t="n"/>
      <c r="G2534" s="105" t="n"/>
      <c r="H2534" s="2" t="n"/>
      <c r="I2534" s="105" t="n"/>
      <c r="K2534" s="215" t="n"/>
      <c r="L2534" s="215" t="n"/>
      <c r="M2534" s="215" t="n"/>
      <c r="N2534" s="215" t="n"/>
      <c r="O2534" s="215" t="n"/>
      <c r="P2534" s="215" t="n"/>
      <c r="Q2534" s="215" t="n"/>
      <c r="R2534" s="215" t="n"/>
      <c r="S2534" s="215" t="n"/>
      <c r="T2534" s="215" t="n"/>
      <c r="U2534" s="215" t="n"/>
      <c r="V2534" s="215" t="n"/>
      <c r="W2534" s="215" t="n"/>
      <c r="X2534" s="215" t="n"/>
      <c r="Y2534" s="215" t="n"/>
      <c r="Z2534" s="215" t="n"/>
      <c r="AA2534" s="215" t="n"/>
      <c r="AB2534" s="215" t="n"/>
      <c r="AC2534" s="215" t="n"/>
      <c r="AD2534" s="215" t="n"/>
      <c r="AE2534" s="215" t="n"/>
      <c r="AF2534" s="215" t="n"/>
      <c r="AG2534" s="215" t="n"/>
      <c r="AH2534" s="215" t="n"/>
      <c r="AI2534" s="215" t="n"/>
      <c r="AJ2534" s="215" t="n"/>
      <c r="AK2534" s="216" t="n"/>
    </row>
    <row r="2535" ht="15" customHeight="1">
      <c r="B2535" s="134" t="n"/>
      <c r="C2535" s="105" t="n"/>
      <c r="D2535" s="105" t="n"/>
      <c r="E2535" s="105" t="n"/>
      <c r="F2535" s="105" t="n"/>
      <c r="G2535" s="105" t="n"/>
      <c r="H2535" s="2" t="n"/>
      <c r="I2535" s="105" t="n"/>
      <c r="K2535" s="215" t="n"/>
      <c r="L2535" s="215" t="n"/>
      <c r="M2535" s="215" t="n"/>
      <c r="N2535" s="215" t="n"/>
      <c r="O2535" s="215" t="n"/>
      <c r="P2535" s="215" t="n"/>
      <c r="Q2535" s="215" t="n"/>
      <c r="R2535" s="215" t="n"/>
      <c r="S2535" s="215" t="n"/>
      <c r="T2535" s="215" t="n"/>
      <c r="U2535" s="215" t="n"/>
      <c r="V2535" s="215" t="n"/>
      <c r="W2535" s="215" t="n"/>
      <c r="X2535" s="215" t="n"/>
      <c r="Y2535" s="215" t="n"/>
      <c r="Z2535" s="215" t="n"/>
      <c r="AA2535" s="215" t="n"/>
      <c r="AB2535" s="215" t="n"/>
      <c r="AC2535" s="215" t="n"/>
      <c r="AD2535" s="215" t="n"/>
      <c r="AE2535" s="215" t="n"/>
      <c r="AF2535" s="215" t="n"/>
      <c r="AG2535" s="215" t="n"/>
      <c r="AH2535" s="215" t="n"/>
      <c r="AI2535" s="215" t="n"/>
      <c r="AJ2535" s="215" t="n"/>
      <c r="AK2535" s="216" t="n"/>
    </row>
    <row r="2536" ht="15" customHeight="1">
      <c r="B2536" s="134" t="n"/>
      <c r="C2536" s="105" t="n"/>
      <c r="D2536" s="105" t="n"/>
      <c r="E2536" s="105" t="n"/>
      <c r="F2536" s="105" t="n"/>
      <c r="G2536" s="105" t="n"/>
      <c r="H2536" s="2" t="n"/>
      <c r="I2536" s="105" t="n"/>
      <c r="K2536" s="215" t="n"/>
      <c r="L2536" s="215" t="n"/>
      <c r="M2536" s="215" t="n"/>
      <c r="N2536" s="215" t="n"/>
      <c r="O2536" s="215" t="n"/>
      <c r="P2536" s="215" t="n"/>
      <c r="Q2536" s="215" t="n"/>
      <c r="R2536" s="215" t="n"/>
      <c r="S2536" s="215" t="n"/>
      <c r="T2536" s="215" t="n"/>
      <c r="U2536" s="215" t="n"/>
      <c r="V2536" s="215" t="n"/>
      <c r="W2536" s="215" t="n"/>
      <c r="X2536" s="215" t="n"/>
      <c r="Y2536" s="215" t="n"/>
      <c r="Z2536" s="215" t="n"/>
      <c r="AA2536" s="215" t="n"/>
      <c r="AB2536" s="215" t="n"/>
      <c r="AC2536" s="215" t="n"/>
      <c r="AD2536" s="215" t="n"/>
      <c r="AE2536" s="215" t="n"/>
      <c r="AF2536" s="215" t="n"/>
      <c r="AG2536" s="215" t="n"/>
      <c r="AH2536" s="215" t="n"/>
      <c r="AI2536" s="215" t="n"/>
      <c r="AJ2536" s="215" t="n"/>
      <c r="AK2536" s="216" t="n"/>
    </row>
    <row r="2537" ht="15" customHeight="1">
      <c r="B2537" s="134" t="n"/>
      <c r="C2537" s="105" t="n"/>
      <c r="D2537" s="105" t="n"/>
      <c r="E2537" s="105" t="n"/>
      <c r="F2537" s="105" t="n"/>
      <c r="G2537" s="105" t="n"/>
      <c r="H2537" s="2" t="n"/>
      <c r="I2537" s="105" t="n"/>
      <c r="K2537" s="215" t="n"/>
      <c r="L2537" s="215" t="n"/>
      <c r="M2537" s="215" t="n"/>
      <c r="N2537" s="215" t="n"/>
      <c r="O2537" s="215" t="n"/>
      <c r="P2537" s="215" t="n"/>
      <c r="Q2537" s="215" t="n"/>
      <c r="R2537" s="215" t="n"/>
      <c r="S2537" s="215" t="n"/>
      <c r="T2537" s="215" t="n"/>
      <c r="U2537" s="215" t="n"/>
      <c r="V2537" s="215" t="n"/>
      <c r="W2537" s="215" t="n"/>
      <c r="X2537" s="215" t="n"/>
      <c r="Y2537" s="215" t="n"/>
      <c r="Z2537" s="215" t="n"/>
      <c r="AA2537" s="215" t="n"/>
      <c r="AB2537" s="215" t="n"/>
      <c r="AC2537" s="215" t="n"/>
      <c r="AD2537" s="215" t="n"/>
      <c r="AE2537" s="215" t="n"/>
      <c r="AF2537" s="215" t="n"/>
      <c r="AG2537" s="215" t="n"/>
      <c r="AH2537" s="215" t="n"/>
      <c r="AI2537" s="215" t="n"/>
      <c r="AJ2537" s="215" t="n"/>
      <c r="AK2537" s="216" t="n"/>
    </row>
    <row r="2538" ht="15" customHeight="1">
      <c r="B2538" s="134" t="n"/>
      <c r="C2538" s="105" t="n"/>
      <c r="D2538" s="105" t="n"/>
      <c r="E2538" s="105" t="n"/>
      <c r="F2538" s="105" t="n"/>
      <c r="G2538" s="105" t="n"/>
      <c r="H2538" s="2" t="n"/>
      <c r="I2538" s="105" t="n"/>
      <c r="K2538" s="215" t="n"/>
      <c r="L2538" s="215" t="n"/>
      <c r="M2538" s="215" t="n"/>
      <c r="N2538" s="215" t="n"/>
      <c r="O2538" s="215" t="n"/>
      <c r="P2538" s="215" t="n"/>
      <c r="Q2538" s="215" t="n"/>
      <c r="R2538" s="215" t="n"/>
      <c r="S2538" s="215" t="n"/>
      <c r="T2538" s="215" t="n"/>
      <c r="U2538" s="215" t="n"/>
      <c r="V2538" s="215" t="n"/>
      <c r="W2538" s="215" t="n"/>
      <c r="X2538" s="215" t="n"/>
      <c r="Y2538" s="215" t="n"/>
      <c r="Z2538" s="215" t="n"/>
      <c r="AA2538" s="215" t="n"/>
      <c r="AB2538" s="215" t="n"/>
      <c r="AC2538" s="215" t="n"/>
      <c r="AD2538" s="215" t="n"/>
      <c r="AE2538" s="215" t="n"/>
      <c r="AF2538" s="215" t="n"/>
      <c r="AG2538" s="215" t="n"/>
      <c r="AH2538" s="215" t="n"/>
      <c r="AI2538" s="215" t="n"/>
      <c r="AJ2538" s="215" t="n"/>
      <c r="AK2538" s="216" t="n"/>
    </row>
    <row r="2539" ht="15" customHeight="1">
      <c r="B2539" s="134" t="n"/>
      <c r="C2539" s="105" t="n"/>
      <c r="D2539" s="105" t="n"/>
      <c r="E2539" s="105" t="n"/>
      <c r="F2539" s="105" t="n"/>
      <c r="G2539" s="105" t="n"/>
      <c r="H2539" s="2" t="n"/>
      <c r="I2539" s="105" t="n"/>
      <c r="K2539" s="215" t="n"/>
      <c r="L2539" s="215" t="n"/>
      <c r="M2539" s="215" t="n"/>
      <c r="N2539" s="215" t="n"/>
      <c r="O2539" s="215" t="n"/>
      <c r="P2539" s="215" t="n"/>
      <c r="Q2539" s="215" t="n"/>
      <c r="R2539" s="215" t="n"/>
      <c r="S2539" s="215" t="n"/>
      <c r="T2539" s="215" t="n"/>
      <c r="U2539" s="215" t="n"/>
      <c r="V2539" s="215" t="n"/>
      <c r="W2539" s="215" t="n"/>
      <c r="X2539" s="215" t="n"/>
      <c r="Y2539" s="215" t="n"/>
      <c r="Z2539" s="215" t="n"/>
      <c r="AA2539" s="215" t="n"/>
      <c r="AB2539" s="215" t="n"/>
      <c r="AC2539" s="215" t="n"/>
      <c r="AD2539" s="215" t="n"/>
      <c r="AE2539" s="215" t="n"/>
      <c r="AF2539" s="215" t="n"/>
      <c r="AG2539" s="215" t="n"/>
      <c r="AH2539" s="215" t="n"/>
      <c r="AI2539" s="215" t="n"/>
      <c r="AJ2539" s="215" t="n"/>
      <c r="AK2539" s="216" t="n"/>
    </row>
    <row r="2540" ht="15" customHeight="1">
      <c r="B2540" s="134" t="n"/>
      <c r="C2540" s="105" t="n"/>
      <c r="D2540" s="105" t="n"/>
      <c r="E2540" s="105" t="n"/>
      <c r="F2540" s="105" t="n"/>
      <c r="G2540" s="105" t="n"/>
      <c r="H2540" s="2" t="n"/>
      <c r="I2540" s="105" t="n"/>
      <c r="K2540" s="215" t="n"/>
      <c r="L2540" s="215" t="n"/>
      <c r="M2540" s="215" t="n"/>
      <c r="N2540" s="215" t="n"/>
      <c r="O2540" s="215" t="n"/>
      <c r="P2540" s="215" t="n"/>
      <c r="Q2540" s="215" t="n"/>
      <c r="R2540" s="215" t="n"/>
      <c r="S2540" s="215" t="n"/>
      <c r="T2540" s="215" t="n"/>
      <c r="U2540" s="215" t="n"/>
      <c r="V2540" s="215" t="n"/>
      <c r="W2540" s="215" t="n"/>
      <c r="X2540" s="215" t="n"/>
      <c r="Y2540" s="215" t="n"/>
      <c r="Z2540" s="215" t="n"/>
      <c r="AA2540" s="215" t="n"/>
      <c r="AB2540" s="215" t="n"/>
      <c r="AC2540" s="215" t="n"/>
      <c r="AD2540" s="215" t="n"/>
      <c r="AE2540" s="215" t="n"/>
      <c r="AF2540" s="215" t="n"/>
      <c r="AG2540" s="215" t="n"/>
      <c r="AH2540" s="215" t="n"/>
      <c r="AI2540" s="215" t="n"/>
      <c r="AJ2540" s="215" t="n"/>
      <c r="AK2540" s="216" t="n"/>
    </row>
    <row r="2541" ht="15" customHeight="1">
      <c r="B2541" s="134" t="n"/>
      <c r="C2541" s="105" t="n"/>
      <c r="D2541" s="105" t="n"/>
      <c r="E2541" s="105" t="n"/>
      <c r="F2541" s="105" t="n"/>
      <c r="G2541" s="105" t="n"/>
      <c r="H2541" s="2" t="n"/>
      <c r="I2541" s="105" t="n"/>
      <c r="K2541" s="215" t="n"/>
      <c r="L2541" s="215" t="n"/>
      <c r="M2541" s="215" t="n"/>
      <c r="N2541" s="215" t="n"/>
      <c r="O2541" s="215" t="n"/>
      <c r="P2541" s="215" t="n"/>
      <c r="Q2541" s="215" t="n"/>
      <c r="R2541" s="215" t="n"/>
      <c r="S2541" s="215" t="n"/>
      <c r="T2541" s="215" t="n"/>
      <c r="U2541" s="215" t="n"/>
      <c r="V2541" s="215" t="n"/>
      <c r="W2541" s="215" t="n"/>
      <c r="X2541" s="215" t="n"/>
      <c r="Y2541" s="215" t="n"/>
      <c r="Z2541" s="215" t="n"/>
      <c r="AA2541" s="215" t="n"/>
      <c r="AB2541" s="215" t="n"/>
      <c r="AC2541" s="215" t="n"/>
      <c r="AD2541" s="215" t="n"/>
      <c r="AE2541" s="215" t="n"/>
      <c r="AF2541" s="215" t="n"/>
      <c r="AG2541" s="215" t="n"/>
      <c r="AH2541" s="215" t="n"/>
      <c r="AI2541" s="215" t="n"/>
      <c r="AJ2541" s="215" t="n"/>
      <c r="AK2541" s="216" t="n"/>
    </row>
    <row r="2542" ht="15" customHeight="1">
      <c r="B2542" s="134" t="n"/>
      <c r="C2542" s="105" t="n"/>
      <c r="D2542" s="105" t="n"/>
      <c r="E2542" s="105" t="n"/>
      <c r="F2542" s="105" t="n"/>
      <c r="G2542" s="105" t="n"/>
      <c r="H2542" s="2" t="n"/>
      <c r="I2542" s="105" t="n"/>
      <c r="K2542" s="215" t="n"/>
      <c r="L2542" s="215" t="n"/>
      <c r="M2542" s="215" t="n"/>
      <c r="N2542" s="215" t="n"/>
      <c r="O2542" s="215" t="n"/>
      <c r="P2542" s="215" t="n"/>
      <c r="Q2542" s="215" t="n"/>
      <c r="R2542" s="215" t="n"/>
      <c r="S2542" s="215" t="n"/>
      <c r="T2542" s="215" t="n"/>
      <c r="U2542" s="215" t="n"/>
      <c r="V2542" s="215" t="n"/>
      <c r="W2542" s="215" t="n"/>
      <c r="X2542" s="215" t="n"/>
      <c r="Y2542" s="215" t="n"/>
      <c r="Z2542" s="215" t="n"/>
      <c r="AA2542" s="215" t="n"/>
      <c r="AB2542" s="215" t="n"/>
      <c r="AC2542" s="215" t="n"/>
      <c r="AD2542" s="215" t="n"/>
      <c r="AE2542" s="215" t="n"/>
      <c r="AF2542" s="215" t="n"/>
      <c r="AG2542" s="215" t="n"/>
      <c r="AH2542" s="215" t="n"/>
      <c r="AI2542" s="215" t="n"/>
      <c r="AJ2542" s="215" t="n"/>
      <c r="AK2542" s="216" t="n"/>
    </row>
    <row r="2543" ht="15" customHeight="1">
      <c r="B2543" s="134" t="n"/>
      <c r="C2543" s="105" t="n"/>
      <c r="D2543" s="105" t="n"/>
      <c r="E2543" s="105" t="n"/>
      <c r="F2543" s="105" t="n"/>
      <c r="G2543" s="105" t="n"/>
      <c r="H2543" s="2" t="n"/>
      <c r="I2543" s="105" t="n"/>
      <c r="K2543" s="215" t="n"/>
      <c r="L2543" s="215" t="n"/>
      <c r="M2543" s="215" t="n"/>
      <c r="N2543" s="215" t="n"/>
      <c r="O2543" s="215" t="n"/>
      <c r="P2543" s="215" t="n"/>
      <c r="Q2543" s="215" t="n"/>
      <c r="R2543" s="215" t="n"/>
      <c r="S2543" s="215" t="n"/>
      <c r="T2543" s="215" t="n"/>
      <c r="U2543" s="215" t="n"/>
      <c r="V2543" s="215" t="n"/>
      <c r="W2543" s="215" t="n"/>
      <c r="X2543" s="215" t="n"/>
      <c r="Y2543" s="215" t="n"/>
      <c r="Z2543" s="215" t="n"/>
      <c r="AA2543" s="215" t="n"/>
      <c r="AB2543" s="215" t="n"/>
      <c r="AC2543" s="215" t="n"/>
      <c r="AD2543" s="215" t="n"/>
      <c r="AE2543" s="215" t="n"/>
      <c r="AF2543" s="215" t="n"/>
      <c r="AG2543" s="215" t="n"/>
      <c r="AH2543" s="215" t="n"/>
      <c r="AI2543" s="215" t="n"/>
      <c r="AJ2543" s="215" t="n"/>
      <c r="AK2543" s="216" t="n"/>
    </row>
    <row r="2544" ht="15" customHeight="1">
      <c r="B2544" s="134" t="n"/>
      <c r="C2544" s="105" t="n"/>
      <c r="D2544" s="105" t="n"/>
      <c r="E2544" s="105" t="n"/>
      <c r="F2544" s="105" t="n"/>
      <c r="G2544" s="105" t="n"/>
      <c r="H2544" s="2" t="n"/>
      <c r="I2544" s="105" t="n"/>
      <c r="K2544" s="215" t="n"/>
      <c r="L2544" s="215" t="n"/>
      <c r="M2544" s="215" t="n"/>
      <c r="N2544" s="215" t="n"/>
      <c r="O2544" s="215" t="n"/>
      <c r="P2544" s="215" t="n"/>
      <c r="Q2544" s="215" t="n"/>
      <c r="R2544" s="215" t="n"/>
      <c r="S2544" s="215" t="n"/>
      <c r="T2544" s="215" t="n"/>
      <c r="U2544" s="215" t="n"/>
      <c r="V2544" s="215" t="n"/>
      <c r="W2544" s="215" t="n"/>
      <c r="X2544" s="215" t="n"/>
      <c r="Y2544" s="215" t="n"/>
      <c r="Z2544" s="215" t="n"/>
      <c r="AA2544" s="215" t="n"/>
      <c r="AB2544" s="215" t="n"/>
      <c r="AC2544" s="215" t="n"/>
      <c r="AD2544" s="215" t="n"/>
      <c r="AE2544" s="215" t="n"/>
      <c r="AF2544" s="215" t="n"/>
      <c r="AG2544" s="215" t="n"/>
      <c r="AH2544" s="215" t="n"/>
      <c r="AI2544" s="215" t="n"/>
      <c r="AJ2544" s="215" t="n"/>
      <c r="AK2544" s="216" t="n"/>
    </row>
    <row r="2545" ht="15" customHeight="1">
      <c r="B2545" s="134" t="n"/>
      <c r="C2545" s="105" t="n"/>
      <c r="D2545" s="105" t="n"/>
      <c r="E2545" s="105" t="n"/>
      <c r="F2545" s="105" t="n"/>
      <c r="G2545" s="105" t="n"/>
      <c r="H2545" s="2" t="n"/>
      <c r="I2545" s="105" t="n"/>
      <c r="K2545" s="215" t="n"/>
      <c r="L2545" s="215" t="n"/>
      <c r="M2545" s="215" t="n"/>
      <c r="N2545" s="215" t="n"/>
      <c r="O2545" s="215" t="n"/>
      <c r="P2545" s="215" t="n"/>
      <c r="Q2545" s="215" t="n"/>
      <c r="R2545" s="215" t="n"/>
      <c r="S2545" s="215" t="n"/>
      <c r="T2545" s="215" t="n"/>
      <c r="U2545" s="215" t="n"/>
      <c r="V2545" s="215" t="n"/>
      <c r="W2545" s="215" t="n"/>
      <c r="X2545" s="215" t="n"/>
      <c r="Y2545" s="215" t="n"/>
      <c r="Z2545" s="215" t="n"/>
      <c r="AA2545" s="215" t="n"/>
      <c r="AB2545" s="215" t="n"/>
      <c r="AC2545" s="215" t="n"/>
      <c r="AD2545" s="215" t="n"/>
      <c r="AE2545" s="215" t="n"/>
      <c r="AF2545" s="215" t="n"/>
      <c r="AG2545" s="215" t="n"/>
      <c r="AH2545" s="215" t="n"/>
      <c r="AI2545" s="215" t="n"/>
      <c r="AJ2545" s="215" t="n"/>
      <c r="AK2545" s="216" t="n"/>
    </row>
    <row r="2546" ht="15" customHeight="1">
      <c r="B2546" s="134" t="n"/>
      <c r="C2546" s="105" t="n"/>
      <c r="D2546" s="105" t="n"/>
      <c r="E2546" s="105" t="n"/>
      <c r="F2546" s="105" t="n"/>
      <c r="G2546" s="105" t="n"/>
      <c r="H2546" s="2" t="n"/>
      <c r="I2546" s="105" t="n"/>
      <c r="K2546" s="215" t="n"/>
      <c r="L2546" s="215" t="n"/>
      <c r="M2546" s="215" t="n"/>
      <c r="N2546" s="215" t="n"/>
      <c r="O2546" s="215" t="n"/>
      <c r="P2546" s="215" t="n"/>
      <c r="Q2546" s="215" t="n"/>
      <c r="R2546" s="215" t="n"/>
      <c r="S2546" s="215" t="n"/>
      <c r="T2546" s="215" t="n"/>
      <c r="U2546" s="215" t="n"/>
      <c r="V2546" s="215" t="n"/>
      <c r="W2546" s="215" t="n"/>
      <c r="X2546" s="215" t="n"/>
      <c r="Y2546" s="215" t="n"/>
      <c r="Z2546" s="215" t="n"/>
      <c r="AA2546" s="215" t="n"/>
      <c r="AB2546" s="215" t="n"/>
      <c r="AC2546" s="215" t="n"/>
      <c r="AD2546" s="215" t="n"/>
      <c r="AE2546" s="215" t="n"/>
      <c r="AF2546" s="215" t="n"/>
      <c r="AG2546" s="215" t="n"/>
      <c r="AH2546" s="215" t="n"/>
      <c r="AI2546" s="215" t="n"/>
      <c r="AJ2546" s="215" t="n"/>
      <c r="AK2546" s="216" t="n"/>
    </row>
    <row r="2547" ht="15" customHeight="1">
      <c r="B2547" s="134" t="n"/>
      <c r="C2547" s="105" t="n"/>
      <c r="D2547" s="105" t="n"/>
      <c r="E2547" s="105" t="n"/>
      <c r="F2547" s="105" t="n"/>
      <c r="G2547" s="105" t="n"/>
      <c r="H2547" s="2" t="n"/>
      <c r="I2547" s="105" t="n"/>
      <c r="K2547" s="215" t="n"/>
      <c r="L2547" s="215" t="n"/>
      <c r="M2547" s="215" t="n"/>
      <c r="N2547" s="215" t="n"/>
      <c r="O2547" s="215" t="n"/>
      <c r="P2547" s="215" t="n"/>
      <c r="Q2547" s="215" t="n"/>
      <c r="R2547" s="215" t="n"/>
      <c r="S2547" s="215" t="n"/>
      <c r="T2547" s="215" t="n"/>
      <c r="U2547" s="215" t="n"/>
      <c r="V2547" s="215" t="n"/>
      <c r="W2547" s="215" t="n"/>
      <c r="X2547" s="215" t="n"/>
      <c r="Y2547" s="215" t="n"/>
      <c r="Z2547" s="215" t="n"/>
      <c r="AA2547" s="215" t="n"/>
      <c r="AB2547" s="215" t="n"/>
      <c r="AC2547" s="215" t="n"/>
      <c r="AD2547" s="215" t="n"/>
      <c r="AE2547" s="215" t="n"/>
      <c r="AF2547" s="215" t="n"/>
      <c r="AG2547" s="215" t="n"/>
      <c r="AH2547" s="215" t="n"/>
      <c r="AI2547" s="215" t="n"/>
      <c r="AJ2547" s="215" t="n"/>
      <c r="AK2547" s="216" t="n"/>
    </row>
    <row r="2548" ht="15" customHeight="1">
      <c r="B2548" s="134" t="n"/>
      <c r="C2548" s="105" t="n"/>
      <c r="D2548" s="105" t="n"/>
      <c r="E2548" s="105" t="n"/>
      <c r="F2548" s="105" t="n"/>
      <c r="G2548" s="105" t="n"/>
      <c r="H2548" s="2" t="n"/>
      <c r="I2548" s="105" t="n"/>
      <c r="K2548" s="215" t="n"/>
      <c r="L2548" s="215" t="n"/>
      <c r="M2548" s="215" t="n"/>
      <c r="N2548" s="215" t="n"/>
      <c r="O2548" s="215" t="n"/>
      <c r="P2548" s="215" t="n"/>
      <c r="Q2548" s="215" t="n"/>
      <c r="R2548" s="215" t="n"/>
      <c r="S2548" s="215" t="n"/>
      <c r="T2548" s="215" t="n"/>
      <c r="U2548" s="215" t="n"/>
      <c r="V2548" s="215" t="n"/>
      <c r="W2548" s="215" t="n"/>
      <c r="X2548" s="215" t="n"/>
      <c r="Y2548" s="215" t="n"/>
      <c r="Z2548" s="215" t="n"/>
      <c r="AA2548" s="215" t="n"/>
      <c r="AB2548" s="215" t="n"/>
      <c r="AC2548" s="215" t="n"/>
      <c r="AD2548" s="215" t="n"/>
      <c r="AE2548" s="215" t="n"/>
      <c r="AF2548" s="215" t="n"/>
      <c r="AG2548" s="215" t="n"/>
      <c r="AH2548" s="215" t="n"/>
      <c r="AI2548" s="215" t="n"/>
      <c r="AJ2548" s="215" t="n"/>
      <c r="AK2548" s="216" t="n"/>
    </row>
    <row r="2549" ht="15" customHeight="1">
      <c r="B2549" s="134" t="n"/>
      <c r="C2549" s="105" t="n"/>
      <c r="D2549" s="105" t="n"/>
      <c r="E2549" s="105" t="n"/>
      <c r="F2549" s="105" t="n"/>
      <c r="G2549" s="105" t="n"/>
      <c r="H2549" s="2" t="n"/>
      <c r="I2549" s="105" t="n"/>
      <c r="K2549" s="215" t="n"/>
      <c r="L2549" s="215" t="n"/>
      <c r="M2549" s="215" t="n"/>
      <c r="N2549" s="215" t="n"/>
      <c r="O2549" s="215" t="n"/>
      <c r="P2549" s="215" t="n"/>
      <c r="Q2549" s="215" t="n"/>
      <c r="R2549" s="215" t="n"/>
      <c r="S2549" s="215" t="n"/>
      <c r="T2549" s="215" t="n"/>
      <c r="U2549" s="215" t="n"/>
      <c r="V2549" s="215" t="n"/>
      <c r="W2549" s="215" t="n"/>
      <c r="X2549" s="215" t="n"/>
      <c r="Y2549" s="215" t="n"/>
      <c r="Z2549" s="215" t="n"/>
      <c r="AA2549" s="215" t="n"/>
      <c r="AB2549" s="215" t="n"/>
      <c r="AC2549" s="215" t="n"/>
      <c r="AD2549" s="215" t="n"/>
      <c r="AE2549" s="215" t="n"/>
      <c r="AF2549" s="215" t="n"/>
      <c r="AG2549" s="215" t="n"/>
      <c r="AH2549" s="215" t="n"/>
      <c r="AI2549" s="215" t="n"/>
      <c r="AJ2549" s="215" t="n"/>
      <c r="AK2549" s="216" t="n"/>
    </row>
    <row r="2550" ht="15" customHeight="1">
      <c r="B2550" s="134" t="n"/>
      <c r="C2550" s="105" t="n"/>
      <c r="D2550" s="105" t="n"/>
      <c r="E2550" s="105" t="n"/>
      <c r="F2550" s="105" t="n"/>
      <c r="G2550" s="105" t="n"/>
      <c r="H2550" s="2" t="n"/>
      <c r="I2550" s="105" t="n"/>
      <c r="K2550" s="215" t="n"/>
      <c r="L2550" s="215" t="n"/>
      <c r="M2550" s="215" t="n"/>
      <c r="N2550" s="215" t="n"/>
      <c r="O2550" s="215" t="n"/>
      <c r="P2550" s="215" t="n"/>
      <c r="Q2550" s="215" t="n"/>
      <c r="R2550" s="215" t="n"/>
      <c r="S2550" s="215" t="n"/>
      <c r="T2550" s="215" t="n"/>
      <c r="U2550" s="215" t="n"/>
      <c r="V2550" s="215" t="n"/>
      <c r="W2550" s="215" t="n"/>
      <c r="X2550" s="215" t="n"/>
      <c r="Y2550" s="215" t="n"/>
      <c r="Z2550" s="215" t="n"/>
      <c r="AA2550" s="215" t="n"/>
      <c r="AB2550" s="215" t="n"/>
      <c r="AC2550" s="215" t="n"/>
      <c r="AD2550" s="215" t="n"/>
      <c r="AE2550" s="215" t="n"/>
      <c r="AF2550" s="215" t="n"/>
      <c r="AG2550" s="215" t="n"/>
      <c r="AH2550" s="215" t="n"/>
      <c r="AI2550" s="215" t="n"/>
      <c r="AJ2550" s="215" t="n"/>
      <c r="AK2550" s="216" t="n"/>
    </row>
    <row r="2551" ht="15" customHeight="1">
      <c r="B2551" s="134" t="n"/>
      <c r="C2551" s="105" t="n"/>
      <c r="D2551" s="105" t="n"/>
      <c r="E2551" s="105" t="n"/>
      <c r="F2551" s="105" t="n"/>
      <c r="G2551" s="105" t="n"/>
      <c r="H2551" s="2" t="n"/>
      <c r="I2551" s="105" t="n"/>
      <c r="K2551" s="215" t="n"/>
      <c r="L2551" s="215" t="n"/>
      <c r="M2551" s="215" t="n"/>
      <c r="N2551" s="215" t="n"/>
      <c r="O2551" s="215" t="n"/>
      <c r="P2551" s="215" t="n"/>
      <c r="Q2551" s="215" t="n"/>
      <c r="R2551" s="215" t="n"/>
      <c r="S2551" s="215" t="n"/>
      <c r="T2551" s="215" t="n"/>
      <c r="U2551" s="215" t="n"/>
      <c r="V2551" s="215" t="n"/>
      <c r="W2551" s="215" t="n"/>
      <c r="X2551" s="215" t="n"/>
      <c r="Y2551" s="215" t="n"/>
      <c r="Z2551" s="215" t="n"/>
      <c r="AA2551" s="215" t="n"/>
      <c r="AB2551" s="215" t="n"/>
      <c r="AC2551" s="215" t="n"/>
      <c r="AD2551" s="215" t="n"/>
      <c r="AE2551" s="215" t="n"/>
      <c r="AF2551" s="215" t="n"/>
      <c r="AG2551" s="215" t="n"/>
      <c r="AH2551" s="215" t="n"/>
      <c r="AI2551" s="215" t="n"/>
      <c r="AJ2551" s="215" t="n"/>
      <c r="AK2551" s="216" t="n"/>
    </row>
    <row r="2552" ht="15" customHeight="1">
      <c r="B2552" s="134" t="n"/>
      <c r="C2552" s="105" t="n"/>
      <c r="D2552" s="105" t="n"/>
      <c r="E2552" s="105" t="n"/>
      <c r="F2552" s="105" t="n"/>
      <c r="G2552" s="105" t="n"/>
      <c r="H2552" s="2" t="n"/>
      <c r="I2552" s="105" t="n"/>
      <c r="K2552" s="215" t="n"/>
      <c r="L2552" s="215" t="n"/>
      <c r="M2552" s="215" t="n"/>
      <c r="N2552" s="215" t="n"/>
      <c r="O2552" s="215" t="n"/>
      <c r="P2552" s="215" t="n"/>
      <c r="Q2552" s="215" t="n"/>
      <c r="R2552" s="215" t="n"/>
      <c r="S2552" s="215" t="n"/>
      <c r="T2552" s="215" t="n"/>
      <c r="U2552" s="215" t="n"/>
      <c r="V2552" s="215" t="n"/>
      <c r="W2552" s="215" t="n"/>
      <c r="X2552" s="215" t="n"/>
      <c r="Y2552" s="215" t="n"/>
      <c r="Z2552" s="215" t="n"/>
      <c r="AA2552" s="215" t="n"/>
      <c r="AB2552" s="215" t="n"/>
      <c r="AC2552" s="215" t="n"/>
      <c r="AD2552" s="215" t="n"/>
      <c r="AE2552" s="215" t="n"/>
      <c r="AF2552" s="215" t="n"/>
      <c r="AG2552" s="215" t="n"/>
      <c r="AH2552" s="215" t="n"/>
      <c r="AI2552" s="215" t="n"/>
      <c r="AJ2552" s="215" t="n"/>
      <c r="AK2552" s="216" t="n"/>
    </row>
    <row r="2553" ht="15" customHeight="1">
      <c r="B2553" s="134" t="n"/>
      <c r="C2553" s="105" t="n"/>
      <c r="D2553" s="105" t="n"/>
      <c r="E2553" s="105" t="n"/>
      <c r="F2553" s="105" t="n"/>
      <c r="G2553" s="105" t="n"/>
      <c r="H2553" s="2" t="n"/>
      <c r="I2553" s="105" t="n"/>
      <c r="K2553" s="215" t="n"/>
      <c r="L2553" s="215" t="n"/>
      <c r="M2553" s="215" t="n"/>
      <c r="N2553" s="215" t="n"/>
      <c r="O2553" s="215" t="n"/>
      <c r="P2553" s="215" t="n"/>
      <c r="Q2553" s="215" t="n"/>
      <c r="R2553" s="215" t="n"/>
      <c r="S2553" s="215" t="n"/>
      <c r="T2553" s="215" t="n"/>
      <c r="U2553" s="215" t="n"/>
      <c r="V2553" s="215" t="n"/>
      <c r="W2553" s="215" t="n"/>
      <c r="X2553" s="215" t="n"/>
      <c r="Y2553" s="215" t="n"/>
      <c r="Z2553" s="215" t="n"/>
      <c r="AA2553" s="215" t="n"/>
      <c r="AB2553" s="215" t="n"/>
      <c r="AC2553" s="215" t="n"/>
      <c r="AD2553" s="215" t="n"/>
      <c r="AE2553" s="215" t="n"/>
      <c r="AF2553" s="215" t="n"/>
      <c r="AG2553" s="215" t="n"/>
      <c r="AH2553" s="215" t="n"/>
      <c r="AI2553" s="215" t="n"/>
      <c r="AJ2553" s="215" t="n"/>
      <c r="AK2553" s="216" t="n"/>
    </row>
    <row r="2554" ht="15" customHeight="1">
      <c r="B2554" s="134" t="n"/>
      <c r="C2554" s="105" t="n"/>
      <c r="D2554" s="105" t="n"/>
      <c r="E2554" s="105" t="n"/>
      <c r="F2554" s="105" t="n"/>
      <c r="G2554" s="105" t="n"/>
      <c r="H2554" s="2" t="n"/>
      <c r="I2554" s="105" t="n"/>
      <c r="K2554" s="215" t="n"/>
      <c r="L2554" s="215" t="n"/>
      <c r="M2554" s="215" t="n"/>
      <c r="N2554" s="215" t="n"/>
      <c r="O2554" s="215" t="n"/>
      <c r="P2554" s="215" t="n"/>
      <c r="Q2554" s="215" t="n"/>
      <c r="R2554" s="215" t="n"/>
      <c r="S2554" s="215" t="n"/>
      <c r="T2554" s="215" t="n"/>
      <c r="U2554" s="215" t="n"/>
      <c r="V2554" s="215" t="n"/>
      <c r="W2554" s="215" t="n"/>
      <c r="X2554" s="215" t="n"/>
      <c r="Y2554" s="215" t="n"/>
      <c r="Z2554" s="215" t="n"/>
      <c r="AA2554" s="215" t="n"/>
      <c r="AB2554" s="215" t="n"/>
      <c r="AC2554" s="215" t="n"/>
      <c r="AD2554" s="215" t="n"/>
      <c r="AE2554" s="215" t="n"/>
      <c r="AF2554" s="215" t="n"/>
      <c r="AG2554" s="215" t="n"/>
      <c r="AH2554" s="215" t="n"/>
      <c r="AI2554" s="215" t="n"/>
      <c r="AJ2554" s="215" t="n"/>
      <c r="AK2554" s="216" t="n"/>
    </row>
    <row r="2555" ht="15" customHeight="1">
      <c r="B2555" s="134" t="n"/>
      <c r="C2555" s="105" t="n"/>
      <c r="D2555" s="105" t="n"/>
      <c r="E2555" s="105" t="n"/>
      <c r="F2555" s="105" t="n"/>
      <c r="G2555" s="105" t="n"/>
      <c r="H2555" s="2" t="n"/>
      <c r="I2555" s="105" t="n"/>
      <c r="K2555" s="215" t="n"/>
      <c r="L2555" s="215" t="n"/>
      <c r="M2555" s="215" t="n"/>
      <c r="N2555" s="215" t="n"/>
      <c r="O2555" s="215" t="n"/>
      <c r="P2555" s="215" t="n"/>
      <c r="Q2555" s="215" t="n"/>
      <c r="R2555" s="215" t="n"/>
      <c r="S2555" s="215" t="n"/>
      <c r="T2555" s="215" t="n"/>
      <c r="U2555" s="215" t="n"/>
      <c r="V2555" s="215" t="n"/>
      <c r="W2555" s="215" t="n"/>
      <c r="X2555" s="215" t="n"/>
      <c r="Y2555" s="215" t="n"/>
      <c r="Z2555" s="215" t="n"/>
      <c r="AA2555" s="215" t="n"/>
      <c r="AB2555" s="215" t="n"/>
      <c r="AC2555" s="215" t="n"/>
      <c r="AD2555" s="215" t="n"/>
      <c r="AE2555" s="215" t="n"/>
      <c r="AF2555" s="215" t="n"/>
      <c r="AG2555" s="215" t="n"/>
      <c r="AH2555" s="215" t="n"/>
      <c r="AI2555" s="215" t="n"/>
      <c r="AJ2555" s="215" t="n"/>
      <c r="AK2555" s="216" t="n"/>
    </row>
    <row r="2556" ht="15" customHeight="1">
      <c r="B2556" s="134" t="n"/>
      <c r="C2556" s="105" t="n"/>
      <c r="D2556" s="105" t="n"/>
      <c r="E2556" s="105" t="n"/>
      <c r="F2556" s="105" t="n"/>
      <c r="G2556" s="105" t="n"/>
      <c r="H2556" s="2" t="n"/>
      <c r="I2556" s="105" t="n"/>
      <c r="K2556" s="215" t="n"/>
      <c r="L2556" s="215" t="n"/>
      <c r="M2556" s="215" t="n"/>
      <c r="N2556" s="215" t="n"/>
      <c r="O2556" s="215" t="n"/>
      <c r="P2556" s="215" t="n"/>
      <c r="Q2556" s="215" t="n"/>
      <c r="R2556" s="215" t="n"/>
      <c r="S2556" s="215" t="n"/>
      <c r="T2556" s="215" t="n"/>
      <c r="U2556" s="215" t="n"/>
      <c r="V2556" s="215" t="n"/>
      <c r="W2556" s="215" t="n"/>
      <c r="X2556" s="215" t="n"/>
      <c r="Y2556" s="215" t="n"/>
      <c r="Z2556" s="215" t="n"/>
      <c r="AA2556" s="215" t="n"/>
      <c r="AB2556" s="215" t="n"/>
      <c r="AC2556" s="215" t="n"/>
      <c r="AD2556" s="215" t="n"/>
      <c r="AE2556" s="215" t="n"/>
      <c r="AF2556" s="215" t="n"/>
      <c r="AG2556" s="215" t="n"/>
      <c r="AH2556" s="215" t="n"/>
      <c r="AI2556" s="215" t="n"/>
      <c r="AJ2556" s="215" t="n"/>
      <c r="AK2556" s="216" t="n"/>
    </row>
    <row r="2557" ht="15" customHeight="1">
      <c r="B2557" s="134" t="n"/>
      <c r="C2557" s="105" t="n"/>
      <c r="D2557" s="105" t="n"/>
      <c r="E2557" s="105" t="n"/>
      <c r="F2557" s="105" t="n"/>
      <c r="G2557" s="105" t="n"/>
      <c r="H2557" s="2" t="n"/>
      <c r="I2557" s="105" t="n"/>
      <c r="K2557" s="215" t="n"/>
      <c r="L2557" s="215" t="n"/>
      <c r="M2557" s="215" t="n"/>
      <c r="N2557" s="215" t="n"/>
      <c r="O2557" s="215" t="n"/>
      <c r="P2557" s="215" t="n"/>
      <c r="Q2557" s="215" t="n"/>
      <c r="R2557" s="215" t="n"/>
      <c r="S2557" s="215" t="n"/>
      <c r="T2557" s="215" t="n"/>
      <c r="U2557" s="215" t="n"/>
      <c r="V2557" s="215" t="n"/>
      <c r="W2557" s="215" t="n"/>
      <c r="X2557" s="215" t="n"/>
      <c r="Y2557" s="215" t="n"/>
      <c r="Z2557" s="215" t="n"/>
      <c r="AA2557" s="215" t="n"/>
      <c r="AB2557" s="215" t="n"/>
      <c r="AC2557" s="215" t="n"/>
      <c r="AD2557" s="215" t="n"/>
      <c r="AE2557" s="215" t="n"/>
      <c r="AF2557" s="215" t="n"/>
      <c r="AG2557" s="215" t="n"/>
      <c r="AH2557" s="215" t="n"/>
      <c r="AI2557" s="215" t="n"/>
      <c r="AJ2557" s="215" t="n"/>
      <c r="AK2557" s="216" t="n"/>
    </row>
    <row r="2558" ht="15" customHeight="1">
      <c r="B2558" s="134" t="n"/>
      <c r="C2558" s="105" t="n"/>
      <c r="D2558" s="105" t="n"/>
      <c r="E2558" s="105" t="n"/>
      <c r="F2558" s="105" t="n"/>
      <c r="G2558" s="105" t="n"/>
      <c r="H2558" s="2" t="n"/>
      <c r="I2558" s="105" t="n"/>
      <c r="K2558" s="215" t="n"/>
      <c r="L2558" s="215" t="n"/>
      <c r="M2558" s="215" t="n"/>
      <c r="N2558" s="215" t="n"/>
      <c r="O2558" s="215" t="n"/>
      <c r="P2558" s="215" t="n"/>
      <c r="Q2558" s="215" t="n"/>
      <c r="R2558" s="215" t="n"/>
      <c r="S2558" s="215" t="n"/>
      <c r="T2558" s="215" t="n"/>
      <c r="U2558" s="215" t="n"/>
      <c r="V2558" s="215" t="n"/>
      <c r="W2558" s="215" t="n"/>
      <c r="X2558" s="215" t="n"/>
      <c r="Y2558" s="215" t="n"/>
      <c r="Z2558" s="215" t="n"/>
      <c r="AA2558" s="215" t="n"/>
      <c r="AB2558" s="215" t="n"/>
      <c r="AC2558" s="215" t="n"/>
      <c r="AD2558" s="215" t="n"/>
      <c r="AE2558" s="215" t="n"/>
      <c r="AF2558" s="215" t="n"/>
      <c r="AG2558" s="215" t="n"/>
      <c r="AH2558" s="215" t="n"/>
      <c r="AI2558" s="215" t="n"/>
      <c r="AJ2558" s="215" t="n"/>
      <c r="AK2558" s="216" t="n"/>
    </row>
    <row r="2559" ht="15" customHeight="1">
      <c r="B2559" s="134" t="n"/>
      <c r="C2559" s="105" t="n"/>
      <c r="D2559" s="105" t="n"/>
      <c r="E2559" s="105" t="n"/>
      <c r="F2559" s="105" t="n"/>
      <c r="G2559" s="105" t="n"/>
      <c r="H2559" s="2" t="n"/>
      <c r="I2559" s="105" t="n"/>
      <c r="K2559" s="215" t="n"/>
      <c r="L2559" s="215" t="n"/>
      <c r="M2559" s="215" t="n"/>
      <c r="N2559" s="215" t="n"/>
      <c r="O2559" s="215" t="n"/>
      <c r="P2559" s="215" t="n"/>
      <c r="Q2559" s="215" t="n"/>
      <c r="R2559" s="215" t="n"/>
      <c r="S2559" s="215" t="n"/>
      <c r="T2559" s="215" t="n"/>
      <c r="U2559" s="215" t="n"/>
      <c r="V2559" s="215" t="n"/>
      <c r="W2559" s="215" t="n"/>
      <c r="X2559" s="215" t="n"/>
      <c r="Y2559" s="215" t="n"/>
      <c r="Z2559" s="215" t="n"/>
      <c r="AA2559" s="215" t="n"/>
      <c r="AB2559" s="215" t="n"/>
      <c r="AC2559" s="215" t="n"/>
      <c r="AD2559" s="215" t="n"/>
      <c r="AE2559" s="215" t="n"/>
      <c r="AF2559" s="215" t="n"/>
      <c r="AG2559" s="215" t="n"/>
      <c r="AH2559" s="215" t="n"/>
      <c r="AI2559" s="215" t="n"/>
      <c r="AJ2559" s="215" t="n"/>
      <c r="AK2559" s="216" t="n"/>
    </row>
    <row r="2560" ht="15" customHeight="1">
      <c r="B2560" s="134" t="n"/>
      <c r="C2560" s="105" t="n"/>
      <c r="D2560" s="105" t="n"/>
      <c r="E2560" s="105" t="n"/>
      <c r="F2560" s="105" t="n"/>
      <c r="G2560" s="105" t="n"/>
      <c r="H2560" s="2" t="n"/>
      <c r="I2560" s="105" t="n"/>
      <c r="K2560" s="215" t="n"/>
      <c r="L2560" s="215" t="n"/>
      <c r="M2560" s="215" t="n"/>
      <c r="N2560" s="215" t="n"/>
      <c r="O2560" s="215" t="n"/>
      <c r="P2560" s="215" t="n"/>
      <c r="Q2560" s="215" t="n"/>
      <c r="R2560" s="215" t="n"/>
      <c r="S2560" s="215" t="n"/>
      <c r="T2560" s="215" t="n"/>
      <c r="U2560" s="215" t="n"/>
      <c r="V2560" s="215" t="n"/>
      <c r="W2560" s="215" t="n"/>
      <c r="X2560" s="215" t="n"/>
      <c r="Y2560" s="215" t="n"/>
      <c r="Z2560" s="215" t="n"/>
      <c r="AA2560" s="215" t="n"/>
      <c r="AB2560" s="215" t="n"/>
      <c r="AC2560" s="215" t="n"/>
      <c r="AD2560" s="215" t="n"/>
      <c r="AE2560" s="215" t="n"/>
      <c r="AF2560" s="215" t="n"/>
      <c r="AG2560" s="215" t="n"/>
      <c r="AH2560" s="215" t="n"/>
      <c r="AI2560" s="215" t="n"/>
      <c r="AJ2560" s="215" t="n"/>
      <c r="AK2560" s="216" t="n"/>
    </row>
    <row r="2561" ht="15" customHeight="1">
      <c r="B2561" s="134" t="n"/>
      <c r="C2561" s="105" t="n"/>
      <c r="D2561" s="105" t="n"/>
      <c r="E2561" s="105" t="n"/>
      <c r="F2561" s="105" t="n"/>
      <c r="G2561" s="105" t="n"/>
      <c r="H2561" s="2" t="n"/>
      <c r="I2561" s="105" t="n"/>
      <c r="K2561" s="215" t="n"/>
      <c r="L2561" s="215" t="n"/>
      <c r="M2561" s="215" t="n"/>
      <c r="N2561" s="215" t="n"/>
      <c r="O2561" s="215" t="n"/>
      <c r="P2561" s="215" t="n"/>
      <c r="Q2561" s="215" t="n"/>
      <c r="R2561" s="215" t="n"/>
      <c r="S2561" s="215" t="n"/>
      <c r="T2561" s="215" t="n"/>
      <c r="U2561" s="215" t="n"/>
      <c r="V2561" s="215" t="n"/>
      <c r="W2561" s="215" t="n"/>
      <c r="X2561" s="215" t="n"/>
      <c r="Y2561" s="215" t="n"/>
      <c r="Z2561" s="215" t="n"/>
      <c r="AA2561" s="215" t="n"/>
      <c r="AB2561" s="215" t="n"/>
      <c r="AC2561" s="215" t="n"/>
      <c r="AD2561" s="215" t="n"/>
      <c r="AE2561" s="215" t="n"/>
      <c r="AF2561" s="215" t="n"/>
      <c r="AG2561" s="215" t="n"/>
      <c r="AH2561" s="215" t="n"/>
      <c r="AI2561" s="215" t="n"/>
      <c r="AJ2561" s="215" t="n"/>
      <c r="AK2561" s="216" t="n"/>
    </row>
    <row r="2562" ht="15" customHeight="1">
      <c r="B2562" s="134" t="n"/>
      <c r="C2562" s="105" t="n"/>
      <c r="D2562" s="105" t="n"/>
      <c r="E2562" s="105" t="n"/>
      <c r="F2562" s="105" t="n"/>
      <c r="G2562" s="105" t="n"/>
      <c r="H2562" s="2" t="n"/>
      <c r="I2562" s="105" t="n"/>
      <c r="K2562" s="215" t="n"/>
      <c r="L2562" s="215" t="n"/>
      <c r="M2562" s="215" t="n"/>
      <c r="N2562" s="215" t="n"/>
      <c r="O2562" s="215" t="n"/>
      <c r="P2562" s="215" t="n"/>
      <c r="Q2562" s="215" t="n"/>
      <c r="R2562" s="215" t="n"/>
      <c r="S2562" s="215" t="n"/>
      <c r="T2562" s="215" t="n"/>
      <c r="U2562" s="215" t="n"/>
      <c r="V2562" s="215" t="n"/>
      <c r="W2562" s="215" t="n"/>
      <c r="X2562" s="215" t="n"/>
      <c r="Y2562" s="215" t="n"/>
      <c r="Z2562" s="215" t="n"/>
      <c r="AA2562" s="215" t="n"/>
      <c r="AB2562" s="215" t="n"/>
      <c r="AC2562" s="215" t="n"/>
      <c r="AD2562" s="215" t="n"/>
      <c r="AE2562" s="215" t="n"/>
      <c r="AF2562" s="215" t="n"/>
      <c r="AG2562" s="215" t="n"/>
      <c r="AH2562" s="215" t="n"/>
      <c r="AI2562" s="215" t="n"/>
      <c r="AJ2562" s="215" t="n"/>
      <c r="AK2562" s="216" t="n"/>
    </row>
    <row r="2563" ht="15" customHeight="1">
      <c r="B2563" s="134" t="n"/>
      <c r="C2563" s="105" t="n"/>
      <c r="D2563" s="105" t="n"/>
      <c r="E2563" s="105" t="n"/>
      <c r="F2563" s="105" t="n"/>
      <c r="G2563" s="105" t="n"/>
      <c r="H2563" s="2" t="n"/>
      <c r="I2563" s="105" t="n"/>
      <c r="K2563" s="215" t="n"/>
      <c r="L2563" s="215" t="n"/>
      <c r="M2563" s="215" t="n"/>
      <c r="N2563" s="215" t="n"/>
      <c r="O2563" s="215" t="n"/>
      <c r="P2563" s="215" t="n"/>
      <c r="Q2563" s="215" t="n"/>
      <c r="R2563" s="215" t="n"/>
      <c r="S2563" s="215" t="n"/>
      <c r="T2563" s="215" t="n"/>
      <c r="U2563" s="215" t="n"/>
      <c r="V2563" s="215" t="n"/>
      <c r="W2563" s="215" t="n"/>
      <c r="X2563" s="215" t="n"/>
      <c r="Y2563" s="215" t="n"/>
      <c r="Z2563" s="215" t="n"/>
      <c r="AA2563" s="215" t="n"/>
      <c r="AB2563" s="215" t="n"/>
      <c r="AC2563" s="215" t="n"/>
      <c r="AD2563" s="215" t="n"/>
      <c r="AE2563" s="215" t="n"/>
      <c r="AF2563" s="215" t="n"/>
      <c r="AG2563" s="215" t="n"/>
      <c r="AH2563" s="215" t="n"/>
      <c r="AI2563" s="215" t="n"/>
      <c r="AJ2563" s="215" t="n"/>
      <c r="AK2563" s="216" t="n"/>
    </row>
    <row r="2564" ht="15" customHeight="1">
      <c r="B2564" s="134" t="n"/>
      <c r="C2564" s="105" t="n"/>
      <c r="D2564" s="105" t="n"/>
      <c r="E2564" s="105" t="n"/>
      <c r="F2564" s="105" t="n"/>
      <c r="G2564" s="105" t="n"/>
      <c r="H2564" s="2" t="n"/>
      <c r="I2564" s="105" t="n"/>
      <c r="K2564" s="215" t="n"/>
      <c r="L2564" s="215" t="n"/>
      <c r="M2564" s="215" t="n"/>
      <c r="N2564" s="215" t="n"/>
      <c r="O2564" s="215" t="n"/>
      <c r="P2564" s="215" t="n"/>
      <c r="Q2564" s="215" t="n"/>
      <c r="R2564" s="215" t="n"/>
      <c r="S2564" s="215" t="n"/>
      <c r="T2564" s="215" t="n"/>
      <c r="U2564" s="215" t="n"/>
      <c r="V2564" s="215" t="n"/>
      <c r="W2564" s="215" t="n"/>
      <c r="X2564" s="215" t="n"/>
      <c r="Y2564" s="215" t="n"/>
      <c r="Z2564" s="215" t="n"/>
      <c r="AA2564" s="215" t="n"/>
      <c r="AB2564" s="215" t="n"/>
      <c r="AC2564" s="215" t="n"/>
      <c r="AD2564" s="215" t="n"/>
      <c r="AE2564" s="215" t="n"/>
      <c r="AF2564" s="215" t="n"/>
      <c r="AG2564" s="215" t="n"/>
      <c r="AH2564" s="215" t="n"/>
      <c r="AI2564" s="215" t="n"/>
      <c r="AJ2564" s="215" t="n"/>
      <c r="AK2564" s="216" t="n"/>
    </row>
    <row r="2565" ht="15" customHeight="1">
      <c r="B2565" s="134" t="n"/>
      <c r="C2565" s="105" t="n"/>
      <c r="D2565" s="105" t="n"/>
      <c r="E2565" s="105" t="n"/>
      <c r="F2565" s="105" t="n"/>
      <c r="G2565" s="105" t="n"/>
      <c r="H2565" s="2" t="n"/>
      <c r="I2565" s="105" t="n"/>
      <c r="K2565" s="215" t="n"/>
      <c r="L2565" s="215" t="n"/>
      <c r="M2565" s="215" t="n"/>
      <c r="N2565" s="215" t="n"/>
      <c r="O2565" s="215" t="n"/>
      <c r="P2565" s="215" t="n"/>
      <c r="Q2565" s="215" t="n"/>
      <c r="R2565" s="215" t="n"/>
      <c r="S2565" s="215" t="n"/>
      <c r="T2565" s="215" t="n"/>
      <c r="U2565" s="215" t="n"/>
      <c r="V2565" s="215" t="n"/>
      <c r="W2565" s="215" t="n"/>
      <c r="X2565" s="215" t="n"/>
      <c r="Y2565" s="215" t="n"/>
      <c r="Z2565" s="215" t="n"/>
      <c r="AA2565" s="215" t="n"/>
      <c r="AB2565" s="215" t="n"/>
      <c r="AC2565" s="215" t="n"/>
      <c r="AD2565" s="215" t="n"/>
      <c r="AE2565" s="215" t="n"/>
      <c r="AF2565" s="215" t="n"/>
      <c r="AG2565" s="215" t="n"/>
      <c r="AH2565" s="215" t="n"/>
      <c r="AI2565" s="215" t="n"/>
      <c r="AJ2565" s="215" t="n"/>
      <c r="AK2565" s="216" t="n"/>
    </row>
    <row r="2566" ht="15" customHeight="1">
      <c r="B2566" s="134" t="n"/>
      <c r="C2566" s="105" t="n"/>
      <c r="D2566" s="105" t="n"/>
      <c r="E2566" s="105" t="n"/>
      <c r="F2566" s="105" t="n"/>
      <c r="G2566" s="105" t="n"/>
      <c r="H2566" s="2" t="n"/>
      <c r="I2566" s="105" t="n"/>
      <c r="K2566" s="215" t="n"/>
      <c r="L2566" s="215" t="n"/>
      <c r="M2566" s="215" t="n"/>
      <c r="N2566" s="215" t="n"/>
      <c r="O2566" s="215" t="n"/>
      <c r="P2566" s="215" t="n"/>
      <c r="Q2566" s="215" t="n"/>
      <c r="R2566" s="215" t="n"/>
      <c r="S2566" s="215" t="n"/>
      <c r="T2566" s="215" t="n"/>
      <c r="U2566" s="215" t="n"/>
      <c r="V2566" s="215" t="n"/>
      <c r="W2566" s="215" t="n"/>
      <c r="X2566" s="215" t="n"/>
      <c r="Y2566" s="215" t="n"/>
      <c r="Z2566" s="215" t="n"/>
      <c r="AA2566" s="215" t="n"/>
      <c r="AB2566" s="215" t="n"/>
      <c r="AC2566" s="215" t="n"/>
      <c r="AD2566" s="215" t="n"/>
      <c r="AE2566" s="215" t="n"/>
      <c r="AF2566" s="215" t="n"/>
      <c r="AG2566" s="215" t="n"/>
      <c r="AH2566" s="215" t="n"/>
      <c r="AI2566" s="215" t="n"/>
      <c r="AJ2566" s="215" t="n"/>
      <c r="AK2566" s="216" t="n"/>
    </row>
    <row r="2567" ht="15" customHeight="1">
      <c r="B2567" s="134" t="n"/>
      <c r="C2567" s="105" t="n"/>
      <c r="D2567" s="105" t="n"/>
      <c r="E2567" s="105" t="n"/>
      <c r="F2567" s="105" t="n"/>
      <c r="G2567" s="105" t="n"/>
      <c r="H2567" s="2" t="n"/>
      <c r="I2567" s="105" t="n"/>
      <c r="K2567" s="215" t="n"/>
      <c r="L2567" s="215" t="n"/>
      <c r="M2567" s="215" t="n"/>
      <c r="N2567" s="215" t="n"/>
      <c r="O2567" s="215" t="n"/>
      <c r="P2567" s="215" t="n"/>
      <c r="Q2567" s="215" t="n"/>
      <c r="R2567" s="215" t="n"/>
      <c r="S2567" s="215" t="n"/>
      <c r="T2567" s="215" t="n"/>
      <c r="U2567" s="215" t="n"/>
      <c r="V2567" s="215" t="n"/>
      <c r="W2567" s="215" t="n"/>
      <c r="X2567" s="215" t="n"/>
      <c r="Y2567" s="215" t="n"/>
      <c r="Z2567" s="215" t="n"/>
      <c r="AA2567" s="215" t="n"/>
      <c r="AB2567" s="215" t="n"/>
      <c r="AC2567" s="215" t="n"/>
      <c r="AD2567" s="215" t="n"/>
      <c r="AE2567" s="215" t="n"/>
      <c r="AF2567" s="215" t="n"/>
      <c r="AG2567" s="215" t="n"/>
      <c r="AH2567" s="215" t="n"/>
      <c r="AI2567" s="215" t="n"/>
      <c r="AJ2567" s="215" t="n"/>
      <c r="AK2567" s="216" t="n"/>
    </row>
    <row r="2568" ht="15" customHeight="1">
      <c r="B2568" s="134" t="n"/>
      <c r="C2568" s="105" t="n"/>
      <c r="D2568" s="105" t="n"/>
      <c r="E2568" s="105" t="n"/>
      <c r="F2568" s="105" t="n"/>
      <c r="G2568" s="105" t="n"/>
      <c r="H2568" s="2" t="n"/>
      <c r="I2568" s="105" t="n"/>
      <c r="K2568" s="215" t="n"/>
      <c r="L2568" s="215" t="n"/>
      <c r="M2568" s="215" t="n"/>
      <c r="N2568" s="215" t="n"/>
      <c r="O2568" s="215" t="n"/>
      <c r="P2568" s="215" t="n"/>
      <c r="Q2568" s="215" t="n"/>
      <c r="R2568" s="215" t="n"/>
      <c r="S2568" s="215" t="n"/>
      <c r="T2568" s="215" t="n"/>
      <c r="U2568" s="215" t="n"/>
      <c r="V2568" s="215" t="n"/>
      <c r="W2568" s="215" t="n"/>
      <c r="X2568" s="215" t="n"/>
      <c r="Y2568" s="215" t="n"/>
      <c r="Z2568" s="215" t="n"/>
      <c r="AA2568" s="215" t="n"/>
      <c r="AB2568" s="215" t="n"/>
      <c r="AC2568" s="215" t="n"/>
      <c r="AD2568" s="215" t="n"/>
      <c r="AE2568" s="215" t="n"/>
      <c r="AF2568" s="215" t="n"/>
      <c r="AG2568" s="215" t="n"/>
      <c r="AH2568" s="215" t="n"/>
      <c r="AI2568" s="215" t="n"/>
      <c r="AJ2568" s="215" t="n"/>
      <c r="AK2568" s="216" t="n"/>
    </row>
    <row r="2569" ht="15" customHeight="1">
      <c r="B2569" s="134" t="n"/>
      <c r="C2569" s="105" t="n"/>
      <c r="D2569" s="105" t="n"/>
      <c r="E2569" s="105" t="n"/>
      <c r="F2569" s="105" t="n"/>
      <c r="G2569" s="105" t="n"/>
      <c r="H2569" s="2" t="n"/>
      <c r="I2569" s="105" t="n"/>
      <c r="K2569" s="215" t="n"/>
      <c r="L2569" s="215" t="n"/>
      <c r="M2569" s="215" t="n"/>
      <c r="N2569" s="215" t="n"/>
      <c r="O2569" s="215" t="n"/>
      <c r="P2569" s="215" t="n"/>
      <c r="Q2569" s="215" t="n"/>
      <c r="R2569" s="215" t="n"/>
      <c r="S2569" s="215" t="n"/>
      <c r="T2569" s="215" t="n"/>
      <c r="U2569" s="215" t="n"/>
      <c r="V2569" s="215" t="n"/>
      <c r="W2569" s="215" t="n"/>
      <c r="X2569" s="215" t="n"/>
      <c r="Y2569" s="215" t="n"/>
      <c r="Z2569" s="215" t="n"/>
      <c r="AA2569" s="215" t="n"/>
      <c r="AB2569" s="215" t="n"/>
      <c r="AC2569" s="215" t="n"/>
      <c r="AD2569" s="215" t="n"/>
      <c r="AE2569" s="215" t="n"/>
      <c r="AF2569" s="215" t="n"/>
      <c r="AG2569" s="215" t="n"/>
      <c r="AH2569" s="215" t="n"/>
      <c r="AI2569" s="215" t="n"/>
      <c r="AJ2569" s="215" t="n"/>
      <c r="AK2569" s="216" t="n"/>
    </row>
    <row r="2570" ht="15" customHeight="1">
      <c r="B2570" s="134" t="n"/>
      <c r="C2570" s="105" t="n"/>
      <c r="D2570" s="105" t="n"/>
      <c r="E2570" s="105" t="n"/>
      <c r="F2570" s="105" t="n"/>
      <c r="G2570" s="105" t="n"/>
      <c r="H2570" s="2" t="n"/>
      <c r="I2570" s="105" t="n"/>
      <c r="K2570" s="215" t="n"/>
      <c r="L2570" s="215" t="n"/>
      <c r="M2570" s="215" t="n"/>
      <c r="N2570" s="215" t="n"/>
      <c r="O2570" s="215" t="n"/>
      <c r="P2570" s="215" t="n"/>
      <c r="Q2570" s="215" t="n"/>
      <c r="R2570" s="215" t="n"/>
      <c r="S2570" s="215" t="n"/>
      <c r="T2570" s="215" t="n"/>
      <c r="U2570" s="215" t="n"/>
      <c r="V2570" s="215" t="n"/>
      <c r="W2570" s="215" t="n"/>
      <c r="X2570" s="215" t="n"/>
      <c r="Y2570" s="215" t="n"/>
      <c r="Z2570" s="215" t="n"/>
      <c r="AA2570" s="215" t="n"/>
      <c r="AB2570" s="215" t="n"/>
      <c r="AC2570" s="215" t="n"/>
      <c r="AD2570" s="215" t="n"/>
      <c r="AE2570" s="215" t="n"/>
      <c r="AF2570" s="215" t="n"/>
      <c r="AG2570" s="215" t="n"/>
      <c r="AH2570" s="215" t="n"/>
      <c r="AI2570" s="215" t="n"/>
      <c r="AJ2570" s="215" t="n"/>
      <c r="AK2570" s="216" t="n"/>
    </row>
    <row r="2571" ht="15" customHeight="1">
      <c r="B2571" s="134" t="n"/>
      <c r="C2571" s="105" t="n"/>
      <c r="D2571" s="105" t="n"/>
      <c r="E2571" s="105" t="n"/>
      <c r="F2571" s="105" t="n"/>
      <c r="G2571" s="105" t="n"/>
      <c r="H2571" s="2" t="n"/>
      <c r="I2571" s="105" t="n"/>
      <c r="K2571" s="215" t="n"/>
      <c r="L2571" s="215" t="n"/>
      <c r="M2571" s="215" t="n"/>
      <c r="N2571" s="215" t="n"/>
      <c r="O2571" s="215" t="n"/>
      <c r="P2571" s="215" t="n"/>
      <c r="Q2571" s="215" t="n"/>
      <c r="R2571" s="215" t="n"/>
      <c r="S2571" s="215" t="n"/>
      <c r="T2571" s="215" t="n"/>
      <c r="U2571" s="215" t="n"/>
      <c r="V2571" s="215" t="n"/>
      <c r="W2571" s="215" t="n"/>
      <c r="X2571" s="215" t="n"/>
      <c r="Y2571" s="215" t="n"/>
      <c r="Z2571" s="215" t="n"/>
      <c r="AA2571" s="215" t="n"/>
      <c r="AB2571" s="215" t="n"/>
      <c r="AC2571" s="215" t="n"/>
      <c r="AD2571" s="215" t="n"/>
      <c r="AE2571" s="215" t="n"/>
      <c r="AF2571" s="215" t="n"/>
      <c r="AG2571" s="215" t="n"/>
      <c r="AH2571" s="215" t="n"/>
      <c r="AI2571" s="215" t="n"/>
      <c r="AJ2571" s="215" t="n"/>
      <c r="AK2571" s="216" t="n"/>
    </row>
    <row r="2572" ht="15" customHeight="1">
      <c r="B2572" s="134" t="n"/>
      <c r="C2572" s="105" t="n"/>
      <c r="D2572" s="105" t="n"/>
      <c r="E2572" s="105" t="n"/>
      <c r="F2572" s="105" t="n"/>
      <c r="G2572" s="105" t="n"/>
      <c r="H2572" s="2" t="n"/>
      <c r="I2572" s="105" t="n"/>
      <c r="K2572" s="215" t="n"/>
      <c r="L2572" s="215" t="n"/>
      <c r="M2572" s="215" t="n"/>
      <c r="N2572" s="215" t="n"/>
      <c r="O2572" s="215" t="n"/>
      <c r="P2572" s="215" t="n"/>
      <c r="Q2572" s="215" t="n"/>
      <c r="R2572" s="215" t="n"/>
      <c r="S2572" s="215" t="n"/>
      <c r="T2572" s="215" t="n"/>
      <c r="U2572" s="215" t="n"/>
      <c r="V2572" s="215" t="n"/>
      <c r="W2572" s="215" t="n"/>
      <c r="X2572" s="215" t="n"/>
      <c r="Y2572" s="215" t="n"/>
      <c r="Z2572" s="215" t="n"/>
      <c r="AA2572" s="215" t="n"/>
      <c r="AB2572" s="215" t="n"/>
      <c r="AC2572" s="215" t="n"/>
      <c r="AD2572" s="215" t="n"/>
      <c r="AE2572" s="215" t="n"/>
      <c r="AF2572" s="215" t="n"/>
      <c r="AG2572" s="215" t="n"/>
      <c r="AH2572" s="215" t="n"/>
      <c r="AI2572" s="215" t="n"/>
      <c r="AJ2572" s="215" t="n"/>
      <c r="AK2572" s="216" t="n"/>
    </row>
    <row r="2573" ht="15" customHeight="1">
      <c r="B2573" s="134" t="n"/>
      <c r="C2573" s="105" t="n"/>
      <c r="D2573" s="105" t="n"/>
      <c r="E2573" s="105" t="n"/>
      <c r="F2573" s="105" t="n"/>
      <c r="G2573" s="105" t="n"/>
      <c r="H2573" s="2" t="n"/>
      <c r="I2573" s="105" t="n"/>
      <c r="K2573" s="215" t="n"/>
      <c r="L2573" s="215" t="n"/>
      <c r="M2573" s="215" t="n"/>
      <c r="N2573" s="215" t="n"/>
      <c r="O2573" s="215" t="n"/>
      <c r="P2573" s="215" t="n"/>
      <c r="Q2573" s="215" t="n"/>
      <c r="R2573" s="215" t="n"/>
      <c r="S2573" s="215" t="n"/>
      <c r="T2573" s="215" t="n"/>
      <c r="U2573" s="215" t="n"/>
      <c r="V2573" s="215" t="n"/>
      <c r="W2573" s="215" t="n"/>
      <c r="X2573" s="215" t="n"/>
      <c r="Y2573" s="215" t="n"/>
      <c r="Z2573" s="215" t="n"/>
      <c r="AA2573" s="215" t="n"/>
      <c r="AB2573" s="215" t="n"/>
      <c r="AC2573" s="215" t="n"/>
      <c r="AD2573" s="215" t="n"/>
      <c r="AE2573" s="215" t="n"/>
      <c r="AF2573" s="215" t="n"/>
      <c r="AG2573" s="215" t="n"/>
      <c r="AH2573" s="215" t="n"/>
      <c r="AI2573" s="215" t="n"/>
      <c r="AJ2573" s="215" t="n"/>
      <c r="AK2573" s="216" t="n"/>
    </row>
    <row r="2574" ht="15" customHeight="1">
      <c r="B2574" s="134" t="n"/>
      <c r="C2574" s="105" t="n"/>
      <c r="D2574" s="105" t="n"/>
      <c r="E2574" s="105" t="n"/>
      <c r="F2574" s="105" t="n"/>
      <c r="G2574" s="105" t="n"/>
      <c r="H2574" s="2" t="n"/>
      <c r="I2574" s="105" t="n"/>
      <c r="K2574" s="215" t="n"/>
      <c r="L2574" s="215" t="n"/>
      <c r="M2574" s="215" t="n"/>
      <c r="N2574" s="215" t="n"/>
      <c r="O2574" s="215" t="n"/>
      <c r="P2574" s="215" t="n"/>
      <c r="Q2574" s="215" t="n"/>
      <c r="R2574" s="215" t="n"/>
      <c r="S2574" s="215" t="n"/>
      <c r="T2574" s="215" t="n"/>
      <c r="U2574" s="215" t="n"/>
      <c r="V2574" s="215" t="n"/>
      <c r="W2574" s="215" t="n"/>
      <c r="X2574" s="215" t="n"/>
      <c r="Y2574" s="215" t="n"/>
      <c r="Z2574" s="215" t="n"/>
      <c r="AA2574" s="215" t="n"/>
      <c r="AB2574" s="215" t="n"/>
      <c r="AC2574" s="215" t="n"/>
      <c r="AD2574" s="215" t="n"/>
      <c r="AE2574" s="215" t="n"/>
      <c r="AF2574" s="215" t="n"/>
      <c r="AG2574" s="215" t="n"/>
      <c r="AH2574" s="215" t="n"/>
      <c r="AI2574" s="215" t="n"/>
      <c r="AJ2574" s="215" t="n"/>
      <c r="AK2574" s="216" t="n"/>
    </row>
    <row r="2575" ht="15" customHeight="1">
      <c r="B2575" s="134" t="n"/>
      <c r="C2575" s="105" t="n"/>
      <c r="D2575" s="105" t="n"/>
      <c r="E2575" s="105" t="n"/>
      <c r="F2575" s="105" t="n"/>
      <c r="G2575" s="105" t="n"/>
      <c r="H2575" s="2" t="n"/>
      <c r="I2575" s="105" t="n"/>
      <c r="K2575" s="215" t="n"/>
      <c r="L2575" s="215" t="n"/>
      <c r="M2575" s="215" t="n"/>
      <c r="N2575" s="215" t="n"/>
      <c r="O2575" s="215" t="n"/>
      <c r="P2575" s="215" t="n"/>
      <c r="Q2575" s="215" t="n"/>
      <c r="R2575" s="215" t="n"/>
      <c r="S2575" s="215" t="n"/>
      <c r="T2575" s="215" t="n"/>
      <c r="U2575" s="215" t="n"/>
      <c r="V2575" s="215" t="n"/>
      <c r="W2575" s="215" t="n"/>
      <c r="X2575" s="215" t="n"/>
      <c r="Y2575" s="215" t="n"/>
      <c r="Z2575" s="215" t="n"/>
      <c r="AA2575" s="215" t="n"/>
      <c r="AB2575" s="215" t="n"/>
      <c r="AC2575" s="215" t="n"/>
      <c r="AD2575" s="215" t="n"/>
      <c r="AE2575" s="215" t="n"/>
      <c r="AF2575" s="215" t="n"/>
      <c r="AG2575" s="215" t="n"/>
      <c r="AH2575" s="215" t="n"/>
      <c r="AI2575" s="215" t="n"/>
      <c r="AJ2575" s="215" t="n"/>
      <c r="AK2575" s="216" t="n"/>
    </row>
    <row r="2576" ht="15" customHeight="1">
      <c r="B2576" s="134" t="n"/>
      <c r="C2576" s="105" t="n"/>
      <c r="D2576" s="105" t="n"/>
      <c r="E2576" s="105" t="n"/>
      <c r="F2576" s="105" t="n"/>
      <c r="G2576" s="105" t="n"/>
      <c r="H2576" s="2" t="n"/>
      <c r="I2576" s="105" t="n"/>
      <c r="K2576" s="215" t="n"/>
      <c r="L2576" s="215" t="n"/>
      <c r="M2576" s="215" t="n"/>
      <c r="N2576" s="215" t="n"/>
      <c r="O2576" s="215" t="n"/>
      <c r="P2576" s="215" t="n"/>
      <c r="Q2576" s="215" t="n"/>
      <c r="R2576" s="215" t="n"/>
      <c r="S2576" s="215" t="n"/>
      <c r="T2576" s="215" t="n"/>
      <c r="U2576" s="215" t="n"/>
      <c r="V2576" s="215" t="n"/>
      <c r="W2576" s="215" t="n"/>
      <c r="X2576" s="215" t="n"/>
      <c r="Y2576" s="215" t="n"/>
      <c r="Z2576" s="215" t="n"/>
      <c r="AA2576" s="215" t="n"/>
      <c r="AB2576" s="215" t="n"/>
      <c r="AC2576" s="215" t="n"/>
      <c r="AD2576" s="215" t="n"/>
      <c r="AE2576" s="215" t="n"/>
      <c r="AF2576" s="215" t="n"/>
      <c r="AG2576" s="215" t="n"/>
      <c r="AH2576" s="215" t="n"/>
      <c r="AI2576" s="215" t="n"/>
      <c r="AJ2576" s="215" t="n"/>
      <c r="AK2576" s="216" t="n"/>
    </row>
    <row r="2577" ht="15" customHeight="1">
      <c r="B2577" s="134" t="n"/>
      <c r="C2577" s="105" t="n"/>
      <c r="D2577" s="105" t="n"/>
      <c r="E2577" s="105" t="n"/>
      <c r="F2577" s="105" t="n"/>
      <c r="G2577" s="105" t="n"/>
      <c r="H2577" s="2" t="n"/>
      <c r="I2577" s="105" t="n"/>
      <c r="K2577" s="215" t="n"/>
      <c r="L2577" s="215" t="n"/>
      <c r="M2577" s="215" t="n"/>
      <c r="N2577" s="215" t="n"/>
      <c r="O2577" s="215" t="n"/>
      <c r="P2577" s="215" t="n"/>
      <c r="Q2577" s="215" t="n"/>
      <c r="R2577" s="215" t="n"/>
      <c r="S2577" s="215" t="n"/>
      <c r="T2577" s="215" t="n"/>
      <c r="U2577" s="215" t="n"/>
      <c r="V2577" s="215" t="n"/>
      <c r="W2577" s="215" t="n"/>
      <c r="X2577" s="215" t="n"/>
      <c r="Y2577" s="215" t="n"/>
      <c r="Z2577" s="215" t="n"/>
      <c r="AA2577" s="215" t="n"/>
      <c r="AB2577" s="215" t="n"/>
      <c r="AC2577" s="215" t="n"/>
      <c r="AD2577" s="215" t="n"/>
      <c r="AE2577" s="215" t="n"/>
      <c r="AF2577" s="215" t="n"/>
      <c r="AG2577" s="215" t="n"/>
      <c r="AH2577" s="215" t="n"/>
      <c r="AI2577" s="215" t="n"/>
      <c r="AJ2577" s="215" t="n"/>
      <c r="AK2577" s="216" t="n"/>
    </row>
    <row r="2578" ht="15" customHeight="1">
      <c r="B2578" s="134" t="n"/>
      <c r="C2578" s="105" t="n"/>
      <c r="D2578" s="105" t="n"/>
      <c r="E2578" s="105" t="n"/>
      <c r="F2578" s="105" t="n"/>
      <c r="G2578" s="105" t="n"/>
      <c r="H2578" s="2" t="n"/>
      <c r="I2578" s="105" t="n"/>
      <c r="K2578" s="215" t="n"/>
      <c r="L2578" s="215" t="n"/>
      <c r="M2578" s="215" t="n"/>
      <c r="N2578" s="215" t="n"/>
      <c r="O2578" s="215" t="n"/>
      <c r="P2578" s="215" t="n"/>
      <c r="Q2578" s="215" t="n"/>
      <c r="R2578" s="215" t="n"/>
      <c r="S2578" s="215" t="n"/>
      <c r="T2578" s="215" t="n"/>
      <c r="U2578" s="215" t="n"/>
      <c r="V2578" s="215" t="n"/>
      <c r="W2578" s="215" t="n"/>
      <c r="X2578" s="215" t="n"/>
      <c r="Y2578" s="215" t="n"/>
      <c r="Z2578" s="215" t="n"/>
      <c r="AA2578" s="215" t="n"/>
      <c r="AB2578" s="215" t="n"/>
      <c r="AC2578" s="215" t="n"/>
      <c r="AD2578" s="215" t="n"/>
      <c r="AE2578" s="215" t="n"/>
      <c r="AF2578" s="215" t="n"/>
      <c r="AG2578" s="215" t="n"/>
      <c r="AH2578" s="215" t="n"/>
      <c r="AI2578" s="215" t="n"/>
      <c r="AJ2578" s="215" t="n"/>
      <c r="AK2578" s="216" t="n"/>
    </row>
    <row r="2579" ht="15" customHeight="1">
      <c r="B2579" s="134" t="n"/>
      <c r="C2579" s="105" t="n"/>
      <c r="D2579" s="105" t="n"/>
      <c r="E2579" s="105" t="n"/>
      <c r="F2579" s="105" t="n"/>
      <c r="G2579" s="105" t="n"/>
      <c r="H2579" s="2" t="n"/>
      <c r="I2579" s="105" t="n"/>
      <c r="K2579" s="215" t="n"/>
      <c r="L2579" s="215" t="n"/>
      <c r="M2579" s="215" t="n"/>
      <c r="N2579" s="215" t="n"/>
      <c r="O2579" s="215" t="n"/>
      <c r="P2579" s="215" t="n"/>
      <c r="Q2579" s="215" t="n"/>
      <c r="R2579" s="215" t="n"/>
      <c r="S2579" s="215" t="n"/>
      <c r="T2579" s="215" t="n"/>
      <c r="U2579" s="215" t="n"/>
      <c r="V2579" s="215" t="n"/>
      <c r="W2579" s="215" t="n"/>
      <c r="X2579" s="215" t="n"/>
      <c r="Y2579" s="215" t="n"/>
      <c r="Z2579" s="215" t="n"/>
      <c r="AA2579" s="215" t="n"/>
      <c r="AB2579" s="215" t="n"/>
      <c r="AC2579" s="215" t="n"/>
      <c r="AD2579" s="215" t="n"/>
      <c r="AE2579" s="215" t="n"/>
      <c r="AF2579" s="215" t="n"/>
      <c r="AG2579" s="215" t="n"/>
      <c r="AH2579" s="215" t="n"/>
      <c r="AI2579" s="215" t="n"/>
      <c r="AJ2579" s="215" t="n"/>
      <c r="AK2579" s="216" t="n"/>
    </row>
    <row r="2580" ht="15" customHeight="1">
      <c r="B2580" s="134" t="n"/>
      <c r="C2580" s="105" t="n"/>
      <c r="D2580" s="105" t="n"/>
      <c r="E2580" s="105" t="n"/>
      <c r="F2580" s="105" t="n"/>
      <c r="G2580" s="105" t="n"/>
      <c r="H2580" s="2" t="n"/>
      <c r="I2580" s="105" t="n"/>
      <c r="K2580" s="215" t="n"/>
      <c r="L2580" s="215" t="n"/>
      <c r="M2580" s="215" t="n"/>
      <c r="N2580" s="215" t="n"/>
      <c r="O2580" s="215" t="n"/>
      <c r="P2580" s="215" t="n"/>
      <c r="Q2580" s="215" t="n"/>
      <c r="R2580" s="215" t="n"/>
      <c r="S2580" s="215" t="n"/>
      <c r="T2580" s="215" t="n"/>
      <c r="U2580" s="215" t="n"/>
      <c r="V2580" s="215" t="n"/>
      <c r="W2580" s="215" t="n"/>
      <c r="X2580" s="215" t="n"/>
      <c r="Y2580" s="215" t="n"/>
      <c r="Z2580" s="215" t="n"/>
      <c r="AA2580" s="215" t="n"/>
      <c r="AB2580" s="215" t="n"/>
      <c r="AC2580" s="215" t="n"/>
      <c r="AD2580" s="215" t="n"/>
      <c r="AE2580" s="215" t="n"/>
      <c r="AF2580" s="215" t="n"/>
      <c r="AG2580" s="215" t="n"/>
      <c r="AH2580" s="215" t="n"/>
      <c r="AI2580" s="215" t="n"/>
      <c r="AJ2580" s="215" t="n"/>
      <c r="AK2580" s="216" t="n"/>
    </row>
    <row r="2581" ht="15" customHeight="1">
      <c r="B2581" s="134" t="n"/>
      <c r="C2581" s="105" t="n"/>
      <c r="D2581" s="105" t="n"/>
      <c r="E2581" s="105" t="n"/>
      <c r="F2581" s="105" t="n"/>
      <c r="G2581" s="105" t="n"/>
      <c r="H2581" s="2" t="n"/>
      <c r="I2581" s="105" t="n"/>
      <c r="K2581" s="215" t="n"/>
      <c r="L2581" s="215" t="n"/>
      <c r="M2581" s="215" t="n"/>
      <c r="N2581" s="215" t="n"/>
      <c r="O2581" s="215" t="n"/>
      <c r="P2581" s="215" t="n"/>
      <c r="Q2581" s="215" t="n"/>
      <c r="R2581" s="215" t="n"/>
      <c r="S2581" s="215" t="n"/>
      <c r="T2581" s="215" t="n"/>
      <c r="U2581" s="215" t="n"/>
      <c r="V2581" s="215" t="n"/>
      <c r="W2581" s="215" t="n"/>
      <c r="X2581" s="215" t="n"/>
      <c r="Y2581" s="215" t="n"/>
      <c r="Z2581" s="215" t="n"/>
      <c r="AA2581" s="215" t="n"/>
      <c r="AB2581" s="215" t="n"/>
      <c r="AC2581" s="215" t="n"/>
      <c r="AD2581" s="215" t="n"/>
      <c r="AE2581" s="215" t="n"/>
      <c r="AF2581" s="215" t="n"/>
      <c r="AG2581" s="215" t="n"/>
      <c r="AH2581" s="215" t="n"/>
      <c r="AI2581" s="215" t="n"/>
      <c r="AJ2581" s="215" t="n"/>
      <c r="AK2581" s="216" t="n"/>
    </row>
    <row r="2582" ht="15" customHeight="1">
      <c r="B2582" s="134" t="n"/>
      <c r="C2582" s="105" t="n"/>
      <c r="D2582" s="105" t="n"/>
      <c r="E2582" s="105" t="n"/>
      <c r="F2582" s="105" t="n"/>
      <c r="G2582" s="105" t="n"/>
      <c r="H2582" s="2" t="n"/>
      <c r="I2582" s="105" t="n"/>
      <c r="K2582" s="215" t="n"/>
      <c r="L2582" s="215" t="n"/>
      <c r="M2582" s="215" t="n"/>
      <c r="N2582" s="215" t="n"/>
      <c r="O2582" s="215" t="n"/>
      <c r="P2582" s="215" t="n"/>
      <c r="Q2582" s="215" t="n"/>
      <c r="R2582" s="215" t="n"/>
      <c r="S2582" s="215" t="n"/>
      <c r="T2582" s="215" t="n"/>
      <c r="U2582" s="215" t="n"/>
      <c r="V2582" s="215" t="n"/>
      <c r="W2582" s="215" t="n"/>
      <c r="X2582" s="215" t="n"/>
      <c r="Y2582" s="215" t="n"/>
      <c r="Z2582" s="215" t="n"/>
      <c r="AA2582" s="215" t="n"/>
      <c r="AB2582" s="215" t="n"/>
      <c r="AC2582" s="215" t="n"/>
      <c r="AD2582" s="215" t="n"/>
      <c r="AE2582" s="215" t="n"/>
      <c r="AF2582" s="215" t="n"/>
      <c r="AG2582" s="215" t="n"/>
      <c r="AH2582" s="215" t="n"/>
      <c r="AI2582" s="215" t="n"/>
      <c r="AJ2582" s="215" t="n"/>
      <c r="AK2582" s="216" t="n"/>
    </row>
    <row r="2583" ht="15" customHeight="1">
      <c r="B2583" s="134" t="n"/>
      <c r="C2583" s="105" t="n"/>
      <c r="D2583" s="105" t="n"/>
      <c r="E2583" s="105" t="n"/>
      <c r="F2583" s="105" t="n"/>
      <c r="G2583" s="105" t="n"/>
      <c r="H2583" s="2" t="n"/>
      <c r="I2583" s="105" t="n"/>
      <c r="K2583" s="215" t="n"/>
      <c r="L2583" s="215" t="n"/>
      <c r="M2583" s="215" t="n"/>
      <c r="N2583" s="215" t="n"/>
      <c r="O2583" s="215" t="n"/>
      <c r="P2583" s="215" t="n"/>
      <c r="Q2583" s="215" t="n"/>
      <c r="R2583" s="215" t="n"/>
      <c r="S2583" s="215" t="n"/>
      <c r="T2583" s="215" t="n"/>
      <c r="U2583" s="215" t="n"/>
      <c r="V2583" s="215" t="n"/>
      <c r="W2583" s="215" t="n"/>
      <c r="X2583" s="215" t="n"/>
      <c r="Y2583" s="215" t="n"/>
      <c r="Z2583" s="215" t="n"/>
      <c r="AA2583" s="215" t="n"/>
      <c r="AB2583" s="215" t="n"/>
      <c r="AC2583" s="215" t="n"/>
      <c r="AD2583" s="215" t="n"/>
      <c r="AE2583" s="215" t="n"/>
      <c r="AF2583" s="215" t="n"/>
      <c r="AG2583" s="215" t="n"/>
      <c r="AH2583" s="215" t="n"/>
      <c r="AI2583" s="215" t="n"/>
      <c r="AJ2583" s="215" t="n"/>
      <c r="AK2583" s="216" t="n"/>
    </row>
    <row r="2584" ht="15" customHeight="1">
      <c r="B2584" s="134" t="n"/>
      <c r="C2584" s="105" t="n"/>
      <c r="D2584" s="105" t="n"/>
      <c r="E2584" s="105" t="n"/>
      <c r="F2584" s="105" t="n"/>
      <c r="G2584" s="105" t="n"/>
      <c r="H2584" s="2" t="n"/>
      <c r="I2584" s="105" t="n"/>
      <c r="K2584" s="215" t="n"/>
      <c r="L2584" s="215" t="n"/>
      <c r="M2584" s="215" t="n"/>
      <c r="N2584" s="215" t="n"/>
      <c r="O2584" s="215" t="n"/>
      <c r="P2584" s="215" t="n"/>
      <c r="Q2584" s="215" t="n"/>
      <c r="R2584" s="215" t="n"/>
      <c r="S2584" s="215" t="n"/>
      <c r="T2584" s="215" t="n"/>
      <c r="U2584" s="215" t="n"/>
      <c r="V2584" s="215" t="n"/>
      <c r="W2584" s="215" t="n"/>
      <c r="X2584" s="215" t="n"/>
      <c r="Y2584" s="215" t="n"/>
      <c r="Z2584" s="215" t="n"/>
      <c r="AA2584" s="215" t="n"/>
      <c r="AB2584" s="215" t="n"/>
      <c r="AC2584" s="215" t="n"/>
      <c r="AD2584" s="215" t="n"/>
      <c r="AE2584" s="215" t="n"/>
      <c r="AF2584" s="215" t="n"/>
      <c r="AG2584" s="215" t="n"/>
      <c r="AH2584" s="215" t="n"/>
      <c r="AI2584" s="215" t="n"/>
      <c r="AJ2584" s="215" t="n"/>
      <c r="AK2584" s="216" t="n"/>
    </row>
    <row r="2585" ht="15" customHeight="1">
      <c r="B2585" s="134" t="n"/>
      <c r="C2585" s="105" t="n"/>
      <c r="D2585" s="105" t="n"/>
      <c r="E2585" s="105" t="n"/>
      <c r="F2585" s="105" t="n"/>
      <c r="G2585" s="105" t="n"/>
      <c r="H2585" s="2" t="n"/>
      <c r="I2585" s="105" t="n"/>
      <c r="K2585" s="215" t="n"/>
      <c r="L2585" s="215" t="n"/>
      <c r="M2585" s="215" t="n"/>
      <c r="N2585" s="215" t="n"/>
      <c r="O2585" s="215" t="n"/>
      <c r="P2585" s="215" t="n"/>
      <c r="Q2585" s="215" t="n"/>
      <c r="R2585" s="215" t="n"/>
      <c r="S2585" s="215" t="n"/>
      <c r="T2585" s="215" t="n"/>
      <c r="U2585" s="215" t="n"/>
      <c r="V2585" s="215" t="n"/>
      <c r="W2585" s="215" t="n"/>
      <c r="X2585" s="215" t="n"/>
      <c r="Y2585" s="215" t="n"/>
      <c r="Z2585" s="215" t="n"/>
      <c r="AA2585" s="215" t="n"/>
      <c r="AB2585" s="215" t="n"/>
      <c r="AC2585" s="215" t="n"/>
      <c r="AD2585" s="215" t="n"/>
      <c r="AE2585" s="215" t="n"/>
      <c r="AF2585" s="215" t="n"/>
      <c r="AG2585" s="215" t="n"/>
      <c r="AH2585" s="215" t="n"/>
      <c r="AI2585" s="215" t="n"/>
      <c r="AJ2585" s="215" t="n"/>
      <c r="AK2585" s="216" t="n"/>
    </row>
    <row r="2586" ht="15" customHeight="1">
      <c r="B2586" s="134" t="n"/>
      <c r="C2586" s="105" t="n"/>
      <c r="D2586" s="105" t="n"/>
      <c r="E2586" s="105" t="n"/>
      <c r="F2586" s="105" t="n"/>
      <c r="G2586" s="105" t="n"/>
      <c r="H2586" s="2" t="n"/>
      <c r="I2586" s="105" t="n"/>
      <c r="K2586" s="215" t="n"/>
      <c r="L2586" s="215" t="n"/>
      <c r="M2586" s="215" t="n"/>
      <c r="N2586" s="215" t="n"/>
      <c r="O2586" s="215" t="n"/>
      <c r="P2586" s="215" t="n"/>
      <c r="Q2586" s="215" t="n"/>
      <c r="R2586" s="215" t="n"/>
      <c r="S2586" s="215" t="n"/>
      <c r="T2586" s="215" t="n"/>
      <c r="U2586" s="215" t="n"/>
      <c r="V2586" s="215" t="n"/>
      <c r="W2586" s="215" t="n"/>
      <c r="X2586" s="215" t="n"/>
      <c r="Y2586" s="215" t="n"/>
      <c r="Z2586" s="215" t="n"/>
      <c r="AA2586" s="215" t="n"/>
      <c r="AB2586" s="215" t="n"/>
      <c r="AC2586" s="215" t="n"/>
      <c r="AD2586" s="215" t="n"/>
      <c r="AE2586" s="215" t="n"/>
      <c r="AF2586" s="215" t="n"/>
      <c r="AG2586" s="215" t="n"/>
      <c r="AH2586" s="215" t="n"/>
      <c r="AI2586" s="215" t="n"/>
      <c r="AJ2586" s="215" t="n"/>
      <c r="AK2586" s="216" t="n"/>
    </row>
    <row r="2587" ht="15" customHeight="1">
      <c r="B2587" s="134" t="n"/>
      <c r="C2587" s="105" t="n"/>
      <c r="D2587" s="105" t="n"/>
      <c r="E2587" s="105" t="n"/>
      <c r="F2587" s="105" t="n"/>
      <c r="G2587" s="105" t="n"/>
      <c r="H2587" s="2" t="n"/>
      <c r="I2587" s="105" t="n"/>
      <c r="K2587" s="215" t="n"/>
      <c r="L2587" s="215" t="n"/>
      <c r="M2587" s="215" t="n"/>
      <c r="N2587" s="215" t="n"/>
      <c r="O2587" s="215" t="n"/>
      <c r="P2587" s="215" t="n"/>
      <c r="Q2587" s="215" t="n"/>
      <c r="R2587" s="215" t="n"/>
      <c r="S2587" s="215" t="n"/>
      <c r="T2587" s="215" t="n"/>
      <c r="U2587" s="215" t="n"/>
      <c r="V2587" s="215" t="n"/>
      <c r="W2587" s="215" t="n"/>
      <c r="X2587" s="215" t="n"/>
      <c r="Y2587" s="215" t="n"/>
      <c r="Z2587" s="215" t="n"/>
      <c r="AA2587" s="215" t="n"/>
      <c r="AB2587" s="215" t="n"/>
      <c r="AC2587" s="215" t="n"/>
      <c r="AD2587" s="215" t="n"/>
      <c r="AE2587" s="215" t="n"/>
      <c r="AF2587" s="215" t="n"/>
      <c r="AG2587" s="215" t="n"/>
      <c r="AH2587" s="215" t="n"/>
      <c r="AI2587" s="215" t="n"/>
      <c r="AJ2587" s="215" t="n"/>
      <c r="AK2587" s="216" t="n"/>
    </row>
    <row r="2588" ht="15" customHeight="1">
      <c r="B2588" s="134" t="n"/>
      <c r="C2588" s="105" t="n"/>
      <c r="D2588" s="105" t="n"/>
      <c r="E2588" s="105" t="n"/>
      <c r="F2588" s="105" t="n"/>
      <c r="G2588" s="105" t="n"/>
      <c r="H2588" s="2" t="n"/>
      <c r="I2588" s="105" t="n"/>
      <c r="K2588" s="215" t="n"/>
      <c r="L2588" s="215" t="n"/>
      <c r="M2588" s="215" t="n"/>
      <c r="N2588" s="215" t="n"/>
      <c r="O2588" s="215" t="n"/>
      <c r="P2588" s="215" t="n"/>
      <c r="Q2588" s="215" t="n"/>
      <c r="R2588" s="215" t="n"/>
      <c r="S2588" s="215" t="n"/>
      <c r="T2588" s="215" t="n"/>
      <c r="U2588" s="215" t="n"/>
      <c r="V2588" s="215" t="n"/>
      <c r="W2588" s="215" t="n"/>
      <c r="X2588" s="215" t="n"/>
      <c r="Y2588" s="215" t="n"/>
      <c r="Z2588" s="215" t="n"/>
      <c r="AA2588" s="215" t="n"/>
      <c r="AB2588" s="215" t="n"/>
      <c r="AC2588" s="215" t="n"/>
      <c r="AD2588" s="215" t="n"/>
      <c r="AE2588" s="215" t="n"/>
      <c r="AF2588" s="215" t="n"/>
      <c r="AG2588" s="215" t="n"/>
      <c r="AH2588" s="215" t="n"/>
      <c r="AI2588" s="215" t="n"/>
      <c r="AJ2588" s="215" t="n"/>
      <c r="AK2588" s="216" t="n"/>
    </row>
    <row r="2589" ht="15" customHeight="1">
      <c r="B2589" s="134" t="n"/>
      <c r="C2589" s="105" t="n"/>
      <c r="D2589" s="105" t="n"/>
      <c r="E2589" s="105" t="n"/>
      <c r="F2589" s="105" t="n"/>
      <c r="G2589" s="105" t="n"/>
      <c r="H2589" s="2" t="n"/>
      <c r="I2589" s="105" t="n"/>
      <c r="K2589" s="215" t="n"/>
      <c r="L2589" s="215" t="n"/>
      <c r="M2589" s="215" t="n"/>
      <c r="N2589" s="215" t="n"/>
      <c r="O2589" s="215" t="n"/>
      <c r="P2589" s="215" t="n"/>
      <c r="Q2589" s="215" t="n"/>
      <c r="R2589" s="215" t="n"/>
      <c r="S2589" s="215" t="n"/>
      <c r="T2589" s="215" t="n"/>
      <c r="U2589" s="215" t="n"/>
      <c r="V2589" s="215" t="n"/>
      <c r="W2589" s="215" t="n"/>
      <c r="X2589" s="215" t="n"/>
      <c r="Y2589" s="215" t="n"/>
      <c r="Z2589" s="215" t="n"/>
      <c r="AA2589" s="215" t="n"/>
      <c r="AB2589" s="215" t="n"/>
      <c r="AC2589" s="215" t="n"/>
      <c r="AD2589" s="215" t="n"/>
      <c r="AE2589" s="215" t="n"/>
      <c r="AF2589" s="215" t="n"/>
      <c r="AG2589" s="215" t="n"/>
      <c r="AH2589" s="215" t="n"/>
      <c r="AI2589" s="215" t="n"/>
      <c r="AJ2589" s="215" t="n"/>
      <c r="AK2589" s="216" t="n"/>
    </row>
    <row r="2590" ht="15" customHeight="1">
      <c r="B2590" s="134" t="n"/>
      <c r="C2590" s="105" t="n"/>
      <c r="D2590" s="105" t="n"/>
      <c r="E2590" s="105" t="n"/>
      <c r="F2590" s="105" t="n"/>
      <c r="G2590" s="105" t="n"/>
      <c r="H2590" s="2" t="n"/>
      <c r="I2590" s="105" t="n"/>
      <c r="K2590" s="215" t="n"/>
      <c r="L2590" s="215" t="n"/>
      <c r="M2590" s="215" t="n"/>
      <c r="N2590" s="215" t="n"/>
      <c r="O2590" s="215" t="n"/>
      <c r="P2590" s="215" t="n"/>
      <c r="Q2590" s="215" t="n"/>
      <c r="R2590" s="215" t="n"/>
      <c r="S2590" s="215" t="n"/>
      <c r="T2590" s="215" t="n"/>
      <c r="U2590" s="215" t="n"/>
      <c r="V2590" s="215" t="n"/>
      <c r="W2590" s="215" t="n"/>
      <c r="X2590" s="215" t="n"/>
      <c r="Y2590" s="215" t="n"/>
      <c r="Z2590" s="215" t="n"/>
      <c r="AA2590" s="215" t="n"/>
      <c r="AB2590" s="215" t="n"/>
      <c r="AC2590" s="215" t="n"/>
      <c r="AD2590" s="215" t="n"/>
      <c r="AE2590" s="215" t="n"/>
      <c r="AF2590" s="215" t="n"/>
      <c r="AG2590" s="215" t="n"/>
      <c r="AH2590" s="215" t="n"/>
      <c r="AI2590" s="215" t="n"/>
      <c r="AJ2590" s="215" t="n"/>
      <c r="AK2590" s="216" t="n"/>
    </row>
    <row r="2591" ht="15" customHeight="1">
      <c r="B2591" s="134" t="n"/>
      <c r="C2591" s="105" t="n"/>
      <c r="D2591" s="105" t="n"/>
      <c r="E2591" s="105" t="n"/>
      <c r="F2591" s="105" t="n"/>
      <c r="G2591" s="105" t="n"/>
      <c r="H2591" s="2" t="n"/>
      <c r="I2591" s="105" t="n"/>
      <c r="K2591" s="215" t="n"/>
      <c r="L2591" s="215" t="n"/>
      <c r="M2591" s="215" t="n"/>
      <c r="N2591" s="215" t="n"/>
      <c r="O2591" s="215" t="n"/>
      <c r="P2591" s="215" t="n"/>
      <c r="Q2591" s="215" t="n"/>
      <c r="R2591" s="215" t="n"/>
      <c r="S2591" s="215" t="n"/>
      <c r="T2591" s="215" t="n"/>
      <c r="U2591" s="215" t="n"/>
      <c r="V2591" s="215" t="n"/>
      <c r="W2591" s="215" t="n"/>
      <c r="X2591" s="215" t="n"/>
      <c r="Y2591" s="215" t="n"/>
      <c r="Z2591" s="215" t="n"/>
      <c r="AA2591" s="215" t="n"/>
      <c r="AB2591" s="215" t="n"/>
      <c r="AC2591" s="215" t="n"/>
      <c r="AD2591" s="215" t="n"/>
      <c r="AE2591" s="215" t="n"/>
      <c r="AF2591" s="215" t="n"/>
      <c r="AG2591" s="215" t="n"/>
      <c r="AH2591" s="215" t="n"/>
      <c r="AI2591" s="215" t="n"/>
      <c r="AJ2591" s="215" t="n"/>
      <c r="AK2591" s="216" t="n"/>
    </row>
    <row r="2592" ht="15" customHeight="1">
      <c r="B2592" s="134" t="n"/>
      <c r="C2592" s="105" t="n"/>
      <c r="D2592" s="105" t="n"/>
      <c r="E2592" s="105" t="n"/>
      <c r="F2592" s="105" t="n"/>
      <c r="G2592" s="105" t="n"/>
      <c r="H2592" s="2" t="n"/>
      <c r="I2592" s="105" t="n"/>
      <c r="K2592" s="215" t="n"/>
      <c r="L2592" s="215" t="n"/>
      <c r="M2592" s="215" t="n"/>
      <c r="N2592" s="215" t="n"/>
      <c r="O2592" s="215" t="n"/>
      <c r="P2592" s="215" t="n"/>
      <c r="Q2592" s="215" t="n"/>
      <c r="R2592" s="215" t="n"/>
      <c r="S2592" s="215" t="n"/>
      <c r="T2592" s="215" t="n"/>
      <c r="U2592" s="215" t="n"/>
      <c r="V2592" s="215" t="n"/>
      <c r="W2592" s="215" t="n"/>
      <c r="X2592" s="215" t="n"/>
      <c r="Y2592" s="215" t="n"/>
      <c r="Z2592" s="215" t="n"/>
      <c r="AA2592" s="215" t="n"/>
      <c r="AB2592" s="215" t="n"/>
      <c r="AC2592" s="215" t="n"/>
      <c r="AD2592" s="215" t="n"/>
      <c r="AE2592" s="215" t="n"/>
      <c r="AF2592" s="215" t="n"/>
      <c r="AG2592" s="215" t="n"/>
      <c r="AH2592" s="215" t="n"/>
      <c r="AI2592" s="215" t="n"/>
      <c r="AJ2592" s="215" t="n"/>
      <c r="AK2592" s="216" t="n"/>
    </row>
    <row r="2593" ht="15" customHeight="1">
      <c r="B2593" s="134" t="n"/>
      <c r="C2593" s="105" t="n"/>
      <c r="D2593" s="105" t="n"/>
      <c r="E2593" s="105" t="n"/>
      <c r="F2593" s="105" t="n"/>
      <c r="G2593" s="105" t="n"/>
      <c r="H2593" s="2" t="n"/>
      <c r="I2593" s="105" t="n"/>
      <c r="K2593" s="215" t="n"/>
      <c r="L2593" s="215" t="n"/>
      <c r="M2593" s="215" t="n"/>
      <c r="N2593" s="215" t="n"/>
      <c r="O2593" s="215" t="n"/>
      <c r="P2593" s="215" t="n"/>
      <c r="Q2593" s="215" t="n"/>
      <c r="R2593" s="215" t="n"/>
      <c r="S2593" s="215" t="n"/>
      <c r="T2593" s="215" t="n"/>
      <c r="U2593" s="215" t="n"/>
      <c r="V2593" s="215" t="n"/>
      <c r="W2593" s="215" t="n"/>
      <c r="X2593" s="215" t="n"/>
      <c r="Y2593" s="215" t="n"/>
      <c r="Z2593" s="215" t="n"/>
      <c r="AA2593" s="215" t="n"/>
      <c r="AB2593" s="215" t="n"/>
      <c r="AC2593" s="215" t="n"/>
      <c r="AD2593" s="215" t="n"/>
      <c r="AE2593" s="215" t="n"/>
      <c r="AF2593" s="215" t="n"/>
      <c r="AG2593" s="215" t="n"/>
      <c r="AH2593" s="215" t="n"/>
      <c r="AI2593" s="215" t="n"/>
      <c r="AJ2593" s="215" t="n"/>
      <c r="AK2593" s="216" t="n"/>
    </row>
    <row r="2594" ht="15" customHeight="1">
      <c r="B2594" s="134" t="n"/>
      <c r="C2594" s="105" t="n"/>
      <c r="D2594" s="105" t="n"/>
      <c r="E2594" s="105" t="n"/>
      <c r="F2594" s="105" t="n"/>
      <c r="G2594" s="105" t="n"/>
      <c r="H2594" s="2" t="n"/>
      <c r="I2594" s="105" t="n"/>
      <c r="K2594" s="215" t="n"/>
      <c r="L2594" s="215" t="n"/>
      <c r="M2594" s="215" t="n"/>
      <c r="N2594" s="215" t="n"/>
      <c r="O2594" s="215" t="n"/>
      <c r="P2594" s="215" t="n"/>
      <c r="Q2594" s="215" t="n"/>
      <c r="R2594" s="215" t="n"/>
      <c r="S2594" s="215" t="n"/>
      <c r="T2594" s="215" t="n"/>
      <c r="U2594" s="215" t="n"/>
      <c r="V2594" s="215" t="n"/>
      <c r="W2594" s="215" t="n"/>
      <c r="X2594" s="215" t="n"/>
      <c r="Y2594" s="215" t="n"/>
      <c r="Z2594" s="215" t="n"/>
      <c r="AA2594" s="215" t="n"/>
      <c r="AB2594" s="215" t="n"/>
      <c r="AC2594" s="215" t="n"/>
      <c r="AD2594" s="215" t="n"/>
      <c r="AE2594" s="215" t="n"/>
      <c r="AF2594" s="215" t="n"/>
      <c r="AG2594" s="215" t="n"/>
      <c r="AH2594" s="215" t="n"/>
      <c r="AI2594" s="215" t="n"/>
      <c r="AJ2594" s="215" t="n"/>
      <c r="AK2594" s="216" t="n"/>
    </row>
    <row r="2595" ht="15" customHeight="1">
      <c r="B2595" s="134" t="n"/>
      <c r="C2595" s="105" t="n"/>
      <c r="D2595" s="105" t="n"/>
      <c r="E2595" s="105" t="n"/>
      <c r="F2595" s="105" t="n"/>
      <c r="G2595" s="105" t="n"/>
      <c r="H2595" s="2" t="n"/>
      <c r="I2595" s="105" t="n"/>
      <c r="K2595" s="215" t="n"/>
      <c r="L2595" s="215" t="n"/>
      <c r="M2595" s="215" t="n"/>
      <c r="N2595" s="215" t="n"/>
      <c r="O2595" s="215" t="n"/>
      <c r="P2595" s="215" t="n"/>
      <c r="Q2595" s="215" t="n"/>
      <c r="R2595" s="215" t="n"/>
      <c r="S2595" s="215" t="n"/>
      <c r="T2595" s="215" t="n"/>
      <c r="U2595" s="215" t="n"/>
      <c r="V2595" s="215" t="n"/>
      <c r="W2595" s="215" t="n"/>
      <c r="X2595" s="215" t="n"/>
      <c r="Y2595" s="215" t="n"/>
      <c r="Z2595" s="215" t="n"/>
      <c r="AA2595" s="215" t="n"/>
      <c r="AB2595" s="215" t="n"/>
      <c r="AC2595" s="215" t="n"/>
      <c r="AD2595" s="215" t="n"/>
      <c r="AE2595" s="215" t="n"/>
      <c r="AF2595" s="215" t="n"/>
      <c r="AG2595" s="215" t="n"/>
      <c r="AH2595" s="215" t="n"/>
      <c r="AI2595" s="215" t="n"/>
      <c r="AJ2595" s="215" t="n"/>
      <c r="AK2595" s="216" t="n"/>
    </row>
    <row r="2596" ht="15" customHeight="1">
      <c r="B2596" s="134" t="n"/>
      <c r="C2596" s="105" t="n"/>
      <c r="D2596" s="105" t="n"/>
      <c r="E2596" s="105" t="n"/>
      <c r="F2596" s="105" t="n"/>
      <c r="G2596" s="105" t="n"/>
      <c r="H2596" s="2" t="n"/>
      <c r="I2596" s="105" t="n"/>
      <c r="K2596" s="215" t="n"/>
      <c r="L2596" s="215" t="n"/>
      <c r="M2596" s="215" t="n"/>
      <c r="N2596" s="215" t="n"/>
      <c r="O2596" s="215" t="n"/>
      <c r="P2596" s="215" t="n"/>
      <c r="Q2596" s="215" t="n"/>
      <c r="R2596" s="215" t="n"/>
      <c r="S2596" s="215" t="n"/>
      <c r="T2596" s="215" t="n"/>
      <c r="U2596" s="215" t="n"/>
      <c r="V2596" s="215" t="n"/>
      <c r="W2596" s="215" t="n"/>
      <c r="X2596" s="215" t="n"/>
      <c r="Y2596" s="215" t="n"/>
      <c r="Z2596" s="215" t="n"/>
      <c r="AA2596" s="215" t="n"/>
      <c r="AB2596" s="215" t="n"/>
      <c r="AC2596" s="215" t="n"/>
      <c r="AD2596" s="215" t="n"/>
      <c r="AE2596" s="215" t="n"/>
      <c r="AF2596" s="215" t="n"/>
      <c r="AG2596" s="215" t="n"/>
      <c r="AH2596" s="215" t="n"/>
      <c r="AI2596" s="215" t="n"/>
      <c r="AJ2596" s="215" t="n"/>
      <c r="AK2596" s="216" t="n"/>
    </row>
    <row r="2597" ht="15" customHeight="1">
      <c r="B2597" s="134" t="n"/>
      <c r="C2597" s="105" t="n"/>
      <c r="D2597" s="105" t="n"/>
      <c r="E2597" s="105" t="n"/>
      <c r="F2597" s="105" t="n"/>
      <c r="G2597" s="105" t="n"/>
      <c r="H2597" s="2" t="n"/>
      <c r="I2597" s="105" t="n"/>
      <c r="K2597" s="215" t="n"/>
      <c r="L2597" s="215" t="n"/>
      <c r="M2597" s="215" t="n"/>
      <c r="N2597" s="215" t="n"/>
      <c r="O2597" s="215" t="n"/>
      <c r="P2597" s="215" t="n"/>
      <c r="Q2597" s="215" t="n"/>
      <c r="R2597" s="215" t="n"/>
      <c r="S2597" s="215" t="n"/>
      <c r="T2597" s="215" t="n"/>
      <c r="U2597" s="215" t="n"/>
      <c r="V2597" s="215" t="n"/>
      <c r="W2597" s="215" t="n"/>
      <c r="X2597" s="215" t="n"/>
      <c r="Y2597" s="215" t="n"/>
      <c r="Z2597" s="215" t="n"/>
      <c r="AA2597" s="215" t="n"/>
      <c r="AB2597" s="215" t="n"/>
      <c r="AC2597" s="215" t="n"/>
      <c r="AD2597" s="215" t="n"/>
      <c r="AE2597" s="215" t="n"/>
      <c r="AF2597" s="215" t="n"/>
      <c r="AG2597" s="215" t="n"/>
      <c r="AH2597" s="215" t="n"/>
      <c r="AI2597" s="215" t="n"/>
      <c r="AJ2597" s="215" t="n"/>
      <c r="AK2597" s="216" t="n"/>
    </row>
    <row r="2598" ht="15" customHeight="1">
      <c r="B2598" s="134" t="n"/>
      <c r="C2598" s="105" t="n"/>
      <c r="D2598" s="105" t="n"/>
      <c r="E2598" s="105" t="n"/>
      <c r="F2598" s="105" t="n"/>
      <c r="G2598" s="105" t="n"/>
      <c r="H2598" s="2" t="n"/>
      <c r="I2598" s="105" t="n"/>
      <c r="K2598" s="215" t="n"/>
      <c r="L2598" s="215" t="n"/>
      <c r="M2598" s="215" t="n"/>
      <c r="N2598" s="215" t="n"/>
      <c r="O2598" s="215" t="n"/>
      <c r="P2598" s="215" t="n"/>
      <c r="Q2598" s="215" t="n"/>
      <c r="R2598" s="215" t="n"/>
      <c r="S2598" s="215" t="n"/>
      <c r="T2598" s="215" t="n"/>
      <c r="U2598" s="215" t="n"/>
      <c r="V2598" s="215" t="n"/>
      <c r="W2598" s="215" t="n"/>
      <c r="X2598" s="215" t="n"/>
      <c r="Y2598" s="215" t="n"/>
      <c r="Z2598" s="215" t="n"/>
      <c r="AA2598" s="215" t="n"/>
      <c r="AB2598" s="215" t="n"/>
      <c r="AC2598" s="215" t="n"/>
      <c r="AD2598" s="215" t="n"/>
      <c r="AE2598" s="215" t="n"/>
      <c r="AF2598" s="215" t="n"/>
      <c r="AG2598" s="215" t="n"/>
      <c r="AH2598" s="215" t="n"/>
      <c r="AI2598" s="215" t="n"/>
      <c r="AJ2598" s="215" t="n"/>
      <c r="AK2598" s="216" t="n"/>
    </row>
    <row r="2599" ht="15" customHeight="1">
      <c r="B2599" s="134" t="n"/>
      <c r="C2599" s="105" t="n"/>
      <c r="D2599" s="105" t="n"/>
      <c r="E2599" s="105" t="n"/>
      <c r="F2599" s="105" t="n"/>
      <c r="G2599" s="105" t="n"/>
      <c r="H2599" s="2" t="n"/>
      <c r="I2599" s="105" t="n"/>
      <c r="K2599" s="215" t="n"/>
      <c r="L2599" s="215" t="n"/>
      <c r="M2599" s="215" t="n"/>
      <c r="N2599" s="215" t="n"/>
      <c r="O2599" s="215" t="n"/>
      <c r="P2599" s="215" t="n"/>
      <c r="Q2599" s="215" t="n"/>
      <c r="R2599" s="215" t="n"/>
      <c r="S2599" s="215" t="n"/>
      <c r="T2599" s="215" t="n"/>
      <c r="U2599" s="215" t="n"/>
      <c r="V2599" s="215" t="n"/>
      <c r="W2599" s="215" t="n"/>
      <c r="X2599" s="215" t="n"/>
      <c r="Y2599" s="215" t="n"/>
      <c r="Z2599" s="215" t="n"/>
      <c r="AA2599" s="215" t="n"/>
      <c r="AB2599" s="215" t="n"/>
      <c r="AC2599" s="215" t="n"/>
      <c r="AD2599" s="215" t="n"/>
      <c r="AE2599" s="215" t="n"/>
      <c r="AF2599" s="215" t="n"/>
      <c r="AG2599" s="215" t="n"/>
      <c r="AH2599" s="215" t="n"/>
      <c r="AI2599" s="215" t="n"/>
      <c r="AJ2599" s="215" t="n"/>
      <c r="AK2599" s="216" t="n"/>
    </row>
    <row r="2600" ht="15" customHeight="1">
      <c r="B2600" s="134" t="n"/>
      <c r="C2600" s="105" t="n"/>
      <c r="D2600" s="105" t="n"/>
      <c r="E2600" s="105" t="n"/>
      <c r="F2600" s="105" t="n"/>
      <c r="G2600" s="105" t="n"/>
      <c r="H2600" s="2" t="n"/>
      <c r="I2600" s="105" t="n"/>
      <c r="K2600" s="215" t="n"/>
      <c r="L2600" s="215" t="n"/>
      <c r="M2600" s="215" t="n"/>
      <c r="N2600" s="215" t="n"/>
      <c r="O2600" s="215" t="n"/>
      <c r="P2600" s="215" t="n"/>
      <c r="Q2600" s="215" t="n"/>
      <c r="R2600" s="215" t="n"/>
      <c r="S2600" s="215" t="n"/>
      <c r="T2600" s="215" t="n"/>
      <c r="U2600" s="215" t="n"/>
      <c r="V2600" s="215" t="n"/>
      <c r="W2600" s="215" t="n"/>
      <c r="X2600" s="215" t="n"/>
      <c r="Y2600" s="215" t="n"/>
      <c r="Z2600" s="215" t="n"/>
      <c r="AA2600" s="215" t="n"/>
      <c r="AB2600" s="215" t="n"/>
      <c r="AC2600" s="215" t="n"/>
      <c r="AD2600" s="215" t="n"/>
      <c r="AE2600" s="215" t="n"/>
      <c r="AF2600" s="215" t="n"/>
      <c r="AG2600" s="215" t="n"/>
      <c r="AH2600" s="215" t="n"/>
      <c r="AI2600" s="215" t="n"/>
      <c r="AJ2600" s="215" t="n"/>
      <c r="AK2600" s="216" t="n"/>
    </row>
    <row r="2601" ht="15" customHeight="1">
      <c r="B2601" s="134" t="n"/>
      <c r="C2601" s="105" t="n"/>
      <c r="D2601" s="105" t="n"/>
      <c r="E2601" s="105" t="n"/>
      <c r="F2601" s="105" t="n"/>
      <c r="G2601" s="105" t="n"/>
      <c r="H2601" s="2" t="n"/>
      <c r="I2601" s="105" t="n"/>
      <c r="K2601" s="215" t="n"/>
      <c r="L2601" s="215" t="n"/>
      <c r="M2601" s="215" t="n"/>
      <c r="N2601" s="215" t="n"/>
      <c r="O2601" s="215" t="n"/>
      <c r="P2601" s="215" t="n"/>
      <c r="Q2601" s="215" t="n"/>
      <c r="R2601" s="215" t="n"/>
      <c r="S2601" s="215" t="n"/>
      <c r="T2601" s="215" t="n"/>
      <c r="U2601" s="215" t="n"/>
      <c r="V2601" s="215" t="n"/>
      <c r="W2601" s="215" t="n"/>
      <c r="X2601" s="215" t="n"/>
      <c r="Y2601" s="215" t="n"/>
      <c r="Z2601" s="215" t="n"/>
      <c r="AA2601" s="215" t="n"/>
      <c r="AB2601" s="215" t="n"/>
      <c r="AC2601" s="215" t="n"/>
      <c r="AD2601" s="215" t="n"/>
      <c r="AE2601" s="215" t="n"/>
      <c r="AF2601" s="215" t="n"/>
      <c r="AG2601" s="215" t="n"/>
      <c r="AH2601" s="215" t="n"/>
      <c r="AI2601" s="215" t="n"/>
      <c r="AJ2601" s="215" t="n"/>
      <c r="AK2601" s="216" t="n"/>
    </row>
    <row r="2602" ht="15" customHeight="1">
      <c r="B2602" s="134" t="n"/>
      <c r="C2602" s="105" t="n"/>
      <c r="D2602" s="105" t="n"/>
      <c r="E2602" s="105" t="n"/>
      <c r="F2602" s="105" t="n"/>
      <c r="G2602" s="105" t="n"/>
      <c r="H2602" s="2" t="n"/>
      <c r="I2602" s="105" t="n"/>
      <c r="K2602" s="215" t="n"/>
      <c r="L2602" s="215" t="n"/>
      <c r="M2602" s="215" t="n"/>
      <c r="N2602" s="215" t="n"/>
      <c r="O2602" s="215" t="n"/>
      <c r="P2602" s="215" t="n"/>
      <c r="Q2602" s="215" t="n"/>
      <c r="R2602" s="215" t="n"/>
      <c r="S2602" s="215" t="n"/>
      <c r="T2602" s="215" t="n"/>
      <c r="U2602" s="215" t="n"/>
      <c r="V2602" s="215" t="n"/>
      <c r="W2602" s="215" t="n"/>
      <c r="X2602" s="215" t="n"/>
      <c r="Y2602" s="215" t="n"/>
      <c r="Z2602" s="215" t="n"/>
      <c r="AA2602" s="215" t="n"/>
      <c r="AB2602" s="215" t="n"/>
      <c r="AC2602" s="215" t="n"/>
      <c r="AD2602" s="215" t="n"/>
      <c r="AE2602" s="215" t="n"/>
      <c r="AF2602" s="215" t="n"/>
      <c r="AG2602" s="215" t="n"/>
      <c r="AH2602" s="215" t="n"/>
      <c r="AI2602" s="215" t="n"/>
      <c r="AJ2602" s="215" t="n"/>
      <c r="AK2602" s="216" t="n"/>
    </row>
    <row r="2603" ht="15" customHeight="1">
      <c r="B2603" s="134" t="n"/>
      <c r="C2603" s="105" t="n"/>
      <c r="D2603" s="105" t="n"/>
      <c r="E2603" s="105" t="n"/>
      <c r="F2603" s="105" t="n"/>
      <c r="G2603" s="105" t="n"/>
      <c r="H2603" s="2" t="n"/>
      <c r="I2603" s="105" t="n"/>
      <c r="K2603" s="215" t="n"/>
      <c r="L2603" s="215" t="n"/>
      <c r="M2603" s="215" t="n"/>
      <c r="N2603" s="215" t="n"/>
      <c r="O2603" s="215" t="n"/>
      <c r="P2603" s="215" t="n"/>
      <c r="Q2603" s="215" t="n"/>
      <c r="R2603" s="215" t="n"/>
      <c r="S2603" s="215" t="n"/>
      <c r="T2603" s="215" t="n"/>
      <c r="U2603" s="215" t="n"/>
      <c r="V2603" s="215" t="n"/>
      <c r="W2603" s="215" t="n"/>
      <c r="X2603" s="215" t="n"/>
      <c r="Y2603" s="215" t="n"/>
      <c r="Z2603" s="215" t="n"/>
      <c r="AA2603" s="215" t="n"/>
      <c r="AB2603" s="215" t="n"/>
      <c r="AC2603" s="215" t="n"/>
      <c r="AD2603" s="215" t="n"/>
      <c r="AE2603" s="215" t="n"/>
      <c r="AF2603" s="215" t="n"/>
      <c r="AG2603" s="215" t="n"/>
      <c r="AH2603" s="215" t="n"/>
      <c r="AI2603" s="215" t="n"/>
      <c r="AJ2603" s="215" t="n"/>
      <c r="AK2603" s="216" t="n"/>
    </row>
    <row r="2604" ht="15" customHeight="1">
      <c r="B2604" s="134" t="n"/>
      <c r="C2604" s="105" t="n"/>
      <c r="D2604" s="105" t="n"/>
      <c r="E2604" s="105" t="n"/>
      <c r="F2604" s="105" t="n"/>
      <c r="G2604" s="105" t="n"/>
      <c r="H2604" s="2" t="n"/>
      <c r="I2604" s="105" t="n"/>
      <c r="K2604" s="215" t="n"/>
      <c r="L2604" s="215" t="n"/>
      <c r="M2604" s="215" t="n"/>
      <c r="N2604" s="215" t="n"/>
      <c r="O2604" s="215" t="n"/>
      <c r="P2604" s="215" t="n"/>
      <c r="Q2604" s="215" t="n"/>
      <c r="R2604" s="215" t="n"/>
      <c r="S2604" s="215" t="n"/>
      <c r="T2604" s="215" t="n"/>
      <c r="U2604" s="215" t="n"/>
      <c r="V2604" s="215" t="n"/>
      <c r="W2604" s="215" t="n"/>
      <c r="X2604" s="215" t="n"/>
      <c r="Y2604" s="215" t="n"/>
      <c r="Z2604" s="215" t="n"/>
      <c r="AA2604" s="215" t="n"/>
      <c r="AB2604" s="215" t="n"/>
      <c r="AC2604" s="215" t="n"/>
      <c r="AD2604" s="215" t="n"/>
      <c r="AE2604" s="215" t="n"/>
      <c r="AF2604" s="215" t="n"/>
      <c r="AG2604" s="215" t="n"/>
      <c r="AH2604" s="215" t="n"/>
      <c r="AI2604" s="215" t="n"/>
      <c r="AJ2604" s="215" t="n"/>
      <c r="AK2604" s="216" t="n"/>
    </row>
    <row r="2605" ht="15" customHeight="1">
      <c r="B2605" s="134" t="n"/>
      <c r="C2605" s="105" t="n"/>
      <c r="D2605" s="105" t="n"/>
      <c r="E2605" s="105" t="n"/>
      <c r="F2605" s="105" t="n"/>
      <c r="G2605" s="105" t="n"/>
      <c r="H2605" s="2" t="n"/>
      <c r="I2605" s="105" t="n"/>
      <c r="K2605" s="215" t="n"/>
      <c r="L2605" s="215" t="n"/>
      <c r="M2605" s="215" t="n"/>
      <c r="N2605" s="215" t="n"/>
      <c r="O2605" s="215" t="n"/>
      <c r="P2605" s="215" t="n"/>
      <c r="Q2605" s="215" t="n"/>
      <c r="R2605" s="215" t="n"/>
      <c r="S2605" s="215" t="n"/>
      <c r="T2605" s="215" t="n"/>
      <c r="U2605" s="215" t="n"/>
      <c r="V2605" s="215" t="n"/>
      <c r="W2605" s="215" t="n"/>
      <c r="X2605" s="215" t="n"/>
      <c r="Y2605" s="215" t="n"/>
      <c r="Z2605" s="215" t="n"/>
      <c r="AA2605" s="215" t="n"/>
      <c r="AB2605" s="215" t="n"/>
      <c r="AC2605" s="215" t="n"/>
      <c r="AD2605" s="215" t="n"/>
      <c r="AE2605" s="215" t="n"/>
      <c r="AF2605" s="215" t="n"/>
      <c r="AG2605" s="215" t="n"/>
      <c r="AH2605" s="215" t="n"/>
      <c r="AI2605" s="215" t="n"/>
      <c r="AJ2605" s="215" t="n"/>
      <c r="AK2605" s="216" t="n"/>
    </row>
    <row r="2606" ht="15" customHeight="1">
      <c r="B2606" s="134" t="n"/>
      <c r="C2606" s="105" t="n"/>
      <c r="D2606" s="105" t="n"/>
      <c r="E2606" s="105" t="n"/>
      <c r="F2606" s="105" t="n"/>
      <c r="G2606" s="105" t="n"/>
      <c r="H2606" s="2" t="n"/>
      <c r="I2606" s="105" t="n"/>
      <c r="K2606" s="215" t="n"/>
      <c r="L2606" s="215" t="n"/>
      <c r="M2606" s="215" t="n"/>
      <c r="N2606" s="215" t="n"/>
      <c r="O2606" s="215" t="n"/>
      <c r="P2606" s="215" t="n"/>
      <c r="Q2606" s="215" t="n"/>
      <c r="R2606" s="215" t="n"/>
      <c r="S2606" s="215" t="n"/>
      <c r="T2606" s="215" t="n"/>
      <c r="U2606" s="215" t="n"/>
      <c r="V2606" s="215" t="n"/>
      <c r="W2606" s="215" t="n"/>
      <c r="X2606" s="215" t="n"/>
      <c r="Y2606" s="215" t="n"/>
      <c r="Z2606" s="215" t="n"/>
      <c r="AA2606" s="215" t="n"/>
      <c r="AB2606" s="215" t="n"/>
      <c r="AC2606" s="215" t="n"/>
      <c r="AD2606" s="215" t="n"/>
      <c r="AE2606" s="215" t="n"/>
      <c r="AF2606" s="215" t="n"/>
      <c r="AG2606" s="215" t="n"/>
      <c r="AH2606" s="215" t="n"/>
      <c r="AI2606" s="215" t="n"/>
      <c r="AJ2606" s="215" t="n"/>
      <c r="AK2606" s="216" t="n"/>
    </row>
    <row r="2607" ht="15" customHeight="1">
      <c r="B2607" s="134" t="n"/>
      <c r="C2607" s="105" t="n"/>
      <c r="D2607" s="105" t="n"/>
      <c r="E2607" s="105" t="n"/>
      <c r="F2607" s="105" t="n"/>
      <c r="G2607" s="105" t="n"/>
      <c r="H2607" s="2" t="n"/>
      <c r="I2607" s="105" t="n"/>
      <c r="K2607" s="215" t="n"/>
      <c r="L2607" s="215" t="n"/>
      <c r="M2607" s="215" t="n"/>
      <c r="N2607" s="215" t="n"/>
      <c r="O2607" s="215" t="n"/>
      <c r="P2607" s="215" t="n"/>
      <c r="Q2607" s="215" t="n"/>
      <c r="R2607" s="215" t="n"/>
      <c r="S2607" s="215" t="n"/>
      <c r="T2607" s="215" t="n"/>
      <c r="U2607" s="215" t="n"/>
      <c r="V2607" s="215" t="n"/>
      <c r="W2607" s="215" t="n"/>
      <c r="X2607" s="215" t="n"/>
      <c r="Y2607" s="215" t="n"/>
      <c r="Z2607" s="215" t="n"/>
      <c r="AA2607" s="215" t="n"/>
      <c r="AB2607" s="215" t="n"/>
      <c r="AC2607" s="215" t="n"/>
      <c r="AD2607" s="215" t="n"/>
      <c r="AE2607" s="215" t="n"/>
      <c r="AF2607" s="215" t="n"/>
      <c r="AG2607" s="215" t="n"/>
      <c r="AH2607" s="215" t="n"/>
      <c r="AI2607" s="215" t="n"/>
      <c r="AJ2607" s="215" t="n"/>
      <c r="AK2607" s="216" t="n"/>
    </row>
    <row r="2608" ht="15" customHeight="1">
      <c r="B2608" s="134" t="n"/>
      <c r="C2608" s="105" t="n"/>
      <c r="D2608" s="105" t="n"/>
      <c r="E2608" s="105" t="n"/>
      <c r="F2608" s="105" t="n"/>
      <c r="G2608" s="105" t="n"/>
      <c r="H2608" s="2" t="n"/>
      <c r="I2608" s="105" t="n"/>
      <c r="K2608" s="215" t="n"/>
      <c r="L2608" s="215" t="n"/>
      <c r="M2608" s="215" t="n"/>
      <c r="N2608" s="215" t="n"/>
      <c r="O2608" s="215" t="n"/>
      <c r="P2608" s="215" t="n"/>
      <c r="Q2608" s="215" t="n"/>
      <c r="R2608" s="215" t="n"/>
      <c r="S2608" s="215" t="n"/>
      <c r="T2608" s="215" t="n"/>
      <c r="U2608" s="215" t="n"/>
      <c r="V2608" s="215" t="n"/>
      <c r="W2608" s="215" t="n"/>
      <c r="X2608" s="215" t="n"/>
      <c r="Y2608" s="215" t="n"/>
      <c r="Z2608" s="215" t="n"/>
      <c r="AA2608" s="215" t="n"/>
      <c r="AB2608" s="215" t="n"/>
      <c r="AC2608" s="215" t="n"/>
      <c r="AD2608" s="215" t="n"/>
      <c r="AE2608" s="215" t="n"/>
      <c r="AF2608" s="215" t="n"/>
      <c r="AG2608" s="215" t="n"/>
      <c r="AH2608" s="215" t="n"/>
      <c r="AI2608" s="215" t="n"/>
      <c r="AJ2608" s="215" t="n"/>
      <c r="AK2608" s="216" t="n"/>
    </row>
    <row r="2609" ht="15" customHeight="1">
      <c r="B2609" s="134" t="n"/>
      <c r="C2609" s="105" t="n"/>
      <c r="D2609" s="105" t="n"/>
      <c r="E2609" s="105" t="n"/>
      <c r="F2609" s="105" t="n"/>
      <c r="G2609" s="105" t="n"/>
      <c r="H2609" s="2" t="n"/>
      <c r="I2609" s="105" t="n"/>
      <c r="K2609" s="215" t="n"/>
      <c r="L2609" s="215" t="n"/>
      <c r="M2609" s="215" t="n"/>
      <c r="N2609" s="215" t="n"/>
      <c r="O2609" s="215" t="n"/>
      <c r="P2609" s="215" t="n"/>
      <c r="Q2609" s="215" t="n"/>
      <c r="R2609" s="215" t="n"/>
      <c r="S2609" s="215" t="n"/>
      <c r="T2609" s="215" t="n"/>
      <c r="U2609" s="215" t="n"/>
      <c r="V2609" s="215" t="n"/>
      <c r="W2609" s="215" t="n"/>
      <c r="X2609" s="215" t="n"/>
      <c r="Y2609" s="215" t="n"/>
      <c r="Z2609" s="215" t="n"/>
      <c r="AA2609" s="215" t="n"/>
      <c r="AB2609" s="215" t="n"/>
      <c r="AC2609" s="215" t="n"/>
      <c r="AD2609" s="215" t="n"/>
      <c r="AE2609" s="215" t="n"/>
      <c r="AF2609" s="215" t="n"/>
      <c r="AG2609" s="215" t="n"/>
      <c r="AH2609" s="215" t="n"/>
      <c r="AI2609" s="215" t="n"/>
      <c r="AJ2609" s="215" t="n"/>
      <c r="AK2609" s="216" t="n"/>
    </row>
    <row r="2610" ht="15" customHeight="1">
      <c r="B2610" s="134" t="n"/>
      <c r="C2610" s="105" t="n"/>
      <c r="D2610" s="105" t="n"/>
      <c r="E2610" s="105" t="n"/>
      <c r="F2610" s="105" t="n"/>
      <c r="G2610" s="105" t="n"/>
      <c r="H2610" s="2" t="n"/>
      <c r="I2610" s="105" t="n"/>
      <c r="K2610" s="215" t="n"/>
      <c r="L2610" s="215" t="n"/>
      <c r="M2610" s="215" t="n"/>
      <c r="N2610" s="215" t="n"/>
      <c r="O2610" s="215" t="n"/>
      <c r="P2610" s="215" t="n"/>
      <c r="Q2610" s="215" t="n"/>
      <c r="R2610" s="215" t="n"/>
      <c r="S2610" s="215" t="n"/>
      <c r="T2610" s="215" t="n"/>
      <c r="U2610" s="215" t="n"/>
      <c r="V2610" s="215" t="n"/>
      <c r="W2610" s="215" t="n"/>
      <c r="X2610" s="215" t="n"/>
      <c r="Y2610" s="215" t="n"/>
      <c r="Z2610" s="215" t="n"/>
      <c r="AA2610" s="215" t="n"/>
      <c r="AB2610" s="215" t="n"/>
      <c r="AC2610" s="215" t="n"/>
      <c r="AD2610" s="215" t="n"/>
      <c r="AE2610" s="215" t="n"/>
      <c r="AF2610" s="215" t="n"/>
      <c r="AG2610" s="215" t="n"/>
      <c r="AH2610" s="215" t="n"/>
      <c r="AI2610" s="215" t="n"/>
      <c r="AJ2610" s="215" t="n"/>
      <c r="AK2610" s="216" t="n"/>
    </row>
    <row r="2611" ht="15" customHeight="1">
      <c r="B2611" s="134" t="n"/>
      <c r="C2611" s="105" t="n"/>
      <c r="D2611" s="105" t="n"/>
      <c r="E2611" s="105" t="n"/>
      <c r="F2611" s="105" t="n"/>
      <c r="G2611" s="105" t="n"/>
      <c r="H2611" s="2" t="n"/>
      <c r="I2611" s="105" t="n"/>
      <c r="K2611" s="215" t="n"/>
      <c r="L2611" s="215" t="n"/>
      <c r="M2611" s="215" t="n"/>
      <c r="N2611" s="215" t="n"/>
      <c r="O2611" s="215" t="n"/>
      <c r="P2611" s="215" t="n"/>
      <c r="Q2611" s="215" t="n"/>
      <c r="R2611" s="215" t="n"/>
      <c r="S2611" s="215" t="n"/>
      <c r="T2611" s="215" t="n"/>
      <c r="U2611" s="215" t="n"/>
      <c r="V2611" s="215" t="n"/>
      <c r="W2611" s="215" t="n"/>
      <c r="X2611" s="215" t="n"/>
      <c r="Y2611" s="215" t="n"/>
      <c r="Z2611" s="215" t="n"/>
      <c r="AA2611" s="215" t="n"/>
      <c r="AB2611" s="215" t="n"/>
      <c r="AC2611" s="215" t="n"/>
      <c r="AD2611" s="215" t="n"/>
      <c r="AE2611" s="215" t="n"/>
      <c r="AF2611" s="215" t="n"/>
      <c r="AG2611" s="215" t="n"/>
      <c r="AH2611" s="215" t="n"/>
      <c r="AI2611" s="215" t="n"/>
      <c r="AJ2611" s="215" t="n"/>
      <c r="AK2611" s="216" t="n"/>
    </row>
    <row r="2612" ht="15" customHeight="1">
      <c r="B2612" s="134" t="n"/>
      <c r="C2612" s="105" t="n"/>
      <c r="D2612" s="105" t="n"/>
      <c r="E2612" s="105" t="n"/>
      <c r="F2612" s="105" t="n"/>
      <c r="G2612" s="105" t="n"/>
      <c r="H2612" s="2" t="n"/>
      <c r="I2612" s="105" t="n"/>
      <c r="K2612" s="215" t="n"/>
      <c r="L2612" s="215" t="n"/>
      <c r="M2612" s="215" t="n"/>
      <c r="N2612" s="215" t="n"/>
      <c r="O2612" s="215" t="n"/>
      <c r="P2612" s="215" t="n"/>
      <c r="Q2612" s="215" t="n"/>
      <c r="R2612" s="215" t="n"/>
      <c r="S2612" s="215" t="n"/>
      <c r="T2612" s="215" t="n"/>
      <c r="U2612" s="215" t="n"/>
      <c r="V2612" s="215" t="n"/>
      <c r="W2612" s="215" t="n"/>
      <c r="X2612" s="215" t="n"/>
      <c r="Y2612" s="215" t="n"/>
      <c r="Z2612" s="215" t="n"/>
      <c r="AA2612" s="215" t="n"/>
      <c r="AB2612" s="215" t="n"/>
      <c r="AC2612" s="215" t="n"/>
      <c r="AD2612" s="215" t="n"/>
      <c r="AE2612" s="215" t="n"/>
      <c r="AF2612" s="215" t="n"/>
      <c r="AG2612" s="215" t="n"/>
      <c r="AH2612" s="215" t="n"/>
      <c r="AI2612" s="215" t="n"/>
      <c r="AJ2612" s="215" t="n"/>
      <c r="AK2612" s="216" t="n"/>
    </row>
    <row r="2613" ht="15" customHeight="1">
      <c r="B2613" s="134" t="n"/>
      <c r="C2613" s="105" t="n"/>
      <c r="D2613" s="105" t="n"/>
      <c r="E2613" s="105" t="n"/>
      <c r="F2613" s="105" t="n"/>
      <c r="G2613" s="105" t="n"/>
      <c r="H2613" s="2" t="n"/>
      <c r="I2613" s="105" t="n"/>
      <c r="K2613" s="215" t="n"/>
      <c r="L2613" s="215" t="n"/>
      <c r="M2613" s="215" t="n"/>
      <c r="N2613" s="215" t="n"/>
      <c r="O2613" s="215" t="n"/>
      <c r="P2613" s="215" t="n"/>
      <c r="Q2613" s="215" t="n"/>
      <c r="R2613" s="215" t="n"/>
      <c r="S2613" s="215" t="n"/>
      <c r="T2613" s="215" t="n"/>
      <c r="U2613" s="215" t="n"/>
      <c r="V2613" s="215" t="n"/>
      <c r="W2613" s="215" t="n"/>
      <c r="X2613" s="215" t="n"/>
      <c r="Y2613" s="215" t="n"/>
      <c r="Z2613" s="215" t="n"/>
      <c r="AA2613" s="215" t="n"/>
      <c r="AB2613" s="215" t="n"/>
      <c r="AC2613" s="215" t="n"/>
      <c r="AD2613" s="215" t="n"/>
      <c r="AE2613" s="215" t="n"/>
      <c r="AF2613" s="215" t="n"/>
      <c r="AG2613" s="215" t="n"/>
      <c r="AH2613" s="215" t="n"/>
      <c r="AI2613" s="215" t="n"/>
      <c r="AJ2613" s="215" t="n"/>
      <c r="AK2613" s="216" t="n"/>
    </row>
    <row r="2614" ht="15" customHeight="1">
      <c r="B2614" s="134" t="n"/>
      <c r="C2614" s="105" t="n"/>
      <c r="D2614" s="105" t="n"/>
      <c r="E2614" s="105" t="n"/>
      <c r="F2614" s="105" t="n"/>
      <c r="G2614" s="105" t="n"/>
      <c r="H2614" s="2" t="n"/>
      <c r="I2614" s="105" t="n"/>
      <c r="K2614" s="215" t="n"/>
      <c r="L2614" s="215" t="n"/>
      <c r="M2614" s="215" t="n"/>
      <c r="N2614" s="215" t="n"/>
      <c r="O2614" s="215" t="n"/>
      <c r="P2614" s="215" t="n"/>
      <c r="Q2614" s="215" t="n"/>
      <c r="R2614" s="215" t="n"/>
      <c r="S2614" s="215" t="n"/>
      <c r="T2614" s="215" t="n"/>
      <c r="U2614" s="215" t="n"/>
      <c r="V2614" s="215" t="n"/>
      <c r="W2614" s="215" t="n"/>
      <c r="X2614" s="215" t="n"/>
      <c r="Y2614" s="215" t="n"/>
      <c r="Z2614" s="215" t="n"/>
      <c r="AA2614" s="215" t="n"/>
      <c r="AB2614" s="215" t="n"/>
      <c r="AC2614" s="215" t="n"/>
      <c r="AD2614" s="215" t="n"/>
      <c r="AE2614" s="215" t="n"/>
      <c r="AF2614" s="215" t="n"/>
      <c r="AG2614" s="215" t="n"/>
      <c r="AH2614" s="215" t="n"/>
      <c r="AI2614" s="215" t="n"/>
      <c r="AJ2614" s="215" t="n"/>
      <c r="AK2614" s="216" t="n"/>
    </row>
    <row r="2615" ht="15" customHeight="1">
      <c r="B2615" s="134" t="n"/>
      <c r="C2615" s="105" t="n"/>
      <c r="D2615" s="105" t="n"/>
      <c r="E2615" s="105" t="n"/>
      <c r="F2615" s="105" t="n"/>
      <c r="G2615" s="105" t="n"/>
      <c r="H2615" s="2" t="n"/>
      <c r="I2615" s="105" t="n"/>
      <c r="K2615" s="215" t="n"/>
      <c r="L2615" s="215" t="n"/>
      <c r="M2615" s="215" t="n"/>
      <c r="N2615" s="215" t="n"/>
      <c r="O2615" s="215" t="n"/>
      <c r="P2615" s="215" t="n"/>
      <c r="Q2615" s="215" t="n"/>
      <c r="R2615" s="215" t="n"/>
      <c r="S2615" s="215" t="n"/>
      <c r="T2615" s="215" t="n"/>
      <c r="U2615" s="215" t="n"/>
      <c r="V2615" s="215" t="n"/>
      <c r="W2615" s="215" t="n"/>
      <c r="X2615" s="215" t="n"/>
      <c r="Y2615" s="215" t="n"/>
      <c r="Z2615" s="215" t="n"/>
      <c r="AA2615" s="215" t="n"/>
      <c r="AB2615" s="215" t="n"/>
      <c r="AC2615" s="215" t="n"/>
      <c r="AD2615" s="215" t="n"/>
      <c r="AE2615" s="215" t="n"/>
      <c r="AF2615" s="215" t="n"/>
      <c r="AG2615" s="215" t="n"/>
      <c r="AH2615" s="215" t="n"/>
      <c r="AI2615" s="215" t="n"/>
      <c r="AJ2615" s="215" t="n"/>
      <c r="AK2615" s="216" t="n"/>
    </row>
    <row r="2616" ht="15" customHeight="1">
      <c r="B2616" s="134" t="n"/>
      <c r="C2616" s="105" t="n"/>
      <c r="D2616" s="105" t="n"/>
      <c r="E2616" s="105" t="n"/>
      <c r="F2616" s="105" t="n"/>
      <c r="G2616" s="105" t="n"/>
      <c r="H2616" s="2" t="n"/>
      <c r="I2616" s="105" t="n"/>
      <c r="K2616" s="215" t="n"/>
      <c r="L2616" s="215" t="n"/>
      <c r="M2616" s="215" t="n"/>
      <c r="N2616" s="215" t="n"/>
      <c r="O2616" s="215" t="n"/>
      <c r="P2616" s="215" t="n"/>
      <c r="Q2616" s="215" t="n"/>
      <c r="R2616" s="215" t="n"/>
      <c r="S2616" s="215" t="n"/>
      <c r="T2616" s="215" t="n"/>
      <c r="U2616" s="215" t="n"/>
      <c r="V2616" s="215" t="n"/>
      <c r="W2616" s="215" t="n"/>
      <c r="X2616" s="215" t="n"/>
      <c r="Y2616" s="215" t="n"/>
      <c r="Z2616" s="215" t="n"/>
      <c r="AA2616" s="215" t="n"/>
      <c r="AB2616" s="215" t="n"/>
      <c r="AC2616" s="215" t="n"/>
      <c r="AD2616" s="215" t="n"/>
      <c r="AE2616" s="215" t="n"/>
      <c r="AF2616" s="215" t="n"/>
      <c r="AG2616" s="215" t="n"/>
      <c r="AH2616" s="215" t="n"/>
      <c r="AI2616" s="215" t="n"/>
      <c r="AJ2616" s="215" t="n"/>
      <c r="AK2616" s="216" t="n"/>
    </row>
    <row r="2617" ht="15" customHeight="1">
      <c r="B2617" s="134" t="n"/>
      <c r="C2617" s="105" t="n"/>
      <c r="D2617" s="105" t="n"/>
      <c r="E2617" s="105" t="n"/>
      <c r="F2617" s="105" t="n"/>
      <c r="G2617" s="105" t="n"/>
      <c r="H2617" s="2" t="n"/>
      <c r="I2617" s="105" t="n"/>
      <c r="K2617" s="215" t="n"/>
      <c r="L2617" s="215" t="n"/>
      <c r="M2617" s="215" t="n"/>
      <c r="N2617" s="215" t="n"/>
      <c r="O2617" s="215" t="n"/>
      <c r="P2617" s="215" t="n"/>
      <c r="Q2617" s="215" t="n"/>
      <c r="R2617" s="215" t="n"/>
      <c r="S2617" s="215" t="n"/>
      <c r="T2617" s="215" t="n"/>
      <c r="U2617" s="215" t="n"/>
      <c r="V2617" s="215" t="n"/>
      <c r="W2617" s="215" t="n"/>
      <c r="X2617" s="215" t="n"/>
      <c r="Y2617" s="215" t="n"/>
      <c r="Z2617" s="215" t="n"/>
      <c r="AA2617" s="215" t="n"/>
      <c r="AB2617" s="215" t="n"/>
      <c r="AC2617" s="215" t="n"/>
      <c r="AD2617" s="215" t="n"/>
      <c r="AE2617" s="215" t="n"/>
      <c r="AF2617" s="215" t="n"/>
      <c r="AG2617" s="215" t="n"/>
      <c r="AH2617" s="215" t="n"/>
      <c r="AI2617" s="215" t="n"/>
      <c r="AJ2617" s="215" t="n"/>
      <c r="AK2617" s="216" t="n"/>
    </row>
    <row r="2618" ht="15" customHeight="1">
      <c r="B2618" s="134" t="n"/>
      <c r="C2618" s="105" t="n"/>
      <c r="D2618" s="105" t="n"/>
      <c r="E2618" s="105" t="n"/>
      <c r="F2618" s="105" t="n"/>
      <c r="G2618" s="105" t="n"/>
      <c r="H2618" s="2" t="n"/>
      <c r="I2618" s="105" t="n"/>
      <c r="K2618" s="215" t="n"/>
      <c r="L2618" s="215" t="n"/>
      <c r="M2618" s="215" t="n"/>
      <c r="N2618" s="215" t="n"/>
      <c r="O2618" s="215" t="n"/>
      <c r="P2618" s="215" t="n"/>
      <c r="Q2618" s="215" t="n"/>
      <c r="R2618" s="215" t="n"/>
      <c r="S2618" s="215" t="n"/>
      <c r="T2618" s="215" t="n"/>
      <c r="U2618" s="215" t="n"/>
      <c r="V2618" s="215" t="n"/>
      <c r="W2618" s="215" t="n"/>
      <c r="X2618" s="215" t="n"/>
      <c r="Y2618" s="215" t="n"/>
      <c r="Z2618" s="215" t="n"/>
      <c r="AA2618" s="215" t="n"/>
      <c r="AB2618" s="215" t="n"/>
      <c r="AC2618" s="215" t="n"/>
      <c r="AD2618" s="215" t="n"/>
      <c r="AE2618" s="215" t="n"/>
      <c r="AF2618" s="215" t="n"/>
      <c r="AG2618" s="215" t="n"/>
      <c r="AH2618" s="215" t="n"/>
      <c r="AI2618" s="215" t="n"/>
      <c r="AJ2618" s="215" t="n"/>
      <c r="AK2618" s="216" t="n"/>
    </row>
    <row r="2619" ht="15" customHeight="1">
      <c r="B2619" s="134" t="n"/>
      <c r="C2619" s="105" t="n"/>
      <c r="D2619" s="105" t="n"/>
      <c r="E2619" s="105" t="n"/>
      <c r="F2619" s="105" t="n"/>
      <c r="G2619" s="105" t="n"/>
      <c r="H2619" s="2" t="n"/>
      <c r="I2619" s="105" t="n"/>
      <c r="K2619" s="215" t="n"/>
      <c r="L2619" s="215" t="n"/>
      <c r="M2619" s="215" t="n"/>
      <c r="N2619" s="215" t="n"/>
      <c r="O2619" s="215" t="n"/>
      <c r="P2619" s="215" t="n"/>
      <c r="Q2619" s="215" t="n"/>
      <c r="R2619" s="215" t="n"/>
      <c r="S2619" s="215" t="n"/>
      <c r="T2619" s="215" t="n"/>
      <c r="U2619" s="215" t="n"/>
      <c r="V2619" s="215" t="n"/>
      <c r="W2619" s="215" t="n"/>
      <c r="X2619" s="215" t="n"/>
      <c r="Y2619" s="215" t="n"/>
      <c r="Z2619" s="215" t="n"/>
      <c r="AA2619" s="215" t="n"/>
      <c r="AB2619" s="215" t="n"/>
      <c r="AC2619" s="215" t="n"/>
      <c r="AD2619" s="215" t="n"/>
      <c r="AE2619" s="215" t="n"/>
      <c r="AF2619" s="215" t="n"/>
      <c r="AG2619" s="215" t="n"/>
      <c r="AH2619" s="215" t="n"/>
      <c r="AI2619" s="215" t="n"/>
      <c r="AJ2619" s="215" t="n"/>
      <c r="AK2619" s="216" t="n"/>
    </row>
    <row r="2620" ht="15" customHeight="1">
      <c r="B2620" s="134" t="n"/>
      <c r="C2620" s="105" t="n"/>
      <c r="D2620" s="105" t="n"/>
      <c r="E2620" s="105" t="n"/>
      <c r="F2620" s="105" t="n"/>
      <c r="G2620" s="105" t="n"/>
      <c r="H2620" s="2" t="n"/>
      <c r="I2620" s="105" t="n"/>
      <c r="K2620" s="215" t="n"/>
      <c r="L2620" s="215" t="n"/>
      <c r="M2620" s="215" t="n"/>
      <c r="N2620" s="215" t="n"/>
      <c r="O2620" s="215" t="n"/>
      <c r="P2620" s="215" t="n"/>
      <c r="Q2620" s="215" t="n"/>
      <c r="R2620" s="215" t="n"/>
      <c r="S2620" s="215" t="n"/>
      <c r="T2620" s="215" t="n"/>
      <c r="U2620" s="215" t="n"/>
      <c r="V2620" s="215" t="n"/>
      <c r="W2620" s="215" t="n"/>
      <c r="X2620" s="215" t="n"/>
      <c r="Y2620" s="215" t="n"/>
      <c r="Z2620" s="215" t="n"/>
      <c r="AA2620" s="215" t="n"/>
      <c r="AB2620" s="215" t="n"/>
      <c r="AC2620" s="215" t="n"/>
      <c r="AD2620" s="215" t="n"/>
      <c r="AE2620" s="215" t="n"/>
      <c r="AF2620" s="215" t="n"/>
      <c r="AG2620" s="215" t="n"/>
      <c r="AH2620" s="215" t="n"/>
      <c r="AI2620" s="215" t="n"/>
      <c r="AJ2620" s="215" t="n"/>
      <c r="AK2620" s="216" t="n"/>
    </row>
    <row r="2621" ht="15" customHeight="1">
      <c r="B2621" s="134" t="n"/>
      <c r="C2621" s="105" t="n"/>
      <c r="D2621" s="105" t="n"/>
      <c r="E2621" s="105" t="n"/>
      <c r="F2621" s="105" t="n"/>
      <c r="G2621" s="105" t="n"/>
      <c r="H2621" s="2" t="n"/>
      <c r="I2621" s="105" t="n"/>
      <c r="K2621" s="215" t="n"/>
      <c r="L2621" s="215" t="n"/>
      <c r="M2621" s="215" t="n"/>
      <c r="N2621" s="215" t="n"/>
      <c r="O2621" s="215" t="n"/>
      <c r="P2621" s="215" t="n"/>
      <c r="Q2621" s="215" t="n"/>
      <c r="R2621" s="215" t="n"/>
      <c r="S2621" s="215" t="n"/>
      <c r="T2621" s="215" t="n"/>
      <c r="U2621" s="215" t="n"/>
      <c r="V2621" s="215" t="n"/>
      <c r="W2621" s="215" t="n"/>
      <c r="X2621" s="215" t="n"/>
      <c r="Y2621" s="215" t="n"/>
      <c r="Z2621" s="215" t="n"/>
      <c r="AA2621" s="215" t="n"/>
      <c r="AB2621" s="215" t="n"/>
      <c r="AC2621" s="215" t="n"/>
      <c r="AD2621" s="215" t="n"/>
      <c r="AE2621" s="215" t="n"/>
      <c r="AF2621" s="215" t="n"/>
      <c r="AG2621" s="215" t="n"/>
      <c r="AH2621" s="215" t="n"/>
      <c r="AI2621" s="215" t="n"/>
      <c r="AJ2621" s="215" t="n"/>
      <c r="AK2621" s="216" t="n"/>
    </row>
    <row r="2622" ht="15" customHeight="1">
      <c r="B2622" s="134" t="n"/>
      <c r="C2622" s="105" t="n"/>
      <c r="D2622" s="105" t="n"/>
      <c r="E2622" s="105" t="n"/>
      <c r="F2622" s="105" t="n"/>
      <c r="G2622" s="105" t="n"/>
      <c r="H2622" s="2" t="n"/>
      <c r="I2622" s="105" t="n"/>
      <c r="K2622" s="215" t="n"/>
      <c r="L2622" s="215" t="n"/>
      <c r="M2622" s="215" t="n"/>
      <c r="N2622" s="215" t="n"/>
      <c r="O2622" s="215" t="n"/>
      <c r="P2622" s="215" t="n"/>
      <c r="Q2622" s="215" t="n"/>
      <c r="R2622" s="215" t="n"/>
      <c r="S2622" s="215" t="n"/>
      <c r="T2622" s="215" t="n"/>
      <c r="U2622" s="215" t="n"/>
      <c r="V2622" s="215" t="n"/>
      <c r="W2622" s="215" t="n"/>
      <c r="X2622" s="215" t="n"/>
      <c r="Y2622" s="215" t="n"/>
      <c r="Z2622" s="215" t="n"/>
      <c r="AA2622" s="215" t="n"/>
      <c r="AB2622" s="215" t="n"/>
      <c r="AC2622" s="215" t="n"/>
      <c r="AD2622" s="215" t="n"/>
      <c r="AE2622" s="215" t="n"/>
      <c r="AF2622" s="215" t="n"/>
      <c r="AG2622" s="215" t="n"/>
      <c r="AH2622" s="215" t="n"/>
      <c r="AI2622" s="215" t="n"/>
      <c r="AJ2622" s="215" t="n"/>
      <c r="AK2622" s="216" t="n"/>
    </row>
    <row r="2623" ht="15" customHeight="1">
      <c r="B2623" s="134" t="n"/>
      <c r="C2623" s="105" t="n"/>
      <c r="D2623" s="105" t="n"/>
      <c r="E2623" s="105" t="n"/>
      <c r="F2623" s="105" t="n"/>
      <c r="G2623" s="105" t="n"/>
      <c r="H2623" s="2" t="n"/>
      <c r="I2623" s="105" t="n"/>
      <c r="K2623" s="215" t="n"/>
      <c r="L2623" s="215" t="n"/>
      <c r="M2623" s="215" t="n"/>
      <c r="N2623" s="215" t="n"/>
      <c r="O2623" s="215" t="n"/>
      <c r="P2623" s="215" t="n"/>
      <c r="Q2623" s="215" t="n"/>
      <c r="R2623" s="215" t="n"/>
      <c r="S2623" s="215" t="n"/>
      <c r="T2623" s="215" t="n"/>
      <c r="U2623" s="215" t="n"/>
      <c r="V2623" s="215" t="n"/>
      <c r="W2623" s="215" t="n"/>
      <c r="X2623" s="215" t="n"/>
      <c r="Y2623" s="215" t="n"/>
      <c r="Z2623" s="215" t="n"/>
      <c r="AA2623" s="215" t="n"/>
      <c r="AB2623" s="215" t="n"/>
      <c r="AC2623" s="215" t="n"/>
      <c r="AD2623" s="215" t="n"/>
      <c r="AE2623" s="215" t="n"/>
      <c r="AF2623" s="215" t="n"/>
      <c r="AG2623" s="215" t="n"/>
      <c r="AH2623" s="215" t="n"/>
      <c r="AI2623" s="215" t="n"/>
      <c r="AJ2623" s="215" t="n"/>
      <c r="AK2623" s="216" t="n"/>
    </row>
    <row r="2624" ht="15" customHeight="1">
      <c r="B2624" s="134" t="n"/>
      <c r="C2624" s="105" t="n"/>
      <c r="D2624" s="105" t="n"/>
      <c r="E2624" s="105" t="n"/>
      <c r="F2624" s="105" t="n"/>
      <c r="G2624" s="105" t="n"/>
      <c r="H2624" s="2" t="n"/>
      <c r="I2624" s="105" t="n"/>
      <c r="K2624" s="215" t="n"/>
      <c r="L2624" s="215" t="n"/>
      <c r="M2624" s="215" t="n"/>
      <c r="N2624" s="215" t="n"/>
      <c r="O2624" s="215" t="n"/>
      <c r="P2624" s="215" t="n"/>
      <c r="Q2624" s="215" t="n"/>
      <c r="R2624" s="215" t="n"/>
      <c r="S2624" s="215" t="n"/>
      <c r="T2624" s="215" t="n"/>
      <c r="U2624" s="215" t="n"/>
      <c r="V2624" s="215" t="n"/>
      <c r="W2624" s="215" t="n"/>
      <c r="X2624" s="215" t="n"/>
      <c r="Y2624" s="215" t="n"/>
      <c r="Z2624" s="215" t="n"/>
      <c r="AA2624" s="215" t="n"/>
      <c r="AB2624" s="215" t="n"/>
      <c r="AC2624" s="215" t="n"/>
      <c r="AD2624" s="215" t="n"/>
      <c r="AE2624" s="215" t="n"/>
      <c r="AF2624" s="215" t="n"/>
      <c r="AG2624" s="215" t="n"/>
      <c r="AH2624" s="215" t="n"/>
      <c r="AI2624" s="215" t="n"/>
      <c r="AJ2624" s="215" t="n"/>
      <c r="AK2624" s="216" t="n"/>
    </row>
    <row r="2625" ht="15" customHeight="1">
      <c r="B2625" s="134" t="n"/>
      <c r="C2625" s="105" t="n"/>
      <c r="D2625" s="105" t="n"/>
      <c r="E2625" s="105" t="n"/>
      <c r="F2625" s="105" t="n"/>
      <c r="G2625" s="105" t="n"/>
      <c r="H2625" s="2" t="n"/>
      <c r="I2625" s="105" t="n"/>
      <c r="K2625" s="215" t="n"/>
      <c r="L2625" s="215" t="n"/>
      <c r="M2625" s="215" t="n"/>
      <c r="N2625" s="215" t="n"/>
      <c r="O2625" s="215" t="n"/>
      <c r="P2625" s="215" t="n"/>
      <c r="Q2625" s="215" t="n"/>
      <c r="R2625" s="215" t="n"/>
      <c r="S2625" s="215" t="n"/>
      <c r="T2625" s="215" t="n"/>
      <c r="U2625" s="215" t="n"/>
      <c r="V2625" s="215" t="n"/>
      <c r="W2625" s="215" t="n"/>
      <c r="X2625" s="215" t="n"/>
      <c r="Y2625" s="215" t="n"/>
      <c r="Z2625" s="215" t="n"/>
      <c r="AA2625" s="215" t="n"/>
      <c r="AB2625" s="215" t="n"/>
      <c r="AC2625" s="215" t="n"/>
      <c r="AD2625" s="215" t="n"/>
      <c r="AE2625" s="215" t="n"/>
      <c r="AF2625" s="215" t="n"/>
      <c r="AG2625" s="215" t="n"/>
      <c r="AH2625" s="215" t="n"/>
      <c r="AI2625" s="215" t="n"/>
      <c r="AJ2625" s="215" t="n"/>
      <c r="AK2625" s="216" t="n"/>
    </row>
    <row r="2626" ht="15" customHeight="1">
      <c r="B2626" s="134" t="n"/>
      <c r="C2626" s="105" t="n"/>
      <c r="D2626" s="105" t="n"/>
      <c r="E2626" s="105" t="n"/>
      <c r="F2626" s="105" t="n"/>
      <c r="G2626" s="105" t="n"/>
      <c r="H2626" s="2" t="n"/>
      <c r="I2626" s="105" t="n"/>
      <c r="K2626" s="215" t="n"/>
      <c r="L2626" s="215" t="n"/>
      <c r="M2626" s="215" t="n"/>
      <c r="N2626" s="215" t="n"/>
      <c r="O2626" s="215" t="n"/>
      <c r="P2626" s="215" t="n"/>
      <c r="Q2626" s="215" t="n"/>
      <c r="R2626" s="215" t="n"/>
      <c r="S2626" s="215" t="n"/>
      <c r="T2626" s="215" t="n"/>
      <c r="U2626" s="215" t="n"/>
      <c r="V2626" s="215" t="n"/>
      <c r="W2626" s="215" t="n"/>
      <c r="X2626" s="215" t="n"/>
      <c r="Y2626" s="215" t="n"/>
      <c r="Z2626" s="215" t="n"/>
      <c r="AA2626" s="215" t="n"/>
      <c r="AB2626" s="215" t="n"/>
      <c r="AC2626" s="215" t="n"/>
      <c r="AD2626" s="215" t="n"/>
      <c r="AE2626" s="215" t="n"/>
      <c r="AF2626" s="215" t="n"/>
      <c r="AG2626" s="215" t="n"/>
      <c r="AH2626" s="215" t="n"/>
      <c r="AI2626" s="215" t="n"/>
      <c r="AJ2626" s="215" t="n"/>
      <c r="AK2626" s="216" t="n"/>
    </row>
    <row r="2627" ht="15" customHeight="1">
      <c r="B2627" s="134" t="n"/>
      <c r="C2627" s="105" t="n"/>
      <c r="D2627" s="105" t="n"/>
      <c r="E2627" s="105" t="n"/>
      <c r="F2627" s="105" t="n"/>
      <c r="G2627" s="105" t="n"/>
      <c r="H2627" s="2" t="n"/>
      <c r="I2627" s="105" t="n"/>
      <c r="K2627" s="215" t="n"/>
      <c r="L2627" s="215" t="n"/>
      <c r="M2627" s="215" t="n"/>
      <c r="N2627" s="215" t="n"/>
      <c r="O2627" s="215" t="n"/>
      <c r="P2627" s="215" t="n"/>
      <c r="Q2627" s="215" t="n"/>
      <c r="R2627" s="215" t="n"/>
      <c r="S2627" s="215" t="n"/>
      <c r="T2627" s="215" t="n"/>
      <c r="U2627" s="215" t="n"/>
      <c r="V2627" s="215" t="n"/>
      <c r="W2627" s="215" t="n"/>
      <c r="X2627" s="215" t="n"/>
      <c r="Y2627" s="215" t="n"/>
      <c r="Z2627" s="215" t="n"/>
      <c r="AA2627" s="215" t="n"/>
      <c r="AB2627" s="215" t="n"/>
      <c r="AC2627" s="215" t="n"/>
      <c r="AD2627" s="215" t="n"/>
      <c r="AE2627" s="215" t="n"/>
      <c r="AF2627" s="215" t="n"/>
      <c r="AG2627" s="215" t="n"/>
      <c r="AH2627" s="215" t="n"/>
      <c r="AI2627" s="215" t="n"/>
      <c r="AJ2627" s="215" t="n"/>
      <c r="AK2627" s="216" t="n"/>
    </row>
    <row r="2628" ht="15" customHeight="1">
      <c r="B2628" s="134" t="n"/>
      <c r="C2628" s="105" t="n"/>
      <c r="D2628" s="105" t="n"/>
      <c r="E2628" s="105" t="n"/>
      <c r="F2628" s="105" t="n"/>
      <c r="G2628" s="105" t="n"/>
      <c r="H2628" s="2" t="n"/>
      <c r="I2628" s="105" t="n"/>
      <c r="K2628" s="215" t="n"/>
      <c r="L2628" s="215" t="n"/>
      <c r="M2628" s="215" t="n"/>
      <c r="N2628" s="215" t="n"/>
      <c r="O2628" s="215" t="n"/>
      <c r="P2628" s="215" t="n"/>
      <c r="Q2628" s="215" t="n"/>
      <c r="R2628" s="215" t="n"/>
      <c r="S2628" s="215" t="n"/>
      <c r="T2628" s="215" t="n"/>
      <c r="U2628" s="215" t="n"/>
      <c r="V2628" s="215" t="n"/>
      <c r="W2628" s="215" t="n"/>
      <c r="X2628" s="215" t="n"/>
      <c r="Y2628" s="215" t="n"/>
      <c r="Z2628" s="215" t="n"/>
      <c r="AA2628" s="215" t="n"/>
      <c r="AB2628" s="215" t="n"/>
      <c r="AC2628" s="215" t="n"/>
      <c r="AD2628" s="215" t="n"/>
      <c r="AE2628" s="215" t="n"/>
      <c r="AF2628" s="215" t="n"/>
      <c r="AG2628" s="215" t="n"/>
      <c r="AH2628" s="215" t="n"/>
      <c r="AI2628" s="215" t="n"/>
      <c r="AJ2628" s="215" t="n"/>
      <c r="AK2628" s="216" t="n"/>
    </row>
    <row r="2629" ht="15" customHeight="1">
      <c r="B2629" s="134" t="n"/>
      <c r="C2629" s="105" t="n"/>
      <c r="D2629" s="105" t="n"/>
      <c r="E2629" s="105" t="n"/>
      <c r="F2629" s="105" t="n"/>
      <c r="G2629" s="105" t="n"/>
      <c r="H2629" s="2" t="n"/>
      <c r="I2629" s="105" t="n"/>
      <c r="K2629" s="215" t="n"/>
      <c r="L2629" s="215" t="n"/>
      <c r="M2629" s="215" t="n"/>
      <c r="N2629" s="215" t="n"/>
      <c r="O2629" s="215" t="n"/>
      <c r="P2629" s="215" t="n"/>
      <c r="Q2629" s="215" t="n"/>
      <c r="R2629" s="215" t="n"/>
      <c r="S2629" s="215" t="n"/>
      <c r="T2629" s="215" t="n"/>
      <c r="U2629" s="215" t="n"/>
      <c r="V2629" s="215" t="n"/>
      <c r="W2629" s="215" t="n"/>
      <c r="X2629" s="215" t="n"/>
      <c r="Y2629" s="215" t="n"/>
      <c r="Z2629" s="215" t="n"/>
      <c r="AA2629" s="215" t="n"/>
      <c r="AB2629" s="215" t="n"/>
      <c r="AC2629" s="215" t="n"/>
      <c r="AD2629" s="215" t="n"/>
      <c r="AE2629" s="215" t="n"/>
      <c r="AF2629" s="215" t="n"/>
      <c r="AG2629" s="215" t="n"/>
      <c r="AH2629" s="215" t="n"/>
      <c r="AI2629" s="215" t="n"/>
      <c r="AJ2629" s="215" t="n"/>
      <c r="AK2629" s="216" t="n"/>
    </row>
    <row r="2630" ht="15" customHeight="1">
      <c r="B2630" s="134" t="n"/>
      <c r="C2630" s="105" t="n"/>
      <c r="D2630" s="105" t="n"/>
      <c r="E2630" s="105" t="n"/>
      <c r="F2630" s="105" t="n"/>
      <c r="G2630" s="105" t="n"/>
      <c r="H2630" s="2" t="n"/>
      <c r="I2630" s="105" t="n"/>
      <c r="K2630" s="215" t="n"/>
      <c r="L2630" s="215" t="n"/>
      <c r="M2630" s="215" t="n"/>
      <c r="N2630" s="215" t="n"/>
      <c r="O2630" s="215" t="n"/>
      <c r="P2630" s="215" t="n"/>
      <c r="Q2630" s="215" t="n"/>
      <c r="R2630" s="215" t="n"/>
      <c r="S2630" s="215" t="n"/>
      <c r="T2630" s="215" t="n"/>
      <c r="U2630" s="215" t="n"/>
      <c r="V2630" s="215" t="n"/>
      <c r="W2630" s="215" t="n"/>
      <c r="X2630" s="215" t="n"/>
      <c r="Y2630" s="215" t="n"/>
      <c r="Z2630" s="215" t="n"/>
      <c r="AA2630" s="215" t="n"/>
      <c r="AB2630" s="215" t="n"/>
      <c r="AC2630" s="215" t="n"/>
      <c r="AD2630" s="215" t="n"/>
      <c r="AE2630" s="215" t="n"/>
      <c r="AF2630" s="215" t="n"/>
      <c r="AG2630" s="215" t="n"/>
      <c r="AH2630" s="215" t="n"/>
      <c r="AI2630" s="215" t="n"/>
      <c r="AJ2630" s="215" t="n"/>
      <c r="AK2630" s="216" t="n"/>
    </row>
    <row r="2631" ht="15" customHeight="1">
      <c r="B2631" s="134" t="n"/>
      <c r="C2631" s="105" t="n"/>
      <c r="D2631" s="105" t="n"/>
      <c r="E2631" s="105" t="n"/>
      <c r="F2631" s="105" t="n"/>
      <c r="G2631" s="105" t="n"/>
      <c r="H2631" s="2" t="n"/>
      <c r="I2631" s="105" t="n"/>
      <c r="K2631" s="215" t="n"/>
      <c r="L2631" s="215" t="n"/>
      <c r="M2631" s="215" t="n"/>
      <c r="N2631" s="215" t="n"/>
      <c r="O2631" s="215" t="n"/>
      <c r="P2631" s="215" t="n"/>
      <c r="Q2631" s="215" t="n"/>
      <c r="R2631" s="215" t="n"/>
      <c r="S2631" s="215" t="n"/>
      <c r="T2631" s="215" t="n"/>
      <c r="U2631" s="215" t="n"/>
      <c r="V2631" s="215" t="n"/>
      <c r="W2631" s="215" t="n"/>
      <c r="X2631" s="215" t="n"/>
      <c r="Y2631" s="215" t="n"/>
      <c r="Z2631" s="215" t="n"/>
      <c r="AA2631" s="215" t="n"/>
      <c r="AB2631" s="215" t="n"/>
      <c r="AC2631" s="215" t="n"/>
      <c r="AD2631" s="215" t="n"/>
      <c r="AE2631" s="215" t="n"/>
      <c r="AF2631" s="215" t="n"/>
      <c r="AG2631" s="215" t="n"/>
      <c r="AH2631" s="215" t="n"/>
      <c r="AI2631" s="215" t="n"/>
      <c r="AJ2631" s="215" t="n"/>
      <c r="AK2631" s="216" t="n"/>
    </row>
    <row r="2632" ht="15" customHeight="1">
      <c r="B2632" s="134" t="n"/>
      <c r="C2632" s="105" t="n"/>
      <c r="D2632" s="105" t="n"/>
      <c r="E2632" s="105" t="n"/>
      <c r="F2632" s="105" t="n"/>
      <c r="G2632" s="105" t="n"/>
      <c r="H2632" s="2" t="n"/>
      <c r="I2632" s="105" t="n"/>
      <c r="K2632" s="215" t="n"/>
      <c r="L2632" s="215" t="n"/>
      <c r="M2632" s="215" t="n"/>
      <c r="N2632" s="215" t="n"/>
      <c r="O2632" s="215" t="n"/>
      <c r="P2632" s="215" t="n"/>
      <c r="Q2632" s="215" t="n"/>
      <c r="R2632" s="215" t="n"/>
      <c r="S2632" s="215" t="n"/>
      <c r="T2632" s="215" t="n"/>
      <c r="U2632" s="215" t="n"/>
      <c r="V2632" s="215" t="n"/>
      <c r="W2632" s="215" t="n"/>
      <c r="X2632" s="215" t="n"/>
      <c r="Y2632" s="215" t="n"/>
      <c r="Z2632" s="215" t="n"/>
      <c r="AA2632" s="215" t="n"/>
      <c r="AB2632" s="215" t="n"/>
      <c r="AC2632" s="215" t="n"/>
      <c r="AD2632" s="215" t="n"/>
      <c r="AE2632" s="215" t="n"/>
      <c r="AF2632" s="215" t="n"/>
      <c r="AG2632" s="215" t="n"/>
      <c r="AH2632" s="215" t="n"/>
      <c r="AI2632" s="215" t="n"/>
      <c r="AJ2632" s="215" t="n"/>
      <c r="AK2632" s="216" t="n"/>
    </row>
    <row r="2633" ht="15" customHeight="1">
      <c r="B2633" s="134" t="n"/>
      <c r="C2633" s="105" t="n"/>
      <c r="D2633" s="105" t="n"/>
      <c r="E2633" s="105" t="n"/>
      <c r="F2633" s="105" t="n"/>
      <c r="G2633" s="105" t="n"/>
      <c r="H2633" s="2" t="n"/>
      <c r="I2633" s="105" t="n"/>
      <c r="K2633" s="215" t="n"/>
      <c r="L2633" s="215" t="n"/>
      <c r="M2633" s="215" t="n"/>
      <c r="N2633" s="215" t="n"/>
      <c r="O2633" s="215" t="n"/>
      <c r="P2633" s="215" t="n"/>
      <c r="Q2633" s="215" t="n"/>
      <c r="R2633" s="215" t="n"/>
      <c r="S2633" s="215" t="n"/>
      <c r="T2633" s="215" t="n"/>
      <c r="U2633" s="215" t="n"/>
      <c r="V2633" s="215" t="n"/>
      <c r="W2633" s="215" t="n"/>
      <c r="X2633" s="215" t="n"/>
      <c r="Y2633" s="215" t="n"/>
      <c r="Z2633" s="215" t="n"/>
      <c r="AA2633" s="215" t="n"/>
      <c r="AB2633" s="215" t="n"/>
      <c r="AC2633" s="215" t="n"/>
      <c r="AD2633" s="215" t="n"/>
      <c r="AE2633" s="215" t="n"/>
      <c r="AF2633" s="215" t="n"/>
      <c r="AG2633" s="215" t="n"/>
      <c r="AH2633" s="215" t="n"/>
      <c r="AI2633" s="215" t="n"/>
      <c r="AJ2633" s="215" t="n"/>
      <c r="AK2633" s="216" t="n"/>
    </row>
    <row r="2634" ht="15" customHeight="1">
      <c r="B2634" s="134" t="n"/>
      <c r="C2634" s="105" t="n"/>
      <c r="D2634" s="105" t="n"/>
      <c r="E2634" s="105" t="n"/>
      <c r="F2634" s="105" t="n"/>
      <c r="G2634" s="105" t="n"/>
      <c r="H2634" s="2" t="n"/>
      <c r="I2634" s="105" t="n"/>
      <c r="K2634" s="215" t="n"/>
      <c r="L2634" s="215" t="n"/>
      <c r="M2634" s="215" t="n"/>
      <c r="N2634" s="215" t="n"/>
      <c r="O2634" s="215" t="n"/>
      <c r="P2634" s="215" t="n"/>
      <c r="Q2634" s="215" t="n"/>
      <c r="R2634" s="215" t="n"/>
      <c r="S2634" s="215" t="n"/>
      <c r="T2634" s="215" t="n"/>
      <c r="U2634" s="215" t="n"/>
      <c r="V2634" s="215" t="n"/>
      <c r="W2634" s="215" t="n"/>
      <c r="X2634" s="215" t="n"/>
      <c r="Y2634" s="215" t="n"/>
      <c r="Z2634" s="215" t="n"/>
      <c r="AA2634" s="215" t="n"/>
      <c r="AB2634" s="215" t="n"/>
      <c r="AC2634" s="215" t="n"/>
      <c r="AD2634" s="215" t="n"/>
      <c r="AE2634" s="215" t="n"/>
      <c r="AF2634" s="215" t="n"/>
      <c r="AG2634" s="215" t="n"/>
      <c r="AH2634" s="215" t="n"/>
      <c r="AI2634" s="215" t="n"/>
      <c r="AJ2634" s="215" t="n"/>
      <c r="AK2634" s="216" t="n"/>
    </row>
    <row r="2635" ht="15" customHeight="1">
      <c r="B2635" s="134" t="n"/>
      <c r="C2635" s="105" t="n"/>
      <c r="D2635" s="105" t="n"/>
      <c r="E2635" s="105" t="n"/>
      <c r="F2635" s="105" t="n"/>
      <c r="G2635" s="105" t="n"/>
      <c r="H2635" s="2" t="n"/>
      <c r="I2635" s="105" t="n"/>
      <c r="K2635" s="215" t="n"/>
      <c r="L2635" s="215" t="n"/>
      <c r="M2635" s="215" t="n"/>
      <c r="N2635" s="215" t="n"/>
      <c r="O2635" s="215" t="n"/>
      <c r="P2635" s="215" t="n"/>
      <c r="Q2635" s="215" t="n"/>
      <c r="R2635" s="215" t="n"/>
      <c r="S2635" s="215" t="n"/>
      <c r="T2635" s="215" t="n"/>
      <c r="U2635" s="215" t="n"/>
      <c r="V2635" s="215" t="n"/>
      <c r="W2635" s="215" t="n"/>
      <c r="X2635" s="215" t="n"/>
      <c r="Y2635" s="215" t="n"/>
      <c r="Z2635" s="215" t="n"/>
      <c r="AA2635" s="215" t="n"/>
      <c r="AB2635" s="215" t="n"/>
      <c r="AC2635" s="215" t="n"/>
      <c r="AD2635" s="215" t="n"/>
      <c r="AE2635" s="215" t="n"/>
      <c r="AF2635" s="215" t="n"/>
      <c r="AG2635" s="215" t="n"/>
      <c r="AH2635" s="215" t="n"/>
      <c r="AI2635" s="215" t="n"/>
      <c r="AJ2635" s="215" t="n"/>
      <c r="AK2635" s="216" t="n"/>
    </row>
    <row r="2636" ht="15" customHeight="1">
      <c r="B2636" s="134" t="n"/>
      <c r="C2636" s="105" t="n"/>
      <c r="D2636" s="105" t="n"/>
      <c r="E2636" s="105" t="n"/>
      <c r="F2636" s="105" t="n"/>
      <c r="G2636" s="105" t="n"/>
      <c r="H2636" s="2" t="n"/>
      <c r="I2636" s="105" t="n"/>
      <c r="K2636" s="215" t="n"/>
      <c r="L2636" s="215" t="n"/>
      <c r="M2636" s="215" t="n"/>
      <c r="N2636" s="215" t="n"/>
      <c r="O2636" s="215" t="n"/>
      <c r="P2636" s="215" t="n"/>
      <c r="Q2636" s="215" t="n"/>
      <c r="R2636" s="215" t="n"/>
      <c r="S2636" s="215" t="n"/>
      <c r="T2636" s="215" t="n"/>
      <c r="U2636" s="215" t="n"/>
      <c r="V2636" s="215" t="n"/>
      <c r="W2636" s="215" t="n"/>
      <c r="X2636" s="215" t="n"/>
      <c r="Y2636" s="215" t="n"/>
      <c r="Z2636" s="215" t="n"/>
      <c r="AA2636" s="215" t="n"/>
      <c r="AB2636" s="215" t="n"/>
      <c r="AC2636" s="215" t="n"/>
      <c r="AD2636" s="215" t="n"/>
      <c r="AE2636" s="215" t="n"/>
      <c r="AF2636" s="215" t="n"/>
      <c r="AG2636" s="215" t="n"/>
      <c r="AH2636" s="215" t="n"/>
      <c r="AI2636" s="215" t="n"/>
      <c r="AJ2636" s="215" t="n"/>
      <c r="AK2636" s="216" t="n"/>
    </row>
    <row r="2637" ht="15" customHeight="1">
      <c r="B2637" s="134" t="n"/>
      <c r="C2637" s="105" t="n"/>
      <c r="D2637" s="105" t="n"/>
      <c r="E2637" s="105" t="n"/>
      <c r="F2637" s="105" t="n"/>
      <c r="G2637" s="105" t="n"/>
      <c r="H2637" s="2" t="n"/>
      <c r="I2637" s="105" t="n"/>
      <c r="K2637" s="215" t="n"/>
      <c r="L2637" s="215" t="n"/>
      <c r="M2637" s="215" t="n"/>
      <c r="N2637" s="215" t="n"/>
      <c r="O2637" s="215" t="n"/>
      <c r="P2637" s="215" t="n"/>
      <c r="Q2637" s="215" t="n"/>
      <c r="R2637" s="215" t="n"/>
      <c r="S2637" s="215" t="n"/>
      <c r="T2637" s="215" t="n"/>
      <c r="U2637" s="215" t="n"/>
      <c r="V2637" s="215" t="n"/>
      <c r="W2637" s="215" t="n"/>
      <c r="X2637" s="215" t="n"/>
      <c r="Y2637" s="215" t="n"/>
      <c r="Z2637" s="215" t="n"/>
      <c r="AA2637" s="215" t="n"/>
      <c r="AB2637" s="215" t="n"/>
      <c r="AC2637" s="215" t="n"/>
      <c r="AD2637" s="215" t="n"/>
      <c r="AE2637" s="215" t="n"/>
      <c r="AF2637" s="215" t="n"/>
      <c r="AG2637" s="215" t="n"/>
      <c r="AH2637" s="215" t="n"/>
      <c r="AI2637" s="215" t="n"/>
      <c r="AJ2637" s="215" t="n"/>
      <c r="AK2637" s="216" t="n"/>
    </row>
    <row r="2638" ht="15" customHeight="1">
      <c r="B2638" s="134" t="n"/>
      <c r="C2638" s="105" t="n"/>
      <c r="D2638" s="105" t="n"/>
      <c r="E2638" s="105" t="n"/>
      <c r="F2638" s="105" t="n"/>
      <c r="G2638" s="105" t="n"/>
      <c r="H2638" s="2" t="n"/>
      <c r="I2638" s="105" t="n"/>
      <c r="K2638" s="215" t="n"/>
      <c r="L2638" s="215" t="n"/>
      <c r="M2638" s="215" t="n"/>
      <c r="N2638" s="215" t="n"/>
      <c r="O2638" s="215" t="n"/>
      <c r="P2638" s="215" t="n"/>
      <c r="Q2638" s="215" t="n"/>
      <c r="R2638" s="215" t="n"/>
      <c r="S2638" s="215" t="n"/>
      <c r="T2638" s="215" t="n"/>
      <c r="U2638" s="215" t="n"/>
      <c r="V2638" s="215" t="n"/>
      <c r="W2638" s="215" t="n"/>
      <c r="X2638" s="215" t="n"/>
      <c r="Y2638" s="215" t="n"/>
      <c r="Z2638" s="215" t="n"/>
      <c r="AA2638" s="215" t="n"/>
      <c r="AB2638" s="215" t="n"/>
      <c r="AC2638" s="215" t="n"/>
      <c r="AD2638" s="215" t="n"/>
      <c r="AE2638" s="215" t="n"/>
      <c r="AF2638" s="215" t="n"/>
      <c r="AG2638" s="215" t="n"/>
      <c r="AH2638" s="215" t="n"/>
      <c r="AI2638" s="215" t="n"/>
      <c r="AJ2638" s="215" t="n"/>
      <c r="AK2638" s="216" t="n"/>
    </row>
    <row r="2639" ht="15" customHeight="1">
      <c r="B2639" s="134" t="n"/>
      <c r="C2639" s="105" t="n"/>
      <c r="D2639" s="105" t="n"/>
      <c r="E2639" s="105" t="n"/>
      <c r="F2639" s="105" t="n"/>
      <c r="G2639" s="105" t="n"/>
      <c r="H2639" s="2" t="n"/>
      <c r="I2639" s="105" t="n"/>
      <c r="K2639" s="215" t="n"/>
      <c r="L2639" s="215" t="n"/>
      <c r="M2639" s="215" t="n"/>
      <c r="N2639" s="215" t="n"/>
      <c r="O2639" s="215" t="n"/>
      <c r="P2639" s="215" t="n"/>
      <c r="Q2639" s="215" t="n"/>
      <c r="R2639" s="215" t="n"/>
      <c r="S2639" s="215" t="n"/>
      <c r="T2639" s="215" t="n"/>
      <c r="U2639" s="215" t="n"/>
      <c r="V2639" s="215" t="n"/>
      <c r="W2639" s="215" t="n"/>
      <c r="X2639" s="215" t="n"/>
      <c r="Y2639" s="215" t="n"/>
      <c r="Z2639" s="215" t="n"/>
      <c r="AA2639" s="215" t="n"/>
      <c r="AB2639" s="215" t="n"/>
      <c r="AC2639" s="215" t="n"/>
      <c r="AD2639" s="215" t="n"/>
      <c r="AE2639" s="215" t="n"/>
      <c r="AF2639" s="215" t="n"/>
      <c r="AG2639" s="215" t="n"/>
      <c r="AH2639" s="215" t="n"/>
      <c r="AI2639" s="215" t="n"/>
      <c r="AJ2639" s="215" t="n"/>
      <c r="AK2639" s="216" t="n"/>
    </row>
    <row r="2640" ht="15" customHeight="1">
      <c r="B2640" s="134" t="n"/>
      <c r="C2640" s="105" t="n"/>
      <c r="D2640" s="105" t="n"/>
      <c r="E2640" s="105" t="n"/>
      <c r="F2640" s="105" t="n"/>
      <c r="G2640" s="105" t="n"/>
      <c r="H2640" s="2" t="n"/>
      <c r="I2640" s="105" t="n"/>
      <c r="K2640" s="215" t="n"/>
      <c r="L2640" s="215" t="n"/>
      <c r="M2640" s="215" t="n"/>
      <c r="N2640" s="215" t="n"/>
      <c r="O2640" s="215" t="n"/>
      <c r="P2640" s="215" t="n"/>
      <c r="Q2640" s="215" t="n"/>
      <c r="R2640" s="215" t="n"/>
      <c r="S2640" s="215" t="n"/>
      <c r="T2640" s="215" t="n"/>
      <c r="U2640" s="215" t="n"/>
      <c r="V2640" s="215" t="n"/>
      <c r="W2640" s="215" t="n"/>
      <c r="X2640" s="215" t="n"/>
      <c r="Y2640" s="215" t="n"/>
      <c r="Z2640" s="215" t="n"/>
      <c r="AA2640" s="215" t="n"/>
      <c r="AB2640" s="215" t="n"/>
      <c r="AC2640" s="215" t="n"/>
      <c r="AD2640" s="215" t="n"/>
      <c r="AE2640" s="215" t="n"/>
      <c r="AF2640" s="215" t="n"/>
      <c r="AG2640" s="215" t="n"/>
      <c r="AH2640" s="215" t="n"/>
      <c r="AI2640" s="215" t="n"/>
      <c r="AJ2640" s="215" t="n"/>
      <c r="AK2640" s="216" t="n"/>
    </row>
    <row r="2641" ht="15" customHeight="1">
      <c r="B2641" s="134" t="n"/>
      <c r="C2641" s="105" t="n"/>
      <c r="D2641" s="105" t="n"/>
      <c r="E2641" s="105" t="n"/>
      <c r="F2641" s="105" t="n"/>
      <c r="G2641" s="105" t="n"/>
      <c r="H2641" s="2" t="n"/>
      <c r="I2641" s="105" t="n"/>
      <c r="K2641" s="215" t="n"/>
      <c r="L2641" s="215" t="n"/>
      <c r="M2641" s="215" t="n"/>
      <c r="N2641" s="215" t="n"/>
      <c r="O2641" s="215" t="n"/>
      <c r="P2641" s="215" t="n"/>
      <c r="Q2641" s="215" t="n"/>
      <c r="R2641" s="215" t="n"/>
      <c r="S2641" s="215" t="n"/>
      <c r="T2641" s="215" t="n"/>
      <c r="U2641" s="215" t="n"/>
      <c r="V2641" s="215" t="n"/>
      <c r="W2641" s="215" t="n"/>
      <c r="X2641" s="215" t="n"/>
      <c r="Y2641" s="215" t="n"/>
      <c r="Z2641" s="215" t="n"/>
      <c r="AA2641" s="215" t="n"/>
      <c r="AB2641" s="215" t="n"/>
      <c r="AC2641" s="215" t="n"/>
      <c r="AD2641" s="215" t="n"/>
      <c r="AE2641" s="215" t="n"/>
      <c r="AF2641" s="215" t="n"/>
      <c r="AG2641" s="215" t="n"/>
      <c r="AH2641" s="215" t="n"/>
      <c r="AI2641" s="215" t="n"/>
      <c r="AJ2641" s="215" t="n"/>
      <c r="AK2641" s="216" t="n"/>
    </row>
    <row r="2642" ht="15" customHeight="1">
      <c r="B2642" s="134" t="n"/>
      <c r="C2642" s="105" t="n"/>
      <c r="D2642" s="105" t="n"/>
      <c r="E2642" s="105" t="n"/>
      <c r="F2642" s="105" t="n"/>
      <c r="G2642" s="105" t="n"/>
      <c r="H2642" s="2" t="n"/>
      <c r="I2642" s="105" t="n"/>
      <c r="K2642" s="215" t="n"/>
      <c r="L2642" s="215" t="n"/>
      <c r="M2642" s="215" t="n"/>
      <c r="N2642" s="215" t="n"/>
      <c r="O2642" s="215" t="n"/>
      <c r="P2642" s="215" t="n"/>
      <c r="Q2642" s="215" t="n"/>
      <c r="R2642" s="215" t="n"/>
      <c r="S2642" s="215" t="n"/>
      <c r="T2642" s="215" t="n"/>
      <c r="U2642" s="215" t="n"/>
      <c r="V2642" s="215" t="n"/>
      <c r="W2642" s="215" t="n"/>
      <c r="X2642" s="215" t="n"/>
      <c r="Y2642" s="215" t="n"/>
      <c r="Z2642" s="215" t="n"/>
      <c r="AA2642" s="215" t="n"/>
      <c r="AB2642" s="215" t="n"/>
      <c r="AC2642" s="215" t="n"/>
      <c r="AD2642" s="215" t="n"/>
      <c r="AE2642" s="215" t="n"/>
      <c r="AF2642" s="215" t="n"/>
      <c r="AG2642" s="215" t="n"/>
      <c r="AH2642" s="215" t="n"/>
      <c r="AI2642" s="215" t="n"/>
      <c r="AJ2642" s="215" t="n"/>
      <c r="AK2642" s="216" t="n"/>
    </row>
    <row r="2643" ht="15" customHeight="1">
      <c r="B2643" s="134" t="n"/>
      <c r="C2643" s="105" t="n"/>
      <c r="D2643" s="105" t="n"/>
      <c r="E2643" s="105" t="n"/>
      <c r="F2643" s="105" t="n"/>
      <c r="G2643" s="105" t="n"/>
      <c r="H2643" s="2" t="n"/>
      <c r="I2643" s="105" t="n"/>
      <c r="K2643" s="215" t="n"/>
      <c r="L2643" s="215" t="n"/>
      <c r="M2643" s="215" t="n"/>
      <c r="N2643" s="215" t="n"/>
      <c r="O2643" s="215" t="n"/>
      <c r="P2643" s="215" t="n"/>
      <c r="Q2643" s="215" t="n"/>
      <c r="R2643" s="215" t="n"/>
      <c r="S2643" s="215" t="n"/>
      <c r="T2643" s="215" t="n"/>
      <c r="U2643" s="215" t="n"/>
      <c r="V2643" s="215" t="n"/>
      <c r="W2643" s="215" t="n"/>
      <c r="X2643" s="215" t="n"/>
      <c r="Y2643" s="215" t="n"/>
      <c r="Z2643" s="215" t="n"/>
      <c r="AA2643" s="215" t="n"/>
      <c r="AB2643" s="215" t="n"/>
      <c r="AC2643" s="215" t="n"/>
      <c r="AD2643" s="215" t="n"/>
      <c r="AE2643" s="215" t="n"/>
      <c r="AF2643" s="215" t="n"/>
      <c r="AG2643" s="215" t="n"/>
      <c r="AH2643" s="215" t="n"/>
      <c r="AI2643" s="215" t="n"/>
      <c r="AJ2643" s="215" t="n"/>
      <c r="AK2643" s="216" t="n"/>
    </row>
    <row r="2644" ht="15" customHeight="1">
      <c r="B2644" s="134" t="n"/>
      <c r="C2644" s="105" t="n"/>
      <c r="D2644" s="105" t="n"/>
      <c r="E2644" s="105" t="n"/>
      <c r="F2644" s="105" t="n"/>
      <c r="G2644" s="105" t="n"/>
      <c r="H2644" s="2" t="n"/>
      <c r="I2644" s="105" t="n"/>
      <c r="K2644" s="215" t="n"/>
      <c r="L2644" s="215" t="n"/>
      <c r="M2644" s="215" t="n"/>
      <c r="N2644" s="215" t="n"/>
      <c r="O2644" s="215" t="n"/>
      <c r="P2644" s="215" t="n"/>
      <c r="Q2644" s="215" t="n"/>
      <c r="R2644" s="215" t="n"/>
      <c r="S2644" s="215" t="n"/>
      <c r="T2644" s="215" t="n"/>
      <c r="U2644" s="215" t="n"/>
      <c r="V2644" s="215" t="n"/>
      <c r="W2644" s="215" t="n"/>
      <c r="X2644" s="215" t="n"/>
      <c r="Y2644" s="215" t="n"/>
      <c r="Z2644" s="215" t="n"/>
      <c r="AA2644" s="215" t="n"/>
      <c r="AB2644" s="215" t="n"/>
      <c r="AC2644" s="215" t="n"/>
      <c r="AD2644" s="215" t="n"/>
      <c r="AE2644" s="215" t="n"/>
      <c r="AF2644" s="215" t="n"/>
      <c r="AG2644" s="215" t="n"/>
      <c r="AH2644" s="215" t="n"/>
      <c r="AI2644" s="215" t="n"/>
      <c r="AJ2644" s="215" t="n"/>
      <c r="AK2644" s="216" t="n"/>
    </row>
    <row r="2645" ht="15" customHeight="1">
      <c r="B2645" s="134" t="n"/>
      <c r="C2645" s="105" t="n"/>
      <c r="D2645" s="105" t="n"/>
      <c r="E2645" s="105" t="n"/>
      <c r="F2645" s="105" t="n"/>
      <c r="G2645" s="105" t="n"/>
      <c r="H2645" s="2" t="n"/>
      <c r="I2645" s="105" t="n"/>
      <c r="K2645" s="215" t="n"/>
      <c r="L2645" s="215" t="n"/>
      <c r="M2645" s="215" t="n"/>
      <c r="N2645" s="215" t="n"/>
      <c r="O2645" s="215" t="n"/>
      <c r="P2645" s="215" t="n"/>
      <c r="Q2645" s="215" t="n"/>
      <c r="R2645" s="215" t="n"/>
      <c r="S2645" s="215" t="n"/>
      <c r="T2645" s="215" t="n"/>
      <c r="U2645" s="215" t="n"/>
      <c r="V2645" s="215" t="n"/>
      <c r="W2645" s="215" t="n"/>
      <c r="X2645" s="215" t="n"/>
      <c r="Y2645" s="215" t="n"/>
      <c r="Z2645" s="215" t="n"/>
      <c r="AA2645" s="215" t="n"/>
      <c r="AB2645" s="215" t="n"/>
      <c r="AC2645" s="215" t="n"/>
      <c r="AD2645" s="215" t="n"/>
      <c r="AE2645" s="215" t="n"/>
      <c r="AF2645" s="215" t="n"/>
      <c r="AG2645" s="215" t="n"/>
      <c r="AH2645" s="215" t="n"/>
      <c r="AI2645" s="215" t="n"/>
      <c r="AJ2645" s="215" t="n"/>
      <c r="AK2645" s="216" t="n"/>
    </row>
    <row r="2646" ht="15" customHeight="1">
      <c r="B2646" s="134" t="n"/>
      <c r="C2646" s="105" t="n"/>
      <c r="D2646" s="105" t="n"/>
      <c r="E2646" s="105" t="n"/>
      <c r="F2646" s="105" t="n"/>
      <c r="G2646" s="105" t="n"/>
      <c r="H2646" s="2" t="n"/>
      <c r="I2646" s="105" t="n"/>
      <c r="K2646" s="215" t="n"/>
      <c r="L2646" s="215" t="n"/>
      <c r="M2646" s="215" t="n"/>
      <c r="N2646" s="215" t="n"/>
      <c r="O2646" s="215" t="n"/>
      <c r="P2646" s="215" t="n"/>
      <c r="Q2646" s="215" t="n"/>
      <c r="R2646" s="215" t="n"/>
      <c r="S2646" s="215" t="n"/>
      <c r="T2646" s="215" t="n"/>
      <c r="U2646" s="215" t="n"/>
      <c r="V2646" s="215" t="n"/>
      <c r="W2646" s="215" t="n"/>
      <c r="X2646" s="215" t="n"/>
      <c r="Y2646" s="215" t="n"/>
      <c r="Z2646" s="215" t="n"/>
      <c r="AA2646" s="215" t="n"/>
      <c r="AB2646" s="215" t="n"/>
      <c r="AC2646" s="215" t="n"/>
      <c r="AD2646" s="215" t="n"/>
      <c r="AE2646" s="215" t="n"/>
      <c r="AF2646" s="215" t="n"/>
      <c r="AG2646" s="215" t="n"/>
      <c r="AH2646" s="215" t="n"/>
      <c r="AI2646" s="215" t="n"/>
      <c r="AJ2646" s="215" t="n"/>
      <c r="AK2646" s="216" t="n"/>
    </row>
    <row r="2647" ht="15" customHeight="1">
      <c r="B2647" s="134" t="n"/>
      <c r="C2647" s="105" t="n"/>
      <c r="D2647" s="105" t="n"/>
      <c r="E2647" s="105" t="n"/>
      <c r="F2647" s="105" t="n"/>
      <c r="G2647" s="105" t="n"/>
      <c r="H2647" s="2" t="n"/>
      <c r="I2647" s="105" t="n"/>
      <c r="K2647" s="215" t="n"/>
      <c r="L2647" s="215" t="n"/>
      <c r="M2647" s="215" t="n"/>
      <c r="N2647" s="215" t="n"/>
      <c r="O2647" s="215" t="n"/>
      <c r="P2647" s="215" t="n"/>
      <c r="Q2647" s="215" t="n"/>
      <c r="R2647" s="215" t="n"/>
      <c r="S2647" s="215" t="n"/>
      <c r="T2647" s="215" t="n"/>
      <c r="U2647" s="215" t="n"/>
      <c r="V2647" s="215" t="n"/>
      <c r="W2647" s="215" t="n"/>
      <c r="X2647" s="215" t="n"/>
      <c r="Y2647" s="215" t="n"/>
      <c r="Z2647" s="215" t="n"/>
      <c r="AA2647" s="215" t="n"/>
      <c r="AB2647" s="215" t="n"/>
      <c r="AC2647" s="215" t="n"/>
      <c r="AD2647" s="215" t="n"/>
      <c r="AE2647" s="215" t="n"/>
      <c r="AF2647" s="215" t="n"/>
      <c r="AG2647" s="215" t="n"/>
      <c r="AH2647" s="215" t="n"/>
      <c r="AI2647" s="215" t="n"/>
      <c r="AJ2647" s="215" t="n"/>
      <c r="AK2647" s="216" t="n"/>
    </row>
    <row r="2648" ht="15" customHeight="1">
      <c r="B2648" s="134" t="n"/>
      <c r="C2648" s="105" t="n"/>
      <c r="D2648" s="105" t="n"/>
      <c r="E2648" s="105" t="n"/>
      <c r="F2648" s="105" t="n"/>
      <c r="G2648" s="105" t="n"/>
      <c r="H2648" s="2" t="n"/>
      <c r="I2648" s="105" t="n"/>
      <c r="K2648" s="215" t="n"/>
      <c r="L2648" s="215" t="n"/>
      <c r="M2648" s="215" t="n"/>
      <c r="N2648" s="215" t="n"/>
      <c r="O2648" s="215" t="n"/>
      <c r="P2648" s="215" t="n"/>
      <c r="Q2648" s="215" t="n"/>
      <c r="R2648" s="215" t="n"/>
      <c r="S2648" s="215" t="n"/>
      <c r="T2648" s="215" t="n"/>
      <c r="U2648" s="215" t="n"/>
      <c r="V2648" s="215" t="n"/>
      <c r="W2648" s="215" t="n"/>
      <c r="X2648" s="215" t="n"/>
      <c r="Y2648" s="215" t="n"/>
      <c r="Z2648" s="215" t="n"/>
      <c r="AA2648" s="215" t="n"/>
      <c r="AB2648" s="215" t="n"/>
      <c r="AC2648" s="215" t="n"/>
      <c r="AD2648" s="215" t="n"/>
      <c r="AE2648" s="215" t="n"/>
      <c r="AF2648" s="215" t="n"/>
      <c r="AG2648" s="215" t="n"/>
      <c r="AH2648" s="215" t="n"/>
      <c r="AI2648" s="215" t="n"/>
      <c r="AJ2648" s="215" t="n"/>
      <c r="AK2648" s="216" t="n"/>
    </row>
    <row r="2649" ht="15" customHeight="1">
      <c r="B2649" s="134" t="n"/>
      <c r="C2649" s="105" t="n"/>
      <c r="D2649" s="105" t="n"/>
      <c r="E2649" s="105" t="n"/>
      <c r="F2649" s="105" t="n"/>
      <c r="G2649" s="105" t="n"/>
      <c r="H2649" s="2" t="n"/>
      <c r="I2649" s="105" t="n"/>
      <c r="K2649" s="215" t="n"/>
      <c r="L2649" s="215" t="n"/>
      <c r="M2649" s="215" t="n"/>
      <c r="N2649" s="215" t="n"/>
      <c r="O2649" s="215" t="n"/>
      <c r="P2649" s="215" t="n"/>
      <c r="Q2649" s="215" t="n"/>
      <c r="R2649" s="215" t="n"/>
      <c r="S2649" s="215" t="n"/>
      <c r="T2649" s="215" t="n"/>
      <c r="U2649" s="215" t="n"/>
      <c r="V2649" s="215" t="n"/>
      <c r="W2649" s="215" t="n"/>
      <c r="X2649" s="215" t="n"/>
      <c r="Y2649" s="215" t="n"/>
      <c r="Z2649" s="215" t="n"/>
      <c r="AA2649" s="215" t="n"/>
      <c r="AB2649" s="215" t="n"/>
      <c r="AC2649" s="215" t="n"/>
      <c r="AD2649" s="215" t="n"/>
      <c r="AE2649" s="215" t="n"/>
      <c r="AF2649" s="215" t="n"/>
      <c r="AG2649" s="215" t="n"/>
      <c r="AH2649" s="215" t="n"/>
      <c r="AI2649" s="215" t="n"/>
      <c r="AJ2649" s="215" t="n"/>
      <c r="AK2649" s="216" t="n"/>
    </row>
    <row r="2650" ht="15" customHeight="1">
      <c r="B2650" s="134" t="n"/>
      <c r="C2650" s="105" t="n"/>
      <c r="D2650" s="105" t="n"/>
      <c r="E2650" s="105" t="n"/>
      <c r="F2650" s="105" t="n"/>
      <c r="G2650" s="105" t="n"/>
      <c r="H2650" s="2" t="n"/>
      <c r="I2650" s="105" t="n"/>
      <c r="K2650" s="215" t="n"/>
      <c r="L2650" s="215" t="n"/>
      <c r="M2650" s="215" t="n"/>
      <c r="N2650" s="215" t="n"/>
      <c r="O2650" s="215" t="n"/>
      <c r="P2650" s="215" t="n"/>
      <c r="Q2650" s="215" t="n"/>
      <c r="R2650" s="215" t="n"/>
      <c r="S2650" s="215" t="n"/>
      <c r="T2650" s="215" t="n"/>
      <c r="U2650" s="215" t="n"/>
      <c r="V2650" s="215" t="n"/>
      <c r="W2650" s="215" t="n"/>
      <c r="X2650" s="215" t="n"/>
      <c r="Y2650" s="215" t="n"/>
      <c r="Z2650" s="215" t="n"/>
      <c r="AA2650" s="215" t="n"/>
      <c r="AB2650" s="215" t="n"/>
      <c r="AC2650" s="215" t="n"/>
      <c r="AD2650" s="215" t="n"/>
      <c r="AE2650" s="215" t="n"/>
      <c r="AF2650" s="215" t="n"/>
      <c r="AG2650" s="215" t="n"/>
      <c r="AH2650" s="215" t="n"/>
      <c r="AI2650" s="215" t="n"/>
      <c r="AJ2650" s="215" t="n"/>
      <c r="AK2650" s="216" t="n"/>
    </row>
    <row r="2651" ht="15" customHeight="1">
      <c r="B2651" s="134" t="n"/>
      <c r="C2651" s="105" t="n"/>
      <c r="D2651" s="105" t="n"/>
      <c r="E2651" s="105" t="n"/>
      <c r="F2651" s="105" t="n"/>
      <c r="G2651" s="105" t="n"/>
      <c r="H2651" s="2" t="n"/>
      <c r="I2651" s="105" t="n"/>
      <c r="K2651" s="215" t="n"/>
      <c r="L2651" s="215" t="n"/>
      <c r="M2651" s="215" t="n"/>
      <c r="N2651" s="215" t="n"/>
      <c r="O2651" s="215" t="n"/>
      <c r="P2651" s="215" t="n"/>
      <c r="Q2651" s="215" t="n"/>
      <c r="R2651" s="215" t="n"/>
      <c r="S2651" s="215" t="n"/>
      <c r="T2651" s="215" t="n"/>
      <c r="U2651" s="215" t="n"/>
      <c r="V2651" s="215" t="n"/>
      <c r="W2651" s="215" t="n"/>
      <c r="X2651" s="215" t="n"/>
      <c r="Y2651" s="215" t="n"/>
      <c r="Z2651" s="215" t="n"/>
      <c r="AA2651" s="215" t="n"/>
      <c r="AB2651" s="215" t="n"/>
      <c r="AC2651" s="215" t="n"/>
      <c r="AD2651" s="215" t="n"/>
      <c r="AE2651" s="215" t="n"/>
      <c r="AF2651" s="215" t="n"/>
      <c r="AG2651" s="215" t="n"/>
      <c r="AH2651" s="215" t="n"/>
      <c r="AI2651" s="215" t="n"/>
      <c r="AJ2651" s="215" t="n"/>
      <c r="AK2651" s="216" t="n"/>
    </row>
    <row r="2652" ht="15" customHeight="1">
      <c r="B2652" s="134" t="n"/>
      <c r="C2652" s="105" t="n"/>
      <c r="D2652" s="105" t="n"/>
      <c r="E2652" s="105" t="n"/>
      <c r="F2652" s="105" t="n"/>
      <c r="G2652" s="105" t="n"/>
      <c r="H2652" s="2" t="n"/>
      <c r="I2652" s="105" t="n"/>
      <c r="K2652" s="215" t="n"/>
      <c r="L2652" s="215" t="n"/>
      <c r="M2652" s="215" t="n"/>
      <c r="N2652" s="215" t="n"/>
      <c r="O2652" s="215" t="n"/>
      <c r="P2652" s="215" t="n"/>
      <c r="Q2652" s="215" t="n"/>
      <c r="R2652" s="215" t="n"/>
      <c r="S2652" s="215" t="n"/>
      <c r="T2652" s="215" t="n"/>
      <c r="U2652" s="215" t="n"/>
      <c r="V2652" s="215" t="n"/>
      <c r="W2652" s="215" t="n"/>
      <c r="X2652" s="215" t="n"/>
      <c r="Y2652" s="215" t="n"/>
      <c r="Z2652" s="215" t="n"/>
      <c r="AA2652" s="215" t="n"/>
      <c r="AB2652" s="215" t="n"/>
      <c r="AC2652" s="215" t="n"/>
      <c r="AD2652" s="215" t="n"/>
      <c r="AE2652" s="215" t="n"/>
      <c r="AF2652" s="215" t="n"/>
      <c r="AG2652" s="215" t="n"/>
      <c r="AH2652" s="215" t="n"/>
      <c r="AI2652" s="215" t="n"/>
      <c r="AJ2652" s="215" t="n"/>
      <c r="AK2652" s="216" t="n"/>
    </row>
    <row r="2653" ht="15" customHeight="1">
      <c r="B2653" s="134" t="n"/>
      <c r="C2653" s="105" t="n"/>
      <c r="D2653" s="105" t="n"/>
      <c r="E2653" s="105" t="n"/>
      <c r="F2653" s="105" t="n"/>
      <c r="G2653" s="105" t="n"/>
      <c r="H2653" s="2" t="n"/>
      <c r="I2653" s="105" t="n"/>
      <c r="K2653" s="215" t="n"/>
      <c r="L2653" s="215" t="n"/>
      <c r="M2653" s="215" t="n"/>
      <c r="N2653" s="215" t="n"/>
      <c r="O2653" s="215" t="n"/>
      <c r="P2653" s="215" t="n"/>
      <c r="Q2653" s="215" t="n"/>
      <c r="R2653" s="215" t="n"/>
      <c r="S2653" s="215" t="n"/>
      <c r="T2653" s="215" t="n"/>
      <c r="U2653" s="215" t="n"/>
      <c r="V2653" s="215" t="n"/>
      <c r="W2653" s="215" t="n"/>
      <c r="X2653" s="215" t="n"/>
      <c r="Y2653" s="215" t="n"/>
      <c r="Z2653" s="215" t="n"/>
      <c r="AA2653" s="215" t="n"/>
      <c r="AB2653" s="215" t="n"/>
      <c r="AC2653" s="215" t="n"/>
      <c r="AD2653" s="215" t="n"/>
      <c r="AE2653" s="215" t="n"/>
      <c r="AF2653" s="215" t="n"/>
      <c r="AG2653" s="215" t="n"/>
      <c r="AH2653" s="215" t="n"/>
      <c r="AI2653" s="215" t="n"/>
      <c r="AJ2653" s="215" t="n"/>
      <c r="AK2653" s="216" t="n"/>
    </row>
    <row r="2654" ht="15" customHeight="1">
      <c r="B2654" s="134" t="n"/>
      <c r="C2654" s="105" t="n"/>
      <c r="D2654" s="105" t="n"/>
      <c r="E2654" s="105" t="n"/>
      <c r="F2654" s="105" t="n"/>
      <c r="G2654" s="105" t="n"/>
      <c r="H2654" s="2" t="n"/>
      <c r="I2654" s="105" t="n"/>
      <c r="K2654" s="215" t="n"/>
      <c r="L2654" s="215" t="n"/>
      <c r="M2654" s="215" t="n"/>
      <c r="N2654" s="215" t="n"/>
      <c r="O2654" s="215" t="n"/>
      <c r="P2654" s="215" t="n"/>
      <c r="Q2654" s="215" t="n"/>
      <c r="R2654" s="215" t="n"/>
      <c r="S2654" s="215" t="n"/>
      <c r="T2654" s="215" t="n"/>
      <c r="U2654" s="215" t="n"/>
      <c r="V2654" s="215" t="n"/>
      <c r="W2654" s="215" t="n"/>
      <c r="X2654" s="215" t="n"/>
      <c r="Y2654" s="215" t="n"/>
      <c r="Z2654" s="215" t="n"/>
      <c r="AA2654" s="215" t="n"/>
      <c r="AB2654" s="215" t="n"/>
      <c r="AC2654" s="215" t="n"/>
      <c r="AD2654" s="215" t="n"/>
      <c r="AE2654" s="215" t="n"/>
      <c r="AF2654" s="215" t="n"/>
      <c r="AG2654" s="215" t="n"/>
      <c r="AH2654" s="215" t="n"/>
      <c r="AI2654" s="215" t="n"/>
      <c r="AJ2654" s="215" t="n"/>
      <c r="AK2654" s="216" t="n"/>
    </row>
    <row r="2655" ht="15" customHeight="1">
      <c r="B2655" s="134" t="n"/>
      <c r="C2655" s="105" t="n"/>
      <c r="D2655" s="105" t="n"/>
      <c r="E2655" s="105" t="n"/>
      <c r="F2655" s="105" t="n"/>
      <c r="G2655" s="105" t="n"/>
      <c r="H2655" s="2" t="n"/>
      <c r="I2655" s="105" t="n"/>
      <c r="K2655" s="215" t="n"/>
      <c r="L2655" s="215" t="n"/>
      <c r="M2655" s="215" t="n"/>
      <c r="N2655" s="215" t="n"/>
      <c r="O2655" s="215" t="n"/>
      <c r="P2655" s="215" t="n"/>
      <c r="Q2655" s="215" t="n"/>
      <c r="R2655" s="215" t="n"/>
      <c r="S2655" s="215" t="n"/>
      <c r="T2655" s="215" t="n"/>
      <c r="U2655" s="215" t="n"/>
      <c r="V2655" s="215" t="n"/>
      <c r="W2655" s="215" t="n"/>
      <c r="X2655" s="215" t="n"/>
      <c r="Y2655" s="215" t="n"/>
      <c r="Z2655" s="215" t="n"/>
      <c r="AA2655" s="215" t="n"/>
      <c r="AB2655" s="215" t="n"/>
      <c r="AC2655" s="215" t="n"/>
      <c r="AD2655" s="215" t="n"/>
      <c r="AE2655" s="215" t="n"/>
      <c r="AF2655" s="215" t="n"/>
      <c r="AG2655" s="215" t="n"/>
      <c r="AH2655" s="215" t="n"/>
      <c r="AI2655" s="215" t="n"/>
      <c r="AJ2655" s="215" t="n"/>
      <c r="AK2655" s="216" t="n"/>
    </row>
    <row r="2656" ht="15" customHeight="1">
      <c r="B2656" s="134" t="n"/>
      <c r="C2656" s="105" t="n"/>
      <c r="D2656" s="105" t="n"/>
      <c r="E2656" s="105" t="n"/>
      <c r="F2656" s="105" t="n"/>
      <c r="G2656" s="105" t="n"/>
      <c r="H2656" s="2" t="n"/>
      <c r="I2656" s="105" t="n"/>
      <c r="K2656" s="215" t="n"/>
      <c r="L2656" s="215" t="n"/>
      <c r="M2656" s="215" t="n"/>
      <c r="N2656" s="215" t="n"/>
      <c r="O2656" s="215" t="n"/>
      <c r="P2656" s="215" t="n"/>
      <c r="Q2656" s="215" t="n"/>
      <c r="R2656" s="215" t="n"/>
      <c r="S2656" s="215" t="n"/>
      <c r="T2656" s="215" t="n"/>
      <c r="U2656" s="215" t="n"/>
      <c r="V2656" s="215" t="n"/>
      <c r="W2656" s="215" t="n"/>
      <c r="X2656" s="215" t="n"/>
      <c r="Y2656" s="215" t="n"/>
      <c r="Z2656" s="215" t="n"/>
      <c r="AA2656" s="215" t="n"/>
      <c r="AB2656" s="215" t="n"/>
      <c r="AC2656" s="215" t="n"/>
      <c r="AD2656" s="215" t="n"/>
      <c r="AE2656" s="215" t="n"/>
      <c r="AF2656" s="215" t="n"/>
      <c r="AG2656" s="215" t="n"/>
      <c r="AH2656" s="215" t="n"/>
      <c r="AI2656" s="215" t="n"/>
      <c r="AJ2656" s="215" t="n"/>
      <c r="AK2656" s="216" t="n"/>
    </row>
    <row r="2657" ht="15" customHeight="1">
      <c r="B2657" s="134" t="n"/>
      <c r="C2657" s="105" t="n"/>
      <c r="D2657" s="105" t="n"/>
      <c r="E2657" s="105" t="n"/>
      <c r="F2657" s="105" t="n"/>
      <c r="G2657" s="105" t="n"/>
      <c r="H2657" s="2" t="n"/>
      <c r="I2657" s="105" t="n"/>
      <c r="K2657" s="215" t="n"/>
      <c r="L2657" s="215" t="n"/>
      <c r="M2657" s="215" t="n"/>
      <c r="N2657" s="215" t="n"/>
      <c r="O2657" s="215" t="n"/>
      <c r="P2657" s="215" t="n"/>
      <c r="Q2657" s="215" t="n"/>
      <c r="R2657" s="215" t="n"/>
      <c r="S2657" s="215" t="n"/>
      <c r="T2657" s="215" t="n"/>
      <c r="U2657" s="215" t="n"/>
      <c r="V2657" s="215" t="n"/>
      <c r="W2657" s="215" t="n"/>
      <c r="X2657" s="215" t="n"/>
      <c r="Y2657" s="215" t="n"/>
      <c r="Z2657" s="215" t="n"/>
      <c r="AA2657" s="215" t="n"/>
      <c r="AB2657" s="215" t="n"/>
      <c r="AC2657" s="215" t="n"/>
      <c r="AD2657" s="215" t="n"/>
      <c r="AE2657" s="215" t="n"/>
      <c r="AF2657" s="215" t="n"/>
      <c r="AG2657" s="215" t="n"/>
      <c r="AH2657" s="215" t="n"/>
      <c r="AI2657" s="215" t="n"/>
      <c r="AJ2657" s="215" t="n"/>
      <c r="AK2657" s="216" t="n"/>
    </row>
    <row r="2658" ht="15" customHeight="1">
      <c r="B2658" s="134" t="n"/>
      <c r="C2658" s="105" t="n"/>
      <c r="D2658" s="105" t="n"/>
      <c r="E2658" s="105" t="n"/>
      <c r="F2658" s="105" t="n"/>
      <c r="G2658" s="105" t="n"/>
      <c r="H2658" s="2" t="n"/>
      <c r="I2658" s="105" t="n"/>
      <c r="K2658" s="215" t="n"/>
      <c r="L2658" s="215" t="n"/>
      <c r="M2658" s="215" t="n"/>
      <c r="N2658" s="215" t="n"/>
      <c r="O2658" s="215" t="n"/>
      <c r="P2658" s="215" t="n"/>
      <c r="Q2658" s="215" t="n"/>
      <c r="R2658" s="215" t="n"/>
      <c r="S2658" s="215" t="n"/>
      <c r="T2658" s="215" t="n"/>
      <c r="U2658" s="215" t="n"/>
      <c r="V2658" s="215" t="n"/>
      <c r="W2658" s="215" t="n"/>
      <c r="X2658" s="215" t="n"/>
      <c r="Y2658" s="215" t="n"/>
      <c r="Z2658" s="215" t="n"/>
      <c r="AA2658" s="215" t="n"/>
      <c r="AB2658" s="215" t="n"/>
      <c r="AC2658" s="215" t="n"/>
      <c r="AD2658" s="215" t="n"/>
      <c r="AE2658" s="215" t="n"/>
      <c r="AF2658" s="215" t="n"/>
      <c r="AG2658" s="215" t="n"/>
      <c r="AH2658" s="215" t="n"/>
      <c r="AI2658" s="215" t="n"/>
      <c r="AJ2658" s="215" t="n"/>
      <c r="AK2658" s="216" t="n"/>
    </row>
    <row r="2659" ht="15" customHeight="1">
      <c r="B2659" s="134" t="n"/>
      <c r="C2659" s="105" t="n"/>
      <c r="D2659" s="105" t="n"/>
      <c r="E2659" s="105" t="n"/>
      <c r="F2659" s="105" t="n"/>
      <c r="G2659" s="105" t="n"/>
      <c r="H2659" s="2" t="n"/>
      <c r="I2659" s="105" t="n"/>
      <c r="K2659" s="215" t="n"/>
      <c r="L2659" s="215" t="n"/>
      <c r="M2659" s="215" t="n"/>
      <c r="N2659" s="215" t="n"/>
      <c r="O2659" s="215" t="n"/>
      <c r="P2659" s="215" t="n"/>
      <c r="Q2659" s="215" t="n"/>
      <c r="R2659" s="215" t="n"/>
      <c r="S2659" s="215" t="n"/>
      <c r="T2659" s="215" t="n"/>
      <c r="U2659" s="215" t="n"/>
      <c r="V2659" s="215" t="n"/>
      <c r="W2659" s="215" t="n"/>
      <c r="X2659" s="215" t="n"/>
      <c r="Y2659" s="215" t="n"/>
      <c r="Z2659" s="215" t="n"/>
      <c r="AA2659" s="215" t="n"/>
      <c r="AB2659" s="215" t="n"/>
      <c r="AC2659" s="215" t="n"/>
      <c r="AD2659" s="215" t="n"/>
      <c r="AE2659" s="215" t="n"/>
      <c r="AF2659" s="215" t="n"/>
      <c r="AG2659" s="215" t="n"/>
      <c r="AH2659" s="215" t="n"/>
      <c r="AI2659" s="215" t="n"/>
      <c r="AJ2659" s="215" t="n"/>
      <c r="AK2659" s="216" t="n"/>
    </row>
    <row r="2660" ht="15" customHeight="1">
      <c r="B2660" s="134" t="n"/>
      <c r="C2660" s="105" t="n"/>
      <c r="D2660" s="105" t="n"/>
      <c r="E2660" s="105" t="n"/>
      <c r="F2660" s="105" t="n"/>
      <c r="G2660" s="105" t="n"/>
      <c r="H2660" s="2" t="n"/>
      <c r="I2660" s="105" t="n"/>
      <c r="K2660" s="215" t="n"/>
      <c r="L2660" s="215" t="n"/>
      <c r="M2660" s="215" t="n"/>
      <c r="N2660" s="215" t="n"/>
      <c r="O2660" s="215" t="n"/>
      <c r="P2660" s="215" t="n"/>
      <c r="Q2660" s="215" t="n"/>
      <c r="R2660" s="215" t="n"/>
      <c r="S2660" s="215" t="n"/>
      <c r="T2660" s="215" t="n"/>
      <c r="U2660" s="215" t="n"/>
      <c r="V2660" s="215" t="n"/>
      <c r="W2660" s="215" t="n"/>
      <c r="X2660" s="215" t="n"/>
      <c r="Y2660" s="215" t="n"/>
      <c r="Z2660" s="215" t="n"/>
      <c r="AA2660" s="215" t="n"/>
      <c r="AB2660" s="215" t="n"/>
      <c r="AC2660" s="215" t="n"/>
      <c r="AD2660" s="215" t="n"/>
      <c r="AE2660" s="215" t="n"/>
      <c r="AF2660" s="215" t="n"/>
      <c r="AG2660" s="215" t="n"/>
      <c r="AH2660" s="215" t="n"/>
      <c r="AI2660" s="215" t="n"/>
      <c r="AJ2660" s="215" t="n"/>
      <c r="AK2660" s="216" t="n"/>
    </row>
    <row r="2661" ht="15" customHeight="1">
      <c r="B2661" s="134" t="n"/>
      <c r="C2661" s="105" t="n"/>
      <c r="D2661" s="105" t="n"/>
      <c r="E2661" s="105" t="n"/>
      <c r="F2661" s="105" t="n"/>
      <c r="G2661" s="105" t="n"/>
      <c r="H2661" s="2" t="n"/>
      <c r="I2661" s="105" t="n"/>
      <c r="K2661" s="215" t="n"/>
      <c r="L2661" s="215" t="n"/>
      <c r="M2661" s="215" t="n"/>
      <c r="N2661" s="215" t="n"/>
      <c r="O2661" s="215" t="n"/>
      <c r="P2661" s="215" t="n"/>
      <c r="Q2661" s="215" t="n"/>
      <c r="R2661" s="215" t="n"/>
      <c r="S2661" s="215" t="n"/>
      <c r="T2661" s="215" t="n"/>
      <c r="U2661" s="215" t="n"/>
      <c r="V2661" s="215" t="n"/>
      <c r="W2661" s="215" t="n"/>
      <c r="X2661" s="215" t="n"/>
      <c r="Y2661" s="215" t="n"/>
      <c r="Z2661" s="215" t="n"/>
      <c r="AA2661" s="215" t="n"/>
      <c r="AB2661" s="215" t="n"/>
      <c r="AC2661" s="215" t="n"/>
      <c r="AD2661" s="215" t="n"/>
      <c r="AE2661" s="215" t="n"/>
      <c r="AF2661" s="215" t="n"/>
      <c r="AG2661" s="215" t="n"/>
      <c r="AH2661" s="215" t="n"/>
      <c r="AI2661" s="215" t="n"/>
      <c r="AJ2661" s="215" t="n"/>
      <c r="AK2661" s="216" t="n"/>
    </row>
    <row r="2662" ht="15" customHeight="1">
      <c r="B2662" s="134" t="n"/>
      <c r="C2662" s="105" t="n"/>
      <c r="D2662" s="105" t="n"/>
      <c r="E2662" s="105" t="n"/>
      <c r="F2662" s="105" t="n"/>
      <c r="G2662" s="105" t="n"/>
      <c r="H2662" s="2" t="n"/>
      <c r="I2662" s="105" t="n"/>
      <c r="K2662" s="215" t="n"/>
      <c r="L2662" s="215" t="n"/>
      <c r="M2662" s="215" t="n"/>
      <c r="N2662" s="215" t="n"/>
      <c r="O2662" s="215" t="n"/>
      <c r="P2662" s="215" t="n"/>
      <c r="Q2662" s="215" t="n"/>
      <c r="R2662" s="215" t="n"/>
      <c r="S2662" s="215" t="n"/>
      <c r="T2662" s="215" t="n"/>
      <c r="U2662" s="215" t="n"/>
      <c r="V2662" s="215" t="n"/>
      <c r="W2662" s="215" t="n"/>
      <c r="X2662" s="215" t="n"/>
      <c r="Y2662" s="215" t="n"/>
      <c r="Z2662" s="215" t="n"/>
      <c r="AA2662" s="215" t="n"/>
      <c r="AB2662" s="215" t="n"/>
      <c r="AC2662" s="215" t="n"/>
      <c r="AD2662" s="215" t="n"/>
      <c r="AE2662" s="215" t="n"/>
      <c r="AF2662" s="215" t="n"/>
      <c r="AG2662" s="215" t="n"/>
      <c r="AH2662" s="215" t="n"/>
      <c r="AI2662" s="215" t="n"/>
      <c r="AJ2662" s="215" t="n"/>
      <c r="AK2662" s="216" t="n"/>
    </row>
    <row r="2663" ht="15" customHeight="1">
      <c r="B2663" s="134" t="n"/>
      <c r="C2663" s="105" t="n"/>
      <c r="D2663" s="105" t="n"/>
      <c r="E2663" s="105" t="n"/>
      <c r="F2663" s="105" t="n"/>
      <c r="G2663" s="105" t="n"/>
      <c r="H2663" s="2" t="n"/>
      <c r="I2663" s="105" t="n"/>
      <c r="K2663" s="215" t="n"/>
      <c r="L2663" s="215" t="n"/>
      <c r="M2663" s="215" t="n"/>
      <c r="N2663" s="215" t="n"/>
      <c r="O2663" s="215" t="n"/>
      <c r="P2663" s="215" t="n"/>
      <c r="Q2663" s="215" t="n"/>
      <c r="R2663" s="215" t="n"/>
      <c r="S2663" s="215" t="n"/>
      <c r="T2663" s="215" t="n"/>
      <c r="U2663" s="215" t="n"/>
      <c r="V2663" s="215" t="n"/>
      <c r="W2663" s="215" t="n"/>
      <c r="X2663" s="215" t="n"/>
      <c r="Y2663" s="215" t="n"/>
      <c r="Z2663" s="215" t="n"/>
      <c r="AA2663" s="215" t="n"/>
      <c r="AB2663" s="215" t="n"/>
      <c r="AC2663" s="215" t="n"/>
      <c r="AD2663" s="215" t="n"/>
      <c r="AE2663" s="215" t="n"/>
      <c r="AF2663" s="215" t="n"/>
      <c r="AG2663" s="215" t="n"/>
      <c r="AH2663" s="215" t="n"/>
      <c r="AI2663" s="215" t="n"/>
      <c r="AJ2663" s="215" t="n"/>
      <c r="AK2663" s="216" t="n"/>
    </row>
    <row r="2664" ht="15" customHeight="1">
      <c r="B2664" s="134" t="n"/>
      <c r="C2664" s="105" t="n"/>
      <c r="D2664" s="105" t="n"/>
      <c r="E2664" s="105" t="n"/>
      <c r="F2664" s="105" t="n"/>
      <c r="G2664" s="105" t="n"/>
      <c r="H2664" s="2" t="n"/>
      <c r="I2664" s="105" t="n"/>
      <c r="K2664" s="215" t="n"/>
      <c r="L2664" s="215" t="n"/>
      <c r="M2664" s="215" t="n"/>
      <c r="N2664" s="215" t="n"/>
      <c r="O2664" s="215" t="n"/>
      <c r="P2664" s="215" t="n"/>
      <c r="Q2664" s="215" t="n"/>
      <c r="R2664" s="215" t="n"/>
      <c r="S2664" s="215" t="n"/>
      <c r="T2664" s="215" t="n"/>
      <c r="U2664" s="215" t="n"/>
      <c r="V2664" s="215" t="n"/>
      <c r="W2664" s="215" t="n"/>
      <c r="X2664" s="215" t="n"/>
      <c r="Y2664" s="215" t="n"/>
      <c r="Z2664" s="215" t="n"/>
      <c r="AA2664" s="215" t="n"/>
      <c r="AB2664" s="215" t="n"/>
      <c r="AC2664" s="215" t="n"/>
      <c r="AD2664" s="215" t="n"/>
      <c r="AE2664" s="215" t="n"/>
      <c r="AF2664" s="215" t="n"/>
      <c r="AG2664" s="215" t="n"/>
      <c r="AH2664" s="215" t="n"/>
      <c r="AI2664" s="215" t="n"/>
      <c r="AJ2664" s="215" t="n"/>
      <c r="AK2664" s="216" t="n"/>
    </row>
    <row r="2665" ht="15" customHeight="1">
      <c r="B2665" s="134" t="n"/>
      <c r="C2665" s="105" t="n"/>
      <c r="D2665" s="105" t="n"/>
      <c r="E2665" s="105" t="n"/>
      <c r="F2665" s="105" t="n"/>
      <c r="G2665" s="105" t="n"/>
      <c r="H2665" s="2" t="n"/>
      <c r="I2665" s="105" t="n"/>
      <c r="K2665" s="215" t="n"/>
      <c r="L2665" s="215" t="n"/>
      <c r="M2665" s="215" t="n"/>
      <c r="N2665" s="215" t="n"/>
      <c r="O2665" s="215" t="n"/>
      <c r="P2665" s="215" t="n"/>
      <c r="Q2665" s="215" t="n"/>
      <c r="R2665" s="215" t="n"/>
      <c r="S2665" s="215" t="n"/>
      <c r="T2665" s="215" t="n"/>
      <c r="U2665" s="215" t="n"/>
      <c r="V2665" s="215" t="n"/>
      <c r="W2665" s="215" t="n"/>
      <c r="X2665" s="215" t="n"/>
      <c r="Y2665" s="215" t="n"/>
      <c r="Z2665" s="215" t="n"/>
      <c r="AA2665" s="215" t="n"/>
      <c r="AB2665" s="215" t="n"/>
      <c r="AC2665" s="215" t="n"/>
      <c r="AD2665" s="215" t="n"/>
      <c r="AE2665" s="215" t="n"/>
      <c r="AF2665" s="215" t="n"/>
      <c r="AG2665" s="215" t="n"/>
      <c r="AH2665" s="215" t="n"/>
      <c r="AI2665" s="215" t="n"/>
      <c r="AJ2665" s="215" t="n"/>
      <c r="AK2665" s="216" t="n"/>
    </row>
    <row r="2666" ht="15" customHeight="1">
      <c r="B2666" s="134" t="n"/>
      <c r="C2666" s="105" t="n"/>
      <c r="D2666" s="105" t="n"/>
      <c r="E2666" s="105" t="n"/>
      <c r="F2666" s="105" t="n"/>
      <c r="G2666" s="105" t="n"/>
      <c r="H2666" s="2" t="n"/>
      <c r="I2666" s="105" t="n"/>
      <c r="K2666" s="215" t="n"/>
      <c r="L2666" s="215" t="n"/>
      <c r="M2666" s="215" t="n"/>
      <c r="N2666" s="215" t="n"/>
      <c r="O2666" s="215" t="n"/>
      <c r="P2666" s="215" t="n"/>
      <c r="Q2666" s="215" t="n"/>
      <c r="R2666" s="215" t="n"/>
      <c r="S2666" s="215" t="n"/>
      <c r="T2666" s="215" t="n"/>
      <c r="U2666" s="215" t="n"/>
      <c r="V2666" s="215" t="n"/>
      <c r="W2666" s="215" t="n"/>
      <c r="X2666" s="215" t="n"/>
      <c r="Y2666" s="215" t="n"/>
      <c r="Z2666" s="215" t="n"/>
      <c r="AA2666" s="215" t="n"/>
      <c r="AB2666" s="215" t="n"/>
      <c r="AC2666" s="215" t="n"/>
      <c r="AD2666" s="215" t="n"/>
      <c r="AE2666" s="215" t="n"/>
      <c r="AF2666" s="215" t="n"/>
      <c r="AG2666" s="215" t="n"/>
      <c r="AH2666" s="215" t="n"/>
      <c r="AI2666" s="215" t="n"/>
      <c r="AJ2666" s="215" t="n"/>
      <c r="AK2666" s="216" t="n"/>
    </row>
    <row r="2667" ht="15" customHeight="1">
      <c r="B2667" s="134" t="n"/>
      <c r="C2667" s="105" t="n"/>
      <c r="D2667" s="105" t="n"/>
      <c r="E2667" s="105" t="n"/>
      <c r="F2667" s="105" t="n"/>
      <c r="G2667" s="105" t="n"/>
      <c r="H2667" s="2" t="n"/>
      <c r="I2667" s="105" t="n"/>
      <c r="K2667" s="215" t="n"/>
      <c r="L2667" s="215" t="n"/>
      <c r="M2667" s="215" t="n"/>
      <c r="N2667" s="215" t="n"/>
      <c r="O2667" s="215" t="n"/>
      <c r="P2667" s="215" t="n"/>
      <c r="Q2667" s="215" t="n"/>
      <c r="R2667" s="215" t="n"/>
      <c r="S2667" s="215" t="n"/>
      <c r="T2667" s="215" t="n"/>
      <c r="U2667" s="215" t="n"/>
      <c r="V2667" s="215" t="n"/>
      <c r="W2667" s="215" t="n"/>
      <c r="X2667" s="215" t="n"/>
      <c r="Y2667" s="215" t="n"/>
      <c r="Z2667" s="215" t="n"/>
      <c r="AA2667" s="215" t="n"/>
      <c r="AB2667" s="215" t="n"/>
      <c r="AC2667" s="215" t="n"/>
      <c r="AD2667" s="215" t="n"/>
      <c r="AE2667" s="215" t="n"/>
      <c r="AF2667" s="215" t="n"/>
      <c r="AG2667" s="215" t="n"/>
      <c r="AH2667" s="215" t="n"/>
      <c r="AI2667" s="215" t="n"/>
      <c r="AJ2667" s="215" t="n"/>
      <c r="AK2667" s="216" t="n"/>
    </row>
    <row r="2668" ht="15" customHeight="1">
      <c r="B2668" s="134" t="n"/>
      <c r="C2668" s="105" t="n"/>
      <c r="D2668" s="105" t="n"/>
      <c r="E2668" s="105" t="n"/>
      <c r="F2668" s="105" t="n"/>
      <c r="G2668" s="105" t="n"/>
      <c r="H2668" s="2" t="n"/>
      <c r="I2668" s="105" t="n"/>
      <c r="K2668" s="215" t="n"/>
      <c r="L2668" s="215" t="n"/>
      <c r="M2668" s="215" t="n"/>
      <c r="N2668" s="215" t="n"/>
      <c r="O2668" s="215" t="n"/>
      <c r="P2668" s="215" t="n"/>
      <c r="Q2668" s="215" t="n"/>
      <c r="R2668" s="215" t="n"/>
      <c r="S2668" s="215" t="n"/>
      <c r="T2668" s="215" t="n"/>
      <c r="U2668" s="215" t="n"/>
      <c r="V2668" s="215" t="n"/>
      <c r="W2668" s="215" t="n"/>
      <c r="X2668" s="215" t="n"/>
      <c r="Y2668" s="215" t="n"/>
      <c r="Z2668" s="215" t="n"/>
      <c r="AA2668" s="215" t="n"/>
      <c r="AB2668" s="215" t="n"/>
      <c r="AC2668" s="215" t="n"/>
      <c r="AD2668" s="215" t="n"/>
      <c r="AE2668" s="215" t="n"/>
      <c r="AF2668" s="215" t="n"/>
      <c r="AG2668" s="215" t="n"/>
      <c r="AH2668" s="215" t="n"/>
      <c r="AI2668" s="215" t="n"/>
      <c r="AJ2668" s="215" t="n"/>
      <c r="AK2668" s="216" t="n"/>
    </row>
    <row r="2669" ht="15" customHeight="1">
      <c r="B2669" s="134" t="n"/>
      <c r="C2669" s="105" t="n"/>
      <c r="D2669" s="105" t="n"/>
      <c r="E2669" s="105" t="n"/>
      <c r="F2669" s="105" t="n"/>
      <c r="G2669" s="105" t="n"/>
      <c r="H2669" s="2" t="n"/>
      <c r="I2669" s="105" t="n"/>
      <c r="K2669" s="215" t="n"/>
      <c r="L2669" s="215" t="n"/>
      <c r="M2669" s="215" t="n"/>
      <c r="N2669" s="215" t="n"/>
      <c r="O2669" s="215" t="n"/>
      <c r="P2669" s="215" t="n"/>
      <c r="Q2669" s="215" t="n"/>
      <c r="R2669" s="215" t="n"/>
      <c r="S2669" s="215" t="n"/>
      <c r="T2669" s="215" t="n"/>
      <c r="U2669" s="215" t="n"/>
      <c r="V2669" s="215" t="n"/>
      <c r="W2669" s="215" t="n"/>
      <c r="X2669" s="215" t="n"/>
      <c r="Y2669" s="215" t="n"/>
      <c r="Z2669" s="215" t="n"/>
      <c r="AA2669" s="215" t="n"/>
      <c r="AB2669" s="215" t="n"/>
      <c r="AC2669" s="215" t="n"/>
      <c r="AD2669" s="215" t="n"/>
      <c r="AE2669" s="215" t="n"/>
      <c r="AF2669" s="215" t="n"/>
      <c r="AG2669" s="215" t="n"/>
      <c r="AH2669" s="215" t="n"/>
      <c r="AI2669" s="215" t="n"/>
      <c r="AJ2669" s="215" t="n"/>
      <c r="AK2669" s="216" t="n"/>
    </row>
    <row r="2670" ht="15" customHeight="1">
      <c r="B2670" s="134" t="n"/>
      <c r="C2670" s="105" t="n"/>
      <c r="D2670" s="105" t="n"/>
      <c r="E2670" s="105" t="n"/>
      <c r="F2670" s="105" t="n"/>
      <c r="G2670" s="105" t="n"/>
      <c r="H2670" s="2" t="n"/>
      <c r="I2670" s="105" t="n"/>
      <c r="K2670" s="215" t="n"/>
      <c r="L2670" s="215" t="n"/>
      <c r="M2670" s="215" t="n"/>
      <c r="N2670" s="215" t="n"/>
      <c r="O2670" s="215" t="n"/>
      <c r="P2670" s="215" t="n"/>
      <c r="Q2670" s="215" t="n"/>
      <c r="R2670" s="215" t="n"/>
      <c r="S2670" s="215" t="n"/>
      <c r="T2670" s="215" t="n"/>
      <c r="U2670" s="215" t="n"/>
      <c r="V2670" s="215" t="n"/>
      <c r="W2670" s="215" t="n"/>
      <c r="X2670" s="215" t="n"/>
      <c r="Y2670" s="215" t="n"/>
      <c r="Z2670" s="215" t="n"/>
      <c r="AA2670" s="215" t="n"/>
      <c r="AB2670" s="215" t="n"/>
      <c r="AC2670" s="215" t="n"/>
      <c r="AD2670" s="215" t="n"/>
      <c r="AE2670" s="215" t="n"/>
      <c r="AF2670" s="215" t="n"/>
      <c r="AG2670" s="215" t="n"/>
      <c r="AH2670" s="215" t="n"/>
      <c r="AI2670" s="215" t="n"/>
      <c r="AJ2670" s="215" t="n"/>
      <c r="AK2670" s="216" t="n"/>
    </row>
    <row r="2671" ht="15" customHeight="1">
      <c r="B2671" s="134" t="n"/>
      <c r="C2671" s="105" t="n"/>
      <c r="D2671" s="105" t="n"/>
      <c r="E2671" s="105" t="n"/>
      <c r="F2671" s="105" t="n"/>
      <c r="G2671" s="105" t="n"/>
      <c r="H2671" s="2" t="n"/>
      <c r="I2671" s="105" t="n"/>
      <c r="K2671" s="215" t="n"/>
      <c r="L2671" s="215" t="n"/>
      <c r="M2671" s="215" t="n"/>
      <c r="N2671" s="215" t="n"/>
      <c r="O2671" s="215" t="n"/>
      <c r="P2671" s="215" t="n"/>
      <c r="Q2671" s="215" t="n"/>
      <c r="R2671" s="215" t="n"/>
      <c r="S2671" s="215" t="n"/>
      <c r="T2671" s="215" t="n"/>
      <c r="U2671" s="215" t="n"/>
      <c r="V2671" s="215" t="n"/>
      <c r="W2671" s="215" t="n"/>
      <c r="X2671" s="215" t="n"/>
      <c r="Y2671" s="215" t="n"/>
      <c r="Z2671" s="215" t="n"/>
      <c r="AA2671" s="215" t="n"/>
      <c r="AB2671" s="215" t="n"/>
      <c r="AC2671" s="215" t="n"/>
      <c r="AD2671" s="215" t="n"/>
      <c r="AE2671" s="215" t="n"/>
      <c r="AF2671" s="215" t="n"/>
      <c r="AG2671" s="215" t="n"/>
      <c r="AH2671" s="215" t="n"/>
      <c r="AI2671" s="215" t="n"/>
      <c r="AJ2671" s="215" t="n"/>
      <c r="AK2671" s="216" t="n"/>
    </row>
    <row r="2672" ht="15" customHeight="1">
      <c r="B2672" s="134" t="n"/>
      <c r="C2672" s="105" t="n"/>
      <c r="D2672" s="105" t="n"/>
      <c r="E2672" s="105" t="n"/>
      <c r="F2672" s="105" t="n"/>
      <c r="G2672" s="105" t="n"/>
      <c r="H2672" s="2" t="n"/>
      <c r="I2672" s="105" t="n"/>
      <c r="K2672" s="215" t="n"/>
      <c r="L2672" s="215" t="n"/>
      <c r="M2672" s="215" t="n"/>
      <c r="N2672" s="215" t="n"/>
      <c r="O2672" s="215" t="n"/>
      <c r="P2672" s="215" t="n"/>
      <c r="Q2672" s="215" t="n"/>
      <c r="R2672" s="215" t="n"/>
      <c r="S2672" s="215" t="n"/>
      <c r="T2672" s="215" t="n"/>
      <c r="U2672" s="215" t="n"/>
      <c r="V2672" s="215" t="n"/>
      <c r="W2672" s="215" t="n"/>
      <c r="X2672" s="215" t="n"/>
      <c r="Y2672" s="215" t="n"/>
      <c r="Z2672" s="215" t="n"/>
      <c r="AA2672" s="215" t="n"/>
      <c r="AB2672" s="215" t="n"/>
      <c r="AC2672" s="215" t="n"/>
      <c r="AD2672" s="215" t="n"/>
      <c r="AE2672" s="215" t="n"/>
      <c r="AF2672" s="215" t="n"/>
      <c r="AG2672" s="215" t="n"/>
      <c r="AH2672" s="215" t="n"/>
      <c r="AI2672" s="215" t="n"/>
      <c r="AJ2672" s="215" t="n"/>
      <c r="AK2672" s="216" t="n"/>
    </row>
    <row r="2673" ht="15" customHeight="1">
      <c r="B2673" s="134" t="n"/>
      <c r="C2673" s="105" t="n"/>
      <c r="D2673" s="105" t="n"/>
      <c r="E2673" s="105" t="n"/>
      <c r="F2673" s="105" t="n"/>
      <c r="G2673" s="105" t="n"/>
      <c r="H2673" s="2" t="n"/>
      <c r="I2673" s="105" t="n"/>
      <c r="K2673" s="215" t="n"/>
      <c r="L2673" s="215" t="n"/>
      <c r="M2673" s="215" t="n"/>
      <c r="N2673" s="215" t="n"/>
      <c r="O2673" s="215" t="n"/>
      <c r="P2673" s="215" t="n"/>
      <c r="Q2673" s="215" t="n"/>
      <c r="R2673" s="215" t="n"/>
      <c r="S2673" s="215" t="n"/>
      <c r="T2673" s="215" t="n"/>
      <c r="U2673" s="215" t="n"/>
      <c r="V2673" s="215" t="n"/>
      <c r="W2673" s="215" t="n"/>
      <c r="X2673" s="215" t="n"/>
      <c r="Y2673" s="215" t="n"/>
      <c r="Z2673" s="215" t="n"/>
      <c r="AA2673" s="215" t="n"/>
      <c r="AB2673" s="215" t="n"/>
      <c r="AC2673" s="215" t="n"/>
      <c r="AD2673" s="215" t="n"/>
      <c r="AE2673" s="215" t="n"/>
      <c r="AF2673" s="215" t="n"/>
      <c r="AG2673" s="215" t="n"/>
      <c r="AH2673" s="215" t="n"/>
      <c r="AI2673" s="215" t="n"/>
      <c r="AJ2673" s="215" t="n"/>
      <c r="AK2673" s="216" t="n"/>
    </row>
    <row r="2674" ht="15" customHeight="1">
      <c r="B2674" s="134" t="n"/>
      <c r="C2674" s="105" t="n"/>
      <c r="D2674" s="105" t="n"/>
      <c r="E2674" s="105" t="n"/>
      <c r="F2674" s="105" t="n"/>
      <c r="G2674" s="105" t="n"/>
      <c r="H2674" s="2" t="n"/>
      <c r="I2674" s="105" t="n"/>
      <c r="K2674" s="215" t="n"/>
      <c r="L2674" s="215" t="n"/>
      <c r="M2674" s="215" t="n"/>
      <c r="N2674" s="215" t="n"/>
      <c r="O2674" s="215" t="n"/>
      <c r="P2674" s="215" t="n"/>
      <c r="Q2674" s="215" t="n"/>
      <c r="R2674" s="215" t="n"/>
      <c r="S2674" s="215" t="n"/>
      <c r="T2674" s="215" t="n"/>
      <c r="U2674" s="215" t="n"/>
      <c r="V2674" s="215" t="n"/>
      <c r="W2674" s="215" t="n"/>
      <c r="X2674" s="215" t="n"/>
      <c r="Y2674" s="215" t="n"/>
      <c r="Z2674" s="215" t="n"/>
      <c r="AA2674" s="215" t="n"/>
      <c r="AB2674" s="215" t="n"/>
      <c r="AC2674" s="215" t="n"/>
      <c r="AD2674" s="215" t="n"/>
      <c r="AE2674" s="215" t="n"/>
      <c r="AF2674" s="215" t="n"/>
      <c r="AG2674" s="215" t="n"/>
      <c r="AH2674" s="215" t="n"/>
      <c r="AI2674" s="215" t="n"/>
      <c r="AJ2674" s="215" t="n"/>
      <c r="AK2674" s="216" t="n"/>
    </row>
    <row r="2675" ht="15" customHeight="1">
      <c r="B2675" s="134" t="n"/>
      <c r="C2675" s="105" t="n"/>
      <c r="D2675" s="105" t="n"/>
      <c r="E2675" s="105" t="n"/>
      <c r="F2675" s="105" t="n"/>
      <c r="G2675" s="105" t="n"/>
      <c r="H2675" s="2" t="n"/>
      <c r="I2675" s="105" t="n"/>
      <c r="K2675" s="215" t="n"/>
      <c r="L2675" s="215" t="n"/>
      <c r="M2675" s="215" t="n"/>
      <c r="N2675" s="215" t="n"/>
      <c r="O2675" s="215" t="n"/>
      <c r="P2675" s="215" t="n"/>
      <c r="Q2675" s="215" t="n"/>
      <c r="R2675" s="215" t="n"/>
      <c r="S2675" s="215" t="n"/>
      <c r="T2675" s="215" t="n"/>
      <c r="U2675" s="215" t="n"/>
      <c r="V2675" s="215" t="n"/>
      <c r="W2675" s="215" t="n"/>
      <c r="X2675" s="215" t="n"/>
      <c r="Y2675" s="215" t="n"/>
      <c r="Z2675" s="215" t="n"/>
      <c r="AA2675" s="215" t="n"/>
      <c r="AB2675" s="215" t="n"/>
      <c r="AC2675" s="215" t="n"/>
      <c r="AD2675" s="215" t="n"/>
      <c r="AE2675" s="215" t="n"/>
      <c r="AF2675" s="215" t="n"/>
      <c r="AG2675" s="215" t="n"/>
      <c r="AH2675" s="215" t="n"/>
      <c r="AI2675" s="215" t="n"/>
      <c r="AJ2675" s="215" t="n"/>
      <c r="AK2675" s="216" t="n"/>
    </row>
    <row r="2676" ht="15" customHeight="1">
      <c r="B2676" s="134" t="n"/>
      <c r="C2676" s="105" t="n"/>
      <c r="D2676" s="105" t="n"/>
      <c r="E2676" s="105" t="n"/>
      <c r="F2676" s="105" t="n"/>
      <c r="G2676" s="105" t="n"/>
      <c r="H2676" s="2" t="n"/>
      <c r="I2676" s="105" t="n"/>
      <c r="K2676" s="215" t="n"/>
      <c r="L2676" s="215" t="n"/>
      <c r="M2676" s="215" t="n"/>
      <c r="N2676" s="215" t="n"/>
      <c r="O2676" s="215" t="n"/>
      <c r="P2676" s="215" t="n"/>
      <c r="Q2676" s="215" t="n"/>
      <c r="R2676" s="215" t="n"/>
      <c r="S2676" s="215" t="n"/>
      <c r="T2676" s="215" t="n"/>
      <c r="U2676" s="215" t="n"/>
      <c r="V2676" s="215" t="n"/>
      <c r="W2676" s="215" t="n"/>
      <c r="X2676" s="215" t="n"/>
      <c r="Y2676" s="215" t="n"/>
      <c r="Z2676" s="215" t="n"/>
      <c r="AA2676" s="215" t="n"/>
      <c r="AB2676" s="215" t="n"/>
      <c r="AC2676" s="215" t="n"/>
      <c r="AD2676" s="215" t="n"/>
      <c r="AE2676" s="215" t="n"/>
      <c r="AF2676" s="215" t="n"/>
      <c r="AG2676" s="215" t="n"/>
      <c r="AH2676" s="215" t="n"/>
      <c r="AI2676" s="215" t="n"/>
      <c r="AJ2676" s="215" t="n"/>
      <c r="AK2676" s="216" t="n"/>
    </row>
    <row r="2677" ht="15" customHeight="1">
      <c r="B2677" s="134" t="n"/>
      <c r="C2677" s="105" t="n"/>
      <c r="D2677" s="105" t="n"/>
      <c r="E2677" s="105" t="n"/>
      <c r="F2677" s="105" t="n"/>
      <c r="G2677" s="105" t="n"/>
      <c r="H2677" s="2" t="n"/>
      <c r="I2677" s="105" t="n"/>
      <c r="K2677" s="215" t="n"/>
      <c r="L2677" s="215" t="n"/>
      <c r="M2677" s="215" t="n"/>
      <c r="N2677" s="215" t="n"/>
      <c r="O2677" s="215" t="n"/>
      <c r="P2677" s="215" t="n"/>
      <c r="Q2677" s="215" t="n"/>
      <c r="R2677" s="215" t="n"/>
      <c r="S2677" s="215" t="n"/>
      <c r="T2677" s="215" t="n"/>
      <c r="U2677" s="215" t="n"/>
      <c r="V2677" s="215" t="n"/>
      <c r="W2677" s="215" t="n"/>
      <c r="X2677" s="215" t="n"/>
      <c r="Y2677" s="215" t="n"/>
      <c r="Z2677" s="215" t="n"/>
      <c r="AA2677" s="215" t="n"/>
      <c r="AB2677" s="215" t="n"/>
      <c r="AC2677" s="215" t="n"/>
      <c r="AD2677" s="215" t="n"/>
      <c r="AE2677" s="215" t="n"/>
      <c r="AF2677" s="215" t="n"/>
      <c r="AG2677" s="215" t="n"/>
      <c r="AH2677" s="215" t="n"/>
      <c r="AI2677" s="215" t="n"/>
      <c r="AJ2677" s="215" t="n"/>
      <c r="AK2677" s="216" t="n"/>
    </row>
    <row r="2678" ht="15" customHeight="1">
      <c r="B2678" s="134" t="n"/>
      <c r="C2678" s="105" t="n"/>
      <c r="D2678" s="105" t="n"/>
      <c r="E2678" s="105" t="n"/>
      <c r="F2678" s="105" t="n"/>
      <c r="G2678" s="105" t="n"/>
      <c r="H2678" s="2" t="n"/>
      <c r="I2678" s="105" t="n"/>
      <c r="K2678" s="215" t="n"/>
      <c r="L2678" s="215" t="n"/>
      <c r="M2678" s="215" t="n"/>
      <c r="N2678" s="215" t="n"/>
      <c r="O2678" s="215" t="n"/>
      <c r="P2678" s="215" t="n"/>
      <c r="Q2678" s="215" t="n"/>
      <c r="R2678" s="215" t="n"/>
      <c r="S2678" s="215" t="n"/>
      <c r="T2678" s="215" t="n"/>
      <c r="U2678" s="215" t="n"/>
      <c r="V2678" s="215" t="n"/>
      <c r="W2678" s="215" t="n"/>
      <c r="X2678" s="215" t="n"/>
      <c r="Y2678" s="215" t="n"/>
      <c r="Z2678" s="215" t="n"/>
      <c r="AA2678" s="215" t="n"/>
      <c r="AB2678" s="215" t="n"/>
      <c r="AC2678" s="215" t="n"/>
      <c r="AD2678" s="215" t="n"/>
      <c r="AE2678" s="215" t="n"/>
      <c r="AF2678" s="215" t="n"/>
      <c r="AG2678" s="215" t="n"/>
      <c r="AH2678" s="215" t="n"/>
      <c r="AI2678" s="215" t="n"/>
      <c r="AJ2678" s="215" t="n"/>
      <c r="AK2678" s="216" t="n"/>
    </row>
    <row r="2679" ht="15" customHeight="1">
      <c r="B2679" s="134" t="n"/>
      <c r="C2679" s="105" t="n"/>
      <c r="D2679" s="105" t="n"/>
      <c r="E2679" s="105" t="n"/>
      <c r="F2679" s="105" t="n"/>
      <c r="G2679" s="105" t="n"/>
      <c r="H2679" s="2" t="n"/>
      <c r="I2679" s="105" t="n"/>
      <c r="K2679" s="215" t="n"/>
      <c r="L2679" s="215" t="n"/>
      <c r="M2679" s="215" t="n"/>
      <c r="N2679" s="215" t="n"/>
      <c r="O2679" s="215" t="n"/>
      <c r="P2679" s="215" t="n"/>
      <c r="Q2679" s="215" t="n"/>
      <c r="R2679" s="215" t="n"/>
      <c r="S2679" s="215" t="n"/>
      <c r="T2679" s="215" t="n"/>
      <c r="U2679" s="215" t="n"/>
      <c r="V2679" s="215" t="n"/>
      <c r="W2679" s="215" t="n"/>
      <c r="X2679" s="215" t="n"/>
      <c r="Y2679" s="215" t="n"/>
      <c r="Z2679" s="215" t="n"/>
      <c r="AA2679" s="215" t="n"/>
      <c r="AB2679" s="215" t="n"/>
      <c r="AC2679" s="215" t="n"/>
      <c r="AD2679" s="215" t="n"/>
      <c r="AE2679" s="215" t="n"/>
      <c r="AF2679" s="215" t="n"/>
      <c r="AG2679" s="215" t="n"/>
      <c r="AH2679" s="215" t="n"/>
      <c r="AI2679" s="215" t="n"/>
      <c r="AJ2679" s="215" t="n"/>
      <c r="AK2679" s="216" t="n"/>
    </row>
    <row r="2680" ht="15" customHeight="1">
      <c r="B2680" s="134" t="n"/>
      <c r="C2680" s="105" t="n"/>
      <c r="D2680" s="105" t="n"/>
      <c r="E2680" s="105" t="n"/>
      <c r="F2680" s="105" t="n"/>
      <c r="G2680" s="105" t="n"/>
      <c r="H2680" s="2" t="n"/>
      <c r="I2680" s="105" t="n"/>
      <c r="K2680" s="215" t="n"/>
      <c r="L2680" s="215" t="n"/>
      <c r="M2680" s="215" t="n"/>
      <c r="N2680" s="215" t="n"/>
      <c r="O2680" s="215" t="n"/>
      <c r="P2680" s="215" t="n"/>
      <c r="Q2680" s="215" t="n"/>
      <c r="R2680" s="215" t="n"/>
      <c r="S2680" s="215" t="n"/>
      <c r="T2680" s="215" t="n"/>
      <c r="U2680" s="215" t="n"/>
      <c r="V2680" s="215" t="n"/>
      <c r="W2680" s="215" t="n"/>
      <c r="X2680" s="215" t="n"/>
      <c r="Y2680" s="215" t="n"/>
      <c r="Z2680" s="215" t="n"/>
      <c r="AA2680" s="215" t="n"/>
      <c r="AB2680" s="215" t="n"/>
      <c r="AC2680" s="215" t="n"/>
      <c r="AD2680" s="215" t="n"/>
      <c r="AE2680" s="215" t="n"/>
      <c r="AF2680" s="215" t="n"/>
      <c r="AG2680" s="215" t="n"/>
      <c r="AH2680" s="215" t="n"/>
      <c r="AI2680" s="215" t="n"/>
      <c r="AJ2680" s="215" t="n"/>
      <c r="AK2680" s="216" t="n"/>
    </row>
    <row r="2681" ht="15" customHeight="1">
      <c r="B2681" s="134" t="n"/>
      <c r="C2681" s="105" t="n"/>
      <c r="D2681" s="105" t="n"/>
      <c r="E2681" s="105" t="n"/>
      <c r="F2681" s="105" t="n"/>
      <c r="G2681" s="105" t="n"/>
      <c r="H2681" s="2" t="n"/>
      <c r="I2681" s="105" t="n"/>
      <c r="K2681" s="215" t="n"/>
      <c r="L2681" s="215" t="n"/>
      <c r="M2681" s="215" t="n"/>
      <c r="N2681" s="215" t="n"/>
      <c r="O2681" s="215" t="n"/>
      <c r="P2681" s="215" t="n"/>
      <c r="Q2681" s="215" t="n"/>
      <c r="R2681" s="215" t="n"/>
      <c r="S2681" s="215" t="n"/>
      <c r="T2681" s="215" t="n"/>
      <c r="U2681" s="215" t="n"/>
      <c r="V2681" s="215" t="n"/>
      <c r="W2681" s="215" t="n"/>
      <c r="X2681" s="215" t="n"/>
      <c r="Y2681" s="215" t="n"/>
      <c r="Z2681" s="215" t="n"/>
      <c r="AA2681" s="215" t="n"/>
      <c r="AB2681" s="215" t="n"/>
      <c r="AC2681" s="215" t="n"/>
      <c r="AD2681" s="215" t="n"/>
      <c r="AE2681" s="215" t="n"/>
      <c r="AF2681" s="215" t="n"/>
      <c r="AG2681" s="215" t="n"/>
      <c r="AH2681" s="215" t="n"/>
      <c r="AI2681" s="215" t="n"/>
      <c r="AJ2681" s="215" t="n"/>
      <c r="AK2681" s="216" t="n"/>
    </row>
    <row r="2682" ht="15" customHeight="1">
      <c r="B2682" s="134" t="n"/>
      <c r="C2682" s="105" t="n"/>
      <c r="D2682" s="105" t="n"/>
      <c r="E2682" s="105" t="n"/>
      <c r="F2682" s="105" t="n"/>
      <c r="G2682" s="105" t="n"/>
      <c r="H2682" s="2" t="n"/>
      <c r="I2682" s="105" t="n"/>
      <c r="K2682" s="215" t="n"/>
      <c r="L2682" s="215" t="n"/>
      <c r="M2682" s="215" t="n"/>
      <c r="N2682" s="215" t="n"/>
      <c r="O2682" s="215" t="n"/>
      <c r="P2682" s="215" t="n"/>
      <c r="Q2682" s="215" t="n"/>
      <c r="R2682" s="215" t="n"/>
      <c r="S2682" s="215" t="n"/>
      <c r="T2682" s="215" t="n"/>
      <c r="U2682" s="215" t="n"/>
      <c r="V2682" s="215" t="n"/>
      <c r="W2682" s="215" t="n"/>
      <c r="X2682" s="215" t="n"/>
      <c r="Y2682" s="215" t="n"/>
      <c r="Z2682" s="215" t="n"/>
      <c r="AA2682" s="215" t="n"/>
      <c r="AB2682" s="215" t="n"/>
      <c r="AC2682" s="215" t="n"/>
      <c r="AD2682" s="215" t="n"/>
      <c r="AE2682" s="215" t="n"/>
      <c r="AF2682" s="215" t="n"/>
      <c r="AG2682" s="215" t="n"/>
      <c r="AH2682" s="215" t="n"/>
      <c r="AI2682" s="215" t="n"/>
      <c r="AJ2682" s="215" t="n"/>
      <c r="AK2682" s="216" t="n"/>
    </row>
    <row r="2683" ht="15" customHeight="1">
      <c r="B2683" s="134" t="n"/>
      <c r="C2683" s="105" t="n"/>
      <c r="D2683" s="105" t="n"/>
      <c r="E2683" s="105" t="n"/>
      <c r="F2683" s="105" t="n"/>
      <c r="G2683" s="105" t="n"/>
      <c r="H2683" s="2" t="n"/>
      <c r="I2683" s="105" t="n"/>
      <c r="K2683" s="215" t="n"/>
      <c r="L2683" s="215" t="n"/>
      <c r="M2683" s="215" t="n"/>
      <c r="N2683" s="215" t="n"/>
      <c r="O2683" s="215" t="n"/>
      <c r="P2683" s="215" t="n"/>
      <c r="Q2683" s="215" t="n"/>
      <c r="R2683" s="215" t="n"/>
      <c r="S2683" s="215" t="n"/>
      <c r="T2683" s="215" t="n"/>
      <c r="U2683" s="215" t="n"/>
      <c r="V2683" s="215" t="n"/>
      <c r="W2683" s="215" t="n"/>
      <c r="X2683" s="215" t="n"/>
      <c r="Y2683" s="215" t="n"/>
      <c r="Z2683" s="215" t="n"/>
      <c r="AA2683" s="215" t="n"/>
      <c r="AB2683" s="215" t="n"/>
      <c r="AC2683" s="215" t="n"/>
      <c r="AD2683" s="215" t="n"/>
      <c r="AE2683" s="215" t="n"/>
      <c r="AF2683" s="215" t="n"/>
      <c r="AG2683" s="215" t="n"/>
      <c r="AH2683" s="215" t="n"/>
      <c r="AI2683" s="215" t="n"/>
      <c r="AJ2683" s="215" t="n"/>
      <c r="AK2683" s="216" t="n"/>
    </row>
    <row r="2684" ht="15" customHeight="1">
      <c r="B2684" s="134" t="n"/>
      <c r="C2684" s="105" t="n"/>
      <c r="D2684" s="105" t="n"/>
      <c r="E2684" s="105" t="n"/>
      <c r="F2684" s="105" t="n"/>
      <c r="G2684" s="105" t="n"/>
      <c r="H2684" s="2" t="n"/>
      <c r="I2684" s="105" t="n"/>
      <c r="K2684" s="215" t="n"/>
      <c r="L2684" s="215" t="n"/>
      <c r="M2684" s="215" t="n"/>
      <c r="N2684" s="215" t="n"/>
      <c r="O2684" s="215" t="n"/>
      <c r="P2684" s="215" t="n"/>
      <c r="Q2684" s="215" t="n"/>
      <c r="R2684" s="215" t="n"/>
      <c r="S2684" s="215" t="n"/>
      <c r="T2684" s="215" t="n"/>
      <c r="U2684" s="215" t="n"/>
      <c r="V2684" s="215" t="n"/>
      <c r="W2684" s="215" t="n"/>
      <c r="X2684" s="215" t="n"/>
      <c r="Y2684" s="215" t="n"/>
      <c r="Z2684" s="215" t="n"/>
      <c r="AA2684" s="215" t="n"/>
      <c r="AB2684" s="215" t="n"/>
      <c r="AC2684" s="215" t="n"/>
      <c r="AD2684" s="215" t="n"/>
      <c r="AE2684" s="215" t="n"/>
      <c r="AF2684" s="215" t="n"/>
      <c r="AG2684" s="215" t="n"/>
      <c r="AH2684" s="215" t="n"/>
      <c r="AI2684" s="215" t="n"/>
      <c r="AJ2684" s="215" t="n"/>
      <c r="AK2684" s="216" t="n"/>
    </row>
    <row r="2685" ht="15" customHeight="1">
      <c r="B2685" s="134" t="n"/>
      <c r="C2685" s="105" t="n"/>
      <c r="D2685" s="105" t="n"/>
      <c r="E2685" s="105" t="n"/>
      <c r="F2685" s="105" t="n"/>
      <c r="G2685" s="105" t="n"/>
      <c r="H2685" s="2" t="n"/>
      <c r="I2685" s="105" t="n"/>
      <c r="K2685" s="215" t="n"/>
      <c r="L2685" s="215" t="n"/>
      <c r="M2685" s="215" t="n"/>
      <c r="N2685" s="215" t="n"/>
      <c r="O2685" s="215" t="n"/>
      <c r="P2685" s="215" t="n"/>
      <c r="Q2685" s="215" t="n"/>
      <c r="R2685" s="215" t="n"/>
      <c r="S2685" s="215" t="n"/>
      <c r="T2685" s="215" t="n"/>
      <c r="U2685" s="215" t="n"/>
      <c r="V2685" s="215" t="n"/>
      <c r="W2685" s="215" t="n"/>
      <c r="X2685" s="215" t="n"/>
      <c r="Y2685" s="215" t="n"/>
      <c r="Z2685" s="215" t="n"/>
      <c r="AA2685" s="215" t="n"/>
      <c r="AB2685" s="215" t="n"/>
      <c r="AC2685" s="215" t="n"/>
      <c r="AD2685" s="215" t="n"/>
      <c r="AE2685" s="215" t="n"/>
      <c r="AF2685" s="215" t="n"/>
      <c r="AG2685" s="215" t="n"/>
      <c r="AH2685" s="215" t="n"/>
      <c r="AI2685" s="215" t="n"/>
      <c r="AJ2685" s="215" t="n"/>
      <c r="AK2685" s="216" t="n"/>
    </row>
    <row r="2686" ht="15" customHeight="1">
      <c r="B2686" s="134" t="n"/>
      <c r="C2686" s="105" t="n"/>
      <c r="D2686" s="105" t="n"/>
      <c r="E2686" s="105" t="n"/>
      <c r="F2686" s="105" t="n"/>
      <c r="G2686" s="105" t="n"/>
      <c r="H2686" s="2" t="n"/>
      <c r="I2686" s="105" t="n"/>
      <c r="K2686" s="215" t="n"/>
      <c r="L2686" s="215" t="n"/>
      <c r="M2686" s="215" t="n"/>
      <c r="N2686" s="215" t="n"/>
      <c r="O2686" s="215" t="n"/>
      <c r="P2686" s="215" t="n"/>
      <c r="Q2686" s="215" t="n"/>
      <c r="R2686" s="215" t="n"/>
      <c r="S2686" s="215" t="n"/>
      <c r="T2686" s="215" t="n"/>
      <c r="U2686" s="215" t="n"/>
      <c r="V2686" s="215" t="n"/>
      <c r="W2686" s="215" t="n"/>
      <c r="X2686" s="215" t="n"/>
      <c r="Y2686" s="215" t="n"/>
      <c r="Z2686" s="215" t="n"/>
      <c r="AA2686" s="215" t="n"/>
      <c r="AB2686" s="215" t="n"/>
      <c r="AC2686" s="215" t="n"/>
      <c r="AD2686" s="215" t="n"/>
      <c r="AE2686" s="215" t="n"/>
      <c r="AF2686" s="215" t="n"/>
      <c r="AG2686" s="215" t="n"/>
      <c r="AH2686" s="215" t="n"/>
      <c r="AI2686" s="215" t="n"/>
      <c r="AJ2686" s="215" t="n"/>
      <c r="AK2686" s="216" t="n"/>
    </row>
    <row r="2687" ht="15" customHeight="1">
      <c r="B2687" s="134" t="n"/>
      <c r="C2687" s="105" t="n"/>
      <c r="D2687" s="105" t="n"/>
      <c r="E2687" s="105" t="n"/>
      <c r="F2687" s="105" t="n"/>
      <c r="G2687" s="105" t="n"/>
      <c r="H2687" s="2" t="n"/>
      <c r="I2687" s="105" t="n"/>
      <c r="K2687" s="215" t="n"/>
      <c r="L2687" s="215" t="n"/>
      <c r="M2687" s="215" t="n"/>
      <c r="N2687" s="215" t="n"/>
      <c r="O2687" s="215" t="n"/>
      <c r="P2687" s="215" t="n"/>
      <c r="Q2687" s="215" t="n"/>
      <c r="R2687" s="215" t="n"/>
      <c r="S2687" s="215" t="n"/>
      <c r="T2687" s="215" t="n"/>
      <c r="U2687" s="215" t="n"/>
      <c r="V2687" s="215" t="n"/>
      <c r="W2687" s="215" t="n"/>
      <c r="X2687" s="215" t="n"/>
      <c r="Y2687" s="215" t="n"/>
      <c r="Z2687" s="215" t="n"/>
      <c r="AA2687" s="215" t="n"/>
      <c r="AB2687" s="215" t="n"/>
      <c r="AC2687" s="215" t="n"/>
      <c r="AD2687" s="215" t="n"/>
      <c r="AE2687" s="215" t="n"/>
      <c r="AF2687" s="215" t="n"/>
      <c r="AG2687" s="215" t="n"/>
      <c r="AH2687" s="215" t="n"/>
      <c r="AI2687" s="215" t="n"/>
      <c r="AJ2687" s="215" t="n"/>
      <c r="AK2687" s="216" t="n"/>
    </row>
    <row r="2688" ht="15" customHeight="1">
      <c r="B2688" s="134" t="n"/>
      <c r="C2688" s="105" t="n"/>
      <c r="D2688" s="105" t="n"/>
      <c r="E2688" s="105" t="n"/>
      <c r="F2688" s="105" t="n"/>
      <c r="G2688" s="105" t="n"/>
      <c r="H2688" s="2" t="n"/>
      <c r="I2688" s="105" t="n"/>
      <c r="K2688" s="215" t="n"/>
      <c r="L2688" s="215" t="n"/>
      <c r="M2688" s="215" t="n"/>
      <c r="N2688" s="215" t="n"/>
      <c r="O2688" s="215" t="n"/>
      <c r="P2688" s="215" t="n"/>
      <c r="Q2688" s="215" t="n"/>
      <c r="R2688" s="215" t="n"/>
      <c r="S2688" s="215" t="n"/>
      <c r="T2688" s="215" t="n"/>
      <c r="U2688" s="215" t="n"/>
      <c r="V2688" s="215" t="n"/>
      <c r="W2688" s="215" t="n"/>
      <c r="X2688" s="215" t="n"/>
      <c r="Y2688" s="215" t="n"/>
      <c r="Z2688" s="215" t="n"/>
      <c r="AA2688" s="215" t="n"/>
      <c r="AB2688" s="215" t="n"/>
      <c r="AC2688" s="215" t="n"/>
      <c r="AD2688" s="215" t="n"/>
      <c r="AE2688" s="215" t="n"/>
      <c r="AF2688" s="215" t="n"/>
      <c r="AG2688" s="215" t="n"/>
      <c r="AH2688" s="215" t="n"/>
      <c r="AI2688" s="215" t="n"/>
      <c r="AJ2688" s="215" t="n"/>
      <c r="AK2688" s="216" t="n"/>
    </row>
    <row r="2689" ht="15" customHeight="1">
      <c r="B2689" s="134" t="n"/>
      <c r="C2689" s="105" t="n"/>
      <c r="D2689" s="105" t="n"/>
      <c r="E2689" s="105" t="n"/>
      <c r="F2689" s="105" t="n"/>
      <c r="G2689" s="105" t="n"/>
      <c r="H2689" s="2" t="n"/>
      <c r="I2689" s="105" t="n"/>
      <c r="K2689" s="215" t="n"/>
      <c r="L2689" s="215" t="n"/>
      <c r="M2689" s="215" t="n"/>
      <c r="N2689" s="215" t="n"/>
      <c r="O2689" s="215" t="n"/>
      <c r="P2689" s="215" t="n"/>
      <c r="Q2689" s="215" t="n"/>
      <c r="R2689" s="215" t="n"/>
      <c r="S2689" s="215" t="n"/>
      <c r="T2689" s="215" t="n"/>
      <c r="U2689" s="215" t="n"/>
      <c r="V2689" s="215" t="n"/>
      <c r="W2689" s="215" t="n"/>
      <c r="X2689" s="215" t="n"/>
      <c r="Y2689" s="215" t="n"/>
      <c r="Z2689" s="215" t="n"/>
      <c r="AA2689" s="215" t="n"/>
      <c r="AB2689" s="215" t="n"/>
      <c r="AC2689" s="215" t="n"/>
      <c r="AD2689" s="215" t="n"/>
      <c r="AE2689" s="215" t="n"/>
      <c r="AF2689" s="215" t="n"/>
      <c r="AG2689" s="215" t="n"/>
      <c r="AH2689" s="215" t="n"/>
      <c r="AI2689" s="215" t="n"/>
      <c r="AJ2689" s="215" t="n"/>
      <c r="AK2689" s="216" t="n"/>
    </row>
    <row r="2690" ht="15" customHeight="1">
      <c r="B2690" s="134" t="n"/>
      <c r="C2690" s="105" t="n"/>
      <c r="D2690" s="105" t="n"/>
      <c r="E2690" s="105" t="n"/>
      <c r="F2690" s="105" t="n"/>
      <c r="G2690" s="105" t="n"/>
      <c r="H2690" s="2" t="n"/>
      <c r="I2690" s="105" t="n"/>
      <c r="K2690" s="215" t="n"/>
      <c r="L2690" s="215" t="n"/>
      <c r="M2690" s="215" t="n"/>
      <c r="N2690" s="215" t="n"/>
      <c r="O2690" s="215" t="n"/>
      <c r="P2690" s="215" t="n"/>
      <c r="Q2690" s="215" t="n"/>
      <c r="R2690" s="215" t="n"/>
      <c r="S2690" s="215" t="n"/>
      <c r="T2690" s="215" t="n"/>
      <c r="U2690" s="215" t="n"/>
      <c r="V2690" s="215" t="n"/>
      <c r="W2690" s="215" t="n"/>
      <c r="X2690" s="215" t="n"/>
      <c r="Y2690" s="215" t="n"/>
      <c r="Z2690" s="215" t="n"/>
      <c r="AA2690" s="215" t="n"/>
      <c r="AB2690" s="215" t="n"/>
      <c r="AC2690" s="215" t="n"/>
      <c r="AD2690" s="215" t="n"/>
      <c r="AE2690" s="215" t="n"/>
      <c r="AF2690" s="215" t="n"/>
      <c r="AG2690" s="215" t="n"/>
      <c r="AH2690" s="215" t="n"/>
      <c r="AI2690" s="215" t="n"/>
      <c r="AJ2690" s="215" t="n"/>
      <c r="AK2690" s="216" t="n"/>
    </row>
    <row r="2691" ht="15" customHeight="1">
      <c r="B2691" s="134" t="n"/>
      <c r="C2691" s="105" t="n"/>
      <c r="D2691" s="105" t="n"/>
      <c r="E2691" s="105" t="n"/>
      <c r="F2691" s="105" t="n"/>
      <c r="G2691" s="105" t="n"/>
      <c r="H2691" s="2" t="n"/>
      <c r="I2691" s="105" t="n"/>
      <c r="K2691" s="215" t="n"/>
      <c r="L2691" s="215" t="n"/>
      <c r="M2691" s="215" t="n"/>
      <c r="N2691" s="215" t="n"/>
      <c r="O2691" s="215" t="n"/>
      <c r="P2691" s="215" t="n"/>
      <c r="Q2691" s="215" t="n"/>
      <c r="R2691" s="215" t="n"/>
      <c r="S2691" s="215" t="n"/>
      <c r="T2691" s="215" t="n"/>
      <c r="U2691" s="215" t="n"/>
      <c r="V2691" s="215" t="n"/>
      <c r="W2691" s="215" t="n"/>
      <c r="X2691" s="215" t="n"/>
      <c r="Y2691" s="215" t="n"/>
      <c r="Z2691" s="215" t="n"/>
      <c r="AA2691" s="215" t="n"/>
      <c r="AB2691" s="215" t="n"/>
      <c r="AC2691" s="215" t="n"/>
      <c r="AD2691" s="215" t="n"/>
      <c r="AE2691" s="215" t="n"/>
      <c r="AF2691" s="215" t="n"/>
      <c r="AG2691" s="215" t="n"/>
      <c r="AH2691" s="215" t="n"/>
      <c r="AI2691" s="215" t="n"/>
      <c r="AJ2691" s="215" t="n"/>
      <c r="AK2691" s="216" t="n"/>
    </row>
    <row r="2692" ht="15" customHeight="1">
      <c r="B2692" s="134" t="n"/>
      <c r="C2692" s="105" t="n"/>
      <c r="D2692" s="105" t="n"/>
      <c r="E2692" s="105" t="n"/>
      <c r="F2692" s="105" t="n"/>
      <c r="G2692" s="105" t="n"/>
      <c r="H2692" s="2" t="n"/>
      <c r="I2692" s="105" t="n"/>
      <c r="K2692" s="215" t="n"/>
      <c r="L2692" s="215" t="n"/>
      <c r="M2692" s="215" t="n"/>
      <c r="N2692" s="215" t="n"/>
      <c r="O2692" s="215" t="n"/>
      <c r="P2692" s="215" t="n"/>
      <c r="Q2692" s="215" t="n"/>
      <c r="R2692" s="215" t="n"/>
      <c r="S2692" s="215" t="n"/>
      <c r="T2692" s="215" t="n"/>
      <c r="U2692" s="215" t="n"/>
      <c r="V2692" s="215" t="n"/>
      <c r="W2692" s="215" t="n"/>
      <c r="X2692" s="215" t="n"/>
      <c r="Y2692" s="215" t="n"/>
      <c r="Z2692" s="215" t="n"/>
      <c r="AA2692" s="215" t="n"/>
      <c r="AB2692" s="215" t="n"/>
      <c r="AC2692" s="215" t="n"/>
      <c r="AD2692" s="215" t="n"/>
      <c r="AE2692" s="215" t="n"/>
      <c r="AF2692" s="215" t="n"/>
      <c r="AG2692" s="215" t="n"/>
      <c r="AH2692" s="215" t="n"/>
      <c r="AI2692" s="215" t="n"/>
      <c r="AJ2692" s="215" t="n"/>
      <c r="AK2692" s="216" t="n"/>
    </row>
  </sheetData>
  <autoFilter ref="A2:AK305"/>
  <mergeCells count="11">
    <mergeCell ref="I2:I4"/>
    <mergeCell ref="A2:A4"/>
    <mergeCell ref="C2:C4"/>
    <mergeCell ref="F2:F4"/>
    <mergeCell ref="G2:G4"/>
    <mergeCell ref="AK2:AK4"/>
    <mergeCell ref="H2:H4"/>
    <mergeCell ref="J2:J4"/>
    <mergeCell ref="B2:B4"/>
    <mergeCell ref="D2:D4"/>
    <mergeCell ref="E2:E4"/>
  </mergeCells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7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8" defaultColWidth="19.42578125" defaultRowHeight="15"/>
  <cols>
    <col width="16.85546875" bestFit="1" customWidth="1" min="1" max="1"/>
    <col width="19.42578125" customWidth="1" min="2" max="2"/>
    <col width="6" bestFit="1" customWidth="1" min="3" max="6"/>
    <col width="7.7109375" bestFit="1" customWidth="1" min="7" max="7"/>
    <col width="11.42578125" bestFit="1" customWidth="1" min="8" max="8"/>
    <col width="5" bestFit="1" customWidth="1" min="9" max="9"/>
    <col width="11.85546875" bestFit="1" customWidth="1" min="10" max="10"/>
    <col width="11.42578125" bestFit="1" customWidth="1" min="11" max="11"/>
    <col width="31" bestFit="1" customWidth="1" min="12" max="12"/>
    <col width="6.140625" bestFit="1" customWidth="1" min="13" max="13"/>
    <col width="9" bestFit="1" customWidth="1" min="14" max="15"/>
    <col width="10" bestFit="1" customWidth="1" min="16" max="36"/>
    <col width="10" customWidth="1" min="37" max="37"/>
    <col width="22.28515625" bestFit="1" customWidth="1" min="38" max="38"/>
  </cols>
  <sheetData>
    <row r="1" customFormat="1" s="29">
      <c r="A1" s="30" t="inlineStr">
        <is>
          <t>Not to be deleted</t>
        </is>
      </c>
      <c r="B1" s="31" t="inlineStr">
        <is>
          <t>Current year</t>
        </is>
      </c>
      <c r="C1" s="32" t="n">
        <v>2026</v>
      </c>
      <c r="D1" s="32" t="n"/>
      <c r="E1" s="32" t="n"/>
      <c r="F1" s="32" t="n"/>
      <c r="G1" s="32" t="n"/>
      <c r="H1" s="32" t="n"/>
      <c r="I1" s="30" t="n"/>
      <c r="J1" s="32" t="n"/>
      <c r="K1" s="32" t="n"/>
      <c r="L1" s="32" t="n">
        <v>2001</v>
      </c>
      <c r="M1" s="32" t="n">
        <v>2002</v>
      </c>
      <c r="N1" s="32" t="n">
        <v>2003</v>
      </c>
      <c r="O1" s="32" t="n">
        <v>2004</v>
      </c>
      <c r="P1" s="32" t="n">
        <v>2005</v>
      </c>
      <c r="Q1" s="32" t="n">
        <v>2006</v>
      </c>
      <c r="R1" s="32" t="n">
        <v>2007</v>
      </c>
      <c r="S1" s="32" t="n">
        <v>2008</v>
      </c>
      <c r="T1" s="32" t="n">
        <v>2009</v>
      </c>
      <c r="U1" s="32" t="n">
        <v>2010</v>
      </c>
      <c r="V1" s="32" t="n">
        <v>2011</v>
      </c>
      <c r="W1" s="32" t="n">
        <v>2012</v>
      </c>
      <c r="X1" s="32" t="n">
        <v>2013</v>
      </c>
      <c r="Y1" s="32" t="n">
        <v>2014</v>
      </c>
      <c r="Z1" s="32" t="n">
        <v>2015</v>
      </c>
      <c r="AA1" s="32" t="n">
        <v>2016</v>
      </c>
      <c r="AB1" s="32" t="n">
        <v>2017</v>
      </c>
      <c r="AC1" s="32" t="n">
        <v>2018</v>
      </c>
      <c r="AD1" s="32" t="n">
        <v>2019</v>
      </c>
      <c r="AE1" s="32" t="n">
        <v>2020</v>
      </c>
      <c r="AF1" s="32" t="n">
        <v>2021</v>
      </c>
      <c r="AG1" s="32" t="n">
        <v>2022</v>
      </c>
      <c r="AH1" s="32" t="n">
        <v>2023</v>
      </c>
      <c r="AI1" s="32" t="n">
        <v>2024</v>
      </c>
      <c r="AJ1" s="32" t="n">
        <v>2025</v>
      </c>
      <c r="AK1" s="32" t="n">
        <v>2026</v>
      </c>
      <c r="AL1" s="32" t="n"/>
    </row>
    <row r="2" customFormat="1" s="10">
      <c r="A2" s="172" t="inlineStr">
        <is>
          <t>Contract</t>
        </is>
      </c>
      <c r="B2" s="173" t="inlineStr">
        <is>
          <t>Risk Commencement Date</t>
        </is>
      </c>
      <c r="C2" s="174" t="inlineStr">
        <is>
          <t>FY</t>
        </is>
      </c>
      <c r="D2" s="174" t="inlineStr">
        <is>
          <t>FY</t>
        </is>
      </c>
      <c r="E2" s="174" t="inlineStr">
        <is>
          <t>FY</t>
        </is>
      </c>
      <c r="F2" s="174" t="inlineStr">
        <is>
          <t>FY</t>
        </is>
      </c>
      <c r="G2" s="174" t="inlineStr">
        <is>
          <t>RCD FY</t>
        </is>
      </c>
      <c r="H2" s="172" t="inlineStr">
        <is>
          <t>Paid to date</t>
        </is>
      </c>
      <c r="I2" s="174" t="inlineStr">
        <is>
          <t>FY</t>
        </is>
      </c>
      <c r="J2" s="174" t="inlineStr">
        <is>
          <t>PTD FY Final</t>
        </is>
      </c>
      <c r="K2" s="172" t="inlineStr">
        <is>
          <t>SA</t>
        </is>
      </c>
      <c r="L2" s="181" t="inlineStr">
        <is>
          <t>Bonus % Including Special Bonus</t>
        </is>
      </c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  <c r="AC2" s="181" t="n"/>
      <c r="AD2" s="181" t="n"/>
      <c r="AE2" s="181" t="n"/>
      <c r="AF2" s="181" t="n"/>
      <c r="AG2" s="181" t="n"/>
      <c r="AH2" s="181" t="n"/>
      <c r="AI2" s="181" t="n"/>
      <c r="AJ2" s="181" t="n"/>
      <c r="AK2" s="181" t="n"/>
      <c r="AL2" s="168" t="inlineStr">
        <is>
          <t>Bonus as per calculator</t>
        </is>
      </c>
    </row>
    <row r="3" customFormat="1" s="10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186" t="n"/>
      <c r="L3" s="181" t="inlineStr">
        <is>
          <t>FY01</t>
        </is>
      </c>
      <c r="M3" s="181" t="inlineStr">
        <is>
          <t>FY02</t>
        </is>
      </c>
      <c r="N3" s="181" t="inlineStr">
        <is>
          <t>FY03</t>
        </is>
      </c>
      <c r="O3" s="181" t="inlineStr">
        <is>
          <t>FY04</t>
        </is>
      </c>
      <c r="P3" s="181" t="inlineStr">
        <is>
          <t>FY05</t>
        </is>
      </c>
      <c r="Q3" s="181" t="inlineStr">
        <is>
          <t>FY06</t>
        </is>
      </c>
      <c r="R3" s="181" t="inlineStr">
        <is>
          <t>FY07</t>
        </is>
      </c>
      <c r="S3" s="181" t="inlineStr">
        <is>
          <t>FY08</t>
        </is>
      </c>
      <c r="T3" s="181" t="inlineStr">
        <is>
          <t>FY09</t>
        </is>
      </c>
      <c r="U3" s="181" t="inlineStr">
        <is>
          <t>FY10</t>
        </is>
      </c>
      <c r="V3" s="181" t="inlineStr">
        <is>
          <t>FY11</t>
        </is>
      </c>
      <c r="W3" s="181" t="inlineStr">
        <is>
          <t>FY12</t>
        </is>
      </c>
      <c r="X3" s="181" t="inlineStr">
        <is>
          <t>FY13</t>
        </is>
      </c>
      <c r="Y3" s="181" t="inlineStr">
        <is>
          <t>FY14</t>
        </is>
      </c>
      <c r="Z3" s="181" t="inlineStr">
        <is>
          <t>FY15</t>
        </is>
      </c>
      <c r="AA3" s="181" t="inlineStr">
        <is>
          <t>FY16</t>
        </is>
      </c>
      <c r="AB3" s="181" t="inlineStr">
        <is>
          <t>FY17</t>
        </is>
      </c>
      <c r="AC3" s="181" t="inlineStr">
        <is>
          <t>FY18</t>
        </is>
      </c>
      <c r="AD3" s="181" t="inlineStr">
        <is>
          <t>FY19</t>
        </is>
      </c>
      <c r="AE3" s="181" t="inlineStr">
        <is>
          <t>FY20</t>
        </is>
      </c>
      <c r="AF3" s="181" t="inlineStr">
        <is>
          <t>FY21</t>
        </is>
      </c>
      <c r="AG3" s="181" t="inlineStr">
        <is>
          <t>FY22</t>
        </is>
      </c>
      <c r="AH3" s="181" t="inlineStr">
        <is>
          <t>FY23</t>
        </is>
      </c>
      <c r="AI3" s="181" t="inlineStr">
        <is>
          <t>FY24</t>
        </is>
      </c>
      <c r="AJ3" s="181" t="inlineStr">
        <is>
          <t>FY25</t>
        </is>
      </c>
      <c r="AK3" s="181" t="inlineStr">
        <is>
          <t>FY26</t>
        </is>
      </c>
      <c r="AL3" s="186" t="n"/>
    </row>
    <row r="4" customFormat="1" s="10">
      <c r="A4" s="187" t="n"/>
      <c r="B4" s="187" t="n"/>
      <c r="C4" s="187" t="n"/>
      <c r="D4" s="187" t="n"/>
      <c r="E4" s="187" t="n"/>
      <c r="F4" s="187" t="n"/>
      <c r="G4" s="187" t="n"/>
      <c r="H4" s="187" t="n"/>
      <c r="I4" s="187" t="n"/>
      <c r="J4" s="187" t="n"/>
      <c r="K4" s="187" t="n"/>
      <c r="L4" s="11" t="n">
        <v>0</v>
      </c>
      <c r="M4" s="11" t="n">
        <v>0.03</v>
      </c>
      <c r="N4" s="11" t="n">
        <v>0.035</v>
      </c>
      <c r="O4" s="11" t="n">
        <v>0.03</v>
      </c>
      <c r="P4" s="11" t="n">
        <v>0.0275</v>
      </c>
      <c r="Q4" s="12" t="n">
        <v>0.03</v>
      </c>
      <c r="R4" s="12" t="n">
        <v>0.03</v>
      </c>
      <c r="S4" s="12" t="n">
        <v>0.03</v>
      </c>
      <c r="T4" s="12" t="n">
        <v>0.026</v>
      </c>
      <c r="U4" s="12" t="n">
        <v>0.026</v>
      </c>
      <c r="V4" s="12" t="n">
        <v>0.026</v>
      </c>
      <c r="W4" s="12" t="n">
        <v>0.023</v>
      </c>
      <c r="X4" s="12" t="n">
        <v>0.023</v>
      </c>
      <c r="Y4" s="12" t="n">
        <v>0.023</v>
      </c>
      <c r="Z4" s="12" t="n">
        <v>0.021</v>
      </c>
      <c r="AA4" s="12" t="n">
        <v>0.04</v>
      </c>
      <c r="AB4" s="12" t="n">
        <v>0.04</v>
      </c>
      <c r="AC4" s="12" t="n">
        <v>0.04</v>
      </c>
      <c r="AD4" s="12" t="n">
        <v>0.04</v>
      </c>
      <c r="AE4" s="12" t="n">
        <v>0.04</v>
      </c>
      <c r="AF4" s="12" t="n">
        <v>0.04</v>
      </c>
      <c r="AG4" s="12" t="n">
        <v>0.04</v>
      </c>
      <c r="AH4" s="12" t="n">
        <v>0.04</v>
      </c>
      <c r="AI4" s="12" t="n">
        <v>0.036</v>
      </c>
      <c r="AJ4" s="12" t="n">
        <v>0.034</v>
      </c>
      <c r="AK4" s="12" t="n">
        <v>0.034</v>
      </c>
      <c r="AL4" s="187" t="n"/>
    </row>
    <row r="5">
      <c r="A5" s="121" t="inlineStr">
        <is>
          <t>test1018255</t>
        </is>
      </c>
      <c r="B5" s="122">
        <f>VLOOKUP(A5,'MAINCPF CPH DEP SEP END RBC CSR'!A:AF,32,0)</f>
        <v/>
      </c>
      <c r="C5" s="4">
        <f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/>
      </c>
      <c r="D5" s="4">
        <f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/>
      </c>
      <c r="E5" s="4">
        <f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/>
      </c>
      <c r="F5" s="4">
        <f>+IF(AND(B5&gt;=DATE(2016,4,1),B5&lt;=DATE(2017,3,31)),"2017",IF(AND(B5&gt;=DATE(2017,4,1),B5&lt;=DATE(2018,3,31)),"2018"))</f>
        <v/>
      </c>
      <c r="G5" s="4">
        <f>+C5+D5+E5+F5</f>
        <v/>
      </c>
      <c r="H5" s="122">
        <f>VLOOKUP(A5,'MAINCPF CPH DEP SEP END RBC CSR'!A:AG,33,0)</f>
        <v/>
      </c>
      <c r="I5" s="4">
        <f>IF(H5="","",IF(MONTH($H5)&lt;=3,YEAR($H5)-1,YEAR($H5)))</f>
        <v/>
      </c>
      <c r="J5" s="4">
        <f>IF(H5="","",IF($I5+5=$C$1,$C$1,$I5))</f>
        <v/>
      </c>
      <c r="K5" s="8">
        <f>VLOOKUP(A5,'MAINCPF CPH DEP SEP END RBC CSR'!A:AT,46,0)</f>
        <v/>
      </c>
      <c r="L5" s="213">
        <f>IF(AND($G5&lt;=L$1,$J5&gt;=L$1),SUM($K5:K5)*L$4," ")</f>
        <v/>
      </c>
      <c r="M5" s="213">
        <f>IF(AND($G5&lt;=M$1,$J5&gt;=M$1),SUM($K5:L5)*M$4," ")</f>
        <v/>
      </c>
      <c r="N5" s="213">
        <f>IF(AND($G5&lt;=N$1,$J5&gt;=N$1),SUM($K5:M5)*N$4," ")</f>
        <v/>
      </c>
      <c r="O5" s="213">
        <f>IF(AND($G5&lt;=O$1,$J5&gt;=O$1),SUM($K5:N5)*O$4," ")</f>
        <v/>
      </c>
      <c r="P5" s="213">
        <f>IF(AND($G5&lt;=P$1,$J5&gt;=P$1),SUM($K5:O5)*P$4," ")</f>
        <v/>
      </c>
      <c r="Q5" s="213">
        <f>IF(AND($G5&lt;=Q$1,$J5&gt;=Q$1),SUM($K5:P5)*Q$4," ")</f>
        <v/>
      </c>
      <c r="R5" s="213">
        <f>IF(AND($G5&lt;=R$1,$J5&gt;=R$1),SUM($K5:Q5)*R$4," ")</f>
        <v/>
      </c>
      <c r="S5" s="213">
        <f>IF(AND($G5&lt;=S$1,$J5&gt;=S$1),SUM($K5:R5)*S$4," ")</f>
        <v/>
      </c>
      <c r="T5" s="213">
        <f>IF(AND($G5&lt;=T$1,$J5&gt;=T$1),SUM($K5:S5)*T$4," ")</f>
        <v/>
      </c>
      <c r="U5" s="213">
        <f>IF(AND($G5&lt;=U$1,$J5&gt;=U$1),SUM($K5:T5)*U$4," ")</f>
        <v/>
      </c>
      <c r="V5" s="213">
        <f>IF(AND($G5&lt;=V$1,$J5&gt;=V$1),SUM($K5:U5)*V$4," ")</f>
        <v/>
      </c>
      <c r="W5" s="213">
        <f>IF(AND($G5&lt;=W$1,$J5&gt;=W$1),SUM($K5:V5)*W$4," ")</f>
        <v/>
      </c>
      <c r="X5" s="213">
        <f>IF(AND($G5&lt;=X$1,$J5&gt;=X$1),SUM($K5:W5)*X$4," ")</f>
        <v/>
      </c>
      <c r="Y5" s="213">
        <f>IF(AND($G5&lt;=Y$1,$J5&gt;=Y$1),SUM($K5:X5)*Y$4," ")</f>
        <v/>
      </c>
      <c r="Z5" s="213">
        <f>IF(AND($G5&lt;=Z$1,$J5&gt;=Z$1),SUM($K5:Y5)*Z$4," ")</f>
        <v/>
      </c>
      <c r="AA5" s="213">
        <f>IF(AND($G5&lt;=AA$1,$J5&gt;=AA$1),SUM($K5:Z5)*AA$4," ")</f>
        <v/>
      </c>
      <c r="AB5" s="213">
        <f>IF(AND($G5&lt;=AB$1,$J5&gt;=AB$1),SUM($K5:AA5)*AB$4," ")</f>
        <v/>
      </c>
      <c r="AC5" s="213">
        <f>IF(AND($G5&lt;=AC$1,$J5&gt;=AC$1),SUM($K5:AB5)*AC$4," ")</f>
        <v/>
      </c>
      <c r="AD5" s="213">
        <f>IF(AND($G5&lt;=AD$1,$J5&gt;=AD$1),SUM($K5:AC5)*AD$4," ")</f>
        <v/>
      </c>
      <c r="AE5" s="213">
        <f>IF(AND($G5&lt;=AE$1,$J5&gt;=AE$1),SUM($K5:AD5)*AE$4," ")</f>
        <v/>
      </c>
      <c r="AF5" s="213">
        <f>IF(AND($G5&lt;=AF$1,$J5&gt;=AF$1),SUM($K5:AE5)*AF$4," ")</f>
        <v/>
      </c>
      <c r="AG5" s="213">
        <f>IF(AND($G5&lt;=AG$1,$J5&gt;=AG$1),SUM($K5:AF5)*AG$4," ")</f>
        <v/>
      </c>
      <c r="AH5" s="213">
        <f>IF(AND($G5&lt;=AH$1,$J5&gt;=AH$1),SUM($K5:AG5)*AH$4," ")</f>
        <v/>
      </c>
      <c r="AI5" s="213">
        <f>IF(AND($G5&lt;=AI$1,$J5&gt;=AI$1),SUM($K5:AH5)*AI$4," ")</f>
        <v/>
      </c>
      <c r="AJ5" s="213">
        <f>IF(AND($G5&lt;=AJ$1,$J5&gt;=AJ$1),SUM($K5:AI5)*AJ$4," ")</f>
        <v/>
      </c>
      <c r="AK5" s="213">
        <f>IF(AND($G5&lt;=AK$1,$J5&gt;=AK$1),SUM($K5:AJ5)*AK$4," ")</f>
        <v/>
      </c>
      <c r="AL5" s="214">
        <f>+SUM(L5:AK5)</f>
        <v/>
      </c>
    </row>
    <row r="6">
      <c r="B6" s="2" t="n"/>
      <c r="C6" s="105" t="n"/>
      <c r="D6" s="105" t="n"/>
      <c r="E6" s="105" t="n"/>
      <c r="F6" s="105" t="n"/>
      <c r="G6" s="105" t="n"/>
      <c r="H6" s="2" t="n"/>
      <c r="I6" s="105" t="n"/>
      <c r="J6" s="105" t="n"/>
      <c r="L6" s="215" t="n"/>
      <c r="M6" s="215" t="n"/>
      <c r="N6" s="215" t="n"/>
      <c r="O6" s="215" t="n"/>
      <c r="P6" s="215" t="n"/>
      <c r="Q6" s="215" t="n"/>
      <c r="R6" s="215" t="n"/>
      <c r="S6" s="215" t="n"/>
      <c r="T6" s="215" t="n"/>
      <c r="U6" s="215" t="n"/>
      <c r="V6" s="215" t="n"/>
      <c r="W6" s="215" t="n"/>
      <c r="X6" s="215" t="n"/>
      <c r="Y6" s="215" t="n"/>
      <c r="Z6" s="215" t="n"/>
      <c r="AA6" s="215" t="n"/>
      <c r="AB6" s="215" t="n"/>
      <c r="AC6" s="215" t="n"/>
      <c r="AD6" s="215" t="n"/>
      <c r="AE6" s="215" t="n"/>
      <c r="AF6" s="215" t="n"/>
      <c r="AG6" s="215" t="n"/>
      <c r="AH6" s="215" t="n"/>
      <c r="AI6" s="215" t="n"/>
      <c r="AJ6" s="215" t="n"/>
      <c r="AK6" s="215" t="n"/>
      <c r="AL6" s="216" t="n"/>
    </row>
    <row r="7">
      <c r="B7" s="2" t="n"/>
      <c r="C7" s="105" t="n"/>
      <c r="D7" s="105" t="n"/>
      <c r="E7" s="105" t="n"/>
      <c r="F7" s="105" t="n"/>
      <c r="G7" s="105" t="n"/>
      <c r="H7" s="2" t="n"/>
      <c r="I7" s="105" t="n"/>
      <c r="J7" s="10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5" t="n"/>
      <c r="AB7" s="215" t="n"/>
      <c r="AC7" s="215" t="n"/>
      <c r="AD7" s="215" t="n"/>
      <c r="AE7" s="215" t="n"/>
      <c r="AF7" s="215" t="n"/>
      <c r="AG7" s="215" t="n"/>
      <c r="AH7" s="215" t="n"/>
      <c r="AI7" s="215" t="n"/>
      <c r="AJ7" s="215" t="n"/>
      <c r="AK7" s="215" t="n"/>
      <c r="AL7" s="216" t="n"/>
    </row>
    <row r="8">
      <c r="B8" s="2" t="n"/>
      <c r="C8" s="105" t="n"/>
      <c r="D8" s="105" t="n"/>
      <c r="E8" s="105" t="n"/>
      <c r="F8" s="105" t="n"/>
      <c r="G8" s="105" t="n"/>
      <c r="H8" s="2" t="n"/>
      <c r="I8" s="105" t="n"/>
      <c r="J8" s="105" t="n"/>
      <c r="L8" s="215" t="n"/>
      <c r="M8" s="215" t="n"/>
      <c r="N8" s="215" t="n"/>
      <c r="O8" s="215" t="n"/>
      <c r="P8" s="215" t="n"/>
      <c r="Q8" s="215" t="n"/>
      <c r="R8" s="215" t="n"/>
      <c r="S8" s="215" t="n"/>
      <c r="T8" s="215" t="n"/>
      <c r="U8" s="215" t="n"/>
      <c r="V8" s="215" t="n"/>
      <c r="W8" s="215" t="n"/>
      <c r="X8" s="215" t="n"/>
      <c r="Y8" s="215" t="n"/>
      <c r="Z8" s="215" t="n"/>
      <c r="AA8" s="215" t="n"/>
      <c r="AB8" s="215" t="n"/>
      <c r="AC8" s="215" t="n"/>
      <c r="AD8" s="215" t="n"/>
      <c r="AE8" s="215" t="n"/>
      <c r="AF8" s="215" t="n"/>
      <c r="AG8" s="215" t="n"/>
      <c r="AH8" s="215" t="n"/>
      <c r="AI8" s="215" t="n"/>
      <c r="AJ8" s="215" t="n"/>
      <c r="AK8" s="215" t="n"/>
      <c r="AL8" s="216" t="n"/>
    </row>
    <row r="9">
      <c r="B9" s="2" t="n"/>
      <c r="C9" s="105" t="n"/>
      <c r="D9" s="105" t="n"/>
      <c r="E9" s="105" t="n"/>
      <c r="F9" s="105" t="n"/>
      <c r="G9" s="105" t="n"/>
      <c r="H9" s="2" t="n"/>
      <c r="I9" s="105" t="n"/>
      <c r="J9" s="10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216" t="n"/>
    </row>
    <row r="10">
      <c r="B10" s="2" t="n"/>
      <c r="C10" s="105" t="n"/>
      <c r="D10" s="105" t="n"/>
      <c r="E10" s="105" t="n"/>
      <c r="F10" s="105" t="n"/>
      <c r="G10" s="105" t="n"/>
      <c r="H10" s="2" t="n"/>
      <c r="I10" s="105" t="n"/>
      <c r="J10" s="105" t="n"/>
      <c r="L10" s="215" t="n"/>
      <c r="M10" s="215" t="n"/>
      <c r="N10" s="215" t="n"/>
      <c r="O10" s="215" t="n"/>
      <c r="P10" s="215" t="n"/>
      <c r="Q10" s="215" t="n"/>
      <c r="R10" s="215" t="n"/>
      <c r="S10" s="215" t="n"/>
      <c r="T10" s="215" t="n"/>
      <c r="U10" s="215" t="n"/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215" t="n"/>
      <c r="AJ10" s="215" t="n"/>
      <c r="AK10" s="215" t="n"/>
      <c r="AL10" s="216" t="n"/>
    </row>
    <row r="11">
      <c r="B11" s="2" t="n"/>
      <c r="C11" s="105" t="n"/>
      <c r="D11" s="105" t="n"/>
      <c r="E11" s="105" t="n"/>
      <c r="F11" s="105" t="n"/>
      <c r="G11" s="105" t="n"/>
      <c r="H11" s="2" t="n"/>
      <c r="I11" s="105" t="n"/>
      <c r="J11" s="105" t="n"/>
      <c r="L11" s="215" t="n"/>
      <c r="M11" s="215" t="n"/>
      <c r="N11" s="215" t="n"/>
      <c r="O11" s="215" t="n"/>
      <c r="P11" s="215" t="n"/>
      <c r="Q11" s="215" t="n"/>
      <c r="R11" s="215" t="n"/>
      <c r="S11" s="215" t="n"/>
      <c r="T11" s="215" t="n"/>
      <c r="U11" s="215" t="n"/>
      <c r="V11" s="215" t="n"/>
      <c r="W11" s="215" t="n"/>
      <c r="X11" s="215" t="n"/>
      <c r="Y11" s="215" t="n"/>
      <c r="Z11" s="215" t="n"/>
      <c r="AA11" s="215" t="n"/>
      <c r="AB11" s="215" t="n"/>
      <c r="AC11" s="215" t="n"/>
      <c r="AD11" s="215" t="n"/>
      <c r="AE11" s="215" t="n"/>
      <c r="AF11" s="215" t="n"/>
      <c r="AG11" s="215" t="n"/>
      <c r="AH11" s="215" t="n"/>
      <c r="AI11" s="215" t="n"/>
      <c r="AJ11" s="215" t="n"/>
      <c r="AK11" s="215" t="n"/>
      <c r="AL11" s="216" t="n"/>
    </row>
    <row r="12">
      <c r="B12" s="2" t="n"/>
      <c r="C12" s="105" t="n"/>
      <c r="D12" s="105" t="n"/>
      <c r="E12" s="105" t="n"/>
      <c r="F12" s="105" t="n"/>
      <c r="G12" s="105" t="n"/>
      <c r="H12" s="2" t="n"/>
      <c r="I12" s="105" t="n"/>
      <c r="J12" s="105" t="n"/>
      <c r="L12" s="215" t="n"/>
      <c r="M12" s="215" t="n"/>
      <c r="N12" s="215" t="n"/>
      <c r="O12" s="215" t="n"/>
      <c r="P12" s="215" t="n"/>
      <c r="Q12" s="215" t="n"/>
      <c r="R12" s="215" t="n"/>
      <c r="S12" s="215" t="n"/>
      <c r="T12" s="215" t="n"/>
      <c r="U12" s="215" t="n"/>
      <c r="V12" s="215" t="n"/>
      <c r="W12" s="215" t="n"/>
      <c r="X12" s="215" t="n"/>
      <c r="Y12" s="215" t="n"/>
      <c r="Z12" s="215" t="n"/>
      <c r="AA12" s="215" t="n"/>
      <c r="AB12" s="215" t="n"/>
      <c r="AC12" s="215" t="n"/>
      <c r="AD12" s="215" t="n"/>
      <c r="AE12" s="215" t="n"/>
      <c r="AF12" s="215" t="n"/>
      <c r="AG12" s="215" t="n"/>
      <c r="AH12" s="215" t="n"/>
      <c r="AI12" s="215" t="n"/>
      <c r="AJ12" s="215" t="n"/>
      <c r="AK12" s="215" t="n"/>
      <c r="AL12" s="216" t="n"/>
    </row>
    <row r="13">
      <c r="B13" s="2" t="n"/>
      <c r="C13" s="105" t="n"/>
      <c r="D13" s="105" t="n"/>
      <c r="E13" s="105" t="n"/>
      <c r="F13" s="105" t="n"/>
      <c r="G13" s="105" t="n"/>
      <c r="H13" s="2" t="n"/>
      <c r="I13" s="105" t="n"/>
      <c r="J13" s="105" t="n"/>
      <c r="L13" s="215" t="n"/>
      <c r="M13" s="215" t="n"/>
      <c r="N13" s="215" t="n"/>
      <c r="O13" s="215" t="n"/>
      <c r="P13" s="215" t="n"/>
      <c r="Q13" s="215" t="n"/>
      <c r="R13" s="215" t="n"/>
      <c r="S13" s="215" t="n"/>
      <c r="T13" s="215" t="n"/>
      <c r="U13" s="215" t="n"/>
      <c r="V13" s="215" t="n"/>
      <c r="W13" s="215" t="n"/>
      <c r="X13" s="215" t="n"/>
      <c r="Y13" s="215" t="n"/>
      <c r="Z13" s="215" t="n"/>
      <c r="AA13" s="215" t="n"/>
      <c r="AB13" s="215" t="n"/>
      <c r="AC13" s="215" t="n"/>
      <c r="AD13" s="215" t="n"/>
      <c r="AE13" s="215" t="n"/>
      <c r="AF13" s="215" t="n"/>
      <c r="AG13" s="215" t="n"/>
      <c r="AH13" s="215" t="n"/>
      <c r="AI13" s="215" t="n"/>
      <c r="AJ13" s="215" t="n"/>
      <c r="AK13" s="215" t="n"/>
      <c r="AL13" s="216" t="n"/>
    </row>
    <row r="14">
      <c r="B14" s="2" t="n"/>
      <c r="C14" s="105" t="n"/>
      <c r="D14" s="105" t="n"/>
      <c r="E14" s="105" t="n"/>
      <c r="F14" s="105" t="n"/>
      <c r="G14" s="105" t="n"/>
      <c r="H14" s="2" t="n"/>
      <c r="I14" s="105" t="n"/>
      <c r="J14" s="105" t="n"/>
      <c r="L14" s="215" t="n"/>
      <c r="M14" s="215" t="n"/>
      <c r="N14" s="215" t="n"/>
      <c r="O14" s="215" t="n"/>
      <c r="P14" s="215" t="n"/>
      <c r="Q14" s="215" t="n"/>
      <c r="R14" s="215" t="n"/>
      <c r="S14" s="215" t="n"/>
      <c r="T14" s="215" t="n"/>
      <c r="U14" s="215" t="n"/>
      <c r="V14" s="215" t="n"/>
      <c r="W14" s="215" t="n"/>
      <c r="X14" s="215" t="n"/>
      <c r="Y14" s="215" t="n"/>
      <c r="Z14" s="215" t="n"/>
      <c r="AA14" s="215" t="n"/>
      <c r="AB14" s="215" t="n"/>
      <c r="AC14" s="215" t="n"/>
      <c r="AD14" s="215" t="n"/>
      <c r="AE14" s="215" t="n"/>
      <c r="AF14" s="215" t="n"/>
      <c r="AG14" s="215" t="n"/>
      <c r="AH14" s="215" t="n"/>
      <c r="AI14" s="215" t="n"/>
      <c r="AJ14" s="215" t="n"/>
      <c r="AK14" s="215" t="n"/>
      <c r="AL14" s="216" t="n"/>
    </row>
    <row r="15">
      <c r="B15" s="2" t="n"/>
      <c r="C15" s="105" t="n"/>
      <c r="D15" s="105" t="n"/>
      <c r="E15" s="105" t="n"/>
      <c r="F15" s="105" t="n"/>
      <c r="G15" s="105" t="n"/>
      <c r="H15" s="2" t="n"/>
      <c r="I15" s="105" t="n"/>
      <c r="J15" s="105" t="n"/>
      <c r="L15" s="215" t="n"/>
      <c r="M15" s="215" t="n"/>
      <c r="N15" s="215" t="n"/>
      <c r="O15" s="215" t="n"/>
      <c r="P15" s="215" t="n"/>
      <c r="Q15" s="215" t="n"/>
      <c r="R15" s="215" t="n"/>
      <c r="S15" s="215" t="n"/>
      <c r="T15" s="215" t="n"/>
      <c r="U15" s="215" t="n"/>
      <c r="V15" s="215" t="n"/>
      <c r="W15" s="215" t="n"/>
      <c r="X15" s="215" t="n"/>
      <c r="Y15" s="215" t="n"/>
      <c r="Z15" s="215" t="n"/>
      <c r="AA15" s="215" t="n"/>
      <c r="AB15" s="215" t="n"/>
      <c r="AC15" s="215" t="n"/>
      <c r="AD15" s="215" t="n"/>
      <c r="AE15" s="215" t="n"/>
      <c r="AF15" s="215" t="n"/>
      <c r="AG15" s="215" t="n"/>
      <c r="AH15" s="215" t="n"/>
      <c r="AI15" s="215" t="n"/>
      <c r="AJ15" s="215" t="n"/>
      <c r="AK15" s="215" t="n"/>
      <c r="AL15" s="216" t="n"/>
    </row>
    <row r="16">
      <c r="B16" s="2" t="n"/>
      <c r="C16" s="105" t="n"/>
      <c r="D16" s="105" t="n"/>
      <c r="E16" s="105" t="n"/>
      <c r="F16" s="105" t="n"/>
      <c r="G16" s="105" t="n"/>
      <c r="H16" s="2" t="n"/>
      <c r="I16" s="105" t="n"/>
      <c r="J16" s="105" t="n"/>
      <c r="L16" s="215" t="n"/>
      <c r="M16" s="215" t="n"/>
      <c r="N16" s="215" t="n"/>
      <c r="O16" s="215" t="n"/>
      <c r="P16" s="215" t="n"/>
      <c r="Q16" s="215" t="n"/>
      <c r="R16" s="215" t="n"/>
      <c r="S16" s="215" t="n"/>
      <c r="T16" s="215" t="n"/>
      <c r="U16" s="215" t="n"/>
      <c r="V16" s="215" t="n"/>
      <c r="W16" s="215" t="n"/>
      <c r="X16" s="215" t="n"/>
      <c r="Y16" s="215" t="n"/>
      <c r="Z16" s="215" t="n"/>
      <c r="AA16" s="215" t="n"/>
      <c r="AB16" s="215" t="n"/>
      <c r="AC16" s="215" t="n"/>
      <c r="AD16" s="215" t="n"/>
      <c r="AE16" s="215" t="n"/>
      <c r="AF16" s="215" t="n"/>
      <c r="AG16" s="215" t="n"/>
      <c r="AH16" s="215" t="n"/>
      <c r="AI16" s="215" t="n"/>
      <c r="AJ16" s="215" t="n"/>
      <c r="AK16" s="215" t="n"/>
      <c r="AL16" s="216" t="n"/>
    </row>
    <row r="17">
      <c r="B17" s="2" t="n"/>
      <c r="C17" s="105" t="n"/>
      <c r="D17" s="105" t="n"/>
      <c r="E17" s="105" t="n"/>
      <c r="F17" s="105" t="n"/>
      <c r="G17" s="105" t="n"/>
      <c r="H17" s="2" t="n"/>
      <c r="I17" s="105" t="n"/>
      <c r="J17" s="105" t="n"/>
      <c r="L17" s="215" t="n"/>
      <c r="M17" s="215" t="n"/>
      <c r="N17" s="215" t="n"/>
      <c r="O17" s="215" t="n"/>
      <c r="P17" s="215" t="n"/>
      <c r="Q17" s="215" t="n"/>
      <c r="R17" s="215" t="n"/>
      <c r="S17" s="215" t="n"/>
      <c r="T17" s="215" t="n"/>
      <c r="U17" s="215" t="n"/>
      <c r="V17" s="215" t="n"/>
      <c r="W17" s="215" t="n"/>
      <c r="X17" s="215" t="n"/>
      <c r="Y17" s="215" t="n"/>
      <c r="Z17" s="215" t="n"/>
      <c r="AA17" s="215" t="n"/>
      <c r="AB17" s="215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>
      <c r="B18" s="2" t="n"/>
      <c r="C18" s="105" t="n"/>
      <c r="D18" s="105" t="n"/>
      <c r="E18" s="105" t="n"/>
      <c r="F18" s="105" t="n"/>
      <c r="G18" s="105" t="n"/>
      <c r="H18" s="2" t="n"/>
      <c r="I18" s="105" t="n"/>
      <c r="J18" s="105" t="n"/>
      <c r="L18" s="215" t="n"/>
      <c r="M18" s="215" t="n"/>
      <c r="N18" s="215" t="n"/>
      <c r="O18" s="215" t="n"/>
      <c r="P18" s="215" t="n"/>
      <c r="Q18" s="215" t="n"/>
      <c r="R18" s="215" t="n"/>
      <c r="S18" s="215" t="n"/>
      <c r="T18" s="215" t="n"/>
      <c r="U18" s="215" t="n"/>
      <c r="V18" s="215" t="n"/>
      <c r="W18" s="215" t="n"/>
      <c r="X18" s="215" t="n"/>
      <c r="Y18" s="215" t="n"/>
      <c r="Z18" s="215" t="n"/>
      <c r="AA18" s="215" t="n"/>
      <c r="AB18" s="215" t="n"/>
      <c r="AC18" s="215" t="n"/>
      <c r="AD18" s="215" t="n"/>
      <c r="AE18" s="215" t="n"/>
      <c r="AF18" s="215" t="n"/>
      <c r="AG18" s="215" t="n"/>
      <c r="AH18" s="215" t="n"/>
      <c r="AI18" s="215" t="n"/>
      <c r="AJ18" s="215" t="n"/>
      <c r="AK18" s="215" t="n"/>
      <c r="AL18" s="216" t="n"/>
    </row>
    <row r="19">
      <c r="B19" s="2" t="n"/>
      <c r="C19" s="105" t="n"/>
      <c r="D19" s="105" t="n"/>
      <c r="E19" s="105" t="n"/>
      <c r="F19" s="105" t="n"/>
      <c r="G19" s="105" t="n"/>
      <c r="H19" s="2" t="n"/>
      <c r="I19" s="105" t="n"/>
      <c r="J19" s="105" t="n"/>
      <c r="L19" s="215" t="n"/>
      <c r="M19" s="215" t="n"/>
      <c r="N19" s="215" t="n"/>
      <c r="O19" s="215" t="n"/>
      <c r="P19" s="215" t="n"/>
      <c r="Q19" s="215" t="n"/>
      <c r="R19" s="215" t="n"/>
      <c r="S19" s="215" t="n"/>
      <c r="T19" s="215" t="n"/>
      <c r="U19" s="215" t="n"/>
      <c r="V19" s="215" t="n"/>
      <c r="W19" s="215" t="n"/>
      <c r="X19" s="215" t="n"/>
      <c r="Y19" s="215" t="n"/>
      <c r="Z19" s="215" t="n"/>
      <c r="AA19" s="215" t="n"/>
      <c r="AB19" s="215" t="n"/>
      <c r="AC19" s="215" t="n"/>
      <c r="AD19" s="215" t="n"/>
      <c r="AE19" s="215" t="n"/>
      <c r="AF19" s="215" t="n"/>
      <c r="AG19" s="215" t="n"/>
      <c r="AH19" s="215" t="n"/>
      <c r="AI19" s="215" t="n"/>
      <c r="AJ19" s="215" t="n"/>
      <c r="AK19" s="215" t="n"/>
      <c r="AL19" s="216" t="n"/>
    </row>
    <row r="20">
      <c r="B20" s="2" t="n"/>
      <c r="C20" s="105" t="n"/>
      <c r="D20" s="105" t="n"/>
      <c r="E20" s="105" t="n"/>
      <c r="F20" s="105" t="n"/>
      <c r="G20" s="105" t="n"/>
      <c r="H20" s="2" t="n"/>
      <c r="I20" s="105" t="n"/>
      <c r="J20" s="105" t="n"/>
      <c r="L20" s="215" t="n"/>
      <c r="M20" s="215" t="n"/>
      <c r="N20" s="215" t="n"/>
      <c r="O20" s="215" t="n"/>
      <c r="P20" s="215" t="n"/>
      <c r="Q20" s="215" t="n"/>
      <c r="R20" s="215" t="n"/>
      <c r="S20" s="215" t="n"/>
      <c r="T20" s="215" t="n"/>
      <c r="U20" s="215" t="n"/>
      <c r="V20" s="215" t="n"/>
      <c r="W20" s="215" t="n"/>
      <c r="X20" s="215" t="n"/>
      <c r="Y20" s="215" t="n"/>
      <c r="Z20" s="215" t="n"/>
      <c r="AA20" s="215" t="n"/>
      <c r="AB20" s="215" t="n"/>
      <c r="AC20" s="215" t="n"/>
      <c r="AD20" s="215" t="n"/>
      <c r="AE20" s="215" t="n"/>
      <c r="AF20" s="215" t="n"/>
      <c r="AG20" s="215" t="n"/>
      <c r="AH20" s="215" t="n"/>
      <c r="AI20" s="215" t="n"/>
      <c r="AJ20" s="215" t="n"/>
      <c r="AK20" s="215" t="n"/>
      <c r="AL20" s="216" t="n"/>
    </row>
    <row r="21">
      <c r="B21" s="2" t="n"/>
      <c r="C21" s="105" t="n"/>
      <c r="D21" s="105" t="n"/>
      <c r="E21" s="105" t="n"/>
      <c r="F21" s="105" t="n"/>
      <c r="G21" s="105" t="n"/>
      <c r="H21" s="2" t="n"/>
      <c r="I21" s="105" t="n"/>
      <c r="J21" s="105" t="n"/>
      <c r="L21" s="215" t="n"/>
      <c r="M21" s="215" t="n"/>
      <c r="N21" s="215" t="n"/>
      <c r="O21" s="215" t="n"/>
      <c r="P21" s="215" t="n"/>
      <c r="Q21" s="215" t="n"/>
      <c r="R21" s="215" t="n"/>
      <c r="S21" s="215" t="n"/>
      <c r="T21" s="215" t="n"/>
      <c r="U21" s="215" t="n"/>
      <c r="V21" s="215" t="n"/>
      <c r="W21" s="215" t="n"/>
      <c r="X21" s="215" t="n"/>
      <c r="Y21" s="215" t="n"/>
      <c r="Z21" s="215" t="n"/>
      <c r="AA21" s="215" t="n"/>
      <c r="AB21" s="215" t="n"/>
      <c r="AC21" s="215" t="n"/>
      <c r="AD21" s="215" t="n"/>
      <c r="AE21" s="215" t="n"/>
      <c r="AF21" s="215" t="n"/>
      <c r="AG21" s="215" t="n"/>
      <c r="AH21" s="215" t="n"/>
      <c r="AI21" s="215" t="n"/>
      <c r="AJ21" s="215" t="n"/>
      <c r="AK21" s="215" t="n"/>
      <c r="AL21" s="216" t="n"/>
    </row>
    <row r="22">
      <c r="B22" s="2" t="n"/>
      <c r="C22" s="105" t="n"/>
      <c r="D22" s="105" t="n"/>
      <c r="E22" s="105" t="n"/>
      <c r="F22" s="105" t="n"/>
      <c r="G22" s="105" t="n"/>
      <c r="H22" s="2" t="n"/>
      <c r="I22" s="105" t="n"/>
      <c r="J22" s="105" t="n"/>
      <c r="L22" s="215" t="n"/>
      <c r="M22" s="215" t="n"/>
      <c r="N22" s="215" t="n"/>
      <c r="O22" s="215" t="n"/>
      <c r="P22" s="215" t="n"/>
      <c r="Q22" s="215" t="n"/>
      <c r="R22" s="215" t="n"/>
      <c r="S22" s="215" t="n"/>
      <c r="T22" s="215" t="n"/>
      <c r="U22" s="215" t="n"/>
      <c r="V22" s="215" t="n"/>
      <c r="W22" s="215" t="n"/>
      <c r="X22" s="215" t="n"/>
      <c r="Y22" s="215" t="n"/>
      <c r="Z22" s="215" t="n"/>
      <c r="AA22" s="215" t="n"/>
      <c r="AB22" s="215" t="n"/>
      <c r="AC22" s="215" t="n"/>
      <c r="AD22" s="215" t="n"/>
      <c r="AE22" s="215" t="n"/>
      <c r="AF22" s="215" t="n"/>
      <c r="AG22" s="215" t="n"/>
      <c r="AH22" s="215" t="n"/>
      <c r="AI22" s="215" t="n"/>
      <c r="AJ22" s="215" t="n"/>
      <c r="AK22" s="215" t="n"/>
      <c r="AL22" s="216" t="n"/>
    </row>
    <row r="23">
      <c r="B23" s="2" t="n"/>
      <c r="C23" s="105" t="n"/>
      <c r="D23" s="105" t="n"/>
      <c r="E23" s="105" t="n"/>
      <c r="F23" s="105" t="n"/>
      <c r="G23" s="105" t="n"/>
      <c r="H23" s="2" t="n"/>
      <c r="I23" s="105" t="n"/>
      <c r="J23" s="105" t="n"/>
      <c r="L23" s="215" t="n"/>
      <c r="M23" s="215" t="n"/>
      <c r="N23" s="215" t="n"/>
      <c r="O23" s="215" t="n"/>
      <c r="P23" s="215" t="n"/>
      <c r="Q23" s="215" t="n"/>
      <c r="R23" s="215" t="n"/>
      <c r="S23" s="215" t="n"/>
      <c r="T23" s="215" t="n"/>
      <c r="U23" s="215" t="n"/>
      <c r="V23" s="215" t="n"/>
      <c r="W23" s="215" t="n"/>
      <c r="X23" s="215" t="n"/>
      <c r="Y23" s="215" t="n"/>
      <c r="Z23" s="215" t="n"/>
      <c r="AA23" s="215" t="n"/>
      <c r="AB23" s="215" t="n"/>
      <c r="AC23" s="215" t="n"/>
      <c r="AD23" s="215" t="n"/>
      <c r="AE23" s="215" t="n"/>
      <c r="AF23" s="215" t="n"/>
      <c r="AG23" s="215" t="n"/>
      <c r="AH23" s="215" t="n"/>
      <c r="AI23" s="215" t="n"/>
      <c r="AJ23" s="215" t="n"/>
      <c r="AK23" s="215" t="n"/>
      <c r="AL23" s="216" t="n"/>
    </row>
    <row r="24">
      <c r="B24" s="2" t="n"/>
      <c r="C24" s="105" t="n"/>
      <c r="D24" s="105" t="n"/>
      <c r="E24" s="105" t="n"/>
      <c r="F24" s="105" t="n"/>
      <c r="G24" s="105" t="n"/>
      <c r="H24" s="2" t="n"/>
      <c r="I24" s="105" t="n"/>
      <c r="J24" s="10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5" t="n"/>
      <c r="U24" s="215" t="n"/>
      <c r="V24" s="215" t="n"/>
      <c r="W24" s="215" t="n"/>
      <c r="X24" s="215" t="n"/>
      <c r="Y24" s="215" t="n"/>
      <c r="Z24" s="215" t="n"/>
      <c r="AA24" s="215" t="n"/>
      <c r="AB24" s="215" t="n"/>
      <c r="AC24" s="215" t="n"/>
      <c r="AD24" s="215" t="n"/>
      <c r="AE24" s="215" t="n"/>
      <c r="AF24" s="215" t="n"/>
      <c r="AG24" s="215" t="n"/>
      <c r="AH24" s="215" t="n"/>
      <c r="AI24" s="215" t="n"/>
      <c r="AJ24" s="215" t="n"/>
      <c r="AK24" s="215" t="n"/>
      <c r="AL24" s="216" t="n"/>
    </row>
    <row r="25">
      <c r="B25" s="2" t="n"/>
      <c r="C25" s="105" t="n"/>
      <c r="D25" s="105" t="n"/>
      <c r="E25" s="105" t="n"/>
      <c r="F25" s="105" t="n"/>
      <c r="G25" s="105" t="n"/>
      <c r="H25" s="2" t="n"/>
      <c r="I25" s="105" t="n"/>
      <c r="J25" s="105" t="n"/>
      <c r="L25" s="215" t="n"/>
      <c r="M25" s="215" t="n"/>
      <c r="N25" s="215" t="n"/>
      <c r="O25" s="215" t="n"/>
      <c r="P25" s="215" t="n"/>
      <c r="Q25" s="215" t="n"/>
      <c r="R25" s="215" t="n"/>
      <c r="S25" s="215" t="n"/>
      <c r="T25" s="215" t="n"/>
      <c r="U25" s="215" t="n"/>
      <c r="V25" s="215" t="n"/>
      <c r="W25" s="215" t="n"/>
      <c r="X25" s="215" t="n"/>
      <c r="Y25" s="215" t="n"/>
      <c r="Z25" s="215" t="n"/>
      <c r="AA25" s="215" t="n"/>
      <c r="AB25" s="215" t="n"/>
      <c r="AC25" s="215" t="n"/>
      <c r="AD25" s="215" t="n"/>
      <c r="AE25" s="215" t="n"/>
      <c r="AF25" s="215" t="n"/>
      <c r="AG25" s="215" t="n"/>
      <c r="AH25" s="215" t="n"/>
      <c r="AI25" s="215" t="n"/>
      <c r="AJ25" s="215" t="n"/>
      <c r="AK25" s="215" t="n"/>
      <c r="AL25" s="216" t="n"/>
    </row>
    <row r="26">
      <c r="B26" s="2" t="n"/>
      <c r="C26" s="105" t="n"/>
      <c r="D26" s="105" t="n"/>
      <c r="E26" s="105" t="n"/>
      <c r="F26" s="105" t="n"/>
      <c r="G26" s="105" t="n"/>
      <c r="H26" s="2" t="n"/>
      <c r="I26" s="105" t="n"/>
      <c r="J26" s="105" t="n"/>
      <c r="L26" s="215" t="n"/>
      <c r="M26" s="215" t="n"/>
      <c r="N26" s="215" t="n"/>
      <c r="O26" s="215" t="n"/>
      <c r="P26" s="215" t="n"/>
      <c r="Q26" s="215" t="n"/>
      <c r="R26" s="215" t="n"/>
      <c r="S26" s="215" t="n"/>
      <c r="T26" s="215" t="n"/>
      <c r="U26" s="215" t="n"/>
      <c r="V26" s="215" t="n"/>
      <c r="W26" s="215" t="n"/>
      <c r="X26" s="215" t="n"/>
      <c r="Y26" s="215" t="n"/>
      <c r="Z26" s="215" t="n"/>
      <c r="AA26" s="215" t="n"/>
      <c r="AB26" s="215" t="n"/>
      <c r="AC26" s="215" t="n"/>
      <c r="AD26" s="215" t="n"/>
      <c r="AE26" s="215" t="n"/>
      <c r="AF26" s="215" t="n"/>
      <c r="AG26" s="215" t="n"/>
      <c r="AH26" s="215" t="n"/>
      <c r="AI26" s="215" t="n"/>
      <c r="AJ26" s="215" t="n"/>
      <c r="AK26" s="215" t="n"/>
      <c r="AL26" s="216" t="n"/>
    </row>
    <row r="27">
      <c r="B27" s="2" t="n"/>
      <c r="C27" s="105" t="n"/>
      <c r="D27" s="105" t="n"/>
      <c r="E27" s="105" t="n"/>
      <c r="F27" s="105" t="n"/>
      <c r="G27" s="105" t="n"/>
      <c r="H27" s="2" t="n"/>
      <c r="I27" s="105" t="n"/>
      <c r="J27" s="105" t="n"/>
      <c r="L27" s="215" t="n"/>
      <c r="M27" s="215" t="n"/>
      <c r="N27" s="215" t="n"/>
      <c r="O27" s="215" t="n"/>
      <c r="P27" s="215" t="n"/>
      <c r="Q27" s="215" t="n"/>
      <c r="R27" s="215" t="n"/>
      <c r="S27" s="215" t="n"/>
      <c r="T27" s="215" t="n"/>
      <c r="U27" s="215" t="n"/>
      <c r="V27" s="215" t="n"/>
      <c r="W27" s="215" t="n"/>
      <c r="X27" s="215" t="n"/>
      <c r="Y27" s="215" t="n"/>
      <c r="Z27" s="215" t="n"/>
      <c r="AA27" s="215" t="n"/>
      <c r="AB27" s="215" t="n"/>
      <c r="AC27" s="215" t="n"/>
      <c r="AD27" s="215" t="n"/>
      <c r="AE27" s="215" t="n"/>
      <c r="AF27" s="215" t="n"/>
      <c r="AG27" s="215" t="n"/>
      <c r="AH27" s="215" t="n"/>
      <c r="AI27" s="215" t="n"/>
      <c r="AJ27" s="215" t="n"/>
      <c r="AK27" s="215" t="n"/>
      <c r="AL27" s="216" t="n"/>
    </row>
    <row r="28">
      <c r="B28" s="2" t="n"/>
      <c r="C28" s="105" t="n"/>
      <c r="D28" s="105" t="n"/>
      <c r="E28" s="105" t="n"/>
      <c r="F28" s="105" t="n"/>
      <c r="G28" s="105" t="n"/>
      <c r="H28" s="2" t="n"/>
      <c r="I28" s="105" t="n"/>
      <c r="J28" s="10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5" t="n"/>
      <c r="AL28" s="216" t="n"/>
    </row>
    <row r="29">
      <c r="B29" s="2" t="n"/>
      <c r="C29" s="105" t="n"/>
      <c r="D29" s="105" t="n"/>
      <c r="E29" s="105" t="n"/>
      <c r="F29" s="105" t="n"/>
      <c r="G29" s="105" t="n"/>
      <c r="H29" s="2" t="n"/>
      <c r="I29" s="105" t="n"/>
      <c r="J29" s="105" t="n"/>
      <c r="L29" s="215" t="n"/>
      <c r="M29" s="215" t="n"/>
      <c r="N29" s="215" t="n"/>
      <c r="O29" s="215" t="n"/>
      <c r="P29" s="215" t="n"/>
      <c r="Q29" s="215" t="n"/>
      <c r="R29" s="215" t="n"/>
      <c r="S29" s="215" t="n"/>
      <c r="T29" s="215" t="n"/>
      <c r="U29" s="215" t="n"/>
      <c r="V29" s="215" t="n"/>
      <c r="W29" s="215" t="n"/>
      <c r="X29" s="215" t="n"/>
      <c r="Y29" s="215" t="n"/>
      <c r="Z29" s="215" t="n"/>
      <c r="AA29" s="215" t="n"/>
      <c r="AB29" s="215" t="n"/>
      <c r="AC29" s="215" t="n"/>
      <c r="AD29" s="215" t="n"/>
      <c r="AE29" s="215" t="n"/>
      <c r="AF29" s="215" t="n"/>
      <c r="AG29" s="215" t="n"/>
      <c r="AH29" s="215" t="n"/>
      <c r="AI29" s="215" t="n"/>
      <c r="AJ29" s="215" t="n"/>
      <c r="AK29" s="215" t="n"/>
      <c r="AL29" s="216" t="n"/>
    </row>
    <row r="30">
      <c r="B30" s="2" t="n"/>
      <c r="C30" s="105" t="n"/>
      <c r="D30" s="105" t="n"/>
      <c r="E30" s="105" t="n"/>
      <c r="F30" s="105" t="n"/>
      <c r="G30" s="105" t="n"/>
      <c r="H30" s="2" t="n"/>
      <c r="I30" s="105" t="n"/>
      <c r="J30" s="105" t="n"/>
      <c r="L30" s="215" t="n"/>
      <c r="M30" s="215" t="n"/>
      <c r="N30" s="215" t="n"/>
      <c r="O30" s="215" t="n"/>
      <c r="P30" s="215" t="n"/>
      <c r="Q30" s="215" t="n"/>
      <c r="R30" s="215" t="n"/>
      <c r="S30" s="215" t="n"/>
      <c r="T30" s="215" t="n"/>
      <c r="U30" s="215" t="n"/>
      <c r="V30" s="215" t="n"/>
      <c r="W30" s="215" t="n"/>
      <c r="X30" s="215" t="n"/>
      <c r="Y30" s="215" t="n"/>
      <c r="Z30" s="215" t="n"/>
      <c r="AA30" s="215" t="n"/>
      <c r="AB30" s="215" t="n"/>
      <c r="AC30" s="215" t="n"/>
      <c r="AD30" s="215" t="n"/>
      <c r="AE30" s="215" t="n"/>
      <c r="AF30" s="215" t="n"/>
      <c r="AG30" s="215" t="n"/>
      <c r="AH30" s="215" t="n"/>
      <c r="AI30" s="215" t="n"/>
      <c r="AJ30" s="215" t="n"/>
      <c r="AK30" s="215" t="n"/>
      <c r="AL30" s="216" t="n"/>
    </row>
    <row r="31">
      <c r="B31" s="2" t="n"/>
      <c r="C31" s="105" t="n"/>
      <c r="D31" s="105" t="n"/>
      <c r="E31" s="105" t="n"/>
      <c r="F31" s="105" t="n"/>
      <c r="G31" s="105" t="n"/>
      <c r="H31" s="2" t="n"/>
      <c r="I31" s="105" t="n"/>
      <c r="J31" s="105" t="n"/>
      <c r="L31" s="215" t="n"/>
      <c r="M31" s="215" t="n"/>
      <c r="N31" s="215" t="n"/>
      <c r="O31" s="215" t="n"/>
      <c r="P31" s="215" t="n"/>
      <c r="Q31" s="215" t="n"/>
      <c r="R31" s="215" t="n"/>
      <c r="S31" s="215" t="n"/>
      <c r="T31" s="215" t="n"/>
      <c r="U31" s="215" t="n"/>
      <c r="V31" s="215" t="n"/>
      <c r="W31" s="215" t="n"/>
      <c r="X31" s="215" t="n"/>
      <c r="Y31" s="215" t="n"/>
      <c r="Z31" s="215" t="n"/>
      <c r="AA31" s="215" t="n"/>
      <c r="AB31" s="215" t="n"/>
      <c r="AC31" s="215" t="n"/>
      <c r="AD31" s="215" t="n"/>
      <c r="AE31" s="215" t="n"/>
      <c r="AF31" s="215" t="n"/>
      <c r="AG31" s="215" t="n"/>
      <c r="AH31" s="215" t="n"/>
      <c r="AI31" s="215" t="n"/>
      <c r="AJ31" s="215" t="n"/>
      <c r="AK31" s="215" t="n"/>
      <c r="AL31" s="216" t="n"/>
    </row>
    <row r="32">
      <c r="B32" s="2" t="n"/>
      <c r="C32" s="105" t="n"/>
      <c r="D32" s="105" t="n"/>
      <c r="E32" s="105" t="n"/>
      <c r="F32" s="105" t="n"/>
      <c r="G32" s="105" t="n"/>
      <c r="H32" s="2" t="n"/>
      <c r="I32" s="105" t="n"/>
      <c r="J32" s="105" t="n"/>
      <c r="L32" s="215" t="n"/>
      <c r="M32" s="215" t="n"/>
      <c r="N32" s="215" t="n"/>
      <c r="O32" s="215" t="n"/>
      <c r="P32" s="215" t="n"/>
      <c r="Q32" s="215" t="n"/>
      <c r="R32" s="215" t="n"/>
      <c r="S32" s="215" t="n"/>
      <c r="T32" s="215" t="n"/>
      <c r="U32" s="215" t="n"/>
      <c r="V32" s="215" t="n"/>
      <c r="W32" s="215" t="n"/>
      <c r="X32" s="215" t="n"/>
      <c r="Y32" s="215" t="n"/>
      <c r="Z32" s="215" t="n"/>
      <c r="AA32" s="215" t="n"/>
      <c r="AB32" s="215" t="n"/>
      <c r="AC32" s="215" t="n"/>
      <c r="AD32" s="215" t="n"/>
      <c r="AE32" s="215" t="n"/>
      <c r="AF32" s="215" t="n"/>
      <c r="AG32" s="215" t="n"/>
      <c r="AH32" s="215" t="n"/>
      <c r="AI32" s="215" t="n"/>
      <c r="AJ32" s="215" t="n"/>
      <c r="AK32" s="215" t="n"/>
      <c r="AL32" s="216" t="n"/>
    </row>
    <row r="33">
      <c r="B33" s="2" t="n"/>
      <c r="C33" s="105" t="n"/>
      <c r="D33" s="105" t="n"/>
      <c r="E33" s="105" t="n"/>
      <c r="F33" s="105" t="n"/>
      <c r="G33" s="105" t="n"/>
      <c r="H33" s="2" t="n"/>
      <c r="I33" s="105" t="n"/>
      <c r="J33" s="105" t="n"/>
      <c r="L33" s="215" t="n"/>
      <c r="M33" s="215" t="n"/>
      <c r="N33" s="215" t="n"/>
      <c r="O33" s="215" t="n"/>
      <c r="P33" s="215" t="n"/>
      <c r="Q33" s="215" t="n"/>
      <c r="R33" s="215" t="n"/>
      <c r="S33" s="215" t="n"/>
      <c r="T33" s="215" t="n"/>
      <c r="U33" s="215" t="n"/>
      <c r="V33" s="215" t="n"/>
      <c r="W33" s="215" t="n"/>
      <c r="X33" s="215" t="n"/>
      <c r="Y33" s="215" t="n"/>
      <c r="Z33" s="215" t="n"/>
      <c r="AA33" s="215" t="n"/>
      <c r="AB33" s="215" t="n"/>
      <c r="AC33" s="215" t="n"/>
      <c r="AD33" s="215" t="n"/>
      <c r="AE33" s="215" t="n"/>
      <c r="AF33" s="215" t="n"/>
      <c r="AG33" s="215" t="n"/>
      <c r="AH33" s="215" t="n"/>
      <c r="AI33" s="215" t="n"/>
      <c r="AJ33" s="215" t="n"/>
      <c r="AK33" s="215" t="n"/>
      <c r="AL33" s="216" t="n"/>
    </row>
    <row r="34">
      <c r="B34" s="2" t="n"/>
      <c r="C34" s="105" t="n"/>
      <c r="D34" s="105" t="n"/>
      <c r="E34" s="105" t="n"/>
      <c r="F34" s="105" t="n"/>
      <c r="G34" s="105" t="n"/>
      <c r="H34" s="2" t="n"/>
      <c r="I34" s="105" t="n"/>
      <c r="J34" s="105" t="n"/>
      <c r="L34" s="215" t="n"/>
      <c r="M34" s="215" t="n"/>
      <c r="N34" s="215" t="n"/>
      <c r="O34" s="215" t="n"/>
      <c r="P34" s="215" t="n"/>
      <c r="Q34" s="215" t="n"/>
      <c r="R34" s="215" t="n"/>
      <c r="S34" s="215" t="n"/>
      <c r="T34" s="215" t="n"/>
      <c r="U34" s="215" t="n"/>
      <c r="V34" s="215" t="n"/>
      <c r="W34" s="215" t="n"/>
      <c r="X34" s="215" t="n"/>
      <c r="Y34" s="215" t="n"/>
      <c r="Z34" s="215" t="n"/>
      <c r="AA34" s="215" t="n"/>
      <c r="AB34" s="215" t="n"/>
      <c r="AC34" s="215" t="n"/>
      <c r="AD34" s="215" t="n"/>
      <c r="AE34" s="215" t="n"/>
      <c r="AF34" s="215" t="n"/>
      <c r="AG34" s="215" t="n"/>
      <c r="AH34" s="215" t="n"/>
      <c r="AI34" s="215" t="n"/>
      <c r="AJ34" s="215" t="n"/>
      <c r="AK34" s="215" t="n"/>
      <c r="AL34" s="216" t="n"/>
    </row>
    <row r="35">
      <c r="B35" s="2" t="n"/>
      <c r="C35" s="105" t="n"/>
      <c r="D35" s="105" t="n"/>
      <c r="E35" s="105" t="n"/>
      <c r="F35" s="105" t="n"/>
      <c r="G35" s="105" t="n"/>
      <c r="H35" s="2" t="n"/>
      <c r="I35" s="105" t="n"/>
      <c r="J35" s="105" t="n"/>
      <c r="L35" s="215" t="n"/>
      <c r="M35" s="215" t="n"/>
      <c r="N35" s="215" t="n"/>
      <c r="O35" s="215" t="n"/>
      <c r="P35" s="215" t="n"/>
      <c r="Q35" s="215" t="n"/>
      <c r="R35" s="215" t="n"/>
      <c r="S35" s="215" t="n"/>
      <c r="T35" s="215" t="n"/>
      <c r="U35" s="215" t="n"/>
      <c r="V35" s="215" t="n"/>
      <c r="W35" s="215" t="n"/>
      <c r="X35" s="215" t="n"/>
      <c r="Y35" s="215" t="n"/>
      <c r="Z35" s="215" t="n"/>
      <c r="AA35" s="215" t="n"/>
      <c r="AB35" s="215" t="n"/>
      <c r="AC35" s="215" t="n"/>
      <c r="AD35" s="215" t="n"/>
      <c r="AE35" s="215" t="n"/>
      <c r="AF35" s="215" t="n"/>
      <c r="AG35" s="215" t="n"/>
      <c r="AH35" s="215" t="n"/>
      <c r="AI35" s="215" t="n"/>
      <c r="AJ35" s="215" t="n"/>
      <c r="AK35" s="215" t="n"/>
      <c r="AL35" s="216" t="n"/>
    </row>
    <row r="36">
      <c r="B36" s="2" t="n"/>
      <c r="C36" s="105" t="n"/>
      <c r="D36" s="105" t="n"/>
      <c r="E36" s="105" t="n"/>
      <c r="F36" s="105" t="n"/>
      <c r="G36" s="105" t="n"/>
      <c r="H36" s="2" t="n"/>
      <c r="I36" s="105" t="n"/>
      <c r="J36" s="105" t="n"/>
      <c r="L36" s="215" t="n"/>
      <c r="M36" s="215" t="n"/>
      <c r="N36" s="215" t="n"/>
      <c r="O36" s="215" t="n"/>
      <c r="P36" s="215" t="n"/>
      <c r="Q36" s="215" t="n"/>
      <c r="R36" s="215" t="n"/>
      <c r="S36" s="215" t="n"/>
      <c r="T36" s="215" t="n"/>
      <c r="U36" s="215" t="n"/>
      <c r="V36" s="215" t="n"/>
      <c r="W36" s="215" t="n"/>
      <c r="X36" s="215" t="n"/>
      <c r="Y36" s="215" t="n"/>
      <c r="Z36" s="215" t="n"/>
      <c r="AA36" s="215" t="n"/>
      <c r="AB36" s="215" t="n"/>
      <c r="AC36" s="215" t="n"/>
      <c r="AD36" s="215" t="n"/>
      <c r="AE36" s="215" t="n"/>
      <c r="AF36" s="215" t="n"/>
      <c r="AG36" s="215" t="n"/>
      <c r="AH36" s="215" t="n"/>
      <c r="AI36" s="215" t="n"/>
      <c r="AJ36" s="215" t="n"/>
      <c r="AK36" s="215" t="n"/>
      <c r="AL36" s="216" t="n"/>
    </row>
    <row r="37">
      <c r="B37" s="2" t="n"/>
      <c r="C37" s="105" t="n"/>
      <c r="D37" s="105" t="n"/>
      <c r="E37" s="105" t="n"/>
      <c r="F37" s="105" t="n"/>
      <c r="G37" s="105" t="n"/>
      <c r="H37" s="2" t="n"/>
      <c r="I37" s="105" t="n"/>
      <c r="J37" s="105" t="n"/>
      <c r="L37" s="215" t="n"/>
      <c r="M37" s="215" t="n"/>
      <c r="N37" s="215" t="n"/>
      <c r="O37" s="215" t="n"/>
      <c r="P37" s="215" t="n"/>
      <c r="Q37" s="215" t="n"/>
      <c r="R37" s="215" t="n"/>
      <c r="S37" s="215" t="n"/>
      <c r="T37" s="215" t="n"/>
      <c r="U37" s="215" t="n"/>
      <c r="V37" s="215" t="n"/>
      <c r="W37" s="215" t="n"/>
      <c r="X37" s="215" t="n"/>
      <c r="Y37" s="215" t="n"/>
      <c r="Z37" s="215" t="n"/>
      <c r="AA37" s="215" t="n"/>
      <c r="AB37" s="215" t="n"/>
      <c r="AC37" s="215" t="n"/>
      <c r="AD37" s="215" t="n"/>
      <c r="AE37" s="215" t="n"/>
      <c r="AF37" s="215" t="n"/>
      <c r="AG37" s="215" t="n"/>
      <c r="AH37" s="215" t="n"/>
      <c r="AI37" s="215" t="n"/>
      <c r="AJ37" s="215" t="n"/>
      <c r="AK37" s="215" t="n"/>
      <c r="AL37" s="216" t="n"/>
    </row>
    <row r="38">
      <c r="B38" s="2" t="n"/>
      <c r="C38" s="105" t="n"/>
      <c r="D38" s="105" t="n"/>
      <c r="E38" s="105" t="n"/>
      <c r="F38" s="105" t="n"/>
      <c r="G38" s="105" t="n"/>
      <c r="H38" s="2" t="n"/>
      <c r="I38" s="105" t="n"/>
      <c r="J38" s="105" t="n"/>
      <c r="L38" s="215" t="n"/>
      <c r="M38" s="215" t="n"/>
      <c r="N38" s="215" t="n"/>
      <c r="O38" s="215" t="n"/>
      <c r="P38" s="215" t="n"/>
      <c r="Q38" s="215" t="n"/>
      <c r="R38" s="215" t="n"/>
      <c r="S38" s="215" t="n"/>
      <c r="T38" s="215" t="n"/>
      <c r="U38" s="215" t="n"/>
      <c r="V38" s="215" t="n"/>
      <c r="W38" s="215" t="n"/>
      <c r="X38" s="215" t="n"/>
      <c r="Y38" s="215" t="n"/>
      <c r="Z38" s="215" t="n"/>
      <c r="AA38" s="215" t="n"/>
      <c r="AB38" s="215" t="n"/>
      <c r="AC38" s="215" t="n"/>
      <c r="AD38" s="215" t="n"/>
      <c r="AE38" s="215" t="n"/>
      <c r="AF38" s="215" t="n"/>
      <c r="AG38" s="215" t="n"/>
      <c r="AH38" s="215" t="n"/>
      <c r="AI38" s="215" t="n"/>
      <c r="AJ38" s="215" t="n"/>
      <c r="AK38" s="215" t="n"/>
      <c r="AL38" s="216" t="n"/>
    </row>
    <row r="39">
      <c r="B39" s="2" t="n"/>
      <c r="C39" s="105" t="n"/>
      <c r="D39" s="105" t="n"/>
      <c r="E39" s="105" t="n"/>
      <c r="F39" s="105" t="n"/>
      <c r="G39" s="105" t="n"/>
      <c r="H39" s="2" t="n"/>
      <c r="I39" s="105" t="n"/>
      <c r="J39" s="105" t="n"/>
      <c r="L39" s="215" t="n"/>
      <c r="M39" s="215" t="n"/>
      <c r="N39" s="215" t="n"/>
      <c r="O39" s="215" t="n"/>
      <c r="P39" s="215" t="n"/>
      <c r="Q39" s="215" t="n"/>
      <c r="R39" s="215" t="n"/>
      <c r="S39" s="215" t="n"/>
      <c r="T39" s="215" t="n"/>
      <c r="U39" s="215" t="n"/>
      <c r="V39" s="215" t="n"/>
      <c r="W39" s="215" t="n"/>
      <c r="X39" s="215" t="n"/>
      <c r="Y39" s="215" t="n"/>
      <c r="Z39" s="215" t="n"/>
      <c r="AA39" s="215" t="n"/>
      <c r="AB39" s="215" t="n"/>
      <c r="AC39" s="215" t="n"/>
      <c r="AD39" s="215" t="n"/>
      <c r="AE39" s="215" t="n"/>
      <c r="AF39" s="215" t="n"/>
      <c r="AG39" s="215" t="n"/>
      <c r="AH39" s="215" t="n"/>
      <c r="AI39" s="215" t="n"/>
      <c r="AJ39" s="215" t="n"/>
      <c r="AK39" s="215" t="n"/>
      <c r="AL39" s="216" t="n"/>
    </row>
    <row r="40">
      <c r="B40" s="2" t="n"/>
      <c r="C40" s="105" t="n"/>
      <c r="D40" s="105" t="n"/>
      <c r="E40" s="105" t="n"/>
      <c r="F40" s="105" t="n"/>
      <c r="G40" s="105" t="n"/>
      <c r="H40" s="2" t="n"/>
      <c r="I40" s="105" t="n"/>
      <c r="J40" s="105" t="n"/>
      <c r="L40" s="215" t="n"/>
      <c r="M40" s="215" t="n"/>
      <c r="N40" s="215" t="n"/>
      <c r="O40" s="215" t="n"/>
      <c r="P40" s="215" t="n"/>
      <c r="Q40" s="215" t="n"/>
      <c r="R40" s="215" t="n"/>
      <c r="S40" s="215" t="n"/>
      <c r="T40" s="215" t="n"/>
      <c r="U40" s="215" t="n"/>
      <c r="V40" s="215" t="n"/>
      <c r="W40" s="215" t="n"/>
      <c r="X40" s="215" t="n"/>
      <c r="Y40" s="215" t="n"/>
      <c r="Z40" s="215" t="n"/>
      <c r="AA40" s="215" t="n"/>
      <c r="AB40" s="215" t="n"/>
      <c r="AC40" s="215" t="n"/>
      <c r="AD40" s="215" t="n"/>
      <c r="AE40" s="215" t="n"/>
      <c r="AF40" s="215" t="n"/>
      <c r="AG40" s="215" t="n"/>
      <c r="AH40" s="215" t="n"/>
      <c r="AI40" s="215" t="n"/>
      <c r="AJ40" s="215" t="n"/>
      <c r="AK40" s="215" t="n"/>
      <c r="AL40" s="216" t="n"/>
    </row>
    <row r="41">
      <c r="B41" s="2" t="n"/>
      <c r="C41" s="105" t="n"/>
      <c r="D41" s="105" t="n"/>
      <c r="E41" s="105" t="n"/>
      <c r="F41" s="105" t="n"/>
      <c r="G41" s="105" t="n"/>
      <c r="H41" s="2" t="n"/>
      <c r="I41" s="105" t="n"/>
      <c r="J41" s="105" t="n"/>
      <c r="L41" s="215" t="n"/>
      <c r="M41" s="215" t="n"/>
      <c r="N41" s="215" t="n"/>
      <c r="O41" s="215" t="n"/>
      <c r="P41" s="215" t="n"/>
      <c r="Q41" s="215" t="n"/>
      <c r="R41" s="215" t="n"/>
      <c r="S41" s="215" t="n"/>
      <c r="T41" s="215" t="n"/>
      <c r="U41" s="215" t="n"/>
      <c r="V41" s="215" t="n"/>
      <c r="W41" s="215" t="n"/>
      <c r="X41" s="215" t="n"/>
      <c r="Y41" s="215" t="n"/>
      <c r="Z41" s="215" t="n"/>
      <c r="AA41" s="215" t="n"/>
      <c r="AB41" s="215" t="n"/>
      <c r="AC41" s="215" t="n"/>
      <c r="AD41" s="215" t="n"/>
      <c r="AE41" s="215" t="n"/>
      <c r="AF41" s="215" t="n"/>
      <c r="AG41" s="215" t="n"/>
      <c r="AH41" s="215" t="n"/>
      <c r="AI41" s="215" t="n"/>
      <c r="AJ41" s="215" t="n"/>
      <c r="AK41" s="215" t="n"/>
      <c r="AL41" s="216" t="n"/>
    </row>
    <row r="42">
      <c r="B42" s="2" t="n"/>
      <c r="C42" s="105" t="n"/>
      <c r="D42" s="105" t="n"/>
      <c r="E42" s="105" t="n"/>
      <c r="F42" s="105" t="n"/>
      <c r="G42" s="105" t="n"/>
      <c r="H42" s="2" t="n"/>
      <c r="I42" s="105" t="n"/>
      <c r="J42" s="105" t="n"/>
      <c r="L42" s="215" t="n"/>
      <c r="M42" s="215" t="n"/>
      <c r="N42" s="215" t="n"/>
      <c r="O42" s="215" t="n"/>
      <c r="P42" s="215" t="n"/>
      <c r="Q42" s="215" t="n"/>
      <c r="R42" s="215" t="n"/>
      <c r="S42" s="215" t="n"/>
      <c r="T42" s="215" t="n"/>
      <c r="U42" s="215" t="n"/>
      <c r="V42" s="215" t="n"/>
      <c r="W42" s="215" t="n"/>
      <c r="X42" s="215" t="n"/>
      <c r="Y42" s="215" t="n"/>
      <c r="Z42" s="215" t="n"/>
      <c r="AA42" s="215" t="n"/>
      <c r="AB42" s="215" t="n"/>
      <c r="AC42" s="215" t="n"/>
      <c r="AD42" s="215" t="n"/>
      <c r="AE42" s="215" t="n"/>
      <c r="AF42" s="215" t="n"/>
      <c r="AG42" s="215" t="n"/>
      <c r="AH42" s="215" t="n"/>
      <c r="AI42" s="215" t="n"/>
      <c r="AJ42" s="215" t="n"/>
      <c r="AK42" s="215" t="n"/>
      <c r="AL42" s="216" t="n"/>
    </row>
    <row r="43">
      <c r="B43" s="2" t="n"/>
      <c r="C43" s="105" t="n"/>
      <c r="D43" s="105" t="n"/>
      <c r="E43" s="105" t="n"/>
      <c r="F43" s="105" t="n"/>
      <c r="G43" s="105" t="n"/>
      <c r="H43" s="2" t="n"/>
      <c r="I43" s="105" t="n"/>
      <c r="J43" s="105" t="n"/>
      <c r="L43" s="215" t="n"/>
      <c r="M43" s="215" t="n"/>
      <c r="N43" s="215" t="n"/>
      <c r="O43" s="215" t="n"/>
      <c r="P43" s="215" t="n"/>
      <c r="Q43" s="215" t="n"/>
      <c r="R43" s="215" t="n"/>
      <c r="S43" s="215" t="n"/>
      <c r="T43" s="215" t="n"/>
      <c r="U43" s="215" t="n"/>
      <c r="V43" s="215" t="n"/>
      <c r="W43" s="215" t="n"/>
      <c r="X43" s="215" t="n"/>
      <c r="Y43" s="215" t="n"/>
      <c r="Z43" s="215" t="n"/>
      <c r="AA43" s="215" t="n"/>
      <c r="AB43" s="215" t="n"/>
      <c r="AC43" s="215" t="n"/>
      <c r="AD43" s="215" t="n"/>
      <c r="AE43" s="215" t="n"/>
      <c r="AF43" s="215" t="n"/>
      <c r="AG43" s="215" t="n"/>
      <c r="AH43" s="215" t="n"/>
      <c r="AI43" s="215" t="n"/>
      <c r="AJ43" s="215" t="n"/>
      <c r="AK43" s="215" t="n"/>
      <c r="AL43" s="216" t="n"/>
    </row>
    <row r="44">
      <c r="B44" s="2" t="n"/>
      <c r="C44" s="105" t="n"/>
      <c r="D44" s="105" t="n"/>
      <c r="E44" s="105" t="n"/>
      <c r="F44" s="105" t="n"/>
      <c r="G44" s="105" t="n"/>
      <c r="H44" s="2" t="n"/>
      <c r="I44" s="105" t="n"/>
      <c r="J44" s="105" t="n"/>
      <c r="L44" s="215" t="n"/>
      <c r="M44" s="215" t="n"/>
      <c r="N44" s="215" t="n"/>
      <c r="O44" s="215" t="n"/>
      <c r="P44" s="215" t="n"/>
      <c r="Q44" s="215" t="n"/>
      <c r="R44" s="215" t="n"/>
      <c r="S44" s="215" t="n"/>
      <c r="T44" s="215" t="n"/>
      <c r="U44" s="215" t="n"/>
      <c r="V44" s="215" t="n"/>
      <c r="W44" s="215" t="n"/>
      <c r="X44" s="215" t="n"/>
      <c r="Y44" s="215" t="n"/>
      <c r="Z44" s="215" t="n"/>
      <c r="AA44" s="215" t="n"/>
      <c r="AB44" s="215" t="n"/>
      <c r="AC44" s="215" t="n"/>
      <c r="AD44" s="215" t="n"/>
      <c r="AE44" s="215" t="n"/>
      <c r="AF44" s="215" t="n"/>
      <c r="AG44" s="215" t="n"/>
      <c r="AH44" s="215" t="n"/>
      <c r="AI44" s="215" t="n"/>
      <c r="AJ44" s="215" t="n"/>
      <c r="AK44" s="215" t="n"/>
      <c r="AL44" s="216" t="n"/>
    </row>
    <row r="45">
      <c r="B45" s="2" t="n"/>
      <c r="C45" s="105" t="n"/>
      <c r="D45" s="105" t="n"/>
      <c r="E45" s="105" t="n"/>
      <c r="F45" s="105" t="n"/>
      <c r="G45" s="105" t="n"/>
      <c r="H45" s="2" t="n"/>
      <c r="I45" s="105" t="n"/>
      <c r="J45" s="105" t="n"/>
      <c r="L45" s="215" t="n"/>
      <c r="M45" s="215" t="n"/>
      <c r="N45" s="215" t="n"/>
      <c r="O45" s="215" t="n"/>
      <c r="P45" s="215" t="n"/>
      <c r="Q45" s="215" t="n"/>
      <c r="R45" s="215" t="n"/>
      <c r="S45" s="215" t="n"/>
      <c r="T45" s="215" t="n"/>
      <c r="U45" s="215" t="n"/>
      <c r="V45" s="215" t="n"/>
      <c r="W45" s="215" t="n"/>
      <c r="X45" s="215" t="n"/>
      <c r="Y45" s="215" t="n"/>
      <c r="Z45" s="215" t="n"/>
      <c r="AA45" s="215" t="n"/>
      <c r="AB45" s="215" t="n"/>
      <c r="AC45" s="215" t="n"/>
      <c r="AD45" s="215" t="n"/>
      <c r="AE45" s="215" t="n"/>
      <c r="AF45" s="215" t="n"/>
      <c r="AG45" s="215" t="n"/>
      <c r="AH45" s="215" t="n"/>
      <c r="AI45" s="215" t="n"/>
      <c r="AJ45" s="215" t="n"/>
      <c r="AK45" s="215" t="n"/>
      <c r="AL45" s="216" t="n"/>
    </row>
    <row r="46">
      <c r="B46" s="2" t="n"/>
      <c r="C46" s="105" t="n"/>
      <c r="D46" s="105" t="n"/>
      <c r="E46" s="105" t="n"/>
      <c r="F46" s="105" t="n"/>
      <c r="G46" s="105" t="n"/>
      <c r="H46" s="2" t="n"/>
      <c r="I46" s="105" t="n"/>
      <c r="J46" s="105" t="n"/>
      <c r="L46" s="215" t="n"/>
      <c r="M46" s="215" t="n"/>
      <c r="N46" s="215" t="n"/>
      <c r="O46" s="215" t="n"/>
      <c r="P46" s="215" t="n"/>
      <c r="Q46" s="215" t="n"/>
      <c r="R46" s="215" t="n"/>
      <c r="S46" s="215" t="n"/>
      <c r="T46" s="215" t="n"/>
      <c r="U46" s="215" t="n"/>
      <c r="V46" s="215" t="n"/>
      <c r="W46" s="215" t="n"/>
      <c r="X46" s="215" t="n"/>
      <c r="Y46" s="215" t="n"/>
      <c r="Z46" s="215" t="n"/>
      <c r="AA46" s="215" t="n"/>
      <c r="AB46" s="215" t="n"/>
      <c r="AC46" s="215" t="n"/>
      <c r="AD46" s="215" t="n"/>
      <c r="AE46" s="215" t="n"/>
      <c r="AF46" s="215" t="n"/>
      <c r="AG46" s="215" t="n"/>
      <c r="AH46" s="215" t="n"/>
      <c r="AI46" s="215" t="n"/>
      <c r="AJ46" s="215" t="n"/>
      <c r="AK46" s="215" t="n"/>
      <c r="AL46" s="216" t="n"/>
    </row>
    <row r="47">
      <c r="B47" s="2" t="n"/>
      <c r="C47" s="105" t="n"/>
      <c r="D47" s="105" t="n"/>
      <c r="E47" s="105" t="n"/>
      <c r="F47" s="105" t="n"/>
      <c r="G47" s="105" t="n"/>
      <c r="H47" s="2" t="n"/>
      <c r="I47" s="105" t="n"/>
      <c r="J47" s="105" t="n"/>
      <c r="L47" s="215" t="n"/>
      <c r="M47" s="215" t="n"/>
      <c r="N47" s="215" t="n"/>
      <c r="O47" s="215" t="n"/>
      <c r="P47" s="215" t="n"/>
      <c r="Q47" s="215" t="n"/>
      <c r="R47" s="215" t="n"/>
      <c r="S47" s="215" t="n"/>
      <c r="T47" s="215" t="n"/>
      <c r="U47" s="215" t="n"/>
      <c r="V47" s="215" t="n"/>
      <c r="W47" s="215" t="n"/>
      <c r="X47" s="215" t="n"/>
      <c r="Y47" s="215" t="n"/>
      <c r="Z47" s="215" t="n"/>
      <c r="AA47" s="215" t="n"/>
      <c r="AB47" s="215" t="n"/>
      <c r="AC47" s="215" t="n"/>
      <c r="AD47" s="215" t="n"/>
      <c r="AE47" s="215" t="n"/>
      <c r="AF47" s="215" t="n"/>
      <c r="AG47" s="215" t="n"/>
      <c r="AH47" s="215" t="n"/>
      <c r="AI47" s="215" t="n"/>
      <c r="AJ47" s="215" t="n"/>
      <c r="AK47" s="215" t="n"/>
      <c r="AL47" s="216" t="n"/>
    </row>
    <row r="48">
      <c r="B48" s="2" t="n"/>
      <c r="C48" s="105" t="n"/>
      <c r="D48" s="105" t="n"/>
      <c r="E48" s="105" t="n"/>
      <c r="F48" s="105" t="n"/>
      <c r="G48" s="105" t="n"/>
      <c r="H48" s="2" t="n"/>
      <c r="I48" s="105" t="n"/>
      <c r="J48" s="105" t="n"/>
      <c r="L48" s="215" t="n"/>
      <c r="M48" s="215" t="n"/>
      <c r="N48" s="215" t="n"/>
      <c r="O48" s="215" t="n"/>
      <c r="P48" s="215" t="n"/>
      <c r="Q48" s="215" t="n"/>
      <c r="R48" s="215" t="n"/>
      <c r="S48" s="215" t="n"/>
      <c r="T48" s="215" t="n"/>
      <c r="U48" s="215" t="n"/>
      <c r="V48" s="215" t="n"/>
      <c r="W48" s="215" t="n"/>
      <c r="X48" s="215" t="n"/>
      <c r="Y48" s="215" t="n"/>
      <c r="Z48" s="215" t="n"/>
      <c r="AA48" s="215" t="n"/>
      <c r="AB48" s="215" t="n"/>
      <c r="AC48" s="215" t="n"/>
      <c r="AD48" s="215" t="n"/>
      <c r="AE48" s="215" t="n"/>
      <c r="AF48" s="215" t="n"/>
      <c r="AG48" s="215" t="n"/>
      <c r="AH48" s="215" t="n"/>
      <c r="AI48" s="215" t="n"/>
      <c r="AJ48" s="215" t="n"/>
      <c r="AK48" s="215" t="n"/>
      <c r="AL48" s="216" t="n"/>
    </row>
    <row r="49">
      <c r="B49" s="2" t="n"/>
      <c r="C49" s="105" t="n"/>
      <c r="D49" s="105" t="n"/>
      <c r="E49" s="105" t="n"/>
      <c r="F49" s="105" t="n"/>
      <c r="G49" s="105" t="n"/>
      <c r="H49" s="2" t="n"/>
      <c r="I49" s="105" t="n"/>
      <c r="J49" s="105" t="n"/>
      <c r="L49" s="215" t="n"/>
      <c r="M49" s="215" t="n"/>
      <c r="N49" s="215" t="n"/>
      <c r="O49" s="215" t="n"/>
      <c r="P49" s="215" t="n"/>
      <c r="Q49" s="215" t="n"/>
      <c r="R49" s="215" t="n"/>
      <c r="S49" s="215" t="n"/>
      <c r="T49" s="215" t="n"/>
      <c r="U49" s="215" t="n"/>
      <c r="V49" s="215" t="n"/>
      <c r="W49" s="215" t="n"/>
      <c r="X49" s="215" t="n"/>
      <c r="Y49" s="215" t="n"/>
      <c r="Z49" s="215" t="n"/>
      <c r="AA49" s="215" t="n"/>
      <c r="AB49" s="215" t="n"/>
      <c r="AC49" s="215" t="n"/>
      <c r="AD49" s="215" t="n"/>
      <c r="AE49" s="215" t="n"/>
      <c r="AF49" s="215" t="n"/>
      <c r="AG49" s="215" t="n"/>
      <c r="AH49" s="215" t="n"/>
      <c r="AI49" s="215" t="n"/>
      <c r="AJ49" s="215" t="n"/>
      <c r="AK49" s="215" t="n"/>
      <c r="AL49" s="216" t="n"/>
    </row>
    <row r="50">
      <c r="B50" s="2" t="n"/>
      <c r="C50" s="105" t="n"/>
      <c r="D50" s="105" t="n"/>
      <c r="E50" s="105" t="n"/>
      <c r="F50" s="105" t="n"/>
      <c r="G50" s="105" t="n"/>
      <c r="H50" s="2" t="n"/>
      <c r="I50" s="105" t="n"/>
      <c r="J50" s="10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5" t="n"/>
      <c r="U50" s="215" t="n"/>
      <c r="V50" s="215" t="n"/>
      <c r="W50" s="215" t="n"/>
      <c r="X50" s="215" t="n"/>
      <c r="Y50" s="215" t="n"/>
      <c r="Z50" s="215" t="n"/>
      <c r="AA50" s="215" t="n"/>
      <c r="AB50" s="215" t="n"/>
      <c r="AC50" s="215" t="n"/>
      <c r="AD50" s="215" t="n"/>
      <c r="AE50" s="215" t="n"/>
      <c r="AF50" s="215" t="n"/>
      <c r="AG50" s="215" t="n"/>
      <c r="AH50" s="215" t="n"/>
      <c r="AI50" s="215" t="n"/>
      <c r="AJ50" s="215" t="n"/>
      <c r="AK50" s="215" t="n"/>
      <c r="AL50" s="216" t="n"/>
    </row>
    <row r="51">
      <c r="B51" s="2" t="n"/>
      <c r="C51" s="105" t="n"/>
      <c r="D51" s="105" t="n"/>
      <c r="E51" s="105" t="n"/>
      <c r="F51" s="105" t="n"/>
      <c r="G51" s="105" t="n"/>
      <c r="H51" s="2" t="n"/>
      <c r="I51" s="105" t="n"/>
      <c r="J51" s="105" t="n"/>
      <c r="L51" s="215" t="n"/>
      <c r="M51" s="215" t="n"/>
      <c r="N51" s="215" t="n"/>
      <c r="O51" s="215" t="n"/>
      <c r="P51" s="215" t="n"/>
      <c r="Q51" s="215" t="n"/>
      <c r="R51" s="215" t="n"/>
      <c r="S51" s="215" t="n"/>
      <c r="T51" s="215" t="n"/>
      <c r="U51" s="215" t="n"/>
      <c r="V51" s="215" t="n"/>
      <c r="W51" s="215" t="n"/>
      <c r="X51" s="215" t="n"/>
      <c r="Y51" s="215" t="n"/>
      <c r="Z51" s="215" t="n"/>
      <c r="AA51" s="215" t="n"/>
      <c r="AB51" s="215" t="n"/>
      <c r="AC51" s="215" t="n"/>
      <c r="AD51" s="215" t="n"/>
      <c r="AE51" s="215" t="n"/>
      <c r="AF51" s="215" t="n"/>
      <c r="AG51" s="215" t="n"/>
      <c r="AH51" s="215" t="n"/>
      <c r="AI51" s="215" t="n"/>
      <c r="AJ51" s="215" t="n"/>
      <c r="AK51" s="215" t="n"/>
      <c r="AL51" s="216" t="n"/>
    </row>
    <row r="52">
      <c r="B52" s="2" t="n"/>
      <c r="C52" s="105" t="n"/>
      <c r="D52" s="105" t="n"/>
      <c r="E52" s="105" t="n"/>
      <c r="F52" s="105" t="n"/>
      <c r="G52" s="105" t="n"/>
      <c r="H52" s="2" t="n"/>
      <c r="I52" s="105" t="n"/>
      <c r="J52" s="105" t="n"/>
      <c r="L52" s="215" t="n"/>
      <c r="M52" s="215" t="n"/>
      <c r="N52" s="215" t="n"/>
      <c r="O52" s="215" t="n"/>
      <c r="P52" s="215" t="n"/>
      <c r="Q52" s="215" t="n"/>
      <c r="R52" s="215" t="n"/>
      <c r="S52" s="215" t="n"/>
      <c r="T52" s="215" t="n"/>
      <c r="U52" s="215" t="n"/>
      <c r="V52" s="215" t="n"/>
      <c r="W52" s="215" t="n"/>
      <c r="X52" s="215" t="n"/>
      <c r="Y52" s="215" t="n"/>
      <c r="Z52" s="215" t="n"/>
      <c r="AA52" s="215" t="n"/>
      <c r="AB52" s="215" t="n"/>
      <c r="AC52" s="215" t="n"/>
      <c r="AD52" s="215" t="n"/>
      <c r="AE52" s="215" t="n"/>
      <c r="AF52" s="215" t="n"/>
      <c r="AG52" s="215" t="n"/>
      <c r="AH52" s="215" t="n"/>
      <c r="AI52" s="215" t="n"/>
      <c r="AJ52" s="215" t="n"/>
      <c r="AK52" s="215" t="n"/>
      <c r="AL52" s="216" t="n"/>
    </row>
    <row r="53">
      <c r="B53" s="2" t="n"/>
      <c r="C53" s="105" t="n"/>
      <c r="D53" s="105" t="n"/>
      <c r="E53" s="105" t="n"/>
      <c r="F53" s="105" t="n"/>
      <c r="G53" s="105" t="n"/>
      <c r="H53" s="2" t="n"/>
      <c r="I53" s="105" t="n"/>
      <c r="J53" s="105" t="n"/>
      <c r="L53" s="215" t="n"/>
      <c r="M53" s="215" t="n"/>
      <c r="N53" s="215" t="n"/>
      <c r="O53" s="215" t="n"/>
      <c r="P53" s="215" t="n"/>
      <c r="Q53" s="215" t="n"/>
      <c r="R53" s="215" t="n"/>
      <c r="S53" s="215" t="n"/>
      <c r="T53" s="215" t="n"/>
      <c r="U53" s="215" t="n"/>
      <c r="V53" s="215" t="n"/>
      <c r="W53" s="215" t="n"/>
      <c r="X53" s="215" t="n"/>
      <c r="Y53" s="215" t="n"/>
      <c r="Z53" s="215" t="n"/>
      <c r="AA53" s="215" t="n"/>
      <c r="AB53" s="215" t="n"/>
      <c r="AC53" s="215" t="n"/>
      <c r="AD53" s="215" t="n"/>
      <c r="AE53" s="215" t="n"/>
      <c r="AF53" s="215" t="n"/>
      <c r="AG53" s="215" t="n"/>
      <c r="AH53" s="215" t="n"/>
      <c r="AI53" s="215" t="n"/>
      <c r="AJ53" s="215" t="n"/>
      <c r="AK53" s="215" t="n"/>
      <c r="AL53" s="216" t="n"/>
    </row>
    <row r="54">
      <c r="B54" s="2" t="n"/>
      <c r="C54" s="105" t="n"/>
      <c r="D54" s="105" t="n"/>
      <c r="E54" s="105" t="n"/>
      <c r="F54" s="105" t="n"/>
      <c r="G54" s="105" t="n"/>
      <c r="H54" s="2" t="n"/>
      <c r="I54" s="105" t="n"/>
      <c r="J54" s="105" t="n"/>
      <c r="L54" s="215" t="n"/>
      <c r="M54" s="215" t="n"/>
      <c r="N54" s="215" t="n"/>
      <c r="O54" s="215" t="n"/>
      <c r="P54" s="215" t="n"/>
      <c r="Q54" s="215" t="n"/>
      <c r="R54" s="215" t="n"/>
      <c r="S54" s="215" t="n"/>
      <c r="T54" s="215" t="n"/>
      <c r="U54" s="215" t="n"/>
      <c r="V54" s="215" t="n"/>
      <c r="W54" s="215" t="n"/>
      <c r="X54" s="215" t="n"/>
      <c r="Y54" s="215" t="n"/>
      <c r="Z54" s="215" t="n"/>
      <c r="AA54" s="215" t="n"/>
      <c r="AB54" s="215" t="n"/>
      <c r="AC54" s="215" t="n"/>
      <c r="AD54" s="215" t="n"/>
      <c r="AE54" s="215" t="n"/>
      <c r="AF54" s="215" t="n"/>
      <c r="AG54" s="215" t="n"/>
      <c r="AH54" s="215" t="n"/>
      <c r="AI54" s="215" t="n"/>
      <c r="AJ54" s="215" t="n"/>
      <c r="AK54" s="215" t="n"/>
      <c r="AL54" s="216" t="n"/>
    </row>
    <row r="55">
      <c r="B55" s="2" t="n"/>
      <c r="C55" s="105" t="n"/>
      <c r="D55" s="105" t="n"/>
      <c r="E55" s="105" t="n"/>
      <c r="F55" s="105" t="n"/>
      <c r="G55" s="105" t="n"/>
      <c r="H55" s="2" t="n"/>
      <c r="I55" s="105" t="n"/>
      <c r="J55" s="105" t="n"/>
      <c r="L55" s="215" t="n"/>
      <c r="M55" s="215" t="n"/>
      <c r="N55" s="215" t="n"/>
      <c r="O55" s="215" t="n"/>
      <c r="P55" s="215" t="n"/>
      <c r="Q55" s="215" t="n"/>
      <c r="R55" s="215" t="n"/>
      <c r="S55" s="215" t="n"/>
      <c r="T55" s="215" t="n"/>
      <c r="U55" s="215" t="n"/>
      <c r="V55" s="215" t="n"/>
      <c r="W55" s="215" t="n"/>
      <c r="X55" s="215" t="n"/>
      <c r="Y55" s="215" t="n"/>
      <c r="Z55" s="215" t="n"/>
      <c r="AA55" s="215" t="n"/>
      <c r="AB55" s="215" t="n"/>
      <c r="AC55" s="215" t="n"/>
      <c r="AD55" s="215" t="n"/>
      <c r="AE55" s="215" t="n"/>
      <c r="AF55" s="215" t="n"/>
      <c r="AG55" s="215" t="n"/>
      <c r="AH55" s="215" t="n"/>
      <c r="AI55" s="215" t="n"/>
      <c r="AJ55" s="215" t="n"/>
      <c r="AK55" s="215" t="n"/>
      <c r="AL55" s="216" t="n"/>
    </row>
    <row r="56">
      <c r="B56" s="2" t="n"/>
      <c r="C56" s="105" t="n"/>
      <c r="D56" s="105" t="n"/>
      <c r="E56" s="105" t="n"/>
      <c r="F56" s="105" t="n"/>
      <c r="G56" s="105" t="n"/>
      <c r="H56" s="2" t="n"/>
      <c r="I56" s="105" t="n"/>
      <c r="J56" s="105" t="n"/>
      <c r="L56" s="215" t="n"/>
      <c r="M56" s="215" t="n"/>
      <c r="N56" s="215" t="n"/>
      <c r="O56" s="215" t="n"/>
      <c r="P56" s="215" t="n"/>
      <c r="Q56" s="215" t="n"/>
      <c r="R56" s="215" t="n"/>
      <c r="S56" s="215" t="n"/>
      <c r="T56" s="215" t="n"/>
      <c r="U56" s="215" t="n"/>
      <c r="V56" s="215" t="n"/>
      <c r="W56" s="215" t="n"/>
      <c r="X56" s="215" t="n"/>
      <c r="Y56" s="215" t="n"/>
      <c r="Z56" s="215" t="n"/>
      <c r="AA56" s="215" t="n"/>
      <c r="AB56" s="215" t="n"/>
      <c r="AC56" s="215" t="n"/>
      <c r="AD56" s="215" t="n"/>
      <c r="AE56" s="215" t="n"/>
      <c r="AF56" s="215" t="n"/>
      <c r="AG56" s="215" t="n"/>
      <c r="AH56" s="215" t="n"/>
      <c r="AI56" s="215" t="n"/>
      <c r="AJ56" s="215" t="n"/>
      <c r="AK56" s="215" t="n"/>
      <c r="AL56" s="216" t="n"/>
    </row>
    <row r="57">
      <c r="B57" s="2" t="n"/>
      <c r="C57" s="105" t="n"/>
      <c r="D57" s="105" t="n"/>
      <c r="E57" s="105" t="n"/>
      <c r="F57" s="105" t="n"/>
      <c r="G57" s="105" t="n"/>
      <c r="H57" s="2" t="n"/>
      <c r="I57" s="105" t="n"/>
      <c r="J57" s="105" t="n"/>
      <c r="L57" s="215" t="n"/>
      <c r="M57" s="215" t="n"/>
      <c r="N57" s="215" t="n"/>
      <c r="O57" s="215" t="n"/>
      <c r="P57" s="215" t="n"/>
      <c r="Q57" s="215" t="n"/>
      <c r="R57" s="215" t="n"/>
      <c r="S57" s="215" t="n"/>
      <c r="T57" s="215" t="n"/>
      <c r="U57" s="215" t="n"/>
      <c r="V57" s="215" t="n"/>
      <c r="W57" s="215" t="n"/>
      <c r="X57" s="215" t="n"/>
      <c r="Y57" s="215" t="n"/>
      <c r="Z57" s="215" t="n"/>
      <c r="AA57" s="215" t="n"/>
      <c r="AB57" s="215" t="n"/>
      <c r="AC57" s="215" t="n"/>
      <c r="AD57" s="215" t="n"/>
      <c r="AE57" s="215" t="n"/>
      <c r="AF57" s="215" t="n"/>
      <c r="AG57" s="215" t="n"/>
      <c r="AH57" s="215" t="n"/>
      <c r="AI57" s="215" t="n"/>
      <c r="AJ57" s="215" t="n"/>
      <c r="AK57" s="215" t="n"/>
      <c r="AL57" s="216" t="n"/>
    </row>
    <row r="58">
      <c r="B58" s="2" t="n"/>
      <c r="C58" s="105" t="n"/>
      <c r="D58" s="105" t="n"/>
      <c r="E58" s="105" t="n"/>
      <c r="F58" s="105" t="n"/>
      <c r="G58" s="105" t="n"/>
      <c r="H58" s="2" t="n"/>
      <c r="I58" s="105" t="n"/>
      <c r="J58" s="105" t="n"/>
      <c r="L58" s="215" t="n"/>
      <c r="M58" s="215" t="n"/>
      <c r="N58" s="215" t="n"/>
      <c r="O58" s="215" t="n"/>
      <c r="P58" s="215" t="n"/>
      <c r="Q58" s="215" t="n"/>
      <c r="R58" s="215" t="n"/>
      <c r="S58" s="215" t="n"/>
      <c r="T58" s="215" t="n"/>
      <c r="U58" s="215" t="n"/>
      <c r="V58" s="215" t="n"/>
      <c r="W58" s="215" t="n"/>
      <c r="X58" s="215" t="n"/>
      <c r="Y58" s="215" t="n"/>
      <c r="Z58" s="215" t="n"/>
      <c r="AA58" s="215" t="n"/>
      <c r="AB58" s="215" t="n"/>
      <c r="AC58" s="215" t="n"/>
      <c r="AD58" s="215" t="n"/>
      <c r="AE58" s="215" t="n"/>
      <c r="AF58" s="215" t="n"/>
      <c r="AG58" s="215" t="n"/>
      <c r="AH58" s="215" t="n"/>
      <c r="AI58" s="215" t="n"/>
      <c r="AJ58" s="215" t="n"/>
      <c r="AK58" s="215" t="n"/>
      <c r="AL58" s="216" t="n"/>
    </row>
    <row r="59">
      <c r="B59" s="2" t="n"/>
      <c r="C59" s="105" t="n"/>
      <c r="D59" s="105" t="n"/>
      <c r="E59" s="105" t="n"/>
      <c r="F59" s="105" t="n"/>
      <c r="G59" s="105" t="n"/>
      <c r="H59" s="2" t="n"/>
      <c r="I59" s="105" t="n"/>
      <c r="J59" s="105" t="n"/>
      <c r="L59" s="215" t="n"/>
      <c r="M59" s="215" t="n"/>
      <c r="N59" s="215" t="n"/>
      <c r="O59" s="215" t="n"/>
      <c r="P59" s="215" t="n"/>
      <c r="Q59" s="215" t="n"/>
      <c r="R59" s="215" t="n"/>
      <c r="S59" s="215" t="n"/>
      <c r="T59" s="215" t="n"/>
      <c r="U59" s="215" t="n"/>
      <c r="V59" s="215" t="n"/>
      <c r="W59" s="215" t="n"/>
      <c r="X59" s="215" t="n"/>
      <c r="Y59" s="215" t="n"/>
      <c r="Z59" s="215" t="n"/>
      <c r="AA59" s="215" t="n"/>
      <c r="AB59" s="215" t="n"/>
      <c r="AC59" s="215" t="n"/>
      <c r="AD59" s="215" t="n"/>
      <c r="AE59" s="215" t="n"/>
      <c r="AF59" s="215" t="n"/>
      <c r="AG59" s="215" t="n"/>
      <c r="AH59" s="215" t="n"/>
      <c r="AI59" s="215" t="n"/>
      <c r="AJ59" s="215" t="n"/>
      <c r="AK59" s="215" t="n"/>
      <c r="AL59" s="216" t="n"/>
    </row>
    <row r="60">
      <c r="B60" s="2" t="n"/>
      <c r="C60" s="105" t="n"/>
      <c r="D60" s="105" t="n"/>
      <c r="E60" s="105" t="n"/>
      <c r="F60" s="105" t="n"/>
      <c r="G60" s="105" t="n"/>
      <c r="H60" s="2" t="n"/>
      <c r="I60" s="105" t="n"/>
      <c r="J60" s="105" t="n"/>
      <c r="L60" s="215" t="n"/>
      <c r="M60" s="215" t="n"/>
      <c r="N60" s="215" t="n"/>
      <c r="O60" s="215" t="n"/>
      <c r="P60" s="215" t="n"/>
      <c r="Q60" s="215" t="n"/>
      <c r="R60" s="215" t="n"/>
      <c r="S60" s="215" t="n"/>
      <c r="T60" s="215" t="n"/>
      <c r="U60" s="215" t="n"/>
      <c r="V60" s="215" t="n"/>
      <c r="W60" s="215" t="n"/>
      <c r="X60" s="215" t="n"/>
      <c r="Y60" s="215" t="n"/>
      <c r="Z60" s="215" t="n"/>
      <c r="AA60" s="215" t="n"/>
      <c r="AB60" s="215" t="n"/>
      <c r="AC60" s="215" t="n"/>
      <c r="AD60" s="215" t="n"/>
      <c r="AE60" s="215" t="n"/>
      <c r="AF60" s="215" t="n"/>
      <c r="AG60" s="215" t="n"/>
      <c r="AH60" s="215" t="n"/>
      <c r="AI60" s="215" t="n"/>
      <c r="AJ60" s="215" t="n"/>
      <c r="AK60" s="215" t="n"/>
      <c r="AL60" s="216" t="n"/>
    </row>
    <row r="61">
      <c r="B61" s="2" t="n"/>
      <c r="C61" s="105" t="n"/>
      <c r="D61" s="105" t="n"/>
      <c r="E61" s="105" t="n"/>
      <c r="F61" s="105" t="n"/>
      <c r="G61" s="105" t="n"/>
      <c r="H61" s="2" t="n"/>
      <c r="I61" s="105" t="n"/>
      <c r="J61" s="105" t="n"/>
      <c r="L61" s="215" t="n"/>
      <c r="M61" s="215" t="n"/>
      <c r="N61" s="215" t="n"/>
      <c r="O61" s="215" t="n"/>
      <c r="P61" s="215" t="n"/>
      <c r="Q61" s="215" t="n"/>
      <c r="R61" s="215" t="n"/>
      <c r="S61" s="215" t="n"/>
      <c r="T61" s="215" t="n"/>
      <c r="U61" s="215" t="n"/>
      <c r="V61" s="215" t="n"/>
      <c r="W61" s="215" t="n"/>
      <c r="X61" s="215" t="n"/>
      <c r="Y61" s="215" t="n"/>
      <c r="Z61" s="215" t="n"/>
      <c r="AA61" s="215" t="n"/>
      <c r="AB61" s="215" t="n"/>
      <c r="AC61" s="215" t="n"/>
      <c r="AD61" s="215" t="n"/>
      <c r="AE61" s="215" t="n"/>
      <c r="AF61" s="215" t="n"/>
      <c r="AG61" s="215" t="n"/>
      <c r="AH61" s="215" t="n"/>
      <c r="AI61" s="215" t="n"/>
      <c r="AJ61" s="215" t="n"/>
      <c r="AK61" s="215" t="n"/>
      <c r="AL61" s="216" t="n"/>
    </row>
    <row r="62">
      <c r="B62" s="2" t="n"/>
      <c r="C62" s="105" t="n"/>
      <c r="D62" s="105" t="n"/>
      <c r="E62" s="105" t="n"/>
      <c r="F62" s="105" t="n"/>
      <c r="G62" s="105" t="n"/>
      <c r="H62" s="2" t="n"/>
      <c r="I62" s="105" t="n"/>
      <c r="J62" s="105" t="n"/>
      <c r="L62" s="215" t="n"/>
      <c r="M62" s="215" t="n"/>
      <c r="N62" s="215" t="n"/>
      <c r="O62" s="215" t="n"/>
      <c r="P62" s="215" t="n"/>
      <c r="Q62" s="215" t="n"/>
      <c r="R62" s="215" t="n"/>
      <c r="S62" s="215" t="n"/>
      <c r="T62" s="215" t="n"/>
      <c r="U62" s="215" t="n"/>
      <c r="V62" s="215" t="n"/>
      <c r="W62" s="215" t="n"/>
      <c r="X62" s="215" t="n"/>
      <c r="Y62" s="215" t="n"/>
      <c r="Z62" s="215" t="n"/>
      <c r="AA62" s="215" t="n"/>
      <c r="AB62" s="215" t="n"/>
      <c r="AC62" s="215" t="n"/>
      <c r="AD62" s="215" t="n"/>
      <c r="AE62" s="215" t="n"/>
      <c r="AF62" s="215" t="n"/>
      <c r="AG62" s="215" t="n"/>
      <c r="AH62" s="215" t="n"/>
      <c r="AI62" s="215" t="n"/>
      <c r="AJ62" s="215" t="n"/>
      <c r="AK62" s="215" t="n"/>
      <c r="AL62" s="216" t="n"/>
    </row>
    <row r="63">
      <c r="B63" s="2" t="n"/>
      <c r="C63" s="105" t="n"/>
      <c r="D63" s="105" t="n"/>
      <c r="E63" s="105" t="n"/>
      <c r="F63" s="105" t="n"/>
      <c r="G63" s="105" t="n"/>
      <c r="H63" s="2" t="n"/>
      <c r="I63" s="105" t="n"/>
      <c r="J63" s="105" t="n"/>
      <c r="L63" s="215" t="n"/>
      <c r="M63" s="215" t="n"/>
      <c r="N63" s="215" t="n"/>
      <c r="O63" s="215" t="n"/>
      <c r="P63" s="215" t="n"/>
      <c r="Q63" s="215" t="n"/>
      <c r="R63" s="215" t="n"/>
      <c r="S63" s="215" t="n"/>
      <c r="T63" s="215" t="n"/>
      <c r="U63" s="215" t="n"/>
      <c r="V63" s="215" t="n"/>
      <c r="W63" s="215" t="n"/>
      <c r="X63" s="215" t="n"/>
      <c r="Y63" s="215" t="n"/>
      <c r="Z63" s="215" t="n"/>
      <c r="AA63" s="215" t="n"/>
      <c r="AB63" s="215" t="n"/>
      <c r="AC63" s="215" t="n"/>
      <c r="AD63" s="215" t="n"/>
      <c r="AE63" s="215" t="n"/>
      <c r="AF63" s="215" t="n"/>
      <c r="AG63" s="215" t="n"/>
      <c r="AH63" s="215" t="n"/>
      <c r="AI63" s="215" t="n"/>
      <c r="AJ63" s="215" t="n"/>
      <c r="AK63" s="215" t="n"/>
      <c r="AL63" s="216" t="n"/>
    </row>
    <row r="64">
      <c r="B64" s="2" t="n"/>
      <c r="C64" s="105" t="n"/>
      <c r="D64" s="105" t="n"/>
      <c r="E64" s="105" t="n"/>
      <c r="F64" s="105" t="n"/>
      <c r="G64" s="105" t="n"/>
      <c r="H64" s="2" t="n"/>
      <c r="I64" s="105" t="n"/>
      <c r="J64" s="105" t="n"/>
      <c r="L64" s="215" t="n"/>
      <c r="M64" s="215" t="n"/>
      <c r="N64" s="215" t="n"/>
      <c r="O64" s="215" t="n"/>
      <c r="P64" s="215" t="n"/>
      <c r="Q64" s="215" t="n"/>
      <c r="R64" s="215" t="n"/>
      <c r="S64" s="215" t="n"/>
      <c r="T64" s="215" t="n"/>
      <c r="U64" s="215" t="n"/>
      <c r="V64" s="215" t="n"/>
      <c r="W64" s="215" t="n"/>
      <c r="X64" s="215" t="n"/>
      <c r="Y64" s="215" t="n"/>
      <c r="Z64" s="215" t="n"/>
      <c r="AA64" s="215" t="n"/>
      <c r="AB64" s="215" t="n"/>
      <c r="AC64" s="215" t="n"/>
      <c r="AD64" s="215" t="n"/>
      <c r="AE64" s="215" t="n"/>
      <c r="AF64" s="215" t="n"/>
      <c r="AG64" s="215" t="n"/>
      <c r="AH64" s="215" t="n"/>
      <c r="AI64" s="215" t="n"/>
      <c r="AJ64" s="215" t="n"/>
      <c r="AK64" s="215" t="n"/>
      <c r="AL64" s="216" t="n"/>
    </row>
    <row r="65">
      <c r="B65" s="2" t="n"/>
      <c r="C65" s="105" t="n"/>
      <c r="D65" s="105" t="n"/>
      <c r="E65" s="105" t="n"/>
      <c r="F65" s="105" t="n"/>
      <c r="G65" s="105" t="n"/>
      <c r="H65" s="2" t="n"/>
      <c r="I65" s="105" t="n"/>
      <c r="J65" s="105" t="n"/>
      <c r="L65" s="215" t="n"/>
      <c r="M65" s="215" t="n"/>
      <c r="N65" s="215" t="n"/>
      <c r="O65" s="215" t="n"/>
      <c r="P65" s="215" t="n"/>
      <c r="Q65" s="215" t="n"/>
      <c r="R65" s="215" t="n"/>
      <c r="S65" s="215" t="n"/>
      <c r="T65" s="215" t="n"/>
      <c r="U65" s="215" t="n"/>
      <c r="V65" s="215" t="n"/>
      <c r="W65" s="215" t="n"/>
      <c r="X65" s="215" t="n"/>
      <c r="Y65" s="215" t="n"/>
      <c r="Z65" s="215" t="n"/>
      <c r="AA65" s="215" t="n"/>
      <c r="AB65" s="215" t="n"/>
      <c r="AC65" s="215" t="n"/>
      <c r="AD65" s="215" t="n"/>
      <c r="AE65" s="215" t="n"/>
      <c r="AF65" s="215" t="n"/>
      <c r="AG65" s="215" t="n"/>
      <c r="AH65" s="215" t="n"/>
      <c r="AI65" s="215" t="n"/>
      <c r="AJ65" s="215" t="n"/>
      <c r="AK65" s="215" t="n"/>
      <c r="AL65" s="216" t="n"/>
    </row>
    <row r="66">
      <c r="B66" s="2" t="n"/>
      <c r="C66" s="105" t="n"/>
      <c r="D66" s="105" t="n"/>
      <c r="E66" s="105" t="n"/>
      <c r="F66" s="105" t="n"/>
      <c r="G66" s="105" t="n"/>
      <c r="H66" s="2" t="n"/>
      <c r="I66" s="105" t="n"/>
      <c r="J66" s="105" t="n"/>
      <c r="L66" s="215" t="n"/>
      <c r="M66" s="215" t="n"/>
      <c r="N66" s="215" t="n"/>
      <c r="O66" s="215" t="n"/>
      <c r="P66" s="215" t="n"/>
      <c r="Q66" s="215" t="n"/>
      <c r="R66" s="215" t="n"/>
      <c r="S66" s="215" t="n"/>
      <c r="T66" s="215" t="n"/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215" t="n"/>
      <c r="AJ66" s="215" t="n"/>
      <c r="AK66" s="215" t="n"/>
      <c r="AL66" s="216" t="n"/>
    </row>
    <row r="67">
      <c r="B67" s="2" t="n"/>
      <c r="C67" s="105" t="n"/>
      <c r="D67" s="105" t="n"/>
      <c r="E67" s="105" t="n"/>
      <c r="F67" s="105" t="n"/>
      <c r="G67" s="105" t="n"/>
      <c r="H67" s="2" t="n"/>
      <c r="I67" s="105" t="n"/>
      <c r="J67" s="105" t="n"/>
      <c r="L67" s="215" t="n"/>
      <c r="M67" s="215" t="n"/>
      <c r="N67" s="215" t="n"/>
      <c r="O67" s="215" t="n"/>
      <c r="P67" s="215" t="n"/>
      <c r="Q67" s="215" t="n"/>
      <c r="R67" s="215" t="n"/>
      <c r="S67" s="215" t="n"/>
      <c r="T67" s="215" t="n"/>
      <c r="U67" s="215" t="n"/>
      <c r="V67" s="215" t="n"/>
      <c r="W67" s="215" t="n"/>
      <c r="X67" s="215" t="n"/>
      <c r="Y67" s="215" t="n"/>
      <c r="Z67" s="215" t="n"/>
      <c r="AA67" s="215" t="n"/>
      <c r="AB67" s="215" t="n"/>
      <c r="AC67" s="215" t="n"/>
      <c r="AD67" s="215" t="n"/>
      <c r="AE67" s="215" t="n"/>
      <c r="AF67" s="215" t="n"/>
      <c r="AG67" s="215" t="n"/>
      <c r="AH67" s="215" t="n"/>
      <c r="AI67" s="215" t="n"/>
      <c r="AJ67" s="215" t="n"/>
      <c r="AK67" s="215" t="n"/>
      <c r="AL67" s="216" t="n"/>
    </row>
    <row r="68">
      <c r="B68" s="2" t="n"/>
      <c r="C68" s="105" t="n"/>
      <c r="D68" s="105" t="n"/>
      <c r="E68" s="105" t="n"/>
      <c r="F68" s="105" t="n"/>
      <c r="G68" s="105" t="n"/>
      <c r="H68" s="2" t="n"/>
      <c r="I68" s="105" t="n"/>
      <c r="J68" s="105" t="n"/>
      <c r="L68" s="215" t="n"/>
      <c r="M68" s="215" t="n"/>
      <c r="N68" s="215" t="n"/>
      <c r="O68" s="215" t="n"/>
      <c r="P68" s="215" t="n"/>
      <c r="Q68" s="215" t="n"/>
      <c r="R68" s="215" t="n"/>
      <c r="S68" s="215" t="n"/>
      <c r="T68" s="215" t="n"/>
      <c r="U68" s="215" t="n"/>
      <c r="V68" s="215" t="n"/>
      <c r="W68" s="215" t="n"/>
      <c r="X68" s="215" t="n"/>
      <c r="Y68" s="215" t="n"/>
      <c r="Z68" s="215" t="n"/>
      <c r="AA68" s="215" t="n"/>
      <c r="AB68" s="215" t="n"/>
      <c r="AC68" s="215" t="n"/>
      <c r="AD68" s="215" t="n"/>
      <c r="AE68" s="215" t="n"/>
      <c r="AF68" s="215" t="n"/>
      <c r="AG68" s="215" t="n"/>
      <c r="AH68" s="215" t="n"/>
      <c r="AI68" s="215" t="n"/>
      <c r="AJ68" s="215" t="n"/>
      <c r="AK68" s="215" t="n"/>
      <c r="AL68" s="216" t="n"/>
    </row>
    <row r="69">
      <c r="B69" s="2" t="n"/>
      <c r="C69" s="105" t="n"/>
      <c r="D69" s="105" t="n"/>
      <c r="E69" s="105" t="n"/>
      <c r="F69" s="105" t="n"/>
      <c r="G69" s="105" t="n"/>
      <c r="H69" s="2" t="n"/>
      <c r="I69" s="105" t="n"/>
      <c r="J69" s="105" t="n"/>
      <c r="L69" s="215" t="n"/>
      <c r="M69" s="215" t="n"/>
      <c r="N69" s="215" t="n"/>
      <c r="O69" s="215" t="n"/>
      <c r="P69" s="215" t="n"/>
      <c r="Q69" s="215" t="n"/>
      <c r="R69" s="215" t="n"/>
      <c r="S69" s="215" t="n"/>
      <c r="T69" s="215" t="n"/>
      <c r="U69" s="215" t="n"/>
      <c r="V69" s="215" t="n"/>
      <c r="W69" s="215" t="n"/>
      <c r="X69" s="215" t="n"/>
      <c r="Y69" s="215" t="n"/>
      <c r="Z69" s="215" t="n"/>
      <c r="AA69" s="215" t="n"/>
      <c r="AB69" s="215" t="n"/>
      <c r="AC69" s="215" t="n"/>
      <c r="AD69" s="215" t="n"/>
      <c r="AE69" s="215" t="n"/>
      <c r="AF69" s="215" t="n"/>
      <c r="AG69" s="215" t="n"/>
      <c r="AH69" s="215" t="n"/>
      <c r="AI69" s="215" t="n"/>
      <c r="AJ69" s="215" t="n"/>
      <c r="AK69" s="215" t="n"/>
      <c r="AL69" s="216" t="n"/>
    </row>
    <row r="70">
      <c r="B70" s="2" t="n"/>
      <c r="C70" s="105" t="n"/>
      <c r="D70" s="105" t="n"/>
      <c r="E70" s="105" t="n"/>
      <c r="F70" s="105" t="n"/>
      <c r="G70" s="105" t="n"/>
      <c r="H70" s="2" t="n"/>
      <c r="I70" s="105" t="n"/>
      <c r="J70" s="105" t="n"/>
      <c r="L70" s="215" t="n"/>
      <c r="M70" s="215" t="n"/>
      <c r="N70" s="215" t="n"/>
      <c r="O70" s="215" t="n"/>
      <c r="P70" s="215" t="n"/>
      <c r="Q70" s="215" t="n"/>
      <c r="R70" s="215" t="n"/>
      <c r="S70" s="215" t="n"/>
      <c r="T70" s="215" t="n"/>
      <c r="U70" s="215" t="n"/>
      <c r="V70" s="215" t="n"/>
      <c r="W70" s="215" t="n"/>
      <c r="X70" s="215" t="n"/>
      <c r="Y70" s="215" t="n"/>
      <c r="Z70" s="215" t="n"/>
      <c r="AA70" s="215" t="n"/>
      <c r="AB70" s="215" t="n"/>
      <c r="AC70" s="215" t="n"/>
      <c r="AD70" s="215" t="n"/>
      <c r="AE70" s="215" t="n"/>
      <c r="AF70" s="215" t="n"/>
      <c r="AG70" s="215" t="n"/>
      <c r="AH70" s="215" t="n"/>
      <c r="AI70" s="215" t="n"/>
      <c r="AJ70" s="215" t="n"/>
      <c r="AK70" s="215" t="n"/>
      <c r="AL70" s="216" t="n"/>
    </row>
    <row r="71">
      <c r="B71" s="2" t="n"/>
      <c r="C71" s="105" t="n"/>
      <c r="D71" s="105" t="n"/>
      <c r="E71" s="105" t="n"/>
      <c r="F71" s="105" t="n"/>
      <c r="G71" s="105" t="n"/>
      <c r="H71" s="2" t="n"/>
      <c r="I71" s="105" t="n"/>
      <c r="J71" s="105" t="n"/>
      <c r="L71" s="215" t="n"/>
      <c r="M71" s="215" t="n"/>
      <c r="N71" s="215" t="n"/>
      <c r="O71" s="215" t="n"/>
      <c r="P71" s="215" t="n"/>
      <c r="Q71" s="215" t="n"/>
      <c r="R71" s="215" t="n"/>
      <c r="S71" s="215" t="n"/>
      <c r="T71" s="215" t="n"/>
      <c r="U71" s="215" t="n"/>
      <c r="V71" s="215" t="n"/>
      <c r="W71" s="215" t="n"/>
      <c r="X71" s="215" t="n"/>
      <c r="Y71" s="215" t="n"/>
      <c r="Z71" s="215" t="n"/>
      <c r="AA71" s="215" t="n"/>
      <c r="AB71" s="215" t="n"/>
      <c r="AC71" s="215" t="n"/>
      <c r="AD71" s="215" t="n"/>
      <c r="AE71" s="215" t="n"/>
      <c r="AF71" s="215" t="n"/>
      <c r="AG71" s="215" t="n"/>
      <c r="AH71" s="215" t="n"/>
      <c r="AI71" s="215" t="n"/>
      <c r="AJ71" s="215" t="n"/>
      <c r="AK71" s="215" t="n"/>
      <c r="AL71" s="216" t="n"/>
    </row>
    <row r="72">
      <c r="B72" s="2" t="n"/>
      <c r="C72" s="105" t="n"/>
      <c r="D72" s="105" t="n"/>
      <c r="E72" s="105" t="n"/>
      <c r="F72" s="105" t="n"/>
      <c r="G72" s="105" t="n"/>
      <c r="H72" s="2" t="n"/>
      <c r="I72" s="105" t="n"/>
      <c r="J72" s="105" t="n"/>
      <c r="L72" s="215" t="n"/>
      <c r="M72" s="215" t="n"/>
      <c r="N72" s="215" t="n"/>
      <c r="O72" s="215" t="n"/>
      <c r="P72" s="215" t="n"/>
      <c r="Q72" s="215" t="n"/>
      <c r="R72" s="215" t="n"/>
      <c r="S72" s="215" t="n"/>
      <c r="T72" s="215" t="n"/>
      <c r="U72" s="215" t="n"/>
      <c r="V72" s="215" t="n"/>
      <c r="W72" s="215" t="n"/>
      <c r="X72" s="215" t="n"/>
      <c r="Y72" s="215" t="n"/>
      <c r="Z72" s="215" t="n"/>
      <c r="AA72" s="215" t="n"/>
      <c r="AB72" s="215" t="n"/>
      <c r="AC72" s="215" t="n"/>
      <c r="AD72" s="215" t="n"/>
      <c r="AE72" s="215" t="n"/>
      <c r="AF72" s="215" t="n"/>
      <c r="AG72" s="215" t="n"/>
      <c r="AH72" s="215" t="n"/>
      <c r="AI72" s="215" t="n"/>
      <c r="AJ72" s="215" t="n"/>
      <c r="AK72" s="215" t="n"/>
      <c r="AL72" s="216" t="n"/>
    </row>
    <row r="73">
      <c r="B73" s="2" t="n"/>
      <c r="C73" s="105" t="n"/>
      <c r="D73" s="105" t="n"/>
      <c r="E73" s="105" t="n"/>
      <c r="F73" s="105" t="n"/>
      <c r="G73" s="105" t="n"/>
      <c r="H73" s="2" t="n"/>
      <c r="I73" s="105" t="n"/>
      <c r="J73" s="105" t="n"/>
      <c r="L73" s="215" t="n"/>
      <c r="M73" s="215" t="n"/>
      <c r="N73" s="215" t="n"/>
      <c r="O73" s="215" t="n"/>
      <c r="P73" s="215" t="n"/>
      <c r="Q73" s="215" t="n"/>
      <c r="R73" s="215" t="n"/>
      <c r="S73" s="215" t="n"/>
      <c r="T73" s="215" t="n"/>
      <c r="U73" s="215" t="n"/>
      <c r="V73" s="215" t="n"/>
      <c r="W73" s="215" t="n"/>
      <c r="X73" s="215" t="n"/>
      <c r="Y73" s="215" t="n"/>
      <c r="Z73" s="215" t="n"/>
      <c r="AA73" s="215" t="n"/>
      <c r="AB73" s="215" t="n"/>
      <c r="AC73" s="215" t="n"/>
      <c r="AD73" s="215" t="n"/>
      <c r="AE73" s="215" t="n"/>
      <c r="AF73" s="215" t="n"/>
      <c r="AG73" s="215" t="n"/>
      <c r="AH73" s="215" t="n"/>
      <c r="AI73" s="215" t="n"/>
      <c r="AJ73" s="215" t="n"/>
      <c r="AK73" s="215" t="n"/>
      <c r="AL73" s="216" t="n"/>
    </row>
    <row r="74">
      <c r="B74" s="2" t="n"/>
      <c r="C74" s="105" t="n"/>
      <c r="D74" s="105" t="n"/>
      <c r="E74" s="105" t="n"/>
      <c r="F74" s="105" t="n"/>
      <c r="G74" s="105" t="n"/>
      <c r="H74" s="2" t="n"/>
      <c r="I74" s="105" t="n"/>
      <c r="J74" s="105" t="n"/>
      <c r="L74" s="215" t="n"/>
      <c r="M74" s="215" t="n"/>
      <c r="N74" s="215" t="n"/>
      <c r="O74" s="215" t="n"/>
      <c r="P74" s="215" t="n"/>
      <c r="Q74" s="215" t="n"/>
      <c r="R74" s="215" t="n"/>
      <c r="S74" s="215" t="n"/>
      <c r="T74" s="215" t="n"/>
      <c r="U74" s="215" t="n"/>
      <c r="V74" s="215" t="n"/>
      <c r="W74" s="215" t="n"/>
      <c r="X74" s="215" t="n"/>
      <c r="Y74" s="215" t="n"/>
      <c r="Z74" s="215" t="n"/>
      <c r="AA74" s="215" t="n"/>
      <c r="AB74" s="215" t="n"/>
      <c r="AC74" s="215" t="n"/>
      <c r="AD74" s="215" t="n"/>
      <c r="AE74" s="215" t="n"/>
      <c r="AF74" s="215" t="n"/>
      <c r="AG74" s="215" t="n"/>
      <c r="AH74" s="215" t="n"/>
      <c r="AI74" s="215" t="n"/>
      <c r="AJ74" s="215" t="n"/>
      <c r="AK74" s="215" t="n"/>
      <c r="AL74" s="216" t="n"/>
    </row>
    <row r="75">
      <c r="B75" s="2" t="n"/>
      <c r="C75" s="105" t="n"/>
      <c r="D75" s="105" t="n"/>
      <c r="E75" s="105" t="n"/>
      <c r="F75" s="105" t="n"/>
      <c r="G75" s="105" t="n"/>
      <c r="H75" s="2" t="n"/>
      <c r="I75" s="105" t="n"/>
      <c r="J75" s="105" t="n"/>
      <c r="L75" s="215" t="n"/>
      <c r="M75" s="215" t="n"/>
      <c r="N75" s="215" t="n"/>
      <c r="O75" s="215" t="n"/>
      <c r="P75" s="215" t="n"/>
      <c r="Q75" s="215" t="n"/>
      <c r="R75" s="215" t="n"/>
      <c r="S75" s="215" t="n"/>
      <c r="T75" s="215" t="n"/>
      <c r="U75" s="215" t="n"/>
      <c r="V75" s="215" t="n"/>
      <c r="W75" s="215" t="n"/>
      <c r="X75" s="215" t="n"/>
      <c r="Y75" s="215" t="n"/>
      <c r="Z75" s="215" t="n"/>
      <c r="AA75" s="215" t="n"/>
      <c r="AB75" s="215" t="n"/>
      <c r="AC75" s="215" t="n"/>
      <c r="AD75" s="215" t="n"/>
      <c r="AE75" s="215" t="n"/>
      <c r="AF75" s="215" t="n"/>
      <c r="AG75" s="215" t="n"/>
      <c r="AH75" s="215" t="n"/>
      <c r="AI75" s="215" t="n"/>
      <c r="AJ75" s="215" t="n"/>
      <c r="AK75" s="215" t="n"/>
      <c r="AL75" s="216" t="n"/>
    </row>
    <row r="76">
      <c r="B76" s="2" t="n"/>
      <c r="C76" s="105" t="n"/>
      <c r="D76" s="105" t="n"/>
      <c r="E76" s="105" t="n"/>
      <c r="F76" s="105" t="n"/>
      <c r="G76" s="105" t="n"/>
      <c r="H76" s="2" t="n"/>
      <c r="I76" s="105" t="n"/>
      <c r="J76" s="105" t="n"/>
      <c r="L76" s="215" t="n"/>
      <c r="M76" s="215" t="n"/>
      <c r="N76" s="215" t="n"/>
      <c r="O76" s="215" t="n"/>
      <c r="P76" s="215" t="n"/>
      <c r="Q76" s="215" t="n"/>
      <c r="R76" s="215" t="n"/>
      <c r="S76" s="215" t="n"/>
      <c r="T76" s="215" t="n"/>
      <c r="U76" s="215" t="n"/>
      <c r="V76" s="215" t="n"/>
      <c r="W76" s="215" t="n"/>
      <c r="X76" s="215" t="n"/>
      <c r="Y76" s="215" t="n"/>
      <c r="Z76" s="215" t="n"/>
      <c r="AA76" s="215" t="n"/>
      <c r="AB76" s="215" t="n"/>
      <c r="AC76" s="215" t="n"/>
      <c r="AD76" s="215" t="n"/>
      <c r="AE76" s="215" t="n"/>
      <c r="AF76" s="215" t="n"/>
      <c r="AG76" s="215" t="n"/>
      <c r="AH76" s="215" t="n"/>
      <c r="AI76" s="215" t="n"/>
      <c r="AJ76" s="215" t="n"/>
      <c r="AK76" s="215" t="n"/>
      <c r="AL76" s="216" t="n"/>
      <c r="AN76" t="n">
        <v>15</v>
      </c>
    </row>
    <row r="77">
      <c r="A77" s="131" t="n"/>
      <c r="B77" s="2" t="n"/>
      <c r="C77" s="105" t="n"/>
      <c r="D77" s="105" t="n"/>
      <c r="E77" s="105" t="n"/>
      <c r="F77" s="105" t="n"/>
      <c r="G77" s="105" t="n"/>
      <c r="H77" s="2" t="n"/>
      <c r="I77" s="105" t="n"/>
      <c r="J77" s="105" t="n"/>
      <c r="L77" s="215" t="n"/>
      <c r="M77" s="215" t="n"/>
      <c r="N77" s="215" t="n"/>
      <c r="O77" s="215" t="n"/>
      <c r="P77" s="215" t="n"/>
      <c r="Q77" s="215" t="n"/>
      <c r="R77" s="215" t="n"/>
      <c r="S77" s="215" t="n"/>
      <c r="T77" s="215" t="n"/>
      <c r="U77" s="215" t="n"/>
      <c r="V77" s="215" t="n"/>
      <c r="W77" s="215" t="n"/>
      <c r="X77" s="215" t="n"/>
      <c r="Y77" s="215" t="n"/>
      <c r="Z77" s="215" t="n"/>
      <c r="AA77" s="215" t="n"/>
      <c r="AB77" s="215" t="n"/>
      <c r="AC77" s="215" t="n"/>
      <c r="AD77" s="215" t="n"/>
      <c r="AE77" s="215" t="n"/>
      <c r="AF77" s="215" t="n"/>
      <c r="AG77" s="215" t="n"/>
      <c r="AH77" s="215" t="n"/>
      <c r="AI77" s="215" t="n"/>
      <c r="AJ77" s="215" t="n"/>
      <c r="AK77" s="215" t="n"/>
      <c r="AL77" s="216" t="n"/>
      <c r="AN77" s="217">
        <f>SUM(P77:AD77)</f>
        <v/>
      </c>
    </row>
    <row r="78">
      <c r="B78" s="2" t="n"/>
      <c r="C78" s="105" t="n"/>
      <c r="D78" s="105" t="n"/>
      <c r="E78" s="105" t="n"/>
      <c r="F78" s="105" t="n"/>
      <c r="G78" s="105" t="n"/>
      <c r="H78" s="2" t="n"/>
      <c r="I78" s="105" t="n"/>
      <c r="J78" s="105" t="n"/>
      <c r="L78" s="215" t="n"/>
      <c r="M78" s="215" t="n"/>
      <c r="N78" s="215" t="n"/>
      <c r="O78" s="215" t="n"/>
      <c r="P78" s="215" t="n"/>
      <c r="Q78" s="215" t="n"/>
      <c r="R78" s="215" t="n"/>
      <c r="S78" s="215" t="n"/>
      <c r="T78" s="215" t="n"/>
      <c r="U78" s="215" t="n"/>
      <c r="V78" s="215" t="n"/>
      <c r="W78" s="215" t="n"/>
      <c r="X78" s="215" t="n"/>
      <c r="Y78" s="215" t="n"/>
      <c r="Z78" s="215" t="n"/>
      <c r="AA78" s="215" t="n"/>
      <c r="AB78" s="215" t="n"/>
      <c r="AC78" s="215" t="n"/>
      <c r="AD78" s="215" t="n"/>
      <c r="AE78" s="215" t="n"/>
      <c r="AF78" s="215" t="n"/>
      <c r="AG78" s="215" t="n"/>
      <c r="AH78" s="215" t="n"/>
      <c r="AI78" s="215" t="n"/>
      <c r="AJ78" s="215" t="n"/>
      <c r="AK78" s="215" t="n"/>
      <c r="AL78" s="216" t="n"/>
    </row>
    <row r="79">
      <c r="B79" s="2" t="n"/>
      <c r="C79" s="105" t="n"/>
      <c r="D79" s="105" t="n"/>
      <c r="E79" s="105" t="n"/>
      <c r="F79" s="105" t="n"/>
      <c r="G79" s="105" t="n"/>
      <c r="H79" s="2" t="n"/>
      <c r="I79" s="105" t="n"/>
      <c r="J79" s="105" t="n"/>
      <c r="L79" s="215" t="n"/>
      <c r="M79" s="215" t="n"/>
      <c r="N79" s="215" t="n"/>
      <c r="O79" s="215" t="n"/>
      <c r="P79" s="215" t="n"/>
      <c r="Q79" s="215" t="n"/>
      <c r="R79" s="215" t="n"/>
      <c r="S79" s="215" t="n"/>
      <c r="T79" s="215" t="n"/>
      <c r="U79" s="215" t="n"/>
      <c r="V79" s="215" t="n"/>
      <c r="W79" s="215" t="n"/>
      <c r="X79" s="215" t="n"/>
      <c r="Y79" s="215" t="n"/>
      <c r="Z79" s="215" t="n"/>
      <c r="AA79" s="215" t="n"/>
      <c r="AB79" s="215" t="n"/>
      <c r="AC79" s="215" t="n"/>
      <c r="AD79" s="215" t="n"/>
      <c r="AE79" s="215" t="n"/>
      <c r="AF79" s="215" t="n"/>
      <c r="AG79" s="215" t="n"/>
      <c r="AH79" s="215" t="n"/>
      <c r="AI79" s="215" t="n"/>
      <c r="AJ79" s="215" t="n"/>
      <c r="AK79" s="215" t="n"/>
      <c r="AL79" s="216" t="n"/>
    </row>
    <row r="80">
      <c r="B80" s="2" t="n"/>
      <c r="C80" s="105" t="n"/>
      <c r="D80" s="105" t="n"/>
      <c r="E80" s="105" t="n"/>
      <c r="F80" s="105" t="n"/>
      <c r="G80" s="105" t="n"/>
      <c r="H80" s="2" t="n"/>
      <c r="I80" s="105" t="n"/>
      <c r="J80" s="105" t="n"/>
      <c r="L80" s="215" t="n"/>
      <c r="M80" s="215" t="n"/>
      <c r="N80" s="215" t="n"/>
      <c r="O80" s="215" t="n"/>
      <c r="P80" s="215" t="n"/>
      <c r="Q80" s="215" t="n"/>
      <c r="R80" s="215" t="n"/>
      <c r="S80" s="215" t="n"/>
      <c r="T80" s="215" t="n"/>
      <c r="U80" s="215" t="n"/>
      <c r="V80" s="215" t="n"/>
      <c r="W80" s="215" t="n"/>
      <c r="X80" s="215" t="n"/>
      <c r="Y80" s="215" t="n"/>
      <c r="Z80" s="215" t="n"/>
      <c r="AA80" s="215" t="n"/>
      <c r="AB80" s="215" t="n"/>
      <c r="AC80" s="215" t="n"/>
      <c r="AD80" s="215" t="n"/>
      <c r="AE80" s="215" t="n"/>
      <c r="AF80" s="215" t="n"/>
      <c r="AG80" s="215" t="n"/>
      <c r="AH80" s="215" t="n"/>
      <c r="AI80" s="215" t="n"/>
      <c r="AJ80" s="215" t="n"/>
      <c r="AK80" s="215" t="n"/>
      <c r="AL80" s="216" t="n"/>
    </row>
    <row r="81">
      <c r="B81" s="2" t="n"/>
      <c r="C81" s="105" t="n"/>
      <c r="D81" s="105" t="n"/>
      <c r="E81" s="105" t="n"/>
      <c r="F81" s="105" t="n"/>
      <c r="G81" s="105" t="n"/>
      <c r="H81" s="2" t="n"/>
      <c r="I81" s="105" t="n"/>
      <c r="J81" s="105" t="n"/>
      <c r="L81" s="215" t="n"/>
      <c r="M81" s="215" t="n"/>
      <c r="N81" s="215" t="n"/>
      <c r="O81" s="215" t="n"/>
      <c r="P81" s="215" t="n"/>
      <c r="Q81" s="215" t="n"/>
      <c r="R81" s="215" t="n"/>
      <c r="S81" s="215" t="n"/>
      <c r="T81" s="215" t="n"/>
      <c r="U81" s="215" t="n"/>
      <c r="V81" s="215" t="n"/>
      <c r="W81" s="215" t="n"/>
      <c r="X81" s="215" t="n"/>
      <c r="Y81" s="215" t="n"/>
      <c r="Z81" s="215" t="n"/>
      <c r="AA81" s="215" t="n"/>
      <c r="AB81" s="215" t="n"/>
      <c r="AC81" s="215" t="n"/>
      <c r="AD81" s="215" t="n"/>
      <c r="AE81" s="215" t="n"/>
      <c r="AF81" s="215" t="n"/>
      <c r="AG81" s="215" t="n"/>
      <c r="AH81" s="215" t="n"/>
      <c r="AI81" s="215" t="n"/>
      <c r="AJ81" s="215" t="n"/>
      <c r="AK81" s="215" t="n"/>
      <c r="AL81" s="216" t="n"/>
    </row>
    <row r="82">
      <c r="B82" s="2" t="n"/>
      <c r="C82" s="105" t="n"/>
      <c r="D82" s="105" t="n"/>
      <c r="E82" s="105" t="n"/>
      <c r="F82" s="105" t="n"/>
      <c r="G82" s="105" t="n"/>
      <c r="H82" s="2" t="n"/>
      <c r="I82" s="105" t="n"/>
      <c r="J82" s="105" t="n"/>
      <c r="L82" s="215" t="n"/>
      <c r="M82" s="215" t="n"/>
      <c r="N82" s="215" t="n"/>
      <c r="O82" s="215" t="n"/>
      <c r="P82" s="215" t="n"/>
      <c r="Q82" s="215" t="n"/>
      <c r="R82" s="215" t="n"/>
      <c r="S82" s="215" t="n"/>
      <c r="T82" s="215" t="n"/>
      <c r="U82" s="215" t="n"/>
      <c r="V82" s="215" t="n"/>
      <c r="W82" s="215" t="n"/>
      <c r="X82" s="215" t="n"/>
      <c r="Y82" s="215" t="n"/>
      <c r="Z82" s="215" t="n"/>
      <c r="AA82" s="215" t="n"/>
      <c r="AB82" s="215" t="n"/>
      <c r="AC82" s="215" t="n"/>
      <c r="AD82" s="215" t="n"/>
      <c r="AE82" s="215" t="n"/>
      <c r="AF82" s="215" t="n"/>
      <c r="AG82" s="215" t="n"/>
      <c r="AH82" s="215" t="n"/>
      <c r="AI82" s="215" t="n"/>
      <c r="AJ82" s="215" t="n"/>
      <c r="AK82" s="215" t="n"/>
      <c r="AL82" s="216" t="n"/>
    </row>
    <row r="83">
      <c r="B83" s="2" t="n"/>
      <c r="C83" s="105" t="n"/>
      <c r="D83" s="105" t="n"/>
      <c r="E83" s="105" t="n"/>
      <c r="F83" s="105" t="n"/>
      <c r="G83" s="105" t="n"/>
      <c r="H83" s="2" t="n"/>
      <c r="I83" s="105" t="n"/>
      <c r="J83" s="105" t="n"/>
      <c r="L83" s="215" t="n"/>
      <c r="M83" s="215" t="n"/>
      <c r="N83" s="215" t="n"/>
      <c r="O83" s="215" t="n"/>
      <c r="P83" s="215" t="n"/>
      <c r="Q83" s="215" t="n"/>
      <c r="R83" s="215" t="n"/>
      <c r="S83" s="215" t="n"/>
      <c r="T83" s="215" t="n"/>
      <c r="U83" s="215" t="n"/>
      <c r="V83" s="215" t="n"/>
      <c r="W83" s="215" t="n"/>
      <c r="X83" s="215" t="n"/>
      <c r="Y83" s="215" t="n"/>
      <c r="Z83" s="215" t="n"/>
      <c r="AA83" s="215" t="n"/>
      <c r="AB83" s="215" t="n"/>
      <c r="AC83" s="215" t="n"/>
      <c r="AD83" s="215" t="n"/>
      <c r="AE83" s="215" t="n"/>
      <c r="AF83" s="215" t="n"/>
      <c r="AG83" s="215" t="n"/>
      <c r="AH83" s="215" t="n"/>
      <c r="AI83" s="215" t="n"/>
      <c r="AJ83" s="215" t="n"/>
      <c r="AK83" s="215" t="n"/>
      <c r="AL83" s="216" t="n"/>
    </row>
    <row r="84">
      <c r="B84" s="2" t="n"/>
      <c r="C84" s="105" t="n"/>
      <c r="D84" s="105" t="n"/>
      <c r="E84" s="105" t="n"/>
      <c r="F84" s="105" t="n"/>
      <c r="G84" s="105" t="n"/>
      <c r="H84" s="2" t="n"/>
      <c r="I84" s="105" t="n"/>
      <c r="J84" s="105" t="n"/>
      <c r="L84" s="215" t="n"/>
      <c r="M84" s="215" t="n"/>
      <c r="N84" s="215" t="n"/>
      <c r="O84" s="215" t="n"/>
      <c r="P84" s="215" t="n"/>
      <c r="Q84" s="215" t="n"/>
      <c r="R84" s="215" t="n"/>
      <c r="S84" s="215" t="n"/>
      <c r="T84" s="215" t="n"/>
      <c r="U84" s="215" t="n"/>
      <c r="V84" s="215" t="n"/>
      <c r="W84" s="215" t="n"/>
      <c r="X84" s="215" t="n"/>
      <c r="Y84" s="215" t="n"/>
      <c r="Z84" s="215" t="n"/>
      <c r="AA84" s="215" t="n"/>
      <c r="AB84" s="215" t="n"/>
      <c r="AC84" s="215" t="n"/>
      <c r="AD84" s="215" t="n"/>
      <c r="AE84" s="215" t="n"/>
      <c r="AF84" s="215" t="n"/>
      <c r="AG84" s="215" t="n"/>
      <c r="AH84" s="215" t="n"/>
      <c r="AI84" s="215" t="n"/>
      <c r="AJ84" s="215" t="n"/>
      <c r="AK84" s="215" t="n"/>
      <c r="AL84" s="216" t="n"/>
    </row>
    <row r="85">
      <c r="B85" s="2" t="n"/>
      <c r="C85" s="105" t="n"/>
      <c r="D85" s="105" t="n"/>
      <c r="E85" s="105" t="n"/>
      <c r="F85" s="105" t="n"/>
      <c r="G85" s="105" t="n"/>
      <c r="H85" s="2" t="n"/>
      <c r="I85" s="105" t="n"/>
      <c r="J85" s="105" t="n"/>
      <c r="L85" s="215" t="n"/>
      <c r="M85" s="215" t="n"/>
      <c r="N85" s="215" t="n"/>
      <c r="O85" s="215" t="n"/>
      <c r="P85" s="215" t="n"/>
      <c r="Q85" s="215" t="n"/>
      <c r="R85" s="215" t="n"/>
      <c r="S85" s="215" t="n"/>
      <c r="T85" s="215" t="n"/>
      <c r="U85" s="215" t="n"/>
      <c r="V85" s="215" t="n"/>
      <c r="W85" s="215" t="n"/>
      <c r="X85" s="215" t="n"/>
      <c r="Y85" s="215" t="n"/>
      <c r="Z85" s="215" t="n"/>
      <c r="AA85" s="215" t="n"/>
      <c r="AB85" s="215" t="n"/>
      <c r="AC85" s="215" t="n"/>
      <c r="AD85" s="215" t="n"/>
      <c r="AE85" s="215" t="n"/>
      <c r="AF85" s="215" t="n"/>
      <c r="AG85" s="215" t="n"/>
      <c r="AH85" s="215" t="n"/>
      <c r="AI85" s="215" t="n"/>
      <c r="AJ85" s="215" t="n"/>
      <c r="AK85" s="215" t="n"/>
      <c r="AL85" s="216" t="n"/>
    </row>
    <row r="86">
      <c r="B86" s="2" t="n"/>
      <c r="C86" s="105" t="n"/>
      <c r="D86" s="105" t="n"/>
      <c r="E86" s="105" t="n"/>
      <c r="F86" s="105" t="n"/>
      <c r="G86" s="105" t="n"/>
      <c r="H86" s="2" t="n"/>
      <c r="I86" s="105" t="n"/>
      <c r="J86" s="105" t="n"/>
      <c r="L86" s="215" t="n"/>
      <c r="M86" s="215" t="n"/>
      <c r="N86" s="215" t="n"/>
      <c r="O86" s="215" t="n"/>
      <c r="P86" s="215" t="n"/>
      <c r="Q86" s="215" t="n"/>
      <c r="R86" s="215" t="n"/>
      <c r="S86" s="215" t="n"/>
      <c r="T86" s="215" t="n"/>
      <c r="U86" s="215" t="n"/>
      <c r="V86" s="215" t="n"/>
      <c r="W86" s="215" t="n"/>
      <c r="X86" s="215" t="n"/>
      <c r="Y86" s="215" t="n"/>
      <c r="Z86" s="215" t="n"/>
      <c r="AA86" s="215" t="n"/>
      <c r="AB86" s="215" t="n"/>
      <c r="AC86" s="215" t="n"/>
      <c r="AD86" s="215" t="n"/>
      <c r="AE86" s="215" t="n"/>
      <c r="AF86" s="215" t="n"/>
      <c r="AG86" s="215" t="n"/>
      <c r="AH86" s="215" t="n"/>
      <c r="AI86" s="215" t="n"/>
      <c r="AJ86" s="215" t="n"/>
      <c r="AK86" s="215" t="n"/>
      <c r="AL86" s="216" t="n"/>
    </row>
    <row r="87">
      <c r="B87" s="2" t="n"/>
      <c r="C87" s="105" t="n"/>
      <c r="D87" s="105" t="n"/>
      <c r="E87" s="105" t="n"/>
      <c r="F87" s="105" t="n"/>
      <c r="G87" s="105" t="n"/>
      <c r="H87" s="2" t="n"/>
      <c r="I87" s="105" t="n"/>
      <c r="J87" s="105" t="n"/>
      <c r="L87" s="215" t="n"/>
      <c r="M87" s="215" t="n"/>
      <c r="N87" s="215" t="n"/>
      <c r="O87" s="215" t="n"/>
      <c r="P87" s="215" t="n"/>
      <c r="Q87" s="215" t="n"/>
      <c r="R87" s="215" t="n"/>
      <c r="S87" s="215" t="n"/>
      <c r="T87" s="215" t="n"/>
      <c r="U87" s="215" t="n"/>
      <c r="V87" s="215" t="n"/>
      <c r="W87" s="215" t="n"/>
      <c r="X87" s="215" t="n"/>
      <c r="Y87" s="215" t="n"/>
      <c r="Z87" s="215" t="n"/>
      <c r="AA87" s="215" t="n"/>
      <c r="AB87" s="215" t="n"/>
      <c r="AC87" s="215" t="n"/>
      <c r="AD87" s="215" t="n"/>
      <c r="AE87" s="215" t="n"/>
      <c r="AF87" s="215" t="n"/>
      <c r="AG87" s="215" t="n"/>
      <c r="AH87" s="215" t="n"/>
      <c r="AI87" s="215" t="n"/>
      <c r="AJ87" s="215" t="n"/>
      <c r="AK87" s="215" t="n"/>
      <c r="AL87" s="216" t="n"/>
    </row>
    <row r="88">
      <c r="B88" s="2" t="n"/>
      <c r="C88" s="105" t="n"/>
      <c r="D88" s="105" t="n"/>
      <c r="E88" s="105" t="n"/>
      <c r="F88" s="105" t="n"/>
      <c r="G88" s="105" t="n"/>
      <c r="H88" s="2" t="n"/>
      <c r="I88" s="105" t="n"/>
      <c r="J88" s="105" t="n"/>
      <c r="L88" s="215" t="n"/>
      <c r="M88" s="215" t="n"/>
      <c r="N88" s="215" t="n"/>
      <c r="O88" s="215" t="n"/>
      <c r="P88" s="215" t="n"/>
      <c r="Q88" s="215" t="n"/>
      <c r="R88" s="215" t="n"/>
      <c r="S88" s="215" t="n"/>
      <c r="T88" s="215" t="n"/>
      <c r="U88" s="215" t="n"/>
      <c r="V88" s="215" t="n"/>
      <c r="W88" s="215" t="n"/>
      <c r="X88" s="215" t="n"/>
      <c r="Y88" s="215" t="n"/>
      <c r="Z88" s="215" t="n"/>
      <c r="AA88" s="215" t="n"/>
      <c r="AB88" s="215" t="n"/>
      <c r="AC88" s="215" t="n"/>
      <c r="AD88" s="215" t="n"/>
      <c r="AE88" s="215" t="n"/>
      <c r="AF88" s="215" t="n"/>
      <c r="AG88" s="215" t="n"/>
      <c r="AH88" s="215" t="n"/>
      <c r="AI88" s="215" t="n"/>
      <c r="AJ88" s="215" t="n"/>
      <c r="AK88" s="215" t="n"/>
      <c r="AL88" s="216" t="n"/>
    </row>
    <row r="89">
      <c r="B89" s="2" t="n"/>
      <c r="C89" s="105" t="n"/>
      <c r="D89" s="105" t="n"/>
      <c r="E89" s="105" t="n"/>
      <c r="F89" s="105" t="n"/>
      <c r="G89" s="105" t="n"/>
      <c r="H89" s="2" t="n"/>
      <c r="I89" s="105" t="n"/>
      <c r="J89" s="105" t="n"/>
      <c r="L89" s="215" t="n"/>
      <c r="M89" s="215" t="n"/>
      <c r="N89" s="215" t="n"/>
      <c r="O89" s="215" t="n"/>
      <c r="P89" s="215" t="n"/>
      <c r="Q89" s="215" t="n"/>
      <c r="R89" s="215" t="n"/>
      <c r="S89" s="215" t="n"/>
      <c r="T89" s="215" t="n"/>
      <c r="U89" s="215" t="n"/>
      <c r="V89" s="215" t="n"/>
      <c r="W89" s="215" t="n"/>
      <c r="X89" s="215" t="n"/>
      <c r="Y89" s="215" t="n"/>
      <c r="Z89" s="215" t="n"/>
      <c r="AA89" s="215" t="n"/>
      <c r="AB89" s="215" t="n"/>
      <c r="AC89" s="215" t="n"/>
      <c r="AD89" s="215" t="n"/>
      <c r="AE89" s="215" t="n"/>
      <c r="AF89" s="215" t="n"/>
      <c r="AG89" s="215" t="n"/>
      <c r="AH89" s="215" t="n"/>
      <c r="AI89" s="215" t="n"/>
      <c r="AJ89" s="215" t="n"/>
      <c r="AK89" s="215" t="n"/>
      <c r="AL89" s="216" t="n"/>
    </row>
    <row r="90">
      <c r="B90" s="2" t="n"/>
      <c r="C90" s="105" t="n"/>
      <c r="D90" s="105" t="n"/>
      <c r="E90" s="105" t="n"/>
      <c r="F90" s="105" t="n"/>
      <c r="G90" s="105" t="n"/>
      <c r="H90" s="2" t="n"/>
      <c r="I90" s="105" t="n"/>
      <c r="J90" s="105" t="n"/>
      <c r="L90" s="215" t="n"/>
      <c r="M90" s="215" t="n"/>
      <c r="N90" s="215" t="n"/>
      <c r="O90" s="215" t="n"/>
      <c r="P90" s="215" t="n"/>
      <c r="Q90" s="215" t="n"/>
      <c r="R90" s="215" t="n"/>
      <c r="S90" s="215" t="n"/>
      <c r="T90" s="215" t="n"/>
      <c r="U90" s="215" t="n"/>
      <c r="V90" s="215" t="n"/>
      <c r="W90" s="215" t="n"/>
      <c r="X90" s="215" t="n"/>
      <c r="Y90" s="215" t="n"/>
      <c r="Z90" s="215" t="n"/>
      <c r="AA90" s="215" t="n"/>
      <c r="AB90" s="215" t="n"/>
      <c r="AC90" s="215" t="n"/>
      <c r="AD90" s="215" t="n"/>
      <c r="AE90" s="215" t="n"/>
      <c r="AF90" s="215" t="n"/>
      <c r="AG90" s="215" t="n"/>
      <c r="AH90" s="215" t="n"/>
      <c r="AI90" s="215" t="n"/>
      <c r="AJ90" s="215" t="n"/>
      <c r="AK90" s="215" t="n"/>
      <c r="AL90" s="216" t="n"/>
    </row>
    <row r="91">
      <c r="B91" s="2" t="n"/>
      <c r="C91" s="105" t="n"/>
      <c r="D91" s="105" t="n"/>
      <c r="E91" s="105" t="n"/>
      <c r="F91" s="105" t="n"/>
      <c r="G91" s="105" t="n"/>
      <c r="H91" s="2" t="n"/>
      <c r="I91" s="105" t="n"/>
      <c r="J91" s="105" t="n"/>
      <c r="L91" s="215" t="n"/>
      <c r="M91" s="215" t="n"/>
      <c r="N91" s="215" t="n"/>
      <c r="O91" s="215" t="n"/>
      <c r="P91" s="215" t="n"/>
      <c r="Q91" s="215" t="n"/>
      <c r="R91" s="215" t="n"/>
      <c r="S91" s="215" t="n"/>
      <c r="T91" s="215" t="n"/>
      <c r="U91" s="215" t="n"/>
      <c r="V91" s="215" t="n"/>
      <c r="W91" s="215" t="n"/>
      <c r="X91" s="215" t="n"/>
      <c r="Y91" s="215" t="n"/>
      <c r="Z91" s="215" t="n"/>
      <c r="AA91" s="215" t="n"/>
      <c r="AB91" s="215" t="n"/>
      <c r="AC91" s="215" t="n"/>
      <c r="AD91" s="215" t="n"/>
      <c r="AE91" s="215" t="n"/>
      <c r="AF91" s="215" t="n"/>
      <c r="AG91" s="215" t="n"/>
      <c r="AH91" s="215" t="n"/>
      <c r="AI91" s="215" t="n"/>
      <c r="AJ91" s="215" t="n"/>
      <c r="AK91" s="215" t="n"/>
      <c r="AL91" s="216" t="n"/>
    </row>
    <row r="92">
      <c r="B92" s="2" t="n"/>
      <c r="C92" s="105" t="n"/>
      <c r="D92" s="105" t="n"/>
      <c r="E92" s="105" t="n"/>
      <c r="F92" s="105" t="n"/>
      <c r="G92" s="105" t="n"/>
      <c r="H92" s="2" t="n"/>
      <c r="I92" s="105" t="n"/>
      <c r="J92" s="105" t="n"/>
      <c r="L92" s="215" t="n"/>
      <c r="M92" s="215" t="n"/>
      <c r="N92" s="215" t="n"/>
      <c r="O92" s="215" t="n"/>
      <c r="P92" s="215" t="n"/>
      <c r="Q92" s="215" t="n"/>
      <c r="R92" s="215" t="n"/>
      <c r="S92" s="215" t="n"/>
      <c r="T92" s="215" t="n"/>
      <c r="U92" s="215" t="n"/>
      <c r="V92" s="215" t="n"/>
      <c r="W92" s="215" t="n"/>
      <c r="X92" s="215" t="n"/>
      <c r="Y92" s="215" t="n"/>
      <c r="Z92" s="215" t="n"/>
      <c r="AA92" s="215" t="n"/>
      <c r="AB92" s="215" t="n"/>
      <c r="AC92" s="215" t="n"/>
      <c r="AD92" s="215" t="n"/>
      <c r="AE92" s="215" t="n"/>
      <c r="AF92" s="215" t="n"/>
      <c r="AG92" s="215" t="n"/>
      <c r="AH92" s="215" t="n"/>
      <c r="AI92" s="215" t="n"/>
      <c r="AJ92" s="215" t="n"/>
      <c r="AK92" s="215" t="n"/>
      <c r="AL92" s="216" t="n"/>
    </row>
    <row r="93">
      <c r="B93" s="2" t="n"/>
      <c r="C93" s="105" t="n"/>
      <c r="D93" s="105" t="n"/>
      <c r="E93" s="105" t="n"/>
      <c r="F93" s="105" t="n"/>
      <c r="G93" s="105" t="n"/>
      <c r="H93" s="2" t="n"/>
      <c r="I93" s="105" t="n"/>
      <c r="J93" s="105" t="n"/>
      <c r="L93" s="215" t="n"/>
      <c r="M93" s="215" t="n"/>
      <c r="N93" s="215" t="n"/>
      <c r="O93" s="215" t="n"/>
      <c r="P93" s="215" t="n"/>
      <c r="Q93" s="215" t="n"/>
      <c r="R93" s="215" t="n"/>
      <c r="S93" s="215" t="n"/>
      <c r="T93" s="215" t="n"/>
      <c r="U93" s="215" t="n"/>
      <c r="V93" s="215" t="n"/>
      <c r="W93" s="215" t="n"/>
      <c r="X93" s="215" t="n"/>
      <c r="Y93" s="215" t="n"/>
      <c r="Z93" s="215" t="n"/>
      <c r="AA93" s="215" t="n"/>
      <c r="AB93" s="215" t="n"/>
      <c r="AC93" s="215" t="n"/>
      <c r="AD93" s="215" t="n"/>
      <c r="AE93" s="215" t="n"/>
      <c r="AF93" s="215" t="n"/>
      <c r="AG93" s="215" t="n"/>
      <c r="AH93" s="215" t="n"/>
      <c r="AI93" s="215" t="n"/>
      <c r="AJ93" s="215" t="n"/>
      <c r="AK93" s="215" t="n"/>
      <c r="AL93" s="216" t="n"/>
    </row>
    <row r="94">
      <c r="B94" s="2" t="n"/>
      <c r="C94" s="105" t="n"/>
      <c r="D94" s="105" t="n"/>
      <c r="E94" s="105" t="n"/>
      <c r="F94" s="105" t="n"/>
      <c r="G94" s="105" t="n"/>
      <c r="H94" s="2" t="n"/>
      <c r="I94" s="105" t="n"/>
      <c r="J94" s="105" t="n"/>
      <c r="L94" s="215" t="n"/>
      <c r="M94" s="215" t="n"/>
      <c r="N94" s="215" t="n"/>
      <c r="O94" s="215" t="n"/>
      <c r="P94" s="215" t="n"/>
      <c r="Q94" s="215" t="n"/>
      <c r="R94" s="215" t="n"/>
      <c r="S94" s="215" t="n"/>
      <c r="T94" s="215" t="n"/>
      <c r="U94" s="215" t="n"/>
      <c r="V94" s="215" t="n"/>
      <c r="W94" s="215" t="n"/>
      <c r="X94" s="215" t="n"/>
      <c r="Y94" s="215" t="n"/>
      <c r="Z94" s="215" t="n"/>
      <c r="AA94" s="215" t="n"/>
      <c r="AB94" s="215" t="n"/>
      <c r="AC94" s="215" t="n"/>
      <c r="AD94" s="215" t="n"/>
      <c r="AE94" s="215" t="n"/>
      <c r="AF94" s="215" t="n"/>
      <c r="AG94" s="215" t="n"/>
      <c r="AH94" s="215" t="n"/>
      <c r="AI94" s="215" t="n"/>
      <c r="AJ94" s="215" t="n"/>
      <c r="AK94" s="215" t="n"/>
      <c r="AL94" s="216" t="n"/>
    </row>
    <row r="95">
      <c r="B95" s="2" t="n"/>
      <c r="C95" s="105" t="n"/>
      <c r="D95" s="105" t="n"/>
      <c r="E95" s="105" t="n"/>
      <c r="F95" s="105" t="n"/>
      <c r="G95" s="105" t="n"/>
      <c r="H95" s="2" t="n"/>
      <c r="I95" s="105" t="n"/>
      <c r="J95" s="105" t="n"/>
      <c r="L95" s="215" t="n"/>
      <c r="M95" s="215" t="n"/>
      <c r="N95" s="215" t="n"/>
      <c r="O95" s="215" t="n"/>
      <c r="P95" s="215" t="n"/>
      <c r="Q95" s="215" t="n"/>
      <c r="R95" s="215" t="n"/>
      <c r="S95" s="215" t="n"/>
      <c r="T95" s="215" t="n"/>
      <c r="U95" s="215" t="n"/>
      <c r="V95" s="215" t="n"/>
      <c r="W95" s="215" t="n"/>
      <c r="X95" s="215" t="n"/>
      <c r="Y95" s="215" t="n"/>
      <c r="Z95" s="215" t="n"/>
      <c r="AA95" s="215" t="n"/>
      <c r="AB95" s="215" t="n"/>
      <c r="AC95" s="215" t="n"/>
      <c r="AD95" s="215" t="n"/>
      <c r="AE95" s="215" t="n"/>
      <c r="AF95" s="215" t="n"/>
      <c r="AG95" s="215" t="n"/>
      <c r="AH95" s="215" t="n"/>
      <c r="AI95" s="215" t="n"/>
      <c r="AJ95" s="215" t="n"/>
      <c r="AK95" s="215" t="n"/>
      <c r="AL95" s="216" t="n"/>
    </row>
    <row r="96">
      <c r="B96" s="2" t="n"/>
      <c r="C96" s="105" t="n"/>
      <c r="D96" s="105" t="n"/>
      <c r="E96" s="105" t="n"/>
      <c r="F96" s="105" t="n"/>
      <c r="G96" s="105" t="n"/>
      <c r="H96" s="2" t="n"/>
      <c r="I96" s="105" t="n"/>
      <c r="J96" s="105" t="n"/>
      <c r="L96" s="215" t="n"/>
      <c r="M96" s="215" t="n"/>
      <c r="N96" s="215" t="n"/>
      <c r="O96" s="215" t="n"/>
      <c r="P96" s="215" t="n"/>
      <c r="Q96" s="215" t="n"/>
      <c r="R96" s="215" t="n"/>
      <c r="S96" s="215" t="n"/>
      <c r="T96" s="215" t="n"/>
      <c r="U96" s="215" t="n"/>
      <c r="V96" s="215" t="n"/>
      <c r="W96" s="215" t="n"/>
      <c r="X96" s="215" t="n"/>
      <c r="Y96" s="215" t="n"/>
      <c r="Z96" s="215" t="n"/>
      <c r="AA96" s="215" t="n"/>
      <c r="AB96" s="215" t="n"/>
      <c r="AC96" s="215" t="n"/>
      <c r="AD96" s="215" t="n"/>
      <c r="AE96" s="215" t="n"/>
      <c r="AF96" s="215" t="n"/>
      <c r="AG96" s="215" t="n"/>
      <c r="AH96" s="215" t="n"/>
      <c r="AI96" s="215" t="n"/>
      <c r="AJ96" s="215" t="n"/>
      <c r="AK96" s="215" t="n"/>
      <c r="AL96" s="216" t="n"/>
    </row>
    <row r="97">
      <c r="B97" s="2" t="n"/>
      <c r="C97" s="105" t="n"/>
      <c r="D97" s="105" t="n"/>
      <c r="E97" s="105" t="n"/>
      <c r="F97" s="105" t="n"/>
      <c r="G97" s="105" t="n"/>
      <c r="H97" s="2" t="n"/>
      <c r="I97" s="105" t="n"/>
      <c r="J97" s="105" t="n"/>
      <c r="L97" s="215" t="n"/>
      <c r="M97" s="215" t="n"/>
      <c r="N97" s="215" t="n"/>
      <c r="O97" s="215" t="n"/>
      <c r="P97" s="215" t="n"/>
      <c r="Q97" s="215" t="n"/>
      <c r="R97" s="215" t="n"/>
      <c r="S97" s="215" t="n"/>
      <c r="T97" s="215" t="n"/>
      <c r="U97" s="215" t="n"/>
      <c r="V97" s="215" t="n"/>
      <c r="W97" s="215" t="n"/>
      <c r="X97" s="215" t="n"/>
      <c r="Y97" s="215" t="n"/>
      <c r="Z97" s="215" t="n"/>
      <c r="AA97" s="215" t="n"/>
      <c r="AB97" s="215" t="n"/>
      <c r="AC97" s="215" t="n"/>
      <c r="AD97" s="215" t="n"/>
      <c r="AE97" s="215" t="n"/>
      <c r="AF97" s="215" t="n"/>
      <c r="AG97" s="215" t="n"/>
      <c r="AH97" s="215" t="n"/>
      <c r="AI97" s="215" t="n"/>
      <c r="AJ97" s="215" t="n"/>
      <c r="AK97" s="215" t="n"/>
      <c r="AL97" s="216" t="n"/>
    </row>
    <row r="98">
      <c r="B98" s="2" t="n"/>
      <c r="C98" s="105" t="n"/>
      <c r="D98" s="105" t="n"/>
      <c r="E98" s="105" t="n"/>
      <c r="F98" s="105" t="n"/>
      <c r="G98" s="105" t="n"/>
      <c r="H98" s="2" t="n"/>
      <c r="I98" s="105" t="n"/>
      <c r="J98" s="105" t="n"/>
      <c r="L98" s="215" t="n"/>
      <c r="M98" s="215" t="n"/>
      <c r="N98" s="215" t="n"/>
      <c r="O98" s="215" t="n"/>
      <c r="P98" s="215" t="n"/>
      <c r="Q98" s="215" t="n"/>
      <c r="R98" s="215" t="n"/>
      <c r="S98" s="215" t="n"/>
      <c r="T98" s="215" t="n"/>
      <c r="U98" s="215" t="n"/>
      <c r="V98" s="215" t="n"/>
      <c r="W98" s="215" t="n"/>
      <c r="X98" s="215" t="n"/>
      <c r="Y98" s="215" t="n"/>
      <c r="Z98" s="215" t="n"/>
      <c r="AA98" s="215" t="n"/>
      <c r="AB98" s="215" t="n"/>
      <c r="AC98" s="215" t="n"/>
      <c r="AD98" s="215" t="n"/>
      <c r="AE98" s="215" t="n"/>
      <c r="AF98" s="215" t="n"/>
      <c r="AG98" s="215" t="n"/>
      <c r="AH98" s="215" t="n"/>
      <c r="AI98" s="215" t="n"/>
      <c r="AJ98" s="215" t="n"/>
      <c r="AK98" s="215" t="n"/>
      <c r="AL98" s="216" t="n"/>
    </row>
    <row r="99">
      <c r="B99" s="2" t="n"/>
      <c r="C99" s="105" t="n"/>
      <c r="D99" s="105" t="n"/>
      <c r="E99" s="105" t="n"/>
      <c r="F99" s="105" t="n"/>
      <c r="G99" s="105" t="n"/>
      <c r="H99" s="2" t="n"/>
      <c r="I99" s="105" t="n"/>
      <c r="J99" s="105" t="n"/>
      <c r="L99" s="215" t="n"/>
      <c r="M99" s="215" t="n"/>
      <c r="N99" s="215" t="n"/>
      <c r="O99" s="215" t="n"/>
      <c r="P99" s="215" t="n"/>
      <c r="Q99" s="215" t="n"/>
      <c r="R99" s="215" t="n"/>
      <c r="S99" s="215" t="n"/>
      <c r="T99" s="215" t="n"/>
      <c r="U99" s="215" t="n"/>
      <c r="V99" s="215" t="n"/>
      <c r="W99" s="215" t="n"/>
      <c r="X99" s="215" t="n"/>
      <c r="Y99" s="215" t="n"/>
      <c r="Z99" s="215" t="n"/>
      <c r="AA99" s="215" t="n"/>
      <c r="AB99" s="215" t="n"/>
      <c r="AC99" s="215" t="n"/>
      <c r="AD99" s="215" t="n"/>
      <c r="AE99" s="215" t="n"/>
      <c r="AF99" s="215" t="n"/>
      <c r="AG99" s="215" t="n"/>
      <c r="AH99" s="215" t="n"/>
      <c r="AI99" s="215" t="n"/>
      <c r="AJ99" s="215" t="n"/>
      <c r="AK99" s="215" t="n"/>
      <c r="AL99" s="216" t="n"/>
    </row>
    <row r="100">
      <c r="B100" s="2" t="n"/>
      <c r="C100" s="105" t="n"/>
      <c r="D100" s="105" t="n"/>
      <c r="E100" s="105" t="n"/>
      <c r="F100" s="105" t="n"/>
      <c r="G100" s="105" t="n"/>
      <c r="H100" s="2" t="n"/>
      <c r="I100" s="105" t="n"/>
      <c r="J100" s="105" t="n"/>
      <c r="L100" s="215" t="n"/>
      <c r="M100" s="215" t="n"/>
      <c r="N100" s="215" t="n"/>
      <c r="O100" s="215" t="n"/>
      <c r="P100" s="215" t="n"/>
      <c r="Q100" s="215" t="n"/>
      <c r="R100" s="215" t="n"/>
      <c r="S100" s="215" t="n"/>
      <c r="T100" s="215" t="n"/>
      <c r="U100" s="215" t="n"/>
      <c r="V100" s="215" t="n"/>
      <c r="W100" s="215" t="n"/>
      <c r="X100" s="215" t="n"/>
      <c r="Y100" s="215" t="n"/>
      <c r="Z100" s="215" t="n"/>
      <c r="AA100" s="215" t="n"/>
      <c r="AB100" s="215" t="n"/>
      <c r="AC100" s="215" t="n"/>
      <c r="AD100" s="215" t="n"/>
      <c r="AE100" s="215" t="n"/>
      <c r="AF100" s="215" t="n"/>
      <c r="AG100" s="215" t="n"/>
      <c r="AH100" s="215" t="n"/>
      <c r="AI100" s="215" t="n"/>
      <c r="AJ100" s="215" t="n"/>
      <c r="AK100" s="215" t="n"/>
      <c r="AL100" s="216" t="n"/>
    </row>
    <row r="101">
      <c r="B101" s="2" t="n"/>
      <c r="C101" s="105" t="n"/>
      <c r="D101" s="105" t="n"/>
      <c r="E101" s="105" t="n"/>
      <c r="F101" s="105" t="n"/>
      <c r="G101" s="105" t="n"/>
      <c r="H101" s="2" t="n"/>
      <c r="I101" s="105" t="n"/>
      <c r="J101" s="105" t="n"/>
      <c r="L101" s="215" t="n"/>
      <c r="M101" s="215" t="n"/>
      <c r="N101" s="215" t="n"/>
      <c r="O101" s="215" t="n"/>
      <c r="P101" s="215" t="n"/>
      <c r="Q101" s="215" t="n"/>
      <c r="R101" s="215" t="n"/>
      <c r="S101" s="215" t="n"/>
      <c r="T101" s="215" t="n"/>
      <c r="U101" s="215" t="n"/>
      <c r="V101" s="215" t="n"/>
      <c r="W101" s="215" t="n"/>
      <c r="X101" s="215" t="n"/>
      <c r="Y101" s="215" t="n"/>
      <c r="Z101" s="215" t="n"/>
      <c r="AA101" s="215" t="n"/>
      <c r="AB101" s="215" t="n"/>
      <c r="AC101" s="215" t="n"/>
      <c r="AD101" s="215" t="n"/>
      <c r="AE101" s="215" t="n"/>
      <c r="AF101" s="215" t="n"/>
      <c r="AG101" s="215" t="n"/>
      <c r="AH101" s="215" t="n"/>
      <c r="AI101" s="215" t="n"/>
      <c r="AJ101" s="215" t="n"/>
      <c r="AK101" s="215" t="n"/>
      <c r="AL101" s="216" t="n"/>
    </row>
    <row r="102">
      <c r="B102" s="2" t="n"/>
      <c r="C102" s="105" t="n"/>
      <c r="D102" s="105" t="n"/>
      <c r="E102" s="105" t="n"/>
      <c r="F102" s="105" t="n"/>
      <c r="G102" s="105" t="n"/>
      <c r="H102" s="2" t="n"/>
      <c r="I102" s="105" t="n"/>
      <c r="J102" s="105" t="n"/>
      <c r="L102" s="215" t="n"/>
      <c r="M102" s="215" t="n"/>
      <c r="N102" s="215" t="n"/>
      <c r="O102" s="215" t="n"/>
      <c r="P102" s="215" t="n"/>
      <c r="Q102" s="215" t="n"/>
      <c r="R102" s="215" t="n"/>
      <c r="S102" s="215" t="n"/>
      <c r="T102" s="215" t="n"/>
      <c r="U102" s="215" t="n"/>
      <c r="V102" s="215" t="n"/>
      <c r="W102" s="215" t="n"/>
      <c r="X102" s="215" t="n"/>
      <c r="Y102" s="215" t="n"/>
      <c r="Z102" s="215" t="n"/>
      <c r="AA102" s="215" t="n"/>
      <c r="AB102" s="215" t="n"/>
      <c r="AC102" s="215" t="n"/>
      <c r="AD102" s="215" t="n"/>
      <c r="AE102" s="215" t="n"/>
      <c r="AF102" s="215" t="n"/>
      <c r="AG102" s="215" t="n"/>
      <c r="AH102" s="215" t="n"/>
      <c r="AI102" s="215" t="n"/>
      <c r="AJ102" s="215" t="n"/>
      <c r="AK102" s="215" t="n"/>
      <c r="AL102" s="216" t="n"/>
    </row>
    <row r="103">
      <c r="B103" s="2" t="n"/>
      <c r="C103" s="105" t="n"/>
      <c r="D103" s="105" t="n"/>
      <c r="E103" s="105" t="n"/>
      <c r="F103" s="105" t="n"/>
      <c r="G103" s="105" t="n"/>
      <c r="H103" s="2" t="n"/>
      <c r="I103" s="105" t="n"/>
      <c r="J103" s="105" t="n"/>
      <c r="L103" s="215" t="n"/>
      <c r="M103" s="215" t="n"/>
      <c r="N103" s="215" t="n"/>
      <c r="O103" s="215" t="n"/>
      <c r="P103" s="215" t="n"/>
      <c r="Q103" s="215" t="n"/>
      <c r="R103" s="215" t="n"/>
      <c r="S103" s="215" t="n"/>
      <c r="T103" s="215" t="n"/>
      <c r="U103" s="215" t="n"/>
      <c r="V103" s="215" t="n"/>
      <c r="W103" s="215" t="n"/>
      <c r="X103" s="215" t="n"/>
      <c r="Y103" s="215" t="n"/>
      <c r="Z103" s="215" t="n"/>
      <c r="AA103" s="215" t="n"/>
      <c r="AB103" s="215" t="n"/>
      <c r="AC103" s="215" t="n"/>
      <c r="AD103" s="215" t="n"/>
      <c r="AE103" s="215" t="n"/>
      <c r="AF103" s="215" t="n"/>
      <c r="AG103" s="215" t="n"/>
      <c r="AH103" s="215" t="n"/>
      <c r="AI103" s="215" t="n"/>
      <c r="AJ103" s="215" t="n"/>
      <c r="AK103" s="215" t="n"/>
      <c r="AL103" s="216" t="n"/>
    </row>
    <row r="104">
      <c r="B104" s="2" t="n"/>
      <c r="C104" s="105" t="n"/>
      <c r="D104" s="105" t="n"/>
      <c r="E104" s="105" t="n"/>
      <c r="F104" s="105" t="n"/>
      <c r="G104" s="105" t="n"/>
      <c r="H104" s="2" t="n"/>
      <c r="I104" s="105" t="n"/>
      <c r="J104" s="105" t="n"/>
      <c r="L104" s="215" t="n"/>
      <c r="M104" s="215" t="n"/>
      <c r="N104" s="215" t="n"/>
      <c r="O104" s="215" t="n"/>
      <c r="P104" s="215" t="n"/>
      <c r="Q104" s="215" t="n"/>
      <c r="R104" s="215" t="n"/>
      <c r="S104" s="215" t="n"/>
      <c r="T104" s="215" t="n"/>
      <c r="U104" s="215" t="n"/>
      <c r="V104" s="215" t="n"/>
      <c r="W104" s="215" t="n"/>
      <c r="X104" s="215" t="n"/>
      <c r="Y104" s="215" t="n"/>
      <c r="Z104" s="215" t="n"/>
      <c r="AA104" s="215" t="n"/>
      <c r="AB104" s="215" t="n"/>
      <c r="AC104" s="215" t="n"/>
      <c r="AD104" s="215" t="n"/>
      <c r="AE104" s="215" t="n"/>
      <c r="AF104" s="215" t="n"/>
      <c r="AG104" s="215" t="n"/>
      <c r="AH104" s="215" t="n"/>
      <c r="AI104" s="215" t="n"/>
      <c r="AJ104" s="215" t="n"/>
      <c r="AK104" s="215" t="n"/>
      <c r="AL104" s="216" t="n"/>
    </row>
    <row r="105">
      <c r="B105" s="2" t="n"/>
      <c r="C105" s="105" t="n"/>
      <c r="D105" s="105" t="n"/>
      <c r="E105" s="105" t="n"/>
      <c r="F105" s="105" t="n"/>
      <c r="G105" s="105" t="n"/>
      <c r="H105" s="2" t="n"/>
      <c r="I105" s="105" t="n"/>
      <c r="J105" s="105" t="n"/>
      <c r="L105" s="215" t="n"/>
      <c r="M105" s="215" t="n"/>
      <c r="N105" s="215" t="n"/>
      <c r="O105" s="215" t="n"/>
      <c r="P105" s="215" t="n"/>
      <c r="Q105" s="215" t="n"/>
      <c r="R105" s="215" t="n"/>
      <c r="S105" s="215" t="n"/>
      <c r="T105" s="215" t="n"/>
      <c r="U105" s="215" t="n"/>
      <c r="V105" s="215" t="n"/>
      <c r="W105" s="215" t="n"/>
      <c r="X105" s="215" t="n"/>
      <c r="Y105" s="215" t="n"/>
      <c r="Z105" s="215" t="n"/>
      <c r="AA105" s="215" t="n"/>
      <c r="AB105" s="215" t="n"/>
      <c r="AC105" s="215" t="n"/>
      <c r="AD105" s="215" t="n"/>
      <c r="AE105" s="215" t="n"/>
      <c r="AF105" s="215" t="n"/>
      <c r="AG105" s="215" t="n"/>
      <c r="AH105" s="215" t="n"/>
      <c r="AI105" s="215" t="n"/>
      <c r="AJ105" s="215" t="n"/>
      <c r="AK105" s="215" t="n"/>
      <c r="AL105" s="216" t="n"/>
    </row>
    <row r="106">
      <c r="B106" s="2" t="n"/>
      <c r="C106" s="105" t="n"/>
      <c r="D106" s="105" t="n"/>
      <c r="E106" s="105" t="n"/>
      <c r="F106" s="105" t="n"/>
      <c r="G106" s="105" t="n"/>
      <c r="H106" s="2" t="n"/>
      <c r="I106" s="105" t="n"/>
      <c r="J106" s="105" t="n"/>
      <c r="L106" s="215" t="n"/>
      <c r="M106" s="215" t="n"/>
      <c r="N106" s="215" t="n"/>
      <c r="O106" s="215" t="n"/>
      <c r="P106" s="215" t="n"/>
      <c r="Q106" s="215" t="n"/>
      <c r="R106" s="215" t="n"/>
      <c r="S106" s="215" t="n"/>
      <c r="T106" s="215" t="n"/>
      <c r="U106" s="215" t="n"/>
      <c r="V106" s="215" t="n"/>
      <c r="W106" s="215" t="n"/>
      <c r="X106" s="215" t="n"/>
      <c r="Y106" s="215" t="n"/>
      <c r="Z106" s="215" t="n"/>
      <c r="AA106" s="215" t="n"/>
      <c r="AB106" s="215" t="n"/>
      <c r="AC106" s="215" t="n"/>
      <c r="AD106" s="215" t="n"/>
      <c r="AE106" s="215" t="n"/>
      <c r="AF106" s="215" t="n"/>
      <c r="AG106" s="215" t="n"/>
      <c r="AH106" s="215" t="n"/>
      <c r="AI106" s="215" t="n"/>
      <c r="AJ106" s="215" t="n"/>
      <c r="AK106" s="215" t="n"/>
      <c r="AL106" s="216" t="n"/>
    </row>
    <row r="107">
      <c r="B107" s="2" t="n"/>
      <c r="C107" s="105" t="n"/>
      <c r="D107" s="105" t="n"/>
      <c r="E107" s="105" t="n"/>
      <c r="F107" s="105" t="n"/>
      <c r="G107" s="105" t="n"/>
      <c r="H107" s="2" t="n"/>
      <c r="I107" s="105" t="n"/>
      <c r="J107" s="105" t="n"/>
      <c r="L107" s="215" t="n"/>
      <c r="M107" s="215" t="n"/>
      <c r="N107" s="215" t="n"/>
      <c r="O107" s="215" t="n"/>
      <c r="P107" s="215" t="n"/>
      <c r="Q107" s="215" t="n"/>
      <c r="R107" s="215" t="n"/>
      <c r="S107" s="215" t="n"/>
      <c r="T107" s="215" t="n"/>
      <c r="U107" s="215" t="n"/>
      <c r="V107" s="215" t="n"/>
      <c r="W107" s="215" t="n"/>
      <c r="X107" s="215" t="n"/>
      <c r="Y107" s="215" t="n"/>
      <c r="Z107" s="215" t="n"/>
      <c r="AA107" s="215" t="n"/>
      <c r="AB107" s="215" t="n"/>
      <c r="AC107" s="215" t="n"/>
      <c r="AD107" s="215" t="n"/>
      <c r="AE107" s="215" t="n"/>
      <c r="AF107" s="215" t="n"/>
      <c r="AG107" s="215" t="n"/>
      <c r="AH107" s="215" t="n"/>
      <c r="AI107" s="215" t="n"/>
      <c r="AJ107" s="215" t="n"/>
      <c r="AK107" s="215" t="n"/>
      <c r="AL107" s="216" t="n"/>
    </row>
    <row r="108">
      <c r="B108" s="2" t="n"/>
      <c r="C108" s="105" t="n"/>
      <c r="D108" s="105" t="n"/>
      <c r="E108" s="105" t="n"/>
      <c r="F108" s="105" t="n"/>
      <c r="G108" s="105" t="n"/>
      <c r="H108" s="2" t="n"/>
      <c r="I108" s="105" t="n"/>
      <c r="J108" s="105" t="n"/>
      <c r="L108" s="215" t="n"/>
      <c r="M108" s="215" t="n"/>
      <c r="N108" s="215" t="n"/>
      <c r="O108" s="215" t="n"/>
      <c r="P108" s="215" t="n"/>
      <c r="Q108" s="215" t="n"/>
      <c r="R108" s="215" t="n"/>
      <c r="S108" s="215" t="n"/>
      <c r="T108" s="215" t="n"/>
      <c r="U108" s="215" t="n"/>
      <c r="V108" s="215" t="n"/>
      <c r="W108" s="215" t="n"/>
      <c r="X108" s="215" t="n"/>
      <c r="Y108" s="215" t="n"/>
      <c r="Z108" s="215" t="n"/>
      <c r="AA108" s="215" t="n"/>
      <c r="AB108" s="215" t="n"/>
      <c r="AC108" s="215" t="n"/>
      <c r="AD108" s="215" t="n"/>
      <c r="AE108" s="215" t="n"/>
      <c r="AF108" s="218" t="n"/>
      <c r="AG108" s="215" t="n"/>
      <c r="AH108" s="215" t="n"/>
      <c r="AI108" s="215" t="n"/>
      <c r="AJ108" s="215" t="n"/>
      <c r="AK108" s="215" t="n"/>
      <c r="AL108" s="216" t="n"/>
    </row>
    <row r="109">
      <c r="B109" s="2" t="n"/>
      <c r="C109" s="105" t="n"/>
      <c r="D109" s="105" t="n"/>
      <c r="E109" s="105" t="n"/>
      <c r="F109" s="105" t="n"/>
      <c r="G109" s="105" t="n"/>
      <c r="H109" s="2" t="n"/>
      <c r="I109" s="105" t="n"/>
      <c r="J109" s="105" t="n"/>
      <c r="L109" s="215" t="n"/>
      <c r="M109" s="215" t="n"/>
      <c r="N109" s="215" t="n"/>
      <c r="O109" s="215" t="n"/>
      <c r="P109" s="215" t="n"/>
      <c r="Q109" s="215" t="n"/>
      <c r="R109" s="215" t="n"/>
      <c r="S109" s="215" t="n"/>
      <c r="T109" s="215" t="n"/>
      <c r="U109" s="215" t="n"/>
      <c r="V109" s="215" t="n"/>
      <c r="W109" s="215" t="n"/>
      <c r="X109" s="215" t="n"/>
      <c r="Y109" s="215" t="n"/>
      <c r="Z109" s="215" t="n"/>
      <c r="AA109" s="215" t="n"/>
      <c r="AB109" s="215" t="n"/>
      <c r="AC109" s="215" t="n"/>
      <c r="AD109" s="215" t="n"/>
      <c r="AE109" s="215" t="n"/>
      <c r="AF109" s="215" t="n"/>
      <c r="AG109" s="215" t="n"/>
      <c r="AH109" s="215" t="n"/>
      <c r="AI109" s="215" t="n"/>
      <c r="AJ109" s="215" t="n"/>
      <c r="AK109" s="215" t="n"/>
      <c r="AL109" s="216" t="n"/>
    </row>
    <row r="110">
      <c r="B110" s="2" t="n"/>
      <c r="C110" s="105" t="n"/>
      <c r="D110" s="105" t="n"/>
      <c r="E110" s="105" t="n"/>
      <c r="F110" s="105" t="n"/>
      <c r="G110" s="105" t="n"/>
      <c r="H110" s="2" t="n"/>
      <c r="I110" s="105" t="n"/>
      <c r="J110" s="105" t="n"/>
      <c r="L110" s="215" t="n"/>
      <c r="M110" s="215" t="n"/>
      <c r="N110" s="215" t="n"/>
      <c r="O110" s="215" t="n"/>
      <c r="P110" s="215" t="n"/>
      <c r="Q110" s="215" t="n"/>
      <c r="R110" s="215" t="n"/>
      <c r="S110" s="215" t="n"/>
      <c r="T110" s="215" t="n"/>
      <c r="U110" s="215" t="n"/>
      <c r="V110" s="215" t="n"/>
      <c r="W110" s="215" t="n"/>
      <c r="X110" s="215" t="n"/>
      <c r="Y110" s="215" t="n"/>
      <c r="Z110" s="215" t="n"/>
      <c r="AA110" s="215" t="n"/>
      <c r="AB110" s="215" t="n"/>
      <c r="AC110" s="215" t="n"/>
      <c r="AD110" s="215" t="n"/>
      <c r="AE110" s="215" t="n"/>
      <c r="AF110" s="215" t="n"/>
      <c r="AG110" s="215" t="n"/>
      <c r="AH110" s="215" t="n"/>
      <c r="AI110" s="215" t="n"/>
      <c r="AJ110" s="215" t="n"/>
      <c r="AK110" s="215" t="n"/>
      <c r="AL110" s="216" t="n"/>
    </row>
    <row r="111">
      <c r="B111" s="2" t="n"/>
      <c r="C111" s="105" t="n"/>
      <c r="D111" s="105" t="n"/>
      <c r="E111" s="105" t="n"/>
      <c r="F111" s="105" t="n"/>
      <c r="G111" s="105" t="n"/>
      <c r="H111" s="2" t="n"/>
      <c r="I111" s="105" t="n"/>
      <c r="J111" s="105" t="n"/>
      <c r="L111" s="215" t="n"/>
      <c r="M111" s="215" t="n"/>
      <c r="N111" s="215" t="n"/>
      <c r="O111" s="215" t="n"/>
      <c r="P111" s="215" t="n"/>
      <c r="Q111" s="215" t="n"/>
      <c r="R111" s="215" t="n"/>
      <c r="S111" s="215" t="n"/>
      <c r="T111" s="215" t="n"/>
      <c r="U111" s="215" t="n"/>
      <c r="V111" s="215" t="n"/>
      <c r="W111" s="215" t="n"/>
      <c r="X111" s="215" t="n"/>
      <c r="Y111" s="215" t="n"/>
      <c r="Z111" s="215" t="n"/>
      <c r="AA111" s="215" t="n"/>
      <c r="AB111" s="215" t="n"/>
      <c r="AC111" s="215" t="n"/>
      <c r="AD111" s="215" t="n"/>
      <c r="AE111" s="215" t="n"/>
      <c r="AF111" s="215" t="n"/>
      <c r="AG111" s="215" t="n"/>
      <c r="AH111" s="215" t="n"/>
      <c r="AI111" s="215" t="n"/>
      <c r="AJ111" s="215" t="n"/>
      <c r="AK111" s="215" t="n"/>
      <c r="AL111" s="216" t="n"/>
    </row>
    <row r="112">
      <c r="B112" s="2" t="n"/>
      <c r="C112" s="105" t="n"/>
      <c r="D112" s="105" t="n"/>
      <c r="E112" s="105" t="n"/>
      <c r="F112" s="105" t="n"/>
      <c r="G112" s="105" t="n"/>
      <c r="H112" s="2" t="n"/>
      <c r="I112" s="105" t="n"/>
      <c r="J112" s="105" t="n"/>
      <c r="L112" s="215" t="n"/>
      <c r="M112" s="215" t="n"/>
      <c r="N112" s="215" t="n"/>
      <c r="O112" s="215" t="n"/>
      <c r="P112" s="215" t="n"/>
      <c r="Q112" s="215" t="n"/>
      <c r="R112" s="215" t="n"/>
      <c r="S112" s="215" t="n"/>
      <c r="T112" s="215" t="n"/>
      <c r="U112" s="215" t="n"/>
      <c r="V112" s="215" t="n"/>
      <c r="W112" s="215" t="n"/>
      <c r="X112" s="215" t="n"/>
      <c r="Y112" s="215" t="n"/>
      <c r="Z112" s="215" t="n"/>
      <c r="AA112" s="215" t="n"/>
      <c r="AB112" s="215" t="n"/>
      <c r="AC112" s="215" t="n"/>
      <c r="AD112" s="215" t="n"/>
      <c r="AE112" s="215" t="n"/>
      <c r="AF112" s="215" t="n"/>
      <c r="AG112" s="215" t="n"/>
      <c r="AH112" s="215" t="n"/>
      <c r="AI112" s="215" t="n"/>
      <c r="AJ112" s="215" t="n"/>
      <c r="AK112" s="215" t="n"/>
      <c r="AL112" s="216" t="n"/>
    </row>
    <row r="113">
      <c r="B113" s="2" t="n"/>
      <c r="C113" s="105" t="n"/>
      <c r="D113" s="105" t="n"/>
      <c r="E113" s="105" t="n"/>
      <c r="F113" s="105" t="n"/>
      <c r="G113" s="105" t="n"/>
      <c r="H113" s="2" t="n"/>
      <c r="I113" s="105" t="n"/>
      <c r="J113" s="105" t="n"/>
      <c r="L113" s="215" t="n"/>
      <c r="M113" s="215" t="n"/>
      <c r="N113" s="215" t="n"/>
      <c r="O113" s="215" t="n"/>
      <c r="P113" s="215" t="n"/>
      <c r="Q113" s="215" t="n"/>
      <c r="R113" s="215" t="n"/>
      <c r="S113" s="215" t="n"/>
      <c r="T113" s="215" t="n"/>
      <c r="U113" s="215" t="n"/>
      <c r="V113" s="215" t="n"/>
      <c r="W113" s="215" t="n"/>
      <c r="X113" s="215" t="n"/>
      <c r="Y113" s="215" t="n"/>
      <c r="Z113" s="215" t="n"/>
      <c r="AA113" s="215" t="n"/>
      <c r="AB113" s="215" t="n"/>
      <c r="AC113" s="215" t="n"/>
      <c r="AD113" s="215" t="n"/>
      <c r="AE113" s="215" t="n"/>
      <c r="AF113" s="215" t="n"/>
      <c r="AG113" s="215" t="n"/>
      <c r="AH113" s="215" t="n"/>
      <c r="AI113" s="215" t="n"/>
      <c r="AJ113" s="215" t="n"/>
      <c r="AK113" s="215" t="n"/>
      <c r="AL113" s="216" t="n"/>
    </row>
    <row r="114">
      <c r="B114" s="2" t="n"/>
      <c r="C114" s="105" t="n"/>
      <c r="D114" s="105" t="n"/>
      <c r="E114" s="105" t="n"/>
      <c r="F114" s="105" t="n"/>
      <c r="G114" s="105" t="n"/>
      <c r="H114" s="2" t="n"/>
      <c r="I114" s="105" t="n"/>
      <c r="J114" s="105" t="n"/>
      <c r="L114" s="215" t="n"/>
      <c r="M114" s="215" t="n"/>
      <c r="N114" s="215" t="n"/>
      <c r="O114" s="215" t="n"/>
      <c r="P114" s="215" t="n"/>
      <c r="Q114" s="215" t="n"/>
      <c r="R114" s="215" t="n"/>
      <c r="S114" s="215" t="n"/>
      <c r="T114" s="215" t="n"/>
      <c r="U114" s="215" t="n"/>
      <c r="V114" s="215" t="n"/>
      <c r="W114" s="215" t="n"/>
      <c r="X114" s="215" t="n"/>
      <c r="Y114" s="215" t="n"/>
      <c r="Z114" s="215" t="n"/>
      <c r="AA114" s="215" t="n"/>
      <c r="AB114" s="215" t="n"/>
      <c r="AC114" s="215" t="n"/>
      <c r="AD114" s="215" t="n"/>
      <c r="AE114" s="215" t="n"/>
      <c r="AF114" s="215" t="n"/>
      <c r="AG114" s="215" t="n"/>
      <c r="AH114" s="215" t="n"/>
      <c r="AI114" s="215" t="n"/>
      <c r="AJ114" s="215" t="n"/>
      <c r="AK114" s="215" t="n"/>
      <c r="AL114" s="216" t="n"/>
    </row>
    <row r="115">
      <c r="B115" s="2" t="n"/>
      <c r="C115" s="105" t="n"/>
      <c r="D115" s="105" t="n"/>
      <c r="E115" s="105" t="n"/>
      <c r="F115" s="105" t="n"/>
      <c r="G115" s="105" t="n"/>
      <c r="H115" s="2" t="n"/>
      <c r="I115" s="105" t="n"/>
      <c r="J115" s="105" t="n"/>
      <c r="L115" s="215" t="n"/>
      <c r="M115" s="215" t="n"/>
      <c r="N115" s="215" t="n"/>
      <c r="O115" s="215" t="n"/>
      <c r="P115" s="215" t="n"/>
      <c r="Q115" s="215" t="n"/>
      <c r="R115" s="215" t="n"/>
      <c r="S115" s="215" t="n"/>
      <c r="T115" s="215" t="n"/>
      <c r="U115" s="215" t="n"/>
      <c r="V115" s="215" t="n"/>
      <c r="W115" s="215" t="n"/>
      <c r="X115" s="215" t="n"/>
      <c r="Y115" s="215" t="n"/>
      <c r="Z115" s="215" t="n"/>
      <c r="AA115" s="215" t="n"/>
      <c r="AB115" s="215" t="n"/>
      <c r="AC115" s="215" t="n"/>
      <c r="AD115" s="215" t="n"/>
      <c r="AE115" s="215" t="n"/>
      <c r="AF115" s="215" t="n"/>
      <c r="AG115" s="215" t="n"/>
      <c r="AH115" s="215" t="n"/>
      <c r="AI115" s="215" t="n"/>
      <c r="AJ115" s="215" t="n"/>
      <c r="AK115" s="215" t="n"/>
      <c r="AL115" s="216" t="n"/>
    </row>
    <row r="116">
      <c r="B116" s="2" t="n"/>
      <c r="C116" s="105" t="n"/>
      <c r="D116" s="105" t="n"/>
      <c r="E116" s="105" t="n"/>
      <c r="F116" s="105" t="n"/>
      <c r="G116" s="105" t="n"/>
      <c r="H116" s="2" t="n"/>
      <c r="I116" s="105" t="n"/>
      <c r="J116" s="105" t="n"/>
      <c r="L116" s="215" t="n"/>
      <c r="M116" s="215" t="n"/>
      <c r="N116" s="215" t="n"/>
      <c r="O116" s="215" t="n"/>
      <c r="P116" s="215" t="n"/>
      <c r="Q116" s="215" t="n"/>
      <c r="R116" s="215" t="n"/>
      <c r="S116" s="215" t="n"/>
      <c r="T116" s="215" t="n"/>
      <c r="U116" s="215" t="n"/>
      <c r="V116" s="215" t="n"/>
      <c r="W116" s="215" t="n"/>
      <c r="X116" s="215" t="n"/>
      <c r="Y116" s="215" t="n"/>
      <c r="Z116" s="215" t="n"/>
      <c r="AA116" s="215" t="n"/>
      <c r="AB116" s="215" t="n"/>
      <c r="AC116" s="215" t="n"/>
      <c r="AD116" s="215" t="n"/>
      <c r="AE116" s="215" t="n"/>
      <c r="AF116" s="215" t="n"/>
      <c r="AG116" s="215" t="n"/>
      <c r="AH116" s="215" t="n"/>
      <c r="AI116" s="215" t="n"/>
      <c r="AJ116" s="215" t="n"/>
      <c r="AK116" s="215" t="n"/>
      <c r="AL116" s="216" t="n"/>
    </row>
    <row r="117">
      <c r="B117" s="2" t="n"/>
      <c r="C117" s="105" t="n"/>
      <c r="D117" s="105" t="n"/>
      <c r="E117" s="105" t="n"/>
      <c r="F117" s="105" t="n"/>
      <c r="G117" s="105" t="n"/>
      <c r="H117" s="2" t="n"/>
      <c r="I117" s="105" t="n"/>
      <c r="J117" s="105" t="n"/>
      <c r="L117" s="215" t="n"/>
      <c r="M117" s="215" t="n"/>
      <c r="N117" s="215" t="n"/>
      <c r="O117" s="215" t="n"/>
      <c r="P117" s="215" t="n"/>
      <c r="Q117" s="215" t="n"/>
      <c r="R117" s="215" t="n"/>
      <c r="S117" s="215" t="n"/>
      <c r="T117" s="215" t="n"/>
      <c r="U117" s="215" t="n"/>
      <c r="V117" s="215" t="n"/>
      <c r="W117" s="215" t="n"/>
      <c r="X117" s="215" t="n"/>
      <c r="Y117" s="215" t="n"/>
      <c r="Z117" s="215" t="n"/>
      <c r="AA117" s="215" t="n"/>
      <c r="AB117" s="215" t="n"/>
      <c r="AC117" s="215" t="n"/>
      <c r="AD117" s="215" t="n"/>
      <c r="AE117" s="215" t="n"/>
      <c r="AF117" s="215" t="n"/>
      <c r="AG117" s="215" t="n"/>
      <c r="AH117" s="215" t="n"/>
      <c r="AI117" s="215" t="n"/>
      <c r="AJ117" s="215" t="n"/>
      <c r="AK117" s="215" t="n"/>
      <c r="AL117" s="216" t="n"/>
    </row>
    <row r="118">
      <c r="B118" s="2" t="n"/>
      <c r="C118" s="105" t="n"/>
      <c r="D118" s="105" t="n"/>
      <c r="E118" s="105" t="n"/>
      <c r="F118" s="105" t="n"/>
      <c r="G118" s="105" t="n"/>
      <c r="H118" s="2" t="n"/>
      <c r="I118" s="105" t="n"/>
      <c r="J118" s="105" t="n"/>
      <c r="L118" s="215" t="n"/>
      <c r="M118" s="215" t="n"/>
      <c r="N118" s="215" t="n"/>
      <c r="O118" s="215" t="n"/>
      <c r="P118" s="215" t="n"/>
      <c r="Q118" s="215" t="n"/>
      <c r="R118" s="215" t="n"/>
      <c r="S118" s="215" t="n"/>
      <c r="T118" s="215" t="n"/>
      <c r="U118" s="215" t="n"/>
      <c r="V118" s="215" t="n"/>
      <c r="W118" s="215" t="n"/>
      <c r="X118" s="215" t="n"/>
      <c r="Y118" s="215" t="n"/>
      <c r="Z118" s="215" t="n"/>
      <c r="AA118" s="215" t="n"/>
      <c r="AB118" s="215" t="n"/>
      <c r="AC118" s="215" t="n"/>
      <c r="AD118" s="215" t="n"/>
      <c r="AE118" s="215" t="n"/>
      <c r="AF118" s="215" t="n"/>
      <c r="AG118" s="215" t="n"/>
      <c r="AH118" s="215" t="n"/>
      <c r="AI118" s="215" t="n"/>
      <c r="AJ118" s="215" t="n"/>
      <c r="AK118" s="215" t="n"/>
      <c r="AL118" s="216" t="n"/>
    </row>
    <row r="119">
      <c r="B119" s="2" t="n"/>
      <c r="C119" s="105" t="n"/>
      <c r="D119" s="105" t="n"/>
      <c r="E119" s="105" t="n"/>
      <c r="F119" s="105" t="n"/>
      <c r="G119" s="105" t="n"/>
      <c r="H119" s="2" t="n"/>
      <c r="I119" s="105" t="n"/>
      <c r="J119" s="105" t="n"/>
      <c r="L119" s="215" t="n"/>
      <c r="M119" s="215" t="n"/>
      <c r="N119" s="215" t="n"/>
      <c r="O119" s="215" t="n"/>
      <c r="P119" s="215" t="n"/>
      <c r="Q119" s="215" t="n"/>
      <c r="R119" s="215" t="n"/>
      <c r="S119" s="215" t="n"/>
      <c r="T119" s="215" t="n"/>
      <c r="U119" s="215" t="n"/>
      <c r="V119" s="215" t="n"/>
      <c r="W119" s="215" t="n"/>
      <c r="X119" s="215" t="n"/>
      <c r="Y119" s="215" t="n"/>
      <c r="Z119" s="215" t="n"/>
      <c r="AA119" s="215" t="n"/>
      <c r="AB119" s="215" t="n"/>
      <c r="AC119" s="215" t="n"/>
      <c r="AD119" s="215" t="n"/>
      <c r="AE119" s="215" t="n"/>
      <c r="AF119" s="215" t="n"/>
      <c r="AG119" s="215" t="n"/>
      <c r="AH119" s="215" t="n"/>
      <c r="AI119" s="215" t="n"/>
      <c r="AJ119" s="215" t="n"/>
      <c r="AK119" s="215" t="n"/>
      <c r="AL119" s="216" t="n"/>
    </row>
    <row r="120">
      <c r="B120" s="2" t="n"/>
      <c r="C120" s="105" t="n"/>
      <c r="D120" s="105" t="n"/>
      <c r="E120" s="105" t="n"/>
      <c r="F120" s="105" t="n"/>
      <c r="G120" s="105" t="n"/>
      <c r="H120" s="2" t="n"/>
      <c r="I120" s="105" t="n"/>
      <c r="J120" s="105" t="n"/>
      <c r="L120" s="215" t="n"/>
      <c r="M120" s="215" t="n"/>
      <c r="N120" s="215" t="n"/>
      <c r="O120" s="215" t="n"/>
      <c r="P120" s="215" t="n"/>
      <c r="Q120" s="215" t="n"/>
      <c r="R120" s="215" t="n"/>
      <c r="S120" s="215" t="n"/>
      <c r="T120" s="215" t="n"/>
      <c r="U120" s="215" t="n"/>
      <c r="V120" s="215" t="n"/>
      <c r="W120" s="215" t="n"/>
      <c r="X120" s="215" t="n"/>
      <c r="Y120" s="215" t="n"/>
      <c r="Z120" s="215" t="n"/>
      <c r="AA120" s="215" t="n"/>
      <c r="AB120" s="215" t="n"/>
      <c r="AC120" s="215" t="n"/>
      <c r="AD120" s="215" t="n"/>
      <c r="AE120" s="215" t="n"/>
      <c r="AF120" s="215" t="n"/>
      <c r="AG120" s="215" t="n"/>
      <c r="AH120" s="215" t="n"/>
      <c r="AI120" s="215" t="n"/>
      <c r="AJ120" s="215" t="n"/>
      <c r="AK120" s="215" t="n"/>
      <c r="AL120" s="216" t="n"/>
    </row>
    <row r="121">
      <c r="B121" s="2" t="n"/>
      <c r="C121" s="105" t="n"/>
      <c r="D121" s="105" t="n"/>
      <c r="E121" s="105" t="n"/>
      <c r="F121" s="105" t="n"/>
      <c r="G121" s="105" t="n"/>
      <c r="H121" s="2" t="n"/>
      <c r="I121" s="105" t="n"/>
      <c r="J121" s="105" t="n"/>
      <c r="L121" s="215" t="n"/>
      <c r="M121" s="215" t="n"/>
      <c r="N121" s="215" t="n"/>
      <c r="O121" s="215" t="n"/>
      <c r="P121" s="215" t="n"/>
      <c r="Q121" s="215" t="n"/>
      <c r="R121" s="215" t="n"/>
      <c r="S121" s="215" t="n"/>
      <c r="T121" s="215" t="n"/>
      <c r="U121" s="215" t="n"/>
      <c r="V121" s="215" t="n"/>
      <c r="W121" s="215" t="n"/>
      <c r="X121" s="215" t="n"/>
      <c r="Y121" s="215" t="n"/>
      <c r="Z121" s="215" t="n"/>
      <c r="AA121" s="215" t="n"/>
      <c r="AB121" s="215" t="n"/>
      <c r="AC121" s="215" t="n"/>
      <c r="AD121" s="215" t="n"/>
      <c r="AE121" s="215" t="n"/>
      <c r="AF121" s="215" t="n"/>
      <c r="AG121" s="215" t="n"/>
      <c r="AH121" s="215" t="n"/>
      <c r="AI121" s="215" t="n"/>
      <c r="AJ121" s="215" t="n"/>
      <c r="AK121" s="215" t="n"/>
      <c r="AL121" s="216" t="n"/>
    </row>
    <row r="122">
      <c r="B122" s="2" t="n"/>
      <c r="C122" s="105" t="n"/>
      <c r="D122" s="105" t="n"/>
      <c r="E122" s="105" t="n"/>
      <c r="F122" s="105" t="n"/>
      <c r="G122" s="105" t="n"/>
      <c r="H122" s="2" t="n"/>
      <c r="I122" s="105" t="n"/>
      <c r="J122" s="105" t="n"/>
      <c r="L122" s="215" t="n"/>
      <c r="M122" s="215" t="n"/>
      <c r="N122" s="215" t="n"/>
      <c r="O122" s="215" t="n"/>
      <c r="P122" s="215" t="n"/>
      <c r="Q122" s="215" t="n"/>
      <c r="R122" s="215" t="n"/>
      <c r="S122" s="215" t="n"/>
      <c r="T122" s="215" t="n"/>
      <c r="U122" s="215" t="n"/>
      <c r="V122" s="215" t="n"/>
      <c r="W122" s="215" t="n"/>
      <c r="X122" s="215" t="n"/>
      <c r="Y122" s="215" t="n"/>
      <c r="Z122" s="215" t="n"/>
      <c r="AA122" s="215" t="n"/>
      <c r="AB122" s="215" t="n"/>
      <c r="AC122" s="215" t="n"/>
      <c r="AD122" s="215" t="n"/>
      <c r="AE122" s="215" t="n"/>
      <c r="AF122" s="215" t="n"/>
      <c r="AG122" s="215" t="n"/>
      <c r="AH122" s="215" t="n"/>
      <c r="AI122" s="215" t="n"/>
      <c r="AJ122" s="215" t="n"/>
      <c r="AK122" s="215" t="n"/>
      <c r="AL122" s="216" t="n"/>
    </row>
    <row r="123">
      <c r="B123" s="2" t="n"/>
      <c r="C123" s="105" t="n"/>
      <c r="D123" s="105" t="n"/>
      <c r="E123" s="105" t="n"/>
      <c r="F123" s="105" t="n"/>
      <c r="G123" s="105" t="n"/>
      <c r="H123" s="2" t="n"/>
      <c r="I123" s="105" t="n"/>
      <c r="J123" s="105" t="n"/>
      <c r="L123" s="215" t="n"/>
      <c r="M123" s="215" t="n"/>
      <c r="N123" s="215" t="n"/>
      <c r="O123" s="215" t="n"/>
      <c r="P123" s="215" t="n"/>
      <c r="Q123" s="215" t="n"/>
      <c r="R123" s="215" t="n"/>
      <c r="S123" s="215" t="n"/>
      <c r="T123" s="215" t="n"/>
      <c r="U123" s="215" t="n"/>
      <c r="V123" s="215" t="n"/>
      <c r="W123" s="215" t="n"/>
      <c r="X123" s="215" t="n"/>
      <c r="Y123" s="215" t="n"/>
      <c r="Z123" s="215" t="n"/>
      <c r="AA123" s="215" t="n"/>
      <c r="AB123" s="215" t="n"/>
      <c r="AC123" s="215" t="n"/>
      <c r="AD123" s="215" t="n"/>
      <c r="AE123" s="215" t="n"/>
      <c r="AF123" s="215" t="n"/>
      <c r="AG123" s="215" t="n"/>
      <c r="AH123" s="215" t="n"/>
      <c r="AI123" s="215" t="n"/>
      <c r="AJ123" s="215" t="n"/>
      <c r="AK123" s="215" t="n"/>
      <c r="AL123" s="216" t="n"/>
    </row>
    <row r="124">
      <c r="B124" s="2" t="n"/>
      <c r="C124" s="105" t="n"/>
      <c r="D124" s="105" t="n"/>
      <c r="E124" s="105" t="n"/>
      <c r="F124" s="105" t="n"/>
      <c r="G124" s="105" t="n"/>
      <c r="H124" s="2" t="n"/>
      <c r="I124" s="105" t="n"/>
      <c r="J124" s="105" t="n"/>
      <c r="L124" s="215" t="n"/>
      <c r="M124" s="215" t="n"/>
      <c r="N124" s="215" t="n"/>
      <c r="O124" s="215" t="n"/>
      <c r="P124" s="215" t="n"/>
      <c r="Q124" s="215" t="n"/>
      <c r="R124" s="215" t="n"/>
      <c r="S124" s="215" t="n"/>
      <c r="T124" s="215" t="n"/>
      <c r="U124" s="215" t="n"/>
      <c r="V124" s="215" t="n"/>
      <c r="W124" s="215" t="n"/>
      <c r="X124" s="215" t="n"/>
      <c r="Y124" s="215" t="n"/>
      <c r="Z124" s="215" t="n"/>
      <c r="AA124" s="215" t="n"/>
      <c r="AB124" s="215" t="n"/>
      <c r="AC124" s="215" t="n"/>
      <c r="AD124" s="215" t="n"/>
      <c r="AE124" s="215" t="n"/>
      <c r="AF124" s="215" t="n"/>
      <c r="AG124" s="215" t="n"/>
      <c r="AH124" s="215" t="n"/>
      <c r="AI124" s="215" t="n"/>
      <c r="AJ124" s="215" t="n"/>
      <c r="AK124" s="215" t="n"/>
      <c r="AL124" s="216" t="n"/>
    </row>
    <row r="125">
      <c r="B125" s="2" t="n"/>
      <c r="C125" s="105" t="n"/>
      <c r="D125" s="105" t="n"/>
      <c r="E125" s="105" t="n"/>
      <c r="F125" s="105" t="n"/>
      <c r="G125" s="105" t="n"/>
      <c r="H125" s="2" t="n"/>
      <c r="I125" s="105" t="n"/>
      <c r="J125" s="105" t="n"/>
      <c r="L125" s="215" t="n"/>
      <c r="M125" s="215" t="n"/>
      <c r="N125" s="215" t="n"/>
      <c r="O125" s="215" t="n"/>
      <c r="P125" s="215" t="n"/>
      <c r="Q125" s="215" t="n"/>
      <c r="R125" s="215" t="n"/>
      <c r="S125" s="215" t="n"/>
      <c r="T125" s="215" t="n"/>
      <c r="U125" s="215" t="n"/>
      <c r="V125" s="215" t="n"/>
      <c r="W125" s="215" t="n"/>
      <c r="X125" s="215" t="n"/>
      <c r="Y125" s="215" t="n"/>
      <c r="Z125" s="215" t="n"/>
      <c r="AA125" s="215" t="n"/>
      <c r="AB125" s="215" t="n"/>
      <c r="AC125" s="215" t="n"/>
      <c r="AD125" s="215" t="n"/>
      <c r="AE125" s="215" t="n"/>
      <c r="AF125" s="215" t="n"/>
      <c r="AG125" s="215" t="n"/>
      <c r="AH125" s="215" t="n"/>
      <c r="AI125" s="215" t="n"/>
      <c r="AJ125" s="215" t="n"/>
      <c r="AK125" s="215" t="n"/>
      <c r="AL125" s="216" t="n"/>
    </row>
    <row r="126">
      <c r="B126" s="2" t="n"/>
      <c r="C126" s="105" t="n"/>
      <c r="D126" s="105" t="n"/>
      <c r="E126" s="105" t="n"/>
      <c r="F126" s="105" t="n"/>
      <c r="G126" s="105" t="n"/>
      <c r="H126" s="2" t="n"/>
      <c r="I126" s="105" t="n"/>
      <c r="J126" s="105" t="n"/>
      <c r="L126" s="215" t="n"/>
      <c r="M126" s="215" t="n"/>
      <c r="N126" s="215" t="n"/>
      <c r="O126" s="215" t="n"/>
      <c r="P126" s="215" t="n"/>
      <c r="Q126" s="215" t="n"/>
      <c r="R126" s="215" t="n"/>
      <c r="S126" s="215" t="n"/>
      <c r="T126" s="215" t="n"/>
      <c r="U126" s="215" t="n"/>
      <c r="V126" s="215" t="n"/>
      <c r="W126" s="215" t="n"/>
      <c r="X126" s="215" t="n"/>
      <c r="Y126" s="215" t="n"/>
      <c r="Z126" s="215" t="n"/>
      <c r="AA126" s="215" t="n"/>
      <c r="AB126" s="215" t="n"/>
      <c r="AC126" s="215" t="n"/>
      <c r="AD126" s="215" t="n"/>
      <c r="AE126" s="215" t="n"/>
      <c r="AF126" s="215" t="n"/>
      <c r="AG126" s="215" t="n"/>
      <c r="AH126" s="215" t="n"/>
      <c r="AI126" s="215" t="n"/>
      <c r="AJ126" s="215" t="n"/>
      <c r="AK126" s="215" t="n"/>
      <c r="AL126" s="216" t="n"/>
    </row>
    <row r="127">
      <c r="B127" s="2" t="n"/>
      <c r="C127" s="105" t="n"/>
      <c r="D127" s="105" t="n"/>
      <c r="E127" s="105" t="n"/>
      <c r="F127" s="105" t="n"/>
      <c r="G127" s="105" t="n"/>
      <c r="H127" s="2" t="n"/>
      <c r="I127" s="105" t="n"/>
      <c r="J127" s="105" t="n"/>
      <c r="L127" s="215" t="n"/>
      <c r="M127" s="215" t="n"/>
      <c r="N127" s="215" t="n"/>
      <c r="O127" s="215" t="n"/>
      <c r="P127" s="215" t="n"/>
      <c r="Q127" s="215" t="n"/>
      <c r="R127" s="215" t="n"/>
      <c r="S127" s="215" t="n"/>
      <c r="T127" s="215" t="n"/>
      <c r="U127" s="215" t="n"/>
      <c r="V127" s="215" t="n"/>
      <c r="W127" s="215" t="n"/>
      <c r="X127" s="215" t="n"/>
      <c r="Y127" s="215" t="n"/>
      <c r="Z127" s="215" t="n"/>
      <c r="AA127" s="215" t="n"/>
      <c r="AB127" s="215" t="n"/>
      <c r="AC127" s="215" t="n"/>
      <c r="AD127" s="215" t="n"/>
      <c r="AE127" s="215" t="n"/>
      <c r="AF127" s="215" t="n"/>
      <c r="AG127" s="215" t="n"/>
      <c r="AH127" s="215" t="n"/>
      <c r="AI127" s="215" t="n"/>
      <c r="AJ127" s="215" t="n"/>
      <c r="AK127" s="215" t="n"/>
      <c r="AL127" s="216" t="n"/>
    </row>
    <row r="128">
      <c r="B128" s="2" t="n"/>
      <c r="C128" s="105" t="n"/>
      <c r="D128" s="105" t="n"/>
      <c r="E128" s="105" t="n"/>
      <c r="F128" s="105" t="n"/>
      <c r="G128" s="105" t="n"/>
      <c r="H128" s="2" t="n"/>
      <c r="I128" s="105" t="n"/>
      <c r="J128" s="105" t="n"/>
      <c r="L128" s="215" t="n"/>
      <c r="M128" s="215" t="n"/>
      <c r="N128" s="215" t="n"/>
      <c r="O128" s="215" t="n"/>
      <c r="P128" s="215" t="n"/>
      <c r="Q128" s="215" t="n"/>
      <c r="R128" s="215" t="n"/>
      <c r="S128" s="215" t="n"/>
      <c r="T128" s="215" t="n"/>
      <c r="U128" s="215" t="n"/>
      <c r="V128" s="215" t="n"/>
      <c r="W128" s="215" t="n"/>
      <c r="X128" s="215" t="n"/>
      <c r="Y128" s="215" t="n"/>
      <c r="Z128" s="215" t="n"/>
      <c r="AA128" s="215" t="n"/>
      <c r="AB128" s="215" t="n"/>
      <c r="AC128" s="215" t="n"/>
      <c r="AD128" s="215" t="n"/>
      <c r="AE128" s="215" t="n"/>
      <c r="AF128" s="215" t="n"/>
      <c r="AG128" s="215" t="n"/>
      <c r="AH128" s="215" t="n"/>
      <c r="AI128" s="215" t="n"/>
      <c r="AJ128" s="215" t="n"/>
      <c r="AK128" s="215" t="n"/>
      <c r="AL128" s="216" t="n"/>
    </row>
    <row r="129">
      <c r="B129" s="2" t="n"/>
      <c r="C129" s="105" t="n"/>
      <c r="D129" s="105" t="n"/>
      <c r="E129" s="105" t="n"/>
      <c r="F129" s="105" t="n"/>
      <c r="G129" s="105" t="n"/>
      <c r="H129" s="2" t="n"/>
      <c r="I129" s="105" t="n"/>
      <c r="J129" s="105" t="n"/>
      <c r="L129" s="215" t="n"/>
      <c r="M129" s="215" t="n"/>
      <c r="N129" s="215" t="n"/>
      <c r="O129" s="215" t="n"/>
      <c r="P129" s="215" t="n"/>
      <c r="Q129" s="215" t="n"/>
      <c r="R129" s="215" t="n"/>
      <c r="S129" s="215" t="n"/>
      <c r="T129" s="215" t="n"/>
      <c r="U129" s="215" t="n"/>
      <c r="V129" s="215" t="n"/>
      <c r="W129" s="215" t="n"/>
      <c r="X129" s="215" t="n"/>
      <c r="Y129" s="215" t="n"/>
      <c r="Z129" s="215" t="n"/>
      <c r="AA129" s="215" t="n"/>
      <c r="AB129" s="215" t="n"/>
      <c r="AC129" s="215" t="n"/>
      <c r="AD129" s="215" t="n"/>
      <c r="AE129" s="215" t="n"/>
      <c r="AF129" s="215" t="n"/>
      <c r="AG129" s="215" t="n"/>
      <c r="AH129" s="215" t="n"/>
      <c r="AI129" s="215" t="n"/>
      <c r="AJ129" s="215" t="n"/>
      <c r="AK129" s="215" t="n"/>
      <c r="AL129" s="216" t="n"/>
    </row>
    <row r="130">
      <c r="B130" s="2" t="n"/>
      <c r="C130" s="105" t="n"/>
      <c r="D130" s="105" t="n"/>
      <c r="E130" s="105" t="n"/>
      <c r="F130" s="105" t="n"/>
      <c r="G130" s="105" t="n"/>
      <c r="H130" s="2" t="n"/>
      <c r="I130" s="105" t="n"/>
      <c r="J130" s="105" t="n"/>
      <c r="L130" s="215" t="n"/>
      <c r="M130" s="215" t="n"/>
      <c r="N130" s="215" t="n"/>
      <c r="O130" s="215" t="n"/>
      <c r="P130" s="215" t="n"/>
      <c r="Q130" s="215" t="n"/>
      <c r="R130" s="215" t="n"/>
      <c r="S130" s="215" t="n"/>
      <c r="T130" s="215" t="n"/>
      <c r="U130" s="215" t="n"/>
      <c r="V130" s="215" t="n"/>
      <c r="W130" s="215" t="n"/>
      <c r="X130" s="215" t="n"/>
      <c r="Y130" s="215" t="n"/>
      <c r="Z130" s="215" t="n"/>
      <c r="AA130" s="215" t="n"/>
      <c r="AB130" s="215" t="n"/>
      <c r="AC130" s="215" t="n"/>
      <c r="AD130" s="215" t="n"/>
      <c r="AE130" s="215" t="n"/>
      <c r="AF130" s="215" t="n"/>
      <c r="AG130" s="215" t="n"/>
      <c r="AH130" s="215" t="n"/>
      <c r="AI130" s="215" t="n"/>
      <c r="AJ130" s="215" t="n"/>
      <c r="AK130" s="215" t="n"/>
      <c r="AL130" s="216" t="n"/>
    </row>
    <row r="131">
      <c r="B131" s="2" t="n"/>
      <c r="C131" s="105" t="n"/>
      <c r="D131" s="105" t="n"/>
      <c r="E131" s="105" t="n"/>
      <c r="F131" s="105" t="n"/>
      <c r="G131" s="105" t="n"/>
      <c r="H131" s="2" t="n"/>
      <c r="I131" s="105" t="n"/>
      <c r="J131" s="105" t="n"/>
      <c r="L131" s="215" t="n"/>
      <c r="M131" s="215" t="n"/>
      <c r="N131" s="215" t="n"/>
      <c r="O131" s="215" t="n"/>
      <c r="P131" s="215" t="n"/>
      <c r="Q131" s="215" t="n"/>
      <c r="R131" s="215" t="n"/>
      <c r="S131" s="215" t="n"/>
      <c r="T131" s="215" t="n"/>
      <c r="U131" s="215" t="n"/>
      <c r="V131" s="215" t="n"/>
      <c r="W131" s="215" t="n"/>
      <c r="X131" s="215" t="n"/>
      <c r="Y131" s="215" t="n"/>
      <c r="Z131" s="215" t="n"/>
      <c r="AA131" s="215" t="n"/>
      <c r="AB131" s="215" t="n"/>
      <c r="AC131" s="215" t="n"/>
      <c r="AD131" s="215" t="n"/>
      <c r="AE131" s="215" t="n"/>
      <c r="AF131" s="215" t="n"/>
      <c r="AG131" s="215" t="n"/>
      <c r="AH131" s="215" t="n"/>
      <c r="AI131" s="215" t="n"/>
      <c r="AJ131" s="215" t="n"/>
      <c r="AK131" s="215" t="n"/>
      <c r="AL131" s="216" t="n"/>
    </row>
    <row r="132">
      <c r="B132" s="2" t="n"/>
      <c r="C132" s="105" t="n"/>
      <c r="D132" s="105" t="n"/>
      <c r="E132" s="105" t="n"/>
      <c r="F132" s="105" t="n"/>
      <c r="G132" s="105" t="n"/>
      <c r="H132" s="2" t="n"/>
      <c r="I132" s="105" t="n"/>
      <c r="J132" s="105" t="n"/>
      <c r="L132" s="215" t="n"/>
      <c r="M132" s="215" t="n"/>
      <c r="N132" s="215" t="n"/>
      <c r="O132" s="215" t="n"/>
      <c r="P132" s="215" t="n"/>
      <c r="Q132" s="215" t="n"/>
      <c r="R132" s="215" t="n"/>
      <c r="S132" s="215" t="n"/>
      <c r="T132" s="215" t="n"/>
      <c r="U132" s="215" t="n"/>
      <c r="V132" s="215" t="n"/>
      <c r="W132" s="215" t="n"/>
      <c r="X132" s="215" t="n"/>
      <c r="Y132" s="215" t="n"/>
      <c r="Z132" s="215" t="n"/>
      <c r="AA132" s="215" t="n"/>
      <c r="AB132" s="215" t="n"/>
      <c r="AC132" s="215" t="n"/>
      <c r="AD132" s="215" t="n"/>
      <c r="AE132" s="215" t="n"/>
      <c r="AF132" s="215" t="n"/>
      <c r="AG132" s="215" t="n"/>
      <c r="AH132" s="215" t="n"/>
      <c r="AI132" s="215" t="n"/>
      <c r="AJ132" s="215" t="n"/>
      <c r="AK132" s="215" t="n"/>
      <c r="AL132" s="216" t="n"/>
    </row>
    <row r="133">
      <c r="B133" s="2" t="n"/>
      <c r="C133" s="105" t="n"/>
      <c r="D133" s="105" t="n"/>
      <c r="E133" s="105" t="n"/>
      <c r="F133" s="105" t="n"/>
      <c r="G133" s="105" t="n"/>
      <c r="H133" s="2" t="n"/>
      <c r="I133" s="105" t="n"/>
      <c r="J133" s="105" t="n"/>
      <c r="L133" s="215" t="n"/>
      <c r="M133" s="215" t="n"/>
      <c r="N133" s="215" t="n"/>
      <c r="O133" s="215" t="n"/>
      <c r="P133" s="215" t="n"/>
      <c r="Q133" s="215" t="n"/>
      <c r="R133" s="215" t="n"/>
      <c r="S133" s="215" t="n"/>
      <c r="T133" s="215" t="n"/>
      <c r="U133" s="215" t="n"/>
      <c r="V133" s="215" t="n"/>
      <c r="W133" s="215" t="n"/>
      <c r="X133" s="215" t="n"/>
      <c r="Y133" s="215" t="n"/>
      <c r="Z133" s="215" t="n"/>
      <c r="AA133" s="215" t="n"/>
      <c r="AB133" s="215" t="n"/>
      <c r="AC133" s="215" t="n"/>
      <c r="AD133" s="215" t="n"/>
      <c r="AE133" s="215" t="n"/>
      <c r="AF133" s="215" t="n"/>
      <c r="AG133" s="215" t="n"/>
      <c r="AH133" s="215" t="n"/>
      <c r="AI133" s="215" t="n"/>
      <c r="AJ133" s="215" t="n"/>
      <c r="AK133" s="215" t="n"/>
      <c r="AL133" s="216" t="n"/>
    </row>
    <row r="134">
      <c r="B134" s="2" t="n"/>
      <c r="C134" s="105" t="n"/>
      <c r="D134" s="105" t="n"/>
      <c r="E134" s="105" t="n"/>
      <c r="F134" s="105" t="n"/>
      <c r="G134" s="105" t="n"/>
      <c r="H134" s="2" t="n"/>
      <c r="I134" s="105" t="n"/>
      <c r="J134" s="105" t="n"/>
      <c r="L134" s="215" t="n"/>
      <c r="M134" s="215" t="n"/>
      <c r="N134" s="215" t="n"/>
      <c r="O134" s="215" t="n"/>
      <c r="P134" s="215" t="n"/>
      <c r="Q134" s="215" t="n"/>
      <c r="R134" s="215" t="n"/>
      <c r="S134" s="215" t="n"/>
      <c r="T134" s="215" t="n"/>
      <c r="U134" s="215" t="n"/>
      <c r="V134" s="215" t="n"/>
      <c r="W134" s="215" t="n"/>
      <c r="X134" s="215" t="n"/>
      <c r="Y134" s="215" t="n"/>
      <c r="Z134" s="215" t="n"/>
      <c r="AA134" s="215" t="n"/>
      <c r="AB134" s="215" t="n"/>
      <c r="AC134" s="215" t="n"/>
      <c r="AD134" s="215" t="n"/>
      <c r="AE134" s="215" t="n"/>
      <c r="AF134" s="215" t="n"/>
      <c r="AG134" s="215" t="n"/>
      <c r="AH134" s="215" t="n"/>
      <c r="AI134" s="215" t="n"/>
      <c r="AJ134" s="215" t="n"/>
      <c r="AK134" s="215" t="n"/>
      <c r="AL134" s="216" t="n"/>
    </row>
    <row r="135">
      <c r="B135" s="2" t="n"/>
      <c r="C135" s="105" t="n"/>
      <c r="D135" s="105" t="n"/>
      <c r="E135" s="105" t="n"/>
      <c r="F135" s="105" t="n"/>
      <c r="G135" s="105" t="n"/>
      <c r="H135" s="2" t="n"/>
      <c r="I135" s="105" t="n"/>
      <c r="J135" s="105" t="n"/>
      <c r="L135" s="215" t="n"/>
      <c r="M135" s="215" t="n"/>
      <c r="N135" s="215" t="n"/>
      <c r="O135" s="215" t="n"/>
      <c r="P135" s="215" t="n"/>
      <c r="Q135" s="215" t="n"/>
      <c r="R135" s="215" t="n"/>
      <c r="S135" s="215" t="n"/>
      <c r="T135" s="215" t="n"/>
      <c r="U135" s="215" t="n"/>
      <c r="V135" s="215" t="n"/>
      <c r="W135" s="215" t="n"/>
      <c r="X135" s="215" t="n"/>
      <c r="Y135" s="215" t="n"/>
      <c r="Z135" s="215" t="n"/>
      <c r="AA135" s="215" t="n"/>
      <c r="AB135" s="215" t="n"/>
      <c r="AC135" s="215" t="n"/>
      <c r="AD135" s="215" t="n"/>
      <c r="AE135" s="215" t="n"/>
      <c r="AF135" s="215" t="n"/>
      <c r="AG135" s="215" t="n"/>
      <c r="AH135" s="215" t="n"/>
      <c r="AI135" s="215" t="n"/>
      <c r="AJ135" s="215" t="n"/>
      <c r="AK135" s="215" t="n"/>
      <c r="AL135" s="216" t="n"/>
    </row>
    <row r="136">
      <c r="B136" s="2" t="n"/>
      <c r="C136" s="105" t="n"/>
      <c r="D136" s="105" t="n"/>
      <c r="E136" s="105" t="n"/>
      <c r="F136" s="105" t="n"/>
      <c r="G136" s="105" t="n"/>
      <c r="H136" s="2" t="n"/>
      <c r="I136" s="105" t="n"/>
      <c r="J136" s="105" t="n"/>
      <c r="L136" s="215" t="n"/>
      <c r="M136" s="215" t="n"/>
      <c r="N136" s="215" t="n"/>
      <c r="O136" s="215" t="n"/>
      <c r="P136" s="215" t="n"/>
      <c r="Q136" s="215" t="n"/>
      <c r="R136" s="215" t="n"/>
      <c r="S136" s="215" t="n"/>
      <c r="T136" s="215" t="n"/>
      <c r="U136" s="215" t="n"/>
      <c r="V136" s="215" t="n"/>
      <c r="W136" s="215" t="n"/>
      <c r="X136" s="215" t="n"/>
      <c r="Y136" s="215" t="n"/>
      <c r="Z136" s="215" t="n"/>
      <c r="AA136" s="215" t="n"/>
      <c r="AB136" s="215" t="n"/>
      <c r="AC136" s="215" t="n"/>
      <c r="AD136" s="215" t="n"/>
      <c r="AE136" s="215" t="n"/>
      <c r="AF136" s="215" t="n"/>
      <c r="AG136" s="215" t="n"/>
      <c r="AH136" s="215" t="n"/>
      <c r="AI136" s="215" t="n"/>
      <c r="AJ136" s="215" t="n"/>
      <c r="AK136" s="215" t="n"/>
      <c r="AL136" s="216" t="n"/>
    </row>
    <row r="137">
      <c r="B137" s="2" t="n"/>
      <c r="C137" s="105" t="n"/>
      <c r="D137" s="105" t="n"/>
      <c r="E137" s="105" t="n"/>
      <c r="F137" s="105" t="n"/>
      <c r="G137" s="105" t="n"/>
      <c r="H137" s="2" t="n"/>
      <c r="I137" s="105" t="n"/>
      <c r="J137" s="105" t="n"/>
      <c r="L137" s="215" t="n"/>
      <c r="M137" s="215" t="n"/>
      <c r="N137" s="215" t="n"/>
      <c r="O137" s="215" t="n"/>
      <c r="P137" s="215" t="n"/>
      <c r="Q137" s="215" t="n"/>
      <c r="R137" s="215" t="n"/>
      <c r="S137" s="215" t="n"/>
      <c r="T137" s="215" t="n"/>
      <c r="U137" s="215" t="n"/>
      <c r="V137" s="215" t="n"/>
      <c r="W137" s="215" t="n"/>
      <c r="X137" s="215" t="n"/>
      <c r="Y137" s="215" t="n"/>
      <c r="Z137" s="215" t="n"/>
      <c r="AA137" s="215" t="n"/>
      <c r="AB137" s="215" t="n"/>
      <c r="AC137" s="215" t="n"/>
      <c r="AD137" s="215" t="n"/>
      <c r="AE137" s="215" t="n"/>
      <c r="AF137" s="215" t="n"/>
      <c r="AG137" s="215" t="n"/>
      <c r="AH137" s="215" t="n"/>
      <c r="AI137" s="215" t="n"/>
      <c r="AJ137" s="215" t="n"/>
      <c r="AK137" s="215" t="n"/>
      <c r="AL137" s="216" t="n"/>
    </row>
    <row r="138">
      <c r="B138" s="2" t="n"/>
      <c r="C138" s="105" t="n"/>
      <c r="D138" s="105" t="n"/>
      <c r="E138" s="105" t="n"/>
      <c r="F138" s="105" t="n"/>
      <c r="G138" s="105" t="n"/>
      <c r="H138" s="2" t="n"/>
      <c r="I138" s="105" t="n"/>
      <c r="J138" s="105" t="n"/>
      <c r="L138" s="215" t="n"/>
      <c r="M138" s="215" t="n"/>
      <c r="N138" s="215" t="n"/>
      <c r="O138" s="215" t="n"/>
      <c r="P138" s="215" t="n"/>
      <c r="Q138" s="215" t="n"/>
      <c r="R138" s="215" t="n"/>
      <c r="S138" s="215" t="n"/>
      <c r="T138" s="215" t="n"/>
      <c r="U138" s="215" t="n"/>
      <c r="V138" s="215" t="n"/>
      <c r="W138" s="215" t="n"/>
      <c r="X138" s="215" t="n"/>
      <c r="Y138" s="215" t="n"/>
      <c r="Z138" s="215" t="n"/>
      <c r="AA138" s="215" t="n"/>
      <c r="AB138" s="215" t="n"/>
      <c r="AC138" s="215" t="n"/>
      <c r="AD138" s="215" t="n"/>
      <c r="AE138" s="215" t="n"/>
      <c r="AF138" s="215" t="n"/>
      <c r="AG138" s="215" t="n"/>
      <c r="AH138" s="215" t="n"/>
      <c r="AI138" s="215" t="n"/>
      <c r="AJ138" s="215" t="n"/>
      <c r="AK138" s="215" t="n"/>
      <c r="AL138" s="216" t="n"/>
    </row>
    <row r="139">
      <c r="B139" s="2" t="n"/>
      <c r="C139" s="105" t="n"/>
      <c r="D139" s="105" t="n"/>
      <c r="E139" s="105" t="n"/>
      <c r="F139" s="105" t="n"/>
      <c r="G139" s="105" t="n"/>
      <c r="H139" s="2" t="n"/>
      <c r="I139" s="105" t="n"/>
      <c r="J139" s="105" t="n"/>
      <c r="L139" s="215" t="n"/>
      <c r="M139" s="215" t="n"/>
      <c r="N139" s="215" t="n"/>
      <c r="O139" s="215" t="n"/>
      <c r="P139" s="215" t="n"/>
      <c r="Q139" s="215" t="n"/>
      <c r="R139" s="215" t="n"/>
      <c r="S139" s="215" t="n"/>
      <c r="T139" s="215" t="n"/>
      <c r="U139" s="215" t="n"/>
      <c r="V139" s="215" t="n"/>
      <c r="W139" s="215" t="n"/>
      <c r="X139" s="215" t="n"/>
      <c r="Y139" s="215" t="n"/>
      <c r="Z139" s="215" t="n"/>
      <c r="AA139" s="215" t="n"/>
      <c r="AB139" s="215" t="n"/>
      <c r="AC139" s="215" t="n"/>
      <c r="AD139" s="215" t="n"/>
      <c r="AE139" s="215" t="n"/>
      <c r="AF139" s="215" t="n"/>
      <c r="AG139" s="215" t="n"/>
      <c r="AH139" s="215" t="n"/>
      <c r="AI139" s="215" t="n"/>
      <c r="AJ139" s="215" t="n"/>
      <c r="AK139" s="215" t="n"/>
      <c r="AL139" s="216" t="n"/>
    </row>
    <row r="140">
      <c r="B140" s="2" t="n"/>
      <c r="C140" s="105" t="n"/>
      <c r="D140" s="105" t="n"/>
      <c r="E140" s="105" t="n"/>
      <c r="F140" s="105" t="n"/>
      <c r="G140" s="105" t="n"/>
      <c r="H140" s="2" t="n"/>
      <c r="I140" s="105" t="n"/>
      <c r="J140" s="105" t="n"/>
      <c r="L140" s="215" t="n"/>
      <c r="M140" s="215" t="n"/>
      <c r="N140" s="215" t="n"/>
      <c r="O140" s="215" t="n"/>
      <c r="P140" s="215" t="n"/>
      <c r="Q140" s="215" t="n"/>
      <c r="R140" s="215" t="n"/>
      <c r="S140" s="215" t="n"/>
      <c r="T140" s="215" t="n"/>
      <c r="U140" s="215" t="n"/>
      <c r="V140" s="215" t="n"/>
      <c r="W140" s="215" t="n"/>
      <c r="X140" s="215" t="n"/>
      <c r="Y140" s="215" t="n"/>
      <c r="Z140" s="215" t="n"/>
      <c r="AA140" s="215" t="n"/>
      <c r="AB140" s="215" t="n"/>
      <c r="AC140" s="215" t="n"/>
      <c r="AD140" s="215" t="n"/>
      <c r="AE140" s="215" t="n"/>
      <c r="AF140" s="215" t="n"/>
      <c r="AG140" s="215" t="n"/>
      <c r="AH140" s="215" t="n"/>
      <c r="AI140" s="215" t="n"/>
      <c r="AJ140" s="215" t="n"/>
      <c r="AK140" s="215" t="n"/>
      <c r="AL140" s="216" t="n"/>
    </row>
    <row r="141">
      <c r="B141" s="2" t="n"/>
      <c r="C141" s="105" t="n"/>
      <c r="D141" s="105" t="n"/>
      <c r="E141" s="105" t="n"/>
      <c r="F141" s="105" t="n"/>
      <c r="G141" s="105" t="n"/>
      <c r="H141" s="2" t="n"/>
      <c r="I141" s="105" t="n"/>
      <c r="J141" s="105" t="n"/>
      <c r="L141" s="215" t="n"/>
      <c r="M141" s="215" t="n"/>
      <c r="N141" s="215" t="n"/>
      <c r="O141" s="215" t="n"/>
      <c r="P141" s="215" t="n"/>
      <c r="Q141" s="215" t="n"/>
      <c r="R141" s="215" t="n"/>
      <c r="S141" s="215" t="n"/>
      <c r="T141" s="215" t="n"/>
      <c r="U141" s="215" t="n"/>
      <c r="V141" s="215" t="n"/>
      <c r="W141" s="215" t="n"/>
      <c r="X141" s="215" t="n"/>
      <c r="Y141" s="215" t="n"/>
      <c r="Z141" s="215" t="n"/>
      <c r="AA141" s="215" t="n"/>
      <c r="AB141" s="215" t="n"/>
      <c r="AC141" s="215" t="n"/>
      <c r="AD141" s="215" t="n"/>
      <c r="AE141" s="215" t="n"/>
      <c r="AF141" s="215" t="n"/>
      <c r="AG141" s="215" t="n"/>
      <c r="AH141" s="215" t="n"/>
      <c r="AI141" s="215" t="n"/>
      <c r="AJ141" s="215" t="n"/>
      <c r="AK141" s="215" t="n"/>
      <c r="AL141" s="216" t="n"/>
    </row>
    <row r="142">
      <c r="B142" s="2" t="n"/>
      <c r="C142" s="105" t="n"/>
      <c r="D142" s="105" t="n"/>
      <c r="E142" s="105" t="n"/>
      <c r="F142" s="105" t="n"/>
      <c r="G142" s="105" t="n"/>
      <c r="H142" s="2" t="n"/>
      <c r="I142" s="105" t="n"/>
      <c r="J142" s="105" t="n"/>
      <c r="L142" s="215" t="n"/>
      <c r="M142" s="215" t="n"/>
      <c r="N142" s="215" t="n"/>
      <c r="O142" s="215" t="n"/>
      <c r="P142" s="215" t="n"/>
      <c r="Q142" s="215" t="n"/>
      <c r="R142" s="215" t="n"/>
      <c r="S142" s="215" t="n"/>
      <c r="T142" s="215" t="n"/>
      <c r="U142" s="215" t="n"/>
      <c r="V142" s="215" t="n"/>
      <c r="W142" s="215" t="n"/>
      <c r="X142" s="215" t="n"/>
      <c r="Y142" s="215" t="n"/>
      <c r="Z142" s="215" t="n"/>
      <c r="AA142" s="215" t="n"/>
      <c r="AB142" s="215" t="n"/>
      <c r="AC142" s="215" t="n"/>
      <c r="AD142" s="215" t="n"/>
      <c r="AE142" s="215" t="n"/>
      <c r="AF142" s="215" t="n"/>
      <c r="AG142" s="215" t="n"/>
      <c r="AH142" s="215" t="n"/>
      <c r="AI142" s="215" t="n"/>
      <c r="AJ142" s="215" t="n"/>
      <c r="AK142" s="215" t="n"/>
      <c r="AL142" s="216" t="n"/>
    </row>
    <row r="143">
      <c r="B143" s="2" t="n"/>
      <c r="C143" s="105" t="n"/>
      <c r="D143" s="105" t="n"/>
      <c r="E143" s="105" t="n"/>
      <c r="F143" s="105" t="n"/>
      <c r="G143" s="105" t="n"/>
      <c r="H143" s="2" t="n"/>
      <c r="I143" s="105" t="n"/>
      <c r="J143" s="105" t="n"/>
      <c r="L143" s="215" t="n"/>
      <c r="M143" s="215" t="n"/>
      <c r="N143" s="215" t="n"/>
      <c r="O143" s="215" t="n"/>
      <c r="P143" s="215" t="n"/>
      <c r="Q143" s="215" t="n"/>
      <c r="R143" s="215" t="n"/>
      <c r="S143" s="215" t="n"/>
      <c r="T143" s="215" t="n"/>
      <c r="U143" s="215" t="n"/>
      <c r="V143" s="215" t="n"/>
      <c r="W143" s="215" t="n"/>
      <c r="X143" s="215" t="n"/>
      <c r="Y143" s="215" t="n"/>
      <c r="Z143" s="215" t="n"/>
      <c r="AA143" s="215" t="n"/>
      <c r="AB143" s="215" t="n"/>
      <c r="AC143" s="215" t="n"/>
      <c r="AD143" s="215" t="n"/>
      <c r="AE143" s="215" t="n"/>
      <c r="AF143" s="215" t="n"/>
      <c r="AG143" s="215" t="n"/>
      <c r="AH143" s="215" t="n"/>
      <c r="AI143" s="215" t="n"/>
      <c r="AJ143" s="215" t="n"/>
      <c r="AK143" s="215" t="n"/>
      <c r="AL143" s="216" t="n"/>
    </row>
    <row r="144">
      <c r="B144" s="2" t="n"/>
      <c r="C144" s="105" t="n"/>
      <c r="D144" s="105" t="n"/>
      <c r="E144" s="105" t="n"/>
      <c r="F144" s="105" t="n"/>
      <c r="G144" s="105" t="n"/>
      <c r="H144" s="2" t="n"/>
      <c r="I144" s="105" t="n"/>
      <c r="J144" s="105" t="n"/>
      <c r="L144" s="215" t="n"/>
      <c r="M144" s="215" t="n"/>
      <c r="N144" s="215" t="n"/>
      <c r="O144" s="215" t="n"/>
      <c r="P144" s="215" t="n"/>
      <c r="Q144" s="215" t="n"/>
      <c r="R144" s="215" t="n"/>
      <c r="S144" s="215" t="n"/>
      <c r="T144" s="215" t="n"/>
      <c r="U144" s="215" t="n"/>
      <c r="V144" s="215" t="n"/>
      <c r="W144" s="215" t="n"/>
      <c r="X144" s="215" t="n"/>
      <c r="Y144" s="215" t="n"/>
      <c r="Z144" s="215" t="n"/>
      <c r="AA144" s="215" t="n"/>
      <c r="AB144" s="215" t="n"/>
      <c r="AC144" s="215" t="n"/>
      <c r="AD144" s="215" t="n"/>
      <c r="AE144" s="215" t="n"/>
      <c r="AF144" s="215" t="n"/>
      <c r="AG144" s="215" t="n"/>
      <c r="AH144" s="215" t="n"/>
      <c r="AI144" s="215" t="n"/>
      <c r="AJ144" s="215" t="n"/>
      <c r="AK144" s="215" t="n"/>
      <c r="AL144" s="216" t="n"/>
    </row>
    <row r="145">
      <c r="B145" s="2" t="n"/>
      <c r="C145" s="105" t="n"/>
      <c r="D145" s="105" t="n"/>
      <c r="E145" s="105" t="n"/>
      <c r="F145" s="105" t="n"/>
      <c r="G145" s="105" t="n"/>
      <c r="H145" s="2" t="n"/>
      <c r="I145" s="105" t="n"/>
      <c r="J145" s="105" t="n"/>
      <c r="L145" s="215" t="n"/>
      <c r="M145" s="215" t="n"/>
      <c r="N145" s="215" t="n"/>
      <c r="O145" s="215" t="n"/>
      <c r="P145" s="215" t="n"/>
      <c r="Q145" s="215" t="n"/>
      <c r="R145" s="215" t="n"/>
      <c r="S145" s="215" t="n"/>
      <c r="T145" s="215" t="n"/>
      <c r="U145" s="215" t="n"/>
      <c r="V145" s="215" t="n"/>
      <c r="W145" s="215" t="n"/>
      <c r="X145" s="215" t="n"/>
      <c r="Y145" s="215" t="n"/>
      <c r="Z145" s="215" t="n"/>
      <c r="AA145" s="215" t="n"/>
      <c r="AB145" s="215" t="n"/>
      <c r="AC145" s="215" t="n"/>
      <c r="AD145" s="215" t="n"/>
      <c r="AE145" s="215" t="n"/>
      <c r="AF145" s="215" t="n"/>
      <c r="AG145" s="215" t="n"/>
      <c r="AH145" s="215" t="n"/>
      <c r="AI145" s="215" t="n"/>
      <c r="AJ145" s="215" t="n"/>
      <c r="AK145" s="215" t="n"/>
      <c r="AL145" s="216" t="n"/>
    </row>
    <row r="146">
      <c r="B146" s="2" t="n"/>
      <c r="C146" s="105" t="n"/>
      <c r="D146" s="105" t="n"/>
      <c r="E146" s="105" t="n"/>
      <c r="F146" s="105" t="n"/>
      <c r="G146" s="105" t="n"/>
      <c r="H146" s="2" t="n"/>
      <c r="I146" s="105" t="n"/>
      <c r="J146" s="105" t="n"/>
      <c r="L146" s="215" t="n"/>
      <c r="M146" s="215" t="n"/>
      <c r="N146" s="215" t="n"/>
      <c r="O146" s="215" t="n"/>
      <c r="P146" s="215" t="n"/>
      <c r="Q146" s="215" t="n"/>
      <c r="R146" s="215" t="n"/>
      <c r="S146" s="215" t="n"/>
      <c r="T146" s="215" t="n"/>
      <c r="U146" s="215" t="n"/>
      <c r="V146" s="215" t="n"/>
      <c r="W146" s="215" t="n"/>
      <c r="X146" s="215" t="n"/>
      <c r="Y146" s="215" t="n"/>
      <c r="Z146" s="215" t="n"/>
      <c r="AA146" s="215" t="n"/>
      <c r="AB146" s="215" t="n"/>
      <c r="AC146" s="215" t="n"/>
      <c r="AD146" s="215" t="n"/>
      <c r="AE146" s="215" t="n"/>
      <c r="AF146" s="215" t="n"/>
      <c r="AG146" s="215" t="n"/>
      <c r="AH146" s="215" t="n"/>
      <c r="AI146" s="215" t="n"/>
      <c r="AJ146" s="215" t="n"/>
      <c r="AK146" s="215" t="n"/>
      <c r="AL146" s="216" t="n"/>
    </row>
    <row r="147">
      <c r="B147" s="2" t="n"/>
      <c r="C147" s="105" t="n"/>
      <c r="D147" s="105" t="n"/>
      <c r="E147" s="105" t="n"/>
      <c r="F147" s="105" t="n"/>
      <c r="G147" s="105" t="n"/>
      <c r="H147" s="2" t="n"/>
      <c r="I147" s="105" t="n"/>
      <c r="J147" s="105" t="n"/>
      <c r="L147" s="215" t="n"/>
      <c r="M147" s="215" t="n"/>
      <c r="N147" s="215" t="n"/>
      <c r="O147" s="215" t="n"/>
      <c r="P147" s="215" t="n"/>
      <c r="Q147" s="215" t="n"/>
      <c r="R147" s="215" t="n"/>
      <c r="S147" s="215" t="n"/>
      <c r="T147" s="215" t="n"/>
      <c r="U147" s="215" t="n"/>
      <c r="V147" s="215" t="n"/>
      <c r="W147" s="215" t="n"/>
      <c r="X147" s="215" t="n"/>
      <c r="Y147" s="215" t="n"/>
      <c r="Z147" s="215" t="n"/>
      <c r="AA147" s="215" t="n"/>
      <c r="AB147" s="215" t="n"/>
      <c r="AC147" s="215" t="n"/>
      <c r="AD147" s="215" t="n"/>
      <c r="AE147" s="215" t="n"/>
      <c r="AF147" s="215" t="n"/>
      <c r="AG147" s="215" t="n"/>
      <c r="AH147" s="215" t="n"/>
      <c r="AI147" s="215" t="n"/>
      <c r="AJ147" s="215" t="n"/>
      <c r="AK147" s="215" t="n"/>
      <c r="AL147" s="216" t="n"/>
    </row>
    <row r="148">
      <c r="B148" s="2" t="n"/>
      <c r="C148" s="105" t="n"/>
      <c r="D148" s="105" t="n"/>
      <c r="E148" s="105" t="n"/>
      <c r="F148" s="105" t="n"/>
      <c r="G148" s="105" t="n"/>
      <c r="H148" s="2" t="n"/>
      <c r="I148" s="105" t="n"/>
      <c r="J148" s="105" t="n"/>
      <c r="L148" s="215" t="n"/>
      <c r="M148" s="215" t="n"/>
      <c r="N148" s="215" t="n"/>
      <c r="O148" s="215" t="n"/>
      <c r="P148" s="215" t="n"/>
      <c r="Q148" s="215" t="n"/>
      <c r="R148" s="215" t="n"/>
      <c r="S148" s="215" t="n"/>
      <c r="T148" s="215" t="n"/>
      <c r="U148" s="215" t="n"/>
      <c r="V148" s="215" t="n"/>
      <c r="W148" s="215" t="n"/>
      <c r="X148" s="215" t="n"/>
      <c r="Y148" s="215" t="n"/>
      <c r="Z148" s="215" t="n"/>
      <c r="AA148" s="215" t="n"/>
      <c r="AB148" s="215" t="n"/>
      <c r="AC148" s="215" t="n"/>
      <c r="AD148" s="215" t="n"/>
      <c r="AE148" s="215" t="n"/>
      <c r="AF148" s="215" t="n"/>
      <c r="AG148" s="215" t="n"/>
      <c r="AH148" s="215" t="n"/>
      <c r="AI148" s="215" t="n"/>
      <c r="AJ148" s="215" t="n"/>
      <c r="AK148" s="215" t="n"/>
      <c r="AL148" s="216" t="n"/>
    </row>
    <row r="149">
      <c r="B149" s="2" t="n"/>
      <c r="C149" s="105" t="n"/>
      <c r="D149" s="105" t="n"/>
      <c r="E149" s="105" t="n"/>
      <c r="F149" s="105" t="n"/>
      <c r="G149" s="105" t="n"/>
      <c r="H149" s="2" t="n"/>
      <c r="I149" s="105" t="n"/>
      <c r="J149" s="105" t="n"/>
      <c r="L149" s="215" t="n"/>
      <c r="M149" s="215" t="n"/>
      <c r="N149" s="215" t="n"/>
      <c r="O149" s="215" t="n"/>
      <c r="P149" s="215" t="n"/>
      <c r="Q149" s="215" t="n"/>
      <c r="R149" s="215" t="n"/>
      <c r="S149" s="215" t="n"/>
      <c r="T149" s="215" t="n"/>
      <c r="U149" s="215" t="n"/>
      <c r="V149" s="215" t="n"/>
      <c r="W149" s="215" t="n"/>
      <c r="X149" s="215" t="n"/>
      <c r="Y149" s="215" t="n"/>
      <c r="Z149" s="215" t="n"/>
      <c r="AA149" s="215" t="n"/>
      <c r="AB149" s="215" t="n"/>
      <c r="AC149" s="215" t="n"/>
      <c r="AD149" s="215" t="n"/>
      <c r="AE149" s="215" t="n"/>
      <c r="AF149" s="215" t="n"/>
      <c r="AG149" s="215" t="n"/>
      <c r="AH149" s="215" t="n"/>
      <c r="AI149" s="215" t="n"/>
      <c r="AJ149" s="215" t="n"/>
      <c r="AK149" s="215" t="n"/>
      <c r="AL149" s="216" t="n"/>
    </row>
    <row r="150">
      <c r="B150" s="2" t="n"/>
      <c r="C150" s="105" t="n"/>
      <c r="D150" s="105" t="n"/>
      <c r="E150" s="105" t="n"/>
      <c r="F150" s="105" t="n"/>
      <c r="G150" s="105" t="n"/>
      <c r="H150" s="2" t="n"/>
      <c r="I150" s="105" t="n"/>
      <c r="J150" s="105" t="n"/>
      <c r="L150" s="215" t="n"/>
      <c r="M150" s="215" t="n"/>
      <c r="N150" s="215" t="n"/>
      <c r="O150" s="215" t="n"/>
      <c r="P150" s="215" t="n"/>
      <c r="Q150" s="215" t="n"/>
      <c r="R150" s="215" t="n"/>
      <c r="S150" s="215" t="n"/>
      <c r="T150" s="215" t="n"/>
      <c r="U150" s="215" t="n"/>
      <c r="V150" s="215" t="n"/>
      <c r="W150" s="215" t="n"/>
      <c r="X150" s="215" t="n"/>
      <c r="Y150" s="215" t="n"/>
      <c r="Z150" s="215" t="n"/>
      <c r="AA150" s="215" t="n"/>
      <c r="AB150" s="215" t="n"/>
      <c r="AC150" s="215" t="n"/>
      <c r="AD150" s="215" t="n"/>
      <c r="AE150" s="215" t="n"/>
      <c r="AF150" s="215" t="n"/>
      <c r="AG150" s="215" t="n"/>
      <c r="AH150" s="215" t="n"/>
      <c r="AI150" s="215" t="n"/>
      <c r="AJ150" s="215" t="n"/>
      <c r="AK150" s="215" t="n"/>
      <c r="AL150" s="216" t="n"/>
    </row>
    <row r="151">
      <c r="B151" s="2" t="n"/>
      <c r="C151" s="105" t="n"/>
      <c r="D151" s="105" t="n"/>
      <c r="E151" s="105" t="n"/>
      <c r="F151" s="105" t="n"/>
      <c r="G151" s="105" t="n"/>
      <c r="H151" s="2" t="n"/>
      <c r="I151" s="105" t="n"/>
      <c r="J151" s="105" t="n"/>
      <c r="L151" s="215" t="n"/>
      <c r="M151" s="215" t="n"/>
      <c r="N151" s="215" t="n"/>
      <c r="O151" s="215" t="n"/>
      <c r="P151" s="215" t="n"/>
      <c r="Q151" s="215" t="n"/>
      <c r="R151" s="215" t="n"/>
      <c r="S151" s="215" t="n"/>
      <c r="T151" s="215" t="n"/>
      <c r="U151" s="215" t="n"/>
      <c r="V151" s="215" t="n"/>
      <c r="W151" s="215" t="n"/>
      <c r="X151" s="215" t="n"/>
      <c r="Y151" s="215" t="n"/>
      <c r="Z151" s="215" t="n"/>
      <c r="AA151" s="215" t="n"/>
      <c r="AB151" s="215" t="n"/>
      <c r="AC151" s="215" t="n"/>
      <c r="AD151" s="215" t="n"/>
      <c r="AE151" s="215" t="n"/>
      <c r="AF151" s="215" t="n"/>
      <c r="AG151" s="215" t="n"/>
      <c r="AH151" s="215" t="n"/>
      <c r="AI151" s="215" t="n"/>
      <c r="AJ151" s="215" t="n"/>
      <c r="AK151" s="215" t="n"/>
      <c r="AL151" s="216" t="n"/>
    </row>
    <row r="152">
      <c r="B152" s="2" t="n"/>
      <c r="C152" s="105" t="n"/>
      <c r="D152" s="105" t="n"/>
      <c r="E152" s="105" t="n"/>
      <c r="F152" s="105" t="n"/>
      <c r="G152" s="105" t="n"/>
      <c r="H152" s="2" t="n"/>
      <c r="I152" s="105" t="n"/>
      <c r="J152" s="105" t="n"/>
      <c r="L152" s="215" t="n"/>
      <c r="M152" s="215" t="n"/>
      <c r="N152" s="215" t="n"/>
      <c r="O152" s="215" t="n"/>
      <c r="P152" s="215" t="n"/>
      <c r="Q152" s="215" t="n"/>
      <c r="R152" s="215" t="n"/>
      <c r="S152" s="215" t="n"/>
      <c r="T152" s="215" t="n"/>
      <c r="U152" s="215" t="n"/>
      <c r="V152" s="215" t="n"/>
      <c r="W152" s="215" t="n"/>
      <c r="X152" s="215" t="n"/>
      <c r="Y152" s="215" t="n"/>
      <c r="Z152" s="215" t="n"/>
      <c r="AA152" s="215" t="n"/>
      <c r="AB152" s="215" t="n"/>
      <c r="AC152" s="215" t="n"/>
      <c r="AD152" s="215" t="n"/>
      <c r="AE152" s="215" t="n"/>
      <c r="AF152" s="215" t="n"/>
      <c r="AG152" s="215" t="n"/>
      <c r="AH152" s="215" t="n"/>
      <c r="AI152" s="215" t="n"/>
      <c r="AJ152" s="215" t="n"/>
      <c r="AK152" s="215" t="n"/>
      <c r="AL152" s="216" t="n"/>
    </row>
    <row r="153">
      <c r="B153" s="2" t="n"/>
      <c r="C153" s="105" t="n"/>
      <c r="D153" s="105" t="n"/>
      <c r="E153" s="105" t="n"/>
      <c r="F153" s="105" t="n"/>
      <c r="G153" s="105" t="n"/>
      <c r="H153" s="2" t="n"/>
      <c r="I153" s="105" t="n"/>
      <c r="J153" s="105" t="n"/>
      <c r="L153" s="215" t="n"/>
      <c r="M153" s="215" t="n"/>
      <c r="N153" s="215" t="n"/>
      <c r="O153" s="215" t="n"/>
      <c r="P153" s="215" t="n"/>
      <c r="Q153" s="215" t="n"/>
      <c r="R153" s="215" t="n"/>
      <c r="S153" s="215" t="n"/>
      <c r="T153" s="215" t="n"/>
      <c r="U153" s="215" t="n"/>
      <c r="V153" s="215" t="n"/>
      <c r="W153" s="215" t="n"/>
      <c r="X153" s="215" t="n"/>
      <c r="Y153" s="215" t="n"/>
      <c r="Z153" s="215" t="n"/>
      <c r="AA153" s="215" t="n"/>
      <c r="AB153" s="215" t="n"/>
      <c r="AC153" s="215" t="n"/>
      <c r="AD153" s="215" t="n"/>
      <c r="AE153" s="215" t="n"/>
      <c r="AF153" s="215" t="n"/>
      <c r="AG153" s="215" t="n"/>
      <c r="AH153" s="215" t="n"/>
      <c r="AI153" s="215" t="n"/>
      <c r="AJ153" s="215" t="n"/>
      <c r="AK153" s="215" t="n"/>
      <c r="AL153" s="216" t="n"/>
    </row>
    <row r="154">
      <c r="B154" s="2" t="n"/>
      <c r="C154" s="105" t="n"/>
      <c r="D154" s="105" t="n"/>
      <c r="E154" s="105" t="n"/>
      <c r="F154" s="105" t="n"/>
      <c r="G154" s="105" t="n"/>
      <c r="H154" s="2" t="n"/>
      <c r="I154" s="105" t="n"/>
      <c r="J154" s="105" t="n"/>
      <c r="L154" s="215" t="n"/>
      <c r="M154" s="215" t="n"/>
      <c r="N154" s="215" t="n"/>
      <c r="O154" s="215" t="n"/>
      <c r="P154" s="215" t="n"/>
      <c r="Q154" s="215" t="n"/>
      <c r="R154" s="215" t="n"/>
      <c r="S154" s="215" t="n"/>
      <c r="T154" s="215" t="n"/>
      <c r="U154" s="215" t="n"/>
      <c r="V154" s="215" t="n"/>
      <c r="W154" s="215" t="n"/>
      <c r="X154" s="215" t="n"/>
      <c r="Y154" s="215" t="n"/>
      <c r="Z154" s="215" t="n"/>
      <c r="AA154" s="215" t="n"/>
      <c r="AB154" s="215" t="n"/>
      <c r="AC154" s="215" t="n"/>
      <c r="AD154" s="215" t="n"/>
      <c r="AE154" s="215" t="n"/>
      <c r="AF154" s="215" t="n"/>
      <c r="AG154" s="215" t="n"/>
      <c r="AH154" s="215" t="n"/>
      <c r="AI154" s="215" t="n"/>
      <c r="AJ154" s="215" t="n"/>
      <c r="AK154" s="215" t="n"/>
      <c r="AL154" s="216" t="n"/>
    </row>
    <row r="155">
      <c r="B155" s="2" t="n"/>
      <c r="C155" s="105" t="n"/>
      <c r="D155" s="105" t="n"/>
      <c r="E155" s="105" t="n"/>
      <c r="F155" s="105" t="n"/>
      <c r="G155" s="105" t="n"/>
      <c r="H155" s="2" t="n"/>
      <c r="I155" s="105" t="n"/>
      <c r="J155" s="105" t="n"/>
      <c r="L155" s="215" t="n"/>
      <c r="M155" s="215" t="n"/>
      <c r="N155" s="215" t="n"/>
      <c r="O155" s="215" t="n"/>
      <c r="P155" s="215" t="n"/>
      <c r="Q155" s="215" t="n"/>
      <c r="R155" s="215" t="n"/>
      <c r="S155" s="215" t="n"/>
      <c r="T155" s="215" t="n"/>
      <c r="U155" s="215" t="n"/>
      <c r="V155" s="215" t="n"/>
      <c r="W155" s="215" t="n"/>
      <c r="X155" s="215" t="n"/>
      <c r="Y155" s="215" t="n"/>
      <c r="Z155" s="215" t="n"/>
      <c r="AA155" s="215" t="n"/>
      <c r="AB155" s="215" t="n"/>
      <c r="AC155" s="215" t="n"/>
      <c r="AD155" s="215" t="n"/>
      <c r="AE155" s="215" t="n"/>
      <c r="AF155" s="215" t="n"/>
      <c r="AG155" s="215" t="n"/>
      <c r="AH155" s="215" t="n"/>
      <c r="AI155" s="215" t="n"/>
      <c r="AJ155" s="215" t="n"/>
      <c r="AK155" s="215" t="n"/>
      <c r="AL155" s="216" t="n"/>
    </row>
    <row r="156">
      <c r="B156" s="2" t="n"/>
      <c r="C156" s="105" t="n"/>
      <c r="D156" s="105" t="n"/>
      <c r="E156" s="105" t="n"/>
      <c r="F156" s="105" t="n"/>
      <c r="G156" s="105" t="n"/>
      <c r="H156" s="2" t="n"/>
      <c r="I156" s="105" t="n"/>
      <c r="J156" s="105" t="n"/>
      <c r="L156" s="215" t="n"/>
      <c r="M156" s="215" t="n"/>
      <c r="N156" s="215" t="n"/>
      <c r="O156" s="215" t="n"/>
      <c r="P156" s="215" t="n"/>
      <c r="Q156" s="215" t="n"/>
      <c r="R156" s="215" t="n"/>
      <c r="S156" s="215" t="n"/>
      <c r="T156" s="215" t="n"/>
      <c r="U156" s="215" t="n"/>
      <c r="V156" s="215" t="n"/>
      <c r="W156" s="215" t="n"/>
      <c r="X156" s="215" t="n"/>
      <c r="Y156" s="215" t="n"/>
      <c r="Z156" s="215" t="n"/>
      <c r="AA156" s="215" t="n"/>
      <c r="AB156" s="215" t="n"/>
      <c r="AC156" s="215" t="n"/>
      <c r="AD156" s="215" t="n"/>
      <c r="AE156" s="215" t="n"/>
      <c r="AF156" s="215" t="n"/>
      <c r="AG156" s="215" t="n"/>
      <c r="AH156" s="215" t="n"/>
      <c r="AI156" s="215" t="n"/>
      <c r="AJ156" s="215" t="n"/>
      <c r="AK156" s="215" t="n"/>
      <c r="AL156" s="216" t="n"/>
    </row>
    <row r="157">
      <c r="B157" s="2" t="n"/>
      <c r="C157" s="105" t="n"/>
      <c r="D157" s="105" t="n"/>
      <c r="E157" s="105" t="n"/>
      <c r="F157" s="105" t="n"/>
      <c r="G157" s="105" t="n"/>
      <c r="H157" s="2" t="n"/>
      <c r="I157" s="105" t="n"/>
      <c r="J157" s="105" t="n"/>
      <c r="L157" s="215" t="n"/>
      <c r="M157" s="215" t="n"/>
      <c r="N157" s="215" t="n"/>
      <c r="O157" s="215" t="n"/>
      <c r="P157" s="215" t="n"/>
      <c r="Q157" s="215" t="n"/>
      <c r="R157" s="215" t="n"/>
      <c r="S157" s="215" t="n"/>
      <c r="T157" s="215" t="n"/>
      <c r="U157" s="215" t="n"/>
      <c r="V157" s="215" t="n"/>
      <c r="W157" s="215" t="n"/>
      <c r="X157" s="215" t="n"/>
      <c r="Y157" s="215" t="n"/>
      <c r="Z157" s="215" t="n"/>
      <c r="AA157" s="215" t="n"/>
      <c r="AB157" s="215" t="n"/>
      <c r="AC157" s="215" t="n"/>
      <c r="AD157" s="215" t="n"/>
      <c r="AE157" s="215" t="n"/>
      <c r="AF157" s="215" t="n"/>
      <c r="AG157" s="215" t="n"/>
      <c r="AH157" s="215" t="n"/>
      <c r="AI157" s="215" t="n"/>
      <c r="AJ157" s="215" t="n"/>
      <c r="AK157" s="215" t="n"/>
      <c r="AL157" s="216" t="n"/>
    </row>
    <row r="158">
      <c r="B158" s="2" t="n"/>
      <c r="C158" s="105" t="n"/>
      <c r="D158" s="105" t="n"/>
      <c r="E158" s="105" t="n"/>
      <c r="F158" s="105" t="n"/>
      <c r="G158" s="105" t="n"/>
      <c r="H158" s="2" t="n"/>
      <c r="I158" s="105" t="n"/>
      <c r="J158" s="105" t="n"/>
      <c r="L158" s="215" t="n"/>
      <c r="M158" s="215" t="n"/>
      <c r="N158" s="215" t="n"/>
      <c r="O158" s="215" t="n"/>
      <c r="P158" s="215" t="n"/>
      <c r="Q158" s="215" t="n"/>
      <c r="R158" s="215" t="n"/>
      <c r="S158" s="215" t="n"/>
      <c r="T158" s="215" t="n"/>
      <c r="U158" s="215" t="n"/>
      <c r="V158" s="215" t="n"/>
      <c r="W158" s="215" t="n"/>
      <c r="X158" s="215" t="n"/>
      <c r="Y158" s="215" t="n"/>
      <c r="Z158" s="215" t="n"/>
      <c r="AA158" s="215" t="n"/>
      <c r="AB158" s="215" t="n"/>
      <c r="AC158" s="215" t="n"/>
      <c r="AD158" s="215" t="n"/>
      <c r="AE158" s="215" t="n"/>
      <c r="AF158" s="215" t="n"/>
      <c r="AG158" s="215" t="n"/>
      <c r="AH158" s="215" t="n"/>
      <c r="AI158" s="215" t="n"/>
      <c r="AJ158" s="215" t="n"/>
      <c r="AK158" s="215" t="n"/>
      <c r="AL158" s="216" t="n"/>
    </row>
    <row r="159">
      <c r="B159" s="2" t="n"/>
      <c r="C159" s="105" t="n"/>
      <c r="D159" s="105" t="n"/>
      <c r="E159" s="105" t="n"/>
      <c r="F159" s="105" t="n"/>
      <c r="G159" s="105" t="n"/>
      <c r="H159" s="2" t="n"/>
      <c r="I159" s="105" t="n"/>
      <c r="J159" s="105" t="n"/>
      <c r="L159" s="215" t="n"/>
      <c r="M159" s="215" t="n"/>
      <c r="N159" s="215" t="n"/>
      <c r="O159" s="215" t="n"/>
      <c r="P159" s="215" t="n"/>
      <c r="Q159" s="215" t="n"/>
      <c r="R159" s="215" t="n"/>
      <c r="S159" s="215" t="n"/>
      <c r="T159" s="215" t="n"/>
      <c r="U159" s="215" t="n"/>
      <c r="V159" s="215" t="n"/>
      <c r="W159" s="215" t="n"/>
      <c r="X159" s="215" t="n"/>
      <c r="Y159" s="215" t="n"/>
      <c r="Z159" s="215" t="n"/>
      <c r="AA159" s="215" t="n"/>
      <c r="AB159" s="215" t="n"/>
      <c r="AC159" s="215" t="n"/>
      <c r="AD159" s="215" t="n"/>
      <c r="AE159" s="215" t="n"/>
      <c r="AF159" s="215" t="n"/>
      <c r="AG159" s="215" t="n"/>
      <c r="AH159" s="215" t="n"/>
      <c r="AI159" s="215" t="n"/>
      <c r="AJ159" s="215" t="n"/>
      <c r="AK159" s="215" t="n"/>
      <c r="AL159" s="216" t="n"/>
    </row>
    <row r="160">
      <c r="B160" s="2" t="n"/>
      <c r="C160" s="105" t="n"/>
      <c r="D160" s="105" t="n"/>
      <c r="E160" s="105" t="n"/>
      <c r="F160" s="105" t="n"/>
      <c r="G160" s="105" t="n"/>
      <c r="H160" s="2" t="n"/>
      <c r="I160" s="105" t="n"/>
      <c r="J160" s="105" t="n"/>
      <c r="L160" s="215" t="n"/>
      <c r="M160" s="215" t="n"/>
      <c r="N160" s="215" t="n"/>
      <c r="O160" s="215" t="n"/>
      <c r="P160" s="215" t="n"/>
      <c r="Q160" s="215" t="n"/>
      <c r="R160" s="215" t="n"/>
      <c r="S160" s="215" t="n"/>
      <c r="T160" s="215" t="n"/>
      <c r="U160" s="215" t="n"/>
      <c r="V160" s="215" t="n"/>
      <c r="W160" s="215" t="n"/>
      <c r="X160" s="215" t="n"/>
      <c r="Y160" s="215" t="n"/>
      <c r="Z160" s="215" t="n"/>
      <c r="AA160" s="215" t="n"/>
      <c r="AB160" s="215" t="n"/>
      <c r="AC160" s="215" t="n"/>
      <c r="AD160" s="215" t="n"/>
      <c r="AE160" s="215" t="n"/>
      <c r="AF160" s="215" t="n"/>
      <c r="AG160" s="215" t="n"/>
      <c r="AH160" s="215" t="n"/>
      <c r="AI160" s="215" t="n"/>
      <c r="AJ160" s="215" t="n"/>
      <c r="AK160" s="215" t="n"/>
      <c r="AL160" s="216" t="n"/>
    </row>
    <row r="161">
      <c r="B161" s="2" t="n"/>
      <c r="C161" s="105" t="n"/>
      <c r="D161" s="105" t="n"/>
      <c r="E161" s="105" t="n"/>
      <c r="F161" s="105" t="n"/>
      <c r="G161" s="105" t="n"/>
      <c r="H161" s="2" t="n"/>
      <c r="I161" s="105" t="n"/>
      <c r="J161" s="105" t="n"/>
      <c r="L161" s="215" t="n"/>
      <c r="M161" s="215" t="n"/>
      <c r="N161" s="215" t="n"/>
      <c r="O161" s="215" t="n"/>
      <c r="P161" s="215" t="n"/>
      <c r="Q161" s="215" t="n"/>
      <c r="R161" s="215" t="n"/>
      <c r="S161" s="215" t="n"/>
      <c r="T161" s="215" t="n"/>
      <c r="U161" s="215" t="n"/>
      <c r="V161" s="215" t="n"/>
      <c r="W161" s="215" t="n"/>
      <c r="X161" s="215" t="n"/>
      <c r="Y161" s="215" t="n"/>
      <c r="Z161" s="215" t="n"/>
      <c r="AA161" s="215" t="n"/>
      <c r="AB161" s="215" t="n"/>
      <c r="AC161" s="215" t="n"/>
      <c r="AD161" s="215" t="n"/>
      <c r="AE161" s="215" t="n"/>
      <c r="AF161" s="215" t="n"/>
      <c r="AG161" s="215" t="n"/>
      <c r="AH161" s="215" t="n"/>
      <c r="AI161" s="215" t="n"/>
      <c r="AJ161" s="215" t="n"/>
      <c r="AK161" s="215" t="n"/>
      <c r="AL161" s="216" t="n"/>
    </row>
    <row r="162">
      <c r="B162" s="2" t="n"/>
      <c r="C162" s="105" t="n"/>
      <c r="D162" s="105" t="n"/>
      <c r="E162" s="105" t="n"/>
      <c r="F162" s="105" t="n"/>
      <c r="G162" s="105" t="n"/>
      <c r="H162" s="2" t="n"/>
      <c r="I162" s="105" t="n"/>
      <c r="J162" s="105" t="n"/>
      <c r="L162" s="215" t="n"/>
      <c r="M162" s="215" t="n"/>
      <c r="N162" s="215" t="n"/>
      <c r="O162" s="215" t="n"/>
      <c r="P162" s="215" t="n"/>
      <c r="Q162" s="215" t="n"/>
      <c r="R162" s="215" t="n"/>
      <c r="S162" s="215" t="n"/>
      <c r="T162" s="215" t="n"/>
      <c r="U162" s="215" t="n"/>
      <c r="V162" s="215" t="n"/>
      <c r="W162" s="215" t="n"/>
      <c r="X162" s="215" t="n"/>
      <c r="Y162" s="215" t="n"/>
      <c r="Z162" s="215" t="n"/>
      <c r="AA162" s="215" t="n"/>
      <c r="AB162" s="215" t="n"/>
      <c r="AC162" s="215" t="n"/>
      <c r="AD162" s="215" t="n"/>
      <c r="AE162" s="215" t="n"/>
      <c r="AF162" s="215" t="n"/>
      <c r="AG162" s="215" t="n"/>
      <c r="AH162" s="215" t="n"/>
      <c r="AI162" s="215" t="n"/>
      <c r="AJ162" s="215" t="n"/>
      <c r="AK162" s="215" t="n"/>
      <c r="AL162" s="216" t="n"/>
    </row>
    <row r="163">
      <c r="B163" s="2" t="n"/>
      <c r="C163" s="105" t="n"/>
      <c r="D163" s="105" t="n"/>
      <c r="E163" s="105" t="n"/>
      <c r="F163" s="105" t="n"/>
      <c r="G163" s="105" t="n"/>
      <c r="H163" s="2" t="n"/>
      <c r="I163" s="105" t="n"/>
      <c r="J163" s="105" t="n"/>
      <c r="L163" s="215" t="n"/>
      <c r="M163" s="215" t="n"/>
      <c r="N163" s="215" t="n"/>
      <c r="O163" s="215" t="n"/>
      <c r="P163" s="215" t="n"/>
      <c r="Q163" s="215" t="n"/>
      <c r="R163" s="215" t="n"/>
      <c r="S163" s="215" t="n"/>
      <c r="T163" s="215" t="n"/>
      <c r="U163" s="215" t="n"/>
      <c r="V163" s="215" t="n"/>
      <c r="W163" s="215" t="n"/>
      <c r="X163" s="215" t="n"/>
      <c r="Y163" s="215" t="n"/>
      <c r="Z163" s="215" t="n"/>
      <c r="AA163" s="215" t="n"/>
      <c r="AB163" s="215" t="n"/>
      <c r="AC163" s="215" t="n"/>
      <c r="AD163" s="215" t="n"/>
      <c r="AE163" s="215" t="n"/>
      <c r="AF163" s="215" t="n"/>
      <c r="AG163" s="215" t="n"/>
      <c r="AH163" s="215" t="n"/>
      <c r="AI163" s="215" t="n"/>
      <c r="AJ163" s="215" t="n"/>
      <c r="AK163" s="215" t="n"/>
      <c r="AL163" s="216" t="n"/>
    </row>
    <row r="164">
      <c r="B164" s="2" t="n"/>
      <c r="C164" s="105" t="n"/>
      <c r="D164" s="105" t="n"/>
      <c r="E164" s="105" t="n"/>
      <c r="F164" s="105" t="n"/>
      <c r="G164" s="105" t="n"/>
      <c r="H164" s="2" t="n"/>
      <c r="I164" s="105" t="n"/>
      <c r="J164" s="105" t="n"/>
      <c r="L164" s="215" t="n"/>
      <c r="M164" s="215" t="n"/>
      <c r="N164" s="215" t="n"/>
      <c r="O164" s="215" t="n"/>
      <c r="P164" s="215" t="n"/>
      <c r="Q164" s="215" t="n"/>
      <c r="R164" s="215" t="n"/>
      <c r="S164" s="215" t="n"/>
      <c r="T164" s="215" t="n"/>
      <c r="U164" s="215" t="n"/>
      <c r="V164" s="215" t="n"/>
      <c r="W164" s="215" t="n"/>
      <c r="X164" s="215" t="n"/>
      <c r="Y164" s="215" t="n"/>
      <c r="Z164" s="215" t="n"/>
      <c r="AA164" s="215" t="n"/>
      <c r="AB164" s="215" t="n"/>
      <c r="AC164" s="215" t="n"/>
      <c r="AD164" s="215" t="n"/>
      <c r="AE164" s="215" t="n"/>
      <c r="AF164" s="215" t="n"/>
      <c r="AG164" s="215" t="n"/>
      <c r="AH164" s="215" t="n"/>
      <c r="AI164" s="215" t="n"/>
      <c r="AJ164" s="215" t="n"/>
      <c r="AK164" s="215" t="n"/>
      <c r="AL164" s="216" t="n"/>
    </row>
    <row r="165">
      <c r="B165" s="2" t="n"/>
      <c r="C165" s="105" t="n"/>
      <c r="D165" s="105" t="n"/>
      <c r="E165" s="105" t="n"/>
      <c r="F165" s="105" t="n"/>
      <c r="G165" s="105" t="n"/>
      <c r="H165" s="2" t="n"/>
      <c r="I165" s="105" t="n"/>
      <c r="J165" s="105" t="n"/>
      <c r="L165" s="215" t="n"/>
      <c r="M165" s="215" t="n"/>
      <c r="N165" s="215" t="n"/>
      <c r="O165" s="215" t="n"/>
      <c r="P165" s="215" t="n"/>
      <c r="Q165" s="215" t="n"/>
      <c r="R165" s="215" t="n"/>
      <c r="S165" s="215" t="n"/>
      <c r="T165" s="215" t="n"/>
      <c r="U165" s="215" t="n"/>
      <c r="V165" s="215" t="n"/>
      <c r="W165" s="215" t="n"/>
      <c r="X165" s="215" t="n"/>
      <c r="Y165" s="215" t="n"/>
      <c r="Z165" s="215" t="n"/>
      <c r="AA165" s="215" t="n"/>
      <c r="AB165" s="215" t="n"/>
      <c r="AC165" s="215" t="n"/>
      <c r="AD165" s="215" t="n"/>
      <c r="AE165" s="215" t="n"/>
      <c r="AF165" s="215" t="n"/>
      <c r="AG165" s="215" t="n"/>
      <c r="AH165" s="215" t="n"/>
      <c r="AI165" s="215" t="n"/>
      <c r="AJ165" s="215" t="n"/>
      <c r="AK165" s="215" t="n"/>
      <c r="AL165" s="216" t="n"/>
    </row>
    <row r="166">
      <c r="B166" s="2" t="n"/>
      <c r="C166" s="105" t="n"/>
      <c r="D166" s="105" t="n"/>
      <c r="E166" s="105" t="n"/>
      <c r="F166" s="105" t="n"/>
      <c r="G166" s="105" t="n"/>
      <c r="H166" s="2" t="n"/>
      <c r="I166" s="105" t="n"/>
      <c r="J166" s="105" t="n"/>
      <c r="L166" s="215" t="n"/>
      <c r="M166" s="215" t="n"/>
      <c r="N166" s="215" t="n"/>
      <c r="O166" s="215" t="n"/>
      <c r="P166" s="215" t="n"/>
      <c r="Q166" s="215" t="n"/>
      <c r="R166" s="215" t="n"/>
      <c r="S166" s="215" t="n"/>
      <c r="T166" s="215" t="n"/>
      <c r="U166" s="215" t="n"/>
      <c r="V166" s="215" t="n"/>
      <c r="W166" s="215" t="n"/>
      <c r="X166" s="215" t="n"/>
      <c r="Y166" s="215" t="n"/>
      <c r="Z166" s="215" t="n"/>
      <c r="AA166" s="215" t="n"/>
      <c r="AB166" s="215" t="n"/>
      <c r="AC166" s="215" t="n"/>
      <c r="AD166" s="215" t="n"/>
      <c r="AE166" s="215" t="n"/>
      <c r="AF166" s="215" t="n"/>
      <c r="AG166" s="215" t="n"/>
      <c r="AH166" s="215" t="n"/>
      <c r="AI166" s="215" t="n"/>
      <c r="AJ166" s="215" t="n"/>
      <c r="AK166" s="215" t="n"/>
      <c r="AL166" s="216" t="n"/>
    </row>
    <row r="167">
      <c r="B167" s="2" t="n"/>
      <c r="C167" s="105" t="n"/>
      <c r="D167" s="105" t="n"/>
      <c r="E167" s="105" t="n"/>
      <c r="F167" s="105" t="n"/>
      <c r="G167" s="105" t="n"/>
      <c r="H167" s="2" t="n"/>
      <c r="I167" s="105" t="n"/>
      <c r="J167" s="105" t="n"/>
      <c r="L167" s="215" t="n"/>
      <c r="M167" s="215" t="n"/>
      <c r="N167" s="215" t="n"/>
      <c r="O167" s="215" t="n"/>
      <c r="P167" s="215" t="n"/>
      <c r="Q167" s="215" t="n"/>
      <c r="R167" s="215" t="n"/>
      <c r="S167" s="215" t="n"/>
      <c r="T167" s="215" t="n"/>
      <c r="U167" s="215" t="n"/>
      <c r="V167" s="215" t="n"/>
      <c r="W167" s="215" t="n"/>
      <c r="X167" s="215" t="n"/>
      <c r="Y167" s="215" t="n"/>
      <c r="Z167" s="215" t="n"/>
      <c r="AA167" s="215" t="n"/>
      <c r="AB167" s="215" t="n"/>
      <c r="AC167" s="215" t="n"/>
      <c r="AD167" s="215" t="n"/>
      <c r="AE167" s="215" t="n"/>
      <c r="AF167" s="215" t="n"/>
      <c r="AG167" s="215" t="n"/>
      <c r="AH167" s="215" t="n"/>
      <c r="AI167" s="215" t="n"/>
      <c r="AJ167" s="215" t="n"/>
      <c r="AK167" s="215" t="n"/>
      <c r="AL167" s="216" t="n"/>
    </row>
    <row r="168">
      <c r="B168" s="2" t="n"/>
      <c r="C168" s="105" t="n"/>
      <c r="D168" s="105" t="n"/>
      <c r="E168" s="105" t="n"/>
      <c r="F168" s="105" t="n"/>
      <c r="G168" s="105" t="n"/>
      <c r="H168" s="2" t="n"/>
      <c r="I168" s="105" t="n"/>
      <c r="J168" s="105" t="n"/>
      <c r="L168" s="215" t="n"/>
      <c r="M168" s="215" t="n"/>
      <c r="N168" s="215" t="n"/>
      <c r="O168" s="215" t="n"/>
      <c r="P168" s="215" t="n"/>
      <c r="Q168" s="215" t="n"/>
      <c r="R168" s="215" t="n"/>
      <c r="S168" s="215" t="n"/>
      <c r="T168" s="215" t="n"/>
      <c r="U168" s="215" t="n"/>
      <c r="V168" s="215" t="n"/>
      <c r="W168" s="215" t="n"/>
      <c r="X168" s="215" t="n"/>
      <c r="Y168" s="215" t="n"/>
      <c r="Z168" s="215" t="n"/>
      <c r="AA168" s="215" t="n"/>
      <c r="AB168" s="215" t="n"/>
      <c r="AC168" s="215" t="n"/>
      <c r="AD168" s="215" t="n"/>
      <c r="AE168" s="215" t="n"/>
      <c r="AF168" s="215" t="n"/>
      <c r="AG168" s="215" t="n"/>
      <c r="AH168" s="215" t="n"/>
      <c r="AI168" s="215" t="n"/>
      <c r="AJ168" s="215" t="n"/>
      <c r="AK168" s="215" t="n"/>
      <c r="AL168" s="216" t="n"/>
    </row>
    <row r="169">
      <c r="B169" s="2" t="n"/>
      <c r="C169" s="105" t="n"/>
      <c r="D169" s="105" t="n"/>
      <c r="E169" s="105" t="n"/>
      <c r="F169" s="105" t="n"/>
      <c r="G169" s="105" t="n"/>
      <c r="H169" s="2" t="n"/>
      <c r="I169" s="105" t="n"/>
      <c r="J169" s="105" t="n"/>
      <c r="L169" s="215" t="n"/>
      <c r="M169" s="215" t="n"/>
      <c r="N169" s="215" t="n"/>
      <c r="O169" s="215" t="n"/>
      <c r="P169" s="215" t="n"/>
      <c r="Q169" s="215" t="n"/>
      <c r="R169" s="215" t="n"/>
      <c r="S169" s="215" t="n"/>
      <c r="T169" s="215" t="n"/>
      <c r="U169" s="215" t="n"/>
      <c r="V169" s="215" t="n"/>
      <c r="W169" s="215" t="n"/>
      <c r="X169" s="215" t="n"/>
      <c r="Y169" s="215" t="n"/>
      <c r="Z169" s="215" t="n"/>
      <c r="AA169" s="215" t="n"/>
      <c r="AB169" s="215" t="n"/>
      <c r="AC169" s="215" t="n"/>
      <c r="AD169" s="215" t="n"/>
      <c r="AE169" s="215" t="n"/>
      <c r="AF169" s="215" t="n"/>
      <c r="AG169" s="215" t="n"/>
      <c r="AH169" s="215" t="n"/>
      <c r="AI169" s="215" t="n"/>
      <c r="AJ169" s="215" t="n"/>
      <c r="AK169" s="215" t="n"/>
      <c r="AL169" s="216" t="n"/>
    </row>
    <row r="170">
      <c r="B170" s="2" t="n"/>
      <c r="C170" s="105" t="n"/>
      <c r="D170" s="105" t="n"/>
      <c r="E170" s="105" t="n"/>
      <c r="F170" s="105" t="n"/>
      <c r="G170" s="105" t="n"/>
      <c r="H170" s="2" t="n"/>
      <c r="I170" s="105" t="n"/>
      <c r="J170" s="105" t="n"/>
      <c r="L170" s="215" t="n"/>
      <c r="M170" s="215" t="n"/>
      <c r="N170" s="215" t="n"/>
      <c r="O170" s="215" t="n"/>
      <c r="P170" s="215" t="n"/>
      <c r="Q170" s="215" t="n"/>
      <c r="R170" s="215" t="n"/>
      <c r="S170" s="215" t="n"/>
      <c r="T170" s="215" t="n"/>
      <c r="U170" s="215" t="n"/>
      <c r="V170" s="215" t="n"/>
      <c r="W170" s="215" t="n"/>
      <c r="X170" s="215" t="n"/>
      <c r="Y170" s="215" t="n"/>
      <c r="Z170" s="215" t="n"/>
      <c r="AA170" s="215" t="n"/>
      <c r="AB170" s="215" t="n"/>
      <c r="AC170" s="215" t="n"/>
      <c r="AD170" s="215" t="n"/>
      <c r="AE170" s="215" t="n"/>
      <c r="AF170" s="215" t="n"/>
      <c r="AG170" s="215" t="n"/>
      <c r="AH170" s="215" t="n"/>
      <c r="AI170" s="215" t="n"/>
      <c r="AJ170" s="215" t="n"/>
      <c r="AK170" s="215" t="n"/>
      <c r="AL170" s="216" t="n"/>
    </row>
    <row r="171">
      <c r="B171" s="2" t="n"/>
      <c r="C171" s="105" t="n"/>
      <c r="D171" s="105" t="n"/>
      <c r="E171" s="105" t="n"/>
      <c r="F171" s="105" t="n"/>
      <c r="G171" s="105" t="n"/>
      <c r="H171" s="2" t="n"/>
      <c r="I171" s="105" t="n"/>
      <c r="J171" s="105" t="n"/>
      <c r="L171" s="215" t="n"/>
      <c r="M171" s="215" t="n"/>
      <c r="N171" s="215" t="n"/>
      <c r="O171" s="215" t="n"/>
      <c r="P171" s="215" t="n"/>
      <c r="Q171" s="215" t="n"/>
      <c r="R171" s="215" t="n"/>
      <c r="S171" s="215" t="n"/>
      <c r="T171" s="215" t="n"/>
      <c r="U171" s="215" t="n"/>
      <c r="V171" s="215" t="n"/>
      <c r="W171" s="215" t="n"/>
      <c r="X171" s="215" t="n"/>
      <c r="Y171" s="215" t="n"/>
      <c r="Z171" s="215" t="n"/>
      <c r="AA171" s="215" t="n"/>
      <c r="AB171" s="215" t="n"/>
      <c r="AC171" s="215" t="n"/>
      <c r="AD171" s="215" t="n"/>
      <c r="AE171" s="215" t="n"/>
      <c r="AF171" s="215" t="n"/>
      <c r="AG171" s="215" t="n"/>
      <c r="AH171" s="215" t="n"/>
      <c r="AI171" s="215" t="n"/>
      <c r="AJ171" s="215" t="n"/>
      <c r="AK171" s="215" t="n"/>
      <c r="AL171" s="216" t="n"/>
    </row>
    <row r="172">
      <c r="B172" s="2" t="n"/>
      <c r="C172" s="105" t="n"/>
      <c r="D172" s="105" t="n"/>
      <c r="E172" s="105" t="n"/>
      <c r="F172" s="105" t="n"/>
      <c r="G172" s="105" t="n"/>
      <c r="H172" s="2" t="n"/>
      <c r="I172" s="105" t="n"/>
      <c r="J172" s="105" t="n"/>
      <c r="L172" s="215" t="n"/>
      <c r="M172" s="215" t="n"/>
      <c r="N172" s="215" t="n"/>
      <c r="O172" s="215" t="n"/>
      <c r="P172" s="215" t="n"/>
      <c r="Q172" s="215" t="n"/>
      <c r="R172" s="215" t="n"/>
      <c r="S172" s="215" t="n"/>
      <c r="T172" s="215" t="n"/>
      <c r="U172" s="215" t="n"/>
      <c r="V172" s="215" t="n"/>
      <c r="W172" s="215" t="n"/>
      <c r="X172" s="215" t="n"/>
      <c r="Y172" s="215" t="n"/>
      <c r="Z172" s="215" t="n"/>
      <c r="AA172" s="215" t="n"/>
      <c r="AB172" s="215" t="n"/>
      <c r="AC172" s="215" t="n"/>
      <c r="AD172" s="215" t="n"/>
      <c r="AE172" s="215" t="n"/>
      <c r="AF172" s="215" t="n"/>
      <c r="AG172" s="215" t="n"/>
      <c r="AH172" s="215" t="n"/>
      <c r="AI172" s="215" t="n"/>
      <c r="AJ172" s="215" t="n"/>
      <c r="AK172" s="215" t="n"/>
      <c r="AL172" s="216" t="n"/>
    </row>
    <row r="173">
      <c r="B173" s="2" t="n"/>
      <c r="C173" s="105" t="n"/>
      <c r="D173" s="105" t="n"/>
      <c r="E173" s="105" t="n"/>
      <c r="F173" s="105" t="n"/>
      <c r="G173" s="105" t="n"/>
      <c r="H173" s="2" t="n"/>
      <c r="I173" s="105" t="n"/>
      <c r="J173" s="105" t="n"/>
      <c r="L173" s="215" t="n"/>
      <c r="M173" s="215" t="n"/>
      <c r="N173" s="215" t="n"/>
      <c r="O173" s="215" t="n"/>
      <c r="P173" s="215" t="n"/>
      <c r="Q173" s="215" t="n"/>
      <c r="R173" s="215" t="n"/>
      <c r="S173" s="215" t="n"/>
      <c r="T173" s="215" t="n"/>
      <c r="U173" s="215" t="n"/>
      <c r="V173" s="215" t="n"/>
      <c r="W173" s="215" t="n"/>
      <c r="X173" s="215" t="n"/>
      <c r="Y173" s="215" t="n"/>
      <c r="Z173" s="215" t="n"/>
      <c r="AA173" s="215" t="n"/>
      <c r="AB173" s="215" t="n"/>
      <c r="AC173" s="215" t="n"/>
      <c r="AD173" s="215" t="n"/>
      <c r="AE173" s="215" t="n"/>
      <c r="AF173" s="215" t="n"/>
      <c r="AG173" s="215" t="n"/>
      <c r="AH173" s="215" t="n"/>
      <c r="AI173" s="215" t="n"/>
      <c r="AJ173" s="215" t="n"/>
      <c r="AK173" s="215" t="n"/>
      <c r="AL173" s="216" t="n"/>
    </row>
    <row r="174">
      <c r="B174" s="2" t="n"/>
      <c r="C174" s="105" t="n"/>
      <c r="D174" s="105" t="n"/>
      <c r="E174" s="105" t="n"/>
      <c r="F174" s="105" t="n"/>
      <c r="G174" s="105" t="n"/>
      <c r="H174" s="2" t="n"/>
      <c r="I174" s="105" t="n"/>
      <c r="J174" s="105" t="n"/>
      <c r="L174" s="215" t="n"/>
      <c r="M174" s="215" t="n"/>
      <c r="N174" s="215" t="n"/>
      <c r="O174" s="215" t="n"/>
      <c r="P174" s="215" t="n"/>
      <c r="Q174" s="215" t="n"/>
      <c r="R174" s="215" t="n"/>
      <c r="S174" s="215" t="n"/>
      <c r="T174" s="215" t="n"/>
      <c r="U174" s="215" t="n"/>
      <c r="V174" s="215" t="n"/>
      <c r="W174" s="215" t="n"/>
      <c r="X174" s="215" t="n"/>
      <c r="Y174" s="215" t="n"/>
      <c r="Z174" s="215" t="n"/>
      <c r="AA174" s="215" t="n"/>
      <c r="AB174" s="215" t="n"/>
      <c r="AC174" s="215" t="n"/>
      <c r="AD174" s="215" t="n"/>
      <c r="AE174" s="215" t="n"/>
      <c r="AF174" s="215" t="n"/>
      <c r="AG174" s="215" t="n"/>
      <c r="AH174" s="215" t="n"/>
      <c r="AI174" s="215" t="n"/>
      <c r="AJ174" s="215" t="n"/>
      <c r="AK174" s="215" t="n"/>
      <c r="AL174" s="216" t="n"/>
    </row>
    <row r="175">
      <c r="B175" s="2" t="n"/>
      <c r="C175" s="105" t="n"/>
      <c r="D175" s="105" t="n"/>
      <c r="E175" s="105" t="n"/>
      <c r="F175" s="105" t="n"/>
      <c r="G175" s="105" t="n"/>
      <c r="H175" s="2" t="n"/>
      <c r="I175" s="105" t="n"/>
      <c r="J175" s="105" t="n"/>
      <c r="L175" s="215" t="n"/>
      <c r="M175" s="215" t="n"/>
      <c r="N175" s="215" t="n"/>
      <c r="O175" s="215" t="n"/>
      <c r="P175" s="215" t="n"/>
      <c r="Q175" s="215" t="n"/>
      <c r="R175" s="215" t="n"/>
      <c r="S175" s="215" t="n"/>
      <c r="T175" s="215" t="n"/>
      <c r="U175" s="215" t="n"/>
      <c r="V175" s="215" t="n"/>
      <c r="W175" s="215" t="n"/>
      <c r="X175" s="215" t="n"/>
      <c r="Y175" s="215" t="n"/>
      <c r="Z175" s="215" t="n"/>
      <c r="AA175" s="215" t="n"/>
      <c r="AB175" s="215" t="n"/>
      <c r="AC175" s="215" t="n"/>
      <c r="AD175" s="215" t="n"/>
      <c r="AE175" s="215" t="n"/>
      <c r="AF175" s="215" t="n"/>
      <c r="AG175" s="215" t="n"/>
      <c r="AH175" s="215" t="n"/>
      <c r="AI175" s="215" t="n"/>
      <c r="AJ175" s="215" t="n"/>
      <c r="AK175" s="215" t="n"/>
      <c r="AL175" s="216" t="n"/>
    </row>
    <row r="176">
      <c r="B176" s="2" t="n"/>
      <c r="C176" s="105" t="n"/>
      <c r="D176" s="105" t="n"/>
      <c r="E176" s="105" t="n"/>
      <c r="F176" s="105" t="n"/>
      <c r="G176" s="105" t="n"/>
      <c r="H176" s="2" t="n"/>
      <c r="I176" s="105" t="n"/>
      <c r="J176" s="105" t="n"/>
      <c r="L176" s="215" t="n"/>
      <c r="M176" s="215" t="n"/>
      <c r="N176" s="215" t="n"/>
      <c r="O176" s="215" t="n"/>
      <c r="P176" s="215" t="n"/>
      <c r="Q176" s="215" t="n"/>
      <c r="R176" s="215" t="n"/>
      <c r="S176" s="215" t="n"/>
      <c r="T176" s="215" t="n"/>
      <c r="U176" s="215" t="n"/>
      <c r="V176" s="215" t="n"/>
      <c r="W176" s="215" t="n"/>
      <c r="X176" s="215" t="n"/>
      <c r="Y176" s="215" t="n"/>
      <c r="Z176" s="215" t="n"/>
      <c r="AA176" s="215" t="n"/>
      <c r="AB176" s="215" t="n"/>
      <c r="AC176" s="215" t="n"/>
      <c r="AD176" s="215" t="n"/>
      <c r="AE176" s="215" t="n"/>
      <c r="AF176" s="215" t="n"/>
      <c r="AG176" s="215" t="n"/>
      <c r="AH176" s="215" t="n"/>
      <c r="AI176" s="215" t="n"/>
      <c r="AJ176" s="215" t="n"/>
      <c r="AK176" s="215" t="n"/>
      <c r="AL176" s="216" t="n"/>
    </row>
    <row r="177">
      <c r="B177" s="2" t="n"/>
      <c r="C177" s="105" t="n"/>
      <c r="D177" s="105" t="n"/>
      <c r="E177" s="105" t="n"/>
      <c r="F177" s="105" t="n"/>
      <c r="G177" s="105" t="n"/>
      <c r="H177" s="2" t="n"/>
      <c r="I177" s="105" t="n"/>
      <c r="J177" s="105" t="n"/>
      <c r="L177" s="215" t="n"/>
      <c r="M177" s="215" t="n"/>
      <c r="N177" s="215" t="n"/>
      <c r="O177" s="215" t="n"/>
      <c r="P177" s="215" t="n"/>
      <c r="Q177" s="215" t="n"/>
      <c r="R177" s="215" t="n"/>
      <c r="S177" s="215" t="n"/>
      <c r="T177" s="215" t="n"/>
      <c r="U177" s="215" t="n"/>
      <c r="V177" s="215" t="n"/>
      <c r="W177" s="215" t="n"/>
      <c r="X177" s="215" t="n"/>
      <c r="Y177" s="215" t="n"/>
      <c r="Z177" s="215" t="n"/>
      <c r="AA177" s="215" t="n"/>
      <c r="AB177" s="215" t="n"/>
      <c r="AC177" s="215" t="n"/>
      <c r="AD177" s="215" t="n"/>
      <c r="AE177" s="215" t="n"/>
      <c r="AF177" s="215" t="n"/>
      <c r="AG177" s="215" t="n"/>
      <c r="AH177" s="215" t="n"/>
      <c r="AI177" s="215" t="n"/>
      <c r="AJ177" s="215" t="n"/>
      <c r="AK177" s="215" t="n"/>
      <c r="AL177" s="216" t="n"/>
    </row>
    <row r="178">
      <c r="B178" s="2" t="n"/>
      <c r="C178" s="105" t="n"/>
      <c r="D178" s="105" t="n"/>
      <c r="E178" s="105" t="n"/>
      <c r="F178" s="105" t="n"/>
      <c r="G178" s="105" t="n"/>
      <c r="H178" s="2" t="n"/>
      <c r="I178" s="105" t="n"/>
      <c r="J178" s="105" t="n"/>
      <c r="L178" s="215" t="n"/>
      <c r="M178" s="215" t="n"/>
      <c r="N178" s="215" t="n"/>
      <c r="O178" s="215" t="n"/>
      <c r="P178" s="215" t="n"/>
      <c r="Q178" s="215" t="n"/>
      <c r="R178" s="215" t="n"/>
      <c r="S178" s="215" t="n"/>
      <c r="T178" s="215" t="n"/>
      <c r="U178" s="215" t="n"/>
      <c r="V178" s="215" t="n"/>
      <c r="W178" s="215" t="n"/>
      <c r="X178" s="215" t="n"/>
      <c r="Y178" s="215" t="n"/>
      <c r="Z178" s="215" t="n"/>
      <c r="AA178" s="215" t="n"/>
      <c r="AB178" s="215" t="n"/>
      <c r="AC178" s="215" t="n"/>
      <c r="AD178" s="215" t="n"/>
      <c r="AE178" s="215" t="n"/>
      <c r="AF178" s="215" t="n"/>
      <c r="AG178" s="215" t="n"/>
      <c r="AH178" s="215" t="n"/>
      <c r="AI178" s="215" t="n"/>
      <c r="AJ178" s="215" t="n"/>
      <c r="AK178" s="215" t="n"/>
      <c r="AL178" s="216" t="n"/>
    </row>
  </sheetData>
  <mergeCells count="12">
    <mergeCell ref="I2:I4"/>
    <mergeCell ref="A2:A4"/>
    <mergeCell ref="C2:C4"/>
    <mergeCell ref="F2:F4"/>
    <mergeCell ref="G2:G4"/>
    <mergeCell ref="J2:J4"/>
    <mergeCell ref="H2:H4"/>
    <mergeCell ref="K2:K4"/>
    <mergeCell ref="AL2:AL4"/>
    <mergeCell ref="B2:B4"/>
    <mergeCell ref="D2:D4"/>
    <mergeCell ref="E2:E4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18"/>
  <sheetViews>
    <sheetView workbookViewId="0">
      <selection activeCell="A6" sqref="A6:A7"/>
    </sheetView>
  </sheetViews>
  <sheetFormatPr baseColWidth="8" defaultRowHeight="15"/>
  <cols>
    <col width="16.85546875" bestFit="1" customWidth="1" min="1" max="1"/>
    <col width="25.85546875" bestFit="1" customWidth="1" min="2" max="2"/>
    <col width="6.5703125" bestFit="1" customWidth="1" min="3" max="4"/>
    <col width="6" bestFit="1" customWidth="1" min="5" max="5"/>
    <col width="6.42578125" bestFit="1" customWidth="1" min="6" max="6"/>
    <col width="7.85546875" bestFit="1" customWidth="1" min="7" max="7"/>
    <col width="11.5703125" bestFit="1" customWidth="1" min="8" max="8"/>
    <col width="7.28515625" bestFit="1" customWidth="1" min="9" max="9"/>
    <col width="11.5703125" bestFit="1" customWidth="1" min="10" max="10"/>
    <col width="31.85546875" bestFit="1" customWidth="1" style="190" min="11" max="11"/>
    <col width="6.140625" bestFit="1" customWidth="1" style="190" min="12" max="25"/>
    <col width="9" bestFit="1" customWidth="1" style="190" min="26" max="26"/>
    <col width="9.140625" bestFit="1" customWidth="1" style="190" min="27" max="35"/>
    <col width="9" customWidth="1" style="190" min="36" max="36"/>
    <col width="22.5703125" bestFit="1" customWidth="1" style="190" min="37" max="37"/>
  </cols>
  <sheetData>
    <row r="1" customFormat="1" s="1">
      <c r="A1" s="30" t="inlineStr">
        <is>
          <t>Not to be deleted</t>
        </is>
      </c>
      <c r="B1" s="31" t="inlineStr">
        <is>
          <t>Current year</t>
        </is>
      </c>
      <c r="C1" s="32" t="n">
        <v>2026</v>
      </c>
      <c r="D1" s="36" t="n"/>
      <c r="E1" s="36" t="n"/>
      <c r="F1" s="36" t="n">
        <v>1</v>
      </c>
      <c r="G1" s="36" t="n"/>
      <c r="H1" s="36" t="n"/>
      <c r="I1" s="36" t="n"/>
      <c r="J1" s="36" t="n"/>
      <c r="K1" s="37" t="n">
        <v>2001</v>
      </c>
      <c r="L1" s="37" t="n">
        <v>2002</v>
      </c>
      <c r="M1" s="37" t="n">
        <v>2003</v>
      </c>
      <c r="N1" s="37" t="n">
        <v>2004</v>
      </c>
      <c r="O1" s="37" t="n">
        <v>2005</v>
      </c>
      <c r="P1" s="37" t="n">
        <v>2006</v>
      </c>
      <c r="Q1" s="37" t="n">
        <v>2007</v>
      </c>
      <c r="R1" s="37" t="n">
        <v>2008</v>
      </c>
      <c r="S1" s="37" t="n">
        <v>2009</v>
      </c>
      <c r="T1" s="37" t="n">
        <v>2010</v>
      </c>
      <c r="U1" s="37" t="n">
        <v>2011</v>
      </c>
      <c r="V1" s="37" t="n">
        <v>2012</v>
      </c>
      <c r="W1" s="37" t="n">
        <v>2013</v>
      </c>
      <c r="X1" s="37" t="n">
        <v>2014</v>
      </c>
      <c r="Y1" s="37" t="n">
        <v>2015</v>
      </c>
      <c r="Z1" s="37" t="n">
        <v>2016</v>
      </c>
      <c r="AA1" s="37" t="n">
        <v>2017</v>
      </c>
      <c r="AB1" s="37" t="n">
        <v>2018</v>
      </c>
      <c r="AC1" s="37" t="n">
        <v>2019</v>
      </c>
      <c r="AD1" s="37" t="n">
        <v>2020</v>
      </c>
      <c r="AE1" s="37" t="n">
        <v>2021</v>
      </c>
      <c r="AF1" s="37" t="n">
        <v>2022</v>
      </c>
      <c r="AG1" s="37" t="n">
        <v>2023</v>
      </c>
      <c r="AH1" s="37" t="n">
        <v>2024</v>
      </c>
      <c r="AI1" s="37" t="n">
        <v>2025</v>
      </c>
      <c r="AJ1" s="37" t="n">
        <v>2026</v>
      </c>
      <c r="AK1" s="182" t="n"/>
    </row>
    <row r="2">
      <c r="A2" s="176" t="inlineStr">
        <is>
          <t>Contract</t>
        </is>
      </c>
      <c r="B2" s="175" t="inlineStr">
        <is>
          <t>Risk Commencement Date</t>
        </is>
      </c>
      <c r="C2" s="175" t="inlineStr">
        <is>
          <t>FY</t>
        </is>
      </c>
      <c r="D2" s="175" t="inlineStr">
        <is>
          <t>FY</t>
        </is>
      </c>
      <c r="E2" s="175" t="inlineStr">
        <is>
          <t>FY</t>
        </is>
      </c>
      <c r="F2" s="175" t="inlineStr">
        <is>
          <t>FY</t>
        </is>
      </c>
      <c r="G2" s="175" t="inlineStr">
        <is>
          <t>RCD FY</t>
        </is>
      </c>
      <c r="H2" s="175" t="inlineStr">
        <is>
          <t>Paid to date</t>
        </is>
      </c>
      <c r="I2" s="175" t="inlineStr">
        <is>
          <t>PTD FY</t>
        </is>
      </c>
      <c r="J2" s="175" t="inlineStr">
        <is>
          <t>Original SA</t>
        </is>
      </c>
      <c r="K2" s="219" t="inlineStr">
        <is>
          <t>Bonus % Including Special Bonus</t>
        </is>
      </c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19" t="n"/>
      <c r="AG2" s="219" t="n"/>
      <c r="AH2" s="219" t="n"/>
      <c r="AI2" s="219" t="n"/>
      <c r="AJ2" s="219" t="n"/>
      <c r="AK2" s="220" t="inlineStr">
        <is>
          <t>Bonus as per calculator</t>
        </is>
      </c>
    </row>
    <row r="3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219" t="inlineStr">
        <is>
          <t>FY01</t>
        </is>
      </c>
      <c r="L3" s="219" t="inlineStr">
        <is>
          <t>FY02</t>
        </is>
      </c>
      <c r="M3" s="219" t="inlineStr">
        <is>
          <t>FY03</t>
        </is>
      </c>
      <c r="N3" s="219" t="inlineStr">
        <is>
          <t>FY04</t>
        </is>
      </c>
      <c r="O3" s="219" t="inlineStr">
        <is>
          <t>FY05</t>
        </is>
      </c>
      <c r="P3" s="219" t="inlineStr">
        <is>
          <t>FY06</t>
        </is>
      </c>
      <c r="Q3" s="219" t="inlineStr">
        <is>
          <t>FY07</t>
        </is>
      </c>
      <c r="R3" s="219" t="inlineStr">
        <is>
          <t>FY08</t>
        </is>
      </c>
      <c r="S3" s="219" t="inlineStr">
        <is>
          <t>FY09</t>
        </is>
      </c>
      <c r="T3" s="219" t="inlineStr">
        <is>
          <t>FY10</t>
        </is>
      </c>
      <c r="U3" s="219" t="inlineStr">
        <is>
          <t>FY11</t>
        </is>
      </c>
      <c r="V3" s="219" t="inlineStr">
        <is>
          <t>FY12</t>
        </is>
      </c>
      <c r="W3" s="219" t="inlineStr">
        <is>
          <t>FY13</t>
        </is>
      </c>
      <c r="X3" s="219" t="inlineStr">
        <is>
          <t>FY14</t>
        </is>
      </c>
      <c r="Y3" s="219" t="inlineStr">
        <is>
          <t>FY15</t>
        </is>
      </c>
      <c r="Z3" s="219" t="inlineStr">
        <is>
          <t>FY16</t>
        </is>
      </c>
      <c r="AA3" s="219" t="inlineStr">
        <is>
          <t>FY17</t>
        </is>
      </c>
      <c r="AB3" s="219" t="inlineStr">
        <is>
          <t>FY18</t>
        </is>
      </c>
      <c r="AC3" s="219" t="inlineStr">
        <is>
          <t>FY19</t>
        </is>
      </c>
      <c r="AD3" s="219" t="inlineStr">
        <is>
          <t>FY20</t>
        </is>
      </c>
      <c r="AE3" s="219" t="inlineStr">
        <is>
          <t>FY21</t>
        </is>
      </c>
      <c r="AF3" s="219" t="inlineStr">
        <is>
          <t>FY22</t>
        </is>
      </c>
      <c r="AG3" s="219" t="inlineStr">
        <is>
          <t>FY23</t>
        </is>
      </c>
      <c r="AH3" s="219" t="inlineStr">
        <is>
          <t>FY24</t>
        </is>
      </c>
      <c r="AI3" s="219" t="inlineStr">
        <is>
          <t>FY25</t>
        </is>
      </c>
      <c r="AJ3" s="219" t="inlineStr">
        <is>
          <t>FY26</t>
        </is>
      </c>
      <c r="AK3" s="186" t="n"/>
    </row>
    <row r="4">
      <c r="A4" s="186" t="n"/>
      <c r="B4" s="186" t="n"/>
      <c r="C4" s="186" t="n"/>
      <c r="D4" s="186" t="n"/>
      <c r="E4" s="186" t="n"/>
      <c r="F4" s="186" t="n"/>
      <c r="G4" s="186" t="n"/>
      <c r="H4" s="186" t="n"/>
      <c r="I4" s="186" t="n"/>
      <c r="J4" s="186" t="n"/>
      <c r="K4" s="187" t="n"/>
      <c r="L4" s="187" t="n"/>
      <c r="M4" s="187" t="n"/>
      <c r="N4" s="187" t="n"/>
      <c r="O4" s="187" t="n"/>
      <c r="P4" s="187" t="n"/>
      <c r="Q4" s="187" t="n"/>
      <c r="R4" s="187" t="n"/>
      <c r="S4" s="187" t="n"/>
      <c r="T4" s="187" t="n"/>
      <c r="U4" s="187" t="n"/>
      <c r="V4" s="187" t="n"/>
      <c r="W4" s="187" t="n"/>
      <c r="X4" s="187" t="n"/>
      <c r="Y4" s="187" t="n"/>
      <c r="Z4" s="187" t="n"/>
      <c r="AA4" s="187" t="n"/>
      <c r="AB4" s="187" t="n"/>
      <c r="AC4" s="187" t="n"/>
      <c r="AD4" s="187" t="n"/>
      <c r="AE4" s="187" t="n"/>
      <c r="AF4" s="187" t="n"/>
      <c r="AG4" s="187" t="n"/>
      <c r="AH4" s="187" t="n"/>
      <c r="AI4" s="187" t="n"/>
      <c r="AJ4" s="187" t="n"/>
      <c r="AK4" s="186" t="n"/>
    </row>
    <row r="5">
      <c r="A5" s="187" t="n"/>
      <c r="B5" s="187" t="n"/>
      <c r="C5" s="187" t="n"/>
      <c r="D5" s="187" t="n"/>
      <c r="E5" s="187" t="n"/>
      <c r="F5" s="187" t="n"/>
      <c r="G5" s="187" t="n"/>
      <c r="H5" s="187" t="n"/>
      <c r="I5" s="187" t="n"/>
      <c r="J5" s="187" t="n"/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0.018</v>
      </c>
      <c r="X5" s="17" t="n">
        <v>0.0125</v>
      </c>
      <c r="Y5" s="17" t="n">
        <v>0.018</v>
      </c>
      <c r="Z5" s="17" t="n">
        <v>0.02</v>
      </c>
      <c r="AA5" s="17" t="n">
        <v>0.02</v>
      </c>
      <c r="AB5" s="17" t="n">
        <v>0.02</v>
      </c>
      <c r="AC5" s="17" t="n">
        <v>0.02</v>
      </c>
      <c r="AD5" s="17" t="n">
        <v>0.02</v>
      </c>
      <c r="AE5" s="17" t="n">
        <v>0.02</v>
      </c>
      <c r="AF5" s="17" t="n">
        <v>0.02</v>
      </c>
      <c r="AG5" s="17" t="n">
        <v>0.02</v>
      </c>
      <c r="AH5" s="17" t="n">
        <v>0.02</v>
      </c>
      <c r="AI5" s="17" t="n">
        <v>0.02</v>
      </c>
      <c r="AJ5" s="17" t="n">
        <v>0.02</v>
      </c>
      <c r="AK5" s="187" t="n"/>
    </row>
    <row r="6">
      <c r="A6" s="121" t="inlineStr">
        <is>
          <t>test5261716</t>
        </is>
      </c>
      <c r="B6" s="129">
        <f>VLOOKUP(A6,'MAINCPF CPH DEP SEP END RBC CSR'!$A:$AF,32,0)</f>
        <v/>
      </c>
      <c r="C6" s="97">
        <f>+IF(AND(B6&gt;=DATE(1999,4,1),B6&lt;=DATE(2000,3,31)),"2000",IF(AND(B6&gt;=DATE(2000,4,1),B6&lt;=DATE(2001,3,31)),"2001",IF(AND(B6&gt;=DATE(2001,4,1),B6&lt;=DATE(2002,3,31)),"2002",IF(AND(B6&gt;=DATE(2002,4,1),B6&lt;=DATE(2003,3,31)),"2003",IF(AND(B6&gt;=DATE(2003,4,1),B6&lt;=DATE(2004,3,31)),"2004",IF(AND(B6&gt;=DATE(2004,4,1),B6&lt;=DATE(2005,3,31)),"2005"))))))</f>
        <v/>
      </c>
      <c r="D6" s="97">
        <f>+IF(AND(B6&gt;=DATE(2005,4,1),B6&lt;=DATE(2006,3,31)),"2006",IF(AND(B6&gt;=DATE(2006,4,1),B6&lt;=DATE(2007,3,31)),"2007",IF(AND(B6&gt;=DATE(2007,4,1),B6&lt;=DATE(2008,3,31)),"2008",IF(AND(B6&gt;=DATE(2008,4,1),B6&lt;=DATE(2009,3,31)),"2009",IF(AND(B6&gt;=DATE(2009,4,1),B6&lt;=DATE(2010,3,31)),"2010")))))</f>
        <v/>
      </c>
      <c r="E6" s="97">
        <f>+IF(AND(B6&gt;=DATE(2010,4,1),B6&lt;=DATE(2011,3,31)),"2011",IF(AND(B6&gt;=DATE(2011,4,1),B6&lt;=DATE(2012,3,31)),"2012",IF(AND(B6&gt;=DATE(2012,4,1),B6&lt;=DATE(2013,3,31)),"2013",IF(AND(B6&gt;=DATE(2013,4,1),B6&lt;=DATE(2014,3,31)),"2014",IF(AND(B6&gt;=DATE(2014,4,1),B6&lt;=DATE(2015,3,31)),"2015",IF(AND(B6&gt;=DATE(2015,4,1),B6&lt;=DATE(2016,3,31)),"2016"))))))</f>
        <v/>
      </c>
      <c r="F6" s="97">
        <f>+IF(AND(B6&gt;=DATE(2016,4,1),B6&lt;=DATE(2017,3,31)),"2017",IF(AND(B6&gt;=DATE(2017,4,1),B6&lt;=DATE(2018,3,31)),"2018"))</f>
        <v/>
      </c>
      <c r="G6" s="97">
        <f>+C6+D6+E6+F6</f>
        <v/>
      </c>
      <c r="H6" s="129">
        <f>VLOOKUP(A6,'MAINCPF CPH DEP SEP END RBC CSR'!$A:$AG,33,0)</f>
        <v/>
      </c>
      <c r="I6" s="98">
        <f>IF(H6="","",IF(MONTH($H6)&lt;=3,YEAR($H6)-1,YEAR($H6)))</f>
        <v/>
      </c>
      <c r="J6" s="125">
        <f>VLOOKUP(A6,'MAINCPF CPH DEP SEP END RBC CSR'!A:AT,46,0)</f>
        <v/>
      </c>
      <c r="K6" s="221">
        <f>IF(AND($G6&lt;=K$1,$I6&gt;=K$1),SUM($J6:J6)*K$5," ")</f>
        <v/>
      </c>
      <c r="L6" s="221">
        <f>IF(AND($G6&lt;=L$1,$I6&gt;=L$1),SUM($J6:K6)*L$5," ")</f>
        <v/>
      </c>
      <c r="M6" s="221">
        <f>IF(AND($G6&lt;=M$1,$I6&gt;=M$1),SUM($J6:L6)*M$5," ")</f>
        <v/>
      </c>
      <c r="N6" s="221">
        <f>IF(AND($G6&lt;=N$1,$I6&gt;=N$1),SUM($J6:M6)*N$5," ")</f>
        <v/>
      </c>
      <c r="O6" s="221">
        <f>IF(AND($G6&lt;=O$1,$I6&gt;=O$1),SUM($J6:N6)*O$5," ")</f>
        <v/>
      </c>
      <c r="P6" s="221">
        <f>IF(AND($G6&lt;=P$1,$I6&gt;=P$1),SUM($J6:O6)*P$5," ")</f>
        <v/>
      </c>
      <c r="Q6" s="221">
        <f>IF(AND($G6&lt;=Q$1,$I6&gt;=Q$1),SUM($J6:P6)*Q$5," ")</f>
        <v/>
      </c>
      <c r="R6" s="221">
        <f>IF(AND($G6&lt;=R$1,$I6&gt;=R$1),SUM($J6:Q6)*R$5," ")</f>
        <v/>
      </c>
      <c r="S6" s="221">
        <f>IF(AND($G6&lt;=S$1,$I6&gt;=S$1),SUM($J6:R6)*S$5," ")</f>
        <v/>
      </c>
      <c r="T6" s="221">
        <f>IF(AND($G6&lt;=T$1,$I6&gt;=T$1),SUM($J6:S6)*T$5," ")</f>
        <v/>
      </c>
      <c r="U6" s="221">
        <f>IF(AND($G6&lt;=U$1,$I6&gt;=U$1),SUM($J6:T6)*U$5," ")</f>
        <v/>
      </c>
      <c r="V6" s="221">
        <f>IF(AND($G6&lt;=V$1,$I6&gt;=V$1),SUM($J6:U6)*V$5," ")</f>
        <v/>
      </c>
      <c r="W6" s="221">
        <f>IF(AND($G6&lt;=W$1,$I6&gt;=W$1),SUM($J6:V6)*W$5," ")</f>
        <v/>
      </c>
      <c r="X6" s="221">
        <f>IF(AND($G6&lt;=X$1,$I6&gt;=X$1),SUM($J6:W6)*X$5," ")</f>
        <v/>
      </c>
      <c r="Y6" s="221">
        <f>IF(AND($G6&lt;=Y$1,$I6&gt;=Y$1),SUM($J6:X6)*Y$5," ")</f>
        <v/>
      </c>
      <c r="Z6" s="221">
        <f>IF(AND($G6&lt;=Z$1,$I6&gt;=Z$1),SUM($J6:Y6)*Z$5," ")</f>
        <v/>
      </c>
      <c r="AA6" s="221">
        <f>IF(AND($G6&lt;=AA$1,$I6&gt;=AA$1),SUM($J6:Z6)*AA$5," ")</f>
        <v/>
      </c>
      <c r="AB6" s="221">
        <f>IF(AND($G6&lt;=AB$1,$I6&gt;=AB$1),SUM($J6:AA6)*AB$5," ")</f>
        <v/>
      </c>
      <c r="AC6" s="221">
        <f>IF(AND($G6&lt;=AC$1,$I6&gt;=AC$1),SUM($J6:AB6)*AC$5," ")</f>
        <v/>
      </c>
      <c r="AD6" s="221">
        <f>IF(AND($G6&lt;=AD$1,$I6&gt;=AD$1),SUM($J6:AC6)*AD$5," ")</f>
        <v/>
      </c>
      <c r="AE6" s="221">
        <f>IF(AND($G6&lt;=AE$1,$I6&gt;=AE$1),SUM($J6:AD6)*AE$5," ")</f>
        <v/>
      </c>
      <c r="AF6" s="221">
        <f>IF(AND($G6&lt;=AF$1,$I6&gt;=AF$1),SUM($J6:AE6)*AF$5," ")</f>
        <v/>
      </c>
      <c r="AG6" s="221">
        <f>IF(AND($G6&lt;=AG$1,$I6&gt;=AG$1),SUM($J6:AF6)*AG$5," ")</f>
        <v/>
      </c>
      <c r="AH6" s="221">
        <f>IF(AND($G6&lt;=AH$1,$I6&gt;=AH$1),SUM($J6:AG6)*AH$5," ")</f>
        <v/>
      </c>
      <c r="AI6" s="221">
        <f>IF(AND($G6&lt;=AI$1,$I6&gt;=AI$1),SUM($J6:AH6)*AI$5," ")</f>
        <v/>
      </c>
      <c r="AJ6" s="221">
        <f>IF(AND($G6&lt;=AJ$1,$I6&gt;=AJ$1),SUM($J6:AI6)*AJ$5," ")</f>
        <v/>
      </c>
      <c r="AK6" s="221">
        <f>SUM(K6:AJ6)</f>
        <v/>
      </c>
    </row>
    <row r="7">
      <c r="A7" s="121" t="inlineStr">
        <is>
          <t>test5262934</t>
        </is>
      </c>
      <c r="B7" s="129">
        <f>VLOOKUP(A7,'MAINCPF CPH DEP SEP END RBC CSR'!$A:$AF,32,0)</f>
        <v/>
      </c>
      <c r="C7" s="97">
        <f>+IF(AND(B7&gt;=DATE(1999,4,1),B7&lt;=DATE(2000,3,31)),"2000",IF(AND(B7&gt;=DATE(2000,4,1),B7&lt;=DATE(2001,3,31)),"2001",IF(AND(B7&gt;=DATE(2001,4,1),B7&lt;=DATE(2002,3,31)),"2002",IF(AND(B7&gt;=DATE(2002,4,1),B7&lt;=DATE(2003,3,31)),"2003",IF(AND(B7&gt;=DATE(2003,4,1),B7&lt;=DATE(2004,3,31)),"2004",IF(AND(B7&gt;=DATE(2004,4,1),B7&lt;=DATE(2005,3,31)),"2005"))))))</f>
        <v/>
      </c>
      <c r="D7" s="97">
        <f>+IF(AND(B7&gt;=DATE(2005,4,1),B7&lt;=DATE(2006,3,31)),"2006",IF(AND(B7&gt;=DATE(2006,4,1),B7&lt;=DATE(2007,3,31)),"2007",IF(AND(B7&gt;=DATE(2007,4,1),B7&lt;=DATE(2008,3,31)),"2008",IF(AND(B7&gt;=DATE(2008,4,1),B7&lt;=DATE(2009,3,31)),"2009",IF(AND(B7&gt;=DATE(2009,4,1),B7&lt;=DATE(2010,3,31)),"2010")))))</f>
        <v/>
      </c>
      <c r="E7" s="97">
        <f>+IF(AND(B7&gt;=DATE(2010,4,1),B7&lt;=DATE(2011,3,31)),"2011",IF(AND(B7&gt;=DATE(2011,4,1),B7&lt;=DATE(2012,3,31)),"2012",IF(AND(B7&gt;=DATE(2012,4,1),B7&lt;=DATE(2013,3,31)),"2013",IF(AND(B7&gt;=DATE(2013,4,1),B7&lt;=DATE(2014,3,31)),"2014",IF(AND(B7&gt;=DATE(2014,4,1),B7&lt;=DATE(2015,3,31)),"2015",IF(AND(B7&gt;=DATE(2015,4,1),B7&lt;=DATE(2016,3,31)),"2016"))))))</f>
        <v/>
      </c>
      <c r="F7" s="97">
        <f>+IF(AND(B7&gt;=DATE(2016,4,1),B7&lt;=DATE(2017,3,31)),"2017",IF(AND(B7&gt;=DATE(2017,4,1),B7&lt;=DATE(2018,3,31)),"2018"))</f>
        <v/>
      </c>
      <c r="G7" s="97">
        <f>+C7+D7+E7+F7</f>
        <v/>
      </c>
      <c r="H7" s="129">
        <f>VLOOKUP(A7,'MAINCPF CPH DEP SEP END RBC CSR'!$A:$AG,33,0)</f>
        <v/>
      </c>
      <c r="I7" s="98">
        <f>IF(H7="","",IF(MONTH($H7)&lt;=3,YEAR($H7)-1,YEAR($H7)))</f>
        <v/>
      </c>
      <c r="J7" s="125">
        <f>VLOOKUP(A7,'MAINCPF CPH DEP SEP END RBC CSR'!A:AT,46,0)</f>
        <v/>
      </c>
      <c r="K7" s="221">
        <f>IF(AND($G7&lt;=K$1,$I7&gt;=K$1),SUM($J7:J7)*K$5," ")</f>
        <v/>
      </c>
      <c r="L7" s="221">
        <f>IF(AND($G7&lt;=L$1,$I7&gt;=L$1),SUM($J7:K7)*L$5," ")</f>
        <v/>
      </c>
      <c r="M7" s="221">
        <f>IF(AND($G7&lt;=M$1,$I7&gt;=M$1),SUM($J7:L7)*M$5," ")</f>
        <v/>
      </c>
      <c r="N7" s="221">
        <f>IF(AND($G7&lt;=N$1,$I7&gt;=N$1),SUM($J7:M7)*N$5," ")</f>
        <v/>
      </c>
      <c r="O7" s="221">
        <f>IF(AND($G7&lt;=O$1,$I7&gt;=O$1),SUM($J7:N7)*O$5," ")</f>
        <v/>
      </c>
      <c r="P7" s="221">
        <f>IF(AND($G7&lt;=P$1,$I7&gt;=P$1),SUM($J7:O7)*P$5," ")</f>
        <v/>
      </c>
      <c r="Q7" s="221">
        <f>IF(AND($G7&lt;=Q$1,$I7&gt;=Q$1),SUM($J7:P7)*Q$5," ")</f>
        <v/>
      </c>
      <c r="R7" s="221">
        <f>IF(AND($G7&lt;=R$1,$I7&gt;=R$1),SUM($J7:Q7)*R$5," ")</f>
        <v/>
      </c>
      <c r="S7" s="221">
        <f>IF(AND($G7&lt;=S$1,$I7&gt;=S$1),SUM($J7:R7)*S$5," ")</f>
        <v/>
      </c>
      <c r="T7" s="221">
        <f>IF(AND($G7&lt;=T$1,$I7&gt;=T$1),SUM($J7:S7)*T$5," ")</f>
        <v/>
      </c>
      <c r="U7" s="221">
        <f>IF(AND($G7&lt;=U$1,$I7&gt;=U$1),SUM($J7:T7)*U$5," ")</f>
        <v/>
      </c>
      <c r="V7" s="221">
        <f>IF(AND($G7&lt;=V$1,$I7&gt;=V$1),SUM($J7:U7)*V$5," ")</f>
        <v/>
      </c>
      <c r="W7" s="221">
        <f>IF(AND($G7&lt;=W$1,$I7&gt;=W$1),SUM($J7:V7)*W$5," ")</f>
        <v/>
      </c>
      <c r="X7" s="221">
        <f>IF(AND($G7&lt;=X$1,$I7&gt;=X$1),SUM($J7:W7)*X$5," ")</f>
        <v/>
      </c>
      <c r="Y7" s="221">
        <f>IF(AND($G7&lt;=Y$1,$I7&gt;=Y$1),SUM($J7:X7)*Y$5," ")</f>
        <v/>
      </c>
      <c r="Z7" s="221">
        <f>IF(AND($G7&lt;=Z$1,$I7&gt;=Z$1),SUM($J7:Y7)*Z$5," ")</f>
        <v/>
      </c>
      <c r="AA7" s="221">
        <f>IF(AND($G7&lt;=AA$1,$I7&gt;=AA$1),SUM($J7:Z7)*AA$5," ")</f>
        <v/>
      </c>
      <c r="AB7" s="221">
        <f>IF(AND($G7&lt;=AB$1,$I7&gt;=AB$1),SUM($J7:AA7)*AB$5," ")</f>
        <v/>
      </c>
      <c r="AC7" s="221">
        <f>IF(AND($G7&lt;=AC$1,$I7&gt;=AC$1),SUM($J7:AB7)*AC$5," ")</f>
        <v/>
      </c>
      <c r="AD7" s="221">
        <f>IF(AND($G7&lt;=AD$1,$I7&gt;=AD$1),SUM($J7:AC7)*AD$5," ")</f>
        <v/>
      </c>
      <c r="AE7" s="221">
        <f>IF(AND($G7&lt;=AE$1,$I7&gt;=AE$1),SUM($J7:AD7)*AE$5," ")</f>
        <v/>
      </c>
      <c r="AF7" s="221">
        <f>IF(AND($G7&lt;=AF$1,$I7&gt;=AF$1),SUM($J7:AE7)*AF$5," ")</f>
        <v/>
      </c>
      <c r="AG7" s="221">
        <f>IF(AND($G7&lt;=AG$1,$I7&gt;=AG$1),SUM($J7:AF7)*AG$5," ")</f>
        <v/>
      </c>
      <c r="AH7" s="221">
        <f>IF(AND($G7&lt;=AH$1,$I7&gt;=AH$1),SUM($J7:AG7)*AH$5," ")</f>
        <v/>
      </c>
      <c r="AI7" s="221">
        <f>IF(AND($G7&lt;=AI$1,$I7&gt;=AI$1),SUM($J7:AH7)*AI$5," ")</f>
        <v/>
      </c>
      <c r="AJ7" s="221">
        <f>IF(AND($G7&lt;=AJ$1,$I7&gt;=AJ$1),SUM($J7:AI7)*AJ$5," ")</f>
        <v/>
      </c>
      <c r="AK7" s="221">
        <f>SUM(K7:AJ7)</f>
        <v/>
      </c>
    </row>
    <row r="8">
      <c r="B8" s="2" t="n"/>
      <c r="C8" s="126" t="n"/>
      <c r="D8" s="126" t="n"/>
      <c r="E8" s="126" t="n"/>
      <c r="F8" s="126" t="n"/>
      <c r="G8" s="126" t="n"/>
      <c r="H8" s="2" t="n"/>
      <c r="I8" s="127" t="n"/>
      <c r="J8" s="95" t="n"/>
      <c r="K8" s="222" t="n"/>
      <c r="L8" s="222" t="n"/>
      <c r="M8" s="222" t="n"/>
      <c r="N8" s="222" t="n"/>
      <c r="O8" s="222" t="n"/>
      <c r="P8" s="222" t="n"/>
      <c r="Q8" s="222" t="n"/>
      <c r="R8" s="222" t="n"/>
      <c r="S8" s="222" t="n"/>
      <c r="T8" s="222" t="n"/>
      <c r="U8" s="222" t="n"/>
      <c r="V8" s="222" t="n"/>
      <c r="W8" s="222" t="n"/>
      <c r="X8" s="222" t="n"/>
      <c r="Y8" s="222" t="n"/>
      <c r="Z8" s="222" t="n"/>
      <c r="AA8" s="222" t="n"/>
      <c r="AB8" s="222" t="n"/>
      <c r="AC8" s="222" t="n"/>
      <c r="AD8" s="222" t="n"/>
      <c r="AE8" s="222" t="n"/>
      <c r="AF8" s="222" t="n"/>
      <c r="AG8" s="222" t="n"/>
      <c r="AH8" s="222" t="n"/>
      <c r="AI8" s="222" t="n"/>
      <c r="AJ8" s="222" t="n"/>
      <c r="AK8" s="222" t="n"/>
    </row>
    <row r="9">
      <c r="B9" s="2" t="n"/>
      <c r="C9" s="88" t="n"/>
      <c r="D9" s="88" t="n"/>
      <c r="E9" s="88" t="n"/>
      <c r="F9" s="88" t="n"/>
      <c r="G9" s="88" t="n"/>
      <c r="H9" s="2" t="n"/>
      <c r="I9" s="4" t="n"/>
      <c r="J9" s="95" t="n"/>
      <c r="K9" s="213" t="n"/>
      <c r="L9" s="213" t="n"/>
      <c r="M9" s="213" t="n"/>
      <c r="N9" s="213" t="n"/>
      <c r="O9" s="213" t="n"/>
      <c r="P9" s="213" t="n"/>
      <c r="Q9" s="213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  <c r="AA9" s="213" t="n"/>
      <c r="AB9" s="213" t="n"/>
      <c r="AC9" s="213" t="n"/>
      <c r="AD9" s="213" t="n"/>
      <c r="AE9" s="213" t="n"/>
      <c r="AF9" s="213" t="n"/>
      <c r="AG9" s="213" t="n"/>
      <c r="AH9" s="213" t="n"/>
      <c r="AI9" s="213" t="n"/>
      <c r="AJ9" s="213" t="n"/>
      <c r="AK9" s="213" t="n"/>
    </row>
    <row r="10">
      <c r="B10" s="2" t="n"/>
      <c r="C10" s="88" t="n"/>
      <c r="D10" s="88" t="n"/>
      <c r="E10" s="88" t="n"/>
      <c r="F10" s="88" t="n"/>
      <c r="G10" s="88" t="n"/>
      <c r="H10" s="2" t="n"/>
      <c r="I10" s="4" t="n"/>
      <c r="J10" s="95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  <c r="AA10" s="213" t="n"/>
      <c r="AB10" s="213" t="n"/>
      <c r="AC10" s="213" t="n"/>
      <c r="AD10" s="213" t="n"/>
      <c r="AE10" s="213" t="n"/>
      <c r="AF10" s="213" t="n"/>
      <c r="AG10" s="213" t="n"/>
      <c r="AH10" s="213" t="n"/>
      <c r="AI10" s="213" t="n"/>
      <c r="AJ10" s="213" t="n"/>
      <c r="AK10" s="213" t="n"/>
    </row>
    <row r="11">
      <c r="B11" s="2" t="n"/>
      <c r="C11" s="88" t="n"/>
      <c r="D11" s="88" t="n"/>
      <c r="E11" s="88" t="n"/>
      <c r="F11" s="88" t="n"/>
      <c r="G11" s="88" t="n"/>
      <c r="H11" s="2" t="n"/>
      <c r="I11" s="4" t="n"/>
      <c r="J11" s="95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  <c r="AB11" s="213" t="n"/>
      <c r="AC11" s="213" t="n"/>
      <c r="AD11" s="213" t="n"/>
      <c r="AE11" s="213" t="n"/>
      <c r="AF11" s="213" t="n"/>
      <c r="AG11" s="213" t="n"/>
      <c r="AH11" s="213" t="n"/>
      <c r="AI11" s="213" t="n"/>
      <c r="AJ11" s="213" t="n"/>
      <c r="AK11" s="213" t="n"/>
    </row>
    <row r="12">
      <c r="B12" s="2" t="n"/>
      <c r="C12" s="88" t="n"/>
      <c r="D12" s="88" t="n"/>
      <c r="E12" s="88" t="n"/>
      <c r="F12" s="88" t="n"/>
      <c r="G12" s="88" t="n"/>
      <c r="H12" s="2" t="n"/>
      <c r="I12" s="4" t="n"/>
      <c r="J12" s="95" t="n"/>
      <c r="K12" s="213" t="n"/>
      <c r="L12" s="213" t="n"/>
      <c r="M12" s="213" t="n"/>
      <c r="N12" s="213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  <c r="AB12" s="213" t="n"/>
      <c r="AC12" s="213" t="n"/>
      <c r="AD12" s="213" t="n"/>
      <c r="AE12" s="213" t="n"/>
      <c r="AF12" s="213" t="n"/>
      <c r="AG12" s="213" t="n"/>
      <c r="AH12" s="213" t="n"/>
      <c r="AI12" s="213" t="n"/>
      <c r="AJ12" s="213" t="n"/>
      <c r="AK12" s="213" t="n"/>
    </row>
    <row r="13">
      <c r="B13" s="2" t="n"/>
      <c r="C13" s="88" t="n"/>
      <c r="D13" s="88" t="n"/>
      <c r="E13" s="88" t="n"/>
      <c r="F13" s="88" t="n"/>
      <c r="G13" s="88" t="n"/>
      <c r="H13" s="2" t="n"/>
      <c r="I13" s="4" t="n"/>
      <c r="J13" s="95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3" t="n"/>
      <c r="AH13" s="213" t="n"/>
      <c r="AI13" s="213" t="n"/>
      <c r="AJ13" s="213" t="n"/>
      <c r="AK13" s="213" t="n"/>
    </row>
    <row r="14">
      <c r="B14" s="2" t="n"/>
      <c r="C14" s="88" t="n"/>
      <c r="D14" s="88" t="n"/>
      <c r="E14" s="88" t="n"/>
      <c r="F14" s="88" t="n"/>
      <c r="G14" s="88" t="n"/>
      <c r="H14" s="2" t="n"/>
      <c r="I14" s="4" t="n"/>
      <c r="J14" s="95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  <c r="Z14" s="213" t="n"/>
      <c r="AA14" s="213" t="n"/>
      <c r="AB14" s="213" t="n"/>
      <c r="AC14" s="213" t="n"/>
      <c r="AD14" s="213" t="n"/>
      <c r="AE14" s="213" t="n"/>
      <c r="AF14" s="213" t="n"/>
      <c r="AG14" s="213" t="n"/>
      <c r="AH14" s="213" t="n"/>
      <c r="AI14" s="213" t="n"/>
      <c r="AJ14" s="213" t="n"/>
      <c r="AK14" s="213" t="n"/>
    </row>
    <row r="15">
      <c r="B15" s="2" t="n"/>
      <c r="C15" s="88" t="n"/>
      <c r="D15" s="88" t="n"/>
      <c r="E15" s="88" t="n"/>
      <c r="F15" s="88" t="n"/>
      <c r="G15" s="88" t="n"/>
      <c r="H15" s="2" t="n"/>
      <c r="I15" s="4" t="n"/>
      <c r="J15" s="95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  <c r="Z15" s="213" t="n"/>
      <c r="AA15" s="213" t="n"/>
      <c r="AB15" s="213" t="n"/>
      <c r="AC15" s="213" t="n"/>
      <c r="AD15" s="213" t="n"/>
      <c r="AE15" s="213" t="n"/>
      <c r="AF15" s="213" t="n"/>
      <c r="AG15" s="213" t="n"/>
      <c r="AH15" s="213" t="n"/>
      <c r="AI15" s="213" t="n"/>
      <c r="AJ15" s="213" t="n"/>
      <c r="AK15" s="213" t="n"/>
    </row>
    <row r="16">
      <c r="B16" s="2" t="n"/>
      <c r="C16" s="88" t="n"/>
      <c r="D16" s="88" t="n"/>
      <c r="E16" s="88" t="n"/>
      <c r="F16" s="88" t="n"/>
      <c r="G16" s="88" t="n"/>
      <c r="H16" s="2" t="n"/>
      <c r="I16" s="4" t="n"/>
      <c r="J16" s="95" t="n"/>
      <c r="K16" s="213" t="n"/>
      <c r="L16" s="213" t="n"/>
      <c r="M16" s="213" t="n"/>
      <c r="N16" s="213" t="n"/>
      <c r="O16" s="213" t="n"/>
      <c r="P16" s="213" t="n"/>
      <c r="Q16" s="213" t="n"/>
      <c r="R16" s="213" t="n"/>
      <c r="S16" s="213" t="n"/>
      <c r="T16" s="213" t="n"/>
      <c r="U16" s="213" t="n"/>
      <c r="V16" s="213" t="n"/>
      <c r="W16" s="213" t="n"/>
      <c r="X16" s="213" t="n"/>
      <c r="Y16" s="213" t="n"/>
      <c r="Z16" s="213" t="n"/>
      <c r="AA16" s="213" t="n"/>
      <c r="AB16" s="213" t="n"/>
      <c r="AC16" s="213" t="n"/>
      <c r="AD16" s="213" t="n"/>
      <c r="AE16" s="213" t="n"/>
      <c r="AF16" s="213" t="n"/>
      <c r="AG16" s="213" t="n"/>
      <c r="AH16" s="213" t="n"/>
      <c r="AI16" s="213" t="n"/>
      <c r="AJ16" s="213" t="n"/>
      <c r="AK16" s="213" t="n"/>
    </row>
    <row r="17">
      <c r="B17" s="2" t="n"/>
      <c r="C17" s="88" t="n"/>
      <c r="D17" s="88" t="n"/>
      <c r="E17" s="88" t="n"/>
      <c r="F17" s="88" t="n"/>
      <c r="G17" s="88" t="n"/>
      <c r="H17" s="2" t="n"/>
      <c r="I17" s="4" t="n"/>
      <c r="J17" s="95" t="n"/>
      <c r="K17" s="213" t="n"/>
      <c r="L17" s="213" t="n"/>
      <c r="M17" s="213" t="n"/>
      <c r="N17" s="213" t="n"/>
      <c r="O17" s="213" t="n"/>
      <c r="P17" s="213" t="n"/>
      <c r="Q17" s="213" t="n"/>
      <c r="R17" s="213" t="n"/>
      <c r="S17" s="213" t="n"/>
      <c r="T17" s="213" t="n"/>
      <c r="U17" s="213" t="n"/>
      <c r="V17" s="213" t="n"/>
      <c r="W17" s="213" t="n"/>
      <c r="X17" s="213" t="n"/>
      <c r="Y17" s="213" t="n"/>
      <c r="Z17" s="213" t="n"/>
      <c r="AA17" s="213" t="n"/>
      <c r="AB17" s="213" t="n"/>
      <c r="AC17" s="213" t="n"/>
      <c r="AD17" s="213" t="n"/>
      <c r="AE17" s="213" t="n"/>
      <c r="AF17" s="213" t="n"/>
      <c r="AG17" s="213" t="n"/>
      <c r="AH17" s="213" t="n"/>
      <c r="AI17" s="213" t="n"/>
      <c r="AJ17" s="213" t="n"/>
      <c r="AK17" s="213" t="n"/>
    </row>
    <row r="18">
      <c r="B18" s="2" t="n"/>
      <c r="C18" s="88" t="n"/>
      <c r="D18" s="88" t="n"/>
      <c r="E18" s="88" t="n"/>
      <c r="F18" s="88" t="n"/>
      <c r="G18" s="88" t="n"/>
      <c r="H18" s="2" t="n"/>
      <c r="I18" s="4" t="n"/>
      <c r="J18" s="95" t="n"/>
      <c r="K18" s="213" t="n"/>
      <c r="L18" s="213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  <c r="Z18" s="213" t="n"/>
      <c r="AA18" s="213" t="n"/>
      <c r="AB18" s="213" t="n"/>
      <c r="AC18" s="213" t="n"/>
      <c r="AD18" s="213" t="n"/>
      <c r="AE18" s="213" t="n"/>
      <c r="AF18" s="213" t="n"/>
      <c r="AG18" s="213" t="n"/>
      <c r="AH18" s="213" t="n"/>
      <c r="AI18" s="213" t="n"/>
      <c r="AJ18" s="213" t="n"/>
      <c r="AK18" s="213" t="n"/>
    </row>
    <row r="19">
      <c r="B19" s="2" t="n"/>
      <c r="C19" s="88" t="n"/>
      <c r="D19" s="88" t="n"/>
      <c r="E19" s="88" t="n"/>
      <c r="F19" s="88" t="n"/>
      <c r="G19" s="88" t="n"/>
      <c r="H19" s="2" t="n"/>
      <c r="I19" s="4" t="n"/>
      <c r="J19" s="95" t="n"/>
      <c r="K19" s="213" t="n"/>
      <c r="L19" s="213" t="n"/>
      <c r="M19" s="213" t="n"/>
      <c r="N19" s="213" t="n"/>
      <c r="O19" s="213" t="n"/>
      <c r="P19" s="213" t="n"/>
      <c r="Q19" s="213" t="n"/>
      <c r="R19" s="213" t="n"/>
      <c r="S19" s="213" t="n"/>
      <c r="T19" s="213" t="n"/>
      <c r="U19" s="213" t="n"/>
      <c r="V19" s="213" t="n"/>
      <c r="W19" s="213" t="n"/>
      <c r="X19" s="213" t="n"/>
      <c r="Y19" s="213" t="n"/>
      <c r="Z19" s="213" t="n"/>
      <c r="AA19" s="213" t="n"/>
      <c r="AB19" s="213" t="n"/>
      <c r="AC19" s="213" t="n"/>
      <c r="AD19" s="213" t="n"/>
      <c r="AE19" s="213" t="n"/>
      <c r="AF19" s="213" t="n"/>
      <c r="AG19" s="213" t="n"/>
      <c r="AH19" s="213" t="n"/>
      <c r="AI19" s="213" t="n"/>
      <c r="AJ19" s="213" t="n"/>
      <c r="AK19" s="213" t="n"/>
    </row>
    <row r="20">
      <c r="B20" s="2" t="n"/>
      <c r="C20" s="88" t="n"/>
      <c r="D20" s="88" t="n"/>
      <c r="E20" s="88" t="n"/>
      <c r="F20" s="88" t="n"/>
      <c r="G20" s="88" t="n"/>
      <c r="H20" s="2" t="n"/>
      <c r="I20" s="4" t="n"/>
      <c r="J20" s="95" t="n"/>
      <c r="K20" s="213" t="n"/>
      <c r="L20" s="213" t="n"/>
      <c r="M20" s="213" t="n"/>
      <c r="N20" s="213" t="n"/>
      <c r="O20" s="213" t="n"/>
      <c r="P20" s="213" t="n"/>
      <c r="Q20" s="213" t="n"/>
      <c r="R20" s="213" t="n"/>
      <c r="S20" s="213" t="n"/>
      <c r="T20" s="213" t="n"/>
      <c r="U20" s="213" t="n"/>
      <c r="V20" s="213" t="n"/>
      <c r="W20" s="213" t="n"/>
      <c r="X20" s="213" t="n"/>
      <c r="Y20" s="213" t="n"/>
      <c r="Z20" s="213" t="n"/>
      <c r="AA20" s="213" t="n"/>
      <c r="AB20" s="213" t="n"/>
      <c r="AC20" s="213" t="n"/>
      <c r="AD20" s="213" t="n"/>
      <c r="AE20" s="213" t="n"/>
      <c r="AF20" s="213" t="n"/>
      <c r="AG20" s="213" t="n"/>
      <c r="AH20" s="213" t="n"/>
      <c r="AI20" s="213" t="n"/>
      <c r="AJ20" s="213" t="n"/>
      <c r="AK20" s="213" t="n"/>
    </row>
    <row r="21">
      <c r="B21" s="2" t="n"/>
      <c r="C21" s="88" t="n"/>
      <c r="D21" s="88" t="n"/>
      <c r="E21" s="88" t="n"/>
      <c r="F21" s="88" t="n"/>
      <c r="G21" s="88" t="n"/>
      <c r="H21" s="2" t="n"/>
      <c r="I21" s="4" t="n"/>
      <c r="J21" s="95" t="n"/>
      <c r="K21" s="213" t="n"/>
      <c r="L21" s="213" t="n"/>
      <c r="M21" s="213" t="n"/>
      <c r="N21" s="213" t="n"/>
      <c r="O21" s="213" t="n"/>
      <c r="P21" s="213" t="n"/>
      <c r="Q21" s="213" t="n"/>
      <c r="R21" s="213" t="n"/>
      <c r="S21" s="213" t="n"/>
      <c r="T21" s="213" t="n"/>
      <c r="U21" s="213" t="n"/>
      <c r="V21" s="213" t="n"/>
      <c r="W21" s="213" t="n"/>
      <c r="X21" s="213" t="n"/>
      <c r="Y21" s="213" t="n"/>
      <c r="Z21" s="213" t="n"/>
      <c r="AA21" s="213" t="n"/>
      <c r="AB21" s="213" t="n"/>
      <c r="AC21" s="213" t="n"/>
      <c r="AD21" s="213" t="n"/>
      <c r="AE21" s="213" t="n"/>
      <c r="AF21" s="213" t="n"/>
      <c r="AG21" s="213" t="n"/>
      <c r="AH21" s="213" t="n"/>
      <c r="AI21" s="213" t="n"/>
      <c r="AJ21" s="213" t="n"/>
      <c r="AK21" s="213" t="n"/>
    </row>
    <row r="22">
      <c r="B22" s="2" t="n"/>
      <c r="C22" s="88" t="n"/>
      <c r="D22" s="88" t="n"/>
      <c r="E22" s="88" t="n"/>
      <c r="F22" s="88" t="n"/>
      <c r="G22" s="88" t="n"/>
      <c r="H22" s="2" t="n"/>
      <c r="I22" s="4" t="n"/>
      <c r="J22" s="95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3" t="n"/>
      <c r="W22" s="213" t="n"/>
      <c r="X22" s="213" t="n"/>
      <c r="Y22" s="213" t="n"/>
      <c r="Z22" s="213" t="n"/>
      <c r="AA22" s="213" t="n"/>
      <c r="AB22" s="213" t="n"/>
      <c r="AC22" s="213" t="n"/>
      <c r="AD22" s="213" t="n"/>
      <c r="AE22" s="213" t="n"/>
      <c r="AF22" s="213" t="n"/>
      <c r="AG22" s="213" t="n"/>
      <c r="AH22" s="213" t="n"/>
      <c r="AI22" s="213" t="n"/>
      <c r="AJ22" s="213" t="n"/>
      <c r="AK22" s="213" t="n"/>
    </row>
    <row r="23">
      <c r="B23" s="2" t="n"/>
      <c r="C23" s="88" t="n"/>
      <c r="D23" s="88" t="n"/>
      <c r="E23" s="88" t="n"/>
      <c r="F23" s="88" t="n"/>
      <c r="G23" s="88" t="n"/>
      <c r="H23" s="2" t="n"/>
      <c r="I23" s="4" t="n"/>
      <c r="J23" s="95" t="n"/>
      <c r="K23" s="213" t="n"/>
      <c r="L23" s="213" t="n"/>
      <c r="M23" s="213" t="n"/>
      <c r="N23" s="213" t="n"/>
      <c r="O23" s="213" t="n"/>
      <c r="P23" s="213" t="n"/>
      <c r="Q23" s="213" t="n"/>
      <c r="R23" s="213" t="n"/>
      <c r="S23" s="213" t="n"/>
      <c r="T23" s="213" t="n"/>
      <c r="U23" s="213" t="n"/>
      <c r="V23" s="213" t="n"/>
      <c r="W23" s="213" t="n"/>
      <c r="X23" s="213" t="n"/>
      <c r="Y23" s="213" t="n"/>
      <c r="Z23" s="213" t="n"/>
      <c r="AA23" s="213" t="n"/>
      <c r="AB23" s="213" t="n"/>
      <c r="AC23" s="213" t="n"/>
      <c r="AD23" s="213" t="n"/>
      <c r="AE23" s="213" t="n"/>
      <c r="AF23" s="213" t="n"/>
      <c r="AG23" s="213" t="n"/>
      <c r="AH23" s="213" t="n"/>
      <c r="AI23" s="213" t="n"/>
      <c r="AJ23" s="213" t="n"/>
      <c r="AK23" s="213" t="n"/>
    </row>
    <row r="24">
      <c r="B24" s="2" t="n"/>
      <c r="C24" s="88" t="n"/>
      <c r="D24" s="88" t="n"/>
      <c r="E24" s="88" t="n"/>
      <c r="F24" s="88" t="n"/>
      <c r="G24" s="88" t="n"/>
      <c r="H24" s="2" t="n"/>
      <c r="I24" s="4" t="n"/>
      <c r="J24" s="95" t="n"/>
      <c r="K24" s="213" t="n"/>
      <c r="L24" s="213" t="n"/>
      <c r="M24" s="213" t="n"/>
      <c r="N24" s="213" t="n"/>
      <c r="O24" s="213" t="n"/>
      <c r="P24" s="213" t="n"/>
      <c r="Q24" s="213" t="n"/>
      <c r="R24" s="213" t="n"/>
      <c r="S24" s="213" t="n"/>
      <c r="T24" s="213" t="n"/>
      <c r="U24" s="213" t="n"/>
      <c r="V24" s="213" t="n"/>
      <c r="W24" s="213" t="n"/>
      <c r="X24" s="213" t="n"/>
      <c r="Y24" s="213" t="n"/>
      <c r="Z24" s="213" t="n"/>
      <c r="AA24" s="213" t="n"/>
      <c r="AB24" s="213" t="n"/>
      <c r="AC24" s="213" t="n"/>
      <c r="AD24" s="213" t="n"/>
      <c r="AE24" s="213" t="n"/>
      <c r="AF24" s="213" t="n"/>
      <c r="AG24" s="213" t="n"/>
      <c r="AH24" s="213" t="n"/>
      <c r="AI24" s="213" t="n"/>
      <c r="AJ24" s="213" t="n"/>
      <c r="AK24" s="213" t="n"/>
    </row>
    <row r="25">
      <c r="B25" s="2" t="n"/>
      <c r="C25" s="88" t="n"/>
      <c r="D25" s="88" t="n"/>
      <c r="E25" s="88" t="n"/>
      <c r="F25" s="88" t="n"/>
      <c r="G25" s="88" t="n"/>
      <c r="H25" s="2" t="n"/>
      <c r="I25" s="4" t="n"/>
      <c r="J25" s="95" t="n"/>
      <c r="K25" s="213" t="n"/>
      <c r="L25" s="213" t="n"/>
      <c r="M25" s="213" t="n"/>
      <c r="N25" s="213" t="n"/>
      <c r="O25" s="213" t="n"/>
      <c r="P25" s="213" t="n"/>
      <c r="Q25" s="213" t="n"/>
      <c r="R25" s="213" t="n"/>
      <c r="S25" s="213" t="n"/>
      <c r="T25" s="213" t="n"/>
      <c r="U25" s="213" t="n"/>
      <c r="V25" s="213" t="n"/>
      <c r="W25" s="213" t="n"/>
      <c r="X25" s="213" t="n"/>
      <c r="Y25" s="213" t="n"/>
      <c r="Z25" s="213" t="n"/>
      <c r="AA25" s="213" t="n"/>
      <c r="AB25" s="213" t="n"/>
      <c r="AC25" s="213" t="n"/>
      <c r="AD25" s="213" t="n"/>
      <c r="AE25" s="213" t="n"/>
      <c r="AF25" s="213" t="n"/>
      <c r="AG25" s="213" t="n"/>
      <c r="AH25" s="213" t="n"/>
      <c r="AI25" s="213" t="n"/>
      <c r="AJ25" s="213" t="n"/>
      <c r="AK25" s="213" t="n"/>
    </row>
    <row r="26">
      <c r="B26" s="2" t="n"/>
      <c r="C26" s="88" t="n"/>
      <c r="D26" s="88" t="n"/>
      <c r="E26" s="88" t="n"/>
      <c r="F26" s="88" t="n"/>
      <c r="G26" s="88" t="n"/>
      <c r="H26" s="2" t="n"/>
      <c r="I26" s="4" t="n"/>
      <c r="J26" s="95" t="n"/>
      <c r="K26" s="213" t="n"/>
      <c r="L26" s="213" t="n"/>
      <c r="M26" s="213" t="n"/>
      <c r="N26" s="213" t="n"/>
      <c r="O26" s="213" t="n"/>
      <c r="P26" s="213" t="n"/>
      <c r="Q26" s="213" t="n"/>
      <c r="R26" s="213" t="n"/>
      <c r="S26" s="213" t="n"/>
      <c r="T26" s="213" t="n"/>
      <c r="U26" s="213" t="n"/>
      <c r="V26" s="213" t="n"/>
      <c r="W26" s="213" t="n"/>
      <c r="X26" s="213" t="n"/>
      <c r="Y26" s="213" t="n"/>
      <c r="Z26" s="213" t="n"/>
      <c r="AA26" s="213" t="n"/>
      <c r="AB26" s="213" t="n"/>
      <c r="AC26" s="213" t="n"/>
      <c r="AD26" s="213" t="n"/>
      <c r="AE26" s="213" t="n"/>
      <c r="AF26" s="213" t="n"/>
      <c r="AG26" s="213" t="n"/>
      <c r="AH26" s="213" t="n"/>
      <c r="AI26" s="213" t="n"/>
      <c r="AJ26" s="213" t="n"/>
      <c r="AK26" s="213" t="n"/>
    </row>
    <row r="27">
      <c r="B27" s="2" t="n"/>
      <c r="C27" s="88" t="n"/>
      <c r="D27" s="88" t="n"/>
      <c r="E27" s="88" t="n"/>
      <c r="F27" s="88" t="n"/>
      <c r="G27" s="88" t="n"/>
      <c r="H27" s="2" t="n"/>
      <c r="I27" s="4" t="n"/>
      <c r="J27" s="95" t="n"/>
      <c r="K27" s="213" t="n"/>
      <c r="L27" s="213" t="n"/>
      <c r="M27" s="213" t="n"/>
      <c r="N27" s="213" t="n"/>
      <c r="O27" s="213" t="n"/>
      <c r="P27" s="213" t="n"/>
      <c r="Q27" s="213" t="n"/>
      <c r="R27" s="213" t="n"/>
      <c r="S27" s="213" t="n"/>
      <c r="T27" s="213" t="n"/>
      <c r="U27" s="213" t="n"/>
      <c r="V27" s="213" t="n"/>
      <c r="W27" s="213" t="n"/>
      <c r="X27" s="213" t="n"/>
      <c r="Y27" s="213" t="n"/>
      <c r="Z27" s="213" t="n"/>
      <c r="AA27" s="213" t="n"/>
      <c r="AB27" s="213" t="n"/>
      <c r="AC27" s="213" t="n"/>
      <c r="AD27" s="213" t="n"/>
      <c r="AE27" s="213" t="n"/>
      <c r="AF27" s="213" t="n"/>
      <c r="AG27" s="213" t="n"/>
      <c r="AH27" s="213" t="n"/>
      <c r="AI27" s="213" t="n"/>
      <c r="AJ27" s="213" t="n"/>
      <c r="AK27" s="213" t="n"/>
    </row>
    <row r="28">
      <c r="B28" s="2" t="n"/>
      <c r="C28" s="88" t="n"/>
      <c r="D28" s="88" t="n"/>
      <c r="E28" s="88" t="n"/>
      <c r="F28" s="88" t="n"/>
      <c r="G28" s="88" t="n"/>
      <c r="H28" s="2" t="n"/>
      <c r="I28" s="4" t="n"/>
      <c r="J28" s="95" t="n"/>
      <c r="K28" s="213" t="n"/>
      <c r="L28" s="213" t="n"/>
      <c r="M28" s="213" t="n"/>
      <c r="N28" s="213" t="n"/>
      <c r="O28" s="213" t="n"/>
      <c r="P28" s="213" t="n"/>
      <c r="Q28" s="213" t="n"/>
      <c r="R28" s="213" t="n"/>
      <c r="S28" s="213" t="n"/>
      <c r="T28" s="213" t="n"/>
      <c r="U28" s="213" t="n"/>
      <c r="V28" s="213" t="n"/>
      <c r="W28" s="213" t="n"/>
      <c r="X28" s="213" t="n"/>
      <c r="Y28" s="213" t="n"/>
      <c r="Z28" s="213" t="n"/>
      <c r="AA28" s="213" t="n"/>
      <c r="AB28" s="213" t="n"/>
      <c r="AC28" s="213" t="n"/>
      <c r="AD28" s="213" t="n"/>
      <c r="AE28" s="213" t="n"/>
      <c r="AF28" s="213" t="n"/>
      <c r="AG28" s="213" t="n"/>
      <c r="AH28" s="213" t="n"/>
      <c r="AI28" s="213" t="n"/>
      <c r="AJ28" s="213" t="n"/>
      <c r="AK28" s="213" t="n"/>
    </row>
    <row r="29">
      <c r="B29" s="2" t="n"/>
      <c r="C29" s="88" t="n"/>
      <c r="D29" s="88" t="n"/>
      <c r="E29" s="88" t="n"/>
      <c r="F29" s="88" t="n"/>
      <c r="G29" s="88" t="n"/>
      <c r="H29" s="2" t="n"/>
      <c r="I29" s="4" t="n"/>
      <c r="J29" s="95" t="n"/>
      <c r="K29" s="213" t="n"/>
      <c r="L29" s="213" t="n"/>
      <c r="M29" s="213" t="n"/>
      <c r="N29" s="213" t="n"/>
      <c r="O29" s="213" t="n"/>
      <c r="P29" s="213" t="n"/>
      <c r="Q29" s="213" t="n"/>
      <c r="R29" s="213" t="n"/>
      <c r="S29" s="213" t="n"/>
      <c r="T29" s="213" t="n"/>
      <c r="U29" s="213" t="n"/>
      <c r="V29" s="213" t="n"/>
      <c r="W29" s="213" t="n"/>
      <c r="X29" s="213" t="n"/>
      <c r="Y29" s="213" t="n"/>
      <c r="Z29" s="213" t="n"/>
      <c r="AA29" s="213" t="n"/>
      <c r="AB29" s="213" t="n"/>
      <c r="AC29" s="213" t="n"/>
      <c r="AD29" s="213" t="n"/>
      <c r="AE29" s="213" t="n"/>
      <c r="AF29" s="213" t="n"/>
      <c r="AG29" s="213" t="n"/>
      <c r="AH29" s="213" t="n"/>
      <c r="AI29" s="213" t="n"/>
      <c r="AJ29" s="213" t="n"/>
      <c r="AK29" s="213" t="n"/>
    </row>
    <row r="30">
      <c r="B30" s="2" t="n"/>
      <c r="C30" s="88" t="n"/>
      <c r="D30" s="88" t="n"/>
      <c r="E30" s="88" t="n"/>
      <c r="F30" s="88" t="n"/>
      <c r="G30" s="88" t="n"/>
      <c r="H30" s="2" t="n"/>
      <c r="I30" s="4" t="n"/>
      <c r="J30" s="95" t="n"/>
      <c r="K30" s="213" t="n"/>
      <c r="L30" s="213" t="n"/>
      <c r="M30" s="213" t="n"/>
      <c r="N30" s="213" t="n"/>
      <c r="O30" s="213" t="n"/>
      <c r="P30" s="213" t="n"/>
      <c r="Q30" s="213" t="n"/>
      <c r="R30" s="213" t="n"/>
      <c r="S30" s="213" t="n"/>
      <c r="T30" s="213" t="n"/>
      <c r="U30" s="213" t="n"/>
      <c r="V30" s="213" t="n"/>
      <c r="W30" s="213" t="n"/>
      <c r="X30" s="213" t="n"/>
      <c r="Y30" s="213" t="n"/>
      <c r="Z30" s="213" t="n"/>
      <c r="AA30" s="213" t="n"/>
      <c r="AB30" s="213" t="n"/>
      <c r="AC30" s="213" t="n"/>
      <c r="AD30" s="213" t="n"/>
      <c r="AE30" s="213" t="n"/>
      <c r="AF30" s="213" t="n"/>
      <c r="AG30" s="213" t="n"/>
      <c r="AH30" s="213" t="n"/>
      <c r="AI30" s="213" t="n"/>
      <c r="AJ30" s="213" t="n"/>
      <c r="AK30" s="213" t="n"/>
    </row>
    <row r="31">
      <c r="B31" s="2" t="n"/>
      <c r="C31" s="88" t="n"/>
      <c r="D31" s="88" t="n"/>
      <c r="E31" s="88" t="n"/>
      <c r="F31" s="88" t="n"/>
      <c r="G31" s="88" t="n"/>
      <c r="H31" s="2" t="n"/>
      <c r="I31" s="4" t="n"/>
      <c r="J31" s="95" t="n"/>
      <c r="K31" s="213" t="n"/>
      <c r="L31" s="213" t="n"/>
      <c r="M31" s="213" t="n"/>
      <c r="N31" s="213" t="n"/>
      <c r="O31" s="213" t="n"/>
      <c r="P31" s="213" t="n"/>
      <c r="Q31" s="213" t="n"/>
      <c r="R31" s="213" t="n"/>
      <c r="S31" s="213" t="n"/>
      <c r="T31" s="213" t="n"/>
      <c r="U31" s="213" t="n"/>
      <c r="V31" s="213" t="n"/>
      <c r="W31" s="213" t="n"/>
      <c r="X31" s="213" t="n"/>
      <c r="Y31" s="213" t="n"/>
      <c r="Z31" s="213" t="n"/>
      <c r="AA31" s="213" t="n"/>
      <c r="AB31" s="213" t="n"/>
      <c r="AC31" s="213" t="n"/>
      <c r="AD31" s="213" t="n"/>
      <c r="AE31" s="213" t="n"/>
      <c r="AF31" s="213" t="n"/>
      <c r="AG31" s="213" t="n"/>
      <c r="AH31" s="213" t="n"/>
      <c r="AI31" s="213" t="n"/>
      <c r="AJ31" s="213" t="n"/>
      <c r="AK31" s="213" t="n"/>
    </row>
    <row r="32">
      <c r="B32" s="2" t="n"/>
      <c r="C32" s="88" t="n"/>
      <c r="D32" s="88" t="n"/>
      <c r="E32" s="88" t="n"/>
      <c r="F32" s="88" t="n"/>
      <c r="G32" s="88" t="n"/>
      <c r="H32" s="2" t="n"/>
      <c r="I32" s="4" t="n"/>
      <c r="J32" s="95" t="n"/>
      <c r="K32" s="213" t="n"/>
      <c r="L32" s="213" t="n"/>
      <c r="M32" s="213" t="n"/>
      <c r="N32" s="213" t="n"/>
      <c r="O32" s="213" t="n"/>
      <c r="P32" s="213" t="n"/>
      <c r="Q32" s="213" t="n"/>
      <c r="R32" s="213" t="n"/>
      <c r="S32" s="213" t="n"/>
      <c r="T32" s="213" t="n"/>
      <c r="U32" s="213" t="n"/>
      <c r="V32" s="213" t="n"/>
      <c r="W32" s="213" t="n"/>
      <c r="X32" s="213" t="n"/>
      <c r="Y32" s="213" t="n"/>
      <c r="Z32" s="213" t="n"/>
      <c r="AA32" s="213" t="n"/>
      <c r="AB32" s="213" t="n"/>
      <c r="AC32" s="213" t="n"/>
      <c r="AD32" s="213" t="n"/>
      <c r="AE32" s="213" t="n"/>
      <c r="AF32" s="213" t="n"/>
      <c r="AG32" s="213" t="n"/>
      <c r="AH32" s="213" t="n"/>
      <c r="AI32" s="213" t="n"/>
      <c r="AJ32" s="213" t="n"/>
      <c r="AK32" s="213" t="n"/>
    </row>
    <row r="33">
      <c r="B33" s="2" t="n"/>
      <c r="C33" s="88" t="n"/>
      <c r="D33" s="88" t="n"/>
      <c r="E33" s="88" t="n"/>
      <c r="F33" s="88" t="n"/>
      <c r="G33" s="88" t="n"/>
      <c r="H33" s="2" t="n"/>
      <c r="I33" s="4" t="n"/>
      <c r="J33" s="95" t="n"/>
      <c r="K33" s="213" t="n"/>
      <c r="L33" s="213" t="n"/>
      <c r="M33" s="213" t="n"/>
      <c r="N33" s="213" t="n"/>
      <c r="O33" s="213" t="n"/>
      <c r="P33" s="213" t="n"/>
      <c r="Q33" s="213" t="n"/>
      <c r="R33" s="213" t="n"/>
      <c r="S33" s="213" t="n"/>
      <c r="T33" s="213" t="n"/>
      <c r="U33" s="213" t="n"/>
      <c r="V33" s="213" t="n"/>
      <c r="W33" s="213" t="n"/>
      <c r="X33" s="213" t="n"/>
      <c r="Y33" s="213" t="n"/>
      <c r="Z33" s="213" t="n"/>
      <c r="AA33" s="213" t="n"/>
      <c r="AB33" s="213" t="n"/>
      <c r="AC33" s="213" t="n"/>
      <c r="AD33" s="213" t="n"/>
      <c r="AE33" s="213" t="n"/>
      <c r="AF33" s="213" t="n"/>
      <c r="AG33" s="213" t="n"/>
      <c r="AH33" s="213" t="n"/>
      <c r="AI33" s="213" t="n"/>
      <c r="AJ33" s="213" t="n"/>
      <c r="AK33" s="213" t="n"/>
    </row>
    <row r="34">
      <c r="B34" s="2" t="n"/>
      <c r="C34" s="88" t="n"/>
      <c r="D34" s="88" t="n"/>
      <c r="E34" s="88" t="n"/>
      <c r="F34" s="88" t="n"/>
      <c r="G34" s="88" t="n"/>
      <c r="H34" s="2" t="n"/>
      <c r="I34" s="4" t="n"/>
      <c r="J34" s="95" t="n"/>
      <c r="K34" s="213" t="n"/>
      <c r="L34" s="213" t="n"/>
      <c r="M34" s="213" t="n"/>
      <c r="N34" s="213" t="n"/>
      <c r="O34" s="213" t="n"/>
      <c r="P34" s="213" t="n"/>
      <c r="Q34" s="213" t="n"/>
      <c r="R34" s="213" t="n"/>
      <c r="S34" s="213" t="n"/>
      <c r="T34" s="213" t="n"/>
      <c r="U34" s="213" t="n"/>
      <c r="V34" s="213" t="n"/>
      <c r="W34" s="213" t="n"/>
      <c r="X34" s="213" t="n"/>
      <c r="Y34" s="213" t="n"/>
      <c r="Z34" s="213" t="n"/>
      <c r="AA34" s="213" t="n"/>
      <c r="AB34" s="213" t="n"/>
      <c r="AC34" s="213" t="n"/>
      <c r="AD34" s="213" t="n"/>
      <c r="AE34" s="213" t="n"/>
      <c r="AF34" s="213" t="n"/>
      <c r="AG34" s="213" t="n"/>
      <c r="AH34" s="213" t="n"/>
      <c r="AI34" s="213" t="n"/>
      <c r="AJ34" s="213" t="n"/>
      <c r="AK34" s="213" t="n"/>
    </row>
    <row r="35">
      <c r="B35" s="2" t="n"/>
      <c r="C35" s="88" t="n"/>
      <c r="D35" s="88" t="n"/>
      <c r="E35" s="88" t="n"/>
      <c r="F35" s="88" t="n"/>
      <c r="G35" s="88" t="n"/>
      <c r="H35" s="2" t="n"/>
      <c r="I35" s="4" t="n"/>
      <c r="J35" s="95" t="n"/>
      <c r="K35" s="213" t="n"/>
      <c r="L35" s="213" t="n"/>
      <c r="M35" s="213" t="n"/>
      <c r="N35" s="213" t="n"/>
      <c r="O35" s="213" t="n"/>
      <c r="P35" s="213" t="n"/>
      <c r="Q35" s="213" t="n"/>
      <c r="R35" s="213" t="n"/>
      <c r="S35" s="213" t="n"/>
      <c r="T35" s="213" t="n"/>
      <c r="U35" s="213" t="n"/>
      <c r="V35" s="213" t="n"/>
      <c r="W35" s="213" t="n"/>
      <c r="X35" s="213" t="n"/>
      <c r="Y35" s="213" t="n"/>
      <c r="Z35" s="213" t="n"/>
      <c r="AA35" s="213" t="n"/>
      <c r="AB35" s="213" t="n"/>
      <c r="AC35" s="213" t="n"/>
      <c r="AD35" s="213" t="n"/>
      <c r="AE35" s="213" t="n"/>
      <c r="AF35" s="213" t="n"/>
      <c r="AG35" s="213" t="n"/>
      <c r="AH35" s="213" t="n"/>
      <c r="AI35" s="213" t="n"/>
      <c r="AJ35" s="213" t="n"/>
      <c r="AK35" s="213" t="n"/>
    </row>
    <row r="36">
      <c r="B36" s="2" t="n"/>
      <c r="C36" s="88" t="n"/>
      <c r="D36" s="88" t="n"/>
      <c r="E36" s="88" t="n"/>
      <c r="F36" s="88" t="n"/>
      <c r="G36" s="88" t="n"/>
      <c r="H36" s="2" t="n"/>
      <c r="I36" s="4" t="n"/>
      <c r="J36" s="95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13" t="n"/>
      <c r="Z36" s="213" t="n"/>
      <c r="AA36" s="213" t="n"/>
      <c r="AB36" s="213" t="n"/>
      <c r="AC36" s="213" t="n"/>
      <c r="AD36" s="213" t="n"/>
      <c r="AE36" s="213" t="n"/>
      <c r="AF36" s="213" t="n"/>
      <c r="AG36" s="213" t="n"/>
      <c r="AH36" s="213" t="n"/>
      <c r="AI36" s="213" t="n"/>
      <c r="AJ36" s="213" t="n"/>
      <c r="AK36" s="213" t="n"/>
    </row>
    <row r="37">
      <c r="B37" s="2" t="n"/>
      <c r="C37" s="88" t="n"/>
      <c r="D37" s="88" t="n"/>
      <c r="E37" s="88" t="n"/>
      <c r="F37" s="88" t="n"/>
      <c r="G37" s="88" t="n"/>
      <c r="H37" s="2" t="n"/>
      <c r="I37" s="4" t="n"/>
      <c r="J37" s="95" t="n"/>
      <c r="K37" s="213" t="n"/>
      <c r="L37" s="213" t="n"/>
      <c r="M37" s="213" t="n"/>
      <c r="N37" s="213" t="n"/>
      <c r="O37" s="213" t="n"/>
      <c r="P37" s="213" t="n"/>
      <c r="Q37" s="213" t="n"/>
      <c r="R37" s="213" t="n"/>
      <c r="S37" s="213" t="n"/>
      <c r="T37" s="213" t="n"/>
      <c r="U37" s="213" t="n"/>
      <c r="V37" s="213" t="n"/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</row>
    <row r="38">
      <c r="B38" s="2" t="n"/>
      <c r="C38" s="88" t="n"/>
      <c r="D38" s="88" t="n"/>
      <c r="E38" s="88" t="n"/>
      <c r="F38" s="88" t="n"/>
      <c r="G38" s="88" t="n"/>
      <c r="H38" s="2" t="n"/>
      <c r="I38" s="4" t="n"/>
      <c r="J38" s="95" t="n"/>
      <c r="K38" s="213" t="n"/>
      <c r="L38" s="213" t="n"/>
      <c r="M38" s="213" t="n"/>
      <c r="N38" s="213" t="n"/>
      <c r="O38" s="213" t="n"/>
      <c r="P38" s="213" t="n"/>
      <c r="Q38" s="213" t="n"/>
      <c r="R38" s="213" t="n"/>
      <c r="S38" s="213" t="n"/>
      <c r="T38" s="213" t="n"/>
      <c r="U38" s="213" t="n"/>
      <c r="V38" s="213" t="n"/>
      <c r="W38" s="213" t="n"/>
      <c r="X38" s="213" t="n"/>
      <c r="Y38" s="213" t="n"/>
      <c r="Z38" s="213" t="n"/>
      <c r="AA38" s="213" t="n"/>
      <c r="AB38" s="213" t="n"/>
      <c r="AC38" s="213" t="n"/>
      <c r="AD38" s="213" t="n"/>
      <c r="AE38" s="213" t="n"/>
      <c r="AF38" s="213" t="n"/>
      <c r="AG38" s="213" t="n"/>
      <c r="AH38" s="213" t="n"/>
      <c r="AI38" s="213" t="n"/>
      <c r="AJ38" s="213" t="n"/>
      <c r="AK38" s="213" t="n"/>
    </row>
    <row r="39">
      <c r="B39" s="2" t="n"/>
      <c r="C39" s="88" t="n"/>
      <c r="D39" s="88" t="n"/>
      <c r="E39" s="88" t="n"/>
      <c r="F39" s="88" t="n"/>
      <c r="G39" s="88" t="n"/>
      <c r="H39" s="2" t="n"/>
      <c r="I39" s="4" t="n"/>
      <c r="J39" s="95" t="n"/>
      <c r="K39" s="213" t="n"/>
      <c r="L39" s="213" t="n"/>
      <c r="M39" s="213" t="n"/>
      <c r="N39" s="213" t="n"/>
      <c r="O39" s="213" t="n"/>
      <c r="P39" s="213" t="n"/>
      <c r="Q39" s="213" t="n"/>
      <c r="R39" s="213" t="n"/>
      <c r="S39" s="213" t="n"/>
      <c r="T39" s="213" t="n"/>
      <c r="U39" s="213" t="n"/>
      <c r="V39" s="213" t="n"/>
      <c r="W39" s="213" t="n"/>
      <c r="X39" s="213" t="n"/>
      <c r="Y39" s="213" t="n"/>
      <c r="Z39" s="213" t="n"/>
      <c r="AA39" s="213" t="n"/>
      <c r="AB39" s="213" t="n"/>
      <c r="AC39" s="213" t="n"/>
      <c r="AD39" s="213" t="n"/>
      <c r="AE39" s="213" t="n"/>
      <c r="AF39" s="213" t="n"/>
      <c r="AG39" s="213" t="n"/>
      <c r="AH39" s="213" t="n"/>
      <c r="AI39" s="213" t="n"/>
      <c r="AJ39" s="213" t="n"/>
      <c r="AK39" s="213" t="n"/>
    </row>
    <row r="40">
      <c r="B40" s="2" t="n"/>
      <c r="C40" s="88" t="n"/>
      <c r="D40" s="88" t="n"/>
      <c r="E40" s="88" t="n"/>
      <c r="F40" s="88" t="n"/>
      <c r="G40" s="88" t="n"/>
      <c r="H40" s="2" t="n"/>
      <c r="I40" s="4" t="n"/>
      <c r="J40" s="95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13" t="n"/>
      <c r="Z40" s="213" t="n"/>
      <c r="AA40" s="213" t="n"/>
      <c r="AB40" s="213" t="n"/>
      <c r="AC40" s="213" t="n"/>
      <c r="AD40" s="213" t="n"/>
      <c r="AE40" s="213" t="n"/>
      <c r="AF40" s="213" t="n"/>
      <c r="AG40" s="213" t="n"/>
      <c r="AH40" s="213" t="n"/>
      <c r="AI40" s="213" t="n"/>
      <c r="AJ40" s="213" t="n"/>
      <c r="AK40" s="213" t="n"/>
    </row>
    <row r="41">
      <c r="B41" s="2" t="n"/>
      <c r="C41" s="88" t="n"/>
      <c r="D41" s="88" t="n"/>
      <c r="E41" s="88" t="n"/>
      <c r="F41" s="88" t="n"/>
      <c r="G41" s="88" t="n"/>
      <c r="H41" s="94" t="n"/>
      <c r="I41" s="4" t="n"/>
      <c r="J41" s="95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13" t="n"/>
      <c r="Z41" s="213" t="n"/>
      <c r="AA41" s="213" t="n"/>
      <c r="AB41" s="213" t="n"/>
      <c r="AC41" s="213" t="n"/>
      <c r="AD41" s="213" t="n"/>
      <c r="AE41" s="213" t="n"/>
      <c r="AF41" s="213" t="n"/>
      <c r="AG41" s="213" t="n"/>
      <c r="AH41" s="213" t="n"/>
      <c r="AI41" s="213" t="n"/>
      <c r="AJ41" s="213" t="n"/>
      <c r="AK41" s="213" t="n"/>
    </row>
    <row r="42">
      <c r="B42" s="2" t="n"/>
      <c r="C42" s="88" t="n"/>
      <c r="D42" s="88" t="n"/>
      <c r="E42" s="88" t="n"/>
      <c r="F42" s="88" t="n"/>
      <c r="G42" s="88" t="n"/>
      <c r="H42" s="94" t="n"/>
      <c r="I42" s="4" t="n"/>
      <c r="J42" s="95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13" t="n"/>
      <c r="Z42" s="213" t="n"/>
      <c r="AA42" s="213" t="n"/>
      <c r="AB42" s="213" t="n"/>
      <c r="AC42" s="213" t="n"/>
      <c r="AD42" s="213" t="n"/>
      <c r="AE42" s="213" t="n"/>
      <c r="AF42" s="213" t="n"/>
      <c r="AG42" s="213" t="n"/>
      <c r="AH42" s="213" t="n"/>
      <c r="AI42" s="213" t="n"/>
      <c r="AJ42" s="213" t="n"/>
      <c r="AK42" s="213" t="n"/>
    </row>
    <row r="43">
      <c r="B43" s="2" t="n"/>
      <c r="C43" s="88" t="n"/>
      <c r="D43" s="88" t="n"/>
      <c r="E43" s="88" t="n"/>
      <c r="F43" s="88" t="n"/>
      <c r="G43" s="88" t="n"/>
      <c r="H43" s="94" t="n"/>
      <c r="I43" s="4" t="n"/>
      <c r="J43" s="95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13" t="n"/>
      <c r="Z43" s="213" t="n"/>
      <c r="AA43" s="213" t="n"/>
      <c r="AB43" s="213" t="n"/>
      <c r="AC43" s="213" t="n"/>
      <c r="AD43" s="213" t="n"/>
      <c r="AE43" s="213" t="n"/>
      <c r="AF43" s="213" t="n"/>
      <c r="AG43" s="213" t="n"/>
      <c r="AH43" s="213" t="n"/>
      <c r="AI43" s="213" t="n"/>
      <c r="AJ43" s="213" t="n"/>
      <c r="AK43" s="213" t="n"/>
    </row>
    <row r="44">
      <c r="B44" s="2" t="n"/>
      <c r="C44" s="88" t="n"/>
      <c r="D44" s="88" t="n"/>
      <c r="E44" s="88" t="n"/>
      <c r="F44" s="88" t="n"/>
      <c r="G44" s="88" t="n"/>
      <c r="H44" s="94" t="n"/>
      <c r="I44" s="4" t="n"/>
      <c r="J44" s="95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13" t="n"/>
      <c r="Z44" s="213" t="n"/>
      <c r="AA44" s="213" t="n"/>
      <c r="AB44" s="213" t="n"/>
      <c r="AC44" s="213" t="n"/>
      <c r="AD44" s="213" t="n"/>
      <c r="AE44" s="213" t="n"/>
      <c r="AF44" s="213" t="n"/>
      <c r="AG44" s="213" t="n"/>
      <c r="AH44" s="213" t="n"/>
      <c r="AI44" s="213" t="n"/>
      <c r="AJ44" s="213" t="n"/>
      <c r="AK44" s="213" t="n"/>
    </row>
    <row r="45">
      <c r="B45" s="2" t="n"/>
      <c r="C45" s="88" t="n"/>
      <c r="D45" s="88" t="n"/>
      <c r="E45" s="88" t="n"/>
      <c r="F45" s="88" t="n"/>
      <c r="G45" s="88" t="n"/>
      <c r="H45" s="94" t="n"/>
      <c r="I45" s="4" t="n"/>
      <c r="J45" s="95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13" t="n"/>
      <c r="Z45" s="213" t="n"/>
      <c r="AA45" s="213" t="n"/>
      <c r="AB45" s="213" t="n"/>
      <c r="AC45" s="213" t="n"/>
      <c r="AD45" s="213" t="n"/>
      <c r="AE45" s="213" t="n"/>
      <c r="AF45" s="213" t="n"/>
      <c r="AG45" s="213" t="n"/>
      <c r="AH45" s="213" t="n"/>
      <c r="AI45" s="213" t="n"/>
      <c r="AJ45" s="213" t="n"/>
      <c r="AK45" s="213" t="n"/>
    </row>
    <row r="46">
      <c r="B46" s="2" t="n"/>
      <c r="C46" s="88" t="n"/>
      <c r="D46" s="88" t="n"/>
      <c r="E46" s="88" t="n"/>
      <c r="F46" s="88" t="n"/>
      <c r="G46" s="88" t="n"/>
      <c r="H46" s="94" t="n"/>
      <c r="I46" s="4" t="n"/>
      <c r="J46" s="95" t="n"/>
      <c r="K46" s="213" t="n"/>
      <c r="L46" s="213" t="n"/>
      <c r="M46" s="213" t="n"/>
      <c r="N46" s="213" t="n"/>
      <c r="O46" s="213" t="n"/>
      <c r="P46" s="213" t="n"/>
      <c r="Q46" s="213" t="n"/>
      <c r="R46" s="213" t="n"/>
      <c r="S46" s="213" t="n"/>
      <c r="T46" s="213" t="n"/>
      <c r="U46" s="213" t="n"/>
      <c r="V46" s="213" t="n"/>
      <c r="W46" s="213" t="n"/>
      <c r="X46" s="213" t="n"/>
      <c r="Y46" s="213" t="n"/>
      <c r="Z46" s="213" t="n"/>
      <c r="AA46" s="213" t="n"/>
      <c r="AB46" s="213" t="n"/>
      <c r="AC46" s="213" t="n"/>
      <c r="AD46" s="213" t="n"/>
      <c r="AE46" s="213" t="n"/>
      <c r="AF46" s="213" t="n"/>
      <c r="AG46" s="213" t="n"/>
      <c r="AH46" s="213" t="n"/>
      <c r="AI46" s="213" t="n"/>
      <c r="AJ46" s="213" t="n"/>
      <c r="AK46" s="213" t="n"/>
    </row>
    <row r="47">
      <c r="B47" s="2" t="n"/>
      <c r="C47" s="88" t="n"/>
      <c r="D47" s="88" t="n"/>
      <c r="E47" s="88" t="n"/>
      <c r="F47" s="88" t="n"/>
      <c r="G47" s="88" t="n"/>
      <c r="H47" s="94" t="n"/>
      <c r="I47" s="4" t="n"/>
      <c r="J47" s="95" t="n"/>
      <c r="K47" s="213" t="n"/>
      <c r="L47" s="213" t="n"/>
      <c r="M47" s="213" t="n"/>
      <c r="N47" s="213" t="n"/>
      <c r="O47" s="213" t="n"/>
      <c r="P47" s="213" t="n"/>
      <c r="Q47" s="213" t="n"/>
      <c r="R47" s="213" t="n"/>
      <c r="S47" s="213" t="n"/>
      <c r="T47" s="213" t="n"/>
      <c r="U47" s="213" t="n"/>
      <c r="V47" s="213" t="n"/>
      <c r="W47" s="213" t="n"/>
      <c r="X47" s="213" t="n"/>
      <c r="Y47" s="213" t="n"/>
      <c r="Z47" s="213" t="n"/>
      <c r="AA47" s="213" t="n"/>
      <c r="AB47" s="213" t="n"/>
      <c r="AC47" s="213" t="n"/>
      <c r="AD47" s="213" t="n"/>
      <c r="AE47" s="213" t="n"/>
      <c r="AF47" s="213" t="n"/>
      <c r="AG47" s="213" t="n"/>
      <c r="AH47" s="213" t="n"/>
      <c r="AI47" s="213" t="n"/>
      <c r="AJ47" s="213" t="n"/>
      <c r="AK47" s="213" t="n"/>
    </row>
    <row r="48">
      <c r="B48" s="2" t="n"/>
      <c r="C48" s="88" t="n"/>
      <c r="D48" s="88" t="n"/>
      <c r="E48" s="88" t="n"/>
      <c r="F48" s="88" t="n"/>
      <c r="G48" s="88" t="n"/>
      <c r="H48" s="94" t="n"/>
      <c r="I48" s="4" t="n"/>
      <c r="J48" s="95" t="n"/>
      <c r="K48" s="213" t="n"/>
      <c r="L48" s="213" t="n"/>
      <c r="M48" s="213" t="n"/>
      <c r="N48" s="213" t="n"/>
      <c r="O48" s="213" t="n"/>
      <c r="P48" s="213" t="n"/>
      <c r="Q48" s="213" t="n"/>
      <c r="R48" s="213" t="n"/>
      <c r="S48" s="213" t="n"/>
      <c r="T48" s="213" t="n"/>
      <c r="U48" s="213" t="n"/>
      <c r="V48" s="213" t="n"/>
      <c r="W48" s="213" t="n"/>
      <c r="X48" s="213" t="n"/>
      <c r="Y48" s="213" t="n"/>
      <c r="Z48" s="213" t="n"/>
      <c r="AA48" s="213" t="n"/>
      <c r="AB48" s="213" t="n"/>
      <c r="AC48" s="213" t="n"/>
      <c r="AD48" s="213" t="n"/>
      <c r="AE48" s="213" t="n"/>
      <c r="AF48" s="213" t="n"/>
      <c r="AG48" s="213" t="n"/>
      <c r="AH48" s="213" t="n"/>
      <c r="AI48" s="213" t="n"/>
      <c r="AJ48" s="213" t="n"/>
      <c r="AK48" s="213" t="n"/>
    </row>
    <row r="49">
      <c r="B49" s="2" t="n"/>
      <c r="C49" s="88" t="n"/>
      <c r="D49" s="88" t="n"/>
      <c r="E49" s="88" t="n"/>
      <c r="F49" s="88" t="n"/>
      <c r="G49" s="88" t="n"/>
      <c r="H49" s="94" t="n"/>
      <c r="I49" s="4" t="n"/>
      <c r="J49" s="95" t="n"/>
      <c r="K49" s="213" t="n"/>
      <c r="L49" s="213" t="n"/>
      <c r="M49" s="213" t="n"/>
      <c r="N49" s="213" t="n"/>
      <c r="O49" s="213" t="n"/>
      <c r="P49" s="213" t="n"/>
      <c r="Q49" s="213" t="n"/>
      <c r="R49" s="213" t="n"/>
      <c r="S49" s="213" t="n"/>
      <c r="T49" s="213" t="n"/>
      <c r="U49" s="213" t="n"/>
      <c r="V49" s="213" t="n"/>
      <c r="W49" s="213" t="n"/>
      <c r="X49" s="213" t="n"/>
      <c r="Y49" s="213" t="n"/>
      <c r="Z49" s="213" t="n"/>
      <c r="AA49" s="213" t="n"/>
      <c r="AB49" s="213" t="n"/>
      <c r="AC49" s="213" t="n"/>
      <c r="AD49" s="213" t="n"/>
      <c r="AE49" s="213" t="n"/>
      <c r="AF49" s="213" t="n"/>
      <c r="AG49" s="213" t="n"/>
      <c r="AH49" s="213" t="n"/>
      <c r="AI49" s="213" t="n"/>
      <c r="AJ49" s="213" t="n"/>
      <c r="AK49" s="213" t="n"/>
    </row>
    <row r="50">
      <c r="B50" s="2" t="n"/>
      <c r="C50" s="88" t="n"/>
      <c r="D50" s="88" t="n"/>
      <c r="E50" s="88" t="n"/>
      <c r="F50" s="88" t="n"/>
      <c r="G50" s="88" t="n"/>
      <c r="H50" s="94" t="n"/>
      <c r="I50" s="4" t="n"/>
      <c r="J50" s="95" t="n"/>
      <c r="K50" s="213" t="n"/>
      <c r="L50" s="213" t="n"/>
      <c r="M50" s="213" t="n"/>
      <c r="N50" s="213" t="n"/>
      <c r="O50" s="213" t="n"/>
      <c r="P50" s="213" t="n"/>
      <c r="Q50" s="213" t="n"/>
      <c r="R50" s="213" t="n"/>
      <c r="S50" s="213" t="n"/>
      <c r="T50" s="213" t="n"/>
      <c r="U50" s="213" t="n"/>
      <c r="V50" s="213" t="n"/>
      <c r="W50" s="213" t="n"/>
      <c r="X50" s="213" t="n"/>
      <c r="Y50" s="213" t="n"/>
      <c r="Z50" s="213" t="n"/>
      <c r="AA50" s="213" t="n"/>
      <c r="AB50" s="213" t="n"/>
      <c r="AC50" s="213" t="n"/>
      <c r="AD50" s="213" t="n"/>
      <c r="AE50" s="213" t="n"/>
      <c r="AF50" s="213" t="n"/>
      <c r="AG50" s="213" t="n"/>
      <c r="AH50" s="213" t="n"/>
      <c r="AI50" s="213" t="n"/>
      <c r="AJ50" s="213" t="n"/>
      <c r="AK50" s="213" t="n"/>
    </row>
    <row r="51">
      <c r="B51" s="2" t="n"/>
      <c r="C51" s="88" t="n"/>
      <c r="D51" s="88" t="n"/>
      <c r="E51" s="88" t="n"/>
      <c r="F51" s="88" t="n"/>
      <c r="G51" s="88" t="n"/>
      <c r="H51" s="94" t="n"/>
      <c r="I51" s="4" t="n"/>
      <c r="J51" s="95" t="n"/>
      <c r="K51" s="213" t="n"/>
      <c r="L51" s="213" t="n"/>
      <c r="M51" s="213" t="n"/>
      <c r="N51" s="213" t="n"/>
      <c r="O51" s="213" t="n"/>
      <c r="P51" s="213" t="n"/>
      <c r="Q51" s="213" t="n"/>
      <c r="R51" s="213" t="n"/>
      <c r="S51" s="213" t="n"/>
      <c r="T51" s="213" t="n"/>
      <c r="U51" s="213" t="n"/>
      <c r="V51" s="213" t="n"/>
      <c r="W51" s="213" t="n"/>
      <c r="X51" s="213" t="n"/>
      <c r="Y51" s="213" t="n"/>
      <c r="Z51" s="213" t="n"/>
      <c r="AA51" s="213" t="n"/>
      <c r="AB51" s="213" t="n"/>
      <c r="AC51" s="213" t="n"/>
      <c r="AD51" s="213" t="n"/>
      <c r="AE51" s="213" t="n"/>
      <c r="AF51" s="213" t="n"/>
      <c r="AG51" s="213" t="n"/>
      <c r="AH51" s="213" t="n"/>
      <c r="AI51" s="213" t="n"/>
      <c r="AJ51" s="213" t="n"/>
      <c r="AK51" s="213" t="n"/>
    </row>
    <row r="52">
      <c r="B52" s="2" t="n"/>
      <c r="C52" s="88" t="n"/>
      <c r="D52" s="88" t="n"/>
      <c r="E52" s="88" t="n"/>
      <c r="F52" s="88" t="n"/>
      <c r="G52" s="88" t="n"/>
      <c r="H52" s="94" t="n"/>
      <c r="I52" s="4" t="n"/>
      <c r="J52" s="95" t="n"/>
      <c r="K52" s="213" t="n"/>
      <c r="L52" s="213" t="n"/>
      <c r="M52" s="213" t="n"/>
      <c r="N52" s="213" t="n"/>
      <c r="O52" s="213" t="n"/>
      <c r="P52" s="213" t="n"/>
      <c r="Q52" s="213" t="n"/>
      <c r="R52" s="213" t="n"/>
      <c r="S52" s="213" t="n"/>
      <c r="T52" s="213" t="n"/>
      <c r="U52" s="213" t="n"/>
      <c r="V52" s="213" t="n"/>
      <c r="W52" s="213" t="n"/>
      <c r="X52" s="213" t="n"/>
      <c r="Y52" s="213" t="n"/>
      <c r="Z52" s="213" t="n"/>
      <c r="AA52" s="213" t="n"/>
      <c r="AB52" s="213" t="n"/>
      <c r="AC52" s="213" t="n"/>
      <c r="AD52" s="213" t="n"/>
      <c r="AE52" s="213" t="n"/>
      <c r="AF52" s="213" t="n"/>
      <c r="AG52" s="213" t="n"/>
      <c r="AH52" s="213" t="n"/>
      <c r="AI52" s="213" t="n"/>
      <c r="AJ52" s="213" t="n"/>
      <c r="AK52" s="213" t="n"/>
    </row>
    <row r="53">
      <c r="B53" s="2" t="n"/>
      <c r="C53" s="88" t="n"/>
      <c r="D53" s="88" t="n"/>
      <c r="E53" s="88" t="n"/>
      <c r="F53" s="88" t="n"/>
      <c r="G53" s="88" t="n"/>
      <c r="H53" s="94" t="n"/>
      <c r="I53" s="4" t="n"/>
      <c r="J53" s="95" t="n"/>
      <c r="K53" s="213" t="n"/>
      <c r="L53" s="213" t="n"/>
      <c r="M53" s="213" t="n"/>
      <c r="N53" s="213" t="n"/>
      <c r="O53" s="213" t="n"/>
      <c r="P53" s="213" t="n"/>
      <c r="Q53" s="213" t="n"/>
      <c r="R53" s="213" t="n"/>
      <c r="S53" s="213" t="n"/>
      <c r="T53" s="213" t="n"/>
      <c r="U53" s="213" t="n"/>
      <c r="V53" s="213" t="n"/>
      <c r="W53" s="213" t="n"/>
      <c r="X53" s="213" t="n"/>
      <c r="Y53" s="213" t="n"/>
      <c r="Z53" s="213" t="n"/>
      <c r="AA53" s="213" t="n"/>
      <c r="AB53" s="213" t="n"/>
      <c r="AC53" s="213" t="n"/>
      <c r="AD53" s="213" t="n"/>
      <c r="AE53" s="213" t="n"/>
      <c r="AF53" s="213" t="n"/>
      <c r="AG53" s="213" t="n"/>
      <c r="AH53" s="213" t="n"/>
      <c r="AI53" s="213" t="n"/>
      <c r="AJ53" s="213" t="n"/>
      <c r="AK53" s="213" t="n"/>
    </row>
    <row r="54">
      <c r="B54" s="2" t="n"/>
      <c r="C54" s="88" t="n"/>
      <c r="D54" s="88" t="n"/>
      <c r="E54" s="88" t="n"/>
      <c r="F54" s="88" t="n"/>
      <c r="G54" s="88" t="n"/>
      <c r="H54" s="94" t="n"/>
      <c r="I54" s="4" t="n"/>
      <c r="J54" s="95" t="n"/>
      <c r="K54" s="213" t="n"/>
      <c r="L54" s="213" t="n"/>
      <c r="M54" s="213" t="n"/>
      <c r="N54" s="213" t="n"/>
      <c r="O54" s="213" t="n"/>
      <c r="P54" s="213" t="n"/>
      <c r="Q54" s="213" t="n"/>
      <c r="R54" s="213" t="n"/>
      <c r="S54" s="213" t="n"/>
      <c r="T54" s="213" t="n"/>
      <c r="U54" s="213" t="n"/>
      <c r="V54" s="213" t="n"/>
      <c r="W54" s="213" t="n"/>
      <c r="X54" s="213" t="n"/>
      <c r="Y54" s="213" t="n"/>
      <c r="Z54" s="213" t="n"/>
      <c r="AA54" s="213" t="n"/>
      <c r="AB54" s="213" t="n"/>
      <c r="AC54" s="213" t="n"/>
      <c r="AD54" s="213" t="n"/>
      <c r="AE54" s="213" t="n"/>
      <c r="AF54" s="213" t="n"/>
      <c r="AG54" s="213" t="n"/>
      <c r="AH54" s="213" t="n"/>
      <c r="AI54" s="213" t="n"/>
      <c r="AJ54" s="213" t="n"/>
      <c r="AK54" s="213" t="n"/>
    </row>
    <row r="55">
      <c r="B55" s="2" t="n"/>
      <c r="C55" s="88" t="n"/>
      <c r="D55" s="88" t="n"/>
      <c r="E55" s="88" t="n"/>
      <c r="F55" s="88" t="n"/>
      <c r="G55" s="88" t="n"/>
      <c r="H55" s="94" t="n"/>
      <c r="I55" s="4" t="n"/>
      <c r="J55" s="95" t="n"/>
      <c r="K55" s="213" t="n"/>
      <c r="L55" s="213" t="n"/>
      <c r="M55" s="213" t="n"/>
      <c r="N55" s="213" t="n"/>
      <c r="O55" s="213" t="n"/>
      <c r="P55" s="213" t="n"/>
      <c r="Q55" s="213" t="n"/>
      <c r="R55" s="213" t="n"/>
      <c r="S55" s="213" t="n"/>
      <c r="T55" s="213" t="n"/>
      <c r="U55" s="213" t="n"/>
      <c r="V55" s="213" t="n"/>
      <c r="W55" s="213" t="n"/>
      <c r="X55" s="213" t="n"/>
      <c r="Y55" s="213" t="n"/>
      <c r="Z55" s="213" t="n"/>
      <c r="AA55" s="213" t="n"/>
      <c r="AB55" s="213" t="n"/>
      <c r="AC55" s="213" t="n"/>
      <c r="AD55" s="213" t="n"/>
      <c r="AE55" s="213" t="n"/>
      <c r="AF55" s="213" t="n"/>
      <c r="AG55" s="213" t="n"/>
      <c r="AH55" s="213" t="n"/>
      <c r="AI55" s="213" t="n"/>
      <c r="AJ55" s="213" t="n"/>
      <c r="AK55" s="213" t="n"/>
    </row>
    <row r="56">
      <c r="B56" s="2" t="n"/>
      <c r="C56" s="88" t="n"/>
      <c r="D56" s="88" t="n"/>
      <c r="E56" s="88" t="n"/>
      <c r="F56" s="88" t="n"/>
      <c r="G56" s="88" t="n"/>
      <c r="H56" s="94" t="n"/>
      <c r="I56" s="4" t="n"/>
      <c r="J56" s="95" t="n"/>
      <c r="K56" s="213" t="n"/>
      <c r="L56" s="213" t="n"/>
      <c r="M56" s="213" t="n"/>
      <c r="N56" s="213" t="n"/>
      <c r="O56" s="213" t="n"/>
      <c r="P56" s="213" t="n"/>
      <c r="Q56" s="213" t="n"/>
      <c r="R56" s="213" t="n"/>
      <c r="S56" s="213" t="n"/>
      <c r="T56" s="213" t="n"/>
      <c r="U56" s="213" t="n"/>
      <c r="V56" s="213" t="n"/>
      <c r="W56" s="213" t="n"/>
      <c r="X56" s="213" t="n"/>
      <c r="Y56" s="213" t="n"/>
      <c r="Z56" s="213" t="n"/>
      <c r="AA56" s="213" t="n"/>
      <c r="AB56" s="213" t="n"/>
      <c r="AC56" s="213" t="n"/>
      <c r="AD56" s="213" t="n"/>
      <c r="AE56" s="213" t="n"/>
      <c r="AF56" s="213" t="n"/>
      <c r="AG56" s="213" t="n"/>
      <c r="AH56" s="213" t="n"/>
      <c r="AI56" s="213" t="n"/>
      <c r="AJ56" s="213" t="n"/>
      <c r="AK56" s="213" t="n"/>
    </row>
    <row r="57">
      <c r="B57" s="2" t="n"/>
      <c r="C57" s="88" t="n"/>
      <c r="D57" s="88" t="n"/>
      <c r="E57" s="88" t="n"/>
      <c r="F57" s="88" t="n"/>
      <c r="G57" s="88" t="n"/>
      <c r="H57" s="94" t="n"/>
      <c r="I57" s="4" t="n"/>
      <c r="J57" s="95" t="n"/>
      <c r="K57" s="213" t="n"/>
      <c r="L57" s="213" t="n"/>
      <c r="M57" s="213" t="n"/>
      <c r="N57" s="213" t="n"/>
      <c r="O57" s="213" t="n"/>
      <c r="P57" s="213" t="n"/>
      <c r="Q57" s="213" t="n"/>
      <c r="R57" s="213" t="n"/>
      <c r="S57" s="213" t="n"/>
      <c r="T57" s="213" t="n"/>
      <c r="U57" s="213" t="n"/>
      <c r="V57" s="213" t="n"/>
      <c r="W57" s="213" t="n"/>
      <c r="X57" s="213" t="n"/>
      <c r="Y57" s="213" t="n"/>
      <c r="Z57" s="213" t="n"/>
      <c r="AA57" s="213" t="n"/>
      <c r="AB57" s="213" t="n"/>
      <c r="AC57" s="213" t="n"/>
      <c r="AD57" s="213" t="n"/>
      <c r="AE57" s="213" t="n"/>
      <c r="AF57" s="213" t="n"/>
      <c r="AG57" s="213" t="n"/>
      <c r="AH57" s="213" t="n"/>
      <c r="AI57" s="213" t="n"/>
      <c r="AJ57" s="213" t="n"/>
      <c r="AK57" s="213" t="n"/>
    </row>
    <row r="58">
      <c r="B58" s="2" t="n"/>
      <c r="C58" s="88" t="n"/>
      <c r="D58" s="88" t="n"/>
      <c r="E58" s="88" t="n"/>
      <c r="F58" s="88" t="n"/>
      <c r="G58" s="88" t="n"/>
      <c r="H58" s="94" t="n"/>
      <c r="I58" s="4" t="n"/>
      <c r="J58" s="95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3" t="n"/>
      <c r="Z58" s="213" t="n"/>
      <c r="AA58" s="213" t="n"/>
      <c r="AB58" s="213" t="n"/>
      <c r="AC58" s="213" t="n"/>
      <c r="AD58" s="213" t="n"/>
      <c r="AE58" s="213" t="n"/>
      <c r="AF58" s="213" t="n"/>
      <c r="AG58" s="213" t="n"/>
      <c r="AH58" s="213" t="n"/>
      <c r="AI58" s="213" t="n"/>
      <c r="AJ58" s="213" t="n"/>
      <c r="AK58" s="213" t="n"/>
    </row>
    <row r="59">
      <c r="B59" s="2" t="n"/>
      <c r="C59" s="88" t="n"/>
      <c r="D59" s="88" t="n"/>
      <c r="E59" s="88" t="n"/>
      <c r="F59" s="88" t="n"/>
      <c r="G59" s="88" t="n"/>
      <c r="H59" s="94" t="n"/>
      <c r="I59" s="4" t="n"/>
      <c r="J59" s="95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3" t="n"/>
      <c r="Z59" s="213" t="n"/>
      <c r="AA59" s="213" t="n"/>
      <c r="AB59" s="213" t="n"/>
      <c r="AC59" s="213" t="n"/>
      <c r="AD59" s="213" t="n"/>
      <c r="AE59" s="213" t="n"/>
      <c r="AF59" s="213" t="n"/>
      <c r="AG59" s="213" t="n"/>
      <c r="AH59" s="213" t="n"/>
      <c r="AI59" s="213" t="n"/>
      <c r="AJ59" s="213" t="n"/>
      <c r="AK59" s="213" t="n"/>
    </row>
    <row r="60">
      <c r="B60" s="2" t="n"/>
      <c r="C60" s="88" t="n"/>
      <c r="D60" s="88" t="n"/>
      <c r="E60" s="88" t="n"/>
      <c r="F60" s="88" t="n"/>
      <c r="G60" s="88" t="n"/>
      <c r="H60" s="94" t="n"/>
      <c r="I60" s="4" t="n"/>
      <c r="J60" s="95" t="n"/>
      <c r="K60" s="213" t="n"/>
      <c r="L60" s="213" t="n"/>
      <c r="M60" s="213" t="n"/>
      <c r="N60" s="213" t="n"/>
      <c r="O60" s="213" t="n"/>
      <c r="P60" s="213" t="n"/>
      <c r="Q60" s="213" t="n"/>
      <c r="R60" s="213" t="n"/>
      <c r="S60" s="213" t="n"/>
      <c r="T60" s="213" t="n"/>
      <c r="U60" s="213" t="n"/>
      <c r="V60" s="213" t="n"/>
      <c r="W60" s="213" t="n"/>
      <c r="X60" s="213" t="n"/>
      <c r="Y60" s="213" t="n"/>
      <c r="Z60" s="213" t="n"/>
      <c r="AA60" s="213" t="n"/>
      <c r="AB60" s="213" t="n"/>
      <c r="AC60" s="213" t="n"/>
      <c r="AD60" s="213" t="n"/>
      <c r="AE60" s="213" t="n"/>
      <c r="AF60" s="213" t="n"/>
      <c r="AG60" s="213" t="n"/>
      <c r="AH60" s="213" t="n"/>
      <c r="AI60" s="213" t="n"/>
      <c r="AJ60" s="213" t="n"/>
      <c r="AK60" s="213" t="n"/>
    </row>
    <row r="61">
      <c r="B61" s="2" t="n"/>
      <c r="C61" s="88" t="n"/>
      <c r="D61" s="88" t="n"/>
      <c r="E61" s="88" t="n"/>
      <c r="F61" s="88" t="n"/>
      <c r="G61" s="88" t="n"/>
      <c r="H61" s="94" t="n"/>
      <c r="I61" s="4" t="n"/>
      <c r="J61" s="95" t="n"/>
      <c r="K61" s="213" t="n"/>
      <c r="L61" s="213" t="n"/>
      <c r="M61" s="213" t="n"/>
      <c r="N61" s="213" t="n"/>
      <c r="O61" s="213" t="n"/>
      <c r="P61" s="213" t="n"/>
      <c r="Q61" s="213" t="n"/>
      <c r="R61" s="213" t="n"/>
      <c r="S61" s="213" t="n"/>
      <c r="T61" s="213" t="n"/>
      <c r="U61" s="213" t="n"/>
      <c r="V61" s="213" t="n"/>
      <c r="W61" s="213" t="n"/>
      <c r="X61" s="213" t="n"/>
      <c r="Y61" s="213" t="n"/>
      <c r="Z61" s="213" t="n"/>
      <c r="AA61" s="213" t="n"/>
      <c r="AB61" s="213" t="n"/>
      <c r="AC61" s="213" t="n"/>
      <c r="AD61" s="213" t="n"/>
      <c r="AE61" s="213" t="n"/>
      <c r="AF61" s="213" t="n"/>
      <c r="AG61" s="213" t="n"/>
      <c r="AH61" s="213" t="n"/>
      <c r="AI61" s="213" t="n"/>
      <c r="AJ61" s="213" t="n"/>
      <c r="AK61" s="213" t="n"/>
    </row>
    <row r="62">
      <c r="B62" s="2" t="n"/>
      <c r="C62" s="88" t="n"/>
      <c r="D62" s="88" t="n"/>
      <c r="E62" s="88" t="n"/>
      <c r="F62" s="88" t="n"/>
      <c r="G62" s="88" t="n"/>
      <c r="H62" s="94" t="n"/>
      <c r="I62" s="4" t="n"/>
      <c r="J62" s="95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13" t="n"/>
      <c r="Z62" s="213" t="n"/>
      <c r="AA62" s="213" t="n"/>
      <c r="AB62" s="213" t="n"/>
      <c r="AC62" s="213" t="n"/>
      <c r="AD62" s="213" t="n"/>
      <c r="AE62" s="213" t="n"/>
      <c r="AF62" s="213" t="n"/>
      <c r="AG62" s="213" t="n"/>
      <c r="AH62" s="213" t="n"/>
      <c r="AI62" s="213" t="n"/>
      <c r="AJ62" s="213" t="n"/>
      <c r="AK62" s="213" t="n"/>
    </row>
    <row r="63">
      <c r="B63" s="2" t="n"/>
      <c r="C63" s="88" t="n"/>
      <c r="D63" s="88" t="n"/>
      <c r="E63" s="88" t="n"/>
      <c r="F63" s="88" t="n"/>
      <c r="G63" s="88" t="n"/>
      <c r="H63" s="94" t="n"/>
      <c r="I63" s="4" t="n"/>
      <c r="J63" s="95" t="n"/>
      <c r="K63" s="213" t="n"/>
      <c r="L63" s="213" t="n"/>
      <c r="M63" s="213" t="n"/>
      <c r="N63" s="213" t="n"/>
      <c r="O63" s="213" t="n"/>
      <c r="P63" s="213" t="n"/>
      <c r="Q63" s="213" t="n"/>
      <c r="R63" s="213" t="n"/>
      <c r="S63" s="213" t="n"/>
      <c r="T63" s="213" t="n"/>
      <c r="U63" s="213" t="n"/>
      <c r="V63" s="213" t="n"/>
      <c r="W63" s="213" t="n"/>
      <c r="X63" s="213" t="n"/>
      <c r="Y63" s="213" t="n"/>
      <c r="Z63" s="213" t="n"/>
      <c r="AA63" s="213" t="n"/>
      <c r="AB63" s="213" t="n"/>
      <c r="AC63" s="213" t="n"/>
      <c r="AD63" s="213" t="n"/>
      <c r="AE63" s="213" t="n"/>
      <c r="AF63" s="213" t="n"/>
      <c r="AG63" s="213" t="n"/>
      <c r="AH63" s="213" t="n"/>
      <c r="AI63" s="213" t="n"/>
      <c r="AJ63" s="213" t="n"/>
      <c r="AK63" s="213" t="n"/>
    </row>
    <row r="64">
      <c r="B64" s="2" t="n"/>
      <c r="C64" s="88" t="n"/>
      <c r="D64" s="88" t="n"/>
      <c r="E64" s="88" t="n"/>
      <c r="F64" s="88" t="n"/>
      <c r="G64" s="88" t="n"/>
      <c r="H64" s="94" t="n"/>
      <c r="I64" s="4" t="n"/>
      <c r="J64" s="95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13" t="n"/>
      <c r="Z64" s="213" t="n"/>
      <c r="AA64" s="213" t="n"/>
      <c r="AB64" s="213" t="n"/>
      <c r="AC64" s="213" t="n"/>
      <c r="AD64" s="213" t="n"/>
      <c r="AE64" s="213" t="n"/>
      <c r="AF64" s="213" t="n"/>
      <c r="AG64" s="213" t="n"/>
      <c r="AH64" s="213" t="n"/>
      <c r="AI64" s="213" t="n"/>
      <c r="AJ64" s="213" t="n"/>
      <c r="AK64" s="213" t="n"/>
    </row>
    <row r="65">
      <c r="B65" s="2" t="n"/>
      <c r="C65" s="88" t="n"/>
      <c r="D65" s="88" t="n"/>
      <c r="E65" s="88" t="n"/>
      <c r="F65" s="88" t="n"/>
      <c r="G65" s="88" t="n"/>
      <c r="H65" s="94" t="n"/>
      <c r="I65" s="4" t="n"/>
      <c r="J65" s="95" t="n"/>
      <c r="K65" s="213" t="n"/>
      <c r="L65" s="213" t="n"/>
      <c r="M65" s="213" t="n"/>
      <c r="N65" s="213" t="n"/>
      <c r="O65" s="213" t="n"/>
      <c r="P65" s="213" t="n"/>
      <c r="Q65" s="213" t="n"/>
      <c r="R65" s="213" t="n"/>
      <c r="S65" s="213" t="n"/>
      <c r="T65" s="213" t="n"/>
      <c r="U65" s="213" t="n"/>
      <c r="V65" s="213" t="n"/>
      <c r="W65" s="213" t="n"/>
      <c r="X65" s="213" t="n"/>
      <c r="Y65" s="213" t="n"/>
      <c r="Z65" s="213" t="n"/>
      <c r="AA65" s="213" t="n"/>
      <c r="AB65" s="213" t="n"/>
      <c r="AC65" s="213" t="n"/>
      <c r="AD65" s="213" t="n"/>
      <c r="AE65" s="213" t="n"/>
      <c r="AF65" s="213" t="n"/>
      <c r="AG65" s="213" t="n"/>
      <c r="AH65" s="213" t="n"/>
      <c r="AI65" s="213" t="n"/>
      <c r="AJ65" s="213" t="n"/>
      <c r="AK65" s="213" t="n"/>
    </row>
    <row r="66">
      <c r="B66" s="2" t="n"/>
      <c r="C66" s="88" t="n"/>
      <c r="D66" s="88" t="n"/>
      <c r="E66" s="88" t="n"/>
      <c r="F66" s="88" t="n"/>
      <c r="G66" s="88" t="n"/>
      <c r="H66" s="94" t="n"/>
      <c r="I66" s="4" t="n"/>
      <c r="J66" s="95" t="n"/>
      <c r="K66" s="213" t="n"/>
      <c r="L66" s="213" t="n"/>
      <c r="M66" s="213" t="n"/>
      <c r="N66" s="213" t="n"/>
      <c r="O66" s="213" t="n"/>
      <c r="P66" s="213" t="n"/>
      <c r="Q66" s="213" t="n"/>
      <c r="R66" s="213" t="n"/>
      <c r="S66" s="213" t="n"/>
      <c r="T66" s="213" t="n"/>
      <c r="U66" s="213" t="n"/>
      <c r="V66" s="213" t="n"/>
      <c r="W66" s="213" t="n"/>
      <c r="X66" s="213" t="n"/>
      <c r="Y66" s="213" t="n"/>
      <c r="Z66" s="213" t="n"/>
      <c r="AA66" s="213" t="n"/>
      <c r="AB66" s="213" t="n"/>
      <c r="AC66" s="213" t="n"/>
      <c r="AD66" s="213" t="n"/>
      <c r="AE66" s="213" t="n"/>
      <c r="AF66" s="213" t="n"/>
      <c r="AG66" s="213" t="n"/>
      <c r="AH66" s="213" t="n"/>
      <c r="AI66" s="213" t="n"/>
      <c r="AJ66" s="213" t="n"/>
      <c r="AK66" s="213" t="n"/>
    </row>
    <row r="67">
      <c r="B67" s="2" t="n"/>
      <c r="C67" s="88" t="n"/>
      <c r="D67" s="88" t="n"/>
      <c r="E67" s="88" t="n"/>
      <c r="F67" s="88" t="n"/>
      <c r="G67" s="88" t="n"/>
      <c r="H67" s="94" t="n"/>
      <c r="I67" s="4" t="n"/>
      <c r="J67" s="95" t="n"/>
      <c r="K67" s="213" t="n"/>
      <c r="L67" s="213" t="n"/>
      <c r="M67" s="213" t="n"/>
      <c r="N67" s="213" t="n"/>
      <c r="O67" s="213" t="n"/>
      <c r="P67" s="213" t="n"/>
      <c r="Q67" s="213" t="n"/>
      <c r="R67" s="213" t="n"/>
      <c r="S67" s="213" t="n"/>
      <c r="T67" s="213" t="n"/>
      <c r="U67" s="213" t="n"/>
      <c r="V67" s="213" t="n"/>
      <c r="W67" s="213" t="n"/>
      <c r="X67" s="213" t="n"/>
      <c r="Y67" s="213" t="n"/>
      <c r="Z67" s="213" t="n"/>
      <c r="AA67" s="213" t="n"/>
      <c r="AB67" s="213" t="n"/>
      <c r="AC67" s="213" t="n"/>
      <c r="AD67" s="213" t="n"/>
      <c r="AE67" s="213" t="n"/>
      <c r="AF67" s="213" t="n"/>
      <c r="AG67" s="213" t="n"/>
      <c r="AH67" s="213" t="n"/>
      <c r="AI67" s="213" t="n"/>
      <c r="AJ67" s="213" t="n"/>
      <c r="AK67" s="213" t="n"/>
    </row>
    <row r="68">
      <c r="B68" s="2" t="n"/>
      <c r="C68" s="88" t="n"/>
      <c r="D68" s="88" t="n"/>
      <c r="E68" s="88" t="n"/>
      <c r="F68" s="88" t="n"/>
      <c r="G68" s="88" t="n"/>
      <c r="H68" s="94" t="n"/>
      <c r="I68" s="4" t="n"/>
      <c r="J68" s="95" t="n"/>
      <c r="K68" s="213" t="n"/>
      <c r="L68" s="213" t="n"/>
      <c r="M68" s="213" t="n"/>
      <c r="N68" s="213" t="n"/>
      <c r="O68" s="213" t="n"/>
      <c r="P68" s="213" t="n"/>
      <c r="Q68" s="213" t="n"/>
      <c r="R68" s="213" t="n"/>
      <c r="S68" s="213" t="n"/>
      <c r="T68" s="213" t="n"/>
      <c r="U68" s="213" t="n"/>
      <c r="V68" s="213" t="n"/>
      <c r="W68" s="213" t="n"/>
      <c r="X68" s="213" t="n"/>
      <c r="Y68" s="213" t="n"/>
      <c r="Z68" s="213" t="n"/>
      <c r="AA68" s="213" t="n"/>
      <c r="AB68" s="213" t="n"/>
      <c r="AC68" s="213" t="n"/>
      <c r="AD68" s="213" t="n"/>
      <c r="AE68" s="213" t="n"/>
      <c r="AF68" s="213" t="n"/>
      <c r="AG68" s="213" t="n"/>
      <c r="AH68" s="213" t="n"/>
      <c r="AI68" s="213" t="n"/>
      <c r="AJ68" s="213" t="n"/>
      <c r="AK68" s="213" t="n"/>
    </row>
    <row r="69">
      <c r="B69" s="2" t="n"/>
      <c r="C69" s="88" t="n"/>
      <c r="D69" s="88" t="n"/>
      <c r="E69" s="88" t="n"/>
      <c r="F69" s="88" t="n"/>
      <c r="G69" s="88" t="n"/>
      <c r="H69" s="94" t="n"/>
      <c r="I69" s="4" t="n"/>
      <c r="J69" s="95" t="n"/>
      <c r="K69" s="213" t="n"/>
      <c r="L69" s="213" t="n"/>
      <c r="M69" s="213" t="n"/>
      <c r="N69" s="213" t="n"/>
      <c r="O69" s="213" t="n"/>
      <c r="P69" s="213" t="n"/>
      <c r="Q69" s="213" t="n"/>
      <c r="R69" s="213" t="n"/>
      <c r="S69" s="213" t="n"/>
      <c r="T69" s="213" t="n"/>
      <c r="U69" s="213" t="n"/>
      <c r="V69" s="213" t="n"/>
      <c r="W69" s="213" t="n"/>
      <c r="X69" s="213" t="n"/>
      <c r="Y69" s="213" t="n"/>
      <c r="Z69" s="213" t="n"/>
      <c r="AA69" s="213" t="n"/>
      <c r="AB69" s="213" t="n"/>
      <c r="AC69" s="213" t="n"/>
      <c r="AD69" s="213" t="n"/>
      <c r="AE69" s="213" t="n"/>
      <c r="AF69" s="213" t="n"/>
      <c r="AG69" s="213" t="n"/>
      <c r="AH69" s="213" t="n"/>
      <c r="AI69" s="213" t="n"/>
      <c r="AJ69" s="213" t="n"/>
      <c r="AK69" s="213" t="n"/>
    </row>
    <row r="70">
      <c r="B70" s="2" t="n"/>
      <c r="C70" s="88" t="n"/>
      <c r="D70" s="88" t="n"/>
      <c r="E70" s="88" t="n"/>
      <c r="F70" s="88" t="n"/>
      <c r="G70" s="88" t="n"/>
      <c r="H70" s="94" t="n"/>
      <c r="I70" s="4" t="n"/>
      <c r="J70" s="95" t="n"/>
      <c r="K70" s="213" t="n"/>
      <c r="L70" s="213" t="n"/>
      <c r="M70" s="213" t="n"/>
      <c r="N70" s="213" t="n"/>
      <c r="O70" s="213" t="n"/>
      <c r="P70" s="213" t="n"/>
      <c r="Q70" s="213" t="n"/>
      <c r="R70" s="213" t="n"/>
      <c r="S70" s="213" t="n"/>
      <c r="T70" s="213" t="n"/>
      <c r="U70" s="213" t="n"/>
      <c r="V70" s="213" t="n"/>
      <c r="W70" s="213" t="n"/>
      <c r="X70" s="213" t="n"/>
      <c r="Y70" s="213" t="n"/>
      <c r="Z70" s="213" t="n"/>
      <c r="AA70" s="213" t="n"/>
      <c r="AB70" s="213" t="n"/>
      <c r="AC70" s="213" t="n"/>
      <c r="AD70" s="213" t="n"/>
      <c r="AE70" s="213" t="n"/>
      <c r="AF70" s="213" t="n"/>
      <c r="AG70" s="213" t="n"/>
      <c r="AH70" s="213" t="n"/>
      <c r="AI70" s="213" t="n"/>
      <c r="AJ70" s="213" t="n"/>
      <c r="AK70" s="213" t="n"/>
    </row>
    <row r="71">
      <c r="B71" s="94" t="n"/>
      <c r="C71" s="88" t="n"/>
      <c r="D71" s="88" t="n"/>
      <c r="E71" s="88" t="n"/>
      <c r="F71" s="88" t="n"/>
      <c r="G71" s="88" t="n"/>
      <c r="H71" s="94" t="n"/>
      <c r="I71" s="4" t="n"/>
      <c r="J71" s="95" t="n"/>
      <c r="K71" s="213" t="n"/>
      <c r="L71" s="213" t="n"/>
      <c r="M71" s="213" t="n"/>
      <c r="N71" s="213" t="n"/>
      <c r="O71" s="213" t="n"/>
      <c r="P71" s="213" t="n"/>
      <c r="Q71" s="213" t="n"/>
      <c r="R71" s="213" t="n"/>
      <c r="S71" s="213" t="n"/>
      <c r="T71" s="213" t="n"/>
      <c r="U71" s="213" t="n"/>
      <c r="V71" s="213" t="n"/>
      <c r="W71" s="213" t="n"/>
      <c r="X71" s="213" t="n"/>
      <c r="Y71" s="213" t="n"/>
      <c r="Z71" s="213" t="n"/>
      <c r="AA71" s="213" t="n"/>
      <c r="AB71" s="213" t="n"/>
      <c r="AC71" s="213" t="n"/>
      <c r="AD71" s="213" t="n"/>
      <c r="AE71" s="213" t="n"/>
      <c r="AF71" s="213" t="n"/>
      <c r="AG71" s="213" t="n"/>
      <c r="AH71" s="213" t="n"/>
      <c r="AI71" s="213" t="n"/>
      <c r="AJ71" s="213" t="n"/>
      <c r="AK71" s="213" t="n"/>
    </row>
    <row r="72">
      <c r="B72" s="94" t="n"/>
      <c r="C72" s="88" t="n"/>
      <c r="D72" s="88" t="n"/>
      <c r="E72" s="88" t="n"/>
      <c r="F72" s="88" t="n"/>
      <c r="G72" s="88" t="n"/>
      <c r="H72" s="94" t="n"/>
      <c r="I72" s="4" t="n"/>
      <c r="J72" s="95" t="n"/>
      <c r="K72" s="213" t="n"/>
      <c r="L72" s="213" t="n"/>
      <c r="M72" s="213" t="n"/>
      <c r="N72" s="213" t="n"/>
      <c r="O72" s="213" t="n"/>
      <c r="P72" s="213" t="n"/>
      <c r="Q72" s="213" t="n"/>
      <c r="R72" s="213" t="n"/>
      <c r="S72" s="213" t="n"/>
      <c r="T72" s="213" t="n"/>
      <c r="U72" s="213" t="n"/>
      <c r="V72" s="213" t="n"/>
      <c r="W72" s="213" t="n"/>
      <c r="X72" s="213" t="n"/>
      <c r="Y72" s="213" t="n"/>
      <c r="Z72" s="213" t="n"/>
      <c r="AA72" s="213" t="n"/>
      <c r="AB72" s="213" t="n"/>
      <c r="AC72" s="213" t="n"/>
      <c r="AD72" s="213" t="n"/>
      <c r="AE72" s="213" t="n"/>
      <c r="AF72" s="213" t="n"/>
      <c r="AG72" s="213" t="n"/>
      <c r="AH72" s="213" t="n"/>
      <c r="AI72" s="213" t="n"/>
      <c r="AJ72" s="213" t="n"/>
      <c r="AK72" s="213" t="n"/>
    </row>
    <row r="73">
      <c r="B73" s="94" t="n"/>
      <c r="C73" s="88" t="n"/>
      <c r="D73" s="88" t="n"/>
      <c r="E73" s="88" t="n"/>
      <c r="F73" s="88" t="n"/>
      <c r="G73" s="88" t="n"/>
      <c r="H73" s="94" t="n"/>
      <c r="I73" s="4" t="n"/>
      <c r="J73" s="95" t="n"/>
      <c r="K73" s="213" t="n"/>
      <c r="L73" s="213" t="n"/>
      <c r="M73" s="213" t="n"/>
      <c r="N73" s="213" t="n"/>
      <c r="O73" s="213" t="n"/>
      <c r="P73" s="213" t="n"/>
      <c r="Q73" s="213" t="n"/>
      <c r="R73" s="213" t="n"/>
      <c r="S73" s="213" t="n"/>
      <c r="T73" s="213" t="n"/>
      <c r="U73" s="213" t="n"/>
      <c r="V73" s="213" t="n"/>
      <c r="W73" s="213" t="n"/>
      <c r="X73" s="213" t="n"/>
      <c r="Y73" s="213" t="n"/>
      <c r="Z73" s="213" t="n"/>
      <c r="AA73" s="213" t="n"/>
      <c r="AB73" s="213" t="n"/>
      <c r="AC73" s="213" t="n"/>
      <c r="AD73" s="213" t="n"/>
      <c r="AE73" s="213" t="n"/>
      <c r="AF73" s="213" t="n"/>
      <c r="AG73" s="213" t="n"/>
      <c r="AH73" s="213" t="n"/>
      <c r="AI73" s="213" t="n"/>
      <c r="AJ73" s="213" t="n"/>
      <c r="AK73" s="213" t="n"/>
    </row>
    <row r="74">
      <c r="B74" s="94" t="n"/>
      <c r="C74" s="88" t="n"/>
      <c r="D74" s="88" t="n"/>
      <c r="E74" s="88" t="n"/>
      <c r="F74" s="88" t="n"/>
      <c r="G74" s="88" t="n"/>
      <c r="H74" s="94" t="n"/>
      <c r="I74" s="4" t="n"/>
      <c r="J74" s="95" t="n"/>
      <c r="K74" s="213" t="n"/>
      <c r="L74" s="213" t="n"/>
      <c r="M74" s="213" t="n"/>
      <c r="N74" s="213" t="n"/>
      <c r="O74" s="213" t="n"/>
      <c r="P74" s="213" t="n"/>
      <c r="Q74" s="213" t="n"/>
      <c r="R74" s="213" t="n"/>
      <c r="S74" s="213" t="n"/>
      <c r="T74" s="213" t="n"/>
      <c r="U74" s="213" t="n"/>
      <c r="V74" s="213" t="n"/>
      <c r="W74" s="213" t="n"/>
      <c r="X74" s="213" t="n"/>
      <c r="Y74" s="213" t="n"/>
      <c r="Z74" s="213" t="n"/>
      <c r="AA74" s="213" t="n"/>
      <c r="AB74" s="213" t="n"/>
      <c r="AC74" s="213" t="n"/>
      <c r="AD74" s="213" t="n"/>
      <c r="AE74" s="213" t="n"/>
      <c r="AF74" s="213" t="n"/>
      <c r="AG74" s="213" t="n"/>
      <c r="AH74" s="213" t="n"/>
      <c r="AI74" s="213" t="n"/>
      <c r="AJ74" s="213" t="n"/>
      <c r="AK74" s="213" t="n"/>
    </row>
    <row r="75">
      <c r="B75" s="94" t="n"/>
      <c r="C75" s="88" t="n"/>
      <c r="D75" s="88" t="n"/>
      <c r="E75" s="88" t="n"/>
      <c r="F75" s="88" t="n"/>
      <c r="G75" s="88" t="n"/>
      <c r="H75" s="94" t="n"/>
      <c r="I75" s="4" t="n"/>
      <c r="J75" s="95" t="n"/>
      <c r="K75" s="213" t="n"/>
      <c r="L75" s="213" t="n"/>
      <c r="M75" s="213" t="n"/>
      <c r="N75" s="213" t="n"/>
      <c r="O75" s="213" t="n"/>
      <c r="P75" s="213" t="n"/>
      <c r="Q75" s="213" t="n"/>
      <c r="R75" s="213" t="n"/>
      <c r="S75" s="213" t="n"/>
      <c r="T75" s="213" t="n"/>
      <c r="U75" s="213" t="n"/>
      <c r="V75" s="213" t="n"/>
      <c r="W75" s="213" t="n"/>
      <c r="X75" s="213" t="n"/>
      <c r="Y75" s="213" t="n"/>
      <c r="Z75" s="213" t="n"/>
      <c r="AA75" s="213" t="n"/>
      <c r="AB75" s="213" t="n"/>
      <c r="AC75" s="213" t="n"/>
      <c r="AD75" s="213" t="n"/>
      <c r="AE75" s="213" t="n"/>
      <c r="AF75" s="213" t="n"/>
      <c r="AG75" s="213" t="n"/>
      <c r="AH75" s="213" t="n"/>
      <c r="AI75" s="213" t="n"/>
      <c r="AJ75" s="213" t="n"/>
      <c r="AK75" s="213" t="n"/>
    </row>
    <row r="76">
      <c r="B76" s="94" t="n"/>
      <c r="C76" s="88" t="n"/>
      <c r="D76" s="88" t="n"/>
      <c r="E76" s="88" t="n"/>
      <c r="F76" s="88" t="n"/>
      <c r="G76" s="88" t="n"/>
      <c r="H76" s="94" t="n"/>
      <c r="I76" s="4" t="n"/>
      <c r="J76" s="95" t="n"/>
      <c r="K76" s="213" t="n"/>
      <c r="L76" s="213" t="n"/>
      <c r="M76" s="213" t="n"/>
      <c r="N76" s="213" t="n"/>
      <c r="O76" s="213" t="n"/>
      <c r="P76" s="213" t="n"/>
      <c r="Q76" s="213" t="n"/>
      <c r="R76" s="213" t="n"/>
      <c r="S76" s="213" t="n"/>
      <c r="T76" s="213" t="n"/>
      <c r="U76" s="213" t="n"/>
      <c r="V76" s="213" t="n"/>
      <c r="W76" s="213" t="n"/>
      <c r="X76" s="213" t="n"/>
      <c r="Y76" s="213" t="n"/>
      <c r="Z76" s="213" t="n"/>
      <c r="AA76" s="213" t="n"/>
      <c r="AB76" s="213" t="n"/>
      <c r="AC76" s="213" t="n"/>
      <c r="AD76" s="213" t="n"/>
      <c r="AE76" s="213" t="n"/>
      <c r="AF76" s="213" t="n"/>
      <c r="AG76" s="213" t="n"/>
      <c r="AH76" s="213" t="n"/>
      <c r="AI76" s="213" t="n"/>
      <c r="AJ76" s="213" t="n"/>
      <c r="AK76" s="213" t="n"/>
    </row>
    <row r="77">
      <c r="B77" s="94" t="n"/>
      <c r="C77" s="88" t="n"/>
      <c r="D77" s="88" t="n"/>
      <c r="E77" s="88" t="n"/>
      <c r="F77" s="88" t="n"/>
      <c r="G77" s="88" t="n"/>
      <c r="H77" s="94" t="n"/>
      <c r="I77" s="4" t="n"/>
      <c r="J77" s="95" t="n"/>
      <c r="K77" s="213" t="n"/>
      <c r="L77" s="213" t="n"/>
      <c r="M77" s="213" t="n"/>
      <c r="N77" s="213" t="n"/>
      <c r="O77" s="213" t="n"/>
      <c r="P77" s="213" t="n"/>
      <c r="Q77" s="213" t="n"/>
      <c r="R77" s="213" t="n"/>
      <c r="S77" s="213" t="n"/>
      <c r="T77" s="213" t="n"/>
      <c r="U77" s="213" t="n"/>
      <c r="V77" s="213" t="n"/>
      <c r="W77" s="213" t="n"/>
      <c r="X77" s="213" t="n"/>
      <c r="Y77" s="213" t="n"/>
      <c r="Z77" s="213" t="n"/>
      <c r="AA77" s="213" t="n"/>
      <c r="AB77" s="213" t="n"/>
      <c r="AC77" s="213" t="n"/>
      <c r="AD77" s="213" t="n"/>
      <c r="AE77" s="213" t="n"/>
      <c r="AF77" s="213" t="n"/>
      <c r="AG77" s="213" t="n"/>
      <c r="AH77" s="213" t="n"/>
      <c r="AI77" s="213" t="n"/>
      <c r="AJ77" s="213" t="n"/>
      <c r="AK77" s="213" t="n"/>
    </row>
    <row r="78">
      <c r="B78" s="94" t="n"/>
      <c r="C78" s="88" t="n"/>
      <c r="D78" s="88" t="n"/>
      <c r="E78" s="88" t="n"/>
      <c r="F78" s="88" t="n"/>
      <c r="G78" s="88" t="n"/>
      <c r="H78" s="94" t="n"/>
      <c r="I78" s="4" t="n"/>
      <c r="J78" s="95" t="n"/>
      <c r="K78" s="213" t="n"/>
      <c r="L78" s="213" t="n"/>
      <c r="M78" s="213" t="n"/>
      <c r="N78" s="213" t="n"/>
      <c r="O78" s="213" t="n"/>
      <c r="P78" s="213" t="n"/>
      <c r="Q78" s="213" t="n"/>
      <c r="R78" s="213" t="n"/>
      <c r="S78" s="213" t="n"/>
      <c r="T78" s="213" t="n"/>
      <c r="U78" s="213" t="n"/>
      <c r="V78" s="213" t="n"/>
      <c r="W78" s="213" t="n"/>
      <c r="X78" s="213" t="n"/>
      <c r="Y78" s="213" t="n"/>
      <c r="Z78" s="213" t="n"/>
      <c r="AA78" s="213" t="n"/>
      <c r="AB78" s="213" t="n"/>
      <c r="AC78" s="213" t="n"/>
      <c r="AD78" s="213" t="n"/>
      <c r="AE78" s="213" t="n"/>
      <c r="AF78" s="213" t="n"/>
      <c r="AG78" s="213" t="n"/>
      <c r="AH78" s="213" t="n"/>
      <c r="AI78" s="213" t="n"/>
      <c r="AJ78" s="213" t="n"/>
      <c r="AK78" s="213" t="n"/>
    </row>
    <row r="79">
      <c r="B79" s="94" t="n"/>
      <c r="C79" s="88" t="n"/>
      <c r="D79" s="88" t="n"/>
      <c r="E79" s="88" t="n"/>
      <c r="F79" s="88" t="n"/>
      <c r="G79" s="88" t="n"/>
      <c r="H79" s="94" t="n"/>
      <c r="I79" s="4" t="n"/>
      <c r="J79" s="95" t="n"/>
      <c r="K79" s="213" t="n"/>
      <c r="L79" s="213" t="n"/>
      <c r="M79" s="213" t="n"/>
      <c r="N79" s="213" t="n"/>
      <c r="O79" s="213" t="n"/>
      <c r="P79" s="213" t="n"/>
      <c r="Q79" s="213" t="n"/>
      <c r="R79" s="213" t="n"/>
      <c r="S79" s="213" t="n"/>
      <c r="T79" s="213" t="n"/>
      <c r="U79" s="213" t="n"/>
      <c r="V79" s="213" t="n"/>
      <c r="W79" s="213" t="n"/>
      <c r="X79" s="213" t="n"/>
      <c r="Y79" s="213" t="n"/>
      <c r="Z79" s="213" t="n"/>
      <c r="AA79" s="213" t="n"/>
      <c r="AB79" s="213" t="n"/>
      <c r="AC79" s="213" t="n"/>
      <c r="AD79" s="213" t="n"/>
      <c r="AE79" s="213" t="n"/>
      <c r="AF79" s="213" t="n"/>
      <c r="AG79" s="213" t="n"/>
      <c r="AH79" s="213" t="n"/>
      <c r="AI79" s="213" t="n"/>
      <c r="AJ79" s="213" t="n"/>
      <c r="AK79" s="213" t="n"/>
    </row>
    <row r="80">
      <c r="B80" s="94" t="n"/>
      <c r="C80" s="88" t="n"/>
      <c r="D80" s="88" t="n"/>
      <c r="E80" s="88" t="n"/>
      <c r="F80" s="88" t="n"/>
      <c r="G80" s="88" t="n"/>
      <c r="H80" s="94" t="n"/>
      <c r="I80" s="4" t="n"/>
      <c r="J80" s="95" t="n"/>
      <c r="K80" s="213" t="n"/>
      <c r="L80" s="213" t="n"/>
      <c r="M80" s="213" t="n"/>
      <c r="N80" s="213" t="n"/>
      <c r="O80" s="213" t="n"/>
      <c r="P80" s="213" t="n"/>
      <c r="Q80" s="213" t="n"/>
      <c r="R80" s="213" t="n"/>
      <c r="S80" s="213" t="n"/>
      <c r="T80" s="213" t="n"/>
      <c r="U80" s="213" t="n"/>
      <c r="V80" s="213" t="n"/>
      <c r="W80" s="213" t="n"/>
      <c r="X80" s="213" t="n"/>
      <c r="Y80" s="213" t="n"/>
      <c r="Z80" s="213" t="n"/>
      <c r="AA80" s="213" t="n"/>
      <c r="AB80" s="213" t="n"/>
      <c r="AC80" s="213" t="n"/>
      <c r="AD80" s="213" t="n"/>
      <c r="AE80" s="213" t="n"/>
      <c r="AF80" s="213" t="n"/>
      <c r="AG80" s="213" t="n"/>
      <c r="AH80" s="213" t="n"/>
      <c r="AI80" s="213" t="n"/>
      <c r="AJ80" s="213" t="n"/>
      <c r="AK80" s="213" t="n"/>
    </row>
    <row r="81">
      <c r="B81" s="94" t="n"/>
      <c r="C81" s="88" t="n"/>
      <c r="D81" s="88" t="n"/>
      <c r="E81" s="88" t="n"/>
      <c r="F81" s="88" t="n"/>
      <c r="G81" s="88" t="n"/>
      <c r="H81" s="94" t="n"/>
      <c r="I81" s="4" t="n"/>
      <c r="J81" s="95" t="n"/>
      <c r="K81" s="213" t="n"/>
      <c r="L81" s="213" t="n"/>
      <c r="M81" s="213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  <c r="Y81" s="213" t="n"/>
      <c r="Z81" s="213" t="n"/>
      <c r="AA81" s="213" t="n"/>
      <c r="AB81" s="213" t="n"/>
      <c r="AC81" s="213" t="n"/>
      <c r="AD81" s="213" t="n"/>
      <c r="AE81" s="213" t="n"/>
      <c r="AF81" s="213" t="n"/>
      <c r="AG81" s="213" t="n"/>
      <c r="AH81" s="213" t="n"/>
      <c r="AI81" s="213" t="n"/>
      <c r="AJ81" s="213" t="n"/>
      <c r="AK81" s="213" t="n"/>
    </row>
    <row r="82">
      <c r="B82" s="94" t="n"/>
      <c r="C82" s="88" t="n"/>
      <c r="D82" s="88" t="n"/>
      <c r="E82" s="88" t="n"/>
      <c r="F82" s="88" t="n"/>
      <c r="G82" s="88" t="n"/>
      <c r="H82" s="94" t="n"/>
      <c r="I82" s="4" t="n"/>
      <c r="J82" s="95" t="n"/>
      <c r="K82" s="213" t="n"/>
      <c r="L82" s="213" t="n"/>
      <c r="M82" s="213" t="n"/>
      <c r="N82" s="213" t="n"/>
      <c r="O82" s="213" t="n"/>
      <c r="P82" s="213" t="n"/>
      <c r="Q82" s="213" t="n"/>
      <c r="R82" s="213" t="n"/>
      <c r="S82" s="213" t="n"/>
      <c r="T82" s="213" t="n"/>
      <c r="U82" s="213" t="n"/>
      <c r="V82" s="213" t="n"/>
      <c r="W82" s="213" t="n"/>
      <c r="X82" s="213" t="n"/>
      <c r="Y82" s="213" t="n"/>
      <c r="Z82" s="213" t="n"/>
      <c r="AA82" s="213" t="n"/>
      <c r="AB82" s="213" t="n"/>
      <c r="AC82" s="213" t="n"/>
      <c r="AD82" s="213" t="n"/>
      <c r="AE82" s="213" t="n"/>
      <c r="AF82" s="213" t="n"/>
      <c r="AG82" s="213" t="n"/>
      <c r="AH82" s="213" t="n"/>
      <c r="AI82" s="213" t="n"/>
      <c r="AJ82" s="213" t="n"/>
      <c r="AK82" s="213" t="n"/>
    </row>
    <row r="83">
      <c r="B83" s="94" t="n"/>
      <c r="C83" s="88" t="n"/>
      <c r="D83" s="88" t="n"/>
      <c r="E83" s="88" t="n"/>
      <c r="F83" s="88" t="n"/>
      <c r="G83" s="88" t="n"/>
      <c r="H83" s="94" t="n"/>
      <c r="I83" s="4" t="n"/>
      <c r="J83" s="95" t="n"/>
      <c r="K83" s="213" t="n"/>
      <c r="L83" s="213" t="n"/>
      <c r="M83" s="213" t="n"/>
      <c r="N83" s="213" t="n"/>
      <c r="O83" s="213" t="n"/>
      <c r="P83" s="213" t="n"/>
      <c r="Q83" s="213" t="n"/>
      <c r="R83" s="213" t="n"/>
      <c r="S83" s="213" t="n"/>
      <c r="T83" s="213" t="n"/>
      <c r="U83" s="213" t="n"/>
      <c r="V83" s="213" t="n"/>
      <c r="W83" s="213" t="n"/>
      <c r="X83" s="213" t="n"/>
      <c r="Y83" s="213" t="n"/>
      <c r="Z83" s="213" t="n"/>
      <c r="AA83" s="213" t="n"/>
      <c r="AB83" s="213" t="n"/>
      <c r="AC83" s="213" t="n"/>
      <c r="AD83" s="213" t="n"/>
      <c r="AE83" s="213" t="n"/>
      <c r="AF83" s="213" t="n"/>
      <c r="AG83" s="213" t="n"/>
      <c r="AH83" s="213" t="n"/>
      <c r="AI83" s="213" t="n"/>
      <c r="AJ83" s="213" t="n"/>
      <c r="AK83" s="213" t="n"/>
    </row>
    <row r="84">
      <c r="B84" s="94" t="n"/>
      <c r="C84" s="88" t="n"/>
      <c r="D84" s="88" t="n"/>
      <c r="E84" s="88" t="n"/>
      <c r="F84" s="88" t="n"/>
      <c r="G84" s="88" t="n"/>
      <c r="H84" s="94" t="n"/>
      <c r="I84" s="4" t="n"/>
      <c r="J84" s="95" t="n"/>
      <c r="K84" s="213" t="n"/>
      <c r="L84" s="213" t="n"/>
      <c r="M84" s="213" t="n"/>
      <c r="N84" s="213" t="n"/>
      <c r="O84" s="213" t="n"/>
      <c r="P84" s="213" t="n"/>
      <c r="Q84" s="213" t="n"/>
      <c r="R84" s="213" t="n"/>
      <c r="S84" s="213" t="n"/>
      <c r="T84" s="213" t="n"/>
      <c r="U84" s="213" t="n"/>
      <c r="V84" s="213" t="n"/>
      <c r="W84" s="213" t="n"/>
      <c r="X84" s="213" t="n"/>
      <c r="Y84" s="213" t="n"/>
      <c r="Z84" s="213" t="n"/>
      <c r="AA84" s="213" t="n"/>
      <c r="AB84" s="213" t="n"/>
      <c r="AC84" s="213" t="n"/>
      <c r="AD84" s="213" t="n"/>
      <c r="AE84" s="213" t="n"/>
      <c r="AF84" s="213" t="n"/>
      <c r="AG84" s="213" t="n"/>
      <c r="AH84" s="213" t="n"/>
      <c r="AI84" s="213" t="n"/>
      <c r="AJ84" s="213" t="n"/>
      <c r="AK84" s="213" t="n"/>
    </row>
    <row r="85">
      <c r="B85" s="94" t="n"/>
      <c r="C85" s="88" t="n"/>
      <c r="D85" s="88" t="n"/>
      <c r="E85" s="88" t="n"/>
      <c r="F85" s="88" t="n"/>
      <c r="G85" s="88" t="n"/>
      <c r="H85" s="94" t="n"/>
      <c r="I85" s="4" t="n"/>
      <c r="J85" s="95" t="n"/>
      <c r="K85" s="213" t="n"/>
      <c r="L85" s="213" t="n"/>
      <c r="M85" s="213" t="n"/>
      <c r="N85" s="213" t="n"/>
      <c r="O85" s="213" t="n"/>
      <c r="P85" s="213" t="n"/>
      <c r="Q85" s="213" t="n"/>
      <c r="R85" s="213" t="n"/>
      <c r="S85" s="213" t="n"/>
      <c r="T85" s="213" t="n"/>
      <c r="U85" s="213" t="n"/>
      <c r="V85" s="213" t="n"/>
      <c r="W85" s="213" t="n"/>
      <c r="X85" s="213" t="n"/>
      <c r="Y85" s="213" t="n"/>
      <c r="Z85" s="213" t="n"/>
      <c r="AA85" s="213" t="n"/>
      <c r="AB85" s="213" t="n"/>
      <c r="AC85" s="213" t="n"/>
      <c r="AD85" s="213" t="n"/>
      <c r="AE85" s="213" t="n"/>
      <c r="AF85" s="213" t="n"/>
      <c r="AG85" s="213" t="n"/>
      <c r="AH85" s="213" t="n"/>
      <c r="AI85" s="213" t="n"/>
      <c r="AJ85" s="213" t="n"/>
      <c r="AK85" s="213" t="n"/>
    </row>
    <row r="86">
      <c r="B86" s="94" t="n"/>
      <c r="C86" s="88" t="n"/>
      <c r="D86" s="88" t="n"/>
      <c r="E86" s="88" t="n"/>
      <c r="F86" s="88" t="n"/>
      <c r="G86" s="88" t="n"/>
      <c r="H86" s="94" t="n"/>
      <c r="I86" s="4" t="n"/>
      <c r="J86" s="95" t="n"/>
      <c r="K86" s="213" t="n"/>
      <c r="L86" s="213" t="n"/>
      <c r="M86" s="213" t="n"/>
      <c r="N86" s="213" t="n"/>
      <c r="O86" s="213" t="n"/>
      <c r="P86" s="213" t="n"/>
      <c r="Q86" s="213" t="n"/>
      <c r="R86" s="213" t="n"/>
      <c r="S86" s="213" t="n"/>
      <c r="T86" s="213" t="n"/>
      <c r="U86" s="213" t="n"/>
      <c r="V86" s="213" t="n"/>
      <c r="W86" s="213" t="n"/>
      <c r="X86" s="213" t="n"/>
      <c r="Y86" s="213" t="n"/>
      <c r="Z86" s="213" t="n"/>
      <c r="AA86" s="213" t="n"/>
      <c r="AB86" s="213" t="n"/>
      <c r="AC86" s="213" t="n"/>
      <c r="AD86" s="213" t="n"/>
      <c r="AE86" s="213" t="n"/>
      <c r="AF86" s="213" t="n"/>
      <c r="AG86" s="213" t="n"/>
      <c r="AH86" s="213" t="n"/>
      <c r="AI86" s="213" t="n"/>
      <c r="AJ86" s="213" t="n"/>
      <c r="AK86" s="213" t="n"/>
    </row>
    <row r="87">
      <c r="B87" s="94" t="n"/>
      <c r="C87" s="88" t="n"/>
      <c r="D87" s="88" t="n"/>
      <c r="E87" s="88" t="n"/>
      <c r="F87" s="88" t="n"/>
      <c r="G87" s="88" t="n"/>
      <c r="H87" s="94" t="n"/>
      <c r="I87" s="4" t="n"/>
      <c r="J87" s="95" t="n"/>
      <c r="K87" s="213" t="n"/>
      <c r="L87" s="213" t="n"/>
      <c r="M87" s="213" t="n"/>
      <c r="N87" s="213" t="n"/>
      <c r="O87" s="213" t="n"/>
      <c r="P87" s="213" t="n"/>
      <c r="Q87" s="213" t="n"/>
      <c r="R87" s="213" t="n"/>
      <c r="S87" s="213" t="n"/>
      <c r="T87" s="213" t="n"/>
      <c r="U87" s="213" t="n"/>
      <c r="V87" s="213" t="n"/>
      <c r="W87" s="213" t="n"/>
      <c r="X87" s="213" t="n"/>
      <c r="Y87" s="213" t="n"/>
      <c r="Z87" s="213" t="n"/>
      <c r="AA87" s="213" t="n"/>
      <c r="AB87" s="213" t="n"/>
      <c r="AC87" s="213" t="n"/>
      <c r="AD87" s="213" t="n"/>
      <c r="AE87" s="213" t="n"/>
      <c r="AF87" s="213" t="n"/>
      <c r="AG87" s="213" t="n"/>
      <c r="AH87" s="213" t="n"/>
      <c r="AI87" s="213" t="n"/>
      <c r="AJ87" s="213" t="n"/>
      <c r="AK87" s="213" t="n"/>
    </row>
    <row r="88">
      <c r="B88" s="94" t="n"/>
      <c r="C88" s="88" t="n"/>
      <c r="D88" s="88" t="n"/>
      <c r="E88" s="88" t="n"/>
      <c r="F88" s="88" t="n"/>
      <c r="G88" s="88" t="n"/>
      <c r="H88" s="94" t="n"/>
      <c r="I88" s="4" t="n"/>
      <c r="J88" s="95" t="n"/>
      <c r="K88" s="213" t="n"/>
      <c r="L88" s="213" t="n"/>
      <c r="M88" s="213" t="n"/>
      <c r="N88" s="213" t="n"/>
      <c r="O88" s="213" t="n"/>
      <c r="P88" s="213" t="n"/>
      <c r="Q88" s="213" t="n"/>
      <c r="R88" s="213" t="n"/>
      <c r="S88" s="213" t="n"/>
      <c r="T88" s="213" t="n"/>
      <c r="U88" s="213" t="n"/>
      <c r="V88" s="213" t="n"/>
      <c r="W88" s="213" t="n"/>
      <c r="X88" s="213" t="n"/>
      <c r="Y88" s="213" t="n"/>
      <c r="Z88" s="213" t="n"/>
      <c r="AA88" s="213" t="n"/>
      <c r="AB88" s="213" t="n"/>
      <c r="AC88" s="213" t="n"/>
      <c r="AD88" s="213" t="n"/>
      <c r="AE88" s="213" t="n"/>
      <c r="AF88" s="213" t="n"/>
      <c r="AG88" s="213" t="n"/>
      <c r="AH88" s="213" t="n"/>
      <c r="AI88" s="213" t="n"/>
      <c r="AJ88" s="213" t="n"/>
      <c r="AK88" s="213" t="n"/>
    </row>
    <row r="89">
      <c r="B89" s="94" t="n"/>
      <c r="C89" s="88" t="n"/>
      <c r="D89" s="88" t="n"/>
      <c r="E89" s="88" t="n"/>
      <c r="F89" s="88" t="n"/>
      <c r="G89" s="88" t="n"/>
      <c r="H89" s="94" t="n"/>
      <c r="I89" s="4" t="n"/>
      <c r="J89" s="95" t="n"/>
      <c r="K89" s="213" t="n"/>
      <c r="L89" s="213" t="n"/>
      <c r="M89" s="213" t="n"/>
      <c r="N89" s="213" t="n"/>
      <c r="O89" s="213" t="n"/>
      <c r="P89" s="213" t="n"/>
      <c r="Q89" s="213" t="n"/>
      <c r="R89" s="213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  <c r="AD89" s="213" t="n"/>
      <c r="AE89" s="213" t="n"/>
      <c r="AF89" s="213" t="n"/>
      <c r="AG89" s="213" t="n"/>
      <c r="AH89" s="213" t="n"/>
      <c r="AI89" s="213" t="n"/>
      <c r="AJ89" s="213" t="n"/>
      <c r="AK89" s="213" t="n"/>
    </row>
    <row r="90">
      <c r="B90" s="94" t="n"/>
      <c r="C90" s="88" t="n"/>
      <c r="D90" s="88" t="n"/>
      <c r="E90" s="88" t="n"/>
      <c r="F90" s="88" t="n"/>
      <c r="G90" s="88" t="n"/>
      <c r="H90" s="94" t="n"/>
      <c r="I90" s="4" t="n"/>
      <c r="J90" s="95" t="n"/>
      <c r="K90" s="213" t="n"/>
      <c r="L90" s="213" t="n"/>
      <c r="M90" s="213" t="n"/>
      <c r="N90" s="213" t="n"/>
      <c r="O90" s="213" t="n"/>
      <c r="P90" s="213" t="n"/>
      <c r="Q90" s="213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  <c r="AD90" s="213" t="n"/>
      <c r="AE90" s="213" t="n"/>
      <c r="AF90" s="213" t="n"/>
      <c r="AG90" s="213" t="n"/>
      <c r="AH90" s="213" t="n"/>
      <c r="AI90" s="213" t="n"/>
      <c r="AJ90" s="213" t="n"/>
      <c r="AK90" s="213" t="n"/>
    </row>
    <row r="91">
      <c r="B91" s="94" t="n"/>
      <c r="C91" s="88" t="n"/>
      <c r="D91" s="88" t="n"/>
      <c r="E91" s="88" t="n"/>
      <c r="F91" s="88" t="n"/>
      <c r="G91" s="88" t="n"/>
      <c r="H91" s="94" t="n"/>
      <c r="I91" s="4" t="n"/>
      <c r="J91" s="95" t="n"/>
      <c r="K91" s="213" t="n"/>
      <c r="L91" s="213" t="n"/>
      <c r="M91" s="213" t="n"/>
      <c r="N91" s="213" t="n"/>
      <c r="O91" s="213" t="n"/>
      <c r="P91" s="213" t="n"/>
      <c r="Q91" s="213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  <c r="AD91" s="213" t="n"/>
      <c r="AE91" s="213" t="n"/>
      <c r="AF91" s="213" t="n"/>
      <c r="AG91" s="213" t="n"/>
      <c r="AH91" s="213" t="n"/>
      <c r="AI91" s="213" t="n"/>
      <c r="AJ91" s="213" t="n"/>
      <c r="AK91" s="213" t="n"/>
    </row>
    <row r="92">
      <c r="B92" s="94" t="n"/>
      <c r="C92" s="88" t="n"/>
      <c r="D92" s="88" t="n"/>
      <c r="E92" s="88" t="n"/>
      <c r="F92" s="88" t="n"/>
      <c r="G92" s="88" t="n"/>
      <c r="H92" s="94" t="n"/>
      <c r="I92" s="4" t="n"/>
      <c r="J92" s="95" t="n"/>
      <c r="K92" s="213" t="n"/>
      <c r="L92" s="213" t="n"/>
      <c r="M92" s="213" t="n"/>
      <c r="N92" s="213" t="n"/>
      <c r="O92" s="213" t="n"/>
      <c r="P92" s="213" t="n"/>
      <c r="Q92" s="213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  <c r="AD92" s="213" t="n"/>
      <c r="AE92" s="213" t="n"/>
      <c r="AF92" s="213" t="n"/>
      <c r="AG92" s="213" t="n"/>
      <c r="AH92" s="213" t="n"/>
      <c r="AI92" s="213" t="n"/>
      <c r="AJ92" s="213" t="n"/>
      <c r="AK92" s="213" t="n"/>
    </row>
    <row r="93">
      <c r="B93" s="94" t="n"/>
      <c r="C93" s="88" t="n"/>
      <c r="D93" s="88" t="n"/>
      <c r="E93" s="88" t="n"/>
      <c r="F93" s="88" t="n"/>
      <c r="G93" s="88" t="n"/>
      <c r="H93" s="94" t="n"/>
      <c r="I93" s="4" t="n"/>
      <c r="J93" s="95" t="n"/>
      <c r="K93" s="213" t="n"/>
      <c r="L93" s="213" t="n"/>
      <c r="M93" s="213" t="n"/>
      <c r="N93" s="213" t="n"/>
      <c r="O93" s="213" t="n"/>
      <c r="P93" s="213" t="n"/>
      <c r="Q93" s="213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  <c r="AD93" s="213" t="n"/>
      <c r="AE93" s="213" t="n"/>
      <c r="AF93" s="213" t="n"/>
      <c r="AG93" s="213" t="n"/>
      <c r="AH93" s="213" t="n"/>
      <c r="AI93" s="213" t="n"/>
      <c r="AJ93" s="213" t="n"/>
      <c r="AK93" s="213" t="n"/>
    </row>
    <row r="94">
      <c r="B94" s="94" t="n"/>
      <c r="C94" s="88" t="n"/>
      <c r="D94" s="88" t="n"/>
      <c r="E94" s="88" t="n"/>
      <c r="F94" s="88" t="n"/>
      <c r="G94" s="88" t="n"/>
      <c r="H94" s="94" t="n"/>
      <c r="I94" s="4" t="n"/>
      <c r="J94" s="95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  <c r="AD94" s="213" t="n"/>
      <c r="AE94" s="213" t="n"/>
      <c r="AF94" s="213" t="n"/>
      <c r="AG94" s="213" t="n"/>
      <c r="AH94" s="213" t="n"/>
      <c r="AI94" s="213" t="n"/>
      <c r="AJ94" s="213" t="n"/>
      <c r="AK94" s="213" t="n"/>
    </row>
    <row r="95">
      <c r="B95" s="94" t="n"/>
      <c r="C95" s="88" t="n"/>
      <c r="D95" s="88" t="n"/>
      <c r="E95" s="88" t="n"/>
      <c r="F95" s="88" t="n"/>
      <c r="G95" s="88" t="n"/>
      <c r="H95" s="94" t="n"/>
      <c r="I95" s="4" t="n"/>
      <c r="J95" s="95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n"/>
      <c r="W95" s="213" t="n"/>
      <c r="X95" s="213" t="n"/>
      <c r="Y95" s="213" t="n"/>
      <c r="Z95" s="213" t="n"/>
      <c r="AA95" s="213" t="n"/>
      <c r="AB95" s="213" t="n"/>
      <c r="AC95" s="213" t="n"/>
      <c r="AD95" s="213" t="n"/>
      <c r="AE95" s="213" t="n"/>
      <c r="AF95" s="213" t="n"/>
      <c r="AG95" s="213" t="n"/>
      <c r="AH95" s="213" t="n"/>
      <c r="AI95" s="213" t="n"/>
      <c r="AJ95" s="213" t="n"/>
      <c r="AK95" s="213" t="n"/>
    </row>
    <row r="96">
      <c r="B96" s="94" t="n"/>
      <c r="C96" s="88" t="n"/>
      <c r="D96" s="88" t="n"/>
      <c r="E96" s="88" t="n"/>
      <c r="F96" s="88" t="n"/>
      <c r="G96" s="88" t="n"/>
      <c r="H96" s="94" t="n"/>
      <c r="I96" s="4" t="n"/>
      <c r="J96" s="95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n"/>
      <c r="T96" s="213" t="n"/>
      <c r="U96" s="213" t="n"/>
      <c r="V96" s="213" t="n"/>
      <c r="W96" s="213" t="n"/>
      <c r="X96" s="213" t="n"/>
      <c r="Y96" s="213" t="n"/>
      <c r="Z96" s="213" t="n"/>
      <c r="AA96" s="213" t="n"/>
      <c r="AB96" s="213" t="n"/>
      <c r="AC96" s="213" t="n"/>
      <c r="AD96" s="213" t="n"/>
      <c r="AE96" s="213" t="n"/>
      <c r="AF96" s="213" t="n"/>
      <c r="AG96" s="213" t="n"/>
      <c r="AH96" s="213" t="n"/>
      <c r="AI96" s="213" t="n"/>
      <c r="AJ96" s="213" t="n"/>
      <c r="AK96" s="213" t="n"/>
    </row>
    <row r="97">
      <c r="B97" s="94" t="n"/>
      <c r="C97" s="88" t="n"/>
      <c r="D97" s="88" t="n"/>
      <c r="E97" s="88" t="n"/>
      <c r="F97" s="88" t="n"/>
      <c r="G97" s="88" t="n"/>
      <c r="H97" s="94" t="n"/>
      <c r="I97" s="4" t="n"/>
      <c r="J97" s="95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n"/>
      <c r="T97" s="213" t="n"/>
      <c r="U97" s="213" t="n"/>
      <c r="V97" s="213" t="n"/>
      <c r="W97" s="213" t="n"/>
      <c r="X97" s="213" t="n"/>
      <c r="Y97" s="213" t="n"/>
      <c r="Z97" s="213" t="n"/>
      <c r="AA97" s="213" t="n"/>
      <c r="AB97" s="213" t="n"/>
      <c r="AC97" s="213" t="n"/>
      <c r="AD97" s="213" t="n"/>
      <c r="AE97" s="213" t="n"/>
      <c r="AF97" s="213" t="n"/>
      <c r="AG97" s="213" t="n"/>
      <c r="AH97" s="213" t="n"/>
      <c r="AI97" s="213" t="n"/>
      <c r="AJ97" s="213" t="n"/>
      <c r="AK97" s="213" t="n"/>
    </row>
    <row r="98">
      <c r="B98" s="94" t="n"/>
      <c r="C98" s="88" t="n"/>
      <c r="D98" s="88" t="n"/>
      <c r="E98" s="88" t="n"/>
      <c r="F98" s="88" t="n"/>
      <c r="G98" s="88" t="n"/>
      <c r="H98" s="94" t="n"/>
      <c r="I98" s="4" t="n"/>
      <c r="J98" s="95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n"/>
      <c r="T98" s="213" t="n"/>
      <c r="U98" s="213" t="n"/>
      <c r="V98" s="213" t="n"/>
      <c r="W98" s="213" t="n"/>
      <c r="X98" s="213" t="n"/>
      <c r="Y98" s="213" t="n"/>
      <c r="Z98" s="213" t="n"/>
      <c r="AA98" s="213" t="n"/>
      <c r="AB98" s="213" t="n"/>
      <c r="AC98" s="213" t="n"/>
      <c r="AD98" s="213" t="n"/>
      <c r="AE98" s="213" t="n"/>
      <c r="AF98" s="213" t="n"/>
      <c r="AG98" s="213" t="n"/>
      <c r="AH98" s="213" t="n"/>
      <c r="AI98" s="213" t="n"/>
      <c r="AJ98" s="213" t="n"/>
      <c r="AK98" s="213" t="n"/>
    </row>
    <row r="99">
      <c r="B99" s="94" t="n"/>
      <c r="C99" s="88" t="n"/>
      <c r="D99" s="88" t="n"/>
      <c r="E99" s="88" t="n"/>
      <c r="F99" s="88" t="n"/>
      <c r="G99" s="88" t="n"/>
      <c r="H99" s="94" t="n"/>
      <c r="I99" s="4" t="n"/>
      <c r="J99" s="95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n"/>
      <c r="T99" s="213" t="n"/>
      <c r="U99" s="213" t="n"/>
      <c r="V99" s="213" t="n"/>
      <c r="W99" s="213" t="n"/>
      <c r="X99" s="213" t="n"/>
      <c r="Y99" s="213" t="n"/>
      <c r="Z99" s="213" t="n"/>
      <c r="AA99" s="213" t="n"/>
      <c r="AB99" s="213" t="n"/>
      <c r="AC99" s="213" t="n"/>
      <c r="AD99" s="213" t="n"/>
      <c r="AE99" s="213" t="n"/>
      <c r="AF99" s="213" t="n"/>
      <c r="AG99" s="213" t="n"/>
      <c r="AH99" s="213" t="n"/>
      <c r="AI99" s="213" t="n"/>
      <c r="AJ99" s="213" t="n"/>
      <c r="AK99" s="213" t="n"/>
    </row>
    <row r="100">
      <c r="B100" s="94" t="n"/>
      <c r="C100" s="88" t="n"/>
      <c r="D100" s="88" t="n"/>
      <c r="E100" s="88" t="n"/>
      <c r="F100" s="88" t="n"/>
      <c r="G100" s="88" t="n"/>
      <c r="H100" s="94" t="n"/>
      <c r="I100" s="4" t="n"/>
      <c r="J100" s="95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n"/>
      <c r="T100" s="213" t="n"/>
      <c r="U100" s="213" t="n"/>
      <c r="V100" s="213" t="n"/>
      <c r="W100" s="213" t="n"/>
      <c r="X100" s="213" t="n"/>
      <c r="Y100" s="213" t="n"/>
      <c r="Z100" s="213" t="n"/>
      <c r="AA100" s="213" t="n"/>
      <c r="AB100" s="213" t="n"/>
      <c r="AC100" s="213" t="n"/>
      <c r="AD100" s="213" t="n"/>
      <c r="AE100" s="213" t="n"/>
      <c r="AF100" s="213" t="n"/>
      <c r="AG100" s="213" t="n"/>
      <c r="AH100" s="213" t="n"/>
      <c r="AI100" s="213" t="n"/>
      <c r="AJ100" s="213" t="n"/>
      <c r="AK100" s="213" t="n"/>
    </row>
    <row r="101">
      <c r="B101" s="94" t="n"/>
      <c r="C101" s="88" t="n"/>
      <c r="D101" s="88" t="n"/>
      <c r="E101" s="88" t="n"/>
      <c r="F101" s="88" t="n"/>
      <c r="G101" s="88" t="n"/>
      <c r="H101" s="94" t="n"/>
      <c r="I101" s="4" t="n"/>
      <c r="J101" s="95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  <c r="AD101" s="213" t="n"/>
      <c r="AE101" s="213" t="n"/>
      <c r="AF101" s="213" t="n"/>
      <c r="AG101" s="213" t="n"/>
      <c r="AH101" s="213" t="n"/>
      <c r="AI101" s="213" t="n"/>
      <c r="AJ101" s="213" t="n"/>
      <c r="AK101" s="213" t="n"/>
    </row>
    <row r="102">
      <c r="B102" s="94" t="n"/>
      <c r="C102" s="88" t="n"/>
      <c r="D102" s="88" t="n"/>
      <c r="E102" s="88" t="n"/>
      <c r="F102" s="88" t="n"/>
      <c r="G102" s="88" t="n"/>
      <c r="H102" s="94" t="n"/>
      <c r="I102" s="4" t="n"/>
      <c r="J102" s="95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  <c r="AD102" s="213" t="n"/>
      <c r="AE102" s="213" t="n"/>
      <c r="AF102" s="213" t="n"/>
      <c r="AG102" s="213" t="n"/>
      <c r="AH102" s="213" t="n"/>
      <c r="AI102" s="213" t="n"/>
      <c r="AJ102" s="213" t="n"/>
      <c r="AK102" s="213" t="n"/>
    </row>
    <row r="103">
      <c r="B103" s="94" t="n"/>
      <c r="C103" s="88" t="n"/>
      <c r="D103" s="88" t="n"/>
      <c r="E103" s="88" t="n"/>
      <c r="F103" s="88" t="n"/>
      <c r="G103" s="88" t="n"/>
      <c r="H103" s="94" t="n"/>
      <c r="I103" s="4" t="n"/>
      <c r="J103" s="95" t="n"/>
      <c r="K103" s="213" t="n"/>
      <c r="L103" s="213" t="n"/>
      <c r="M103" s="213" t="n"/>
      <c r="N103" s="213" t="n"/>
      <c r="O103" s="213" t="n"/>
      <c r="P103" s="213" t="n"/>
      <c r="Q103" s="213" t="n"/>
      <c r="R103" s="213" t="n"/>
      <c r="S103" s="213" t="n"/>
      <c r="T103" s="213" t="n"/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  <c r="AD103" s="213" t="n"/>
      <c r="AE103" s="213" t="n"/>
      <c r="AF103" s="213" t="n"/>
      <c r="AG103" s="213" t="n"/>
      <c r="AH103" s="213" t="n"/>
      <c r="AI103" s="213" t="n"/>
      <c r="AJ103" s="213" t="n"/>
      <c r="AK103" s="213" t="n"/>
    </row>
    <row r="104">
      <c r="B104" s="94" t="n"/>
      <c r="C104" s="88" t="n"/>
      <c r="D104" s="88" t="n"/>
      <c r="E104" s="88" t="n"/>
      <c r="F104" s="88" t="n"/>
      <c r="G104" s="88" t="n"/>
      <c r="H104" s="94" t="n"/>
      <c r="I104" s="4" t="n"/>
      <c r="J104" s="95" t="n"/>
      <c r="K104" s="213" t="n"/>
      <c r="L104" s="213" t="n"/>
      <c r="M104" s="213" t="n"/>
      <c r="N104" s="213" t="n"/>
      <c r="O104" s="213" t="n"/>
      <c r="P104" s="213" t="n"/>
      <c r="Q104" s="213" t="n"/>
      <c r="R104" s="213" t="n"/>
      <c r="S104" s="213" t="n"/>
      <c r="T104" s="213" t="n"/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  <c r="AD104" s="213" t="n"/>
      <c r="AE104" s="213" t="n"/>
      <c r="AF104" s="213" t="n"/>
      <c r="AG104" s="213" t="n"/>
      <c r="AH104" s="213" t="n"/>
      <c r="AI104" s="213" t="n"/>
      <c r="AJ104" s="213" t="n"/>
      <c r="AK104" s="213" t="n"/>
    </row>
    <row r="105">
      <c r="B105" s="94" t="n"/>
      <c r="C105" s="88" t="n"/>
      <c r="D105" s="88" t="n"/>
      <c r="E105" s="88" t="n"/>
      <c r="F105" s="88" t="n"/>
      <c r="G105" s="88" t="n"/>
      <c r="H105" s="94" t="n"/>
      <c r="I105" s="4" t="n"/>
      <c r="J105" s="95" t="n"/>
      <c r="K105" s="213" t="n"/>
      <c r="L105" s="213" t="n"/>
      <c r="M105" s="213" t="n"/>
      <c r="N105" s="213" t="n"/>
      <c r="O105" s="213" t="n"/>
      <c r="P105" s="213" t="n"/>
      <c r="Q105" s="213" t="n"/>
      <c r="R105" s="213" t="n"/>
      <c r="S105" s="213" t="n"/>
      <c r="T105" s="213" t="n"/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  <c r="AD105" s="213" t="n"/>
      <c r="AE105" s="213" t="n"/>
      <c r="AF105" s="213" t="n"/>
      <c r="AG105" s="213" t="n"/>
      <c r="AH105" s="213" t="n"/>
      <c r="AI105" s="213" t="n"/>
      <c r="AJ105" s="213" t="n"/>
      <c r="AK105" s="213" t="n"/>
    </row>
    <row r="106">
      <c r="B106" s="94" t="n"/>
      <c r="C106" s="88" t="n"/>
      <c r="D106" s="88" t="n"/>
      <c r="E106" s="88" t="n"/>
      <c r="F106" s="88" t="n"/>
      <c r="G106" s="88" t="n"/>
      <c r="H106" s="94" t="n"/>
      <c r="I106" s="4" t="n"/>
      <c r="J106" s="95" t="n"/>
      <c r="K106" s="213" t="n"/>
      <c r="L106" s="213" t="n"/>
      <c r="M106" s="213" t="n"/>
      <c r="N106" s="213" t="n"/>
      <c r="O106" s="213" t="n"/>
      <c r="P106" s="213" t="n"/>
      <c r="Q106" s="213" t="n"/>
      <c r="R106" s="213" t="n"/>
      <c r="S106" s="213" t="n"/>
      <c r="T106" s="213" t="n"/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  <c r="AD106" s="213" t="n"/>
      <c r="AE106" s="213" t="n"/>
      <c r="AF106" s="213" t="n"/>
      <c r="AG106" s="213" t="n"/>
      <c r="AH106" s="213" t="n"/>
      <c r="AI106" s="213" t="n"/>
      <c r="AJ106" s="213" t="n"/>
      <c r="AK106" s="213" t="n"/>
    </row>
    <row r="107">
      <c r="B107" s="94" t="n"/>
      <c r="C107" s="88" t="n"/>
      <c r="D107" s="88" t="n"/>
      <c r="E107" s="88" t="n"/>
      <c r="F107" s="88" t="n"/>
      <c r="G107" s="88" t="n"/>
      <c r="H107" s="94" t="n"/>
      <c r="I107" s="4" t="n"/>
      <c r="J107" s="95" t="n"/>
      <c r="K107" s="213" t="n"/>
      <c r="L107" s="213" t="n"/>
      <c r="M107" s="213" t="n"/>
      <c r="N107" s="213" t="n"/>
      <c r="O107" s="213" t="n"/>
      <c r="P107" s="213" t="n"/>
      <c r="Q107" s="213" t="n"/>
      <c r="R107" s="213" t="n"/>
      <c r="S107" s="213" t="n"/>
      <c r="T107" s="213" t="n"/>
      <c r="U107" s="213" t="n"/>
      <c r="V107" s="213" t="n"/>
      <c r="W107" s="213" t="n"/>
      <c r="X107" s="213" t="n"/>
      <c r="Y107" s="213" t="n"/>
      <c r="Z107" s="213" t="n"/>
      <c r="AA107" s="213" t="n"/>
      <c r="AB107" s="213" t="n"/>
      <c r="AC107" s="213" t="n"/>
      <c r="AD107" s="213" t="n"/>
      <c r="AE107" s="213" t="n"/>
      <c r="AF107" s="213" t="n"/>
      <c r="AG107" s="213" t="n"/>
      <c r="AH107" s="213" t="n"/>
      <c r="AI107" s="213" t="n"/>
      <c r="AJ107" s="213" t="n"/>
      <c r="AK107" s="213" t="n"/>
    </row>
    <row r="108">
      <c r="B108" s="94" t="n"/>
      <c r="C108" s="88" t="n"/>
      <c r="D108" s="88" t="n"/>
      <c r="E108" s="88" t="n"/>
      <c r="F108" s="88" t="n"/>
      <c r="G108" s="88" t="n"/>
      <c r="H108" s="94" t="n"/>
      <c r="I108" s="4" t="n"/>
      <c r="J108" s="95" t="n"/>
      <c r="K108" s="213" t="n"/>
      <c r="L108" s="213" t="n"/>
      <c r="M108" s="213" t="n"/>
      <c r="N108" s="213" t="n"/>
      <c r="O108" s="213" t="n"/>
      <c r="P108" s="213" t="n"/>
      <c r="Q108" s="213" t="n"/>
      <c r="R108" s="213" t="n"/>
      <c r="S108" s="213" t="n"/>
      <c r="T108" s="213" t="n"/>
      <c r="U108" s="213" t="n"/>
      <c r="V108" s="213" t="n"/>
      <c r="W108" s="213" t="n"/>
      <c r="X108" s="213" t="n"/>
      <c r="Y108" s="213" t="n"/>
      <c r="Z108" s="213" t="n"/>
      <c r="AA108" s="213" t="n"/>
      <c r="AB108" s="213" t="n"/>
      <c r="AC108" s="213" t="n"/>
      <c r="AD108" s="213" t="n"/>
      <c r="AE108" s="213" t="n"/>
      <c r="AF108" s="213" t="n"/>
      <c r="AG108" s="213" t="n"/>
      <c r="AH108" s="213" t="n"/>
      <c r="AI108" s="213" t="n"/>
      <c r="AJ108" s="213" t="n"/>
      <c r="AK108" s="213" t="n"/>
    </row>
    <row r="109">
      <c r="B109" s="94" t="n"/>
      <c r="C109" s="88" t="n"/>
      <c r="D109" s="88" t="n"/>
      <c r="E109" s="88" t="n"/>
      <c r="F109" s="88" t="n"/>
      <c r="G109" s="88" t="n"/>
      <c r="H109" s="94" t="n"/>
      <c r="I109" s="4" t="n"/>
      <c r="J109" s="95" t="n"/>
      <c r="K109" s="213" t="n"/>
      <c r="L109" s="213" t="n"/>
      <c r="M109" s="213" t="n"/>
      <c r="N109" s="213" t="n"/>
      <c r="O109" s="213" t="n"/>
      <c r="P109" s="213" t="n"/>
      <c r="Q109" s="213" t="n"/>
      <c r="R109" s="213" t="n"/>
      <c r="S109" s="213" t="n"/>
      <c r="T109" s="213" t="n"/>
      <c r="U109" s="213" t="n"/>
      <c r="V109" s="213" t="n"/>
      <c r="W109" s="213" t="n"/>
      <c r="X109" s="213" t="n"/>
      <c r="Y109" s="213" t="n"/>
      <c r="Z109" s="213" t="n"/>
      <c r="AA109" s="213" t="n"/>
      <c r="AB109" s="213" t="n"/>
      <c r="AC109" s="213" t="n"/>
      <c r="AD109" s="213" t="n"/>
      <c r="AE109" s="213" t="n"/>
      <c r="AF109" s="213" t="n"/>
      <c r="AG109" s="213" t="n"/>
      <c r="AH109" s="213" t="n"/>
      <c r="AI109" s="213" t="n"/>
      <c r="AJ109" s="213" t="n"/>
      <c r="AK109" s="213" t="n"/>
    </row>
    <row r="110">
      <c r="B110" s="94" t="n"/>
      <c r="C110" s="88" t="n"/>
      <c r="D110" s="88" t="n"/>
      <c r="E110" s="88" t="n"/>
      <c r="F110" s="88" t="n"/>
      <c r="G110" s="88" t="n"/>
      <c r="H110" s="94" t="n"/>
      <c r="I110" s="4" t="n"/>
      <c r="J110" s="95" t="n"/>
      <c r="K110" s="213" t="n"/>
      <c r="L110" s="213" t="n"/>
      <c r="M110" s="213" t="n"/>
      <c r="N110" s="213" t="n"/>
      <c r="O110" s="213" t="n"/>
      <c r="P110" s="213" t="n"/>
      <c r="Q110" s="213" t="n"/>
      <c r="R110" s="213" t="n"/>
      <c r="S110" s="213" t="n"/>
      <c r="T110" s="213" t="n"/>
      <c r="U110" s="213" t="n"/>
      <c r="V110" s="213" t="n"/>
      <c r="W110" s="213" t="n"/>
      <c r="X110" s="213" t="n"/>
      <c r="Y110" s="213" t="n"/>
      <c r="Z110" s="213" t="n"/>
      <c r="AA110" s="213" t="n"/>
      <c r="AB110" s="213" t="n"/>
      <c r="AC110" s="213" t="n"/>
      <c r="AD110" s="213" t="n"/>
      <c r="AE110" s="213" t="n"/>
      <c r="AF110" s="213" t="n"/>
      <c r="AG110" s="213" t="n"/>
      <c r="AH110" s="213" t="n"/>
      <c r="AI110" s="213" t="n"/>
      <c r="AJ110" s="213" t="n"/>
      <c r="AK110" s="213" t="n"/>
    </row>
    <row r="111">
      <c r="B111" s="94" t="n"/>
      <c r="C111" s="88" t="n"/>
      <c r="D111" s="88" t="n"/>
      <c r="E111" s="88" t="n"/>
      <c r="F111" s="88" t="n"/>
      <c r="G111" s="88" t="n"/>
      <c r="H111" s="94" t="n"/>
      <c r="I111" s="4" t="n"/>
      <c r="J111" s="95" t="n"/>
      <c r="K111" s="213" t="n"/>
      <c r="L111" s="213" t="n"/>
      <c r="M111" s="213" t="n"/>
      <c r="N111" s="213" t="n"/>
      <c r="O111" s="213" t="n"/>
      <c r="P111" s="213" t="n"/>
      <c r="Q111" s="213" t="n"/>
      <c r="R111" s="213" t="n"/>
      <c r="S111" s="213" t="n"/>
      <c r="T111" s="213" t="n"/>
      <c r="U111" s="213" t="n"/>
      <c r="V111" s="213" t="n"/>
      <c r="W111" s="213" t="n"/>
      <c r="X111" s="213" t="n"/>
      <c r="Y111" s="213" t="n"/>
      <c r="Z111" s="213" t="n"/>
      <c r="AA111" s="213" t="n"/>
      <c r="AB111" s="213" t="n"/>
      <c r="AC111" s="213" t="n"/>
      <c r="AD111" s="213" t="n"/>
      <c r="AE111" s="213" t="n"/>
      <c r="AF111" s="213" t="n"/>
      <c r="AG111" s="213" t="n"/>
      <c r="AH111" s="213" t="n"/>
      <c r="AI111" s="213" t="n"/>
      <c r="AJ111" s="213" t="n"/>
      <c r="AK111" s="213" t="n"/>
    </row>
    <row r="112">
      <c r="B112" s="94" t="n"/>
      <c r="C112" s="88" t="n"/>
      <c r="D112" s="88" t="n"/>
      <c r="E112" s="88" t="n"/>
      <c r="F112" s="88" t="n"/>
      <c r="G112" s="88" t="n"/>
      <c r="H112" s="94" t="n"/>
      <c r="I112" s="4" t="n"/>
      <c r="J112" s="95" t="n"/>
      <c r="K112" s="213" t="n"/>
      <c r="L112" s="213" t="n"/>
      <c r="M112" s="213" t="n"/>
      <c r="N112" s="213" t="n"/>
      <c r="O112" s="213" t="n"/>
      <c r="P112" s="213" t="n"/>
      <c r="Q112" s="213" t="n"/>
      <c r="R112" s="213" t="n"/>
      <c r="S112" s="213" t="n"/>
      <c r="T112" s="213" t="n"/>
      <c r="U112" s="213" t="n"/>
      <c r="V112" s="213" t="n"/>
      <c r="W112" s="213" t="n"/>
      <c r="X112" s="213" t="n"/>
      <c r="Y112" s="213" t="n"/>
      <c r="Z112" s="213" t="n"/>
      <c r="AA112" s="213" t="n"/>
      <c r="AB112" s="213" t="n"/>
      <c r="AC112" s="213" t="n"/>
      <c r="AD112" s="213" t="n"/>
      <c r="AE112" s="213" t="n"/>
      <c r="AF112" s="213" t="n"/>
      <c r="AG112" s="213" t="n"/>
      <c r="AH112" s="213" t="n"/>
      <c r="AI112" s="213" t="n"/>
      <c r="AJ112" s="213" t="n"/>
      <c r="AK112" s="213" t="n"/>
    </row>
    <row r="113">
      <c r="B113" s="94" t="n"/>
      <c r="C113" s="88" t="n"/>
      <c r="D113" s="88" t="n"/>
      <c r="E113" s="88" t="n"/>
      <c r="F113" s="88" t="n"/>
      <c r="G113" s="88" t="n"/>
      <c r="H113" s="94" t="n"/>
      <c r="I113" s="4" t="n"/>
      <c r="J113" s="95" t="n"/>
      <c r="K113" s="213" t="n"/>
      <c r="L113" s="213" t="n"/>
      <c r="M113" s="213" t="n"/>
      <c r="N113" s="213" t="n"/>
      <c r="O113" s="213" t="n"/>
      <c r="P113" s="213" t="n"/>
      <c r="Q113" s="213" t="n"/>
      <c r="R113" s="213" t="n"/>
      <c r="S113" s="213" t="n"/>
      <c r="T113" s="213" t="n"/>
      <c r="U113" s="213" t="n"/>
      <c r="V113" s="213" t="n"/>
      <c r="W113" s="213" t="n"/>
      <c r="X113" s="213" t="n"/>
      <c r="Y113" s="213" t="n"/>
      <c r="Z113" s="213" t="n"/>
      <c r="AA113" s="213" t="n"/>
      <c r="AB113" s="213" t="n"/>
      <c r="AC113" s="213" t="n"/>
      <c r="AD113" s="213" t="n"/>
      <c r="AE113" s="213" t="n"/>
      <c r="AF113" s="213" t="n"/>
      <c r="AG113" s="213" t="n"/>
      <c r="AH113" s="213" t="n"/>
      <c r="AI113" s="213" t="n"/>
      <c r="AJ113" s="213" t="n"/>
      <c r="AK113" s="213" t="n"/>
    </row>
    <row r="114">
      <c r="B114" s="94" t="n"/>
      <c r="C114" s="88" t="n"/>
      <c r="D114" s="88" t="n"/>
      <c r="E114" s="88" t="n"/>
      <c r="F114" s="88" t="n"/>
      <c r="G114" s="88" t="n"/>
      <c r="H114" s="94" t="n"/>
      <c r="I114" s="4" t="n"/>
      <c r="J114" s="95" t="n"/>
      <c r="K114" s="213" t="n"/>
      <c r="L114" s="213" t="n"/>
      <c r="M114" s="213" t="n"/>
      <c r="N114" s="213" t="n"/>
      <c r="O114" s="213" t="n"/>
      <c r="P114" s="213" t="n"/>
      <c r="Q114" s="213" t="n"/>
      <c r="R114" s="213" t="n"/>
      <c r="S114" s="213" t="n"/>
      <c r="T114" s="213" t="n"/>
      <c r="U114" s="213" t="n"/>
      <c r="V114" s="213" t="n"/>
      <c r="W114" s="213" t="n"/>
      <c r="X114" s="213" t="n"/>
      <c r="Y114" s="213" t="n"/>
      <c r="Z114" s="213" t="n"/>
      <c r="AA114" s="213" t="n"/>
      <c r="AB114" s="213" t="n"/>
      <c r="AC114" s="213" t="n"/>
      <c r="AD114" s="213" t="n"/>
      <c r="AE114" s="213" t="n"/>
      <c r="AF114" s="213" t="n"/>
      <c r="AG114" s="213" t="n"/>
      <c r="AH114" s="213" t="n"/>
      <c r="AI114" s="213" t="n"/>
      <c r="AJ114" s="213" t="n"/>
      <c r="AK114" s="213" t="n"/>
    </row>
    <row r="115">
      <c r="B115" s="94" t="n"/>
      <c r="C115" s="88" t="n"/>
      <c r="D115" s="88" t="n"/>
      <c r="E115" s="88" t="n"/>
      <c r="F115" s="88" t="n"/>
      <c r="G115" s="88" t="n"/>
      <c r="H115" s="94" t="n"/>
      <c r="I115" s="4" t="n"/>
      <c r="J115" s="95" t="n"/>
      <c r="K115" s="213" t="n"/>
      <c r="L115" s="213" t="n"/>
      <c r="M115" s="213" t="n"/>
      <c r="N115" s="213" t="n"/>
      <c r="O115" s="213" t="n"/>
      <c r="P115" s="213" t="n"/>
      <c r="Q115" s="213" t="n"/>
      <c r="R115" s="213" t="n"/>
      <c r="S115" s="213" t="n"/>
      <c r="T115" s="213" t="n"/>
      <c r="U115" s="213" t="n"/>
      <c r="V115" s="213" t="n"/>
      <c r="W115" s="213" t="n"/>
      <c r="X115" s="213" t="n"/>
      <c r="Y115" s="213" t="n"/>
      <c r="Z115" s="213" t="n"/>
      <c r="AA115" s="213" t="n"/>
      <c r="AB115" s="213" t="n"/>
      <c r="AC115" s="213" t="n"/>
      <c r="AD115" s="213" t="n"/>
      <c r="AE115" s="213" t="n"/>
      <c r="AF115" s="213" t="n"/>
      <c r="AG115" s="213" t="n"/>
      <c r="AH115" s="213" t="n"/>
      <c r="AI115" s="213" t="n"/>
      <c r="AJ115" s="213" t="n"/>
      <c r="AK115" s="213" t="n"/>
    </row>
    <row r="116">
      <c r="B116" s="94" t="n"/>
      <c r="C116" s="88" t="n"/>
      <c r="D116" s="88" t="n"/>
      <c r="E116" s="88" t="n"/>
      <c r="F116" s="88" t="n"/>
      <c r="G116" s="88" t="n"/>
      <c r="H116" s="94" t="n"/>
      <c r="I116" s="4" t="n"/>
      <c r="J116" s="95" t="n"/>
      <c r="K116" s="213" t="n"/>
      <c r="L116" s="213" t="n"/>
      <c r="M116" s="213" t="n"/>
      <c r="N116" s="213" t="n"/>
      <c r="O116" s="213" t="n"/>
      <c r="P116" s="213" t="n"/>
      <c r="Q116" s="213" t="n"/>
      <c r="R116" s="213" t="n"/>
      <c r="S116" s="213" t="n"/>
      <c r="T116" s="213" t="n"/>
      <c r="U116" s="213" t="n"/>
      <c r="V116" s="213" t="n"/>
      <c r="W116" s="213" t="n"/>
      <c r="X116" s="213" t="n"/>
      <c r="Y116" s="213" t="n"/>
      <c r="Z116" s="213" t="n"/>
      <c r="AA116" s="213" t="n"/>
      <c r="AB116" s="213" t="n"/>
      <c r="AC116" s="213" t="n"/>
      <c r="AD116" s="213" t="n"/>
      <c r="AE116" s="213" t="n"/>
      <c r="AF116" s="213" t="n"/>
      <c r="AG116" s="213" t="n"/>
      <c r="AH116" s="213" t="n"/>
      <c r="AI116" s="213" t="n"/>
      <c r="AJ116" s="213" t="n"/>
      <c r="AK116" s="213" t="n"/>
    </row>
    <row r="117">
      <c r="B117" s="94" t="n"/>
      <c r="C117" s="88" t="n"/>
      <c r="D117" s="88" t="n"/>
      <c r="E117" s="88" t="n"/>
      <c r="F117" s="88" t="n"/>
      <c r="G117" s="88" t="n"/>
      <c r="H117" s="94" t="n"/>
      <c r="I117" s="4" t="n"/>
      <c r="J117" s="95" t="n"/>
      <c r="K117" s="213" t="n"/>
      <c r="L117" s="213" t="n"/>
      <c r="M117" s="213" t="n"/>
      <c r="N117" s="213" t="n"/>
      <c r="O117" s="213" t="n"/>
      <c r="P117" s="213" t="n"/>
      <c r="Q117" s="213" t="n"/>
      <c r="R117" s="213" t="n"/>
      <c r="S117" s="213" t="n"/>
      <c r="T117" s="213" t="n"/>
      <c r="U117" s="213" t="n"/>
      <c r="V117" s="213" t="n"/>
      <c r="W117" s="213" t="n"/>
      <c r="X117" s="213" t="n"/>
      <c r="Y117" s="213" t="n"/>
      <c r="Z117" s="213" t="n"/>
      <c r="AA117" s="213" t="n"/>
      <c r="AB117" s="213" t="n"/>
      <c r="AC117" s="213" t="n"/>
      <c r="AD117" s="213" t="n"/>
      <c r="AE117" s="213" t="n"/>
      <c r="AF117" s="213" t="n"/>
      <c r="AG117" s="213" t="n"/>
      <c r="AH117" s="213" t="n"/>
      <c r="AI117" s="213" t="n"/>
      <c r="AJ117" s="213" t="n"/>
      <c r="AK117" s="213" t="n"/>
    </row>
    <row r="118">
      <c r="B118" s="94" t="n"/>
      <c r="C118" s="88" t="n"/>
      <c r="D118" s="88" t="n"/>
      <c r="E118" s="88" t="n"/>
      <c r="F118" s="88" t="n"/>
      <c r="G118" s="88" t="n"/>
      <c r="H118" s="94" t="n"/>
      <c r="I118" s="4" t="n"/>
      <c r="J118" s="95" t="n"/>
      <c r="K118" s="213" t="n"/>
      <c r="L118" s="213" t="n"/>
      <c r="M118" s="213" t="n"/>
      <c r="N118" s="213" t="n"/>
      <c r="O118" s="213" t="n"/>
      <c r="P118" s="213" t="n"/>
      <c r="Q118" s="213" t="n"/>
      <c r="R118" s="213" t="n"/>
      <c r="S118" s="213" t="n"/>
      <c r="T118" s="213" t="n"/>
      <c r="U118" s="213" t="n"/>
      <c r="V118" s="213" t="n"/>
      <c r="W118" s="213" t="n"/>
      <c r="X118" s="213" t="n"/>
      <c r="Y118" s="213" t="n"/>
      <c r="Z118" s="213" t="n"/>
      <c r="AA118" s="213" t="n"/>
      <c r="AB118" s="213" t="n"/>
      <c r="AC118" s="213" t="n"/>
      <c r="AD118" s="213" t="n"/>
      <c r="AE118" s="213" t="n"/>
      <c r="AF118" s="213" t="n"/>
      <c r="AG118" s="213" t="n"/>
      <c r="AH118" s="213" t="n"/>
      <c r="AI118" s="213" t="n"/>
      <c r="AJ118" s="213" t="n"/>
      <c r="AK118" s="213" t="n"/>
    </row>
    <row r="119">
      <c r="B119" s="94" t="n"/>
      <c r="C119" s="88" t="n"/>
      <c r="D119" s="88" t="n"/>
      <c r="E119" s="88" t="n"/>
      <c r="F119" s="88" t="n"/>
      <c r="G119" s="88" t="n"/>
      <c r="H119" s="94" t="n"/>
      <c r="I119" s="4" t="n"/>
      <c r="J119" s="95" t="n"/>
      <c r="K119" s="213" t="n"/>
      <c r="L119" s="213" t="n"/>
      <c r="M119" s="213" t="n"/>
      <c r="N119" s="213" t="n"/>
      <c r="O119" s="213" t="n"/>
      <c r="P119" s="213" t="n"/>
      <c r="Q119" s="213" t="n"/>
      <c r="R119" s="213" t="n"/>
      <c r="S119" s="213" t="n"/>
      <c r="T119" s="213" t="n"/>
      <c r="U119" s="213" t="n"/>
      <c r="V119" s="213" t="n"/>
      <c r="W119" s="213" t="n"/>
      <c r="X119" s="213" t="n"/>
      <c r="Y119" s="213" t="n"/>
      <c r="Z119" s="213" t="n"/>
      <c r="AA119" s="213" t="n"/>
      <c r="AB119" s="213" t="n"/>
      <c r="AC119" s="213" t="n"/>
      <c r="AD119" s="213" t="n"/>
      <c r="AE119" s="213" t="n"/>
      <c r="AF119" s="213" t="n"/>
      <c r="AG119" s="213" t="n"/>
      <c r="AH119" s="213" t="n"/>
      <c r="AI119" s="213" t="n"/>
      <c r="AJ119" s="213" t="n"/>
      <c r="AK119" s="213" t="n"/>
    </row>
    <row r="120">
      <c r="B120" s="94" t="n"/>
      <c r="C120" s="88" t="n"/>
      <c r="D120" s="88" t="n"/>
      <c r="E120" s="88" t="n"/>
      <c r="F120" s="88" t="n"/>
      <c r="G120" s="88" t="n"/>
      <c r="H120" s="94" t="n"/>
      <c r="I120" s="4" t="n"/>
      <c r="J120" s="95" t="n"/>
      <c r="K120" s="213" t="n"/>
      <c r="L120" s="213" t="n"/>
      <c r="M120" s="213" t="n"/>
      <c r="N120" s="213" t="n"/>
      <c r="O120" s="213" t="n"/>
      <c r="P120" s="213" t="n"/>
      <c r="Q120" s="213" t="n"/>
      <c r="R120" s="213" t="n"/>
      <c r="S120" s="213" t="n"/>
      <c r="T120" s="213" t="n"/>
      <c r="U120" s="213" t="n"/>
      <c r="V120" s="213" t="n"/>
      <c r="W120" s="213" t="n"/>
      <c r="X120" s="213" t="n"/>
      <c r="Y120" s="213" t="n"/>
      <c r="Z120" s="213" t="n"/>
      <c r="AA120" s="213" t="n"/>
      <c r="AB120" s="213" t="n"/>
      <c r="AC120" s="213" t="n"/>
      <c r="AD120" s="213" t="n"/>
      <c r="AE120" s="213" t="n"/>
      <c r="AF120" s="213" t="n"/>
      <c r="AG120" s="213" t="n"/>
      <c r="AH120" s="213" t="n"/>
      <c r="AI120" s="213" t="n"/>
      <c r="AJ120" s="213" t="n"/>
      <c r="AK120" s="213" t="n"/>
    </row>
    <row r="121">
      <c r="B121" s="94" t="n"/>
      <c r="C121" s="88" t="n"/>
      <c r="D121" s="88" t="n"/>
      <c r="E121" s="88" t="n"/>
      <c r="F121" s="88" t="n"/>
      <c r="G121" s="88" t="n"/>
      <c r="H121" s="94" t="n"/>
      <c r="I121" s="4" t="n"/>
      <c r="J121" s="95" t="n"/>
      <c r="K121" s="213" t="n"/>
      <c r="L121" s="213" t="n"/>
      <c r="M121" s="213" t="n"/>
      <c r="N121" s="213" t="n"/>
      <c r="O121" s="213" t="n"/>
      <c r="P121" s="213" t="n"/>
      <c r="Q121" s="213" t="n"/>
      <c r="R121" s="213" t="n"/>
      <c r="S121" s="213" t="n"/>
      <c r="T121" s="213" t="n"/>
      <c r="U121" s="213" t="n"/>
      <c r="V121" s="213" t="n"/>
      <c r="W121" s="213" t="n"/>
      <c r="X121" s="213" t="n"/>
      <c r="Y121" s="213" t="n"/>
      <c r="Z121" s="213" t="n"/>
      <c r="AA121" s="213" t="n"/>
      <c r="AB121" s="213" t="n"/>
      <c r="AC121" s="213" t="n"/>
      <c r="AD121" s="213" t="n"/>
      <c r="AE121" s="213" t="n"/>
      <c r="AF121" s="213" t="n"/>
      <c r="AG121" s="213" t="n"/>
      <c r="AH121" s="213" t="n"/>
      <c r="AI121" s="213" t="n"/>
      <c r="AJ121" s="213" t="n"/>
      <c r="AK121" s="213" t="n"/>
    </row>
    <row r="122">
      <c r="B122" s="94" t="n"/>
      <c r="C122" s="88" t="n"/>
      <c r="D122" s="88" t="n"/>
      <c r="E122" s="88" t="n"/>
      <c r="F122" s="88" t="n"/>
      <c r="G122" s="88" t="n"/>
      <c r="H122" s="94" t="n"/>
      <c r="I122" s="4" t="n"/>
      <c r="J122" s="95" t="n"/>
      <c r="K122" s="213" t="n"/>
      <c r="L122" s="213" t="n"/>
      <c r="M122" s="213" t="n"/>
      <c r="N122" s="213" t="n"/>
      <c r="O122" s="213" t="n"/>
      <c r="P122" s="213" t="n"/>
      <c r="Q122" s="213" t="n"/>
      <c r="R122" s="213" t="n"/>
      <c r="S122" s="213" t="n"/>
      <c r="T122" s="213" t="n"/>
      <c r="U122" s="213" t="n"/>
      <c r="V122" s="213" t="n"/>
      <c r="W122" s="213" t="n"/>
      <c r="X122" s="213" t="n"/>
      <c r="Y122" s="213" t="n"/>
      <c r="Z122" s="213" t="n"/>
      <c r="AA122" s="213" t="n"/>
      <c r="AB122" s="213" t="n"/>
      <c r="AC122" s="213" t="n"/>
      <c r="AD122" s="213" t="n"/>
      <c r="AE122" s="213" t="n"/>
      <c r="AF122" s="213" t="n"/>
      <c r="AG122" s="213" t="n"/>
      <c r="AH122" s="213" t="n"/>
      <c r="AI122" s="213" t="n"/>
      <c r="AJ122" s="213" t="n"/>
      <c r="AK122" s="213" t="n"/>
    </row>
    <row r="123">
      <c r="B123" s="94" t="n"/>
      <c r="C123" s="88" t="n"/>
      <c r="D123" s="88" t="n"/>
      <c r="E123" s="88" t="n"/>
      <c r="F123" s="88" t="n"/>
      <c r="G123" s="88" t="n"/>
      <c r="H123" s="94" t="n"/>
      <c r="I123" s="4" t="n"/>
      <c r="J123" s="95" t="n"/>
      <c r="K123" s="213" t="n"/>
      <c r="L123" s="213" t="n"/>
      <c r="M123" s="213" t="n"/>
      <c r="N123" s="213" t="n"/>
      <c r="O123" s="213" t="n"/>
      <c r="P123" s="213" t="n"/>
      <c r="Q123" s="213" t="n"/>
      <c r="R123" s="213" t="n"/>
      <c r="S123" s="213" t="n"/>
      <c r="T123" s="213" t="n"/>
      <c r="U123" s="213" t="n"/>
      <c r="V123" s="213" t="n"/>
      <c r="W123" s="213" t="n"/>
      <c r="X123" s="213" t="n"/>
      <c r="Y123" s="213" t="n"/>
      <c r="Z123" s="213" t="n"/>
      <c r="AA123" s="213" t="n"/>
      <c r="AB123" s="213" t="n"/>
      <c r="AC123" s="213" t="n"/>
      <c r="AD123" s="213" t="n"/>
      <c r="AE123" s="213" t="n"/>
      <c r="AF123" s="213" t="n"/>
      <c r="AG123" s="213" t="n"/>
      <c r="AH123" s="213" t="n"/>
      <c r="AI123" s="213" t="n"/>
      <c r="AJ123" s="213" t="n"/>
      <c r="AK123" s="213" t="n"/>
    </row>
    <row r="124">
      <c r="B124" s="94" t="n"/>
      <c r="C124" s="88" t="n"/>
      <c r="D124" s="88" t="n"/>
      <c r="E124" s="88" t="n"/>
      <c r="F124" s="88" t="n"/>
      <c r="G124" s="88" t="n"/>
      <c r="H124" s="94" t="n"/>
      <c r="I124" s="4" t="n"/>
      <c r="J124" s="95" t="n"/>
      <c r="K124" s="213" t="n"/>
      <c r="L124" s="213" t="n"/>
      <c r="M124" s="213" t="n"/>
      <c r="N124" s="213" t="n"/>
      <c r="O124" s="213" t="n"/>
      <c r="P124" s="213" t="n"/>
      <c r="Q124" s="213" t="n"/>
      <c r="R124" s="213" t="n"/>
      <c r="S124" s="213" t="n"/>
      <c r="T124" s="213" t="n"/>
      <c r="U124" s="213" t="n"/>
      <c r="V124" s="213" t="n"/>
      <c r="W124" s="213" t="n"/>
      <c r="X124" s="213" t="n"/>
      <c r="Y124" s="213" t="n"/>
      <c r="Z124" s="213" t="n"/>
      <c r="AA124" s="213" t="n"/>
      <c r="AB124" s="213" t="n"/>
      <c r="AC124" s="213" t="n"/>
      <c r="AD124" s="213" t="n"/>
      <c r="AE124" s="213" t="n"/>
      <c r="AF124" s="213" t="n"/>
      <c r="AG124" s="213" t="n"/>
      <c r="AH124" s="213" t="n"/>
      <c r="AI124" s="213" t="n"/>
      <c r="AJ124" s="213" t="n"/>
      <c r="AK124" s="213" t="n"/>
    </row>
    <row r="125">
      <c r="B125" s="94" t="n"/>
      <c r="C125" s="88" t="n"/>
      <c r="D125" s="88" t="n"/>
      <c r="E125" s="88" t="n"/>
      <c r="F125" s="88" t="n"/>
      <c r="G125" s="88" t="n"/>
      <c r="H125" s="94" t="n"/>
      <c r="I125" s="4" t="n"/>
      <c r="J125" s="95" t="n"/>
      <c r="K125" s="213" t="n"/>
      <c r="L125" s="213" t="n"/>
      <c r="M125" s="213" t="n"/>
      <c r="N125" s="213" t="n"/>
      <c r="O125" s="213" t="n"/>
      <c r="P125" s="213" t="n"/>
      <c r="Q125" s="213" t="n"/>
      <c r="R125" s="213" t="n"/>
      <c r="S125" s="213" t="n"/>
      <c r="T125" s="213" t="n"/>
      <c r="U125" s="213" t="n"/>
      <c r="V125" s="213" t="n"/>
      <c r="W125" s="213" t="n"/>
      <c r="X125" s="213" t="n"/>
      <c r="Y125" s="213" t="n"/>
      <c r="Z125" s="213" t="n"/>
      <c r="AA125" s="213" t="n"/>
      <c r="AB125" s="213" t="n"/>
      <c r="AC125" s="213" t="n"/>
      <c r="AD125" s="213" t="n"/>
      <c r="AE125" s="213" t="n"/>
      <c r="AF125" s="213" t="n"/>
      <c r="AG125" s="213" t="n"/>
      <c r="AH125" s="213" t="n"/>
      <c r="AI125" s="213" t="n"/>
      <c r="AJ125" s="213" t="n"/>
      <c r="AK125" s="213" t="n"/>
    </row>
    <row r="126">
      <c r="B126" s="94" t="n"/>
      <c r="C126" s="88" t="n"/>
      <c r="D126" s="88" t="n"/>
      <c r="E126" s="88" t="n"/>
      <c r="F126" s="88" t="n"/>
      <c r="G126" s="88" t="n"/>
      <c r="H126" s="94" t="n"/>
      <c r="I126" s="4" t="n"/>
      <c r="J126" s="95" t="n"/>
      <c r="K126" s="213" t="n"/>
      <c r="L126" s="213" t="n"/>
      <c r="M126" s="213" t="n"/>
      <c r="N126" s="213" t="n"/>
      <c r="O126" s="213" t="n"/>
      <c r="P126" s="213" t="n"/>
      <c r="Q126" s="213" t="n"/>
      <c r="R126" s="213" t="n"/>
      <c r="S126" s="213" t="n"/>
      <c r="T126" s="213" t="n"/>
      <c r="U126" s="213" t="n"/>
      <c r="V126" s="213" t="n"/>
      <c r="W126" s="213" t="n"/>
      <c r="X126" s="213" t="n"/>
      <c r="Y126" s="213" t="n"/>
      <c r="Z126" s="213" t="n"/>
      <c r="AA126" s="213" t="n"/>
      <c r="AB126" s="213" t="n"/>
      <c r="AC126" s="213" t="n"/>
      <c r="AD126" s="213" t="n"/>
      <c r="AE126" s="213" t="n"/>
      <c r="AF126" s="213" t="n"/>
      <c r="AG126" s="213" t="n"/>
      <c r="AH126" s="213" t="n"/>
      <c r="AI126" s="213" t="n"/>
      <c r="AJ126" s="213" t="n"/>
      <c r="AK126" s="213" t="n"/>
    </row>
    <row r="127">
      <c r="B127" s="94" t="n"/>
      <c r="C127" s="88" t="n"/>
      <c r="D127" s="88" t="n"/>
      <c r="E127" s="88" t="n"/>
      <c r="F127" s="88" t="n"/>
      <c r="G127" s="88" t="n"/>
      <c r="H127" s="94" t="n"/>
      <c r="I127" s="4" t="n"/>
      <c r="J127" s="95" t="n"/>
      <c r="K127" s="213" t="n"/>
      <c r="L127" s="213" t="n"/>
      <c r="M127" s="213" t="n"/>
      <c r="N127" s="213" t="n"/>
      <c r="O127" s="213" t="n"/>
      <c r="P127" s="213" t="n"/>
      <c r="Q127" s="213" t="n"/>
      <c r="R127" s="213" t="n"/>
      <c r="S127" s="213" t="n"/>
      <c r="T127" s="213" t="n"/>
      <c r="U127" s="213" t="n"/>
      <c r="V127" s="213" t="n"/>
      <c r="W127" s="213" t="n"/>
      <c r="X127" s="213" t="n"/>
      <c r="Y127" s="213" t="n"/>
      <c r="Z127" s="213" t="n"/>
      <c r="AA127" s="213" t="n"/>
      <c r="AB127" s="213" t="n"/>
      <c r="AC127" s="213" t="n"/>
      <c r="AD127" s="213" t="n"/>
      <c r="AE127" s="213" t="n"/>
      <c r="AF127" s="213" t="n"/>
      <c r="AG127" s="213" t="n"/>
      <c r="AH127" s="213" t="n"/>
      <c r="AI127" s="213" t="n"/>
      <c r="AJ127" s="213" t="n"/>
      <c r="AK127" s="213" t="n"/>
    </row>
    <row r="128">
      <c r="B128" s="94" t="n"/>
      <c r="C128" s="88" t="n"/>
      <c r="D128" s="88" t="n"/>
      <c r="E128" s="88" t="n"/>
      <c r="F128" s="88" t="n"/>
      <c r="G128" s="88" t="n"/>
      <c r="H128" s="94" t="n"/>
      <c r="I128" s="4" t="n"/>
      <c r="J128" s="95" t="n"/>
      <c r="K128" s="213" t="n"/>
      <c r="L128" s="213" t="n"/>
      <c r="M128" s="213" t="n"/>
      <c r="N128" s="213" t="n"/>
      <c r="O128" s="213" t="n"/>
      <c r="P128" s="213" t="n"/>
      <c r="Q128" s="213" t="n"/>
      <c r="R128" s="213" t="n"/>
      <c r="S128" s="213" t="n"/>
      <c r="T128" s="213" t="n"/>
      <c r="U128" s="213" t="n"/>
      <c r="V128" s="213" t="n"/>
      <c r="W128" s="213" t="n"/>
      <c r="X128" s="213" t="n"/>
      <c r="Y128" s="213" t="n"/>
      <c r="Z128" s="213" t="n"/>
      <c r="AA128" s="213" t="n"/>
      <c r="AB128" s="213" t="n"/>
      <c r="AC128" s="213" t="n"/>
      <c r="AD128" s="213" t="n"/>
      <c r="AE128" s="213" t="n"/>
      <c r="AF128" s="213" t="n"/>
      <c r="AG128" s="213" t="n"/>
      <c r="AH128" s="213" t="n"/>
      <c r="AI128" s="213" t="n"/>
      <c r="AJ128" s="213" t="n"/>
      <c r="AK128" s="213" t="n"/>
    </row>
    <row r="129">
      <c r="B129" s="94" t="n"/>
      <c r="C129" s="88" t="n"/>
      <c r="D129" s="88" t="n"/>
      <c r="E129" s="88" t="n"/>
      <c r="F129" s="88" t="n"/>
      <c r="G129" s="88" t="n"/>
      <c r="H129" s="94" t="n"/>
      <c r="I129" s="4" t="n"/>
      <c r="J129" s="95" t="n"/>
      <c r="K129" s="213" t="n"/>
      <c r="L129" s="213" t="n"/>
      <c r="M129" s="213" t="n"/>
      <c r="N129" s="213" t="n"/>
      <c r="O129" s="213" t="n"/>
      <c r="P129" s="213" t="n"/>
      <c r="Q129" s="213" t="n"/>
      <c r="R129" s="213" t="n"/>
      <c r="S129" s="213" t="n"/>
      <c r="T129" s="213" t="n"/>
      <c r="U129" s="213" t="n"/>
      <c r="V129" s="213" t="n"/>
      <c r="W129" s="213" t="n"/>
      <c r="X129" s="213" t="n"/>
      <c r="Y129" s="213" t="n"/>
      <c r="Z129" s="213" t="n"/>
      <c r="AA129" s="213" t="n"/>
      <c r="AB129" s="213" t="n"/>
      <c r="AC129" s="213" t="n"/>
      <c r="AD129" s="213" t="n"/>
      <c r="AE129" s="213" t="n"/>
      <c r="AF129" s="213" t="n"/>
      <c r="AG129" s="213" t="n"/>
      <c r="AH129" s="213" t="n"/>
      <c r="AI129" s="213" t="n"/>
      <c r="AJ129" s="213" t="n"/>
      <c r="AK129" s="213" t="n"/>
    </row>
    <row r="130">
      <c r="B130" s="94" t="n"/>
      <c r="C130" s="88" t="n"/>
      <c r="D130" s="88" t="n"/>
      <c r="E130" s="88" t="n"/>
      <c r="F130" s="88" t="n"/>
      <c r="G130" s="88" t="n"/>
      <c r="H130" s="94" t="n"/>
      <c r="I130" s="4" t="n"/>
      <c r="J130" s="95" t="n"/>
      <c r="K130" s="213" t="n"/>
      <c r="L130" s="213" t="n"/>
      <c r="M130" s="213" t="n"/>
      <c r="N130" s="213" t="n"/>
      <c r="O130" s="213" t="n"/>
      <c r="P130" s="213" t="n"/>
      <c r="Q130" s="213" t="n"/>
      <c r="R130" s="213" t="n"/>
      <c r="S130" s="213" t="n"/>
      <c r="T130" s="213" t="n"/>
      <c r="U130" s="213" t="n"/>
      <c r="V130" s="213" t="n"/>
      <c r="W130" s="213" t="n"/>
      <c r="X130" s="213" t="n"/>
      <c r="Y130" s="213" t="n"/>
      <c r="Z130" s="213" t="n"/>
      <c r="AA130" s="213" t="n"/>
      <c r="AB130" s="213" t="n"/>
      <c r="AC130" s="213" t="n"/>
      <c r="AD130" s="213" t="n"/>
      <c r="AE130" s="213" t="n"/>
      <c r="AF130" s="213" t="n"/>
      <c r="AG130" s="213" t="n"/>
      <c r="AH130" s="213" t="n"/>
      <c r="AI130" s="213" t="n"/>
      <c r="AJ130" s="213" t="n"/>
      <c r="AK130" s="213" t="n"/>
    </row>
    <row r="131">
      <c r="B131" s="94" t="n"/>
      <c r="C131" s="88" t="n"/>
      <c r="D131" s="88" t="n"/>
      <c r="E131" s="88" t="n"/>
      <c r="F131" s="88" t="n"/>
      <c r="G131" s="88" t="n"/>
      <c r="H131" s="94" t="n"/>
      <c r="I131" s="4" t="n"/>
      <c r="J131" s="95" t="n"/>
      <c r="K131" s="213" t="n"/>
      <c r="L131" s="213" t="n"/>
      <c r="M131" s="213" t="n"/>
      <c r="N131" s="213" t="n"/>
      <c r="O131" s="213" t="n"/>
      <c r="P131" s="213" t="n"/>
      <c r="Q131" s="213" t="n"/>
      <c r="R131" s="213" t="n"/>
      <c r="S131" s="213" t="n"/>
      <c r="T131" s="213" t="n"/>
      <c r="U131" s="213" t="n"/>
      <c r="V131" s="213" t="n"/>
      <c r="W131" s="213" t="n"/>
      <c r="X131" s="213" t="n"/>
      <c r="Y131" s="213" t="n"/>
      <c r="Z131" s="213" t="n"/>
      <c r="AA131" s="213" t="n"/>
      <c r="AB131" s="213" t="n"/>
      <c r="AC131" s="213" t="n"/>
      <c r="AD131" s="213" t="n"/>
      <c r="AE131" s="213" t="n"/>
      <c r="AF131" s="213" t="n"/>
      <c r="AG131" s="213" t="n"/>
      <c r="AH131" s="213" t="n"/>
      <c r="AI131" s="213" t="n"/>
      <c r="AJ131" s="213" t="n"/>
      <c r="AK131" s="213" t="n"/>
    </row>
    <row r="132">
      <c r="B132" s="94" t="n"/>
      <c r="C132" s="88" t="n"/>
      <c r="D132" s="88" t="n"/>
      <c r="E132" s="88" t="n"/>
      <c r="F132" s="88" t="n"/>
      <c r="G132" s="88" t="n"/>
      <c r="H132" s="94" t="n"/>
      <c r="I132" s="4" t="n"/>
      <c r="J132" s="95" t="n"/>
      <c r="K132" s="213" t="n"/>
      <c r="L132" s="213" t="n"/>
      <c r="M132" s="213" t="n"/>
      <c r="N132" s="213" t="n"/>
      <c r="O132" s="213" t="n"/>
      <c r="P132" s="213" t="n"/>
      <c r="Q132" s="213" t="n"/>
      <c r="R132" s="213" t="n"/>
      <c r="S132" s="213" t="n"/>
      <c r="T132" s="213" t="n"/>
      <c r="U132" s="213" t="n"/>
      <c r="V132" s="213" t="n"/>
      <c r="W132" s="213" t="n"/>
      <c r="X132" s="213" t="n"/>
      <c r="Y132" s="213" t="n"/>
      <c r="Z132" s="213" t="n"/>
      <c r="AA132" s="213" t="n"/>
      <c r="AB132" s="213" t="n"/>
      <c r="AC132" s="213" t="n"/>
      <c r="AD132" s="213" t="n"/>
      <c r="AE132" s="213" t="n"/>
      <c r="AF132" s="213" t="n"/>
      <c r="AG132" s="213" t="n"/>
      <c r="AH132" s="213" t="n"/>
      <c r="AI132" s="213" t="n"/>
      <c r="AJ132" s="213" t="n"/>
      <c r="AK132" s="213" t="n"/>
    </row>
    <row r="133">
      <c r="B133" s="94" t="n"/>
      <c r="C133" s="88" t="n"/>
      <c r="D133" s="88" t="n"/>
      <c r="E133" s="88" t="n"/>
      <c r="F133" s="88" t="n"/>
      <c r="G133" s="88" t="n"/>
      <c r="H133" s="94" t="n"/>
      <c r="I133" s="4" t="n"/>
      <c r="J133" s="95" t="n"/>
      <c r="K133" s="213" t="n"/>
      <c r="L133" s="213" t="n"/>
      <c r="M133" s="213" t="n"/>
      <c r="N133" s="213" t="n"/>
      <c r="O133" s="213" t="n"/>
      <c r="P133" s="213" t="n"/>
      <c r="Q133" s="213" t="n"/>
      <c r="R133" s="213" t="n"/>
      <c r="S133" s="213" t="n"/>
      <c r="T133" s="213" t="n"/>
      <c r="U133" s="213" t="n"/>
      <c r="V133" s="213" t="n"/>
      <c r="W133" s="213" t="n"/>
      <c r="X133" s="213" t="n"/>
      <c r="Y133" s="213" t="n"/>
      <c r="Z133" s="213" t="n"/>
      <c r="AA133" s="213" t="n"/>
      <c r="AB133" s="213" t="n"/>
      <c r="AC133" s="213" t="n"/>
      <c r="AD133" s="213" t="n"/>
      <c r="AE133" s="213" t="n"/>
      <c r="AF133" s="213" t="n"/>
      <c r="AG133" s="213" t="n"/>
      <c r="AH133" s="213" t="n"/>
      <c r="AI133" s="213" t="n"/>
      <c r="AJ133" s="213" t="n"/>
      <c r="AK133" s="213" t="n"/>
    </row>
    <row r="134">
      <c r="B134" s="94" t="n"/>
      <c r="C134" s="88" t="n"/>
      <c r="D134" s="88" t="n"/>
      <c r="E134" s="88" t="n"/>
      <c r="F134" s="88" t="n"/>
      <c r="G134" s="88" t="n"/>
      <c r="H134" s="94" t="n"/>
      <c r="I134" s="4" t="n"/>
      <c r="J134" s="95" t="n"/>
      <c r="K134" s="213" t="n"/>
      <c r="L134" s="213" t="n"/>
      <c r="M134" s="213" t="n"/>
      <c r="N134" s="213" t="n"/>
      <c r="O134" s="213" t="n"/>
      <c r="P134" s="213" t="n"/>
      <c r="Q134" s="213" t="n"/>
      <c r="R134" s="213" t="n"/>
      <c r="S134" s="213" t="n"/>
      <c r="T134" s="213" t="n"/>
      <c r="U134" s="213" t="n"/>
      <c r="V134" s="213" t="n"/>
      <c r="W134" s="213" t="n"/>
      <c r="X134" s="213" t="n"/>
      <c r="Y134" s="213" t="n"/>
      <c r="Z134" s="213" t="n"/>
      <c r="AA134" s="213" t="n"/>
      <c r="AB134" s="213" t="n"/>
      <c r="AC134" s="213" t="n"/>
      <c r="AD134" s="213" t="n"/>
      <c r="AE134" s="213" t="n"/>
      <c r="AF134" s="213" t="n"/>
      <c r="AG134" s="213" t="n"/>
      <c r="AH134" s="213" t="n"/>
      <c r="AI134" s="213" t="n"/>
      <c r="AJ134" s="213" t="n"/>
      <c r="AK134" s="213" t="n"/>
    </row>
    <row r="135">
      <c r="B135" s="94" t="n"/>
      <c r="C135" s="88" t="n"/>
      <c r="D135" s="88" t="n"/>
      <c r="E135" s="88" t="n"/>
      <c r="F135" s="88" t="n"/>
      <c r="G135" s="88" t="n"/>
      <c r="H135" s="94" t="n"/>
      <c r="I135" s="4" t="n"/>
      <c r="J135" s="95" t="n"/>
      <c r="K135" s="213" t="n"/>
      <c r="L135" s="213" t="n"/>
      <c r="M135" s="213" t="n"/>
      <c r="N135" s="213" t="n"/>
      <c r="O135" s="213" t="n"/>
      <c r="P135" s="213" t="n"/>
      <c r="Q135" s="213" t="n"/>
      <c r="R135" s="213" t="n"/>
      <c r="S135" s="213" t="n"/>
      <c r="T135" s="213" t="n"/>
      <c r="U135" s="213" t="n"/>
      <c r="V135" s="213" t="n"/>
      <c r="W135" s="213" t="n"/>
      <c r="X135" s="213" t="n"/>
      <c r="Y135" s="213" t="n"/>
      <c r="Z135" s="213" t="n"/>
      <c r="AA135" s="213" t="n"/>
      <c r="AB135" s="213" t="n"/>
      <c r="AC135" s="213" t="n"/>
      <c r="AD135" s="213" t="n"/>
      <c r="AE135" s="213" t="n"/>
      <c r="AF135" s="213" t="n"/>
      <c r="AG135" s="213" t="n"/>
      <c r="AH135" s="213" t="n"/>
      <c r="AI135" s="213" t="n"/>
      <c r="AJ135" s="213" t="n"/>
      <c r="AK135" s="213" t="n"/>
    </row>
    <row r="136">
      <c r="B136" s="94" t="n"/>
      <c r="C136" s="88" t="n"/>
      <c r="D136" s="88" t="n"/>
      <c r="E136" s="88" t="n"/>
      <c r="F136" s="88" t="n"/>
      <c r="G136" s="88" t="n"/>
      <c r="H136" s="94" t="n"/>
      <c r="I136" s="4" t="n"/>
      <c r="J136" s="95" t="n"/>
      <c r="K136" s="213" t="n"/>
      <c r="L136" s="213" t="n"/>
      <c r="M136" s="213" t="n"/>
      <c r="N136" s="213" t="n"/>
      <c r="O136" s="213" t="n"/>
      <c r="P136" s="213" t="n"/>
      <c r="Q136" s="213" t="n"/>
      <c r="R136" s="213" t="n"/>
      <c r="S136" s="213" t="n"/>
      <c r="T136" s="213" t="n"/>
      <c r="U136" s="213" t="n"/>
      <c r="V136" s="213" t="n"/>
      <c r="W136" s="213" t="n"/>
      <c r="X136" s="213" t="n"/>
      <c r="Y136" s="213" t="n"/>
      <c r="Z136" s="213" t="n"/>
      <c r="AA136" s="213" t="n"/>
      <c r="AB136" s="213" t="n"/>
      <c r="AC136" s="213" t="n"/>
      <c r="AD136" s="213" t="n"/>
      <c r="AE136" s="213" t="n"/>
      <c r="AF136" s="213" t="n"/>
      <c r="AG136" s="213" t="n"/>
      <c r="AH136" s="213" t="n"/>
      <c r="AI136" s="213" t="n"/>
      <c r="AJ136" s="213" t="n"/>
      <c r="AK136" s="213" t="n"/>
    </row>
    <row r="137">
      <c r="B137" s="94" t="n"/>
      <c r="C137" s="88" t="n"/>
      <c r="D137" s="88" t="n"/>
      <c r="E137" s="88" t="n"/>
      <c r="F137" s="88" t="n"/>
      <c r="G137" s="88" t="n"/>
      <c r="H137" s="94" t="n"/>
      <c r="I137" s="4" t="n"/>
      <c r="J137" s="95" t="n"/>
      <c r="K137" s="213" t="n"/>
      <c r="L137" s="213" t="n"/>
      <c r="M137" s="213" t="n"/>
      <c r="N137" s="213" t="n"/>
      <c r="O137" s="213" t="n"/>
      <c r="P137" s="213" t="n"/>
      <c r="Q137" s="213" t="n"/>
      <c r="R137" s="213" t="n"/>
      <c r="S137" s="213" t="n"/>
      <c r="T137" s="213" t="n"/>
      <c r="U137" s="213" t="n"/>
      <c r="V137" s="213" t="n"/>
      <c r="W137" s="213" t="n"/>
      <c r="X137" s="213" t="n"/>
      <c r="Y137" s="213" t="n"/>
      <c r="Z137" s="213" t="n"/>
      <c r="AA137" s="213" t="n"/>
      <c r="AB137" s="213" t="n"/>
      <c r="AC137" s="213" t="n"/>
      <c r="AD137" s="213" t="n"/>
      <c r="AE137" s="213" t="n"/>
      <c r="AF137" s="213" t="n"/>
      <c r="AG137" s="213" t="n"/>
      <c r="AH137" s="213" t="n"/>
      <c r="AI137" s="213" t="n"/>
      <c r="AJ137" s="213" t="n"/>
      <c r="AK137" s="213" t="n"/>
    </row>
    <row r="138">
      <c r="B138" s="94" t="n"/>
      <c r="C138" s="88" t="n"/>
      <c r="D138" s="88" t="n"/>
      <c r="E138" s="88" t="n"/>
      <c r="F138" s="88" t="n"/>
      <c r="G138" s="88" t="n"/>
      <c r="H138" s="94" t="n"/>
      <c r="I138" s="4" t="n"/>
      <c r="J138" s="95" t="n"/>
      <c r="K138" s="213" t="n"/>
      <c r="L138" s="213" t="n"/>
      <c r="M138" s="213" t="n"/>
      <c r="N138" s="213" t="n"/>
      <c r="O138" s="213" t="n"/>
      <c r="P138" s="213" t="n"/>
      <c r="Q138" s="213" t="n"/>
      <c r="R138" s="213" t="n"/>
      <c r="S138" s="213" t="n"/>
      <c r="T138" s="213" t="n"/>
      <c r="U138" s="213" t="n"/>
      <c r="V138" s="213" t="n"/>
      <c r="W138" s="213" t="n"/>
      <c r="X138" s="213" t="n"/>
      <c r="Y138" s="213" t="n"/>
      <c r="Z138" s="213" t="n"/>
      <c r="AA138" s="213" t="n"/>
      <c r="AB138" s="213" t="n"/>
      <c r="AC138" s="213" t="n"/>
      <c r="AD138" s="213" t="n"/>
      <c r="AE138" s="213" t="n"/>
      <c r="AF138" s="213" t="n"/>
      <c r="AG138" s="213" t="n"/>
      <c r="AH138" s="213" t="n"/>
      <c r="AI138" s="213" t="n"/>
      <c r="AJ138" s="213" t="n"/>
      <c r="AK138" s="213" t="n"/>
    </row>
    <row r="139">
      <c r="B139" s="94" t="n"/>
      <c r="C139" s="88" t="n"/>
      <c r="D139" s="88" t="n"/>
      <c r="E139" s="88" t="n"/>
      <c r="F139" s="88" t="n"/>
      <c r="G139" s="88" t="n"/>
      <c r="H139" s="94" t="n"/>
      <c r="I139" s="4" t="n"/>
      <c r="J139" s="95" t="n"/>
      <c r="K139" s="213" t="n"/>
      <c r="L139" s="213" t="n"/>
      <c r="M139" s="213" t="n"/>
      <c r="N139" s="213" t="n"/>
      <c r="O139" s="213" t="n"/>
      <c r="P139" s="213" t="n"/>
      <c r="Q139" s="213" t="n"/>
      <c r="R139" s="213" t="n"/>
      <c r="S139" s="213" t="n"/>
      <c r="T139" s="213" t="n"/>
      <c r="U139" s="213" t="n"/>
      <c r="V139" s="213" t="n"/>
      <c r="W139" s="213" t="n"/>
      <c r="X139" s="213" t="n"/>
      <c r="Y139" s="213" t="n"/>
      <c r="Z139" s="213" t="n"/>
      <c r="AA139" s="213" t="n"/>
      <c r="AB139" s="213" t="n"/>
      <c r="AC139" s="213" t="n"/>
      <c r="AD139" s="213" t="n"/>
      <c r="AE139" s="213" t="n"/>
      <c r="AF139" s="213" t="n"/>
      <c r="AG139" s="213" t="n"/>
      <c r="AH139" s="213" t="n"/>
      <c r="AI139" s="213" t="n"/>
      <c r="AJ139" s="213" t="n"/>
      <c r="AK139" s="213" t="n"/>
    </row>
    <row r="140">
      <c r="B140" s="94" t="n"/>
      <c r="C140" s="88" t="n"/>
      <c r="D140" s="88" t="n"/>
      <c r="E140" s="88" t="n"/>
      <c r="F140" s="88" t="n"/>
      <c r="G140" s="88" t="n"/>
      <c r="H140" s="94" t="n"/>
      <c r="I140" s="4" t="n"/>
      <c r="J140" s="95" t="n"/>
      <c r="K140" s="213" t="n"/>
      <c r="L140" s="213" t="n"/>
      <c r="M140" s="213" t="n"/>
      <c r="N140" s="213" t="n"/>
      <c r="O140" s="213" t="n"/>
      <c r="P140" s="213" t="n"/>
      <c r="Q140" s="213" t="n"/>
      <c r="R140" s="213" t="n"/>
      <c r="S140" s="213" t="n"/>
      <c r="T140" s="213" t="n"/>
      <c r="U140" s="213" t="n"/>
      <c r="V140" s="213" t="n"/>
      <c r="W140" s="213" t="n"/>
      <c r="X140" s="213" t="n"/>
      <c r="Y140" s="213" t="n"/>
      <c r="Z140" s="213" t="n"/>
      <c r="AA140" s="213" t="n"/>
      <c r="AB140" s="213" t="n"/>
      <c r="AC140" s="213" t="n"/>
      <c r="AD140" s="213" t="n"/>
      <c r="AE140" s="213" t="n"/>
      <c r="AF140" s="213" t="n"/>
      <c r="AG140" s="213" t="n"/>
      <c r="AH140" s="213" t="n"/>
      <c r="AI140" s="213" t="n"/>
      <c r="AJ140" s="213" t="n"/>
      <c r="AK140" s="213" t="n"/>
    </row>
    <row r="141">
      <c r="B141" s="94" t="n"/>
      <c r="C141" s="88" t="n"/>
      <c r="D141" s="88" t="n"/>
      <c r="E141" s="88" t="n"/>
      <c r="F141" s="88" t="n"/>
      <c r="G141" s="88" t="n"/>
      <c r="H141" s="94" t="n"/>
      <c r="I141" s="4" t="n"/>
      <c r="J141" s="95" t="n"/>
      <c r="K141" s="213" t="n"/>
      <c r="L141" s="213" t="n"/>
      <c r="M141" s="213" t="n"/>
      <c r="N141" s="213" t="n"/>
      <c r="O141" s="213" t="n"/>
      <c r="P141" s="213" t="n"/>
      <c r="Q141" s="213" t="n"/>
      <c r="R141" s="213" t="n"/>
      <c r="S141" s="213" t="n"/>
      <c r="T141" s="213" t="n"/>
      <c r="U141" s="213" t="n"/>
      <c r="V141" s="213" t="n"/>
      <c r="W141" s="213" t="n"/>
      <c r="X141" s="213" t="n"/>
      <c r="Y141" s="213" t="n"/>
      <c r="Z141" s="213" t="n"/>
      <c r="AA141" s="213" t="n"/>
      <c r="AB141" s="213" t="n"/>
      <c r="AC141" s="213" t="n"/>
      <c r="AD141" s="213" t="n"/>
      <c r="AE141" s="213" t="n"/>
      <c r="AF141" s="213" t="n"/>
      <c r="AG141" s="213" t="n"/>
      <c r="AH141" s="213" t="n"/>
      <c r="AI141" s="213" t="n"/>
      <c r="AJ141" s="213" t="n"/>
      <c r="AK141" s="213" t="n"/>
    </row>
    <row r="142">
      <c r="B142" s="94" t="n"/>
      <c r="C142" s="88" t="n"/>
      <c r="D142" s="88" t="n"/>
      <c r="E142" s="88" t="n"/>
      <c r="F142" s="88" t="n"/>
      <c r="G142" s="88" t="n"/>
      <c r="H142" s="94" t="n"/>
      <c r="I142" s="4" t="n"/>
      <c r="J142" s="95" t="n"/>
      <c r="K142" s="213" t="n"/>
      <c r="L142" s="213" t="n"/>
      <c r="M142" s="213" t="n"/>
      <c r="N142" s="213" t="n"/>
      <c r="O142" s="213" t="n"/>
      <c r="P142" s="213" t="n"/>
      <c r="Q142" s="213" t="n"/>
      <c r="R142" s="213" t="n"/>
      <c r="S142" s="213" t="n"/>
      <c r="T142" s="213" t="n"/>
      <c r="U142" s="213" t="n"/>
      <c r="V142" s="213" t="n"/>
      <c r="W142" s="213" t="n"/>
      <c r="X142" s="213" t="n"/>
      <c r="Y142" s="213" t="n"/>
      <c r="Z142" s="213" t="n"/>
      <c r="AA142" s="213" t="n"/>
      <c r="AB142" s="213" t="n"/>
      <c r="AC142" s="213" t="n"/>
      <c r="AD142" s="213" t="n"/>
      <c r="AE142" s="213" t="n"/>
      <c r="AF142" s="213" t="n"/>
      <c r="AG142" s="213" t="n"/>
      <c r="AH142" s="213" t="n"/>
      <c r="AI142" s="213" t="n"/>
      <c r="AJ142" s="213" t="n"/>
      <c r="AK142" s="213" t="n"/>
    </row>
    <row r="143">
      <c r="B143" s="94" t="n"/>
      <c r="C143" s="88" t="n"/>
      <c r="D143" s="88" t="n"/>
      <c r="E143" s="88" t="n"/>
      <c r="F143" s="88" t="n"/>
      <c r="G143" s="88" t="n"/>
      <c r="H143" s="94" t="n"/>
      <c r="I143" s="4" t="n"/>
      <c r="J143" s="95" t="n"/>
      <c r="K143" s="213" t="n"/>
      <c r="L143" s="213" t="n"/>
      <c r="M143" s="213" t="n"/>
      <c r="N143" s="213" t="n"/>
      <c r="O143" s="213" t="n"/>
      <c r="P143" s="213" t="n"/>
      <c r="Q143" s="213" t="n"/>
      <c r="R143" s="213" t="n"/>
      <c r="S143" s="213" t="n"/>
      <c r="T143" s="213" t="n"/>
      <c r="U143" s="213" t="n"/>
      <c r="V143" s="213" t="n"/>
      <c r="W143" s="213" t="n"/>
      <c r="X143" s="213" t="n"/>
      <c r="Y143" s="213" t="n"/>
      <c r="Z143" s="213" t="n"/>
      <c r="AA143" s="213" t="n"/>
      <c r="AB143" s="213" t="n"/>
      <c r="AC143" s="213" t="n"/>
      <c r="AD143" s="213" t="n"/>
      <c r="AE143" s="213" t="n"/>
      <c r="AF143" s="213" t="n"/>
      <c r="AG143" s="213" t="n"/>
      <c r="AH143" s="213" t="n"/>
      <c r="AI143" s="213" t="n"/>
      <c r="AJ143" s="213" t="n"/>
      <c r="AK143" s="213" t="n"/>
    </row>
    <row r="144">
      <c r="B144" s="94" t="n"/>
      <c r="C144" s="88" t="n"/>
      <c r="D144" s="88" t="n"/>
      <c r="E144" s="88" t="n"/>
      <c r="F144" s="88" t="n"/>
      <c r="G144" s="88" t="n"/>
      <c r="H144" s="94" t="n"/>
      <c r="I144" s="4" t="n"/>
      <c r="J144" s="95" t="n"/>
      <c r="K144" s="213" t="n"/>
      <c r="L144" s="213" t="n"/>
      <c r="M144" s="213" t="n"/>
      <c r="N144" s="213" t="n"/>
      <c r="O144" s="213" t="n"/>
      <c r="P144" s="213" t="n"/>
      <c r="Q144" s="213" t="n"/>
      <c r="R144" s="213" t="n"/>
      <c r="S144" s="213" t="n"/>
      <c r="T144" s="213" t="n"/>
      <c r="U144" s="213" t="n"/>
      <c r="V144" s="213" t="n"/>
      <c r="W144" s="213" t="n"/>
      <c r="X144" s="213" t="n"/>
      <c r="Y144" s="213" t="n"/>
      <c r="Z144" s="213" t="n"/>
      <c r="AA144" s="213" t="n"/>
      <c r="AB144" s="213" t="n"/>
      <c r="AC144" s="213" t="n"/>
      <c r="AD144" s="213" t="n"/>
      <c r="AE144" s="213" t="n"/>
      <c r="AF144" s="213" t="n"/>
      <c r="AG144" s="213" t="n"/>
      <c r="AH144" s="213" t="n"/>
      <c r="AI144" s="213" t="n"/>
      <c r="AJ144" s="213" t="n"/>
      <c r="AK144" s="213" t="n"/>
    </row>
    <row r="145">
      <c r="B145" s="94" t="n"/>
      <c r="C145" s="88" t="n"/>
      <c r="D145" s="88" t="n"/>
      <c r="E145" s="88" t="n"/>
      <c r="F145" s="88" t="n"/>
      <c r="G145" s="88" t="n"/>
      <c r="H145" s="94" t="n"/>
      <c r="I145" s="4" t="n"/>
      <c r="J145" s="95" t="n"/>
      <c r="K145" s="213" t="n"/>
      <c r="L145" s="213" t="n"/>
      <c r="M145" s="213" t="n"/>
      <c r="N145" s="213" t="n"/>
      <c r="O145" s="213" t="n"/>
      <c r="P145" s="213" t="n"/>
      <c r="Q145" s="213" t="n"/>
      <c r="R145" s="213" t="n"/>
      <c r="S145" s="213" t="n"/>
      <c r="T145" s="213" t="n"/>
      <c r="U145" s="213" t="n"/>
      <c r="V145" s="213" t="n"/>
      <c r="W145" s="213" t="n"/>
      <c r="X145" s="213" t="n"/>
      <c r="Y145" s="213" t="n"/>
      <c r="Z145" s="213" t="n"/>
      <c r="AA145" s="213" t="n"/>
      <c r="AB145" s="213" t="n"/>
      <c r="AC145" s="213" t="n"/>
      <c r="AD145" s="213" t="n"/>
      <c r="AE145" s="213" t="n"/>
      <c r="AF145" s="213" t="n"/>
      <c r="AG145" s="213" t="n"/>
      <c r="AH145" s="213" t="n"/>
      <c r="AI145" s="213" t="n"/>
      <c r="AJ145" s="213" t="n"/>
      <c r="AK145" s="213" t="n"/>
    </row>
    <row r="146">
      <c r="B146" s="94" t="n"/>
      <c r="C146" s="88" t="n"/>
      <c r="D146" s="88" t="n"/>
      <c r="E146" s="88" t="n"/>
      <c r="F146" s="88" t="n"/>
      <c r="G146" s="88" t="n"/>
      <c r="H146" s="94" t="n"/>
      <c r="I146" s="4" t="n"/>
      <c r="J146" s="95" t="n"/>
      <c r="K146" s="213" t="n"/>
      <c r="L146" s="213" t="n"/>
      <c r="M146" s="213" t="n"/>
      <c r="N146" s="213" t="n"/>
      <c r="O146" s="213" t="n"/>
      <c r="P146" s="213" t="n"/>
      <c r="Q146" s="213" t="n"/>
      <c r="R146" s="213" t="n"/>
      <c r="S146" s="213" t="n"/>
      <c r="T146" s="213" t="n"/>
      <c r="U146" s="213" t="n"/>
      <c r="V146" s="213" t="n"/>
      <c r="W146" s="213" t="n"/>
      <c r="X146" s="213" t="n"/>
      <c r="Y146" s="213" t="n"/>
      <c r="Z146" s="213" t="n"/>
      <c r="AA146" s="213" t="n"/>
      <c r="AB146" s="213" t="n"/>
      <c r="AC146" s="213" t="n"/>
      <c r="AD146" s="213" t="n"/>
      <c r="AE146" s="213" t="n"/>
      <c r="AF146" s="213" t="n"/>
      <c r="AG146" s="213" t="n"/>
      <c r="AH146" s="213" t="n"/>
      <c r="AI146" s="213" t="n"/>
      <c r="AJ146" s="213" t="n"/>
      <c r="AK146" s="213" t="n"/>
    </row>
    <row r="147">
      <c r="B147" s="94" t="n"/>
      <c r="C147" s="88" t="n"/>
      <c r="D147" s="88" t="n"/>
      <c r="E147" s="88" t="n"/>
      <c r="F147" s="88" t="n"/>
      <c r="G147" s="88" t="n"/>
      <c r="H147" s="94" t="n"/>
      <c r="I147" s="4" t="n"/>
      <c r="J147" s="95" t="n"/>
      <c r="K147" s="213" t="n"/>
      <c r="L147" s="213" t="n"/>
      <c r="M147" s="213" t="n"/>
      <c r="N147" s="213" t="n"/>
      <c r="O147" s="213" t="n"/>
      <c r="P147" s="213" t="n"/>
      <c r="Q147" s="213" t="n"/>
      <c r="R147" s="213" t="n"/>
      <c r="S147" s="213" t="n"/>
      <c r="T147" s="213" t="n"/>
      <c r="U147" s="213" t="n"/>
      <c r="V147" s="213" t="n"/>
      <c r="W147" s="213" t="n"/>
      <c r="X147" s="213" t="n"/>
      <c r="Y147" s="213" t="n"/>
      <c r="Z147" s="213" t="n"/>
      <c r="AA147" s="213" t="n"/>
      <c r="AB147" s="213" t="n"/>
      <c r="AC147" s="213" t="n"/>
      <c r="AD147" s="213" t="n"/>
      <c r="AE147" s="213" t="n"/>
      <c r="AF147" s="213" t="n"/>
      <c r="AG147" s="213" t="n"/>
      <c r="AH147" s="213" t="n"/>
      <c r="AI147" s="213" t="n"/>
      <c r="AJ147" s="213" t="n"/>
      <c r="AK147" s="213" t="n"/>
    </row>
    <row r="148">
      <c r="B148" s="94" t="n"/>
      <c r="C148" s="88" t="n"/>
      <c r="D148" s="88" t="n"/>
      <c r="E148" s="88" t="n"/>
      <c r="F148" s="88" t="n"/>
      <c r="G148" s="88" t="n"/>
      <c r="H148" s="94" t="n"/>
      <c r="I148" s="4" t="n"/>
      <c r="J148" s="95" t="n"/>
      <c r="K148" s="213" t="n"/>
      <c r="L148" s="213" t="n"/>
      <c r="M148" s="213" t="n"/>
      <c r="N148" s="213" t="n"/>
      <c r="O148" s="213" t="n"/>
      <c r="P148" s="213" t="n"/>
      <c r="Q148" s="213" t="n"/>
      <c r="R148" s="213" t="n"/>
      <c r="S148" s="213" t="n"/>
      <c r="T148" s="213" t="n"/>
      <c r="U148" s="213" t="n"/>
      <c r="V148" s="213" t="n"/>
      <c r="W148" s="213" t="n"/>
      <c r="X148" s="213" t="n"/>
      <c r="Y148" s="213" t="n"/>
      <c r="Z148" s="213" t="n"/>
      <c r="AA148" s="213" t="n"/>
      <c r="AB148" s="213" t="n"/>
      <c r="AC148" s="213" t="n"/>
      <c r="AD148" s="213" t="n"/>
      <c r="AE148" s="213" t="n"/>
      <c r="AF148" s="213" t="n"/>
      <c r="AG148" s="213" t="n"/>
      <c r="AH148" s="213" t="n"/>
      <c r="AI148" s="213" t="n"/>
      <c r="AJ148" s="213" t="n"/>
      <c r="AK148" s="213" t="n"/>
    </row>
    <row r="149">
      <c r="B149" s="94" t="n"/>
      <c r="C149" s="88" t="n"/>
      <c r="D149" s="88" t="n"/>
      <c r="E149" s="88" t="n"/>
      <c r="F149" s="88" t="n"/>
      <c r="G149" s="88" t="n"/>
      <c r="H149" s="94" t="n"/>
      <c r="I149" s="4" t="n"/>
      <c r="J149" s="95" t="n"/>
      <c r="K149" s="213" t="n"/>
      <c r="L149" s="213" t="n"/>
      <c r="M149" s="213" t="n"/>
      <c r="N149" s="213" t="n"/>
      <c r="O149" s="213" t="n"/>
      <c r="P149" s="213" t="n"/>
      <c r="Q149" s="213" t="n"/>
      <c r="R149" s="213" t="n"/>
      <c r="S149" s="213" t="n"/>
      <c r="T149" s="213" t="n"/>
      <c r="U149" s="213" t="n"/>
      <c r="V149" s="213" t="n"/>
      <c r="W149" s="213" t="n"/>
      <c r="X149" s="213" t="n"/>
      <c r="Y149" s="213" t="n"/>
      <c r="Z149" s="213" t="n"/>
      <c r="AA149" s="213" t="n"/>
      <c r="AB149" s="213" t="n"/>
      <c r="AC149" s="213" t="n"/>
      <c r="AD149" s="213" t="n"/>
      <c r="AE149" s="213" t="n"/>
      <c r="AF149" s="213" t="n"/>
      <c r="AG149" s="213" t="n"/>
      <c r="AH149" s="213" t="n"/>
      <c r="AI149" s="213" t="n"/>
      <c r="AJ149" s="213" t="n"/>
      <c r="AK149" s="213" t="n"/>
    </row>
    <row r="150">
      <c r="B150" s="94" t="n"/>
      <c r="C150" s="88" t="n"/>
      <c r="D150" s="88" t="n"/>
      <c r="E150" s="88" t="n"/>
      <c r="F150" s="88" t="n"/>
      <c r="G150" s="88" t="n"/>
      <c r="H150" s="94" t="n"/>
      <c r="I150" s="4" t="n"/>
      <c r="J150" s="95" t="n"/>
      <c r="K150" s="213" t="n"/>
      <c r="L150" s="213" t="n"/>
      <c r="M150" s="213" t="n"/>
      <c r="N150" s="213" t="n"/>
      <c r="O150" s="213" t="n"/>
      <c r="P150" s="213" t="n"/>
      <c r="Q150" s="213" t="n"/>
      <c r="R150" s="213" t="n"/>
      <c r="S150" s="213" t="n"/>
      <c r="T150" s="213" t="n"/>
      <c r="U150" s="213" t="n"/>
      <c r="V150" s="213" t="n"/>
      <c r="W150" s="213" t="n"/>
      <c r="X150" s="213" t="n"/>
      <c r="Y150" s="213" t="n"/>
      <c r="Z150" s="213" t="n"/>
      <c r="AA150" s="213" t="n"/>
      <c r="AB150" s="213" t="n"/>
      <c r="AC150" s="213" t="n"/>
      <c r="AD150" s="213" t="n"/>
      <c r="AE150" s="213" t="n"/>
      <c r="AF150" s="213" t="n"/>
      <c r="AG150" s="213" t="n"/>
      <c r="AH150" s="213" t="n"/>
      <c r="AI150" s="213" t="n"/>
      <c r="AJ150" s="213" t="n"/>
      <c r="AK150" s="213" t="n"/>
    </row>
    <row r="151">
      <c r="B151" s="94" t="n"/>
      <c r="C151" s="88" t="n"/>
      <c r="D151" s="88" t="n"/>
      <c r="E151" s="88" t="n"/>
      <c r="F151" s="88" t="n"/>
      <c r="G151" s="88" t="n"/>
      <c r="H151" s="94" t="n"/>
      <c r="I151" s="4" t="n"/>
      <c r="J151" s="95" t="n"/>
      <c r="K151" s="213" t="n"/>
      <c r="L151" s="213" t="n"/>
      <c r="M151" s="213" t="n"/>
      <c r="N151" s="213" t="n"/>
      <c r="O151" s="213" t="n"/>
      <c r="P151" s="213" t="n"/>
      <c r="Q151" s="213" t="n"/>
      <c r="R151" s="213" t="n"/>
      <c r="S151" s="213" t="n"/>
      <c r="T151" s="213" t="n"/>
      <c r="U151" s="213" t="n"/>
      <c r="V151" s="213" t="n"/>
      <c r="W151" s="213" t="n"/>
      <c r="X151" s="213" t="n"/>
      <c r="Y151" s="213" t="n"/>
      <c r="Z151" s="213" t="n"/>
      <c r="AA151" s="213" t="n"/>
      <c r="AB151" s="213" t="n"/>
      <c r="AC151" s="213" t="n"/>
      <c r="AD151" s="213" t="n"/>
      <c r="AE151" s="213" t="n"/>
      <c r="AF151" s="213" t="n"/>
      <c r="AG151" s="213" t="n"/>
      <c r="AH151" s="213" t="n"/>
      <c r="AI151" s="213" t="n"/>
      <c r="AJ151" s="213" t="n"/>
      <c r="AK151" s="213" t="n"/>
    </row>
    <row r="152">
      <c r="B152" s="94" t="n"/>
      <c r="C152" s="88" t="n"/>
      <c r="D152" s="88" t="n"/>
      <c r="E152" s="88" t="n"/>
      <c r="F152" s="88" t="n"/>
      <c r="G152" s="88" t="n"/>
      <c r="H152" s="94" t="n"/>
      <c r="I152" s="4" t="n"/>
      <c r="J152" s="95" t="n"/>
      <c r="K152" s="213" t="n"/>
      <c r="L152" s="213" t="n"/>
      <c r="M152" s="213" t="n"/>
      <c r="N152" s="213" t="n"/>
      <c r="O152" s="213" t="n"/>
      <c r="P152" s="213" t="n"/>
      <c r="Q152" s="213" t="n"/>
      <c r="R152" s="213" t="n"/>
      <c r="S152" s="213" t="n"/>
      <c r="T152" s="213" t="n"/>
      <c r="U152" s="213" t="n"/>
      <c r="V152" s="213" t="n"/>
      <c r="W152" s="213" t="n"/>
      <c r="X152" s="213" t="n"/>
      <c r="Y152" s="213" t="n"/>
      <c r="Z152" s="213" t="n"/>
      <c r="AA152" s="213" t="n"/>
      <c r="AB152" s="213" t="n"/>
      <c r="AC152" s="213" t="n"/>
      <c r="AD152" s="213" t="n"/>
      <c r="AE152" s="213" t="n"/>
      <c r="AF152" s="213" t="n"/>
      <c r="AG152" s="213" t="n"/>
      <c r="AH152" s="213" t="n"/>
      <c r="AI152" s="213" t="n"/>
      <c r="AJ152" s="213" t="n"/>
      <c r="AK152" s="213" t="n"/>
    </row>
    <row r="153">
      <c r="B153" s="94" t="n"/>
      <c r="C153" s="88" t="n"/>
      <c r="D153" s="88" t="n"/>
      <c r="E153" s="88" t="n"/>
      <c r="F153" s="88" t="n"/>
      <c r="G153" s="88" t="n"/>
      <c r="H153" s="94" t="n"/>
      <c r="I153" s="4" t="n"/>
      <c r="J153" s="95" t="n"/>
      <c r="K153" s="213" t="n"/>
      <c r="L153" s="213" t="n"/>
      <c r="M153" s="213" t="n"/>
      <c r="N153" s="213" t="n"/>
      <c r="O153" s="213" t="n"/>
      <c r="P153" s="213" t="n"/>
      <c r="Q153" s="213" t="n"/>
      <c r="R153" s="213" t="n"/>
      <c r="S153" s="213" t="n"/>
      <c r="T153" s="213" t="n"/>
      <c r="U153" s="213" t="n"/>
      <c r="V153" s="213" t="n"/>
      <c r="W153" s="213" t="n"/>
      <c r="X153" s="213" t="n"/>
      <c r="Y153" s="213" t="n"/>
      <c r="Z153" s="213" t="n"/>
      <c r="AA153" s="213" t="n"/>
      <c r="AB153" s="213" t="n"/>
      <c r="AC153" s="213" t="n"/>
      <c r="AD153" s="213" t="n"/>
      <c r="AE153" s="213" t="n"/>
      <c r="AF153" s="213" t="n"/>
      <c r="AG153" s="213" t="n"/>
      <c r="AH153" s="213" t="n"/>
      <c r="AI153" s="213" t="n"/>
      <c r="AJ153" s="213" t="n"/>
      <c r="AK153" s="213" t="n"/>
    </row>
    <row r="154">
      <c r="B154" s="94" t="n"/>
      <c r="C154" s="88" t="n"/>
      <c r="D154" s="88" t="n"/>
      <c r="E154" s="88" t="n"/>
      <c r="F154" s="88" t="n"/>
      <c r="G154" s="88" t="n"/>
      <c r="H154" s="94" t="n"/>
      <c r="I154" s="4" t="n"/>
      <c r="J154" s="95" t="n"/>
      <c r="K154" s="213" t="n"/>
      <c r="L154" s="213" t="n"/>
      <c r="M154" s="213" t="n"/>
      <c r="N154" s="213" t="n"/>
      <c r="O154" s="213" t="n"/>
      <c r="P154" s="213" t="n"/>
      <c r="Q154" s="213" t="n"/>
      <c r="R154" s="213" t="n"/>
      <c r="S154" s="213" t="n"/>
      <c r="T154" s="213" t="n"/>
      <c r="U154" s="213" t="n"/>
      <c r="V154" s="213" t="n"/>
      <c r="W154" s="213" t="n"/>
      <c r="X154" s="213" t="n"/>
      <c r="Y154" s="213" t="n"/>
      <c r="Z154" s="213" t="n"/>
      <c r="AA154" s="213" t="n"/>
      <c r="AB154" s="213" t="n"/>
      <c r="AC154" s="213" t="n"/>
      <c r="AD154" s="213" t="n"/>
      <c r="AE154" s="213" t="n"/>
      <c r="AF154" s="213" t="n"/>
      <c r="AG154" s="213" t="n"/>
      <c r="AH154" s="213" t="n"/>
      <c r="AI154" s="213" t="n"/>
      <c r="AJ154" s="213" t="n"/>
      <c r="AK154" s="213" t="n"/>
    </row>
    <row r="155">
      <c r="B155" s="94" t="n"/>
      <c r="C155" s="88" t="n"/>
      <c r="D155" s="88" t="n"/>
      <c r="E155" s="88" t="n"/>
      <c r="F155" s="88" t="n"/>
      <c r="G155" s="88" t="n"/>
      <c r="H155" s="94" t="n"/>
      <c r="I155" s="4" t="n"/>
      <c r="J155" s="95" t="n"/>
      <c r="K155" s="213" t="n"/>
      <c r="L155" s="213" t="n"/>
      <c r="M155" s="213" t="n"/>
      <c r="N155" s="213" t="n"/>
      <c r="O155" s="213" t="n"/>
      <c r="P155" s="213" t="n"/>
      <c r="Q155" s="213" t="n"/>
      <c r="R155" s="213" t="n"/>
      <c r="S155" s="213" t="n"/>
      <c r="T155" s="213" t="n"/>
      <c r="U155" s="213" t="n"/>
      <c r="V155" s="213" t="n"/>
      <c r="W155" s="213" t="n"/>
      <c r="X155" s="213" t="n"/>
      <c r="Y155" s="213" t="n"/>
      <c r="Z155" s="213" t="n"/>
      <c r="AA155" s="213" t="n"/>
      <c r="AB155" s="213" t="n"/>
      <c r="AC155" s="213" t="n"/>
      <c r="AD155" s="213" t="n"/>
      <c r="AE155" s="213" t="n"/>
      <c r="AF155" s="213" t="n"/>
      <c r="AG155" s="213" t="n"/>
      <c r="AH155" s="213" t="n"/>
      <c r="AI155" s="213" t="n"/>
      <c r="AJ155" s="213" t="n"/>
      <c r="AK155" s="213" t="n"/>
    </row>
    <row r="156">
      <c r="B156" s="94" t="n"/>
      <c r="C156" s="88" t="n"/>
      <c r="D156" s="88" t="n"/>
      <c r="E156" s="88" t="n"/>
      <c r="F156" s="88" t="n"/>
      <c r="G156" s="88" t="n"/>
      <c r="H156" s="94" t="n"/>
      <c r="I156" s="4" t="n"/>
      <c r="J156" s="95" t="n"/>
      <c r="K156" s="213" t="n"/>
      <c r="L156" s="213" t="n"/>
      <c r="M156" s="213" t="n"/>
      <c r="N156" s="213" t="n"/>
      <c r="O156" s="213" t="n"/>
      <c r="P156" s="213" t="n"/>
      <c r="Q156" s="213" t="n"/>
      <c r="R156" s="213" t="n"/>
      <c r="S156" s="213" t="n"/>
      <c r="T156" s="213" t="n"/>
      <c r="U156" s="213" t="n"/>
      <c r="V156" s="213" t="n"/>
      <c r="W156" s="213" t="n"/>
      <c r="X156" s="213" t="n"/>
      <c r="Y156" s="213" t="n"/>
      <c r="Z156" s="213" t="n"/>
      <c r="AA156" s="213" t="n"/>
      <c r="AB156" s="213" t="n"/>
      <c r="AC156" s="213" t="n"/>
      <c r="AD156" s="213" t="n"/>
      <c r="AE156" s="213" t="n"/>
      <c r="AF156" s="213" t="n"/>
      <c r="AG156" s="213" t="n"/>
      <c r="AH156" s="213" t="n"/>
      <c r="AI156" s="213" t="n"/>
      <c r="AJ156" s="213" t="n"/>
      <c r="AK156" s="213" t="n"/>
    </row>
    <row r="157">
      <c r="B157" s="94" t="n"/>
      <c r="C157" s="88" t="n"/>
      <c r="D157" s="88" t="n"/>
      <c r="E157" s="88" t="n"/>
      <c r="F157" s="88" t="n"/>
      <c r="G157" s="88" t="n"/>
      <c r="H157" s="94" t="n"/>
      <c r="I157" s="4" t="n"/>
      <c r="J157" s="95" t="n"/>
      <c r="K157" s="213" t="n"/>
      <c r="L157" s="213" t="n"/>
      <c r="M157" s="213" t="n"/>
      <c r="N157" s="213" t="n"/>
      <c r="O157" s="213" t="n"/>
      <c r="P157" s="213" t="n"/>
      <c r="Q157" s="213" t="n"/>
      <c r="R157" s="213" t="n"/>
      <c r="S157" s="213" t="n"/>
      <c r="T157" s="213" t="n"/>
      <c r="U157" s="213" t="n"/>
      <c r="V157" s="213" t="n"/>
      <c r="W157" s="213" t="n"/>
      <c r="X157" s="213" t="n"/>
      <c r="Y157" s="213" t="n"/>
      <c r="Z157" s="213" t="n"/>
      <c r="AA157" s="213" t="n"/>
      <c r="AB157" s="213" t="n"/>
      <c r="AC157" s="213" t="n"/>
      <c r="AD157" s="213" t="n"/>
      <c r="AE157" s="213" t="n"/>
      <c r="AF157" s="213" t="n"/>
      <c r="AG157" s="213" t="n"/>
      <c r="AH157" s="213" t="n"/>
      <c r="AI157" s="213" t="n"/>
      <c r="AJ157" s="213" t="n"/>
      <c r="AK157" s="213" t="n"/>
    </row>
    <row r="158">
      <c r="B158" s="94" t="n"/>
      <c r="C158" s="88" t="n"/>
      <c r="D158" s="88" t="n"/>
      <c r="E158" s="88" t="n"/>
      <c r="F158" s="88" t="n"/>
      <c r="G158" s="88" t="n"/>
      <c r="H158" s="94" t="n"/>
      <c r="I158" s="4" t="n"/>
      <c r="J158" s="95" t="n"/>
      <c r="K158" s="213" t="n"/>
      <c r="L158" s="213" t="n"/>
      <c r="M158" s="213" t="n"/>
      <c r="N158" s="213" t="n"/>
      <c r="O158" s="213" t="n"/>
      <c r="P158" s="213" t="n"/>
      <c r="Q158" s="213" t="n"/>
      <c r="R158" s="213" t="n"/>
      <c r="S158" s="213" t="n"/>
      <c r="T158" s="213" t="n"/>
      <c r="U158" s="213" t="n"/>
      <c r="V158" s="213" t="n"/>
      <c r="W158" s="213" t="n"/>
      <c r="X158" s="213" t="n"/>
      <c r="Y158" s="213" t="n"/>
      <c r="Z158" s="213" t="n"/>
      <c r="AA158" s="213" t="n"/>
      <c r="AB158" s="213" t="n"/>
      <c r="AC158" s="213" t="n"/>
      <c r="AD158" s="213" t="n"/>
      <c r="AE158" s="213" t="n"/>
      <c r="AF158" s="213" t="n"/>
      <c r="AG158" s="213" t="n"/>
      <c r="AH158" s="213" t="n"/>
      <c r="AI158" s="213" t="n"/>
      <c r="AJ158" s="213" t="n"/>
      <c r="AK158" s="213" t="n"/>
    </row>
    <row r="159">
      <c r="B159" s="94" t="n"/>
      <c r="C159" s="88" t="n"/>
      <c r="D159" s="88" t="n"/>
      <c r="E159" s="88" t="n"/>
      <c r="F159" s="88" t="n"/>
      <c r="G159" s="88" t="n"/>
      <c r="H159" s="94" t="n"/>
      <c r="I159" s="4" t="n"/>
      <c r="J159" s="95" t="n"/>
      <c r="K159" s="213" t="n"/>
      <c r="L159" s="213" t="n"/>
      <c r="M159" s="213" t="n"/>
      <c r="N159" s="213" t="n"/>
      <c r="O159" s="213" t="n"/>
      <c r="P159" s="213" t="n"/>
      <c r="Q159" s="213" t="n"/>
      <c r="R159" s="213" t="n"/>
      <c r="S159" s="213" t="n"/>
      <c r="T159" s="213" t="n"/>
      <c r="U159" s="213" t="n"/>
      <c r="V159" s="213" t="n"/>
      <c r="W159" s="213" t="n"/>
      <c r="X159" s="213" t="n"/>
      <c r="Y159" s="213" t="n"/>
      <c r="Z159" s="213" t="n"/>
      <c r="AA159" s="213" t="n"/>
      <c r="AB159" s="213" t="n"/>
      <c r="AC159" s="213" t="n"/>
      <c r="AD159" s="213" t="n"/>
      <c r="AE159" s="213" t="n"/>
      <c r="AF159" s="213" t="n"/>
      <c r="AG159" s="213" t="n"/>
      <c r="AH159" s="213" t="n"/>
      <c r="AI159" s="213" t="n"/>
      <c r="AJ159" s="213" t="n"/>
      <c r="AK159" s="213" t="n"/>
    </row>
    <row r="160">
      <c r="B160" s="94" t="n"/>
      <c r="C160" s="88" t="n"/>
      <c r="D160" s="88" t="n"/>
      <c r="E160" s="88" t="n"/>
      <c r="F160" s="88" t="n"/>
      <c r="G160" s="88" t="n"/>
      <c r="H160" s="94" t="n"/>
      <c r="I160" s="4" t="n"/>
      <c r="J160" s="95" t="n"/>
      <c r="K160" s="213" t="n"/>
      <c r="L160" s="213" t="n"/>
      <c r="M160" s="213" t="n"/>
      <c r="N160" s="213" t="n"/>
      <c r="O160" s="213" t="n"/>
      <c r="P160" s="213" t="n"/>
      <c r="Q160" s="213" t="n"/>
      <c r="R160" s="213" t="n"/>
      <c r="S160" s="213" t="n"/>
      <c r="T160" s="213" t="n"/>
      <c r="U160" s="213" t="n"/>
      <c r="V160" s="213" t="n"/>
      <c r="W160" s="213" t="n"/>
      <c r="X160" s="213" t="n"/>
      <c r="Y160" s="213" t="n"/>
      <c r="Z160" s="213" t="n"/>
      <c r="AA160" s="213" t="n"/>
      <c r="AB160" s="213" t="n"/>
      <c r="AC160" s="213" t="n"/>
      <c r="AD160" s="213" t="n"/>
      <c r="AE160" s="213" t="n"/>
      <c r="AF160" s="213" t="n"/>
      <c r="AG160" s="213" t="n"/>
      <c r="AH160" s="213" t="n"/>
      <c r="AI160" s="213" t="n"/>
      <c r="AJ160" s="213" t="n"/>
      <c r="AK160" s="213" t="n"/>
    </row>
    <row r="161">
      <c r="B161" s="94" t="n"/>
      <c r="C161" s="88" t="n"/>
      <c r="D161" s="88" t="n"/>
      <c r="E161" s="88" t="n"/>
      <c r="F161" s="88" t="n"/>
      <c r="G161" s="88" t="n"/>
      <c r="H161" s="94" t="n"/>
      <c r="I161" s="4" t="n"/>
      <c r="J161" s="95" t="n"/>
      <c r="K161" s="213" t="n"/>
      <c r="L161" s="213" t="n"/>
      <c r="M161" s="213" t="n"/>
      <c r="N161" s="213" t="n"/>
      <c r="O161" s="213" t="n"/>
      <c r="P161" s="213" t="n"/>
      <c r="Q161" s="213" t="n"/>
      <c r="R161" s="213" t="n"/>
      <c r="S161" s="213" t="n"/>
      <c r="T161" s="213" t="n"/>
      <c r="U161" s="213" t="n"/>
      <c r="V161" s="213" t="n"/>
      <c r="W161" s="213" t="n"/>
      <c r="X161" s="213" t="n"/>
      <c r="Y161" s="213" t="n"/>
      <c r="Z161" s="213" t="n"/>
      <c r="AA161" s="213" t="n"/>
      <c r="AB161" s="213" t="n"/>
      <c r="AC161" s="213" t="n"/>
      <c r="AD161" s="213" t="n"/>
      <c r="AE161" s="213" t="n"/>
      <c r="AF161" s="213" t="n"/>
      <c r="AG161" s="213" t="n"/>
      <c r="AH161" s="213" t="n"/>
      <c r="AI161" s="213" t="n"/>
      <c r="AJ161" s="213" t="n"/>
      <c r="AK161" s="213" t="n"/>
    </row>
    <row r="162">
      <c r="B162" s="94" t="n"/>
      <c r="C162" s="88" t="n"/>
      <c r="D162" s="88" t="n"/>
      <c r="E162" s="88" t="n"/>
      <c r="F162" s="88" t="n"/>
      <c r="G162" s="88" t="n"/>
      <c r="H162" s="94" t="n"/>
      <c r="I162" s="4" t="n"/>
      <c r="J162" s="95" t="n"/>
      <c r="K162" s="213" t="n"/>
      <c r="L162" s="213" t="n"/>
      <c r="M162" s="213" t="n"/>
      <c r="N162" s="213" t="n"/>
      <c r="O162" s="213" t="n"/>
      <c r="P162" s="213" t="n"/>
      <c r="Q162" s="213" t="n"/>
      <c r="R162" s="213" t="n"/>
      <c r="S162" s="213" t="n"/>
      <c r="T162" s="213" t="n"/>
      <c r="U162" s="213" t="n"/>
      <c r="V162" s="213" t="n"/>
      <c r="W162" s="213" t="n"/>
      <c r="X162" s="213" t="n"/>
      <c r="Y162" s="213" t="n"/>
      <c r="Z162" s="213" t="n"/>
      <c r="AA162" s="213" t="n"/>
      <c r="AB162" s="213" t="n"/>
      <c r="AC162" s="213" t="n"/>
      <c r="AD162" s="213" t="n"/>
      <c r="AE162" s="213" t="n"/>
      <c r="AF162" s="213" t="n"/>
      <c r="AG162" s="213" t="n"/>
      <c r="AH162" s="213" t="n"/>
      <c r="AI162" s="213" t="n"/>
      <c r="AJ162" s="213" t="n"/>
      <c r="AK162" s="213" t="n"/>
    </row>
    <row r="163">
      <c r="B163" s="94" t="n"/>
      <c r="C163" s="88" t="n"/>
      <c r="D163" s="88" t="n"/>
      <c r="E163" s="88" t="n"/>
      <c r="F163" s="88" t="n"/>
      <c r="G163" s="88" t="n"/>
      <c r="H163" s="94" t="n"/>
      <c r="I163" s="4" t="n"/>
      <c r="J163" s="95" t="n"/>
      <c r="K163" s="213" t="n"/>
      <c r="L163" s="213" t="n"/>
      <c r="M163" s="213" t="n"/>
      <c r="N163" s="213" t="n"/>
      <c r="O163" s="213" t="n"/>
      <c r="P163" s="213" t="n"/>
      <c r="Q163" s="213" t="n"/>
      <c r="R163" s="213" t="n"/>
      <c r="S163" s="213" t="n"/>
      <c r="T163" s="213" t="n"/>
      <c r="U163" s="213" t="n"/>
      <c r="V163" s="213" t="n"/>
      <c r="W163" s="213" t="n"/>
      <c r="X163" s="213" t="n"/>
      <c r="Y163" s="213" t="n"/>
      <c r="Z163" s="213" t="n"/>
      <c r="AA163" s="213" t="n"/>
      <c r="AB163" s="213" t="n"/>
      <c r="AC163" s="213" t="n"/>
      <c r="AD163" s="213" t="n"/>
      <c r="AE163" s="213" t="n"/>
      <c r="AF163" s="213" t="n"/>
      <c r="AG163" s="213" t="n"/>
      <c r="AH163" s="213" t="n"/>
      <c r="AI163" s="213" t="n"/>
      <c r="AJ163" s="213" t="n"/>
      <c r="AK163" s="213" t="n"/>
    </row>
    <row r="164">
      <c r="B164" s="94" t="n"/>
      <c r="C164" s="88" t="n"/>
      <c r="D164" s="88" t="n"/>
      <c r="E164" s="88" t="n"/>
      <c r="F164" s="88" t="n"/>
      <c r="G164" s="88" t="n"/>
      <c r="H164" s="94" t="n"/>
      <c r="I164" s="4" t="n"/>
      <c r="J164" s="95" t="n"/>
      <c r="K164" s="213" t="n"/>
      <c r="L164" s="213" t="n"/>
      <c r="M164" s="213" t="n"/>
      <c r="N164" s="213" t="n"/>
      <c r="O164" s="213" t="n"/>
      <c r="P164" s="213" t="n"/>
      <c r="Q164" s="213" t="n"/>
      <c r="R164" s="213" t="n"/>
      <c r="S164" s="213" t="n"/>
      <c r="T164" s="213" t="n"/>
      <c r="U164" s="213" t="n"/>
      <c r="V164" s="213" t="n"/>
      <c r="W164" s="213" t="n"/>
      <c r="X164" s="213" t="n"/>
      <c r="Y164" s="213" t="n"/>
      <c r="Z164" s="213" t="n"/>
      <c r="AA164" s="213" t="n"/>
      <c r="AB164" s="213" t="n"/>
      <c r="AC164" s="213" t="n"/>
      <c r="AD164" s="213" t="n"/>
      <c r="AE164" s="213" t="n"/>
      <c r="AF164" s="213" t="n"/>
      <c r="AG164" s="213" t="n"/>
      <c r="AH164" s="213" t="n"/>
      <c r="AI164" s="213" t="n"/>
      <c r="AJ164" s="213" t="n"/>
      <c r="AK164" s="213" t="n"/>
    </row>
    <row r="165">
      <c r="B165" s="94" t="n"/>
      <c r="C165" s="88" t="n"/>
      <c r="D165" s="88" t="n"/>
      <c r="E165" s="88" t="n"/>
      <c r="F165" s="88" t="n"/>
      <c r="G165" s="88" t="n"/>
      <c r="H165" s="94" t="n"/>
      <c r="I165" s="4" t="n"/>
      <c r="J165" s="95" t="n"/>
      <c r="K165" s="213" t="n"/>
      <c r="L165" s="213" t="n"/>
      <c r="M165" s="213" t="n"/>
      <c r="N165" s="213" t="n"/>
      <c r="O165" s="213" t="n"/>
      <c r="P165" s="213" t="n"/>
      <c r="Q165" s="213" t="n"/>
      <c r="R165" s="213" t="n"/>
      <c r="S165" s="213" t="n"/>
      <c r="T165" s="213" t="n"/>
      <c r="U165" s="213" t="n"/>
      <c r="V165" s="213" t="n"/>
      <c r="W165" s="213" t="n"/>
      <c r="X165" s="213" t="n"/>
      <c r="Y165" s="213" t="n"/>
      <c r="Z165" s="213" t="n"/>
      <c r="AA165" s="213" t="n"/>
      <c r="AB165" s="213" t="n"/>
      <c r="AC165" s="213" t="n"/>
      <c r="AD165" s="213" t="n"/>
      <c r="AE165" s="213" t="n"/>
      <c r="AF165" s="213" t="n"/>
      <c r="AG165" s="213" t="n"/>
      <c r="AH165" s="213" t="n"/>
      <c r="AI165" s="213" t="n"/>
      <c r="AJ165" s="213" t="n"/>
      <c r="AK165" s="213" t="n"/>
    </row>
    <row r="166">
      <c r="B166" s="94" t="n"/>
      <c r="C166" s="88" t="n"/>
      <c r="D166" s="88" t="n"/>
      <c r="E166" s="88" t="n"/>
      <c r="F166" s="88" t="n"/>
      <c r="G166" s="88" t="n"/>
      <c r="H166" s="94" t="n"/>
      <c r="I166" s="4" t="n"/>
      <c r="J166" s="95" t="n"/>
      <c r="K166" s="213" t="n"/>
      <c r="L166" s="213" t="n"/>
      <c r="M166" s="213" t="n"/>
      <c r="N166" s="213" t="n"/>
      <c r="O166" s="213" t="n"/>
      <c r="P166" s="213" t="n"/>
      <c r="Q166" s="213" t="n"/>
      <c r="R166" s="213" t="n"/>
      <c r="S166" s="213" t="n"/>
      <c r="T166" s="213" t="n"/>
      <c r="U166" s="213" t="n"/>
      <c r="V166" s="213" t="n"/>
      <c r="W166" s="213" t="n"/>
      <c r="X166" s="213" t="n"/>
      <c r="Y166" s="213" t="n"/>
      <c r="Z166" s="213" t="n"/>
      <c r="AA166" s="213" t="n"/>
      <c r="AB166" s="213" t="n"/>
      <c r="AC166" s="213" t="n"/>
      <c r="AD166" s="213" t="n"/>
      <c r="AE166" s="213" t="n"/>
      <c r="AF166" s="213" t="n"/>
      <c r="AG166" s="213" t="n"/>
      <c r="AH166" s="213" t="n"/>
      <c r="AI166" s="213" t="n"/>
      <c r="AJ166" s="213" t="n"/>
      <c r="AK166" s="213" t="n"/>
    </row>
    <row r="167">
      <c r="B167" s="94" t="n"/>
      <c r="C167" s="88" t="n"/>
      <c r="D167" s="88" t="n"/>
      <c r="E167" s="88" t="n"/>
      <c r="F167" s="88" t="n"/>
      <c r="G167" s="88" t="n"/>
      <c r="H167" s="94" t="n"/>
      <c r="I167" s="4" t="n"/>
      <c r="J167" s="95" t="n"/>
      <c r="K167" s="213" t="n"/>
      <c r="L167" s="213" t="n"/>
      <c r="M167" s="213" t="n"/>
      <c r="N167" s="213" t="n"/>
      <c r="O167" s="213" t="n"/>
      <c r="P167" s="213" t="n"/>
      <c r="Q167" s="213" t="n"/>
      <c r="R167" s="213" t="n"/>
      <c r="S167" s="213" t="n"/>
      <c r="T167" s="213" t="n"/>
      <c r="U167" s="213" t="n"/>
      <c r="V167" s="213" t="n"/>
      <c r="W167" s="213" t="n"/>
      <c r="X167" s="213" t="n"/>
      <c r="Y167" s="213" t="n"/>
      <c r="Z167" s="213" t="n"/>
      <c r="AA167" s="213" t="n"/>
      <c r="AB167" s="213" t="n"/>
      <c r="AC167" s="213" t="n"/>
      <c r="AD167" s="213" t="n"/>
      <c r="AE167" s="213" t="n"/>
      <c r="AF167" s="213" t="n"/>
      <c r="AG167" s="213" t="n"/>
      <c r="AH167" s="213" t="n"/>
      <c r="AI167" s="213" t="n"/>
      <c r="AJ167" s="213" t="n"/>
      <c r="AK167" s="213" t="n"/>
    </row>
    <row r="168">
      <c r="B168" s="94" t="n"/>
      <c r="C168" s="88" t="n"/>
      <c r="D168" s="88" t="n"/>
      <c r="E168" s="88" t="n"/>
      <c r="F168" s="88" t="n"/>
      <c r="G168" s="88" t="n"/>
      <c r="H168" s="94" t="n"/>
      <c r="I168" s="4" t="n"/>
      <c r="J168" s="95" t="n"/>
      <c r="K168" s="213" t="n"/>
      <c r="L168" s="213" t="n"/>
      <c r="M168" s="213" t="n"/>
      <c r="N168" s="213" t="n"/>
      <c r="O168" s="213" t="n"/>
      <c r="P168" s="213" t="n"/>
      <c r="Q168" s="213" t="n"/>
      <c r="R168" s="213" t="n"/>
      <c r="S168" s="213" t="n"/>
      <c r="T168" s="213" t="n"/>
      <c r="U168" s="213" t="n"/>
      <c r="V168" s="213" t="n"/>
      <c r="W168" s="213" t="n"/>
      <c r="X168" s="213" t="n"/>
      <c r="Y168" s="213" t="n"/>
      <c r="Z168" s="213" t="n"/>
      <c r="AA168" s="213" t="n"/>
      <c r="AB168" s="213" t="n"/>
      <c r="AC168" s="213" t="n"/>
      <c r="AD168" s="213" t="n"/>
      <c r="AE168" s="213" t="n"/>
      <c r="AF168" s="213" t="n"/>
      <c r="AG168" s="213" t="n"/>
      <c r="AH168" s="213" t="n"/>
      <c r="AI168" s="213" t="n"/>
      <c r="AJ168" s="213" t="n"/>
      <c r="AK168" s="213" t="n"/>
    </row>
    <row r="169">
      <c r="B169" s="94" t="n"/>
      <c r="C169" s="88" t="n"/>
      <c r="D169" s="88" t="n"/>
      <c r="E169" s="88" t="n"/>
      <c r="F169" s="88" t="n"/>
      <c r="G169" s="88" t="n"/>
      <c r="H169" s="94" t="n"/>
      <c r="I169" s="4" t="n"/>
      <c r="J169" s="95" t="n"/>
      <c r="K169" s="213" t="n"/>
      <c r="L169" s="213" t="n"/>
      <c r="M169" s="213" t="n"/>
      <c r="N169" s="213" t="n"/>
      <c r="O169" s="213" t="n"/>
      <c r="P169" s="213" t="n"/>
      <c r="Q169" s="213" t="n"/>
      <c r="R169" s="213" t="n"/>
      <c r="S169" s="213" t="n"/>
      <c r="T169" s="213" t="n"/>
      <c r="U169" s="213" t="n"/>
      <c r="V169" s="213" t="n"/>
      <c r="W169" s="213" t="n"/>
      <c r="X169" s="213" t="n"/>
      <c r="Y169" s="213" t="n"/>
      <c r="Z169" s="213" t="n"/>
      <c r="AA169" s="213" t="n"/>
      <c r="AB169" s="213" t="n"/>
      <c r="AC169" s="213" t="n"/>
      <c r="AD169" s="213" t="n"/>
      <c r="AE169" s="213" t="n"/>
      <c r="AF169" s="213" t="n"/>
      <c r="AG169" s="213" t="n"/>
      <c r="AH169" s="213" t="n"/>
      <c r="AI169" s="213" t="n"/>
      <c r="AJ169" s="213" t="n"/>
      <c r="AK169" s="213" t="n"/>
    </row>
    <row r="170">
      <c r="B170" s="94" t="n"/>
      <c r="C170" s="88" t="n"/>
      <c r="D170" s="88" t="n"/>
      <c r="E170" s="88" t="n"/>
      <c r="F170" s="88" t="n"/>
      <c r="G170" s="88" t="n"/>
      <c r="H170" s="94" t="n"/>
      <c r="I170" s="4" t="n"/>
      <c r="J170" s="95" t="n"/>
      <c r="K170" s="213" t="n"/>
      <c r="L170" s="213" t="n"/>
      <c r="M170" s="213" t="n"/>
      <c r="N170" s="213" t="n"/>
      <c r="O170" s="213" t="n"/>
      <c r="P170" s="213" t="n"/>
      <c r="Q170" s="213" t="n"/>
      <c r="R170" s="213" t="n"/>
      <c r="S170" s="213" t="n"/>
      <c r="T170" s="213" t="n"/>
      <c r="U170" s="213" t="n"/>
      <c r="V170" s="213" t="n"/>
      <c r="W170" s="213" t="n"/>
      <c r="X170" s="213" t="n"/>
      <c r="Y170" s="213" t="n"/>
      <c r="Z170" s="213" t="n"/>
      <c r="AA170" s="213" t="n"/>
      <c r="AB170" s="213" t="n"/>
      <c r="AC170" s="213" t="n"/>
      <c r="AD170" s="213" t="n"/>
      <c r="AE170" s="213" t="n"/>
      <c r="AF170" s="213" t="n"/>
      <c r="AG170" s="213" t="n"/>
      <c r="AH170" s="213" t="n"/>
      <c r="AI170" s="213" t="n"/>
      <c r="AJ170" s="213" t="n"/>
      <c r="AK170" s="213" t="n"/>
    </row>
    <row r="171">
      <c r="B171" s="94" t="n"/>
      <c r="C171" s="88" t="n"/>
      <c r="D171" s="88" t="n"/>
      <c r="E171" s="88" t="n"/>
      <c r="F171" s="88" t="n"/>
      <c r="G171" s="88" t="n"/>
      <c r="H171" s="94" t="n"/>
      <c r="I171" s="4" t="n"/>
      <c r="J171" s="95" t="n"/>
      <c r="K171" s="213" t="n"/>
      <c r="L171" s="213" t="n"/>
      <c r="M171" s="213" t="n"/>
      <c r="N171" s="213" t="n"/>
      <c r="O171" s="213" t="n"/>
      <c r="P171" s="213" t="n"/>
      <c r="Q171" s="213" t="n"/>
      <c r="R171" s="213" t="n"/>
      <c r="S171" s="213" t="n"/>
      <c r="T171" s="213" t="n"/>
      <c r="U171" s="213" t="n"/>
      <c r="V171" s="213" t="n"/>
      <c r="W171" s="213" t="n"/>
      <c r="X171" s="213" t="n"/>
      <c r="Y171" s="213" t="n"/>
      <c r="Z171" s="213" t="n"/>
      <c r="AA171" s="213" t="n"/>
      <c r="AB171" s="213" t="n"/>
      <c r="AC171" s="213" t="n"/>
      <c r="AD171" s="213" t="n"/>
      <c r="AE171" s="213" t="n"/>
      <c r="AF171" s="213" t="n"/>
      <c r="AG171" s="213" t="n"/>
      <c r="AH171" s="213" t="n"/>
      <c r="AI171" s="213" t="n"/>
      <c r="AJ171" s="213" t="n"/>
      <c r="AK171" s="213" t="n"/>
    </row>
    <row r="172">
      <c r="B172" s="94" t="n"/>
      <c r="C172" s="88" t="n"/>
      <c r="D172" s="88" t="n"/>
      <c r="E172" s="88" t="n"/>
      <c r="F172" s="88" t="n"/>
      <c r="G172" s="88" t="n"/>
      <c r="H172" s="94" t="n"/>
      <c r="I172" s="4" t="n"/>
      <c r="J172" s="95" t="n"/>
      <c r="K172" s="213" t="n"/>
      <c r="L172" s="213" t="n"/>
      <c r="M172" s="213" t="n"/>
      <c r="N172" s="213" t="n"/>
      <c r="O172" s="213" t="n"/>
      <c r="P172" s="213" t="n"/>
      <c r="Q172" s="213" t="n"/>
      <c r="R172" s="213" t="n"/>
      <c r="S172" s="213" t="n"/>
      <c r="T172" s="213" t="n"/>
      <c r="U172" s="213" t="n"/>
      <c r="V172" s="213" t="n"/>
      <c r="W172" s="213" t="n"/>
      <c r="X172" s="213" t="n"/>
      <c r="Y172" s="213" t="n"/>
      <c r="Z172" s="213" t="n"/>
      <c r="AA172" s="213" t="n"/>
      <c r="AB172" s="213" t="n"/>
      <c r="AC172" s="213" t="n"/>
      <c r="AD172" s="213" t="n"/>
      <c r="AE172" s="213" t="n"/>
      <c r="AF172" s="213" t="n"/>
      <c r="AG172" s="213" t="n"/>
      <c r="AH172" s="213" t="n"/>
      <c r="AI172" s="213" t="n"/>
      <c r="AJ172" s="213" t="n"/>
      <c r="AK172" s="213" t="n"/>
    </row>
    <row r="173">
      <c r="B173" s="94" t="n"/>
      <c r="C173" s="88" t="n"/>
      <c r="D173" s="88" t="n"/>
      <c r="E173" s="88" t="n"/>
      <c r="F173" s="88" t="n"/>
      <c r="G173" s="88" t="n"/>
      <c r="H173" s="94" t="n"/>
      <c r="I173" s="4" t="n"/>
      <c r="J173" s="95" t="n"/>
      <c r="K173" s="213" t="n"/>
      <c r="L173" s="213" t="n"/>
      <c r="M173" s="213" t="n"/>
      <c r="N173" s="213" t="n"/>
      <c r="O173" s="213" t="n"/>
      <c r="P173" s="213" t="n"/>
      <c r="Q173" s="213" t="n"/>
      <c r="R173" s="213" t="n"/>
      <c r="S173" s="213" t="n"/>
      <c r="T173" s="213" t="n"/>
      <c r="U173" s="213" t="n"/>
      <c r="V173" s="213" t="n"/>
      <c r="W173" s="213" t="n"/>
      <c r="X173" s="213" t="n"/>
      <c r="Y173" s="213" t="n"/>
      <c r="Z173" s="213" t="n"/>
      <c r="AA173" s="213" t="n"/>
      <c r="AB173" s="213" t="n"/>
      <c r="AC173" s="213" t="n"/>
      <c r="AD173" s="213" t="n"/>
      <c r="AE173" s="213" t="n"/>
      <c r="AF173" s="213" t="n"/>
      <c r="AG173" s="213" t="n"/>
      <c r="AH173" s="213" t="n"/>
      <c r="AI173" s="213" t="n"/>
      <c r="AJ173" s="213" t="n"/>
      <c r="AK173" s="213" t="n"/>
    </row>
    <row r="174">
      <c r="B174" s="94" t="n"/>
      <c r="C174" s="88" t="n"/>
      <c r="D174" s="88" t="n"/>
      <c r="E174" s="88" t="n"/>
      <c r="F174" s="88" t="n"/>
      <c r="G174" s="88" t="n"/>
      <c r="H174" s="94" t="n"/>
      <c r="I174" s="4" t="n"/>
      <c r="J174" s="95" t="n"/>
      <c r="K174" s="213" t="n"/>
      <c r="L174" s="213" t="n"/>
      <c r="M174" s="213" t="n"/>
      <c r="N174" s="213" t="n"/>
      <c r="O174" s="213" t="n"/>
      <c r="P174" s="213" t="n"/>
      <c r="Q174" s="213" t="n"/>
      <c r="R174" s="213" t="n"/>
      <c r="S174" s="213" t="n"/>
      <c r="T174" s="213" t="n"/>
      <c r="U174" s="213" t="n"/>
      <c r="V174" s="213" t="n"/>
      <c r="W174" s="213" t="n"/>
      <c r="X174" s="213" t="n"/>
      <c r="Y174" s="213" t="n"/>
      <c r="Z174" s="213" t="n"/>
      <c r="AA174" s="213" t="n"/>
      <c r="AB174" s="213" t="n"/>
      <c r="AC174" s="213" t="n"/>
      <c r="AD174" s="213" t="n"/>
      <c r="AE174" s="213" t="n"/>
      <c r="AF174" s="213" t="n"/>
      <c r="AG174" s="213" t="n"/>
      <c r="AH174" s="213" t="n"/>
      <c r="AI174" s="213" t="n"/>
      <c r="AJ174" s="213" t="n"/>
      <c r="AK174" s="213" t="n"/>
    </row>
    <row r="175">
      <c r="B175" s="94" t="n"/>
      <c r="C175" s="88" t="n"/>
      <c r="D175" s="88" t="n"/>
      <c r="E175" s="88" t="n"/>
      <c r="F175" s="88" t="n"/>
      <c r="G175" s="88" t="n"/>
      <c r="H175" s="94" t="n"/>
      <c r="I175" s="4" t="n"/>
      <c r="J175" s="95" t="n"/>
      <c r="K175" s="213" t="n"/>
      <c r="L175" s="213" t="n"/>
      <c r="M175" s="213" t="n"/>
      <c r="N175" s="213" t="n"/>
      <c r="O175" s="213" t="n"/>
      <c r="P175" s="213" t="n"/>
      <c r="Q175" s="213" t="n"/>
      <c r="R175" s="213" t="n"/>
      <c r="S175" s="213" t="n"/>
      <c r="T175" s="213" t="n"/>
      <c r="U175" s="213" t="n"/>
      <c r="V175" s="213" t="n"/>
      <c r="W175" s="213" t="n"/>
      <c r="X175" s="213" t="n"/>
      <c r="Y175" s="213" t="n"/>
      <c r="Z175" s="213" t="n"/>
      <c r="AA175" s="213" t="n"/>
      <c r="AB175" s="213" t="n"/>
      <c r="AC175" s="213" t="n"/>
      <c r="AD175" s="213" t="n"/>
      <c r="AE175" s="213" t="n"/>
      <c r="AF175" s="213" t="n"/>
      <c r="AG175" s="213" t="n"/>
      <c r="AH175" s="213" t="n"/>
      <c r="AI175" s="213" t="n"/>
      <c r="AJ175" s="213" t="n"/>
      <c r="AK175" s="213" t="n"/>
    </row>
    <row r="176">
      <c r="B176" s="94" t="n"/>
      <c r="C176" s="88" t="n"/>
      <c r="D176" s="88" t="n"/>
      <c r="E176" s="88" t="n"/>
      <c r="F176" s="88" t="n"/>
      <c r="G176" s="88" t="n"/>
      <c r="H176" s="94" t="n"/>
      <c r="I176" s="4" t="n"/>
      <c r="J176" s="95" t="n"/>
      <c r="K176" s="213" t="n"/>
      <c r="L176" s="213" t="n"/>
      <c r="M176" s="213" t="n"/>
      <c r="N176" s="213" t="n"/>
      <c r="O176" s="213" t="n"/>
      <c r="P176" s="213" t="n"/>
      <c r="Q176" s="213" t="n"/>
      <c r="R176" s="213" t="n"/>
      <c r="S176" s="213" t="n"/>
      <c r="T176" s="213" t="n"/>
      <c r="U176" s="213" t="n"/>
      <c r="V176" s="213" t="n"/>
      <c r="W176" s="213" t="n"/>
      <c r="X176" s="213" t="n"/>
      <c r="Y176" s="213" t="n"/>
      <c r="Z176" s="213" t="n"/>
      <c r="AA176" s="213" t="n"/>
      <c r="AB176" s="213" t="n"/>
      <c r="AC176" s="213" t="n"/>
      <c r="AD176" s="213" t="n"/>
      <c r="AE176" s="213" t="n"/>
      <c r="AF176" s="213" t="n"/>
      <c r="AG176" s="213" t="n"/>
      <c r="AH176" s="213" t="n"/>
      <c r="AI176" s="213" t="n"/>
      <c r="AJ176" s="213" t="n"/>
      <c r="AK176" s="213" t="n"/>
    </row>
    <row r="177">
      <c r="B177" s="94" t="n"/>
      <c r="C177" s="88" t="n"/>
      <c r="D177" s="88" t="n"/>
      <c r="E177" s="88" t="n"/>
      <c r="F177" s="88" t="n"/>
      <c r="G177" s="88" t="n"/>
      <c r="H177" s="94" t="n"/>
      <c r="I177" s="4" t="n"/>
      <c r="J177" s="95" t="n"/>
      <c r="K177" s="213" t="n"/>
      <c r="L177" s="213" t="n"/>
      <c r="M177" s="213" t="n"/>
      <c r="N177" s="213" t="n"/>
      <c r="O177" s="213" t="n"/>
      <c r="P177" s="213" t="n"/>
      <c r="Q177" s="213" t="n"/>
      <c r="R177" s="213" t="n"/>
      <c r="S177" s="213" t="n"/>
      <c r="T177" s="213" t="n"/>
      <c r="U177" s="213" t="n"/>
      <c r="V177" s="213" t="n"/>
      <c r="W177" s="213" t="n"/>
      <c r="X177" s="213" t="n"/>
      <c r="Y177" s="213" t="n"/>
      <c r="Z177" s="213" t="n"/>
      <c r="AA177" s="213" t="n"/>
      <c r="AB177" s="213" t="n"/>
      <c r="AC177" s="213" t="n"/>
      <c r="AD177" s="213" t="n"/>
      <c r="AE177" s="213" t="n"/>
      <c r="AF177" s="213" t="n"/>
      <c r="AG177" s="213" t="n"/>
      <c r="AH177" s="213" t="n"/>
      <c r="AI177" s="213" t="n"/>
      <c r="AJ177" s="213" t="n"/>
      <c r="AK177" s="213" t="n"/>
    </row>
    <row r="178">
      <c r="B178" s="94" t="n"/>
      <c r="C178" s="88" t="n"/>
      <c r="D178" s="88" t="n"/>
      <c r="E178" s="88" t="n"/>
      <c r="F178" s="88" t="n"/>
      <c r="G178" s="88" t="n"/>
      <c r="H178" s="94" t="n"/>
      <c r="I178" s="4" t="n"/>
      <c r="J178" s="95" t="n"/>
      <c r="K178" s="213" t="n"/>
      <c r="L178" s="213" t="n"/>
      <c r="M178" s="213" t="n"/>
      <c r="N178" s="213" t="n"/>
      <c r="O178" s="213" t="n"/>
      <c r="P178" s="213" t="n"/>
      <c r="Q178" s="213" t="n"/>
      <c r="R178" s="213" t="n"/>
      <c r="S178" s="213" t="n"/>
      <c r="T178" s="213" t="n"/>
      <c r="U178" s="213" t="n"/>
      <c r="V178" s="213" t="n"/>
      <c r="W178" s="213" t="n"/>
      <c r="X178" s="213" t="n"/>
      <c r="Y178" s="213" t="n"/>
      <c r="Z178" s="213" t="n"/>
      <c r="AA178" s="213" t="n"/>
      <c r="AB178" s="213" t="n"/>
      <c r="AC178" s="213" t="n"/>
      <c r="AD178" s="213" t="n"/>
      <c r="AE178" s="213" t="n"/>
      <c r="AF178" s="213" t="n"/>
      <c r="AG178" s="213" t="n"/>
      <c r="AH178" s="213" t="n"/>
      <c r="AI178" s="213" t="n"/>
      <c r="AJ178" s="213" t="n"/>
      <c r="AK178" s="213" t="n"/>
    </row>
    <row r="179">
      <c r="B179" s="94" t="n"/>
      <c r="C179" s="88" t="n"/>
      <c r="D179" s="88" t="n"/>
      <c r="E179" s="88" t="n"/>
      <c r="F179" s="88" t="n"/>
      <c r="G179" s="88" t="n"/>
      <c r="H179" s="94" t="n"/>
      <c r="I179" s="4" t="n"/>
      <c r="J179" s="95" t="n"/>
      <c r="K179" s="213" t="n"/>
      <c r="L179" s="213" t="n"/>
      <c r="M179" s="213" t="n"/>
      <c r="N179" s="213" t="n"/>
      <c r="O179" s="213" t="n"/>
      <c r="P179" s="213" t="n"/>
      <c r="Q179" s="213" t="n"/>
      <c r="R179" s="213" t="n"/>
      <c r="S179" s="213" t="n"/>
      <c r="T179" s="213" t="n"/>
      <c r="U179" s="213" t="n"/>
      <c r="V179" s="213" t="n"/>
      <c r="W179" s="213" t="n"/>
      <c r="X179" s="213" t="n"/>
      <c r="Y179" s="213" t="n"/>
      <c r="Z179" s="213" t="n"/>
      <c r="AA179" s="213" t="n"/>
      <c r="AB179" s="213" t="n"/>
      <c r="AC179" s="213" t="n"/>
      <c r="AD179" s="213" t="n"/>
      <c r="AE179" s="213" t="n"/>
      <c r="AF179" s="213" t="n"/>
      <c r="AG179" s="213" t="n"/>
      <c r="AH179" s="213" t="n"/>
      <c r="AI179" s="213" t="n"/>
      <c r="AJ179" s="213" t="n"/>
      <c r="AK179" s="213" t="n"/>
    </row>
    <row r="180">
      <c r="B180" s="94" t="n"/>
      <c r="C180" s="88" t="n"/>
      <c r="D180" s="88" t="n"/>
      <c r="E180" s="88" t="n"/>
      <c r="F180" s="88" t="n"/>
      <c r="G180" s="88" t="n"/>
      <c r="H180" s="94" t="n"/>
      <c r="I180" s="4" t="n"/>
      <c r="J180" s="95" t="n"/>
      <c r="K180" s="213" t="n"/>
      <c r="L180" s="213" t="n"/>
      <c r="M180" s="213" t="n"/>
      <c r="N180" s="213" t="n"/>
      <c r="O180" s="213" t="n"/>
      <c r="P180" s="213" t="n"/>
      <c r="Q180" s="213" t="n"/>
      <c r="R180" s="213" t="n"/>
      <c r="S180" s="213" t="n"/>
      <c r="T180" s="213" t="n"/>
      <c r="U180" s="213" t="n"/>
      <c r="V180" s="213" t="n"/>
      <c r="W180" s="213" t="n"/>
      <c r="X180" s="213" t="n"/>
      <c r="Y180" s="213" t="n"/>
      <c r="Z180" s="213" t="n"/>
      <c r="AA180" s="213" t="n"/>
      <c r="AB180" s="213" t="n"/>
      <c r="AC180" s="213" t="n"/>
      <c r="AD180" s="213" t="n"/>
      <c r="AE180" s="213" t="n"/>
      <c r="AF180" s="213" t="n"/>
      <c r="AG180" s="213" t="n"/>
      <c r="AH180" s="213" t="n"/>
      <c r="AI180" s="213" t="n"/>
      <c r="AJ180" s="213" t="n"/>
      <c r="AK180" s="213" t="n"/>
    </row>
    <row r="181">
      <c r="B181" s="94" t="n"/>
      <c r="C181" s="88" t="n"/>
      <c r="D181" s="88" t="n"/>
      <c r="E181" s="88" t="n"/>
      <c r="F181" s="88" t="n"/>
      <c r="G181" s="88" t="n"/>
      <c r="H181" s="94" t="n"/>
      <c r="I181" s="4" t="n"/>
      <c r="J181" s="95" t="n"/>
      <c r="K181" s="213" t="n"/>
      <c r="L181" s="213" t="n"/>
      <c r="M181" s="213" t="n"/>
      <c r="N181" s="213" t="n"/>
      <c r="O181" s="213" t="n"/>
      <c r="P181" s="213" t="n"/>
      <c r="Q181" s="213" t="n"/>
      <c r="R181" s="213" t="n"/>
      <c r="S181" s="213" t="n"/>
      <c r="T181" s="213" t="n"/>
      <c r="U181" s="213" t="n"/>
      <c r="V181" s="213" t="n"/>
      <c r="W181" s="213" t="n"/>
      <c r="X181" s="213" t="n"/>
      <c r="Y181" s="213" t="n"/>
      <c r="Z181" s="213" t="n"/>
      <c r="AA181" s="213" t="n"/>
      <c r="AB181" s="213" t="n"/>
      <c r="AC181" s="213" t="n"/>
      <c r="AD181" s="213" t="n"/>
      <c r="AE181" s="213" t="n"/>
      <c r="AF181" s="213" t="n"/>
      <c r="AG181" s="213" t="n"/>
      <c r="AH181" s="213" t="n"/>
      <c r="AI181" s="213" t="n"/>
      <c r="AJ181" s="213" t="n"/>
      <c r="AK181" s="213" t="n"/>
    </row>
    <row r="182">
      <c r="B182" s="94" t="n"/>
      <c r="C182" s="88" t="n"/>
      <c r="D182" s="88" t="n"/>
      <c r="E182" s="88" t="n"/>
      <c r="F182" s="88" t="n"/>
      <c r="G182" s="88" t="n"/>
      <c r="H182" s="94" t="n"/>
      <c r="I182" s="4" t="n"/>
      <c r="J182" s="95" t="n"/>
      <c r="K182" s="213" t="n"/>
      <c r="L182" s="213" t="n"/>
      <c r="M182" s="213" t="n"/>
      <c r="N182" s="213" t="n"/>
      <c r="O182" s="213" t="n"/>
      <c r="P182" s="213" t="n"/>
      <c r="Q182" s="213" t="n"/>
      <c r="R182" s="213" t="n"/>
      <c r="S182" s="213" t="n"/>
      <c r="T182" s="213" t="n"/>
      <c r="U182" s="213" t="n"/>
      <c r="V182" s="213" t="n"/>
      <c r="W182" s="213" t="n"/>
      <c r="X182" s="213" t="n"/>
      <c r="Y182" s="213" t="n"/>
      <c r="Z182" s="213" t="n"/>
      <c r="AA182" s="213" t="n"/>
      <c r="AB182" s="213" t="n"/>
      <c r="AC182" s="213" t="n"/>
      <c r="AD182" s="213" t="n"/>
      <c r="AE182" s="213" t="n"/>
      <c r="AF182" s="213" t="n"/>
      <c r="AG182" s="213" t="n"/>
      <c r="AH182" s="213" t="n"/>
      <c r="AI182" s="213" t="n"/>
      <c r="AJ182" s="213" t="n"/>
      <c r="AK182" s="213" t="n"/>
    </row>
    <row r="183">
      <c r="B183" s="94" t="n"/>
      <c r="C183" s="88" t="n"/>
      <c r="D183" s="88" t="n"/>
      <c r="E183" s="88" t="n"/>
      <c r="F183" s="88" t="n"/>
      <c r="G183" s="88" t="n"/>
      <c r="H183" s="94" t="n"/>
      <c r="I183" s="4" t="n"/>
      <c r="J183" s="95" t="n"/>
      <c r="K183" s="213" t="n"/>
      <c r="L183" s="213" t="n"/>
      <c r="M183" s="213" t="n"/>
      <c r="N183" s="213" t="n"/>
      <c r="O183" s="213" t="n"/>
      <c r="P183" s="213" t="n"/>
      <c r="Q183" s="213" t="n"/>
      <c r="R183" s="213" t="n"/>
      <c r="S183" s="213" t="n"/>
      <c r="T183" s="213" t="n"/>
      <c r="U183" s="213" t="n"/>
      <c r="V183" s="213" t="n"/>
      <c r="W183" s="213" t="n"/>
      <c r="X183" s="213" t="n"/>
      <c r="Y183" s="213" t="n"/>
      <c r="Z183" s="213" t="n"/>
      <c r="AA183" s="213" t="n"/>
      <c r="AB183" s="213" t="n"/>
      <c r="AC183" s="213" t="n"/>
      <c r="AD183" s="213" t="n"/>
      <c r="AE183" s="213" t="n"/>
      <c r="AF183" s="213" t="n"/>
      <c r="AG183" s="213" t="n"/>
      <c r="AH183" s="213" t="n"/>
      <c r="AI183" s="213" t="n"/>
      <c r="AJ183" s="213" t="n"/>
      <c r="AK183" s="213" t="n"/>
    </row>
    <row r="184">
      <c r="B184" s="94" t="n"/>
      <c r="C184" s="88" t="n"/>
      <c r="D184" s="88" t="n"/>
      <c r="E184" s="88" t="n"/>
      <c r="F184" s="88" t="n"/>
      <c r="G184" s="88" t="n"/>
      <c r="H184" s="94" t="n"/>
      <c r="I184" s="4" t="n"/>
      <c r="J184" s="95" t="n"/>
      <c r="K184" s="213" t="n"/>
      <c r="L184" s="213" t="n"/>
      <c r="M184" s="213" t="n"/>
      <c r="N184" s="213" t="n"/>
      <c r="O184" s="213" t="n"/>
      <c r="P184" s="213" t="n"/>
      <c r="Q184" s="213" t="n"/>
      <c r="R184" s="213" t="n"/>
      <c r="S184" s="213" t="n"/>
      <c r="T184" s="213" t="n"/>
      <c r="U184" s="213" t="n"/>
      <c r="V184" s="213" t="n"/>
      <c r="W184" s="213" t="n"/>
      <c r="X184" s="213" t="n"/>
      <c r="Y184" s="213" t="n"/>
      <c r="Z184" s="213" t="n"/>
      <c r="AA184" s="213" t="n"/>
      <c r="AB184" s="213" t="n"/>
      <c r="AC184" s="213" t="n"/>
      <c r="AD184" s="213" t="n"/>
      <c r="AE184" s="213" t="n"/>
      <c r="AF184" s="213" t="n"/>
      <c r="AG184" s="213" t="n"/>
      <c r="AH184" s="213" t="n"/>
      <c r="AI184" s="213" t="n"/>
      <c r="AJ184" s="213" t="n"/>
      <c r="AK184" s="213" t="n"/>
    </row>
    <row r="185">
      <c r="B185" s="94" t="n"/>
      <c r="C185" s="88" t="n"/>
      <c r="D185" s="88" t="n"/>
      <c r="E185" s="88" t="n"/>
      <c r="F185" s="88" t="n"/>
      <c r="G185" s="88" t="n"/>
      <c r="H185" s="94" t="n"/>
      <c r="I185" s="4" t="n"/>
      <c r="J185" s="95" t="n"/>
      <c r="K185" s="213" t="n"/>
      <c r="L185" s="213" t="n"/>
      <c r="M185" s="213" t="n"/>
      <c r="N185" s="213" t="n"/>
      <c r="O185" s="213" t="n"/>
      <c r="P185" s="213" t="n"/>
      <c r="Q185" s="213" t="n"/>
      <c r="R185" s="213" t="n"/>
      <c r="S185" s="213" t="n"/>
      <c r="T185" s="213" t="n"/>
      <c r="U185" s="213" t="n"/>
      <c r="V185" s="213" t="n"/>
      <c r="W185" s="213" t="n"/>
      <c r="X185" s="213" t="n"/>
      <c r="Y185" s="213" t="n"/>
      <c r="Z185" s="213" t="n"/>
      <c r="AA185" s="213" t="n"/>
      <c r="AB185" s="213" t="n"/>
      <c r="AC185" s="213" t="n"/>
      <c r="AD185" s="213" t="n"/>
      <c r="AE185" s="213" t="n"/>
      <c r="AF185" s="213" t="n"/>
      <c r="AG185" s="213" t="n"/>
      <c r="AH185" s="213" t="n"/>
      <c r="AI185" s="213" t="n"/>
      <c r="AJ185" s="213" t="n"/>
      <c r="AK185" s="213" t="n"/>
    </row>
    <row r="186">
      <c r="B186" s="94" t="n"/>
      <c r="C186" s="88" t="n"/>
      <c r="D186" s="88" t="n"/>
      <c r="E186" s="88" t="n"/>
      <c r="F186" s="88" t="n"/>
      <c r="G186" s="88" t="n"/>
      <c r="H186" s="94" t="n"/>
      <c r="I186" s="4" t="n"/>
      <c r="J186" s="95" t="n"/>
      <c r="K186" s="213" t="n"/>
      <c r="L186" s="213" t="n"/>
      <c r="M186" s="213" t="n"/>
      <c r="N186" s="213" t="n"/>
      <c r="O186" s="213" t="n"/>
      <c r="P186" s="213" t="n"/>
      <c r="Q186" s="213" t="n"/>
      <c r="R186" s="213" t="n"/>
      <c r="S186" s="213" t="n"/>
      <c r="T186" s="213" t="n"/>
      <c r="U186" s="213" t="n"/>
      <c r="V186" s="213" t="n"/>
      <c r="W186" s="213" t="n"/>
      <c r="X186" s="213" t="n"/>
      <c r="Y186" s="213" t="n"/>
      <c r="Z186" s="213" t="n"/>
      <c r="AA186" s="213" t="n"/>
      <c r="AB186" s="213" t="n"/>
      <c r="AC186" s="213" t="n"/>
      <c r="AD186" s="213" t="n"/>
      <c r="AE186" s="213" t="n"/>
      <c r="AF186" s="213" t="n"/>
      <c r="AG186" s="213" t="n"/>
      <c r="AH186" s="213" t="n"/>
      <c r="AI186" s="213" t="n"/>
      <c r="AJ186" s="213" t="n"/>
      <c r="AK186" s="213" t="n"/>
    </row>
    <row r="187">
      <c r="B187" s="94" t="n"/>
      <c r="C187" s="88" t="n"/>
      <c r="D187" s="88" t="n"/>
      <c r="E187" s="88" t="n"/>
      <c r="F187" s="88" t="n"/>
      <c r="G187" s="88" t="n"/>
      <c r="H187" s="94" t="n"/>
      <c r="I187" s="4" t="n"/>
      <c r="J187" s="95" t="n"/>
      <c r="K187" s="213" t="n"/>
      <c r="L187" s="213" t="n"/>
      <c r="M187" s="213" t="n"/>
      <c r="N187" s="213" t="n"/>
      <c r="O187" s="213" t="n"/>
      <c r="P187" s="213" t="n"/>
      <c r="Q187" s="213" t="n"/>
      <c r="R187" s="213" t="n"/>
      <c r="S187" s="213" t="n"/>
      <c r="T187" s="213" t="n"/>
      <c r="U187" s="213" t="n"/>
      <c r="V187" s="213" t="n"/>
      <c r="W187" s="213" t="n"/>
      <c r="X187" s="213" t="n"/>
      <c r="Y187" s="213" t="n"/>
      <c r="Z187" s="213" t="n"/>
      <c r="AA187" s="213" t="n"/>
      <c r="AB187" s="213" t="n"/>
      <c r="AC187" s="213" t="n"/>
      <c r="AD187" s="213" t="n"/>
      <c r="AE187" s="213" t="n"/>
      <c r="AF187" s="213" t="n"/>
      <c r="AG187" s="213" t="n"/>
      <c r="AH187" s="213" t="n"/>
      <c r="AI187" s="213" t="n"/>
      <c r="AJ187" s="213" t="n"/>
      <c r="AK187" s="213" t="n"/>
    </row>
    <row r="188">
      <c r="B188" s="94" t="n"/>
      <c r="C188" s="88" t="n"/>
      <c r="D188" s="88" t="n"/>
      <c r="E188" s="88" t="n"/>
      <c r="F188" s="88" t="n"/>
      <c r="G188" s="88" t="n"/>
      <c r="H188" s="94" t="n"/>
      <c r="I188" s="4" t="n"/>
      <c r="J188" s="95" t="n"/>
      <c r="K188" s="213" t="n"/>
      <c r="L188" s="213" t="n"/>
      <c r="M188" s="213" t="n"/>
      <c r="N188" s="213" t="n"/>
      <c r="O188" s="213" t="n"/>
      <c r="P188" s="213" t="n"/>
      <c r="Q188" s="213" t="n"/>
      <c r="R188" s="213" t="n"/>
      <c r="S188" s="213" t="n"/>
      <c r="T188" s="213" t="n"/>
      <c r="U188" s="213" t="n"/>
      <c r="V188" s="213" t="n"/>
      <c r="W188" s="213" t="n"/>
      <c r="X188" s="213" t="n"/>
      <c r="Y188" s="213" t="n"/>
      <c r="Z188" s="213" t="n"/>
      <c r="AA188" s="213" t="n"/>
      <c r="AB188" s="213" t="n"/>
      <c r="AC188" s="213" t="n"/>
      <c r="AD188" s="213" t="n"/>
      <c r="AE188" s="213" t="n"/>
      <c r="AF188" s="213" t="n"/>
      <c r="AG188" s="213" t="n"/>
      <c r="AH188" s="213" t="n"/>
      <c r="AI188" s="213" t="n"/>
      <c r="AJ188" s="213" t="n"/>
      <c r="AK188" s="213" t="n"/>
    </row>
    <row r="189">
      <c r="B189" s="94" t="n"/>
      <c r="C189" s="88" t="n"/>
      <c r="D189" s="88" t="n"/>
      <c r="E189" s="88" t="n"/>
      <c r="F189" s="88" t="n"/>
      <c r="G189" s="88" t="n"/>
      <c r="H189" s="94" t="n"/>
      <c r="I189" s="4" t="n"/>
      <c r="J189" s="95" t="n"/>
      <c r="K189" s="213" t="n"/>
      <c r="L189" s="213" t="n"/>
      <c r="M189" s="213" t="n"/>
      <c r="N189" s="213" t="n"/>
      <c r="O189" s="213" t="n"/>
      <c r="P189" s="213" t="n"/>
      <c r="Q189" s="213" t="n"/>
      <c r="R189" s="213" t="n"/>
      <c r="S189" s="213" t="n"/>
      <c r="T189" s="213" t="n"/>
      <c r="U189" s="213" t="n"/>
      <c r="V189" s="213" t="n"/>
      <c r="W189" s="213" t="n"/>
      <c r="X189" s="213" t="n"/>
      <c r="Y189" s="213" t="n"/>
      <c r="Z189" s="213" t="n"/>
      <c r="AA189" s="213" t="n"/>
      <c r="AB189" s="213" t="n"/>
      <c r="AC189" s="213" t="n"/>
      <c r="AD189" s="213" t="n"/>
      <c r="AE189" s="213" t="n"/>
      <c r="AF189" s="213" t="n"/>
      <c r="AG189" s="213" t="n"/>
      <c r="AH189" s="213" t="n"/>
      <c r="AI189" s="213" t="n"/>
      <c r="AJ189" s="213" t="n"/>
      <c r="AK189" s="213" t="n"/>
    </row>
    <row r="190">
      <c r="B190" s="94" t="n"/>
      <c r="C190" s="88" t="n"/>
      <c r="D190" s="88" t="n"/>
      <c r="E190" s="88" t="n"/>
      <c r="F190" s="88" t="n"/>
      <c r="G190" s="88" t="n"/>
      <c r="H190" s="94" t="n"/>
      <c r="I190" s="4" t="n"/>
      <c r="J190" s="95" t="n"/>
      <c r="K190" s="213" t="n"/>
      <c r="L190" s="213" t="n"/>
      <c r="M190" s="213" t="n"/>
      <c r="N190" s="213" t="n"/>
      <c r="O190" s="213" t="n"/>
      <c r="P190" s="213" t="n"/>
      <c r="Q190" s="213" t="n"/>
      <c r="R190" s="213" t="n"/>
      <c r="S190" s="213" t="n"/>
      <c r="T190" s="213" t="n"/>
      <c r="U190" s="213" t="n"/>
      <c r="V190" s="213" t="n"/>
      <c r="W190" s="213" t="n"/>
      <c r="X190" s="213" t="n"/>
      <c r="Y190" s="213" t="n"/>
      <c r="Z190" s="213" t="n"/>
      <c r="AA190" s="213" t="n"/>
      <c r="AB190" s="213" t="n"/>
      <c r="AC190" s="213" t="n"/>
      <c r="AD190" s="213" t="n"/>
      <c r="AE190" s="213" t="n"/>
      <c r="AF190" s="213" t="n"/>
      <c r="AG190" s="213" t="n"/>
      <c r="AH190" s="213" t="n"/>
      <c r="AI190" s="213" t="n"/>
      <c r="AJ190" s="213" t="n"/>
      <c r="AK190" s="213" t="n"/>
    </row>
    <row r="191">
      <c r="B191" s="94" t="n"/>
      <c r="C191" s="88" t="n"/>
      <c r="D191" s="88" t="n"/>
      <c r="E191" s="88" t="n"/>
      <c r="F191" s="88" t="n"/>
      <c r="G191" s="88" t="n"/>
      <c r="H191" s="94" t="n"/>
      <c r="I191" s="4" t="n"/>
      <c r="J191" s="95" t="n"/>
      <c r="K191" s="213" t="n"/>
      <c r="L191" s="213" t="n"/>
      <c r="M191" s="213" t="n"/>
      <c r="N191" s="213" t="n"/>
      <c r="O191" s="213" t="n"/>
      <c r="P191" s="213" t="n"/>
      <c r="Q191" s="213" t="n"/>
      <c r="R191" s="213" t="n"/>
      <c r="S191" s="213" t="n"/>
      <c r="T191" s="213" t="n"/>
      <c r="U191" s="213" t="n"/>
      <c r="V191" s="213" t="n"/>
      <c r="W191" s="213" t="n"/>
      <c r="X191" s="213" t="n"/>
      <c r="Y191" s="213" t="n"/>
      <c r="Z191" s="213" t="n"/>
      <c r="AA191" s="213" t="n"/>
      <c r="AB191" s="213" t="n"/>
      <c r="AC191" s="213" t="n"/>
      <c r="AD191" s="213" t="n"/>
      <c r="AE191" s="213" t="n"/>
      <c r="AF191" s="213" t="n"/>
      <c r="AG191" s="213" t="n"/>
      <c r="AH191" s="213" t="n"/>
      <c r="AI191" s="213" t="n"/>
      <c r="AJ191" s="213" t="n"/>
      <c r="AK191" s="213" t="n"/>
    </row>
    <row r="192">
      <c r="B192" s="94" t="n"/>
      <c r="C192" s="88" t="n"/>
      <c r="D192" s="88" t="n"/>
      <c r="E192" s="88" t="n"/>
      <c r="F192" s="88" t="n"/>
      <c r="G192" s="88" t="n"/>
      <c r="H192" s="94" t="n"/>
      <c r="I192" s="4" t="n"/>
      <c r="J192" s="95" t="n"/>
      <c r="K192" s="213" t="n"/>
      <c r="L192" s="213" t="n"/>
      <c r="M192" s="213" t="n"/>
      <c r="N192" s="213" t="n"/>
      <c r="O192" s="213" t="n"/>
      <c r="P192" s="213" t="n"/>
      <c r="Q192" s="213" t="n"/>
      <c r="R192" s="213" t="n"/>
      <c r="S192" s="213" t="n"/>
      <c r="T192" s="213" t="n"/>
      <c r="U192" s="213" t="n"/>
      <c r="V192" s="213" t="n"/>
      <c r="W192" s="213" t="n"/>
      <c r="X192" s="213" t="n"/>
      <c r="Y192" s="213" t="n"/>
      <c r="Z192" s="213" t="n"/>
      <c r="AA192" s="213" t="n"/>
      <c r="AB192" s="213" t="n"/>
      <c r="AC192" s="213" t="n"/>
      <c r="AD192" s="213" t="n"/>
      <c r="AE192" s="213" t="n"/>
      <c r="AF192" s="213" t="n"/>
      <c r="AG192" s="213" t="n"/>
      <c r="AH192" s="213" t="n"/>
      <c r="AI192" s="213" t="n"/>
      <c r="AJ192" s="213" t="n"/>
      <c r="AK192" s="213" t="n"/>
    </row>
    <row r="193">
      <c r="B193" s="94" t="n"/>
      <c r="C193" s="88" t="n"/>
      <c r="D193" s="88" t="n"/>
      <c r="E193" s="88" t="n"/>
      <c r="F193" s="88" t="n"/>
      <c r="G193" s="88" t="n"/>
      <c r="H193" s="94" t="n"/>
      <c r="I193" s="4" t="n"/>
      <c r="J193" s="95" t="n"/>
      <c r="K193" s="213" t="n"/>
      <c r="L193" s="213" t="n"/>
      <c r="M193" s="213" t="n"/>
      <c r="N193" s="213" t="n"/>
      <c r="O193" s="213" t="n"/>
      <c r="P193" s="213" t="n"/>
      <c r="Q193" s="213" t="n"/>
      <c r="R193" s="213" t="n"/>
      <c r="S193" s="213" t="n"/>
      <c r="T193" s="213" t="n"/>
      <c r="U193" s="213" t="n"/>
      <c r="V193" s="213" t="n"/>
      <c r="W193" s="213" t="n"/>
      <c r="X193" s="213" t="n"/>
      <c r="Y193" s="213" t="n"/>
      <c r="Z193" s="213" t="n"/>
      <c r="AA193" s="213" t="n"/>
      <c r="AB193" s="213" t="n"/>
      <c r="AC193" s="213" t="n"/>
      <c r="AD193" s="213" t="n"/>
      <c r="AE193" s="213" t="n"/>
      <c r="AF193" s="213" t="n"/>
      <c r="AG193" s="213" t="n"/>
      <c r="AH193" s="213" t="n"/>
      <c r="AI193" s="213" t="n"/>
      <c r="AJ193" s="213" t="n"/>
      <c r="AK193" s="213" t="n"/>
    </row>
    <row r="194">
      <c r="B194" s="94" t="n"/>
      <c r="C194" s="88" t="n"/>
      <c r="D194" s="88" t="n"/>
      <c r="E194" s="88" t="n"/>
      <c r="F194" s="88" t="n"/>
      <c r="G194" s="88" t="n"/>
      <c r="H194" s="94" t="n"/>
      <c r="I194" s="4" t="n"/>
      <c r="J194" s="95" t="n"/>
      <c r="K194" s="213" t="n"/>
      <c r="L194" s="213" t="n"/>
      <c r="M194" s="213" t="n"/>
      <c r="N194" s="213" t="n"/>
      <c r="O194" s="213" t="n"/>
      <c r="P194" s="213" t="n"/>
      <c r="Q194" s="213" t="n"/>
      <c r="R194" s="213" t="n"/>
      <c r="S194" s="213" t="n"/>
      <c r="T194" s="213" t="n"/>
      <c r="U194" s="213" t="n"/>
      <c r="V194" s="213" t="n"/>
      <c r="W194" s="213" t="n"/>
      <c r="X194" s="213" t="n"/>
      <c r="Y194" s="213" t="n"/>
      <c r="Z194" s="213" t="n"/>
      <c r="AA194" s="213" t="n"/>
      <c r="AB194" s="213" t="n"/>
      <c r="AC194" s="213" t="n"/>
      <c r="AD194" s="213" t="n"/>
      <c r="AE194" s="213" t="n"/>
      <c r="AF194" s="213" t="n"/>
      <c r="AG194" s="213" t="n"/>
      <c r="AH194" s="213" t="n"/>
      <c r="AI194" s="213" t="n"/>
      <c r="AJ194" s="213" t="n"/>
      <c r="AK194" s="213" t="n"/>
    </row>
    <row r="195">
      <c r="B195" s="94" t="n"/>
      <c r="C195" s="88" t="n"/>
      <c r="D195" s="88" t="n"/>
      <c r="E195" s="88" t="n"/>
      <c r="F195" s="88" t="n"/>
      <c r="G195" s="88" t="n"/>
      <c r="H195" s="94" t="n"/>
      <c r="I195" s="4" t="n"/>
      <c r="J195" s="95" t="n"/>
      <c r="K195" s="213" t="n"/>
      <c r="L195" s="213" t="n"/>
      <c r="M195" s="213" t="n"/>
      <c r="N195" s="213" t="n"/>
      <c r="O195" s="213" t="n"/>
      <c r="P195" s="213" t="n"/>
      <c r="Q195" s="213" t="n"/>
      <c r="R195" s="213" t="n"/>
      <c r="S195" s="213" t="n"/>
      <c r="T195" s="213" t="n"/>
      <c r="U195" s="213" t="n"/>
      <c r="V195" s="213" t="n"/>
      <c r="W195" s="213" t="n"/>
      <c r="X195" s="213" t="n"/>
      <c r="Y195" s="213" t="n"/>
      <c r="Z195" s="213" t="n"/>
      <c r="AA195" s="213" t="n"/>
      <c r="AB195" s="213" t="n"/>
      <c r="AC195" s="213" t="n"/>
      <c r="AD195" s="213" t="n"/>
      <c r="AE195" s="213" t="n"/>
      <c r="AF195" s="213" t="n"/>
      <c r="AG195" s="213" t="n"/>
      <c r="AH195" s="213" t="n"/>
      <c r="AI195" s="213" t="n"/>
      <c r="AJ195" s="213" t="n"/>
      <c r="AK195" s="213" t="n"/>
    </row>
    <row r="196">
      <c r="B196" s="94" t="n"/>
      <c r="C196" s="88" t="n"/>
      <c r="D196" s="88" t="n"/>
      <c r="E196" s="88" t="n"/>
      <c r="F196" s="88" t="n"/>
      <c r="G196" s="88" t="n"/>
      <c r="H196" s="94" t="n"/>
      <c r="I196" s="4" t="n"/>
      <c r="J196" s="95" t="n"/>
      <c r="K196" s="213" t="n"/>
      <c r="L196" s="213" t="n"/>
      <c r="M196" s="213" t="n"/>
      <c r="N196" s="213" t="n"/>
      <c r="O196" s="213" t="n"/>
      <c r="P196" s="213" t="n"/>
      <c r="Q196" s="213" t="n"/>
      <c r="R196" s="213" t="n"/>
      <c r="S196" s="213" t="n"/>
      <c r="T196" s="213" t="n"/>
      <c r="U196" s="213" t="n"/>
      <c r="V196" s="213" t="n"/>
      <c r="W196" s="213" t="n"/>
      <c r="X196" s="213" t="n"/>
      <c r="Y196" s="213" t="n"/>
      <c r="Z196" s="213" t="n"/>
      <c r="AA196" s="213" t="n"/>
      <c r="AB196" s="213" t="n"/>
      <c r="AC196" s="213" t="n"/>
      <c r="AD196" s="213" t="n"/>
      <c r="AE196" s="213" t="n"/>
      <c r="AF196" s="213" t="n"/>
      <c r="AG196" s="213" t="n"/>
      <c r="AH196" s="213" t="n"/>
      <c r="AI196" s="213" t="n"/>
      <c r="AJ196" s="213" t="n"/>
      <c r="AK196" s="213" t="n"/>
    </row>
    <row r="197">
      <c r="B197" s="94" t="n"/>
      <c r="C197" s="88" t="n"/>
      <c r="D197" s="88" t="n"/>
      <c r="E197" s="88" t="n"/>
      <c r="F197" s="88" t="n"/>
      <c r="G197" s="88" t="n"/>
      <c r="H197" s="94" t="n"/>
      <c r="I197" s="4" t="n"/>
      <c r="J197" s="95" t="n"/>
      <c r="K197" s="213" t="n"/>
      <c r="L197" s="213" t="n"/>
      <c r="M197" s="213" t="n"/>
      <c r="N197" s="213" t="n"/>
      <c r="O197" s="213" t="n"/>
      <c r="P197" s="213" t="n"/>
      <c r="Q197" s="213" t="n"/>
      <c r="R197" s="213" t="n"/>
      <c r="S197" s="213" t="n"/>
      <c r="T197" s="213" t="n"/>
      <c r="U197" s="213" t="n"/>
      <c r="V197" s="213" t="n"/>
      <c r="W197" s="213" t="n"/>
      <c r="X197" s="213" t="n"/>
      <c r="Y197" s="213" t="n"/>
      <c r="Z197" s="213" t="n"/>
      <c r="AA197" s="213" t="n"/>
      <c r="AB197" s="213" t="n"/>
      <c r="AC197" s="213" t="n"/>
      <c r="AD197" s="213" t="n"/>
      <c r="AE197" s="213" t="n"/>
      <c r="AF197" s="213" t="n"/>
      <c r="AG197" s="213" t="n"/>
      <c r="AH197" s="213" t="n"/>
      <c r="AI197" s="213" t="n"/>
      <c r="AJ197" s="213" t="n"/>
      <c r="AK197" s="213" t="n"/>
    </row>
    <row r="198">
      <c r="B198" s="94" t="n"/>
      <c r="C198" s="88" t="n"/>
      <c r="D198" s="88" t="n"/>
      <c r="E198" s="88" t="n"/>
      <c r="F198" s="88" t="n"/>
      <c r="G198" s="88" t="n"/>
      <c r="H198" s="94" t="n"/>
      <c r="I198" s="4" t="n"/>
      <c r="J198" s="95" t="n"/>
      <c r="K198" s="213" t="n"/>
      <c r="L198" s="213" t="n"/>
      <c r="M198" s="213" t="n"/>
      <c r="N198" s="213" t="n"/>
      <c r="O198" s="213" t="n"/>
      <c r="P198" s="213" t="n"/>
      <c r="Q198" s="213" t="n"/>
      <c r="R198" s="213" t="n"/>
      <c r="S198" s="213" t="n"/>
      <c r="T198" s="213" t="n"/>
      <c r="U198" s="213" t="n"/>
      <c r="V198" s="213" t="n"/>
      <c r="W198" s="213" t="n"/>
      <c r="X198" s="213" t="n"/>
      <c r="Y198" s="213" t="n"/>
      <c r="Z198" s="213" t="n"/>
      <c r="AA198" s="213" t="n"/>
      <c r="AB198" s="213" t="n"/>
      <c r="AC198" s="213" t="n"/>
      <c r="AD198" s="213" t="n"/>
      <c r="AE198" s="213" t="n"/>
      <c r="AF198" s="213" t="n"/>
      <c r="AG198" s="213" t="n"/>
      <c r="AH198" s="213" t="n"/>
      <c r="AI198" s="213" t="n"/>
      <c r="AJ198" s="213" t="n"/>
      <c r="AK198" s="213" t="n"/>
    </row>
    <row r="199">
      <c r="B199" s="94" t="n"/>
      <c r="C199" s="88" t="n"/>
      <c r="D199" s="88" t="n"/>
      <c r="E199" s="88" t="n"/>
      <c r="F199" s="88" t="n"/>
      <c r="G199" s="88" t="n"/>
      <c r="H199" s="94" t="n"/>
      <c r="I199" s="4" t="n"/>
      <c r="J199" s="95" t="n"/>
      <c r="K199" s="213" t="n"/>
      <c r="L199" s="213" t="n"/>
      <c r="M199" s="213" t="n"/>
      <c r="N199" s="213" t="n"/>
      <c r="O199" s="213" t="n"/>
      <c r="P199" s="213" t="n"/>
      <c r="Q199" s="213" t="n"/>
      <c r="R199" s="213" t="n"/>
      <c r="S199" s="213" t="n"/>
      <c r="T199" s="213" t="n"/>
      <c r="U199" s="213" t="n"/>
      <c r="V199" s="213" t="n"/>
      <c r="W199" s="213" t="n"/>
      <c r="X199" s="213" t="n"/>
      <c r="Y199" s="213" t="n"/>
      <c r="Z199" s="213" t="n"/>
      <c r="AA199" s="213" t="n"/>
      <c r="AB199" s="213" t="n"/>
      <c r="AC199" s="213" t="n"/>
      <c r="AD199" s="213" t="n"/>
      <c r="AE199" s="213" t="n"/>
      <c r="AF199" s="213" t="n"/>
      <c r="AG199" s="213" t="n"/>
      <c r="AH199" s="213" t="n"/>
      <c r="AI199" s="213" t="n"/>
      <c r="AJ199" s="213" t="n"/>
      <c r="AK199" s="213" t="n"/>
    </row>
    <row r="200">
      <c r="B200" s="94" t="n"/>
      <c r="C200" s="88" t="n"/>
      <c r="D200" s="88" t="n"/>
      <c r="E200" s="88" t="n"/>
      <c r="F200" s="88" t="n"/>
      <c r="G200" s="88" t="n"/>
      <c r="H200" s="94" t="n"/>
      <c r="I200" s="4" t="n"/>
      <c r="J200" s="95" t="n"/>
      <c r="K200" s="213" t="n"/>
      <c r="L200" s="213" t="n"/>
      <c r="M200" s="213" t="n"/>
      <c r="N200" s="213" t="n"/>
      <c r="O200" s="213" t="n"/>
      <c r="P200" s="213" t="n"/>
      <c r="Q200" s="213" t="n"/>
      <c r="R200" s="213" t="n"/>
      <c r="S200" s="213" t="n"/>
      <c r="T200" s="213" t="n"/>
      <c r="U200" s="213" t="n"/>
      <c r="V200" s="213" t="n"/>
      <c r="W200" s="213" t="n"/>
      <c r="X200" s="213" t="n"/>
      <c r="Y200" s="213" t="n"/>
      <c r="Z200" s="213" t="n"/>
      <c r="AA200" s="213" t="n"/>
      <c r="AB200" s="213" t="n"/>
      <c r="AC200" s="213" t="n"/>
      <c r="AD200" s="213" t="n"/>
      <c r="AE200" s="213" t="n"/>
      <c r="AF200" s="213" t="n"/>
      <c r="AG200" s="213" t="n"/>
      <c r="AH200" s="213" t="n"/>
      <c r="AI200" s="213" t="n"/>
      <c r="AJ200" s="213" t="n"/>
      <c r="AK200" s="213" t="n"/>
    </row>
    <row r="201">
      <c r="B201" s="94" t="n"/>
      <c r="C201" s="88" t="n"/>
      <c r="D201" s="88" t="n"/>
      <c r="E201" s="88" t="n"/>
      <c r="F201" s="88" t="n"/>
      <c r="G201" s="88" t="n"/>
      <c r="H201" s="94" t="n"/>
      <c r="I201" s="4" t="n"/>
      <c r="J201" s="95" t="n"/>
      <c r="K201" s="213" t="n"/>
      <c r="L201" s="213" t="n"/>
      <c r="M201" s="213" t="n"/>
      <c r="N201" s="213" t="n"/>
      <c r="O201" s="213" t="n"/>
      <c r="P201" s="213" t="n"/>
      <c r="Q201" s="213" t="n"/>
      <c r="R201" s="213" t="n"/>
      <c r="S201" s="213" t="n"/>
      <c r="T201" s="213" t="n"/>
      <c r="U201" s="213" t="n"/>
      <c r="V201" s="213" t="n"/>
      <c r="W201" s="213" t="n"/>
      <c r="X201" s="213" t="n"/>
      <c r="Y201" s="213" t="n"/>
      <c r="Z201" s="213" t="n"/>
      <c r="AA201" s="213" t="n"/>
      <c r="AB201" s="213" t="n"/>
      <c r="AC201" s="213" t="n"/>
      <c r="AD201" s="213" t="n"/>
      <c r="AE201" s="213" t="n"/>
      <c r="AF201" s="213" t="n"/>
      <c r="AG201" s="213" t="n"/>
      <c r="AH201" s="213" t="n"/>
      <c r="AI201" s="213" t="n"/>
      <c r="AJ201" s="213" t="n"/>
      <c r="AK201" s="213" t="n"/>
    </row>
    <row r="202">
      <c r="B202" s="94" t="n"/>
      <c r="C202" s="88" t="n"/>
      <c r="D202" s="88" t="n"/>
      <c r="E202" s="88" t="n"/>
      <c r="F202" s="88" t="n"/>
      <c r="G202" s="88" t="n"/>
      <c r="H202" s="94" t="n"/>
      <c r="I202" s="4" t="n"/>
      <c r="J202" s="95" t="n"/>
      <c r="K202" s="213" t="n"/>
      <c r="L202" s="213" t="n"/>
      <c r="M202" s="213" t="n"/>
      <c r="N202" s="213" t="n"/>
      <c r="O202" s="213" t="n"/>
      <c r="P202" s="213" t="n"/>
      <c r="Q202" s="213" t="n"/>
      <c r="R202" s="213" t="n"/>
      <c r="S202" s="213" t="n"/>
      <c r="T202" s="213" t="n"/>
      <c r="U202" s="213" t="n"/>
      <c r="V202" s="213" t="n"/>
      <c r="W202" s="213" t="n"/>
      <c r="X202" s="213" t="n"/>
      <c r="Y202" s="213" t="n"/>
      <c r="Z202" s="213" t="n"/>
      <c r="AA202" s="213" t="n"/>
      <c r="AB202" s="213" t="n"/>
      <c r="AC202" s="213" t="n"/>
      <c r="AD202" s="213" t="n"/>
      <c r="AE202" s="213" t="n"/>
      <c r="AF202" s="213" t="n"/>
      <c r="AG202" s="213" t="n"/>
      <c r="AH202" s="213" t="n"/>
      <c r="AI202" s="213" t="n"/>
      <c r="AJ202" s="213" t="n"/>
      <c r="AK202" s="213" t="n"/>
    </row>
    <row r="203">
      <c r="B203" s="94" t="n"/>
      <c r="C203" s="88" t="n"/>
      <c r="D203" s="88" t="n"/>
      <c r="E203" s="88" t="n"/>
      <c r="F203" s="88" t="n"/>
      <c r="G203" s="88" t="n"/>
      <c r="H203" s="94" t="n"/>
      <c r="I203" s="4" t="n"/>
      <c r="J203" s="95" t="n"/>
      <c r="K203" s="213" t="n"/>
      <c r="L203" s="213" t="n"/>
      <c r="M203" s="213" t="n"/>
      <c r="N203" s="213" t="n"/>
      <c r="O203" s="213" t="n"/>
      <c r="P203" s="213" t="n"/>
      <c r="Q203" s="213" t="n"/>
      <c r="R203" s="213" t="n"/>
      <c r="S203" s="213" t="n"/>
      <c r="T203" s="213" t="n"/>
      <c r="U203" s="213" t="n"/>
      <c r="V203" s="213" t="n"/>
      <c r="W203" s="213" t="n"/>
      <c r="X203" s="213" t="n"/>
      <c r="Y203" s="213" t="n"/>
      <c r="Z203" s="213" t="n"/>
      <c r="AA203" s="213" t="n"/>
      <c r="AB203" s="213" t="n"/>
      <c r="AC203" s="213" t="n"/>
      <c r="AD203" s="213" t="n"/>
      <c r="AE203" s="213" t="n"/>
      <c r="AF203" s="213" t="n"/>
      <c r="AG203" s="213" t="n"/>
      <c r="AH203" s="213" t="n"/>
      <c r="AI203" s="213" t="n"/>
      <c r="AJ203" s="213" t="n"/>
      <c r="AK203" s="213" t="n"/>
    </row>
    <row r="204">
      <c r="B204" s="94" t="n"/>
      <c r="C204" s="88" t="n"/>
      <c r="D204" s="88" t="n"/>
      <c r="E204" s="88" t="n"/>
      <c r="F204" s="88" t="n"/>
      <c r="G204" s="88" t="n"/>
      <c r="H204" s="94" t="n"/>
      <c r="I204" s="4" t="n"/>
      <c r="J204" s="95" t="n"/>
      <c r="K204" s="213" t="n"/>
      <c r="L204" s="213" t="n"/>
      <c r="M204" s="213" t="n"/>
      <c r="N204" s="213" t="n"/>
      <c r="O204" s="213" t="n"/>
      <c r="P204" s="213" t="n"/>
      <c r="Q204" s="213" t="n"/>
      <c r="R204" s="213" t="n"/>
      <c r="S204" s="213" t="n"/>
      <c r="T204" s="213" t="n"/>
      <c r="U204" s="213" t="n"/>
      <c r="V204" s="213" t="n"/>
      <c r="W204" s="213" t="n"/>
      <c r="X204" s="213" t="n"/>
      <c r="Y204" s="213" t="n"/>
      <c r="Z204" s="213" t="n"/>
      <c r="AA204" s="213" t="n"/>
      <c r="AB204" s="213" t="n"/>
      <c r="AC204" s="213" t="n"/>
      <c r="AD204" s="213" t="n"/>
      <c r="AE204" s="213" t="n"/>
      <c r="AF204" s="213" t="n"/>
      <c r="AG204" s="213" t="n"/>
      <c r="AH204" s="213" t="n"/>
      <c r="AI204" s="213" t="n"/>
      <c r="AJ204" s="213" t="n"/>
      <c r="AK204" s="213" t="n"/>
    </row>
    <row r="205">
      <c r="B205" s="94" t="n"/>
      <c r="C205" s="88" t="n"/>
      <c r="D205" s="88" t="n"/>
      <c r="E205" s="88" t="n"/>
      <c r="F205" s="88" t="n"/>
      <c r="G205" s="88" t="n"/>
      <c r="H205" s="94" t="n"/>
      <c r="I205" s="4" t="n"/>
      <c r="J205" s="95" t="n"/>
      <c r="K205" s="213" t="n"/>
      <c r="L205" s="213" t="n"/>
      <c r="M205" s="213" t="n"/>
      <c r="N205" s="213" t="n"/>
      <c r="O205" s="213" t="n"/>
      <c r="P205" s="213" t="n"/>
      <c r="Q205" s="213" t="n"/>
      <c r="R205" s="213" t="n"/>
      <c r="S205" s="213" t="n"/>
      <c r="T205" s="213" t="n"/>
      <c r="U205" s="213" t="n"/>
      <c r="V205" s="213" t="n"/>
      <c r="W205" s="213" t="n"/>
      <c r="X205" s="213" t="n"/>
      <c r="Y205" s="213" t="n"/>
      <c r="Z205" s="213" t="n"/>
      <c r="AA205" s="213" t="n"/>
      <c r="AB205" s="213" t="n"/>
      <c r="AC205" s="213" t="n"/>
      <c r="AD205" s="213" t="n"/>
      <c r="AE205" s="213" t="n"/>
      <c r="AF205" s="213" t="n"/>
      <c r="AG205" s="213" t="n"/>
      <c r="AH205" s="213" t="n"/>
      <c r="AI205" s="213" t="n"/>
      <c r="AJ205" s="213" t="n"/>
      <c r="AK205" s="213" t="n"/>
    </row>
    <row r="206">
      <c r="B206" s="94" t="n"/>
      <c r="C206" s="88" t="n"/>
      <c r="D206" s="88" t="n"/>
      <c r="E206" s="88" t="n"/>
      <c r="F206" s="88" t="n"/>
      <c r="G206" s="88" t="n"/>
      <c r="H206" s="94" t="n"/>
      <c r="I206" s="4" t="n"/>
      <c r="J206" s="95" t="n"/>
      <c r="K206" s="213" t="n"/>
      <c r="L206" s="213" t="n"/>
      <c r="M206" s="213" t="n"/>
      <c r="N206" s="213" t="n"/>
      <c r="O206" s="213" t="n"/>
      <c r="P206" s="213" t="n"/>
      <c r="Q206" s="213" t="n"/>
      <c r="R206" s="213" t="n"/>
      <c r="S206" s="213" t="n"/>
      <c r="T206" s="213" t="n"/>
      <c r="U206" s="213" t="n"/>
      <c r="V206" s="213" t="n"/>
      <c r="W206" s="213" t="n"/>
      <c r="X206" s="213" t="n"/>
      <c r="Y206" s="213" t="n"/>
      <c r="Z206" s="213" t="n"/>
      <c r="AA206" s="213" t="n"/>
      <c r="AB206" s="213" t="n"/>
      <c r="AC206" s="213" t="n"/>
      <c r="AD206" s="213" t="n"/>
      <c r="AE206" s="213" t="n"/>
      <c r="AF206" s="213" t="n"/>
      <c r="AG206" s="213" t="n"/>
      <c r="AH206" s="213" t="n"/>
      <c r="AI206" s="213" t="n"/>
      <c r="AJ206" s="213" t="n"/>
      <c r="AK206" s="213" t="n"/>
    </row>
    <row r="207">
      <c r="B207" s="94" t="n"/>
      <c r="C207" s="88" t="n"/>
      <c r="D207" s="88" t="n"/>
      <c r="E207" s="88" t="n"/>
      <c r="F207" s="88" t="n"/>
      <c r="G207" s="88" t="n"/>
      <c r="H207" s="94" t="n"/>
      <c r="I207" s="4" t="n"/>
      <c r="J207" s="95" t="n"/>
      <c r="K207" s="213" t="n"/>
      <c r="L207" s="213" t="n"/>
      <c r="M207" s="213" t="n"/>
      <c r="N207" s="213" t="n"/>
      <c r="O207" s="213" t="n"/>
      <c r="P207" s="213" t="n"/>
      <c r="Q207" s="213" t="n"/>
      <c r="R207" s="213" t="n"/>
      <c r="S207" s="213" t="n"/>
      <c r="T207" s="213" t="n"/>
      <c r="U207" s="213" t="n"/>
      <c r="V207" s="213" t="n"/>
      <c r="W207" s="213" t="n"/>
      <c r="X207" s="213" t="n"/>
      <c r="Y207" s="213" t="n"/>
      <c r="Z207" s="213" t="n"/>
      <c r="AA207" s="213" t="n"/>
      <c r="AB207" s="213" t="n"/>
      <c r="AC207" s="213" t="n"/>
      <c r="AD207" s="213" t="n"/>
      <c r="AE207" s="213" t="n"/>
      <c r="AF207" s="213" t="n"/>
      <c r="AG207" s="213" t="n"/>
      <c r="AH207" s="213" t="n"/>
      <c r="AI207" s="213" t="n"/>
      <c r="AJ207" s="213" t="n"/>
      <c r="AK207" s="213" t="n"/>
    </row>
    <row r="208">
      <c r="B208" s="94" t="n"/>
      <c r="C208" s="88" t="n"/>
      <c r="D208" s="88" t="n"/>
      <c r="E208" s="88" t="n"/>
      <c r="F208" s="88" t="n"/>
      <c r="G208" s="88" t="n"/>
      <c r="H208" s="94" t="n"/>
      <c r="I208" s="4" t="n"/>
      <c r="J208" s="95" t="n"/>
      <c r="K208" s="213" t="n"/>
      <c r="L208" s="213" t="n"/>
      <c r="M208" s="213" t="n"/>
      <c r="N208" s="213" t="n"/>
      <c r="O208" s="213" t="n"/>
      <c r="P208" s="213" t="n"/>
      <c r="Q208" s="213" t="n"/>
      <c r="R208" s="213" t="n"/>
      <c r="S208" s="213" t="n"/>
      <c r="T208" s="213" t="n"/>
      <c r="U208" s="213" t="n"/>
      <c r="V208" s="213" t="n"/>
      <c r="W208" s="213" t="n"/>
      <c r="X208" s="213" t="n"/>
      <c r="Y208" s="213" t="n"/>
      <c r="Z208" s="213" t="n"/>
      <c r="AA208" s="213" t="n"/>
      <c r="AB208" s="213" t="n"/>
      <c r="AC208" s="213" t="n"/>
      <c r="AD208" s="213" t="n"/>
      <c r="AE208" s="213" t="n"/>
      <c r="AF208" s="213" t="n"/>
      <c r="AG208" s="213" t="n"/>
      <c r="AH208" s="213" t="n"/>
      <c r="AI208" s="213" t="n"/>
      <c r="AJ208" s="213" t="n"/>
      <c r="AK208" s="213" t="n"/>
    </row>
    <row r="209">
      <c r="B209" s="94" t="n"/>
      <c r="C209" s="88" t="n"/>
      <c r="D209" s="88" t="n"/>
      <c r="E209" s="88" t="n"/>
      <c r="F209" s="88" t="n"/>
      <c r="G209" s="88" t="n"/>
      <c r="H209" s="94" t="n"/>
      <c r="I209" s="4" t="n"/>
      <c r="J209" s="95" t="n"/>
      <c r="K209" s="213" t="n"/>
      <c r="L209" s="213" t="n"/>
      <c r="M209" s="213" t="n"/>
      <c r="N209" s="213" t="n"/>
      <c r="O209" s="213" t="n"/>
      <c r="P209" s="213" t="n"/>
      <c r="Q209" s="213" t="n"/>
      <c r="R209" s="213" t="n"/>
      <c r="S209" s="213" t="n"/>
      <c r="T209" s="213" t="n"/>
      <c r="U209" s="213" t="n"/>
      <c r="V209" s="213" t="n"/>
      <c r="W209" s="213" t="n"/>
      <c r="X209" s="213" t="n"/>
      <c r="Y209" s="213" t="n"/>
      <c r="Z209" s="213" t="n"/>
      <c r="AA209" s="213" t="n"/>
      <c r="AB209" s="213" t="n"/>
      <c r="AC209" s="213" t="n"/>
      <c r="AD209" s="213" t="n"/>
      <c r="AE209" s="213" t="n"/>
      <c r="AF209" s="213" t="n"/>
      <c r="AG209" s="213" t="n"/>
      <c r="AH209" s="213" t="n"/>
      <c r="AI209" s="213" t="n"/>
      <c r="AJ209" s="213" t="n"/>
      <c r="AK209" s="213" t="n"/>
    </row>
    <row r="210">
      <c r="B210" s="94" t="n"/>
      <c r="C210" s="88" t="n"/>
      <c r="D210" s="88" t="n"/>
      <c r="E210" s="88" t="n"/>
      <c r="F210" s="88" t="n"/>
      <c r="G210" s="88" t="n"/>
      <c r="H210" s="94" t="n"/>
      <c r="I210" s="4" t="n"/>
      <c r="J210" s="95" t="n"/>
      <c r="K210" s="213" t="n"/>
      <c r="L210" s="213" t="n"/>
      <c r="M210" s="213" t="n"/>
      <c r="N210" s="213" t="n"/>
      <c r="O210" s="213" t="n"/>
      <c r="P210" s="213" t="n"/>
      <c r="Q210" s="213" t="n"/>
      <c r="R210" s="213" t="n"/>
      <c r="S210" s="213" t="n"/>
      <c r="T210" s="213" t="n"/>
      <c r="U210" s="213" t="n"/>
      <c r="V210" s="213" t="n"/>
      <c r="W210" s="213" t="n"/>
      <c r="X210" s="213" t="n"/>
      <c r="Y210" s="213" t="n"/>
      <c r="Z210" s="213" t="n"/>
      <c r="AA210" s="213" t="n"/>
      <c r="AB210" s="213" t="n"/>
      <c r="AC210" s="213" t="n"/>
      <c r="AD210" s="213" t="n"/>
      <c r="AE210" s="213" t="n"/>
      <c r="AF210" s="213" t="n"/>
      <c r="AG210" s="213" t="n"/>
      <c r="AH210" s="213" t="n"/>
      <c r="AI210" s="213" t="n"/>
      <c r="AJ210" s="213" t="n"/>
      <c r="AK210" s="213" t="n"/>
    </row>
    <row r="211">
      <c r="B211" s="94" t="n"/>
      <c r="C211" s="88" t="n"/>
      <c r="D211" s="88" t="n"/>
      <c r="E211" s="88" t="n"/>
      <c r="F211" s="88" t="n"/>
      <c r="G211" s="88" t="n"/>
      <c r="H211" s="94" t="n"/>
      <c r="I211" s="4" t="n"/>
      <c r="J211" s="95" t="n"/>
      <c r="K211" s="213" t="n"/>
      <c r="L211" s="213" t="n"/>
      <c r="M211" s="213" t="n"/>
      <c r="N211" s="213" t="n"/>
      <c r="O211" s="213" t="n"/>
      <c r="P211" s="213" t="n"/>
      <c r="Q211" s="213" t="n"/>
      <c r="R211" s="213" t="n"/>
      <c r="S211" s="213" t="n"/>
      <c r="T211" s="213" t="n"/>
      <c r="U211" s="213" t="n"/>
      <c r="V211" s="213" t="n"/>
      <c r="W211" s="213" t="n"/>
      <c r="X211" s="213" t="n"/>
      <c r="Y211" s="213" t="n"/>
      <c r="Z211" s="213" t="n"/>
      <c r="AA211" s="213" t="n"/>
      <c r="AB211" s="213" t="n"/>
      <c r="AC211" s="213" t="n"/>
      <c r="AD211" s="213" t="n"/>
      <c r="AE211" s="213" t="n"/>
      <c r="AF211" s="213" t="n"/>
      <c r="AG211" s="213" t="n"/>
      <c r="AH211" s="213" t="n"/>
      <c r="AI211" s="213" t="n"/>
      <c r="AJ211" s="213" t="n"/>
      <c r="AK211" s="213" t="n"/>
    </row>
    <row r="212">
      <c r="B212" s="94" t="n"/>
      <c r="C212" s="88" t="n"/>
      <c r="D212" s="88" t="n"/>
      <c r="E212" s="88" t="n"/>
      <c r="F212" s="88" t="n"/>
      <c r="G212" s="88" t="n"/>
      <c r="H212" s="94" t="n"/>
      <c r="I212" s="4" t="n"/>
      <c r="J212" s="95" t="n"/>
      <c r="K212" s="213" t="n"/>
      <c r="L212" s="213" t="n"/>
      <c r="M212" s="213" t="n"/>
      <c r="N212" s="213" t="n"/>
      <c r="O212" s="213" t="n"/>
      <c r="P212" s="213" t="n"/>
      <c r="Q212" s="213" t="n"/>
      <c r="R212" s="213" t="n"/>
      <c r="S212" s="213" t="n"/>
      <c r="T212" s="213" t="n"/>
      <c r="U212" s="213" t="n"/>
      <c r="V212" s="213" t="n"/>
      <c r="W212" s="213" t="n"/>
      <c r="X212" s="213" t="n"/>
      <c r="Y212" s="213" t="n"/>
      <c r="Z212" s="213" t="n"/>
      <c r="AA212" s="213" t="n"/>
      <c r="AB212" s="213" t="n"/>
      <c r="AC212" s="213" t="n"/>
      <c r="AD212" s="213" t="n"/>
      <c r="AE212" s="213" t="n"/>
      <c r="AF212" s="213" t="n"/>
      <c r="AG212" s="213" t="n"/>
      <c r="AH212" s="213" t="n"/>
      <c r="AI212" s="213" t="n"/>
      <c r="AJ212" s="213" t="n"/>
      <c r="AK212" s="213" t="n"/>
    </row>
    <row r="213">
      <c r="B213" s="94" t="n"/>
      <c r="C213" s="88" t="n"/>
      <c r="D213" s="88" t="n"/>
      <c r="E213" s="88" t="n"/>
      <c r="F213" s="88" t="n"/>
      <c r="G213" s="88" t="n"/>
      <c r="H213" s="94" t="n"/>
      <c r="I213" s="4" t="n"/>
      <c r="J213" s="95" t="n"/>
      <c r="K213" s="213" t="n"/>
      <c r="L213" s="213" t="n"/>
      <c r="M213" s="213" t="n"/>
      <c r="N213" s="213" t="n"/>
      <c r="O213" s="213" t="n"/>
      <c r="P213" s="213" t="n"/>
      <c r="Q213" s="213" t="n"/>
      <c r="R213" s="213" t="n"/>
      <c r="S213" s="213" t="n"/>
      <c r="T213" s="213" t="n"/>
      <c r="U213" s="213" t="n"/>
      <c r="V213" s="213" t="n"/>
      <c r="W213" s="213" t="n"/>
      <c r="X213" s="213" t="n"/>
      <c r="Y213" s="213" t="n"/>
      <c r="Z213" s="213" t="n"/>
      <c r="AA213" s="213" t="n"/>
      <c r="AB213" s="213" t="n"/>
      <c r="AC213" s="213" t="n"/>
      <c r="AD213" s="213" t="n"/>
      <c r="AE213" s="213" t="n"/>
      <c r="AF213" s="213" t="n"/>
      <c r="AG213" s="213" t="n"/>
      <c r="AH213" s="213" t="n"/>
      <c r="AI213" s="213" t="n"/>
      <c r="AJ213" s="213" t="n"/>
      <c r="AK213" s="213" t="n"/>
    </row>
    <row r="214">
      <c r="B214" s="94" t="n"/>
      <c r="C214" s="88" t="n"/>
      <c r="D214" s="88" t="n"/>
      <c r="E214" s="88" t="n"/>
      <c r="F214" s="88" t="n"/>
      <c r="G214" s="88" t="n"/>
      <c r="H214" s="94" t="n"/>
      <c r="I214" s="4" t="n"/>
      <c r="J214" s="95" t="n"/>
      <c r="K214" s="213" t="n"/>
      <c r="L214" s="213" t="n"/>
      <c r="M214" s="213" t="n"/>
      <c r="N214" s="213" t="n"/>
      <c r="O214" s="213" t="n"/>
      <c r="P214" s="213" t="n"/>
      <c r="Q214" s="213" t="n"/>
      <c r="R214" s="213" t="n"/>
      <c r="S214" s="213" t="n"/>
      <c r="T214" s="213" t="n"/>
      <c r="U214" s="213" t="n"/>
      <c r="V214" s="213" t="n"/>
      <c r="W214" s="213" t="n"/>
      <c r="X214" s="213" t="n"/>
      <c r="Y214" s="213" t="n"/>
      <c r="Z214" s="213" t="n"/>
      <c r="AA214" s="213" t="n"/>
      <c r="AB214" s="213" t="n"/>
      <c r="AC214" s="213" t="n"/>
      <c r="AD214" s="213" t="n"/>
      <c r="AE214" s="213" t="n"/>
      <c r="AF214" s="213" t="n"/>
      <c r="AG214" s="213" t="n"/>
      <c r="AH214" s="213" t="n"/>
      <c r="AI214" s="213" t="n"/>
      <c r="AJ214" s="213" t="n"/>
      <c r="AK214" s="213" t="n"/>
    </row>
    <row r="215">
      <c r="B215" s="94" t="n"/>
      <c r="C215" s="88" t="n"/>
      <c r="D215" s="88" t="n"/>
      <c r="E215" s="88" t="n"/>
      <c r="F215" s="88" t="n"/>
      <c r="G215" s="88" t="n"/>
      <c r="H215" s="94" t="n"/>
      <c r="I215" s="4" t="n"/>
      <c r="J215" s="95" t="n"/>
      <c r="K215" s="213" t="n"/>
      <c r="L215" s="213" t="n"/>
      <c r="M215" s="213" t="n"/>
      <c r="N215" s="213" t="n"/>
      <c r="O215" s="213" t="n"/>
      <c r="P215" s="213" t="n"/>
      <c r="Q215" s="213" t="n"/>
      <c r="R215" s="213" t="n"/>
      <c r="S215" s="213" t="n"/>
      <c r="T215" s="213" t="n"/>
      <c r="U215" s="213" t="n"/>
      <c r="V215" s="213" t="n"/>
      <c r="W215" s="213" t="n"/>
      <c r="X215" s="213" t="n"/>
      <c r="Y215" s="213" t="n"/>
      <c r="Z215" s="213" t="n"/>
      <c r="AA215" s="213" t="n"/>
      <c r="AB215" s="213" t="n"/>
      <c r="AC215" s="213" t="n"/>
      <c r="AD215" s="213" t="n"/>
      <c r="AE215" s="213" t="n"/>
      <c r="AF215" s="213" t="n"/>
      <c r="AG215" s="213" t="n"/>
      <c r="AH215" s="213" t="n"/>
      <c r="AI215" s="213" t="n"/>
      <c r="AJ215" s="213" t="n"/>
      <c r="AK215" s="213" t="n"/>
    </row>
    <row r="216">
      <c r="B216" s="94" t="n"/>
      <c r="C216" s="88" t="n"/>
      <c r="D216" s="88" t="n"/>
      <c r="E216" s="88" t="n"/>
      <c r="F216" s="88" t="n"/>
      <c r="G216" s="88" t="n"/>
      <c r="H216" s="94" t="n"/>
      <c r="I216" s="4" t="n"/>
      <c r="J216" s="95" t="n"/>
      <c r="K216" s="213" t="n"/>
      <c r="L216" s="213" t="n"/>
      <c r="M216" s="213" t="n"/>
      <c r="N216" s="213" t="n"/>
      <c r="O216" s="213" t="n"/>
      <c r="P216" s="213" t="n"/>
      <c r="Q216" s="213" t="n"/>
      <c r="R216" s="213" t="n"/>
      <c r="S216" s="213" t="n"/>
      <c r="T216" s="213" t="n"/>
      <c r="U216" s="213" t="n"/>
      <c r="V216" s="213" t="n"/>
      <c r="W216" s="213" t="n"/>
      <c r="X216" s="213" t="n"/>
      <c r="Y216" s="213" t="n"/>
      <c r="Z216" s="213" t="n"/>
      <c r="AA216" s="213" t="n"/>
      <c r="AB216" s="213" t="n"/>
      <c r="AC216" s="213" t="n"/>
      <c r="AD216" s="213" t="n"/>
      <c r="AE216" s="213" t="n"/>
      <c r="AF216" s="213" t="n"/>
      <c r="AG216" s="213" t="n"/>
      <c r="AH216" s="213" t="n"/>
      <c r="AI216" s="213" t="n"/>
      <c r="AJ216" s="213" t="n"/>
      <c r="AK216" s="213" t="n"/>
    </row>
    <row r="217">
      <c r="B217" s="94" t="n"/>
      <c r="C217" s="88" t="n"/>
      <c r="D217" s="88" t="n"/>
      <c r="E217" s="88" t="n"/>
      <c r="F217" s="88" t="n"/>
      <c r="G217" s="88" t="n"/>
      <c r="H217" s="94" t="n"/>
      <c r="I217" s="4" t="n"/>
      <c r="J217" s="95" t="n"/>
      <c r="K217" s="213" t="n"/>
      <c r="L217" s="213" t="n"/>
      <c r="M217" s="213" t="n"/>
      <c r="N217" s="213" t="n"/>
      <c r="O217" s="213" t="n"/>
      <c r="P217" s="213" t="n"/>
      <c r="Q217" s="213" t="n"/>
      <c r="R217" s="213" t="n"/>
      <c r="S217" s="213" t="n"/>
      <c r="T217" s="213" t="n"/>
      <c r="U217" s="213" t="n"/>
      <c r="V217" s="213" t="n"/>
      <c r="W217" s="213" t="n"/>
      <c r="X217" s="213" t="n"/>
      <c r="Y217" s="213" t="n"/>
      <c r="Z217" s="213" t="n"/>
      <c r="AA217" s="213" t="n"/>
      <c r="AB217" s="213" t="n"/>
      <c r="AC217" s="213" t="n"/>
      <c r="AD217" s="213" t="n"/>
      <c r="AE217" s="213" t="n"/>
      <c r="AF217" s="213" t="n"/>
      <c r="AG217" s="213" t="n"/>
      <c r="AH217" s="213" t="n"/>
      <c r="AI217" s="213" t="n"/>
      <c r="AJ217" s="213" t="n"/>
      <c r="AK217" s="213" t="n"/>
    </row>
    <row r="218">
      <c r="B218" s="94" t="n"/>
      <c r="C218" s="88" t="n"/>
      <c r="D218" s="88" t="n"/>
      <c r="E218" s="88" t="n"/>
      <c r="F218" s="88" t="n"/>
      <c r="G218" s="88" t="n"/>
      <c r="H218" s="94" t="n"/>
      <c r="I218" s="4" t="n"/>
      <c r="J218" s="95" t="n"/>
      <c r="K218" s="213" t="n"/>
      <c r="L218" s="213" t="n"/>
      <c r="M218" s="213" t="n"/>
      <c r="N218" s="213" t="n"/>
      <c r="O218" s="213" t="n"/>
      <c r="P218" s="213" t="n"/>
      <c r="Q218" s="213" t="n"/>
      <c r="R218" s="213" t="n"/>
      <c r="S218" s="213" t="n"/>
      <c r="T218" s="213" t="n"/>
      <c r="U218" s="213" t="n"/>
      <c r="V218" s="213" t="n"/>
      <c r="W218" s="213" t="n"/>
      <c r="X218" s="213" t="n"/>
      <c r="Y218" s="213" t="n"/>
      <c r="Z218" s="213" t="n"/>
      <c r="AA218" s="213" t="n"/>
      <c r="AB218" s="213" t="n"/>
      <c r="AC218" s="213" t="n"/>
      <c r="AD218" s="213" t="n"/>
      <c r="AE218" s="213" t="n"/>
      <c r="AF218" s="213" t="n"/>
      <c r="AG218" s="213" t="n"/>
      <c r="AH218" s="213" t="n"/>
      <c r="AI218" s="213" t="n"/>
      <c r="AJ218" s="213" t="n"/>
      <c r="AK218" s="213" t="n"/>
    </row>
    <row r="219">
      <c r="B219" s="94" t="n"/>
      <c r="C219" s="88" t="n"/>
      <c r="D219" s="88" t="n"/>
      <c r="E219" s="88" t="n"/>
      <c r="F219" s="88" t="n"/>
      <c r="G219" s="88" t="n"/>
      <c r="H219" s="94" t="n"/>
      <c r="I219" s="4" t="n"/>
      <c r="J219" s="95" t="n"/>
      <c r="K219" s="213" t="n"/>
      <c r="L219" s="213" t="n"/>
      <c r="M219" s="213" t="n"/>
      <c r="N219" s="213" t="n"/>
      <c r="O219" s="213" t="n"/>
      <c r="P219" s="213" t="n"/>
      <c r="Q219" s="213" t="n"/>
      <c r="R219" s="213" t="n"/>
      <c r="S219" s="213" t="n"/>
      <c r="T219" s="213" t="n"/>
      <c r="U219" s="213" t="n"/>
      <c r="V219" s="213" t="n"/>
      <c r="W219" s="213" t="n"/>
      <c r="X219" s="213" t="n"/>
      <c r="Y219" s="213" t="n"/>
      <c r="Z219" s="213" t="n"/>
      <c r="AA219" s="213" t="n"/>
      <c r="AB219" s="213" t="n"/>
      <c r="AC219" s="213" t="n"/>
      <c r="AD219" s="213" t="n"/>
      <c r="AE219" s="213" t="n"/>
      <c r="AF219" s="213" t="n"/>
      <c r="AG219" s="213" t="n"/>
      <c r="AH219" s="213" t="n"/>
      <c r="AI219" s="213" t="n"/>
      <c r="AJ219" s="213" t="n"/>
      <c r="AK219" s="213" t="n"/>
    </row>
    <row r="220">
      <c r="B220" s="94" t="n"/>
      <c r="C220" s="88" t="n"/>
      <c r="D220" s="88" t="n"/>
      <c r="E220" s="88" t="n"/>
      <c r="F220" s="88" t="n"/>
      <c r="G220" s="88" t="n"/>
      <c r="H220" s="94" t="n"/>
      <c r="I220" s="4" t="n"/>
      <c r="J220" s="95" t="n"/>
      <c r="K220" s="213" t="n"/>
      <c r="L220" s="213" t="n"/>
      <c r="M220" s="213" t="n"/>
      <c r="N220" s="213" t="n"/>
      <c r="O220" s="213" t="n"/>
      <c r="P220" s="213" t="n"/>
      <c r="Q220" s="213" t="n"/>
      <c r="R220" s="213" t="n"/>
      <c r="S220" s="213" t="n"/>
      <c r="T220" s="213" t="n"/>
      <c r="U220" s="213" t="n"/>
      <c r="V220" s="213" t="n"/>
      <c r="W220" s="213" t="n"/>
      <c r="X220" s="213" t="n"/>
      <c r="Y220" s="213" t="n"/>
      <c r="Z220" s="213" t="n"/>
      <c r="AA220" s="213" t="n"/>
      <c r="AB220" s="213" t="n"/>
      <c r="AC220" s="213" t="n"/>
      <c r="AD220" s="213" t="n"/>
      <c r="AE220" s="213" t="n"/>
      <c r="AF220" s="213" t="n"/>
      <c r="AG220" s="213" t="n"/>
      <c r="AH220" s="213" t="n"/>
      <c r="AI220" s="213" t="n"/>
      <c r="AJ220" s="213" t="n"/>
      <c r="AK220" s="213" t="n"/>
    </row>
    <row r="221">
      <c r="B221" s="94" t="n"/>
      <c r="C221" s="88" t="n"/>
      <c r="D221" s="88" t="n"/>
      <c r="E221" s="88" t="n"/>
      <c r="F221" s="88" t="n"/>
      <c r="G221" s="88" t="n"/>
      <c r="H221" s="94" t="n"/>
      <c r="I221" s="4" t="n"/>
      <c r="J221" s="95" t="n"/>
      <c r="K221" s="213" t="n"/>
      <c r="L221" s="213" t="n"/>
      <c r="M221" s="213" t="n"/>
      <c r="N221" s="213" t="n"/>
      <c r="O221" s="213" t="n"/>
      <c r="P221" s="213" t="n"/>
      <c r="Q221" s="213" t="n"/>
      <c r="R221" s="213" t="n"/>
      <c r="S221" s="213" t="n"/>
      <c r="T221" s="213" t="n"/>
      <c r="U221" s="213" t="n"/>
      <c r="V221" s="213" t="n"/>
      <c r="W221" s="213" t="n"/>
      <c r="X221" s="213" t="n"/>
      <c r="Y221" s="213" t="n"/>
      <c r="Z221" s="213" t="n"/>
      <c r="AA221" s="213" t="n"/>
      <c r="AB221" s="213" t="n"/>
      <c r="AC221" s="213" t="n"/>
      <c r="AD221" s="213" t="n"/>
      <c r="AE221" s="213" t="n"/>
      <c r="AF221" s="213" t="n"/>
      <c r="AG221" s="213" t="n"/>
      <c r="AH221" s="213" t="n"/>
      <c r="AI221" s="213" t="n"/>
      <c r="AJ221" s="213" t="n"/>
      <c r="AK221" s="213" t="n"/>
    </row>
    <row r="222">
      <c r="B222" s="94" t="n"/>
      <c r="C222" s="88" t="n"/>
      <c r="D222" s="88" t="n"/>
      <c r="E222" s="88" t="n"/>
      <c r="F222" s="88" t="n"/>
      <c r="G222" s="88" t="n"/>
      <c r="H222" s="94" t="n"/>
      <c r="I222" s="4" t="n"/>
      <c r="J222" s="95" t="n"/>
      <c r="K222" s="213" t="n"/>
      <c r="L222" s="213" t="n"/>
      <c r="M222" s="213" t="n"/>
      <c r="N222" s="213" t="n"/>
      <c r="O222" s="213" t="n"/>
      <c r="P222" s="213" t="n"/>
      <c r="Q222" s="213" t="n"/>
      <c r="R222" s="213" t="n"/>
      <c r="S222" s="213" t="n"/>
      <c r="T222" s="213" t="n"/>
      <c r="U222" s="213" t="n"/>
      <c r="V222" s="213" t="n"/>
      <c r="W222" s="213" t="n"/>
      <c r="X222" s="213" t="n"/>
      <c r="Y222" s="213" t="n"/>
      <c r="Z222" s="213" t="n"/>
      <c r="AA222" s="213" t="n"/>
      <c r="AB222" s="213" t="n"/>
      <c r="AC222" s="213" t="n"/>
      <c r="AD222" s="213" t="n"/>
      <c r="AE222" s="213" t="n"/>
      <c r="AF222" s="213" t="n"/>
      <c r="AG222" s="213" t="n"/>
      <c r="AH222" s="213" t="n"/>
      <c r="AI222" s="213" t="n"/>
      <c r="AJ222" s="213" t="n"/>
      <c r="AK222" s="213" t="n"/>
    </row>
    <row r="223">
      <c r="B223" s="94" t="n"/>
      <c r="C223" s="88" t="n"/>
      <c r="D223" s="88" t="n"/>
      <c r="E223" s="88" t="n"/>
      <c r="F223" s="88" t="n"/>
      <c r="G223" s="88" t="n"/>
      <c r="H223" s="94" t="n"/>
      <c r="I223" s="4" t="n"/>
      <c r="J223" s="95" t="n"/>
      <c r="K223" s="213" t="n"/>
      <c r="L223" s="213" t="n"/>
      <c r="M223" s="213" t="n"/>
      <c r="N223" s="213" t="n"/>
      <c r="O223" s="213" t="n"/>
      <c r="P223" s="213" t="n"/>
      <c r="Q223" s="213" t="n"/>
      <c r="R223" s="213" t="n"/>
      <c r="S223" s="213" t="n"/>
      <c r="T223" s="213" t="n"/>
      <c r="U223" s="213" t="n"/>
      <c r="V223" s="213" t="n"/>
      <c r="W223" s="213" t="n"/>
      <c r="X223" s="213" t="n"/>
      <c r="Y223" s="213" t="n"/>
      <c r="Z223" s="213" t="n"/>
      <c r="AA223" s="213" t="n"/>
      <c r="AB223" s="213" t="n"/>
      <c r="AC223" s="213" t="n"/>
      <c r="AD223" s="213" t="n"/>
      <c r="AE223" s="213" t="n"/>
      <c r="AF223" s="213" t="n"/>
      <c r="AG223" s="213" t="n"/>
      <c r="AH223" s="213" t="n"/>
      <c r="AI223" s="213" t="n"/>
      <c r="AJ223" s="213" t="n"/>
      <c r="AK223" s="213" t="n"/>
    </row>
    <row r="224">
      <c r="B224" s="94" t="n"/>
      <c r="C224" s="88" t="n"/>
      <c r="D224" s="88" t="n"/>
      <c r="E224" s="88" t="n"/>
      <c r="F224" s="88" t="n"/>
      <c r="G224" s="88" t="n"/>
      <c r="H224" s="94" t="n"/>
      <c r="I224" s="4" t="n"/>
      <c r="J224" s="95" t="n"/>
      <c r="K224" s="213" t="n"/>
      <c r="L224" s="213" t="n"/>
      <c r="M224" s="213" t="n"/>
      <c r="N224" s="213" t="n"/>
      <c r="O224" s="213" t="n"/>
      <c r="P224" s="213" t="n"/>
      <c r="Q224" s="213" t="n"/>
      <c r="R224" s="213" t="n"/>
      <c r="S224" s="213" t="n"/>
      <c r="T224" s="213" t="n"/>
      <c r="U224" s="213" t="n"/>
      <c r="V224" s="213" t="n"/>
      <c r="W224" s="213" t="n"/>
      <c r="X224" s="213" t="n"/>
      <c r="Y224" s="213" t="n"/>
      <c r="Z224" s="213" t="n"/>
      <c r="AA224" s="213" t="n"/>
      <c r="AB224" s="213" t="n"/>
      <c r="AC224" s="213" t="n"/>
      <c r="AD224" s="213" t="n"/>
      <c r="AE224" s="213" t="n"/>
      <c r="AF224" s="213" t="n"/>
      <c r="AG224" s="213" t="n"/>
      <c r="AH224" s="213" t="n"/>
      <c r="AI224" s="213" t="n"/>
      <c r="AJ224" s="213" t="n"/>
      <c r="AK224" s="213" t="n"/>
    </row>
    <row r="225">
      <c r="B225" s="94" t="n"/>
      <c r="C225" s="88" t="n"/>
      <c r="D225" s="88" t="n"/>
      <c r="E225" s="88" t="n"/>
      <c r="F225" s="88" t="n"/>
      <c r="G225" s="88" t="n"/>
      <c r="H225" s="94" t="n"/>
      <c r="I225" s="4" t="n"/>
      <c r="J225" s="95" t="n"/>
      <c r="K225" s="213" t="n"/>
      <c r="L225" s="213" t="n"/>
      <c r="M225" s="213" t="n"/>
      <c r="N225" s="213" t="n"/>
      <c r="O225" s="213" t="n"/>
      <c r="P225" s="213" t="n"/>
      <c r="Q225" s="213" t="n"/>
      <c r="R225" s="213" t="n"/>
      <c r="S225" s="213" t="n"/>
      <c r="T225" s="213" t="n"/>
      <c r="U225" s="213" t="n"/>
      <c r="V225" s="213" t="n"/>
      <c r="W225" s="213" t="n"/>
      <c r="X225" s="213" t="n"/>
      <c r="Y225" s="213" t="n"/>
      <c r="Z225" s="213" t="n"/>
      <c r="AA225" s="213" t="n"/>
      <c r="AB225" s="213" t="n"/>
      <c r="AC225" s="213" t="n"/>
      <c r="AD225" s="213" t="n"/>
      <c r="AE225" s="213" t="n"/>
      <c r="AF225" s="213" t="n"/>
      <c r="AG225" s="213" t="n"/>
      <c r="AH225" s="213" t="n"/>
      <c r="AI225" s="213" t="n"/>
      <c r="AJ225" s="213" t="n"/>
      <c r="AK225" s="213" t="n"/>
    </row>
    <row r="226">
      <c r="B226" s="94" t="n"/>
      <c r="C226" s="88" t="n"/>
      <c r="D226" s="88" t="n"/>
      <c r="E226" s="88" t="n"/>
      <c r="F226" s="88" t="n"/>
      <c r="G226" s="88" t="n"/>
      <c r="H226" s="94" t="n"/>
      <c r="I226" s="4" t="n"/>
      <c r="J226" s="95" t="n"/>
      <c r="K226" s="213" t="n"/>
      <c r="L226" s="213" t="n"/>
      <c r="M226" s="213" t="n"/>
      <c r="N226" s="213" t="n"/>
      <c r="O226" s="213" t="n"/>
      <c r="P226" s="213" t="n"/>
      <c r="Q226" s="213" t="n"/>
      <c r="R226" s="213" t="n"/>
      <c r="S226" s="213" t="n"/>
      <c r="T226" s="213" t="n"/>
      <c r="U226" s="213" t="n"/>
      <c r="V226" s="213" t="n"/>
      <c r="W226" s="213" t="n"/>
      <c r="X226" s="213" t="n"/>
      <c r="Y226" s="213" t="n"/>
      <c r="Z226" s="213" t="n"/>
      <c r="AA226" s="213" t="n"/>
      <c r="AB226" s="213" t="n"/>
      <c r="AC226" s="213" t="n"/>
      <c r="AD226" s="213" t="n"/>
      <c r="AE226" s="213" t="n"/>
      <c r="AF226" s="213" t="n"/>
      <c r="AG226" s="213" t="n"/>
      <c r="AH226" s="213" t="n"/>
      <c r="AI226" s="213" t="n"/>
      <c r="AJ226" s="213" t="n"/>
      <c r="AK226" s="213" t="n"/>
    </row>
    <row r="227">
      <c r="B227" s="94" t="n"/>
      <c r="C227" s="88" t="n"/>
      <c r="D227" s="88" t="n"/>
      <c r="E227" s="88" t="n"/>
      <c r="F227" s="88" t="n"/>
      <c r="G227" s="88" t="n"/>
      <c r="H227" s="94" t="n"/>
      <c r="I227" s="4" t="n"/>
      <c r="J227" s="95" t="n"/>
      <c r="K227" s="213" t="n"/>
      <c r="L227" s="213" t="n"/>
      <c r="M227" s="213" t="n"/>
      <c r="N227" s="213" t="n"/>
      <c r="O227" s="213" t="n"/>
      <c r="P227" s="213" t="n"/>
      <c r="Q227" s="213" t="n"/>
      <c r="R227" s="213" t="n"/>
      <c r="S227" s="213" t="n"/>
      <c r="T227" s="213" t="n"/>
      <c r="U227" s="213" t="n"/>
      <c r="V227" s="213" t="n"/>
      <c r="W227" s="213" t="n"/>
      <c r="X227" s="213" t="n"/>
      <c r="Y227" s="213" t="n"/>
      <c r="Z227" s="213" t="n"/>
      <c r="AA227" s="213" t="n"/>
      <c r="AB227" s="213" t="n"/>
      <c r="AC227" s="213" t="n"/>
      <c r="AD227" s="213" t="n"/>
      <c r="AE227" s="213" t="n"/>
      <c r="AF227" s="213" t="n"/>
      <c r="AG227" s="213" t="n"/>
      <c r="AH227" s="213" t="n"/>
      <c r="AI227" s="213" t="n"/>
      <c r="AJ227" s="213" t="n"/>
      <c r="AK227" s="213" t="n"/>
    </row>
    <row r="228">
      <c r="B228" s="94" t="n"/>
      <c r="C228" s="88" t="n"/>
      <c r="D228" s="88" t="n"/>
      <c r="E228" s="88" t="n"/>
      <c r="F228" s="88" t="n"/>
      <c r="G228" s="88" t="n"/>
      <c r="H228" s="94" t="n"/>
      <c r="I228" s="4" t="n"/>
      <c r="J228" s="95" t="n"/>
      <c r="K228" s="213" t="n"/>
      <c r="L228" s="213" t="n"/>
      <c r="M228" s="213" t="n"/>
      <c r="N228" s="213" t="n"/>
      <c r="O228" s="213" t="n"/>
      <c r="P228" s="213" t="n"/>
      <c r="Q228" s="213" t="n"/>
      <c r="R228" s="213" t="n"/>
      <c r="S228" s="213" t="n"/>
      <c r="T228" s="213" t="n"/>
      <c r="U228" s="213" t="n"/>
      <c r="V228" s="213" t="n"/>
      <c r="W228" s="213" t="n"/>
      <c r="X228" s="213" t="n"/>
      <c r="Y228" s="213" t="n"/>
      <c r="Z228" s="213" t="n"/>
      <c r="AA228" s="213" t="n"/>
      <c r="AB228" s="213" t="n"/>
      <c r="AC228" s="213" t="n"/>
      <c r="AD228" s="213" t="n"/>
      <c r="AE228" s="213" t="n"/>
      <c r="AF228" s="213" t="n"/>
      <c r="AG228" s="213" t="n"/>
      <c r="AH228" s="213" t="n"/>
      <c r="AI228" s="213" t="n"/>
      <c r="AJ228" s="213" t="n"/>
      <c r="AK228" s="213" t="n"/>
    </row>
    <row r="229">
      <c r="B229" s="94" t="n"/>
      <c r="C229" s="88" t="n"/>
      <c r="D229" s="88" t="n"/>
      <c r="E229" s="88" t="n"/>
      <c r="F229" s="88" t="n"/>
      <c r="G229" s="88" t="n"/>
      <c r="H229" s="94" t="n"/>
      <c r="I229" s="4" t="n"/>
      <c r="J229" s="95" t="n"/>
      <c r="K229" s="213" t="n"/>
      <c r="L229" s="213" t="n"/>
      <c r="M229" s="213" t="n"/>
      <c r="N229" s="213" t="n"/>
      <c r="O229" s="213" t="n"/>
      <c r="P229" s="213" t="n"/>
      <c r="Q229" s="213" t="n"/>
      <c r="R229" s="213" t="n"/>
      <c r="S229" s="213" t="n"/>
      <c r="T229" s="213" t="n"/>
      <c r="U229" s="213" t="n"/>
      <c r="V229" s="213" t="n"/>
      <c r="W229" s="213" t="n"/>
      <c r="X229" s="213" t="n"/>
      <c r="Y229" s="213" t="n"/>
      <c r="Z229" s="213" t="n"/>
      <c r="AA229" s="213" t="n"/>
      <c r="AB229" s="213" t="n"/>
      <c r="AC229" s="213" t="n"/>
      <c r="AD229" s="213" t="n"/>
      <c r="AE229" s="213" t="n"/>
      <c r="AF229" s="213" t="n"/>
      <c r="AG229" s="213" t="n"/>
      <c r="AH229" s="213" t="n"/>
      <c r="AI229" s="213" t="n"/>
      <c r="AJ229" s="213" t="n"/>
      <c r="AK229" s="213" t="n"/>
    </row>
    <row r="230">
      <c r="B230" s="94" t="n"/>
      <c r="C230" s="88" t="n"/>
      <c r="D230" s="88" t="n"/>
      <c r="E230" s="88" t="n"/>
      <c r="F230" s="88" t="n"/>
      <c r="G230" s="88" t="n"/>
      <c r="H230" s="94" t="n"/>
      <c r="I230" s="4" t="n"/>
      <c r="J230" s="95" t="n"/>
      <c r="K230" s="213" t="n"/>
      <c r="L230" s="213" t="n"/>
      <c r="M230" s="213" t="n"/>
      <c r="N230" s="213" t="n"/>
      <c r="O230" s="213" t="n"/>
      <c r="P230" s="213" t="n"/>
      <c r="Q230" s="213" t="n"/>
      <c r="R230" s="213" t="n"/>
      <c r="S230" s="213" t="n"/>
      <c r="T230" s="213" t="n"/>
      <c r="U230" s="213" t="n"/>
      <c r="V230" s="213" t="n"/>
      <c r="W230" s="213" t="n"/>
      <c r="X230" s="213" t="n"/>
      <c r="Y230" s="213" t="n"/>
      <c r="Z230" s="213" t="n"/>
      <c r="AA230" s="213" t="n"/>
      <c r="AB230" s="213" t="n"/>
      <c r="AC230" s="213" t="n"/>
      <c r="AD230" s="213" t="n"/>
      <c r="AE230" s="213" t="n"/>
      <c r="AF230" s="213" t="n"/>
      <c r="AG230" s="213" t="n"/>
      <c r="AH230" s="213" t="n"/>
      <c r="AI230" s="213" t="n"/>
      <c r="AJ230" s="213" t="n"/>
      <c r="AK230" s="213" t="n"/>
    </row>
    <row r="231">
      <c r="B231" s="94" t="n"/>
      <c r="C231" s="88" t="n"/>
      <c r="D231" s="88" t="n"/>
      <c r="E231" s="88" t="n"/>
      <c r="F231" s="88" t="n"/>
      <c r="G231" s="88" t="n"/>
      <c r="H231" s="94" t="n"/>
      <c r="I231" s="4" t="n"/>
      <c r="J231" s="95" t="n"/>
      <c r="K231" s="213" t="n"/>
      <c r="L231" s="213" t="n"/>
      <c r="M231" s="213" t="n"/>
      <c r="N231" s="213" t="n"/>
      <c r="O231" s="213" t="n"/>
      <c r="P231" s="213" t="n"/>
      <c r="Q231" s="213" t="n"/>
      <c r="R231" s="213" t="n"/>
      <c r="S231" s="213" t="n"/>
      <c r="T231" s="213" t="n"/>
      <c r="U231" s="213" t="n"/>
      <c r="V231" s="213" t="n"/>
      <c r="W231" s="213" t="n"/>
      <c r="X231" s="213" t="n"/>
      <c r="Y231" s="213" t="n"/>
      <c r="Z231" s="213" t="n"/>
      <c r="AA231" s="213" t="n"/>
      <c r="AB231" s="213" t="n"/>
      <c r="AC231" s="213" t="n"/>
      <c r="AD231" s="213" t="n"/>
      <c r="AE231" s="213" t="n"/>
      <c r="AF231" s="213" t="n"/>
      <c r="AG231" s="213" t="n"/>
      <c r="AH231" s="213" t="n"/>
      <c r="AI231" s="213" t="n"/>
      <c r="AJ231" s="213" t="n"/>
      <c r="AK231" s="213" t="n"/>
    </row>
    <row r="232">
      <c r="B232" s="94" t="n"/>
      <c r="C232" s="88" t="n"/>
      <c r="D232" s="88" t="n"/>
      <c r="E232" s="88" t="n"/>
      <c r="F232" s="88" t="n"/>
      <c r="G232" s="88" t="n"/>
      <c r="H232" s="94" t="n"/>
      <c r="I232" s="4" t="n"/>
      <c r="J232" s="95" t="n"/>
      <c r="K232" s="213" t="n"/>
      <c r="L232" s="213" t="n"/>
      <c r="M232" s="213" t="n"/>
      <c r="N232" s="213" t="n"/>
      <c r="O232" s="213" t="n"/>
      <c r="P232" s="213" t="n"/>
      <c r="Q232" s="213" t="n"/>
      <c r="R232" s="213" t="n"/>
      <c r="S232" s="213" t="n"/>
      <c r="T232" s="213" t="n"/>
      <c r="U232" s="213" t="n"/>
      <c r="V232" s="213" t="n"/>
      <c r="W232" s="213" t="n"/>
      <c r="X232" s="213" t="n"/>
      <c r="Y232" s="213" t="n"/>
      <c r="Z232" s="213" t="n"/>
      <c r="AA232" s="213" t="n"/>
      <c r="AB232" s="213" t="n"/>
      <c r="AC232" s="213" t="n"/>
      <c r="AD232" s="213" t="n"/>
      <c r="AE232" s="213" t="n"/>
      <c r="AF232" s="213" t="n"/>
      <c r="AG232" s="213" t="n"/>
      <c r="AH232" s="213" t="n"/>
      <c r="AI232" s="213" t="n"/>
      <c r="AJ232" s="213" t="n"/>
      <c r="AK232" s="213" t="n"/>
    </row>
    <row r="233">
      <c r="B233" s="94" t="n"/>
      <c r="C233" s="88" t="n"/>
      <c r="D233" s="88" t="n"/>
      <c r="E233" s="88" t="n"/>
      <c r="F233" s="88" t="n"/>
      <c r="G233" s="88" t="n"/>
      <c r="H233" s="94" t="n"/>
      <c r="I233" s="4" t="n"/>
      <c r="J233" s="95" t="n"/>
      <c r="K233" s="213" t="n"/>
      <c r="L233" s="213" t="n"/>
      <c r="M233" s="213" t="n"/>
      <c r="N233" s="213" t="n"/>
      <c r="O233" s="213" t="n"/>
      <c r="P233" s="213" t="n"/>
      <c r="Q233" s="213" t="n"/>
      <c r="R233" s="213" t="n"/>
      <c r="S233" s="213" t="n"/>
      <c r="T233" s="213" t="n"/>
      <c r="U233" s="213" t="n"/>
      <c r="V233" s="213" t="n"/>
      <c r="W233" s="213" t="n"/>
      <c r="X233" s="213" t="n"/>
      <c r="Y233" s="213" t="n"/>
      <c r="Z233" s="213" t="n"/>
      <c r="AA233" s="213" t="n"/>
      <c r="AB233" s="213" t="n"/>
      <c r="AC233" s="213" t="n"/>
      <c r="AD233" s="213" t="n"/>
      <c r="AE233" s="213" t="n"/>
      <c r="AF233" s="213" t="n"/>
      <c r="AG233" s="213" t="n"/>
      <c r="AH233" s="213" t="n"/>
      <c r="AI233" s="213" t="n"/>
      <c r="AJ233" s="213" t="n"/>
      <c r="AK233" s="213" t="n"/>
    </row>
    <row r="234">
      <c r="B234" s="94" t="n"/>
      <c r="C234" s="88" t="n"/>
      <c r="D234" s="88" t="n"/>
      <c r="E234" s="88" t="n"/>
      <c r="F234" s="88" t="n"/>
      <c r="G234" s="88" t="n"/>
      <c r="H234" s="94" t="n"/>
      <c r="I234" s="4" t="n"/>
      <c r="J234" s="95" t="n"/>
      <c r="K234" s="213" t="n"/>
      <c r="L234" s="213" t="n"/>
      <c r="M234" s="213" t="n"/>
      <c r="N234" s="213" t="n"/>
      <c r="O234" s="213" t="n"/>
      <c r="P234" s="213" t="n"/>
      <c r="Q234" s="213" t="n"/>
      <c r="R234" s="213" t="n"/>
      <c r="S234" s="213" t="n"/>
      <c r="T234" s="213" t="n"/>
      <c r="U234" s="213" t="n"/>
      <c r="V234" s="213" t="n"/>
      <c r="W234" s="213" t="n"/>
      <c r="X234" s="213" t="n"/>
      <c r="Y234" s="213" t="n"/>
      <c r="Z234" s="213" t="n"/>
      <c r="AA234" s="213" t="n"/>
      <c r="AB234" s="213" t="n"/>
      <c r="AC234" s="213" t="n"/>
      <c r="AD234" s="213" t="n"/>
      <c r="AE234" s="213" t="n"/>
      <c r="AF234" s="213" t="n"/>
      <c r="AG234" s="213" t="n"/>
      <c r="AH234" s="213" t="n"/>
      <c r="AI234" s="213" t="n"/>
      <c r="AJ234" s="213" t="n"/>
      <c r="AK234" s="213" t="n"/>
    </row>
    <row r="235">
      <c r="B235" s="94" t="n"/>
      <c r="C235" s="88" t="n"/>
      <c r="D235" s="88" t="n"/>
      <c r="E235" s="88" t="n"/>
      <c r="F235" s="88" t="n"/>
      <c r="G235" s="88" t="n"/>
      <c r="H235" s="94" t="n"/>
      <c r="I235" s="4" t="n"/>
      <c r="J235" s="95" t="n"/>
      <c r="K235" s="213" t="n"/>
      <c r="L235" s="213" t="n"/>
      <c r="M235" s="213" t="n"/>
      <c r="N235" s="213" t="n"/>
      <c r="O235" s="213" t="n"/>
      <c r="P235" s="213" t="n"/>
      <c r="Q235" s="213" t="n"/>
      <c r="R235" s="213" t="n"/>
      <c r="S235" s="213" t="n"/>
      <c r="T235" s="213" t="n"/>
      <c r="U235" s="213" t="n"/>
      <c r="V235" s="213" t="n"/>
      <c r="W235" s="213" t="n"/>
      <c r="X235" s="213" t="n"/>
      <c r="Y235" s="213" t="n"/>
      <c r="Z235" s="213" t="n"/>
      <c r="AA235" s="213" t="n"/>
      <c r="AB235" s="213" t="n"/>
      <c r="AC235" s="213" t="n"/>
      <c r="AD235" s="213" t="n"/>
      <c r="AE235" s="213" t="n"/>
      <c r="AF235" s="213" t="n"/>
      <c r="AG235" s="213" t="n"/>
      <c r="AH235" s="213" t="n"/>
      <c r="AI235" s="213" t="n"/>
      <c r="AJ235" s="213" t="n"/>
      <c r="AK235" s="213" t="n"/>
    </row>
    <row r="236">
      <c r="B236" s="94" t="n"/>
      <c r="C236" s="88" t="n"/>
      <c r="D236" s="88" t="n"/>
      <c r="E236" s="88" t="n"/>
      <c r="F236" s="88" t="n"/>
      <c r="G236" s="88" t="n"/>
      <c r="H236" s="94" t="n"/>
      <c r="I236" s="4" t="n"/>
      <c r="J236" s="95" t="n"/>
      <c r="K236" s="213" t="n"/>
      <c r="L236" s="213" t="n"/>
      <c r="M236" s="213" t="n"/>
      <c r="N236" s="213" t="n"/>
      <c r="O236" s="213" t="n"/>
      <c r="P236" s="213" t="n"/>
      <c r="Q236" s="213" t="n"/>
      <c r="R236" s="213" t="n"/>
      <c r="S236" s="213" t="n"/>
      <c r="T236" s="213" t="n"/>
      <c r="U236" s="213" t="n"/>
      <c r="V236" s="213" t="n"/>
      <c r="W236" s="213" t="n"/>
      <c r="X236" s="213" t="n"/>
      <c r="Y236" s="213" t="n"/>
      <c r="Z236" s="213" t="n"/>
      <c r="AA236" s="213" t="n"/>
      <c r="AB236" s="213" t="n"/>
      <c r="AC236" s="213" t="n"/>
      <c r="AD236" s="213" t="n"/>
      <c r="AE236" s="213" t="n"/>
      <c r="AF236" s="213" t="n"/>
      <c r="AG236" s="213" t="n"/>
      <c r="AH236" s="213" t="n"/>
      <c r="AI236" s="213" t="n"/>
      <c r="AJ236" s="213" t="n"/>
      <c r="AK236" s="213" t="n"/>
    </row>
    <row r="237">
      <c r="B237" s="94" t="n"/>
      <c r="C237" s="88" t="n"/>
      <c r="D237" s="88" t="n"/>
      <c r="E237" s="88" t="n"/>
      <c r="F237" s="88" t="n"/>
      <c r="G237" s="88" t="n"/>
      <c r="H237" s="94" t="n"/>
      <c r="I237" s="4" t="n"/>
      <c r="J237" s="95" t="n"/>
      <c r="K237" s="213" t="n"/>
      <c r="L237" s="213" t="n"/>
      <c r="M237" s="213" t="n"/>
      <c r="N237" s="213" t="n"/>
      <c r="O237" s="213" t="n"/>
      <c r="P237" s="213" t="n"/>
      <c r="Q237" s="213" t="n"/>
      <c r="R237" s="213" t="n"/>
      <c r="S237" s="213" t="n"/>
      <c r="T237" s="213" t="n"/>
      <c r="U237" s="213" t="n"/>
      <c r="V237" s="213" t="n"/>
      <c r="W237" s="213" t="n"/>
      <c r="X237" s="213" t="n"/>
      <c r="Y237" s="213" t="n"/>
      <c r="Z237" s="213" t="n"/>
      <c r="AA237" s="213" t="n"/>
      <c r="AB237" s="213" t="n"/>
      <c r="AC237" s="213" t="n"/>
      <c r="AD237" s="213" t="n"/>
      <c r="AE237" s="213" t="n"/>
      <c r="AF237" s="213" t="n"/>
      <c r="AG237" s="213" t="n"/>
      <c r="AH237" s="213" t="n"/>
      <c r="AI237" s="213" t="n"/>
      <c r="AJ237" s="213" t="n"/>
      <c r="AK237" s="213" t="n"/>
    </row>
    <row r="238">
      <c r="B238" s="94" t="n"/>
      <c r="C238" s="88" t="n"/>
      <c r="D238" s="88" t="n"/>
      <c r="E238" s="88" t="n"/>
      <c r="F238" s="88" t="n"/>
      <c r="G238" s="88" t="n"/>
      <c r="H238" s="94" t="n"/>
      <c r="I238" s="4" t="n"/>
      <c r="J238" s="95" t="n"/>
      <c r="K238" s="213" t="n"/>
      <c r="L238" s="213" t="n"/>
      <c r="M238" s="213" t="n"/>
      <c r="N238" s="213" t="n"/>
      <c r="O238" s="213" t="n"/>
      <c r="P238" s="213" t="n"/>
      <c r="Q238" s="213" t="n"/>
      <c r="R238" s="213" t="n"/>
      <c r="S238" s="213" t="n"/>
      <c r="T238" s="213" t="n"/>
      <c r="U238" s="213" t="n"/>
      <c r="V238" s="213" t="n"/>
      <c r="W238" s="213" t="n"/>
      <c r="X238" s="213" t="n"/>
      <c r="Y238" s="213" t="n"/>
      <c r="Z238" s="213" t="n"/>
      <c r="AA238" s="213" t="n"/>
      <c r="AB238" s="213" t="n"/>
      <c r="AC238" s="213" t="n"/>
      <c r="AD238" s="213" t="n"/>
      <c r="AE238" s="213" t="n"/>
      <c r="AF238" s="213" t="n"/>
      <c r="AG238" s="213" t="n"/>
      <c r="AH238" s="213" t="n"/>
      <c r="AI238" s="213" t="n"/>
      <c r="AJ238" s="213" t="n"/>
      <c r="AK238" s="213" t="n"/>
    </row>
    <row r="239">
      <c r="B239" s="94" t="n"/>
      <c r="C239" s="88" t="n"/>
      <c r="D239" s="88" t="n"/>
      <c r="E239" s="88" t="n"/>
      <c r="F239" s="88" t="n"/>
      <c r="G239" s="88" t="n"/>
      <c r="H239" s="94" t="n"/>
      <c r="I239" s="4" t="n"/>
      <c r="J239" s="95" t="n"/>
      <c r="K239" s="213" t="n"/>
      <c r="L239" s="213" t="n"/>
      <c r="M239" s="213" t="n"/>
      <c r="N239" s="213" t="n"/>
      <c r="O239" s="213" t="n"/>
      <c r="P239" s="213" t="n"/>
      <c r="Q239" s="213" t="n"/>
      <c r="R239" s="213" t="n"/>
      <c r="S239" s="213" t="n"/>
      <c r="T239" s="213" t="n"/>
      <c r="U239" s="213" t="n"/>
      <c r="V239" s="213" t="n"/>
      <c r="W239" s="213" t="n"/>
      <c r="X239" s="213" t="n"/>
      <c r="Y239" s="213" t="n"/>
      <c r="Z239" s="213" t="n"/>
      <c r="AA239" s="213" t="n"/>
      <c r="AB239" s="213" t="n"/>
      <c r="AC239" s="213" t="n"/>
      <c r="AD239" s="213" t="n"/>
      <c r="AE239" s="213" t="n"/>
      <c r="AF239" s="213" t="n"/>
      <c r="AG239" s="213" t="n"/>
      <c r="AH239" s="213" t="n"/>
      <c r="AI239" s="213" t="n"/>
      <c r="AJ239" s="213" t="n"/>
      <c r="AK239" s="213" t="n"/>
    </row>
    <row r="240">
      <c r="B240" s="94" t="n"/>
      <c r="C240" s="88" t="n"/>
      <c r="D240" s="88" t="n"/>
      <c r="E240" s="88" t="n"/>
      <c r="F240" s="88" t="n"/>
      <c r="G240" s="88" t="n"/>
      <c r="H240" s="94" t="n"/>
      <c r="I240" s="4" t="n"/>
      <c r="J240" s="95" t="n"/>
      <c r="K240" s="213" t="n"/>
      <c r="L240" s="213" t="n"/>
      <c r="M240" s="213" t="n"/>
      <c r="N240" s="213" t="n"/>
      <c r="O240" s="213" t="n"/>
      <c r="P240" s="213" t="n"/>
      <c r="Q240" s="213" t="n"/>
      <c r="R240" s="213" t="n"/>
      <c r="S240" s="213" t="n"/>
      <c r="T240" s="213" t="n"/>
      <c r="U240" s="213" t="n"/>
      <c r="V240" s="213" t="n"/>
      <c r="W240" s="213" t="n"/>
      <c r="X240" s="213" t="n"/>
      <c r="Y240" s="213" t="n"/>
      <c r="Z240" s="213" t="n"/>
      <c r="AA240" s="213" t="n"/>
      <c r="AB240" s="213" t="n"/>
      <c r="AC240" s="213" t="n"/>
      <c r="AD240" s="213" t="n"/>
      <c r="AE240" s="213" t="n"/>
      <c r="AF240" s="213" t="n"/>
      <c r="AG240" s="213" t="n"/>
      <c r="AH240" s="213" t="n"/>
      <c r="AI240" s="213" t="n"/>
      <c r="AJ240" s="213" t="n"/>
      <c r="AK240" s="213" t="n"/>
    </row>
    <row r="241">
      <c r="B241" s="94" t="n"/>
      <c r="C241" s="88" t="n"/>
      <c r="D241" s="88" t="n"/>
      <c r="E241" s="88" t="n"/>
      <c r="F241" s="88" t="n"/>
      <c r="G241" s="88" t="n"/>
      <c r="H241" s="94" t="n"/>
      <c r="I241" s="4" t="n"/>
      <c r="J241" s="95" t="n"/>
      <c r="K241" s="213" t="n"/>
      <c r="L241" s="213" t="n"/>
      <c r="M241" s="213" t="n"/>
      <c r="N241" s="213" t="n"/>
      <c r="O241" s="213" t="n"/>
      <c r="P241" s="213" t="n"/>
      <c r="Q241" s="213" t="n"/>
      <c r="R241" s="213" t="n"/>
      <c r="S241" s="213" t="n"/>
      <c r="T241" s="213" t="n"/>
      <c r="U241" s="213" t="n"/>
      <c r="V241" s="213" t="n"/>
      <c r="W241" s="213" t="n"/>
      <c r="X241" s="213" t="n"/>
      <c r="Y241" s="213" t="n"/>
      <c r="Z241" s="213" t="n"/>
      <c r="AA241" s="213" t="n"/>
      <c r="AB241" s="213" t="n"/>
      <c r="AC241" s="213" t="n"/>
      <c r="AD241" s="213" t="n"/>
      <c r="AE241" s="213" t="n"/>
      <c r="AF241" s="213" t="n"/>
      <c r="AG241" s="213" t="n"/>
      <c r="AH241" s="213" t="n"/>
      <c r="AI241" s="213" t="n"/>
      <c r="AJ241" s="213" t="n"/>
      <c r="AK241" s="213" t="n"/>
    </row>
    <row r="242">
      <c r="B242" s="94" t="n"/>
      <c r="C242" s="88" t="n"/>
      <c r="D242" s="88" t="n"/>
      <c r="E242" s="88" t="n"/>
      <c r="F242" s="88" t="n"/>
      <c r="G242" s="88" t="n"/>
      <c r="H242" s="94" t="n"/>
      <c r="I242" s="4" t="n"/>
      <c r="J242" s="95" t="n"/>
      <c r="K242" s="213" t="n"/>
      <c r="L242" s="213" t="n"/>
      <c r="M242" s="213" t="n"/>
      <c r="N242" s="213" t="n"/>
      <c r="O242" s="213" t="n"/>
      <c r="P242" s="213" t="n"/>
      <c r="Q242" s="213" t="n"/>
      <c r="R242" s="213" t="n"/>
      <c r="S242" s="213" t="n"/>
      <c r="T242" s="213" t="n"/>
      <c r="U242" s="213" t="n"/>
      <c r="V242" s="213" t="n"/>
      <c r="W242" s="213" t="n"/>
      <c r="X242" s="213" t="n"/>
      <c r="Y242" s="213" t="n"/>
      <c r="Z242" s="213" t="n"/>
      <c r="AA242" s="213" t="n"/>
      <c r="AB242" s="213" t="n"/>
      <c r="AC242" s="213" t="n"/>
      <c r="AD242" s="213" t="n"/>
      <c r="AE242" s="213" t="n"/>
      <c r="AF242" s="213" t="n"/>
      <c r="AG242" s="213" t="n"/>
      <c r="AH242" s="213" t="n"/>
      <c r="AI242" s="213" t="n"/>
      <c r="AJ242" s="213" t="n"/>
      <c r="AK242" s="213" t="n"/>
    </row>
    <row r="243">
      <c r="B243" s="94" t="n"/>
      <c r="C243" s="88" t="n"/>
      <c r="D243" s="88" t="n"/>
      <c r="E243" s="88" t="n"/>
      <c r="F243" s="88" t="n"/>
      <c r="G243" s="88" t="n"/>
      <c r="H243" s="94" t="n"/>
      <c r="I243" s="4" t="n"/>
      <c r="J243" s="95" t="n"/>
      <c r="K243" s="213" t="n"/>
      <c r="L243" s="213" t="n"/>
      <c r="M243" s="213" t="n"/>
      <c r="N243" s="213" t="n"/>
      <c r="O243" s="213" t="n"/>
      <c r="P243" s="213" t="n"/>
      <c r="Q243" s="213" t="n"/>
      <c r="R243" s="213" t="n"/>
      <c r="S243" s="213" t="n"/>
      <c r="T243" s="213" t="n"/>
      <c r="U243" s="213" t="n"/>
      <c r="V243" s="213" t="n"/>
      <c r="W243" s="213" t="n"/>
      <c r="X243" s="213" t="n"/>
      <c r="Y243" s="213" t="n"/>
      <c r="Z243" s="213" t="n"/>
      <c r="AA243" s="213" t="n"/>
      <c r="AB243" s="213" t="n"/>
      <c r="AC243" s="213" t="n"/>
      <c r="AD243" s="213" t="n"/>
      <c r="AE243" s="213" t="n"/>
      <c r="AF243" s="213" t="n"/>
      <c r="AG243" s="213" t="n"/>
      <c r="AH243" s="213" t="n"/>
      <c r="AI243" s="213" t="n"/>
      <c r="AJ243" s="213" t="n"/>
      <c r="AK243" s="213" t="n"/>
    </row>
    <row r="244">
      <c r="B244" s="94" t="n"/>
      <c r="C244" s="88" t="n"/>
      <c r="D244" s="88" t="n"/>
      <c r="E244" s="88" t="n"/>
      <c r="F244" s="88" t="n"/>
      <c r="G244" s="88" t="n"/>
      <c r="H244" s="94" t="n"/>
      <c r="I244" s="4" t="n"/>
      <c r="J244" s="95" t="n"/>
      <c r="K244" s="213" t="n"/>
      <c r="L244" s="213" t="n"/>
      <c r="M244" s="213" t="n"/>
      <c r="N244" s="213" t="n"/>
      <c r="O244" s="213" t="n"/>
      <c r="P244" s="213" t="n"/>
      <c r="Q244" s="213" t="n"/>
      <c r="R244" s="213" t="n"/>
      <c r="S244" s="213" t="n"/>
      <c r="T244" s="213" t="n"/>
      <c r="U244" s="213" t="n"/>
      <c r="V244" s="213" t="n"/>
      <c r="W244" s="213" t="n"/>
      <c r="X244" s="213" t="n"/>
      <c r="Y244" s="213" t="n"/>
      <c r="Z244" s="213" t="n"/>
      <c r="AA244" s="213" t="n"/>
      <c r="AB244" s="213" t="n"/>
      <c r="AC244" s="213" t="n"/>
      <c r="AD244" s="213" t="n"/>
      <c r="AE244" s="213" t="n"/>
      <c r="AF244" s="213" t="n"/>
      <c r="AG244" s="213" t="n"/>
      <c r="AH244" s="213" t="n"/>
      <c r="AI244" s="213" t="n"/>
      <c r="AJ244" s="213" t="n"/>
      <c r="AK244" s="213" t="n"/>
    </row>
    <row r="245">
      <c r="B245" s="94" t="n"/>
      <c r="C245" s="88" t="n"/>
      <c r="D245" s="88" t="n"/>
      <c r="E245" s="88" t="n"/>
      <c r="F245" s="88" t="n"/>
      <c r="G245" s="88" t="n"/>
      <c r="H245" s="94" t="n"/>
      <c r="I245" s="4" t="n"/>
      <c r="J245" s="95" t="n"/>
      <c r="K245" s="213" t="n"/>
      <c r="L245" s="213" t="n"/>
      <c r="M245" s="213" t="n"/>
      <c r="N245" s="213" t="n"/>
      <c r="O245" s="213" t="n"/>
      <c r="P245" s="213" t="n"/>
      <c r="Q245" s="213" t="n"/>
      <c r="R245" s="213" t="n"/>
      <c r="S245" s="213" t="n"/>
      <c r="T245" s="213" t="n"/>
      <c r="U245" s="213" t="n"/>
      <c r="V245" s="213" t="n"/>
      <c r="W245" s="213" t="n"/>
      <c r="X245" s="213" t="n"/>
      <c r="Y245" s="213" t="n"/>
      <c r="Z245" s="213" t="n"/>
      <c r="AA245" s="213" t="n"/>
      <c r="AB245" s="213" t="n"/>
      <c r="AC245" s="213" t="n"/>
      <c r="AD245" s="213" t="n"/>
      <c r="AE245" s="213" t="n"/>
      <c r="AF245" s="213" t="n"/>
      <c r="AG245" s="213" t="n"/>
      <c r="AH245" s="213" t="n"/>
      <c r="AI245" s="213" t="n"/>
      <c r="AJ245" s="213" t="n"/>
      <c r="AK245" s="213" t="n"/>
    </row>
    <row r="246">
      <c r="B246" s="94" t="n"/>
      <c r="C246" s="88" t="n"/>
      <c r="D246" s="88" t="n"/>
      <c r="E246" s="88" t="n"/>
      <c r="F246" s="88" t="n"/>
      <c r="G246" s="88" t="n"/>
      <c r="H246" s="94" t="n"/>
      <c r="I246" s="4" t="n"/>
      <c r="J246" s="95" t="n"/>
      <c r="K246" s="213" t="n"/>
      <c r="L246" s="213" t="n"/>
      <c r="M246" s="213" t="n"/>
      <c r="N246" s="213" t="n"/>
      <c r="O246" s="213" t="n"/>
      <c r="P246" s="213" t="n"/>
      <c r="Q246" s="213" t="n"/>
      <c r="R246" s="213" t="n"/>
      <c r="S246" s="213" t="n"/>
      <c r="T246" s="213" t="n"/>
      <c r="U246" s="213" t="n"/>
      <c r="V246" s="213" t="n"/>
      <c r="W246" s="213" t="n"/>
      <c r="X246" s="213" t="n"/>
      <c r="Y246" s="213" t="n"/>
      <c r="Z246" s="213" t="n"/>
      <c r="AA246" s="213" t="n"/>
      <c r="AB246" s="213" t="n"/>
      <c r="AC246" s="213" t="n"/>
      <c r="AD246" s="213" t="n"/>
      <c r="AE246" s="213" t="n"/>
      <c r="AF246" s="213" t="n"/>
      <c r="AG246" s="213" t="n"/>
      <c r="AH246" s="213" t="n"/>
      <c r="AI246" s="213" t="n"/>
      <c r="AJ246" s="213" t="n"/>
      <c r="AK246" s="213" t="n"/>
    </row>
    <row r="247">
      <c r="B247" s="94" t="n"/>
      <c r="C247" s="88" t="n"/>
      <c r="D247" s="88" t="n"/>
      <c r="E247" s="88" t="n"/>
      <c r="F247" s="88" t="n"/>
      <c r="G247" s="88" t="n"/>
      <c r="H247" s="94" t="n"/>
      <c r="I247" s="4" t="n"/>
      <c r="J247" s="95" t="n"/>
      <c r="K247" s="213" t="n"/>
      <c r="L247" s="213" t="n"/>
      <c r="M247" s="213" t="n"/>
      <c r="N247" s="213" t="n"/>
      <c r="O247" s="213" t="n"/>
      <c r="P247" s="213" t="n"/>
      <c r="Q247" s="213" t="n"/>
      <c r="R247" s="213" t="n"/>
      <c r="S247" s="213" t="n"/>
      <c r="T247" s="213" t="n"/>
      <c r="U247" s="213" t="n"/>
      <c r="V247" s="213" t="n"/>
      <c r="W247" s="213" t="n"/>
      <c r="X247" s="213" t="n"/>
      <c r="Y247" s="213" t="n"/>
      <c r="Z247" s="213" t="n"/>
      <c r="AA247" s="213" t="n"/>
      <c r="AB247" s="213" t="n"/>
      <c r="AC247" s="213" t="n"/>
      <c r="AD247" s="213" t="n"/>
      <c r="AE247" s="213" t="n"/>
      <c r="AF247" s="213" t="n"/>
      <c r="AG247" s="213" t="n"/>
      <c r="AH247" s="213" t="n"/>
      <c r="AI247" s="213" t="n"/>
      <c r="AJ247" s="213" t="n"/>
      <c r="AK247" s="213" t="n"/>
    </row>
    <row r="248">
      <c r="B248" s="94" t="n"/>
      <c r="C248" s="88" t="n"/>
      <c r="D248" s="88" t="n"/>
      <c r="E248" s="88" t="n"/>
      <c r="F248" s="88" t="n"/>
      <c r="G248" s="88" t="n"/>
      <c r="H248" s="94" t="n"/>
      <c r="I248" s="4" t="n"/>
      <c r="J248" s="95" t="n"/>
      <c r="K248" s="213" t="n"/>
      <c r="L248" s="213" t="n"/>
      <c r="M248" s="213" t="n"/>
      <c r="N248" s="213" t="n"/>
      <c r="O248" s="213" t="n"/>
      <c r="P248" s="213" t="n"/>
      <c r="Q248" s="213" t="n"/>
      <c r="R248" s="213" t="n"/>
      <c r="S248" s="213" t="n"/>
      <c r="T248" s="213" t="n"/>
      <c r="U248" s="213" t="n"/>
      <c r="V248" s="213" t="n"/>
      <c r="W248" s="213" t="n"/>
      <c r="X248" s="213" t="n"/>
      <c r="Y248" s="213" t="n"/>
      <c r="Z248" s="213" t="n"/>
      <c r="AA248" s="213" t="n"/>
      <c r="AB248" s="213" t="n"/>
      <c r="AC248" s="213" t="n"/>
      <c r="AD248" s="213" t="n"/>
      <c r="AE248" s="213" t="n"/>
      <c r="AF248" s="213" t="n"/>
      <c r="AG248" s="213" t="n"/>
      <c r="AH248" s="213" t="n"/>
      <c r="AI248" s="213" t="n"/>
      <c r="AJ248" s="213" t="n"/>
      <c r="AK248" s="213" t="n"/>
    </row>
    <row r="249">
      <c r="B249" s="94" t="n"/>
      <c r="C249" s="88" t="n"/>
      <c r="D249" s="88" t="n"/>
      <c r="E249" s="88" t="n"/>
      <c r="F249" s="88" t="n"/>
      <c r="G249" s="88" t="n"/>
      <c r="H249" s="94" t="n"/>
      <c r="I249" s="4" t="n"/>
      <c r="J249" s="95" t="n"/>
      <c r="K249" s="213" t="n"/>
      <c r="L249" s="213" t="n"/>
      <c r="M249" s="213" t="n"/>
      <c r="N249" s="213" t="n"/>
      <c r="O249" s="213" t="n"/>
      <c r="P249" s="213" t="n"/>
      <c r="Q249" s="213" t="n"/>
      <c r="R249" s="213" t="n"/>
      <c r="S249" s="213" t="n"/>
      <c r="T249" s="213" t="n"/>
      <c r="U249" s="213" t="n"/>
      <c r="V249" s="213" t="n"/>
      <c r="W249" s="213" t="n"/>
      <c r="X249" s="213" t="n"/>
      <c r="Y249" s="213" t="n"/>
      <c r="Z249" s="213" t="n"/>
      <c r="AA249" s="213" t="n"/>
      <c r="AB249" s="213" t="n"/>
      <c r="AC249" s="213" t="n"/>
      <c r="AD249" s="213" t="n"/>
      <c r="AE249" s="213" t="n"/>
      <c r="AF249" s="213" t="n"/>
      <c r="AG249" s="213" t="n"/>
      <c r="AH249" s="213" t="n"/>
      <c r="AI249" s="213" t="n"/>
      <c r="AJ249" s="213" t="n"/>
      <c r="AK249" s="213" t="n"/>
    </row>
    <row r="250">
      <c r="B250" s="94" t="n"/>
      <c r="C250" s="88" t="n"/>
      <c r="D250" s="88" t="n"/>
      <c r="E250" s="88" t="n"/>
      <c r="F250" s="88" t="n"/>
      <c r="G250" s="88" t="n"/>
      <c r="H250" s="94" t="n"/>
      <c r="I250" s="4" t="n"/>
      <c r="J250" s="95" t="n"/>
      <c r="K250" s="213" t="n"/>
      <c r="L250" s="213" t="n"/>
      <c r="M250" s="213" t="n"/>
      <c r="N250" s="213" t="n"/>
      <c r="O250" s="213" t="n"/>
      <c r="P250" s="213" t="n"/>
      <c r="Q250" s="213" t="n"/>
      <c r="R250" s="213" t="n"/>
      <c r="S250" s="213" t="n"/>
      <c r="T250" s="213" t="n"/>
      <c r="U250" s="213" t="n"/>
      <c r="V250" s="213" t="n"/>
      <c r="W250" s="213" t="n"/>
      <c r="X250" s="213" t="n"/>
      <c r="Y250" s="213" t="n"/>
      <c r="Z250" s="213" t="n"/>
      <c r="AA250" s="213" t="n"/>
      <c r="AB250" s="213" t="n"/>
      <c r="AC250" s="213" t="n"/>
      <c r="AD250" s="213" t="n"/>
      <c r="AE250" s="213" t="n"/>
      <c r="AF250" s="213" t="n"/>
      <c r="AG250" s="213" t="n"/>
      <c r="AH250" s="213" t="n"/>
      <c r="AI250" s="213" t="n"/>
      <c r="AJ250" s="213" t="n"/>
      <c r="AK250" s="213" t="n"/>
    </row>
    <row r="251">
      <c r="B251" s="94" t="n"/>
      <c r="C251" s="88" t="n"/>
      <c r="D251" s="88" t="n"/>
      <c r="E251" s="88" t="n"/>
      <c r="F251" s="88" t="n"/>
      <c r="G251" s="88" t="n"/>
      <c r="H251" s="94" t="n"/>
      <c r="I251" s="4" t="n"/>
      <c r="J251" s="95" t="n"/>
      <c r="K251" s="213" t="n"/>
      <c r="L251" s="213" t="n"/>
      <c r="M251" s="213" t="n"/>
      <c r="N251" s="213" t="n"/>
      <c r="O251" s="213" t="n"/>
      <c r="P251" s="213" t="n"/>
      <c r="Q251" s="213" t="n"/>
      <c r="R251" s="213" t="n"/>
      <c r="S251" s="213" t="n"/>
      <c r="T251" s="213" t="n"/>
      <c r="U251" s="213" t="n"/>
      <c r="V251" s="213" t="n"/>
      <c r="W251" s="213" t="n"/>
      <c r="X251" s="213" t="n"/>
      <c r="Y251" s="213" t="n"/>
      <c r="Z251" s="213" t="n"/>
      <c r="AA251" s="213" t="n"/>
      <c r="AB251" s="213" t="n"/>
      <c r="AC251" s="213" t="n"/>
      <c r="AD251" s="213" t="n"/>
      <c r="AE251" s="213" t="n"/>
      <c r="AF251" s="213" t="n"/>
      <c r="AG251" s="213" t="n"/>
      <c r="AH251" s="213" t="n"/>
      <c r="AI251" s="213" t="n"/>
      <c r="AJ251" s="213" t="n"/>
      <c r="AK251" s="213" t="n"/>
    </row>
    <row r="252">
      <c r="B252" s="94" t="n"/>
      <c r="C252" s="88" t="n"/>
      <c r="D252" s="88" t="n"/>
      <c r="E252" s="88" t="n"/>
      <c r="F252" s="88" t="n"/>
      <c r="G252" s="88" t="n"/>
      <c r="H252" s="94" t="n"/>
      <c r="I252" s="4" t="n"/>
      <c r="J252" s="95" t="n"/>
      <c r="K252" s="213" t="n"/>
      <c r="L252" s="213" t="n"/>
      <c r="M252" s="213" t="n"/>
      <c r="N252" s="213" t="n"/>
      <c r="O252" s="213" t="n"/>
      <c r="P252" s="213" t="n"/>
      <c r="Q252" s="213" t="n"/>
      <c r="R252" s="213" t="n"/>
      <c r="S252" s="213" t="n"/>
      <c r="T252" s="213" t="n"/>
      <c r="U252" s="213" t="n"/>
      <c r="V252" s="213" t="n"/>
      <c r="W252" s="213" t="n"/>
      <c r="X252" s="213" t="n"/>
      <c r="Y252" s="213" t="n"/>
      <c r="Z252" s="213" t="n"/>
      <c r="AA252" s="213" t="n"/>
      <c r="AB252" s="213" t="n"/>
      <c r="AC252" s="213" t="n"/>
      <c r="AD252" s="213" t="n"/>
      <c r="AE252" s="213" t="n"/>
      <c r="AF252" s="213" t="n"/>
      <c r="AG252" s="213" t="n"/>
      <c r="AH252" s="213" t="n"/>
      <c r="AI252" s="213" t="n"/>
      <c r="AJ252" s="213" t="n"/>
      <c r="AK252" s="213" t="n"/>
    </row>
    <row r="253">
      <c r="B253" s="94" t="n"/>
      <c r="C253" s="88" t="n"/>
      <c r="D253" s="88" t="n"/>
      <c r="E253" s="88" t="n"/>
      <c r="F253" s="88" t="n"/>
      <c r="G253" s="88" t="n"/>
      <c r="H253" s="94" t="n"/>
      <c r="I253" s="4" t="n"/>
      <c r="J253" s="95" t="n"/>
      <c r="K253" s="213" t="n"/>
      <c r="L253" s="213" t="n"/>
      <c r="M253" s="213" t="n"/>
      <c r="N253" s="213" t="n"/>
      <c r="O253" s="213" t="n"/>
      <c r="P253" s="213" t="n"/>
      <c r="Q253" s="213" t="n"/>
      <c r="R253" s="213" t="n"/>
      <c r="S253" s="213" t="n"/>
      <c r="T253" s="213" t="n"/>
      <c r="U253" s="213" t="n"/>
      <c r="V253" s="213" t="n"/>
      <c r="W253" s="213" t="n"/>
      <c r="X253" s="213" t="n"/>
      <c r="Y253" s="213" t="n"/>
      <c r="Z253" s="213" t="n"/>
      <c r="AA253" s="213" t="n"/>
      <c r="AB253" s="213" t="n"/>
      <c r="AC253" s="213" t="n"/>
      <c r="AD253" s="213" t="n"/>
      <c r="AE253" s="213" t="n"/>
      <c r="AF253" s="213" t="n"/>
      <c r="AG253" s="213" t="n"/>
      <c r="AH253" s="213" t="n"/>
      <c r="AI253" s="213" t="n"/>
      <c r="AJ253" s="213" t="n"/>
      <c r="AK253" s="213" t="n"/>
    </row>
    <row r="254">
      <c r="B254" s="94" t="n"/>
      <c r="C254" s="88" t="n"/>
      <c r="D254" s="88" t="n"/>
      <c r="E254" s="88" t="n"/>
      <c r="F254" s="88" t="n"/>
      <c r="G254" s="88" t="n"/>
      <c r="H254" s="94" t="n"/>
      <c r="I254" s="4" t="n"/>
      <c r="J254" s="95" t="n"/>
      <c r="K254" s="213" t="n"/>
      <c r="L254" s="213" t="n"/>
      <c r="M254" s="213" t="n"/>
      <c r="N254" s="213" t="n"/>
      <c r="O254" s="213" t="n"/>
      <c r="P254" s="213" t="n"/>
      <c r="Q254" s="213" t="n"/>
      <c r="R254" s="213" t="n"/>
      <c r="S254" s="213" t="n"/>
      <c r="T254" s="213" t="n"/>
      <c r="U254" s="213" t="n"/>
      <c r="V254" s="213" t="n"/>
      <c r="W254" s="213" t="n"/>
      <c r="X254" s="213" t="n"/>
      <c r="Y254" s="213" t="n"/>
      <c r="Z254" s="213" t="n"/>
      <c r="AA254" s="213" t="n"/>
      <c r="AB254" s="213" t="n"/>
      <c r="AC254" s="213" t="n"/>
      <c r="AD254" s="213" t="n"/>
      <c r="AE254" s="213" t="n"/>
      <c r="AF254" s="213" t="n"/>
      <c r="AG254" s="213" t="n"/>
      <c r="AH254" s="213" t="n"/>
      <c r="AI254" s="213" t="n"/>
      <c r="AJ254" s="213" t="n"/>
      <c r="AK254" s="213" t="n"/>
    </row>
    <row r="255">
      <c r="B255" s="94" t="n"/>
      <c r="C255" s="88" t="n"/>
      <c r="D255" s="88" t="n"/>
      <c r="E255" s="88" t="n"/>
      <c r="F255" s="88" t="n"/>
      <c r="G255" s="88" t="n"/>
      <c r="H255" s="94" t="n"/>
      <c r="I255" s="4" t="n"/>
      <c r="J255" s="95" t="n"/>
      <c r="K255" s="213" t="n"/>
      <c r="L255" s="213" t="n"/>
      <c r="M255" s="213" t="n"/>
      <c r="N255" s="213" t="n"/>
      <c r="O255" s="213" t="n"/>
      <c r="P255" s="213" t="n"/>
      <c r="Q255" s="213" t="n"/>
      <c r="R255" s="213" t="n"/>
      <c r="S255" s="213" t="n"/>
      <c r="T255" s="213" t="n"/>
      <c r="U255" s="213" t="n"/>
      <c r="V255" s="213" t="n"/>
      <c r="W255" s="213" t="n"/>
      <c r="X255" s="213" t="n"/>
      <c r="Y255" s="213" t="n"/>
      <c r="Z255" s="213" t="n"/>
      <c r="AA255" s="213" t="n"/>
      <c r="AB255" s="213" t="n"/>
      <c r="AC255" s="213" t="n"/>
      <c r="AD255" s="213" t="n"/>
      <c r="AE255" s="213" t="n"/>
      <c r="AF255" s="213" t="n"/>
      <c r="AG255" s="213" t="n"/>
      <c r="AH255" s="213" t="n"/>
      <c r="AI255" s="213" t="n"/>
      <c r="AJ255" s="213" t="n"/>
      <c r="AK255" s="213" t="n"/>
    </row>
    <row r="256">
      <c r="B256" s="94" t="n"/>
      <c r="C256" s="88" t="n"/>
      <c r="D256" s="88" t="n"/>
      <c r="E256" s="88" t="n"/>
      <c r="F256" s="88" t="n"/>
      <c r="G256" s="88" t="n"/>
      <c r="H256" s="94" t="n"/>
      <c r="I256" s="4" t="n"/>
      <c r="J256" s="95" t="n"/>
      <c r="K256" s="213" t="n"/>
      <c r="L256" s="213" t="n"/>
      <c r="M256" s="213" t="n"/>
      <c r="N256" s="213" t="n"/>
      <c r="O256" s="213" t="n"/>
      <c r="P256" s="213" t="n"/>
      <c r="Q256" s="213" t="n"/>
      <c r="R256" s="213" t="n"/>
      <c r="S256" s="213" t="n"/>
      <c r="T256" s="213" t="n"/>
      <c r="U256" s="213" t="n"/>
      <c r="V256" s="213" t="n"/>
      <c r="W256" s="213" t="n"/>
      <c r="X256" s="213" t="n"/>
      <c r="Y256" s="213" t="n"/>
      <c r="Z256" s="213" t="n"/>
      <c r="AA256" s="213" t="n"/>
      <c r="AB256" s="213" t="n"/>
      <c r="AC256" s="213" t="n"/>
      <c r="AD256" s="213" t="n"/>
      <c r="AE256" s="213" t="n"/>
      <c r="AF256" s="213" t="n"/>
      <c r="AG256" s="213" t="n"/>
      <c r="AH256" s="213" t="n"/>
      <c r="AI256" s="213" t="n"/>
      <c r="AJ256" s="213" t="n"/>
      <c r="AK256" s="213" t="n"/>
    </row>
    <row r="257">
      <c r="B257" s="94" t="n"/>
      <c r="C257" s="88" t="n"/>
      <c r="D257" s="88" t="n"/>
      <c r="E257" s="88" t="n"/>
      <c r="F257" s="88" t="n"/>
      <c r="G257" s="88" t="n"/>
      <c r="H257" s="94" t="n"/>
      <c r="I257" s="4" t="n"/>
      <c r="J257" s="95" t="n"/>
      <c r="K257" s="213" t="n"/>
      <c r="L257" s="213" t="n"/>
      <c r="M257" s="213" t="n"/>
      <c r="N257" s="213" t="n"/>
      <c r="O257" s="213" t="n"/>
      <c r="P257" s="213" t="n"/>
      <c r="Q257" s="213" t="n"/>
      <c r="R257" s="213" t="n"/>
      <c r="S257" s="213" t="n"/>
      <c r="T257" s="213" t="n"/>
      <c r="U257" s="213" t="n"/>
      <c r="V257" s="213" t="n"/>
      <c r="W257" s="213" t="n"/>
      <c r="X257" s="213" t="n"/>
      <c r="Y257" s="213" t="n"/>
      <c r="Z257" s="213" t="n"/>
      <c r="AA257" s="213" t="n"/>
      <c r="AB257" s="213" t="n"/>
      <c r="AC257" s="213" t="n"/>
      <c r="AD257" s="213" t="n"/>
      <c r="AE257" s="213" t="n"/>
      <c r="AF257" s="213" t="n"/>
      <c r="AG257" s="213" t="n"/>
      <c r="AH257" s="213" t="n"/>
      <c r="AI257" s="213" t="n"/>
      <c r="AJ257" s="213" t="n"/>
      <c r="AK257" s="213" t="n"/>
    </row>
    <row r="258">
      <c r="B258" s="94" t="n"/>
      <c r="C258" s="88" t="n"/>
      <c r="D258" s="88" t="n"/>
      <c r="E258" s="88" t="n"/>
      <c r="F258" s="88" t="n"/>
      <c r="G258" s="88" t="n"/>
      <c r="H258" s="94" t="n"/>
      <c r="I258" s="4" t="n"/>
      <c r="J258" s="95" t="n"/>
      <c r="K258" s="213" t="n"/>
      <c r="L258" s="213" t="n"/>
      <c r="M258" s="213" t="n"/>
      <c r="N258" s="213" t="n"/>
      <c r="O258" s="213" t="n"/>
      <c r="P258" s="213" t="n"/>
      <c r="Q258" s="213" t="n"/>
      <c r="R258" s="213" t="n"/>
      <c r="S258" s="213" t="n"/>
      <c r="T258" s="213" t="n"/>
      <c r="U258" s="213" t="n"/>
      <c r="V258" s="213" t="n"/>
      <c r="W258" s="213" t="n"/>
      <c r="X258" s="213" t="n"/>
      <c r="Y258" s="213" t="n"/>
      <c r="Z258" s="213" t="n"/>
      <c r="AA258" s="213" t="n"/>
      <c r="AB258" s="213" t="n"/>
      <c r="AC258" s="213" t="n"/>
      <c r="AD258" s="213" t="n"/>
      <c r="AE258" s="213" t="n"/>
      <c r="AF258" s="213" t="n"/>
      <c r="AG258" s="213" t="n"/>
      <c r="AH258" s="213" t="n"/>
      <c r="AI258" s="213" t="n"/>
      <c r="AJ258" s="213" t="n"/>
      <c r="AK258" s="213" t="n"/>
    </row>
    <row r="259">
      <c r="B259" s="94" t="n"/>
      <c r="C259" s="88" t="n"/>
      <c r="D259" s="88" t="n"/>
      <c r="E259" s="88" t="n"/>
      <c r="F259" s="88" t="n"/>
      <c r="G259" s="88" t="n"/>
      <c r="H259" s="94" t="n"/>
      <c r="I259" s="4" t="n"/>
      <c r="J259" s="95" t="n"/>
      <c r="K259" s="213" t="n"/>
      <c r="L259" s="213" t="n"/>
      <c r="M259" s="213" t="n"/>
      <c r="N259" s="213" t="n"/>
      <c r="O259" s="213" t="n"/>
      <c r="P259" s="213" t="n"/>
      <c r="Q259" s="213" t="n"/>
      <c r="R259" s="213" t="n"/>
      <c r="S259" s="213" t="n"/>
      <c r="T259" s="213" t="n"/>
      <c r="U259" s="213" t="n"/>
      <c r="V259" s="213" t="n"/>
      <c r="W259" s="213" t="n"/>
      <c r="X259" s="213" t="n"/>
      <c r="Y259" s="213" t="n"/>
      <c r="Z259" s="213" t="n"/>
      <c r="AA259" s="213" t="n"/>
      <c r="AB259" s="213" t="n"/>
      <c r="AC259" s="213" t="n"/>
      <c r="AD259" s="213" t="n"/>
      <c r="AE259" s="213" t="n"/>
      <c r="AF259" s="213" t="n"/>
      <c r="AG259" s="213" t="n"/>
      <c r="AH259" s="213" t="n"/>
      <c r="AI259" s="213" t="n"/>
      <c r="AJ259" s="213" t="n"/>
      <c r="AK259" s="213" t="n"/>
    </row>
    <row r="260">
      <c r="B260" s="94" t="n"/>
      <c r="C260" s="88" t="n"/>
      <c r="D260" s="88" t="n"/>
      <c r="E260" s="88" t="n"/>
      <c r="F260" s="88" t="n"/>
      <c r="G260" s="88" t="n"/>
      <c r="H260" s="94" t="n"/>
      <c r="I260" s="4" t="n"/>
      <c r="J260" s="95" t="n"/>
      <c r="K260" s="213" t="n"/>
      <c r="L260" s="213" t="n"/>
      <c r="M260" s="213" t="n"/>
      <c r="N260" s="213" t="n"/>
      <c r="O260" s="213" t="n"/>
      <c r="P260" s="213" t="n"/>
      <c r="Q260" s="213" t="n"/>
      <c r="R260" s="213" t="n"/>
      <c r="S260" s="213" t="n"/>
      <c r="T260" s="213" t="n"/>
      <c r="U260" s="213" t="n"/>
      <c r="V260" s="213" t="n"/>
      <c r="W260" s="213" t="n"/>
      <c r="X260" s="213" t="n"/>
      <c r="Y260" s="213" t="n"/>
      <c r="Z260" s="213" t="n"/>
      <c r="AA260" s="213" t="n"/>
      <c r="AB260" s="213" t="n"/>
      <c r="AC260" s="213" t="n"/>
      <c r="AD260" s="213" t="n"/>
      <c r="AE260" s="213" t="n"/>
      <c r="AF260" s="213" t="n"/>
      <c r="AG260" s="213" t="n"/>
      <c r="AH260" s="213" t="n"/>
      <c r="AI260" s="213" t="n"/>
      <c r="AJ260" s="213" t="n"/>
      <c r="AK260" s="213" t="n"/>
    </row>
    <row r="261">
      <c r="B261" s="94" t="n"/>
      <c r="C261" s="88" t="n"/>
      <c r="D261" s="88" t="n"/>
      <c r="E261" s="88" t="n"/>
      <c r="F261" s="88" t="n"/>
      <c r="G261" s="88" t="n"/>
      <c r="H261" s="94" t="n"/>
      <c r="I261" s="4" t="n"/>
      <c r="J261" s="95" t="n"/>
      <c r="K261" s="213" t="n"/>
      <c r="L261" s="213" t="n"/>
      <c r="M261" s="213" t="n"/>
      <c r="N261" s="213" t="n"/>
      <c r="O261" s="213" t="n"/>
      <c r="P261" s="213" t="n"/>
      <c r="Q261" s="213" t="n"/>
      <c r="R261" s="213" t="n"/>
      <c r="S261" s="213" t="n"/>
      <c r="T261" s="213" t="n"/>
      <c r="U261" s="213" t="n"/>
      <c r="V261" s="213" t="n"/>
      <c r="W261" s="213" t="n"/>
      <c r="X261" s="213" t="n"/>
      <c r="Y261" s="213" t="n"/>
      <c r="Z261" s="213" t="n"/>
      <c r="AA261" s="213" t="n"/>
      <c r="AB261" s="213" t="n"/>
      <c r="AC261" s="213" t="n"/>
      <c r="AD261" s="213" t="n"/>
      <c r="AE261" s="213" t="n"/>
      <c r="AF261" s="213" t="n"/>
      <c r="AG261" s="213" t="n"/>
      <c r="AH261" s="213" t="n"/>
      <c r="AI261" s="213" t="n"/>
      <c r="AJ261" s="213" t="n"/>
      <c r="AK261" s="213" t="n"/>
    </row>
    <row r="262">
      <c r="B262" s="94" t="n"/>
      <c r="C262" s="88" t="n"/>
      <c r="D262" s="88" t="n"/>
      <c r="E262" s="88" t="n"/>
      <c r="F262" s="88" t="n"/>
      <c r="G262" s="88" t="n"/>
      <c r="H262" s="94" t="n"/>
      <c r="I262" s="4" t="n"/>
      <c r="J262" s="95" t="n"/>
      <c r="K262" s="213" t="n"/>
      <c r="L262" s="213" t="n"/>
      <c r="M262" s="213" t="n"/>
      <c r="N262" s="213" t="n"/>
      <c r="O262" s="213" t="n"/>
      <c r="P262" s="213" t="n"/>
      <c r="Q262" s="213" t="n"/>
      <c r="R262" s="213" t="n"/>
      <c r="S262" s="213" t="n"/>
      <c r="T262" s="213" t="n"/>
      <c r="U262" s="213" t="n"/>
      <c r="V262" s="213" t="n"/>
      <c r="W262" s="213" t="n"/>
      <c r="X262" s="213" t="n"/>
      <c r="Y262" s="213" t="n"/>
      <c r="Z262" s="213" t="n"/>
      <c r="AA262" s="213" t="n"/>
      <c r="AB262" s="213" t="n"/>
      <c r="AC262" s="213" t="n"/>
      <c r="AD262" s="213" t="n"/>
      <c r="AE262" s="213" t="n"/>
      <c r="AF262" s="213" t="n"/>
      <c r="AG262" s="213" t="n"/>
      <c r="AH262" s="213" t="n"/>
      <c r="AI262" s="213" t="n"/>
      <c r="AJ262" s="213" t="n"/>
      <c r="AK262" s="213" t="n"/>
    </row>
    <row r="263">
      <c r="B263" s="94" t="n"/>
      <c r="C263" s="88" t="n"/>
      <c r="D263" s="88" t="n"/>
      <c r="E263" s="88" t="n"/>
      <c r="F263" s="88" t="n"/>
      <c r="G263" s="88" t="n"/>
      <c r="H263" s="94" t="n"/>
      <c r="I263" s="4" t="n"/>
      <c r="J263" s="95" t="n"/>
      <c r="K263" s="213" t="n"/>
      <c r="L263" s="213" t="n"/>
      <c r="M263" s="213" t="n"/>
      <c r="N263" s="213" t="n"/>
      <c r="O263" s="213" t="n"/>
      <c r="P263" s="213" t="n"/>
      <c r="Q263" s="213" t="n"/>
      <c r="R263" s="213" t="n"/>
      <c r="S263" s="213" t="n"/>
      <c r="T263" s="213" t="n"/>
      <c r="U263" s="213" t="n"/>
      <c r="V263" s="213" t="n"/>
      <c r="W263" s="213" t="n"/>
      <c r="X263" s="213" t="n"/>
      <c r="Y263" s="213" t="n"/>
      <c r="Z263" s="213" t="n"/>
      <c r="AA263" s="213" t="n"/>
      <c r="AB263" s="213" t="n"/>
      <c r="AC263" s="213" t="n"/>
      <c r="AD263" s="213" t="n"/>
      <c r="AE263" s="213" t="n"/>
      <c r="AF263" s="213" t="n"/>
      <c r="AG263" s="213" t="n"/>
      <c r="AH263" s="213" t="n"/>
      <c r="AI263" s="213" t="n"/>
      <c r="AJ263" s="213" t="n"/>
      <c r="AK263" s="213" t="n"/>
    </row>
    <row r="264">
      <c r="B264" s="94" t="n"/>
      <c r="C264" s="88" t="n"/>
      <c r="D264" s="88" t="n"/>
      <c r="E264" s="88" t="n"/>
      <c r="F264" s="88" t="n"/>
      <c r="G264" s="88" t="n"/>
      <c r="H264" s="94" t="n"/>
      <c r="I264" s="4" t="n"/>
      <c r="J264" s="95" t="n"/>
      <c r="K264" s="213" t="n"/>
      <c r="L264" s="213" t="n"/>
      <c r="M264" s="213" t="n"/>
      <c r="N264" s="213" t="n"/>
      <c r="O264" s="213" t="n"/>
      <c r="P264" s="213" t="n"/>
      <c r="Q264" s="213" t="n"/>
      <c r="R264" s="213" t="n"/>
      <c r="S264" s="213" t="n"/>
      <c r="T264" s="213" t="n"/>
      <c r="U264" s="213" t="n"/>
      <c r="V264" s="213" t="n"/>
      <c r="W264" s="213" t="n"/>
      <c r="X264" s="213" t="n"/>
      <c r="Y264" s="213" t="n"/>
      <c r="Z264" s="213" t="n"/>
      <c r="AA264" s="213" t="n"/>
      <c r="AB264" s="213" t="n"/>
      <c r="AC264" s="213" t="n"/>
      <c r="AD264" s="213" t="n"/>
      <c r="AE264" s="213" t="n"/>
      <c r="AF264" s="213" t="n"/>
      <c r="AG264" s="213" t="n"/>
      <c r="AH264" s="213" t="n"/>
      <c r="AI264" s="213" t="n"/>
      <c r="AJ264" s="213" t="n"/>
      <c r="AK264" s="213" t="n"/>
    </row>
    <row r="265">
      <c r="B265" s="94" t="n"/>
      <c r="C265" s="88" t="n"/>
      <c r="D265" s="88" t="n"/>
      <c r="E265" s="88" t="n"/>
      <c r="F265" s="88" t="n"/>
      <c r="G265" s="88" t="n"/>
      <c r="H265" s="94" t="n"/>
      <c r="I265" s="4" t="n"/>
      <c r="J265" s="95" t="n"/>
      <c r="K265" s="213" t="n"/>
      <c r="L265" s="213" t="n"/>
      <c r="M265" s="213" t="n"/>
      <c r="N265" s="213" t="n"/>
      <c r="O265" s="213" t="n"/>
      <c r="P265" s="213" t="n"/>
      <c r="Q265" s="213" t="n"/>
      <c r="R265" s="213" t="n"/>
      <c r="S265" s="213" t="n"/>
      <c r="T265" s="213" t="n"/>
      <c r="U265" s="213" t="n"/>
      <c r="V265" s="213" t="n"/>
      <c r="W265" s="213" t="n"/>
      <c r="X265" s="213" t="n"/>
      <c r="Y265" s="213" t="n"/>
      <c r="Z265" s="213" t="n"/>
      <c r="AA265" s="213" t="n"/>
      <c r="AB265" s="213" t="n"/>
      <c r="AC265" s="213" t="n"/>
      <c r="AD265" s="213" t="n"/>
      <c r="AE265" s="213" t="n"/>
      <c r="AF265" s="213" t="n"/>
      <c r="AG265" s="213" t="n"/>
      <c r="AH265" s="213" t="n"/>
      <c r="AI265" s="213" t="n"/>
      <c r="AJ265" s="213" t="n"/>
      <c r="AK265" s="213" t="n"/>
    </row>
    <row r="266">
      <c r="B266" s="94" t="n"/>
      <c r="C266" s="88" t="n"/>
      <c r="D266" s="88" t="n"/>
      <c r="E266" s="88" t="n"/>
      <c r="F266" s="88" t="n"/>
      <c r="G266" s="88" t="n"/>
      <c r="H266" s="94" t="n"/>
      <c r="I266" s="4" t="n"/>
      <c r="J266" s="95" t="n"/>
      <c r="K266" s="213" t="n"/>
      <c r="L266" s="213" t="n"/>
      <c r="M266" s="213" t="n"/>
      <c r="N266" s="213" t="n"/>
      <c r="O266" s="213" t="n"/>
      <c r="P266" s="213" t="n"/>
      <c r="Q266" s="213" t="n"/>
      <c r="R266" s="213" t="n"/>
      <c r="S266" s="213" t="n"/>
      <c r="T266" s="213" t="n"/>
      <c r="U266" s="213" t="n"/>
      <c r="V266" s="213" t="n"/>
      <c r="W266" s="213" t="n"/>
      <c r="X266" s="213" t="n"/>
      <c r="Y266" s="213" t="n"/>
      <c r="Z266" s="213" t="n"/>
      <c r="AA266" s="213" t="n"/>
      <c r="AB266" s="213" t="n"/>
      <c r="AC266" s="213" t="n"/>
      <c r="AD266" s="213" t="n"/>
      <c r="AE266" s="213" t="n"/>
      <c r="AF266" s="213" t="n"/>
      <c r="AG266" s="213" t="n"/>
      <c r="AH266" s="213" t="n"/>
      <c r="AI266" s="213" t="n"/>
      <c r="AJ266" s="213" t="n"/>
      <c r="AK266" s="213" t="n"/>
    </row>
    <row r="267">
      <c r="B267" s="94" t="n"/>
      <c r="C267" s="88" t="n"/>
      <c r="D267" s="88" t="n"/>
      <c r="E267" s="88" t="n"/>
      <c r="F267" s="88" t="n"/>
      <c r="G267" s="88" t="n"/>
      <c r="H267" s="94" t="n"/>
      <c r="I267" s="4" t="n"/>
      <c r="J267" s="95" t="n"/>
      <c r="K267" s="213" t="n"/>
      <c r="L267" s="213" t="n"/>
      <c r="M267" s="213" t="n"/>
      <c r="N267" s="213" t="n"/>
      <c r="O267" s="213" t="n"/>
      <c r="P267" s="213" t="n"/>
      <c r="Q267" s="213" t="n"/>
      <c r="R267" s="213" t="n"/>
      <c r="S267" s="213" t="n"/>
      <c r="T267" s="213" t="n"/>
      <c r="U267" s="213" t="n"/>
      <c r="V267" s="213" t="n"/>
      <c r="W267" s="213" t="n"/>
      <c r="X267" s="213" t="n"/>
      <c r="Y267" s="213" t="n"/>
      <c r="Z267" s="213" t="n"/>
      <c r="AA267" s="213" t="n"/>
      <c r="AB267" s="213" t="n"/>
      <c r="AC267" s="213" t="n"/>
      <c r="AD267" s="213" t="n"/>
      <c r="AE267" s="213" t="n"/>
      <c r="AF267" s="213" t="n"/>
      <c r="AG267" s="213" t="n"/>
      <c r="AH267" s="213" t="n"/>
      <c r="AI267" s="213" t="n"/>
      <c r="AJ267" s="213" t="n"/>
      <c r="AK267" s="213" t="n"/>
    </row>
    <row r="268">
      <c r="B268" s="94" t="n"/>
      <c r="C268" s="88" t="n"/>
      <c r="D268" s="88" t="n"/>
      <c r="E268" s="88" t="n"/>
      <c r="F268" s="88" t="n"/>
      <c r="G268" s="88" t="n"/>
      <c r="H268" s="94" t="n"/>
      <c r="I268" s="4" t="n"/>
      <c r="J268" s="95" t="n"/>
      <c r="K268" s="213" t="n"/>
      <c r="L268" s="213" t="n"/>
      <c r="M268" s="213" t="n"/>
      <c r="N268" s="213" t="n"/>
      <c r="O268" s="213" t="n"/>
      <c r="P268" s="213" t="n"/>
      <c r="Q268" s="213" t="n"/>
      <c r="R268" s="213" t="n"/>
      <c r="S268" s="213" t="n"/>
      <c r="T268" s="213" t="n"/>
      <c r="U268" s="213" t="n"/>
      <c r="V268" s="213" t="n"/>
      <c r="W268" s="213" t="n"/>
      <c r="X268" s="213" t="n"/>
      <c r="Y268" s="213" t="n"/>
      <c r="Z268" s="213" t="n"/>
      <c r="AA268" s="213" t="n"/>
      <c r="AB268" s="213" t="n"/>
      <c r="AC268" s="213" t="n"/>
      <c r="AD268" s="213" t="n"/>
      <c r="AE268" s="213" t="n"/>
      <c r="AF268" s="213" t="n"/>
      <c r="AG268" s="213" t="n"/>
      <c r="AH268" s="213" t="n"/>
      <c r="AI268" s="213" t="n"/>
      <c r="AJ268" s="213" t="n"/>
      <c r="AK268" s="213" t="n"/>
    </row>
    <row r="269">
      <c r="B269" s="94" t="n"/>
      <c r="C269" s="88" t="n"/>
      <c r="D269" s="88" t="n"/>
      <c r="E269" s="88" t="n"/>
      <c r="F269" s="88" t="n"/>
      <c r="G269" s="88" t="n"/>
      <c r="H269" s="94" t="n"/>
      <c r="I269" s="4" t="n"/>
      <c r="J269" s="95" t="n"/>
      <c r="K269" s="213" t="n"/>
      <c r="L269" s="213" t="n"/>
      <c r="M269" s="213" t="n"/>
      <c r="N269" s="213" t="n"/>
      <c r="O269" s="213" t="n"/>
      <c r="P269" s="213" t="n"/>
      <c r="Q269" s="213" t="n"/>
      <c r="R269" s="213" t="n"/>
      <c r="S269" s="213" t="n"/>
      <c r="T269" s="213" t="n"/>
      <c r="U269" s="213" t="n"/>
      <c r="V269" s="213" t="n"/>
      <c r="W269" s="213" t="n"/>
      <c r="X269" s="213" t="n"/>
      <c r="Y269" s="213" t="n"/>
      <c r="Z269" s="213" t="n"/>
      <c r="AA269" s="213" t="n"/>
      <c r="AB269" s="213" t="n"/>
      <c r="AC269" s="213" t="n"/>
      <c r="AD269" s="213" t="n"/>
      <c r="AE269" s="213" t="n"/>
      <c r="AF269" s="213" t="n"/>
      <c r="AG269" s="213" t="n"/>
      <c r="AH269" s="213" t="n"/>
      <c r="AI269" s="213" t="n"/>
      <c r="AJ269" s="213" t="n"/>
      <c r="AK269" s="213" t="n"/>
    </row>
    <row r="270">
      <c r="B270" s="94" t="n"/>
      <c r="C270" s="88" t="n"/>
      <c r="D270" s="88" t="n"/>
      <c r="E270" s="88" t="n"/>
      <c r="F270" s="88" t="n"/>
      <c r="G270" s="88" t="n"/>
      <c r="H270" s="94" t="n"/>
      <c r="I270" s="4" t="n"/>
      <c r="J270" s="95" t="n"/>
      <c r="K270" s="213" t="n"/>
      <c r="L270" s="213" t="n"/>
      <c r="M270" s="213" t="n"/>
      <c r="N270" s="213" t="n"/>
      <c r="O270" s="213" t="n"/>
      <c r="P270" s="213" t="n"/>
      <c r="Q270" s="213" t="n"/>
      <c r="R270" s="213" t="n"/>
      <c r="S270" s="213" t="n"/>
      <c r="T270" s="213" t="n"/>
      <c r="U270" s="213" t="n"/>
      <c r="V270" s="213" t="n"/>
      <c r="W270" s="213" t="n"/>
      <c r="X270" s="213" t="n"/>
      <c r="Y270" s="213" t="n"/>
      <c r="Z270" s="213" t="n"/>
      <c r="AA270" s="213" t="n"/>
      <c r="AB270" s="213" t="n"/>
      <c r="AC270" s="213" t="n"/>
      <c r="AD270" s="213" t="n"/>
      <c r="AE270" s="213" t="n"/>
      <c r="AF270" s="213" t="n"/>
      <c r="AG270" s="213" t="n"/>
      <c r="AH270" s="213" t="n"/>
      <c r="AI270" s="213" t="n"/>
      <c r="AJ270" s="213" t="n"/>
      <c r="AK270" s="213" t="n"/>
    </row>
    <row r="271">
      <c r="B271" s="94" t="n"/>
      <c r="C271" s="88" t="n"/>
      <c r="D271" s="88" t="n"/>
      <c r="E271" s="88" t="n"/>
      <c r="F271" s="88" t="n"/>
      <c r="G271" s="88" t="n"/>
      <c r="H271" s="94" t="n"/>
      <c r="I271" s="4" t="n"/>
      <c r="J271" s="95" t="n"/>
      <c r="K271" s="213" t="n"/>
      <c r="L271" s="213" t="n"/>
      <c r="M271" s="213" t="n"/>
      <c r="N271" s="213" t="n"/>
      <c r="O271" s="213" t="n"/>
      <c r="P271" s="213" t="n"/>
      <c r="Q271" s="213" t="n"/>
      <c r="R271" s="213" t="n"/>
      <c r="S271" s="213" t="n"/>
      <c r="T271" s="213" t="n"/>
      <c r="U271" s="213" t="n"/>
      <c r="V271" s="213" t="n"/>
      <c r="W271" s="213" t="n"/>
      <c r="X271" s="213" t="n"/>
      <c r="Y271" s="213" t="n"/>
      <c r="Z271" s="213" t="n"/>
      <c r="AA271" s="213" t="n"/>
      <c r="AB271" s="213" t="n"/>
      <c r="AC271" s="213" t="n"/>
      <c r="AD271" s="213" t="n"/>
      <c r="AE271" s="213" t="n"/>
      <c r="AF271" s="213" t="n"/>
      <c r="AG271" s="213" t="n"/>
      <c r="AH271" s="213" t="n"/>
      <c r="AI271" s="213" t="n"/>
      <c r="AJ271" s="213" t="n"/>
      <c r="AK271" s="213" t="n"/>
    </row>
    <row r="272">
      <c r="B272" s="94" t="n"/>
      <c r="C272" s="88" t="n"/>
      <c r="D272" s="88" t="n"/>
      <c r="E272" s="88" t="n"/>
      <c r="F272" s="88" t="n"/>
      <c r="G272" s="88" t="n"/>
      <c r="H272" s="94" t="n"/>
      <c r="I272" s="4" t="n"/>
      <c r="J272" s="95" t="n"/>
      <c r="K272" s="213" t="n"/>
      <c r="L272" s="213" t="n"/>
      <c r="M272" s="213" t="n"/>
      <c r="N272" s="213" t="n"/>
      <c r="O272" s="213" t="n"/>
      <c r="P272" s="213" t="n"/>
      <c r="Q272" s="213" t="n"/>
      <c r="R272" s="213" t="n"/>
      <c r="S272" s="213" t="n"/>
      <c r="T272" s="213" t="n"/>
      <c r="U272" s="213" t="n"/>
      <c r="V272" s="213" t="n"/>
      <c r="W272" s="213" t="n"/>
      <c r="X272" s="213" t="n"/>
      <c r="Y272" s="213" t="n"/>
      <c r="Z272" s="213" t="n"/>
      <c r="AA272" s="213" t="n"/>
      <c r="AB272" s="213" t="n"/>
      <c r="AC272" s="213" t="n"/>
      <c r="AD272" s="213" t="n"/>
      <c r="AE272" s="213" t="n"/>
      <c r="AF272" s="213" t="n"/>
      <c r="AG272" s="213" t="n"/>
      <c r="AH272" s="213" t="n"/>
      <c r="AI272" s="213" t="n"/>
      <c r="AJ272" s="213" t="n"/>
      <c r="AK272" s="213" t="n"/>
    </row>
    <row r="273">
      <c r="B273" s="94" t="n"/>
      <c r="C273" s="88" t="n"/>
      <c r="D273" s="88" t="n"/>
      <c r="E273" s="88" t="n"/>
      <c r="F273" s="88" t="n"/>
      <c r="G273" s="88" t="n"/>
      <c r="H273" s="94" t="n"/>
      <c r="I273" s="4" t="n"/>
      <c r="J273" s="95" t="n"/>
      <c r="K273" s="213" t="n"/>
      <c r="L273" s="213" t="n"/>
      <c r="M273" s="213" t="n"/>
      <c r="N273" s="213" t="n"/>
      <c r="O273" s="213" t="n"/>
      <c r="P273" s="213" t="n"/>
      <c r="Q273" s="213" t="n"/>
      <c r="R273" s="213" t="n"/>
      <c r="S273" s="213" t="n"/>
      <c r="T273" s="213" t="n"/>
      <c r="U273" s="213" t="n"/>
      <c r="V273" s="213" t="n"/>
      <c r="W273" s="213" t="n"/>
      <c r="X273" s="213" t="n"/>
      <c r="Y273" s="213" t="n"/>
      <c r="Z273" s="213" t="n"/>
      <c r="AA273" s="213" t="n"/>
      <c r="AB273" s="213" t="n"/>
      <c r="AC273" s="213" t="n"/>
      <c r="AD273" s="213" t="n"/>
      <c r="AE273" s="213" t="n"/>
      <c r="AF273" s="213" t="n"/>
      <c r="AG273" s="213" t="n"/>
      <c r="AH273" s="213" t="n"/>
      <c r="AI273" s="213" t="n"/>
      <c r="AJ273" s="213" t="n"/>
      <c r="AK273" s="213" t="n"/>
    </row>
    <row r="274">
      <c r="B274" s="94" t="n"/>
      <c r="C274" s="88" t="n"/>
      <c r="D274" s="88" t="n"/>
      <c r="E274" s="88" t="n"/>
      <c r="F274" s="88" t="n"/>
      <c r="G274" s="88" t="n"/>
      <c r="H274" s="94" t="n"/>
      <c r="I274" s="4" t="n"/>
      <c r="J274" s="95" t="n"/>
      <c r="K274" s="213" t="n"/>
      <c r="L274" s="213" t="n"/>
      <c r="M274" s="213" t="n"/>
      <c r="N274" s="213" t="n"/>
      <c r="O274" s="213" t="n"/>
      <c r="P274" s="213" t="n"/>
      <c r="Q274" s="213" t="n"/>
      <c r="R274" s="213" t="n"/>
      <c r="S274" s="213" t="n"/>
      <c r="T274" s="213" t="n"/>
      <c r="U274" s="213" t="n"/>
      <c r="V274" s="213" t="n"/>
      <c r="W274" s="213" t="n"/>
      <c r="X274" s="213" t="n"/>
      <c r="Y274" s="213" t="n"/>
      <c r="Z274" s="213" t="n"/>
      <c r="AA274" s="213" t="n"/>
      <c r="AB274" s="213" t="n"/>
      <c r="AC274" s="213" t="n"/>
      <c r="AD274" s="213" t="n"/>
      <c r="AE274" s="213" t="n"/>
      <c r="AF274" s="213" t="n"/>
      <c r="AG274" s="213" t="n"/>
      <c r="AH274" s="213" t="n"/>
      <c r="AI274" s="213" t="n"/>
      <c r="AJ274" s="213" t="n"/>
      <c r="AK274" s="213" t="n"/>
    </row>
    <row r="275">
      <c r="B275" s="94" t="n"/>
      <c r="C275" s="88" t="n"/>
      <c r="D275" s="88" t="n"/>
      <c r="E275" s="88" t="n"/>
      <c r="F275" s="88" t="n"/>
      <c r="G275" s="88" t="n"/>
      <c r="H275" s="94" t="n"/>
      <c r="I275" s="4" t="n"/>
      <c r="J275" s="95" t="n"/>
      <c r="K275" s="213" t="n"/>
      <c r="L275" s="213" t="n"/>
      <c r="M275" s="213" t="n"/>
      <c r="N275" s="213" t="n"/>
      <c r="O275" s="213" t="n"/>
      <c r="P275" s="213" t="n"/>
      <c r="Q275" s="213" t="n"/>
      <c r="R275" s="213" t="n"/>
      <c r="S275" s="213" t="n"/>
      <c r="T275" s="213" t="n"/>
      <c r="U275" s="213" t="n"/>
      <c r="V275" s="213" t="n"/>
      <c r="W275" s="213" t="n"/>
      <c r="X275" s="213" t="n"/>
      <c r="Y275" s="213" t="n"/>
      <c r="Z275" s="213" t="n"/>
      <c r="AA275" s="213" t="n"/>
      <c r="AB275" s="213" t="n"/>
      <c r="AC275" s="213" t="n"/>
      <c r="AD275" s="213" t="n"/>
      <c r="AE275" s="213" t="n"/>
      <c r="AF275" s="213" t="n"/>
      <c r="AG275" s="213" t="n"/>
      <c r="AH275" s="213" t="n"/>
      <c r="AI275" s="213" t="n"/>
      <c r="AJ275" s="213" t="n"/>
      <c r="AK275" s="213" t="n"/>
    </row>
    <row r="276">
      <c r="B276" s="94" t="n"/>
      <c r="C276" s="88" t="n"/>
      <c r="D276" s="88" t="n"/>
      <c r="E276" s="88" t="n"/>
      <c r="F276" s="88" t="n"/>
      <c r="G276" s="88" t="n"/>
      <c r="H276" s="94" t="n"/>
      <c r="I276" s="4" t="n"/>
      <c r="J276" s="95" t="n"/>
      <c r="K276" s="213" t="n"/>
      <c r="L276" s="213" t="n"/>
      <c r="M276" s="213" t="n"/>
      <c r="N276" s="213" t="n"/>
      <c r="O276" s="213" t="n"/>
      <c r="P276" s="213" t="n"/>
      <c r="Q276" s="213" t="n"/>
      <c r="R276" s="213" t="n"/>
      <c r="S276" s="213" t="n"/>
      <c r="T276" s="213" t="n"/>
      <c r="U276" s="213" t="n"/>
      <c r="V276" s="213" t="n"/>
      <c r="W276" s="213" t="n"/>
      <c r="X276" s="213" t="n"/>
      <c r="Y276" s="213" t="n"/>
      <c r="Z276" s="213" t="n"/>
      <c r="AA276" s="213" t="n"/>
      <c r="AB276" s="213" t="n"/>
      <c r="AC276" s="213" t="n"/>
      <c r="AD276" s="213" t="n"/>
      <c r="AE276" s="213" t="n"/>
      <c r="AF276" s="213" t="n"/>
      <c r="AG276" s="213" t="n"/>
      <c r="AH276" s="213" t="n"/>
      <c r="AI276" s="213" t="n"/>
      <c r="AJ276" s="213" t="n"/>
      <c r="AK276" s="213" t="n"/>
    </row>
    <row r="277">
      <c r="B277" s="94" t="n"/>
      <c r="C277" s="88" t="n"/>
      <c r="D277" s="88" t="n"/>
      <c r="E277" s="88" t="n"/>
      <c r="F277" s="88" t="n"/>
      <c r="G277" s="88" t="n"/>
      <c r="H277" s="94" t="n"/>
      <c r="I277" s="4" t="n"/>
      <c r="J277" s="95" t="n"/>
      <c r="K277" s="213" t="n"/>
      <c r="L277" s="213" t="n"/>
      <c r="M277" s="213" t="n"/>
      <c r="N277" s="213" t="n"/>
      <c r="O277" s="213" t="n"/>
      <c r="P277" s="213" t="n"/>
      <c r="Q277" s="213" t="n"/>
      <c r="R277" s="213" t="n"/>
      <c r="S277" s="213" t="n"/>
      <c r="T277" s="213" t="n"/>
      <c r="U277" s="213" t="n"/>
      <c r="V277" s="213" t="n"/>
      <c r="W277" s="213" t="n"/>
      <c r="X277" s="213" t="n"/>
      <c r="Y277" s="213" t="n"/>
      <c r="Z277" s="213" t="n"/>
      <c r="AA277" s="213" t="n"/>
      <c r="AB277" s="213" t="n"/>
      <c r="AC277" s="213" t="n"/>
      <c r="AD277" s="213" t="n"/>
      <c r="AE277" s="213" t="n"/>
      <c r="AF277" s="213" t="n"/>
      <c r="AG277" s="213" t="n"/>
      <c r="AH277" s="213" t="n"/>
      <c r="AI277" s="213" t="n"/>
      <c r="AJ277" s="213" t="n"/>
      <c r="AK277" s="213" t="n"/>
    </row>
    <row r="278">
      <c r="B278" s="94" t="n"/>
      <c r="C278" s="88" t="n"/>
      <c r="D278" s="88" t="n"/>
      <c r="E278" s="88" t="n"/>
      <c r="F278" s="88" t="n"/>
      <c r="G278" s="88" t="n"/>
      <c r="H278" s="94" t="n"/>
      <c r="I278" s="4" t="n"/>
      <c r="J278" s="95" t="n"/>
      <c r="K278" s="213" t="n"/>
      <c r="L278" s="213" t="n"/>
      <c r="M278" s="213" t="n"/>
      <c r="N278" s="213" t="n"/>
      <c r="O278" s="213" t="n"/>
      <c r="P278" s="213" t="n"/>
      <c r="Q278" s="213" t="n"/>
      <c r="R278" s="213" t="n"/>
      <c r="S278" s="213" t="n"/>
      <c r="T278" s="213" t="n"/>
      <c r="U278" s="213" t="n"/>
      <c r="V278" s="213" t="n"/>
      <c r="W278" s="213" t="n"/>
      <c r="X278" s="213" t="n"/>
      <c r="Y278" s="213" t="n"/>
      <c r="Z278" s="213" t="n"/>
      <c r="AA278" s="213" t="n"/>
      <c r="AB278" s="213" t="n"/>
      <c r="AC278" s="213" t="n"/>
      <c r="AD278" s="213" t="n"/>
      <c r="AE278" s="213" t="n"/>
      <c r="AF278" s="213" t="n"/>
      <c r="AG278" s="213" t="n"/>
      <c r="AH278" s="213" t="n"/>
      <c r="AI278" s="213" t="n"/>
      <c r="AJ278" s="213" t="n"/>
      <c r="AK278" s="213" t="n"/>
    </row>
    <row r="279">
      <c r="B279" s="94" t="n"/>
      <c r="C279" s="88" t="n"/>
      <c r="D279" s="88" t="n"/>
      <c r="E279" s="88" t="n"/>
      <c r="F279" s="88" t="n"/>
      <c r="G279" s="88" t="n"/>
      <c r="H279" s="94" t="n"/>
      <c r="I279" s="4" t="n"/>
      <c r="J279" s="95" t="n"/>
      <c r="K279" s="213" t="n"/>
      <c r="L279" s="213" t="n"/>
      <c r="M279" s="213" t="n"/>
      <c r="N279" s="213" t="n"/>
      <c r="O279" s="213" t="n"/>
      <c r="P279" s="213" t="n"/>
      <c r="Q279" s="213" t="n"/>
      <c r="R279" s="213" t="n"/>
      <c r="S279" s="213" t="n"/>
      <c r="T279" s="213" t="n"/>
      <c r="U279" s="213" t="n"/>
      <c r="V279" s="213" t="n"/>
      <c r="W279" s="213" t="n"/>
      <c r="X279" s="213" t="n"/>
      <c r="Y279" s="213" t="n"/>
      <c r="Z279" s="213" t="n"/>
      <c r="AA279" s="213" t="n"/>
      <c r="AB279" s="213" t="n"/>
      <c r="AC279" s="213" t="n"/>
      <c r="AD279" s="213" t="n"/>
      <c r="AE279" s="213" t="n"/>
      <c r="AF279" s="213" t="n"/>
      <c r="AG279" s="213" t="n"/>
      <c r="AH279" s="213" t="n"/>
      <c r="AI279" s="213" t="n"/>
      <c r="AJ279" s="213" t="n"/>
      <c r="AK279" s="213" t="n"/>
    </row>
    <row r="280">
      <c r="B280" s="94" t="n"/>
      <c r="C280" s="88" t="n"/>
      <c r="D280" s="88" t="n"/>
      <c r="E280" s="88" t="n"/>
      <c r="F280" s="88" t="n"/>
      <c r="G280" s="88" t="n"/>
      <c r="H280" s="94" t="n"/>
      <c r="I280" s="4" t="n"/>
      <c r="J280" s="95" t="n"/>
      <c r="K280" s="213" t="n"/>
      <c r="L280" s="213" t="n"/>
      <c r="M280" s="213" t="n"/>
      <c r="N280" s="213" t="n"/>
      <c r="O280" s="213" t="n"/>
      <c r="P280" s="213" t="n"/>
      <c r="Q280" s="213" t="n"/>
      <c r="R280" s="213" t="n"/>
      <c r="S280" s="213" t="n"/>
      <c r="T280" s="213" t="n"/>
      <c r="U280" s="213" t="n"/>
      <c r="V280" s="213" t="n"/>
      <c r="W280" s="213" t="n"/>
      <c r="X280" s="213" t="n"/>
      <c r="Y280" s="213" t="n"/>
      <c r="Z280" s="213" t="n"/>
      <c r="AA280" s="213" t="n"/>
      <c r="AB280" s="213" t="n"/>
      <c r="AC280" s="213" t="n"/>
      <c r="AD280" s="213" t="n"/>
      <c r="AE280" s="213" t="n"/>
      <c r="AF280" s="213" t="n"/>
      <c r="AG280" s="213" t="n"/>
      <c r="AH280" s="213" t="n"/>
      <c r="AI280" s="213" t="n"/>
      <c r="AJ280" s="213" t="n"/>
      <c r="AK280" s="213" t="n"/>
    </row>
    <row r="281">
      <c r="B281" s="94" t="n"/>
      <c r="C281" s="88" t="n"/>
      <c r="D281" s="88" t="n"/>
      <c r="E281" s="88" t="n"/>
      <c r="F281" s="88" t="n"/>
      <c r="G281" s="88" t="n"/>
      <c r="H281" s="94" t="n"/>
      <c r="I281" s="4" t="n"/>
      <c r="J281" s="95" t="n"/>
      <c r="K281" s="213" t="n"/>
      <c r="L281" s="213" t="n"/>
      <c r="M281" s="213" t="n"/>
      <c r="N281" s="213" t="n"/>
      <c r="O281" s="213" t="n"/>
      <c r="P281" s="213" t="n"/>
      <c r="Q281" s="213" t="n"/>
      <c r="R281" s="213" t="n"/>
      <c r="S281" s="213" t="n"/>
      <c r="T281" s="213" t="n"/>
      <c r="U281" s="213" t="n"/>
      <c r="V281" s="213" t="n"/>
      <c r="W281" s="213" t="n"/>
      <c r="X281" s="213" t="n"/>
      <c r="Y281" s="213" t="n"/>
      <c r="Z281" s="213" t="n"/>
      <c r="AA281" s="213" t="n"/>
      <c r="AB281" s="213" t="n"/>
      <c r="AC281" s="213" t="n"/>
      <c r="AD281" s="213" t="n"/>
      <c r="AE281" s="213" t="n"/>
      <c r="AF281" s="213" t="n"/>
      <c r="AG281" s="213" t="n"/>
      <c r="AH281" s="213" t="n"/>
      <c r="AI281" s="213" t="n"/>
      <c r="AJ281" s="213" t="n"/>
      <c r="AK281" s="213" t="n"/>
    </row>
    <row r="282">
      <c r="B282" s="94" t="n"/>
      <c r="C282" s="88" t="n"/>
      <c r="D282" s="88" t="n"/>
      <c r="E282" s="88" t="n"/>
      <c r="F282" s="88" t="n"/>
      <c r="G282" s="88" t="n"/>
      <c r="H282" s="94" t="n"/>
      <c r="I282" s="4" t="n"/>
      <c r="J282" s="95" t="n"/>
      <c r="K282" s="213" t="n"/>
      <c r="L282" s="213" t="n"/>
      <c r="M282" s="213" t="n"/>
      <c r="N282" s="213" t="n"/>
      <c r="O282" s="213" t="n"/>
      <c r="P282" s="213" t="n"/>
      <c r="Q282" s="213" t="n"/>
      <c r="R282" s="213" t="n"/>
      <c r="S282" s="213" t="n"/>
      <c r="T282" s="213" t="n"/>
      <c r="U282" s="213" t="n"/>
      <c r="V282" s="213" t="n"/>
      <c r="W282" s="213" t="n"/>
      <c r="X282" s="213" t="n"/>
      <c r="Y282" s="213" t="n"/>
      <c r="Z282" s="213" t="n"/>
      <c r="AA282" s="213" t="n"/>
      <c r="AB282" s="213" t="n"/>
      <c r="AC282" s="213" t="n"/>
      <c r="AD282" s="213" t="n"/>
      <c r="AE282" s="213" t="n"/>
      <c r="AF282" s="213" t="n"/>
      <c r="AG282" s="213" t="n"/>
      <c r="AH282" s="213" t="n"/>
      <c r="AI282" s="213" t="n"/>
      <c r="AJ282" s="213" t="n"/>
      <c r="AK282" s="213" t="n"/>
    </row>
    <row r="283">
      <c r="B283" s="94" t="n"/>
      <c r="C283" s="88" t="n"/>
      <c r="D283" s="88" t="n"/>
      <c r="E283" s="88" t="n"/>
      <c r="F283" s="88" t="n"/>
      <c r="G283" s="88" t="n"/>
      <c r="H283" s="94" t="n"/>
      <c r="I283" s="4" t="n"/>
      <c r="J283" s="95" t="n"/>
      <c r="K283" s="213" t="n"/>
      <c r="L283" s="213" t="n"/>
      <c r="M283" s="213" t="n"/>
      <c r="N283" s="213" t="n"/>
      <c r="O283" s="213" t="n"/>
      <c r="P283" s="213" t="n"/>
      <c r="Q283" s="213" t="n"/>
      <c r="R283" s="213" t="n"/>
      <c r="S283" s="213" t="n"/>
      <c r="T283" s="213" t="n"/>
      <c r="U283" s="213" t="n"/>
      <c r="V283" s="213" t="n"/>
      <c r="W283" s="213" t="n"/>
      <c r="X283" s="213" t="n"/>
      <c r="Y283" s="213" t="n"/>
      <c r="Z283" s="213" t="n"/>
      <c r="AA283" s="213" t="n"/>
      <c r="AB283" s="213" t="n"/>
      <c r="AC283" s="213" t="n"/>
      <c r="AD283" s="213" t="n"/>
      <c r="AE283" s="213" t="n"/>
      <c r="AF283" s="213" t="n"/>
      <c r="AG283" s="213" t="n"/>
      <c r="AH283" s="213" t="n"/>
      <c r="AI283" s="213" t="n"/>
      <c r="AJ283" s="213" t="n"/>
      <c r="AK283" s="213" t="n"/>
    </row>
    <row r="284">
      <c r="B284" s="94" t="n"/>
      <c r="C284" s="88" t="n"/>
      <c r="D284" s="88" t="n"/>
      <c r="E284" s="88" t="n"/>
      <c r="F284" s="88" t="n"/>
      <c r="G284" s="88" t="n"/>
      <c r="H284" s="94" t="n"/>
      <c r="I284" s="4" t="n"/>
      <c r="J284" s="95" t="n"/>
      <c r="K284" s="213" t="n"/>
      <c r="L284" s="213" t="n"/>
      <c r="M284" s="213" t="n"/>
      <c r="N284" s="213" t="n"/>
      <c r="O284" s="213" t="n"/>
      <c r="P284" s="213" t="n"/>
      <c r="Q284" s="213" t="n"/>
      <c r="R284" s="213" t="n"/>
      <c r="S284" s="213" t="n"/>
      <c r="T284" s="213" t="n"/>
      <c r="U284" s="213" t="n"/>
      <c r="V284" s="213" t="n"/>
      <c r="W284" s="213" t="n"/>
      <c r="X284" s="213" t="n"/>
      <c r="Y284" s="213" t="n"/>
      <c r="Z284" s="213" t="n"/>
      <c r="AA284" s="213" t="n"/>
      <c r="AB284" s="213" t="n"/>
      <c r="AC284" s="213" t="n"/>
      <c r="AD284" s="213" t="n"/>
      <c r="AE284" s="213" t="n"/>
      <c r="AF284" s="213" t="n"/>
      <c r="AG284" s="213" t="n"/>
      <c r="AH284" s="213" t="n"/>
      <c r="AI284" s="213" t="n"/>
      <c r="AJ284" s="213" t="n"/>
      <c r="AK284" s="213" t="n"/>
    </row>
    <row r="285">
      <c r="B285" s="94" t="n"/>
      <c r="C285" s="88" t="n"/>
      <c r="D285" s="88" t="n"/>
      <c r="E285" s="88" t="n"/>
      <c r="F285" s="88" t="n"/>
      <c r="G285" s="88" t="n"/>
      <c r="H285" s="94" t="n"/>
      <c r="I285" s="4" t="n"/>
      <c r="J285" s="95" t="n"/>
      <c r="K285" s="213" t="n"/>
      <c r="L285" s="213" t="n"/>
      <c r="M285" s="213" t="n"/>
      <c r="N285" s="213" t="n"/>
      <c r="O285" s="213" t="n"/>
      <c r="P285" s="213" t="n"/>
      <c r="Q285" s="213" t="n"/>
      <c r="R285" s="213" t="n"/>
      <c r="S285" s="213" t="n"/>
      <c r="T285" s="213" t="n"/>
      <c r="U285" s="213" t="n"/>
      <c r="V285" s="213" t="n"/>
      <c r="W285" s="213" t="n"/>
      <c r="X285" s="213" t="n"/>
      <c r="Y285" s="213" t="n"/>
      <c r="Z285" s="213" t="n"/>
      <c r="AA285" s="213" t="n"/>
      <c r="AB285" s="213" t="n"/>
      <c r="AC285" s="213" t="n"/>
      <c r="AD285" s="213" t="n"/>
      <c r="AE285" s="213" t="n"/>
      <c r="AF285" s="213" t="n"/>
      <c r="AG285" s="213" t="n"/>
      <c r="AH285" s="213" t="n"/>
      <c r="AI285" s="213" t="n"/>
      <c r="AJ285" s="213" t="n"/>
      <c r="AK285" s="213" t="n"/>
    </row>
    <row r="286">
      <c r="B286" s="94" t="n"/>
      <c r="C286" s="88" t="n"/>
      <c r="D286" s="88" t="n"/>
      <c r="E286" s="88" t="n"/>
      <c r="F286" s="88" t="n"/>
      <c r="G286" s="88" t="n"/>
      <c r="H286" s="94" t="n"/>
      <c r="I286" s="4" t="n"/>
      <c r="J286" s="95" t="n"/>
      <c r="K286" s="213" t="n"/>
      <c r="L286" s="213" t="n"/>
      <c r="M286" s="213" t="n"/>
      <c r="N286" s="213" t="n"/>
      <c r="O286" s="213" t="n"/>
      <c r="P286" s="213" t="n"/>
      <c r="Q286" s="213" t="n"/>
      <c r="R286" s="213" t="n"/>
      <c r="S286" s="213" t="n"/>
      <c r="T286" s="213" t="n"/>
      <c r="U286" s="213" t="n"/>
      <c r="V286" s="213" t="n"/>
      <c r="W286" s="213" t="n"/>
      <c r="X286" s="213" t="n"/>
      <c r="Y286" s="213" t="n"/>
      <c r="Z286" s="213" t="n"/>
      <c r="AA286" s="213" t="n"/>
      <c r="AB286" s="213" t="n"/>
      <c r="AC286" s="213" t="n"/>
      <c r="AD286" s="213" t="n"/>
      <c r="AE286" s="213" t="n"/>
      <c r="AF286" s="213" t="n"/>
      <c r="AG286" s="213" t="n"/>
      <c r="AH286" s="213" t="n"/>
      <c r="AI286" s="213" t="n"/>
      <c r="AJ286" s="213" t="n"/>
      <c r="AK286" s="213" t="n"/>
    </row>
    <row r="287">
      <c r="B287" s="94" t="n"/>
      <c r="C287" s="88" t="n"/>
      <c r="D287" s="88" t="n"/>
      <c r="E287" s="88" t="n"/>
      <c r="F287" s="88" t="n"/>
      <c r="G287" s="88" t="n"/>
      <c r="H287" s="94" t="n"/>
      <c r="I287" s="4" t="n"/>
      <c r="J287" s="95" t="n"/>
      <c r="K287" s="213" t="n"/>
      <c r="L287" s="213" t="n"/>
      <c r="M287" s="213" t="n"/>
      <c r="N287" s="213" t="n"/>
      <c r="O287" s="213" t="n"/>
      <c r="P287" s="213" t="n"/>
      <c r="Q287" s="213" t="n"/>
      <c r="R287" s="213" t="n"/>
      <c r="S287" s="213" t="n"/>
      <c r="T287" s="213" t="n"/>
      <c r="U287" s="213" t="n"/>
      <c r="V287" s="213" t="n"/>
      <c r="W287" s="213" t="n"/>
      <c r="X287" s="213" t="n"/>
      <c r="Y287" s="213" t="n"/>
      <c r="Z287" s="213" t="n"/>
      <c r="AA287" s="213" t="n"/>
      <c r="AB287" s="213" t="n"/>
      <c r="AC287" s="213" t="n"/>
      <c r="AD287" s="213" t="n"/>
      <c r="AE287" s="213" t="n"/>
      <c r="AF287" s="213" t="n"/>
      <c r="AG287" s="213" t="n"/>
      <c r="AH287" s="213" t="n"/>
      <c r="AI287" s="213" t="n"/>
      <c r="AJ287" s="213" t="n"/>
      <c r="AK287" s="213" t="n"/>
    </row>
    <row r="288">
      <c r="B288" s="94" t="n"/>
      <c r="C288" s="88" t="n"/>
      <c r="D288" s="88" t="n"/>
      <c r="E288" s="88" t="n"/>
      <c r="F288" s="88" t="n"/>
      <c r="G288" s="88" t="n"/>
      <c r="H288" s="94" t="n"/>
      <c r="I288" s="4" t="n"/>
      <c r="J288" s="95" t="n"/>
      <c r="K288" s="213" t="n"/>
      <c r="L288" s="213" t="n"/>
      <c r="M288" s="213" t="n"/>
      <c r="N288" s="213" t="n"/>
      <c r="O288" s="213" t="n"/>
      <c r="P288" s="213" t="n"/>
      <c r="Q288" s="213" t="n"/>
      <c r="R288" s="213" t="n"/>
      <c r="S288" s="213" t="n"/>
      <c r="T288" s="213" t="n"/>
      <c r="U288" s="213" t="n"/>
      <c r="V288" s="213" t="n"/>
      <c r="W288" s="213" t="n"/>
      <c r="X288" s="213" t="n"/>
      <c r="Y288" s="213" t="n"/>
      <c r="Z288" s="213" t="n"/>
      <c r="AA288" s="213" t="n"/>
      <c r="AB288" s="213" t="n"/>
      <c r="AC288" s="213" t="n"/>
      <c r="AD288" s="213" t="n"/>
      <c r="AE288" s="213" t="n"/>
      <c r="AF288" s="213" t="n"/>
      <c r="AG288" s="213" t="n"/>
      <c r="AH288" s="213" t="n"/>
      <c r="AI288" s="213" t="n"/>
      <c r="AJ288" s="213" t="n"/>
      <c r="AK288" s="213" t="n"/>
    </row>
    <row r="289">
      <c r="B289" s="94" t="n"/>
      <c r="C289" s="88" t="n"/>
      <c r="D289" s="88" t="n"/>
      <c r="E289" s="88" t="n"/>
      <c r="F289" s="88" t="n"/>
      <c r="G289" s="88" t="n"/>
      <c r="H289" s="94" t="n"/>
      <c r="I289" s="4" t="n"/>
      <c r="J289" s="95" t="n"/>
      <c r="K289" s="213" t="n"/>
      <c r="L289" s="213" t="n"/>
      <c r="M289" s="213" t="n"/>
      <c r="N289" s="213" t="n"/>
      <c r="O289" s="213" t="n"/>
      <c r="P289" s="213" t="n"/>
      <c r="Q289" s="213" t="n"/>
      <c r="R289" s="213" t="n"/>
      <c r="S289" s="213" t="n"/>
      <c r="T289" s="213" t="n"/>
      <c r="U289" s="213" t="n"/>
      <c r="V289" s="213" t="n"/>
      <c r="W289" s="213" t="n"/>
      <c r="X289" s="213" t="n"/>
      <c r="Y289" s="213" t="n"/>
      <c r="Z289" s="213" t="n"/>
      <c r="AA289" s="213" t="n"/>
      <c r="AB289" s="213" t="n"/>
      <c r="AC289" s="213" t="n"/>
      <c r="AD289" s="213" t="n"/>
      <c r="AE289" s="213" t="n"/>
      <c r="AF289" s="213" t="n"/>
      <c r="AG289" s="213" t="n"/>
      <c r="AH289" s="213" t="n"/>
      <c r="AI289" s="213" t="n"/>
      <c r="AJ289" s="213" t="n"/>
      <c r="AK289" s="213" t="n"/>
    </row>
    <row r="290">
      <c r="B290" s="94" t="n"/>
      <c r="C290" s="88" t="n"/>
      <c r="D290" s="88" t="n"/>
      <c r="E290" s="88" t="n"/>
      <c r="F290" s="88" t="n"/>
      <c r="G290" s="88" t="n"/>
      <c r="H290" s="94" t="n"/>
      <c r="I290" s="4" t="n"/>
      <c r="J290" s="95" t="n"/>
      <c r="K290" s="213" t="n"/>
      <c r="L290" s="213" t="n"/>
      <c r="M290" s="213" t="n"/>
      <c r="N290" s="213" t="n"/>
      <c r="O290" s="213" t="n"/>
      <c r="P290" s="213" t="n"/>
      <c r="Q290" s="213" t="n"/>
      <c r="R290" s="213" t="n"/>
      <c r="S290" s="213" t="n"/>
      <c r="T290" s="213" t="n"/>
      <c r="U290" s="213" t="n"/>
      <c r="V290" s="213" t="n"/>
      <c r="W290" s="213" t="n"/>
      <c r="X290" s="213" t="n"/>
      <c r="Y290" s="213" t="n"/>
      <c r="Z290" s="213" t="n"/>
      <c r="AA290" s="213" t="n"/>
      <c r="AB290" s="213" t="n"/>
      <c r="AC290" s="213" t="n"/>
      <c r="AD290" s="213" t="n"/>
      <c r="AE290" s="213" t="n"/>
      <c r="AF290" s="213" t="n"/>
      <c r="AG290" s="213" t="n"/>
      <c r="AH290" s="213" t="n"/>
      <c r="AI290" s="213" t="n"/>
      <c r="AJ290" s="213" t="n"/>
      <c r="AK290" s="213" t="n"/>
    </row>
    <row r="291">
      <c r="B291" s="94" t="n"/>
      <c r="C291" s="88" t="n"/>
      <c r="D291" s="88" t="n"/>
      <c r="E291" s="88" t="n"/>
      <c r="F291" s="88" t="n"/>
      <c r="G291" s="88" t="n"/>
      <c r="H291" s="94" t="n"/>
      <c r="I291" s="4" t="n"/>
      <c r="J291" s="95" t="n"/>
      <c r="K291" s="213" t="n"/>
      <c r="L291" s="213" t="n"/>
      <c r="M291" s="213" t="n"/>
      <c r="N291" s="213" t="n"/>
      <c r="O291" s="213" t="n"/>
      <c r="P291" s="213" t="n"/>
      <c r="Q291" s="213" t="n"/>
      <c r="R291" s="213" t="n"/>
      <c r="S291" s="213" t="n"/>
      <c r="T291" s="213" t="n"/>
      <c r="U291" s="213" t="n"/>
      <c r="V291" s="213" t="n"/>
      <c r="W291" s="213" t="n"/>
      <c r="X291" s="213" t="n"/>
      <c r="Y291" s="213" t="n"/>
      <c r="Z291" s="213" t="n"/>
      <c r="AA291" s="213" t="n"/>
      <c r="AB291" s="213" t="n"/>
      <c r="AC291" s="213" t="n"/>
      <c r="AD291" s="213" t="n"/>
      <c r="AE291" s="213" t="n"/>
      <c r="AF291" s="213" t="n"/>
      <c r="AG291" s="213" t="n"/>
      <c r="AH291" s="213" t="n"/>
      <c r="AI291" s="213" t="n"/>
      <c r="AJ291" s="213" t="n"/>
      <c r="AK291" s="213" t="n"/>
    </row>
    <row r="292">
      <c r="B292" s="94" t="n"/>
      <c r="C292" s="88" t="n"/>
      <c r="D292" s="88" t="n"/>
      <c r="E292" s="88" t="n"/>
      <c r="F292" s="88" t="n"/>
      <c r="G292" s="88" t="n"/>
      <c r="H292" s="94" t="n"/>
      <c r="I292" s="4" t="n"/>
      <c r="J292" s="95" t="n"/>
      <c r="K292" s="213" t="n"/>
      <c r="L292" s="213" t="n"/>
      <c r="M292" s="213" t="n"/>
      <c r="N292" s="213" t="n"/>
      <c r="O292" s="213" t="n"/>
      <c r="P292" s="213" t="n"/>
      <c r="Q292" s="213" t="n"/>
      <c r="R292" s="213" t="n"/>
      <c r="S292" s="213" t="n"/>
      <c r="T292" s="213" t="n"/>
      <c r="U292" s="213" t="n"/>
      <c r="V292" s="213" t="n"/>
      <c r="W292" s="213" t="n"/>
      <c r="X292" s="213" t="n"/>
      <c r="Y292" s="213" t="n"/>
      <c r="Z292" s="213" t="n"/>
      <c r="AA292" s="213" t="n"/>
      <c r="AB292" s="213" t="n"/>
      <c r="AC292" s="213" t="n"/>
      <c r="AD292" s="213" t="n"/>
      <c r="AE292" s="213" t="n"/>
      <c r="AF292" s="213" t="n"/>
      <c r="AG292" s="213" t="n"/>
      <c r="AH292" s="213" t="n"/>
      <c r="AI292" s="213" t="n"/>
      <c r="AJ292" s="213" t="n"/>
      <c r="AK292" s="213" t="n"/>
    </row>
    <row r="293">
      <c r="B293" s="94" t="n"/>
      <c r="C293" s="88" t="n"/>
      <c r="D293" s="88" t="n"/>
      <c r="E293" s="88" t="n"/>
      <c r="F293" s="88" t="n"/>
      <c r="G293" s="88" t="n"/>
      <c r="H293" s="94" t="n"/>
      <c r="I293" s="4" t="n"/>
      <c r="J293" s="95" t="n"/>
      <c r="K293" s="213" t="n"/>
      <c r="L293" s="213" t="n"/>
      <c r="M293" s="213" t="n"/>
      <c r="N293" s="213" t="n"/>
      <c r="O293" s="213" t="n"/>
      <c r="P293" s="213" t="n"/>
      <c r="Q293" s="213" t="n"/>
      <c r="R293" s="213" t="n"/>
      <c r="S293" s="213" t="n"/>
      <c r="T293" s="213" t="n"/>
      <c r="U293" s="213" t="n"/>
      <c r="V293" s="213" t="n"/>
      <c r="W293" s="213" t="n"/>
      <c r="X293" s="213" t="n"/>
      <c r="Y293" s="213" t="n"/>
      <c r="Z293" s="213" t="n"/>
      <c r="AA293" s="213" t="n"/>
      <c r="AB293" s="213" t="n"/>
      <c r="AC293" s="213" t="n"/>
      <c r="AD293" s="213" t="n"/>
      <c r="AE293" s="213" t="n"/>
      <c r="AF293" s="213" t="n"/>
      <c r="AG293" s="213" t="n"/>
      <c r="AH293" s="213" t="n"/>
      <c r="AI293" s="213" t="n"/>
      <c r="AJ293" s="213" t="n"/>
      <c r="AK293" s="213" t="n"/>
    </row>
    <row r="294">
      <c r="B294" s="94" t="n"/>
      <c r="C294" s="88" t="n"/>
      <c r="D294" s="88" t="n"/>
      <c r="E294" s="88" t="n"/>
      <c r="F294" s="88" t="n"/>
      <c r="G294" s="88" t="n"/>
      <c r="H294" s="94" t="n"/>
      <c r="I294" s="4" t="n"/>
      <c r="J294" s="95" t="n"/>
      <c r="K294" s="213" t="n"/>
      <c r="L294" s="213" t="n"/>
      <c r="M294" s="213" t="n"/>
      <c r="N294" s="213" t="n"/>
      <c r="O294" s="213" t="n"/>
      <c r="P294" s="213" t="n"/>
      <c r="Q294" s="213" t="n"/>
      <c r="R294" s="213" t="n"/>
      <c r="S294" s="213" t="n"/>
      <c r="T294" s="213" t="n"/>
      <c r="U294" s="213" t="n"/>
      <c r="V294" s="213" t="n"/>
      <c r="W294" s="213" t="n"/>
      <c r="X294" s="213" t="n"/>
      <c r="Y294" s="213" t="n"/>
      <c r="Z294" s="213" t="n"/>
      <c r="AA294" s="213" t="n"/>
      <c r="AB294" s="213" t="n"/>
      <c r="AC294" s="213" t="n"/>
      <c r="AD294" s="213" t="n"/>
      <c r="AE294" s="213" t="n"/>
      <c r="AF294" s="213" t="n"/>
      <c r="AG294" s="213" t="n"/>
      <c r="AH294" s="213" t="n"/>
      <c r="AI294" s="213" t="n"/>
      <c r="AJ294" s="213" t="n"/>
      <c r="AK294" s="213" t="n"/>
    </row>
    <row r="295">
      <c r="B295" s="94" t="n"/>
      <c r="C295" s="88" t="n"/>
      <c r="D295" s="88" t="n"/>
      <c r="E295" s="88" t="n"/>
      <c r="F295" s="88" t="n"/>
      <c r="G295" s="88" t="n"/>
      <c r="H295" s="94" t="n"/>
      <c r="I295" s="4" t="n"/>
      <c r="J295" s="95" t="n"/>
      <c r="K295" s="213" t="n"/>
      <c r="L295" s="213" t="n"/>
      <c r="M295" s="213" t="n"/>
      <c r="N295" s="213" t="n"/>
      <c r="O295" s="213" t="n"/>
      <c r="P295" s="213" t="n"/>
      <c r="Q295" s="213" t="n"/>
      <c r="R295" s="213" t="n"/>
      <c r="S295" s="213" t="n"/>
      <c r="T295" s="213" t="n"/>
      <c r="U295" s="213" t="n"/>
      <c r="V295" s="213" t="n"/>
      <c r="W295" s="213" t="n"/>
      <c r="X295" s="213" t="n"/>
      <c r="Y295" s="213" t="n"/>
      <c r="Z295" s="213" t="n"/>
      <c r="AA295" s="213" t="n"/>
      <c r="AB295" s="213" t="n"/>
      <c r="AC295" s="213" t="n"/>
      <c r="AD295" s="213" t="n"/>
      <c r="AE295" s="213" t="n"/>
      <c r="AF295" s="213" t="n"/>
      <c r="AG295" s="213" t="n"/>
      <c r="AH295" s="213" t="n"/>
      <c r="AI295" s="213" t="n"/>
      <c r="AJ295" s="213" t="n"/>
      <c r="AK295" s="213" t="n"/>
    </row>
    <row r="296">
      <c r="B296" s="94" t="n"/>
      <c r="C296" s="88" t="n"/>
      <c r="D296" s="88" t="n"/>
      <c r="E296" s="88" t="n"/>
      <c r="F296" s="88" t="n"/>
      <c r="G296" s="88" t="n"/>
      <c r="H296" s="94" t="n"/>
      <c r="I296" s="4" t="n"/>
      <c r="J296" s="95" t="n"/>
      <c r="K296" s="213" t="n"/>
      <c r="L296" s="213" t="n"/>
      <c r="M296" s="213" t="n"/>
      <c r="N296" s="213" t="n"/>
      <c r="O296" s="213" t="n"/>
      <c r="P296" s="213" t="n"/>
      <c r="Q296" s="213" t="n"/>
      <c r="R296" s="213" t="n"/>
      <c r="S296" s="213" t="n"/>
      <c r="T296" s="213" t="n"/>
      <c r="U296" s="213" t="n"/>
      <c r="V296" s="213" t="n"/>
      <c r="W296" s="213" t="n"/>
      <c r="X296" s="213" t="n"/>
      <c r="Y296" s="213" t="n"/>
      <c r="Z296" s="213" t="n"/>
      <c r="AA296" s="213" t="n"/>
      <c r="AB296" s="213" t="n"/>
      <c r="AC296" s="213" t="n"/>
      <c r="AD296" s="213" t="n"/>
      <c r="AE296" s="213" t="n"/>
      <c r="AF296" s="213" t="n"/>
      <c r="AG296" s="213" t="n"/>
      <c r="AH296" s="213" t="n"/>
      <c r="AI296" s="213" t="n"/>
      <c r="AJ296" s="213" t="n"/>
      <c r="AK296" s="213" t="n"/>
    </row>
    <row r="297">
      <c r="B297" s="94" t="n"/>
      <c r="C297" s="88" t="n"/>
      <c r="D297" s="88" t="n"/>
      <c r="E297" s="88" t="n"/>
      <c r="F297" s="88" t="n"/>
      <c r="G297" s="88" t="n"/>
      <c r="H297" s="94" t="n"/>
      <c r="I297" s="4" t="n"/>
      <c r="J297" s="95" t="n"/>
      <c r="K297" s="213" t="n"/>
      <c r="L297" s="213" t="n"/>
      <c r="M297" s="213" t="n"/>
      <c r="N297" s="213" t="n"/>
      <c r="O297" s="213" t="n"/>
      <c r="P297" s="213" t="n"/>
      <c r="Q297" s="213" t="n"/>
      <c r="R297" s="213" t="n"/>
      <c r="S297" s="213" t="n"/>
      <c r="T297" s="213" t="n"/>
      <c r="U297" s="213" t="n"/>
      <c r="V297" s="213" t="n"/>
      <c r="W297" s="213" t="n"/>
      <c r="X297" s="213" t="n"/>
      <c r="Y297" s="213" t="n"/>
      <c r="Z297" s="213" t="n"/>
      <c r="AA297" s="213" t="n"/>
      <c r="AB297" s="213" t="n"/>
      <c r="AC297" s="213" t="n"/>
      <c r="AD297" s="213" t="n"/>
      <c r="AE297" s="213" t="n"/>
      <c r="AF297" s="213" t="n"/>
      <c r="AG297" s="213" t="n"/>
      <c r="AH297" s="213" t="n"/>
      <c r="AI297" s="213" t="n"/>
      <c r="AJ297" s="213" t="n"/>
      <c r="AK297" s="213" t="n"/>
    </row>
    <row r="298">
      <c r="B298" s="94" t="n"/>
      <c r="C298" s="88" t="n"/>
      <c r="D298" s="88" t="n"/>
      <c r="E298" s="88" t="n"/>
      <c r="F298" s="88" t="n"/>
      <c r="G298" s="88" t="n"/>
      <c r="H298" s="94" t="n"/>
      <c r="I298" s="4" t="n"/>
      <c r="J298" s="95" t="n"/>
      <c r="K298" s="213" t="n"/>
      <c r="L298" s="213" t="n"/>
      <c r="M298" s="213" t="n"/>
      <c r="N298" s="213" t="n"/>
      <c r="O298" s="213" t="n"/>
      <c r="P298" s="213" t="n"/>
      <c r="Q298" s="213" t="n"/>
      <c r="R298" s="213" t="n"/>
      <c r="S298" s="213" t="n"/>
      <c r="T298" s="213" t="n"/>
      <c r="U298" s="213" t="n"/>
      <c r="V298" s="213" t="n"/>
      <c r="W298" s="213" t="n"/>
      <c r="X298" s="213" t="n"/>
      <c r="Y298" s="213" t="n"/>
      <c r="Z298" s="213" t="n"/>
      <c r="AA298" s="213" t="n"/>
      <c r="AB298" s="213" t="n"/>
      <c r="AC298" s="213" t="n"/>
      <c r="AD298" s="213" t="n"/>
      <c r="AE298" s="213" t="n"/>
      <c r="AF298" s="213" t="n"/>
      <c r="AG298" s="213" t="n"/>
      <c r="AH298" s="213" t="n"/>
      <c r="AI298" s="213" t="n"/>
      <c r="AJ298" s="213" t="n"/>
      <c r="AK298" s="213" t="n"/>
    </row>
    <row r="299">
      <c r="B299" s="94" t="n"/>
      <c r="C299" s="88" t="n"/>
      <c r="D299" s="88" t="n"/>
      <c r="E299" s="88" t="n"/>
      <c r="F299" s="88" t="n"/>
      <c r="G299" s="88" t="n"/>
      <c r="H299" s="94" t="n"/>
      <c r="I299" s="4" t="n"/>
      <c r="J299" s="95" t="n"/>
      <c r="K299" s="213" t="n"/>
      <c r="L299" s="213" t="n"/>
      <c r="M299" s="213" t="n"/>
      <c r="N299" s="213" t="n"/>
      <c r="O299" s="213" t="n"/>
      <c r="P299" s="213" t="n"/>
      <c r="Q299" s="213" t="n"/>
      <c r="R299" s="213" t="n"/>
      <c r="S299" s="213" t="n"/>
      <c r="T299" s="213" t="n"/>
      <c r="U299" s="213" t="n"/>
      <c r="V299" s="213" t="n"/>
      <c r="W299" s="213" t="n"/>
      <c r="X299" s="213" t="n"/>
      <c r="Y299" s="213" t="n"/>
      <c r="Z299" s="213" t="n"/>
      <c r="AA299" s="213" t="n"/>
      <c r="AB299" s="213" t="n"/>
      <c r="AC299" s="213" t="n"/>
      <c r="AD299" s="213" t="n"/>
      <c r="AE299" s="213" t="n"/>
      <c r="AF299" s="213" t="n"/>
      <c r="AG299" s="213" t="n"/>
      <c r="AH299" s="213" t="n"/>
      <c r="AI299" s="213" t="n"/>
      <c r="AJ299" s="213" t="n"/>
      <c r="AK299" s="213" t="n"/>
    </row>
    <row r="300">
      <c r="B300" s="94" t="n"/>
      <c r="C300" s="88" t="n"/>
      <c r="D300" s="88" t="n"/>
      <c r="E300" s="88" t="n"/>
      <c r="F300" s="88" t="n"/>
      <c r="G300" s="88" t="n"/>
      <c r="H300" s="94" t="n"/>
      <c r="I300" s="4" t="n"/>
      <c r="J300" s="95" t="n"/>
      <c r="K300" s="213" t="n"/>
      <c r="L300" s="213" t="n"/>
      <c r="M300" s="213" t="n"/>
      <c r="N300" s="213" t="n"/>
      <c r="O300" s="213" t="n"/>
      <c r="P300" s="213" t="n"/>
      <c r="Q300" s="213" t="n"/>
      <c r="R300" s="213" t="n"/>
      <c r="S300" s="213" t="n"/>
      <c r="T300" s="213" t="n"/>
      <c r="U300" s="213" t="n"/>
      <c r="V300" s="213" t="n"/>
      <c r="W300" s="213" t="n"/>
      <c r="X300" s="213" t="n"/>
      <c r="Y300" s="213" t="n"/>
      <c r="Z300" s="213" t="n"/>
      <c r="AA300" s="213" t="n"/>
      <c r="AB300" s="213" t="n"/>
      <c r="AC300" s="213" t="n"/>
      <c r="AD300" s="213" t="n"/>
      <c r="AE300" s="213" t="n"/>
      <c r="AF300" s="213" t="n"/>
      <c r="AG300" s="213" t="n"/>
      <c r="AH300" s="213" t="n"/>
      <c r="AI300" s="213" t="n"/>
      <c r="AJ300" s="213" t="n"/>
      <c r="AK300" s="213" t="n"/>
    </row>
    <row r="301">
      <c r="B301" s="94" t="n"/>
      <c r="C301" s="88" t="n"/>
      <c r="D301" s="88" t="n"/>
      <c r="E301" s="88" t="n"/>
      <c r="F301" s="88" t="n"/>
      <c r="G301" s="88" t="n"/>
      <c r="H301" s="94" t="n"/>
      <c r="I301" s="4" t="n"/>
      <c r="J301" s="95" t="n"/>
      <c r="K301" s="213" t="n"/>
      <c r="L301" s="213" t="n"/>
      <c r="M301" s="213" t="n"/>
      <c r="N301" s="213" t="n"/>
      <c r="O301" s="213" t="n"/>
      <c r="P301" s="213" t="n"/>
      <c r="Q301" s="213" t="n"/>
      <c r="R301" s="213" t="n"/>
      <c r="S301" s="213" t="n"/>
      <c r="T301" s="213" t="n"/>
      <c r="U301" s="213" t="n"/>
      <c r="V301" s="213" t="n"/>
      <c r="W301" s="213" t="n"/>
      <c r="X301" s="213" t="n"/>
      <c r="Y301" s="213" t="n"/>
      <c r="Z301" s="213" t="n"/>
      <c r="AA301" s="213" t="n"/>
      <c r="AB301" s="213" t="n"/>
      <c r="AC301" s="213" t="n"/>
      <c r="AD301" s="213" t="n"/>
      <c r="AE301" s="213" t="n"/>
      <c r="AF301" s="213" t="n"/>
      <c r="AG301" s="213" t="n"/>
      <c r="AH301" s="213" t="n"/>
      <c r="AI301" s="213" t="n"/>
      <c r="AJ301" s="213" t="n"/>
      <c r="AK301" s="213" t="n"/>
    </row>
    <row r="302">
      <c r="B302" s="94" t="n"/>
      <c r="C302" s="88" t="n"/>
      <c r="D302" s="88" t="n"/>
      <c r="E302" s="88" t="n"/>
      <c r="F302" s="88" t="n"/>
      <c r="G302" s="88" t="n"/>
      <c r="H302" s="94" t="n"/>
      <c r="I302" s="4" t="n"/>
      <c r="J302" s="95" t="n"/>
      <c r="K302" s="213" t="n"/>
      <c r="L302" s="213" t="n"/>
      <c r="M302" s="213" t="n"/>
      <c r="N302" s="213" t="n"/>
      <c r="O302" s="213" t="n"/>
      <c r="P302" s="213" t="n"/>
      <c r="Q302" s="213" t="n"/>
      <c r="R302" s="213" t="n"/>
      <c r="S302" s="213" t="n"/>
      <c r="T302" s="213" t="n"/>
      <c r="U302" s="213" t="n"/>
      <c r="V302" s="213" t="n"/>
      <c r="W302" s="213" t="n"/>
      <c r="X302" s="213" t="n"/>
      <c r="Y302" s="213" t="n"/>
      <c r="Z302" s="213" t="n"/>
      <c r="AA302" s="213" t="n"/>
      <c r="AB302" s="213" t="n"/>
      <c r="AC302" s="213" t="n"/>
      <c r="AD302" s="213" t="n"/>
      <c r="AE302" s="213" t="n"/>
      <c r="AF302" s="213" t="n"/>
      <c r="AG302" s="213" t="n"/>
      <c r="AH302" s="213" t="n"/>
      <c r="AI302" s="213" t="n"/>
      <c r="AJ302" s="213" t="n"/>
      <c r="AK302" s="213" t="n"/>
    </row>
    <row r="303">
      <c r="B303" s="94" t="n"/>
      <c r="C303" s="88" t="n"/>
      <c r="D303" s="88" t="n"/>
      <c r="E303" s="88" t="n"/>
      <c r="F303" s="88" t="n"/>
      <c r="G303" s="88" t="n"/>
      <c r="H303" s="94" t="n"/>
      <c r="I303" s="4" t="n"/>
      <c r="J303" s="95" t="n"/>
      <c r="K303" s="213" t="n"/>
      <c r="L303" s="213" t="n"/>
      <c r="M303" s="213" t="n"/>
      <c r="N303" s="213" t="n"/>
      <c r="O303" s="213" t="n"/>
      <c r="P303" s="213" t="n"/>
      <c r="Q303" s="213" t="n"/>
      <c r="R303" s="213" t="n"/>
      <c r="S303" s="213" t="n"/>
      <c r="T303" s="213" t="n"/>
      <c r="U303" s="213" t="n"/>
      <c r="V303" s="213" t="n"/>
      <c r="W303" s="213" t="n"/>
      <c r="X303" s="213" t="n"/>
      <c r="Y303" s="213" t="n"/>
      <c r="Z303" s="213" t="n"/>
      <c r="AA303" s="213" t="n"/>
      <c r="AB303" s="213" t="n"/>
      <c r="AC303" s="213" t="n"/>
      <c r="AD303" s="213" t="n"/>
      <c r="AE303" s="213" t="n"/>
      <c r="AF303" s="213" t="n"/>
      <c r="AG303" s="213" t="n"/>
      <c r="AH303" s="213" t="n"/>
      <c r="AI303" s="213" t="n"/>
      <c r="AJ303" s="213" t="n"/>
      <c r="AK303" s="213" t="n"/>
    </row>
    <row r="304">
      <c r="B304" s="94" t="n"/>
      <c r="C304" s="88" t="n"/>
      <c r="D304" s="88" t="n"/>
      <c r="E304" s="88" t="n"/>
      <c r="F304" s="88" t="n"/>
      <c r="G304" s="88" t="n"/>
      <c r="H304" s="94" t="n"/>
      <c r="I304" s="4" t="n"/>
      <c r="J304" s="95" t="n"/>
      <c r="K304" s="213" t="n"/>
      <c r="L304" s="213" t="n"/>
      <c r="M304" s="213" t="n"/>
      <c r="N304" s="213" t="n"/>
      <c r="O304" s="213" t="n"/>
      <c r="P304" s="213" t="n"/>
      <c r="Q304" s="213" t="n"/>
      <c r="R304" s="213" t="n"/>
      <c r="S304" s="213" t="n"/>
      <c r="T304" s="213" t="n"/>
      <c r="U304" s="213" t="n"/>
      <c r="V304" s="213" t="n"/>
      <c r="W304" s="213" t="n"/>
      <c r="X304" s="213" t="n"/>
      <c r="Y304" s="213" t="n"/>
      <c r="Z304" s="213" t="n"/>
      <c r="AA304" s="213" t="n"/>
      <c r="AB304" s="213" t="n"/>
      <c r="AC304" s="213" t="n"/>
      <c r="AD304" s="213" t="n"/>
      <c r="AE304" s="213" t="n"/>
      <c r="AF304" s="213" t="n"/>
      <c r="AG304" s="213" t="n"/>
      <c r="AH304" s="213" t="n"/>
      <c r="AI304" s="213" t="n"/>
      <c r="AJ304" s="213" t="n"/>
      <c r="AK304" s="213" t="n"/>
    </row>
    <row r="305">
      <c r="B305" s="94" t="n"/>
      <c r="C305" s="88" t="n"/>
      <c r="D305" s="88" t="n"/>
      <c r="E305" s="88" t="n"/>
      <c r="F305" s="88" t="n"/>
      <c r="G305" s="88" t="n"/>
      <c r="H305" s="94" t="n"/>
      <c r="I305" s="4" t="n"/>
      <c r="J305" s="95" t="n"/>
      <c r="K305" s="213" t="n"/>
      <c r="L305" s="213" t="n"/>
      <c r="M305" s="213" t="n"/>
      <c r="N305" s="213" t="n"/>
      <c r="O305" s="213" t="n"/>
      <c r="P305" s="213" t="n"/>
      <c r="Q305" s="213" t="n"/>
      <c r="R305" s="213" t="n"/>
      <c r="S305" s="213" t="n"/>
      <c r="T305" s="213" t="n"/>
      <c r="U305" s="213" t="n"/>
      <c r="V305" s="213" t="n"/>
      <c r="W305" s="213" t="n"/>
      <c r="X305" s="213" t="n"/>
      <c r="Y305" s="213" t="n"/>
      <c r="Z305" s="213" t="n"/>
      <c r="AA305" s="213" t="n"/>
      <c r="AB305" s="213" t="n"/>
      <c r="AC305" s="213" t="n"/>
      <c r="AD305" s="213" t="n"/>
      <c r="AE305" s="213" t="n"/>
      <c r="AF305" s="213" t="n"/>
      <c r="AG305" s="213" t="n"/>
      <c r="AH305" s="213" t="n"/>
      <c r="AI305" s="213" t="n"/>
      <c r="AJ305" s="213" t="n"/>
      <c r="AK305" s="213" t="n"/>
    </row>
    <row r="306">
      <c r="B306" s="94" t="n"/>
      <c r="C306" s="88" t="n"/>
      <c r="D306" s="88" t="n"/>
      <c r="E306" s="88" t="n"/>
      <c r="F306" s="88" t="n"/>
      <c r="G306" s="88" t="n"/>
      <c r="H306" s="94" t="n"/>
      <c r="I306" s="4" t="n"/>
      <c r="J306" s="95" t="n"/>
      <c r="K306" s="213" t="n"/>
      <c r="L306" s="213" t="n"/>
      <c r="M306" s="213" t="n"/>
      <c r="N306" s="213" t="n"/>
      <c r="O306" s="213" t="n"/>
      <c r="P306" s="213" t="n"/>
      <c r="Q306" s="213" t="n"/>
      <c r="R306" s="213" t="n"/>
      <c r="S306" s="213" t="n"/>
      <c r="T306" s="213" t="n"/>
      <c r="U306" s="213" t="n"/>
      <c r="V306" s="213" t="n"/>
      <c r="W306" s="213" t="n"/>
      <c r="X306" s="213" t="n"/>
      <c r="Y306" s="213" t="n"/>
      <c r="Z306" s="213" t="n"/>
      <c r="AA306" s="213" t="n"/>
      <c r="AB306" s="213" t="n"/>
      <c r="AC306" s="213" t="n"/>
      <c r="AD306" s="213" t="n"/>
      <c r="AE306" s="213" t="n"/>
      <c r="AF306" s="213" t="n"/>
      <c r="AG306" s="213" t="n"/>
      <c r="AH306" s="213" t="n"/>
      <c r="AI306" s="213" t="n"/>
      <c r="AJ306" s="213" t="n"/>
      <c r="AK306" s="213" t="n"/>
    </row>
    <row r="307">
      <c r="B307" s="94" t="n"/>
      <c r="C307" s="88" t="n"/>
      <c r="D307" s="88" t="n"/>
      <c r="E307" s="88" t="n"/>
      <c r="F307" s="88" t="n"/>
      <c r="G307" s="88" t="n"/>
      <c r="H307" s="94" t="n"/>
      <c r="I307" s="4" t="n"/>
      <c r="J307" s="95" t="n"/>
      <c r="K307" s="213" t="n"/>
      <c r="L307" s="213" t="n"/>
      <c r="M307" s="213" t="n"/>
      <c r="N307" s="213" t="n"/>
      <c r="O307" s="213" t="n"/>
      <c r="P307" s="213" t="n"/>
      <c r="Q307" s="213" t="n"/>
      <c r="R307" s="213" t="n"/>
      <c r="S307" s="213" t="n"/>
      <c r="T307" s="213" t="n"/>
      <c r="U307" s="213" t="n"/>
      <c r="V307" s="213" t="n"/>
      <c r="W307" s="213" t="n"/>
      <c r="X307" s="213" t="n"/>
      <c r="Y307" s="213" t="n"/>
      <c r="Z307" s="213" t="n"/>
      <c r="AA307" s="213" t="n"/>
      <c r="AB307" s="213" t="n"/>
      <c r="AC307" s="213" t="n"/>
      <c r="AD307" s="213" t="n"/>
      <c r="AE307" s="213" t="n"/>
      <c r="AF307" s="213" t="n"/>
      <c r="AG307" s="213" t="n"/>
      <c r="AH307" s="213" t="n"/>
      <c r="AI307" s="213" t="n"/>
      <c r="AJ307" s="213" t="n"/>
      <c r="AK307" s="213" t="n"/>
    </row>
    <row r="308">
      <c r="B308" s="94" t="n"/>
      <c r="C308" s="88" t="n"/>
      <c r="D308" s="88" t="n"/>
      <c r="E308" s="88" t="n"/>
      <c r="F308" s="88" t="n"/>
      <c r="G308" s="88" t="n"/>
      <c r="H308" s="94" t="n"/>
      <c r="I308" s="4" t="n"/>
      <c r="J308" s="95" t="n"/>
      <c r="K308" s="213" t="n"/>
      <c r="L308" s="213" t="n"/>
      <c r="M308" s="213" t="n"/>
      <c r="N308" s="213" t="n"/>
      <c r="O308" s="213" t="n"/>
      <c r="P308" s="213" t="n"/>
      <c r="Q308" s="213" t="n"/>
      <c r="R308" s="213" t="n"/>
      <c r="S308" s="213" t="n"/>
      <c r="T308" s="213" t="n"/>
      <c r="U308" s="213" t="n"/>
      <c r="V308" s="213" t="n"/>
      <c r="W308" s="213" t="n"/>
      <c r="X308" s="213" t="n"/>
      <c r="Y308" s="213" t="n"/>
      <c r="Z308" s="213" t="n"/>
      <c r="AA308" s="213" t="n"/>
      <c r="AB308" s="213" t="n"/>
      <c r="AC308" s="213" t="n"/>
      <c r="AD308" s="213" t="n"/>
      <c r="AE308" s="213" t="n"/>
      <c r="AF308" s="213" t="n"/>
      <c r="AG308" s="213" t="n"/>
      <c r="AH308" s="213" t="n"/>
      <c r="AI308" s="213" t="n"/>
      <c r="AJ308" s="213" t="n"/>
      <c r="AK308" s="213" t="n"/>
    </row>
    <row r="309">
      <c r="B309" s="94" t="n"/>
      <c r="C309" s="88" t="n"/>
      <c r="D309" s="88" t="n"/>
      <c r="E309" s="88" t="n"/>
      <c r="F309" s="88" t="n"/>
      <c r="G309" s="88" t="n"/>
      <c r="H309" s="94" t="n"/>
      <c r="I309" s="4" t="n"/>
      <c r="J309" s="95" t="n"/>
      <c r="K309" s="213" t="n"/>
      <c r="L309" s="213" t="n"/>
      <c r="M309" s="213" t="n"/>
      <c r="N309" s="213" t="n"/>
      <c r="O309" s="213" t="n"/>
      <c r="P309" s="213" t="n"/>
      <c r="Q309" s="213" t="n"/>
      <c r="R309" s="213" t="n"/>
      <c r="S309" s="213" t="n"/>
      <c r="T309" s="213" t="n"/>
      <c r="U309" s="213" t="n"/>
      <c r="V309" s="213" t="n"/>
      <c r="W309" s="213" t="n"/>
      <c r="X309" s="213" t="n"/>
      <c r="Y309" s="213" t="n"/>
      <c r="Z309" s="213" t="n"/>
      <c r="AA309" s="213" t="n"/>
      <c r="AB309" s="213" t="n"/>
      <c r="AC309" s="213" t="n"/>
      <c r="AD309" s="213" t="n"/>
      <c r="AE309" s="213" t="n"/>
      <c r="AF309" s="213" t="n"/>
      <c r="AG309" s="213" t="n"/>
      <c r="AH309" s="213" t="n"/>
      <c r="AI309" s="213" t="n"/>
      <c r="AJ309" s="213" t="n"/>
      <c r="AK309" s="213" t="n"/>
    </row>
    <row r="310">
      <c r="B310" s="94" t="n"/>
      <c r="C310" s="88" t="n"/>
      <c r="D310" s="88" t="n"/>
      <c r="E310" s="88" t="n"/>
      <c r="F310" s="88" t="n"/>
      <c r="G310" s="88" t="n"/>
      <c r="H310" s="94" t="n"/>
      <c r="I310" s="4" t="n"/>
      <c r="J310" s="95" t="n"/>
      <c r="K310" s="213" t="n"/>
      <c r="L310" s="213" t="n"/>
      <c r="M310" s="213" t="n"/>
      <c r="N310" s="213" t="n"/>
      <c r="O310" s="213" t="n"/>
      <c r="P310" s="213" t="n"/>
      <c r="Q310" s="213" t="n"/>
      <c r="R310" s="213" t="n"/>
      <c r="S310" s="213" t="n"/>
      <c r="T310" s="213" t="n"/>
      <c r="U310" s="213" t="n"/>
      <c r="V310" s="213" t="n"/>
      <c r="W310" s="213" t="n"/>
      <c r="X310" s="213" t="n"/>
      <c r="Y310" s="213" t="n"/>
      <c r="Z310" s="213" t="n"/>
      <c r="AA310" s="213" t="n"/>
      <c r="AB310" s="213" t="n"/>
      <c r="AC310" s="213" t="n"/>
      <c r="AD310" s="213" t="n"/>
      <c r="AE310" s="213" t="n"/>
      <c r="AF310" s="213" t="n"/>
      <c r="AG310" s="213" t="n"/>
      <c r="AH310" s="213" t="n"/>
      <c r="AI310" s="213" t="n"/>
      <c r="AJ310" s="213" t="n"/>
      <c r="AK310" s="213" t="n"/>
    </row>
    <row r="311">
      <c r="B311" s="94" t="n"/>
      <c r="C311" s="88" t="n"/>
      <c r="D311" s="88" t="n"/>
      <c r="E311" s="88" t="n"/>
      <c r="F311" s="88" t="n"/>
      <c r="G311" s="88" t="n"/>
      <c r="H311" s="94" t="n"/>
      <c r="I311" s="4" t="n"/>
      <c r="J311" s="95" t="n"/>
      <c r="K311" s="213" t="n"/>
      <c r="L311" s="213" t="n"/>
      <c r="M311" s="213" t="n"/>
      <c r="N311" s="213" t="n"/>
      <c r="O311" s="213" t="n"/>
      <c r="P311" s="213" t="n"/>
      <c r="Q311" s="213" t="n"/>
      <c r="R311" s="213" t="n"/>
      <c r="S311" s="213" t="n"/>
      <c r="T311" s="213" t="n"/>
      <c r="U311" s="213" t="n"/>
      <c r="V311" s="213" t="n"/>
      <c r="W311" s="213" t="n"/>
      <c r="X311" s="213" t="n"/>
      <c r="Y311" s="213" t="n"/>
      <c r="Z311" s="213" t="n"/>
      <c r="AA311" s="213" t="n"/>
      <c r="AB311" s="213" t="n"/>
      <c r="AC311" s="213" t="n"/>
      <c r="AD311" s="213" t="n"/>
      <c r="AE311" s="213" t="n"/>
      <c r="AF311" s="213" t="n"/>
      <c r="AG311" s="213" t="n"/>
      <c r="AH311" s="213" t="n"/>
      <c r="AI311" s="213" t="n"/>
      <c r="AJ311" s="213" t="n"/>
      <c r="AK311" s="213" t="n"/>
    </row>
    <row r="312">
      <c r="B312" s="94" t="n"/>
      <c r="C312" s="88" t="n"/>
      <c r="D312" s="88" t="n"/>
      <c r="E312" s="88" t="n"/>
      <c r="F312" s="88" t="n"/>
      <c r="G312" s="88" t="n"/>
      <c r="H312" s="94" t="n"/>
      <c r="I312" s="4" t="n"/>
      <c r="J312" s="95" t="n"/>
      <c r="K312" s="213" t="n"/>
      <c r="L312" s="213" t="n"/>
      <c r="M312" s="213" t="n"/>
      <c r="N312" s="213" t="n"/>
      <c r="O312" s="213" t="n"/>
      <c r="P312" s="213" t="n"/>
      <c r="Q312" s="213" t="n"/>
      <c r="R312" s="213" t="n"/>
      <c r="S312" s="213" t="n"/>
      <c r="T312" s="213" t="n"/>
      <c r="U312" s="213" t="n"/>
      <c r="V312" s="213" t="n"/>
      <c r="W312" s="213" t="n"/>
      <c r="X312" s="213" t="n"/>
      <c r="Y312" s="213" t="n"/>
      <c r="Z312" s="213" t="n"/>
      <c r="AA312" s="213" t="n"/>
      <c r="AB312" s="213" t="n"/>
      <c r="AC312" s="213" t="n"/>
      <c r="AD312" s="213" t="n"/>
      <c r="AE312" s="213" t="n"/>
      <c r="AF312" s="213" t="n"/>
      <c r="AG312" s="213" t="n"/>
      <c r="AH312" s="213" t="n"/>
      <c r="AI312" s="213" t="n"/>
      <c r="AJ312" s="213" t="n"/>
      <c r="AK312" s="213" t="n"/>
    </row>
    <row r="313">
      <c r="B313" s="94" t="n"/>
      <c r="C313" s="88" t="n"/>
      <c r="D313" s="88" t="n"/>
      <c r="E313" s="88" t="n"/>
      <c r="F313" s="88" t="n"/>
      <c r="G313" s="88" t="n"/>
      <c r="H313" s="94" t="n"/>
      <c r="I313" s="4" t="n"/>
      <c r="J313" s="95" t="n"/>
      <c r="K313" s="213" t="n"/>
      <c r="L313" s="213" t="n"/>
      <c r="M313" s="213" t="n"/>
      <c r="N313" s="213" t="n"/>
      <c r="O313" s="213" t="n"/>
      <c r="P313" s="213" t="n"/>
      <c r="Q313" s="213" t="n"/>
      <c r="R313" s="213" t="n"/>
      <c r="S313" s="213" t="n"/>
      <c r="T313" s="213" t="n"/>
      <c r="U313" s="213" t="n"/>
      <c r="V313" s="213" t="n"/>
      <c r="W313" s="213" t="n"/>
      <c r="X313" s="213" t="n"/>
      <c r="Y313" s="213" t="n"/>
      <c r="Z313" s="213" t="n"/>
      <c r="AA313" s="213" t="n"/>
      <c r="AB313" s="213" t="n"/>
      <c r="AC313" s="213" t="n"/>
      <c r="AD313" s="213" t="n"/>
      <c r="AE313" s="213" t="n"/>
      <c r="AF313" s="213" t="n"/>
      <c r="AG313" s="213" t="n"/>
      <c r="AH313" s="213" t="n"/>
      <c r="AI313" s="213" t="n"/>
      <c r="AJ313" s="213" t="n"/>
      <c r="AK313" s="213" t="n"/>
    </row>
    <row r="314">
      <c r="B314" s="94" t="n"/>
      <c r="C314" s="88" t="n"/>
      <c r="D314" s="88" t="n"/>
      <c r="E314" s="88" t="n"/>
      <c r="F314" s="88" t="n"/>
      <c r="G314" s="88" t="n"/>
      <c r="H314" s="94" t="n"/>
      <c r="I314" s="4" t="n"/>
      <c r="J314" s="95" t="n"/>
      <c r="K314" s="213" t="n"/>
      <c r="L314" s="213" t="n"/>
      <c r="M314" s="213" t="n"/>
      <c r="N314" s="213" t="n"/>
      <c r="O314" s="213" t="n"/>
      <c r="P314" s="213" t="n"/>
      <c r="Q314" s="213" t="n"/>
      <c r="R314" s="213" t="n"/>
      <c r="S314" s="213" t="n"/>
      <c r="T314" s="213" t="n"/>
      <c r="U314" s="213" t="n"/>
      <c r="V314" s="213" t="n"/>
      <c r="W314" s="213" t="n"/>
      <c r="X314" s="213" t="n"/>
      <c r="Y314" s="213" t="n"/>
      <c r="Z314" s="213" t="n"/>
      <c r="AA314" s="213" t="n"/>
      <c r="AB314" s="213" t="n"/>
      <c r="AC314" s="213" t="n"/>
      <c r="AD314" s="213" t="n"/>
      <c r="AE314" s="213" t="n"/>
      <c r="AF314" s="213" t="n"/>
      <c r="AG314" s="213" t="n"/>
      <c r="AH314" s="213" t="n"/>
      <c r="AI314" s="213" t="n"/>
      <c r="AJ314" s="213" t="n"/>
      <c r="AK314" s="213" t="n"/>
    </row>
    <row r="315">
      <c r="B315" s="94" t="n"/>
      <c r="C315" s="88" t="n"/>
      <c r="D315" s="88" t="n"/>
      <c r="E315" s="88" t="n"/>
      <c r="F315" s="88" t="n"/>
      <c r="G315" s="88" t="n"/>
      <c r="H315" s="94" t="n"/>
      <c r="I315" s="4" t="n"/>
      <c r="J315" s="95" t="n"/>
      <c r="K315" s="213" t="n"/>
      <c r="L315" s="213" t="n"/>
      <c r="M315" s="213" t="n"/>
      <c r="N315" s="213" t="n"/>
      <c r="O315" s="213" t="n"/>
      <c r="P315" s="213" t="n"/>
      <c r="Q315" s="213" t="n"/>
      <c r="R315" s="213" t="n"/>
      <c r="S315" s="213" t="n"/>
      <c r="T315" s="213" t="n"/>
      <c r="U315" s="213" t="n"/>
      <c r="V315" s="213" t="n"/>
      <c r="W315" s="213" t="n"/>
      <c r="X315" s="213" t="n"/>
      <c r="Y315" s="213" t="n"/>
      <c r="Z315" s="213" t="n"/>
      <c r="AA315" s="213" t="n"/>
      <c r="AB315" s="213" t="n"/>
      <c r="AC315" s="213" t="n"/>
      <c r="AD315" s="213" t="n"/>
      <c r="AE315" s="213" t="n"/>
      <c r="AF315" s="213" t="n"/>
      <c r="AG315" s="213" t="n"/>
      <c r="AH315" s="213" t="n"/>
      <c r="AI315" s="213" t="n"/>
      <c r="AJ315" s="213" t="n"/>
      <c r="AK315" s="213" t="n"/>
    </row>
    <row r="316">
      <c r="B316" s="94" t="n"/>
      <c r="C316" s="88" t="n"/>
      <c r="D316" s="88" t="n"/>
      <c r="E316" s="88" t="n"/>
      <c r="F316" s="88" t="n"/>
      <c r="G316" s="88" t="n"/>
      <c r="H316" s="94" t="n"/>
      <c r="I316" s="4" t="n"/>
      <c r="J316" s="95" t="n"/>
      <c r="K316" s="213" t="n"/>
      <c r="L316" s="213" t="n"/>
      <c r="M316" s="213" t="n"/>
      <c r="N316" s="213" t="n"/>
      <c r="O316" s="213" t="n"/>
      <c r="P316" s="213" t="n"/>
      <c r="Q316" s="213" t="n"/>
      <c r="R316" s="213" t="n"/>
      <c r="S316" s="213" t="n"/>
      <c r="T316" s="213" t="n"/>
      <c r="U316" s="213" t="n"/>
      <c r="V316" s="213" t="n"/>
      <c r="W316" s="213" t="n"/>
      <c r="X316" s="213" t="n"/>
      <c r="Y316" s="213" t="n"/>
      <c r="Z316" s="213" t="n"/>
      <c r="AA316" s="213" t="n"/>
      <c r="AB316" s="213" t="n"/>
      <c r="AC316" s="213" t="n"/>
      <c r="AD316" s="213" t="n"/>
      <c r="AE316" s="213" t="n"/>
      <c r="AF316" s="213" t="n"/>
      <c r="AG316" s="213" t="n"/>
      <c r="AH316" s="213" t="n"/>
      <c r="AI316" s="213" t="n"/>
      <c r="AJ316" s="213" t="n"/>
      <c r="AK316" s="213" t="n"/>
    </row>
    <row r="317">
      <c r="B317" s="94" t="n"/>
      <c r="C317" s="88" t="n"/>
      <c r="D317" s="88" t="n"/>
      <c r="E317" s="88" t="n"/>
      <c r="F317" s="88" t="n"/>
      <c r="G317" s="88" t="n"/>
      <c r="H317" s="94" t="n"/>
      <c r="I317" s="4" t="n"/>
      <c r="J317" s="95" t="n"/>
      <c r="K317" s="213" t="n"/>
      <c r="L317" s="213" t="n"/>
      <c r="M317" s="213" t="n"/>
      <c r="N317" s="213" t="n"/>
      <c r="O317" s="213" t="n"/>
      <c r="P317" s="213" t="n"/>
      <c r="Q317" s="213" t="n"/>
      <c r="R317" s="213" t="n"/>
      <c r="S317" s="213" t="n"/>
      <c r="T317" s="213" t="n"/>
      <c r="U317" s="213" t="n"/>
      <c r="V317" s="213" t="n"/>
      <c r="W317" s="213" t="n"/>
      <c r="X317" s="213" t="n"/>
      <c r="Y317" s="213" t="n"/>
      <c r="Z317" s="213" t="n"/>
      <c r="AA317" s="213" t="n"/>
      <c r="AB317" s="213" t="n"/>
      <c r="AC317" s="213" t="n"/>
      <c r="AD317" s="213" t="n"/>
      <c r="AE317" s="213" t="n"/>
      <c r="AF317" s="213" t="n"/>
      <c r="AG317" s="213" t="n"/>
      <c r="AH317" s="213" t="n"/>
      <c r="AI317" s="213" t="n"/>
      <c r="AJ317" s="213" t="n"/>
      <c r="AK317" s="213" t="n"/>
    </row>
    <row r="318">
      <c r="B318" s="94" t="n"/>
      <c r="C318" s="88" t="n"/>
      <c r="D318" s="88" t="n"/>
      <c r="E318" s="88" t="n"/>
      <c r="F318" s="88" t="n"/>
      <c r="G318" s="88" t="n"/>
      <c r="H318" s="94" t="n"/>
      <c r="I318" s="4" t="n"/>
      <c r="J318" s="95" t="n"/>
      <c r="K318" s="213" t="n"/>
      <c r="L318" s="213" t="n"/>
      <c r="M318" s="213" t="n"/>
      <c r="N318" s="213" t="n"/>
      <c r="O318" s="213" t="n"/>
      <c r="P318" s="213" t="n"/>
      <c r="Q318" s="213" t="n"/>
      <c r="R318" s="213" t="n"/>
      <c r="S318" s="213" t="n"/>
      <c r="T318" s="213" t="n"/>
      <c r="U318" s="213" t="n"/>
      <c r="V318" s="213" t="n"/>
      <c r="W318" s="213" t="n"/>
      <c r="X318" s="213" t="n"/>
      <c r="Y318" s="213" t="n"/>
      <c r="Z318" s="213" t="n"/>
      <c r="AA318" s="213" t="n"/>
      <c r="AB318" s="213" t="n"/>
      <c r="AC318" s="213" t="n"/>
      <c r="AD318" s="213" t="n"/>
      <c r="AE318" s="213" t="n"/>
      <c r="AF318" s="213" t="n"/>
      <c r="AG318" s="213" t="n"/>
      <c r="AH318" s="213" t="n"/>
      <c r="AI318" s="213" t="n"/>
      <c r="AJ318" s="213" t="n"/>
      <c r="AK318" s="213" t="n"/>
    </row>
    <row r="319">
      <c r="B319" s="94" t="n"/>
      <c r="C319" s="88" t="n"/>
      <c r="D319" s="88" t="n"/>
      <c r="E319" s="88" t="n"/>
      <c r="F319" s="88" t="n"/>
      <c r="G319" s="88" t="n"/>
      <c r="H319" s="94" t="n"/>
      <c r="I319" s="4" t="n"/>
      <c r="J319" s="95" t="n"/>
      <c r="K319" s="213" t="n"/>
      <c r="L319" s="213" t="n"/>
      <c r="M319" s="213" t="n"/>
      <c r="N319" s="213" t="n"/>
      <c r="O319" s="213" t="n"/>
      <c r="P319" s="213" t="n"/>
      <c r="Q319" s="213" t="n"/>
      <c r="R319" s="213" t="n"/>
      <c r="S319" s="213" t="n"/>
      <c r="T319" s="213" t="n"/>
      <c r="U319" s="213" t="n"/>
      <c r="V319" s="213" t="n"/>
      <c r="W319" s="213" t="n"/>
      <c r="X319" s="213" t="n"/>
      <c r="Y319" s="213" t="n"/>
      <c r="Z319" s="213" t="n"/>
      <c r="AA319" s="213" t="n"/>
      <c r="AB319" s="213" t="n"/>
      <c r="AC319" s="213" t="n"/>
      <c r="AD319" s="213" t="n"/>
      <c r="AE319" s="213" t="n"/>
      <c r="AF319" s="213" t="n"/>
      <c r="AG319" s="213" t="n"/>
      <c r="AH319" s="213" t="n"/>
      <c r="AI319" s="213" t="n"/>
      <c r="AJ319" s="213" t="n"/>
      <c r="AK319" s="213" t="n"/>
    </row>
    <row r="320">
      <c r="B320" s="94" t="n"/>
      <c r="C320" s="88" t="n"/>
      <c r="D320" s="88" t="n"/>
      <c r="E320" s="88" t="n"/>
      <c r="F320" s="88" t="n"/>
      <c r="G320" s="88" t="n"/>
      <c r="H320" s="94" t="n"/>
      <c r="I320" s="4" t="n"/>
      <c r="J320" s="95" t="n"/>
      <c r="K320" s="213" t="n"/>
      <c r="L320" s="213" t="n"/>
      <c r="M320" s="213" t="n"/>
      <c r="N320" s="213" t="n"/>
      <c r="O320" s="213" t="n"/>
      <c r="P320" s="213" t="n"/>
      <c r="Q320" s="213" t="n"/>
      <c r="R320" s="213" t="n"/>
      <c r="S320" s="213" t="n"/>
      <c r="T320" s="213" t="n"/>
      <c r="U320" s="213" t="n"/>
      <c r="V320" s="213" t="n"/>
      <c r="W320" s="213" t="n"/>
      <c r="X320" s="213" t="n"/>
      <c r="Y320" s="213" t="n"/>
      <c r="Z320" s="213" t="n"/>
      <c r="AA320" s="213" t="n"/>
      <c r="AB320" s="213" t="n"/>
      <c r="AC320" s="213" t="n"/>
      <c r="AD320" s="213" t="n"/>
      <c r="AE320" s="213" t="n"/>
      <c r="AF320" s="213" t="n"/>
      <c r="AG320" s="213" t="n"/>
      <c r="AH320" s="213" t="n"/>
      <c r="AI320" s="213" t="n"/>
      <c r="AJ320" s="213" t="n"/>
      <c r="AK320" s="213" t="n"/>
    </row>
    <row r="321">
      <c r="B321" s="94" t="n"/>
      <c r="C321" s="88" t="n"/>
      <c r="D321" s="88" t="n"/>
      <c r="E321" s="88" t="n"/>
      <c r="F321" s="88" t="n"/>
      <c r="G321" s="88" t="n"/>
      <c r="H321" s="94" t="n"/>
      <c r="I321" s="4" t="n"/>
      <c r="J321" s="95" t="n"/>
      <c r="K321" s="213" t="n"/>
      <c r="L321" s="213" t="n"/>
      <c r="M321" s="213" t="n"/>
      <c r="N321" s="213" t="n"/>
      <c r="O321" s="213" t="n"/>
      <c r="P321" s="213" t="n"/>
      <c r="Q321" s="213" t="n"/>
      <c r="R321" s="213" t="n"/>
      <c r="S321" s="213" t="n"/>
      <c r="T321" s="213" t="n"/>
      <c r="U321" s="213" t="n"/>
      <c r="V321" s="213" t="n"/>
      <c r="W321" s="213" t="n"/>
      <c r="X321" s="213" t="n"/>
      <c r="Y321" s="213" t="n"/>
      <c r="Z321" s="213" t="n"/>
      <c r="AA321" s="213" t="n"/>
      <c r="AB321" s="213" t="n"/>
      <c r="AC321" s="213" t="n"/>
      <c r="AD321" s="213" t="n"/>
      <c r="AE321" s="213" t="n"/>
      <c r="AF321" s="213" t="n"/>
      <c r="AG321" s="213" t="n"/>
      <c r="AH321" s="213" t="n"/>
      <c r="AI321" s="213" t="n"/>
      <c r="AJ321" s="213" t="n"/>
      <c r="AK321" s="213" t="n"/>
    </row>
    <row r="322">
      <c r="B322" s="94" t="n"/>
      <c r="C322" s="88" t="n"/>
      <c r="D322" s="88" t="n"/>
      <c r="E322" s="88" t="n"/>
      <c r="F322" s="88" t="n"/>
      <c r="G322" s="88" t="n"/>
      <c r="H322" s="94" t="n"/>
      <c r="I322" s="4" t="n"/>
      <c r="J322" s="95" t="n"/>
      <c r="K322" s="213" t="n"/>
      <c r="L322" s="213" t="n"/>
      <c r="M322" s="213" t="n"/>
      <c r="N322" s="213" t="n"/>
      <c r="O322" s="213" t="n"/>
      <c r="P322" s="213" t="n"/>
      <c r="Q322" s="213" t="n"/>
      <c r="R322" s="213" t="n"/>
      <c r="S322" s="213" t="n"/>
      <c r="T322" s="213" t="n"/>
      <c r="U322" s="213" t="n"/>
      <c r="V322" s="213" t="n"/>
      <c r="W322" s="213" t="n"/>
      <c r="X322" s="213" t="n"/>
      <c r="Y322" s="213" t="n"/>
      <c r="Z322" s="213" t="n"/>
      <c r="AA322" s="213" t="n"/>
      <c r="AB322" s="213" t="n"/>
      <c r="AC322" s="213" t="n"/>
      <c r="AD322" s="213" t="n"/>
      <c r="AE322" s="213" t="n"/>
      <c r="AF322" s="213" t="n"/>
      <c r="AG322" s="213" t="n"/>
      <c r="AH322" s="213" t="n"/>
      <c r="AI322" s="213" t="n"/>
      <c r="AJ322" s="213" t="n"/>
      <c r="AK322" s="213" t="n"/>
    </row>
    <row r="323">
      <c r="B323" s="94" t="n"/>
      <c r="C323" s="88" t="n"/>
      <c r="D323" s="88" t="n"/>
      <c r="E323" s="88" t="n"/>
      <c r="F323" s="88" t="n"/>
      <c r="G323" s="88" t="n"/>
      <c r="H323" s="94" t="n"/>
      <c r="I323" s="4" t="n"/>
      <c r="J323" s="95" t="n"/>
      <c r="K323" s="213" t="n"/>
      <c r="L323" s="213" t="n"/>
      <c r="M323" s="213" t="n"/>
      <c r="N323" s="213" t="n"/>
      <c r="O323" s="213" t="n"/>
      <c r="P323" s="213" t="n"/>
      <c r="Q323" s="213" t="n"/>
      <c r="R323" s="213" t="n"/>
      <c r="S323" s="213" t="n"/>
      <c r="T323" s="213" t="n"/>
      <c r="U323" s="213" t="n"/>
      <c r="V323" s="213" t="n"/>
      <c r="W323" s="213" t="n"/>
      <c r="X323" s="213" t="n"/>
      <c r="Y323" s="213" t="n"/>
      <c r="Z323" s="213" t="n"/>
      <c r="AA323" s="213" t="n"/>
      <c r="AB323" s="213" t="n"/>
      <c r="AC323" s="213" t="n"/>
      <c r="AD323" s="213" t="n"/>
      <c r="AE323" s="213" t="n"/>
      <c r="AF323" s="213" t="n"/>
      <c r="AG323" s="213" t="n"/>
      <c r="AH323" s="213" t="n"/>
      <c r="AI323" s="213" t="n"/>
      <c r="AJ323" s="213" t="n"/>
      <c r="AK323" s="213" t="n"/>
    </row>
    <row r="324">
      <c r="B324" s="94" t="n"/>
      <c r="C324" s="88" t="n"/>
      <c r="D324" s="88" t="n"/>
      <c r="E324" s="88" t="n"/>
      <c r="F324" s="88" t="n"/>
      <c r="G324" s="88" t="n"/>
      <c r="H324" s="94" t="n"/>
      <c r="I324" s="4" t="n"/>
      <c r="J324" s="95" t="n"/>
      <c r="K324" s="213" t="n"/>
      <c r="L324" s="213" t="n"/>
      <c r="M324" s="213" t="n"/>
      <c r="N324" s="213" t="n"/>
      <c r="O324" s="213" t="n"/>
      <c r="P324" s="213" t="n"/>
      <c r="Q324" s="213" t="n"/>
      <c r="R324" s="213" t="n"/>
      <c r="S324" s="213" t="n"/>
      <c r="T324" s="213" t="n"/>
      <c r="U324" s="213" t="n"/>
      <c r="V324" s="213" t="n"/>
      <c r="W324" s="213" t="n"/>
      <c r="X324" s="213" t="n"/>
      <c r="Y324" s="213" t="n"/>
      <c r="Z324" s="213" t="n"/>
      <c r="AA324" s="213" t="n"/>
      <c r="AB324" s="213" t="n"/>
      <c r="AC324" s="213" t="n"/>
      <c r="AD324" s="213" t="n"/>
      <c r="AE324" s="213" t="n"/>
      <c r="AF324" s="213" t="n"/>
      <c r="AG324" s="213" t="n"/>
      <c r="AH324" s="213" t="n"/>
      <c r="AI324" s="213" t="n"/>
      <c r="AJ324" s="213" t="n"/>
      <c r="AK324" s="213" t="n"/>
    </row>
    <row r="325">
      <c r="B325" s="94" t="n"/>
      <c r="C325" s="88" t="n"/>
      <c r="D325" s="88" t="n"/>
      <c r="E325" s="88" t="n"/>
      <c r="F325" s="88" t="n"/>
      <c r="G325" s="88" t="n"/>
      <c r="H325" s="94" t="n"/>
      <c r="I325" s="4" t="n"/>
      <c r="J325" s="95" t="n"/>
      <c r="K325" s="213" t="n"/>
      <c r="L325" s="213" t="n"/>
      <c r="M325" s="213" t="n"/>
      <c r="N325" s="213" t="n"/>
      <c r="O325" s="213" t="n"/>
      <c r="P325" s="213" t="n"/>
      <c r="Q325" s="213" t="n"/>
      <c r="R325" s="213" t="n"/>
      <c r="S325" s="213" t="n"/>
      <c r="T325" s="213" t="n"/>
      <c r="U325" s="213" t="n"/>
      <c r="V325" s="213" t="n"/>
      <c r="W325" s="213" t="n"/>
      <c r="X325" s="213" t="n"/>
      <c r="Y325" s="213" t="n"/>
      <c r="Z325" s="213" t="n"/>
      <c r="AA325" s="213" t="n"/>
      <c r="AB325" s="213" t="n"/>
      <c r="AC325" s="213" t="n"/>
      <c r="AD325" s="213" t="n"/>
      <c r="AE325" s="213" t="n"/>
      <c r="AF325" s="213" t="n"/>
      <c r="AG325" s="213" t="n"/>
      <c r="AH325" s="213" t="n"/>
      <c r="AI325" s="213" t="n"/>
      <c r="AJ325" s="213" t="n"/>
      <c r="AK325" s="213" t="n"/>
    </row>
    <row r="326">
      <c r="B326" s="94" t="n"/>
      <c r="C326" s="88" t="n"/>
      <c r="D326" s="88" t="n"/>
      <c r="E326" s="88" t="n"/>
      <c r="F326" s="88" t="n"/>
      <c r="G326" s="88" t="n"/>
      <c r="H326" s="94" t="n"/>
      <c r="I326" s="4" t="n"/>
      <c r="J326" s="95" t="n"/>
      <c r="K326" s="213" t="n"/>
      <c r="L326" s="213" t="n"/>
      <c r="M326" s="213" t="n"/>
      <c r="N326" s="213" t="n"/>
      <c r="O326" s="213" t="n"/>
      <c r="P326" s="213" t="n"/>
      <c r="Q326" s="213" t="n"/>
      <c r="R326" s="213" t="n"/>
      <c r="S326" s="213" t="n"/>
      <c r="T326" s="213" t="n"/>
      <c r="U326" s="213" t="n"/>
      <c r="V326" s="213" t="n"/>
      <c r="W326" s="213" t="n"/>
      <c r="X326" s="213" t="n"/>
      <c r="Y326" s="213" t="n"/>
      <c r="Z326" s="213" t="n"/>
      <c r="AA326" s="213" t="n"/>
      <c r="AB326" s="213" t="n"/>
      <c r="AC326" s="213" t="n"/>
      <c r="AD326" s="213" t="n"/>
      <c r="AE326" s="213" t="n"/>
      <c r="AF326" s="213" t="n"/>
      <c r="AG326" s="213" t="n"/>
      <c r="AH326" s="213" t="n"/>
      <c r="AI326" s="213" t="n"/>
      <c r="AJ326" s="213" t="n"/>
      <c r="AK326" s="213" t="n"/>
    </row>
    <row r="327">
      <c r="B327" s="94" t="n"/>
      <c r="C327" s="88" t="n"/>
      <c r="D327" s="88" t="n"/>
      <c r="E327" s="88" t="n"/>
      <c r="F327" s="88" t="n"/>
      <c r="G327" s="88" t="n"/>
      <c r="H327" s="94" t="n"/>
      <c r="I327" s="4" t="n"/>
      <c r="J327" s="95" t="n"/>
      <c r="K327" s="213" t="n"/>
      <c r="L327" s="213" t="n"/>
      <c r="M327" s="213" t="n"/>
      <c r="N327" s="213" t="n"/>
      <c r="O327" s="213" t="n"/>
      <c r="P327" s="213" t="n"/>
      <c r="Q327" s="213" t="n"/>
      <c r="R327" s="213" t="n"/>
      <c r="S327" s="213" t="n"/>
      <c r="T327" s="213" t="n"/>
      <c r="U327" s="213" t="n"/>
      <c r="V327" s="213" t="n"/>
      <c r="W327" s="213" t="n"/>
      <c r="X327" s="213" t="n"/>
      <c r="Y327" s="213" t="n"/>
      <c r="Z327" s="213" t="n"/>
      <c r="AA327" s="213" t="n"/>
      <c r="AB327" s="213" t="n"/>
      <c r="AC327" s="213" t="n"/>
      <c r="AD327" s="213" t="n"/>
      <c r="AE327" s="213" t="n"/>
      <c r="AF327" s="213" t="n"/>
      <c r="AG327" s="213" t="n"/>
      <c r="AH327" s="213" t="n"/>
      <c r="AI327" s="213" t="n"/>
      <c r="AJ327" s="213" t="n"/>
      <c r="AK327" s="213" t="n"/>
    </row>
    <row r="328">
      <c r="B328" s="94" t="n"/>
      <c r="C328" s="88" t="n"/>
      <c r="D328" s="88" t="n"/>
      <c r="E328" s="88" t="n"/>
      <c r="F328" s="88" t="n"/>
      <c r="G328" s="88" t="n"/>
      <c r="H328" s="94" t="n"/>
      <c r="I328" s="4" t="n"/>
      <c r="J328" s="95" t="n"/>
      <c r="K328" s="213" t="n"/>
      <c r="L328" s="213" t="n"/>
      <c r="M328" s="213" t="n"/>
      <c r="N328" s="213" t="n"/>
      <c r="O328" s="213" t="n"/>
      <c r="P328" s="213" t="n"/>
      <c r="Q328" s="213" t="n"/>
      <c r="R328" s="213" t="n"/>
      <c r="S328" s="213" t="n"/>
      <c r="T328" s="213" t="n"/>
      <c r="U328" s="213" t="n"/>
      <c r="V328" s="213" t="n"/>
      <c r="W328" s="213" t="n"/>
      <c r="X328" s="213" t="n"/>
      <c r="Y328" s="213" t="n"/>
      <c r="Z328" s="213" t="n"/>
      <c r="AA328" s="213" t="n"/>
      <c r="AB328" s="213" t="n"/>
      <c r="AC328" s="213" t="n"/>
      <c r="AD328" s="213" t="n"/>
      <c r="AE328" s="213" t="n"/>
      <c r="AF328" s="213" t="n"/>
      <c r="AG328" s="213" t="n"/>
      <c r="AH328" s="213" t="n"/>
      <c r="AI328" s="213" t="n"/>
      <c r="AJ328" s="213" t="n"/>
      <c r="AK328" s="213" t="n"/>
    </row>
    <row r="329">
      <c r="B329" s="94" t="n"/>
      <c r="C329" s="88" t="n"/>
      <c r="D329" s="88" t="n"/>
      <c r="E329" s="88" t="n"/>
      <c r="F329" s="88" t="n"/>
      <c r="G329" s="88" t="n"/>
      <c r="H329" s="94" t="n"/>
      <c r="I329" s="4" t="n"/>
      <c r="J329" s="95" t="n"/>
      <c r="K329" s="213" t="n"/>
      <c r="L329" s="213" t="n"/>
      <c r="M329" s="213" t="n"/>
      <c r="N329" s="213" t="n"/>
      <c r="O329" s="213" t="n"/>
      <c r="P329" s="213" t="n"/>
      <c r="Q329" s="213" t="n"/>
      <c r="R329" s="213" t="n"/>
      <c r="S329" s="213" t="n"/>
      <c r="T329" s="213" t="n"/>
      <c r="U329" s="213" t="n"/>
      <c r="V329" s="213" t="n"/>
      <c r="W329" s="213" t="n"/>
      <c r="X329" s="213" t="n"/>
      <c r="Y329" s="213" t="n"/>
      <c r="Z329" s="213" t="n"/>
      <c r="AA329" s="213" t="n"/>
      <c r="AB329" s="213" t="n"/>
      <c r="AC329" s="213" t="n"/>
      <c r="AD329" s="213" t="n"/>
      <c r="AE329" s="213" t="n"/>
      <c r="AF329" s="213" t="n"/>
      <c r="AG329" s="213" t="n"/>
      <c r="AH329" s="213" t="n"/>
      <c r="AI329" s="213" t="n"/>
      <c r="AJ329" s="213" t="n"/>
      <c r="AK329" s="213" t="n"/>
    </row>
    <row r="330">
      <c r="B330" s="94" t="n"/>
      <c r="C330" s="88" t="n"/>
      <c r="D330" s="88" t="n"/>
      <c r="E330" s="88" t="n"/>
      <c r="F330" s="88" t="n"/>
      <c r="G330" s="88" t="n"/>
      <c r="H330" s="94" t="n"/>
      <c r="I330" s="4" t="n"/>
      <c r="J330" s="95" t="n"/>
      <c r="K330" s="213" t="n"/>
      <c r="L330" s="213" t="n"/>
      <c r="M330" s="213" t="n"/>
      <c r="N330" s="213" t="n"/>
      <c r="O330" s="213" t="n"/>
      <c r="P330" s="213" t="n"/>
      <c r="Q330" s="213" t="n"/>
      <c r="R330" s="213" t="n"/>
      <c r="S330" s="213" t="n"/>
      <c r="T330" s="213" t="n"/>
      <c r="U330" s="213" t="n"/>
      <c r="V330" s="213" t="n"/>
      <c r="W330" s="213" t="n"/>
      <c r="X330" s="213" t="n"/>
      <c r="Y330" s="213" t="n"/>
      <c r="Z330" s="213" t="n"/>
      <c r="AA330" s="213" t="n"/>
      <c r="AB330" s="213" t="n"/>
      <c r="AC330" s="213" t="n"/>
      <c r="AD330" s="213" t="n"/>
      <c r="AE330" s="213" t="n"/>
      <c r="AF330" s="213" t="n"/>
      <c r="AG330" s="213" t="n"/>
      <c r="AH330" s="213" t="n"/>
      <c r="AI330" s="213" t="n"/>
      <c r="AJ330" s="213" t="n"/>
      <c r="AK330" s="213" t="n"/>
    </row>
    <row r="331">
      <c r="B331" s="94" t="n"/>
      <c r="C331" s="88" t="n"/>
      <c r="D331" s="88" t="n"/>
      <c r="E331" s="88" t="n"/>
      <c r="F331" s="88" t="n"/>
      <c r="G331" s="88" t="n"/>
      <c r="H331" s="94" t="n"/>
      <c r="I331" s="4" t="n"/>
      <c r="J331" s="95" t="n"/>
      <c r="K331" s="213" t="n"/>
      <c r="L331" s="213" t="n"/>
      <c r="M331" s="213" t="n"/>
      <c r="N331" s="213" t="n"/>
      <c r="O331" s="213" t="n"/>
      <c r="P331" s="213" t="n"/>
      <c r="Q331" s="213" t="n"/>
      <c r="R331" s="213" t="n"/>
      <c r="S331" s="213" t="n"/>
      <c r="T331" s="213" t="n"/>
      <c r="U331" s="213" t="n"/>
      <c r="V331" s="213" t="n"/>
      <c r="W331" s="213" t="n"/>
      <c r="X331" s="213" t="n"/>
      <c r="Y331" s="213" t="n"/>
      <c r="Z331" s="213" t="n"/>
      <c r="AA331" s="213" t="n"/>
      <c r="AB331" s="213" t="n"/>
      <c r="AC331" s="213" t="n"/>
      <c r="AD331" s="213" t="n"/>
      <c r="AE331" s="213" t="n"/>
      <c r="AF331" s="213" t="n"/>
      <c r="AG331" s="213" t="n"/>
      <c r="AH331" s="213" t="n"/>
      <c r="AI331" s="213" t="n"/>
      <c r="AJ331" s="213" t="n"/>
      <c r="AK331" s="213" t="n"/>
    </row>
    <row r="332">
      <c r="B332" s="94" t="n"/>
      <c r="C332" s="88" t="n"/>
      <c r="D332" s="88" t="n"/>
      <c r="E332" s="88" t="n"/>
      <c r="F332" s="88" t="n"/>
      <c r="G332" s="88" t="n"/>
      <c r="H332" s="94" t="n"/>
      <c r="I332" s="4" t="n"/>
      <c r="J332" s="95" t="n"/>
      <c r="K332" s="213" t="n"/>
      <c r="L332" s="213" t="n"/>
      <c r="M332" s="213" t="n"/>
      <c r="N332" s="213" t="n"/>
      <c r="O332" s="213" t="n"/>
      <c r="P332" s="213" t="n"/>
      <c r="Q332" s="213" t="n"/>
      <c r="R332" s="213" t="n"/>
      <c r="S332" s="213" t="n"/>
      <c r="T332" s="213" t="n"/>
      <c r="U332" s="213" t="n"/>
      <c r="V332" s="213" t="n"/>
      <c r="W332" s="213" t="n"/>
      <c r="X332" s="213" t="n"/>
      <c r="Y332" s="213" t="n"/>
      <c r="Z332" s="213" t="n"/>
      <c r="AA332" s="213" t="n"/>
      <c r="AB332" s="213" t="n"/>
      <c r="AC332" s="213" t="n"/>
      <c r="AD332" s="213" t="n"/>
      <c r="AE332" s="213" t="n"/>
      <c r="AF332" s="213" t="n"/>
      <c r="AG332" s="213" t="n"/>
      <c r="AH332" s="213" t="n"/>
      <c r="AI332" s="213" t="n"/>
      <c r="AJ332" s="213" t="n"/>
      <c r="AK332" s="213" t="n"/>
    </row>
    <row r="333">
      <c r="B333" s="94" t="n"/>
      <c r="C333" s="88" t="n"/>
      <c r="D333" s="88" t="n"/>
      <c r="E333" s="88" t="n"/>
      <c r="F333" s="88" t="n"/>
      <c r="G333" s="88" t="n"/>
      <c r="H333" s="94" t="n"/>
      <c r="I333" s="4" t="n"/>
      <c r="J333" s="95" t="n"/>
      <c r="K333" s="213" t="n"/>
      <c r="L333" s="213" t="n"/>
      <c r="M333" s="213" t="n"/>
      <c r="N333" s="213" t="n"/>
      <c r="O333" s="213" t="n"/>
      <c r="P333" s="213" t="n"/>
      <c r="Q333" s="213" t="n"/>
      <c r="R333" s="213" t="n"/>
      <c r="S333" s="213" t="n"/>
      <c r="T333" s="213" t="n"/>
      <c r="U333" s="213" t="n"/>
      <c r="V333" s="213" t="n"/>
      <c r="W333" s="213" t="n"/>
      <c r="X333" s="213" t="n"/>
      <c r="Y333" s="213" t="n"/>
      <c r="Z333" s="213" t="n"/>
      <c r="AA333" s="213" t="n"/>
      <c r="AB333" s="213" t="n"/>
      <c r="AC333" s="213" t="n"/>
      <c r="AD333" s="213" t="n"/>
      <c r="AE333" s="213" t="n"/>
      <c r="AF333" s="213" t="n"/>
      <c r="AG333" s="213" t="n"/>
      <c r="AH333" s="213" t="n"/>
      <c r="AI333" s="213" t="n"/>
      <c r="AJ333" s="213" t="n"/>
      <c r="AK333" s="213" t="n"/>
    </row>
    <row r="334">
      <c r="B334" s="94" t="n"/>
      <c r="C334" s="88" t="n"/>
      <c r="D334" s="88" t="n"/>
      <c r="E334" s="88" t="n"/>
      <c r="F334" s="88" t="n"/>
      <c r="G334" s="88" t="n"/>
      <c r="H334" s="94" t="n"/>
      <c r="I334" s="4" t="n"/>
      <c r="J334" s="95" t="n"/>
      <c r="K334" s="213" t="n"/>
      <c r="L334" s="213" t="n"/>
      <c r="M334" s="213" t="n"/>
      <c r="N334" s="213" t="n"/>
      <c r="O334" s="213" t="n"/>
      <c r="P334" s="213" t="n"/>
      <c r="Q334" s="213" t="n"/>
      <c r="R334" s="213" t="n"/>
      <c r="S334" s="213" t="n"/>
      <c r="T334" s="213" t="n"/>
      <c r="U334" s="213" t="n"/>
      <c r="V334" s="213" t="n"/>
      <c r="W334" s="213" t="n"/>
      <c r="X334" s="213" t="n"/>
      <c r="Y334" s="213" t="n"/>
      <c r="Z334" s="213" t="n"/>
      <c r="AA334" s="213" t="n"/>
      <c r="AB334" s="213" t="n"/>
      <c r="AC334" s="213" t="n"/>
      <c r="AD334" s="213" t="n"/>
      <c r="AE334" s="213" t="n"/>
      <c r="AF334" s="213" t="n"/>
      <c r="AG334" s="213" t="n"/>
      <c r="AH334" s="213" t="n"/>
      <c r="AI334" s="213" t="n"/>
      <c r="AJ334" s="213" t="n"/>
      <c r="AK334" s="213" t="n"/>
    </row>
    <row r="335">
      <c r="B335" s="94" t="n"/>
      <c r="C335" s="88" t="n"/>
      <c r="D335" s="88" t="n"/>
      <c r="E335" s="88" t="n"/>
      <c r="F335" s="88" t="n"/>
      <c r="G335" s="88" t="n"/>
      <c r="H335" s="94" t="n"/>
      <c r="I335" s="4" t="n"/>
      <c r="J335" s="95" t="n"/>
      <c r="K335" s="213" t="n"/>
      <c r="L335" s="213" t="n"/>
      <c r="M335" s="213" t="n"/>
      <c r="N335" s="213" t="n"/>
      <c r="O335" s="213" t="n"/>
      <c r="P335" s="213" t="n"/>
      <c r="Q335" s="213" t="n"/>
      <c r="R335" s="213" t="n"/>
      <c r="S335" s="213" t="n"/>
      <c r="T335" s="213" t="n"/>
      <c r="U335" s="213" t="n"/>
      <c r="V335" s="213" t="n"/>
      <c r="W335" s="213" t="n"/>
      <c r="X335" s="213" t="n"/>
      <c r="Y335" s="213" t="n"/>
      <c r="Z335" s="213" t="n"/>
      <c r="AA335" s="213" t="n"/>
      <c r="AB335" s="213" t="n"/>
      <c r="AC335" s="213" t="n"/>
      <c r="AD335" s="213" t="n"/>
      <c r="AE335" s="213" t="n"/>
      <c r="AF335" s="213" t="n"/>
      <c r="AG335" s="213" t="n"/>
      <c r="AH335" s="213" t="n"/>
      <c r="AI335" s="213" t="n"/>
      <c r="AJ335" s="213" t="n"/>
      <c r="AK335" s="213" t="n"/>
    </row>
    <row r="336">
      <c r="B336" s="94" t="n"/>
      <c r="C336" s="88" t="n"/>
      <c r="D336" s="88" t="n"/>
      <c r="E336" s="88" t="n"/>
      <c r="F336" s="88" t="n"/>
      <c r="G336" s="88" t="n"/>
      <c r="H336" s="94" t="n"/>
      <c r="I336" s="4" t="n"/>
      <c r="J336" s="95" t="n"/>
      <c r="K336" s="213" t="n"/>
      <c r="L336" s="213" t="n"/>
      <c r="M336" s="213" t="n"/>
      <c r="N336" s="213" t="n"/>
      <c r="O336" s="213" t="n"/>
      <c r="P336" s="213" t="n"/>
      <c r="Q336" s="213" t="n"/>
      <c r="R336" s="213" t="n"/>
      <c r="S336" s="213" t="n"/>
      <c r="T336" s="213" t="n"/>
      <c r="U336" s="213" t="n"/>
      <c r="V336" s="213" t="n"/>
      <c r="W336" s="213" t="n"/>
      <c r="X336" s="213" t="n"/>
      <c r="Y336" s="213" t="n"/>
      <c r="Z336" s="213" t="n"/>
      <c r="AA336" s="213" t="n"/>
      <c r="AB336" s="213" t="n"/>
      <c r="AC336" s="213" t="n"/>
      <c r="AD336" s="213" t="n"/>
      <c r="AE336" s="213" t="n"/>
      <c r="AF336" s="213" t="n"/>
      <c r="AG336" s="213" t="n"/>
      <c r="AH336" s="213" t="n"/>
      <c r="AI336" s="213" t="n"/>
      <c r="AJ336" s="213" t="n"/>
      <c r="AK336" s="213" t="n"/>
    </row>
    <row r="337">
      <c r="B337" s="94" t="n"/>
      <c r="C337" s="88" t="n"/>
      <c r="D337" s="88" t="n"/>
      <c r="E337" s="88" t="n"/>
      <c r="F337" s="88" t="n"/>
      <c r="G337" s="88" t="n"/>
      <c r="H337" s="94" t="n"/>
      <c r="I337" s="4" t="n"/>
      <c r="J337" s="95" t="n"/>
      <c r="K337" s="213" t="n"/>
      <c r="L337" s="213" t="n"/>
      <c r="M337" s="213" t="n"/>
      <c r="N337" s="213" t="n"/>
      <c r="O337" s="213" t="n"/>
      <c r="P337" s="213" t="n"/>
      <c r="Q337" s="213" t="n"/>
      <c r="R337" s="213" t="n"/>
      <c r="S337" s="213" t="n"/>
      <c r="T337" s="213" t="n"/>
      <c r="U337" s="213" t="n"/>
      <c r="V337" s="213" t="n"/>
      <c r="W337" s="213" t="n"/>
      <c r="X337" s="213" t="n"/>
      <c r="Y337" s="213" t="n"/>
      <c r="Z337" s="213" t="n"/>
      <c r="AA337" s="213" t="n"/>
      <c r="AB337" s="213" t="n"/>
      <c r="AC337" s="213" t="n"/>
      <c r="AD337" s="213" t="n"/>
      <c r="AE337" s="213" t="n"/>
      <c r="AF337" s="213" t="n"/>
      <c r="AG337" s="213" t="n"/>
      <c r="AH337" s="213" t="n"/>
      <c r="AI337" s="213" t="n"/>
      <c r="AJ337" s="213" t="n"/>
      <c r="AK337" s="213" t="n"/>
    </row>
    <row r="338">
      <c r="B338" s="94" t="n"/>
      <c r="C338" s="88" t="n"/>
      <c r="D338" s="88" t="n"/>
      <c r="E338" s="88" t="n"/>
      <c r="F338" s="88" t="n"/>
      <c r="G338" s="88" t="n"/>
      <c r="H338" s="94" t="n"/>
      <c r="I338" s="4" t="n"/>
      <c r="J338" s="95" t="n"/>
      <c r="K338" s="213" t="n"/>
      <c r="L338" s="213" t="n"/>
      <c r="M338" s="213" t="n"/>
      <c r="N338" s="213" t="n"/>
      <c r="O338" s="213" t="n"/>
      <c r="P338" s="213" t="n"/>
      <c r="Q338" s="213" t="n"/>
      <c r="R338" s="213" t="n"/>
      <c r="S338" s="213" t="n"/>
      <c r="T338" s="213" t="n"/>
      <c r="U338" s="213" t="n"/>
      <c r="V338" s="213" t="n"/>
      <c r="W338" s="213" t="n"/>
      <c r="X338" s="213" t="n"/>
      <c r="Y338" s="213" t="n"/>
      <c r="Z338" s="213" t="n"/>
      <c r="AA338" s="213" t="n"/>
      <c r="AB338" s="213" t="n"/>
      <c r="AC338" s="213" t="n"/>
      <c r="AD338" s="213" t="n"/>
      <c r="AE338" s="213" t="n"/>
      <c r="AF338" s="213" t="n"/>
      <c r="AG338" s="213" t="n"/>
      <c r="AH338" s="213" t="n"/>
      <c r="AI338" s="213" t="n"/>
      <c r="AJ338" s="213" t="n"/>
      <c r="AK338" s="213" t="n"/>
    </row>
    <row r="339">
      <c r="B339" s="94" t="n"/>
      <c r="C339" s="88" t="n"/>
      <c r="D339" s="88" t="n"/>
      <c r="E339" s="88" t="n"/>
      <c r="F339" s="88" t="n"/>
      <c r="G339" s="88" t="n"/>
      <c r="H339" s="94" t="n"/>
      <c r="I339" s="4" t="n"/>
      <c r="J339" s="95" t="n"/>
      <c r="K339" s="213" t="n"/>
      <c r="L339" s="213" t="n"/>
      <c r="M339" s="213" t="n"/>
      <c r="N339" s="213" t="n"/>
      <c r="O339" s="213" t="n"/>
      <c r="P339" s="213" t="n"/>
      <c r="Q339" s="213" t="n"/>
      <c r="R339" s="213" t="n"/>
      <c r="S339" s="213" t="n"/>
      <c r="T339" s="213" t="n"/>
      <c r="U339" s="213" t="n"/>
      <c r="V339" s="213" t="n"/>
      <c r="W339" s="213" t="n"/>
      <c r="X339" s="213" t="n"/>
      <c r="Y339" s="213" t="n"/>
      <c r="Z339" s="213" t="n"/>
      <c r="AA339" s="213" t="n"/>
      <c r="AB339" s="213" t="n"/>
      <c r="AC339" s="213" t="n"/>
      <c r="AD339" s="213" t="n"/>
      <c r="AE339" s="213" t="n"/>
      <c r="AF339" s="213" t="n"/>
      <c r="AG339" s="213" t="n"/>
      <c r="AH339" s="213" t="n"/>
      <c r="AI339" s="213" t="n"/>
      <c r="AJ339" s="213" t="n"/>
      <c r="AK339" s="213" t="n"/>
    </row>
    <row r="340">
      <c r="B340" s="94" t="n"/>
      <c r="C340" s="88" t="n"/>
      <c r="D340" s="88" t="n"/>
      <c r="E340" s="88" t="n"/>
      <c r="F340" s="88" t="n"/>
      <c r="G340" s="88" t="n"/>
      <c r="H340" s="94" t="n"/>
      <c r="I340" s="4" t="n"/>
      <c r="J340" s="95" t="n"/>
      <c r="K340" s="213" t="n"/>
      <c r="L340" s="213" t="n"/>
      <c r="M340" s="213" t="n"/>
      <c r="N340" s="213" t="n"/>
      <c r="O340" s="213" t="n"/>
      <c r="P340" s="213" t="n"/>
      <c r="Q340" s="213" t="n"/>
      <c r="R340" s="213" t="n"/>
      <c r="S340" s="213" t="n"/>
      <c r="T340" s="213" t="n"/>
      <c r="U340" s="213" t="n"/>
      <c r="V340" s="213" t="n"/>
      <c r="W340" s="213" t="n"/>
      <c r="X340" s="213" t="n"/>
      <c r="Y340" s="213" t="n"/>
      <c r="Z340" s="213" t="n"/>
      <c r="AA340" s="213" t="n"/>
      <c r="AB340" s="213" t="n"/>
      <c r="AC340" s="213" t="n"/>
      <c r="AD340" s="213" t="n"/>
      <c r="AE340" s="213" t="n"/>
      <c r="AF340" s="213" t="n"/>
      <c r="AG340" s="213" t="n"/>
      <c r="AH340" s="213" t="n"/>
      <c r="AI340" s="213" t="n"/>
      <c r="AJ340" s="213" t="n"/>
      <c r="AK340" s="213" t="n"/>
    </row>
    <row r="341">
      <c r="B341" s="94" t="n"/>
      <c r="C341" s="88" t="n"/>
      <c r="D341" s="88" t="n"/>
      <c r="E341" s="88" t="n"/>
      <c r="F341" s="88" t="n"/>
      <c r="G341" s="88" t="n"/>
      <c r="H341" s="94" t="n"/>
      <c r="I341" s="4" t="n"/>
      <c r="J341" s="95" t="n"/>
      <c r="K341" s="213" t="n"/>
      <c r="L341" s="213" t="n"/>
      <c r="M341" s="213" t="n"/>
      <c r="N341" s="213" t="n"/>
      <c r="O341" s="213" t="n"/>
      <c r="P341" s="213" t="n"/>
      <c r="Q341" s="213" t="n"/>
      <c r="R341" s="213" t="n"/>
      <c r="S341" s="213" t="n"/>
      <c r="T341" s="213" t="n"/>
      <c r="U341" s="213" t="n"/>
      <c r="V341" s="213" t="n"/>
      <c r="W341" s="213" t="n"/>
      <c r="X341" s="213" t="n"/>
      <c r="Y341" s="213" t="n"/>
      <c r="Z341" s="213" t="n"/>
      <c r="AA341" s="213" t="n"/>
      <c r="AB341" s="213" t="n"/>
      <c r="AC341" s="213" t="n"/>
      <c r="AD341" s="213" t="n"/>
      <c r="AE341" s="213" t="n"/>
      <c r="AF341" s="213" t="n"/>
      <c r="AG341" s="213" t="n"/>
      <c r="AH341" s="213" t="n"/>
      <c r="AI341" s="213" t="n"/>
      <c r="AJ341" s="213" t="n"/>
      <c r="AK341" s="213" t="n"/>
    </row>
    <row r="342">
      <c r="B342" s="94" t="n"/>
      <c r="C342" s="88" t="n"/>
      <c r="D342" s="88" t="n"/>
      <c r="E342" s="88" t="n"/>
      <c r="F342" s="88" t="n"/>
      <c r="G342" s="88" t="n"/>
      <c r="H342" s="94" t="n"/>
      <c r="I342" s="4" t="n"/>
      <c r="J342" s="95" t="n"/>
      <c r="K342" s="213" t="n"/>
      <c r="L342" s="213" t="n"/>
      <c r="M342" s="213" t="n"/>
      <c r="N342" s="213" t="n"/>
      <c r="O342" s="213" t="n"/>
      <c r="P342" s="213" t="n"/>
      <c r="Q342" s="213" t="n"/>
      <c r="R342" s="213" t="n"/>
      <c r="S342" s="213" t="n"/>
      <c r="T342" s="213" t="n"/>
      <c r="U342" s="213" t="n"/>
      <c r="V342" s="213" t="n"/>
      <c r="W342" s="213" t="n"/>
      <c r="X342" s="213" t="n"/>
      <c r="Y342" s="213" t="n"/>
      <c r="Z342" s="213" t="n"/>
      <c r="AA342" s="213" t="n"/>
      <c r="AB342" s="213" t="n"/>
      <c r="AC342" s="213" t="n"/>
      <c r="AD342" s="213" t="n"/>
      <c r="AE342" s="213" t="n"/>
      <c r="AF342" s="213" t="n"/>
      <c r="AG342" s="213" t="n"/>
      <c r="AH342" s="213" t="n"/>
      <c r="AI342" s="213" t="n"/>
      <c r="AJ342" s="213" t="n"/>
      <c r="AK342" s="213" t="n"/>
    </row>
    <row r="343">
      <c r="B343" s="94" t="n"/>
      <c r="C343" s="88" t="n"/>
      <c r="D343" s="88" t="n"/>
      <c r="E343" s="88" t="n"/>
      <c r="F343" s="88" t="n"/>
      <c r="G343" s="88" t="n"/>
      <c r="H343" s="94" t="n"/>
      <c r="I343" s="4" t="n"/>
      <c r="J343" s="95" t="n"/>
      <c r="K343" s="213" t="n"/>
      <c r="L343" s="213" t="n"/>
      <c r="M343" s="213" t="n"/>
      <c r="N343" s="213" t="n"/>
      <c r="O343" s="213" t="n"/>
      <c r="P343" s="213" t="n"/>
      <c r="Q343" s="213" t="n"/>
      <c r="R343" s="213" t="n"/>
      <c r="S343" s="213" t="n"/>
      <c r="T343" s="213" t="n"/>
      <c r="U343" s="213" t="n"/>
      <c r="V343" s="213" t="n"/>
      <c r="W343" s="213" t="n"/>
      <c r="X343" s="213" t="n"/>
      <c r="Y343" s="213" t="n"/>
      <c r="Z343" s="213" t="n"/>
      <c r="AA343" s="213" t="n"/>
      <c r="AB343" s="213" t="n"/>
      <c r="AC343" s="213" t="n"/>
      <c r="AD343" s="213" t="n"/>
      <c r="AE343" s="213" t="n"/>
      <c r="AF343" s="213" t="n"/>
      <c r="AG343" s="213" t="n"/>
      <c r="AH343" s="213" t="n"/>
      <c r="AI343" s="213" t="n"/>
      <c r="AJ343" s="213" t="n"/>
      <c r="AK343" s="213" t="n"/>
    </row>
    <row r="344">
      <c r="B344" s="94" t="n"/>
      <c r="C344" s="88" t="n"/>
      <c r="D344" s="88" t="n"/>
      <c r="E344" s="88" t="n"/>
      <c r="F344" s="88" t="n"/>
      <c r="G344" s="88" t="n"/>
      <c r="H344" s="94" t="n"/>
      <c r="I344" s="4" t="n"/>
      <c r="J344" s="95" t="n"/>
      <c r="K344" s="213" t="n"/>
      <c r="L344" s="213" t="n"/>
      <c r="M344" s="213" t="n"/>
      <c r="N344" s="213" t="n"/>
      <c r="O344" s="213" t="n"/>
      <c r="P344" s="213" t="n"/>
      <c r="Q344" s="213" t="n"/>
      <c r="R344" s="213" t="n"/>
      <c r="S344" s="213" t="n"/>
      <c r="T344" s="213" t="n"/>
      <c r="U344" s="213" t="n"/>
      <c r="V344" s="213" t="n"/>
      <c r="W344" s="213" t="n"/>
      <c r="X344" s="213" t="n"/>
      <c r="Y344" s="213" t="n"/>
      <c r="Z344" s="213" t="n"/>
      <c r="AA344" s="213" t="n"/>
      <c r="AB344" s="213" t="n"/>
      <c r="AC344" s="213" t="n"/>
      <c r="AD344" s="213" t="n"/>
      <c r="AE344" s="213" t="n"/>
      <c r="AF344" s="213" t="n"/>
      <c r="AG344" s="213" t="n"/>
      <c r="AH344" s="213" t="n"/>
      <c r="AI344" s="213" t="n"/>
      <c r="AJ344" s="213" t="n"/>
      <c r="AK344" s="213" t="n"/>
    </row>
    <row r="345">
      <c r="B345" s="94" t="n"/>
      <c r="C345" s="88" t="n"/>
      <c r="D345" s="88" t="n"/>
      <c r="E345" s="88" t="n"/>
      <c r="F345" s="88" t="n"/>
      <c r="G345" s="88" t="n"/>
      <c r="H345" s="94" t="n"/>
      <c r="I345" s="4" t="n"/>
      <c r="J345" s="95" t="n"/>
      <c r="K345" s="213" t="n"/>
      <c r="L345" s="213" t="n"/>
      <c r="M345" s="213" t="n"/>
      <c r="N345" s="213" t="n"/>
      <c r="O345" s="213" t="n"/>
      <c r="P345" s="213" t="n"/>
      <c r="Q345" s="213" t="n"/>
      <c r="R345" s="213" t="n"/>
      <c r="S345" s="213" t="n"/>
      <c r="T345" s="213" t="n"/>
      <c r="U345" s="213" t="n"/>
      <c r="V345" s="213" t="n"/>
      <c r="W345" s="213" t="n"/>
      <c r="X345" s="213" t="n"/>
      <c r="Y345" s="213" t="n"/>
      <c r="Z345" s="213" t="n"/>
      <c r="AA345" s="213" t="n"/>
      <c r="AB345" s="213" t="n"/>
      <c r="AC345" s="213" t="n"/>
      <c r="AD345" s="213" t="n"/>
      <c r="AE345" s="213" t="n"/>
      <c r="AF345" s="213" t="n"/>
      <c r="AG345" s="213" t="n"/>
      <c r="AH345" s="213" t="n"/>
      <c r="AI345" s="213" t="n"/>
      <c r="AJ345" s="213" t="n"/>
      <c r="AK345" s="213" t="n"/>
    </row>
    <row r="346">
      <c r="B346" s="94" t="n"/>
      <c r="C346" s="88" t="n"/>
      <c r="D346" s="88" t="n"/>
      <c r="E346" s="88" t="n"/>
      <c r="F346" s="88" t="n"/>
      <c r="G346" s="88" t="n"/>
      <c r="H346" s="94" t="n"/>
      <c r="I346" s="4" t="n"/>
      <c r="J346" s="95" t="n"/>
      <c r="K346" s="213" t="n"/>
      <c r="L346" s="213" t="n"/>
      <c r="M346" s="213" t="n"/>
      <c r="N346" s="213" t="n"/>
      <c r="O346" s="213" t="n"/>
      <c r="P346" s="213" t="n"/>
      <c r="Q346" s="213" t="n"/>
      <c r="R346" s="213" t="n"/>
      <c r="S346" s="213" t="n"/>
      <c r="T346" s="213" t="n"/>
      <c r="U346" s="213" t="n"/>
      <c r="V346" s="213" t="n"/>
      <c r="W346" s="213" t="n"/>
      <c r="X346" s="213" t="n"/>
      <c r="Y346" s="213" t="n"/>
      <c r="Z346" s="213" t="n"/>
      <c r="AA346" s="213" t="n"/>
      <c r="AB346" s="213" t="n"/>
      <c r="AC346" s="213" t="n"/>
      <c r="AD346" s="213" t="n"/>
      <c r="AE346" s="213" t="n"/>
      <c r="AF346" s="213" t="n"/>
      <c r="AG346" s="213" t="n"/>
      <c r="AH346" s="213" t="n"/>
      <c r="AI346" s="213" t="n"/>
      <c r="AJ346" s="213" t="n"/>
      <c r="AK346" s="213" t="n"/>
    </row>
    <row r="347">
      <c r="B347" s="94" t="n"/>
      <c r="C347" s="88" t="n"/>
      <c r="D347" s="88" t="n"/>
      <c r="E347" s="88" t="n"/>
      <c r="F347" s="88" t="n"/>
      <c r="G347" s="88" t="n"/>
      <c r="H347" s="94" t="n"/>
      <c r="I347" s="4" t="n"/>
      <c r="J347" s="95" t="n"/>
      <c r="K347" s="213" t="n"/>
      <c r="L347" s="213" t="n"/>
      <c r="M347" s="213" t="n"/>
      <c r="N347" s="213" t="n"/>
      <c r="O347" s="213" t="n"/>
      <c r="P347" s="213" t="n"/>
      <c r="Q347" s="213" t="n"/>
      <c r="R347" s="213" t="n"/>
      <c r="S347" s="213" t="n"/>
      <c r="T347" s="213" t="n"/>
      <c r="U347" s="213" t="n"/>
      <c r="V347" s="213" t="n"/>
      <c r="W347" s="213" t="n"/>
      <c r="X347" s="213" t="n"/>
      <c r="Y347" s="213" t="n"/>
      <c r="Z347" s="213" t="n"/>
      <c r="AA347" s="213" t="n"/>
      <c r="AB347" s="213" t="n"/>
      <c r="AC347" s="213" t="n"/>
      <c r="AD347" s="213" t="n"/>
      <c r="AE347" s="213" t="n"/>
      <c r="AF347" s="213" t="n"/>
      <c r="AG347" s="213" t="n"/>
      <c r="AH347" s="213" t="n"/>
      <c r="AI347" s="213" t="n"/>
      <c r="AJ347" s="213" t="n"/>
      <c r="AK347" s="213" t="n"/>
    </row>
    <row r="348">
      <c r="B348" s="94" t="n"/>
      <c r="C348" s="88" t="n"/>
      <c r="D348" s="88" t="n"/>
      <c r="E348" s="88" t="n"/>
      <c r="F348" s="88" t="n"/>
      <c r="G348" s="88" t="n"/>
      <c r="H348" s="94" t="n"/>
      <c r="I348" s="4" t="n"/>
      <c r="J348" s="95" t="n"/>
      <c r="K348" s="213" t="n"/>
      <c r="L348" s="213" t="n"/>
      <c r="M348" s="213" t="n"/>
      <c r="N348" s="213" t="n"/>
      <c r="O348" s="213" t="n"/>
      <c r="P348" s="213" t="n"/>
      <c r="Q348" s="213" t="n"/>
      <c r="R348" s="213" t="n"/>
      <c r="S348" s="213" t="n"/>
      <c r="T348" s="213" t="n"/>
      <c r="U348" s="213" t="n"/>
      <c r="V348" s="213" t="n"/>
      <c r="W348" s="213" t="n"/>
      <c r="X348" s="213" t="n"/>
      <c r="Y348" s="213" t="n"/>
      <c r="Z348" s="213" t="n"/>
      <c r="AA348" s="213" t="n"/>
      <c r="AB348" s="213" t="n"/>
      <c r="AC348" s="213" t="n"/>
      <c r="AD348" s="213" t="n"/>
      <c r="AE348" s="213" t="n"/>
      <c r="AF348" s="213" t="n"/>
      <c r="AG348" s="213" t="n"/>
      <c r="AH348" s="213" t="n"/>
      <c r="AI348" s="213" t="n"/>
      <c r="AJ348" s="213" t="n"/>
      <c r="AK348" s="213" t="n"/>
    </row>
    <row r="349">
      <c r="B349" s="94" t="n"/>
      <c r="C349" s="88" t="n"/>
      <c r="D349" s="88" t="n"/>
      <c r="E349" s="88" t="n"/>
      <c r="F349" s="88" t="n"/>
      <c r="G349" s="88" t="n"/>
      <c r="H349" s="94" t="n"/>
      <c r="I349" s="4" t="n"/>
      <c r="J349" s="95" t="n"/>
      <c r="K349" s="213" t="n"/>
      <c r="L349" s="213" t="n"/>
      <c r="M349" s="213" t="n"/>
      <c r="N349" s="213" t="n"/>
      <c r="O349" s="213" t="n"/>
      <c r="P349" s="213" t="n"/>
      <c r="Q349" s="213" t="n"/>
      <c r="R349" s="213" t="n"/>
      <c r="S349" s="213" t="n"/>
      <c r="T349" s="213" t="n"/>
      <c r="U349" s="213" t="n"/>
      <c r="V349" s="213" t="n"/>
      <c r="W349" s="213" t="n"/>
      <c r="X349" s="213" t="n"/>
      <c r="Y349" s="213" t="n"/>
      <c r="Z349" s="213" t="n"/>
      <c r="AA349" s="213" t="n"/>
      <c r="AB349" s="213" t="n"/>
      <c r="AC349" s="213" t="n"/>
      <c r="AD349" s="213" t="n"/>
      <c r="AE349" s="213" t="n"/>
      <c r="AF349" s="213" t="n"/>
      <c r="AG349" s="213" t="n"/>
      <c r="AH349" s="213" t="n"/>
      <c r="AI349" s="213" t="n"/>
      <c r="AJ349" s="213" t="n"/>
      <c r="AK349" s="213" t="n"/>
    </row>
    <row r="350">
      <c r="B350" s="94" t="n"/>
      <c r="C350" s="88" t="n"/>
      <c r="D350" s="88" t="n"/>
      <c r="E350" s="88" t="n"/>
      <c r="F350" s="88" t="n"/>
      <c r="G350" s="88" t="n"/>
      <c r="H350" s="94" t="n"/>
      <c r="I350" s="4" t="n"/>
      <c r="J350" s="95" t="n"/>
      <c r="K350" s="213" t="n"/>
      <c r="L350" s="213" t="n"/>
      <c r="M350" s="213" t="n"/>
      <c r="N350" s="213" t="n"/>
      <c r="O350" s="213" t="n"/>
      <c r="P350" s="213" t="n"/>
      <c r="Q350" s="213" t="n"/>
      <c r="R350" s="213" t="n"/>
      <c r="S350" s="213" t="n"/>
      <c r="T350" s="213" t="n"/>
      <c r="U350" s="213" t="n"/>
      <c r="V350" s="213" t="n"/>
      <c r="W350" s="213" t="n"/>
      <c r="X350" s="213" t="n"/>
      <c r="Y350" s="213" t="n"/>
      <c r="Z350" s="213" t="n"/>
      <c r="AA350" s="213" t="n"/>
      <c r="AB350" s="213" t="n"/>
      <c r="AC350" s="213" t="n"/>
      <c r="AD350" s="213" t="n"/>
      <c r="AE350" s="213" t="n"/>
      <c r="AF350" s="213" t="n"/>
      <c r="AG350" s="213" t="n"/>
      <c r="AH350" s="213" t="n"/>
      <c r="AI350" s="213" t="n"/>
      <c r="AJ350" s="213" t="n"/>
      <c r="AK350" s="213" t="n"/>
    </row>
    <row r="351">
      <c r="B351" s="94" t="n"/>
      <c r="C351" s="88" t="n"/>
      <c r="D351" s="88" t="n"/>
      <c r="E351" s="88" t="n"/>
      <c r="F351" s="88" t="n"/>
      <c r="G351" s="88" t="n"/>
      <c r="H351" s="94" t="n"/>
      <c r="I351" s="4" t="n"/>
      <c r="J351" s="95" t="n"/>
      <c r="K351" s="213" t="n"/>
      <c r="L351" s="213" t="n"/>
      <c r="M351" s="213" t="n"/>
      <c r="N351" s="213" t="n"/>
      <c r="O351" s="213" t="n"/>
      <c r="P351" s="213" t="n"/>
      <c r="Q351" s="213" t="n"/>
      <c r="R351" s="213" t="n"/>
      <c r="S351" s="213" t="n"/>
      <c r="T351" s="213" t="n"/>
      <c r="U351" s="213" t="n"/>
      <c r="V351" s="213" t="n"/>
      <c r="W351" s="213" t="n"/>
      <c r="X351" s="213" t="n"/>
      <c r="Y351" s="213" t="n"/>
      <c r="Z351" s="213" t="n"/>
      <c r="AA351" s="213" t="n"/>
      <c r="AB351" s="213" t="n"/>
      <c r="AC351" s="213" t="n"/>
      <c r="AD351" s="213" t="n"/>
      <c r="AE351" s="213" t="n"/>
      <c r="AF351" s="213" t="n"/>
      <c r="AG351" s="213" t="n"/>
      <c r="AH351" s="213" t="n"/>
      <c r="AI351" s="213" t="n"/>
      <c r="AJ351" s="213" t="n"/>
      <c r="AK351" s="213" t="n"/>
    </row>
    <row r="352">
      <c r="B352" s="94" t="n"/>
      <c r="C352" s="88" t="n"/>
      <c r="D352" s="88" t="n"/>
      <c r="E352" s="88" t="n"/>
      <c r="F352" s="88" t="n"/>
      <c r="G352" s="88" t="n"/>
      <c r="H352" s="94" t="n"/>
      <c r="I352" s="4" t="n"/>
      <c r="J352" s="95" t="n"/>
      <c r="K352" s="213" t="n"/>
      <c r="L352" s="213" t="n"/>
      <c r="M352" s="213" t="n"/>
      <c r="N352" s="213" t="n"/>
      <c r="O352" s="213" t="n"/>
      <c r="P352" s="213" t="n"/>
      <c r="Q352" s="213" t="n"/>
      <c r="R352" s="213" t="n"/>
      <c r="S352" s="213" t="n"/>
      <c r="T352" s="213" t="n"/>
      <c r="U352" s="213" t="n"/>
      <c r="V352" s="213" t="n"/>
      <c r="W352" s="213" t="n"/>
      <c r="X352" s="213" t="n"/>
      <c r="Y352" s="213" t="n"/>
      <c r="Z352" s="213" t="n"/>
      <c r="AA352" s="213" t="n"/>
      <c r="AB352" s="213" t="n"/>
      <c r="AC352" s="213" t="n"/>
      <c r="AD352" s="213" t="n"/>
      <c r="AE352" s="213" t="n"/>
      <c r="AF352" s="213" t="n"/>
      <c r="AG352" s="213" t="n"/>
      <c r="AH352" s="213" t="n"/>
      <c r="AI352" s="213" t="n"/>
      <c r="AJ352" s="213" t="n"/>
      <c r="AK352" s="213" t="n"/>
    </row>
    <row r="353">
      <c r="B353" s="94" t="n"/>
      <c r="C353" s="88" t="n"/>
      <c r="D353" s="88" t="n"/>
      <c r="E353" s="88" t="n"/>
      <c r="F353" s="88" t="n"/>
      <c r="G353" s="88" t="n"/>
      <c r="H353" s="94" t="n"/>
      <c r="I353" s="4" t="n"/>
      <c r="J353" s="95" t="n"/>
      <c r="K353" s="213" t="n"/>
      <c r="L353" s="213" t="n"/>
      <c r="M353" s="213" t="n"/>
      <c r="N353" s="213" t="n"/>
      <c r="O353" s="213" t="n"/>
      <c r="P353" s="213" t="n"/>
      <c r="Q353" s="213" t="n"/>
      <c r="R353" s="213" t="n"/>
      <c r="S353" s="213" t="n"/>
      <c r="T353" s="213" t="n"/>
      <c r="U353" s="213" t="n"/>
      <c r="V353" s="213" t="n"/>
      <c r="W353" s="213" t="n"/>
      <c r="X353" s="213" t="n"/>
      <c r="Y353" s="213" t="n"/>
      <c r="Z353" s="213" t="n"/>
      <c r="AA353" s="213" t="n"/>
      <c r="AB353" s="213" t="n"/>
      <c r="AC353" s="213" t="n"/>
      <c r="AD353" s="213" t="n"/>
      <c r="AE353" s="213" t="n"/>
      <c r="AF353" s="213" t="n"/>
      <c r="AG353" s="213" t="n"/>
      <c r="AH353" s="213" t="n"/>
      <c r="AI353" s="213" t="n"/>
      <c r="AJ353" s="213" t="n"/>
      <c r="AK353" s="213" t="n"/>
    </row>
    <row r="354">
      <c r="B354" s="94" t="n"/>
      <c r="C354" s="88" t="n"/>
      <c r="D354" s="88" t="n"/>
      <c r="E354" s="88" t="n"/>
      <c r="F354" s="88" t="n"/>
      <c r="G354" s="88" t="n"/>
      <c r="H354" s="94" t="n"/>
      <c r="I354" s="4" t="n"/>
      <c r="J354" s="95" t="n"/>
      <c r="K354" s="213" t="n"/>
      <c r="L354" s="213" t="n"/>
      <c r="M354" s="213" t="n"/>
      <c r="N354" s="213" t="n"/>
      <c r="O354" s="213" t="n"/>
      <c r="P354" s="213" t="n"/>
      <c r="Q354" s="213" t="n"/>
      <c r="R354" s="213" t="n"/>
      <c r="S354" s="213" t="n"/>
      <c r="T354" s="213" t="n"/>
      <c r="U354" s="213" t="n"/>
      <c r="V354" s="213" t="n"/>
      <c r="W354" s="213" t="n"/>
      <c r="X354" s="213" t="n"/>
      <c r="Y354" s="213" t="n"/>
      <c r="Z354" s="213" t="n"/>
      <c r="AA354" s="213" t="n"/>
      <c r="AB354" s="213" t="n"/>
      <c r="AC354" s="213" t="n"/>
      <c r="AD354" s="213" t="n"/>
      <c r="AE354" s="213" t="n"/>
      <c r="AF354" s="213" t="n"/>
      <c r="AG354" s="213" t="n"/>
      <c r="AH354" s="213" t="n"/>
      <c r="AI354" s="213" t="n"/>
      <c r="AJ354" s="213" t="n"/>
      <c r="AK354" s="213" t="n"/>
    </row>
    <row r="355">
      <c r="B355" s="94" t="n"/>
      <c r="C355" s="88" t="n"/>
      <c r="D355" s="88" t="n"/>
      <c r="E355" s="88" t="n"/>
      <c r="F355" s="88" t="n"/>
      <c r="G355" s="88" t="n"/>
      <c r="H355" s="94" t="n"/>
      <c r="I355" s="4" t="n"/>
      <c r="J355" s="95" t="n"/>
      <c r="K355" s="213" t="n"/>
      <c r="L355" s="213" t="n"/>
      <c r="M355" s="213" t="n"/>
      <c r="N355" s="213" t="n"/>
      <c r="O355" s="213" t="n"/>
      <c r="P355" s="213" t="n"/>
      <c r="Q355" s="213" t="n"/>
      <c r="R355" s="213" t="n"/>
      <c r="S355" s="213" t="n"/>
      <c r="T355" s="213" t="n"/>
      <c r="U355" s="213" t="n"/>
      <c r="V355" s="213" t="n"/>
      <c r="W355" s="213" t="n"/>
      <c r="X355" s="213" t="n"/>
      <c r="Y355" s="213" t="n"/>
      <c r="Z355" s="213" t="n"/>
      <c r="AA355" s="213" t="n"/>
      <c r="AB355" s="213" t="n"/>
      <c r="AC355" s="213" t="n"/>
      <c r="AD355" s="213" t="n"/>
      <c r="AE355" s="213" t="n"/>
      <c r="AF355" s="213" t="n"/>
      <c r="AG355" s="213" t="n"/>
      <c r="AH355" s="213" t="n"/>
      <c r="AI355" s="213" t="n"/>
      <c r="AJ355" s="213" t="n"/>
      <c r="AK355" s="213" t="n"/>
    </row>
    <row r="356">
      <c r="B356" s="94" t="n"/>
      <c r="C356" s="88" t="n"/>
      <c r="D356" s="88" t="n"/>
      <c r="E356" s="88" t="n"/>
      <c r="F356" s="88" t="n"/>
      <c r="G356" s="88" t="n"/>
      <c r="H356" s="94" t="n"/>
      <c r="I356" s="4" t="n"/>
      <c r="J356" s="95" t="n"/>
      <c r="K356" s="213" t="n"/>
      <c r="L356" s="213" t="n"/>
      <c r="M356" s="213" t="n"/>
      <c r="N356" s="213" t="n"/>
      <c r="O356" s="213" t="n"/>
      <c r="P356" s="213" t="n"/>
      <c r="Q356" s="213" t="n"/>
      <c r="R356" s="213" t="n"/>
      <c r="S356" s="213" t="n"/>
      <c r="T356" s="213" t="n"/>
      <c r="U356" s="213" t="n"/>
      <c r="V356" s="213" t="n"/>
      <c r="W356" s="213" t="n"/>
      <c r="X356" s="213" t="n"/>
      <c r="Y356" s="213" t="n"/>
      <c r="Z356" s="213" t="n"/>
      <c r="AA356" s="213" t="n"/>
      <c r="AB356" s="213" t="n"/>
      <c r="AC356" s="213" t="n"/>
      <c r="AD356" s="213" t="n"/>
      <c r="AE356" s="213" t="n"/>
      <c r="AF356" s="213" t="n"/>
      <c r="AG356" s="213" t="n"/>
      <c r="AH356" s="213" t="n"/>
      <c r="AI356" s="213" t="n"/>
      <c r="AJ356" s="213" t="n"/>
      <c r="AK356" s="213" t="n"/>
    </row>
    <row r="357">
      <c r="B357" s="94" t="n"/>
      <c r="C357" s="88" t="n"/>
      <c r="D357" s="88" t="n"/>
      <c r="E357" s="88" t="n"/>
      <c r="F357" s="88" t="n"/>
      <c r="G357" s="88" t="n"/>
      <c r="H357" s="94" t="n"/>
      <c r="I357" s="4" t="n"/>
      <c r="J357" s="95" t="n"/>
      <c r="K357" s="213" t="n"/>
      <c r="L357" s="213" t="n"/>
      <c r="M357" s="213" t="n"/>
      <c r="N357" s="213" t="n"/>
      <c r="O357" s="213" t="n"/>
      <c r="P357" s="213" t="n"/>
      <c r="Q357" s="213" t="n"/>
      <c r="R357" s="213" t="n"/>
      <c r="S357" s="213" t="n"/>
      <c r="T357" s="213" t="n"/>
      <c r="U357" s="213" t="n"/>
      <c r="V357" s="213" t="n"/>
      <c r="W357" s="213" t="n"/>
      <c r="X357" s="213" t="n"/>
      <c r="Y357" s="213" t="n"/>
      <c r="Z357" s="213" t="n"/>
      <c r="AA357" s="213" t="n"/>
      <c r="AB357" s="213" t="n"/>
      <c r="AC357" s="213" t="n"/>
      <c r="AD357" s="213" t="n"/>
      <c r="AE357" s="213" t="n"/>
      <c r="AF357" s="213" t="n"/>
      <c r="AG357" s="213" t="n"/>
      <c r="AH357" s="213" t="n"/>
      <c r="AI357" s="213" t="n"/>
      <c r="AJ357" s="213" t="n"/>
      <c r="AK357" s="213" t="n"/>
    </row>
    <row r="358">
      <c r="B358" s="94" t="n"/>
      <c r="C358" s="88" t="n"/>
      <c r="D358" s="88" t="n"/>
      <c r="E358" s="88" t="n"/>
      <c r="F358" s="88" t="n"/>
      <c r="G358" s="88" t="n"/>
      <c r="H358" s="94" t="n"/>
      <c r="I358" s="4" t="n"/>
      <c r="J358" s="95" t="n"/>
      <c r="K358" s="213" t="n"/>
      <c r="L358" s="213" t="n"/>
      <c r="M358" s="213" t="n"/>
      <c r="N358" s="213" t="n"/>
      <c r="O358" s="213" t="n"/>
      <c r="P358" s="213" t="n"/>
      <c r="Q358" s="213" t="n"/>
      <c r="R358" s="213" t="n"/>
      <c r="S358" s="213" t="n"/>
      <c r="T358" s="213" t="n"/>
      <c r="U358" s="213" t="n"/>
      <c r="V358" s="213" t="n"/>
      <c r="W358" s="213" t="n"/>
      <c r="X358" s="213" t="n"/>
      <c r="Y358" s="213" t="n"/>
      <c r="Z358" s="213" t="n"/>
      <c r="AA358" s="213" t="n"/>
      <c r="AB358" s="213" t="n"/>
      <c r="AC358" s="213" t="n"/>
      <c r="AD358" s="213" t="n"/>
      <c r="AE358" s="213" t="n"/>
      <c r="AF358" s="213" t="n"/>
      <c r="AG358" s="213" t="n"/>
      <c r="AH358" s="213" t="n"/>
      <c r="AI358" s="213" t="n"/>
      <c r="AJ358" s="213" t="n"/>
      <c r="AK358" s="213" t="n"/>
    </row>
    <row r="359">
      <c r="B359" s="94" t="n"/>
      <c r="C359" s="88" t="n"/>
      <c r="D359" s="88" t="n"/>
      <c r="E359" s="88" t="n"/>
      <c r="F359" s="88" t="n"/>
      <c r="G359" s="88" t="n"/>
      <c r="H359" s="94" t="n"/>
      <c r="I359" s="4" t="n"/>
      <c r="J359" s="95" t="n"/>
      <c r="K359" s="213" t="n"/>
      <c r="L359" s="213" t="n"/>
      <c r="M359" s="213" t="n"/>
      <c r="N359" s="213" t="n"/>
      <c r="O359" s="213" t="n"/>
      <c r="P359" s="213" t="n"/>
      <c r="Q359" s="213" t="n"/>
      <c r="R359" s="213" t="n"/>
      <c r="S359" s="213" t="n"/>
      <c r="T359" s="213" t="n"/>
      <c r="U359" s="213" t="n"/>
      <c r="V359" s="213" t="n"/>
      <c r="W359" s="213" t="n"/>
      <c r="X359" s="213" t="n"/>
      <c r="Y359" s="213" t="n"/>
      <c r="Z359" s="213" t="n"/>
      <c r="AA359" s="213" t="n"/>
      <c r="AB359" s="213" t="n"/>
      <c r="AC359" s="213" t="n"/>
      <c r="AD359" s="213" t="n"/>
      <c r="AE359" s="213" t="n"/>
      <c r="AF359" s="213" t="n"/>
      <c r="AG359" s="213" t="n"/>
      <c r="AH359" s="213" t="n"/>
      <c r="AI359" s="213" t="n"/>
      <c r="AJ359" s="213" t="n"/>
      <c r="AK359" s="213" t="n"/>
    </row>
    <row r="360">
      <c r="B360" s="94" t="n"/>
      <c r="C360" s="88" t="n"/>
      <c r="D360" s="88" t="n"/>
      <c r="E360" s="88" t="n"/>
      <c r="F360" s="88" t="n"/>
      <c r="G360" s="88" t="n"/>
      <c r="H360" s="94" t="n"/>
      <c r="I360" s="4" t="n"/>
      <c r="J360" s="95" t="n"/>
      <c r="K360" s="213" t="n"/>
      <c r="L360" s="213" t="n"/>
      <c r="M360" s="213" t="n"/>
      <c r="N360" s="213" t="n"/>
      <c r="O360" s="213" t="n"/>
      <c r="P360" s="213" t="n"/>
      <c r="Q360" s="213" t="n"/>
      <c r="R360" s="213" t="n"/>
      <c r="S360" s="213" t="n"/>
      <c r="T360" s="213" t="n"/>
      <c r="U360" s="213" t="n"/>
      <c r="V360" s="213" t="n"/>
      <c r="W360" s="213" t="n"/>
      <c r="X360" s="213" t="n"/>
      <c r="Y360" s="213" t="n"/>
      <c r="Z360" s="213" t="n"/>
      <c r="AA360" s="213" t="n"/>
      <c r="AB360" s="213" t="n"/>
      <c r="AC360" s="213" t="n"/>
      <c r="AD360" s="213" t="n"/>
      <c r="AE360" s="213" t="n"/>
      <c r="AF360" s="213" t="n"/>
      <c r="AG360" s="213" t="n"/>
      <c r="AH360" s="213" t="n"/>
      <c r="AI360" s="213" t="n"/>
      <c r="AJ360" s="213" t="n"/>
      <c r="AK360" s="213" t="n"/>
    </row>
    <row r="361">
      <c r="B361" s="94" t="n"/>
      <c r="C361" s="88" t="n"/>
      <c r="D361" s="88" t="n"/>
      <c r="E361" s="88" t="n"/>
      <c r="F361" s="88" t="n"/>
      <c r="G361" s="88" t="n"/>
      <c r="H361" s="94" t="n"/>
      <c r="I361" s="4" t="n"/>
      <c r="J361" s="95" t="n"/>
      <c r="K361" s="213" t="n"/>
      <c r="L361" s="213" t="n"/>
      <c r="M361" s="213" t="n"/>
      <c r="N361" s="213" t="n"/>
      <c r="O361" s="213" t="n"/>
      <c r="P361" s="213" t="n"/>
      <c r="Q361" s="213" t="n"/>
      <c r="R361" s="213" t="n"/>
      <c r="S361" s="213" t="n"/>
      <c r="T361" s="213" t="n"/>
      <c r="U361" s="213" t="n"/>
      <c r="V361" s="213" t="n"/>
      <c r="W361" s="213" t="n"/>
      <c r="X361" s="213" t="n"/>
      <c r="Y361" s="213" t="n"/>
      <c r="Z361" s="213" t="n"/>
      <c r="AA361" s="213" t="n"/>
      <c r="AB361" s="213" t="n"/>
      <c r="AC361" s="213" t="n"/>
      <c r="AD361" s="213" t="n"/>
      <c r="AE361" s="213" t="n"/>
      <c r="AF361" s="213" t="n"/>
      <c r="AG361" s="213" t="n"/>
      <c r="AH361" s="213" t="n"/>
      <c r="AI361" s="213" t="n"/>
      <c r="AJ361" s="213" t="n"/>
      <c r="AK361" s="213" t="n"/>
    </row>
    <row r="362">
      <c r="B362" s="94" t="n"/>
      <c r="C362" s="88" t="n"/>
      <c r="D362" s="88" t="n"/>
      <c r="E362" s="88" t="n"/>
      <c r="F362" s="88" t="n"/>
      <c r="G362" s="88" t="n"/>
      <c r="H362" s="94" t="n"/>
      <c r="I362" s="4" t="n"/>
      <c r="J362" s="95" t="n"/>
      <c r="K362" s="213" t="n"/>
      <c r="L362" s="213" t="n"/>
      <c r="M362" s="213" t="n"/>
      <c r="N362" s="213" t="n"/>
      <c r="O362" s="213" t="n"/>
      <c r="P362" s="213" t="n"/>
      <c r="Q362" s="213" t="n"/>
      <c r="R362" s="213" t="n"/>
      <c r="S362" s="213" t="n"/>
      <c r="T362" s="213" t="n"/>
      <c r="U362" s="213" t="n"/>
      <c r="V362" s="213" t="n"/>
      <c r="W362" s="213" t="n"/>
      <c r="X362" s="213" t="n"/>
      <c r="Y362" s="213" t="n"/>
      <c r="Z362" s="213" t="n"/>
      <c r="AA362" s="213" t="n"/>
      <c r="AB362" s="213" t="n"/>
      <c r="AC362" s="213" t="n"/>
      <c r="AD362" s="213" t="n"/>
      <c r="AE362" s="213" t="n"/>
      <c r="AF362" s="213" t="n"/>
      <c r="AG362" s="213" t="n"/>
      <c r="AH362" s="213" t="n"/>
      <c r="AI362" s="213" t="n"/>
      <c r="AJ362" s="213" t="n"/>
      <c r="AK362" s="213" t="n"/>
    </row>
    <row r="363">
      <c r="B363" s="94" t="n"/>
      <c r="C363" s="88" t="n"/>
      <c r="D363" s="88" t="n"/>
      <c r="E363" s="88" t="n"/>
      <c r="F363" s="88" t="n"/>
      <c r="G363" s="88" t="n"/>
      <c r="H363" s="94" t="n"/>
      <c r="I363" s="4" t="n"/>
      <c r="J363" s="95" t="n"/>
      <c r="K363" s="213" t="n"/>
      <c r="L363" s="213" t="n"/>
      <c r="M363" s="213" t="n"/>
      <c r="N363" s="213" t="n"/>
      <c r="O363" s="213" t="n"/>
      <c r="P363" s="213" t="n"/>
      <c r="Q363" s="213" t="n"/>
      <c r="R363" s="213" t="n"/>
      <c r="S363" s="213" t="n"/>
      <c r="T363" s="213" t="n"/>
      <c r="U363" s="213" t="n"/>
      <c r="V363" s="213" t="n"/>
      <c r="W363" s="213" t="n"/>
      <c r="X363" s="213" t="n"/>
      <c r="Y363" s="213" t="n"/>
      <c r="Z363" s="213" t="n"/>
      <c r="AA363" s="213" t="n"/>
      <c r="AB363" s="213" t="n"/>
      <c r="AC363" s="213" t="n"/>
      <c r="AD363" s="213" t="n"/>
      <c r="AE363" s="213" t="n"/>
      <c r="AF363" s="213" t="n"/>
      <c r="AG363" s="213" t="n"/>
      <c r="AH363" s="213" t="n"/>
      <c r="AI363" s="213" t="n"/>
      <c r="AJ363" s="213" t="n"/>
      <c r="AK363" s="213" t="n"/>
    </row>
    <row r="364">
      <c r="B364" s="94" t="n"/>
      <c r="C364" s="88" t="n"/>
      <c r="D364" s="88" t="n"/>
      <c r="E364" s="88" t="n"/>
      <c r="F364" s="88" t="n"/>
      <c r="G364" s="88" t="n"/>
      <c r="H364" s="94" t="n"/>
      <c r="I364" s="4" t="n"/>
      <c r="J364" s="95" t="n"/>
      <c r="K364" s="213" t="n"/>
      <c r="L364" s="213" t="n"/>
      <c r="M364" s="213" t="n"/>
      <c r="N364" s="213" t="n"/>
      <c r="O364" s="213" t="n"/>
      <c r="P364" s="213" t="n"/>
      <c r="Q364" s="213" t="n"/>
      <c r="R364" s="213" t="n"/>
      <c r="S364" s="213" t="n"/>
      <c r="T364" s="213" t="n"/>
      <c r="U364" s="213" t="n"/>
      <c r="V364" s="213" t="n"/>
      <c r="W364" s="213" t="n"/>
      <c r="X364" s="213" t="n"/>
      <c r="Y364" s="213" t="n"/>
      <c r="Z364" s="213" t="n"/>
      <c r="AA364" s="213" t="n"/>
      <c r="AB364" s="213" t="n"/>
      <c r="AC364" s="213" t="n"/>
      <c r="AD364" s="213" t="n"/>
      <c r="AE364" s="213" t="n"/>
      <c r="AF364" s="213" t="n"/>
      <c r="AG364" s="213" t="n"/>
      <c r="AH364" s="213" t="n"/>
      <c r="AI364" s="213" t="n"/>
      <c r="AJ364" s="213" t="n"/>
      <c r="AK364" s="213" t="n"/>
    </row>
    <row r="365">
      <c r="B365" s="94" t="n"/>
      <c r="C365" s="88" t="n"/>
      <c r="D365" s="88" t="n"/>
      <c r="E365" s="88" t="n"/>
      <c r="F365" s="88" t="n"/>
      <c r="G365" s="88" t="n"/>
      <c r="H365" s="94" t="n"/>
      <c r="I365" s="4" t="n"/>
      <c r="J365" s="95" t="n"/>
      <c r="K365" s="213" t="n"/>
      <c r="L365" s="213" t="n"/>
      <c r="M365" s="213" t="n"/>
      <c r="N365" s="213" t="n"/>
      <c r="O365" s="213" t="n"/>
      <c r="P365" s="213" t="n"/>
      <c r="Q365" s="213" t="n"/>
      <c r="R365" s="213" t="n"/>
      <c r="S365" s="213" t="n"/>
      <c r="T365" s="213" t="n"/>
      <c r="U365" s="213" t="n"/>
      <c r="V365" s="213" t="n"/>
      <c r="W365" s="213" t="n"/>
      <c r="X365" s="213" t="n"/>
      <c r="Y365" s="213" t="n"/>
      <c r="Z365" s="213" t="n"/>
      <c r="AA365" s="213" t="n"/>
      <c r="AB365" s="213" t="n"/>
      <c r="AC365" s="213" t="n"/>
      <c r="AD365" s="213" t="n"/>
      <c r="AE365" s="213" t="n"/>
      <c r="AF365" s="213" t="n"/>
      <c r="AG365" s="213" t="n"/>
      <c r="AH365" s="213" t="n"/>
      <c r="AI365" s="213" t="n"/>
      <c r="AJ365" s="213" t="n"/>
      <c r="AK365" s="213" t="n"/>
    </row>
    <row r="366">
      <c r="B366" s="94" t="n"/>
      <c r="C366" s="88" t="n"/>
      <c r="D366" s="88" t="n"/>
      <c r="E366" s="88" t="n"/>
      <c r="F366" s="88" t="n"/>
      <c r="G366" s="88" t="n"/>
      <c r="H366" s="94" t="n"/>
      <c r="I366" s="4" t="n"/>
      <c r="J366" s="95" t="n"/>
      <c r="K366" s="213" t="n"/>
      <c r="L366" s="213" t="n"/>
      <c r="M366" s="213" t="n"/>
      <c r="N366" s="213" t="n"/>
      <c r="O366" s="213" t="n"/>
      <c r="P366" s="213" t="n"/>
      <c r="Q366" s="213" t="n"/>
      <c r="R366" s="213" t="n"/>
      <c r="S366" s="213" t="n"/>
      <c r="T366" s="213" t="n"/>
      <c r="U366" s="213" t="n"/>
      <c r="V366" s="213" t="n"/>
      <c r="W366" s="213" t="n"/>
      <c r="X366" s="213" t="n"/>
      <c r="Y366" s="213" t="n"/>
      <c r="Z366" s="213" t="n"/>
      <c r="AA366" s="213" t="n"/>
      <c r="AB366" s="213" t="n"/>
      <c r="AC366" s="213" t="n"/>
      <c r="AD366" s="213" t="n"/>
      <c r="AE366" s="213" t="n"/>
      <c r="AF366" s="213" t="n"/>
      <c r="AG366" s="213" t="n"/>
      <c r="AH366" s="213" t="n"/>
      <c r="AI366" s="213" t="n"/>
      <c r="AJ366" s="213" t="n"/>
      <c r="AK366" s="213" t="n"/>
    </row>
    <row r="367">
      <c r="B367" s="94" t="n"/>
      <c r="C367" s="88" t="n"/>
      <c r="D367" s="88" t="n"/>
      <c r="E367" s="88" t="n"/>
      <c r="F367" s="88" t="n"/>
      <c r="G367" s="88" t="n"/>
      <c r="H367" s="94" t="n"/>
      <c r="I367" s="4" t="n"/>
      <c r="J367" s="95" t="n"/>
      <c r="K367" s="213" t="n"/>
      <c r="L367" s="213" t="n"/>
      <c r="M367" s="213" t="n"/>
      <c r="N367" s="213" t="n"/>
      <c r="O367" s="213" t="n"/>
      <c r="P367" s="213" t="n"/>
      <c r="Q367" s="213" t="n"/>
      <c r="R367" s="213" t="n"/>
      <c r="S367" s="213" t="n"/>
      <c r="T367" s="213" t="n"/>
      <c r="U367" s="213" t="n"/>
      <c r="V367" s="213" t="n"/>
      <c r="W367" s="213" t="n"/>
      <c r="X367" s="213" t="n"/>
      <c r="Y367" s="213" t="n"/>
      <c r="Z367" s="213" t="n"/>
      <c r="AA367" s="213" t="n"/>
      <c r="AB367" s="213" t="n"/>
      <c r="AC367" s="213" t="n"/>
      <c r="AD367" s="213" t="n"/>
      <c r="AE367" s="213" t="n"/>
      <c r="AF367" s="213" t="n"/>
      <c r="AG367" s="213" t="n"/>
      <c r="AH367" s="213" t="n"/>
      <c r="AI367" s="213" t="n"/>
      <c r="AJ367" s="213" t="n"/>
      <c r="AK367" s="213" t="n"/>
    </row>
    <row r="368">
      <c r="B368" s="94" t="n"/>
      <c r="C368" s="88" t="n"/>
      <c r="D368" s="88" t="n"/>
      <c r="E368" s="88" t="n"/>
      <c r="F368" s="88" t="n"/>
      <c r="G368" s="88" t="n"/>
      <c r="H368" s="94" t="n"/>
      <c r="I368" s="4" t="n"/>
      <c r="J368" s="95" t="n"/>
      <c r="K368" s="213" t="n"/>
      <c r="L368" s="213" t="n"/>
      <c r="M368" s="213" t="n"/>
      <c r="N368" s="213" t="n"/>
      <c r="O368" s="213" t="n"/>
      <c r="P368" s="213" t="n"/>
      <c r="Q368" s="213" t="n"/>
      <c r="R368" s="213" t="n"/>
      <c r="S368" s="213" t="n"/>
      <c r="T368" s="213" t="n"/>
      <c r="U368" s="213" t="n"/>
      <c r="V368" s="213" t="n"/>
      <c r="W368" s="213" t="n"/>
      <c r="X368" s="213" t="n"/>
      <c r="Y368" s="213" t="n"/>
      <c r="Z368" s="213" t="n"/>
      <c r="AA368" s="213" t="n"/>
      <c r="AB368" s="213" t="n"/>
      <c r="AC368" s="213" t="n"/>
      <c r="AD368" s="213" t="n"/>
      <c r="AE368" s="213" t="n"/>
      <c r="AF368" s="213" t="n"/>
      <c r="AG368" s="213" t="n"/>
      <c r="AH368" s="213" t="n"/>
      <c r="AI368" s="213" t="n"/>
      <c r="AJ368" s="213" t="n"/>
      <c r="AK368" s="213" t="n"/>
    </row>
    <row r="369">
      <c r="B369" s="94" t="n"/>
      <c r="C369" s="88" t="n"/>
      <c r="D369" s="88" t="n"/>
      <c r="E369" s="88" t="n"/>
      <c r="F369" s="88" t="n"/>
      <c r="G369" s="88" t="n"/>
      <c r="H369" s="94" t="n"/>
      <c r="I369" s="4" t="n"/>
      <c r="J369" s="95" t="n"/>
      <c r="K369" s="213" t="n"/>
      <c r="L369" s="213" t="n"/>
      <c r="M369" s="213" t="n"/>
      <c r="N369" s="213" t="n"/>
      <c r="O369" s="213" t="n"/>
      <c r="P369" s="213" t="n"/>
      <c r="Q369" s="213" t="n"/>
      <c r="R369" s="213" t="n"/>
      <c r="S369" s="213" t="n"/>
      <c r="T369" s="213" t="n"/>
      <c r="U369" s="213" t="n"/>
      <c r="V369" s="213" t="n"/>
      <c r="W369" s="213" t="n"/>
      <c r="X369" s="213" t="n"/>
      <c r="Y369" s="213" t="n"/>
      <c r="Z369" s="213" t="n"/>
      <c r="AA369" s="213" t="n"/>
      <c r="AB369" s="213" t="n"/>
      <c r="AC369" s="213" t="n"/>
      <c r="AD369" s="213" t="n"/>
      <c r="AE369" s="213" t="n"/>
      <c r="AF369" s="213" t="n"/>
      <c r="AG369" s="213" t="n"/>
      <c r="AH369" s="213" t="n"/>
      <c r="AI369" s="213" t="n"/>
      <c r="AJ369" s="213" t="n"/>
      <c r="AK369" s="213" t="n"/>
    </row>
    <row r="370">
      <c r="B370" s="94" t="n"/>
      <c r="C370" s="88" t="n"/>
      <c r="D370" s="88" t="n"/>
      <c r="E370" s="88" t="n"/>
      <c r="F370" s="88" t="n"/>
      <c r="G370" s="88" t="n"/>
      <c r="H370" s="94" t="n"/>
      <c r="I370" s="4" t="n"/>
      <c r="J370" s="95" t="n"/>
      <c r="K370" s="213" t="n"/>
      <c r="L370" s="213" t="n"/>
      <c r="M370" s="213" t="n"/>
      <c r="N370" s="213" t="n"/>
      <c r="O370" s="213" t="n"/>
      <c r="P370" s="213" t="n"/>
      <c r="Q370" s="213" t="n"/>
      <c r="R370" s="213" t="n"/>
      <c r="S370" s="213" t="n"/>
      <c r="T370" s="213" t="n"/>
      <c r="U370" s="213" t="n"/>
      <c r="V370" s="213" t="n"/>
      <c r="W370" s="213" t="n"/>
      <c r="X370" s="213" t="n"/>
      <c r="Y370" s="213" t="n"/>
      <c r="Z370" s="213" t="n"/>
      <c r="AA370" s="213" t="n"/>
      <c r="AB370" s="213" t="n"/>
      <c r="AC370" s="213" t="n"/>
      <c r="AD370" s="213" t="n"/>
      <c r="AE370" s="213" t="n"/>
      <c r="AF370" s="213" t="n"/>
      <c r="AG370" s="213" t="n"/>
      <c r="AH370" s="213" t="n"/>
      <c r="AI370" s="213" t="n"/>
      <c r="AJ370" s="213" t="n"/>
      <c r="AK370" s="213" t="n"/>
    </row>
    <row r="371">
      <c r="B371" s="94" t="n"/>
      <c r="C371" s="88" t="n"/>
      <c r="D371" s="88" t="n"/>
      <c r="E371" s="88" t="n"/>
      <c r="F371" s="88" t="n"/>
      <c r="G371" s="88" t="n"/>
      <c r="H371" s="94" t="n"/>
      <c r="I371" s="4" t="n"/>
      <c r="J371" s="95" t="n"/>
      <c r="K371" s="213" t="n"/>
      <c r="L371" s="213" t="n"/>
      <c r="M371" s="213" t="n"/>
      <c r="N371" s="213" t="n"/>
      <c r="O371" s="213" t="n"/>
      <c r="P371" s="213" t="n"/>
      <c r="Q371" s="213" t="n"/>
      <c r="R371" s="213" t="n"/>
      <c r="S371" s="213" t="n"/>
      <c r="T371" s="213" t="n"/>
      <c r="U371" s="213" t="n"/>
      <c r="V371" s="213" t="n"/>
      <c r="W371" s="213" t="n"/>
      <c r="X371" s="213" t="n"/>
      <c r="Y371" s="213" t="n"/>
      <c r="Z371" s="213" t="n"/>
      <c r="AA371" s="213" t="n"/>
      <c r="AB371" s="213" t="n"/>
      <c r="AC371" s="213" t="n"/>
      <c r="AD371" s="213" t="n"/>
      <c r="AE371" s="213" t="n"/>
      <c r="AF371" s="213" t="n"/>
      <c r="AG371" s="213" t="n"/>
      <c r="AH371" s="213" t="n"/>
      <c r="AI371" s="213" t="n"/>
      <c r="AJ371" s="213" t="n"/>
      <c r="AK371" s="213" t="n"/>
    </row>
    <row r="372">
      <c r="B372" s="94" t="n"/>
      <c r="C372" s="88" t="n"/>
      <c r="D372" s="88" t="n"/>
      <c r="E372" s="88" t="n"/>
      <c r="F372" s="88" t="n"/>
      <c r="G372" s="88" t="n"/>
      <c r="H372" s="94" t="n"/>
      <c r="I372" s="4" t="n"/>
      <c r="J372" s="95" t="n"/>
      <c r="K372" s="213" t="n"/>
      <c r="L372" s="213" t="n"/>
      <c r="M372" s="213" t="n"/>
      <c r="N372" s="213" t="n"/>
      <c r="O372" s="213" t="n"/>
      <c r="P372" s="213" t="n"/>
      <c r="Q372" s="213" t="n"/>
      <c r="R372" s="213" t="n"/>
      <c r="S372" s="213" t="n"/>
      <c r="T372" s="213" t="n"/>
      <c r="U372" s="213" t="n"/>
      <c r="V372" s="213" t="n"/>
      <c r="W372" s="213" t="n"/>
      <c r="X372" s="213" t="n"/>
      <c r="Y372" s="213" t="n"/>
      <c r="Z372" s="213" t="n"/>
      <c r="AA372" s="213" t="n"/>
      <c r="AB372" s="213" t="n"/>
      <c r="AC372" s="213" t="n"/>
      <c r="AD372" s="213" t="n"/>
      <c r="AE372" s="213" t="n"/>
      <c r="AF372" s="213" t="n"/>
      <c r="AG372" s="213" t="n"/>
      <c r="AH372" s="213" t="n"/>
      <c r="AI372" s="213" t="n"/>
      <c r="AJ372" s="213" t="n"/>
      <c r="AK372" s="213" t="n"/>
    </row>
    <row r="373">
      <c r="B373" s="94" t="n"/>
      <c r="C373" s="88" t="n"/>
      <c r="D373" s="88" t="n"/>
      <c r="E373" s="88" t="n"/>
      <c r="F373" s="88" t="n"/>
      <c r="G373" s="88" t="n"/>
      <c r="H373" s="94" t="n"/>
      <c r="I373" s="4" t="n"/>
      <c r="J373" s="95" t="n"/>
      <c r="K373" s="213" t="n"/>
      <c r="L373" s="213" t="n"/>
      <c r="M373" s="213" t="n"/>
      <c r="N373" s="213" t="n"/>
      <c r="O373" s="213" t="n"/>
      <c r="P373" s="213" t="n"/>
      <c r="Q373" s="213" t="n"/>
      <c r="R373" s="213" t="n"/>
      <c r="S373" s="213" t="n"/>
      <c r="T373" s="213" t="n"/>
      <c r="U373" s="213" t="n"/>
      <c r="V373" s="213" t="n"/>
      <c r="W373" s="213" t="n"/>
      <c r="X373" s="213" t="n"/>
      <c r="Y373" s="213" t="n"/>
      <c r="Z373" s="213" t="n"/>
      <c r="AA373" s="213" t="n"/>
      <c r="AB373" s="213" t="n"/>
      <c r="AC373" s="213" t="n"/>
      <c r="AD373" s="213" t="n"/>
      <c r="AE373" s="213" t="n"/>
      <c r="AF373" s="213" t="n"/>
      <c r="AG373" s="213" t="n"/>
      <c r="AH373" s="213" t="n"/>
      <c r="AI373" s="213" t="n"/>
      <c r="AJ373" s="213" t="n"/>
      <c r="AK373" s="213" t="n"/>
    </row>
    <row r="374">
      <c r="B374" s="94" t="n"/>
      <c r="C374" s="88" t="n"/>
      <c r="D374" s="88" t="n"/>
      <c r="E374" s="88" t="n"/>
      <c r="F374" s="88" t="n"/>
      <c r="G374" s="88" t="n"/>
      <c r="H374" s="94" t="n"/>
      <c r="I374" s="4" t="n"/>
      <c r="J374" s="95" t="n"/>
      <c r="K374" s="213" t="n"/>
      <c r="L374" s="213" t="n"/>
      <c r="M374" s="213" t="n"/>
      <c r="N374" s="213" t="n"/>
      <c r="O374" s="213" t="n"/>
      <c r="P374" s="213" t="n"/>
      <c r="Q374" s="213" t="n"/>
      <c r="R374" s="213" t="n"/>
      <c r="S374" s="213" t="n"/>
      <c r="T374" s="213" t="n"/>
      <c r="U374" s="213" t="n"/>
      <c r="V374" s="213" t="n"/>
      <c r="W374" s="213" t="n"/>
      <c r="X374" s="213" t="n"/>
      <c r="Y374" s="213" t="n"/>
      <c r="Z374" s="213" t="n"/>
      <c r="AA374" s="213" t="n"/>
      <c r="AB374" s="213" t="n"/>
      <c r="AC374" s="213" t="n"/>
      <c r="AD374" s="213" t="n"/>
      <c r="AE374" s="213" t="n"/>
      <c r="AF374" s="213" t="n"/>
      <c r="AG374" s="213" t="n"/>
      <c r="AH374" s="213" t="n"/>
      <c r="AI374" s="213" t="n"/>
      <c r="AJ374" s="213" t="n"/>
      <c r="AK374" s="213" t="n"/>
    </row>
    <row r="375">
      <c r="B375" s="94" t="n"/>
      <c r="C375" s="88" t="n"/>
      <c r="D375" s="88" t="n"/>
      <c r="E375" s="88" t="n"/>
      <c r="F375" s="88" t="n"/>
      <c r="G375" s="88" t="n"/>
      <c r="H375" s="94" t="n"/>
      <c r="I375" s="4" t="n"/>
      <c r="J375" s="95" t="n"/>
      <c r="K375" s="213" t="n"/>
      <c r="L375" s="213" t="n"/>
      <c r="M375" s="213" t="n"/>
      <c r="N375" s="213" t="n"/>
      <c r="O375" s="213" t="n"/>
      <c r="P375" s="213" t="n"/>
      <c r="Q375" s="213" t="n"/>
      <c r="R375" s="213" t="n"/>
      <c r="S375" s="213" t="n"/>
      <c r="T375" s="213" t="n"/>
      <c r="U375" s="213" t="n"/>
      <c r="V375" s="213" t="n"/>
      <c r="W375" s="213" t="n"/>
      <c r="X375" s="213" t="n"/>
      <c r="Y375" s="213" t="n"/>
      <c r="Z375" s="213" t="n"/>
      <c r="AA375" s="213" t="n"/>
      <c r="AB375" s="213" t="n"/>
      <c r="AC375" s="213" t="n"/>
      <c r="AD375" s="213" t="n"/>
      <c r="AE375" s="213" t="n"/>
      <c r="AF375" s="213" t="n"/>
      <c r="AG375" s="213" t="n"/>
      <c r="AH375" s="213" t="n"/>
      <c r="AI375" s="213" t="n"/>
      <c r="AJ375" s="213" t="n"/>
      <c r="AK375" s="213" t="n"/>
    </row>
    <row r="376">
      <c r="B376" s="94" t="n"/>
      <c r="C376" s="88" t="n"/>
      <c r="D376" s="88" t="n"/>
      <c r="E376" s="88" t="n"/>
      <c r="F376" s="88" t="n"/>
      <c r="G376" s="88" t="n"/>
      <c r="H376" s="94" t="n"/>
      <c r="I376" s="4" t="n"/>
      <c r="J376" s="95" t="n"/>
      <c r="K376" s="213" t="n"/>
      <c r="L376" s="213" t="n"/>
      <c r="M376" s="213" t="n"/>
      <c r="N376" s="213" t="n"/>
      <c r="O376" s="213" t="n"/>
      <c r="P376" s="213" t="n"/>
      <c r="Q376" s="213" t="n"/>
      <c r="R376" s="213" t="n"/>
      <c r="S376" s="213" t="n"/>
      <c r="T376" s="213" t="n"/>
      <c r="U376" s="213" t="n"/>
      <c r="V376" s="213" t="n"/>
      <c r="W376" s="213" t="n"/>
      <c r="X376" s="213" t="n"/>
      <c r="Y376" s="213" t="n"/>
      <c r="Z376" s="213" t="n"/>
      <c r="AA376" s="213" t="n"/>
      <c r="AB376" s="213" t="n"/>
      <c r="AC376" s="213" t="n"/>
      <c r="AD376" s="213" t="n"/>
      <c r="AE376" s="213" t="n"/>
      <c r="AF376" s="213" t="n"/>
      <c r="AG376" s="213" t="n"/>
      <c r="AH376" s="213" t="n"/>
      <c r="AI376" s="213" t="n"/>
      <c r="AJ376" s="213" t="n"/>
      <c r="AK376" s="213" t="n"/>
    </row>
    <row r="377">
      <c r="B377" s="94" t="n"/>
      <c r="C377" s="88" t="n"/>
      <c r="D377" s="88" t="n"/>
      <c r="E377" s="88" t="n"/>
      <c r="F377" s="88" t="n"/>
      <c r="G377" s="88" t="n"/>
      <c r="H377" s="94" t="n"/>
      <c r="I377" s="4" t="n"/>
      <c r="J377" s="95" t="n"/>
      <c r="K377" s="213" t="n"/>
      <c r="L377" s="213" t="n"/>
      <c r="M377" s="213" t="n"/>
      <c r="N377" s="213" t="n"/>
      <c r="O377" s="213" t="n"/>
      <c r="P377" s="213" t="n"/>
      <c r="Q377" s="213" t="n"/>
      <c r="R377" s="213" t="n"/>
      <c r="S377" s="213" t="n"/>
      <c r="T377" s="213" t="n"/>
      <c r="U377" s="213" t="n"/>
      <c r="V377" s="213" t="n"/>
      <c r="W377" s="213" t="n"/>
      <c r="X377" s="213" t="n"/>
      <c r="Y377" s="213" t="n"/>
      <c r="Z377" s="213" t="n"/>
      <c r="AA377" s="213" t="n"/>
      <c r="AB377" s="213" t="n"/>
      <c r="AC377" s="213" t="n"/>
      <c r="AD377" s="213" t="n"/>
      <c r="AE377" s="213" t="n"/>
      <c r="AF377" s="213" t="n"/>
      <c r="AG377" s="213" t="n"/>
      <c r="AH377" s="213" t="n"/>
      <c r="AI377" s="213" t="n"/>
      <c r="AJ377" s="213" t="n"/>
      <c r="AK377" s="213" t="n"/>
    </row>
    <row r="378">
      <c r="B378" s="94" t="n"/>
      <c r="C378" s="88" t="n"/>
      <c r="D378" s="88" t="n"/>
      <c r="E378" s="88" t="n"/>
      <c r="F378" s="88" t="n"/>
      <c r="G378" s="88" t="n"/>
      <c r="H378" s="94" t="n"/>
      <c r="I378" s="4" t="n"/>
      <c r="J378" s="95" t="n"/>
      <c r="K378" s="213" t="n"/>
      <c r="L378" s="213" t="n"/>
      <c r="M378" s="213" t="n"/>
      <c r="N378" s="213" t="n"/>
      <c r="O378" s="213" t="n"/>
      <c r="P378" s="213" t="n"/>
      <c r="Q378" s="213" t="n"/>
      <c r="R378" s="213" t="n"/>
      <c r="S378" s="213" t="n"/>
      <c r="T378" s="213" t="n"/>
      <c r="U378" s="213" t="n"/>
      <c r="V378" s="213" t="n"/>
      <c r="W378" s="213" t="n"/>
      <c r="X378" s="213" t="n"/>
      <c r="Y378" s="213" t="n"/>
      <c r="Z378" s="213" t="n"/>
      <c r="AA378" s="213" t="n"/>
      <c r="AB378" s="213" t="n"/>
      <c r="AC378" s="213" t="n"/>
      <c r="AD378" s="213" t="n"/>
      <c r="AE378" s="213" t="n"/>
      <c r="AF378" s="213" t="n"/>
      <c r="AG378" s="213" t="n"/>
      <c r="AH378" s="213" t="n"/>
      <c r="AI378" s="213" t="n"/>
      <c r="AJ378" s="213" t="n"/>
      <c r="AK378" s="213" t="n"/>
    </row>
    <row r="379">
      <c r="B379" s="94" t="n"/>
      <c r="C379" s="88" t="n"/>
      <c r="D379" s="88" t="n"/>
      <c r="E379" s="88" t="n"/>
      <c r="F379" s="88" t="n"/>
      <c r="G379" s="88" t="n"/>
      <c r="H379" s="94" t="n"/>
      <c r="I379" s="4" t="n"/>
      <c r="J379" s="95" t="n"/>
      <c r="K379" s="213" t="n"/>
      <c r="L379" s="213" t="n"/>
      <c r="M379" s="213" t="n"/>
      <c r="N379" s="213" t="n"/>
      <c r="O379" s="213" t="n"/>
      <c r="P379" s="213" t="n"/>
      <c r="Q379" s="213" t="n"/>
      <c r="R379" s="213" t="n"/>
      <c r="S379" s="213" t="n"/>
      <c r="T379" s="213" t="n"/>
      <c r="U379" s="213" t="n"/>
      <c r="V379" s="213" t="n"/>
      <c r="W379" s="213" t="n"/>
      <c r="X379" s="213" t="n"/>
      <c r="Y379" s="213" t="n"/>
      <c r="Z379" s="213" t="n"/>
      <c r="AA379" s="213" t="n"/>
      <c r="AB379" s="213" t="n"/>
      <c r="AC379" s="213" t="n"/>
      <c r="AD379" s="213" t="n"/>
      <c r="AE379" s="213" t="n"/>
      <c r="AF379" s="213" t="n"/>
      <c r="AG379" s="213" t="n"/>
      <c r="AH379" s="213" t="n"/>
      <c r="AI379" s="213" t="n"/>
      <c r="AJ379" s="213" t="n"/>
      <c r="AK379" s="213" t="n"/>
    </row>
    <row r="380">
      <c r="B380" s="94" t="n"/>
      <c r="C380" s="88" t="n"/>
      <c r="D380" s="88" t="n"/>
      <c r="E380" s="88" t="n"/>
      <c r="F380" s="88" t="n"/>
      <c r="G380" s="88" t="n"/>
      <c r="H380" s="94" t="n"/>
      <c r="I380" s="4" t="n"/>
      <c r="J380" s="95" t="n"/>
      <c r="K380" s="213" t="n"/>
      <c r="L380" s="213" t="n"/>
      <c r="M380" s="213" t="n"/>
      <c r="N380" s="213" t="n"/>
      <c r="O380" s="213" t="n"/>
      <c r="P380" s="213" t="n"/>
      <c r="Q380" s="213" t="n"/>
      <c r="R380" s="213" t="n"/>
      <c r="S380" s="213" t="n"/>
      <c r="T380" s="213" t="n"/>
      <c r="U380" s="213" t="n"/>
      <c r="V380" s="213" t="n"/>
      <c r="W380" s="213" t="n"/>
      <c r="X380" s="213" t="n"/>
      <c r="Y380" s="213" t="n"/>
      <c r="Z380" s="213" t="n"/>
      <c r="AA380" s="213" t="n"/>
      <c r="AB380" s="213" t="n"/>
      <c r="AC380" s="213" t="n"/>
      <c r="AD380" s="213" t="n"/>
      <c r="AE380" s="213" t="n"/>
      <c r="AF380" s="213" t="n"/>
      <c r="AG380" s="213" t="n"/>
      <c r="AH380" s="213" t="n"/>
      <c r="AI380" s="213" t="n"/>
      <c r="AJ380" s="213" t="n"/>
      <c r="AK380" s="213" t="n"/>
    </row>
    <row r="381">
      <c r="B381" s="94" t="n"/>
      <c r="C381" s="88" t="n"/>
      <c r="D381" s="88" t="n"/>
      <c r="E381" s="88" t="n"/>
      <c r="F381" s="88" t="n"/>
      <c r="G381" s="88" t="n"/>
      <c r="H381" s="94" t="n"/>
      <c r="I381" s="4" t="n"/>
      <c r="J381" s="95" t="n"/>
      <c r="K381" s="213" t="n"/>
      <c r="L381" s="213" t="n"/>
      <c r="M381" s="213" t="n"/>
      <c r="N381" s="213" t="n"/>
      <c r="O381" s="213" t="n"/>
      <c r="P381" s="213" t="n"/>
      <c r="Q381" s="213" t="n"/>
      <c r="R381" s="213" t="n"/>
      <c r="S381" s="213" t="n"/>
      <c r="T381" s="213" t="n"/>
      <c r="U381" s="213" t="n"/>
      <c r="V381" s="213" t="n"/>
      <c r="W381" s="213" t="n"/>
      <c r="X381" s="213" t="n"/>
      <c r="Y381" s="213" t="n"/>
      <c r="Z381" s="213" t="n"/>
      <c r="AA381" s="213" t="n"/>
      <c r="AB381" s="213" t="n"/>
      <c r="AC381" s="213" t="n"/>
      <c r="AD381" s="213" t="n"/>
      <c r="AE381" s="213" t="n"/>
      <c r="AF381" s="213" t="n"/>
      <c r="AG381" s="213" t="n"/>
      <c r="AH381" s="213" t="n"/>
      <c r="AI381" s="213" t="n"/>
      <c r="AJ381" s="213" t="n"/>
      <c r="AK381" s="213" t="n"/>
    </row>
    <row r="382">
      <c r="B382" s="94" t="n"/>
      <c r="C382" s="88" t="n"/>
      <c r="D382" s="88" t="n"/>
      <c r="E382" s="88" t="n"/>
      <c r="F382" s="88" t="n"/>
      <c r="G382" s="88" t="n"/>
      <c r="H382" s="94" t="n"/>
      <c r="I382" s="4" t="n"/>
      <c r="J382" s="95" t="n"/>
      <c r="K382" s="213" t="n"/>
      <c r="L382" s="213" t="n"/>
      <c r="M382" s="213" t="n"/>
      <c r="N382" s="213" t="n"/>
      <c r="O382" s="213" t="n"/>
      <c r="P382" s="213" t="n"/>
      <c r="Q382" s="213" t="n"/>
      <c r="R382" s="213" t="n"/>
      <c r="S382" s="213" t="n"/>
      <c r="T382" s="213" t="n"/>
      <c r="U382" s="213" t="n"/>
      <c r="V382" s="213" t="n"/>
      <c r="W382" s="213" t="n"/>
      <c r="X382" s="213" t="n"/>
      <c r="Y382" s="213" t="n"/>
      <c r="Z382" s="213" t="n"/>
      <c r="AA382" s="213" t="n"/>
      <c r="AB382" s="213" t="n"/>
      <c r="AC382" s="213" t="n"/>
      <c r="AD382" s="213" t="n"/>
      <c r="AE382" s="213" t="n"/>
      <c r="AF382" s="213" t="n"/>
      <c r="AG382" s="213" t="n"/>
      <c r="AH382" s="213" t="n"/>
      <c r="AI382" s="213" t="n"/>
      <c r="AJ382" s="213" t="n"/>
      <c r="AK382" s="213" t="n"/>
    </row>
    <row r="383">
      <c r="B383" s="94" t="n"/>
      <c r="C383" s="88" t="n"/>
      <c r="D383" s="88" t="n"/>
      <c r="E383" s="88" t="n"/>
      <c r="F383" s="88" t="n"/>
      <c r="G383" s="88" t="n"/>
      <c r="H383" s="94" t="n"/>
      <c r="I383" s="4" t="n"/>
      <c r="J383" s="95" t="n"/>
      <c r="K383" s="213" t="n"/>
      <c r="L383" s="213" t="n"/>
      <c r="M383" s="213" t="n"/>
      <c r="N383" s="213" t="n"/>
      <c r="O383" s="213" t="n"/>
      <c r="P383" s="213" t="n"/>
      <c r="Q383" s="213" t="n"/>
      <c r="R383" s="213" t="n"/>
      <c r="S383" s="213" t="n"/>
      <c r="T383" s="213" t="n"/>
      <c r="U383" s="213" t="n"/>
      <c r="V383" s="213" t="n"/>
      <c r="W383" s="213" t="n"/>
      <c r="X383" s="213" t="n"/>
      <c r="Y383" s="213" t="n"/>
      <c r="Z383" s="213" t="n"/>
      <c r="AA383" s="213" t="n"/>
      <c r="AB383" s="213" t="n"/>
      <c r="AC383" s="213" t="n"/>
      <c r="AD383" s="213" t="n"/>
      <c r="AE383" s="213" t="n"/>
      <c r="AF383" s="213" t="n"/>
      <c r="AG383" s="213" t="n"/>
      <c r="AH383" s="213" t="n"/>
      <c r="AI383" s="213" t="n"/>
      <c r="AJ383" s="213" t="n"/>
      <c r="AK383" s="213" t="n"/>
    </row>
    <row r="384">
      <c r="B384" s="94" t="n"/>
      <c r="C384" s="88" t="n"/>
      <c r="D384" s="88" t="n"/>
      <c r="E384" s="88" t="n"/>
      <c r="F384" s="88" t="n"/>
      <c r="G384" s="88" t="n"/>
      <c r="H384" s="94" t="n"/>
      <c r="I384" s="4" t="n"/>
      <c r="J384" s="95" t="n"/>
      <c r="K384" s="213" t="n"/>
      <c r="L384" s="213" t="n"/>
      <c r="M384" s="213" t="n"/>
      <c r="N384" s="213" t="n"/>
      <c r="O384" s="213" t="n"/>
      <c r="P384" s="213" t="n"/>
      <c r="Q384" s="213" t="n"/>
      <c r="R384" s="213" t="n"/>
      <c r="S384" s="213" t="n"/>
      <c r="T384" s="213" t="n"/>
      <c r="U384" s="213" t="n"/>
      <c r="V384" s="213" t="n"/>
      <c r="W384" s="213" t="n"/>
      <c r="X384" s="213" t="n"/>
      <c r="Y384" s="213" t="n"/>
      <c r="Z384" s="213" t="n"/>
      <c r="AA384" s="213" t="n"/>
      <c r="AB384" s="213" t="n"/>
      <c r="AC384" s="213" t="n"/>
      <c r="AD384" s="213" t="n"/>
      <c r="AE384" s="213" t="n"/>
      <c r="AF384" s="213" t="n"/>
      <c r="AG384" s="213" t="n"/>
      <c r="AH384" s="213" t="n"/>
      <c r="AI384" s="213" t="n"/>
      <c r="AJ384" s="213" t="n"/>
      <c r="AK384" s="213" t="n"/>
    </row>
    <row r="385">
      <c r="B385" s="94" t="n"/>
      <c r="C385" s="88" t="n"/>
      <c r="D385" s="88" t="n"/>
      <c r="E385" s="88" t="n"/>
      <c r="F385" s="88" t="n"/>
      <c r="G385" s="88" t="n"/>
      <c r="H385" s="94" t="n"/>
      <c r="I385" s="4" t="n"/>
      <c r="J385" s="95" t="n"/>
      <c r="K385" s="213" t="n"/>
      <c r="L385" s="213" t="n"/>
      <c r="M385" s="213" t="n"/>
      <c r="N385" s="213" t="n"/>
      <c r="O385" s="213" t="n"/>
      <c r="P385" s="213" t="n"/>
      <c r="Q385" s="213" t="n"/>
      <c r="R385" s="213" t="n"/>
      <c r="S385" s="213" t="n"/>
      <c r="T385" s="213" t="n"/>
      <c r="U385" s="213" t="n"/>
      <c r="V385" s="213" t="n"/>
      <c r="W385" s="213" t="n"/>
      <c r="X385" s="213" t="n"/>
      <c r="Y385" s="213" t="n"/>
      <c r="Z385" s="213" t="n"/>
      <c r="AA385" s="213" t="n"/>
      <c r="AB385" s="213" t="n"/>
      <c r="AC385" s="213" t="n"/>
      <c r="AD385" s="213" t="n"/>
      <c r="AE385" s="213" t="n"/>
      <c r="AF385" s="213" t="n"/>
      <c r="AG385" s="213" t="n"/>
      <c r="AH385" s="213" t="n"/>
      <c r="AI385" s="213" t="n"/>
      <c r="AJ385" s="213" t="n"/>
      <c r="AK385" s="213" t="n"/>
    </row>
    <row r="386">
      <c r="B386" s="94" t="n"/>
      <c r="C386" s="88" t="n"/>
      <c r="D386" s="88" t="n"/>
      <c r="E386" s="88" t="n"/>
      <c r="F386" s="88" t="n"/>
      <c r="G386" s="88" t="n"/>
      <c r="H386" s="94" t="n"/>
      <c r="I386" s="4" t="n"/>
      <c r="J386" s="95" t="n"/>
      <c r="K386" s="213" t="n"/>
      <c r="L386" s="213" t="n"/>
      <c r="M386" s="213" t="n"/>
      <c r="N386" s="213" t="n"/>
      <c r="O386" s="213" t="n"/>
      <c r="P386" s="213" t="n"/>
      <c r="Q386" s="213" t="n"/>
      <c r="R386" s="213" t="n"/>
      <c r="S386" s="213" t="n"/>
      <c r="T386" s="213" t="n"/>
      <c r="U386" s="213" t="n"/>
      <c r="V386" s="213" t="n"/>
      <c r="W386" s="213" t="n"/>
      <c r="X386" s="213" t="n"/>
      <c r="Y386" s="213" t="n"/>
      <c r="Z386" s="213" t="n"/>
      <c r="AA386" s="213" t="n"/>
      <c r="AB386" s="213" t="n"/>
      <c r="AC386" s="213" t="n"/>
      <c r="AD386" s="213" t="n"/>
      <c r="AE386" s="213" t="n"/>
      <c r="AF386" s="213" t="n"/>
      <c r="AG386" s="213" t="n"/>
      <c r="AH386" s="213" t="n"/>
      <c r="AI386" s="213" t="n"/>
      <c r="AJ386" s="213" t="n"/>
      <c r="AK386" s="213" t="n"/>
    </row>
    <row r="387">
      <c r="B387" s="94" t="n"/>
      <c r="C387" s="88" t="n"/>
      <c r="D387" s="88" t="n"/>
      <c r="E387" s="88" t="n"/>
      <c r="F387" s="88" t="n"/>
      <c r="G387" s="88" t="n"/>
      <c r="H387" s="94" t="n"/>
      <c r="I387" s="4" t="n"/>
      <c r="J387" s="95" t="n"/>
      <c r="K387" s="213" t="n"/>
      <c r="L387" s="213" t="n"/>
      <c r="M387" s="213" t="n"/>
      <c r="N387" s="213" t="n"/>
      <c r="O387" s="213" t="n"/>
      <c r="P387" s="213" t="n"/>
      <c r="Q387" s="213" t="n"/>
      <c r="R387" s="213" t="n"/>
      <c r="S387" s="213" t="n"/>
      <c r="T387" s="213" t="n"/>
      <c r="U387" s="213" t="n"/>
      <c r="V387" s="213" t="n"/>
      <c r="W387" s="213" t="n"/>
      <c r="X387" s="213" t="n"/>
      <c r="Y387" s="213" t="n"/>
      <c r="Z387" s="213" t="n"/>
      <c r="AA387" s="213" t="n"/>
      <c r="AB387" s="213" t="n"/>
      <c r="AC387" s="213" t="n"/>
      <c r="AD387" s="213" t="n"/>
      <c r="AE387" s="213" t="n"/>
      <c r="AF387" s="213" t="n"/>
      <c r="AG387" s="213" t="n"/>
      <c r="AH387" s="213" t="n"/>
      <c r="AI387" s="213" t="n"/>
      <c r="AJ387" s="213" t="n"/>
      <c r="AK387" s="213" t="n"/>
    </row>
    <row r="388">
      <c r="B388" s="94" t="n"/>
      <c r="C388" s="88" t="n"/>
      <c r="D388" s="88" t="n"/>
      <c r="E388" s="88" t="n"/>
      <c r="F388" s="88" t="n"/>
      <c r="G388" s="88" t="n"/>
      <c r="H388" s="94" t="n"/>
      <c r="I388" s="4" t="n"/>
      <c r="J388" s="95" t="n"/>
      <c r="K388" s="213" t="n"/>
      <c r="L388" s="213" t="n"/>
      <c r="M388" s="213" t="n"/>
      <c r="N388" s="213" t="n"/>
      <c r="O388" s="213" t="n"/>
      <c r="P388" s="213" t="n"/>
      <c r="Q388" s="213" t="n"/>
      <c r="R388" s="213" t="n"/>
      <c r="S388" s="213" t="n"/>
      <c r="T388" s="213" t="n"/>
      <c r="U388" s="213" t="n"/>
      <c r="V388" s="213" t="n"/>
      <c r="W388" s="213" t="n"/>
      <c r="X388" s="213" t="n"/>
      <c r="Y388" s="213" t="n"/>
      <c r="Z388" s="213" t="n"/>
      <c r="AA388" s="213" t="n"/>
      <c r="AB388" s="213" t="n"/>
      <c r="AC388" s="213" t="n"/>
      <c r="AD388" s="213" t="n"/>
      <c r="AE388" s="213" t="n"/>
      <c r="AF388" s="213" t="n"/>
      <c r="AG388" s="213" t="n"/>
      <c r="AH388" s="213" t="n"/>
      <c r="AI388" s="213" t="n"/>
      <c r="AJ388" s="213" t="n"/>
      <c r="AK388" s="213" t="n"/>
    </row>
    <row r="389">
      <c r="B389" s="94" t="n"/>
      <c r="C389" s="88" t="n"/>
      <c r="D389" s="88" t="n"/>
      <c r="E389" s="88" t="n"/>
      <c r="F389" s="88" t="n"/>
      <c r="G389" s="88" t="n"/>
      <c r="H389" s="94" t="n"/>
      <c r="I389" s="4" t="n"/>
      <c r="J389" s="95" t="n"/>
      <c r="K389" s="213" t="n"/>
      <c r="L389" s="213" t="n"/>
      <c r="M389" s="213" t="n"/>
      <c r="N389" s="213" t="n"/>
      <c r="O389" s="213" t="n"/>
      <c r="P389" s="213" t="n"/>
      <c r="Q389" s="213" t="n"/>
      <c r="R389" s="213" t="n"/>
      <c r="S389" s="213" t="n"/>
      <c r="T389" s="213" t="n"/>
      <c r="U389" s="213" t="n"/>
      <c r="V389" s="213" t="n"/>
      <c r="W389" s="213" t="n"/>
      <c r="X389" s="213" t="n"/>
      <c r="Y389" s="213" t="n"/>
      <c r="Z389" s="213" t="n"/>
      <c r="AA389" s="213" t="n"/>
      <c r="AB389" s="213" t="n"/>
      <c r="AC389" s="213" t="n"/>
      <c r="AD389" s="213" t="n"/>
      <c r="AE389" s="213" t="n"/>
      <c r="AF389" s="213" t="n"/>
      <c r="AG389" s="213" t="n"/>
      <c r="AH389" s="213" t="n"/>
      <c r="AI389" s="213" t="n"/>
      <c r="AJ389" s="213" t="n"/>
      <c r="AK389" s="213" t="n"/>
    </row>
    <row r="390">
      <c r="B390" s="94" t="n"/>
      <c r="C390" s="88" t="n"/>
      <c r="D390" s="88" t="n"/>
      <c r="E390" s="88" t="n"/>
      <c r="F390" s="88" t="n"/>
      <c r="G390" s="88" t="n"/>
      <c r="H390" s="94" t="n"/>
      <c r="I390" s="4" t="n"/>
      <c r="J390" s="95" t="n"/>
      <c r="K390" s="213" t="n"/>
      <c r="L390" s="213" t="n"/>
      <c r="M390" s="213" t="n"/>
      <c r="N390" s="213" t="n"/>
      <c r="O390" s="213" t="n"/>
      <c r="P390" s="213" t="n"/>
      <c r="Q390" s="213" t="n"/>
      <c r="R390" s="213" t="n"/>
      <c r="S390" s="213" t="n"/>
      <c r="T390" s="213" t="n"/>
      <c r="U390" s="213" t="n"/>
      <c r="V390" s="213" t="n"/>
      <c r="W390" s="213" t="n"/>
      <c r="X390" s="213" t="n"/>
      <c r="Y390" s="213" t="n"/>
      <c r="Z390" s="213" t="n"/>
      <c r="AA390" s="213" t="n"/>
      <c r="AB390" s="213" t="n"/>
      <c r="AC390" s="213" t="n"/>
      <c r="AD390" s="213" t="n"/>
      <c r="AE390" s="213" t="n"/>
      <c r="AF390" s="213" t="n"/>
      <c r="AG390" s="213" t="n"/>
      <c r="AH390" s="213" t="n"/>
      <c r="AI390" s="213" t="n"/>
      <c r="AJ390" s="213" t="n"/>
      <c r="AK390" s="213" t="n"/>
    </row>
    <row r="391">
      <c r="B391" s="94" t="n"/>
      <c r="C391" s="88" t="n"/>
      <c r="D391" s="88" t="n"/>
      <c r="E391" s="88" t="n"/>
      <c r="F391" s="88" t="n"/>
      <c r="G391" s="88" t="n"/>
      <c r="H391" s="94" t="n"/>
      <c r="I391" s="4" t="n"/>
      <c r="J391" s="95" t="n"/>
      <c r="K391" s="213" t="n"/>
      <c r="L391" s="213" t="n"/>
      <c r="M391" s="213" t="n"/>
      <c r="N391" s="213" t="n"/>
      <c r="O391" s="213" t="n"/>
      <c r="P391" s="213" t="n"/>
      <c r="Q391" s="213" t="n"/>
      <c r="R391" s="213" t="n"/>
      <c r="S391" s="213" t="n"/>
      <c r="T391" s="213" t="n"/>
      <c r="U391" s="213" t="n"/>
      <c r="V391" s="213" t="n"/>
      <c r="W391" s="213" t="n"/>
      <c r="X391" s="213" t="n"/>
      <c r="Y391" s="213" t="n"/>
      <c r="Z391" s="213" t="n"/>
      <c r="AA391" s="213" t="n"/>
      <c r="AB391" s="213" t="n"/>
      <c r="AC391" s="213" t="n"/>
      <c r="AD391" s="213" t="n"/>
      <c r="AE391" s="213" t="n"/>
      <c r="AF391" s="213" t="n"/>
      <c r="AG391" s="213" t="n"/>
      <c r="AH391" s="213" t="n"/>
      <c r="AI391" s="213" t="n"/>
      <c r="AJ391" s="213" t="n"/>
      <c r="AK391" s="213" t="n"/>
    </row>
    <row r="392">
      <c r="B392" s="94" t="n"/>
      <c r="C392" s="88" t="n"/>
      <c r="D392" s="88" t="n"/>
      <c r="E392" s="88" t="n"/>
      <c r="F392" s="88" t="n"/>
      <c r="G392" s="88" t="n"/>
      <c r="H392" s="94" t="n"/>
      <c r="I392" s="4" t="n"/>
      <c r="J392" s="95" t="n"/>
      <c r="K392" s="213" t="n"/>
      <c r="L392" s="213" t="n"/>
      <c r="M392" s="213" t="n"/>
      <c r="N392" s="213" t="n"/>
      <c r="O392" s="213" t="n"/>
      <c r="P392" s="213" t="n"/>
      <c r="Q392" s="213" t="n"/>
      <c r="R392" s="213" t="n"/>
      <c r="S392" s="213" t="n"/>
      <c r="T392" s="213" t="n"/>
      <c r="U392" s="213" t="n"/>
      <c r="V392" s="213" t="n"/>
      <c r="W392" s="213" t="n"/>
      <c r="X392" s="213" t="n"/>
      <c r="Y392" s="213" t="n"/>
      <c r="Z392" s="213" t="n"/>
      <c r="AA392" s="213" t="n"/>
      <c r="AB392" s="213" t="n"/>
      <c r="AC392" s="213" t="n"/>
      <c r="AD392" s="213" t="n"/>
      <c r="AE392" s="213" t="n"/>
      <c r="AF392" s="213" t="n"/>
      <c r="AG392" s="213" t="n"/>
      <c r="AH392" s="213" t="n"/>
      <c r="AI392" s="213" t="n"/>
      <c r="AJ392" s="213" t="n"/>
      <c r="AK392" s="213" t="n"/>
    </row>
    <row r="393">
      <c r="B393" s="94" t="n"/>
      <c r="C393" s="88" t="n"/>
      <c r="D393" s="88" t="n"/>
      <c r="E393" s="88" t="n"/>
      <c r="F393" s="88" t="n"/>
      <c r="G393" s="88" t="n"/>
      <c r="H393" s="94" t="n"/>
      <c r="I393" s="4" t="n"/>
      <c r="J393" s="95" t="n"/>
      <c r="K393" s="213" t="n"/>
      <c r="L393" s="213" t="n"/>
      <c r="M393" s="213" t="n"/>
      <c r="N393" s="213" t="n"/>
      <c r="O393" s="213" t="n"/>
      <c r="P393" s="213" t="n"/>
      <c r="Q393" s="213" t="n"/>
      <c r="R393" s="213" t="n"/>
      <c r="S393" s="213" t="n"/>
      <c r="T393" s="213" t="n"/>
      <c r="U393" s="213" t="n"/>
      <c r="V393" s="213" t="n"/>
      <c r="W393" s="213" t="n"/>
      <c r="X393" s="213" t="n"/>
      <c r="Y393" s="213" t="n"/>
      <c r="Z393" s="213" t="n"/>
      <c r="AA393" s="213" t="n"/>
      <c r="AB393" s="213" t="n"/>
      <c r="AC393" s="213" t="n"/>
      <c r="AD393" s="213" t="n"/>
      <c r="AE393" s="213" t="n"/>
      <c r="AF393" s="213" t="n"/>
      <c r="AG393" s="213" t="n"/>
      <c r="AH393" s="213" t="n"/>
      <c r="AI393" s="213" t="n"/>
      <c r="AJ393" s="213" t="n"/>
      <c r="AK393" s="213" t="n"/>
    </row>
    <row r="394">
      <c r="B394" s="94" t="n"/>
      <c r="C394" s="88" t="n"/>
      <c r="D394" s="88" t="n"/>
      <c r="E394" s="88" t="n"/>
      <c r="F394" s="88" t="n"/>
      <c r="G394" s="88" t="n"/>
      <c r="H394" s="94" t="n"/>
      <c r="I394" s="4" t="n"/>
      <c r="J394" s="95" t="n"/>
      <c r="K394" s="213" t="n"/>
      <c r="L394" s="213" t="n"/>
      <c r="M394" s="213" t="n"/>
      <c r="N394" s="213" t="n"/>
      <c r="O394" s="213" t="n"/>
      <c r="P394" s="213" t="n"/>
      <c r="Q394" s="213" t="n"/>
      <c r="R394" s="213" t="n"/>
      <c r="S394" s="213" t="n"/>
      <c r="T394" s="213" t="n"/>
      <c r="U394" s="213" t="n"/>
      <c r="V394" s="213" t="n"/>
      <c r="W394" s="213" t="n"/>
      <c r="X394" s="213" t="n"/>
      <c r="Y394" s="213" t="n"/>
      <c r="Z394" s="213" t="n"/>
      <c r="AA394" s="213" t="n"/>
      <c r="AB394" s="213" t="n"/>
      <c r="AC394" s="213" t="n"/>
      <c r="AD394" s="213" t="n"/>
      <c r="AE394" s="213" t="n"/>
      <c r="AF394" s="213" t="n"/>
      <c r="AG394" s="213" t="n"/>
      <c r="AH394" s="213" t="n"/>
      <c r="AI394" s="213" t="n"/>
      <c r="AJ394" s="213" t="n"/>
      <c r="AK394" s="213" t="n"/>
    </row>
    <row r="395">
      <c r="B395" s="94" t="n"/>
      <c r="C395" s="88" t="n"/>
      <c r="D395" s="88" t="n"/>
      <c r="E395" s="88" t="n"/>
      <c r="F395" s="88" t="n"/>
      <c r="G395" s="88" t="n"/>
      <c r="H395" s="94" t="n"/>
      <c r="I395" s="4" t="n"/>
      <c r="J395" s="95" t="n"/>
      <c r="K395" s="213" t="n"/>
      <c r="L395" s="213" t="n"/>
      <c r="M395" s="213" t="n"/>
      <c r="N395" s="213" t="n"/>
      <c r="O395" s="213" t="n"/>
      <c r="P395" s="213" t="n"/>
      <c r="Q395" s="213" t="n"/>
      <c r="R395" s="213" t="n"/>
      <c r="S395" s="213" t="n"/>
      <c r="T395" s="213" t="n"/>
      <c r="U395" s="213" t="n"/>
      <c r="V395" s="213" t="n"/>
      <c r="W395" s="213" t="n"/>
      <c r="X395" s="213" t="n"/>
      <c r="Y395" s="213" t="n"/>
      <c r="Z395" s="213" t="n"/>
      <c r="AA395" s="213" t="n"/>
      <c r="AB395" s="213" t="n"/>
      <c r="AC395" s="213" t="n"/>
      <c r="AD395" s="213" t="n"/>
      <c r="AE395" s="213" t="n"/>
      <c r="AF395" s="213" t="n"/>
      <c r="AG395" s="213" t="n"/>
      <c r="AH395" s="213" t="n"/>
      <c r="AI395" s="213" t="n"/>
      <c r="AJ395" s="213" t="n"/>
      <c r="AK395" s="213" t="n"/>
    </row>
    <row r="396">
      <c r="B396" s="94" t="n"/>
      <c r="C396" s="88" t="n"/>
      <c r="D396" s="88" t="n"/>
      <c r="E396" s="88" t="n"/>
      <c r="F396" s="88" t="n"/>
      <c r="G396" s="88" t="n"/>
      <c r="H396" s="94" t="n"/>
      <c r="I396" s="4" t="n"/>
      <c r="J396" s="95" t="n"/>
      <c r="K396" s="213" t="n"/>
      <c r="L396" s="213" t="n"/>
      <c r="M396" s="213" t="n"/>
      <c r="N396" s="213" t="n"/>
      <c r="O396" s="213" t="n"/>
      <c r="P396" s="213" t="n"/>
      <c r="Q396" s="213" t="n"/>
      <c r="R396" s="213" t="n"/>
      <c r="S396" s="213" t="n"/>
      <c r="T396" s="213" t="n"/>
      <c r="U396" s="213" t="n"/>
      <c r="V396" s="213" t="n"/>
      <c r="W396" s="213" t="n"/>
      <c r="X396" s="213" t="n"/>
      <c r="Y396" s="213" t="n"/>
      <c r="Z396" s="213" t="n"/>
      <c r="AA396" s="213" t="n"/>
      <c r="AB396" s="213" t="n"/>
      <c r="AC396" s="213" t="n"/>
      <c r="AD396" s="213" t="n"/>
      <c r="AE396" s="213" t="n"/>
      <c r="AF396" s="213" t="n"/>
      <c r="AG396" s="213" t="n"/>
      <c r="AH396" s="213" t="n"/>
      <c r="AI396" s="213" t="n"/>
      <c r="AJ396" s="213" t="n"/>
      <c r="AK396" s="213" t="n"/>
    </row>
    <row r="397">
      <c r="B397" s="94" t="n"/>
      <c r="C397" s="88" t="n"/>
      <c r="D397" s="88" t="n"/>
      <c r="E397" s="88" t="n"/>
      <c r="F397" s="88" t="n"/>
      <c r="G397" s="88" t="n"/>
      <c r="H397" s="94" t="n"/>
      <c r="I397" s="4" t="n"/>
      <c r="J397" s="95" t="n"/>
      <c r="K397" s="213" t="n"/>
      <c r="L397" s="213" t="n"/>
      <c r="M397" s="213" t="n"/>
      <c r="N397" s="213" t="n"/>
      <c r="O397" s="213" t="n"/>
      <c r="P397" s="213" t="n"/>
      <c r="Q397" s="213" t="n"/>
      <c r="R397" s="213" t="n"/>
      <c r="S397" s="213" t="n"/>
      <c r="T397" s="213" t="n"/>
      <c r="U397" s="213" t="n"/>
      <c r="V397" s="213" t="n"/>
      <c r="W397" s="213" t="n"/>
      <c r="X397" s="213" t="n"/>
      <c r="Y397" s="213" t="n"/>
      <c r="Z397" s="213" t="n"/>
      <c r="AA397" s="213" t="n"/>
      <c r="AB397" s="213" t="n"/>
      <c r="AC397" s="213" t="n"/>
      <c r="AD397" s="213" t="n"/>
      <c r="AE397" s="213" t="n"/>
      <c r="AF397" s="213" t="n"/>
      <c r="AG397" s="213" t="n"/>
      <c r="AH397" s="213" t="n"/>
      <c r="AI397" s="213" t="n"/>
      <c r="AJ397" s="213" t="n"/>
      <c r="AK397" s="213" t="n"/>
    </row>
    <row r="398">
      <c r="B398" s="94" t="n"/>
      <c r="C398" s="88" t="n"/>
      <c r="D398" s="88" t="n"/>
      <c r="E398" s="88" t="n"/>
      <c r="F398" s="88" t="n"/>
      <c r="G398" s="88" t="n"/>
      <c r="H398" s="94" t="n"/>
      <c r="I398" s="4" t="n"/>
      <c r="J398" s="95" t="n"/>
      <c r="K398" s="213" t="n"/>
      <c r="L398" s="213" t="n"/>
      <c r="M398" s="213" t="n"/>
      <c r="N398" s="213" t="n"/>
      <c r="O398" s="213" t="n"/>
      <c r="P398" s="213" t="n"/>
      <c r="Q398" s="213" t="n"/>
      <c r="R398" s="213" t="n"/>
      <c r="S398" s="213" t="n"/>
      <c r="T398" s="213" t="n"/>
      <c r="U398" s="213" t="n"/>
      <c r="V398" s="213" t="n"/>
      <c r="W398" s="213" t="n"/>
      <c r="X398" s="213" t="n"/>
      <c r="Y398" s="213" t="n"/>
      <c r="Z398" s="213" t="n"/>
      <c r="AA398" s="213" t="n"/>
      <c r="AB398" s="213" t="n"/>
      <c r="AC398" s="213" t="n"/>
      <c r="AD398" s="213" t="n"/>
      <c r="AE398" s="213" t="n"/>
      <c r="AF398" s="213" t="n"/>
      <c r="AG398" s="213" t="n"/>
      <c r="AH398" s="213" t="n"/>
      <c r="AI398" s="213" t="n"/>
      <c r="AJ398" s="213" t="n"/>
      <c r="AK398" s="213" t="n"/>
    </row>
    <row r="399">
      <c r="B399" s="94" t="n"/>
      <c r="C399" s="88" t="n"/>
      <c r="D399" s="88" t="n"/>
      <c r="E399" s="88" t="n"/>
      <c r="F399" s="88" t="n"/>
      <c r="G399" s="88" t="n"/>
      <c r="H399" s="94" t="n"/>
      <c r="I399" s="4" t="n"/>
      <c r="J399" s="95" t="n"/>
      <c r="K399" s="213" t="n"/>
      <c r="L399" s="213" t="n"/>
      <c r="M399" s="213" t="n"/>
      <c r="N399" s="213" t="n"/>
      <c r="O399" s="213" t="n"/>
      <c r="P399" s="213" t="n"/>
      <c r="Q399" s="213" t="n"/>
      <c r="R399" s="213" t="n"/>
      <c r="S399" s="213" t="n"/>
      <c r="T399" s="213" t="n"/>
      <c r="U399" s="213" t="n"/>
      <c r="V399" s="213" t="n"/>
      <c r="W399" s="213" t="n"/>
      <c r="X399" s="213" t="n"/>
      <c r="Y399" s="213" t="n"/>
      <c r="Z399" s="213" t="n"/>
      <c r="AA399" s="213" t="n"/>
      <c r="AB399" s="213" t="n"/>
      <c r="AC399" s="213" t="n"/>
      <c r="AD399" s="213" t="n"/>
      <c r="AE399" s="213" t="n"/>
      <c r="AF399" s="213" t="n"/>
      <c r="AG399" s="213" t="n"/>
      <c r="AH399" s="213" t="n"/>
      <c r="AI399" s="213" t="n"/>
      <c r="AJ399" s="213" t="n"/>
      <c r="AK399" s="213" t="n"/>
    </row>
    <row r="400">
      <c r="B400" s="94" t="n"/>
      <c r="C400" s="88" t="n"/>
      <c r="D400" s="88" t="n"/>
      <c r="E400" s="88" t="n"/>
      <c r="F400" s="88" t="n"/>
      <c r="G400" s="88" t="n"/>
      <c r="H400" s="94" t="n"/>
      <c r="I400" s="4" t="n"/>
      <c r="J400" s="95" t="n"/>
      <c r="K400" s="213" t="n"/>
      <c r="L400" s="213" t="n"/>
      <c r="M400" s="213" t="n"/>
      <c r="N400" s="213" t="n"/>
      <c r="O400" s="213" t="n"/>
      <c r="P400" s="213" t="n"/>
      <c r="Q400" s="213" t="n"/>
      <c r="R400" s="213" t="n"/>
      <c r="S400" s="213" t="n"/>
      <c r="T400" s="213" t="n"/>
      <c r="U400" s="213" t="n"/>
      <c r="V400" s="213" t="n"/>
      <c r="W400" s="213" t="n"/>
      <c r="X400" s="213" t="n"/>
      <c r="Y400" s="213" t="n"/>
      <c r="Z400" s="213" t="n"/>
      <c r="AA400" s="213" t="n"/>
      <c r="AB400" s="213" t="n"/>
      <c r="AC400" s="213" t="n"/>
      <c r="AD400" s="213" t="n"/>
      <c r="AE400" s="213" t="n"/>
      <c r="AF400" s="213" t="n"/>
      <c r="AG400" s="213" t="n"/>
      <c r="AH400" s="213" t="n"/>
      <c r="AI400" s="213" t="n"/>
      <c r="AJ400" s="213" t="n"/>
      <c r="AK400" s="213" t="n"/>
    </row>
    <row r="401">
      <c r="B401" s="94" t="n"/>
      <c r="C401" s="88" t="n"/>
      <c r="D401" s="88" t="n"/>
      <c r="E401" s="88" t="n"/>
      <c r="F401" s="88" t="n"/>
      <c r="G401" s="88" t="n"/>
      <c r="H401" s="94" t="n"/>
      <c r="I401" s="4" t="n"/>
      <c r="J401" s="95" t="n"/>
      <c r="K401" s="213" t="n"/>
      <c r="L401" s="213" t="n"/>
      <c r="M401" s="213" t="n"/>
      <c r="N401" s="213" t="n"/>
      <c r="O401" s="213" t="n"/>
      <c r="P401" s="213" t="n"/>
      <c r="Q401" s="213" t="n"/>
      <c r="R401" s="213" t="n"/>
      <c r="S401" s="213" t="n"/>
      <c r="T401" s="213" t="n"/>
      <c r="U401" s="213" t="n"/>
      <c r="V401" s="213" t="n"/>
      <c r="W401" s="213" t="n"/>
      <c r="X401" s="213" t="n"/>
      <c r="Y401" s="213" t="n"/>
      <c r="Z401" s="213" t="n"/>
      <c r="AA401" s="213" t="n"/>
      <c r="AB401" s="213" t="n"/>
      <c r="AC401" s="213" t="n"/>
      <c r="AD401" s="213" t="n"/>
      <c r="AE401" s="213" t="n"/>
      <c r="AF401" s="213" t="n"/>
      <c r="AG401" s="213" t="n"/>
      <c r="AH401" s="213" t="n"/>
      <c r="AI401" s="213" t="n"/>
      <c r="AJ401" s="213" t="n"/>
      <c r="AK401" s="213" t="n"/>
    </row>
    <row r="402">
      <c r="B402" s="94" t="n"/>
      <c r="C402" s="88" t="n"/>
      <c r="D402" s="88" t="n"/>
      <c r="E402" s="88" t="n"/>
      <c r="F402" s="88" t="n"/>
      <c r="G402" s="88" t="n"/>
      <c r="H402" s="94" t="n"/>
      <c r="I402" s="4" t="n"/>
      <c r="J402" s="95" t="n"/>
      <c r="K402" s="213" t="n"/>
      <c r="L402" s="213" t="n"/>
      <c r="M402" s="213" t="n"/>
      <c r="N402" s="213" t="n"/>
      <c r="O402" s="213" t="n"/>
      <c r="P402" s="213" t="n"/>
      <c r="Q402" s="213" t="n"/>
      <c r="R402" s="213" t="n"/>
      <c r="S402" s="213" t="n"/>
      <c r="T402" s="213" t="n"/>
      <c r="U402" s="213" t="n"/>
      <c r="V402" s="213" t="n"/>
      <c r="W402" s="213" t="n"/>
      <c r="X402" s="213" t="n"/>
      <c r="Y402" s="213" t="n"/>
      <c r="Z402" s="213" t="n"/>
      <c r="AA402" s="213" t="n"/>
      <c r="AB402" s="213" t="n"/>
      <c r="AC402" s="213" t="n"/>
      <c r="AD402" s="213" t="n"/>
      <c r="AE402" s="213" t="n"/>
      <c r="AF402" s="213" t="n"/>
      <c r="AG402" s="213" t="n"/>
      <c r="AH402" s="213" t="n"/>
      <c r="AI402" s="213" t="n"/>
      <c r="AJ402" s="213" t="n"/>
      <c r="AK402" s="213" t="n"/>
    </row>
    <row r="403">
      <c r="B403" s="94" t="n"/>
      <c r="C403" s="88" t="n"/>
      <c r="D403" s="88" t="n"/>
      <c r="E403" s="88" t="n"/>
      <c r="F403" s="88" t="n"/>
      <c r="G403" s="88" t="n"/>
      <c r="H403" s="94" t="n"/>
      <c r="I403" s="4" t="n"/>
      <c r="J403" s="95" t="n"/>
      <c r="K403" s="213" t="n"/>
      <c r="L403" s="213" t="n"/>
      <c r="M403" s="213" t="n"/>
      <c r="N403" s="213" t="n"/>
      <c r="O403" s="213" t="n"/>
      <c r="P403" s="213" t="n"/>
      <c r="Q403" s="213" t="n"/>
      <c r="R403" s="213" t="n"/>
      <c r="S403" s="213" t="n"/>
      <c r="T403" s="213" t="n"/>
      <c r="U403" s="213" t="n"/>
      <c r="V403" s="213" t="n"/>
      <c r="W403" s="213" t="n"/>
      <c r="X403" s="213" t="n"/>
      <c r="Y403" s="213" t="n"/>
      <c r="Z403" s="213" t="n"/>
      <c r="AA403" s="213" t="n"/>
      <c r="AB403" s="213" t="n"/>
      <c r="AC403" s="213" t="n"/>
      <c r="AD403" s="213" t="n"/>
      <c r="AE403" s="213" t="n"/>
      <c r="AF403" s="213" t="n"/>
      <c r="AG403" s="213" t="n"/>
      <c r="AH403" s="213" t="n"/>
      <c r="AI403" s="213" t="n"/>
      <c r="AJ403" s="213" t="n"/>
      <c r="AK403" s="213" t="n"/>
    </row>
    <row r="404">
      <c r="B404" s="94" t="n"/>
      <c r="C404" s="88" t="n"/>
      <c r="D404" s="88" t="n"/>
      <c r="E404" s="88" t="n"/>
      <c r="F404" s="88" t="n"/>
      <c r="G404" s="88" t="n"/>
      <c r="H404" s="94" t="n"/>
      <c r="I404" s="4" t="n"/>
      <c r="J404" s="95" t="n"/>
      <c r="K404" s="213" t="n"/>
      <c r="L404" s="213" t="n"/>
      <c r="M404" s="213" t="n"/>
      <c r="N404" s="213" t="n"/>
      <c r="O404" s="213" t="n"/>
      <c r="P404" s="213" t="n"/>
      <c r="Q404" s="213" t="n"/>
      <c r="R404" s="213" t="n"/>
      <c r="S404" s="213" t="n"/>
      <c r="T404" s="213" t="n"/>
      <c r="U404" s="213" t="n"/>
      <c r="V404" s="213" t="n"/>
      <c r="W404" s="213" t="n"/>
      <c r="X404" s="213" t="n"/>
      <c r="Y404" s="213" t="n"/>
      <c r="Z404" s="213" t="n"/>
      <c r="AA404" s="213" t="n"/>
      <c r="AB404" s="213" t="n"/>
      <c r="AC404" s="213" t="n"/>
      <c r="AD404" s="213" t="n"/>
      <c r="AE404" s="213" t="n"/>
      <c r="AF404" s="213" t="n"/>
      <c r="AG404" s="213" t="n"/>
      <c r="AH404" s="213" t="n"/>
      <c r="AI404" s="213" t="n"/>
      <c r="AJ404" s="213" t="n"/>
      <c r="AK404" s="213" t="n"/>
    </row>
    <row r="405">
      <c r="B405" s="94" t="n"/>
      <c r="C405" s="88" t="n"/>
      <c r="D405" s="88" t="n"/>
      <c r="E405" s="88" t="n"/>
      <c r="F405" s="88" t="n"/>
      <c r="G405" s="88" t="n"/>
      <c r="H405" s="94" t="n"/>
      <c r="I405" s="4" t="n"/>
      <c r="J405" s="95" t="n"/>
      <c r="K405" s="213" t="n"/>
      <c r="L405" s="213" t="n"/>
      <c r="M405" s="213" t="n"/>
      <c r="N405" s="213" t="n"/>
      <c r="O405" s="213" t="n"/>
      <c r="P405" s="213" t="n"/>
      <c r="Q405" s="213" t="n"/>
      <c r="R405" s="213" t="n"/>
      <c r="S405" s="213" t="n"/>
      <c r="T405" s="213" t="n"/>
      <c r="U405" s="213" t="n"/>
      <c r="V405" s="213" t="n"/>
      <c r="W405" s="213" t="n"/>
      <c r="X405" s="213" t="n"/>
      <c r="Y405" s="213" t="n"/>
      <c r="Z405" s="213" t="n"/>
      <c r="AA405" s="213" t="n"/>
      <c r="AB405" s="213" t="n"/>
      <c r="AC405" s="213" t="n"/>
      <c r="AD405" s="213" t="n"/>
      <c r="AE405" s="213" t="n"/>
      <c r="AF405" s="213" t="n"/>
      <c r="AG405" s="213" t="n"/>
      <c r="AH405" s="213" t="n"/>
      <c r="AI405" s="213" t="n"/>
      <c r="AJ405" s="213" t="n"/>
      <c r="AK405" s="213" t="n"/>
    </row>
    <row r="406">
      <c r="B406" s="94" t="n"/>
      <c r="C406" s="88" t="n"/>
      <c r="D406" s="88" t="n"/>
      <c r="E406" s="88" t="n"/>
      <c r="F406" s="88" t="n"/>
      <c r="G406" s="88" t="n"/>
      <c r="H406" s="94" t="n"/>
      <c r="I406" s="4" t="n"/>
      <c r="J406" s="95" t="n"/>
      <c r="K406" s="213" t="n"/>
      <c r="L406" s="213" t="n"/>
      <c r="M406" s="213" t="n"/>
      <c r="N406" s="213" t="n"/>
      <c r="O406" s="213" t="n"/>
      <c r="P406" s="213" t="n"/>
      <c r="Q406" s="213" t="n"/>
      <c r="R406" s="213" t="n"/>
      <c r="S406" s="213" t="n"/>
      <c r="T406" s="213" t="n"/>
      <c r="U406" s="213" t="n"/>
      <c r="V406" s="213" t="n"/>
      <c r="W406" s="213" t="n"/>
      <c r="X406" s="213" t="n"/>
      <c r="Y406" s="213" t="n"/>
      <c r="Z406" s="213" t="n"/>
      <c r="AA406" s="213" t="n"/>
      <c r="AB406" s="213" t="n"/>
      <c r="AC406" s="213" t="n"/>
      <c r="AD406" s="213" t="n"/>
      <c r="AE406" s="213" t="n"/>
      <c r="AF406" s="213" t="n"/>
      <c r="AG406" s="213" t="n"/>
      <c r="AH406" s="213" t="n"/>
      <c r="AI406" s="213" t="n"/>
      <c r="AJ406" s="213" t="n"/>
      <c r="AK406" s="213" t="n"/>
    </row>
    <row r="407">
      <c r="B407" s="94" t="n"/>
      <c r="C407" s="88" t="n"/>
      <c r="D407" s="88" t="n"/>
      <c r="E407" s="88" t="n"/>
      <c r="F407" s="88" t="n"/>
      <c r="G407" s="88" t="n"/>
      <c r="H407" s="94" t="n"/>
      <c r="I407" s="4" t="n"/>
      <c r="J407" s="95" t="n"/>
      <c r="K407" s="213" t="n"/>
      <c r="L407" s="213" t="n"/>
      <c r="M407" s="213" t="n"/>
      <c r="N407" s="213" t="n"/>
      <c r="O407" s="213" t="n"/>
      <c r="P407" s="213" t="n"/>
      <c r="Q407" s="213" t="n"/>
      <c r="R407" s="213" t="n"/>
      <c r="S407" s="213" t="n"/>
      <c r="T407" s="213" t="n"/>
      <c r="U407" s="213" t="n"/>
      <c r="V407" s="213" t="n"/>
      <c r="W407" s="213" t="n"/>
      <c r="X407" s="213" t="n"/>
      <c r="Y407" s="213" t="n"/>
      <c r="Z407" s="213" t="n"/>
      <c r="AA407" s="213" t="n"/>
      <c r="AB407" s="213" t="n"/>
      <c r="AC407" s="213" t="n"/>
      <c r="AD407" s="213" t="n"/>
      <c r="AE407" s="213" t="n"/>
      <c r="AF407" s="213" t="n"/>
      <c r="AG407" s="213" t="n"/>
      <c r="AH407" s="213" t="n"/>
      <c r="AI407" s="213" t="n"/>
      <c r="AJ407" s="213" t="n"/>
      <c r="AK407" s="213" t="n"/>
    </row>
    <row r="408">
      <c r="B408" s="94" t="n"/>
      <c r="C408" s="88" t="n"/>
      <c r="D408" s="88" t="n"/>
      <c r="E408" s="88" t="n"/>
      <c r="F408" s="88" t="n"/>
      <c r="G408" s="88" t="n"/>
      <c r="H408" s="94" t="n"/>
      <c r="I408" s="4" t="n"/>
      <c r="J408" s="95" t="n"/>
      <c r="K408" s="213" t="n"/>
      <c r="L408" s="213" t="n"/>
      <c r="M408" s="213" t="n"/>
      <c r="N408" s="213" t="n"/>
      <c r="O408" s="213" t="n"/>
      <c r="P408" s="213" t="n"/>
      <c r="Q408" s="213" t="n"/>
      <c r="R408" s="213" t="n"/>
      <c r="S408" s="213" t="n"/>
      <c r="T408" s="213" t="n"/>
      <c r="U408" s="213" t="n"/>
      <c r="V408" s="213" t="n"/>
      <c r="W408" s="213" t="n"/>
      <c r="X408" s="213" t="n"/>
      <c r="Y408" s="213" t="n"/>
      <c r="Z408" s="213" t="n"/>
      <c r="AA408" s="213" t="n"/>
      <c r="AB408" s="213" t="n"/>
      <c r="AC408" s="213" t="n"/>
      <c r="AD408" s="213" t="n"/>
      <c r="AE408" s="213" t="n"/>
      <c r="AF408" s="213" t="n"/>
      <c r="AG408" s="213" t="n"/>
      <c r="AH408" s="213" t="n"/>
      <c r="AI408" s="213" t="n"/>
      <c r="AJ408" s="213" t="n"/>
      <c r="AK408" s="213" t="n"/>
    </row>
    <row r="409">
      <c r="B409" s="94" t="n"/>
      <c r="C409" s="88" t="n"/>
      <c r="D409" s="88" t="n"/>
      <c r="E409" s="88" t="n"/>
      <c r="F409" s="88" t="n"/>
      <c r="G409" s="88" t="n"/>
      <c r="H409" s="94" t="n"/>
      <c r="I409" s="4" t="n"/>
      <c r="J409" s="95" t="n"/>
      <c r="K409" s="213" t="n"/>
      <c r="L409" s="213" t="n"/>
      <c r="M409" s="213" t="n"/>
      <c r="N409" s="213" t="n"/>
      <c r="O409" s="213" t="n"/>
      <c r="P409" s="213" t="n"/>
      <c r="Q409" s="213" t="n"/>
      <c r="R409" s="213" t="n"/>
      <c r="S409" s="213" t="n"/>
      <c r="T409" s="213" t="n"/>
      <c r="U409" s="213" t="n"/>
      <c r="V409" s="213" t="n"/>
      <c r="W409" s="213" t="n"/>
      <c r="X409" s="213" t="n"/>
      <c r="Y409" s="213" t="n"/>
      <c r="Z409" s="213" t="n"/>
      <c r="AA409" s="213" t="n"/>
      <c r="AB409" s="213" t="n"/>
      <c r="AC409" s="213" t="n"/>
      <c r="AD409" s="213" t="n"/>
      <c r="AE409" s="213" t="n"/>
      <c r="AF409" s="213" t="n"/>
      <c r="AG409" s="213" t="n"/>
      <c r="AH409" s="213" t="n"/>
      <c r="AI409" s="213" t="n"/>
      <c r="AJ409" s="213" t="n"/>
      <c r="AK409" s="213" t="n"/>
    </row>
    <row r="410">
      <c r="B410" s="94" t="n"/>
      <c r="C410" s="88" t="n"/>
      <c r="D410" s="88" t="n"/>
      <c r="E410" s="88" t="n"/>
      <c r="F410" s="88" t="n"/>
      <c r="G410" s="88" t="n"/>
      <c r="H410" s="94" t="n"/>
      <c r="I410" s="4" t="n"/>
      <c r="J410" s="95" t="n"/>
      <c r="K410" s="213" t="n"/>
      <c r="L410" s="213" t="n"/>
      <c r="M410" s="213" t="n"/>
      <c r="N410" s="213" t="n"/>
      <c r="O410" s="213" t="n"/>
      <c r="P410" s="213" t="n"/>
      <c r="Q410" s="213" t="n"/>
      <c r="R410" s="213" t="n"/>
      <c r="S410" s="213" t="n"/>
      <c r="T410" s="213" t="n"/>
      <c r="U410" s="213" t="n"/>
      <c r="V410" s="213" t="n"/>
      <c r="W410" s="213" t="n"/>
      <c r="X410" s="213" t="n"/>
      <c r="Y410" s="213" t="n"/>
      <c r="Z410" s="213" t="n"/>
      <c r="AA410" s="213" t="n"/>
      <c r="AB410" s="213" t="n"/>
      <c r="AC410" s="213" t="n"/>
      <c r="AD410" s="213" t="n"/>
      <c r="AE410" s="213" t="n"/>
      <c r="AF410" s="213" t="n"/>
      <c r="AG410" s="213" t="n"/>
      <c r="AH410" s="213" t="n"/>
      <c r="AI410" s="213" t="n"/>
      <c r="AJ410" s="213" t="n"/>
      <c r="AK410" s="213" t="n"/>
    </row>
    <row r="411">
      <c r="B411" s="94" t="n"/>
      <c r="C411" s="88" t="n"/>
      <c r="D411" s="88" t="n"/>
      <c r="E411" s="88" t="n"/>
      <c r="F411" s="88" t="n"/>
      <c r="G411" s="88" t="n"/>
      <c r="H411" s="94" t="n"/>
      <c r="I411" s="4" t="n"/>
      <c r="J411" s="95" t="n"/>
      <c r="K411" s="213" t="n"/>
      <c r="L411" s="213" t="n"/>
      <c r="M411" s="213" t="n"/>
      <c r="N411" s="213" t="n"/>
      <c r="O411" s="213" t="n"/>
      <c r="P411" s="213" t="n"/>
      <c r="Q411" s="213" t="n"/>
      <c r="R411" s="213" t="n"/>
      <c r="S411" s="213" t="n"/>
      <c r="T411" s="213" t="n"/>
      <c r="U411" s="213" t="n"/>
      <c r="V411" s="213" t="n"/>
      <c r="W411" s="213" t="n"/>
      <c r="X411" s="213" t="n"/>
      <c r="Y411" s="213" t="n"/>
      <c r="Z411" s="213" t="n"/>
      <c r="AA411" s="213" t="n"/>
      <c r="AB411" s="213" t="n"/>
      <c r="AC411" s="213" t="n"/>
      <c r="AD411" s="213" t="n"/>
      <c r="AE411" s="213" t="n"/>
      <c r="AF411" s="213" t="n"/>
      <c r="AG411" s="213" t="n"/>
      <c r="AH411" s="213" t="n"/>
      <c r="AI411" s="213" t="n"/>
      <c r="AJ411" s="213" t="n"/>
      <c r="AK411" s="213" t="n"/>
    </row>
    <row r="412">
      <c r="B412" s="94" t="n"/>
      <c r="C412" s="88" t="n"/>
      <c r="D412" s="88" t="n"/>
      <c r="E412" s="88" t="n"/>
      <c r="F412" s="88" t="n"/>
      <c r="G412" s="88" t="n"/>
      <c r="H412" s="94" t="n"/>
      <c r="I412" s="4" t="n"/>
      <c r="J412" s="95" t="n"/>
      <c r="K412" s="213" t="n"/>
      <c r="L412" s="213" t="n"/>
      <c r="M412" s="213" t="n"/>
      <c r="N412" s="213" t="n"/>
      <c r="O412" s="213" t="n"/>
      <c r="P412" s="213" t="n"/>
      <c r="Q412" s="213" t="n"/>
      <c r="R412" s="213" t="n"/>
      <c r="S412" s="213" t="n"/>
      <c r="T412" s="213" t="n"/>
      <c r="U412" s="213" t="n"/>
      <c r="V412" s="213" t="n"/>
      <c r="W412" s="213" t="n"/>
      <c r="X412" s="213" t="n"/>
      <c r="Y412" s="213" t="n"/>
      <c r="Z412" s="213" t="n"/>
      <c r="AA412" s="213" t="n"/>
      <c r="AB412" s="213" t="n"/>
      <c r="AC412" s="213" t="n"/>
      <c r="AD412" s="213" t="n"/>
      <c r="AE412" s="213" t="n"/>
      <c r="AF412" s="213" t="n"/>
      <c r="AG412" s="213" t="n"/>
      <c r="AH412" s="213" t="n"/>
      <c r="AI412" s="213" t="n"/>
      <c r="AJ412" s="213" t="n"/>
      <c r="AK412" s="213" t="n"/>
    </row>
    <row r="413">
      <c r="B413" s="94" t="n"/>
      <c r="C413" s="88" t="n"/>
      <c r="D413" s="88" t="n"/>
      <c r="E413" s="88" t="n"/>
      <c r="F413" s="88" t="n"/>
      <c r="G413" s="88" t="n"/>
      <c r="H413" s="94" t="n"/>
      <c r="I413" s="4" t="n"/>
      <c r="J413" s="95" t="n"/>
      <c r="K413" s="213" t="n"/>
      <c r="L413" s="213" t="n"/>
      <c r="M413" s="213" t="n"/>
      <c r="N413" s="213" t="n"/>
      <c r="O413" s="213" t="n"/>
      <c r="P413" s="213" t="n"/>
      <c r="Q413" s="213" t="n"/>
      <c r="R413" s="213" t="n"/>
      <c r="S413" s="213" t="n"/>
      <c r="T413" s="213" t="n"/>
      <c r="U413" s="213" t="n"/>
      <c r="V413" s="213" t="n"/>
      <c r="W413" s="213" t="n"/>
      <c r="X413" s="213" t="n"/>
      <c r="Y413" s="213" t="n"/>
      <c r="Z413" s="213" t="n"/>
      <c r="AA413" s="213" t="n"/>
      <c r="AB413" s="213" t="n"/>
      <c r="AC413" s="213" t="n"/>
      <c r="AD413" s="213" t="n"/>
      <c r="AE413" s="213" t="n"/>
      <c r="AF413" s="213" t="n"/>
      <c r="AG413" s="213" t="n"/>
      <c r="AH413" s="213" t="n"/>
      <c r="AI413" s="213" t="n"/>
      <c r="AJ413" s="213" t="n"/>
      <c r="AK413" s="213" t="n"/>
    </row>
    <row r="414">
      <c r="B414" s="94" t="n"/>
      <c r="C414" s="88" t="n"/>
      <c r="D414" s="88" t="n"/>
      <c r="E414" s="88" t="n"/>
      <c r="F414" s="88" t="n"/>
      <c r="G414" s="88" t="n"/>
      <c r="H414" s="94" t="n"/>
      <c r="I414" s="4" t="n"/>
      <c r="J414" s="95" t="n"/>
      <c r="K414" s="213" t="n"/>
      <c r="L414" s="213" t="n"/>
      <c r="M414" s="213" t="n"/>
      <c r="N414" s="213" t="n"/>
      <c r="O414" s="213" t="n"/>
      <c r="P414" s="213" t="n"/>
      <c r="Q414" s="213" t="n"/>
      <c r="R414" s="213" t="n"/>
      <c r="S414" s="213" t="n"/>
      <c r="T414" s="213" t="n"/>
      <c r="U414" s="213" t="n"/>
      <c r="V414" s="213" t="n"/>
      <c r="W414" s="213" t="n"/>
      <c r="X414" s="213" t="n"/>
      <c r="Y414" s="213" t="n"/>
      <c r="Z414" s="213" t="n"/>
      <c r="AA414" s="213" t="n"/>
      <c r="AB414" s="213" t="n"/>
      <c r="AC414" s="213" t="n"/>
      <c r="AD414" s="213" t="n"/>
      <c r="AE414" s="213" t="n"/>
      <c r="AF414" s="213" t="n"/>
      <c r="AG414" s="213" t="n"/>
      <c r="AH414" s="213" t="n"/>
      <c r="AI414" s="213" t="n"/>
      <c r="AJ414" s="213" t="n"/>
      <c r="AK414" s="213" t="n"/>
    </row>
    <row r="415">
      <c r="B415" s="94" t="n"/>
      <c r="C415" s="88" t="n"/>
      <c r="D415" s="88" t="n"/>
      <c r="E415" s="88" t="n"/>
      <c r="F415" s="88" t="n"/>
      <c r="G415" s="88" t="n"/>
      <c r="H415" s="94" t="n"/>
      <c r="I415" s="4" t="n"/>
      <c r="J415" s="95" t="n"/>
      <c r="K415" s="213" t="n"/>
      <c r="L415" s="213" t="n"/>
      <c r="M415" s="213" t="n"/>
      <c r="N415" s="213" t="n"/>
      <c r="O415" s="213" t="n"/>
      <c r="P415" s="213" t="n"/>
      <c r="Q415" s="213" t="n"/>
      <c r="R415" s="213" t="n"/>
      <c r="S415" s="213" t="n"/>
      <c r="T415" s="213" t="n"/>
      <c r="U415" s="213" t="n"/>
      <c r="V415" s="213" t="n"/>
      <c r="W415" s="213" t="n"/>
      <c r="X415" s="213" t="n"/>
      <c r="Y415" s="213" t="n"/>
      <c r="Z415" s="213" t="n"/>
      <c r="AA415" s="213" t="n"/>
      <c r="AB415" s="213" t="n"/>
      <c r="AC415" s="213" t="n"/>
      <c r="AD415" s="213" t="n"/>
      <c r="AE415" s="213" t="n"/>
      <c r="AF415" s="213" t="n"/>
      <c r="AG415" s="213" t="n"/>
      <c r="AH415" s="213" t="n"/>
      <c r="AI415" s="213" t="n"/>
      <c r="AJ415" s="213" t="n"/>
      <c r="AK415" s="213" t="n"/>
    </row>
    <row r="416">
      <c r="B416" s="94" t="n"/>
      <c r="C416" s="88" t="n"/>
      <c r="D416" s="88" t="n"/>
      <c r="E416" s="88" t="n"/>
      <c r="F416" s="88" t="n"/>
      <c r="G416" s="88" t="n"/>
      <c r="H416" s="94" t="n"/>
      <c r="I416" s="4" t="n"/>
      <c r="J416" s="95" t="n"/>
      <c r="K416" s="213" t="n"/>
      <c r="L416" s="213" t="n"/>
      <c r="M416" s="213" t="n"/>
      <c r="N416" s="213" t="n"/>
      <c r="O416" s="213" t="n"/>
      <c r="P416" s="213" t="n"/>
      <c r="Q416" s="213" t="n"/>
      <c r="R416" s="213" t="n"/>
      <c r="S416" s="213" t="n"/>
      <c r="T416" s="213" t="n"/>
      <c r="U416" s="213" t="n"/>
      <c r="V416" s="213" t="n"/>
      <c r="W416" s="213" t="n"/>
      <c r="X416" s="213" t="n"/>
      <c r="Y416" s="213" t="n"/>
      <c r="Z416" s="213" t="n"/>
      <c r="AA416" s="213" t="n"/>
      <c r="AB416" s="213" t="n"/>
      <c r="AC416" s="213" t="n"/>
      <c r="AD416" s="213" t="n"/>
      <c r="AE416" s="213" t="n"/>
      <c r="AF416" s="213" t="n"/>
      <c r="AG416" s="213" t="n"/>
      <c r="AH416" s="213" t="n"/>
      <c r="AI416" s="213" t="n"/>
      <c r="AJ416" s="213" t="n"/>
      <c r="AK416" s="213" t="n"/>
    </row>
    <row r="417">
      <c r="B417" s="94" t="n"/>
      <c r="C417" s="88" t="n"/>
      <c r="D417" s="88" t="n"/>
      <c r="E417" s="88" t="n"/>
      <c r="F417" s="88" t="n"/>
      <c r="G417" s="88" t="n"/>
      <c r="H417" s="94" t="n"/>
      <c r="I417" s="4" t="n"/>
      <c r="J417" s="95" t="n"/>
      <c r="K417" s="213" t="n"/>
      <c r="L417" s="213" t="n"/>
      <c r="M417" s="213" t="n"/>
      <c r="N417" s="213" t="n"/>
      <c r="O417" s="213" t="n"/>
      <c r="P417" s="213" t="n"/>
      <c r="Q417" s="213" t="n"/>
      <c r="R417" s="213" t="n"/>
      <c r="S417" s="213" t="n"/>
      <c r="T417" s="213" t="n"/>
      <c r="U417" s="213" t="n"/>
      <c r="V417" s="213" t="n"/>
      <c r="W417" s="213" t="n"/>
      <c r="X417" s="213" t="n"/>
      <c r="Y417" s="213" t="n"/>
      <c r="Z417" s="213" t="n"/>
      <c r="AA417" s="213" t="n"/>
      <c r="AB417" s="213" t="n"/>
      <c r="AC417" s="213" t="n"/>
      <c r="AD417" s="213" t="n"/>
      <c r="AE417" s="213" t="n"/>
      <c r="AF417" s="213" t="n"/>
      <c r="AG417" s="213" t="n"/>
      <c r="AH417" s="213" t="n"/>
      <c r="AI417" s="213" t="n"/>
      <c r="AJ417" s="213" t="n"/>
      <c r="AK417" s="213" t="n"/>
    </row>
    <row r="418">
      <c r="B418" s="94" t="n"/>
      <c r="C418" s="88" t="n"/>
      <c r="D418" s="88" t="n"/>
      <c r="E418" s="88" t="n"/>
      <c r="F418" s="88" t="n"/>
      <c r="G418" s="88" t="n"/>
      <c r="H418" s="94" t="n"/>
      <c r="I418" s="4" t="n"/>
      <c r="J418" s="95" t="n"/>
      <c r="K418" s="213" t="n"/>
      <c r="L418" s="213" t="n"/>
      <c r="M418" s="213" t="n"/>
      <c r="N418" s="213" t="n"/>
      <c r="O418" s="213" t="n"/>
      <c r="P418" s="213" t="n"/>
      <c r="Q418" s="213" t="n"/>
      <c r="R418" s="213" t="n"/>
      <c r="S418" s="213" t="n"/>
      <c r="T418" s="213" t="n"/>
      <c r="U418" s="213" t="n"/>
      <c r="V418" s="213" t="n"/>
      <c r="W418" s="213" t="n"/>
      <c r="X418" s="213" t="n"/>
      <c r="Y418" s="213" t="n"/>
      <c r="Z418" s="213" t="n"/>
      <c r="AA418" s="213" t="n"/>
      <c r="AB418" s="213" t="n"/>
      <c r="AC418" s="213" t="n"/>
      <c r="AD418" s="213" t="n"/>
      <c r="AE418" s="213" t="n"/>
      <c r="AF418" s="213" t="n"/>
      <c r="AG418" s="213" t="n"/>
      <c r="AH418" s="213" t="n"/>
      <c r="AI418" s="213" t="n"/>
      <c r="AJ418" s="213" t="n"/>
      <c r="AK418" s="213" t="n"/>
    </row>
    <row r="419">
      <c r="B419" s="94" t="n"/>
      <c r="C419" s="88" t="n"/>
      <c r="D419" s="88" t="n"/>
      <c r="E419" s="88" t="n"/>
      <c r="F419" s="88" t="n"/>
      <c r="G419" s="88" t="n"/>
      <c r="H419" s="94" t="n"/>
      <c r="I419" s="4" t="n"/>
      <c r="J419" s="95" t="n"/>
      <c r="K419" s="213" t="n"/>
      <c r="L419" s="213" t="n"/>
      <c r="M419" s="213" t="n"/>
      <c r="N419" s="213" t="n"/>
      <c r="O419" s="213" t="n"/>
      <c r="P419" s="213" t="n"/>
      <c r="Q419" s="213" t="n"/>
      <c r="R419" s="213" t="n"/>
      <c r="S419" s="213" t="n"/>
      <c r="T419" s="213" t="n"/>
      <c r="U419" s="213" t="n"/>
      <c r="V419" s="213" t="n"/>
      <c r="W419" s="213" t="n"/>
      <c r="X419" s="213" t="n"/>
      <c r="Y419" s="213" t="n"/>
      <c r="Z419" s="213" t="n"/>
      <c r="AA419" s="213" t="n"/>
      <c r="AB419" s="213" t="n"/>
      <c r="AC419" s="213" t="n"/>
      <c r="AD419" s="213" t="n"/>
      <c r="AE419" s="213" t="n"/>
      <c r="AF419" s="213" t="n"/>
      <c r="AG419" s="213" t="n"/>
      <c r="AH419" s="213" t="n"/>
      <c r="AI419" s="213" t="n"/>
      <c r="AJ419" s="213" t="n"/>
      <c r="AK419" s="213" t="n"/>
    </row>
    <row r="420">
      <c r="B420" s="94" t="n"/>
      <c r="C420" s="88" t="n"/>
      <c r="D420" s="88" t="n"/>
      <c r="E420" s="88" t="n"/>
      <c r="F420" s="88" t="n"/>
      <c r="G420" s="88" t="n"/>
      <c r="H420" s="94" t="n"/>
      <c r="I420" s="4" t="n"/>
      <c r="J420" s="95" t="n"/>
      <c r="K420" s="213" t="n"/>
      <c r="L420" s="213" t="n"/>
      <c r="M420" s="213" t="n"/>
      <c r="N420" s="213" t="n"/>
      <c r="O420" s="213" t="n"/>
      <c r="P420" s="213" t="n"/>
      <c r="Q420" s="213" t="n"/>
      <c r="R420" s="213" t="n"/>
      <c r="S420" s="213" t="n"/>
      <c r="T420" s="213" t="n"/>
      <c r="U420" s="213" t="n"/>
      <c r="V420" s="213" t="n"/>
      <c r="W420" s="213" t="n"/>
      <c r="X420" s="213" t="n"/>
      <c r="Y420" s="213" t="n"/>
      <c r="Z420" s="213" t="n"/>
      <c r="AA420" s="213" t="n"/>
      <c r="AB420" s="213" t="n"/>
      <c r="AC420" s="213" t="n"/>
      <c r="AD420" s="213" t="n"/>
      <c r="AE420" s="213" t="n"/>
      <c r="AF420" s="213" t="n"/>
      <c r="AG420" s="213" t="n"/>
      <c r="AH420" s="213" t="n"/>
      <c r="AI420" s="213" t="n"/>
      <c r="AJ420" s="213" t="n"/>
      <c r="AK420" s="213" t="n"/>
    </row>
    <row r="421">
      <c r="B421" s="94" t="n"/>
      <c r="C421" s="88" t="n"/>
      <c r="D421" s="88" t="n"/>
      <c r="E421" s="88" t="n"/>
      <c r="F421" s="88" t="n"/>
      <c r="G421" s="88" t="n"/>
      <c r="H421" s="94" t="n"/>
      <c r="I421" s="4" t="n"/>
      <c r="J421" s="95" t="n"/>
      <c r="K421" s="213" t="n"/>
      <c r="L421" s="213" t="n"/>
      <c r="M421" s="213" t="n"/>
      <c r="N421" s="213" t="n"/>
      <c r="O421" s="213" t="n"/>
      <c r="P421" s="213" t="n"/>
      <c r="Q421" s="213" t="n"/>
      <c r="R421" s="213" t="n"/>
      <c r="S421" s="213" t="n"/>
      <c r="T421" s="213" t="n"/>
      <c r="U421" s="213" t="n"/>
      <c r="V421" s="213" t="n"/>
      <c r="W421" s="213" t="n"/>
      <c r="X421" s="213" t="n"/>
      <c r="Y421" s="213" t="n"/>
      <c r="Z421" s="213" t="n"/>
      <c r="AA421" s="213" t="n"/>
      <c r="AB421" s="213" t="n"/>
      <c r="AC421" s="213" t="n"/>
      <c r="AD421" s="213" t="n"/>
      <c r="AE421" s="213" t="n"/>
      <c r="AF421" s="213" t="n"/>
      <c r="AG421" s="213" t="n"/>
      <c r="AH421" s="213" t="n"/>
      <c r="AI421" s="213" t="n"/>
      <c r="AJ421" s="213" t="n"/>
      <c r="AK421" s="213" t="n"/>
    </row>
    <row r="422">
      <c r="B422" s="94" t="n"/>
      <c r="C422" s="88" t="n"/>
      <c r="D422" s="88" t="n"/>
      <c r="E422" s="88" t="n"/>
      <c r="F422" s="88" t="n"/>
      <c r="G422" s="88" t="n"/>
      <c r="H422" s="94" t="n"/>
      <c r="I422" s="4" t="n"/>
      <c r="J422" s="95" t="n"/>
      <c r="K422" s="213" t="n"/>
      <c r="L422" s="213" t="n"/>
      <c r="M422" s="213" t="n"/>
      <c r="N422" s="213" t="n"/>
      <c r="O422" s="213" t="n"/>
      <c r="P422" s="213" t="n"/>
      <c r="Q422" s="213" t="n"/>
      <c r="R422" s="213" t="n"/>
      <c r="S422" s="213" t="n"/>
      <c r="T422" s="213" t="n"/>
      <c r="U422" s="213" t="n"/>
      <c r="V422" s="213" t="n"/>
      <c r="W422" s="213" t="n"/>
      <c r="X422" s="213" t="n"/>
      <c r="Y422" s="213" t="n"/>
      <c r="Z422" s="213" t="n"/>
      <c r="AA422" s="213" t="n"/>
      <c r="AB422" s="213" t="n"/>
      <c r="AC422" s="213" t="n"/>
      <c r="AD422" s="213" t="n"/>
      <c r="AE422" s="213" t="n"/>
      <c r="AF422" s="213" t="n"/>
      <c r="AG422" s="213" t="n"/>
      <c r="AH422" s="213" t="n"/>
      <c r="AI422" s="213" t="n"/>
      <c r="AJ422" s="213" t="n"/>
      <c r="AK422" s="213" t="n"/>
    </row>
    <row r="423">
      <c r="B423" s="94" t="n"/>
      <c r="C423" s="88" t="n"/>
      <c r="D423" s="88" t="n"/>
      <c r="E423" s="88" t="n"/>
      <c r="F423" s="88" t="n"/>
      <c r="G423" s="88" t="n"/>
      <c r="H423" s="94" t="n"/>
      <c r="I423" s="4" t="n"/>
      <c r="J423" s="95" t="n"/>
      <c r="K423" s="213" t="n"/>
      <c r="L423" s="213" t="n"/>
      <c r="M423" s="213" t="n"/>
      <c r="N423" s="213" t="n"/>
      <c r="O423" s="213" t="n"/>
      <c r="P423" s="213" t="n"/>
      <c r="Q423" s="213" t="n"/>
      <c r="R423" s="213" t="n"/>
      <c r="S423" s="213" t="n"/>
      <c r="T423" s="213" t="n"/>
      <c r="U423" s="213" t="n"/>
      <c r="V423" s="213" t="n"/>
      <c r="W423" s="213" t="n"/>
      <c r="X423" s="213" t="n"/>
      <c r="Y423" s="213" t="n"/>
      <c r="Z423" s="213" t="n"/>
      <c r="AA423" s="213" t="n"/>
      <c r="AB423" s="213" t="n"/>
      <c r="AC423" s="213" t="n"/>
      <c r="AD423" s="213" t="n"/>
      <c r="AE423" s="213" t="n"/>
      <c r="AF423" s="213" t="n"/>
      <c r="AG423" s="213" t="n"/>
      <c r="AH423" s="213" t="n"/>
      <c r="AI423" s="213" t="n"/>
      <c r="AJ423" s="213" t="n"/>
      <c r="AK423" s="213" t="n"/>
    </row>
    <row r="424">
      <c r="B424" s="94" t="n"/>
      <c r="C424" s="88" t="n"/>
      <c r="D424" s="88" t="n"/>
      <c r="E424" s="88" t="n"/>
      <c r="F424" s="88" t="n"/>
      <c r="G424" s="88" t="n"/>
      <c r="H424" s="94" t="n"/>
      <c r="I424" s="4" t="n"/>
      <c r="J424" s="95" t="n"/>
      <c r="K424" s="213" t="n"/>
      <c r="L424" s="213" t="n"/>
      <c r="M424" s="213" t="n"/>
      <c r="N424" s="213" t="n"/>
      <c r="O424" s="213" t="n"/>
      <c r="P424" s="213" t="n"/>
      <c r="Q424" s="213" t="n"/>
      <c r="R424" s="213" t="n"/>
      <c r="S424" s="213" t="n"/>
      <c r="T424" s="213" t="n"/>
      <c r="U424" s="213" t="n"/>
      <c r="V424" s="213" t="n"/>
      <c r="W424" s="213" t="n"/>
      <c r="X424" s="213" t="n"/>
      <c r="Y424" s="213" t="n"/>
      <c r="Z424" s="213" t="n"/>
      <c r="AA424" s="213" t="n"/>
      <c r="AB424" s="213" t="n"/>
      <c r="AC424" s="213" t="n"/>
      <c r="AD424" s="213" t="n"/>
      <c r="AE424" s="213" t="n"/>
      <c r="AF424" s="213" t="n"/>
      <c r="AG424" s="213" t="n"/>
      <c r="AH424" s="213" t="n"/>
      <c r="AI424" s="213" t="n"/>
      <c r="AJ424" s="213" t="n"/>
      <c r="AK424" s="213" t="n"/>
    </row>
    <row r="425">
      <c r="B425" s="94" t="n"/>
      <c r="C425" s="88" t="n"/>
      <c r="D425" s="88" t="n"/>
      <c r="E425" s="88" t="n"/>
      <c r="F425" s="88" t="n"/>
      <c r="G425" s="88" t="n"/>
      <c r="H425" s="94" t="n"/>
      <c r="I425" s="4" t="n"/>
      <c r="J425" s="95" t="n"/>
      <c r="K425" s="213" t="n"/>
      <c r="L425" s="213" t="n"/>
      <c r="M425" s="213" t="n"/>
      <c r="N425" s="213" t="n"/>
      <c r="O425" s="213" t="n"/>
      <c r="P425" s="213" t="n"/>
      <c r="Q425" s="213" t="n"/>
      <c r="R425" s="213" t="n"/>
      <c r="S425" s="213" t="n"/>
      <c r="T425" s="213" t="n"/>
      <c r="U425" s="213" t="n"/>
      <c r="V425" s="213" t="n"/>
      <c r="W425" s="213" t="n"/>
      <c r="X425" s="213" t="n"/>
      <c r="Y425" s="213" t="n"/>
      <c r="Z425" s="213" t="n"/>
      <c r="AA425" s="213" t="n"/>
      <c r="AB425" s="213" t="n"/>
      <c r="AC425" s="213" t="n"/>
      <c r="AD425" s="213" t="n"/>
      <c r="AE425" s="213" t="n"/>
      <c r="AF425" s="213" t="n"/>
      <c r="AG425" s="213" t="n"/>
      <c r="AH425" s="213" t="n"/>
      <c r="AI425" s="213" t="n"/>
      <c r="AJ425" s="213" t="n"/>
      <c r="AK425" s="213" t="n"/>
    </row>
    <row r="426">
      <c r="B426" s="94" t="n"/>
      <c r="C426" s="88" t="n"/>
      <c r="D426" s="88" t="n"/>
      <c r="E426" s="88" t="n"/>
      <c r="F426" s="88" t="n"/>
      <c r="G426" s="88" t="n"/>
      <c r="H426" s="94" t="n"/>
      <c r="I426" s="4" t="n"/>
      <c r="J426" s="95" t="n"/>
      <c r="K426" s="213" t="n"/>
      <c r="L426" s="213" t="n"/>
      <c r="M426" s="213" t="n"/>
      <c r="N426" s="213" t="n"/>
      <c r="O426" s="213" t="n"/>
      <c r="P426" s="213" t="n"/>
      <c r="Q426" s="213" t="n"/>
      <c r="R426" s="213" t="n"/>
      <c r="S426" s="213" t="n"/>
      <c r="T426" s="213" t="n"/>
      <c r="U426" s="213" t="n"/>
      <c r="V426" s="213" t="n"/>
      <c r="W426" s="213" t="n"/>
      <c r="X426" s="213" t="n"/>
      <c r="Y426" s="213" t="n"/>
      <c r="Z426" s="213" t="n"/>
      <c r="AA426" s="213" t="n"/>
      <c r="AB426" s="213" t="n"/>
      <c r="AC426" s="213" t="n"/>
      <c r="AD426" s="213" t="n"/>
      <c r="AE426" s="213" t="n"/>
      <c r="AF426" s="213" t="n"/>
      <c r="AG426" s="213" t="n"/>
      <c r="AH426" s="213" t="n"/>
      <c r="AI426" s="213" t="n"/>
      <c r="AJ426" s="213" t="n"/>
      <c r="AK426" s="213" t="n"/>
    </row>
    <row r="427">
      <c r="B427" s="94" t="n"/>
      <c r="C427" s="88" t="n"/>
      <c r="D427" s="88" t="n"/>
      <c r="E427" s="88" t="n"/>
      <c r="F427" s="88" t="n"/>
      <c r="G427" s="88" t="n"/>
      <c r="H427" s="94" t="n"/>
      <c r="I427" s="4" t="n"/>
      <c r="J427" s="95" t="n"/>
      <c r="K427" s="213" t="n"/>
      <c r="L427" s="213" t="n"/>
      <c r="M427" s="213" t="n"/>
      <c r="N427" s="213" t="n"/>
      <c r="O427" s="213" t="n"/>
      <c r="P427" s="213" t="n"/>
      <c r="Q427" s="213" t="n"/>
      <c r="R427" s="213" t="n"/>
      <c r="S427" s="213" t="n"/>
      <c r="T427" s="213" t="n"/>
      <c r="U427" s="213" t="n"/>
      <c r="V427" s="213" t="n"/>
      <c r="W427" s="213" t="n"/>
      <c r="X427" s="213" t="n"/>
      <c r="Y427" s="213" t="n"/>
      <c r="Z427" s="213" t="n"/>
      <c r="AA427" s="213" t="n"/>
      <c r="AB427" s="213" t="n"/>
      <c r="AC427" s="213" t="n"/>
      <c r="AD427" s="213" t="n"/>
      <c r="AE427" s="213" t="n"/>
      <c r="AF427" s="213" t="n"/>
      <c r="AG427" s="213" t="n"/>
      <c r="AH427" s="213" t="n"/>
      <c r="AI427" s="213" t="n"/>
      <c r="AJ427" s="213" t="n"/>
      <c r="AK427" s="213" t="n"/>
    </row>
    <row r="428">
      <c r="B428" s="94" t="n"/>
      <c r="C428" s="88" t="n"/>
      <c r="D428" s="88" t="n"/>
      <c r="E428" s="88" t="n"/>
      <c r="F428" s="88" t="n"/>
      <c r="G428" s="88" t="n"/>
      <c r="H428" s="94" t="n"/>
      <c r="I428" s="4" t="n"/>
      <c r="J428" s="95" t="n"/>
      <c r="K428" s="213" t="n"/>
      <c r="L428" s="213" t="n"/>
      <c r="M428" s="213" t="n"/>
      <c r="N428" s="213" t="n"/>
      <c r="O428" s="213" t="n"/>
      <c r="P428" s="213" t="n"/>
      <c r="Q428" s="213" t="n"/>
      <c r="R428" s="213" t="n"/>
      <c r="S428" s="213" t="n"/>
      <c r="T428" s="213" t="n"/>
      <c r="U428" s="213" t="n"/>
      <c r="V428" s="213" t="n"/>
      <c r="W428" s="213" t="n"/>
      <c r="X428" s="213" t="n"/>
      <c r="Y428" s="213" t="n"/>
      <c r="Z428" s="213" t="n"/>
      <c r="AA428" s="213" t="n"/>
      <c r="AB428" s="213" t="n"/>
      <c r="AC428" s="213" t="n"/>
      <c r="AD428" s="213" t="n"/>
      <c r="AE428" s="213" t="n"/>
      <c r="AF428" s="213" t="n"/>
      <c r="AG428" s="213" t="n"/>
      <c r="AH428" s="213" t="n"/>
      <c r="AI428" s="213" t="n"/>
      <c r="AJ428" s="213" t="n"/>
      <c r="AK428" s="213" t="n"/>
    </row>
    <row r="429">
      <c r="B429" s="94" t="n"/>
      <c r="C429" s="88" t="n"/>
      <c r="D429" s="88" t="n"/>
      <c r="E429" s="88" t="n"/>
      <c r="F429" s="88" t="n"/>
      <c r="G429" s="88" t="n"/>
      <c r="H429" s="94" t="n"/>
      <c r="I429" s="4" t="n"/>
      <c r="J429" s="95" t="n"/>
      <c r="K429" s="213" t="n"/>
      <c r="L429" s="213" t="n"/>
      <c r="M429" s="213" t="n"/>
      <c r="N429" s="213" t="n"/>
      <c r="O429" s="213" t="n"/>
      <c r="P429" s="213" t="n"/>
      <c r="Q429" s="213" t="n"/>
      <c r="R429" s="213" t="n"/>
      <c r="S429" s="213" t="n"/>
      <c r="T429" s="213" t="n"/>
      <c r="U429" s="213" t="n"/>
      <c r="V429" s="213" t="n"/>
      <c r="W429" s="213" t="n"/>
      <c r="X429" s="213" t="n"/>
      <c r="Y429" s="213" t="n"/>
      <c r="Z429" s="213" t="n"/>
      <c r="AA429" s="213" t="n"/>
      <c r="AB429" s="213" t="n"/>
      <c r="AC429" s="213" t="n"/>
      <c r="AD429" s="213" t="n"/>
      <c r="AE429" s="213" t="n"/>
      <c r="AF429" s="213" t="n"/>
      <c r="AG429" s="213" t="n"/>
      <c r="AH429" s="213" t="n"/>
      <c r="AI429" s="213" t="n"/>
      <c r="AJ429" s="213" t="n"/>
      <c r="AK429" s="213" t="n"/>
    </row>
    <row r="430">
      <c r="B430" s="94" t="n"/>
      <c r="C430" s="88" t="n"/>
      <c r="D430" s="88" t="n"/>
      <c r="E430" s="88" t="n"/>
      <c r="F430" s="88" t="n"/>
      <c r="G430" s="88" t="n"/>
      <c r="H430" s="94" t="n"/>
      <c r="I430" s="4" t="n"/>
      <c r="J430" s="95" t="n"/>
      <c r="K430" s="213" t="n"/>
      <c r="L430" s="213" t="n"/>
      <c r="M430" s="213" t="n"/>
      <c r="N430" s="213" t="n"/>
      <c r="O430" s="213" t="n"/>
      <c r="P430" s="213" t="n"/>
      <c r="Q430" s="213" t="n"/>
      <c r="R430" s="213" t="n"/>
      <c r="S430" s="213" t="n"/>
      <c r="T430" s="213" t="n"/>
      <c r="U430" s="213" t="n"/>
      <c r="V430" s="213" t="n"/>
      <c r="W430" s="213" t="n"/>
      <c r="X430" s="213" t="n"/>
      <c r="Y430" s="213" t="n"/>
      <c r="Z430" s="213" t="n"/>
      <c r="AA430" s="213" t="n"/>
      <c r="AB430" s="213" t="n"/>
      <c r="AC430" s="213" t="n"/>
      <c r="AD430" s="213" t="n"/>
      <c r="AE430" s="213" t="n"/>
      <c r="AF430" s="213" t="n"/>
      <c r="AG430" s="213" t="n"/>
      <c r="AH430" s="213" t="n"/>
      <c r="AI430" s="213" t="n"/>
      <c r="AJ430" s="213" t="n"/>
      <c r="AK430" s="213" t="n"/>
    </row>
    <row r="431">
      <c r="B431" s="94" t="n"/>
      <c r="C431" s="88" t="n"/>
      <c r="D431" s="88" t="n"/>
      <c r="E431" s="88" t="n"/>
      <c r="F431" s="88" t="n"/>
      <c r="G431" s="88" t="n"/>
      <c r="H431" s="94" t="n"/>
      <c r="I431" s="4" t="n"/>
      <c r="J431" s="95" t="n"/>
      <c r="K431" s="213" t="n"/>
      <c r="L431" s="213" t="n"/>
      <c r="M431" s="213" t="n"/>
      <c r="N431" s="213" t="n"/>
      <c r="O431" s="213" t="n"/>
      <c r="P431" s="213" t="n"/>
      <c r="Q431" s="213" t="n"/>
      <c r="R431" s="213" t="n"/>
      <c r="S431" s="213" t="n"/>
      <c r="T431" s="213" t="n"/>
      <c r="U431" s="213" t="n"/>
      <c r="V431" s="213" t="n"/>
      <c r="W431" s="213" t="n"/>
      <c r="X431" s="213" t="n"/>
      <c r="Y431" s="213" t="n"/>
      <c r="Z431" s="213" t="n"/>
      <c r="AA431" s="213" t="n"/>
      <c r="AB431" s="213" t="n"/>
      <c r="AC431" s="213" t="n"/>
      <c r="AD431" s="213" t="n"/>
      <c r="AE431" s="213" t="n"/>
      <c r="AF431" s="213" t="n"/>
      <c r="AG431" s="213" t="n"/>
      <c r="AH431" s="213" t="n"/>
      <c r="AI431" s="213" t="n"/>
      <c r="AJ431" s="213" t="n"/>
      <c r="AK431" s="213" t="n"/>
    </row>
    <row r="432">
      <c r="B432" s="94" t="n"/>
      <c r="C432" s="88" t="n"/>
      <c r="D432" s="88" t="n"/>
      <c r="E432" s="88" t="n"/>
      <c r="F432" s="88" t="n"/>
      <c r="G432" s="88" t="n"/>
      <c r="H432" s="94" t="n"/>
      <c r="I432" s="4" t="n"/>
      <c r="J432" s="95" t="n"/>
      <c r="K432" s="213" t="n"/>
      <c r="L432" s="213" t="n"/>
      <c r="M432" s="213" t="n"/>
      <c r="N432" s="213" t="n"/>
      <c r="O432" s="213" t="n"/>
      <c r="P432" s="213" t="n"/>
      <c r="Q432" s="213" t="n"/>
      <c r="R432" s="213" t="n"/>
      <c r="S432" s="213" t="n"/>
      <c r="T432" s="213" t="n"/>
      <c r="U432" s="213" t="n"/>
      <c r="V432" s="213" t="n"/>
      <c r="W432" s="213" t="n"/>
      <c r="X432" s="213" t="n"/>
      <c r="Y432" s="213" t="n"/>
      <c r="Z432" s="213" t="n"/>
      <c r="AA432" s="213" t="n"/>
      <c r="AB432" s="213" t="n"/>
      <c r="AC432" s="213" t="n"/>
      <c r="AD432" s="213" t="n"/>
      <c r="AE432" s="213" t="n"/>
      <c r="AF432" s="213" t="n"/>
      <c r="AG432" s="213" t="n"/>
      <c r="AH432" s="213" t="n"/>
      <c r="AI432" s="213" t="n"/>
      <c r="AJ432" s="213" t="n"/>
      <c r="AK432" s="213" t="n"/>
    </row>
    <row r="433">
      <c r="B433" s="94" t="n"/>
      <c r="C433" s="88" t="n"/>
      <c r="D433" s="88" t="n"/>
      <c r="E433" s="88" t="n"/>
      <c r="F433" s="88" t="n"/>
      <c r="G433" s="88" t="n"/>
      <c r="H433" s="94" t="n"/>
      <c r="I433" s="4" t="n"/>
      <c r="J433" s="95" t="n"/>
      <c r="K433" s="213" t="n"/>
      <c r="L433" s="213" t="n"/>
      <c r="M433" s="213" t="n"/>
      <c r="N433" s="213" t="n"/>
      <c r="O433" s="213" t="n"/>
      <c r="P433" s="213" t="n"/>
      <c r="Q433" s="213" t="n"/>
      <c r="R433" s="213" t="n"/>
      <c r="S433" s="213" t="n"/>
      <c r="T433" s="213" t="n"/>
      <c r="U433" s="213" t="n"/>
      <c r="V433" s="213" t="n"/>
      <c r="W433" s="213" t="n"/>
      <c r="X433" s="213" t="n"/>
      <c r="Y433" s="213" t="n"/>
      <c r="Z433" s="213" t="n"/>
      <c r="AA433" s="213" t="n"/>
      <c r="AB433" s="213" t="n"/>
      <c r="AC433" s="213" t="n"/>
      <c r="AD433" s="213" t="n"/>
      <c r="AE433" s="213" t="n"/>
      <c r="AF433" s="213" t="n"/>
      <c r="AG433" s="213" t="n"/>
      <c r="AH433" s="213" t="n"/>
      <c r="AI433" s="213" t="n"/>
      <c r="AJ433" s="213" t="n"/>
      <c r="AK433" s="213" t="n"/>
    </row>
    <row r="434">
      <c r="B434" s="94" t="n"/>
      <c r="C434" s="88" t="n"/>
      <c r="D434" s="88" t="n"/>
      <c r="E434" s="88" t="n"/>
      <c r="F434" s="88" t="n"/>
      <c r="G434" s="88" t="n"/>
      <c r="H434" s="94" t="n"/>
      <c r="I434" s="4" t="n"/>
      <c r="J434" s="95" t="n"/>
      <c r="K434" s="213" t="n"/>
      <c r="L434" s="213" t="n"/>
      <c r="M434" s="213" t="n"/>
      <c r="N434" s="213" t="n"/>
      <c r="O434" s="213" t="n"/>
      <c r="P434" s="213" t="n"/>
      <c r="Q434" s="213" t="n"/>
      <c r="R434" s="213" t="n"/>
      <c r="S434" s="213" t="n"/>
      <c r="T434" s="213" t="n"/>
      <c r="U434" s="213" t="n"/>
      <c r="V434" s="213" t="n"/>
      <c r="W434" s="213" t="n"/>
      <c r="X434" s="213" t="n"/>
      <c r="Y434" s="213" t="n"/>
      <c r="Z434" s="213" t="n"/>
      <c r="AA434" s="213" t="n"/>
      <c r="AB434" s="213" t="n"/>
      <c r="AC434" s="213" t="n"/>
      <c r="AD434" s="213" t="n"/>
      <c r="AE434" s="213" t="n"/>
      <c r="AF434" s="213" t="n"/>
      <c r="AG434" s="213" t="n"/>
      <c r="AH434" s="213" t="n"/>
      <c r="AI434" s="213" t="n"/>
      <c r="AJ434" s="213" t="n"/>
      <c r="AK434" s="213" t="n"/>
    </row>
    <row r="435">
      <c r="B435" s="94" t="n"/>
      <c r="C435" s="88" t="n"/>
      <c r="D435" s="88" t="n"/>
      <c r="E435" s="88" t="n"/>
      <c r="F435" s="88" t="n"/>
      <c r="G435" s="88" t="n"/>
      <c r="H435" s="94" t="n"/>
      <c r="I435" s="4" t="n"/>
      <c r="J435" s="95" t="n"/>
      <c r="K435" s="213" t="n"/>
      <c r="L435" s="213" t="n"/>
      <c r="M435" s="213" t="n"/>
      <c r="N435" s="213" t="n"/>
      <c r="O435" s="213" t="n"/>
      <c r="P435" s="213" t="n"/>
      <c r="Q435" s="213" t="n"/>
      <c r="R435" s="213" t="n"/>
      <c r="S435" s="213" t="n"/>
      <c r="T435" s="213" t="n"/>
      <c r="U435" s="213" t="n"/>
      <c r="V435" s="213" t="n"/>
      <c r="W435" s="213" t="n"/>
      <c r="X435" s="213" t="n"/>
      <c r="Y435" s="213" t="n"/>
      <c r="Z435" s="213" t="n"/>
      <c r="AA435" s="213" t="n"/>
      <c r="AB435" s="213" t="n"/>
      <c r="AC435" s="213" t="n"/>
      <c r="AD435" s="213" t="n"/>
      <c r="AE435" s="213" t="n"/>
      <c r="AF435" s="213" t="n"/>
      <c r="AG435" s="213" t="n"/>
      <c r="AH435" s="213" t="n"/>
      <c r="AI435" s="213" t="n"/>
      <c r="AJ435" s="213" t="n"/>
      <c r="AK435" s="213" t="n"/>
    </row>
    <row r="436">
      <c r="B436" s="94" t="n"/>
      <c r="C436" s="88" t="n"/>
      <c r="D436" s="88" t="n"/>
      <c r="E436" s="88" t="n"/>
      <c r="F436" s="88" t="n"/>
      <c r="G436" s="88" t="n"/>
      <c r="H436" s="94" t="n"/>
      <c r="I436" s="4" t="n"/>
      <c r="J436" s="95" t="n"/>
      <c r="K436" s="213" t="n"/>
      <c r="L436" s="213" t="n"/>
      <c r="M436" s="213" t="n"/>
      <c r="N436" s="213" t="n"/>
      <c r="O436" s="213" t="n"/>
      <c r="P436" s="213" t="n"/>
      <c r="Q436" s="213" t="n"/>
      <c r="R436" s="213" t="n"/>
      <c r="S436" s="213" t="n"/>
      <c r="T436" s="213" t="n"/>
      <c r="U436" s="213" t="n"/>
      <c r="V436" s="213" t="n"/>
      <c r="W436" s="213" t="n"/>
      <c r="X436" s="213" t="n"/>
      <c r="Y436" s="213" t="n"/>
      <c r="Z436" s="213" t="n"/>
      <c r="AA436" s="213" t="n"/>
      <c r="AB436" s="213" t="n"/>
      <c r="AC436" s="213" t="n"/>
      <c r="AD436" s="213" t="n"/>
      <c r="AE436" s="213" t="n"/>
      <c r="AF436" s="213" t="n"/>
      <c r="AG436" s="213" t="n"/>
      <c r="AH436" s="213" t="n"/>
      <c r="AI436" s="213" t="n"/>
      <c r="AJ436" s="213" t="n"/>
      <c r="AK436" s="213" t="n"/>
    </row>
    <row r="437">
      <c r="B437" s="94" t="n"/>
      <c r="C437" s="88" t="n"/>
      <c r="D437" s="88" t="n"/>
      <c r="E437" s="88" t="n"/>
      <c r="F437" s="88" t="n"/>
      <c r="G437" s="88" t="n"/>
      <c r="H437" s="94" t="n"/>
      <c r="I437" s="4" t="n"/>
      <c r="J437" s="95" t="n"/>
      <c r="K437" s="213" t="n"/>
      <c r="L437" s="213" t="n"/>
      <c r="M437" s="213" t="n"/>
      <c r="N437" s="213" t="n"/>
      <c r="O437" s="213" t="n"/>
      <c r="P437" s="213" t="n"/>
      <c r="Q437" s="213" t="n"/>
      <c r="R437" s="213" t="n"/>
      <c r="S437" s="213" t="n"/>
      <c r="T437" s="213" t="n"/>
      <c r="U437" s="213" t="n"/>
      <c r="V437" s="213" t="n"/>
      <c r="W437" s="213" t="n"/>
      <c r="X437" s="213" t="n"/>
      <c r="Y437" s="213" t="n"/>
      <c r="Z437" s="213" t="n"/>
      <c r="AA437" s="213" t="n"/>
      <c r="AB437" s="213" t="n"/>
      <c r="AC437" s="213" t="n"/>
      <c r="AD437" s="213" t="n"/>
      <c r="AE437" s="213" t="n"/>
      <c r="AF437" s="213" t="n"/>
      <c r="AG437" s="213" t="n"/>
      <c r="AH437" s="213" t="n"/>
      <c r="AI437" s="213" t="n"/>
      <c r="AJ437" s="213" t="n"/>
      <c r="AK437" s="213" t="n"/>
    </row>
    <row r="438">
      <c r="B438" s="94" t="n"/>
      <c r="C438" s="88" t="n"/>
      <c r="D438" s="88" t="n"/>
      <c r="E438" s="88" t="n"/>
      <c r="F438" s="88" t="n"/>
      <c r="G438" s="88" t="n"/>
      <c r="H438" s="94" t="n"/>
      <c r="I438" s="4" t="n"/>
      <c r="J438" s="95" t="n"/>
      <c r="K438" s="213" t="n"/>
      <c r="L438" s="213" t="n"/>
      <c r="M438" s="213" t="n"/>
      <c r="N438" s="213" t="n"/>
      <c r="O438" s="213" t="n"/>
      <c r="P438" s="213" t="n"/>
      <c r="Q438" s="213" t="n"/>
      <c r="R438" s="213" t="n"/>
      <c r="S438" s="213" t="n"/>
      <c r="T438" s="213" t="n"/>
      <c r="U438" s="213" t="n"/>
      <c r="V438" s="213" t="n"/>
      <c r="W438" s="213" t="n"/>
      <c r="X438" s="213" t="n"/>
      <c r="Y438" s="213" t="n"/>
      <c r="Z438" s="213" t="n"/>
      <c r="AA438" s="213" t="n"/>
      <c r="AB438" s="213" t="n"/>
      <c r="AC438" s="213" t="n"/>
      <c r="AD438" s="213" t="n"/>
      <c r="AE438" s="213" t="n"/>
      <c r="AF438" s="213" t="n"/>
      <c r="AG438" s="213" t="n"/>
      <c r="AH438" s="213" t="n"/>
      <c r="AI438" s="213" t="n"/>
      <c r="AJ438" s="213" t="n"/>
      <c r="AK438" s="213" t="n"/>
    </row>
    <row r="439">
      <c r="B439" s="94" t="n"/>
      <c r="C439" s="88" t="n"/>
      <c r="D439" s="88" t="n"/>
      <c r="E439" s="88" t="n"/>
      <c r="F439" s="88" t="n"/>
      <c r="G439" s="88" t="n"/>
      <c r="H439" s="94" t="n"/>
      <c r="I439" s="4" t="n"/>
      <c r="J439" s="95" t="n"/>
      <c r="K439" s="213" t="n"/>
      <c r="L439" s="213" t="n"/>
      <c r="M439" s="213" t="n"/>
      <c r="N439" s="213" t="n"/>
      <c r="O439" s="213" t="n"/>
      <c r="P439" s="213" t="n"/>
      <c r="Q439" s="213" t="n"/>
      <c r="R439" s="213" t="n"/>
      <c r="S439" s="213" t="n"/>
      <c r="T439" s="213" t="n"/>
      <c r="U439" s="213" t="n"/>
      <c r="V439" s="213" t="n"/>
      <c r="W439" s="213" t="n"/>
      <c r="X439" s="213" t="n"/>
      <c r="Y439" s="213" t="n"/>
      <c r="Z439" s="213" t="n"/>
      <c r="AA439" s="213" t="n"/>
      <c r="AB439" s="213" t="n"/>
      <c r="AC439" s="213" t="n"/>
      <c r="AD439" s="213" t="n"/>
      <c r="AE439" s="213" t="n"/>
      <c r="AF439" s="213" t="n"/>
      <c r="AG439" s="213" t="n"/>
      <c r="AH439" s="213" t="n"/>
      <c r="AI439" s="213" t="n"/>
      <c r="AJ439" s="213" t="n"/>
      <c r="AK439" s="213" t="n"/>
    </row>
    <row r="440">
      <c r="B440" s="94" t="n"/>
      <c r="C440" s="88" t="n"/>
      <c r="D440" s="88" t="n"/>
      <c r="E440" s="88" t="n"/>
      <c r="F440" s="88" t="n"/>
      <c r="G440" s="88" t="n"/>
      <c r="H440" s="94" t="n"/>
      <c r="I440" s="4" t="n"/>
      <c r="J440" s="95" t="n"/>
      <c r="K440" s="213" t="n"/>
      <c r="L440" s="213" t="n"/>
      <c r="M440" s="213" t="n"/>
      <c r="N440" s="213" t="n"/>
      <c r="O440" s="213" t="n"/>
      <c r="P440" s="213" t="n"/>
      <c r="Q440" s="213" t="n"/>
      <c r="R440" s="213" t="n"/>
      <c r="S440" s="213" t="n"/>
      <c r="T440" s="213" t="n"/>
      <c r="U440" s="213" t="n"/>
      <c r="V440" s="213" t="n"/>
      <c r="W440" s="213" t="n"/>
      <c r="X440" s="213" t="n"/>
      <c r="Y440" s="213" t="n"/>
      <c r="Z440" s="213" t="n"/>
      <c r="AA440" s="213" t="n"/>
      <c r="AB440" s="213" t="n"/>
      <c r="AC440" s="213" t="n"/>
      <c r="AD440" s="213" t="n"/>
      <c r="AE440" s="213" t="n"/>
      <c r="AF440" s="213" t="n"/>
      <c r="AG440" s="213" t="n"/>
      <c r="AH440" s="213" t="n"/>
      <c r="AI440" s="213" t="n"/>
      <c r="AJ440" s="213" t="n"/>
      <c r="AK440" s="213" t="n"/>
    </row>
    <row r="441">
      <c r="B441" s="94" t="n"/>
      <c r="C441" s="88" t="n"/>
      <c r="D441" s="88" t="n"/>
      <c r="E441" s="88" t="n"/>
      <c r="F441" s="88" t="n"/>
      <c r="G441" s="88" t="n"/>
      <c r="H441" s="94" t="n"/>
      <c r="I441" s="4" t="n"/>
      <c r="J441" s="95" t="n"/>
      <c r="K441" s="213" t="n"/>
      <c r="L441" s="213" t="n"/>
      <c r="M441" s="213" t="n"/>
      <c r="N441" s="213" t="n"/>
      <c r="O441" s="213" t="n"/>
      <c r="P441" s="213" t="n"/>
      <c r="Q441" s="213" t="n"/>
      <c r="R441" s="213" t="n"/>
      <c r="S441" s="213" t="n"/>
      <c r="T441" s="213" t="n"/>
      <c r="U441" s="213" t="n"/>
      <c r="V441" s="213" t="n"/>
      <c r="W441" s="213" t="n"/>
      <c r="X441" s="213" t="n"/>
      <c r="Y441" s="213" t="n"/>
      <c r="Z441" s="213" t="n"/>
      <c r="AA441" s="213" t="n"/>
      <c r="AB441" s="213" t="n"/>
      <c r="AC441" s="213" t="n"/>
      <c r="AD441" s="213" t="n"/>
      <c r="AE441" s="213" t="n"/>
      <c r="AF441" s="213" t="n"/>
      <c r="AG441" s="213" t="n"/>
      <c r="AH441" s="213" t="n"/>
      <c r="AI441" s="213" t="n"/>
      <c r="AJ441" s="213" t="n"/>
      <c r="AK441" s="213" t="n"/>
    </row>
    <row r="442">
      <c r="B442" s="94" t="n"/>
      <c r="C442" s="88" t="n"/>
      <c r="D442" s="88" t="n"/>
      <c r="E442" s="88" t="n"/>
      <c r="F442" s="88" t="n"/>
      <c r="G442" s="88" t="n"/>
      <c r="H442" s="94" t="n"/>
      <c r="I442" s="4" t="n"/>
      <c r="J442" s="95" t="n"/>
      <c r="K442" s="213" t="n"/>
      <c r="L442" s="213" t="n"/>
      <c r="M442" s="213" t="n"/>
      <c r="N442" s="213" t="n"/>
      <c r="O442" s="213" t="n"/>
      <c r="P442" s="213" t="n"/>
      <c r="Q442" s="213" t="n"/>
      <c r="R442" s="213" t="n"/>
      <c r="S442" s="213" t="n"/>
      <c r="T442" s="213" t="n"/>
      <c r="U442" s="213" t="n"/>
      <c r="V442" s="213" t="n"/>
      <c r="W442" s="213" t="n"/>
      <c r="X442" s="213" t="n"/>
      <c r="Y442" s="213" t="n"/>
      <c r="Z442" s="213" t="n"/>
      <c r="AA442" s="213" t="n"/>
      <c r="AB442" s="213" t="n"/>
      <c r="AC442" s="213" t="n"/>
      <c r="AD442" s="213" t="n"/>
      <c r="AE442" s="213" t="n"/>
      <c r="AF442" s="213" t="n"/>
      <c r="AG442" s="213" t="n"/>
      <c r="AH442" s="213" t="n"/>
      <c r="AI442" s="213" t="n"/>
      <c r="AJ442" s="213" t="n"/>
      <c r="AK442" s="213" t="n"/>
    </row>
    <row r="443">
      <c r="B443" s="94" t="n"/>
      <c r="C443" s="88" t="n"/>
      <c r="D443" s="88" t="n"/>
      <c r="E443" s="88" t="n"/>
      <c r="F443" s="88" t="n"/>
      <c r="G443" s="88" t="n"/>
      <c r="H443" s="94" t="n"/>
      <c r="I443" s="4" t="n"/>
      <c r="J443" s="95" t="n"/>
      <c r="K443" s="213" t="n"/>
      <c r="L443" s="213" t="n"/>
      <c r="M443" s="213" t="n"/>
      <c r="N443" s="213" t="n"/>
      <c r="O443" s="213" t="n"/>
      <c r="P443" s="213" t="n"/>
      <c r="Q443" s="213" t="n"/>
      <c r="R443" s="213" t="n"/>
      <c r="S443" s="213" t="n"/>
      <c r="T443" s="213" t="n"/>
      <c r="U443" s="213" t="n"/>
      <c r="V443" s="213" t="n"/>
      <c r="W443" s="213" t="n"/>
      <c r="X443" s="213" t="n"/>
      <c r="Y443" s="213" t="n"/>
      <c r="Z443" s="213" t="n"/>
      <c r="AA443" s="213" t="n"/>
      <c r="AB443" s="213" t="n"/>
      <c r="AC443" s="213" t="n"/>
      <c r="AD443" s="213" t="n"/>
      <c r="AE443" s="213" t="n"/>
      <c r="AF443" s="213" t="n"/>
      <c r="AG443" s="213" t="n"/>
      <c r="AH443" s="213" t="n"/>
      <c r="AI443" s="213" t="n"/>
      <c r="AJ443" s="213" t="n"/>
      <c r="AK443" s="213" t="n"/>
    </row>
    <row r="444">
      <c r="B444" s="94" t="n"/>
      <c r="C444" s="88" t="n"/>
      <c r="D444" s="88" t="n"/>
      <c r="E444" s="88" t="n"/>
      <c r="F444" s="88" t="n"/>
      <c r="G444" s="88" t="n"/>
      <c r="H444" s="94" t="n"/>
      <c r="I444" s="4" t="n"/>
      <c r="J444" s="95" t="n"/>
      <c r="K444" s="213" t="n"/>
      <c r="L444" s="213" t="n"/>
      <c r="M444" s="213" t="n"/>
      <c r="N444" s="213" t="n"/>
      <c r="O444" s="213" t="n"/>
      <c r="P444" s="213" t="n"/>
      <c r="Q444" s="213" t="n"/>
      <c r="R444" s="213" t="n"/>
      <c r="S444" s="213" t="n"/>
      <c r="T444" s="213" t="n"/>
      <c r="U444" s="213" t="n"/>
      <c r="V444" s="213" t="n"/>
      <c r="W444" s="213" t="n"/>
      <c r="X444" s="213" t="n"/>
      <c r="Y444" s="213" t="n"/>
      <c r="Z444" s="213" t="n"/>
      <c r="AA444" s="213" t="n"/>
      <c r="AB444" s="213" t="n"/>
      <c r="AC444" s="213" t="n"/>
      <c r="AD444" s="213" t="n"/>
      <c r="AE444" s="213" t="n"/>
      <c r="AF444" s="213" t="n"/>
      <c r="AG444" s="213" t="n"/>
      <c r="AH444" s="213" t="n"/>
      <c r="AI444" s="213" t="n"/>
      <c r="AJ444" s="213" t="n"/>
      <c r="AK444" s="213" t="n"/>
    </row>
    <row r="445">
      <c r="B445" s="94" t="n"/>
      <c r="C445" s="88" t="n"/>
      <c r="D445" s="88" t="n"/>
      <c r="E445" s="88" t="n"/>
      <c r="F445" s="88" t="n"/>
      <c r="G445" s="88" t="n"/>
      <c r="H445" s="94" t="n"/>
      <c r="I445" s="4" t="n"/>
      <c r="J445" s="95" t="n"/>
      <c r="K445" s="213" t="n"/>
      <c r="L445" s="213" t="n"/>
      <c r="M445" s="213" t="n"/>
      <c r="N445" s="213" t="n"/>
      <c r="O445" s="213" t="n"/>
      <c r="P445" s="213" t="n"/>
      <c r="Q445" s="213" t="n"/>
      <c r="R445" s="213" t="n"/>
      <c r="S445" s="213" t="n"/>
      <c r="T445" s="213" t="n"/>
      <c r="U445" s="213" t="n"/>
      <c r="V445" s="213" t="n"/>
      <c r="W445" s="213" t="n"/>
      <c r="X445" s="213" t="n"/>
      <c r="Y445" s="213" t="n"/>
      <c r="Z445" s="213" t="n"/>
      <c r="AA445" s="213" t="n"/>
      <c r="AB445" s="213" t="n"/>
      <c r="AC445" s="213" t="n"/>
      <c r="AD445" s="213" t="n"/>
      <c r="AE445" s="213" t="n"/>
      <c r="AF445" s="213" t="n"/>
      <c r="AG445" s="213" t="n"/>
      <c r="AH445" s="213" t="n"/>
      <c r="AI445" s="213" t="n"/>
      <c r="AJ445" s="213" t="n"/>
      <c r="AK445" s="213" t="n"/>
    </row>
    <row r="446">
      <c r="B446" s="94" t="n"/>
      <c r="C446" s="88" t="n"/>
      <c r="D446" s="88" t="n"/>
      <c r="E446" s="88" t="n"/>
      <c r="F446" s="88" t="n"/>
      <c r="G446" s="88" t="n"/>
      <c r="H446" s="94" t="n"/>
      <c r="I446" s="4" t="n"/>
      <c r="J446" s="95" t="n"/>
      <c r="K446" s="213" t="n"/>
      <c r="L446" s="213" t="n"/>
      <c r="M446" s="213" t="n"/>
      <c r="N446" s="213" t="n"/>
      <c r="O446" s="213" t="n"/>
      <c r="P446" s="213" t="n"/>
      <c r="Q446" s="213" t="n"/>
      <c r="R446" s="213" t="n"/>
      <c r="S446" s="213" t="n"/>
      <c r="T446" s="213" t="n"/>
      <c r="U446" s="213" t="n"/>
      <c r="V446" s="213" t="n"/>
      <c r="W446" s="213" t="n"/>
      <c r="X446" s="213" t="n"/>
      <c r="Y446" s="213" t="n"/>
      <c r="Z446" s="213" t="n"/>
      <c r="AA446" s="213" t="n"/>
      <c r="AB446" s="213" t="n"/>
      <c r="AC446" s="213" t="n"/>
      <c r="AD446" s="213" t="n"/>
      <c r="AE446" s="213" t="n"/>
      <c r="AF446" s="213" t="n"/>
      <c r="AG446" s="213" t="n"/>
      <c r="AH446" s="213" t="n"/>
      <c r="AI446" s="213" t="n"/>
      <c r="AJ446" s="213" t="n"/>
      <c r="AK446" s="213" t="n"/>
    </row>
    <row r="447">
      <c r="B447" s="94" t="n"/>
      <c r="C447" s="88" t="n"/>
      <c r="D447" s="88" t="n"/>
      <c r="E447" s="88" t="n"/>
      <c r="F447" s="88" t="n"/>
      <c r="G447" s="88" t="n"/>
      <c r="H447" s="94" t="n"/>
      <c r="I447" s="4" t="n"/>
      <c r="J447" s="95" t="n"/>
      <c r="K447" s="213" t="n"/>
      <c r="L447" s="213" t="n"/>
      <c r="M447" s="213" t="n"/>
      <c r="N447" s="213" t="n"/>
      <c r="O447" s="213" t="n"/>
      <c r="P447" s="213" t="n"/>
      <c r="Q447" s="213" t="n"/>
      <c r="R447" s="213" t="n"/>
      <c r="S447" s="213" t="n"/>
      <c r="T447" s="213" t="n"/>
      <c r="U447" s="213" t="n"/>
      <c r="V447" s="213" t="n"/>
      <c r="W447" s="213" t="n"/>
      <c r="X447" s="213" t="n"/>
      <c r="Y447" s="213" t="n"/>
      <c r="Z447" s="213" t="n"/>
      <c r="AA447" s="213" t="n"/>
      <c r="AB447" s="213" t="n"/>
      <c r="AC447" s="213" t="n"/>
      <c r="AD447" s="213" t="n"/>
      <c r="AE447" s="213" t="n"/>
      <c r="AF447" s="213" t="n"/>
      <c r="AG447" s="213" t="n"/>
      <c r="AH447" s="213" t="n"/>
      <c r="AI447" s="213" t="n"/>
      <c r="AJ447" s="213" t="n"/>
      <c r="AK447" s="213" t="n"/>
    </row>
    <row r="448">
      <c r="B448" s="94" t="n"/>
      <c r="C448" s="88" t="n"/>
      <c r="D448" s="88" t="n"/>
      <c r="E448" s="88" t="n"/>
      <c r="F448" s="88" t="n"/>
      <c r="G448" s="88" t="n"/>
      <c r="H448" s="94" t="n"/>
      <c r="I448" s="4" t="n"/>
      <c r="J448" s="95" t="n"/>
      <c r="K448" s="213" t="n"/>
      <c r="L448" s="213" t="n"/>
      <c r="M448" s="213" t="n"/>
      <c r="N448" s="213" t="n"/>
      <c r="O448" s="213" t="n"/>
      <c r="P448" s="213" t="n"/>
      <c r="Q448" s="213" t="n"/>
      <c r="R448" s="213" t="n"/>
      <c r="S448" s="213" t="n"/>
      <c r="T448" s="213" t="n"/>
      <c r="U448" s="213" t="n"/>
      <c r="V448" s="213" t="n"/>
      <c r="W448" s="213" t="n"/>
      <c r="X448" s="213" t="n"/>
      <c r="Y448" s="213" t="n"/>
      <c r="Z448" s="213" t="n"/>
      <c r="AA448" s="213" t="n"/>
      <c r="AB448" s="213" t="n"/>
      <c r="AC448" s="213" t="n"/>
      <c r="AD448" s="213" t="n"/>
      <c r="AE448" s="213" t="n"/>
      <c r="AF448" s="213" t="n"/>
      <c r="AG448" s="213" t="n"/>
      <c r="AH448" s="213" t="n"/>
      <c r="AI448" s="213" t="n"/>
      <c r="AJ448" s="213" t="n"/>
      <c r="AK448" s="213" t="n"/>
    </row>
    <row r="449">
      <c r="B449" s="94" t="n"/>
      <c r="C449" s="88" t="n"/>
      <c r="D449" s="88" t="n"/>
      <c r="E449" s="88" t="n"/>
      <c r="F449" s="88" t="n"/>
      <c r="G449" s="88" t="n"/>
      <c r="H449" s="94" t="n"/>
      <c r="I449" s="4" t="n"/>
      <c r="J449" s="95" t="n"/>
      <c r="K449" s="213" t="n"/>
      <c r="L449" s="213" t="n"/>
      <c r="M449" s="213" t="n"/>
      <c r="N449" s="213" t="n"/>
      <c r="O449" s="213" t="n"/>
      <c r="P449" s="213" t="n"/>
      <c r="Q449" s="213" t="n"/>
      <c r="R449" s="213" t="n"/>
      <c r="S449" s="213" t="n"/>
      <c r="T449" s="213" t="n"/>
      <c r="U449" s="213" t="n"/>
      <c r="V449" s="213" t="n"/>
      <c r="W449" s="213" t="n"/>
      <c r="X449" s="213" t="n"/>
      <c r="Y449" s="213" t="n"/>
      <c r="Z449" s="213" t="n"/>
      <c r="AA449" s="213" t="n"/>
      <c r="AB449" s="213" t="n"/>
      <c r="AC449" s="213" t="n"/>
      <c r="AD449" s="213" t="n"/>
      <c r="AE449" s="213" t="n"/>
      <c r="AF449" s="213" t="n"/>
      <c r="AG449" s="213" t="n"/>
      <c r="AH449" s="213" t="n"/>
      <c r="AI449" s="213" t="n"/>
      <c r="AJ449" s="213" t="n"/>
      <c r="AK449" s="213" t="n"/>
    </row>
    <row r="450">
      <c r="B450" s="94" t="n"/>
      <c r="C450" s="88" t="n"/>
      <c r="D450" s="88" t="n"/>
      <c r="E450" s="88" t="n"/>
      <c r="F450" s="88" t="n"/>
      <c r="G450" s="88" t="n"/>
      <c r="H450" s="94" t="n"/>
      <c r="I450" s="4" t="n"/>
      <c r="J450" s="95" t="n"/>
      <c r="K450" s="213" t="n"/>
      <c r="L450" s="213" t="n"/>
      <c r="M450" s="213" t="n"/>
      <c r="N450" s="213" t="n"/>
      <c r="O450" s="213" t="n"/>
      <c r="P450" s="213" t="n"/>
      <c r="Q450" s="213" t="n"/>
      <c r="R450" s="213" t="n"/>
      <c r="S450" s="213" t="n"/>
      <c r="T450" s="213" t="n"/>
      <c r="U450" s="213" t="n"/>
      <c r="V450" s="213" t="n"/>
      <c r="W450" s="213" t="n"/>
      <c r="X450" s="213" t="n"/>
      <c r="Y450" s="213" t="n"/>
      <c r="Z450" s="213" t="n"/>
      <c r="AA450" s="213" t="n"/>
      <c r="AB450" s="213" t="n"/>
      <c r="AC450" s="213" t="n"/>
      <c r="AD450" s="213" t="n"/>
      <c r="AE450" s="213" t="n"/>
      <c r="AF450" s="213" t="n"/>
      <c r="AG450" s="213" t="n"/>
      <c r="AH450" s="213" t="n"/>
      <c r="AI450" s="213" t="n"/>
      <c r="AJ450" s="213" t="n"/>
      <c r="AK450" s="213" t="n"/>
    </row>
    <row r="451">
      <c r="B451" s="94" t="n"/>
      <c r="C451" s="88" t="n"/>
      <c r="D451" s="88" t="n"/>
      <c r="E451" s="88" t="n"/>
      <c r="F451" s="88" t="n"/>
      <c r="G451" s="88" t="n"/>
      <c r="H451" s="94" t="n"/>
      <c r="I451" s="4" t="n"/>
      <c r="J451" s="95" t="n"/>
      <c r="K451" s="213" t="n"/>
      <c r="L451" s="213" t="n"/>
      <c r="M451" s="213" t="n"/>
      <c r="N451" s="213" t="n"/>
      <c r="O451" s="213" t="n"/>
      <c r="P451" s="213" t="n"/>
      <c r="Q451" s="213" t="n"/>
      <c r="R451" s="213" t="n"/>
      <c r="S451" s="213" t="n"/>
      <c r="T451" s="213" t="n"/>
      <c r="U451" s="213" t="n"/>
      <c r="V451" s="213" t="n"/>
      <c r="W451" s="213" t="n"/>
      <c r="X451" s="213" t="n"/>
      <c r="Y451" s="213" t="n"/>
      <c r="Z451" s="213" t="n"/>
      <c r="AA451" s="213" t="n"/>
      <c r="AB451" s="213" t="n"/>
      <c r="AC451" s="213" t="n"/>
      <c r="AD451" s="213" t="n"/>
      <c r="AE451" s="213" t="n"/>
      <c r="AF451" s="213" t="n"/>
      <c r="AG451" s="213" t="n"/>
      <c r="AH451" s="213" t="n"/>
      <c r="AI451" s="213" t="n"/>
      <c r="AJ451" s="213" t="n"/>
      <c r="AK451" s="213" t="n"/>
    </row>
    <row r="452">
      <c r="B452" s="94" t="n"/>
      <c r="C452" s="88" t="n"/>
      <c r="D452" s="88" t="n"/>
      <c r="E452" s="88" t="n"/>
      <c r="F452" s="88" t="n"/>
      <c r="G452" s="88" t="n"/>
      <c r="H452" s="94" t="n"/>
      <c r="I452" s="4" t="n"/>
      <c r="J452" s="95" t="n"/>
      <c r="K452" s="213" t="n"/>
      <c r="L452" s="213" t="n"/>
      <c r="M452" s="213" t="n"/>
      <c r="N452" s="213" t="n"/>
      <c r="O452" s="213" t="n"/>
      <c r="P452" s="213" t="n"/>
      <c r="Q452" s="213" t="n"/>
      <c r="R452" s="213" t="n"/>
      <c r="S452" s="213" t="n"/>
      <c r="T452" s="213" t="n"/>
      <c r="U452" s="213" t="n"/>
      <c r="V452" s="213" t="n"/>
      <c r="W452" s="213" t="n"/>
      <c r="X452" s="213" t="n"/>
      <c r="Y452" s="213" t="n"/>
      <c r="Z452" s="213" t="n"/>
      <c r="AA452" s="213" t="n"/>
      <c r="AB452" s="213" t="n"/>
      <c r="AC452" s="213" t="n"/>
      <c r="AD452" s="213" t="n"/>
      <c r="AE452" s="213" t="n"/>
      <c r="AF452" s="213" t="n"/>
      <c r="AG452" s="213" t="n"/>
      <c r="AH452" s="213" t="n"/>
      <c r="AI452" s="213" t="n"/>
      <c r="AJ452" s="213" t="n"/>
      <c r="AK452" s="213" t="n"/>
    </row>
    <row r="453">
      <c r="B453" s="94" t="n"/>
      <c r="C453" s="88" t="n"/>
      <c r="D453" s="88" t="n"/>
      <c r="E453" s="88" t="n"/>
      <c r="F453" s="88" t="n"/>
      <c r="G453" s="88" t="n"/>
      <c r="H453" s="94" t="n"/>
      <c r="I453" s="4" t="n"/>
      <c r="J453" s="95" t="n"/>
      <c r="K453" s="213" t="n"/>
      <c r="L453" s="213" t="n"/>
      <c r="M453" s="213" t="n"/>
      <c r="N453" s="213" t="n"/>
      <c r="O453" s="213" t="n"/>
      <c r="P453" s="213" t="n"/>
      <c r="Q453" s="213" t="n"/>
      <c r="R453" s="213" t="n"/>
      <c r="S453" s="213" t="n"/>
      <c r="T453" s="213" t="n"/>
      <c r="U453" s="213" t="n"/>
      <c r="V453" s="213" t="n"/>
      <c r="W453" s="213" t="n"/>
      <c r="X453" s="213" t="n"/>
      <c r="Y453" s="213" t="n"/>
      <c r="Z453" s="213" t="n"/>
      <c r="AA453" s="213" t="n"/>
      <c r="AB453" s="213" t="n"/>
      <c r="AC453" s="213" t="n"/>
      <c r="AD453" s="213" t="n"/>
      <c r="AE453" s="213" t="n"/>
      <c r="AF453" s="213" t="n"/>
      <c r="AG453" s="213" t="n"/>
      <c r="AH453" s="213" t="n"/>
      <c r="AI453" s="213" t="n"/>
      <c r="AJ453" s="213" t="n"/>
      <c r="AK453" s="213" t="n"/>
    </row>
    <row r="454">
      <c r="B454" s="94" t="n"/>
      <c r="C454" s="88" t="n"/>
      <c r="D454" s="88" t="n"/>
      <c r="E454" s="88" t="n"/>
      <c r="F454" s="88" t="n"/>
      <c r="G454" s="88" t="n"/>
      <c r="H454" s="94" t="n"/>
      <c r="I454" s="4" t="n"/>
      <c r="J454" s="95" t="n"/>
      <c r="K454" s="213" t="n"/>
      <c r="L454" s="213" t="n"/>
      <c r="M454" s="213" t="n"/>
      <c r="N454" s="213" t="n"/>
      <c r="O454" s="213" t="n"/>
      <c r="P454" s="213" t="n"/>
      <c r="Q454" s="213" t="n"/>
      <c r="R454" s="213" t="n"/>
      <c r="S454" s="213" t="n"/>
      <c r="T454" s="213" t="n"/>
      <c r="U454" s="213" t="n"/>
      <c r="V454" s="213" t="n"/>
      <c r="W454" s="213" t="n"/>
      <c r="X454" s="213" t="n"/>
      <c r="Y454" s="213" t="n"/>
      <c r="Z454" s="213" t="n"/>
      <c r="AA454" s="213" t="n"/>
      <c r="AB454" s="213" t="n"/>
      <c r="AC454" s="213" t="n"/>
      <c r="AD454" s="213" t="n"/>
      <c r="AE454" s="213" t="n"/>
      <c r="AF454" s="213" t="n"/>
      <c r="AG454" s="213" t="n"/>
      <c r="AH454" s="213" t="n"/>
      <c r="AI454" s="213" t="n"/>
      <c r="AJ454" s="213" t="n"/>
      <c r="AK454" s="213" t="n"/>
    </row>
    <row r="455">
      <c r="B455" s="94" t="n"/>
      <c r="C455" s="88" t="n"/>
      <c r="D455" s="88" t="n"/>
      <c r="E455" s="88" t="n"/>
      <c r="F455" s="88" t="n"/>
      <c r="G455" s="88" t="n"/>
      <c r="H455" s="94" t="n"/>
      <c r="I455" s="4" t="n"/>
      <c r="J455" s="95" t="n"/>
      <c r="K455" s="213" t="n"/>
      <c r="L455" s="213" t="n"/>
      <c r="M455" s="213" t="n"/>
      <c r="N455" s="213" t="n"/>
      <c r="O455" s="213" t="n"/>
      <c r="P455" s="213" t="n"/>
      <c r="Q455" s="213" t="n"/>
      <c r="R455" s="213" t="n"/>
      <c r="S455" s="213" t="n"/>
      <c r="T455" s="213" t="n"/>
      <c r="U455" s="213" t="n"/>
      <c r="V455" s="213" t="n"/>
      <c r="W455" s="213" t="n"/>
      <c r="X455" s="213" t="n"/>
      <c r="Y455" s="213" t="n"/>
      <c r="Z455" s="213" t="n"/>
      <c r="AA455" s="213" t="n"/>
      <c r="AB455" s="213" t="n"/>
      <c r="AC455" s="213" t="n"/>
      <c r="AD455" s="213" t="n"/>
      <c r="AE455" s="213" t="n"/>
      <c r="AF455" s="213" t="n"/>
      <c r="AG455" s="213" t="n"/>
      <c r="AH455" s="213" t="n"/>
      <c r="AI455" s="213" t="n"/>
      <c r="AJ455" s="213" t="n"/>
      <c r="AK455" s="213" t="n"/>
    </row>
    <row r="456">
      <c r="B456" s="94" t="n"/>
      <c r="C456" s="88" t="n"/>
      <c r="D456" s="88" t="n"/>
      <c r="E456" s="88" t="n"/>
      <c r="F456" s="88" t="n"/>
      <c r="G456" s="88" t="n"/>
      <c r="H456" s="94" t="n"/>
      <c r="I456" s="4" t="n"/>
      <c r="J456" s="95" t="n"/>
      <c r="K456" s="213" t="n"/>
      <c r="L456" s="213" t="n"/>
      <c r="M456" s="213" t="n"/>
      <c r="N456" s="213" t="n"/>
      <c r="O456" s="213" t="n"/>
      <c r="P456" s="213" t="n"/>
      <c r="Q456" s="213" t="n"/>
      <c r="R456" s="213" t="n"/>
      <c r="S456" s="213" t="n"/>
      <c r="T456" s="213" t="n"/>
      <c r="U456" s="213" t="n"/>
      <c r="V456" s="213" t="n"/>
      <c r="W456" s="213" t="n"/>
      <c r="X456" s="213" t="n"/>
      <c r="Y456" s="213" t="n"/>
      <c r="Z456" s="213" t="n"/>
      <c r="AA456" s="213" t="n"/>
      <c r="AB456" s="213" t="n"/>
      <c r="AC456" s="213" t="n"/>
      <c r="AD456" s="213" t="n"/>
      <c r="AE456" s="213" t="n"/>
      <c r="AF456" s="213" t="n"/>
      <c r="AG456" s="213" t="n"/>
      <c r="AH456" s="213" t="n"/>
      <c r="AI456" s="213" t="n"/>
      <c r="AJ456" s="213" t="n"/>
      <c r="AK456" s="213" t="n"/>
    </row>
    <row r="457">
      <c r="B457" s="94" t="n"/>
      <c r="C457" s="88" t="n"/>
      <c r="D457" s="88" t="n"/>
      <c r="E457" s="88" t="n"/>
      <c r="F457" s="88" t="n"/>
      <c r="G457" s="88" t="n"/>
      <c r="H457" s="94" t="n"/>
      <c r="I457" s="4" t="n"/>
      <c r="J457" s="95" t="n"/>
      <c r="K457" s="213" t="n"/>
      <c r="L457" s="213" t="n"/>
      <c r="M457" s="213" t="n"/>
      <c r="N457" s="213" t="n"/>
      <c r="O457" s="213" t="n"/>
      <c r="P457" s="213" t="n"/>
      <c r="Q457" s="213" t="n"/>
      <c r="R457" s="213" t="n"/>
      <c r="S457" s="213" t="n"/>
      <c r="T457" s="213" t="n"/>
      <c r="U457" s="213" t="n"/>
      <c r="V457" s="213" t="n"/>
      <c r="W457" s="213" t="n"/>
      <c r="X457" s="213" t="n"/>
      <c r="Y457" s="213" t="n"/>
      <c r="Z457" s="213" t="n"/>
      <c r="AA457" s="213" t="n"/>
      <c r="AB457" s="213" t="n"/>
      <c r="AC457" s="213" t="n"/>
      <c r="AD457" s="213" t="n"/>
      <c r="AE457" s="213" t="n"/>
      <c r="AF457" s="213" t="n"/>
      <c r="AG457" s="213" t="n"/>
      <c r="AH457" s="213" t="n"/>
      <c r="AI457" s="213" t="n"/>
      <c r="AJ457" s="213" t="n"/>
      <c r="AK457" s="213" t="n"/>
    </row>
    <row r="458">
      <c r="B458" s="94" t="n"/>
      <c r="C458" s="88" t="n"/>
      <c r="D458" s="88" t="n"/>
      <c r="E458" s="88" t="n"/>
      <c r="F458" s="88" t="n"/>
      <c r="G458" s="88" t="n"/>
      <c r="H458" s="94" t="n"/>
      <c r="I458" s="4" t="n"/>
      <c r="J458" s="95" t="n"/>
      <c r="K458" s="213" t="n"/>
      <c r="L458" s="213" t="n"/>
      <c r="M458" s="213" t="n"/>
      <c r="N458" s="213" t="n"/>
      <c r="O458" s="213" t="n"/>
      <c r="P458" s="213" t="n"/>
      <c r="Q458" s="213" t="n"/>
      <c r="R458" s="213" t="n"/>
      <c r="S458" s="213" t="n"/>
      <c r="T458" s="213" t="n"/>
      <c r="U458" s="213" t="n"/>
      <c r="V458" s="213" t="n"/>
      <c r="W458" s="213" t="n"/>
      <c r="X458" s="213" t="n"/>
      <c r="Y458" s="213" t="n"/>
      <c r="Z458" s="213" t="n"/>
      <c r="AA458" s="213" t="n"/>
      <c r="AB458" s="213" t="n"/>
      <c r="AC458" s="213" t="n"/>
      <c r="AD458" s="213" t="n"/>
      <c r="AE458" s="213" t="n"/>
      <c r="AF458" s="213" t="n"/>
      <c r="AG458" s="213" t="n"/>
      <c r="AH458" s="213" t="n"/>
      <c r="AI458" s="213" t="n"/>
      <c r="AJ458" s="213" t="n"/>
      <c r="AK458" s="213" t="n"/>
    </row>
    <row r="459">
      <c r="B459" s="94" t="n"/>
      <c r="C459" s="88" t="n"/>
      <c r="D459" s="88" t="n"/>
      <c r="E459" s="88" t="n"/>
      <c r="F459" s="88" t="n"/>
      <c r="G459" s="88" t="n"/>
      <c r="H459" s="94" t="n"/>
      <c r="I459" s="4" t="n"/>
      <c r="J459" s="95" t="n"/>
      <c r="K459" s="213" t="n"/>
      <c r="L459" s="213" t="n"/>
      <c r="M459" s="213" t="n"/>
      <c r="N459" s="213" t="n"/>
      <c r="O459" s="213" t="n"/>
      <c r="P459" s="213" t="n"/>
      <c r="Q459" s="213" t="n"/>
      <c r="R459" s="213" t="n"/>
      <c r="S459" s="213" t="n"/>
      <c r="T459" s="213" t="n"/>
      <c r="U459" s="213" t="n"/>
      <c r="V459" s="213" t="n"/>
      <c r="W459" s="213" t="n"/>
      <c r="X459" s="213" t="n"/>
      <c r="Y459" s="213" t="n"/>
      <c r="Z459" s="213" t="n"/>
      <c r="AA459" s="213" t="n"/>
      <c r="AB459" s="213" t="n"/>
      <c r="AC459" s="213" t="n"/>
      <c r="AD459" s="213" t="n"/>
      <c r="AE459" s="213" t="n"/>
      <c r="AF459" s="213" t="n"/>
      <c r="AG459" s="213" t="n"/>
      <c r="AH459" s="213" t="n"/>
      <c r="AI459" s="213" t="n"/>
      <c r="AJ459" s="213" t="n"/>
      <c r="AK459" s="213" t="n"/>
    </row>
    <row r="460">
      <c r="B460" s="94" t="n"/>
      <c r="C460" s="88" t="n"/>
      <c r="D460" s="88" t="n"/>
      <c r="E460" s="88" t="n"/>
      <c r="F460" s="88" t="n"/>
      <c r="G460" s="88" t="n"/>
      <c r="H460" s="94" t="n"/>
      <c r="I460" s="4" t="n"/>
      <c r="J460" s="95" t="n"/>
      <c r="K460" s="213" t="n"/>
      <c r="L460" s="213" t="n"/>
      <c r="M460" s="213" t="n"/>
      <c r="N460" s="213" t="n"/>
      <c r="O460" s="213" t="n"/>
      <c r="P460" s="213" t="n"/>
      <c r="Q460" s="213" t="n"/>
      <c r="R460" s="213" t="n"/>
      <c r="S460" s="213" t="n"/>
      <c r="T460" s="213" t="n"/>
      <c r="U460" s="213" t="n"/>
      <c r="V460" s="213" t="n"/>
      <c r="W460" s="213" t="n"/>
      <c r="X460" s="213" t="n"/>
      <c r="Y460" s="213" t="n"/>
      <c r="Z460" s="213" t="n"/>
      <c r="AA460" s="213" t="n"/>
      <c r="AB460" s="213" t="n"/>
      <c r="AC460" s="213" t="n"/>
      <c r="AD460" s="213" t="n"/>
      <c r="AE460" s="213" t="n"/>
      <c r="AF460" s="213" t="n"/>
      <c r="AG460" s="213" t="n"/>
      <c r="AH460" s="213" t="n"/>
      <c r="AI460" s="213" t="n"/>
      <c r="AJ460" s="213" t="n"/>
      <c r="AK460" s="213" t="n"/>
    </row>
    <row r="461">
      <c r="B461" s="94" t="n"/>
      <c r="C461" s="88" t="n"/>
      <c r="D461" s="88" t="n"/>
      <c r="E461" s="88" t="n"/>
      <c r="F461" s="88" t="n"/>
      <c r="G461" s="88" t="n"/>
      <c r="H461" s="94" t="n"/>
      <c r="I461" s="4" t="n"/>
      <c r="J461" s="95" t="n"/>
      <c r="K461" s="213" t="n"/>
      <c r="L461" s="213" t="n"/>
      <c r="M461" s="213" t="n"/>
      <c r="N461" s="213" t="n"/>
      <c r="O461" s="213" t="n"/>
      <c r="P461" s="213" t="n"/>
      <c r="Q461" s="213" t="n"/>
      <c r="R461" s="213" t="n"/>
      <c r="S461" s="213" t="n"/>
      <c r="T461" s="213" t="n"/>
      <c r="U461" s="213" t="n"/>
      <c r="V461" s="213" t="n"/>
      <c r="W461" s="213" t="n"/>
      <c r="X461" s="213" t="n"/>
      <c r="Y461" s="213" t="n"/>
      <c r="Z461" s="213" t="n"/>
      <c r="AA461" s="213" t="n"/>
      <c r="AB461" s="213" t="n"/>
      <c r="AC461" s="213" t="n"/>
      <c r="AD461" s="213" t="n"/>
      <c r="AE461" s="213" t="n"/>
      <c r="AF461" s="213" t="n"/>
      <c r="AG461" s="213" t="n"/>
      <c r="AH461" s="213" t="n"/>
      <c r="AI461" s="213" t="n"/>
      <c r="AJ461" s="213" t="n"/>
      <c r="AK461" s="213" t="n"/>
    </row>
    <row r="462">
      <c r="B462" s="94" t="n"/>
      <c r="C462" s="88" t="n"/>
      <c r="D462" s="88" t="n"/>
      <c r="E462" s="88" t="n"/>
      <c r="F462" s="88" t="n"/>
      <c r="G462" s="88" t="n"/>
      <c r="H462" s="94" t="n"/>
      <c r="I462" s="4" t="n"/>
      <c r="J462" s="95" t="n"/>
      <c r="K462" s="213" t="n"/>
      <c r="L462" s="213" t="n"/>
      <c r="M462" s="213" t="n"/>
      <c r="N462" s="213" t="n"/>
      <c r="O462" s="213" t="n"/>
      <c r="P462" s="213" t="n"/>
      <c r="Q462" s="213" t="n"/>
      <c r="R462" s="213" t="n"/>
      <c r="S462" s="213" t="n"/>
      <c r="T462" s="213" t="n"/>
      <c r="U462" s="213" t="n"/>
      <c r="V462" s="213" t="n"/>
      <c r="W462" s="213" t="n"/>
      <c r="X462" s="213" t="n"/>
      <c r="Y462" s="213" t="n"/>
      <c r="Z462" s="213" t="n"/>
      <c r="AA462" s="213" t="n"/>
      <c r="AB462" s="213" t="n"/>
      <c r="AC462" s="213" t="n"/>
      <c r="AD462" s="213" t="n"/>
      <c r="AE462" s="213" t="n"/>
      <c r="AF462" s="213" t="n"/>
      <c r="AG462" s="213" t="n"/>
      <c r="AH462" s="213" t="n"/>
      <c r="AI462" s="213" t="n"/>
      <c r="AJ462" s="213" t="n"/>
      <c r="AK462" s="213" t="n"/>
    </row>
    <row r="463">
      <c r="B463" s="94" t="n"/>
      <c r="C463" s="88" t="n"/>
      <c r="D463" s="88" t="n"/>
      <c r="E463" s="88" t="n"/>
      <c r="F463" s="88" t="n"/>
      <c r="G463" s="88" t="n"/>
      <c r="H463" s="94" t="n"/>
      <c r="I463" s="4" t="n"/>
      <c r="J463" s="95" t="n"/>
      <c r="K463" s="213" t="n"/>
      <c r="L463" s="213" t="n"/>
      <c r="M463" s="213" t="n"/>
      <c r="N463" s="213" t="n"/>
      <c r="O463" s="213" t="n"/>
      <c r="P463" s="213" t="n"/>
      <c r="Q463" s="213" t="n"/>
      <c r="R463" s="213" t="n"/>
      <c r="S463" s="213" t="n"/>
      <c r="T463" s="213" t="n"/>
      <c r="U463" s="213" t="n"/>
      <c r="V463" s="213" t="n"/>
      <c r="W463" s="213" t="n"/>
      <c r="X463" s="213" t="n"/>
      <c r="Y463" s="213" t="n"/>
      <c r="Z463" s="213" t="n"/>
      <c r="AA463" s="213" t="n"/>
      <c r="AB463" s="213" t="n"/>
      <c r="AC463" s="213" t="n"/>
      <c r="AD463" s="213" t="n"/>
      <c r="AE463" s="213" t="n"/>
      <c r="AF463" s="213" t="n"/>
      <c r="AG463" s="213" t="n"/>
      <c r="AH463" s="213" t="n"/>
      <c r="AI463" s="213" t="n"/>
      <c r="AJ463" s="213" t="n"/>
      <c r="AK463" s="213" t="n"/>
    </row>
    <row r="464">
      <c r="B464" s="94" t="n"/>
      <c r="C464" s="88" t="n"/>
      <c r="D464" s="88" t="n"/>
      <c r="E464" s="88" t="n"/>
      <c r="F464" s="88" t="n"/>
      <c r="G464" s="88" t="n"/>
      <c r="H464" s="94" t="n"/>
      <c r="I464" s="4" t="n"/>
      <c r="J464" s="95" t="n"/>
      <c r="K464" s="213" t="n"/>
      <c r="L464" s="213" t="n"/>
      <c r="M464" s="213" t="n"/>
      <c r="N464" s="213" t="n"/>
      <c r="O464" s="213" t="n"/>
      <c r="P464" s="213" t="n"/>
      <c r="Q464" s="213" t="n"/>
      <c r="R464" s="213" t="n"/>
      <c r="S464" s="213" t="n"/>
      <c r="T464" s="213" t="n"/>
      <c r="U464" s="213" t="n"/>
      <c r="V464" s="213" t="n"/>
      <c r="W464" s="213" t="n"/>
      <c r="X464" s="213" t="n"/>
      <c r="Y464" s="213" t="n"/>
      <c r="Z464" s="213" t="n"/>
      <c r="AA464" s="213" t="n"/>
      <c r="AB464" s="213" t="n"/>
      <c r="AC464" s="213" t="n"/>
      <c r="AD464" s="213" t="n"/>
      <c r="AE464" s="213" t="n"/>
      <c r="AF464" s="213" t="n"/>
      <c r="AG464" s="213" t="n"/>
      <c r="AH464" s="213" t="n"/>
      <c r="AI464" s="213" t="n"/>
      <c r="AJ464" s="213" t="n"/>
      <c r="AK464" s="213" t="n"/>
    </row>
    <row r="465">
      <c r="B465" s="94" t="n"/>
      <c r="C465" s="88" t="n"/>
      <c r="D465" s="88" t="n"/>
      <c r="E465" s="88" t="n"/>
      <c r="F465" s="88" t="n"/>
      <c r="G465" s="88" t="n"/>
      <c r="H465" s="94" t="n"/>
      <c r="I465" s="4" t="n"/>
      <c r="J465" s="95" t="n"/>
      <c r="K465" s="213" t="n"/>
      <c r="L465" s="213" t="n"/>
      <c r="M465" s="213" t="n"/>
      <c r="N465" s="213" t="n"/>
      <c r="O465" s="213" t="n"/>
      <c r="P465" s="213" t="n"/>
      <c r="Q465" s="213" t="n"/>
      <c r="R465" s="213" t="n"/>
      <c r="S465" s="213" t="n"/>
      <c r="T465" s="213" t="n"/>
      <c r="U465" s="213" t="n"/>
      <c r="V465" s="213" t="n"/>
      <c r="W465" s="213" t="n"/>
      <c r="X465" s="213" t="n"/>
      <c r="Y465" s="213" t="n"/>
      <c r="Z465" s="213" t="n"/>
      <c r="AA465" s="213" t="n"/>
      <c r="AB465" s="213" t="n"/>
      <c r="AC465" s="213" t="n"/>
      <c r="AD465" s="213" t="n"/>
      <c r="AE465" s="213" t="n"/>
      <c r="AF465" s="213" t="n"/>
      <c r="AG465" s="213" t="n"/>
      <c r="AH465" s="213" t="n"/>
      <c r="AI465" s="213" t="n"/>
      <c r="AJ465" s="213" t="n"/>
      <c r="AK465" s="213" t="n"/>
    </row>
    <row r="466">
      <c r="B466" s="94" t="n"/>
      <c r="C466" s="88" t="n"/>
      <c r="D466" s="88" t="n"/>
      <c r="E466" s="88" t="n"/>
      <c r="F466" s="88" t="n"/>
      <c r="G466" s="88" t="n"/>
      <c r="H466" s="94" t="n"/>
      <c r="I466" s="4" t="n"/>
      <c r="J466" s="95" t="n"/>
      <c r="K466" s="213" t="n"/>
      <c r="L466" s="213" t="n"/>
      <c r="M466" s="213" t="n"/>
      <c r="N466" s="213" t="n"/>
      <c r="O466" s="213" t="n"/>
      <c r="P466" s="213" t="n"/>
      <c r="Q466" s="213" t="n"/>
      <c r="R466" s="213" t="n"/>
      <c r="S466" s="213" t="n"/>
      <c r="T466" s="213" t="n"/>
      <c r="U466" s="213" t="n"/>
      <c r="V466" s="213" t="n"/>
      <c r="W466" s="213" t="n"/>
      <c r="X466" s="213" t="n"/>
      <c r="Y466" s="213" t="n"/>
      <c r="Z466" s="213" t="n"/>
      <c r="AA466" s="213" t="n"/>
      <c r="AB466" s="213" t="n"/>
      <c r="AC466" s="213" t="n"/>
      <c r="AD466" s="213" t="n"/>
      <c r="AE466" s="213" t="n"/>
      <c r="AF466" s="213" t="n"/>
      <c r="AG466" s="213" t="n"/>
      <c r="AH466" s="213" t="n"/>
      <c r="AI466" s="213" t="n"/>
      <c r="AJ466" s="213" t="n"/>
      <c r="AK466" s="213" t="n"/>
    </row>
    <row r="467">
      <c r="B467" s="94" t="n"/>
      <c r="C467" s="88" t="n"/>
      <c r="D467" s="88" t="n"/>
      <c r="E467" s="88" t="n"/>
      <c r="F467" s="88" t="n"/>
      <c r="G467" s="88" t="n"/>
      <c r="H467" s="94" t="n"/>
      <c r="I467" s="4" t="n"/>
      <c r="J467" s="95" t="n"/>
      <c r="K467" s="213" t="n"/>
      <c r="L467" s="213" t="n"/>
      <c r="M467" s="213" t="n"/>
      <c r="N467" s="213" t="n"/>
      <c r="O467" s="213" t="n"/>
      <c r="P467" s="213" t="n"/>
      <c r="Q467" s="213" t="n"/>
      <c r="R467" s="213" t="n"/>
      <c r="S467" s="213" t="n"/>
      <c r="T467" s="213" t="n"/>
      <c r="U467" s="213" t="n"/>
      <c r="V467" s="213" t="n"/>
      <c r="W467" s="213" t="n"/>
      <c r="X467" s="213" t="n"/>
      <c r="Y467" s="213" t="n"/>
      <c r="Z467" s="213" t="n"/>
      <c r="AA467" s="213" t="n"/>
      <c r="AB467" s="213" t="n"/>
      <c r="AC467" s="213" t="n"/>
      <c r="AD467" s="213" t="n"/>
      <c r="AE467" s="213" t="n"/>
      <c r="AF467" s="213" t="n"/>
      <c r="AG467" s="213" t="n"/>
      <c r="AH467" s="213" t="n"/>
      <c r="AI467" s="213" t="n"/>
      <c r="AJ467" s="213" t="n"/>
      <c r="AK467" s="213" t="n"/>
    </row>
    <row r="468">
      <c r="B468" s="94" t="n"/>
      <c r="C468" s="88" t="n"/>
      <c r="D468" s="88" t="n"/>
      <c r="E468" s="88" t="n"/>
      <c r="F468" s="88" t="n"/>
      <c r="G468" s="88" t="n"/>
      <c r="H468" s="94" t="n"/>
      <c r="I468" s="4" t="n"/>
      <c r="J468" s="95" t="n"/>
      <c r="K468" s="213" t="n"/>
      <c r="L468" s="213" t="n"/>
      <c r="M468" s="213" t="n"/>
      <c r="N468" s="213" t="n"/>
      <c r="O468" s="213" t="n"/>
      <c r="P468" s="213" t="n"/>
      <c r="Q468" s="213" t="n"/>
      <c r="R468" s="213" t="n"/>
      <c r="S468" s="213" t="n"/>
      <c r="T468" s="213" t="n"/>
      <c r="U468" s="213" t="n"/>
      <c r="V468" s="213" t="n"/>
      <c r="W468" s="213" t="n"/>
      <c r="X468" s="213" t="n"/>
      <c r="Y468" s="213" t="n"/>
      <c r="Z468" s="213" t="n"/>
      <c r="AA468" s="213" t="n"/>
      <c r="AB468" s="213" t="n"/>
      <c r="AC468" s="213" t="n"/>
      <c r="AD468" s="213" t="n"/>
      <c r="AE468" s="213" t="n"/>
      <c r="AF468" s="213" t="n"/>
      <c r="AG468" s="213" t="n"/>
      <c r="AH468" s="213" t="n"/>
      <c r="AI468" s="213" t="n"/>
      <c r="AJ468" s="213" t="n"/>
      <c r="AK468" s="213" t="n"/>
    </row>
    <row r="469">
      <c r="B469" s="94" t="n"/>
      <c r="C469" s="88" t="n"/>
      <c r="D469" s="88" t="n"/>
      <c r="E469" s="88" t="n"/>
      <c r="F469" s="88" t="n"/>
      <c r="G469" s="88" t="n"/>
      <c r="H469" s="94" t="n"/>
      <c r="I469" s="4" t="n"/>
      <c r="J469" s="95" t="n"/>
      <c r="K469" s="213" t="n"/>
      <c r="L469" s="213" t="n"/>
      <c r="M469" s="213" t="n"/>
      <c r="N469" s="213" t="n"/>
      <c r="O469" s="213" t="n"/>
      <c r="P469" s="213" t="n"/>
      <c r="Q469" s="213" t="n"/>
      <c r="R469" s="213" t="n"/>
      <c r="S469" s="213" t="n"/>
      <c r="T469" s="213" t="n"/>
      <c r="U469" s="213" t="n"/>
      <c r="V469" s="213" t="n"/>
      <c r="W469" s="213" t="n"/>
      <c r="X469" s="213" t="n"/>
      <c r="Y469" s="213" t="n"/>
      <c r="Z469" s="213" t="n"/>
      <c r="AA469" s="213" t="n"/>
      <c r="AB469" s="213" t="n"/>
      <c r="AC469" s="213" t="n"/>
      <c r="AD469" s="213" t="n"/>
      <c r="AE469" s="213" t="n"/>
      <c r="AF469" s="213" t="n"/>
      <c r="AG469" s="213" t="n"/>
      <c r="AH469" s="213" t="n"/>
      <c r="AI469" s="213" t="n"/>
      <c r="AJ469" s="213" t="n"/>
      <c r="AK469" s="213" t="n"/>
    </row>
    <row r="470">
      <c r="B470" s="94" t="n"/>
      <c r="C470" s="88" t="n"/>
      <c r="D470" s="88" t="n"/>
      <c r="E470" s="88" t="n"/>
      <c r="F470" s="88" t="n"/>
      <c r="G470" s="88" t="n"/>
      <c r="H470" s="94" t="n"/>
      <c r="I470" s="4" t="n"/>
      <c r="J470" s="95" t="n"/>
      <c r="K470" s="213" t="n"/>
      <c r="L470" s="213" t="n"/>
      <c r="M470" s="213" t="n"/>
      <c r="N470" s="213" t="n"/>
      <c r="O470" s="213" t="n"/>
      <c r="P470" s="213" t="n"/>
      <c r="Q470" s="213" t="n"/>
      <c r="R470" s="213" t="n"/>
      <c r="S470" s="213" t="n"/>
      <c r="T470" s="213" t="n"/>
      <c r="U470" s="213" t="n"/>
      <c r="V470" s="213" t="n"/>
      <c r="W470" s="213" t="n"/>
      <c r="X470" s="213" t="n"/>
      <c r="Y470" s="213" t="n"/>
      <c r="Z470" s="213" t="n"/>
      <c r="AA470" s="213" t="n"/>
      <c r="AB470" s="213" t="n"/>
      <c r="AC470" s="213" t="n"/>
      <c r="AD470" s="213" t="n"/>
      <c r="AE470" s="213" t="n"/>
      <c r="AF470" s="213" t="n"/>
      <c r="AG470" s="213" t="n"/>
      <c r="AH470" s="213" t="n"/>
      <c r="AI470" s="213" t="n"/>
      <c r="AJ470" s="213" t="n"/>
      <c r="AK470" s="213" t="n"/>
    </row>
    <row r="471">
      <c r="B471" s="94" t="n"/>
      <c r="C471" s="88" t="n"/>
      <c r="D471" s="88" t="n"/>
      <c r="E471" s="88" t="n"/>
      <c r="F471" s="88" t="n"/>
      <c r="G471" s="88" t="n"/>
      <c r="H471" s="94" t="n"/>
      <c r="I471" s="4" t="n"/>
      <c r="J471" s="95" t="n"/>
      <c r="K471" s="213" t="n"/>
      <c r="L471" s="213" t="n"/>
      <c r="M471" s="213" t="n"/>
      <c r="N471" s="213" t="n"/>
      <c r="O471" s="213" t="n"/>
      <c r="P471" s="213" t="n"/>
      <c r="Q471" s="213" t="n"/>
      <c r="R471" s="213" t="n"/>
      <c r="S471" s="213" t="n"/>
      <c r="T471" s="213" t="n"/>
      <c r="U471" s="213" t="n"/>
      <c r="V471" s="213" t="n"/>
      <c r="W471" s="213" t="n"/>
      <c r="X471" s="213" t="n"/>
      <c r="Y471" s="213" t="n"/>
      <c r="Z471" s="213" t="n"/>
      <c r="AA471" s="213" t="n"/>
      <c r="AB471" s="213" t="n"/>
      <c r="AC471" s="213" t="n"/>
      <c r="AD471" s="213" t="n"/>
      <c r="AE471" s="213" t="n"/>
      <c r="AF471" s="213" t="n"/>
      <c r="AG471" s="213" t="n"/>
      <c r="AH471" s="213" t="n"/>
      <c r="AI471" s="213" t="n"/>
      <c r="AJ471" s="213" t="n"/>
      <c r="AK471" s="213" t="n"/>
    </row>
    <row r="472">
      <c r="B472" s="94" t="n"/>
      <c r="C472" s="88" t="n"/>
      <c r="D472" s="88" t="n"/>
      <c r="E472" s="88" t="n"/>
      <c r="F472" s="88" t="n"/>
      <c r="G472" s="88" t="n"/>
      <c r="H472" s="94" t="n"/>
      <c r="I472" s="4" t="n"/>
      <c r="J472" s="95" t="n"/>
      <c r="K472" s="213" t="n"/>
      <c r="L472" s="213" t="n"/>
      <c r="M472" s="213" t="n"/>
      <c r="N472" s="213" t="n"/>
      <c r="O472" s="213" t="n"/>
      <c r="P472" s="213" t="n"/>
      <c r="Q472" s="213" t="n"/>
      <c r="R472" s="213" t="n"/>
      <c r="S472" s="213" t="n"/>
      <c r="T472" s="213" t="n"/>
      <c r="U472" s="213" t="n"/>
      <c r="V472" s="213" t="n"/>
      <c r="W472" s="213" t="n"/>
      <c r="X472" s="213" t="n"/>
      <c r="Y472" s="213" t="n"/>
      <c r="Z472" s="213" t="n"/>
      <c r="AA472" s="213" t="n"/>
      <c r="AB472" s="213" t="n"/>
      <c r="AC472" s="213" t="n"/>
      <c r="AD472" s="213" t="n"/>
      <c r="AE472" s="213" t="n"/>
      <c r="AF472" s="213" t="n"/>
      <c r="AG472" s="213" t="n"/>
      <c r="AH472" s="213" t="n"/>
      <c r="AI472" s="213" t="n"/>
      <c r="AJ472" s="213" t="n"/>
      <c r="AK472" s="213" t="n"/>
    </row>
    <row r="473">
      <c r="B473" s="94" t="n"/>
      <c r="C473" s="88" t="n"/>
      <c r="D473" s="88" t="n"/>
      <c r="E473" s="88" t="n"/>
      <c r="F473" s="88" t="n"/>
      <c r="G473" s="88" t="n"/>
      <c r="H473" s="94" t="n"/>
      <c r="I473" s="4" t="n"/>
      <c r="J473" s="95" t="n"/>
      <c r="K473" s="213" t="n"/>
      <c r="L473" s="213" t="n"/>
      <c r="M473" s="213" t="n"/>
      <c r="N473" s="213" t="n"/>
      <c r="O473" s="213" t="n"/>
      <c r="P473" s="213" t="n"/>
      <c r="Q473" s="213" t="n"/>
      <c r="R473" s="213" t="n"/>
      <c r="S473" s="213" t="n"/>
      <c r="T473" s="213" t="n"/>
      <c r="U473" s="213" t="n"/>
      <c r="V473" s="213" t="n"/>
      <c r="W473" s="213" t="n"/>
      <c r="X473" s="213" t="n"/>
      <c r="Y473" s="213" t="n"/>
      <c r="Z473" s="213" t="n"/>
      <c r="AA473" s="213" t="n"/>
      <c r="AB473" s="213" t="n"/>
      <c r="AC473" s="213" t="n"/>
      <c r="AD473" s="213" t="n"/>
      <c r="AE473" s="213" t="n"/>
      <c r="AF473" s="213" t="n"/>
      <c r="AG473" s="213" t="n"/>
      <c r="AH473" s="213" t="n"/>
      <c r="AI473" s="213" t="n"/>
      <c r="AJ473" s="213" t="n"/>
      <c r="AK473" s="213" t="n"/>
    </row>
    <row r="474">
      <c r="B474" s="94" t="n"/>
      <c r="C474" s="88" t="n"/>
      <c r="D474" s="88" t="n"/>
      <c r="E474" s="88" t="n"/>
      <c r="F474" s="88" t="n"/>
      <c r="G474" s="88" t="n"/>
      <c r="H474" s="94" t="n"/>
      <c r="I474" s="4" t="n"/>
      <c r="J474" s="95" t="n"/>
      <c r="K474" s="213" t="n"/>
      <c r="L474" s="213" t="n"/>
      <c r="M474" s="213" t="n"/>
      <c r="N474" s="213" t="n"/>
      <c r="O474" s="213" t="n"/>
      <c r="P474" s="213" t="n"/>
      <c r="Q474" s="213" t="n"/>
      <c r="R474" s="213" t="n"/>
      <c r="S474" s="213" t="n"/>
      <c r="T474" s="213" t="n"/>
      <c r="U474" s="213" t="n"/>
      <c r="V474" s="213" t="n"/>
      <c r="W474" s="213" t="n"/>
      <c r="X474" s="213" t="n"/>
      <c r="Y474" s="213" t="n"/>
      <c r="Z474" s="213" t="n"/>
      <c r="AA474" s="213" t="n"/>
      <c r="AB474" s="213" t="n"/>
      <c r="AC474" s="213" t="n"/>
      <c r="AD474" s="213" t="n"/>
      <c r="AE474" s="213" t="n"/>
      <c r="AF474" s="213" t="n"/>
      <c r="AG474" s="213" t="n"/>
      <c r="AH474" s="213" t="n"/>
      <c r="AI474" s="213" t="n"/>
      <c r="AJ474" s="213" t="n"/>
      <c r="AK474" s="213" t="n"/>
    </row>
    <row r="475">
      <c r="B475" s="94" t="n"/>
      <c r="C475" s="88" t="n"/>
      <c r="D475" s="88" t="n"/>
      <c r="E475" s="88" t="n"/>
      <c r="F475" s="88" t="n"/>
      <c r="G475" s="88" t="n"/>
      <c r="H475" s="94" t="n"/>
      <c r="I475" s="4" t="n"/>
      <c r="J475" s="95" t="n"/>
      <c r="K475" s="213" t="n"/>
      <c r="L475" s="213" t="n"/>
      <c r="M475" s="213" t="n"/>
      <c r="N475" s="213" t="n"/>
      <c r="O475" s="213" t="n"/>
      <c r="P475" s="213" t="n"/>
      <c r="Q475" s="213" t="n"/>
      <c r="R475" s="213" t="n"/>
      <c r="S475" s="213" t="n"/>
      <c r="T475" s="213" t="n"/>
      <c r="U475" s="213" t="n"/>
      <c r="V475" s="213" t="n"/>
      <c r="W475" s="213" t="n"/>
      <c r="X475" s="213" t="n"/>
      <c r="Y475" s="213" t="n"/>
      <c r="Z475" s="213" t="n"/>
      <c r="AA475" s="213" t="n"/>
      <c r="AB475" s="213" t="n"/>
      <c r="AC475" s="213" t="n"/>
      <c r="AD475" s="213" t="n"/>
      <c r="AE475" s="213" t="n"/>
      <c r="AF475" s="213" t="n"/>
      <c r="AG475" s="213" t="n"/>
      <c r="AH475" s="213" t="n"/>
      <c r="AI475" s="213" t="n"/>
      <c r="AJ475" s="213" t="n"/>
      <c r="AK475" s="213" t="n"/>
    </row>
    <row r="476">
      <c r="B476" s="94" t="n"/>
      <c r="C476" s="88" t="n"/>
      <c r="D476" s="88" t="n"/>
      <c r="E476" s="88" t="n"/>
      <c r="F476" s="88" t="n"/>
      <c r="G476" s="88" t="n"/>
      <c r="H476" s="94" t="n"/>
      <c r="I476" s="4" t="n"/>
      <c r="J476" s="95" t="n"/>
      <c r="K476" s="213" t="n"/>
      <c r="L476" s="213" t="n"/>
      <c r="M476" s="213" t="n"/>
      <c r="N476" s="213" t="n"/>
      <c r="O476" s="213" t="n"/>
      <c r="P476" s="213" t="n"/>
      <c r="Q476" s="213" t="n"/>
      <c r="R476" s="213" t="n"/>
      <c r="S476" s="213" t="n"/>
      <c r="T476" s="213" t="n"/>
      <c r="U476" s="213" t="n"/>
      <c r="V476" s="213" t="n"/>
      <c r="W476" s="213" t="n"/>
      <c r="X476" s="213" t="n"/>
      <c r="Y476" s="213" t="n"/>
      <c r="Z476" s="213" t="n"/>
      <c r="AA476" s="213" t="n"/>
      <c r="AB476" s="213" t="n"/>
      <c r="AC476" s="213" t="n"/>
      <c r="AD476" s="213" t="n"/>
      <c r="AE476" s="213" t="n"/>
      <c r="AF476" s="213" t="n"/>
      <c r="AG476" s="213" t="n"/>
      <c r="AH476" s="213" t="n"/>
      <c r="AI476" s="213" t="n"/>
      <c r="AJ476" s="213" t="n"/>
      <c r="AK476" s="213" t="n"/>
    </row>
    <row r="477">
      <c r="B477" s="94" t="n"/>
      <c r="C477" s="88" t="n"/>
      <c r="D477" s="88" t="n"/>
      <c r="E477" s="88" t="n"/>
      <c r="F477" s="88" t="n"/>
      <c r="G477" s="88" t="n"/>
      <c r="H477" s="94" t="n"/>
      <c r="I477" s="4" t="n"/>
      <c r="J477" s="95" t="n"/>
      <c r="K477" s="213" t="n"/>
      <c r="L477" s="213" t="n"/>
      <c r="M477" s="213" t="n"/>
      <c r="N477" s="213" t="n"/>
      <c r="O477" s="213" t="n"/>
      <c r="P477" s="213" t="n"/>
      <c r="Q477" s="213" t="n"/>
      <c r="R477" s="213" t="n"/>
      <c r="S477" s="213" t="n"/>
      <c r="T477" s="213" t="n"/>
      <c r="U477" s="213" t="n"/>
      <c r="V477" s="213" t="n"/>
      <c r="W477" s="213" t="n"/>
      <c r="X477" s="213" t="n"/>
      <c r="Y477" s="213" t="n"/>
      <c r="Z477" s="213" t="n"/>
      <c r="AA477" s="213" t="n"/>
      <c r="AB477" s="213" t="n"/>
      <c r="AC477" s="213" t="n"/>
      <c r="AD477" s="213" t="n"/>
      <c r="AE477" s="213" t="n"/>
      <c r="AF477" s="213" t="n"/>
      <c r="AG477" s="213" t="n"/>
      <c r="AH477" s="213" t="n"/>
      <c r="AI477" s="213" t="n"/>
      <c r="AJ477" s="213" t="n"/>
      <c r="AK477" s="213" t="n"/>
    </row>
    <row r="478">
      <c r="B478" s="94" t="n"/>
      <c r="C478" s="88" t="n"/>
      <c r="D478" s="88" t="n"/>
      <c r="E478" s="88" t="n"/>
      <c r="F478" s="88" t="n"/>
      <c r="G478" s="88" t="n"/>
      <c r="H478" s="94" t="n"/>
      <c r="I478" s="4" t="n"/>
      <c r="J478" s="95" t="n"/>
      <c r="K478" s="213" t="n"/>
      <c r="L478" s="213" t="n"/>
      <c r="M478" s="213" t="n"/>
      <c r="N478" s="213" t="n"/>
      <c r="O478" s="213" t="n"/>
      <c r="P478" s="213" t="n"/>
      <c r="Q478" s="213" t="n"/>
      <c r="R478" s="213" t="n"/>
      <c r="S478" s="213" t="n"/>
      <c r="T478" s="213" t="n"/>
      <c r="U478" s="213" t="n"/>
      <c r="V478" s="213" t="n"/>
      <c r="W478" s="213" t="n"/>
      <c r="X478" s="213" t="n"/>
      <c r="Y478" s="213" t="n"/>
      <c r="Z478" s="213" t="n"/>
      <c r="AA478" s="213" t="n"/>
      <c r="AB478" s="213" t="n"/>
      <c r="AC478" s="213" t="n"/>
      <c r="AD478" s="213" t="n"/>
      <c r="AE478" s="213" t="n"/>
      <c r="AF478" s="213" t="n"/>
      <c r="AG478" s="213" t="n"/>
      <c r="AH478" s="213" t="n"/>
      <c r="AI478" s="213" t="n"/>
      <c r="AJ478" s="213" t="n"/>
      <c r="AK478" s="213" t="n"/>
    </row>
    <row r="479">
      <c r="B479" s="94" t="n"/>
      <c r="C479" s="88" t="n"/>
      <c r="D479" s="88" t="n"/>
      <c r="E479" s="88" t="n"/>
      <c r="F479" s="88" t="n"/>
      <c r="G479" s="88" t="n"/>
      <c r="H479" s="94" t="n"/>
      <c r="I479" s="4" t="n"/>
      <c r="J479" s="95" t="n"/>
      <c r="K479" s="213" t="n"/>
      <c r="L479" s="213" t="n"/>
      <c r="M479" s="213" t="n"/>
      <c r="N479" s="213" t="n"/>
      <c r="O479" s="213" t="n"/>
      <c r="P479" s="213" t="n"/>
      <c r="Q479" s="213" t="n"/>
      <c r="R479" s="213" t="n"/>
      <c r="S479" s="213" t="n"/>
      <c r="T479" s="213" t="n"/>
      <c r="U479" s="213" t="n"/>
      <c r="V479" s="213" t="n"/>
      <c r="W479" s="213" t="n"/>
      <c r="X479" s="213" t="n"/>
      <c r="Y479" s="213" t="n"/>
      <c r="Z479" s="213" t="n"/>
      <c r="AA479" s="213" t="n"/>
      <c r="AB479" s="213" t="n"/>
      <c r="AC479" s="213" t="n"/>
      <c r="AD479" s="213" t="n"/>
      <c r="AE479" s="213" t="n"/>
      <c r="AF479" s="213" t="n"/>
      <c r="AG479" s="213" t="n"/>
      <c r="AH479" s="213" t="n"/>
      <c r="AI479" s="213" t="n"/>
      <c r="AJ479" s="213" t="n"/>
      <c r="AK479" s="213" t="n"/>
    </row>
    <row r="480">
      <c r="B480" s="94" t="n"/>
      <c r="C480" s="88" t="n"/>
      <c r="D480" s="88" t="n"/>
      <c r="E480" s="88" t="n"/>
      <c r="F480" s="88" t="n"/>
      <c r="G480" s="88" t="n"/>
      <c r="H480" s="94" t="n"/>
      <c r="I480" s="4" t="n"/>
      <c r="J480" s="95" t="n"/>
      <c r="K480" s="213" t="n"/>
      <c r="L480" s="213" t="n"/>
      <c r="M480" s="213" t="n"/>
      <c r="N480" s="213" t="n"/>
      <c r="O480" s="213" t="n"/>
      <c r="P480" s="213" t="n"/>
      <c r="Q480" s="213" t="n"/>
      <c r="R480" s="213" t="n"/>
      <c r="S480" s="213" t="n"/>
      <c r="T480" s="213" t="n"/>
      <c r="U480" s="213" t="n"/>
      <c r="V480" s="213" t="n"/>
      <c r="W480" s="213" t="n"/>
      <c r="X480" s="213" t="n"/>
      <c r="Y480" s="213" t="n"/>
      <c r="Z480" s="213" t="n"/>
      <c r="AA480" s="213" t="n"/>
      <c r="AB480" s="213" t="n"/>
      <c r="AC480" s="213" t="n"/>
      <c r="AD480" s="213" t="n"/>
      <c r="AE480" s="213" t="n"/>
      <c r="AF480" s="213" t="n"/>
      <c r="AG480" s="213" t="n"/>
      <c r="AH480" s="213" t="n"/>
      <c r="AI480" s="213" t="n"/>
      <c r="AJ480" s="213" t="n"/>
      <c r="AK480" s="213" t="n"/>
    </row>
    <row r="481">
      <c r="B481" s="94" t="n"/>
      <c r="C481" s="88" t="n"/>
      <c r="D481" s="88" t="n"/>
      <c r="E481" s="88" t="n"/>
      <c r="F481" s="88" t="n"/>
      <c r="G481" s="88" t="n"/>
      <c r="H481" s="94" t="n"/>
      <c r="I481" s="4" t="n"/>
      <c r="J481" s="95" t="n"/>
      <c r="K481" s="213" t="n"/>
      <c r="L481" s="213" t="n"/>
      <c r="M481" s="213" t="n"/>
      <c r="N481" s="213" t="n"/>
      <c r="O481" s="213" t="n"/>
      <c r="P481" s="213" t="n"/>
      <c r="Q481" s="213" t="n"/>
      <c r="R481" s="213" t="n"/>
      <c r="S481" s="213" t="n"/>
      <c r="T481" s="213" t="n"/>
      <c r="U481" s="213" t="n"/>
      <c r="V481" s="213" t="n"/>
      <c r="W481" s="213" t="n"/>
      <c r="X481" s="213" t="n"/>
      <c r="Y481" s="213" t="n"/>
      <c r="Z481" s="213" t="n"/>
      <c r="AA481" s="213" t="n"/>
      <c r="AB481" s="213" t="n"/>
      <c r="AC481" s="213" t="n"/>
      <c r="AD481" s="213" t="n"/>
      <c r="AE481" s="213" t="n"/>
      <c r="AF481" s="213" t="n"/>
      <c r="AG481" s="213" t="n"/>
      <c r="AH481" s="213" t="n"/>
      <c r="AI481" s="213" t="n"/>
      <c r="AJ481" s="213" t="n"/>
      <c r="AK481" s="213" t="n"/>
    </row>
    <row r="482">
      <c r="B482" s="94" t="n"/>
      <c r="C482" s="88" t="n"/>
      <c r="D482" s="88" t="n"/>
      <c r="E482" s="88" t="n"/>
      <c r="F482" s="88" t="n"/>
      <c r="G482" s="88" t="n"/>
      <c r="H482" s="94" t="n"/>
      <c r="I482" s="4" t="n"/>
      <c r="J482" s="95" t="n"/>
      <c r="K482" s="213" t="n"/>
      <c r="L482" s="213" t="n"/>
      <c r="M482" s="213" t="n"/>
      <c r="N482" s="213" t="n"/>
      <c r="O482" s="213" t="n"/>
      <c r="P482" s="213" t="n"/>
      <c r="Q482" s="213" t="n"/>
      <c r="R482" s="213" t="n"/>
      <c r="S482" s="213" t="n"/>
      <c r="T482" s="213" t="n"/>
      <c r="U482" s="213" t="n"/>
      <c r="V482" s="213" t="n"/>
      <c r="W482" s="213" t="n"/>
      <c r="X482" s="213" t="n"/>
      <c r="Y482" s="213" t="n"/>
      <c r="Z482" s="213" t="n"/>
      <c r="AA482" s="213" t="n"/>
      <c r="AB482" s="213" t="n"/>
      <c r="AC482" s="213" t="n"/>
      <c r="AD482" s="213" t="n"/>
      <c r="AE482" s="213" t="n"/>
      <c r="AF482" s="213" t="n"/>
      <c r="AG482" s="213" t="n"/>
      <c r="AH482" s="213" t="n"/>
      <c r="AI482" s="213" t="n"/>
      <c r="AJ482" s="213" t="n"/>
      <c r="AK482" s="213" t="n"/>
    </row>
    <row r="483">
      <c r="B483" s="94" t="n"/>
      <c r="C483" s="88" t="n"/>
      <c r="D483" s="88" t="n"/>
      <c r="E483" s="88" t="n"/>
      <c r="F483" s="88" t="n"/>
      <c r="G483" s="88" t="n"/>
      <c r="H483" s="94" t="n"/>
      <c r="I483" s="4" t="n"/>
      <c r="J483" s="95" t="n"/>
      <c r="K483" s="213" t="n"/>
      <c r="L483" s="213" t="n"/>
      <c r="M483" s="213" t="n"/>
      <c r="N483" s="213" t="n"/>
      <c r="O483" s="213" t="n"/>
      <c r="P483" s="213" t="n"/>
      <c r="Q483" s="213" t="n"/>
      <c r="R483" s="213" t="n"/>
      <c r="S483" s="213" t="n"/>
      <c r="T483" s="213" t="n"/>
      <c r="U483" s="213" t="n"/>
      <c r="V483" s="213" t="n"/>
      <c r="W483" s="213" t="n"/>
      <c r="X483" s="213" t="n"/>
      <c r="Y483" s="213" t="n"/>
      <c r="Z483" s="213" t="n"/>
      <c r="AA483" s="213" t="n"/>
      <c r="AB483" s="213" t="n"/>
      <c r="AC483" s="213" t="n"/>
      <c r="AD483" s="213" t="n"/>
      <c r="AE483" s="213" t="n"/>
      <c r="AF483" s="213" t="n"/>
      <c r="AG483" s="213" t="n"/>
      <c r="AH483" s="213" t="n"/>
      <c r="AI483" s="213" t="n"/>
      <c r="AJ483" s="213" t="n"/>
      <c r="AK483" s="213" t="n"/>
    </row>
    <row r="484">
      <c r="B484" s="94" t="n"/>
      <c r="C484" s="88" t="n"/>
      <c r="D484" s="88" t="n"/>
      <c r="E484" s="88" t="n"/>
      <c r="F484" s="88" t="n"/>
      <c r="G484" s="88" t="n"/>
      <c r="H484" s="94" t="n"/>
      <c r="I484" s="4" t="n"/>
      <c r="J484" s="95" t="n"/>
      <c r="K484" s="213" t="n"/>
      <c r="L484" s="213" t="n"/>
      <c r="M484" s="213" t="n"/>
      <c r="N484" s="213" t="n"/>
      <c r="O484" s="213" t="n"/>
      <c r="P484" s="213" t="n"/>
      <c r="Q484" s="213" t="n"/>
      <c r="R484" s="213" t="n"/>
      <c r="S484" s="213" t="n"/>
      <c r="T484" s="213" t="n"/>
      <c r="U484" s="213" t="n"/>
      <c r="V484" s="213" t="n"/>
      <c r="W484" s="213" t="n"/>
      <c r="X484" s="213" t="n"/>
      <c r="Y484" s="213" t="n"/>
      <c r="Z484" s="213" t="n"/>
      <c r="AA484" s="213" t="n"/>
      <c r="AB484" s="213" t="n"/>
      <c r="AC484" s="213" t="n"/>
      <c r="AD484" s="213" t="n"/>
      <c r="AE484" s="213" t="n"/>
      <c r="AF484" s="213" t="n"/>
      <c r="AG484" s="213" t="n"/>
      <c r="AH484" s="213" t="n"/>
      <c r="AI484" s="213" t="n"/>
      <c r="AJ484" s="213" t="n"/>
      <c r="AK484" s="213" t="n"/>
    </row>
    <row r="485">
      <c r="B485" s="94" t="n"/>
      <c r="C485" s="88" t="n"/>
      <c r="D485" s="88" t="n"/>
      <c r="E485" s="88" t="n"/>
      <c r="F485" s="88" t="n"/>
      <c r="G485" s="88" t="n"/>
      <c r="H485" s="94" t="n"/>
      <c r="I485" s="4" t="n"/>
      <c r="J485" s="95" t="n"/>
      <c r="K485" s="213" t="n"/>
      <c r="L485" s="213" t="n"/>
      <c r="M485" s="213" t="n"/>
      <c r="N485" s="213" t="n"/>
      <c r="O485" s="213" t="n"/>
      <c r="P485" s="213" t="n"/>
      <c r="Q485" s="213" t="n"/>
      <c r="R485" s="213" t="n"/>
      <c r="S485" s="213" t="n"/>
      <c r="T485" s="213" t="n"/>
      <c r="U485" s="213" t="n"/>
      <c r="V485" s="213" t="n"/>
      <c r="W485" s="213" t="n"/>
      <c r="X485" s="213" t="n"/>
      <c r="Y485" s="213" t="n"/>
      <c r="Z485" s="213" t="n"/>
      <c r="AA485" s="213" t="n"/>
      <c r="AB485" s="213" t="n"/>
      <c r="AC485" s="213" t="n"/>
      <c r="AD485" s="213" t="n"/>
      <c r="AE485" s="213" t="n"/>
      <c r="AF485" s="213" t="n"/>
      <c r="AG485" s="213" t="n"/>
      <c r="AH485" s="213" t="n"/>
      <c r="AI485" s="213" t="n"/>
      <c r="AJ485" s="213" t="n"/>
      <c r="AK485" s="213" t="n"/>
    </row>
    <row r="486">
      <c r="B486" s="94" t="n"/>
      <c r="C486" s="88" t="n"/>
      <c r="D486" s="88" t="n"/>
      <c r="E486" s="88" t="n"/>
      <c r="F486" s="88" t="n"/>
      <c r="G486" s="88" t="n"/>
      <c r="H486" s="94" t="n"/>
      <c r="I486" s="4" t="n"/>
      <c r="J486" s="95" t="n"/>
      <c r="K486" s="213" t="n"/>
      <c r="L486" s="213" t="n"/>
      <c r="M486" s="213" t="n"/>
      <c r="N486" s="213" t="n"/>
      <c r="O486" s="213" t="n"/>
      <c r="P486" s="213" t="n"/>
      <c r="Q486" s="213" t="n"/>
      <c r="R486" s="213" t="n"/>
      <c r="S486" s="213" t="n"/>
      <c r="T486" s="213" t="n"/>
      <c r="U486" s="213" t="n"/>
      <c r="V486" s="213" t="n"/>
      <c r="W486" s="213" t="n"/>
      <c r="X486" s="213" t="n"/>
      <c r="Y486" s="213" t="n"/>
      <c r="Z486" s="213" t="n"/>
      <c r="AA486" s="213" t="n"/>
      <c r="AB486" s="213" t="n"/>
      <c r="AC486" s="213" t="n"/>
      <c r="AD486" s="213" t="n"/>
      <c r="AE486" s="213" t="n"/>
      <c r="AF486" s="213" t="n"/>
      <c r="AG486" s="213" t="n"/>
      <c r="AH486" s="213" t="n"/>
      <c r="AI486" s="213" t="n"/>
      <c r="AJ486" s="213" t="n"/>
      <c r="AK486" s="213" t="n"/>
    </row>
    <row r="487">
      <c r="B487" s="94" t="n"/>
      <c r="C487" s="88" t="n"/>
      <c r="D487" s="88" t="n"/>
      <c r="E487" s="88" t="n"/>
      <c r="F487" s="88" t="n"/>
      <c r="G487" s="88" t="n"/>
      <c r="H487" s="94" t="n"/>
      <c r="I487" s="4" t="n"/>
      <c r="J487" s="95" t="n"/>
      <c r="K487" s="213" t="n"/>
      <c r="L487" s="213" t="n"/>
      <c r="M487" s="213" t="n"/>
      <c r="N487" s="213" t="n"/>
      <c r="O487" s="213" t="n"/>
      <c r="P487" s="213" t="n"/>
      <c r="Q487" s="213" t="n"/>
      <c r="R487" s="213" t="n"/>
      <c r="S487" s="213" t="n"/>
      <c r="T487" s="213" t="n"/>
      <c r="U487" s="213" t="n"/>
      <c r="V487" s="213" t="n"/>
      <c r="W487" s="213" t="n"/>
      <c r="X487" s="213" t="n"/>
      <c r="Y487" s="213" t="n"/>
      <c r="Z487" s="213" t="n"/>
      <c r="AA487" s="213" t="n"/>
      <c r="AB487" s="213" t="n"/>
      <c r="AC487" s="213" t="n"/>
      <c r="AD487" s="213" t="n"/>
      <c r="AE487" s="213" t="n"/>
      <c r="AF487" s="213" t="n"/>
      <c r="AG487" s="213" t="n"/>
      <c r="AH487" s="213" t="n"/>
      <c r="AI487" s="213" t="n"/>
      <c r="AJ487" s="213" t="n"/>
      <c r="AK487" s="213" t="n"/>
    </row>
    <row r="488">
      <c r="B488" s="94" t="n"/>
      <c r="C488" s="88" t="n"/>
      <c r="D488" s="88" t="n"/>
      <c r="E488" s="88" t="n"/>
      <c r="F488" s="88" t="n"/>
      <c r="G488" s="88" t="n"/>
      <c r="H488" s="94" t="n"/>
      <c r="I488" s="4" t="n"/>
      <c r="J488" s="95" t="n"/>
      <c r="K488" s="213" t="n"/>
      <c r="L488" s="213" t="n"/>
      <c r="M488" s="213" t="n"/>
      <c r="N488" s="213" t="n"/>
      <c r="O488" s="213" t="n"/>
      <c r="P488" s="213" t="n"/>
      <c r="Q488" s="213" t="n"/>
      <c r="R488" s="213" t="n"/>
      <c r="S488" s="213" t="n"/>
      <c r="T488" s="213" t="n"/>
      <c r="U488" s="213" t="n"/>
      <c r="V488" s="213" t="n"/>
      <c r="W488" s="213" t="n"/>
      <c r="X488" s="213" t="n"/>
      <c r="Y488" s="213" t="n"/>
      <c r="Z488" s="213" t="n"/>
      <c r="AA488" s="213" t="n"/>
      <c r="AB488" s="213" t="n"/>
      <c r="AC488" s="213" t="n"/>
      <c r="AD488" s="213" t="n"/>
      <c r="AE488" s="213" t="n"/>
      <c r="AF488" s="213" t="n"/>
      <c r="AG488" s="213" t="n"/>
      <c r="AH488" s="213" t="n"/>
      <c r="AI488" s="213" t="n"/>
      <c r="AJ488" s="213" t="n"/>
      <c r="AK488" s="213" t="n"/>
    </row>
    <row r="489">
      <c r="B489" s="94" t="n"/>
      <c r="C489" s="88" t="n"/>
      <c r="D489" s="88" t="n"/>
      <c r="E489" s="88" t="n"/>
      <c r="F489" s="88" t="n"/>
      <c r="G489" s="88" t="n"/>
      <c r="H489" s="94" t="n"/>
      <c r="I489" s="4" t="n"/>
      <c r="J489" s="95" t="n"/>
      <c r="K489" s="213" t="n"/>
      <c r="L489" s="213" t="n"/>
      <c r="M489" s="213" t="n"/>
      <c r="N489" s="213" t="n"/>
      <c r="O489" s="213" t="n"/>
      <c r="P489" s="213" t="n"/>
      <c r="Q489" s="213" t="n"/>
      <c r="R489" s="213" t="n"/>
      <c r="S489" s="213" t="n"/>
      <c r="T489" s="213" t="n"/>
      <c r="U489" s="213" t="n"/>
      <c r="V489" s="213" t="n"/>
      <c r="W489" s="213" t="n"/>
      <c r="X489" s="213" t="n"/>
      <c r="Y489" s="213" t="n"/>
      <c r="Z489" s="213" t="n"/>
      <c r="AA489" s="213" t="n"/>
      <c r="AB489" s="213" t="n"/>
      <c r="AC489" s="213" t="n"/>
      <c r="AD489" s="213" t="n"/>
      <c r="AE489" s="213" t="n"/>
      <c r="AF489" s="213" t="n"/>
      <c r="AG489" s="213" t="n"/>
      <c r="AH489" s="213" t="n"/>
      <c r="AI489" s="213" t="n"/>
      <c r="AJ489" s="213" t="n"/>
      <c r="AK489" s="213" t="n"/>
    </row>
    <row r="490">
      <c r="B490" s="94" t="n"/>
      <c r="C490" s="88" t="n"/>
      <c r="D490" s="88" t="n"/>
      <c r="E490" s="88" t="n"/>
      <c r="F490" s="88" t="n"/>
      <c r="G490" s="88" t="n"/>
      <c r="H490" s="94" t="n"/>
      <c r="I490" s="4" t="n"/>
      <c r="J490" s="95" t="n"/>
      <c r="K490" s="213" t="n"/>
      <c r="L490" s="213" t="n"/>
      <c r="M490" s="213" t="n"/>
      <c r="N490" s="213" t="n"/>
      <c r="O490" s="213" t="n"/>
      <c r="P490" s="213" t="n"/>
      <c r="Q490" s="213" t="n"/>
      <c r="R490" s="213" t="n"/>
      <c r="S490" s="213" t="n"/>
      <c r="T490" s="213" t="n"/>
      <c r="U490" s="213" t="n"/>
      <c r="V490" s="213" t="n"/>
      <c r="W490" s="213" t="n"/>
      <c r="X490" s="213" t="n"/>
      <c r="Y490" s="213" t="n"/>
      <c r="Z490" s="213" t="n"/>
      <c r="AA490" s="213" t="n"/>
      <c r="AB490" s="213" t="n"/>
      <c r="AC490" s="213" t="n"/>
      <c r="AD490" s="213" t="n"/>
      <c r="AE490" s="213" t="n"/>
      <c r="AF490" s="213" t="n"/>
      <c r="AG490" s="213" t="n"/>
      <c r="AH490" s="213" t="n"/>
      <c r="AI490" s="213" t="n"/>
      <c r="AJ490" s="213" t="n"/>
      <c r="AK490" s="213" t="n"/>
    </row>
    <row r="491">
      <c r="B491" s="94" t="n"/>
      <c r="C491" s="88" t="n"/>
      <c r="D491" s="88" t="n"/>
      <c r="E491" s="88" t="n"/>
      <c r="F491" s="88" t="n"/>
      <c r="G491" s="88" t="n"/>
      <c r="H491" s="94" t="n"/>
      <c r="I491" s="4" t="n"/>
      <c r="J491" s="95" t="n"/>
      <c r="K491" s="213" t="n"/>
      <c r="L491" s="213" t="n"/>
      <c r="M491" s="213" t="n"/>
      <c r="N491" s="213" t="n"/>
      <c r="O491" s="213" t="n"/>
      <c r="P491" s="213" t="n"/>
      <c r="Q491" s="213" t="n"/>
      <c r="R491" s="213" t="n"/>
      <c r="S491" s="213" t="n"/>
      <c r="T491" s="213" t="n"/>
      <c r="U491" s="213" t="n"/>
      <c r="V491" s="213" t="n"/>
      <c r="W491" s="213" t="n"/>
      <c r="X491" s="213" t="n"/>
      <c r="Y491" s="213" t="n"/>
      <c r="Z491" s="213" t="n"/>
      <c r="AA491" s="213" t="n"/>
      <c r="AB491" s="213" t="n"/>
      <c r="AC491" s="213" t="n"/>
      <c r="AD491" s="213" t="n"/>
      <c r="AE491" s="213" t="n"/>
      <c r="AF491" s="213" t="n"/>
      <c r="AG491" s="213" t="n"/>
      <c r="AH491" s="213" t="n"/>
      <c r="AI491" s="213" t="n"/>
      <c r="AJ491" s="213" t="n"/>
      <c r="AK491" s="213" t="n"/>
    </row>
    <row r="492">
      <c r="B492" s="94" t="n"/>
      <c r="C492" s="88" t="n"/>
      <c r="D492" s="88" t="n"/>
      <c r="E492" s="88" t="n"/>
      <c r="F492" s="88" t="n"/>
      <c r="G492" s="88" t="n"/>
      <c r="H492" s="94" t="n"/>
      <c r="I492" s="4" t="n"/>
      <c r="J492" s="95" t="n"/>
      <c r="K492" s="213" t="n"/>
      <c r="L492" s="213" t="n"/>
      <c r="M492" s="213" t="n"/>
      <c r="N492" s="213" t="n"/>
      <c r="O492" s="213" t="n"/>
      <c r="P492" s="213" t="n"/>
      <c r="Q492" s="213" t="n"/>
      <c r="R492" s="213" t="n"/>
      <c r="S492" s="213" t="n"/>
      <c r="T492" s="213" t="n"/>
      <c r="U492" s="213" t="n"/>
      <c r="V492" s="213" t="n"/>
      <c r="W492" s="213" t="n"/>
      <c r="X492" s="213" t="n"/>
      <c r="Y492" s="213" t="n"/>
      <c r="Z492" s="213" t="n"/>
      <c r="AA492" s="213" t="n"/>
      <c r="AB492" s="213" t="n"/>
      <c r="AC492" s="213" t="n"/>
      <c r="AD492" s="213" t="n"/>
      <c r="AE492" s="213" t="n"/>
      <c r="AF492" s="213" t="n"/>
      <c r="AG492" s="213" t="n"/>
      <c r="AH492" s="213" t="n"/>
      <c r="AI492" s="213" t="n"/>
      <c r="AJ492" s="213" t="n"/>
      <c r="AK492" s="213" t="n"/>
    </row>
    <row r="493">
      <c r="B493" s="94" t="n"/>
      <c r="C493" s="88" t="n"/>
      <c r="D493" s="88" t="n"/>
      <c r="E493" s="88" t="n"/>
      <c r="F493" s="88" t="n"/>
      <c r="G493" s="88" t="n"/>
      <c r="H493" s="94" t="n"/>
      <c r="I493" s="4" t="n"/>
      <c r="J493" s="95" t="n"/>
      <c r="K493" s="213" t="n"/>
      <c r="L493" s="213" t="n"/>
      <c r="M493" s="213" t="n"/>
      <c r="N493" s="213" t="n"/>
      <c r="O493" s="213" t="n"/>
      <c r="P493" s="213" t="n"/>
      <c r="Q493" s="213" t="n"/>
      <c r="R493" s="213" t="n"/>
      <c r="S493" s="213" t="n"/>
      <c r="T493" s="213" t="n"/>
      <c r="U493" s="213" t="n"/>
      <c r="V493" s="213" t="n"/>
      <c r="W493" s="213" t="n"/>
      <c r="X493" s="213" t="n"/>
      <c r="Y493" s="213" t="n"/>
      <c r="Z493" s="213" t="n"/>
      <c r="AA493" s="213" t="n"/>
      <c r="AB493" s="213" t="n"/>
      <c r="AC493" s="213" t="n"/>
      <c r="AD493" s="213" t="n"/>
      <c r="AE493" s="213" t="n"/>
      <c r="AF493" s="213" t="n"/>
      <c r="AG493" s="213" t="n"/>
      <c r="AH493" s="213" t="n"/>
      <c r="AI493" s="213" t="n"/>
      <c r="AJ493" s="213" t="n"/>
      <c r="AK493" s="213" t="n"/>
    </row>
    <row r="494">
      <c r="B494" s="94" t="n"/>
      <c r="C494" s="88" t="n"/>
      <c r="D494" s="88" t="n"/>
      <c r="E494" s="88" t="n"/>
      <c r="F494" s="88" t="n"/>
      <c r="G494" s="88" t="n"/>
      <c r="H494" s="94" t="n"/>
      <c r="I494" s="4" t="n"/>
      <c r="J494" s="95" t="n"/>
      <c r="K494" s="213" t="n"/>
      <c r="L494" s="213" t="n"/>
      <c r="M494" s="213" t="n"/>
      <c r="N494" s="213" t="n"/>
      <c r="O494" s="213" t="n"/>
      <c r="P494" s="213" t="n"/>
      <c r="Q494" s="213" t="n"/>
      <c r="R494" s="213" t="n"/>
      <c r="S494" s="213" t="n"/>
      <c r="T494" s="213" t="n"/>
      <c r="U494" s="213" t="n"/>
      <c r="V494" s="213" t="n"/>
      <c r="W494" s="213" t="n"/>
      <c r="X494" s="213" t="n"/>
      <c r="Y494" s="213" t="n"/>
      <c r="Z494" s="213" t="n"/>
      <c r="AA494" s="213" t="n"/>
      <c r="AB494" s="213" t="n"/>
      <c r="AC494" s="213" t="n"/>
      <c r="AD494" s="213" t="n"/>
      <c r="AE494" s="213" t="n"/>
      <c r="AF494" s="213" t="n"/>
      <c r="AG494" s="213" t="n"/>
      <c r="AH494" s="213" t="n"/>
      <c r="AI494" s="213" t="n"/>
      <c r="AJ494" s="213" t="n"/>
      <c r="AK494" s="213" t="n"/>
    </row>
    <row r="495">
      <c r="B495" s="94" t="n"/>
      <c r="C495" s="88" t="n"/>
      <c r="D495" s="88" t="n"/>
      <c r="E495" s="88" t="n"/>
      <c r="F495" s="88" t="n"/>
      <c r="G495" s="88" t="n"/>
      <c r="H495" s="94" t="n"/>
      <c r="I495" s="4" t="n"/>
      <c r="J495" s="95" t="n"/>
      <c r="K495" s="213" t="n"/>
      <c r="L495" s="213" t="n"/>
      <c r="M495" s="213" t="n"/>
      <c r="N495" s="213" t="n"/>
      <c r="O495" s="213" t="n"/>
      <c r="P495" s="213" t="n"/>
      <c r="Q495" s="213" t="n"/>
      <c r="R495" s="213" t="n"/>
      <c r="S495" s="213" t="n"/>
      <c r="T495" s="213" t="n"/>
      <c r="U495" s="213" t="n"/>
      <c r="V495" s="213" t="n"/>
      <c r="W495" s="213" t="n"/>
      <c r="X495" s="213" t="n"/>
      <c r="Y495" s="213" t="n"/>
      <c r="Z495" s="213" t="n"/>
      <c r="AA495" s="213" t="n"/>
      <c r="AB495" s="213" t="n"/>
      <c r="AC495" s="213" t="n"/>
      <c r="AD495" s="213" t="n"/>
      <c r="AE495" s="213" t="n"/>
      <c r="AF495" s="213" t="n"/>
      <c r="AG495" s="213" t="n"/>
      <c r="AH495" s="213" t="n"/>
      <c r="AI495" s="213" t="n"/>
      <c r="AJ495" s="213" t="n"/>
      <c r="AK495" s="213" t="n"/>
    </row>
    <row r="496">
      <c r="B496" s="94" t="n"/>
      <c r="C496" s="88" t="n"/>
      <c r="D496" s="88" t="n"/>
      <c r="E496" s="88" t="n"/>
      <c r="F496" s="88" t="n"/>
      <c r="G496" s="88" t="n"/>
      <c r="H496" s="94" t="n"/>
      <c r="I496" s="4" t="n"/>
      <c r="J496" s="95" t="n"/>
      <c r="K496" s="213" t="n"/>
      <c r="L496" s="213" t="n"/>
      <c r="M496" s="213" t="n"/>
      <c r="N496" s="213" t="n"/>
      <c r="O496" s="213" t="n"/>
      <c r="P496" s="213" t="n"/>
      <c r="Q496" s="213" t="n"/>
      <c r="R496" s="213" t="n"/>
      <c r="S496" s="213" t="n"/>
      <c r="T496" s="213" t="n"/>
      <c r="U496" s="213" t="n"/>
      <c r="V496" s="213" t="n"/>
      <c r="W496" s="213" t="n"/>
      <c r="X496" s="213" t="n"/>
      <c r="Y496" s="213" t="n"/>
      <c r="Z496" s="213" t="n"/>
      <c r="AA496" s="213" t="n"/>
      <c r="AB496" s="213" t="n"/>
      <c r="AC496" s="213" t="n"/>
      <c r="AD496" s="213" t="n"/>
      <c r="AE496" s="213" t="n"/>
      <c r="AF496" s="213" t="n"/>
      <c r="AG496" s="213" t="n"/>
      <c r="AH496" s="213" t="n"/>
      <c r="AI496" s="213" t="n"/>
      <c r="AJ496" s="213" t="n"/>
      <c r="AK496" s="213" t="n"/>
    </row>
    <row r="497">
      <c r="B497" s="94" t="n"/>
      <c r="C497" s="88" t="n"/>
      <c r="D497" s="88" t="n"/>
      <c r="E497" s="88" t="n"/>
      <c r="F497" s="88" t="n"/>
      <c r="G497" s="88" t="n"/>
      <c r="H497" s="94" t="n"/>
      <c r="I497" s="4" t="n"/>
      <c r="J497" s="95" t="n"/>
      <c r="K497" s="213" t="n"/>
      <c r="L497" s="213" t="n"/>
      <c r="M497" s="213" t="n"/>
      <c r="N497" s="213" t="n"/>
      <c r="O497" s="213" t="n"/>
      <c r="P497" s="213" t="n"/>
      <c r="Q497" s="213" t="n"/>
      <c r="R497" s="213" t="n"/>
      <c r="S497" s="213" t="n"/>
      <c r="T497" s="213" t="n"/>
      <c r="U497" s="213" t="n"/>
      <c r="V497" s="213" t="n"/>
      <c r="W497" s="213" t="n"/>
      <c r="X497" s="213" t="n"/>
      <c r="Y497" s="213" t="n"/>
      <c r="Z497" s="213" t="n"/>
      <c r="AA497" s="213" t="n"/>
      <c r="AB497" s="213" t="n"/>
      <c r="AC497" s="213" t="n"/>
      <c r="AD497" s="213" t="n"/>
      <c r="AE497" s="213" t="n"/>
      <c r="AF497" s="213" t="n"/>
      <c r="AG497" s="213" t="n"/>
      <c r="AH497" s="213" t="n"/>
      <c r="AI497" s="213" t="n"/>
      <c r="AJ497" s="213" t="n"/>
      <c r="AK497" s="213" t="n"/>
    </row>
    <row r="498">
      <c r="B498" s="94" t="n"/>
      <c r="C498" s="88" t="n"/>
      <c r="D498" s="88" t="n"/>
      <c r="E498" s="88" t="n"/>
      <c r="F498" s="88" t="n"/>
      <c r="G498" s="88" t="n"/>
      <c r="H498" s="94" t="n"/>
      <c r="I498" s="4" t="n"/>
      <c r="J498" s="95" t="n"/>
      <c r="K498" s="213" t="n"/>
      <c r="L498" s="213" t="n"/>
      <c r="M498" s="213" t="n"/>
      <c r="N498" s="213" t="n"/>
      <c r="O498" s="213" t="n"/>
      <c r="P498" s="213" t="n"/>
      <c r="Q498" s="213" t="n"/>
      <c r="R498" s="213" t="n"/>
      <c r="S498" s="213" t="n"/>
      <c r="T498" s="213" t="n"/>
      <c r="U498" s="213" t="n"/>
      <c r="V498" s="213" t="n"/>
      <c r="W498" s="213" t="n"/>
      <c r="X498" s="213" t="n"/>
      <c r="Y498" s="213" t="n"/>
      <c r="Z498" s="213" t="n"/>
      <c r="AA498" s="213" t="n"/>
      <c r="AB498" s="213" t="n"/>
      <c r="AC498" s="213" t="n"/>
      <c r="AD498" s="213" t="n"/>
      <c r="AE498" s="213" t="n"/>
      <c r="AF498" s="213" t="n"/>
      <c r="AG498" s="213" t="n"/>
      <c r="AH498" s="213" t="n"/>
      <c r="AI498" s="213" t="n"/>
      <c r="AJ498" s="213" t="n"/>
      <c r="AK498" s="213" t="n"/>
    </row>
    <row r="499">
      <c r="B499" s="94" t="n"/>
      <c r="C499" s="88" t="n"/>
      <c r="D499" s="88" t="n"/>
      <c r="E499" s="88" t="n"/>
      <c r="F499" s="88" t="n"/>
      <c r="G499" s="88" t="n"/>
      <c r="H499" s="94" t="n"/>
      <c r="I499" s="4" t="n"/>
      <c r="J499" s="95" t="n"/>
      <c r="K499" s="213" t="n"/>
      <c r="L499" s="213" t="n"/>
      <c r="M499" s="213" t="n"/>
      <c r="N499" s="213" t="n"/>
      <c r="O499" s="213" t="n"/>
      <c r="P499" s="213" t="n"/>
      <c r="Q499" s="213" t="n"/>
      <c r="R499" s="213" t="n"/>
      <c r="S499" s="213" t="n"/>
      <c r="T499" s="213" t="n"/>
      <c r="U499" s="213" t="n"/>
      <c r="V499" s="213" t="n"/>
      <c r="W499" s="213" t="n"/>
      <c r="X499" s="213" t="n"/>
      <c r="Y499" s="213" t="n"/>
      <c r="Z499" s="213" t="n"/>
      <c r="AA499" s="213" t="n"/>
      <c r="AB499" s="213" t="n"/>
      <c r="AC499" s="213" t="n"/>
      <c r="AD499" s="213" t="n"/>
      <c r="AE499" s="213" t="n"/>
      <c r="AF499" s="213" t="n"/>
      <c r="AG499" s="213" t="n"/>
      <c r="AH499" s="213" t="n"/>
      <c r="AI499" s="213" t="n"/>
      <c r="AJ499" s="213" t="n"/>
      <c r="AK499" s="213" t="n"/>
    </row>
    <row r="500">
      <c r="B500" s="94" t="n"/>
      <c r="C500" s="88" t="n"/>
      <c r="D500" s="88" t="n"/>
      <c r="E500" s="88" t="n"/>
      <c r="F500" s="88" t="n"/>
      <c r="G500" s="88" t="n"/>
      <c r="H500" s="94" t="n"/>
      <c r="I500" s="4" t="n"/>
      <c r="J500" s="95" t="n"/>
      <c r="K500" s="213" t="n"/>
      <c r="L500" s="213" t="n"/>
      <c r="M500" s="213" t="n"/>
      <c r="N500" s="213" t="n"/>
      <c r="O500" s="213" t="n"/>
      <c r="P500" s="213" t="n"/>
      <c r="Q500" s="213" t="n"/>
      <c r="R500" s="213" t="n"/>
      <c r="S500" s="213" t="n"/>
      <c r="T500" s="213" t="n"/>
      <c r="U500" s="213" t="n"/>
      <c r="V500" s="213" t="n"/>
      <c r="W500" s="213" t="n"/>
      <c r="X500" s="213" t="n"/>
      <c r="Y500" s="213" t="n"/>
      <c r="Z500" s="213" t="n"/>
      <c r="AA500" s="213" t="n"/>
      <c r="AB500" s="213" t="n"/>
      <c r="AC500" s="213" t="n"/>
      <c r="AD500" s="213" t="n"/>
      <c r="AE500" s="213" t="n"/>
      <c r="AF500" s="213" t="n"/>
      <c r="AG500" s="213" t="n"/>
      <c r="AH500" s="213" t="n"/>
      <c r="AI500" s="213" t="n"/>
      <c r="AJ500" s="213" t="n"/>
      <c r="AK500" s="213" t="n"/>
    </row>
    <row r="501">
      <c r="B501" s="94" t="n"/>
      <c r="C501" s="88" t="n"/>
      <c r="D501" s="88" t="n"/>
      <c r="E501" s="88" t="n"/>
      <c r="F501" s="88" t="n"/>
      <c r="G501" s="88" t="n"/>
      <c r="H501" s="94" t="n"/>
      <c r="I501" s="4" t="n"/>
      <c r="J501" s="95" t="n"/>
      <c r="K501" s="213" t="n"/>
      <c r="L501" s="213" t="n"/>
      <c r="M501" s="213" t="n"/>
      <c r="N501" s="213" t="n"/>
      <c r="O501" s="213" t="n"/>
      <c r="P501" s="213" t="n"/>
      <c r="Q501" s="213" t="n"/>
      <c r="R501" s="213" t="n"/>
      <c r="S501" s="213" t="n"/>
      <c r="T501" s="213" t="n"/>
      <c r="U501" s="213" t="n"/>
      <c r="V501" s="213" t="n"/>
      <c r="W501" s="213" t="n"/>
      <c r="X501" s="213" t="n"/>
      <c r="Y501" s="213" t="n"/>
      <c r="Z501" s="213" t="n"/>
      <c r="AA501" s="213" t="n"/>
      <c r="AB501" s="213" t="n"/>
      <c r="AC501" s="213" t="n"/>
      <c r="AD501" s="213" t="n"/>
      <c r="AE501" s="213" t="n"/>
      <c r="AF501" s="213" t="n"/>
      <c r="AG501" s="213" t="n"/>
      <c r="AH501" s="213" t="n"/>
      <c r="AI501" s="213" t="n"/>
      <c r="AJ501" s="213" t="n"/>
      <c r="AK501" s="213" t="n"/>
    </row>
    <row r="502">
      <c r="B502" s="94" t="n"/>
      <c r="C502" s="88" t="n"/>
      <c r="D502" s="88" t="n"/>
      <c r="E502" s="88" t="n"/>
      <c r="F502" s="88" t="n"/>
      <c r="G502" s="88" t="n"/>
      <c r="H502" s="94" t="n"/>
      <c r="I502" s="4" t="n"/>
      <c r="J502" s="95" t="n"/>
      <c r="K502" s="213" t="n"/>
      <c r="L502" s="213" t="n"/>
      <c r="M502" s="213" t="n"/>
      <c r="N502" s="213" t="n"/>
      <c r="O502" s="213" t="n"/>
      <c r="P502" s="213" t="n"/>
      <c r="Q502" s="213" t="n"/>
      <c r="R502" s="213" t="n"/>
      <c r="S502" s="213" t="n"/>
      <c r="T502" s="213" t="n"/>
      <c r="U502" s="213" t="n"/>
      <c r="V502" s="213" t="n"/>
      <c r="W502" s="213" t="n"/>
      <c r="X502" s="213" t="n"/>
      <c r="Y502" s="213" t="n"/>
      <c r="Z502" s="213" t="n"/>
      <c r="AA502" s="213" t="n"/>
      <c r="AB502" s="213" t="n"/>
      <c r="AC502" s="213" t="n"/>
      <c r="AD502" s="213" t="n"/>
      <c r="AE502" s="213" t="n"/>
      <c r="AF502" s="213" t="n"/>
      <c r="AG502" s="213" t="n"/>
      <c r="AH502" s="213" t="n"/>
      <c r="AI502" s="213" t="n"/>
      <c r="AJ502" s="213" t="n"/>
      <c r="AK502" s="213" t="n"/>
    </row>
    <row r="503">
      <c r="B503" s="94" t="n"/>
      <c r="C503" s="88" t="n"/>
      <c r="D503" s="88" t="n"/>
      <c r="E503" s="88" t="n"/>
      <c r="F503" s="88" t="n"/>
      <c r="G503" s="88" t="n"/>
      <c r="H503" s="94" t="n"/>
      <c r="I503" s="4" t="n"/>
      <c r="J503" s="95" t="n"/>
      <c r="K503" s="213" t="n"/>
      <c r="L503" s="213" t="n"/>
      <c r="M503" s="213" t="n"/>
      <c r="N503" s="213" t="n"/>
      <c r="O503" s="213" t="n"/>
      <c r="P503" s="213" t="n"/>
      <c r="Q503" s="213" t="n"/>
      <c r="R503" s="213" t="n"/>
      <c r="S503" s="213" t="n"/>
      <c r="T503" s="213" t="n"/>
      <c r="U503" s="213" t="n"/>
      <c r="V503" s="213" t="n"/>
      <c r="W503" s="213" t="n"/>
      <c r="X503" s="213" t="n"/>
      <c r="Y503" s="213" t="n"/>
      <c r="Z503" s="213" t="n"/>
      <c r="AA503" s="213" t="n"/>
      <c r="AB503" s="213" t="n"/>
      <c r="AC503" s="213" t="n"/>
      <c r="AD503" s="213" t="n"/>
      <c r="AE503" s="213" t="n"/>
      <c r="AF503" s="213" t="n"/>
      <c r="AG503" s="213" t="n"/>
      <c r="AH503" s="213" t="n"/>
      <c r="AI503" s="213" t="n"/>
      <c r="AJ503" s="213" t="n"/>
      <c r="AK503" s="213" t="n"/>
    </row>
    <row r="504">
      <c r="B504" s="94" t="n"/>
      <c r="C504" s="88" t="n"/>
      <c r="D504" s="88" t="n"/>
      <c r="E504" s="88" t="n"/>
      <c r="F504" s="88" t="n"/>
      <c r="G504" s="88" t="n"/>
      <c r="H504" s="94" t="n"/>
      <c r="I504" s="4" t="n"/>
      <c r="J504" s="95" t="n"/>
      <c r="K504" s="213" t="n"/>
      <c r="L504" s="213" t="n"/>
      <c r="M504" s="213" t="n"/>
      <c r="N504" s="213" t="n"/>
      <c r="O504" s="213" t="n"/>
      <c r="P504" s="213" t="n"/>
      <c r="Q504" s="213" t="n"/>
      <c r="R504" s="213" t="n"/>
      <c r="S504" s="213" t="n"/>
      <c r="T504" s="213" t="n"/>
      <c r="U504" s="213" t="n"/>
      <c r="V504" s="213" t="n"/>
      <c r="W504" s="213" t="n"/>
      <c r="X504" s="213" t="n"/>
      <c r="Y504" s="213" t="n"/>
      <c r="Z504" s="213" t="n"/>
      <c r="AA504" s="213" t="n"/>
      <c r="AB504" s="213" t="n"/>
      <c r="AC504" s="213" t="n"/>
      <c r="AD504" s="213" t="n"/>
      <c r="AE504" s="213" t="n"/>
      <c r="AF504" s="213" t="n"/>
      <c r="AG504" s="213" t="n"/>
      <c r="AH504" s="213" t="n"/>
      <c r="AI504" s="213" t="n"/>
      <c r="AJ504" s="213" t="n"/>
      <c r="AK504" s="213" t="n"/>
    </row>
    <row r="505">
      <c r="B505" s="94" t="n"/>
      <c r="C505" s="88" t="n"/>
      <c r="D505" s="88" t="n"/>
      <c r="E505" s="88" t="n"/>
      <c r="F505" s="88" t="n"/>
      <c r="G505" s="88" t="n"/>
      <c r="H505" s="94" t="n"/>
      <c r="I505" s="4" t="n"/>
      <c r="J505" s="95" t="n"/>
      <c r="K505" s="213" t="n"/>
      <c r="L505" s="213" t="n"/>
      <c r="M505" s="213" t="n"/>
      <c r="N505" s="213" t="n"/>
      <c r="O505" s="213" t="n"/>
      <c r="P505" s="213" t="n"/>
      <c r="Q505" s="213" t="n"/>
      <c r="R505" s="213" t="n"/>
      <c r="S505" s="213" t="n"/>
      <c r="T505" s="213" t="n"/>
      <c r="U505" s="213" t="n"/>
      <c r="V505" s="213" t="n"/>
      <c r="W505" s="213" t="n"/>
      <c r="X505" s="213" t="n"/>
      <c r="Y505" s="213" t="n"/>
      <c r="Z505" s="213" t="n"/>
      <c r="AA505" s="213" t="n"/>
      <c r="AB505" s="213" t="n"/>
      <c r="AC505" s="213" t="n"/>
      <c r="AD505" s="213" t="n"/>
      <c r="AE505" s="213" t="n"/>
      <c r="AF505" s="213" t="n"/>
      <c r="AG505" s="213" t="n"/>
      <c r="AH505" s="213" t="n"/>
      <c r="AI505" s="213" t="n"/>
      <c r="AJ505" s="213" t="n"/>
      <c r="AK505" s="213" t="n"/>
    </row>
    <row r="506">
      <c r="B506" s="94" t="n"/>
      <c r="C506" s="88" t="n"/>
      <c r="D506" s="88" t="n"/>
      <c r="E506" s="88" t="n"/>
      <c r="F506" s="88" t="n"/>
      <c r="G506" s="88" t="n"/>
      <c r="H506" s="94" t="n"/>
      <c r="I506" s="4" t="n"/>
      <c r="J506" s="95" t="n"/>
      <c r="K506" s="213" t="n"/>
      <c r="L506" s="213" t="n"/>
      <c r="M506" s="213" t="n"/>
      <c r="N506" s="213" t="n"/>
      <c r="O506" s="213" t="n"/>
      <c r="P506" s="213" t="n"/>
      <c r="Q506" s="213" t="n"/>
      <c r="R506" s="213" t="n"/>
      <c r="S506" s="213" t="n"/>
      <c r="T506" s="213" t="n"/>
      <c r="U506" s="213" t="n"/>
      <c r="V506" s="213" t="n"/>
      <c r="W506" s="213" t="n"/>
      <c r="X506" s="213" t="n"/>
      <c r="Y506" s="213" t="n"/>
      <c r="Z506" s="213" t="n"/>
      <c r="AA506" s="213" t="n"/>
      <c r="AB506" s="213" t="n"/>
      <c r="AC506" s="213" t="n"/>
      <c r="AD506" s="213" t="n"/>
      <c r="AE506" s="213" t="n"/>
      <c r="AF506" s="213" t="n"/>
      <c r="AG506" s="213" t="n"/>
      <c r="AH506" s="213" t="n"/>
      <c r="AI506" s="213" t="n"/>
      <c r="AJ506" s="213" t="n"/>
      <c r="AK506" s="213" t="n"/>
    </row>
    <row r="507">
      <c r="B507" s="94" t="n"/>
      <c r="C507" s="88" t="n"/>
      <c r="D507" s="88" t="n"/>
      <c r="E507" s="88" t="n"/>
      <c r="F507" s="88" t="n"/>
      <c r="G507" s="88" t="n"/>
      <c r="H507" s="94" t="n"/>
      <c r="I507" s="4" t="n"/>
      <c r="J507" s="95" t="n"/>
      <c r="K507" s="213" t="n"/>
      <c r="L507" s="213" t="n"/>
      <c r="M507" s="213" t="n"/>
      <c r="N507" s="213" t="n"/>
      <c r="O507" s="213" t="n"/>
      <c r="P507" s="213" t="n"/>
      <c r="Q507" s="213" t="n"/>
      <c r="R507" s="213" t="n"/>
      <c r="S507" s="213" t="n"/>
      <c r="T507" s="213" t="n"/>
      <c r="U507" s="213" t="n"/>
      <c r="V507" s="213" t="n"/>
      <c r="W507" s="213" t="n"/>
      <c r="X507" s="213" t="n"/>
      <c r="Y507" s="213" t="n"/>
      <c r="Z507" s="213" t="n"/>
      <c r="AA507" s="213" t="n"/>
      <c r="AB507" s="213" t="n"/>
      <c r="AC507" s="213" t="n"/>
      <c r="AD507" s="213" t="n"/>
      <c r="AE507" s="213" t="n"/>
      <c r="AF507" s="213" t="n"/>
      <c r="AG507" s="213" t="n"/>
      <c r="AH507" s="213" t="n"/>
      <c r="AI507" s="213" t="n"/>
      <c r="AJ507" s="213" t="n"/>
      <c r="AK507" s="213" t="n"/>
    </row>
    <row r="508">
      <c r="B508" s="94" t="n"/>
      <c r="C508" s="88" t="n"/>
      <c r="D508" s="88" t="n"/>
      <c r="E508" s="88" t="n"/>
      <c r="F508" s="88" t="n"/>
      <c r="G508" s="88" t="n"/>
      <c r="H508" s="94" t="n"/>
      <c r="I508" s="4" t="n"/>
      <c r="J508" s="95" t="n"/>
      <c r="K508" s="213" t="n"/>
      <c r="L508" s="213" t="n"/>
      <c r="M508" s="213" t="n"/>
      <c r="N508" s="213" t="n"/>
      <c r="O508" s="213" t="n"/>
      <c r="P508" s="213" t="n"/>
      <c r="Q508" s="213" t="n"/>
      <c r="R508" s="213" t="n"/>
      <c r="S508" s="213" t="n"/>
      <c r="T508" s="213" t="n"/>
      <c r="U508" s="213" t="n"/>
      <c r="V508" s="213" t="n"/>
      <c r="W508" s="213" t="n"/>
      <c r="X508" s="213" t="n"/>
      <c r="Y508" s="213" t="n"/>
      <c r="Z508" s="213" t="n"/>
      <c r="AA508" s="213" t="n"/>
      <c r="AB508" s="213" t="n"/>
      <c r="AC508" s="213" t="n"/>
      <c r="AD508" s="213" t="n"/>
      <c r="AE508" s="213" t="n"/>
      <c r="AF508" s="213" t="n"/>
      <c r="AG508" s="213" t="n"/>
      <c r="AH508" s="213" t="n"/>
      <c r="AI508" s="213" t="n"/>
      <c r="AJ508" s="213" t="n"/>
      <c r="AK508" s="213" t="n"/>
    </row>
    <row r="509">
      <c r="B509" s="94" t="n"/>
      <c r="C509" s="88" t="n"/>
      <c r="D509" s="88" t="n"/>
      <c r="E509" s="88" t="n"/>
      <c r="F509" s="88" t="n"/>
      <c r="G509" s="88" t="n"/>
      <c r="H509" s="94" t="n"/>
      <c r="I509" s="4" t="n"/>
      <c r="J509" s="95" t="n"/>
      <c r="K509" s="213" t="n"/>
      <c r="L509" s="213" t="n"/>
      <c r="M509" s="213" t="n"/>
      <c r="N509" s="213" t="n"/>
      <c r="O509" s="213" t="n"/>
      <c r="P509" s="213" t="n"/>
      <c r="Q509" s="213" t="n"/>
      <c r="R509" s="213" t="n"/>
      <c r="S509" s="213" t="n"/>
      <c r="T509" s="213" t="n"/>
      <c r="U509" s="213" t="n"/>
      <c r="V509" s="213" t="n"/>
      <c r="W509" s="213" t="n"/>
      <c r="X509" s="213" t="n"/>
      <c r="Y509" s="213" t="n"/>
      <c r="Z509" s="213" t="n"/>
      <c r="AA509" s="213" t="n"/>
      <c r="AB509" s="213" t="n"/>
      <c r="AC509" s="213" t="n"/>
      <c r="AD509" s="213" t="n"/>
      <c r="AE509" s="213" t="n"/>
      <c r="AF509" s="213" t="n"/>
      <c r="AG509" s="213" t="n"/>
      <c r="AH509" s="213" t="n"/>
      <c r="AI509" s="213" t="n"/>
      <c r="AJ509" s="213" t="n"/>
      <c r="AK509" s="213" t="n"/>
    </row>
    <row r="510">
      <c r="B510" s="94" t="n"/>
      <c r="C510" s="88" t="n"/>
      <c r="D510" s="88" t="n"/>
      <c r="E510" s="88" t="n"/>
      <c r="F510" s="88" t="n"/>
      <c r="G510" s="88" t="n"/>
      <c r="H510" s="94" t="n"/>
      <c r="I510" s="4" t="n"/>
      <c r="J510" s="95" t="n"/>
      <c r="K510" s="213" t="n"/>
      <c r="L510" s="213" t="n"/>
      <c r="M510" s="213" t="n"/>
      <c r="N510" s="213" t="n"/>
      <c r="O510" s="213" t="n"/>
      <c r="P510" s="213" t="n"/>
      <c r="Q510" s="213" t="n"/>
      <c r="R510" s="213" t="n"/>
      <c r="S510" s="213" t="n"/>
      <c r="T510" s="213" t="n"/>
      <c r="U510" s="213" t="n"/>
      <c r="V510" s="213" t="n"/>
      <c r="W510" s="213" t="n"/>
      <c r="X510" s="213" t="n"/>
      <c r="Y510" s="213" t="n"/>
      <c r="Z510" s="213" t="n"/>
      <c r="AA510" s="213" t="n"/>
      <c r="AB510" s="213" t="n"/>
      <c r="AC510" s="213" t="n"/>
      <c r="AD510" s="213" t="n"/>
      <c r="AE510" s="213" t="n"/>
      <c r="AF510" s="213" t="n"/>
      <c r="AG510" s="213" t="n"/>
      <c r="AH510" s="213" t="n"/>
      <c r="AI510" s="213" t="n"/>
      <c r="AJ510" s="213" t="n"/>
      <c r="AK510" s="213" t="n"/>
    </row>
    <row r="511">
      <c r="B511" s="94" t="n"/>
      <c r="C511" s="88" t="n"/>
      <c r="D511" s="88" t="n"/>
      <c r="E511" s="88" t="n"/>
      <c r="F511" s="88" t="n"/>
      <c r="G511" s="88" t="n"/>
      <c r="H511" s="94" t="n"/>
      <c r="I511" s="4" t="n"/>
      <c r="J511" s="95" t="n"/>
      <c r="K511" s="213" t="n"/>
      <c r="L511" s="213" t="n"/>
      <c r="M511" s="213" t="n"/>
      <c r="N511" s="213" t="n"/>
      <c r="O511" s="213" t="n"/>
      <c r="P511" s="213" t="n"/>
      <c r="Q511" s="213" t="n"/>
      <c r="R511" s="213" t="n"/>
      <c r="S511" s="213" t="n"/>
      <c r="T511" s="213" t="n"/>
      <c r="U511" s="213" t="n"/>
      <c r="V511" s="213" t="n"/>
      <c r="W511" s="213" t="n"/>
      <c r="X511" s="213" t="n"/>
      <c r="Y511" s="213" t="n"/>
      <c r="Z511" s="213" t="n"/>
      <c r="AA511" s="213" t="n"/>
      <c r="AB511" s="213" t="n"/>
      <c r="AC511" s="213" t="n"/>
      <c r="AD511" s="213" t="n"/>
      <c r="AE511" s="213" t="n"/>
      <c r="AF511" s="213" t="n"/>
      <c r="AG511" s="213" t="n"/>
      <c r="AH511" s="213" t="n"/>
      <c r="AI511" s="213" t="n"/>
      <c r="AJ511" s="213" t="n"/>
      <c r="AK511" s="213" t="n"/>
    </row>
    <row r="512">
      <c r="B512" s="94" t="n"/>
      <c r="C512" s="88" t="n"/>
      <c r="D512" s="88" t="n"/>
      <c r="E512" s="88" t="n"/>
      <c r="F512" s="88" t="n"/>
      <c r="G512" s="88" t="n"/>
      <c r="H512" s="94" t="n"/>
      <c r="I512" s="4" t="n"/>
      <c r="J512" s="95" t="n"/>
      <c r="K512" s="213" t="n"/>
      <c r="L512" s="213" t="n"/>
      <c r="M512" s="213" t="n"/>
      <c r="N512" s="213" t="n"/>
      <c r="O512" s="213" t="n"/>
      <c r="P512" s="213" t="n"/>
      <c r="Q512" s="213" t="n"/>
      <c r="R512" s="213" t="n"/>
      <c r="S512" s="213" t="n"/>
      <c r="T512" s="213" t="n"/>
      <c r="U512" s="213" t="n"/>
      <c r="V512" s="213" t="n"/>
      <c r="W512" s="213" t="n"/>
      <c r="X512" s="213" t="n"/>
      <c r="Y512" s="213" t="n"/>
      <c r="Z512" s="213" t="n"/>
      <c r="AA512" s="213" t="n"/>
      <c r="AB512" s="213" t="n"/>
      <c r="AC512" s="213" t="n"/>
      <c r="AD512" s="213" t="n"/>
      <c r="AE512" s="213" t="n"/>
      <c r="AF512" s="213" t="n"/>
      <c r="AG512" s="213" t="n"/>
      <c r="AH512" s="213" t="n"/>
      <c r="AI512" s="213" t="n"/>
      <c r="AJ512" s="213" t="n"/>
      <c r="AK512" s="213" t="n"/>
    </row>
    <row r="513">
      <c r="B513" s="94" t="n"/>
      <c r="C513" s="88" t="n"/>
      <c r="D513" s="88" t="n"/>
      <c r="E513" s="88" t="n"/>
      <c r="F513" s="88" t="n"/>
      <c r="G513" s="88" t="n"/>
      <c r="H513" s="94" t="n"/>
      <c r="I513" s="4" t="n"/>
      <c r="J513" s="95" t="n"/>
      <c r="K513" s="213" t="n"/>
      <c r="L513" s="213" t="n"/>
      <c r="M513" s="213" t="n"/>
      <c r="N513" s="213" t="n"/>
      <c r="O513" s="213" t="n"/>
      <c r="P513" s="213" t="n"/>
      <c r="Q513" s="213" t="n"/>
      <c r="R513" s="213" t="n"/>
      <c r="S513" s="213" t="n"/>
      <c r="T513" s="213" t="n"/>
      <c r="U513" s="213" t="n"/>
      <c r="V513" s="213" t="n"/>
      <c r="W513" s="213" t="n"/>
      <c r="X513" s="213" t="n"/>
      <c r="Y513" s="213" t="n"/>
      <c r="Z513" s="213" t="n"/>
      <c r="AA513" s="213" t="n"/>
      <c r="AB513" s="213" t="n"/>
      <c r="AC513" s="213" t="n"/>
      <c r="AD513" s="213" t="n"/>
      <c r="AE513" s="213" t="n"/>
      <c r="AF513" s="213" t="n"/>
      <c r="AG513" s="213" t="n"/>
      <c r="AH513" s="213" t="n"/>
      <c r="AI513" s="213" t="n"/>
      <c r="AJ513" s="213" t="n"/>
      <c r="AK513" s="213" t="n"/>
    </row>
    <row r="514">
      <c r="B514" s="94" t="n"/>
      <c r="C514" s="88" t="n"/>
      <c r="D514" s="88" t="n"/>
      <c r="E514" s="88" t="n"/>
      <c r="F514" s="88" t="n"/>
      <c r="G514" s="88" t="n"/>
      <c r="H514" s="94" t="n"/>
      <c r="I514" s="4" t="n"/>
      <c r="J514" s="95" t="n"/>
      <c r="K514" s="213" t="n"/>
      <c r="L514" s="213" t="n"/>
      <c r="M514" s="213" t="n"/>
      <c r="N514" s="213" t="n"/>
      <c r="O514" s="213" t="n"/>
      <c r="P514" s="213" t="n"/>
      <c r="Q514" s="213" t="n"/>
      <c r="R514" s="213" t="n"/>
      <c r="S514" s="213" t="n"/>
      <c r="T514" s="213" t="n"/>
      <c r="U514" s="213" t="n"/>
      <c r="V514" s="213" t="n"/>
      <c r="W514" s="213" t="n"/>
      <c r="X514" s="213" t="n"/>
      <c r="Y514" s="213" t="n"/>
      <c r="Z514" s="213" t="n"/>
      <c r="AA514" s="213" t="n"/>
      <c r="AB514" s="213" t="n"/>
      <c r="AC514" s="213" t="n"/>
      <c r="AD514" s="213" t="n"/>
      <c r="AE514" s="213" t="n"/>
      <c r="AF514" s="213" t="n"/>
      <c r="AG514" s="213" t="n"/>
      <c r="AH514" s="213" t="n"/>
      <c r="AI514" s="213" t="n"/>
      <c r="AJ514" s="213" t="n"/>
      <c r="AK514" s="213" t="n"/>
    </row>
    <row r="515">
      <c r="B515" s="94" t="n"/>
      <c r="C515" s="88" t="n"/>
      <c r="D515" s="88" t="n"/>
      <c r="E515" s="88" t="n"/>
      <c r="F515" s="88" t="n"/>
      <c r="G515" s="88" t="n"/>
      <c r="H515" s="94" t="n"/>
      <c r="I515" s="4" t="n"/>
      <c r="J515" s="95" t="n"/>
      <c r="K515" s="213" t="n"/>
      <c r="L515" s="213" t="n"/>
      <c r="M515" s="213" t="n"/>
      <c r="N515" s="213" t="n"/>
      <c r="O515" s="213" t="n"/>
      <c r="P515" s="213" t="n"/>
      <c r="Q515" s="213" t="n"/>
      <c r="R515" s="213" t="n"/>
      <c r="S515" s="213" t="n"/>
      <c r="T515" s="213" t="n"/>
      <c r="U515" s="213" t="n"/>
      <c r="V515" s="213" t="n"/>
      <c r="W515" s="213" t="n"/>
      <c r="X515" s="213" t="n"/>
      <c r="Y515" s="213" t="n"/>
      <c r="Z515" s="213" t="n"/>
      <c r="AA515" s="213" t="n"/>
      <c r="AB515" s="213" t="n"/>
      <c r="AC515" s="213" t="n"/>
      <c r="AD515" s="213" t="n"/>
      <c r="AE515" s="213" t="n"/>
      <c r="AF515" s="213" t="n"/>
      <c r="AG515" s="213" t="n"/>
      <c r="AH515" s="213" t="n"/>
      <c r="AI515" s="213" t="n"/>
      <c r="AJ515" s="213" t="n"/>
      <c r="AK515" s="213" t="n"/>
    </row>
    <row r="516">
      <c r="B516" s="94" t="n"/>
      <c r="C516" s="88" t="n"/>
      <c r="D516" s="88" t="n"/>
      <c r="E516" s="88" t="n"/>
      <c r="F516" s="88" t="n"/>
      <c r="G516" s="88" t="n"/>
      <c r="H516" s="94" t="n"/>
      <c r="I516" s="4" t="n"/>
      <c r="J516" s="95" t="n"/>
      <c r="K516" s="213" t="n"/>
      <c r="L516" s="213" t="n"/>
      <c r="M516" s="213" t="n"/>
      <c r="N516" s="213" t="n"/>
      <c r="O516" s="213" t="n"/>
      <c r="P516" s="213" t="n"/>
      <c r="Q516" s="213" t="n"/>
      <c r="R516" s="213" t="n"/>
      <c r="S516" s="213" t="n"/>
      <c r="T516" s="213" t="n"/>
      <c r="U516" s="213" t="n"/>
      <c r="V516" s="213" t="n"/>
      <c r="W516" s="213" t="n"/>
      <c r="X516" s="213" t="n"/>
      <c r="Y516" s="213" t="n"/>
      <c r="Z516" s="213" t="n"/>
      <c r="AA516" s="213" t="n"/>
      <c r="AB516" s="213" t="n"/>
      <c r="AC516" s="213" t="n"/>
      <c r="AD516" s="213" t="n"/>
      <c r="AE516" s="213" t="n"/>
      <c r="AF516" s="213" t="n"/>
      <c r="AG516" s="213" t="n"/>
      <c r="AH516" s="213" t="n"/>
      <c r="AI516" s="213" t="n"/>
      <c r="AJ516" s="213" t="n"/>
      <c r="AK516" s="213" t="n"/>
    </row>
    <row r="517">
      <c r="B517" s="94" t="n"/>
      <c r="C517" s="88" t="n"/>
      <c r="D517" s="88" t="n"/>
      <c r="E517" s="88" t="n"/>
      <c r="F517" s="88" t="n"/>
      <c r="G517" s="88" t="n"/>
      <c r="H517" s="94" t="n"/>
      <c r="I517" s="4" t="n"/>
      <c r="J517" s="95" t="n"/>
      <c r="K517" s="213" t="n"/>
      <c r="L517" s="213" t="n"/>
      <c r="M517" s="213" t="n"/>
      <c r="N517" s="213" t="n"/>
      <c r="O517" s="213" t="n"/>
      <c r="P517" s="213" t="n"/>
      <c r="Q517" s="213" t="n"/>
      <c r="R517" s="213" t="n"/>
      <c r="S517" s="213" t="n"/>
      <c r="T517" s="213" t="n"/>
      <c r="U517" s="213" t="n"/>
      <c r="V517" s="213" t="n"/>
      <c r="W517" s="213" t="n"/>
      <c r="X517" s="213" t="n"/>
      <c r="Y517" s="213" t="n"/>
      <c r="Z517" s="213" t="n"/>
      <c r="AA517" s="213" t="n"/>
      <c r="AB517" s="213" t="n"/>
      <c r="AC517" s="213" t="n"/>
      <c r="AD517" s="213" t="n"/>
      <c r="AE517" s="213" t="n"/>
      <c r="AF517" s="213" t="n"/>
      <c r="AG517" s="213" t="n"/>
      <c r="AH517" s="213" t="n"/>
      <c r="AI517" s="213" t="n"/>
      <c r="AJ517" s="213" t="n"/>
      <c r="AK517" s="213" t="n"/>
    </row>
    <row r="518">
      <c r="B518" s="94" t="n"/>
      <c r="C518" s="88" t="n"/>
      <c r="D518" s="88" t="n"/>
      <c r="E518" s="88" t="n"/>
      <c r="F518" s="88" t="n"/>
      <c r="G518" s="88" t="n"/>
      <c r="H518" s="94" t="n"/>
      <c r="I518" s="4" t="n"/>
      <c r="J518" s="95" t="n"/>
      <c r="K518" s="213" t="n"/>
      <c r="L518" s="213" t="n"/>
      <c r="M518" s="213" t="n"/>
      <c r="N518" s="213" t="n"/>
      <c r="O518" s="213" t="n"/>
      <c r="P518" s="213" t="n"/>
      <c r="Q518" s="213" t="n"/>
      <c r="R518" s="213" t="n"/>
      <c r="S518" s="213" t="n"/>
      <c r="T518" s="213" t="n"/>
      <c r="U518" s="213" t="n"/>
      <c r="V518" s="213" t="n"/>
      <c r="W518" s="213" t="n"/>
      <c r="X518" s="213" t="n"/>
      <c r="Y518" s="213" t="n"/>
      <c r="Z518" s="213" t="n"/>
      <c r="AA518" s="213" t="n"/>
      <c r="AB518" s="213" t="n"/>
      <c r="AC518" s="213" t="n"/>
      <c r="AD518" s="213" t="n"/>
      <c r="AE518" s="213" t="n"/>
      <c r="AF518" s="213" t="n"/>
      <c r="AG518" s="213" t="n"/>
      <c r="AH518" s="213" t="n"/>
      <c r="AI518" s="213" t="n"/>
      <c r="AJ518" s="213" t="n"/>
      <c r="AK518" s="213" t="n"/>
    </row>
  </sheetData>
  <mergeCells count="37">
    <mergeCell ref="AC3:AC4"/>
    <mergeCell ref="L3:L4"/>
    <mergeCell ref="N3:N4"/>
    <mergeCell ref="AE3:AE4"/>
    <mergeCell ref="G2:G5"/>
    <mergeCell ref="I2:I5"/>
    <mergeCell ref="X3:X4"/>
    <mergeCell ref="Z3:Z4"/>
    <mergeCell ref="B2:B5"/>
    <mergeCell ref="D2:D5"/>
    <mergeCell ref="M3:M4"/>
    <mergeCell ref="AJ3:AJ4"/>
    <mergeCell ref="F2:F5"/>
    <mergeCell ref="U3:U4"/>
    <mergeCell ref="H2:H5"/>
    <mergeCell ref="W3:W4"/>
    <mergeCell ref="AA3:AA4"/>
    <mergeCell ref="AG3:AG4"/>
    <mergeCell ref="P3:P4"/>
    <mergeCell ref="A2:A5"/>
    <mergeCell ref="R3:R4"/>
    <mergeCell ref="AI3:AI4"/>
    <mergeCell ref="T3:T4"/>
    <mergeCell ref="C2:C5"/>
    <mergeCell ref="E2:E5"/>
    <mergeCell ref="AB3:AB4"/>
    <mergeCell ref="AD3:AD4"/>
    <mergeCell ref="AK2:AK5"/>
    <mergeCell ref="K3:K4"/>
    <mergeCell ref="AF3:AF4"/>
    <mergeCell ref="O3:O4"/>
    <mergeCell ref="V3:V4"/>
    <mergeCell ref="AH3:AH4"/>
    <mergeCell ref="Q3:Q4"/>
    <mergeCell ref="S3:S4"/>
    <mergeCell ref="J2:J5"/>
    <mergeCell ref="Y3:Y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61"/>
  <sheetViews>
    <sheetView workbookViewId="0">
      <pane ySplit="4" topLeftCell="A5" activePane="bottomLeft" state="frozen"/>
      <selection activeCell="A2" sqref="A2:A4"/>
      <selection pane="bottomLeft" activeCell="B5" sqref="B5"/>
    </sheetView>
  </sheetViews>
  <sheetFormatPr baseColWidth="8" defaultColWidth="9" defaultRowHeight="15"/>
  <cols>
    <col width="12.5703125" bestFit="1" customWidth="1" style="110" min="1" max="1"/>
    <col width="26" bestFit="1" customWidth="1" style="110" min="2" max="2"/>
    <col width="6.28515625" bestFit="1" customWidth="1" style="110" min="3" max="4"/>
    <col width="6" bestFit="1" customWidth="1" style="110" min="5" max="5"/>
    <col width="6.140625" bestFit="1" customWidth="1" style="110" min="6" max="6"/>
    <col width="8" bestFit="1" customWidth="1" style="110" min="7" max="7"/>
    <col width="15.140625" bestFit="1" customWidth="1" style="110" min="8" max="8"/>
    <col width="37.7109375" bestFit="1" customWidth="1" style="110" min="9" max="9"/>
    <col width="17.140625" bestFit="1" customWidth="1" style="110" min="10" max="10"/>
    <col width="12.7109375" bestFit="1" customWidth="1" style="215" min="11" max="11"/>
    <col width="31.140625" bestFit="1" customWidth="1" style="110" min="12" max="12"/>
    <col width="5.28515625" bestFit="1" customWidth="1" style="110" min="13" max="25"/>
    <col width="7.42578125" bestFit="1" customWidth="1" style="110" min="26" max="26"/>
    <col width="10.140625" bestFit="1" customWidth="1" style="110" min="27" max="27"/>
    <col width="10.28515625" bestFit="1" customWidth="1" style="110" min="28" max="36"/>
    <col width="10" customWidth="1" style="110" min="37" max="37"/>
    <col width="22.7109375" bestFit="1" customWidth="1" style="110" min="38" max="38"/>
    <col width="9" customWidth="1" style="110" min="39" max="16384"/>
  </cols>
  <sheetData>
    <row r="1" customFormat="1" s="29">
      <c r="A1" s="31" t="inlineStr">
        <is>
          <t>Current year</t>
        </is>
      </c>
      <c r="B1" s="32" t="n">
        <v>2026</v>
      </c>
      <c r="C1" s="32" t="n"/>
      <c r="D1" s="32" t="n"/>
      <c r="E1" s="32" t="n"/>
      <c r="F1" s="32" t="n"/>
      <c r="G1" s="32" t="n"/>
      <c r="H1" s="32" t="n"/>
      <c r="I1" s="32" t="n"/>
      <c r="J1" s="30" t="inlineStr">
        <is>
          <t>Not to be deleted</t>
        </is>
      </c>
      <c r="K1" s="223" t="n"/>
      <c r="L1" s="34" t="n">
        <v>2001</v>
      </c>
      <c r="M1" s="34" t="n">
        <v>2002</v>
      </c>
      <c r="N1" s="34" t="n">
        <v>2003</v>
      </c>
      <c r="O1" s="34" t="n">
        <v>2004</v>
      </c>
      <c r="P1" s="34" t="n">
        <v>2005</v>
      </c>
      <c r="Q1" s="34" t="n">
        <v>2006</v>
      </c>
      <c r="R1" s="34" t="n">
        <v>2007</v>
      </c>
      <c r="S1" s="34" t="n">
        <v>2008</v>
      </c>
      <c r="T1" s="34" t="n">
        <v>2009</v>
      </c>
      <c r="U1" s="34" t="n">
        <v>2010</v>
      </c>
      <c r="V1" s="34" t="n">
        <v>2011</v>
      </c>
      <c r="W1" s="34" t="n">
        <v>2012</v>
      </c>
      <c r="X1" s="34" t="n">
        <v>2013</v>
      </c>
      <c r="Y1" s="34" t="n">
        <v>2014</v>
      </c>
      <c r="Z1" s="34" t="n">
        <v>2015</v>
      </c>
      <c r="AA1" s="34" t="n">
        <v>2016</v>
      </c>
      <c r="AB1" s="34" t="n">
        <v>2017</v>
      </c>
      <c r="AC1" s="34" t="n">
        <v>2018</v>
      </c>
      <c r="AD1" s="34" t="n">
        <v>2019</v>
      </c>
      <c r="AE1" s="34" t="n">
        <v>2020</v>
      </c>
      <c r="AF1" s="34" t="n">
        <v>2021</v>
      </c>
      <c r="AG1" s="34" t="n">
        <v>2022</v>
      </c>
      <c r="AH1" s="34" t="n">
        <v>2023</v>
      </c>
      <c r="AI1" s="34" t="n">
        <v>2024</v>
      </c>
      <c r="AJ1" s="34" t="n">
        <v>2025</v>
      </c>
      <c r="AK1" s="34" t="n">
        <v>2026</v>
      </c>
      <c r="AL1" s="32" t="n"/>
    </row>
    <row r="2" ht="18.75" customFormat="1" customHeight="1" s="10">
      <c r="A2" s="181" t="inlineStr">
        <is>
          <t>Contract</t>
        </is>
      </c>
      <c r="B2" s="169" t="inlineStr">
        <is>
          <t>Risk Commencement Date</t>
        </is>
      </c>
      <c r="C2" s="169" t="inlineStr">
        <is>
          <t>FY</t>
        </is>
      </c>
      <c r="D2" s="169" t="inlineStr">
        <is>
          <t>FY</t>
        </is>
      </c>
      <c r="E2" s="169" t="inlineStr">
        <is>
          <t>FY</t>
        </is>
      </c>
      <c r="F2" s="169" t="inlineStr">
        <is>
          <t>FY</t>
        </is>
      </c>
      <c r="G2" s="169" t="inlineStr">
        <is>
          <t>RCD FY</t>
        </is>
      </c>
      <c r="H2" s="169" t="inlineStr">
        <is>
          <t>POLICY STATUS</t>
        </is>
      </c>
      <c r="I2" s="179" t="inlineStr">
        <is>
          <t>Risk Cess Date (Inforce) &amp; PTD (Paidup)</t>
        </is>
      </c>
      <c r="J2" s="169" t="inlineStr">
        <is>
          <t>FY</t>
        </is>
      </c>
      <c r="K2" s="224" t="inlineStr">
        <is>
          <t>Original SA</t>
        </is>
      </c>
      <c r="L2" s="181" t="inlineStr">
        <is>
          <t>Bonus % Including Special Bonus</t>
        </is>
      </c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  <c r="AC2" s="181" t="n"/>
      <c r="AD2" s="181" t="n"/>
      <c r="AE2" s="181" t="n"/>
      <c r="AF2" s="181" t="n"/>
      <c r="AG2" s="181" t="n"/>
      <c r="AH2" s="181" t="n"/>
      <c r="AI2" s="181" t="n"/>
      <c r="AJ2" s="181" t="n"/>
      <c r="AK2" s="181" t="n"/>
      <c r="AL2" s="168" t="inlineStr">
        <is>
          <t>Bonus as per Calculator</t>
        </is>
      </c>
    </row>
    <row r="3" ht="15" customFormat="1" customHeight="1" s="10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186" t="n"/>
      <c r="L3" s="181" t="inlineStr">
        <is>
          <t>FY01</t>
        </is>
      </c>
      <c r="M3" s="181" t="inlineStr">
        <is>
          <t>FY02</t>
        </is>
      </c>
      <c r="N3" s="181" t="inlineStr">
        <is>
          <t>FY03</t>
        </is>
      </c>
      <c r="O3" s="181" t="inlineStr">
        <is>
          <t>FY04</t>
        </is>
      </c>
      <c r="P3" s="181" t="inlineStr">
        <is>
          <t>FY05</t>
        </is>
      </c>
      <c r="Q3" s="181" t="inlineStr">
        <is>
          <t>FY06</t>
        </is>
      </c>
      <c r="R3" s="181" t="inlineStr">
        <is>
          <t>FY07</t>
        </is>
      </c>
      <c r="S3" s="181" t="inlineStr">
        <is>
          <t>FY08</t>
        </is>
      </c>
      <c r="T3" s="181" t="inlineStr">
        <is>
          <t>FY09</t>
        </is>
      </c>
      <c r="U3" s="181" t="inlineStr">
        <is>
          <t>FY10</t>
        </is>
      </c>
      <c r="V3" s="181" t="inlineStr">
        <is>
          <t>FY11</t>
        </is>
      </c>
      <c r="W3" s="181" t="inlineStr">
        <is>
          <t>FY12</t>
        </is>
      </c>
      <c r="X3" s="181" t="inlineStr">
        <is>
          <t>FY13</t>
        </is>
      </c>
      <c r="Y3" s="181" t="inlineStr">
        <is>
          <t>FY14</t>
        </is>
      </c>
      <c r="Z3" s="181" t="inlineStr">
        <is>
          <t>FY15</t>
        </is>
      </c>
      <c r="AA3" s="181" t="inlineStr">
        <is>
          <t>FY16</t>
        </is>
      </c>
      <c r="AB3" s="181" t="inlineStr">
        <is>
          <t>FY17</t>
        </is>
      </c>
      <c r="AC3" s="181" t="inlineStr">
        <is>
          <t>FY18</t>
        </is>
      </c>
      <c r="AD3" s="181" t="inlineStr">
        <is>
          <t>FY19</t>
        </is>
      </c>
      <c r="AE3" s="181" t="inlineStr">
        <is>
          <t>FY20</t>
        </is>
      </c>
      <c r="AF3" s="181" t="inlineStr">
        <is>
          <t>FY21</t>
        </is>
      </c>
      <c r="AG3" s="181" t="inlineStr">
        <is>
          <t>FY22</t>
        </is>
      </c>
      <c r="AH3" s="181" t="inlineStr">
        <is>
          <t>FY23</t>
        </is>
      </c>
      <c r="AI3" s="181" t="inlineStr">
        <is>
          <t>FY24</t>
        </is>
      </c>
      <c r="AJ3" s="181" t="inlineStr">
        <is>
          <t>FY25</t>
        </is>
      </c>
      <c r="AK3" s="181" t="inlineStr">
        <is>
          <t>FY26</t>
        </is>
      </c>
      <c r="AL3" s="186" t="n"/>
    </row>
    <row r="4" customFormat="1" s="10">
      <c r="A4" s="187" t="n"/>
      <c r="B4" s="187" t="n"/>
      <c r="C4" s="187" t="n"/>
      <c r="D4" s="187" t="n"/>
      <c r="E4" s="187" t="n"/>
      <c r="F4" s="187" t="n"/>
      <c r="G4" s="187" t="n"/>
      <c r="H4" s="187" t="n"/>
      <c r="I4" s="187" t="n"/>
      <c r="J4" s="187" t="n"/>
      <c r="K4" s="187" t="n"/>
      <c r="L4" s="7" t="n">
        <v>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>
        <v>0.04</v>
      </c>
      <c r="AA4" s="7" t="n">
        <v>0.055</v>
      </c>
      <c r="AB4" s="7" t="n">
        <v>0.055</v>
      </c>
      <c r="AC4" s="7" t="n">
        <v>0.055</v>
      </c>
      <c r="AD4" s="7" t="n">
        <v>0.055</v>
      </c>
      <c r="AE4" s="7" t="n">
        <v>0.055</v>
      </c>
      <c r="AF4" s="7" t="n">
        <v>0.055</v>
      </c>
      <c r="AG4" s="7" t="n">
        <v>0.055</v>
      </c>
      <c r="AH4" s="7" t="n">
        <v>0.055</v>
      </c>
      <c r="AI4" s="7" t="n">
        <v>0.055</v>
      </c>
      <c r="AJ4" s="7" t="n">
        <v>0.055</v>
      </c>
      <c r="AK4" s="7" t="n">
        <v>0.055</v>
      </c>
      <c r="AL4" s="187" t="n"/>
    </row>
    <row r="5" customFormat="1" s="103">
      <c r="A5" s="123" t="inlineStr">
        <is>
          <t>test5263254</t>
        </is>
      </c>
      <c r="B5" s="124">
        <f>VLOOKUP(A5,'MAINCPF CPH DEP SEP END RBC CSR'!A:AT,32,0)</f>
        <v/>
      </c>
      <c r="C5" s="98">
        <f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/>
      </c>
      <c r="D5" s="98">
        <f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/>
      </c>
      <c r="E5" s="98">
        <f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/>
      </c>
      <c r="F5" s="98">
        <f>+IF(AND(B5&gt;=DATE(2016,4,1),B5&lt;=DATE(2017,3,31)),"2017",IF(AND(B5&gt;=DATE(2017,4,1),B5&lt;=DATE(2018,3,31)),"2018"))</f>
        <v/>
      </c>
      <c r="G5" s="98">
        <f>+C5+D5+E5+F5</f>
        <v/>
      </c>
      <c r="H5" s="98">
        <f>VLOOKUP(A5,'MAINCPF CPH DEP SEP END RBC CSR'!A:B,2,0)</f>
        <v/>
      </c>
      <c r="I5" s="100">
        <f>IF(H5="if",VLOOKUP(A5,'MAINCPF CPH DEP SEP END RBC CSR'!A:AH,34,0),(VLOOKUP(A5,'MAINCPF CPH DEP SEP END RBC CSR'!A:AG,33,0)))</f>
        <v/>
      </c>
      <c r="J5" s="98">
        <f>IF(I5="","",IF(MONTH($I5)&lt;=3,YEAR($I5)-1,YEAR($I5)))</f>
        <v/>
      </c>
      <c r="K5" s="125">
        <f>VLOOKUP(A5,'MAINCPF CPH DEP SEP END RBC CSR'!A:AT,46,0)</f>
        <v/>
      </c>
      <c r="L5" s="101">
        <f>IF(AND($G5&lt;=L$1,$J5&gt;=L$1),$K5*L$4," ")</f>
        <v/>
      </c>
      <c r="M5" s="101">
        <f>IF(AND($G5&lt;=M$1,$J5&gt;=M$1),$K5*M$4," ")</f>
        <v/>
      </c>
      <c r="N5" s="101">
        <f>IF(AND($G5&lt;=N$1,$J5&gt;=N$1),$K5*N$4," ")</f>
        <v/>
      </c>
      <c r="O5" s="101">
        <f>IF(AND($G5&lt;=O$1,$J5&gt;=O$1),$K5*O$4," ")</f>
        <v/>
      </c>
      <c r="P5" s="101">
        <f>IF(AND($G5&lt;=P$1,$J5&gt;=P$1),$K5*P$4," ")</f>
        <v/>
      </c>
      <c r="Q5" s="101">
        <f>IF(AND($G5&lt;=Q$1,$J5&gt;=Q$1),$K5*Q$4," ")</f>
        <v/>
      </c>
      <c r="R5" s="101">
        <f>IF(AND($G5&lt;=R$1,$J5&gt;=R$1),$K5*R$4," ")</f>
        <v/>
      </c>
      <c r="S5" s="101">
        <f>IF(AND($G5&lt;=S$1,$J5&gt;=S$1),$K5*S$4," ")</f>
        <v/>
      </c>
      <c r="T5" s="101">
        <f>IF(AND($G5&lt;=T$1,$J5&gt;=T$1),$K5*T$4," ")</f>
        <v/>
      </c>
      <c r="U5" s="101">
        <f>IF(AND($G5&lt;=U$1,$J5&gt;=U$1),$K5*U$4," ")</f>
        <v/>
      </c>
      <c r="V5" s="101">
        <f>IF(AND($G5&lt;=V$1,$J5&gt;=V$1),$K5*V$4," ")</f>
        <v/>
      </c>
      <c r="W5" s="101">
        <f>IF(AND($G5&lt;=W$1,$J5&gt;=W$1),$K5*W$4," ")</f>
        <v/>
      </c>
      <c r="X5" s="101">
        <f>IF(AND($G5&lt;=X$1,$J5&gt;=X$1),$K5*X$4," ")</f>
        <v/>
      </c>
      <c r="Y5" s="101">
        <f>IF(AND($G5&lt;=Y$1,$J5&gt;=Y$1),$K5*Y$4," ")</f>
        <v/>
      </c>
      <c r="Z5" s="101">
        <f>IF(AND($G5&lt;=Z$1,$J5&gt;=Z$1),$K5*Z$4," ")</f>
        <v/>
      </c>
      <c r="AA5" s="221">
        <f>IF(AND($G5&lt;=AA$1,$J5&gt;=AA$1),$K5*AA$4," ")</f>
        <v/>
      </c>
      <c r="AB5" s="221">
        <f>IF(AND($G5&lt;=AB$1,$J5&gt;=AB$1),$K5*AB$4," ")</f>
        <v/>
      </c>
      <c r="AC5" s="221">
        <f>IF(AND($G5&lt;=AC$1,$J5&gt;=AC$1),$K5*AC$4," ")</f>
        <v/>
      </c>
      <c r="AD5" s="221">
        <f>IF(AND($G5&lt;=AD$1,$J5&gt;=AD$1),$K5*AD$4," ")</f>
        <v/>
      </c>
      <c r="AE5" s="221">
        <f>IF(AND($G5&lt;=AE$1,$J5&gt;=AE$1),$K5*AE$4," ")</f>
        <v/>
      </c>
      <c r="AF5" s="221">
        <f>IF(AND($G5&lt;=AF$1,$J5&gt;=AF$1),$K5*AF$4," ")</f>
        <v/>
      </c>
      <c r="AG5" s="221">
        <f>IF(AND($G5&lt;=AG$1,$J5&gt;=AG$1),$K5*AG$4," ")</f>
        <v/>
      </c>
      <c r="AH5" s="221">
        <f>IF(AND($G5&lt;=AH$1,$J5&gt;=AH$1),$K5*AH$4," ")</f>
        <v/>
      </c>
      <c r="AI5" s="221">
        <f>IF(AND($G5&lt;=AI$1,$J5&gt;=AI$1),$K5*AI$4," ")</f>
        <v/>
      </c>
      <c r="AJ5" s="221">
        <f>IF(AND($G5&lt;=AJ$1,$J5&gt;=AJ$1),$K5*AJ$4," ")</f>
        <v/>
      </c>
      <c r="AK5" s="221">
        <f>IF(AND($G5&lt;=AK$1,$J5&gt;=AK$1),$K5*AK$4," ")</f>
        <v/>
      </c>
      <c r="AL5" s="225">
        <f>+SUM(L5:AK5)</f>
        <v/>
      </c>
    </row>
    <row r="6" customFormat="1" s="103">
      <c r="A6" s="123" t="inlineStr">
        <is>
          <t>test5263328</t>
        </is>
      </c>
      <c r="B6" s="124">
        <f>VLOOKUP(A6,'MAINCPF CPH DEP SEP END RBC CSR'!A:AT,32,0)</f>
        <v/>
      </c>
      <c r="C6" s="98">
        <f>+IF(AND(B6&gt;=DATE(1999,4,1),B6&lt;=DATE(2000,3,31)),"2000",IF(AND(B6&gt;=DATE(2000,4,1),B6&lt;=DATE(2001,3,31)),"2001",IF(AND(B6&gt;=DATE(2001,4,1),B6&lt;=DATE(2002,3,31)),"2002",IF(AND(B6&gt;=DATE(2002,4,1),B6&lt;=DATE(2003,3,31)),"2003",IF(AND(B6&gt;=DATE(2003,4,1),B6&lt;=DATE(2004,3,31)),"2004",IF(AND(B6&gt;=DATE(2004,4,1),B6&lt;=DATE(2005,3,31)),"2005"))))))</f>
        <v/>
      </c>
      <c r="D6" s="98">
        <f>+IF(AND(B6&gt;=DATE(2005,4,1),B6&lt;=DATE(2006,3,31)),"2006",IF(AND(B6&gt;=DATE(2006,4,1),B6&lt;=DATE(2007,3,31)),"2007",IF(AND(B6&gt;=DATE(2007,4,1),B6&lt;=DATE(2008,3,31)),"2008",IF(AND(B6&gt;=DATE(2008,4,1),B6&lt;=DATE(2009,3,31)),"2009",IF(AND(B6&gt;=DATE(2009,4,1),B6&lt;=DATE(2010,3,31)),"2010")))))</f>
        <v/>
      </c>
      <c r="E6" s="98">
        <f>+IF(AND(B6&gt;=DATE(2010,4,1),B6&lt;=DATE(2011,3,31)),"2011",IF(AND(B6&gt;=DATE(2011,4,1),B6&lt;=DATE(2012,3,31)),"2012",IF(AND(B6&gt;=DATE(2012,4,1),B6&lt;=DATE(2013,3,31)),"2013",IF(AND(B6&gt;=DATE(2013,4,1),B6&lt;=DATE(2014,3,31)),"2014",IF(AND(B6&gt;=DATE(2014,4,1),B6&lt;=DATE(2015,3,31)),"2015",IF(AND(B6&gt;=DATE(2015,4,1),B6&lt;=DATE(2016,3,31)),"2016"))))))</f>
        <v/>
      </c>
      <c r="F6" s="98">
        <f>+IF(AND(B6&gt;=DATE(2016,4,1),B6&lt;=DATE(2017,3,31)),"2017",IF(AND(B6&gt;=DATE(2017,4,1),B6&lt;=DATE(2018,3,31)),"2018"))</f>
        <v/>
      </c>
      <c r="G6" s="98">
        <f>+C6+D6+E6+F6</f>
        <v/>
      </c>
      <c r="H6" s="98">
        <f>VLOOKUP(A6,'MAINCPF CPH DEP SEP END RBC CSR'!A:B,2,0)</f>
        <v/>
      </c>
      <c r="I6" s="100">
        <f>IF(H6="if",VLOOKUP(A6,'MAINCPF CPH DEP SEP END RBC CSR'!A:AH,34,0),(VLOOKUP(A6,'MAINCPF CPH DEP SEP END RBC CSR'!A:AG,33,0)))</f>
        <v/>
      </c>
      <c r="J6" s="98">
        <f>IF(I6="","",IF(MONTH($I6)&lt;=3,YEAR($I6)-1,YEAR($I6)))</f>
        <v/>
      </c>
      <c r="K6" s="125">
        <f>VLOOKUP(A6,'MAINCPF CPH DEP SEP END RBC CSR'!A:AT,46,0)</f>
        <v/>
      </c>
      <c r="L6" s="101">
        <f>IF(AND($G6&lt;=L$1,$J6&gt;=L$1),$K6*L$4," ")</f>
        <v/>
      </c>
      <c r="M6" s="101">
        <f>IF(AND($G6&lt;=M$1,$J6&gt;=M$1),$K6*M$4," ")</f>
        <v/>
      </c>
      <c r="N6" s="101">
        <f>IF(AND($G6&lt;=N$1,$J6&gt;=N$1),$K6*N$4," ")</f>
        <v/>
      </c>
      <c r="O6" s="101">
        <f>IF(AND($G6&lt;=O$1,$J6&gt;=O$1),$K6*O$4," ")</f>
        <v/>
      </c>
      <c r="P6" s="101">
        <f>IF(AND($G6&lt;=P$1,$J6&gt;=P$1),$K6*P$4," ")</f>
        <v/>
      </c>
      <c r="Q6" s="101">
        <f>IF(AND($G6&lt;=Q$1,$J6&gt;=Q$1),$K6*Q$4," ")</f>
        <v/>
      </c>
      <c r="R6" s="101">
        <f>IF(AND($G6&lt;=R$1,$J6&gt;=R$1),$K6*R$4," ")</f>
        <v/>
      </c>
      <c r="S6" s="101">
        <f>IF(AND($G6&lt;=S$1,$J6&gt;=S$1),$K6*S$4," ")</f>
        <v/>
      </c>
      <c r="T6" s="101">
        <f>IF(AND($G6&lt;=T$1,$J6&gt;=T$1),$K6*T$4," ")</f>
        <v/>
      </c>
      <c r="U6" s="101">
        <f>IF(AND($G6&lt;=U$1,$J6&gt;=U$1),$K6*U$4," ")</f>
        <v/>
      </c>
      <c r="V6" s="101">
        <f>IF(AND($G6&lt;=V$1,$J6&gt;=V$1),$K6*V$4," ")</f>
        <v/>
      </c>
      <c r="W6" s="101">
        <f>IF(AND($G6&lt;=W$1,$J6&gt;=W$1),$K6*W$4," ")</f>
        <v/>
      </c>
      <c r="X6" s="101">
        <f>IF(AND($G6&lt;=X$1,$J6&gt;=X$1),$K6*X$4," ")</f>
        <v/>
      </c>
      <c r="Y6" s="101">
        <f>IF(AND($G6&lt;=Y$1,$J6&gt;=Y$1),$K6*Y$4," ")</f>
        <v/>
      </c>
      <c r="Z6" s="101">
        <f>IF(AND($G6&lt;=Z$1,$J6&gt;=Z$1),$K6*Z$4," ")</f>
        <v/>
      </c>
      <c r="AA6" s="221">
        <f>IF(AND($G6&lt;=AA$1,$J6&gt;=AA$1),$K6*AA$4," ")</f>
        <v/>
      </c>
      <c r="AB6" s="221">
        <f>IF(AND($G6&lt;=AB$1,$J6&gt;=AB$1),$K6*AB$4," ")</f>
        <v/>
      </c>
      <c r="AC6" s="221">
        <f>IF(AND($G6&lt;=AC$1,$J6&gt;=AC$1),$K6*AC$4," ")</f>
        <v/>
      </c>
      <c r="AD6" s="221">
        <f>IF(AND($G6&lt;=AD$1,$J6&gt;=AD$1),$K6*AD$4," ")</f>
        <v/>
      </c>
      <c r="AE6" s="221">
        <f>IF(AND($G6&lt;=AE$1,$J6&gt;=AE$1),$K6*AE$4," ")</f>
        <v/>
      </c>
      <c r="AF6" s="221">
        <f>IF(AND($G6&lt;=AF$1,$J6&gt;=AF$1),$K6*AF$4," ")</f>
        <v/>
      </c>
      <c r="AG6" s="221">
        <f>IF(AND($G6&lt;=AG$1,$J6&gt;=AG$1),$K6*AG$4," ")</f>
        <v/>
      </c>
      <c r="AH6" s="221">
        <f>IF(AND($G6&lt;=AH$1,$J6&gt;=AH$1),$K6*AH$4," ")</f>
        <v/>
      </c>
      <c r="AI6" s="221">
        <f>IF(AND($G6&lt;=AI$1,$J6&gt;=AI$1),$K6*AI$4," ")</f>
        <v/>
      </c>
      <c r="AJ6" s="221">
        <f>IF(AND($G6&lt;=AJ$1,$J6&gt;=AJ$1),$K6*AJ$4," ")</f>
        <v/>
      </c>
      <c r="AK6" s="221">
        <f>IF(AND($G6&lt;=AK$1,$J6&gt;=AK$1),$K6*AK$4," ")</f>
        <v/>
      </c>
      <c r="AL6" s="225">
        <f>+SUM(L6:AK6)</f>
        <v/>
      </c>
    </row>
    <row r="7">
      <c r="B7" s="2" t="n"/>
      <c r="C7" s="105" t="n"/>
      <c r="D7" s="105" t="n"/>
      <c r="E7" s="105" t="n"/>
      <c r="F7" s="105" t="n"/>
      <c r="G7" s="105" t="n"/>
      <c r="H7" s="105" t="n"/>
      <c r="I7" s="106" t="n"/>
      <c r="J7" s="105" t="n"/>
      <c r="K7" s="95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226" t="n"/>
      <c r="AB7" s="226" t="n"/>
      <c r="AC7" s="226" t="n"/>
      <c r="AD7" s="226" t="n"/>
      <c r="AE7" s="226" t="n"/>
      <c r="AF7" s="226" t="n"/>
      <c r="AG7" s="226" t="n"/>
      <c r="AH7" s="226" t="n"/>
      <c r="AI7" s="226" t="n"/>
      <c r="AJ7" s="226" t="n"/>
      <c r="AK7" s="226" t="n"/>
      <c r="AL7" s="227" t="n"/>
    </row>
    <row r="8">
      <c r="B8" s="2" t="n"/>
      <c r="C8" s="105" t="n"/>
      <c r="D8" s="105" t="n"/>
      <c r="E8" s="105" t="n"/>
      <c r="F8" s="105" t="n"/>
      <c r="G8" s="105" t="n"/>
      <c r="H8" s="105" t="n"/>
      <c r="I8" s="106" t="n"/>
      <c r="J8" s="105" t="n"/>
      <c r="K8" s="95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226" t="n"/>
      <c r="AB8" s="226" t="n"/>
      <c r="AC8" s="226" t="n"/>
      <c r="AD8" s="226" t="n"/>
      <c r="AE8" s="226" t="n"/>
      <c r="AF8" s="226" t="n"/>
      <c r="AG8" s="226" t="n"/>
      <c r="AH8" s="226" t="n"/>
      <c r="AI8" s="226" t="n"/>
      <c r="AJ8" s="226" t="n"/>
      <c r="AK8" s="226" t="n"/>
      <c r="AL8" s="227" t="n"/>
    </row>
    <row r="9">
      <c r="B9" s="2" t="n"/>
      <c r="C9" s="105" t="n"/>
      <c r="D9" s="105" t="n"/>
      <c r="E9" s="105" t="n"/>
      <c r="F9" s="105" t="n"/>
      <c r="G9" s="105" t="n"/>
      <c r="H9" s="105" t="n"/>
      <c r="I9" s="106" t="n"/>
      <c r="J9" s="105" t="n"/>
      <c r="K9" s="95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226" t="n"/>
      <c r="AB9" s="226" t="n"/>
      <c r="AC9" s="226" t="n"/>
      <c r="AD9" s="226" t="n"/>
      <c r="AE9" s="226" t="n"/>
      <c r="AF9" s="226" t="n"/>
      <c r="AG9" s="226" t="n"/>
      <c r="AH9" s="226" t="n"/>
      <c r="AI9" s="226" t="n"/>
      <c r="AJ9" s="226" t="n"/>
      <c r="AK9" s="226" t="n"/>
      <c r="AL9" s="227" t="n"/>
    </row>
    <row r="10">
      <c r="B10" s="2" t="n"/>
      <c r="C10" s="105" t="n"/>
      <c r="D10" s="105" t="n"/>
      <c r="E10" s="105" t="n"/>
      <c r="F10" s="105" t="n"/>
      <c r="G10" s="105" t="n"/>
      <c r="H10" s="105" t="n"/>
      <c r="I10" s="106" t="n"/>
      <c r="J10" s="105" t="n"/>
      <c r="K10" s="95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226" t="n"/>
      <c r="AB10" s="226" t="n"/>
      <c r="AC10" s="226" t="n"/>
      <c r="AD10" s="226" t="n"/>
      <c r="AE10" s="226" t="n"/>
      <c r="AF10" s="226" t="n"/>
      <c r="AG10" s="226" t="n"/>
      <c r="AH10" s="226" t="n"/>
      <c r="AI10" s="226" t="n"/>
      <c r="AJ10" s="226" t="n"/>
      <c r="AK10" s="226" t="n"/>
      <c r="AL10" s="227" t="n"/>
    </row>
    <row r="11">
      <c r="B11" s="2" t="n"/>
      <c r="C11" s="105" t="n"/>
      <c r="D11" s="105" t="n"/>
      <c r="E11" s="105" t="n"/>
      <c r="F11" s="105" t="n"/>
      <c r="G11" s="105" t="n"/>
      <c r="H11" s="105" t="n"/>
      <c r="I11" s="106" t="n"/>
      <c r="J11" s="105" t="n"/>
      <c r="K11" s="95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  <c r="V11" s="107" t="n"/>
      <c r="W11" s="107" t="n"/>
      <c r="X11" s="107" t="n"/>
      <c r="Y11" s="107" t="n"/>
      <c r="Z11" s="107" t="n"/>
      <c r="AA11" s="226" t="n"/>
      <c r="AB11" s="226" t="n"/>
      <c r="AC11" s="226" t="n"/>
      <c r="AD11" s="226" t="n"/>
      <c r="AE11" s="226" t="n"/>
      <c r="AF11" s="226" t="n"/>
      <c r="AG11" s="226" t="n"/>
      <c r="AH11" s="226" t="n"/>
      <c r="AI11" s="226" t="n"/>
      <c r="AJ11" s="226" t="n"/>
      <c r="AK11" s="226" t="n"/>
      <c r="AL11" s="227" t="n"/>
    </row>
    <row r="12">
      <c r="B12" s="2" t="n"/>
      <c r="C12" s="105" t="n"/>
      <c r="D12" s="105" t="n"/>
      <c r="E12" s="105" t="n"/>
      <c r="F12" s="105" t="n"/>
      <c r="G12" s="105" t="n"/>
      <c r="H12" s="105" t="n"/>
      <c r="I12" s="106" t="n"/>
      <c r="J12" s="105" t="n"/>
      <c r="K12" s="95" t="n"/>
      <c r="L12" s="107" t="n"/>
      <c r="M12" s="107" t="n"/>
      <c r="N12" s="107" t="n"/>
      <c r="O12" s="107" t="n"/>
      <c r="P12" s="107" t="n"/>
      <c r="Q12" s="107" t="n"/>
      <c r="R12" s="107" t="n"/>
      <c r="S12" s="107" t="n"/>
      <c r="T12" s="107" t="n"/>
      <c r="U12" s="107" t="n"/>
      <c r="V12" s="107" t="n"/>
      <c r="W12" s="107" t="n"/>
      <c r="X12" s="107" t="n"/>
      <c r="Y12" s="107" t="n"/>
      <c r="Z12" s="107" t="n"/>
      <c r="AA12" s="226" t="n"/>
      <c r="AB12" s="226" t="n"/>
      <c r="AC12" s="226" t="n"/>
      <c r="AD12" s="226" t="n"/>
      <c r="AE12" s="226" t="n"/>
      <c r="AF12" s="226" t="n"/>
      <c r="AG12" s="226" t="n"/>
      <c r="AH12" s="226" t="n"/>
      <c r="AI12" s="226" t="n"/>
      <c r="AJ12" s="226" t="n"/>
      <c r="AK12" s="226" t="n"/>
      <c r="AL12" s="227" t="n"/>
    </row>
    <row r="13">
      <c r="B13" s="2" t="n"/>
      <c r="C13" s="105" t="n"/>
      <c r="D13" s="105" t="n"/>
      <c r="E13" s="105" t="n"/>
      <c r="F13" s="105" t="n"/>
      <c r="G13" s="105" t="n"/>
      <c r="H13" s="105" t="n"/>
      <c r="I13" s="106" t="n"/>
      <c r="J13" s="105" t="n"/>
      <c r="K13" s="95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226" t="n"/>
      <c r="AB13" s="226" t="n"/>
      <c r="AC13" s="226" t="n"/>
      <c r="AD13" s="226" t="n"/>
      <c r="AE13" s="226" t="n"/>
      <c r="AF13" s="226" t="n"/>
      <c r="AG13" s="226" t="n"/>
      <c r="AH13" s="226" t="n"/>
      <c r="AI13" s="226" t="n"/>
      <c r="AJ13" s="226" t="n"/>
      <c r="AK13" s="226" t="n"/>
      <c r="AL13" s="227" t="n"/>
    </row>
    <row r="14">
      <c r="B14" s="2" t="n"/>
      <c r="C14" s="105" t="n"/>
      <c r="D14" s="105" t="n"/>
      <c r="E14" s="105" t="n"/>
      <c r="F14" s="105" t="n"/>
      <c r="G14" s="105" t="n"/>
      <c r="H14" s="105" t="n"/>
      <c r="I14" s="106" t="n"/>
      <c r="J14" s="105" t="n"/>
      <c r="K14" s="95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226" t="n"/>
      <c r="AB14" s="226" t="n"/>
      <c r="AC14" s="226" t="n"/>
      <c r="AD14" s="226" t="n"/>
      <c r="AE14" s="226" t="n"/>
      <c r="AF14" s="226" t="n"/>
      <c r="AG14" s="226" t="n"/>
      <c r="AH14" s="226" t="n"/>
      <c r="AI14" s="226" t="n"/>
      <c r="AJ14" s="226" t="n"/>
      <c r="AK14" s="226" t="n"/>
      <c r="AL14" s="227" t="n"/>
    </row>
    <row r="15">
      <c r="B15" s="2" t="n"/>
      <c r="C15" s="105" t="n"/>
      <c r="D15" s="105" t="n"/>
      <c r="E15" s="105" t="n"/>
      <c r="F15" s="105" t="n"/>
      <c r="G15" s="105" t="n"/>
      <c r="H15" s="105" t="n"/>
      <c r="I15" s="106" t="n"/>
      <c r="J15" s="105" t="n"/>
      <c r="K15" s="95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226" t="n"/>
      <c r="AB15" s="226" t="n"/>
      <c r="AC15" s="226" t="n"/>
      <c r="AD15" s="226" t="n"/>
      <c r="AE15" s="226" t="n"/>
      <c r="AF15" s="226" t="n"/>
      <c r="AG15" s="226" t="n"/>
      <c r="AH15" s="226" t="n"/>
      <c r="AI15" s="226" t="n"/>
      <c r="AJ15" s="226" t="n"/>
      <c r="AK15" s="226" t="n"/>
      <c r="AL15" s="227" t="n"/>
    </row>
    <row r="16">
      <c r="B16" s="2" t="n"/>
      <c r="C16" s="105" t="n"/>
      <c r="D16" s="105" t="n"/>
      <c r="E16" s="105" t="n"/>
      <c r="F16" s="105" t="n"/>
      <c r="G16" s="105" t="n"/>
      <c r="H16" s="105" t="n"/>
      <c r="I16" s="106" t="n"/>
      <c r="J16" s="105" t="n"/>
      <c r="K16" s="95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226" t="n"/>
      <c r="AB16" s="226" t="n"/>
      <c r="AC16" s="226" t="n"/>
      <c r="AD16" s="226" t="n"/>
      <c r="AE16" s="226" t="n"/>
      <c r="AF16" s="226" t="n"/>
      <c r="AG16" s="226" t="n"/>
      <c r="AH16" s="226" t="n"/>
      <c r="AI16" s="226" t="n"/>
      <c r="AJ16" s="226" t="n"/>
      <c r="AK16" s="226" t="n"/>
      <c r="AL16" s="227" t="n"/>
    </row>
    <row r="17">
      <c r="B17" s="2" t="n"/>
      <c r="C17" s="105" t="n"/>
      <c r="D17" s="105" t="n"/>
      <c r="E17" s="105" t="n"/>
      <c r="F17" s="105" t="n"/>
      <c r="G17" s="105" t="n"/>
      <c r="H17" s="105" t="n"/>
      <c r="I17" s="106" t="n"/>
      <c r="J17" s="105" t="n"/>
      <c r="K17" s="95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226" t="n"/>
      <c r="AB17" s="226" t="n"/>
      <c r="AC17" s="226" t="n"/>
      <c r="AD17" s="226" t="n"/>
      <c r="AE17" s="226" t="n"/>
      <c r="AF17" s="226" t="n"/>
      <c r="AG17" s="226" t="n"/>
      <c r="AH17" s="226" t="n"/>
      <c r="AI17" s="226" t="n"/>
      <c r="AJ17" s="226" t="n"/>
      <c r="AK17" s="226" t="n"/>
      <c r="AL17" s="227" t="n"/>
    </row>
    <row r="18">
      <c r="B18" s="2" t="n"/>
      <c r="C18" s="105" t="n"/>
      <c r="D18" s="105" t="n"/>
      <c r="E18" s="105" t="n"/>
      <c r="F18" s="105" t="n"/>
      <c r="G18" s="105" t="n"/>
      <c r="H18" s="105" t="n"/>
      <c r="I18" s="106" t="n"/>
      <c r="J18" s="105" t="n"/>
      <c r="K18" s="95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226" t="n"/>
      <c r="AB18" s="226" t="n"/>
      <c r="AC18" s="226" t="n"/>
      <c r="AD18" s="226" t="n"/>
      <c r="AE18" s="226" t="n"/>
      <c r="AF18" s="226" t="n"/>
      <c r="AG18" s="226" t="n"/>
      <c r="AH18" s="226" t="n"/>
      <c r="AI18" s="226" t="n"/>
      <c r="AJ18" s="226" t="n"/>
      <c r="AK18" s="226" t="n"/>
      <c r="AL18" s="227" t="n"/>
    </row>
    <row r="19">
      <c r="B19" s="2" t="n"/>
      <c r="C19" s="105" t="n"/>
      <c r="D19" s="105" t="n"/>
      <c r="E19" s="105" t="n"/>
      <c r="F19" s="105" t="n"/>
      <c r="G19" s="105" t="n"/>
      <c r="H19" s="105" t="n"/>
      <c r="I19" s="106" t="n"/>
      <c r="J19" s="105" t="n"/>
      <c r="K19" s="95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226" t="n"/>
      <c r="AB19" s="226" t="n"/>
      <c r="AC19" s="226" t="n"/>
      <c r="AD19" s="226" t="n"/>
      <c r="AE19" s="226" t="n"/>
      <c r="AF19" s="226" t="n"/>
      <c r="AG19" s="226" t="n"/>
      <c r="AH19" s="226" t="n"/>
      <c r="AI19" s="226" t="n"/>
      <c r="AJ19" s="226" t="n"/>
      <c r="AK19" s="226" t="n"/>
      <c r="AL19" s="227" t="n"/>
    </row>
    <row r="20">
      <c r="B20" s="2" t="n"/>
      <c r="C20" s="105" t="n"/>
      <c r="D20" s="105" t="n"/>
      <c r="E20" s="105" t="n"/>
      <c r="F20" s="105" t="n"/>
      <c r="G20" s="105" t="n"/>
      <c r="H20" s="105" t="n"/>
      <c r="I20" s="106" t="n"/>
      <c r="J20" s="105" t="n"/>
      <c r="K20" s="95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226" t="n"/>
      <c r="AB20" s="226" t="n"/>
      <c r="AC20" s="226" t="n"/>
      <c r="AD20" s="226" t="n"/>
      <c r="AE20" s="226" t="n"/>
      <c r="AF20" s="226" t="n"/>
      <c r="AG20" s="226" t="n"/>
      <c r="AH20" s="226" t="n"/>
      <c r="AI20" s="226" t="n"/>
      <c r="AJ20" s="226" t="n"/>
      <c r="AK20" s="226" t="n"/>
      <c r="AL20" s="227" t="n"/>
    </row>
    <row r="21">
      <c r="B21" s="2" t="n"/>
      <c r="C21" s="105" t="n"/>
      <c r="D21" s="105" t="n"/>
      <c r="E21" s="105" t="n"/>
      <c r="F21" s="105" t="n"/>
      <c r="G21" s="105" t="n"/>
      <c r="H21" s="105" t="n"/>
      <c r="I21" s="106" t="n"/>
      <c r="J21" s="105" t="n"/>
      <c r="K21" s="95" t="n"/>
      <c r="L21" s="107" t="n"/>
      <c r="M21" s="107" t="n"/>
      <c r="N21" s="107" t="n"/>
      <c r="O21" s="107" t="n"/>
      <c r="P21" s="107" t="n"/>
      <c r="Q21" s="107" t="n"/>
      <c r="R21" s="107" t="n"/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226" t="n"/>
      <c r="AB21" s="226" t="n"/>
      <c r="AC21" s="226" t="n"/>
      <c r="AD21" s="226" t="n"/>
      <c r="AE21" s="226" t="n"/>
      <c r="AF21" s="226" t="n"/>
      <c r="AG21" s="226" t="n"/>
      <c r="AH21" s="226" t="n"/>
      <c r="AI21" s="226" t="n"/>
      <c r="AJ21" s="226" t="n"/>
      <c r="AK21" s="226" t="n"/>
      <c r="AL21" s="227" t="n"/>
    </row>
    <row r="22">
      <c r="B22" s="2" t="n"/>
      <c r="C22" s="105" t="n"/>
      <c r="D22" s="105" t="n"/>
      <c r="E22" s="105" t="n"/>
      <c r="F22" s="105" t="n"/>
      <c r="G22" s="105" t="n"/>
      <c r="H22" s="105" t="n"/>
      <c r="I22" s="106" t="n"/>
      <c r="J22" s="105" t="n"/>
      <c r="K22" s="95" t="n"/>
      <c r="L22" s="107" t="n"/>
      <c r="M22" s="107" t="n"/>
      <c r="N22" s="107" t="n"/>
      <c r="O22" s="107" t="n"/>
      <c r="P22" s="107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226" t="n"/>
      <c r="AB22" s="226" t="n"/>
      <c r="AC22" s="226" t="n"/>
      <c r="AD22" s="226" t="n"/>
      <c r="AE22" s="226" t="n"/>
      <c r="AF22" s="226" t="n"/>
      <c r="AG22" s="226" t="n"/>
      <c r="AH22" s="226" t="n"/>
      <c r="AI22" s="226" t="n"/>
      <c r="AJ22" s="226" t="n"/>
      <c r="AK22" s="226" t="n"/>
      <c r="AL22" s="227" t="n"/>
    </row>
    <row r="23">
      <c r="B23" s="2" t="n"/>
      <c r="C23" s="105" t="n"/>
      <c r="D23" s="105" t="n"/>
      <c r="E23" s="105" t="n"/>
      <c r="F23" s="105" t="n"/>
      <c r="G23" s="105" t="n"/>
      <c r="H23" s="105" t="n"/>
      <c r="I23" s="106" t="n"/>
      <c r="J23" s="105" t="n"/>
      <c r="K23" s="95" t="n"/>
      <c r="L23" s="107" t="n"/>
      <c r="M23" s="107" t="n"/>
      <c r="N23" s="107" t="n"/>
      <c r="O23" s="107" t="n"/>
      <c r="P23" s="107" t="n"/>
      <c r="Q23" s="107" t="n"/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226" t="n"/>
      <c r="AB23" s="226" t="n"/>
      <c r="AC23" s="226" t="n"/>
      <c r="AD23" s="226" t="n"/>
      <c r="AE23" s="226" t="n"/>
      <c r="AF23" s="226" t="n"/>
      <c r="AG23" s="226" t="n"/>
      <c r="AH23" s="226" t="n"/>
      <c r="AI23" s="226" t="n"/>
      <c r="AJ23" s="226" t="n"/>
      <c r="AK23" s="226" t="n"/>
      <c r="AL23" s="227" t="n"/>
    </row>
    <row r="24" customFormat="1" s="117">
      <c r="A24" s="1" t="n"/>
      <c r="B24" s="111" t="n"/>
      <c r="C24" s="112" t="n"/>
      <c r="D24" s="112" t="n"/>
      <c r="E24" s="112" t="n"/>
      <c r="F24" s="112" t="n"/>
      <c r="G24" s="112" t="n"/>
      <c r="H24" s="112" t="n"/>
      <c r="I24" s="113" t="n"/>
      <c r="J24" s="112" t="n"/>
      <c r="K24" s="95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228" t="n"/>
      <c r="AB24" s="228" t="n"/>
      <c r="AC24" s="228" t="n"/>
      <c r="AD24" s="228" t="n"/>
      <c r="AE24" s="228" t="n"/>
      <c r="AF24" s="228" t="n"/>
      <c r="AG24" s="228" t="n"/>
      <c r="AH24" s="228" t="n"/>
      <c r="AI24" s="228" t="n"/>
      <c r="AJ24" s="228" t="n"/>
      <c r="AK24" s="228" t="n"/>
      <c r="AL24" s="229" t="n"/>
    </row>
    <row r="25">
      <c r="B25" s="2" t="n"/>
      <c r="C25" s="105" t="n"/>
      <c r="D25" s="105" t="n"/>
      <c r="E25" s="105" t="n"/>
      <c r="F25" s="105" t="n"/>
      <c r="G25" s="105" t="n"/>
      <c r="H25" s="105" t="n"/>
      <c r="I25" s="106" t="n"/>
      <c r="J25" s="105" t="n"/>
      <c r="K25" s="95" t="n"/>
      <c r="L25" s="107" t="n"/>
      <c r="M25" s="107" t="n"/>
      <c r="N25" s="107" t="n"/>
      <c r="O25" s="107" t="n"/>
      <c r="P25" s="107" t="n"/>
      <c r="Q25" s="107" t="n"/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226" t="n"/>
      <c r="AB25" s="226" t="n"/>
      <c r="AC25" s="226" t="n"/>
      <c r="AD25" s="226" t="n"/>
      <c r="AE25" s="226" t="n"/>
      <c r="AF25" s="226" t="n"/>
      <c r="AG25" s="226" t="n"/>
      <c r="AH25" s="226" t="n"/>
      <c r="AI25" s="226" t="n"/>
      <c r="AJ25" s="226" t="n"/>
      <c r="AK25" s="226" t="n"/>
      <c r="AL25" s="227" t="n"/>
    </row>
    <row r="26">
      <c r="B26" s="2" t="n"/>
      <c r="C26" s="105" t="n"/>
      <c r="D26" s="105" t="n"/>
      <c r="E26" s="105" t="n"/>
      <c r="F26" s="105" t="n"/>
      <c r="G26" s="105" t="n"/>
      <c r="H26" s="105" t="n"/>
      <c r="I26" s="106" t="n"/>
      <c r="J26" s="105" t="n"/>
      <c r="K26" s="95" t="n"/>
      <c r="L26" s="107" t="n"/>
      <c r="M26" s="107" t="n"/>
      <c r="N26" s="107" t="n"/>
      <c r="O26" s="107" t="n"/>
      <c r="P26" s="107" t="n"/>
      <c r="Q26" s="107" t="n"/>
      <c r="R26" s="107" t="n"/>
      <c r="S26" s="107" t="n"/>
      <c r="T26" s="107" t="n"/>
      <c r="U26" s="107" t="n"/>
      <c r="V26" s="107" t="n"/>
      <c r="W26" s="107" t="n"/>
      <c r="X26" s="107" t="n"/>
      <c r="Y26" s="107" t="n"/>
      <c r="Z26" s="107" t="n"/>
      <c r="AA26" s="226" t="n"/>
      <c r="AB26" s="226" t="n"/>
      <c r="AC26" s="226" t="n"/>
      <c r="AD26" s="226" t="n"/>
      <c r="AE26" s="226" t="n"/>
      <c r="AF26" s="226" t="n"/>
      <c r="AG26" s="226" t="n"/>
      <c r="AH26" s="226" t="n"/>
      <c r="AI26" s="226" t="n"/>
      <c r="AJ26" s="226" t="n"/>
      <c r="AK26" s="226" t="n"/>
      <c r="AL26" s="227" t="n"/>
    </row>
    <row r="27">
      <c r="B27" s="2" t="n"/>
      <c r="C27" s="105" t="n"/>
      <c r="D27" s="105" t="n"/>
      <c r="E27" s="105" t="n"/>
      <c r="F27" s="105" t="n"/>
      <c r="G27" s="105" t="n"/>
      <c r="H27" s="105" t="n"/>
      <c r="I27" s="106" t="n"/>
      <c r="J27" s="105" t="n"/>
      <c r="K27" s="95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  <c r="V27" s="107" t="n"/>
      <c r="W27" s="107" t="n"/>
      <c r="X27" s="107" t="n"/>
      <c r="Y27" s="107" t="n"/>
      <c r="Z27" s="107" t="n"/>
      <c r="AA27" s="226" t="n"/>
      <c r="AB27" s="226" t="n"/>
      <c r="AC27" s="226" t="n"/>
      <c r="AD27" s="226" t="n"/>
      <c r="AE27" s="226" t="n"/>
      <c r="AF27" s="226" t="n"/>
      <c r="AG27" s="226" t="n"/>
      <c r="AH27" s="226" t="n"/>
      <c r="AI27" s="226" t="n"/>
      <c r="AJ27" s="226" t="n"/>
      <c r="AK27" s="226" t="n"/>
      <c r="AL27" s="227" t="n"/>
    </row>
    <row r="28">
      <c r="B28" s="2" t="n"/>
      <c r="C28" s="105" t="n"/>
      <c r="D28" s="105" t="n"/>
      <c r="E28" s="105" t="n"/>
      <c r="F28" s="105" t="n"/>
      <c r="G28" s="105" t="n"/>
      <c r="H28" s="105" t="n"/>
      <c r="I28" s="106" t="n"/>
      <c r="J28" s="105" t="n"/>
      <c r="K28" s="95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226" t="n"/>
      <c r="AB28" s="226" t="n"/>
      <c r="AC28" s="226" t="n"/>
      <c r="AD28" s="226" t="n"/>
      <c r="AE28" s="226" t="n"/>
      <c r="AF28" s="226" t="n"/>
      <c r="AG28" s="226" t="n"/>
      <c r="AH28" s="226" t="n"/>
      <c r="AI28" s="226" t="n"/>
      <c r="AJ28" s="226" t="n"/>
      <c r="AK28" s="226" t="n"/>
      <c r="AL28" s="227" t="n"/>
    </row>
    <row r="29">
      <c r="B29" s="2" t="n"/>
      <c r="C29" s="105" t="n"/>
      <c r="D29" s="105" t="n"/>
      <c r="E29" s="105" t="n"/>
      <c r="F29" s="105" t="n"/>
      <c r="G29" s="105" t="n"/>
      <c r="H29" s="105" t="n"/>
      <c r="I29" s="106" t="n"/>
      <c r="J29" s="105" t="n"/>
      <c r="K29" s="95" t="n"/>
      <c r="L29" s="107" t="n"/>
      <c r="M29" s="107" t="n"/>
      <c r="N29" s="107" t="n"/>
      <c r="O29" s="107" t="n"/>
      <c r="P29" s="107" t="n"/>
      <c r="Q29" s="107" t="n"/>
      <c r="R29" s="107" t="n"/>
      <c r="S29" s="107" t="n"/>
      <c r="T29" s="107" t="n"/>
      <c r="U29" s="107" t="n"/>
      <c r="V29" s="107" t="n"/>
      <c r="W29" s="107" t="n"/>
      <c r="X29" s="107" t="n"/>
      <c r="Y29" s="107" t="n"/>
      <c r="Z29" s="107" t="n"/>
      <c r="AA29" s="226" t="n"/>
      <c r="AB29" s="226" t="n"/>
      <c r="AC29" s="226" t="n"/>
      <c r="AD29" s="226" t="n"/>
      <c r="AE29" s="226" t="n"/>
      <c r="AF29" s="226" t="n"/>
      <c r="AG29" s="226" t="n"/>
      <c r="AH29" s="226" t="n"/>
      <c r="AI29" s="226" t="n"/>
      <c r="AJ29" s="226" t="n"/>
      <c r="AK29" s="226" t="n"/>
      <c r="AL29" s="227" t="n"/>
    </row>
    <row r="30">
      <c r="B30" s="2" t="n"/>
      <c r="C30" s="105" t="n"/>
      <c r="D30" s="105" t="n"/>
      <c r="E30" s="105" t="n"/>
      <c r="F30" s="105" t="n"/>
      <c r="G30" s="105" t="n"/>
      <c r="H30" s="105" t="n"/>
      <c r="I30" s="106" t="n"/>
      <c r="J30" s="105" t="n"/>
      <c r="K30" s="95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226" t="n"/>
      <c r="AB30" s="226" t="n"/>
      <c r="AC30" s="226" t="n"/>
      <c r="AD30" s="226" t="n"/>
      <c r="AE30" s="226" t="n"/>
      <c r="AF30" s="226" t="n"/>
      <c r="AG30" s="226" t="n"/>
      <c r="AH30" s="226" t="n"/>
      <c r="AI30" s="226" t="n"/>
      <c r="AJ30" s="226" t="n"/>
      <c r="AK30" s="226" t="n"/>
      <c r="AL30" s="227" t="n"/>
    </row>
    <row r="31">
      <c r="B31" s="2" t="n"/>
      <c r="C31" s="105" t="n"/>
      <c r="D31" s="105" t="n"/>
      <c r="E31" s="105" t="n"/>
      <c r="F31" s="105" t="n"/>
      <c r="G31" s="105" t="n"/>
      <c r="H31" s="105" t="n"/>
      <c r="I31" s="106" t="n"/>
      <c r="J31" s="105" t="n"/>
      <c r="K31" s="95" t="n"/>
      <c r="L31" s="107" t="n"/>
      <c r="M31" s="107" t="n"/>
      <c r="N31" s="107" t="n"/>
      <c r="O31" s="107" t="n"/>
      <c r="P31" s="107" t="n"/>
      <c r="Q31" s="107" t="n"/>
      <c r="R31" s="107" t="n"/>
      <c r="S31" s="107" t="n"/>
      <c r="T31" s="107" t="n"/>
      <c r="U31" s="107" t="n"/>
      <c r="V31" s="107" t="n"/>
      <c r="W31" s="107" t="n"/>
      <c r="X31" s="107" t="n"/>
      <c r="Y31" s="107" t="n"/>
      <c r="Z31" s="107" t="n"/>
      <c r="AA31" s="226" t="n"/>
      <c r="AB31" s="226" t="n"/>
      <c r="AC31" s="226" t="n"/>
      <c r="AD31" s="226" t="n"/>
      <c r="AE31" s="226" t="n"/>
      <c r="AF31" s="226" t="n"/>
      <c r="AG31" s="226" t="n"/>
      <c r="AH31" s="226" t="n"/>
      <c r="AI31" s="226" t="n"/>
      <c r="AJ31" s="226" t="n"/>
      <c r="AK31" s="226" t="n"/>
      <c r="AL31" s="227" t="n"/>
    </row>
    <row r="32">
      <c r="B32" s="2" t="n"/>
      <c r="C32" s="105" t="n"/>
      <c r="D32" s="105" t="n"/>
      <c r="E32" s="105" t="n"/>
      <c r="F32" s="105" t="n"/>
      <c r="G32" s="105" t="n"/>
      <c r="H32" s="105" t="n"/>
      <c r="I32" s="106" t="n"/>
      <c r="J32" s="105" t="n"/>
      <c r="K32" s="95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226" t="n"/>
      <c r="AB32" s="226" t="n"/>
      <c r="AC32" s="226" t="n"/>
      <c r="AD32" s="226" t="n"/>
      <c r="AE32" s="226" t="n"/>
      <c r="AF32" s="226" t="n"/>
      <c r="AG32" s="226" t="n"/>
      <c r="AH32" s="226" t="n"/>
      <c r="AI32" s="226" t="n"/>
      <c r="AJ32" s="226" t="n"/>
      <c r="AK32" s="226" t="n"/>
      <c r="AL32" s="227" t="n"/>
    </row>
    <row r="33">
      <c r="B33" s="2" t="n"/>
      <c r="C33" s="105" t="n"/>
      <c r="D33" s="105" t="n"/>
      <c r="E33" s="105" t="n"/>
      <c r="F33" s="105" t="n"/>
      <c r="G33" s="105" t="n"/>
      <c r="H33" s="105" t="n"/>
      <c r="I33" s="106" t="n"/>
      <c r="J33" s="105" t="n"/>
      <c r="K33" s="95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226" t="n"/>
      <c r="AB33" s="226" t="n"/>
      <c r="AC33" s="226" t="n"/>
      <c r="AD33" s="226" t="n"/>
      <c r="AE33" s="226" t="n"/>
      <c r="AF33" s="226" t="n"/>
      <c r="AG33" s="226" t="n"/>
      <c r="AH33" s="226" t="n"/>
      <c r="AI33" s="226" t="n"/>
      <c r="AJ33" s="226" t="n"/>
      <c r="AK33" s="226" t="n"/>
      <c r="AL33" s="227" t="n"/>
    </row>
    <row r="34">
      <c r="B34" s="2" t="n"/>
      <c r="C34" s="105" t="n"/>
      <c r="D34" s="105" t="n"/>
      <c r="E34" s="105" t="n"/>
      <c r="F34" s="105" t="n"/>
      <c r="G34" s="105" t="n"/>
      <c r="H34" s="105" t="n"/>
      <c r="I34" s="106" t="n"/>
      <c r="J34" s="105" t="n"/>
      <c r="K34" s="95" t="n"/>
      <c r="L34" s="107" t="n"/>
      <c r="M34" s="107" t="n"/>
      <c r="N34" s="107" t="n"/>
      <c r="O34" s="107" t="n"/>
      <c r="P34" s="107" t="n"/>
      <c r="Q34" s="107" t="n"/>
      <c r="R34" s="107" t="n"/>
      <c r="S34" s="107" t="n"/>
      <c r="T34" s="107" t="n"/>
      <c r="U34" s="107" t="n"/>
      <c r="V34" s="107" t="n"/>
      <c r="W34" s="107" t="n"/>
      <c r="X34" s="107" t="n"/>
      <c r="Y34" s="107" t="n"/>
      <c r="Z34" s="107" t="n"/>
      <c r="AA34" s="226" t="n"/>
      <c r="AB34" s="226" t="n"/>
      <c r="AC34" s="226" t="n"/>
      <c r="AD34" s="226" t="n"/>
      <c r="AE34" s="226" t="n"/>
      <c r="AF34" s="226" t="n"/>
      <c r="AG34" s="226" t="n"/>
      <c r="AH34" s="226" t="n"/>
      <c r="AI34" s="226" t="n"/>
      <c r="AJ34" s="226" t="n"/>
      <c r="AK34" s="226" t="n"/>
      <c r="AL34" s="227" t="n"/>
    </row>
    <row r="35">
      <c r="B35" s="2" t="n"/>
      <c r="C35" s="105" t="n"/>
      <c r="D35" s="105" t="n"/>
      <c r="E35" s="105" t="n"/>
      <c r="F35" s="105" t="n"/>
      <c r="G35" s="105" t="n"/>
      <c r="H35" s="105" t="n"/>
      <c r="I35" s="106" t="n"/>
      <c r="J35" s="105" t="n"/>
      <c r="K35" s="95" t="n"/>
      <c r="L35" s="107" t="n"/>
      <c r="M35" s="107" t="n"/>
      <c r="N35" s="107" t="n"/>
      <c r="O35" s="107" t="n"/>
      <c r="P35" s="107" t="n"/>
      <c r="Q35" s="107" t="n"/>
      <c r="R35" s="107" t="n"/>
      <c r="S35" s="107" t="n"/>
      <c r="T35" s="107" t="n"/>
      <c r="U35" s="107" t="n"/>
      <c r="V35" s="107" t="n"/>
      <c r="W35" s="107" t="n"/>
      <c r="X35" s="107" t="n"/>
      <c r="Y35" s="107" t="n"/>
      <c r="Z35" s="107" t="n"/>
      <c r="AA35" s="226" t="n"/>
      <c r="AB35" s="226" t="n"/>
      <c r="AC35" s="226" t="n"/>
      <c r="AD35" s="226" t="n"/>
      <c r="AE35" s="226" t="n"/>
      <c r="AF35" s="226" t="n"/>
      <c r="AG35" s="226" t="n"/>
      <c r="AH35" s="226" t="n"/>
      <c r="AI35" s="226" t="n"/>
      <c r="AJ35" s="226" t="n"/>
      <c r="AK35" s="226" t="n"/>
      <c r="AL35" s="227" t="n"/>
    </row>
    <row r="36">
      <c r="B36" s="2" t="n"/>
      <c r="C36" s="105" t="n"/>
      <c r="D36" s="105" t="n"/>
      <c r="E36" s="105" t="n"/>
      <c r="F36" s="105" t="n"/>
      <c r="G36" s="105" t="n"/>
      <c r="H36" s="105" t="n"/>
      <c r="I36" s="106" t="n"/>
      <c r="J36" s="105" t="n"/>
      <c r="K36" s="95" t="n"/>
      <c r="L36" s="107" t="n"/>
      <c r="M36" s="107" t="n"/>
      <c r="N36" s="107" t="n"/>
      <c r="O36" s="107" t="n"/>
      <c r="P36" s="107" t="n"/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226" t="n"/>
      <c r="AB36" s="226" t="n"/>
      <c r="AC36" s="226" t="n"/>
      <c r="AD36" s="226" t="n"/>
      <c r="AE36" s="226" t="n"/>
      <c r="AF36" s="226" t="n"/>
      <c r="AG36" s="226" t="n"/>
      <c r="AH36" s="226" t="n"/>
      <c r="AI36" s="226" t="n"/>
      <c r="AJ36" s="226" t="n"/>
      <c r="AK36" s="226" t="n"/>
      <c r="AL36" s="227" t="n"/>
    </row>
    <row r="37">
      <c r="B37" s="2" t="n"/>
      <c r="C37" s="105" t="n"/>
      <c r="D37" s="105" t="n"/>
      <c r="E37" s="105" t="n"/>
      <c r="F37" s="105" t="n"/>
      <c r="G37" s="105" t="n"/>
      <c r="H37" s="105" t="n"/>
      <c r="I37" s="106" t="n"/>
      <c r="J37" s="105" t="n"/>
      <c r="K37" s="95" t="n"/>
      <c r="L37" s="107" t="n"/>
      <c r="M37" s="107" t="n"/>
      <c r="N37" s="107" t="n"/>
      <c r="O37" s="107" t="n"/>
      <c r="P37" s="107" t="n"/>
      <c r="Q37" s="107" t="n"/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226" t="n"/>
      <c r="AB37" s="226" t="n"/>
      <c r="AC37" s="226" t="n"/>
      <c r="AD37" s="226" t="n"/>
      <c r="AE37" s="226" t="n"/>
      <c r="AF37" s="226" t="n"/>
      <c r="AG37" s="226" t="n"/>
      <c r="AH37" s="226" t="n"/>
      <c r="AI37" s="226" t="n"/>
      <c r="AJ37" s="226" t="n"/>
      <c r="AK37" s="226" t="n"/>
      <c r="AL37" s="227" t="n"/>
    </row>
    <row r="38">
      <c r="B38" s="2" t="n"/>
      <c r="C38" s="105" t="n"/>
      <c r="D38" s="105" t="n"/>
      <c r="E38" s="105" t="n"/>
      <c r="F38" s="105" t="n"/>
      <c r="G38" s="105" t="n"/>
      <c r="H38" s="105" t="n"/>
      <c r="I38" s="106" t="n"/>
      <c r="J38" s="105" t="n"/>
      <c r="K38" s="95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226" t="n"/>
      <c r="AB38" s="226" t="n"/>
      <c r="AC38" s="226" t="n"/>
      <c r="AD38" s="226" t="n"/>
      <c r="AE38" s="226" t="n"/>
      <c r="AF38" s="226" t="n"/>
      <c r="AG38" s="226" t="n"/>
      <c r="AH38" s="226" t="n"/>
      <c r="AI38" s="226" t="n"/>
      <c r="AJ38" s="226" t="n"/>
      <c r="AK38" s="226" t="n"/>
      <c r="AL38" s="227" t="n"/>
    </row>
    <row r="39">
      <c r="B39" s="2" t="n"/>
      <c r="C39" s="105" t="n"/>
      <c r="D39" s="105" t="n"/>
      <c r="E39" s="105" t="n"/>
      <c r="F39" s="105" t="n"/>
      <c r="G39" s="105" t="n"/>
      <c r="H39" s="105" t="n"/>
      <c r="I39" s="106" t="n"/>
      <c r="J39" s="105" t="n"/>
      <c r="K39" s="95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226" t="n"/>
      <c r="AB39" s="226" t="n"/>
      <c r="AC39" s="226" t="n"/>
      <c r="AD39" s="226" t="n"/>
      <c r="AE39" s="226" t="n"/>
      <c r="AF39" s="226" t="n"/>
      <c r="AG39" s="226" t="n"/>
      <c r="AH39" s="226" t="n"/>
      <c r="AI39" s="226" t="n"/>
      <c r="AJ39" s="226" t="n"/>
      <c r="AK39" s="226" t="n"/>
      <c r="AL39" s="227" t="n"/>
    </row>
    <row r="40">
      <c r="B40" s="2" t="n"/>
      <c r="C40" s="105" t="n"/>
      <c r="D40" s="105" t="n"/>
      <c r="E40" s="105" t="n"/>
      <c r="F40" s="105" t="n"/>
      <c r="G40" s="105" t="n"/>
      <c r="H40" s="105" t="n"/>
      <c r="I40" s="106" t="n"/>
      <c r="J40" s="105" t="n"/>
      <c r="K40" s="95" t="n"/>
      <c r="L40" s="107" t="n"/>
      <c r="M40" s="107" t="n"/>
      <c r="N40" s="107" t="n"/>
      <c r="O40" s="107" t="n"/>
      <c r="P40" s="107" t="n"/>
      <c r="Q40" s="107" t="n"/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226" t="n"/>
      <c r="AB40" s="226" t="n"/>
      <c r="AC40" s="226" t="n"/>
      <c r="AD40" s="226" t="n"/>
      <c r="AE40" s="226" t="n"/>
      <c r="AF40" s="226" t="n"/>
      <c r="AG40" s="226" t="n"/>
      <c r="AH40" s="226" t="n"/>
      <c r="AI40" s="226" t="n"/>
      <c r="AJ40" s="226" t="n"/>
      <c r="AK40" s="226" t="n"/>
      <c r="AL40" s="227" t="n"/>
    </row>
    <row r="41">
      <c r="B41" s="2" t="n"/>
      <c r="C41" s="105" t="n"/>
      <c r="D41" s="105" t="n"/>
      <c r="E41" s="105" t="n"/>
      <c r="F41" s="105" t="n"/>
      <c r="G41" s="105" t="n"/>
      <c r="H41" s="105" t="n"/>
      <c r="I41" s="106" t="n"/>
      <c r="J41" s="105" t="n"/>
      <c r="K41" s="95" t="n"/>
      <c r="L41" s="107" t="n"/>
      <c r="M41" s="107" t="n"/>
      <c r="N41" s="107" t="n"/>
      <c r="O41" s="107" t="n"/>
      <c r="P41" s="107" t="n"/>
      <c r="Q41" s="107" t="n"/>
      <c r="R41" s="107" t="n"/>
      <c r="S41" s="107" t="n"/>
      <c r="T41" s="107" t="n"/>
      <c r="U41" s="107" t="n"/>
      <c r="V41" s="107" t="n"/>
      <c r="W41" s="107" t="n"/>
      <c r="X41" s="107" t="n"/>
      <c r="Y41" s="107" t="n"/>
      <c r="Z41" s="107" t="n"/>
      <c r="AA41" s="226" t="n"/>
      <c r="AB41" s="226" t="n"/>
      <c r="AC41" s="226" t="n"/>
      <c r="AD41" s="226" t="n"/>
      <c r="AE41" s="226" t="n"/>
      <c r="AF41" s="226" t="n"/>
      <c r="AG41" s="226" t="n"/>
      <c r="AH41" s="226" t="n"/>
      <c r="AI41" s="226" t="n"/>
      <c r="AJ41" s="226" t="n"/>
      <c r="AK41" s="226" t="n"/>
      <c r="AL41" s="227" t="n"/>
    </row>
    <row r="42">
      <c r="B42" s="2" t="n"/>
      <c r="C42" s="105" t="n"/>
      <c r="D42" s="105" t="n"/>
      <c r="E42" s="105" t="n"/>
      <c r="F42" s="105" t="n"/>
      <c r="G42" s="105" t="n"/>
      <c r="H42" s="105" t="n"/>
      <c r="I42" s="106" t="n"/>
      <c r="J42" s="105" t="n"/>
      <c r="K42" s="95" t="n"/>
      <c r="L42" s="107" t="n"/>
      <c r="M42" s="107" t="n"/>
      <c r="N42" s="107" t="n"/>
      <c r="O42" s="107" t="n"/>
      <c r="P42" s="107" t="n"/>
      <c r="Q42" s="107" t="n"/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226" t="n"/>
      <c r="AB42" s="226" t="n"/>
      <c r="AC42" s="226" t="n"/>
      <c r="AD42" s="226" t="n"/>
      <c r="AE42" s="226" t="n"/>
      <c r="AF42" s="226" t="n"/>
      <c r="AG42" s="226" t="n"/>
      <c r="AH42" s="226" t="n"/>
      <c r="AI42" s="226" t="n"/>
      <c r="AJ42" s="226" t="n"/>
      <c r="AK42" s="226" t="n"/>
      <c r="AL42" s="227" t="n"/>
    </row>
    <row r="43">
      <c r="B43" s="2" t="n"/>
      <c r="C43" s="105" t="n"/>
      <c r="D43" s="105" t="n"/>
      <c r="E43" s="105" t="n"/>
      <c r="F43" s="105" t="n"/>
      <c r="G43" s="105" t="n"/>
      <c r="H43" s="105" t="n"/>
      <c r="I43" s="106" t="n"/>
      <c r="J43" s="105" t="n"/>
      <c r="K43" s="95" t="n"/>
      <c r="L43" s="107" t="n"/>
      <c r="M43" s="107" t="n"/>
      <c r="N43" s="107" t="n"/>
      <c r="O43" s="107" t="n"/>
      <c r="P43" s="107" t="n"/>
      <c r="Q43" s="107" t="n"/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226" t="n"/>
      <c r="AB43" s="226" t="n"/>
      <c r="AC43" s="226" t="n"/>
      <c r="AD43" s="226" t="n"/>
      <c r="AE43" s="226" t="n"/>
      <c r="AF43" s="226" t="n"/>
      <c r="AG43" s="226" t="n"/>
      <c r="AH43" s="226" t="n"/>
      <c r="AI43" s="226" t="n"/>
      <c r="AJ43" s="226" t="n"/>
      <c r="AK43" s="226" t="n"/>
      <c r="AL43" s="227" t="n"/>
    </row>
    <row r="44">
      <c r="B44" s="2" t="n"/>
      <c r="C44" s="105" t="n"/>
      <c r="D44" s="105" t="n"/>
      <c r="E44" s="105" t="n"/>
      <c r="F44" s="105" t="n"/>
      <c r="G44" s="105" t="n"/>
      <c r="H44" s="105" t="n"/>
      <c r="I44" s="106" t="n"/>
      <c r="J44" s="105" t="n"/>
      <c r="K44" s="95" t="n"/>
      <c r="L44" s="107" t="n"/>
      <c r="M44" s="107" t="n"/>
      <c r="N44" s="107" t="n"/>
      <c r="O44" s="107" t="n"/>
      <c r="P44" s="107" t="n"/>
      <c r="Q44" s="107" t="n"/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226" t="n"/>
      <c r="AB44" s="226" t="n"/>
      <c r="AC44" s="226" t="n"/>
      <c r="AD44" s="226" t="n"/>
      <c r="AE44" s="226" t="n"/>
      <c r="AF44" s="226" t="n"/>
      <c r="AG44" s="226" t="n"/>
      <c r="AH44" s="226" t="n"/>
      <c r="AI44" s="226" t="n"/>
      <c r="AJ44" s="226" t="n"/>
      <c r="AK44" s="226" t="n"/>
      <c r="AL44" s="227" t="n"/>
    </row>
    <row r="45">
      <c r="B45" s="2" t="n"/>
      <c r="C45" s="105" t="n"/>
      <c r="D45" s="105" t="n"/>
      <c r="E45" s="105" t="n"/>
      <c r="F45" s="105" t="n"/>
      <c r="G45" s="105" t="n"/>
      <c r="H45" s="105" t="n"/>
      <c r="I45" s="106" t="n"/>
      <c r="J45" s="105" t="n"/>
      <c r="K45" s="95" t="n"/>
      <c r="L45" s="107" t="n"/>
      <c r="M45" s="107" t="n"/>
      <c r="N45" s="107" t="n"/>
      <c r="O45" s="107" t="n"/>
      <c r="P45" s="107" t="n"/>
      <c r="Q45" s="107" t="n"/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226" t="n"/>
      <c r="AB45" s="226" t="n"/>
      <c r="AC45" s="226" t="n"/>
      <c r="AD45" s="226" t="n"/>
      <c r="AE45" s="226" t="n"/>
      <c r="AF45" s="226" t="n"/>
      <c r="AG45" s="226" t="n"/>
      <c r="AH45" s="226" t="n"/>
      <c r="AI45" s="226" t="n"/>
      <c r="AJ45" s="226" t="n"/>
      <c r="AK45" s="226" t="n"/>
      <c r="AL45" s="227" t="n"/>
    </row>
    <row r="46">
      <c r="B46" s="2" t="n"/>
      <c r="C46" s="105" t="n"/>
      <c r="D46" s="105" t="n"/>
      <c r="E46" s="105" t="n"/>
      <c r="F46" s="105" t="n"/>
      <c r="G46" s="105" t="n"/>
      <c r="H46" s="105" t="n"/>
      <c r="I46" s="106" t="n"/>
      <c r="J46" s="105" t="n"/>
      <c r="K46" s="95" t="n"/>
      <c r="L46" s="107" t="n"/>
      <c r="M46" s="107" t="n"/>
      <c r="N46" s="107" t="n"/>
      <c r="O46" s="107" t="n"/>
      <c r="P46" s="107" t="n"/>
      <c r="Q46" s="107" t="n"/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226" t="n"/>
      <c r="AB46" s="226" t="n"/>
      <c r="AC46" s="226" t="n"/>
      <c r="AD46" s="226" t="n"/>
      <c r="AE46" s="226" t="n"/>
      <c r="AF46" s="226" t="n"/>
      <c r="AG46" s="226" t="n"/>
      <c r="AH46" s="226" t="n"/>
      <c r="AI46" s="226" t="n"/>
      <c r="AJ46" s="226" t="n"/>
      <c r="AK46" s="226" t="n"/>
      <c r="AL46" s="227" t="n"/>
    </row>
    <row r="47">
      <c r="B47" s="2" t="n"/>
      <c r="C47" s="105" t="n"/>
      <c r="D47" s="105" t="n"/>
      <c r="E47" s="105" t="n"/>
      <c r="F47" s="105" t="n"/>
      <c r="G47" s="105" t="n"/>
      <c r="H47" s="105" t="n"/>
      <c r="I47" s="106" t="n"/>
      <c r="J47" s="105" t="n"/>
      <c r="K47" s="95" t="n"/>
      <c r="L47" s="107" t="n"/>
      <c r="M47" s="107" t="n"/>
      <c r="N47" s="107" t="n"/>
      <c r="O47" s="107" t="n"/>
      <c r="P47" s="107" t="n"/>
      <c r="Q47" s="107" t="n"/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226" t="n"/>
      <c r="AB47" s="226" t="n"/>
      <c r="AC47" s="226" t="n"/>
      <c r="AD47" s="226" t="n"/>
      <c r="AE47" s="226" t="n"/>
      <c r="AF47" s="226" t="n"/>
      <c r="AG47" s="226" t="n"/>
      <c r="AH47" s="226" t="n"/>
      <c r="AI47" s="226" t="n"/>
      <c r="AJ47" s="226" t="n"/>
      <c r="AK47" s="226" t="n"/>
      <c r="AL47" s="227" t="n"/>
    </row>
    <row r="48">
      <c r="B48" s="2" t="n"/>
      <c r="C48" s="105" t="n"/>
      <c r="D48" s="105" t="n"/>
      <c r="E48" s="105" t="n"/>
      <c r="F48" s="105" t="n"/>
      <c r="G48" s="105" t="n"/>
      <c r="H48" s="105" t="n"/>
      <c r="I48" s="106" t="n"/>
      <c r="J48" s="105" t="n"/>
      <c r="K48" s="95" t="n"/>
      <c r="L48" s="107" t="n"/>
      <c r="M48" s="107" t="n"/>
      <c r="N48" s="107" t="n"/>
      <c r="O48" s="107" t="n"/>
      <c r="P48" s="107" t="n"/>
      <c r="Q48" s="107" t="n"/>
      <c r="R48" s="107" t="n"/>
      <c r="S48" s="107" t="n"/>
      <c r="T48" s="107" t="n"/>
      <c r="U48" s="107" t="n"/>
      <c r="V48" s="107" t="n"/>
      <c r="W48" s="107" t="n"/>
      <c r="X48" s="107" t="n"/>
      <c r="Y48" s="107" t="n"/>
      <c r="Z48" s="107" t="n"/>
      <c r="AA48" s="226" t="n"/>
      <c r="AB48" s="226" t="n"/>
      <c r="AC48" s="226" t="n"/>
      <c r="AD48" s="226" t="n"/>
      <c r="AE48" s="226" t="n"/>
      <c r="AF48" s="226" t="n"/>
      <c r="AG48" s="226" t="n"/>
      <c r="AH48" s="226" t="n"/>
      <c r="AI48" s="226" t="n"/>
      <c r="AJ48" s="226" t="n"/>
      <c r="AK48" s="226" t="n"/>
      <c r="AL48" s="227" t="n"/>
    </row>
    <row r="49">
      <c r="B49" s="2" t="n"/>
      <c r="C49" s="105" t="n"/>
      <c r="D49" s="105" t="n"/>
      <c r="E49" s="105" t="n"/>
      <c r="F49" s="105" t="n"/>
      <c r="G49" s="105" t="n"/>
      <c r="H49" s="105" t="n"/>
      <c r="I49" s="106" t="n"/>
      <c r="J49" s="105" t="n"/>
      <c r="K49" s="95" t="n"/>
      <c r="L49" s="107" t="n"/>
      <c r="M49" s="107" t="n"/>
      <c r="N49" s="107" t="n"/>
      <c r="O49" s="107" t="n"/>
      <c r="P49" s="107" t="n"/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226" t="n"/>
      <c r="AB49" s="226" t="n"/>
      <c r="AC49" s="226" t="n"/>
      <c r="AD49" s="226" t="n"/>
      <c r="AE49" s="226" t="n"/>
      <c r="AF49" s="226" t="n"/>
      <c r="AG49" s="226" t="n"/>
      <c r="AH49" s="226" t="n"/>
      <c r="AI49" s="226" t="n"/>
      <c r="AJ49" s="226" t="n"/>
      <c r="AK49" s="226" t="n"/>
      <c r="AL49" s="227" t="n"/>
    </row>
    <row r="50">
      <c r="B50" s="2" t="n"/>
      <c r="C50" s="105" t="n"/>
      <c r="D50" s="105" t="n"/>
      <c r="E50" s="105" t="n"/>
      <c r="F50" s="105" t="n"/>
      <c r="G50" s="105" t="n"/>
      <c r="H50" s="105" t="n"/>
      <c r="I50" s="106" t="n"/>
      <c r="J50" s="105" t="n"/>
      <c r="K50" s="95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107" t="n"/>
      <c r="U50" s="107" t="n"/>
      <c r="V50" s="107" t="n"/>
      <c r="W50" s="107" t="n"/>
      <c r="X50" s="107" t="n"/>
      <c r="Y50" s="107" t="n"/>
      <c r="Z50" s="107" t="n"/>
      <c r="AA50" s="226" t="n"/>
      <c r="AB50" s="226" t="n"/>
      <c r="AC50" s="226" t="n"/>
      <c r="AD50" s="226" t="n"/>
      <c r="AE50" s="226" t="n"/>
      <c r="AF50" s="226" t="n"/>
      <c r="AG50" s="226" t="n"/>
      <c r="AH50" s="226" t="n"/>
      <c r="AI50" s="226" t="n"/>
      <c r="AJ50" s="226" t="n"/>
      <c r="AK50" s="226" t="n"/>
      <c r="AL50" s="227" t="n"/>
    </row>
    <row r="51">
      <c r="B51" s="2" t="n"/>
      <c r="C51" s="105" t="n"/>
      <c r="D51" s="105" t="n"/>
      <c r="E51" s="105" t="n"/>
      <c r="F51" s="105" t="n"/>
      <c r="G51" s="105" t="n"/>
      <c r="H51" s="105" t="n"/>
      <c r="I51" s="106" t="n"/>
      <c r="J51" s="105" t="n"/>
      <c r="K51" s="95" t="n"/>
      <c r="L51" s="107" t="n"/>
      <c r="M51" s="107" t="n"/>
      <c r="N51" s="107" t="n"/>
      <c r="O51" s="107" t="n"/>
      <c r="P51" s="107" t="n"/>
      <c r="Q51" s="107" t="n"/>
      <c r="R51" s="107" t="n"/>
      <c r="S51" s="107" t="n"/>
      <c r="T51" s="107" t="n"/>
      <c r="U51" s="107" t="n"/>
      <c r="V51" s="107" t="n"/>
      <c r="W51" s="107" t="n"/>
      <c r="X51" s="107" t="n"/>
      <c r="Y51" s="107" t="n"/>
      <c r="Z51" s="107" t="n"/>
      <c r="AA51" s="226" t="n"/>
      <c r="AB51" s="226" t="n"/>
      <c r="AC51" s="226" t="n"/>
      <c r="AD51" s="226" t="n"/>
      <c r="AE51" s="226" t="n"/>
      <c r="AF51" s="226" t="n"/>
      <c r="AG51" s="226" t="n"/>
      <c r="AH51" s="226" t="n"/>
      <c r="AI51" s="226" t="n"/>
      <c r="AJ51" s="226" t="n"/>
      <c r="AK51" s="226" t="n"/>
      <c r="AL51" s="227" t="n"/>
    </row>
    <row r="52">
      <c r="B52" s="2" t="n"/>
      <c r="C52" s="105" t="n"/>
      <c r="D52" s="105" t="n"/>
      <c r="E52" s="105" t="n"/>
      <c r="F52" s="105" t="n"/>
      <c r="G52" s="105" t="n"/>
      <c r="H52" s="105" t="n"/>
      <c r="I52" s="106" t="n"/>
      <c r="J52" s="105" t="n"/>
      <c r="K52" s="95" t="n"/>
      <c r="L52" s="107" t="n"/>
      <c r="M52" s="107" t="n"/>
      <c r="N52" s="107" t="n"/>
      <c r="O52" s="107" t="n"/>
      <c r="P52" s="107" t="n"/>
      <c r="Q52" s="107" t="n"/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226" t="n"/>
      <c r="AB52" s="226" t="n"/>
      <c r="AC52" s="226" t="n"/>
      <c r="AD52" s="226" t="n"/>
      <c r="AE52" s="226" t="n"/>
      <c r="AF52" s="226" t="n"/>
      <c r="AG52" s="226" t="n"/>
      <c r="AH52" s="226" t="n"/>
      <c r="AI52" s="226" t="n"/>
      <c r="AJ52" s="226" t="n"/>
      <c r="AK52" s="226" t="n"/>
      <c r="AL52" s="227" t="n"/>
    </row>
    <row r="53">
      <c r="B53" s="2" t="n"/>
      <c r="C53" s="105" t="n"/>
      <c r="D53" s="105" t="n"/>
      <c r="E53" s="105" t="n"/>
      <c r="F53" s="105" t="n"/>
      <c r="G53" s="105" t="n"/>
      <c r="H53" s="105" t="n"/>
      <c r="I53" s="106" t="n"/>
      <c r="J53" s="105" t="n"/>
      <c r="K53" s="95" t="n"/>
      <c r="L53" s="107" t="n"/>
      <c r="M53" s="107" t="n"/>
      <c r="N53" s="107" t="n"/>
      <c r="O53" s="107" t="n"/>
      <c r="P53" s="107" t="n"/>
      <c r="Q53" s="107" t="n"/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226" t="n"/>
      <c r="AB53" s="226" t="n"/>
      <c r="AC53" s="226" t="n"/>
      <c r="AD53" s="226" t="n"/>
      <c r="AE53" s="226" t="n"/>
      <c r="AF53" s="226" t="n"/>
      <c r="AG53" s="226" t="n"/>
      <c r="AH53" s="226" t="n"/>
      <c r="AI53" s="226" t="n"/>
      <c r="AJ53" s="226" t="n"/>
      <c r="AK53" s="226" t="n"/>
      <c r="AL53" s="227" t="n"/>
    </row>
    <row r="54">
      <c r="B54" s="2" t="n"/>
      <c r="C54" s="105" t="n"/>
      <c r="D54" s="105" t="n"/>
      <c r="E54" s="105" t="n"/>
      <c r="F54" s="105" t="n"/>
      <c r="G54" s="105" t="n"/>
      <c r="H54" s="105" t="n"/>
      <c r="I54" s="106" t="n"/>
      <c r="J54" s="105" t="n"/>
      <c r="K54" s="95" t="n"/>
      <c r="L54" s="107" t="n"/>
      <c r="M54" s="107" t="n"/>
      <c r="N54" s="107" t="n"/>
      <c r="O54" s="107" t="n"/>
      <c r="P54" s="107" t="n"/>
      <c r="Q54" s="107" t="n"/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226" t="n"/>
      <c r="AB54" s="226" t="n"/>
      <c r="AC54" s="226" t="n"/>
      <c r="AD54" s="226" t="n"/>
      <c r="AE54" s="226" t="n"/>
      <c r="AF54" s="226" t="n"/>
      <c r="AG54" s="226" t="n"/>
      <c r="AH54" s="226" t="n"/>
      <c r="AI54" s="226" t="n"/>
      <c r="AJ54" s="226" t="n"/>
      <c r="AK54" s="226" t="n"/>
      <c r="AL54" s="227" t="n"/>
    </row>
    <row r="55">
      <c r="B55" s="2" t="n"/>
      <c r="C55" s="105" t="n"/>
      <c r="D55" s="105" t="n"/>
      <c r="E55" s="105" t="n"/>
      <c r="F55" s="105" t="n"/>
      <c r="G55" s="105" t="n"/>
      <c r="H55" s="105" t="n"/>
      <c r="I55" s="106" t="n"/>
      <c r="J55" s="105" t="n"/>
      <c r="K55" s="95" t="n"/>
      <c r="L55" s="107" t="n"/>
      <c r="M55" s="107" t="n"/>
      <c r="N55" s="107" t="n"/>
      <c r="O55" s="107" t="n"/>
      <c r="P55" s="107" t="n"/>
      <c r="Q55" s="107" t="n"/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226" t="n"/>
      <c r="AB55" s="226" t="n"/>
      <c r="AC55" s="226" t="n"/>
      <c r="AD55" s="226" t="n"/>
      <c r="AE55" s="226" t="n"/>
      <c r="AF55" s="226" t="n"/>
      <c r="AG55" s="226" t="n"/>
      <c r="AH55" s="226" t="n"/>
      <c r="AI55" s="226" t="n"/>
      <c r="AJ55" s="226" t="n"/>
      <c r="AK55" s="226" t="n"/>
      <c r="AL55" s="227" t="n"/>
    </row>
    <row r="56">
      <c r="B56" s="2" t="n"/>
      <c r="C56" s="105" t="n"/>
      <c r="D56" s="105" t="n"/>
      <c r="E56" s="105" t="n"/>
      <c r="F56" s="105" t="n"/>
      <c r="G56" s="105" t="n"/>
      <c r="H56" s="105" t="n"/>
      <c r="I56" s="106" t="n"/>
      <c r="J56" s="105" t="n"/>
      <c r="K56" s="95" t="n"/>
      <c r="L56" s="107" t="n"/>
      <c r="M56" s="107" t="n"/>
      <c r="N56" s="107" t="n"/>
      <c r="O56" s="107" t="n"/>
      <c r="P56" s="107" t="n"/>
      <c r="Q56" s="107" t="n"/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226" t="n"/>
      <c r="AB56" s="226" t="n"/>
      <c r="AC56" s="226" t="n"/>
      <c r="AD56" s="226" t="n"/>
      <c r="AE56" s="226" t="n"/>
      <c r="AF56" s="226" t="n"/>
      <c r="AG56" s="226" t="n"/>
      <c r="AH56" s="226" t="n"/>
      <c r="AI56" s="226" t="n"/>
      <c r="AJ56" s="226" t="n"/>
      <c r="AK56" s="226" t="n"/>
      <c r="AL56" s="227" t="n"/>
    </row>
    <row r="57">
      <c r="B57" s="2" t="n"/>
      <c r="C57" s="105" t="n"/>
      <c r="D57" s="105" t="n"/>
      <c r="E57" s="105" t="n"/>
      <c r="F57" s="105" t="n"/>
      <c r="G57" s="105" t="n"/>
      <c r="H57" s="105" t="n"/>
      <c r="I57" s="106" t="n"/>
      <c r="J57" s="105" t="n"/>
      <c r="K57" s="95" t="n"/>
      <c r="L57" s="107" t="n"/>
      <c r="M57" s="107" t="n"/>
      <c r="N57" s="107" t="n"/>
      <c r="O57" s="107" t="n"/>
      <c r="P57" s="107" t="n"/>
      <c r="Q57" s="107" t="n"/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226" t="n"/>
      <c r="AB57" s="226" t="n"/>
      <c r="AC57" s="226" t="n"/>
      <c r="AD57" s="226" t="n"/>
      <c r="AE57" s="226" t="n"/>
      <c r="AF57" s="226" t="n"/>
      <c r="AG57" s="226" t="n"/>
      <c r="AH57" s="226" t="n"/>
      <c r="AI57" s="226" t="n"/>
      <c r="AJ57" s="226" t="n"/>
      <c r="AK57" s="226" t="n"/>
      <c r="AL57" s="227" t="n"/>
    </row>
    <row r="58">
      <c r="B58" s="2" t="n"/>
      <c r="C58" s="105" t="n"/>
      <c r="D58" s="105" t="n"/>
      <c r="E58" s="105" t="n"/>
      <c r="F58" s="105" t="n"/>
      <c r="G58" s="105" t="n"/>
      <c r="H58" s="105" t="n"/>
      <c r="I58" s="106" t="n"/>
      <c r="J58" s="105" t="n"/>
      <c r="K58" s="95" t="n"/>
      <c r="L58" s="107" t="n"/>
      <c r="M58" s="107" t="n"/>
      <c r="N58" s="107" t="n"/>
      <c r="O58" s="107" t="n"/>
      <c r="P58" s="107" t="n"/>
      <c r="Q58" s="107" t="n"/>
      <c r="R58" s="107" t="n"/>
      <c r="S58" s="107" t="n"/>
      <c r="T58" s="107" t="n"/>
      <c r="U58" s="107" t="n"/>
      <c r="V58" s="107" t="n"/>
      <c r="W58" s="107" t="n"/>
      <c r="X58" s="107" t="n"/>
      <c r="Y58" s="107" t="n"/>
      <c r="Z58" s="107" t="n"/>
      <c r="AA58" s="226" t="n"/>
      <c r="AB58" s="226" t="n"/>
      <c r="AC58" s="226" t="n"/>
      <c r="AD58" s="226" t="n"/>
      <c r="AE58" s="226" t="n"/>
      <c r="AF58" s="226" t="n"/>
      <c r="AG58" s="226" t="n"/>
      <c r="AH58" s="226" t="n"/>
      <c r="AI58" s="226" t="n"/>
      <c r="AJ58" s="226" t="n"/>
      <c r="AK58" s="226" t="n"/>
      <c r="AL58" s="227" t="n"/>
    </row>
    <row r="59">
      <c r="B59" s="2" t="n"/>
      <c r="C59" s="105" t="n"/>
      <c r="D59" s="105" t="n"/>
      <c r="E59" s="105" t="n"/>
      <c r="F59" s="105" t="n"/>
      <c r="G59" s="105" t="n"/>
      <c r="H59" s="105" t="n"/>
      <c r="I59" s="106" t="n"/>
      <c r="J59" s="105" t="n"/>
      <c r="K59" s="95" t="n"/>
      <c r="L59" s="107" t="n"/>
      <c r="M59" s="107" t="n"/>
      <c r="N59" s="107" t="n"/>
      <c r="O59" s="107" t="n"/>
      <c r="P59" s="107" t="n"/>
      <c r="Q59" s="107" t="n"/>
      <c r="R59" s="107" t="n"/>
      <c r="S59" s="107" t="n"/>
      <c r="T59" s="107" t="n"/>
      <c r="U59" s="107" t="n"/>
      <c r="V59" s="107" t="n"/>
      <c r="W59" s="107" t="n"/>
      <c r="X59" s="107" t="n"/>
      <c r="Y59" s="107" t="n"/>
      <c r="Z59" s="107" t="n"/>
      <c r="AA59" s="226" t="n"/>
      <c r="AB59" s="226" t="n"/>
      <c r="AC59" s="226" t="n"/>
      <c r="AD59" s="226" t="n"/>
      <c r="AE59" s="226" t="n"/>
      <c r="AF59" s="226" t="n"/>
      <c r="AG59" s="226" t="n"/>
      <c r="AH59" s="226" t="n"/>
      <c r="AI59" s="226" t="n"/>
      <c r="AJ59" s="226" t="n"/>
      <c r="AK59" s="226" t="n"/>
      <c r="AL59" s="227" t="n"/>
    </row>
    <row r="60">
      <c r="B60" s="2" t="n"/>
      <c r="C60" s="105" t="n"/>
      <c r="D60" s="105" t="n"/>
      <c r="E60" s="105" t="n"/>
      <c r="F60" s="105" t="n"/>
      <c r="G60" s="105" t="n"/>
      <c r="H60" s="105" t="n"/>
      <c r="I60" s="106" t="n"/>
      <c r="J60" s="105" t="n"/>
      <c r="K60" s="95" t="n"/>
      <c r="L60" s="107" t="n"/>
      <c r="M60" s="107" t="n"/>
      <c r="N60" s="107" t="n"/>
      <c r="O60" s="107" t="n"/>
      <c r="P60" s="107" t="n"/>
      <c r="Q60" s="107" t="n"/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226" t="n"/>
      <c r="AB60" s="226" t="n"/>
      <c r="AC60" s="226" t="n"/>
      <c r="AD60" s="226" t="n"/>
      <c r="AE60" s="226" t="n"/>
      <c r="AF60" s="226" t="n"/>
      <c r="AG60" s="226" t="n"/>
      <c r="AH60" s="226" t="n"/>
      <c r="AI60" s="226" t="n"/>
      <c r="AJ60" s="226" t="n"/>
      <c r="AK60" s="226" t="n"/>
      <c r="AL60" s="227" t="n"/>
    </row>
    <row r="61">
      <c r="B61" s="2" t="n"/>
      <c r="C61" s="105" t="n"/>
      <c r="D61" s="105" t="n"/>
      <c r="E61" s="105" t="n"/>
      <c r="F61" s="105" t="n"/>
      <c r="G61" s="105" t="n"/>
      <c r="H61" s="105" t="n"/>
      <c r="I61" s="106" t="n"/>
      <c r="J61" s="105" t="n"/>
      <c r="K61" s="95" t="n"/>
      <c r="L61" s="107" t="n"/>
      <c r="M61" s="107" t="n"/>
      <c r="N61" s="107" t="n"/>
      <c r="O61" s="107" t="n"/>
      <c r="P61" s="107" t="n"/>
      <c r="Q61" s="107" t="n"/>
      <c r="R61" s="107" t="n"/>
      <c r="S61" s="107" t="n"/>
      <c r="T61" s="107" t="n"/>
      <c r="U61" s="107" t="n"/>
      <c r="V61" s="107" t="n"/>
      <c r="W61" s="107" t="n"/>
      <c r="X61" s="107" t="n"/>
      <c r="Y61" s="107" t="n"/>
      <c r="Z61" s="107" t="n"/>
      <c r="AA61" s="226" t="n"/>
      <c r="AB61" s="226" t="n"/>
      <c r="AC61" s="226" t="n"/>
      <c r="AD61" s="226" t="n"/>
      <c r="AE61" s="226" t="n"/>
      <c r="AF61" s="226" t="n"/>
      <c r="AG61" s="226" t="n"/>
      <c r="AH61" s="226" t="n"/>
      <c r="AI61" s="226" t="n"/>
      <c r="AJ61" s="226" t="n"/>
      <c r="AK61" s="226" t="n"/>
      <c r="AL61" s="227" t="n"/>
    </row>
    <row r="62">
      <c r="B62" s="2" t="n"/>
      <c r="C62" s="105" t="n"/>
      <c r="D62" s="105" t="n"/>
      <c r="E62" s="105" t="n"/>
      <c r="F62" s="105" t="n"/>
      <c r="G62" s="105" t="n"/>
      <c r="H62" s="105" t="n"/>
      <c r="I62" s="106" t="n"/>
      <c r="J62" s="105" t="n"/>
      <c r="K62" s="95" t="n"/>
      <c r="L62" s="107" t="n"/>
      <c r="M62" s="107" t="n"/>
      <c r="N62" s="107" t="n"/>
      <c r="O62" s="107" t="n"/>
      <c r="P62" s="107" t="n"/>
      <c r="Q62" s="107" t="n"/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226" t="n"/>
      <c r="AB62" s="226" t="n"/>
      <c r="AC62" s="226" t="n"/>
      <c r="AD62" s="226" t="n"/>
      <c r="AE62" s="226" t="n"/>
      <c r="AF62" s="226" t="n"/>
      <c r="AG62" s="226" t="n"/>
      <c r="AH62" s="226" t="n"/>
      <c r="AI62" s="226" t="n"/>
      <c r="AJ62" s="226" t="n"/>
      <c r="AK62" s="226" t="n"/>
      <c r="AL62" s="227" t="n"/>
    </row>
    <row r="63">
      <c r="B63" s="2" t="n"/>
      <c r="C63" s="105" t="n"/>
      <c r="D63" s="105" t="n"/>
      <c r="E63" s="105" t="n"/>
      <c r="F63" s="105" t="n"/>
      <c r="G63" s="105" t="n"/>
      <c r="H63" s="105" t="n"/>
      <c r="I63" s="106" t="n"/>
      <c r="J63" s="105" t="n"/>
      <c r="K63" s="95" t="n"/>
      <c r="L63" s="107" t="n"/>
      <c r="M63" s="107" t="n"/>
      <c r="N63" s="107" t="n"/>
      <c r="O63" s="107" t="n"/>
      <c r="P63" s="107" t="n"/>
      <c r="Q63" s="107" t="n"/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226" t="n"/>
      <c r="AB63" s="226" t="n"/>
      <c r="AC63" s="226" t="n"/>
      <c r="AD63" s="226" t="n"/>
      <c r="AE63" s="226" t="n"/>
      <c r="AF63" s="226" t="n"/>
      <c r="AG63" s="226" t="n"/>
      <c r="AH63" s="226" t="n"/>
      <c r="AI63" s="226" t="n"/>
      <c r="AJ63" s="226" t="n"/>
      <c r="AK63" s="226" t="n"/>
      <c r="AL63" s="227" t="n"/>
    </row>
    <row r="64">
      <c r="B64" s="2" t="n"/>
      <c r="C64" s="105" t="n"/>
      <c r="D64" s="105" t="n"/>
      <c r="E64" s="105" t="n"/>
      <c r="F64" s="105" t="n"/>
      <c r="G64" s="105" t="n"/>
      <c r="H64" s="105" t="n"/>
      <c r="I64" s="106" t="n"/>
      <c r="J64" s="105" t="n"/>
      <c r="K64" s="95" t="n"/>
      <c r="L64" s="107" t="n"/>
      <c r="M64" s="107" t="n"/>
      <c r="N64" s="107" t="n"/>
      <c r="O64" s="107" t="n"/>
      <c r="P64" s="107" t="n"/>
      <c r="Q64" s="107" t="n"/>
      <c r="R64" s="107" t="n"/>
      <c r="S64" s="107" t="n"/>
      <c r="T64" s="107" t="n"/>
      <c r="U64" s="107" t="n"/>
      <c r="V64" s="107" t="n"/>
      <c r="W64" s="107" t="n"/>
      <c r="X64" s="107" t="n"/>
      <c r="Y64" s="107" t="n"/>
      <c r="Z64" s="107" t="n"/>
      <c r="AA64" s="226" t="n"/>
      <c r="AB64" s="226" t="n"/>
      <c r="AC64" s="226" t="n"/>
      <c r="AD64" s="226" t="n"/>
      <c r="AE64" s="226" t="n"/>
      <c r="AF64" s="226" t="n"/>
      <c r="AG64" s="226" t="n"/>
      <c r="AH64" s="226" t="n"/>
      <c r="AI64" s="226" t="n"/>
      <c r="AJ64" s="226" t="n"/>
      <c r="AK64" s="226" t="n"/>
      <c r="AL64" s="227" t="n"/>
    </row>
    <row r="65">
      <c r="B65" s="2" t="n"/>
      <c r="C65" s="105" t="n"/>
      <c r="D65" s="105" t="n"/>
      <c r="E65" s="105" t="n"/>
      <c r="F65" s="105" t="n"/>
      <c r="G65" s="105" t="n"/>
      <c r="H65" s="105" t="n"/>
      <c r="I65" s="106" t="n"/>
      <c r="J65" s="105" t="n"/>
      <c r="K65" s="95" t="n"/>
      <c r="L65" s="107" t="n"/>
      <c r="M65" s="107" t="n"/>
      <c r="N65" s="107" t="n"/>
      <c r="O65" s="107" t="n"/>
      <c r="P65" s="107" t="n"/>
      <c r="Q65" s="107" t="n"/>
      <c r="R65" s="107" t="n"/>
      <c r="S65" s="107" t="n"/>
      <c r="T65" s="107" t="n"/>
      <c r="U65" s="107" t="n"/>
      <c r="V65" s="107" t="n"/>
      <c r="W65" s="107" t="n"/>
      <c r="X65" s="107" t="n"/>
      <c r="Y65" s="107" t="n"/>
      <c r="Z65" s="107" t="n"/>
      <c r="AA65" s="226" t="n"/>
      <c r="AB65" s="226" t="n"/>
      <c r="AC65" s="226" t="n"/>
      <c r="AD65" s="226" t="n"/>
      <c r="AE65" s="226" t="n"/>
      <c r="AF65" s="226" t="n"/>
      <c r="AG65" s="226" t="n"/>
      <c r="AH65" s="226" t="n"/>
      <c r="AI65" s="226" t="n"/>
      <c r="AJ65" s="226" t="n"/>
      <c r="AK65" s="226" t="n"/>
      <c r="AL65" s="227" t="n"/>
    </row>
    <row r="66">
      <c r="B66" s="2" t="n"/>
      <c r="C66" s="105" t="n"/>
      <c r="D66" s="105" t="n"/>
      <c r="E66" s="105" t="n"/>
      <c r="F66" s="105" t="n"/>
      <c r="G66" s="105" t="n"/>
      <c r="H66" s="105" t="n"/>
      <c r="I66" s="106" t="n"/>
      <c r="J66" s="105" t="n"/>
      <c r="K66" s="95" t="n"/>
      <c r="L66" s="107" t="n"/>
      <c r="M66" s="107" t="n"/>
      <c r="N66" s="107" t="n"/>
      <c r="O66" s="107" t="n"/>
      <c r="P66" s="107" t="n"/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226" t="n"/>
      <c r="AB66" s="226" t="n"/>
      <c r="AC66" s="226" t="n"/>
      <c r="AD66" s="226" t="n"/>
      <c r="AE66" s="226" t="n"/>
      <c r="AF66" s="226" t="n"/>
      <c r="AG66" s="226" t="n"/>
      <c r="AH66" s="226" t="n"/>
      <c r="AI66" s="226" t="n"/>
      <c r="AJ66" s="226" t="n"/>
      <c r="AK66" s="226" t="n"/>
      <c r="AL66" s="227" t="n"/>
    </row>
    <row r="67">
      <c r="B67" s="2" t="n"/>
      <c r="C67" s="105" t="n"/>
      <c r="D67" s="105" t="n"/>
      <c r="E67" s="105" t="n"/>
      <c r="F67" s="105" t="n"/>
      <c r="G67" s="105" t="n"/>
      <c r="H67" s="105" t="n"/>
      <c r="I67" s="106" t="n"/>
      <c r="J67" s="105" t="n"/>
      <c r="K67" s="95" t="n"/>
      <c r="L67" s="107" t="n"/>
      <c r="M67" s="107" t="n"/>
      <c r="N67" s="107" t="n"/>
      <c r="O67" s="107" t="n"/>
      <c r="P67" s="107" t="n"/>
      <c r="Q67" s="107" t="n"/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226" t="n"/>
      <c r="AB67" s="226" t="n"/>
      <c r="AC67" s="226" t="n"/>
      <c r="AD67" s="226" t="n"/>
      <c r="AE67" s="226" t="n"/>
      <c r="AF67" s="226" t="n"/>
      <c r="AG67" s="226" t="n"/>
      <c r="AH67" s="226" t="n"/>
      <c r="AI67" s="226" t="n"/>
      <c r="AJ67" s="226" t="n"/>
      <c r="AK67" s="226" t="n"/>
      <c r="AL67" s="227" t="n"/>
    </row>
    <row r="68">
      <c r="B68" s="2" t="n"/>
      <c r="C68" s="105" t="n"/>
      <c r="D68" s="105" t="n"/>
      <c r="E68" s="105" t="n"/>
      <c r="F68" s="105" t="n"/>
      <c r="G68" s="105" t="n"/>
      <c r="H68" s="105" t="n"/>
      <c r="I68" s="106" t="n"/>
      <c r="J68" s="105" t="n"/>
      <c r="K68" s="95" t="n"/>
      <c r="L68" s="107" t="n"/>
      <c r="M68" s="107" t="n"/>
      <c r="N68" s="107" t="n"/>
      <c r="O68" s="107" t="n"/>
      <c r="P68" s="107" t="n"/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226" t="n"/>
      <c r="AB68" s="226" t="n"/>
      <c r="AC68" s="226" t="n"/>
      <c r="AD68" s="226" t="n"/>
      <c r="AE68" s="226" t="n"/>
      <c r="AF68" s="226" t="n"/>
      <c r="AG68" s="226" t="n"/>
      <c r="AH68" s="226" t="n"/>
      <c r="AI68" s="226" t="n"/>
      <c r="AJ68" s="226" t="n"/>
      <c r="AK68" s="226" t="n"/>
      <c r="AL68" s="227" t="n"/>
    </row>
    <row r="69">
      <c r="B69" s="2" t="n"/>
      <c r="C69" s="105" t="n"/>
      <c r="D69" s="105" t="n"/>
      <c r="E69" s="105" t="n"/>
      <c r="F69" s="105" t="n"/>
      <c r="G69" s="105" t="n"/>
      <c r="H69" s="105" t="n"/>
      <c r="I69" s="106" t="n"/>
      <c r="J69" s="105" t="n"/>
      <c r="K69" s="95" t="n"/>
      <c r="L69" s="107" t="n"/>
      <c r="M69" s="107" t="n"/>
      <c r="N69" s="107" t="n"/>
      <c r="O69" s="107" t="n"/>
      <c r="P69" s="107" t="n"/>
      <c r="Q69" s="107" t="n"/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226" t="n"/>
      <c r="AB69" s="226" t="n"/>
      <c r="AC69" s="226" t="n"/>
      <c r="AD69" s="226" t="n"/>
      <c r="AE69" s="226" t="n"/>
      <c r="AF69" s="226" t="n"/>
      <c r="AG69" s="226" t="n"/>
      <c r="AH69" s="226" t="n"/>
      <c r="AI69" s="226" t="n"/>
      <c r="AJ69" s="226" t="n"/>
      <c r="AK69" s="226" t="n"/>
      <c r="AL69" s="227" t="n"/>
    </row>
    <row r="70">
      <c r="B70" s="2" t="n"/>
      <c r="C70" s="105" t="n"/>
      <c r="D70" s="105" t="n"/>
      <c r="E70" s="105" t="n"/>
      <c r="F70" s="105" t="n"/>
      <c r="G70" s="105" t="n"/>
      <c r="H70" s="105" t="n"/>
      <c r="I70" s="106" t="n"/>
      <c r="J70" s="105" t="n"/>
      <c r="K70" s="95" t="n"/>
      <c r="L70" s="107" t="n"/>
      <c r="M70" s="107" t="n"/>
      <c r="N70" s="107" t="n"/>
      <c r="O70" s="107" t="n"/>
      <c r="P70" s="107" t="n"/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226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226" t="n"/>
      <c r="AL70" s="227" t="n"/>
    </row>
    <row r="71">
      <c r="B71" s="2" t="n"/>
      <c r="C71" s="105" t="n"/>
      <c r="D71" s="105" t="n"/>
      <c r="E71" s="105" t="n"/>
      <c r="F71" s="105" t="n"/>
      <c r="G71" s="105" t="n"/>
      <c r="H71" s="105" t="n"/>
      <c r="I71" s="106" t="n"/>
      <c r="J71" s="105" t="n"/>
      <c r="K71" s="95" t="n"/>
      <c r="L71" s="107" t="n"/>
      <c r="M71" s="107" t="n"/>
      <c r="N71" s="107" t="n"/>
      <c r="O71" s="107" t="n"/>
      <c r="P71" s="107" t="n"/>
      <c r="Q71" s="107" t="n"/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226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226" t="n"/>
      <c r="AL71" s="227" t="n"/>
    </row>
    <row r="72">
      <c r="B72" s="2" t="n"/>
      <c r="C72" s="105" t="n"/>
      <c r="D72" s="105" t="n"/>
      <c r="E72" s="105" t="n"/>
      <c r="F72" s="105" t="n"/>
      <c r="G72" s="105" t="n"/>
      <c r="H72" s="105" t="n"/>
      <c r="I72" s="106" t="n"/>
      <c r="J72" s="105" t="n"/>
      <c r="K72" s="95" t="n"/>
      <c r="L72" s="107" t="n"/>
      <c r="M72" s="107" t="n"/>
      <c r="N72" s="107" t="n"/>
      <c r="O72" s="107" t="n"/>
      <c r="P72" s="107" t="n"/>
      <c r="Q72" s="107" t="n"/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226" t="n"/>
      <c r="AB72" s="226" t="n"/>
      <c r="AC72" s="226" t="n"/>
      <c r="AD72" s="226" t="n"/>
      <c r="AE72" s="226" t="n"/>
      <c r="AF72" s="226" t="n"/>
      <c r="AG72" s="226" t="n"/>
      <c r="AH72" s="226" t="n"/>
      <c r="AI72" s="226" t="n"/>
      <c r="AJ72" s="226" t="n"/>
      <c r="AK72" s="226" t="n"/>
      <c r="AL72" s="227" t="n"/>
    </row>
    <row r="73">
      <c r="B73" s="2" t="n"/>
      <c r="C73" s="105" t="n"/>
      <c r="D73" s="105" t="n"/>
      <c r="E73" s="105" t="n"/>
      <c r="F73" s="105" t="n"/>
      <c r="G73" s="105" t="n"/>
      <c r="H73" s="105" t="n"/>
      <c r="I73" s="106" t="n"/>
      <c r="J73" s="105" t="n"/>
      <c r="K73" s="95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226" t="n"/>
      <c r="AB73" s="226" t="n"/>
      <c r="AC73" s="226" t="n"/>
      <c r="AD73" s="226" t="n"/>
      <c r="AE73" s="226" t="n"/>
      <c r="AF73" s="226" t="n"/>
      <c r="AG73" s="226" t="n"/>
      <c r="AH73" s="226" t="n"/>
      <c r="AI73" s="226" t="n"/>
      <c r="AJ73" s="226" t="n"/>
      <c r="AK73" s="226" t="n"/>
      <c r="AL73" s="227" t="n"/>
    </row>
    <row r="74">
      <c r="B74" s="2" t="n"/>
      <c r="C74" s="105" t="n"/>
      <c r="D74" s="105" t="n"/>
      <c r="E74" s="105" t="n"/>
      <c r="F74" s="105" t="n"/>
      <c r="G74" s="105" t="n"/>
      <c r="H74" s="105" t="n"/>
      <c r="I74" s="106" t="n"/>
      <c r="J74" s="105" t="n"/>
      <c r="K74" s="95" t="n"/>
      <c r="L74" s="107" t="n"/>
      <c r="M74" s="107" t="n"/>
      <c r="N74" s="107" t="n"/>
      <c r="O74" s="107" t="n"/>
      <c r="P74" s="107" t="n"/>
      <c r="Q74" s="107" t="n"/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226" t="n"/>
      <c r="AB74" s="226" t="n"/>
      <c r="AC74" s="226" t="n"/>
      <c r="AD74" s="226" t="n"/>
      <c r="AE74" s="226" t="n"/>
      <c r="AF74" s="226" t="n"/>
      <c r="AG74" s="226" t="n"/>
      <c r="AH74" s="226" t="n"/>
      <c r="AI74" s="226" t="n"/>
      <c r="AJ74" s="226" t="n"/>
      <c r="AK74" s="226" t="n"/>
      <c r="AL74" s="227" t="n"/>
    </row>
    <row r="75">
      <c r="B75" s="2" t="n"/>
      <c r="C75" s="105" t="n"/>
      <c r="D75" s="105" t="n"/>
      <c r="E75" s="105" t="n"/>
      <c r="F75" s="105" t="n"/>
      <c r="G75" s="105" t="n"/>
      <c r="H75" s="105" t="n"/>
      <c r="I75" s="106" t="n"/>
      <c r="J75" s="105" t="n"/>
      <c r="K75" s="95" t="n"/>
      <c r="L75" s="107" t="n"/>
      <c r="M75" s="107" t="n"/>
      <c r="N75" s="107" t="n"/>
      <c r="O75" s="107" t="n"/>
      <c r="P75" s="107" t="n"/>
      <c r="Q75" s="107" t="n"/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226" t="n"/>
      <c r="AB75" s="226" t="n"/>
      <c r="AC75" s="226" t="n"/>
      <c r="AD75" s="226" t="n"/>
      <c r="AE75" s="226" t="n"/>
      <c r="AF75" s="226" t="n"/>
      <c r="AG75" s="226" t="n"/>
      <c r="AH75" s="226" t="n"/>
      <c r="AI75" s="226" t="n"/>
      <c r="AJ75" s="226" t="n"/>
      <c r="AK75" s="226" t="n"/>
      <c r="AL75" s="227" t="n"/>
    </row>
    <row r="76">
      <c r="B76" s="2" t="n"/>
      <c r="C76" s="105" t="n"/>
      <c r="D76" s="105" t="n"/>
      <c r="E76" s="105" t="n"/>
      <c r="F76" s="105" t="n"/>
      <c r="G76" s="105" t="n"/>
      <c r="H76" s="105" t="n"/>
      <c r="I76" s="106" t="n"/>
      <c r="J76" s="105" t="n"/>
      <c r="K76" s="95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226" t="n"/>
      <c r="AB76" s="226" t="n"/>
      <c r="AC76" s="226" t="n"/>
      <c r="AD76" s="226" t="n"/>
      <c r="AE76" s="226" t="n"/>
      <c r="AF76" s="226" t="n"/>
      <c r="AG76" s="226" t="n"/>
      <c r="AH76" s="226" t="n"/>
      <c r="AI76" s="226" t="n"/>
      <c r="AJ76" s="226" t="n"/>
      <c r="AK76" s="226" t="n"/>
      <c r="AL76" s="227" t="n"/>
    </row>
    <row r="77">
      <c r="B77" s="2" t="n"/>
      <c r="C77" s="105" t="n"/>
      <c r="D77" s="105" t="n"/>
      <c r="E77" s="105" t="n"/>
      <c r="F77" s="105" t="n"/>
      <c r="G77" s="105" t="n"/>
      <c r="H77" s="105" t="n"/>
      <c r="I77" s="106" t="n"/>
      <c r="J77" s="105" t="n"/>
      <c r="K77" s="95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226" t="n"/>
      <c r="AB77" s="226" t="n"/>
      <c r="AC77" s="226" t="n"/>
      <c r="AD77" s="226" t="n"/>
      <c r="AE77" s="226" t="n"/>
      <c r="AF77" s="226" t="n"/>
      <c r="AG77" s="226" t="n"/>
      <c r="AH77" s="226" t="n"/>
      <c r="AI77" s="226" t="n"/>
      <c r="AJ77" s="226" t="n"/>
      <c r="AK77" s="226" t="n"/>
      <c r="AL77" s="227" t="n"/>
    </row>
    <row r="78">
      <c r="B78" s="2" t="n"/>
      <c r="C78" s="105" t="n"/>
      <c r="D78" s="105" t="n"/>
      <c r="E78" s="105" t="n"/>
      <c r="F78" s="105" t="n"/>
      <c r="G78" s="105" t="n"/>
      <c r="H78" s="105" t="n"/>
      <c r="I78" s="106" t="n"/>
      <c r="J78" s="105" t="n"/>
      <c r="K78" s="95" t="n"/>
      <c r="L78" s="107" t="n"/>
      <c r="M78" s="107" t="n"/>
      <c r="N78" s="107" t="n"/>
      <c r="O78" s="107" t="n"/>
      <c r="P78" s="107" t="n"/>
      <c r="Q78" s="107" t="n"/>
      <c r="R78" s="107" t="n"/>
      <c r="S78" s="107" t="n"/>
      <c r="T78" s="107" t="n"/>
      <c r="U78" s="107" t="n"/>
      <c r="V78" s="107" t="n"/>
      <c r="W78" s="107" t="n"/>
      <c r="X78" s="107" t="n"/>
      <c r="Y78" s="107" t="n"/>
      <c r="Z78" s="107" t="n"/>
      <c r="AA78" s="226" t="n"/>
      <c r="AB78" s="226" t="n"/>
      <c r="AC78" s="226" t="n"/>
      <c r="AD78" s="226" t="n"/>
      <c r="AE78" s="226" t="n"/>
      <c r="AF78" s="226" t="n"/>
      <c r="AG78" s="226" t="n"/>
      <c r="AH78" s="226" t="n"/>
      <c r="AI78" s="226" t="n"/>
      <c r="AJ78" s="226" t="n"/>
      <c r="AK78" s="226" t="n"/>
      <c r="AL78" s="227" t="n"/>
    </row>
    <row r="79">
      <c r="B79" s="2" t="n"/>
      <c r="C79" s="105" t="n"/>
      <c r="D79" s="105" t="n"/>
      <c r="E79" s="105" t="n"/>
      <c r="F79" s="105" t="n"/>
      <c r="G79" s="105" t="n"/>
      <c r="H79" s="105" t="n"/>
      <c r="I79" s="106" t="n"/>
      <c r="J79" s="105" t="n"/>
      <c r="K79" s="95" t="n"/>
      <c r="L79" s="107" t="n"/>
      <c r="M79" s="107" t="n"/>
      <c r="N79" s="107" t="n"/>
      <c r="O79" s="107" t="n"/>
      <c r="P79" s="107" t="n"/>
      <c r="Q79" s="107" t="n"/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226" t="n"/>
      <c r="AB79" s="226" t="n"/>
      <c r="AC79" s="226" t="n"/>
      <c r="AD79" s="226" t="n"/>
      <c r="AE79" s="226" t="n"/>
      <c r="AF79" s="226" t="n"/>
      <c r="AG79" s="226" t="n"/>
      <c r="AH79" s="226" t="n"/>
      <c r="AI79" s="226" t="n"/>
      <c r="AJ79" s="226" t="n"/>
      <c r="AK79" s="226" t="n"/>
      <c r="AL79" s="227" t="n"/>
    </row>
    <row r="80">
      <c r="B80" s="2" t="n"/>
      <c r="C80" s="105" t="n"/>
      <c r="D80" s="105" t="n"/>
      <c r="E80" s="105" t="n"/>
      <c r="F80" s="105" t="n"/>
      <c r="G80" s="105" t="n"/>
      <c r="H80" s="105" t="n"/>
      <c r="I80" s="106" t="n"/>
      <c r="J80" s="105" t="n"/>
      <c r="K80" s="95" t="n"/>
      <c r="L80" s="107" t="n"/>
      <c r="M80" s="107" t="n"/>
      <c r="N80" s="107" t="n"/>
      <c r="O80" s="107" t="n"/>
      <c r="P80" s="107" t="n"/>
      <c r="Q80" s="107" t="n"/>
      <c r="R80" s="107" t="n"/>
      <c r="S80" s="107" t="n"/>
      <c r="T80" s="107" t="n"/>
      <c r="U80" s="107" t="n"/>
      <c r="V80" s="107" t="n"/>
      <c r="W80" s="107" t="n"/>
      <c r="X80" s="107" t="n"/>
      <c r="Y80" s="107" t="n"/>
      <c r="Z80" s="107" t="n"/>
      <c r="AA80" s="226" t="n"/>
      <c r="AB80" s="226" t="n"/>
      <c r="AC80" s="226" t="n"/>
      <c r="AD80" s="226" t="n"/>
      <c r="AE80" s="226" t="n"/>
      <c r="AF80" s="226" t="n"/>
      <c r="AG80" s="226" t="n"/>
      <c r="AH80" s="226" t="n"/>
      <c r="AI80" s="226" t="n"/>
      <c r="AJ80" s="226" t="n"/>
      <c r="AK80" s="226" t="n"/>
      <c r="AL80" s="227" t="n"/>
    </row>
    <row r="81">
      <c r="B81" s="2" t="n"/>
      <c r="C81" s="105" t="n"/>
      <c r="D81" s="105" t="n"/>
      <c r="E81" s="105" t="n"/>
      <c r="F81" s="105" t="n"/>
      <c r="G81" s="105" t="n"/>
      <c r="H81" s="105" t="n"/>
      <c r="I81" s="106" t="n"/>
      <c r="J81" s="105" t="n"/>
      <c r="K81" s="95" t="n"/>
      <c r="L81" s="107" t="n"/>
      <c r="M81" s="107" t="n"/>
      <c r="N81" s="107" t="n"/>
      <c r="O81" s="107" t="n"/>
      <c r="P81" s="107" t="n"/>
      <c r="Q81" s="107" t="n"/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226" t="n"/>
      <c r="AB81" s="226" t="n"/>
      <c r="AC81" s="226" t="n"/>
      <c r="AD81" s="226" t="n"/>
      <c r="AE81" s="226" t="n"/>
      <c r="AF81" s="226" t="n"/>
      <c r="AG81" s="226" t="n"/>
      <c r="AH81" s="226" t="n"/>
      <c r="AI81" s="226" t="n"/>
      <c r="AJ81" s="226" t="n"/>
      <c r="AK81" s="226" t="n"/>
      <c r="AL81" s="227" t="n"/>
    </row>
    <row r="82">
      <c r="B82" s="2" t="n"/>
      <c r="C82" s="105" t="n"/>
      <c r="D82" s="105" t="n"/>
      <c r="E82" s="105" t="n"/>
      <c r="F82" s="105" t="n"/>
      <c r="G82" s="105" t="n"/>
      <c r="H82" s="105" t="n"/>
      <c r="I82" s="106" t="n"/>
      <c r="J82" s="105" t="n"/>
      <c r="K82" s="95" t="n"/>
      <c r="L82" s="107" t="n"/>
      <c r="M82" s="107" t="n"/>
      <c r="N82" s="107" t="n"/>
      <c r="O82" s="107" t="n"/>
      <c r="P82" s="107" t="n"/>
      <c r="Q82" s="107" t="n"/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226" t="n"/>
      <c r="AB82" s="226" t="n"/>
      <c r="AC82" s="226" t="n"/>
      <c r="AD82" s="226" t="n"/>
      <c r="AE82" s="226" t="n"/>
      <c r="AF82" s="226" t="n"/>
      <c r="AG82" s="226" t="n"/>
      <c r="AH82" s="226" t="n"/>
      <c r="AI82" s="226" t="n"/>
      <c r="AJ82" s="226" t="n"/>
      <c r="AK82" s="226" t="n"/>
      <c r="AL82" s="227" t="n"/>
    </row>
    <row r="83">
      <c r="B83" s="2" t="n"/>
      <c r="C83" s="105" t="n"/>
      <c r="D83" s="105" t="n"/>
      <c r="E83" s="105" t="n"/>
      <c r="F83" s="105" t="n"/>
      <c r="G83" s="105" t="n"/>
      <c r="H83" s="105" t="n"/>
      <c r="I83" s="106" t="n"/>
      <c r="J83" s="105" t="n"/>
      <c r="K83" s="95" t="n"/>
      <c r="L83" s="107" t="n"/>
      <c r="M83" s="107" t="n"/>
      <c r="N83" s="107" t="n"/>
      <c r="O83" s="107" t="n"/>
      <c r="P83" s="107" t="n"/>
      <c r="Q83" s="107" t="n"/>
      <c r="R83" s="107" t="n"/>
      <c r="S83" s="107" t="n"/>
      <c r="T83" s="107" t="n"/>
      <c r="U83" s="107" t="n"/>
      <c r="V83" s="107" t="n"/>
      <c r="W83" s="107" t="n"/>
      <c r="X83" s="107" t="n"/>
      <c r="Y83" s="107" t="n"/>
      <c r="Z83" s="107" t="n"/>
      <c r="AA83" s="226" t="n"/>
      <c r="AB83" s="226" t="n"/>
      <c r="AC83" s="226" t="n"/>
      <c r="AD83" s="226" t="n"/>
      <c r="AE83" s="226" t="n"/>
      <c r="AF83" s="226" t="n"/>
      <c r="AG83" s="226" t="n"/>
      <c r="AH83" s="226" t="n"/>
      <c r="AI83" s="226" t="n"/>
      <c r="AJ83" s="226" t="n"/>
      <c r="AK83" s="226" t="n"/>
      <c r="AL83" s="227" t="n"/>
    </row>
    <row r="84">
      <c r="B84" s="2" t="n"/>
      <c r="C84" s="105" t="n"/>
      <c r="D84" s="105" t="n"/>
      <c r="E84" s="105" t="n"/>
      <c r="F84" s="105" t="n"/>
      <c r="G84" s="105" t="n"/>
      <c r="H84" s="105" t="n"/>
      <c r="I84" s="106" t="n"/>
      <c r="J84" s="105" t="n"/>
      <c r="K84" s="95" t="n"/>
      <c r="L84" s="107" t="n"/>
      <c r="M84" s="107" t="n"/>
      <c r="N84" s="107" t="n"/>
      <c r="O84" s="107" t="n"/>
      <c r="P84" s="107" t="n"/>
      <c r="Q84" s="107" t="n"/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226" t="n"/>
      <c r="AB84" s="226" t="n"/>
      <c r="AC84" s="226" t="n"/>
      <c r="AD84" s="226" t="n"/>
      <c r="AE84" s="226" t="n"/>
      <c r="AF84" s="226" t="n"/>
      <c r="AG84" s="226" t="n"/>
      <c r="AH84" s="226" t="n"/>
      <c r="AI84" s="226" t="n"/>
      <c r="AJ84" s="226" t="n"/>
      <c r="AK84" s="226" t="n"/>
      <c r="AL84" s="227" t="n"/>
    </row>
    <row r="85">
      <c r="B85" s="2" t="n"/>
      <c r="C85" s="105" t="n"/>
      <c r="D85" s="105" t="n"/>
      <c r="E85" s="105" t="n"/>
      <c r="F85" s="105" t="n"/>
      <c r="G85" s="105" t="n"/>
      <c r="H85" s="105" t="n"/>
      <c r="I85" s="106" t="n"/>
      <c r="J85" s="105" t="n"/>
      <c r="K85" s="95" t="n"/>
      <c r="L85" s="107" t="n"/>
      <c r="M85" s="107" t="n"/>
      <c r="N85" s="107" t="n"/>
      <c r="O85" s="107" t="n"/>
      <c r="P85" s="107" t="n"/>
      <c r="Q85" s="107" t="n"/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226" t="n"/>
      <c r="AB85" s="226" t="n"/>
      <c r="AC85" s="226" t="n"/>
      <c r="AD85" s="226" t="n"/>
      <c r="AE85" s="226" t="n"/>
      <c r="AF85" s="226" t="n"/>
      <c r="AG85" s="226" t="n"/>
      <c r="AH85" s="226" t="n"/>
      <c r="AI85" s="226" t="n"/>
      <c r="AJ85" s="226" t="n"/>
      <c r="AK85" s="226" t="n"/>
      <c r="AL85" s="227" t="n"/>
    </row>
    <row r="86">
      <c r="B86" s="2" t="n"/>
      <c r="C86" s="105" t="n"/>
      <c r="D86" s="105" t="n"/>
      <c r="E86" s="105" t="n"/>
      <c r="F86" s="105" t="n"/>
      <c r="G86" s="105" t="n"/>
      <c r="H86" s="105" t="n"/>
      <c r="I86" s="106" t="n"/>
      <c r="J86" s="105" t="n"/>
      <c r="K86" s="95" t="n"/>
      <c r="L86" s="107" t="n"/>
      <c r="M86" s="107" t="n"/>
      <c r="N86" s="107" t="n"/>
      <c r="O86" s="107" t="n"/>
      <c r="P86" s="107" t="n"/>
      <c r="Q86" s="107" t="n"/>
      <c r="R86" s="107" t="n"/>
      <c r="S86" s="107" t="n"/>
      <c r="T86" s="107" t="n"/>
      <c r="U86" s="107" t="n"/>
      <c r="V86" s="107" t="n"/>
      <c r="W86" s="107" t="n"/>
      <c r="X86" s="107" t="n"/>
      <c r="Y86" s="107" t="n"/>
      <c r="Z86" s="107" t="n"/>
      <c r="AA86" s="226" t="n"/>
      <c r="AB86" s="226" t="n"/>
      <c r="AC86" s="226" t="n"/>
      <c r="AD86" s="226" t="n"/>
      <c r="AE86" s="226" t="n"/>
      <c r="AF86" s="226" t="n"/>
      <c r="AG86" s="226" t="n"/>
      <c r="AH86" s="226" t="n"/>
      <c r="AI86" s="226" t="n"/>
      <c r="AJ86" s="226" t="n"/>
      <c r="AK86" s="226" t="n"/>
      <c r="AL86" s="227" t="n"/>
    </row>
    <row r="87">
      <c r="B87" s="2" t="n"/>
      <c r="C87" s="105" t="n"/>
      <c r="D87" s="105" t="n"/>
      <c r="E87" s="105" t="n"/>
      <c r="F87" s="105" t="n"/>
      <c r="G87" s="105" t="n"/>
      <c r="H87" s="105" t="n"/>
      <c r="I87" s="106" t="n"/>
      <c r="J87" s="105" t="n"/>
      <c r="K87" s="95" t="n"/>
      <c r="L87" s="107" t="n"/>
      <c r="M87" s="107" t="n"/>
      <c r="N87" s="107" t="n"/>
      <c r="O87" s="107" t="n"/>
      <c r="P87" s="107" t="n"/>
      <c r="Q87" s="107" t="n"/>
      <c r="R87" s="107" t="n"/>
      <c r="S87" s="107" t="n"/>
      <c r="T87" s="107" t="n"/>
      <c r="U87" s="107" t="n"/>
      <c r="V87" s="107" t="n"/>
      <c r="W87" s="107" t="n"/>
      <c r="X87" s="107" t="n"/>
      <c r="Y87" s="107" t="n"/>
      <c r="Z87" s="107" t="n"/>
      <c r="AA87" s="226" t="n"/>
      <c r="AB87" s="226" t="n"/>
      <c r="AC87" s="226" t="n"/>
      <c r="AD87" s="226" t="n"/>
      <c r="AE87" s="226" t="n"/>
      <c r="AF87" s="226" t="n"/>
      <c r="AG87" s="226" t="n"/>
      <c r="AH87" s="226" t="n"/>
      <c r="AI87" s="226" t="n"/>
      <c r="AJ87" s="226" t="n"/>
      <c r="AK87" s="226" t="n"/>
      <c r="AL87" s="227" t="n"/>
    </row>
    <row r="88">
      <c r="B88" s="2" t="n"/>
      <c r="C88" s="105" t="n"/>
      <c r="D88" s="105" t="n"/>
      <c r="E88" s="105" t="n"/>
      <c r="F88" s="105" t="n"/>
      <c r="G88" s="105" t="n"/>
      <c r="H88" s="105" t="n"/>
      <c r="I88" s="106" t="n"/>
      <c r="J88" s="105" t="n"/>
      <c r="K88" s="95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226" t="n"/>
      <c r="AB88" s="226" t="n"/>
      <c r="AC88" s="226" t="n"/>
      <c r="AD88" s="226" t="n"/>
      <c r="AE88" s="226" t="n"/>
      <c r="AF88" s="226" t="n"/>
      <c r="AG88" s="226" t="n"/>
      <c r="AH88" s="226" t="n"/>
      <c r="AI88" s="226" t="n"/>
      <c r="AJ88" s="226" t="n"/>
      <c r="AK88" s="226" t="n"/>
      <c r="AL88" s="227" t="n"/>
    </row>
    <row r="89">
      <c r="B89" s="2" t="n"/>
      <c r="C89" s="105" t="n"/>
      <c r="D89" s="105" t="n"/>
      <c r="E89" s="105" t="n"/>
      <c r="F89" s="105" t="n"/>
      <c r="G89" s="105" t="n"/>
      <c r="H89" s="105" t="n"/>
      <c r="I89" s="106" t="n"/>
      <c r="J89" s="105" t="n"/>
      <c r="K89" s="95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226" t="n"/>
      <c r="AB89" s="226" t="n"/>
      <c r="AC89" s="226" t="n"/>
      <c r="AD89" s="226" t="n"/>
      <c r="AE89" s="226" t="n"/>
      <c r="AF89" s="226" t="n"/>
      <c r="AG89" s="226" t="n"/>
      <c r="AH89" s="226" t="n"/>
      <c r="AI89" s="226" t="n"/>
      <c r="AJ89" s="226" t="n"/>
      <c r="AK89" s="226" t="n"/>
      <c r="AL89" s="227" t="n"/>
    </row>
    <row r="90">
      <c r="B90" s="2" t="n"/>
      <c r="C90" s="105" t="n"/>
      <c r="D90" s="105" t="n"/>
      <c r="E90" s="105" t="n"/>
      <c r="F90" s="105" t="n"/>
      <c r="G90" s="105" t="n"/>
      <c r="H90" s="105" t="n"/>
      <c r="I90" s="106" t="n"/>
      <c r="J90" s="105" t="n"/>
      <c r="K90" s="95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226" t="n"/>
      <c r="AB90" s="226" t="n"/>
      <c r="AC90" s="226" t="n"/>
      <c r="AD90" s="226" t="n"/>
      <c r="AE90" s="226" t="n"/>
      <c r="AF90" s="226" t="n"/>
      <c r="AG90" s="226" t="n"/>
      <c r="AH90" s="226" t="n"/>
      <c r="AI90" s="226" t="n"/>
      <c r="AJ90" s="226" t="n"/>
      <c r="AK90" s="226" t="n"/>
      <c r="AL90" s="227" t="n"/>
    </row>
    <row r="91">
      <c r="B91" s="2" t="n"/>
      <c r="C91" s="105" t="n"/>
      <c r="D91" s="105" t="n"/>
      <c r="E91" s="105" t="n"/>
      <c r="F91" s="105" t="n"/>
      <c r="G91" s="105" t="n"/>
      <c r="H91" s="105" t="n"/>
      <c r="I91" s="106" t="n"/>
      <c r="J91" s="105" t="n"/>
      <c r="K91" s="95" t="n"/>
      <c r="L91" s="107" t="n"/>
      <c r="M91" s="107" t="n"/>
      <c r="N91" s="107" t="n"/>
      <c r="O91" s="107" t="n"/>
      <c r="P91" s="107" t="n"/>
      <c r="Q91" s="107" t="n"/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226" t="n"/>
      <c r="AB91" s="226" t="n"/>
      <c r="AC91" s="226" t="n"/>
      <c r="AD91" s="226" t="n"/>
      <c r="AE91" s="226" t="n"/>
      <c r="AF91" s="226" t="n"/>
      <c r="AG91" s="226" t="n"/>
      <c r="AH91" s="226" t="n"/>
      <c r="AI91" s="226" t="n"/>
      <c r="AJ91" s="226" t="n"/>
      <c r="AK91" s="226" t="n"/>
      <c r="AL91" s="227" t="n"/>
    </row>
    <row r="92">
      <c r="B92" s="2" t="n"/>
      <c r="C92" s="105" t="n"/>
      <c r="D92" s="105" t="n"/>
      <c r="E92" s="105" t="n"/>
      <c r="F92" s="105" t="n"/>
      <c r="G92" s="105" t="n"/>
      <c r="H92" s="105" t="n"/>
      <c r="I92" s="106" t="n"/>
      <c r="J92" s="105" t="n"/>
      <c r="K92" s="95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226" t="n"/>
      <c r="AB92" s="226" t="n"/>
      <c r="AC92" s="226" t="n"/>
      <c r="AD92" s="226" t="n"/>
      <c r="AE92" s="226" t="n"/>
      <c r="AF92" s="226" t="n"/>
      <c r="AG92" s="226" t="n"/>
      <c r="AH92" s="226" t="n"/>
      <c r="AI92" s="226" t="n"/>
      <c r="AJ92" s="226" t="n"/>
      <c r="AK92" s="226" t="n"/>
      <c r="AL92" s="227" t="n"/>
    </row>
    <row r="93">
      <c r="B93" s="2" t="n"/>
      <c r="C93" s="105" t="n"/>
      <c r="D93" s="105" t="n"/>
      <c r="E93" s="105" t="n"/>
      <c r="F93" s="105" t="n"/>
      <c r="G93" s="105" t="n"/>
      <c r="H93" s="105" t="n"/>
      <c r="I93" s="106" t="n"/>
      <c r="J93" s="105" t="n"/>
      <c r="K93" s="95" t="n"/>
      <c r="L93" s="107" t="n"/>
      <c r="M93" s="107" t="n"/>
      <c r="N93" s="107" t="n"/>
      <c r="O93" s="107" t="n"/>
      <c r="P93" s="107" t="n"/>
      <c r="Q93" s="107" t="n"/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226" t="n"/>
      <c r="AB93" s="226" t="n"/>
      <c r="AC93" s="226" t="n"/>
      <c r="AD93" s="226" t="n"/>
      <c r="AE93" s="226" t="n"/>
      <c r="AF93" s="226" t="n"/>
      <c r="AG93" s="226" t="n"/>
      <c r="AH93" s="226" t="n"/>
      <c r="AI93" s="226" t="n"/>
      <c r="AJ93" s="226" t="n"/>
      <c r="AK93" s="226" t="n"/>
      <c r="AL93" s="227" t="n"/>
    </row>
    <row r="94">
      <c r="B94" s="94" t="n"/>
      <c r="C94" s="105" t="n"/>
      <c r="D94" s="105" t="n"/>
      <c r="E94" s="105" t="n"/>
      <c r="F94" s="105" t="n"/>
      <c r="G94" s="105" t="n"/>
      <c r="H94" s="105" t="n"/>
      <c r="I94" s="106" t="n"/>
      <c r="J94" s="105" t="n"/>
      <c r="K94" s="95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07" t="n"/>
      <c r="AA94" s="226" t="n"/>
      <c r="AB94" s="226" t="n"/>
      <c r="AC94" s="226" t="n"/>
      <c r="AD94" s="226" t="n"/>
      <c r="AE94" s="226" t="n"/>
      <c r="AF94" s="226" t="n"/>
      <c r="AG94" s="226" t="n"/>
      <c r="AH94" s="226" t="n"/>
      <c r="AI94" s="226" t="n"/>
      <c r="AJ94" s="226" t="n"/>
      <c r="AK94" s="226" t="n"/>
      <c r="AL94" s="227" t="n"/>
    </row>
    <row r="95">
      <c r="B95" s="94" t="n"/>
      <c r="C95" s="105" t="n"/>
      <c r="D95" s="105" t="n"/>
      <c r="E95" s="105" t="n"/>
      <c r="F95" s="105" t="n"/>
      <c r="G95" s="105" t="n"/>
      <c r="H95" s="105" t="n"/>
      <c r="I95" s="106" t="n"/>
      <c r="J95" s="105" t="n"/>
      <c r="K95" s="95" t="n"/>
      <c r="L95" s="107" t="n"/>
      <c r="M95" s="107" t="n"/>
      <c r="N95" s="107" t="n"/>
      <c r="O95" s="107" t="n"/>
      <c r="P95" s="107" t="n"/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226" t="n"/>
      <c r="AB95" s="226" t="n"/>
      <c r="AC95" s="226" t="n"/>
      <c r="AD95" s="226" t="n"/>
      <c r="AE95" s="226" t="n"/>
      <c r="AF95" s="226" t="n"/>
      <c r="AG95" s="226" t="n"/>
      <c r="AH95" s="226" t="n"/>
      <c r="AI95" s="226" t="n"/>
      <c r="AJ95" s="226" t="n"/>
      <c r="AK95" s="226" t="n"/>
      <c r="AL95" s="227" t="n"/>
    </row>
    <row r="96">
      <c r="B96" s="94" t="n"/>
      <c r="C96" s="105" t="n"/>
      <c r="D96" s="105" t="n"/>
      <c r="E96" s="105" t="n"/>
      <c r="F96" s="105" t="n"/>
      <c r="G96" s="105" t="n"/>
      <c r="H96" s="105" t="n"/>
      <c r="I96" s="106" t="n"/>
      <c r="J96" s="105" t="n"/>
      <c r="K96" s="95" t="n"/>
      <c r="L96" s="107" t="n"/>
      <c r="M96" s="107" t="n"/>
      <c r="N96" s="107" t="n"/>
      <c r="O96" s="107" t="n"/>
      <c r="P96" s="107" t="n"/>
      <c r="Q96" s="107" t="n"/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226" t="n"/>
      <c r="AB96" s="226" t="n"/>
      <c r="AC96" s="226" t="n"/>
      <c r="AD96" s="226" t="n"/>
      <c r="AE96" s="226" t="n"/>
      <c r="AF96" s="226" t="n"/>
      <c r="AG96" s="226" t="n"/>
      <c r="AH96" s="226" t="n"/>
      <c r="AI96" s="226" t="n"/>
      <c r="AJ96" s="226" t="n"/>
      <c r="AK96" s="226" t="n"/>
      <c r="AL96" s="227" t="n"/>
    </row>
    <row r="97">
      <c r="B97" s="94" t="n"/>
      <c r="C97" s="105" t="n"/>
      <c r="D97" s="105" t="n"/>
      <c r="E97" s="105" t="n"/>
      <c r="F97" s="105" t="n"/>
      <c r="G97" s="105" t="n"/>
      <c r="H97" s="105" t="n"/>
      <c r="I97" s="106" t="n"/>
      <c r="J97" s="105" t="n"/>
      <c r="K97" s="95" t="n"/>
      <c r="L97" s="107" t="n"/>
      <c r="M97" s="107" t="n"/>
      <c r="N97" s="107" t="n"/>
      <c r="O97" s="107" t="n"/>
      <c r="P97" s="107" t="n"/>
      <c r="Q97" s="107" t="n"/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226" t="n"/>
      <c r="AB97" s="226" t="n"/>
      <c r="AC97" s="226" t="n"/>
      <c r="AD97" s="226" t="n"/>
      <c r="AE97" s="226" t="n"/>
      <c r="AF97" s="226" t="n"/>
      <c r="AG97" s="226" t="n"/>
      <c r="AH97" s="226" t="n"/>
      <c r="AI97" s="226" t="n"/>
      <c r="AJ97" s="226" t="n"/>
      <c r="AK97" s="226" t="n"/>
      <c r="AL97" s="227" t="n"/>
    </row>
    <row r="98">
      <c r="B98" s="94" t="n"/>
      <c r="C98" s="105" t="n"/>
      <c r="D98" s="105" t="n"/>
      <c r="E98" s="105" t="n"/>
      <c r="F98" s="105" t="n"/>
      <c r="G98" s="105" t="n"/>
      <c r="H98" s="105" t="n"/>
      <c r="I98" s="106" t="n"/>
      <c r="J98" s="105" t="n"/>
      <c r="K98" s="95" t="n"/>
      <c r="L98" s="107" t="n"/>
      <c r="M98" s="107" t="n"/>
      <c r="N98" s="107" t="n"/>
      <c r="O98" s="107" t="n"/>
      <c r="P98" s="107" t="n"/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226" t="n"/>
      <c r="AB98" s="226" t="n"/>
      <c r="AC98" s="226" t="n"/>
      <c r="AD98" s="226" t="n"/>
      <c r="AE98" s="226" t="n"/>
      <c r="AF98" s="226" t="n"/>
      <c r="AG98" s="226" t="n"/>
      <c r="AH98" s="226" t="n"/>
      <c r="AI98" s="226" t="n"/>
      <c r="AJ98" s="226" t="n"/>
      <c r="AK98" s="226" t="n"/>
      <c r="AL98" s="227" t="n"/>
    </row>
    <row r="99">
      <c r="B99" s="94" t="n"/>
      <c r="C99" s="105" t="n"/>
      <c r="D99" s="105" t="n"/>
      <c r="E99" s="105" t="n"/>
      <c r="F99" s="105" t="n"/>
      <c r="G99" s="105" t="n"/>
      <c r="H99" s="105" t="n"/>
      <c r="I99" s="106" t="n"/>
      <c r="J99" s="105" t="n"/>
      <c r="K99" s="95" t="n"/>
      <c r="L99" s="107" t="n"/>
      <c r="M99" s="107" t="n"/>
      <c r="N99" s="107" t="n"/>
      <c r="O99" s="107" t="n"/>
      <c r="P99" s="107" t="n"/>
      <c r="Q99" s="107" t="n"/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226" t="n"/>
      <c r="AB99" s="226" t="n"/>
      <c r="AC99" s="226" t="n"/>
      <c r="AD99" s="226" t="n"/>
      <c r="AE99" s="226" t="n"/>
      <c r="AF99" s="226" t="n"/>
      <c r="AG99" s="226" t="n"/>
      <c r="AH99" s="226" t="n"/>
      <c r="AI99" s="226" t="n"/>
      <c r="AJ99" s="226" t="n"/>
      <c r="AK99" s="226" t="n"/>
      <c r="AL99" s="227" t="n"/>
    </row>
    <row r="100">
      <c r="B100" s="94" t="n"/>
      <c r="C100" s="105" t="n"/>
      <c r="D100" s="105" t="n"/>
      <c r="E100" s="105" t="n"/>
      <c r="F100" s="105" t="n"/>
      <c r="G100" s="105" t="n"/>
      <c r="H100" s="105" t="n"/>
      <c r="I100" s="106" t="n"/>
      <c r="J100" s="105" t="n"/>
      <c r="K100" s="95" t="n"/>
      <c r="L100" s="107" t="n"/>
      <c r="M100" s="107" t="n"/>
      <c r="N100" s="107" t="n"/>
      <c r="O100" s="107" t="n"/>
      <c r="P100" s="107" t="n"/>
      <c r="Q100" s="107" t="n"/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226" t="n"/>
      <c r="AB100" s="226" t="n"/>
      <c r="AC100" s="226" t="n"/>
      <c r="AD100" s="226" t="n"/>
      <c r="AE100" s="226" t="n"/>
      <c r="AF100" s="226" t="n"/>
      <c r="AG100" s="226" t="n"/>
      <c r="AH100" s="226" t="n"/>
      <c r="AI100" s="226" t="n"/>
      <c r="AJ100" s="226" t="n"/>
      <c r="AK100" s="226" t="n"/>
      <c r="AL100" s="227" t="n"/>
    </row>
    <row r="101">
      <c r="B101" s="94" t="n"/>
      <c r="C101" s="105" t="n"/>
      <c r="D101" s="105" t="n"/>
      <c r="E101" s="105" t="n"/>
      <c r="F101" s="105" t="n"/>
      <c r="G101" s="105" t="n"/>
      <c r="H101" s="105" t="n"/>
      <c r="I101" s="106" t="n"/>
      <c r="J101" s="105" t="n"/>
      <c r="K101" s="95" t="n"/>
      <c r="L101" s="107" t="n"/>
      <c r="M101" s="107" t="n"/>
      <c r="N101" s="107" t="n"/>
      <c r="O101" s="107" t="n"/>
      <c r="P101" s="107" t="n"/>
      <c r="Q101" s="107" t="n"/>
      <c r="R101" s="107" t="n"/>
      <c r="S101" s="107" t="n"/>
      <c r="T101" s="107" t="n"/>
      <c r="U101" s="107" t="n"/>
      <c r="V101" s="107" t="n"/>
      <c r="W101" s="107" t="n"/>
      <c r="X101" s="107" t="n"/>
      <c r="Y101" s="107" t="n"/>
      <c r="Z101" s="107" t="n"/>
      <c r="AA101" s="226" t="n"/>
      <c r="AB101" s="226" t="n"/>
      <c r="AC101" s="226" t="n"/>
      <c r="AD101" s="226" t="n"/>
      <c r="AE101" s="226" t="n"/>
      <c r="AF101" s="226" t="n"/>
      <c r="AG101" s="226" t="n"/>
      <c r="AH101" s="226" t="n"/>
      <c r="AI101" s="226" t="n"/>
      <c r="AJ101" s="226" t="n"/>
      <c r="AK101" s="226" t="n"/>
      <c r="AL101" s="227" t="n"/>
    </row>
    <row r="102">
      <c r="B102" s="94" t="n"/>
      <c r="C102" s="105" t="n"/>
      <c r="D102" s="105" t="n"/>
      <c r="E102" s="105" t="n"/>
      <c r="F102" s="105" t="n"/>
      <c r="G102" s="105" t="n"/>
      <c r="H102" s="105" t="n"/>
      <c r="I102" s="106" t="n"/>
      <c r="J102" s="105" t="n"/>
      <c r="K102" s="95" t="n"/>
      <c r="L102" s="107" t="n"/>
      <c r="M102" s="107" t="n"/>
      <c r="N102" s="107" t="n"/>
      <c r="O102" s="107" t="n"/>
      <c r="P102" s="107" t="n"/>
      <c r="Q102" s="107" t="n"/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226" t="n"/>
      <c r="AB102" s="226" t="n"/>
      <c r="AC102" s="226" t="n"/>
      <c r="AD102" s="226" t="n"/>
      <c r="AE102" s="226" t="n"/>
      <c r="AF102" s="226" t="n"/>
      <c r="AG102" s="226" t="n"/>
      <c r="AH102" s="226" t="n"/>
      <c r="AI102" s="226" t="n"/>
      <c r="AJ102" s="226" t="n"/>
      <c r="AK102" s="226" t="n"/>
      <c r="AL102" s="227" t="n"/>
    </row>
    <row r="103">
      <c r="B103" s="94" t="n"/>
      <c r="C103" s="105" t="n"/>
      <c r="D103" s="105" t="n"/>
      <c r="E103" s="105" t="n"/>
      <c r="F103" s="105" t="n"/>
      <c r="G103" s="105" t="n"/>
      <c r="H103" s="105" t="n"/>
      <c r="I103" s="106" t="n"/>
      <c r="J103" s="105" t="n"/>
      <c r="K103" s="95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226" t="n"/>
      <c r="AB103" s="226" t="n"/>
      <c r="AC103" s="226" t="n"/>
      <c r="AD103" s="226" t="n"/>
      <c r="AE103" s="226" t="n"/>
      <c r="AF103" s="226" t="n"/>
      <c r="AG103" s="226" t="n"/>
      <c r="AH103" s="226" t="n"/>
      <c r="AI103" s="226" t="n"/>
      <c r="AJ103" s="226" t="n"/>
      <c r="AK103" s="226" t="n"/>
      <c r="AL103" s="227" t="n"/>
    </row>
    <row r="104">
      <c r="B104" s="94" t="n"/>
      <c r="C104" s="105" t="n"/>
      <c r="D104" s="105" t="n"/>
      <c r="E104" s="105" t="n"/>
      <c r="F104" s="105" t="n"/>
      <c r="G104" s="105" t="n"/>
      <c r="H104" s="105" t="n"/>
      <c r="I104" s="106" t="n"/>
      <c r="J104" s="105" t="n"/>
      <c r="K104" s="95" t="n"/>
      <c r="L104" s="107" t="n"/>
      <c r="M104" s="107" t="n"/>
      <c r="N104" s="107" t="n"/>
      <c r="O104" s="107" t="n"/>
      <c r="P104" s="107" t="n"/>
      <c r="Q104" s="107" t="n"/>
      <c r="R104" s="107" t="n"/>
      <c r="S104" s="107" t="n"/>
      <c r="T104" s="107" t="n"/>
      <c r="U104" s="107" t="n"/>
      <c r="V104" s="107" t="n"/>
      <c r="W104" s="107" t="n"/>
      <c r="X104" s="107" t="n"/>
      <c r="Y104" s="107" t="n"/>
      <c r="Z104" s="107" t="n"/>
      <c r="AA104" s="226" t="n"/>
      <c r="AB104" s="226" t="n"/>
      <c r="AC104" s="226" t="n"/>
      <c r="AD104" s="226" t="n"/>
      <c r="AE104" s="226" t="n"/>
      <c r="AF104" s="226" t="n"/>
      <c r="AG104" s="226" t="n"/>
      <c r="AH104" s="226" t="n"/>
      <c r="AI104" s="226" t="n"/>
      <c r="AJ104" s="226" t="n"/>
      <c r="AK104" s="226" t="n"/>
      <c r="AL104" s="227" t="n"/>
    </row>
    <row r="105">
      <c r="B105" s="94" t="n"/>
      <c r="C105" s="105" t="n"/>
      <c r="D105" s="105" t="n"/>
      <c r="E105" s="105" t="n"/>
      <c r="F105" s="105" t="n"/>
      <c r="G105" s="105" t="n"/>
      <c r="H105" s="105" t="n"/>
      <c r="I105" s="106" t="n"/>
      <c r="J105" s="105" t="n"/>
      <c r="K105" s="95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226" t="n"/>
      <c r="AB105" s="226" t="n"/>
      <c r="AC105" s="226" t="n"/>
      <c r="AD105" s="226" t="n"/>
      <c r="AE105" s="226" t="n"/>
      <c r="AF105" s="226" t="n"/>
      <c r="AG105" s="226" t="n"/>
      <c r="AH105" s="226" t="n"/>
      <c r="AI105" s="226" t="n"/>
      <c r="AJ105" s="226" t="n"/>
      <c r="AK105" s="226" t="n"/>
      <c r="AL105" s="227" t="n"/>
    </row>
    <row r="106">
      <c r="B106" s="94" t="n"/>
      <c r="C106" s="105" t="n"/>
      <c r="D106" s="105" t="n"/>
      <c r="E106" s="105" t="n"/>
      <c r="F106" s="105" t="n"/>
      <c r="G106" s="105" t="n"/>
      <c r="H106" s="105" t="n"/>
      <c r="I106" s="106" t="n"/>
      <c r="J106" s="105" t="n"/>
      <c r="K106" s="95" t="n"/>
      <c r="L106" s="107" t="n"/>
      <c r="M106" s="107" t="n"/>
      <c r="N106" s="107" t="n"/>
      <c r="O106" s="107" t="n"/>
      <c r="P106" s="107" t="n"/>
      <c r="Q106" s="107" t="n"/>
      <c r="R106" s="107" t="n"/>
      <c r="S106" s="107" t="n"/>
      <c r="T106" s="107" t="n"/>
      <c r="U106" s="107" t="n"/>
      <c r="V106" s="107" t="n"/>
      <c r="W106" s="107" t="n"/>
      <c r="X106" s="107" t="n"/>
      <c r="Y106" s="107" t="n"/>
      <c r="Z106" s="107" t="n"/>
      <c r="AA106" s="226" t="n"/>
      <c r="AB106" s="226" t="n"/>
      <c r="AC106" s="226" t="n"/>
      <c r="AD106" s="226" t="n"/>
      <c r="AE106" s="226" t="n"/>
      <c r="AF106" s="226" t="n"/>
      <c r="AG106" s="226" t="n"/>
      <c r="AH106" s="226" t="n"/>
      <c r="AI106" s="226" t="n"/>
      <c r="AJ106" s="226" t="n"/>
      <c r="AK106" s="226" t="n"/>
      <c r="AL106" s="227" t="n"/>
    </row>
    <row r="107">
      <c r="B107" s="94" t="n"/>
      <c r="C107" s="105" t="n"/>
      <c r="D107" s="105" t="n"/>
      <c r="E107" s="105" t="n"/>
      <c r="F107" s="105" t="n"/>
      <c r="G107" s="105" t="n"/>
      <c r="H107" s="105" t="n"/>
      <c r="I107" s="106" t="n"/>
      <c r="J107" s="105" t="n"/>
      <c r="K107" s="95" t="n"/>
      <c r="L107" s="107" t="n"/>
      <c r="M107" s="107" t="n"/>
      <c r="N107" s="107" t="n"/>
      <c r="O107" s="107" t="n"/>
      <c r="P107" s="107" t="n"/>
      <c r="Q107" s="107" t="n"/>
      <c r="R107" s="107" t="n"/>
      <c r="S107" s="107" t="n"/>
      <c r="T107" s="107" t="n"/>
      <c r="U107" s="107" t="n"/>
      <c r="V107" s="107" t="n"/>
      <c r="W107" s="107" t="n"/>
      <c r="X107" s="107" t="n"/>
      <c r="Y107" s="107" t="n"/>
      <c r="Z107" s="107" t="n"/>
      <c r="AA107" s="226" t="n"/>
      <c r="AB107" s="226" t="n"/>
      <c r="AC107" s="226" t="n"/>
      <c r="AD107" s="226" t="n"/>
      <c r="AE107" s="226" t="n"/>
      <c r="AF107" s="226" t="n"/>
      <c r="AG107" s="226" t="n"/>
      <c r="AH107" s="226" t="n"/>
      <c r="AI107" s="226" t="n"/>
      <c r="AJ107" s="226" t="n"/>
      <c r="AK107" s="226" t="n"/>
      <c r="AL107" s="227" t="n"/>
    </row>
    <row r="108">
      <c r="B108" s="94" t="n"/>
      <c r="C108" s="105" t="n"/>
      <c r="D108" s="105" t="n"/>
      <c r="E108" s="105" t="n"/>
      <c r="F108" s="105" t="n"/>
      <c r="G108" s="105" t="n"/>
      <c r="H108" s="105" t="n"/>
      <c r="I108" s="106" t="n"/>
      <c r="J108" s="105" t="n"/>
      <c r="K108" s="95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226" t="n"/>
      <c r="AB108" s="226" t="n"/>
      <c r="AC108" s="226" t="n"/>
      <c r="AD108" s="226" t="n"/>
      <c r="AE108" s="226" t="n"/>
      <c r="AF108" s="226" t="n"/>
      <c r="AG108" s="226" t="n"/>
      <c r="AH108" s="226" t="n"/>
      <c r="AI108" s="226" t="n"/>
      <c r="AJ108" s="226" t="n"/>
      <c r="AK108" s="226" t="n"/>
      <c r="AL108" s="227" t="n"/>
    </row>
    <row r="109">
      <c r="B109" s="94" t="n"/>
      <c r="C109" s="105" t="n"/>
      <c r="D109" s="105" t="n"/>
      <c r="E109" s="105" t="n"/>
      <c r="F109" s="105" t="n"/>
      <c r="G109" s="105" t="n"/>
      <c r="H109" s="105" t="n"/>
      <c r="I109" s="106" t="n"/>
      <c r="J109" s="105" t="n"/>
      <c r="K109" s="95" t="n"/>
      <c r="L109" s="107" t="n"/>
      <c r="M109" s="107" t="n"/>
      <c r="N109" s="107" t="n"/>
      <c r="O109" s="107" t="n"/>
      <c r="P109" s="107" t="n"/>
      <c r="Q109" s="107" t="n"/>
      <c r="R109" s="107" t="n"/>
      <c r="S109" s="107" t="n"/>
      <c r="T109" s="107" t="n"/>
      <c r="U109" s="107" t="n"/>
      <c r="V109" s="107" t="n"/>
      <c r="W109" s="107" t="n"/>
      <c r="X109" s="107" t="n"/>
      <c r="Y109" s="107" t="n"/>
      <c r="Z109" s="107" t="n"/>
      <c r="AA109" s="226" t="n"/>
      <c r="AB109" s="226" t="n"/>
      <c r="AC109" s="226" t="n"/>
      <c r="AD109" s="226" t="n"/>
      <c r="AE109" s="226" t="n"/>
      <c r="AF109" s="226" t="n"/>
      <c r="AG109" s="226" t="n"/>
      <c r="AH109" s="226" t="n"/>
      <c r="AI109" s="226" t="n"/>
      <c r="AJ109" s="226" t="n"/>
      <c r="AK109" s="226" t="n"/>
      <c r="AL109" s="227" t="n"/>
    </row>
    <row r="110">
      <c r="B110" s="94" t="n"/>
      <c r="C110" s="105" t="n"/>
      <c r="D110" s="105" t="n"/>
      <c r="E110" s="105" t="n"/>
      <c r="F110" s="105" t="n"/>
      <c r="G110" s="105" t="n"/>
      <c r="H110" s="105" t="n"/>
      <c r="I110" s="106" t="n"/>
      <c r="J110" s="105" t="n"/>
      <c r="K110" s="95" t="n"/>
      <c r="L110" s="107" t="n"/>
      <c r="M110" s="107" t="n"/>
      <c r="N110" s="107" t="n"/>
      <c r="O110" s="107" t="n"/>
      <c r="P110" s="107" t="n"/>
      <c r="Q110" s="107" t="n"/>
      <c r="R110" s="107" t="n"/>
      <c r="S110" s="107" t="n"/>
      <c r="T110" s="107" t="n"/>
      <c r="U110" s="107" t="n"/>
      <c r="V110" s="107" t="n"/>
      <c r="W110" s="107" t="n"/>
      <c r="X110" s="107" t="n"/>
      <c r="Y110" s="107" t="n"/>
      <c r="Z110" s="107" t="n"/>
      <c r="AA110" s="226" t="n"/>
      <c r="AB110" s="226" t="n"/>
      <c r="AC110" s="226" t="n"/>
      <c r="AD110" s="226" t="n"/>
      <c r="AE110" s="226" t="n"/>
      <c r="AF110" s="226" t="n"/>
      <c r="AG110" s="226" t="n"/>
      <c r="AH110" s="226" t="n"/>
      <c r="AI110" s="226" t="n"/>
      <c r="AJ110" s="226" t="n"/>
      <c r="AK110" s="226" t="n"/>
      <c r="AL110" s="227" t="n"/>
    </row>
    <row r="111">
      <c r="B111" s="94" t="n"/>
      <c r="C111" s="105" t="n"/>
      <c r="D111" s="105" t="n"/>
      <c r="E111" s="105" t="n"/>
      <c r="F111" s="105" t="n"/>
      <c r="G111" s="105" t="n"/>
      <c r="H111" s="105" t="n"/>
      <c r="I111" s="106" t="n"/>
      <c r="J111" s="105" t="n"/>
      <c r="K111" s="95" t="n"/>
      <c r="L111" s="107" t="n"/>
      <c r="M111" s="107" t="n"/>
      <c r="N111" s="107" t="n"/>
      <c r="O111" s="107" t="n"/>
      <c r="P111" s="107" t="n"/>
      <c r="Q111" s="107" t="n"/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226" t="n"/>
      <c r="AB111" s="226" t="n"/>
      <c r="AC111" s="226" t="n"/>
      <c r="AD111" s="226" t="n"/>
      <c r="AE111" s="226" t="n"/>
      <c r="AF111" s="226" t="n"/>
      <c r="AG111" s="226" t="n"/>
      <c r="AH111" s="226" t="n"/>
      <c r="AI111" s="226" t="n"/>
      <c r="AJ111" s="226" t="n"/>
      <c r="AK111" s="226" t="n"/>
      <c r="AL111" s="227" t="n"/>
    </row>
    <row r="112">
      <c r="B112" s="94" t="n"/>
      <c r="C112" s="105" t="n"/>
      <c r="D112" s="105" t="n"/>
      <c r="E112" s="105" t="n"/>
      <c r="F112" s="105" t="n"/>
      <c r="G112" s="105" t="n"/>
      <c r="H112" s="105" t="n"/>
      <c r="I112" s="106" t="n"/>
      <c r="J112" s="105" t="n"/>
      <c r="K112" s="95" t="n"/>
      <c r="L112" s="107" t="n"/>
      <c r="M112" s="107" t="n"/>
      <c r="N112" s="107" t="n"/>
      <c r="O112" s="107" t="n"/>
      <c r="P112" s="107" t="n"/>
      <c r="Q112" s="107" t="n"/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226" t="n"/>
      <c r="AB112" s="226" t="n"/>
      <c r="AC112" s="226" t="n"/>
      <c r="AD112" s="226" t="n"/>
      <c r="AE112" s="226" t="n"/>
      <c r="AF112" s="226" t="n"/>
      <c r="AG112" s="226" t="n"/>
      <c r="AH112" s="226" t="n"/>
      <c r="AI112" s="226" t="n"/>
      <c r="AJ112" s="226" t="n"/>
      <c r="AK112" s="226" t="n"/>
      <c r="AL112" s="227" t="n"/>
    </row>
    <row r="113">
      <c r="B113" s="94" t="n"/>
      <c r="C113" s="105" t="n"/>
      <c r="D113" s="105" t="n"/>
      <c r="E113" s="105" t="n"/>
      <c r="F113" s="105" t="n"/>
      <c r="G113" s="105" t="n"/>
      <c r="H113" s="105" t="n"/>
      <c r="I113" s="106" t="n"/>
      <c r="J113" s="105" t="n"/>
      <c r="K113" s="95" t="n"/>
      <c r="L113" s="107" t="n"/>
      <c r="M113" s="107" t="n"/>
      <c r="N113" s="107" t="n"/>
      <c r="O113" s="107" t="n"/>
      <c r="P113" s="107" t="n"/>
      <c r="Q113" s="107" t="n"/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226" t="n"/>
      <c r="AB113" s="226" t="n"/>
      <c r="AC113" s="226" t="n"/>
      <c r="AD113" s="226" t="n"/>
      <c r="AE113" s="226" t="n"/>
      <c r="AF113" s="226" t="n"/>
      <c r="AG113" s="226" t="n"/>
      <c r="AH113" s="226" t="n"/>
      <c r="AI113" s="226" t="n"/>
      <c r="AJ113" s="226" t="n"/>
      <c r="AK113" s="226" t="n"/>
      <c r="AL113" s="227" t="n"/>
    </row>
    <row r="114">
      <c r="B114" s="94" t="n"/>
      <c r="C114" s="105" t="n"/>
      <c r="D114" s="105" t="n"/>
      <c r="E114" s="105" t="n"/>
      <c r="F114" s="105" t="n"/>
      <c r="G114" s="105" t="n"/>
      <c r="H114" s="105" t="n"/>
      <c r="I114" s="106" t="n"/>
      <c r="J114" s="105" t="n"/>
      <c r="K114" s="95" t="n"/>
      <c r="L114" s="107" t="n"/>
      <c r="M114" s="107" t="n"/>
      <c r="N114" s="107" t="n"/>
      <c r="O114" s="107" t="n"/>
      <c r="P114" s="107" t="n"/>
      <c r="Q114" s="107" t="n"/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226" t="n"/>
      <c r="AB114" s="226" t="n"/>
      <c r="AC114" s="226" t="n"/>
      <c r="AD114" s="226" t="n"/>
      <c r="AE114" s="226" t="n"/>
      <c r="AF114" s="226" t="n"/>
      <c r="AG114" s="226" t="n"/>
      <c r="AH114" s="226" t="n"/>
      <c r="AI114" s="226" t="n"/>
      <c r="AJ114" s="226" t="n"/>
      <c r="AK114" s="226" t="n"/>
      <c r="AL114" s="227" t="n"/>
    </row>
    <row r="115">
      <c r="B115" s="94" t="n"/>
      <c r="C115" s="105" t="n"/>
      <c r="D115" s="105" t="n"/>
      <c r="E115" s="105" t="n"/>
      <c r="F115" s="105" t="n"/>
      <c r="G115" s="105" t="n"/>
      <c r="H115" s="105" t="n"/>
      <c r="I115" s="106" t="n"/>
      <c r="J115" s="105" t="n"/>
      <c r="K115" s="95" t="n"/>
      <c r="L115" s="107" t="n"/>
      <c r="M115" s="107" t="n"/>
      <c r="N115" s="107" t="n"/>
      <c r="O115" s="107" t="n"/>
      <c r="P115" s="107" t="n"/>
      <c r="Q115" s="107" t="n"/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226" t="n"/>
      <c r="AB115" s="226" t="n"/>
      <c r="AC115" s="226" t="n"/>
      <c r="AD115" s="226" t="n"/>
      <c r="AE115" s="226" t="n"/>
      <c r="AF115" s="226" t="n"/>
      <c r="AG115" s="226" t="n"/>
      <c r="AH115" s="226" t="n"/>
      <c r="AI115" s="226" t="n"/>
      <c r="AJ115" s="226" t="n"/>
      <c r="AK115" s="226" t="n"/>
      <c r="AL115" s="227" t="n"/>
    </row>
    <row r="116">
      <c r="B116" s="94" t="n"/>
      <c r="C116" s="105" t="n"/>
      <c r="D116" s="105" t="n"/>
      <c r="E116" s="105" t="n"/>
      <c r="F116" s="105" t="n"/>
      <c r="G116" s="105" t="n"/>
      <c r="H116" s="105" t="n"/>
      <c r="I116" s="106" t="n"/>
      <c r="J116" s="105" t="n"/>
      <c r="K116" s="95" t="n"/>
      <c r="L116" s="107" t="n"/>
      <c r="M116" s="107" t="n"/>
      <c r="N116" s="107" t="n"/>
      <c r="O116" s="107" t="n"/>
      <c r="P116" s="107" t="n"/>
      <c r="Q116" s="107" t="n"/>
      <c r="R116" s="107" t="n"/>
      <c r="S116" s="107" t="n"/>
      <c r="T116" s="107" t="n"/>
      <c r="U116" s="107" t="n"/>
      <c r="V116" s="107" t="n"/>
      <c r="W116" s="107" t="n"/>
      <c r="X116" s="107" t="n"/>
      <c r="Y116" s="107" t="n"/>
      <c r="Z116" s="107" t="n"/>
      <c r="AA116" s="226" t="n"/>
      <c r="AB116" s="226" t="n"/>
      <c r="AC116" s="226" t="n"/>
      <c r="AD116" s="226" t="n"/>
      <c r="AE116" s="226" t="n"/>
      <c r="AF116" s="226" t="n"/>
      <c r="AG116" s="226" t="n"/>
      <c r="AH116" s="226" t="n"/>
      <c r="AI116" s="226" t="n"/>
      <c r="AJ116" s="226" t="n"/>
      <c r="AK116" s="226" t="n"/>
      <c r="AL116" s="227" t="n"/>
    </row>
    <row r="117">
      <c r="B117" s="94" t="n"/>
      <c r="C117" s="105" t="n"/>
      <c r="D117" s="105" t="n"/>
      <c r="E117" s="105" t="n"/>
      <c r="F117" s="105" t="n"/>
      <c r="G117" s="105" t="n"/>
      <c r="H117" s="105" t="n"/>
      <c r="I117" s="106" t="n"/>
      <c r="J117" s="105" t="n"/>
      <c r="K117" s="95" t="n"/>
      <c r="L117" s="107" t="n"/>
      <c r="M117" s="107" t="n"/>
      <c r="N117" s="107" t="n"/>
      <c r="O117" s="107" t="n"/>
      <c r="P117" s="107" t="n"/>
      <c r="Q117" s="107" t="n"/>
      <c r="R117" s="107" t="n"/>
      <c r="S117" s="107" t="n"/>
      <c r="T117" s="107" t="n"/>
      <c r="U117" s="107" t="n"/>
      <c r="V117" s="107" t="n"/>
      <c r="W117" s="107" t="n"/>
      <c r="X117" s="107" t="n"/>
      <c r="Y117" s="107" t="n"/>
      <c r="Z117" s="107" t="n"/>
      <c r="AA117" s="226" t="n"/>
      <c r="AB117" s="226" t="n"/>
      <c r="AC117" s="226" t="n"/>
      <c r="AD117" s="226" t="n"/>
      <c r="AE117" s="226" t="n"/>
      <c r="AF117" s="226" t="n"/>
      <c r="AG117" s="226" t="n"/>
      <c r="AH117" s="226" t="n"/>
      <c r="AI117" s="226" t="n"/>
      <c r="AJ117" s="226" t="n"/>
      <c r="AK117" s="226" t="n"/>
      <c r="AL117" s="227" t="n"/>
    </row>
    <row r="118">
      <c r="B118" s="94" t="n"/>
      <c r="C118" s="105" t="n"/>
      <c r="D118" s="105" t="n"/>
      <c r="E118" s="105" t="n"/>
      <c r="F118" s="105" t="n"/>
      <c r="G118" s="105" t="n"/>
      <c r="H118" s="105" t="n"/>
      <c r="I118" s="106" t="n"/>
      <c r="J118" s="105" t="n"/>
      <c r="K118" s="95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226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226" t="n"/>
      <c r="AL118" s="227" t="n"/>
    </row>
    <row r="119">
      <c r="B119" s="94" t="n"/>
      <c r="C119" s="105" t="n"/>
      <c r="D119" s="105" t="n"/>
      <c r="E119" s="105" t="n"/>
      <c r="F119" s="105" t="n"/>
      <c r="G119" s="105" t="n"/>
      <c r="H119" s="105" t="n"/>
      <c r="I119" s="106" t="n"/>
      <c r="J119" s="105" t="n"/>
      <c r="K119" s="95" t="n"/>
      <c r="L119" s="107" t="n"/>
      <c r="M119" s="107" t="n"/>
      <c r="N119" s="107" t="n"/>
      <c r="O119" s="107" t="n"/>
      <c r="P119" s="107" t="n"/>
      <c r="Q119" s="107" t="n"/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226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226" t="n"/>
      <c r="AL119" s="227" t="n"/>
    </row>
    <row r="120">
      <c r="B120" s="94" t="n"/>
      <c r="C120" s="105" t="n"/>
      <c r="D120" s="105" t="n"/>
      <c r="E120" s="105" t="n"/>
      <c r="F120" s="105" t="n"/>
      <c r="G120" s="105" t="n"/>
      <c r="H120" s="105" t="n"/>
      <c r="I120" s="106" t="n"/>
      <c r="J120" s="105" t="n"/>
      <c r="K120" s="95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226" t="n"/>
      <c r="AB120" s="226" t="n"/>
      <c r="AC120" s="226" t="n"/>
      <c r="AD120" s="226" t="n"/>
      <c r="AE120" s="226" t="n"/>
      <c r="AF120" s="226" t="n"/>
      <c r="AG120" s="226" t="n"/>
      <c r="AH120" s="226" t="n"/>
      <c r="AI120" s="226" t="n"/>
      <c r="AJ120" s="226" t="n"/>
      <c r="AK120" s="226" t="n"/>
      <c r="AL120" s="227" t="n"/>
    </row>
    <row r="121">
      <c r="B121" s="94" t="n"/>
      <c r="C121" s="105" t="n"/>
      <c r="D121" s="105" t="n"/>
      <c r="E121" s="105" t="n"/>
      <c r="F121" s="105" t="n"/>
      <c r="G121" s="105" t="n"/>
      <c r="H121" s="105" t="n"/>
      <c r="I121" s="106" t="n"/>
      <c r="J121" s="105" t="n"/>
      <c r="K121" s="95" t="n"/>
      <c r="L121" s="107" t="n"/>
      <c r="M121" s="107" t="n"/>
      <c r="N121" s="107" t="n"/>
      <c r="O121" s="107" t="n"/>
      <c r="P121" s="107" t="n"/>
      <c r="Q121" s="107" t="n"/>
      <c r="R121" s="107" t="n"/>
      <c r="S121" s="107" t="n"/>
      <c r="T121" s="107" t="n"/>
      <c r="U121" s="107" t="n"/>
      <c r="V121" s="107" t="n"/>
      <c r="W121" s="107" t="n"/>
      <c r="X121" s="107" t="n"/>
      <c r="Y121" s="107" t="n"/>
      <c r="Z121" s="107" t="n"/>
      <c r="AA121" s="226" t="n"/>
      <c r="AB121" s="226" t="n"/>
      <c r="AC121" s="226" t="n"/>
      <c r="AD121" s="226" t="n"/>
      <c r="AE121" s="226" t="n"/>
      <c r="AF121" s="226" t="n"/>
      <c r="AG121" s="226" t="n"/>
      <c r="AH121" s="226" t="n"/>
      <c r="AI121" s="226" t="n"/>
      <c r="AJ121" s="226" t="n"/>
      <c r="AK121" s="226" t="n"/>
      <c r="AL121" s="227" t="n"/>
    </row>
    <row r="122">
      <c r="B122" s="94" t="n"/>
      <c r="C122" s="105" t="n"/>
      <c r="D122" s="105" t="n"/>
      <c r="E122" s="105" t="n"/>
      <c r="F122" s="105" t="n"/>
      <c r="G122" s="105" t="n"/>
      <c r="H122" s="105" t="n"/>
      <c r="I122" s="106" t="n"/>
      <c r="J122" s="105" t="n"/>
      <c r="K122" s="95" t="n"/>
      <c r="L122" s="107" t="n"/>
      <c r="M122" s="107" t="n"/>
      <c r="N122" s="107" t="n"/>
      <c r="O122" s="107" t="n"/>
      <c r="P122" s="107" t="n"/>
      <c r="Q122" s="107" t="n"/>
      <c r="R122" s="107" t="n"/>
      <c r="S122" s="107" t="n"/>
      <c r="T122" s="107" t="n"/>
      <c r="U122" s="107" t="n"/>
      <c r="V122" s="107" t="n"/>
      <c r="W122" s="107" t="n"/>
      <c r="X122" s="107" t="n"/>
      <c r="Y122" s="107" t="n"/>
      <c r="Z122" s="107" t="n"/>
      <c r="AA122" s="226" t="n"/>
      <c r="AB122" s="226" t="n"/>
      <c r="AC122" s="226" t="n"/>
      <c r="AD122" s="226" t="n"/>
      <c r="AE122" s="226" t="n"/>
      <c r="AF122" s="226" t="n"/>
      <c r="AG122" s="226" t="n"/>
      <c r="AH122" s="226" t="n"/>
      <c r="AI122" s="226" t="n"/>
      <c r="AJ122" s="226" t="n"/>
      <c r="AK122" s="226" t="n"/>
      <c r="AL122" s="227" t="n"/>
    </row>
    <row r="123">
      <c r="B123" s="94" t="n"/>
      <c r="C123" s="105" t="n"/>
      <c r="D123" s="105" t="n"/>
      <c r="E123" s="105" t="n"/>
      <c r="F123" s="105" t="n"/>
      <c r="G123" s="105" t="n"/>
      <c r="H123" s="105" t="n"/>
      <c r="I123" s="106" t="n"/>
      <c r="J123" s="105" t="n"/>
      <c r="K123" s="95" t="n"/>
      <c r="L123" s="107" t="n"/>
      <c r="M123" s="107" t="n"/>
      <c r="N123" s="107" t="n"/>
      <c r="O123" s="107" t="n"/>
      <c r="P123" s="107" t="n"/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226" t="n"/>
      <c r="AB123" s="226" t="n"/>
      <c r="AC123" s="226" t="n"/>
      <c r="AD123" s="226" t="n"/>
      <c r="AE123" s="226" t="n"/>
      <c r="AF123" s="226" t="n"/>
      <c r="AG123" s="226" t="n"/>
      <c r="AH123" s="226" t="n"/>
      <c r="AI123" s="226" t="n"/>
      <c r="AJ123" s="226" t="n"/>
      <c r="AK123" s="226" t="n"/>
      <c r="AL123" s="227" t="n"/>
    </row>
    <row r="124">
      <c r="B124" s="94" t="n"/>
      <c r="C124" s="105" t="n"/>
      <c r="D124" s="105" t="n"/>
      <c r="E124" s="105" t="n"/>
      <c r="F124" s="105" t="n"/>
      <c r="G124" s="105" t="n"/>
      <c r="H124" s="105" t="n"/>
      <c r="I124" s="106" t="n"/>
      <c r="J124" s="105" t="n"/>
      <c r="K124" s="95" t="n"/>
      <c r="L124" s="107" t="n"/>
      <c r="M124" s="107" t="n"/>
      <c r="N124" s="107" t="n"/>
      <c r="O124" s="107" t="n"/>
      <c r="P124" s="107" t="n"/>
      <c r="Q124" s="107" t="n"/>
      <c r="R124" s="107" t="n"/>
      <c r="S124" s="107" t="n"/>
      <c r="T124" s="107" t="n"/>
      <c r="U124" s="107" t="n"/>
      <c r="V124" s="107" t="n"/>
      <c r="W124" s="107" t="n"/>
      <c r="X124" s="107" t="n"/>
      <c r="Y124" s="107" t="n"/>
      <c r="Z124" s="107" t="n"/>
      <c r="AA124" s="226" t="n"/>
      <c r="AB124" s="226" t="n"/>
      <c r="AC124" s="226" t="n"/>
      <c r="AD124" s="226" t="n"/>
      <c r="AE124" s="226" t="n"/>
      <c r="AF124" s="226" t="n"/>
      <c r="AG124" s="226" t="n"/>
      <c r="AH124" s="226" t="n"/>
      <c r="AI124" s="226" t="n"/>
      <c r="AJ124" s="226" t="n"/>
      <c r="AK124" s="226" t="n"/>
      <c r="AL124" s="227" t="n"/>
    </row>
    <row r="125">
      <c r="B125" s="94" t="n"/>
      <c r="C125" s="105" t="n"/>
      <c r="D125" s="105" t="n"/>
      <c r="E125" s="105" t="n"/>
      <c r="F125" s="105" t="n"/>
      <c r="G125" s="105" t="n"/>
      <c r="H125" s="105" t="n"/>
      <c r="I125" s="106" t="n"/>
      <c r="J125" s="105" t="n"/>
      <c r="K125" s="95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226" t="n"/>
      <c r="AB125" s="226" t="n"/>
      <c r="AC125" s="226" t="n"/>
      <c r="AD125" s="226" t="n"/>
      <c r="AE125" s="226" t="n"/>
      <c r="AF125" s="226" t="n"/>
      <c r="AG125" s="226" t="n"/>
      <c r="AH125" s="226" t="n"/>
      <c r="AI125" s="226" t="n"/>
      <c r="AJ125" s="226" t="n"/>
      <c r="AK125" s="226" t="n"/>
      <c r="AL125" s="227" t="n"/>
    </row>
    <row r="126">
      <c r="B126" s="94" t="n"/>
      <c r="C126" s="105" t="n"/>
      <c r="D126" s="105" t="n"/>
      <c r="E126" s="105" t="n"/>
      <c r="F126" s="105" t="n"/>
      <c r="G126" s="105" t="n"/>
      <c r="H126" s="105" t="n"/>
      <c r="I126" s="106" t="n"/>
      <c r="J126" s="105" t="n"/>
      <c r="K126" s="95" t="n"/>
      <c r="L126" s="107" t="n"/>
      <c r="M126" s="107" t="n"/>
      <c r="N126" s="107" t="n"/>
      <c r="O126" s="107" t="n"/>
      <c r="P126" s="107" t="n"/>
      <c r="Q126" s="107" t="n"/>
      <c r="R126" s="107" t="n"/>
      <c r="S126" s="107" t="n"/>
      <c r="T126" s="107" t="n"/>
      <c r="U126" s="107" t="n"/>
      <c r="V126" s="107" t="n"/>
      <c r="W126" s="107" t="n"/>
      <c r="X126" s="107" t="n"/>
      <c r="Y126" s="107" t="n"/>
      <c r="Z126" s="107" t="n"/>
      <c r="AA126" s="226" t="n"/>
      <c r="AB126" s="226" t="n"/>
      <c r="AC126" s="226" t="n"/>
      <c r="AD126" s="226" t="n"/>
      <c r="AE126" s="226" t="n"/>
      <c r="AF126" s="226" t="n"/>
      <c r="AG126" s="226" t="n"/>
      <c r="AH126" s="226" t="n"/>
      <c r="AI126" s="226" t="n"/>
      <c r="AJ126" s="226" t="n"/>
      <c r="AK126" s="226" t="n"/>
      <c r="AL126" s="227" t="n"/>
    </row>
    <row r="127">
      <c r="B127" s="94" t="n"/>
      <c r="C127" s="105" t="n"/>
      <c r="D127" s="105" t="n"/>
      <c r="E127" s="105" t="n"/>
      <c r="F127" s="105" t="n"/>
      <c r="G127" s="105" t="n"/>
      <c r="H127" s="105" t="n"/>
      <c r="I127" s="106" t="n"/>
      <c r="J127" s="105" t="n"/>
      <c r="K127" s="95" t="n"/>
      <c r="L127" s="107" t="n"/>
      <c r="M127" s="107" t="n"/>
      <c r="N127" s="107" t="n"/>
      <c r="O127" s="107" t="n"/>
      <c r="P127" s="107" t="n"/>
      <c r="Q127" s="107" t="n"/>
      <c r="R127" s="107" t="n"/>
      <c r="S127" s="107" t="n"/>
      <c r="T127" s="107" t="n"/>
      <c r="U127" s="107" t="n"/>
      <c r="V127" s="107" t="n"/>
      <c r="W127" s="107" t="n"/>
      <c r="X127" s="107" t="n"/>
      <c r="Y127" s="107" t="n"/>
      <c r="Z127" s="107" t="n"/>
      <c r="AA127" s="226" t="n"/>
      <c r="AB127" s="226" t="n"/>
      <c r="AC127" s="226" t="n"/>
      <c r="AD127" s="226" t="n"/>
      <c r="AE127" s="226" t="n"/>
      <c r="AF127" s="226" t="n"/>
      <c r="AG127" s="226" t="n"/>
      <c r="AH127" s="226" t="n"/>
      <c r="AI127" s="226" t="n"/>
      <c r="AJ127" s="226" t="n"/>
      <c r="AK127" s="226" t="n"/>
      <c r="AL127" s="227" t="n"/>
    </row>
    <row r="128">
      <c r="B128" s="94" t="n"/>
      <c r="C128" s="105" t="n"/>
      <c r="D128" s="105" t="n"/>
      <c r="E128" s="105" t="n"/>
      <c r="F128" s="105" t="n"/>
      <c r="G128" s="105" t="n"/>
      <c r="H128" s="105" t="n"/>
      <c r="I128" s="106" t="n"/>
      <c r="J128" s="105" t="n"/>
      <c r="K128" s="95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226" t="n"/>
      <c r="AB128" s="226" t="n"/>
      <c r="AC128" s="226" t="n"/>
      <c r="AD128" s="226" t="n"/>
      <c r="AE128" s="226" t="n"/>
      <c r="AF128" s="226" t="n"/>
      <c r="AG128" s="226" t="n"/>
      <c r="AH128" s="226" t="n"/>
      <c r="AI128" s="226" t="n"/>
      <c r="AJ128" s="226" t="n"/>
      <c r="AK128" s="226" t="n"/>
      <c r="AL128" s="227" t="n"/>
    </row>
    <row r="129">
      <c r="B129" s="94" t="n"/>
      <c r="C129" s="105" t="n"/>
      <c r="D129" s="105" t="n"/>
      <c r="E129" s="105" t="n"/>
      <c r="F129" s="105" t="n"/>
      <c r="G129" s="105" t="n"/>
      <c r="H129" s="105" t="n"/>
      <c r="I129" s="106" t="n"/>
      <c r="J129" s="105" t="n"/>
      <c r="K129" s="95" t="n"/>
      <c r="L129" s="107" t="n"/>
      <c r="M129" s="107" t="n"/>
      <c r="N129" s="107" t="n"/>
      <c r="O129" s="107" t="n"/>
      <c r="P129" s="107" t="n"/>
      <c r="Q129" s="107" t="n"/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226" t="n"/>
      <c r="AB129" s="226" t="n"/>
      <c r="AC129" s="226" t="n"/>
      <c r="AD129" s="226" t="n"/>
      <c r="AE129" s="226" t="n"/>
      <c r="AF129" s="226" t="n"/>
      <c r="AG129" s="226" t="n"/>
      <c r="AH129" s="226" t="n"/>
      <c r="AI129" s="226" t="n"/>
      <c r="AJ129" s="226" t="n"/>
      <c r="AK129" s="226" t="n"/>
      <c r="AL129" s="227" t="n"/>
    </row>
    <row r="130">
      <c r="B130" s="94" t="n"/>
      <c r="C130" s="105" t="n"/>
      <c r="D130" s="105" t="n"/>
      <c r="E130" s="105" t="n"/>
      <c r="F130" s="105" t="n"/>
      <c r="G130" s="105" t="n"/>
      <c r="H130" s="105" t="n"/>
      <c r="I130" s="106" t="n"/>
      <c r="J130" s="105" t="n"/>
      <c r="K130" s="95" t="n"/>
      <c r="L130" s="107" t="n"/>
      <c r="M130" s="107" t="n"/>
      <c r="N130" s="107" t="n"/>
      <c r="O130" s="107" t="n"/>
      <c r="P130" s="107" t="n"/>
      <c r="Q130" s="107" t="n"/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226" t="n"/>
      <c r="AB130" s="226" t="n"/>
      <c r="AC130" s="226" t="n"/>
      <c r="AD130" s="226" t="n"/>
      <c r="AE130" s="226" t="n"/>
      <c r="AF130" s="226" t="n"/>
      <c r="AG130" s="226" t="n"/>
      <c r="AH130" s="226" t="n"/>
      <c r="AI130" s="226" t="n"/>
      <c r="AJ130" s="226" t="n"/>
      <c r="AK130" s="226" t="n"/>
      <c r="AL130" s="227" t="n"/>
    </row>
    <row r="131">
      <c r="B131" s="94" t="n"/>
      <c r="C131" s="105" t="n"/>
      <c r="D131" s="105" t="n"/>
      <c r="E131" s="105" t="n"/>
      <c r="F131" s="105" t="n"/>
      <c r="G131" s="105" t="n"/>
      <c r="H131" s="105" t="n"/>
      <c r="I131" s="106" t="n"/>
      <c r="J131" s="105" t="n"/>
      <c r="K131" s="95" t="n"/>
      <c r="L131" s="107" t="n"/>
      <c r="M131" s="107" t="n"/>
      <c r="N131" s="107" t="n"/>
      <c r="O131" s="107" t="n"/>
      <c r="P131" s="107" t="n"/>
      <c r="Q131" s="107" t="n"/>
      <c r="R131" s="107" t="n"/>
      <c r="S131" s="107" t="n"/>
      <c r="T131" s="107" t="n"/>
      <c r="U131" s="107" t="n"/>
      <c r="V131" s="107" t="n"/>
      <c r="W131" s="107" t="n"/>
      <c r="X131" s="107" t="n"/>
      <c r="Y131" s="107" t="n"/>
      <c r="Z131" s="107" t="n"/>
      <c r="AA131" s="226" t="n"/>
      <c r="AB131" s="226" t="n"/>
      <c r="AC131" s="226" t="n"/>
      <c r="AD131" s="226" t="n"/>
      <c r="AE131" s="226" t="n"/>
      <c r="AF131" s="226" t="n"/>
      <c r="AG131" s="226" t="n"/>
      <c r="AH131" s="226" t="n"/>
      <c r="AI131" s="226" t="n"/>
      <c r="AJ131" s="226" t="n"/>
      <c r="AK131" s="226" t="n"/>
      <c r="AL131" s="227" t="n"/>
    </row>
    <row r="132">
      <c r="B132" s="94" t="n"/>
      <c r="C132" s="105" t="n"/>
      <c r="D132" s="105" t="n"/>
      <c r="E132" s="105" t="n"/>
      <c r="F132" s="105" t="n"/>
      <c r="G132" s="105" t="n"/>
      <c r="H132" s="105" t="n"/>
      <c r="I132" s="106" t="n"/>
      <c r="J132" s="105" t="n"/>
      <c r="K132" s="95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226" t="n"/>
      <c r="AB132" s="226" t="n"/>
      <c r="AC132" s="226" t="n"/>
      <c r="AD132" s="226" t="n"/>
      <c r="AE132" s="226" t="n"/>
      <c r="AF132" s="226" t="n"/>
      <c r="AG132" s="226" t="n"/>
      <c r="AH132" s="226" t="n"/>
      <c r="AI132" s="226" t="n"/>
      <c r="AJ132" s="226" t="n"/>
      <c r="AK132" s="226" t="n"/>
      <c r="AL132" s="227" t="n"/>
    </row>
    <row r="133">
      <c r="B133" s="94" t="n"/>
      <c r="C133" s="105" t="n"/>
      <c r="D133" s="105" t="n"/>
      <c r="E133" s="105" t="n"/>
      <c r="F133" s="105" t="n"/>
      <c r="G133" s="105" t="n"/>
      <c r="H133" s="105" t="n"/>
      <c r="I133" s="106" t="n"/>
      <c r="J133" s="105" t="n"/>
      <c r="K133" s="95" t="n"/>
      <c r="L133" s="107" t="n"/>
      <c r="M133" s="107" t="n"/>
      <c r="N133" s="107" t="n"/>
      <c r="O133" s="107" t="n"/>
      <c r="P133" s="107" t="n"/>
      <c r="Q133" s="107" t="n"/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226" t="n"/>
      <c r="AB133" s="226" t="n"/>
      <c r="AC133" s="226" t="n"/>
      <c r="AD133" s="226" t="n"/>
      <c r="AE133" s="226" t="n"/>
      <c r="AF133" s="226" t="n"/>
      <c r="AG133" s="226" t="n"/>
      <c r="AH133" s="226" t="n"/>
      <c r="AI133" s="226" t="n"/>
      <c r="AJ133" s="226" t="n"/>
      <c r="AK133" s="226" t="n"/>
      <c r="AL133" s="227" t="n"/>
    </row>
    <row r="134">
      <c r="B134" s="94" t="n"/>
      <c r="C134" s="105" t="n"/>
      <c r="D134" s="105" t="n"/>
      <c r="E134" s="105" t="n"/>
      <c r="F134" s="105" t="n"/>
      <c r="G134" s="105" t="n"/>
      <c r="H134" s="105" t="n"/>
      <c r="I134" s="106" t="n"/>
      <c r="J134" s="105" t="n"/>
      <c r="K134" s="95" t="n"/>
      <c r="L134" s="107" t="n"/>
      <c r="M134" s="107" t="n"/>
      <c r="N134" s="107" t="n"/>
      <c r="O134" s="107" t="n"/>
      <c r="P134" s="107" t="n"/>
      <c r="Q134" s="107" t="n"/>
      <c r="R134" s="107" t="n"/>
      <c r="S134" s="107" t="n"/>
      <c r="T134" s="107" t="n"/>
      <c r="U134" s="107" t="n"/>
      <c r="V134" s="107" t="n"/>
      <c r="W134" s="107" t="n"/>
      <c r="X134" s="107" t="n"/>
      <c r="Y134" s="107" t="n"/>
      <c r="Z134" s="107" t="n"/>
      <c r="AA134" s="226" t="n"/>
      <c r="AB134" s="226" t="n"/>
      <c r="AC134" s="226" t="n"/>
      <c r="AD134" s="226" t="n"/>
      <c r="AE134" s="226" t="n"/>
      <c r="AF134" s="226" t="n"/>
      <c r="AG134" s="226" t="n"/>
      <c r="AH134" s="226" t="n"/>
      <c r="AI134" s="226" t="n"/>
      <c r="AJ134" s="226" t="n"/>
      <c r="AK134" s="226" t="n"/>
      <c r="AL134" s="227" t="n"/>
    </row>
    <row r="135">
      <c r="B135" s="94" t="n"/>
      <c r="C135" s="105" t="n"/>
      <c r="D135" s="105" t="n"/>
      <c r="E135" s="105" t="n"/>
      <c r="F135" s="105" t="n"/>
      <c r="G135" s="105" t="n"/>
      <c r="H135" s="105" t="n"/>
      <c r="I135" s="106" t="n"/>
      <c r="J135" s="105" t="n"/>
      <c r="K135" s="95" t="n"/>
      <c r="L135" s="107" t="n"/>
      <c r="M135" s="107" t="n"/>
      <c r="N135" s="107" t="n"/>
      <c r="O135" s="107" t="n"/>
      <c r="P135" s="107" t="n"/>
      <c r="Q135" s="107" t="n"/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226" t="n"/>
      <c r="AB135" s="226" t="n"/>
      <c r="AC135" s="226" t="n"/>
      <c r="AD135" s="226" t="n"/>
      <c r="AE135" s="226" t="n"/>
      <c r="AF135" s="226" t="n"/>
      <c r="AG135" s="226" t="n"/>
      <c r="AH135" s="226" t="n"/>
      <c r="AI135" s="226" t="n"/>
      <c r="AJ135" s="226" t="n"/>
      <c r="AK135" s="226" t="n"/>
      <c r="AL135" s="227" t="n"/>
    </row>
    <row r="136">
      <c r="B136" s="94" t="n"/>
      <c r="C136" s="105" t="n"/>
      <c r="D136" s="105" t="n"/>
      <c r="E136" s="105" t="n"/>
      <c r="F136" s="105" t="n"/>
      <c r="G136" s="105" t="n"/>
      <c r="H136" s="105" t="n"/>
      <c r="I136" s="106" t="n"/>
      <c r="J136" s="105" t="n"/>
      <c r="K136" s="95" t="n"/>
      <c r="L136" s="107" t="n"/>
      <c r="M136" s="107" t="n"/>
      <c r="N136" s="107" t="n"/>
      <c r="O136" s="107" t="n"/>
      <c r="P136" s="107" t="n"/>
      <c r="Q136" s="107" t="n"/>
      <c r="R136" s="107" t="n"/>
      <c r="S136" s="107" t="n"/>
      <c r="T136" s="107" t="n"/>
      <c r="U136" s="107" t="n"/>
      <c r="V136" s="107" t="n"/>
      <c r="W136" s="107" t="n"/>
      <c r="X136" s="107" t="n"/>
      <c r="Y136" s="107" t="n"/>
      <c r="Z136" s="107" t="n"/>
      <c r="AA136" s="226" t="n"/>
      <c r="AB136" s="226" t="n"/>
      <c r="AC136" s="226" t="n"/>
      <c r="AD136" s="226" t="n"/>
      <c r="AE136" s="226" t="n"/>
      <c r="AF136" s="226" t="n"/>
      <c r="AG136" s="226" t="n"/>
      <c r="AH136" s="226" t="n"/>
      <c r="AI136" s="226" t="n"/>
      <c r="AJ136" s="226" t="n"/>
      <c r="AK136" s="226" t="n"/>
      <c r="AL136" s="227" t="n"/>
    </row>
    <row r="137">
      <c r="B137" s="94" t="n"/>
      <c r="C137" s="105" t="n"/>
      <c r="D137" s="105" t="n"/>
      <c r="E137" s="105" t="n"/>
      <c r="F137" s="105" t="n"/>
      <c r="G137" s="105" t="n"/>
      <c r="H137" s="105" t="n"/>
      <c r="I137" s="106" t="n"/>
      <c r="J137" s="105" t="n"/>
      <c r="K137" s="95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226" t="n"/>
      <c r="AB137" s="226" t="n"/>
      <c r="AC137" s="226" t="n"/>
      <c r="AD137" s="226" t="n"/>
      <c r="AE137" s="226" t="n"/>
      <c r="AF137" s="226" t="n"/>
      <c r="AG137" s="226" t="n"/>
      <c r="AH137" s="226" t="n"/>
      <c r="AI137" s="226" t="n"/>
      <c r="AJ137" s="226" t="n"/>
      <c r="AK137" s="226" t="n"/>
      <c r="AL137" s="227" t="n"/>
    </row>
    <row r="138">
      <c r="B138" s="94" t="n"/>
      <c r="C138" s="105" t="n"/>
      <c r="D138" s="105" t="n"/>
      <c r="E138" s="105" t="n"/>
      <c r="F138" s="105" t="n"/>
      <c r="G138" s="105" t="n"/>
      <c r="H138" s="105" t="n"/>
      <c r="I138" s="106" t="n"/>
      <c r="J138" s="105" t="n"/>
      <c r="K138" s="95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226" t="n"/>
      <c r="AB138" s="226" t="n"/>
      <c r="AC138" s="226" t="n"/>
      <c r="AD138" s="226" t="n"/>
      <c r="AE138" s="226" t="n"/>
      <c r="AF138" s="226" t="n"/>
      <c r="AG138" s="226" t="n"/>
      <c r="AH138" s="226" t="n"/>
      <c r="AI138" s="226" t="n"/>
      <c r="AJ138" s="226" t="n"/>
      <c r="AK138" s="226" t="n"/>
      <c r="AL138" s="227" t="n"/>
    </row>
    <row r="139">
      <c r="B139" s="94" t="n"/>
      <c r="C139" s="105" t="n"/>
      <c r="D139" s="105" t="n"/>
      <c r="E139" s="105" t="n"/>
      <c r="F139" s="105" t="n"/>
      <c r="G139" s="105" t="n"/>
      <c r="H139" s="105" t="n"/>
      <c r="I139" s="106" t="n"/>
      <c r="J139" s="105" t="n"/>
      <c r="K139" s="95" t="n"/>
      <c r="L139" s="107" t="n"/>
      <c r="M139" s="107" t="n"/>
      <c r="N139" s="107" t="n"/>
      <c r="O139" s="107" t="n"/>
      <c r="P139" s="107" t="n"/>
      <c r="Q139" s="107" t="n"/>
      <c r="R139" s="107" t="n"/>
      <c r="S139" s="107" t="n"/>
      <c r="T139" s="107" t="n"/>
      <c r="U139" s="107" t="n"/>
      <c r="V139" s="107" t="n"/>
      <c r="W139" s="107" t="n"/>
      <c r="X139" s="107" t="n"/>
      <c r="Y139" s="107" t="n"/>
      <c r="Z139" s="107" t="n"/>
      <c r="AA139" s="226" t="n"/>
      <c r="AB139" s="226" t="n"/>
      <c r="AC139" s="226" t="n"/>
      <c r="AD139" s="226" t="n"/>
      <c r="AE139" s="226" t="n"/>
      <c r="AF139" s="226" t="n"/>
      <c r="AG139" s="226" t="n"/>
      <c r="AH139" s="226" t="n"/>
      <c r="AI139" s="226" t="n"/>
      <c r="AJ139" s="226" t="n"/>
      <c r="AK139" s="226" t="n"/>
      <c r="AL139" s="227" t="n"/>
    </row>
    <row r="140">
      <c r="B140" s="94" t="n"/>
      <c r="C140" s="105" t="n"/>
      <c r="D140" s="105" t="n"/>
      <c r="E140" s="105" t="n"/>
      <c r="F140" s="105" t="n"/>
      <c r="G140" s="105" t="n"/>
      <c r="H140" s="105" t="n"/>
      <c r="I140" s="106" t="n"/>
      <c r="J140" s="105" t="n"/>
      <c r="K140" s="95" t="n"/>
      <c r="L140" s="107" t="n"/>
      <c r="M140" s="107" t="n"/>
      <c r="N140" s="107" t="n"/>
      <c r="O140" s="107" t="n"/>
      <c r="P140" s="107" t="n"/>
      <c r="Q140" s="107" t="n"/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226" t="n"/>
      <c r="AB140" s="226" t="n"/>
      <c r="AC140" s="226" t="n"/>
      <c r="AD140" s="226" t="n"/>
      <c r="AE140" s="226" t="n"/>
      <c r="AF140" s="226" t="n"/>
      <c r="AG140" s="226" t="n"/>
      <c r="AH140" s="226" t="n"/>
      <c r="AI140" s="226" t="n"/>
      <c r="AJ140" s="226" t="n"/>
      <c r="AK140" s="226" t="n"/>
      <c r="AL140" s="227" t="n"/>
    </row>
    <row r="141">
      <c r="B141" s="94" t="n"/>
      <c r="C141" s="105" t="n"/>
      <c r="D141" s="105" t="n"/>
      <c r="E141" s="105" t="n"/>
      <c r="F141" s="105" t="n"/>
      <c r="G141" s="105" t="n"/>
      <c r="H141" s="105" t="n"/>
      <c r="I141" s="106" t="n"/>
      <c r="J141" s="105" t="n"/>
      <c r="K141" s="95" t="n"/>
      <c r="L141" s="107" t="n"/>
      <c r="M141" s="107" t="n"/>
      <c r="N141" s="107" t="n"/>
      <c r="O141" s="107" t="n"/>
      <c r="P141" s="107" t="n"/>
      <c r="Q141" s="107" t="n"/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226" t="n"/>
      <c r="AB141" s="226" t="n"/>
      <c r="AC141" s="226" t="n"/>
      <c r="AD141" s="226" t="n"/>
      <c r="AE141" s="226" t="n"/>
      <c r="AF141" s="226" t="n"/>
      <c r="AG141" s="226" t="n"/>
      <c r="AH141" s="226" t="n"/>
      <c r="AI141" s="226" t="n"/>
      <c r="AJ141" s="226" t="n"/>
      <c r="AK141" s="226" t="n"/>
      <c r="AL141" s="227" t="n"/>
    </row>
    <row r="142">
      <c r="B142" s="94" t="n"/>
      <c r="C142" s="105" t="n"/>
      <c r="D142" s="105" t="n"/>
      <c r="E142" s="105" t="n"/>
      <c r="F142" s="105" t="n"/>
      <c r="G142" s="105" t="n"/>
      <c r="H142" s="105" t="n"/>
      <c r="I142" s="106" t="n"/>
      <c r="J142" s="105" t="n"/>
      <c r="K142" s="95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n"/>
      <c r="W142" s="107" t="n"/>
      <c r="X142" s="107" t="n"/>
      <c r="Y142" s="107" t="n"/>
      <c r="Z142" s="107" t="n"/>
      <c r="AA142" s="226" t="n"/>
      <c r="AB142" s="226" t="n"/>
      <c r="AC142" s="226" t="n"/>
      <c r="AD142" s="226" t="n"/>
      <c r="AE142" s="226" t="n"/>
      <c r="AF142" s="226" t="n"/>
      <c r="AG142" s="226" t="n"/>
      <c r="AH142" s="226" t="n"/>
      <c r="AI142" s="226" t="n"/>
      <c r="AJ142" s="226" t="n"/>
      <c r="AK142" s="226" t="n"/>
      <c r="AL142" s="227" t="n"/>
    </row>
    <row r="143">
      <c r="B143" s="94" t="n"/>
      <c r="C143" s="105" t="n"/>
      <c r="D143" s="105" t="n"/>
      <c r="E143" s="105" t="n"/>
      <c r="F143" s="105" t="n"/>
      <c r="G143" s="105" t="n"/>
      <c r="H143" s="105" t="n"/>
      <c r="I143" s="106" t="n"/>
      <c r="J143" s="105" t="n"/>
      <c r="K143" s="95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226" t="n"/>
      <c r="AB143" s="226" t="n"/>
      <c r="AC143" s="226" t="n"/>
      <c r="AD143" s="226" t="n"/>
      <c r="AE143" s="226" t="n"/>
      <c r="AF143" s="226" t="n"/>
      <c r="AG143" s="226" t="n"/>
      <c r="AH143" s="226" t="n"/>
      <c r="AI143" s="226" t="n"/>
      <c r="AJ143" s="226" t="n"/>
      <c r="AK143" s="226" t="n"/>
      <c r="AL143" s="227" t="n"/>
    </row>
    <row r="144">
      <c r="B144" s="94" t="n"/>
      <c r="C144" s="105" t="n"/>
      <c r="D144" s="105" t="n"/>
      <c r="E144" s="105" t="n"/>
      <c r="F144" s="105" t="n"/>
      <c r="G144" s="105" t="n"/>
      <c r="H144" s="105" t="n"/>
      <c r="I144" s="106" t="n"/>
      <c r="J144" s="105" t="n"/>
      <c r="K144" s="95" t="n"/>
      <c r="L144" s="107" t="n"/>
      <c r="M144" s="107" t="n"/>
      <c r="N144" s="107" t="n"/>
      <c r="O144" s="107" t="n"/>
      <c r="P144" s="107" t="n"/>
      <c r="Q144" s="107" t="n"/>
      <c r="R144" s="107" t="n"/>
      <c r="S144" s="107" t="n"/>
      <c r="T144" s="107" t="n"/>
      <c r="U144" s="107" t="n"/>
      <c r="V144" s="107" t="n"/>
      <c r="W144" s="107" t="n"/>
      <c r="X144" s="107" t="n"/>
      <c r="Y144" s="107" t="n"/>
      <c r="Z144" s="107" t="n"/>
      <c r="AA144" s="226" t="n"/>
      <c r="AB144" s="226" t="n"/>
      <c r="AC144" s="226" t="n"/>
      <c r="AD144" s="226" t="n"/>
      <c r="AE144" s="226" t="n"/>
      <c r="AF144" s="226" t="n"/>
      <c r="AG144" s="226" t="n"/>
      <c r="AH144" s="226" t="n"/>
      <c r="AI144" s="226" t="n"/>
      <c r="AJ144" s="226" t="n"/>
      <c r="AK144" s="226" t="n"/>
      <c r="AL144" s="227" t="n"/>
    </row>
    <row r="145">
      <c r="B145" s="94" t="n"/>
      <c r="C145" s="105" t="n"/>
      <c r="D145" s="105" t="n"/>
      <c r="E145" s="105" t="n"/>
      <c r="F145" s="105" t="n"/>
      <c r="G145" s="105" t="n"/>
      <c r="H145" s="105" t="n"/>
      <c r="I145" s="106" t="n"/>
      <c r="J145" s="105" t="n"/>
      <c r="K145" s="95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226" t="n"/>
      <c r="AB145" s="226" t="n"/>
      <c r="AC145" s="226" t="n"/>
      <c r="AD145" s="226" t="n"/>
      <c r="AE145" s="226" t="n"/>
      <c r="AF145" s="226" t="n"/>
      <c r="AG145" s="226" t="n"/>
      <c r="AH145" s="226" t="n"/>
      <c r="AI145" s="226" t="n"/>
      <c r="AJ145" s="226" t="n"/>
      <c r="AK145" s="226" t="n"/>
      <c r="AL145" s="227" t="n"/>
    </row>
    <row r="146">
      <c r="B146" s="94" t="n"/>
      <c r="C146" s="105" t="n"/>
      <c r="D146" s="105" t="n"/>
      <c r="E146" s="105" t="n"/>
      <c r="F146" s="105" t="n"/>
      <c r="G146" s="105" t="n"/>
      <c r="H146" s="105" t="n"/>
      <c r="I146" s="106" t="n"/>
      <c r="J146" s="105" t="n"/>
      <c r="K146" s="95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226" t="n"/>
      <c r="AB146" s="226" t="n"/>
      <c r="AC146" s="226" t="n"/>
      <c r="AD146" s="226" t="n"/>
      <c r="AE146" s="226" t="n"/>
      <c r="AF146" s="226" t="n"/>
      <c r="AG146" s="226" t="n"/>
      <c r="AH146" s="226" t="n"/>
      <c r="AI146" s="226" t="n"/>
      <c r="AJ146" s="226" t="n"/>
      <c r="AK146" s="226" t="n"/>
      <c r="AL146" s="227" t="n"/>
    </row>
    <row r="147">
      <c r="B147" s="94" t="n"/>
      <c r="C147" s="105" t="n"/>
      <c r="D147" s="105" t="n"/>
      <c r="E147" s="105" t="n"/>
      <c r="F147" s="105" t="n"/>
      <c r="G147" s="105" t="n"/>
      <c r="H147" s="105" t="n"/>
      <c r="I147" s="106" t="n"/>
      <c r="J147" s="105" t="n"/>
      <c r="K147" s="95" t="n"/>
      <c r="L147" s="107" t="n"/>
      <c r="M147" s="107" t="n"/>
      <c r="N147" s="107" t="n"/>
      <c r="O147" s="107" t="n"/>
      <c r="P147" s="107" t="n"/>
      <c r="Q147" s="107" t="n"/>
      <c r="R147" s="107" t="n"/>
      <c r="S147" s="107" t="n"/>
      <c r="T147" s="107" t="n"/>
      <c r="U147" s="107" t="n"/>
      <c r="V147" s="107" t="n"/>
      <c r="W147" s="107" t="n"/>
      <c r="X147" s="107" t="n"/>
      <c r="Y147" s="107" t="n"/>
      <c r="Z147" s="107" t="n"/>
      <c r="AA147" s="226" t="n"/>
      <c r="AB147" s="226" t="n"/>
      <c r="AC147" s="226" t="n"/>
      <c r="AD147" s="226" t="n"/>
      <c r="AE147" s="226" t="n"/>
      <c r="AF147" s="226" t="n"/>
      <c r="AG147" s="226" t="n"/>
      <c r="AH147" s="226" t="n"/>
      <c r="AI147" s="226" t="n"/>
      <c r="AJ147" s="226" t="n"/>
      <c r="AK147" s="226" t="n"/>
      <c r="AL147" s="227" t="n"/>
    </row>
    <row r="148">
      <c r="B148" s="94" t="n"/>
      <c r="C148" s="105" t="n"/>
      <c r="D148" s="105" t="n"/>
      <c r="E148" s="105" t="n"/>
      <c r="F148" s="105" t="n"/>
      <c r="G148" s="105" t="n"/>
      <c r="H148" s="105" t="n"/>
      <c r="I148" s="106" t="n"/>
      <c r="J148" s="105" t="n"/>
      <c r="K148" s="95" t="n"/>
      <c r="L148" s="107" t="n"/>
      <c r="M148" s="107" t="n"/>
      <c r="N148" s="107" t="n"/>
      <c r="O148" s="107" t="n"/>
      <c r="P148" s="107" t="n"/>
      <c r="Q148" s="107" t="n"/>
      <c r="R148" s="107" t="n"/>
      <c r="S148" s="107" t="n"/>
      <c r="T148" s="107" t="n"/>
      <c r="U148" s="107" t="n"/>
      <c r="V148" s="107" t="n"/>
      <c r="W148" s="107" t="n"/>
      <c r="X148" s="107" t="n"/>
      <c r="Y148" s="107" t="n"/>
      <c r="Z148" s="107" t="n"/>
      <c r="AA148" s="226" t="n"/>
      <c r="AB148" s="226" t="n"/>
      <c r="AC148" s="226" t="n"/>
      <c r="AD148" s="226" t="n"/>
      <c r="AE148" s="226" t="n"/>
      <c r="AF148" s="226" t="n"/>
      <c r="AG148" s="226" t="n"/>
      <c r="AH148" s="226" t="n"/>
      <c r="AI148" s="226" t="n"/>
      <c r="AJ148" s="226" t="n"/>
      <c r="AK148" s="226" t="n"/>
      <c r="AL148" s="227" t="n"/>
    </row>
    <row r="149">
      <c r="B149" s="94" t="n"/>
      <c r="C149" s="105" t="n"/>
      <c r="D149" s="105" t="n"/>
      <c r="E149" s="105" t="n"/>
      <c r="F149" s="105" t="n"/>
      <c r="G149" s="105" t="n"/>
      <c r="H149" s="105" t="n"/>
      <c r="I149" s="106" t="n"/>
      <c r="J149" s="105" t="n"/>
      <c r="K149" s="95" t="n"/>
      <c r="L149" s="107" t="n"/>
      <c r="M149" s="107" t="n"/>
      <c r="N149" s="107" t="n"/>
      <c r="O149" s="107" t="n"/>
      <c r="P149" s="107" t="n"/>
      <c r="Q149" s="107" t="n"/>
      <c r="R149" s="107" t="n"/>
      <c r="S149" s="107" t="n"/>
      <c r="T149" s="107" t="n"/>
      <c r="U149" s="107" t="n"/>
      <c r="V149" s="107" t="n"/>
      <c r="W149" s="107" t="n"/>
      <c r="X149" s="107" t="n"/>
      <c r="Y149" s="107" t="n"/>
      <c r="Z149" s="107" t="n"/>
      <c r="AA149" s="226" t="n"/>
      <c r="AB149" s="226" t="n"/>
      <c r="AC149" s="226" t="n"/>
      <c r="AD149" s="226" t="n"/>
      <c r="AE149" s="226" t="n"/>
      <c r="AF149" s="226" t="n"/>
      <c r="AG149" s="226" t="n"/>
      <c r="AH149" s="226" t="n"/>
      <c r="AI149" s="226" t="n"/>
      <c r="AJ149" s="226" t="n"/>
      <c r="AK149" s="226" t="n"/>
      <c r="AL149" s="227" t="n"/>
    </row>
    <row r="150">
      <c r="B150" s="94" t="n"/>
      <c r="C150" s="105" t="n"/>
      <c r="D150" s="105" t="n"/>
      <c r="E150" s="105" t="n"/>
      <c r="F150" s="105" t="n"/>
      <c r="G150" s="105" t="n"/>
      <c r="H150" s="105" t="n"/>
      <c r="I150" s="106" t="n"/>
      <c r="J150" s="105" t="n"/>
      <c r="K150" s="95" t="n"/>
      <c r="L150" s="107" t="n"/>
      <c r="M150" s="107" t="n"/>
      <c r="N150" s="107" t="n"/>
      <c r="O150" s="107" t="n"/>
      <c r="P150" s="107" t="n"/>
      <c r="Q150" s="107" t="n"/>
      <c r="R150" s="107" t="n"/>
      <c r="S150" s="107" t="n"/>
      <c r="T150" s="107" t="n"/>
      <c r="U150" s="107" t="n"/>
      <c r="V150" s="107" t="n"/>
      <c r="W150" s="107" t="n"/>
      <c r="X150" s="107" t="n"/>
      <c r="Y150" s="107" t="n"/>
      <c r="Z150" s="107" t="n"/>
      <c r="AA150" s="226" t="n"/>
      <c r="AB150" s="226" t="n"/>
      <c r="AC150" s="226" t="n"/>
      <c r="AD150" s="226" t="n"/>
      <c r="AE150" s="226" t="n"/>
      <c r="AF150" s="226" t="n"/>
      <c r="AG150" s="226" t="n"/>
      <c r="AH150" s="226" t="n"/>
      <c r="AI150" s="226" t="n"/>
      <c r="AJ150" s="226" t="n"/>
      <c r="AK150" s="226" t="n"/>
      <c r="AL150" s="227" t="n"/>
    </row>
    <row r="151">
      <c r="B151" s="94" t="n"/>
      <c r="C151" s="105" t="n"/>
      <c r="D151" s="105" t="n"/>
      <c r="E151" s="105" t="n"/>
      <c r="F151" s="105" t="n"/>
      <c r="G151" s="105" t="n"/>
      <c r="H151" s="105" t="n"/>
      <c r="I151" s="106" t="n"/>
      <c r="J151" s="105" t="n"/>
      <c r="K151" s="95" t="n"/>
      <c r="L151" s="107" t="n"/>
      <c r="M151" s="107" t="n"/>
      <c r="N151" s="107" t="n"/>
      <c r="O151" s="107" t="n"/>
      <c r="P151" s="107" t="n"/>
      <c r="Q151" s="107" t="n"/>
      <c r="R151" s="107" t="n"/>
      <c r="S151" s="107" t="n"/>
      <c r="T151" s="107" t="n"/>
      <c r="U151" s="107" t="n"/>
      <c r="V151" s="107" t="n"/>
      <c r="W151" s="107" t="n"/>
      <c r="X151" s="107" t="n"/>
      <c r="Y151" s="107" t="n"/>
      <c r="Z151" s="107" t="n"/>
      <c r="AA151" s="226" t="n"/>
      <c r="AB151" s="226" t="n"/>
      <c r="AC151" s="226" t="n"/>
      <c r="AD151" s="226" t="n"/>
      <c r="AE151" s="226" t="n"/>
      <c r="AF151" s="226" t="n"/>
      <c r="AG151" s="226" t="n"/>
      <c r="AH151" s="226" t="n"/>
      <c r="AI151" s="226" t="n"/>
      <c r="AJ151" s="226" t="n"/>
      <c r="AK151" s="226" t="n"/>
      <c r="AL151" s="227" t="n"/>
    </row>
    <row r="152">
      <c r="B152" s="94" t="n"/>
      <c r="C152" s="105" t="n"/>
      <c r="D152" s="105" t="n"/>
      <c r="E152" s="105" t="n"/>
      <c r="F152" s="105" t="n"/>
      <c r="G152" s="105" t="n"/>
      <c r="H152" s="105" t="n"/>
      <c r="I152" s="106" t="n"/>
      <c r="J152" s="105" t="n"/>
      <c r="K152" s="95" t="n"/>
      <c r="L152" s="107" t="n"/>
      <c r="M152" s="107" t="n"/>
      <c r="N152" s="107" t="n"/>
      <c r="O152" s="107" t="n"/>
      <c r="P152" s="107" t="n"/>
      <c r="Q152" s="107" t="n"/>
      <c r="R152" s="107" t="n"/>
      <c r="S152" s="107" t="n"/>
      <c r="T152" s="107" t="n"/>
      <c r="U152" s="107" t="n"/>
      <c r="V152" s="107" t="n"/>
      <c r="W152" s="107" t="n"/>
      <c r="X152" s="107" t="n"/>
      <c r="Y152" s="107" t="n"/>
      <c r="Z152" s="107" t="n"/>
      <c r="AA152" s="226" t="n"/>
      <c r="AB152" s="226" t="n"/>
      <c r="AC152" s="226" t="n"/>
      <c r="AD152" s="226" t="n"/>
      <c r="AE152" s="226" t="n"/>
      <c r="AF152" s="226" t="n"/>
      <c r="AG152" s="226" t="n"/>
      <c r="AH152" s="226" t="n"/>
      <c r="AI152" s="226" t="n"/>
      <c r="AJ152" s="226" t="n"/>
      <c r="AK152" s="226" t="n"/>
      <c r="AL152" s="227" t="n"/>
    </row>
    <row r="153">
      <c r="B153" s="94" t="n"/>
      <c r="C153" s="105" t="n"/>
      <c r="D153" s="105" t="n"/>
      <c r="E153" s="105" t="n"/>
      <c r="F153" s="105" t="n"/>
      <c r="G153" s="105" t="n"/>
      <c r="H153" s="105" t="n"/>
      <c r="I153" s="106" t="n"/>
      <c r="J153" s="105" t="n"/>
      <c r="K153" s="95" t="n"/>
      <c r="L153" s="107" t="n"/>
      <c r="M153" s="107" t="n"/>
      <c r="N153" s="107" t="n"/>
      <c r="O153" s="107" t="n"/>
      <c r="P153" s="107" t="n"/>
      <c r="Q153" s="107" t="n"/>
      <c r="R153" s="107" t="n"/>
      <c r="S153" s="107" t="n"/>
      <c r="T153" s="107" t="n"/>
      <c r="U153" s="107" t="n"/>
      <c r="V153" s="107" t="n"/>
      <c r="W153" s="107" t="n"/>
      <c r="X153" s="107" t="n"/>
      <c r="Y153" s="107" t="n"/>
      <c r="Z153" s="107" t="n"/>
      <c r="AA153" s="226" t="n"/>
      <c r="AB153" s="226" t="n"/>
      <c r="AC153" s="226" t="n"/>
      <c r="AD153" s="226" t="n"/>
      <c r="AE153" s="226" t="n"/>
      <c r="AF153" s="226" t="n"/>
      <c r="AG153" s="226" t="n"/>
      <c r="AH153" s="226" t="n"/>
      <c r="AI153" s="226" t="n"/>
      <c r="AJ153" s="226" t="n"/>
      <c r="AK153" s="226" t="n"/>
      <c r="AL153" s="227" t="n"/>
    </row>
    <row r="154">
      <c r="B154" s="94" t="n"/>
      <c r="C154" s="105" t="n"/>
      <c r="D154" s="105" t="n"/>
      <c r="E154" s="105" t="n"/>
      <c r="F154" s="105" t="n"/>
      <c r="G154" s="105" t="n"/>
      <c r="H154" s="105" t="n"/>
      <c r="I154" s="106" t="n"/>
      <c r="J154" s="105" t="n"/>
      <c r="K154" s="95" t="n"/>
      <c r="L154" s="107" t="n"/>
      <c r="M154" s="107" t="n"/>
      <c r="N154" s="107" t="n"/>
      <c r="O154" s="107" t="n"/>
      <c r="P154" s="107" t="n"/>
      <c r="Q154" s="107" t="n"/>
      <c r="R154" s="107" t="n"/>
      <c r="S154" s="107" t="n"/>
      <c r="T154" s="107" t="n"/>
      <c r="U154" s="107" t="n"/>
      <c r="V154" s="107" t="n"/>
      <c r="W154" s="107" t="n"/>
      <c r="X154" s="107" t="n"/>
      <c r="Y154" s="107" t="n"/>
      <c r="Z154" s="107" t="n"/>
      <c r="AA154" s="226" t="n"/>
      <c r="AB154" s="226" t="n"/>
      <c r="AC154" s="226" t="n"/>
      <c r="AD154" s="226" t="n"/>
      <c r="AE154" s="226" t="n"/>
      <c r="AF154" s="226" t="n"/>
      <c r="AG154" s="226" t="n"/>
      <c r="AH154" s="226" t="n"/>
      <c r="AI154" s="226" t="n"/>
      <c r="AJ154" s="226" t="n"/>
      <c r="AK154" s="226" t="n"/>
      <c r="AL154" s="227" t="n"/>
    </row>
    <row r="155">
      <c r="B155" s="94" t="n"/>
      <c r="C155" s="105" t="n"/>
      <c r="D155" s="105" t="n"/>
      <c r="E155" s="105" t="n"/>
      <c r="F155" s="105" t="n"/>
      <c r="G155" s="105" t="n"/>
      <c r="H155" s="105" t="n"/>
      <c r="I155" s="106" t="n"/>
      <c r="J155" s="105" t="n"/>
      <c r="K155" s="95" t="n"/>
      <c r="L155" s="107" t="n"/>
      <c r="M155" s="107" t="n"/>
      <c r="N155" s="107" t="n"/>
      <c r="O155" s="107" t="n"/>
      <c r="P155" s="107" t="n"/>
      <c r="Q155" s="107" t="n"/>
      <c r="R155" s="107" t="n"/>
      <c r="S155" s="107" t="n"/>
      <c r="T155" s="107" t="n"/>
      <c r="U155" s="107" t="n"/>
      <c r="V155" s="107" t="n"/>
      <c r="W155" s="107" t="n"/>
      <c r="X155" s="107" t="n"/>
      <c r="Y155" s="107" t="n"/>
      <c r="Z155" s="107" t="n"/>
      <c r="AA155" s="226" t="n"/>
      <c r="AB155" s="226" t="n"/>
      <c r="AC155" s="226" t="n"/>
      <c r="AD155" s="226" t="n"/>
      <c r="AE155" s="226" t="n"/>
      <c r="AF155" s="226" t="n"/>
      <c r="AG155" s="226" t="n"/>
      <c r="AH155" s="226" t="n"/>
      <c r="AI155" s="226" t="n"/>
      <c r="AJ155" s="226" t="n"/>
      <c r="AK155" s="226" t="n"/>
      <c r="AL155" s="227" t="n"/>
    </row>
    <row r="156">
      <c r="B156" s="94" t="n"/>
      <c r="C156" s="105" t="n"/>
      <c r="D156" s="105" t="n"/>
      <c r="E156" s="105" t="n"/>
      <c r="F156" s="105" t="n"/>
      <c r="G156" s="105" t="n"/>
      <c r="H156" s="105" t="n"/>
      <c r="I156" s="106" t="n"/>
      <c r="J156" s="105" t="n"/>
      <c r="K156" s="95" t="n"/>
      <c r="L156" s="107" t="n"/>
      <c r="M156" s="107" t="n"/>
      <c r="N156" s="107" t="n"/>
      <c r="O156" s="107" t="n"/>
      <c r="P156" s="107" t="n"/>
      <c r="Q156" s="107" t="n"/>
      <c r="R156" s="107" t="n"/>
      <c r="S156" s="107" t="n"/>
      <c r="T156" s="107" t="n"/>
      <c r="U156" s="107" t="n"/>
      <c r="V156" s="107" t="n"/>
      <c r="W156" s="107" t="n"/>
      <c r="X156" s="107" t="n"/>
      <c r="Y156" s="107" t="n"/>
      <c r="Z156" s="107" t="n"/>
      <c r="AA156" s="226" t="n"/>
      <c r="AB156" s="226" t="n"/>
      <c r="AC156" s="226" t="n"/>
      <c r="AD156" s="226" t="n"/>
      <c r="AE156" s="226" t="n"/>
      <c r="AF156" s="226" t="n"/>
      <c r="AG156" s="226" t="n"/>
      <c r="AH156" s="226" t="n"/>
      <c r="AI156" s="226" t="n"/>
      <c r="AJ156" s="226" t="n"/>
      <c r="AK156" s="226" t="n"/>
      <c r="AL156" s="227" t="n"/>
    </row>
    <row r="157">
      <c r="B157" s="94" t="n"/>
      <c r="C157" s="105" t="n"/>
      <c r="D157" s="105" t="n"/>
      <c r="E157" s="105" t="n"/>
      <c r="F157" s="105" t="n"/>
      <c r="G157" s="105" t="n"/>
      <c r="H157" s="105" t="n"/>
      <c r="I157" s="106" t="n"/>
      <c r="J157" s="105" t="n"/>
      <c r="K157" s="95" t="n"/>
      <c r="L157" s="107" t="n"/>
      <c r="M157" s="107" t="n"/>
      <c r="N157" s="107" t="n"/>
      <c r="O157" s="107" t="n"/>
      <c r="P157" s="107" t="n"/>
      <c r="Q157" s="107" t="n"/>
      <c r="R157" s="107" t="n"/>
      <c r="S157" s="107" t="n"/>
      <c r="T157" s="107" t="n"/>
      <c r="U157" s="107" t="n"/>
      <c r="V157" s="107" t="n"/>
      <c r="W157" s="107" t="n"/>
      <c r="X157" s="107" t="n"/>
      <c r="Y157" s="107" t="n"/>
      <c r="Z157" s="107" t="n"/>
      <c r="AA157" s="226" t="n"/>
      <c r="AB157" s="226" t="n"/>
      <c r="AC157" s="226" t="n"/>
      <c r="AD157" s="226" t="n"/>
      <c r="AE157" s="226" t="n"/>
      <c r="AF157" s="226" t="n"/>
      <c r="AG157" s="226" t="n"/>
      <c r="AH157" s="226" t="n"/>
      <c r="AI157" s="226" t="n"/>
      <c r="AJ157" s="226" t="n"/>
      <c r="AK157" s="226" t="n"/>
      <c r="AL157" s="227" t="n"/>
    </row>
    <row r="158">
      <c r="B158" s="94" t="n"/>
      <c r="C158" s="105" t="n"/>
      <c r="D158" s="105" t="n"/>
      <c r="E158" s="105" t="n"/>
      <c r="F158" s="105" t="n"/>
      <c r="G158" s="105" t="n"/>
      <c r="H158" s="105" t="n"/>
      <c r="I158" s="106" t="n"/>
      <c r="J158" s="105" t="n"/>
      <c r="K158" s="95" t="n"/>
      <c r="L158" s="107" t="n"/>
      <c r="M158" s="107" t="n"/>
      <c r="N158" s="107" t="n"/>
      <c r="O158" s="107" t="n"/>
      <c r="P158" s="107" t="n"/>
      <c r="Q158" s="107" t="n"/>
      <c r="R158" s="107" t="n"/>
      <c r="S158" s="107" t="n"/>
      <c r="T158" s="107" t="n"/>
      <c r="U158" s="107" t="n"/>
      <c r="V158" s="107" t="n"/>
      <c r="W158" s="107" t="n"/>
      <c r="X158" s="107" t="n"/>
      <c r="Y158" s="107" t="n"/>
      <c r="Z158" s="107" t="n"/>
      <c r="AA158" s="226" t="n"/>
      <c r="AB158" s="226" t="n"/>
      <c r="AC158" s="226" t="n"/>
      <c r="AD158" s="226" t="n"/>
      <c r="AE158" s="226" t="n"/>
      <c r="AF158" s="226" t="n"/>
      <c r="AG158" s="226" t="n"/>
      <c r="AH158" s="226" t="n"/>
      <c r="AI158" s="226" t="n"/>
      <c r="AJ158" s="226" t="n"/>
      <c r="AK158" s="226" t="n"/>
      <c r="AL158" s="227" t="n"/>
    </row>
    <row r="159">
      <c r="B159" s="94" t="n"/>
      <c r="C159" s="105" t="n"/>
      <c r="D159" s="105" t="n"/>
      <c r="E159" s="105" t="n"/>
      <c r="F159" s="105" t="n"/>
      <c r="G159" s="105" t="n"/>
      <c r="H159" s="105" t="n"/>
      <c r="I159" s="106" t="n"/>
      <c r="J159" s="105" t="n"/>
      <c r="K159" s="95" t="n"/>
      <c r="L159" s="107" t="n"/>
      <c r="M159" s="107" t="n"/>
      <c r="N159" s="107" t="n"/>
      <c r="O159" s="107" t="n"/>
      <c r="P159" s="107" t="n"/>
      <c r="Q159" s="107" t="n"/>
      <c r="R159" s="107" t="n"/>
      <c r="S159" s="107" t="n"/>
      <c r="T159" s="107" t="n"/>
      <c r="U159" s="107" t="n"/>
      <c r="V159" s="107" t="n"/>
      <c r="W159" s="107" t="n"/>
      <c r="X159" s="107" t="n"/>
      <c r="Y159" s="107" t="n"/>
      <c r="Z159" s="107" t="n"/>
      <c r="AA159" s="226" t="n"/>
      <c r="AB159" s="226" t="n"/>
      <c r="AC159" s="226" t="n"/>
      <c r="AD159" s="226" t="n"/>
      <c r="AE159" s="226" t="n"/>
      <c r="AF159" s="226" t="n"/>
      <c r="AG159" s="226" t="n"/>
      <c r="AH159" s="226" t="n"/>
      <c r="AI159" s="226" t="n"/>
      <c r="AJ159" s="226" t="n"/>
      <c r="AK159" s="226" t="n"/>
      <c r="AL159" s="227" t="n"/>
    </row>
    <row r="160">
      <c r="B160" s="94" t="n"/>
      <c r="C160" s="105" t="n"/>
      <c r="D160" s="105" t="n"/>
      <c r="E160" s="105" t="n"/>
      <c r="F160" s="105" t="n"/>
      <c r="G160" s="105" t="n"/>
      <c r="H160" s="105" t="n"/>
      <c r="I160" s="106" t="n"/>
      <c r="J160" s="105" t="n"/>
      <c r="K160" s="95" t="n"/>
      <c r="L160" s="107" t="n"/>
      <c r="M160" s="107" t="n"/>
      <c r="N160" s="107" t="n"/>
      <c r="O160" s="107" t="n"/>
      <c r="P160" s="107" t="n"/>
      <c r="Q160" s="107" t="n"/>
      <c r="R160" s="107" t="n"/>
      <c r="S160" s="107" t="n"/>
      <c r="T160" s="107" t="n"/>
      <c r="U160" s="107" t="n"/>
      <c r="V160" s="107" t="n"/>
      <c r="W160" s="107" t="n"/>
      <c r="X160" s="107" t="n"/>
      <c r="Y160" s="107" t="n"/>
      <c r="Z160" s="107" t="n"/>
      <c r="AA160" s="226" t="n"/>
      <c r="AB160" s="226" t="n"/>
      <c r="AC160" s="226" t="n"/>
      <c r="AD160" s="226" t="n"/>
      <c r="AE160" s="226" t="n"/>
      <c r="AF160" s="226" t="n"/>
      <c r="AG160" s="226" t="n"/>
      <c r="AH160" s="226" t="n"/>
      <c r="AI160" s="226" t="n"/>
      <c r="AJ160" s="226" t="n"/>
      <c r="AK160" s="226" t="n"/>
      <c r="AL160" s="227" t="n"/>
    </row>
    <row r="161">
      <c r="B161" s="94" t="n"/>
      <c r="C161" s="105" t="n"/>
      <c r="D161" s="105" t="n"/>
      <c r="E161" s="105" t="n"/>
      <c r="F161" s="105" t="n"/>
      <c r="G161" s="105" t="n"/>
      <c r="H161" s="105" t="n"/>
      <c r="I161" s="106" t="n"/>
      <c r="J161" s="105" t="n"/>
      <c r="K161" s="95" t="n"/>
      <c r="L161" s="107" t="n"/>
      <c r="M161" s="107" t="n"/>
      <c r="N161" s="107" t="n"/>
      <c r="O161" s="107" t="n"/>
      <c r="P161" s="107" t="n"/>
      <c r="Q161" s="107" t="n"/>
      <c r="R161" s="107" t="n"/>
      <c r="S161" s="107" t="n"/>
      <c r="T161" s="107" t="n"/>
      <c r="U161" s="107" t="n"/>
      <c r="V161" s="107" t="n"/>
      <c r="W161" s="107" t="n"/>
      <c r="X161" s="107" t="n"/>
      <c r="Y161" s="107" t="n"/>
      <c r="Z161" s="107" t="n"/>
      <c r="AA161" s="226" t="n"/>
      <c r="AB161" s="226" t="n"/>
      <c r="AC161" s="226" t="n"/>
      <c r="AD161" s="226" t="n"/>
      <c r="AE161" s="226" t="n"/>
      <c r="AF161" s="226" t="n"/>
      <c r="AG161" s="226" t="n"/>
      <c r="AH161" s="226" t="n"/>
      <c r="AI161" s="226" t="n"/>
      <c r="AJ161" s="226" t="n"/>
      <c r="AK161" s="226" t="n"/>
      <c r="AL161" s="227" t="n"/>
    </row>
    <row r="162">
      <c r="B162" s="94" t="n"/>
      <c r="C162" s="105" t="n"/>
      <c r="D162" s="105" t="n"/>
      <c r="E162" s="105" t="n"/>
      <c r="F162" s="105" t="n"/>
      <c r="G162" s="105" t="n"/>
      <c r="H162" s="105" t="n"/>
      <c r="I162" s="106" t="n"/>
      <c r="J162" s="105" t="n"/>
      <c r="K162" s="95" t="n"/>
      <c r="L162" s="107" t="n"/>
      <c r="M162" s="107" t="n"/>
      <c r="N162" s="107" t="n"/>
      <c r="O162" s="107" t="n"/>
      <c r="P162" s="107" t="n"/>
      <c r="Q162" s="107" t="n"/>
      <c r="R162" s="107" t="n"/>
      <c r="S162" s="107" t="n"/>
      <c r="T162" s="107" t="n"/>
      <c r="U162" s="107" t="n"/>
      <c r="V162" s="107" t="n"/>
      <c r="W162" s="107" t="n"/>
      <c r="X162" s="107" t="n"/>
      <c r="Y162" s="107" t="n"/>
      <c r="Z162" s="107" t="n"/>
      <c r="AA162" s="226" t="n"/>
      <c r="AB162" s="226" t="n"/>
      <c r="AC162" s="226" t="n"/>
      <c r="AD162" s="226" t="n"/>
      <c r="AE162" s="226" t="n"/>
      <c r="AF162" s="226" t="n"/>
      <c r="AG162" s="226" t="n"/>
      <c r="AH162" s="226" t="n"/>
      <c r="AI162" s="226" t="n"/>
      <c r="AJ162" s="226" t="n"/>
      <c r="AK162" s="226" t="n"/>
      <c r="AL162" s="227" t="n"/>
    </row>
    <row r="163">
      <c r="B163" s="94" t="n"/>
      <c r="C163" s="105" t="n"/>
      <c r="D163" s="105" t="n"/>
      <c r="E163" s="105" t="n"/>
      <c r="F163" s="105" t="n"/>
      <c r="G163" s="105" t="n"/>
      <c r="H163" s="105" t="n"/>
      <c r="I163" s="106" t="n"/>
      <c r="J163" s="105" t="n"/>
      <c r="K163" s="95" t="n"/>
      <c r="L163" s="107" t="n"/>
      <c r="M163" s="107" t="n"/>
      <c r="N163" s="107" t="n"/>
      <c r="O163" s="107" t="n"/>
      <c r="P163" s="107" t="n"/>
      <c r="Q163" s="107" t="n"/>
      <c r="R163" s="107" t="n"/>
      <c r="S163" s="107" t="n"/>
      <c r="T163" s="107" t="n"/>
      <c r="U163" s="107" t="n"/>
      <c r="V163" s="107" t="n"/>
      <c r="W163" s="107" t="n"/>
      <c r="X163" s="107" t="n"/>
      <c r="Y163" s="107" t="n"/>
      <c r="Z163" s="107" t="n"/>
      <c r="AA163" s="226" t="n"/>
      <c r="AB163" s="226" t="n"/>
      <c r="AC163" s="226" t="n"/>
      <c r="AD163" s="226" t="n"/>
      <c r="AE163" s="226" t="n"/>
      <c r="AF163" s="226" t="n"/>
      <c r="AG163" s="226" t="n"/>
      <c r="AH163" s="226" t="n"/>
      <c r="AI163" s="226" t="n"/>
      <c r="AJ163" s="226" t="n"/>
      <c r="AK163" s="226" t="n"/>
      <c r="AL163" s="227" t="n"/>
    </row>
    <row r="164">
      <c r="B164" s="94" t="n"/>
      <c r="C164" s="105" t="n"/>
      <c r="D164" s="105" t="n"/>
      <c r="E164" s="105" t="n"/>
      <c r="F164" s="105" t="n"/>
      <c r="G164" s="105" t="n"/>
      <c r="H164" s="105" t="n"/>
      <c r="I164" s="106" t="n"/>
      <c r="J164" s="105" t="n"/>
      <c r="K164" s="95" t="n"/>
      <c r="L164" s="107" t="n"/>
      <c r="M164" s="107" t="n"/>
      <c r="N164" s="107" t="n"/>
      <c r="O164" s="107" t="n"/>
      <c r="P164" s="107" t="n"/>
      <c r="Q164" s="107" t="n"/>
      <c r="R164" s="107" t="n"/>
      <c r="S164" s="107" t="n"/>
      <c r="T164" s="107" t="n"/>
      <c r="U164" s="107" t="n"/>
      <c r="V164" s="107" t="n"/>
      <c r="W164" s="107" t="n"/>
      <c r="X164" s="107" t="n"/>
      <c r="Y164" s="107" t="n"/>
      <c r="Z164" s="107" t="n"/>
      <c r="AA164" s="226" t="n"/>
      <c r="AB164" s="226" t="n"/>
      <c r="AC164" s="226" t="n"/>
      <c r="AD164" s="226" t="n"/>
      <c r="AE164" s="226" t="n"/>
      <c r="AF164" s="226" t="n"/>
      <c r="AG164" s="226" t="n"/>
      <c r="AH164" s="226" t="n"/>
      <c r="AI164" s="226" t="n"/>
      <c r="AJ164" s="226" t="n"/>
      <c r="AK164" s="226" t="n"/>
      <c r="AL164" s="227" t="n"/>
    </row>
    <row r="165">
      <c r="B165" s="94" t="n"/>
      <c r="C165" s="105" t="n"/>
      <c r="D165" s="105" t="n"/>
      <c r="E165" s="105" t="n"/>
      <c r="F165" s="105" t="n"/>
      <c r="G165" s="105" t="n"/>
      <c r="H165" s="105" t="n"/>
      <c r="I165" s="106" t="n"/>
      <c r="J165" s="105" t="n"/>
      <c r="K165" s="95" t="n"/>
      <c r="L165" s="107" t="n"/>
      <c r="M165" s="107" t="n"/>
      <c r="N165" s="107" t="n"/>
      <c r="O165" s="107" t="n"/>
      <c r="P165" s="107" t="n"/>
      <c r="Q165" s="107" t="n"/>
      <c r="R165" s="107" t="n"/>
      <c r="S165" s="107" t="n"/>
      <c r="T165" s="107" t="n"/>
      <c r="U165" s="107" t="n"/>
      <c r="V165" s="107" t="n"/>
      <c r="W165" s="107" t="n"/>
      <c r="X165" s="107" t="n"/>
      <c r="Y165" s="107" t="n"/>
      <c r="Z165" s="107" t="n"/>
      <c r="AA165" s="226" t="n"/>
      <c r="AB165" s="226" t="n"/>
      <c r="AC165" s="226" t="n"/>
      <c r="AD165" s="226" t="n"/>
      <c r="AE165" s="226" t="n"/>
      <c r="AF165" s="226" t="n"/>
      <c r="AG165" s="226" t="n"/>
      <c r="AH165" s="226" t="n"/>
      <c r="AI165" s="226" t="n"/>
      <c r="AJ165" s="226" t="n"/>
      <c r="AK165" s="226" t="n"/>
      <c r="AL165" s="227" t="n"/>
    </row>
    <row r="166">
      <c r="B166" s="94" t="n"/>
      <c r="C166" s="105" t="n"/>
      <c r="D166" s="105" t="n"/>
      <c r="E166" s="105" t="n"/>
      <c r="F166" s="105" t="n"/>
      <c r="G166" s="105" t="n"/>
      <c r="H166" s="105" t="n"/>
      <c r="I166" s="106" t="n"/>
      <c r="J166" s="105" t="n"/>
      <c r="K166" s="95" t="n"/>
      <c r="L166" s="107" t="n"/>
      <c r="M166" s="107" t="n"/>
      <c r="N166" s="107" t="n"/>
      <c r="O166" s="107" t="n"/>
      <c r="P166" s="107" t="n"/>
      <c r="Q166" s="107" t="n"/>
      <c r="R166" s="107" t="n"/>
      <c r="S166" s="107" t="n"/>
      <c r="T166" s="107" t="n"/>
      <c r="U166" s="107" t="n"/>
      <c r="V166" s="107" t="n"/>
      <c r="W166" s="107" t="n"/>
      <c r="X166" s="107" t="n"/>
      <c r="Y166" s="107" t="n"/>
      <c r="Z166" s="107" t="n"/>
      <c r="AA166" s="226" t="n"/>
      <c r="AB166" s="226" t="n"/>
      <c r="AC166" s="226" t="n"/>
      <c r="AD166" s="226" t="n"/>
      <c r="AE166" s="226" t="n"/>
      <c r="AF166" s="226" t="n"/>
      <c r="AG166" s="226" t="n"/>
      <c r="AH166" s="226" t="n"/>
      <c r="AI166" s="226" t="n"/>
      <c r="AJ166" s="226" t="n"/>
      <c r="AK166" s="226" t="n"/>
      <c r="AL166" s="227" t="n"/>
    </row>
    <row r="167">
      <c r="B167" s="94" t="n"/>
      <c r="C167" s="105" t="n"/>
      <c r="D167" s="105" t="n"/>
      <c r="E167" s="105" t="n"/>
      <c r="F167" s="105" t="n"/>
      <c r="G167" s="105" t="n"/>
      <c r="H167" s="105" t="n"/>
      <c r="I167" s="106" t="n"/>
      <c r="J167" s="105" t="n"/>
      <c r="K167" s="95" t="n"/>
      <c r="L167" s="107" t="n"/>
      <c r="M167" s="107" t="n"/>
      <c r="N167" s="107" t="n"/>
      <c r="O167" s="107" t="n"/>
      <c r="P167" s="107" t="n"/>
      <c r="Q167" s="107" t="n"/>
      <c r="R167" s="107" t="n"/>
      <c r="S167" s="107" t="n"/>
      <c r="T167" s="107" t="n"/>
      <c r="U167" s="107" t="n"/>
      <c r="V167" s="107" t="n"/>
      <c r="W167" s="107" t="n"/>
      <c r="X167" s="107" t="n"/>
      <c r="Y167" s="107" t="n"/>
      <c r="Z167" s="107" t="n"/>
      <c r="AA167" s="226" t="n"/>
      <c r="AB167" s="226" t="n"/>
      <c r="AC167" s="226" t="n"/>
      <c r="AD167" s="226" t="n"/>
      <c r="AE167" s="226" t="n"/>
      <c r="AF167" s="226" t="n"/>
      <c r="AG167" s="226" t="n"/>
      <c r="AH167" s="226" t="n"/>
      <c r="AI167" s="226" t="n"/>
      <c r="AJ167" s="226" t="n"/>
      <c r="AK167" s="226" t="n"/>
      <c r="AL167" s="227" t="n"/>
    </row>
    <row r="168">
      <c r="B168" s="94" t="n"/>
      <c r="C168" s="105" t="n"/>
      <c r="D168" s="105" t="n"/>
      <c r="E168" s="105" t="n"/>
      <c r="F168" s="105" t="n"/>
      <c r="G168" s="105" t="n"/>
      <c r="H168" s="105" t="n"/>
      <c r="I168" s="106" t="n"/>
      <c r="J168" s="105" t="n"/>
      <c r="K168" s="95" t="n"/>
      <c r="L168" s="107" t="n"/>
      <c r="M168" s="107" t="n"/>
      <c r="N168" s="107" t="n"/>
      <c r="O168" s="107" t="n"/>
      <c r="P168" s="107" t="n"/>
      <c r="Q168" s="107" t="n"/>
      <c r="R168" s="107" t="n"/>
      <c r="S168" s="107" t="n"/>
      <c r="T168" s="107" t="n"/>
      <c r="U168" s="107" t="n"/>
      <c r="V168" s="107" t="n"/>
      <c r="W168" s="107" t="n"/>
      <c r="X168" s="107" t="n"/>
      <c r="Y168" s="107" t="n"/>
      <c r="Z168" s="107" t="n"/>
      <c r="AA168" s="226" t="n"/>
      <c r="AB168" s="226" t="n"/>
      <c r="AC168" s="226" t="n"/>
      <c r="AD168" s="226" t="n"/>
      <c r="AE168" s="226" t="n"/>
      <c r="AF168" s="226" t="n"/>
      <c r="AG168" s="226" t="n"/>
      <c r="AH168" s="226" t="n"/>
      <c r="AI168" s="226" t="n"/>
      <c r="AJ168" s="226" t="n"/>
      <c r="AK168" s="226" t="n"/>
      <c r="AL168" s="227" t="n"/>
    </row>
    <row r="169">
      <c r="B169" s="94" t="n"/>
      <c r="C169" s="105" t="n"/>
      <c r="D169" s="105" t="n"/>
      <c r="E169" s="105" t="n"/>
      <c r="F169" s="105" t="n"/>
      <c r="G169" s="105" t="n"/>
      <c r="H169" s="105" t="n"/>
      <c r="I169" s="106" t="n"/>
      <c r="J169" s="105" t="n"/>
      <c r="K169" s="95" t="n"/>
      <c r="L169" s="107" t="n"/>
      <c r="M169" s="107" t="n"/>
      <c r="N169" s="107" t="n"/>
      <c r="O169" s="107" t="n"/>
      <c r="P169" s="107" t="n"/>
      <c r="Q169" s="107" t="n"/>
      <c r="R169" s="107" t="n"/>
      <c r="S169" s="107" t="n"/>
      <c r="T169" s="107" t="n"/>
      <c r="U169" s="107" t="n"/>
      <c r="V169" s="107" t="n"/>
      <c r="W169" s="107" t="n"/>
      <c r="X169" s="107" t="n"/>
      <c r="Y169" s="107" t="n"/>
      <c r="Z169" s="107" t="n"/>
      <c r="AA169" s="226" t="n"/>
      <c r="AB169" s="226" t="n"/>
      <c r="AC169" s="226" t="n"/>
      <c r="AD169" s="226" t="n"/>
      <c r="AE169" s="226" t="n"/>
      <c r="AF169" s="226" t="n"/>
      <c r="AG169" s="226" t="n"/>
      <c r="AH169" s="226" t="n"/>
      <c r="AI169" s="226" t="n"/>
      <c r="AJ169" s="226" t="n"/>
      <c r="AK169" s="226" t="n"/>
      <c r="AL169" s="227" t="n"/>
    </row>
    <row r="170">
      <c r="B170" s="94" t="n"/>
      <c r="C170" s="105" t="n"/>
      <c r="D170" s="105" t="n"/>
      <c r="E170" s="105" t="n"/>
      <c r="F170" s="105" t="n"/>
      <c r="G170" s="105" t="n"/>
      <c r="H170" s="105" t="n"/>
      <c r="I170" s="106" t="n"/>
      <c r="J170" s="105" t="n"/>
      <c r="K170" s="95" t="n"/>
      <c r="L170" s="107" t="n"/>
      <c r="M170" s="107" t="n"/>
      <c r="N170" s="107" t="n"/>
      <c r="O170" s="107" t="n"/>
      <c r="P170" s="107" t="n"/>
      <c r="Q170" s="107" t="n"/>
      <c r="R170" s="107" t="n"/>
      <c r="S170" s="107" t="n"/>
      <c r="T170" s="107" t="n"/>
      <c r="U170" s="107" t="n"/>
      <c r="V170" s="107" t="n"/>
      <c r="W170" s="107" t="n"/>
      <c r="X170" s="107" t="n"/>
      <c r="Y170" s="107" t="n"/>
      <c r="Z170" s="107" t="n"/>
      <c r="AA170" s="226" t="n"/>
      <c r="AB170" s="226" t="n"/>
      <c r="AC170" s="226" t="n"/>
      <c r="AD170" s="226" t="n"/>
      <c r="AE170" s="226" t="n"/>
      <c r="AF170" s="226" t="n"/>
      <c r="AG170" s="226" t="n"/>
      <c r="AH170" s="226" t="n"/>
      <c r="AI170" s="226" t="n"/>
      <c r="AJ170" s="226" t="n"/>
      <c r="AK170" s="226" t="n"/>
      <c r="AL170" s="227" t="n"/>
    </row>
    <row r="171">
      <c r="B171" s="94" t="n"/>
      <c r="C171" s="105" t="n"/>
      <c r="D171" s="105" t="n"/>
      <c r="E171" s="105" t="n"/>
      <c r="F171" s="105" t="n"/>
      <c r="G171" s="105" t="n"/>
      <c r="H171" s="105" t="n"/>
      <c r="I171" s="106" t="n"/>
      <c r="J171" s="105" t="n"/>
      <c r="K171" s="95" t="n"/>
      <c r="L171" s="107" t="n"/>
      <c r="M171" s="107" t="n"/>
      <c r="N171" s="107" t="n"/>
      <c r="O171" s="107" t="n"/>
      <c r="P171" s="107" t="n"/>
      <c r="Q171" s="107" t="n"/>
      <c r="R171" s="107" t="n"/>
      <c r="S171" s="107" t="n"/>
      <c r="T171" s="107" t="n"/>
      <c r="U171" s="107" t="n"/>
      <c r="V171" s="107" t="n"/>
      <c r="W171" s="107" t="n"/>
      <c r="X171" s="107" t="n"/>
      <c r="Y171" s="107" t="n"/>
      <c r="Z171" s="107" t="n"/>
      <c r="AA171" s="226" t="n"/>
      <c r="AB171" s="226" t="n"/>
      <c r="AC171" s="226" t="n"/>
      <c r="AD171" s="226" t="n"/>
      <c r="AE171" s="226" t="n"/>
      <c r="AF171" s="226" t="n"/>
      <c r="AG171" s="226" t="n"/>
      <c r="AH171" s="226" t="n"/>
      <c r="AI171" s="226" t="n"/>
      <c r="AJ171" s="226" t="n"/>
      <c r="AK171" s="226" t="n"/>
      <c r="AL171" s="227" t="n"/>
    </row>
    <row r="172">
      <c r="B172" s="94" t="n"/>
      <c r="C172" s="105" t="n"/>
      <c r="D172" s="105" t="n"/>
      <c r="E172" s="105" t="n"/>
      <c r="F172" s="105" t="n"/>
      <c r="G172" s="105" t="n"/>
      <c r="H172" s="105" t="n"/>
      <c r="I172" s="106" t="n"/>
      <c r="J172" s="105" t="n"/>
      <c r="K172" s="95" t="n"/>
      <c r="L172" s="107" t="n"/>
      <c r="M172" s="107" t="n"/>
      <c r="N172" s="107" t="n"/>
      <c r="O172" s="107" t="n"/>
      <c r="P172" s="107" t="n"/>
      <c r="Q172" s="107" t="n"/>
      <c r="R172" s="107" t="n"/>
      <c r="S172" s="107" t="n"/>
      <c r="T172" s="107" t="n"/>
      <c r="U172" s="107" t="n"/>
      <c r="V172" s="107" t="n"/>
      <c r="W172" s="107" t="n"/>
      <c r="X172" s="107" t="n"/>
      <c r="Y172" s="107" t="n"/>
      <c r="Z172" s="107" t="n"/>
      <c r="AA172" s="226" t="n"/>
      <c r="AB172" s="226" t="n"/>
      <c r="AC172" s="226" t="n"/>
      <c r="AD172" s="226" t="n"/>
      <c r="AE172" s="226" t="n"/>
      <c r="AF172" s="226" t="n"/>
      <c r="AG172" s="226" t="n"/>
      <c r="AH172" s="226" t="n"/>
      <c r="AI172" s="226" t="n"/>
      <c r="AJ172" s="226" t="n"/>
      <c r="AK172" s="226" t="n"/>
      <c r="AL172" s="227" t="n"/>
    </row>
    <row r="173">
      <c r="B173" s="94" t="n"/>
      <c r="C173" s="105" t="n"/>
      <c r="D173" s="105" t="n"/>
      <c r="E173" s="105" t="n"/>
      <c r="F173" s="105" t="n"/>
      <c r="G173" s="105" t="n"/>
      <c r="H173" s="105" t="n"/>
      <c r="I173" s="106" t="n"/>
      <c r="J173" s="105" t="n"/>
      <c r="K173" s="95" t="n"/>
      <c r="L173" s="107" t="n"/>
      <c r="M173" s="107" t="n"/>
      <c r="N173" s="107" t="n"/>
      <c r="O173" s="107" t="n"/>
      <c r="P173" s="107" t="n"/>
      <c r="Q173" s="107" t="n"/>
      <c r="R173" s="107" t="n"/>
      <c r="S173" s="107" t="n"/>
      <c r="T173" s="107" t="n"/>
      <c r="U173" s="107" t="n"/>
      <c r="V173" s="107" t="n"/>
      <c r="W173" s="107" t="n"/>
      <c r="X173" s="107" t="n"/>
      <c r="Y173" s="107" t="n"/>
      <c r="Z173" s="107" t="n"/>
      <c r="AA173" s="226" t="n"/>
      <c r="AB173" s="226" t="n"/>
      <c r="AC173" s="226" t="n"/>
      <c r="AD173" s="226" t="n"/>
      <c r="AE173" s="226" t="n"/>
      <c r="AF173" s="226" t="n"/>
      <c r="AG173" s="226" t="n"/>
      <c r="AH173" s="226" t="n"/>
      <c r="AI173" s="226" t="n"/>
      <c r="AJ173" s="226" t="n"/>
      <c r="AK173" s="226" t="n"/>
      <c r="AL173" s="227" t="n"/>
    </row>
    <row r="174">
      <c r="B174" s="94" t="n"/>
      <c r="C174" s="105" t="n"/>
      <c r="D174" s="105" t="n"/>
      <c r="E174" s="105" t="n"/>
      <c r="F174" s="105" t="n"/>
      <c r="G174" s="105" t="n"/>
      <c r="H174" s="105" t="n"/>
      <c r="I174" s="106" t="n"/>
      <c r="J174" s="105" t="n"/>
      <c r="K174" s="95" t="n"/>
      <c r="L174" s="107" t="n"/>
      <c r="M174" s="107" t="n"/>
      <c r="N174" s="107" t="n"/>
      <c r="O174" s="107" t="n"/>
      <c r="P174" s="107" t="n"/>
      <c r="Q174" s="107" t="n"/>
      <c r="R174" s="107" t="n"/>
      <c r="S174" s="107" t="n"/>
      <c r="T174" s="107" t="n"/>
      <c r="U174" s="107" t="n"/>
      <c r="V174" s="107" t="n"/>
      <c r="W174" s="107" t="n"/>
      <c r="X174" s="107" t="n"/>
      <c r="Y174" s="107" t="n"/>
      <c r="Z174" s="107" t="n"/>
      <c r="AA174" s="226" t="n"/>
      <c r="AB174" s="226" t="n"/>
      <c r="AC174" s="226" t="n"/>
      <c r="AD174" s="226" t="n"/>
      <c r="AE174" s="226" t="n"/>
      <c r="AF174" s="226" t="n"/>
      <c r="AG174" s="226" t="n"/>
      <c r="AH174" s="226" t="n"/>
      <c r="AI174" s="226" t="n"/>
      <c r="AJ174" s="226" t="n"/>
      <c r="AK174" s="226" t="n"/>
      <c r="AL174" s="227" t="n"/>
    </row>
    <row r="175">
      <c r="B175" s="94" t="n"/>
      <c r="C175" s="105" t="n"/>
      <c r="D175" s="105" t="n"/>
      <c r="E175" s="105" t="n"/>
      <c r="F175" s="105" t="n"/>
      <c r="G175" s="105" t="n"/>
      <c r="H175" s="105" t="n"/>
      <c r="I175" s="106" t="n"/>
      <c r="J175" s="105" t="n"/>
      <c r="K175" s="95" t="n"/>
      <c r="L175" s="107" t="n"/>
      <c r="M175" s="107" t="n"/>
      <c r="N175" s="107" t="n"/>
      <c r="O175" s="107" t="n"/>
      <c r="P175" s="107" t="n"/>
      <c r="Q175" s="107" t="n"/>
      <c r="R175" s="107" t="n"/>
      <c r="S175" s="107" t="n"/>
      <c r="T175" s="107" t="n"/>
      <c r="U175" s="107" t="n"/>
      <c r="V175" s="107" t="n"/>
      <c r="W175" s="107" t="n"/>
      <c r="X175" s="107" t="n"/>
      <c r="Y175" s="107" t="n"/>
      <c r="Z175" s="107" t="n"/>
      <c r="AA175" s="226" t="n"/>
      <c r="AB175" s="226" t="n"/>
      <c r="AC175" s="226" t="n"/>
      <c r="AD175" s="226" t="n"/>
      <c r="AE175" s="226" t="n"/>
      <c r="AF175" s="226" t="n"/>
      <c r="AG175" s="226" t="n"/>
      <c r="AH175" s="226" t="n"/>
      <c r="AI175" s="226" t="n"/>
      <c r="AJ175" s="226" t="n"/>
      <c r="AK175" s="226" t="n"/>
      <c r="AL175" s="227" t="n"/>
    </row>
    <row r="176">
      <c r="B176" s="94" t="n"/>
      <c r="C176" s="105" t="n"/>
      <c r="D176" s="105" t="n"/>
      <c r="E176" s="105" t="n"/>
      <c r="F176" s="105" t="n"/>
      <c r="G176" s="105" t="n"/>
      <c r="H176" s="105" t="n"/>
      <c r="I176" s="106" t="n"/>
      <c r="J176" s="105" t="n"/>
      <c r="K176" s="95" t="n"/>
      <c r="L176" s="107" t="n"/>
      <c r="M176" s="107" t="n"/>
      <c r="N176" s="107" t="n"/>
      <c r="O176" s="107" t="n"/>
      <c r="P176" s="107" t="n"/>
      <c r="Q176" s="107" t="n"/>
      <c r="R176" s="107" t="n"/>
      <c r="S176" s="107" t="n"/>
      <c r="T176" s="107" t="n"/>
      <c r="U176" s="107" t="n"/>
      <c r="V176" s="107" t="n"/>
      <c r="W176" s="107" t="n"/>
      <c r="X176" s="107" t="n"/>
      <c r="Y176" s="107" t="n"/>
      <c r="Z176" s="107" t="n"/>
      <c r="AA176" s="226" t="n"/>
      <c r="AB176" s="226" t="n"/>
      <c r="AC176" s="226" t="n"/>
      <c r="AD176" s="226" t="n"/>
      <c r="AE176" s="226" t="n"/>
      <c r="AF176" s="226" t="n"/>
      <c r="AG176" s="226" t="n"/>
      <c r="AH176" s="226" t="n"/>
      <c r="AI176" s="226" t="n"/>
      <c r="AJ176" s="226" t="n"/>
      <c r="AK176" s="226" t="n"/>
      <c r="AL176" s="227" t="n"/>
    </row>
    <row r="177">
      <c r="B177" s="94" t="n"/>
      <c r="C177" s="105" t="n"/>
      <c r="D177" s="105" t="n"/>
      <c r="E177" s="105" t="n"/>
      <c r="F177" s="105" t="n"/>
      <c r="G177" s="105" t="n"/>
      <c r="H177" s="105" t="n"/>
      <c r="I177" s="106" t="n"/>
      <c r="J177" s="105" t="n"/>
      <c r="K177" s="95" t="n"/>
      <c r="L177" s="107" t="n"/>
      <c r="M177" s="107" t="n"/>
      <c r="N177" s="107" t="n"/>
      <c r="O177" s="107" t="n"/>
      <c r="P177" s="107" t="n"/>
      <c r="Q177" s="107" t="n"/>
      <c r="R177" s="107" t="n"/>
      <c r="S177" s="107" t="n"/>
      <c r="T177" s="107" t="n"/>
      <c r="U177" s="107" t="n"/>
      <c r="V177" s="107" t="n"/>
      <c r="W177" s="107" t="n"/>
      <c r="X177" s="107" t="n"/>
      <c r="Y177" s="107" t="n"/>
      <c r="Z177" s="107" t="n"/>
      <c r="AA177" s="226" t="n"/>
      <c r="AB177" s="226" t="n"/>
      <c r="AC177" s="226" t="n"/>
      <c r="AD177" s="226" t="n"/>
      <c r="AE177" s="226" t="n"/>
      <c r="AF177" s="226" t="n"/>
      <c r="AG177" s="226" t="n"/>
      <c r="AH177" s="226" t="n"/>
      <c r="AI177" s="226" t="n"/>
      <c r="AJ177" s="226" t="n"/>
      <c r="AK177" s="226" t="n"/>
      <c r="AL177" s="227" t="n"/>
    </row>
    <row r="178">
      <c r="B178" s="94" t="n"/>
      <c r="C178" s="105" t="n"/>
      <c r="D178" s="105" t="n"/>
      <c r="E178" s="105" t="n"/>
      <c r="F178" s="105" t="n"/>
      <c r="G178" s="105" t="n"/>
      <c r="H178" s="105" t="n"/>
      <c r="I178" s="106" t="n"/>
      <c r="J178" s="105" t="n"/>
      <c r="K178" s="95" t="n"/>
      <c r="L178" s="107" t="n"/>
      <c r="M178" s="107" t="n"/>
      <c r="N178" s="107" t="n"/>
      <c r="O178" s="107" t="n"/>
      <c r="P178" s="107" t="n"/>
      <c r="Q178" s="107" t="n"/>
      <c r="R178" s="107" t="n"/>
      <c r="S178" s="107" t="n"/>
      <c r="T178" s="107" t="n"/>
      <c r="U178" s="107" t="n"/>
      <c r="V178" s="107" t="n"/>
      <c r="W178" s="107" t="n"/>
      <c r="X178" s="107" t="n"/>
      <c r="Y178" s="107" t="n"/>
      <c r="Z178" s="107" t="n"/>
      <c r="AA178" s="226" t="n"/>
      <c r="AB178" s="226" t="n"/>
      <c r="AC178" s="226" t="n"/>
      <c r="AD178" s="226" t="n"/>
      <c r="AE178" s="226" t="n"/>
      <c r="AF178" s="226" t="n"/>
      <c r="AG178" s="226" t="n"/>
      <c r="AH178" s="226" t="n"/>
      <c r="AI178" s="226" t="n"/>
      <c r="AJ178" s="226" t="n"/>
      <c r="AK178" s="226" t="n"/>
      <c r="AL178" s="227" t="n"/>
    </row>
    <row r="179">
      <c r="B179" s="94" t="n"/>
      <c r="C179" s="105" t="n"/>
      <c r="D179" s="105" t="n"/>
      <c r="E179" s="105" t="n"/>
      <c r="F179" s="105" t="n"/>
      <c r="G179" s="105" t="n"/>
      <c r="H179" s="105" t="n"/>
      <c r="I179" s="106" t="n"/>
      <c r="J179" s="105" t="n"/>
      <c r="K179" s="95" t="n"/>
      <c r="L179" s="107" t="n"/>
      <c r="M179" s="107" t="n"/>
      <c r="N179" s="107" t="n"/>
      <c r="O179" s="107" t="n"/>
      <c r="P179" s="107" t="n"/>
      <c r="Q179" s="107" t="n"/>
      <c r="R179" s="107" t="n"/>
      <c r="S179" s="107" t="n"/>
      <c r="T179" s="107" t="n"/>
      <c r="U179" s="107" t="n"/>
      <c r="V179" s="107" t="n"/>
      <c r="W179" s="107" t="n"/>
      <c r="X179" s="107" t="n"/>
      <c r="Y179" s="107" t="n"/>
      <c r="Z179" s="107" t="n"/>
      <c r="AA179" s="226" t="n"/>
      <c r="AB179" s="226" t="n"/>
      <c r="AC179" s="226" t="n"/>
      <c r="AD179" s="226" t="n"/>
      <c r="AE179" s="226" t="n"/>
      <c r="AF179" s="226" t="n"/>
      <c r="AG179" s="226" t="n"/>
      <c r="AH179" s="226" t="n"/>
      <c r="AI179" s="226" t="n"/>
      <c r="AJ179" s="226" t="n"/>
      <c r="AK179" s="226" t="n"/>
      <c r="AL179" s="227" t="n"/>
    </row>
    <row r="180">
      <c r="B180" s="94" t="n"/>
      <c r="C180" s="105" t="n"/>
      <c r="D180" s="105" t="n"/>
      <c r="E180" s="105" t="n"/>
      <c r="F180" s="105" t="n"/>
      <c r="G180" s="105" t="n"/>
      <c r="H180" s="105" t="n"/>
      <c r="I180" s="106" t="n"/>
      <c r="J180" s="105" t="n"/>
      <c r="K180" s="95" t="n"/>
      <c r="L180" s="107" t="n"/>
      <c r="M180" s="107" t="n"/>
      <c r="N180" s="107" t="n"/>
      <c r="O180" s="107" t="n"/>
      <c r="P180" s="107" t="n"/>
      <c r="Q180" s="107" t="n"/>
      <c r="R180" s="107" t="n"/>
      <c r="S180" s="107" t="n"/>
      <c r="T180" s="107" t="n"/>
      <c r="U180" s="107" t="n"/>
      <c r="V180" s="107" t="n"/>
      <c r="W180" s="107" t="n"/>
      <c r="X180" s="107" t="n"/>
      <c r="Y180" s="107" t="n"/>
      <c r="Z180" s="107" t="n"/>
      <c r="AA180" s="226" t="n"/>
      <c r="AB180" s="226" t="n"/>
      <c r="AC180" s="226" t="n"/>
      <c r="AD180" s="226" t="n"/>
      <c r="AE180" s="226" t="n"/>
      <c r="AF180" s="226" t="n"/>
      <c r="AG180" s="226" t="n"/>
      <c r="AH180" s="226" t="n"/>
      <c r="AI180" s="226" t="n"/>
      <c r="AJ180" s="226" t="n"/>
      <c r="AK180" s="226" t="n"/>
      <c r="AL180" s="227" t="n"/>
    </row>
    <row r="181">
      <c r="B181" s="94" t="n"/>
      <c r="C181" s="105" t="n"/>
      <c r="D181" s="105" t="n"/>
      <c r="E181" s="105" t="n"/>
      <c r="F181" s="105" t="n"/>
      <c r="G181" s="105" t="n"/>
      <c r="H181" s="105" t="n"/>
      <c r="I181" s="106" t="n"/>
      <c r="J181" s="105" t="n"/>
      <c r="K181" s="95" t="n"/>
      <c r="L181" s="107" t="n"/>
      <c r="M181" s="107" t="n"/>
      <c r="N181" s="107" t="n"/>
      <c r="O181" s="107" t="n"/>
      <c r="P181" s="107" t="n"/>
      <c r="Q181" s="107" t="n"/>
      <c r="R181" s="107" t="n"/>
      <c r="S181" s="107" t="n"/>
      <c r="T181" s="107" t="n"/>
      <c r="U181" s="107" t="n"/>
      <c r="V181" s="107" t="n"/>
      <c r="W181" s="107" t="n"/>
      <c r="X181" s="107" t="n"/>
      <c r="Y181" s="107" t="n"/>
      <c r="Z181" s="107" t="n"/>
      <c r="AA181" s="226" t="n"/>
      <c r="AB181" s="226" t="n"/>
      <c r="AC181" s="226" t="n"/>
      <c r="AD181" s="226" t="n"/>
      <c r="AE181" s="226" t="n"/>
      <c r="AF181" s="226" t="n"/>
      <c r="AG181" s="226" t="n"/>
      <c r="AH181" s="226" t="n"/>
      <c r="AI181" s="226" t="n"/>
      <c r="AJ181" s="226" t="n"/>
      <c r="AK181" s="226" t="n"/>
      <c r="AL181" s="227" t="n"/>
    </row>
    <row r="182">
      <c r="B182" s="94" t="n"/>
      <c r="C182" s="105" t="n"/>
      <c r="D182" s="105" t="n"/>
      <c r="E182" s="105" t="n"/>
      <c r="F182" s="105" t="n"/>
      <c r="G182" s="105" t="n"/>
      <c r="H182" s="105" t="n"/>
      <c r="I182" s="106" t="n"/>
      <c r="J182" s="105" t="n"/>
      <c r="K182" s="95" t="n"/>
      <c r="L182" s="107" t="n"/>
      <c r="M182" s="107" t="n"/>
      <c r="N182" s="107" t="n"/>
      <c r="O182" s="107" t="n"/>
      <c r="P182" s="107" t="n"/>
      <c r="Q182" s="107" t="n"/>
      <c r="R182" s="107" t="n"/>
      <c r="S182" s="107" t="n"/>
      <c r="T182" s="107" t="n"/>
      <c r="U182" s="107" t="n"/>
      <c r="V182" s="107" t="n"/>
      <c r="W182" s="107" t="n"/>
      <c r="X182" s="107" t="n"/>
      <c r="Y182" s="107" t="n"/>
      <c r="Z182" s="107" t="n"/>
      <c r="AA182" s="226" t="n"/>
      <c r="AB182" s="226" t="n"/>
      <c r="AC182" s="226" t="n"/>
      <c r="AD182" s="226" t="n"/>
      <c r="AE182" s="226" t="n"/>
      <c r="AF182" s="226" t="n"/>
      <c r="AG182" s="226" t="n"/>
      <c r="AH182" s="226" t="n"/>
      <c r="AI182" s="226" t="n"/>
      <c r="AJ182" s="226" t="n"/>
      <c r="AK182" s="226" t="n"/>
      <c r="AL182" s="227" t="n"/>
    </row>
    <row r="183">
      <c r="B183" s="94" t="n"/>
      <c r="C183" s="105" t="n"/>
      <c r="D183" s="105" t="n"/>
      <c r="E183" s="105" t="n"/>
      <c r="F183" s="105" t="n"/>
      <c r="G183" s="105" t="n"/>
      <c r="H183" s="105" t="n"/>
      <c r="I183" s="106" t="n"/>
      <c r="J183" s="105" t="n"/>
      <c r="K183" s="95" t="n"/>
      <c r="L183" s="107" t="n"/>
      <c r="M183" s="107" t="n"/>
      <c r="N183" s="107" t="n"/>
      <c r="O183" s="107" t="n"/>
      <c r="P183" s="107" t="n"/>
      <c r="Q183" s="107" t="n"/>
      <c r="R183" s="107" t="n"/>
      <c r="S183" s="107" t="n"/>
      <c r="T183" s="107" t="n"/>
      <c r="U183" s="107" t="n"/>
      <c r="V183" s="107" t="n"/>
      <c r="W183" s="107" t="n"/>
      <c r="X183" s="107" t="n"/>
      <c r="Y183" s="107" t="n"/>
      <c r="Z183" s="107" t="n"/>
      <c r="AA183" s="226" t="n"/>
      <c r="AB183" s="226" t="n"/>
      <c r="AC183" s="226" t="n"/>
      <c r="AD183" s="226" t="n"/>
      <c r="AE183" s="226" t="n"/>
      <c r="AF183" s="226" t="n"/>
      <c r="AG183" s="226" t="n"/>
      <c r="AH183" s="226" t="n"/>
      <c r="AI183" s="226" t="n"/>
      <c r="AJ183" s="226" t="n"/>
      <c r="AK183" s="226" t="n"/>
      <c r="AL183" s="227" t="n"/>
    </row>
    <row r="184">
      <c r="B184" s="94" t="n"/>
      <c r="C184" s="105" t="n"/>
      <c r="D184" s="105" t="n"/>
      <c r="E184" s="105" t="n"/>
      <c r="F184" s="105" t="n"/>
      <c r="G184" s="105" t="n"/>
      <c r="H184" s="105" t="n"/>
      <c r="I184" s="106" t="n"/>
      <c r="J184" s="105" t="n"/>
      <c r="K184" s="95" t="n"/>
      <c r="L184" s="107" t="n"/>
      <c r="M184" s="107" t="n"/>
      <c r="N184" s="107" t="n"/>
      <c r="O184" s="107" t="n"/>
      <c r="P184" s="107" t="n"/>
      <c r="Q184" s="107" t="n"/>
      <c r="R184" s="107" t="n"/>
      <c r="S184" s="107" t="n"/>
      <c r="T184" s="107" t="n"/>
      <c r="U184" s="107" t="n"/>
      <c r="V184" s="107" t="n"/>
      <c r="W184" s="107" t="n"/>
      <c r="X184" s="107" t="n"/>
      <c r="Y184" s="107" t="n"/>
      <c r="Z184" s="107" t="n"/>
      <c r="AA184" s="226" t="n"/>
      <c r="AB184" s="226" t="n"/>
      <c r="AC184" s="226" t="n"/>
      <c r="AD184" s="226" t="n"/>
      <c r="AE184" s="226" t="n"/>
      <c r="AF184" s="226" t="n"/>
      <c r="AG184" s="226" t="n"/>
      <c r="AH184" s="226" t="n"/>
      <c r="AI184" s="226" t="n"/>
      <c r="AJ184" s="226" t="n"/>
      <c r="AK184" s="226" t="n"/>
      <c r="AL184" s="227" t="n"/>
    </row>
    <row r="185">
      <c r="B185" s="94" t="n"/>
      <c r="C185" s="105" t="n"/>
      <c r="D185" s="105" t="n"/>
      <c r="E185" s="105" t="n"/>
      <c r="F185" s="105" t="n"/>
      <c r="G185" s="105" t="n"/>
      <c r="H185" s="105" t="n"/>
      <c r="I185" s="106" t="n"/>
      <c r="J185" s="105" t="n"/>
      <c r="K185" s="95" t="n"/>
      <c r="L185" s="107" t="n"/>
      <c r="M185" s="107" t="n"/>
      <c r="N185" s="107" t="n"/>
      <c r="O185" s="107" t="n"/>
      <c r="P185" s="107" t="n"/>
      <c r="Q185" s="107" t="n"/>
      <c r="R185" s="107" t="n"/>
      <c r="S185" s="107" t="n"/>
      <c r="T185" s="107" t="n"/>
      <c r="U185" s="107" t="n"/>
      <c r="V185" s="107" t="n"/>
      <c r="W185" s="107" t="n"/>
      <c r="X185" s="107" t="n"/>
      <c r="Y185" s="107" t="n"/>
      <c r="Z185" s="107" t="n"/>
      <c r="AA185" s="226" t="n"/>
      <c r="AB185" s="226" t="n"/>
      <c r="AC185" s="226" t="n"/>
      <c r="AD185" s="226" t="n"/>
      <c r="AE185" s="226" t="n"/>
      <c r="AF185" s="226" t="n"/>
      <c r="AG185" s="226" t="n"/>
      <c r="AH185" s="226" t="n"/>
      <c r="AI185" s="226" t="n"/>
      <c r="AJ185" s="226" t="n"/>
      <c r="AK185" s="226" t="n"/>
      <c r="AL185" s="227" t="n"/>
    </row>
    <row r="186">
      <c r="B186" s="94" t="n"/>
      <c r="C186" s="105" t="n"/>
      <c r="D186" s="105" t="n"/>
      <c r="E186" s="105" t="n"/>
      <c r="F186" s="105" t="n"/>
      <c r="G186" s="105" t="n"/>
      <c r="H186" s="105" t="n"/>
      <c r="I186" s="106" t="n"/>
      <c r="J186" s="105" t="n"/>
      <c r="K186" s="95" t="n"/>
      <c r="L186" s="107" t="n"/>
      <c r="M186" s="107" t="n"/>
      <c r="N186" s="107" t="n"/>
      <c r="O186" s="107" t="n"/>
      <c r="P186" s="107" t="n"/>
      <c r="Q186" s="107" t="n"/>
      <c r="R186" s="107" t="n"/>
      <c r="S186" s="107" t="n"/>
      <c r="T186" s="107" t="n"/>
      <c r="U186" s="107" t="n"/>
      <c r="V186" s="107" t="n"/>
      <c r="W186" s="107" t="n"/>
      <c r="X186" s="107" t="n"/>
      <c r="Y186" s="107" t="n"/>
      <c r="Z186" s="107" t="n"/>
      <c r="AA186" s="226" t="n"/>
      <c r="AB186" s="226" t="n"/>
      <c r="AC186" s="226" t="n"/>
      <c r="AD186" s="226" t="n"/>
      <c r="AE186" s="226" t="n"/>
      <c r="AF186" s="226" t="n"/>
      <c r="AG186" s="226" t="n"/>
      <c r="AH186" s="226" t="n"/>
      <c r="AI186" s="226" t="n"/>
      <c r="AJ186" s="226" t="n"/>
      <c r="AK186" s="226" t="n"/>
      <c r="AL186" s="227" t="n"/>
    </row>
    <row r="187">
      <c r="B187" s="94" t="n"/>
      <c r="C187" s="105" t="n"/>
      <c r="D187" s="105" t="n"/>
      <c r="E187" s="105" t="n"/>
      <c r="F187" s="105" t="n"/>
      <c r="G187" s="105" t="n"/>
      <c r="H187" s="105" t="n"/>
      <c r="I187" s="106" t="n"/>
      <c r="J187" s="105" t="n"/>
      <c r="K187" s="95" t="n"/>
      <c r="L187" s="107" t="n"/>
      <c r="M187" s="107" t="n"/>
      <c r="N187" s="107" t="n"/>
      <c r="O187" s="107" t="n"/>
      <c r="P187" s="107" t="n"/>
      <c r="Q187" s="107" t="n"/>
      <c r="R187" s="107" t="n"/>
      <c r="S187" s="107" t="n"/>
      <c r="T187" s="107" t="n"/>
      <c r="U187" s="107" t="n"/>
      <c r="V187" s="107" t="n"/>
      <c r="W187" s="107" t="n"/>
      <c r="X187" s="107" t="n"/>
      <c r="Y187" s="107" t="n"/>
      <c r="Z187" s="107" t="n"/>
      <c r="AA187" s="226" t="n"/>
      <c r="AB187" s="226" t="n"/>
      <c r="AC187" s="226" t="n"/>
      <c r="AD187" s="226" t="n"/>
      <c r="AE187" s="226" t="n"/>
      <c r="AF187" s="226" t="n"/>
      <c r="AG187" s="226" t="n"/>
      <c r="AH187" s="226" t="n"/>
      <c r="AI187" s="226" t="n"/>
      <c r="AJ187" s="226" t="n"/>
      <c r="AK187" s="226" t="n"/>
      <c r="AL187" s="227" t="n"/>
    </row>
    <row r="188">
      <c r="B188" s="94" t="n"/>
      <c r="C188" s="105" t="n"/>
      <c r="D188" s="105" t="n"/>
      <c r="E188" s="105" t="n"/>
      <c r="F188" s="105" t="n"/>
      <c r="G188" s="105" t="n"/>
      <c r="H188" s="105" t="n"/>
      <c r="I188" s="106" t="n"/>
      <c r="J188" s="105" t="n"/>
      <c r="K188" s="95" t="n"/>
      <c r="L188" s="107" t="n"/>
      <c r="M188" s="107" t="n"/>
      <c r="N188" s="107" t="n"/>
      <c r="O188" s="107" t="n"/>
      <c r="P188" s="107" t="n"/>
      <c r="Q188" s="107" t="n"/>
      <c r="R188" s="107" t="n"/>
      <c r="S188" s="107" t="n"/>
      <c r="T188" s="107" t="n"/>
      <c r="U188" s="107" t="n"/>
      <c r="V188" s="107" t="n"/>
      <c r="W188" s="107" t="n"/>
      <c r="X188" s="107" t="n"/>
      <c r="Y188" s="107" t="n"/>
      <c r="Z188" s="107" t="n"/>
      <c r="AA188" s="226" t="n"/>
      <c r="AB188" s="226" t="n"/>
      <c r="AC188" s="226" t="n"/>
      <c r="AD188" s="226" t="n"/>
      <c r="AE188" s="226" t="n"/>
      <c r="AF188" s="226" t="n"/>
      <c r="AG188" s="226" t="n"/>
      <c r="AH188" s="226" t="n"/>
      <c r="AI188" s="226" t="n"/>
      <c r="AJ188" s="226" t="n"/>
      <c r="AK188" s="226" t="n"/>
      <c r="AL188" s="227" t="n"/>
    </row>
    <row r="189">
      <c r="B189" s="94" t="n"/>
      <c r="C189" s="105" t="n"/>
      <c r="D189" s="105" t="n"/>
      <c r="E189" s="105" t="n"/>
      <c r="F189" s="105" t="n"/>
      <c r="G189" s="105" t="n"/>
      <c r="H189" s="105" t="n"/>
      <c r="I189" s="106" t="n"/>
      <c r="J189" s="105" t="n"/>
      <c r="K189" s="95" t="n"/>
      <c r="L189" s="107" t="n"/>
      <c r="M189" s="107" t="n"/>
      <c r="N189" s="107" t="n"/>
      <c r="O189" s="107" t="n"/>
      <c r="P189" s="107" t="n"/>
      <c r="Q189" s="107" t="n"/>
      <c r="R189" s="107" t="n"/>
      <c r="S189" s="107" t="n"/>
      <c r="T189" s="107" t="n"/>
      <c r="U189" s="107" t="n"/>
      <c r="V189" s="107" t="n"/>
      <c r="W189" s="107" t="n"/>
      <c r="X189" s="107" t="n"/>
      <c r="Y189" s="107" t="n"/>
      <c r="Z189" s="107" t="n"/>
      <c r="AA189" s="226" t="n"/>
      <c r="AB189" s="226" t="n"/>
      <c r="AC189" s="226" t="n"/>
      <c r="AD189" s="226" t="n"/>
      <c r="AE189" s="226" t="n"/>
      <c r="AF189" s="226" t="n"/>
      <c r="AG189" s="226" t="n"/>
      <c r="AH189" s="226" t="n"/>
      <c r="AI189" s="226" t="n"/>
      <c r="AJ189" s="226" t="n"/>
      <c r="AK189" s="226" t="n"/>
      <c r="AL189" s="227" t="n"/>
    </row>
    <row r="190">
      <c r="B190" s="94" t="n"/>
      <c r="C190" s="105" t="n"/>
      <c r="D190" s="105" t="n"/>
      <c r="E190" s="105" t="n"/>
      <c r="F190" s="105" t="n"/>
      <c r="G190" s="105" t="n"/>
      <c r="H190" s="105" t="n"/>
      <c r="I190" s="106" t="n"/>
      <c r="J190" s="105" t="n"/>
      <c r="K190" s="95" t="n"/>
      <c r="L190" s="107" t="n"/>
      <c r="M190" s="107" t="n"/>
      <c r="N190" s="107" t="n"/>
      <c r="O190" s="107" t="n"/>
      <c r="P190" s="107" t="n"/>
      <c r="Q190" s="107" t="n"/>
      <c r="R190" s="107" t="n"/>
      <c r="S190" s="107" t="n"/>
      <c r="T190" s="107" t="n"/>
      <c r="U190" s="107" t="n"/>
      <c r="V190" s="107" t="n"/>
      <c r="W190" s="107" t="n"/>
      <c r="X190" s="107" t="n"/>
      <c r="Y190" s="107" t="n"/>
      <c r="Z190" s="107" t="n"/>
      <c r="AA190" s="226" t="n"/>
      <c r="AB190" s="226" t="n"/>
      <c r="AC190" s="226" t="n"/>
      <c r="AD190" s="226" t="n"/>
      <c r="AE190" s="226" t="n"/>
      <c r="AF190" s="226" t="n"/>
      <c r="AG190" s="226" t="n"/>
      <c r="AH190" s="226" t="n"/>
      <c r="AI190" s="226" t="n"/>
      <c r="AJ190" s="226" t="n"/>
      <c r="AK190" s="226" t="n"/>
      <c r="AL190" s="227" t="n"/>
    </row>
    <row r="191">
      <c r="B191" s="94" t="n"/>
      <c r="C191" s="105" t="n"/>
      <c r="D191" s="105" t="n"/>
      <c r="E191" s="105" t="n"/>
      <c r="F191" s="105" t="n"/>
      <c r="G191" s="105" t="n"/>
      <c r="H191" s="105" t="n"/>
      <c r="I191" s="106" t="n"/>
      <c r="J191" s="105" t="n"/>
      <c r="K191" s="95" t="n"/>
      <c r="L191" s="107" t="n"/>
      <c r="M191" s="107" t="n"/>
      <c r="N191" s="107" t="n"/>
      <c r="O191" s="107" t="n"/>
      <c r="P191" s="107" t="n"/>
      <c r="Q191" s="107" t="n"/>
      <c r="R191" s="107" t="n"/>
      <c r="S191" s="107" t="n"/>
      <c r="T191" s="107" t="n"/>
      <c r="U191" s="107" t="n"/>
      <c r="V191" s="107" t="n"/>
      <c r="W191" s="107" t="n"/>
      <c r="X191" s="107" t="n"/>
      <c r="Y191" s="107" t="n"/>
      <c r="Z191" s="107" t="n"/>
      <c r="AA191" s="226" t="n"/>
      <c r="AB191" s="226" t="n"/>
      <c r="AC191" s="226" t="n"/>
      <c r="AD191" s="226" t="n"/>
      <c r="AE191" s="226" t="n"/>
      <c r="AF191" s="226" t="n"/>
      <c r="AG191" s="226" t="n"/>
      <c r="AH191" s="226" t="n"/>
      <c r="AI191" s="226" t="n"/>
      <c r="AJ191" s="226" t="n"/>
      <c r="AK191" s="226" t="n"/>
      <c r="AL191" s="227" t="n"/>
    </row>
    <row r="192">
      <c r="B192" s="94" t="n"/>
      <c r="C192" s="105" t="n"/>
      <c r="D192" s="105" t="n"/>
      <c r="E192" s="105" t="n"/>
      <c r="F192" s="105" t="n"/>
      <c r="G192" s="105" t="n"/>
      <c r="H192" s="105" t="n"/>
      <c r="I192" s="106" t="n"/>
      <c r="J192" s="105" t="n"/>
      <c r="K192" s="95" t="n"/>
      <c r="L192" s="107" t="n"/>
      <c r="M192" s="107" t="n"/>
      <c r="N192" s="107" t="n"/>
      <c r="O192" s="107" t="n"/>
      <c r="P192" s="107" t="n"/>
      <c r="Q192" s="107" t="n"/>
      <c r="R192" s="107" t="n"/>
      <c r="S192" s="107" t="n"/>
      <c r="T192" s="107" t="n"/>
      <c r="U192" s="107" t="n"/>
      <c r="V192" s="107" t="n"/>
      <c r="W192" s="107" t="n"/>
      <c r="X192" s="107" t="n"/>
      <c r="Y192" s="107" t="n"/>
      <c r="Z192" s="107" t="n"/>
      <c r="AA192" s="226" t="n"/>
      <c r="AB192" s="226" t="n"/>
      <c r="AC192" s="226" t="n"/>
      <c r="AD192" s="226" t="n"/>
      <c r="AE192" s="226" t="n"/>
      <c r="AF192" s="226" t="n"/>
      <c r="AG192" s="226" t="n"/>
      <c r="AH192" s="226" t="n"/>
      <c r="AI192" s="226" t="n"/>
      <c r="AJ192" s="226" t="n"/>
      <c r="AK192" s="226" t="n"/>
      <c r="AL192" s="227" t="n"/>
    </row>
    <row r="193">
      <c r="B193" s="94" t="n"/>
      <c r="C193" s="105" t="n"/>
      <c r="D193" s="105" t="n"/>
      <c r="E193" s="105" t="n"/>
      <c r="F193" s="105" t="n"/>
      <c r="G193" s="105" t="n"/>
      <c r="H193" s="105" t="n"/>
      <c r="I193" s="106" t="n"/>
      <c r="J193" s="105" t="n"/>
      <c r="K193" s="95" t="n"/>
      <c r="L193" s="107" t="n"/>
      <c r="M193" s="107" t="n"/>
      <c r="N193" s="107" t="n"/>
      <c r="O193" s="107" t="n"/>
      <c r="P193" s="107" t="n"/>
      <c r="Q193" s="107" t="n"/>
      <c r="R193" s="107" t="n"/>
      <c r="S193" s="107" t="n"/>
      <c r="T193" s="107" t="n"/>
      <c r="U193" s="107" t="n"/>
      <c r="V193" s="107" t="n"/>
      <c r="W193" s="107" t="n"/>
      <c r="X193" s="107" t="n"/>
      <c r="Y193" s="107" t="n"/>
      <c r="Z193" s="107" t="n"/>
      <c r="AA193" s="226" t="n"/>
      <c r="AB193" s="226" t="n"/>
      <c r="AC193" s="226" t="n"/>
      <c r="AD193" s="226" t="n"/>
      <c r="AE193" s="226" t="n"/>
      <c r="AF193" s="226" t="n"/>
      <c r="AG193" s="226" t="n"/>
      <c r="AH193" s="226" t="n"/>
      <c r="AI193" s="226" t="n"/>
      <c r="AJ193" s="226" t="n"/>
      <c r="AK193" s="226" t="n"/>
      <c r="AL193" s="227" t="n"/>
    </row>
    <row r="194">
      <c r="B194" s="94" t="n"/>
      <c r="C194" s="105" t="n"/>
      <c r="D194" s="105" t="n"/>
      <c r="E194" s="105" t="n"/>
      <c r="F194" s="105" t="n"/>
      <c r="G194" s="105" t="n"/>
      <c r="H194" s="105" t="n"/>
      <c r="I194" s="106" t="n"/>
      <c r="J194" s="105" t="n"/>
      <c r="K194" s="95" t="n"/>
      <c r="L194" s="107" t="n"/>
      <c r="M194" s="107" t="n"/>
      <c r="N194" s="107" t="n"/>
      <c r="O194" s="107" t="n"/>
      <c r="P194" s="107" t="n"/>
      <c r="Q194" s="107" t="n"/>
      <c r="R194" s="107" t="n"/>
      <c r="S194" s="107" t="n"/>
      <c r="T194" s="107" t="n"/>
      <c r="U194" s="107" t="n"/>
      <c r="V194" s="107" t="n"/>
      <c r="W194" s="107" t="n"/>
      <c r="X194" s="107" t="n"/>
      <c r="Y194" s="107" t="n"/>
      <c r="Z194" s="107" t="n"/>
      <c r="AA194" s="226" t="n"/>
      <c r="AB194" s="226" t="n"/>
      <c r="AC194" s="226" t="n"/>
      <c r="AD194" s="226" t="n"/>
      <c r="AE194" s="226" t="n"/>
      <c r="AF194" s="226" t="n"/>
      <c r="AG194" s="226" t="n"/>
      <c r="AH194" s="226" t="n"/>
      <c r="AI194" s="226" t="n"/>
      <c r="AJ194" s="226" t="n"/>
      <c r="AK194" s="226" t="n"/>
      <c r="AL194" s="227" t="n"/>
    </row>
    <row r="195">
      <c r="B195" s="94" t="n"/>
      <c r="C195" s="105" t="n"/>
      <c r="D195" s="105" t="n"/>
      <c r="E195" s="105" t="n"/>
      <c r="F195" s="105" t="n"/>
      <c r="G195" s="105" t="n"/>
      <c r="H195" s="105" t="n"/>
      <c r="I195" s="106" t="n"/>
      <c r="J195" s="105" t="n"/>
      <c r="K195" s="95" t="n"/>
      <c r="L195" s="107" t="n"/>
      <c r="M195" s="107" t="n"/>
      <c r="N195" s="107" t="n"/>
      <c r="O195" s="107" t="n"/>
      <c r="P195" s="107" t="n"/>
      <c r="Q195" s="107" t="n"/>
      <c r="R195" s="107" t="n"/>
      <c r="S195" s="107" t="n"/>
      <c r="T195" s="107" t="n"/>
      <c r="U195" s="107" t="n"/>
      <c r="V195" s="107" t="n"/>
      <c r="W195" s="107" t="n"/>
      <c r="X195" s="107" t="n"/>
      <c r="Y195" s="107" t="n"/>
      <c r="Z195" s="107" t="n"/>
      <c r="AA195" s="226" t="n"/>
      <c r="AB195" s="226" t="n"/>
      <c r="AC195" s="226" t="n"/>
      <c r="AD195" s="226" t="n"/>
      <c r="AE195" s="226" t="n"/>
      <c r="AF195" s="226" t="n"/>
      <c r="AG195" s="226" t="n"/>
      <c r="AH195" s="226" t="n"/>
      <c r="AI195" s="226" t="n"/>
      <c r="AJ195" s="226" t="n"/>
      <c r="AK195" s="226" t="n"/>
      <c r="AL195" s="227" t="n"/>
    </row>
    <row r="196">
      <c r="B196" s="94" t="n"/>
      <c r="C196" s="105" t="n"/>
      <c r="D196" s="105" t="n"/>
      <c r="E196" s="105" t="n"/>
      <c r="F196" s="105" t="n"/>
      <c r="G196" s="105" t="n"/>
      <c r="H196" s="105" t="n"/>
      <c r="I196" s="106" t="n"/>
      <c r="J196" s="105" t="n"/>
      <c r="K196" s="95" t="n"/>
      <c r="L196" s="107" t="n"/>
      <c r="M196" s="107" t="n"/>
      <c r="N196" s="107" t="n"/>
      <c r="O196" s="107" t="n"/>
      <c r="P196" s="107" t="n"/>
      <c r="Q196" s="107" t="n"/>
      <c r="R196" s="107" t="n"/>
      <c r="S196" s="107" t="n"/>
      <c r="T196" s="107" t="n"/>
      <c r="U196" s="107" t="n"/>
      <c r="V196" s="107" t="n"/>
      <c r="W196" s="107" t="n"/>
      <c r="X196" s="107" t="n"/>
      <c r="Y196" s="107" t="n"/>
      <c r="Z196" s="107" t="n"/>
      <c r="AA196" s="226" t="n"/>
      <c r="AB196" s="226" t="n"/>
      <c r="AC196" s="226" t="n"/>
      <c r="AD196" s="226" t="n"/>
      <c r="AE196" s="226" t="n"/>
      <c r="AF196" s="226" t="n"/>
      <c r="AG196" s="226" t="n"/>
      <c r="AH196" s="226" t="n"/>
      <c r="AI196" s="226" t="n"/>
      <c r="AJ196" s="226" t="n"/>
      <c r="AK196" s="226" t="n"/>
      <c r="AL196" s="227" t="n"/>
    </row>
    <row r="197">
      <c r="B197" s="94" t="n"/>
      <c r="C197" s="105" t="n"/>
      <c r="D197" s="105" t="n"/>
      <c r="E197" s="105" t="n"/>
      <c r="F197" s="105" t="n"/>
      <c r="G197" s="105" t="n"/>
      <c r="H197" s="105" t="n"/>
      <c r="I197" s="106" t="n"/>
      <c r="J197" s="105" t="n"/>
      <c r="K197" s="95" t="n"/>
      <c r="L197" s="107" t="n"/>
      <c r="M197" s="107" t="n"/>
      <c r="N197" s="107" t="n"/>
      <c r="O197" s="107" t="n"/>
      <c r="P197" s="107" t="n"/>
      <c r="Q197" s="107" t="n"/>
      <c r="R197" s="107" t="n"/>
      <c r="S197" s="107" t="n"/>
      <c r="T197" s="107" t="n"/>
      <c r="U197" s="107" t="n"/>
      <c r="V197" s="107" t="n"/>
      <c r="W197" s="107" t="n"/>
      <c r="X197" s="107" t="n"/>
      <c r="Y197" s="107" t="n"/>
      <c r="Z197" s="107" t="n"/>
      <c r="AA197" s="226" t="n"/>
      <c r="AB197" s="226" t="n"/>
      <c r="AC197" s="226" t="n"/>
      <c r="AD197" s="226" t="n"/>
      <c r="AE197" s="226" t="n"/>
      <c r="AF197" s="226" t="n"/>
      <c r="AG197" s="226" t="n"/>
      <c r="AH197" s="226" t="n"/>
      <c r="AI197" s="226" t="n"/>
      <c r="AJ197" s="226" t="n"/>
      <c r="AK197" s="226" t="n"/>
      <c r="AL197" s="227" t="n"/>
    </row>
    <row r="198">
      <c r="B198" s="94" t="n"/>
      <c r="C198" s="105" t="n"/>
      <c r="D198" s="105" t="n"/>
      <c r="E198" s="105" t="n"/>
      <c r="F198" s="105" t="n"/>
      <c r="G198" s="105" t="n"/>
      <c r="H198" s="105" t="n"/>
      <c r="I198" s="106" t="n"/>
      <c r="J198" s="105" t="n"/>
      <c r="K198" s="95" t="n"/>
      <c r="L198" s="107" t="n"/>
      <c r="M198" s="107" t="n"/>
      <c r="N198" s="107" t="n"/>
      <c r="O198" s="107" t="n"/>
      <c r="P198" s="107" t="n"/>
      <c r="Q198" s="107" t="n"/>
      <c r="R198" s="107" t="n"/>
      <c r="S198" s="107" t="n"/>
      <c r="T198" s="107" t="n"/>
      <c r="U198" s="107" t="n"/>
      <c r="V198" s="107" t="n"/>
      <c r="W198" s="107" t="n"/>
      <c r="X198" s="107" t="n"/>
      <c r="Y198" s="107" t="n"/>
      <c r="Z198" s="107" t="n"/>
      <c r="AA198" s="226" t="n"/>
      <c r="AB198" s="226" t="n"/>
      <c r="AC198" s="226" t="n"/>
      <c r="AD198" s="226" t="n"/>
      <c r="AE198" s="226" t="n"/>
      <c r="AF198" s="226" t="n"/>
      <c r="AG198" s="226" t="n"/>
      <c r="AH198" s="226" t="n"/>
      <c r="AI198" s="226" t="n"/>
      <c r="AJ198" s="226" t="n"/>
      <c r="AK198" s="226" t="n"/>
      <c r="AL198" s="227" t="n"/>
    </row>
    <row r="199">
      <c r="B199" s="94" t="n"/>
      <c r="C199" s="105" t="n"/>
      <c r="D199" s="105" t="n"/>
      <c r="E199" s="105" t="n"/>
      <c r="F199" s="105" t="n"/>
      <c r="G199" s="105" t="n"/>
      <c r="H199" s="105" t="n"/>
      <c r="I199" s="106" t="n"/>
      <c r="J199" s="105" t="n"/>
      <c r="K199" s="95" t="n"/>
      <c r="L199" s="107" t="n"/>
      <c r="M199" s="107" t="n"/>
      <c r="N199" s="107" t="n"/>
      <c r="O199" s="107" t="n"/>
      <c r="P199" s="107" t="n"/>
      <c r="Q199" s="107" t="n"/>
      <c r="R199" s="107" t="n"/>
      <c r="S199" s="107" t="n"/>
      <c r="T199" s="107" t="n"/>
      <c r="U199" s="107" t="n"/>
      <c r="V199" s="107" t="n"/>
      <c r="W199" s="107" t="n"/>
      <c r="X199" s="107" t="n"/>
      <c r="Y199" s="107" t="n"/>
      <c r="Z199" s="107" t="n"/>
      <c r="AA199" s="226" t="n"/>
      <c r="AB199" s="226" t="n"/>
      <c r="AC199" s="226" t="n"/>
      <c r="AD199" s="226" t="n"/>
      <c r="AE199" s="226" t="n"/>
      <c r="AF199" s="226" t="n"/>
      <c r="AG199" s="226" t="n"/>
      <c r="AH199" s="226" t="n"/>
      <c r="AI199" s="226" t="n"/>
      <c r="AJ199" s="226" t="n"/>
      <c r="AK199" s="226" t="n"/>
      <c r="AL199" s="227" t="n"/>
    </row>
    <row r="200">
      <c r="B200" s="94" t="n"/>
      <c r="C200" s="105" t="n"/>
      <c r="D200" s="105" t="n"/>
      <c r="E200" s="105" t="n"/>
      <c r="F200" s="105" t="n"/>
      <c r="G200" s="105" t="n"/>
      <c r="H200" s="105" t="n"/>
      <c r="I200" s="106" t="n"/>
      <c r="J200" s="105" t="n"/>
      <c r="K200" s="95" t="n"/>
      <c r="L200" s="107" t="n"/>
      <c r="M200" s="107" t="n"/>
      <c r="N200" s="107" t="n"/>
      <c r="O200" s="107" t="n"/>
      <c r="P200" s="107" t="n"/>
      <c r="Q200" s="107" t="n"/>
      <c r="R200" s="107" t="n"/>
      <c r="S200" s="107" t="n"/>
      <c r="T200" s="107" t="n"/>
      <c r="U200" s="107" t="n"/>
      <c r="V200" s="107" t="n"/>
      <c r="W200" s="107" t="n"/>
      <c r="X200" s="107" t="n"/>
      <c r="Y200" s="107" t="n"/>
      <c r="Z200" s="107" t="n"/>
      <c r="AA200" s="226" t="n"/>
      <c r="AB200" s="226" t="n"/>
      <c r="AC200" s="226" t="n"/>
      <c r="AD200" s="226" t="n"/>
      <c r="AE200" s="226" t="n"/>
      <c r="AF200" s="226" t="n"/>
      <c r="AG200" s="226" t="n"/>
      <c r="AH200" s="226" t="n"/>
      <c r="AI200" s="226" t="n"/>
      <c r="AJ200" s="226" t="n"/>
      <c r="AK200" s="226" t="n"/>
      <c r="AL200" s="227" t="n"/>
    </row>
    <row r="201">
      <c r="B201" s="94" t="n"/>
      <c r="C201" s="105" t="n"/>
      <c r="D201" s="105" t="n"/>
      <c r="E201" s="105" t="n"/>
      <c r="F201" s="105" t="n"/>
      <c r="G201" s="105" t="n"/>
      <c r="H201" s="105" t="n"/>
      <c r="I201" s="106" t="n"/>
      <c r="J201" s="105" t="n"/>
      <c r="K201" s="95" t="n"/>
      <c r="L201" s="107" t="n"/>
      <c r="M201" s="107" t="n"/>
      <c r="N201" s="107" t="n"/>
      <c r="O201" s="107" t="n"/>
      <c r="P201" s="107" t="n"/>
      <c r="Q201" s="107" t="n"/>
      <c r="R201" s="107" t="n"/>
      <c r="S201" s="107" t="n"/>
      <c r="T201" s="107" t="n"/>
      <c r="U201" s="107" t="n"/>
      <c r="V201" s="107" t="n"/>
      <c r="W201" s="107" t="n"/>
      <c r="X201" s="107" t="n"/>
      <c r="Y201" s="107" t="n"/>
      <c r="Z201" s="107" t="n"/>
      <c r="AA201" s="226" t="n"/>
      <c r="AB201" s="226" t="n"/>
      <c r="AC201" s="226" t="n"/>
      <c r="AD201" s="226" t="n"/>
      <c r="AE201" s="226" t="n"/>
      <c r="AF201" s="226" t="n"/>
      <c r="AG201" s="226" t="n"/>
      <c r="AH201" s="226" t="n"/>
      <c r="AI201" s="226" t="n"/>
      <c r="AJ201" s="226" t="n"/>
      <c r="AK201" s="226" t="n"/>
      <c r="AL201" s="227" t="n"/>
    </row>
    <row r="202">
      <c r="B202" s="94" t="n"/>
      <c r="C202" s="105" t="n"/>
      <c r="D202" s="105" t="n"/>
      <c r="E202" s="105" t="n"/>
      <c r="F202" s="105" t="n"/>
      <c r="G202" s="105" t="n"/>
      <c r="H202" s="105" t="n"/>
      <c r="I202" s="106" t="n"/>
      <c r="J202" s="105" t="n"/>
      <c r="K202" s="95" t="n"/>
      <c r="L202" s="107" t="n"/>
      <c r="M202" s="107" t="n"/>
      <c r="N202" s="107" t="n"/>
      <c r="O202" s="107" t="n"/>
      <c r="P202" s="107" t="n"/>
      <c r="Q202" s="107" t="n"/>
      <c r="R202" s="107" t="n"/>
      <c r="S202" s="107" t="n"/>
      <c r="T202" s="107" t="n"/>
      <c r="U202" s="107" t="n"/>
      <c r="V202" s="107" t="n"/>
      <c r="W202" s="107" t="n"/>
      <c r="X202" s="107" t="n"/>
      <c r="Y202" s="107" t="n"/>
      <c r="Z202" s="107" t="n"/>
      <c r="AA202" s="226" t="n"/>
      <c r="AB202" s="226" t="n"/>
      <c r="AC202" s="226" t="n"/>
      <c r="AD202" s="226" t="n"/>
      <c r="AE202" s="226" t="n"/>
      <c r="AF202" s="226" t="n"/>
      <c r="AG202" s="226" t="n"/>
      <c r="AH202" s="226" t="n"/>
      <c r="AI202" s="226" t="n"/>
      <c r="AJ202" s="226" t="n"/>
      <c r="AK202" s="226" t="n"/>
      <c r="AL202" s="227" t="n"/>
    </row>
    <row r="203">
      <c r="B203" s="94" t="n"/>
      <c r="C203" s="105" t="n"/>
      <c r="D203" s="105" t="n"/>
      <c r="E203" s="105" t="n"/>
      <c r="F203" s="105" t="n"/>
      <c r="G203" s="105" t="n"/>
      <c r="H203" s="105" t="n"/>
      <c r="I203" s="106" t="n"/>
      <c r="J203" s="105" t="n"/>
      <c r="K203" s="95" t="n"/>
      <c r="L203" s="107" t="n"/>
      <c r="M203" s="107" t="n"/>
      <c r="N203" s="107" t="n"/>
      <c r="O203" s="107" t="n"/>
      <c r="P203" s="107" t="n"/>
      <c r="Q203" s="107" t="n"/>
      <c r="R203" s="107" t="n"/>
      <c r="S203" s="107" t="n"/>
      <c r="T203" s="107" t="n"/>
      <c r="U203" s="107" t="n"/>
      <c r="V203" s="107" t="n"/>
      <c r="W203" s="107" t="n"/>
      <c r="X203" s="107" t="n"/>
      <c r="Y203" s="107" t="n"/>
      <c r="Z203" s="107" t="n"/>
      <c r="AA203" s="226" t="n"/>
      <c r="AB203" s="226" t="n"/>
      <c r="AC203" s="226" t="n"/>
      <c r="AD203" s="226" t="n"/>
      <c r="AE203" s="226" t="n"/>
      <c r="AF203" s="226" t="n"/>
      <c r="AG203" s="226" t="n"/>
      <c r="AH203" s="226" t="n"/>
      <c r="AI203" s="226" t="n"/>
      <c r="AJ203" s="226" t="n"/>
      <c r="AK203" s="226" t="n"/>
      <c r="AL203" s="227" t="n"/>
    </row>
    <row r="204">
      <c r="B204" s="94" t="n"/>
      <c r="C204" s="105" t="n"/>
      <c r="D204" s="105" t="n"/>
      <c r="E204" s="105" t="n"/>
      <c r="F204" s="105" t="n"/>
      <c r="G204" s="105" t="n"/>
      <c r="H204" s="105" t="n"/>
      <c r="I204" s="106" t="n"/>
      <c r="J204" s="105" t="n"/>
      <c r="K204" s="95" t="n"/>
      <c r="L204" s="107" t="n"/>
      <c r="M204" s="107" t="n"/>
      <c r="N204" s="107" t="n"/>
      <c r="O204" s="107" t="n"/>
      <c r="P204" s="107" t="n"/>
      <c r="Q204" s="107" t="n"/>
      <c r="R204" s="107" t="n"/>
      <c r="S204" s="107" t="n"/>
      <c r="T204" s="107" t="n"/>
      <c r="U204" s="107" t="n"/>
      <c r="V204" s="107" t="n"/>
      <c r="W204" s="107" t="n"/>
      <c r="X204" s="107" t="n"/>
      <c r="Y204" s="107" t="n"/>
      <c r="Z204" s="107" t="n"/>
      <c r="AA204" s="226" t="n"/>
      <c r="AB204" s="226" t="n"/>
      <c r="AC204" s="226" t="n"/>
      <c r="AD204" s="226" t="n"/>
      <c r="AE204" s="226" t="n"/>
      <c r="AF204" s="226" t="n"/>
      <c r="AG204" s="226" t="n"/>
      <c r="AH204" s="226" t="n"/>
      <c r="AI204" s="226" t="n"/>
      <c r="AJ204" s="226" t="n"/>
      <c r="AK204" s="226" t="n"/>
      <c r="AL204" s="227" t="n"/>
    </row>
    <row r="205">
      <c r="B205" s="94" t="n"/>
      <c r="C205" s="105" t="n"/>
      <c r="D205" s="105" t="n"/>
      <c r="E205" s="105" t="n"/>
      <c r="F205" s="105" t="n"/>
      <c r="G205" s="105" t="n"/>
      <c r="H205" s="105" t="n"/>
      <c r="I205" s="106" t="n"/>
      <c r="J205" s="105" t="n"/>
      <c r="K205" s="95" t="n"/>
      <c r="L205" s="107" t="n"/>
      <c r="M205" s="107" t="n"/>
      <c r="N205" s="107" t="n"/>
      <c r="O205" s="107" t="n"/>
      <c r="P205" s="107" t="n"/>
      <c r="Q205" s="107" t="n"/>
      <c r="R205" s="107" t="n"/>
      <c r="S205" s="107" t="n"/>
      <c r="T205" s="107" t="n"/>
      <c r="U205" s="107" t="n"/>
      <c r="V205" s="107" t="n"/>
      <c r="W205" s="107" t="n"/>
      <c r="X205" s="107" t="n"/>
      <c r="Y205" s="107" t="n"/>
      <c r="Z205" s="107" t="n"/>
      <c r="AA205" s="226" t="n"/>
      <c r="AB205" s="226" t="n"/>
      <c r="AC205" s="226" t="n"/>
      <c r="AD205" s="226" t="n"/>
      <c r="AE205" s="226" t="n"/>
      <c r="AF205" s="226" t="n"/>
      <c r="AG205" s="226" t="n"/>
      <c r="AH205" s="226" t="n"/>
      <c r="AI205" s="226" t="n"/>
      <c r="AJ205" s="226" t="n"/>
      <c r="AK205" s="226" t="n"/>
      <c r="AL205" s="227" t="n"/>
    </row>
    <row r="206">
      <c r="B206" s="94" t="n"/>
      <c r="C206" s="105" t="n"/>
      <c r="D206" s="105" t="n"/>
      <c r="E206" s="105" t="n"/>
      <c r="F206" s="105" t="n"/>
      <c r="G206" s="105" t="n"/>
      <c r="H206" s="105" t="n"/>
      <c r="I206" s="106" t="n"/>
      <c r="J206" s="105" t="n"/>
      <c r="K206" s="95" t="n"/>
      <c r="L206" s="107" t="n"/>
      <c r="M206" s="107" t="n"/>
      <c r="N206" s="107" t="n"/>
      <c r="O206" s="107" t="n"/>
      <c r="P206" s="107" t="n"/>
      <c r="Q206" s="107" t="n"/>
      <c r="R206" s="107" t="n"/>
      <c r="S206" s="107" t="n"/>
      <c r="T206" s="107" t="n"/>
      <c r="U206" s="107" t="n"/>
      <c r="V206" s="107" t="n"/>
      <c r="W206" s="107" t="n"/>
      <c r="X206" s="107" t="n"/>
      <c r="Y206" s="107" t="n"/>
      <c r="Z206" s="107" t="n"/>
      <c r="AA206" s="226" t="n"/>
      <c r="AB206" s="226" t="n"/>
      <c r="AC206" s="226" t="n"/>
      <c r="AD206" s="226" t="n"/>
      <c r="AE206" s="226" t="n"/>
      <c r="AF206" s="226" t="n"/>
      <c r="AG206" s="226" t="n"/>
      <c r="AH206" s="226" t="n"/>
      <c r="AI206" s="226" t="n"/>
      <c r="AJ206" s="226" t="n"/>
      <c r="AK206" s="226" t="n"/>
      <c r="AL206" s="227" t="n"/>
    </row>
    <row r="207">
      <c r="B207" s="94" t="n"/>
      <c r="C207" s="105" t="n"/>
      <c r="D207" s="105" t="n"/>
      <c r="E207" s="105" t="n"/>
      <c r="F207" s="105" t="n"/>
      <c r="G207" s="105" t="n"/>
      <c r="H207" s="105" t="n"/>
      <c r="I207" s="106" t="n"/>
      <c r="J207" s="105" t="n"/>
      <c r="K207" s="95" t="n"/>
      <c r="L207" s="107" t="n"/>
      <c r="M207" s="107" t="n"/>
      <c r="N207" s="107" t="n"/>
      <c r="O207" s="107" t="n"/>
      <c r="P207" s="107" t="n"/>
      <c r="Q207" s="107" t="n"/>
      <c r="R207" s="107" t="n"/>
      <c r="S207" s="107" t="n"/>
      <c r="T207" s="107" t="n"/>
      <c r="U207" s="107" t="n"/>
      <c r="V207" s="107" t="n"/>
      <c r="W207" s="107" t="n"/>
      <c r="X207" s="107" t="n"/>
      <c r="Y207" s="107" t="n"/>
      <c r="Z207" s="107" t="n"/>
      <c r="AA207" s="226" t="n"/>
      <c r="AB207" s="226" t="n"/>
      <c r="AC207" s="226" t="n"/>
      <c r="AD207" s="226" t="n"/>
      <c r="AE207" s="226" t="n"/>
      <c r="AF207" s="226" t="n"/>
      <c r="AG207" s="226" t="n"/>
      <c r="AH207" s="226" t="n"/>
      <c r="AI207" s="226" t="n"/>
      <c r="AJ207" s="226" t="n"/>
      <c r="AK207" s="226" t="n"/>
      <c r="AL207" s="227" t="n"/>
    </row>
    <row r="208">
      <c r="B208" s="94" t="n"/>
      <c r="C208" s="105" t="n"/>
      <c r="D208" s="105" t="n"/>
      <c r="E208" s="105" t="n"/>
      <c r="F208" s="105" t="n"/>
      <c r="G208" s="105" t="n"/>
      <c r="H208" s="105" t="n"/>
      <c r="I208" s="106" t="n"/>
      <c r="J208" s="105" t="n"/>
      <c r="K208" s="95" t="n"/>
      <c r="L208" s="107" t="n"/>
      <c r="M208" s="107" t="n"/>
      <c r="N208" s="107" t="n"/>
      <c r="O208" s="107" t="n"/>
      <c r="P208" s="107" t="n"/>
      <c r="Q208" s="107" t="n"/>
      <c r="R208" s="107" t="n"/>
      <c r="S208" s="107" t="n"/>
      <c r="T208" s="107" t="n"/>
      <c r="U208" s="107" t="n"/>
      <c r="V208" s="107" t="n"/>
      <c r="W208" s="107" t="n"/>
      <c r="X208" s="107" t="n"/>
      <c r="Y208" s="107" t="n"/>
      <c r="Z208" s="107" t="n"/>
      <c r="AA208" s="226" t="n"/>
      <c r="AB208" s="226" t="n"/>
      <c r="AC208" s="226" t="n"/>
      <c r="AD208" s="226" t="n"/>
      <c r="AE208" s="226" t="n"/>
      <c r="AF208" s="226" t="n"/>
      <c r="AG208" s="226" t="n"/>
      <c r="AH208" s="226" t="n"/>
      <c r="AI208" s="226" t="n"/>
      <c r="AJ208" s="226" t="n"/>
      <c r="AK208" s="226" t="n"/>
      <c r="AL208" s="227" t="n"/>
    </row>
    <row r="209">
      <c r="B209" s="94" t="n"/>
      <c r="C209" s="105" t="n"/>
      <c r="D209" s="105" t="n"/>
      <c r="E209" s="105" t="n"/>
      <c r="F209" s="105" t="n"/>
      <c r="G209" s="105" t="n"/>
      <c r="H209" s="105" t="n"/>
      <c r="I209" s="106" t="n"/>
      <c r="J209" s="105" t="n"/>
      <c r="K209" s="95" t="n"/>
      <c r="L209" s="107" t="n"/>
      <c r="M209" s="107" t="n"/>
      <c r="N209" s="107" t="n"/>
      <c r="O209" s="107" t="n"/>
      <c r="P209" s="107" t="n"/>
      <c r="Q209" s="107" t="n"/>
      <c r="R209" s="107" t="n"/>
      <c r="S209" s="107" t="n"/>
      <c r="T209" s="107" t="n"/>
      <c r="U209" s="107" t="n"/>
      <c r="V209" s="107" t="n"/>
      <c r="W209" s="107" t="n"/>
      <c r="X209" s="107" t="n"/>
      <c r="Y209" s="107" t="n"/>
      <c r="Z209" s="107" t="n"/>
      <c r="AA209" s="226" t="n"/>
      <c r="AB209" s="226" t="n"/>
      <c r="AC209" s="226" t="n"/>
      <c r="AD209" s="226" t="n"/>
      <c r="AE209" s="226" t="n"/>
      <c r="AF209" s="226" t="n"/>
      <c r="AG209" s="226" t="n"/>
      <c r="AH209" s="226" t="n"/>
      <c r="AI209" s="226" t="n"/>
      <c r="AJ209" s="226" t="n"/>
      <c r="AK209" s="226" t="n"/>
      <c r="AL209" s="227" t="n"/>
    </row>
    <row r="210">
      <c r="B210" s="94" t="n"/>
      <c r="C210" s="105" t="n"/>
      <c r="D210" s="105" t="n"/>
      <c r="E210" s="105" t="n"/>
      <c r="F210" s="105" t="n"/>
      <c r="G210" s="105" t="n"/>
      <c r="H210" s="105" t="n"/>
      <c r="I210" s="106" t="n"/>
      <c r="J210" s="105" t="n"/>
      <c r="K210" s="95" t="n"/>
      <c r="L210" s="107" t="n"/>
      <c r="M210" s="107" t="n"/>
      <c r="N210" s="107" t="n"/>
      <c r="O210" s="107" t="n"/>
      <c r="P210" s="107" t="n"/>
      <c r="Q210" s="107" t="n"/>
      <c r="R210" s="107" t="n"/>
      <c r="S210" s="107" t="n"/>
      <c r="T210" s="107" t="n"/>
      <c r="U210" s="107" t="n"/>
      <c r="V210" s="107" t="n"/>
      <c r="W210" s="107" t="n"/>
      <c r="X210" s="107" t="n"/>
      <c r="Y210" s="107" t="n"/>
      <c r="Z210" s="107" t="n"/>
      <c r="AA210" s="226" t="n"/>
      <c r="AB210" s="226" t="n"/>
      <c r="AC210" s="226" t="n"/>
      <c r="AD210" s="226" t="n"/>
      <c r="AE210" s="226" t="n"/>
      <c r="AF210" s="226" t="n"/>
      <c r="AG210" s="226" t="n"/>
      <c r="AH210" s="226" t="n"/>
      <c r="AI210" s="226" t="n"/>
      <c r="AJ210" s="226" t="n"/>
      <c r="AK210" s="226" t="n"/>
      <c r="AL210" s="227" t="n"/>
    </row>
    <row r="211">
      <c r="B211" s="94" t="n"/>
      <c r="C211" s="105" t="n"/>
      <c r="D211" s="105" t="n"/>
      <c r="E211" s="105" t="n"/>
      <c r="F211" s="105" t="n"/>
      <c r="G211" s="105" t="n"/>
      <c r="H211" s="105" t="n"/>
      <c r="I211" s="106" t="n"/>
      <c r="J211" s="105" t="n"/>
      <c r="K211" s="95" t="n"/>
      <c r="L211" s="107" t="n"/>
      <c r="M211" s="107" t="n"/>
      <c r="N211" s="107" t="n"/>
      <c r="O211" s="107" t="n"/>
      <c r="P211" s="107" t="n"/>
      <c r="Q211" s="107" t="n"/>
      <c r="R211" s="107" t="n"/>
      <c r="S211" s="107" t="n"/>
      <c r="T211" s="107" t="n"/>
      <c r="U211" s="107" t="n"/>
      <c r="V211" s="107" t="n"/>
      <c r="W211" s="107" t="n"/>
      <c r="X211" s="107" t="n"/>
      <c r="Y211" s="107" t="n"/>
      <c r="Z211" s="107" t="n"/>
      <c r="AA211" s="226" t="n"/>
      <c r="AB211" s="226" t="n"/>
      <c r="AC211" s="226" t="n"/>
      <c r="AD211" s="226" t="n"/>
      <c r="AE211" s="226" t="n"/>
      <c r="AF211" s="226" t="n"/>
      <c r="AG211" s="226" t="n"/>
      <c r="AH211" s="226" t="n"/>
      <c r="AI211" s="226" t="n"/>
      <c r="AJ211" s="226" t="n"/>
      <c r="AK211" s="226" t="n"/>
      <c r="AL211" s="227" t="n"/>
    </row>
    <row r="212">
      <c r="B212" s="94" t="n"/>
      <c r="C212" s="105" t="n"/>
      <c r="D212" s="105" t="n"/>
      <c r="E212" s="105" t="n"/>
      <c r="F212" s="105" t="n"/>
      <c r="G212" s="105" t="n"/>
      <c r="H212" s="105" t="n"/>
      <c r="I212" s="106" t="n"/>
      <c r="J212" s="105" t="n"/>
      <c r="K212" s="95" t="n"/>
      <c r="L212" s="107" t="n"/>
      <c r="M212" s="107" t="n"/>
      <c r="N212" s="107" t="n"/>
      <c r="O212" s="107" t="n"/>
      <c r="P212" s="107" t="n"/>
      <c r="Q212" s="107" t="n"/>
      <c r="R212" s="107" t="n"/>
      <c r="S212" s="107" t="n"/>
      <c r="T212" s="107" t="n"/>
      <c r="U212" s="107" t="n"/>
      <c r="V212" s="107" t="n"/>
      <c r="W212" s="107" t="n"/>
      <c r="X212" s="107" t="n"/>
      <c r="Y212" s="107" t="n"/>
      <c r="Z212" s="107" t="n"/>
      <c r="AA212" s="226" t="n"/>
      <c r="AB212" s="226" t="n"/>
      <c r="AC212" s="226" t="n"/>
      <c r="AD212" s="226" t="n"/>
      <c r="AE212" s="226" t="n"/>
      <c r="AF212" s="226" t="n"/>
      <c r="AG212" s="226" t="n"/>
      <c r="AH212" s="226" t="n"/>
      <c r="AI212" s="226" t="n"/>
      <c r="AJ212" s="226" t="n"/>
      <c r="AK212" s="226" t="n"/>
      <c r="AL212" s="227" t="n"/>
    </row>
    <row r="213">
      <c r="B213" s="94" t="n"/>
      <c r="C213" s="105" t="n"/>
      <c r="D213" s="105" t="n"/>
      <c r="E213" s="105" t="n"/>
      <c r="F213" s="105" t="n"/>
      <c r="G213" s="105" t="n"/>
      <c r="H213" s="105" t="n"/>
      <c r="I213" s="106" t="n"/>
      <c r="J213" s="105" t="n"/>
      <c r="K213" s="95" t="n"/>
      <c r="L213" s="107" t="n"/>
      <c r="M213" s="107" t="n"/>
      <c r="N213" s="107" t="n"/>
      <c r="O213" s="107" t="n"/>
      <c r="P213" s="107" t="n"/>
      <c r="Q213" s="107" t="n"/>
      <c r="R213" s="107" t="n"/>
      <c r="S213" s="107" t="n"/>
      <c r="T213" s="107" t="n"/>
      <c r="U213" s="107" t="n"/>
      <c r="V213" s="107" t="n"/>
      <c r="W213" s="107" t="n"/>
      <c r="X213" s="107" t="n"/>
      <c r="Y213" s="107" t="n"/>
      <c r="Z213" s="107" t="n"/>
      <c r="AA213" s="226" t="n"/>
      <c r="AB213" s="226" t="n"/>
      <c r="AC213" s="226" t="n"/>
      <c r="AD213" s="226" t="n"/>
      <c r="AE213" s="226" t="n"/>
      <c r="AF213" s="226" t="n"/>
      <c r="AG213" s="226" t="n"/>
      <c r="AH213" s="226" t="n"/>
      <c r="AI213" s="226" t="n"/>
      <c r="AJ213" s="226" t="n"/>
      <c r="AK213" s="226" t="n"/>
      <c r="AL213" s="227" t="n"/>
    </row>
    <row r="214">
      <c r="B214" s="94" t="n"/>
      <c r="C214" s="105" t="n"/>
      <c r="D214" s="105" t="n"/>
      <c r="E214" s="105" t="n"/>
      <c r="F214" s="105" t="n"/>
      <c r="G214" s="105" t="n"/>
      <c r="H214" s="105" t="n"/>
      <c r="I214" s="106" t="n"/>
      <c r="J214" s="105" t="n"/>
      <c r="K214" s="95" t="n"/>
      <c r="L214" s="107" t="n"/>
      <c r="M214" s="107" t="n"/>
      <c r="N214" s="107" t="n"/>
      <c r="O214" s="107" t="n"/>
      <c r="P214" s="107" t="n"/>
      <c r="Q214" s="107" t="n"/>
      <c r="R214" s="107" t="n"/>
      <c r="S214" s="107" t="n"/>
      <c r="T214" s="107" t="n"/>
      <c r="U214" s="107" t="n"/>
      <c r="V214" s="107" t="n"/>
      <c r="W214" s="107" t="n"/>
      <c r="X214" s="107" t="n"/>
      <c r="Y214" s="107" t="n"/>
      <c r="Z214" s="107" t="n"/>
      <c r="AA214" s="226" t="n"/>
      <c r="AB214" s="226" t="n"/>
      <c r="AC214" s="226" t="n"/>
      <c r="AD214" s="226" t="n"/>
      <c r="AE214" s="226" t="n"/>
      <c r="AF214" s="226" t="n"/>
      <c r="AG214" s="226" t="n"/>
      <c r="AH214" s="226" t="n"/>
      <c r="AI214" s="226" t="n"/>
      <c r="AJ214" s="226" t="n"/>
      <c r="AK214" s="226" t="n"/>
      <c r="AL214" s="227" t="n"/>
    </row>
    <row r="215">
      <c r="B215" s="94" t="n"/>
      <c r="C215" s="105" t="n"/>
      <c r="D215" s="105" t="n"/>
      <c r="E215" s="105" t="n"/>
      <c r="F215" s="105" t="n"/>
      <c r="G215" s="105" t="n"/>
      <c r="H215" s="105" t="n"/>
      <c r="I215" s="106" t="n"/>
      <c r="J215" s="105" t="n"/>
      <c r="K215" s="95" t="n"/>
      <c r="L215" s="107" t="n"/>
      <c r="M215" s="107" t="n"/>
      <c r="N215" s="107" t="n"/>
      <c r="O215" s="107" t="n"/>
      <c r="P215" s="107" t="n"/>
      <c r="Q215" s="107" t="n"/>
      <c r="R215" s="107" t="n"/>
      <c r="S215" s="107" t="n"/>
      <c r="T215" s="107" t="n"/>
      <c r="U215" s="107" t="n"/>
      <c r="V215" s="107" t="n"/>
      <c r="W215" s="107" t="n"/>
      <c r="X215" s="107" t="n"/>
      <c r="Y215" s="107" t="n"/>
      <c r="Z215" s="107" t="n"/>
      <c r="AA215" s="226" t="n"/>
      <c r="AB215" s="226" t="n"/>
      <c r="AC215" s="226" t="n"/>
      <c r="AD215" s="226" t="n"/>
      <c r="AE215" s="226" t="n"/>
      <c r="AF215" s="226" t="n"/>
      <c r="AG215" s="226" t="n"/>
      <c r="AH215" s="226" t="n"/>
      <c r="AI215" s="226" t="n"/>
      <c r="AJ215" s="226" t="n"/>
      <c r="AK215" s="226" t="n"/>
      <c r="AL215" s="227" t="n"/>
    </row>
    <row r="216">
      <c r="B216" s="94" t="n"/>
      <c r="C216" s="105" t="n"/>
      <c r="D216" s="105" t="n"/>
      <c r="E216" s="105" t="n"/>
      <c r="F216" s="105" t="n"/>
      <c r="G216" s="105" t="n"/>
      <c r="H216" s="105" t="n"/>
      <c r="I216" s="106" t="n"/>
      <c r="J216" s="105" t="n"/>
      <c r="K216" s="95" t="n"/>
      <c r="L216" s="107" t="n"/>
      <c r="M216" s="107" t="n"/>
      <c r="N216" s="107" t="n"/>
      <c r="O216" s="107" t="n"/>
      <c r="P216" s="107" t="n"/>
      <c r="Q216" s="107" t="n"/>
      <c r="R216" s="107" t="n"/>
      <c r="S216" s="107" t="n"/>
      <c r="T216" s="107" t="n"/>
      <c r="U216" s="107" t="n"/>
      <c r="V216" s="107" t="n"/>
      <c r="W216" s="107" t="n"/>
      <c r="X216" s="107" t="n"/>
      <c r="Y216" s="107" t="n"/>
      <c r="Z216" s="107" t="n"/>
      <c r="AA216" s="226" t="n"/>
      <c r="AB216" s="226" t="n"/>
      <c r="AC216" s="226" t="n"/>
      <c r="AD216" s="226" t="n"/>
      <c r="AE216" s="226" t="n"/>
      <c r="AF216" s="226" t="n"/>
      <c r="AG216" s="226" t="n"/>
      <c r="AH216" s="226" t="n"/>
      <c r="AI216" s="226" t="n"/>
      <c r="AJ216" s="226" t="n"/>
      <c r="AK216" s="226" t="n"/>
      <c r="AL216" s="227" t="n"/>
    </row>
    <row r="217">
      <c r="B217" s="94" t="n"/>
      <c r="C217" s="105" t="n"/>
      <c r="D217" s="105" t="n"/>
      <c r="E217" s="105" t="n"/>
      <c r="F217" s="105" t="n"/>
      <c r="G217" s="105" t="n"/>
      <c r="H217" s="105" t="n"/>
      <c r="I217" s="106" t="n"/>
      <c r="J217" s="105" t="n"/>
      <c r="K217" s="95" t="n"/>
      <c r="L217" s="107" t="n"/>
      <c r="M217" s="107" t="n"/>
      <c r="N217" s="107" t="n"/>
      <c r="O217" s="107" t="n"/>
      <c r="P217" s="107" t="n"/>
      <c r="Q217" s="107" t="n"/>
      <c r="R217" s="107" t="n"/>
      <c r="S217" s="107" t="n"/>
      <c r="T217" s="107" t="n"/>
      <c r="U217" s="107" t="n"/>
      <c r="V217" s="107" t="n"/>
      <c r="W217" s="107" t="n"/>
      <c r="X217" s="107" t="n"/>
      <c r="Y217" s="107" t="n"/>
      <c r="Z217" s="107" t="n"/>
      <c r="AA217" s="226" t="n"/>
      <c r="AB217" s="226" t="n"/>
      <c r="AC217" s="226" t="n"/>
      <c r="AD217" s="226" t="n"/>
      <c r="AE217" s="226" t="n"/>
      <c r="AF217" s="226" t="n"/>
      <c r="AG217" s="226" t="n"/>
      <c r="AH217" s="226" t="n"/>
      <c r="AI217" s="226" t="n"/>
      <c r="AJ217" s="226" t="n"/>
      <c r="AK217" s="226" t="n"/>
      <c r="AL217" s="227" t="n"/>
    </row>
    <row r="218">
      <c r="B218" s="94" t="n"/>
      <c r="C218" s="105" t="n"/>
      <c r="D218" s="105" t="n"/>
      <c r="E218" s="105" t="n"/>
      <c r="F218" s="105" t="n"/>
      <c r="G218" s="105" t="n"/>
      <c r="H218" s="105" t="n"/>
      <c r="I218" s="106" t="n"/>
      <c r="J218" s="105" t="n"/>
      <c r="K218" s="95" t="n"/>
      <c r="L218" s="107" t="n"/>
      <c r="M218" s="107" t="n"/>
      <c r="N218" s="107" t="n"/>
      <c r="O218" s="107" t="n"/>
      <c r="P218" s="107" t="n"/>
      <c r="Q218" s="107" t="n"/>
      <c r="R218" s="107" t="n"/>
      <c r="S218" s="107" t="n"/>
      <c r="T218" s="107" t="n"/>
      <c r="U218" s="107" t="n"/>
      <c r="V218" s="107" t="n"/>
      <c r="W218" s="107" t="n"/>
      <c r="X218" s="107" t="n"/>
      <c r="Y218" s="107" t="n"/>
      <c r="Z218" s="107" t="n"/>
      <c r="AA218" s="226" t="n"/>
      <c r="AB218" s="226" t="n"/>
      <c r="AC218" s="226" t="n"/>
      <c r="AD218" s="226" t="n"/>
      <c r="AE218" s="226" t="n"/>
      <c r="AF218" s="226" t="n"/>
      <c r="AG218" s="226" t="n"/>
      <c r="AH218" s="226" t="n"/>
      <c r="AI218" s="226" t="n"/>
      <c r="AJ218" s="226" t="n"/>
      <c r="AK218" s="226" t="n"/>
      <c r="AL218" s="227" t="n"/>
    </row>
    <row r="219">
      <c r="B219" s="94" t="n"/>
      <c r="C219" s="105" t="n"/>
      <c r="D219" s="105" t="n"/>
      <c r="E219" s="105" t="n"/>
      <c r="F219" s="105" t="n"/>
      <c r="G219" s="105" t="n"/>
      <c r="H219" s="105" t="n"/>
      <c r="I219" s="106" t="n"/>
      <c r="J219" s="105" t="n"/>
      <c r="K219" s="95" t="n"/>
      <c r="L219" s="107" t="n"/>
      <c r="M219" s="107" t="n"/>
      <c r="N219" s="107" t="n"/>
      <c r="O219" s="107" t="n"/>
      <c r="P219" s="107" t="n"/>
      <c r="Q219" s="107" t="n"/>
      <c r="R219" s="107" t="n"/>
      <c r="S219" s="107" t="n"/>
      <c r="T219" s="107" t="n"/>
      <c r="U219" s="107" t="n"/>
      <c r="V219" s="107" t="n"/>
      <c r="W219" s="107" t="n"/>
      <c r="X219" s="107" t="n"/>
      <c r="Y219" s="107" t="n"/>
      <c r="Z219" s="107" t="n"/>
      <c r="AA219" s="226" t="n"/>
      <c r="AB219" s="226" t="n"/>
      <c r="AC219" s="226" t="n"/>
      <c r="AD219" s="226" t="n"/>
      <c r="AE219" s="226" t="n"/>
      <c r="AF219" s="226" t="n"/>
      <c r="AG219" s="226" t="n"/>
      <c r="AH219" s="226" t="n"/>
      <c r="AI219" s="226" t="n"/>
      <c r="AJ219" s="226" t="n"/>
      <c r="AK219" s="226" t="n"/>
      <c r="AL219" s="227" t="n"/>
    </row>
    <row r="220">
      <c r="B220" s="94" t="n"/>
      <c r="C220" s="105" t="n"/>
      <c r="D220" s="105" t="n"/>
      <c r="E220" s="105" t="n"/>
      <c r="F220" s="105" t="n"/>
      <c r="G220" s="105" t="n"/>
      <c r="H220" s="105" t="n"/>
      <c r="I220" s="106" t="n"/>
      <c r="J220" s="105" t="n"/>
      <c r="K220" s="95" t="n"/>
      <c r="L220" s="107" t="n"/>
      <c r="M220" s="107" t="n"/>
      <c r="N220" s="107" t="n"/>
      <c r="O220" s="107" t="n"/>
      <c r="P220" s="107" t="n"/>
      <c r="Q220" s="107" t="n"/>
      <c r="R220" s="107" t="n"/>
      <c r="S220" s="107" t="n"/>
      <c r="T220" s="107" t="n"/>
      <c r="U220" s="107" t="n"/>
      <c r="V220" s="107" t="n"/>
      <c r="W220" s="107" t="n"/>
      <c r="X220" s="107" t="n"/>
      <c r="Y220" s="107" t="n"/>
      <c r="Z220" s="107" t="n"/>
      <c r="AA220" s="226" t="n"/>
      <c r="AB220" s="226" t="n"/>
      <c r="AC220" s="226" t="n"/>
      <c r="AD220" s="226" t="n"/>
      <c r="AE220" s="226" t="n"/>
      <c r="AF220" s="226" t="n"/>
      <c r="AG220" s="226" t="n"/>
      <c r="AH220" s="226" t="n"/>
      <c r="AI220" s="226" t="n"/>
      <c r="AJ220" s="226" t="n"/>
      <c r="AK220" s="226" t="n"/>
      <c r="AL220" s="227" t="n"/>
    </row>
    <row r="221">
      <c r="B221" s="94" t="n"/>
      <c r="C221" s="105" t="n"/>
      <c r="D221" s="105" t="n"/>
      <c r="E221" s="105" t="n"/>
      <c r="F221" s="105" t="n"/>
      <c r="G221" s="105" t="n"/>
      <c r="H221" s="105" t="n"/>
      <c r="I221" s="106" t="n"/>
      <c r="J221" s="105" t="n"/>
      <c r="K221" s="95" t="n"/>
      <c r="L221" s="107" t="n"/>
      <c r="M221" s="107" t="n"/>
      <c r="N221" s="107" t="n"/>
      <c r="O221" s="107" t="n"/>
      <c r="P221" s="107" t="n"/>
      <c r="Q221" s="107" t="n"/>
      <c r="R221" s="107" t="n"/>
      <c r="S221" s="107" t="n"/>
      <c r="T221" s="107" t="n"/>
      <c r="U221" s="107" t="n"/>
      <c r="V221" s="107" t="n"/>
      <c r="W221" s="107" t="n"/>
      <c r="X221" s="107" t="n"/>
      <c r="Y221" s="107" t="n"/>
      <c r="Z221" s="107" t="n"/>
      <c r="AA221" s="226" t="n"/>
      <c r="AB221" s="226" t="n"/>
      <c r="AC221" s="226" t="n"/>
      <c r="AD221" s="226" t="n"/>
      <c r="AE221" s="226" t="n"/>
      <c r="AF221" s="226" t="n"/>
      <c r="AG221" s="226" t="n"/>
      <c r="AH221" s="226" t="n"/>
      <c r="AI221" s="226" t="n"/>
      <c r="AJ221" s="226" t="n"/>
      <c r="AK221" s="226" t="n"/>
      <c r="AL221" s="227" t="n"/>
    </row>
    <row r="222">
      <c r="B222" s="94" t="n"/>
      <c r="C222" s="105" t="n"/>
      <c r="D222" s="105" t="n"/>
      <c r="E222" s="105" t="n"/>
      <c r="F222" s="105" t="n"/>
      <c r="G222" s="105" t="n"/>
      <c r="H222" s="105" t="n"/>
      <c r="I222" s="106" t="n"/>
      <c r="J222" s="105" t="n"/>
      <c r="K222" s="95" t="n"/>
      <c r="L222" s="107" t="n"/>
      <c r="M222" s="107" t="n"/>
      <c r="N222" s="107" t="n"/>
      <c r="O222" s="107" t="n"/>
      <c r="P222" s="107" t="n"/>
      <c r="Q222" s="107" t="n"/>
      <c r="R222" s="107" t="n"/>
      <c r="S222" s="107" t="n"/>
      <c r="T222" s="107" t="n"/>
      <c r="U222" s="107" t="n"/>
      <c r="V222" s="107" t="n"/>
      <c r="W222" s="107" t="n"/>
      <c r="X222" s="107" t="n"/>
      <c r="Y222" s="107" t="n"/>
      <c r="Z222" s="107" t="n"/>
      <c r="AA222" s="226" t="n"/>
      <c r="AB222" s="226" t="n"/>
      <c r="AC222" s="226" t="n"/>
      <c r="AD222" s="226" t="n"/>
      <c r="AE222" s="226" t="n"/>
      <c r="AF222" s="226" t="n"/>
      <c r="AG222" s="226" t="n"/>
      <c r="AH222" s="226" t="n"/>
      <c r="AI222" s="226" t="n"/>
      <c r="AJ222" s="226" t="n"/>
      <c r="AK222" s="226" t="n"/>
      <c r="AL222" s="227" t="n"/>
    </row>
    <row r="223">
      <c r="B223" s="94" t="n"/>
      <c r="C223" s="105" t="n"/>
      <c r="D223" s="105" t="n"/>
      <c r="E223" s="105" t="n"/>
      <c r="F223" s="105" t="n"/>
      <c r="G223" s="105" t="n"/>
      <c r="H223" s="105" t="n"/>
      <c r="I223" s="106" t="n"/>
      <c r="J223" s="105" t="n"/>
      <c r="K223" s="95" t="n"/>
      <c r="L223" s="107" t="n"/>
      <c r="M223" s="107" t="n"/>
      <c r="N223" s="107" t="n"/>
      <c r="O223" s="107" t="n"/>
      <c r="P223" s="107" t="n"/>
      <c r="Q223" s="107" t="n"/>
      <c r="R223" s="107" t="n"/>
      <c r="S223" s="107" t="n"/>
      <c r="T223" s="107" t="n"/>
      <c r="U223" s="107" t="n"/>
      <c r="V223" s="107" t="n"/>
      <c r="W223" s="107" t="n"/>
      <c r="X223" s="107" t="n"/>
      <c r="Y223" s="107" t="n"/>
      <c r="Z223" s="107" t="n"/>
      <c r="AA223" s="226" t="n"/>
      <c r="AB223" s="226" t="n"/>
      <c r="AC223" s="226" t="n"/>
      <c r="AD223" s="226" t="n"/>
      <c r="AE223" s="226" t="n"/>
      <c r="AF223" s="226" t="n"/>
      <c r="AG223" s="226" t="n"/>
      <c r="AH223" s="226" t="n"/>
      <c r="AI223" s="226" t="n"/>
      <c r="AJ223" s="226" t="n"/>
      <c r="AK223" s="226" t="n"/>
      <c r="AL223" s="227" t="n"/>
    </row>
    <row r="224">
      <c r="B224" s="94" t="n"/>
      <c r="C224" s="105" t="n"/>
      <c r="D224" s="105" t="n"/>
      <c r="E224" s="105" t="n"/>
      <c r="F224" s="105" t="n"/>
      <c r="G224" s="105" t="n"/>
      <c r="H224" s="105" t="n"/>
      <c r="I224" s="106" t="n"/>
      <c r="J224" s="105" t="n"/>
      <c r="K224" s="95" t="n"/>
      <c r="L224" s="107" t="n"/>
      <c r="M224" s="107" t="n"/>
      <c r="N224" s="107" t="n"/>
      <c r="O224" s="107" t="n"/>
      <c r="P224" s="107" t="n"/>
      <c r="Q224" s="107" t="n"/>
      <c r="R224" s="107" t="n"/>
      <c r="S224" s="107" t="n"/>
      <c r="T224" s="107" t="n"/>
      <c r="U224" s="107" t="n"/>
      <c r="V224" s="107" t="n"/>
      <c r="W224" s="107" t="n"/>
      <c r="X224" s="107" t="n"/>
      <c r="Y224" s="107" t="n"/>
      <c r="Z224" s="107" t="n"/>
      <c r="AA224" s="226" t="n"/>
      <c r="AB224" s="226" t="n"/>
      <c r="AC224" s="226" t="n"/>
      <c r="AD224" s="226" t="n"/>
      <c r="AE224" s="226" t="n"/>
      <c r="AF224" s="226" t="n"/>
      <c r="AG224" s="226" t="n"/>
      <c r="AH224" s="226" t="n"/>
      <c r="AI224" s="226" t="n"/>
      <c r="AJ224" s="226" t="n"/>
      <c r="AK224" s="226" t="n"/>
      <c r="AL224" s="227" t="n"/>
    </row>
    <row r="225">
      <c r="B225" s="94" t="n"/>
      <c r="C225" s="105" t="n"/>
      <c r="D225" s="105" t="n"/>
      <c r="E225" s="105" t="n"/>
      <c r="F225" s="105" t="n"/>
      <c r="G225" s="105" t="n"/>
      <c r="H225" s="105" t="n"/>
      <c r="I225" s="106" t="n"/>
      <c r="J225" s="105" t="n"/>
      <c r="K225" s="95" t="n"/>
      <c r="L225" s="107" t="n"/>
      <c r="M225" s="107" t="n"/>
      <c r="N225" s="107" t="n"/>
      <c r="O225" s="107" t="n"/>
      <c r="P225" s="107" t="n"/>
      <c r="Q225" s="107" t="n"/>
      <c r="R225" s="107" t="n"/>
      <c r="S225" s="107" t="n"/>
      <c r="T225" s="107" t="n"/>
      <c r="U225" s="107" t="n"/>
      <c r="V225" s="107" t="n"/>
      <c r="W225" s="107" t="n"/>
      <c r="X225" s="107" t="n"/>
      <c r="Y225" s="107" t="n"/>
      <c r="Z225" s="107" t="n"/>
      <c r="AA225" s="226" t="n"/>
      <c r="AB225" s="226" t="n"/>
      <c r="AC225" s="226" t="n"/>
      <c r="AD225" s="226" t="n"/>
      <c r="AE225" s="226" t="n"/>
      <c r="AF225" s="226" t="n"/>
      <c r="AG225" s="226" t="n"/>
      <c r="AH225" s="226" t="n"/>
      <c r="AI225" s="226" t="n"/>
      <c r="AJ225" s="226" t="n"/>
      <c r="AK225" s="226" t="n"/>
      <c r="AL225" s="227" t="n"/>
    </row>
    <row r="226">
      <c r="B226" s="94" t="n"/>
      <c r="C226" s="105" t="n"/>
      <c r="D226" s="105" t="n"/>
      <c r="E226" s="105" t="n"/>
      <c r="F226" s="105" t="n"/>
      <c r="G226" s="105" t="n"/>
      <c r="H226" s="105" t="n"/>
      <c r="I226" s="106" t="n"/>
      <c r="J226" s="105" t="n"/>
      <c r="K226" s="95" t="n"/>
      <c r="L226" s="107" t="n"/>
      <c r="M226" s="107" t="n"/>
      <c r="N226" s="107" t="n"/>
      <c r="O226" s="107" t="n"/>
      <c r="P226" s="107" t="n"/>
      <c r="Q226" s="107" t="n"/>
      <c r="R226" s="107" t="n"/>
      <c r="S226" s="107" t="n"/>
      <c r="T226" s="107" t="n"/>
      <c r="U226" s="107" t="n"/>
      <c r="V226" s="107" t="n"/>
      <c r="W226" s="107" t="n"/>
      <c r="X226" s="107" t="n"/>
      <c r="Y226" s="107" t="n"/>
      <c r="Z226" s="107" t="n"/>
      <c r="AA226" s="226" t="n"/>
      <c r="AB226" s="226" t="n"/>
      <c r="AC226" s="226" t="n"/>
      <c r="AD226" s="226" t="n"/>
      <c r="AE226" s="226" t="n"/>
      <c r="AF226" s="226" t="n"/>
      <c r="AG226" s="226" t="n"/>
      <c r="AH226" s="226" t="n"/>
      <c r="AI226" s="226" t="n"/>
      <c r="AJ226" s="226" t="n"/>
      <c r="AK226" s="226" t="n"/>
      <c r="AL226" s="227" t="n"/>
    </row>
    <row r="227">
      <c r="B227" s="94" t="n"/>
      <c r="C227" s="105" t="n"/>
      <c r="D227" s="105" t="n"/>
      <c r="E227" s="105" t="n"/>
      <c r="F227" s="105" t="n"/>
      <c r="G227" s="105" t="n"/>
      <c r="H227" s="105" t="n"/>
      <c r="I227" s="106" t="n"/>
      <c r="J227" s="105" t="n"/>
      <c r="K227" s="95" t="n"/>
      <c r="L227" s="107" t="n"/>
      <c r="M227" s="107" t="n"/>
      <c r="N227" s="107" t="n"/>
      <c r="O227" s="107" t="n"/>
      <c r="P227" s="107" t="n"/>
      <c r="Q227" s="107" t="n"/>
      <c r="R227" s="107" t="n"/>
      <c r="S227" s="107" t="n"/>
      <c r="T227" s="107" t="n"/>
      <c r="U227" s="107" t="n"/>
      <c r="V227" s="107" t="n"/>
      <c r="W227" s="107" t="n"/>
      <c r="X227" s="107" t="n"/>
      <c r="Y227" s="107" t="n"/>
      <c r="Z227" s="107" t="n"/>
      <c r="AA227" s="226" t="n"/>
      <c r="AB227" s="226" t="n"/>
      <c r="AC227" s="226" t="n"/>
      <c r="AD227" s="226" t="n"/>
      <c r="AE227" s="226" t="n"/>
      <c r="AF227" s="226" t="n"/>
      <c r="AG227" s="226" t="n"/>
      <c r="AH227" s="226" t="n"/>
      <c r="AI227" s="226" t="n"/>
      <c r="AJ227" s="226" t="n"/>
      <c r="AK227" s="226" t="n"/>
      <c r="AL227" s="227" t="n"/>
    </row>
    <row r="228">
      <c r="B228" s="94" t="n"/>
      <c r="C228" s="105" t="n"/>
      <c r="D228" s="105" t="n"/>
      <c r="E228" s="105" t="n"/>
      <c r="F228" s="105" t="n"/>
      <c r="G228" s="105" t="n"/>
      <c r="H228" s="105" t="n"/>
      <c r="I228" s="106" t="n"/>
      <c r="J228" s="105" t="n"/>
      <c r="K228" s="95" t="n"/>
      <c r="L228" s="107" t="n"/>
      <c r="M228" s="107" t="n"/>
      <c r="N228" s="107" t="n"/>
      <c r="O228" s="107" t="n"/>
      <c r="P228" s="107" t="n"/>
      <c r="Q228" s="107" t="n"/>
      <c r="R228" s="107" t="n"/>
      <c r="S228" s="107" t="n"/>
      <c r="T228" s="107" t="n"/>
      <c r="U228" s="107" t="n"/>
      <c r="V228" s="107" t="n"/>
      <c r="W228" s="107" t="n"/>
      <c r="X228" s="107" t="n"/>
      <c r="Y228" s="107" t="n"/>
      <c r="Z228" s="107" t="n"/>
      <c r="AA228" s="226" t="n"/>
      <c r="AB228" s="226" t="n"/>
      <c r="AC228" s="226" t="n"/>
      <c r="AD228" s="226" t="n"/>
      <c r="AE228" s="226" t="n"/>
      <c r="AF228" s="226" t="n"/>
      <c r="AG228" s="226" t="n"/>
      <c r="AH228" s="226" t="n"/>
      <c r="AI228" s="226" t="n"/>
      <c r="AJ228" s="226" t="n"/>
      <c r="AK228" s="226" t="n"/>
      <c r="AL228" s="227" t="n"/>
    </row>
    <row r="229">
      <c r="B229" s="94" t="n"/>
      <c r="C229" s="105" t="n"/>
      <c r="D229" s="105" t="n"/>
      <c r="E229" s="105" t="n"/>
      <c r="F229" s="105" t="n"/>
      <c r="G229" s="105" t="n"/>
      <c r="H229" s="105" t="n"/>
      <c r="I229" s="106" t="n"/>
      <c r="J229" s="105" t="n"/>
      <c r="K229" s="95" t="n"/>
      <c r="L229" s="107" t="n"/>
      <c r="M229" s="107" t="n"/>
      <c r="N229" s="107" t="n"/>
      <c r="O229" s="107" t="n"/>
      <c r="P229" s="107" t="n"/>
      <c r="Q229" s="107" t="n"/>
      <c r="R229" s="107" t="n"/>
      <c r="S229" s="107" t="n"/>
      <c r="T229" s="107" t="n"/>
      <c r="U229" s="107" t="n"/>
      <c r="V229" s="107" t="n"/>
      <c r="W229" s="107" t="n"/>
      <c r="X229" s="107" t="n"/>
      <c r="Y229" s="107" t="n"/>
      <c r="Z229" s="107" t="n"/>
      <c r="AA229" s="226" t="n"/>
      <c r="AB229" s="226" t="n"/>
      <c r="AC229" s="226" t="n"/>
      <c r="AD229" s="226" t="n"/>
      <c r="AE229" s="226" t="n"/>
      <c r="AF229" s="226" t="n"/>
      <c r="AG229" s="226" t="n"/>
      <c r="AH229" s="226" t="n"/>
      <c r="AI229" s="226" t="n"/>
      <c r="AJ229" s="226" t="n"/>
      <c r="AK229" s="226" t="n"/>
      <c r="AL229" s="227" t="n"/>
    </row>
    <row r="230">
      <c r="B230" s="94" t="n"/>
      <c r="C230" s="105" t="n"/>
      <c r="D230" s="105" t="n"/>
      <c r="E230" s="105" t="n"/>
      <c r="F230" s="105" t="n"/>
      <c r="G230" s="105" t="n"/>
      <c r="H230" s="105" t="n"/>
      <c r="I230" s="106" t="n"/>
      <c r="J230" s="105" t="n"/>
      <c r="K230" s="95" t="n"/>
      <c r="L230" s="107" t="n"/>
      <c r="M230" s="107" t="n"/>
      <c r="N230" s="107" t="n"/>
      <c r="O230" s="107" t="n"/>
      <c r="P230" s="107" t="n"/>
      <c r="Q230" s="107" t="n"/>
      <c r="R230" s="107" t="n"/>
      <c r="S230" s="107" t="n"/>
      <c r="T230" s="107" t="n"/>
      <c r="U230" s="107" t="n"/>
      <c r="V230" s="107" t="n"/>
      <c r="W230" s="107" t="n"/>
      <c r="X230" s="107" t="n"/>
      <c r="Y230" s="107" t="n"/>
      <c r="Z230" s="107" t="n"/>
      <c r="AA230" s="226" t="n"/>
      <c r="AB230" s="226" t="n"/>
      <c r="AC230" s="226" t="n"/>
      <c r="AD230" s="226" t="n"/>
      <c r="AE230" s="226" t="n"/>
      <c r="AF230" s="226" t="n"/>
      <c r="AG230" s="226" t="n"/>
      <c r="AH230" s="226" t="n"/>
      <c r="AI230" s="226" t="n"/>
      <c r="AJ230" s="226" t="n"/>
      <c r="AK230" s="226" t="n"/>
      <c r="AL230" s="227" t="n"/>
    </row>
    <row r="231">
      <c r="B231" s="94" t="n"/>
      <c r="C231" s="105" t="n"/>
      <c r="D231" s="105" t="n"/>
      <c r="E231" s="105" t="n"/>
      <c r="F231" s="105" t="n"/>
      <c r="G231" s="105" t="n"/>
      <c r="H231" s="105" t="n"/>
      <c r="I231" s="106" t="n"/>
      <c r="J231" s="105" t="n"/>
      <c r="K231" s="95" t="n"/>
      <c r="L231" s="107" t="n"/>
      <c r="M231" s="107" t="n"/>
      <c r="N231" s="107" t="n"/>
      <c r="O231" s="107" t="n"/>
      <c r="P231" s="107" t="n"/>
      <c r="Q231" s="107" t="n"/>
      <c r="R231" s="107" t="n"/>
      <c r="S231" s="107" t="n"/>
      <c r="T231" s="107" t="n"/>
      <c r="U231" s="107" t="n"/>
      <c r="V231" s="107" t="n"/>
      <c r="W231" s="107" t="n"/>
      <c r="X231" s="107" t="n"/>
      <c r="Y231" s="107" t="n"/>
      <c r="Z231" s="107" t="n"/>
      <c r="AA231" s="226" t="n"/>
      <c r="AB231" s="226" t="n"/>
      <c r="AC231" s="226" t="n"/>
      <c r="AD231" s="226" t="n"/>
      <c r="AE231" s="226" t="n"/>
      <c r="AF231" s="226" t="n"/>
      <c r="AG231" s="226" t="n"/>
      <c r="AH231" s="226" t="n"/>
      <c r="AI231" s="226" t="n"/>
      <c r="AJ231" s="226" t="n"/>
      <c r="AK231" s="226" t="n"/>
      <c r="AL231" s="227" t="n"/>
    </row>
    <row r="232">
      <c r="B232" s="94" t="n"/>
      <c r="C232" s="105" t="n"/>
      <c r="D232" s="105" t="n"/>
      <c r="E232" s="105" t="n"/>
      <c r="F232" s="105" t="n"/>
      <c r="G232" s="105" t="n"/>
      <c r="H232" s="105" t="n"/>
      <c r="I232" s="106" t="n"/>
      <c r="J232" s="105" t="n"/>
      <c r="K232" s="95" t="n"/>
      <c r="L232" s="107" t="n"/>
      <c r="M232" s="107" t="n"/>
      <c r="N232" s="107" t="n"/>
      <c r="O232" s="107" t="n"/>
      <c r="P232" s="107" t="n"/>
      <c r="Q232" s="107" t="n"/>
      <c r="R232" s="107" t="n"/>
      <c r="S232" s="107" t="n"/>
      <c r="T232" s="107" t="n"/>
      <c r="U232" s="107" t="n"/>
      <c r="V232" s="107" t="n"/>
      <c r="W232" s="107" t="n"/>
      <c r="X232" s="107" t="n"/>
      <c r="Y232" s="107" t="n"/>
      <c r="Z232" s="107" t="n"/>
      <c r="AA232" s="226" t="n"/>
      <c r="AB232" s="226" t="n"/>
      <c r="AC232" s="226" t="n"/>
      <c r="AD232" s="226" t="n"/>
      <c r="AE232" s="226" t="n"/>
      <c r="AF232" s="226" t="n"/>
      <c r="AG232" s="226" t="n"/>
      <c r="AH232" s="226" t="n"/>
      <c r="AI232" s="226" t="n"/>
      <c r="AJ232" s="226" t="n"/>
      <c r="AK232" s="226" t="n"/>
      <c r="AL232" s="227" t="n"/>
    </row>
    <row r="233">
      <c r="B233" s="94" t="n"/>
      <c r="C233" s="105" t="n"/>
      <c r="D233" s="105" t="n"/>
      <c r="E233" s="105" t="n"/>
      <c r="F233" s="105" t="n"/>
      <c r="G233" s="105" t="n"/>
      <c r="H233" s="105" t="n"/>
      <c r="I233" s="106" t="n"/>
      <c r="J233" s="105" t="n"/>
      <c r="K233" s="95" t="n"/>
      <c r="L233" s="107" t="n"/>
      <c r="M233" s="107" t="n"/>
      <c r="N233" s="107" t="n"/>
      <c r="O233" s="107" t="n"/>
      <c r="P233" s="107" t="n"/>
      <c r="Q233" s="107" t="n"/>
      <c r="R233" s="107" t="n"/>
      <c r="S233" s="107" t="n"/>
      <c r="T233" s="107" t="n"/>
      <c r="U233" s="107" t="n"/>
      <c r="V233" s="107" t="n"/>
      <c r="W233" s="107" t="n"/>
      <c r="X233" s="107" t="n"/>
      <c r="Y233" s="107" t="n"/>
      <c r="Z233" s="107" t="n"/>
      <c r="AA233" s="226" t="n"/>
      <c r="AB233" s="226" t="n"/>
      <c r="AC233" s="226" t="n"/>
      <c r="AD233" s="226" t="n"/>
      <c r="AE233" s="226" t="n"/>
      <c r="AF233" s="226" t="n"/>
      <c r="AG233" s="226" t="n"/>
      <c r="AH233" s="226" t="n"/>
      <c r="AI233" s="226" t="n"/>
      <c r="AJ233" s="226" t="n"/>
      <c r="AK233" s="226" t="n"/>
      <c r="AL233" s="227" t="n"/>
    </row>
    <row r="234">
      <c r="B234" s="94" t="n"/>
      <c r="C234" s="105" t="n"/>
      <c r="D234" s="105" t="n"/>
      <c r="E234" s="105" t="n"/>
      <c r="F234" s="105" t="n"/>
      <c r="G234" s="105" t="n"/>
      <c r="H234" s="105" t="n"/>
      <c r="I234" s="106" t="n"/>
      <c r="J234" s="105" t="n"/>
      <c r="K234" s="95" t="n"/>
      <c r="L234" s="107" t="n"/>
      <c r="M234" s="107" t="n"/>
      <c r="N234" s="107" t="n"/>
      <c r="O234" s="107" t="n"/>
      <c r="P234" s="107" t="n"/>
      <c r="Q234" s="107" t="n"/>
      <c r="R234" s="107" t="n"/>
      <c r="S234" s="107" t="n"/>
      <c r="T234" s="107" t="n"/>
      <c r="U234" s="107" t="n"/>
      <c r="V234" s="107" t="n"/>
      <c r="W234" s="107" t="n"/>
      <c r="X234" s="107" t="n"/>
      <c r="Y234" s="107" t="n"/>
      <c r="Z234" s="107" t="n"/>
      <c r="AA234" s="226" t="n"/>
      <c r="AB234" s="226" t="n"/>
      <c r="AC234" s="226" t="n"/>
      <c r="AD234" s="226" t="n"/>
      <c r="AE234" s="226" t="n"/>
      <c r="AF234" s="226" t="n"/>
      <c r="AG234" s="226" t="n"/>
      <c r="AH234" s="226" t="n"/>
      <c r="AI234" s="226" t="n"/>
      <c r="AJ234" s="226" t="n"/>
      <c r="AK234" s="226" t="n"/>
      <c r="AL234" s="227" t="n"/>
    </row>
    <row r="235">
      <c r="B235" s="94" t="n"/>
      <c r="C235" s="105" t="n"/>
      <c r="D235" s="105" t="n"/>
      <c r="E235" s="105" t="n"/>
      <c r="F235" s="105" t="n"/>
      <c r="G235" s="105" t="n"/>
      <c r="H235" s="105" t="n"/>
      <c r="I235" s="106" t="n"/>
      <c r="J235" s="105" t="n"/>
      <c r="K235" s="95" t="n"/>
      <c r="L235" s="107" t="n"/>
      <c r="M235" s="107" t="n"/>
      <c r="N235" s="107" t="n"/>
      <c r="O235" s="107" t="n"/>
      <c r="P235" s="107" t="n"/>
      <c r="Q235" s="107" t="n"/>
      <c r="R235" s="107" t="n"/>
      <c r="S235" s="107" t="n"/>
      <c r="T235" s="107" t="n"/>
      <c r="U235" s="107" t="n"/>
      <c r="V235" s="107" t="n"/>
      <c r="W235" s="107" t="n"/>
      <c r="X235" s="107" t="n"/>
      <c r="Y235" s="107" t="n"/>
      <c r="Z235" s="107" t="n"/>
      <c r="AA235" s="226" t="n"/>
      <c r="AB235" s="226" t="n"/>
      <c r="AC235" s="226" t="n"/>
      <c r="AD235" s="226" t="n"/>
      <c r="AE235" s="226" t="n"/>
      <c r="AF235" s="226" t="n"/>
      <c r="AG235" s="226" t="n"/>
      <c r="AH235" s="226" t="n"/>
      <c r="AI235" s="226" t="n"/>
      <c r="AJ235" s="226" t="n"/>
      <c r="AK235" s="226" t="n"/>
      <c r="AL235" s="227" t="n"/>
    </row>
    <row r="236">
      <c r="B236" s="94" t="n"/>
      <c r="C236" s="105" t="n"/>
      <c r="D236" s="105" t="n"/>
      <c r="E236" s="105" t="n"/>
      <c r="F236" s="105" t="n"/>
      <c r="G236" s="105" t="n"/>
      <c r="H236" s="105" t="n"/>
      <c r="I236" s="106" t="n"/>
      <c r="J236" s="105" t="n"/>
      <c r="K236" s="95" t="n"/>
      <c r="L236" s="107" t="n"/>
      <c r="M236" s="107" t="n"/>
      <c r="N236" s="107" t="n"/>
      <c r="O236" s="107" t="n"/>
      <c r="P236" s="107" t="n"/>
      <c r="Q236" s="107" t="n"/>
      <c r="R236" s="107" t="n"/>
      <c r="S236" s="107" t="n"/>
      <c r="T236" s="107" t="n"/>
      <c r="U236" s="107" t="n"/>
      <c r="V236" s="107" t="n"/>
      <c r="W236" s="107" t="n"/>
      <c r="X236" s="107" t="n"/>
      <c r="Y236" s="107" t="n"/>
      <c r="Z236" s="107" t="n"/>
      <c r="AA236" s="226" t="n"/>
      <c r="AB236" s="226" t="n"/>
      <c r="AC236" s="226" t="n"/>
      <c r="AD236" s="226" t="n"/>
      <c r="AE236" s="226" t="n"/>
      <c r="AF236" s="226" t="n"/>
      <c r="AG236" s="226" t="n"/>
      <c r="AH236" s="226" t="n"/>
      <c r="AI236" s="226" t="n"/>
      <c r="AJ236" s="226" t="n"/>
      <c r="AK236" s="226" t="n"/>
      <c r="AL236" s="227" t="n"/>
    </row>
    <row r="237">
      <c r="B237" s="94" t="n"/>
      <c r="C237" s="105" t="n"/>
      <c r="D237" s="105" t="n"/>
      <c r="E237" s="105" t="n"/>
      <c r="F237" s="105" t="n"/>
      <c r="G237" s="105" t="n"/>
      <c r="H237" s="105" t="n"/>
      <c r="I237" s="106" t="n"/>
      <c r="J237" s="105" t="n"/>
      <c r="K237" s="95" t="n"/>
      <c r="L237" s="107" t="n"/>
      <c r="M237" s="107" t="n"/>
      <c r="N237" s="107" t="n"/>
      <c r="O237" s="107" t="n"/>
      <c r="P237" s="107" t="n"/>
      <c r="Q237" s="107" t="n"/>
      <c r="R237" s="107" t="n"/>
      <c r="S237" s="107" t="n"/>
      <c r="T237" s="107" t="n"/>
      <c r="U237" s="107" t="n"/>
      <c r="V237" s="107" t="n"/>
      <c r="W237" s="107" t="n"/>
      <c r="X237" s="107" t="n"/>
      <c r="Y237" s="107" t="n"/>
      <c r="Z237" s="107" t="n"/>
      <c r="AA237" s="226" t="n"/>
      <c r="AB237" s="226" t="n"/>
      <c r="AC237" s="226" t="n"/>
      <c r="AD237" s="226" t="n"/>
      <c r="AE237" s="226" t="n"/>
      <c r="AF237" s="226" t="n"/>
      <c r="AG237" s="226" t="n"/>
      <c r="AH237" s="226" t="n"/>
      <c r="AI237" s="226" t="n"/>
      <c r="AJ237" s="226" t="n"/>
      <c r="AK237" s="226" t="n"/>
      <c r="AL237" s="227" t="n"/>
    </row>
    <row r="238">
      <c r="B238" s="94" t="n"/>
      <c r="C238" s="105" t="n"/>
      <c r="D238" s="105" t="n"/>
      <c r="E238" s="105" t="n"/>
      <c r="F238" s="105" t="n"/>
      <c r="G238" s="105" t="n"/>
      <c r="H238" s="105" t="n"/>
      <c r="I238" s="106" t="n"/>
      <c r="J238" s="105" t="n"/>
      <c r="K238" s="95" t="n"/>
      <c r="L238" s="107" t="n"/>
      <c r="M238" s="107" t="n"/>
      <c r="N238" s="107" t="n"/>
      <c r="O238" s="107" t="n"/>
      <c r="P238" s="107" t="n"/>
      <c r="Q238" s="107" t="n"/>
      <c r="R238" s="107" t="n"/>
      <c r="S238" s="107" t="n"/>
      <c r="T238" s="107" t="n"/>
      <c r="U238" s="107" t="n"/>
      <c r="V238" s="107" t="n"/>
      <c r="W238" s="107" t="n"/>
      <c r="X238" s="107" t="n"/>
      <c r="Y238" s="107" t="n"/>
      <c r="Z238" s="107" t="n"/>
      <c r="AA238" s="226" t="n"/>
      <c r="AB238" s="226" t="n"/>
      <c r="AC238" s="226" t="n"/>
      <c r="AD238" s="226" t="n"/>
      <c r="AE238" s="226" t="n"/>
      <c r="AF238" s="226" t="n"/>
      <c r="AG238" s="226" t="n"/>
      <c r="AH238" s="226" t="n"/>
      <c r="AI238" s="226" t="n"/>
      <c r="AJ238" s="226" t="n"/>
      <c r="AK238" s="226" t="n"/>
      <c r="AL238" s="227" t="n"/>
    </row>
    <row r="239">
      <c r="B239" s="94" t="n"/>
      <c r="C239" s="105" t="n"/>
      <c r="D239" s="105" t="n"/>
      <c r="E239" s="105" t="n"/>
      <c r="F239" s="105" t="n"/>
      <c r="G239" s="105" t="n"/>
      <c r="H239" s="105" t="n"/>
      <c r="I239" s="106" t="n"/>
      <c r="J239" s="105" t="n"/>
      <c r="K239" s="95" t="n"/>
      <c r="L239" s="107" t="n"/>
      <c r="M239" s="107" t="n"/>
      <c r="N239" s="107" t="n"/>
      <c r="O239" s="107" t="n"/>
      <c r="P239" s="107" t="n"/>
      <c r="Q239" s="107" t="n"/>
      <c r="R239" s="107" t="n"/>
      <c r="S239" s="107" t="n"/>
      <c r="T239" s="107" t="n"/>
      <c r="U239" s="107" t="n"/>
      <c r="V239" s="107" t="n"/>
      <c r="W239" s="107" t="n"/>
      <c r="X239" s="107" t="n"/>
      <c r="Y239" s="107" t="n"/>
      <c r="Z239" s="107" t="n"/>
      <c r="AA239" s="226" t="n"/>
      <c r="AB239" s="226" t="n"/>
      <c r="AC239" s="226" t="n"/>
      <c r="AD239" s="226" t="n"/>
      <c r="AE239" s="226" t="n"/>
      <c r="AF239" s="226" t="n"/>
      <c r="AG239" s="226" t="n"/>
      <c r="AH239" s="226" t="n"/>
      <c r="AI239" s="226" t="n"/>
      <c r="AJ239" s="226" t="n"/>
      <c r="AK239" s="226" t="n"/>
      <c r="AL239" s="227" t="n"/>
    </row>
    <row r="240">
      <c r="B240" s="94" t="n"/>
      <c r="C240" s="105" t="n"/>
      <c r="D240" s="105" t="n"/>
      <c r="E240" s="105" t="n"/>
      <c r="F240" s="105" t="n"/>
      <c r="G240" s="105" t="n"/>
      <c r="H240" s="105" t="n"/>
      <c r="I240" s="106" t="n"/>
      <c r="J240" s="105" t="n"/>
      <c r="K240" s="95" t="n"/>
      <c r="L240" s="107" t="n"/>
      <c r="M240" s="107" t="n"/>
      <c r="N240" s="107" t="n"/>
      <c r="O240" s="107" t="n"/>
      <c r="P240" s="107" t="n"/>
      <c r="Q240" s="107" t="n"/>
      <c r="R240" s="107" t="n"/>
      <c r="S240" s="107" t="n"/>
      <c r="T240" s="107" t="n"/>
      <c r="U240" s="107" t="n"/>
      <c r="V240" s="107" t="n"/>
      <c r="W240" s="107" t="n"/>
      <c r="X240" s="107" t="n"/>
      <c r="Y240" s="107" t="n"/>
      <c r="Z240" s="107" t="n"/>
      <c r="AA240" s="226" t="n"/>
      <c r="AB240" s="226" t="n"/>
      <c r="AC240" s="226" t="n"/>
      <c r="AD240" s="226" t="n"/>
      <c r="AE240" s="226" t="n"/>
      <c r="AF240" s="226" t="n"/>
      <c r="AG240" s="226" t="n"/>
      <c r="AH240" s="226" t="n"/>
      <c r="AI240" s="226" t="n"/>
      <c r="AJ240" s="226" t="n"/>
      <c r="AK240" s="226" t="n"/>
      <c r="AL240" s="227" t="n"/>
    </row>
    <row r="241">
      <c r="B241" s="94" t="n"/>
      <c r="C241" s="105" t="n"/>
      <c r="D241" s="105" t="n"/>
      <c r="E241" s="105" t="n"/>
      <c r="F241" s="105" t="n"/>
      <c r="G241" s="105" t="n"/>
      <c r="H241" s="105" t="n"/>
      <c r="I241" s="106" t="n"/>
      <c r="J241" s="105" t="n"/>
      <c r="K241" s="95" t="n"/>
      <c r="L241" s="107" t="n"/>
      <c r="M241" s="107" t="n"/>
      <c r="N241" s="107" t="n"/>
      <c r="O241" s="107" t="n"/>
      <c r="P241" s="107" t="n"/>
      <c r="Q241" s="107" t="n"/>
      <c r="R241" s="107" t="n"/>
      <c r="S241" s="107" t="n"/>
      <c r="T241" s="107" t="n"/>
      <c r="U241" s="107" t="n"/>
      <c r="V241" s="107" t="n"/>
      <c r="W241" s="107" t="n"/>
      <c r="X241" s="107" t="n"/>
      <c r="Y241" s="107" t="n"/>
      <c r="Z241" s="107" t="n"/>
      <c r="AA241" s="226" t="n"/>
      <c r="AB241" s="226" t="n"/>
      <c r="AC241" s="226" t="n"/>
      <c r="AD241" s="226" t="n"/>
      <c r="AE241" s="226" t="n"/>
      <c r="AF241" s="226" t="n"/>
      <c r="AG241" s="226" t="n"/>
      <c r="AH241" s="226" t="n"/>
      <c r="AI241" s="226" t="n"/>
      <c r="AJ241" s="226" t="n"/>
      <c r="AK241" s="226" t="n"/>
      <c r="AL241" s="227" t="n"/>
    </row>
    <row r="242">
      <c r="B242" s="94" t="n"/>
      <c r="C242" s="105" t="n"/>
      <c r="D242" s="105" t="n"/>
      <c r="E242" s="105" t="n"/>
      <c r="F242" s="105" t="n"/>
      <c r="G242" s="105" t="n"/>
      <c r="H242" s="105" t="n"/>
      <c r="I242" s="106" t="n"/>
      <c r="J242" s="105" t="n"/>
      <c r="K242" s="95" t="n"/>
      <c r="L242" s="107" t="n"/>
      <c r="M242" s="107" t="n"/>
      <c r="N242" s="107" t="n"/>
      <c r="O242" s="107" t="n"/>
      <c r="P242" s="107" t="n"/>
      <c r="Q242" s="107" t="n"/>
      <c r="R242" s="107" t="n"/>
      <c r="S242" s="107" t="n"/>
      <c r="T242" s="107" t="n"/>
      <c r="U242" s="107" t="n"/>
      <c r="V242" s="107" t="n"/>
      <c r="W242" s="107" t="n"/>
      <c r="X242" s="107" t="n"/>
      <c r="Y242" s="107" t="n"/>
      <c r="Z242" s="107" t="n"/>
      <c r="AA242" s="226" t="n"/>
      <c r="AB242" s="226" t="n"/>
      <c r="AC242" s="226" t="n"/>
      <c r="AD242" s="226" t="n"/>
      <c r="AE242" s="226" t="n"/>
      <c r="AF242" s="226" t="n"/>
      <c r="AG242" s="226" t="n"/>
      <c r="AH242" s="226" t="n"/>
      <c r="AI242" s="226" t="n"/>
      <c r="AJ242" s="226" t="n"/>
      <c r="AK242" s="226" t="n"/>
      <c r="AL242" s="227" t="n"/>
    </row>
    <row r="243">
      <c r="B243" s="94" t="n"/>
      <c r="C243" s="105" t="n"/>
      <c r="D243" s="105" t="n"/>
      <c r="E243" s="105" t="n"/>
      <c r="F243" s="105" t="n"/>
      <c r="G243" s="105" t="n"/>
      <c r="H243" s="105" t="n"/>
      <c r="I243" s="106" t="n"/>
      <c r="J243" s="105" t="n"/>
      <c r="K243" s="95" t="n"/>
      <c r="L243" s="107" t="n"/>
      <c r="M243" s="107" t="n"/>
      <c r="N243" s="107" t="n"/>
      <c r="O243" s="107" t="n"/>
      <c r="P243" s="107" t="n"/>
      <c r="Q243" s="107" t="n"/>
      <c r="R243" s="107" t="n"/>
      <c r="S243" s="107" t="n"/>
      <c r="T243" s="107" t="n"/>
      <c r="U243" s="107" t="n"/>
      <c r="V243" s="107" t="n"/>
      <c r="W243" s="107" t="n"/>
      <c r="X243" s="107" t="n"/>
      <c r="Y243" s="107" t="n"/>
      <c r="Z243" s="107" t="n"/>
      <c r="AA243" s="226" t="n"/>
      <c r="AB243" s="226" t="n"/>
      <c r="AC243" s="226" t="n"/>
      <c r="AD243" s="226" t="n"/>
      <c r="AE243" s="226" t="n"/>
      <c r="AF243" s="226" t="n"/>
      <c r="AG243" s="226" t="n"/>
      <c r="AH243" s="226" t="n"/>
      <c r="AI243" s="226" t="n"/>
      <c r="AJ243" s="226" t="n"/>
      <c r="AK243" s="226" t="n"/>
      <c r="AL243" s="227" t="n"/>
    </row>
    <row r="244">
      <c r="B244" s="94" t="n"/>
      <c r="C244" s="105" t="n"/>
      <c r="D244" s="105" t="n"/>
      <c r="E244" s="105" t="n"/>
      <c r="F244" s="105" t="n"/>
      <c r="G244" s="105" t="n"/>
      <c r="H244" s="105" t="n"/>
      <c r="I244" s="106" t="n"/>
      <c r="J244" s="105" t="n"/>
      <c r="K244" s="95" t="n"/>
      <c r="L244" s="107" t="n"/>
      <c r="M244" s="107" t="n"/>
      <c r="N244" s="107" t="n"/>
      <c r="O244" s="107" t="n"/>
      <c r="P244" s="107" t="n"/>
      <c r="Q244" s="107" t="n"/>
      <c r="R244" s="107" t="n"/>
      <c r="S244" s="107" t="n"/>
      <c r="T244" s="107" t="n"/>
      <c r="U244" s="107" t="n"/>
      <c r="V244" s="107" t="n"/>
      <c r="W244" s="107" t="n"/>
      <c r="X244" s="107" t="n"/>
      <c r="Y244" s="107" t="n"/>
      <c r="Z244" s="107" t="n"/>
      <c r="AA244" s="226" t="n"/>
      <c r="AB244" s="226" t="n"/>
      <c r="AC244" s="226" t="n"/>
      <c r="AD244" s="226" t="n"/>
      <c r="AE244" s="226" t="n"/>
      <c r="AF244" s="226" t="n"/>
      <c r="AG244" s="226" t="n"/>
      <c r="AH244" s="226" t="n"/>
      <c r="AI244" s="226" t="n"/>
      <c r="AJ244" s="226" t="n"/>
      <c r="AK244" s="226" t="n"/>
      <c r="AL244" s="227" t="n"/>
    </row>
    <row r="245">
      <c r="B245" s="94" t="n"/>
      <c r="C245" s="105" t="n"/>
      <c r="D245" s="105" t="n"/>
      <c r="E245" s="105" t="n"/>
      <c r="F245" s="105" t="n"/>
      <c r="G245" s="105" t="n"/>
      <c r="H245" s="105" t="n"/>
      <c r="I245" s="106" t="n"/>
      <c r="J245" s="105" t="n"/>
      <c r="K245" s="95" t="n"/>
      <c r="L245" s="107" t="n"/>
      <c r="M245" s="107" t="n"/>
      <c r="N245" s="107" t="n"/>
      <c r="O245" s="107" t="n"/>
      <c r="P245" s="107" t="n"/>
      <c r="Q245" s="107" t="n"/>
      <c r="R245" s="107" t="n"/>
      <c r="S245" s="107" t="n"/>
      <c r="T245" s="107" t="n"/>
      <c r="U245" s="107" t="n"/>
      <c r="V245" s="107" t="n"/>
      <c r="W245" s="107" t="n"/>
      <c r="X245" s="107" t="n"/>
      <c r="Y245" s="107" t="n"/>
      <c r="Z245" s="107" t="n"/>
      <c r="AA245" s="226" t="n"/>
      <c r="AB245" s="226" t="n"/>
      <c r="AC245" s="226" t="n"/>
      <c r="AD245" s="226" t="n"/>
      <c r="AE245" s="226" t="n"/>
      <c r="AF245" s="226" t="n"/>
      <c r="AG245" s="226" t="n"/>
      <c r="AH245" s="226" t="n"/>
      <c r="AI245" s="226" t="n"/>
      <c r="AJ245" s="226" t="n"/>
      <c r="AK245" s="226" t="n"/>
      <c r="AL245" s="227" t="n"/>
    </row>
    <row r="246">
      <c r="B246" s="94" t="n"/>
      <c r="C246" s="105" t="n"/>
      <c r="D246" s="105" t="n"/>
      <c r="E246" s="105" t="n"/>
      <c r="F246" s="105" t="n"/>
      <c r="G246" s="105" t="n"/>
      <c r="H246" s="105" t="n"/>
      <c r="I246" s="106" t="n"/>
      <c r="J246" s="105" t="n"/>
      <c r="K246" s="95" t="n"/>
      <c r="L246" s="107" t="n"/>
      <c r="M246" s="107" t="n"/>
      <c r="N246" s="107" t="n"/>
      <c r="O246" s="107" t="n"/>
      <c r="P246" s="107" t="n"/>
      <c r="Q246" s="107" t="n"/>
      <c r="R246" s="107" t="n"/>
      <c r="S246" s="107" t="n"/>
      <c r="T246" s="107" t="n"/>
      <c r="U246" s="107" t="n"/>
      <c r="V246" s="107" t="n"/>
      <c r="W246" s="107" t="n"/>
      <c r="X246" s="107" t="n"/>
      <c r="Y246" s="107" t="n"/>
      <c r="Z246" s="107" t="n"/>
      <c r="AA246" s="226" t="n"/>
      <c r="AB246" s="226" t="n"/>
      <c r="AC246" s="226" t="n"/>
      <c r="AD246" s="226" t="n"/>
      <c r="AE246" s="226" t="n"/>
      <c r="AF246" s="226" t="n"/>
      <c r="AG246" s="226" t="n"/>
      <c r="AH246" s="226" t="n"/>
      <c r="AI246" s="226" t="n"/>
      <c r="AJ246" s="226" t="n"/>
      <c r="AK246" s="226" t="n"/>
      <c r="AL246" s="227" t="n"/>
    </row>
    <row r="247">
      <c r="B247" s="94" t="n"/>
      <c r="C247" s="105" t="n"/>
      <c r="D247" s="105" t="n"/>
      <c r="E247" s="105" t="n"/>
      <c r="F247" s="105" t="n"/>
      <c r="G247" s="105" t="n"/>
      <c r="H247" s="105" t="n"/>
      <c r="I247" s="106" t="n"/>
      <c r="J247" s="105" t="n"/>
      <c r="K247" s="95" t="n"/>
      <c r="L247" s="107" t="n"/>
      <c r="M247" s="107" t="n"/>
      <c r="N247" s="107" t="n"/>
      <c r="O247" s="107" t="n"/>
      <c r="P247" s="107" t="n"/>
      <c r="Q247" s="107" t="n"/>
      <c r="R247" s="107" t="n"/>
      <c r="S247" s="107" t="n"/>
      <c r="T247" s="107" t="n"/>
      <c r="U247" s="107" t="n"/>
      <c r="V247" s="107" t="n"/>
      <c r="W247" s="107" t="n"/>
      <c r="X247" s="107" t="n"/>
      <c r="Y247" s="107" t="n"/>
      <c r="Z247" s="107" t="n"/>
      <c r="AA247" s="226" t="n"/>
      <c r="AB247" s="226" t="n"/>
      <c r="AC247" s="226" t="n"/>
      <c r="AD247" s="226" t="n"/>
      <c r="AE247" s="226" t="n"/>
      <c r="AF247" s="226" t="n"/>
      <c r="AG247" s="226" t="n"/>
      <c r="AH247" s="226" t="n"/>
      <c r="AI247" s="226" t="n"/>
      <c r="AJ247" s="226" t="n"/>
      <c r="AK247" s="226" t="n"/>
      <c r="AL247" s="227" t="n"/>
    </row>
    <row r="248">
      <c r="B248" s="94" t="n"/>
      <c r="C248" s="105" t="n"/>
      <c r="D248" s="105" t="n"/>
      <c r="E248" s="105" t="n"/>
      <c r="F248" s="105" t="n"/>
      <c r="G248" s="105" t="n"/>
      <c r="H248" s="105" t="n"/>
      <c r="I248" s="106" t="n"/>
      <c r="J248" s="105" t="n"/>
      <c r="K248" s="95" t="n"/>
      <c r="L248" s="107" t="n"/>
      <c r="M248" s="107" t="n"/>
      <c r="N248" s="107" t="n"/>
      <c r="O248" s="107" t="n"/>
      <c r="P248" s="107" t="n"/>
      <c r="Q248" s="107" t="n"/>
      <c r="R248" s="107" t="n"/>
      <c r="S248" s="107" t="n"/>
      <c r="T248" s="107" t="n"/>
      <c r="U248" s="107" t="n"/>
      <c r="V248" s="107" t="n"/>
      <c r="W248" s="107" t="n"/>
      <c r="X248" s="107" t="n"/>
      <c r="Y248" s="107" t="n"/>
      <c r="Z248" s="107" t="n"/>
      <c r="AA248" s="226" t="n"/>
      <c r="AB248" s="226" t="n"/>
      <c r="AC248" s="226" t="n"/>
      <c r="AD248" s="226" t="n"/>
      <c r="AE248" s="226" t="n"/>
      <c r="AF248" s="226" t="n"/>
      <c r="AG248" s="226" t="n"/>
      <c r="AH248" s="226" t="n"/>
      <c r="AI248" s="226" t="n"/>
      <c r="AJ248" s="226" t="n"/>
      <c r="AK248" s="226" t="n"/>
      <c r="AL248" s="227" t="n"/>
    </row>
    <row r="249">
      <c r="B249" s="94" t="n"/>
      <c r="C249" s="105" t="n"/>
      <c r="D249" s="105" t="n"/>
      <c r="E249" s="105" t="n"/>
      <c r="F249" s="105" t="n"/>
      <c r="G249" s="105" t="n"/>
      <c r="H249" s="105" t="n"/>
      <c r="I249" s="106" t="n"/>
      <c r="J249" s="105" t="n"/>
      <c r="K249" s="95" t="n"/>
      <c r="L249" s="107" t="n"/>
      <c r="M249" s="107" t="n"/>
      <c r="N249" s="107" t="n"/>
      <c r="O249" s="107" t="n"/>
      <c r="P249" s="107" t="n"/>
      <c r="Q249" s="107" t="n"/>
      <c r="R249" s="107" t="n"/>
      <c r="S249" s="107" t="n"/>
      <c r="T249" s="107" t="n"/>
      <c r="U249" s="107" t="n"/>
      <c r="V249" s="107" t="n"/>
      <c r="W249" s="107" t="n"/>
      <c r="X249" s="107" t="n"/>
      <c r="Y249" s="107" t="n"/>
      <c r="Z249" s="107" t="n"/>
      <c r="AA249" s="226" t="n"/>
      <c r="AB249" s="226" t="n"/>
      <c r="AC249" s="226" t="n"/>
      <c r="AD249" s="226" t="n"/>
      <c r="AE249" s="226" t="n"/>
      <c r="AF249" s="226" t="n"/>
      <c r="AG249" s="226" t="n"/>
      <c r="AH249" s="226" t="n"/>
      <c r="AI249" s="226" t="n"/>
      <c r="AJ249" s="226" t="n"/>
      <c r="AK249" s="226" t="n"/>
      <c r="AL249" s="227" t="n"/>
    </row>
    <row r="250">
      <c r="B250" s="94" t="n"/>
      <c r="C250" s="105" t="n"/>
      <c r="D250" s="105" t="n"/>
      <c r="E250" s="105" t="n"/>
      <c r="F250" s="105" t="n"/>
      <c r="G250" s="105" t="n"/>
      <c r="H250" s="105" t="n"/>
      <c r="I250" s="106" t="n"/>
      <c r="J250" s="105" t="n"/>
      <c r="K250" s="95" t="n"/>
      <c r="L250" s="107" t="n"/>
      <c r="M250" s="107" t="n"/>
      <c r="N250" s="107" t="n"/>
      <c r="O250" s="107" t="n"/>
      <c r="P250" s="107" t="n"/>
      <c r="Q250" s="107" t="n"/>
      <c r="R250" s="107" t="n"/>
      <c r="S250" s="107" t="n"/>
      <c r="T250" s="107" t="n"/>
      <c r="U250" s="107" t="n"/>
      <c r="V250" s="107" t="n"/>
      <c r="W250" s="107" t="n"/>
      <c r="X250" s="107" t="n"/>
      <c r="Y250" s="107" t="n"/>
      <c r="Z250" s="107" t="n"/>
      <c r="AA250" s="226" t="n"/>
      <c r="AB250" s="226" t="n"/>
      <c r="AC250" s="226" t="n"/>
      <c r="AD250" s="226" t="n"/>
      <c r="AE250" s="226" t="n"/>
      <c r="AF250" s="226" t="n"/>
      <c r="AG250" s="226" t="n"/>
      <c r="AH250" s="226" t="n"/>
      <c r="AI250" s="226" t="n"/>
      <c r="AJ250" s="226" t="n"/>
      <c r="AK250" s="226" t="n"/>
      <c r="AL250" s="227" t="n"/>
    </row>
    <row r="251">
      <c r="B251" s="94" t="n"/>
      <c r="C251" s="105" t="n"/>
      <c r="D251" s="105" t="n"/>
      <c r="E251" s="105" t="n"/>
      <c r="F251" s="105" t="n"/>
      <c r="G251" s="105" t="n"/>
      <c r="H251" s="105" t="n"/>
      <c r="I251" s="106" t="n"/>
      <c r="J251" s="105" t="n"/>
      <c r="K251" s="95" t="n"/>
      <c r="L251" s="107" t="n"/>
      <c r="M251" s="107" t="n"/>
      <c r="N251" s="107" t="n"/>
      <c r="O251" s="107" t="n"/>
      <c r="P251" s="107" t="n"/>
      <c r="Q251" s="107" t="n"/>
      <c r="R251" s="107" t="n"/>
      <c r="S251" s="107" t="n"/>
      <c r="T251" s="107" t="n"/>
      <c r="U251" s="107" t="n"/>
      <c r="V251" s="107" t="n"/>
      <c r="W251" s="107" t="n"/>
      <c r="X251" s="107" t="n"/>
      <c r="Y251" s="107" t="n"/>
      <c r="Z251" s="107" t="n"/>
      <c r="AA251" s="226" t="n"/>
      <c r="AB251" s="226" t="n"/>
      <c r="AC251" s="226" t="n"/>
      <c r="AD251" s="226" t="n"/>
      <c r="AE251" s="226" t="n"/>
      <c r="AF251" s="226" t="n"/>
      <c r="AG251" s="226" t="n"/>
      <c r="AH251" s="226" t="n"/>
      <c r="AI251" s="226" t="n"/>
      <c r="AJ251" s="226" t="n"/>
      <c r="AK251" s="226" t="n"/>
      <c r="AL251" s="227" t="n"/>
    </row>
    <row r="252">
      <c r="B252" s="94" t="n"/>
      <c r="C252" s="105" t="n"/>
      <c r="D252" s="105" t="n"/>
      <c r="E252" s="105" t="n"/>
      <c r="F252" s="105" t="n"/>
      <c r="G252" s="105" t="n"/>
      <c r="H252" s="105" t="n"/>
      <c r="I252" s="106" t="n"/>
      <c r="J252" s="105" t="n"/>
      <c r="K252" s="95" t="n"/>
      <c r="L252" s="107" t="n"/>
      <c r="M252" s="107" t="n"/>
      <c r="N252" s="107" t="n"/>
      <c r="O252" s="107" t="n"/>
      <c r="P252" s="107" t="n"/>
      <c r="Q252" s="107" t="n"/>
      <c r="R252" s="107" t="n"/>
      <c r="S252" s="107" t="n"/>
      <c r="T252" s="107" t="n"/>
      <c r="U252" s="107" t="n"/>
      <c r="V252" s="107" t="n"/>
      <c r="W252" s="107" t="n"/>
      <c r="X252" s="107" t="n"/>
      <c r="Y252" s="107" t="n"/>
      <c r="Z252" s="107" t="n"/>
      <c r="AA252" s="226" t="n"/>
      <c r="AB252" s="226" t="n"/>
      <c r="AC252" s="226" t="n"/>
      <c r="AD252" s="226" t="n"/>
      <c r="AE252" s="226" t="n"/>
      <c r="AF252" s="226" t="n"/>
      <c r="AG252" s="226" t="n"/>
      <c r="AH252" s="226" t="n"/>
      <c r="AI252" s="226" t="n"/>
      <c r="AJ252" s="226" t="n"/>
      <c r="AK252" s="226" t="n"/>
      <c r="AL252" s="227" t="n"/>
    </row>
    <row r="253">
      <c r="B253" s="94" t="n"/>
      <c r="C253" s="105" t="n"/>
      <c r="D253" s="105" t="n"/>
      <c r="E253" s="105" t="n"/>
      <c r="F253" s="105" t="n"/>
      <c r="G253" s="105" t="n"/>
      <c r="H253" s="105" t="n"/>
      <c r="I253" s="106" t="n"/>
      <c r="J253" s="105" t="n"/>
      <c r="K253" s="95" t="n"/>
      <c r="L253" s="107" t="n"/>
      <c r="M253" s="107" t="n"/>
      <c r="N253" s="107" t="n"/>
      <c r="O253" s="107" t="n"/>
      <c r="P253" s="107" t="n"/>
      <c r="Q253" s="107" t="n"/>
      <c r="R253" s="107" t="n"/>
      <c r="S253" s="107" t="n"/>
      <c r="T253" s="107" t="n"/>
      <c r="U253" s="107" t="n"/>
      <c r="V253" s="107" t="n"/>
      <c r="W253" s="107" t="n"/>
      <c r="X253" s="107" t="n"/>
      <c r="Y253" s="107" t="n"/>
      <c r="Z253" s="107" t="n"/>
      <c r="AA253" s="226" t="n"/>
      <c r="AB253" s="226" t="n"/>
      <c r="AC253" s="226" t="n"/>
      <c r="AD253" s="226" t="n"/>
      <c r="AE253" s="226" t="n"/>
      <c r="AF253" s="226" t="n"/>
      <c r="AG253" s="226" t="n"/>
      <c r="AH253" s="226" t="n"/>
      <c r="AI253" s="226" t="n"/>
      <c r="AJ253" s="226" t="n"/>
      <c r="AK253" s="226" t="n"/>
      <c r="AL253" s="227" t="n"/>
    </row>
    <row r="254">
      <c r="B254" s="94" t="n"/>
      <c r="C254" s="105" t="n"/>
      <c r="D254" s="105" t="n"/>
      <c r="E254" s="105" t="n"/>
      <c r="F254" s="105" t="n"/>
      <c r="G254" s="105" t="n"/>
      <c r="H254" s="105" t="n"/>
      <c r="I254" s="106" t="n"/>
      <c r="J254" s="105" t="n"/>
      <c r="K254" s="95" t="n"/>
      <c r="L254" s="107" t="n"/>
      <c r="M254" s="107" t="n"/>
      <c r="N254" s="107" t="n"/>
      <c r="O254" s="107" t="n"/>
      <c r="P254" s="107" t="n"/>
      <c r="Q254" s="107" t="n"/>
      <c r="R254" s="107" t="n"/>
      <c r="S254" s="107" t="n"/>
      <c r="T254" s="107" t="n"/>
      <c r="U254" s="107" t="n"/>
      <c r="V254" s="107" t="n"/>
      <c r="W254" s="107" t="n"/>
      <c r="X254" s="107" t="n"/>
      <c r="Y254" s="107" t="n"/>
      <c r="Z254" s="107" t="n"/>
      <c r="AA254" s="226" t="n"/>
      <c r="AB254" s="226" t="n"/>
      <c r="AC254" s="226" t="n"/>
      <c r="AD254" s="226" t="n"/>
      <c r="AE254" s="226" t="n"/>
      <c r="AF254" s="226" t="n"/>
      <c r="AG254" s="226" t="n"/>
      <c r="AH254" s="226" t="n"/>
      <c r="AI254" s="226" t="n"/>
      <c r="AJ254" s="226" t="n"/>
      <c r="AK254" s="226" t="n"/>
      <c r="AL254" s="227" t="n"/>
    </row>
    <row r="255">
      <c r="B255" s="94" t="n"/>
      <c r="C255" s="105" t="n"/>
      <c r="D255" s="105" t="n"/>
      <c r="E255" s="105" t="n"/>
      <c r="F255" s="105" t="n"/>
      <c r="G255" s="105" t="n"/>
      <c r="H255" s="105" t="n"/>
      <c r="I255" s="106" t="n"/>
      <c r="J255" s="105" t="n"/>
      <c r="K255" s="95" t="n"/>
      <c r="L255" s="107" t="n"/>
      <c r="M255" s="107" t="n"/>
      <c r="N255" s="107" t="n"/>
      <c r="O255" s="107" t="n"/>
      <c r="P255" s="107" t="n"/>
      <c r="Q255" s="107" t="n"/>
      <c r="R255" s="107" t="n"/>
      <c r="S255" s="107" t="n"/>
      <c r="T255" s="107" t="n"/>
      <c r="U255" s="107" t="n"/>
      <c r="V255" s="107" t="n"/>
      <c r="W255" s="107" t="n"/>
      <c r="X255" s="107" t="n"/>
      <c r="Y255" s="107" t="n"/>
      <c r="Z255" s="107" t="n"/>
      <c r="AA255" s="226" t="n"/>
      <c r="AB255" s="226" t="n"/>
      <c r="AC255" s="226" t="n"/>
      <c r="AD255" s="226" t="n"/>
      <c r="AE255" s="226" t="n"/>
      <c r="AF255" s="226" t="n"/>
      <c r="AG255" s="226" t="n"/>
      <c r="AH255" s="226" t="n"/>
      <c r="AI255" s="226" t="n"/>
      <c r="AJ255" s="226" t="n"/>
      <c r="AK255" s="226" t="n"/>
      <c r="AL255" s="227" t="n"/>
    </row>
    <row r="256">
      <c r="B256" s="94" t="n"/>
      <c r="C256" s="105" t="n"/>
      <c r="D256" s="105" t="n"/>
      <c r="E256" s="105" t="n"/>
      <c r="F256" s="105" t="n"/>
      <c r="G256" s="105" t="n"/>
      <c r="H256" s="105" t="n"/>
      <c r="I256" s="106" t="n"/>
      <c r="J256" s="105" t="n"/>
      <c r="K256" s="95" t="n"/>
      <c r="L256" s="107" t="n"/>
      <c r="M256" s="107" t="n"/>
      <c r="N256" s="107" t="n"/>
      <c r="O256" s="107" t="n"/>
      <c r="P256" s="107" t="n"/>
      <c r="Q256" s="107" t="n"/>
      <c r="R256" s="107" t="n"/>
      <c r="S256" s="107" t="n"/>
      <c r="T256" s="107" t="n"/>
      <c r="U256" s="107" t="n"/>
      <c r="V256" s="107" t="n"/>
      <c r="W256" s="107" t="n"/>
      <c r="X256" s="107" t="n"/>
      <c r="Y256" s="107" t="n"/>
      <c r="Z256" s="107" t="n"/>
      <c r="AA256" s="226" t="n"/>
      <c r="AB256" s="226" t="n"/>
      <c r="AC256" s="226" t="n"/>
      <c r="AD256" s="226" t="n"/>
      <c r="AE256" s="226" t="n"/>
      <c r="AF256" s="226" t="n"/>
      <c r="AG256" s="226" t="n"/>
      <c r="AH256" s="226" t="n"/>
      <c r="AI256" s="226" t="n"/>
      <c r="AJ256" s="226" t="n"/>
      <c r="AK256" s="226" t="n"/>
      <c r="AL256" s="227" t="n"/>
    </row>
    <row r="257">
      <c r="B257" s="94" t="n"/>
      <c r="C257" s="105" t="n"/>
      <c r="D257" s="105" t="n"/>
      <c r="E257" s="105" t="n"/>
      <c r="F257" s="105" t="n"/>
      <c r="G257" s="105" t="n"/>
      <c r="H257" s="105" t="n"/>
      <c r="I257" s="106" t="n"/>
      <c r="J257" s="105" t="n"/>
      <c r="K257" s="95" t="n"/>
      <c r="L257" s="107" t="n"/>
      <c r="M257" s="107" t="n"/>
      <c r="N257" s="107" t="n"/>
      <c r="O257" s="107" t="n"/>
      <c r="P257" s="107" t="n"/>
      <c r="Q257" s="107" t="n"/>
      <c r="R257" s="107" t="n"/>
      <c r="S257" s="107" t="n"/>
      <c r="T257" s="107" t="n"/>
      <c r="U257" s="107" t="n"/>
      <c r="V257" s="107" t="n"/>
      <c r="W257" s="107" t="n"/>
      <c r="X257" s="107" t="n"/>
      <c r="Y257" s="107" t="n"/>
      <c r="Z257" s="107" t="n"/>
      <c r="AA257" s="226" t="n"/>
      <c r="AB257" s="226" t="n"/>
      <c r="AC257" s="226" t="n"/>
      <c r="AD257" s="226" t="n"/>
      <c r="AE257" s="226" t="n"/>
      <c r="AF257" s="226" t="n"/>
      <c r="AG257" s="226" t="n"/>
      <c r="AH257" s="226" t="n"/>
      <c r="AI257" s="226" t="n"/>
      <c r="AJ257" s="226" t="n"/>
      <c r="AK257" s="226" t="n"/>
      <c r="AL257" s="227" t="n"/>
    </row>
    <row r="258">
      <c r="B258" s="94" t="n"/>
      <c r="C258" s="105" t="n"/>
      <c r="D258" s="105" t="n"/>
      <c r="E258" s="105" t="n"/>
      <c r="F258" s="105" t="n"/>
      <c r="G258" s="105" t="n"/>
      <c r="H258" s="105" t="n"/>
      <c r="I258" s="106" t="n"/>
      <c r="J258" s="105" t="n"/>
      <c r="K258" s="95" t="n"/>
      <c r="L258" s="107" t="n"/>
      <c r="M258" s="107" t="n"/>
      <c r="N258" s="107" t="n"/>
      <c r="O258" s="107" t="n"/>
      <c r="P258" s="107" t="n"/>
      <c r="Q258" s="107" t="n"/>
      <c r="R258" s="107" t="n"/>
      <c r="S258" s="107" t="n"/>
      <c r="T258" s="107" t="n"/>
      <c r="U258" s="107" t="n"/>
      <c r="V258" s="107" t="n"/>
      <c r="W258" s="107" t="n"/>
      <c r="X258" s="107" t="n"/>
      <c r="Y258" s="107" t="n"/>
      <c r="Z258" s="107" t="n"/>
      <c r="AA258" s="226" t="n"/>
      <c r="AB258" s="226" t="n"/>
      <c r="AC258" s="226" t="n"/>
      <c r="AD258" s="226" t="n"/>
      <c r="AE258" s="226" t="n"/>
      <c r="AF258" s="226" t="n"/>
      <c r="AG258" s="226" t="n"/>
      <c r="AH258" s="226" t="n"/>
      <c r="AI258" s="226" t="n"/>
      <c r="AJ258" s="226" t="n"/>
      <c r="AK258" s="226" t="n"/>
      <c r="AL258" s="227" t="n"/>
    </row>
    <row r="259">
      <c r="B259" s="94" t="n"/>
      <c r="C259" s="105" t="n"/>
      <c r="D259" s="105" t="n"/>
      <c r="E259" s="105" t="n"/>
      <c r="F259" s="105" t="n"/>
      <c r="G259" s="105" t="n"/>
      <c r="H259" s="105" t="n"/>
      <c r="I259" s="106" t="n"/>
      <c r="J259" s="105" t="n"/>
      <c r="K259" s="95" t="n"/>
      <c r="L259" s="107" t="n"/>
      <c r="M259" s="107" t="n"/>
      <c r="N259" s="107" t="n"/>
      <c r="O259" s="107" t="n"/>
      <c r="P259" s="107" t="n"/>
      <c r="Q259" s="107" t="n"/>
      <c r="R259" s="107" t="n"/>
      <c r="S259" s="107" t="n"/>
      <c r="T259" s="107" t="n"/>
      <c r="U259" s="107" t="n"/>
      <c r="V259" s="107" t="n"/>
      <c r="W259" s="107" t="n"/>
      <c r="X259" s="107" t="n"/>
      <c r="Y259" s="107" t="n"/>
      <c r="Z259" s="107" t="n"/>
      <c r="AA259" s="226" t="n"/>
      <c r="AB259" s="226" t="n"/>
      <c r="AC259" s="226" t="n"/>
      <c r="AD259" s="226" t="n"/>
      <c r="AE259" s="226" t="n"/>
      <c r="AF259" s="226" t="n"/>
      <c r="AG259" s="226" t="n"/>
      <c r="AH259" s="226" t="n"/>
      <c r="AI259" s="226" t="n"/>
      <c r="AJ259" s="226" t="n"/>
      <c r="AK259" s="226" t="n"/>
      <c r="AL259" s="227" t="n"/>
    </row>
    <row r="260">
      <c r="B260" s="94" t="n"/>
      <c r="C260" s="105" t="n"/>
      <c r="D260" s="105" t="n"/>
      <c r="E260" s="105" t="n"/>
      <c r="F260" s="105" t="n"/>
      <c r="G260" s="105" t="n"/>
      <c r="H260" s="105" t="n"/>
      <c r="I260" s="106" t="n"/>
      <c r="J260" s="105" t="n"/>
      <c r="K260" s="95" t="n"/>
      <c r="L260" s="107" t="n"/>
      <c r="M260" s="107" t="n"/>
      <c r="N260" s="107" t="n"/>
      <c r="O260" s="107" t="n"/>
      <c r="P260" s="107" t="n"/>
      <c r="Q260" s="107" t="n"/>
      <c r="R260" s="107" t="n"/>
      <c r="S260" s="107" t="n"/>
      <c r="T260" s="107" t="n"/>
      <c r="U260" s="107" t="n"/>
      <c r="V260" s="107" t="n"/>
      <c r="W260" s="107" t="n"/>
      <c r="X260" s="107" t="n"/>
      <c r="Y260" s="107" t="n"/>
      <c r="Z260" s="107" t="n"/>
      <c r="AA260" s="226" t="n"/>
      <c r="AB260" s="226" t="n"/>
      <c r="AC260" s="226" t="n"/>
      <c r="AD260" s="226" t="n"/>
      <c r="AE260" s="226" t="n"/>
      <c r="AF260" s="226" t="n"/>
      <c r="AG260" s="226" t="n"/>
      <c r="AH260" s="226" t="n"/>
      <c r="AI260" s="226" t="n"/>
      <c r="AJ260" s="226" t="n"/>
      <c r="AK260" s="226" t="n"/>
      <c r="AL260" s="227" t="n"/>
    </row>
    <row r="261">
      <c r="B261" s="94" t="n"/>
      <c r="C261" s="105" t="n"/>
      <c r="D261" s="105" t="n"/>
      <c r="E261" s="105" t="n"/>
      <c r="F261" s="105" t="n"/>
      <c r="G261" s="105" t="n"/>
      <c r="H261" s="105" t="n"/>
      <c r="I261" s="106" t="n"/>
      <c r="J261" s="105" t="n"/>
      <c r="K261" s="95" t="n"/>
      <c r="L261" s="107" t="n"/>
      <c r="M261" s="107" t="n"/>
      <c r="N261" s="107" t="n"/>
      <c r="O261" s="107" t="n"/>
      <c r="P261" s="107" t="n"/>
      <c r="Q261" s="107" t="n"/>
      <c r="R261" s="107" t="n"/>
      <c r="S261" s="107" t="n"/>
      <c r="T261" s="107" t="n"/>
      <c r="U261" s="107" t="n"/>
      <c r="V261" s="107" t="n"/>
      <c r="W261" s="107" t="n"/>
      <c r="X261" s="107" t="n"/>
      <c r="Y261" s="107" t="n"/>
      <c r="Z261" s="107" t="n"/>
      <c r="AA261" s="226" t="n"/>
      <c r="AB261" s="226" t="n"/>
      <c r="AC261" s="226" t="n"/>
      <c r="AD261" s="226" t="n"/>
      <c r="AE261" s="226" t="n"/>
      <c r="AF261" s="226" t="n"/>
      <c r="AG261" s="226" t="n"/>
      <c r="AH261" s="226" t="n"/>
      <c r="AI261" s="226" t="n"/>
      <c r="AJ261" s="226" t="n"/>
      <c r="AK261" s="226" t="n"/>
      <c r="AL261" s="227" t="n"/>
    </row>
    <row r="262">
      <c r="B262" s="94" t="n"/>
      <c r="C262" s="105" t="n"/>
      <c r="D262" s="105" t="n"/>
      <c r="E262" s="105" t="n"/>
      <c r="F262" s="105" t="n"/>
      <c r="G262" s="105" t="n"/>
      <c r="H262" s="105" t="n"/>
      <c r="I262" s="106" t="n"/>
      <c r="J262" s="105" t="n"/>
      <c r="K262" s="95" t="n"/>
      <c r="L262" s="107" t="n"/>
      <c r="M262" s="107" t="n"/>
      <c r="N262" s="107" t="n"/>
      <c r="O262" s="107" t="n"/>
      <c r="P262" s="107" t="n"/>
      <c r="Q262" s="107" t="n"/>
      <c r="R262" s="107" t="n"/>
      <c r="S262" s="107" t="n"/>
      <c r="T262" s="107" t="n"/>
      <c r="U262" s="107" t="n"/>
      <c r="V262" s="107" t="n"/>
      <c r="W262" s="107" t="n"/>
      <c r="X262" s="107" t="n"/>
      <c r="Y262" s="107" t="n"/>
      <c r="Z262" s="107" t="n"/>
      <c r="AA262" s="226" t="n"/>
      <c r="AB262" s="226" t="n"/>
      <c r="AC262" s="226" t="n"/>
      <c r="AD262" s="226" t="n"/>
      <c r="AE262" s="226" t="n"/>
      <c r="AF262" s="226" t="n"/>
      <c r="AG262" s="226" t="n"/>
      <c r="AH262" s="226" t="n"/>
      <c r="AI262" s="226" t="n"/>
      <c r="AJ262" s="226" t="n"/>
      <c r="AK262" s="226" t="n"/>
      <c r="AL262" s="227" t="n"/>
    </row>
    <row r="263">
      <c r="B263" s="94" t="n"/>
      <c r="C263" s="105" t="n"/>
      <c r="D263" s="105" t="n"/>
      <c r="E263" s="105" t="n"/>
      <c r="F263" s="105" t="n"/>
      <c r="G263" s="105" t="n"/>
      <c r="H263" s="105" t="n"/>
      <c r="I263" s="106" t="n"/>
      <c r="J263" s="105" t="n"/>
      <c r="K263" s="95" t="n"/>
      <c r="L263" s="107" t="n"/>
      <c r="M263" s="107" t="n"/>
      <c r="N263" s="107" t="n"/>
      <c r="O263" s="107" t="n"/>
      <c r="P263" s="107" t="n"/>
      <c r="Q263" s="107" t="n"/>
      <c r="R263" s="107" t="n"/>
      <c r="S263" s="107" t="n"/>
      <c r="T263" s="107" t="n"/>
      <c r="U263" s="107" t="n"/>
      <c r="V263" s="107" t="n"/>
      <c r="W263" s="107" t="n"/>
      <c r="X263" s="107" t="n"/>
      <c r="Y263" s="107" t="n"/>
      <c r="Z263" s="107" t="n"/>
      <c r="AA263" s="226" t="n"/>
      <c r="AB263" s="226" t="n"/>
      <c r="AC263" s="226" t="n"/>
      <c r="AD263" s="226" t="n"/>
      <c r="AE263" s="226" t="n"/>
      <c r="AF263" s="226" t="n"/>
      <c r="AG263" s="226" t="n"/>
      <c r="AH263" s="226" t="n"/>
      <c r="AI263" s="226" t="n"/>
      <c r="AJ263" s="226" t="n"/>
      <c r="AK263" s="226" t="n"/>
      <c r="AL263" s="227" t="n"/>
    </row>
    <row r="264">
      <c r="B264" s="94" t="n"/>
      <c r="C264" s="105" t="n"/>
      <c r="D264" s="105" t="n"/>
      <c r="E264" s="105" t="n"/>
      <c r="F264" s="105" t="n"/>
      <c r="G264" s="105" t="n"/>
      <c r="H264" s="105" t="n"/>
      <c r="I264" s="106" t="n"/>
      <c r="J264" s="105" t="n"/>
      <c r="K264" s="95" t="n"/>
      <c r="L264" s="107" t="n"/>
      <c r="M264" s="107" t="n"/>
      <c r="N264" s="107" t="n"/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  <c r="AA264" s="226" t="n"/>
      <c r="AB264" s="226" t="n"/>
      <c r="AC264" s="226" t="n"/>
      <c r="AD264" s="226" t="n"/>
      <c r="AE264" s="226" t="n"/>
      <c r="AF264" s="226" t="n"/>
      <c r="AG264" s="226" t="n"/>
      <c r="AH264" s="226" t="n"/>
      <c r="AI264" s="226" t="n"/>
      <c r="AJ264" s="226" t="n"/>
      <c r="AK264" s="226" t="n"/>
      <c r="AL264" s="227" t="n"/>
    </row>
    <row r="265">
      <c r="B265" s="94" t="n"/>
      <c r="C265" s="105" t="n"/>
      <c r="D265" s="105" t="n"/>
      <c r="E265" s="105" t="n"/>
      <c r="F265" s="105" t="n"/>
      <c r="G265" s="105" t="n"/>
      <c r="H265" s="105" t="n"/>
      <c r="I265" s="106" t="n"/>
      <c r="J265" s="105" t="n"/>
      <c r="K265" s="95" t="n"/>
      <c r="L265" s="107" t="n"/>
      <c r="M265" s="107" t="n"/>
      <c r="N265" s="107" t="n"/>
      <c r="O265" s="107" t="n"/>
      <c r="P265" s="107" t="n"/>
      <c r="Q265" s="107" t="n"/>
      <c r="R265" s="107" t="n"/>
      <c r="S265" s="107" t="n"/>
      <c r="T265" s="107" t="n"/>
      <c r="U265" s="107" t="n"/>
      <c r="V265" s="107" t="n"/>
      <c r="W265" s="107" t="n"/>
      <c r="X265" s="107" t="n"/>
      <c r="Y265" s="107" t="n"/>
      <c r="Z265" s="107" t="n"/>
      <c r="AA265" s="226" t="n"/>
      <c r="AB265" s="226" t="n"/>
      <c r="AC265" s="226" t="n"/>
      <c r="AD265" s="226" t="n"/>
      <c r="AE265" s="226" t="n"/>
      <c r="AF265" s="226" t="n"/>
      <c r="AG265" s="226" t="n"/>
      <c r="AH265" s="226" t="n"/>
      <c r="AI265" s="226" t="n"/>
      <c r="AJ265" s="226" t="n"/>
      <c r="AK265" s="226" t="n"/>
      <c r="AL265" s="227" t="n"/>
    </row>
    <row r="266">
      <c r="B266" s="94" t="n"/>
      <c r="C266" s="105" t="n"/>
      <c r="D266" s="105" t="n"/>
      <c r="E266" s="105" t="n"/>
      <c r="F266" s="105" t="n"/>
      <c r="G266" s="105" t="n"/>
      <c r="H266" s="105" t="n"/>
      <c r="I266" s="106" t="n"/>
      <c r="J266" s="105" t="n"/>
      <c r="K266" s="95" t="n"/>
      <c r="L266" s="107" t="n"/>
      <c r="M266" s="107" t="n"/>
      <c r="N266" s="107" t="n"/>
      <c r="O266" s="107" t="n"/>
      <c r="P266" s="107" t="n"/>
      <c r="Q266" s="107" t="n"/>
      <c r="R266" s="107" t="n"/>
      <c r="S266" s="107" t="n"/>
      <c r="T266" s="107" t="n"/>
      <c r="U266" s="107" t="n"/>
      <c r="V266" s="107" t="n"/>
      <c r="W266" s="107" t="n"/>
      <c r="X266" s="107" t="n"/>
      <c r="Y266" s="107" t="n"/>
      <c r="Z266" s="107" t="n"/>
      <c r="AA266" s="226" t="n"/>
      <c r="AB266" s="226" t="n"/>
      <c r="AC266" s="226" t="n"/>
      <c r="AD266" s="226" t="n"/>
      <c r="AE266" s="226" t="n"/>
      <c r="AF266" s="226" t="n"/>
      <c r="AG266" s="226" t="n"/>
      <c r="AH266" s="226" t="n"/>
      <c r="AI266" s="226" t="n"/>
      <c r="AJ266" s="226" t="n"/>
      <c r="AK266" s="226" t="n"/>
      <c r="AL266" s="227" t="n"/>
    </row>
    <row r="267">
      <c r="B267" s="94" t="n"/>
      <c r="C267" s="105" t="n"/>
      <c r="D267" s="105" t="n"/>
      <c r="E267" s="105" t="n"/>
      <c r="F267" s="105" t="n"/>
      <c r="G267" s="105" t="n"/>
      <c r="H267" s="105" t="n"/>
      <c r="I267" s="106" t="n"/>
      <c r="J267" s="105" t="n"/>
      <c r="K267" s="95" t="n"/>
      <c r="L267" s="107" t="n"/>
      <c r="M267" s="107" t="n"/>
      <c r="N267" s="107" t="n"/>
      <c r="O267" s="107" t="n"/>
      <c r="P267" s="107" t="n"/>
      <c r="Q267" s="107" t="n"/>
      <c r="R267" s="107" t="n"/>
      <c r="S267" s="107" t="n"/>
      <c r="T267" s="107" t="n"/>
      <c r="U267" s="107" t="n"/>
      <c r="V267" s="107" t="n"/>
      <c r="W267" s="107" t="n"/>
      <c r="X267" s="107" t="n"/>
      <c r="Y267" s="107" t="n"/>
      <c r="Z267" s="107" t="n"/>
      <c r="AA267" s="226" t="n"/>
      <c r="AB267" s="226" t="n"/>
      <c r="AC267" s="226" t="n"/>
      <c r="AD267" s="226" t="n"/>
      <c r="AE267" s="226" t="n"/>
      <c r="AF267" s="226" t="n"/>
      <c r="AG267" s="226" t="n"/>
      <c r="AH267" s="226" t="n"/>
      <c r="AI267" s="226" t="n"/>
      <c r="AJ267" s="226" t="n"/>
      <c r="AK267" s="226" t="n"/>
      <c r="AL267" s="227" t="n"/>
    </row>
    <row r="268">
      <c r="B268" s="94" t="n"/>
      <c r="C268" s="105" t="n"/>
      <c r="D268" s="105" t="n"/>
      <c r="E268" s="105" t="n"/>
      <c r="F268" s="105" t="n"/>
      <c r="G268" s="105" t="n"/>
      <c r="H268" s="105" t="n"/>
      <c r="I268" s="106" t="n"/>
      <c r="J268" s="105" t="n"/>
      <c r="K268" s="95" t="n"/>
      <c r="L268" s="107" t="n"/>
      <c r="M268" s="107" t="n"/>
      <c r="N268" s="107" t="n"/>
      <c r="O268" s="107" t="n"/>
      <c r="P268" s="107" t="n"/>
      <c r="Q268" s="107" t="n"/>
      <c r="R268" s="107" t="n"/>
      <c r="S268" s="107" t="n"/>
      <c r="T268" s="107" t="n"/>
      <c r="U268" s="107" t="n"/>
      <c r="V268" s="107" t="n"/>
      <c r="W268" s="107" t="n"/>
      <c r="X268" s="107" t="n"/>
      <c r="Y268" s="107" t="n"/>
      <c r="Z268" s="107" t="n"/>
      <c r="AA268" s="226" t="n"/>
      <c r="AB268" s="226" t="n"/>
      <c r="AC268" s="226" t="n"/>
      <c r="AD268" s="226" t="n"/>
      <c r="AE268" s="226" t="n"/>
      <c r="AF268" s="226" t="n"/>
      <c r="AG268" s="226" t="n"/>
      <c r="AH268" s="226" t="n"/>
      <c r="AI268" s="226" t="n"/>
      <c r="AJ268" s="226" t="n"/>
      <c r="AK268" s="226" t="n"/>
      <c r="AL268" s="227" t="n"/>
    </row>
    <row r="269">
      <c r="B269" s="94" t="n"/>
      <c r="C269" s="105" t="n"/>
      <c r="D269" s="105" t="n"/>
      <c r="E269" s="105" t="n"/>
      <c r="F269" s="105" t="n"/>
      <c r="G269" s="105" t="n"/>
      <c r="H269" s="105" t="n"/>
      <c r="I269" s="106" t="n"/>
      <c r="J269" s="105" t="n"/>
      <c r="K269" s="95" t="n"/>
      <c r="L269" s="107" t="n"/>
      <c r="M269" s="107" t="n"/>
      <c r="N269" s="107" t="n"/>
      <c r="O269" s="107" t="n"/>
      <c r="P269" s="107" t="n"/>
      <c r="Q269" s="107" t="n"/>
      <c r="R269" s="107" t="n"/>
      <c r="S269" s="107" t="n"/>
      <c r="T269" s="107" t="n"/>
      <c r="U269" s="107" t="n"/>
      <c r="V269" s="107" t="n"/>
      <c r="W269" s="107" t="n"/>
      <c r="X269" s="107" t="n"/>
      <c r="Y269" s="107" t="n"/>
      <c r="Z269" s="107" t="n"/>
      <c r="AA269" s="226" t="n"/>
      <c r="AB269" s="226" t="n"/>
      <c r="AC269" s="226" t="n"/>
      <c r="AD269" s="226" t="n"/>
      <c r="AE269" s="226" t="n"/>
      <c r="AF269" s="226" t="n"/>
      <c r="AG269" s="226" t="n"/>
      <c r="AH269" s="226" t="n"/>
      <c r="AI269" s="226" t="n"/>
      <c r="AJ269" s="226" t="n"/>
      <c r="AK269" s="226" t="n"/>
      <c r="AL269" s="227" t="n"/>
    </row>
    <row r="270">
      <c r="B270" s="94" t="n"/>
      <c r="C270" s="105" t="n"/>
      <c r="D270" s="105" t="n"/>
      <c r="E270" s="105" t="n"/>
      <c r="F270" s="105" t="n"/>
      <c r="G270" s="105" t="n"/>
      <c r="H270" s="105" t="n"/>
      <c r="I270" s="106" t="n"/>
      <c r="J270" s="105" t="n"/>
      <c r="K270" s="95" t="n"/>
      <c r="L270" s="107" t="n"/>
      <c r="M270" s="107" t="n"/>
      <c r="N270" s="107" t="n"/>
      <c r="O270" s="107" t="n"/>
      <c r="P270" s="107" t="n"/>
      <c r="Q270" s="107" t="n"/>
      <c r="R270" s="107" t="n"/>
      <c r="S270" s="107" t="n"/>
      <c r="T270" s="107" t="n"/>
      <c r="U270" s="107" t="n"/>
      <c r="V270" s="107" t="n"/>
      <c r="W270" s="107" t="n"/>
      <c r="X270" s="107" t="n"/>
      <c r="Y270" s="107" t="n"/>
      <c r="Z270" s="107" t="n"/>
      <c r="AA270" s="226" t="n"/>
      <c r="AB270" s="226" t="n"/>
      <c r="AC270" s="226" t="n"/>
      <c r="AD270" s="226" t="n"/>
      <c r="AE270" s="226" t="n"/>
      <c r="AF270" s="226" t="n"/>
      <c r="AG270" s="226" t="n"/>
      <c r="AH270" s="226" t="n"/>
      <c r="AI270" s="226" t="n"/>
      <c r="AJ270" s="226" t="n"/>
      <c r="AK270" s="226" t="n"/>
      <c r="AL270" s="227" t="n"/>
    </row>
    <row r="271">
      <c r="B271" s="94" t="n"/>
      <c r="C271" s="105" t="n"/>
      <c r="D271" s="105" t="n"/>
      <c r="E271" s="105" t="n"/>
      <c r="F271" s="105" t="n"/>
      <c r="G271" s="105" t="n"/>
      <c r="H271" s="105" t="n"/>
      <c r="I271" s="106" t="n"/>
      <c r="J271" s="105" t="n"/>
      <c r="K271" s="95" t="n"/>
      <c r="L271" s="107" t="n"/>
      <c r="M271" s="107" t="n"/>
      <c r="N271" s="107" t="n"/>
      <c r="O271" s="107" t="n"/>
      <c r="P271" s="107" t="n"/>
      <c r="Q271" s="107" t="n"/>
      <c r="R271" s="107" t="n"/>
      <c r="S271" s="107" t="n"/>
      <c r="T271" s="107" t="n"/>
      <c r="U271" s="107" t="n"/>
      <c r="V271" s="107" t="n"/>
      <c r="W271" s="107" t="n"/>
      <c r="X271" s="107" t="n"/>
      <c r="Y271" s="107" t="n"/>
      <c r="Z271" s="107" t="n"/>
      <c r="AA271" s="226" t="n"/>
      <c r="AB271" s="226" t="n"/>
      <c r="AC271" s="226" t="n"/>
      <c r="AD271" s="226" t="n"/>
      <c r="AE271" s="226" t="n"/>
      <c r="AF271" s="226" t="n"/>
      <c r="AG271" s="226" t="n"/>
      <c r="AH271" s="226" t="n"/>
      <c r="AI271" s="226" t="n"/>
      <c r="AJ271" s="226" t="n"/>
      <c r="AK271" s="226" t="n"/>
      <c r="AL271" s="227" t="n"/>
    </row>
    <row r="272">
      <c r="B272" s="94" t="n"/>
      <c r="C272" s="105" t="n"/>
      <c r="D272" s="105" t="n"/>
      <c r="E272" s="105" t="n"/>
      <c r="F272" s="105" t="n"/>
      <c r="G272" s="105" t="n"/>
      <c r="H272" s="105" t="n"/>
      <c r="I272" s="106" t="n"/>
      <c r="J272" s="105" t="n"/>
      <c r="K272" s="95" t="n"/>
      <c r="L272" s="107" t="n"/>
      <c r="M272" s="107" t="n"/>
      <c r="N272" s="107" t="n"/>
      <c r="O272" s="107" t="n"/>
      <c r="P272" s="107" t="n"/>
      <c r="Q272" s="107" t="n"/>
      <c r="R272" s="107" t="n"/>
      <c r="S272" s="107" t="n"/>
      <c r="T272" s="107" t="n"/>
      <c r="U272" s="107" t="n"/>
      <c r="V272" s="107" t="n"/>
      <c r="W272" s="107" t="n"/>
      <c r="X272" s="107" t="n"/>
      <c r="Y272" s="107" t="n"/>
      <c r="Z272" s="107" t="n"/>
      <c r="AA272" s="226" t="n"/>
      <c r="AB272" s="226" t="n"/>
      <c r="AC272" s="226" t="n"/>
      <c r="AD272" s="226" t="n"/>
      <c r="AE272" s="226" t="n"/>
      <c r="AF272" s="226" t="n"/>
      <c r="AG272" s="226" t="n"/>
      <c r="AH272" s="226" t="n"/>
      <c r="AI272" s="226" t="n"/>
      <c r="AJ272" s="226" t="n"/>
      <c r="AK272" s="226" t="n"/>
      <c r="AL272" s="227" t="n"/>
    </row>
    <row r="273">
      <c r="B273" s="94" t="n"/>
      <c r="C273" s="105" t="n"/>
      <c r="D273" s="105" t="n"/>
      <c r="E273" s="105" t="n"/>
      <c r="F273" s="105" t="n"/>
      <c r="G273" s="105" t="n"/>
      <c r="H273" s="105" t="n"/>
      <c r="I273" s="106" t="n"/>
      <c r="J273" s="105" t="n"/>
      <c r="K273" s="95" t="n"/>
      <c r="L273" s="107" t="n"/>
      <c r="M273" s="107" t="n"/>
      <c r="N273" s="107" t="n"/>
      <c r="O273" s="107" t="n"/>
      <c r="P273" s="107" t="n"/>
      <c r="Q273" s="107" t="n"/>
      <c r="R273" s="107" t="n"/>
      <c r="S273" s="107" t="n"/>
      <c r="T273" s="107" t="n"/>
      <c r="U273" s="107" t="n"/>
      <c r="V273" s="107" t="n"/>
      <c r="W273" s="107" t="n"/>
      <c r="X273" s="107" t="n"/>
      <c r="Y273" s="107" t="n"/>
      <c r="Z273" s="107" t="n"/>
      <c r="AA273" s="226" t="n"/>
      <c r="AB273" s="226" t="n"/>
      <c r="AC273" s="226" t="n"/>
      <c r="AD273" s="226" t="n"/>
      <c r="AE273" s="226" t="n"/>
      <c r="AF273" s="226" t="n"/>
      <c r="AG273" s="226" t="n"/>
      <c r="AH273" s="226" t="n"/>
      <c r="AI273" s="226" t="n"/>
      <c r="AJ273" s="226" t="n"/>
      <c r="AK273" s="226" t="n"/>
      <c r="AL273" s="227" t="n"/>
    </row>
    <row r="274">
      <c r="B274" s="94" t="n"/>
      <c r="C274" s="105" t="n"/>
      <c r="D274" s="105" t="n"/>
      <c r="E274" s="105" t="n"/>
      <c r="F274" s="105" t="n"/>
      <c r="G274" s="105" t="n"/>
      <c r="H274" s="105" t="n"/>
      <c r="I274" s="106" t="n"/>
      <c r="J274" s="105" t="n"/>
      <c r="K274" s="95" t="n"/>
      <c r="L274" s="107" t="n"/>
      <c r="M274" s="107" t="n"/>
      <c r="N274" s="107" t="n"/>
      <c r="O274" s="107" t="n"/>
      <c r="P274" s="107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07" t="n"/>
      <c r="AA274" s="226" t="n"/>
      <c r="AB274" s="226" t="n"/>
      <c r="AC274" s="226" t="n"/>
      <c r="AD274" s="226" t="n"/>
      <c r="AE274" s="226" t="n"/>
      <c r="AF274" s="226" t="n"/>
      <c r="AG274" s="226" t="n"/>
      <c r="AH274" s="226" t="n"/>
      <c r="AI274" s="226" t="n"/>
      <c r="AJ274" s="226" t="n"/>
      <c r="AK274" s="226" t="n"/>
      <c r="AL274" s="227" t="n"/>
    </row>
    <row r="275">
      <c r="B275" s="94" t="n"/>
      <c r="C275" s="105" t="n"/>
      <c r="D275" s="105" t="n"/>
      <c r="E275" s="105" t="n"/>
      <c r="F275" s="105" t="n"/>
      <c r="G275" s="105" t="n"/>
      <c r="H275" s="105" t="n"/>
      <c r="I275" s="106" t="n"/>
      <c r="J275" s="105" t="n"/>
      <c r="K275" s="95" t="n"/>
      <c r="L275" s="107" t="n"/>
      <c r="M275" s="107" t="n"/>
      <c r="N275" s="107" t="n"/>
      <c r="O275" s="107" t="n"/>
      <c r="P275" s="107" t="n"/>
      <c r="Q275" s="107" t="n"/>
      <c r="R275" s="107" t="n"/>
      <c r="S275" s="107" t="n"/>
      <c r="T275" s="107" t="n"/>
      <c r="U275" s="107" t="n"/>
      <c r="V275" s="107" t="n"/>
      <c r="W275" s="107" t="n"/>
      <c r="X275" s="107" t="n"/>
      <c r="Y275" s="107" t="n"/>
      <c r="Z275" s="107" t="n"/>
      <c r="AA275" s="226" t="n"/>
      <c r="AB275" s="226" t="n"/>
      <c r="AC275" s="226" t="n"/>
      <c r="AD275" s="226" t="n"/>
      <c r="AE275" s="226" t="n"/>
      <c r="AF275" s="226" t="n"/>
      <c r="AG275" s="226" t="n"/>
      <c r="AH275" s="226" t="n"/>
      <c r="AI275" s="226" t="n"/>
      <c r="AJ275" s="226" t="n"/>
      <c r="AK275" s="226" t="n"/>
      <c r="AL275" s="227" t="n"/>
    </row>
    <row r="276">
      <c r="B276" s="94" t="n"/>
      <c r="C276" s="105" t="n"/>
      <c r="D276" s="105" t="n"/>
      <c r="E276" s="105" t="n"/>
      <c r="F276" s="105" t="n"/>
      <c r="G276" s="105" t="n"/>
      <c r="H276" s="105" t="n"/>
      <c r="I276" s="106" t="n"/>
      <c r="J276" s="105" t="n"/>
      <c r="K276" s="95" t="n"/>
      <c r="L276" s="107" t="n"/>
      <c r="M276" s="107" t="n"/>
      <c r="N276" s="107" t="n"/>
      <c r="O276" s="107" t="n"/>
      <c r="P276" s="107" t="n"/>
      <c r="Q276" s="107" t="n"/>
      <c r="R276" s="107" t="n"/>
      <c r="S276" s="107" t="n"/>
      <c r="T276" s="107" t="n"/>
      <c r="U276" s="107" t="n"/>
      <c r="V276" s="107" t="n"/>
      <c r="W276" s="107" t="n"/>
      <c r="X276" s="107" t="n"/>
      <c r="Y276" s="107" t="n"/>
      <c r="Z276" s="107" t="n"/>
      <c r="AA276" s="226" t="n"/>
      <c r="AB276" s="226" t="n"/>
      <c r="AC276" s="226" t="n"/>
      <c r="AD276" s="226" t="n"/>
      <c r="AE276" s="226" t="n"/>
      <c r="AF276" s="226" t="n"/>
      <c r="AG276" s="226" t="n"/>
      <c r="AH276" s="226" t="n"/>
      <c r="AI276" s="226" t="n"/>
      <c r="AJ276" s="226" t="n"/>
      <c r="AK276" s="226" t="n"/>
      <c r="AL276" s="227" t="n"/>
    </row>
    <row r="277">
      <c r="B277" s="94" t="n"/>
      <c r="C277" s="105" t="n"/>
      <c r="D277" s="105" t="n"/>
      <c r="E277" s="105" t="n"/>
      <c r="F277" s="105" t="n"/>
      <c r="G277" s="105" t="n"/>
      <c r="H277" s="105" t="n"/>
      <c r="I277" s="106" t="n"/>
      <c r="J277" s="105" t="n"/>
      <c r="K277" s="95" t="n"/>
      <c r="L277" s="107" t="n"/>
      <c r="M277" s="107" t="n"/>
      <c r="N277" s="107" t="n"/>
      <c r="O277" s="107" t="n"/>
      <c r="P277" s="107" t="n"/>
      <c r="Q277" s="107" t="n"/>
      <c r="R277" s="107" t="n"/>
      <c r="S277" s="107" t="n"/>
      <c r="T277" s="107" t="n"/>
      <c r="U277" s="107" t="n"/>
      <c r="V277" s="107" t="n"/>
      <c r="W277" s="107" t="n"/>
      <c r="X277" s="107" t="n"/>
      <c r="Y277" s="107" t="n"/>
      <c r="Z277" s="107" t="n"/>
      <c r="AA277" s="226" t="n"/>
      <c r="AB277" s="226" t="n"/>
      <c r="AC277" s="226" t="n"/>
      <c r="AD277" s="226" t="n"/>
      <c r="AE277" s="226" t="n"/>
      <c r="AF277" s="226" t="n"/>
      <c r="AG277" s="226" t="n"/>
      <c r="AH277" s="226" t="n"/>
      <c r="AI277" s="226" t="n"/>
      <c r="AJ277" s="226" t="n"/>
      <c r="AK277" s="226" t="n"/>
      <c r="AL277" s="227" t="n"/>
    </row>
    <row r="278">
      <c r="B278" s="94" t="n"/>
      <c r="C278" s="105" t="n"/>
      <c r="D278" s="105" t="n"/>
      <c r="E278" s="105" t="n"/>
      <c r="F278" s="105" t="n"/>
      <c r="G278" s="105" t="n"/>
      <c r="H278" s="105" t="n"/>
      <c r="I278" s="106" t="n"/>
      <c r="J278" s="105" t="n"/>
      <c r="K278" s="95" t="n"/>
      <c r="L278" s="107" t="n"/>
      <c r="M278" s="107" t="n"/>
      <c r="N278" s="107" t="n"/>
      <c r="O278" s="107" t="n"/>
      <c r="P278" s="107" t="n"/>
      <c r="Q278" s="107" t="n"/>
      <c r="R278" s="107" t="n"/>
      <c r="S278" s="107" t="n"/>
      <c r="T278" s="107" t="n"/>
      <c r="U278" s="107" t="n"/>
      <c r="V278" s="107" t="n"/>
      <c r="W278" s="107" t="n"/>
      <c r="X278" s="107" t="n"/>
      <c r="Y278" s="107" t="n"/>
      <c r="Z278" s="107" t="n"/>
      <c r="AA278" s="226" t="n"/>
      <c r="AB278" s="226" t="n"/>
      <c r="AC278" s="226" t="n"/>
      <c r="AD278" s="226" t="n"/>
      <c r="AE278" s="226" t="n"/>
      <c r="AF278" s="226" t="n"/>
      <c r="AG278" s="226" t="n"/>
      <c r="AH278" s="226" t="n"/>
      <c r="AI278" s="226" t="n"/>
      <c r="AJ278" s="226" t="n"/>
      <c r="AK278" s="226" t="n"/>
      <c r="AL278" s="227" t="n"/>
    </row>
    <row r="279">
      <c r="B279" s="94" t="n"/>
      <c r="C279" s="105" t="n"/>
      <c r="D279" s="105" t="n"/>
      <c r="E279" s="105" t="n"/>
      <c r="F279" s="105" t="n"/>
      <c r="G279" s="105" t="n"/>
      <c r="H279" s="105" t="n"/>
      <c r="I279" s="106" t="n"/>
      <c r="J279" s="105" t="n"/>
      <c r="K279" s="95" t="n"/>
      <c r="L279" s="107" t="n"/>
      <c r="M279" s="107" t="n"/>
      <c r="N279" s="107" t="n"/>
      <c r="O279" s="107" t="n"/>
      <c r="P279" s="107" t="n"/>
      <c r="Q279" s="107" t="n"/>
      <c r="R279" s="107" t="n"/>
      <c r="S279" s="107" t="n"/>
      <c r="T279" s="107" t="n"/>
      <c r="U279" s="107" t="n"/>
      <c r="V279" s="107" t="n"/>
      <c r="W279" s="107" t="n"/>
      <c r="X279" s="107" t="n"/>
      <c r="Y279" s="107" t="n"/>
      <c r="Z279" s="107" t="n"/>
      <c r="AA279" s="226" t="n"/>
      <c r="AB279" s="226" t="n"/>
      <c r="AC279" s="226" t="n"/>
      <c r="AD279" s="226" t="n"/>
      <c r="AE279" s="226" t="n"/>
      <c r="AF279" s="226" t="n"/>
      <c r="AG279" s="226" t="n"/>
      <c r="AH279" s="226" t="n"/>
      <c r="AI279" s="226" t="n"/>
      <c r="AJ279" s="226" t="n"/>
      <c r="AK279" s="226" t="n"/>
      <c r="AL279" s="227" t="n"/>
    </row>
    <row r="280">
      <c r="B280" s="94" t="n"/>
      <c r="C280" s="105" t="n"/>
      <c r="D280" s="105" t="n"/>
      <c r="E280" s="105" t="n"/>
      <c r="F280" s="105" t="n"/>
      <c r="G280" s="105" t="n"/>
      <c r="H280" s="105" t="n"/>
      <c r="I280" s="106" t="n"/>
      <c r="J280" s="105" t="n"/>
      <c r="K280" s="95" t="n"/>
      <c r="L280" s="107" t="n"/>
      <c r="M280" s="107" t="n"/>
      <c r="N280" s="107" t="n"/>
      <c r="O280" s="107" t="n"/>
      <c r="P280" s="107" t="n"/>
      <c r="Q280" s="107" t="n"/>
      <c r="R280" s="107" t="n"/>
      <c r="S280" s="107" t="n"/>
      <c r="T280" s="107" t="n"/>
      <c r="U280" s="107" t="n"/>
      <c r="V280" s="107" t="n"/>
      <c r="W280" s="107" t="n"/>
      <c r="X280" s="107" t="n"/>
      <c r="Y280" s="107" t="n"/>
      <c r="Z280" s="107" t="n"/>
      <c r="AA280" s="226" t="n"/>
      <c r="AB280" s="226" t="n"/>
      <c r="AC280" s="226" t="n"/>
      <c r="AD280" s="226" t="n"/>
      <c r="AE280" s="226" t="n"/>
      <c r="AF280" s="226" t="n"/>
      <c r="AG280" s="226" t="n"/>
      <c r="AH280" s="226" t="n"/>
      <c r="AI280" s="226" t="n"/>
      <c r="AJ280" s="226" t="n"/>
      <c r="AK280" s="226" t="n"/>
      <c r="AL280" s="227" t="n"/>
    </row>
    <row r="281">
      <c r="B281" s="94" t="n"/>
      <c r="C281" s="105" t="n"/>
      <c r="D281" s="105" t="n"/>
      <c r="E281" s="105" t="n"/>
      <c r="F281" s="105" t="n"/>
      <c r="G281" s="105" t="n"/>
      <c r="H281" s="105" t="n"/>
      <c r="I281" s="106" t="n"/>
      <c r="J281" s="105" t="n"/>
      <c r="K281" s="95" t="n"/>
      <c r="L281" s="107" t="n"/>
      <c r="M281" s="107" t="n"/>
      <c r="N281" s="107" t="n"/>
      <c r="O281" s="107" t="n"/>
      <c r="P281" s="107" t="n"/>
      <c r="Q281" s="107" t="n"/>
      <c r="R281" s="107" t="n"/>
      <c r="S281" s="107" t="n"/>
      <c r="T281" s="107" t="n"/>
      <c r="U281" s="107" t="n"/>
      <c r="V281" s="107" t="n"/>
      <c r="W281" s="107" t="n"/>
      <c r="X281" s="107" t="n"/>
      <c r="Y281" s="107" t="n"/>
      <c r="Z281" s="107" t="n"/>
      <c r="AA281" s="226" t="n"/>
      <c r="AB281" s="226" t="n"/>
      <c r="AC281" s="226" t="n"/>
      <c r="AD281" s="226" t="n"/>
      <c r="AE281" s="226" t="n"/>
      <c r="AF281" s="226" t="n"/>
      <c r="AG281" s="226" t="n"/>
      <c r="AH281" s="226" t="n"/>
      <c r="AI281" s="226" t="n"/>
      <c r="AJ281" s="226" t="n"/>
      <c r="AK281" s="226" t="n"/>
      <c r="AL281" s="227" t="n"/>
    </row>
    <row r="282">
      <c r="B282" s="94" t="n"/>
      <c r="C282" s="105" t="n"/>
      <c r="D282" s="105" t="n"/>
      <c r="E282" s="105" t="n"/>
      <c r="F282" s="105" t="n"/>
      <c r="G282" s="105" t="n"/>
      <c r="H282" s="105" t="n"/>
      <c r="I282" s="106" t="n"/>
      <c r="J282" s="105" t="n"/>
      <c r="K282" s="95" t="n"/>
      <c r="L282" s="107" t="n"/>
      <c r="M282" s="107" t="n"/>
      <c r="N282" s="107" t="n"/>
      <c r="O282" s="107" t="n"/>
      <c r="P282" s="107" t="n"/>
      <c r="Q282" s="107" t="n"/>
      <c r="R282" s="107" t="n"/>
      <c r="S282" s="107" t="n"/>
      <c r="T282" s="107" t="n"/>
      <c r="U282" s="107" t="n"/>
      <c r="V282" s="107" t="n"/>
      <c r="W282" s="107" t="n"/>
      <c r="X282" s="107" t="n"/>
      <c r="Y282" s="107" t="n"/>
      <c r="Z282" s="107" t="n"/>
      <c r="AA282" s="226" t="n"/>
      <c r="AB282" s="226" t="n"/>
      <c r="AC282" s="226" t="n"/>
      <c r="AD282" s="226" t="n"/>
      <c r="AE282" s="226" t="n"/>
      <c r="AF282" s="226" t="n"/>
      <c r="AG282" s="226" t="n"/>
      <c r="AH282" s="226" t="n"/>
      <c r="AI282" s="226" t="n"/>
      <c r="AJ282" s="226" t="n"/>
      <c r="AK282" s="226" t="n"/>
      <c r="AL282" s="227" t="n"/>
    </row>
    <row r="283">
      <c r="B283" s="94" t="n"/>
      <c r="C283" s="105" t="n"/>
      <c r="D283" s="105" t="n"/>
      <c r="E283" s="105" t="n"/>
      <c r="F283" s="105" t="n"/>
      <c r="G283" s="105" t="n"/>
      <c r="H283" s="105" t="n"/>
      <c r="I283" s="106" t="n"/>
      <c r="J283" s="105" t="n"/>
      <c r="K283" s="95" t="n"/>
      <c r="L283" s="107" t="n"/>
      <c r="M283" s="107" t="n"/>
      <c r="N283" s="107" t="n"/>
      <c r="O283" s="107" t="n"/>
      <c r="P283" s="107" t="n"/>
      <c r="Q283" s="107" t="n"/>
      <c r="R283" s="107" t="n"/>
      <c r="S283" s="107" t="n"/>
      <c r="T283" s="107" t="n"/>
      <c r="U283" s="107" t="n"/>
      <c r="V283" s="107" t="n"/>
      <c r="W283" s="107" t="n"/>
      <c r="X283" s="107" t="n"/>
      <c r="Y283" s="107" t="n"/>
      <c r="Z283" s="107" t="n"/>
      <c r="AA283" s="226" t="n"/>
      <c r="AB283" s="226" t="n"/>
      <c r="AC283" s="226" t="n"/>
      <c r="AD283" s="226" t="n"/>
      <c r="AE283" s="226" t="n"/>
      <c r="AF283" s="226" t="n"/>
      <c r="AG283" s="226" t="n"/>
      <c r="AH283" s="226" t="n"/>
      <c r="AI283" s="226" t="n"/>
      <c r="AJ283" s="226" t="n"/>
      <c r="AK283" s="226" t="n"/>
      <c r="AL283" s="227" t="n"/>
    </row>
    <row r="284">
      <c r="B284" s="94" t="n"/>
      <c r="C284" s="105" t="n"/>
      <c r="D284" s="105" t="n"/>
      <c r="E284" s="105" t="n"/>
      <c r="F284" s="105" t="n"/>
      <c r="G284" s="105" t="n"/>
      <c r="H284" s="105" t="n"/>
      <c r="I284" s="106" t="n"/>
      <c r="J284" s="105" t="n"/>
      <c r="K284" s="95" t="n"/>
      <c r="L284" s="107" t="n"/>
      <c r="M284" s="107" t="n"/>
      <c r="N284" s="107" t="n"/>
      <c r="O284" s="107" t="n"/>
      <c r="P284" s="107" t="n"/>
      <c r="Q284" s="107" t="n"/>
      <c r="R284" s="107" t="n"/>
      <c r="S284" s="107" t="n"/>
      <c r="T284" s="107" t="n"/>
      <c r="U284" s="107" t="n"/>
      <c r="V284" s="107" t="n"/>
      <c r="W284" s="107" t="n"/>
      <c r="X284" s="107" t="n"/>
      <c r="Y284" s="107" t="n"/>
      <c r="Z284" s="107" t="n"/>
      <c r="AA284" s="226" t="n"/>
      <c r="AB284" s="226" t="n"/>
      <c r="AC284" s="226" t="n"/>
      <c r="AD284" s="226" t="n"/>
      <c r="AE284" s="226" t="n"/>
      <c r="AF284" s="226" t="n"/>
      <c r="AG284" s="226" t="n"/>
      <c r="AH284" s="226" t="n"/>
      <c r="AI284" s="226" t="n"/>
      <c r="AJ284" s="226" t="n"/>
      <c r="AK284" s="226" t="n"/>
      <c r="AL284" s="227" t="n"/>
    </row>
    <row r="285">
      <c r="B285" s="94" t="n"/>
      <c r="C285" s="105" t="n"/>
      <c r="D285" s="105" t="n"/>
      <c r="E285" s="105" t="n"/>
      <c r="F285" s="105" t="n"/>
      <c r="G285" s="105" t="n"/>
      <c r="H285" s="105" t="n"/>
      <c r="I285" s="106" t="n"/>
      <c r="J285" s="105" t="n"/>
      <c r="K285" s="95" t="n"/>
      <c r="L285" s="107" t="n"/>
      <c r="M285" s="107" t="n"/>
      <c r="N285" s="107" t="n"/>
      <c r="O285" s="107" t="n"/>
      <c r="P285" s="107" t="n"/>
      <c r="Q285" s="107" t="n"/>
      <c r="R285" s="107" t="n"/>
      <c r="S285" s="107" t="n"/>
      <c r="T285" s="107" t="n"/>
      <c r="U285" s="107" t="n"/>
      <c r="V285" s="107" t="n"/>
      <c r="W285" s="107" t="n"/>
      <c r="X285" s="107" t="n"/>
      <c r="Y285" s="107" t="n"/>
      <c r="Z285" s="107" t="n"/>
      <c r="AA285" s="226" t="n"/>
      <c r="AB285" s="226" t="n"/>
      <c r="AC285" s="226" t="n"/>
      <c r="AD285" s="226" t="n"/>
      <c r="AE285" s="226" t="n"/>
      <c r="AF285" s="226" t="n"/>
      <c r="AG285" s="226" t="n"/>
      <c r="AH285" s="226" t="n"/>
      <c r="AI285" s="226" t="n"/>
      <c r="AJ285" s="226" t="n"/>
      <c r="AK285" s="226" t="n"/>
      <c r="AL285" s="227" t="n"/>
    </row>
    <row r="286">
      <c r="B286" s="94" t="n"/>
      <c r="C286" s="105" t="n"/>
      <c r="D286" s="105" t="n"/>
      <c r="E286" s="105" t="n"/>
      <c r="F286" s="105" t="n"/>
      <c r="G286" s="105" t="n"/>
      <c r="H286" s="105" t="n"/>
      <c r="I286" s="106" t="n"/>
      <c r="J286" s="105" t="n"/>
      <c r="K286" s="95" t="n"/>
      <c r="L286" s="107" t="n"/>
      <c r="M286" s="107" t="n"/>
      <c r="N286" s="107" t="n"/>
      <c r="O286" s="107" t="n"/>
      <c r="P286" s="107" t="n"/>
      <c r="Q286" s="107" t="n"/>
      <c r="R286" s="107" t="n"/>
      <c r="S286" s="107" t="n"/>
      <c r="T286" s="107" t="n"/>
      <c r="U286" s="107" t="n"/>
      <c r="V286" s="107" t="n"/>
      <c r="W286" s="107" t="n"/>
      <c r="X286" s="107" t="n"/>
      <c r="Y286" s="107" t="n"/>
      <c r="Z286" s="107" t="n"/>
      <c r="AA286" s="226" t="n"/>
      <c r="AB286" s="226" t="n"/>
      <c r="AC286" s="226" t="n"/>
      <c r="AD286" s="226" t="n"/>
      <c r="AE286" s="226" t="n"/>
      <c r="AF286" s="226" t="n"/>
      <c r="AG286" s="226" t="n"/>
      <c r="AH286" s="226" t="n"/>
      <c r="AI286" s="226" t="n"/>
      <c r="AJ286" s="226" t="n"/>
      <c r="AK286" s="226" t="n"/>
      <c r="AL286" s="227" t="n"/>
    </row>
    <row r="287">
      <c r="B287" s="94" t="n"/>
      <c r="C287" s="105" t="n"/>
      <c r="D287" s="105" t="n"/>
      <c r="E287" s="105" t="n"/>
      <c r="F287" s="105" t="n"/>
      <c r="G287" s="105" t="n"/>
      <c r="H287" s="105" t="n"/>
      <c r="I287" s="106" t="n"/>
      <c r="J287" s="105" t="n"/>
      <c r="K287" s="95" t="n"/>
      <c r="L287" s="107" t="n"/>
      <c r="M287" s="107" t="n"/>
      <c r="N287" s="107" t="n"/>
      <c r="O287" s="107" t="n"/>
      <c r="P287" s="107" t="n"/>
      <c r="Q287" s="107" t="n"/>
      <c r="R287" s="107" t="n"/>
      <c r="S287" s="107" t="n"/>
      <c r="T287" s="107" t="n"/>
      <c r="U287" s="107" t="n"/>
      <c r="V287" s="107" t="n"/>
      <c r="W287" s="107" t="n"/>
      <c r="X287" s="107" t="n"/>
      <c r="Y287" s="107" t="n"/>
      <c r="Z287" s="107" t="n"/>
      <c r="AA287" s="226" t="n"/>
      <c r="AB287" s="226" t="n"/>
      <c r="AC287" s="226" t="n"/>
      <c r="AD287" s="226" t="n"/>
      <c r="AE287" s="226" t="n"/>
      <c r="AF287" s="226" t="n"/>
      <c r="AG287" s="226" t="n"/>
      <c r="AH287" s="226" t="n"/>
      <c r="AI287" s="226" t="n"/>
      <c r="AJ287" s="226" t="n"/>
      <c r="AK287" s="226" t="n"/>
      <c r="AL287" s="227" t="n"/>
    </row>
    <row r="288">
      <c r="B288" s="94" t="n"/>
      <c r="C288" s="105" t="n"/>
      <c r="D288" s="105" t="n"/>
      <c r="E288" s="105" t="n"/>
      <c r="F288" s="105" t="n"/>
      <c r="G288" s="105" t="n"/>
      <c r="H288" s="105" t="n"/>
      <c r="I288" s="106" t="n"/>
      <c r="J288" s="105" t="n"/>
      <c r="K288" s="95" t="n"/>
      <c r="L288" s="107" t="n"/>
      <c r="M288" s="107" t="n"/>
      <c r="N288" s="107" t="n"/>
      <c r="O288" s="107" t="n"/>
      <c r="P288" s="107" t="n"/>
      <c r="Q288" s="107" t="n"/>
      <c r="R288" s="107" t="n"/>
      <c r="S288" s="107" t="n"/>
      <c r="T288" s="107" t="n"/>
      <c r="U288" s="107" t="n"/>
      <c r="V288" s="107" t="n"/>
      <c r="W288" s="107" t="n"/>
      <c r="X288" s="107" t="n"/>
      <c r="Y288" s="107" t="n"/>
      <c r="Z288" s="107" t="n"/>
      <c r="AA288" s="226" t="n"/>
      <c r="AB288" s="226" t="n"/>
      <c r="AC288" s="226" t="n"/>
      <c r="AD288" s="226" t="n"/>
      <c r="AE288" s="226" t="n"/>
      <c r="AF288" s="226" t="n"/>
      <c r="AG288" s="226" t="n"/>
      <c r="AH288" s="226" t="n"/>
      <c r="AI288" s="226" t="n"/>
      <c r="AJ288" s="226" t="n"/>
      <c r="AK288" s="226" t="n"/>
      <c r="AL288" s="227" t="n"/>
    </row>
    <row r="289">
      <c r="B289" s="94" t="n"/>
      <c r="C289" s="105" t="n"/>
      <c r="D289" s="105" t="n"/>
      <c r="E289" s="105" t="n"/>
      <c r="F289" s="105" t="n"/>
      <c r="G289" s="105" t="n"/>
      <c r="H289" s="105" t="n"/>
      <c r="I289" s="106" t="n"/>
      <c r="J289" s="105" t="n"/>
      <c r="K289" s="95" t="n"/>
      <c r="L289" s="107" t="n"/>
      <c r="M289" s="107" t="n"/>
      <c r="N289" s="107" t="n"/>
      <c r="O289" s="107" t="n"/>
      <c r="P289" s="107" t="n"/>
      <c r="Q289" s="107" t="n"/>
      <c r="R289" s="107" t="n"/>
      <c r="S289" s="107" t="n"/>
      <c r="T289" s="107" t="n"/>
      <c r="U289" s="107" t="n"/>
      <c r="V289" s="107" t="n"/>
      <c r="W289" s="107" t="n"/>
      <c r="X289" s="107" t="n"/>
      <c r="Y289" s="107" t="n"/>
      <c r="Z289" s="107" t="n"/>
      <c r="AA289" s="226" t="n"/>
      <c r="AB289" s="226" t="n"/>
      <c r="AC289" s="226" t="n"/>
      <c r="AD289" s="226" t="n"/>
      <c r="AE289" s="226" t="n"/>
      <c r="AF289" s="226" t="n"/>
      <c r="AG289" s="226" t="n"/>
      <c r="AH289" s="226" t="n"/>
      <c r="AI289" s="226" t="n"/>
      <c r="AJ289" s="226" t="n"/>
      <c r="AK289" s="226" t="n"/>
      <c r="AL289" s="227" t="n"/>
    </row>
    <row r="290">
      <c r="B290" s="94" t="n"/>
      <c r="C290" s="105" t="n"/>
      <c r="D290" s="105" t="n"/>
      <c r="E290" s="105" t="n"/>
      <c r="F290" s="105" t="n"/>
      <c r="G290" s="105" t="n"/>
      <c r="H290" s="105" t="n"/>
      <c r="I290" s="106" t="n"/>
      <c r="J290" s="105" t="n"/>
      <c r="K290" s="95" t="n"/>
      <c r="L290" s="107" t="n"/>
      <c r="M290" s="107" t="n"/>
      <c r="N290" s="107" t="n"/>
      <c r="O290" s="107" t="n"/>
      <c r="P290" s="107" t="n"/>
      <c r="Q290" s="107" t="n"/>
      <c r="R290" s="107" t="n"/>
      <c r="S290" s="107" t="n"/>
      <c r="T290" s="107" t="n"/>
      <c r="U290" s="107" t="n"/>
      <c r="V290" s="107" t="n"/>
      <c r="W290" s="107" t="n"/>
      <c r="X290" s="107" t="n"/>
      <c r="Y290" s="107" t="n"/>
      <c r="Z290" s="107" t="n"/>
      <c r="AA290" s="226" t="n"/>
      <c r="AB290" s="226" t="n"/>
      <c r="AC290" s="226" t="n"/>
      <c r="AD290" s="226" t="n"/>
      <c r="AE290" s="226" t="n"/>
      <c r="AF290" s="226" t="n"/>
      <c r="AG290" s="226" t="n"/>
      <c r="AH290" s="226" t="n"/>
      <c r="AI290" s="226" t="n"/>
      <c r="AJ290" s="226" t="n"/>
      <c r="AK290" s="226" t="n"/>
      <c r="AL290" s="227" t="n"/>
    </row>
    <row r="291">
      <c r="B291" s="94" t="n"/>
      <c r="C291" s="105" t="n"/>
      <c r="D291" s="105" t="n"/>
      <c r="E291" s="105" t="n"/>
      <c r="F291" s="105" t="n"/>
      <c r="G291" s="105" t="n"/>
      <c r="H291" s="105" t="n"/>
      <c r="I291" s="106" t="n"/>
      <c r="J291" s="105" t="n"/>
      <c r="K291" s="95" t="n"/>
      <c r="L291" s="107" t="n"/>
      <c r="M291" s="107" t="n"/>
      <c r="N291" s="107" t="n"/>
      <c r="O291" s="107" t="n"/>
      <c r="P291" s="107" t="n"/>
      <c r="Q291" s="107" t="n"/>
      <c r="R291" s="107" t="n"/>
      <c r="S291" s="107" t="n"/>
      <c r="T291" s="107" t="n"/>
      <c r="U291" s="107" t="n"/>
      <c r="V291" s="107" t="n"/>
      <c r="W291" s="107" t="n"/>
      <c r="X291" s="107" t="n"/>
      <c r="Y291" s="107" t="n"/>
      <c r="Z291" s="107" t="n"/>
      <c r="AA291" s="226" t="n"/>
      <c r="AB291" s="226" t="n"/>
      <c r="AC291" s="226" t="n"/>
      <c r="AD291" s="226" t="n"/>
      <c r="AE291" s="226" t="n"/>
      <c r="AF291" s="226" t="n"/>
      <c r="AG291" s="226" t="n"/>
      <c r="AH291" s="226" t="n"/>
      <c r="AI291" s="226" t="n"/>
      <c r="AJ291" s="226" t="n"/>
      <c r="AK291" s="226" t="n"/>
      <c r="AL291" s="227" t="n"/>
    </row>
    <row r="292">
      <c r="B292" s="94" t="n"/>
      <c r="C292" s="105" t="n"/>
      <c r="D292" s="105" t="n"/>
      <c r="E292" s="105" t="n"/>
      <c r="F292" s="105" t="n"/>
      <c r="G292" s="105" t="n"/>
      <c r="H292" s="105" t="n"/>
      <c r="I292" s="106" t="n"/>
      <c r="J292" s="105" t="n"/>
      <c r="K292" s="95" t="n"/>
      <c r="L292" s="107" t="n"/>
      <c r="M292" s="107" t="n"/>
      <c r="N292" s="107" t="n"/>
      <c r="O292" s="107" t="n"/>
      <c r="P292" s="107" t="n"/>
      <c r="Q292" s="107" t="n"/>
      <c r="R292" s="107" t="n"/>
      <c r="S292" s="107" t="n"/>
      <c r="T292" s="107" t="n"/>
      <c r="U292" s="107" t="n"/>
      <c r="V292" s="107" t="n"/>
      <c r="W292" s="107" t="n"/>
      <c r="X292" s="107" t="n"/>
      <c r="Y292" s="107" t="n"/>
      <c r="Z292" s="107" t="n"/>
      <c r="AA292" s="226" t="n"/>
      <c r="AB292" s="226" t="n"/>
      <c r="AC292" s="226" t="n"/>
      <c r="AD292" s="226" t="n"/>
      <c r="AE292" s="226" t="n"/>
      <c r="AF292" s="226" t="n"/>
      <c r="AG292" s="226" t="n"/>
      <c r="AH292" s="226" t="n"/>
      <c r="AI292" s="226" t="n"/>
      <c r="AJ292" s="226" t="n"/>
      <c r="AK292" s="226" t="n"/>
      <c r="AL292" s="227" t="n"/>
    </row>
    <row r="293">
      <c r="B293" s="94" t="n"/>
      <c r="C293" s="105" t="n"/>
      <c r="D293" s="105" t="n"/>
      <c r="E293" s="105" t="n"/>
      <c r="F293" s="105" t="n"/>
      <c r="G293" s="105" t="n"/>
      <c r="H293" s="105" t="n"/>
      <c r="I293" s="106" t="n"/>
      <c r="J293" s="105" t="n"/>
      <c r="K293" s="95" t="n"/>
      <c r="L293" s="107" t="n"/>
      <c r="M293" s="107" t="n"/>
      <c r="N293" s="107" t="n"/>
      <c r="O293" s="107" t="n"/>
      <c r="P293" s="107" t="n"/>
      <c r="Q293" s="107" t="n"/>
      <c r="R293" s="107" t="n"/>
      <c r="S293" s="107" t="n"/>
      <c r="T293" s="107" t="n"/>
      <c r="U293" s="107" t="n"/>
      <c r="V293" s="107" t="n"/>
      <c r="W293" s="107" t="n"/>
      <c r="X293" s="107" t="n"/>
      <c r="Y293" s="107" t="n"/>
      <c r="Z293" s="107" t="n"/>
      <c r="AA293" s="226" t="n"/>
      <c r="AB293" s="226" t="n"/>
      <c r="AC293" s="226" t="n"/>
      <c r="AD293" s="226" t="n"/>
      <c r="AE293" s="226" t="n"/>
      <c r="AF293" s="226" t="n"/>
      <c r="AG293" s="226" t="n"/>
      <c r="AH293" s="226" t="n"/>
      <c r="AI293" s="226" t="n"/>
      <c r="AJ293" s="226" t="n"/>
      <c r="AK293" s="226" t="n"/>
      <c r="AL293" s="227" t="n"/>
    </row>
    <row r="294">
      <c r="B294" s="94" t="n"/>
      <c r="C294" s="105" t="n"/>
      <c r="D294" s="105" t="n"/>
      <c r="E294" s="105" t="n"/>
      <c r="F294" s="105" t="n"/>
      <c r="G294" s="105" t="n"/>
      <c r="H294" s="105" t="n"/>
      <c r="I294" s="106" t="n"/>
      <c r="J294" s="105" t="n"/>
      <c r="K294" s="95" t="n"/>
      <c r="L294" s="107" t="n"/>
      <c r="M294" s="107" t="n"/>
      <c r="N294" s="107" t="n"/>
      <c r="O294" s="107" t="n"/>
      <c r="P294" s="107" t="n"/>
      <c r="Q294" s="107" t="n"/>
      <c r="R294" s="107" t="n"/>
      <c r="S294" s="107" t="n"/>
      <c r="T294" s="107" t="n"/>
      <c r="U294" s="107" t="n"/>
      <c r="V294" s="107" t="n"/>
      <c r="W294" s="107" t="n"/>
      <c r="X294" s="107" t="n"/>
      <c r="Y294" s="107" t="n"/>
      <c r="Z294" s="107" t="n"/>
      <c r="AA294" s="226" t="n"/>
      <c r="AB294" s="226" t="n"/>
      <c r="AC294" s="226" t="n"/>
      <c r="AD294" s="226" t="n"/>
      <c r="AE294" s="226" t="n"/>
      <c r="AF294" s="226" t="n"/>
      <c r="AG294" s="226" t="n"/>
      <c r="AH294" s="226" t="n"/>
      <c r="AI294" s="226" t="n"/>
      <c r="AJ294" s="226" t="n"/>
      <c r="AK294" s="226" t="n"/>
      <c r="AL294" s="227" t="n"/>
    </row>
    <row r="295">
      <c r="B295" s="94" t="n"/>
      <c r="C295" s="105" t="n"/>
      <c r="D295" s="105" t="n"/>
      <c r="E295" s="105" t="n"/>
      <c r="F295" s="105" t="n"/>
      <c r="G295" s="105" t="n"/>
      <c r="H295" s="105" t="n"/>
      <c r="I295" s="106" t="n"/>
      <c r="J295" s="105" t="n"/>
      <c r="K295" s="95" t="n"/>
      <c r="L295" s="107" t="n"/>
      <c r="M295" s="107" t="n"/>
      <c r="N295" s="107" t="n"/>
      <c r="O295" s="107" t="n"/>
      <c r="P295" s="107" t="n"/>
      <c r="Q295" s="107" t="n"/>
      <c r="R295" s="107" t="n"/>
      <c r="S295" s="107" t="n"/>
      <c r="T295" s="107" t="n"/>
      <c r="U295" s="107" t="n"/>
      <c r="V295" s="107" t="n"/>
      <c r="W295" s="107" t="n"/>
      <c r="X295" s="107" t="n"/>
      <c r="Y295" s="107" t="n"/>
      <c r="Z295" s="107" t="n"/>
      <c r="AA295" s="226" t="n"/>
      <c r="AB295" s="226" t="n"/>
      <c r="AC295" s="226" t="n"/>
      <c r="AD295" s="226" t="n"/>
      <c r="AE295" s="226" t="n"/>
      <c r="AF295" s="226" t="n"/>
      <c r="AG295" s="226" t="n"/>
      <c r="AH295" s="226" t="n"/>
      <c r="AI295" s="226" t="n"/>
      <c r="AJ295" s="226" t="n"/>
      <c r="AK295" s="226" t="n"/>
      <c r="AL295" s="227" t="n"/>
    </row>
    <row r="296">
      <c r="B296" s="94" t="n"/>
      <c r="C296" s="105" t="n"/>
      <c r="D296" s="105" t="n"/>
      <c r="E296" s="105" t="n"/>
      <c r="F296" s="105" t="n"/>
      <c r="G296" s="105" t="n"/>
      <c r="H296" s="105" t="n"/>
      <c r="I296" s="106" t="n"/>
      <c r="J296" s="105" t="n"/>
      <c r="K296" s="95" t="n"/>
      <c r="L296" s="107" t="n"/>
      <c r="M296" s="107" t="n"/>
      <c r="N296" s="107" t="n"/>
      <c r="O296" s="107" t="n"/>
      <c r="P296" s="107" t="n"/>
      <c r="Q296" s="107" t="n"/>
      <c r="R296" s="107" t="n"/>
      <c r="S296" s="107" t="n"/>
      <c r="T296" s="107" t="n"/>
      <c r="U296" s="107" t="n"/>
      <c r="V296" s="107" t="n"/>
      <c r="W296" s="107" t="n"/>
      <c r="X296" s="107" t="n"/>
      <c r="Y296" s="107" t="n"/>
      <c r="Z296" s="107" t="n"/>
      <c r="AA296" s="226" t="n"/>
      <c r="AB296" s="226" t="n"/>
      <c r="AC296" s="226" t="n"/>
      <c r="AD296" s="226" t="n"/>
      <c r="AE296" s="226" t="n"/>
      <c r="AF296" s="226" t="n"/>
      <c r="AG296" s="226" t="n"/>
      <c r="AH296" s="226" t="n"/>
      <c r="AI296" s="226" t="n"/>
      <c r="AJ296" s="226" t="n"/>
      <c r="AK296" s="226" t="n"/>
      <c r="AL296" s="227" t="n"/>
    </row>
    <row r="297">
      <c r="B297" s="94" t="n"/>
      <c r="C297" s="105" t="n"/>
      <c r="D297" s="105" t="n"/>
      <c r="E297" s="105" t="n"/>
      <c r="F297" s="105" t="n"/>
      <c r="G297" s="105" t="n"/>
      <c r="H297" s="105" t="n"/>
      <c r="I297" s="106" t="n"/>
      <c r="J297" s="105" t="n"/>
      <c r="K297" s="95" t="n"/>
      <c r="L297" s="107" t="n"/>
      <c r="M297" s="107" t="n"/>
      <c r="N297" s="107" t="n"/>
      <c r="O297" s="107" t="n"/>
      <c r="P297" s="107" t="n"/>
      <c r="Q297" s="107" t="n"/>
      <c r="R297" s="107" t="n"/>
      <c r="S297" s="107" t="n"/>
      <c r="T297" s="107" t="n"/>
      <c r="U297" s="107" t="n"/>
      <c r="V297" s="107" t="n"/>
      <c r="W297" s="107" t="n"/>
      <c r="X297" s="107" t="n"/>
      <c r="Y297" s="107" t="n"/>
      <c r="Z297" s="107" t="n"/>
      <c r="AA297" s="226" t="n"/>
      <c r="AB297" s="226" t="n"/>
      <c r="AC297" s="226" t="n"/>
      <c r="AD297" s="226" t="n"/>
      <c r="AE297" s="226" t="n"/>
      <c r="AF297" s="226" t="n"/>
      <c r="AG297" s="226" t="n"/>
      <c r="AH297" s="226" t="n"/>
      <c r="AI297" s="226" t="n"/>
      <c r="AJ297" s="226" t="n"/>
      <c r="AK297" s="226" t="n"/>
      <c r="AL297" s="227" t="n"/>
    </row>
    <row r="298">
      <c r="B298" s="94" t="n"/>
      <c r="C298" s="105" t="n"/>
      <c r="D298" s="105" t="n"/>
      <c r="E298" s="105" t="n"/>
      <c r="F298" s="105" t="n"/>
      <c r="G298" s="105" t="n"/>
      <c r="H298" s="105" t="n"/>
      <c r="I298" s="106" t="n"/>
      <c r="J298" s="105" t="n"/>
      <c r="K298" s="95" t="n"/>
      <c r="L298" s="107" t="n"/>
      <c r="M298" s="107" t="n"/>
      <c r="N298" s="107" t="n"/>
      <c r="O298" s="107" t="n"/>
      <c r="P298" s="107" t="n"/>
      <c r="Q298" s="107" t="n"/>
      <c r="R298" s="107" t="n"/>
      <c r="S298" s="107" t="n"/>
      <c r="T298" s="107" t="n"/>
      <c r="U298" s="107" t="n"/>
      <c r="V298" s="107" t="n"/>
      <c r="W298" s="107" t="n"/>
      <c r="X298" s="107" t="n"/>
      <c r="Y298" s="107" t="n"/>
      <c r="Z298" s="107" t="n"/>
      <c r="AA298" s="226" t="n"/>
      <c r="AB298" s="226" t="n"/>
      <c r="AC298" s="226" t="n"/>
      <c r="AD298" s="226" t="n"/>
      <c r="AE298" s="226" t="n"/>
      <c r="AF298" s="226" t="n"/>
      <c r="AG298" s="226" t="n"/>
      <c r="AH298" s="226" t="n"/>
      <c r="AI298" s="226" t="n"/>
      <c r="AJ298" s="226" t="n"/>
      <c r="AK298" s="226" t="n"/>
      <c r="AL298" s="227" t="n"/>
    </row>
    <row r="299">
      <c r="B299" s="94" t="n"/>
      <c r="C299" s="105" t="n"/>
      <c r="D299" s="105" t="n"/>
      <c r="E299" s="105" t="n"/>
      <c r="F299" s="105" t="n"/>
      <c r="G299" s="105" t="n"/>
      <c r="H299" s="105" t="n"/>
      <c r="I299" s="106" t="n"/>
      <c r="J299" s="105" t="n"/>
      <c r="K299" s="95" t="n"/>
      <c r="L299" s="107" t="n"/>
      <c r="M299" s="107" t="n"/>
      <c r="N299" s="107" t="n"/>
      <c r="O299" s="107" t="n"/>
      <c r="P299" s="107" t="n"/>
      <c r="Q299" s="107" t="n"/>
      <c r="R299" s="107" t="n"/>
      <c r="S299" s="107" t="n"/>
      <c r="T299" s="107" t="n"/>
      <c r="U299" s="107" t="n"/>
      <c r="V299" s="107" t="n"/>
      <c r="W299" s="107" t="n"/>
      <c r="X299" s="107" t="n"/>
      <c r="Y299" s="107" t="n"/>
      <c r="Z299" s="107" t="n"/>
      <c r="AA299" s="226" t="n"/>
      <c r="AB299" s="226" t="n"/>
      <c r="AC299" s="226" t="n"/>
      <c r="AD299" s="226" t="n"/>
      <c r="AE299" s="226" t="n"/>
      <c r="AF299" s="226" t="n"/>
      <c r="AG299" s="226" t="n"/>
      <c r="AH299" s="226" t="n"/>
      <c r="AI299" s="226" t="n"/>
      <c r="AJ299" s="226" t="n"/>
      <c r="AK299" s="226" t="n"/>
      <c r="AL299" s="227" t="n"/>
    </row>
    <row r="300">
      <c r="B300" s="94" t="n"/>
      <c r="C300" s="105" t="n"/>
      <c r="D300" s="105" t="n"/>
      <c r="E300" s="105" t="n"/>
      <c r="F300" s="105" t="n"/>
      <c r="G300" s="105" t="n"/>
      <c r="H300" s="105" t="n"/>
      <c r="I300" s="106" t="n"/>
      <c r="J300" s="105" t="n"/>
      <c r="K300" s="95" t="n"/>
      <c r="L300" s="107" t="n"/>
      <c r="M300" s="107" t="n"/>
      <c r="N300" s="107" t="n"/>
      <c r="O300" s="107" t="n"/>
      <c r="P300" s="107" t="n"/>
      <c r="Q300" s="107" t="n"/>
      <c r="R300" s="107" t="n"/>
      <c r="S300" s="107" t="n"/>
      <c r="T300" s="107" t="n"/>
      <c r="U300" s="107" t="n"/>
      <c r="V300" s="107" t="n"/>
      <c r="W300" s="107" t="n"/>
      <c r="X300" s="107" t="n"/>
      <c r="Y300" s="107" t="n"/>
      <c r="Z300" s="107" t="n"/>
      <c r="AA300" s="226" t="n"/>
      <c r="AB300" s="226" t="n"/>
      <c r="AC300" s="226" t="n"/>
      <c r="AD300" s="226" t="n"/>
      <c r="AE300" s="226" t="n"/>
      <c r="AF300" s="226" t="n"/>
      <c r="AG300" s="226" t="n"/>
      <c r="AH300" s="226" t="n"/>
      <c r="AI300" s="226" t="n"/>
      <c r="AJ300" s="226" t="n"/>
      <c r="AK300" s="226" t="n"/>
      <c r="AL300" s="227" t="n"/>
    </row>
    <row r="301">
      <c r="B301" s="94" t="n"/>
      <c r="C301" s="105" t="n"/>
      <c r="D301" s="105" t="n"/>
      <c r="E301" s="105" t="n"/>
      <c r="F301" s="105" t="n"/>
      <c r="G301" s="105" t="n"/>
      <c r="H301" s="105" t="n"/>
      <c r="I301" s="106" t="n"/>
      <c r="J301" s="105" t="n"/>
      <c r="K301" s="95" t="n"/>
      <c r="L301" s="107" t="n"/>
      <c r="M301" s="107" t="n"/>
      <c r="N301" s="107" t="n"/>
      <c r="O301" s="107" t="n"/>
      <c r="P301" s="107" t="n"/>
      <c r="Q301" s="107" t="n"/>
      <c r="R301" s="107" t="n"/>
      <c r="S301" s="107" t="n"/>
      <c r="T301" s="107" t="n"/>
      <c r="U301" s="107" t="n"/>
      <c r="V301" s="107" t="n"/>
      <c r="W301" s="107" t="n"/>
      <c r="X301" s="107" t="n"/>
      <c r="Y301" s="107" t="n"/>
      <c r="Z301" s="107" t="n"/>
      <c r="AA301" s="226" t="n"/>
      <c r="AB301" s="226" t="n"/>
      <c r="AC301" s="226" t="n"/>
      <c r="AD301" s="226" t="n"/>
      <c r="AE301" s="226" t="n"/>
      <c r="AF301" s="226" t="n"/>
      <c r="AG301" s="226" t="n"/>
      <c r="AH301" s="226" t="n"/>
      <c r="AI301" s="226" t="n"/>
      <c r="AJ301" s="226" t="n"/>
      <c r="AK301" s="226" t="n"/>
      <c r="AL301" s="227" t="n"/>
    </row>
    <row r="302">
      <c r="B302" s="94" t="n"/>
      <c r="C302" s="105" t="n"/>
      <c r="D302" s="105" t="n"/>
      <c r="E302" s="105" t="n"/>
      <c r="F302" s="105" t="n"/>
      <c r="G302" s="105" t="n"/>
      <c r="H302" s="105" t="n"/>
      <c r="I302" s="106" t="n"/>
      <c r="J302" s="105" t="n"/>
      <c r="K302" s="95" t="n"/>
      <c r="L302" s="107" t="n"/>
      <c r="M302" s="107" t="n"/>
      <c r="N302" s="107" t="n"/>
      <c r="O302" s="107" t="n"/>
      <c r="P302" s="107" t="n"/>
      <c r="Q302" s="107" t="n"/>
      <c r="R302" s="107" t="n"/>
      <c r="S302" s="107" t="n"/>
      <c r="T302" s="107" t="n"/>
      <c r="U302" s="107" t="n"/>
      <c r="V302" s="107" t="n"/>
      <c r="W302" s="107" t="n"/>
      <c r="X302" s="107" t="n"/>
      <c r="Y302" s="107" t="n"/>
      <c r="Z302" s="107" t="n"/>
      <c r="AA302" s="226" t="n"/>
      <c r="AB302" s="226" t="n"/>
      <c r="AC302" s="226" t="n"/>
      <c r="AD302" s="226" t="n"/>
      <c r="AE302" s="226" t="n"/>
      <c r="AF302" s="226" t="n"/>
      <c r="AG302" s="226" t="n"/>
      <c r="AH302" s="226" t="n"/>
      <c r="AI302" s="226" t="n"/>
      <c r="AJ302" s="226" t="n"/>
      <c r="AK302" s="226" t="n"/>
      <c r="AL302" s="227" t="n"/>
    </row>
    <row r="303">
      <c r="B303" s="94" t="n"/>
      <c r="C303" s="105" t="n"/>
      <c r="D303" s="105" t="n"/>
      <c r="E303" s="105" t="n"/>
      <c r="F303" s="105" t="n"/>
      <c r="G303" s="105" t="n"/>
      <c r="H303" s="105" t="n"/>
      <c r="I303" s="106" t="n"/>
      <c r="J303" s="105" t="n"/>
      <c r="K303" s="95" t="n"/>
      <c r="L303" s="107" t="n"/>
      <c r="M303" s="107" t="n"/>
      <c r="N303" s="107" t="n"/>
      <c r="O303" s="107" t="n"/>
      <c r="P303" s="107" t="n"/>
      <c r="Q303" s="107" t="n"/>
      <c r="R303" s="107" t="n"/>
      <c r="S303" s="107" t="n"/>
      <c r="T303" s="107" t="n"/>
      <c r="U303" s="107" t="n"/>
      <c r="V303" s="107" t="n"/>
      <c r="W303" s="107" t="n"/>
      <c r="X303" s="107" t="n"/>
      <c r="Y303" s="107" t="n"/>
      <c r="Z303" s="107" t="n"/>
      <c r="AA303" s="226" t="n"/>
      <c r="AB303" s="226" t="n"/>
      <c r="AC303" s="226" t="n"/>
      <c r="AD303" s="226" t="n"/>
      <c r="AE303" s="226" t="n"/>
      <c r="AF303" s="226" t="n"/>
      <c r="AG303" s="226" t="n"/>
      <c r="AH303" s="226" t="n"/>
      <c r="AI303" s="226" t="n"/>
      <c r="AJ303" s="226" t="n"/>
      <c r="AK303" s="226" t="n"/>
      <c r="AL303" s="227" t="n"/>
    </row>
    <row r="304">
      <c r="B304" s="94" t="n"/>
      <c r="C304" s="105" t="n"/>
      <c r="D304" s="105" t="n"/>
      <c r="E304" s="105" t="n"/>
      <c r="F304" s="105" t="n"/>
      <c r="G304" s="105" t="n"/>
      <c r="H304" s="105" t="n"/>
      <c r="I304" s="106" t="n"/>
      <c r="J304" s="105" t="n"/>
      <c r="K304" s="95" t="n"/>
      <c r="L304" s="107" t="n"/>
      <c r="M304" s="107" t="n"/>
      <c r="N304" s="107" t="n"/>
      <c r="O304" s="107" t="n"/>
      <c r="P304" s="107" t="n"/>
      <c r="Q304" s="107" t="n"/>
      <c r="R304" s="107" t="n"/>
      <c r="S304" s="107" t="n"/>
      <c r="T304" s="107" t="n"/>
      <c r="U304" s="107" t="n"/>
      <c r="V304" s="107" t="n"/>
      <c r="W304" s="107" t="n"/>
      <c r="X304" s="107" t="n"/>
      <c r="Y304" s="107" t="n"/>
      <c r="Z304" s="107" t="n"/>
      <c r="AA304" s="226" t="n"/>
      <c r="AB304" s="226" t="n"/>
      <c r="AC304" s="226" t="n"/>
      <c r="AD304" s="226" t="n"/>
      <c r="AE304" s="226" t="n"/>
      <c r="AF304" s="226" t="n"/>
      <c r="AG304" s="226" t="n"/>
      <c r="AH304" s="226" t="n"/>
      <c r="AI304" s="226" t="n"/>
      <c r="AJ304" s="226" t="n"/>
      <c r="AK304" s="226" t="n"/>
      <c r="AL304" s="227" t="n"/>
    </row>
    <row r="305">
      <c r="B305" s="94" t="n"/>
      <c r="C305" s="105" t="n"/>
      <c r="D305" s="105" t="n"/>
      <c r="E305" s="105" t="n"/>
      <c r="F305" s="105" t="n"/>
      <c r="G305" s="105" t="n"/>
      <c r="H305" s="105" t="n"/>
      <c r="I305" s="106" t="n"/>
      <c r="J305" s="105" t="n"/>
      <c r="K305" s="95" t="n"/>
      <c r="L305" s="107" t="n"/>
      <c r="M305" s="107" t="n"/>
      <c r="N305" s="107" t="n"/>
      <c r="O305" s="107" t="n"/>
      <c r="P305" s="107" t="n"/>
      <c r="Q305" s="107" t="n"/>
      <c r="R305" s="107" t="n"/>
      <c r="S305" s="107" t="n"/>
      <c r="T305" s="107" t="n"/>
      <c r="U305" s="107" t="n"/>
      <c r="V305" s="107" t="n"/>
      <c r="W305" s="107" t="n"/>
      <c r="X305" s="107" t="n"/>
      <c r="Y305" s="107" t="n"/>
      <c r="Z305" s="107" t="n"/>
      <c r="AA305" s="226" t="n"/>
      <c r="AB305" s="226" t="n"/>
      <c r="AC305" s="226" t="n"/>
      <c r="AD305" s="226" t="n"/>
      <c r="AE305" s="226" t="n"/>
      <c r="AF305" s="226" t="n"/>
      <c r="AG305" s="226" t="n"/>
      <c r="AH305" s="226" t="n"/>
      <c r="AI305" s="226" t="n"/>
      <c r="AJ305" s="226" t="n"/>
      <c r="AK305" s="226" t="n"/>
      <c r="AL305" s="227" t="n"/>
    </row>
    <row r="306">
      <c r="B306" s="94" t="n"/>
      <c r="C306" s="105" t="n"/>
      <c r="D306" s="105" t="n"/>
      <c r="E306" s="105" t="n"/>
      <c r="F306" s="105" t="n"/>
      <c r="G306" s="105" t="n"/>
      <c r="H306" s="105" t="n"/>
      <c r="I306" s="106" t="n"/>
      <c r="J306" s="105" t="n"/>
      <c r="K306" s="95" t="n"/>
      <c r="L306" s="107" t="n"/>
      <c r="M306" s="107" t="n"/>
      <c r="N306" s="107" t="n"/>
      <c r="O306" s="107" t="n"/>
      <c r="P306" s="107" t="n"/>
      <c r="Q306" s="107" t="n"/>
      <c r="R306" s="107" t="n"/>
      <c r="S306" s="107" t="n"/>
      <c r="T306" s="107" t="n"/>
      <c r="U306" s="107" t="n"/>
      <c r="V306" s="107" t="n"/>
      <c r="W306" s="107" t="n"/>
      <c r="X306" s="107" t="n"/>
      <c r="Y306" s="107" t="n"/>
      <c r="Z306" s="107" t="n"/>
      <c r="AA306" s="226" t="n"/>
      <c r="AB306" s="226" t="n"/>
      <c r="AC306" s="226" t="n"/>
      <c r="AD306" s="226" t="n"/>
      <c r="AE306" s="226" t="n"/>
      <c r="AF306" s="226" t="n"/>
      <c r="AG306" s="226" t="n"/>
      <c r="AH306" s="226" t="n"/>
      <c r="AI306" s="226" t="n"/>
      <c r="AJ306" s="226" t="n"/>
      <c r="AK306" s="226" t="n"/>
      <c r="AL306" s="227" t="n"/>
    </row>
    <row r="307">
      <c r="B307" s="94" t="n"/>
      <c r="C307" s="105" t="n"/>
      <c r="D307" s="105" t="n"/>
      <c r="E307" s="105" t="n"/>
      <c r="F307" s="105" t="n"/>
      <c r="G307" s="105" t="n"/>
      <c r="H307" s="105" t="n"/>
      <c r="I307" s="106" t="n"/>
      <c r="J307" s="105" t="n"/>
      <c r="K307" s="95" t="n"/>
      <c r="L307" s="107" t="n"/>
      <c r="M307" s="107" t="n"/>
      <c r="N307" s="107" t="n"/>
      <c r="O307" s="107" t="n"/>
      <c r="P307" s="107" t="n"/>
      <c r="Q307" s="107" t="n"/>
      <c r="R307" s="107" t="n"/>
      <c r="S307" s="107" t="n"/>
      <c r="T307" s="107" t="n"/>
      <c r="U307" s="107" t="n"/>
      <c r="V307" s="107" t="n"/>
      <c r="W307" s="107" t="n"/>
      <c r="X307" s="107" t="n"/>
      <c r="Y307" s="107" t="n"/>
      <c r="Z307" s="107" t="n"/>
      <c r="AA307" s="226" t="n"/>
      <c r="AB307" s="226" t="n"/>
      <c r="AC307" s="226" t="n"/>
      <c r="AD307" s="226" t="n"/>
      <c r="AE307" s="226" t="n"/>
      <c r="AF307" s="226" t="n"/>
      <c r="AG307" s="226" t="n"/>
      <c r="AH307" s="226" t="n"/>
      <c r="AI307" s="226" t="n"/>
      <c r="AJ307" s="226" t="n"/>
      <c r="AK307" s="226" t="n"/>
      <c r="AL307" s="227" t="n"/>
    </row>
    <row r="308">
      <c r="B308" s="94" t="n"/>
      <c r="C308" s="105" t="n"/>
      <c r="D308" s="105" t="n"/>
      <c r="E308" s="105" t="n"/>
      <c r="F308" s="105" t="n"/>
      <c r="G308" s="105" t="n"/>
      <c r="H308" s="105" t="n"/>
      <c r="I308" s="106" t="n"/>
      <c r="J308" s="105" t="n"/>
      <c r="K308" s="95" t="n"/>
      <c r="L308" s="107" t="n"/>
      <c r="M308" s="107" t="n"/>
      <c r="N308" s="107" t="n"/>
      <c r="O308" s="107" t="n"/>
      <c r="P308" s="107" t="n"/>
      <c r="Q308" s="107" t="n"/>
      <c r="R308" s="107" t="n"/>
      <c r="S308" s="107" t="n"/>
      <c r="T308" s="107" t="n"/>
      <c r="U308" s="107" t="n"/>
      <c r="V308" s="107" t="n"/>
      <c r="W308" s="107" t="n"/>
      <c r="X308" s="107" t="n"/>
      <c r="Y308" s="107" t="n"/>
      <c r="Z308" s="107" t="n"/>
      <c r="AA308" s="226" t="n"/>
      <c r="AB308" s="226" t="n"/>
      <c r="AC308" s="226" t="n"/>
      <c r="AD308" s="226" t="n"/>
      <c r="AE308" s="226" t="n"/>
      <c r="AF308" s="226" t="n"/>
      <c r="AG308" s="226" t="n"/>
      <c r="AH308" s="226" t="n"/>
      <c r="AI308" s="226" t="n"/>
      <c r="AJ308" s="226" t="n"/>
      <c r="AK308" s="226" t="n"/>
      <c r="AL308" s="227" t="n"/>
    </row>
    <row r="309">
      <c r="B309" s="94" t="n"/>
      <c r="C309" s="105" t="n"/>
      <c r="D309" s="105" t="n"/>
      <c r="E309" s="105" t="n"/>
      <c r="F309" s="105" t="n"/>
      <c r="G309" s="105" t="n"/>
      <c r="H309" s="105" t="n"/>
      <c r="I309" s="106" t="n"/>
      <c r="J309" s="105" t="n"/>
      <c r="K309" s="95" t="n"/>
      <c r="L309" s="107" t="n"/>
      <c r="M309" s="107" t="n"/>
      <c r="N309" s="107" t="n"/>
      <c r="O309" s="107" t="n"/>
      <c r="P309" s="107" t="n"/>
      <c r="Q309" s="107" t="n"/>
      <c r="R309" s="107" t="n"/>
      <c r="S309" s="107" t="n"/>
      <c r="T309" s="107" t="n"/>
      <c r="U309" s="107" t="n"/>
      <c r="V309" s="107" t="n"/>
      <c r="W309" s="107" t="n"/>
      <c r="X309" s="107" t="n"/>
      <c r="Y309" s="107" t="n"/>
      <c r="Z309" s="107" t="n"/>
      <c r="AA309" s="226" t="n"/>
      <c r="AB309" s="226" t="n"/>
      <c r="AC309" s="226" t="n"/>
      <c r="AD309" s="226" t="n"/>
      <c r="AE309" s="226" t="n"/>
      <c r="AF309" s="226" t="n"/>
      <c r="AG309" s="226" t="n"/>
      <c r="AH309" s="226" t="n"/>
      <c r="AI309" s="226" t="n"/>
      <c r="AJ309" s="226" t="n"/>
      <c r="AK309" s="226" t="n"/>
      <c r="AL309" s="227" t="n"/>
    </row>
    <row r="310">
      <c r="B310" s="94" t="n"/>
      <c r="C310" s="105" t="n"/>
      <c r="D310" s="105" t="n"/>
      <c r="E310" s="105" t="n"/>
      <c r="F310" s="105" t="n"/>
      <c r="G310" s="105" t="n"/>
      <c r="H310" s="105" t="n"/>
      <c r="I310" s="106" t="n"/>
      <c r="J310" s="105" t="n"/>
      <c r="K310" s="95" t="n"/>
      <c r="L310" s="107" t="n"/>
      <c r="M310" s="107" t="n"/>
      <c r="N310" s="107" t="n"/>
      <c r="O310" s="107" t="n"/>
      <c r="P310" s="107" t="n"/>
      <c r="Q310" s="107" t="n"/>
      <c r="R310" s="107" t="n"/>
      <c r="S310" s="107" t="n"/>
      <c r="T310" s="107" t="n"/>
      <c r="U310" s="107" t="n"/>
      <c r="V310" s="107" t="n"/>
      <c r="W310" s="107" t="n"/>
      <c r="X310" s="107" t="n"/>
      <c r="Y310" s="107" t="n"/>
      <c r="Z310" s="107" t="n"/>
      <c r="AA310" s="226" t="n"/>
      <c r="AB310" s="226" t="n"/>
      <c r="AC310" s="226" t="n"/>
      <c r="AD310" s="226" t="n"/>
      <c r="AE310" s="226" t="n"/>
      <c r="AF310" s="226" t="n"/>
      <c r="AG310" s="226" t="n"/>
      <c r="AH310" s="226" t="n"/>
      <c r="AI310" s="226" t="n"/>
      <c r="AJ310" s="226" t="n"/>
      <c r="AK310" s="226" t="n"/>
      <c r="AL310" s="227" t="n"/>
    </row>
    <row r="311">
      <c r="B311" s="94" t="n"/>
      <c r="C311" s="105" t="n"/>
      <c r="D311" s="105" t="n"/>
      <c r="E311" s="105" t="n"/>
      <c r="F311" s="105" t="n"/>
      <c r="G311" s="105" t="n"/>
      <c r="H311" s="105" t="n"/>
      <c r="I311" s="106" t="n"/>
      <c r="J311" s="105" t="n"/>
      <c r="K311" s="95" t="n"/>
      <c r="L311" s="107" t="n"/>
      <c r="M311" s="107" t="n"/>
      <c r="N311" s="107" t="n"/>
      <c r="O311" s="107" t="n"/>
      <c r="P311" s="107" t="n"/>
      <c r="Q311" s="107" t="n"/>
      <c r="R311" s="107" t="n"/>
      <c r="S311" s="107" t="n"/>
      <c r="T311" s="107" t="n"/>
      <c r="U311" s="107" t="n"/>
      <c r="V311" s="107" t="n"/>
      <c r="W311" s="107" t="n"/>
      <c r="X311" s="107" t="n"/>
      <c r="Y311" s="107" t="n"/>
      <c r="Z311" s="107" t="n"/>
      <c r="AA311" s="226" t="n"/>
      <c r="AB311" s="226" t="n"/>
      <c r="AC311" s="226" t="n"/>
      <c r="AD311" s="226" t="n"/>
      <c r="AE311" s="226" t="n"/>
      <c r="AF311" s="226" t="n"/>
      <c r="AG311" s="226" t="n"/>
      <c r="AH311" s="226" t="n"/>
      <c r="AI311" s="226" t="n"/>
      <c r="AJ311" s="226" t="n"/>
      <c r="AK311" s="226" t="n"/>
      <c r="AL311" s="227" t="n"/>
    </row>
    <row r="312">
      <c r="B312" s="94" t="n"/>
      <c r="C312" s="105" t="n"/>
      <c r="D312" s="105" t="n"/>
      <c r="E312" s="105" t="n"/>
      <c r="F312" s="105" t="n"/>
      <c r="G312" s="105" t="n"/>
      <c r="H312" s="105" t="n"/>
      <c r="I312" s="106" t="n"/>
      <c r="J312" s="105" t="n"/>
      <c r="K312" s="95" t="n"/>
      <c r="L312" s="107" t="n"/>
      <c r="M312" s="107" t="n"/>
      <c r="N312" s="107" t="n"/>
      <c r="O312" s="107" t="n"/>
      <c r="P312" s="107" t="n"/>
      <c r="Q312" s="107" t="n"/>
      <c r="R312" s="107" t="n"/>
      <c r="S312" s="107" t="n"/>
      <c r="T312" s="107" t="n"/>
      <c r="U312" s="107" t="n"/>
      <c r="V312" s="107" t="n"/>
      <c r="W312" s="107" t="n"/>
      <c r="X312" s="107" t="n"/>
      <c r="Y312" s="107" t="n"/>
      <c r="Z312" s="107" t="n"/>
      <c r="AA312" s="226" t="n"/>
      <c r="AB312" s="226" t="n"/>
      <c r="AC312" s="226" t="n"/>
      <c r="AD312" s="226" t="n"/>
      <c r="AE312" s="226" t="n"/>
      <c r="AF312" s="226" t="n"/>
      <c r="AG312" s="226" t="n"/>
      <c r="AH312" s="226" t="n"/>
      <c r="AI312" s="226" t="n"/>
      <c r="AJ312" s="226" t="n"/>
      <c r="AK312" s="226" t="n"/>
      <c r="AL312" s="227" t="n"/>
    </row>
    <row r="313">
      <c r="B313" s="94" t="n"/>
      <c r="C313" s="105" t="n"/>
      <c r="D313" s="105" t="n"/>
      <c r="E313" s="105" t="n"/>
      <c r="F313" s="105" t="n"/>
      <c r="G313" s="105" t="n"/>
      <c r="H313" s="105" t="n"/>
      <c r="I313" s="106" t="n"/>
      <c r="J313" s="105" t="n"/>
      <c r="K313" s="95" t="n"/>
      <c r="L313" s="107" t="n"/>
      <c r="M313" s="107" t="n"/>
      <c r="N313" s="107" t="n"/>
      <c r="O313" s="107" t="n"/>
      <c r="P313" s="107" t="n"/>
      <c r="Q313" s="107" t="n"/>
      <c r="R313" s="107" t="n"/>
      <c r="S313" s="107" t="n"/>
      <c r="T313" s="107" t="n"/>
      <c r="U313" s="107" t="n"/>
      <c r="V313" s="107" t="n"/>
      <c r="W313" s="107" t="n"/>
      <c r="X313" s="107" t="n"/>
      <c r="Y313" s="107" t="n"/>
      <c r="Z313" s="107" t="n"/>
      <c r="AA313" s="226" t="n"/>
      <c r="AB313" s="226" t="n"/>
      <c r="AC313" s="226" t="n"/>
      <c r="AD313" s="226" t="n"/>
      <c r="AE313" s="226" t="n"/>
      <c r="AF313" s="226" t="n"/>
      <c r="AG313" s="226" t="n"/>
      <c r="AH313" s="226" t="n"/>
      <c r="AI313" s="226" t="n"/>
      <c r="AJ313" s="226" t="n"/>
      <c r="AK313" s="226" t="n"/>
      <c r="AL313" s="227" t="n"/>
    </row>
    <row r="314">
      <c r="B314" s="94" t="n"/>
      <c r="C314" s="105" t="n"/>
      <c r="D314" s="105" t="n"/>
      <c r="E314" s="105" t="n"/>
      <c r="F314" s="105" t="n"/>
      <c r="G314" s="105" t="n"/>
      <c r="H314" s="105" t="n"/>
      <c r="I314" s="106" t="n"/>
      <c r="J314" s="105" t="n"/>
      <c r="K314" s="95" t="n"/>
      <c r="L314" s="107" t="n"/>
      <c r="M314" s="107" t="n"/>
      <c r="N314" s="107" t="n"/>
      <c r="O314" s="107" t="n"/>
      <c r="P314" s="107" t="n"/>
      <c r="Q314" s="107" t="n"/>
      <c r="R314" s="107" t="n"/>
      <c r="S314" s="107" t="n"/>
      <c r="T314" s="107" t="n"/>
      <c r="U314" s="107" t="n"/>
      <c r="V314" s="107" t="n"/>
      <c r="W314" s="107" t="n"/>
      <c r="X314" s="107" t="n"/>
      <c r="Y314" s="107" t="n"/>
      <c r="Z314" s="107" t="n"/>
      <c r="AA314" s="226" t="n"/>
      <c r="AB314" s="226" t="n"/>
      <c r="AC314" s="226" t="n"/>
      <c r="AD314" s="226" t="n"/>
      <c r="AE314" s="226" t="n"/>
      <c r="AF314" s="226" t="n"/>
      <c r="AG314" s="226" t="n"/>
      <c r="AH314" s="226" t="n"/>
      <c r="AI314" s="226" t="n"/>
      <c r="AJ314" s="226" t="n"/>
      <c r="AK314" s="226" t="n"/>
      <c r="AL314" s="227" t="n"/>
    </row>
    <row r="315">
      <c r="B315" s="94" t="n"/>
      <c r="C315" s="105" t="n"/>
      <c r="D315" s="105" t="n"/>
      <c r="E315" s="105" t="n"/>
      <c r="F315" s="105" t="n"/>
      <c r="G315" s="105" t="n"/>
      <c r="H315" s="105" t="n"/>
      <c r="I315" s="106" t="n"/>
      <c r="J315" s="105" t="n"/>
      <c r="K315" s="95" t="n"/>
      <c r="L315" s="107" t="n"/>
      <c r="M315" s="107" t="n"/>
      <c r="N315" s="107" t="n"/>
      <c r="O315" s="107" t="n"/>
      <c r="P315" s="107" t="n"/>
      <c r="Q315" s="107" t="n"/>
      <c r="R315" s="107" t="n"/>
      <c r="S315" s="107" t="n"/>
      <c r="T315" s="107" t="n"/>
      <c r="U315" s="107" t="n"/>
      <c r="V315" s="107" t="n"/>
      <c r="W315" s="107" t="n"/>
      <c r="X315" s="107" t="n"/>
      <c r="Y315" s="107" t="n"/>
      <c r="Z315" s="107" t="n"/>
      <c r="AA315" s="226" t="n"/>
      <c r="AB315" s="226" t="n"/>
      <c r="AC315" s="226" t="n"/>
      <c r="AD315" s="226" t="n"/>
      <c r="AE315" s="226" t="n"/>
      <c r="AF315" s="226" t="n"/>
      <c r="AG315" s="226" t="n"/>
      <c r="AH315" s="226" t="n"/>
      <c r="AI315" s="226" t="n"/>
      <c r="AJ315" s="226" t="n"/>
      <c r="AK315" s="226" t="n"/>
      <c r="AL315" s="227" t="n"/>
    </row>
    <row r="316">
      <c r="B316" s="94" t="n"/>
      <c r="C316" s="105" t="n"/>
      <c r="D316" s="105" t="n"/>
      <c r="E316" s="105" t="n"/>
      <c r="F316" s="105" t="n"/>
      <c r="G316" s="105" t="n"/>
      <c r="H316" s="105" t="n"/>
      <c r="I316" s="106" t="n"/>
      <c r="J316" s="105" t="n"/>
      <c r="K316" s="95" t="n"/>
      <c r="L316" s="107" t="n"/>
      <c r="M316" s="107" t="n"/>
      <c r="N316" s="107" t="n"/>
      <c r="O316" s="107" t="n"/>
      <c r="P316" s="107" t="n"/>
      <c r="Q316" s="107" t="n"/>
      <c r="R316" s="107" t="n"/>
      <c r="S316" s="107" t="n"/>
      <c r="T316" s="107" t="n"/>
      <c r="U316" s="107" t="n"/>
      <c r="V316" s="107" t="n"/>
      <c r="W316" s="107" t="n"/>
      <c r="X316" s="107" t="n"/>
      <c r="Y316" s="107" t="n"/>
      <c r="Z316" s="107" t="n"/>
      <c r="AA316" s="226" t="n"/>
      <c r="AB316" s="226" t="n"/>
      <c r="AC316" s="226" t="n"/>
      <c r="AD316" s="226" t="n"/>
      <c r="AE316" s="226" t="n"/>
      <c r="AF316" s="226" t="n"/>
      <c r="AG316" s="226" t="n"/>
      <c r="AH316" s="226" t="n"/>
      <c r="AI316" s="226" t="n"/>
      <c r="AJ316" s="226" t="n"/>
      <c r="AK316" s="226" t="n"/>
      <c r="AL316" s="227" t="n"/>
    </row>
    <row r="317">
      <c r="B317" s="94" t="n"/>
      <c r="C317" s="105" t="n"/>
      <c r="D317" s="105" t="n"/>
      <c r="E317" s="105" t="n"/>
      <c r="F317" s="105" t="n"/>
      <c r="G317" s="105" t="n"/>
      <c r="H317" s="105" t="n"/>
      <c r="I317" s="106" t="n"/>
      <c r="J317" s="105" t="n"/>
      <c r="K317" s="95" t="n"/>
      <c r="L317" s="107" t="n"/>
      <c r="M317" s="107" t="n"/>
      <c r="N317" s="107" t="n"/>
      <c r="O317" s="107" t="n"/>
      <c r="P317" s="107" t="n"/>
      <c r="Q317" s="107" t="n"/>
      <c r="R317" s="107" t="n"/>
      <c r="S317" s="107" t="n"/>
      <c r="T317" s="107" t="n"/>
      <c r="U317" s="107" t="n"/>
      <c r="V317" s="107" t="n"/>
      <c r="W317" s="107" t="n"/>
      <c r="X317" s="107" t="n"/>
      <c r="Y317" s="107" t="n"/>
      <c r="Z317" s="107" t="n"/>
      <c r="AA317" s="226" t="n"/>
      <c r="AB317" s="226" t="n"/>
      <c r="AC317" s="226" t="n"/>
      <c r="AD317" s="226" t="n"/>
      <c r="AE317" s="226" t="n"/>
      <c r="AF317" s="226" t="n"/>
      <c r="AG317" s="226" t="n"/>
      <c r="AH317" s="226" t="n"/>
      <c r="AI317" s="226" t="n"/>
      <c r="AJ317" s="226" t="n"/>
      <c r="AK317" s="226" t="n"/>
      <c r="AL317" s="227" t="n"/>
    </row>
    <row r="318">
      <c r="B318" s="94" t="n"/>
      <c r="C318" s="105" t="n"/>
      <c r="D318" s="105" t="n"/>
      <c r="E318" s="105" t="n"/>
      <c r="F318" s="105" t="n"/>
      <c r="G318" s="105" t="n"/>
      <c r="H318" s="105" t="n"/>
      <c r="I318" s="106" t="n"/>
      <c r="J318" s="105" t="n"/>
      <c r="K318" s="95" t="n"/>
      <c r="L318" s="107" t="n"/>
      <c r="M318" s="107" t="n"/>
      <c r="N318" s="107" t="n"/>
      <c r="O318" s="107" t="n"/>
      <c r="P318" s="107" t="n"/>
      <c r="Q318" s="107" t="n"/>
      <c r="R318" s="107" t="n"/>
      <c r="S318" s="107" t="n"/>
      <c r="T318" s="107" t="n"/>
      <c r="U318" s="107" t="n"/>
      <c r="V318" s="107" t="n"/>
      <c r="W318" s="107" t="n"/>
      <c r="X318" s="107" t="n"/>
      <c r="Y318" s="107" t="n"/>
      <c r="Z318" s="107" t="n"/>
      <c r="AA318" s="226" t="n"/>
      <c r="AB318" s="226" t="n"/>
      <c r="AC318" s="226" t="n"/>
      <c r="AD318" s="226" t="n"/>
      <c r="AE318" s="226" t="n"/>
      <c r="AF318" s="226" t="n"/>
      <c r="AG318" s="226" t="n"/>
      <c r="AH318" s="226" t="n"/>
      <c r="AI318" s="226" t="n"/>
      <c r="AJ318" s="226" t="n"/>
      <c r="AK318" s="226" t="n"/>
      <c r="AL318" s="227" t="n"/>
    </row>
    <row r="319">
      <c r="B319" s="94" t="n"/>
      <c r="C319" s="105" t="n"/>
      <c r="D319" s="105" t="n"/>
      <c r="E319" s="105" t="n"/>
      <c r="F319" s="105" t="n"/>
      <c r="G319" s="105" t="n"/>
      <c r="H319" s="105" t="n"/>
      <c r="I319" s="106" t="n"/>
      <c r="J319" s="105" t="n"/>
      <c r="K319" s="95" t="n"/>
      <c r="L319" s="107" t="n"/>
      <c r="M319" s="107" t="n"/>
      <c r="N319" s="107" t="n"/>
      <c r="O319" s="107" t="n"/>
      <c r="P319" s="107" t="n"/>
      <c r="Q319" s="107" t="n"/>
      <c r="R319" s="107" t="n"/>
      <c r="S319" s="107" t="n"/>
      <c r="T319" s="107" t="n"/>
      <c r="U319" s="107" t="n"/>
      <c r="V319" s="107" t="n"/>
      <c r="W319" s="107" t="n"/>
      <c r="X319" s="107" t="n"/>
      <c r="Y319" s="107" t="n"/>
      <c r="Z319" s="107" t="n"/>
      <c r="AA319" s="226" t="n"/>
      <c r="AB319" s="226" t="n"/>
      <c r="AC319" s="226" t="n"/>
      <c r="AD319" s="226" t="n"/>
      <c r="AE319" s="226" t="n"/>
      <c r="AF319" s="226" t="n"/>
      <c r="AG319" s="226" t="n"/>
      <c r="AH319" s="226" t="n"/>
      <c r="AI319" s="226" t="n"/>
      <c r="AJ319" s="226" t="n"/>
      <c r="AK319" s="226" t="n"/>
      <c r="AL319" s="227" t="n"/>
    </row>
    <row r="320">
      <c r="B320" s="94" t="n"/>
      <c r="C320" s="105" t="n"/>
      <c r="D320" s="105" t="n"/>
      <c r="E320" s="105" t="n"/>
      <c r="F320" s="105" t="n"/>
      <c r="G320" s="105" t="n"/>
      <c r="H320" s="105" t="n"/>
      <c r="I320" s="106" t="n"/>
      <c r="J320" s="105" t="n"/>
      <c r="K320" s="95" t="n"/>
      <c r="L320" s="107" t="n"/>
      <c r="M320" s="107" t="n"/>
      <c r="N320" s="107" t="n"/>
      <c r="O320" s="107" t="n"/>
      <c r="P320" s="107" t="n"/>
      <c r="Q320" s="107" t="n"/>
      <c r="R320" s="107" t="n"/>
      <c r="S320" s="107" t="n"/>
      <c r="T320" s="107" t="n"/>
      <c r="U320" s="107" t="n"/>
      <c r="V320" s="107" t="n"/>
      <c r="W320" s="107" t="n"/>
      <c r="X320" s="107" t="n"/>
      <c r="Y320" s="107" t="n"/>
      <c r="Z320" s="107" t="n"/>
      <c r="AA320" s="226" t="n"/>
      <c r="AB320" s="226" t="n"/>
      <c r="AC320" s="226" t="n"/>
      <c r="AD320" s="226" t="n"/>
      <c r="AE320" s="226" t="n"/>
      <c r="AF320" s="226" t="n"/>
      <c r="AG320" s="226" t="n"/>
      <c r="AH320" s="226" t="n"/>
      <c r="AI320" s="226" t="n"/>
      <c r="AJ320" s="226" t="n"/>
      <c r="AK320" s="226" t="n"/>
      <c r="AL320" s="227" t="n"/>
    </row>
    <row r="321">
      <c r="B321" s="94" t="n"/>
      <c r="C321" s="105" t="n"/>
      <c r="D321" s="105" t="n"/>
      <c r="E321" s="105" t="n"/>
      <c r="F321" s="105" t="n"/>
      <c r="G321" s="105" t="n"/>
      <c r="H321" s="105" t="n"/>
      <c r="I321" s="106" t="n"/>
      <c r="J321" s="105" t="n"/>
      <c r="K321" s="95" t="n"/>
      <c r="L321" s="107" t="n"/>
      <c r="M321" s="107" t="n"/>
      <c r="N321" s="107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226" t="n"/>
      <c r="AB321" s="226" t="n"/>
      <c r="AC321" s="226" t="n"/>
      <c r="AD321" s="226" t="n"/>
      <c r="AE321" s="226" t="n"/>
      <c r="AF321" s="226" t="n"/>
      <c r="AG321" s="226" t="n"/>
      <c r="AH321" s="226" t="n"/>
      <c r="AI321" s="226" t="n"/>
      <c r="AJ321" s="226" t="n"/>
      <c r="AK321" s="226" t="n"/>
      <c r="AL321" s="227" t="n"/>
    </row>
    <row r="322">
      <c r="B322" s="94" t="n"/>
      <c r="C322" s="105" t="n"/>
      <c r="D322" s="105" t="n"/>
      <c r="E322" s="105" t="n"/>
      <c r="F322" s="105" t="n"/>
      <c r="G322" s="105" t="n"/>
      <c r="H322" s="105" t="n"/>
      <c r="I322" s="106" t="n"/>
      <c r="J322" s="105" t="n"/>
      <c r="K322" s="95" t="n"/>
      <c r="L322" s="107" t="n"/>
      <c r="M322" s="107" t="n"/>
      <c r="N322" s="107" t="n"/>
      <c r="O322" s="107" t="n"/>
      <c r="P322" s="107" t="n"/>
      <c r="Q322" s="107" t="n"/>
      <c r="R322" s="107" t="n"/>
      <c r="S322" s="107" t="n"/>
      <c r="T322" s="107" t="n"/>
      <c r="U322" s="107" t="n"/>
      <c r="V322" s="107" t="n"/>
      <c r="W322" s="107" t="n"/>
      <c r="X322" s="107" t="n"/>
      <c r="Y322" s="107" t="n"/>
      <c r="Z322" s="107" t="n"/>
      <c r="AA322" s="226" t="n"/>
      <c r="AB322" s="226" t="n"/>
      <c r="AC322" s="226" t="n"/>
      <c r="AD322" s="226" t="n"/>
      <c r="AE322" s="226" t="n"/>
      <c r="AF322" s="226" t="n"/>
      <c r="AG322" s="226" t="n"/>
      <c r="AH322" s="226" t="n"/>
      <c r="AI322" s="226" t="n"/>
      <c r="AJ322" s="226" t="n"/>
      <c r="AK322" s="226" t="n"/>
      <c r="AL322" s="227" t="n"/>
    </row>
    <row r="323">
      <c r="B323" s="94" t="n"/>
      <c r="C323" s="105" t="n"/>
      <c r="D323" s="105" t="n"/>
      <c r="E323" s="105" t="n"/>
      <c r="F323" s="105" t="n"/>
      <c r="G323" s="105" t="n"/>
      <c r="H323" s="105" t="n"/>
      <c r="I323" s="106" t="n"/>
      <c r="J323" s="105" t="n"/>
      <c r="K323" s="95" t="n"/>
      <c r="L323" s="107" t="n"/>
      <c r="M323" s="107" t="n"/>
      <c r="N323" s="107" t="n"/>
      <c r="O323" s="107" t="n"/>
      <c r="P323" s="107" t="n"/>
      <c r="Q323" s="107" t="n"/>
      <c r="R323" s="107" t="n"/>
      <c r="S323" s="107" t="n"/>
      <c r="T323" s="107" t="n"/>
      <c r="U323" s="107" t="n"/>
      <c r="V323" s="107" t="n"/>
      <c r="W323" s="107" t="n"/>
      <c r="X323" s="107" t="n"/>
      <c r="Y323" s="107" t="n"/>
      <c r="Z323" s="107" t="n"/>
      <c r="AA323" s="226" t="n"/>
      <c r="AB323" s="226" t="n"/>
      <c r="AC323" s="226" t="n"/>
      <c r="AD323" s="226" t="n"/>
      <c r="AE323" s="226" t="n"/>
      <c r="AF323" s="226" t="n"/>
      <c r="AG323" s="226" t="n"/>
      <c r="AH323" s="226" t="n"/>
      <c r="AI323" s="226" t="n"/>
      <c r="AJ323" s="226" t="n"/>
      <c r="AK323" s="226" t="n"/>
      <c r="AL323" s="227" t="n"/>
    </row>
    <row r="324">
      <c r="B324" s="94" t="n"/>
      <c r="C324" s="105" t="n"/>
      <c r="D324" s="105" t="n"/>
      <c r="E324" s="105" t="n"/>
      <c r="F324" s="105" t="n"/>
      <c r="G324" s="105" t="n"/>
      <c r="H324" s="105" t="n"/>
      <c r="I324" s="106" t="n"/>
      <c r="J324" s="105" t="n"/>
      <c r="K324" s="95" t="n"/>
      <c r="L324" s="107" t="n"/>
      <c r="M324" s="107" t="n"/>
      <c r="N324" s="107" t="n"/>
      <c r="O324" s="107" t="n"/>
      <c r="P324" s="107" t="n"/>
      <c r="Q324" s="107" t="n"/>
      <c r="R324" s="107" t="n"/>
      <c r="S324" s="107" t="n"/>
      <c r="T324" s="107" t="n"/>
      <c r="U324" s="107" t="n"/>
      <c r="V324" s="107" t="n"/>
      <c r="W324" s="107" t="n"/>
      <c r="X324" s="107" t="n"/>
      <c r="Y324" s="107" t="n"/>
      <c r="Z324" s="107" t="n"/>
      <c r="AA324" s="226" t="n"/>
      <c r="AB324" s="226" t="n"/>
      <c r="AC324" s="226" t="n"/>
      <c r="AD324" s="226" t="n"/>
      <c r="AE324" s="226" t="n"/>
      <c r="AF324" s="226" t="n"/>
      <c r="AG324" s="226" t="n"/>
      <c r="AH324" s="226" t="n"/>
      <c r="AI324" s="226" t="n"/>
      <c r="AJ324" s="226" t="n"/>
      <c r="AK324" s="226" t="n"/>
      <c r="AL324" s="227" t="n"/>
    </row>
    <row r="325">
      <c r="B325" s="94" t="n"/>
      <c r="C325" s="105" t="n"/>
      <c r="D325" s="105" t="n"/>
      <c r="E325" s="105" t="n"/>
      <c r="F325" s="105" t="n"/>
      <c r="G325" s="105" t="n"/>
      <c r="H325" s="105" t="n"/>
      <c r="I325" s="106" t="n"/>
      <c r="J325" s="105" t="n"/>
      <c r="K325" s="95" t="n"/>
      <c r="L325" s="107" t="n"/>
      <c r="M325" s="107" t="n"/>
      <c r="N325" s="107" t="n"/>
      <c r="O325" s="107" t="n"/>
      <c r="P325" s="107" t="n"/>
      <c r="Q325" s="107" t="n"/>
      <c r="R325" s="107" t="n"/>
      <c r="S325" s="107" t="n"/>
      <c r="T325" s="107" t="n"/>
      <c r="U325" s="107" t="n"/>
      <c r="V325" s="107" t="n"/>
      <c r="W325" s="107" t="n"/>
      <c r="X325" s="107" t="n"/>
      <c r="Y325" s="107" t="n"/>
      <c r="Z325" s="107" t="n"/>
      <c r="AA325" s="226" t="n"/>
      <c r="AB325" s="226" t="n"/>
      <c r="AC325" s="226" t="n"/>
      <c r="AD325" s="226" t="n"/>
      <c r="AE325" s="226" t="n"/>
      <c r="AF325" s="226" t="n"/>
      <c r="AG325" s="226" t="n"/>
      <c r="AH325" s="226" t="n"/>
      <c r="AI325" s="226" t="n"/>
      <c r="AJ325" s="226" t="n"/>
      <c r="AK325" s="226" t="n"/>
      <c r="AL325" s="227" t="n"/>
    </row>
    <row r="326">
      <c r="B326" s="94" t="n"/>
      <c r="C326" s="105" t="n"/>
      <c r="D326" s="105" t="n"/>
      <c r="E326" s="105" t="n"/>
      <c r="F326" s="105" t="n"/>
      <c r="G326" s="105" t="n"/>
      <c r="H326" s="105" t="n"/>
      <c r="I326" s="106" t="n"/>
      <c r="J326" s="105" t="n"/>
      <c r="K326" s="95" t="n"/>
      <c r="L326" s="107" t="n"/>
      <c r="M326" s="107" t="n"/>
      <c r="N326" s="107" t="n"/>
      <c r="O326" s="107" t="n"/>
      <c r="P326" s="107" t="n"/>
      <c r="Q326" s="107" t="n"/>
      <c r="R326" s="107" t="n"/>
      <c r="S326" s="107" t="n"/>
      <c r="T326" s="107" t="n"/>
      <c r="U326" s="107" t="n"/>
      <c r="V326" s="107" t="n"/>
      <c r="W326" s="107" t="n"/>
      <c r="X326" s="107" t="n"/>
      <c r="Y326" s="107" t="n"/>
      <c r="Z326" s="107" t="n"/>
      <c r="AA326" s="226" t="n"/>
      <c r="AB326" s="226" t="n"/>
      <c r="AC326" s="226" t="n"/>
      <c r="AD326" s="226" t="n"/>
      <c r="AE326" s="226" t="n"/>
      <c r="AF326" s="226" t="n"/>
      <c r="AG326" s="226" t="n"/>
      <c r="AH326" s="226" t="n"/>
      <c r="AI326" s="226" t="n"/>
      <c r="AJ326" s="226" t="n"/>
      <c r="AK326" s="226" t="n"/>
      <c r="AL326" s="227" t="n"/>
    </row>
    <row r="327">
      <c r="B327" s="94" t="n"/>
      <c r="C327" s="105" t="n"/>
      <c r="D327" s="105" t="n"/>
      <c r="E327" s="105" t="n"/>
      <c r="F327" s="105" t="n"/>
      <c r="G327" s="105" t="n"/>
      <c r="H327" s="105" t="n"/>
      <c r="I327" s="106" t="n"/>
      <c r="J327" s="105" t="n"/>
      <c r="K327" s="95" t="n"/>
      <c r="L327" s="107" t="n"/>
      <c r="M327" s="107" t="n"/>
      <c r="N327" s="107" t="n"/>
      <c r="O327" s="107" t="n"/>
      <c r="P327" s="107" t="n"/>
      <c r="Q327" s="107" t="n"/>
      <c r="R327" s="107" t="n"/>
      <c r="S327" s="107" t="n"/>
      <c r="T327" s="107" t="n"/>
      <c r="U327" s="107" t="n"/>
      <c r="V327" s="107" t="n"/>
      <c r="W327" s="107" t="n"/>
      <c r="X327" s="107" t="n"/>
      <c r="Y327" s="107" t="n"/>
      <c r="Z327" s="107" t="n"/>
      <c r="AA327" s="226" t="n"/>
      <c r="AB327" s="226" t="n"/>
      <c r="AC327" s="226" t="n"/>
      <c r="AD327" s="226" t="n"/>
      <c r="AE327" s="226" t="n"/>
      <c r="AF327" s="226" t="n"/>
      <c r="AG327" s="226" t="n"/>
      <c r="AH327" s="226" t="n"/>
      <c r="AI327" s="226" t="n"/>
      <c r="AJ327" s="226" t="n"/>
      <c r="AK327" s="226" t="n"/>
      <c r="AL327" s="227" t="n"/>
    </row>
    <row r="328">
      <c r="B328" s="94" t="n"/>
      <c r="C328" s="105" t="n"/>
      <c r="D328" s="105" t="n"/>
      <c r="E328" s="105" t="n"/>
      <c r="F328" s="105" t="n"/>
      <c r="G328" s="105" t="n"/>
      <c r="H328" s="105" t="n"/>
      <c r="I328" s="106" t="n"/>
      <c r="J328" s="105" t="n"/>
      <c r="K328" s="95" t="n"/>
      <c r="L328" s="107" t="n"/>
      <c r="M328" s="107" t="n"/>
      <c r="N328" s="107" t="n"/>
      <c r="O328" s="107" t="n"/>
      <c r="P328" s="107" t="n"/>
      <c r="Q328" s="107" t="n"/>
      <c r="R328" s="107" t="n"/>
      <c r="S328" s="107" t="n"/>
      <c r="T328" s="107" t="n"/>
      <c r="U328" s="107" t="n"/>
      <c r="V328" s="107" t="n"/>
      <c r="W328" s="107" t="n"/>
      <c r="X328" s="107" t="n"/>
      <c r="Y328" s="107" t="n"/>
      <c r="Z328" s="107" t="n"/>
      <c r="AA328" s="226" t="n"/>
      <c r="AB328" s="226" t="n"/>
      <c r="AC328" s="226" t="n"/>
      <c r="AD328" s="226" t="n"/>
      <c r="AE328" s="226" t="n"/>
      <c r="AF328" s="226" t="n"/>
      <c r="AG328" s="226" t="n"/>
      <c r="AH328" s="226" t="n"/>
      <c r="AI328" s="226" t="n"/>
      <c r="AJ328" s="226" t="n"/>
      <c r="AK328" s="226" t="n"/>
      <c r="AL328" s="227" t="n"/>
    </row>
    <row r="329">
      <c r="B329" s="94" t="n"/>
      <c r="C329" s="105" t="n"/>
      <c r="D329" s="105" t="n"/>
      <c r="E329" s="105" t="n"/>
      <c r="F329" s="105" t="n"/>
      <c r="G329" s="105" t="n"/>
      <c r="H329" s="105" t="n"/>
      <c r="I329" s="106" t="n"/>
      <c r="J329" s="105" t="n"/>
      <c r="K329" s="95" t="n"/>
      <c r="L329" s="107" t="n"/>
      <c r="M329" s="107" t="n"/>
      <c r="N329" s="107" t="n"/>
      <c r="O329" s="107" t="n"/>
      <c r="P329" s="107" t="n"/>
      <c r="Q329" s="107" t="n"/>
      <c r="R329" s="107" t="n"/>
      <c r="S329" s="107" t="n"/>
      <c r="T329" s="107" t="n"/>
      <c r="U329" s="107" t="n"/>
      <c r="V329" s="107" t="n"/>
      <c r="W329" s="107" t="n"/>
      <c r="X329" s="107" t="n"/>
      <c r="Y329" s="107" t="n"/>
      <c r="Z329" s="107" t="n"/>
      <c r="AA329" s="226" t="n"/>
      <c r="AB329" s="226" t="n"/>
      <c r="AC329" s="226" t="n"/>
      <c r="AD329" s="226" t="n"/>
      <c r="AE329" s="226" t="n"/>
      <c r="AF329" s="226" t="n"/>
      <c r="AG329" s="226" t="n"/>
      <c r="AH329" s="226" t="n"/>
      <c r="AI329" s="226" t="n"/>
      <c r="AJ329" s="226" t="n"/>
      <c r="AK329" s="226" t="n"/>
      <c r="AL329" s="227" t="n"/>
    </row>
    <row r="330">
      <c r="B330" s="94" t="n"/>
      <c r="C330" s="105" t="n"/>
      <c r="D330" s="105" t="n"/>
      <c r="E330" s="105" t="n"/>
      <c r="F330" s="105" t="n"/>
      <c r="G330" s="105" t="n"/>
      <c r="H330" s="105" t="n"/>
      <c r="I330" s="106" t="n"/>
      <c r="J330" s="105" t="n"/>
      <c r="K330" s="95" t="n"/>
      <c r="L330" s="107" t="n"/>
      <c r="M330" s="107" t="n"/>
      <c r="N330" s="107" t="n"/>
      <c r="O330" s="107" t="n"/>
      <c r="P330" s="107" t="n"/>
      <c r="Q330" s="107" t="n"/>
      <c r="R330" s="107" t="n"/>
      <c r="S330" s="107" t="n"/>
      <c r="T330" s="107" t="n"/>
      <c r="U330" s="107" t="n"/>
      <c r="V330" s="107" t="n"/>
      <c r="W330" s="107" t="n"/>
      <c r="X330" s="107" t="n"/>
      <c r="Y330" s="107" t="n"/>
      <c r="Z330" s="107" t="n"/>
      <c r="AA330" s="226" t="n"/>
      <c r="AB330" s="226" t="n"/>
      <c r="AC330" s="226" t="n"/>
      <c r="AD330" s="226" t="n"/>
      <c r="AE330" s="226" t="n"/>
      <c r="AF330" s="226" t="n"/>
      <c r="AG330" s="226" t="n"/>
      <c r="AH330" s="226" t="n"/>
      <c r="AI330" s="226" t="n"/>
      <c r="AJ330" s="226" t="n"/>
      <c r="AK330" s="226" t="n"/>
      <c r="AL330" s="227" t="n"/>
    </row>
    <row r="331">
      <c r="B331" s="94" t="n"/>
      <c r="C331" s="105" t="n"/>
      <c r="D331" s="105" t="n"/>
      <c r="E331" s="105" t="n"/>
      <c r="F331" s="105" t="n"/>
      <c r="G331" s="105" t="n"/>
      <c r="H331" s="105" t="n"/>
      <c r="I331" s="106" t="n"/>
      <c r="J331" s="105" t="n"/>
      <c r="K331" s="95" t="n"/>
      <c r="L331" s="107" t="n"/>
      <c r="M331" s="107" t="n"/>
      <c r="N331" s="107" t="n"/>
      <c r="O331" s="107" t="n"/>
      <c r="P331" s="107" t="n"/>
      <c r="Q331" s="107" t="n"/>
      <c r="R331" s="107" t="n"/>
      <c r="S331" s="107" t="n"/>
      <c r="T331" s="107" t="n"/>
      <c r="U331" s="107" t="n"/>
      <c r="V331" s="107" t="n"/>
      <c r="W331" s="107" t="n"/>
      <c r="X331" s="107" t="n"/>
      <c r="Y331" s="107" t="n"/>
      <c r="Z331" s="107" t="n"/>
      <c r="AA331" s="226" t="n"/>
      <c r="AB331" s="226" t="n"/>
      <c r="AC331" s="226" t="n"/>
      <c r="AD331" s="226" t="n"/>
      <c r="AE331" s="226" t="n"/>
      <c r="AF331" s="226" t="n"/>
      <c r="AG331" s="226" t="n"/>
      <c r="AH331" s="226" t="n"/>
      <c r="AI331" s="226" t="n"/>
      <c r="AJ331" s="226" t="n"/>
      <c r="AK331" s="226" t="n"/>
      <c r="AL331" s="227" t="n"/>
    </row>
    <row r="332">
      <c r="B332" s="94" t="n"/>
      <c r="C332" s="105" t="n"/>
      <c r="D332" s="105" t="n"/>
      <c r="E332" s="105" t="n"/>
      <c r="F332" s="105" t="n"/>
      <c r="G332" s="105" t="n"/>
      <c r="H332" s="105" t="n"/>
      <c r="I332" s="106" t="n"/>
      <c r="J332" s="105" t="n"/>
      <c r="K332" s="95" t="n"/>
      <c r="L332" s="107" t="n"/>
      <c r="M332" s="107" t="n"/>
      <c r="N332" s="107" t="n"/>
      <c r="O332" s="107" t="n"/>
      <c r="P332" s="107" t="n"/>
      <c r="Q332" s="107" t="n"/>
      <c r="R332" s="107" t="n"/>
      <c r="S332" s="107" t="n"/>
      <c r="T332" s="107" t="n"/>
      <c r="U332" s="107" t="n"/>
      <c r="V332" s="107" t="n"/>
      <c r="W332" s="107" t="n"/>
      <c r="X332" s="107" t="n"/>
      <c r="Y332" s="107" t="n"/>
      <c r="Z332" s="107" t="n"/>
      <c r="AA332" s="226" t="n"/>
      <c r="AB332" s="226" t="n"/>
      <c r="AC332" s="226" t="n"/>
      <c r="AD332" s="226" t="n"/>
      <c r="AE332" s="226" t="n"/>
      <c r="AF332" s="226" t="n"/>
      <c r="AG332" s="226" t="n"/>
      <c r="AH332" s="226" t="n"/>
      <c r="AI332" s="226" t="n"/>
      <c r="AJ332" s="226" t="n"/>
      <c r="AK332" s="226" t="n"/>
      <c r="AL332" s="227" t="n"/>
    </row>
    <row r="333">
      <c r="B333" s="94" t="n"/>
      <c r="C333" s="105" t="n"/>
      <c r="D333" s="105" t="n"/>
      <c r="E333" s="105" t="n"/>
      <c r="F333" s="105" t="n"/>
      <c r="G333" s="105" t="n"/>
      <c r="H333" s="105" t="n"/>
      <c r="I333" s="106" t="n"/>
      <c r="J333" s="105" t="n"/>
      <c r="K333" s="95" t="n"/>
      <c r="L333" s="107" t="n"/>
      <c r="M333" s="107" t="n"/>
      <c r="N333" s="107" t="n"/>
      <c r="O333" s="107" t="n"/>
      <c r="P333" s="107" t="n"/>
      <c r="Q333" s="107" t="n"/>
      <c r="R333" s="107" t="n"/>
      <c r="S333" s="107" t="n"/>
      <c r="T333" s="107" t="n"/>
      <c r="U333" s="107" t="n"/>
      <c r="V333" s="107" t="n"/>
      <c r="W333" s="107" t="n"/>
      <c r="X333" s="107" t="n"/>
      <c r="Y333" s="107" t="n"/>
      <c r="Z333" s="107" t="n"/>
      <c r="AA333" s="226" t="n"/>
      <c r="AB333" s="226" t="n"/>
      <c r="AC333" s="226" t="n"/>
      <c r="AD333" s="226" t="n"/>
      <c r="AE333" s="226" t="n"/>
      <c r="AF333" s="226" t="n"/>
      <c r="AG333" s="226" t="n"/>
      <c r="AH333" s="226" t="n"/>
      <c r="AI333" s="226" t="n"/>
      <c r="AJ333" s="226" t="n"/>
      <c r="AK333" s="226" t="n"/>
      <c r="AL333" s="227" t="n"/>
    </row>
    <row r="334">
      <c r="B334" s="94" t="n"/>
      <c r="C334" s="105" t="n"/>
      <c r="D334" s="105" t="n"/>
      <c r="E334" s="105" t="n"/>
      <c r="F334" s="105" t="n"/>
      <c r="G334" s="105" t="n"/>
      <c r="H334" s="105" t="n"/>
      <c r="I334" s="106" t="n"/>
      <c r="J334" s="105" t="n"/>
      <c r="K334" s="95" t="n"/>
      <c r="L334" s="107" t="n"/>
      <c r="M334" s="107" t="n"/>
      <c r="N334" s="107" t="n"/>
      <c r="O334" s="107" t="n"/>
      <c r="P334" s="107" t="n"/>
      <c r="Q334" s="107" t="n"/>
      <c r="R334" s="107" t="n"/>
      <c r="S334" s="107" t="n"/>
      <c r="T334" s="107" t="n"/>
      <c r="U334" s="107" t="n"/>
      <c r="V334" s="107" t="n"/>
      <c r="W334" s="107" t="n"/>
      <c r="X334" s="107" t="n"/>
      <c r="Y334" s="107" t="n"/>
      <c r="Z334" s="107" t="n"/>
      <c r="AA334" s="226" t="n"/>
      <c r="AB334" s="226" t="n"/>
      <c r="AC334" s="226" t="n"/>
      <c r="AD334" s="226" t="n"/>
      <c r="AE334" s="226" t="n"/>
      <c r="AF334" s="226" t="n"/>
      <c r="AG334" s="226" t="n"/>
      <c r="AH334" s="226" t="n"/>
      <c r="AI334" s="226" t="n"/>
      <c r="AJ334" s="226" t="n"/>
      <c r="AK334" s="226" t="n"/>
      <c r="AL334" s="227" t="n"/>
    </row>
    <row r="335">
      <c r="B335" s="94" t="n"/>
      <c r="C335" s="105" t="n"/>
      <c r="D335" s="105" t="n"/>
      <c r="E335" s="105" t="n"/>
      <c r="F335" s="105" t="n"/>
      <c r="G335" s="105" t="n"/>
      <c r="H335" s="105" t="n"/>
      <c r="I335" s="106" t="n"/>
      <c r="J335" s="105" t="n"/>
      <c r="K335" s="95" t="n"/>
      <c r="L335" s="107" t="n"/>
      <c r="M335" s="107" t="n"/>
      <c r="N335" s="107" t="n"/>
      <c r="O335" s="107" t="n"/>
      <c r="P335" s="107" t="n"/>
      <c r="Q335" s="107" t="n"/>
      <c r="R335" s="107" t="n"/>
      <c r="S335" s="107" t="n"/>
      <c r="T335" s="107" t="n"/>
      <c r="U335" s="107" t="n"/>
      <c r="V335" s="107" t="n"/>
      <c r="W335" s="107" t="n"/>
      <c r="X335" s="107" t="n"/>
      <c r="Y335" s="107" t="n"/>
      <c r="Z335" s="107" t="n"/>
      <c r="AA335" s="226" t="n"/>
      <c r="AB335" s="226" t="n"/>
      <c r="AC335" s="226" t="n"/>
      <c r="AD335" s="226" t="n"/>
      <c r="AE335" s="226" t="n"/>
      <c r="AF335" s="226" t="n"/>
      <c r="AG335" s="226" t="n"/>
      <c r="AH335" s="226" t="n"/>
      <c r="AI335" s="226" t="n"/>
      <c r="AJ335" s="226" t="n"/>
      <c r="AK335" s="226" t="n"/>
      <c r="AL335" s="227" t="n"/>
    </row>
    <row r="336">
      <c r="B336" s="94" t="n"/>
      <c r="C336" s="105" t="n"/>
      <c r="D336" s="105" t="n"/>
      <c r="E336" s="105" t="n"/>
      <c r="F336" s="105" t="n"/>
      <c r="G336" s="105" t="n"/>
      <c r="H336" s="105" t="n"/>
      <c r="I336" s="106" t="n"/>
      <c r="J336" s="105" t="n"/>
      <c r="K336" s="95" t="n"/>
      <c r="L336" s="107" t="n"/>
      <c r="M336" s="107" t="n"/>
      <c r="N336" s="107" t="n"/>
      <c r="O336" s="107" t="n"/>
      <c r="P336" s="107" t="n"/>
      <c r="Q336" s="107" t="n"/>
      <c r="R336" s="107" t="n"/>
      <c r="S336" s="107" t="n"/>
      <c r="T336" s="107" t="n"/>
      <c r="U336" s="107" t="n"/>
      <c r="V336" s="107" t="n"/>
      <c r="W336" s="107" t="n"/>
      <c r="X336" s="107" t="n"/>
      <c r="Y336" s="107" t="n"/>
      <c r="Z336" s="107" t="n"/>
      <c r="AA336" s="226" t="n"/>
      <c r="AB336" s="226" t="n"/>
      <c r="AC336" s="226" t="n"/>
      <c r="AD336" s="226" t="n"/>
      <c r="AE336" s="226" t="n"/>
      <c r="AF336" s="226" t="n"/>
      <c r="AG336" s="226" t="n"/>
      <c r="AH336" s="226" t="n"/>
      <c r="AI336" s="226" t="n"/>
      <c r="AJ336" s="226" t="n"/>
      <c r="AK336" s="226" t="n"/>
      <c r="AL336" s="227" t="n"/>
    </row>
    <row r="337">
      <c r="B337" s="94" t="n"/>
      <c r="C337" s="105" t="n"/>
      <c r="D337" s="105" t="n"/>
      <c r="E337" s="105" t="n"/>
      <c r="F337" s="105" t="n"/>
      <c r="G337" s="105" t="n"/>
      <c r="H337" s="105" t="n"/>
      <c r="I337" s="106" t="n"/>
      <c r="J337" s="105" t="n"/>
      <c r="K337" s="95" t="n"/>
      <c r="L337" s="107" t="n"/>
      <c r="M337" s="107" t="n"/>
      <c r="N337" s="107" t="n"/>
      <c r="O337" s="107" t="n"/>
      <c r="P337" s="107" t="n"/>
      <c r="Q337" s="107" t="n"/>
      <c r="R337" s="107" t="n"/>
      <c r="S337" s="107" t="n"/>
      <c r="T337" s="107" t="n"/>
      <c r="U337" s="107" t="n"/>
      <c r="V337" s="107" t="n"/>
      <c r="W337" s="107" t="n"/>
      <c r="X337" s="107" t="n"/>
      <c r="Y337" s="107" t="n"/>
      <c r="Z337" s="107" t="n"/>
      <c r="AA337" s="226" t="n"/>
      <c r="AB337" s="226" t="n"/>
      <c r="AC337" s="226" t="n"/>
      <c r="AD337" s="226" t="n"/>
      <c r="AE337" s="226" t="n"/>
      <c r="AF337" s="226" t="n"/>
      <c r="AG337" s="226" t="n"/>
      <c r="AH337" s="226" t="n"/>
      <c r="AI337" s="226" t="n"/>
      <c r="AJ337" s="226" t="n"/>
      <c r="AK337" s="226" t="n"/>
      <c r="AL337" s="227" t="n"/>
    </row>
    <row r="338">
      <c r="B338" s="94" t="n"/>
      <c r="C338" s="105" t="n"/>
      <c r="D338" s="105" t="n"/>
      <c r="E338" s="105" t="n"/>
      <c r="F338" s="105" t="n"/>
      <c r="G338" s="105" t="n"/>
      <c r="H338" s="105" t="n"/>
      <c r="I338" s="106" t="n"/>
      <c r="J338" s="105" t="n"/>
      <c r="K338" s="95" t="n"/>
      <c r="L338" s="107" t="n"/>
      <c r="M338" s="107" t="n"/>
      <c r="N338" s="107" t="n"/>
      <c r="O338" s="107" t="n"/>
      <c r="P338" s="107" t="n"/>
      <c r="Q338" s="107" t="n"/>
      <c r="R338" s="107" t="n"/>
      <c r="S338" s="107" t="n"/>
      <c r="T338" s="107" t="n"/>
      <c r="U338" s="107" t="n"/>
      <c r="V338" s="107" t="n"/>
      <c r="W338" s="107" t="n"/>
      <c r="X338" s="107" t="n"/>
      <c r="Y338" s="107" t="n"/>
      <c r="Z338" s="107" t="n"/>
      <c r="AA338" s="226" t="n"/>
      <c r="AB338" s="226" t="n"/>
      <c r="AC338" s="226" t="n"/>
      <c r="AD338" s="226" t="n"/>
      <c r="AE338" s="226" t="n"/>
      <c r="AF338" s="226" t="n"/>
      <c r="AG338" s="226" t="n"/>
      <c r="AH338" s="226" t="n"/>
      <c r="AI338" s="226" t="n"/>
      <c r="AJ338" s="226" t="n"/>
      <c r="AK338" s="226" t="n"/>
      <c r="AL338" s="227" t="n"/>
    </row>
    <row r="339">
      <c r="B339" s="94" t="n"/>
      <c r="C339" s="105" t="n"/>
      <c r="D339" s="105" t="n"/>
      <c r="E339" s="105" t="n"/>
      <c r="F339" s="105" t="n"/>
      <c r="G339" s="105" t="n"/>
      <c r="H339" s="105" t="n"/>
      <c r="I339" s="106" t="n"/>
      <c r="J339" s="105" t="n"/>
      <c r="K339" s="95" t="n"/>
      <c r="L339" s="107" t="n"/>
      <c r="M339" s="107" t="n"/>
      <c r="N339" s="107" t="n"/>
      <c r="O339" s="107" t="n"/>
      <c r="P339" s="107" t="n"/>
      <c r="Q339" s="107" t="n"/>
      <c r="R339" s="107" t="n"/>
      <c r="S339" s="107" t="n"/>
      <c r="T339" s="107" t="n"/>
      <c r="U339" s="107" t="n"/>
      <c r="V339" s="107" t="n"/>
      <c r="W339" s="107" t="n"/>
      <c r="X339" s="107" t="n"/>
      <c r="Y339" s="107" t="n"/>
      <c r="Z339" s="107" t="n"/>
      <c r="AA339" s="226" t="n"/>
      <c r="AB339" s="226" t="n"/>
      <c r="AC339" s="226" t="n"/>
      <c r="AD339" s="226" t="n"/>
      <c r="AE339" s="226" t="n"/>
      <c r="AF339" s="226" t="n"/>
      <c r="AG339" s="226" t="n"/>
      <c r="AH339" s="226" t="n"/>
      <c r="AI339" s="226" t="n"/>
      <c r="AJ339" s="226" t="n"/>
      <c r="AK339" s="226" t="n"/>
      <c r="AL339" s="227" t="n"/>
    </row>
    <row r="340">
      <c r="B340" s="94" t="n"/>
      <c r="C340" s="105" t="n"/>
      <c r="D340" s="105" t="n"/>
      <c r="E340" s="105" t="n"/>
      <c r="F340" s="105" t="n"/>
      <c r="G340" s="105" t="n"/>
      <c r="H340" s="105" t="n"/>
      <c r="I340" s="106" t="n"/>
      <c r="J340" s="105" t="n"/>
      <c r="K340" s="95" t="n"/>
      <c r="L340" s="107" t="n"/>
      <c r="M340" s="107" t="n"/>
      <c r="N340" s="107" t="n"/>
      <c r="O340" s="107" t="n"/>
      <c r="P340" s="107" t="n"/>
      <c r="Q340" s="107" t="n"/>
      <c r="R340" s="107" t="n"/>
      <c r="S340" s="107" t="n"/>
      <c r="T340" s="107" t="n"/>
      <c r="U340" s="107" t="n"/>
      <c r="V340" s="107" t="n"/>
      <c r="W340" s="107" t="n"/>
      <c r="X340" s="107" t="n"/>
      <c r="Y340" s="107" t="n"/>
      <c r="Z340" s="107" t="n"/>
      <c r="AA340" s="226" t="n"/>
      <c r="AB340" s="226" t="n"/>
      <c r="AC340" s="226" t="n"/>
      <c r="AD340" s="226" t="n"/>
      <c r="AE340" s="226" t="n"/>
      <c r="AF340" s="226" t="n"/>
      <c r="AG340" s="226" t="n"/>
      <c r="AH340" s="226" t="n"/>
      <c r="AI340" s="226" t="n"/>
      <c r="AJ340" s="226" t="n"/>
      <c r="AK340" s="226" t="n"/>
      <c r="AL340" s="227" t="n"/>
    </row>
    <row r="341">
      <c r="B341" s="94" t="n"/>
      <c r="C341" s="105" t="n"/>
      <c r="D341" s="105" t="n"/>
      <c r="E341" s="105" t="n"/>
      <c r="F341" s="105" t="n"/>
      <c r="G341" s="105" t="n"/>
      <c r="H341" s="105" t="n"/>
      <c r="I341" s="106" t="n"/>
      <c r="J341" s="105" t="n"/>
      <c r="K341" s="95" t="n"/>
      <c r="L341" s="107" t="n"/>
      <c r="M341" s="107" t="n"/>
      <c r="N341" s="107" t="n"/>
      <c r="O341" s="107" t="n"/>
      <c r="P341" s="107" t="n"/>
      <c r="Q341" s="107" t="n"/>
      <c r="R341" s="107" t="n"/>
      <c r="S341" s="107" t="n"/>
      <c r="T341" s="107" t="n"/>
      <c r="U341" s="107" t="n"/>
      <c r="V341" s="107" t="n"/>
      <c r="W341" s="107" t="n"/>
      <c r="X341" s="107" t="n"/>
      <c r="Y341" s="107" t="n"/>
      <c r="Z341" s="107" t="n"/>
      <c r="AA341" s="226" t="n"/>
      <c r="AB341" s="226" t="n"/>
      <c r="AC341" s="226" t="n"/>
      <c r="AD341" s="226" t="n"/>
      <c r="AE341" s="226" t="n"/>
      <c r="AF341" s="226" t="n"/>
      <c r="AG341" s="226" t="n"/>
      <c r="AH341" s="226" t="n"/>
      <c r="AI341" s="226" t="n"/>
      <c r="AJ341" s="226" t="n"/>
      <c r="AK341" s="226" t="n"/>
      <c r="AL341" s="227" t="n"/>
    </row>
    <row r="342">
      <c r="B342" s="94" t="n"/>
      <c r="C342" s="105" t="n"/>
      <c r="D342" s="105" t="n"/>
      <c r="E342" s="105" t="n"/>
      <c r="F342" s="105" t="n"/>
      <c r="G342" s="105" t="n"/>
      <c r="H342" s="105" t="n"/>
      <c r="I342" s="106" t="n"/>
      <c r="J342" s="105" t="n"/>
      <c r="K342" s="95" t="n"/>
      <c r="L342" s="107" t="n"/>
      <c r="M342" s="107" t="n"/>
      <c r="N342" s="107" t="n"/>
      <c r="O342" s="107" t="n"/>
      <c r="P342" s="107" t="n"/>
      <c r="Q342" s="107" t="n"/>
      <c r="R342" s="107" t="n"/>
      <c r="S342" s="107" t="n"/>
      <c r="T342" s="107" t="n"/>
      <c r="U342" s="107" t="n"/>
      <c r="V342" s="107" t="n"/>
      <c r="W342" s="107" t="n"/>
      <c r="X342" s="107" t="n"/>
      <c r="Y342" s="107" t="n"/>
      <c r="Z342" s="107" t="n"/>
      <c r="AA342" s="226" t="n"/>
      <c r="AB342" s="226" t="n"/>
      <c r="AC342" s="226" t="n"/>
      <c r="AD342" s="226" t="n"/>
      <c r="AE342" s="226" t="n"/>
      <c r="AF342" s="226" t="n"/>
      <c r="AG342" s="226" t="n"/>
      <c r="AH342" s="226" t="n"/>
      <c r="AI342" s="226" t="n"/>
      <c r="AJ342" s="226" t="n"/>
      <c r="AK342" s="226" t="n"/>
      <c r="AL342" s="227" t="n"/>
    </row>
    <row r="343">
      <c r="B343" s="94" t="n"/>
      <c r="C343" s="105" t="n"/>
      <c r="D343" s="105" t="n"/>
      <c r="E343" s="105" t="n"/>
      <c r="F343" s="105" t="n"/>
      <c r="G343" s="105" t="n"/>
      <c r="H343" s="105" t="n"/>
      <c r="I343" s="106" t="n"/>
      <c r="J343" s="105" t="n"/>
      <c r="K343" s="95" t="n"/>
      <c r="L343" s="107" t="n"/>
      <c r="M343" s="107" t="n"/>
      <c r="N343" s="107" t="n"/>
      <c r="O343" s="107" t="n"/>
      <c r="P343" s="107" t="n"/>
      <c r="Q343" s="107" t="n"/>
      <c r="R343" s="107" t="n"/>
      <c r="S343" s="107" t="n"/>
      <c r="T343" s="107" t="n"/>
      <c r="U343" s="107" t="n"/>
      <c r="V343" s="107" t="n"/>
      <c r="W343" s="107" t="n"/>
      <c r="X343" s="107" t="n"/>
      <c r="Y343" s="107" t="n"/>
      <c r="Z343" s="107" t="n"/>
      <c r="AA343" s="226" t="n"/>
      <c r="AB343" s="226" t="n"/>
      <c r="AC343" s="226" t="n"/>
      <c r="AD343" s="226" t="n"/>
      <c r="AE343" s="226" t="n"/>
      <c r="AF343" s="226" t="n"/>
      <c r="AG343" s="226" t="n"/>
      <c r="AH343" s="226" t="n"/>
      <c r="AI343" s="226" t="n"/>
      <c r="AJ343" s="226" t="n"/>
      <c r="AK343" s="226" t="n"/>
      <c r="AL343" s="227" t="n"/>
    </row>
    <row r="344">
      <c r="B344" s="94" t="n"/>
      <c r="C344" s="105" t="n"/>
      <c r="D344" s="105" t="n"/>
      <c r="E344" s="105" t="n"/>
      <c r="F344" s="105" t="n"/>
      <c r="G344" s="105" t="n"/>
      <c r="H344" s="105" t="n"/>
      <c r="I344" s="106" t="n"/>
      <c r="J344" s="105" t="n"/>
      <c r="K344" s="95" t="n"/>
      <c r="L344" s="107" t="n"/>
      <c r="M344" s="107" t="n"/>
      <c r="N344" s="107" t="n"/>
      <c r="O344" s="107" t="n"/>
      <c r="P344" s="107" t="n"/>
      <c r="Q344" s="107" t="n"/>
      <c r="R344" s="107" t="n"/>
      <c r="S344" s="107" t="n"/>
      <c r="T344" s="107" t="n"/>
      <c r="U344" s="107" t="n"/>
      <c r="V344" s="107" t="n"/>
      <c r="W344" s="107" t="n"/>
      <c r="X344" s="107" t="n"/>
      <c r="Y344" s="107" t="n"/>
      <c r="Z344" s="107" t="n"/>
      <c r="AA344" s="226" t="n"/>
      <c r="AB344" s="226" t="n"/>
      <c r="AC344" s="226" t="n"/>
      <c r="AD344" s="226" t="n"/>
      <c r="AE344" s="226" t="n"/>
      <c r="AF344" s="226" t="n"/>
      <c r="AG344" s="226" t="n"/>
      <c r="AH344" s="226" t="n"/>
      <c r="AI344" s="226" t="n"/>
      <c r="AJ344" s="226" t="n"/>
      <c r="AK344" s="226" t="n"/>
      <c r="AL344" s="227" t="n"/>
    </row>
    <row r="345">
      <c r="B345" s="94" t="n"/>
      <c r="C345" s="105" t="n"/>
      <c r="D345" s="105" t="n"/>
      <c r="E345" s="105" t="n"/>
      <c r="F345" s="105" t="n"/>
      <c r="G345" s="105" t="n"/>
      <c r="H345" s="105" t="n"/>
      <c r="I345" s="106" t="n"/>
      <c r="J345" s="105" t="n"/>
      <c r="K345" s="95" t="n"/>
      <c r="L345" s="107" t="n"/>
      <c r="M345" s="107" t="n"/>
      <c r="N345" s="107" t="n"/>
      <c r="O345" s="107" t="n"/>
      <c r="P345" s="107" t="n"/>
      <c r="Q345" s="107" t="n"/>
      <c r="R345" s="107" t="n"/>
      <c r="S345" s="107" t="n"/>
      <c r="T345" s="107" t="n"/>
      <c r="U345" s="107" t="n"/>
      <c r="V345" s="107" t="n"/>
      <c r="W345" s="107" t="n"/>
      <c r="X345" s="107" t="n"/>
      <c r="Y345" s="107" t="n"/>
      <c r="Z345" s="107" t="n"/>
      <c r="AA345" s="226" t="n"/>
      <c r="AB345" s="226" t="n"/>
      <c r="AC345" s="226" t="n"/>
      <c r="AD345" s="226" t="n"/>
      <c r="AE345" s="226" t="n"/>
      <c r="AF345" s="226" t="n"/>
      <c r="AG345" s="226" t="n"/>
      <c r="AH345" s="226" t="n"/>
      <c r="AI345" s="226" t="n"/>
      <c r="AJ345" s="226" t="n"/>
      <c r="AK345" s="226" t="n"/>
      <c r="AL345" s="227" t="n"/>
    </row>
    <row r="346">
      <c r="B346" s="94" t="n"/>
      <c r="C346" s="105" t="n"/>
      <c r="D346" s="105" t="n"/>
      <c r="E346" s="105" t="n"/>
      <c r="F346" s="105" t="n"/>
      <c r="G346" s="105" t="n"/>
      <c r="H346" s="105" t="n"/>
      <c r="I346" s="106" t="n"/>
      <c r="J346" s="105" t="n"/>
      <c r="K346" s="95" t="n"/>
      <c r="L346" s="107" t="n"/>
      <c r="M346" s="107" t="n"/>
      <c r="N346" s="107" t="n"/>
      <c r="O346" s="107" t="n"/>
      <c r="P346" s="107" t="n"/>
      <c r="Q346" s="107" t="n"/>
      <c r="R346" s="107" t="n"/>
      <c r="S346" s="107" t="n"/>
      <c r="T346" s="107" t="n"/>
      <c r="U346" s="107" t="n"/>
      <c r="V346" s="107" t="n"/>
      <c r="W346" s="107" t="n"/>
      <c r="X346" s="107" t="n"/>
      <c r="Y346" s="107" t="n"/>
      <c r="Z346" s="107" t="n"/>
      <c r="AA346" s="226" t="n"/>
      <c r="AB346" s="226" t="n"/>
      <c r="AC346" s="226" t="n"/>
      <c r="AD346" s="226" t="n"/>
      <c r="AE346" s="226" t="n"/>
      <c r="AF346" s="226" t="n"/>
      <c r="AG346" s="226" t="n"/>
      <c r="AH346" s="226" t="n"/>
      <c r="AI346" s="226" t="n"/>
      <c r="AJ346" s="226" t="n"/>
      <c r="AK346" s="226" t="n"/>
      <c r="AL346" s="227" t="n"/>
    </row>
    <row r="347">
      <c r="B347" s="94" t="n"/>
      <c r="C347" s="105" t="n"/>
      <c r="D347" s="105" t="n"/>
      <c r="E347" s="105" t="n"/>
      <c r="F347" s="105" t="n"/>
      <c r="G347" s="105" t="n"/>
      <c r="H347" s="105" t="n"/>
      <c r="I347" s="106" t="n"/>
      <c r="J347" s="105" t="n"/>
      <c r="K347" s="95" t="n"/>
      <c r="L347" s="107" t="n"/>
      <c r="M347" s="107" t="n"/>
      <c r="N347" s="107" t="n"/>
      <c r="O347" s="107" t="n"/>
      <c r="P347" s="107" t="n"/>
      <c r="Q347" s="107" t="n"/>
      <c r="R347" s="107" t="n"/>
      <c r="S347" s="107" t="n"/>
      <c r="T347" s="107" t="n"/>
      <c r="U347" s="107" t="n"/>
      <c r="V347" s="107" t="n"/>
      <c r="W347" s="107" t="n"/>
      <c r="X347" s="107" t="n"/>
      <c r="Y347" s="107" t="n"/>
      <c r="Z347" s="107" t="n"/>
      <c r="AA347" s="226" t="n"/>
      <c r="AB347" s="226" t="n"/>
      <c r="AC347" s="226" t="n"/>
      <c r="AD347" s="226" t="n"/>
      <c r="AE347" s="226" t="n"/>
      <c r="AF347" s="226" t="n"/>
      <c r="AG347" s="226" t="n"/>
      <c r="AH347" s="226" t="n"/>
      <c r="AI347" s="226" t="n"/>
      <c r="AJ347" s="226" t="n"/>
      <c r="AK347" s="226" t="n"/>
      <c r="AL347" s="227" t="n"/>
    </row>
    <row r="348">
      <c r="B348" s="94" t="n"/>
      <c r="C348" s="105" t="n"/>
      <c r="D348" s="105" t="n"/>
      <c r="E348" s="105" t="n"/>
      <c r="F348" s="105" t="n"/>
      <c r="G348" s="105" t="n"/>
      <c r="H348" s="105" t="n"/>
      <c r="I348" s="106" t="n"/>
      <c r="J348" s="105" t="n"/>
      <c r="K348" s="95" t="n"/>
      <c r="L348" s="107" t="n"/>
      <c r="M348" s="107" t="n"/>
      <c r="N348" s="107" t="n"/>
      <c r="O348" s="107" t="n"/>
      <c r="P348" s="107" t="n"/>
      <c r="Q348" s="107" t="n"/>
      <c r="R348" s="107" t="n"/>
      <c r="S348" s="107" t="n"/>
      <c r="T348" s="107" t="n"/>
      <c r="U348" s="107" t="n"/>
      <c r="V348" s="107" t="n"/>
      <c r="W348" s="107" t="n"/>
      <c r="X348" s="107" t="n"/>
      <c r="Y348" s="107" t="n"/>
      <c r="Z348" s="107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7" t="n"/>
    </row>
    <row r="349">
      <c r="B349" s="94" t="n"/>
      <c r="C349" s="105" t="n"/>
      <c r="D349" s="105" t="n"/>
      <c r="E349" s="105" t="n"/>
      <c r="F349" s="105" t="n"/>
      <c r="G349" s="105" t="n"/>
      <c r="H349" s="105" t="n"/>
      <c r="I349" s="106" t="n"/>
      <c r="J349" s="105" t="n"/>
      <c r="K349" s="95" t="n"/>
      <c r="L349" s="107" t="n"/>
      <c r="M349" s="107" t="n"/>
      <c r="N349" s="107" t="n"/>
      <c r="O349" s="107" t="n"/>
      <c r="P349" s="107" t="n"/>
      <c r="Q349" s="107" t="n"/>
      <c r="R349" s="107" t="n"/>
      <c r="S349" s="107" t="n"/>
      <c r="T349" s="107" t="n"/>
      <c r="U349" s="107" t="n"/>
      <c r="V349" s="107" t="n"/>
      <c r="W349" s="107" t="n"/>
      <c r="X349" s="107" t="n"/>
      <c r="Y349" s="107" t="n"/>
      <c r="Z349" s="107" t="n"/>
      <c r="AA349" s="226" t="n"/>
      <c r="AB349" s="226" t="n"/>
      <c r="AC349" s="226" t="n"/>
      <c r="AD349" s="226" t="n"/>
      <c r="AE349" s="226" t="n"/>
      <c r="AF349" s="226" t="n"/>
      <c r="AG349" s="226" t="n"/>
      <c r="AH349" s="226" t="n"/>
      <c r="AI349" s="226" t="n"/>
      <c r="AJ349" s="226" t="n"/>
      <c r="AK349" s="226" t="n"/>
      <c r="AL349" s="227" t="n"/>
    </row>
    <row r="350">
      <c r="B350" s="94" t="n"/>
      <c r="C350" s="105" t="n"/>
      <c r="D350" s="105" t="n"/>
      <c r="E350" s="105" t="n"/>
      <c r="F350" s="105" t="n"/>
      <c r="G350" s="105" t="n"/>
      <c r="H350" s="105" t="n"/>
      <c r="I350" s="106" t="n"/>
      <c r="J350" s="105" t="n"/>
      <c r="K350" s="95" t="n"/>
      <c r="L350" s="107" t="n"/>
      <c r="M350" s="107" t="n"/>
      <c r="N350" s="107" t="n"/>
      <c r="O350" s="107" t="n"/>
      <c r="P350" s="107" t="n"/>
      <c r="Q350" s="107" t="n"/>
      <c r="R350" s="107" t="n"/>
      <c r="S350" s="107" t="n"/>
      <c r="T350" s="107" t="n"/>
      <c r="U350" s="107" t="n"/>
      <c r="V350" s="107" t="n"/>
      <c r="W350" s="107" t="n"/>
      <c r="X350" s="107" t="n"/>
      <c r="Y350" s="107" t="n"/>
      <c r="Z350" s="107" t="n"/>
      <c r="AA350" s="226" t="n"/>
      <c r="AB350" s="226" t="n"/>
      <c r="AC350" s="226" t="n"/>
      <c r="AD350" s="226" t="n"/>
      <c r="AE350" s="226" t="n"/>
      <c r="AF350" s="226" t="n"/>
      <c r="AG350" s="226" t="n"/>
      <c r="AH350" s="226" t="n"/>
      <c r="AI350" s="226" t="n"/>
      <c r="AJ350" s="226" t="n"/>
      <c r="AK350" s="226" t="n"/>
      <c r="AL350" s="227" t="n"/>
    </row>
    <row r="351">
      <c r="B351" s="94" t="n"/>
      <c r="C351" s="105" t="n"/>
      <c r="D351" s="105" t="n"/>
      <c r="E351" s="105" t="n"/>
      <c r="F351" s="105" t="n"/>
      <c r="G351" s="105" t="n"/>
      <c r="H351" s="105" t="n"/>
      <c r="I351" s="106" t="n"/>
      <c r="J351" s="105" t="n"/>
      <c r="K351" s="95" t="n"/>
      <c r="L351" s="107" t="n"/>
      <c r="M351" s="107" t="n"/>
      <c r="N351" s="107" t="n"/>
      <c r="O351" s="107" t="n"/>
      <c r="P351" s="107" t="n"/>
      <c r="Q351" s="107" t="n"/>
      <c r="R351" s="107" t="n"/>
      <c r="S351" s="107" t="n"/>
      <c r="T351" s="107" t="n"/>
      <c r="U351" s="107" t="n"/>
      <c r="V351" s="107" t="n"/>
      <c r="W351" s="107" t="n"/>
      <c r="X351" s="107" t="n"/>
      <c r="Y351" s="107" t="n"/>
      <c r="Z351" s="107" t="n"/>
      <c r="AA351" s="226" t="n"/>
      <c r="AB351" s="226" t="n"/>
      <c r="AC351" s="226" t="n"/>
      <c r="AD351" s="226" t="n"/>
      <c r="AE351" s="226" t="n"/>
      <c r="AF351" s="226" t="n"/>
      <c r="AG351" s="226" t="n"/>
      <c r="AH351" s="226" t="n"/>
      <c r="AI351" s="226" t="n"/>
      <c r="AJ351" s="226" t="n"/>
      <c r="AK351" s="226" t="n"/>
      <c r="AL351" s="227" t="n"/>
    </row>
    <row r="352">
      <c r="B352" s="94" t="n"/>
      <c r="C352" s="105" t="n"/>
      <c r="D352" s="105" t="n"/>
      <c r="E352" s="105" t="n"/>
      <c r="F352" s="105" t="n"/>
      <c r="G352" s="105" t="n"/>
      <c r="H352" s="105" t="n"/>
      <c r="I352" s="106" t="n"/>
      <c r="J352" s="105" t="n"/>
      <c r="K352" s="95" t="n"/>
      <c r="L352" s="107" t="n"/>
      <c r="M352" s="107" t="n"/>
      <c r="N352" s="107" t="n"/>
      <c r="O352" s="107" t="n"/>
      <c r="P352" s="107" t="n"/>
      <c r="Q352" s="107" t="n"/>
      <c r="R352" s="107" t="n"/>
      <c r="S352" s="107" t="n"/>
      <c r="T352" s="107" t="n"/>
      <c r="U352" s="107" t="n"/>
      <c r="V352" s="107" t="n"/>
      <c r="W352" s="107" t="n"/>
      <c r="X352" s="107" t="n"/>
      <c r="Y352" s="107" t="n"/>
      <c r="Z352" s="107" t="n"/>
      <c r="AA352" s="226" t="n"/>
      <c r="AB352" s="226" t="n"/>
      <c r="AC352" s="226" t="n"/>
      <c r="AD352" s="226" t="n"/>
      <c r="AE352" s="226" t="n"/>
      <c r="AF352" s="226" t="n"/>
      <c r="AG352" s="226" t="n"/>
      <c r="AH352" s="226" t="n"/>
      <c r="AI352" s="226" t="n"/>
      <c r="AJ352" s="226" t="n"/>
      <c r="AK352" s="226" t="n"/>
      <c r="AL352" s="227" t="n"/>
    </row>
    <row r="353">
      <c r="B353" s="94" t="n"/>
      <c r="C353" s="105" t="n"/>
      <c r="D353" s="105" t="n"/>
      <c r="E353" s="105" t="n"/>
      <c r="F353" s="105" t="n"/>
      <c r="G353" s="105" t="n"/>
      <c r="H353" s="105" t="n"/>
      <c r="I353" s="106" t="n"/>
      <c r="J353" s="105" t="n"/>
      <c r="K353" s="95" t="n"/>
      <c r="L353" s="107" t="n"/>
      <c r="M353" s="107" t="n"/>
      <c r="N353" s="107" t="n"/>
      <c r="O353" s="107" t="n"/>
      <c r="P353" s="107" t="n"/>
      <c r="Q353" s="107" t="n"/>
      <c r="R353" s="107" t="n"/>
      <c r="S353" s="107" t="n"/>
      <c r="T353" s="107" t="n"/>
      <c r="U353" s="107" t="n"/>
      <c r="V353" s="107" t="n"/>
      <c r="W353" s="107" t="n"/>
      <c r="X353" s="107" t="n"/>
      <c r="Y353" s="107" t="n"/>
      <c r="Z353" s="107" t="n"/>
      <c r="AA353" s="226" t="n"/>
      <c r="AB353" s="226" t="n"/>
      <c r="AC353" s="226" t="n"/>
      <c r="AD353" s="226" t="n"/>
      <c r="AE353" s="226" t="n"/>
      <c r="AF353" s="226" t="n"/>
      <c r="AG353" s="226" t="n"/>
      <c r="AH353" s="226" t="n"/>
      <c r="AI353" s="226" t="n"/>
      <c r="AJ353" s="226" t="n"/>
      <c r="AK353" s="226" t="n"/>
      <c r="AL353" s="227" t="n"/>
    </row>
    <row r="354">
      <c r="B354" s="94" t="n"/>
      <c r="C354" s="105" t="n"/>
      <c r="D354" s="105" t="n"/>
      <c r="E354" s="105" t="n"/>
      <c r="F354" s="105" t="n"/>
      <c r="G354" s="105" t="n"/>
      <c r="H354" s="105" t="n"/>
      <c r="I354" s="106" t="n"/>
      <c r="J354" s="105" t="n"/>
      <c r="K354" s="95" t="n"/>
      <c r="L354" s="107" t="n"/>
      <c r="M354" s="107" t="n"/>
      <c r="N354" s="107" t="n"/>
      <c r="O354" s="107" t="n"/>
      <c r="P354" s="107" t="n"/>
      <c r="Q354" s="107" t="n"/>
      <c r="R354" s="107" t="n"/>
      <c r="S354" s="107" t="n"/>
      <c r="T354" s="107" t="n"/>
      <c r="U354" s="107" t="n"/>
      <c r="V354" s="107" t="n"/>
      <c r="W354" s="107" t="n"/>
      <c r="X354" s="107" t="n"/>
      <c r="Y354" s="107" t="n"/>
      <c r="Z354" s="107" t="n"/>
      <c r="AA354" s="226" t="n"/>
      <c r="AB354" s="226" t="n"/>
      <c r="AC354" s="226" t="n"/>
      <c r="AD354" s="226" t="n"/>
      <c r="AE354" s="226" t="n"/>
      <c r="AF354" s="226" t="n"/>
      <c r="AG354" s="226" t="n"/>
      <c r="AH354" s="226" t="n"/>
      <c r="AI354" s="226" t="n"/>
      <c r="AJ354" s="226" t="n"/>
      <c r="AK354" s="226" t="n"/>
      <c r="AL354" s="227" t="n"/>
    </row>
    <row r="355">
      <c r="B355" s="94" t="n"/>
      <c r="C355" s="105" t="n"/>
      <c r="D355" s="105" t="n"/>
      <c r="E355" s="105" t="n"/>
      <c r="F355" s="105" t="n"/>
      <c r="G355" s="105" t="n"/>
      <c r="H355" s="105" t="n"/>
      <c r="I355" s="106" t="n"/>
      <c r="J355" s="105" t="n"/>
      <c r="K355" s="95" t="n"/>
      <c r="L355" s="107" t="n"/>
      <c r="M355" s="107" t="n"/>
      <c r="N355" s="107" t="n"/>
      <c r="O355" s="107" t="n"/>
      <c r="P355" s="107" t="n"/>
      <c r="Q355" s="107" t="n"/>
      <c r="R355" s="107" t="n"/>
      <c r="S355" s="107" t="n"/>
      <c r="T355" s="107" t="n"/>
      <c r="U355" s="107" t="n"/>
      <c r="V355" s="107" t="n"/>
      <c r="W355" s="107" t="n"/>
      <c r="X355" s="107" t="n"/>
      <c r="Y355" s="107" t="n"/>
      <c r="Z355" s="107" t="n"/>
      <c r="AA355" s="226" t="n"/>
      <c r="AB355" s="226" t="n"/>
      <c r="AC355" s="226" t="n"/>
      <c r="AD355" s="226" t="n"/>
      <c r="AE355" s="226" t="n"/>
      <c r="AF355" s="226" t="n"/>
      <c r="AG355" s="226" t="n"/>
      <c r="AH355" s="226" t="n"/>
      <c r="AI355" s="226" t="n"/>
      <c r="AJ355" s="226" t="n"/>
      <c r="AK355" s="226" t="n"/>
      <c r="AL355" s="227" t="n"/>
    </row>
    <row r="356">
      <c r="B356" s="94" t="n"/>
      <c r="C356" s="105" t="n"/>
      <c r="D356" s="105" t="n"/>
      <c r="E356" s="105" t="n"/>
      <c r="F356" s="105" t="n"/>
      <c r="G356" s="105" t="n"/>
      <c r="H356" s="105" t="n"/>
      <c r="I356" s="106" t="n"/>
      <c r="J356" s="105" t="n"/>
      <c r="K356" s="95" t="n"/>
      <c r="L356" s="107" t="n"/>
      <c r="M356" s="107" t="n"/>
      <c r="N356" s="107" t="n"/>
      <c r="O356" s="107" t="n"/>
      <c r="P356" s="107" t="n"/>
      <c r="Q356" s="107" t="n"/>
      <c r="R356" s="107" t="n"/>
      <c r="S356" s="107" t="n"/>
      <c r="T356" s="107" t="n"/>
      <c r="U356" s="107" t="n"/>
      <c r="V356" s="107" t="n"/>
      <c r="W356" s="107" t="n"/>
      <c r="X356" s="107" t="n"/>
      <c r="Y356" s="107" t="n"/>
      <c r="Z356" s="107" t="n"/>
      <c r="AA356" s="226" t="n"/>
      <c r="AB356" s="226" t="n"/>
      <c r="AC356" s="226" t="n"/>
      <c r="AD356" s="226" t="n"/>
      <c r="AE356" s="226" t="n"/>
      <c r="AF356" s="226" t="n"/>
      <c r="AG356" s="226" t="n"/>
      <c r="AH356" s="226" t="n"/>
      <c r="AI356" s="226" t="n"/>
      <c r="AJ356" s="226" t="n"/>
      <c r="AK356" s="226" t="n"/>
      <c r="AL356" s="227" t="n"/>
    </row>
    <row r="357">
      <c r="B357" s="94" t="n"/>
      <c r="C357" s="105" t="n"/>
      <c r="D357" s="105" t="n"/>
      <c r="E357" s="105" t="n"/>
      <c r="F357" s="105" t="n"/>
      <c r="G357" s="105" t="n"/>
      <c r="H357" s="105" t="n"/>
      <c r="I357" s="106" t="n"/>
      <c r="J357" s="105" t="n"/>
      <c r="K357" s="95" t="n"/>
      <c r="L357" s="107" t="n"/>
      <c r="M357" s="107" t="n"/>
      <c r="N357" s="107" t="n"/>
      <c r="O357" s="107" t="n"/>
      <c r="P357" s="107" t="n"/>
      <c r="Q357" s="107" t="n"/>
      <c r="R357" s="107" t="n"/>
      <c r="S357" s="107" t="n"/>
      <c r="T357" s="107" t="n"/>
      <c r="U357" s="107" t="n"/>
      <c r="V357" s="107" t="n"/>
      <c r="W357" s="107" t="n"/>
      <c r="X357" s="107" t="n"/>
      <c r="Y357" s="107" t="n"/>
      <c r="Z357" s="107" t="n"/>
      <c r="AA357" s="226" t="n"/>
      <c r="AB357" s="226" t="n"/>
      <c r="AC357" s="226" t="n"/>
      <c r="AD357" s="226" t="n"/>
      <c r="AE357" s="226" t="n"/>
      <c r="AF357" s="226" t="n"/>
      <c r="AG357" s="226" t="n"/>
      <c r="AH357" s="226" t="n"/>
      <c r="AI357" s="226" t="n"/>
      <c r="AJ357" s="226" t="n"/>
      <c r="AK357" s="226" t="n"/>
      <c r="AL357" s="227" t="n"/>
    </row>
    <row r="358">
      <c r="B358" s="94" t="n"/>
      <c r="C358" s="105" t="n"/>
      <c r="D358" s="105" t="n"/>
      <c r="E358" s="105" t="n"/>
      <c r="F358" s="105" t="n"/>
      <c r="G358" s="105" t="n"/>
      <c r="H358" s="105" t="n"/>
      <c r="I358" s="106" t="n"/>
      <c r="J358" s="105" t="n"/>
      <c r="K358" s="95" t="n"/>
      <c r="L358" s="107" t="n"/>
      <c r="M358" s="107" t="n"/>
      <c r="N358" s="107" t="n"/>
      <c r="O358" s="107" t="n"/>
      <c r="P358" s="107" t="n"/>
      <c r="Q358" s="107" t="n"/>
      <c r="R358" s="107" t="n"/>
      <c r="S358" s="107" t="n"/>
      <c r="T358" s="107" t="n"/>
      <c r="U358" s="107" t="n"/>
      <c r="V358" s="107" t="n"/>
      <c r="W358" s="107" t="n"/>
      <c r="X358" s="107" t="n"/>
      <c r="Y358" s="107" t="n"/>
      <c r="Z358" s="107" t="n"/>
      <c r="AA358" s="226" t="n"/>
      <c r="AB358" s="226" t="n"/>
      <c r="AC358" s="226" t="n"/>
      <c r="AD358" s="226" t="n"/>
      <c r="AE358" s="226" t="n"/>
      <c r="AF358" s="226" t="n"/>
      <c r="AG358" s="226" t="n"/>
      <c r="AH358" s="226" t="n"/>
      <c r="AI358" s="226" t="n"/>
      <c r="AJ358" s="226" t="n"/>
      <c r="AK358" s="226" t="n"/>
      <c r="AL358" s="227" t="n"/>
    </row>
    <row r="359">
      <c r="B359" s="94" t="n"/>
      <c r="C359" s="105" t="n"/>
      <c r="D359" s="105" t="n"/>
      <c r="E359" s="105" t="n"/>
      <c r="F359" s="105" t="n"/>
      <c r="G359" s="105" t="n"/>
      <c r="H359" s="105" t="n"/>
      <c r="I359" s="106" t="n"/>
      <c r="J359" s="105" t="n"/>
      <c r="K359" s="95" t="n"/>
      <c r="L359" s="107" t="n"/>
      <c r="M359" s="107" t="n"/>
      <c r="N359" s="107" t="n"/>
      <c r="O359" s="107" t="n"/>
      <c r="P359" s="107" t="n"/>
      <c r="Q359" s="107" t="n"/>
      <c r="R359" s="107" t="n"/>
      <c r="S359" s="107" t="n"/>
      <c r="T359" s="107" t="n"/>
      <c r="U359" s="107" t="n"/>
      <c r="V359" s="107" t="n"/>
      <c r="W359" s="107" t="n"/>
      <c r="X359" s="107" t="n"/>
      <c r="Y359" s="107" t="n"/>
      <c r="Z359" s="107" t="n"/>
      <c r="AA359" s="226" t="n"/>
      <c r="AB359" s="226" t="n"/>
      <c r="AC359" s="226" t="n"/>
      <c r="AD359" s="226" t="n"/>
      <c r="AE359" s="226" t="n"/>
      <c r="AF359" s="226" t="n"/>
      <c r="AG359" s="226" t="n"/>
      <c r="AH359" s="226" t="n"/>
      <c r="AI359" s="226" t="n"/>
      <c r="AJ359" s="226" t="n"/>
      <c r="AK359" s="226" t="n"/>
      <c r="AL359" s="227" t="n"/>
    </row>
    <row r="360">
      <c r="B360" s="94" t="n"/>
      <c r="C360" s="105" t="n"/>
      <c r="D360" s="105" t="n"/>
      <c r="E360" s="105" t="n"/>
      <c r="F360" s="105" t="n"/>
      <c r="G360" s="105" t="n"/>
      <c r="H360" s="105" t="n"/>
      <c r="I360" s="106" t="n"/>
      <c r="J360" s="105" t="n"/>
      <c r="K360" s="95" t="n"/>
      <c r="L360" s="107" t="n"/>
      <c r="M360" s="107" t="n"/>
      <c r="N360" s="107" t="n"/>
      <c r="O360" s="107" t="n"/>
      <c r="P360" s="107" t="n"/>
      <c r="Q360" s="107" t="n"/>
      <c r="R360" s="107" t="n"/>
      <c r="S360" s="107" t="n"/>
      <c r="T360" s="107" t="n"/>
      <c r="U360" s="107" t="n"/>
      <c r="V360" s="107" t="n"/>
      <c r="W360" s="107" t="n"/>
      <c r="X360" s="107" t="n"/>
      <c r="Y360" s="107" t="n"/>
      <c r="Z360" s="107" t="n"/>
      <c r="AA360" s="226" t="n"/>
      <c r="AB360" s="226" t="n"/>
      <c r="AC360" s="226" t="n"/>
      <c r="AD360" s="226" t="n"/>
      <c r="AE360" s="226" t="n"/>
      <c r="AF360" s="226" t="n"/>
      <c r="AG360" s="226" t="n"/>
      <c r="AH360" s="226" t="n"/>
      <c r="AI360" s="226" t="n"/>
      <c r="AJ360" s="226" t="n"/>
      <c r="AK360" s="226" t="n"/>
      <c r="AL360" s="227" t="n"/>
    </row>
    <row r="361">
      <c r="B361" s="94" t="n"/>
      <c r="C361" s="105" t="n"/>
      <c r="D361" s="105" t="n"/>
      <c r="E361" s="105" t="n"/>
      <c r="F361" s="105" t="n"/>
      <c r="G361" s="105" t="n"/>
      <c r="H361" s="105" t="n"/>
      <c r="I361" s="106" t="n"/>
      <c r="J361" s="105" t="n"/>
      <c r="K361" s="95" t="n"/>
      <c r="L361" s="107" t="n"/>
      <c r="M361" s="107" t="n"/>
      <c r="N361" s="107" t="n"/>
      <c r="O361" s="107" t="n"/>
      <c r="P361" s="107" t="n"/>
      <c r="Q361" s="107" t="n"/>
      <c r="R361" s="107" t="n"/>
      <c r="S361" s="107" t="n"/>
      <c r="T361" s="107" t="n"/>
      <c r="U361" s="107" t="n"/>
      <c r="V361" s="107" t="n"/>
      <c r="W361" s="107" t="n"/>
      <c r="X361" s="107" t="n"/>
      <c r="Y361" s="107" t="n"/>
      <c r="Z361" s="107" t="n"/>
      <c r="AA361" s="226" t="n"/>
      <c r="AB361" s="226" t="n"/>
      <c r="AC361" s="226" t="n"/>
      <c r="AD361" s="226" t="n"/>
      <c r="AE361" s="226" t="n"/>
      <c r="AF361" s="226" t="n"/>
      <c r="AG361" s="226" t="n"/>
      <c r="AH361" s="226" t="n"/>
      <c r="AI361" s="226" t="n"/>
      <c r="AJ361" s="226" t="n"/>
      <c r="AK361" s="226" t="n"/>
      <c r="AL361" s="227" t="n"/>
    </row>
    <row r="362">
      <c r="B362" s="94" t="n"/>
      <c r="C362" s="105" t="n"/>
      <c r="D362" s="105" t="n"/>
      <c r="E362" s="105" t="n"/>
      <c r="F362" s="105" t="n"/>
      <c r="G362" s="105" t="n"/>
      <c r="H362" s="105" t="n"/>
      <c r="I362" s="106" t="n"/>
      <c r="J362" s="105" t="n"/>
      <c r="K362" s="95" t="n"/>
      <c r="L362" s="107" t="n"/>
      <c r="M362" s="107" t="n"/>
      <c r="N362" s="107" t="n"/>
      <c r="O362" s="107" t="n"/>
      <c r="P362" s="107" t="n"/>
      <c r="Q362" s="107" t="n"/>
      <c r="R362" s="107" t="n"/>
      <c r="S362" s="107" t="n"/>
      <c r="T362" s="107" t="n"/>
      <c r="U362" s="107" t="n"/>
      <c r="V362" s="107" t="n"/>
      <c r="W362" s="107" t="n"/>
      <c r="X362" s="107" t="n"/>
      <c r="Y362" s="107" t="n"/>
      <c r="Z362" s="107" t="n"/>
      <c r="AA362" s="226" t="n"/>
      <c r="AB362" s="226" t="n"/>
      <c r="AC362" s="226" t="n"/>
      <c r="AD362" s="226" t="n"/>
      <c r="AE362" s="226" t="n"/>
      <c r="AF362" s="226" t="n"/>
      <c r="AG362" s="226" t="n"/>
      <c r="AH362" s="226" t="n"/>
      <c r="AI362" s="226" t="n"/>
      <c r="AJ362" s="226" t="n"/>
      <c r="AK362" s="226" t="n"/>
      <c r="AL362" s="227" t="n"/>
    </row>
    <row r="363">
      <c r="B363" s="94" t="n"/>
      <c r="C363" s="105" t="n"/>
      <c r="D363" s="105" t="n"/>
      <c r="E363" s="105" t="n"/>
      <c r="F363" s="105" t="n"/>
      <c r="G363" s="105" t="n"/>
      <c r="H363" s="105" t="n"/>
      <c r="I363" s="106" t="n"/>
      <c r="J363" s="105" t="n"/>
      <c r="K363" s="95" t="n"/>
      <c r="L363" s="107" t="n"/>
      <c r="M363" s="107" t="n"/>
      <c r="N363" s="107" t="n"/>
      <c r="O363" s="107" t="n"/>
      <c r="P363" s="107" t="n"/>
      <c r="Q363" s="107" t="n"/>
      <c r="R363" s="107" t="n"/>
      <c r="S363" s="107" t="n"/>
      <c r="T363" s="107" t="n"/>
      <c r="U363" s="107" t="n"/>
      <c r="V363" s="107" t="n"/>
      <c r="W363" s="107" t="n"/>
      <c r="X363" s="107" t="n"/>
      <c r="Y363" s="107" t="n"/>
      <c r="Z363" s="107" t="n"/>
      <c r="AA363" s="226" t="n"/>
      <c r="AB363" s="226" t="n"/>
      <c r="AC363" s="226" t="n"/>
      <c r="AD363" s="226" t="n"/>
      <c r="AE363" s="226" t="n"/>
      <c r="AF363" s="226" t="n"/>
      <c r="AG363" s="226" t="n"/>
      <c r="AH363" s="226" t="n"/>
      <c r="AI363" s="226" t="n"/>
      <c r="AJ363" s="226" t="n"/>
      <c r="AK363" s="226" t="n"/>
      <c r="AL363" s="227" t="n"/>
    </row>
    <row r="364">
      <c r="B364" s="94" t="n"/>
      <c r="C364" s="105" t="n"/>
      <c r="D364" s="105" t="n"/>
      <c r="E364" s="105" t="n"/>
      <c r="F364" s="105" t="n"/>
      <c r="G364" s="105" t="n"/>
      <c r="H364" s="105" t="n"/>
      <c r="I364" s="106" t="n"/>
      <c r="J364" s="105" t="n"/>
      <c r="K364" s="95" t="n"/>
      <c r="L364" s="107" t="n"/>
      <c r="M364" s="107" t="n"/>
      <c r="N364" s="107" t="n"/>
      <c r="O364" s="107" t="n"/>
      <c r="P364" s="107" t="n"/>
      <c r="Q364" s="107" t="n"/>
      <c r="R364" s="107" t="n"/>
      <c r="S364" s="107" t="n"/>
      <c r="T364" s="107" t="n"/>
      <c r="U364" s="107" t="n"/>
      <c r="V364" s="107" t="n"/>
      <c r="W364" s="107" t="n"/>
      <c r="X364" s="107" t="n"/>
      <c r="Y364" s="107" t="n"/>
      <c r="Z364" s="107" t="n"/>
      <c r="AA364" s="226" t="n"/>
      <c r="AB364" s="226" t="n"/>
      <c r="AC364" s="226" t="n"/>
      <c r="AD364" s="226" t="n"/>
      <c r="AE364" s="226" t="n"/>
      <c r="AF364" s="226" t="n"/>
      <c r="AG364" s="226" t="n"/>
      <c r="AH364" s="226" t="n"/>
      <c r="AI364" s="226" t="n"/>
      <c r="AJ364" s="226" t="n"/>
      <c r="AK364" s="226" t="n"/>
      <c r="AL364" s="227" t="n"/>
    </row>
    <row r="365">
      <c r="B365" s="94" t="n"/>
      <c r="C365" s="105" t="n"/>
      <c r="D365" s="105" t="n"/>
      <c r="E365" s="105" t="n"/>
      <c r="F365" s="105" t="n"/>
      <c r="G365" s="105" t="n"/>
      <c r="H365" s="105" t="n"/>
      <c r="I365" s="106" t="n"/>
      <c r="J365" s="105" t="n"/>
      <c r="K365" s="95" t="n"/>
      <c r="L365" s="107" t="n"/>
      <c r="M365" s="107" t="n"/>
      <c r="N365" s="107" t="n"/>
      <c r="O365" s="107" t="n"/>
      <c r="P365" s="107" t="n"/>
      <c r="Q365" s="107" t="n"/>
      <c r="R365" s="107" t="n"/>
      <c r="S365" s="107" t="n"/>
      <c r="T365" s="107" t="n"/>
      <c r="U365" s="107" t="n"/>
      <c r="V365" s="107" t="n"/>
      <c r="W365" s="107" t="n"/>
      <c r="X365" s="107" t="n"/>
      <c r="Y365" s="107" t="n"/>
      <c r="Z365" s="107" t="n"/>
      <c r="AA365" s="226" t="n"/>
      <c r="AB365" s="226" t="n"/>
      <c r="AC365" s="226" t="n"/>
      <c r="AD365" s="226" t="n"/>
      <c r="AE365" s="226" t="n"/>
      <c r="AF365" s="226" t="n"/>
      <c r="AG365" s="226" t="n"/>
      <c r="AH365" s="226" t="n"/>
      <c r="AI365" s="226" t="n"/>
      <c r="AJ365" s="226" t="n"/>
      <c r="AK365" s="226" t="n"/>
      <c r="AL365" s="227" t="n"/>
    </row>
    <row r="366">
      <c r="B366" s="94" t="n"/>
      <c r="C366" s="105" t="n"/>
      <c r="D366" s="105" t="n"/>
      <c r="E366" s="105" t="n"/>
      <c r="F366" s="105" t="n"/>
      <c r="G366" s="105" t="n"/>
      <c r="H366" s="105" t="n"/>
      <c r="I366" s="106" t="n"/>
      <c r="J366" s="105" t="n"/>
      <c r="K366" s="95" t="n"/>
      <c r="L366" s="107" t="n"/>
      <c r="M366" s="107" t="n"/>
      <c r="N366" s="107" t="n"/>
      <c r="O366" s="107" t="n"/>
      <c r="P366" s="107" t="n"/>
      <c r="Q366" s="107" t="n"/>
      <c r="R366" s="107" t="n"/>
      <c r="S366" s="107" t="n"/>
      <c r="T366" s="107" t="n"/>
      <c r="U366" s="107" t="n"/>
      <c r="V366" s="107" t="n"/>
      <c r="W366" s="107" t="n"/>
      <c r="X366" s="107" t="n"/>
      <c r="Y366" s="107" t="n"/>
      <c r="Z366" s="107" t="n"/>
      <c r="AA366" s="226" t="n"/>
      <c r="AB366" s="226" t="n"/>
      <c r="AC366" s="226" t="n"/>
      <c r="AD366" s="226" t="n"/>
      <c r="AE366" s="226" t="n"/>
      <c r="AF366" s="226" t="n"/>
      <c r="AG366" s="226" t="n"/>
      <c r="AH366" s="226" t="n"/>
      <c r="AI366" s="226" t="n"/>
      <c r="AJ366" s="226" t="n"/>
      <c r="AK366" s="226" t="n"/>
      <c r="AL366" s="227" t="n"/>
    </row>
    <row r="367">
      <c r="B367" s="94" t="n"/>
      <c r="C367" s="105" t="n"/>
      <c r="D367" s="105" t="n"/>
      <c r="E367" s="105" t="n"/>
      <c r="F367" s="105" t="n"/>
      <c r="G367" s="105" t="n"/>
      <c r="H367" s="105" t="n"/>
      <c r="I367" s="106" t="n"/>
      <c r="J367" s="105" t="n"/>
      <c r="K367" s="95" t="n"/>
      <c r="L367" s="107" t="n"/>
      <c r="M367" s="107" t="n"/>
      <c r="N367" s="107" t="n"/>
      <c r="O367" s="107" t="n"/>
      <c r="P367" s="107" t="n"/>
      <c r="Q367" s="107" t="n"/>
      <c r="R367" s="107" t="n"/>
      <c r="S367" s="107" t="n"/>
      <c r="T367" s="107" t="n"/>
      <c r="U367" s="107" t="n"/>
      <c r="V367" s="107" t="n"/>
      <c r="W367" s="107" t="n"/>
      <c r="X367" s="107" t="n"/>
      <c r="Y367" s="107" t="n"/>
      <c r="Z367" s="107" t="n"/>
      <c r="AA367" s="226" t="n"/>
      <c r="AB367" s="226" t="n"/>
      <c r="AC367" s="226" t="n"/>
      <c r="AD367" s="226" t="n"/>
      <c r="AE367" s="226" t="n"/>
      <c r="AF367" s="226" t="n"/>
      <c r="AG367" s="226" t="n"/>
      <c r="AH367" s="226" t="n"/>
      <c r="AI367" s="226" t="n"/>
      <c r="AJ367" s="226" t="n"/>
      <c r="AK367" s="226" t="n"/>
      <c r="AL367" s="227" t="n"/>
    </row>
    <row r="368">
      <c r="B368" s="94" t="n"/>
      <c r="C368" s="105" t="n"/>
      <c r="D368" s="105" t="n"/>
      <c r="E368" s="105" t="n"/>
      <c r="F368" s="105" t="n"/>
      <c r="G368" s="105" t="n"/>
      <c r="H368" s="105" t="n"/>
      <c r="I368" s="106" t="n"/>
      <c r="J368" s="105" t="n"/>
      <c r="K368" s="95" t="n"/>
      <c r="L368" s="107" t="n"/>
      <c r="M368" s="107" t="n"/>
      <c r="N368" s="107" t="n"/>
      <c r="O368" s="107" t="n"/>
      <c r="P368" s="107" t="n"/>
      <c r="Q368" s="107" t="n"/>
      <c r="R368" s="107" t="n"/>
      <c r="S368" s="107" t="n"/>
      <c r="T368" s="107" t="n"/>
      <c r="U368" s="107" t="n"/>
      <c r="V368" s="107" t="n"/>
      <c r="W368" s="107" t="n"/>
      <c r="X368" s="107" t="n"/>
      <c r="Y368" s="107" t="n"/>
      <c r="Z368" s="107" t="n"/>
      <c r="AA368" s="226" t="n"/>
      <c r="AB368" s="226" t="n"/>
      <c r="AC368" s="226" t="n"/>
      <c r="AD368" s="226" t="n"/>
      <c r="AE368" s="226" t="n"/>
      <c r="AF368" s="226" t="n"/>
      <c r="AG368" s="226" t="n"/>
      <c r="AH368" s="226" t="n"/>
      <c r="AI368" s="226" t="n"/>
      <c r="AJ368" s="226" t="n"/>
      <c r="AK368" s="226" t="n"/>
      <c r="AL368" s="227" t="n"/>
    </row>
    <row r="369">
      <c r="B369" s="94" t="n"/>
      <c r="C369" s="105" t="n"/>
      <c r="D369" s="105" t="n"/>
      <c r="E369" s="105" t="n"/>
      <c r="F369" s="105" t="n"/>
      <c r="G369" s="105" t="n"/>
      <c r="H369" s="105" t="n"/>
      <c r="I369" s="106" t="n"/>
      <c r="J369" s="105" t="n"/>
      <c r="K369" s="95" t="n"/>
      <c r="L369" s="107" t="n"/>
      <c r="M369" s="107" t="n"/>
      <c r="N369" s="107" t="n"/>
      <c r="O369" s="107" t="n"/>
      <c r="P369" s="107" t="n"/>
      <c r="Q369" s="107" t="n"/>
      <c r="R369" s="107" t="n"/>
      <c r="S369" s="107" t="n"/>
      <c r="T369" s="107" t="n"/>
      <c r="U369" s="107" t="n"/>
      <c r="V369" s="107" t="n"/>
      <c r="W369" s="107" t="n"/>
      <c r="X369" s="107" t="n"/>
      <c r="Y369" s="107" t="n"/>
      <c r="Z369" s="107" t="n"/>
      <c r="AA369" s="226" t="n"/>
      <c r="AB369" s="226" t="n"/>
      <c r="AC369" s="226" t="n"/>
      <c r="AD369" s="226" t="n"/>
      <c r="AE369" s="226" t="n"/>
      <c r="AF369" s="226" t="n"/>
      <c r="AG369" s="226" t="n"/>
      <c r="AH369" s="226" t="n"/>
      <c r="AI369" s="226" t="n"/>
      <c r="AJ369" s="226" t="n"/>
      <c r="AK369" s="226" t="n"/>
      <c r="AL369" s="227" t="n"/>
    </row>
    <row r="370">
      <c r="B370" s="94" t="n"/>
      <c r="C370" s="105" t="n"/>
      <c r="D370" s="105" t="n"/>
      <c r="E370" s="105" t="n"/>
      <c r="F370" s="105" t="n"/>
      <c r="G370" s="105" t="n"/>
      <c r="H370" s="105" t="n"/>
      <c r="I370" s="106" t="n"/>
      <c r="J370" s="105" t="n"/>
      <c r="K370" s="95" t="n"/>
      <c r="L370" s="107" t="n"/>
      <c r="M370" s="107" t="n"/>
      <c r="N370" s="107" t="n"/>
      <c r="O370" s="107" t="n"/>
      <c r="P370" s="107" t="n"/>
      <c r="Q370" s="107" t="n"/>
      <c r="R370" s="107" t="n"/>
      <c r="S370" s="107" t="n"/>
      <c r="T370" s="107" t="n"/>
      <c r="U370" s="107" t="n"/>
      <c r="V370" s="107" t="n"/>
      <c r="W370" s="107" t="n"/>
      <c r="X370" s="107" t="n"/>
      <c r="Y370" s="107" t="n"/>
      <c r="Z370" s="107" t="n"/>
      <c r="AA370" s="226" t="n"/>
      <c r="AB370" s="226" t="n"/>
      <c r="AC370" s="226" t="n"/>
      <c r="AD370" s="226" t="n"/>
      <c r="AE370" s="226" t="n"/>
      <c r="AF370" s="226" t="n"/>
      <c r="AG370" s="226" t="n"/>
      <c r="AH370" s="226" t="n"/>
      <c r="AI370" s="226" t="n"/>
      <c r="AJ370" s="226" t="n"/>
      <c r="AK370" s="226" t="n"/>
      <c r="AL370" s="227" t="n"/>
    </row>
    <row r="371">
      <c r="B371" s="94" t="n"/>
      <c r="C371" s="105" t="n"/>
      <c r="D371" s="105" t="n"/>
      <c r="E371" s="105" t="n"/>
      <c r="F371" s="105" t="n"/>
      <c r="G371" s="105" t="n"/>
      <c r="H371" s="105" t="n"/>
      <c r="I371" s="106" t="n"/>
      <c r="J371" s="105" t="n"/>
      <c r="K371" s="95" t="n"/>
      <c r="L371" s="107" t="n"/>
      <c r="M371" s="107" t="n"/>
      <c r="N371" s="107" t="n"/>
      <c r="O371" s="107" t="n"/>
      <c r="P371" s="107" t="n"/>
      <c r="Q371" s="107" t="n"/>
      <c r="R371" s="107" t="n"/>
      <c r="S371" s="107" t="n"/>
      <c r="T371" s="107" t="n"/>
      <c r="U371" s="107" t="n"/>
      <c r="V371" s="107" t="n"/>
      <c r="W371" s="107" t="n"/>
      <c r="X371" s="107" t="n"/>
      <c r="Y371" s="107" t="n"/>
      <c r="Z371" s="107" t="n"/>
      <c r="AA371" s="226" t="n"/>
      <c r="AB371" s="226" t="n"/>
      <c r="AC371" s="226" t="n"/>
      <c r="AD371" s="226" t="n"/>
      <c r="AE371" s="226" t="n"/>
      <c r="AF371" s="226" t="n"/>
      <c r="AG371" s="226" t="n"/>
      <c r="AH371" s="226" t="n"/>
      <c r="AI371" s="226" t="n"/>
      <c r="AJ371" s="226" t="n"/>
      <c r="AK371" s="226" t="n"/>
      <c r="AL371" s="227" t="n"/>
    </row>
    <row r="372">
      <c r="B372" s="94" t="n"/>
      <c r="C372" s="105" t="n"/>
      <c r="D372" s="105" t="n"/>
      <c r="E372" s="105" t="n"/>
      <c r="F372" s="105" t="n"/>
      <c r="G372" s="105" t="n"/>
      <c r="H372" s="105" t="n"/>
      <c r="I372" s="106" t="n"/>
      <c r="J372" s="105" t="n"/>
      <c r="K372" s="95" t="n"/>
      <c r="L372" s="107" t="n"/>
      <c r="M372" s="107" t="n"/>
      <c r="N372" s="107" t="n"/>
      <c r="O372" s="107" t="n"/>
      <c r="P372" s="107" t="n"/>
      <c r="Q372" s="107" t="n"/>
      <c r="R372" s="107" t="n"/>
      <c r="S372" s="107" t="n"/>
      <c r="T372" s="107" t="n"/>
      <c r="U372" s="107" t="n"/>
      <c r="V372" s="107" t="n"/>
      <c r="W372" s="107" t="n"/>
      <c r="X372" s="107" t="n"/>
      <c r="Y372" s="107" t="n"/>
      <c r="Z372" s="107" t="n"/>
      <c r="AA372" s="226" t="n"/>
      <c r="AB372" s="226" t="n"/>
      <c r="AC372" s="226" t="n"/>
      <c r="AD372" s="226" t="n"/>
      <c r="AE372" s="226" t="n"/>
      <c r="AF372" s="226" t="n"/>
      <c r="AG372" s="226" t="n"/>
      <c r="AH372" s="226" t="n"/>
      <c r="AI372" s="226" t="n"/>
      <c r="AJ372" s="226" t="n"/>
      <c r="AK372" s="226" t="n"/>
      <c r="AL372" s="227" t="n"/>
    </row>
    <row r="373">
      <c r="B373" s="94" t="n"/>
      <c r="C373" s="105" t="n"/>
      <c r="D373" s="105" t="n"/>
      <c r="E373" s="105" t="n"/>
      <c r="F373" s="105" t="n"/>
      <c r="G373" s="105" t="n"/>
      <c r="H373" s="105" t="n"/>
      <c r="I373" s="106" t="n"/>
      <c r="J373" s="105" t="n"/>
      <c r="K373" s="95" t="n"/>
      <c r="L373" s="107" t="n"/>
      <c r="M373" s="107" t="n"/>
      <c r="N373" s="107" t="n"/>
      <c r="O373" s="107" t="n"/>
      <c r="P373" s="107" t="n"/>
      <c r="Q373" s="107" t="n"/>
      <c r="R373" s="107" t="n"/>
      <c r="S373" s="107" t="n"/>
      <c r="T373" s="107" t="n"/>
      <c r="U373" s="107" t="n"/>
      <c r="V373" s="107" t="n"/>
      <c r="W373" s="107" t="n"/>
      <c r="X373" s="107" t="n"/>
      <c r="Y373" s="107" t="n"/>
      <c r="Z373" s="107" t="n"/>
      <c r="AA373" s="226" t="n"/>
      <c r="AB373" s="226" t="n"/>
      <c r="AC373" s="226" t="n"/>
      <c r="AD373" s="226" t="n"/>
      <c r="AE373" s="226" t="n"/>
      <c r="AF373" s="226" t="n"/>
      <c r="AG373" s="226" t="n"/>
      <c r="AH373" s="226" t="n"/>
      <c r="AI373" s="226" t="n"/>
      <c r="AJ373" s="226" t="n"/>
      <c r="AK373" s="226" t="n"/>
      <c r="AL373" s="227" t="n"/>
    </row>
    <row r="374">
      <c r="B374" s="94" t="n"/>
      <c r="C374" s="105" t="n"/>
      <c r="D374" s="105" t="n"/>
      <c r="E374" s="105" t="n"/>
      <c r="F374" s="105" t="n"/>
      <c r="G374" s="105" t="n"/>
      <c r="H374" s="105" t="n"/>
      <c r="I374" s="106" t="n"/>
      <c r="J374" s="105" t="n"/>
      <c r="K374" s="95" t="n"/>
      <c r="L374" s="107" t="n"/>
      <c r="M374" s="107" t="n"/>
      <c r="N374" s="107" t="n"/>
      <c r="O374" s="107" t="n"/>
      <c r="P374" s="107" t="n"/>
      <c r="Q374" s="107" t="n"/>
      <c r="R374" s="107" t="n"/>
      <c r="S374" s="107" t="n"/>
      <c r="T374" s="107" t="n"/>
      <c r="U374" s="107" t="n"/>
      <c r="V374" s="107" t="n"/>
      <c r="W374" s="107" t="n"/>
      <c r="X374" s="107" t="n"/>
      <c r="Y374" s="107" t="n"/>
      <c r="Z374" s="107" t="n"/>
      <c r="AA374" s="226" t="n"/>
      <c r="AB374" s="226" t="n"/>
      <c r="AC374" s="226" t="n"/>
      <c r="AD374" s="226" t="n"/>
      <c r="AE374" s="226" t="n"/>
      <c r="AF374" s="226" t="n"/>
      <c r="AG374" s="226" t="n"/>
      <c r="AH374" s="226" t="n"/>
      <c r="AI374" s="226" t="n"/>
      <c r="AJ374" s="226" t="n"/>
      <c r="AK374" s="226" t="n"/>
      <c r="AL374" s="227" t="n"/>
    </row>
    <row r="375">
      <c r="B375" s="94" t="n"/>
      <c r="C375" s="105" t="n"/>
      <c r="D375" s="105" t="n"/>
      <c r="E375" s="105" t="n"/>
      <c r="F375" s="105" t="n"/>
      <c r="G375" s="105" t="n"/>
      <c r="H375" s="105" t="n"/>
      <c r="I375" s="106" t="n"/>
      <c r="J375" s="105" t="n"/>
      <c r="K375" s="95" t="n"/>
      <c r="L375" s="107" t="n"/>
      <c r="M375" s="107" t="n"/>
      <c r="N375" s="107" t="n"/>
      <c r="O375" s="107" t="n"/>
      <c r="P375" s="107" t="n"/>
      <c r="Q375" s="107" t="n"/>
      <c r="R375" s="107" t="n"/>
      <c r="S375" s="107" t="n"/>
      <c r="T375" s="107" t="n"/>
      <c r="U375" s="107" t="n"/>
      <c r="V375" s="107" t="n"/>
      <c r="W375" s="107" t="n"/>
      <c r="X375" s="107" t="n"/>
      <c r="Y375" s="107" t="n"/>
      <c r="Z375" s="107" t="n"/>
      <c r="AA375" s="226" t="n"/>
      <c r="AB375" s="226" t="n"/>
      <c r="AC375" s="226" t="n"/>
      <c r="AD375" s="226" t="n"/>
      <c r="AE375" s="226" t="n"/>
      <c r="AF375" s="226" t="n"/>
      <c r="AG375" s="226" t="n"/>
      <c r="AH375" s="226" t="n"/>
      <c r="AI375" s="226" t="n"/>
      <c r="AJ375" s="226" t="n"/>
      <c r="AK375" s="226" t="n"/>
      <c r="AL375" s="227" t="n"/>
    </row>
    <row r="376">
      <c r="B376" s="94" t="n"/>
      <c r="C376" s="105" t="n"/>
      <c r="D376" s="105" t="n"/>
      <c r="E376" s="105" t="n"/>
      <c r="F376" s="105" t="n"/>
      <c r="G376" s="105" t="n"/>
      <c r="H376" s="105" t="n"/>
      <c r="I376" s="106" t="n"/>
      <c r="J376" s="105" t="n"/>
      <c r="K376" s="95" t="n"/>
      <c r="L376" s="107" t="n"/>
      <c r="M376" s="107" t="n"/>
      <c r="N376" s="107" t="n"/>
      <c r="O376" s="107" t="n"/>
      <c r="P376" s="107" t="n"/>
      <c r="Q376" s="107" t="n"/>
      <c r="R376" s="107" t="n"/>
      <c r="S376" s="107" t="n"/>
      <c r="T376" s="107" t="n"/>
      <c r="U376" s="107" t="n"/>
      <c r="V376" s="107" t="n"/>
      <c r="W376" s="107" t="n"/>
      <c r="X376" s="107" t="n"/>
      <c r="Y376" s="107" t="n"/>
      <c r="Z376" s="107" t="n"/>
      <c r="AA376" s="226" t="n"/>
      <c r="AB376" s="226" t="n"/>
      <c r="AC376" s="226" t="n"/>
      <c r="AD376" s="226" t="n"/>
      <c r="AE376" s="226" t="n"/>
      <c r="AF376" s="226" t="n"/>
      <c r="AG376" s="226" t="n"/>
      <c r="AH376" s="226" t="n"/>
      <c r="AI376" s="226" t="n"/>
      <c r="AJ376" s="226" t="n"/>
      <c r="AK376" s="226" t="n"/>
      <c r="AL376" s="227" t="n"/>
    </row>
    <row r="377">
      <c r="B377" s="94" t="n"/>
      <c r="C377" s="105" t="n"/>
      <c r="D377" s="105" t="n"/>
      <c r="E377" s="105" t="n"/>
      <c r="F377" s="105" t="n"/>
      <c r="G377" s="105" t="n"/>
      <c r="H377" s="105" t="n"/>
      <c r="I377" s="106" t="n"/>
      <c r="J377" s="105" t="n"/>
      <c r="K377" s="95" t="n"/>
      <c r="L377" s="107" t="n"/>
      <c r="M377" s="107" t="n"/>
      <c r="N377" s="107" t="n"/>
      <c r="O377" s="107" t="n"/>
      <c r="P377" s="107" t="n"/>
      <c r="Q377" s="107" t="n"/>
      <c r="R377" s="107" t="n"/>
      <c r="S377" s="107" t="n"/>
      <c r="T377" s="107" t="n"/>
      <c r="U377" s="107" t="n"/>
      <c r="V377" s="107" t="n"/>
      <c r="W377" s="107" t="n"/>
      <c r="X377" s="107" t="n"/>
      <c r="Y377" s="107" t="n"/>
      <c r="Z377" s="107" t="n"/>
      <c r="AA377" s="226" t="n"/>
      <c r="AB377" s="226" t="n"/>
      <c r="AC377" s="226" t="n"/>
      <c r="AD377" s="226" t="n"/>
      <c r="AE377" s="226" t="n"/>
      <c r="AF377" s="226" t="n"/>
      <c r="AG377" s="226" t="n"/>
      <c r="AH377" s="226" t="n"/>
      <c r="AI377" s="226" t="n"/>
      <c r="AJ377" s="226" t="n"/>
      <c r="AK377" s="226" t="n"/>
      <c r="AL377" s="227" t="n"/>
    </row>
    <row r="378">
      <c r="B378" s="94" t="n"/>
      <c r="C378" s="105" t="n"/>
      <c r="D378" s="105" t="n"/>
      <c r="E378" s="105" t="n"/>
      <c r="F378" s="105" t="n"/>
      <c r="G378" s="105" t="n"/>
      <c r="H378" s="105" t="n"/>
      <c r="I378" s="106" t="n"/>
      <c r="J378" s="105" t="n"/>
      <c r="K378" s="95" t="n"/>
      <c r="L378" s="107" t="n"/>
      <c r="M378" s="107" t="n"/>
      <c r="N378" s="107" t="n"/>
      <c r="O378" s="107" t="n"/>
      <c r="P378" s="107" t="n"/>
      <c r="Q378" s="107" t="n"/>
      <c r="R378" s="107" t="n"/>
      <c r="S378" s="107" t="n"/>
      <c r="T378" s="107" t="n"/>
      <c r="U378" s="107" t="n"/>
      <c r="V378" s="107" t="n"/>
      <c r="W378" s="107" t="n"/>
      <c r="X378" s="107" t="n"/>
      <c r="Y378" s="107" t="n"/>
      <c r="Z378" s="107" t="n"/>
      <c r="AA378" s="226" t="n"/>
      <c r="AB378" s="226" t="n"/>
      <c r="AC378" s="226" t="n"/>
      <c r="AD378" s="226" t="n"/>
      <c r="AE378" s="226" t="n"/>
      <c r="AF378" s="226" t="n"/>
      <c r="AG378" s="226" t="n"/>
      <c r="AH378" s="226" t="n"/>
      <c r="AI378" s="226" t="n"/>
      <c r="AJ378" s="226" t="n"/>
      <c r="AK378" s="226" t="n"/>
      <c r="AL378" s="227" t="n"/>
    </row>
    <row r="379">
      <c r="B379" s="94" t="n"/>
      <c r="C379" s="105" t="n"/>
      <c r="D379" s="105" t="n"/>
      <c r="E379" s="105" t="n"/>
      <c r="F379" s="105" t="n"/>
      <c r="G379" s="105" t="n"/>
      <c r="H379" s="105" t="n"/>
      <c r="I379" s="106" t="n"/>
      <c r="J379" s="105" t="n"/>
      <c r="K379" s="95" t="n"/>
      <c r="L379" s="107" t="n"/>
      <c r="M379" s="107" t="n"/>
      <c r="N379" s="107" t="n"/>
      <c r="O379" s="107" t="n"/>
      <c r="P379" s="107" t="n"/>
      <c r="Q379" s="107" t="n"/>
      <c r="R379" s="107" t="n"/>
      <c r="S379" s="107" t="n"/>
      <c r="T379" s="107" t="n"/>
      <c r="U379" s="107" t="n"/>
      <c r="V379" s="107" t="n"/>
      <c r="W379" s="107" t="n"/>
      <c r="X379" s="107" t="n"/>
      <c r="Y379" s="107" t="n"/>
      <c r="Z379" s="107" t="n"/>
      <c r="AA379" s="226" t="n"/>
      <c r="AB379" s="226" t="n"/>
      <c r="AC379" s="226" t="n"/>
      <c r="AD379" s="226" t="n"/>
      <c r="AE379" s="226" t="n"/>
      <c r="AF379" s="226" t="n"/>
      <c r="AG379" s="226" t="n"/>
      <c r="AH379" s="226" t="n"/>
      <c r="AI379" s="226" t="n"/>
      <c r="AJ379" s="226" t="n"/>
      <c r="AK379" s="226" t="n"/>
      <c r="AL379" s="227" t="n"/>
    </row>
    <row r="380">
      <c r="B380" s="94" t="n"/>
      <c r="C380" s="105" t="n"/>
      <c r="D380" s="105" t="n"/>
      <c r="E380" s="105" t="n"/>
      <c r="F380" s="105" t="n"/>
      <c r="G380" s="105" t="n"/>
      <c r="H380" s="105" t="n"/>
      <c r="I380" s="106" t="n"/>
      <c r="J380" s="105" t="n"/>
      <c r="K380" s="95" t="n"/>
      <c r="L380" s="107" t="n"/>
      <c r="M380" s="107" t="n"/>
      <c r="N380" s="107" t="n"/>
      <c r="O380" s="107" t="n"/>
      <c r="P380" s="107" t="n"/>
      <c r="Q380" s="107" t="n"/>
      <c r="R380" s="107" t="n"/>
      <c r="S380" s="107" t="n"/>
      <c r="T380" s="107" t="n"/>
      <c r="U380" s="107" t="n"/>
      <c r="V380" s="107" t="n"/>
      <c r="W380" s="107" t="n"/>
      <c r="X380" s="107" t="n"/>
      <c r="Y380" s="107" t="n"/>
      <c r="Z380" s="107" t="n"/>
      <c r="AA380" s="226" t="n"/>
      <c r="AB380" s="226" t="n"/>
      <c r="AC380" s="226" t="n"/>
      <c r="AD380" s="226" t="n"/>
      <c r="AE380" s="226" t="n"/>
      <c r="AF380" s="226" t="n"/>
      <c r="AG380" s="226" t="n"/>
      <c r="AH380" s="226" t="n"/>
      <c r="AI380" s="226" t="n"/>
      <c r="AJ380" s="226" t="n"/>
      <c r="AK380" s="226" t="n"/>
      <c r="AL380" s="227" t="n"/>
    </row>
    <row r="381">
      <c r="B381" s="94" t="n"/>
      <c r="C381" s="105" t="n"/>
      <c r="D381" s="105" t="n"/>
      <c r="E381" s="105" t="n"/>
      <c r="F381" s="105" t="n"/>
      <c r="G381" s="105" t="n"/>
      <c r="H381" s="105" t="n"/>
      <c r="I381" s="106" t="n"/>
      <c r="J381" s="105" t="n"/>
      <c r="K381" s="95" t="n"/>
      <c r="L381" s="107" t="n"/>
      <c r="M381" s="107" t="n"/>
      <c r="N381" s="107" t="n"/>
      <c r="O381" s="107" t="n"/>
      <c r="P381" s="107" t="n"/>
      <c r="Q381" s="107" t="n"/>
      <c r="R381" s="107" t="n"/>
      <c r="S381" s="107" t="n"/>
      <c r="T381" s="107" t="n"/>
      <c r="U381" s="107" t="n"/>
      <c r="V381" s="107" t="n"/>
      <c r="W381" s="107" t="n"/>
      <c r="X381" s="107" t="n"/>
      <c r="Y381" s="107" t="n"/>
      <c r="Z381" s="107" t="n"/>
      <c r="AA381" s="226" t="n"/>
      <c r="AB381" s="226" t="n"/>
      <c r="AC381" s="226" t="n"/>
      <c r="AD381" s="226" t="n"/>
      <c r="AE381" s="226" t="n"/>
      <c r="AF381" s="226" t="n"/>
      <c r="AG381" s="226" t="n"/>
      <c r="AH381" s="226" t="n"/>
      <c r="AI381" s="226" t="n"/>
      <c r="AJ381" s="226" t="n"/>
      <c r="AK381" s="226" t="n"/>
      <c r="AL381" s="227" t="n"/>
    </row>
    <row r="382">
      <c r="B382" s="94" t="n"/>
      <c r="C382" s="105" t="n"/>
      <c r="D382" s="105" t="n"/>
      <c r="E382" s="105" t="n"/>
      <c r="F382" s="105" t="n"/>
      <c r="G382" s="105" t="n"/>
      <c r="H382" s="105" t="n"/>
      <c r="I382" s="106" t="n"/>
      <c r="J382" s="105" t="n"/>
      <c r="K382" s="95" t="n"/>
      <c r="L382" s="107" t="n"/>
      <c r="M382" s="107" t="n"/>
      <c r="N382" s="107" t="n"/>
      <c r="O382" s="107" t="n"/>
      <c r="P382" s="107" t="n"/>
      <c r="Q382" s="107" t="n"/>
      <c r="R382" s="107" t="n"/>
      <c r="S382" s="107" t="n"/>
      <c r="T382" s="107" t="n"/>
      <c r="U382" s="107" t="n"/>
      <c r="V382" s="107" t="n"/>
      <c r="W382" s="107" t="n"/>
      <c r="X382" s="107" t="n"/>
      <c r="Y382" s="107" t="n"/>
      <c r="Z382" s="107" t="n"/>
      <c r="AA382" s="226" t="n"/>
      <c r="AB382" s="226" t="n"/>
      <c r="AC382" s="226" t="n"/>
      <c r="AD382" s="226" t="n"/>
      <c r="AE382" s="226" t="n"/>
      <c r="AF382" s="226" t="n"/>
      <c r="AG382" s="226" t="n"/>
      <c r="AH382" s="226" t="n"/>
      <c r="AI382" s="226" t="n"/>
      <c r="AJ382" s="226" t="n"/>
      <c r="AK382" s="226" t="n"/>
      <c r="AL382" s="227" t="n"/>
    </row>
    <row r="383">
      <c r="B383" s="94" t="n"/>
      <c r="C383" s="105" t="n"/>
      <c r="D383" s="105" t="n"/>
      <c r="E383" s="105" t="n"/>
      <c r="F383" s="105" t="n"/>
      <c r="G383" s="105" t="n"/>
      <c r="H383" s="105" t="n"/>
      <c r="I383" s="106" t="n"/>
      <c r="J383" s="105" t="n"/>
      <c r="K383" s="95" t="n"/>
      <c r="L383" s="107" t="n"/>
      <c r="M383" s="107" t="n"/>
      <c r="N383" s="107" t="n"/>
      <c r="O383" s="107" t="n"/>
      <c r="P383" s="107" t="n"/>
      <c r="Q383" s="107" t="n"/>
      <c r="R383" s="107" t="n"/>
      <c r="S383" s="107" t="n"/>
      <c r="T383" s="107" t="n"/>
      <c r="U383" s="107" t="n"/>
      <c r="V383" s="107" t="n"/>
      <c r="W383" s="107" t="n"/>
      <c r="X383" s="107" t="n"/>
      <c r="Y383" s="107" t="n"/>
      <c r="Z383" s="107" t="n"/>
      <c r="AA383" s="226" t="n"/>
      <c r="AB383" s="226" t="n"/>
      <c r="AC383" s="226" t="n"/>
      <c r="AD383" s="226" t="n"/>
      <c r="AE383" s="226" t="n"/>
      <c r="AF383" s="226" t="n"/>
      <c r="AG383" s="226" t="n"/>
      <c r="AH383" s="226" t="n"/>
      <c r="AI383" s="226" t="n"/>
      <c r="AJ383" s="226" t="n"/>
      <c r="AK383" s="226" t="n"/>
      <c r="AL383" s="227" t="n"/>
    </row>
    <row r="384">
      <c r="B384" s="94" t="n"/>
      <c r="C384" s="105" t="n"/>
      <c r="D384" s="105" t="n"/>
      <c r="E384" s="105" t="n"/>
      <c r="F384" s="105" t="n"/>
      <c r="G384" s="105" t="n"/>
      <c r="H384" s="105" t="n"/>
      <c r="I384" s="106" t="n"/>
      <c r="J384" s="105" t="n"/>
      <c r="K384" s="95" t="n"/>
      <c r="L384" s="107" t="n"/>
      <c r="M384" s="107" t="n"/>
      <c r="N384" s="107" t="n"/>
      <c r="O384" s="107" t="n"/>
      <c r="P384" s="107" t="n"/>
      <c r="Q384" s="107" t="n"/>
      <c r="R384" s="107" t="n"/>
      <c r="S384" s="107" t="n"/>
      <c r="T384" s="107" t="n"/>
      <c r="U384" s="107" t="n"/>
      <c r="V384" s="107" t="n"/>
      <c r="W384" s="107" t="n"/>
      <c r="X384" s="107" t="n"/>
      <c r="Y384" s="107" t="n"/>
      <c r="Z384" s="107" t="n"/>
      <c r="AA384" s="226" t="n"/>
      <c r="AB384" s="226" t="n"/>
      <c r="AC384" s="226" t="n"/>
      <c r="AD384" s="226" t="n"/>
      <c r="AE384" s="226" t="n"/>
      <c r="AF384" s="226" t="n"/>
      <c r="AG384" s="226" t="n"/>
      <c r="AH384" s="226" t="n"/>
      <c r="AI384" s="226" t="n"/>
      <c r="AJ384" s="226" t="n"/>
      <c r="AK384" s="226" t="n"/>
      <c r="AL384" s="227" t="n"/>
    </row>
    <row r="385">
      <c r="B385" s="94" t="n"/>
      <c r="C385" s="105" t="n"/>
      <c r="D385" s="105" t="n"/>
      <c r="E385" s="105" t="n"/>
      <c r="F385" s="105" t="n"/>
      <c r="G385" s="105" t="n"/>
      <c r="H385" s="105" t="n"/>
      <c r="I385" s="106" t="n"/>
      <c r="J385" s="105" t="n"/>
      <c r="K385" s="95" t="n"/>
      <c r="L385" s="107" t="n"/>
      <c r="M385" s="107" t="n"/>
      <c r="N385" s="107" t="n"/>
      <c r="O385" s="107" t="n"/>
      <c r="P385" s="107" t="n"/>
      <c r="Q385" s="107" t="n"/>
      <c r="R385" s="107" t="n"/>
      <c r="S385" s="107" t="n"/>
      <c r="T385" s="107" t="n"/>
      <c r="U385" s="107" t="n"/>
      <c r="V385" s="107" t="n"/>
      <c r="W385" s="107" t="n"/>
      <c r="X385" s="107" t="n"/>
      <c r="Y385" s="107" t="n"/>
      <c r="Z385" s="107" t="n"/>
      <c r="AA385" s="226" t="n"/>
      <c r="AB385" s="226" t="n"/>
      <c r="AC385" s="226" t="n"/>
      <c r="AD385" s="226" t="n"/>
      <c r="AE385" s="226" t="n"/>
      <c r="AF385" s="226" t="n"/>
      <c r="AG385" s="226" t="n"/>
      <c r="AH385" s="226" t="n"/>
      <c r="AI385" s="226" t="n"/>
      <c r="AJ385" s="226" t="n"/>
      <c r="AK385" s="226" t="n"/>
      <c r="AL385" s="227" t="n"/>
    </row>
    <row r="386">
      <c r="B386" s="94" t="n"/>
      <c r="C386" s="105" t="n"/>
      <c r="D386" s="105" t="n"/>
      <c r="E386" s="105" t="n"/>
      <c r="F386" s="105" t="n"/>
      <c r="G386" s="105" t="n"/>
      <c r="H386" s="105" t="n"/>
      <c r="I386" s="106" t="n"/>
      <c r="J386" s="105" t="n"/>
      <c r="K386" s="95" t="n"/>
      <c r="L386" s="107" t="n"/>
      <c r="M386" s="107" t="n"/>
      <c r="N386" s="107" t="n"/>
      <c r="O386" s="107" t="n"/>
      <c r="P386" s="107" t="n"/>
      <c r="Q386" s="107" t="n"/>
      <c r="R386" s="107" t="n"/>
      <c r="S386" s="107" t="n"/>
      <c r="T386" s="107" t="n"/>
      <c r="U386" s="107" t="n"/>
      <c r="V386" s="107" t="n"/>
      <c r="W386" s="107" t="n"/>
      <c r="X386" s="107" t="n"/>
      <c r="Y386" s="107" t="n"/>
      <c r="Z386" s="107" t="n"/>
      <c r="AA386" s="226" t="n"/>
      <c r="AB386" s="226" t="n"/>
      <c r="AC386" s="226" t="n"/>
      <c r="AD386" s="226" t="n"/>
      <c r="AE386" s="226" t="n"/>
      <c r="AF386" s="226" t="n"/>
      <c r="AG386" s="226" t="n"/>
      <c r="AH386" s="226" t="n"/>
      <c r="AI386" s="226" t="n"/>
      <c r="AJ386" s="226" t="n"/>
      <c r="AK386" s="226" t="n"/>
      <c r="AL386" s="227" t="n"/>
    </row>
    <row r="387">
      <c r="B387" s="94" t="n"/>
      <c r="C387" s="105" t="n"/>
      <c r="D387" s="105" t="n"/>
      <c r="E387" s="105" t="n"/>
      <c r="F387" s="105" t="n"/>
      <c r="G387" s="105" t="n"/>
      <c r="H387" s="105" t="n"/>
      <c r="I387" s="106" t="n"/>
      <c r="J387" s="105" t="n"/>
      <c r="K387" s="95" t="n"/>
      <c r="L387" s="107" t="n"/>
      <c r="M387" s="107" t="n"/>
      <c r="N387" s="107" t="n"/>
      <c r="O387" s="107" t="n"/>
      <c r="P387" s="107" t="n"/>
      <c r="Q387" s="107" t="n"/>
      <c r="R387" s="107" t="n"/>
      <c r="S387" s="107" t="n"/>
      <c r="T387" s="107" t="n"/>
      <c r="U387" s="107" t="n"/>
      <c r="V387" s="107" t="n"/>
      <c r="W387" s="107" t="n"/>
      <c r="X387" s="107" t="n"/>
      <c r="Y387" s="107" t="n"/>
      <c r="Z387" s="107" t="n"/>
      <c r="AA387" s="226" t="n"/>
      <c r="AB387" s="226" t="n"/>
      <c r="AC387" s="226" t="n"/>
      <c r="AD387" s="226" t="n"/>
      <c r="AE387" s="226" t="n"/>
      <c r="AF387" s="226" t="n"/>
      <c r="AG387" s="226" t="n"/>
      <c r="AH387" s="226" t="n"/>
      <c r="AI387" s="226" t="n"/>
      <c r="AJ387" s="226" t="n"/>
      <c r="AK387" s="226" t="n"/>
      <c r="AL387" s="227" t="n"/>
    </row>
    <row r="388">
      <c r="B388" s="94" t="n"/>
      <c r="C388" s="105" t="n"/>
      <c r="D388" s="105" t="n"/>
      <c r="E388" s="105" t="n"/>
      <c r="F388" s="105" t="n"/>
      <c r="G388" s="105" t="n"/>
      <c r="H388" s="105" t="n"/>
      <c r="I388" s="106" t="n"/>
      <c r="J388" s="105" t="n"/>
      <c r="K388" s="95" t="n"/>
      <c r="L388" s="107" t="n"/>
      <c r="M388" s="107" t="n"/>
      <c r="N388" s="107" t="n"/>
      <c r="O388" s="107" t="n"/>
      <c r="P388" s="107" t="n"/>
      <c r="Q388" s="107" t="n"/>
      <c r="R388" s="107" t="n"/>
      <c r="S388" s="107" t="n"/>
      <c r="T388" s="107" t="n"/>
      <c r="U388" s="107" t="n"/>
      <c r="V388" s="107" t="n"/>
      <c r="W388" s="107" t="n"/>
      <c r="X388" s="107" t="n"/>
      <c r="Y388" s="107" t="n"/>
      <c r="Z388" s="107" t="n"/>
      <c r="AA388" s="226" t="n"/>
      <c r="AB388" s="226" t="n"/>
      <c r="AC388" s="226" t="n"/>
      <c r="AD388" s="226" t="n"/>
      <c r="AE388" s="226" t="n"/>
      <c r="AF388" s="226" t="n"/>
      <c r="AG388" s="226" t="n"/>
      <c r="AH388" s="226" t="n"/>
      <c r="AI388" s="226" t="n"/>
      <c r="AJ388" s="226" t="n"/>
      <c r="AK388" s="226" t="n"/>
      <c r="AL388" s="227" t="n"/>
    </row>
    <row r="389">
      <c r="B389" s="94" t="n"/>
      <c r="C389" s="105" t="n"/>
      <c r="D389" s="105" t="n"/>
      <c r="E389" s="105" t="n"/>
      <c r="F389" s="105" t="n"/>
      <c r="G389" s="105" t="n"/>
      <c r="H389" s="105" t="n"/>
      <c r="I389" s="106" t="n"/>
      <c r="J389" s="105" t="n"/>
      <c r="K389" s="95" t="n"/>
      <c r="L389" s="107" t="n"/>
      <c r="M389" s="107" t="n"/>
      <c r="N389" s="107" t="n"/>
      <c r="O389" s="107" t="n"/>
      <c r="P389" s="107" t="n"/>
      <c r="Q389" s="107" t="n"/>
      <c r="R389" s="107" t="n"/>
      <c r="S389" s="107" t="n"/>
      <c r="T389" s="107" t="n"/>
      <c r="U389" s="107" t="n"/>
      <c r="V389" s="107" t="n"/>
      <c r="W389" s="107" t="n"/>
      <c r="X389" s="107" t="n"/>
      <c r="Y389" s="107" t="n"/>
      <c r="Z389" s="107" t="n"/>
      <c r="AA389" s="226" t="n"/>
      <c r="AB389" s="226" t="n"/>
      <c r="AC389" s="226" t="n"/>
      <c r="AD389" s="226" t="n"/>
      <c r="AE389" s="226" t="n"/>
      <c r="AF389" s="226" t="n"/>
      <c r="AG389" s="226" t="n"/>
      <c r="AH389" s="226" t="n"/>
      <c r="AI389" s="226" t="n"/>
      <c r="AJ389" s="226" t="n"/>
      <c r="AK389" s="226" t="n"/>
      <c r="AL389" s="227" t="n"/>
    </row>
    <row r="390">
      <c r="B390" s="94" t="n"/>
      <c r="C390" s="105" t="n"/>
      <c r="D390" s="105" t="n"/>
      <c r="E390" s="105" t="n"/>
      <c r="F390" s="105" t="n"/>
      <c r="G390" s="105" t="n"/>
      <c r="H390" s="105" t="n"/>
      <c r="I390" s="106" t="n"/>
      <c r="J390" s="105" t="n"/>
      <c r="K390" s="95" t="n"/>
      <c r="L390" s="107" t="n"/>
      <c r="M390" s="107" t="n"/>
      <c r="N390" s="107" t="n"/>
      <c r="O390" s="107" t="n"/>
      <c r="P390" s="107" t="n"/>
      <c r="Q390" s="107" t="n"/>
      <c r="R390" s="107" t="n"/>
      <c r="S390" s="107" t="n"/>
      <c r="T390" s="107" t="n"/>
      <c r="U390" s="107" t="n"/>
      <c r="V390" s="107" t="n"/>
      <c r="W390" s="107" t="n"/>
      <c r="X390" s="107" t="n"/>
      <c r="Y390" s="107" t="n"/>
      <c r="Z390" s="107" t="n"/>
      <c r="AA390" s="226" t="n"/>
      <c r="AB390" s="226" t="n"/>
      <c r="AC390" s="226" t="n"/>
      <c r="AD390" s="226" t="n"/>
      <c r="AE390" s="226" t="n"/>
      <c r="AF390" s="226" t="n"/>
      <c r="AG390" s="226" t="n"/>
      <c r="AH390" s="226" t="n"/>
      <c r="AI390" s="226" t="n"/>
      <c r="AJ390" s="226" t="n"/>
      <c r="AK390" s="226" t="n"/>
      <c r="AL390" s="227" t="n"/>
    </row>
    <row r="391">
      <c r="B391" s="94" t="n"/>
      <c r="C391" s="105" t="n"/>
      <c r="D391" s="105" t="n"/>
      <c r="E391" s="105" t="n"/>
      <c r="F391" s="105" t="n"/>
      <c r="G391" s="105" t="n"/>
      <c r="H391" s="105" t="n"/>
      <c r="I391" s="106" t="n"/>
      <c r="J391" s="105" t="n"/>
      <c r="K391" s="95" t="n"/>
      <c r="L391" s="107" t="n"/>
      <c r="M391" s="107" t="n"/>
      <c r="N391" s="107" t="n"/>
      <c r="O391" s="107" t="n"/>
      <c r="P391" s="107" t="n"/>
      <c r="Q391" s="107" t="n"/>
      <c r="R391" s="107" t="n"/>
      <c r="S391" s="107" t="n"/>
      <c r="T391" s="107" t="n"/>
      <c r="U391" s="107" t="n"/>
      <c r="V391" s="107" t="n"/>
      <c r="W391" s="107" t="n"/>
      <c r="X391" s="107" t="n"/>
      <c r="Y391" s="107" t="n"/>
      <c r="Z391" s="107" t="n"/>
      <c r="AA391" s="226" t="n"/>
      <c r="AB391" s="226" t="n"/>
      <c r="AC391" s="226" t="n"/>
      <c r="AD391" s="226" t="n"/>
      <c r="AE391" s="226" t="n"/>
      <c r="AF391" s="226" t="n"/>
      <c r="AG391" s="226" t="n"/>
      <c r="AH391" s="226" t="n"/>
      <c r="AI391" s="226" t="n"/>
      <c r="AJ391" s="226" t="n"/>
      <c r="AK391" s="226" t="n"/>
      <c r="AL391" s="227" t="n"/>
    </row>
    <row r="392">
      <c r="B392" s="94" t="n"/>
      <c r="C392" s="105" t="n"/>
      <c r="D392" s="105" t="n"/>
      <c r="E392" s="105" t="n"/>
      <c r="F392" s="105" t="n"/>
      <c r="G392" s="105" t="n"/>
      <c r="H392" s="105" t="n"/>
      <c r="I392" s="106" t="n"/>
      <c r="J392" s="105" t="n"/>
      <c r="K392" s="95" t="n"/>
      <c r="L392" s="107" t="n"/>
      <c r="M392" s="107" t="n"/>
      <c r="N392" s="107" t="n"/>
      <c r="O392" s="107" t="n"/>
      <c r="P392" s="107" t="n"/>
      <c r="Q392" s="107" t="n"/>
      <c r="R392" s="107" t="n"/>
      <c r="S392" s="107" t="n"/>
      <c r="T392" s="107" t="n"/>
      <c r="U392" s="107" t="n"/>
      <c r="V392" s="107" t="n"/>
      <c r="W392" s="107" t="n"/>
      <c r="X392" s="107" t="n"/>
      <c r="Y392" s="107" t="n"/>
      <c r="Z392" s="107" t="n"/>
      <c r="AA392" s="226" t="n"/>
      <c r="AB392" s="226" t="n"/>
      <c r="AC392" s="226" t="n"/>
      <c r="AD392" s="226" t="n"/>
      <c r="AE392" s="226" t="n"/>
      <c r="AF392" s="226" t="n"/>
      <c r="AG392" s="226" t="n"/>
      <c r="AH392" s="226" t="n"/>
      <c r="AI392" s="226" t="n"/>
      <c r="AJ392" s="226" t="n"/>
      <c r="AK392" s="226" t="n"/>
      <c r="AL392" s="227" t="n"/>
    </row>
    <row r="393">
      <c r="B393" s="94" t="n"/>
      <c r="C393" s="105" t="n"/>
      <c r="D393" s="105" t="n"/>
      <c r="E393" s="105" t="n"/>
      <c r="F393" s="105" t="n"/>
      <c r="G393" s="105" t="n"/>
      <c r="H393" s="105" t="n"/>
      <c r="I393" s="106" t="n"/>
      <c r="J393" s="105" t="n"/>
      <c r="K393" s="95" t="n"/>
      <c r="L393" s="107" t="n"/>
      <c r="M393" s="107" t="n"/>
      <c r="N393" s="107" t="n"/>
      <c r="O393" s="107" t="n"/>
      <c r="P393" s="107" t="n"/>
      <c r="Q393" s="107" t="n"/>
      <c r="R393" s="107" t="n"/>
      <c r="S393" s="107" t="n"/>
      <c r="T393" s="107" t="n"/>
      <c r="U393" s="107" t="n"/>
      <c r="V393" s="107" t="n"/>
      <c r="W393" s="107" t="n"/>
      <c r="X393" s="107" t="n"/>
      <c r="Y393" s="107" t="n"/>
      <c r="Z393" s="107" t="n"/>
      <c r="AA393" s="226" t="n"/>
      <c r="AB393" s="226" t="n"/>
      <c r="AC393" s="226" t="n"/>
      <c r="AD393" s="226" t="n"/>
      <c r="AE393" s="226" t="n"/>
      <c r="AF393" s="226" t="n"/>
      <c r="AG393" s="226" t="n"/>
      <c r="AH393" s="226" t="n"/>
      <c r="AI393" s="226" t="n"/>
      <c r="AJ393" s="226" t="n"/>
      <c r="AK393" s="226" t="n"/>
      <c r="AL393" s="227" t="n"/>
    </row>
    <row r="394">
      <c r="B394" s="94" t="n"/>
      <c r="C394" s="105" t="n"/>
      <c r="D394" s="105" t="n"/>
      <c r="E394" s="105" t="n"/>
      <c r="F394" s="105" t="n"/>
      <c r="G394" s="105" t="n"/>
      <c r="H394" s="105" t="n"/>
      <c r="I394" s="106" t="n"/>
      <c r="J394" s="105" t="n"/>
      <c r="K394" s="95" t="n"/>
      <c r="L394" s="107" t="n"/>
      <c r="M394" s="107" t="n"/>
      <c r="N394" s="107" t="n"/>
      <c r="O394" s="107" t="n"/>
      <c r="P394" s="107" t="n"/>
      <c r="Q394" s="107" t="n"/>
      <c r="R394" s="107" t="n"/>
      <c r="S394" s="107" t="n"/>
      <c r="T394" s="107" t="n"/>
      <c r="U394" s="107" t="n"/>
      <c r="V394" s="107" t="n"/>
      <c r="W394" s="107" t="n"/>
      <c r="X394" s="107" t="n"/>
      <c r="Y394" s="107" t="n"/>
      <c r="Z394" s="107" t="n"/>
      <c r="AA394" s="226" t="n"/>
      <c r="AB394" s="226" t="n"/>
      <c r="AC394" s="226" t="n"/>
      <c r="AD394" s="226" t="n"/>
      <c r="AE394" s="226" t="n"/>
      <c r="AF394" s="226" t="n"/>
      <c r="AG394" s="226" t="n"/>
      <c r="AH394" s="226" t="n"/>
      <c r="AI394" s="226" t="n"/>
      <c r="AJ394" s="226" t="n"/>
      <c r="AK394" s="226" t="n"/>
      <c r="AL394" s="227" t="n"/>
    </row>
    <row r="395">
      <c r="B395" s="94" t="n"/>
      <c r="C395" s="105" t="n"/>
      <c r="D395" s="105" t="n"/>
      <c r="E395" s="105" t="n"/>
      <c r="F395" s="105" t="n"/>
      <c r="G395" s="105" t="n"/>
      <c r="H395" s="105" t="n"/>
      <c r="I395" s="106" t="n"/>
      <c r="J395" s="105" t="n"/>
      <c r="K395" s="95" t="n"/>
      <c r="L395" s="107" t="n"/>
      <c r="M395" s="107" t="n"/>
      <c r="N395" s="107" t="n"/>
      <c r="O395" s="107" t="n"/>
      <c r="P395" s="107" t="n"/>
      <c r="Q395" s="107" t="n"/>
      <c r="R395" s="107" t="n"/>
      <c r="S395" s="107" t="n"/>
      <c r="T395" s="107" t="n"/>
      <c r="U395" s="107" t="n"/>
      <c r="V395" s="107" t="n"/>
      <c r="W395" s="107" t="n"/>
      <c r="X395" s="107" t="n"/>
      <c r="Y395" s="107" t="n"/>
      <c r="Z395" s="107" t="n"/>
      <c r="AA395" s="226" t="n"/>
      <c r="AB395" s="226" t="n"/>
      <c r="AC395" s="226" t="n"/>
      <c r="AD395" s="226" t="n"/>
      <c r="AE395" s="226" t="n"/>
      <c r="AF395" s="226" t="n"/>
      <c r="AG395" s="226" t="n"/>
      <c r="AH395" s="226" t="n"/>
      <c r="AI395" s="226" t="n"/>
      <c r="AJ395" s="226" t="n"/>
      <c r="AK395" s="226" t="n"/>
      <c r="AL395" s="227" t="n"/>
    </row>
    <row r="396">
      <c r="B396" s="94" t="n"/>
      <c r="C396" s="105" t="n"/>
      <c r="D396" s="105" t="n"/>
      <c r="E396" s="105" t="n"/>
      <c r="F396" s="105" t="n"/>
      <c r="G396" s="105" t="n"/>
      <c r="H396" s="105" t="n"/>
      <c r="I396" s="106" t="n"/>
      <c r="J396" s="105" t="n"/>
      <c r="K396" s="95" t="n"/>
      <c r="L396" s="107" t="n"/>
      <c r="M396" s="107" t="n"/>
      <c r="N396" s="107" t="n"/>
      <c r="O396" s="107" t="n"/>
      <c r="P396" s="107" t="n"/>
      <c r="Q396" s="107" t="n"/>
      <c r="R396" s="107" t="n"/>
      <c r="S396" s="107" t="n"/>
      <c r="T396" s="107" t="n"/>
      <c r="U396" s="107" t="n"/>
      <c r="V396" s="107" t="n"/>
      <c r="W396" s="107" t="n"/>
      <c r="X396" s="107" t="n"/>
      <c r="Y396" s="107" t="n"/>
      <c r="Z396" s="107" t="n"/>
      <c r="AA396" s="226" t="n"/>
      <c r="AB396" s="226" t="n"/>
      <c r="AC396" s="226" t="n"/>
      <c r="AD396" s="226" t="n"/>
      <c r="AE396" s="226" t="n"/>
      <c r="AF396" s="226" t="n"/>
      <c r="AG396" s="226" t="n"/>
      <c r="AH396" s="226" t="n"/>
      <c r="AI396" s="226" t="n"/>
      <c r="AJ396" s="226" t="n"/>
      <c r="AK396" s="226" t="n"/>
      <c r="AL396" s="227" t="n"/>
    </row>
    <row r="397">
      <c r="B397" s="94" t="n"/>
      <c r="C397" s="105" t="n"/>
      <c r="D397" s="105" t="n"/>
      <c r="E397" s="105" t="n"/>
      <c r="F397" s="105" t="n"/>
      <c r="G397" s="105" t="n"/>
      <c r="H397" s="105" t="n"/>
      <c r="I397" s="106" t="n"/>
      <c r="J397" s="105" t="n"/>
      <c r="K397" s="95" t="n"/>
      <c r="L397" s="107" t="n"/>
      <c r="M397" s="107" t="n"/>
      <c r="N397" s="107" t="n"/>
      <c r="O397" s="107" t="n"/>
      <c r="P397" s="107" t="n"/>
      <c r="Q397" s="107" t="n"/>
      <c r="R397" s="107" t="n"/>
      <c r="S397" s="107" t="n"/>
      <c r="T397" s="107" t="n"/>
      <c r="U397" s="107" t="n"/>
      <c r="V397" s="107" t="n"/>
      <c r="W397" s="107" t="n"/>
      <c r="X397" s="107" t="n"/>
      <c r="Y397" s="107" t="n"/>
      <c r="Z397" s="107" t="n"/>
      <c r="AA397" s="226" t="n"/>
      <c r="AB397" s="226" t="n"/>
      <c r="AC397" s="226" t="n"/>
      <c r="AD397" s="226" t="n"/>
      <c r="AE397" s="226" t="n"/>
      <c r="AF397" s="226" t="n"/>
      <c r="AG397" s="226" t="n"/>
      <c r="AH397" s="226" t="n"/>
      <c r="AI397" s="226" t="n"/>
      <c r="AJ397" s="226" t="n"/>
      <c r="AK397" s="226" t="n"/>
      <c r="AL397" s="227" t="n"/>
    </row>
    <row r="398">
      <c r="B398" s="94" t="n"/>
      <c r="C398" s="105" t="n"/>
      <c r="D398" s="105" t="n"/>
      <c r="E398" s="105" t="n"/>
      <c r="F398" s="105" t="n"/>
      <c r="G398" s="105" t="n"/>
      <c r="H398" s="105" t="n"/>
      <c r="I398" s="106" t="n"/>
      <c r="J398" s="105" t="n"/>
      <c r="K398" s="95" t="n"/>
      <c r="L398" s="107" t="n"/>
      <c r="M398" s="107" t="n"/>
      <c r="N398" s="107" t="n"/>
      <c r="O398" s="107" t="n"/>
      <c r="P398" s="107" t="n"/>
      <c r="Q398" s="107" t="n"/>
      <c r="R398" s="107" t="n"/>
      <c r="S398" s="107" t="n"/>
      <c r="T398" s="107" t="n"/>
      <c r="U398" s="107" t="n"/>
      <c r="V398" s="107" t="n"/>
      <c r="W398" s="107" t="n"/>
      <c r="X398" s="107" t="n"/>
      <c r="Y398" s="107" t="n"/>
      <c r="Z398" s="107" t="n"/>
      <c r="AA398" s="226" t="n"/>
      <c r="AB398" s="226" t="n"/>
      <c r="AC398" s="226" t="n"/>
      <c r="AD398" s="226" t="n"/>
      <c r="AE398" s="226" t="n"/>
      <c r="AF398" s="226" t="n"/>
      <c r="AG398" s="226" t="n"/>
      <c r="AH398" s="226" t="n"/>
      <c r="AI398" s="226" t="n"/>
      <c r="AJ398" s="226" t="n"/>
      <c r="AK398" s="226" t="n"/>
      <c r="AL398" s="227" t="n"/>
    </row>
    <row r="399">
      <c r="B399" s="94" t="n"/>
      <c r="C399" s="105" t="n"/>
      <c r="D399" s="105" t="n"/>
      <c r="E399" s="105" t="n"/>
      <c r="F399" s="105" t="n"/>
      <c r="G399" s="105" t="n"/>
      <c r="H399" s="105" t="n"/>
      <c r="I399" s="106" t="n"/>
      <c r="J399" s="105" t="n"/>
      <c r="K399" s="95" t="n"/>
      <c r="L399" s="107" t="n"/>
      <c r="M399" s="107" t="n"/>
      <c r="N399" s="107" t="n"/>
      <c r="O399" s="107" t="n"/>
      <c r="P399" s="107" t="n"/>
      <c r="Q399" s="107" t="n"/>
      <c r="R399" s="107" t="n"/>
      <c r="S399" s="107" t="n"/>
      <c r="T399" s="107" t="n"/>
      <c r="U399" s="107" t="n"/>
      <c r="V399" s="107" t="n"/>
      <c r="W399" s="107" t="n"/>
      <c r="X399" s="107" t="n"/>
      <c r="Y399" s="107" t="n"/>
      <c r="Z399" s="107" t="n"/>
      <c r="AA399" s="226" t="n"/>
      <c r="AB399" s="226" t="n"/>
      <c r="AC399" s="226" t="n"/>
      <c r="AD399" s="226" t="n"/>
      <c r="AE399" s="226" t="n"/>
      <c r="AF399" s="226" t="n"/>
      <c r="AG399" s="226" t="n"/>
      <c r="AH399" s="226" t="n"/>
      <c r="AI399" s="226" t="n"/>
      <c r="AJ399" s="226" t="n"/>
      <c r="AK399" s="226" t="n"/>
      <c r="AL399" s="227" t="n"/>
    </row>
    <row r="400">
      <c r="B400" s="94" t="n"/>
      <c r="C400" s="105" t="n"/>
      <c r="D400" s="105" t="n"/>
      <c r="E400" s="105" t="n"/>
      <c r="F400" s="105" t="n"/>
      <c r="G400" s="105" t="n"/>
      <c r="H400" s="105" t="n"/>
      <c r="I400" s="106" t="n"/>
      <c r="J400" s="105" t="n"/>
      <c r="K400" s="95" t="n"/>
      <c r="L400" s="107" t="n"/>
      <c r="M400" s="107" t="n"/>
      <c r="N400" s="107" t="n"/>
      <c r="O400" s="107" t="n"/>
      <c r="P400" s="107" t="n"/>
      <c r="Q400" s="107" t="n"/>
      <c r="R400" s="107" t="n"/>
      <c r="S400" s="107" t="n"/>
      <c r="T400" s="107" t="n"/>
      <c r="U400" s="107" t="n"/>
      <c r="V400" s="107" t="n"/>
      <c r="W400" s="107" t="n"/>
      <c r="X400" s="107" t="n"/>
      <c r="Y400" s="107" t="n"/>
      <c r="Z400" s="107" t="n"/>
      <c r="AA400" s="226" t="n"/>
      <c r="AB400" s="226" t="n"/>
      <c r="AC400" s="226" t="n"/>
      <c r="AD400" s="226" t="n"/>
      <c r="AE400" s="226" t="n"/>
      <c r="AF400" s="226" t="n"/>
      <c r="AG400" s="226" t="n"/>
      <c r="AH400" s="226" t="n"/>
      <c r="AI400" s="226" t="n"/>
      <c r="AJ400" s="226" t="n"/>
      <c r="AK400" s="226" t="n"/>
      <c r="AL400" s="227" t="n"/>
    </row>
    <row r="401">
      <c r="B401" s="94" t="n"/>
      <c r="C401" s="105" t="n"/>
      <c r="D401" s="105" t="n"/>
      <c r="E401" s="105" t="n"/>
      <c r="F401" s="105" t="n"/>
      <c r="G401" s="105" t="n"/>
      <c r="H401" s="105" t="n"/>
      <c r="I401" s="106" t="n"/>
      <c r="J401" s="105" t="n"/>
      <c r="K401" s="95" t="n"/>
      <c r="L401" s="107" t="n"/>
      <c r="M401" s="107" t="n"/>
      <c r="N401" s="107" t="n"/>
      <c r="O401" s="107" t="n"/>
      <c r="P401" s="107" t="n"/>
      <c r="Q401" s="107" t="n"/>
      <c r="R401" s="107" t="n"/>
      <c r="S401" s="107" t="n"/>
      <c r="T401" s="107" t="n"/>
      <c r="U401" s="107" t="n"/>
      <c r="V401" s="107" t="n"/>
      <c r="W401" s="107" t="n"/>
      <c r="X401" s="107" t="n"/>
      <c r="Y401" s="107" t="n"/>
      <c r="Z401" s="107" t="n"/>
      <c r="AA401" s="226" t="n"/>
      <c r="AB401" s="226" t="n"/>
      <c r="AC401" s="226" t="n"/>
      <c r="AD401" s="226" t="n"/>
      <c r="AE401" s="226" t="n"/>
      <c r="AF401" s="226" t="n"/>
      <c r="AG401" s="226" t="n"/>
      <c r="AH401" s="226" t="n"/>
      <c r="AI401" s="226" t="n"/>
      <c r="AJ401" s="226" t="n"/>
      <c r="AK401" s="226" t="n"/>
      <c r="AL401" s="227" t="n"/>
    </row>
    <row r="402">
      <c r="B402" s="94" t="n"/>
      <c r="C402" s="105" t="n"/>
      <c r="D402" s="105" t="n"/>
      <c r="E402" s="105" t="n"/>
      <c r="F402" s="105" t="n"/>
      <c r="G402" s="105" t="n"/>
      <c r="H402" s="105" t="n"/>
      <c r="I402" s="106" t="n"/>
      <c r="J402" s="105" t="n"/>
      <c r="K402" s="95" t="n"/>
      <c r="L402" s="107" t="n"/>
      <c r="M402" s="107" t="n"/>
      <c r="N402" s="107" t="n"/>
      <c r="O402" s="107" t="n"/>
      <c r="P402" s="107" t="n"/>
      <c r="Q402" s="107" t="n"/>
      <c r="R402" s="107" t="n"/>
      <c r="S402" s="107" t="n"/>
      <c r="T402" s="107" t="n"/>
      <c r="U402" s="107" t="n"/>
      <c r="V402" s="107" t="n"/>
      <c r="W402" s="107" t="n"/>
      <c r="X402" s="107" t="n"/>
      <c r="Y402" s="107" t="n"/>
      <c r="Z402" s="107" t="n"/>
      <c r="AA402" s="226" t="n"/>
      <c r="AB402" s="226" t="n"/>
      <c r="AC402" s="226" t="n"/>
      <c r="AD402" s="226" t="n"/>
      <c r="AE402" s="226" t="n"/>
      <c r="AF402" s="226" t="n"/>
      <c r="AG402" s="226" t="n"/>
      <c r="AH402" s="226" t="n"/>
      <c r="AI402" s="226" t="n"/>
      <c r="AJ402" s="226" t="n"/>
      <c r="AK402" s="226" t="n"/>
      <c r="AL402" s="227" t="n"/>
    </row>
    <row r="403">
      <c r="B403" s="94" t="n"/>
      <c r="C403" s="105" t="n"/>
      <c r="D403" s="105" t="n"/>
      <c r="E403" s="105" t="n"/>
      <c r="F403" s="105" t="n"/>
      <c r="G403" s="105" t="n"/>
      <c r="H403" s="105" t="n"/>
      <c r="I403" s="106" t="n"/>
      <c r="J403" s="105" t="n"/>
      <c r="K403" s="95" t="n"/>
      <c r="L403" s="107" t="n"/>
      <c r="M403" s="107" t="n"/>
      <c r="N403" s="107" t="n"/>
      <c r="O403" s="107" t="n"/>
      <c r="P403" s="107" t="n"/>
      <c r="Q403" s="107" t="n"/>
      <c r="R403" s="107" t="n"/>
      <c r="S403" s="107" t="n"/>
      <c r="T403" s="107" t="n"/>
      <c r="U403" s="107" t="n"/>
      <c r="V403" s="107" t="n"/>
      <c r="W403" s="107" t="n"/>
      <c r="X403" s="107" t="n"/>
      <c r="Y403" s="107" t="n"/>
      <c r="Z403" s="107" t="n"/>
      <c r="AA403" s="226" t="n"/>
      <c r="AB403" s="226" t="n"/>
      <c r="AC403" s="226" t="n"/>
      <c r="AD403" s="226" t="n"/>
      <c r="AE403" s="226" t="n"/>
      <c r="AF403" s="226" t="n"/>
      <c r="AG403" s="226" t="n"/>
      <c r="AH403" s="226" t="n"/>
      <c r="AI403" s="226" t="n"/>
      <c r="AJ403" s="226" t="n"/>
      <c r="AK403" s="226" t="n"/>
      <c r="AL403" s="227" t="n"/>
    </row>
    <row r="404">
      <c r="B404" s="94" t="n"/>
      <c r="C404" s="105" t="n"/>
      <c r="D404" s="105" t="n"/>
      <c r="E404" s="105" t="n"/>
      <c r="F404" s="105" t="n"/>
      <c r="G404" s="105" t="n"/>
      <c r="H404" s="105" t="n"/>
      <c r="I404" s="106" t="n"/>
      <c r="J404" s="105" t="n"/>
      <c r="K404" s="95" t="n"/>
      <c r="L404" s="107" t="n"/>
      <c r="M404" s="107" t="n"/>
      <c r="N404" s="107" t="n"/>
      <c r="O404" s="107" t="n"/>
      <c r="P404" s="107" t="n"/>
      <c r="Q404" s="107" t="n"/>
      <c r="R404" s="107" t="n"/>
      <c r="S404" s="107" t="n"/>
      <c r="T404" s="107" t="n"/>
      <c r="U404" s="107" t="n"/>
      <c r="V404" s="107" t="n"/>
      <c r="W404" s="107" t="n"/>
      <c r="X404" s="107" t="n"/>
      <c r="Y404" s="107" t="n"/>
      <c r="Z404" s="107" t="n"/>
      <c r="AA404" s="226" t="n"/>
      <c r="AB404" s="226" t="n"/>
      <c r="AC404" s="226" t="n"/>
      <c r="AD404" s="226" t="n"/>
      <c r="AE404" s="226" t="n"/>
      <c r="AF404" s="226" t="n"/>
      <c r="AG404" s="226" t="n"/>
      <c r="AH404" s="226" t="n"/>
      <c r="AI404" s="226" t="n"/>
      <c r="AJ404" s="226" t="n"/>
      <c r="AK404" s="226" t="n"/>
      <c r="AL404" s="227" t="n"/>
    </row>
    <row r="405">
      <c r="B405" s="94" t="n"/>
      <c r="C405" s="105" t="n"/>
      <c r="D405" s="105" t="n"/>
      <c r="E405" s="105" t="n"/>
      <c r="F405" s="105" t="n"/>
      <c r="G405" s="105" t="n"/>
      <c r="H405" s="105" t="n"/>
      <c r="I405" s="106" t="n"/>
      <c r="J405" s="105" t="n"/>
      <c r="K405" s="95" t="n"/>
      <c r="L405" s="107" t="n"/>
      <c r="M405" s="107" t="n"/>
      <c r="N405" s="107" t="n"/>
      <c r="O405" s="107" t="n"/>
      <c r="P405" s="107" t="n"/>
      <c r="Q405" s="107" t="n"/>
      <c r="R405" s="107" t="n"/>
      <c r="S405" s="107" t="n"/>
      <c r="T405" s="107" t="n"/>
      <c r="U405" s="107" t="n"/>
      <c r="V405" s="107" t="n"/>
      <c r="W405" s="107" t="n"/>
      <c r="X405" s="107" t="n"/>
      <c r="Y405" s="107" t="n"/>
      <c r="Z405" s="107" t="n"/>
      <c r="AA405" s="226" t="n"/>
      <c r="AB405" s="226" t="n"/>
      <c r="AC405" s="226" t="n"/>
      <c r="AD405" s="226" t="n"/>
      <c r="AE405" s="226" t="n"/>
      <c r="AF405" s="226" t="n"/>
      <c r="AG405" s="226" t="n"/>
      <c r="AH405" s="226" t="n"/>
      <c r="AI405" s="226" t="n"/>
      <c r="AJ405" s="226" t="n"/>
      <c r="AK405" s="226" t="n"/>
      <c r="AL405" s="227" t="n"/>
    </row>
    <row r="406">
      <c r="B406" s="94" t="n"/>
      <c r="C406" s="105" t="n"/>
      <c r="D406" s="105" t="n"/>
      <c r="E406" s="105" t="n"/>
      <c r="F406" s="105" t="n"/>
      <c r="G406" s="105" t="n"/>
      <c r="H406" s="105" t="n"/>
      <c r="I406" s="106" t="n"/>
      <c r="J406" s="105" t="n"/>
      <c r="K406" s="95" t="n"/>
      <c r="L406" s="107" t="n"/>
      <c r="M406" s="107" t="n"/>
      <c r="N406" s="107" t="n"/>
      <c r="O406" s="107" t="n"/>
      <c r="P406" s="107" t="n"/>
      <c r="Q406" s="107" t="n"/>
      <c r="R406" s="107" t="n"/>
      <c r="S406" s="107" t="n"/>
      <c r="T406" s="107" t="n"/>
      <c r="U406" s="107" t="n"/>
      <c r="V406" s="107" t="n"/>
      <c r="W406" s="107" t="n"/>
      <c r="X406" s="107" t="n"/>
      <c r="Y406" s="107" t="n"/>
      <c r="Z406" s="107" t="n"/>
      <c r="AA406" s="226" t="n"/>
      <c r="AB406" s="226" t="n"/>
      <c r="AC406" s="226" t="n"/>
      <c r="AD406" s="226" t="n"/>
      <c r="AE406" s="226" t="n"/>
      <c r="AF406" s="226" t="n"/>
      <c r="AG406" s="226" t="n"/>
      <c r="AH406" s="226" t="n"/>
      <c r="AI406" s="226" t="n"/>
      <c r="AJ406" s="226" t="n"/>
      <c r="AK406" s="226" t="n"/>
      <c r="AL406" s="227" t="n"/>
    </row>
    <row r="407">
      <c r="B407" s="94" t="n"/>
      <c r="C407" s="105" t="n"/>
      <c r="D407" s="105" t="n"/>
      <c r="E407" s="105" t="n"/>
      <c r="F407" s="105" t="n"/>
      <c r="G407" s="105" t="n"/>
      <c r="H407" s="105" t="n"/>
      <c r="I407" s="106" t="n"/>
      <c r="J407" s="105" t="n"/>
      <c r="K407" s="95" t="n"/>
      <c r="L407" s="107" t="n"/>
      <c r="M407" s="107" t="n"/>
      <c r="N407" s="107" t="n"/>
      <c r="O407" s="107" t="n"/>
      <c r="P407" s="107" t="n"/>
      <c r="Q407" s="107" t="n"/>
      <c r="R407" s="107" t="n"/>
      <c r="S407" s="107" t="n"/>
      <c r="T407" s="107" t="n"/>
      <c r="U407" s="107" t="n"/>
      <c r="V407" s="107" t="n"/>
      <c r="W407" s="107" t="n"/>
      <c r="X407" s="107" t="n"/>
      <c r="Y407" s="107" t="n"/>
      <c r="Z407" s="107" t="n"/>
      <c r="AA407" s="226" t="n"/>
      <c r="AB407" s="226" t="n"/>
      <c r="AC407" s="226" t="n"/>
      <c r="AD407" s="226" t="n"/>
      <c r="AE407" s="226" t="n"/>
      <c r="AF407" s="226" t="n"/>
      <c r="AG407" s="226" t="n"/>
      <c r="AH407" s="226" t="n"/>
      <c r="AI407" s="226" t="n"/>
      <c r="AJ407" s="226" t="n"/>
      <c r="AK407" s="226" t="n"/>
      <c r="AL407" s="227" t="n"/>
    </row>
    <row r="408">
      <c r="B408" s="94" t="n"/>
      <c r="C408" s="105" t="n"/>
      <c r="D408" s="105" t="n"/>
      <c r="E408" s="105" t="n"/>
      <c r="F408" s="105" t="n"/>
      <c r="G408" s="105" t="n"/>
      <c r="H408" s="105" t="n"/>
      <c r="I408" s="106" t="n"/>
      <c r="J408" s="105" t="n"/>
      <c r="K408" s="95" t="n"/>
      <c r="L408" s="107" t="n"/>
      <c r="M408" s="107" t="n"/>
      <c r="N408" s="107" t="n"/>
      <c r="O408" s="107" t="n"/>
      <c r="P408" s="107" t="n"/>
      <c r="Q408" s="107" t="n"/>
      <c r="R408" s="107" t="n"/>
      <c r="S408" s="107" t="n"/>
      <c r="T408" s="107" t="n"/>
      <c r="U408" s="107" t="n"/>
      <c r="V408" s="107" t="n"/>
      <c r="W408" s="107" t="n"/>
      <c r="X408" s="107" t="n"/>
      <c r="Y408" s="107" t="n"/>
      <c r="Z408" s="107" t="n"/>
      <c r="AA408" s="226" t="n"/>
      <c r="AB408" s="226" t="n"/>
      <c r="AC408" s="226" t="n"/>
      <c r="AD408" s="226" t="n"/>
      <c r="AE408" s="226" t="n"/>
      <c r="AF408" s="226" t="n"/>
      <c r="AG408" s="226" t="n"/>
      <c r="AH408" s="226" t="n"/>
      <c r="AI408" s="226" t="n"/>
      <c r="AJ408" s="226" t="n"/>
      <c r="AK408" s="226" t="n"/>
      <c r="AL408" s="227" t="n"/>
    </row>
    <row r="409">
      <c r="B409" s="94" t="n"/>
      <c r="C409" s="105" t="n"/>
      <c r="D409" s="105" t="n"/>
      <c r="E409" s="105" t="n"/>
      <c r="F409" s="105" t="n"/>
      <c r="G409" s="105" t="n"/>
      <c r="H409" s="105" t="n"/>
      <c r="I409" s="106" t="n"/>
      <c r="J409" s="105" t="n"/>
      <c r="K409" s="95" t="n"/>
      <c r="L409" s="107" t="n"/>
      <c r="M409" s="107" t="n"/>
      <c r="N409" s="107" t="n"/>
      <c r="O409" s="107" t="n"/>
      <c r="P409" s="107" t="n"/>
      <c r="Q409" s="107" t="n"/>
      <c r="R409" s="107" t="n"/>
      <c r="S409" s="107" t="n"/>
      <c r="T409" s="107" t="n"/>
      <c r="U409" s="107" t="n"/>
      <c r="V409" s="107" t="n"/>
      <c r="W409" s="107" t="n"/>
      <c r="X409" s="107" t="n"/>
      <c r="Y409" s="107" t="n"/>
      <c r="Z409" s="107" t="n"/>
      <c r="AA409" s="226" t="n"/>
      <c r="AB409" s="226" t="n"/>
      <c r="AC409" s="226" t="n"/>
      <c r="AD409" s="226" t="n"/>
      <c r="AE409" s="226" t="n"/>
      <c r="AF409" s="226" t="n"/>
      <c r="AG409" s="226" t="n"/>
      <c r="AH409" s="226" t="n"/>
      <c r="AI409" s="226" t="n"/>
      <c r="AJ409" s="226" t="n"/>
      <c r="AK409" s="226" t="n"/>
      <c r="AL409" s="227" t="n"/>
    </row>
    <row r="410">
      <c r="B410" s="94" t="n"/>
      <c r="C410" s="105" t="n"/>
      <c r="D410" s="105" t="n"/>
      <c r="E410" s="105" t="n"/>
      <c r="F410" s="105" t="n"/>
      <c r="G410" s="105" t="n"/>
      <c r="H410" s="105" t="n"/>
      <c r="I410" s="106" t="n"/>
      <c r="J410" s="105" t="n"/>
      <c r="K410" s="95" t="n"/>
      <c r="L410" s="107" t="n"/>
      <c r="M410" s="107" t="n"/>
      <c r="N410" s="107" t="n"/>
      <c r="O410" s="107" t="n"/>
      <c r="P410" s="107" t="n"/>
      <c r="Q410" s="107" t="n"/>
      <c r="R410" s="107" t="n"/>
      <c r="S410" s="107" t="n"/>
      <c r="T410" s="107" t="n"/>
      <c r="U410" s="107" t="n"/>
      <c r="V410" s="107" t="n"/>
      <c r="W410" s="107" t="n"/>
      <c r="X410" s="107" t="n"/>
      <c r="Y410" s="107" t="n"/>
      <c r="Z410" s="107" t="n"/>
      <c r="AA410" s="226" t="n"/>
      <c r="AB410" s="226" t="n"/>
      <c r="AC410" s="226" t="n"/>
      <c r="AD410" s="226" t="n"/>
      <c r="AE410" s="226" t="n"/>
      <c r="AF410" s="226" t="n"/>
      <c r="AG410" s="226" t="n"/>
      <c r="AH410" s="226" t="n"/>
      <c r="AI410" s="226" t="n"/>
      <c r="AJ410" s="226" t="n"/>
      <c r="AK410" s="226" t="n"/>
      <c r="AL410" s="227" t="n"/>
    </row>
    <row r="411">
      <c r="B411" s="94" t="n"/>
      <c r="C411" s="105" t="n"/>
      <c r="D411" s="105" t="n"/>
      <c r="E411" s="105" t="n"/>
      <c r="F411" s="105" t="n"/>
      <c r="G411" s="105" t="n"/>
      <c r="H411" s="105" t="n"/>
      <c r="I411" s="106" t="n"/>
      <c r="J411" s="105" t="n"/>
      <c r="K411" s="95" t="n"/>
      <c r="L411" s="107" t="n"/>
      <c r="M411" s="107" t="n"/>
      <c r="N411" s="107" t="n"/>
      <c r="O411" s="107" t="n"/>
      <c r="P411" s="107" t="n"/>
      <c r="Q411" s="107" t="n"/>
      <c r="R411" s="107" t="n"/>
      <c r="S411" s="107" t="n"/>
      <c r="T411" s="107" t="n"/>
      <c r="U411" s="107" t="n"/>
      <c r="V411" s="107" t="n"/>
      <c r="W411" s="107" t="n"/>
      <c r="X411" s="107" t="n"/>
      <c r="Y411" s="107" t="n"/>
      <c r="Z411" s="107" t="n"/>
      <c r="AA411" s="226" t="n"/>
      <c r="AB411" s="226" t="n"/>
      <c r="AC411" s="226" t="n"/>
      <c r="AD411" s="226" t="n"/>
      <c r="AE411" s="226" t="n"/>
      <c r="AF411" s="226" t="n"/>
      <c r="AG411" s="226" t="n"/>
      <c r="AH411" s="226" t="n"/>
      <c r="AI411" s="226" t="n"/>
      <c r="AJ411" s="226" t="n"/>
      <c r="AK411" s="226" t="n"/>
      <c r="AL411" s="227" t="n"/>
    </row>
    <row r="412">
      <c r="B412" s="94" t="n"/>
      <c r="C412" s="105" t="n"/>
      <c r="D412" s="105" t="n"/>
      <c r="E412" s="105" t="n"/>
      <c r="F412" s="105" t="n"/>
      <c r="G412" s="105" t="n"/>
      <c r="H412" s="105" t="n"/>
      <c r="I412" s="106" t="n"/>
      <c r="J412" s="105" t="n"/>
      <c r="K412" s="95" t="n"/>
      <c r="L412" s="107" t="n"/>
      <c r="M412" s="107" t="n"/>
      <c r="N412" s="107" t="n"/>
      <c r="O412" s="107" t="n"/>
      <c r="P412" s="107" t="n"/>
      <c r="Q412" s="107" t="n"/>
      <c r="R412" s="107" t="n"/>
      <c r="S412" s="107" t="n"/>
      <c r="T412" s="107" t="n"/>
      <c r="U412" s="107" t="n"/>
      <c r="V412" s="107" t="n"/>
      <c r="W412" s="107" t="n"/>
      <c r="X412" s="107" t="n"/>
      <c r="Y412" s="107" t="n"/>
      <c r="Z412" s="107" t="n"/>
      <c r="AA412" s="226" t="n"/>
      <c r="AB412" s="226" t="n"/>
      <c r="AC412" s="226" t="n"/>
      <c r="AD412" s="226" t="n"/>
      <c r="AE412" s="226" t="n"/>
      <c r="AF412" s="226" t="n"/>
      <c r="AG412" s="226" t="n"/>
      <c r="AH412" s="226" t="n"/>
      <c r="AI412" s="226" t="n"/>
      <c r="AJ412" s="226" t="n"/>
      <c r="AK412" s="226" t="n"/>
      <c r="AL412" s="227" t="n"/>
    </row>
    <row r="413">
      <c r="B413" s="94" t="n"/>
      <c r="C413" s="105" t="n"/>
      <c r="D413" s="105" t="n"/>
      <c r="E413" s="105" t="n"/>
      <c r="F413" s="105" t="n"/>
      <c r="G413" s="105" t="n"/>
      <c r="H413" s="105" t="n"/>
      <c r="I413" s="106" t="n"/>
      <c r="J413" s="105" t="n"/>
      <c r="K413" s="95" t="n"/>
      <c r="L413" s="107" t="n"/>
      <c r="M413" s="107" t="n"/>
      <c r="N413" s="107" t="n"/>
      <c r="O413" s="107" t="n"/>
      <c r="P413" s="107" t="n"/>
      <c r="Q413" s="107" t="n"/>
      <c r="R413" s="107" t="n"/>
      <c r="S413" s="107" t="n"/>
      <c r="T413" s="107" t="n"/>
      <c r="U413" s="107" t="n"/>
      <c r="V413" s="107" t="n"/>
      <c r="W413" s="107" t="n"/>
      <c r="X413" s="107" t="n"/>
      <c r="Y413" s="107" t="n"/>
      <c r="Z413" s="107" t="n"/>
      <c r="AA413" s="226" t="n"/>
      <c r="AB413" s="226" t="n"/>
      <c r="AC413" s="226" t="n"/>
      <c r="AD413" s="226" t="n"/>
      <c r="AE413" s="226" t="n"/>
      <c r="AF413" s="226" t="n"/>
      <c r="AG413" s="226" t="n"/>
      <c r="AH413" s="226" t="n"/>
      <c r="AI413" s="226" t="n"/>
      <c r="AJ413" s="226" t="n"/>
      <c r="AK413" s="226" t="n"/>
      <c r="AL413" s="227" t="n"/>
    </row>
    <row r="414">
      <c r="B414" s="94" t="n"/>
      <c r="C414" s="105" t="n"/>
      <c r="D414" s="105" t="n"/>
      <c r="E414" s="105" t="n"/>
      <c r="F414" s="105" t="n"/>
      <c r="G414" s="105" t="n"/>
      <c r="H414" s="105" t="n"/>
      <c r="I414" s="106" t="n"/>
      <c r="J414" s="105" t="n"/>
      <c r="K414" s="95" t="n"/>
      <c r="L414" s="107" t="n"/>
      <c r="M414" s="107" t="n"/>
      <c r="N414" s="107" t="n"/>
      <c r="O414" s="107" t="n"/>
      <c r="P414" s="107" t="n"/>
      <c r="Q414" s="107" t="n"/>
      <c r="R414" s="107" t="n"/>
      <c r="S414" s="107" t="n"/>
      <c r="T414" s="107" t="n"/>
      <c r="U414" s="107" t="n"/>
      <c r="V414" s="107" t="n"/>
      <c r="W414" s="107" t="n"/>
      <c r="X414" s="107" t="n"/>
      <c r="Y414" s="107" t="n"/>
      <c r="Z414" s="107" t="n"/>
      <c r="AA414" s="226" t="n"/>
      <c r="AB414" s="226" t="n"/>
      <c r="AC414" s="226" t="n"/>
      <c r="AD414" s="226" t="n"/>
      <c r="AE414" s="226" t="n"/>
      <c r="AF414" s="226" t="n"/>
      <c r="AG414" s="226" t="n"/>
      <c r="AH414" s="226" t="n"/>
      <c r="AI414" s="226" t="n"/>
      <c r="AJ414" s="226" t="n"/>
      <c r="AK414" s="226" t="n"/>
      <c r="AL414" s="227" t="n"/>
    </row>
    <row r="415">
      <c r="B415" s="94" t="n"/>
      <c r="C415" s="105" t="n"/>
      <c r="D415" s="105" t="n"/>
      <c r="E415" s="105" t="n"/>
      <c r="F415" s="105" t="n"/>
      <c r="G415" s="105" t="n"/>
      <c r="H415" s="105" t="n"/>
      <c r="I415" s="106" t="n"/>
      <c r="J415" s="105" t="n"/>
      <c r="K415" s="95" t="n"/>
      <c r="L415" s="107" t="n"/>
      <c r="M415" s="107" t="n"/>
      <c r="N415" s="107" t="n"/>
      <c r="O415" s="107" t="n"/>
      <c r="P415" s="107" t="n"/>
      <c r="Q415" s="107" t="n"/>
      <c r="R415" s="107" t="n"/>
      <c r="S415" s="107" t="n"/>
      <c r="T415" s="107" t="n"/>
      <c r="U415" s="107" t="n"/>
      <c r="V415" s="107" t="n"/>
      <c r="W415" s="107" t="n"/>
      <c r="X415" s="107" t="n"/>
      <c r="Y415" s="107" t="n"/>
      <c r="Z415" s="107" t="n"/>
      <c r="AA415" s="226" t="n"/>
      <c r="AB415" s="226" t="n"/>
      <c r="AC415" s="226" t="n"/>
      <c r="AD415" s="226" t="n"/>
      <c r="AE415" s="226" t="n"/>
      <c r="AF415" s="226" t="n"/>
      <c r="AG415" s="226" t="n"/>
      <c r="AH415" s="226" t="n"/>
      <c r="AI415" s="226" t="n"/>
      <c r="AJ415" s="226" t="n"/>
      <c r="AK415" s="226" t="n"/>
      <c r="AL415" s="227" t="n"/>
    </row>
    <row r="416">
      <c r="B416" s="94" t="n"/>
      <c r="C416" s="105" t="n"/>
      <c r="D416" s="105" t="n"/>
      <c r="E416" s="105" t="n"/>
      <c r="F416" s="105" t="n"/>
      <c r="G416" s="105" t="n"/>
      <c r="H416" s="105" t="n"/>
      <c r="I416" s="106" t="n"/>
      <c r="J416" s="105" t="n"/>
      <c r="K416" s="95" t="n"/>
      <c r="L416" s="107" t="n"/>
      <c r="M416" s="107" t="n"/>
      <c r="N416" s="107" t="n"/>
      <c r="O416" s="107" t="n"/>
      <c r="P416" s="107" t="n"/>
      <c r="Q416" s="107" t="n"/>
      <c r="R416" s="107" t="n"/>
      <c r="S416" s="107" t="n"/>
      <c r="T416" s="107" t="n"/>
      <c r="U416" s="107" t="n"/>
      <c r="V416" s="107" t="n"/>
      <c r="W416" s="107" t="n"/>
      <c r="X416" s="107" t="n"/>
      <c r="Y416" s="107" t="n"/>
      <c r="Z416" s="107" t="n"/>
      <c r="AA416" s="226" t="n"/>
      <c r="AB416" s="226" t="n"/>
      <c r="AC416" s="226" t="n"/>
      <c r="AD416" s="226" t="n"/>
      <c r="AE416" s="226" t="n"/>
      <c r="AF416" s="226" t="n"/>
      <c r="AG416" s="226" t="n"/>
      <c r="AH416" s="226" t="n"/>
      <c r="AI416" s="226" t="n"/>
      <c r="AJ416" s="226" t="n"/>
      <c r="AK416" s="226" t="n"/>
      <c r="AL416" s="227" t="n"/>
    </row>
    <row r="417">
      <c r="B417" s="94" t="n"/>
      <c r="C417" s="105" t="n"/>
      <c r="D417" s="105" t="n"/>
      <c r="E417" s="105" t="n"/>
      <c r="F417" s="105" t="n"/>
      <c r="G417" s="105" t="n"/>
      <c r="H417" s="105" t="n"/>
      <c r="I417" s="106" t="n"/>
      <c r="J417" s="105" t="n"/>
      <c r="K417" s="95" t="n"/>
      <c r="L417" s="107" t="n"/>
      <c r="M417" s="107" t="n"/>
      <c r="N417" s="107" t="n"/>
      <c r="O417" s="107" t="n"/>
      <c r="P417" s="107" t="n"/>
      <c r="Q417" s="107" t="n"/>
      <c r="R417" s="107" t="n"/>
      <c r="S417" s="107" t="n"/>
      <c r="T417" s="107" t="n"/>
      <c r="U417" s="107" t="n"/>
      <c r="V417" s="107" t="n"/>
      <c r="W417" s="107" t="n"/>
      <c r="X417" s="107" t="n"/>
      <c r="Y417" s="107" t="n"/>
      <c r="Z417" s="107" t="n"/>
      <c r="AA417" s="226" t="n"/>
      <c r="AB417" s="226" t="n"/>
      <c r="AC417" s="226" t="n"/>
      <c r="AD417" s="226" t="n"/>
      <c r="AE417" s="226" t="n"/>
      <c r="AF417" s="226" t="n"/>
      <c r="AG417" s="226" t="n"/>
      <c r="AH417" s="226" t="n"/>
      <c r="AI417" s="226" t="n"/>
      <c r="AJ417" s="226" t="n"/>
      <c r="AK417" s="226" t="n"/>
      <c r="AL417" s="227" t="n"/>
    </row>
    <row r="418">
      <c r="B418" s="94" t="n"/>
      <c r="C418" s="105" t="n"/>
      <c r="D418" s="105" t="n"/>
      <c r="E418" s="105" t="n"/>
      <c r="F418" s="105" t="n"/>
      <c r="G418" s="105" t="n"/>
      <c r="H418" s="105" t="n"/>
      <c r="I418" s="106" t="n"/>
      <c r="J418" s="105" t="n"/>
      <c r="K418" s="95" t="n"/>
      <c r="L418" s="107" t="n"/>
      <c r="M418" s="107" t="n"/>
      <c r="N418" s="107" t="n"/>
      <c r="O418" s="107" t="n"/>
      <c r="P418" s="107" t="n"/>
      <c r="Q418" s="107" t="n"/>
      <c r="R418" s="107" t="n"/>
      <c r="S418" s="107" t="n"/>
      <c r="T418" s="107" t="n"/>
      <c r="U418" s="107" t="n"/>
      <c r="V418" s="107" t="n"/>
      <c r="W418" s="107" t="n"/>
      <c r="X418" s="107" t="n"/>
      <c r="Y418" s="107" t="n"/>
      <c r="Z418" s="107" t="n"/>
      <c r="AA418" s="226" t="n"/>
      <c r="AB418" s="226" t="n"/>
      <c r="AC418" s="226" t="n"/>
      <c r="AD418" s="226" t="n"/>
      <c r="AE418" s="226" t="n"/>
      <c r="AF418" s="226" t="n"/>
      <c r="AG418" s="226" t="n"/>
      <c r="AH418" s="226" t="n"/>
      <c r="AI418" s="226" t="n"/>
      <c r="AJ418" s="226" t="n"/>
      <c r="AK418" s="226" t="n"/>
      <c r="AL418" s="227" t="n"/>
    </row>
    <row r="419">
      <c r="B419" s="94" t="n"/>
      <c r="C419" s="105" t="n"/>
      <c r="D419" s="105" t="n"/>
      <c r="E419" s="105" t="n"/>
      <c r="F419" s="105" t="n"/>
      <c r="G419" s="105" t="n"/>
      <c r="H419" s="105" t="n"/>
      <c r="I419" s="106" t="n"/>
      <c r="J419" s="105" t="n"/>
      <c r="K419" s="95" t="n"/>
      <c r="L419" s="107" t="n"/>
      <c r="M419" s="107" t="n"/>
      <c r="N419" s="107" t="n"/>
      <c r="O419" s="107" t="n"/>
      <c r="P419" s="107" t="n"/>
      <c r="Q419" s="107" t="n"/>
      <c r="R419" s="107" t="n"/>
      <c r="S419" s="107" t="n"/>
      <c r="T419" s="107" t="n"/>
      <c r="U419" s="107" t="n"/>
      <c r="V419" s="107" t="n"/>
      <c r="W419" s="107" t="n"/>
      <c r="X419" s="107" t="n"/>
      <c r="Y419" s="107" t="n"/>
      <c r="Z419" s="107" t="n"/>
      <c r="AA419" s="226" t="n"/>
      <c r="AB419" s="226" t="n"/>
      <c r="AC419" s="226" t="n"/>
      <c r="AD419" s="226" t="n"/>
      <c r="AE419" s="226" t="n"/>
      <c r="AF419" s="226" t="n"/>
      <c r="AG419" s="226" t="n"/>
      <c r="AH419" s="226" t="n"/>
      <c r="AI419" s="226" t="n"/>
      <c r="AJ419" s="226" t="n"/>
      <c r="AK419" s="226" t="n"/>
      <c r="AL419" s="227" t="n"/>
    </row>
    <row r="420">
      <c r="B420" s="94" t="n"/>
      <c r="C420" s="105" t="n"/>
      <c r="D420" s="105" t="n"/>
      <c r="E420" s="105" t="n"/>
      <c r="F420" s="105" t="n"/>
      <c r="G420" s="105" t="n"/>
      <c r="H420" s="105" t="n"/>
      <c r="I420" s="106" t="n"/>
      <c r="J420" s="105" t="n"/>
      <c r="K420" s="95" t="n"/>
      <c r="L420" s="107" t="n"/>
      <c r="M420" s="107" t="n"/>
      <c r="N420" s="107" t="n"/>
      <c r="O420" s="107" t="n"/>
      <c r="P420" s="107" t="n"/>
      <c r="Q420" s="107" t="n"/>
      <c r="R420" s="107" t="n"/>
      <c r="S420" s="107" t="n"/>
      <c r="T420" s="107" t="n"/>
      <c r="U420" s="107" t="n"/>
      <c r="V420" s="107" t="n"/>
      <c r="W420" s="107" t="n"/>
      <c r="X420" s="107" t="n"/>
      <c r="Y420" s="107" t="n"/>
      <c r="Z420" s="107" t="n"/>
      <c r="AA420" s="226" t="n"/>
      <c r="AB420" s="226" t="n"/>
      <c r="AC420" s="226" t="n"/>
      <c r="AD420" s="226" t="n"/>
      <c r="AE420" s="226" t="n"/>
      <c r="AF420" s="226" t="n"/>
      <c r="AG420" s="226" t="n"/>
      <c r="AH420" s="226" t="n"/>
      <c r="AI420" s="226" t="n"/>
      <c r="AJ420" s="226" t="n"/>
      <c r="AK420" s="226" t="n"/>
      <c r="AL420" s="227" t="n"/>
    </row>
    <row r="421">
      <c r="B421" s="94" t="n"/>
      <c r="C421" s="105" t="n"/>
      <c r="D421" s="105" t="n"/>
      <c r="E421" s="105" t="n"/>
      <c r="F421" s="105" t="n"/>
      <c r="G421" s="105" t="n"/>
      <c r="H421" s="105" t="n"/>
      <c r="I421" s="106" t="n"/>
      <c r="J421" s="105" t="n"/>
      <c r="K421" s="95" t="n"/>
      <c r="L421" s="107" t="n"/>
      <c r="M421" s="107" t="n"/>
      <c r="N421" s="107" t="n"/>
      <c r="O421" s="107" t="n"/>
      <c r="P421" s="107" t="n"/>
      <c r="Q421" s="107" t="n"/>
      <c r="R421" s="107" t="n"/>
      <c r="S421" s="107" t="n"/>
      <c r="T421" s="107" t="n"/>
      <c r="U421" s="107" t="n"/>
      <c r="V421" s="107" t="n"/>
      <c r="W421" s="107" t="n"/>
      <c r="X421" s="107" t="n"/>
      <c r="Y421" s="107" t="n"/>
      <c r="Z421" s="107" t="n"/>
      <c r="AA421" s="226" t="n"/>
      <c r="AB421" s="226" t="n"/>
      <c r="AC421" s="226" t="n"/>
      <c r="AD421" s="226" t="n"/>
      <c r="AE421" s="226" t="n"/>
      <c r="AF421" s="226" t="n"/>
      <c r="AG421" s="226" t="n"/>
      <c r="AH421" s="226" t="n"/>
      <c r="AI421" s="226" t="n"/>
      <c r="AJ421" s="226" t="n"/>
      <c r="AK421" s="226" t="n"/>
      <c r="AL421" s="227" t="n"/>
    </row>
    <row r="422">
      <c r="B422" s="94" t="n"/>
      <c r="C422" s="105" t="n"/>
      <c r="D422" s="105" t="n"/>
      <c r="E422" s="105" t="n"/>
      <c r="F422" s="105" t="n"/>
      <c r="G422" s="105" t="n"/>
      <c r="H422" s="105" t="n"/>
      <c r="I422" s="106" t="n"/>
      <c r="J422" s="105" t="n"/>
      <c r="K422" s="95" t="n"/>
      <c r="L422" s="107" t="n"/>
      <c r="M422" s="107" t="n"/>
      <c r="N422" s="107" t="n"/>
      <c r="O422" s="107" t="n"/>
      <c r="P422" s="107" t="n"/>
      <c r="Q422" s="107" t="n"/>
      <c r="R422" s="107" t="n"/>
      <c r="S422" s="107" t="n"/>
      <c r="T422" s="107" t="n"/>
      <c r="U422" s="107" t="n"/>
      <c r="V422" s="107" t="n"/>
      <c r="W422" s="107" t="n"/>
      <c r="X422" s="107" t="n"/>
      <c r="Y422" s="107" t="n"/>
      <c r="Z422" s="107" t="n"/>
      <c r="AA422" s="226" t="n"/>
      <c r="AB422" s="226" t="n"/>
      <c r="AC422" s="226" t="n"/>
      <c r="AD422" s="226" t="n"/>
      <c r="AE422" s="226" t="n"/>
      <c r="AF422" s="226" t="n"/>
      <c r="AG422" s="226" t="n"/>
      <c r="AH422" s="226" t="n"/>
      <c r="AI422" s="226" t="n"/>
      <c r="AJ422" s="226" t="n"/>
      <c r="AK422" s="226" t="n"/>
      <c r="AL422" s="227" t="n"/>
    </row>
    <row r="423">
      <c r="B423" s="94" t="n"/>
      <c r="C423" s="105" t="n"/>
      <c r="D423" s="105" t="n"/>
      <c r="E423" s="105" t="n"/>
      <c r="F423" s="105" t="n"/>
      <c r="G423" s="105" t="n"/>
      <c r="H423" s="105" t="n"/>
      <c r="I423" s="106" t="n"/>
      <c r="J423" s="105" t="n"/>
      <c r="K423" s="95" t="n"/>
      <c r="L423" s="107" t="n"/>
      <c r="M423" s="107" t="n"/>
      <c r="N423" s="107" t="n"/>
      <c r="O423" s="107" t="n"/>
      <c r="P423" s="107" t="n"/>
      <c r="Q423" s="107" t="n"/>
      <c r="R423" s="107" t="n"/>
      <c r="S423" s="107" t="n"/>
      <c r="T423" s="107" t="n"/>
      <c r="U423" s="107" t="n"/>
      <c r="V423" s="107" t="n"/>
      <c r="W423" s="107" t="n"/>
      <c r="X423" s="107" t="n"/>
      <c r="Y423" s="107" t="n"/>
      <c r="Z423" s="107" t="n"/>
      <c r="AA423" s="226" t="n"/>
      <c r="AB423" s="226" t="n"/>
      <c r="AC423" s="226" t="n"/>
      <c r="AD423" s="226" t="n"/>
      <c r="AE423" s="226" t="n"/>
      <c r="AF423" s="226" t="n"/>
      <c r="AG423" s="226" t="n"/>
      <c r="AH423" s="226" t="n"/>
      <c r="AI423" s="226" t="n"/>
      <c r="AJ423" s="226" t="n"/>
      <c r="AK423" s="226" t="n"/>
      <c r="AL423" s="227" t="n"/>
    </row>
    <row r="424">
      <c r="B424" s="94" t="n"/>
      <c r="C424" s="105" t="n"/>
      <c r="D424" s="105" t="n"/>
      <c r="E424" s="105" t="n"/>
      <c r="F424" s="105" t="n"/>
      <c r="G424" s="105" t="n"/>
      <c r="H424" s="105" t="n"/>
      <c r="I424" s="106" t="n"/>
      <c r="J424" s="105" t="n"/>
      <c r="K424" s="95" t="n"/>
      <c r="L424" s="107" t="n"/>
      <c r="M424" s="107" t="n"/>
      <c r="N424" s="107" t="n"/>
      <c r="O424" s="107" t="n"/>
      <c r="P424" s="107" t="n"/>
      <c r="Q424" s="107" t="n"/>
      <c r="R424" s="107" t="n"/>
      <c r="S424" s="107" t="n"/>
      <c r="T424" s="107" t="n"/>
      <c r="U424" s="107" t="n"/>
      <c r="V424" s="107" t="n"/>
      <c r="W424" s="107" t="n"/>
      <c r="X424" s="107" t="n"/>
      <c r="Y424" s="107" t="n"/>
      <c r="Z424" s="107" t="n"/>
      <c r="AA424" s="226" t="n"/>
      <c r="AB424" s="226" t="n"/>
      <c r="AC424" s="226" t="n"/>
      <c r="AD424" s="226" t="n"/>
      <c r="AE424" s="226" t="n"/>
      <c r="AF424" s="226" t="n"/>
      <c r="AG424" s="226" t="n"/>
      <c r="AH424" s="226" t="n"/>
      <c r="AI424" s="226" t="n"/>
      <c r="AJ424" s="226" t="n"/>
      <c r="AK424" s="226" t="n"/>
      <c r="AL424" s="227" t="n"/>
    </row>
    <row r="425">
      <c r="B425" s="94" t="n"/>
      <c r="C425" s="105" t="n"/>
      <c r="D425" s="105" t="n"/>
      <c r="E425" s="105" t="n"/>
      <c r="F425" s="105" t="n"/>
      <c r="G425" s="105" t="n"/>
      <c r="H425" s="105" t="n"/>
      <c r="I425" s="106" t="n"/>
      <c r="J425" s="105" t="n"/>
      <c r="K425" s="95" t="n"/>
      <c r="L425" s="107" t="n"/>
      <c r="M425" s="107" t="n"/>
      <c r="N425" s="107" t="n"/>
      <c r="O425" s="107" t="n"/>
      <c r="P425" s="107" t="n"/>
      <c r="Q425" s="107" t="n"/>
      <c r="R425" s="107" t="n"/>
      <c r="S425" s="107" t="n"/>
      <c r="T425" s="107" t="n"/>
      <c r="U425" s="107" t="n"/>
      <c r="V425" s="107" t="n"/>
      <c r="W425" s="107" t="n"/>
      <c r="X425" s="107" t="n"/>
      <c r="Y425" s="107" t="n"/>
      <c r="Z425" s="107" t="n"/>
      <c r="AA425" s="226" t="n"/>
      <c r="AB425" s="226" t="n"/>
      <c r="AC425" s="226" t="n"/>
      <c r="AD425" s="226" t="n"/>
      <c r="AE425" s="226" t="n"/>
      <c r="AF425" s="226" t="n"/>
      <c r="AG425" s="226" t="n"/>
      <c r="AH425" s="226" t="n"/>
      <c r="AI425" s="226" t="n"/>
      <c r="AJ425" s="226" t="n"/>
      <c r="AK425" s="226" t="n"/>
      <c r="AL425" s="227" t="n"/>
    </row>
    <row r="426">
      <c r="B426" s="94" t="n"/>
      <c r="C426" s="105" t="n"/>
      <c r="D426" s="105" t="n"/>
      <c r="E426" s="105" t="n"/>
      <c r="F426" s="105" t="n"/>
      <c r="G426" s="105" t="n"/>
      <c r="H426" s="105" t="n"/>
      <c r="I426" s="106" t="n"/>
      <c r="J426" s="105" t="n"/>
      <c r="K426" s="95" t="n"/>
      <c r="L426" s="107" t="n"/>
      <c r="M426" s="107" t="n"/>
      <c r="N426" s="107" t="n"/>
      <c r="O426" s="107" t="n"/>
      <c r="P426" s="107" t="n"/>
      <c r="Q426" s="107" t="n"/>
      <c r="R426" s="107" t="n"/>
      <c r="S426" s="107" t="n"/>
      <c r="T426" s="107" t="n"/>
      <c r="U426" s="107" t="n"/>
      <c r="V426" s="107" t="n"/>
      <c r="W426" s="107" t="n"/>
      <c r="X426" s="107" t="n"/>
      <c r="Y426" s="107" t="n"/>
      <c r="Z426" s="107" t="n"/>
      <c r="AA426" s="226" t="n"/>
      <c r="AB426" s="226" t="n"/>
      <c r="AC426" s="226" t="n"/>
      <c r="AD426" s="226" t="n"/>
      <c r="AE426" s="226" t="n"/>
      <c r="AF426" s="226" t="n"/>
      <c r="AG426" s="226" t="n"/>
      <c r="AH426" s="226" t="n"/>
      <c r="AI426" s="226" t="n"/>
      <c r="AJ426" s="226" t="n"/>
      <c r="AK426" s="226" t="n"/>
      <c r="AL426" s="227" t="n"/>
    </row>
    <row r="427">
      <c r="B427" s="94" t="n"/>
      <c r="C427" s="105" t="n"/>
      <c r="D427" s="105" t="n"/>
      <c r="E427" s="105" t="n"/>
      <c r="F427" s="105" t="n"/>
      <c r="G427" s="105" t="n"/>
      <c r="H427" s="105" t="n"/>
      <c r="I427" s="106" t="n"/>
      <c r="J427" s="105" t="n"/>
      <c r="K427" s="95" t="n"/>
      <c r="L427" s="107" t="n"/>
      <c r="M427" s="107" t="n"/>
      <c r="N427" s="107" t="n"/>
      <c r="O427" s="107" t="n"/>
      <c r="P427" s="107" t="n"/>
      <c r="Q427" s="107" t="n"/>
      <c r="R427" s="107" t="n"/>
      <c r="S427" s="107" t="n"/>
      <c r="T427" s="107" t="n"/>
      <c r="U427" s="107" t="n"/>
      <c r="V427" s="107" t="n"/>
      <c r="W427" s="107" t="n"/>
      <c r="X427" s="107" t="n"/>
      <c r="Y427" s="107" t="n"/>
      <c r="Z427" s="107" t="n"/>
      <c r="AA427" s="226" t="n"/>
      <c r="AB427" s="226" t="n"/>
      <c r="AC427" s="226" t="n"/>
      <c r="AD427" s="226" t="n"/>
      <c r="AE427" s="226" t="n"/>
      <c r="AF427" s="226" t="n"/>
      <c r="AG427" s="226" t="n"/>
      <c r="AH427" s="226" t="n"/>
      <c r="AI427" s="226" t="n"/>
      <c r="AJ427" s="226" t="n"/>
      <c r="AK427" s="226" t="n"/>
      <c r="AL427" s="227" t="n"/>
    </row>
    <row r="428">
      <c r="B428" s="94" t="n"/>
      <c r="C428" s="105" t="n"/>
      <c r="D428" s="105" t="n"/>
      <c r="E428" s="105" t="n"/>
      <c r="F428" s="105" t="n"/>
      <c r="G428" s="105" t="n"/>
      <c r="H428" s="105" t="n"/>
      <c r="I428" s="106" t="n"/>
      <c r="J428" s="105" t="n"/>
      <c r="K428" s="95" t="n"/>
      <c r="L428" s="107" t="n"/>
      <c r="M428" s="107" t="n"/>
      <c r="N428" s="107" t="n"/>
      <c r="O428" s="107" t="n"/>
      <c r="P428" s="107" t="n"/>
      <c r="Q428" s="107" t="n"/>
      <c r="R428" s="107" t="n"/>
      <c r="S428" s="107" t="n"/>
      <c r="T428" s="107" t="n"/>
      <c r="U428" s="107" t="n"/>
      <c r="V428" s="107" t="n"/>
      <c r="W428" s="107" t="n"/>
      <c r="X428" s="107" t="n"/>
      <c r="Y428" s="107" t="n"/>
      <c r="Z428" s="107" t="n"/>
      <c r="AA428" s="226" t="n"/>
      <c r="AB428" s="226" t="n"/>
      <c r="AC428" s="226" t="n"/>
      <c r="AD428" s="226" t="n"/>
      <c r="AE428" s="226" t="n"/>
      <c r="AF428" s="226" t="n"/>
      <c r="AG428" s="226" t="n"/>
      <c r="AH428" s="226" t="n"/>
      <c r="AI428" s="226" t="n"/>
      <c r="AJ428" s="226" t="n"/>
      <c r="AK428" s="226" t="n"/>
      <c r="AL428" s="227" t="n"/>
    </row>
    <row r="429">
      <c r="B429" s="94" t="n"/>
      <c r="C429" s="105" t="n"/>
      <c r="D429" s="105" t="n"/>
      <c r="E429" s="105" t="n"/>
      <c r="F429" s="105" t="n"/>
      <c r="G429" s="105" t="n"/>
      <c r="H429" s="105" t="n"/>
      <c r="I429" s="106" t="n"/>
      <c r="J429" s="105" t="n"/>
      <c r="K429" s="95" t="n"/>
      <c r="L429" s="107" t="n"/>
      <c r="M429" s="107" t="n"/>
      <c r="N429" s="107" t="n"/>
      <c r="O429" s="107" t="n"/>
      <c r="P429" s="107" t="n"/>
      <c r="Q429" s="107" t="n"/>
      <c r="R429" s="107" t="n"/>
      <c r="S429" s="107" t="n"/>
      <c r="T429" s="107" t="n"/>
      <c r="U429" s="107" t="n"/>
      <c r="V429" s="107" t="n"/>
      <c r="W429" s="107" t="n"/>
      <c r="X429" s="107" t="n"/>
      <c r="Y429" s="107" t="n"/>
      <c r="Z429" s="107" t="n"/>
      <c r="AA429" s="226" t="n"/>
      <c r="AB429" s="226" t="n"/>
      <c r="AC429" s="226" t="n"/>
      <c r="AD429" s="226" t="n"/>
      <c r="AE429" s="226" t="n"/>
      <c r="AF429" s="226" t="n"/>
      <c r="AG429" s="226" t="n"/>
      <c r="AH429" s="226" t="n"/>
      <c r="AI429" s="226" t="n"/>
      <c r="AJ429" s="226" t="n"/>
      <c r="AK429" s="226" t="n"/>
      <c r="AL429" s="227" t="n"/>
    </row>
    <row r="430">
      <c r="B430" s="94" t="n"/>
      <c r="C430" s="105" t="n"/>
      <c r="D430" s="105" t="n"/>
      <c r="E430" s="105" t="n"/>
      <c r="F430" s="105" t="n"/>
      <c r="G430" s="105" t="n"/>
      <c r="H430" s="105" t="n"/>
      <c r="I430" s="106" t="n"/>
      <c r="J430" s="105" t="n"/>
      <c r="K430" s="95" t="n"/>
      <c r="L430" s="107" t="n"/>
      <c r="M430" s="107" t="n"/>
      <c r="N430" s="107" t="n"/>
      <c r="O430" s="107" t="n"/>
      <c r="P430" s="107" t="n"/>
      <c r="Q430" s="107" t="n"/>
      <c r="R430" s="107" t="n"/>
      <c r="S430" s="107" t="n"/>
      <c r="T430" s="107" t="n"/>
      <c r="U430" s="107" t="n"/>
      <c r="V430" s="107" t="n"/>
      <c r="W430" s="107" t="n"/>
      <c r="X430" s="107" t="n"/>
      <c r="Y430" s="107" t="n"/>
      <c r="Z430" s="107" t="n"/>
      <c r="AA430" s="226" t="n"/>
      <c r="AB430" s="226" t="n"/>
      <c r="AC430" s="226" t="n"/>
      <c r="AD430" s="226" t="n"/>
      <c r="AE430" s="226" t="n"/>
      <c r="AF430" s="226" t="n"/>
      <c r="AG430" s="226" t="n"/>
      <c r="AH430" s="226" t="n"/>
      <c r="AI430" s="226" t="n"/>
      <c r="AJ430" s="226" t="n"/>
      <c r="AK430" s="226" t="n"/>
      <c r="AL430" s="227" t="n"/>
    </row>
    <row r="431">
      <c r="B431" s="94" t="n"/>
      <c r="C431" s="105" t="n"/>
      <c r="D431" s="105" t="n"/>
      <c r="E431" s="105" t="n"/>
      <c r="F431" s="105" t="n"/>
      <c r="G431" s="105" t="n"/>
      <c r="H431" s="105" t="n"/>
      <c r="I431" s="106" t="n"/>
      <c r="J431" s="105" t="n"/>
      <c r="K431" s="95" t="n"/>
      <c r="L431" s="107" t="n"/>
      <c r="M431" s="107" t="n"/>
      <c r="N431" s="107" t="n"/>
      <c r="O431" s="107" t="n"/>
      <c r="P431" s="107" t="n"/>
      <c r="Q431" s="107" t="n"/>
      <c r="R431" s="107" t="n"/>
      <c r="S431" s="107" t="n"/>
      <c r="T431" s="107" t="n"/>
      <c r="U431" s="107" t="n"/>
      <c r="V431" s="107" t="n"/>
      <c r="W431" s="107" t="n"/>
      <c r="X431" s="107" t="n"/>
      <c r="Y431" s="107" t="n"/>
      <c r="Z431" s="107" t="n"/>
      <c r="AA431" s="226" t="n"/>
      <c r="AB431" s="226" t="n"/>
      <c r="AC431" s="226" t="n"/>
      <c r="AD431" s="226" t="n"/>
      <c r="AE431" s="226" t="n"/>
      <c r="AF431" s="226" t="n"/>
      <c r="AG431" s="226" t="n"/>
      <c r="AH431" s="226" t="n"/>
      <c r="AI431" s="226" t="n"/>
      <c r="AJ431" s="226" t="n"/>
      <c r="AK431" s="226" t="n"/>
      <c r="AL431" s="227" t="n"/>
    </row>
    <row r="432">
      <c r="B432" s="94" t="n"/>
      <c r="C432" s="105" t="n"/>
      <c r="D432" s="105" t="n"/>
      <c r="E432" s="105" t="n"/>
      <c r="F432" s="105" t="n"/>
      <c r="G432" s="105" t="n"/>
      <c r="H432" s="105" t="n"/>
      <c r="I432" s="106" t="n"/>
      <c r="J432" s="105" t="n"/>
      <c r="K432" s="95" t="n"/>
      <c r="L432" s="107" t="n"/>
      <c r="M432" s="107" t="n"/>
      <c r="N432" s="107" t="n"/>
      <c r="O432" s="107" t="n"/>
      <c r="P432" s="107" t="n"/>
      <c r="Q432" s="107" t="n"/>
      <c r="R432" s="107" t="n"/>
      <c r="S432" s="107" t="n"/>
      <c r="T432" s="107" t="n"/>
      <c r="U432" s="107" t="n"/>
      <c r="V432" s="107" t="n"/>
      <c r="W432" s="107" t="n"/>
      <c r="X432" s="107" t="n"/>
      <c r="Y432" s="107" t="n"/>
      <c r="Z432" s="107" t="n"/>
      <c r="AA432" s="226" t="n"/>
      <c r="AB432" s="226" t="n"/>
      <c r="AC432" s="226" t="n"/>
      <c r="AD432" s="226" t="n"/>
      <c r="AE432" s="226" t="n"/>
      <c r="AF432" s="226" t="n"/>
      <c r="AG432" s="226" t="n"/>
      <c r="AH432" s="226" t="n"/>
      <c r="AI432" s="226" t="n"/>
      <c r="AJ432" s="226" t="n"/>
      <c r="AK432" s="226" t="n"/>
      <c r="AL432" s="227" t="n"/>
    </row>
    <row r="433">
      <c r="B433" s="94" t="n"/>
      <c r="C433" s="105" t="n"/>
      <c r="D433" s="105" t="n"/>
      <c r="E433" s="105" t="n"/>
      <c r="F433" s="105" t="n"/>
      <c r="G433" s="105" t="n"/>
      <c r="H433" s="105" t="n"/>
      <c r="I433" s="106" t="n"/>
      <c r="J433" s="105" t="n"/>
      <c r="K433" s="95" t="n"/>
      <c r="L433" s="107" t="n"/>
      <c r="M433" s="107" t="n"/>
      <c r="N433" s="107" t="n"/>
      <c r="O433" s="107" t="n"/>
      <c r="P433" s="107" t="n"/>
      <c r="Q433" s="107" t="n"/>
      <c r="R433" s="107" t="n"/>
      <c r="S433" s="107" t="n"/>
      <c r="T433" s="107" t="n"/>
      <c r="U433" s="107" t="n"/>
      <c r="V433" s="107" t="n"/>
      <c r="W433" s="107" t="n"/>
      <c r="X433" s="107" t="n"/>
      <c r="Y433" s="107" t="n"/>
      <c r="Z433" s="107" t="n"/>
      <c r="AA433" s="226" t="n"/>
      <c r="AB433" s="226" t="n"/>
      <c r="AC433" s="226" t="n"/>
      <c r="AD433" s="226" t="n"/>
      <c r="AE433" s="226" t="n"/>
      <c r="AF433" s="226" t="n"/>
      <c r="AG433" s="226" t="n"/>
      <c r="AH433" s="226" t="n"/>
      <c r="AI433" s="226" t="n"/>
      <c r="AJ433" s="226" t="n"/>
      <c r="AK433" s="226" t="n"/>
      <c r="AL433" s="227" t="n"/>
    </row>
    <row r="434">
      <c r="B434" s="94" t="n"/>
      <c r="C434" s="105" t="n"/>
      <c r="D434" s="105" t="n"/>
      <c r="E434" s="105" t="n"/>
      <c r="F434" s="105" t="n"/>
      <c r="G434" s="105" t="n"/>
      <c r="H434" s="105" t="n"/>
      <c r="I434" s="106" t="n"/>
      <c r="J434" s="105" t="n"/>
      <c r="K434" s="95" t="n"/>
      <c r="L434" s="107" t="n"/>
      <c r="M434" s="107" t="n"/>
      <c r="N434" s="107" t="n"/>
      <c r="O434" s="107" t="n"/>
      <c r="P434" s="107" t="n"/>
      <c r="Q434" s="107" t="n"/>
      <c r="R434" s="107" t="n"/>
      <c r="S434" s="107" t="n"/>
      <c r="T434" s="107" t="n"/>
      <c r="U434" s="107" t="n"/>
      <c r="V434" s="107" t="n"/>
      <c r="W434" s="107" t="n"/>
      <c r="X434" s="107" t="n"/>
      <c r="Y434" s="107" t="n"/>
      <c r="Z434" s="107" t="n"/>
      <c r="AA434" s="226" t="n"/>
      <c r="AB434" s="226" t="n"/>
      <c r="AC434" s="226" t="n"/>
      <c r="AD434" s="226" t="n"/>
      <c r="AE434" s="226" t="n"/>
      <c r="AF434" s="226" t="n"/>
      <c r="AG434" s="226" t="n"/>
      <c r="AH434" s="226" t="n"/>
      <c r="AI434" s="226" t="n"/>
      <c r="AJ434" s="226" t="n"/>
      <c r="AK434" s="226" t="n"/>
      <c r="AL434" s="227" t="n"/>
    </row>
    <row r="435">
      <c r="B435" s="94" t="n"/>
      <c r="C435" s="105" t="n"/>
      <c r="D435" s="105" t="n"/>
      <c r="E435" s="105" t="n"/>
      <c r="F435" s="105" t="n"/>
      <c r="G435" s="105" t="n"/>
      <c r="H435" s="105" t="n"/>
      <c r="I435" s="106" t="n"/>
      <c r="J435" s="105" t="n"/>
      <c r="K435" s="95" t="n"/>
      <c r="L435" s="107" t="n"/>
      <c r="M435" s="107" t="n"/>
      <c r="N435" s="107" t="n"/>
      <c r="O435" s="107" t="n"/>
      <c r="P435" s="107" t="n"/>
      <c r="Q435" s="107" t="n"/>
      <c r="R435" s="107" t="n"/>
      <c r="S435" s="107" t="n"/>
      <c r="T435" s="107" t="n"/>
      <c r="U435" s="107" t="n"/>
      <c r="V435" s="107" t="n"/>
      <c r="W435" s="107" t="n"/>
      <c r="X435" s="107" t="n"/>
      <c r="Y435" s="107" t="n"/>
      <c r="Z435" s="107" t="n"/>
      <c r="AA435" s="226" t="n"/>
      <c r="AB435" s="226" t="n"/>
      <c r="AC435" s="226" t="n"/>
      <c r="AD435" s="226" t="n"/>
      <c r="AE435" s="226" t="n"/>
      <c r="AF435" s="226" t="n"/>
      <c r="AG435" s="226" t="n"/>
      <c r="AH435" s="226" t="n"/>
      <c r="AI435" s="226" t="n"/>
      <c r="AJ435" s="226" t="n"/>
      <c r="AK435" s="226" t="n"/>
      <c r="AL435" s="227" t="n"/>
    </row>
    <row r="436">
      <c r="B436" s="94" t="n"/>
      <c r="C436" s="105" t="n"/>
      <c r="D436" s="105" t="n"/>
      <c r="E436" s="105" t="n"/>
      <c r="F436" s="105" t="n"/>
      <c r="G436" s="105" t="n"/>
      <c r="H436" s="105" t="n"/>
      <c r="I436" s="106" t="n"/>
      <c r="J436" s="105" t="n"/>
      <c r="K436" s="95" t="n"/>
      <c r="L436" s="107" t="n"/>
      <c r="M436" s="107" t="n"/>
      <c r="N436" s="107" t="n"/>
      <c r="O436" s="107" t="n"/>
      <c r="P436" s="107" t="n"/>
      <c r="Q436" s="107" t="n"/>
      <c r="R436" s="107" t="n"/>
      <c r="S436" s="107" t="n"/>
      <c r="T436" s="107" t="n"/>
      <c r="U436" s="107" t="n"/>
      <c r="V436" s="107" t="n"/>
      <c r="W436" s="107" t="n"/>
      <c r="X436" s="107" t="n"/>
      <c r="Y436" s="107" t="n"/>
      <c r="Z436" s="107" t="n"/>
      <c r="AA436" s="226" t="n"/>
      <c r="AB436" s="226" t="n"/>
      <c r="AC436" s="226" t="n"/>
      <c r="AD436" s="226" t="n"/>
      <c r="AE436" s="226" t="n"/>
      <c r="AF436" s="226" t="n"/>
      <c r="AG436" s="226" t="n"/>
      <c r="AH436" s="226" t="n"/>
      <c r="AI436" s="226" t="n"/>
      <c r="AJ436" s="226" t="n"/>
      <c r="AK436" s="226" t="n"/>
      <c r="AL436" s="227" t="n"/>
    </row>
    <row r="437">
      <c r="B437" s="94" t="n"/>
      <c r="C437" s="105" t="n"/>
      <c r="D437" s="105" t="n"/>
      <c r="E437" s="105" t="n"/>
      <c r="F437" s="105" t="n"/>
      <c r="G437" s="105" t="n"/>
      <c r="H437" s="105" t="n"/>
      <c r="I437" s="106" t="n"/>
      <c r="J437" s="105" t="n"/>
      <c r="K437" s="95" t="n"/>
      <c r="L437" s="107" t="n"/>
      <c r="M437" s="107" t="n"/>
      <c r="N437" s="107" t="n"/>
      <c r="O437" s="107" t="n"/>
      <c r="P437" s="107" t="n"/>
      <c r="Q437" s="107" t="n"/>
      <c r="R437" s="107" t="n"/>
      <c r="S437" s="107" t="n"/>
      <c r="T437" s="107" t="n"/>
      <c r="U437" s="107" t="n"/>
      <c r="V437" s="107" t="n"/>
      <c r="W437" s="107" t="n"/>
      <c r="X437" s="107" t="n"/>
      <c r="Y437" s="107" t="n"/>
      <c r="Z437" s="107" t="n"/>
      <c r="AA437" s="226" t="n"/>
      <c r="AB437" s="226" t="n"/>
      <c r="AC437" s="226" t="n"/>
      <c r="AD437" s="226" t="n"/>
      <c r="AE437" s="226" t="n"/>
      <c r="AF437" s="226" t="n"/>
      <c r="AG437" s="226" t="n"/>
      <c r="AH437" s="226" t="n"/>
      <c r="AI437" s="226" t="n"/>
      <c r="AJ437" s="226" t="n"/>
      <c r="AK437" s="226" t="n"/>
      <c r="AL437" s="227" t="n"/>
    </row>
    <row r="438">
      <c r="B438" s="94" t="n"/>
      <c r="C438" s="105" t="n"/>
      <c r="D438" s="105" t="n"/>
      <c r="E438" s="105" t="n"/>
      <c r="F438" s="105" t="n"/>
      <c r="G438" s="105" t="n"/>
      <c r="H438" s="105" t="n"/>
      <c r="I438" s="106" t="n"/>
      <c r="J438" s="105" t="n"/>
      <c r="K438" s="95" t="n"/>
      <c r="L438" s="107" t="n"/>
      <c r="M438" s="107" t="n"/>
      <c r="N438" s="107" t="n"/>
      <c r="O438" s="107" t="n"/>
      <c r="P438" s="107" t="n"/>
      <c r="Q438" s="107" t="n"/>
      <c r="R438" s="107" t="n"/>
      <c r="S438" s="107" t="n"/>
      <c r="T438" s="107" t="n"/>
      <c r="U438" s="107" t="n"/>
      <c r="V438" s="107" t="n"/>
      <c r="W438" s="107" t="n"/>
      <c r="X438" s="107" t="n"/>
      <c r="Y438" s="107" t="n"/>
      <c r="Z438" s="107" t="n"/>
      <c r="AA438" s="226" t="n"/>
      <c r="AB438" s="226" t="n"/>
      <c r="AC438" s="226" t="n"/>
      <c r="AD438" s="226" t="n"/>
      <c r="AE438" s="226" t="n"/>
      <c r="AF438" s="226" t="n"/>
      <c r="AG438" s="226" t="n"/>
      <c r="AH438" s="226" t="n"/>
      <c r="AI438" s="226" t="n"/>
      <c r="AJ438" s="226" t="n"/>
      <c r="AK438" s="226" t="n"/>
      <c r="AL438" s="227" t="n"/>
    </row>
    <row r="439">
      <c r="B439" s="94" t="n"/>
      <c r="C439" s="105" t="n"/>
      <c r="D439" s="105" t="n"/>
      <c r="E439" s="105" t="n"/>
      <c r="F439" s="105" t="n"/>
      <c r="G439" s="105" t="n"/>
      <c r="H439" s="105" t="n"/>
      <c r="I439" s="106" t="n"/>
      <c r="J439" s="105" t="n"/>
      <c r="K439" s="95" t="n"/>
      <c r="L439" s="107" t="n"/>
      <c r="M439" s="107" t="n"/>
      <c r="N439" s="107" t="n"/>
      <c r="O439" s="107" t="n"/>
      <c r="P439" s="107" t="n"/>
      <c r="Q439" s="107" t="n"/>
      <c r="R439" s="107" t="n"/>
      <c r="S439" s="107" t="n"/>
      <c r="T439" s="107" t="n"/>
      <c r="U439" s="107" t="n"/>
      <c r="V439" s="107" t="n"/>
      <c r="W439" s="107" t="n"/>
      <c r="X439" s="107" t="n"/>
      <c r="Y439" s="107" t="n"/>
      <c r="Z439" s="107" t="n"/>
      <c r="AA439" s="226" t="n"/>
      <c r="AB439" s="226" t="n"/>
      <c r="AC439" s="226" t="n"/>
      <c r="AD439" s="226" t="n"/>
      <c r="AE439" s="226" t="n"/>
      <c r="AF439" s="226" t="n"/>
      <c r="AG439" s="226" t="n"/>
      <c r="AH439" s="226" t="n"/>
      <c r="AI439" s="226" t="n"/>
      <c r="AJ439" s="226" t="n"/>
      <c r="AK439" s="226" t="n"/>
      <c r="AL439" s="227" t="n"/>
    </row>
    <row r="440">
      <c r="B440" s="94" t="n"/>
      <c r="C440" s="105" t="n"/>
      <c r="D440" s="105" t="n"/>
      <c r="E440" s="105" t="n"/>
      <c r="F440" s="105" t="n"/>
      <c r="G440" s="105" t="n"/>
      <c r="H440" s="105" t="n"/>
      <c r="I440" s="106" t="n"/>
      <c r="J440" s="105" t="n"/>
      <c r="K440" s="95" t="n"/>
      <c r="L440" s="107" t="n"/>
      <c r="M440" s="107" t="n"/>
      <c r="N440" s="107" t="n"/>
      <c r="O440" s="107" t="n"/>
      <c r="P440" s="107" t="n"/>
      <c r="Q440" s="107" t="n"/>
      <c r="R440" s="107" t="n"/>
      <c r="S440" s="107" t="n"/>
      <c r="T440" s="107" t="n"/>
      <c r="U440" s="107" t="n"/>
      <c r="V440" s="107" t="n"/>
      <c r="W440" s="107" t="n"/>
      <c r="X440" s="107" t="n"/>
      <c r="Y440" s="107" t="n"/>
      <c r="Z440" s="107" t="n"/>
      <c r="AA440" s="226" t="n"/>
      <c r="AB440" s="226" t="n"/>
      <c r="AC440" s="226" t="n"/>
      <c r="AD440" s="226" t="n"/>
      <c r="AE440" s="226" t="n"/>
      <c r="AF440" s="226" t="n"/>
      <c r="AG440" s="226" t="n"/>
      <c r="AH440" s="226" t="n"/>
      <c r="AI440" s="226" t="n"/>
      <c r="AJ440" s="226" t="n"/>
      <c r="AK440" s="226" t="n"/>
      <c r="AL440" s="227" t="n"/>
    </row>
    <row r="441">
      <c r="B441" s="94" t="n"/>
      <c r="C441" s="105" t="n"/>
      <c r="D441" s="105" t="n"/>
      <c r="E441" s="105" t="n"/>
      <c r="F441" s="105" t="n"/>
      <c r="G441" s="105" t="n"/>
      <c r="H441" s="105" t="n"/>
      <c r="I441" s="106" t="n"/>
      <c r="J441" s="105" t="n"/>
      <c r="K441" s="95" t="n"/>
      <c r="L441" s="107" t="n"/>
      <c r="M441" s="107" t="n"/>
      <c r="N441" s="107" t="n"/>
      <c r="O441" s="107" t="n"/>
      <c r="P441" s="107" t="n"/>
      <c r="Q441" s="107" t="n"/>
      <c r="R441" s="107" t="n"/>
      <c r="S441" s="107" t="n"/>
      <c r="T441" s="107" t="n"/>
      <c r="U441" s="107" t="n"/>
      <c r="V441" s="107" t="n"/>
      <c r="W441" s="107" t="n"/>
      <c r="X441" s="107" t="n"/>
      <c r="Y441" s="107" t="n"/>
      <c r="Z441" s="107" t="n"/>
      <c r="AA441" s="226" t="n"/>
      <c r="AB441" s="226" t="n"/>
      <c r="AC441" s="226" t="n"/>
      <c r="AD441" s="226" t="n"/>
      <c r="AE441" s="226" t="n"/>
      <c r="AF441" s="226" t="n"/>
      <c r="AG441" s="226" t="n"/>
      <c r="AH441" s="226" t="n"/>
      <c r="AI441" s="226" t="n"/>
      <c r="AJ441" s="226" t="n"/>
      <c r="AK441" s="226" t="n"/>
      <c r="AL441" s="227" t="n"/>
    </row>
    <row r="442">
      <c r="B442" s="94" t="n"/>
      <c r="C442" s="105" t="n"/>
      <c r="D442" s="105" t="n"/>
      <c r="E442" s="105" t="n"/>
      <c r="F442" s="105" t="n"/>
      <c r="G442" s="105" t="n"/>
      <c r="H442" s="105" t="n"/>
      <c r="I442" s="106" t="n"/>
      <c r="J442" s="105" t="n"/>
      <c r="K442" s="95" t="n"/>
      <c r="L442" s="107" t="n"/>
      <c r="M442" s="107" t="n"/>
      <c r="N442" s="107" t="n"/>
      <c r="O442" s="107" t="n"/>
      <c r="P442" s="107" t="n"/>
      <c r="Q442" s="107" t="n"/>
      <c r="R442" s="107" t="n"/>
      <c r="S442" s="107" t="n"/>
      <c r="T442" s="107" t="n"/>
      <c r="U442" s="107" t="n"/>
      <c r="V442" s="107" t="n"/>
      <c r="W442" s="107" t="n"/>
      <c r="X442" s="107" t="n"/>
      <c r="Y442" s="107" t="n"/>
      <c r="Z442" s="107" t="n"/>
      <c r="AA442" s="226" t="n"/>
      <c r="AB442" s="226" t="n"/>
      <c r="AC442" s="226" t="n"/>
      <c r="AD442" s="226" t="n"/>
      <c r="AE442" s="226" t="n"/>
      <c r="AF442" s="226" t="n"/>
      <c r="AG442" s="226" t="n"/>
      <c r="AH442" s="226" t="n"/>
      <c r="AI442" s="226" t="n"/>
      <c r="AJ442" s="226" t="n"/>
      <c r="AK442" s="226" t="n"/>
      <c r="AL442" s="227" t="n"/>
    </row>
    <row r="443">
      <c r="B443" s="94" t="n"/>
      <c r="C443" s="105" t="n"/>
      <c r="D443" s="105" t="n"/>
      <c r="E443" s="105" t="n"/>
      <c r="F443" s="105" t="n"/>
      <c r="G443" s="105" t="n"/>
      <c r="H443" s="105" t="n"/>
      <c r="I443" s="106" t="n"/>
      <c r="J443" s="105" t="n"/>
      <c r="K443" s="95" t="n"/>
      <c r="L443" s="107" t="n"/>
      <c r="M443" s="107" t="n"/>
      <c r="N443" s="107" t="n"/>
      <c r="O443" s="107" t="n"/>
      <c r="P443" s="107" t="n"/>
      <c r="Q443" s="107" t="n"/>
      <c r="R443" s="107" t="n"/>
      <c r="S443" s="107" t="n"/>
      <c r="T443" s="107" t="n"/>
      <c r="U443" s="107" t="n"/>
      <c r="V443" s="107" t="n"/>
      <c r="W443" s="107" t="n"/>
      <c r="X443" s="107" t="n"/>
      <c r="Y443" s="107" t="n"/>
      <c r="Z443" s="107" t="n"/>
      <c r="AA443" s="226" t="n"/>
      <c r="AB443" s="226" t="n"/>
      <c r="AC443" s="226" t="n"/>
      <c r="AD443" s="226" t="n"/>
      <c r="AE443" s="226" t="n"/>
      <c r="AF443" s="226" t="n"/>
      <c r="AG443" s="226" t="n"/>
      <c r="AH443" s="226" t="n"/>
      <c r="AI443" s="226" t="n"/>
      <c r="AJ443" s="226" t="n"/>
      <c r="AK443" s="226" t="n"/>
      <c r="AL443" s="227" t="n"/>
    </row>
    <row r="444">
      <c r="B444" s="94" t="n"/>
      <c r="C444" s="105" t="n"/>
      <c r="D444" s="105" t="n"/>
      <c r="E444" s="105" t="n"/>
      <c r="F444" s="105" t="n"/>
      <c r="G444" s="105" t="n"/>
      <c r="H444" s="105" t="n"/>
      <c r="I444" s="106" t="n"/>
      <c r="J444" s="105" t="n"/>
      <c r="K444" s="95" t="n"/>
      <c r="L444" s="107" t="n"/>
      <c r="M444" s="107" t="n"/>
      <c r="N444" s="107" t="n"/>
      <c r="O444" s="107" t="n"/>
      <c r="P444" s="107" t="n"/>
      <c r="Q444" s="107" t="n"/>
      <c r="R444" s="107" t="n"/>
      <c r="S444" s="107" t="n"/>
      <c r="T444" s="107" t="n"/>
      <c r="U444" s="107" t="n"/>
      <c r="V444" s="107" t="n"/>
      <c r="W444" s="107" t="n"/>
      <c r="X444" s="107" t="n"/>
      <c r="Y444" s="107" t="n"/>
      <c r="Z444" s="107" t="n"/>
      <c r="AA444" s="226" t="n"/>
      <c r="AB444" s="226" t="n"/>
      <c r="AC444" s="226" t="n"/>
      <c r="AD444" s="226" t="n"/>
      <c r="AE444" s="226" t="n"/>
      <c r="AF444" s="226" t="n"/>
      <c r="AG444" s="226" t="n"/>
      <c r="AH444" s="226" t="n"/>
      <c r="AI444" s="226" t="n"/>
      <c r="AJ444" s="226" t="n"/>
      <c r="AK444" s="226" t="n"/>
      <c r="AL444" s="227" t="n"/>
    </row>
    <row r="445">
      <c r="B445" s="94" t="n"/>
      <c r="C445" s="105" t="n"/>
      <c r="D445" s="105" t="n"/>
      <c r="E445" s="105" t="n"/>
      <c r="F445" s="105" t="n"/>
      <c r="G445" s="105" t="n"/>
      <c r="H445" s="105" t="n"/>
      <c r="I445" s="106" t="n"/>
      <c r="J445" s="105" t="n"/>
      <c r="K445" s="95" t="n"/>
      <c r="L445" s="107" t="n"/>
      <c r="M445" s="107" t="n"/>
      <c r="N445" s="107" t="n"/>
      <c r="O445" s="107" t="n"/>
      <c r="P445" s="107" t="n"/>
      <c r="Q445" s="107" t="n"/>
      <c r="R445" s="107" t="n"/>
      <c r="S445" s="107" t="n"/>
      <c r="T445" s="107" t="n"/>
      <c r="U445" s="107" t="n"/>
      <c r="V445" s="107" t="n"/>
      <c r="W445" s="107" t="n"/>
      <c r="X445" s="107" t="n"/>
      <c r="Y445" s="107" t="n"/>
      <c r="Z445" s="107" t="n"/>
      <c r="AA445" s="226" t="n"/>
      <c r="AB445" s="226" t="n"/>
      <c r="AC445" s="226" t="n"/>
      <c r="AD445" s="226" t="n"/>
      <c r="AE445" s="226" t="n"/>
      <c r="AF445" s="226" t="n"/>
      <c r="AG445" s="226" t="n"/>
      <c r="AH445" s="226" t="n"/>
      <c r="AI445" s="226" t="n"/>
      <c r="AJ445" s="226" t="n"/>
      <c r="AK445" s="226" t="n"/>
      <c r="AL445" s="227" t="n"/>
    </row>
    <row r="446">
      <c r="B446" s="94" t="n"/>
      <c r="C446" s="105" t="n"/>
      <c r="D446" s="105" t="n"/>
      <c r="E446" s="105" t="n"/>
      <c r="F446" s="105" t="n"/>
      <c r="G446" s="105" t="n"/>
      <c r="H446" s="105" t="n"/>
      <c r="I446" s="106" t="n"/>
      <c r="J446" s="105" t="n"/>
      <c r="K446" s="95" t="n"/>
      <c r="L446" s="107" t="n"/>
      <c r="M446" s="107" t="n"/>
      <c r="N446" s="107" t="n"/>
      <c r="O446" s="107" t="n"/>
      <c r="P446" s="107" t="n"/>
      <c r="Q446" s="107" t="n"/>
      <c r="R446" s="107" t="n"/>
      <c r="S446" s="107" t="n"/>
      <c r="T446" s="107" t="n"/>
      <c r="U446" s="107" t="n"/>
      <c r="V446" s="107" t="n"/>
      <c r="W446" s="107" t="n"/>
      <c r="X446" s="107" t="n"/>
      <c r="Y446" s="107" t="n"/>
      <c r="Z446" s="107" t="n"/>
      <c r="AA446" s="226" t="n"/>
      <c r="AB446" s="226" t="n"/>
      <c r="AC446" s="226" t="n"/>
      <c r="AD446" s="226" t="n"/>
      <c r="AE446" s="226" t="n"/>
      <c r="AF446" s="226" t="n"/>
      <c r="AG446" s="226" t="n"/>
      <c r="AH446" s="226" t="n"/>
      <c r="AI446" s="226" t="n"/>
      <c r="AJ446" s="226" t="n"/>
      <c r="AK446" s="226" t="n"/>
      <c r="AL446" s="227" t="n"/>
    </row>
    <row r="447">
      <c r="B447" s="94" t="n"/>
      <c r="C447" s="105" t="n"/>
      <c r="D447" s="105" t="n"/>
      <c r="E447" s="105" t="n"/>
      <c r="F447" s="105" t="n"/>
      <c r="G447" s="105" t="n"/>
      <c r="H447" s="105" t="n"/>
      <c r="I447" s="106" t="n"/>
      <c r="J447" s="105" t="n"/>
      <c r="K447" s="95" t="n"/>
      <c r="L447" s="107" t="n"/>
      <c r="M447" s="107" t="n"/>
      <c r="N447" s="107" t="n"/>
      <c r="O447" s="107" t="n"/>
      <c r="P447" s="107" t="n"/>
      <c r="Q447" s="107" t="n"/>
      <c r="R447" s="107" t="n"/>
      <c r="S447" s="107" t="n"/>
      <c r="T447" s="107" t="n"/>
      <c r="U447" s="107" t="n"/>
      <c r="V447" s="107" t="n"/>
      <c r="W447" s="107" t="n"/>
      <c r="X447" s="107" t="n"/>
      <c r="Y447" s="107" t="n"/>
      <c r="Z447" s="107" t="n"/>
      <c r="AA447" s="226" t="n"/>
      <c r="AB447" s="226" t="n"/>
      <c r="AC447" s="226" t="n"/>
      <c r="AD447" s="226" t="n"/>
      <c r="AE447" s="226" t="n"/>
      <c r="AF447" s="226" t="n"/>
      <c r="AG447" s="226" t="n"/>
      <c r="AH447" s="226" t="n"/>
      <c r="AI447" s="226" t="n"/>
      <c r="AJ447" s="226" t="n"/>
      <c r="AK447" s="226" t="n"/>
      <c r="AL447" s="227" t="n"/>
    </row>
    <row r="448">
      <c r="B448" s="94" t="n"/>
      <c r="C448" s="105" t="n"/>
      <c r="D448" s="105" t="n"/>
      <c r="E448" s="105" t="n"/>
      <c r="F448" s="105" t="n"/>
      <c r="G448" s="105" t="n"/>
      <c r="H448" s="105" t="n"/>
      <c r="I448" s="106" t="n"/>
      <c r="J448" s="105" t="n"/>
      <c r="K448" s="95" t="n"/>
      <c r="L448" s="107" t="n"/>
      <c r="M448" s="107" t="n"/>
      <c r="N448" s="107" t="n"/>
      <c r="O448" s="107" t="n"/>
      <c r="P448" s="107" t="n"/>
      <c r="Q448" s="107" t="n"/>
      <c r="R448" s="107" t="n"/>
      <c r="S448" s="107" t="n"/>
      <c r="T448" s="107" t="n"/>
      <c r="U448" s="107" t="n"/>
      <c r="V448" s="107" t="n"/>
      <c r="W448" s="107" t="n"/>
      <c r="X448" s="107" t="n"/>
      <c r="Y448" s="107" t="n"/>
      <c r="Z448" s="107" t="n"/>
      <c r="AA448" s="226" t="n"/>
      <c r="AB448" s="226" t="n"/>
      <c r="AC448" s="226" t="n"/>
      <c r="AD448" s="226" t="n"/>
      <c r="AE448" s="226" t="n"/>
      <c r="AF448" s="226" t="n"/>
      <c r="AG448" s="226" t="n"/>
      <c r="AH448" s="226" t="n"/>
      <c r="AI448" s="226" t="n"/>
      <c r="AJ448" s="226" t="n"/>
      <c r="AK448" s="226" t="n"/>
      <c r="AL448" s="227" t="n"/>
    </row>
    <row r="449">
      <c r="B449" s="94" t="n"/>
      <c r="C449" s="105" t="n"/>
      <c r="D449" s="105" t="n"/>
      <c r="E449" s="105" t="n"/>
      <c r="F449" s="105" t="n"/>
      <c r="G449" s="105" t="n"/>
      <c r="H449" s="105" t="n"/>
      <c r="I449" s="106" t="n"/>
      <c r="J449" s="105" t="n"/>
      <c r="K449" s="95" t="n"/>
      <c r="L449" s="107" t="n"/>
      <c r="M449" s="107" t="n"/>
      <c r="N449" s="107" t="n"/>
      <c r="O449" s="107" t="n"/>
      <c r="P449" s="107" t="n"/>
      <c r="Q449" s="107" t="n"/>
      <c r="R449" s="107" t="n"/>
      <c r="S449" s="107" t="n"/>
      <c r="T449" s="107" t="n"/>
      <c r="U449" s="107" t="n"/>
      <c r="V449" s="107" t="n"/>
      <c r="W449" s="107" t="n"/>
      <c r="X449" s="107" t="n"/>
      <c r="Y449" s="107" t="n"/>
      <c r="Z449" s="107" t="n"/>
      <c r="AA449" s="226" t="n"/>
      <c r="AB449" s="226" t="n"/>
      <c r="AC449" s="226" t="n"/>
      <c r="AD449" s="226" t="n"/>
      <c r="AE449" s="226" t="n"/>
      <c r="AF449" s="226" t="n"/>
      <c r="AG449" s="226" t="n"/>
      <c r="AH449" s="226" t="n"/>
      <c r="AI449" s="226" t="n"/>
      <c r="AJ449" s="226" t="n"/>
      <c r="AK449" s="226" t="n"/>
      <c r="AL449" s="227" t="n"/>
    </row>
    <row r="450">
      <c r="B450" s="94" t="n"/>
      <c r="C450" s="105" t="n"/>
      <c r="D450" s="105" t="n"/>
      <c r="E450" s="105" t="n"/>
      <c r="F450" s="105" t="n"/>
      <c r="G450" s="105" t="n"/>
      <c r="H450" s="105" t="n"/>
      <c r="I450" s="106" t="n"/>
      <c r="J450" s="105" t="n"/>
      <c r="K450" s="95" t="n"/>
      <c r="L450" s="107" t="n"/>
      <c r="M450" s="107" t="n"/>
      <c r="N450" s="107" t="n"/>
      <c r="O450" s="107" t="n"/>
      <c r="P450" s="107" t="n"/>
      <c r="Q450" s="107" t="n"/>
      <c r="R450" s="107" t="n"/>
      <c r="S450" s="107" t="n"/>
      <c r="T450" s="107" t="n"/>
      <c r="U450" s="107" t="n"/>
      <c r="V450" s="107" t="n"/>
      <c r="W450" s="107" t="n"/>
      <c r="X450" s="107" t="n"/>
      <c r="Y450" s="107" t="n"/>
      <c r="Z450" s="107" t="n"/>
      <c r="AA450" s="226" t="n"/>
      <c r="AB450" s="226" t="n"/>
      <c r="AC450" s="226" t="n"/>
      <c r="AD450" s="226" t="n"/>
      <c r="AE450" s="226" t="n"/>
      <c r="AF450" s="226" t="n"/>
      <c r="AG450" s="226" t="n"/>
      <c r="AH450" s="226" t="n"/>
      <c r="AI450" s="226" t="n"/>
      <c r="AJ450" s="226" t="n"/>
      <c r="AK450" s="226" t="n"/>
      <c r="AL450" s="227" t="n"/>
    </row>
    <row r="451">
      <c r="B451" s="94" t="n"/>
      <c r="C451" s="105" t="n"/>
      <c r="D451" s="105" t="n"/>
      <c r="E451" s="105" t="n"/>
      <c r="F451" s="105" t="n"/>
      <c r="G451" s="105" t="n"/>
      <c r="H451" s="105" t="n"/>
      <c r="I451" s="106" t="n"/>
      <c r="J451" s="105" t="n"/>
      <c r="K451" s="95" t="n"/>
      <c r="L451" s="107" t="n"/>
      <c r="M451" s="107" t="n"/>
      <c r="N451" s="107" t="n"/>
      <c r="O451" s="107" t="n"/>
      <c r="P451" s="107" t="n"/>
      <c r="Q451" s="107" t="n"/>
      <c r="R451" s="107" t="n"/>
      <c r="S451" s="107" t="n"/>
      <c r="T451" s="107" t="n"/>
      <c r="U451" s="107" t="n"/>
      <c r="V451" s="107" t="n"/>
      <c r="W451" s="107" t="n"/>
      <c r="X451" s="107" t="n"/>
      <c r="Y451" s="107" t="n"/>
      <c r="Z451" s="107" t="n"/>
      <c r="AA451" s="226" t="n"/>
      <c r="AB451" s="226" t="n"/>
      <c r="AC451" s="226" t="n"/>
      <c r="AD451" s="226" t="n"/>
      <c r="AE451" s="226" t="n"/>
      <c r="AF451" s="226" t="n"/>
      <c r="AG451" s="226" t="n"/>
      <c r="AH451" s="226" t="n"/>
      <c r="AI451" s="226" t="n"/>
      <c r="AJ451" s="226" t="n"/>
      <c r="AK451" s="226" t="n"/>
      <c r="AL451" s="227" t="n"/>
    </row>
    <row r="452">
      <c r="B452" s="94" t="n"/>
      <c r="C452" s="105" t="n"/>
      <c r="D452" s="105" t="n"/>
      <c r="E452" s="105" t="n"/>
      <c r="F452" s="105" t="n"/>
      <c r="G452" s="105" t="n"/>
      <c r="H452" s="105" t="n"/>
      <c r="I452" s="106" t="n"/>
      <c r="J452" s="105" t="n"/>
      <c r="K452" s="95" t="n"/>
      <c r="L452" s="107" t="n"/>
      <c r="M452" s="107" t="n"/>
      <c r="N452" s="107" t="n"/>
      <c r="O452" s="107" t="n"/>
      <c r="P452" s="107" t="n"/>
      <c r="Q452" s="107" t="n"/>
      <c r="R452" s="107" t="n"/>
      <c r="S452" s="107" t="n"/>
      <c r="T452" s="107" t="n"/>
      <c r="U452" s="107" t="n"/>
      <c r="V452" s="107" t="n"/>
      <c r="W452" s="107" t="n"/>
      <c r="X452" s="107" t="n"/>
      <c r="Y452" s="107" t="n"/>
      <c r="Z452" s="107" t="n"/>
      <c r="AA452" s="226" t="n"/>
      <c r="AB452" s="226" t="n"/>
      <c r="AC452" s="226" t="n"/>
      <c r="AD452" s="226" t="n"/>
      <c r="AE452" s="226" t="n"/>
      <c r="AF452" s="226" t="n"/>
      <c r="AG452" s="226" t="n"/>
      <c r="AH452" s="226" t="n"/>
      <c r="AI452" s="226" t="n"/>
      <c r="AJ452" s="226" t="n"/>
      <c r="AK452" s="226" t="n"/>
      <c r="AL452" s="227" t="n"/>
    </row>
    <row r="453">
      <c r="B453" s="94" t="n"/>
      <c r="C453" s="105" t="n"/>
      <c r="D453" s="105" t="n"/>
      <c r="E453" s="105" t="n"/>
      <c r="F453" s="105" t="n"/>
      <c r="G453" s="105" t="n"/>
      <c r="H453" s="105" t="n"/>
      <c r="I453" s="106" t="n"/>
      <c r="J453" s="105" t="n"/>
      <c r="K453" s="95" t="n"/>
      <c r="L453" s="107" t="n"/>
      <c r="M453" s="107" t="n"/>
      <c r="N453" s="107" t="n"/>
      <c r="O453" s="107" t="n"/>
      <c r="P453" s="107" t="n"/>
      <c r="Q453" s="107" t="n"/>
      <c r="R453" s="107" t="n"/>
      <c r="S453" s="107" t="n"/>
      <c r="T453" s="107" t="n"/>
      <c r="U453" s="107" t="n"/>
      <c r="V453" s="107" t="n"/>
      <c r="W453" s="107" t="n"/>
      <c r="X453" s="107" t="n"/>
      <c r="Y453" s="107" t="n"/>
      <c r="Z453" s="107" t="n"/>
      <c r="AA453" s="226" t="n"/>
      <c r="AB453" s="226" t="n"/>
      <c r="AC453" s="226" t="n"/>
      <c r="AD453" s="226" t="n"/>
      <c r="AE453" s="226" t="n"/>
      <c r="AF453" s="226" t="n"/>
      <c r="AG453" s="226" t="n"/>
      <c r="AH453" s="226" t="n"/>
      <c r="AI453" s="226" t="n"/>
      <c r="AJ453" s="226" t="n"/>
      <c r="AK453" s="226" t="n"/>
      <c r="AL453" s="227" t="n"/>
    </row>
    <row r="454">
      <c r="B454" s="94" t="n"/>
      <c r="C454" s="105" t="n"/>
      <c r="D454" s="105" t="n"/>
      <c r="E454" s="105" t="n"/>
      <c r="F454" s="105" t="n"/>
      <c r="G454" s="105" t="n"/>
      <c r="H454" s="105" t="n"/>
      <c r="I454" s="106" t="n"/>
      <c r="J454" s="105" t="n"/>
      <c r="K454" s="95" t="n"/>
      <c r="L454" s="107" t="n"/>
      <c r="M454" s="107" t="n"/>
      <c r="N454" s="107" t="n"/>
      <c r="O454" s="107" t="n"/>
      <c r="P454" s="107" t="n"/>
      <c r="Q454" s="107" t="n"/>
      <c r="R454" s="107" t="n"/>
      <c r="S454" s="107" t="n"/>
      <c r="T454" s="107" t="n"/>
      <c r="U454" s="107" t="n"/>
      <c r="V454" s="107" t="n"/>
      <c r="W454" s="107" t="n"/>
      <c r="X454" s="107" t="n"/>
      <c r="Y454" s="107" t="n"/>
      <c r="Z454" s="107" t="n"/>
      <c r="AA454" s="226" t="n"/>
      <c r="AB454" s="226" t="n"/>
      <c r="AC454" s="226" t="n"/>
      <c r="AD454" s="226" t="n"/>
      <c r="AE454" s="226" t="n"/>
      <c r="AF454" s="226" t="n"/>
      <c r="AG454" s="226" t="n"/>
      <c r="AH454" s="226" t="n"/>
      <c r="AI454" s="226" t="n"/>
      <c r="AJ454" s="226" t="n"/>
      <c r="AK454" s="226" t="n"/>
      <c r="AL454" s="227" t="n"/>
    </row>
    <row r="455">
      <c r="B455" s="94" t="n"/>
      <c r="C455" s="105" t="n"/>
      <c r="D455" s="105" t="n"/>
      <c r="E455" s="105" t="n"/>
      <c r="F455" s="105" t="n"/>
      <c r="G455" s="105" t="n"/>
      <c r="H455" s="105" t="n"/>
      <c r="I455" s="106" t="n"/>
      <c r="J455" s="105" t="n"/>
      <c r="K455" s="95" t="n"/>
      <c r="L455" s="107" t="n"/>
      <c r="M455" s="107" t="n"/>
      <c r="N455" s="107" t="n"/>
      <c r="O455" s="107" t="n"/>
      <c r="P455" s="107" t="n"/>
      <c r="Q455" s="107" t="n"/>
      <c r="R455" s="107" t="n"/>
      <c r="S455" s="107" t="n"/>
      <c r="T455" s="107" t="n"/>
      <c r="U455" s="107" t="n"/>
      <c r="V455" s="107" t="n"/>
      <c r="W455" s="107" t="n"/>
      <c r="X455" s="107" t="n"/>
      <c r="Y455" s="107" t="n"/>
      <c r="Z455" s="107" t="n"/>
      <c r="AA455" s="226" t="n"/>
      <c r="AB455" s="226" t="n"/>
      <c r="AC455" s="226" t="n"/>
      <c r="AD455" s="226" t="n"/>
      <c r="AE455" s="226" t="n"/>
      <c r="AF455" s="226" t="n"/>
      <c r="AG455" s="226" t="n"/>
      <c r="AH455" s="226" t="n"/>
      <c r="AI455" s="226" t="n"/>
      <c r="AJ455" s="226" t="n"/>
      <c r="AK455" s="226" t="n"/>
      <c r="AL455" s="227" t="n"/>
    </row>
    <row r="456">
      <c r="B456" s="94" t="n"/>
      <c r="C456" s="105" t="n"/>
      <c r="D456" s="105" t="n"/>
      <c r="E456" s="105" t="n"/>
      <c r="F456" s="105" t="n"/>
      <c r="G456" s="105" t="n"/>
      <c r="H456" s="105" t="n"/>
      <c r="I456" s="106" t="n"/>
      <c r="J456" s="105" t="n"/>
      <c r="K456" s="95" t="n"/>
      <c r="L456" s="107" t="n"/>
      <c r="M456" s="107" t="n"/>
      <c r="N456" s="107" t="n"/>
      <c r="O456" s="107" t="n"/>
      <c r="P456" s="107" t="n"/>
      <c r="Q456" s="107" t="n"/>
      <c r="R456" s="107" t="n"/>
      <c r="S456" s="107" t="n"/>
      <c r="T456" s="107" t="n"/>
      <c r="U456" s="107" t="n"/>
      <c r="V456" s="107" t="n"/>
      <c r="W456" s="107" t="n"/>
      <c r="X456" s="107" t="n"/>
      <c r="Y456" s="107" t="n"/>
      <c r="Z456" s="107" t="n"/>
      <c r="AA456" s="226" t="n"/>
      <c r="AB456" s="226" t="n"/>
      <c r="AC456" s="226" t="n"/>
      <c r="AD456" s="226" t="n"/>
      <c r="AE456" s="226" t="n"/>
      <c r="AF456" s="226" t="n"/>
      <c r="AG456" s="226" t="n"/>
      <c r="AH456" s="226" t="n"/>
      <c r="AI456" s="226" t="n"/>
      <c r="AJ456" s="226" t="n"/>
      <c r="AK456" s="226" t="n"/>
      <c r="AL456" s="227" t="n"/>
    </row>
    <row r="457">
      <c r="B457" s="94" t="n"/>
      <c r="C457" s="105" t="n"/>
      <c r="D457" s="105" t="n"/>
      <c r="E457" s="105" t="n"/>
      <c r="F457" s="105" t="n"/>
      <c r="G457" s="105" t="n"/>
      <c r="H457" s="105" t="n"/>
      <c r="I457" s="106" t="n"/>
      <c r="J457" s="105" t="n"/>
      <c r="K457" s="95" t="n"/>
      <c r="L457" s="107" t="n"/>
      <c r="M457" s="107" t="n"/>
      <c r="N457" s="107" t="n"/>
      <c r="O457" s="107" t="n"/>
      <c r="P457" s="107" t="n"/>
      <c r="Q457" s="107" t="n"/>
      <c r="R457" s="107" t="n"/>
      <c r="S457" s="107" t="n"/>
      <c r="T457" s="107" t="n"/>
      <c r="U457" s="107" t="n"/>
      <c r="V457" s="107" t="n"/>
      <c r="W457" s="107" t="n"/>
      <c r="X457" s="107" t="n"/>
      <c r="Y457" s="107" t="n"/>
      <c r="Z457" s="107" t="n"/>
      <c r="AA457" s="226" t="n"/>
      <c r="AB457" s="226" t="n"/>
      <c r="AC457" s="226" t="n"/>
      <c r="AD457" s="226" t="n"/>
      <c r="AE457" s="226" t="n"/>
      <c r="AF457" s="226" t="n"/>
      <c r="AG457" s="226" t="n"/>
      <c r="AH457" s="226" t="n"/>
      <c r="AI457" s="226" t="n"/>
      <c r="AJ457" s="226" t="n"/>
      <c r="AK457" s="226" t="n"/>
      <c r="AL457" s="227" t="n"/>
    </row>
    <row r="458">
      <c r="B458" s="94" t="n"/>
      <c r="C458" s="105" t="n"/>
      <c r="D458" s="105" t="n"/>
      <c r="E458" s="105" t="n"/>
      <c r="F458" s="105" t="n"/>
      <c r="G458" s="105" t="n"/>
      <c r="H458" s="105" t="n"/>
      <c r="I458" s="106" t="n"/>
      <c r="J458" s="105" t="n"/>
      <c r="K458" s="95" t="n"/>
      <c r="L458" s="107" t="n"/>
      <c r="M458" s="107" t="n"/>
      <c r="N458" s="107" t="n"/>
      <c r="O458" s="107" t="n"/>
      <c r="P458" s="107" t="n"/>
      <c r="Q458" s="107" t="n"/>
      <c r="R458" s="107" t="n"/>
      <c r="S458" s="107" t="n"/>
      <c r="T458" s="107" t="n"/>
      <c r="U458" s="107" t="n"/>
      <c r="V458" s="107" t="n"/>
      <c r="W458" s="107" t="n"/>
      <c r="X458" s="107" t="n"/>
      <c r="Y458" s="107" t="n"/>
      <c r="Z458" s="107" t="n"/>
      <c r="AA458" s="226" t="n"/>
      <c r="AB458" s="226" t="n"/>
      <c r="AC458" s="226" t="n"/>
      <c r="AD458" s="226" t="n"/>
      <c r="AE458" s="226" t="n"/>
      <c r="AF458" s="226" t="n"/>
      <c r="AG458" s="226" t="n"/>
      <c r="AH458" s="226" t="n"/>
      <c r="AI458" s="226" t="n"/>
      <c r="AJ458" s="226" t="n"/>
      <c r="AK458" s="226" t="n"/>
      <c r="AL458" s="227" t="n"/>
    </row>
    <row r="459">
      <c r="B459" s="94" t="n"/>
      <c r="C459" s="105" t="n"/>
      <c r="D459" s="105" t="n"/>
      <c r="E459" s="105" t="n"/>
      <c r="F459" s="105" t="n"/>
      <c r="G459" s="105" t="n"/>
      <c r="H459" s="105" t="n"/>
      <c r="I459" s="106" t="n"/>
      <c r="J459" s="105" t="n"/>
      <c r="K459" s="95" t="n"/>
      <c r="L459" s="107" t="n"/>
      <c r="M459" s="107" t="n"/>
      <c r="N459" s="107" t="n"/>
      <c r="O459" s="107" t="n"/>
      <c r="P459" s="107" t="n"/>
      <c r="Q459" s="107" t="n"/>
      <c r="R459" s="107" t="n"/>
      <c r="S459" s="107" t="n"/>
      <c r="T459" s="107" t="n"/>
      <c r="U459" s="107" t="n"/>
      <c r="V459" s="107" t="n"/>
      <c r="W459" s="107" t="n"/>
      <c r="X459" s="107" t="n"/>
      <c r="Y459" s="107" t="n"/>
      <c r="Z459" s="107" t="n"/>
      <c r="AA459" s="226" t="n"/>
      <c r="AB459" s="226" t="n"/>
      <c r="AC459" s="226" t="n"/>
      <c r="AD459" s="226" t="n"/>
      <c r="AE459" s="226" t="n"/>
      <c r="AF459" s="226" t="n"/>
      <c r="AG459" s="226" t="n"/>
      <c r="AH459" s="226" t="n"/>
      <c r="AI459" s="226" t="n"/>
      <c r="AJ459" s="226" t="n"/>
      <c r="AK459" s="226" t="n"/>
      <c r="AL459" s="227" t="n"/>
    </row>
    <row r="460">
      <c r="B460" s="94" t="n"/>
      <c r="C460" s="105" t="n"/>
      <c r="D460" s="105" t="n"/>
      <c r="E460" s="105" t="n"/>
      <c r="F460" s="105" t="n"/>
      <c r="G460" s="105" t="n"/>
      <c r="H460" s="105" t="n"/>
      <c r="I460" s="106" t="n"/>
      <c r="J460" s="105" t="n"/>
      <c r="K460" s="95" t="n"/>
      <c r="L460" s="107" t="n"/>
      <c r="M460" s="107" t="n"/>
      <c r="N460" s="107" t="n"/>
      <c r="O460" s="107" t="n"/>
      <c r="P460" s="107" t="n"/>
      <c r="Q460" s="107" t="n"/>
      <c r="R460" s="107" t="n"/>
      <c r="S460" s="107" t="n"/>
      <c r="T460" s="107" t="n"/>
      <c r="U460" s="107" t="n"/>
      <c r="V460" s="107" t="n"/>
      <c r="W460" s="107" t="n"/>
      <c r="X460" s="107" t="n"/>
      <c r="Y460" s="107" t="n"/>
      <c r="Z460" s="107" t="n"/>
      <c r="AA460" s="226" t="n"/>
      <c r="AB460" s="226" t="n"/>
      <c r="AC460" s="226" t="n"/>
      <c r="AD460" s="226" t="n"/>
      <c r="AE460" s="226" t="n"/>
      <c r="AF460" s="226" t="n"/>
      <c r="AG460" s="226" t="n"/>
      <c r="AH460" s="226" t="n"/>
      <c r="AI460" s="226" t="n"/>
      <c r="AJ460" s="226" t="n"/>
      <c r="AK460" s="226" t="n"/>
      <c r="AL460" s="227" t="n"/>
    </row>
    <row r="461">
      <c r="B461" s="94" t="n"/>
      <c r="C461" s="105" t="n"/>
      <c r="D461" s="105" t="n"/>
      <c r="E461" s="105" t="n"/>
      <c r="F461" s="105" t="n"/>
      <c r="G461" s="105" t="n"/>
      <c r="H461" s="105" t="n"/>
      <c r="I461" s="106" t="n"/>
      <c r="J461" s="105" t="n"/>
      <c r="K461" s="95" t="n"/>
      <c r="L461" s="107" t="n"/>
      <c r="M461" s="107" t="n"/>
      <c r="N461" s="107" t="n"/>
      <c r="O461" s="107" t="n"/>
      <c r="P461" s="107" t="n"/>
      <c r="Q461" s="107" t="n"/>
      <c r="R461" s="107" t="n"/>
      <c r="S461" s="107" t="n"/>
      <c r="T461" s="107" t="n"/>
      <c r="U461" s="107" t="n"/>
      <c r="V461" s="107" t="n"/>
      <c r="W461" s="107" t="n"/>
      <c r="X461" s="107" t="n"/>
      <c r="Y461" s="107" t="n"/>
      <c r="Z461" s="107" t="n"/>
      <c r="AA461" s="226" t="n"/>
      <c r="AB461" s="226" t="n"/>
      <c r="AC461" s="226" t="n"/>
      <c r="AD461" s="226" t="n"/>
      <c r="AE461" s="226" t="n"/>
      <c r="AF461" s="226" t="n"/>
      <c r="AG461" s="226" t="n"/>
      <c r="AH461" s="226" t="n"/>
      <c r="AI461" s="226" t="n"/>
      <c r="AJ461" s="226" t="n"/>
      <c r="AK461" s="226" t="n"/>
      <c r="AL461" s="227" t="n"/>
    </row>
  </sheetData>
  <mergeCells count="12">
    <mergeCell ref="I2:I4"/>
    <mergeCell ref="A2:A4"/>
    <mergeCell ref="C2:C4"/>
    <mergeCell ref="F2:F4"/>
    <mergeCell ref="G2:G4"/>
    <mergeCell ref="J2:J4"/>
    <mergeCell ref="K2:K4"/>
    <mergeCell ref="H2:H4"/>
    <mergeCell ref="AL2:AL4"/>
    <mergeCell ref="B2:B4"/>
    <mergeCell ref="D2:D4"/>
    <mergeCell ref="E2:E4"/>
  </mergeCells>
  <pageMargins left="0.699305555555556" right="0.699305555555556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81"/>
  <sheetViews>
    <sheetView workbookViewId="0">
      <selection activeCell="A5" sqref="A5"/>
    </sheetView>
  </sheetViews>
  <sheetFormatPr baseColWidth="8" defaultRowHeight="15"/>
  <cols>
    <col width="16.85546875" bestFit="1" customWidth="1" min="1" max="1"/>
    <col width="25.7109375" bestFit="1" customWidth="1" min="2" max="2"/>
    <col width="6" bestFit="1" customWidth="1" min="3" max="6"/>
    <col width="7.7109375" bestFit="1" customWidth="1" min="7" max="7"/>
    <col width="11.42578125" bestFit="1" customWidth="1" min="8" max="8"/>
    <col width="7.140625" bestFit="1" customWidth="1" min="9" max="9"/>
    <col width="12.7109375" bestFit="1" customWidth="1" style="190" min="10" max="10"/>
    <col width="31.85546875" bestFit="1" customWidth="1" style="190" min="11" max="11"/>
    <col width="10.7109375" bestFit="1" customWidth="1" style="190" min="12" max="35"/>
    <col width="10.7109375" customWidth="1" style="190" min="36" max="36"/>
    <col width="22.7109375" bestFit="1" customWidth="1" style="190" min="37" max="37"/>
  </cols>
  <sheetData>
    <row r="1" customFormat="1" s="1">
      <c r="A1" s="33" t="inlineStr">
        <is>
          <t>Not to be deleted</t>
        </is>
      </c>
      <c r="B1" s="28" t="inlineStr">
        <is>
          <t>Current year</t>
        </is>
      </c>
      <c r="C1" s="22" t="n">
        <v>2026</v>
      </c>
      <c r="D1" s="22" t="n"/>
      <c r="E1" s="22" t="n"/>
      <c r="F1" s="22" t="n"/>
      <c r="G1" s="22" t="n"/>
      <c r="H1" s="22" t="n"/>
      <c r="I1" s="22" t="n"/>
      <c r="J1" s="230" t="n"/>
      <c r="K1" s="27" t="n">
        <v>2001</v>
      </c>
      <c r="L1" s="27" t="n">
        <v>2002</v>
      </c>
      <c r="M1" s="27" t="n">
        <v>2003</v>
      </c>
      <c r="N1" s="27" t="n">
        <v>2004</v>
      </c>
      <c r="O1" s="27" t="n">
        <v>2005</v>
      </c>
      <c r="P1" s="27" t="n">
        <v>2006</v>
      </c>
      <c r="Q1" s="27" t="n">
        <v>2007</v>
      </c>
      <c r="R1" s="27" t="n">
        <v>2008</v>
      </c>
      <c r="S1" s="27" t="n">
        <v>2009</v>
      </c>
      <c r="T1" s="27" t="n">
        <v>2010</v>
      </c>
      <c r="U1" s="27" t="n">
        <v>2011</v>
      </c>
      <c r="V1" s="27" t="n">
        <v>2012</v>
      </c>
      <c r="W1" s="27" t="n">
        <v>2013</v>
      </c>
      <c r="X1" s="27" t="n">
        <v>2014</v>
      </c>
      <c r="Y1" s="27" t="n">
        <v>2015</v>
      </c>
      <c r="Z1" s="27" t="n">
        <v>2016</v>
      </c>
      <c r="AA1" s="27" t="n">
        <v>2017</v>
      </c>
      <c r="AB1" s="27" t="n">
        <v>2018</v>
      </c>
      <c r="AC1" s="27" t="n">
        <v>2019</v>
      </c>
      <c r="AD1" s="27" t="n">
        <v>2020</v>
      </c>
      <c r="AE1" s="27" t="n">
        <v>2021</v>
      </c>
      <c r="AF1" s="27" t="n">
        <v>2022</v>
      </c>
      <c r="AG1" s="27" t="n">
        <v>2023</v>
      </c>
      <c r="AH1" s="27" t="n">
        <v>2024</v>
      </c>
      <c r="AI1" s="27" t="n">
        <v>2025</v>
      </c>
      <c r="AJ1" s="27" t="n">
        <v>2026</v>
      </c>
      <c r="AK1" s="230" t="n"/>
    </row>
    <row r="2" ht="15" customHeight="1">
      <c r="A2" s="176" t="inlineStr">
        <is>
          <t>Contract</t>
        </is>
      </c>
      <c r="B2" s="175" t="inlineStr">
        <is>
          <t>Risk Commencement Date</t>
        </is>
      </c>
      <c r="C2" s="175" t="inlineStr">
        <is>
          <t>FY</t>
        </is>
      </c>
      <c r="D2" s="175" t="inlineStr">
        <is>
          <t>FY</t>
        </is>
      </c>
      <c r="E2" s="175" t="inlineStr">
        <is>
          <t>FY</t>
        </is>
      </c>
      <c r="F2" s="175" t="inlineStr">
        <is>
          <t>FY</t>
        </is>
      </c>
      <c r="G2" s="175" t="inlineStr">
        <is>
          <t>RCD FY</t>
        </is>
      </c>
      <c r="H2" s="175" t="inlineStr">
        <is>
          <t>Paid to date</t>
        </is>
      </c>
      <c r="I2" s="175" t="inlineStr">
        <is>
          <t>PTD FY</t>
        </is>
      </c>
      <c r="J2" s="219" t="inlineStr">
        <is>
          <t>Sum Assured</t>
        </is>
      </c>
      <c r="K2" s="219" t="inlineStr">
        <is>
          <t>Bonus % Including Special Bonus</t>
        </is>
      </c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19" t="n"/>
      <c r="AG2" s="219" t="n"/>
      <c r="AH2" s="219" t="n"/>
      <c r="AI2" s="219" t="n"/>
      <c r="AJ2" s="219" t="n"/>
      <c r="AK2" s="220" t="inlineStr">
        <is>
          <t>Bonus As per calculator</t>
        </is>
      </c>
    </row>
    <row r="3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219" t="inlineStr">
        <is>
          <t>FY01</t>
        </is>
      </c>
      <c r="L3" s="219" t="inlineStr">
        <is>
          <t>FY02</t>
        </is>
      </c>
      <c r="M3" s="219" t="inlineStr">
        <is>
          <t>FY03</t>
        </is>
      </c>
      <c r="N3" s="219" t="inlineStr">
        <is>
          <t>FY04</t>
        </is>
      </c>
      <c r="O3" s="219" t="inlineStr">
        <is>
          <t>FY05</t>
        </is>
      </c>
      <c r="P3" s="219" t="inlineStr">
        <is>
          <t>FY06</t>
        </is>
      </c>
      <c r="Q3" s="219" t="inlineStr">
        <is>
          <t>FY07</t>
        </is>
      </c>
      <c r="R3" s="219" t="inlineStr">
        <is>
          <t>FY08</t>
        </is>
      </c>
      <c r="S3" s="219" t="inlineStr">
        <is>
          <t>FY09</t>
        </is>
      </c>
      <c r="T3" s="219" t="inlineStr">
        <is>
          <t>FY10</t>
        </is>
      </c>
      <c r="U3" s="219" t="inlineStr">
        <is>
          <t>FY11</t>
        </is>
      </c>
      <c r="V3" s="219" t="inlineStr">
        <is>
          <t>FY12</t>
        </is>
      </c>
      <c r="W3" s="219" t="inlineStr">
        <is>
          <t>FY13</t>
        </is>
      </c>
      <c r="X3" s="219" t="inlineStr">
        <is>
          <t>FY14</t>
        </is>
      </c>
      <c r="Y3" s="219" t="inlineStr">
        <is>
          <t>FY15</t>
        </is>
      </c>
      <c r="Z3" s="219" t="inlineStr">
        <is>
          <t>FY16</t>
        </is>
      </c>
      <c r="AA3" s="219" t="inlineStr">
        <is>
          <t>FY17</t>
        </is>
      </c>
      <c r="AB3" s="219" t="inlineStr">
        <is>
          <t>FY18</t>
        </is>
      </c>
      <c r="AC3" s="219" t="inlineStr">
        <is>
          <t>FY19</t>
        </is>
      </c>
      <c r="AD3" s="219" t="inlineStr">
        <is>
          <t>FY20</t>
        </is>
      </c>
      <c r="AE3" s="219" t="inlineStr">
        <is>
          <t>FY21</t>
        </is>
      </c>
      <c r="AF3" s="219" t="inlineStr">
        <is>
          <t>FY22</t>
        </is>
      </c>
      <c r="AG3" s="219" t="inlineStr">
        <is>
          <t>FY23</t>
        </is>
      </c>
      <c r="AH3" s="219" t="inlineStr">
        <is>
          <t>FY24</t>
        </is>
      </c>
      <c r="AI3" s="219" t="inlineStr">
        <is>
          <t>FY25</t>
        </is>
      </c>
      <c r="AJ3" s="219" t="inlineStr">
        <is>
          <t>FY26</t>
        </is>
      </c>
      <c r="AK3" s="186" t="n"/>
    </row>
    <row r="4" ht="14.45" customHeight="1">
      <c r="A4" s="187" t="n"/>
      <c r="B4" s="187" t="n"/>
      <c r="C4" s="187" t="n"/>
      <c r="D4" s="187" t="n"/>
      <c r="E4" s="187" t="n"/>
      <c r="F4" s="187" t="n"/>
      <c r="G4" s="187" t="n"/>
      <c r="H4" s="187" t="n"/>
      <c r="I4" s="187" t="n"/>
      <c r="J4" s="187" t="n"/>
      <c r="K4" s="38" t="n">
        <v>0</v>
      </c>
      <c r="L4" s="38" t="n">
        <v>0</v>
      </c>
      <c r="M4" s="38" t="n">
        <v>0</v>
      </c>
      <c r="N4" s="38" t="n">
        <v>0</v>
      </c>
      <c r="O4" s="38" t="n">
        <v>0</v>
      </c>
      <c r="P4" s="38" t="n">
        <v>0</v>
      </c>
      <c r="Q4" s="38" t="n">
        <v>0</v>
      </c>
      <c r="R4" s="38" t="n">
        <v>0</v>
      </c>
      <c r="S4" s="38" t="n">
        <v>0</v>
      </c>
      <c r="T4" s="38" t="n">
        <v>0</v>
      </c>
      <c r="U4" s="38" t="n">
        <v>0</v>
      </c>
      <c r="V4" s="38" t="n">
        <v>0</v>
      </c>
      <c r="W4" s="38" t="n">
        <v>0</v>
      </c>
      <c r="X4" s="38" t="n">
        <v>0.023</v>
      </c>
      <c r="Y4" s="38" t="n">
        <v>0.021</v>
      </c>
      <c r="Z4" s="38" t="n">
        <v>0.025</v>
      </c>
      <c r="AA4" s="38" t="n">
        <v>0.025</v>
      </c>
      <c r="AB4" s="38" t="n">
        <v>0.025</v>
      </c>
      <c r="AC4" s="38" t="n">
        <v>0.03</v>
      </c>
      <c r="AD4" s="38" t="n">
        <v>0.03</v>
      </c>
      <c r="AE4" s="38" t="n">
        <v>0.03</v>
      </c>
      <c r="AF4" s="38" t="n">
        <v>0.03</v>
      </c>
      <c r="AG4" s="38" t="n">
        <v>0.03</v>
      </c>
      <c r="AH4" s="38" t="n">
        <v>0.03</v>
      </c>
      <c r="AI4" s="38" t="n">
        <v>0.03</v>
      </c>
      <c r="AJ4" s="38" t="n">
        <v>0.03</v>
      </c>
      <c r="AK4" s="187" t="n"/>
    </row>
    <row r="5">
      <c r="A5" s="121" t="inlineStr">
        <is>
          <t>test5260454</t>
        </is>
      </c>
      <c r="B5" s="122">
        <f>VLOOKUP(A5,'MAINCPF CPH DEP SEP END RBC CSR'!A:AT,32,0)</f>
        <v/>
      </c>
      <c r="C5" s="4">
        <f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/>
      </c>
      <c r="D5" s="4">
        <f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/>
      </c>
      <c r="E5" s="4">
        <f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/>
      </c>
      <c r="F5" s="4">
        <f>+IF(AND(B5&gt;=DATE(2016,4,1),B5&lt;=DATE(2017,3,31)),"2017",IF(AND(B5&gt;=DATE(2017,4,1),B5&lt;=DATE(2018,3,31)),"2018"))</f>
        <v/>
      </c>
      <c r="G5" s="4">
        <f>+C5+D5+E5+F5</f>
        <v/>
      </c>
      <c r="H5" s="122">
        <f>VLOOKUP(A5,'MAINCPF CPH DEP SEP END RBC CSR'!A:AT,33,0)</f>
        <v/>
      </c>
      <c r="I5" s="23">
        <f>IF(H5="","",IF(MONTH($H5)&lt;=3,YEAR($H5)-1,YEAR($H5)))</f>
        <v/>
      </c>
      <c r="J5" s="8">
        <f>VLOOKUP(A5,'MAINCPF CPH DEP SEP END RBC CSR'!A:AT,46,0)</f>
        <v/>
      </c>
      <c r="K5" s="231">
        <f>IF(AND($G5&lt;=K$1,$I5&gt;=K$1),$J5*K$4," ")</f>
        <v/>
      </c>
      <c r="L5" s="231">
        <f>IF(AND($G5&lt;=L$1,$I5&gt;=L$1),$J5*L$4," ")</f>
        <v/>
      </c>
      <c r="M5" s="231">
        <f>IF(AND($G5&lt;=M$1,$I5&gt;=M$1),$J5*M$4," ")</f>
        <v/>
      </c>
      <c r="N5" s="231">
        <f>IF(AND($G5&lt;=N$1,$I5&gt;=N$1),$J5*N$4," ")</f>
        <v/>
      </c>
      <c r="O5" s="231">
        <f>IF(AND($G5&lt;=O$1,$I5&gt;=O$1),$J5*O$4," ")</f>
        <v/>
      </c>
      <c r="P5" s="231">
        <f>IF(AND($G5&lt;=P$1,$I5&gt;=P$1),$J5*P$4," ")</f>
        <v/>
      </c>
      <c r="Q5" s="231">
        <f>IF(AND($G5&lt;=Q$1,$I5&gt;=Q$1),$J5*Q$4," ")</f>
        <v/>
      </c>
      <c r="R5" s="231">
        <f>IF(AND($G5&lt;=R$1,$I5&gt;=R$1),$J5*R$4," ")</f>
        <v/>
      </c>
      <c r="S5" s="231">
        <f>IF(AND($G5&lt;=S$1,$I5&gt;=S$1),$J5*S$4," ")</f>
        <v/>
      </c>
      <c r="T5" s="231">
        <f>IF(AND($G5&lt;=T$1,$I5&gt;=T$1),$J5*T$4," ")</f>
        <v/>
      </c>
      <c r="U5" s="231">
        <f>IF(AND($G5&lt;=U$1,$I5&gt;=U$1),$J5*U$4," ")</f>
        <v/>
      </c>
      <c r="V5" s="231">
        <f>IF(AND($G5&lt;=V$1,$I5&gt;=V$1),$J5*V$4," ")</f>
        <v/>
      </c>
      <c r="W5" s="231">
        <f>IF(AND($G5&lt;=W$1,$I5&gt;=W$1),$J5*W$4," ")</f>
        <v/>
      </c>
      <c r="X5" s="231">
        <f>IF(AND($G5&lt;=X$1,$I5&gt;=X$1),$J5*X$4," ")</f>
        <v/>
      </c>
      <c r="Y5" s="231">
        <f>IF(AND($G5&lt;=Y$1,$I5&gt;=Y$1),$J5*Y$4," ")</f>
        <v/>
      </c>
      <c r="Z5" s="231">
        <f>IF(AND($G5&lt;=Z$1,$I5&gt;=Z$1),$J5*Z$4," ")</f>
        <v/>
      </c>
      <c r="AA5" s="231">
        <f>IF(AND($G5&lt;=AA$1,$I5&gt;=AA$1),$J5*AA$4," ")</f>
        <v/>
      </c>
      <c r="AB5" s="231">
        <f>IF(AND($G5&lt;=AB$1,$I5&gt;=AB$1),$J5*AB$4," ")</f>
        <v/>
      </c>
      <c r="AC5" s="231">
        <f>IF(AND($G5&lt;=AC$1,$I5&gt;=AC$1),$J5*AC$4," ")</f>
        <v/>
      </c>
      <c r="AD5" s="231">
        <f>IF(AND($G5&lt;=AD$1,$I5&gt;=AD$1),$J5*AD$4," ")</f>
        <v/>
      </c>
      <c r="AE5" s="231">
        <f>IF(AND($G5&lt;=AE$1,$I5&gt;=AE$1),$J5*AE$4," ")</f>
        <v/>
      </c>
      <c r="AF5" s="231">
        <f>IF(AND($G5&lt;=AF$1,$I5&gt;=AF$1),$J5*AF$4," ")</f>
        <v/>
      </c>
      <c r="AG5" s="231">
        <f>IF(AND($G5&lt;=AG$1,$I5&gt;=AG$1),$J5*AG$4," ")</f>
        <v/>
      </c>
      <c r="AH5" s="231">
        <f>IF(AND($G5&lt;=AH$1,$I5&gt;=AH$1),$J5*AH$4," ")</f>
        <v/>
      </c>
      <c r="AI5" s="231">
        <f>IF(AND($G5&lt;=AI$1,$I5&gt;=AI$1),$J5*AI$4," ")</f>
        <v/>
      </c>
      <c r="AJ5" s="231">
        <f>IF(AND($G5&lt;=AJ$1,$I5&gt;=AJ$1),$J5*AJ$4," ")</f>
        <v/>
      </c>
      <c r="AK5" s="231">
        <f>SUM(K5:AJ5)</f>
        <v/>
      </c>
    </row>
    <row r="6">
      <c r="A6" s="121" t="inlineStr">
        <is>
          <t>test5261192</t>
        </is>
      </c>
      <c r="B6" s="122">
        <f>VLOOKUP(A6,'MAINCPF CPH DEP SEP END RBC CSR'!A:AT,32,0)</f>
        <v/>
      </c>
      <c r="C6" s="4">
        <f>+IF(AND(B6&gt;=DATE(1999,4,1),B6&lt;=DATE(2000,3,31)),"2000",IF(AND(B6&gt;=DATE(2000,4,1),B6&lt;=DATE(2001,3,31)),"2001",IF(AND(B6&gt;=DATE(2001,4,1),B6&lt;=DATE(2002,3,31)),"2002",IF(AND(B6&gt;=DATE(2002,4,1),B6&lt;=DATE(2003,3,31)),"2003",IF(AND(B6&gt;=DATE(2003,4,1),B6&lt;=DATE(2004,3,31)),"2004",IF(AND(B6&gt;=DATE(2004,4,1),B6&lt;=DATE(2005,3,31)),"2005"))))))</f>
        <v/>
      </c>
      <c r="D6" s="4">
        <f>+IF(AND(B6&gt;=DATE(2005,4,1),B6&lt;=DATE(2006,3,31)),"2006",IF(AND(B6&gt;=DATE(2006,4,1),B6&lt;=DATE(2007,3,31)),"2007",IF(AND(B6&gt;=DATE(2007,4,1),B6&lt;=DATE(2008,3,31)),"2008",IF(AND(B6&gt;=DATE(2008,4,1),B6&lt;=DATE(2009,3,31)),"2009",IF(AND(B6&gt;=DATE(2009,4,1),B6&lt;=DATE(2010,3,31)),"2010")))))</f>
        <v/>
      </c>
      <c r="E6" s="4">
        <f>+IF(AND(B6&gt;=DATE(2010,4,1),B6&lt;=DATE(2011,3,31)),"2011",IF(AND(B6&gt;=DATE(2011,4,1),B6&lt;=DATE(2012,3,31)),"2012",IF(AND(B6&gt;=DATE(2012,4,1),B6&lt;=DATE(2013,3,31)),"2013",IF(AND(B6&gt;=DATE(2013,4,1),B6&lt;=DATE(2014,3,31)),"2014",IF(AND(B6&gt;=DATE(2014,4,1),B6&lt;=DATE(2015,3,31)),"2015",IF(AND(B6&gt;=DATE(2015,4,1),B6&lt;=DATE(2016,3,31)),"2016"))))))</f>
        <v/>
      </c>
      <c r="F6" s="4">
        <f>+IF(AND(B6&gt;=DATE(2016,4,1),B6&lt;=DATE(2017,3,31)),"2017",IF(AND(B6&gt;=DATE(2017,4,1),B6&lt;=DATE(2018,3,31)),"2018"))</f>
        <v/>
      </c>
      <c r="G6" s="4">
        <f>+C6+D6+E6+F6</f>
        <v/>
      </c>
      <c r="H6" s="122">
        <f>VLOOKUP(A6,'MAINCPF CPH DEP SEP END RBC CSR'!A:AT,33,0)</f>
        <v/>
      </c>
      <c r="I6" s="23">
        <f>IF(H6="","",IF(MONTH($H6)&lt;=3,YEAR($H6)-1,YEAR($H6)))</f>
        <v/>
      </c>
      <c r="J6" s="8">
        <f>VLOOKUP(A6,'MAINCPF CPH DEP SEP END RBC CSR'!A:AT,46,0)</f>
        <v/>
      </c>
      <c r="K6" s="231">
        <f>IF(AND($G6&lt;=K$1,$I6&gt;=K$1),$J6*K$4," ")</f>
        <v/>
      </c>
      <c r="L6" s="231">
        <f>IF(AND($G6&lt;=L$1,$I6&gt;=L$1),$J6*L$4," ")</f>
        <v/>
      </c>
      <c r="M6" s="231">
        <f>IF(AND($G6&lt;=M$1,$I6&gt;=M$1),$J6*M$4," ")</f>
        <v/>
      </c>
      <c r="N6" s="231">
        <f>IF(AND($G6&lt;=N$1,$I6&gt;=N$1),$J6*N$4," ")</f>
        <v/>
      </c>
      <c r="O6" s="231">
        <f>IF(AND($G6&lt;=O$1,$I6&gt;=O$1),$J6*O$4," ")</f>
        <v/>
      </c>
      <c r="P6" s="231">
        <f>IF(AND($G6&lt;=P$1,$I6&gt;=P$1),$J6*P$4," ")</f>
        <v/>
      </c>
      <c r="Q6" s="231">
        <f>IF(AND($G6&lt;=Q$1,$I6&gt;=Q$1),$J6*Q$4," ")</f>
        <v/>
      </c>
      <c r="R6" s="231">
        <f>IF(AND($G6&lt;=R$1,$I6&gt;=R$1),$J6*R$4," ")</f>
        <v/>
      </c>
      <c r="S6" s="231">
        <f>IF(AND($G6&lt;=S$1,$I6&gt;=S$1),$J6*S$4," ")</f>
        <v/>
      </c>
      <c r="T6" s="231">
        <f>IF(AND($G6&lt;=T$1,$I6&gt;=T$1),$J6*T$4," ")</f>
        <v/>
      </c>
      <c r="U6" s="231">
        <f>IF(AND($G6&lt;=U$1,$I6&gt;=U$1),$J6*U$4," ")</f>
        <v/>
      </c>
      <c r="V6" s="231">
        <f>IF(AND($G6&lt;=V$1,$I6&gt;=V$1),$J6*V$4," ")</f>
        <v/>
      </c>
      <c r="W6" s="231">
        <f>IF(AND($G6&lt;=W$1,$I6&gt;=W$1),$J6*W$4," ")</f>
        <v/>
      </c>
      <c r="X6" s="231">
        <f>IF(AND($G6&lt;=X$1,$I6&gt;=X$1),$J6*X$4," ")</f>
        <v/>
      </c>
      <c r="Y6" s="231">
        <f>IF(AND($G6&lt;=Y$1,$I6&gt;=Y$1),$J6*Y$4," ")</f>
        <v/>
      </c>
      <c r="Z6" s="231">
        <f>IF(AND($G6&lt;=Z$1,$I6&gt;=Z$1),$J6*Z$4," ")</f>
        <v/>
      </c>
      <c r="AA6" s="231">
        <f>IF(AND($G6&lt;=AA$1,$I6&gt;=AA$1),$J6*AA$4," ")</f>
        <v/>
      </c>
      <c r="AB6" s="231">
        <f>IF(AND($G6&lt;=AB$1,$I6&gt;=AB$1),$J6*AB$4," ")</f>
        <v/>
      </c>
      <c r="AC6" s="231">
        <f>IF(AND($G6&lt;=AC$1,$I6&gt;=AC$1),$J6*AC$4," ")</f>
        <v/>
      </c>
      <c r="AD6" s="231">
        <f>IF(AND($G6&lt;=AD$1,$I6&gt;=AD$1),$J6*AD$4," ")</f>
        <v/>
      </c>
      <c r="AE6" s="231">
        <f>IF(AND($G6&lt;=AE$1,$I6&gt;=AE$1),$J6*AE$4," ")</f>
        <v/>
      </c>
      <c r="AF6" s="231">
        <f>IF(AND($G6&lt;=AF$1,$I6&gt;=AF$1),$J6*AF$4," ")</f>
        <v/>
      </c>
      <c r="AG6" s="231">
        <f>IF(AND($G6&lt;=AG$1,$I6&gt;=AG$1),$J6*AG$4," ")</f>
        <v/>
      </c>
      <c r="AH6" s="231">
        <f>IF(AND($G6&lt;=AH$1,$I6&gt;=AH$1),$J6*AH$4," ")</f>
        <v/>
      </c>
      <c r="AI6" s="231">
        <f>IF(AND($G6&lt;=AI$1,$I6&gt;=AI$1),$J6*AI$4," ")</f>
        <v/>
      </c>
      <c r="AJ6" s="231">
        <f>IF(AND($G6&lt;=AJ$1,$I6&gt;=AJ$1),$J6*AJ$4," ")</f>
        <v/>
      </c>
      <c r="AK6" s="231">
        <f>SUM(K6:AJ6)</f>
        <v/>
      </c>
    </row>
    <row r="7">
      <c r="B7" s="2" t="n"/>
      <c r="C7" s="105" t="n"/>
      <c r="D7" s="105" t="n"/>
      <c r="E7" s="105" t="n"/>
      <c r="F7" s="105" t="n"/>
      <c r="G7" s="105" t="n"/>
      <c r="H7" s="2" t="n"/>
      <c r="I7" s="10" t="n"/>
      <c r="K7" s="232" t="n"/>
      <c r="L7" s="232" t="n"/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  <c r="AG7" s="232" t="n"/>
      <c r="AH7" s="232" t="n"/>
      <c r="AI7" s="232" t="n"/>
      <c r="AJ7" s="232" t="n"/>
      <c r="AK7" s="232" t="n"/>
    </row>
    <row r="8">
      <c r="B8" s="2" t="n"/>
      <c r="C8" s="105" t="n"/>
      <c r="D8" s="105" t="n"/>
      <c r="E8" s="105" t="n"/>
      <c r="F8" s="105" t="n"/>
      <c r="G8" s="105" t="n"/>
      <c r="H8" s="2" t="n"/>
      <c r="I8" s="10" t="n"/>
      <c r="K8" s="232" t="n"/>
      <c r="L8" s="232" t="n"/>
      <c r="M8" s="232" t="n"/>
      <c r="N8" s="232" t="n"/>
      <c r="O8" s="232" t="n"/>
      <c r="P8" s="232" t="n"/>
      <c r="Q8" s="232" t="n"/>
      <c r="R8" s="232" t="n"/>
      <c r="S8" s="232" t="n"/>
      <c r="T8" s="232" t="n"/>
      <c r="U8" s="232" t="n"/>
      <c r="V8" s="232" t="n"/>
      <c r="W8" s="232" t="n"/>
      <c r="X8" s="232" t="n"/>
      <c r="Y8" s="232" t="n"/>
      <c r="Z8" s="232" t="n"/>
      <c r="AA8" s="232" t="n"/>
      <c r="AB8" s="232" t="n"/>
      <c r="AC8" s="232" t="n"/>
      <c r="AD8" s="232" t="n"/>
      <c r="AE8" s="232" t="n"/>
      <c r="AF8" s="232" t="n"/>
      <c r="AG8" s="232" t="n"/>
      <c r="AH8" s="232" t="n"/>
      <c r="AI8" s="232" t="n"/>
      <c r="AJ8" s="232" t="n"/>
      <c r="AK8" s="232" t="n"/>
    </row>
    <row r="9">
      <c r="B9" s="2" t="n"/>
      <c r="C9" s="105" t="n"/>
      <c r="D9" s="105" t="n"/>
      <c r="E9" s="105" t="n"/>
      <c r="F9" s="105" t="n"/>
      <c r="G9" s="105" t="n"/>
      <c r="H9" s="2" t="n"/>
      <c r="I9" s="10" t="n"/>
      <c r="K9" s="232" t="n"/>
      <c r="L9" s="232" t="n"/>
      <c r="M9" s="232" t="n"/>
      <c r="N9" s="232" t="n"/>
      <c r="O9" s="232" t="n"/>
      <c r="P9" s="232" t="n"/>
      <c r="Q9" s="232" t="n"/>
      <c r="R9" s="232" t="n"/>
      <c r="S9" s="232" t="n"/>
      <c r="T9" s="232" t="n"/>
      <c r="U9" s="232" t="n"/>
      <c r="V9" s="232" t="n"/>
      <c r="W9" s="232" t="n"/>
      <c r="X9" s="232" t="n"/>
      <c r="Y9" s="232" t="n"/>
      <c r="Z9" s="232" t="n"/>
      <c r="AA9" s="232" t="n"/>
      <c r="AB9" s="232" t="n"/>
      <c r="AC9" s="232" t="n"/>
      <c r="AD9" s="232" t="n"/>
      <c r="AE9" s="232" t="n"/>
      <c r="AF9" s="232" t="n"/>
      <c r="AG9" s="232" t="n"/>
      <c r="AH9" s="232" t="n"/>
      <c r="AI9" s="232" t="n"/>
      <c r="AJ9" s="232" t="n"/>
      <c r="AK9" s="232" t="n"/>
    </row>
    <row r="10">
      <c r="B10" s="2" t="n"/>
      <c r="C10" s="105" t="n"/>
      <c r="D10" s="105" t="n"/>
      <c r="E10" s="105" t="n"/>
      <c r="F10" s="105" t="n"/>
      <c r="G10" s="105" t="n"/>
      <c r="H10" s="2" t="n"/>
      <c r="I10" s="10" t="n"/>
      <c r="K10" s="232" t="n"/>
      <c r="L10" s="232" t="n"/>
      <c r="M10" s="232" t="n"/>
      <c r="N10" s="232" t="n"/>
      <c r="O10" s="232" t="n"/>
      <c r="P10" s="232" t="n"/>
      <c r="Q10" s="232" t="n"/>
      <c r="R10" s="232" t="n"/>
      <c r="S10" s="232" t="n"/>
      <c r="T10" s="232" t="n"/>
      <c r="U10" s="232" t="n"/>
      <c r="V10" s="232" t="n"/>
      <c r="W10" s="232" t="n"/>
      <c r="X10" s="232" t="n"/>
      <c r="Y10" s="232" t="n"/>
      <c r="Z10" s="232" t="n"/>
      <c r="AA10" s="232" t="n"/>
      <c r="AB10" s="232" t="n"/>
      <c r="AC10" s="232" t="n"/>
      <c r="AD10" s="232" t="n"/>
      <c r="AE10" s="232" t="n"/>
      <c r="AF10" s="232" t="n"/>
      <c r="AG10" s="232" t="n"/>
      <c r="AH10" s="232" t="n"/>
      <c r="AI10" s="232" t="n"/>
      <c r="AJ10" s="232" t="n"/>
      <c r="AK10" s="232" t="n"/>
    </row>
    <row r="11">
      <c r="B11" s="2" t="n"/>
      <c r="C11" s="105" t="n"/>
      <c r="D11" s="105" t="n"/>
      <c r="E11" s="105" t="n"/>
      <c r="F11" s="105" t="n"/>
      <c r="G11" s="105" t="n"/>
      <c r="H11" s="2" t="n"/>
      <c r="I11" s="10" t="n"/>
      <c r="K11" s="232" t="n"/>
      <c r="L11" s="232" t="n"/>
      <c r="M11" s="232" t="n"/>
      <c r="N11" s="232" t="n"/>
      <c r="O11" s="232" t="n"/>
      <c r="P11" s="232" t="n"/>
      <c r="Q11" s="232" t="n"/>
      <c r="R11" s="232" t="n"/>
      <c r="S11" s="232" t="n"/>
      <c r="T11" s="232" t="n"/>
      <c r="U11" s="232" t="n"/>
      <c r="V11" s="232" t="n"/>
      <c r="W11" s="232" t="n"/>
      <c r="X11" s="232" t="n"/>
      <c r="Y11" s="232" t="n"/>
      <c r="Z11" s="232" t="n"/>
      <c r="AA11" s="232" t="n"/>
      <c r="AB11" s="232" t="n"/>
      <c r="AC11" s="232" t="n"/>
      <c r="AD11" s="232" t="n"/>
      <c r="AE11" s="232" t="n"/>
      <c r="AF11" s="232" t="n"/>
      <c r="AG11" s="232" t="n"/>
      <c r="AH11" s="232" t="n"/>
      <c r="AI11" s="232" t="n"/>
      <c r="AJ11" s="232" t="n"/>
      <c r="AK11" s="232" t="n"/>
    </row>
    <row r="12">
      <c r="B12" s="2" t="n"/>
      <c r="C12" s="105" t="n"/>
      <c r="D12" s="105" t="n"/>
      <c r="E12" s="105" t="n"/>
      <c r="F12" s="105" t="n"/>
      <c r="G12" s="105" t="n"/>
      <c r="H12" s="2" t="n"/>
      <c r="I12" s="10" t="n"/>
      <c r="K12" s="232" t="n"/>
      <c r="L12" s="232" t="n"/>
      <c r="M12" s="232" t="n"/>
      <c r="N12" s="232" t="n"/>
      <c r="O12" s="232" t="n"/>
      <c r="P12" s="232" t="n"/>
      <c r="Q12" s="232" t="n"/>
      <c r="R12" s="232" t="n"/>
      <c r="S12" s="232" t="n"/>
      <c r="T12" s="232" t="n"/>
      <c r="U12" s="232" t="n"/>
      <c r="V12" s="232" t="n"/>
      <c r="W12" s="232" t="n"/>
      <c r="X12" s="232" t="n"/>
      <c r="Y12" s="232" t="n"/>
      <c r="Z12" s="232" t="n"/>
      <c r="AA12" s="232" t="n"/>
      <c r="AB12" s="232" t="n"/>
      <c r="AC12" s="232" t="n"/>
      <c r="AD12" s="232" t="n"/>
      <c r="AE12" s="232" t="n"/>
      <c r="AF12" s="232" t="n"/>
      <c r="AG12" s="232" t="n"/>
      <c r="AH12" s="232" t="n"/>
      <c r="AI12" s="232" t="n"/>
      <c r="AJ12" s="232" t="n"/>
      <c r="AK12" s="232" t="n"/>
    </row>
    <row r="13">
      <c r="B13" s="2" t="n"/>
      <c r="C13" s="105" t="n"/>
      <c r="D13" s="105" t="n"/>
      <c r="E13" s="105" t="n"/>
      <c r="F13" s="105" t="n"/>
      <c r="G13" s="105" t="n"/>
      <c r="H13" s="2" t="n"/>
      <c r="I13" s="10" t="n"/>
      <c r="K13" s="232" t="n"/>
      <c r="L13" s="232" t="n"/>
      <c r="M13" s="232" t="n"/>
      <c r="N13" s="232" t="n"/>
      <c r="O13" s="232" t="n"/>
      <c r="P13" s="232" t="n"/>
      <c r="Q13" s="232" t="n"/>
      <c r="R13" s="232" t="n"/>
      <c r="S13" s="232" t="n"/>
      <c r="T13" s="232" t="n"/>
      <c r="U13" s="232" t="n"/>
      <c r="V13" s="232" t="n"/>
      <c r="W13" s="232" t="n"/>
      <c r="X13" s="232" t="n"/>
      <c r="Y13" s="232" t="n"/>
      <c r="Z13" s="232" t="n"/>
      <c r="AA13" s="232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2" t="n"/>
      <c r="AK13" s="232" t="n"/>
    </row>
    <row r="14">
      <c r="B14" s="2" t="n"/>
      <c r="C14" s="105" t="n"/>
      <c r="D14" s="105" t="n"/>
      <c r="E14" s="105" t="n"/>
      <c r="F14" s="105" t="n"/>
      <c r="G14" s="105" t="n"/>
      <c r="H14" s="2" t="n"/>
      <c r="I14" s="10" t="n"/>
      <c r="K14" s="232" t="n"/>
      <c r="L14" s="232" t="n"/>
      <c r="M14" s="232" t="n"/>
      <c r="N14" s="232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/>
      <c r="X14" s="232" t="n"/>
      <c r="Y14" s="232" t="n"/>
      <c r="Z14" s="232" t="n"/>
      <c r="AA14" s="232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2" t="n"/>
      <c r="AK14" s="232" t="n"/>
    </row>
    <row r="15">
      <c r="B15" s="2" t="n"/>
      <c r="C15" s="105" t="n"/>
      <c r="D15" s="105" t="n"/>
      <c r="E15" s="105" t="n"/>
      <c r="F15" s="105" t="n"/>
      <c r="G15" s="105" t="n"/>
      <c r="H15" s="2" t="n"/>
      <c r="I15" s="10" t="n"/>
      <c r="K15" s="232" t="n"/>
      <c r="L15" s="232" t="n"/>
      <c r="M15" s="232" t="n"/>
      <c r="N15" s="232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/>
      <c r="X15" s="232" t="n"/>
      <c r="Y15" s="232" t="n"/>
      <c r="Z15" s="232" t="n"/>
      <c r="AA15" s="232" t="n"/>
      <c r="AB15" s="232" t="n"/>
      <c r="AC15" s="232" t="n"/>
      <c r="AD15" s="232" t="n"/>
      <c r="AE15" s="232" t="n"/>
      <c r="AF15" s="232" t="n"/>
      <c r="AG15" s="232" t="n"/>
      <c r="AH15" s="232" t="n"/>
      <c r="AI15" s="232" t="n"/>
      <c r="AJ15" s="232" t="n"/>
      <c r="AK15" s="232" t="n"/>
    </row>
    <row r="16">
      <c r="B16" s="2" t="n"/>
      <c r="C16" s="105" t="n"/>
      <c r="D16" s="105" t="n"/>
      <c r="E16" s="105" t="n"/>
      <c r="F16" s="105" t="n"/>
      <c r="G16" s="105" t="n"/>
      <c r="H16" s="2" t="n"/>
      <c r="I16" s="10" t="n"/>
      <c r="K16" s="232" t="n"/>
      <c r="L16" s="232" t="n"/>
      <c r="M16" s="232" t="n"/>
      <c r="N16" s="232" t="n"/>
      <c r="O16" s="232" t="n"/>
      <c r="P16" s="232" t="n"/>
      <c r="Q16" s="232" t="n"/>
      <c r="R16" s="232" t="n"/>
      <c r="S16" s="232" t="n"/>
      <c r="T16" s="232" t="n"/>
      <c r="U16" s="232" t="n"/>
      <c r="V16" s="232" t="n"/>
      <c r="W16" s="232" t="n"/>
      <c r="X16" s="232" t="n"/>
      <c r="Y16" s="232" t="n"/>
      <c r="Z16" s="232" t="n"/>
      <c r="AA16" s="232" t="n"/>
      <c r="AB16" s="232" t="n"/>
      <c r="AC16" s="232" t="n"/>
      <c r="AD16" s="232" t="n"/>
      <c r="AE16" s="232" t="n"/>
      <c r="AF16" s="232" t="n"/>
      <c r="AG16" s="232" t="n"/>
      <c r="AH16" s="232" t="n"/>
      <c r="AI16" s="232" t="n"/>
      <c r="AJ16" s="232" t="n"/>
      <c r="AK16" s="232" t="n"/>
    </row>
    <row r="17">
      <c r="B17" s="2" t="n"/>
      <c r="C17" s="105" t="n"/>
      <c r="D17" s="105" t="n"/>
      <c r="E17" s="105" t="n"/>
      <c r="F17" s="105" t="n"/>
      <c r="G17" s="105" t="n"/>
      <c r="H17" s="2" t="n"/>
      <c r="I17" s="10" t="n"/>
      <c r="K17" s="232" t="n"/>
      <c r="L17" s="232" t="n"/>
      <c r="M17" s="232" t="n"/>
      <c r="N17" s="232" t="n"/>
      <c r="O17" s="232" t="n"/>
      <c r="P17" s="232" t="n"/>
      <c r="Q17" s="232" t="n"/>
      <c r="R17" s="232" t="n"/>
      <c r="S17" s="232" t="n"/>
      <c r="T17" s="232" t="n"/>
      <c r="U17" s="232" t="n"/>
      <c r="V17" s="232" t="n"/>
      <c r="W17" s="232" t="n"/>
      <c r="X17" s="232" t="n"/>
      <c r="Y17" s="232" t="n"/>
      <c r="Z17" s="232" t="n"/>
      <c r="AA17" s="232" t="n"/>
      <c r="AB17" s="232" t="n"/>
      <c r="AC17" s="232" t="n"/>
      <c r="AD17" s="232" t="n"/>
      <c r="AE17" s="232" t="n"/>
      <c r="AF17" s="232" t="n"/>
      <c r="AG17" s="232" t="n"/>
      <c r="AH17" s="232" t="n"/>
      <c r="AI17" s="232" t="n"/>
      <c r="AJ17" s="232" t="n"/>
      <c r="AK17" s="232" t="n"/>
    </row>
    <row r="18">
      <c r="B18" s="2" t="n"/>
      <c r="C18" s="105" t="n"/>
      <c r="D18" s="105" t="n"/>
      <c r="E18" s="105" t="n"/>
      <c r="F18" s="105" t="n"/>
      <c r="G18" s="105" t="n"/>
      <c r="H18" s="2" t="n"/>
      <c r="I18" s="10" t="n"/>
      <c r="K18" s="232" t="n"/>
      <c r="L18" s="232" t="n"/>
      <c r="M18" s="232" t="n"/>
      <c r="N18" s="232" t="n"/>
      <c r="O18" s="232" t="n"/>
      <c r="P18" s="232" t="n"/>
      <c r="Q18" s="232" t="n"/>
      <c r="R18" s="232" t="n"/>
      <c r="S18" s="232" t="n"/>
      <c r="T18" s="232" t="n"/>
      <c r="U18" s="232" t="n"/>
      <c r="V18" s="232" t="n"/>
      <c r="W18" s="232" t="n"/>
      <c r="X18" s="232" t="n"/>
      <c r="Y18" s="232" t="n"/>
      <c r="Z18" s="232" t="n"/>
      <c r="AA18" s="232" t="n"/>
      <c r="AB18" s="232" t="n"/>
      <c r="AC18" s="232" t="n"/>
      <c r="AD18" s="232" t="n"/>
      <c r="AE18" s="232" t="n"/>
      <c r="AF18" s="232" t="n"/>
      <c r="AG18" s="232" t="n"/>
      <c r="AH18" s="232" t="n"/>
      <c r="AI18" s="232" t="n"/>
      <c r="AJ18" s="232" t="n"/>
      <c r="AK18" s="232" t="n"/>
    </row>
    <row r="19">
      <c r="B19" s="2" t="n"/>
      <c r="C19" s="105" t="n"/>
      <c r="D19" s="105" t="n"/>
      <c r="E19" s="105" t="n"/>
      <c r="F19" s="105" t="n"/>
      <c r="G19" s="105" t="n"/>
      <c r="H19" s="2" t="n"/>
      <c r="I19" s="10" t="n"/>
      <c r="K19" s="232" t="n"/>
      <c r="L19" s="232" t="n"/>
      <c r="M19" s="232" t="n"/>
      <c r="N19" s="232" t="n"/>
      <c r="O19" s="232" t="n"/>
      <c r="P19" s="232" t="n"/>
      <c r="Q19" s="232" t="n"/>
      <c r="R19" s="232" t="n"/>
      <c r="S19" s="232" t="n"/>
      <c r="T19" s="232" t="n"/>
      <c r="U19" s="232" t="n"/>
      <c r="V19" s="232" t="n"/>
      <c r="W19" s="232" t="n"/>
      <c r="X19" s="232" t="n"/>
      <c r="Y19" s="232" t="n"/>
      <c r="Z19" s="232" t="n"/>
      <c r="AA19" s="232" t="n"/>
      <c r="AB19" s="232" t="n"/>
      <c r="AC19" s="232" t="n"/>
      <c r="AD19" s="232" t="n"/>
      <c r="AE19" s="232" t="n"/>
      <c r="AF19" s="232" t="n"/>
      <c r="AG19" s="232" t="n"/>
      <c r="AH19" s="232" t="n"/>
      <c r="AI19" s="232" t="n"/>
      <c r="AJ19" s="232" t="n"/>
      <c r="AK19" s="232" t="n"/>
    </row>
    <row r="20">
      <c r="B20" s="2" t="n"/>
      <c r="C20" s="105" t="n"/>
      <c r="D20" s="105" t="n"/>
      <c r="E20" s="105" t="n"/>
      <c r="F20" s="105" t="n"/>
      <c r="G20" s="105" t="n"/>
      <c r="H20" s="2" t="n"/>
      <c r="I20" s="10" t="n"/>
      <c r="K20" s="232" t="n"/>
      <c r="L20" s="232" t="n"/>
      <c r="M20" s="232" t="n"/>
      <c r="N20" s="232" t="n"/>
      <c r="O20" s="232" t="n"/>
      <c r="P20" s="232" t="n"/>
      <c r="Q20" s="232" t="n"/>
      <c r="R20" s="232" t="n"/>
      <c r="S20" s="232" t="n"/>
      <c r="T20" s="232" t="n"/>
      <c r="U20" s="232" t="n"/>
      <c r="V20" s="232" t="n"/>
      <c r="W20" s="232" t="n"/>
      <c r="X20" s="232" t="n"/>
      <c r="Y20" s="232" t="n"/>
      <c r="Z20" s="232" t="n"/>
      <c r="AA20" s="232" t="n"/>
      <c r="AB20" s="232" t="n"/>
      <c r="AC20" s="232" t="n"/>
      <c r="AD20" s="232" t="n"/>
      <c r="AE20" s="232" t="n"/>
      <c r="AF20" s="232" t="n"/>
      <c r="AG20" s="232" t="n"/>
      <c r="AH20" s="232" t="n"/>
      <c r="AI20" s="232" t="n"/>
      <c r="AJ20" s="232" t="n"/>
      <c r="AK20" s="232" t="n"/>
    </row>
    <row r="21">
      <c r="B21" s="2" t="n"/>
      <c r="C21" s="105" t="n"/>
      <c r="D21" s="105" t="n"/>
      <c r="E21" s="105" t="n"/>
      <c r="F21" s="105" t="n"/>
      <c r="G21" s="105" t="n"/>
      <c r="H21" s="2" t="n"/>
      <c r="I21" s="10" t="n"/>
      <c r="K21" s="232" t="n"/>
      <c r="L21" s="232" t="n"/>
      <c r="M21" s="232" t="n"/>
      <c r="N21" s="232" t="n"/>
      <c r="O21" s="232" t="n"/>
      <c r="P21" s="232" t="n"/>
      <c r="Q21" s="232" t="n"/>
      <c r="R21" s="232" t="n"/>
      <c r="S21" s="232" t="n"/>
      <c r="T21" s="232" t="n"/>
      <c r="U21" s="232" t="n"/>
      <c r="V21" s="232" t="n"/>
      <c r="W21" s="232" t="n"/>
      <c r="X21" s="232" t="n"/>
      <c r="Y21" s="232" t="n"/>
      <c r="Z21" s="232" t="n"/>
      <c r="AA21" s="232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2" t="n"/>
      <c r="AK21" s="232" t="n"/>
    </row>
    <row r="22">
      <c r="B22" s="2" t="n"/>
      <c r="C22" s="105" t="n"/>
      <c r="D22" s="105" t="n"/>
      <c r="E22" s="105" t="n"/>
      <c r="F22" s="105" t="n"/>
      <c r="G22" s="105" t="n"/>
      <c r="H22" s="2" t="n"/>
      <c r="I22" s="10" t="n"/>
      <c r="K22" s="232" t="n"/>
      <c r="L22" s="232" t="n"/>
      <c r="M22" s="232" t="n"/>
      <c r="N22" s="232" t="n"/>
      <c r="O22" s="232" t="n"/>
      <c r="P22" s="232" t="n"/>
      <c r="Q22" s="232" t="n"/>
      <c r="R22" s="232" t="n"/>
      <c r="S22" s="232" t="n"/>
      <c r="T22" s="232" t="n"/>
      <c r="U22" s="232" t="n"/>
      <c r="V22" s="232" t="n"/>
      <c r="W22" s="232" t="n"/>
      <c r="X22" s="232" t="n"/>
      <c r="Y22" s="232" t="n"/>
      <c r="Z22" s="232" t="n"/>
      <c r="AA22" s="232" t="n"/>
      <c r="AB22" s="232" t="n"/>
      <c r="AC22" s="232" t="n"/>
      <c r="AD22" s="232" t="n"/>
      <c r="AE22" s="232" t="n"/>
      <c r="AF22" s="232" t="n"/>
      <c r="AG22" s="232" t="n"/>
      <c r="AH22" s="232" t="n"/>
      <c r="AI22" s="232" t="n"/>
      <c r="AJ22" s="232" t="n"/>
      <c r="AK22" s="232" t="n"/>
    </row>
    <row r="23">
      <c r="B23" s="2" t="n"/>
      <c r="C23" s="105" t="n"/>
      <c r="D23" s="105" t="n"/>
      <c r="E23" s="105" t="n"/>
      <c r="F23" s="105" t="n"/>
      <c r="G23" s="105" t="n"/>
      <c r="H23" s="2" t="n"/>
      <c r="I23" s="10" t="n"/>
      <c r="K23" s="232" t="n"/>
      <c r="L23" s="232" t="n"/>
      <c r="M23" s="232" t="n"/>
      <c r="N23" s="232" t="n"/>
      <c r="O23" s="232" t="n"/>
      <c r="P23" s="232" t="n"/>
      <c r="Q23" s="232" t="n"/>
      <c r="R23" s="232" t="n"/>
      <c r="S23" s="232" t="n"/>
      <c r="T23" s="232" t="n"/>
      <c r="U23" s="232" t="n"/>
      <c r="V23" s="232" t="n"/>
      <c r="W23" s="232" t="n"/>
      <c r="X23" s="232" t="n"/>
      <c r="Y23" s="232" t="n"/>
      <c r="Z23" s="232" t="n"/>
      <c r="AA23" s="232" t="n"/>
      <c r="AB23" s="232" t="n"/>
      <c r="AC23" s="232" t="n"/>
      <c r="AD23" s="232" t="n"/>
      <c r="AE23" s="232" t="n"/>
      <c r="AF23" s="232" t="n"/>
      <c r="AG23" s="232" t="n"/>
      <c r="AH23" s="232" t="n"/>
      <c r="AI23" s="232" t="n"/>
      <c r="AJ23" s="232" t="n"/>
      <c r="AK23" s="232" t="n"/>
    </row>
    <row r="24">
      <c r="B24" s="2" t="n"/>
      <c r="C24" s="105" t="n"/>
      <c r="D24" s="105" t="n"/>
      <c r="E24" s="105" t="n"/>
      <c r="F24" s="105" t="n"/>
      <c r="G24" s="105" t="n"/>
      <c r="H24" s="2" t="n"/>
      <c r="I24" s="10" t="n"/>
      <c r="K24" s="232" t="n"/>
      <c r="L24" s="232" t="n"/>
      <c r="M24" s="232" t="n"/>
      <c r="N24" s="232" t="n"/>
      <c r="O24" s="232" t="n"/>
      <c r="P24" s="232" t="n"/>
      <c r="Q24" s="232" t="n"/>
      <c r="R24" s="232" t="n"/>
      <c r="S24" s="232" t="n"/>
      <c r="T24" s="232" t="n"/>
      <c r="U24" s="232" t="n"/>
      <c r="V24" s="232" t="n"/>
      <c r="W24" s="232" t="n"/>
      <c r="X24" s="232" t="n"/>
      <c r="Y24" s="232" t="n"/>
      <c r="Z24" s="232" t="n"/>
      <c r="AA24" s="232" t="n"/>
      <c r="AB24" s="232" t="n"/>
      <c r="AC24" s="232" t="n"/>
      <c r="AD24" s="232" t="n"/>
      <c r="AE24" s="232" t="n"/>
      <c r="AF24" s="232" t="n"/>
      <c r="AG24" s="232" t="n"/>
      <c r="AH24" s="232" t="n"/>
      <c r="AI24" s="232" t="n"/>
      <c r="AJ24" s="232" t="n"/>
      <c r="AK24" s="232" t="n"/>
    </row>
    <row r="25">
      <c r="B25" s="2" t="n"/>
      <c r="C25" s="105" t="n"/>
      <c r="D25" s="105" t="n"/>
      <c r="E25" s="105" t="n"/>
      <c r="F25" s="105" t="n"/>
      <c r="G25" s="105" t="n"/>
      <c r="H25" s="2" t="n"/>
      <c r="I25" s="10" t="n"/>
      <c r="K25" s="232" t="n"/>
      <c r="L25" s="232" t="n"/>
      <c r="M25" s="232" t="n"/>
      <c r="N25" s="232" t="n"/>
      <c r="O25" s="232" t="n"/>
      <c r="P25" s="232" t="n"/>
      <c r="Q25" s="232" t="n"/>
      <c r="R25" s="232" t="n"/>
      <c r="S25" s="232" t="n"/>
      <c r="T25" s="232" t="n"/>
      <c r="U25" s="232" t="n"/>
      <c r="V25" s="232" t="n"/>
      <c r="W25" s="232" t="n"/>
      <c r="X25" s="232" t="n"/>
      <c r="Y25" s="232" t="n"/>
      <c r="Z25" s="232" t="n"/>
      <c r="AA25" s="232" t="n"/>
      <c r="AB25" s="232" t="n"/>
      <c r="AC25" s="232" t="n"/>
      <c r="AD25" s="232" t="n"/>
      <c r="AE25" s="232" t="n"/>
      <c r="AF25" s="232" t="n"/>
      <c r="AG25" s="232" t="n"/>
      <c r="AH25" s="232" t="n"/>
      <c r="AI25" s="232" t="n"/>
      <c r="AJ25" s="232" t="n"/>
      <c r="AK25" s="232" t="n"/>
    </row>
    <row r="26">
      <c r="B26" s="2" t="n"/>
      <c r="C26" s="105" t="n"/>
      <c r="D26" s="105" t="n"/>
      <c r="E26" s="105" t="n"/>
      <c r="F26" s="105" t="n"/>
      <c r="G26" s="105" t="n"/>
      <c r="H26" s="2" t="n"/>
      <c r="I26" s="10" t="n"/>
      <c r="K26" s="232" t="n"/>
      <c r="L26" s="232" t="n"/>
      <c r="M26" s="232" t="n"/>
      <c r="N26" s="232" t="n"/>
      <c r="O26" s="232" t="n"/>
      <c r="P26" s="232" t="n"/>
      <c r="Q26" s="232" t="n"/>
      <c r="R26" s="232" t="n"/>
      <c r="S26" s="232" t="n"/>
      <c r="T26" s="232" t="n"/>
      <c r="U26" s="232" t="n"/>
      <c r="V26" s="232" t="n"/>
      <c r="W26" s="232" t="n"/>
      <c r="X26" s="232" t="n"/>
      <c r="Y26" s="232" t="n"/>
      <c r="Z26" s="232" t="n"/>
      <c r="AA26" s="232" t="n"/>
      <c r="AB26" s="232" t="n"/>
      <c r="AC26" s="232" t="n"/>
      <c r="AD26" s="232" t="n"/>
      <c r="AE26" s="232" t="n"/>
      <c r="AF26" s="232" t="n"/>
      <c r="AG26" s="232" t="n"/>
      <c r="AH26" s="232" t="n"/>
      <c r="AI26" s="232" t="n"/>
      <c r="AJ26" s="232" t="n"/>
      <c r="AK26" s="232" t="n"/>
    </row>
    <row r="27">
      <c r="B27" s="2" t="n"/>
      <c r="C27" s="105" t="n"/>
      <c r="D27" s="105" t="n"/>
      <c r="E27" s="105" t="n"/>
      <c r="F27" s="105" t="n"/>
      <c r="G27" s="105" t="n"/>
      <c r="H27" s="2" t="n"/>
      <c r="I27" s="10" t="n"/>
      <c r="K27" s="232" t="n"/>
      <c r="L27" s="232" t="n"/>
      <c r="M27" s="232" t="n"/>
      <c r="N27" s="232" t="n"/>
      <c r="O27" s="232" t="n"/>
      <c r="P27" s="232" t="n"/>
      <c r="Q27" s="232" t="n"/>
      <c r="R27" s="232" t="n"/>
      <c r="S27" s="232" t="n"/>
      <c r="T27" s="232" t="n"/>
      <c r="U27" s="232" t="n"/>
      <c r="V27" s="232" t="n"/>
      <c r="W27" s="232" t="n"/>
      <c r="X27" s="232" t="n"/>
      <c r="Y27" s="232" t="n"/>
      <c r="Z27" s="232" t="n"/>
      <c r="AA27" s="232" t="n"/>
      <c r="AB27" s="232" t="n"/>
      <c r="AC27" s="232" t="n"/>
      <c r="AD27" s="232" t="n"/>
      <c r="AE27" s="232" t="n"/>
      <c r="AF27" s="232" t="n"/>
      <c r="AG27" s="232" t="n"/>
      <c r="AH27" s="232" t="n"/>
      <c r="AI27" s="232" t="n"/>
      <c r="AJ27" s="232" t="n"/>
      <c r="AK27" s="232" t="n"/>
    </row>
    <row r="28">
      <c r="B28" s="2" t="n"/>
      <c r="C28" s="105" t="n"/>
      <c r="D28" s="105" t="n"/>
      <c r="E28" s="105" t="n"/>
      <c r="F28" s="105" t="n"/>
      <c r="G28" s="105" t="n"/>
      <c r="H28" s="2" t="n"/>
      <c r="I28" s="10" t="n"/>
      <c r="K28" s="232" t="n"/>
      <c r="L28" s="232" t="n"/>
      <c r="M28" s="232" t="n"/>
      <c r="N28" s="232" t="n"/>
      <c r="O28" s="232" t="n"/>
      <c r="P28" s="232" t="n"/>
      <c r="Q28" s="232" t="n"/>
      <c r="R28" s="232" t="n"/>
      <c r="S28" s="232" t="n"/>
      <c r="T28" s="232" t="n"/>
      <c r="U28" s="232" t="n"/>
      <c r="V28" s="232" t="n"/>
      <c r="W28" s="232" t="n"/>
      <c r="X28" s="232" t="n"/>
      <c r="Y28" s="232" t="n"/>
      <c r="Z28" s="232" t="n"/>
      <c r="AA28" s="232" t="n"/>
      <c r="AB28" s="232" t="n"/>
      <c r="AC28" s="232" t="n"/>
      <c r="AD28" s="232" t="n"/>
      <c r="AE28" s="232" t="n"/>
      <c r="AF28" s="232" t="n"/>
      <c r="AG28" s="232" t="n"/>
      <c r="AH28" s="232" t="n"/>
      <c r="AI28" s="232" t="n"/>
      <c r="AJ28" s="232" t="n"/>
      <c r="AK28" s="232" t="n"/>
    </row>
    <row r="29">
      <c r="B29" s="2" t="n"/>
      <c r="C29" s="105" t="n"/>
      <c r="D29" s="105" t="n"/>
      <c r="E29" s="105" t="n"/>
      <c r="F29" s="105" t="n"/>
      <c r="G29" s="105" t="n"/>
      <c r="H29" s="2" t="n"/>
      <c r="I29" s="10" t="n"/>
      <c r="K29" s="232" t="n"/>
      <c r="L29" s="232" t="n"/>
      <c r="M29" s="232" t="n"/>
      <c r="N29" s="232" t="n"/>
      <c r="O29" s="232" t="n"/>
      <c r="P29" s="232" t="n"/>
      <c r="Q29" s="232" t="n"/>
      <c r="R29" s="232" t="n"/>
      <c r="S29" s="232" t="n"/>
      <c r="T29" s="232" t="n"/>
      <c r="U29" s="232" t="n"/>
      <c r="V29" s="232" t="n"/>
      <c r="W29" s="232" t="n"/>
      <c r="X29" s="232" t="n"/>
      <c r="Y29" s="232" t="n"/>
      <c r="Z29" s="232" t="n"/>
      <c r="AA29" s="232" t="n"/>
      <c r="AB29" s="232" t="n"/>
      <c r="AC29" s="232" t="n"/>
      <c r="AD29" s="232" t="n"/>
      <c r="AE29" s="232" t="n"/>
      <c r="AF29" s="232" t="n"/>
      <c r="AG29" s="232" t="n"/>
      <c r="AH29" s="232" t="n"/>
      <c r="AI29" s="232" t="n"/>
      <c r="AJ29" s="232" t="n"/>
      <c r="AK29" s="232" t="n"/>
    </row>
    <row r="30">
      <c r="B30" s="2" t="n"/>
      <c r="C30" s="105" t="n"/>
      <c r="D30" s="105" t="n"/>
      <c r="E30" s="105" t="n"/>
      <c r="F30" s="105" t="n"/>
      <c r="G30" s="105" t="n"/>
      <c r="H30" s="2" t="n"/>
      <c r="I30" s="10" t="n"/>
      <c r="K30" s="232" t="n"/>
      <c r="L30" s="232" t="n"/>
      <c r="M30" s="232" t="n"/>
      <c r="N30" s="232" t="n"/>
      <c r="O30" s="232" t="n"/>
      <c r="P30" s="232" t="n"/>
      <c r="Q30" s="232" t="n"/>
      <c r="R30" s="232" t="n"/>
      <c r="S30" s="232" t="n"/>
      <c r="T30" s="232" t="n"/>
      <c r="U30" s="232" t="n"/>
      <c r="V30" s="232" t="n"/>
      <c r="W30" s="232" t="n"/>
      <c r="X30" s="232" t="n"/>
      <c r="Y30" s="232" t="n"/>
      <c r="Z30" s="232" t="n"/>
      <c r="AA30" s="232" t="n"/>
      <c r="AB30" s="232" t="n"/>
      <c r="AC30" s="232" t="n"/>
      <c r="AD30" s="232" t="n"/>
      <c r="AE30" s="232" t="n"/>
      <c r="AF30" s="232" t="n"/>
      <c r="AG30" s="232" t="n"/>
      <c r="AH30" s="232" t="n"/>
      <c r="AI30" s="232" t="n"/>
      <c r="AJ30" s="232" t="n"/>
      <c r="AK30" s="232" t="n"/>
    </row>
    <row r="31">
      <c r="B31" s="2" t="n"/>
      <c r="C31" s="105" t="n"/>
      <c r="D31" s="105" t="n"/>
      <c r="E31" s="105" t="n"/>
      <c r="F31" s="105" t="n"/>
      <c r="G31" s="105" t="n"/>
      <c r="H31" s="2" t="n"/>
      <c r="I31" s="10" t="n"/>
      <c r="K31" s="232" t="n"/>
      <c r="L31" s="232" t="n"/>
      <c r="M31" s="232" t="n"/>
      <c r="N31" s="232" t="n"/>
      <c r="O31" s="232" t="n"/>
      <c r="P31" s="232" t="n"/>
      <c r="Q31" s="232" t="n"/>
      <c r="R31" s="232" t="n"/>
      <c r="S31" s="232" t="n"/>
      <c r="T31" s="232" t="n"/>
      <c r="U31" s="232" t="n"/>
      <c r="V31" s="232" t="n"/>
      <c r="W31" s="232" t="n"/>
      <c r="X31" s="232" t="n"/>
      <c r="Y31" s="232" t="n"/>
      <c r="Z31" s="232" t="n"/>
      <c r="AA31" s="232" t="n"/>
      <c r="AB31" s="232" t="n"/>
      <c r="AC31" s="232" t="n"/>
      <c r="AD31" s="232" t="n"/>
      <c r="AE31" s="232" t="n"/>
      <c r="AF31" s="232" t="n"/>
      <c r="AG31" s="232" t="n"/>
      <c r="AH31" s="232" t="n"/>
      <c r="AI31" s="232" t="n"/>
      <c r="AJ31" s="232" t="n"/>
      <c r="AK31" s="232" t="n"/>
    </row>
    <row r="32">
      <c r="B32" s="2" t="n"/>
      <c r="C32" s="105" t="n"/>
      <c r="D32" s="105" t="n"/>
      <c r="E32" s="105" t="n"/>
      <c r="F32" s="105" t="n"/>
      <c r="G32" s="105" t="n"/>
      <c r="H32" s="2" t="n"/>
      <c r="I32" s="10" t="n"/>
      <c r="K32" s="232" t="n"/>
      <c r="L32" s="232" t="n"/>
      <c r="M32" s="232" t="n"/>
      <c r="N32" s="232" t="n"/>
      <c r="O32" s="232" t="n"/>
      <c r="P32" s="232" t="n"/>
      <c r="Q32" s="232" t="n"/>
      <c r="R32" s="232" t="n"/>
      <c r="S32" s="232" t="n"/>
      <c r="T32" s="232" t="n"/>
      <c r="U32" s="232" t="n"/>
      <c r="V32" s="232" t="n"/>
      <c r="W32" s="232" t="n"/>
      <c r="X32" s="232" t="n"/>
      <c r="Y32" s="232" t="n"/>
      <c r="Z32" s="232" t="n"/>
      <c r="AA32" s="232" t="n"/>
      <c r="AB32" s="232" t="n"/>
      <c r="AC32" s="232" t="n"/>
      <c r="AD32" s="232" t="n"/>
      <c r="AE32" s="232" t="n"/>
      <c r="AF32" s="232" t="n"/>
      <c r="AG32" s="232" t="n"/>
      <c r="AH32" s="232" t="n"/>
      <c r="AI32" s="232" t="n"/>
      <c r="AJ32" s="232" t="n"/>
      <c r="AK32" s="232" t="n"/>
    </row>
    <row r="33">
      <c r="B33" s="2" t="n"/>
      <c r="C33" s="105" t="n"/>
      <c r="D33" s="105" t="n"/>
      <c r="E33" s="105" t="n"/>
      <c r="F33" s="105" t="n"/>
      <c r="G33" s="105" t="n"/>
      <c r="H33" s="2" t="n"/>
      <c r="I33" s="10" t="n"/>
      <c r="K33" s="232" t="n"/>
      <c r="L33" s="232" t="n"/>
      <c r="M33" s="232" t="n"/>
      <c r="N33" s="232" t="n"/>
      <c r="O33" s="232" t="n"/>
      <c r="P33" s="232" t="n"/>
      <c r="Q33" s="232" t="n"/>
      <c r="R33" s="232" t="n"/>
      <c r="S33" s="232" t="n"/>
      <c r="T33" s="232" t="n"/>
      <c r="U33" s="232" t="n"/>
      <c r="V33" s="232" t="n"/>
      <c r="W33" s="232" t="n"/>
      <c r="X33" s="232" t="n"/>
      <c r="Y33" s="232" t="n"/>
      <c r="Z33" s="232" t="n"/>
      <c r="AA33" s="232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2" t="n"/>
      <c r="AK33" s="232" t="n"/>
    </row>
    <row r="34">
      <c r="B34" s="2" t="n"/>
      <c r="C34" s="105" t="n"/>
      <c r="D34" s="105" t="n"/>
      <c r="E34" s="105" t="n"/>
      <c r="F34" s="105" t="n"/>
      <c r="G34" s="105" t="n"/>
      <c r="H34" s="2" t="n"/>
      <c r="I34" s="10" t="n"/>
      <c r="K34" s="232" t="n"/>
      <c r="L34" s="232" t="n"/>
      <c r="M34" s="232" t="n"/>
      <c r="N34" s="232" t="n"/>
      <c r="O34" s="232" t="n"/>
      <c r="P34" s="232" t="n"/>
      <c r="Q34" s="232" t="n"/>
      <c r="R34" s="232" t="n"/>
      <c r="S34" s="232" t="n"/>
      <c r="T34" s="232" t="n"/>
      <c r="U34" s="232" t="n"/>
      <c r="V34" s="232" t="n"/>
      <c r="W34" s="232" t="n"/>
      <c r="X34" s="232" t="n"/>
      <c r="Y34" s="232" t="n"/>
      <c r="Z34" s="232" t="n"/>
      <c r="AA34" s="232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32" t="n"/>
      <c r="AK34" s="232" t="n"/>
    </row>
    <row r="35">
      <c r="B35" s="2" t="n"/>
      <c r="C35" s="105" t="n"/>
      <c r="D35" s="105" t="n"/>
      <c r="E35" s="105" t="n"/>
      <c r="F35" s="105" t="n"/>
      <c r="G35" s="105" t="n"/>
      <c r="H35" s="2" t="n"/>
      <c r="I35" s="10" t="n"/>
      <c r="K35" s="232" t="n"/>
      <c r="L35" s="232" t="n"/>
      <c r="M35" s="232" t="n"/>
      <c r="N35" s="232" t="n"/>
      <c r="O35" s="232" t="n"/>
      <c r="P35" s="232" t="n"/>
      <c r="Q35" s="232" t="n"/>
      <c r="R35" s="232" t="n"/>
      <c r="S35" s="232" t="n"/>
      <c r="T35" s="232" t="n"/>
      <c r="U35" s="232" t="n"/>
      <c r="V35" s="232" t="n"/>
      <c r="W35" s="232" t="n"/>
      <c r="X35" s="232" t="n"/>
      <c r="Y35" s="232" t="n"/>
      <c r="Z35" s="232" t="n"/>
      <c r="AA35" s="232" t="n"/>
      <c r="AB35" s="232" t="n"/>
      <c r="AC35" s="232" t="n"/>
      <c r="AD35" s="232" t="n"/>
      <c r="AE35" s="232" t="n"/>
      <c r="AF35" s="232" t="n"/>
      <c r="AG35" s="232" t="n"/>
      <c r="AH35" s="232" t="n"/>
      <c r="AI35" s="232" t="n"/>
      <c r="AJ35" s="232" t="n"/>
      <c r="AK35" s="232" t="n"/>
    </row>
    <row r="36">
      <c r="B36" s="2" t="n"/>
      <c r="C36" s="105" t="n"/>
      <c r="D36" s="105" t="n"/>
      <c r="E36" s="105" t="n"/>
      <c r="F36" s="105" t="n"/>
      <c r="G36" s="105" t="n"/>
      <c r="H36" s="2" t="n"/>
      <c r="I36" s="10" t="n"/>
      <c r="K36" s="232" t="n"/>
      <c r="L36" s="232" t="n"/>
      <c r="M36" s="232" t="n"/>
      <c r="N36" s="232" t="n"/>
      <c r="O36" s="232" t="n"/>
      <c r="P36" s="232" t="n"/>
      <c r="Q36" s="232" t="n"/>
      <c r="R36" s="232" t="n"/>
      <c r="S36" s="232" t="n"/>
      <c r="T36" s="232" t="n"/>
      <c r="U36" s="232" t="n"/>
      <c r="V36" s="232" t="n"/>
      <c r="W36" s="232" t="n"/>
      <c r="X36" s="232" t="n"/>
      <c r="Y36" s="232" t="n"/>
      <c r="Z36" s="232" t="n"/>
      <c r="AA36" s="232" t="n"/>
      <c r="AB36" s="232" t="n"/>
      <c r="AC36" s="232" t="n"/>
      <c r="AD36" s="232" t="n"/>
      <c r="AE36" s="232" t="n"/>
      <c r="AF36" s="232" t="n"/>
      <c r="AG36" s="232" t="n"/>
      <c r="AH36" s="232" t="n"/>
      <c r="AI36" s="232" t="n"/>
      <c r="AJ36" s="232" t="n"/>
      <c r="AK36" s="232" t="n"/>
    </row>
    <row r="37">
      <c r="B37" s="2" t="n"/>
      <c r="C37" s="105" t="n"/>
      <c r="D37" s="105" t="n"/>
      <c r="E37" s="105" t="n"/>
      <c r="F37" s="105" t="n"/>
      <c r="G37" s="105" t="n"/>
      <c r="H37" s="2" t="n"/>
      <c r="I37" s="10" t="n"/>
      <c r="K37" s="232" t="n"/>
      <c r="L37" s="232" t="n"/>
      <c r="M37" s="232" t="n"/>
      <c r="N37" s="232" t="n"/>
      <c r="O37" s="232" t="n"/>
      <c r="P37" s="232" t="n"/>
      <c r="Q37" s="232" t="n"/>
      <c r="R37" s="232" t="n"/>
      <c r="S37" s="232" t="n"/>
      <c r="T37" s="232" t="n"/>
      <c r="U37" s="232" t="n"/>
      <c r="V37" s="232" t="n"/>
      <c r="W37" s="232" t="n"/>
      <c r="X37" s="232" t="n"/>
      <c r="Y37" s="232" t="n"/>
      <c r="Z37" s="232" t="n"/>
      <c r="AA37" s="232" t="n"/>
      <c r="AB37" s="232" t="n"/>
      <c r="AC37" s="232" t="n"/>
      <c r="AD37" s="232" t="n"/>
      <c r="AE37" s="232" t="n"/>
      <c r="AF37" s="232" t="n"/>
      <c r="AG37" s="232" t="n"/>
      <c r="AH37" s="232" t="n"/>
      <c r="AI37" s="232" t="n"/>
      <c r="AJ37" s="232" t="n"/>
      <c r="AK37" s="232" t="n"/>
    </row>
    <row r="38">
      <c r="B38" s="2" t="n"/>
      <c r="C38" s="105" t="n"/>
      <c r="D38" s="105" t="n"/>
      <c r="E38" s="105" t="n"/>
      <c r="F38" s="105" t="n"/>
      <c r="G38" s="105" t="n"/>
      <c r="H38" s="2" t="n"/>
      <c r="I38" s="10" t="n"/>
      <c r="K38" s="232" t="n"/>
      <c r="L38" s="232" t="n"/>
      <c r="M38" s="232" t="n"/>
      <c r="N38" s="232" t="n"/>
      <c r="O38" s="232" t="n"/>
      <c r="P38" s="232" t="n"/>
      <c r="Q38" s="232" t="n"/>
      <c r="R38" s="232" t="n"/>
      <c r="S38" s="232" t="n"/>
      <c r="T38" s="232" t="n"/>
      <c r="U38" s="232" t="n"/>
      <c r="V38" s="232" t="n"/>
      <c r="W38" s="232" t="n"/>
      <c r="X38" s="232" t="n"/>
      <c r="Y38" s="232" t="n"/>
      <c r="Z38" s="232" t="n"/>
      <c r="AA38" s="232" t="n"/>
      <c r="AB38" s="232" t="n"/>
      <c r="AC38" s="232" t="n"/>
      <c r="AD38" s="232" t="n"/>
      <c r="AE38" s="232" t="n"/>
      <c r="AF38" s="232" t="n"/>
      <c r="AG38" s="232" t="n"/>
      <c r="AH38" s="232" t="n"/>
      <c r="AI38" s="232" t="n"/>
      <c r="AJ38" s="232" t="n"/>
      <c r="AK38" s="232" t="n"/>
    </row>
    <row r="39">
      <c r="B39" s="2" t="n"/>
      <c r="C39" s="105" t="n"/>
      <c r="D39" s="105" t="n"/>
      <c r="E39" s="105" t="n"/>
      <c r="F39" s="105" t="n"/>
      <c r="G39" s="105" t="n"/>
      <c r="H39" s="2" t="n"/>
      <c r="I39" s="10" t="n"/>
      <c r="K39" s="232" t="n"/>
      <c r="L39" s="232" t="n"/>
      <c r="M39" s="232" t="n"/>
      <c r="N39" s="232" t="n"/>
      <c r="O39" s="232" t="n"/>
      <c r="P39" s="232" t="n"/>
      <c r="Q39" s="232" t="n"/>
      <c r="R39" s="232" t="n"/>
      <c r="S39" s="232" t="n"/>
      <c r="T39" s="232" t="n"/>
      <c r="U39" s="232" t="n"/>
      <c r="V39" s="232" t="n"/>
      <c r="W39" s="232" t="n"/>
      <c r="X39" s="232" t="n"/>
      <c r="Y39" s="232" t="n"/>
      <c r="Z39" s="232" t="n"/>
      <c r="AA39" s="232" t="n"/>
      <c r="AB39" s="232" t="n"/>
      <c r="AC39" s="232" t="n"/>
      <c r="AD39" s="232" t="n"/>
      <c r="AE39" s="232" t="n"/>
      <c r="AF39" s="232" t="n"/>
      <c r="AG39" s="232" t="n"/>
      <c r="AH39" s="232" t="n"/>
      <c r="AI39" s="232" t="n"/>
      <c r="AJ39" s="232" t="n"/>
      <c r="AK39" s="232" t="n"/>
    </row>
    <row r="40">
      <c r="B40" s="2" t="n"/>
      <c r="C40" s="105" t="n"/>
      <c r="D40" s="105" t="n"/>
      <c r="E40" s="105" t="n"/>
      <c r="F40" s="105" t="n"/>
      <c r="G40" s="105" t="n"/>
      <c r="H40" s="2" t="n"/>
      <c r="I40" s="10" t="n"/>
      <c r="K40" s="232" t="n"/>
      <c r="L40" s="232" t="n"/>
      <c r="M40" s="232" t="n"/>
      <c r="N40" s="232" t="n"/>
      <c r="O40" s="232" t="n"/>
      <c r="P40" s="232" t="n"/>
      <c r="Q40" s="232" t="n"/>
      <c r="R40" s="232" t="n"/>
      <c r="S40" s="232" t="n"/>
      <c r="T40" s="232" t="n"/>
      <c r="U40" s="232" t="n"/>
      <c r="V40" s="232" t="n"/>
      <c r="W40" s="232" t="n"/>
      <c r="X40" s="232" t="n"/>
      <c r="Y40" s="232" t="n"/>
      <c r="Z40" s="232" t="n"/>
      <c r="AA40" s="232" t="n"/>
      <c r="AB40" s="232" t="n"/>
      <c r="AC40" s="232" t="n"/>
      <c r="AD40" s="232" t="n"/>
      <c r="AE40" s="232" t="n"/>
      <c r="AF40" s="232" t="n"/>
      <c r="AG40" s="232" t="n"/>
      <c r="AH40" s="232" t="n"/>
      <c r="AI40" s="232" t="n"/>
      <c r="AJ40" s="232" t="n"/>
      <c r="AK40" s="232" t="n"/>
    </row>
    <row r="41">
      <c r="B41" s="2" t="n"/>
      <c r="C41" s="105" t="n"/>
      <c r="D41" s="105" t="n"/>
      <c r="E41" s="105" t="n"/>
      <c r="F41" s="105" t="n"/>
      <c r="G41" s="105" t="n"/>
      <c r="H41" s="2" t="n"/>
      <c r="I41" s="10" t="n"/>
      <c r="K41" s="232" t="n"/>
      <c r="L41" s="232" t="n"/>
      <c r="M41" s="232" t="n"/>
      <c r="N41" s="232" t="n"/>
      <c r="O41" s="232" t="n"/>
      <c r="P41" s="232" t="n"/>
      <c r="Q41" s="232" t="n"/>
      <c r="R41" s="232" t="n"/>
      <c r="S41" s="232" t="n"/>
      <c r="T41" s="232" t="n"/>
      <c r="U41" s="232" t="n"/>
      <c r="V41" s="232" t="n"/>
      <c r="W41" s="232" t="n"/>
      <c r="X41" s="232" t="n"/>
      <c r="Y41" s="232" t="n"/>
      <c r="Z41" s="232" t="n"/>
      <c r="AA41" s="232" t="n"/>
      <c r="AB41" s="232" t="n"/>
      <c r="AC41" s="232" t="n"/>
      <c r="AD41" s="232" t="n"/>
      <c r="AE41" s="232" t="n"/>
      <c r="AF41" s="232" t="n"/>
      <c r="AG41" s="232" t="n"/>
      <c r="AH41" s="232" t="n"/>
      <c r="AI41" s="232" t="n"/>
      <c r="AJ41" s="232" t="n"/>
      <c r="AK41" s="232" t="n"/>
    </row>
    <row r="42">
      <c r="B42" s="2" t="n"/>
      <c r="C42" s="105" t="n"/>
      <c r="D42" s="105" t="n"/>
      <c r="E42" s="105" t="n"/>
      <c r="F42" s="105" t="n"/>
      <c r="G42" s="105" t="n"/>
      <c r="H42" s="2" t="n"/>
      <c r="I42" s="10" t="n"/>
      <c r="K42" s="232" t="n"/>
      <c r="L42" s="232" t="n"/>
      <c r="M42" s="232" t="n"/>
      <c r="N42" s="232" t="n"/>
      <c r="O42" s="232" t="n"/>
      <c r="P42" s="232" t="n"/>
      <c r="Q42" s="232" t="n"/>
      <c r="R42" s="232" t="n"/>
      <c r="S42" s="232" t="n"/>
      <c r="T42" s="232" t="n"/>
      <c r="U42" s="232" t="n"/>
      <c r="V42" s="232" t="n"/>
      <c r="W42" s="232" t="n"/>
      <c r="X42" s="232" t="n"/>
      <c r="Y42" s="232" t="n"/>
      <c r="Z42" s="232" t="n"/>
      <c r="AA42" s="232" t="n"/>
      <c r="AB42" s="232" t="n"/>
      <c r="AC42" s="232" t="n"/>
      <c r="AD42" s="232" t="n"/>
      <c r="AE42" s="232" t="n"/>
      <c r="AF42" s="232" t="n"/>
      <c r="AG42" s="232" t="n"/>
      <c r="AH42" s="232" t="n"/>
      <c r="AI42" s="232" t="n"/>
      <c r="AJ42" s="232" t="n"/>
      <c r="AK42" s="232" t="n"/>
    </row>
    <row r="43">
      <c r="B43" s="2" t="n"/>
      <c r="C43" s="105" t="n"/>
      <c r="D43" s="105" t="n"/>
      <c r="E43" s="105" t="n"/>
      <c r="F43" s="105" t="n"/>
      <c r="G43" s="105" t="n"/>
      <c r="H43" s="2" t="n"/>
      <c r="I43" s="10" t="n"/>
      <c r="K43" s="232" t="n"/>
      <c r="L43" s="232" t="n"/>
      <c r="M43" s="232" t="n"/>
      <c r="N43" s="232" t="n"/>
      <c r="O43" s="232" t="n"/>
      <c r="P43" s="232" t="n"/>
      <c r="Q43" s="232" t="n"/>
      <c r="R43" s="232" t="n"/>
      <c r="S43" s="232" t="n"/>
      <c r="T43" s="232" t="n"/>
      <c r="U43" s="232" t="n"/>
      <c r="V43" s="232" t="n"/>
      <c r="W43" s="232" t="n"/>
      <c r="X43" s="232" t="n"/>
      <c r="Y43" s="232" t="n"/>
      <c r="Z43" s="232" t="n"/>
      <c r="AA43" s="232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32" t="n"/>
      <c r="AK43" s="232" t="n"/>
    </row>
    <row r="44">
      <c r="B44" s="2" t="n"/>
      <c r="C44" s="105" t="n"/>
      <c r="D44" s="105" t="n"/>
      <c r="E44" s="105" t="n"/>
      <c r="F44" s="105" t="n"/>
      <c r="G44" s="105" t="n"/>
      <c r="H44" s="2" t="n"/>
      <c r="I44" s="10" t="n"/>
      <c r="K44" s="232" t="n"/>
      <c r="L44" s="232" t="n"/>
      <c r="M44" s="232" t="n"/>
      <c r="N44" s="232" t="n"/>
      <c r="O44" s="232" t="n"/>
      <c r="P44" s="232" t="n"/>
      <c r="Q44" s="232" t="n"/>
      <c r="R44" s="232" t="n"/>
      <c r="S44" s="232" t="n"/>
      <c r="T44" s="232" t="n"/>
      <c r="U44" s="232" t="n"/>
      <c r="V44" s="232" t="n"/>
      <c r="W44" s="232" t="n"/>
      <c r="X44" s="232" t="n"/>
      <c r="Y44" s="232" t="n"/>
      <c r="Z44" s="232" t="n"/>
      <c r="AA44" s="232" t="n"/>
      <c r="AB44" s="232" t="n"/>
      <c r="AC44" s="232" t="n"/>
      <c r="AD44" s="232" t="n"/>
      <c r="AE44" s="232" t="n"/>
      <c r="AF44" s="232" t="n"/>
      <c r="AG44" s="232" t="n"/>
      <c r="AH44" s="232" t="n"/>
      <c r="AI44" s="232" t="n"/>
      <c r="AJ44" s="232" t="n"/>
      <c r="AK44" s="232" t="n"/>
    </row>
    <row r="45">
      <c r="B45" s="2" t="n"/>
      <c r="C45" s="105" t="n"/>
      <c r="D45" s="105" t="n"/>
      <c r="E45" s="105" t="n"/>
      <c r="F45" s="105" t="n"/>
      <c r="G45" s="105" t="n"/>
      <c r="H45" s="2" t="n"/>
      <c r="I45" s="10" t="n"/>
      <c r="K45" s="232" t="n"/>
      <c r="L45" s="232" t="n"/>
      <c r="M45" s="232" t="n"/>
      <c r="N45" s="232" t="n"/>
      <c r="O45" s="232" t="n"/>
      <c r="P45" s="232" t="n"/>
      <c r="Q45" s="232" t="n"/>
      <c r="R45" s="232" t="n"/>
      <c r="S45" s="232" t="n"/>
      <c r="T45" s="232" t="n"/>
      <c r="U45" s="232" t="n"/>
      <c r="V45" s="232" t="n"/>
      <c r="W45" s="232" t="n"/>
      <c r="X45" s="232" t="n"/>
      <c r="Y45" s="232" t="n"/>
      <c r="Z45" s="232" t="n"/>
      <c r="AA45" s="232" t="n"/>
      <c r="AB45" s="232" t="n"/>
      <c r="AC45" s="232" t="n"/>
      <c r="AD45" s="232" t="n"/>
      <c r="AE45" s="232" t="n"/>
      <c r="AF45" s="232" t="n"/>
      <c r="AG45" s="232" t="n"/>
      <c r="AH45" s="232" t="n"/>
      <c r="AI45" s="232" t="n"/>
      <c r="AJ45" s="232" t="n"/>
      <c r="AK45" s="232" t="n"/>
    </row>
    <row r="46">
      <c r="B46" s="2" t="n"/>
      <c r="C46" s="105" t="n"/>
      <c r="D46" s="105" t="n"/>
      <c r="E46" s="105" t="n"/>
      <c r="F46" s="105" t="n"/>
      <c r="G46" s="105" t="n"/>
      <c r="H46" s="2" t="n"/>
      <c r="I46" s="10" t="n"/>
      <c r="K46" s="232" t="n"/>
      <c r="L46" s="232" t="n"/>
      <c r="M46" s="232" t="n"/>
      <c r="N46" s="232" t="n"/>
      <c r="O46" s="232" t="n"/>
      <c r="P46" s="232" t="n"/>
      <c r="Q46" s="232" t="n"/>
      <c r="R46" s="232" t="n"/>
      <c r="S46" s="232" t="n"/>
      <c r="T46" s="232" t="n"/>
      <c r="U46" s="232" t="n"/>
      <c r="V46" s="232" t="n"/>
      <c r="W46" s="232" t="n"/>
      <c r="X46" s="232" t="n"/>
      <c r="Y46" s="232" t="n"/>
      <c r="Z46" s="232" t="n"/>
      <c r="AA46" s="232" t="n"/>
      <c r="AB46" s="232" t="n"/>
      <c r="AC46" s="232" t="n"/>
      <c r="AD46" s="232" t="n"/>
      <c r="AE46" s="232" t="n"/>
      <c r="AF46" s="232" t="n"/>
      <c r="AG46" s="232" t="n"/>
      <c r="AH46" s="232" t="n"/>
      <c r="AI46" s="232" t="n"/>
      <c r="AJ46" s="232" t="n"/>
      <c r="AK46" s="232" t="n"/>
    </row>
    <row r="47">
      <c r="B47" s="2" t="n"/>
      <c r="C47" s="105" t="n"/>
      <c r="D47" s="105" t="n"/>
      <c r="E47" s="105" t="n"/>
      <c r="F47" s="105" t="n"/>
      <c r="G47" s="105" t="n"/>
      <c r="H47" s="2" t="n"/>
      <c r="I47" s="10" t="n"/>
      <c r="K47" s="232" t="n"/>
      <c r="L47" s="232" t="n"/>
      <c r="M47" s="232" t="n"/>
      <c r="N47" s="232" t="n"/>
      <c r="O47" s="232" t="n"/>
      <c r="P47" s="232" t="n"/>
      <c r="Q47" s="232" t="n"/>
      <c r="R47" s="232" t="n"/>
      <c r="S47" s="232" t="n"/>
      <c r="T47" s="232" t="n"/>
      <c r="U47" s="232" t="n"/>
      <c r="V47" s="232" t="n"/>
      <c r="W47" s="232" t="n"/>
      <c r="X47" s="232" t="n"/>
      <c r="Y47" s="232" t="n"/>
      <c r="Z47" s="232" t="n"/>
      <c r="AA47" s="232" t="n"/>
      <c r="AB47" s="232" t="n"/>
      <c r="AC47" s="232" t="n"/>
      <c r="AD47" s="232" t="n"/>
      <c r="AE47" s="232" t="n"/>
      <c r="AF47" s="232" t="n"/>
      <c r="AG47" s="232" t="n"/>
      <c r="AH47" s="232" t="n"/>
      <c r="AI47" s="232" t="n"/>
      <c r="AJ47" s="232" t="n"/>
      <c r="AK47" s="232" t="n"/>
    </row>
    <row r="48">
      <c r="B48" s="2" t="n"/>
      <c r="C48" s="105" t="n"/>
      <c r="D48" s="105" t="n"/>
      <c r="E48" s="105" t="n"/>
      <c r="F48" s="105" t="n"/>
      <c r="G48" s="105" t="n"/>
      <c r="H48" s="2" t="n"/>
      <c r="I48" s="10" t="n"/>
      <c r="K48" s="232" t="n"/>
      <c r="L48" s="232" t="n"/>
      <c r="M48" s="232" t="n"/>
      <c r="N48" s="232" t="n"/>
      <c r="O48" s="232" t="n"/>
      <c r="P48" s="232" t="n"/>
      <c r="Q48" s="232" t="n"/>
      <c r="R48" s="232" t="n"/>
      <c r="S48" s="232" t="n"/>
      <c r="T48" s="232" t="n"/>
      <c r="U48" s="232" t="n"/>
      <c r="V48" s="232" t="n"/>
      <c r="W48" s="232" t="n"/>
      <c r="X48" s="232" t="n"/>
      <c r="Y48" s="232" t="n"/>
      <c r="Z48" s="232" t="n"/>
      <c r="AA48" s="232" t="n"/>
      <c r="AB48" s="232" t="n"/>
      <c r="AC48" s="232" t="n"/>
      <c r="AD48" s="232" t="n"/>
      <c r="AE48" s="232" t="n"/>
      <c r="AF48" s="232" t="n"/>
      <c r="AG48" s="232" t="n"/>
      <c r="AH48" s="232" t="n"/>
      <c r="AI48" s="232" t="n"/>
      <c r="AJ48" s="232" t="n"/>
      <c r="AK48" s="232" t="n"/>
    </row>
    <row r="49">
      <c r="B49" s="2" t="n"/>
      <c r="C49" s="105" t="n"/>
      <c r="D49" s="105" t="n"/>
      <c r="E49" s="105" t="n"/>
      <c r="F49" s="105" t="n"/>
      <c r="G49" s="105" t="n"/>
      <c r="H49" s="2" t="n"/>
      <c r="I49" s="10" t="n"/>
      <c r="K49" s="232" t="n"/>
      <c r="L49" s="232" t="n"/>
      <c r="M49" s="232" t="n"/>
      <c r="N49" s="232" t="n"/>
      <c r="O49" s="232" t="n"/>
      <c r="P49" s="232" t="n"/>
      <c r="Q49" s="232" t="n"/>
      <c r="R49" s="232" t="n"/>
      <c r="S49" s="232" t="n"/>
      <c r="T49" s="232" t="n"/>
      <c r="U49" s="232" t="n"/>
      <c r="V49" s="232" t="n"/>
      <c r="W49" s="232" t="n"/>
      <c r="X49" s="232" t="n"/>
      <c r="Y49" s="232" t="n"/>
      <c r="Z49" s="232" t="n"/>
      <c r="AA49" s="232" t="n"/>
      <c r="AB49" s="232" t="n"/>
      <c r="AC49" s="232" t="n"/>
      <c r="AD49" s="232" t="n"/>
      <c r="AE49" s="232" t="n"/>
      <c r="AF49" s="232" t="n"/>
      <c r="AG49" s="232" t="n"/>
      <c r="AH49" s="232" t="n"/>
      <c r="AI49" s="232" t="n"/>
      <c r="AJ49" s="232" t="n"/>
      <c r="AK49" s="232" t="n"/>
    </row>
    <row r="50">
      <c r="B50" s="2" t="n"/>
      <c r="C50" s="105" t="n"/>
      <c r="D50" s="105" t="n"/>
      <c r="E50" s="105" t="n"/>
      <c r="F50" s="105" t="n"/>
      <c r="G50" s="105" t="n"/>
      <c r="H50" s="2" t="n"/>
      <c r="I50" s="10" t="n"/>
      <c r="K50" s="232" t="n"/>
      <c r="L50" s="232" t="n"/>
      <c r="M50" s="232" t="n"/>
      <c r="N50" s="232" t="n"/>
      <c r="O50" s="232" t="n"/>
      <c r="P50" s="232" t="n"/>
      <c r="Q50" s="232" t="n"/>
      <c r="R50" s="232" t="n"/>
      <c r="S50" s="232" t="n"/>
      <c r="T50" s="232" t="n"/>
      <c r="U50" s="232" t="n"/>
      <c r="V50" s="232" t="n"/>
      <c r="W50" s="232" t="n"/>
      <c r="X50" s="232" t="n"/>
      <c r="Y50" s="232" t="n"/>
      <c r="Z50" s="232" t="n"/>
      <c r="AA50" s="232" t="n"/>
      <c r="AB50" s="232" t="n"/>
      <c r="AC50" s="232" t="n"/>
      <c r="AD50" s="232" t="n"/>
      <c r="AE50" s="232" t="n"/>
      <c r="AF50" s="232" t="n"/>
      <c r="AG50" s="232" t="n"/>
      <c r="AH50" s="232" t="n"/>
      <c r="AI50" s="232" t="n"/>
      <c r="AJ50" s="232" t="n"/>
      <c r="AK50" s="232" t="n"/>
    </row>
    <row r="51">
      <c r="B51" s="2" t="n"/>
      <c r="C51" s="105" t="n"/>
      <c r="D51" s="105" t="n"/>
      <c r="E51" s="105" t="n"/>
      <c r="F51" s="105" t="n"/>
      <c r="G51" s="105" t="n"/>
      <c r="H51" s="2" t="n"/>
      <c r="I51" s="10" t="n"/>
      <c r="K51" s="232" t="n"/>
      <c r="L51" s="232" t="n"/>
      <c r="M51" s="232" t="n"/>
      <c r="N51" s="232" t="n"/>
      <c r="O51" s="232" t="n"/>
      <c r="P51" s="232" t="n"/>
      <c r="Q51" s="232" t="n"/>
      <c r="R51" s="232" t="n"/>
      <c r="S51" s="232" t="n"/>
      <c r="T51" s="232" t="n"/>
      <c r="U51" s="232" t="n"/>
      <c r="V51" s="232" t="n"/>
      <c r="W51" s="232" t="n"/>
      <c r="X51" s="232" t="n"/>
      <c r="Y51" s="232" t="n"/>
      <c r="Z51" s="232" t="n"/>
      <c r="AA51" s="232" t="n"/>
      <c r="AB51" s="232" t="n"/>
      <c r="AC51" s="232" t="n"/>
      <c r="AD51" s="232" t="n"/>
      <c r="AE51" s="232" t="n"/>
      <c r="AF51" s="232" t="n"/>
      <c r="AG51" s="232" t="n"/>
      <c r="AH51" s="232" t="n"/>
      <c r="AI51" s="232" t="n"/>
      <c r="AJ51" s="232" t="n"/>
      <c r="AK51" s="232" t="n"/>
    </row>
    <row r="52">
      <c r="B52" s="2" t="n"/>
      <c r="C52" s="105" t="n"/>
      <c r="D52" s="105" t="n"/>
      <c r="E52" s="105" t="n"/>
      <c r="F52" s="105" t="n"/>
      <c r="G52" s="105" t="n"/>
      <c r="H52" s="2" t="n"/>
      <c r="I52" s="10" t="n"/>
      <c r="K52" s="232" t="n"/>
      <c r="L52" s="232" t="n"/>
      <c r="M52" s="232" t="n"/>
      <c r="N52" s="232" t="n"/>
      <c r="O52" s="232" t="n"/>
      <c r="P52" s="232" t="n"/>
      <c r="Q52" s="232" t="n"/>
      <c r="R52" s="232" t="n"/>
      <c r="S52" s="232" t="n"/>
      <c r="T52" s="232" t="n"/>
      <c r="U52" s="232" t="n"/>
      <c r="V52" s="232" t="n"/>
      <c r="W52" s="232" t="n"/>
      <c r="X52" s="232" t="n"/>
      <c r="Y52" s="232" t="n"/>
      <c r="Z52" s="232" t="n"/>
      <c r="AA52" s="232" t="n"/>
      <c r="AB52" s="232" t="n"/>
      <c r="AC52" s="232" t="n"/>
      <c r="AD52" s="232" t="n"/>
      <c r="AE52" s="232" t="n"/>
      <c r="AF52" s="232" t="n"/>
      <c r="AG52" s="232" t="n"/>
      <c r="AH52" s="232" t="n"/>
      <c r="AI52" s="232" t="n"/>
      <c r="AJ52" s="232" t="n"/>
      <c r="AK52" s="232" t="n"/>
    </row>
    <row r="53">
      <c r="B53" s="2" t="n"/>
      <c r="C53" s="105" t="n"/>
      <c r="D53" s="105" t="n"/>
      <c r="E53" s="105" t="n"/>
      <c r="F53" s="105" t="n"/>
      <c r="G53" s="105" t="n"/>
      <c r="H53" s="2" t="n"/>
      <c r="I53" s="10" t="n"/>
      <c r="K53" s="232" t="n"/>
      <c r="L53" s="232" t="n"/>
      <c r="M53" s="232" t="n"/>
      <c r="N53" s="232" t="n"/>
      <c r="O53" s="232" t="n"/>
      <c r="P53" s="232" t="n"/>
      <c r="Q53" s="232" t="n"/>
      <c r="R53" s="232" t="n"/>
      <c r="S53" s="232" t="n"/>
      <c r="T53" s="232" t="n"/>
      <c r="U53" s="232" t="n"/>
      <c r="V53" s="232" t="n"/>
      <c r="W53" s="232" t="n"/>
      <c r="X53" s="232" t="n"/>
      <c r="Y53" s="232" t="n"/>
      <c r="Z53" s="232" t="n"/>
      <c r="AA53" s="232" t="n"/>
      <c r="AB53" s="232" t="n"/>
      <c r="AC53" s="232" t="n"/>
      <c r="AD53" s="232" t="n"/>
      <c r="AE53" s="232" t="n"/>
      <c r="AF53" s="232" t="n"/>
      <c r="AG53" s="232" t="n"/>
      <c r="AH53" s="232" t="n"/>
      <c r="AI53" s="232" t="n"/>
      <c r="AJ53" s="232" t="n"/>
      <c r="AK53" s="232" t="n"/>
    </row>
    <row r="54">
      <c r="B54" s="2" t="n"/>
      <c r="C54" s="105" t="n"/>
      <c r="D54" s="105" t="n"/>
      <c r="E54" s="105" t="n"/>
      <c r="F54" s="105" t="n"/>
      <c r="G54" s="105" t="n"/>
      <c r="H54" s="2" t="n"/>
      <c r="I54" s="10" t="n"/>
      <c r="K54" s="232" t="n"/>
      <c r="L54" s="232" t="n"/>
      <c r="M54" s="232" t="n"/>
      <c r="N54" s="232" t="n"/>
      <c r="O54" s="232" t="n"/>
      <c r="P54" s="232" t="n"/>
      <c r="Q54" s="232" t="n"/>
      <c r="R54" s="232" t="n"/>
      <c r="S54" s="232" t="n"/>
      <c r="T54" s="232" t="n"/>
      <c r="U54" s="232" t="n"/>
      <c r="V54" s="232" t="n"/>
      <c r="W54" s="232" t="n"/>
      <c r="X54" s="232" t="n"/>
      <c r="Y54" s="232" t="n"/>
      <c r="Z54" s="232" t="n"/>
      <c r="AA54" s="232" t="n"/>
      <c r="AB54" s="232" t="n"/>
      <c r="AC54" s="232" t="n"/>
      <c r="AD54" s="232" t="n"/>
      <c r="AE54" s="232" t="n"/>
      <c r="AF54" s="232" t="n"/>
      <c r="AG54" s="232" t="n"/>
      <c r="AH54" s="232" t="n"/>
      <c r="AI54" s="232" t="n"/>
      <c r="AJ54" s="232" t="n"/>
      <c r="AK54" s="232" t="n"/>
    </row>
    <row r="55">
      <c r="B55" s="2" t="n"/>
      <c r="C55" s="105" t="n"/>
      <c r="D55" s="105" t="n"/>
      <c r="E55" s="105" t="n"/>
      <c r="F55" s="105" t="n"/>
      <c r="G55" s="105" t="n"/>
      <c r="H55" s="2" t="n"/>
      <c r="I55" s="10" t="n"/>
      <c r="K55" s="232" t="n"/>
      <c r="L55" s="232" t="n"/>
      <c r="M55" s="232" t="n"/>
      <c r="N55" s="232" t="n"/>
      <c r="O55" s="232" t="n"/>
      <c r="P55" s="232" t="n"/>
      <c r="Q55" s="232" t="n"/>
      <c r="R55" s="232" t="n"/>
      <c r="S55" s="232" t="n"/>
      <c r="T55" s="232" t="n"/>
      <c r="U55" s="232" t="n"/>
      <c r="V55" s="232" t="n"/>
      <c r="W55" s="232" t="n"/>
      <c r="X55" s="232" t="n"/>
      <c r="Y55" s="232" t="n"/>
      <c r="Z55" s="232" t="n"/>
      <c r="AA55" s="232" t="n"/>
      <c r="AB55" s="232" t="n"/>
      <c r="AC55" s="232" t="n"/>
      <c r="AD55" s="232" t="n"/>
      <c r="AE55" s="232" t="n"/>
      <c r="AF55" s="232" t="n"/>
      <c r="AG55" s="232" t="n"/>
      <c r="AH55" s="232" t="n"/>
      <c r="AI55" s="232" t="n"/>
      <c r="AJ55" s="232" t="n"/>
      <c r="AK55" s="232" t="n"/>
    </row>
    <row r="56">
      <c r="B56" s="2" t="n"/>
      <c r="C56" s="105" t="n"/>
      <c r="D56" s="105" t="n"/>
      <c r="E56" s="105" t="n"/>
      <c r="F56" s="105" t="n"/>
      <c r="G56" s="105" t="n"/>
      <c r="H56" s="2" t="n"/>
      <c r="I56" s="10" t="n"/>
      <c r="K56" s="232" t="n"/>
      <c r="L56" s="232" t="n"/>
      <c r="M56" s="232" t="n"/>
      <c r="N56" s="232" t="n"/>
      <c r="O56" s="232" t="n"/>
      <c r="P56" s="232" t="n"/>
      <c r="Q56" s="232" t="n"/>
      <c r="R56" s="232" t="n"/>
      <c r="S56" s="232" t="n"/>
      <c r="T56" s="232" t="n"/>
      <c r="U56" s="232" t="n"/>
      <c r="V56" s="232" t="n"/>
      <c r="W56" s="232" t="n"/>
      <c r="X56" s="232" t="n"/>
      <c r="Y56" s="232" t="n"/>
      <c r="Z56" s="232" t="n"/>
      <c r="AA56" s="232" t="n"/>
      <c r="AB56" s="232" t="n"/>
      <c r="AC56" s="232" t="n"/>
      <c r="AD56" s="232" t="n"/>
      <c r="AE56" s="232" t="n"/>
      <c r="AF56" s="232" t="n"/>
      <c r="AG56" s="232" t="n"/>
      <c r="AH56" s="232" t="n"/>
      <c r="AI56" s="232" t="n"/>
      <c r="AJ56" s="232" t="n"/>
      <c r="AK56" s="232" t="n"/>
    </row>
    <row r="57">
      <c r="B57" s="2" t="n"/>
      <c r="C57" s="105" t="n"/>
      <c r="D57" s="105" t="n"/>
      <c r="E57" s="105" t="n"/>
      <c r="F57" s="105" t="n"/>
      <c r="G57" s="105" t="n"/>
      <c r="H57" s="2" t="n"/>
      <c r="I57" s="10" t="n"/>
      <c r="K57" s="232" t="n"/>
      <c r="L57" s="232" t="n"/>
      <c r="M57" s="232" t="n"/>
      <c r="N57" s="232" t="n"/>
      <c r="O57" s="232" t="n"/>
      <c r="P57" s="232" t="n"/>
      <c r="Q57" s="232" t="n"/>
      <c r="R57" s="232" t="n"/>
      <c r="S57" s="232" t="n"/>
      <c r="T57" s="232" t="n"/>
      <c r="U57" s="232" t="n"/>
      <c r="V57" s="232" t="n"/>
      <c r="W57" s="232" t="n"/>
      <c r="X57" s="232" t="n"/>
      <c r="Y57" s="232" t="n"/>
      <c r="Z57" s="232" t="n"/>
      <c r="AA57" s="232" t="n"/>
      <c r="AB57" s="232" t="n"/>
      <c r="AC57" s="232" t="n"/>
      <c r="AD57" s="232" t="n"/>
      <c r="AE57" s="232" t="n"/>
      <c r="AF57" s="232" t="n"/>
      <c r="AG57" s="232" t="n"/>
      <c r="AH57" s="232" t="n"/>
      <c r="AI57" s="232" t="n"/>
      <c r="AJ57" s="232" t="n"/>
      <c r="AK57" s="232" t="n"/>
    </row>
    <row r="58">
      <c r="B58" s="2" t="n"/>
      <c r="C58" s="105" t="n"/>
      <c r="D58" s="105" t="n"/>
      <c r="E58" s="105" t="n"/>
      <c r="F58" s="105" t="n"/>
      <c r="G58" s="105" t="n"/>
      <c r="H58" s="2" t="n"/>
      <c r="I58" s="10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2" t="n"/>
      <c r="Z58" s="232" t="n"/>
      <c r="AA58" s="232" t="n"/>
      <c r="AB58" s="232" t="n"/>
      <c r="AC58" s="232" t="n"/>
      <c r="AD58" s="232" t="n"/>
      <c r="AE58" s="232" t="n"/>
      <c r="AF58" s="232" t="n"/>
      <c r="AG58" s="232" t="n"/>
      <c r="AH58" s="232" t="n"/>
      <c r="AI58" s="232" t="n"/>
      <c r="AJ58" s="232" t="n"/>
      <c r="AK58" s="232" t="n"/>
    </row>
    <row r="59">
      <c r="B59" s="2" t="n"/>
      <c r="C59" s="105" t="n"/>
      <c r="D59" s="105" t="n"/>
      <c r="E59" s="105" t="n"/>
      <c r="F59" s="105" t="n"/>
      <c r="G59" s="105" t="n"/>
      <c r="H59" s="2" t="n"/>
      <c r="I59" s="10" t="n"/>
      <c r="K59" s="232" t="n"/>
      <c r="L59" s="232" t="n"/>
      <c r="M59" s="232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2" t="n"/>
      <c r="Z59" s="232" t="n"/>
      <c r="AA59" s="232" t="n"/>
      <c r="AB59" s="232" t="n"/>
      <c r="AC59" s="232" t="n"/>
      <c r="AD59" s="232" t="n"/>
      <c r="AE59" s="232" t="n"/>
      <c r="AF59" s="232" t="n"/>
      <c r="AG59" s="232" t="n"/>
      <c r="AH59" s="232" t="n"/>
      <c r="AI59" s="232" t="n"/>
      <c r="AJ59" s="232" t="n"/>
      <c r="AK59" s="232" t="n"/>
    </row>
    <row r="60">
      <c r="B60" s="2" t="n"/>
      <c r="C60" s="105" t="n"/>
      <c r="D60" s="105" t="n"/>
      <c r="E60" s="105" t="n"/>
      <c r="F60" s="105" t="n"/>
      <c r="G60" s="105" t="n"/>
      <c r="H60" s="2" t="n"/>
      <c r="I60" s="10" t="n"/>
      <c r="K60" s="232" t="n"/>
      <c r="L60" s="232" t="n"/>
      <c r="M60" s="232" t="n"/>
      <c r="N60" s="232" t="n"/>
      <c r="O60" s="232" t="n"/>
      <c r="P60" s="232" t="n"/>
      <c r="Q60" s="232" t="n"/>
      <c r="R60" s="232" t="n"/>
      <c r="S60" s="232" t="n"/>
      <c r="T60" s="232" t="n"/>
      <c r="U60" s="232" t="n"/>
      <c r="V60" s="232" t="n"/>
      <c r="W60" s="232" t="n"/>
      <c r="X60" s="232" t="n"/>
      <c r="Y60" s="232" t="n"/>
      <c r="Z60" s="232" t="n"/>
      <c r="AA60" s="232" t="n"/>
      <c r="AB60" s="232" t="n"/>
      <c r="AC60" s="232" t="n"/>
      <c r="AD60" s="232" t="n"/>
      <c r="AE60" s="232" t="n"/>
      <c r="AF60" s="232" t="n"/>
      <c r="AG60" s="232" t="n"/>
      <c r="AH60" s="232" t="n"/>
      <c r="AI60" s="232" t="n"/>
      <c r="AJ60" s="232" t="n"/>
      <c r="AK60" s="232" t="n"/>
    </row>
    <row r="61">
      <c r="B61" s="2" t="n"/>
      <c r="C61" s="105" t="n"/>
      <c r="D61" s="105" t="n"/>
      <c r="E61" s="105" t="n"/>
      <c r="F61" s="105" t="n"/>
      <c r="G61" s="105" t="n"/>
      <c r="H61" s="2" t="n"/>
      <c r="I61" s="10" t="n"/>
      <c r="K61" s="232" t="n"/>
      <c r="L61" s="232" t="n"/>
      <c r="M61" s="232" t="n"/>
      <c r="N61" s="232" t="n"/>
      <c r="O61" s="232" t="n"/>
      <c r="P61" s="232" t="n"/>
      <c r="Q61" s="232" t="n"/>
      <c r="R61" s="232" t="n"/>
      <c r="S61" s="232" t="n"/>
      <c r="T61" s="232" t="n"/>
      <c r="U61" s="232" t="n"/>
      <c r="V61" s="232" t="n"/>
      <c r="W61" s="232" t="n"/>
      <c r="X61" s="232" t="n"/>
      <c r="Y61" s="232" t="n"/>
      <c r="Z61" s="232" t="n"/>
      <c r="AA61" s="232" t="n"/>
      <c r="AB61" s="232" t="n"/>
      <c r="AC61" s="232" t="n"/>
      <c r="AD61" s="232" t="n"/>
      <c r="AE61" s="232" t="n"/>
      <c r="AF61" s="232" t="n"/>
      <c r="AG61" s="232" t="n"/>
      <c r="AH61" s="232" t="n"/>
      <c r="AI61" s="232" t="n"/>
      <c r="AJ61" s="232" t="n"/>
      <c r="AK61" s="232" t="n"/>
    </row>
    <row r="62">
      <c r="B62" s="2" t="n"/>
      <c r="C62" s="105" t="n"/>
      <c r="D62" s="105" t="n"/>
      <c r="E62" s="105" t="n"/>
      <c r="F62" s="105" t="n"/>
      <c r="G62" s="105" t="n"/>
      <c r="H62" s="2" t="n"/>
      <c r="I62" s="10" t="n"/>
      <c r="K62" s="232" t="n"/>
      <c r="L62" s="232" t="n"/>
      <c r="M62" s="232" t="n"/>
      <c r="N62" s="232" t="n"/>
      <c r="O62" s="232" t="n"/>
      <c r="P62" s="232" t="n"/>
      <c r="Q62" s="232" t="n"/>
      <c r="R62" s="232" t="n"/>
      <c r="S62" s="2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</row>
    <row r="63">
      <c r="B63" s="2" t="n"/>
      <c r="C63" s="105" t="n"/>
      <c r="D63" s="105" t="n"/>
      <c r="E63" s="105" t="n"/>
      <c r="F63" s="105" t="n"/>
      <c r="G63" s="105" t="n"/>
      <c r="H63" s="2" t="n"/>
      <c r="I63" s="10" t="n"/>
      <c r="K63" s="232" t="n"/>
      <c r="L63" s="232" t="n"/>
      <c r="M63" s="232" t="n"/>
      <c r="N63" s="232" t="n"/>
      <c r="O63" s="232" t="n"/>
      <c r="P63" s="232" t="n"/>
      <c r="Q63" s="232" t="n"/>
      <c r="R63" s="232" t="n"/>
      <c r="S63" s="232" t="n"/>
      <c r="T63" s="232" t="n"/>
      <c r="U63" s="232" t="n"/>
      <c r="V63" s="232" t="n"/>
      <c r="W63" s="232" t="n"/>
      <c r="X63" s="232" t="n"/>
      <c r="Y63" s="232" t="n"/>
      <c r="Z63" s="232" t="n"/>
      <c r="AA63" s="232" t="n"/>
      <c r="AB63" s="232" t="n"/>
      <c r="AC63" s="232" t="n"/>
      <c r="AD63" s="232" t="n"/>
      <c r="AE63" s="232" t="n"/>
      <c r="AF63" s="232" t="n"/>
      <c r="AG63" s="232" t="n"/>
      <c r="AH63" s="232" t="n"/>
      <c r="AI63" s="232" t="n"/>
      <c r="AJ63" s="232" t="n"/>
      <c r="AK63" s="232" t="n"/>
    </row>
    <row r="64">
      <c r="B64" s="2" t="n"/>
      <c r="C64" s="105" t="n"/>
      <c r="D64" s="105" t="n"/>
      <c r="E64" s="105" t="n"/>
      <c r="F64" s="105" t="n"/>
      <c r="G64" s="105" t="n"/>
      <c r="H64" s="2" t="n"/>
      <c r="I64" s="10" t="n"/>
      <c r="K64" s="232" t="n"/>
      <c r="L64" s="232" t="n"/>
      <c r="M64" s="232" t="n"/>
      <c r="N64" s="232" t="n"/>
      <c r="O64" s="232" t="n"/>
      <c r="P64" s="232" t="n"/>
      <c r="Q64" s="232" t="n"/>
      <c r="R64" s="232" t="n"/>
      <c r="S64" s="232" t="n"/>
      <c r="T64" s="232" t="n"/>
      <c r="U64" s="232" t="n"/>
      <c r="V64" s="2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</row>
    <row r="65">
      <c r="B65" s="2" t="n"/>
      <c r="C65" s="105" t="n"/>
      <c r="D65" s="105" t="n"/>
      <c r="E65" s="105" t="n"/>
      <c r="F65" s="105" t="n"/>
      <c r="G65" s="105" t="n"/>
      <c r="H65" s="2" t="n"/>
      <c r="I65" s="10" t="n"/>
      <c r="K65" s="232" t="n"/>
      <c r="L65" s="232" t="n"/>
      <c r="M65" s="232" t="n"/>
      <c r="N65" s="232" t="n"/>
      <c r="O65" s="232" t="n"/>
      <c r="P65" s="232" t="n"/>
      <c r="Q65" s="232" t="n"/>
      <c r="R65" s="232" t="n"/>
      <c r="S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</row>
    <row r="66">
      <c r="B66" s="2" t="n"/>
      <c r="C66" s="105" t="n"/>
      <c r="D66" s="105" t="n"/>
      <c r="E66" s="105" t="n"/>
      <c r="F66" s="105" t="n"/>
      <c r="G66" s="105" t="n"/>
      <c r="H66" s="2" t="n"/>
      <c r="I66" s="10" t="n"/>
      <c r="K66" s="232" t="n"/>
      <c r="L66" s="232" t="n"/>
      <c r="M66" s="232" t="n"/>
      <c r="N66" s="232" t="n"/>
      <c r="O66" s="232" t="n"/>
      <c r="P66" s="232" t="n"/>
      <c r="Q66" s="232" t="n"/>
      <c r="R66" s="232" t="n"/>
      <c r="S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</row>
    <row r="67">
      <c r="B67" s="2" t="n"/>
      <c r="C67" s="105" t="n"/>
      <c r="D67" s="105" t="n"/>
      <c r="E67" s="105" t="n"/>
      <c r="F67" s="105" t="n"/>
      <c r="G67" s="105" t="n"/>
      <c r="H67" s="2" t="n"/>
      <c r="I67" s="10" t="n"/>
      <c r="K67" s="232" t="n"/>
      <c r="L67" s="232" t="n"/>
      <c r="M67" s="232" t="n"/>
      <c r="N67" s="232" t="n"/>
      <c r="O67" s="232" t="n"/>
      <c r="P67" s="232" t="n"/>
      <c r="Q67" s="232" t="n"/>
      <c r="R67" s="232" t="n"/>
      <c r="S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</row>
    <row r="68">
      <c r="B68" s="2" t="n"/>
      <c r="C68" s="105" t="n"/>
      <c r="D68" s="105" t="n"/>
      <c r="E68" s="105" t="n"/>
      <c r="F68" s="105" t="n"/>
      <c r="G68" s="105" t="n"/>
      <c r="H68" s="2" t="n"/>
      <c r="I68" s="10" t="n"/>
      <c r="K68" s="232" t="n"/>
      <c r="L68" s="232" t="n"/>
      <c r="M68" s="232" t="n"/>
      <c r="N68" s="232" t="n"/>
      <c r="O68" s="232" t="n"/>
      <c r="P68" s="232" t="n"/>
      <c r="Q68" s="232" t="n"/>
      <c r="R68" s="232" t="n"/>
      <c r="S68" s="232" t="n"/>
      <c r="T68" s="232" t="n"/>
      <c r="U68" s="232" t="n"/>
      <c r="V68" s="232" t="n"/>
      <c r="W68" s="232" t="n"/>
      <c r="X68" s="232" t="n"/>
      <c r="Y68" s="232" t="n"/>
      <c r="Z68" s="232" t="n"/>
      <c r="AA68" s="232" t="n"/>
      <c r="AB68" s="232" t="n"/>
      <c r="AC68" s="232" t="n"/>
      <c r="AD68" s="232" t="n"/>
      <c r="AE68" s="232" t="n"/>
      <c r="AF68" s="232" t="n"/>
      <c r="AG68" s="232" t="n"/>
      <c r="AH68" s="232" t="n"/>
      <c r="AI68" s="232" t="n"/>
      <c r="AJ68" s="232" t="n"/>
      <c r="AK68" s="232" t="n"/>
    </row>
    <row r="69">
      <c r="B69" s="2" t="n"/>
      <c r="C69" s="105" t="n"/>
      <c r="D69" s="105" t="n"/>
      <c r="E69" s="105" t="n"/>
      <c r="F69" s="105" t="n"/>
      <c r="G69" s="105" t="n"/>
      <c r="H69" s="2" t="n"/>
      <c r="I69" s="10" t="n"/>
      <c r="K69" s="232" t="n"/>
      <c r="L69" s="232" t="n"/>
      <c r="M69" s="232" t="n"/>
      <c r="N69" s="232" t="n"/>
      <c r="O69" s="232" t="n"/>
      <c r="P69" s="232" t="n"/>
      <c r="Q69" s="232" t="n"/>
      <c r="R69" s="232" t="n"/>
      <c r="S69" s="232" t="n"/>
      <c r="T69" s="232" t="n"/>
      <c r="U69" s="232" t="n"/>
      <c r="V69" s="2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</row>
    <row r="70">
      <c r="B70" s="2" t="n"/>
      <c r="C70" s="105" t="n"/>
      <c r="D70" s="105" t="n"/>
      <c r="E70" s="105" t="n"/>
      <c r="F70" s="105" t="n"/>
      <c r="G70" s="105" t="n"/>
      <c r="H70" s="2" t="n"/>
      <c r="I70" s="10" t="n"/>
      <c r="K70" s="232" t="n"/>
      <c r="L70" s="232" t="n"/>
      <c r="M70" s="232" t="n"/>
      <c r="N70" s="232" t="n"/>
      <c r="O70" s="232" t="n"/>
      <c r="P70" s="232" t="n"/>
      <c r="Q70" s="232" t="n"/>
      <c r="R70" s="232" t="n"/>
      <c r="S70" s="232" t="n"/>
      <c r="T70" s="232" t="n"/>
      <c r="U70" s="232" t="n"/>
      <c r="V70" s="2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</row>
    <row r="71">
      <c r="B71" s="2" t="n"/>
      <c r="C71" s="105" t="n"/>
      <c r="D71" s="105" t="n"/>
      <c r="E71" s="105" t="n"/>
      <c r="F71" s="105" t="n"/>
      <c r="G71" s="105" t="n"/>
      <c r="H71" s="2" t="n"/>
      <c r="I71" s="10" t="n"/>
      <c r="K71" s="232" t="n"/>
      <c r="L71" s="232" t="n"/>
      <c r="M71" s="232" t="n"/>
      <c r="N71" s="232" t="n"/>
      <c r="O71" s="232" t="n"/>
      <c r="P71" s="232" t="n"/>
      <c r="Q71" s="232" t="n"/>
      <c r="R71" s="232" t="n"/>
      <c r="S71" s="232" t="n"/>
      <c r="T71" s="232" t="n"/>
      <c r="U71" s="232" t="n"/>
      <c r="V71" s="2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</row>
    <row r="72">
      <c r="B72" s="2" t="n"/>
      <c r="C72" s="105" t="n"/>
      <c r="D72" s="105" t="n"/>
      <c r="E72" s="105" t="n"/>
      <c r="F72" s="105" t="n"/>
      <c r="G72" s="105" t="n"/>
      <c r="H72" s="2" t="n"/>
      <c r="I72" s="10" t="n"/>
      <c r="K72" s="232" t="n"/>
      <c r="L72" s="232" t="n"/>
      <c r="M72" s="232" t="n"/>
      <c r="N72" s="232" t="n"/>
      <c r="O72" s="232" t="n"/>
      <c r="P72" s="232" t="n"/>
      <c r="Q72" s="232" t="n"/>
      <c r="R72" s="232" t="n"/>
      <c r="S72" s="232" t="n"/>
      <c r="T72" s="232" t="n"/>
      <c r="U72" s="232" t="n"/>
      <c r="V72" s="2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</row>
    <row r="73">
      <c r="B73" s="2" t="n"/>
      <c r="C73" s="105" t="n"/>
      <c r="D73" s="105" t="n"/>
      <c r="E73" s="105" t="n"/>
      <c r="F73" s="105" t="n"/>
      <c r="G73" s="105" t="n"/>
      <c r="H73" s="2" t="n"/>
      <c r="I73" s="10" t="n"/>
      <c r="K73" s="232" t="n"/>
      <c r="L73" s="232" t="n"/>
      <c r="M73" s="232" t="n"/>
      <c r="N73" s="232" t="n"/>
      <c r="O73" s="232" t="n"/>
      <c r="P73" s="232" t="n"/>
      <c r="Q73" s="232" t="n"/>
      <c r="R73" s="232" t="n"/>
      <c r="S73" s="232" t="n"/>
      <c r="T73" s="232" t="n"/>
      <c r="U73" s="232" t="n"/>
      <c r="V73" s="232" t="n"/>
      <c r="W73" s="232" t="n"/>
      <c r="X73" s="232" t="n"/>
      <c r="Y73" s="232" t="n"/>
      <c r="Z73" s="232" t="n"/>
      <c r="AA73" s="232" t="n"/>
      <c r="AB73" s="232" t="n"/>
      <c r="AC73" s="232" t="n"/>
      <c r="AD73" s="232" t="n"/>
      <c r="AE73" s="232" t="n"/>
      <c r="AF73" s="232" t="n"/>
      <c r="AG73" s="232" t="n"/>
      <c r="AH73" s="232" t="n"/>
      <c r="AI73" s="232" t="n"/>
      <c r="AJ73" s="232" t="n"/>
      <c r="AK73" s="232" t="n"/>
    </row>
    <row r="74">
      <c r="B74" s="2" t="n"/>
      <c r="C74" s="105" t="n"/>
      <c r="D74" s="105" t="n"/>
      <c r="E74" s="105" t="n"/>
      <c r="F74" s="105" t="n"/>
      <c r="G74" s="105" t="n"/>
      <c r="H74" s="2" t="n"/>
      <c r="I74" s="10" t="n"/>
      <c r="K74" s="232" t="n"/>
      <c r="L74" s="232" t="n"/>
      <c r="M74" s="232" t="n"/>
      <c r="N74" s="232" t="n"/>
      <c r="O74" s="232" t="n"/>
      <c r="P74" s="232" t="n"/>
      <c r="Q74" s="232" t="n"/>
      <c r="R74" s="232" t="n"/>
      <c r="S74" s="232" t="n"/>
      <c r="T74" s="232" t="n"/>
      <c r="U74" s="232" t="n"/>
      <c r="V74" s="2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</row>
    <row r="75">
      <c r="B75" s="2" t="n"/>
      <c r="C75" s="105" t="n"/>
      <c r="D75" s="105" t="n"/>
      <c r="E75" s="105" t="n"/>
      <c r="F75" s="105" t="n"/>
      <c r="G75" s="105" t="n"/>
      <c r="H75" s="2" t="n"/>
      <c r="I75" s="10" t="n"/>
      <c r="K75" s="232" t="n"/>
      <c r="L75" s="232" t="n"/>
      <c r="M75" s="232" t="n"/>
      <c r="N75" s="232" t="n"/>
      <c r="O75" s="232" t="n"/>
      <c r="P75" s="232" t="n"/>
      <c r="Q75" s="232" t="n"/>
      <c r="R75" s="232" t="n"/>
      <c r="S75" s="232" t="n"/>
      <c r="T75" s="232" t="n"/>
      <c r="U75" s="232" t="n"/>
      <c r="V75" s="232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</row>
    <row r="76">
      <c r="B76" s="2" t="n"/>
      <c r="C76" s="105" t="n"/>
      <c r="D76" s="105" t="n"/>
      <c r="E76" s="105" t="n"/>
      <c r="F76" s="105" t="n"/>
      <c r="G76" s="105" t="n"/>
      <c r="H76" s="2" t="n"/>
      <c r="I76" s="10" t="n"/>
      <c r="K76" s="232" t="n"/>
      <c r="L76" s="232" t="n"/>
      <c r="M76" s="232" t="n"/>
      <c r="N76" s="232" t="n"/>
      <c r="O76" s="232" t="n"/>
      <c r="P76" s="232" t="n"/>
      <c r="Q76" s="232" t="n"/>
      <c r="R76" s="232" t="n"/>
      <c r="S76" s="232" t="n"/>
      <c r="T76" s="232" t="n"/>
      <c r="U76" s="232" t="n"/>
      <c r="V76" s="232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</row>
    <row r="77">
      <c r="B77" s="2" t="n"/>
      <c r="C77" s="105" t="n"/>
      <c r="D77" s="105" t="n"/>
      <c r="E77" s="105" t="n"/>
      <c r="F77" s="105" t="n"/>
      <c r="G77" s="105" t="n"/>
      <c r="H77" s="2" t="n"/>
      <c r="I77" s="10" t="n"/>
      <c r="K77" s="232" t="n"/>
      <c r="L77" s="232" t="n"/>
      <c r="M77" s="232" t="n"/>
      <c r="N77" s="232" t="n"/>
      <c r="O77" s="232" t="n"/>
      <c r="P77" s="232" t="n"/>
      <c r="Q77" s="232" t="n"/>
      <c r="R77" s="232" t="n"/>
      <c r="S77" s="232" t="n"/>
      <c r="T77" s="232" t="n"/>
      <c r="U77" s="232" t="n"/>
      <c r="V77" s="2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</row>
    <row r="78">
      <c r="B78" s="2" t="n"/>
      <c r="C78" s="105" t="n"/>
      <c r="D78" s="105" t="n"/>
      <c r="E78" s="105" t="n"/>
      <c r="F78" s="105" t="n"/>
      <c r="G78" s="105" t="n"/>
      <c r="H78" s="2" t="n"/>
      <c r="I78" s="10" t="n"/>
      <c r="K78" s="232" t="n"/>
      <c r="L78" s="232" t="n"/>
      <c r="M78" s="232" t="n"/>
      <c r="N78" s="232" t="n"/>
      <c r="O78" s="232" t="n"/>
      <c r="P78" s="232" t="n"/>
      <c r="Q78" s="232" t="n"/>
      <c r="R78" s="232" t="n"/>
      <c r="S78" s="232" t="n"/>
      <c r="T78" s="232" t="n"/>
      <c r="U78" s="232" t="n"/>
      <c r="V78" s="232" t="n"/>
      <c r="W78" s="232" t="n"/>
      <c r="X78" s="232" t="n"/>
      <c r="Y78" s="232" t="n"/>
      <c r="Z78" s="232" t="n"/>
      <c r="AA78" s="232" t="n"/>
      <c r="AB78" s="232" t="n"/>
      <c r="AC78" s="232" t="n"/>
      <c r="AD78" s="232" t="n"/>
      <c r="AE78" s="232" t="n"/>
      <c r="AF78" s="232" t="n"/>
      <c r="AG78" s="232" t="n"/>
      <c r="AH78" s="232" t="n"/>
      <c r="AI78" s="232" t="n"/>
      <c r="AJ78" s="232" t="n"/>
      <c r="AK78" s="232" t="n"/>
    </row>
    <row r="79">
      <c r="B79" s="2" t="n"/>
      <c r="C79" s="105" t="n"/>
      <c r="D79" s="105" t="n"/>
      <c r="E79" s="105" t="n"/>
      <c r="F79" s="105" t="n"/>
      <c r="G79" s="105" t="n"/>
      <c r="H79" s="2" t="n"/>
      <c r="I79" s="10" t="n"/>
      <c r="K79" s="232" t="n"/>
      <c r="L79" s="232" t="n"/>
      <c r="M79" s="232" t="n"/>
      <c r="N79" s="232" t="n"/>
      <c r="O79" s="232" t="n"/>
      <c r="P79" s="232" t="n"/>
      <c r="Q79" s="232" t="n"/>
      <c r="R79" s="232" t="n"/>
      <c r="S79" s="232" t="n"/>
      <c r="T79" s="232" t="n"/>
      <c r="U79" s="232" t="n"/>
      <c r="V79" s="232" t="n"/>
      <c r="W79" s="232" t="n"/>
      <c r="X79" s="232" t="n"/>
      <c r="Y79" s="232" t="n"/>
      <c r="Z79" s="232" t="n"/>
      <c r="AA79" s="232" t="n"/>
      <c r="AB79" s="232" t="n"/>
      <c r="AC79" s="232" t="n"/>
      <c r="AD79" s="232" t="n"/>
      <c r="AE79" s="232" t="n"/>
      <c r="AF79" s="232" t="n"/>
      <c r="AG79" s="232" t="n"/>
      <c r="AH79" s="232" t="n"/>
      <c r="AI79" s="232" t="n"/>
      <c r="AJ79" s="232" t="n"/>
      <c r="AK79" s="232" t="n"/>
    </row>
    <row r="80">
      <c r="B80" s="2" t="n"/>
      <c r="C80" s="105" t="n"/>
      <c r="D80" s="105" t="n"/>
      <c r="E80" s="105" t="n"/>
      <c r="F80" s="105" t="n"/>
      <c r="G80" s="105" t="n"/>
      <c r="H80" s="2" t="n"/>
      <c r="I80" s="10" t="n"/>
      <c r="K80" s="232" t="n"/>
      <c r="L80" s="232" t="n"/>
      <c r="M80" s="232" t="n"/>
      <c r="N80" s="232" t="n"/>
      <c r="O80" s="232" t="n"/>
      <c r="P80" s="232" t="n"/>
      <c r="Q80" s="232" t="n"/>
      <c r="R80" s="232" t="n"/>
      <c r="S80" s="232" t="n"/>
      <c r="T80" s="232" t="n"/>
      <c r="U80" s="232" t="n"/>
      <c r="V80" s="232" t="n"/>
      <c r="W80" s="232" t="n"/>
      <c r="X80" s="232" t="n"/>
      <c r="Y80" s="232" t="n"/>
      <c r="Z80" s="232" t="n"/>
      <c r="AA80" s="232" t="n"/>
      <c r="AB80" s="232" t="n"/>
      <c r="AC80" s="232" t="n"/>
      <c r="AD80" s="232" t="n"/>
      <c r="AE80" s="232" t="n"/>
      <c r="AF80" s="232" t="n"/>
      <c r="AG80" s="232" t="n"/>
      <c r="AH80" s="232" t="n"/>
      <c r="AI80" s="232" t="n"/>
      <c r="AJ80" s="232" t="n"/>
      <c r="AK80" s="232" t="n"/>
    </row>
    <row r="81">
      <c r="B81" s="2" t="n"/>
      <c r="C81" s="105" t="n"/>
      <c r="D81" s="105" t="n"/>
      <c r="E81" s="105" t="n"/>
      <c r="F81" s="105" t="n"/>
      <c r="G81" s="105" t="n"/>
      <c r="H81" s="2" t="n"/>
      <c r="I81" s="10" t="n"/>
      <c r="K81" s="232" t="n"/>
      <c r="L81" s="232" t="n"/>
      <c r="M81" s="232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</row>
    <row r="82">
      <c r="B82" s="2" t="n"/>
      <c r="C82" s="105" t="n"/>
      <c r="D82" s="105" t="n"/>
      <c r="E82" s="105" t="n"/>
      <c r="F82" s="105" t="n"/>
      <c r="G82" s="105" t="n"/>
      <c r="H82" s="2" t="n"/>
      <c r="I82" s="10" t="n"/>
      <c r="K82" s="232" t="n"/>
      <c r="L82" s="232" t="n"/>
      <c r="M82" s="232" t="n"/>
      <c r="N82" s="232" t="n"/>
      <c r="O82" s="232" t="n"/>
      <c r="P82" s="232" t="n"/>
      <c r="Q82" s="232" t="n"/>
      <c r="R82" s="232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</row>
    <row r="83">
      <c r="B83" s="2" t="n"/>
      <c r="C83" s="105" t="n"/>
      <c r="D83" s="105" t="n"/>
      <c r="E83" s="105" t="n"/>
      <c r="F83" s="105" t="n"/>
      <c r="G83" s="105" t="n"/>
      <c r="H83" s="2" t="n"/>
      <c r="I83" s="10" t="n"/>
      <c r="K83" s="232" t="n"/>
      <c r="L83" s="232" t="n"/>
      <c r="M83" s="232" t="n"/>
      <c r="N83" s="232" t="n"/>
      <c r="O83" s="232" t="n"/>
      <c r="P83" s="232" t="n"/>
      <c r="Q83" s="232" t="n"/>
      <c r="R83" s="232" t="n"/>
      <c r="S83" s="232" t="n"/>
      <c r="T83" s="232" t="n"/>
      <c r="U83" s="232" t="n"/>
      <c r="V83" s="2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</row>
    <row r="84">
      <c r="B84" s="2" t="n"/>
      <c r="C84" s="105" t="n"/>
      <c r="D84" s="105" t="n"/>
      <c r="E84" s="105" t="n"/>
      <c r="F84" s="105" t="n"/>
      <c r="G84" s="105" t="n"/>
      <c r="H84" s="2" t="n"/>
      <c r="I84" s="10" t="n"/>
      <c r="K84" s="232" t="n"/>
      <c r="L84" s="232" t="n"/>
      <c r="M84" s="232" t="n"/>
      <c r="N84" s="232" t="n"/>
      <c r="O84" s="232" t="n"/>
      <c r="P84" s="232" t="n"/>
      <c r="Q84" s="232" t="n"/>
      <c r="R84" s="232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</row>
    <row r="85">
      <c r="B85" s="2" t="n"/>
      <c r="C85" s="105" t="n"/>
      <c r="D85" s="105" t="n"/>
      <c r="E85" s="105" t="n"/>
      <c r="F85" s="105" t="n"/>
      <c r="G85" s="105" t="n"/>
      <c r="H85" s="2" t="n"/>
      <c r="I85" s="10" t="n"/>
      <c r="K85" s="232" t="n"/>
      <c r="L85" s="232" t="n"/>
      <c r="M85" s="232" t="n"/>
      <c r="N85" s="232" t="n"/>
      <c r="O85" s="232" t="n"/>
      <c r="P85" s="232" t="n"/>
      <c r="Q85" s="232" t="n"/>
      <c r="R85" s="232" t="n"/>
      <c r="S85" s="232" t="n"/>
      <c r="T85" s="232" t="n"/>
      <c r="U85" s="232" t="n"/>
      <c r="V85" s="2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</row>
    <row r="86">
      <c r="B86" s="2" t="n"/>
      <c r="C86" s="105" t="n"/>
      <c r="D86" s="105" t="n"/>
      <c r="E86" s="105" t="n"/>
      <c r="F86" s="105" t="n"/>
      <c r="G86" s="105" t="n"/>
      <c r="H86" s="2" t="n"/>
      <c r="I86" s="10" t="n"/>
      <c r="K86" s="232" t="n"/>
      <c r="L86" s="232" t="n"/>
      <c r="M86" s="232" t="n"/>
      <c r="N86" s="232" t="n"/>
      <c r="O86" s="232" t="n"/>
      <c r="P86" s="232" t="n"/>
      <c r="Q86" s="232" t="n"/>
      <c r="R86" s="232" t="n"/>
      <c r="S86" s="232" t="n"/>
      <c r="T86" s="232" t="n"/>
      <c r="U86" s="232" t="n"/>
      <c r="V86" s="2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</row>
    <row r="87">
      <c r="B87" s="2" t="n"/>
      <c r="C87" s="105" t="n"/>
      <c r="D87" s="105" t="n"/>
      <c r="E87" s="105" t="n"/>
      <c r="F87" s="105" t="n"/>
      <c r="G87" s="105" t="n"/>
      <c r="H87" s="2" t="n"/>
      <c r="I87" s="10" t="n"/>
      <c r="K87" s="232" t="n"/>
      <c r="L87" s="232" t="n"/>
      <c r="M87" s="232" t="n"/>
      <c r="N87" s="232" t="n"/>
      <c r="O87" s="232" t="n"/>
      <c r="P87" s="232" t="n"/>
      <c r="Q87" s="232" t="n"/>
      <c r="R87" s="232" t="n"/>
      <c r="S87" s="232" t="n"/>
      <c r="T87" s="232" t="n"/>
      <c r="U87" s="232" t="n"/>
      <c r="V87" s="2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</row>
    <row r="88">
      <c r="B88" s="2" t="n"/>
      <c r="C88" s="105" t="n"/>
      <c r="D88" s="105" t="n"/>
      <c r="E88" s="105" t="n"/>
      <c r="F88" s="105" t="n"/>
      <c r="G88" s="105" t="n"/>
      <c r="H88" s="2" t="n"/>
      <c r="I88" s="10" t="n"/>
      <c r="K88" s="232" t="n"/>
      <c r="L88" s="232" t="n"/>
      <c r="M88" s="232" t="n"/>
      <c r="N88" s="232" t="n"/>
      <c r="O88" s="232" t="n"/>
      <c r="P88" s="232" t="n"/>
      <c r="Q88" s="232" t="n"/>
      <c r="R88" s="232" t="n"/>
      <c r="S88" s="232" t="n"/>
      <c r="T88" s="232" t="n"/>
      <c r="U88" s="232" t="n"/>
      <c r="V88" s="2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</row>
    <row r="89">
      <c r="B89" s="2" t="n"/>
      <c r="C89" s="105" t="n"/>
      <c r="D89" s="105" t="n"/>
      <c r="E89" s="105" t="n"/>
      <c r="F89" s="105" t="n"/>
      <c r="G89" s="105" t="n"/>
      <c r="H89" s="2" t="n"/>
      <c r="I89" s="10" t="n"/>
      <c r="K89" s="232" t="n"/>
      <c r="L89" s="232" t="n"/>
      <c r="M89" s="232" t="n"/>
      <c r="N89" s="232" t="n"/>
      <c r="O89" s="232" t="n"/>
      <c r="P89" s="232" t="n"/>
      <c r="Q89" s="232" t="n"/>
      <c r="R89" s="232" t="n"/>
      <c r="S89" s="232" t="n"/>
      <c r="T89" s="232" t="n"/>
      <c r="U89" s="232" t="n"/>
      <c r="V89" s="2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</row>
    <row r="90">
      <c r="B90" s="2" t="n"/>
      <c r="C90" s="105" t="n"/>
      <c r="D90" s="105" t="n"/>
      <c r="E90" s="105" t="n"/>
      <c r="F90" s="105" t="n"/>
      <c r="G90" s="105" t="n"/>
      <c r="H90" s="2" t="n"/>
      <c r="I90" s="10" t="n"/>
      <c r="K90" s="232" t="n"/>
      <c r="L90" s="232" t="n"/>
      <c r="M90" s="232" t="n"/>
      <c r="N90" s="232" t="n"/>
      <c r="O90" s="232" t="n"/>
      <c r="P90" s="232" t="n"/>
      <c r="Q90" s="232" t="n"/>
      <c r="R90" s="232" t="n"/>
      <c r="S90" s="232" t="n"/>
      <c r="T90" s="232" t="n"/>
      <c r="U90" s="232" t="n"/>
      <c r="V90" s="2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</row>
    <row r="91">
      <c r="B91" s="2" t="n"/>
      <c r="C91" s="105" t="n"/>
      <c r="D91" s="105" t="n"/>
      <c r="E91" s="105" t="n"/>
      <c r="F91" s="105" t="n"/>
      <c r="G91" s="105" t="n"/>
      <c r="H91" s="2" t="n"/>
      <c r="I91" s="10" t="n"/>
      <c r="K91" s="232" t="n"/>
      <c r="L91" s="232" t="n"/>
      <c r="M91" s="232" t="n"/>
      <c r="N91" s="232" t="n"/>
      <c r="O91" s="232" t="n"/>
      <c r="P91" s="232" t="n"/>
      <c r="Q91" s="232" t="n"/>
      <c r="R91" s="232" t="n"/>
      <c r="S91" s="232" t="n"/>
      <c r="T91" s="232" t="n"/>
      <c r="U91" s="232" t="n"/>
      <c r="V91" s="2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</row>
    <row r="92">
      <c r="B92" s="2" t="n"/>
      <c r="C92" s="105" t="n"/>
      <c r="D92" s="105" t="n"/>
      <c r="E92" s="105" t="n"/>
      <c r="F92" s="105" t="n"/>
      <c r="G92" s="105" t="n"/>
      <c r="H92" s="2" t="n"/>
      <c r="I92" s="10" t="n"/>
      <c r="K92" s="232" t="n"/>
      <c r="L92" s="232" t="n"/>
      <c r="M92" s="232" t="n"/>
      <c r="N92" s="232" t="n"/>
      <c r="O92" s="232" t="n"/>
      <c r="P92" s="232" t="n"/>
      <c r="Q92" s="232" t="n"/>
      <c r="R92" s="232" t="n"/>
      <c r="S92" s="232" t="n"/>
      <c r="T92" s="232" t="n"/>
      <c r="U92" s="232" t="n"/>
      <c r="V92" s="2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</row>
    <row r="93">
      <c r="B93" s="2" t="n"/>
      <c r="C93" s="105" t="n"/>
      <c r="D93" s="105" t="n"/>
      <c r="E93" s="105" t="n"/>
      <c r="F93" s="105" t="n"/>
      <c r="G93" s="105" t="n"/>
      <c r="H93" s="2" t="n"/>
      <c r="I93" s="10" t="n"/>
      <c r="K93" s="232" t="n"/>
      <c r="L93" s="232" t="n"/>
      <c r="M93" s="232" t="n"/>
      <c r="N93" s="232" t="n"/>
      <c r="O93" s="232" t="n"/>
      <c r="P93" s="232" t="n"/>
      <c r="Q93" s="232" t="n"/>
      <c r="R93" s="232" t="n"/>
      <c r="S93" s="232" t="n"/>
      <c r="T93" s="232" t="n"/>
      <c r="U93" s="232" t="n"/>
      <c r="V93" s="2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</row>
    <row r="94">
      <c r="B94" s="2" t="n"/>
      <c r="C94" s="105" t="n"/>
      <c r="D94" s="105" t="n"/>
      <c r="E94" s="105" t="n"/>
      <c r="F94" s="105" t="n"/>
      <c r="G94" s="105" t="n"/>
      <c r="H94" s="2" t="n"/>
      <c r="I94" s="10" t="n"/>
      <c r="K94" s="232" t="n"/>
      <c r="L94" s="232" t="n"/>
      <c r="M94" s="232" t="n"/>
      <c r="N94" s="232" t="n"/>
      <c r="O94" s="232" t="n"/>
      <c r="P94" s="232" t="n"/>
      <c r="Q94" s="232" t="n"/>
      <c r="R94" s="232" t="n"/>
      <c r="S94" s="232" t="n"/>
      <c r="T94" s="232" t="n"/>
      <c r="U94" s="232" t="n"/>
      <c r="V94" s="2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</row>
    <row r="95">
      <c r="B95" s="2" t="n"/>
      <c r="C95" s="105" t="n"/>
      <c r="D95" s="105" t="n"/>
      <c r="E95" s="105" t="n"/>
      <c r="F95" s="105" t="n"/>
      <c r="G95" s="105" t="n"/>
      <c r="H95" s="2" t="n"/>
      <c r="I95" s="10" t="n"/>
      <c r="K95" s="232" t="n"/>
      <c r="L95" s="232" t="n"/>
      <c r="M95" s="232" t="n"/>
      <c r="N95" s="232" t="n"/>
      <c r="O95" s="232" t="n"/>
      <c r="P95" s="232" t="n"/>
      <c r="Q95" s="232" t="n"/>
      <c r="R95" s="232" t="n"/>
      <c r="S95" s="232" t="n"/>
      <c r="T95" s="232" t="n"/>
      <c r="U95" s="232" t="n"/>
      <c r="V95" s="2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</row>
    <row r="96">
      <c r="B96" s="2" t="n"/>
      <c r="C96" s="105" t="n"/>
      <c r="D96" s="105" t="n"/>
      <c r="E96" s="105" t="n"/>
      <c r="F96" s="105" t="n"/>
      <c r="G96" s="105" t="n"/>
      <c r="H96" s="2" t="n"/>
      <c r="I96" s="10" t="n"/>
      <c r="K96" s="232" t="n"/>
      <c r="L96" s="232" t="n"/>
      <c r="M96" s="232" t="n"/>
      <c r="N96" s="232" t="n"/>
      <c r="O96" s="232" t="n"/>
      <c r="P96" s="232" t="n"/>
      <c r="Q96" s="232" t="n"/>
      <c r="R96" s="232" t="n"/>
      <c r="S96" s="232" t="n"/>
      <c r="T96" s="232" t="n"/>
      <c r="U96" s="232" t="n"/>
      <c r="V96" s="2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</row>
    <row r="97">
      <c r="B97" s="2" t="n"/>
      <c r="C97" s="105" t="n"/>
      <c r="D97" s="105" t="n"/>
      <c r="E97" s="105" t="n"/>
      <c r="F97" s="105" t="n"/>
      <c r="G97" s="105" t="n"/>
      <c r="H97" s="2" t="n"/>
      <c r="I97" s="10" t="n"/>
      <c r="K97" s="232" t="n"/>
      <c r="L97" s="232" t="n"/>
      <c r="M97" s="232" t="n"/>
      <c r="N97" s="232" t="n"/>
      <c r="O97" s="232" t="n"/>
      <c r="P97" s="232" t="n"/>
      <c r="Q97" s="232" t="n"/>
      <c r="R97" s="232" t="n"/>
      <c r="S97" s="232" t="n"/>
      <c r="T97" s="232" t="n"/>
      <c r="U97" s="232" t="n"/>
      <c r="V97" s="2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</row>
    <row r="98">
      <c r="B98" s="2" t="n"/>
      <c r="C98" s="105" t="n"/>
      <c r="D98" s="105" t="n"/>
      <c r="E98" s="105" t="n"/>
      <c r="F98" s="105" t="n"/>
      <c r="G98" s="105" t="n"/>
      <c r="H98" s="2" t="n"/>
      <c r="I98" s="10" t="n"/>
      <c r="K98" s="232" t="n"/>
      <c r="L98" s="232" t="n"/>
      <c r="M98" s="232" t="n"/>
      <c r="N98" s="232" t="n"/>
      <c r="O98" s="232" t="n"/>
      <c r="P98" s="232" t="n"/>
      <c r="Q98" s="232" t="n"/>
      <c r="R98" s="232" t="n"/>
      <c r="S98" s="232" t="n"/>
      <c r="T98" s="232" t="n"/>
      <c r="U98" s="232" t="n"/>
      <c r="V98" s="2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</row>
    <row r="99">
      <c r="B99" s="2" t="n"/>
      <c r="C99" s="105" t="n"/>
      <c r="D99" s="105" t="n"/>
      <c r="E99" s="105" t="n"/>
      <c r="F99" s="105" t="n"/>
      <c r="G99" s="105" t="n"/>
      <c r="H99" s="2" t="n"/>
      <c r="I99" s="10" t="n"/>
      <c r="K99" s="232" t="n"/>
      <c r="L99" s="232" t="n"/>
      <c r="M99" s="232" t="n"/>
      <c r="N99" s="232" t="n"/>
      <c r="O99" s="232" t="n"/>
      <c r="P99" s="232" t="n"/>
      <c r="Q99" s="232" t="n"/>
      <c r="R99" s="232" t="n"/>
      <c r="S99" s="232" t="n"/>
      <c r="T99" s="232" t="n"/>
      <c r="U99" s="232" t="n"/>
      <c r="V99" s="2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</row>
    <row r="100">
      <c r="B100" s="2" t="n"/>
      <c r="C100" s="105" t="n"/>
      <c r="D100" s="105" t="n"/>
      <c r="E100" s="105" t="n"/>
      <c r="F100" s="105" t="n"/>
      <c r="G100" s="105" t="n"/>
      <c r="H100" s="2" t="n"/>
      <c r="I100" s="10" t="n"/>
      <c r="K100" s="232" t="n"/>
      <c r="L100" s="232" t="n"/>
      <c r="M100" s="232" t="n"/>
      <c r="N100" s="232" t="n"/>
      <c r="O100" s="232" t="n"/>
      <c r="P100" s="232" t="n"/>
      <c r="Q100" s="232" t="n"/>
      <c r="R100" s="232" t="n"/>
      <c r="S100" s="232" t="n"/>
      <c r="T100" s="232" t="n"/>
      <c r="U100" s="232" t="n"/>
      <c r="V100" s="2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</row>
    <row r="101">
      <c r="B101" s="2" t="n"/>
      <c r="C101" s="105" t="n"/>
      <c r="D101" s="105" t="n"/>
      <c r="E101" s="105" t="n"/>
      <c r="F101" s="105" t="n"/>
      <c r="G101" s="105" t="n"/>
      <c r="H101" s="2" t="n"/>
      <c r="I101" s="10" t="n"/>
      <c r="K101" s="232" t="n"/>
      <c r="L101" s="232" t="n"/>
      <c r="M101" s="232" t="n"/>
      <c r="N101" s="232" t="n"/>
      <c r="O101" s="232" t="n"/>
      <c r="P101" s="232" t="n"/>
      <c r="Q101" s="232" t="n"/>
      <c r="R101" s="232" t="n"/>
      <c r="S101" s="232" t="n"/>
      <c r="T101" s="232" t="n"/>
      <c r="U101" s="232" t="n"/>
      <c r="V101" s="2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</row>
    <row r="102">
      <c r="B102" s="2" t="n"/>
      <c r="C102" s="105" t="n"/>
      <c r="D102" s="105" t="n"/>
      <c r="E102" s="105" t="n"/>
      <c r="F102" s="105" t="n"/>
      <c r="G102" s="105" t="n"/>
      <c r="H102" s="2" t="n"/>
      <c r="I102" s="10" t="n"/>
      <c r="K102" s="232" t="n"/>
      <c r="L102" s="232" t="n"/>
      <c r="M102" s="232" t="n"/>
      <c r="N102" s="232" t="n"/>
      <c r="O102" s="232" t="n"/>
      <c r="P102" s="232" t="n"/>
      <c r="Q102" s="232" t="n"/>
      <c r="R102" s="232" t="n"/>
      <c r="S102" s="232" t="n"/>
      <c r="T102" s="232" t="n"/>
      <c r="U102" s="232" t="n"/>
      <c r="V102" s="2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</row>
    <row r="103">
      <c r="B103" s="2" t="n"/>
      <c r="C103" s="105" t="n"/>
      <c r="D103" s="105" t="n"/>
      <c r="E103" s="105" t="n"/>
      <c r="F103" s="105" t="n"/>
      <c r="G103" s="105" t="n"/>
      <c r="H103" s="2" t="n"/>
      <c r="I103" s="10" t="n"/>
      <c r="K103" s="232" t="n"/>
      <c r="L103" s="232" t="n"/>
      <c r="M103" s="232" t="n"/>
      <c r="N103" s="232" t="n"/>
      <c r="O103" s="232" t="n"/>
      <c r="P103" s="232" t="n"/>
      <c r="Q103" s="232" t="n"/>
      <c r="R103" s="232" t="n"/>
      <c r="S103" s="232" t="n"/>
      <c r="T103" s="232" t="n"/>
      <c r="U103" s="232" t="n"/>
      <c r="V103" s="2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</row>
    <row r="104">
      <c r="B104" s="2" t="n"/>
      <c r="C104" s="105" t="n"/>
      <c r="D104" s="105" t="n"/>
      <c r="E104" s="105" t="n"/>
      <c r="F104" s="105" t="n"/>
      <c r="G104" s="105" t="n"/>
      <c r="H104" s="2" t="n"/>
      <c r="I104" s="10" t="n"/>
      <c r="K104" s="232" t="n"/>
      <c r="L104" s="232" t="n"/>
      <c r="M104" s="232" t="n"/>
      <c r="N104" s="232" t="n"/>
      <c r="O104" s="232" t="n"/>
      <c r="P104" s="232" t="n"/>
      <c r="Q104" s="232" t="n"/>
      <c r="R104" s="232" t="n"/>
      <c r="S104" s="232" t="n"/>
      <c r="T104" s="232" t="n"/>
      <c r="U104" s="232" t="n"/>
      <c r="V104" s="2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</row>
    <row r="105">
      <c r="B105" s="2" t="n"/>
      <c r="C105" s="105" t="n"/>
      <c r="D105" s="105" t="n"/>
      <c r="E105" s="105" t="n"/>
      <c r="F105" s="105" t="n"/>
      <c r="G105" s="105" t="n"/>
      <c r="H105" s="2" t="n"/>
      <c r="I105" s="10" t="n"/>
      <c r="K105" s="232" t="n"/>
      <c r="L105" s="232" t="n"/>
      <c r="M105" s="232" t="n"/>
      <c r="N105" s="232" t="n"/>
      <c r="O105" s="232" t="n"/>
      <c r="P105" s="232" t="n"/>
      <c r="Q105" s="232" t="n"/>
      <c r="R105" s="232" t="n"/>
      <c r="S105" s="232" t="n"/>
      <c r="T105" s="232" t="n"/>
      <c r="U105" s="232" t="n"/>
      <c r="V105" s="2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</row>
    <row r="106">
      <c r="B106" s="2" t="n"/>
      <c r="C106" s="105" t="n"/>
      <c r="D106" s="105" t="n"/>
      <c r="E106" s="105" t="n"/>
      <c r="F106" s="105" t="n"/>
      <c r="G106" s="105" t="n"/>
      <c r="H106" s="2" t="n"/>
      <c r="I106" s="10" t="n"/>
      <c r="K106" s="232" t="n"/>
      <c r="L106" s="232" t="n"/>
      <c r="M106" s="232" t="n"/>
      <c r="N106" s="232" t="n"/>
      <c r="O106" s="232" t="n"/>
      <c r="P106" s="232" t="n"/>
      <c r="Q106" s="232" t="n"/>
      <c r="R106" s="232" t="n"/>
      <c r="S106" s="232" t="n"/>
      <c r="T106" s="232" t="n"/>
      <c r="U106" s="232" t="n"/>
      <c r="V106" s="2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</row>
    <row r="107">
      <c r="B107" s="2" t="n"/>
      <c r="C107" s="105" t="n"/>
      <c r="D107" s="105" t="n"/>
      <c r="E107" s="105" t="n"/>
      <c r="F107" s="105" t="n"/>
      <c r="G107" s="105" t="n"/>
      <c r="H107" s="2" t="n"/>
      <c r="I107" s="10" t="n"/>
      <c r="K107" s="232" t="n"/>
      <c r="L107" s="232" t="n"/>
      <c r="M107" s="232" t="n"/>
      <c r="N107" s="232" t="n"/>
      <c r="O107" s="232" t="n"/>
      <c r="P107" s="232" t="n"/>
      <c r="Q107" s="232" t="n"/>
      <c r="R107" s="232" t="n"/>
      <c r="S107" s="232" t="n"/>
      <c r="T107" s="232" t="n"/>
      <c r="U107" s="232" t="n"/>
      <c r="V107" s="2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</row>
    <row r="108">
      <c r="B108" s="2" t="n"/>
      <c r="C108" s="105" t="n"/>
      <c r="D108" s="105" t="n"/>
      <c r="E108" s="105" t="n"/>
      <c r="F108" s="105" t="n"/>
      <c r="G108" s="105" t="n"/>
      <c r="H108" s="2" t="n"/>
      <c r="I108" s="10" t="n"/>
      <c r="K108" s="232" t="n"/>
      <c r="L108" s="232" t="n"/>
      <c r="M108" s="232" t="n"/>
      <c r="N108" s="232" t="n"/>
      <c r="O108" s="232" t="n"/>
      <c r="P108" s="232" t="n"/>
      <c r="Q108" s="232" t="n"/>
      <c r="R108" s="232" t="n"/>
      <c r="S108" s="232" t="n"/>
      <c r="T108" s="232" t="n"/>
      <c r="U108" s="232" t="n"/>
      <c r="V108" s="232" t="n"/>
      <c r="W108" s="232" t="n"/>
      <c r="X108" s="232" t="n"/>
      <c r="Y108" s="232" t="n"/>
      <c r="Z108" s="232" t="n"/>
      <c r="AA108" s="232" t="n"/>
      <c r="AB108" s="232" t="n"/>
      <c r="AC108" s="232" t="n"/>
      <c r="AD108" s="232" t="n"/>
      <c r="AE108" s="232" t="n"/>
      <c r="AF108" s="232" t="n"/>
      <c r="AG108" s="232" t="n"/>
      <c r="AH108" s="232" t="n"/>
      <c r="AI108" s="232" t="n"/>
      <c r="AJ108" s="232" t="n"/>
      <c r="AK108" s="232" t="n"/>
    </row>
    <row r="109">
      <c r="B109" s="2" t="n"/>
      <c r="C109" s="105" t="n"/>
      <c r="D109" s="105" t="n"/>
      <c r="E109" s="105" t="n"/>
      <c r="F109" s="105" t="n"/>
      <c r="G109" s="105" t="n"/>
      <c r="H109" s="2" t="n"/>
      <c r="I109" s="10" t="n"/>
      <c r="K109" s="232" t="n"/>
      <c r="L109" s="232" t="n"/>
      <c r="M109" s="232" t="n"/>
      <c r="N109" s="232" t="n"/>
      <c r="O109" s="232" t="n"/>
      <c r="P109" s="232" t="n"/>
      <c r="Q109" s="232" t="n"/>
      <c r="R109" s="232" t="n"/>
      <c r="S109" s="232" t="n"/>
      <c r="T109" s="232" t="n"/>
      <c r="U109" s="232" t="n"/>
      <c r="V109" s="232" t="n"/>
      <c r="W109" s="232" t="n"/>
      <c r="X109" s="232" t="n"/>
      <c r="Y109" s="232" t="n"/>
      <c r="Z109" s="232" t="n"/>
      <c r="AA109" s="232" t="n"/>
      <c r="AB109" s="232" t="n"/>
      <c r="AC109" s="232" t="n"/>
      <c r="AD109" s="232" t="n"/>
      <c r="AE109" s="232" t="n"/>
      <c r="AF109" s="232" t="n"/>
      <c r="AG109" s="232" t="n"/>
      <c r="AH109" s="232" t="n"/>
      <c r="AI109" s="232" t="n"/>
      <c r="AJ109" s="232" t="n"/>
      <c r="AK109" s="232" t="n"/>
    </row>
    <row r="110">
      <c r="B110" s="2" t="n"/>
      <c r="C110" s="105" t="n"/>
      <c r="D110" s="105" t="n"/>
      <c r="E110" s="105" t="n"/>
      <c r="F110" s="105" t="n"/>
      <c r="G110" s="105" t="n"/>
      <c r="H110" s="2" t="n"/>
      <c r="I110" s="10" t="n"/>
      <c r="K110" s="232" t="n"/>
      <c r="L110" s="232" t="n"/>
      <c r="M110" s="232" t="n"/>
      <c r="N110" s="232" t="n"/>
      <c r="O110" s="232" t="n"/>
      <c r="P110" s="232" t="n"/>
      <c r="Q110" s="232" t="n"/>
      <c r="R110" s="232" t="n"/>
      <c r="S110" s="232" t="n"/>
      <c r="T110" s="232" t="n"/>
      <c r="U110" s="232" t="n"/>
      <c r="V110" s="232" t="n"/>
      <c r="W110" s="232" t="n"/>
      <c r="X110" s="232" t="n"/>
      <c r="Y110" s="232" t="n"/>
      <c r="Z110" s="232" t="n"/>
      <c r="AA110" s="232" t="n"/>
      <c r="AB110" s="232" t="n"/>
      <c r="AC110" s="232" t="n"/>
      <c r="AD110" s="232" t="n"/>
      <c r="AE110" s="232" t="n"/>
      <c r="AF110" s="232" t="n"/>
      <c r="AG110" s="232" t="n"/>
      <c r="AH110" s="232" t="n"/>
      <c r="AI110" s="232" t="n"/>
      <c r="AJ110" s="232" t="n"/>
      <c r="AK110" s="232" t="n"/>
    </row>
    <row r="111">
      <c r="B111" s="2" t="n"/>
      <c r="C111" s="105" t="n"/>
      <c r="D111" s="105" t="n"/>
      <c r="E111" s="105" t="n"/>
      <c r="F111" s="105" t="n"/>
      <c r="G111" s="105" t="n"/>
      <c r="H111" s="2" t="n"/>
      <c r="I111" s="10" t="n"/>
      <c r="K111" s="232" t="n"/>
      <c r="L111" s="232" t="n"/>
      <c r="M111" s="232" t="n"/>
      <c r="N111" s="232" t="n"/>
      <c r="O111" s="232" t="n"/>
      <c r="P111" s="232" t="n"/>
      <c r="Q111" s="232" t="n"/>
      <c r="R111" s="232" t="n"/>
      <c r="S111" s="232" t="n"/>
      <c r="T111" s="232" t="n"/>
      <c r="U111" s="232" t="n"/>
      <c r="V111" s="232" t="n"/>
      <c r="W111" s="232" t="n"/>
      <c r="X111" s="232" t="n"/>
      <c r="Y111" s="232" t="n"/>
      <c r="Z111" s="232" t="n"/>
      <c r="AA111" s="232" t="n"/>
      <c r="AB111" s="232" t="n"/>
      <c r="AC111" s="232" t="n"/>
      <c r="AD111" s="232" t="n"/>
      <c r="AE111" s="232" t="n"/>
      <c r="AF111" s="232" t="n"/>
      <c r="AG111" s="232" t="n"/>
      <c r="AH111" s="232" t="n"/>
      <c r="AI111" s="232" t="n"/>
      <c r="AJ111" s="232" t="n"/>
      <c r="AK111" s="232" t="n"/>
    </row>
    <row r="112">
      <c r="B112" s="2" t="n"/>
      <c r="C112" s="105" t="n"/>
      <c r="D112" s="105" t="n"/>
      <c r="E112" s="105" t="n"/>
      <c r="F112" s="105" t="n"/>
      <c r="G112" s="105" t="n"/>
      <c r="H112" s="2" t="n"/>
      <c r="I112" s="10" t="n"/>
      <c r="K112" s="232" t="n"/>
      <c r="L112" s="232" t="n"/>
      <c r="M112" s="232" t="n"/>
      <c r="N112" s="232" t="n"/>
      <c r="O112" s="232" t="n"/>
      <c r="P112" s="232" t="n"/>
      <c r="Q112" s="232" t="n"/>
      <c r="R112" s="232" t="n"/>
      <c r="S112" s="232" t="n"/>
      <c r="T112" s="232" t="n"/>
      <c r="U112" s="232" t="n"/>
      <c r="V112" s="232" t="n"/>
      <c r="W112" s="232" t="n"/>
      <c r="X112" s="232" t="n"/>
      <c r="Y112" s="232" t="n"/>
      <c r="Z112" s="232" t="n"/>
      <c r="AA112" s="232" t="n"/>
      <c r="AB112" s="232" t="n"/>
      <c r="AC112" s="232" t="n"/>
      <c r="AD112" s="232" t="n"/>
      <c r="AE112" s="232" t="n"/>
      <c r="AF112" s="232" t="n"/>
      <c r="AG112" s="232" t="n"/>
      <c r="AH112" s="232" t="n"/>
      <c r="AI112" s="232" t="n"/>
      <c r="AJ112" s="232" t="n"/>
      <c r="AK112" s="232" t="n"/>
    </row>
    <row r="113">
      <c r="B113" s="2" t="n"/>
      <c r="C113" s="105" t="n"/>
      <c r="D113" s="105" t="n"/>
      <c r="E113" s="105" t="n"/>
      <c r="F113" s="105" t="n"/>
      <c r="G113" s="105" t="n"/>
      <c r="H113" s="2" t="n"/>
      <c r="I113" s="10" t="n"/>
      <c r="K113" s="232" t="n"/>
      <c r="L113" s="232" t="n"/>
      <c r="M113" s="232" t="n"/>
      <c r="N113" s="232" t="n"/>
      <c r="O113" s="232" t="n"/>
      <c r="P113" s="232" t="n"/>
      <c r="Q113" s="232" t="n"/>
      <c r="R113" s="232" t="n"/>
      <c r="S113" s="232" t="n"/>
      <c r="T113" s="232" t="n"/>
      <c r="U113" s="232" t="n"/>
      <c r="V113" s="232" t="n"/>
      <c r="W113" s="232" t="n"/>
      <c r="X113" s="232" t="n"/>
      <c r="Y113" s="232" t="n"/>
      <c r="Z113" s="232" t="n"/>
      <c r="AA113" s="232" t="n"/>
      <c r="AB113" s="232" t="n"/>
      <c r="AC113" s="232" t="n"/>
      <c r="AD113" s="232" t="n"/>
      <c r="AE113" s="232" t="n"/>
      <c r="AF113" s="232" t="n"/>
      <c r="AG113" s="232" t="n"/>
      <c r="AH113" s="232" t="n"/>
      <c r="AI113" s="232" t="n"/>
      <c r="AJ113" s="232" t="n"/>
      <c r="AK113" s="232" t="n"/>
    </row>
    <row r="114">
      <c r="B114" s="2" t="n"/>
      <c r="C114" s="105" t="n"/>
      <c r="D114" s="105" t="n"/>
      <c r="E114" s="105" t="n"/>
      <c r="F114" s="105" t="n"/>
      <c r="G114" s="105" t="n"/>
      <c r="H114" s="2" t="n"/>
      <c r="I114" s="10" t="n"/>
      <c r="K114" s="232" t="n"/>
      <c r="L114" s="232" t="n"/>
      <c r="M114" s="232" t="n"/>
      <c r="N114" s="232" t="n"/>
      <c r="O114" s="232" t="n"/>
      <c r="P114" s="232" t="n"/>
      <c r="Q114" s="232" t="n"/>
      <c r="R114" s="232" t="n"/>
      <c r="S114" s="232" t="n"/>
      <c r="T114" s="232" t="n"/>
      <c r="U114" s="232" t="n"/>
      <c r="V114" s="232" t="n"/>
      <c r="W114" s="232" t="n"/>
      <c r="X114" s="232" t="n"/>
      <c r="Y114" s="232" t="n"/>
      <c r="Z114" s="232" t="n"/>
      <c r="AA114" s="232" t="n"/>
      <c r="AB114" s="232" t="n"/>
      <c r="AC114" s="232" t="n"/>
      <c r="AD114" s="232" t="n"/>
      <c r="AE114" s="232" t="n"/>
      <c r="AF114" s="232" t="n"/>
      <c r="AG114" s="232" t="n"/>
      <c r="AH114" s="232" t="n"/>
      <c r="AI114" s="232" t="n"/>
      <c r="AJ114" s="232" t="n"/>
      <c r="AK114" s="232" t="n"/>
    </row>
    <row r="115">
      <c r="B115" s="2" t="n"/>
      <c r="C115" s="105" t="n"/>
      <c r="D115" s="105" t="n"/>
      <c r="E115" s="105" t="n"/>
      <c r="F115" s="105" t="n"/>
      <c r="G115" s="105" t="n"/>
      <c r="H115" s="2" t="n"/>
      <c r="I115" s="10" t="n"/>
      <c r="K115" s="232" t="n"/>
      <c r="L115" s="232" t="n"/>
      <c r="M115" s="232" t="n"/>
      <c r="N115" s="232" t="n"/>
      <c r="O115" s="232" t="n"/>
      <c r="P115" s="232" t="n"/>
      <c r="Q115" s="232" t="n"/>
      <c r="R115" s="232" t="n"/>
      <c r="S115" s="232" t="n"/>
      <c r="T115" s="232" t="n"/>
      <c r="U115" s="232" t="n"/>
      <c r="V115" s="232" t="n"/>
      <c r="W115" s="232" t="n"/>
      <c r="X115" s="232" t="n"/>
      <c r="Y115" s="232" t="n"/>
      <c r="Z115" s="232" t="n"/>
      <c r="AA115" s="232" t="n"/>
      <c r="AB115" s="232" t="n"/>
      <c r="AC115" s="232" t="n"/>
      <c r="AD115" s="232" t="n"/>
      <c r="AE115" s="232" t="n"/>
      <c r="AF115" s="232" t="n"/>
      <c r="AG115" s="232" t="n"/>
      <c r="AH115" s="232" t="n"/>
      <c r="AI115" s="232" t="n"/>
      <c r="AJ115" s="232" t="n"/>
      <c r="AK115" s="232" t="n"/>
    </row>
    <row r="116">
      <c r="B116" s="2" t="n"/>
      <c r="C116" s="105" t="n"/>
      <c r="D116" s="105" t="n"/>
      <c r="E116" s="105" t="n"/>
      <c r="F116" s="105" t="n"/>
      <c r="G116" s="105" t="n"/>
      <c r="H116" s="2" t="n"/>
      <c r="I116" s="10" t="n"/>
      <c r="K116" s="232" t="n"/>
      <c r="L116" s="232" t="n"/>
      <c r="M116" s="232" t="n"/>
      <c r="N116" s="232" t="n"/>
      <c r="O116" s="232" t="n"/>
      <c r="P116" s="232" t="n"/>
      <c r="Q116" s="232" t="n"/>
      <c r="R116" s="232" t="n"/>
      <c r="S116" s="232" t="n"/>
      <c r="T116" s="232" t="n"/>
      <c r="U116" s="232" t="n"/>
      <c r="V116" s="232" t="n"/>
      <c r="W116" s="232" t="n"/>
      <c r="X116" s="232" t="n"/>
      <c r="Y116" s="232" t="n"/>
      <c r="Z116" s="232" t="n"/>
      <c r="AA116" s="232" t="n"/>
      <c r="AB116" s="232" t="n"/>
      <c r="AC116" s="232" t="n"/>
      <c r="AD116" s="232" t="n"/>
      <c r="AE116" s="232" t="n"/>
      <c r="AF116" s="232" t="n"/>
      <c r="AG116" s="232" t="n"/>
      <c r="AH116" s="232" t="n"/>
      <c r="AI116" s="232" t="n"/>
      <c r="AJ116" s="232" t="n"/>
      <c r="AK116" s="232" t="n"/>
    </row>
    <row r="117">
      <c r="B117" s="2" t="n"/>
      <c r="C117" s="105" t="n"/>
      <c r="D117" s="105" t="n"/>
      <c r="E117" s="105" t="n"/>
      <c r="F117" s="105" t="n"/>
      <c r="G117" s="105" t="n"/>
      <c r="H117" s="2" t="n"/>
      <c r="I117" s="10" t="n"/>
      <c r="K117" s="232" t="n"/>
      <c r="L117" s="232" t="n"/>
      <c r="M117" s="232" t="n"/>
      <c r="N117" s="232" t="n"/>
      <c r="O117" s="232" t="n"/>
      <c r="P117" s="232" t="n"/>
      <c r="Q117" s="232" t="n"/>
      <c r="R117" s="232" t="n"/>
      <c r="S117" s="232" t="n"/>
      <c r="T117" s="232" t="n"/>
      <c r="U117" s="232" t="n"/>
      <c r="V117" s="232" t="n"/>
      <c r="W117" s="232" t="n"/>
      <c r="X117" s="232" t="n"/>
      <c r="Y117" s="232" t="n"/>
      <c r="Z117" s="232" t="n"/>
      <c r="AA117" s="232" t="n"/>
      <c r="AB117" s="232" t="n"/>
      <c r="AC117" s="232" t="n"/>
      <c r="AD117" s="232" t="n"/>
      <c r="AE117" s="232" t="n"/>
      <c r="AF117" s="232" t="n"/>
      <c r="AG117" s="232" t="n"/>
      <c r="AH117" s="232" t="n"/>
      <c r="AI117" s="232" t="n"/>
      <c r="AJ117" s="232" t="n"/>
      <c r="AK117" s="232" t="n"/>
    </row>
    <row r="118">
      <c r="B118" s="2" t="n"/>
      <c r="C118" s="105" t="n"/>
      <c r="D118" s="105" t="n"/>
      <c r="E118" s="105" t="n"/>
      <c r="F118" s="105" t="n"/>
      <c r="G118" s="105" t="n"/>
      <c r="H118" s="2" t="n"/>
      <c r="I118" s="10" t="n"/>
      <c r="K118" s="232" t="n"/>
      <c r="L118" s="232" t="n"/>
      <c r="M118" s="232" t="n"/>
      <c r="N118" s="232" t="n"/>
      <c r="O118" s="232" t="n"/>
      <c r="P118" s="232" t="n"/>
      <c r="Q118" s="232" t="n"/>
      <c r="R118" s="232" t="n"/>
      <c r="S118" s="232" t="n"/>
      <c r="T118" s="232" t="n"/>
      <c r="U118" s="232" t="n"/>
      <c r="V118" s="232" t="n"/>
      <c r="W118" s="232" t="n"/>
      <c r="X118" s="232" t="n"/>
      <c r="Y118" s="232" t="n"/>
      <c r="Z118" s="232" t="n"/>
      <c r="AA118" s="232" t="n"/>
      <c r="AB118" s="232" t="n"/>
      <c r="AC118" s="232" t="n"/>
      <c r="AD118" s="232" t="n"/>
      <c r="AE118" s="232" t="n"/>
      <c r="AF118" s="232" t="n"/>
      <c r="AG118" s="232" t="n"/>
      <c r="AH118" s="232" t="n"/>
      <c r="AI118" s="232" t="n"/>
      <c r="AJ118" s="232" t="n"/>
      <c r="AK118" s="232" t="n"/>
    </row>
    <row r="119">
      <c r="B119" s="2" t="n"/>
      <c r="C119" s="105" t="n"/>
      <c r="D119" s="105" t="n"/>
      <c r="E119" s="105" t="n"/>
      <c r="F119" s="105" t="n"/>
      <c r="G119" s="105" t="n"/>
      <c r="H119" s="2" t="n"/>
      <c r="I119" s="10" t="n"/>
      <c r="K119" s="232" t="n"/>
      <c r="L119" s="232" t="n"/>
      <c r="M119" s="232" t="n"/>
      <c r="N119" s="232" t="n"/>
      <c r="O119" s="232" t="n"/>
      <c r="P119" s="232" t="n"/>
      <c r="Q119" s="232" t="n"/>
      <c r="R119" s="232" t="n"/>
      <c r="S119" s="232" t="n"/>
      <c r="T119" s="232" t="n"/>
      <c r="U119" s="232" t="n"/>
      <c r="V119" s="232" t="n"/>
      <c r="W119" s="232" t="n"/>
      <c r="X119" s="232" t="n"/>
      <c r="Y119" s="232" t="n"/>
      <c r="Z119" s="232" t="n"/>
      <c r="AA119" s="232" t="n"/>
      <c r="AB119" s="232" t="n"/>
      <c r="AC119" s="232" t="n"/>
      <c r="AD119" s="232" t="n"/>
      <c r="AE119" s="232" t="n"/>
      <c r="AF119" s="232" t="n"/>
      <c r="AG119" s="232" t="n"/>
      <c r="AH119" s="232" t="n"/>
      <c r="AI119" s="232" t="n"/>
      <c r="AJ119" s="232" t="n"/>
      <c r="AK119" s="232" t="n"/>
    </row>
    <row r="120">
      <c r="B120" s="2" t="n"/>
      <c r="C120" s="105" t="n"/>
      <c r="D120" s="105" t="n"/>
      <c r="E120" s="105" t="n"/>
      <c r="F120" s="105" t="n"/>
      <c r="G120" s="105" t="n"/>
      <c r="H120" s="2" t="n"/>
      <c r="I120" s="10" t="n"/>
      <c r="K120" s="232" t="n"/>
      <c r="L120" s="232" t="n"/>
      <c r="M120" s="232" t="n"/>
      <c r="N120" s="232" t="n"/>
      <c r="O120" s="232" t="n"/>
      <c r="P120" s="232" t="n"/>
      <c r="Q120" s="232" t="n"/>
      <c r="R120" s="232" t="n"/>
      <c r="S120" s="232" t="n"/>
      <c r="T120" s="232" t="n"/>
      <c r="U120" s="232" t="n"/>
      <c r="V120" s="232" t="n"/>
      <c r="W120" s="232" t="n"/>
      <c r="X120" s="232" t="n"/>
      <c r="Y120" s="232" t="n"/>
      <c r="Z120" s="232" t="n"/>
      <c r="AA120" s="232" t="n"/>
      <c r="AB120" s="232" t="n"/>
      <c r="AC120" s="232" t="n"/>
      <c r="AD120" s="232" t="n"/>
      <c r="AE120" s="232" t="n"/>
      <c r="AF120" s="232" t="n"/>
      <c r="AG120" s="232" t="n"/>
      <c r="AH120" s="232" t="n"/>
      <c r="AI120" s="232" t="n"/>
      <c r="AJ120" s="232" t="n"/>
      <c r="AK120" s="232" t="n"/>
    </row>
    <row r="121">
      <c r="B121" s="2" t="n"/>
      <c r="C121" s="105" t="n"/>
      <c r="D121" s="105" t="n"/>
      <c r="E121" s="105" t="n"/>
      <c r="F121" s="105" t="n"/>
      <c r="G121" s="105" t="n"/>
      <c r="H121" s="2" t="n"/>
      <c r="I121" s="10" t="n"/>
      <c r="K121" s="232" t="n"/>
      <c r="L121" s="232" t="n"/>
      <c r="M121" s="232" t="n"/>
      <c r="N121" s="232" t="n"/>
      <c r="O121" s="232" t="n"/>
      <c r="P121" s="232" t="n"/>
      <c r="Q121" s="232" t="n"/>
      <c r="R121" s="232" t="n"/>
      <c r="S121" s="232" t="n"/>
      <c r="T121" s="232" t="n"/>
      <c r="U121" s="232" t="n"/>
      <c r="V121" s="232" t="n"/>
      <c r="W121" s="232" t="n"/>
      <c r="X121" s="232" t="n"/>
      <c r="Y121" s="232" t="n"/>
      <c r="Z121" s="232" t="n"/>
      <c r="AA121" s="232" t="n"/>
      <c r="AB121" s="232" t="n"/>
      <c r="AC121" s="232" t="n"/>
      <c r="AD121" s="232" t="n"/>
      <c r="AE121" s="232" t="n"/>
      <c r="AF121" s="232" t="n"/>
      <c r="AG121" s="232" t="n"/>
      <c r="AH121" s="232" t="n"/>
      <c r="AI121" s="232" t="n"/>
      <c r="AJ121" s="232" t="n"/>
      <c r="AK121" s="232" t="n"/>
    </row>
    <row r="122">
      <c r="B122" s="2" t="n"/>
      <c r="C122" s="105" t="n"/>
      <c r="D122" s="105" t="n"/>
      <c r="E122" s="105" t="n"/>
      <c r="F122" s="105" t="n"/>
      <c r="G122" s="105" t="n"/>
      <c r="H122" s="2" t="n"/>
      <c r="I122" s="10" t="n"/>
      <c r="K122" s="232" t="n"/>
      <c r="L122" s="232" t="n"/>
      <c r="M122" s="232" t="n"/>
      <c r="N122" s="232" t="n"/>
      <c r="O122" s="232" t="n"/>
      <c r="P122" s="232" t="n"/>
      <c r="Q122" s="232" t="n"/>
      <c r="R122" s="232" t="n"/>
      <c r="S122" s="232" t="n"/>
      <c r="T122" s="232" t="n"/>
      <c r="U122" s="232" t="n"/>
      <c r="V122" s="232" t="n"/>
      <c r="W122" s="232" t="n"/>
      <c r="X122" s="232" t="n"/>
      <c r="Y122" s="232" t="n"/>
      <c r="Z122" s="232" t="n"/>
      <c r="AA122" s="232" t="n"/>
      <c r="AB122" s="232" t="n"/>
      <c r="AC122" s="232" t="n"/>
      <c r="AD122" s="232" t="n"/>
      <c r="AE122" s="232" t="n"/>
      <c r="AF122" s="232" t="n"/>
      <c r="AG122" s="232" t="n"/>
      <c r="AH122" s="232" t="n"/>
      <c r="AI122" s="232" t="n"/>
      <c r="AJ122" s="232" t="n"/>
      <c r="AK122" s="232" t="n"/>
    </row>
    <row r="123">
      <c r="B123" s="2" t="n"/>
      <c r="C123" s="105" t="n"/>
      <c r="D123" s="105" t="n"/>
      <c r="E123" s="105" t="n"/>
      <c r="F123" s="105" t="n"/>
      <c r="G123" s="105" t="n"/>
      <c r="H123" s="2" t="n"/>
      <c r="I123" s="10" t="n"/>
      <c r="K123" s="232" t="n"/>
      <c r="L123" s="232" t="n"/>
      <c r="M123" s="232" t="n"/>
      <c r="N123" s="232" t="n"/>
      <c r="O123" s="232" t="n"/>
      <c r="P123" s="232" t="n"/>
      <c r="Q123" s="232" t="n"/>
      <c r="R123" s="232" t="n"/>
      <c r="S123" s="232" t="n"/>
      <c r="T123" s="232" t="n"/>
      <c r="U123" s="232" t="n"/>
      <c r="V123" s="232" t="n"/>
      <c r="W123" s="232" t="n"/>
      <c r="X123" s="232" t="n"/>
      <c r="Y123" s="232" t="n"/>
      <c r="Z123" s="232" t="n"/>
      <c r="AA123" s="232" t="n"/>
      <c r="AB123" s="232" t="n"/>
      <c r="AC123" s="232" t="n"/>
      <c r="AD123" s="232" t="n"/>
      <c r="AE123" s="232" t="n"/>
      <c r="AF123" s="232" t="n"/>
      <c r="AG123" s="232" t="n"/>
      <c r="AH123" s="232" t="n"/>
      <c r="AI123" s="232" t="n"/>
      <c r="AJ123" s="232" t="n"/>
      <c r="AK123" s="232" t="n"/>
    </row>
    <row r="124">
      <c r="B124" s="2" t="n"/>
      <c r="C124" s="105" t="n"/>
      <c r="D124" s="105" t="n"/>
      <c r="E124" s="105" t="n"/>
      <c r="F124" s="105" t="n"/>
      <c r="G124" s="105" t="n"/>
      <c r="H124" s="2" t="n"/>
      <c r="I124" s="10" t="n"/>
      <c r="K124" s="232" t="n"/>
      <c r="L124" s="232" t="n"/>
      <c r="M124" s="232" t="n"/>
      <c r="N124" s="232" t="n"/>
      <c r="O124" s="232" t="n"/>
      <c r="P124" s="232" t="n"/>
      <c r="Q124" s="232" t="n"/>
      <c r="R124" s="232" t="n"/>
      <c r="S124" s="232" t="n"/>
      <c r="T124" s="232" t="n"/>
      <c r="U124" s="232" t="n"/>
      <c r="V124" s="232" t="n"/>
      <c r="W124" s="232" t="n"/>
      <c r="X124" s="232" t="n"/>
      <c r="Y124" s="232" t="n"/>
      <c r="Z124" s="232" t="n"/>
      <c r="AA124" s="232" t="n"/>
      <c r="AB124" s="232" t="n"/>
      <c r="AC124" s="232" t="n"/>
      <c r="AD124" s="232" t="n"/>
      <c r="AE124" s="232" t="n"/>
      <c r="AF124" s="232" t="n"/>
      <c r="AG124" s="232" t="n"/>
      <c r="AH124" s="232" t="n"/>
      <c r="AI124" s="232" t="n"/>
      <c r="AJ124" s="232" t="n"/>
      <c r="AK124" s="232" t="n"/>
    </row>
    <row r="125">
      <c r="B125" s="2" t="n"/>
      <c r="C125" s="105" t="n"/>
      <c r="D125" s="105" t="n"/>
      <c r="E125" s="105" t="n"/>
      <c r="F125" s="105" t="n"/>
      <c r="G125" s="105" t="n"/>
      <c r="H125" s="2" t="n"/>
      <c r="I125" s="10" t="n"/>
      <c r="K125" s="232" t="n"/>
      <c r="L125" s="232" t="n"/>
      <c r="M125" s="232" t="n"/>
      <c r="N125" s="232" t="n"/>
      <c r="O125" s="232" t="n"/>
      <c r="P125" s="232" t="n"/>
      <c r="Q125" s="232" t="n"/>
      <c r="R125" s="232" t="n"/>
      <c r="S125" s="232" t="n"/>
      <c r="T125" s="232" t="n"/>
      <c r="U125" s="232" t="n"/>
      <c r="V125" s="232" t="n"/>
      <c r="W125" s="232" t="n"/>
      <c r="X125" s="232" t="n"/>
      <c r="Y125" s="232" t="n"/>
      <c r="Z125" s="232" t="n"/>
      <c r="AA125" s="232" t="n"/>
      <c r="AB125" s="232" t="n"/>
      <c r="AC125" s="232" t="n"/>
      <c r="AD125" s="232" t="n"/>
      <c r="AE125" s="232" t="n"/>
      <c r="AF125" s="232" t="n"/>
      <c r="AG125" s="232" t="n"/>
      <c r="AH125" s="232" t="n"/>
      <c r="AI125" s="232" t="n"/>
      <c r="AJ125" s="232" t="n"/>
      <c r="AK125" s="232" t="n"/>
    </row>
    <row r="126">
      <c r="B126" s="2" t="n"/>
      <c r="C126" s="105" t="n"/>
      <c r="D126" s="105" t="n"/>
      <c r="E126" s="105" t="n"/>
      <c r="F126" s="105" t="n"/>
      <c r="G126" s="105" t="n"/>
      <c r="H126" s="2" t="n"/>
      <c r="I126" s="10" t="n"/>
      <c r="K126" s="232" t="n"/>
      <c r="L126" s="232" t="n"/>
      <c r="M126" s="232" t="n"/>
      <c r="N126" s="232" t="n"/>
      <c r="O126" s="232" t="n"/>
      <c r="P126" s="232" t="n"/>
      <c r="Q126" s="232" t="n"/>
      <c r="R126" s="232" t="n"/>
      <c r="S126" s="232" t="n"/>
      <c r="T126" s="232" t="n"/>
      <c r="U126" s="232" t="n"/>
      <c r="V126" s="232" t="n"/>
      <c r="W126" s="232" t="n"/>
      <c r="X126" s="232" t="n"/>
      <c r="Y126" s="232" t="n"/>
      <c r="Z126" s="232" t="n"/>
      <c r="AA126" s="232" t="n"/>
      <c r="AB126" s="232" t="n"/>
      <c r="AC126" s="232" t="n"/>
      <c r="AD126" s="232" t="n"/>
      <c r="AE126" s="232" t="n"/>
      <c r="AF126" s="232" t="n"/>
      <c r="AG126" s="232" t="n"/>
      <c r="AH126" s="232" t="n"/>
      <c r="AI126" s="232" t="n"/>
      <c r="AJ126" s="232" t="n"/>
      <c r="AK126" s="232" t="n"/>
    </row>
    <row r="127">
      <c r="B127" s="2" t="n"/>
      <c r="C127" s="105" t="n"/>
      <c r="D127" s="105" t="n"/>
      <c r="E127" s="105" t="n"/>
      <c r="F127" s="105" t="n"/>
      <c r="G127" s="105" t="n"/>
      <c r="H127" s="2" t="n"/>
      <c r="I127" s="10" t="n"/>
      <c r="K127" s="232" t="n"/>
      <c r="L127" s="232" t="n"/>
      <c r="M127" s="232" t="n"/>
      <c r="N127" s="232" t="n"/>
      <c r="O127" s="232" t="n"/>
      <c r="P127" s="232" t="n"/>
      <c r="Q127" s="232" t="n"/>
      <c r="R127" s="232" t="n"/>
      <c r="S127" s="232" t="n"/>
      <c r="T127" s="232" t="n"/>
      <c r="U127" s="232" t="n"/>
      <c r="V127" s="232" t="n"/>
      <c r="W127" s="232" t="n"/>
      <c r="X127" s="232" t="n"/>
      <c r="Y127" s="232" t="n"/>
      <c r="Z127" s="232" t="n"/>
      <c r="AA127" s="232" t="n"/>
      <c r="AB127" s="232" t="n"/>
      <c r="AC127" s="232" t="n"/>
      <c r="AD127" s="232" t="n"/>
      <c r="AE127" s="232" t="n"/>
      <c r="AF127" s="232" t="n"/>
      <c r="AG127" s="232" t="n"/>
      <c r="AH127" s="232" t="n"/>
      <c r="AI127" s="232" t="n"/>
      <c r="AJ127" s="232" t="n"/>
      <c r="AK127" s="232" t="n"/>
    </row>
    <row r="128">
      <c r="B128" s="2" t="n"/>
      <c r="C128" s="105" t="n"/>
      <c r="D128" s="105" t="n"/>
      <c r="E128" s="105" t="n"/>
      <c r="F128" s="105" t="n"/>
      <c r="G128" s="105" t="n"/>
      <c r="H128" s="2" t="n"/>
      <c r="I128" s="10" t="n"/>
      <c r="K128" s="232" t="n"/>
      <c r="L128" s="232" t="n"/>
      <c r="M128" s="232" t="n"/>
      <c r="N128" s="232" t="n"/>
      <c r="O128" s="232" t="n"/>
      <c r="P128" s="232" t="n"/>
      <c r="Q128" s="232" t="n"/>
      <c r="R128" s="232" t="n"/>
      <c r="S128" s="232" t="n"/>
      <c r="T128" s="232" t="n"/>
      <c r="U128" s="232" t="n"/>
      <c r="V128" s="232" t="n"/>
      <c r="W128" s="232" t="n"/>
      <c r="X128" s="232" t="n"/>
      <c r="Y128" s="232" t="n"/>
      <c r="Z128" s="232" t="n"/>
      <c r="AA128" s="232" t="n"/>
      <c r="AB128" s="232" t="n"/>
      <c r="AC128" s="232" t="n"/>
      <c r="AD128" s="232" t="n"/>
      <c r="AE128" s="232" t="n"/>
      <c r="AF128" s="232" t="n"/>
      <c r="AG128" s="232" t="n"/>
      <c r="AH128" s="232" t="n"/>
      <c r="AI128" s="232" t="n"/>
      <c r="AJ128" s="232" t="n"/>
      <c r="AK128" s="232" t="n"/>
    </row>
    <row r="129">
      <c r="B129" s="2" t="n"/>
      <c r="C129" s="105" t="n"/>
      <c r="D129" s="105" t="n"/>
      <c r="E129" s="105" t="n"/>
      <c r="F129" s="105" t="n"/>
      <c r="G129" s="105" t="n"/>
      <c r="H129" s="2" t="n"/>
      <c r="I129" s="10" t="n"/>
      <c r="K129" s="232" t="n"/>
      <c r="L129" s="232" t="n"/>
      <c r="M129" s="232" t="n"/>
      <c r="N129" s="232" t="n"/>
      <c r="O129" s="232" t="n"/>
      <c r="P129" s="232" t="n"/>
      <c r="Q129" s="232" t="n"/>
      <c r="R129" s="232" t="n"/>
      <c r="S129" s="232" t="n"/>
      <c r="T129" s="232" t="n"/>
      <c r="U129" s="232" t="n"/>
      <c r="V129" s="232" t="n"/>
      <c r="W129" s="232" t="n"/>
      <c r="X129" s="232" t="n"/>
      <c r="Y129" s="232" t="n"/>
      <c r="Z129" s="232" t="n"/>
      <c r="AA129" s="232" t="n"/>
      <c r="AB129" s="232" t="n"/>
      <c r="AC129" s="232" t="n"/>
      <c r="AD129" s="232" t="n"/>
      <c r="AE129" s="232" t="n"/>
      <c r="AF129" s="232" t="n"/>
      <c r="AG129" s="232" t="n"/>
      <c r="AH129" s="232" t="n"/>
      <c r="AI129" s="232" t="n"/>
      <c r="AJ129" s="232" t="n"/>
      <c r="AK129" s="232" t="n"/>
    </row>
    <row r="130">
      <c r="B130" s="2" t="n"/>
      <c r="C130" s="105" t="n"/>
      <c r="D130" s="105" t="n"/>
      <c r="E130" s="105" t="n"/>
      <c r="F130" s="105" t="n"/>
      <c r="G130" s="105" t="n"/>
      <c r="H130" s="2" t="n"/>
      <c r="I130" s="10" t="n"/>
      <c r="K130" s="232" t="n"/>
      <c r="L130" s="232" t="n"/>
      <c r="M130" s="232" t="n"/>
      <c r="N130" s="232" t="n"/>
      <c r="O130" s="232" t="n"/>
      <c r="P130" s="232" t="n"/>
      <c r="Q130" s="232" t="n"/>
      <c r="R130" s="232" t="n"/>
      <c r="S130" s="232" t="n"/>
      <c r="T130" s="232" t="n"/>
      <c r="U130" s="232" t="n"/>
      <c r="V130" s="232" t="n"/>
      <c r="W130" s="232" t="n"/>
      <c r="X130" s="232" t="n"/>
      <c r="Y130" s="232" t="n"/>
      <c r="Z130" s="232" t="n"/>
      <c r="AA130" s="232" t="n"/>
      <c r="AB130" s="232" t="n"/>
      <c r="AC130" s="232" t="n"/>
      <c r="AD130" s="232" t="n"/>
      <c r="AE130" s="232" t="n"/>
      <c r="AF130" s="232" t="n"/>
      <c r="AG130" s="232" t="n"/>
      <c r="AH130" s="232" t="n"/>
      <c r="AI130" s="232" t="n"/>
      <c r="AJ130" s="232" t="n"/>
      <c r="AK130" s="232" t="n"/>
    </row>
    <row r="131">
      <c r="B131" s="2" t="n"/>
      <c r="C131" s="105" t="n"/>
      <c r="D131" s="105" t="n"/>
      <c r="E131" s="105" t="n"/>
      <c r="F131" s="105" t="n"/>
      <c r="G131" s="105" t="n"/>
      <c r="H131" s="2" t="n"/>
      <c r="I131" s="10" t="n"/>
      <c r="K131" s="232" t="n"/>
      <c r="L131" s="232" t="n"/>
      <c r="M131" s="232" t="n"/>
      <c r="N131" s="232" t="n"/>
      <c r="O131" s="232" t="n"/>
      <c r="P131" s="232" t="n"/>
      <c r="Q131" s="232" t="n"/>
      <c r="R131" s="232" t="n"/>
      <c r="S131" s="232" t="n"/>
      <c r="T131" s="232" t="n"/>
      <c r="U131" s="232" t="n"/>
      <c r="V131" s="232" t="n"/>
      <c r="W131" s="232" t="n"/>
      <c r="X131" s="232" t="n"/>
      <c r="Y131" s="232" t="n"/>
      <c r="Z131" s="232" t="n"/>
      <c r="AA131" s="232" t="n"/>
      <c r="AB131" s="232" t="n"/>
      <c r="AC131" s="232" t="n"/>
      <c r="AD131" s="232" t="n"/>
      <c r="AE131" s="232" t="n"/>
      <c r="AF131" s="232" t="n"/>
      <c r="AG131" s="232" t="n"/>
      <c r="AH131" s="232" t="n"/>
      <c r="AI131" s="232" t="n"/>
      <c r="AJ131" s="232" t="n"/>
      <c r="AK131" s="232" t="n"/>
    </row>
    <row r="132">
      <c r="B132" s="2" t="n"/>
      <c r="C132" s="105" t="n"/>
      <c r="D132" s="105" t="n"/>
      <c r="E132" s="105" t="n"/>
      <c r="F132" s="105" t="n"/>
      <c r="G132" s="105" t="n"/>
      <c r="H132" s="2" t="n"/>
      <c r="I132" s="10" t="n"/>
      <c r="K132" s="232" t="n"/>
      <c r="L132" s="232" t="n"/>
      <c r="M132" s="232" t="n"/>
      <c r="N132" s="232" t="n"/>
      <c r="O132" s="232" t="n"/>
      <c r="P132" s="232" t="n"/>
      <c r="Q132" s="232" t="n"/>
      <c r="R132" s="232" t="n"/>
      <c r="S132" s="232" t="n"/>
      <c r="T132" s="232" t="n"/>
      <c r="U132" s="232" t="n"/>
      <c r="V132" s="232" t="n"/>
      <c r="W132" s="232" t="n"/>
      <c r="X132" s="232" t="n"/>
      <c r="Y132" s="232" t="n"/>
      <c r="Z132" s="232" t="n"/>
      <c r="AA132" s="232" t="n"/>
      <c r="AB132" s="232" t="n"/>
      <c r="AC132" s="232" t="n"/>
      <c r="AD132" s="232" t="n"/>
      <c r="AE132" s="232" t="n"/>
      <c r="AF132" s="232" t="n"/>
      <c r="AG132" s="232" t="n"/>
      <c r="AH132" s="232" t="n"/>
      <c r="AI132" s="232" t="n"/>
      <c r="AJ132" s="232" t="n"/>
      <c r="AK132" s="232" t="n"/>
    </row>
    <row r="133">
      <c r="B133" s="2" t="n"/>
      <c r="C133" s="105" t="n"/>
      <c r="D133" s="105" t="n"/>
      <c r="E133" s="105" t="n"/>
      <c r="F133" s="105" t="n"/>
      <c r="G133" s="105" t="n"/>
      <c r="H133" s="2" t="n"/>
      <c r="I133" s="10" t="n"/>
      <c r="K133" s="232" t="n"/>
      <c r="L133" s="232" t="n"/>
      <c r="M133" s="232" t="n"/>
      <c r="N133" s="232" t="n"/>
      <c r="O133" s="232" t="n"/>
      <c r="P133" s="232" t="n"/>
      <c r="Q133" s="232" t="n"/>
      <c r="R133" s="232" t="n"/>
      <c r="S133" s="232" t="n"/>
      <c r="T133" s="232" t="n"/>
      <c r="U133" s="232" t="n"/>
      <c r="V133" s="232" t="n"/>
      <c r="W133" s="232" t="n"/>
      <c r="X133" s="232" t="n"/>
      <c r="Y133" s="232" t="n"/>
      <c r="Z133" s="232" t="n"/>
      <c r="AA133" s="232" t="n"/>
      <c r="AB133" s="232" t="n"/>
      <c r="AC133" s="232" t="n"/>
      <c r="AD133" s="232" t="n"/>
      <c r="AE133" s="232" t="n"/>
      <c r="AF133" s="232" t="n"/>
      <c r="AG133" s="232" t="n"/>
      <c r="AH133" s="232" t="n"/>
      <c r="AI133" s="232" t="n"/>
      <c r="AJ133" s="232" t="n"/>
      <c r="AK133" s="232" t="n"/>
    </row>
    <row r="134">
      <c r="B134" s="2" t="n"/>
      <c r="C134" s="105" t="n"/>
      <c r="D134" s="105" t="n"/>
      <c r="E134" s="105" t="n"/>
      <c r="F134" s="105" t="n"/>
      <c r="G134" s="105" t="n"/>
      <c r="H134" s="2" t="n"/>
      <c r="I134" s="10" t="n"/>
      <c r="K134" s="232" t="n"/>
      <c r="L134" s="232" t="n"/>
      <c r="M134" s="232" t="n"/>
      <c r="N134" s="232" t="n"/>
      <c r="O134" s="232" t="n"/>
      <c r="P134" s="232" t="n"/>
      <c r="Q134" s="232" t="n"/>
      <c r="R134" s="232" t="n"/>
      <c r="S134" s="232" t="n"/>
      <c r="T134" s="232" t="n"/>
      <c r="U134" s="232" t="n"/>
      <c r="V134" s="232" t="n"/>
      <c r="W134" s="232" t="n"/>
      <c r="X134" s="232" t="n"/>
      <c r="Y134" s="232" t="n"/>
      <c r="Z134" s="232" t="n"/>
      <c r="AA134" s="232" t="n"/>
      <c r="AB134" s="232" t="n"/>
      <c r="AC134" s="232" t="n"/>
      <c r="AD134" s="232" t="n"/>
      <c r="AE134" s="232" t="n"/>
      <c r="AF134" s="232" t="n"/>
      <c r="AG134" s="232" t="n"/>
      <c r="AH134" s="232" t="n"/>
      <c r="AI134" s="232" t="n"/>
      <c r="AJ134" s="232" t="n"/>
      <c r="AK134" s="232" t="n"/>
    </row>
    <row r="135">
      <c r="B135" s="2" t="n"/>
      <c r="C135" s="105" t="n"/>
      <c r="D135" s="105" t="n"/>
      <c r="E135" s="105" t="n"/>
      <c r="F135" s="105" t="n"/>
      <c r="G135" s="105" t="n"/>
      <c r="H135" s="2" t="n"/>
      <c r="I135" s="10" t="n"/>
      <c r="K135" s="232" t="n"/>
      <c r="L135" s="232" t="n"/>
      <c r="M135" s="232" t="n"/>
      <c r="N135" s="232" t="n"/>
      <c r="O135" s="232" t="n"/>
      <c r="P135" s="232" t="n"/>
      <c r="Q135" s="232" t="n"/>
      <c r="R135" s="232" t="n"/>
      <c r="S135" s="232" t="n"/>
      <c r="T135" s="232" t="n"/>
      <c r="U135" s="232" t="n"/>
      <c r="V135" s="232" t="n"/>
      <c r="W135" s="232" t="n"/>
      <c r="X135" s="232" t="n"/>
      <c r="Y135" s="232" t="n"/>
      <c r="Z135" s="232" t="n"/>
      <c r="AA135" s="232" t="n"/>
      <c r="AB135" s="232" t="n"/>
      <c r="AC135" s="232" t="n"/>
      <c r="AD135" s="232" t="n"/>
      <c r="AE135" s="232" t="n"/>
      <c r="AF135" s="232" t="n"/>
      <c r="AG135" s="232" t="n"/>
      <c r="AH135" s="232" t="n"/>
      <c r="AI135" s="232" t="n"/>
      <c r="AJ135" s="232" t="n"/>
      <c r="AK135" s="232" t="n"/>
    </row>
    <row r="136">
      <c r="B136" s="2" t="n"/>
      <c r="C136" s="105" t="n"/>
      <c r="D136" s="105" t="n"/>
      <c r="E136" s="105" t="n"/>
      <c r="F136" s="105" t="n"/>
      <c r="G136" s="105" t="n"/>
      <c r="H136" s="2" t="n"/>
      <c r="I136" s="10" t="n"/>
      <c r="K136" s="232" t="n"/>
      <c r="L136" s="232" t="n"/>
      <c r="M136" s="232" t="n"/>
      <c r="N136" s="232" t="n"/>
      <c r="O136" s="232" t="n"/>
      <c r="P136" s="232" t="n"/>
      <c r="Q136" s="232" t="n"/>
      <c r="R136" s="232" t="n"/>
      <c r="S136" s="232" t="n"/>
      <c r="T136" s="232" t="n"/>
      <c r="U136" s="232" t="n"/>
      <c r="V136" s="232" t="n"/>
      <c r="W136" s="232" t="n"/>
      <c r="X136" s="232" t="n"/>
      <c r="Y136" s="232" t="n"/>
      <c r="Z136" s="232" t="n"/>
      <c r="AA136" s="232" t="n"/>
      <c r="AB136" s="232" t="n"/>
      <c r="AC136" s="232" t="n"/>
      <c r="AD136" s="232" t="n"/>
      <c r="AE136" s="232" t="n"/>
      <c r="AF136" s="232" t="n"/>
      <c r="AG136" s="232" t="n"/>
      <c r="AH136" s="232" t="n"/>
      <c r="AI136" s="232" t="n"/>
      <c r="AJ136" s="232" t="n"/>
      <c r="AK136" s="232" t="n"/>
    </row>
    <row r="137">
      <c r="B137" s="2" t="n"/>
      <c r="C137" s="105" t="n"/>
      <c r="D137" s="105" t="n"/>
      <c r="E137" s="105" t="n"/>
      <c r="F137" s="105" t="n"/>
      <c r="G137" s="105" t="n"/>
      <c r="H137" s="2" t="n"/>
      <c r="I137" s="10" t="n"/>
      <c r="K137" s="232" t="n"/>
      <c r="L137" s="232" t="n"/>
      <c r="M137" s="232" t="n"/>
      <c r="N137" s="232" t="n"/>
      <c r="O137" s="232" t="n"/>
      <c r="P137" s="232" t="n"/>
      <c r="Q137" s="232" t="n"/>
      <c r="R137" s="232" t="n"/>
      <c r="S137" s="232" t="n"/>
      <c r="T137" s="232" t="n"/>
      <c r="U137" s="232" t="n"/>
      <c r="V137" s="232" t="n"/>
      <c r="W137" s="232" t="n"/>
      <c r="X137" s="232" t="n"/>
      <c r="Y137" s="232" t="n"/>
      <c r="Z137" s="232" t="n"/>
      <c r="AA137" s="232" t="n"/>
      <c r="AB137" s="232" t="n"/>
      <c r="AC137" s="232" t="n"/>
      <c r="AD137" s="232" t="n"/>
      <c r="AE137" s="232" t="n"/>
      <c r="AF137" s="232" t="n"/>
      <c r="AG137" s="232" t="n"/>
      <c r="AH137" s="232" t="n"/>
      <c r="AI137" s="232" t="n"/>
      <c r="AJ137" s="232" t="n"/>
      <c r="AK137" s="232" t="n"/>
    </row>
    <row r="138">
      <c r="B138" s="2" t="n"/>
      <c r="C138" s="105" t="n"/>
      <c r="D138" s="105" t="n"/>
      <c r="E138" s="105" t="n"/>
      <c r="F138" s="105" t="n"/>
      <c r="G138" s="105" t="n"/>
      <c r="H138" s="2" t="n"/>
      <c r="I138" s="10" t="n"/>
      <c r="K138" s="232" t="n"/>
      <c r="L138" s="232" t="n"/>
      <c r="M138" s="232" t="n"/>
      <c r="N138" s="232" t="n"/>
      <c r="O138" s="232" t="n"/>
      <c r="P138" s="232" t="n"/>
      <c r="Q138" s="232" t="n"/>
      <c r="R138" s="232" t="n"/>
      <c r="S138" s="232" t="n"/>
      <c r="T138" s="232" t="n"/>
      <c r="U138" s="232" t="n"/>
      <c r="V138" s="232" t="n"/>
      <c r="W138" s="232" t="n"/>
      <c r="X138" s="232" t="n"/>
      <c r="Y138" s="232" t="n"/>
      <c r="Z138" s="232" t="n"/>
      <c r="AA138" s="232" t="n"/>
      <c r="AB138" s="232" t="n"/>
      <c r="AC138" s="232" t="n"/>
      <c r="AD138" s="232" t="n"/>
      <c r="AE138" s="232" t="n"/>
      <c r="AF138" s="232" t="n"/>
      <c r="AG138" s="232" t="n"/>
      <c r="AH138" s="232" t="n"/>
      <c r="AI138" s="232" t="n"/>
      <c r="AJ138" s="232" t="n"/>
      <c r="AK138" s="232" t="n"/>
    </row>
    <row r="139">
      <c r="B139" s="2" t="n"/>
      <c r="C139" s="105" t="n"/>
      <c r="D139" s="105" t="n"/>
      <c r="E139" s="105" t="n"/>
      <c r="F139" s="105" t="n"/>
      <c r="G139" s="105" t="n"/>
      <c r="H139" s="2" t="n"/>
      <c r="I139" s="10" t="n"/>
      <c r="K139" s="232" t="n"/>
      <c r="L139" s="232" t="n"/>
      <c r="M139" s="232" t="n"/>
      <c r="N139" s="232" t="n"/>
      <c r="O139" s="232" t="n"/>
      <c r="P139" s="232" t="n"/>
      <c r="Q139" s="232" t="n"/>
      <c r="R139" s="232" t="n"/>
      <c r="S139" s="232" t="n"/>
      <c r="T139" s="232" t="n"/>
      <c r="U139" s="232" t="n"/>
      <c r="V139" s="232" t="n"/>
      <c r="W139" s="232" t="n"/>
      <c r="X139" s="232" t="n"/>
      <c r="Y139" s="232" t="n"/>
      <c r="Z139" s="232" t="n"/>
      <c r="AA139" s="232" t="n"/>
      <c r="AB139" s="232" t="n"/>
      <c r="AC139" s="232" t="n"/>
      <c r="AD139" s="232" t="n"/>
      <c r="AE139" s="232" t="n"/>
      <c r="AF139" s="232" t="n"/>
      <c r="AG139" s="232" t="n"/>
      <c r="AH139" s="232" t="n"/>
      <c r="AI139" s="232" t="n"/>
      <c r="AJ139" s="232" t="n"/>
      <c r="AK139" s="232" t="n"/>
    </row>
    <row r="140">
      <c r="B140" s="2" t="n"/>
      <c r="C140" s="105" t="n"/>
      <c r="D140" s="105" t="n"/>
      <c r="E140" s="105" t="n"/>
      <c r="F140" s="105" t="n"/>
      <c r="G140" s="105" t="n"/>
      <c r="H140" s="2" t="n"/>
      <c r="I140" s="10" t="n"/>
      <c r="K140" s="232" t="n"/>
      <c r="L140" s="232" t="n"/>
      <c r="M140" s="232" t="n"/>
      <c r="N140" s="232" t="n"/>
      <c r="O140" s="232" t="n"/>
      <c r="P140" s="232" t="n"/>
      <c r="Q140" s="232" t="n"/>
      <c r="R140" s="232" t="n"/>
      <c r="S140" s="232" t="n"/>
      <c r="T140" s="232" t="n"/>
      <c r="U140" s="232" t="n"/>
      <c r="V140" s="232" t="n"/>
      <c r="W140" s="232" t="n"/>
      <c r="X140" s="232" t="n"/>
      <c r="Y140" s="232" t="n"/>
      <c r="Z140" s="232" t="n"/>
      <c r="AA140" s="232" t="n"/>
      <c r="AB140" s="232" t="n"/>
      <c r="AC140" s="232" t="n"/>
      <c r="AD140" s="232" t="n"/>
      <c r="AE140" s="232" t="n"/>
      <c r="AF140" s="232" t="n"/>
      <c r="AG140" s="232" t="n"/>
      <c r="AH140" s="232" t="n"/>
      <c r="AI140" s="232" t="n"/>
      <c r="AJ140" s="232" t="n"/>
      <c r="AK140" s="232" t="n"/>
    </row>
    <row r="141">
      <c r="B141" s="2" t="n"/>
      <c r="C141" s="105" t="n"/>
      <c r="D141" s="105" t="n"/>
      <c r="E141" s="105" t="n"/>
      <c r="F141" s="105" t="n"/>
      <c r="G141" s="105" t="n"/>
      <c r="H141" s="2" t="n"/>
      <c r="I141" s="10" t="n"/>
      <c r="K141" s="232" t="n"/>
      <c r="L141" s="232" t="n"/>
      <c r="M141" s="232" t="n"/>
      <c r="N141" s="232" t="n"/>
      <c r="O141" s="232" t="n"/>
      <c r="P141" s="232" t="n"/>
      <c r="Q141" s="232" t="n"/>
      <c r="R141" s="232" t="n"/>
      <c r="S141" s="232" t="n"/>
      <c r="T141" s="232" t="n"/>
      <c r="U141" s="232" t="n"/>
      <c r="V141" s="232" t="n"/>
      <c r="W141" s="232" t="n"/>
      <c r="X141" s="232" t="n"/>
      <c r="Y141" s="232" t="n"/>
      <c r="Z141" s="232" t="n"/>
      <c r="AA141" s="232" t="n"/>
      <c r="AB141" s="232" t="n"/>
      <c r="AC141" s="232" t="n"/>
      <c r="AD141" s="232" t="n"/>
      <c r="AE141" s="232" t="n"/>
      <c r="AF141" s="232" t="n"/>
      <c r="AG141" s="232" t="n"/>
      <c r="AH141" s="232" t="n"/>
      <c r="AI141" s="232" t="n"/>
      <c r="AJ141" s="232" t="n"/>
      <c r="AK141" s="232" t="n"/>
    </row>
    <row r="142">
      <c r="B142" s="2" t="n"/>
      <c r="C142" s="105" t="n"/>
      <c r="D142" s="105" t="n"/>
      <c r="E142" s="105" t="n"/>
      <c r="F142" s="105" t="n"/>
      <c r="G142" s="105" t="n"/>
      <c r="H142" s="2" t="n"/>
      <c r="I142" s="10" t="n"/>
      <c r="K142" s="232" t="n"/>
      <c r="L142" s="232" t="n"/>
      <c r="M142" s="232" t="n"/>
      <c r="N142" s="232" t="n"/>
      <c r="O142" s="232" t="n"/>
      <c r="P142" s="232" t="n"/>
      <c r="Q142" s="232" t="n"/>
      <c r="R142" s="232" t="n"/>
      <c r="S142" s="232" t="n"/>
      <c r="T142" s="232" t="n"/>
      <c r="U142" s="232" t="n"/>
      <c r="V142" s="232" t="n"/>
      <c r="W142" s="232" t="n"/>
      <c r="X142" s="232" t="n"/>
      <c r="Y142" s="232" t="n"/>
      <c r="Z142" s="232" t="n"/>
      <c r="AA142" s="232" t="n"/>
      <c r="AB142" s="232" t="n"/>
      <c r="AC142" s="232" t="n"/>
      <c r="AD142" s="232" t="n"/>
      <c r="AE142" s="232" t="n"/>
      <c r="AF142" s="232" t="n"/>
      <c r="AG142" s="232" t="n"/>
      <c r="AH142" s="232" t="n"/>
      <c r="AI142" s="232" t="n"/>
      <c r="AJ142" s="232" t="n"/>
      <c r="AK142" s="232" t="n"/>
    </row>
    <row r="143">
      <c r="B143" s="2" t="n"/>
      <c r="C143" s="105" t="n"/>
      <c r="D143" s="105" t="n"/>
      <c r="E143" s="105" t="n"/>
      <c r="F143" s="105" t="n"/>
      <c r="G143" s="105" t="n"/>
      <c r="H143" s="2" t="n"/>
      <c r="I143" s="10" t="n"/>
      <c r="K143" s="232" t="n"/>
      <c r="L143" s="232" t="n"/>
      <c r="M143" s="232" t="n"/>
      <c r="N143" s="232" t="n"/>
      <c r="O143" s="232" t="n"/>
      <c r="P143" s="232" t="n"/>
      <c r="Q143" s="232" t="n"/>
      <c r="R143" s="232" t="n"/>
      <c r="S143" s="232" t="n"/>
      <c r="T143" s="232" t="n"/>
      <c r="U143" s="232" t="n"/>
      <c r="V143" s="232" t="n"/>
      <c r="W143" s="232" t="n"/>
      <c r="X143" s="232" t="n"/>
      <c r="Y143" s="232" t="n"/>
      <c r="Z143" s="232" t="n"/>
      <c r="AA143" s="232" t="n"/>
      <c r="AB143" s="232" t="n"/>
      <c r="AC143" s="232" t="n"/>
      <c r="AD143" s="232" t="n"/>
      <c r="AE143" s="232" t="n"/>
      <c r="AF143" s="232" t="n"/>
      <c r="AG143" s="232" t="n"/>
      <c r="AH143" s="232" t="n"/>
      <c r="AI143" s="232" t="n"/>
      <c r="AJ143" s="232" t="n"/>
      <c r="AK143" s="232" t="n"/>
    </row>
    <row r="144">
      <c r="B144" s="2" t="n"/>
      <c r="C144" s="105" t="n"/>
      <c r="D144" s="105" t="n"/>
      <c r="E144" s="105" t="n"/>
      <c r="F144" s="105" t="n"/>
      <c r="G144" s="105" t="n"/>
      <c r="H144" s="2" t="n"/>
      <c r="I144" s="10" t="n"/>
      <c r="K144" s="232" t="n"/>
      <c r="L144" s="232" t="n"/>
      <c r="M144" s="232" t="n"/>
      <c r="N144" s="232" t="n"/>
      <c r="O144" s="232" t="n"/>
      <c r="P144" s="232" t="n"/>
      <c r="Q144" s="232" t="n"/>
      <c r="R144" s="232" t="n"/>
      <c r="S144" s="232" t="n"/>
      <c r="T144" s="232" t="n"/>
      <c r="U144" s="232" t="n"/>
      <c r="V144" s="232" t="n"/>
      <c r="W144" s="232" t="n"/>
      <c r="X144" s="232" t="n"/>
      <c r="Y144" s="232" t="n"/>
      <c r="Z144" s="232" t="n"/>
      <c r="AA144" s="232" t="n"/>
      <c r="AB144" s="232" t="n"/>
      <c r="AC144" s="232" t="n"/>
      <c r="AD144" s="232" t="n"/>
      <c r="AE144" s="232" t="n"/>
      <c r="AF144" s="232" t="n"/>
      <c r="AG144" s="232" t="n"/>
      <c r="AH144" s="232" t="n"/>
      <c r="AI144" s="232" t="n"/>
      <c r="AJ144" s="232" t="n"/>
      <c r="AK144" s="232" t="n"/>
    </row>
    <row r="145">
      <c r="B145" s="2" t="n"/>
      <c r="C145" s="105" t="n"/>
      <c r="D145" s="105" t="n"/>
      <c r="E145" s="105" t="n"/>
      <c r="F145" s="105" t="n"/>
      <c r="G145" s="105" t="n"/>
      <c r="H145" s="2" t="n"/>
      <c r="I145" s="10" t="n"/>
      <c r="K145" s="232" t="n"/>
      <c r="L145" s="232" t="n"/>
      <c r="M145" s="232" t="n"/>
      <c r="N145" s="232" t="n"/>
      <c r="O145" s="232" t="n"/>
      <c r="P145" s="232" t="n"/>
      <c r="Q145" s="232" t="n"/>
      <c r="R145" s="232" t="n"/>
      <c r="S145" s="232" t="n"/>
      <c r="T145" s="232" t="n"/>
      <c r="U145" s="232" t="n"/>
      <c r="V145" s="232" t="n"/>
      <c r="W145" s="232" t="n"/>
      <c r="X145" s="232" t="n"/>
      <c r="Y145" s="232" t="n"/>
      <c r="Z145" s="232" t="n"/>
      <c r="AA145" s="232" t="n"/>
      <c r="AB145" s="232" t="n"/>
      <c r="AC145" s="232" t="n"/>
      <c r="AD145" s="232" t="n"/>
      <c r="AE145" s="232" t="n"/>
      <c r="AF145" s="232" t="n"/>
      <c r="AG145" s="232" t="n"/>
      <c r="AH145" s="232" t="n"/>
      <c r="AI145" s="232" t="n"/>
      <c r="AJ145" s="232" t="n"/>
      <c r="AK145" s="232" t="n"/>
    </row>
    <row r="146">
      <c r="B146" s="2" t="n"/>
      <c r="C146" s="105" t="n"/>
      <c r="D146" s="105" t="n"/>
      <c r="E146" s="105" t="n"/>
      <c r="F146" s="105" t="n"/>
      <c r="G146" s="105" t="n"/>
      <c r="H146" s="2" t="n"/>
      <c r="I146" s="10" t="n"/>
      <c r="K146" s="232" t="n"/>
      <c r="L146" s="232" t="n"/>
      <c r="M146" s="232" t="n"/>
      <c r="N146" s="232" t="n"/>
      <c r="O146" s="232" t="n"/>
      <c r="P146" s="232" t="n"/>
      <c r="Q146" s="232" t="n"/>
      <c r="R146" s="232" t="n"/>
      <c r="S146" s="232" t="n"/>
      <c r="T146" s="232" t="n"/>
      <c r="U146" s="232" t="n"/>
      <c r="V146" s="232" t="n"/>
      <c r="W146" s="232" t="n"/>
      <c r="X146" s="232" t="n"/>
      <c r="Y146" s="232" t="n"/>
      <c r="Z146" s="232" t="n"/>
      <c r="AA146" s="232" t="n"/>
      <c r="AB146" s="232" t="n"/>
      <c r="AC146" s="232" t="n"/>
      <c r="AD146" s="232" t="n"/>
      <c r="AE146" s="232" t="n"/>
      <c r="AF146" s="232" t="n"/>
      <c r="AG146" s="232" t="n"/>
      <c r="AH146" s="232" t="n"/>
      <c r="AI146" s="232" t="n"/>
      <c r="AJ146" s="232" t="n"/>
      <c r="AK146" s="232" t="n"/>
    </row>
    <row r="147">
      <c r="B147" s="2" t="n"/>
      <c r="C147" s="105" t="n"/>
      <c r="D147" s="105" t="n"/>
      <c r="E147" s="105" t="n"/>
      <c r="F147" s="105" t="n"/>
      <c r="G147" s="105" t="n"/>
      <c r="H147" s="2" t="n"/>
      <c r="I147" s="10" t="n"/>
      <c r="K147" s="232" t="n"/>
      <c r="L147" s="232" t="n"/>
      <c r="M147" s="232" t="n"/>
      <c r="N147" s="232" t="n"/>
      <c r="O147" s="232" t="n"/>
      <c r="P147" s="232" t="n"/>
      <c r="Q147" s="232" t="n"/>
      <c r="R147" s="232" t="n"/>
      <c r="S147" s="232" t="n"/>
      <c r="T147" s="232" t="n"/>
      <c r="U147" s="232" t="n"/>
      <c r="V147" s="232" t="n"/>
      <c r="W147" s="232" t="n"/>
      <c r="X147" s="232" t="n"/>
      <c r="Y147" s="232" t="n"/>
      <c r="Z147" s="232" t="n"/>
      <c r="AA147" s="232" t="n"/>
      <c r="AB147" s="232" t="n"/>
      <c r="AC147" s="232" t="n"/>
      <c r="AD147" s="232" t="n"/>
      <c r="AE147" s="232" t="n"/>
      <c r="AF147" s="232" t="n"/>
      <c r="AG147" s="232" t="n"/>
      <c r="AH147" s="232" t="n"/>
      <c r="AI147" s="232" t="n"/>
      <c r="AJ147" s="232" t="n"/>
      <c r="AK147" s="232" t="n"/>
    </row>
    <row r="148">
      <c r="B148" s="2" t="n"/>
      <c r="C148" s="105" t="n"/>
      <c r="D148" s="105" t="n"/>
      <c r="E148" s="105" t="n"/>
      <c r="F148" s="105" t="n"/>
      <c r="G148" s="105" t="n"/>
      <c r="H148" s="2" t="n"/>
      <c r="I148" s="10" t="n"/>
      <c r="K148" s="232" t="n"/>
      <c r="L148" s="232" t="n"/>
      <c r="M148" s="232" t="n"/>
      <c r="N148" s="232" t="n"/>
      <c r="O148" s="232" t="n"/>
      <c r="P148" s="232" t="n"/>
      <c r="Q148" s="232" t="n"/>
      <c r="R148" s="232" t="n"/>
      <c r="S148" s="232" t="n"/>
      <c r="T148" s="232" t="n"/>
      <c r="U148" s="232" t="n"/>
      <c r="V148" s="232" t="n"/>
      <c r="W148" s="232" t="n"/>
      <c r="X148" s="232" t="n"/>
      <c r="Y148" s="232" t="n"/>
      <c r="Z148" s="232" t="n"/>
      <c r="AA148" s="232" t="n"/>
      <c r="AB148" s="232" t="n"/>
      <c r="AC148" s="232" t="n"/>
      <c r="AD148" s="232" t="n"/>
      <c r="AE148" s="232" t="n"/>
      <c r="AF148" s="232" t="n"/>
      <c r="AG148" s="232" t="n"/>
      <c r="AH148" s="232" t="n"/>
      <c r="AI148" s="232" t="n"/>
      <c r="AJ148" s="232" t="n"/>
      <c r="AK148" s="232" t="n"/>
    </row>
    <row r="149">
      <c r="B149" s="2" t="n"/>
      <c r="C149" s="105" t="n"/>
      <c r="D149" s="105" t="n"/>
      <c r="E149" s="105" t="n"/>
      <c r="F149" s="105" t="n"/>
      <c r="G149" s="105" t="n"/>
      <c r="H149" s="2" t="n"/>
      <c r="I149" s="10" t="n"/>
      <c r="K149" s="232" t="n"/>
      <c r="L149" s="232" t="n"/>
      <c r="M149" s="232" t="n"/>
      <c r="N149" s="232" t="n"/>
      <c r="O149" s="232" t="n"/>
      <c r="P149" s="232" t="n"/>
      <c r="Q149" s="232" t="n"/>
      <c r="R149" s="232" t="n"/>
      <c r="S149" s="232" t="n"/>
      <c r="T149" s="232" t="n"/>
      <c r="U149" s="232" t="n"/>
      <c r="V149" s="232" t="n"/>
      <c r="W149" s="232" t="n"/>
      <c r="X149" s="232" t="n"/>
      <c r="Y149" s="232" t="n"/>
      <c r="Z149" s="232" t="n"/>
      <c r="AA149" s="232" t="n"/>
      <c r="AB149" s="232" t="n"/>
      <c r="AC149" s="232" t="n"/>
      <c r="AD149" s="232" t="n"/>
      <c r="AE149" s="232" t="n"/>
      <c r="AF149" s="232" t="n"/>
      <c r="AG149" s="232" t="n"/>
      <c r="AH149" s="232" t="n"/>
      <c r="AI149" s="232" t="n"/>
      <c r="AJ149" s="232" t="n"/>
      <c r="AK149" s="232" t="n"/>
    </row>
    <row r="150">
      <c r="B150" s="2" t="n"/>
      <c r="C150" s="105" t="n"/>
      <c r="D150" s="105" t="n"/>
      <c r="E150" s="105" t="n"/>
      <c r="F150" s="105" t="n"/>
      <c r="G150" s="105" t="n"/>
      <c r="H150" s="2" t="n"/>
      <c r="I150" s="10" t="n"/>
      <c r="K150" s="232" t="n"/>
      <c r="L150" s="232" t="n"/>
      <c r="M150" s="232" t="n"/>
      <c r="N150" s="232" t="n"/>
      <c r="O150" s="232" t="n"/>
      <c r="P150" s="232" t="n"/>
      <c r="Q150" s="232" t="n"/>
      <c r="R150" s="232" t="n"/>
      <c r="S150" s="232" t="n"/>
      <c r="T150" s="232" t="n"/>
      <c r="U150" s="232" t="n"/>
      <c r="V150" s="232" t="n"/>
      <c r="W150" s="232" t="n"/>
      <c r="X150" s="232" t="n"/>
      <c r="Y150" s="232" t="n"/>
      <c r="Z150" s="232" t="n"/>
      <c r="AA150" s="232" t="n"/>
      <c r="AB150" s="232" t="n"/>
      <c r="AC150" s="232" t="n"/>
      <c r="AD150" s="232" t="n"/>
      <c r="AE150" s="232" t="n"/>
      <c r="AF150" s="232" t="n"/>
      <c r="AG150" s="232" t="n"/>
      <c r="AH150" s="232" t="n"/>
      <c r="AI150" s="232" t="n"/>
      <c r="AJ150" s="232" t="n"/>
      <c r="AK150" s="232" t="n"/>
    </row>
    <row r="151">
      <c r="B151" s="2" t="n"/>
      <c r="C151" s="105" t="n"/>
      <c r="D151" s="105" t="n"/>
      <c r="E151" s="105" t="n"/>
      <c r="F151" s="105" t="n"/>
      <c r="G151" s="105" t="n"/>
      <c r="H151" s="2" t="n"/>
      <c r="I151" s="10" t="n"/>
      <c r="K151" s="232" t="n"/>
      <c r="L151" s="232" t="n"/>
      <c r="M151" s="232" t="n"/>
      <c r="N151" s="232" t="n"/>
      <c r="O151" s="232" t="n"/>
      <c r="P151" s="232" t="n"/>
      <c r="Q151" s="232" t="n"/>
      <c r="R151" s="232" t="n"/>
      <c r="S151" s="232" t="n"/>
      <c r="T151" s="232" t="n"/>
      <c r="U151" s="232" t="n"/>
      <c r="V151" s="232" t="n"/>
      <c r="W151" s="232" t="n"/>
      <c r="X151" s="232" t="n"/>
      <c r="Y151" s="232" t="n"/>
      <c r="Z151" s="232" t="n"/>
      <c r="AA151" s="232" t="n"/>
      <c r="AB151" s="232" t="n"/>
      <c r="AC151" s="232" t="n"/>
      <c r="AD151" s="232" t="n"/>
      <c r="AE151" s="232" t="n"/>
      <c r="AF151" s="232" t="n"/>
      <c r="AG151" s="232" t="n"/>
      <c r="AH151" s="232" t="n"/>
      <c r="AI151" s="232" t="n"/>
      <c r="AJ151" s="232" t="n"/>
      <c r="AK151" s="232" t="n"/>
    </row>
    <row r="152">
      <c r="B152" s="2" t="n"/>
      <c r="C152" s="105" t="n"/>
      <c r="D152" s="105" t="n"/>
      <c r="E152" s="105" t="n"/>
      <c r="F152" s="105" t="n"/>
      <c r="G152" s="105" t="n"/>
      <c r="H152" s="2" t="n"/>
      <c r="I152" s="10" t="n"/>
      <c r="K152" s="232" t="n"/>
      <c r="L152" s="232" t="n"/>
      <c r="M152" s="232" t="n"/>
      <c r="N152" s="232" t="n"/>
      <c r="O152" s="232" t="n"/>
      <c r="P152" s="232" t="n"/>
      <c r="Q152" s="232" t="n"/>
      <c r="R152" s="232" t="n"/>
      <c r="S152" s="232" t="n"/>
      <c r="T152" s="232" t="n"/>
      <c r="U152" s="232" t="n"/>
      <c r="V152" s="232" t="n"/>
      <c r="W152" s="232" t="n"/>
      <c r="X152" s="232" t="n"/>
      <c r="Y152" s="232" t="n"/>
      <c r="Z152" s="232" t="n"/>
      <c r="AA152" s="232" t="n"/>
      <c r="AB152" s="232" t="n"/>
      <c r="AC152" s="232" t="n"/>
      <c r="AD152" s="232" t="n"/>
      <c r="AE152" s="232" t="n"/>
      <c r="AF152" s="232" t="n"/>
      <c r="AG152" s="232" t="n"/>
      <c r="AH152" s="232" t="n"/>
      <c r="AI152" s="232" t="n"/>
      <c r="AJ152" s="232" t="n"/>
      <c r="AK152" s="232" t="n"/>
    </row>
    <row r="153">
      <c r="B153" s="2" t="n"/>
      <c r="C153" s="105" t="n"/>
      <c r="D153" s="105" t="n"/>
      <c r="E153" s="105" t="n"/>
      <c r="F153" s="105" t="n"/>
      <c r="G153" s="105" t="n"/>
      <c r="H153" s="2" t="n"/>
      <c r="I153" s="10" t="n"/>
      <c r="K153" s="232" t="n"/>
      <c r="L153" s="232" t="n"/>
      <c r="M153" s="232" t="n"/>
      <c r="N153" s="232" t="n"/>
      <c r="O153" s="232" t="n"/>
      <c r="P153" s="232" t="n"/>
      <c r="Q153" s="232" t="n"/>
      <c r="R153" s="232" t="n"/>
      <c r="S153" s="232" t="n"/>
      <c r="T153" s="232" t="n"/>
      <c r="U153" s="232" t="n"/>
      <c r="V153" s="232" t="n"/>
      <c r="W153" s="232" t="n"/>
      <c r="X153" s="232" t="n"/>
      <c r="Y153" s="232" t="n"/>
      <c r="Z153" s="232" t="n"/>
      <c r="AA153" s="232" t="n"/>
      <c r="AB153" s="232" t="n"/>
      <c r="AC153" s="232" t="n"/>
      <c r="AD153" s="232" t="n"/>
      <c r="AE153" s="232" t="n"/>
      <c r="AF153" s="232" t="n"/>
      <c r="AG153" s="232" t="n"/>
      <c r="AH153" s="232" t="n"/>
      <c r="AI153" s="232" t="n"/>
      <c r="AJ153" s="232" t="n"/>
      <c r="AK153" s="232" t="n"/>
    </row>
    <row r="154">
      <c r="B154" s="2" t="n"/>
      <c r="C154" s="105" t="n"/>
      <c r="D154" s="105" t="n"/>
      <c r="E154" s="105" t="n"/>
      <c r="F154" s="105" t="n"/>
      <c r="G154" s="105" t="n"/>
      <c r="H154" s="2" t="n"/>
      <c r="I154" s="10" t="n"/>
      <c r="K154" s="232" t="n"/>
      <c r="L154" s="232" t="n"/>
      <c r="M154" s="232" t="n"/>
      <c r="N154" s="232" t="n"/>
      <c r="O154" s="232" t="n"/>
      <c r="P154" s="232" t="n"/>
      <c r="Q154" s="232" t="n"/>
      <c r="R154" s="232" t="n"/>
      <c r="S154" s="232" t="n"/>
      <c r="T154" s="232" t="n"/>
      <c r="U154" s="232" t="n"/>
      <c r="V154" s="232" t="n"/>
      <c r="W154" s="232" t="n"/>
      <c r="X154" s="232" t="n"/>
      <c r="Y154" s="232" t="n"/>
      <c r="Z154" s="232" t="n"/>
      <c r="AA154" s="232" t="n"/>
      <c r="AB154" s="232" t="n"/>
      <c r="AC154" s="232" t="n"/>
      <c r="AD154" s="232" t="n"/>
      <c r="AE154" s="232" t="n"/>
      <c r="AF154" s="232" t="n"/>
      <c r="AG154" s="232" t="n"/>
      <c r="AH154" s="232" t="n"/>
      <c r="AI154" s="232" t="n"/>
      <c r="AJ154" s="232" t="n"/>
      <c r="AK154" s="232" t="n"/>
    </row>
    <row r="155">
      <c r="B155" s="2" t="n"/>
      <c r="C155" s="105" t="n"/>
      <c r="D155" s="105" t="n"/>
      <c r="E155" s="105" t="n"/>
      <c r="F155" s="105" t="n"/>
      <c r="G155" s="105" t="n"/>
      <c r="H155" s="2" t="n"/>
      <c r="I155" s="10" t="n"/>
      <c r="K155" s="232" t="n"/>
      <c r="L155" s="232" t="n"/>
      <c r="M155" s="232" t="n"/>
      <c r="N155" s="232" t="n"/>
      <c r="O155" s="232" t="n"/>
      <c r="P155" s="232" t="n"/>
      <c r="Q155" s="232" t="n"/>
      <c r="R155" s="232" t="n"/>
      <c r="S155" s="232" t="n"/>
      <c r="T155" s="232" t="n"/>
      <c r="U155" s="232" t="n"/>
      <c r="V155" s="232" t="n"/>
      <c r="W155" s="232" t="n"/>
      <c r="X155" s="232" t="n"/>
      <c r="Y155" s="232" t="n"/>
      <c r="Z155" s="232" t="n"/>
      <c r="AA155" s="232" t="n"/>
      <c r="AB155" s="232" t="n"/>
      <c r="AC155" s="232" t="n"/>
      <c r="AD155" s="232" t="n"/>
      <c r="AE155" s="232" t="n"/>
      <c r="AF155" s="232" t="n"/>
      <c r="AG155" s="232" t="n"/>
      <c r="AH155" s="232" t="n"/>
      <c r="AI155" s="232" t="n"/>
      <c r="AJ155" s="232" t="n"/>
      <c r="AK155" s="232" t="n"/>
    </row>
    <row r="156">
      <c r="B156" s="2" t="n"/>
      <c r="C156" s="105" t="n"/>
      <c r="D156" s="105" t="n"/>
      <c r="E156" s="105" t="n"/>
      <c r="F156" s="105" t="n"/>
      <c r="G156" s="105" t="n"/>
      <c r="H156" s="2" t="n"/>
      <c r="I156" s="10" t="n"/>
      <c r="K156" s="232" t="n"/>
      <c r="L156" s="232" t="n"/>
      <c r="M156" s="232" t="n"/>
      <c r="N156" s="232" t="n"/>
      <c r="O156" s="232" t="n"/>
      <c r="P156" s="232" t="n"/>
      <c r="Q156" s="232" t="n"/>
      <c r="R156" s="232" t="n"/>
      <c r="S156" s="232" t="n"/>
      <c r="T156" s="232" t="n"/>
      <c r="U156" s="232" t="n"/>
      <c r="V156" s="232" t="n"/>
      <c r="W156" s="232" t="n"/>
      <c r="X156" s="232" t="n"/>
      <c r="Y156" s="232" t="n"/>
      <c r="Z156" s="232" t="n"/>
      <c r="AA156" s="232" t="n"/>
      <c r="AB156" s="232" t="n"/>
      <c r="AC156" s="232" t="n"/>
      <c r="AD156" s="232" t="n"/>
      <c r="AE156" s="232" t="n"/>
      <c r="AF156" s="232" t="n"/>
      <c r="AG156" s="232" t="n"/>
      <c r="AH156" s="232" t="n"/>
      <c r="AI156" s="232" t="n"/>
      <c r="AJ156" s="232" t="n"/>
      <c r="AK156" s="232" t="n"/>
    </row>
    <row r="157">
      <c r="B157" s="2" t="n"/>
      <c r="C157" s="105" t="n"/>
      <c r="D157" s="105" t="n"/>
      <c r="E157" s="105" t="n"/>
      <c r="F157" s="105" t="n"/>
      <c r="G157" s="105" t="n"/>
      <c r="H157" s="2" t="n"/>
      <c r="I157" s="10" t="n"/>
      <c r="K157" s="232" t="n"/>
      <c r="L157" s="232" t="n"/>
      <c r="M157" s="232" t="n"/>
      <c r="N157" s="232" t="n"/>
      <c r="O157" s="232" t="n"/>
      <c r="P157" s="232" t="n"/>
      <c r="Q157" s="232" t="n"/>
      <c r="R157" s="232" t="n"/>
      <c r="S157" s="232" t="n"/>
      <c r="T157" s="232" t="n"/>
      <c r="U157" s="232" t="n"/>
      <c r="V157" s="232" t="n"/>
      <c r="W157" s="232" t="n"/>
      <c r="X157" s="232" t="n"/>
      <c r="Y157" s="232" t="n"/>
      <c r="Z157" s="232" t="n"/>
      <c r="AA157" s="232" t="n"/>
      <c r="AB157" s="232" t="n"/>
      <c r="AC157" s="232" t="n"/>
      <c r="AD157" s="232" t="n"/>
      <c r="AE157" s="232" t="n"/>
      <c r="AF157" s="232" t="n"/>
      <c r="AG157" s="232" t="n"/>
      <c r="AH157" s="232" t="n"/>
      <c r="AI157" s="232" t="n"/>
      <c r="AJ157" s="232" t="n"/>
      <c r="AK157" s="232" t="n"/>
    </row>
    <row r="158">
      <c r="B158" s="2" t="n"/>
      <c r="C158" s="105" t="n"/>
      <c r="D158" s="105" t="n"/>
      <c r="E158" s="105" t="n"/>
      <c r="F158" s="105" t="n"/>
      <c r="G158" s="105" t="n"/>
      <c r="H158" s="2" t="n"/>
      <c r="I158" s="10" t="n"/>
      <c r="K158" s="232" t="n"/>
      <c r="L158" s="232" t="n"/>
      <c r="M158" s="232" t="n"/>
      <c r="N158" s="232" t="n"/>
      <c r="O158" s="232" t="n"/>
      <c r="P158" s="232" t="n"/>
      <c r="Q158" s="232" t="n"/>
      <c r="R158" s="232" t="n"/>
      <c r="S158" s="232" t="n"/>
      <c r="T158" s="232" t="n"/>
      <c r="U158" s="232" t="n"/>
      <c r="V158" s="232" t="n"/>
      <c r="W158" s="232" t="n"/>
      <c r="X158" s="232" t="n"/>
      <c r="Y158" s="232" t="n"/>
      <c r="Z158" s="232" t="n"/>
      <c r="AA158" s="232" t="n"/>
      <c r="AB158" s="232" t="n"/>
      <c r="AC158" s="232" t="n"/>
      <c r="AD158" s="232" t="n"/>
      <c r="AE158" s="232" t="n"/>
      <c r="AF158" s="232" t="n"/>
      <c r="AG158" s="232" t="n"/>
      <c r="AH158" s="232" t="n"/>
      <c r="AI158" s="232" t="n"/>
      <c r="AJ158" s="232" t="n"/>
      <c r="AK158" s="232" t="n"/>
    </row>
    <row r="159">
      <c r="B159" s="2" t="n"/>
      <c r="C159" s="105" t="n"/>
      <c r="D159" s="105" t="n"/>
      <c r="E159" s="105" t="n"/>
      <c r="F159" s="105" t="n"/>
      <c r="G159" s="105" t="n"/>
      <c r="H159" s="2" t="n"/>
      <c r="I159" s="10" t="n"/>
      <c r="K159" s="232" t="n"/>
      <c r="L159" s="232" t="n"/>
      <c r="M159" s="232" t="n"/>
      <c r="N159" s="232" t="n"/>
      <c r="O159" s="232" t="n"/>
      <c r="P159" s="232" t="n"/>
      <c r="Q159" s="232" t="n"/>
      <c r="R159" s="232" t="n"/>
      <c r="S159" s="232" t="n"/>
      <c r="T159" s="232" t="n"/>
      <c r="U159" s="232" t="n"/>
      <c r="V159" s="232" t="n"/>
      <c r="W159" s="232" t="n"/>
      <c r="X159" s="232" t="n"/>
      <c r="Y159" s="232" t="n"/>
      <c r="Z159" s="232" t="n"/>
      <c r="AA159" s="232" t="n"/>
      <c r="AB159" s="232" t="n"/>
      <c r="AC159" s="232" t="n"/>
      <c r="AD159" s="232" t="n"/>
      <c r="AE159" s="232" t="n"/>
      <c r="AF159" s="232" t="n"/>
      <c r="AG159" s="232" t="n"/>
      <c r="AH159" s="232" t="n"/>
      <c r="AI159" s="232" t="n"/>
      <c r="AJ159" s="232" t="n"/>
      <c r="AK159" s="232" t="n"/>
    </row>
    <row r="160">
      <c r="B160" s="2" t="n"/>
      <c r="C160" s="105" t="n"/>
      <c r="D160" s="105" t="n"/>
      <c r="E160" s="105" t="n"/>
      <c r="F160" s="105" t="n"/>
      <c r="G160" s="105" t="n"/>
      <c r="H160" s="2" t="n"/>
      <c r="I160" s="10" t="n"/>
      <c r="K160" s="232" t="n"/>
      <c r="L160" s="232" t="n"/>
      <c r="M160" s="232" t="n"/>
      <c r="N160" s="232" t="n"/>
      <c r="O160" s="232" t="n"/>
      <c r="P160" s="232" t="n"/>
      <c r="Q160" s="232" t="n"/>
      <c r="R160" s="232" t="n"/>
      <c r="S160" s="232" t="n"/>
      <c r="T160" s="232" t="n"/>
      <c r="U160" s="232" t="n"/>
      <c r="V160" s="232" t="n"/>
      <c r="W160" s="232" t="n"/>
      <c r="X160" s="232" t="n"/>
      <c r="Y160" s="232" t="n"/>
      <c r="Z160" s="232" t="n"/>
      <c r="AA160" s="232" t="n"/>
      <c r="AB160" s="232" t="n"/>
      <c r="AC160" s="232" t="n"/>
      <c r="AD160" s="232" t="n"/>
      <c r="AE160" s="232" t="n"/>
      <c r="AF160" s="232" t="n"/>
      <c r="AG160" s="232" t="n"/>
      <c r="AH160" s="232" t="n"/>
      <c r="AI160" s="232" t="n"/>
      <c r="AJ160" s="232" t="n"/>
      <c r="AK160" s="232" t="n"/>
    </row>
    <row r="161">
      <c r="B161" s="2" t="n"/>
      <c r="C161" s="105" t="n"/>
      <c r="D161" s="105" t="n"/>
      <c r="E161" s="105" t="n"/>
      <c r="F161" s="105" t="n"/>
      <c r="G161" s="105" t="n"/>
      <c r="H161" s="2" t="n"/>
      <c r="I161" s="10" t="n"/>
      <c r="K161" s="232" t="n"/>
      <c r="L161" s="232" t="n"/>
      <c r="M161" s="232" t="n"/>
      <c r="N161" s="232" t="n"/>
      <c r="O161" s="232" t="n"/>
      <c r="P161" s="232" t="n"/>
      <c r="Q161" s="232" t="n"/>
      <c r="R161" s="232" t="n"/>
      <c r="S161" s="232" t="n"/>
      <c r="T161" s="232" t="n"/>
      <c r="U161" s="232" t="n"/>
      <c r="V161" s="232" t="n"/>
      <c r="W161" s="232" t="n"/>
      <c r="X161" s="232" t="n"/>
      <c r="Y161" s="232" t="n"/>
      <c r="Z161" s="232" t="n"/>
      <c r="AA161" s="232" t="n"/>
      <c r="AB161" s="232" t="n"/>
      <c r="AC161" s="232" t="n"/>
      <c r="AD161" s="232" t="n"/>
      <c r="AE161" s="232" t="n"/>
      <c r="AF161" s="232" t="n"/>
      <c r="AG161" s="232" t="n"/>
      <c r="AH161" s="232" t="n"/>
      <c r="AI161" s="232" t="n"/>
      <c r="AJ161" s="232" t="n"/>
      <c r="AK161" s="232" t="n"/>
    </row>
    <row r="162">
      <c r="B162" s="2" t="n"/>
      <c r="C162" s="105" t="n"/>
      <c r="D162" s="105" t="n"/>
      <c r="E162" s="105" t="n"/>
      <c r="F162" s="105" t="n"/>
      <c r="G162" s="105" t="n"/>
      <c r="H162" s="2" t="n"/>
      <c r="I162" s="10" t="n"/>
      <c r="K162" s="232" t="n"/>
      <c r="L162" s="232" t="n"/>
      <c r="M162" s="232" t="n"/>
      <c r="N162" s="232" t="n"/>
      <c r="O162" s="232" t="n"/>
      <c r="P162" s="232" t="n"/>
      <c r="Q162" s="232" t="n"/>
      <c r="R162" s="232" t="n"/>
      <c r="S162" s="232" t="n"/>
      <c r="T162" s="232" t="n"/>
      <c r="U162" s="232" t="n"/>
      <c r="V162" s="232" t="n"/>
      <c r="W162" s="232" t="n"/>
      <c r="X162" s="232" t="n"/>
      <c r="Y162" s="232" t="n"/>
      <c r="Z162" s="232" t="n"/>
      <c r="AA162" s="232" t="n"/>
      <c r="AB162" s="232" t="n"/>
      <c r="AC162" s="232" t="n"/>
      <c r="AD162" s="232" t="n"/>
      <c r="AE162" s="232" t="n"/>
      <c r="AF162" s="232" t="n"/>
      <c r="AG162" s="232" t="n"/>
      <c r="AH162" s="232" t="n"/>
      <c r="AI162" s="232" t="n"/>
      <c r="AJ162" s="232" t="n"/>
      <c r="AK162" s="232" t="n"/>
    </row>
    <row r="163">
      <c r="B163" s="2" t="n"/>
      <c r="C163" s="105" t="n"/>
      <c r="D163" s="105" t="n"/>
      <c r="E163" s="105" t="n"/>
      <c r="F163" s="105" t="n"/>
      <c r="G163" s="105" t="n"/>
      <c r="H163" s="2" t="n"/>
      <c r="I163" s="10" t="n"/>
      <c r="K163" s="232" t="n"/>
      <c r="L163" s="232" t="n"/>
      <c r="M163" s="232" t="n"/>
      <c r="N163" s="232" t="n"/>
      <c r="O163" s="232" t="n"/>
      <c r="P163" s="232" t="n"/>
      <c r="Q163" s="232" t="n"/>
      <c r="R163" s="232" t="n"/>
      <c r="S163" s="232" t="n"/>
      <c r="T163" s="232" t="n"/>
      <c r="U163" s="232" t="n"/>
      <c r="V163" s="232" t="n"/>
      <c r="W163" s="232" t="n"/>
      <c r="X163" s="232" t="n"/>
      <c r="Y163" s="232" t="n"/>
      <c r="Z163" s="232" t="n"/>
      <c r="AA163" s="232" t="n"/>
      <c r="AB163" s="232" t="n"/>
      <c r="AC163" s="232" t="n"/>
      <c r="AD163" s="232" t="n"/>
      <c r="AE163" s="232" t="n"/>
      <c r="AF163" s="232" t="n"/>
      <c r="AG163" s="232" t="n"/>
      <c r="AH163" s="232" t="n"/>
      <c r="AI163" s="232" t="n"/>
      <c r="AJ163" s="232" t="n"/>
      <c r="AK163" s="232" t="n"/>
    </row>
    <row r="164">
      <c r="B164" s="2" t="n"/>
      <c r="C164" s="105" t="n"/>
      <c r="D164" s="105" t="n"/>
      <c r="E164" s="105" t="n"/>
      <c r="F164" s="105" t="n"/>
      <c r="G164" s="105" t="n"/>
      <c r="H164" s="2" t="n"/>
      <c r="I164" s="10" t="n"/>
      <c r="K164" s="232" t="n"/>
      <c r="L164" s="232" t="n"/>
      <c r="M164" s="232" t="n"/>
      <c r="N164" s="232" t="n"/>
      <c r="O164" s="232" t="n"/>
      <c r="P164" s="232" t="n"/>
      <c r="Q164" s="232" t="n"/>
      <c r="R164" s="232" t="n"/>
      <c r="S164" s="232" t="n"/>
      <c r="T164" s="232" t="n"/>
      <c r="U164" s="232" t="n"/>
      <c r="V164" s="232" t="n"/>
      <c r="W164" s="232" t="n"/>
      <c r="X164" s="232" t="n"/>
      <c r="Y164" s="232" t="n"/>
      <c r="Z164" s="232" t="n"/>
      <c r="AA164" s="232" t="n"/>
      <c r="AB164" s="232" t="n"/>
      <c r="AC164" s="232" t="n"/>
      <c r="AD164" s="232" t="n"/>
      <c r="AE164" s="232" t="n"/>
      <c r="AF164" s="232" t="n"/>
      <c r="AG164" s="232" t="n"/>
      <c r="AH164" s="232" t="n"/>
      <c r="AI164" s="232" t="n"/>
      <c r="AJ164" s="232" t="n"/>
      <c r="AK164" s="232" t="n"/>
    </row>
    <row r="165">
      <c r="B165" s="2" t="n"/>
      <c r="C165" s="105" t="n"/>
      <c r="D165" s="105" t="n"/>
      <c r="E165" s="105" t="n"/>
      <c r="F165" s="105" t="n"/>
      <c r="G165" s="105" t="n"/>
      <c r="H165" s="2" t="n"/>
      <c r="I165" s="10" t="n"/>
      <c r="K165" s="232" t="n"/>
      <c r="L165" s="232" t="n"/>
      <c r="M165" s="232" t="n"/>
      <c r="N165" s="232" t="n"/>
      <c r="O165" s="232" t="n"/>
      <c r="P165" s="232" t="n"/>
      <c r="Q165" s="232" t="n"/>
      <c r="R165" s="232" t="n"/>
      <c r="S165" s="232" t="n"/>
      <c r="T165" s="232" t="n"/>
      <c r="U165" s="232" t="n"/>
      <c r="V165" s="232" t="n"/>
      <c r="W165" s="232" t="n"/>
      <c r="X165" s="232" t="n"/>
      <c r="Y165" s="232" t="n"/>
      <c r="Z165" s="232" t="n"/>
      <c r="AA165" s="232" t="n"/>
      <c r="AB165" s="232" t="n"/>
      <c r="AC165" s="232" t="n"/>
      <c r="AD165" s="232" t="n"/>
      <c r="AE165" s="232" t="n"/>
      <c r="AF165" s="232" t="n"/>
      <c r="AG165" s="232" t="n"/>
      <c r="AH165" s="232" t="n"/>
      <c r="AI165" s="232" t="n"/>
      <c r="AJ165" s="232" t="n"/>
      <c r="AK165" s="232" t="n"/>
    </row>
    <row r="166">
      <c r="B166" s="2" t="n"/>
      <c r="C166" s="105" t="n"/>
      <c r="D166" s="105" t="n"/>
      <c r="E166" s="105" t="n"/>
      <c r="F166" s="105" t="n"/>
      <c r="G166" s="105" t="n"/>
      <c r="H166" s="2" t="n"/>
      <c r="I166" s="10" t="n"/>
      <c r="K166" s="232" t="n"/>
      <c r="L166" s="232" t="n"/>
      <c r="M166" s="232" t="n"/>
      <c r="N166" s="232" t="n"/>
      <c r="O166" s="232" t="n"/>
      <c r="P166" s="232" t="n"/>
      <c r="Q166" s="232" t="n"/>
      <c r="R166" s="232" t="n"/>
      <c r="S166" s="232" t="n"/>
      <c r="T166" s="232" t="n"/>
      <c r="U166" s="232" t="n"/>
      <c r="V166" s="232" t="n"/>
      <c r="W166" s="232" t="n"/>
      <c r="X166" s="232" t="n"/>
      <c r="Y166" s="232" t="n"/>
      <c r="Z166" s="232" t="n"/>
      <c r="AA166" s="232" t="n"/>
      <c r="AB166" s="232" t="n"/>
      <c r="AC166" s="232" t="n"/>
      <c r="AD166" s="232" t="n"/>
      <c r="AE166" s="232" t="n"/>
      <c r="AF166" s="232" t="n"/>
      <c r="AG166" s="232" t="n"/>
      <c r="AH166" s="232" t="n"/>
      <c r="AI166" s="232" t="n"/>
      <c r="AJ166" s="232" t="n"/>
      <c r="AK166" s="232" t="n"/>
    </row>
    <row r="167">
      <c r="B167" s="2" t="n"/>
      <c r="C167" s="105" t="n"/>
      <c r="D167" s="105" t="n"/>
      <c r="E167" s="105" t="n"/>
      <c r="F167" s="105" t="n"/>
      <c r="G167" s="105" t="n"/>
      <c r="H167" s="2" t="n"/>
      <c r="I167" s="10" t="n"/>
      <c r="K167" s="232" t="n"/>
      <c r="L167" s="232" t="n"/>
      <c r="M167" s="232" t="n"/>
      <c r="N167" s="232" t="n"/>
      <c r="O167" s="232" t="n"/>
      <c r="P167" s="232" t="n"/>
      <c r="Q167" s="232" t="n"/>
      <c r="R167" s="232" t="n"/>
      <c r="S167" s="232" t="n"/>
      <c r="T167" s="232" t="n"/>
      <c r="U167" s="232" t="n"/>
      <c r="V167" s="232" t="n"/>
      <c r="W167" s="232" t="n"/>
      <c r="X167" s="232" t="n"/>
      <c r="Y167" s="232" t="n"/>
      <c r="Z167" s="232" t="n"/>
      <c r="AA167" s="232" t="n"/>
      <c r="AB167" s="232" t="n"/>
      <c r="AC167" s="232" t="n"/>
      <c r="AD167" s="232" t="n"/>
      <c r="AE167" s="232" t="n"/>
      <c r="AF167" s="232" t="n"/>
      <c r="AG167" s="232" t="n"/>
      <c r="AH167" s="232" t="n"/>
      <c r="AI167" s="232" t="n"/>
      <c r="AJ167" s="232" t="n"/>
      <c r="AK167" s="232" t="n"/>
    </row>
    <row r="168">
      <c r="B168" s="2" t="n"/>
      <c r="C168" s="105" t="n"/>
      <c r="D168" s="105" t="n"/>
      <c r="E168" s="105" t="n"/>
      <c r="F168" s="105" t="n"/>
      <c r="G168" s="105" t="n"/>
      <c r="H168" s="2" t="n"/>
      <c r="I168" s="10" t="n"/>
      <c r="K168" s="232" t="n"/>
      <c r="L168" s="232" t="n"/>
      <c r="M168" s="232" t="n"/>
      <c r="N168" s="232" t="n"/>
      <c r="O168" s="232" t="n"/>
      <c r="P168" s="232" t="n"/>
      <c r="Q168" s="232" t="n"/>
      <c r="R168" s="232" t="n"/>
      <c r="S168" s="232" t="n"/>
      <c r="T168" s="232" t="n"/>
      <c r="U168" s="232" t="n"/>
      <c r="V168" s="232" t="n"/>
      <c r="W168" s="232" t="n"/>
      <c r="X168" s="232" t="n"/>
      <c r="Y168" s="232" t="n"/>
      <c r="Z168" s="232" t="n"/>
      <c r="AA168" s="232" t="n"/>
      <c r="AB168" s="232" t="n"/>
      <c r="AC168" s="232" t="n"/>
      <c r="AD168" s="232" t="n"/>
      <c r="AE168" s="232" t="n"/>
      <c r="AF168" s="232" t="n"/>
      <c r="AG168" s="232" t="n"/>
      <c r="AH168" s="232" t="n"/>
      <c r="AI168" s="232" t="n"/>
      <c r="AJ168" s="232" t="n"/>
      <c r="AK168" s="232" t="n"/>
    </row>
    <row r="169">
      <c r="B169" s="2" t="n"/>
      <c r="C169" s="105" t="n"/>
      <c r="D169" s="105" t="n"/>
      <c r="E169" s="105" t="n"/>
      <c r="F169" s="105" t="n"/>
      <c r="G169" s="105" t="n"/>
      <c r="H169" s="2" t="n"/>
      <c r="I169" s="10" t="n"/>
      <c r="K169" s="232" t="n"/>
      <c r="L169" s="232" t="n"/>
      <c r="M169" s="232" t="n"/>
      <c r="N169" s="232" t="n"/>
      <c r="O169" s="232" t="n"/>
      <c r="P169" s="232" t="n"/>
      <c r="Q169" s="232" t="n"/>
      <c r="R169" s="232" t="n"/>
      <c r="S169" s="232" t="n"/>
      <c r="T169" s="232" t="n"/>
      <c r="U169" s="232" t="n"/>
      <c r="V169" s="232" t="n"/>
      <c r="W169" s="232" t="n"/>
      <c r="X169" s="232" t="n"/>
      <c r="Y169" s="232" t="n"/>
      <c r="Z169" s="232" t="n"/>
      <c r="AA169" s="232" t="n"/>
      <c r="AB169" s="232" t="n"/>
      <c r="AC169" s="232" t="n"/>
      <c r="AD169" s="232" t="n"/>
      <c r="AE169" s="232" t="n"/>
      <c r="AF169" s="232" t="n"/>
      <c r="AG169" s="232" t="n"/>
      <c r="AH169" s="232" t="n"/>
      <c r="AI169" s="232" t="n"/>
      <c r="AJ169" s="232" t="n"/>
      <c r="AK169" s="232" t="n"/>
    </row>
    <row r="170">
      <c r="B170" s="2" t="n"/>
      <c r="C170" s="105" t="n"/>
      <c r="D170" s="105" t="n"/>
      <c r="E170" s="105" t="n"/>
      <c r="F170" s="105" t="n"/>
      <c r="G170" s="105" t="n"/>
      <c r="H170" s="2" t="n"/>
      <c r="I170" s="10" t="n"/>
      <c r="K170" s="232" t="n"/>
      <c r="L170" s="232" t="n"/>
      <c r="M170" s="232" t="n"/>
      <c r="N170" s="232" t="n"/>
      <c r="O170" s="232" t="n"/>
      <c r="P170" s="232" t="n"/>
      <c r="Q170" s="232" t="n"/>
      <c r="R170" s="232" t="n"/>
      <c r="S170" s="232" t="n"/>
      <c r="T170" s="232" t="n"/>
      <c r="U170" s="232" t="n"/>
      <c r="V170" s="232" t="n"/>
      <c r="W170" s="232" t="n"/>
      <c r="X170" s="232" t="n"/>
      <c r="Y170" s="232" t="n"/>
      <c r="Z170" s="232" t="n"/>
      <c r="AA170" s="232" t="n"/>
      <c r="AB170" s="232" t="n"/>
      <c r="AC170" s="232" t="n"/>
      <c r="AD170" s="232" t="n"/>
      <c r="AE170" s="232" t="n"/>
      <c r="AF170" s="232" t="n"/>
      <c r="AG170" s="232" t="n"/>
      <c r="AH170" s="232" t="n"/>
      <c r="AI170" s="232" t="n"/>
      <c r="AJ170" s="232" t="n"/>
      <c r="AK170" s="232" t="n"/>
    </row>
    <row r="171">
      <c r="B171" s="2" t="n"/>
      <c r="C171" s="105" t="n"/>
      <c r="D171" s="105" t="n"/>
      <c r="E171" s="105" t="n"/>
      <c r="F171" s="105" t="n"/>
      <c r="G171" s="105" t="n"/>
      <c r="H171" s="2" t="n"/>
      <c r="I171" s="10" t="n"/>
      <c r="K171" s="232" t="n"/>
      <c r="L171" s="232" t="n"/>
      <c r="M171" s="232" t="n"/>
      <c r="N171" s="232" t="n"/>
      <c r="O171" s="232" t="n"/>
      <c r="P171" s="232" t="n"/>
      <c r="Q171" s="232" t="n"/>
      <c r="R171" s="232" t="n"/>
      <c r="S171" s="232" t="n"/>
      <c r="T171" s="232" t="n"/>
      <c r="U171" s="232" t="n"/>
      <c r="V171" s="232" t="n"/>
      <c r="W171" s="232" t="n"/>
      <c r="X171" s="232" t="n"/>
      <c r="Y171" s="232" t="n"/>
      <c r="Z171" s="232" t="n"/>
      <c r="AA171" s="232" t="n"/>
      <c r="AB171" s="232" t="n"/>
      <c r="AC171" s="232" t="n"/>
      <c r="AD171" s="232" t="n"/>
      <c r="AE171" s="232" t="n"/>
      <c r="AF171" s="232" t="n"/>
      <c r="AG171" s="232" t="n"/>
      <c r="AH171" s="232" t="n"/>
      <c r="AI171" s="232" t="n"/>
      <c r="AJ171" s="232" t="n"/>
      <c r="AK171" s="232" t="n"/>
    </row>
    <row r="172">
      <c r="B172" s="2" t="n"/>
      <c r="C172" s="105" t="n"/>
      <c r="D172" s="105" t="n"/>
      <c r="E172" s="105" t="n"/>
      <c r="F172" s="105" t="n"/>
      <c r="G172" s="105" t="n"/>
      <c r="H172" s="2" t="n"/>
      <c r="I172" s="10" t="n"/>
      <c r="K172" s="232" t="n"/>
      <c r="L172" s="232" t="n"/>
      <c r="M172" s="232" t="n"/>
      <c r="N172" s="232" t="n"/>
      <c r="O172" s="232" t="n"/>
      <c r="P172" s="232" t="n"/>
      <c r="Q172" s="232" t="n"/>
      <c r="R172" s="232" t="n"/>
      <c r="S172" s="232" t="n"/>
      <c r="T172" s="232" t="n"/>
      <c r="U172" s="232" t="n"/>
      <c r="V172" s="232" t="n"/>
      <c r="W172" s="232" t="n"/>
      <c r="X172" s="232" t="n"/>
      <c r="Y172" s="232" t="n"/>
      <c r="Z172" s="232" t="n"/>
      <c r="AA172" s="232" t="n"/>
      <c r="AB172" s="232" t="n"/>
      <c r="AC172" s="232" t="n"/>
      <c r="AD172" s="232" t="n"/>
      <c r="AE172" s="232" t="n"/>
      <c r="AF172" s="232" t="n"/>
      <c r="AG172" s="232" t="n"/>
      <c r="AH172" s="232" t="n"/>
      <c r="AI172" s="232" t="n"/>
      <c r="AJ172" s="232" t="n"/>
      <c r="AK172" s="232" t="n"/>
    </row>
    <row r="173">
      <c r="B173" s="2" t="n"/>
      <c r="C173" s="105" t="n"/>
      <c r="D173" s="105" t="n"/>
      <c r="E173" s="105" t="n"/>
      <c r="F173" s="105" t="n"/>
      <c r="G173" s="105" t="n"/>
      <c r="H173" s="2" t="n"/>
      <c r="I173" s="10" t="n"/>
      <c r="K173" s="232" t="n"/>
      <c r="L173" s="232" t="n"/>
      <c r="M173" s="232" t="n"/>
      <c r="N173" s="232" t="n"/>
      <c r="O173" s="232" t="n"/>
      <c r="P173" s="232" t="n"/>
      <c r="Q173" s="232" t="n"/>
      <c r="R173" s="232" t="n"/>
      <c r="S173" s="232" t="n"/>
      <c r="T173" s="232" t="n"/>
      <c r="U173" s="232" t="n"/>
      <c r="V173" s="232" t="n"/>
      <c r="W173" s="232" t="n"/>
      <c r="X173" s="232" t="n"/>
      <c r="Y173" s="232" t="n"/>
      <c r="Z173" s="232" t="n"/>
      <c r="AA173" s="232" t="n"/>
      <c r="AB173" s="232" t="n"/>
      <c r="AC173" s="232" t="n"/>
      <c r="AD173" s="232" t="n"/>
      <c r="AE173" s="232" t="n"/>
      <c r="AF173" s="232" t="n"/>
      <c r="AG173" s="232" t="n"/>
      <c r="AH173" s="232" t="n"/>
      <c r="AI173" s="232" t="n"/>
      <c r="AJ173" s="232" t="n"/>
      <c r="AK173" s="232" t="n"/>
    </row>
    <row r="174">
      <c r="B174" s="2" t="n"/>
      <c r="C174" s="105" t="n"/>
      <c r="D174" s="105" t="n"/>
      <c r="E174" s="105" t="n"/>
      <c r="F174" s="105" t="n"/>
      <c r="G174" s="105" t="n"/>
      <c r="H174" s="2" t="n"/>
      <c r="I174" s="10" t="n"/>
      <c r="K174" s="232" t="n"/>
      <c r="L174" s="232" t="n"/>
      <c r="M174" s="232" t="n"/>
      <c r="N174" s="232" t="n"/>
      <c r="O174" s="232" t="n"/>
      <c r="P174" s="232" t="n"/>
      <c r="Q174" s="232" t="n"/>
      <c r="R174" s="232" t="n"/>
      <c r="S174" s="232" t="n"/>
      <c r="T174" s="232" t="n"/>
      <c r="U174" s="232" t="n"/>
      <c r="V174" s="232" t="n"/>
      <c r="W174" s="232" t="n"/>
      <c r="X174" s="232" t="n"/>
      <c r="Y174" s="232" t="n"/>
      <c r="Z174" s="232" t="n"/>
      <c r="AA174" s="232" t="n"/>
      <c r="AB174" s="232" t="n"/>
      <c r="AC174" s="232" t="n"/>
      <c r="AD174" s="232" t="n"/>
      <c r="AE174" s="232" t="n"/>
      <c r="AF174" s="232" t="n"/>
      <c r="AG174" s="232" t="n"/>
      <c r="AH174" s="232" t="n"/>
      <c r="AI174" s="232" t="n"/>
      <c r="AJ174" s="232" t="n"/>
      <c r="AK174" s="232" t="n"/>
    </row>
    <row r="175">
      <c r="B175" s="2" t="n"/>
      <c r="C175" s="105" t="n"/>
      <c r="D175" s="105" t="n"/>
      <c r="E175" s="105" t="n"/>
      <c r="F175" s="105" t="n"/>
      <c r="G175" s="105" t="n"/>
      <c r="H175" s="2" t="n"/>
      <c r="I175" s="10" t="n"/>
      <c r="K175" s="232" t="n"/>
      <c r="L175" s="232" t="n"/>
      <c r="M175" s="232" t="n"/>
      <c r="N175" s="232" t="n"/>
      <c r="O175" s="232" t="n"/>
      <c r="P175" s="232" t="n"/>
      <c r="Q175" s="232" t="n"/>
      <c r="R175" s="232" t="n"/>
      <c r="S175" s="232" t="n"/>
      <c r="T175" s="232" t="n"/>
      <c r="U175" s="232" t="n"/>
      <c r="V175" s="232" t="n"/>
      <c r="W175" s="232" t="n"/>
      <c r="X175" s="232" t="n"/>
      <c r="Y175" s="232" t="n"/>
      <c r="Z175" s="232" t="n"/>
      <c r="AA175" s="232" t="n"/>
      <c r="AB175" s="232" t="n"/>
      <c r="AC175" s="232" t="n"/>
      <c r="AD175" s="232" t="n"/>
      <c r="AE175" s="232" t="n"/>
      <c r="AF175" s="232" t="n"/>
      <c r="AG175" s="232" t="n"/>
      <c r="AH175" s="232" t="n"/>
      <c r="AI175" s="232" t="n"/>
      <c r="AJ175" s="232" t="n"/>
      <c r="AK175" s="232" t="n"/>
    </row>
    <row r="176">
      <c r="B176" s="2" t="n"/>
      <c r="C176" s="105" t="n"/>
      <c r="D176" s="105" t="n"/>
      <c r="E176" s="105" t="n"/>
      <c r="F176" s="105" t="n"/>
      <c r="G176" s="105" t="n"/>
      <c r="H176" s="2" t="n"/>
      <c r="I176" s="10" t="n"/>
      <c r="K176" s="232" t="n"/>
      <c r="L176" s="232" t="n"/>
      <c r="M176" s="232" t="n"/>
      <c r="N176" s="232" t="n"/>
      <c r="O176" s="232" t="n"/>
      <c r="P176" s="232" t="n"/>
      <c r="Q176" s="232" t="n"/>
      <c r="R176" s="232" t="n"/>
      <c r="S176" s="232" t="n"/>
      <c r="T176" s="232" t="n"/>
      <c r="U176" s="232" t="n"/>
      <c r="V176" s="232" t="n"/>
      <c r="W176" s="232" t="n"/>
      <c r="X176" s="232" t="n"/>
      <c r="Y176" s="232" t="n"/>
      <c r="Z176" s="232" t="n"/>
      <c r="AA176" s="232" t="n"/>
      <c r="AB176" s="232" t="n"/>
      <c r="AC176" s="232" t="n"/>
      <c r="AD176" s="232" t="n"/>
      <c r="AE176" s="232" t="n"/>
      <c r="AF176" s="232" t="n"/>
      <c r="AG176" s="232" t="n"/>
      <c r="AH176" s="232" t="n"/>
      <c r="AI176" s="232" t="n"/>
      <c r="AJ176" s="232" t="n"/>
      <c r="AK176" s="232" t="n"/>
    </row>
    <row r="177">
      <c r="B177" s="2" t="n"/>
      <c r="C177" s="105" t="n"/>
      <c r="D177" s="105" t="n"/>
      <c r="E177" s="105" t="n"/>
      <c r="F177" s="105" t="n"/>
      <c r="G177" s="105" t="n"/>
      <c r="H177" s="2" t="n"/>
      <c r="I177" s="10" t="n"/>
      <c r="K177" s="232" t="n"/>
      <c r="L177" s="232" t="n"/>
      <c r="M177" s="232" t="n"/>
      <c r="N177" s="232" t="n"/>
      <c r="O177" s="232" t="n"/>
      <c r="P177" s="232" t="n"/>
      <c r="Q177" s="232" t="n"/>
      <c r="R177" s="232" t="n"/>
      <c r="S177" s="232" t="n"/>
      <c r="T177" s="232" t="n"/>
      <c r="U177" s="232" t="n"/>
      <c r="V177" s="232" t="n"/>
      <c r="W177" s="232" t="n"/>
      <c r="X177" s="232" t="n"/>
      <c r="Y177" s="232" t="n"/>
      <c r="Z177" s="232" t="n"/>
      <c r="AA177" s="232" t="n"/>
      <c r="AB177" s="232" t="n"/>
      <c r="AC177" s="232" t="n"/>
      <c r="AD177" s="232" t="n"/>
      <c r="AE177" s="232" t="n"/>
      <c r="AF177" s="232" t="n"/>
      <c r="AG177" s="232" t="n"/>
      <c r="AH177" s="232" t="n"/>
      <c r="AI177" s="232" t="n"/>
      <c r="AJ177" s="232" t="n"/>
      <c r="AK177" s="232" t="n"/>
    </row>
    <row r="178">
      <c r="B178" s="2" t="n"/>
      <c r="C178" s="105" t="n"/>
      <c r="D178" s="105" t="n"/>
      <c r="E178" s="105" t="n"/>
      <c r="F178" s="105" t="n"/>
      <c r="G178" s="105" t="n"/>
      <c r="H178" s="2" t="n"/>
      <c r="I178" s="10" t="n"/>
      <c r="K178" s="232" t="n"/>
      <c r="L178" s="232" t="n"/>
      <c r="M178" s="232" t="n"/>
      <c r="N178" s="232" t="n"/>
      <c r="O178" s="232" t="n"/>
      <c r="P178" s="232" t="n"/>
      <c r="Q178" s="232" t="n"/>
      <c r="R178" s="232" t="n"/>
      <c r="S178" s="232" t="n"/>
      <c r="T178" s="232" t="n"/>
      <c r="U178" s="232" t="n"/>
      <c r="V178" s="232" t="n"/>
      <c r="W178" s="232" t="n"/>
      <c r="X178" s="232" t="n"/>
      <c r="Y178" s="232" t="n"/>
      <c r="Z178" s="232" t="n"/>
      <c r="AA178" s="232" t="n"/>
      <c r="AB178" s="232" t="n"/>
      <c r="AC178" s="232" t="n"/>
      <c r="AD178" s="232" t="n"/>
      <c r="AE178" s="232" t="n"/>
      <c r="AF178" s="232" t="n"/>
      <c r="AG178" s="232" t="n"/>
      <c r="AH178" s="232" t="n"/>
      <c r="AI178" s="232" t="n"/>
      <c r="AJ178" s="232" t="n"/>
      <c r="AK178" s="232" t="n"/>
    </row>
    <row r="179">
      <c r="B179" s="2" t="n"/>
      <c r="C179" s="105" t="n"/>
      <c r="D179" s="105" t="n"/>
      <c r="E179" s="105" t="n"/>
      <c r="F179" s="105" t="n"/>
      <c r="G179" s="105" t="n"/>
      <c r="H179" s="2" t="n"/>
      <c r="I179" s="10" t="n"/>
      <c r="K179" s="232" t="n"/>
      <c r="L179" s="232" t="n"/>
      <c r="M179" s="232" t="n"/>
      <c r="N179" s="232" t="n"/>
      <c r="O179" s="232" t="n"/>
      <c r="P179" s="232" t="n"/>
      <c r="Q179" s="232" t="n"/>
      <c r="R179" s="232" t="n"/>
      <c r="S179" s="232" t="n"/>
      <c r="T179" s="232" t="n"/>
      <c r="U179" s="232" t="n"/>
      <c r="V179" s="232" t="n"/>
      <c r="W179" s="232" t="n"/>
      <c r="X179" s="232" t="n"/>
      <c r="Y179" s="232" t="n"/>
      <c r="Z179" s="232" t="n"/>
      <c r="AA179" s="232" t="n"/>
      <c r="AB179" s="232" t="n"/>
      <c r="AC179" s="232" t="n"/>
      <c r="AD179" s="232" t="n"/>
      <c r="AE179" s="232" t="n"/>
      <c r="AF179" s="232" t="n"/>
      <c r="AG179" s="232" t="n"/>
      <c r="AH179" s="232" t="n"/>
      <c r="AI179" s="232" t="n"/>
      <c r="AJ179" s="232" t="n"/>
      <c r="AK179" s="232" t="n"/>
    </row>
    <row r="180">
      <c r="B180" s="2" t="n"/>
      <c r="C180" s="105" t="n"/>
      <c r="D180" s="105" t="n"/>
      <c r="E180" s="105" t="n"/>
      <c r="F180" s="105" t="n"/>
      <c r="G180" s="105" t="n"/>
      <c r="H180" s="2" t="n"/>
      <c r="I180" s="10" t="n"/>
      <c r="K180" s="232" t="n"/>
      <c r="L180" s="232" t="n"/>
      <c r="M180" s="232" t="n"/>
      <c r="N180" s="232" t="n"/>
      <c r="O180" s="232" t="n"/>
      <c r="P180" s="232" t="n"/>
      <c r="Q180" s="232" t="n"/>
      <c r="R180" s="232" t="n"/>
      <c r="S180" s="232" t="n"/>
      <c r="T180" s="232" t="n"/>
      <c r="U180" s="232" t="n"/>
      <c r="V180" s="232" t="n"/>
      <c r="W180" s="232" t="n"/>
      <c r="X180" s="232" t="n"/>
      <c r="Y180" s="232" t="n"/>
      <c r="Z180" s="232" t="n"/>
      <c r="AA180" s="232" t="n"/>
      <c r="AB180" s="232" t="n"/>
      <c r="AC180" s="232" t="n"/>
      <c r="AD180" s="232" t="n"/>
      <c r="AE180" s="232" t="n"/>
      <c r="AF180" s="232" t="n"/>
      <c r="AG180" s="232" t="n"/>
      <c r="AH180" s="232" t="n"/>
      <c r="AI180" s="232" t="n"/>
      <c r="AJ180" s="232" t="n"/>
      <c r="AK180" s="232" t="n"/>
    </row>
    <row r="181">
      <c r="B181" s="2" t="n"/>
      <c r="C181" s="105" t="n"/>
      <c r="D181" s="105" t="n"/>
      <c r="E181" s="105" t="n"/>
      <c r="F181" s="105" t="n"/>
      <c r="G181" s="105" t="n"/>
      <c r="H181" s="2" t="n"/>
      <c r="I181" s="10" t="n"/>
      <c r="K181" s="232" t="n"/>
      <c r="L181" s="232" t="n"/>
      <c r="M181" s="232" t="n"/>
      <c r="N181" s="232" t="n"/>
      <c r="O181" s="232" t="n"/>
      <c r="P181" s="232" t="n"/>
      <c r="Q181" s="232" t="n"/>
      <c r="R181" s="232" t="n"/>
      <c r="S181" s="232" t="n"/>
      <c r="T181" s="232" t="n"/>
      <c r="U181" s="232" t="n"/>
      <c r="V181" s="232" t="n"/>
      <c r="W181" s="232" t="n"/>
      <c r="X181" s="232" t="n"/>
      <c r="Y181" s="232" t="n"/>
      <c r="Z181" s="232" t="n"/>
      <c r="AA181" s="232" t="n"/>
      <c r="AB181" s="232" t="n"/>
      <c r="AC181" s="232" t="n"/>
      <c r="AD181" s="232" t="n"/>
      <c r="AE181" s="232" t="n"/>
      <c r="AF181" s="232" t="n"/>
      <c r="AG181" s="232" t="n"/>
      <c r="AH181" s="232" t="n"/>
      <c r="AI181" s="232" t="n"/>
      <c r="AJ181" s="232" t="n"/>
      <c r="AK181" s="232" t="n"/>
    </row>
    <row r="182">
      <c r="B182" s="2" t="n"/>
      <c r="C182" s="105" t="n"/>
      <c r="D182" s="105" t="n"/>
      <c r="E182" s="105" t="n"/>
      <c r="F182" s="105" t="n"/>
      <c r="G182" s="105" t="n"/>
      <c r="H182" s="2" t="n"/>
      <c r="I182" s="10" t="n"/>
      <c r="K182" s="232" t="n"/>
      <c r="L182" s="232" t="n"/>
      <c r="M182" s="232" t="n"/>
      <c r="N182" s="232" t="n"/>
      <c r="O182" s="232" t="n"/>
      <c r="P182" s="232" t="n"/>
      <c r="Q182" s="232" t="n"/>
      <c r="R182" s="232" t="n"/>
      <c r="S182" s="232" t="n"/>
      <c r="T182" s="232" t="n"/>
      <c r="U182" s="232" t="n"/>
      <c r="V182" s="232" t="n"/>
      <c r="W182" s="232" t="n"/>
      <c r="X182" s="232" t="n"/>
      <c r="Y182" s="232" t="n"/>
      <c r="Z182" s="232" t="n"/>
      <c r="AA182" s="232" t="n"/>
      <c r="AB182" s="232" t="n"/>
      <c r="AC182" s="232" t="n"/>
      <c r="AD182" s="232" t="n"/>
      <c r="AE182" s="232" t="n"/>
      <c r="AF182" s="232" t="n"/>
      <c r="AG182" s="232" t="n"/>
      <c r="AH182" s="232" t="n"/>
      <c r="AI182" s="232" t="n"/>
      <c r="AJ182" s="232" t="n"/>
      <c r="AK182" s="232" t="n"/>
    </row>
    <row r="183">
      <c r="B183" s="2" t="n"/>
      <c r="C183" s="105" t="n"/>
      <c r="D183" s="105" t="n"/>
      <c r="E183" s="105" t="n"/>
      <c r="F183" s="105" t="n"/>
      <c r="G183" s="105" t="n"/>
      <c r="H183" s="2" t="n"/>
      <c r="I183" s="10" t="n"/>
      <c r="K183" s="232" t="n"/>
      <c r="L183" s="232" t="n"/>
      <c r="M183" s="232" t="n"/>
      <c r="N183" s="232" t="n"/>
      <c r="O183" s="232" t="n"/>
      <c r="P183" s="232" t="n"/>
      <c r="Q183" s="232" t="n"/>
      <c r="R183" s="232" t="n"/>
      <c r="S183" s="232" t="n"/>
      <c r="T183" s="232" t="n"/>
      <c r="U183" s="232" t="n"/>
      <c r="V183" s="232" t="n"/>
      <c r="W183" s="232" t="n"/>
      <c r="X183" s="232" t="n"/>
      <c r="Y183" s="232" t="n"/>
      <c r="Z183" s="232" t="n"/>
      <c r="AA183" s="232" t="n"/>
      <c r="AB183" s="232" t="n"/>
      <c r="AC183" s="232" t="n"/>
      <c r="AD183" s="232" t="n"/>
      <c r="AE183" s="232" t="n"/>
      <c r="AF183" s="232" t="n"/>
      <c r="AG183" s="232" t="n"/>
      <c r="AH183" s="232" t="n"/>
      <c r="AI183" s="232" t="n"/>
      <c r="AJ183" s="232" t="n"/>
      <c r="AK183" s="232" t="n"/>
    </row>
    <row r="184">
      <c r="B184" s="2" t="n"/>
      <c r="C184" s="105" t="n"/>
      <c r="D184" s="105" t="n"/>
      <c r="E184" s="105" t="n"/>
      <c r="F184" s="105" t="n"/>
      <c r="G184" s="105" t="n"/>
      <c r="H184" s="2" t="n"/>
      <c r="I184" s="10" t="n"/>
      <c r="K184" s="232" t="n"/>
      <c r="L184" s="232" t="n"/>
      <c r="M184" s="232" t="n"/>
      <c r="N184" s="232" t="n"/>
      <c r="O184" s="232" t="n"/>
      <c r="P184" s="232" t="n"/>
      <c r="Q184" s="232" t="n"/>
      <c r="R184" s="232" t="n"/>
      <c r="S184" s="232" t="n"/>
      <c r="T184" s="232" t="n"/>
      <c r="U184" s="232" t="n"/>
      <c r="V184" s="232" t="n"/>
      <c r="W184" s="232" t="n"/>
      <c r="X184" s="232" t="n"/>
      <c r="Y184" s="232" t="n"/>
      <c r="Z184" s="232" t="n"/>
      <c r="AA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</row>
    <row r="185">
      <c r="B185" s="2" t="n"/>
      <c r="C185" s="105" t="n"/>
      <c r="D185" s="105" t="n"/>
      <c r="E185" s="105" t="n"/>
      <c r="F185" s="105" t="n"/>
      <c r="G185" s="105" t="n"/>
      <c r="H185" s="2" t="n"/>
      <c r="I185" s="10" t="n"/>
      <c r="K185" s="232" t="n"/>
      <c r="L185" s="232" t="n"/>
      <c r="M185" s="232" t="n"/>
      <c r="N185" s="232" t="n"/>
      <c r="O185" s="232" t="n"/>
      <c r="P185" s="232" t="n"/>
      <c r="Q185" s="232" t="n"/>
      <c r="R185" s="232" t="n"/>
      <c r="S185" s="232" t="n"/>
      <c r="T185" s="232" t="n"/>
      <c r="U185" s="232" t="n"/>
      <c r="V185" s="232" t="n"/>
      <c r="W185" s="232" t="n"/>
      <c r="X185" s="232" t="n"/>
      <c r="Y185" s="232" t="n"/>
      <c r="Z185" s="232" t="n"/>
      <c r="AA185" s="232" t="n"/>
      <c r="AB185" s="232" t="n"/>
      <c r="AC185" s="232" t="n"/>
      <c r="AD185" s="232" t="n"/>
      <c r="AE185" s="232" t="n"/>
      <c r="AF185" s="232" t="n"/>
      <c r="AG185" s="232" t="n"/>
      <c r="AH185" s="232" t="n"/>
      <c r="AI185" s="232" t="n"/>
      <c r="AJ185" s="232" t="n"/>
      <c r="AK185" s="232" t="n"/>
    </row>
    <row r="186">
      <c r="B186" s="2" t="n"/>
      <c r="C186" s="105" t="n"/>
      <c r="D186" s="105" t="n"/>
      <c r="E186" s="105" t="n"/>
      <c r="F186" s="105" t="n"/>
      <c r="G186" s="105" t="n"/>
      <c r="H186" s="2" t="n"/>
      <c r="I186" s="10" t="n"/>
      <c r="K186" s="232" t="n"/>
      <c r="L186" s="232" t="n"/>
      <c r="M186" s="232" t="n"/>
      <c r="N186" s="232" t="n"/>
      <c r="O186" s="232" t="n"/>
      <c r="P186" s="232" t="n"/>
      <c r="Q186" s="232" t="n"/>
      <c r="R186" s="232" t="n"/>
      <c r="S186" s="232" t="n"/>
      <c r="T186" s="232" t="n"/>
      <c r="U186" s="232" t="n"/>
      <c r="V186" s="232" t="n"/>
      <c r="W186" s="232" t="n"/>
      <c r="X186" s="232" t="n"/>
      <c r="Y186" s="232" t="n"/>
      <c r="Z186" s="232" t="n"/>
      <c r="AA186" s="232" t="n"/>
      <c r="AB186" s="232" t="n"/>
      <c r="AC186" s="232" t="n"/>
      <c r="AD186" s="232" t="n"/>
      <c r="AE186" s="232" t="n"/>
      <c r="AF186" s="232" t="n"/>
      <c r="AG186" s="232" t="n"/>
      <c r="AH186" s="232" t="n"/>
      <c r="AI186" s="232" t="n"/>
      <c r="AJ186" s="232" t="n"/>
      <c r="AK186" s="232" t="n"/>
    </row>
    <row r="187">
      <c r="B187" s="2" t="n"/>
      <c r="C187" s="105" t="n"/>
      <c r="D187" s="105" t="n"/>
      <c r="E187" s="105" t="n"/>
      <c r="F187" s="105" t="n"/>
      <c r="G187" s="105" t="n"/>
      <c r="H187" s="2" t="n"/>
      <c r="I187" s="10" t="n"/>
      <c r="K187" s="232" t="n"/>
      <c r="L187" s="232" t="n"/>
      <c r="M187" s="232" t="n"/>
      <c r="N187" s="232" t="n"/>
      <c r="O187" s="232" t="n"/>
      <c r="P187" s="232" t="n"/>
      <c r="Q187" s="232" t="n"/>
      <c r="R187" s="232" t="n"/>
      <c r="S187" s="232" t="n"/>
      <c r="T187" s="232" t="n"/>
      <c r="U187" s="232" t="n"/>
      <c r="V187" s="232" t="n"/>
      <c r="W187" s="232" t="n"/>
      <c r="X187" s="232" t="n"/>
      <c r="Y187" s="232" t="n"/>
      <c r="Z187" s="232" t="n"/>
      <c r="AA187" s="232" t="n"/>
      <c r="AB187" s="232" t="n"/>
      <c r="AC187" s="232" t="n"/>
      <c r="AD187" s="232" t="n"/>
      <c r="AE187" s="232" t="n"/>
      <c r="AF187" s="232" t="n"/>
      <c r="AG187" s="232" t="n"/>
      <c r="AH187" s="232" t="n"/>
      <c r="AI187" s="232" t="n"/>
      <c r="AJ187" s="232" t="n"/>
      <c r="AK187" s="232" t="n"/>
    </row>
    <row r="188">
      <c r="B188" s="2" t="n"/>
      <c r="C188" s="105" t="n"/>
      <c r="D188" s="105" t="n"/>
      <c r="E188" s="105" t="n"/>
      <c r="F188" s="105" t="n"/>
      <c r="G188" s="105" t="n"/>
      <c r="H188" s="2" t="n"/>
      <c r="I188" s="10" t="n"/>
      <c r="K188" s="232" t="n"/>
      <c r="L188" s="232" t="n"/>
      <c r="M188" s="232" t="n"/>
      <c r="N188" s="232" t="n"/>
      <c r="O188" s="232" t="n"/>
      <c r="P188" s="232" t="n"/>
      <c r="Q188" s="232" t="n"/>
      <c r="R188" s="232" t="n"/>
      <c r="S188" s="232" t="n"/>
      <c r="T188" s="232" t="n"/>
      <c r="U188" s="232" t="n"/>
      <c r="V188" s="232" t="n"/>
      <c r="W188" s="232" t="n"/>
      <c r="X188" s="232" t="n"/>
      <c r="Y188" s="232" t="n"/>
      <c r="Z188" s="232" t="n"/>
      <c r="AA188" s="232" t="n"/>
      <c r="AB188" s="232" t="n"/>
      <c r="AC188" s="232" t="n"/>
      <c r="AD188" s="232" t="n"/>
      <c r="AE188" s="232" t="n"/>
      <c r="AF188" s="232" t="n"/>
      <c r="AG188" s="232" t="n"/>
      <c r="AH188" s="232" t="n"/>
      <c r="AI188" s="232" t="n"/>
      <c r="AJ188" s="232" t="n"/>
      <c r="AK188" s="232" t="n"/>
    </row>
    <row r="189">
      <c r="B189" s="2" t="n"/>
      <c r="C189" s="105" t="n"/>
      <c r="D189" s="105" t="n"/>
      <c r="E189" s="105" t="n"/>
      <c r="F189" s="105" t="n"/>
      <c r="G189" s="105" t="n"/>
      <c r="H189" s="2" t="n"/>
      <c r="I189" s="10" t="n"/>
      <c r="K189" s="232" t="n"/>
      <c r="L189" s="232" t="n"/>
      <c r="M189" s="232" t="n"/>
      <c r="N189" s="232" t="n"/>
      <c r="O189" s="232" t="n"/>
      <c r="P189" s="232" t="n"/>
      <c r="Q189" s="232" t="n"/>
      <c r="R189" s="232" t="n"/>
      <c r="S189" s="232" t="n"/>
      <c r="T189" s="232" t="n"/>
      <c r="U189" s="232" t="n"/>
      <c r="V189" s="232" t="n"/>
      <c r="W189" s="232" t="n"/>
      <c r="X189" s="232" t="n"/>
      <c r="Y189" s="232" t="n"/>
      <c r="Z189" s="232" t="n"/>
      <c r="AA189" s="232" t="n"/>
      <c r="AB189" s="232" t="n"/>
      <c r="AC189" s="232" t="n"/>
      <c r="AD189" s="232" t="n"/>
      <c r="AE189" s="232" t="n"/>
      <c r="AF189" s="232" t="n"/>
      <c r="AG189" s="232" t="n"/>
      <c r="AH189" s="232" t="n"/>
      <c r="AI189" s="232" t="n"/>
      <c r="AJ189" s="232" t="n"/>
      <c r="AK189" s="232" t="n"/>
    </row>
    <row r="190">
      <c r="B190" s="2" t="n"/>
      <c r="C190" s="105" t="n"/>
      <c r="D190" s="105" t="n"/>
      <c r="E190" s="105" t="n"/>
      <c r="F190" s="105" t="n"/>
      <c r="G190" s="105" t="n"/>
      <c r="H190" s="2" t="n"/>
      <c r="I190" s="10" t="n"/>
      <c r="K190" s="232" t="n"/>
      <c r="L190" s="232" t="n"/>
      <c r="M190" s="232" t="n"/>
      <c r="N190" s="232" t="n"/>
      <c r="O190" s="232" t="n"/>
      <c r="P190" s="232" t="n"/>
      <c r="Q190" s="232" t="n"/>
      <c r="R190" s="232" t="n"/>
      <c r="S190" s="232" t="n"/>
      <c r="T190" s="232" t="n"/>
      <c r="U190" s="232" t="n"/>
      <c r="V190" s="232" t="n"/>
      <c r="W190" s="232" t="n"/>
      <c r="X190" s="232" t="n"/>
      <c r="Y190" s="232" t="n"/>
      <c r="Z190" s="232" t="n"/>
      <c r="AA190" s="232" t="n"/>
      <c r="AB190" s="232" t="n"/>
      <c r="AC190" s="232" t="n"/>
      <c r="AD190" s="232" t="n"/>
      <c r="AE190" s="232" t="n"/>
      <c r="AF190" s="232" t="n"/>
      <c r="AG190" s="232" t="n"/>
      <c r="AH190" s="232" t="n"/>
      <c r="AI190" s="232" t="n"/>
      <c r="AJ190" s="232" t="n"/>
      <c r="AK190" s="232" t="n"/>
    </row>
    <row r="191">
      <c r="B191" s="2" t="n"/>
      <c r="C191" s="105" t="n"/>
      <c r="D191" s="105" t="n"/>
      <c r="E191" s="105" t="n"/>
      <c r="F191" s="105" t="n"/>
      <c r="G191" s="105" t="n"/>
      <c r="H191" s="2" t="n"/>
      <c r="I191" s="10" t="n"/>
      <c r="K191" s="232" t="n"/>
      <c r="L191" s="232" t="n"/>
      <c r="M191" s="232" t="n"/>
      <c r="N191" s="232" t="n"/>
      <c r="O191" s="232" t="n"/>
      <c r="P191" s="232" t="n"/>
      <c r="Q191" s="232" t="n"/>
      <c r="R191" s="232" t="n"/>
      <c r="S191" s="232" t="n"/>
      <c r="T191" s="232" t="n"/>
      <c r="U191" s="232" t="n"/>
      <c r="V191" s="232" t="n"/>
      <c r="W191" s="232" t="n"/>
      <c r="X191" s="232" t="n"/>
      <c r="Y191" s="232" t="n"/>
      <c r="Z191" s="232" t="n"/>
      <c r="AA191" s="232" t="n"/>
      <c r="AB191" s="232" t="n"/>
      <c r="AC191" s="232" t="n"/>
      <c r="AD191" s="232" t="n"/>
      <c r="AE191" s="232" t="n"/>
      <c r="AF191" s="232" t="n"/>
      <c r="AG191" s="232" t="n"/>
      <c r="AH191" s="232" t="n"/>
      <c r="AI191" s="232" t="n"/>
      <c r="AJ191" s="232" t="n"/>
      <c r="AK191" s="232" t="n"/>
    </row>
    <row r="192">
      <c r="B192" s="2" t="n"/>
      <c r="C192" s="105" t="n"/>
      <c r="D192" s="105" t="n"/>
      <c r="E192" s="105" t="n"/>
      <c r="F192" s="105" t="n"/>
      <c r="G192" s="105" t="n"/>
      <c r="H192" s="2" t="n"/>
      <c r="I192" s="10" t="n"/>
      <c r="K192" s="232" t="n"/>
      <c r="L192" s="232" t="n"/>
      <c r="M192" s="232" t="n"/>
      <c r="N192" s="232" t="n"/>
      <c r="O192" s="232" t="n"/>
      <c r="P192" s="232" t="n"/>
      <c r="Q192" s="232" t="n"/>
      <c r="R192" s="232" t="n"/>
      <c r="S192" s="232" t="n"/>
      <c r="T192" s="232" t="n"/>
      <c r="U192" s="232" t="n"/>
      <c r="V192" s="232" t="n"/>
      <c r="W192" s="232" t="n"/>
      <c r="X192" s="232" t="n"/>
      <c r="Y192" s="232" t="n"/>
      <c r="Z192" s="232" t="n"/>
      <c r="AA192" s="232" t="n"/>
      <c r="AB192" s="232" t="n"/>
      <c r="AC192" s="232" t="n"/>
      <c r="AD192" s="232" t="n"/>
      <c r="AE192" s="232" t="n"/>
      <c r="AF192" s="232" t="n"/>
      <c r="AG192" s="232" t="n"/>
      <c r="AH192" s="232" t="n"/>
      <c r="AI192" s="232" t="n"/>
      <c r="AJ192" s="232" t="n"/>
      <c r="AK192" s="232" t="n"/>
    </row>
    <row r="193">
      <c r="B193" s="2" t="n"/>
      <c r="C193" s="105" t="n"/>
      <c r="D193" s="105" t="n"/>
      <c r="E193" s="105" t="n"/>
      <c r="F193" s="105" t="n"/>
      <c r="G193" s="105" t="n"/>
      <c r="H193" s="2" t="n"/>
      <c r="I193" s="10" t="n"/>
      <c r="K193" s="232" t="n"/>
      <c r="L193" s="232" t="n"/>
      <c r="M193" s="232" t="n"/>
      <c r="N193" s="232" t="n"/>
      <c r="O193" s="232" t="n"/>
      <c r="P193" s="232" t="n"/>
      <c r="Q193" s="232" t="n"/>
      <c r="R193" s="232" t="n"/>
      <c r="S193" s="232" t="n"/>
      <c r="T193" s="232" t="n"/>
      <c r="U193" s="232" t="n"/>
      <c r="V193" s="232" t="n"/>
      <c r="W193" s="232" t="n"/>
      <c r="X193" s="232" t="n"/>
      <c r="Y193" s="232" t="n"/>
      <c r="Z193" s="232" t="n"/>
      <c r="AA193" s="232" t="n"/>
      <c r="AB193" s="232" t="n"/>
      <c r="AC193" s="232" t="n"/>
      <c r="AD193" s="232" t="n"/>
      <c r="AE193" s="232" t="n"/>
      <c r="AF193" s="232" t="n"/>
      <c r="AG193" s="232" t="n"/>
      <c r="AH193" s="232" t="n"/>
      <c r="AI193" s="232" t="n"/>
      <c r="AJ193" s="232" t="n"/>
      <c r="AK193" s="232" t="n"/>
    </row>
    <row r="194">
      <c r="B194" s="2" t="n"/>
      <c r="C194" s="105" t="n"/>
      <c r="D194" s="105" t="n"/>
      <c r="E194" s="105" t="n"/>
      <c r="F194" s="105" t="n"/>
      <c r="G194" s="105" t="n"/>
      <c r="H194" s="2" t="n"/>
      <c r="I194" s="10" t="n"/>
      <c r="K194" s="232" t="n"/>
      <c r="L194" s="232" t="n"/>
      <c r="M194" s="232" t="n"/>
      <c r="N194" s="232" t="n"/>
      <c r="O194" s="232" t="n"/>
      <c r="P194" s="232" t="n"/>
      <c r="Q194" s="232" t="n"/>
      <c r="R194" s="232" t="n"/>
      <c r="S194" s="232" t="n"/>
      <c r="T194" s="232" t="n"/>
      <c r="U194" s="232" t="n"/>
      <c r="V194" s="232" t="n"/>
      <c r="W194" s="232" t="n"/>
      <c r="X194" s="232" t="n"/>
      <c r="Y194" s="232" t="n"/>
      <c r="Z194" s="232" t="n"/>
      <c r="AA194" s="232" t="n"/>
      <c r="AB194" s="232" t="n"/>
      <c r="AC194" s="232" t="n"/>
      <c r="AD194" s="232" t="n"/>
      <c r="AE194" s="232" t="n"/>
      <c r="AF194" s="232" t="n"/>
      <c r="AG194" s="232" t="n"/>
      <c r="AH194" s="232" t="n"/>
      <c r="AI194" s="232" t="n"/>
      <c r="AJ194" s="232" t="n"/>
      <c r="AK194" s="232" t="n"/>
    </row>
    <row r="195">
      <c r="B195" s="2" t="n"/>
      <c r="C195" s="105" t="n"/>
      <c r="D195" s="105" t="n"/>
      <c r="E195" s="105" t="n"/>
      <c r="F195" s="105" t="n"/>
      <c r="G195" s="105" t="n"/>
      <c r="H195" s="2" t="n"/>
      <c r="I195" s="10" t="n"/>
      <c r="K195" s="232" t="n"/>
      <c r="L195" s="232" t="n"/>
      <c r="M195" s="232" t="n"/>
      <c r="N195" s="232" t="n"/>
      <c r="O195" s="232" t="n"/>
      <c r="P195" s="232" t="n"/>
      <c r="Q195" s="232" t="n"/>
      <c r="R195" s="232" t="n"/>
      <c r="S195" s="232" t="n"/>
      <c r="T195" s="232" t="n"/>
      <c r="U195" s="232" t="n"/>
      <c r="V195" s="232" t="n"/>
      <c r="W195" s="232" t="n"/>
      <c r="X195" s="232" t="n"/>
      <c r="Y195" s="232" t="n"/>
      <c r="Z195" s="232" t="n"/>
      <c r="AA195" s="232" t="n"/>
      <c r="AB195" s="232" t="n"/>
      <c r="AC195" s="232" t="n"/>
      <c r="AD195" s="232" t="n"/>
      <c r="AE195" s="232" t="n"/>
      <c r="AF195" s="232" t="n"/>
      <c r="AG195" s="232" t="n"/>
      <c r="AH195" s="232" t="n"/>
      <c r="AI195" s="232" t="n"/>
      <c r="AJ195" s="232" t="n"/>
      <c r="AK195" s="232" t="n"/>
    </row>
    <row r="196">
      <c r="B196" s="2" t="n"/>
      <c r="C196" s="105" t="n"/>
      <c r="D196" s="105" t="n"/>
      <c r="E196" s="105" t="n"/>
      <c r="F196" s="105" t="n"/>
      <c r="G196" s="105" t="n"/>
      <c r="H196" s="2" t="n"/>
      <c r="I196" s="10" t="n"/>
      <c r="K196" s="232" t="n"/>
      <c r="L196" s="232" t="n"/>
      <c r="M196" s="232" t="n"/>
      <c r="N196" s="232" t="n"/>
      <c r="O196" s="232" t="n"/>
      <c r="P196" s="232" t="n"/>
      <c r="Q196" s="232" t="n"/>
      <c r="R196" s="232" t="n"/>
      <c r="S196" s="232" t="n"/>
      <c r="T196" s="232" t="n"/>
      <c r="U196" s="232" t="n"/>
      <c r="V196" s="232" t="n"/>
      <c r="W196" s="232" t="n"/>
      <c r="X196" s="232" t="n"/>
      <c r="Y196" s="232" t="n"/>
      <c r="Z196" s="232" t="n"/>
      <c r="AA196" s="232" t="n"/>
      <c r="AB196" s="232" t="n"/>
      <c r="AC196" s="232" t="n"/>
      <c r="AD196" s="232" t="n"/>
      <c r="AE196" s="232" t="n"/>
      <c r="AF196" s="232" t="n"/>
      <c r="AG196" s="232" t="n"/>
      <c r="AH196" s="232" t="n"/>
      <c r="AI196" s="232" t="n"/>
      <c r="AJ196" s="232" t="n"/>
      <c r="AK196" s="232" t="n"/>
    </row>
    <row r="197">
      <c r="B197" s="2" t="n"/>
      <c r="C197" s="105" t="n"/>
      <c r="D197" s="105" t="n"/>
      <c r="E197" s="105" t="n"/>
      <c r="F197" s="105" t="n"/>
      <c r="G197" s="105" t="n"/>
      <c r="H197" s="2" t="n"/>
      <c r="I197" s="10" t="n"/>
      <c r="K197" s="232" t="n"/>
      <c r="L197" s="232" t="n"/>
      <c r="M197" s="232" t="n"/>
      <c r="N197" s="232" t="n"/>
      <c r="O197" s="232" t="n"/>
      <c r="P197" s="232" t="n"/>
      <c r="Q197" s="232" t="n"/>
      <c r="R197" s="232" t="n"/>
      <c r="S197" s="232" t="n"/>
      <c r="T197" s="232" t="n"/>
      <c r="U197" s="232" t="n"/>
      <c r="V197" s="232" t="n"/>
      <c r="W197" s="232" t="n"/>
      <c r="X197" s="232" t="n"/>
      <c r="Y197" s="232" t="n"/>
      <c r="Z197" s="232" t="n"/>
      <c r="AA197" s="232" t="n"/>
      <c r="AB197" s="232" t="n"/>
      <c r="AC197" s="232" t="n"/>
      <c r="AD197" s="232" t="n"/>
      <c r="AE197" s="232" t="n"/>
      <c r="AF197" s="232" t="n"/>
      <c r="AG197" s="232" t="n"/>
      <c r="AH197" s="232" t="n"/>
      <c r="AI197" s="232" t="n"/>
      <c r="AJ197" s="232" t="n"/>
      <c r="AK197" s="232" t="n"/>
    </row>
    <row r="198">
      <c r="B198" s="2" t="n"/>
      <c r="C198" s="105" t="n"/>
      <c r="D198" s="105" t="n"/>
      <c r="E198" s="105" t="n"/>
      <c r="F198" s="105" t="n"/>
      <c r="G198" s="105" t="n"/>
      <c r="H198" s="2" t="n"/>
      <c r="I198" s="10" t="n"/>
      <c r="K198" s="232" t="n"/>
      <c r="L198" s="232" t="n"/>
      <c r="M198" s="232" t="n"/>
      <c r="N198" s="232" t="n"/>
      <c r="O198" s="232" t="n"/>
      <c r="P198" s="232" t="n"/>
      <c r="Q198" s="232" t="n"/>
      <c r="R198" s="232" t="n"/>
      <c r="S198" s="232" t="n"/>
      <c r="T198" s="232" t="n"/>
      <c r="U198" s="232" t="n"/>
      <c r="V198" s="232" t="n"/>
      <c r="W198" s="232" t="n"/>
      <c r="X198" s="232" t="n"/>
      <c r="Y198" s="232" t="n"/>
      <c r="Z198" s="232" t="n"/>
      <c r="AA198" s="232" t="n"/>
      <c r="AB198" s="232" t="n"/>
      <c r="AC198" s="232" t="n"/>
      <c r="AD198" s="232" t="n"/>
      <c r="AE198" s="232" t="n"/>
      <c r="AF198" s="232" t="n"/>
      <c r="AG198" s="232" t="n"/>
      <c r="AH198" s="232" t="n"/>
      <c r="AI198" s="232" t="n"/>
      <c r="AJ198" s="232" t="n"/>
      <c r="AK198" s="232" t="n"/>
    </row>
    <row r="199">
      <c r="B199" s="2" t="n"/>
      <c r="C199" s="105" t="n"/>
      <c r="D199" s="105" t="n"/>
      <c r="E199" s="105" t="n"/>
      <c r="F199" s="105" t="n"/>
      <c r="G199" s="105" t="n"/>
      <c r="H199" s="2" t="n"/>
      <c r="I199" s="10" t="n"/>
      <c r="K199" s="232" t="n"/>
      <c r="L199" s="232" t="n"/>
      <c r="M199" s="232" t="n"/>
      <c r="N199" s="232" t="n"/>
      <c r="O199" s="232" t="n"/>
      <c r="P199" s="232" t="n"/>
      <c r="Q199" s="232" t="n"/>
      <c r="R199" s="232" t="n"/>
      <c r="S199" s="232" t="n"/>
      <c r="T199" s="232" t="n"/>
      <c r="U199" s="232" t="n"/>
      <c r="V199" s="232" t="n"/>
      <c r="W199" s="232" t="n"/>
      <c r="X199" s="232" t="n"/>
      <c r="Y199" s="232" t="n"/>
      <c r="Z199" s="232" t="n"/>
      <c r="AA199" s="232" t="n"/>
      <c r="AB199" s="232" t="n"/>
      <c r="AC199" s="232" t="n"/>
      <c r="AD199" s="232" t="n"/>
      <c r="AE199" s="232" t="n"/>
      <c r="AF199" s="232" t="n"/>
      <c r="AG199" s="232" t="n"/>
      <c r="AH199" s="232" t="n"/>
      <c r="AI199" s="232" t="n"/>
      <c r="AJ199" s="232" t="n"/>
      <c r="AK199" s="232" t="n"/>
    </row>
    <row r="200">
      <c r="B200" s="2" t="n"/>
      <c r="C200" s="105" t="n"/>
      <c r="D200" s="105" t="n"/>
      <c r="E200" s="105" t="n"/>
      <c r="F200" s="105" t="n"/>
      <c r="G200" s="105" t="n"/>
      <c r="H200" s="2" t="n"/>
      <c r="I200" s="10" t="n"/>
      <c r="K200" s="232" t="n"/>
      <c r="L200" s="232" t="n"/>
      <c r="M200" s="232" t="n"/>
      <c r="N200" s="232" t="n"/>
      <c r="O200" s="232" t="n"/>
      <c r="P200" s="232" t="n"/>
      <c r="Q200" s="232" t="n"/>
      <c r="R200" s="232" t="n"/>
      <c r="S200" s="232" t="n"/>
      <c r="T200" s="232" t="n"/>
      <c r="U200" s="232" t="n"/>
      <c r="V200" s="232" t="n"/>
      <c r="W200" s="232" t="n"/>
      <c r="X200" s="232" t="n"/>
      <c r="Y200" s="232" t="n"/>
      <c r="Z200" s="232" t="n"/>
      <c r="AA200" s="232" t="n"/>
      <c r="AB200" s="232" t="n"/>
      <c r="AC200" s="232" t="n"/>
      <c r="AD200" s="232" t="n"/>
      <c r="AE200" s="232" t="n"/>
      <c r="AF200" s="232" t="n"/>
      <c r="AG200" s="232" t="n"/>
      <c r="AH200" s="232" t="n"/>
      <c r="AI200" s="232" t="n"/>
      <c r="AJ200" s="232" t="n"/>
      <c r="AK200" s="232" t="n"/>
    </row>
    <row r="201">
      <c r="B201" s="2" t="n"/>
      <c r="C201" s="105" t="n"/>
      <c r="D201" s="105" t="n"/>
      <c r="E201" s="105" t="n"/>
      <c r="F201" s="105" t="n"/>
      <c r="G201" s="105" t="n"/>
      <c r="H201" s="2" t="n"/>
      <c r="I201" s="10" t="n"/>
      <c r="K201" s="232" t="n"/>
      <c r="L201" s="232" t="n"/>
      <c r="M201" s="232" t="n"/>
      <c r="N201" s="232" t="n"/>
      <c r="O201" s="232" t="n"/>
      <c r="P201" s="232" t="n"/>
      <c r="Q201" s="232" t="n"/>
      <c r="R201" s="232" t="n"/>
      <c r="S201" s="232" t="n"/>
      <c r="T201" s="232" t="n"/>
      <c r="U201" s="232" t="n"/>
      <c r="V201" s="232" t="n"/>
      <c r="W201" s="232" t="n"/>
      <c r="X201" s="232" t="n"/>
      <c r="Y201" s="232" t="n"/>
      <c r="Z201" s="232" t="n"/>
      <c r="AA201" s="232" t="n"/>
      <c r="AB201" s="232" t="n"/>
      <c r="AC201" s="232" t="n"/>
      <c r="AD201" s="232" t="n"/>
      <c r="AE201" s="232" t="n"/>
      <c r="AF201" s="232" t="n"/>
      <c r="AG201" s="232" t="n"/>
      <c r="AH201" s="232" t="n"/>
      <c r="AI201" s="232" t="n"/>
      <c r="AJ201" s="232" t="n"/>
      <c r="AK201" s="232" t="n"/>
    </row>
    <row r="202">
      <c r="B202" s="2" t="n"/>
      <c r="C202" s="105" t="n"/>
      <c r="D202" s="105" t="n"/>
      <c r="E202" s="105" t="n"/>
      <c r="F202" s="105" t="n"/>
      <c r="G202" s="105" t="n"/>
      <c r="H202" s="2" t="n"/>
      <c r="I202" s="10" t="n"/>
      <c r="K202" s="232" t="n"/>
      <c r="L202" s="232" t="n"/>
      <c r="M202" s="232" t="n"/>
      <c r="N202" s="232" t="n"/>
      <c r="O202" s="232" t="n"/>
      <c r="P202" s="232" t="n"/>
      <c r="Q202" s="232" t="n"/>
      <c r="R202" s="232" t="n"/>
      <c r="S202" s="232" t="n"/>
      <c r="T202" s="232" t="n"/>
      <c r="U202" s="232" t="n"/>
      <c r="V202" s="232" t="n"/>
      <c r="W202" s="232" t="n"/>
      <c r="X202" s="232" t="n"/>
      <c r="Y202" s="232" t="n"/>
      <c r="Z202" s="232" t="n"/>
      <c r="AA202" s="232" t="n"/>
      <c r="AB202" s="232" t="n"/>
      <c r="AC202" s="232" t="n"/>
      <c r="AD202" s="232" t="n"/>
      <c r="AE202" s="232" t="n"/>
      <c r="AF202" s="232" t="n"/>
      <c r="AG202" s="232" t="n"/>
      <c r="AH202" s="232" t="n"/>
      <c r="AI202" s="232" t="n"/>
      <c r="AJ202" s="232" t="n"/>
      <c r="AK202" s="232" t="n"/>
    </row>
    <row r="203">
      <c r="B203" s="2" t="n"/>
      <c r="C203" s="105" t="n"/>
      <c r="D203" s="105" t="n"/>
      <c r="E203" s="105" t="n"/>
      <c r="F203" s="105" t="n"/>
      <c r="G203" s="105" t="n"/>
      <c r="H203" s="2" t="n"/>
      <c r="I203" s="10" t="n"/>
      <c r="K203" s="232" t="n"/>
      <c r="L203" s="232" t="n"/>
      <c r="M203" s="232" t="n"/>
      <c r="N203" s="232" t="n"/>
      <c r="O203" s="232" t="n"/>
      <c r="P203" s="232" t="n"/>
      <c r="Q203" s="232" t="n"/>
      <c r="R203" s="232" t="n"/>
      <c r="S203" s="232" t="n"/>
      <c r="T203" s="232" t="n"/>
      <c r="U203" s="232" t="n"/>
      <c r="V203" s="232" t="n"/>
      <c r="W203" s="232" t="n"/>
      <c r="X203" s="232" t="n"/>
      <c r="Y203" s="232" t="n"/>
      <c r="Z203" s="232" t="n"/>
      <c r="AA203" s="232" t="n"/>
      <c r="AB203" s="232" t="n"/>
      <c r="AC203" s="232" t="n"/>
      <c r="AD203" s="232" t="n"/>
      <c r="AE203" s="232" t="n"/>
      <c r="AF203" s="232" t="n"/>
      <c r="AG203" s="232" t="n"/>
      <c r="AH203" s="232" t="n"/>
      <c r="AI203" s="232" t="n"/>
      <c r="AJ203" s="232" t="n"/>
      <c r="AK203" s="232" t="n"/>
    </row>
    <row r="204">
      <c r="B204" s="2" t="n"/>
      <c r="C204" s="105" t="n"/>
      <c r="D204" s="105" t="n"/>
      <c r="E204" s="105" t="n"/>
      <c r="F204" s="105" t="n"/>
      <c r="G204" s="105" t="n"/>
      <c r="H204" s="2" t="n"/>
      <c r="I204" s="10" t="n"/>
      <c r="K204" s="232" t="n"/>
      <c r="L204" s="232" t="n"/>
      <c r="M204" s="232" t="n"/>
      <c r="N204" s="232" t="n"/>
      <c r="O204" s="232" t="n"/>
      <c r="P204" s="232" t="n"/>
      <c r="Q204" s="232" t="n"/>
      <c r="R204" s="232" t="n"/>
      <c r="S204" s="232" t="n"/>
      <c r="T204" s="232" t="n"/>
      <c r="U204" s="232" t="n"/>
      <c r="V204" s="232" t="n"/>
      <c r="W204" s="232" t="n"/>
      <c r="X204" s="232" t="n"/>
      <c r="Y204" s="232" t="n"/>
      <c r="Z204" s="232" t="n"/>
      <c r="AA204" s="232" t="n"/>
      <c r="AB204" s="232" t="n"/>
      <c r="AC204" s="232" t="n"/>
      <c r="AD204" s="232" t="n"/>
      <c r="AE204" s="232" t="n"/>
      <c r="AF204" s="232" t="n"/>
      <c r="AG204" s="232" t="n"/>
      <c r="AH204" s="232" t="n"/>
      <c r="AI204" s="232" t="n"/>
      <c r="AJ204" s="232" t="n"/>
      <c r="AK204" s="232" t="n"/>
    </row>
    <row r="205">
      <c r="B205" s="2" t="n"/>
      <c r="C205" s="105" t="n"/>
      <c r="D205" s="105" t="n"/>
      <c r="E205" s="105" t="n"/>
      <c r="F205" s="105" t="n"/>
      <c r="G205" s="105" t="n"/>
      <c r="H205" s="2" t="n"/>
      <c r="I205" s="10" t="n"/>
      <c r="K205" s="232" t="n"/>
      <c r="L205" s="232" t="n"/>
      <c r="M205" s="232" t="n"/>
      <c r="N205" s="232" t="n"/>
      <c r="O205" s="232" t="n"/>
      <c r="P205" s="232" t="n"/>
      <c r="Q205" s="232" t="n"/>
      <c r="R205" s="232" t="n"/>
      <c r="S205" s="232" t="n"/>
      <c r="T205" s="232" t="n"/>
      <c r="U205" s="232" t="n"/>
      <c r="V205" s="232" t="n"/>
      <c r="W205" s="232" t="n"/>
      <c r="X205" s="232" t="n"/>
      <c r="Y205" s="232" t="n"/>
      <c r="Z205" s="232" t="n"/>
      <c r="AA205" s="232" t="n"/>
      <c r="AB205" s="232" t="n"/>
      <c r="AC205" s="232" t="n"/>
      <c r="AD205" s="232" t="n"/>
      <c r="AE205" s="232" t="n"/>
      <c r="AF205" s="232" t="n"/>
      <c r="AG205" s="232" t="n"/>
      <c r="AH205" s="232" t="n"/>
      <c r="AI205" s="232" t="n"/>
      <c r="AJ205" s="232" t="n"/>
      <c r="AK205" s="232" t="n"/>
    </row>
    <row r="206">
      <c r="B206" s="2" t="n"/>
      <c r="C206" s="105" t="n"/>
      <c r="D206" s="105" t="n"/>
      <c r="E206" s="105" t="n"/>
      <c r="F206" s="105" t="n"/>
      <c r="G206" s="105" t="n"/>
      <c r="H206" s="2" t="n"/>
      <c r="I206" s="10" t="n"/>
      <c r="K206" s="232" t="n"/>
      <c r="L206" s="232" t="n"/>
      <c r="M206" s="232" t="n"/>
      <c r="N206" s="232" t="n"/>
      <c r="O206" s="232" t="n"/>
      <c r="P206" s="232" t="n"/>
      <c r="Q206" s="232" t="n"/>
      <c r="R206" s="232" t="n"/>
      <c r="S206" s="232" t="n"/>
      <c r="T206" s="232" t="n"/>
      <c r="U206" s="232" t="n"/>
      <c r="V206" s="232" t="n"/>
      <c r="W206" s="232" t="n"/>
      <c r="X206" s="232" t="n"/>
      <c r="Y206" s="232" t="n"/>
      <c r="Z206" s="232" t="n"/>
      <c r="AA206" s="232" t="n"/>
      <c r="AB206" s="232" t="n"/>
      <c r="AC206" s="232" t="n"/>
      <c r="AD206" s="232" t="n"/>
      <c r="AE206" s="232" t="n"/>
      <c r="AF206" s="232" t="n"/>
      <c r="AG206" s="232" t="n"/>
      <c r="AH206" s="232" t="n"/>
      <c r="AI206" s="232" t="n"/>
      <c r="AJ206" s="232" t="n"/>
      <c r="AK206" s="232" t="n"/>
    </row>
    <row r="207">
      <c r="B207" s="2" t="n"/>
      <c r="C207" s="105" t="n"/>
      <c r="D207" s="105" t="n"/>
      <c r="E207" s="105" t="n"/>
      <c r="F207" s="105" t="n"/>
      <c r="G207" s="105" t="n"/>
      <c r="H207" s="2" t="n"/>
      <c r="I207" s="10" t="n"/>
      <c r="K207" s="232" t="n"/>
      <c r="L207" s="232" t="n"/>
      <c r="M207" s="232" t="n"/>
      <c r="N207" s="232" t="n"/>
      <c r="O207" s="232" t="n"/>
      <c r="P207" s="232" t="n"/>
      <c r="Q207" s="232" t="n"/>
      <c r="R207" s="232" t="n"/>
      <c r="S207" s="232" t="n"/>
      <c r="T207" s="232" t="n"/>
      <c r="U207" s="232" t="n"/>
      <c r="V207" s="232" t="n"/>
      <c r="W207" s="232" t="n"/>
      <c r="X207" s="232" t="n"/>
      <c r="Y207" s="232" t="n"/>
      <c r="Z207" s="232" t="n"/>
      <c r="AA207" s="232" t="n"/>
      <c r="AB207" s="232" t="n"/>
      <c r="AC207" s="232" t="n"/>
      <c r="AD207" s="232" t="n"/>
      <c r="AE207" s="232" t="n"/>
      <c r="AF207" s="232" t="n"/>
      <c r="AG207" s="232" t="n"/>
      <c r="AH207" s="232" t="n"/>
      <c r="AI207" s="232" t="n"/>
      <c r="AJ207" s="232" t="n"/>
      <c r="AK207" s="232" t="n"/>
    </row>
    <row r="208">
      <c r="B208" s="2" t="n"/>
      <c r="C208" s="105" t="n"/>
      <c r="D208" s="105" t="n"/>
      <c r="E208" s="105" t="n"/>
      <c r="F208" s="105" t="n"/>
      <c r="G208" s="105" t="n"/>
      <c r="H208" s="2" t="n"/>
      <c r="I208" s="10" t="n"/>
      <c r="K208" s="232" t="n"/>
      <c r="L208" s="232" t="n"/>
      <c r="M208" s="232" t="n"/>
      <c r="N208" s="232" t="n"/>
      <c r="O208" s="232" t="n"/>
      <c r="P208" s="232" t="n"/>
      <c r="Q208" s="232" t="n"/>
      <c r="R208" s="232" t="n"/>
      <c r="S208" s="232" t="n"/>
      <c r="T208" s="232" t="n"/>
      <c r="U208" s="232" t="n"/>
      <c r="V208" s="232" t="n"/>
      <c r="W208" s="232" t="n"/>
      <c r="X208" s="232" t="n"/>
      <c r="Y208" s="232" t="n"/>
      <c r="Z208" s="232" t="n"/>
      <c r="AA208" s="232" t="n"/>
      <c r="AB208" s="232" t="n"/>
      <c r="AC208" s="232" t="n"/>
      <c r="AD208" s="232" t="n"/>
      <c r="AE208" s="232" t="n"/>
      <c r="AF208" s="232" t="n"/>
      <c r="AG208" s="232" t="n"/>
      <c r="AH208" s="232" t="n"/>
      <c r="AI208" s="232" t="n"/>
      <c r="AJ208" s="232" t="n"/>
      <c r="AK208" s="232" t="n"/>
    </row>
    <row r="209">
      <c r="B209" s="2" t="n"/>
      <c r="C209" s="105" t="n"/>
      <c r="D209" s="105" t="n"/>
      <c r="E209" s="105" t="n"/>
      <c r="F209" s="105" t="n"/>
      <c r="G209" s="105" t="n"/>
      <c r="H209" s="2" t="n"/>
      <c r="I209" s="10" t="n"/>
      <c r="K209" s="232" t="n"/>
      <c r="L209" s="232" t="n"/>
      <c r="M209" s="232" t="n"/>
      <c r="N209" s="232" t="n"/>
      <c r="O209" s="232" t="n"/>
      <c r="P209" s="232" t="n"/>
      <c r="Q209" s="232" t="n"/>
      <c r="R209" s="232" t="n"/>
      <c r="S209" s="232" t="n"/>
      <c r="T209" s="232" t="n"/>
      <c r="U209" s="232" t="n"/>
      <c r="V209" s="232" t="n"/>
      <c r="W209" s="232" t="n"/>
      <c r="X209" s="232" t="n"/>
      <c r="Y209" s="232" t="n"/>
      <c r="Z209" s="232" t="n"/>
      <c r="AA209" s="232" t="n"/>
      <c r="AB209" s="232" t="n"/>
      <c r="AC209" s="232" t="n"/>
      <c r="AD209" s="232" t="n"/>
      <c r="AE209" s="232" t="n"/>
      <c r="AF209" s="232" t="n"/>
      <c r="AG209" s="232" t="n"/>
      <c r="AH209" s="232" t="n"/>
      <c r="AI209" s="232" t="n"/>
      <c r="AJ209" s="232" t="n"/>
      <c r="AK209" s="232" t="n"/>
    </row>
    <row r="210">
      <c r="B210" s="2" t="n"/>
      <c r="C210" s="105" t="n"/>
      <c r="D210" s="105" t="n"/>
      <c r="E210" s="105" t="n"/>
      <c r="F210" s="105" t="n"/>
      <c r="G210" s="105" t="n"/>
      <c r="H210" s="2" t="n"/>
      <c r="I210" s="10" t="n"/>
      <c r="K210" s="232" t="n"/>
      <c r="L210" s="232" t="n"/>
      <c r="M210" s="232" t="n"/>
      <c r="N210" s="232" t="n"/>
      <c r="O210" s="232" t="n"/>
      <c r="P210" s="232" t="n"/>
      <c r="Q210" s="232" t="n"/>
      <c r="R210" s="232" t="n"/>
      <c r="S210" s="232" t="n"/>
      <c r="T210" s="232" t="n"/>
      <c r="U210" s="232" t="n"/>
      <c r="V210" s="232" t="n"/>
      <c r="W210" s="232" t="n"/>
      <c r="X210" s="232" t="n"/>
      <c r="Y210" s="232" t="n"/>
      <c r="Z210" s="232" t="n"/>
      <c r="AA210" s="232" t="n"/>
      <c r="AB210" s="232" t="n"/>
      <c r="AC210" s="232" t="n"/>
      <c r="AD210" s="232" t="n"/>
      <c r="AE210" s="232" t="n"/>
      <c r="AF210" s="232" t="n"/>
      <c r="AG210" s="232" t="n"/>
      <c r="AH210" s="232" t="n"/>
      <c r="AI210" s="232" t="n"/>
      <c r="AJ210" s="232" t="n"/>
      <c r="AK210" s="232" t="n"/>
    </row>
    <row r="211">
      <c r="B211" s="2" t="n"/>
      <c r="C211" s="105" t="n"/>
      <c r="D211" s="105" t="n"/>
      <c r="E211" s="105" t="n"/>
      <c r="F211" s="105" t="n"/>
      <c r="G211" s="105" t="n"/>
      <c r="H211" s="2" t="n"/>
      <c r="I211" s="10" t="n"/>
      <c r="K211" s="232" t="n"/>
      <c r="L211" s="232" t="n"/>
      <c r="M211" s="232" t="n"/>
      <c r="N211" s="232" t="n"/>
      <c r="O211" s="232" t="n"/>
      <c r="P211" s="232" t="n"/>
      <c r="Q211" s="232" t="n"/>
      <c r="R211" s="232" t="n"/>
      <c r="S211" s="232" t="n"/>
      <c r="T211" s="232" t="n"/>
      <c r="U211" s="232" t="n"/>
      <c r="V211" s="232" t="n"/>
      <c r="W211" s="232" t="n"/>
      <c r="X211" s="232" t="n"/>
      <c r="Y211" s="232" t="n"/>
      <c r="Z211" s="232" t="n"/>
      <c r="AA211" s="232" t="n"/>
      <c r="AB211" s="232" t="n"/>
      <c r="AC211" s="232" t="n"/>
      <c r="AD211" s="232" t="n"/>
      <c r="AE211" s="232" t="n"/>
      <c r="AF211" s="232" t="n"/>
      <c r="AG211" s="232" t="n"/>
      <c r="AH211" s="232" t="n"/>
      <c r="AI211" s="232" t="n"/>
      <c r="AJ211" s="232" t="n"/>
      <c r="AK211" s="232" t="n"/>
    </row>
    <row r="212">
      <c r="B212" s="2" t="n"/>
      <c r="C212" s="105" t="n"/>
      <c r="D212" s="105" t="n"/>
      <c r="E212" s="105" t="n"/>
      <c r="F212" s="105" t="n"/>
      <c r="G212" s="105" t="n"/>
      <c r="H212" s="2" t="n"/>
      <c r="I212" s="10" t="n"/>
      <c r="K212" s="232" t="n"/>
      <c r="L212" s="232" t="n"/>
      <c r="M212" s="232" t="n"/>
      <c r="N212" s="232" t="n"/>
      <c r="O212" s="232" t="n"/>
      <c r="P212" s="232" t="n"/>
      <c r="Q212" s="232" t="n"/>
      <c r="R212" s="232" t="n"/>
      <c r="S212" s="232" t="n"/>
      <c r="T212" s="232" t="n"/>
      <c r="U212" s="232" t="n"/>
      <c r="V212" s="232" t="n"/>
      <c r="W212" s="232" t="n"/>
      <c r="X212" s="232" t="n"/>
      <c r="Y212" s="232" t="n"/>
      <c r="Z212" s="232" t="n"/>
      <c r="AA212" s="232" t="n"/>
      <c r="AB212" s="232" t="n"/>
      <c r="AC212" s="232" t="n"/>
      <c r="AD212" s="232" t="n"/>
      <c r="AE212" s="232" t="n"/>
      <c r="AF212" s="232" t="n"/>
      <c r="AG212" s="232" t="n"/>
      <c r="AH212" s="232" t="n"/>
      <c r="AI212" s="232" t="n"/>
      <c r="AJ212" s="232" t="n"/>
      <c r="AK212" s="232" t="n"/>
    </row>
    <row r="213">
      <c r="B213" s="2" t="n"/>
      <c r="C213" s="105" t="n"/>
      <c r="D213" s="105" t="n"/>
      <c r="E213" s="105" t="n"/>
      <c r="F213" s="105" t="n"/>
      <c r="G213" s="105" t="n"/>
      <c r="H213" s="2" t="n"/>
      <c r="I213" s="10" t="n"/>
      <c r="K213" s="232" t="n"/>
      <c r="L213" s="232" t="n"/>
      <c r="M213" s="232" t="n"/>
      <c r="N213" s="232" t="n"/>
      <c r="O213" s="232" t="n"/>
      <c r="P213" s="232" t="n"/>
      <c r="Q213" s="232" t="n"/>
      <c r="R213" s="232" t="n"/>
      <c r="S213" s="232" t="n"/>
      <c r="T213" s="232" t="n"/>
      <c r="U213" s="232" t="n"/>
      <c r="V213" s="232" t="n"/>
      <c r="W213" s="232" t="n"/>
      <c r="X213" s="232" t="n"/>
      <c r="Y213" s="232" t="n"/>
      <c r="Z213" s="232" t="n"/>
      <c r="AA213" s="232" t="n"/>
      <c r="AB213" s="232" t="n"/>
      <c r="AC213" s="232" t="n"/>
      <c r="AD213" s="232" t="n"/>
      <c r="AE213" s="232" t="n"/>
      <c r="AF213" s="232" t="n"/>
      <c r="AG213" s="232" t="n"/>
      <c r="AH213" s="232" t="n"/>
      <c r="AI213" s="232" t="n"/>
      <c r="AJ213" s="232" t="n"/>
      <c r="AK213" s="232" t="n"/>
    </row>
    <row r="214">
      <c r="B214" s="2" t="n"/>
      <c r="C214" s="105" t="n"/>
      <c r="D214" s="105" t="n"/>
      <c r="E214" s="105" t="n"/>
      <c r="F214" s="105" t="n"/>
      <c r="G214" s="105" t="n"/>
      <c r="H214" s="2" t="n"/>
      <c r="I214" s="10" t="n"/>
      <c r="K214" s="232" t="n"/>
      <c r="L214" s="232" t="n"/>
      <c r="M214" s="232" t="n"/>
      <c r="N214" s="232" t="n"/>
      <c r="O214" s="232" t="n"/>
      <c r="P214" s="232" t="n"/>
      <c r="Q214" s="232" t="n"/>
      <c r="R214" s="232" t="n"/>
      <c r="S214" s="232" t="n"/>
      <c r="T214" s="232" t="n"/>
      <c r="U214" s="232" t="n"/>
      <c r="V214" s="232" t="n"/>
      <c r="W214" s="232" t="n"/>
      <c r="X214" s="232" t="n"/>
      <c r="Y214" s="232" t="n"/>
      <c r="Z214" s="232" t="n"/>
      <c r="AA214" s="232" t="n"/>
      <c r="AB214" s="232" t="n"/>
      <c r="AC214" s="232" t="n"/>
      <c r="AD214" s="232" t="n"/>
      <c r="AE214" s="232" t="n"/>
      <c r="AF214" s="232" t="n"/>
      <c r="AG214" s="232" t="n"/>
      <c r="AH214" s="232" t="n"/>
      <c r="AI214" s="232" t="n"/>
      <c r="AJ214" s="232" t="n"/>
      <c r="AK214" s="232" t="n"/>
    </row>
    <row r="215">
      <c r="B215" s="2" t="n"/>
      <c r="C215" s="105" t="n"/>
      <c r="D215" s="105" t="n"/>
      <c r="E215" s="105" t="n"/>
      <c r="F215" s="105" t="n"/>
      <c r="G215" s="105" t="n"/>
      <c r="H215" s="2" t="n"/>
      <c r="I215" s="10" t="n"/>
      <c r="K215" s="232" t="n"/>
      <c r="L215" s="232" t="n"/>
      <c r="M215" s="232" t="n"/>
      <c r="N215" s="232" t="n"/>
      <c r="O215" s="232" t="n"/>
      <c r="P215" s="232" t="n"/>
      <c r="Q215" s="232" t="n"/>
      <c r="R215" s="232" t="n"/>
      <c r="S215" s="232" t="n"/>
      <c r="T215" s="232" t="n"/>
      <c r="U215" s="232" t="n"/>
      <c r="V215" s="232" t="n"/>
      <c r="W215" s="232" t="n"/>
      <c r="X215" s="232" t="n"/>
      <c r="Y215" s="232" t="n"/>
      <c r="Z215" s="232" t="n"/>
      <c r="AA215" s="232" t="n"/>
      <c r="AB215" s="232" t="n"/>
      <c r="AC215" s="232" t="n"/>
      <c r="AD215" s="232" t="n"/>
      <c r="AE215" s="232" t="n"/>
      <c r="AF215" s="232" t="n"/>
      <c r="AG215" s="232" t="n"/>
      <c r="AH215" s="232" t="n"/>
      <c r="AI215" s="232" t="n"/>
      <c r="AJ215" s="232" t="n"/>
      <c r="AK215" s="232" t="n"/>
    </row>
    <row r="216">
      <c r="B216" s="2" t="n"/>
      <c r="C216" s="105" t="n"/>
      <c r="D216" s="105" t="n"/>
      <c r="E216" s="105" t="n"/>
      <c r="F216" s="105" t="n"/>
      <c r="G216" s="105" t="n"/>
      <c r="H216" s="2" t="n"/>
      <c r="I216" s="10" t="n"/>
      <c r="K216" s="232" t="n"/>
      <c r="L216" s="232" t="n"/>
      <c r="M216" s="232" t="n"/>
      <c r="N216" s="232" t="n"/>
      <c r="O216" s="232" t="n"/>
      <c r="P216" s="232" t="n"/>
      <c r="Q216" s="232" t="n"/>
      <c r="R216" s="232" t="n"/>
      <c r="S216" s="232" t="n"/>
      <c r="T216" s="232" t="n"/>
      <c r="U216" s="232" t="n"/>
      <c r="V216" s="232" t="n"/>
      <c r="W216" s="232" t="n"/>
      <c r="X216" s="232" t="n"/>
      <c r="Y216" s="232" t="n"/>
      <c r="Z216" s="232" t="n"/>
      <c r="AA216" s="232" t="n"/>
      <c r="AB216" s="232" t="n"/>
      <c r="AC216" s="232" t="n"/>
      <c r="AD216" s="232" t="n"/>
      <c r="AE216" s="232" t="n"/>
      <c r="AF216" s="232" t="n"/>
      <c r="AG216" s="232" t="n"/>
      <c r="AH216" s="232" t="n"/>
      <c r="AI216" s="232" t="n"/>
      <c r="AJ216" s="232" t="n"/>
      <c r="AK216" s="232" t="n"/>
    </row>
    <row r="217">
      <c r="B217" s="2" t="n"/>
      <c r="C217" s="105" t="n"/>
      <c r="D217" s="105" t="n"/>
      <c r="E217" s="105" t="n"/>
      <c r="F217" s="105" t="n"/>
      <c r="G217" s="105" t="n"/>
      <c r="H217" s="2" t="n"/>
      <c r="I217" s="10" t="n"/>
      <c r="K217" s="232" t="n"/>
      <c r="L217" s="232" t="n"/>
      <c r="M217" s="232" t="n"/>
      <c r="N217" s="232" t="n"/>
      <c r="O217" s="232" t="n"/>
      <c r="P217" s="232" t="n"/>
      <c r="Q217" s="232" t="n"/>
      <c r="R217" s="232" t="n"/>
      <c r="S217" s="232" t="n"/>
      <c r="T217" s="232" t="n"/>
      <c r="U217" s="232" t="n"/>
      <c r="V217" s="232" t="n"/>
      <c r="W217" s="232" t="n"/>
      <c r="X217" s="232" t="n"/>
      <c r="Y217" s="232" t="n"/>
      <c r="Z217" s="232" t="n"/>
      <c r="AA217" s="232" t="n"/>
      <c r="AB217" s="232" t="n"/>
      <c r="AC217" s="232" t="n"/>
      <c r="AD217" s="232" t="n"/>
      <c r="AE217" s="232" t="n"/>
      <c r="AF217" s="232" t="n"/>
      <c r="AG217" s="232" t="n"/>
      <c r="AH217" s="232" t="n"/>
      <c r="AI217" s="232" t="n"/>
      <c r="AJ217" s="232" t="n"/>
      <c r="AK217" s="232" t="n"/>
    </row>
    <row r="218">
      <c r="B218" s="2" t="n"/>
      <c r="C218" s="105" t="n"/>
      <c r="D218" s="105" t="n"/>
      <c r="E218" s="105" t="n"/>
      <c r="F218" s="105" t="n"/>
      <c r="G218" s="105" t="n"/>
      <c r="H218" s="2" t="n"/>
      <c r="I218" s="10" t="n"/>
      <c r="K218" s="232" t="n"/>
      <c r="L218" s="232" t="n"/>
      <c r="M218" s="232" t="n"/>
      <c r="N218" s="232" t="n"/>
      <c r="O218" s="232" t="n"/>
      <c r="P218" s="232" t="n"/>
      <c r="Q218" s="232" t="n"/>
      <c r="R218" s="232" t="n"/>
      <c r="S218" s="232" t="n"/>
      <c r="T218" s="232" t="n"/>
      <c r="U218" s="232" t="n"/>
      <c r="V218" s="232" t="n"/>
      <c r="W218" s="232" t="n"/>
      <c r="X218" s="232" t="n"/>
      <c r="Y218" s="232" t="n"/>
      <c r="Z218" s="232" t="n"/>
      <c r="AA218" s="232" t="n"/>
      <c r="AB218" s="232" t="n"/>
      <c r="AC218" s="232" t="n"/>
      <c r="AD218" s="232" t="n"/>
      <c r="AE218" s="232" t="n"/>
      <c r="AF218" s="232" t="n"/>
      <c r="AG218" s="232" t="n"/>
      <c r="AH218" s="232" t="n"/>
      <c r="AI218" s="232" t="n"/>
      <c r="AJ218" s="232" t="n"/>
      <c r="AK218" s="232" t="n"/>
    </row>
    <row r="219">
      <c r="B219" s="2" t="n"/>
      <c r="C219" s="105" t="n"/>
      <c r="D219" s="105" t="n"/>
      <c r="E219" s="105" t="n"/>
      <c r="F219" s="105" t="n"/>
      <c r="G219" s="105" t="n"/>
      <c r="H219" s="2" t="n"/>
      <c r="I219" s="10" t="n"/>
      <c r="K219" s="232" t="n"/>
      <c r="L219" s="232" t="n"/>
      <c r="M219" s="232" t="n"/>
      <c r="N219" s="232" t="n"/>
      <c r="O219" s="232" t="n"/>
      <c r="P219" s="232" t="n"/>
      <c r="Q219" s="232" t="n"/>
      <c r="R219" s="232" t="n"/>
      <c r="S219" s="232" t="n"/>
      <c r="T219" s="232" t="n"/>
      <c r="U219" s="232" t="n"/>
      <c r="V219" s="232" t="n"/>
      <c r="W219" s="232" t="n"/>
      <c r="X219" s="232" t="n"/>
      <c r="Y219" s="232" t="n"/>
      <c r="Z219" s="232" t="n"/>
      <c r="AA219" s="232" t="n"/>
      <c r="AB219" s="232" t="n"/>
      <c r="AC219" s="232" t="n"/>
      <c r="AD219" s="232" t="n"/>
      <c r="AE219" s="232" t="n"/>
      <c r="AF219" s="232" t="n"/>
      <c r="AG219" s="232" t="n"/>
      <c r="AH219" s="232" t="n"/>
      <c r="AI219" s="232" t="n"/>
      <c r="AJ219" s="232" t="n"/>
      <c r="AK219" s="232" t="n"/>
    </row>
    <row r="220">
      <c r="B220" s="2" t="n"/>
      <c r="C220" s="105" t="n"/>
      <c r="D220" s="105" t="n"/>
      <c r="E220" s="105" t="n"/>
      <c r="F220" s="105" t="n"/>
      <c r="G220" s="105" t="n"/>
      <c r="H220" s="2" t="n"/>
      <c r="I220" s="10" t="n"/>
      <c r="K220" s="232" t="n"/>
      <c r="L220" s="232" t="n"/>
      <c r="M220" s="232" t="n"/>
      <c r="N220" s="232" t="n"/>
      <c r="O220" s="232" t="n"/>
      <c r="P220" s="232" t="n"/>
      <c r="Q220" s="232" t="n"/>
      <c r="R220" s="232" t="n"/>
      <c r="S220" s="232" t="n"/>
      <c r="T220" s="232" t="n"/>
      <c r="U220" s="232" t="n"/>
      <c r="V220" s="232" t="n"/>
      <c r="W220" s="232" t="n"/>
      <c r="X220" s="232" t="n"/>
      <c r="Y220" s="232" t="n"/>
      <c r="Z220" s="232" t="n"/>
      <c r="AA220" s="232" t="n"/>
      <c r="AB220" s="232" t="n"/>
      <c r="AC220" s="232" t="n"/>
      <c r="AD220" s="232" t="n"/>
      <c r="AE220" s="232" t="n"/>
      <c r="AF220" s="232" t="n"/>
      <c r="AG220" s="232" t="n"/>
      <c r="AH220" s="232" t="n"/>
      <c r="AI220" s="232" t="n"/>
      <c r="AJ220" s="232" t="n"/>
      <c r="AK220" s="232" t="n"/>
    </row>
    <row r="221">
      <c r="B221" s="2" t="n"/>
      <c r="C221" s="105" t="n"/>
      <c r="D221" s="105" t="n"/>
      <c r="E221" s="105" t="n"/>
      <c r="F221" s="105" t="n"/>
      <c r="G221" s="105" t="n"/>
      <c r="H221" s="2" t="n"/>
      <c r="I221" s="10" t="n"/>
      <c r="K221" s="232" t="n"/>
      <c r="L221" s="232" t="n"/>
      <c r="M221" s="232" t="n"/>
      <c r="N221" s="232" t="n"/>
      <c r="O221" s="232" t="n"/>
      <c r="P221" s="232" t="n"/>
      <c r="Q221" s="232" t="n"/>
      <c r="R221" s="232" t="n"/>
      <c r="S221" s="232" t="n"/>
      <c r="T221" s="232" t="n"/>
      <c r="U221" s="232" t="n"/>
      <c r="V221" s="232" t="n"/>
      <c r="W221" s="232" t="n"/>
      <c r="X221" s="232" t="n"/>
      <c r="Y221" s="232" t="n"/>
      <c r="Z221" s="232" t="n"/>
      <c r="AA221" s="232" t="n"/>
      <c r="AB221" s="232" t="n"/>
      <c r="AC221" s="232" t="n"/>
      <c r="AD221" s="232" t="n"/>
      <c r="AE221" s="232" t="n"/>
      <c r="AF221" s="232" t="n"/>
      <c r="AG221" s="232" t="n"/>
      <c r="AH221" s="232" t="n"/>
      <c r="AI221" s="232" t="n"/>
      <c r="AJ221" s="232" t="n"/>
      <c r="AK221" s="232" t="n"/>
    </row>
    <row r="222">
      <c r="B222" s="2" t="n"/>
      <c r="C222" s="105" t="n"/>
      <c r="D222" s="105" t="n"/>
      <c r="E222" s="105" t="n"/>
      <c r="F222" s="105" t="n"/>
      <c r="G222" s="105" t="n"/>
      <c r="H222" s="2" t="n"/>
      <c r="I222" s="10" t="n"/>
      <c r="K222" s="232" t="n"/>
      <c r="L222" s="232" t="n"/>
      <c r="M222" s="232" t="n"/>
      <c r="N222" s="232" t="n"/>
      <c r="O222" s="232" t="n"/>
      <c r="P222" s="232" t="n"/>
      <c r="Q222" s="232" t="n"/>
      <c r="R222" s="232" t="n"/>
      <c r="S222" s="232" t="n"/>
      <c r="T222" s="232" t="n"/>
      <c r="U222" s="232" t="n"/>
      <c r="V222" s="232" t="n"/>
      <c r="W222" s="232" t="n"/>
      <c r="X222" s="232" t="n"/>
      <c r="Y222" s="232" t="n"/>
      <c r="Z222" s="232" t="n"/>
      <c r="AA222" s="232" t="n"/>
      <c r="AB222" s="232" t="n"/>
      <c r="AC222" s="232" t="n"/>
      <c r="AD222" s="232" t="n"/>
      <c r="AE222" s="232" t="n"/>
      <c r="AF222" s="232" t="n"/>
      <c r="AG222" s="232" t="n"/>
      <c r="AH222" s="232" t="n"/>
      <c r="AI222" s="232" t="n"/>
      <c r="AJ222" s="232" t="n"/>
      <c r="AK222" s="232" t="n"/>
    </row>
    <row r="223">
      <c r="B223" s="2" t="n"/>
      <c r="C223" s="105" t="n"/>
      <c r="D223" s="105" t="n"/>
      <c r="E223" s="105" t="n"/>
      <c r="F223" s="105" t="n"/>
      <c r="G223" s="105" t="n"/>
      <c r="H223" s="2" t="n"/>
      <c r="I223" s="10" t="n"/>
      <c r="K223" s="232" t="n"/>
      <c r="L223" s="232" t="n"/>
      <c r="M223" s="232" t="n"/>
      <c r="N223" s="232" t="n"/>
      <c r="O223" s="232" t="n"/>
      <c r="P223" s="232" t="n"/>
      <c r="Q223" s="232" t="n"/>
      <c r="R223" s="232" t="n"/>
      <c r="S223" s="232" t="n"/>
      <c r="T223" s="232" t="n"/>
      <c r="U223" s="232" t="n"/>
      <c r="V223" s="232" t="n"/>
      <c r="W223" s="232" t="n"/>
      <c r="X223" s="232" t="n"/>
      <c r="Y223" s="232" t="n"/>
      <c r="Z223" s="232" t="n"/>
      <c r="AA223" s="232" t="n"/>
      <c r="AB223" s="232" t="n"/>
      <c r="AC223" s="232" t="n"/>
      <c r="AD223" s="232" t="n"/>
      <c r="AE223" s="232" t="n"/>
      <c r="AF223" s="232" t="n"/>
      <c r="AG223" s="232" t="n"/>
      <c r="AH223" s="232" t="n"/>
      <c r="AI223" s="232" t="n"/>
      <c r="AJ223" s="232" t="n"/>
      <c r="AK223" s="232" t="n"/>
    </row>
    <row r="224">
      <c r="B224" s="2" t="n"/>
      <c r="C224" s="105" t="n"/>
      <c r="D224" s="105" t="n"/>
      <c r="E224" s="105" t="n"/>
      <c r="F224" s="105" t="n"/>
      <c r="G224" s="105" t="n"/>
      <c r="H224" s="2" t="n"/>
      <c r="I224" s="10" t="n"/>
      <c r="K224" s="232" t="n"/>
      <c r="L224" s="232" t="n"/>
      <c r="M224" s="232" t="n"/>
      <c r="N224" s="232" t="n"/>
      <c r="O224" s="232" t="n"/>
      <c r="P224" s="232" t="n"/>
      <c r="Q224" s="232" t="n"/>
      <c r="R224" s="232" t="n"/>
      <c r="S224" s="232" t="n"/>
      <c r="T224" s="232" t="n"/>
      <c r="U224" s="232" t="n"/>
      <c r="V224" s="232" t="n"/>
      <c r="W224" s="232" t="n"/>
      <c r="X224" s="232" t="n"/>
      <c r="Y224" s="232" t="n"/>
      <c r="Z224" s="232" t="n"/>
      <c r="AA224" s="232" t="n"/>
      <c r="AB224" s="232" t="n"/>
      <c r="AC224" s="232" t="n"/>
      <c r="AD224" s="232" t="n"/>
      <c r="AE224" s="232" t="n"/>
      <c r="AF224" s="232" t="n"/>
      <c r="AG224" s="232" t="n"/>
      <c r="AH224" s="232" t="n"/>
      <c r="AI224" s="232" t="n"/>
      <c r="AJ224" s="232" t="n"/>
      <c r="AK224" s="232" t="n"/>
    </row>
    <row r="225">
      <c r="B225" s="2" t="n"/>
      <c r="C225" s="105" t="n"/>
      <c r="D225" s="105" t="n"/>
      <c r="E225" s="105" t="n"/>
      <c r="F225" s="105" t="n"/>
      <c r="G225" s="105" t="n"/>
      <c r="H225" s="2" t="n"/>
      <c r="I225" s="10" t="n"/>
      <c r="K225" s="232" t="n"/>
      <c r="L225" s="232" t="n"/>
      <c r="M225" s="232" t="n"/>
      <c r="N225" s="232" t="n"/>
      <c r="O225" s="232" t="n"/>
      <c r="P225" s="232" t="n"/>
      <c r="Q225" s="232" t="n"/>
      <c r="R225" s="232" t="n"/>
      <c r="S225" s="232" t="n"/>
      <c r="T225" s="232" t="n"/>
      <c r="U225" s="232" t="n"/>
      <c r="V225" s="232" t="n"/>
      <c r="W225" s="232" t="n"/>
      <c r="X225" s="232" t="n"/>
      <c r="Y225" s="232" t="n"/>
      <c r="Z225" s="232" t="n"/>
      <c r="AA225" s="232" t="n"/>
      <c r="AB225" s="232" t="n"/>
      <c r="AC225" s="232" t="n"/>
      <c r="AD225" s="232" t="n"/>
      <c r="AE225" s="232" t="n"/>
      <c r="AF225" s="232" t="n"/>
      <c r="AG225" s="232" t="n"/>
      <c r="AH225" s="232" t="n"/>
      <c r="AI225" s="232" t="n"/>
      <c r="AJ225" s="232" t="n"/>
      <c r="AK225" s="232" t="n"/>
    </row>
    <row r="226">
      <c r="B226" s="2" t="n"/>
      <c r="C226" s="105" t="n"/>
      <c r="D226" s="105" t="n"/>
      <c r="E226" s="105" t="n"/>
      <c r="F226" s="105" t="n"/>
      <c r="G226" s="105" t="n"/>
      <c r="H226" s="2" t="n"/>
      <c r="I226" s="10" t="n"/>
      <c r="K226" s="232" t="n"/>
      <c r="L226" s="232" t="n"/>
      <c r="M226" s="232" t="n"/>
      <c r="N226" s="232" t="n"/>
      <c r="O226" s="232" t="n"/>
      <c r="P226" s="232" t="n"/>
      <c r="Q226" s="232" t="n"/>
      <c r="R226" s="232" t="n"/>
      <c r="S226" s="232" t="n"/>
      <c r="T226" s="232" t="n"/>
      <c r="U226" s="232" t="n"/>
      <c r="V226" s="232" t="n"/>
      <c r="W226" s="232" t="n"/>
      <c r="X226" s="232" t="n"/>
      <c r="Y226" s="232" t="n"/>
      <c r="Z226" s="232" t="n"/>
      <c r="AA226" s="232" t="n"/>
      <c r="AB226" s="232" t="n"/>
      <c r="AC226" s="232" t="n"/>
      <c r="AD226" s="232" t="n"/>
      <c r="AE226" s="232" t="n"/>
      <c r="AF226" s="232" t="n"/>
      <c r="AG226" s="232" t="n"/>
      <c r="AH226" s="232" t="n"/>
      <c r="AI226" s="232" t="n"/>
      <c r="AJ226" s="232" t="n"/>
      <c r="AK226" s="232" t="n"/>
    </row>
    <row r="227">
      <c r="B227" s="2" t="n"/>
      <c r="C227" s="105" t="n"/>
      <c r="D227" s="105" t="n"/>
      <c r="E227" s="105" t="n"/>
      <c r="F227" s="105" t="n"/>
      <c r="G227" s="105" t="n"/>
      <c r="H227" s="2" t="n"/>
      <c r="I227" s="10" t="n"/>
      <c r="K227" s="232" t="n"/>
      <c r="L227" s="232" t="n"/>
      <c r="M227" s="232" t="n"/>
      <c r="N227" s="232" t="n"/>
      <c r="O227" s="232" t="n"/>
      <c r="P227" s="232" t="n"/>
      <c r="Q227" s="232" t="n"/>
      <c r="R227" s="232" t="n"/>
      <c r="S227" s="232" t="n"/>
      <c r="T227" s="232" t="n"/>
      <c r="U227" s="232" t="n"/>
      <c r="V227" s="232" t="n"/>
      <c r="W227" s="232" t="n"/>
      <c r="X227" s="232" t="n"/>
      <c r="Y227" s="232" t="n"/>
      <c r="Z227" s="232" t="n"/>
      <c r="AA227" s="232" t="n"/>
      <c r="AB227" s="232" t="n"/>
      <c r="AC227" s="232" t="n"/>
      <c r="AD227" s="232" t="n"/>
      <c r="AE227" s="232" t="n"/>
      <c r="AF227" s="232" t="n"/>
      <c r="AG227" s="232" t="n"/>
      <c r="AH227" s="232" t="n"/>
      <c r="AI227" s="232" t="n"/>
      <c r="AJ227" s="232" t="n"/>
      <c r="AK227" s="232" t="n"/>
    </row>
    <row r="228">
      <c r="B228" s="2" t="n"/>
      <c r="C228" s="105" t="n"/>
      <c r="D228" s="105" t="n"/>
      <c r="E228" s="105" t="n"/>
      <c r="F228" s="105" t="n"/>
      <c r="G228" s="105" t="n"/>
      <c r="H228" s="2" t="n"/>
      <c r="I228" s="10" t="n"/>
      <c r="K228" s="232" t="n"/>
      <c r="L228" s="232" t="n"/>
      <c r="M228" s="232" t="n"/>
      <c r="N228" s="232" t="n"/>
      <c r="O228" s="232" t="n"/>
      <c r="P228" s="232" t="n"/>
      <c r="Q228" s="232" t="n"/>
      <c r="R228" s="232" t="n"/>
      <c r="S228" s="232" t="n"/>
      <c r="T228" s="232" t="n"/>
      <c r="U228" s="232" t="n"/>
      <c r="V228" s="232" t="n"/>
      <c r="W228" s="232" t="n"/>
      <c r="X228" s="232" t="n"/>
      <c r="Y228" s="232" t="n"/>
      <c r="Z228" s="232" t="n"/>
      <c r="AA228" s="232" t="n"/>
      <c r="AB228" s="232" t="n"/>
      <c r="AC228" s="232" t="n"/>
      <c r="AD228" s="232" t="n"/>
      <c r="AE228" s="232" t="n"/>
      <c r="AF228" s="232" t="n"/>
      <c r="AG228" s="232" t="n"/>
      <c r="AH228" s="232" t="n"/>
      <c r="AI228" s="232" t="n"/>
      <c r="AJ228" s="232" t="n"/>
      <c r="AK228" s="232" t="n"/>
    </row>
    <row r="229">
      <c r="B229" s="2" t="n"/>
      <c r="C229" s="105" t="n"/>
      <c r="D229" s="105" t="n"/>
      <c r="E229" s="105" t="n"/>
      <c r="F229" s="105" t="n"/>
      <c r="G229" s="105" t="n"/>
      <c r="H229" s="2" t="n"/>
      <c r="I229" s="10" t="n"/>
      <c r="K229" s="232" t="n"/>
      <c r="L229" s="232" t="n"/>
      <c r="M229" s="232" t="n"/>
      <c r="N229" s="232" t="n"/>
      <c r="O229" s="232" t="n"/>
      <c r="P229" s="232" t="n"/>
      <c r="Q229" s="232" t="n"/>
      <c r="R229" s="232" t="n"/>
      <c r="S229" s="232" t="n"/>
      <c r="T229" s="232" t="n"/>
      <c r="U229" s="232" t="n"/>
      <c r="V229" s="232" t="n"/>
      <c r="W229" s="232" t="n"/>
      <c r="X229" s="232" t="n"/>
      <c r="Y229" s="232" t="n"/>
      <c r="Z229" s="232" t="n"/>
      <c r="AA229" s="232" t="n"/>
      <c r="AB229" s="232" t="n"/>
      <c r="AC229" s="232" t="n"/>
      <c r="AD229" s="232" t="n"/>
      <c r="AE229" s="232" t="n"/>
      <c r="AF229" s="232" t="n"/>
      <c r="AG229" s="232" t="n"/>
      <c r="AH229" s="232" t="n"/>
      <c r="AI229" s="232" t="n"/>
      <c r="AJ229" s="232" t="n"/>
      <c r="AK229" s="232" t="n"/>
    </row>
    <row r="230">
      <c r="B230" s="2" t="n"/>
      <c r="C230" s="105" t="n"/>
      <c r="D230" s="105" t="n"/>
      <c r="E230" s="105" t="n"/>
      <c r="F230" s="105" t="n"/>
      <c r="G230" s="105" t="n"/>
      <c r="H230" s="2" t="n"/>
      <c r="I230" s="10" t="n"/>
      <c r="K230" s="232" t="n"/>
      <c r="L230" s="232" t="n"/>
      <c r="M230" s="232" t="n"/>
      <c r="N230" s="232" t="n"/>
      <c r="O230" s="232" t="n"/>
      <c r="P230" s="232" t="n"/>
      <c r="Q230" s="232" t="n"/>
      <c r="R230" s="232" t="n"/>
      <c r="S230" s="232" t="n"/>
      <c r="T230" s="232" t="n"/>
      <c r="U230" s="232" t="n"/>
      <c r="V230" s="232" t="n"/>
      <c r="W230" s="232" t="n"/>
      <c r="X230" s="232" t="n"/>
      <c r="Y230" s="232" t="n"/>
      <c r="Z230" s="232" t="n"/>
      <c r="AA230" s="232" t="n"/>
      <c r="AB230" s="232" t="n"/>
      <c r="AC230" s="232" t="n"/>
      <c r="AD230" s="232" t="n"/>
      <c r="AE230" s="232" t="n"/>
      <c r="AF230" s="232" t="n"/>
      <c r="AG230" s="232" t="n"/>
      <c r="AH230" s="232" t="n"/>
      <c r="AI230" s="232" t="n"/>
      <c r="AJ230" s="232" t="n"/>
      <c r="AK230" s="232" t="n"/>
    </row>
    <row r="231">
      <c r="B231" s="2" t="n"/>
      <c r="C231" s="105" t="n"/>
      <c r="D231" s="105" t="n"/>
      <c r="E231" s="105" t="n"/>
      <c r="F231" s="105" t="n"/>
      <c r="G231" s="105" t="n"/>
      <c r="H231" s="2" t="n"/>
      <c r="I231" s="10" t="n"/>
      <c r="K231" s="232" t="n"/>
      <c r="L231" s="232" t="n"/>
      <c r="M231" s="232" t="n"/>
      <c r="N231" s="232" t="n"/>
      <c r="O231" s="232" t="n"/>
      <c r="P231" s="232" t="n"/>
      <c r="Q231" s="232" t="n"/>
      <c r="R231" s="232" t="n"/>
      <c r="S231" s="232" t="n"/>
      <c r="T231" s="232" t="n"/>
      <c r="U231" s="232" t="n"/>
      <c r="V231" s="232" t="n"/>
      <c r="W231" s="232" t="n"/>
      <c r="X231" s="232" t="n"/>
      <c r="Y231" s="232" t="n"/>
      <c r="Z231" s="232" t="n"/>
      <c r="AA231" s="232" t="n"/>
      <c r="AB231" s="232" t="n"/>
      <c r="AC231" s="232" t="n"/>
      <c r="AD231" s="232" t="n"/>
      <c r="AE231" s="232" t="n"/>
      <c r="AF231" s="232" t="n"/>
      <c r="AG231" s="232" t="n"/>
      <c r="AH231" s="232" t="n"/>
      <c r="AI231" s="232" t="n"/>
      <c r="AJ231" s="232" t="n"/>
      <c r="AK231" s="232" t="n"/>
    </row>
    <row r="232">
      <c r="B232" s="2" t="n"/>
      <c r="C232" s="105" t="n"/>
      <c r="D232" s="105" t="n"/>
      <c r="E232" s="105" t="n"/>
      <c r="F232" s="105" t="n"/>
      <c r="G232" s="105" t="n"/>
      <c r="H232" s="2" t="n"/>
      <c r="I232" s="10" t="n"/>
      <c r="K232" s="232" t="n"/>
      <c r="L232" s="232" t="n"/>
      <c r="M232" s="232" t="n"/>
      <c r="N232" s="232" t="n"/>
      <c r="O232" s="232" t="n"/>
      <c r="P232" s="232" t="n"/>
      <c r="Q232" s="232" t="n"/>
      <c r="R232" s="232" t="n"/>
      <c r="S232" s="232" t="n"/>
      <c r="T232" s="232" t="n"/>
      <c r="U232" s="232" t="n"/>
      <c r="V232" s="232" t="n"/>
      <c r="W232" s="232" t="n"/>
      <c r="X232" s="232" t="n"/>
      <c r="Y232" s="232" t="n"/>
      <c r="Z232" s="232" t="n"/>
      <c r="AA232" s="232" t="n"/>
      <c r="AB232" s="232" t="n"/>
      <c r="AC232" s="232" t="n"/>
      <c r="AD232" s="232" t="n"/>
      <c r="AE232" s="232" t="n"/>
      <c r="AF232" s="232" t="n"/>
      <c r="AG232" s="232" t="n"/>
      <c r="AH232" s="232" t="n"/>
      <c r="AI232" s="232" t="n"/>
      <c r="AJ232" s="232" t="n"/>
      <c r="AK232" s="232" t="n"/>
    </row>
    <row r="233">
      <c r="B233" s="2" t="n"/>
      <c r="C233" s="105" t="n"/>
      <c r="D233" s="105" t="n"/>
      <c r="E233" s="105" t="n"/>
      <c r="F233" s="105" t="n"/>
      <c r="G233" s="105" t="n"/>
      <c r="H233" s="2" t="n"/>
      <c r="I233" s="10" t="n"/>
      <c r="K233" s="232" t="n"/>
      <c r="L233" s="232" t="n"/>
      <c r="M233" s="232" t="n"/>
      <c r="N233" s="232" t="n"/>
      <c r="O233" s="232" t="n"/>
      <c r="P233" s="232" t="n"/>
      <c r="Q233" s="232" t="n"/>
      <c r="R233" s="232" t="n"/>
      <c r="S233" s="232" t="n"/>
      <c r="T233" s="232" t="n"/>
      <c r="U233" s="232" t="n"/>
      <c r="V233" s="232" t="n"/>
      <c r="W233" s="232" t="n"/>
      <c r="X233" s="232" t="n"/>
      <c r="Y233" s="232" t="n"/>
      <c r="Z233" s="232" t="n"/>
      <c r="AA233" s="232" t="n"/>
      <c r="AB233" s="232" t="n"/>
      <c r="AC233" s="232" t="n"/>
      <c r="AD233" s="232" t="n"/>
      <c r="AE233" s="232" t="n"/>
      <c r="AF233" s="232" t="n"/>
      <c r="AG233" s="232" t="n"/>
      <c r="AH233" s="232" t="n"/>
      <c r="AI233" s="232" t="n"/>
      <c r="AJ233" s="232" t="n"/>
      <c r="AK233" s="232" t="n"/>
    </row>
    <row r="234">
      <c r="B234" s="2" t="n"/>
      <c r="C234" s="105" t="n"/>
      <c r="D234" s="105" t="n"/>
      <c r="E234" s="105" t="n"/>
      <c r="F234" s="105" t="n"/>
      <c r="G234" s="105" t="n"/>
      <c r="H234" s="2" t="n"/>
      <c r="I234" s="10" t="n"/>
      <c r="K234" s="232" t="n"/>
      <c r="L234" s="232" t="n"/>
      <c r="M234" s="232" t="n"/>
      <c r="N234" s="232" t="n"/>
      <c r="O234" s="232" t="n"/>
      <c r="P234" s="232" t="n"/>
      <c r="Q234" s="232" t="n"/>
      <c r="R234" s="232" t="n"/>
      <c r="S234" s="232" t="n"/>
      <c r="T234" s="232" t="n"/>
      <c r="U234" s="232" t="n"/>
      <c r="V234" s="232" t="n"/>
      <c r="W234" s="232" t="n"/>
      <c r="X234" s="232" t="n"/>
      <c r="Y234" s="232" t="n"/>
      <c r="Z234" s="232" t="n"/>
      <c r="AA234" s="232" t="n"/>
      <c r="AB234" s="232" t="n"/>
      <c r="AC234" s="232" t="n"/>
      <c r="AD234" s="232" t="n"/>
      <c r="AE234" s="232" t="n"/>
      <c r="AF234" s="232" t="n"/>
      <c r="AG234" s="232" t="n"/>
      <c r="AH234" s="232" t="n"/>
      <c r="AI234" s="232" t="n"/>
      <c r="AJ234" s="232" t="n"/>
      <c r="AK234" s="232" t="n"/>
    </row>
    <row r="235">
      <c r="B235" s="2" t="n"/>
      <c r="C235" s="105" t="n"/>
      <c r="D235" s="105" t="n"/>
      <c r="E235" s="105" t="n"/>
      <c r="F235" s="105" t="n"/>
      <c r="G235" s="105" t="n"/>
      <c r="H235" s="2" t="n"/>
      <c r="I235" s="10" t="n"/>
      <c r="K235" s="232" t="n"/>
      <c r="L235" s="232" t="n"/>
      <c r="M235" s="232" t="n"/>
      <c r="N235" s="232" t="n"/>
      <c r="O235" s="232" t="n"/>
      <c r="P235" s="232" t="n"/>
      <c r="Q235" s="232" t="n"/>
      <c r="R235" s="232" t="n"/>
      <c r="S235" s="232" t="n"/>
      <c r="T235" s="232" t="n"/>
      <c r="U235" s="232" t="n"/>
      <c r="V235" s="232" t="n"/>
      <c r="W235" s="232" t="n"/>
      <c r="X235" s="232" t="n"/>
      <c r="Y235" s="232" t="n"/>
      <c r="Z235" s="232" t="n"/>
      <c r="AA235" s="232" t="n"/>
      <c r="AB235" s="232" t="n"/>
      <c r="AC235" s="232" t="n"/>
      <c r="AD235" s="232" t="n"/>
      <c r="AE235" s="232" t="n"/>
      <c r="AF235" s="232" t="n"/>
      <c r="AG235" s="232" t="n"/>
      <c r="AH235" s="232" t="n"/>
      <c r="AI235" s="232" t="n"/>
      <c r="AJ235" s="232" t="n"/>
      <c r="AK235" s="232" t="n"/>
    </row>
    <row r="236">
      <c r="B236" s="2" t="n"/>
      <c r="C236" s="105" t="n"/>
      <c r="D236" s="105" t="n"/>
      <c r="E236" s="105" t="n"/>
      <c r="F236" s="105" t="n"/>
      <c r="G236" s="105" t="n"/>
      <c r="H236" s="2" t="n"/>
      <c r="I236" s="10" t="n"/>
      <c r="K236" s="232" t="n"/>
      <c r="L236" s="232" t="n"/>
      <c r="M236" s="232" t="n"/>
      <c r="N236" s="232" t="n"/>
      <c r="O236" s="232" t="n"/>
      <c r="P236" s="232" t="n"/>
      <c r="Q236" s="232" t="n"/>
      <c r="R236" s="232" t="n"/>
      <c r="S236" s="232" t="n"/>
      <c r="T236" s="232" t="n"/>
      <c r="U236" s="232" t="n"/>
      <c r="V236" s="232" t="n"/>
      <c r="W236" s="232" t="n"/>
      <c r="X236" s="232" t="n"/>
      <c r="Y236" s="232" t="n"/>
      <c r="Z236" s="232" t="n"/>
      <c r="AA236" s="232" t="n"/>
      <c r="AB236" s="232" t="n"/>
      <c r="AC236" s="232" t="n"/>
      <c r="AD236" s="232" t="n"/>
      <c r="AE236" s="232" t="n"/>
      <c r="AF236" s="232" t="n"/>
      <c r="AG236" s="232" t="n"/>
      <c r="AH236" s="232" t="n"/>
      <c r="AI236" s="232" t="n"/>
      <c r="AJ236" s="232" t="n"/>
      <c r="AK236" s="232" t="n"/>
    </row>
    <row r="237">
      <c r="B237" s="2" t="n"/>
      <c r="C237" s="105" t="n"/>
      <c r="D237" s="105" t="n"/>
      <c r="E237" s="105" t="n"/>
      <c r="F237" s="105" t="n"/>
      <c r="G237" s="105" t="n"/>
      <c r="H237" s="2" t="n"/>
      <c r="I237" s="10" t="n"/>
      <c r="K237" s="232" t="n"/>
      <c r="L237" s="232" t="n"/>
      <c r="M237" s="232" t="n"/>
      <c r="N237" s="232" t="n"/>
      <c r="O237" s="232" t="n"/>
      <c r="P237" s="232" t="n"/>
      <c r="Q237" s="232" t="n"/>
      <c r="R237" s="232" t="n"/>
      <c r="S237" s="232" t="n"/>
      <c r="T237" s="232" t="n"/>
      <c r="U237" s="232" t="n"/>
      <c r="V237" s="232" t="n"/>
      <c r="W237" s="232" t="n"/>
      <c r="X237" s="232" t="n"/>
      <c r="Y237" s="232" t="n"/>
      <c r="Z237" s="232" t="n"/>
      <c r="AA237" s="232" t="n"/>
      <c r="AB237" s="232" t="n"/>
      <c r="AC237" s="232" t="n"/>
      <c r="AD237" s="232" t="n"/>
      <c r="AE237" s="232" t="n"/>
      <c r="AF237" s="232" t="n"/>
      <c r="AG237" s="232" t="n"/>
      <c r="AH237" s="232" t="n"/>
      <c r="AI237" s="232" t="n"/>
      <c r="AJ237" s="232" t="n"/>
      <c r="AK237" s="232" t="n"/>
    </row>
    <row r="238">
      <c r="B238" s="2" t="n"/>
      <c r="C238" s="105" t="n"/>
      <c r="D238" s="105" t="n"/>
      <c r="E238" s="105" t="n"/>
      <c r="F238" s="105" t="n"/>
      <c r="G238" s="105" t="n"/>
      <c r="H238" s="2" t="n"/>
      <c r="I238" s="10" t="n"/>
      <c r="K238" s="232" t="n"/>
      <c r="L238" s="232" t="n"/>
      <c r="M238" s="232" t="n"/>
      <c r="N238" s="232" t="n"/>
      <c r="O238" s="232" t="n"/>
      <c r="P238" s="232" t="n"/>
      <c r="Q238" s="232" t="n"/>
      <c r="R238" s="232" t="n"/>
      <c r="S238" s="232" t="n"/>
      <c r="T238" s="232" t="n"/>
      <c r="U238" s="232" t="n"/>
      <c r="V238" s="232" t="n"/>
      <c r="W238" s="232" t="n"/>
      <c r="X238" s="232" t="n"/>
      <c r="Y238" s="232" t="n"/>
      <c r="Z238" s="232" t="n"/>
      <c r="AA238" s="232" t="n"/>
      <c r="AB238" s="232" t="n"/>
      <c r="AC238" s="232" t="n"/>
      <c r="AD238" s="232" t="n"/>
      <c r="AE238" s="232" t="n"/>
      <c r="AF238" s="232" t="n"/>
      <c r="AG238" s="232" t="n"/>
      <c r="AH238" s="232" t="n"/>
      <c r="AI238" s="232" t="n"/>
      <c r="AJ238" s="232" t="n"/>
      <c r="AK238" s="232" t="n"/>
    </row>
    <row r="239">
      <c r="B239" s="2" t="n"/>
      <c r="C239" s="105" t="n"/>
      <c r="D239" s="105" t="n"/>
      <c r="E239" s="105" t="n"/>
      <c r="F239" s="105" t="n"/>
      <c r="G239" s="105" t="n"/>
      <c r="H239" s="2" t="n"/>
      <c r="I239" s="10" t="n"/>
      <c r="K239" s="232" t="n"/>
      <c r="L239" s="232" t="n"/>
      <c r="M239" s="232" t="n"/>
      <c r="N239" s="232" t="n"/>
      <c r="O239" s="232" t="n"/>
      <c r="P239" s="232" t="n"/>
      <c r="Q239" s="232" t="n"/>
      <c r="R239" s="232" t="n"/>
      <c r="S239" s="232" t="n"/>
      <c r="T239" s="232" t="n"/>
      <c r="U239" s="232" t="n"/>
      <c r="V239" s="232" t="n"/>
      <c r="W239" s="232" t="n"/>
      <c r="X239" s="232" t="n"/>
      <c r="Y239" s="232" t="n"/>
      <c r="Z239" s="232" t="n"/>
      <c r="AA239" s="232" t="n"/>
      <c r="AB239" s="232" t="n"/>
      <c r="AC239" s="232" t="n"/>
      <c r="AD239" s="232" t="n"/>
      <c r="AE239" s="232" t="n"/>
      <c r="AF239" s="232" t="n"/>
      <c r="AG239" s="232" t="n"/>
      <c r="AH239" s="232" t="n"/>
      <c r="AI239" s="232" t="n"/>
      <c r="AJ239" s="232" t="n"/>
      <c r="AK239" s="232" t="n"/>
    </row>
    <row r="240">
      <c r="B240" s="2" t="n"/>
      <c r="C240" s="105" t="n"/>
      <c r="D240" s="105" t="n"/>
      <c r="E240" s="105" t="n"/>
      <c r="F240" s="105" t="n"/>
      <c r="G240" s="105" t="n"/>
      <c r="H240" s="2" t="n"/>
      <c r="I240" s="10" t="n"/>
      <c r="K240" s="232" t="n"/>
      <c r="L240" s="232" t="n"/>
      <c r="M240" s="232" t="n"/>
      <c r="N240" s="232" t="n"/>
      <c r="O240" s="232" t="n"/>
      <c r="P240" s="232" t="n"/>
      <c r="Q240" s="232" t="n"/>
      <c r="R240" s="232" t="n"/>
      <c r="S240" s="232" t="n"/>
      <c r="T240" s="232" t="n"/>
      <c r="U240" s="232" t="n"/>
      <c r="V240" s="232" t="n"/>
      <c r="W240" s="232" t="n"/>
      <c r="X240" s="232" t="n"/>
      <c r="Y240" s="232" t="n"/>
      <c r="Z240" s="232" t="n"/>
      <c r="AA240" s="232" t="n"/>
      <c r="AB240" s="232" t="n"/>
      <c r="AC240" s="232" t="n"/>
      <c r="AD240" s="232" t="n"/>
      <c r="AE240" s="232" t="n"/>
      <c r="AF240" s="232" t="n"/>
      <c r="AG240" s="232" t="n"/>
      <c r="AH240" s="232" t="n"/>
      <c r="AI240" s="232" t="n"/>
      <c r="AJ240" s="232" t="n"/>
      <c r="AK240" s="232" t="n"/>
    </row>
    <row r="241">
      <c r="B241" s="2" t="n"/>
      <c r="C241" s="105" t="n"/>
      <c r="D241" s="105" t="n"/>
      <c r="E241" s="105" t="n"/>
      <c r="F241" s="105" t="n"/>
      <c r="G241" s="105" t="n"/>
      <c r="H241" s="2" t="n"/>
      <c r="I241" s="10" t="n"/>
      <c r="K241" s="232" t="n"/>
      <c r="L241" s="232" t="n"/>
      <c r="M241" s="232" t="n"/>
      <c r="N241" s="232" t="n"/>
      <c r="O241" s="232" t="n"/>
      <c r="P241" s="232" t="n"/>
      <c r="Q241" s="232" t="n"/>
      <c r="R241" s="232" t="n"/>
      <c r="S241" s="232" t="n"/>
      <c r="T241" s="232" t="n"/>
      <c r="U241" s="232" t="n"/>
      <c r="V241" s="232" t="n"/>
      <c r="W241" s="232" t="n"/>
      <c r="X241" s="232" t="n"/>
      <c r="Y241" s="232" t="n"/>
      <c r="Z241" s="232" t="n"/>
      <c r="AA241" s="232" t="n"/>
      <c r="AB241" s="232" t="n"/>
      <c r="AC241" s="232" t="n"/>
      <c r="AD241" s="232" t="n"/>
      <c r="AE241" s="232" t="n"/>
      <c r="AF241" s="232" t="n"/>
      <c r="AG241" s="232" t="n"/>
      <c r="AH241" s="232" t="n"/>
      <c r="AI241" s="232" t="n"/>
      <c r="AJ241" s="232" t="n"/>
      <c r="AK241" s="232" t="n"/>
    </row>
    <row r="242">
      <c r="B242" s="2" t="n"/>
      <c r="C242" s="105" t="n"/>
      <c r="D242" s="105" t="n"/>
      <c r="E242" s="105" t="n"/>
      <c r="F242" s="105" t="n"/>
      <c r="G242" s="105" t="n"/>
      <c r="H242" s="2" t="n"/>
      <c r="I242" s="10" t="n"/>
      <c r="K242" s="232" t="n"/>
      <c r="L242" s="232" t="n"/>
      <c r="M242" s="232" t="n"/>
      <c r="N242" s="232" t="n"/>
      <c r="O242" s="232" t="n"/>
      <c r="P242" s="232" t="n"/>
      <c r="Q242" s="232" t="n"/>
      <c r="R242" s="232" t="n"/>
      <c r="S242" s="232" t="n"/>
      <c r="T242" s="232" t="n"/>
      <c r="U242" s="232" t="n"/>
      <c r="V242" s="232" t="n"/>
      <c r="W242" s="232" t="n"/>
      <c r="X242" s="232" t="n"/>
      <c r="Y242" s="232" t="n"/>
      <c r="Z242" s="232" t="n"/>
      <c r="AA242" s="232" t="n"/>
      <c r="AB242" s="232" t="n"/>
      <c r="AC242" s="232" t="n"/>
      <c r="AD242" s="232" t="n"/>
      <c r="AE242" s="232" t="n"/>
      <c r="AF242" s="232" t="n"/>
      <c r="AG242" s="232" t="n"/>
      <c r="AH242" s="232" t="n"/>
      <c r="AI242" s="232" t="n"/>
      <c r="AJ242" s="232" t="n"/>
      <c r="AK242" s="232" t="n"/>
    </row>
    <row r="243">
      <c r="B243" s="2" t="n"/>
      <c r="C243" s="105" t="n"/>
      <c r="D243" s="105" t="n"/>
      <c r="E243" s="105" t="n"/>
      <c r="F243" s="105" t="n"/>
      <c r="G243" s="105" t="n"/>
      <c r="H243" s="2" t="n"/>
      <c r="I243" s="10" t="n"/>
      <c r="K243" s="232" t="n"/>
      <c r="L243" s="232" t="n"/>
      <c r="M243" s="232" t="n"/>
      <c r="N243" s="232" t="n"/>
      <c r="O243" s="232" t="n"/>
      <c r="P243" s="232" t="n"/>
      <c r="Q243" s="232" t="n"/>
      <c r="R243" s="232" t="n"/>
      <c r="S243" s="232" t="n"/>
      <c r="T243" s="232" t="n"/>
      <c r="U243" s="232" t="n"/>
      <c r="V243" s="232" t="n"/>
      <c r="W243" s="232" t="n"/>
      <c r="X243" s="232" t="n"/>
      <c r="Y243" s="232" t="n"/>
      <c r="Z243" s="232" t="n"/>
      <c r="AA243" s="232" t="n"/>
      <c r="AB243" s="232" t="n"/>
      <c r="AC243" s="232" t="n"/>
      <c r="AD243" s="232" t="n"/>
      <c r="AE243" s="232" t="n"/>
      <c r="AF243" s="232" t="n"/>
      <c r="AG243" s="232" t="n"/>
      <c r="AH243" s="232" t="n"/>
      <c r="AI243" s="232" t="n"/>
      <c r="AJ243" s="232" t="n"/>
      <c r="AK243" s="232" t="n"/>
    </row>
    <row r="244">
      <c r="B244" s="2" t="n"/>
      <c r="C244" s="105" t="n"/>
      <c r="D244" s="105" t="n"/>
      <c r="E244" s="105" t="n"/>
      <c r="F244" s="105" t="n"/>
      <c r="G244" s="105" t="n"/>
      <c r="H244" s="2" t="n"/>
      <c r="I244" s="10" t="n"/>
      <c r="K244" s="232" t="n"/>
      <c r="L244" s="232" t="n"/>
      <c r="M244" s="232" t="n"/>
      <c r="N244" s="232" t="n"/>
      <c r="O244" s="232" t="n"/>
      <c r="P244" s="232" t="n"/>
      <c r="Q244" s="232" t="n"/>
      <c r="R244" s="232" t="n"/>
      <c r="S244" s="232" t="n"/>
      <c r="T244" s="232" t="n"/>
      <c r="U244" s="232" t="n"/>
      <c r="V244" s="232" t="n"/>
      <c r="W244" s="232" t="n"/>
      <c r="X244" s="232" t="n"/>
      <c r="Y244" s="232" t="n"/>
      <c r="Z244" s="232" t="n"/>
      <c r="AA244" s="232" t="n"/>
      <c r="AB244" s="232" t="n"/>
      <c r="AC244" s="232" t="n"/>
      <c r="AD244" s="232" t="n"/>
      <c r="AE244" s="232" t="n"/>
      <c r="AF244" s="232" t="n"/>
      <c r="AG244" s="232" t="n"/>
      <c r="AH244" s="232" t="n"/>
      <c r="AI244" s="232" t="n"/>
      <c r="AJ244" s="232" t="n"/>
      <c r="AK244" s="232" t="n"/>
    </row>
    <row r="245">
      <c r="B245" s="2" t="n"/>
      <c r="C245" s="105" t="n"/>
      <c r="D245" s="105" t="n"/>
      <c r="E245" s="105" t="n"/>
      <c r="F245" s="105" t="n"/>
      <c r="G245" s="105" t="n"/>
      <c r="H245" s="2" t="n"/>
      <c r="I245" s="10" t="n"/>
      <c r="K245" s="232" t="n"/>
      <c r="L245" s="232" t="n"/>
      <c r="M245" s="232" t="n"/>
      <c r="N245" s="232" t="n"/>
      <c r="O245" s="232" t="n"/>
      <c r="P245" s="232" t="n"/>
      <c r="Q245" s="232" t="n"/>
      <c r="R245" s="232" t="n"/>
      <c r="S245" s="232" t="n"/>
      <c r="T245" s="232" t="n"/>
      <c r="U245" s="232" t="n"/>
      <c r="V245" s="232" t="n"/>
      <c r="W245" s="232" t="n"/>
      <c r="X245" s="232" t="n"/>
      <c r="Y245" s="232" t="n"/>
      <c r="Z245" s="232" t="n"/>
      <c r="AA245" s="232" t="n"/>
      <c r="AB245" s="232" t="n"/>
      <c r="AC245" s="232" t="n"/>
      <c r="AD245" s="232" t="n"/>
      <c r="AE245" s="232" t="n"/>
      <c r="AF245" s="232" t="n"/>
      <c r="AG245" s="232" t="n"/>
      <c r="AH245" s="232" t="n"/>
      <c r="AI245" s="232" t="n"/>
      <c r="AJ245" s="232" t="n"/>
      <c r="AK245" s="232" t="n"/>
    </row>
    <row r="246">
      <c r="B246" s="2" t="n"/>
      <c r="C246" s="105" t="n"/>
      <c r="D246" s="105" t="n"/>
      <c r="E246" s="105" t="n"/>
      <c r="F246" s="105" t="n"/>
      <c r="G246" s="105" t="n"/>
      <c r="H246" s="2" t="n"/>
      <c r="I246" s="10" t="n"/>
      <c r="K246" s="232" t="n"/>
      <c r="L246" s="232" t="n"/>
      <c r="M246" s="232" t="n"/>
      <c r="N246" s="232" t="n"/>
      <c r="O246" s="232" t="n"/>
      <c r="P246" s="232" t="n"/>
      <c r="Q246" s="232" t="n"/>
      <c r="R246" s="232" t="n"/>
      <c r="S246" s="232" t="n"/>
      <c r="T246" s="232" t="n"/>
      <c r="U246" s="232" t="n"/>
      <c r="V246" s="232" t="n"/>
      <c r="W246" s="232" t="n"/>
      <c r="X246" s="232" t="n"/>
      <c r="Y246" s="232" t="n"/>
      <c r="Z246" s="232" t="n"/>
      <c r="AA246" s="232" t="n"/>
      <c r="AB246" s="232" t="n"/>
      <c r="AC246" s="232" t="n"/>
      <c r="AD246" s="232" t="n"/>
      <c r="AE246" s="232" t="n"/>
      <c r="AF246" s="232" t="n"/>
      <c r="AG246" s="232" t="n"/>
      <c r="AH246" s="232" t="n"/>
      <c r="AI246" s="232" t="n"/>
      <c r="AJ246" s="232" t="n"/>
      <c r="AK246" s="232" t="n"/>
    </row>
    <row r="247">
      <c r="B247" s="2" t="n"/>
      <c r="C247" s="105" t="n"/>
      <c r="D247" s="105" t="n"/>
      <c r="E247" s="105" t="n"/>
      <c r="F247" s="105" t="n"/>
      <c r="G247" s="105" t="n"/>
      <c r="H247" s="2" t="n"/>
      <c r="I247" s="10" t="n"/>
      <c r="K247" s="232" t="n"/>
      <c r="L247" s="232" t="n"/>
      <c r="M247" s="232" t="n"/>
      <c r="N247" s="232" t="n"/>
      <c r="O247" s="232" t="n"/>
      <c r="P247" s="232" t="n"/>
      <c r="Q247" s="232" t="n"/>
      <c r="R247" s="232" t="n"/>
      <c r="S247" s="232" t="n"/>
      <c r="T247" s="232" t="n"/>
      <c r="U247" s="232" t="n"/>
      <c r="V247" s="232" t="n"/>
      <c r="W247" s="232" t="n"/>
      <c r="X247" s="232" t="n"/>
      <c r="Y247" s="232" t="n"/>
      <c r="Z247" s="232" t="n"/>
      <c r="AA247" s="232" t="n"/>
      <c r="AB247" s="232" t="n"/>
      <c r="AC247" s="232" t="n"/>
      <c r="AD247" s="232" t="n"/>
      <c r="AE247" s="232" t="n"/>
      <c r="AF247" s="232" t="n"/>
      <c r="AG247" s="232" t="n"/>
      <c r="AH247" s="232" t="n"/>
      <c r="AI247" s="232" t="n"/>
      <c r="AJ247" s="232" t="n"/>
      <c r="AK247" s="232" t="n"/>
    </row>
    <row r="248">
      <c r="B248" s="2" t="n"/>
      <c r="C248" s="105" t="n"/>
      <c r="D248" s="105" t="n"/>
      <c r="E248" s="105" t="n"/>
      <c r="F248" s="105" t="n"/>
      <c r="G248" s="105" t="n"/>
      <c r="H248" s="2" t="n"/>
      <c r="I248" s="10" t="n"/>
      <c r="K248" s="232" t="n"/>
      <c r="L248" s="232" t="n"/>
      <c r="M248" s="232" t="n"/>
      <c r="N248" s="232" t="n"/>
      <c r="O248" s="232" t="n"/>
      <c r="P248" s="232" t="n"/>
      <c r="Q248" s="232" t="n"/>
      <c r="R248" s="232" t="n"/>
      <c r="S248" s="232" t="n"/>
      <c r="T248" s="232" t="n"/>
      <c r="U248" s="232" t="n"/>
      <c r="V248" s="232" t="n"/>
      <c r="W248" s="232" t="n"/>
      <c r="X248" s="232" t="n"/>
      <c r="Y248" s="232" t="n"/>
      <c r="Z248" s="232" t="n"/>
      <c r="AA248" s="232" t="n"/>
      <c r="AB248" s="232" t="n"/>
      <c r="AC248" s="232" t="n"/>
      <c r="AD248" s="232" t="n"/>
      <c r="AE248" s="232" t="n"/>
      <c r="AF248" s="232" t="n"/>
      <c r="AG248" s="232" t="n"/>
      <c r="AH248" s="232" t="n"/>
      <c r="AI248" s="232" t="n"/>
      <c r="AJ248" s="232" t="n"/>
      <c r="AK248" s="232" t="n"/>
    </row>
    <row r="249">
      <c r="B249" s="2" t="n"/>
      <c r="C249" s="105" t="n"/>
      <c r="D249" s="105" t="n"/>
      <c r="E249" s="105" t="n"/>
      <c r="F249" s="105" t="n"/>
      <c r="G249" s="105" t="n"/>
      <c r="H249" s="2" t="n"/>
      <c r="I249" s="10" t="n"/>
      <c r="K249" s="232" t="n"/>
      <c r="L249" s="232" t="n"/>
      <c r="M249" s="232" t="n"/>
      <c r="N249" s="232" t="n"/>
      <c r="O249" s="232" t="n"/>
      <c r="P249" s="232" t="n"/>
      <c r="Q249" s="232" t="n"/>
      <c r="R249" s="232" t="n"/>
      <c r="S249" s="232" t="n"/>
      <c r="T249" s="232" t="n"/>
      <c r="U249" s="232" t="n"/>
      <c r="V249" s="232" t="n"/>
      <c r="W249" s="232" t="n"/>
      <c r="X249" s="232" t="n"/>
      <c r="Y249" s="232" t="n"/>
      <c r="Z249" s="232" t="n"/>
      <c r="AA249" s="232" t="n"/>
      <c r="AB249" s="232" t="n"/>
      <c r="AC249" s="232" t="n"/>
      <c r="AD249" s="232" t="n"/>
      <c r="AE249" s="232" t="n"/>
      <c r="AF249" s="232" t="n"/>
      <c r="AG249" s="232" t="n"/>
      <c r="AH249" s="232" t="n"/>
      <c r="AI249" s="232" t="n"/>
      <c r="AJ249" s="232" t="n"/>
      <c r="AK249" s="232" t="n"/>
    </row>
    <row r="250">
      <c r="B250" s="2" t="n"/>
      <c r="C250" s="105" t="n"/>
      <c r="D250" s="105" t="n"/>
      <c r="E250" s="105" t="n"/>
      <c r="F250" s="105" t="n"/>
      <c r="G250" s="105" t="n"/>
      <c r="H250" s="2" t="n"/>
      <c r="I250" s="10" t="n"/>
      <c r="K250" s="232" t="n"/>
      <c r="L250" s="232" t="n"/>
      <c r="M250" s="232" t="n"/>
      <c r="N250" s="232" t="n"/>
      <c r="O250" s="232" t="n"/>
      <c r="P250" s="232" t="n"/>
      <c r="Q250" s="232" t="n"/>
      <c r="R250" s="232" t="n"/>
      <c r="S250" s="232" t="n"/>
      <c r="T250" s="232" t="n"/>
      <c r="U250" s="232" t="n"/>
      <c r="V250" s="232" t="n"/>
      <c r="W250" s="232" t="n"/>
      <c r="X250" s="232" t="n"/>
      <c r="Y250" s="232" t="n"/>
      <c r="Z250" s="232" t="n"/>
      <c r="AA250" s="232" t="n"/>
      <c r="AB250" s="232" t="n"/>
      <c r="AC250" s="232" t="n"/>
      <c r="AD250" s="232" t="n"/>
      <c r="AE250" s="232" t="n"/>
      <c r="AF250" s="232" t="n"/>
      <c r="AG250" s="232" t="n"/>
      <c r="AH250" s="232" t="n"/>
      <c r="AI250" s="232" t="n"/>
      <c r="AJ250" s="232" t="n"/>
      <c r="AK250" s="232" t="n"/>
    </row>
    <row r="251">
      <c r="B251" s="2" t="n"/>
      <c r="C251" s="105" t="n"/>
      <c r="D251" s="105" t="n"/>
      <c r="E251" s="105" t="n"/>
      <c r="F251" s="105" t="n"/>
      <c r="G251" s="105" t="n"/>
      <c r="H251" s="2" t="n"/>
      <c r="I251" s="10" t="n"/>
      <c r="K251" s="232" t="n"/>
      <c r="L251" s="232" t="n"/>
      <c r="M251" s="232" t="n"/>
      <c r="N251" s="232" t="n"/>
      <c r="O251" s="232" t="n"/>
      <c r="P251" s="232" t="n"/>
      <c r="Q251" s="232" t="n"/>
      <c r="R251" s="232" t="n"/>
      <c r="S251" s="232" t="n"/>
      <c r="T251" s="232" t="n"/>
      <c r="U251" s="232" t="n"/>
      <c r="V251" s="232" t="n"/>
      <c r="W251" s="232" t="n"/>
      <c r="X251" s="232" t="n"/>
      <c r="Y251" s="232" t="n"/>
      <c r="Z251" s="232" t="n"/>
      <c r="AA251" s="232" t="n"/>
      <c r="AB251" s="232" t="n"/>
      <c r="AC251" s="232" t="n"/>
      <c r="AD251" s="232" t="n"/>
      <c r="AE251" s="232" t="n"/>
      <c r="AF251" s="232" t="n"/>
      <c r="AG251" s="232" t="n"/>
      <c r="AH251" s="232" t="n"/>
      <c r="AI251" s="232" t="n"/>
      <c r="AJ251" s="232" t="n"/>
      <c r="AK251" s="232" t="n"/>
    </row>
    <row r="252">
      <c r="B252" s="2" t="n"/>
      <c r="C252" s="105" t="n"/>
      <c r="D252" s="105" t="n"/>
      <c r="E252" s="105" t="n"/>
      <c r="F252" s="105" t="n"/>
      <c r="G252" s="105" t="n"/>
      <c r="H252" s="2" t="n"/>
      <c r="I252" s="10" t="n"/>
      <c r="K252" s="232" t="n"/>
      <c r="L252" s="232" t="n"/>
      <c r="M252" s="232" t="n"/>
      <c r="N252" s="232" t="n"/>
      <c r="O252" s="232" t="n"/>
      <c r="P252" s="232" t="n"/>
      <c r="Q252" s="232" t="n"/>
      <c r="R252" s="232" t="n"/>
      <c r="S252" s="232" t="n"/>
      <c r="T252" s="232" t="n"/>
      <c r="U252" s="232" t="n"/>
      <c r="V252" s="232" t="n"/>
      <c r="W252" s="232" t="n"/>
      <c r="X252" s="232" t="n"/>
      <c r="Y252" s="232" t="n"/>
      <c r="Z252" s="232" t="n"/>
      <c r="AA252" s="232" t="n"/>
      <c r="AB252" s="232" t="n"/>
      <c r="AC252" s="232" t="n"/>
      <c r="AD252" s="232" t="n"/>
      <c r="AE252" s="232" t="n"/>
      <c r="AF252" s="232" t="n"/>
      <c r="AG252" s="232" t="n"/>
      <c r="AH252" s="232" t="n"/>
      <c r="AI252" s="232" t="n"/>
      <c r="AJ252" s="232" t="n"/>
      <c r="AK252" s="232" t="n"/>
    </row>
    <row r="253">
      <c r="B253" s="2" t="n"/>
      <c r="C253" s="105" t="n"/>
      <c r="D253" s="105" t="n"/>
      <c r="E253" s="105" t="n"/>
      <c r="F253" s="105" t="n"/>
      <c r="G253" s="105" t="n"/>
      <c r="H253" s="2" t="n"/>
      <c r="I253" s="10" t="n"/>
      <c r="K253" s="232" t="n"/>
      <c r="L253" s="232" t="n"/>
      <c r="M253" s="232" t="n"/>
      <c r="N253" s="232" t="n"/>
      <c r="O253" s="232" t="n"/>
      <c r="P253" s="232" t="n"/>
      <c r="Q253" s="232" t="n"/>
      <c r="R253" s="232" t="n"/>
      <c r="S253" s="232" t="n"/>
      <c r="T253" s="232" t="n"/>
      <c r="U253" s="232" t="n"/>
      <c r="V253" s="232" t="n"/>
      <c r="W253" s="232" t="n"/>
      <c r="X253" s="232" t="n"/>
      <c r="Y253" s="232" t="n"/>
      <c r="Z253" s="232" t="n"/>
      <c r="AA253" s="232" t="n"/>
      <c r="AB253" s="232" t="n"/>
      <c r="AC253" s="232" t="n"/>
      <c r="AD253" s="232" t="n"/>
      <c r="AE253" s="232" t="n"/>
      <c r="AF253" s="232" t="n"/>
      <c r="AG253" s="232" t="n"/>
      <c r="AH253" s="232" t="n"/>
      <c r="AI253" s="232" t="n"/>
      <c r="AJ253" s="232" t="n"/>
      <c r="AK253" s="232" t="n"/>
    </row>
    <row r="254">
      <c r="B254" s="2" t="n"/>
      <c r="C254" s="105" t="n"/>
      <c r="D254" s="105" t="n"/>
      <c r="E254" s="105" t="n"/>
      <c r="F254" s="105" t="n"/>
      <c r="G254" s="105" t="n"/>
      <c r="H254" s="2" t="n"/>
      <c r="I254" s="10" t="n"/>
      <c r="K254" s="232" t="n"/>
      <c r="L254" s="232" t="n"/>
      <c r="M254" s="232" t="n"/>
      <c r="N254" s="232" t="n"/>
      <c r="O254" s="232" t="n"/>
      <c r="P254" s="232" t="n"/>
      <c r="Q254" s="232" t="n"/>
      <c r="R254" s="232" t="n"/>
      <c r="S254" s="232" t="n"/>
      <c r="T254" s="232" t="n"/>
      <c r="U254" s="232" t="n"/>
      <c r="V254" s="232" t="n"/>
      <c r="W254" s="232" t="n"/>
      <c r="X254" s="232" t="n"/>
      <c r="Y254" s="232" t="n"/>
      <c r="Z254" s="232" t="n"/>
      <c r="AA254" s="232" t="n"/>
      <c r="AB254" s="232" t="n"/>
      <c r="AC254" s="232" t="n"/>
      <c r="AD254" s="232" t="n"/>
      <c r="AE254" s="232" t="n"/>
      <c r="AF254" s="232" t="n"/>
      <c r="AG254" s="232" t="n"/>
      <c r="AH254" s="232" t="n"/>
      <c r="AI254" s="232" t="n"/>
      <c r="AJ254" s="232" t="n"/>
      <c r="AK254" s="232" t="n"/>
    </row>
    <row r="255">
      <c r="B255" s="2" t="n"/>
      <c r="C255" s="105" t="n"/>
      <c r="D255" s="105" t="n"/>
      <c r="E255" s="105" t="n"/>
      <c r="F255" s="105" t="n"/>
      <c r="G255" s="105" t="n"/>
      <c r="H255" s="2" t="n"/>
      <c r="I255" s="10" t="n"/>
      <c r="K255" s="232" t="n"/>
      <c r="L255" s="232" t="n"/>
      <c r="M255" s="232" t="n"/>
      <c r="N255" s="232" t="n"/>
      <c r="O255" s="232" t="n"/>
      <c r="P255" s="232" t="n"/>
      <c r="Q255" s="232" t="n"/>
      <c r="R255" s="232" t="n"/>
      <c r="S255" s="232" t="n"/>
      <c r="T255" s="232" t="n"/>
      <c r="U255" s="232" t="n"/>
      <c r="V255" s="232" t="n"/>
      <c r="W255" s="232" t="n"/>
      <c r="X255" s="232" t="n"/>
      <c r="Y255" s="232" t="n"/>
      <c r="Z255" s="232" t="n"/>
      <c r="AA255" s="232" t="n"/>
      <c r="AB255" s="232" t="n"/>
      <c r="AC255" s="232" t="n"/>
      <c r="AD255" s="232" t="n"/>
      <c r="AE255" s="232" t="n"/>
      <c r="AF255" s="232" t="n"/>
      <c r="AG255" s="232" t="n"/>
      <c r="AH255" s="232" t="n"/>
      <c r="AI255" s="232" t="n"/>
      <c r="AJ255" s="232" t="n"/>
      <c r="AK255" s="232" t="n"/>
    </row>
    <row r="256">
      <c r="B256" s="2" t="n"/>
      <c r="C256" s="105" t="n"/>
      <c r="D256" s="105" t="n"/>
      <c r="E256" s="105" t="n"/>
      <c r="F256" s="105" t="n"/>
      <c r="G256" s="105" t="n"/>
      <c r="H256" s="2" t="n"/>
      <c r="I256" s="10" t="n"/>
      <c r="K256" s="232" t="n"/>
      <c r="L256" s="232" t="n"/>
      <c r="M256" s="232" t="n"/>
      <c r="N256" s="232" t="n"/>
      <c r="O256" s="232" t="n"/>
      <c r="P256" s="232" t="n"/>
      <c r="Q256" s="232" t="n"/>
      <c r="R256" s="232" t="n"/>
      <c r="S256" s="232" t="n"/>
      <c r="T256" s="232" t="n"/>
      <c r="U256" s="232" t="n"/>
      <c r="V256" s="232" t="n"/>
      <c r="W256" s="232" t="n"/>
      <c r="X256" s="232" t="n"/>
      <c r="Y256" s="232" t="n"/>
      <c r="Z256" s="232" t="n"/>
      <c r="AA256" s="232" t="n"/>
      <c r="AB256" s="232" t="n"/>
      <c r="AC256" s="232" t="n"/>
      <c r="AD256" s="232" t="n"/>
      <c r="AE256" s="232" t="n"/>
      <c r="AF256" s="232" t="n"/>
      <c r="AG256" s="232" t="n"/>
      <c r="AH256" s="232" t="n"/>
      <c r="AI256" s="232" t="n"/>
      <c r="AJ256" s="232" t="n"/>
      <c r="AK256" s="232" t="n"/>
    </row>
    <row r="257">
      <c r="B257" s="2" t="n"/>
      <c r="C257" s="105" t="n"/>
      <c r="D257" s="105" t="n"/>
      <c r="E257" s="105" t="n"/>
      <c r="F257" s="105" t="n"/>
      <c r="G257" s="105" t="n"/>
      <c r="H257" s="2" t="n"/>
      <c r="I257" s="10" t="n"/>
      <c r="K257" s="232" t="n"/>
      <c r="L257" s="232" t="n"/>
      <c r="M257" s="232" t="n"/>
      <c r="N257" s="232" t="n"/>
      <c r="O257" s="232" t="n"/>
      <c r="P257" s="232" t="n"/>
      <c r="Q257" s="232" t="n"/>
      <c r="R257" s="232" t="n"/>
      <c r="S257" s="232" t="n"/>
      <c r="T257" s="232" t="n"/>
      <c r="U257" s="232" t="n"/>
      <c r="V257" s="232" t="n"/>
      <c r="W257" s="232" t="n"/>
      <c r="X257" s="232" t="n"/>
      <c r="Y257" s="232" t="n"/>
      <c r="Z257" s="232" t="n"/>
      <c r="AA257" s="232" t="n"/>
      <c r="AB257" s="232" t="n"/>
      <c r="AC257" s="232" t="n"/>
      <c r="AD257" s="232" t="n"/>
      <c r="AE257" s="232" t="n"/>
      <c r="AF257" s="232" t="n"/>
      <c r="AG257" s="232" t="n"/>
      <c r="AH257" s="232" t="n"/>
      <c r="AI257" s="232" t="n"/>
      <c r="AJ257" s="232" t="n"/>
      <c r="AK257" s="232" t="n"/>
    </row>
    <row r="258">
      <c r="B258" s="2" t="n"/>
      <c r="C258" s="105" t="n"/>
      <c r="D258" s="105" t="n"/>
      <c r="E258" s="105" t="n"/>
      <c r="F258" s="105" t="n"/>
      <c r="G258" s="105" t="n"/>
      <c r="H258" s="2" t="n"/>
      <c r="I258" s="10" t="n"/>
      <c r="K258" s="232" t="n"/>
      <c r="L258" s="232" t="n"/>
      <c r="M258" s="232" t="n"/>
      <c r="N258" s="232" t="n"/>
      <c r="O258" s="232" t="n"/>
      <c r="P258" s="232" t="n"/>
      <c r="Q258" s="232" t="n"/>
      <c r="R258" s="232" t="n"/>
      <c r="S258" s="232" t="n"/>
      <c r="T258" s="232" t="n"/>
      <c r="U258" s="232" t="n"/>
      <c r="V258" s="232" t="n"/>
      <c r="W258" s="232" t="n"/>
      <c r="X258" s="232" t="n"/>
      <c r="Y258" s="232" t="n"/>
      <c r="Z258" s="232" t="n"/>
      <c r="AA258" s="232" t="n"/>
      <c r="AB258" s="232" t="n"/>
      <c r="AC258" s="232" t="n"/>
      <c r="AD258" s="232" t="n"/>
      <c r="AE258" s="232" t="n"/>
      <c r="AF258" s="232" t="n"/>
      <c r="AG258" s="232" t="n"/>
      <c r="AH258" s="232" t="n"/>
      <c r="AI258" s="232" t="n"/>
      <c r="AJ258" s="232" t="n"/>
      <c r="AK258" s="232" t="n"/>
    </row>
    <row r="259">
      <c r="B259" s="2" t="n"/>
      <c r="C259" s="105" t="n"/>
      <c r="D259" s="105" t="n"/>
      <c r="E259" s="105" t="n"/>
      <c r="F259" s="105" t="n"/>
      <c r="G259" s="105" t="n"/>
      <c r="H259" s="2" t="n"/>
      <c r="I259" s="10" t="n"/>
      <c r="K259" s="232" t="n"/>
      <c r="L259" s="232" t="n"/>
      <c r="M259" s="232" t="n"/>
      <c r="N259" s="232" t="n"/>
      <c r="O259" s="232" t="n"/>
      <c r="P259" s="232" t="n"/>
      <c r="Q259" s="232" t="n"/>
      <c r="R259" s="232" t="n"/>
      <c r="S259" s="232" t="n"/>
      <c r="T259" s="232" t="n"/>
      <c r="U259" s="232" t="n"/>
      <c r="V259" s="232" t="n"/>
      <c r="W259" s="232" t="n"/>
      <c r="X259" s="232" t="n"/>
      <c r="Y259" s="232" t="n"/>
      <c r="Z259" s="232" t="n"/>
      <c r="AA259" s="232" t="n"/>
      <c r="AB259" s="232" t="n"/>
      <c r="AC259" s="232" t="n"/>
      <c r="AD259" s="232" t="n"/>
      <c r="AE259" s="232" t="n"/>
      <c r="AF259" s="232" t="n"/>
      <c r="AG259" s="232" t="n"/>
      <c r="AH259" s="232" t="n"/>
      <c r="AI259" s="232" t="n"/>
      <c r="AJ259" s="232" t="n"/>
      <c r="AK259" s="232" t="n"/>
    </row>
    <row r="260">
      <c r="B260" s="2" t="n"/>
      <c r="C260" s="105" t="n"/>
      <c r="D260" s="105" t="n"/>
      <c r="E260" s="105" t="n"/>
      <c r="F260" s="105" t="n"/>
      <c r="G260" s="105" t="n"/>
      <c r="H260" s="2" t="n"/>
      <c r="I260" s="10" t="n"/>
      <c r="K260" s="232" t="n"/>
      <c r="L260" s="232" t="n"/>
      <c r="M260" s="232" t="n"/>
      <c r="N260" s="232" t="n"/>
      <c r="O260" s="232" t="n"/>
      <c r="P260" s="232" t="n"/>
      <c r="Q260" s="232" t="n"/>
      <c r="R260" s="232" t="n"/>
      <c r="S260" s="232" t="n"/>
      <c r="T260" s="232" t="n"/>
      <c r="U260" s="232" t="n"/>
      <c r="V260" s="232" t="n"/>
      <c r="W260" s="232" t="n"/>
      <c r="X260" s="232" t="n"/>
      <c r="Y260" s="232" t="n"/>
      <c r="Z260" s="232" t="n"/>
      <c r="AA260" s="232" t="n"/>
      <c r="AB260" s="232" t="n"/>
      <c r="AC260" s="232" t="n"/>
      <c r="AD260" s="232" t="n"/>
      <c r="AE260" s="232" t="n"/>
      <c r="AF260" s="232" t="n"/>
      <c r="AG260" s="232" t="n"/>
      <c r="AH260" s="232" t="n"/>
      <c r="AI260" s="232" t="n"/>
      <c r="AJ260" s="232" t="n"/>
      <c r="AK260" s="232" t="n"/>
    </row>
    <row r="261">
      <c r="B261" s="2" t="n"/>
      <c r="C261" s="105" t="n"/>
      <c r="D261" s="105" t="n"/>
      <c r="E261" s="105" t="n"/>
      <c r="F261" s="105" t="n"/>
      <c r="G261" s="105" t="n"/>
      <c r="H261" s="2" t="n"/>
      <c r="I261" s="10" t="n"/>
      <c r="K261" s="232" t="n"/>
      <c r="L261" s="232" t="n"/>
      <c r="M261" s="232" t="n"/>
      <c r="N261" s="232" t="n"/>
      <c r="O261" s="232" t="n"/>
      <c r="P261" s="232" t="n"/>
      <c r="Q261" s="232" t="n"/>
      <c r="R261" s="232" t="n"/>
      <c r="S261" s="232" t="n"/>
      <c r="T261" s="232" t="n"/>
      <c r="U261" s="232" t="n"/>
      <c r="V261" s="232" t="n"/>
      <c r="W261" s="232" t="n"/>
      <c r="X261" s="232" t="n"/>
      <c r="Y261" s="232" t="n"/>
      <c r="Z261" s="232" t="n"/>
      <c r="AA261" s="232" t="n"/>
      <c r="AB261" s="232" t="n"/>
      <c r="AC261" s="232" t="n"/>
      <c r="AD261" s="232" t="n"/>
      <c r="AE261" s="232" t="n"/>
      <c r="AF261" s="232" t="n"/>
      <c r="AG261" s="232" t="n"/>
      <c r="AH261" s="232" t="n"/>
      <c r="AI261" s="232" t="n"/>
      <c r="AJ261" s="232" t="n"/>
      <c r="AK261" s="232" t="n"/>
    </row>
    <row r="262">
      <c r="B262" s="2" t="n"/>
      <c r="C262" s="105" t="n"/>
      <c r="D262" s="105" t="n"/>
      <c r="E262" s="105" t="n"/>
      <c r="F262" s="105" t="n"/>
      <c r="G262" s="105" t="n"/>
      <c r="H262" s="2" t="n"/>
      <c r="I262" s="10" t="n"/>
      <c r="K262" s="232" t="n"/>
      <c r="L262" s="232" t="n"/>
      <c r="M262" s="232" t="n"/>
      <c r="N262" s="232" t="n"/>
      <c r="O262" s="232" t="n"/>
      <c r="P262" s="232" t="n"/>
      <c r="Q262" s="232" t="n"/>
      <c r="R262" s="232" t="n"/>
      <c r="S262" s="232" t="n"/>
      <c r="T262" s="232" t="n"/>
      <c r="U262" s="232" t="n"/>
      <c r="V262" s="232" t="n"/>
      <c r="W262" s="232" t="n"/>
      <c r="X262" s="232" t="n"/>
      <c r="Y262" s="232" t="n"/>
      <c r="Z262" s="232" t="n"/>
      <c r="AA262" s="232" t="n"/>
      <c r="AB262" s="232" t="n"/>
      <c r="AC262" s="232" t="n"/>
      <c r="AD262" s="232" t="n"/>
      <c r="AE262" s="232" t="n"/>
      <c r="AF262" s="232" t="n"/>
      <c r="AG262" s="232" t="n"/>
      <c r="AH262" s="232" t="n"/>
      <c r="AI262" s="232" t="n"/>
      <c r="AJ262" s="232" t="n"/>
      <c r="AK262" s="232" t="n"/>
    </row>
    <row r="263">
      <c r="B263" s="2" t="n"/>
      <c r="C263" s="105" t="n"/>
      <c r="D263" s="105" t="n"/>
      <c r="E263" s="105" t="n"/>
      <c r="F263" s="105" t="n"/>
      <c r="G263" s="105" t="n"/>
      <c r="H263" s="2" t="n"/>
      <c r="I263" s="10" t="n"/>
      <c r="K263" s="232" t="n"/>
      <c r="L263" s="232" t="n"/>
      <c r="M263" s="232" t="n"/>
      <c r="N263" s="232" t="n"/>
      <c r="O263" s="232" t="n"/>
      <c r="P263" s="232" t="n"/>
      <c r="Q263" s="232" t="n"/>
      <c r="R263" s="232" t="n"/>
      <c r="S263" s="232" t="n"/>
      <c r="T263" s="232" t="n"/>
      <c r="U263" s="232" t="n"/>
      <c r="V263" s="232" t="n"/>
      <c r="W263" s="232" t="n"/>
      <c r="X263" s="232" t="n"/>
      <c r="Y263" s="232" t="n"/>
      <c r="Z263" s="232" t="n"/>
      <c r="AA263" s="232" t="n"/>
      <c r="AB263" s="232" t="n"/>
      <c r="AC263" s="232" t="n"/>
      <c r="AD263" s="232" t="n"/>
      <c r="AE263" s="232" t="n"/>
      <c r="AF263" s="232" t="n"/>
      <c r="AG263" s="232" t="n"/>
      <c r="AH263" s="232" t="n"/>
      <c r="AI263" s="232" t="n"/>
      <c r="AJ263" s="232" t="n"/>
      <c r="AK263" s="232" t="n"/>
    </row>
    <row r="264">
      <c r="B264" s="2" t="n"/>
      <c r="C264" s="105" t="n"/>
      <c r="D264" s="105" t="n"/>
      <c r="E264" s="105" t="n"/>
      <c r="F264" s="105" t="n"/>
      <c r="G264" s="105" t="n"/>
      <c r="H264" s="2" t="n"/>
      <c r="I264" s="10" t="n"/>
      <c r="K264" s="232" t="n"/>
      <c r="L264" s="232" t="n"/>
      <c r="M264" s="232" t="n"/>
      <c r="N264" s="232" t="n"/>
      <c r="O264" s="232" t="n"/>
      <c r="P264" s="232" t="n"/>
      <c r="Q264" s="232" t="n"/>
      <c r="R264" s="232" t="n"/>
      <c r="S264" s="232" t="n"/>
      <c r="T264" s="232" t="n"/>
      <c r="U264" s="232" t="n"/>
      <c r="V264" s="232" t="n"/>
      <c r="W264" s="232" t="n"/>
      <c r="X264" s="232" t="n"/>
      <c r="Y264" s="232" t="n"/>
      <c r="Z264" s="232" t="n"/>
      <c r="AA264" s="232" t="n"/>
      <c r="AB264" s="232" t="n"/>
      <c r="AC264" s="232" t="n"/>
      <c r="AD264" s="232" t="n"/>
      <c r="AE264" s="232" t="n"/>
      <c r="AF264" s="232" t="n"/>
      <c r="AG264" s="232" t="n"/>
      <c r="AH264" s="232" t="n"/>
      <c r="AI264" s="232" t="n"/>
      <c r="AJ264" s="232" t="n"/>
      <c r="AK264" s="232" t="n"/>
    </row>
    <row r="265">
      <c r="B265" s="2" t="n"/>
      <c r="C265" s="105" t="n"/>
      <c r="D265" s="105" t="n"/>
      <c r="E265" s="105" t="n"/>
      <c r="F265" s="105" t="n"/>
      <c r="G265" s="105" t="n"/>
      <c r="H265" s="2" t="n"/>
      <c r="I265" s="10" t="n"/>
      <c r="K265" s="232" t="n"/>
      <c r="L265" s="232" t="n"/>
      <c r="M265" s="232" t="n"/>
      <c r="N265" s="232" t="n"/>
      <c r="O265" s="232" t="n"/>
      <c r="P265" s="232" t="n"/>
      <c r="Q265" s="232" t="n"/>
      <c r="R265" s="232" t="n"/>
      <c r="S265" s="232" t="n"/>
      <c r="T265" s="232" t="n"/>
      <c r="U265" s="232" t="n"/>
      <c r="V265" s="232" t="n"/>
      <c r="W265" s="232" t="n"/>
      <c r="X265" s="232" t="n"/>
      <c r="Y265" s="232" t="n"/>
      <c r="Z265" s="232" t="n"/>
      <c r="AA265" s="232" t="n"/>
      <c r="AB265" s="232" t="n"/>
      <c r="AC265" s="232" t="n"/>
      <c r="AD265" s="232" t="n"/>
      <c r="AE265" s="232" t="n"/>
      <c r="AF265" s="232" t="n"/>
      <c r="AG265" s="232" t="n"/>
      <c r="AH265" s="232" t="n"/>
      <c r="AI265" s="232" t="n"/>
      <c r="AJ265" s="232" t="n"/>
      <c r="AK265" s="232" t="n"/>
    </row>
    <row r="266">
      <c r="B266" s="2" t="n"/>
      <c r="C266" s="105" t="n"/>
      <c r="D266" s="105" t="n"/>
      <c r="E266" s="105" t="n"/>
      <c r="F266" s="105" t="n"/>
      <c r="G266" s="105" t="n"/>
      <c r="H266" s="2" t="n"/>
      <c r="I266" s="10" t="n"/>
      <c r="K266" s="232" t="n"/>
      <c r="L266" s="232" t="n"/>
      <c r="M266" s="232" t="n"/>
      <c r="N266" s="232" t="n"/>
      <c r="O266" s="232" t="n"/>
      <c r="P266" s="232" t="n"/>
      <c r="Q266" s="232" t="n"/>
      <c r="R266" s="232" t="n"/>
      <c r="S266" s="232" t="n"/>
      <c r="T266" s="232" t="n"/>
      <c r="U266" s="232" t="n"/>
      <c r="V266" s="232" t="n"/>
      <c r="W266" s="232" t="n"/>
      <c r="X266" s="232" t="n"/>
      <c r="Y266" s="232" t="n"/>
      <c r="Z266" s="232" t="n"/>
      <c r="AA266" s="232" t="n"/>
      <c r="AB266" s="232" t="n"/>
      <c r="AC266" s="232" t="n"/>
      <c r="AD266" s="232" t="n"/>
      <c r="AE266" s="232" t="n"/>
      <c r="AF266" s="232" t="n"/>
      <c r="AG266" s="232" t="n"/>
      <c r="AH266" s="232" t="n"/>
      <c r="AI266" s="232" t="n"/>
      <c r="AJ266" s="232" t="n"/>
      <c r="AK266" s="232" t="n"/>
    </row>
    <row r="267">
      <c r="B267" s="2" t="n"/>
      <c r="C267" s="105" t="n"/>
      <c r="D267" s="105" t="n"/>
      <c r="E267" s="105" t="n"/>
      <c r="F267" s="105" t="n"/>
      <c r="G267" s="105" t="n"/>
      <c r="H267" s="2" t="n"/>
      <c r="I267" s="10" t="n"/>
      <c r="K267" s="232" t="n"/>
      <c r="L267" s="232" t="n"/>
      <c r="M267" s="232" t="n"/>
      <c r="N267" s="232" t="n"/>
      <c r="O267" s="232" t="n"/>
      <c r="P267" s="232" t="n"/>
      <c r="Q267" s="232" t="n"/>
      <c r="R267" s="232" t="n"/>
      <c r="S267" s="232" t="n"/>
      <c r="T267" s="232" t="n"/>
      <c r="U267" s="232" t="n"/>
      <c r="V267" s="232" t="n"/>
      <c r="W267" s="232" t="n"/>
      <c r="X267" s="232" t="n"/>
      <c r="Y267" s="232" t="n"/>
      <c r="Z267" s="232" t="n"/>
      <c r="AA267" s="232" t="n"/>
      <c r="AB267" s="232" t="n"/>
      <c r="AC267" s="232" t="n"/>
      <c r="AD267" s="232" t="n"/>
      <c r="AE267" s="232" t="n"/>
      <c r="AF267" s="232" t="n"/>
      <c r="AG267" s="232" t="n"/>
      <c r="AH267" s="232" t="n"/>
      <c r="AI267" s="232" t="n"/>
      <c r="AJ267" s="232" t="n"/>
      <c r="AK267" s="232" t="n"/>
    </row>
    <row r="268">
      <c r="B268" s="2" t="n"/>
      <c r="C268" s="105" t="n"/>
      <c r="D268" s="105" t="n"/>
      <c r="E268" s="105" t="n"/>
      <c r="F268" s="105" t="n"/>
      <c r="G268" s="105" t="n"/>
      <c r="H268" s="2" t="n"/>
      <c r="I268" s="10" t="n"/>
      <c r="K268" s="232" t="n"/>
      <c r="L268" s="232" t="n"/>
      <c r="M268" s="232" t="n"/>
      <c r="N268" s="232" t="n"/>
      <c r="O268" s="232" t="n"/>
      <c r="P268" s="232" t="n"/>
      <c r="Q268" s="232" t="n"/>
      <c r="R268" s="232" t="n"/>
      <c r="S268" s="232" t="n"/>
      <c r="T268" s="232" t="n"/>
      <c r="U268" s="232" t="n"/>
      <c r="V268" s="232" t="n"/>
      <c r="W268" s="232" t="n"/>
      <c r="X268" s="232" t="n"/>
      <c r="Y268" s="232" t="n"/>
      <c r="Z268" s="232" t="n"/>
      <c r="AA268" s="232" t="n"/>
      <c r="AB268" s="232" t="n"/>
      <c r="AC268" s="232" t="n"/>
      <c r="AD268" s="232" t="n"/>
      <c r="AE268" s="232" t="n"/>
      <c r="AF268" s="232" t="n"/>
      <c r="AG268" s="232" t="n"/>
      <c r="AH268" s="232" t="n"/>
      <c r="AI268" s="232" t="n"/>
      <c r="AJ268" s="232" t="n"/>
      <c r="AK268" s="232" t="n"/>
    </row>
    <row r="269">
      <c r="B269" s="2" t="n"/>
      <c r="C269" s="105" t="n"/>
      <c r="D269" s="105" t="n"/>
      <c r="E269" s="105" t="n"/>
      <c r="F269" s="105" t="n"/>
      <c r="G269" s="105" t="n"/>
      <c r="H269" s="2" t="n"/>
      <c r="I269" s="10" t="n"/>
      <c r="K269" s="232" t="n"/>
      <c r="L269" s="232" t="n"/>
      <c r="M269" s="232" t="n"/>
      <c r="N269" s="232" t="n"/>
      <c r="O269" s="232" t="n"/>
      <c r="P269" s="232" t="n"/>
      <c r="Q269" s="232" t="n"/>
      <c r="R269" s="232" t="n"/>
      <c r="S269" s="232" t="n"/>
      <c r="T269" s="232" t="n"/>
      <c r="U269" s="232" t="n"/>
      <c r="V269" s="232" t="n"/>
      <c r="W269" s="232" t="n"/>
      <c r="X269" s="232" t="n"/>
      <c r="Y269" s="232" t="n"/>
      <c r="Z269" s="232" t="n"/>
      <c r="AA269" s="232" t="n"/>
      <c r="AB269" s="232" t="n"/>
      <c r="AC269" s="232" t="n"/>
      <c r="AD269" s="232" t="n"/>
      <c r="AE269" s="232" t="n"/>
      <c r="AF269" s="232" t="n"/>
      <c r="AG269" s="232" t="n"/>
      <c r="AH269" s="232" t="n"/>
      <c r="AI269" s="232" t="n"/>
      <c r="AJ269" s="232" t="n"/>
      <c r="AK269" s="232" t="n"/>
    </row>
    <row r="270">
      <c r="B270" s="2" t="n"/>
      <c r="C270" s="105" t="n"/>
      <c r="D270" s="105" t="n"/>
      <c r="E270" s="105" t="n"/>
      <c r="F270" s="105" t="n"/>
      <c r="G270" s="105" t="n"/>
      <c r="H270" s="2" t="n"/>
      <c r="I270" s="10" t="n"/>
      <c r="K270" s="232" t="n"/>
      <c r="L270" s="232" t="n"/>
      <c r="M270" s="232" t="n"/>
      <c r="N270" s="232" t="n"/>
      <c r="O270" s="232" t="n"/>
      <c r="P270" s="232" t="n"/>
      <c r="Q270" s="232" t="n"/>
      <c r="R270" s="232" t="n"/>
      <c r="S270" s="232" t="n"/>
      <c r="T270" s="232" t="n"/>
      <c r="U270" s="232" t="n"/>
      <c r="V270" s="232" t="n"/>
      <c r="W270" s="232" t="n"/>
      <c r="X270" s="232" t="n"/>
      <c r="Y270" s="232" t="n"/>
      <c r="Z270" s="232" t="n"/>
      <c r="AA270" s="232" t="n"/>
      <c r="AB270" s="232" t="n"/>
      <c r="AC270" s="232" t="n"/>
      <c r="AD270" s="232" t="n"/>
      <c r="AE270" s="232" t="n"/>
      <c r="AF270" s="232" t="n"/>
      <c r="AG270" s="232" t="n"/>
      <c r="AH270" s="232" t="n"/>
      <c r="AI270" s="232" t="n"/>
      <c r="AJ270" s="232" t="n"/>
      <c r="AK270" s="232" t="n"/>
    </row>
    <row r="271">
      <c r="B271" s="2" t="n"/>
      <c r="C271" s="105" t="n"/>
      <c r="D271" s="105" t="n"/>
      <c r="E271" s="105" t="n"/>
      <c r="F271" s="105" t="n"/>
      <c r="G271" s="105" t="n"/>
      <c r="H271" s="2" t="n"/>
      <c r="I271" s="10" t="n"/>
      <c r="K271" s="232" t="n"/>
      <c r="L271" s="232" t="n"/>
      <c r="M271" s="232" t="n"/>
      <c r="N271" s="232" t="n"/>
      <c r="O271" s="232" t="n"/>
      <c r="P271" s="232" t="n"/>
      <c r="Q271" s="232" t="n"/>
      <c r="R271" s="232" t="n"/>
      <c r="S271" s="232" t="n"/>
      <c r="T271" s="232" t="n"/>
      <c r="U271" s="232" t="n"/>
      <c r="V271" s="232" t="n"/>
      <c r="W271" s="232" t="n"/>
      <c r="X271" s="232" t="n"/>
      <c r="Y271" s="232" t="n"/>
      <c r="Z271" s="232" t="n"/>
      <c r="AA271" s="232" t="n"/>
      <c r="AB271" s="232" t="n"/>
      <c r="AC271" s="232" t="n"/>
      <c r="AD271" s="232" t="n"/>
      <c r="AE271" s="232" t="n"/>
      <c r="AF271" s="232" t="n"/>
      <c r="AG271" s="232" t="n"/>
      <c r="AH271" s="232" t="n"/>
      <c r="AI271" s="232" t="n"/>
      <c r="AJ271" s="232" t="n"/>
      <c r="AK271" s="232" t="n"/>
    </row>
    <row r="272">
      <c r="B272" s="2" t="n"/>
      <c r="C272" s="105" t="n"/>
      <c r="D272" s="105" t="n"/>
      <c r="E272" s="105" t="n"/>
      <c r="F272" s="105" t="n"/>
      <c r="G272" s="105" t="n"/>
      <c r="H272" s="2" t="n"/>
      <c r="I272" s="10" t="n"/>
      <c r="K272" s="232" t="n"/>
      <c r="L272" s="232" t="n"/>
      <c r="M272" s="232" t="n"/>
      <c r="N272" s="232" t="n"/>
      <c r="O272" s="232" t="n"/>
      <c r="P272" s="232" t="n"/>
      <c r="Q272" s="232" t="n"/>
      <c r="R272" s="232" t="n"/>
      <c r="S272" s="232" t="n"/>
      <c r="T272" s="232" t="n"/>
      <c r="U272" s="232" t="n"/>
      <c r="V272" s="232" t="n"/>
      <c r="W272" s="232" t="n"/>
      <c r="X272" s="232" t="n"/>
      <c r="Y272" s="232" t="n"/>
      <c r="Z272" s="232" t="n"/>
      <c r="AA272" s="232" t="n"/>
      <c r="AB272" s="232" t="n"/>
      <c r="AC272" s="232" t="n"/>
      <c r="AD272" s="232" t="n"/>
      <c r="AE272" s="232" t="n"/>
      <c r="AF272" s="232" t="n"/>
      <c r="AG272" s="232" t="n"/>
      <c r="AH272" s="232" t="n"/>
      <c r="AI272" s="232" t="n"/>
      <c r="AJ272" s="232" t="n"/>
      <c r="AK272" s="232" t="n"/>
    </row>
    <row r="273">
      <c r="B273" s="2" t="n"/>
      <c r="C273" s="105" t="n"/>
      <c r="D273" s="105" t="n"/>
      <c r="E273" s="105" t="n"/>
      <c r="F273" s="105" t="n"/>
      <c r="G273" s="105" t="n"/>
      <c r="H273" s="2" t="n"/>
      <c r="I273" s="10" t="n"/>
      <c r="K273" s="232" t="n"/>
      <c r="L273" s="232" t="n"/>
      <c r="M273" s="232" t="n"/>
      <c r="N273" s="232" t="n"/>
      <c r="O273" s="232" t="n"/>
      <c r="P273" s="232" t="n"/>
      <c r="Q273" s="232" t="n"/>
      <c r="R273" s="232" t="n"/>
      <c r="S273" s="232" t="n"/>
      <c r="T273" s="232" t="n"/>
      <c r="U273" s="232" t="n"/>
      <c r="V273" s="232" t="n"/>
      <c r="W273" s="232" t="n"/>
      <c r="X273" s="232" t="n"/>
      <c r="Y273" s="232" t="n"/>
      <c r="Z273" s="232" t="n"/>
      <c r="AA273" s="232" t="n"/>
      <c r="AB273" s="232" t="n"/>
      <c r="AC273" s="232" t="n"/>
      <c r="AD273" s="232" t="n"/>
      <c r="AE273" s="232" t="n"/>
      <c r="AF273" s="232" t="n"/>
      <c r="AG273" s="232" t="n"/>
      <c r="AH273" s="232" t="n"/>
      <c r="AI273" s="232" t="n"/>
      <c r="AJ273" s="232" t="n"/>
      <c r="AK273" s="232" t="n"/>
    </row>
    <row r="274">
      <c r="B274" s="2" t="n"/>
      <c r="C274" s="105" t="n"/>
      <c r="D274" s="105" t="n"/>
      <c r="E274" s="105" t="n"/>
      <c r="F274" s="105" t="n"/>
      <c r="G274" s="105" t="n"/>
      <c r="H274" s="2" t="n"/>
      <c r="I274" s="10" t="n"/>
      <c r="K274" s="232" t="n"/>
      <c r="L274" s="232" t="n"/>
      <c r="M274" s="232" t="n"/>
      <c r="N274" s="232" t="n"/>
      <c r="O274" s="232" t="n"/>
      <c r="P274" s="232" t="n"/>
      <c r="Q274" s="232" t="n"/>
      <c r="R274" s="232" t="n"/>
      <c r="S274" s="232" t="n"/>
      <c r="T274" s="232" t="n"/>
      <c r="U274" s="232" t="n"/>
      <c r="V274" s="232" t="n"/>
      <c r="W274" s="232" t="n"/>
      <c r="X274" s="232" t="n"/>
      <c r="Y274" s="232" t="n"/>
      <c r="Z274" s="232" t="n"/>
      <c r="AA274" s="232" t="n"/>
      <c r="AB274" s="232" t="n"/>
      <c r="AC274" s="232" t="n"/>
      <c r="AD274" s="232" t="n"/>
      <c r="AE274" s="232" t="n"/>
      <c r="AF274" s="232" t="n"/>
      <c r="AG274" s="232" t="n"/>
      <c r="AH274" s="232" t="n"/>
      <c r="AI274" s="232" t="n"/>
      <c r="AJ274" s="232" t="n"/>
      <c r="AK274" s="232" t="n"/>
    </row>
    <row r="275">
      <c r="B275" s="2" t="n"/>
      <c r="C275" s="105" t="n"/>
      <c r="D275" s="105" t="n"/>
      <c r="E275" s="105" t="n"/>
      <c r="F275" s="105" t="n"/>
      <c r="G275" s="105" t="n"/>
      <c r="H275" s="2" t="n"/>
      <c r="I275" s="10" t="n"/>
      <c r="K275" s="232" t="n"/>
      <c r="L275" s="232" t="n"/>
      <c r="M275" s="232" t="n"/>
      <c r="N275" s="232" t="n"/>
      <c r="O275" s="232" t="n"/>
      <c r="P275" s="232" t="n"/>
      <c r="Q275" s="232" t="n"/>
      <c r="R275" s="232" t="n"/>
      <c r="S275" s="232" t="n"/>
      <c r="T275" s="232" t="n"/>
      <c r="U275" s="232" t="n"/>
      <c r="V275" s="232" t="n"/>
      <c r="W275" s="232" t="n"/>
      <c r="X275" s="232" t="n"/>
      <c r="Y275" s="232" t="n"/>
      <c r="Z275" s="232" t="n"/>
      <c r="AA275" s="232" t="n"/>
      <c r="AB275" s="232" t="n"/>
      <c r="AC275" s="232" t="n"/>
      <c r="AD275" s="232" t="n"/>
      <c r="AE275" s="232" t="n"/>
      <c r="AF275" s="232" t="n"/>
      <c r="AG275" s="232" t="n"/>
      <c r="AH275" s="232" t="n"/>
      <c r="AI275" s="232" t="n"/>
      <c r="AJ275" s="232" t="n"/>
      <c r="AK275" s="232" t="n"/>
    </row>
    <row r="276">
      <c r="B276" s="2" t="n"/>
      <c r="C276" s="105" t="n"/>
      <c r="D276" s="105" t="n"/>
      <c r="E276" s="105" t="n"/>
      <c r="F276" s="105" t="n"/>
      <c r="G276" s="105" t="n"/>
      <c r="H276" s="2" t="n"/>
      <c r="I276" s="10" t="n"/>
      <c r="K276" s="232" t="n"/>
      <c r="L276" s="232" t="n"/>
      <c r="M276" s="232" t="n"/>
      <c r="N276" s="232" t="n"/>
      <c r="O276" s="232" t="n"/>
      <c r="P276" s="232" t="n"/>
      <c r="Q276" s="232" t="n"/>
      <c r="R276" s="232" t="n"/>
      <c r="S276" s="232" t="n"/>
      <c r="T276" s="232" t="n"/>
      <c r="U276" s="232" t="n"/>
      <c r="V276" s="232" t="n"/>
      <c r="W276" s="232" t="n"/>
      <c r="X276" s="232" t="n"/>
      <c r="Y276" s="232" t="n"/>
      <c r="Z276" s="232" t="n"/>
      <c r="AA276" s="232" t="n"/>
      <c r="AB276" s="232" t="n"/>
      <c r="AC276" s="232" t="n"/>
      <c r="AD276" s="232" t="n"/>
      <c r="AE276" s="232" t="n"/>
      <c r="AF276" s="232" t="n"/>
      <c r="AG276" s="232" t="n"/>
      <c r="AH276" s="232" t="n"/>
      <c r="AI276" s="232" t="n"/>
      <c r="AJ276" s="232" t="n"/>
      <c r="AK276" s="232" t="n"/>
    </row>
    <row r="277">
      <c r="B277" s="2" t="n"/>
      <c r="C277" s="105" t="n"/>
      <c r="D277" s="105" t="n"/>
      <c r="E277" s="105" t="n"/>
      <c r="F277" s="105" t="n"/>
      <c r="G277" s="105" t="n"/>
      <c r="H277" s="2" t="n"/>
      <c r="I277" s="10" t="n"/>
      <c r="K277" s="232" t="n"/>
      <c r="L277" s="232" t="n"/>
      <c r="M277" s="232" t="n"/>
      <c r="N277" s="232" t="n"/>
      <c r="O277" s="232" t="n"/>
      <c r="P277" s="232" t="n"/>
      <c r="Q277" s="232" t="n"/>
      <c r="R277" s="232" t="n"/>
      <c r="S277" s="232" t="n"/>
      <c r="T277" s="232" t="n"/>
      <c r="U277" s="232" t="n"/>
      <c r="V277" s="232" t="n"/>
      <c r="W277" s="232" t="n"/>
      <c r="X277" s="232" t="n"/>
      <c r="Y277" s="232" t="n"/>
      <c r="Z277" s="232" t="n"/>
      <c r="AA277" s="232" t="n"/>
      <c r="AB277" s="232" t="n"/>
      <c r="AC277" s="232" t="n"/>
      <c r="AD277" s="232" t="n"/>
      <c r="AE277" s="232" t="n"/>
      <c r="AF277" s="232" t="n"/>
      <c r="AG277" s="232" t="n"/>
      <c r="AH277" s="232" t="n"/>
      <c r="AI277" s="232" t="n"/>
      <c r="AJ277" s="232" t="n"/>
      <c r="AK277" s="232" t="n"/>
    </row>
    <row r="278">
      <c r="B278" s="2" t="n"/>
      <c r="C278" s="105" t="n"/>
      <c r="D278" s="105" t="n"/>
      <c r="E278" s="105" t="n"/>
      <c r="F278" s="105" t="n"/>
      <c r="G278" s="105" t="n"/>
      <c r="H278" s="2" t="n"/>
      <c r="I278" s="10" t="n"/>
      <c r="K278" s="232" t="n"/>
      <c r="L278" s="232" t="n"/>
      <c r="M278" s="232" t="n"/>
      <c r="N278" s="232" t="n"/>
      <c r="O278" s="232" t="n"/>
      <c r="P278" s="232" t="n"/>
      <c r="Q278" s="232" t="n"/>
      <c r="R278" s="232" t="n"/>
      <c r="S278" s="232" t="n"/>
      <c r="T278" s="232" t="n"/>
      <c r="U278" s="232" t="n"/>
      <c r="V278" s="232" t="n"/>
      <c r="W278" s="232" t="n"/>
      <c r="X278" s="232" t="n"/>
      <c r="Y278" s="232" t="n"/>
      <c r="Z278" s="232" t="n"/>
      <c r="AA278" s="232" t="n"/>
      <c r="AB278" s="232" t="n"/>
      <c r="AC278" s="232" t="n"/>
      <c r="AD278" s="232" t="n"/>
      <c r="AE278" s="232" t="n"/>
      <c r="AF278" s="232" t="n"/>
      <c r="AG278" s="232" t="n"/>
      <c r="AH278" s="232" t="n"/>
      <c r="AI278" s="232" t="n"/>
      <c r="AJ278" s="232" t="n"/>
      <c r="AK278" s="232" t="n"/>
    </row>
    <row r="279">
      <c r="B279" s="2" t="n"/>
      <c r="C279" s="105" t="n"/>
      <c r="D279" s="105" t="n"/>
      <c r="E279" s="105" t="n"/>
      <c r="F279" s="105" t="n"/>
      <c r="G279" s="105" t="n"/>
      <c r="H279" s="2" t="n"/>
      <c r="I279" s="10" t="n"/>
      <c r="K279" s="232" t="n"/>
      <c r="L279" s="232" t="n"/>
      <c r="M279" s="232" t="n"/>
      <c r="N279" s="232" t="n"/>
      <c r="O279" s="232" t="n"/>
      <c r="P279" s="232" t="n"/>
      <c r="Q279" s="232" t="n"/>
      <c r="R279" s="232" t="n"/>
      <c r="S279" s="232" t="n"/>
      <c r="T279" s="232" t="n"/>
      <c r="U279" s="232" t="n"/>
      <c r="V279" s="232" t="n"/>
      <c r="W279" s="232" t="n"/>
      <c r="X279" s="232" t="n"/>
      <c r="Y279" s="232" t="n"/>
      <c r="Z279" s="232" t="n"/>
      <c r="AA279" s="232" t="n"/>
      <c r="AB279" s="232" t="n"/>
      <c r="AC279" s="232" t="n"/>
      <c r="AD279" s="232" t="n"/>
      <c r="AE279" s="232" t="n"/>
      <c r="AF279" s="232" t="n"/>
      <c r="AG279" s="232" t="n"/>
      <c r="AH279" s="232" t="n"/>
      <c r="AI279" s="232" t="n"/>
      <c r="AJ279" s="232" t="n"/>
      <c r="AK279" s="232" t="n"/>
    </row>
    <row r="280">
      <c r="B280" s="2" t="n"/>
      <c r="C280" s="105" t="n"/>
      <c r="D280" s="105" t="n"/>
      <c r="E280" s="105" t="n"/>
      <c r="F280" s="105" t="n"/>
      <c r="G280" s="105" t="n"/>
      <c r="H280" s="2" t="n"/>
      <c r="I280" s="10" t="n"/>
      <c r="K280" s="232" t="n"/>
      <c r="L280" s="232" t="n"/>
      <c r="M280" s="232" t="n"/>
      <c r="N280" s="232" t="n"/>
      <c r="O280" s="232" t="n"/>
      <c r="P280" s="232" t="n"/>
      <c r="Q280" s="232" t="n"/>
      <c r="R280" s="232" t="n"/>
      <c r="S280" s="232" t="n"/>
      <c r="T280" s="232" t="n"/>
      <c r="U280" s="232" t="n"/>
      <c r="V280" s="232" t="n"/>
      <c r="W280" s="232" t="n"/>
      <c r="X280" s="232" t="n"/>
      <c r="Y280" s="232" t="n"/>
      <c r="Z280" s="232" t="n"/>
      <c r="AA280" s="232" t="n"/>
      <c r="AB280" s="232" t="n"/>
      <c r="AC280" s="232" t="n"/>
      <c r="AD280" s="232" t="n"/>
      <c r="AE280" s="232" t="n"/>
      <c r="AF280" s="232" t="n"/>
      <c r="AG280" s="232" t="n"/>
      <c r="AH280" s="232" t="n"/>
      <c r="AI280" s="232" t="n"/>
      <c r="AJ280" s="232" t="n"/>
      <c r="AK280" s="232" t="n"/>
    </row>
    <row r="281">
      <c r="B281" s="2" t="n"/>
      <c r="C281" s="105" t="n"/>
      <c r="D281" s="105" t="n"/>
      <c r="E281" s="105" t="n"/>
      <c r="F281" s="105" t="n"/>
      <c r="G281" s="105" t="n"/>
      <c r="H281" s="2" t="n"/>
      <c r="I281" s="10" t="n"/>
      <c r="K281" s="232" t="n"/>
      <c r="L281" s="232" t="n"/>
      <c r="M281" s="232" t="n"/>
      <c r="N281" s="232" t="n"/>
      <c r="O281" s="232" t="n"/>
      <c r="P281" s="232" t="n"/>
      <c r="Q281" s="232" t="n"/>
      <c r="R281" s="232" t="n"/>
      <c r="S281" s="232" t="n"/>
      <c r="T281" s="232" t="n"/>
      <c r="U281" s="232" t="n"/>
      <c r="V281" s="232" t="n"/>
      <c r="W281" s="232" t="n"/>
      <c r="X281" s="232" t="n"/>
      <c r="Y281" s="232" t="n"/>
      <c r="Z281" s="232" t="n"/>
      <c r="AA281" s="232" t="n"/>
      <c r="AB281" s="232" t="n"/>
      <c r="AC281" s="232" t="n"/>
      <c r="AD281" s="232" t="n"/>
      <c r="AE281" s="232" t="n"/>
      <c r="AF281" s="232" t="n"/>
      <c r="AG281" s="232" t="n"/>
      <c r="AH281" s="232" t="n"/>
      <c r="AI281" s="232" t="n"/>
      <c r="AJ281" s="232" t="n"/>
      <c r="AK281" s="232" t="n"/>
    </row>
  </sheetData>
  <autoFilter ref="A4:AK4"/>
  <mergeCells count="11">
    <mergeCell ref="I2:I4"/>
    <mergeCell ref="A2:A4"/>
    <mergeCell ref="C2:C4"/>
    <mergeCell ref="F2:F4"/>
    <mergeCell ref="G2:G4"/>
    <mergeCell ref="J2:J4"/>
    <mergeCell ref="H2:H4"/>
    <mergeCell ref="AK2:AK4"/>
    <mergeCell ref="B2:B4"/>
    <mergeCell ref="D2:D4"/>
    <mergeCell ref="E2:E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Protiviti Audit</dc:creator>
  <dcterms:created xsi:type="dcterms:W3CDTF">2025-11-19T05:23:20Z</dcterms:created>
  <dcterms:modified xsi:type="dcterms:W3CDTF">2026-05-05T08:03:43Z</dcterms:modified>
  <cp:lastModifiedBy>Prathamesh Karangutkar</cp:lastModifiedBy>
</cp:coreProperties>
</file>